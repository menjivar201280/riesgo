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0" activeTab="7" autoFilterDateGrouping="1"/>
  </bookViews>
  <sheets>
    <sheet xmlns:r="http://schemas.openxmlformats.org/officeDocument/2006/relationships" name="Instrucciones" sheetId="1" state="hidden" r:id="rId1"/>
    <sheet xmlns:r="http://schemas.openxmlformats.org/officeDocument/2006/relationships" name="Base Oficial" sheetId="2" state="visible" r:id="rId2"/>
    <sheet xmlns:r="http://schemas.openxmlformats.org/officeDocument/2006/relationships" name="Base Exámenes" sheetId="3" state="visible" r:id="rId3"/>
    <sheet xmlns:r="http://schemas.openxmlformats.org/officeDocument/2006/relationships" name="Detalle individual" sheetId="4" state="visible" r:id="rId4"/>
    <sheet xmlns:r="http://schemas.openxmlformats.org/officeDocument/2006/relationships" name="Consolidado por área" sheetId="5" state="visible" r:id="rId5"/>
    <sheet xmlns:r="http://schemas.openxmlformats.org/officeDocument/2006/relationships" name="Consolidado por Gerencia" sheetId="6" state="visible" r:id="rId6"/>
    <sheet xmlns:r="http://schemas.openxmlformats.org/officeDocument/2006/relationships" name="Dashboard Gerencial" sheetId="7" state="visible" r:id="rId7"/>
    <sheet xmlns:r="http://schemas.openxmlformats.org/officeDocument/2006/relationships" name="Dashboard Gráfico" sheetId="8" state="visible" r:id="rId8"/>
    <sheet xmlns:r="http://schemas.openxmlformats.org/officeDocument/2006/relationships" name="Dashboard de Estados" sheetId="9" state="visible" r:id="rId9"/>
    <sheet xmlns:r="http://schemas.openxmlformats.org/officeDocument/2006/relationships" name="Dashboard Departamentos" sheetId="10" state="visible" r:id="rId10"/>
    <sheet xmlns:r="http://schemas.openxmlformats.org/officeDocument/2006/relationships" name="Estado por Colaborador" sheetId="11" state="visible" r:id="rId11"/>
    <sheet xmlns:r="http://schemas.openxmlformats.org/officeDocument/2006/relationships" name="Top 3 Departamentos" sheetId="12" state="visible" r:id="rId12"/>
    <sheet xmlns:r="http://schemas.openxmlformats.org/officeDocument/2006/relationships" name="Listado de Pendientes" sheetId="13" state="visible" r:id="rId13"/>
    <sheet xmlns:r="http://schemas.openxmlformats.org/officeDocument/2006/relationships" name="Listado de Situación Especial" sheetId="14" state="visible" r:id="rId14"/>
    <sheet xmlns:r="http://schemas.openxmlformats.org/officeDocument/2006/relationships" name="Listado de Completados" sheetId="15" state="visible" r:id="rId15"/>
    <sheet xmlns:r="http://schemas.openxmlformats.org/officeDocument/2006/relationships" name="Historial de Intentos" sheetId="16" state="visible" r:id="rId16"/>
    <sheet xmlns:r="http://schemas.openxmlformats.org/officeDocument/2006/relationships" name="Cálculos" sheetId="17" state="hidden" r:id="rId17"/>
  </sheets>
  <definedNames>
    <definedName name="_xlnm._FilterDatabase" localSheetId="1" hidden="1">'Base Oficial'!$A$4:$H$1000</definedName>
    <definedName name="_xlnm._FilterDatabase" localSheetId="3" hidden="1">'Detalle individual'!$A$4:$M$1000</definedName>
    <definedName name="_xlnm._FilterDatabase" localSheetId="12" hidden="1">'Listado de Pendientes'!$A$4:$E$1000</definedName>
    <definedName name="_xlnm._FilterDatabase" localSheetId="13" hidden="1">'Listado de Situación Especial'!$B$4:$G$1000</definedName>
    <definedName name="_xlnm._FilterDatabase" localSheetId="14" hidden="1">'Listado de Completados'!$A$4:$H$1000</definedName>
    <definedName name="_xlnm._FilterDatabase" localSheetId="15" hidden="1">'Historial de Intentos'!$A$4:$J$304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"/>
    <numFmt numFmtId="166" formatCode="0.0%"/>
    <numFmt numFmtId="167" formatCode="0.0%&quot; del total&quot;"/>
  </numFmts>
  <fonts count="44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</font>
    <font>
      <name val="Calibri"/>
      <family val="2"/>
      <i val="1"/>
      <color rgb="FF595959"/>
      <sz val="11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color rgb="FFFFFFFF"/>
      <sz val="18"/>
    </font>
    <font>
      <name val="Calibri"/>
      <family val="2"/>
      <i val="1"/>
      <color rgb="FFDDEBF7"/>
      <sz val="10"/>
    </font>
    <font>
      <name val="Calibri"/>
      <family val="2"/>
      <b val="1"/>
      <color rgb="FF7F7F7F"/>
      <sz val="9"/>
    </font>
    <font>
      <name val="Calibri"/>
      <family val="2"/>
      <b val="1"/>
      <color rgb="FF1F4E78"/>
      <sz val="9"/>
    </font>
    <font>
      <name val="Calibri"/>
      <family val="2"/>
      <b val="1"/>
      <color rgb="FF1F4E78"/>
      <sz val="26"/>
    </font>
    <font>
      <name val="Calibri"/>
      <family val="2"/>
      <i val="1"/>
      <color rgb="FF7F7F7F"/>
      <sz val="9"/>
    </font>
    <font>
      <name val="Calibri"/>
      <family val="2"/>
      <b val="1"/>
      <color rgb="FF2E7D32"/>
      <sz val="26"/>
    </font>
    <font>
      <name val="Calibri"/>
      <family val="2"/>
      <b val="1"/>
      <color rgb="FFC55A11"/>
      <sz val="26"/>
    </font>
    <font>
      <name val="Calibri"/>
      <family val="2"/>
      <b val="1"/>
      <color rgb="FF000000"/>
      <sz val="12"/>
    </font>
    <font>
      <name val="Calibri"/>
      <family val="2"/>
      <b val="1"/>
      <color rgb="FF2E75B6"/>
      <sz val="10"/>
      <u val="single"/>
    </font>
    <font>
      <name val="Calibri"/>
      <family val="2"/>
      <b val="1"/>
      <color rgb="FF1F4E78"/>
      <sz val="11"/>
    </font>
    <font>
      <name val="Calibri"/>
      <family val="2"/>
      <b val="1"/>
      <color rgb="FFFFFFFF"/>
      <sz val="10"/>
    </font>
    <font>
      <name val="Calibri"/>
      <family val="2"/>
      <color rgb="FF404040"/>
      <sz val="10"/>
    </font>
    <font>
      <name val="Calibri"/>
      <family val="2"/>
      <b val="1"/>
      <color rgb="FF1F4E78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7F7F7F"/>
      <sz val="10"/>
    </font>
    <font>
      <name val="Calibri"/>
      <family val="2"/>
      <b val="1"/>
      <color rgb="FF1F4E78"/>
      <sz val="14"/>
    </font>
    <font>
      <name val="Calibri"/>
      <family val="2"/>
      <b val="1"/>
      <color rgb="FF2E7D32"/>
      <sz val="14"/>
    </font>
    <font>
      <name val="Calibri"/>
      <family val="2"/>
      <b val="1"/>
      <color rgb="FFC55A11"/>
      <sz val="14"/>
    </font>
    <font>
      <name val="Calibri"/>
      <family val="2"/>
      <b val="1"/>
      <color rgb="FFC00000"/>
      <sz val="9"/>
    </font>
    <font>
      <name val="Calibri"/>
      <family val="2"/>
      <b val="1"/>
      <color rgb="FF1F4E78"/>
      <sz val="12"/>
    </font>
    <font>
      <name val="Calibri"/>
      <family val="2"/>
      <color rgb="FF404040"/>
      <sz val="11"/>
    </font>
    <font>
      <name val="Calibri"/>
      <family val="2"/>
      <b val="1"/>
      <color rgb="FF7F7F7F"/>
      <sz val="8"/>
    </font>
    <font>
      <name val="Calibri"/>
      <family val="2"/>
      <b val="1"/>
      <color rgb="FF1F4E78"/>
      <sz val="24"/>
    </font>
    <font>
      <name val="Calibri"/>
      <family val="2"/>
      <b val="1"/>
      <color rgb="FFC55A11"/>
      <sz val="24"/>
    </font>
    <font>
      <name val="Calibri"/>
      <family val="2"/>
      <b val="1"/>
      <color rgb="FF5B9BD5"/>
      <sz val="24"/>
    </font>
    <font>
      <name val="Calibri"/>
      <family val="2"/>
      <b val="1"/>
      <color rgb="FFFFC000"/>
      <sz val="24"/>
    </font>
    <font>
      <name val="Calibri"/>
      <family val="2"/>
      <b val="1"/>
      <color rgb="FFA64D79"/>
      <sz val="24"/>
    </font>
    <font>
      <name val="Calibri"/>
      <family val="2"/>
      <b val="1"/>
      <color rgb="FF7F7F7F"/>
      <sz val="24"/>
    </font>
    <font>
      <name val="Calibri"/>
      <family val="2"/>
      <b val="1"/>
      <color rgb="FF7F6000"/>
      <sz val="12"/>
    </font>
    <font>
      <name val="Calibri"/>
      <family val="2"/>
      <b val="1"/>
      <color rgb="FF002060"/>
      <sz val="9"/>
    </font>
    <font>
      <name val="Calibri"/>
      <family val="2"/>
      <color rgb="FF002060"/>
      <sz val="11"/>
      <scheme val="minor"/>
    </font>
    <font>
      <name val="Calibri"/>
      <family val="2"/>
      <b val="1"/>
      <color rgb="FF1F4E78"/>
      <sz val="10"/>
    </font>
    <font>
      <name val="Calibri"/>
      <family val="2"/>
      <b val="1"/>
      <color rgb="FF1F4E78"/>
      <sz val="26"/>
    </font>
    <font>
      <name val="Calibri"/>
      <family val="2"/>
      <b val="1"/>
      <color rgb="FF5B9BD5"/>
      <sz val="26"/>
    </font>
    <font>
      <name val="Calibri"/>
      <family val="2"/>
      <b val="1"/>
      <color rgb="FFBF9000"/>
      <sz val="26"/>
    </font>
    <font>
      <name val="Calibri"/>
      <family val="2"/>
      <b val="1"/>
      <color rgb="FFA64D79"/>
      <sz val="26"/>
    </font>
    <font>
      <name val="Calibri"/>
      <family val="2"/>
      <b val="1"/>
      <color rgb="FF7F7F7F"/>
      <sz val="26"/>
    </font>
    <font>
      <name val="Calibri"/>
      <family val="2"/>
      <i val="1"/>
      <color rgb="FF002060"/>
      <sz val="9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3F6FA"/>
      </patternFill>
    </fill>
    <fill>
      <patternFill patternType="solid">
        <fgColor rgb="FFFFFFFF"/>
      </patternFill>
    </fill>
  </fills>
  <borders count="6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ck">
        <color rgb="FF1F4E78"/>
      </top>
      <bottom/>
      <diagonal/>
    </border>
    <border>
      <left/>
      <right style="thin">
        <color rgb="FFD9D9D9"/>
      </right>
      <top style="thick">
        <color rgb="FF1F4E78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ck">
        <color rgb="FF2E7D32"/>
      </top>
      <bottom/>
      <diagonal/>
    </border>
    <border>
      <left/>
      <right style="thin">
        <color rgb="FFD9D9D9"/>
      </right>
      <top style="thick">
        <color rgb="FF2E7D32"/>
      </top>
      <bottom/>
      <diagonal/>
    </border>
    <border>
      <left/>
      <right/>
      <top style="thick">
        <color rgb="FFC55A11"/>
      </top>
      <bottom/>
      <diagonal/>
    </border>
    <border>
      <left/>
      <right style="thin">
        <color rgb="FFD9D9D9"/>
      </right>
      <top style="thick">
        <color rgb="FFC55A11"/>
      </top>
      <bottom/>
      <diagonal/>
    </border>
    <border>
      <left style="thick">
        <color rgb="FF1F4E78"/>
      </left>
      <right/>
      <top/>
      <bottom/>
      <diagonal/>
    </border>
    <border>
      <left style="thick">
        <color rgb="FF2E7D32"/>
      </left>
      <right/>
      <top/>
      <bottom/>
      <diagonal/>
    </border>
    <border>
      <left style="thick">
        <color rgb="FFC55A11"/>
      </left>
      <right/>
      <top/>
      <bottom/>
      <diagonal/>
    </border>
    <border>
      <left style="thin">
        <color rgb="FFD9D9D9"/>
      </left>
      <right style="thin">
        <color rgb="FFD9D9D9"/>
      </right>
      <top style="thick">
        <color rgb="FF1F4E78"/>
      </top>
      <bottom/>
      <diagonal/>
    </border>
    <border>
      <left style="thin">
        <color rgb="FFD9D9D9"/>
      </left>
      <right style="thin">
        <color rgb="FFD9D9D9"/>
      </right>
      <top style="thick">
        <color rgb="FF2E7D32"/>
      </top>
      <bottom/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ck">
        <color rgb="FFC55A11"/>
      </top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1F4E78"/>
      </bottom>
      <diagonal/>
    </border>
    <border>
      <left/>
      <right style="thin">
        <color rgb="FFD9D9D9"/>
      </right>
      <top style="thick">
        <color rgb="FF5B9BD5"/>
      </top>
      <bottom/>
      <diagonal/>
    </border>
    <border>
      <left/>
      <right style="thin">
        <color rgb="FFD9D9D9"/>
      </right>
      <top style="thick">
        <color rgb="FFFFC000"/>
      </top>
      <bottom/>
      <diagonal/>
    </border>
    <border>
      <left/>
      <right style="thin">
        <color rgb="FFD9D9D9"/>
      </right>
      <top style="thick">
        <color rgb="FFA64D79"/>
      </top>
      <bottom/>
      <diagonal/>
    </border>
    <border>
      <left/>
      <right style="thin">
        <color rgb="FFD9D9D9"/>
      </right>
      <top style="thick">
        <color rgb="FF7F7F7F"/>
      </top>
      <bottom/>
      <diagonal/>
    </border>
    <border>
      <left style="thin">
        <color rgb="FFD9D9D9"/>
      </left>
      <right style="thin">
        <color rgb="FFD9D9D9"/>
      </right>
      <top style="thick">
        <color rgb="FF5B9BD5"/>
      </top>
      <bottom/>
      <diagonal/>
    </border>
    <border>
      <left style="thin">
        <color rgb="FFD9D9D9"/>
      </left>
      <right style="thin">
        <color rgb="FFD9D9D9"/>
      </right>
      <top style="thick">
        <color rgb="FFFFC000"/>
      </top>
      <bottom/>
      <diagonal/>
    </border>
    <border>
      <left style="thin">
        <color rgb="FFD9D9D9"/>
      </left>
      <right style="thin">
        <color rgb="FFD9D9D9"/>
      </right>
      <top style="thick">
        <color rgb="FFA64D79"/>
      </top>
      <bottom/>
      <diagonal/>
    </border>
    <border>
      <left style="thin">
        <color rgb="FFD9D9D9"/>
      </left>
      <right style="thin">
        <color rgb="FFD9D9D9"/>
      </right>
      <top style="thick">
        <color rgb="FF7F7F7F"/>
      </top>
      <bottom/>
      <diagonal/>
    </border>
    <border>
      <left/>
      <right/>
      <top style="thick">
        <color rgb="FF1F4E78"/>
      </top>
      <bottom/>
      <diagonal/>
    </border>
    <border>
      <left/>
      <right style="thin">
        <color rgb="FFD9D9D9"/>
      </right>
      <top style="thick">
        <color rgb="FF1F4E78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ck">
        <color rgb="FF5B9BD5"/>
      </top>
      <bottom/>
      <diagonal/>
    </border>
    <border>
      <left/>
      <right style="thin">
        <color rgb="FFD9D9D9"/>
      </right>
      <top style="thick">
        <color rgb="FF5B9BD5"/>
      </top>
      <bottom/>
      <diagonal/>
    </border>
    <border>
      <left/>
      <right/>
      <top style="thick">
        <color rgb="FFBF9000"/>
      </top>
      <bottom/>
      <diagonal/>
    </border>
    <border>
      <left/>
      <right style="thin">
        <color rgb="FFD9D9D9"/>
      </right>
      <top style="thick">
        <color rgb="FFBF9000"/>
      </top>
      <bottom/>
      <diagonal/>
    </border>
    <border>
      <left/>
      <right/>
      <top style="thick">
        <color rgb="FFA64D79"/>
      </top>
      <bottom/>
      <diagonal/>
    </border>
    <border>
      <left/>
      <right style="thin">
        <color rgb="FFD9D9D9"/>
      </right>
      <top style="thick">
        <color rgb="FFA64D79"/>
      </top>
      <bottom/>
      <diagonal/>
    </border>
    <border>
      <left/>
      <right/>
      <top style="thick">
        <color rgb="FF7F7F7F"/>
      </top>
      <bottom/>
      <diagonal/>
    </border>
    <border>
      <left/>
      <right style="thin">
        <color rgb="FFD9D9D9"/>
      </right>
      <top style="thick">
        <color rgb="FF7F7F7F"/>
      </top>
      <bottom/>
      <diagonal/>
    </border>
    <border>
      <left style="thin">
        <color rgb="FFD9D9D9"/>
      </left>
      <right style="thin">
        <color rgb="FFD9D9D9"/>
      </right>
      <top style="thick">
        <color rgb="FF5B9BD5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ck">
        <color rgb="FF1F4E78"/>
      </top>
      <bottom/>
      <diagonal/>
    </border>
    <border>
      <left style="thin">
        <color rgb="FFD9D9D9"/>
      </left>
      <right style="thin">
        <color rgb="FFD9D9D9"/>
      </right>
      <top style="thick">
        <color rgb="FF7F7F7F"/>
      </top>
      <bottom/>
      <diagonal/>
    </border>
    <border>
      <left style="thin">
        <color rgb="FFD9D9D9"/>
      </left>
      <right style="thin">
        <color rgb="FFD9D9D9"/>
      </right>
      <top style="thick">
        <color rgb="FFA64D79"/>
      </top>
      <bottom/>
      <diagonal/>
    </border>
    <border>
      <left style="thin">
        <color rgb="FFD9D9D9"/>
      </left>
      <right style="thin">
        <color rgb="FFD9D9D9"/>
      </right>
      <top style="thick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/>
      <right style="medium">
        <color rgb="FFBF9000"/>
      </right>
      <top style="medium">
        <color rgb="FFBF9000"/>
      </top>
      <bottom/>
      <diagonal/>
    </border>
    <border>
      <left/>
      <right/>
      <top style="thick">
        <color rgb="FFFFC000"/>
      </top>
      <bottom/>
      <diagonal/>
    </border>
    <border>
      <left/>
      <right/>
      <top style="thin">
        <color rgb="FFBF9000"/>
      </top>
      <bottom/>
      <diagonal/>
    </border>
    <border>
      <left/>
      <right style="thin">
        <color rgb="FFBF9000"/>
      </right>
      <top style="thin">
        <color rgb="FFBF9000"/>
      </top>
      <bottom/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65" fontId="0" fillId="0" borderId="1" pivotButton="0" quotePrefix="0" xfId="0"/>
    <xf numFmtId="22" fontId="0" fillId="0" borderId="1" pivotButton="0" quotePrefix="0" xfId="0"/>
    <xf numFmtId="0" fontId="16" fillId="3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165" fontId="1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 indent="1"/>
    </xf>
    <xf numFmtId="0" fontId="21" fillId="6" borderId="13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3" fillId="6" borderId="15" applyAlignment="1" pivotButton="0" quotePrefix="0" xfId="0">
      <alignment horizontal="center" vertical="center"/>
    </xf>
    <xf numFmtId="22" fontId="17" fillId="0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1" fontId="0" fillId="0" borderId="1" pivotButton="0" quotePrefix="0" xfId="0"/>
    <xf numFmtId="22" fontId="4" fillId="0" borderId="1" pivotButton="0" quotePrefix="0" xfId="0"/>
    <xf numFmtId="165" fontId="4" fillId="0" borderId="1" pivotButton="0" quotePrefix="0" xfId="0"/>
    <xf numFmtId="49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right"/>
    </xf>
    <xf numFmtId="0" fontId="15" fillId="0" borderId="0" pivotButton="0" quotePrefix="0" xfId="0"/>
    <xf numFmtId="1" fontId="4" fillId="0" borderId="1" pivotButton="0" quotePrefix="0" xfId="0"/>
    <xf numFmtId="0" fontId="26" fillId="0" borderId="0" applyAlignment="1" pivotButton="0" quotePrefix="0" xfId="0">
      <alignment horizontal="right" vertical="top"/>
    </xf>
    <xf numFmtId="0" fontId="26" fillId="0" borderId="0" applyAlignment="1" pivotButton="0" quotePrefix="0" xfId="0">
      <alignment vertical="top" wrapText="1"/>
    </xf>
    <xf numFmtId="0" fontId="21" fillId="6" borderId="15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/>
    </xf>
    <xf numFmtId="0" fontId="34" fillId="5" borderId="1" pivotButton="0" quotePrefix="0" xfId="0"/>
    <xf numFmtId="22" fontId="34" fillId="5" borderId="1" applyAlignment="1" pivotButton="0" quotePrefix="0" xfId="0">
      <alignment horizontal="center"/>
    </xf>
    <xf numFmtId="165" fontId="34" fillId="5" borderId="1" pivotButton="0" quotePrefix="0" xfId="0"/>
    <xf numFmtId="14" fontId="0" fillId="0" borderId="1" applyAlignment="1" pivotButton="0" quotePrefix="0" xfId="0">
      <alignment horizontal="center"/>
    </xf>
    <xf numFmtId="165" fontId="9" fillId="4" borderId="2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6" fillId="3" borderId="0" applyAlignment="1" pivotButton="0" quotePrefix="0" xfId="0">
      <alignment vertical="top" indent="1"/>
    </xf>
    <xf numFmtId="3" fontId="42" fillId="7" borderId="5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6" pivotButton="0" quotePrefix="0" xfId="0"/>
    <xf numFmtId="0" fontId="0" fillId="0" borderId="8" pivotButton="0" quotePrefix="0" xfId="0"/>
    <xf numFmtId="0" fontId="0" fillId="0" borderId="4" pivotButton="0" quotePrefix="0" xfId="0"/>
    <xf numFmtId="0" fontId="35" fillId="4" borderId="1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3" borderId="0" applyAlignment="1" pivotButton="0" quotePrefix="0" xfId="0">
      <alignment indent="1"/>
    </xf>
    <xf numFmtId="166" fontId="9" fillId="4" borderId="21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/>
    </xf>
    <xf numFmtId="0" fontId="37" fillId="0" borderId="0" pivotButton="0" quotePrefix="0" xfId="0"/>
    <xf numFmtId="3" fontId="12" fillId="4" borderId="21" applyAlignment="1" pivotButton="0" quotePrefix="0" xfId="0">
      <alignment horizontal="center" vertical="center"/>
    </xf>
    <xf numFmtId="3" fontId="38" fillId="7" borderId="50" applyAlignment="1" pivotButton="0" quotePrefix="0" xfId="0">
      <alignment horizontal="center" vertical="center"/>
    </xf>
    <xf numFmtId="3" fontId="40" fillId="7" borderId="50" applyAlignment="1" pivotButton="0" quotePrefix="0" xfId="0">
      <alignment horizontal="center" vertical="center"/>
    </xf>
    <xf numFmtId="0" fontId="35" fillId="4" borderId="2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3" fontId="41" fillId="7" borderId="50" applyAlignment="1" pivotButton="0" quotePrefix="0" xfId="0">
      <alignment horizontal="center" vertical="center"/>
    </xf>
    <xf numFmtId="22" fontId="8" fillId="0" borderId="0" applyAlignment="1" pivotButton="0" quotePrefix="0" xfId="0">
      <alignment horizontal="left"/>
    </xf>
    <xf numFmtId="3" fontId="11" fillId="4" borderId="21" applyAlignment="1" pivotButton="0" quotePrefix="0" xfId="0">
      <alignment horizontal="center" vertical="center"/>
    </xf>
    <xf numFmtId="0" fontId="7" fillId="0" borderId="0" pivotButton="0" quotePrefix="0" xfId="0"/>
    <xf numFmtId="3" fontId="9" fillId="4" borderId="21" applyAlignment="1" pivotButton="0" quotePrefix="0" xfId="0">
      <alignment horizontal="center" vertical="center"/>
    </xf>
    <xf numFmtId="0" fontId="35" fillId="4" borderId="1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39" fillId="7" borderId="50" applyAlignment="1" pivotButton="0" quotePrefix="0" xfId="0">
      <alignment horizontal="center" vertical="center"/>
    </xf>
    <xf numFmtId="0" fontId="25" fillId="0" borderId="25" pivotButton="0" quotePrefix="0" xfId="0"/>
    <xf numFmtId="0" fontId="0" fillId="0" borderId="25" pivotButton="0" quotePrefix="0" xfId="0"/>
    <xf numFmtId="0" fontId="5" fillId="3" borderId="0" applyAlignment="1" pivotButton="0" quotePrefix="0" xfId="0">
      <alignment vertical="center" indent="1"/>
    </xf>
    <xf numFmtId="0" fontId="17" fillId="0" borderId="0" applyAlignment="1" pivotButton="0" quotePrefix="0" xfId="0">
      <alignment horizontal="left" vertical="center" indent="1"/>
    </xf>
    <xf numFmtId="0" fontId="7" fillId="4" borderId="16" applyAlignment="1" pivotButton="0" quotePrefix="0" xfId="0">
      <alignment horizontal="center" vertical="center"/>
    </xf>
    <xf numFmtId="9" fontId="17" fillId="0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/>
    </xf>
    <xf numFmtId="0" fontId="7" fillId="4" borderId="17" applyAlignment="1" pivotButton="0" quotePrefix="0" xfId="0">
      <alignment horizontal="center" vertical="center"/>
    </xf>
    <xf numFmtId="0" fontId="15" fillId="0" borderId="25" pivotButton="0" quotePrefix="0" xfId="0"/>
    <xf numFmtId="0" fontId="14" fillId="0" borderId="0" applyAlignment="1" pivotButton="0" quotePrefix="0" xfId="0">
      <alignment horizontal="right" vertical="center"/>
    </xf>
    <xf numFmtId="0" fontId="13" fillId="5" borderId="18" applyAlignment="1" pivotButton="0" quotePrefix="0" xfId="0">
      <alignment vertical="center" indent="1"/>
    </xf>
    <xf numFmtId="0" fontId="0" fillId="0" borderId="19" pivotButton="0" quotePrefix="0" xfId="0"/>
    <xf numFmtId="0" fontId="0" fillId="0" borderId="20" pivotButton="0" quotePrefix="0" xfId="0"/>
    <xf numFmtId="0" fontId="7" fillId="4" borderId="22" applyAlignment="1" pivotButton="0" quotePrefix="0" xfId="0">
      <alignment horizontal="center" vertical="center"/>
    </xf>
    <xf numFmtId="0" fontId="0" fillId="4" borderId="7" pivotButton="0" quotePrefix="0" xfId="0"/>
    <xf numFmtId="0" fontId="27" fillId="4" borderId="30" applyAlignment="1" pivotButton="0" quotePrefix="0" xfId="0">
      <alignment horizontal="center" vertical="center" wrapText="1"/>
    </xf>
    <xf numFmtId="0" fontId="0" fillId="0" borderId="26" pivotButton="0" quotePrefix="0" xfId="0"/>
    <xf numFmtId="167" fontId="10" fillId="4" borderId="7" applyAlignment="1" pivotButton="0" quotePrefix="0" xfId="0">
      <alignment horizontal="center" vertical="center" wrapText="1"/>
    </xf>
    <xf numFmtId="0" fontId="27" fillId="4" borderId="31" applyAlignment="1" pivotButton="0" quotePrefix="0" xfId="0">
      <alignment horizontal="center" vertical="center" wrapText="1"/>
    </xf>
    <xf numFmtId="0" fontId="0" fillId="0" borderId="27" pivotButton="0" quotePrefix="0" xfId="0"/>
    <xf numFmtId="3" fontId="28" fillId="4" borderId="21" applyAlignment="1" pivotButton="0" quotePrefix="0" xfId="0">
      <alignment horizontal="center" vertical="center" wrapText="1"/>
    </xf>
    <xf numFmtId="3" fontId="29" fillId="4" borderId="21" applyAlignment="1" pivotButton="0" quotePrefix="0" xfId="0">
      <alignment horizontal="center" vertical="center" wrapText="1"/>
    </xf>
    <xf numFmtId="3" fontId="31" fillId="4" borderId="21" applyAlignment="1" pivotButton="0" quotePrefix="0" xfId="0">
      <alignment horizontal="center" vertical="center" wrapText="1"/>
    </xf>
    <xf numFmtId="3" fontId="32" fillId="4" borderId="21" applyAlignment="1" pivotButton="0" quotePrefix="0" xfId="0">
      <alignment horizontal="center" vertical="center" wrapText="1"/>
    </xf>
    <xf numFmtId="0" fontId="27" fillId="4" borderId="32" applyAlignment="1" pivotButton="0" quotePrefix="0" xfId="0">
      <alignment horizontal="center" vertical="center" wrapText="1"/>
    </xf>
    <xf numFmtId="0" fontId="0" fillId="0" borderId="28" pivotButton="0" quotePrefix="0" xfId="0"/>
    <xf numFmtId="0" fontId="27" fillId="4" borderId="33" applyAlignment="1" pivotButton="0" quotePrefix="0" xfId="0">
      <alignment horizontal="center" vertical="center" wrapText="1"/>
    </xf>
    <xf numFmtId="0" fontId="0" fillId="0" borderId="29" pivotButton="0" quotePrefix="0" xfId="0"/>
    <xf numFmtId="0" fontId="27" fillId="4" borderId="22" applyAlignment="1" pivotButton="0" quotePrefix="0" xfId="0">
      <alignment horizontal="center" vertical="center" wrapText="1"/>
    </xf>
    <xf numFmtId="3" fontId="30" fillId="4" borderId="21" applyAlignment="1" pivotButton="0" quotePrefix="0" xfId="0">
      <alignment horizontal="center" vertical="center" wrapText="1"/>
    </xf>
    <xf numFmtId="3" fontId="33" fillId="4" borderId="21" applyAlignment="1" pivotButton="0" quotePrefix="0" xfId="0">
      <alignment horizontal="center" vertical="center" wrapText="1"/>
    </xf>
    <xf numFmtId="0" fontId="27" fillId="4" borderId="16" applyAlignment="1" pivotButton="0" quotePrefix="0" xfId="0">
      <alignment horizontal="center" vertical="center" wrapText="1"/>
    </xf>
    <xf numFmtId="0" fontId="10" fillId="0" borderId="0" pivotButton="0" quotePrefix="0" xfId="0"/>
    <xf numFmtId="0" fontId="24" fillId="0" borderId="0" pivotButton="0" quotePrefix="0" xfId="0"/>
    <xf numFmtId="0" fontId="19" fillId="5" borderId="23" applyAlignment="1" pivotButton="0" quotePrefix="0" xfId="0">
      <alignment vertical="center" indent="1"/>
    </xf>
    <xf numFmtId="0" fontId="0" fillId="0" borderId="24" pivotButton="0" quotePrefix="0" xfId="0"/>
    <xf numFmtId="0" fontId="18" fillId="0" borderId="0" applyAlignment="1" pivotButton="0" quotePrefix="0" xfId="0">
      <alignment horizontal="right" vertical="center" indent="1"/>
    </xf>
    <xf numFmtId="0" fontId="35" fillId="7" borderId="51" applyAlignment="1" pivotButton="0" quotePrefix="0" xfId="0">
      <alignment horizontal="center" vertical="center"/>
    </xf>
    <xf numFmtId="0" fontId="36" fillId="0" borderId="34" pivotButton="0" quotePrefix="0" xfId="0"/>
    <xf numFmtId="0" fontId="36" fillId="0" borderId="35" pivotButton="0" quotePrefix="0" xfId="0"/>
    <xf numFmtId="0" fontId="35" fillId="7" borderId="49" applyAlignment="1" pivotButton="0" quotePrefix="0" xfId="0">
      <alignment horizontal="center" vertical="center"/>
    </xf>
    <xf numFmtId="0" fontId="36" fillId="0" borderId="41" pivotButton="0" quotePrefix="0" xfId="0"/>
    <xf numFmtId="0" fontId="36" fillId="0" borderId="42" pivotButton="0" quotePrefix="0" xfId="0"/>
    <xf numFmtId="0" fontId="35" fillId="7" borderId="54" applyAlignment="1" pivotButton="0" quotePrefix="0" xfId="0">
      <alignment horizontal="center" vertical="center"/>
    </xf>
    <xf numFmtId="0" fontId="36" fillId="0" borderId="43" pivotButton="0" quotePrefix="0" xfId="0"/>
    <xf numFmtId="0" fontId="36" fillId="0" borderId="44" pivotButton="0" quotePrefix="0" xfId="0"/>
    <xf numFmtId="0" fontId="35" fillId="7" borderId="53" applyAlignment="1" pivotButton="0" quotePrefix="0" xfId="0">
      <alignment horizontal="center" vertical="center"/>
    </xf>
    <xf numFmtId="0" fontId="36" fillId="0" borderId="45" pivotButton="0" quotePrefix="0" xfId="0"/>
    <xf numFmtId="0" fontId="36" fillId="0" borderId="46" pivotButton="0" quotePrefix="0" xfId="0"/>
    <xf numFmtId="0" fontId="35" fillId="7" borderId="52" applyAlignment="1" pivotButton="0" quotePrefix="0" xfId="0">
      <alignment horizontal="center" vertical="center"/>
    </xf>
    <xf numFmtId="0" fontId="36" fillId="0" borderId="47" pivotButton="0" quotePrefix="0" xfId="0"/>
    <xf numFmtId="0" fontId="36" fillId="0" borderId="48" pivotButton="0" quotePrefix="0" xfId="0"/>
    <xf numFmtId="0" fontId="36" fillId="0" borderId="0" pivotButton="0" quotePrefix="0" xfId="0"/>
    <xf numFmtId="0" fontId="43" fillId="7" borderId="38" applyAlignment="1" pivotButton="0" quotePrefix="0" xfId="0">
      <alignment horizontal="center" vertical="center"/>
    </xf>
    <xf numFmtId="0" fontId="36" fillId="0" borderId="39" pivotButton="0" quotePrefix="0" xfId="0"/>
    <xf numFmtId="0" fontId="36" fillId="0" borderId="40" pivotButton="0" quotePrefix="0" xfId="0"/>
    <xf numFmtId="0" fontId="43" fillId="4" borderId="7" applyAlignment="1" pivotButton="0" quotePrefix="0" xfId="0">
      <alignment horizontal="center" vertical="center"/>
    </xf>
    <xf numFmtId="0" fontId="36" fillId="0" borderId="8" pivotButton="0" quotePrefix="0" xfId="0"/>
    <xf numFmtId="0" fontId="36" fillId="0" borderId="4" pivotButton="0" quotePrefix="0" xfId="0"/>
    <xf numFmtId="0" fontId="7" fillId="4" borderId="5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3" fontId="9" fillId="4" borderId="50" applyAlignment="1" pivotButton="0" quotePrefix="0" xfId="0">
      <alignment horizontal="center" vertical="center"/>
    </xf>
    <xf numFmtId="3" fontId="11" fillId="4" borderId="50" applyAlignment="1" pivotButton="0" quotePrefix="0" xfId="0">
      <alignment horizontal="center" vertical="center"/>
    </xf>
    <xf numFmtId="3" fontId="12" fillId="4" borderId="50" applyAlignment="1" pivotButton="0" quotePrefix="0" xfId="0">
      <alignment horizontal="center" vertical="center"/>
    </xf>
    <xf numFmtId="166" fontId="9" fillId="4" borderId="50" applyAlignment="1" pivotButton="0" quotePrefix="0" xfId="0">
      <alignment horizontal="center" vertical="center"/>
    </xf>
    <xf numFmtId="165" fontId="9" fillId="4" borderId="50" applyAlignment="1" pivotButton="0" quotePrefix="0" xfId="0">
      <alignment horizontal="center" vertical="center"/>
    </xf>
    <xf numFmtId="0" fontId="0" fillId="4" borderId="3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0" fillId="4" borderId="38" pivotButton="0" quotePrefix="0" xfId="0"/>
    <xf numFmtId="0" fontId="35" fillId="4" borderId="51" applyAlignment="1" pivotButton="0" quotePrefix="0" xfId="0">
      <alignment horizontal="center" vertical="center"/>
    </xf>
    <xf numFmtId="0" fontId="43" fillId="4" borderId="38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7" fillId="4" borderId="51" applyAlignment="1" pivotButton="0" quotePrefix="0" xfId="0">
      <alignment horizontal="center" vertical="center" wrapText="1"/>
    </xf>
    <xf numFmtId="0" fontId="27" fillId="4" borderId="49" applyAlignment="1" pivotButton="0" quotePrefix="0" xfId="0">
      <alignment horizontal="center" vertical="center" wrapText="1"/>
    </xf>
    <xf numFmtId="0" fontId="27" fillId="4" borderId="53" applyAlignment="1" pivotButton="0" quotePrefix="0" xfId="0">
      <alignment horizontal="center" vertical="center" wrapText="1"/>
    </xf>
    <xf numFmtId="0" fontId="27" fillId="4" borderId="52" applyAlignment="1" pivotButton="0" quotePrefix="0" xfId="0">
      <alignment horizontal="center" vertical="center" wrapText="1"/>
    </xf>
    <xf numFmtId="3" fontId="28" fillId="4" borderId="50" applyAlignment="1" pivotButton="0" quotePrefix="0" xfId="0">
      <alignment horizontal="center" vertical="center" wrapText="1"/>
    </xf>
    <xf numFmtId="3" fontId="29" fillId="4" borderId="50" applyAlignment="1" pivotButton="0" quotePrefix="0" xfId="0">
      <alignment horizontal="center" vertical="center" wrapText="1"/>
    </xf>
    <xf numFmtId="3" fontId="30" fillId="4" borderId="50" applyAlignment="1" pivotButton="0" quotePrefix="0" xfId="0">
      <alignment horizontal="center" vertical="center" wrapText="1"/>
    </xf>
    <xf numFmtId="3" fontId="31" fillId="4" borderId="50" applyAlignment="1" pivotButton="0" quotePrefix="0" xfId="0">
      <alignment horizontal="center" vertical="center" wrapText="1"/>
    </xf>
    <xf numFmtId="3" fontId="32" fillId="4" borderId="50" applyAlignment="1" pivotButton="0" quotePrefix="0" xfId="0">
      <alignment horizontal="center" vertical="center" wrapText="1"/>
    </xf>
    <xf numFmtId="3" fontId="33" fillId="4" borderId="50" applyAlignment="1" pivotButton="0" quotePrefix="0" xfId="0">
      <alignment horizontal="center" vertical="center" wrapText="1"/>
    </xf>
    <xf numFmtId="167" fontId="10" fillId="4" borderId="38" applyAlignment="1" pivotButton="0" quotePrefix="0" xfId="0">
      <alignment horizontal="center" vertical="center" wrapText="1"/>
    </xf>
  </cellXfs>
  <cellStyles count="1">
    <cellStyle name="Normal" xfId="0" builtinId="0"/>
  </cellStyles>
  <dxfs count="17">
    <dxf>
      <font>
        <name val="Calibri"/>
        <b val="1"/>
        <color rgb="FF006100"/>
      </font>
      <fill>
        <patternFill patternType="solid">
          <fgColor rgb="FFC6EFCE"/>
        </patternFill>
      </fill>
    </dxf>
    <dxf>
      <font>
        <name val="Calibri"/>
        <b val="1"/>
        <color rgb="FF1F4E78"/>
      </font>
      <fill>
        <patternFill patternType="solid">
          <fgColor rgb="FFDDEBF7"/>
        </patternFill>
      </fill>
    </dxf>
    <dxf>
      <font>
        <name val="Calibri"/>
        <b val="1"/>
        <color rgb="FF9C5700"/>
      </font>
      <fill>
        <patternFill patternType="solid">
          <fgColor rgb="FFFFEB9C"/>
        </patternFill>
      </fill>
    </dxf>
    <dxf>
      <font>
        <name val="Calibri"/>
        <b val="1"/>
        <color rgb="FF006100"/>
      </font>
      <fill>
        <patternFill patternType="solid">
          <fgColor rgb="FFC6EFCE"/>
        </patternFill>
      </fill>
    </dxf>
    <dxf>
      <font>
        <name val="Calibri"/>
        <b val="1"/>
        <color rgb="FF006100"/>
      </font>
      <fill>
        <patternFill patternType="solid">
          <fgColor rgb="FFC6EFCE"/>
        </patternFill>
      </fill>
    </dxf>
    <dxf>
      <border>
        <bottom style="thin">
          <color rgb="FFD9D9D9"/>
        </bottom>
      </border>
    </dxf>
    <dxf>
      <fill>
        <patternFill patternType="solid">
          <fgColor rgb="FFF3F6FA"/>
        </patternFill>
      </fill>
    </dxf>
    <dxf>
      <font>
        <name val="Calibri"/>
        <b val="1"/>
        <color rgb="FF9C5700"/>
      </font>
      <fill>
        <patternFill patternType="solid">
          <fgColor rgb="FFFFEB9C"/>
        </patternFill>
      </fill>
    </dxf>
    <dxf>
      <font>
        <name val="Calibri"/>
        <b val="1"/>
        <color rgb="FF006100"/>
      </font>
      <fill>
        <patternFill patternType="solid">
          <fgColor rgb="FFC6EFCE"/>
        </patternFill>
      </fill>
    </dxf>
    <dxf>
      <font>
        <name val="Calibri"/>
        <b val="1"/>
        <color rgb="FF006100"/>
      </font>
      <fill>
        <patternFill patternType="solid">
          <fgColor rgb="FFC6EFCE"/>
        </patternFill>
      </fill>
    </dxf>
    <dxf>
      <border>
        <bottom style="thin">
          <color rgb="FFD9D9D9"/>
        </bottom>
      </border>
    </dxf>
    <dxf>
      <fill>
        <patternFill patternType="solid">
          <fgColor rgb="FFF3F6FA"/>
        </patternFill>
      </fill>
    </dxf>
    <dxf>
      <font>
        <name val="Calibri"/>
        <b val="1"/>
        <color rgb="FF1F4E78"/>
      </font>
      <fill>
        <patternFill patternType="solid">
          <fgColor rgb="FFDDEBF7"/>
        </patternFill>
      </fill>
    </dxf>
    <dxf>
      <font>
        <name val="Calibri"/>
        <b val="1"/>
        <color rgb="FF9C5700"/>
      </font>
      <fill>
        <patternFill patternType="solid">
          <fgColor rgb="FFFFEB9C"/>
        </patternFill>
      </fill>
    </dxf>
    <dxf>
      <font>
        <name val="Calibri"/>
        <b val="1"/>
        <color rgb="FF006100"/>
      </font>
      <fill>
        <patternFill patternType="solid">
          <fgColor rgb="FFC6EFCE"/>
        </patternFill>
      </fill>
    </dxf>
    <dxf>
      <font>
        <name val="Calibri"/>
        <b val="1"/>
        <color rgb="FF006100"/>
      </font>
      <fill>
        <patternFill patternType="solid">
          <fgColor rgb="FFC6EFCE"/>
        </patternFill>
      </fill>
    </dxf>
    <dxf>
      <font>
        <name val="Calibri"/>
        <i val="1"/>
        <strike val="1"/>
        <color rgb="00A6A6A6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Avance global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v>Colaboradores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E8-48CF-9A06-384F5229F1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E8-48CF-9A06-384F5229F19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Cálculos!$A$115:$A$116</c:f>
              <c:strCache>
                <c:ptCount val="2"/>
                <c:pt idx="0">
                  <c:v>Completados</c:v>
                </c:pt>
                <c:pt idx="1">
                  <c:v>Pendientes</c:v>
                </c:pt>
              </c:strCache>
            </c:strRef>
          </c:cat>
          <c:val>
            <c:numRef>
              <c:f>Cálculos!$B$115:$B$116</c:f>
              <c:numCache>
                <c:formatCode>General</c:formatCode>
                <c:ptCount val="2"/>
                <c:pt idx="0">
                  <c:v>275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8-48CF-9A06-384F5229F19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1"/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rgbClr val="1F4E78"/>
                </a:solidFill>
                <a:latin typeface="Calibri"/>
                <a:ea typeface="+mn-ea"/>
                <a:cs typeface="+mn-cs"/>
              </a:defRPr>
            </a:pPr>
            <a:r>
              <a:rPr lang="es-SV" sz="1300" b="1">
                <a:solidFill>
                  <a:srgbClr val="1F4E78"/>
                </a:solidFill>
                <a:latin typeface="Calibri"/>
              </a:rPr>
              <a:t>Cumplimiento por gerencia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695998510075142"/>
          <c:y val="0.16168306232303414"/>
          <c:w val="0.63128055674367245"/>
          <c:h val="0.7977763932148419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Cálculos!$L$4</c:f>
              <c:strCache>
                <c:ptCount val="1"/>
                <c:pt idx="0">
                  <c:v>Completados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"/>
                    <a:ea typeface="+mn-ea"/>
                    <a:cs typeface="+mn-cs"/>
                  </a:defRPr>
                </a:pPr>
                <a:endParaRPr lang="es-SV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Cálculos!$K$5:$K$14</c:f>
              <c:strCache>
                <c:ptCount val="10"/>
                <c:pt idx="0">
                  <c:v>Gerencia Administrativa   100%</c:v>
                </c:pt>
                <c:pt idx="1">
                  <c:v>Gerencia de Sistemas   100%</c:v>
                </c:pt>
                <c:pt idx="2">
                  <c:v>Gerencia General   100%</c:v>
                </c:pt>
                <c:pt idx="3">
                  <c:v>Gerencia Legal y Cumplimiento Normativo   100%</c:v>
                </c:pt>
                <c:pt idx="4">
                  <c:v>Auditoría Interna   100%</c:v>
                </c:pt>
                <c:pt idx="5">
                  <c:v>Gerencia de Oficialía de Cumplimiento   100%</c:v>
                </c:pt>
                <c:pt idx="6">
                  <c:v>Consejo de Administración   100%</c:v>
                </c:pt>
                <c:pt idx="7">
                  <c:v>Gerencia de Negocios   97%</c:v>
                </c:pt>
                <c:pt idx="8">
                  <c:v>Gerencia de Finanzas y Planificación   94%</c:v>
                </c:pt>
                <c:pt idx="9">
                  <c:v>Gerencia de Operaciones   92%</c:v>
                </c:pt>
              </c:strCache>
            </c:strRef>
          </c:cat>
          <c:val>
            <c:numRef>
              <c:f>Cálculos!$L$5:$L$14</c:f>
              <c:numCache>
                <c:formatCode>General</c:formatCode>
                <c:ptCount val="10"/>
                <c:pt idx="0">
                  <c:v>34</c:v>
                </c:pt>
                <c:pt idx="1">
                  <c:v>22</c:v>
                </c:pt>
                <c:pt idx="2">
                  <c:v>13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1</c:v>
                </c:pt>
                <c:pt idx="7">
                  <c:v>143</c:v>
                </c:pt>
                <c:pt idx="8">
                  <c:v>17</c:v>
                </c:pt>
                <c:pt idx="9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ABF-456D-B756-6CA27A2BA999}"/>
            </c:ext>
          </c:extLst>
        </c:ser>
        <c:ser>
          <c:idx val="1"/>
          <c:order val="1"/>
          <c:tx>
            <c:strRef>
              <c:f>Cálculos!$M$4</c:f>
              <c:strCache>
                <c:ptCount val="1"/>
                <c:pt idx="0">
                  <c:v>Pendientes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libri"/>
                    <a:ea typeface="+mn-ea"/>
                    <a:cs typeface="+mn-cs"/>
                  </a:defRPr>
                </a:pPr>
                <a:endParaRPr lang="es-SV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Cálculos!$K$5:$K$14</c:f>
              <c:strCache>
                <c:ptCount val="10"/>
                <c:pt idx="0">
                  <c:v>Gerencia Administrativa   100%</c:v>
                </c:pt>
                <c:pt idx="1">
                  <c:v>Gerencia de Sistemas   100%</c:v>
                </c:pt>
                <c:pt idx="2">
                  <c:v>Gerencia General   100%</c:v>
                </c:pt>
                <c:pt idx="3">
                  <c:v>Gerencia Legal y Cumplimiento Normativo   100%</c:v>
                </c:pt>
                <c:pt idx="4">
                  <c:v>Auditoría Interna   100%</c:v>
                </c:pt>
                <c:pt idx="5">
                  <c:v>Gerencia de Oficialía de Cumplimiento   100%</c:v>
                </c:pt>
                <c:pt idx="6">
                  <c:v>Consejo de Administración   100%</c:v>
                </c:pt>
                <c:pt idx="7">
                  <c:v>Gerencia de Negocios   97%</c:v>
                </c:pt>
                <c:pt idx="8">
                  <c:v>Gerencia de Finanzas y Planificación   94%</c:v>
                </c:pt>
                <c:pt idx="9">
                  <c:v>Gerencia de Operaciones   92%</c:v>
                </c:pt>
              </c:strCache>
            </c:strRef>
          </c:cat>
          <c:val>
            <c:numRef>
              <c:f>Cálculos!$M$5:$M$14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AABF-456D-B756-6CA27A2BA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+mn-ea"/>
                <a:cs typeface="+mn-cs"/>
              </a:defRPr>
            </a:pPr>
            <a:endParaRPr lang="es-SV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2060"/>
              </a:solidFill>
              <a:latin typeface="Calibri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300" b="1">
                <a:solidFill>
                  <a:srgbClr val="1F4E78"/>
                </a:solidFill>
                <a:latin typeface="Calibri"/>
              </a:defRPr>
            </a:pPr>
            <a:r>
              <a:rPr lang="es-SV" sz="1300" b="1">
                <a:solidFill>
                  <a:srgbClr val="1F4E78"/>
                </a:solidFill>
                <a:latin typeface="Calibri"/>
              </a:rPr>
              <a:t>Colaboradores pendientes por gerencia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Cálculos!$R$4</c:f>
              <c:strCache>
                <c:ptCount val="1"/>
                <c:pt idx="0">
                  <c:v>Pendientes</c:v>
                </c:pt>
              </c:strCache>
            </c:strRef>
          </c:tx>
          <c:spPr>
            <a:solidFill>
              <a:srgbClr val="C55A11"/>
            </a:solidFill>
            <a:ln>
              <a:solidFill>
                <a:srgbClr val="C55A11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  <a:latin typeface="Calibri"/>
                  </a:defRPr>
                </a:pPr>
                <a:endParaRPr lang="es-S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Cálculos!$Q$5:$Q$14</c:f>
              <c:strCache>
                <c:ptCount val="10"/>
                <c:pt idx="0">
                  <c:v>Gerencia de Negocios</c:v>
                </c:pt>
                <c:pt idx="1">
                  <c:v>Gerencia de Operaciones</c:v>
                </c:pt>
                <c:pt idx="2">
                  <c:v>Gerencia de Finanzas y Planificación</c:v>
                </c:pt>
                <c:pt idx="3">
                  <c:v>Auditoría Interna</c:v>
                </c:pt>
                <c:pt idx="4">
                  <c:v>Consejo de Administración</c:v>
                </c:pt>
                <c:pt idx="5">
                  <c:v>Gerencia Administrativa</c:v>
                </c:pt>
                <c:pt idx="6">
                  <c:v>Gerencia de Oficialía de Cumplimiento</c:v>
                </c:pt>
                <c:pt idx="7">
                  <c:v>Gerencia de Sistemas</c:v>
                </c:pt>
                <c:pt idx="8">
                  <c:v>Gerencia General</c:v>
                </c:pt>
                <c:pt idx="9">
                  <c:v>Gerencia Legal y Cumplimiento Normativo</c:v>
                </c:pt>
              </c:strCache>
            </c:strRef>
          </c:cat>
          <c:val>
            <c:numRef>
              <c:f>Cálculos!$R$5:$R$14</c:f>
              <c:numCache>
                <c:formatCode>General</c:formatCode>
                <c:ptCount val="10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55A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B23-4DEC-BA85-707B35499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Calibri"/>
              </a:defRPr>
            </a:pPr>
            <a:endParaRPr lang="es-SV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300" b="1">
                <a:solidFill>
                  <a:srgbClr val="1F4E78"/>
                </a:solidFill>
                <a:latin typeface="Calibri"/>
              </a:defRPr>
            </a:pPr>
            <a:r>
              <a:rPr lang="es-SV" sz="1300" b="1">
                <a:solidFill>
                  <a:srgbClr val="1F4E78"/>
                </a:solidFill>
                <a:latin typeface="Calibri"/>
              </a:rPr>
              <a:t>Personal sin examen: pendientes y situación especial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Colaboradores</c:v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D6-4834-8404-8FBD17BBD8E1}"/>
              </c:ext>
            </c:extLst>
          </c:dPt>
          <c:dPt>
            <c:idx val="1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D6-4834-8404-8FBD17BBD8E1}"/>
              </c:ext>
            </c:extLst>
          </c:dPt>
          <c:dPt>
            <c:idx val="2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D6-4834-8404-8FBD17BBD8E1}"/>
              </c:ext>
            </c:extLst>
          </c:dPt>
          <c:dPt>
            <c:idx val="3"/>
            <c:invertIfNegative val="1"/>
            <c:bubble3D val="0"/>
            <c: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CD6-4834-8404-8FBD17BBD8E1}"/>
              </c:ext>
            </c:extLst>
          </c:dPt>
          <c:dPt>
            <c:idx val="4"/>
            <c:invertIfNegative val="1"/>
            <c:bubble3D val="0"/>
            <c:spPr>
              <a:solidFill>
                <a:srgbClr val="7F7F7F"/>
              </a:solidFill>
              <a:ln>
                <a:solidFill>
                  <a:srgbClr val="7F7F7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CD6-4834-8404-8FBD17BBD8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  <a:latin typeface="Calibri"/>
                  </a:defRPr>
                </a:pPr>
                <a:endParaRPr lang="es-S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Cálculos!$AU$6:$AU$10</c:f>
              <c:strCache>
                <c:ptCount val="5"/>
                <c:pt idx="0">
                  <c:v>Pendiente</c:v>
                </c:pt>
                <c:pt idx="1">
                  <c:v>Vacaciones</c:v>
                </c:pt>
                <c:pt idx="2">
                  <c:v>Incapacidad</c:v>
                </c:pt>
                <c:pt idx="3">
                  <c:v>Incapacidad por maternidad</c:v>
                </c:pt>
                <c:pt idx="4">
                  <c:v>Renuncia</c:v>
                </c:pt>
              </c:strCache>
            </c:strRef>
          </c:cat>
          <c:val>
            <c:numRef>
              <c:f>Cálculos!$AV$6:$AV$10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D6-4834-8404-8FBD17BBD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SV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300" b="1">
                <a:solidFill>
                  <a:srgbClr val="1F4E78"/>
                </a:solidFill>
                <a:latin typeface="Calibri"/>
              </a:defRPr>
            </a:pPr>
            <a:r>
              <a:rPr lang="es-SV" sz="1300" b="1">
                <a:solidFill>
                  <a:srgbClr val="1F4E78"/>
                </a:solidFill>
                <a:latin typeface="Calibri"/>
              </a:rPr>
              <a:t>Avance por departamento / agencia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Cálculos!$M$29</c:f>
              <c:strCache>
                <c:ptCount val="1"/>
                <c:pt idx="0">
                  <c:v>Completados</c:v>
                </c:pt>
              </c:strCache>
            </c:strRef>
          </c:tx>
          <c:spPr>
            <a:solidFill>
              <a:srgbClr val="1F4E78"/>
            </a:solidFill>
            <a:ln>
              <a:solidFill>
                <a:srgbClr val="1F4E78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</a:defRPr>
                </a:pPr>
                <a:endParaRPr lang="es-SV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Cálculos!$L$30:$L$73</c:f>
              <c:strCache>
                <c:ptCount val="44"/>
                <c:pt idx="0">
                  <c:v>DEPARTAMENTO DE SERVICIOS GENERALES   100%</c:v>
                </c:pt>
                <c:pt idx="1">
                  <c:v>AGENCIA MERLIOT   100%</c:v>
                </c:pt>
                <c:pt idx="2">
                  <c:v>DEPARTAMENTO DE CONTABILIDAD   100%</c:v>
                </c:pt>
                <c:pt idx="3">
                  <c:v>DEPARTAMENTO DE CREDITOS   100%</c:v>
                </c:pt>
                <c:pt idx="4">
                  <c:v>AGENCIA COLEGIO MEDICO   100%</c:v>
                </c:pt>
                <c:pt idx="5">
                  <c:v>DEPARTAMENTO DE ANALISIS Y PROGRAMACIÓN   100%</c:v>
                </c:pt>
                <c:pt idx="6">
                  <c:v>DEPARTAMENTO DE SEGUROS   100%</c:v>
                </c:pt>
                <c:pt idx="7">
                  <c:v>DEPARTAMENTO DE SOLUCIONES FINANCIERAS   100%</c:v>
                </c:pt>
                <c:pt idx="8">
                  <c:v>AGENCIA PLAZA MUNDO   100%</c:v>
                </c:pt>
                <c:pt idx="9">
                  <c:v>AGENCIA SANTA ANA   100%</c:v>
                </c:pt>
                <c:pt idx="10">
                  <c:v>DEPARTAMENTO LEGAL   100%</c:v>
                </c:pt>
                <c:pt idx="11">
                  <c:v>AGENCIA SAN MIGUEL   100%</c:v>
                </c:pt>
                <c:pt idx="12">
                  <c:v>AGENCIA USULUTAN   100%</c:v>
                </c:pt>
                <c:pt idx="13">
                  <c:v>DEPARTAMENTO COMERCIAL DE TARJETA DE CREDITO Y DEBITO   100%</c:v>
                </c:pt>
                <c:pt idx="14">
                  <c:v>DEPARTAMENTO DE ATENCION A ASOCIADO Y CLIENTE   100%</c:v>
                </c:pt>
                <c:pt idx="15">
                  <c:v>DEPARTAMENTO DE AUDITORIA INTERNA   100%</c:v>
                </c:pt>
                <c:pt idx="16">
                  <c:v>OFICIALIA DE CUMPLIMIENTO   100%</c:v>
                </c:pt>
                <c:pt idx="17">
                  <c:v>SUB GERENCIA DE CANALES   100%</c:v>
                </c:pt>
                <c:pt idx="18">
                  <c:v>DEPARTAMENTO DE CUSTODIA DE GARANTÍA Y VALORES   100%</c:v>
                </c:pt>
                <c:pt idx="19">
                  <c:v>DEPARTAMENTO DE OPERACIONES Y SOPORTE TECNICO   100%</c:v>
                </c:pt>
                <c:pt idx="20">
                  <c:v>DEPARTAMENTO DE TARJETA DE CREDITO Y DEBITO   100%</c:v>
                </c:pt>
                <c:pt idx="21">
                  <c:v>ADMINISTRACION DE RIESGOS   100%</c:v>
                </c:pt>
                <c:pt idx="22">
                  <c:v>DEPARTAMENTO DE DEPOSITOS   100%</c:v>
                </c:pt>
                <c:pt idx="23">
                  <c:v>GERENCIA DE NEGOCIOS   100%</c:v>
                </c:pt>
                <c:pt idx="24">
                  <c:v>GERENCIA DE SISTEMAS   100%</c:v>
                </c:pt>
                <c:pt idx="25">
                  <c:v>OFICIALIA DE SEGURIDAD DE LA INFORMACION   100%</c:v>
                </c:pt>
                <c:pt idx="26">
                  <c:v>DEPARTAMENTO DE EDUCACION Y RESPONSABILIDAD SOCIAL   100%</c:v>
                </c:pt>
                <c:pt idx="27">
                  <c:v>DEPARTAMENTO DE PROCESOS   100%</c:v>
                </c:pt>
                <c:pt idx="28">
                  <c:v>CLINICA EMPRESARIAL   100%</c:v>
                </c:pt>
                <c:pt idx="29">
                  <c:v>DEPARTAMENTO DE SEGURIDAD   100%</c:v>
                </c:pt>
                <c:pt idx="30">
                  <c:v>DEPARTAMENTO DE TALENTO HUMANO   100%</c:v>
                </c:pt>
                <c:pt idx="31">
                  <c:v>GERENCIA ADMINISTRATIVA   100%</c:v>
                </c:pt>
                <c:pt idx="32">
                  <c:v>GERENCIA DE FINANZAS Y PLANIFICACIÓN   100%</c:v>
                </c:pt>
                <c:pt idx="33">
                  <c:v>GERENCIA GENERAL   100%</c:v>
                </c:pt>
                <c:pt idx="34">
                  <c:v>ADMINISTRACION DE BASE DE DATOS   100%</c:v>
                </c:pt>
                <c:pt idx="35">
                  <c:v>CONSEJO DE ADMINISTRACION   100%</c:v>
                </c:pt>
                <c:pt idx="36">
                  <c:v>GERENCIA LEGAL Y DE CUMPLIMIENTO NORMATIVO   100%</c:v>
                </c:pt>
                <c:pt idx="37">
                  <c:v>AGENCIA COLONIA MEDICA   94%</c:v>
                </c:pt>
                <c:pt idx="38">
                  <c:v>AGENCIA CENTRAL   88%</c:v>
                </c:pt>
                <c:pt idx="39">
                  <c:v>AGENCIA SONSONATE   86%</c:v>
                </c:pt>
                <c:pt idx="40">
                  <c:v>DEPARTAMENTO DE MERCADEO   86%</c:v>
                </c:pt>
                <c:pt idx="41">
                  <c:v>ADMINISTRACIÓN DE CARTERAS   80%</c:v>
                </c:pt>
                <c:pt idx="42">
                  <c:v>DEPARTAMENTO DE PLANIFICACIÓN Y ANALISIS   67%</c:v>
                </c:pt>
                <c:pt idx="43">
                  <c:v>GERENCIA DE OPERACIONES   0%</c:v>
                </c:pt>
              </c:strCache>
            </c:strRef>
          </c:cat>
          <c:val>
            <c:numRef>
              <c:f>Cálculos!$M$30:$M$73</c:f>
              <c:numCache>
                <c:formatCode>General</c:formatCode>
                <c:ptCount val="44"/>
                <c:pt idx="0">
                  <c:v>17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15</c:v>
                </c:pt>
                <c:pt idx="38">
                  <c:v>14</c:v>
                </c:pt>
                <c:pt idx="39">
                  <c:v>6</c:v>
                </c:pt>
                <c:pt idx="40">
                  <c:v>6</c:v>
                </c:pt>
                <c:pt idx="41">
                  <c:v>4</c:v>
                </c:pt>
                <c:pt idx="42">
                  <c:v>2</c:v>
                </c:pt>
                <c:pt idx="4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65-4D1A-A6F5-DC84BD5FCF09}"/>
            </c:ext>
          </c:extLst>
        </c:ser>
        <c:ser>
          <c:idx val="1"/>
          <c:order val="1"/>
          <c:tx>
            <c:strRef>
              <c:f>Cálculos!$N$29</c:f>
              <c:strCache>
                <c:ptCount val="1"/>
                <c:pt idx="0">
                  <c:v>Pendientes</c:v>
                </c:pt>
              </c:strCache>
            </c:strRef>
          </c:tx>
          <c:spPr>
            <a:solidFill>
              <a:srgbClr val="D9D9D9"/>
            </a:solidFill>
            <a:ln>
              <a:solidFill>
                <a:srgbClr val="D9D9D9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  <a:latin typeface="Calibri"/>
                  </a:defRPr>
                </a:pPr>
                <a:endParaRPr lang="es-SV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Cálculos!$L$30:$L$73</c:f>
              <c:strCache>
                <c:ptCount val="44"/>
                <c:pt idx="0">
                  <c:v>DEPARTAMENTO DE SERVICIOS GENERALES   100%</c:v>
                </c:pt>
                <c:pt idx="1">
                  <c:v>AGENCIA MERLIOT   100%</c:v>
                </c:pt>
                <c:pt idx="2">
                  <c:v>DEPARTAMENTO DE CONTABILIDAD   100%</c:v>
                </c:pt>
                <c:pt idx="3">
                  <c:v>DEPARTAMENTO DE CREDITOS   100%</c:v>
                </c:pt>
                <c:pt idx="4">
                  <c:v>AGENCIA COLEGIO MEDICO   100%</c:v>
                </c:pt>
                <c:pt idx="5">
                  <c:v>DEPARTAMENTO DE ANALISIS Y PROGRAMACIÓN   100%</c:v>
                </c:pt>
                <c:pt idx="6">
                  <c:v>DEPARTAMENTO DE SEGUROS   100%</c:v>
                </c:pt>
                <c:pt idx="7">
                  <c:v>DEPARTAMENTO DE SOLUCIONES FINANCIERAS   100%</c:v>
                </c:pt>
                <c:pt idx="8">
                  <c:v>AGENCIA PLAZA MUNDO   100%</c:v>
                </c:pt>
                <c:pt idx="9">
                  <c:v>AGENCIA SANTA ANA   100%</c:v>
                </c:pt>
                <c:pt idx="10">
                  <c:v>DEPARTAMENTO LEGAL   100%</c:v>
                </c:pt>
                <c:pt idx="11">
                  <c:v>AGENCIA SAN MIGUEL   100%</c:v>
                </c:pt>
                <c:pt idx="12">
                  <c:v>AGENCIA USULUTAN   100%</c:v>
                </c:pt>
                <c:pt idx="13">
                  <c:v>DEPARTAMENTO COMERCIAL DE TARJETA DE CREDITO Y DEBITO   100%</c:v>
                </c:pt>
                <c:pt idx="14">
                  <c:v>DEPARTAMENTO DE ATENCION A ASOCIADO Y CLIENTE   100%</c:v>
                </c:pt>
                <c:pt idx="15">
                  <c:v>DEPARTAMENTO DE AUDITORIA INTERNA   100%</c:v>
                </c:pt>
                <c:pt idx="16">
                  <c:v>OFICIALIA DE CUMPLIMIENTO   100%</c:v>
                </c:pt>
                <c:pt idx="17">
                  <c:v>SUB GERENCIA DE CANALES   100%</c:v>
                </c:pt>
                <c:pt idx="18">
                  <c:v>DEPARTAMENTO DE CUSTODIA DE GARANTÍA Y VALORES   100%</c:v>
                </c:pt>
                <c:pt idx="19">
                  <c:v>DEPARTAMENTO DE OPERACIONES Y SOPORTE TECNICO   100%</c:v>
                </c:pt>
                <c:pt idx="20">
                  <c:v>DEPARTAMENTO DE TARJETA DE CREDITO Y DEBITO   100%</c:v>
                </c:pt>
                <c:pt idx="21">
                  <c:v>ADMINISTRACION DE RIESGOS   100%</c:v>
                </c:pt>
                <c:pt idx="22">
                  <c:v>DEPARTAMENTO DE DEPOSITOS   100%</c:v>
                </c:pt>
                <c:pt idx="23">
                  <c:v>GERENCIA DE NEGOCIOS   100%</c:v>
                </c:pt>
                <c:pt idx="24">
                  <c:v>GERENCIA DE SISTEMAS   100%</c:v>
                </c:pt>
                <c:pt idx="25">
                  <c:v>OFICIALIA DE SEGURIDAD DE LA INFORMACION   100%</c:v>
                </c:pt>
                <c:pt idx="26">
                  <c:v>DEPARTAMENTO DE EDUCACION Y RESPONSABILIDAD SOCIAL   100%</c:v>
                </c:pt>
                <c:pt idx="27">
                  <c:v>DEPARTAMENTO DE PROCESOS   100%</c:v>
                </c:pt>
                <c:pt idx="28">
                  <c:v>CLINICA EMPRESARIAL   100%</c:v>
                </c:pt>
                <c:pt idx="29">
                  <c:v>DEPARTAMENTO DE SEGURIDAD   100%</c:v>
                </c:pt>
                <c:pt idx="30">
                  <c:v>DEPARTAMENTO DE TALENTO HUMANO   100%</c:v>
                </c:pt>
                <c:pt idx="31">
                  <c:v>GERENCIA ADMINISTRATIVA   100%</c:v>
                </c:pt>
                <c:pt idx="32">
                  <c:v>GERENCIA DE FINANZAS Y PLANIFICACIÓN   100%</c:v>
                </c:pt>
                <c:pt idx="33">
                  <c:v>GERENCIA GENERAL   100%</c:v>
                </c:pt>
                <c:pt idx="34">
                  <c:v>ADMINISTRACION DE BASE DE DATOS   100%</c:v>
                </c:pt>
                <c:pt idx="35">
                  <c:v>CONSEJO DE ADMINISTRACION   100%</c:v>
                </c:pt>
                <c:pt idx="36">
                  <c:v>GERENCIA LEGAL Y DE CUMPLIMIENTO NORMATIVO   100%</c:v>
                </c:pt>
                <c:pt idx="37">
                  <c:v>AGENCIA COLONIA MEDICA   94%</c:v>
                </c:pt>
                <c:pt idx="38">
                  <c:v>AGENCIA CENTRAL   88%</c:v>
                </c:pt>
                <c:pt idx="39">
                  <c:v>AGENCIA SONSONATE   86%</c:v>
                </c:pt>
                <c:pt idx="40">
                  <c:v>DEPARTAMENTO DE MERCADEO   86%</c:v>
                </c:pt>
                <c:pt idx="41">
                  <c:v>ADMINISTRACIÓN DE CARTERAS   80%</c:v>
                </c:pt>
                <c:pt idx="42">
                  <c:v>DEPARTAMENTO DE PLANIFICACIÓN Y ANALISIS   67%</c:v>
                </c:pt>
                <c:pt idx="43">
                  <c:v>GERENCIA DE OPERACIONES   0%</c:v>
                </c:pt>
              </c:strCache>
            </c:strRef>
          </c:cat>
          <c:val>
            <c:numRef>
              <c:f>Cálculos!$N$30:$N$73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9D9D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065-4D1A-A6F5-DC84BD5FC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Calibri"/>
              </a:defRPr>
            </a:pPr>
            <a:endParaRPr lang="es-SV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s-SV"/>
        </a:p>
      </c:txPr>
    </c:legend>
    <c:plotVisOnly val="1"/>
    <c:dispBlanksAs val="gap"/>
    <c:showDLblsOverMax val="1"/>
  </c:chart>
  <c:spPr>
    <a:ln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3456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719666</colOff>
      <row>15</row>
      <rowOff>0</rowOff>
    </from>
    <ext cx="7603068" cy="3445933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10224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67734</colOff>
      <row>9</row>
      <rowOff>59266</rowOff>
    </from>
    <ext cx="55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</row>
      <rowOff>0</rowOff>
    </from>
    <ext cx="10224000" cy="10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BF9000"/>
    <outlinePr summaryBelow="1" summaryRight="1"/>
    <pageSetUpPr/>
  </sheetPr>
  <dimension ref="B1:C35"/>
  <sheetViews>
    <sheetView showGridLines="0" workbookViewId="0">
      <selection activeCell="A1" sqref="A1"/>
    </sheetView>
  </sheetViews>
  <sheetFormatPr baseColWidth="10" defaultColWidth="8.88671875" defaultRowHeight="14.4"/>
  <cols>
    <col width="2" customWidth="1" style="38" min="1" max="1"/>
    <col width="4" customWidth="1" style="38" min="2" max="2"/>
    <col width="120" customWidth="1" style="38" min="3" max="3"/>
  </cols>
  <sheetData>
    <row r="1" ht="36" customHeight="1" s="38">
      <c r="B1" s="71" t="inlineStr">
        <is>
          <t>CÓMO ACTUALIZAR ESTE ARCHIVO</t>
        </is>
      </c>
    </row>
    <row r="3" ht="15.6" customHeight="1" s="38">
      <c r="B3" s="69" t="inlineStr">
        <is>
          <t>1. AGREGAR UN COLABORADOR (hoja 'Base Oficial')</t>
        </is>
      </c>
      <c r="C3" s="70" t="n"/>
    </row>
    <row r="4">
      <c r="B4" s="29" t="inlineStr">
        <is>
          <t>•</t>
        </is>
      </c>
      <c r="C4" s="30" t="inlineStr">
        <is>
          <t>Escriba en la primera fila vacía: Código, Nombre, Fecha de ingreso, Cargo, Grupo SSF, Departamento y Gerencia.</t>
        </is>
      </c>
    </row>
    <row r="5">
      <c r="B5" s="29" t="inlineStr">
        <is>
          <t>•</t>
        </is>
      </c>
      <c r="C5" s="30" t="inlineStr">
        <is>
          <t>Departamento y Gerencia: elíjalos de la lista desplegable para que se escriban igual que los existentes.</t>
        </is>
      </c>
    </row>
    <row r="6">
      <c r="B6" s="29" t="inlineStr">
        <is>
          <t>•</t>
        </is>
      </c>
      <c r="C6" s="30" t="inlineStr">
        <is>
          <t>Si es un departamento o gerencia NUEVO, escríbalo y confirme con 'Sí' en el aviso.</t>
        </is>
      </c>
    </row>
    <row r="7">
      <c r="B7" s="29" t="inlineStr">
        <is>
          <t>•</t>
        </is>
      </c>
      <c r="C7" s="30" t="inlineStr">
        <is>
          <t>El colaborador aparece automáticamente como Pendiente (o Completado si ya tiene examen).</t>
        </is>
      </c>
    </row>
    <row r="9" ht="15.6" customHeight="1" s="38">
      <c r="B9" s="69" t="inlineStr">
        <is>
          <t>2. AGREGAR EXÁMENES (hoja 'Base Exámenes')</t>
        </is>
      </c>
      <c r="C9" s="70" t="n"/>
    </row>
    <row r="10">
      <c r="B10" s="29" t="inlineStr">
        <is>
          <t>•</t>
        </is>
      </c>
      <c r="C10" s="30" t="inlineStr">
        <is>
          <t>Pegue cada examen en la primera fila vacía, columnas A a E y G a H:</t>
        </is>
      </c>
    </row>
    <row r="11">
      <c r="B11" s="29" t="inlineStr">
        <is>
          <t>•</t>
        </is>
      </c>
      <c r="C11" s="30" t="inlineStr">
        <is>
          <t>A Nombre · B Área · C Código de empleado · D Hora de inicio · E Hora de finalización · G Nota · H Correo.</t>
        </is>
      </c>
    </row>
    <row r="12">
      <c r="B12" s="29" t="inlineStr">
        <is>
          <t>•</t>
        </is>
      </c>
      <c r="C12" s="30" t="inlineStr">
        <is>
          <t>NO escriba en la columna F (Duración): se calcula sola.</t>
        </is>
      </c>
    </row>
    <row r="13">
      <c r="B13" s="29" t="inlineStr">
        <is>
          <t>•</t>
        </is>
      </c>
      <c r="C13" s="30" t="inlineStr">
        <is>
          <t>Desde la exportación de la plataforma: I = Nombre, L = Departamento, O = Código, B = Inicio, C = Fin, F = Total de puntos, D = Correo.</t>
        </is>
      </c>
    </row>
    <row r="14">
      <c r="B14" s="29" t="inlineStr">
        <is>
          <t>•</t>
        </is>
      </c>
      <c r="C14" s="30" t="inlineStr">
        <is>
          <t>Si una persona hace el examen más de una vez, se cuenta su NOTA MÁS ALTA y queda registrado en 'Historial de Intentos'.</t>
        </is>
      </c>
    </row>
    <row r="16" ht="15.6" customHeight="1" s="38">
      <c r="B16" s="69" t="inlineStr">
        <is>
          <t>3. QUÉ SE ACTUALIZA SOLO</t>
        </is>
      </c>
      <c r="C16" s="70" t="n"/>
    </row>
    <row r="17">
      <c r="B17" s="29" t="inlineStr">
        <is>
          <t>•</t>
        </is>
      </c>
      <c r="C17" s="30" t="inlineStr">
        <is>
          <t>Detalle individual, Consolidado por área, Consolidado por Gerencia (incluye departamentos y gerencias nuevos).</t>
        </is>
      </c>
    </row>
    <row r="18">
      <c r="B18" s="29" t="inlineStr">
        <is>
          <t>•</t>
        </is>
      </c>
      <c r="C18" s="30" t="inlineStr">
        <is>
          <t>Dashboard Gráfico, Dashboard Gerencial, Dashboard Departamentos y Estado por Colaborador.</t>
        </is>
      </c>
    </row>
    <row r="19">
      <c r="B19" s="29" t="inlineStr">
        <is>
          <t>•</t>
        </is>
      </c>
      <c r="C19" s="30" t="inlineStr">
        <is>
          <t>Listado de Pendientes, Listado de Completados, Top 3 (todos) e Historial de Intentos.</t>
        </is>
      </c>
    </row>
    <row r="20">
      <c r="B20" s="29" t="inlineStr">
        <is>
          <t>•</t>
        </is>
      </c>
      <c r="C20" s="30" t="inlineStr">
        <is>
          <t>Capacidad: hasta 996 colaboradores, 996 exámenes, 80 departamentos y 20 gerencias.</t>
        </is>
      </c>
    </row>
    <row r="22" ht="15.6" customHeight="1" s="38">
      <c r="B22" s="69" t="inlineStr">
        <is>
          <t>4. CAMBIAR UN DEPARTAMENTO DE GERENCIA</t>
        </is>
      </c>
      <c r="C22" s="70" t="n"/>
    </row>
    <row r="23">
      <c r="B23" s="29" t="inlineStr">
        <is>
          <t>•</t>
        </is>
      </c>
      <c r="C23" s="30" t="inlineStr">
        <is>
          <t>En 'Base Oficial' cambie la columna G (Gerencia) de TODAS las personas de ese departamento. Lo demás se ajusta solo.</t>
        </is>
      </c>
    </row>
    <row r="25" ht="15.6" customHeight="1" s="38">
      <c r="B25" s="69" t="inlineStr">
        <is>
          <t>5. IMPORTANTE</t>
        </is>
      </c>
      <c r="C25" s="70" t="n"/>
    </row>
    <row r="26">
      <c r="B26" s="29" t="inlineStr">
        <is>
          <t>•</t>
        </is>
      </c>
      <c r="C26" s="30" t="inlineStr">
        <is>
          <t>No borre ni escriba en las hojas de resultados (consolidados, listados, top 3, historial): son fórmulas.</t>
        </is>
      </c>
    </row>
    <row r="27">
      <c r="B27" s="29" t="inlineStr">
        <is>
          <t>•</t>
        </is>
      </c>
      <c r="C27" s="30" t="inlineStr">
        <is>
          <t>La hoja oculta 'Cálculos' es necesaria para los dashboards: no la elimine.</t>
        </is>
      </c>
    </row>
    <row r="28">
      <c r="B28" s="29" t="inlineStr">
        <is>
          <t>•</t>
        </is>
      </c>
      <c r="C28" s="30" t="inlineStr">
        <is>
          <t>Si agrega un departamento o gerencia NUEVO, las tablas se actualizan, pero los GRÁFICOS deben ampliarse:</t>
        </is>
      </c>
    </row>
    <row r="29">
      <c r="B29" s="29" t="inlineStr">
        <is>
          <t>•</t>
        </is>
      </c>
      <c r="C29" s="30" t="inlineStr">
        <is>
          <t>aparecerá un aviso rojo en el dashboard. Envíe el archivo para actualizarlos.</t>
        </is>
      </c>
    </row>
    <row r="31" ht="15.6" customHeight="1" s="38">
      <c r="B31" s="69" t="inlineStr">
        <is>
          <t>6. SITUACIÓN ESPECIAL (vacaciones, incapacidad, maternidad, renuncia)</t>
        </is>
      </c>
      <c r="C31" s="70" t="n"/>
    </row>
    <row r="32">
      <c r="B32" s="29" t="inlineStr">
        <is>
          <t>•</t>
        </is>
      </c>
      <c r="C32" s="30" t="inlineStr">
        <is>
          <t>En 'Base Oficial', columna H, elija la situación de la persona. Déjela vacía si está activa.</t>
        </is>
      </c>
    </row>
    <row r="33">
      <c r="B33" s="29" t="inlineStr">
        <is>
          <t>•</t>
        </is>
      </c>
      <c r="C33" s="30" t="inlineStr">
        <is>
          <t>Si no ha hecho el examen, aparece con esa situación y NO cuenta en el personal esperado ni en el %.</t>
        </is>
      </c>
    </row>
    <row r="34">
      <c r="B34" s="29" t="inlineStr">
        <is>
          <t>•</t>
        </is>
      </c>
      <c r="C34" s="30" t="inlineStr">
        <is>
          <t>Si sí hizo el examen, cuenta como Completado normalmente.</t>
        </is>
      </c>
    </row>
    <row r="35">
      <c r="B35" s="29" t="inlineStr">
        <is>
          <t>•</t>
        </is>
      </c>
      <c r="C35" s="30" t="inlineStr">
        <is>
          <t>La lista de estas personas está en 'Listado de Situación Especial'. Cuando regrese, borre la situación.</t>
        </is>
      </c>
    </row>
  </sheetData>
  <mergeCells count="7">
    <mergeCell ref="B16:C16"/>
    <mergeCell ref="B25:C25"/>
    <mergeCell ref="B3:C3"/>
    <mergeCell ref="B22:C22"/>
    <mergeCell ref="B31:C31"/>
    <mergeCell ref="B9:C9"/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H1000"/>
  <sheetViews>
    <sheetView workbookViewId="0">
      <pane xSplit="2" ySplit="4" topLeftCell="E70" activePane="bottomRight" state="frozen"/>
      <selection pane="topRight" activeCell="A1" sqref="A1"/>
      <selection pane="bottomLeft" activeCell="A1" sqref="A1"/>
      <selection pane="bottomRight" activeCell="H201" sqref="H201"/>
    </sheetView>
  </sheetViews>
  <sheetFormatPr baseColWidth="10" defaultColWidth="8.88671875" defaultRowHeight="14.4"/>
  <cols>
    <col width="12" customWidth="1" style="38" min="1" max="1"/>
    <col width="49" customWidth="1" style="38" min="2" max="2"/>
    <col width="17" customWidth="1" style="38" min="3" max="3"/>
    <col width="64" customWidth="1" style="38" min="4" max="4"/>
    <col width="13" customWidth="1" style="38" min="5" max="5"/>
    <col width="57" customWidth="1" style="38" min="6" max="6"/>
    <col width="43" customWidth="1" style="38" min="7" max="7"/>
    <col width="26" customWidth="1" style="38" min="8" max="8"/>
  </cols>
  <sheetData>
    <row r="1" ht="21" customHeight="1" s="38">
      <c r="A1" s="1" t="inlineStr">
        <is>
          <t>LISTADO OFICIAL DE COLABORADORES</t>
        </is>
      </c>
    </row>
    <row r="2">
      <c r="A2" s="2" t="inlineStr">
        <is>
          <t>Base maestra de personal institucional</t>
        </is>
      </c>
    </row>
    <row r="4">
      <c r="A4" s="3" t="inlineStr">
        <is>
          <t>Código</t>
        </is>
      </c>
      <c r="B4" s="3" t="inlineStr">
        <is>
          <t>Nombre del Colaborador</t>
        </is>
      </c>
      <c r="C4" s="3" t="inlineStr">
        <is>
          <t>Fecha Ingreso</t>
        </is>
      </c>
      <c r="D4" s="3" t="inlineStr">
        <is>
          <t>Cargo</t>
        </is>
      </c>
      <c r="E4" s="3" t="inlineStr">
        <is>
          <t>Grupo SSF</t>
        </is>
      </c>
      <c r="F4" s="3" t="inlineStr">
        <is>
          <t>Área / Departamento</t>
        </is>
      </c>
      <c r="G4" s="3" t="inlineStr">
        <is>
          <t>Gerencia Asignada</t>
        </is>
      </c>
      <c r="H4" s="3" t="inlineStr">
        <is>
          <t>Situación especial</t>
        </is>
      </c>
    </row>
    <row r="5" hidden="1" s="38">
      <c r="A5" s="4" t="inlineStr">
        <is>
          <t>977</t>
        </is>
      </c>
      <c r="B5" s="5" t="inlineStr">
        <is>
          <t xml:space="preserve">NELSON ULISES CAMPOS FLORES </t>
        </is>
      </c>
      <c r="C5" s="4" t="inlineStr">
        <is>
          <t>10/08/2026</t>
        </is>
      </c>
      <c r="D5" s="5" t="inlineStr">
        <is>
          <t>GERENTE GENERAL</t>
        </is>
      </c>
      <c r="E5" s="5" t="inlineStr">
        <is>
          <t xml:space="preserve"> GERENTE</t>
        </is>
      </c>
      <c r="F5" s="5" t="inlineStr">
        <is>
          <t>GERENCIA GENERAL</t>
        </is>
      </c>
      <c r="G5" s="5" t="inlineStr">
        <is>
          <t>Gerencia General</t>
        </is>
      </c>
      <c r="H5" s="5" t="n"/>
    </row>
    <row r="6" hidden="1" s="38">
      <c r="A6" s="4" t="inlineStr">
        <is>
          <t>349</t>
        </is>
      </c>
      <c r="B6" s="5" t="inlineStr">
        <is>
          <t>CARLA EUGENIA HERNANDEZ MENJIVAR</t>
        </is>
      </c>
      <c r="C6" s="4" t="inlineStr">
        <is>
          <t>08/08/2005</t>
        </is>
      </c>
      <c r="D6" s="5" t="inlineStr">
        <is>
          <t>GERENTE  ADMINISTRATIVA</t>
        </is>
      </c>
      <c r="E6" s="5" t="inlineStr">
        <is>
          <t xml:space="preserve"> GERENTE</t>
        </is>
      </c>
      <c r="F6" s="5" t="inlineStr">
        <is>
          <t>GERENCIA  ADMINISTRATIVA</t>
        </is>
      </c>
      <c r="G6" s="5" t="inlineStr">
        <is>
          <t>Gerencia Administrativa</t>
        </is>
      </c>
      <c r="H6" s="5" t="n"/>
    </row>
    <row r="7" hidden="1" s="38">
      <c r="A7" s="4" t="inlineStr">
        <is>
          <t>41</t>
        </is>
      </c>
      <c r="B7" s="5" t="inlineStr">
        <is>
          <t xml:space="preserve">ROQUE RAFAEL REYES ESPINAL </t>
        </is>
      </c>
      <c r="C7" s="4" t="inlineStr">
        <is>
          <t>25/04/1994</t>
        </is>
      </c>
      <c r="D7" s="5" t="inlineStr">
        <is>
          <t>GERENTE DE OPERACIONES</t>
        </is>
      </c>
      <c r="E7" s="5" t="inlineStr">
        <is>
          <t xml:space="preserve"> GERENTE</t>
        </is>
      </c>
      <c r="F7" s="5" t="inlineStr">
        <is>
          <t>GERENCIA DE OPERACIONES</t>
        </is>
      </c>
      <c r="G7" s="5" t="inlineStr">
        <is>
          <t>Gerencia de Operaciones</t>
        </is>
      </c>
      <c r="H7" s="5" t="n"/>
    </row>
    <row r="8" hidden="1" s="38">
      <c r="A8" s="4" t="inlineStr">
        <is>
          <t>524</t>
        </is>
      </c>
      <c r="B8" s="5" t="inlineStr">
        <is>
          <t xml:space="preserve">JOSE AUGUSTO DE LA O GALLEGOS </t>
        </is>
      </c>
      <c r="C8" s="4" t="inlineStr">
        <is>
          <t>01/04/2013</t>
        </is>
      </c>
      <c r="D8" s="5" t="inlineStr">
        <is>
          <t>GERENTE DE FINANZAS Y PLANIFICACION</t>
        </is>
      </c>
      <c r="E8" s="5" t="inlineStr">
        <is>
          <t xml:space="preserve"> GERENTE</t>
        </is>
      </c>
      <c r="F8" s="5" t="inlineStr">
        <is>
          <t>GERENCIA DE FINANZAS Y PLANIFICACIÓN</t>
        </is>
      </c>
      <c r="G8" s="5" t="inlineStr">
        <is>
          <t>Gerencia de Finanzas y Planificación</t>
        </is>
      </c>
      <c r="H8" s="5" t="n"/>
    </row>
    <row r="9" hidden="1" s="38">
      <c r="A9" s="4" t="inlineStr">
        <is>
          <t>878</t>
        </is>
      </c>
      <c r="B9" s="5" t="inlineStr">
        <is>
          <t xml:space="preserve">ALEX VIRGILIO  AGUILAR ARIAS  </t>
        </is>
      </c>
      <c r="C9" s="4" t="inlineStr">
        <is>
          <t>01/07/2024</t>
        </is>
      </c>
      <c r="D9" s="5" t="inlineStr">
        <is>
          <t>GERENTE DE SISTEMAS</t>
        </is>
      </c>
      <c r="E9" s="5" t="inlineStr">
        <is>
          <t xml:space="preserve"> GERENTE</t>
        </is>
      </c>
      <c r="F9" s="5" t="inlineStr">
        <is>
          <t>GERENCIA DE SISTEMAS</t>
        </is>
      </c>
      <c r="G9" s="5" t="inlineStr">
        <is>
          <t>Gerencia de Sistemas</t>
        </is>
      </c>
      <c r="H9" s="5" t="n"/>
    </row>
    <row r="10" hidden="1" s="38">
      <c r="A10" s="4" t="inlineStr">
        <is>
          <t>862</t>
        </is>
      </c>
      <c r="B10" s="5" t="inlineStr">
        <is>
          <t xml:space="preserve">GEORGI ROBERTO CASTILLO CHACON </t>
        </is>
      </c>
      <c r="C10" s="4" t="inlineStr">
        <is>
          <t>01/04/2024</t>
        </is>
      </c>
      <c r="D10" s="5" t="inlineStr">
        <is>
          <t>GERENTE DE OFICIALIA DE CUMPLIMIENTO</t>
        </is>
      </c>
      <c r="E10" s="5" t="inlineStr">
        <is>
          <t xml:space="preserve"> GERENTE</t>
        </is>
      </c>
      <c r="F10" s="5" t="inlineStr">
        <is>
          <t>OFICIALIA DE CUMPLIMIENTO</t>
        </is>
      </c>
      <c r="G10" s="5" t="inlineStr">
        <is>
          <t>Gerencia de Oficialía de Cumplimiento</t>
        </is>
      </c>
      <c r="H10" s="5" t="n"/>
    </row>
    <row r="11" hidden="1" s="38">
      <c r="A11" s="4" t="inlineStr">
        <is>
          <t>741</t>
        </is>
      </c>
      <c r="B11" s="5" t="inlineStr">
        <is>
          <t xml:space="preserve">JOSE HUMBERTO BARILLAS BURGOS </t>
        </is>
      </c>
      <c r="C11" s="4" t="inlineStr">
        <is>
          <t>16/03/2022</t>
        </is>
      </c>
      <c r="D11" s="5" t="inlineStr">
        <is>
          <t>GERENTE DE NEGOCIOS</t>
        </is>
      </c>
      <c r="E11" s="5" t="inlineStr">
        <is>
          <t xml:space="preserve"> GERENTE</t>
        </is>
      </c>
      <c r="F11" s="5" t="inlineStr">
        <is>
          <t>GERENCIA DE NEGOCIOS</t>
        </is>
      </c>
      <c r="G11" s="5" t="inlineStr">
        <is>
          <t>Gerencia de Negocios</t>
        </is>
      </c>
      <c r="H11" s="5" t="n"/>
    </row>
    <row r="12" hidden="1" s="38">
      <c r="A12" s="4" t="inlineStr">
        <is>
          <t>570</t>
        </is>
      </c>
      <c r="B12" s="5" t="inlineStr">
        <is>
          <t xml:space="preserve">ANDREA VICTORIA MAYORGA RODRIGUEZ </t>
        </is>
      </c>
      <c r="C12" s="4" t="inlineStr">
        <is>
          <t>22/07/2016</t>
        </is>
      </c>
      <c r="D12" s="5" t="inlineStr">
        <is>
          <t>GERENTE LEGAL Y DE CUMPLIMIENTO NORMATIVO</t>
        </is>
      </c>
      <c r="E12" s="5" t="inlineStr">
        <is>
          <t xml:space="preserve"> GERENTE</t>
        </is>
      </c>
      <c r="F12" s="5" t="inlineStr">
        <is>
          <t>GERENCIA LEGAL Y DE CUMPLIMIENTO NORMATIVO</t>
        </is>
      </c>
      <c r="G12" s="5" t="inlineStr">
        <is>
          <t>Gerencia Legal y Cumplimiento Normativo</t>
        </is>
      </c>
      <c r="H12" s="5" t="n"/>
    </row>
    <row r="13" hidden="1" s="38">
      <c r="A13" s="4" t="inlineStr">
        <is>
          <t>17</t>
        </is>
      </c>
      <c r="B13" s="5" t="inlineStr">
        <is>
          <t>ANTONIA SARAI BELTRAN CARBALLO</t>
        </is>
      </c>
      <c r="C13" s="4" t="inlineStr">
        <is>
          <t>04/04/1994</t>
        </is>
      </c>
      <c r="D13" s="5" t="inlineStr">
        <is>
          <t>ASISTENTE ADMINISTRATIVO DE GERENCIA GENERAL</t>
        </is>
      </c>
      <c r="E13" s="5" t="inlineStr">
        <is>
          <t xml:space="preserve"> EMPLEADO</t>
        </is>
      </c>
      <c r="F13" s="5" t="inlineStr">
        <is>
          <t>GERENCIA GENERAL</t>
        </is>
      </c>
      <c r="G13" s="5" t="inlineStr">
        <is>
          <t>Gerencia General</t>
        </is>
      </c>
      <c r="H13" s="5" t="n"/>
    </row>
    <row r="14" hidden="1" s="38">
      <c r="A14" s="4" t="inlineStr">
        <is>
          <t>290</t>
        </is>
      </c>
      <c r="B14" s="5" t="inlineStr">
        <is>
          <t xml:space="preserve">MELVIN ENRIQUE PORTILLO VALLE </t>
        </is>
      </c>
      <c r="C14" s="4" t="inlineStr">
        <is>
          <t>24/07/2002</t>
        </is>
      </c>
      <c r="D14" s="5" t="inlineStr">
        <is>
          <t>ANALISTA DE RIESGOS FINANCIEROS</t>
        </is>
      </c>
      <c r="E14" s="5" t="inlineStr">
        <is>
          <t xml:space="preserve"> EMPLEADO</t>
        </is>
      </c>
      <c r="F14" s="5" t="inlineStr">
        <is>
          <t>ADMINISTRACION DE RIESGOS</t>
        </is>
      </c>
      <c r="G14" s="5" t="inlineStr">
        <is>
          <t>Gerencia General</t>
        </is>
      </c>
      <c r="H14" s="5" t="n"/>
    </row>
    <row r="15" hidden="1" s="38">
      <c r="A15" s="4" t="inlineStr">
        <is>
          <t>408</t>
        </is>
      </c>
      <c r="B15" s="5" t="inlineStr">
        <is>
          <t>SARA PATRICIA GONZALEZ JIMENEZ</t>
        </is>
      </c>
      <c r="C15" s="4" t="inlineStr">
        <is>
          <t>02/07/2007</t>
        </is>
      </c>
      <c r="D15" s="5" t="inlineStr">
        <is>
          <t>ASISTENTE TECNICO DE RIESGOS</t>
        </is>
      </c>
      <c r="E15" s="5" t="inlineStr">
        <is>
          <t xml:space="preserve"> EMPLEADO</t>
        </is>
      </c>
      <c r="F15" s="5" t="inlineStr">
        <is>
          <t>ADMINISTRACION DE RIESGOS</t>
        </is>
      </c>
      <c r="G15" s="5" t="inlineStr">
        <is>
          <t>Gerencia General</t>
        </is>
      </c>
      <c r="H15" s="5" t="n"/>
    </row>
    <row r="16" hidden="1" s="38">
      <c r="A16" s="4" t="inlineStr">
        <is>
          <t>433</t>
        </is>
      </c>
      <c r="B16" s="5" t="inlineStr">
        <is>
          <t>SILVIA IVETH MARTINEZ RAMIREZ</t>
        </is>
      </c>
      <c r="C16" s="4" t="inlineStr">
        <is>
          <t>01/08/2008</t>
        </is>
      </c>
      <c r="D16" s="5" t="inlineStr">
        <is>
          <t>ANALISTA DE RIESGO OPERACIONAL</t>
        </is>
      </c>
      <c r="E16" s="5" t="inlineStr">
        <is>
          <t xml:space="preserve"> EMPLEADO</t>
        </is>
      </c>
      <c r="F16" s="5" t="inlineStr">
        <is>
          <t>ADMINISTRACION DE RIESGOS</t>
        </is>
      </c>
      <c r="G16" s="5" t="inlineStr">
        <is>
          <t>Gerencia General</t>
        </is>
      </c>
      <c r="H16" s="5" t="n"/>
    </row>
    <row r="17" hidden="1" s="38">
      <c r="A17" s="4" t="inlineStr">
        <is>
          <t>928</t>
        </is>
      </c>
      <c r="B17" s="5" t="inlineStr">
        <is>
          <t xml:space="preserve">HENRRY DANIEL ESCAMILLA ZALDAÑA </t>
        </is>
      </c>
      <c r="C17" s="4" t="inlineStr">
        <is>
          <t>04/06/2025</t>
        </is>
      </c>
      <c r="D17" s="5" t="inlineStr">
        <is>
          <t>JEFE DE ADMINISTRACION DE RIESGOS</t>
        </is>
      </c>
      <c r="E17" s="5" t="inlineStr">
        <is>
          <t xml:space="preserve"> EMPLEADO</t>
        </is>
      </c>
      <c r="F17" s="5" t="inlineStr">
        <is>
          <t>ADMINISTRACION DE RIESGOS</t>
        </is>
      </c>
      <c r="G17" s="5" t="inlineStr">
        <is>
          <t>Gerencia General</t>
        </is>
      </c>
      <c r="H17" s="5" t="n"/>
    </row>
    <row r="18" hidden="1" s="38">
      <c r="A18" s="4" t="inlineStr">
        <is>
          <t>318</t>
        </is>
      </c>
      <c r="B18" s="5" t="inlineStr">
        <is>
          <t xml:space="preserve">CLAUDIA CAROLINA HENRIQUEZ VELASCO </t>
        </is>
      </c>
      <c r="C18" s="4" t="inlineStr">
        <is>
          <t>15/11/2004</t>
        </is>
      </c>
      <c r="D18" s="5" t="inlineStr">
        <is>
          <t>JEFE DE PROCESOS</t>
        </is>
      </c>
      <c r="E18" s="5" t="inlineStr">
        <is>
          <t xml:space="preserve"> EMPLEADO</t>
        </is>
      </c>
      <c r="F18" s="5" t="inlineStr">
        <is>
          <t>DEPARTAMENTO DE PROCESOS</t>
        </is>
      </c>
      <c r="G18" s="5" t="inlineStr">
        <is>
          <t>Gerencia General</t>
        </is>
      </c>
      <c r="H18" s="5" t="n"/>
    </row>
    <row r="19" hidden="1" s="38">
      <c r="A19" s="4" t="inlineStr">
        <is>
          <t>817</t>
        </is>
      </c>
      <c r="B19" s="5" t="inlineStr">
        <is>
          <t xml:space="preserve">MAURICIO EDGARDO MIRANDA CAMPOS </t>
        </is>
      </c>
      <c r="C19" s="4" t="inlineStr">
        <is>
          <t>03/07/2023</t>
        </is>
      </c>
      <c r="D19" s="5" t="inlineStr">
        <is>
          <t>ANALISTA DE PROCESOS</t>
        </is>
      </c>
      <c r="E19" s="5" t="inlineStr">
        <is>
          <t xml:space="preserve"> EMPLEADO</t>
        </is>
      </c>
      <c r="F19" s="5" t="inlineStr">
        <is>
          <t>DEPARTAMENTO DE PROCESOS</t>
        </is>
      </c>
      <c r="G19" s="5" t="inlineStr">
        <is>
          <t>Gerencia General</t>
        </is>
      </c>
      <c r="H19" s="5" t="n"/>
    </row>
    <row r="20" hidden="1" s="38">
      <c r="A20" s="4" t="inlineStr">
        <is>
          <t>932</t>
        </is>
      </c>
      <c r="B20" s="5" t="inlineStr">
        <is>
          <t xml:space="preserve">HECTOR SEBASTIAN LOPEZ GRANADOS </t>
        </is>
      </c>
      <c r="C20" s="4" t="inlineStr">
        <is>
          <t>01/10/2025</t>
        </is>
      </c>
      <c r="D20" s="5" t="inlineStr">
        <is>
          <t>ASISTENTE TECNICO DE PROCESOS</t>
        </is>
      </c>
      <c r="E20" s="5" t="inlineStr">
        <is>
          <t xml:space="preserve"> EMPLEADO</t>
        </is>
      </c>
      <c r="F20" s="5" t="inlineStr">
        <is>
          <t>DEPARTAMENTO DE PROCESOS</t>
        </is>
      </c>
      <c r="G20" s="5" t="inlineStr">
        <is>
          <t>Gerencia General</t>
        </is>
      </c>
      <c r="H20" s="5" t="n"/>
    </row>
    <row r="21" hidden="1" s="38">
      <c r="A21" s="4" t="inlineStr">
        <is>
          <t>710</t>
        </is>
      </c>
      <c r="B21" s="5" t="inlineStr">
        <is>
          <t xml:space="preserve">MARIA AZUCENA BONILLA RIVERA </t>
        </is>
      </c>
      <c r="C21" s="4" t="inlineStr">
        <is>
          <t>05/04/2021</t>
        </is>
      </c>
      <c r="D21" s="5" t="inlineStr">
        <is>
          <t>OFICIAL DE SEGURIDAD DE LA INFORMACION</t>
        </is>
      </c>
      <c r="E21" s="5" t="inlineStr">
        <is>
          <t xml:space="preserve"> EMPLEADO</t>
        </is>
      </c>
      <c r="F21" s="5" t="inlineStr">
        <is>
          <t>OFICIALIA DE SEGURIDAD DE LA INFORMACION</t>
        </is>
      </c>
      <c r="G21" s="5" t="inlineStr">
        <is>
          <t>Gerencia General</t>
        </is>
      </c>
      <c r="H21" s="5" t="n"/>
    </row>
    <row r="22" hidden="1" s="38">
      <c r="A22" s="4" t="inlineStr">
        <is>
          <t>907</t>
        </is>
      </c>
      <c r="B22" s="5" t="inlineStr">
        <is>
          <t>JENNIFER GEORGINA ALVARADO HERNANDEZ</t>
        </is>
      </c>
      <c r="C22" s="4" t="inlineStr">
        <is>
          <t>11/02/2025</t>
        </is>
      </c>
      <c r="D22" s="5" t="inlineStr">
        <is>
          <t>ANALISTA DE MONITOREO DEL FRAUDE DIGITAL</t>
        </is>
      </c>
      <c r="E22" s="5" t="inlineStr">
        <is>
          <t xml:space="preserve"> EMPLEADO</t>
        </is>
      </c>
      <c r="F22" s="5" t="inlineStr">
        <is>
          <t>OFICIALIA DE SEGURIDAD DE LA INFORMACION</t>
        </is>
      </c>
      <c r="G22" s="5" t="inlineStr">
        <is>
          <t>Gerencia General</t>
        </is>
      </c>
      <c r="H22" s="5" t="n"/>
    </row>
    <row r="23" hidden="1" s="38">
      <c r="A23" s="4" t="inlineStr">
        <is>
          <t>918</t>
        </is>
      </c>
      <c r="B23" s="5" t="inlineStr">
        <is>
          <t xml:space="preserve">MARVIN ALONSO FRANCO RAMIREZ </t>
        </is>
      </c>
      <c r="C23" s="4" t="inlineStr">
        <is>
          <t>23/04/2025</t>
        </is>
      </c>
      <c r="D23" s="5" t="inlineStr">
        <is>
          <t>ANALISTA DE SEGURIDAD DE LA INFORMACION</t>
        </is>
      </c>
      <c r="E23" s="5" t="inlineStr">
        <is>
          <t xml:space="preserve"> EMPLEADO</t>
        </is>
      </c>
      <c r="F23" s="5" t="inlineStr">
        <is>
          <t>OFICIALIA DE SEGURIDAD DE LA INFORMACION</t>
        </is>
      </c>
      <c r="G23" s="5" t="inlineStr">
        <is>
          <t>Gerencia General</t>
        </is>
      </c>
      <c r="H23" s="5" t="n"/>
    </row>
    <row r="24" hidden="1" s="38">
      <c r="A24" s="4" t="inlineStr">
        <is>
          <t>950</t>
        </is>
      </c>
      <c r="B24" s="5" t="inlineStr">
        <is>
          <t xml:space="preserve">VALERIA MICHELLE  QUINTANILLA FLORES  </t>
        </is>
      </c>
      <c r="C24" s="4" t="inlineStr">
        <is>
          <t>24/11/2025</t>
        </is>
      </c>
      <c r="D24" s="5" t="inlineStr">
        <is>
          <t>ANALISTA TECNICO DE PROTECCION DE DATOS</t>
        </is>
      </c>
      <c r="E24" s="5" t="inlineStr">
        <is>
          <t xml:space="preserve"> EMPLEADO</t>
        </is>
      </c>
      <c r="F24" s="5" t="inlineStr">
        <is>
          <t>OFICIALIA DE SEGURIDAD DE LA INFORMACION</t>
        </is>
      </c>
      <c r="G24" s="5" t="inlineStr">
        <is>
          <t>Gerencia General</t>
        </is>
      </c>
      <c r="H24" s="5" t="n"/>
    </row>
    <row r="25" hidden="1" s="38">
      <c r="A25" s="4" t="inlineStr">
        <is>
          <t>45</t>
        </is>
      </c>
      <c r="B25" s="5" t="inlineStr">
        <is>
          <t>MARTA LILLIAN VIGIL QUIJANO</t>
        </is>
      </c>
      <c r="C25" s="4" t="inlineStr">
        <is>
          <t>11/08/1987</t>
        </is>
      </c>
      <c r="D25" s="5" t="inlineStr">
        <is>
          <t>ASISTENTE ADMINISTRATIVO DE GERENCIA  ADMINISTRATIVA</t>
        </is>
      </c>
      <c r="E25" s="5" t="inlineStr">
        <is>
          <t xml:space="preserve"> EMPLEADO</t>
        </is>
      </c>
      <c r="F25" s="5" t="inlineStr">
        <is>
          <t>GERENCIA  ADMINISTRATIVA</t>
        </is>
      </c>
      <c r="G25" s="5" t="inlineStr">
        <is>
          <t>Gerencia Administrativa</t>
        </is>
      </c>
      <c r="H25" s="5" t="n"/>
    </row>
    <row r="26" hidden="1" s="38">
      <c r="A26" s="4" t="inlineStr">
        <is>
          <t>55</t>
        </is>
      </c>
      <c r="B26" s="5" t="inlineStr">
        <is>
          <t xml:space="preserve">LEONEL EDGARDO SALAZAR RAMIREZ </t>
        </is>
      </c>
      <c r="C26" s="4" t="inlineStr">
        <is>
          <t>07/08/1995</t>
        </is>
      </c>
      <c r="D26" s="5" t="inlineStr">
        <is>
          <t>MENSAJERO</t>
        </is>
      </c>
      <c r="E26" s="5" t="inlineStr">
        <is>
          <t xml:space="preserve"> EMPLEADO</t>
        </is>
      </c>
      <c r="F26" s="5" t="inlineStr">
        <is>
          <t>DEPARTAMENTO DE SERVICIOS GENERALES</t>
        </is>
      </c>
      <c r="G26" s="5" t="inlineStr">
        <is>
          <t>Gerencia Administrativa</t>
        </is>
      </c>
      <c r="H26" s="5" t="n"/>
    </row>
    <row r="27" hidden="1" s="38">
      <c r="A27" s="4" t="inlineStr">
        <is>
          <t>222</t>
        </is>
      </c>
      <c r="B27" s="5" t="inlineStr">
        <is>
          <t xml:space="preserve">MARIA GUADALUPE MARTINEZ MURCIA </t>
        </is>
      </c>
      <c r="C27" s="4" t="inlineStr">
        <is>
          <t>25/10/2000</t>
        </is>
      </c>
      <c r="D27" s="5" t="inlineStr">
        <is>
          <t>AUXILIAR DE COMPRAS</t>
        </is>
      </c>
      <c r="E27" s="5" t="inlineStr">
        <is>
          <t xml:space="preserve"> EMPLEADO</t>
        </is>
      </c>
      <c r="F27" s="5" t="inlineStr">
        <is>
          <t>DEPARTAMENTO DE SERVICIOS GENERALES</t>
        </is>
      </c>
      <c r="G27" s="5" t="inlineStr">
        <is>
          <t>Gerencia Administrativa</t>
        </is>
      </c>
      <c r="H27" s="5" t="n"/>
    </row>
    <row r="28" hidden="1" s="38">
      <c r="A28" s="4" t="inlineStr">
        <is>
          <t>224</t>
        </is>
      </c>
      <c r="B28" s="5" t="inlineStr">
        <is>
          <t xml:space="preserve">JESUS REYES GUZMAN FUENTES </t>
        </is>
      </c>
      <c r="C28" s="4" t="inlineStr">
        <is>
          <t>07/11/2000</t>
        </is>
      </c>
      <c r="D28" s="5" t="inlineStr">
        <is>
          <t>MENSAJERO</t>
        </is>
      </c>
      <c r="E28" s="5" t="inlineStr">
        <is>
          <t xml:space="preserve"> EMPLEADO</t>
        </is>
      </c>
      <c r="F28" s="5" t="inlineStr">
        <is>
          <t>DEPARTAMENTO DE SERVICIOS GENERALES</t>
        </is>
      </c>
      <c r="G28" s="5" t="inlineStr">
        <is>
          <t>Gerencia Administrativa</t>
        </is>
      </c>
      <c r="H28" s="5" t="n"/>
    </row>
    <row r="29" hidden="1" s="38">
      <c r="A29" s="4" t="inlineStr">
        <is>
          <t>387</t>
        </is>
      </c>
      <c r="B29" s="5" t="inlineStr">
        <is>
          <t xml:space="preserve">CELINA CECILIA ANZORA BERNAL </t>
        </is>
      </c>
      <c r="C29" s="4" t="inlineStr">
        <is>
          <t>14/08/2006</t>
        </is>
      </c>
      <c r="D29" s="5" t="inlineStr">
        <is>
          <t>SERVICIOS VARIOS</t>
        </is>
      </c>
      <c r="E29" s="5" t="inlineStr">
        <is>
          <t xml:space="preserve"> EMPLEADO</t>
        </is>
      </c>
      <c r="F29" s="5" t="inlineStr">
        <is>
          <t>DEPARTAMENTO DE SERVICIOS GENERALES</t>
        </is>
      </c>
      <c r="G29" s="5" t="inlineStr">
        <is>
          <t>Gerencia Administrativa</t>
        </is>
      </c>
      <c r="H29" s="5" t="n"/>
    </row>
    <row r="30" hidden="1" s="38">
      <c r="A30" s="4" t="inlineStr">
        <is>
          <t>430</t>
        </is>
      </c>
      <c r="B30" s="5" t="inlineStr">
        <is>
          <t xml:space="preserve">MARIO ROSALES VASQUEZ </t>
        </is>
      </c>
      <c r="C30" s="4" t="inlineStr">
        <is>
          <t>23/06/2008</t>
        </is>
      </c>
      <c r="D30" s="5" t="inlineStr">
        <is>
          <t>MENSAJERO</t>
        </is>
      </c>
      <c r="E30" s="5" t="inlineStr">
        <is>
          <t xml:space="preserve"> EMPLEADO</t>
        </is>
      </c>
      <c r="F30" s="5" t="inlineStr">
        <is>
          <t>DEPARTAMENTO DE SERVICIOS GENERALES</t>
        </is>
      </c>
      <c r="G30" s="5" t="inlineStr">
        <is>
          <t>Gerencia Administrativa</t>
        </is>
      </c>
      <c r="H30" s="5" t="n"/>
    </row>
    <row r="31" hidden="1" s="38">
      <c r="A31" s="4" t="inlineStr">
        <is>
          <t>436</t>
        </is>
      </c>
      <c r="B31" s="5" t="inlineStr">
        <is>
          <t xml:space="preserve">MAURICIO ANTONIO RAMIREZ PEREZ </t>
        </is>
      </c>
      <c r="C31" s="4" t="inlineStr">
        <is>
          <t>22/09/2008</t>
        </is>
      </c>
      <c r="D31" s="5" t="inlineStr">
        <is>
          <t>AUXILIAR DE MANTENIMIENTO</t>
        </is>
      </c>
      <c r="E31" s="5" t="inlineStr">
        <is>
          <t xml:space="preserve"> EMPLEADO</t>
        </is>
      </c>
      <c r="F31" s="5" t="inlineStr">
        <is>
          <t>DEPARTAMENTO DE SERVICIOS GENERALES</t>
        </is>
      </c>
      <c r="G31" s="5" t="inlineStr">
        <is>
          <t>Gerencia Administrativa</t>
        </is>
      </c>
      <c r="H31" s="5" t="n"/>
    </row>
    <row r="32" hidden="1" s="38">
      <c r="A32" s="4" t="inlineStr">
        <is>
          <t>522</t>
        </is>
      </c>
      <c r="B32" s="5" t="inlineStr">
        <is>
          <t xml:space="preserve">MARGARITA GUADALUPE  HENRIQUEZ ELIAS </t>
        </is>
      </c>
      <c r="C32" s="4" t="inlineStr">
        <is>
          <t>01/04/2013</t>
        </is>
      </c>
      <c r="D32" s="5" t="inlineStr">
        <is>
          <t>SERVICIOS VARIOS</t>
        </is>
      </c>
      <c r="E32" s="5" t="inlineStr">
        <is>
          <t xml:space="preserve"> EMPLEADO</t>
        </is>
      </c>
      <c r="F32" s="5" t="inlineStr">
        <is>
          <t>DEPARTAMENTO DE SERVICIOS GENERALES</t>
        </is>
      </c>
      <c r="G32" s="5" t="inlineStr">
        <is>
          <t>Gerencia Administrativa</t>
        </is>
      </c>
      <c r="H32" s="5" t="n"/>
    </row>
    <row r="33" hidden="1" s="38">
      <c r="A33" s="4" t="inlineStr">
        <is>
          <t>587</t>
        </is>
      </c>
      <c r="B33" s="5" t="inlineStr">
        <is>
          <t xml:space="preserve">JOSE ROSALIO GARCIA SOTO </t>
        </is>
      </c>
      <c r="C33" s="4" t="inlineStr">
        <is>
          <t>06/02/2017</t>
        </is>
      </c>
      <c r="D33" s="5" t="inlineStr">
        <is>
          <t>JARDINERO</t>
        </is>
      </c>
      <c r="E33" s="5" t="inlineStr">
        <is>
          <t xml:space="preserve"> EMPLEADO</t>
        </is>
      </c>
      <c r="F33" s="5" t="inlineStr">
        <is>
          <t>DEPARTAMENTO DE SERVICIOS GENERALES</t>
        </is>
      </c>
      <c r="G33" s="5" t="inlineStr">
        <is>
          <t>Gerencia Administrativa</t>
        </is>
      </c>
      <c r="H33" s="5" t="n"/>
    </row>
    <row r="34" hidden="1" s="38">
      <c r="A34" s="4" t="inlineStr">
        <is>
          <t>599</t>
        </is>
      </c>
      <c r="B34" s="5" t="inlineStr">
        <is>
          <t>MAIRA ELIZABETH PEREZ LEIVA</t>
        </is>
      </c>
      <c r="C34" s="4" t="inlineStr">
        <is>
          <t>16/08/2017</t>
        </is>
      </c>
      <c r="D34" s="5" t="inlineStr">
        <is>
          <t>JEFE DE SERVICIOS GENERALES</t>
        </is>
      </c>
      <c r="E34" s="5" t="inlineStr">
        <is>
          <t xml:space="preserve"> EMPLEADO</t>
        </is>
      </c>
      <c r="F34" s="5" t="inlineStr">
        <is>
          <t>DEPARTAMENTO DE SERVICIOS GENERALES</t>
        </is>
      </c>
      <c r="G34" s="5" t="inlineStr">
        <is>
          <t>Gerencia Administrativa</t>
        </is>
      </c>
      <c r="H34" s="5" t="n"/>
    </row>
    <row r="35" hidden="1" s="38">
      <c r="A35" s="4" t="inlineStr">
        <is>
          <t>684</t>
        </is>
      </c>
      <c r="B35" s="5" t="inlineStr">
        <is>
          <t xml:space="preserve">ILIANA CAROLINA FLAMENCO FLORES </t>
        </is>
      </c>
      <c r="C35" s="4" t="inlineStr">
        <is>
          <t>02/09/2020</t>
        </is>
      </c>
      <c r="D35" s="5" t="inlineStr">
        <is>
          <t>SERVICIOS VARIOS</t>
        </is>
      </c>
      <c r="E35" s="5" t="inlineStr">
        <is>
          <t xml:space="preserve"> EMPLEADO</t>
        </is>
      </c>
      <c r="F35" s="5" t="inlineStr">
        <is>
          <t>DEPARTAMENTO DE SERVICIOS GENERALES</t>
        </is>
      </c>
      <c r="G35" s="5" t="inlineStr">
        <is>
          <t>Gerencia Administrativa</t>
        </is>
      </c>
      <c r="H35" s="5" t="n"/>
    </row>
    <row r="36" hidden="1" s="38">
      <c r="A36" s="4" t="inlineStr">
        <is>
          <t>803</t>
        </is>
      </c>
      <c r="B36" s="5" t="inlineStr">
        <is>
          <t xml:space="preserve">CHRISTIAN GEORGE FIGUEROA BLANCO </t>
        </is>
      </c>
      <c r="C36" s="4" t="inlineStr">
        <is>
          <t>10/04/2023</t>
        </is>
      </c>
      <c r="D36" s="5" t="inlineStr">
        <is>
          <t>MENSAJERO</t>
        </is>
      </c>
      <c r="E36" s="5" t="inlineStr">
        <is>
          <t xml:space="preserve"> EMPLEADO</t>
        </is>
      </c>
      <c r="F36" s="5" t="inlineStr">
        <is>
          <t>DEPARTAMENTO DE SERVICIOS GENERALES</t>
        </is>
      </c>
      <c r="G36" s="5" t="inlineStr">
        <is>
          <t>Gerencia Administrativa</t>
        </is>
      </c>
      <c r="H36" s="5" t="n"/>
    </row>
    <row r="37" hidden="1" s="38">
      <c r="A37" s="4" t="inlineStr">
        <is>
          <t>830</t>
        </is>
      </c>
      <c r="B37" s="5" t="inlineStr">
        <is>
          <t xml:space="preserve">GERMAN ALBERTO  CAMPOS TORRES </t>
        </is>
      </c>
      <c r="C37" s="4" t="inlineStr">
        <is>
          <t>04/10/2023</t>
        </is>
      </c>
      <c r="D37" s="5" t="inlineStr">
        <is>
          <t>TECNICO EN MANTENIMIENTO</t>
        </is>
      </c>
      <c r="E37" s="5" t="inlineStr">
        <is>
          <t xml:space="preserve"> EMPLEADO</t>
        </is>
      </c>
      <c r="F37" s="5" t="inlineStr">
        <is>
          <t>DEPARTAMENTO DE SERVICIOS GENERALES</t>
        </is>
      </c>
      <c r="G37" s="5" t="inlineStr">
        <is>
          <t>Gerencia Administrativa</t>
        </is>
      </c>
      <c r="H37" s="5" t="n"/>
    </row>
    <row r="38" hidden="1" s="38">
      <c r="A38" s="4" t="inlineStr">
        <is>
          <t>852</t>
        </is>
      </c>
      <c r="B38" s="5" t="inlineStr">
        <is>
          <t xml:space="preserve">JONATHAN ENRIQUE  AQUINO SANCHEZ </t>
        </is>
      </c>
      <c r="C38" s="4" t="inlineStr">
        <is>
          <t>01/02/2024</t>
        </is>
      </c>
      <c r="D38" s="5" t="inlineStr">
        <is>
          <t>SERVICIOS VARIOS</t>
        </is>
      </c>
      <c r="E38" s="5" t="inlineStr">
        <is>
          <t xml:space="preserve"> EMPLEADO</t>
        </is>
      </c>
      <c r="F38" s="5" t="inlineStr">
        <is>
          <t>DEPARTAMENTO DE SERVICIOS GENERALES</t>
        </is>
      </c>
      <c r="G38" s="5" t="inlineStr">
        <is>
          <t>Gerencia Administrativa</t>
        </is>
      </c>
      <c r="H38" s="5" t="n"/>
    </row>
    <row r="39" hidden="1" s="38">
      <c r="A39" s="4" t="inlineStr">
        <is>
          <t>875</t>
        </is>
      </c>
      <c r="B39" s="5" t="inlineStr">
        <is>
          <t xml:space="preserve">BELLY EMERSON RIVERA ASCENCIO </t>
        </is>
      </c>
      <c r="C39" s="4" t="inlineStr">
        <is>
          <t>03/06/2024</t>
        </is>
      </c>
      <c r="D39" s="5" t="inlineStr">
        <is>
          <t>SERVICIOS VARIOS</t>
        </is>
      </c>
      <c r="E39" s="5" t="inlineStr">
        <is>
          <t xml:space="preserve"> EMPLEADO</t>
        </is>
      </c>
      <c r="F39" s="5" t="inlineStr">
        <is>
          <t>DEPARTAMENTO DE SERVICIOS GENERALES</t>
        </is>
      </c>
      <c r="G39" s="5" t="inlineStr">
        <is>
          <t>Gerencia Administrativa</t>
        </is>
      </c>
      <c r="H39" s="5" t="n"/>
    </row>
    <row r="40" hidden="1" s="38">
      <c r="A40" s="4" t="inlineStr">
        <is>
          <t>926</t>
        </is>
      </c>
      <c r="B40" s="5" t="inlineStr">
        <is>
          <t xml:space="preserve">ANDRES VLADIMIR LUNA GUEVARA </t>
        </is>
      </c>
      <c r="C40" s="4" t="inlineStr">
        <is>
          <t>28/12/2025</t>
        </is>
      </c>
      <c r="D40" s="5" t="inlineStr">
        <is>
          <t>MENSAJERO</t>
        </is>
      </c>
      <c r="E40" s="5" t="inlineStr">
        <is>
          <t xml:space="preserve"> EMPLEADO</t>
        </is>
      </c>
      <c r="F40" s="5" t="inlineStr">
        <is>
          <t>DEPARTAMENTO DE SERVICIOS GENERALES</t>
        </is>
      </c>
      <c r="G40" s="5" t="inlineStr">
        <is>
          <t>Gerencia Administrativa</t>
        </is>
      </c>
      <c r="H40" s="5" t="n"/>
    </row>
    <row r="41" hidden="1" s="38">
      <c r="A41" s="4" t="inlineStr">
        <is>
          <t>959</t>
        </is>
      </c>
      <c r="B41" s="5" t="inlineStr">
        <is>
          <t xml:space="preserve">XIOMARA JEANNETTE ESCOBAR PORTILLO </t>
        </is>
      </c>
      <c r="C41" s="4" t="inlineStr">
        <is>
          <t>01/06/2026</t>
        </is>
      </c>
      <c r="D41" s="5" t="inlineStr">
        <is>
          <t>SERVICIOS VARIOS</t>
        </is>
      </c>
      <c r="E41" s="5" t="inlineStr">
        <is>
          <t xml:space="preserve"> EMPLEADO</t>
        </is>
      </c>
      <c r="F41" s="5" t="inlineStr">
        <is>
          <t>DEPARTAMENTO DE SERVICIOS GENERALES</t>
        </is>
      </c>
      <c r="G41" s="5" t="inlineStr">
        <is>
          <t>Gerencia Administrativa</t>
        </is>
      </c>
      <c r="H41" s="5" t="n"/>
    </row>
    <row r="42" hidden="1" s="38">
      <c r="A42" s="4" t="inlineStr">
        <is>
          <t>972</t>
        </is>
      </c>
      <c r="B42" s="5" t="inlineStr">
        <is>
          <t xml:space="preserve">GEOVANNY GABRIEL RODRIGUEZ SOLORZANO </t>
        </is>
      </c>
      <c r="C42" s="4" t="inlineStr">
        <is>
          <t>01/06/2026</t>
        </is>
      </c>
      <c r="D42" s="5" t="inlineStr">
        <is>
          <t>AUXILIAR DE ACTIVO FIJO Y ALMACEN</t>
        </is>
      </c>
      <c r="E42" s="5" t="inlineStr">
        <is>
          <t xml:space="preserve"> EMPLEADO</t>
        </is>
      </c>
      <c r="F42" s="5" t="inlineStr">
        <is>
          <t>DEPARTAMENTO DE SERVICIOS GENERALES</t>
        </is>
      </c>
      <c r="G42" s="5" t="inlineStr">
        <is>
          <t>Gerencia Administrativa</t>
        </is>
      </c>
      <c r="H42" s="5" t="n"/>
    </row>
    <row r="43" hidden="1" s="38">
      <c r="A43" s="4" t="inlineStr">
        <is>
          <t>539</t>
        </is>
      </c>
      <c r="B43" s="5" t="inlineStr">
        <is>
          <t xml:space="preserve">JESICA XIOMARA RAMOS PEÑA </t>
        </is>
      </c>
      <c r="C43" s="4" t="inlineStr">
        <is>
          <t>03/11/2014</t>
        </is>
      </c>
      <c r="D43" s="5" t="inlineStr">
        <is>
          <t>JEFE DE CUSTODIA DE GARANTÍA Y VALORES</t>
        </is>
      </c>
      <c r="E43" s="5" t="inlineStr">
        <is>
          <t xml:space="preserve"> EMPLEADO</t>
        </is>
      </c>
      <c r="F43" s="5" t="inlineStr">
        <is>
          <t>DEPARTAMENTO DE CUSTODIA DE GARANTÍA Y VALORES</t>
        </is>
      </c>
      <c r="G43" s="5" t="inlineStr">
        <is>
          <t>Gerencia Administrativa</t>
        </is>
      </c>
      <c r="H43" s="5" t="n"/>
    </row>
    <row r="44" hidden="1" s="38">
      <c r="A44" s="4" t="inlineStr">
        <is>
          <t>678</t>
        </is>
      </c>
      <c r="B44" s="5" t="inlineStr">
        <is>
          <t xml:space="preserve">CARLOS ALBERTO VELASQUEZ ALVARADO </t>
        </is>
      </c>
      <c r="C44" s="4" t="inlineStr">
        <is>
          <t>17/02/2020</t>
        </is>
      </c>
      <c r="D44" s="5" t="inlineStr">
        <is>
          <t>ANALISTA DE ARCHIVO CENTRAL</t>
        </is>
      </c>
      <c r="E44" s="5" t="inlineStr">
        <is>
          <t xml:space="preserve"> EMPLEADO</t>
        </is>
      </c>
      <c r="F44" s="5" t="inlineStr">
        <is>
          <t>DEPARTAMENTO DE CUSTODIA DE GARANTÍA Y VALORES</t>
        </is>
      </c>
      <c r="G44" s="5" t="inlineStr">
        <is>
          <t>Gerencia Administrativa</t>
        </is>
      </c>
      <c r="H44" s="5" t="n"/>
    </row>
    <row r="45" hidden="1" s="38">
      <c r="A45" s="4" t="inlineStr">
        <is>
          <t>740</t>
        </is>
      </c>
      <c r="B45" s="5" t="inlineStr">
        <is>
          <t xml:space="preserve">RAFAEL ERNESTO LOPEZ MARTINEZ </t>
        </is>
      </c>
      <c r="C45" s="4" t="inlineStr">
        <is>
          <t>22/02/2022</t>
        </is>
      </c>
      <c r="D45" s="5" t="inlineStr">
        <is>
          <t>ASISTENTE ADMINISTRATIVO CUSTODIA DE GARANTIA Y VALORES</t>
        </is>
      </c>
      <c r="E45" s="5" t="inlineStr">
        <is>
          <t xml:space="preserve"> EMPLEADO</t>
        </is>
      </c>
      <c r="F45" s="5" t="inlineStr">
        <is>
          <t>DEPARTAMENTO DE CUSTODIA DE GARANTÍA Y VALORES</t>
        </is>
      </c>
      <c r="G45" s="5" t="inlineStr">
        <is>
          <t>Gerencia Administrativa</t>
        </is>
      </c>
      <c r="H45" s="5" t="n"/>
    </row>
    <row r="46" hidden="1" s="38">
      <c r="A46" s="4" t="inlineStr">
        <is>
          <t>934</t>
        </is>
      </c>
      <c r="B46" s="5" t="inlineStr">
        <is>
          <t xml:space="preserve">JOSE FRANCISCO ZECEÑA MUÑOZ </t>
        </is>
      </c>
      <c r="C46" s="4" t="inlineStr">
        <is>
          <t>10/07/2025</t>
        </is>
      </c>
      <c r="D46" s="5" t="inlineStr">
        <is>
          <t>AUXILIAR DE CUSTODIA  DE VALORES</t>
        </is>
      </c>
      <c r="E46" s="5" t="inlineStr">
        <is>
          <t xml:space="preserve"> EMPLEADO</t>
        </is>
      </c>
      <c r="F46" s="5" t="inlineStr">
        <is>
          <t>DEPARTAMENTO DE CUSTODIA DE GARANTÍA Y VALORES</t>
        </is>
      </c>
      <c r="G46" s="5" t="inlineStr">
        <is>
          <t>Gerencia Administrativa</t>
        </is>
      </c>
      <c r="H46" s="5" t="n"/>
    </row>
    <row r="47" hidden="1" s="38">
      <c r="A47" s="4" t="inlineStr">
        <is>
          <t>949</t>
        </is>
      </c>
      <c r="B47" s="5" t="inlineStr">
        <is>
          <t xml:space="preserve">ALEJANDRO JOSE  ARGUETA  CORTEZ  </t>
        </is>
      </c>
      <c r="C47" s="4" t="inlineStr">
        <is>
          <t>06/11/2025</t>
        </is>
      </c>
      <c r="D47" s="5" t="inlineStr">
        <is>
          <t>AUXILIAR DE CUSTODIA  DE VALORES</t>
        </is>
      </c>
      <c r="E47" s="5" t="inlineStr">
        <is>
          <t xml:space="preserve"> EMPLEADO</t>
        </is>
      </c>
      <c r="F47" s="5" t="inlineStr">
        <is>
          <t>DEPARTAMENTO DE CUSTODIA DE GARANTÍA Y VALORES</t>
        </is>
      </c>
      <c r="G47" s="5" t="inlineStr">
        <is>
          <t>Gerencia Administrativa</t>
        </is>
      </c>
      <c r="H47" s="5" t="n"/>
    </row>
    <row r="48" hidden="1" s="38">
      <c r="A48" s="4" t="inlineStr">
        <is>
          <t>973</t>
        </is>
      </c>
      <c r="B48" s="5" t="inlineStr">
        <is>
          <t xml:space="preserve">HUGO ROLANDO VELASCO RIVERA </t>
        </is>
      </c>
      <c r="C48" s="4" t="inlineStr">
        <is>
          <t>02/07/2026</t>
        </is>
      </c>
      <c r="D48" s="5" t="inlineStr">
        <is>
          <t>AUXILIAR DE CUSTODIA  DE VALORES</t>
        </is>
      </c>
      <c r="E48" s="5" t="inlineStr">
        <is>
          <t xml:space="preserve"> EMPLEADO</t>
        </is>
      </c>
      <c r="F48" s="5" t="inlineStr">
        <is>
          <t>DEPARTAMENTO DE CUSTODIA DE GARANTÍA Y VALORES</t>
        </is>
      </c>
      <c r="G48" s="5" t="inlineStr">
        <is>
          <t>Gerencia Administrativa</t>
        </is>
      </c>
      <c r="H48" s="5" t="n"/>
    </row>
    <row r="49" hidden="1" s="38">
      <c r="A49" s="4" t="inlineStr">
        <is>
          <t>65</t>
        </is>
      </c>
      <c r="B49" s="5" t="inlineStr">
        <is>
          <t xml:space="preserve">DORA ALICIA CASTILLO </t>
        </is>
      </c>
      <c r="C49" s="4" t="inlineStr">
        <is>
          <t>16/08/1988</t>
        </is>
      </c>
      <c r="D49" s="5" t="inlineStr">
        <is>
          <t>JEFE DE TALENTO HUMANO</t>
        </is>
      </c>
      <c r="E49" s="5" t="inlineStr">
        <is>
          <t xml:space="preserve"> EMPLEADO</t>
        </is>
      </c>
      <c r="F49" s="5" t="inlineStr">
        <is>
          <t>DEPARTAMENTO DE TALENTO HUMANO</t>
        </is>
      </c>
      <c r="G49" s="5" t="inlineStr">
        <is>
          <t>Gerencia Administrativa</t>
        </is>
      </c>
      <c r="H49" s="5" t="inlineStr">
        <is>
          <t>Vacaciones</t>
        </is>
      </c>
    </row>
    <row r="50" hidden="1" s="38">
      <c r="A50" s="4" t="inlineStr">
        <is>
          <t>948</t>
        </is>
      </c>
      <c r="B50" s="5" t="inlineStr">
        <is>
          <t xml:space="preserve">NELSON KILDER  QUIJADA ECHEVERRIA  </t>
        </is>
      </c>
      <c r="C50" s="4" t="inlineStr">
        <is>
          <t>20/10/2025</t>
        </is>
      </c>
      <c r="D50" s="5" t="inlineStr">
        <is>
          <t>ASISTENTE TECNICO DE TALENTO HUMANO</t>
        </is>
      </c>
      <c r="E50" s="5" t="inlineStr">
        <is>
          <t xml:space="preserve"> EMPLEADO</t>
        </is>
      </c>
      <c r="F50" s="5" t="inlineStr">
        <is>
          <t>DEPARTAMENTO DE TALENTO HUMANO</t>
        </is>
      </c>
      <c r="G50" s="5" t="inlineStr">
        <is>
          <t>Gerencia Administrativa</t>
        </is>
      </c>
      <c r="H50" s="5" t="n"/>
    </row>
    <row r="51" hidden="1" s="38">
      <c r="A51" s="4" t="inlineStr">
        <is>
          <t>962</t>
        </is>
      </c>
      <c r="B51" s="5" t="inlineStr">
        <is>
          <t xml:space="preserve">HELEN GLORIBEL PLATERO SANCHEZ </t>
        </is>
      </c>
      <c r="C51" s="4" t="inlineStr">
        <is>
          <t>08/04/2026</t>
        </is>
      </c>
      <c r="D51" s="5" t="inlineStr">
        <is>
          <t>ANALISTA DE DESARROLLO ORGANIZACIONAL</t>
        </is>
      </c>
      <c r="E51" s="5" t="inlineStr">
        <is>
          <t xml:space="preserve"> EMPLEADO</t>
        </is>
      </c>
      <c r="F51" s="5" t="inlineStr">
        <is>
          <t>DEPARTAMENTO DE TALENTO HUMANO</t>
        </is>
      </c>
      <c r="G51" s="5" t="inlineStr">
        <is>
          <t>Gerencia Administrativa</t>
        </is>
      </c>
      <c r="H51" s="5" t="n"/>
    </row>
    <row r="52" hidden="1" s="38">
      <c r="A52" s="4" t="inlineStr">
        <is>
          <t>452</t>
        </is>
      </c>
      <c r="B52" s="5" t="inlineStr">
        <is>
          <t xml:space="preserve">SERGIO ARTURO CALDERON SALAZAR </t>
        </is>
      </c>
      <c r="C52" s="4" t="inlineStr">
        <is>
          <t>11/01/2010</t>
        </is>
      </c>
      <c r="D52" s="5" t="inlineStr">
        <is>
          <t>COORDINADOR DE SEGURIDAD</t>
        </is>
      </c>
      <c r="E52" s="5" t="inlineStr">
        <is>
          <t xml:space="preserve"> EMPLEADO</t>
        </is>
      </c>
      <c r="F52" s="5" t="inlineStr">
        <is>
          <t>DEPARTAMENTO DE SEGURIDAD</t>
        </is>
      </c>
      <c r="G52" s="5" t="inlineStr">
        <is>
          <t>Gerencia Administrativa</t>
        </is>
      </c>
      <c r="H52" s="5" t="n"/>
    </row>
    <row r="53" hidden="1" s="38">
      <c r="A53" s="4" t="inlineStr">
        <is>
          <t>901</t>
        </is>
      </c>
      <c r="B53" s="5" t="inlineStr">
        <is>
          <t xml:space="preserve">CARLOS ALEJANDRO  MARAVILLA MENDEZ </t>
        </is>
      </c>
      <c r="C53" s="4" t="inlineStr">
        <is>
          <t>14/10/2024</t>
        </is>
      </c>
      <c r="D53" s="5" t="inlineStr">
        <is>
          <t>OPERADOR DE MONITOREO DE LOS SISTEMAS DE SEGURIDAD</t>
        </is>
      </c>
      <c r="E53" s="5" t="inlineStr">
        <is>
          <t xml:space="preserve"> EMPLEADO</t>
        </is>
      </c>
      <c r="F53" s="5" t="inlineStr">
        <is>
          <t>DEPARTAMENTO DE SEGURIDAD</t>
        </is>
      </c>
      <c r="G53" s="5" t="inlineStr">
        <is>
          <t>Gerencia Administrativa</t>
        </is>
      </c>
      <c r="H53" s="5" t="n"/>
    </row>
    <row r="54" hidden="1" s="38">
      <c r="A54" s="4" t="inlineStr">
        <is>
          <t>590</t>
        </is>
      </c>
      <c r="B54" s="5" t="inlineStr">
        <is>
          <t xml:space="preserve">LORENA ELIZABETH GALDAMEZ NUÑEZ </t>
        </is>
      </c>
      <c r="C54" s="4" t="inlineStr">
        <is>
          <t>23/03/2017</t>
        </is>
      </c>
      <c r="D54" s="5" t="inlineStr">
        <is>
          <t>MEDICO</t>
        </is>
      </c>
      <c r="E54" s="5" t="inlineStr">
        <is>
          <t xml:space="preserve"> EMPLEADO</t>
        </is>
      </c>
      <c r="F54" s="5" t="inlineStr">
        <is>
          <t>CLINICA EMPRESARIAL</t>
        </is>
      </c>
      <c r="G54" s="5" t="inlineStr">
        <is>
          <t>Gerencia Administrativa</t>
        </is>
      </c>
      <c r="H54" s="5" t="n"/>
    </row>
    <row r="55" hidden="1" s="38">
      <c r="A55" s="4" t="inlineStr">
        <is>
          <t>609</t>
        </is>
      </c>
      <c r="B55" s="5" t="inlineStr">
        <is>
          <t xml:space="preserve">GLADIS OSIRIS VALLE HERNANDEZ </t>
        </is>
      </c>
      <c r="C55" s="4" t="inlineStr">
        <is>
          <t>02/01/2018</t>
        </is>
      </c>
      <c r="D55" s="5" t="inlineStr">
        <is>
          <t>ENFERMERA</t>
        </is>
      </c>
      <c r="E55" s="5" t="inlineStr">
        <is>
          <t xml:space="preserve"> EMPLEADO</t>
        </is>
      </c>
      <c r="F55" s="5" t="inlineStr">
        <is>
          <t>CLINICA EMPRESARIAL</t>
        </is>
      </c>
      <c r="G55" s="5" t="inlineStr">
        <is>
          <t>Gerencia Administrativa</t>
        </is>
      </c>
      <c r="H55" s="5" t="n"/>
    </row>
    <row r="56" hidden="1" s="38">
      <c r="A56" s="4" t="inlineStr">
        <is>
          <t>847</t>
        </is>
      </c>
      <c r="B56" s="5" t="inlineStr">
        <is>
          <t>ZULEYMA ALEJANDRA VASQUEZ  MARIN</t>
        </is>
      </c>
      <c r="C56" s="4" t="inlineStr">
        <is>
          <t>18/12/2023</t>
        </is>
      </c>
      <c r="D56" s="5" t="inlineStr">
        <is>
          <t>JEFE DE EDUCACION Y RESPONSABILIDAD SOCIAL</t>
        </is>
      </c>
      <c r="E56" s="5" t="inlineStr">
        <is>
          <t xml:space="preserve"> EMPLEADO</t>
        </is>
      </c>
      <c r="F56" s="5" t="inlineStr">
        <is>
          <t>DEPARTAMENTO DE EDUCACION Y RESPONSABILIDAD SOCIAL</t>
        </is>
      </c>
      <c r="G56" s="5" t="inlineStr">
        <is>
          <t>Gerencia Administrativa</t>
        </is>
      </c>
      <c r="H56" s="5" t="n"/>
    </row>
    <row r="57" hidden="1" s="38">
      <c r="A57" s="4" t="inlineStr">
        <is>
          <t>853</t>
        </is>
      </c>
      <c r="B57" s="5" t="inlineStr">
        <is>
          <t xml:space="preserve">STEPHANIE CAROLINA MALDONADO FLORES </t>
        </is>
      </c>
      <c r="C57" s="4" t="inlineStr">
        <is>
          <t>05/02/2024</t>
        </is>
      </c>
      <c r="D57" s="5" t="inlineStr">
        <is>
          <t>ASISTENTE TECNICO DEPARTAMENTO DE EDUCACION Y RESPONSABILIDA</t>
        </is>
      </c>
      <c r="E57" s="5" t="inlineStr">
        <is>
          <t xml:space="preserve"> EMPLEADO</t>
        </is>
      </c>
      <c r="F57" s="5" t="inlineStr">
        <is>
          <t>DEPARTAMENTO DE EDUCACION Y RESPONSABILIDAD SOCIAL</t>
        </is>
      </c>
      <c r="G57" s="5" t="inlineStr">
        <is>
          <t>Gerencia Administrativa</t>
        </is>
      </c>
      <c r="H57" s="5" t="n"/>
    </row>
    <row r="58" hidden="1" s="38">
      <c r="A58" s="4" t="inlineStr">
        <is>
          <t>919</t>
        </is>
      </c>
      <c r="B58" s="5" t="inlineStr">
        <is>
          <t xml:space="preserve">CARLOS EDUARDO SERVELLON PEREZ </t>
        </is>
      </c>
      <c r="C58" s="4" t="inlineStr">
        <is>
          <t>23/04/2025</t>
        </is>
      </c>
      <c r="D58" s="5" t="inlineStr">
        <is>
          <t>AUXILIAR DE EDUCACION Y RESPONSABILIDAD SOCIAL</t>
        </is>
      </c>
      <c r="E58" s="5" t="inlineStr">
        <is>
          <t xml:space="preserve"> EMPLEADO</t>
        </is>
      </c>
      <c r="F58" s="5" t="inlineStr">
        <is>
          <t>DEPARTAMENTO DE EDUCACION Y RESPONSABILIDAD SOCIAL</t>
        </is>
      </c>
      <c r="G58" s="5" t="inlineStr">
        <is>
          <t>Gerencia Administrativa</t>
        </is>
      </c>
      <c r="H58" s="5" t="n"/>
    </row>
    <row r="59" hidden="1" s="38">
      <c r="A59" s="4" t="inlineStr">
        <is>
          <t>34</t>
        </is>
      </c>
      <c r="B59" s="5" t="inlineStr">
        <is>
          <t xml:space="preserve">YENIS MARILU ESCOBAR SORTO </t>
        </is>
      </c>
      <c r="C59" s="4" t="inlineStr">
        <is>
          <t>06/05/1996</t>
        </is>
      </c>
      <c r="D59" s="5" t="inlineStr">
        <is>
          <t>EJECUTIVO DE SOLUCIONES FINANCIERAS</t>
        </is>
      </c>
      <c r="E59" s="5" t="inlineStr">
        <is>
          <t xml:space="preserve"> EMPLEADO</t>
        </is>
      </c>
      <c r="F59" s="5" t="inlineStr">
        <is>
          <t>DEPARTAMENTO DE SOLUCIONES FINANCIERAS</t>
        </is>
      </c>
      <c r="G59" s="5" t="inlineStr">
        <is>
          <t>Gerencia de Operaciones</t>
        </is>
      </c>
      <c r="H59" s="5" t="n"/>
    </row>
    <row r="60" hidden="1" s="38">
      <c r="A60" s="4" t="inlineStr">
        <is>
          <t>182</t>
        </is>
      </c>
      <c r="B60" s="5" t="inlineStr">
        <is>
          <t>ROSA ELIZABETH RIVAS AGUILUZ</t>
        </is>
      </c>
      <c r="C60" s="4" t="inlineStr">
        <is>
          <t>20/05/1999</t>
        </is>
      </c>
      <c r="D60" s="5" t="inlineStr">
        <is>
          <t>EJECUTIVO DE SOLUCIONES FINANCIERAS</t>
        </is>
      </c>
      <c r="E60" s="5" t="inlineStr">
        <is>
          <t xml:space="preserve"> EMPLEADO</t>
        </is>
      </c>
      <c r="F60" s="5" t="inlineStr">
        <is>
          <t>DEPARTAMENTO DE SOLUCIONES FINANCIERAS</t>
        </is>
      </c>
      <c r="G60" s="5" t="inlineStr">
        <is>
          <t>Gerencia de Operaciones</t>
        </is>
      </c>
      <c r="H60" s="5" t="n"/>
    </row>
    <row r="61" hidden="1" s="38">
      <c r="A61" s="4" t="inlineStr">
        <is>
          <t>263</t>
        </is>
      </c>
      <c r="B61" s="5" t="inlineStr">
        <is>
          <t xml:space="preserve">XOCHILT VERONICA NOUBLEAU </t>
        </is>
      </c>
      <c r="C61" s="4" t="inlineStr">
        <is>
          <t>27/08/2001</t>
        </is>
      </c>
      <c r="D61" s="5" t="inlineStr">
        <is>
          <t>EJECUTIVO DE SOLUCIONES FINANCIERAS</t>
        </is>
      </c>
      <c r="E61" s="5" t="inlineStr">
        <is>
          <t xml:space="preserve"> EMPLEADO</t>
        </is>
      </c>
      <c r="F61" s="5" t="inlineStr">
        <is>
          <t>DEPARTAMENTO DE SOLUCIONES FINANCIERAS</t>
        </is>
      </c>
      <c r="G61" s="5" t="inlineStr">
        <is>
          <t>Gerencia de Operaciones</t>
        </is>
      </c>
      <c r="H61" s="5" t="n"/>
    </row>
    <row r="62" hidden="1" s="38">
      <c r="A62" s="4" t="inlineStr">
        <is>
          <t>289</t>
        </is>
      </c>
      <c r="B62" s="5" t="inlineStr">
        <is>
          <t>ANA SILVIA MARTINEZ  RODRIGUEZ</t>
        </is>
      </c>
      <c r="C62" s="4" t="inlineStr">
        <is>
          <t>26/06/2002</t>
        </is>
      </c>
      <c r="D62" s="5" t="inlineStr">
        <is>
          <t>EJECUTIVO DE SOLUCIONES FINANCIERAS</t>
        </is>
      </c>
      <c r="E62" s="5" t="inlineStr">
        <is>
          <t xml:space="preserve"> EMPLEADO</t>
        </is>
      </c>
      <c r="F62" s="5" t="inlineStr">
        <is>
          <t>DEPARTAMENTO DE SOLUCIONES FINANCIERAS</t>
        </is>
      </c>
      <c r="G62" s="5" t="inlineStr">
        <is>
          <t>Gerencia de Operaciones</t>
        </is>
      </c>
      <c r="H62" s="5" t="n"/>
    </row>
    <row r="63" hidden="1" s="38">
      <c r="A63" s="4" t="inlineStr">
        <is>
          <t>298</t>
        </is>
      </c>
      <c r="B63" s="5" t="inlineStr">
        <is>
          <t xml:space="preserve">SANDRA GUADALUPE ROQUE SANCHEZ </t>
        </is>
      </c>
      <c r="C63" s="4" t="inlineStr">
        <is>
          <t>02/01/2003</t>
        </is>
      </c>
      <c r="D63" s="5" t="inlineStr">
        <is>
          <t>EJECUTIVO DE SOLUCIONES FINANCIERAS</t>
        </is>
      </c>
      <c r="E63" s="5" t="inlineStr">
        <is>
          <t xml:space="preserve"> EMPLEADO</t>
        </is>
      </c>
      <c r="F63" s="5" t="inlineStr">
        <is>
          <t>DEPARTAMENTO DE SOLUCIONES FINANCIERAS</t>
        </is>
      </c>
      <c r="G63" s="5" t="inlineStr">
        <is>
          <t>Gerencia de Operaciones</t>
        </is>
      </c>
      <c r="H63" s="5" t="n"/>
    </row>
    <row r="64" hidden="1" s="38">
      <c r="A64" s="4" t="inlineStr">
        <is>
          <t>439</t>
        </is>
      </c>
      <c r="B64" s="5" t="inlineStr">
        <is>
          <t xml:space="preserve">ILIANA DESIREE ALFARO </t>
        </is>
      </c>
      <c r="C64" s="4" t="inlineStr">
        <is>
          <t>01/10/2008</t>
        </is>
      </c>
      <c r="D64" s="5" t="inlineStr">
        <is>
          <t>EJECUTIVO DE SOLUCIONES FINANCIERAS</t>
        </is>
      </c>
      <c r="E64" s="5" t="inlineStr">
        <is>
          <t xml:space="preserve"> EMPLEADO</t>
        </is>
      </c>
      <c r="F64" s="5" t="inlineStr">
        <is>
          <t>DEPARTAMENTO DE SOLUCIONES FINANCIERAS</t>
        </is>
      </c>
      <c r="G64" s="5" t="inlineStr">
        <is>
          <t>Gerencia de Operaciones</t>
        </is>
      </c>
      <c r="H64" s="5" t="n"/>
    </row>
    <row r="65" hidden="1" s="38">
      <c r="A65" s="4" t="inlineStr">
        <is>
          <t>472</t>
        </is>
      </c>
      <c r="B65" s="5" t="inlineStr">
        <is>
          <t xml:space="preserve">CARLOS ROBERTO AGUILAR SANTOS </t>
        </is>
      </c>
      <c r="C65" s="4" t="inlineStr">
        <is>
          <t>10/03/2011</t>
        </is>
      </c>
      <c r="D65" s="5" t="inlineStr">
        <is>
          <t>JEFE DE SOLUCIONES FINANCIERAS</t>
        </is>
      </c>
      <c r="E65" s="5" t="inlineStr">
        <is>
          <t xml:space="preserve"> EMPLEADO</t>
        </is>
      </c>
      <c r="F65" s="5" t="inlineStr">
        <is>
          <t>DEPARTAMENTO DE SOLUCIONES FINANCIERAS</t>
        </is>
      </c>
      <c r="G65" s="5" t="inlineStr">
        <is>
          <t>Gerencia de Operaciones</t>
        </is>
      </c>
      <c r="H65" s="5" t="n"/>
    </row>
    <row r="66" hidden="1" s="38">
      <c r="A66" s="4" t="inlineStr">
        <is>
          <t>528</t>
        </is>
      </c>
      <c r="B66" s="5" t="inlineStr">
        <is>
          <t xml:space="preserve">ANA GRISELDA SIGÜENZA MARTINEZ </t>
        </is>
      </c>
      <c r="C66" s="4" t="inlineStr">
        <is>
          <t>13/05/2013</t>
        </is>
      </c>
      <c r="D66" s="5" t="inlineStr">
        <is>
          <t>AUXILIAR DE DEPARTAMENTO DE SOLUCIONES FINANCIERAS</t>
        </is>
      </c>
      <c r="E66" s="5" t="inlineStr">
        <is>
          <t xml:space="preserve"> EMPLEADO</t>
        </is>
      </c>
      <c r="F66" s="5" t="inlineStr">
        <is>
          <t>DEPARTAMENTO DE SOLUCIONES FINANCIERAS</t>
        </is>
      </c>
      <c r="G66" s="5" t="inlineStr">
        <is>
          <t>Gerencia de Operaciones</t>
        </is>
      </c>
      <c r="H66" s="5" t="n"/>
    </row>
    <row r="67" hidden="1" s="38">
      <c r="A67" s="4" t="inlineStr">
        <is>
          <t>573</t>
        </is>
      </c>
      <c r="B67" s="5" t="inlineStr">
        <is>
          <t xml:space="preserve">JUAN PABLO HENRIQUEZ RAMIREZ </t>
        </is>
      </c>
      <c r="C67" s="4" t="inlineStr">
        <is>
          <t>01/09/2016</t>
        </is>
      </c>
      <c r="D67" s="5" t="inlineStr">
        <is>
          <t>EJECUTIVO DE SOLUCIONES FINANCIERAS</t>
        </is>
      </c>
      <c r="E67" s="5" t="inlineStr">
        <is>
          <t xml:space="preserve"> EMPLEADO</t>
        </is>
      </c>
      <c r="F67" s="5" t="inlineStr">
        <is>
          <t>DEPARTAMENTO DE SOLUCIONES FINANCIERAS</t>
        </is>
      </c>
      <c r="G67" s="5" t="inlineStr">
        <is>
          <t>Gerencia de Operaciones</t>
        </is>
      </c>
      <c r="H67" s="5" t="n"/>
    </row>
    <row r="68" hidden="1" s="38">
      <c r="A68" s="4" t="inlineStr">
        <is>
          <t>885</t>
        </is>
      </c>
      <c r="B68" s="5" t="inlineStr">
        <is>
          <t xml:space="preserve">ALBA BEATRIZ MELENDEZ PRUDENCIO </t>
        </is>
      </c>
      <c r="C68" s="4" t="inlineStr">
        <is>
          <t>19/08/2024</t>
        </is>
      </c>
      <c r="D68" s="5" t="inlineStr">
        <is>
          <t>ASISTENTE DE RECUPERACION JUDICIAL Y CARTERA CASTIGADA</t>
        </is>
      </c>
      <c r="E68" s="5" t="inlineStr">
        <is>
          <t xml:space="preserve"> EMPLEADO</t>
        </is>
      </c>
      <c r="F68" s="5" t="inlineStr">
        <is>
          <t>DEPARTAMENTO DE SOLUCIONES FINANCIERAS</t>
        </is>
      </c>
      <c r="G68" s="5" t="inlineStr">
        <is>
          <t>Gerencia de Operaciones</t>
        </is>
      </c>
      <c r="H68" s="5" t="inlineStr">
        <is>
          <t>Renuncia</t>
        </is>
      </c>
    </row>
    <row r="69" hidden="1" s="38">
      <c r="A69" s="4" t="inlineStr">
        <is>
          <t>389</t>
        </is>
      </c>
      <c r="B69" s="5" t="inlineStr">
        <is>
          <t xml:space="preserve">CLAUDIA CAROLINA HERNANDEZ DE PAZ </t>
        </is>
      </c>
      <c r="C69" s="4" t="inlineStr">
        <is>
          <t>27/10/2006</t>
        </is>
      </c>
      <c r="D69" s="5" t="inlineStr">
        <is>
          <t>ASISTENTE TECNICO DE INTERCAMBIO DE TARJETAS</t>
        </is>
      </c>
      <c r="E69" s="5" t="inlineStr">
        <is>
          <t xml:space="preserve"> EMPLEADO</t>
        </is>
      </c>
      <c r="F69" s="5" t="inlineStr">
        <is>
          <t>DEPARTAMENTO DE TARJETA DE CREDITO Y DEBITO</t>
        </is>
      </c>
      <c r="G69" s="5" t="inlineStr">
        <is>
          <t>Gerencia de Operaciones</t>
        </is>
      </c>
      <c r="H69" s="5" t="n"/>
    </row>
    <row r="70" hidden="1" s="38">
      <c r="A70" s="4" t="inlineStr">
        <is>
          <t>399</t>
        </is>
      </c>
      <c r="B70" s="5" t="inlineStr">
        <is>
          <t xml:space="preserve">GEOVANNI LIZAMA PORTILLO </t>
        </is>
      </c>
      <c r="C70" s="4" t="inlineStr">
        <is>
          <t>22/02/2007</t>
        </is>
      </c>
      <c r="D70" s="5" t="inlineStr">
        <is>
          <t>JEFE DE TARJETA  DE CREDITO Y DEBITO</t>
        </is>
      </c>
      <c r="E70" s="5" t="inlineStr">
        <is>
          <t xml:space="preserve"> EMPLEADO</t>
        </is>
      </c>
      <c r="F70" s="5" t="inlineStr">
        <is>
          <t>DEPARTAMENTO DE TARJETA DE CREDITO Y DEBITO</t>
        </is>
      </c>
      <c r="G70" s="5" t="inlineStr">
        <is>
          <t>Gerencia de Operaciones</t>
        </is>
      </c>
      <c r="H70" s="5" t="inlineStr">
        <is>
          <t>Incapacidad</t>
        </is>
      </c>
    </row>
    <row r="71" hidden="1" s="38">
      <c r="A71" s="4" t="inlineStr">
        <is>
          <t>459</t>
        </is>
      </c>
      <c r="B71" s="5" t="inlineStr">
        <is>
          <t xml:space="preserve">LUIS ALEXANDER RAMIREZ MONTALVO </t>
        </is>
      </c>
      <c r="C71" s="4" t="inlineStr">
        <is>
          <t>24/05/2010</t>
        </is>
      </c>
      <c r="D71" s="5" t="inlineStr">
        <is>
          <t>ASISTENTE TECNICO DE EMISION DE TARJETA</t>
        </is>
      </c>
      <c r="E71" s="5" t="inlineStr">
        <is>
          <t xml:space="preserve"> EMPLEADO</t>
        </is>
      </c>
      <c r="F71" s="5" t="inlineStr">
        <is>
          <t>DEPARTAMENTO DE TARJETA DE CREDITO Y DEBITO</t>
        </is>
      </c>
      <c r="G71" s="5" t="inlineStr">
        <is>
          <t>Gerencia de Operaciones</t>
        </is>
      </c>
      <c r="H71" s="5" t="n"/>
    </row>
    <row r="72" hidden="1" s="38">
      <c r="A72" s="4" t="inlineStr">
        <is>
          <t>725</t>
        </is>
      </c>
      <c r="B72" s="5" t="inlineStr">
        <is>
          <t xml:space="preserve">ANA BEATRIZ QUINTEROS AVELAR </t>
        </is>
      </c>
      <c r="C72" s="4" t="inlineStr">
        <is>
          <t>09/08/2021</t>
        </is>
      </c>
      <c r="D72" s="5" t="inlineStr">
        <is>
          <t>ASISTENTE TECNICO DE OPERACIONES DE TARJETAS</t>
        </is>
      </c>
      <c r="E72" s="5" t="inlineStr">
        <is>
          <t xml:space="preserve"> EMPLEADO</t>
        </is>
      </c>
      <c r="F72" s="5" t="inlineStr">
        <is>
          <t>DEPARTAMENTO DE TARJETA DE CREDITO Y DEBITO</t>
        </is>
      </c>
      <c r="G72" s="5" t="inlineStr">
        <is>
          <t>Gerencia de Operaciones</t>
        </is>
      </c>
      <c r="H72" s="5" t="n"/>
    </row>
    <row r="73" hidden="1" s="38">
      <c r="A73" s="4" t="inlineStr">
        <is>
          <t>952</t>
        </is>
      </c>
      <c r="B73" s="5" t="inlineStr">
        <is>
          <t xml:space="preserve">ANDREA CAROLINA RUMUALDO MARTINEZ </t>
        </is>
      </c>
      <c r="C73" s="4" t="inlineStr">
        <is>
          <t>16/12/2025</t>
        </is>
      </c>
      <c r="D73" s="5" t="inlineStr">
        <is>
          <t>AUXILIAR DE CONTROL DE CALIDAD</t>
        </is>
      </c>
      <c r="E73" s="5" t="inlineStr">
        <is>
          <t xml:space="preserve"> EMPLEADO</t>
        </is>
      </c>
      <c r="F73" s="5" t="inlineStr">
        <is>
          <t>DEPARTAMENTO DE TARJETA DE CREDITO Y DEBITO</t>
        </is>
      </c>
      <c r="G73" s="5" t="inlineStr">
        <is>
          <t>Gerencia de Operaciones</t>
        </is>
      </c>
      <c r="H73" s="5" t="n"/>
    </row>
    <row r="74" hidden="1" s="38">
      <c r="A74" s="4" t="inlineStr">
        <is>
          <t>980</t>
        </is>
      </c>
      <c r="B74" s="5" t="inlineStr">
        <is>
          <t xml:space="preserve">FATIMA ELIZABETH LEMUS RODRIGUEZ </t>
        </is>
      </c>
      <c r="C74" s="4" t="inlineStr">
        <is>
          <t>26/08/2026</t>
        </is>
      </c>
      <c r="D74" s="5" t="inlineStr">
        <is>
          <t>AUXILIAR DE EMISION DE  TARJETA</t>
        </is>
      </c>
      <c r="E74" s="5" t="inlineStr">
        <is>
          <t xml:space="preserve"> EMPLEADO</t>
        </is>
      </c>
      <c r="F74" s="5" t="inlineStr">
        <is>
          <t>DEPARTAMENTO DE TARJETA DE CREDITO Y DEBITO</t>
        </is>
      </c>
      <c r="G74" s="5" t="inlineStr">
        <is>
          <t>Gerencia de Operaciones</t>
        </is>
      </c>
      <c r="H74" s="5" t="n"/>
    </row>
    <row r="75" hidden="1" s="38">
      <c r="A75" s="4" t="inlineStr">
        <is>
          <t>284</t>
        </is>
      </c>
      <c r="B75" s="5" t="inlineStr">
        <is>
          <t xml:space="preserve">MARIO ANTONIO NAVARRO PINEDA </t>
        </is>
      </c>
      <c r="C75" s="4" t="inlineStr">
        <is>
          <t>05/05/2008</t>
        </is>
      </c>
      <c r="D75" s="5" t="inlineStr">
        <is>
          <t>JEFE DE DEPOSITOS</t>
        </is>
      </c>
      <c r="E75" s="5" t="inlineStr">
        <is>
          <t xml:space="preserve"> EMPLEADO</t>
        </is>
      </c>
      <c r="F75" s="5" t="inlineStr">
        <is>
          <t>DEPARTAMENTO DE DEPOSITOS</t>
        </is>
      </c>
      <c r="G75" s="5" t="inlineStr">
        <is>
          <t>Gerencia de Operaciones</t>
        </is>
      </c>
      <c r="H75" s="5" t="n"/>
    </row>
    <row r="76" hidden="1" s="38">
      <c r="A76" s="4" t="inlineStr">
        <is>
          <t>632</t>
        </is>
      </c>
      <c r="B76" s="5" t="inlineStr">
        <is>
          <t>LUCILA MARGARITA CORCIO QUINTANILLA</t>
        </is>
      </c>
      <c r="C76" s="4" t="inlineStr">
        <is>
          <t>19/11/2018</t>
        </is>
      </c>
      <c r="D76" s="5" t="inlineStr">
        <is>
          <t>ASISTENTE COMPENSADOR DE CHEQUES</t>
        </is>
      </c>
      <c r="E76" s="5" t="inlineStr">
        <is>
          <t xml:space="preserve"> EMPLEADO</t>
        </is>
      </c>
      <c r="F76" s="5" t="inlineStr">
        <is>
          <t>DEPARTAMENTO DE DEPOSITOS</t>
        </is>
      </c>
      <c r="G76" s="5" t="inlineStr">
        <is>
          <t>Gerencia de Operaciones</t>
        </is>
      </c>
      <c r="H76" s="5" t="n"/>
    </row>
    <row r="77" hidden="1" s="38">
      <c r="A77" s="4" t="inlineStr">
        <is>
          <t>773</t>
        </is>
      </c>
      <c r="B77" s="5" t="inlineStr">
        <is>
          <t xml:space="preserve">HELLEN ESTEFANI RODRIGUEZ GARCIA </t>
        </is>
      </c>
      <c r="C77" s="4" t="inlineStr">
        <is>
          <t>19/09/2022</t>
        </is>
      </c>
      <c r="D77" s="5" t="inlineStr">
        <is>
          <t>ASISTENTE COMPENSADOR DE CHEQUES</t>
        </is>
      </c>
      <c r="E77" s="5" t="inlineStr">
        <is>
          <t xml:space="preserve"> EMPLEADO</t>
        </is>
      </c>
      <c r="F77" s="5" t="inlineStr">
        <is>
          <t>DEPARTAMENTO DE DEPOSITOS</t>
        </is>
      </c>
      <c r="G77" s="5" t="inlineStr">
        <is>
          <t>Gerencia de Operaciones</t>
        </is>
      </c>
      <c r="H77" s="5" t="n"/>
    </row>
    <row r="78" hidden="1" s="38">
      <c r="A78" s="4" t="inlineStr">
        <is>
          <t>787</t>
        </is>
      </c>
      <c r="B78" s="5" t="inlineStr">
        <is>
          <t xml:space="preserve">WALTER OSWALDO SANCHEZ RIVAS </t>
        </is>
      </c>
      <c r="C78" s="4" t="inlineStr">
        <is>
          <t>16/11/2022</t>
        </is>
      </c>
      <c r="D78" s="5" t="inlineStr">
        <is>
          <t>ASISTENTE COMPENSADOR DE CHEQUES</t>
        </is>
      </c>
      <c r="E78" s="5" t="inlineStr">
        <is>
          <t xml:space="preserve"> EMPLEADO</t>
        </is>
      </c>
      <c r="F78" s="5" t="inlineStr">
        <is>
          <t>DEPARTAMENTO DE DEPOSITOS</t>
        </is>
      </c>
      <c r="G78" s="5" t="inlineStr">
        <is>
          <t>Gerencia de Operaciones</t>
        </is>
      </c>
      <c r="H78" s="5" t="n"/>
    </row>
    <row r="79" hidden="1" s="38">
      <c r="A79" s="4" t="inlineStr">
        <is>
          <t>16</t>
        </is>
      </c>
      <c r="B79" s="5" t="inlineStr">
        <is>
          <t>YANETH MARLENY LANDAVERDE MORALES</t>
        </is>
      </c>
      <c r="C79" s="4" t="inlineStr">
        <is>
          <t>16/09/1992</t>
        </is>
      </c>
      <c r="D79" s="5" t="inlineStr">
        <is>
          <t>JEFE DE ADMINISTRACION DE CARTERA</t>
        </is>
      </c>
      <c r="E79" s="5" t="inlineStr">
        <is>
          <t xml:space="preserve"> EMPLEADO</t>
        </is>
      </c>
      <c r="F79" s="5" t="inlineStr">
        <is>
          <t>ADMINISTRACIÓN DE CARTERAS</t>
        </is>
      </c>
      <c r="G79" s="5" t="inlineStr">
        <is>
          <t>Gerencia de Operaciones</t>
        </is>
      </c>
      <c r="H79" s="5" t="n"/>
    </row>
    <row r="80" hidden="1" s="38">
      <c r="A80" s="4" t="inlineStr">
        <is>
          <t>477</t>
        </is>
      </c>
      <c r="B80" s="5" t="inlineStr">
        <is>
          <t xml:space="preserve">GEMA YESENIA VILLALOBOS HERNANDEZ </t>
        </is>
      </c>
      <c r="C80" s="4" t="inlineStr">
        <is>
          <t>05/09/2011</t>
        </is>
      </c>
      <c r="D80" s="5" t="inlineStr">
        <is>
          <t>ANALISTA DE CARTERAS</t>
        </is>
      </c>
      <c r="E80" s="5" t="inlineStr">
        <is>
          <t xml:space="preserve"> EMPLEADO</t>
        </is>
      </c>
      <c r="F80" s="5" t="inlineStr">
        <is>
          <t>ADMINISTRACIÓN DE CARTERAS</t>
        </is>
      </c>
      <c r="G80" s="5" t="inlineStr">
        <is>
          <t>Gerencia de Operaciones</t>
        </is>
      </c>
      <c r="H80" s="5" t="n"/>
    </row>
    <row r="81" hidden="1" s="38">
      <c r="A81" s="4" t="inlineStr">
        <is>
          <t>572</t>
        </is>
      </c>
      <c r="B81" s="5" t="inlineStr">
        <is>
          <t xml:space="preserve">PAMELA GIOVANNA AGUILAR SERBELLON </t>
        </is>
      </c>
      <c r="C81" s="4" t="inlineStr">
        <is>
          <t>01/09/2016</t>
        </is>
      </c>
      <c r="D81" s="5" t="inlineStr">
        <is>
          <t>GESTOR DE COBROS Y PAGOS DE SEGUROS</t>
        </is>
      </c>
      <c r="E81" s="5" t="inlineStr">
        <is>
          <t xml:space="preserve"> EMPLEADO</t>
        </is>
      </c>
      <c r="F81" s="5" t="inlineStr">
        <is>
          <t>ADMINISTRACIÓN DE CARTERAS</t>
        </is>
      </c>
      <c r="G81" s="5" t="inlineStr">
        <is>
          <t>Gerencia de Operaciones</t>
        </is>
      </c>
      <c r="H81" s="5" t="n"/>
    </row>
    <row r="82" hidden="1" s="38">
      <c r="A82" s="4" t="inlineStr">
        <is>
          <t>732</t>
        </is>
      </c>
      <c r="B82" s="5" t="inlineStr">
        <is>
          <t xml:space="preserve">RICARDO JOSUE CACAO ROVELO </t>
        </is>
      </c>
      <c r="C82" s="4" t="inlineStr">
        <is>
          <t>03/11/2021</t>
        </is>
      </c>
      <c r="D82" s="5" t="inlineStr">
        <is>
          <t>ANALISTA DE CARTERAS</t>
        </is>
      </c>
      <c r="E82" s="5" t="inlineStr">
        <is>
          <t xml:space="preserve"> EMPLEADO</t>
        </is>
      </c>
      <c r="F82" s="5" t="inlineStr">
        <is>
          <t>ADMINISTRACIÓN DE CARTERAS</t>
        </is>
      </c>
      <c r="G82" s="5" t="inlineStr">
        <is>
          <t>Gerencia de Operaciones</t>
        </is>
      </c>
      <c r="H82" s="5" t="n"/>
    </row>
    <row r="83" hidden="1" s="38">
      <c r="A83" s="4" t="inlineStr">
        <is>
          <t>931</t>
        </is>
      </c>
      <c r="B83" s="5" t="inlineStr">
        <is>
          <t xml:space="preserve">LOYDA ARACELY RAMOS CAÑENGUEZ </t>
        </is>
      </c>
      <c r="C83" s="4" t="inlineStr">
        <is>
          <t>01/01/2026</t>
        </is>
      </c>
      <c r="D83" s="5" t="inlineStr">
        <is>
          <t>ANALISTA DE PRESTAMOS</t>
        </is>
      </c>
      <c r="E83" s="5" t="inlineStr">
        <is>
          <t xml:space="preserve"> EMPLEADO</t>
        </is>
      </c>
      <c r="F83" s="5" t="inlineStr">
        <is>
          <t>ADMINISTRACIÓN DE CARTERAS</t>
        </is>
      </c>
      <c r="G83" s="5" t="inlineStr">
        <is>
          <t>Gerencia de Operaciones</t>
        </is>
      </c>
      <c r="H83" s="5" t="n"/>
    </row>
    <row r="84" hidden="1" s="38">
      <c r="A84" s="4" t="inlineStr">
        <is>
          <t>942</t>
        </is>
      </c>
      <c r="B84" s="5" t="inlineStr">
        <is>
          <t xml:space="preserve">PAULA MARIA CALDERON PEREZ </t>
        </is>
      </c>
      <c r="C84" s="4" t="inlineStr">
        <is>
          <t>17/10/2025</t>
        </is>
      </c>
      <c r="D84" s="5" t="inlineStr">
        <is>
          <t>ASISTENTE DE GERENCIA DE FINANZAS</t>
        </is>
      </c>
      <c r="E84" s="5" t="inlineStr">
        <is>
          <t xml:space="preserve"> EMPLEADO</t>
        </is>
      </c>
      <c r="F84" s="5" t="inlineStr">
        <is>
          <t>GERENCIA DE FINANZAS Y PLANIFICACIÓN</t>
        </is>
      </c>
      <c r="G84" s="5" t="inlineStr">
        <is>
          <t>Gerencia de Finanzas y Planificación</t>
        </is>
      </c>
      <c r="H84" s="5" t="n"/>
    </row>
    <row r="85" hidden="1" s="38">
      <c r="A85" s="4" t="inlineStr">
        <is>
          <t>70</t>
        </is>
      </c>
      <c r="B85" s="5" t="inlineStr">
        <is>
          <t xml:space="preserve">RUBIA ESTELA LEIVA SIBRIAN </t>
        </is>
      </c>
      <c r="C85" s="4" t="inlineStr">
        <is>
          <t>01/08/2000</t>
        </is>
      </c>
      <c r="D85" s="5" t="inlineStr">
        <is>
          <t>ASISTENTE TECNICO DE PAGOS</t>
        </is>
      </c>
      <c r="E85" s="5" t="inlineStr">
        <is>
          <t xml:space="preserve"> EMPLEADO</t>
        </is>
      </c>
      <c r="F85" s="5" t="inlineStr">
        <is>
          <t>DEPARTAMENTO DE CONTABILIDAD</t>
        </is>
      </c>
      <c r="G85" s="5" t="inlineStr">
        <is>
          <t>Gerencia de Finanzas y Planificación</t>
        </is>
      </c>
      <c r="H85" s="5" t="n"/>
    </row>
    <row r="86" hidden="1" s="38">
      <c r="A86" s="4" t="inlineStr">
        <is>
          <t>235</t>
        </is>
      </c>
      <c r="B86" s="5" t="inlineStr">
        <is>
          <t xml:space="preserve">CLAUDIA MARLENE CABRERA SANCHEZ </t>
        </is>
      </c>
      <c r="C86" s="4" t="inlineStr">
        <is>
          <t>08/06/2001</t>
        </is>
      </c>
      <c r="D86" s="5" t="inlineStr">
        <is>
          <t>SUPERVISOR DE CONTABILIDAD</t>
        </is>
      </c>
      <c r="E86" s="5" t="inlineStr">
        <is>
          <t xml:space="preserve"> EMPLEADO</t>
        </is>
      </c>
      <c r="F86" s="5" t="inlineStr">
        <is>
          <t>DEPARTAMENTO DE CONTABILIDAD</t>
        </is>
      </c>
      <c r="G86" s="5" t="inlineStr">
        <is>
          <t>Gerencia de Finanzas y Planificación</t>
        </is>
      </c>
      <c r="H86" s="5" t="n"/>
    </row>
    <row r="87" hidden="1" s="38">
      <c r="A87" s="4" t="inlineStr">
        <is>
          <t>373</t>
        </is>
      </c>
      <c r="B87" s="5" t="inlineStr">
        <is>
          <t>MARTA ELIZABETH RODRIGUEZ INESTROZA</t>
        </is>
      </c>
      <c r="C87" s="4" t="inlineStr">
        <is>
          <t>16/05/2006</t>
        </is>
      </c>
      <c r="D87" s="5" t="inlineStr">
        <is>
          <t>CONTADOR GENERAL</t>
        </is>
      </c>
      <c r="E87" s="5" t="inlineStr">
        <is>
          <t xml:space="preserve"> EMPLEADO</t>
        </is>
      </c>
      <c r="F87" s="5" t="inlineStr">
        <is>
          <t>DEPARTAMENTO DE CONTABILIDAD</t>
        </is>
      </c>
      <c r="G87" s="5" t="inlineStr">
        <is>
          <t>Gerencia de Finanzas y Planificación</t>
        </is>
      </c>
      <c r="H87" s="5" t="n"/>
    </row>
    <row r="88" hidden="1" s="38">
      <c r="A88" s="4" t="inlineStr">
        <is>
          <t>374</t>
        </is>
      </c>
      <c r="B88" s="5" t="inlineStr">
        <is>
          <t xml:space="preserve">THELMA JUDITH QUINTANILLA VALLE </t>
        </is>
      </c>
      <c r="C88" s="4" t="inlineStr">
        <is>
          <t>29/05/2006</t>
        </is>
      </c>
      <c r="D88" s="5" t="inlineStr">
        <is>
          <t>AUXILIAR CONTABLE DE DIGITALIZACION</t>
        </is>
      </c>
      <c r="E88" s="5" t="inlineStr">
        <is>
          <t xml:space="preserve"> EMPLEADO</t>
        </is>
      </c>
      <c r="F88" s="5" t="inlineStr">
        <is>
          <t>DEPARTAMENTO DE CONTABILIDAD</t>
        </is>
      </c>
      <c r="G88" s="5" t="inlineStr">
        <is>
          <t>Gerencia de Finanzas y Planificación</t>
        </is>
      </c>
      <c r="H88" s="5" t="n"/>
    </row>
    <row r="89" hidden="1" s="38">
      <c r="A89" s="4" t="inlineStr">
        <is>
          <t>571</t>
        </is>
      </c>
      <c r="B89" s="5" t="inlineStr">
        <is>
          <t xml:space="preserve">MILAGRO TRINIDAD ROMERO MONTERROSA </t>
        </is>
      </c>
      <c r="C89" s="4" t="inlineStr">
        <is>
          <t>15/08/2016</t>
        </is>
      </c>
      <c r="D89" s="5" t="inlineStr">
        <is>
          <t>ASISTENTE TECNICO DE IMPUESTOS</t>
        </is>
      </c>
      <c r="E89" s="5" t="inlineStr">
        <is>
          <t xml:space="preserve"> EMPLEADO</t>
        </is>
      </c>
      <c r="F89" s="5" t="inlineStr">
        <is>
          <t>DEPARTAMENTO DE CONTABILIDAD</t>
        </is>
      </c>
      <c r="G89" s="5" t="inlineStr">
        <is>
          <t>Gerencia de Finanzas y Planificación</t>
        </is>
      </c>
      <c r="H89" s="5" t="n"/>
    </row>
    <row r="90" hidden="1" s="38">
      <c r="A90" s="4" t="inlineStr">
        <is>
          <t>676</t>
        </is>
      </c>
      <c r="B90" s="5" t="inlineStr">
        <is>
          <t xml:space="preserve">DANIEL ENRIQUE FLORES RAMIREZ </t>
        </is>
      </c>
      <c r="C90" s="4" t="inlineStr">
        <is>
          <t>03/02/2020</t>
        </is>
      </c>
      <c r="D90" s="5" t="inlineStr">
        <is>
          <t>ASISTENTE TECNICO DE TARJETA DE CREDITO Y DEBITO</t>
        </is>
      </c>
      <c r="E90" s="5" t="inlineStr">
        <is>
          <t xml:space="preserve"> EMPLEADO</t>
        </is>
      </c>
      <c r="F90" s="5" t="inlineStr">
        <is>
          <t>DEPARTAMENTO DE CONTABILIDAD</t>
        </is>
      </c>
      <c r="G90" s="5" t="inlineStr">
        <is>
          <t>Gerencia de Finanzas y Planificación</t>
        </is>
      </c>
      <c r="H90" s="5" t="n"/>
    </row>
    <row r="91" hidden="1" s="38">
      <c r="A91" s="4" t="inlineStr">
        <is>
          <t>733</t>
        </is>
      </c>
      <c r="B91" s="5" t="inlineStr">
        <is>
          <t xml:space="preserve">ROSSEMARY YAMILETH LOBATO MARTINEZ </t>
        </is>
      </c>
      <c r="C91" s="4" t="inlineStr">
        <is>
          <t>03/02/2025</t>
        </is>
      </c>
      <c r="D91" s="5" t="inlineStr">
        <is>
          <t>ASISTENTE TECNICO DE PAGOS</t>
        </is>
      </c>
      <c r="E91" s="5" t="inlineStr">
        <is>
          <t xml:space="preserve"> EMPLEADO</t>
        </is>
      </c>
      <c r="F91" s="5" t="inlineStr">
        <is>
          <t>DEPARTAMENTO DE CONTABILIDAD</t>
        </is>
      </c>
      <c r="G91" s="5" t="inlineStr">
        <is>
          <t>Gerencia de Finanzas y Planificación</t>
        </is>
      </c>
      <c r="H91" s="5" t="n"/>
    </row>
    <row r="92" hidden="1" s="38">
      <c r="A92" s="4" t="inlineStr">
        <is>
          <t>749</t>
        </is>
      </c>
      <c r="B92" s="5" t="inlineStr">
        <is>
          <t>JENNIFER MARCELA MORALES  TORRES</t>
        </is>
      </c>
      <c r="C92" s="4" t="inlineStr">
        <is>
          <t>16/05/2022</t>
        </is>
      </c>
      <c r="D92" s="5" t="inlineStr">
        <is>
          <t>CONTADOR BANCARIO</t>
        </is>
      </c>
      <c r="E92" s="5" t="inlineStr">
        <is>
          <t xml:space="preserve"> EMPLEADO</t>
        </is>
      </c>
      <c r="F92" s="5" t="inlineStr">
        <is>
          <t>DEPARTAMENTO DE CONTABILIDAD</t>
        </is>
      </c>
      <c r="G92" s="5" t="inlineStr">
        <is>
          <t>Gerencia de Finanzas y Planificación</t>
        </is>
      </c>
      <c r="H92" s="5" t="n"/>
    </row>
    <row r="93" hidden="1" s="38">
      <c r="A93" s="4" t="inlineStr">
        <is>
          <t>778</t>
        </is>
      </c>
      <c r="B93" s="5" t="inlineStr">
        <is>
          <t xml:space="preserve">ERICK RODRIGO ORTIZ TURCIOS </t>
        </is>
      </c>
      <c r="C93" s="4" t="inlineStr">
        <is>
          <t>06/10/2022</t>
        </is>
      </c>
      <c r="D93" s="5" t="inlineStr">
        <is>
          <t>ASISTENTE TECNICO DE AGENCIA CENTRAL</t>
        </is>
      </c>
      <c r="E93" s="5" t="inlineStr">
        <is>
          <t xml:space="preserve"> EMPLEADO</t>
        </is>
      </c>
      <c r="F93" s="5" t="inlineStr">
        <is>
          <t>DEPARTAMENTO DE CONTABILIDAD</t>
        </is>
      </c>
      <c r="G93" s="5" t="inlineStr">
        <is>
          <t>Gerencia de Finanzas y Planificación</t>
        </is>
      </c>
      <c r="H93" s="5" t="n"/>
    </row>
    <row r="94" hidden="1" s="38">
      <c r="A94" s="4" t="inlineStr">
        <is>
          <t>784</t>
        </is>
      </c>
      <c r="B94" s="5" t="inlineStr">
        <is>
          <t xml:space="preserve">BRIAN ADONAY BARRERA ALVARADO </t>
        </is>
      </c>
      <c r="C94" s="4" t="inlineStr">
        <is>
          <t>03/11/2022</t>
        </is>
      </c>
      <c r="D94" s="5" t="inlineStr">
        <is>
          <t>CONTADOR DE AGENCIAS</t>
        </is>
      </c>
      <c r="E94" s="5" t="inlineStr">
        <is>
          <t xml:space="preserve"> EMPLEADO</t>
        </is>
      </c>
      <c r="F94" s="5" t="inlineStr">
        <is>
          <t>DEPARTAMENTO DE CONTABILIDAD</t>
        </is>
      </c>
      <c r="G94" s="5" t="inlineStr">
        <is>
          <t>Gerencia de Finanzas y Planificación</t>
        </is>
      </c>
      <c r="H94" s="5" t="n"/>
    </row>
    <row r="95" hidden="1" s="38">
      <c r="A95" s="4" t="inlineStr">
        <is>
          <t>850</t>
        </is>
      </c>
      <c r="B95" s="5" t="inlineStr">
        <is>
          <t xml:space="preserve">ALMA BEATRIZ  RAMIREZ SANDOVAL  </t>
        </is>
      </c>
      <c r="C95" s="4" t="inlineStr">
        <is>
          <t>19/01/2024</t>
        </is>
      </c>
      <c r="D95" s="5" t="inlineStr">
        <is>
          <t>CONTADOR DE AGENCIA NO MONETARIA</t>
        </is>
      </c>
      <c r="E95" s="5" t="inlineStr">
        <is>
          <t xml:space="preserve"> EMPLEADO</t>
        </is>
      </c>
      <c r="F95" s="5" t="inlineStr">
        <is>
          <t>DEPARTAMENTO DE CONTABILIDAD</t>
        </is>
      </c>
      <c r="G95" s="5" t="inlineStr">
        <is>
          <t>Gerencia de Finanzas y Planificación</t>
        </is>
      </c>
      <c r="H95" s="5" t="n"/>
    </row>
    <row r="96" hidden="1" s="38">
      <c r="A96" s="4" t="inlineStr">
        <is>
          <t>872</t>
        </is>
      </c>
      <c r="B96" s="5" t="inlineStr">
        <is>
          <t xml:space="preserve">JOSUE ELIAZAR MARTINEZ RECINOS </t>
        </is>
      </c>
      <c r="C96" s="4" t="inlineStr">
        <is>
          <t>22/04/2024</t>
        </is>
      </c>
      <c r="D96" s="5" t="inlineStr">
        <is>
          <t>CONTADOR DE AGENCIAS</t>
        </is>
      </c>
      <c r="E96" s="5" t="inlineStr">
        <is>
          <t xml:space="preserve"> EMPLEADO</t>
        </is>
      </c>
      <c r="F96" s="5" t="inlineStr">
        <is>
          <t>DEPARTAMENTO DE CONTABILIDAD</t>
        </is>
      </c>
      <c r="G96" s="5" t="inlineStr">
        <is>
          <t>Gerencia de Finanzas y Planificación</t>
        </is>
      </c>
      <c r="H96" s="5" t="n"/>
    </row>
    <row r="97" hidden="1" s="38">
      <c r="A97" s="4" t="inlineStr">
        <is>
          <t>916</t>
        </is>
      </c>
      <c r="B97" s="5" t="inlineStr">
        <is>
          <t xml:space="preserve">JORDAN ALEXANDER FLORES HERRERA </t>
        </is>
      </c>
      <c r="C97" s="4" t="inlineStr">
        <is>
          <t>10/03/2025</t>
        </is>
      </c>
      <c r="D97" s="5" t="inlineStr">
        <is>
          <t>AUXILIAR CONTABLE DE DIGITALIZACION</t>
        </is>
      </c>
      <c r="E97" s="5" t="inlineStr">
        <is>
          <t xml:space="preserve"> EMPLEADO</t>
        </is>
      </c>
      <c r="F97" s="5" t="inlineStr">
        <is>
          <t>DEPARTAMENTO DE CONTABILIDAD</t>
        </is>
      </c>
      <c r="G97" s="5" t="inlineStr">
        <is>
          <t>Gerencia de Finanzas y Planificación</t>
        </is>
      </c>
      <c r="H97" s="5" t="n"/>
    </row>
    <row r="98" hidden="1" s="38">
      <c r="A98" s="4" t="inlineStr">
        <is>
          <t>191</t>
        </is>
      </c>
      <c r="B98" s="5" t="inlineStr">
        <is>
          <t xml:space="preserve">ESTER ALEYDA GODOY CAMPOS </t>
        </is>
      </c>
      <c r="C98" s="4" t="inlineStr">
        <is>
          <t>14/10/1999</t>
        </is>
      </c>
      <c r="D98" s="5" t="inlineStr">
        <is>
          <t>ASISTENTE TECNICO DE PLANIFICACION</t>
        </is>
      </c>
      <c r="E98" s="5" t="inlineStr">
        <is>
          <t xml:space="preserve"> EMPLEADO</t>
        </is>
      </c>
      <c r="F98" s="5" t="inlineStr">
        <is>
          <t>DEPARTAMENTO DE PLANIFICACIÓN Y ANALISIS</t>
        </is>
      </c>
      <c r="G98" s="5" t="inlineStr">
        <is>
          <t>Gerencia de Finanzas y Planificación</t>
        </is>
      </c>
      <c r="H98" s="5" t="n"/>
    </row>
    <row r="99" hidden="1" s="38">
      <c r="A99" s="4" t="inlineStr">
        <is>
          <t>839</t>
        </is>
      </c>
      <c r="B99" s="5" t="inlineStr">
        <is>
          <t xml:space="preserve">RAFAEL ANDRES MARAVILLA GUERRA </t>
        </is>
      </c>
      <c r="C99" s="4" t="inlineStr">
        <is>
          <t>17/11/2023</t>
        </is>
      </c>
      <c r="D99" s="5" t="inlineStr">
        <is>
          <t>ASISTENTE DE ANALISIS Y NORMATIVAS</t>
        </is>
      </c>
      <c r="E99" s="5" t="inlineStr">
        <is>
          <t xml:space="preserve"> EMPLEADO</t>
        </is>
      </c>
      <c r="F99" s="5" t="inlineStr">
        <is>
          <t>DEPARTAMENTO DE PLANIFICACIÓN Y ANALISIS</t>
        </is>
      </c>
      <c r="G99" s="5" t="inlineStr">
        <is>
          <t>Gerencia de Finanzas y Planificación</t>
        </is>
      </c>
      <c r="H99" s="5" t="n"/>
    </row>
    <row r="100" hidden="1" s="38">
      <c r="A100" s="4" t="inlineStr">
        <is>
          <t>946</t>
        </is>
      </c>
      <c r="B100" s="5" t="inlineStr">
        <is>
          <t xml:space="preserve">EFRAIN ANTONIO  AYALA LOPEZ  </t>
        </is>
      </c>
      <c r="C100" s="4" t="inlineStr">
        <is>
          <t>20/10/2025</t>
        </is>
      </c>
      <c r="D100" s="5" t="inlineStr">
        <is>
          <t>JEFE DE PLANIFICACION Y ANALISIS</t>
        </is>
      </c>
      <c r="E100" s="5" t="inlineStr">
        <is>
          <t xml:space="preserve"> EMPLEADO</t>
        </is>
      </c>
      <c r="F100" s="5" t="inlineStr">
        <is>
          <t>DEPARTAMENTO DE PLANIFICACIÓN Y ANALISIS</t>
        </is>
      </c>
      <c r="G100" s="5" t="inlineStr">
        <is>
          <t>Gerencia de Finanzas y Planificación</t>
        </is>
      </c>
      <c r="H100" s="5" t="n"/>
    </row>
    <row r="101" hidden="1" s="38">
      <c r="A101" s="4" t="inlineStr">
        <is>
          <t>393</t>
        </is>
      </c>
      <c r="B101" s="5" t="inlineStr">
        <is>
          <t xml:space="preserve">FLOR MARISELA TORRES VELASQUEZ </t>
        </is>
      </c>
      <c r="C101" s="4" t="inlineStr">
        <is>
          <t>11/12/2006</t>
        </is>
      </c>
      <c r="D101" s="5" t="inlineStr">
        <is>
          <t>LIDER DE PROYECTOS TECNOLOGICOS</t>
        </is>
      </c>
      <c r="E101" s="5" t="inlineStr">
        <is>
          <t xml:space="preserve"> EMPLEADO</t>
        </is>
      </c>
      <c r="F101" s="5" t="inlineStr">
        <is>
          <t>GERENCIA DE SISTEMAS</t>
        </is>
      </c>
      <c r="G101" s="5" t="inlineStr">
        <is>
          <t>Gerencia de Sistemas</t>
        </is>
      </c>
      <c r="H101" s="5" t="n"/>
    </row>
    <row r="102" hidden="1" s="38">
      <c r="A102" s="4" t="inlineStr">
        <is>
          <t>804</t>
        </is>
      </c>
      <c r="B102" s="5" t="inlineStr">
        <is>
          <t xml:space="preserve">FERMIN ABIEL VIERA LINARES </t>
        </is>
      </c>
      <c r="C102" s="4" t="inlineStr">
        <is>
          <t>17/04/2023</t>
        </is>
      </c>
      <c r="D102" s="5" t="inlineStr">
        <is>
          <t>ANALISTA DE CAMBIOS Y SEGURIDAD</t>
        </is>
      </c>
      <c r="E102" s="5" t="inlineStr">
        <is>
          <t xml:space="preserve"> EMPLEADO</t>
        </is>
      </c>
      <c r="F102" s="5" t="inlineStr">
        <is>
          <t>GERENCIA DE SISTEMAS</t>
        </is>
      </c>
      <c r="G102" s="5" t="inlineStr">
        <is>
          <t>Gerencia de Sistemas</t>
        </is>
      </c>
      <c r="H102" s="5" t="n"/>
    </row>
    <row r="103" hidden="1" s="38">
      <c r="A103" s="4" t="inlineStr">
        <is>
          <t>883</t>
        </is>
      </c>
      <c r="B103" s="5" t="inlineStr">
        <is>
          <t xml:space="preserve">ISMAEL HUMBERTO  GUERRERO FLORES </t>
        </is>
      </c>
      <c r="C103" s="4" t="inlineStr">
        <is>
          <t>15/07/2024</t>
        </is>
      </c>
      <c r="D103" s="5" t="inlineStr">
        <is>
          <t>ADMINISTRADOR DE SEGURIDAD INFORMATICA</t>
        </is>
      </c>
      <c r="E103" s="5" t="inlineStr">
        <is>
          <t xml:space="preserve"> EMPLEADO</t>
        </is>
      </c>
      <c r="F103" s="5" t="inlineStr">
        <is>
          <t>GERENCIA DE SISTEMAS</t>
        </is>
      </c>
      <c r="G103" s="5" t="inlineStr">
        <is>
          <t>Gerencia de Sistemas</t>
        </is>
      </c>
      <c r="H103" s="5" t="n"/>
    </row>
    <row r="104" hidden="1" s="38">
      <c r="A104" s="4" t="inlineStr">
        <is>
          <t>90</t>
        </is>
      </c>
      <c r="B104" s="5" t="inlineStr">
        <is>
          <t xml:space="preserve">HUGO MARVIN SERRANO SARAVIA </t>
        </is>
      </c>
      <c r="C104" s="4" t="inlineStr">
        <is>
          <t>22/04/1996</t>
        </is>
      </c>
      <c r="D104" s="5" t="inlineStr">
        <is>
          <t>OPERADOR DE SISTEMAS</t>
        </is>
      </c>
      <c r="E104" s="5" t="inlineStr">
        <is>
          <t xml:space="preserve"> EMPLEADO</t>
        </is>
      </c>
      <c r="F104" s="5" t="inlineStr">
        <is>
          <t>DEPARTAMENTO DE OPERACIONES Y SOPORTE TECNICO</t>
        </is>
      </c>
      <c r="G104" s="5" t="inlineStr">
        <is>
          <t>Gerencia de Sistemas</t>
        </is>
      </c>
      <c r="H104" s="5" t="inlineStr">
        <is>
          <t>Vacaciones</t>
        </is>
      </c>
    </row>
    <row r="105" hidden="1" s="38">
      <c r="A105" s="4" t="inlineStr">
        <is>
          <t>119</t>
        </is>
      </c>
      <c r="B105" s="5" t="inlineStr">
        <is>
          <t xml:space="preserve">JUAN JOSE LOPEZ ALFARO </t>
        </is>
      </c>
      <c r="C105" s="4" t="inlineStr">
        <is>
          <t>06/03/1997</t>
        </is>
      </c>
      <c r="D105" s="5" t="inlineStr">
        <is>
          <t>OPERADOR DE SISTEMAS</t>
        </is>
      </c>
      <c r="E105" s="5" t="inlineStr">
        <is>
          <t xml:space="preserve"> EMPLEADO</t>
        </is>
      </c>
      <c r="F105" s="5" t="inlineStr">
        <is>
          <t>DEPARTAMENTO DE OPERACIONES Y SOPORTE TECNICO</t>
        </is>
      </c>
      <c r="G105" s="5" t="inlineStr">
        <is>
          <t>Gerencia de Sistemas</t>
        </is>
      </c>
      <c r="H105" s="5" t="n"/>
    </row>
    <row r="106" hidden="1" s="38">
      <c r="A106" s="4" t="inlineStr">
        <is>
          <t>221</t>
        </is>
      </c>
      <c r="B106" s="5" t="inlineStr">
        <is>
          <t xml:space="preserve">CARLOS ORLANDO GARCIA VELASQUEZ </t>
        </is>
      </c>
      <c r="C106" s="4" t="inlineStr">
        <is>
          <t>02/10/2000</t>
        </is>
      </c>
      <c r="D106" s="5" t="inlineStr">
        <is>
          <t>TECNICO EN SOPORTE</t>
        </is>
      </c>
      <c r="E106" s="5" t="inlineStr">
        <is>
          <t xml:space="preserve"> EMPLEADO</t>
        </is>
      </c>
      <c r="F106" s="5" t="inlineStr">
        <is>
          <t>DEPARTAMENTO DE OPERACIONES Y SOPORTE TECNICO</t>
        </is>
      </c>
      <c r="G106" s="5" t="inlineStr">
        <is>
          <t>Gerencia de Sistemas</t>
        </is>
      </c>
      <c r="H106" s="5" t="n"/>
    </row>
    <row r="107" hidden="1" s="38">
      <c r="A107" s="4" t="inlineStr">
        <is>
          <t>259</t>
        </is>
      </c>
      <c r="B107" s="5" t="inlineStr">
        <is>
          <t xml:space="preserve">EDGAR MARGARITO POZO SHUPAN </t>
        </is>
      </c>
      <c r="C107" s="4" t="inlineStr">
        <is>
          <t>17/08/2001</t>
        </is>
      </c>
      <c r="D107" s="5" t="inlineStr">
        <is>
          <t>TECNICO EN SOPORTE</t>
        </is>
      </c>
      <c r="E107" s="5" t="inlineStr">
        <is>
          <t xml:space="preserve"> EMPLEADO</t>
        </is>
      </c>
      <c r="F107" s="5" t="inlineStr">
        <is>
          <t>DEPARTAMENTO DE OPERACIONES Y SOPORTE TECNICO</t>
        </is>
      </c>
      <c r="G107" s="5" t="inlineStr">
        <is>
          <t>Gerencia de Sistemas</t>
        </is>
      </c>
      <c r="H107" s="5" t="n"/>
    </row>
    <row r="108" hidden="1" s="38">
      <c r="A108" s="4" t="inlineStr">
        <is>
          <t>281</t>
        </is>
      </c>
      <c r="B108" s="5" t="inlineStr">
        <is>
          <t xml:space="preserve">CARLOS ALFONSO MOLINA CARDONA </t>
        </is>
      </c>
      <c r="C108" s="4" t="inlineStr">
        <is>
          <t>05/03/2002</t>
        </is>
      </c>
      <c r="D108" s="5" t="inlineStr">
        <is>
          <t>OPERADOR DE SISTEMAS</t>
        </is>
      </c>
      <c r="E108" s="5" t="inlineStr">
        <is>
          <t xml:space="preserve"> EMPLEADO</t>
        </is>
      </c>
      <c r="F108" s="5" t="inlineStr">
        <is>
          <t>DEPARTAMENTO DE OPERACIONES Y SOPORTE TECNICO</t>
        </is>
      </c>
      <c r="G108" s="5" t="inlineStr">
        <is>
          <t>Gerencia de Sistemas</t>
        </is>
      </c>
      <c r="H108" s="5" t="n"/>
    </row>
    <row r="109" hidden="1" s="38">
      <c r="A109" s="4" t="inlineStr">
        <is>
          <t>490</t>
        </is>
      </c>
      <c r="B109" s="5" t="inlineStr">
        <is>
          <t xml:space="preserve">JULIO ADOLFO MOLINA ARRIOLA </t>
        </is>
      </c>
      <c r="C109" s="4" t="inlineStr">
        <is>
          <t>04/07/2012</t>
        </is>
      </c>
      <c r="D109" s="5" t="inlineStr">
        <is>
          <t>OPERADOR DE SISTEMAS</t>
        </is>
      </c>
      <c r="E109" s="5" t="inlineStr">
        <is>
          <t xml:space="preserve"> EMPLEADO</t>
        </is>
      </c>
      <c r="F109" s="5" t="inlineStr">
        <is>
          <t>DEPARTAMENTO DE OPERACIONES Y SOPORTE TECNICO</t>
        </is>
      </c>
      <c r="G109" s="5" t="inlineStr">
        <is>
          <t>Gerencia de Sistemas</t>
        </is>
      </c>
      <c r="H109" s="5" t="n"/>
    </row>
    <row r="110" hidden="1" s="38">
      <c r="A110" s="4" t="inlineStr">
        <is>
          <t>880</t>
        </is>
      </c>
      <c r="B110" s="5" t="inlineStr">
        <is>
          <t xml:space="preserve">JORGE ALBERTO BARRERA </t>
        </is>
      </c>
      <c r="C110" s="4" t="inlineStr">
        <is>
          <t>01/07/2024</t>
        </is>
      </c>
      <c r="D110" s="5" t="inlineStr">
        <is>
          <t>JEFE DE OPERACIONES Y SOPORTE TECNICO</t>
        </is>
      </c>
      <c r="E110" s="5" t="inlineStr">
        <is>
          <t xml:space="preserve"> EMPLEADO</t>
        </is>
      </c>
      <c r="F110" s="5" t="inlineStr">
        <is>
          <t>DEPARTAMENTO DE OPERACIONES Y SOPORTE TECNICO</t>
        </is>
      </c>
      <c r="G110" s="5" t="inlineStr">
        <is>
          <t>Gerencia de Sistemas</t>
        </is>
      </c>
      <c r="H110" s="5" t="n"/>
    </row>
    <row r="111" hidden="1" s="38">
      <c r="A111" s="4" t="inlineStr">
        <is>
          <t>239</t>
        </is>
      </c>
      <c r="B111" s="5" t="inlineStr">
        <is>
          <t>CELINA MARGARITA GUTIERREZ  RODRIGUEZ</t>
        </is>
      </c>
      <c r="C111" s="4" t="inlineStr">
        <is>
          <t>13/08/2018</t>
        </is>
      </c>
      <c r="D111" s="5" t="inlineStr">
        <is>
          <t>ANALISTA PROGRAMADOR SENIOR</t>
        </is>
      </c>
      <c r="E111" s="5" t="inlineStr">
        <is>
          <t xml:space="preserve"> EMPLEADO</t>
        </is>
      </c>
      <c r="F111" s="5" t="inlineStr">
        <is>
          <t>DEPARTAMENTO DE ANALISIS Y PROGRAMACIÓN</t>
        </is>
      </c>
      <c r="G111" s="5" t="inlineStr">
        <is>
          <t>Gerencia de Sistemas</t>
        </is>
      </c>
      <c r="H111" s="5" t="n"/>
    </row>
    <row r="112" hidden="1" s="38">
      <c r="A112" s="4" t="inlineStr">
        <is>
          <t>320</t>
        </is>
      </c>
      <c r="B112" s="5" t="inlineStr">
        <is>
          <t xml:space="preserve">HILDA MARGARITA ABREGO BRAN </t>
        </is>
      </c>
      <c r="C112" s="4" t="inlineStr">
        <is>
          <t>13/12/2004</t>
        </is>
      </c>
      <c r="D112" s="5" t="inlineStr">
        <is>
          <t>ANALISTA QA</t>
        </is>
      </c>
      <c r="E112" s="5" t="inlineStr">
        <is>
          <t xml:space="preserve"> EMPLEADO</t>
        </is>
      </c>
      <c r="F112" s="5" t="inlineStr">
        <is>
          <t>DEPARTAMENTO DE ANALISIS Y PROGRAMACIÓN</t>
        </is>
      </c>
      <c r="G112" s="5" t="inlineStr">
        <is>
          <t>Gerencia de Sistemas</t>
        </is>
      </c>
      <c r="H112" s="5" t="n"/>
    </row>
    <row r="113" hidden="1" s="38">
      <c r="A113" s="4" t="inlineStr">
        <is>
          <t>410</t>
        </is>
      </c>
      <c r="B113" s="5" t="inlineStr">
        <is>
          <t xml:space="preserve">CLAUDIA MARGARITA CAMPOS GONZÁLEZ </t>
        </is>
      </c>
      <c r="C113" s="4" t="inlineStr">
        <is>
          <t>19/08/2022</t>
        </is>
      </c>
      <c r="D113" s="5" t="inlineStr">
        <is>
          <t>JEFE DE ANALISIS Y PROGRAMACION</t>
        </is>
      </c>
      <c r="E113" s="5" t="inlineStr">
        <is>
          <t xml:space="preserve"> EMPLEADO</t>
        </is>
      </c>
      <c r="F113" s="5" t="inlineStr">
        <is>
          <t>DEPARTAMENTO DE ANALISIS Y PROGRAMACIÓN</t>
        </is>
      </c>
      <c r="G113" s="5" t="inlineStr">
        <is>
          <t>Gerencia de Sistemas</t>
        </is>
      </c>
      <c r="H113" s="5" t="n"/>
    </row>
    <row r="114" hidden="1" s="38">
      <c r="A114" s="4" t="inlineStr">
        <is>
          <t>474</t>
        </is>
      </c>
      <c r="B114" s="5" t="inlineStr">
        <is>
          <t xml:space="preserve">GLADIS EVELIN CASTILLO TORRES </t>
        </is>
      </c>
      <c r="C114" s="4" t="inlineStr">
        <is>
          <t>24/05/2011</t>
        </is>
      </c>
      <c r="D114" s="5" t="inlineStr">
        <is>
          <t>ANALISTA PROGRAMADOR SENIOR</t>
        </is>
      </c>
      <c r="E114" s="5" t="inlineStr">
        <is>
          <t xml:space="preserve"> EMPLEADO</t>
        </is>
      </c>
      <c r="F114" s="5" t="inlineStr">
        <is>
          <t>DEPARTAMENTO DE ANALISIS Y PROGRAMACIÓN</t>
        </is>
      </c>
      <c r="G114" s="5" t="inlineStr">
        <is>
          <t>Gerencia de Sistemas</t>
        </is>
      </c>
      <c r="H114" s="5" t="n"/>
    </row>
    <row r="115" hidden="1" s="38">
      <c r="A115" s="4" t="inlineStr">
        <is>
          <t>680</t>
        </is>
      </c>
      <c r="B115" s="5" t="inlineStr">
        <is>
          <t xml:space="preserve">CARLOS FRANCISCO HERNANDEZ MUÑOZ </t>
        </is>
      </c>
      <c r="C115" s="4" t="inlineStr">
        <is>
          <t>24/03/2020</t>
        </is>
      </c>
      <c r="D115" s="5" t="inlineStr">
        <is>
          <t>ANALISTA QA</t>
        </is>
      </c>
      <c r="E115" s="5" t="inlineStr">
        <is>
          <t xml:space="preserve"> EMPLEADO</t>
        </is>
      </c>
      <c r="F115" s="5" t="inlineStr">
        <is>
          <t>DEPARTAMENTO DE ANALISIS Y PROGRAMACIÓN</t>
        </is>
      </c>
      <c r="G115" s="5" t="inlineStr">
        <is>
          <t>Gerencia de Sistemas</t>
        </is>
      </c>
      <c r="H115" s="5" t="n"/>
    </row>
    <row r="116" hidden="1" s="38">
      <c r="A116" s="4" t="inlineStr">
        <is>
          <t>752</t>
        </is>
      </c>
      <c r="B116" s="5" t="inlineStr">
        <is>
          <t xml:space="preserve">JEAN HARRY MIRANDA ARAUJO </t>
        </is>
      </c>
      <c r="C116" s="4" t="inlineStr">
        <is>
          <t>01/06/2022</t>
        </is>
      </c>
      <c r="D116" s="5" t="inlineStr">
        <is>
          <t xml:space="preserve">ANALISTA PROGRAMADOR </t>
        </is>
      </c>
      <c r="E116" s="5" t="inlineStr">
        <is>
          <t xml:space="preserve"> EMPLEADO</t>
        </is>
      </c>
      <c r="F116" s="5" t="inlineStr">
        <is>
          <t>DEPARTAMENTO DE ANALISIS Y PROGRAMACIÓN</t>
        </is>
      </c>
      <c r="G116" s="5" t="inlineStr">
        <is>
          <t>Gerencia de Sistemas</t>
        </is>
      </c>
      <c r="H116" s="5" t="n"/>
    </row>
    <row r="117" hidden="1" s="38">
      <c r="A117" s="4" t="inlineStr">
        <is>
          <t>783</t>
        </is>
      </c>
      <c r="B117" s="5" t="inlineStr">
        <is>
          <t xml:space="preserve">JONATHAN ALEXIS BERRIOS MENJIVAR </t>
        </is>
      </c>
      <c r="C117" s="4" t="inlineStr">
        <is>
          <t>24/10/2022</t>
        </is>
      </c>
      <c r="D117" s="5" t="inlineStr">
        <is>
          <t xml:space="preserve">ANALISTA PROGRAMADOR </t>
        </is>
      </c>
      <c r="E117" s="5" t="inlineStr">
        <is>
          <t xml:space="preserve"> EMPLEADO</t>
        </is>
      </c>
      <c r="F117" s="5" t="inlineStr">
        <is>
          <t>DEPARTAMENTO DE ANALISIS Y PROGRAMACIÓN</t>
        </is>
      </c>
      <c r="G117" s="5" t="inlineStr">
        <is>
          <t>Gerencia de Sistemas</t>
        </is>
      </c>
      <c r="H117" s="5" t="n"/>
    </row>
    <row r="118" hidden="1" s="38">
      <c r="A118" s="4" t="inlineStr">
        <is>
          <t>806</t>
        </is>
      </c>
      <c r="B118" s="5" t="inlineStr">
        <is>
          <t xml:space="preserve">BYRON WILFREDO MENJIVAR MELENDEZ </t>
        </is>
      </c>
      <c r="C118" s="4" t="inlineStr">
        <is>
          <t>18/04/2023</t>
        </is>
      </c>
      <c r="D118" s="5" t="inlineStr">
        <is>
          <t xml:space="preserve">ANALISTA PROGRAMADOR </t>
        </is>
      </c>
      <c r="E118" s="5" t="inlineStr">
        <is>
          <t xml:space="preserve"> EMPLEADO</t>
        </is>
      </c>
      <c r="F118" s="5" t="inlineStr">
        <is>
          <t>DEPARTAMENTO DE ANALISIS Y PROGRAMACIÓN</t>
        </is>
      </c>
      <c r="G118" s="5" t="inlineStr">
        <is>
          <t>Gerencia de Sistemas</t>
        </is>
      </c>
      <c r="H118" s="5" t="n"/>
    </row>
    <row r="119" hidden="1" s="38">
      <c r="A119" s="4" t="inlineStr">
        <is>
          <t>824</t>
        </is>
      </c>
      <c r="B119" s="5" t="inlineStr">
        <is>
          <t xml:space="preserve">RODRIGO FERNANDO FIGUEROA RIVAS </t>
        </is>
      </c>
      <c r="C119" s="4" t="inlineStr">
        <is>
          <t>01/07/2024</t>
        </is>
      </c>
      <c r="D119" s="5" t="inlineStr">
        <is>
          <t>ANALISTA PROGRAMADOR JUNIOR</t>
        </is>
      </c>
      <c r="E119" s="5" t="inlineStr">
        <is>
          <t xml:space="preserve"> EMPLEADO</t>
        </is>
      </c>
      <c r="F119" s="5" t="inlineStr">
        <is>
          <t>DEPARTAMENTO DE ANALISIS Y PROGRAMACIÓN</t>
        </is>
      </c>
      <c r="G119" s="5" t="inlineStr">
        <is>
          <t>Gerencia de Sistemas</t>
        </is>
      </c>
      <c r="H119" s="5" t="n"/>
    </row>
    <row r="120" hidden="1" s="38">
      <c r="A120" s="4" t="inlineStr">
        <is>
          <t>879</t>
        </is>
      </c>
      <c r="B120" s="5" t="inlineStr">
        <is>
          <t xml:space="preserve">MILAGRO NATIVIDAD ESCOBAR MELENDEZ </t>
        </is>
      </c>
      <c r="C120" s="4" t="inlineStr">
        <is>
          <t>09/12/2024</t>
        </is>
      </c>
      <c r="D120" s="5" t="inlineStr">
        <is>
          <t xml:space="preserve">ANALISTA PROGRAMADOR </t>
        </is>
      </c>
      <c r="E120" s="5" t="inlineStr">
        <is>
          <t xml:space="preserve"> EMPLEADO</t>
        </is>
      </c>
      <c r="F120" s="5" t="inlineStr">
        <is>
          <t>DEPARTAMENTO DE ANALISIS Y PROGRAMACIÓN</t>
        </is>
      </c>
      <c r="G120" s="5" t="inlineStr">
        <is>
          <t>Gerencia de Sistemas</t>
        </is>
      </c>
      <c r="H120" s="5" t="n"/>
    </row>
    <row r="121" hidden="1" s="38">
      <c r="A121" s="4" t="inlineStr">
        <is>
          <t>899</t>
        </is>
      </c>
      <c r="B121" s="5" t="inlineStr">
        <is>
          <t>ALEJANDRA VERONICA CENTENO  LOPEZ</t>
        </is>
      </c>
      <c r="C121" s="4" t="inlineStr">
        <is>
          <t>14/10/2024</t>
        </is>
      </c>
      <c r="D121" s="5" t="inlineStr">
        <is>
          <t xml:space="preserve">ANALISTA PROGRAMADOR </t>
        </is>
      </c>
      <c r="E121" s="5" t="inlineStr">
        <is>
          <t xml:space="preserve"> EMPLEADO</t>
        </is>
      </c>
      <c r="F121" s="5" t="inlineStr">
        <is>
          <t>DEPARTAMENTO DE ANALISIS Y PROGRAMACIÓN</t>
        </is>
      </c>
      <c r="G121" s="5" t="inlineStr">
        <is>
          <t>Gerencia de Sistemas</t>
        </is>
      </c>
      <c r="H121" s="5" t="n"/>
    </row>
    <row r="122" hidden="1" s="38">
      <c r="A122" s="4" t="inlineStr">
        <is>
          <t>409</t>
        </is>
      </c>
      <c r="B122" s="5" t="inlineStr">
        <is>
          <t xml:space="preserve">PEDRO ERNESTO MORÁN RAMÍREZ </t>
        </is>
      </c>
      <c r="C122" s="4" t="inlineStr">
        <is>
          <t>07/08/2007</t>
        </is>
      </c>
      <c r="D122" s="5" t="inlineStr">
        <is>
          <t>ADMINISTRADOR DE BASE DE DATOS</t>
        </is>
      </c>
      <c r="E122" s="5" t="inlineStr">
        <is>
          <t xml:space="preserve"> EMPLEADO</t>
        </is>
      </c>
      <c r="F122" s="5" t="inlineStr">
        <is>
          <t>ADMINISTRACION DE BASE DE DATOS</t>
        </is>
      </c>
      <c r="G122" s="5" t="inlineStr">
        <is>
          <t>Gerencia de Sistemas</t>
        </is>
      </c>
      <c r="H122" s="5" t="n"/>
    </row>
    <row r="123" hidden="1" s="38">
      <c r="A123" s="4" t="inlineStr">
        <is>
          <t>330</t>
        </is>
      </c>
      <c r="B123" s="5" t="inlineStr">
        <is>
          <t xml:space="preserve">MERALYS CHAVEZ RODRIGUEZ </t>
        </is>
      </c>
      <c r="C123" s="4" t="inlineStr">
        <is>
          <t>01/03/2005</t>
        </is>
      </c>
      <c r="D123" s="5" t="inlineStr">
        <is>
          <t>AUDITOR INTERNO</t>
        </is>
      </c>
      <c r="E123" s="5" t="inlineStr">
        <is>
          <t xml:space="preserve"> EMPLEADO</t>
        </is>
      </c>
      <c r="F123" s="5" t="inlineStr">
        <is>
          <t>DEPARTAMENTO DE AUDITORIA INTERNA</t>
        </is>
      </c>
      <c r="G123" s="5" t="inlineStr">
        <is>
          <t>Auditoría Interna</t>
        </is>
      </c>
      <c r="H123" s="5" t="n"/>
    </row>
    <row r="124" hidden="1" s="38">
      <c r="A124" s="4" t="inlineStr">
        <is>
          <t>424</t>
        </is>
      </c>
      <c r="B124" s="5" t="inlineStr">
        <is>
          <t>MAYRA LISSETTE LOPEZ  SANCHEZ</t>
        </is>
      </c>
      <c r="C124" s="4" t="inlineStr">
        <is>
          <t>18/02/2008</t>
        </is>
      </c>
      <c r="D124" s="5" t="inlineStr">
        <is>
          <t>SUPERVISOR DE AUDITORIA INTERNA</t>
        </is>
      </c>
      <c r="E124" s="5" t="inlineStr">
        <is>
          <t xml:space="preserve"> EMPLEADO</t>
        </is>
      </c>
      <c r="F124" s="5" t="inlineStr">
        <is>
          <t>DEPARTAMENTO DE AUDITORIA INTERNA</t>
        </is>
      </c>
      <c r="G124" s="5" t="inlineStr">
        <is>
          <t>Auditoría Interna</t>
        </is>
      </c>
      <c r="H124" s="5" t="n"/>
    </row>
    <row r="125" hidden="1" s="38">
      <c r="A125" s="4" t="inlineStr">
        <is>
          <t>534</t>
        </is>
      </c>
      <c r="B125" s="5" t="inlineStr">
        <is>
          <t xml:space="preserve">NELSON DANILO BENITEZ MENDEZ </t>
        </is>
      </c>
      <c r="C125" s="4" t="inlineStr">
        <is>
          <t>12/05/2014</t>
        </is>
      </c>
      <c r="D125" s="5" t="inlineStr">
        <is>
          <t>AUDITOR DE SISTEMAS</t>
        </is>
      </c>
      <c r="E125" s="5" t="inlineStr">
        <is>
          <t xml:space="preserve"> EMPLEADO</t>
        </is>
      </c>
      <c r="F125" s="5" t="inlineStr">
        <is>
          <t>DEPARTAMENTO DE AUDITORIA INTERNA</t>
        </is>
      </c>
      <c r="G125" s="5" t="inlineStr">
        <is>
          <t>Auditoría Interna</t>
        </is>
      </c>
      <c r="H125" s="5" t="n"/>
    </row>
    <row r="126" hidden="1" s="38">
      <c r="A126" s="4" t="inlineStr">
        <is>
          <t>548</t>
        </is>
      </c>
      <c r="B126" s="5" t="inlineStr">
        <is>
          <t xml:space="preserve">ZORAIDA LORENA LOPEZ MEDINA </t>
        </is>
      </c>
      <c r="C126" s="4" t="inlineStr">
        <is>
          <t>23/03/2015</t>
        </is>
      </c>
      <c r="D126" s="5" t="inlineStr">
        <is>
          <t>ASISTENTE DE AUDITORIA INTERNA</t>
        </is>
      </c>
      <c r="E126" s="5" t="inlineStr">
        <is>
          <t xml:space="preserve"> EMPLEADO</t>
        </is>
      </c>
      <c r="F126" s="5" t="inlineStr">
        <is>
          <t>DEPARTAMENTO DE AUDITORIA INTERNA</t>
        </is>
      </c>
      <c r="G126" s="5" t="inlineStr">
        <is>
          <t>Auditoría Interna</t>
        </is>
      </c>
      <c r="H126" s="5" t="n"/>
    </row>
    <row r="127" hidden="1" s="38">
      <c r="A127" s="4" t="inlineStr">
        <is>
          <t>742</t>
        </is>
      </c>
      <c r="B127" s="5" t="inlineStr">
        <is>
          <t xml:space="preserve">PATRICIA GUADALUPE  SEGOVIA RAMIREZ </t>
        </is>
      </c>
      <c r="C127" s="4" t="inlineStr">
        <is>
          <t>04/04/2022</t>
        </is>
      </c>
      <c r="D127" s="5" t="inlineStr">
        <is>
          <t>ASISTENTE DE AUDITORIA INTERNA</t>
        </is>
      </c>
      <c r="E127" s="5" t="inlineStr">
        <is>
          <t xml:space="preserve"> EMPLEADO</t>
        </is>
      </c>
      <c r="F127" s="5" t="inlineStr">
        <is>
          <t>DEPARTAMENTO DE AUDITORIA INTERNA</t>
        </is>
      </c>
      <c r="G127" s="5" t="inlineStr">
        <is>
          <t>Auditoría Interna</t>
        </is>
      </c>
      <c r="H127" s="5" t="n"/>
    </row>
    <row r="128" hidden="1" s="38">
      <c r="A128" s="4" t="inlineStr">
        <is>
          <t>750</t>
        </is>
      </c>
      <c r="B128" s="5" t="inlineStr">
        <is>
          <t xml:space="preserve">MARLON ANTONIO BONILLA GARCIA </t>
        </is>
      </c>
      <c r="C128" s="4" t="inlineStr">
        <is>
          <t>01/06/2022</t>
        </is>
      </c>
      <c r="D128" s="5" t="inlineStr">
        <is>
          <t>ASISTENTE DE AUDITORIA INTERNA</t>
        </is>
      </c>
      <c r="E128" s="5" t="inlineStr">
        <is>
          <t xml:space="preserve"> EMPLEADO</t>
        </is>
      </c>
      <c r="F128" s="5" t="inlineStr">
        <is>
          <t>DEPARTAMENTO DE AUDITORIA INTERNA</t>
        </is>
      </c>
      <c r="G128" s="5" t="inlineStr">
        <is>
          <t>Auditoría Interna</t>
        </is>
      </c>
      <c r="H128" s="5" t="n"/>
    </row>
    <row r="129" hidden="1" s="38">
      <c r="A129" s="4" t="inlineStr">
        <is>
          <t>865</t>
        </is>
      </c>
      <c r="B129" s="5" t="inlineStr">
        <is>
          <t xml:space="preserve">MARIA ELENA VALLE BENAVIDES </t>
        </is>
      </c>
      <c r="C129" s="4" t="inlineStr">
        <is>
          <t>10/04/2024</t>
        </is>
      </c>
      <c r="D129" s="5" t="inlineStr">
        <is>
          <t>ASISTENTE DE AUDITORIA INTERNA</t>
        </is>
      </c>
      <c r="E129" s="5" t="inlineStr">
        <is>
          <t xml:space="preserve"> EMPLEADO</t>
        </is>
      </c>
      <c r="F129" s="5" t="inlineStr">
        <is>
          <t>DEPARTAMENTO DE AUDITORIA INTERNA</t>
        </is>
      </c>
      <c r="G129" s="5" t="inlineStr">
        <is>
          <t>Auditoría Interna</t>
        </is>
      </c>
      <c r="H129" s="5" t="n"/>
    </row>
    <row r="130" hidden="1" s="38">
      <c r="A130" s="4" t="inlineStr">
        <is>
          <t>443</t>
        </is>
      </c>
      <c r="B130" s="5" t="inlineStr">
        <is>
          <t>JOSSELINE LIZBETH VENTURA  RIVAS</t>
        </is>
      </c>
      <c r="C130" s="4" t="inlineStr">
        <is>
          <t>22/10/2008</t>
        </is>
      </c>
      <c r="D130" s="5" t="inlineStr">
        <is>
          <t>ANALISTA DE CUMPLIMIENTO</t>
        </is>
      </c>
      <c r="E130" s="5" t="inlineStr">
        <is>
          <t xml:space="preserve"> EMPLEADO</t>
        </is>
      </c>
      <c r="F130" s="5" t="inlineStr">
        <is>
          <t>OFICIALIA DE CUMPLIMIENTO</t>
        </is>
      </c>
      <c r="G130" s="5" t="inlineStr">
        <is>
          <t>Gerencia de Oficialía de Cumplimiento</t>
        </is>
      </c>
      <c r="H130" s="5" t="n"/>
    </row>
    <row r="131" hidden="1" s="38">
      <c r="A131" s="4" t="inlineStr">
        <is>
          <t>860</t>
        </is>
      </c>
      <c r="B131" s="5" t="inlineStr">
        <is>
          <t xml:space="preserve">JOHANNA LISSETH ROMERO RIVAS </t>
        </is>
      </c>
      <c r="C131" s="4" t="inlineStr">
        <is>
          <t>21/03/2024</t>
        </is>
      </c>
      <c r="D131" s="5" t="inlineStr">
        <is>
          <t>ANALISTA DE OFICIALIA DE CUMPLIMIENTO Y OFICIAL DE CUMPLIMIE</t>
        </is>
      </c>
      <c r="E131" s="5" t="inlineStr">
        <is>
          <t xml:space="preserve"> EMPLEADO</t>
        </is>
      </c>
      <c r="F131" s="5" t="inlineStr">
        <is>
          <t>OFICIALIA DE CUMPLIMIENTO</t>
        </is>
      </c>
      <c r="G131" s="5" t="inlineStr">
        <is>
          <t>Gerencia de Oficialía de Cumplimiento</t>
        </is>
      </c>
      <c r="H131" s="5" t="n"/>
    </row>
    <row r="132" hidden="1" s="38">
      <c r="A132" s="4" t="inlineStr">
        <is>
          <t>914</t>
        </is>
      </c>
      <c r="B132" s="5" t="inlineStr">
        <is>
          <t xml:space="preserve">FIDEL ISAIAS CASTELLON CALVIO </t>
        </is>
      </c>
      <c r="C132" s="4" t="inlineStr">
        <is>
          <t>10/03/2025</t>
        </is>
      </c>
      <c r="D132" s="5" t="inlineStr">
        <is>
          <t>ADMINISTRADOR DE MONITOR PLUS Y ANALISTA DE CUMPLIMIENTO</t>
        </is>
      </c>
      <c r="E132" s="5" t="inlineStr">
        <is>
          <t xml:space="preserve"> EMPLEADO</t>
        </is>
      </c>
      <c r="F132" s="5" t="inlineStr">
        <is>
          <t>OFICIALIA DE CUMPLIMIENTO</t>
        </is>
      </c>
      <c r="G132" s="5" t="inlineStr">
        <is>
          <t>Gerencia de Oficialía de Cumplimiento</t>
        </is>
      </c>
      <c r="H132" s="5" t="n"/>
    </row>
    <row r="133" hidden="1" s="38">
      <c r="A133" s="4" t="inlineStr">
        <is>
          <t>983</t>
        </is>
      </c>
      <c r="B133" s="5" t="inlineStr">
        <is>
          <t xml:space="preserve">LILIAN LISET MAGAÑA SANTOS </t>
        </is>
      </c>
      <c r="C133" s="4" t="inlineStr">
        <is>
          <t>23/09/2026</t>
        </is>
      </c>
      <c r="D133" s="5" t="inlineStr">
        <is>
          <t>PASANTE</t>
        </is>
      </c>
      <c r="E133" s="5" t="inlineStr">
        <is>
          <t xml:space="preserve"> EMPLEADO</t>
        </is>
      </c>
      <c r="F133" s="5" t="inlineStr">
        <is>
          <t>OFICIALIA DE CUMPLIMIENTO</t>
        </is>
      </c>
      <c r="G133" s="5" t="inlineStr">
        <is>
          <t>Gerencia de Oficialía de Cumplimiento</t>
        </is>
      </c>
      <c r="H133" s="5" t="n"/>
    </row>
    <row r="134" hidden="1" s="38">
      <c r="A134" s="4" t="inlineStr">
        <is>
          <t>984</t>
        </is>
      </c>
      <c r="B134" s="5" t="inlineStr">
        <is>
          <t xml:space="preserve">NICO EDUARDO CIUDAD REAL MOOIJ </t>
        </is>
      </c>
      <c r="C134" s="4" t="inlineStr">
        <is>
          <t>23/09/2026</t>
        </is>
      </c>
      <c r="D134" s="5" t="inlineStr">
        <is>
          <t>PASANTE</t>
        </is>
      </c>
      <c r="E134" s="5" t="inlineStr">
        <is>
          <t xml:space="preserve"> EMPLEADO</t>
        </is>
      </c>
      <c r="F134" s="5" t="inlineStr">
        <is>
          <t>OFICIALIA DE CUMPLIMIENTO</t>
        </is>
      </c>
      <c r="G134" s="5" t="inlineStr">
        <is>
          <t>Gerencia de Oficialía de Cumplimiento</t>
        </is>
      </c>
      <c r="H134" s="5" t="n"/>
    </row>
    <row r="135" hidden="1" s="38">
      <c r="A135" s="4" t="inlineStr">
        <is>
          <t>985</t>
        </is>
      </c>
      <c r="B135" s="5" t="inlineStr">
        <is>
          <t xml:space="preserve">JORGE MATEO GUTIERREZ FLORES </t>
        </is>
      </c>
      <c r="C135" s="4" t="inlineStr">
        <is>
          <t>28/09/2026</t>
        </is>
      </c>
      <c r="D135" s="5" t="inlineStr">
        <is>
          <t>PASANTE</t>
        </is>
      </c>
      <c r="E135" s="5" t="inlineStr">
        <is>
          <t xml:space="preserve"> EMPLEADO</t>
        </is>
      </c>
      <c r="F135" s="5" t="inlineStr">
        <is>
          <t>OFICIALIA DE CUMPLIMIENTO</t>
        </is>
      </c>
      <c r="G135" s="5" t="inlineStr">
        <is>
          <t>Gerencia de Oficialía de Cumplimiento</t>
        </is>
      </c>
      <c r="H135" s="5" t="n"/>
    </row>
    <row r="136" hidden="1" s="38">
      <c r="A136" s="4" t="inlineStr">
        <is>
          <t>583</t>
        </is>
      </c>
      <c r="B136" s="5" t="inlineStr">
        <is>
          <t xml:space="preserve">HECTOR JOSE MENJIVAR SOMOZA </t>
        </is>
      </c>
      <c r="C136" s="4" t="inlineStr">
        <is>
          <t>04/10/2021</t>
        </is>
      </c>
      <c r="D136" s="5" t="inlineStr">
        <is>
          <t>ANALISTA DE INTELIGENCIA DE NEGOCIOS</t>
        </is>
      </c>
      <c r="E136" s="5" t="inlineStr">
        <is>
          <t xml:space="preserve"> EMPLEADO</t>
        </is>
      </c>
      <c r="F136" s="5" t="inlineStr">
        <is>
          <t>GERENCIA DE NEGOCIOS</t>
        </is>
      </c>
      <c r="G136" s="5" t="inlineStr">
        <is>
          <t>Gerencia de Negocios</t>
        </is>
      </c>
      <c r="H136" s="5" t="n"/>
    </row>
    <row r="137" hidden="1" s="38">
      <c r="A137" s="4" t="inlineStr">
        <is>
          <t>633</t>
        </is>
      </c>
      <c r="B137" s="5" t="inlineStr">
        <is>
          <t xml:space="preserve">VICTOR ADONAY PEREZ CASTILLO </t>
        </is>
      </c>
      <c r="C137" s="4" t="inlineStr">
        <is>
          <t>03/12/2018</t>
        </is>
      </c>
      <c r="D137" s="5" t="inlineStr">
        <is>
          <t>ASISTENTE PARA CANALES ELECTRONICOS Y OPERACIONES EN AGENCIA</t>
        </is>
      </c>
      <c r="E137" s="5" t="inlineStr">
        <is>
          <t xml:space="preserve"> EMPLEADO</t>
        </is>
      </c>
      <c r="F137" s="5" t="inlineStr">
        <is>
          <t>GERENCIA DE NEGOCIOS</t>
        </is>
      </c>
      <c r="G137" s="5" t="inlineStr">
        <is>
          <t>Gerencia de Negocios</t>
        </is>
      </c>
      <c r="H137" s="5" t="n"/>
    </row>
    <row r="138" hidden="1" s="38">
      <c r="A138" s="4" t="inlineStr">
        <is>
          <t>782</t>
        </is>
      </c>
      <c r="B138" s="5" t="inlineStr">
        <is>
          <t>WANDA ILIANA MORENO QUINTEROS</t>
        </is>
      </c>
      <c r="C138" s="4" t="inlineStr">
        <is>
          <t>19/10/2022</t>
        </is>
      </c>
      <c r="D138" s="5" t="inlineStr">
        <is>
          <t>ADMINISTRADOR DE PLATAFORMAS Y TRANSFORMACION DIGITAL DE CRE</t>
        </is>
      </c>
      <c r="E138" s="5" t="inlineStr">
        <is>
          <t xml:space="preserve"> EMPLEADO</t>
        </is>
      </c>
      <c r="F138" s="5" t="inlineStr">
        <is>
          <t>GERENCIA DE NEGOCIOS</t>
        </is>
      </c>
      <c r="G138" s="5" t="inlineStr">
        <is>
          <t>Gerencia de Negocios</t>
        </is>
      </c>
      <c r="H138" s="5" t="n"/>
    </row>
    <row r="139" hidden="1" s="38">
      <c r="A139" s="4" t="inlineStr">
        <is>
          <t>166</t>
        </is>
      </c>
      <c r="B139" s="5" t="inlineStr">
        <is>
          <t>MARIA FRANCISCA DE LA LUZ HERNANDEZ HERNANDEZ</t>
        </is>
      </c>
      <c r="C139" s="4" t="inlineStr">
        <is>
          <t>12/11/1998</t>
        </is>
      </c>
      <c r="D139" s="5" t="inlineStr">
        <is>
          <t>JEFE DE ATENCION A  ASOCIADOS Y CLIENTES</t>
        </is>
      </c>
      <c r="E139" s="5" t="inlineStr">
        <is>
          <t xml:space="preserve"> EMPLEADO</t>
        </is>
      </c>
      <c r="F139" s="5" t="inlineStr">
        <is>
          <t>DEPARTAMENTO DE ATENCION A ASOCIADO Y CLIENTE</t>
        </is>
      </c>
      <c r="G139" s="5" t="inlineStr">
        <is>
          <t>Gerencia de Negocios</t>
        </is>
      </c>
      <c r="H139" s="5" t="n"/>
    </row>
    <row r="140" hidden="1" s="38">
      <c r="A140" s="4" t="inlineStr">
        <is>
          <t>712</t>
        </is>
      </c>
      <c r="B140" s="5" t="inlineStr">
        <is>
          <t xml:space="preserve">EDGARDO ISAIAS PEÑATE RIVAS </t>
        </is>
      </c>
      <c r="C140" s="4" t="inlineStr">
        <is>
          <t>19/04/2021</t>
        </is>
      </c>
      <c r="D140" s="5" t="inlineStr">
        <is>
          <t>ASISTENTE TECNICO DEL FONDO DE SOLIDARIDAD</t>
        </is>
      </c>
      <c r="E140" s="5" t="inlineStr">
        <is>
          <t xml:space="preserve"> EMPLEADO</t>
        </is>
      </c>
      <c r="F140" s="5" t="inlineStr">
        <is>
          <t>DEPARTAMENTO DE ATENCION A ASOCIADO Y CLIENTE</t>
        </is>
      </c>
      <c r="G140" s="5" t="inlineStr">
        <is>
          <t>Gerencia de Negocios</t>
        </is>
      </c>
      <c r="H140" s="5" t="n"/>
    </row>
    <row r="141" hidden="1" s="38">
      <c r="A141" s="4" t="inlineStr">
        <is>
          <t>744</t>
        </is>
      </c>
      <c r="B141" s="5" t="inlineStr">
        <is>
          <t>KARLA PATRICIA  ROBLES  CORTEZ</t>
        </is>
      </c>
      <c r="C141" s="4" t="inlineStr">
        <is>
          <t>04/04/2022</t>
        </is>
      </c>
      <c r="D141" s="5" t="inlineStr">
        <is>
          <t>ASISTENTE TECNICO DE AFILIACION</t>
        </is>
      </c>
      <c r="E141" s="5" t="inlineStr">
        <is>
          <t xml:space="preserve"> EMPLEADO</t>
        </is>
      </c>
      <c r="F141" s="5" t="inlineStr">
        <is>
          <t>DEPARTAMENTO DE ATENCION A ASOCIADO Y CLIENTE</t>
        </is>
      </c>
      <c r="G141" s="5" t="inlineStr">
        <is>
          <t>Gerencia de Negocios</t>
        </is>
      </c>
      <c r="H141" s="5" t="n"/>
    </row>
    <row r="142" hidden="1" s="38">
      <c r="A142" s="4" t="inlineStr">
        <is>
          <t>887</t>
        </is>
      </c>
      <c r="B142" s="5" t="inlineStr">
        <is>
          <t xml:space="preserve">EMERSON ULISES BELTRAN CORTEZ </t>
        </is>
      </c>
      <c r="C142" s="4" t="inlineStr">
        <is>
          <t>16/06/2025</t>
        </is>
      </c>
      <c r="D142" s="5" t="inlineStr">
        <is>
          <t>AUXILIAR DE ATENCION A  ASOCIADOS</t>
        </is>
      </c>
      <c r="E142" s="5" t="inlineStr">
        <is>
          <t xml:space="preserve"> EMPLEADO</t>
        </is>
      </c>
      <c r="F142" s="5" t="inlineStr">
        <is>
          <t>DEPARTAMENTO DE ATENCION A ASOCIADO Y CLIENTE</t>
        </is>
      </c>
      <c r="G142" s="5" t="inlineStr">
        <is>
          <t>Gerencia de Negocios</t>
        </is>
      </c>
      <c r="H142" s="5" t="n"/>
    </row>
    <row r="143" hidden="1" s="38">
      <c r="A143" s="4" t="inlineStr">
        <is>
          <t>945</t>
        </is>
      </c>
      <c r="B143" s="5" t="inlineStr">
        <is>
          <t xml:space="preserve">FABIOLA ELIZABETH TICAS GOMEZ  </t>
        </is>
      </c>
      <c r="C143" s="4" t="inlineStr">
        <is>
          <t>20/10/2025</t>
        </is>
      </c>
      <c r="D143" s="5" t="inlineStr">
        <is>
          <t>RECEPCIONISTA</t>
        </is>
      </c>
      <c r="E143" s="5" t="inlineStr">
        <is>
          <t xml:space="preserve"> EMPLEADO</t>
        </is>
      </c>
      <c r="F143" s="5" t="inlineStr">
        <is>
          <t>DEPARTAMENTO DE ATENCION A ASOCIADO Y CLIENTE</t>
        </is>
      </c>
      <c r="G143" s="5" t="inlineStr">
        <is>
          <t>Gerencia de Negocios</t>
        </is>
      </c>
      <c r="H143" s="5" t="n"/>
    </row>
    <row r="144" hidden="1" s="38">
      <c r="A144" s="4" t="inlineStr">
        <is>
          <t>981</t>
        </is>
      </c>
      <c r="B144" s="5" t="inlineStr">
        <is>
          <t xml:space="preserve">ALAN RODRIGO BENITEZ RODRIGUEZ </t>
        </is>
      </c>
      <c r="C144" s="4" t="inlineStr">
        <is>
          <t>18/09/2026</t>
        </is>
      </c>
      <c r="D144" s="5" t="inlineStr">
        <is>
          <t>PASANTE</t>
        </is>
      </c>
      <c r="E144" s="5" t="inlineStr">
        <is>
          <t xml:space="preserve"> EMPLEADO</t>
        </is>
      </c>
      <c r="F144" s="5" t="inlineStr">
        <is>
          <t>DEPARTAMENTO DE ATENCION A ASOCIADO Y CLIENTE</t>
        </is>
      </c>
      <c r="G144" s="5" t="inlineStr">
        <is>
          <t>Gerencia de Negocios</t>
        </is>
      </c>
      <c r="H144" s="5" t="n"/>
    </row>
    <row r="145" hidden="1" s="38">
      <c r="A145" s="4" t="inlineStr">
        <is>
          <t>219</t>
        </is>
      </c>
      <c r="B145" s="5" t="inlineStr">
        <is>
          <t>IVONNE LISSETH DE JESUS RODRIGUEZ   FLORES</t>
        </is>
      </c>
      <c r="C145" s="4" t="inlineStr">
        <is>
          <t>16/04/2007</t>
        </is>
      </c>
      <c r="D145" s="5" t="inlineStr">
        <is>
          <t>ASISTENTE TELEMARKETING</t>
        </is>
      </c>
      <c r="E145" s="5" t="inlineStr">
        <is>
          <t xml:space="preserve"> EMPLEADO</t>
        </is>
      </c>
      <c r="F145" s="5" t="inlineStr">
        <is>
          <t xml:space="preserve">DEPARTAMENTO DE MERCADEO </t>
        </is>
      </c>
      <c r="G145" s="5" t="inlineStr">
        <is>
          <t>Gerencia de Negocios</t>
        </is>
      </c>
      <c r="H145" s="5" t="n"/>
    </row>
    <row r="146" hidden="1" s="38">
      <c r="A146" s="4" t="inlineStr">
        <is>
          <t>361</t>
        </is>
      </c>
      <c r="B146" s="5" t="inlineStr">
        <is>
          <t xml:space="preserve">JOSE CARLOS IRENEO HERNANDEZ RODRIGUEZ </t>
        </is>
      </c>
      <c r="C146" s="4" t="inlineStr">
        <is>
          <t>25/01/2006</t>
        </is>
      </c>
      <c r="D146" s="5" t="inlineStr">
        <is>
          <t>ASISTENTE TECNICO DE MERCADEO</t>
        </is>
      </c>
      <c r="E146" s="5" t="inlineStr">
        <is>
          <t xml:space="preserve"> EMPLEADO</t>
        </is>
      </c>
      <c r="F146" s="5" t="inlineStr">
        <is>
          <t xml:space="preserve">DEPARTAMENTO DE MERCADEO </t>
        </is>
      </c>
      <c r="G146" s="5" t="inlineStr">
        <is>
          <t>Gerencia de Negocios</t>
        </is>
      </c>
      <c r="H146" s="5" t="n"/>
    </row>
    <row r="147" hidden="1" s="38">
      <c r="A147" s="4" t="inlineStr">
        <is>
          <t>591</t>
        </is>
      </c>
      <c r="B147" s="5" t="inlineStr">
        <is>
          <t>CARMEN MARIA GUTIERREZ ESTRADA</t>
        </is>
      </c>
      <c r="C147" s="4" t="inlineStr">
        <is>
          <t>27/03/2017</t>
        </is>
      </c>
      <c r="D147" s="5" t="inlineStr">
        <is>
          <t>JEFE DE MERCADEO</t>
        </is>
      </c>
      <c r="E147" s="5" t="inlineStr">
        <is>
          <t xml:space="preserve"> EMPLEADO</t>
        </is>
      </c>
      <c r="F147" s="5" t="inlineStr">
        <is>
          <t xml:space="preserve">DEPARTAMENTO DE MERCADEO </t>
        </is>
      </c>
      <c r="G147" s="5" t="inlineStr">
        <is>
          <t>Gerencia de Negocios</t>
        </is>
      </c>
      <c r="H147" s="5" t="n"/>
    </row>
    <row r="148" hidden="1" s="38">
      <c r="A148" s="4" t="inlineStr">
        <is>
          <t>723</t>
        </is>
      </c>
      <c r="B148" s="5" t="inlineStr">
        <is>
          <t xml:space="preserve">LUIS FAUSTONY VASQUEZ CIENFUEGOS </t>
        </is>
      </c>
      <c r="C148" s="4" t="inlineStr">
        <is>
          <t>05/07/2021</t>
        </is>
      </c>
      <c r="D148" s="5" t="inlineStr">
        <is>
          <t>GESTOR DE DOCUMENTOS</t>
        </is>
      </c>
      <c r="E148" s="5" t="inlineStr">
        <is>
          <t xml:space="preserve"> EMPLEADO</t>
        </is>
      </c>
      <c r="F148" s="5" t="inlineStr">
        <is>
          <t xml:space="preserve">DEPARTAMENTO DE MERCADEO </t>
        </is>
      </c>
      <c r="G148" s="5" t="inlineStr">
        <is>
          <t>Gerencia de Negocios</t>
        </is>
      </c>
      <c r="H148" s="5" t="n"/>
    </row>
    <row r="149" hidden="1" s="38">
      <c r="A149" s="4" t="inlineStr">
        <is>
          <t>895</t>
        </is>
      </c>
      <c r="B149" s="5" t="inlineStr">
        <is>
          <t xml:space="preserve">MARIA ALEJANDRA BATRES ALVARADO </t>
        </is>
      </c>
      <c r="C149" s="4" t="inlineStr">
        <is>
          <t>23/09/2024</t>
        </is>
      </c>
      <c r="D149" s="5" t="inlineStr">
        <is>
          <t>DISEÑADOR  GRAFICO</t>
        </is>
      </c>
      <c r="E149" s="5" t="inlineStr">
        <is>
          <t xml:space="preserve"> EMPLEADO</t>
        </is>
      </c>
      <c r="F149" s="5" t="inlineStr">
        <is>
          <t xml:space="preserve">DEPARTAMENTO DE MERCADEO </t>
        </is>
      </c>
      <c r="G149" s="5" t="inlineStr">
        <is>
          <t>Gerencia de Negocios</t>
        </is>
      </c>
      <c r="H149" s="5" t="n"/>
    </row>
    <row r="150" hidden="1" s="38">
      <c r="A150" s="4" t="inlineStr">
        <is>
          <t>897</t>
        </is>
      </c>
      <c r="B150" s="5" t="inlineStr">
        <is>
          <t xml:space="preserve">GERARDO ALEXANDER  MARTINEZ RIVERA </t>
        </is>
      </c>
      <c r="C150" s="4" t="inlineStr">
        <is>
          <t>01/10/2024</t>
        </is>
      </c>
      <c r="D150" s="5" t="inlineStr">
        <is>
          <t>ANALISTA DE COMUNICACIONES</t>
        </is>
      </c>
      <c r="E150" s="5" t="inlineStr">
        <is>
          <t xml:space="preserve"> EMPLEADO</t>
        </is>
      </c>
      <c r="F150" s="5" t="inlineStr">
        <is>
          <t xml:space="preserve">DEPARTAMENTO DE MERCADEO </t>
        </is>
      </c>
      <c r="G150" s="5" t="inlineStr">
        <is>
          <t>Gerencia de Negocios</t>
        </is>
      </c>
      <c r="H150" s="5" t="n"/>
    </row>
    <row r="151" hidden="1" s="38">
      <c r="A151" s="4" t="inlineStr">
        <is>
          <t>982</t>
        </is>
      </c>
      <c r="B151" s="5" t="inlineStr">
        <is>
          <t xml:space="preserve">ALEJANDRA ABIGAIL RAMIREZ ROMERO </t>
        </is>
      </c>
      <c r="C151" s="4" t="inlineStr">
        <is>
          <t>23/09/2026</t>
        </is>
      </c>
      <c r="D151" s="5" t="inlineStr">
        <is>
          <t>DISEÑADOR  GRAFICO</t>
        </is>
      </c>
      <c r="E151" s="5" t="inlineStr">
        <is>
          <t xml:space="preserve"> EMPLEADO</t>
        </is>
      </c>
      <c r="F151" s="5" t="inlineStr">
        <is>
          <t xml:space="preserve">DEPARTAMENTO DE MERCADEO </t>
        </is>
      </c>
      <c r="G151" s="5" t="inlineStr">
        <is>
          <t>Gerencia de Negocios</t>
        </is>
      </c>
      <c r="H151" s="5" t="n"/>
    </row>
    <row r="152" hidden="1" s="38">
      <c r="A152" s="4" t="inlineStr">
        <is>
          <t>207</t>
        </is>
      </c>
      <c r="B152" s="5" t="inlineStr">
        <is>
          <t>ANA ESTER ERAZO ORTIZ</t>
        </is>
      </c>
      <c r="C152" s="4" t="inlineStr">
        <is>
          <t>15/05/2000</t>
        </is>
      </c>
      <c r="D152" s="5" t="inlineStr">
        <is>
          <t>ANALISTA DE CREDITOS</t>
        </is>
      </c>
      <c r="E152" s="5" t="inlineStr">
        <is>
          <t xml:space="preserve"> EMPLEADO</t>
        </is>
      </c>
      <c r="F152" s="5" t="inlineStr">
        <is>
          <t xml:space="preserve">DEPARTAMENTO DE CREDITOS </t>
        </is>
      </c>
      <c r="G152" s="5" t="inlineStr">
        <is>
          <t>Gerencia de Negocios</t>
        </is>
      </c>
      <c r="H152" s="5" t="n"/>
    </row>
    <row r="153" hidden="1" s="38">
      <c r="A153" s="4" t="inlineStr">
        <is>
          <t>345</t>
        </is>
      </c>
      <c r="B153" s="5" t="inlineStr">
        <is>
          <t>ANA EVELYN ROQUE GALEANO</t>
        </is>
      </c>
      <c r="C153" s="4" t="inlineStr">
        <is>
          <t>16/06/2005</t>
        </is>
      </c>
      <c r="D153" s="5" t="inlineStr">
        <is>
          <t>AUXILIAR  DE CREDITOS</t>
        </is>
      </c>
      <c r="E153" s="5" t="inlineStr">
        <is>
          <t xml:space="preserve"> EMPLEADO</t>
        </is>
      </c>
      <c r="F153" s="5" t="inlineStr">
        <is>
          <t xml:space="preserve">DEPARTAMENTO DE CREDITOS </t>
        </is>
      </c>
      <c r="G153" s="5" t="inlineStr">
        <is>
          <t>Gerencia de Negocios</t>
        </is>
      </c>
      <c r="H153" s="5" t="n"/>
    </row>
    <row r="154" hidden="1" s="38">
      <c r="A154" s="4" t="inlineStr">
        <is>
          <t>377</t>
        </is>
      </c>
      <c r="B154" s="5" t="inlineStr">
        <is>
          <t>MABEL GERALDINE RAMIREZ PORTILLO</t>
        </is>
      </c>
      <c r="C154" s="4" t="inlineStr">
        <is>
          <t>26/06/2006</t>
        </is>
      </c>
      <c r="D154" s="5" t="inlineStr">
        <is>
          <t>SUPERVISOR DE ANALISTAS DE CREDITOS</t>
        </is>
      </c>
      <c r="E154" s="5" t="inlineStr">
        <is>
          <t xml:space="preserve"> EMPLEADO</t>
        </is>
      </c>
      <c r="F154" s="5" t="inlineStr">
        <is>
          <t xml:space="preserve">DEPARTAMENTO DE CREDITOS </t>
        </is>
      </c>
      <c r="G154" s="5" t="inlineStr">
        <is>
          <t>Gerencia de Negocios</t>
        </is>
      </c>
      <c r="H154" s="5" t="n"/>
    </row>
    <row r="155" hidden="1" s="38">
      <c r="A155" s="4" t="inlineStr">
        <is>
          <t>470</t>
        </is>
      </c>
      <c r="B155" s="5" t="inlineStr">
        <is>
          <t xml:space="preserve">ROSALBA RODRIGUEZ JIMENEZ </t>
        </is>
      </c>
      <c r="C155" s="4" t="inlineStr">
        <is>
          <t>01/01/2011</t>
        </is>
      </c>
      <c r="D155" s="5" t="inlineStr">
        <is>
          <t>ANALISTA DE CREDITOS</t>
        </is>
      </c>
      <c r="E155" s="5" t="inlineStr">
        <is>
          <t xml:space="preserve"> EMPLEADO</t>
        </is>
      </c>
      <c r="F155" s="5" t="inlineStr">
        <is>
          <t xml:space="preserve">DEPARTAMENTO DE CREDITOS </t>
        </is>
      </c>
      <c r="G155" s="5" t="inlineStr">
        <is>
          <t>Gerencia de Negocios</t>
        </is>
      </c>
      <c r="H155" s="5" t="n"/>
    </row>
    <row r="156" hidden="1" s="38">
      <c r="A156" s="4" t="inlineStr">
        <is>
          <t>492</t>
        </is>
      </c>
      <c r="B156" s="5" t="inlineStr">
        <is>
          <t xml:space="preserve">CINDIA IVETTE ZEPEDA VASQUEZ </t>
        </is>
      </c>
      <c r="C156" s="4" t="inlineStr">
        <is>
          <t>20/08/2012</t>
        </is>
      </c>
      <c r="D156" s="5" t="inlineStr">
        <is>
          <t>AUXILIAR  DE CREDITOS</t>
        </is>
      </c>
      <c r="E156" s="5" t="inlineStr">
        <is>
          <t xml:space="preserve"> EMPLEADO</t>
        </is>
      </c>
      <c r="F156" s="5" t="inlineStr">
        <is>
          <t xml:space="preserve">DEPARTAMENTO DE CREDITOS </t>
        </is>
      </c>
      <c r="G156" s="5" t="inlineStr">
        <is>
          <t>Gerencia de Negocios</t>
        </is>
      </c>
      <c r="H156" s="5" t="n"/>
    </row>
    <row r="157" hidden="1" s="38">
      <c r="A157" s="4" t="inlineStr">
        <is>
          <t>719</t>
        </is>
      </c>
      <c r="B157" s="5" t="inlineStr">
        <is>
          <t>INGRID ALEJANDRINA LISSETH  GUZMAN SANCHEZ</t>
        </is>
      </c>
      <c r="C157" s="4" t="inlineStr">
        <is>
          <t>21/06/2021</t>
        </is>
      </c>
      <c r="D157" s="5" t="inlineStr">
        <is>
          <t>AUXILIAR  DE CREDITOS</t>
        </is>
      </c>
      <c r="E157" s="5" t="inlineStr">
        <is>
          <t xml:space="preserve"> EMPLEADO</t>
        </is>
      </c>
      <c r="F157" s="5" t="inlineStr">
        <is>
          <t xml:space="preserve">DEPARTAMENTO DE CREDITOS </t>
        </is>
      </c>
      <c r="G157" s="5" t="inlineStr">
        <is>
          <t>Gerencia de Negocios</t>
        </is>
      </c>
      <c r="H157" s="5" t="n"/>
    </row>
    <row r="158" hidden="1" s="38">
      <c r="A158" s="4" t="inlineStr">
        <is>
          <t>730</t>
        </is>
      </c>
      <c r="B158" s="5" t="inlineStr">
        <is>
          <t xml:space="preserve">YANETH  HERNANDEZ YANES </t>
        </is>
      </c>
      <c r="C158" s="4" t="inlineStr">
        <is>
          <t>04/10/2021</t>
        </is>
      </c>
      <c r="D158" s="5" t="inlineStr">
        <is>
          <t>JEFE DE CREDITOS</t>
        </is>
      </c>
      <c r="E158" s="5" t="inlineStr">
        <is>
          <t xml:space="preserve"> EMPLEADO</t>
        </is>
      </c>
      <c r="F158" s="5" t="inlineStr">
        <is>
          <t xml:space="preserve">DEPARTAMENTO DE CREDITOS </t>
        </is>
      </c>
      <c r="G158" s="5" t="inlineStr">
        <is>
          <t>Gerencia de Negocios</t>
        </is>
      </c>
      <c r="H158" s="5" t="n"/>
    </row>
    <row r="159" hidden="1" s="38">
      <c r="A159" s="4" t="inlineStr">
        <is>
          <t>780</t>
        </is>
      </c>
      <c r="B159" s="5" t="inlineStr">
        <is>
          <t xml:space="preserve">JUAN ANTONIO DE JESUS NUNFIO </t>
        </is>
      </c>
      <c r="C159" s="4" t="inlineStr">
        <is>
          <t>17/10/2022</t>
        </is>
      </c>
      <c r="D159" s="5" t="inlineStr">
        <is>
          <t>ANALISTA DE CREDITOS</t>
        </is>
      </c>
      <c r="E159" s="5" t="inlineStr">
        <is>
          <t xml:space="preserve"> EMPLEADO</t>
        </is>
      </c>
      <c r="F159" s="5" t="inlineStr">
        <is>
          <t xml:space="preserve">DEPARTAMENTO DE CREDITOS </t>
        </is>
      </c>
      <c r="G159" s="5" t="inlineStr">
        <is>
          <t>Gerencia de Negocios</t>
        </is>
      </c>
      <c r="H159" s="5" t="n"/>
    </row>
    <row r="160" hidden="1" s="38">
      <c r="A160" s="4" t="inlineStr">
        <is>
          <t>781</t>
        </is>
      </c>
      <c r="B160" s="5" t="inlineStr">
        <is>
          <t xml:space="preserve">SOFIA SOLEDAD CASTRO VALLE </t>
        </is>
      </c>
      <c r="C160" s="4" t="inlineStr">
        <is>
          <t>17/10/2022</t>
        </is>
      </c>
      <c r="D160" s="5" t="inlineStr">
        <is>
          <t>AUXILIAR  DE CREDITOS</t>
        </is>
      </c>
      <c r="E160" s="5" t="inlineStr">
        <is>
          <t xml:space="preserve"> EMPLEADO</t>
        </is>
      </c>
      <c r="F160" s="5" t="inlineStr">
        <is>
          <t xml:space="preserve">DEPARTAMENTO DE CREDITOS </t>
        </is>
      </c>
      <c r="G160" s="5" t="inlineStr">
        <is>
          <t>Gerencia de Negocios</t>
        </is>
      </c>
      <c r="H160" s="5" t="n"/>
    </row>
    <row r="161" hidden="1" s="38">
      <c r="A161" s="4" t="inlineStr">
        <is>
          <t>809</t>
        </is>
      </c>
      <c r="B161" s="5" t="inlineStr">
        <is>
          <t xml:space="preserve">KARLA VANESSA GARCIA OLIVA </t>
        </is>
      </c>
      <c r="C161" s="4" t="inlineStr">
        <is>
          <t>08/05/2023</t>
        </is>
      </c>
      <c r="D161" s="5" t="inlineStr">
        <is>
          <t>ANALISTA DE CREDITOS</t>
        </is>
      </c>
      <c r="E161" s="5" t="inlineStr">
        <is>
          <t xml:space="preserve"> EMPLEADO</t>
        </is>
      </c>
      <c r="F161" s="5" t="inlineStr">
        <is>
          <t xml:space="preserve">DEPARTAMENTO DE CREDITOS </t>
        </is>
      </c>
      <c r="G161" s="5" t="inlineStr">
        <is>
          <t>Gerencia de Negocios</t>
        </is>
      </c>
      <c r="H161" s="5" t="n"/>
    </row>
    <row r="162" hidden="1" s="38">
      <c r="A162" s="4" t="inlineStr">
        <is>
          <t>837</t>
        </is>
      </c>
      <c r="B162" s="5" t="inlineStr">
        <is>
          <t>DAYANA ABIGAIL CHAVEZ CORDOVA</t>
        </is>
      </c>
      <c r="C162" s="4" t="inlineStr">
        <is>
          <t>12/05/2025</t>
        </is>
      </c>
      <c r="D162" s="5" t="inlineStr">
        <is>
          <t>GESTOR DE EXPEDIENTES</t>
        </is>
      </c>
      <c r="E162" s="5" t="inlineStr">
        <is>
          <t xml:space="preserve"> EMPLEADO</t>
        </is>
      </c>
      <c r="F162" s="5" t="inlineStr">
        <is>
          <t xml:space="preserve">DEPARTAMENTO DE CREDITOS </t>
        </is>
      </c>
      <c r="G162" s="5" t="inlineStr">
        <is>
          <t>Gerencia de Negocios</t>
        </is>
      </c>
      <c r="H162" s="5" t="n"/>
    </row>
    <row r="163" hidden="1" s="38">
      <c r="A163" s="4" t="inlineStr">
        <is>
          <t>939</t>
        </is>
      </c>
      <c r="B163" s="5" t="inlineStr">
        <is>
          <t xml:space="preserve">MARIO LEONEL CANDRAY FLORES </t>
        </is>
      </c>
      <c r="C163" s="4" t="inlineStr">
        <is>
          <t>09/08/2025</t>
        </is>
      </c>
      <c r="D163" s="5" t="inlineStr">
        <is>
          <t>ANALISTA DE CREDITOS</t>
        </is>
      </c>
      <c r="E163" s="5" t="inlineStr">
        <is>
          <t xml:space="preserve"> EMPLEADO</t>
        </is>
      </c>
      <c r="F163" s="5" t="inlineStr">
        <is>
          <t xml:space="preserve">DEPARTAMENTO DE CREDITOS </t>
        </is>
      </c>
      <c r="G163" s="5" t="inlineStr">
        <is>
          <t>Gerencia de Negocios</t>
        </is>
      </c>
      <c r="H163" s="5" t="n"/>
    </row>
    <row r="164" hidden="1" s="38">
      <c r="A164" s="4" t="inlineStr">
        <is>
          <t>979</t>
        </is>
      </c>
      <c r="B164" s="5" t="inlineStr">
        <is>
          <t xml:space="preserve">MARIA LILIAN MENJIVAR GUARDADO </t>
        </is>
      </c>
      <c r="C164" s="4" t="inlineStr">
        <is>
          <t>17/08/2026</t>
        </is>
      </c>
      <c r="D164" s="5" t="inlineStr">
        <is>
          <t>ANALISTA DE CREDITOS</t>
        </is>
      </c>
      <c r="E164" s="5" t="inlineStr">
        <is>
          <t xml:space="preserve"> EMPLEADO</t>
        </is>
      </c>
      <c r="F164" s="5" t="inlineStr">
        <is>
          <t xml:space="preserve">DEPARTAMENTO DE CREDITOS </t>
        </is>
      </c>
      <c r="G164" s="5" t="inlineStr">
        <is>
          <t>Gerencia de Negocios</t>
        </is>
      </c>
      <c r="H164" s="5" t="n"/>
    </row>
    <row r="165" hidden="1" s="38">
      <c r="A165" s="4" t="inlineStr">
        <is>
          <t>544</t>
        </is>
      </c>
      <c r="B165" s="5" t="inlineStr">
        <is>
          <t>CLAUDIA MARISOL MADRID BARRIENTOS</t>
        </is>
      </c>
      <c r="C165" s="4" t="inlineStr">
        <is>
          <t>02/01/2015</t>
        </is>
      </c>
      <c r="D165" s="5" t="inlineStr">
        <is>
          <t>GESTOR DE  RECLAMOS Y SUSCRIPCIONES</t>
        </is>
      </c>
      <c r="E165" s="5" t="inlineStr">
        <is>
          <t xml:space="preserve"> EMPLEADO</t>
        </is>
      </c>
      <c r="F165" s="5" t="inlineStr">
        <is>
          <t xml:space="preserve">DEPARTAMENTO DE SEGUROS </t>
        </is>
      </c>
      <c r="G165" s="5" t="inlineStr">
        <is>
          <t>Gerencia de Negocios</t>
        </is>
      </c>
      <c r="H165" s="5" t="n"/>
    </row>
    <row r="166" hidden="1" s="38">
      <c r="A166" s="4" t="inlineStr">
        <is>
          <t>589</t>
        </is>
      </c>
      <c r="B166" s="5" t="inlineStr">
        <is>
          <t xml:space="preserve">CLELIA LIZETH ORTIZ GALDAMEZ </t>
        </is>
      </c>
      <c r="C166" s="4" t="inlineStr">
        <is>
          <t>08/03/2017</t>
        </is>
      </c>
      <c r="D166" s="5" t="inlineStr">
        <is>
          <t>AUXILIAR DE ADMINISTRACION DE SEGUROS</t>
        </is>
      </c>
      <c r="E166" s="5" t="inlineStr">
        <is>
          <t xml:space="preserve"> EMPLEADO</t>
        </is>
      </c>
      <c r="F166" s="5" t="inlineStr">
        <is>
          <t xml:space="preserve">DEPARTAMENTO DE SEGUROS </t>
        </is>
      </c>
      <c r="G166" s="5" t="inlineStr">
        <is>
          <t>Gerencia de Negocios</t>
        </is>
      </c>
      <c r="H166" s="5" t="n"/>
    </row>
    <row r="167" hidden="1" s="38">
      <c r="A167" s="4" t="inlineStr">
        <is>
          <t>639</t>
        </is>
      </c>
      <c r="B167" s="5" t="inlineStr">
        <is>
          <t xml:space="preserve">CARLOS ALEXANDER ROMERO ROMERO </t>
        </is>
      </c>
      <c r="C167" s="4" t="inlineStr">
        <is>
          <t>01/04/2019</t>
        </is>
      </c>
      <c r="D167" s="5" t="inlineStr">
        <is>
          <t>GESTOR DE CARTERA DE SEGUROS</t>
        </is>
      </c>
      <c r="E167" s="5" t="inlineStr">
        <is>
          <t xml:space="preserve"> EMPLEADO</t>
        </is>
      </c>
      <c r="F167" s="5" t="inlineStr">
        <is>
          <t xml:space="preserve">DEPARTAMENTO DE SEGUROS </t>
        </is>
      </c>
      <c r="G167" s="5" t="inlineStr">
        <is>
          <t>Gerencia de Negocios</t>
        </is>
      </c>
      <c r="H167" s="5" t="n"/>
    </row>
    <row r="168" hidden="1" s="38">
      <c r="A168" s="4" t="inlineStr">
        <is>
          <t>643</t>
        </is>
      </c>
      <c r="B168" s="5" t="inlineStr">
        <is>
          <t xml:space="preserve">LISSETTE MARICELA SANCHEZ MOLINA </t>
        </is>
      </c>
      <c r="C168" s="4" t="inlineStr">
        <is>
          <t>02/05/2019</t>
        </is>
      </c>
      <c r="D168" s="5" t="inlineStr">
        <is>
          <t>ASISTENTE DE SEGUROS</t>
        </is>
      </c>
      <c r="E168" s="5" t="inlineStr">
        <is>
          <t xml:space="preserve"> EMPLEADO</t>
        </is>
      </c>
      <c r="F168" s="5" t="inlineStr">
        <is>
          <t xml:space="preserve">DEPARTAMENTO DE SEGUROS </t>
        </is>
      </c>
      <c r="G168" s="5" t="inlineStr">
        <is>
          <t>Gerencia de Negocios</t>
        </is>
      </c>
      <c r="H168" s="5" t="n"/>
    </row>
    <row r="169" hidden="1" s="38">
      <c r="A169" s="4" t="inlineStr">
        <is>
          <t>689</t>
        </is>
      </c>
      <c r="B169" s="5" t="inlineStr">
        <is>
          <t xml:space="preserve">RAUL ERNESTO PALACIOS LANDAVERDE </t>
        </is>
      </c>
      <c r="C169" s="4" t="inlineStr">
        <is>
          <t>16/11/2020</t>
        </is>
      </c>
      <c r="D169" s="5" t="inlineStr">
        <is>
          <t>TECNICO DEL SEGURO DE SALUD</t>
        </is>
      </c>
      <c r="E169" s="5" t="inlineStr">
        <is>
          <t xml:space="preserve"> EMPLEADO</t>
        </is>
      </c>
      <c r="F169" s="5" t="inlineStr">
        <is>
          <t xml:space="preserve">DEPARTAMENTO DE SEGUROS </t>
        </is>
      </c>
      <c r="G169" s="5" t="inlineStr">
        <is>
          <t>Gerencia de Negocios</t>
        </is>
      </c>
      <c r="H169" s="5" t="n"/>
    </row>
    <row r="170" hidden="1" s="38">
      <c r="A170" s="4" t="inlineStr">
        <is>
          <t>792</t>
        </is>
      </c>
      <c r="B170" s="5" t="inlineStr">
        <is>
          <t xml:space="preserve">JENNYFER AYLIN ESCOBAR ZAMORA </t>
        </is>
      </c>
      <c r="C170" s="4" t="inlineStr">
        <is>
          <t>16/11/2022</t>
        </is>
      </c>
      <c r="D170" s="5" t="inlineStr">
        <is>
          <t>COORDINADOR COMERCIAL DE SEGUROS</t>
        </is>
      </c>
      <c r="E170" s="5" t="inlineStr">
        <is>
          <t xml:space="preserve"> EMPLEADO</t>
        </is>
      </c>
      <c r="F170" s="5" t="inlineStr">
        <is>
          <t xml:space="preserve">DEPARTAMENTO DE SEGUROS </t>
        </is>
      </c>
      <c r="G170" s="5" t="inlineStr">
        <is>
          <t>Gerencia de Negocios</t>
        </is>
      </c>
      <c r="H170" s="5" t="n"/>
    </row>
    <row r="171" hidden="1" s="38">
      <c r="A171" s="4" t="inlineStr">
        <is>
          <t>793</t>
        </is>
      </c>
      <c r="B171" s="5" t="inlineStr">
        <is>
          <t>KRIZIA BETSABE FLORES MARTINEZ</t>
        </is>
      </c>
      <c r="C171" s="4" t="inlineStr">
        <is>
          <t>05/12/2022</t>
        </is>
      </c>
      <c r="D171" s="5" t="inlineStr">
        <is>
          <t>JEFE DE SEGUROS</t>
        </is>
      </c>
      <c r="E171" s="5" t="inlineStr">
        <is>
          <t xml:space="preserve"> EMPLEADO</t>
        </is>
      </c>
      <c r="F171" s="5" t="inlineStr">
        <is>
          <t xml:space="preserve">DEPARTAMENTO DE SEGUROS </t>
        </is>
      </c>
      <c r="G171" s="5" t="inlineStr">
        <is>
          <t>Gerencia de Negocios</t>
        </is>
      </c>
      <c r="H171" s="5" t="n"/>
    </row>
    <row r="172" hidden="1" s="38">
      <c r="A172" s="4" t="inlineStr">
        <is>
          <t>802</t>
        </is>
      </c>
      <c r="B172" s="5" t="inlineStr">
        <is>
          <t xml:space="preserve">ERIKA VANESSA ALEMAN MIJANGO </t>
        </is>
      </c>
      <c r="C172" s="4" t="inlineStr">
        <is>
          <t>16/03/2023</t>
        </is>
      </c>
      <c r="D172" s="5" t="inlineStr">
        <is>
          <t>EJECUTIVO DE VENTA DE SEGUROS</t>
        </is>
      </c>
      <c r="E172" s="5" t="inlineStr">
        <is>
          <t xml:space="preserve"> EMPLEADO</t>
        </is>
      </c>
      <c r="F172" s="5" t="inlineStr">
        <is>
          <t xml:space="preserve">DEPARTAMENTO DE SEGUROS </t>
        </is>
      </c>
      <c r="G172" s="5" t="inlineStr">
        <is>
          <t>Gerencia de Negocios</t>
        </is>
      </c>
      <c r="H172" s="5" t="inlineStr">
        <is>
          <t>Renuncia</t>
        </is>
      </c>
    </row>
    <row r="173" hidden="1" s="38">
      <c r="A173" s="4" t="inlineStr">
        <is>
          <t>805</t>
        </is>
      </c>
      <c r="B173" s="5" t="inlineStr">
        <is>
          <t xml:space="preserve">JUANA HAZEL GARCIA COREAS </t>
        </is>
      </c>
      <c r="C173" s="4" t="inlineStr">
        <is>
          <t>17/04/2023</t>
        </is>
      </c>
      <c r="D173" s="5" t="inlineStr">
        <is>
          <t>EJECUTIVO DE VENTA DE SEGUROS</t>
        </is>
      </c>
      <c r="E173" s="5" t="inlineStr">
        <is>
          <t xml:space="preserve"> EMPLEADO</t>
        </is>
      </c>
      <c r="F173" s="5" t="inlineStr">
        <is>
          <t xml:space="preserve">DEPARTAMENTO DE SEGUROS </t>
        </is>
      </c>
      <c r="G173" s="5" t="inlineStr">
        <is>
          <t>Gerencia de Negocios</t>
        </is>
      </c>
      <c r="H173" s="5" t="n"/>
    </row>
    <row r="174" hidden="1" s="38">
      <c r="A174" s="4" t="inlineStr">
        <is>
          <t>869</t>
        </is>
      </c>
      <c r="B174" s="5" t="inlineStr">
        <is>
          <t xml:space="preserve">JENNIFER BETSABE MARAVILLA MORENO </t>
        </is>
      </c>
      <c r="C174" s="4" t="inlineStr">
        <is>
          <t>22/04/2024</t>
        </is>
      </c>
      <c r="D174" s="5" t="inlineStr">
        <is>
          <t>EJECUTIVO DE VENTA DE SEGUROS</t>
        </is>
      </c>
      <c r="E174" s="5" t="inlineStr">
        <is>
          <t xml:space="preserve"> EMPLEADO</t>
        </is>
      </c>
      <c r="F174" s="5" t="inlineStr">
        <is>
          <t xml:space="preserve">DEPARTAMENTO DE SEGUROS </t>
        </is>
      </c>
      <c r="G174" s="5" t="inlineStr">
        <is>
          <t>Gerencia de Negocios</t>
        </is>
      </c>
      <c r="H174" s="5" t="n"/>
    </row>
    <row r="175" hidden="1" s="38">
      <c r="A175" s="4" t="inlineStr">
        <is>
          <t>894</t>
        </is>
      </c>
      <c r="B175" s="5" t="inlineStr">
        <is>
          <t xml:space="preserve">HENRY OSWALDO PINEDA GARCIA </t>
        </is>
      </c>
      <c r="C175" s="4" t="inlineStr">
        <is>
          <t>23/09/2024</t>
        </is>
      </c>
      <c r="D175" s="5" t="inlineStr">
        <is>
          <t>EJECUTIVO  MOVIL DE SEGUROS</t>
        </is>
      </c>
      <c r="E175" s="5" t="inlineStr">
        <is>
          <t xml:space="preserve"> EMPLEADO</t>
        </is>
      </c>
      <c r="F175" s="5" t="inlineStr">
        <is>
          <t xml:space="preserve">DEPARTAMENTO DE SEGUROS </t>
        </is>
      </c>
      <c r="G175" s="5" t="inlineStr">
        <is>
          <t>Gerencia de Negocios</t>
        </is>
      </c>
      <c r="H175" s="5" t="n"/>
    </row>
    <row r="176" hidden="1" s="38">
      <c r="A176" s="4" t="inlineStr">
        <is>
          <t>422</t>
        </is>
      </c>
      <c r="B176" s="5" t="inlineStr">
        <is>
          <t>CLAUDIA VERONICA LARA RODAS</t>
        </is>
      </c>
      <c r="C176" s="4" t="inlineStr">
        <is>
          <t>29/01/2008</t>
        </is>
      </c>
      <c r="D176" s="5" t="inlineStr">
        <is>
          <t>ASISTENTE COMERCIAL DE TARJETA DE CREDITO</t>
        </is>
      </c>
      <c r="E176" s="5" t="inlineStr">
        <is>
          <t xml:space="preserve"> EMPLEADO</t>
        </is>
      </c>
      <c r="F176" s="5" t="inlineStr">
        <is>
          <t>DEPARTAMENTO COMERCIAL DE TARJETA DE CREDITO Y DEBITO</t>
        </is>
      </c>
      <c r="G176" s="5" t="inlineStr">
        <is>
          <t>Gerencia de Negocios</t>
        </is>
      </c>
      <c r="H176" s="5" t="n"/>
    </row>
    <row r="177" hidden="1" s="38">
      <c r="A177" s="4" t="inlineStr">
        <is>
          <t>533</t>
        </is>
      </c>
      <c r="B177" s="5" t="inlineStr">
        <is>
          <t xml:space="preserve">LIDIA PATRICIA MORALES AVALOS </t>
        </is>
      </c>
      <c r="C177" s="4" t="inlineStr">
        <is>
          <t>12/05/2014</t>
        </is>
      </c>
      <c r="D177" s="5" t="inlineStr">
        <is>
          <t>JEFE COMERCIAL DE TARJETA DE CREDITO</t>
        </is>
      </c>
      <c r="E177" s="5" t="inlineStr">
        <is>
          <t xml:space="preserve"> EMPLEADO</t>
        </is>
      </c>
      <c r="F177" s="5" t="inlineStr">
        <is>
          <t>DEPARTAMENTO COMERCIAL DE TARJETA DE CREDITO Y DEBITO</t>
        </is>
      </c>
      <c r="G177" s="5" t="inlineStr">
        <is>
          <t>Gerencia de Negocios</t>
        </is>
      </c>
      <c r="H177" s="5" t="n"/>
    </row>
    <row r="178" hidden="1" s="38">
      <c r="A178" s="4" t="inlineStr">
        <is>
          <t>654</t>
        </is>
      </c>
      <c r="B178" s="5" t="inlineStr">
        <is>
          <t xml:space="preserve">GABRIELA ALEJANDRA RODRIGUEZ ARIAS </t>
        </is>
      </c>
      <c r="C178" s="4" t="inlineStr">
        <is>
          <t>24/06/2019</t>
        </is>
      </c>
      <c r="D178" s="5" t="inlineStr">
        <is>
          <t>AUXILIAR DE ATENCION AL CLIENTE</t>
        </is>
      </c>
      <c r="E178" s="5" t="inlineStr">
        <is>
          <t xml:space="preserve"> EMPLEADO</t>
        </is>
      </c>
      <c r="F178" s="5" t="inlineStr">
        <is>
          <t>DEPARTAMENTO COMERCIAL DE TARJETA DE CREDITO Y DEBITO</t>
        </is>
      </c>
      <c r="G178" s="5" t="inlineStr">
        <is>
          <t>Gerencia de Negocios</t>
        </is>
      </c>
      <c r="H178" s="5" t="n"/>
    </row>
    <row r="179" hidden="1" s="38">
      <c r="A179" s="4" t="inlineStr">
        <is>
          <t>655</t>
        </is>
      </c>
      <c r="B179" s="5" t="inlineStr">
        <is>
          <t xml:space="preserve">JOSE ALEXANDER ABREGO </t>
        </is>
      </c>
      <c r="C179" s="4" t="inlineStr">
        <is>
          <t>04/07/2019</t>
        </is>
      </c>
      <c r="D179" s="5" t="inlineStr">
        <is>
          <t>EJECUTIVO DE NEGOCIOS</t>
        </is>
      </c>
      <c r="E179" s="5" t="inlineStr">
        <is>
          <t xml:space="preserve"> EMPLEADO</t>
        </is>
      </c>
      <c r="F179" s="5" t="inlineStr">
        <is>
          <t>DEPARTAMENTO COMERCIAL DE TARJETA DE CREDITO Y DEBITO</t>
        </is>
      </c>
      <c r="G179" s="5" t="inlineStr">
        <is>
          <t>Gerencia de Negocios</t>
        </is>
      </c>
      <c r="H179" s="5" t="n"/>
    </row>
    <row r="180" hidden="1" s="38">
      <c r="A180" s="4" t="inlineStr">
        <is>
          <t>669</t>
        </is>
      </c>
      <c r="B180" s="5" t="inlineStr">
        <is>
          <t xml:space="preserve">ANTONIO ALEXANDER  ALFARO ARGUETA </t>
        </is>
      </c>
      <c r="C180" s="4" t="inlineStr">
        <is>
          <t>21/10/2019</t>
        </is>
      </c>
      <c r="D180" s="5" t="inlineStr">
        <is>
          <t>EJECUTIVO DE NEGOCIOS</t>
        </is>
      </c>
      <c r="E180" s="5" t="inlineStr">
        <is>
          <t xml:space="preserve"> EMPLEADO</t>
        </is>
      </c>
      <c r="F180" s="5" t="inlineStr">
        <is>
          <t>DEPARTAMENTO COMERCIAL DE TARJETA DE CREDITO Y DEBITO</t>
        </is>
      </c>
      <c r="G180" s="5" t="inlineStr">
        <is>
          <t>Gerencia de Negocios</t>
        </is>
      </c>
      <c r="H180" s="5" t="n"/>
    </row>
    <row r="181" hidden="1" s="38">
      <c r="A181" s="4" t="inlineStr">
        <is>
          <t>715</t>
        </is>
      </c>
      <c r="B181" s="5" t="inlineStr">
        <is>
          <t xml:space="preserve">KAREN MARCELA BARILLAS MOLINA </t>
        </is>
      </c>
      <c r="C181" s="4" t="inlineStr">
        <is>
          <t>17/05/2021</t>
        </is>
      </c>
      <c r="D181" s="5" t="inlineStr">
        <is>
          <t>AUXILIAR DE ATENCION AL TARJETAHABIENTE</t>
        </is>
      </c>
      <c r="E181" s="5" t="inlineStr">
        <is>
          <t xml:space="preserve"> EMPLEADO</t>
        </is>
      </c>
      <c r="F181" s="5" t="inlineStr">
        <is>
          <t>DEPARTAMENTO COMERCIAL DE TARJETA DE CREDITO Y DEBITO</t>
        </is>
      </c>
      <c r="G181" s="5" t="inlineStr">
        <is>
          <t>Gerencia de Negocios</t>
        </is>
      </c>
      <c r="H181" s="5" t="n"/>
    </row>
    <row r="182" hidden="1" s="38">
      <c r="A182" s="4" t="inlineStr">
        <is>
          <t>835</t>
        </is>
      </c>
      <c r="B182" s="5" t="inlineStr">
        <is>
          <t xml:space="preserve">LUIS ALBERTO MEJIA DELGADO </t>
        </is>
      </c>
      <c r="C182" s="4" t="inlineStr">
        <is>
          <t>02/03/2024</t>
        </is>
      </c>
      <c r="D182" s="5" t="inlineStr">
        <is>
          <t>EJECUTIVO DE NEGOCIOS</t>
        </is>
      </c>
      <c r="E182" s="5" t="inlineStr">
        <is>
          <t xml:space="preserve"> EMPLEADO</t>
        </is>
      </c>
      <c r="F182" s="5" t="inlineStr">
        <is>
          <t>DEPARTAMENTO COMERCIAL DE TARJETA DE CREDITO Y DEBITO</t>
        </is>
      </c>
      <c r="G182" s="5" t="inlineStr">
        <is>
          <t>Gerencia de Negocios</t>
        </is>
      </c>
      <c r="H182" s="5" t="inlineStr">
        <is>
          <t>Renuncia</t>
        </is>
      </c>
    </row>
    <row r="183" hidden="1" s="38">
      <c r="A183" s="4" t="inlineStr">
        <is>
          <t>858</t>
        </is>
      </c>
      <c r="B183" s="5" t="inlineStr">
        <is>
          <t xml:space="preserve">GABRIEL FRANCISCO MOLINA DIAZ </t>
        </is>
      </c>
      <c r="C183" s="4" t="inlineStr">
        <is>
          <t>18/03/2024</t>
        </is>
      </c>
      <c r="D183" s="5" t="inlineStr">
        <is>
          <t>EJECUTIVO DE NEGOCIOS</t>
        </is>
      </c>
      <c r="E183" s="5" t="inlineStr">
        <is>
          <t xml:space="preserve"> EMPLEADO</t>
        </is>
      </c>
      <c r="F183" s="5" t="inlineStr">
        <is>
          <t>DEPARTAMENTO COMERCIAL DE TARJETA DE CREDITO Y DEBITO</t>
        </is>
      </c>
      <c r="G183" s="5" t="inlineStr">
        <is>
          <t>Gerencia de Negocios</t>
        </is>
      </c>
      <c r="H183" s="5" t="n"/>
    </row>
    <row r="184" hidden="1" s="38">
      <c r="A184" s="4" t="inlineStr">
        <is>
          <t>215</t>
        </is>
      </c>
      <c r="B184" s="5" t="inlineStr">
        <is>
          <t xml:space="preserve">LUIS MARCELO CRUZ VIGIL </t>
        </is>
      </c>
      <c r="C184" s="4" t="inlineStr">
        <is>
          <t>21/08/2000</t>
        </is>
      </c>
      <c r="D184" s="5" t="inlineStr">
        <is>
          <t>SUB GERENTE DE CANALES</t>
        </is>
      </c>
      <c r="E184" s="5" t="inlineStr">
        <is>
          <t xml:space="preserve"> EMPLEADO</t>
        </is>
      </c>
      <c r="F184" s="5" t="inlineStr">
        <is>
          <t xml:space="preserve">SUB GERENCIA DE CANALES </t>
        </is>
      </c>
      <c r="G184" s="5" t="inlineStr">
        <is>
          <t>Gerencia de Negocios</t>
        </is>
      </c>
      <c r="H184" s="5" t="n"/>
    </row>
    <row r="185" hidden="1" s="38">
      <c r="A185" s="4" t="inlineStr">
        <is>
          <t>581</t>
        </is>
      </c>
      <c r="B185" s="5" t="inlineStr">
        <is>
          <t xml:space="preserve">JUAN CARLOS AGUILAR ASCENCIO </t>
        </is>
      </c>
      <c r="C185" s="4" t="inlineStr">
        <is>
          <t>01/11/2016</t>
        </is>
      </c>
      <c r="D185" s="5" t="inlineStr">
        <is>
          <t>CAJERO MOVIL</t>
        </is>
      </c>
      <c r="E185" s="5" t="inlineStr">
        <is>
          <t xml:space="preserve"> EMPLEADO</t>
        </is>
      </c>
      <c r="F185" s="5" t="inlineStr">
        <is>
          <t xml:space="preserve">SUB GERENCIA DE CANALES </t>
        </is>
      </c>
      <c r="G185" s="5" t="inlineStr">
        <is>
          <t>Gerencia de Negocios</t>
        </is>
      </c>
      <c r="H185" s="5" t="n"/>
    </row>
    <row r="186" hidden="1" s="38">
      <c r="A186" s="4" t="inlineStr">
        <is>
          <t>585</t>
        </is>
      </c>
      <c r="B186" s="5" t="inlineStr">
        <is>
          <t xml:space="preserve">NANCY ROCIO MENJIVAR RIVAS </t>
        </is>
      </c>
      <c r="C186" s="4" t="inlineStr">
        <is>
          <t>02/01/2017</t>
        </is>
      </c>
      <c r="D186" s="5" t="inlineStr">
        <is>
          <t>EJECUTIVO  MOVIL DE SEGUROS</t>
        </is>
      </c>
      <c r="E186" s="5" t="inlineStr">
        <is>
          <t xml:space="preserve"> EMPLEADO</t>
        </is>
      </c>
      <c r="F186" s="5" t="inlineStr">
        <is>
          <t xml:space="preserve">SUB GERENCIA DE CANALES </t>
        </is>
      </c>
      <c r="G186" s="5" t="inlineStr">
        <is>
          <t>Gerencia de Negocios</t>
        </is>
      </c>
      <c r="H186" s="5" t="n"/>
    </row>
    <row r="187" hidden="1" s="38">
      <c r="A187" s="4" t="inlineStr">
        <is>
          <t>651</t>
        </is>
      </c>
      <c r="B187" s="5" t="inlineStr">
        <is>
          <t xml:space="preserve">LUIS FERNANDO MORAN GARCIA </t>
        </is>
      </c>
      <c r="C187" s="4" t="inlineStr">
        <is>
          <t>16/02/2026</t>
        </is>
      </c>
      <c r="D187" s="5" t="inlineStr">
        <is>
          <t>JEFE MOVIL DE AGENCIAS</t>
        </is>
      </c>
      <c r="E187" s="5" t="inlineStr">
        <is>
          <t xml:space="preserve"> EMPLEADO</t>
        </is>
      </c>
      <c r="F187" s="5" t="inlineStr">
        <is>
          <t xml:space="preserve">SUB GERENCIA DE CANALES </t>
        </is>
      </c>
      <c r="G187" s="5" t="inlineStr">
        <is>
          <t>Gerencia de Negocios</t>
        </is>
      </c>
      <c r="H187" s="5" t="n"/>
    </row>
    <row r="188" hidden="1" s="38">
      <c r="A188" s="4" t="inlineStr">
        <is>
          <t>713</t>
        </is>
      </c>
      <c r="B188" s="5" t="inlineStr">
        <is>
          <t xml:space="preserve">SANDRA VERONICA ACEVEDO BELTRAN </t>
        </is>
      </c>
      <c r="C188" s="4" t="inlineStr">
        <is>
          <t>03/05/2021</t>
        </is>
      </c>
      <c r="D188" s="5" t="inlineStr">
        <is>
          <t xml:space="preserve">ASISTENTE PARA CORRESPONSALES FINANCIEROS </t>
        </is>
      </c>
      <c r="E188" s="5" t="inlineStr">
        <is>
          <t xml:space="preserve"> EMPLEADO</t>
        </is>
      </c>
      <c r="F188" s="5" t="inlineStr">
        <is>
          <t xml:space="preserve">SUB GERENCIA DE CANALES </t>
        </is>
      </c>
      <c r="G188" s="5" t="inlineStr">
        <is>
          <t>Gerencia de Negocios</t>
        </is>
      </c>
      <c r="H188" s="5" t="n"/>
    </row>
    <row r="189" hidden="1" s="38">
      <c r="A189" s="4" t="inlineStr">
        <is>
          <t>854</t>
        </is>
      </c>
      <c r="B189" s="5" t="inlineStr">
        <is>
          <t xml:space="preserve">REBECA ABIGAIL VEGA FLORES </t>
        </is>
      </c>
      <c r="C189" s="4" t="inlineStr">
        <is>
          <t>05/02/2024</t>
        </is>
      </c>
      <c r="D189" s="5" t="inlineStr">
        <is>
          <t>CAJERO MOVIL</t>
        </is>
      </c>
      <c r="E189" s="5" t="inlineStr">
        <is>
          <t xml:space="preserve"> EMPLEADO</t>
        </is>
      </c>
      <c r="F189" s="5" t="inlineStr">
        <is>
          <t xml:space="preserve">SUB GERENCIA DE CANALES </t>
        </is>
      </c>
      <c r="G189" s="5" t="inlineStr">
        <is>
          <t>Gerencia de Negocios</t>
        </is>
      </c>
      <c r="H189" s="5" t="n"/>
    </row>
    <row r="190" hidden="1" s="38">
      <c r="A190" s="4" t="inlineStr">
        <is>
          <t>968</t>
        </is>
      </c>
      <c r="B190" s="5" t="inlineStr">
        <is>
          <t xml:space="preserve">SAMUEL ALBERTO SALGUERO RODRIGUEZ </t>
        </is>
      </c>
      <c r="C190" s="4" t="inlineStr">
        <is>
          <t>11/05/2026</t>
        </is>
      </c>
      <c r="D190" s="5" t="inlineStr">
        <is>
          <t>CAJERO MOVIL</t>
        </is>
      </c>
      <c r="E190" s="5" t="inlineStr">
        <is>
          <t xml:space="preserve"> EMPLEADO</t>
        </is>
      </c>
      <c r="F190" s="5" t="inlineStr">
        <is>
          <t xml:space="preserve">SUB GERENCIA DE CANALES </t>
        </is>
      </c>
      <c r="G190" s="5" t="inlineStr">
        <is>
          <t>Gerencia de Negocios</t>
        </is>
      </c>
      <c r="H190" s="5" t="n"/>
    </row>
    <row r="191" hidden="1" s="38">
      <c r="A191" s="4" t="inlineStr">
        <is>
          <t>33</t>
        </is>
      </c>
      <c r="B191" s="5" t="inlineStr">
        <is>
          <t xml:space="preserve">CAROLINA ELIZABETH RAMIREZ PONCE </t>
        </is>
      </c>
      <c r="C191" s="4" t="inlineStr">
        <is>
          <t>20/12/1993</t>
        </is>
      </c>
      <c r="D191" s="5" t="inlineStr">
        <is>
          <t>SUBJEFE DE  AGENCIA</t>
        </is>
      </c>
      <c r="E191" s="5" t="inlineStr">
        <is>
          <t xml:space="preserve"> EMPLEADO</t>
        </is>
      </c>
      <c r="F191" s="5" t="inlineStr">
        <is>
          <t xml:space="preserve">AGENCIA CENTRAL  </t>
        </is>
      </c>
      <c r="G191" s="5" t="inlineStr">
        <is>
          <t>Gerencia de Negocios</t>
        </is>
      </c>
      <c r="H191" s="5" t="n"/>
    </row>
    <row r="192" hidden="1" s="38">
      <c r="A192" s="4" t="inlineStr">
        <is>
          <t>49</t>
        </is>
      </c>
      <c r="B192" s="5" t="inlineStr">
        <is>
          <t>GRISELDA DEL CARMEN DOMINGUEZ MERINO</t>
        </is>
      </c>
      <c r="C192" s="4" t="inlineStr">
        <is>
          <t>04/07/1988</t>
        </is>
      </c>
      <c r="D192" s="5" t="inlineStr">
        <is>
          <t>EJECUTIVO DE NEGOCIOS</t>
        </is>
      </c>
      <c r="E192" s="5" t="inlineStr">
        <is>
          <t xml:space="preserve"> EMPLEADO</t>
        </is>
      </c>
      <c r="F192" s="5" t="inlineStr">
        <is>
          <t xml:space="preserve">AGENCIA CENTRAL  </t>
        </is>
      </c>
      <c r="G192" s="5" t="inlineStr">
        <is>
          <t>Gerencia de Negocios</t>
        </is>
      </c>
      <c r="H192" s="5" t="n"/>
    </row>
    <row r="193" hidden="1" s="38">
      <c r="A193" s="4" t="inlineStr">
        <is>
          <t>234</t>
        </is>
      </c>
      <c r="B193" s="5" t="inlineStr">
        <is>
          <t xml:space="preserve">LETICIA ESMERALDA ROSA </t>
        </is>
      </c>
      <c r="C193" s="4" t="inlineStr">
        <is>
          <t>21/03/2001</t>
        </is>
      </c>
      <c r="D193" s="5" t="inlineStr">
        <is>
          <t>EJECUTIVO DE NEGOCIOS</t>
        </is>
      </c>
      <c r="E193" s="5" t="inlineStr">
        <is>
          <t xml:space="preserve"> EMPLEADO</t>
        </is>
      </c>
      <c r="F193" s="5" t="inlineStr">
        <is>
          <t xml:space="preserve">AGENCIA CENTRAL  </t>
        </is>
      </c>
      <c r="G193" s="5" t="inlineStr">
        <is>
          <t>Gerencia de Negocios</t>
        </is>
      </c>
      <c r="H193" s="5" t="n"/>
    </row>
    <row r="194" hidden="1" s="38">
      <c r="A194" s="4" t="inlineStr">
        <is>
          <t>253</t>
        </is>
      </c>
      <c r="B194" s="5" t="inlineStr">
        <is>
          <t xml:space="preserve">ELSY GUADALUPE COREA AGUILUZ </t>
        </is>
      </c>
      <c r="C194" s="4" t="inlineStr">
        <is>
          <t>25/08/2001</t>
        </is>
      </c>
      <c r="D194" s="5" t="inlineStr">
        <is>
          <t>EJECUTIVO DE NEGOCIOS</t>
        </is>
      </c>
      <c r="E194" s="5" t="inlineStr">
        <is>
          <t xml:space="preserve"> EMPLEADO</t>
        </is>
      </c>
      <c r="F194" s="5" t="inlineStr">
        <is>
          <t xml:space="preserve">AGENCIA CENTRAL  </t>
        </is>
      </c>
      <c r="G194" s="5" t="inlineStr">
        <is>
          <t>Gerencia de Negocios</t>
        </is>
      </c>
      <c r="H194" s="5" t="n"/>
    </row>
    <row r="195" hidden="1" s="38">
      <c r="A195" s="4" t="inlineStr">
        <is>
          <t>385</t>
        </is>
      </c>
      <c r="B195" s="5" t="inlineStr">
        <is>
          <t xml:space="preserve">BLANCA ARACELY MORENO HERNANDEZ </t>
        </is>
      </c>
      <c r="C195" s="4" t="inlineStr">
        <is>
          <t>27/07/2006</t>
        </is>
      </c>
      <c r="D195" s="5" t="inlineStr">
        <is>
          <t>AUXILIAR DE OPERACIONES Y ATENCION EN  AGENCIA</t>
        </is>
      </c>
      <c r="E195" s="5" t="inlineStr">
        <is>
          <t xml:space="preserve"> EMPLEADO</t>
        </is>
      </c>
      <c r="F195" s="5" t="inlineStr">
        <is>
          <t xml:space="preserve">AGENCIA CENTRAL  </t>
        </is>
      </c>
      <c r="G195" s="5" t="inlineStr">
        <is>
          <t>Gerencia de Negocios</t>
        </is>
      </c>
      <c r="H195" s="5" t="n"/>
    </row>
    <row r="196" hidden="1" s="38">
      <c r="A196" s="4" t="inlineStr">
        <is>
          <t>440</t>
        </is>
      </c>
      <c r="B196" s="5" t="inlineStr">
        <is>
          <t xml:space="preserve">KARLA MERCEDES DELEON DELGADO </t>
        </is>
      </c>
      <c r="C196" s="4" t="inlineStr">
        <is>
          <t>09/10/2008</t>
        </is>
      </c>
      <c r="D196" s="5" t="inlineStr">
        <is>
          <t xml:space="preserve">JEFE DE AGENCIA  </t>
        </is>
      </c>
      <c r="E196" s="5" t="inlineStr">
        <is>
          <t xml:space="preserve"> EMPLEADO</t>
        </is>
      </c>
      <c r="F196" s="5" t="inlineStr">
        <is>
          <t xml:space="preserve">AGENCIA CENTRAL  </t>
        </is>
      </c>
      <c r="G196" s="5" t="inlineStr">
        <is>
          <t>Gerencia de Negocios</t>
        </is>
      </c>
      <c r="H196" s="5" t="inlineStr">
        <is>
          <t>Vacaciones</t>
        </is>
      </c>
    </row>
    <row r="197" hidden="1" s="38">
      <c r="A197" s="4" t="inlineStr">
        <is>
          <t>542</t>
        </is>
      </c>
      <c r="B197" s="5" t="inlineStr">
        <is>
          <t xml:space="preserve">ANA SILVIA ROQUE SANCHEZ </t>
        </is>
      </c>
      <c r="C197" s="4" t="inlineStr">
        <is>
          <t>01/01/2015</t>
        </is>
      </c>
      <c r="D197" s="5" t="inlineStr">
        <is>
          <t>EJECUTIVA DE SEGUROS</t>
        </is>
      </c>
      <c r="E197" s="5" t="inlineStr">
        <is>
          <t xml:space="preserve"> EMPLEADO</t>
        </is>
      </c>
      <c r="F197" s="5" t="inlineStr">
        <is>
          <t xml:space="preserve">AGENCIA CENTRAL  </t>
        </is>
      </c>
      <c r="G197" s="5" t="inlineStr">
        <is>
          <t>Gerencia de Negocios</t>
        </is>
      </c>
      <c r="H197" s="5" t="n"/>
    </row>
    <row r="198" hidden="1" s="38">
      <c r="A198" s="4" t="inlineStr">
        <is>
          <t>739</t>
        </is>
      </c>
      <c r="B198" s="5" t="inlineStr">
        <is>
          <t xml:space="preserve">JOHANA PATRICIA LUNA RAMOS </t>
        </is>
      </c>
      <c r="C198" s="4" t="inlineStr">
        <is>
          <t>03/01/2022</t>
        </is>
      </c>
      <c r="D198" s="5" t="inlineStr">
        <is>
          <t>CAJERO</t>
        </is>
      </c>
      <c r="E198" s="5" t="inlineStr">
        <is>
          <t xml:space="preserve"> EMPLEADO</t>
        </is>
      </c>
      <c r="F198" s="5" t="inlineStr">
        <is>
          <t xml:space="preserve">AGENCIA CENTRAL  </t>
        </is>
      </c>
      <c r="G198" s="5" t="inlineStr">
        <is>
          <t>Gerencia de Negocios</t>
        </is>
      </c>
      <c r="H198" s="5" t="inlineStr">
        <is>
          <t>Incapacidad por maternidad</t>
        </is>
      </c>
    </row>
    <row r="199" hidden="1" s="38">
      <c r="A199" s="4" t="inlineStr">
        <is>
          <t>757</t>
        </is>
      </c>
      <c r="B199" s="5" t="inlineStr">
        <is>
          <t xml:space="preserve">MARIA DE LOS ANGELES  OSORIO GIL </t>
        </is>
      </c>
      <c r="C199" s="4" t="inlineStr">
        <is>
          <t>01/07/2022</t>
        </is>
      </c>
      <c r="D199" s="5" t="inlineStr">
        <is>
          <t>CAJERO</t>
        </is>
      </c>
      <c r="E199" s="5" t="inlineStr">
        <is>
          <t xml:space="preserve"> EMPLEADO</t>
        </is>
      </c>
      <c r="F199" s="5" t="inlineStr">
        <is>
          <t xml:space="preserve">AGENCIA CENTRAL  </t>
        </is>
      </c>
      <c r="G199" s="5" t="inlineStr">
        <is>
          <t>Gerencia de Negocios</t>
        </is>
      </c>
      <c r="H199" s="5" t="n"/>
    </row>
    <row r="200" hidden="1" s="38">
      <c r="A200" s="4" t="inlineStr">
        <is>
          <t>768</t>
        </is>
      </c>
      <c r="B200" s="5" t="inlineStr">
        <is>
          <t xml:space="preserve">KATHERINE MICHELLE LOPEZ LOPEZ </t>
        </is>
      </c>
      <c r="C200" s="4" t="inlineStr">
        <is>
          <t>16/08/2022</t>
        </is>
      </c>
      <c r="D200" s="5" t="inlineStr">
        <is>
          <t>AUXILIAR DE OPERACIONES Y ATENCION EN  AGENCIA</t>
        </is>
      </c>
      <c r="E200" s="5" t="inlineStr">
        <is>
          <t xml:space="preserve"> EMPLEADO</t>
        </is>
      </c>
      <c r="F200" s="5" t="inlineStr">
        <is>
          <t xml:space="preserve">AGENCIA CENTRAL  </t>
        </is>
      </c>
      <c r="G200" s="5" t="inlineStr">
        <is>
          <t>Gerencia de Negocios</t>
        </is>
      </c>
      <c r="H200" s="5" t="n"/>
    </row>
    <row r="201">
      <c r="A201" s="4" t="inlineStr">
        <is>
          <t>848</t>
        </is>
      </c>
      <c r="B201" s="5" t="inlineStr">
        <is>
          <t xml:space="preserve">JAZMIN ABIGAIL VASQUEZ AVELAR </t>
        </is>
      </c>
      <c r="C201" s="4" t="inlineStr">
        <is>
          <t>05/01/2024</t>
        </is>
      </c>
      <c r="D201" s="5" t="inlineStr">
        <is>
          <t>CAJERO</t>
        </is>
      </c>
      <c r="E201" s="5" t="inlineStr">
        <is>
          <t xml:space="preserve"> EMPLEADO</t>
        </is>
      </c>
      <c r="F201" s="5" t="inlineStr">
        <is>
          <t xml:space="preserve">AGENCIA CENTRAL  </t>
        </is>
      </c>
      <c r="G201" s="5" t="inlineStr">
        <is>
          <t>Gerencia de Negocios</t>
        </is>
      </c>
      <c r="H201" s="5" t="n"/>
    </row>
    <row r="202" hidden="1" s="38">
      <c r="A202" s="4" t="inlineStr">
        <is>
          <t>857</t>
        </is>
      </c>
      <c r="B202" s="5" t="inlineStr">
        <is>
          <t xml:space="preserve">ESTHER ABIGAIL FLORES GRANDE </t>
        </is>
      </c>
      <c r="C202" s="4" t="inlineStr">
        <is>
          <t>01/06/2024</t>
        </is>
      </c>
      <c r="D202" s="5" t="inlineStr">
        <is>
          <t>AUXILIAR DE OPERACIONES Y ATENCION EN  AGENCIA</t>
        </is>
      </c>
      <c r="E202" s="5" t="inlineStr">
        <is>
          <t xml:space="preserve"> EMPLEADO</t>
        </is>
      </c>
      <c r="F202" s="5" t="inlineStr">
        <is>
          <t xml:space="preserve">AGENCIA CENTRAL  </t>
        </is>
      </c>
      <c r="G202" s="5" t="inlineStr">
        <is>
          <t>Gerencia de Negocios</t>
        </is>
      </c>
      <c r="H202" s="5" t="n"/>
    </row>
    <row r="203" hidden="1" s="38">
      <c r="A203" s="4" t="inlineStr">
        <is>
          <t>953</t>
        </is>
      </c>
      <c r="B203" s="5" t="inlineStr">
        <is>
          <t xml:space="preserve">JESUS ADRIAN MENA AVALOS </t>
        </is>
      </c>
      <c r="C203" s="4" t="inlineStr">
        <is>
          <t>16/12/2025</t>
        </is>
      </c>
      <c r="D203" s="5" t="inlineStr">
        <is>
          <t>CAJERO</t>
        </is>
      </c>
      <c r="E203" s="5" t="inlineStr">
        <is>
          <t xml:space="preserve"> EMPLEADO</t>
        </is>
      </c>
      <c r="F203" s="5" t="inlineStr">
        <is>
          <t xml:space="preserve">AGENCIA CENTRAL  </t>
        </is>
      </c>
      <c r="G203" s="5" t="inlineStr">
        <is>
          <t>Gerencia de Negocios</t>
        </is>
      </c>
      <c r="H203" s="5" t="n"/>
    </row>
    <row r="204" hidden="1" s="38">
      <c r="A204" s="4" t="inlineStr">
        <is>
          <t>956</t>
        </is>
      </c>
      <c r="B204" s="5" t="inlineStr">
        <is>
          <t xml:space="preserve">ANGELA GABRIELA  REYES MOLINA </t>
        </is>
      </c>
      <c r="C204" s="4" t="inlineStr">
        <is>
          <t>05/01/2026</t>
        </is>
      </c>
      <c r="D204" s="5" t="inlineStr">
        <is>
          <t>CAJERO</t>
        </is>
      </c>
      <c r="E204" s="5" t="inlineStr">
        <is>
          <t xml:space="preserve"> EMPLEADO</t>
        </is>
      </c>
      <c r="F204" s="5" t="inlineStr">
        <is>
          <t xml:space="preserve">AGENCIA CENTRAL  </t>
        </is>
      </c>
      <c r="G204" s="5" t="inlineStr">
        <is>
          <t>Gerencia de Negocios</t>
        </is>
      </c>
      <c r="H204" s="5" t="n"/>
    </row>
    <row r="205" hidden="1" s="38">
      <c r="A205" s="4" t="inlineStr">
        <is>
          <t>958</t>
        </is>
      </c>
      <c r="B205" s="5" t="inlineStr">
        <is>
          <t xml:space="preserve">ALEXANDRA DANIELA PINEDA JIMENEZ </t>
        </is>
      </c>
      <c r="C205" s="4" t="inlineStr">
        <is>
          <t>10/02/2026</t>
        </is>
      </c>
      <c r="D205" s="5" t="inlineStr">
        <is>
          <t>AUXILIAR DE ATENCION A  ASOCIADOS</t>
        </is>
      </c>
      <c r="E205" s="5" t="inlineStr">
        <is>
          <t xml:space="preserve"> EMPLEADO</t>
        </is>
      </c>
      <c r="F205" s="5" t="inlineStr">
        <is>
          <t xml:space="preserve">AGENCIA CENTRAL  </t>
        </is>
      </c>
      <c r="G205" s="5" t="inlineStr">
        <is>
          <t>Gerencia de Negocios</t>
        </is>
      </c>
      <c r="H205" s="5" t="n"/>
    </row>
    <row r="206" hidden="1" s="38">
      <c r="A206" s="4" t="inlineStr">
        <is>
          <t>960</t>
        </is>
      </c>
      <c r="B206" s="5" t="inlineStr">
        <is>
          <t xml:space="preserve">LORENA DEL CARMEN MEJIA HERRERA </t>
        </is>
      </c>
      <c r="C206" s="4" t="inlineStr">
        <is>
          <t>16/02/2026</t>
        </is>
      </c>
      <c r="D206" s="5" t="inlineStr">
        <is>
          <t>CAJERO</t>
        </is>
      </c>
      <c r="E206" s="5" t="inlineStr">
        <is>
          <t xml:space="preserve"> EMPLEADO</t>
        </is>
      </c>
      <c r="F206" s="5" t="inlineStr">
        <is>
          <t xml:space="preserve">AGENCIA CENTRAL  </t>
        </is>
      </c>
      <c r="G206" s="5" t="inlineStr">
        <is>
          <t>Gerencia de Negocios</t>
        </is>
      </c>
      <c r="H206" s="5" t="n"/>
    </row>
    <row r="207" hidden="1" s="38">
      <c r="A207" s="4" t="inlineStr">
        <is>
          <t>974</t>
        </is>
      </c>
      <c r="B207" s="5" t="inlineStr">
        <is>
          <t xml:space="preserve">LEIDY VANESSA GUZMAN SERVELLON  </t>
        </is>
      </c>
      <c r="C207" s="4" t="inlineStr">
        <is>
          <t>21/07/2026</t>
        </is>
      </c>
      <c r="D207" s="5" t="inlineStr">
        <is>
          <t>CAJERO</t>
        </is>
      </c>
      <c r="E207" s="5" t="inlineStr">
        <is>
          <t xml:space="preserve"> EMPLEADO</t>
        </is>
      </c>
      <c r="F207" s="5" t="inlineStr">
        <is>
          <t xml:space="preserve">AGENCIA CENTRAL  </t>
        </is>
      </c>
      <c r="G207" s="5" t="inlineStr">
        <is>
          <t>Gerencia de Negocios</t>
        </is>
      </c>
      <c r="H207" s="5" t="n"/>
    </row>
    <row r="208" hidden="1" s="38">
      <c r="A208" s="4" t="inlineStr">
        <is>
          <t>976</t>
        </is>
      </c>
      <c r="B208" s="5" t="inlineStr">
        <is>
          <t xml:space="preserve">KEVIN ARTURO ANDRADE PALACIOS </t>
        </is>
      </c>
      <c r="C208" s="4" t="inlineStr">
        <is>
          <t>21/07/2026</t>
        </is>
      </c>
      <c r="D208" s="5" t="inlineStr">
        <is>
          <t>CAJERO</t>
        </is>
      </c>
      <c r="E208" s="5" t="inlineStr">
        <is>
          <t xml:space="preserve"> EMPLEADO</t>
        </is>
      </c>
      <c r="F208" s="5" t="inlineStr">
        <is>
          <t xml:space="preserve">AGENCIA CENTRAL  </t>
        </is>
      </c>
      <c r="G208" s="5" t="inlineStr">
        <is>
          <t>Gerencia de Negocios</t>
        </is>
      </c>
      <c r="H208" s="5" t="n"/>
    </row>
    <row r="209" hidden="1" s="38">
      <c r="A209" s="4" t="inlineStr">
        <is>
          <t>26</t>
        </is>
      </c>
      <c r="B209" s="5" t="inlineStr">
        <is>
          <t>FLOR IMELDA VILLALOBOS ARDON</t>
        </is>
      </c>
      <c r="C209" s="4" t="inlineStr">
        <is>
          <t>09/08/1991</t>
        </is>
      </c>
      <c r="D209" s="5" t="inlineStr">
        <is>
          <t>EJECUTIVO DE NEGOCIOS</t>
        </is>
      </c>
      <c r="E209" s="5" t="inlineStr">
        <is>
          <t xml:space="preserve"> EMPLEADO</t>
        </is>
      </c>
      <c r="F209" s="5" t="inlineStr">
        <is>
          <t xml:space="preserve">AGENCIA COLEGIO MEDICO </t>
        </is>
      </c>
      <c r="G209" s="5" t="inlineStr">
        <is>
          <t>Gerencia de Negocios</t>
        </is>
      </c>
      <c r="H209" s="5" t="n"/>
    </row>
    <row r="210" hidden="1" s="38">
      <c r="A210" s="4" t="inlineStr">
        <is>
          <t>29</t>
        </is>
      </c>
      <c r="B210" s="5" t="inlineStr">
        <is>
          <t>YANIRA ELIZABETH ORTEGA MIRANDA</t>
        </is>
      </c>
      <c r="C210" s="4" t="inlineStr">
        <is>
          <t>20/04/1995</t>
        </is>
      </c>
      <c r="D210" s="5" t="inlineStr">
        <is>
          <t>SUBJEFE DE  AGENCIA</t>
        </is>
      </c>
      <c r="E210" s="5" t="inlineStr">
        <is>
          <t xml:space="preserve"> EMPLEADO</t>
        </is>
      </c>
      <c r="F210" s="5" t="inlineStr">
        <is>
          <t xml:space="preserve">AGENCIA COLEGIO MEDICO </t>
        </is>
      </c>
      <c r="G210" s="5" t="inlineStr">
        <is>
          <t>Gerencia de Negocios</t>
        </is>
      </c>
      <c r="H210" s="5" t="n"/>
    </row>
    <row r="211" hidden="1" s="38">
      <c r="A211" s="4" t="inlineStr">
        <is>
          <t>190</t>
        </is>
      </c>
      <c r="B211" s="5" t="inlineStr">
        <is>
          <t xml:space="preserve">MERCI ANTONIA CERON MEJIA </t>
        </is>
      </c>
      <c r="C211" s="4" t="inlineStr">
        <is>
          <t>16/09/1999</t>
        </is>
      </c>
      <c r="D211" s="5" t="inlineStr">
        <is>
          <t>EJECUTIVO DE NEGOCIOS</t>
        </is>
      </c>
      <c r="E211" s="5" t="inlineStr">
        <is>
          <t xml:space="preserve"> EMPLEADO</t>
        </is>
      </c>
      <c r="F211" s="5" t="inlineStr">
        <is>
          <t xml:space="preserve">AGENCIA COLEGIO MEDICO </t>
        </is>
      </c>
      <c r="G211" s="5" t="inlineStr">
        <is>
          <t>Gerencia de Negocios</t>
        </is>
      </c>
      <c r="H211" s="5" t="n"/>
    </row>
    <row r="212" hidden="1" s="38">
      <c r="A212" s="4" t="inlineStr">
        <is>
          <t>360</t>
        </is>
      </c>
      <c r="B212" s="5" t="inlineStr">
        <is>
          <t>PATRICIA ESMERALDA PORTILLO  CESPEDES</t>
        </is>
      </c>
      <c r="C212" s="4" t="inlineStr">
        <is>
          <t>23/04/2009</t>
        </is>
      </c>
      <c r="D212" s="5" t="inlineStr">
        <is>
          <t xml:space="preserve">JEFE DE AGENCIA  </t>
        </is>
      </c>
      <c r="E212" s="5" t="inlineStr">
        <is>
          <t xml:space="preserve"> EMPLEADO</t>
        </is>
      </c>
      <c r="F212" s="5" t="inlineStr">
        <is>
          <t xml:space="preserve">AGENCIA COLEGIO MEDICO </t>
        </is>
      </c>
      <c r="G212" s="5" t="inlineStr">
        <is>
          <t>Gerencia de Negocios</t>
        </is>
      </c>
      <c r="H212" s="5" t="n"/>
    </row>
    <row r="213" hidden="1" s="38">
      <c r="A213" s="4" t="inlineStr">
        <is>
          <t>466</t>
        </is>
      </c>
      <c r="B213" s="5" t="inlineStr">
        <is>
          <t xml:space="preserve">DORIS ELISA HERNANDEZ </t>
        </is>
      </c>
      <c r="C213" s="4" t="inlineStr">
        <is>
          <t>01/10/2010</t>
        </is>
      </c>
      <c r="D213" s="5" t="inlineStr">
        <is>
          <t>SERVICIOS VARIOS</t>
        </is>
      </c>
      <c r="E213" s="5" t="inlineStr">
        <is>
          <t xml:space="preserve"> EMPLEADO</t>
        </is>
      </c>
      <c r="F213" s="5" t="inlineStr">
        <is>
          <t xml:space="preserve">AGENCIA COLEGIO MEDICO </t>
        </is>
      </c>
      <c r="G213" s="5" t="inlineStr">
        <is>
          <t>Gerencia de Negocios</t>
        </is>
      </c>
      <c r="H213" s="5" t="inlineStr">
        <is>
          <t>Vacaciones</t>
        </is>
      </c>
    </row>
    <row r="214" hidden="1" s="38">
      <c r="A214" s="4" t="inlineStr">
        <is>
          <t>536</t>
        </is>
      </c>
      <c r="B214" s="5" t="inlineStr">
        <is>
          <t xml:space="preserve">MARTHA ESPERANZA VALTEZ GARCIA </t>
        </is>
      </c>
      <c r="C214" s="4" t="inlineStr">
        <is>
          <t>07/08/2014</t>
        </is>
      </c>
      <c r="D214" s="5" t="inlineStr">
        <is>
          <t>CAJERO</t>
        </is>
      </c>
      <c r="E214" s="5" t="inlineStr">
        <is>
          <t xml:space="preserve"> EMPLEADO</t>
        </is>
      </c>
      <c r="F214" s="5" t="inlineStr">
        <is>
          <t xml:space="preserve">AGENCIA COLEGIO MEDICO </t>
        </is>
      </c>
      <c r="G214" s="5" t="inlineStr">
        <is>
          <t>Gerencia de Negocios</t>
        </is>
      </c>
      <c r="H214" s="5" t="n"/>
    </row>
    <row r="215" hidden="1" s="38">
      <c r="A215" s="4" t="inlineStr">
        <is>
          <t>543</t>
        </is>
      </c>
      <c r="B215" s="5" t="inlineStr">
        <is>
          <t>CLAUDIA ELENA GUARDADO VARELA</t>
        </is>
      </c>
      <c r="C215" s="4" t="inlineStr">
        <is>
          <t>02/01/2015</t>
        </is>
      </c>
      <c r="D215" s="5" t="inlineStr">
        <is>
          <t>EJECUTIVA DE SEGUROS</t>
        </is>
      </c>
      <c r="E215" s="5" t="inlineStr">
        <is>
          <t xml:space="preserve"> EMPLEADO</t>
        </is>
      </c>
      <c r="F215" s="5" t="inlineStr">
        <is>
          <t xml:space="preserve">AGENCIA COLEGIO MEDICO </t>
        </is>
      </c>
      <c r="G215" s="5" t="inlineStr">
        <is>
          <t>Gerencia de Negocios</t>
        </is>
      </c>
      <c r="H215" s="5" t="n"/>
    </row>
    <row r="216" hidden="1" s="38">
      <c r="A216" s="4" t="inlineStr">
        <is>
          <t>811</t>
        </is>
      </c>
      <c r="B216" s="5" t="inlineStr">
        <is>
          <t xml:space="preserve">JACQUELINE ADRIANA CHAVEZ SARAVIA </t>
        </is>
      </c>
      <c r="C216" s="4" t="inlineStr">
        <is>
          <t>07/06/2023</t>
        </is>
      </c>
      <c r="D216" s="5" t="inlineStr">
        <is>
          <t>CAJERO</t>
        </is>
      </c>
      <c r="E216" s="5" t="inlineStr">
        <is>
          <t xml:space="preserve"> EMPLEADO</t>
        </is>
      </c>
      <c r="F216" s="5" t="inlineStr">
        <is>
          <t xml:space="preserve">AGENCIA COLEGIO MEDICO </t>
        </is>
      </c>
      <c r="G216" s="5" t="inlineStr">
        <is>
          <t>Gerencia de Negocios</t>
        </is>
      </c>
      <c r="H216" s="5" t="n"/>
    </row>
    <row r="217" hidden="1" s="38">
      <c r="A217" s="4" t="inlineStr">
        <is>
          <t>841</t>
        </is>
      </c>
      <c r="B217" s="5" t="inlineStr">
        <is>
          <t xml:space="preserve">KRISSIA ANDREA  DOMINGUEZ OSORIO </t>
        </is>
      </c>
      <c r="C217" s="4" t="inlineStr">
        <is>
          <t>24/11/2023</t>
        </is>
      </c>
      <c r="D217" s="5" t="inlineStr">
        <is>
          <t>CAJERO</t>
        </is>
      </c>
      <c r="E217" s="5" t="inlineStr">
        <is>
          <t xml:space="preserve"> EMPLEADO</t>
        </is>
      </c>
      <c r="F217" s="5" t="inlineStr">
        <is>
          <t xml:space="preserve">AGENCIA COLEGIO MEDICO </t>
        </is>
      </c>
      <c r="G217" s="5" t="inlineStr">
        <is>
          <t>Gerencia de Negocios</t>
        </is>
      </c>
      <c r="H217" s="5" t="n"/>
    </row>
    <row r="218" hidden="1" s="38">
      <c r="A218" s="4" t="inlineStr">
        <is>
          <t>890</t>
        </is>
      </c>
      <c r="B218" s="5" t="inlineStr">
        <is>
          <t xml:space="preserve">WILBER ERNESTO DIAZ GONZALEZ </t>
        </is>
      </c>
      <c r="C218" s="4" t="inlineStr">
        <is>
          <t>18/09/2024</t>
        </is>
      </c>
      <c r="D218" s="5" t="inlineStr">
        <is>
          <t>CAJERO</t>
        </is>
      </c>
      <c r="E218" s="5" t="inlineStr">
        <is>
          <t xml:space="preserve"> EMPLEADO</t>
        </is>
      </c>
      <c r="F218" s="5" t="inlineStr">
        <is>
          <t xml:space="preserve">AGENCIA COLEGIO MEDICO </t>
        </is>
      </c>
      <c r="G218" s="5" t="inlineStr">
        <is>
          <t>Gerencia de Negocios</t>
        </is>
      </c>
      <c r="H218" s="5" t="n"/>
    </row>
    <row r="219">
      <c r="A219" s="4" t="inlineStr">
        <is>
          <t>971</t>
        </is>
      </c>
      <c r="B219" s="5" t="inlineStr">
        <is>
          <t xml:space="preserve">JAQUELIN JAZMIN ROMERO FLORES </t>
        </is>
      </c>
      <c r="C219" s="4" t="inlineStr">
        <is>
          <t>01/06/2026</t>
        </is>
      </c>
      <c r="D219" s="5" t="inlineStr">
        <is>
          <t>CAJERO</t>
        </is>
      </c>
      <c r="E219" s="5" t="inlineStr">
        <is>
          <t xml:space="preserve"> EMPLEADO</t>
        </is>
      </c>
      <c r="F219" s="5" t="inlineStr">
        <is>
          <t xml:space="preserve">AGENCIA COLEGIO MEDICO </t>
        </is>
      </c>
      <c r="G219" s="5" t="inlineStr">
        <is>
          <t>Gerencia de Negocios</t>
        </is>
      </c>
      <c r="H219" s="5" t="n"/>
    </row>
    <row r="220" hidden="1" s="38">
      <c r="A220" s="4" t="inlineStr">
        <is>
          <t>975</t>
        </is>
      </c>
      <c r="B220" s="5" t="inlineStr">
        <is>
          <t xml:space="preserve">GABRIELA CONCEPCION GARCIA GUTIERREZ </t>
        </is>
      </c>
      <c r="C220" s="4" t="inlineStr">
        <is>
          <t>21/07/2026</t>
        </is>
      </c>
      <c r="D220" s="5" t="inlineStr">
        <is>
          <t>AUXILIAR DE ATENCION AL ASOCIADO EN AGENCIA</t>
        </is>
      </c>
      <c r="E220" s="5" t="inlineStr">
        <is>
          <t xml:space="preserve"> EMPLEADO</t>
        </is>
      </c>
      <c r="F220" s="5" t="inlineStr">
        <is>
          <t xml:space="preserve">AGENCIA COLEGIO MEDICO </t>
        </is>
      </c>
      <c r="G220" s="5" t="inlineStr">
        <is>
          <t>Gerencia de Negocios</t>
        </is>
      </c>
      <c r="H220" s="5" t="n"/>
    </row>
    <row r="221" hidden="1" s="38">
      <c r="A221" s="4" t="inlineStr">
        <is>
          <t>197</t>
        </is>
      </c>
      <c r="B221" s="5" t="inlineStr">
        <is>
          <t>THELMA ESPERANZA FIGUEROA SORTO</t>
        </is>
      </c>
      <c r="C221" s="4" t="inlineStr">
        <is>
          <t>01/12/1999</t>
        </is>
      </c>
      <c r="D221" s="5" t="inlineStr">
        <is>
          <t>EJECUTIVO DE NEGOCIOS</t>
        </is>
      </c>
      <c r="E221" s="5" t="inlineStr">
        <is>
          <t xml:space="preserve"> EMPLEADO</t>
        </is>
      </c>
      <c r="F221" s="5" t="inlineStr">
        <is>
          <t xml:space="preserve">AGENCIA SAN  MIGUEL  </t>
        </is>
      </c>
      <c r="G221" s="5" t="inlineStr">
        <is>
          <t>Gerencia de Negocios</t>
        </is>
      </c>
      <c r="H221" s="5" t="n"/>
    </row>
    <row r="222" hidden="1" s="38">
      <c r="A222" s="4" t="inlineStr">
        <is>
          <t>200</t>
        </is>
      </c>
      <c r="B222" s="5" t="inlineStr">
        <is>
          <t xml:space="preserve">JOSE MANUEL SERRANO ROVIRA </t>
        </is>
      </c>
      <c r="C222" s="4" t="inlineStr">
        <is>
          <t>03/01/2000</t>
        </is>
      </c>
      <c r="D222" s="5" t="inlineStr">
        <is>
          <t xml:space="preserve">JEFE DE AGENCIA  </t>
        </is>
      </c>
      <c r="E222" s="5" t="inlineStr">
        <is>
          <t xml:space="preserve"> EMPLEADO</t>
        </is>
      </c>
      <c r="F222" s="5" t="inlineStr">
        <is>
          <t xml:space="preserve">AGENCIA SAN  MIGUEL  </t>
        </is>
      </c>
      <c r="G222" s="5" t="inlineStr">
        <is>
          <t>Gerencia de Negocios</t>
        </is>
      </c>
      <c r="H222" s="5" t="n"/>
    </row>
    <row r="223" hidden="1" s="38">
      <c r="A223" s="4" t="inlineStr">
        <is>
          <t>390</t>
        </is>
      </c>
      <c r="B223" s="5" t="inlineStr">
        <is>
          <t xml:space="preserve">MARTHA LORENA GONZALEZ GONZALEZ </t>
        </is>
      </c>
      <c r="C223" s="4" t="inlineStr">
        <is>
          <t>07/11/2006</t>
        </is>
      </c>
      <c r="D223" s="5" t="inlineStr">
        <is>
          <t>AUXILIAR DE OPERACIONES Y ATENCION EN  AGENCIA</t>
        </is>
      </c>
      <c r="E223" s="5" t="inlineStr">
        <is>
          <t xml:space="preserve"> EMPLEADO</t>
        </is>
      </c>
      <c r="F223" s="5" t="inlineStr">
        <is>
          <t xml:space="preserve">AGENCIA SAN  MIGUEL  </t>
        </is>
      </c>
      <c r="G223" s="5" t="inlineStr">
        <is>
          <t>Gerencia de Negocios</t>
        </is>
      </c>
      <c r="H223" s="5" t="n"/>
    </row>
    <row r="224" hidden="1" s="38">
      <c r="A224" s="4" t="inlineStr">
        <is>
          <t>545</t>
        </is>
      </c>
      <c r="B224" s="5" t="inlineStr">
        <is>
          <t xml:space="preserve">LEIBY NATHALY ROMERO VANEGAS </t>
        </is>
      </c>
      <c r="C224" s="4" t="inlineStr">
        <is>
          <t>02/01/2015</t>
        </is>
      </c>
      <c r="D224" s="5" t="inlineStr">
        <is>
          <t>SUBJEFE DE  AGENCIA</t>
        </is>
      </c>
      <c r="E224" s="5" t="inlineStr">
        <is>
          <t xml:space="preserve"> EMPLEADO</t>
        </is>
      </c>
      <c r="F224" s="5" t="inlineStr">
        <is>
          <t xml:space="preserve">AGENCIA SAN  MIGUEL  </t>
        </is>
      </c>
      <c r="G224" s="5" t="inlineStr">
        <is>
          <t>Gerencia de Negocios</t>
        </is>
      </c>
      <c r="H224" s="5" t="n"/>
    </row>
    <row r="225" hidden="1" s="38">
      <c r="A225" s="4" t="inlineStr">
        <is>
          <t>776</t>
        </is>
      </c>
      <c r="B225" s="5" t="inlineStr">
        <is>
          <t xml:space="preserve">DIEGO GERARDO GUANDIQUE TORRES </t>
        </is>
      </c>
      <c r="C225" s="4" t="inlineStr">
        <is>
          <t>05/10/2022</t>
        </is>
      </c>
      <c r="D225" s="5" t="inlineStr">
        <is>
          <t>CAJERO</t>
        </is>
      </c>
      <c r="E225" s="5" t="inlineStr">
        <is>
          <t xml:space="preserve"> EMPLEADO</t>
        </is>
      </c>
      <c r="F225" s="5" t="inlineStr">
        <is>
          <t xml:space="preserve">AGENCIA SAN  MIGUEL  </t>
        </is>
      </c>
      <c r="G225" s="5" t="inlineStr">
        <is>
          <t>Gerencia de Negocios</t>
        </is>
      </c>
      <c r="H225" s="5" t="n"/>
    </row>
    <row r="226" hidden="1" s="38">
      <c r="A226" s="4" t="inlineStr">
        <is>
          <t>777</t>
        </is>
      </c>
      <c r="B226" s="5" t="inlineStr">
        <is>
          <t xml:space="preserve">MARCELINA YAMILETH LOPEZ VASQUEZ </t>
        </is>
      </c>
      <c r="C226" s="4" t="inlineStr">
        <is>
          <t>05/10/2022</t>
        </is>
      </c>
      <c r="D226" s="5" t="inlineStr">
        <is>
          <t>CAJERO</t>
        </is>
      </c>
      <c r="E226" s="5" t="inlineStr">
        <is>
          <t xml:space="preserve"> EMPLEADO</t>
        </is>
      </c>
      <c r="F226" s="5" t="inlineStr">
        <is>
          <t xml:space="preserve">AGENCIA SAN  MIGUEL  </t>
        </is>
      </c>
      <c r="G226" s="5" t="inlineStr">
        <is>
          <t>Gerencia de Negocios</t>
        </is>
      </c>
      <c r="H226" s="5" t="n"/>
    </row>
    <row r="227" hidden="1" s="38">
      <c r="A227" s="4" t="inlineStr">
        <is>
          <t>807</t>
        </is>
      </c>
      <c r="B227" s="5" t="inlineStr">
        <is>
          <t xml:space="preserve">MARCELA GUADALUPE CRESPO BENAVIDEZ </t>
        </is>
      </c>
      <c r="C227" s="4" t="inlineStr">
        <is>
          <t>02/05/2023</t>
        </is>
      </c>
      <c r="D227" s="5" t="inlineStr">
        <is>
          <t>EJECUTIVA DE SEGUROS</t>
        </is>
      </c>
      <c r="E227" s="5" t="inlineStr">
        <is>
          <t xml:space="preserve"> EMPLEADO</t>
        </is>
      </c>
      <c r="F227" s="5" t="inlineStr">
        <is>
          <t xml:space="preserve">AGENCIA SAN  MIGUEL  </t>
        </is>
      </c>
      <c r="G227" s="5" t="inlineStr">
        <is>
          <t>Gerencia de Negocios</t>
        </is>
      </c>
      <c r="H227" s="5" t="n"/>
    </row>
    <row r="228" hidden="1" s="38">
      <c r="A228" s="4" t="inlineStr">
        <is>
          <t>861</t>
        </is>
      </c>
      <c r="B228" s="5" t="inlineStr">
        <is>
          <t xml:space="preserve">SANDRA MARINA  BERRIOS SANTOS </t>
        </is>
      </c>
      <c r="C228" s="4" t="inlineStr">
        <is>
          <t>22/03/2024</t>
        </is>
      </c>
      <c r="D228" s="5" t="inlineStr">
        <is>
          <t>CAJERO</t>
        </is>
      </c>
      <c r="E228" s="5" t="inlineStr">
        <is>
          <t xml:space="preserve"> EMPLEADO</t>
        </is>
      </c>
      <c r="F228" s="5" t="inlineStr">
        <is>
          <t xml:space="preserve">AGENCIA SAN  MIGUEL  </t>
        </is>
      </c>
      <c r="G228" s="5" t="inlineStr">
        <is>
          <t>Gerencia de Negocios</t>
        </is>
      </c>
      <c r="H228" s="5" t="inlineStr">
        <is>
          <t>Incapacidad por maternidad</t>
        </is>
      </c>
    </row>
    <row r="229" hidden="1" s="38">
      <c r="A229" s="4" t="inlineStr">
        <is>
          <t>168</t>
        </is>
      </c>
      <c r="B229" s="5" t="inlineStr">
        <is>
          <t xml:space="preserve">ANA MARIA GIRON </t>
        </is>
      </c>
      <c r="C229" s="4" t="inlineStr">
        <is>
          <t>01/12/1998</t>
        </is>
      </c>
      <c r="D229" s="5" t="inlineStr">
        <is>
          <t>EJECUTIVO DE NEGOCIOS</t>
        </is>
      </c>
      <c r="E229" s="5" t="inlineStr">
        <is>
          <t xml:space="preserve"> EMPLEADO</t>
        </is>
      </c>
      <c r="F229" s="5" t="inlineStr">
        <is>
          <t xml:space="preserve">AGENCIA SANTA  ANA  </t>
        </is>
      </c>
      <c r="G229" s="5" t="inlineStr">
        <is>
          <t>Gerencia de Negocios</t>
        </is>
      </c>
      <c r="H229" s="5" t="n"/>
    </row>
    <row r="230" hidden="1" s="38">
      <c r="A230" s="4" t="inlineStr">
        <is>
          <t>295</t>
        </is>
      </c>
      <c r="B230" s="5" t="inlineStr">
        <is>
          <t xml:space="preserve">GLENDA MARAYA SALAZAR GONZALEZ </t>
        </is>
      </c>
      <c r="C230" s="4" t="inlineStr">
        <is>
          <t>12/11/2002</t>
        </is>
      </c>
      <c r="D230" s="5" t="inlineStr">
        <is>
          <t xml:space="preserve">JEFE DE AGENCIA  </t>
        </is>
      </c>
      <c r="E230" s="5" t="inlineStr">
        <is>
          <t xml:space="preserve"> EMPLEADO</t>
        </is>
      </c>
      <c r="F230" s="5" t="inlineStr">
        <is>
          <t xml:space="preserve">AGENCIA SANTA  ANA  </t>
        </is>
      </c>
      <c r="G230" s="5" t="inlineStr">
        <is>
          <t>Gerencia de Negocios</t>
        </is>
      </c>
      <c r="H230" s="5" t="n"/>
    </row>
    <row r="231" hidden="1" s="38">
      <c r="A231" s="4" t="inlineStr">
        <is>
          <t>312</t>
        </is>
      </c>
      <c r="B231" s="5" t="inlineStr">
        <is>
          <t xml:space="preserve">JEANNETTE ANGELINNE HERNANDEZ MEJIA </t>
        </is>
      </c>
      <c r="C231" s="4" t="inlineStr">
        <is>
          <t>14/07/2004</t>
        </is>
      </c>
      <c r="D231" s="5" t="inlineStr">
        <is>
          <t>SUBJEFE DE  AGENCIA</t>
        </is>
      </c>
      <c r="E231" s="5" t="inlineStr">
        <is>
          <t xml:space="preserve"> EMPLEADO</t>
        </is>
      </c>
      <c r="F231" s="5" t="inlineStr">
        <is>
          <t xml:space="preserve">AGENCIA SANTA  ANA  </t>
        </is>
      </c>
      <c r="G231" s="5" t="inlineStr">
        <is>
          <t>Gerencia de Negocios</t>
        </is>
      </c>
      <c r="H231" s="5" t="n"/>
    </row>
    <row r="232" hidden="1" s="38">
      <c r="A232" s="4" t="inlineStr">
        <is>
          <t>747</t>
        </is>
      </c>
      <c r="B232" s="5" t="inlineStr">
        <is>
          <t xml:space="preserve">IRVIN ADEMIR PERAZA MOLINA </t>
        </is>
      </c>
      <c r="C232" s="4" t="inlineStr">
        <is>
          <t>11/05/2022</t>
        </is>
      </c>
      <c r="D232" s="5" t="inlineStr">
        <is>
          <t>EJECUTIVO DE SEGUROS</t>
        </is>
      </c>
      <c r="E232" s="5" t="inlineStr">
        <is>
          <t xml:space="preserve"> EMPLEADO</t>
        </is>
      </c>
      <c r="F232" s="5" t="inlineStr">
        <is>
          <t xml:space="preserve">AGENCIA SANTA  ANA  </t>
        </is>
      </c>
      <c r="G232" s="5" t="inlineStr">
        <is>
          <t>Gerencia de Negocios</t>
        </is>
      </c>
      <c r="H232" s="5" t="n"/>
    </row>
    <row r="233" hidden="1" s="38">
      <c r="A233" s="4" t="inlineStr">
        <is>
          <t>818</t>
        </is>
      </c>
      <c r="B233" s="5" t="inlineStr">
        <is>
          <t xml:space="preserve">ANDREA YAMILETH ESCOBAR CHICA </t>
        </is>
      </c>
      <c r="C233" s="4" t="inlineStr">
        <is>
          <t>13/07/2023</t>
        </is>
      </c>
      <c r="D233" s="5" t="inlineStr">
        <is>
          <t>CAJERO</t>
        </is>
      </c>
      <c r="E233" s="5" t="inlineStr">
        <is>
          <t xml:space="preserve"> EMPLEADO</t>
        </is>
      </c>
      <c r="F233" s="5" t="inlineStr">
        <is>
          <t xml:space="preserve">AGENCIA SANTA  ANA  </t>
        </is>
      </c>
      <c r="G233" s="5" t="inlineStr">
        <is>
          <t>Gerencia de Negocios</t>
        </is>
      </c>
      <c r="H233" s="5" t="n"/>
    </row>
    <row r="234" hidden="1" s="38">
      <c r="A234" s="4" t="inlineStr">
        <is>
          <t>840</t>
        </is>
      </c>
      <c r="B234" s="5" t="inlineStr">
        <is>
          <t xml:space="preserve">SOFIA AZMINIA MENA ARGUETA </t>
        </is>
      </c>
      <c r="C234" s="4" t="inlineStr">
        <is>
          <t>24/11/2023</t>
        </is>
      </c>
      <c r="D234" s="5" t="inlineStr">
        <is>
          <t>CAJERO</t>
        </is>
      </c>
      <c r="E234" s="5" t="inlineStr">
        <is>
          <t xml:space="preserve"> EMPLEADO</t>
        </is>
      </c>
      <c r="F234" s="5" t="inlineStr">
        <is>
          <t xml:space="preserve">AGENCIA SANTA  ANA  </t>
        </is>
      </c>
      <c r="G234" s="5" t="inlineStr">
        <is>
          <t>Gerencia de Negocios</t>
        </is>
      </c>
      <c r="H234" s="5" t="n"/>
    </row>
    <row r="235" hidden="1" s="38">
      <c r="A235" s="4" t="inlineStr">
        <is>
          <t>910</t>
        </is>
      </c>
      <c r="B235" s="5" t="inlineStr">
        <is>
          <t xml:space="preserve">JOSE CRISTOBAL LOPEZ ESQUIVEL </t>
        </is>
      </c>
      <c r="C235" s="4" t="inlineStr">
        <is>
          <t>11/02/2025</t>
        </is>
      </c>
      <c r="D235" s="5" t="inlineStr">
        <is>
          <t>MENSAJERO</t>
        </is>
      </c>
      <c r="E235" s="5" t="inlineStr">
        <is>
          <t xml:space="preserve"> EMPLEADO</t>
        </is>
      </c>
      <c r="F235" s="5" t="inlineStr">
        <is>
          <t xml:space="preserve">AGENCIA SANTA  ANA  </t>
        </is>
      </c>
      <c r="G235" s="5" t="inlineStr">
        <is>
          <t>Gerencia de Negocios</t>
        </is>
      </c>
      <c r="H235" s="5" t="n"/>
    </row>
    <row r="236" hidden="1" s="38">
      <c r="A236" s="4" t="inlineStr">
        <is>
          <t>954</t>
        </is>
      </c>
      <c r="B236" s="5" t="inlineStr">
        <is>
          <t xml:space="preserve">LUIS GERARDO DUEÑAS VALLE </t>
        </is>
      </c>
      <c r="C236" s="4" t="inlineStr">
        <is>
          <t>19/12/2025</t>
        </is>
      </c>
      <c r="D236" s="5" t="inlineStr">
        <is>
          <t>CAJERO</t>
        </is>
      </c>
      <c r="E236" s="5" t="inlineStr">
        <is>
          <t xml:space="preserve"> EMPLEADO</t>
        </is>
      </c>
      <c r="F236" s="5" t="inlineStr">
        <is>
          <t xml:space="preserve">AGENCIA SANTA  ANA  </t>
        </is>
      </c>
      <c r="G236" s="5" t="inlineStr">
        <is>
          <t>Gerencia de Negocios</t>
        </is>
      </c>
      <c r="H236" s="5" t="n"/>
    </row>
    <row r="237" hidden="1" s="38">
      <c r="A237" s="4" t="inlineStr">
        <is>
          <t>287</t>
        </is>
      </c>
      <c r="B237" s="5" t="inlineStr">
        <is>
          <t>MARIA ANGELICA ESCOBAR RENDEROS</t>
        </is>
      </c>
      <c r="C237" s="4" t="inlineStr">
        <is>
          <t>10/05/2002</t>
        </is>
      </c>
      <c r="D237" s="5" t="inlineStr">
        <is>
          <t xml:space="preserve">JEFE DE AGENCIA  </t>
        </is>
      </c>
      <c r="E237" s="5" t="inlineStr">
        <is>
          <t xml:space="preserve"> EMPLEADO</t>
        </is>
      </c>
      <c r="F237" s="5" t="inlineStr">
        <is>
          <t xml:space="preserve">AGENCIA SONSONATE  </t>
        </is>
      </c>
      <c r="G237" s="5" t="inlineStr">
        <is>
          <t>Gerencia de Negocios</t>
        </is>
      </c>
      <c r="H237" s="5" t="n"/>
    </row>
    <row r="238" hidden="1" s="38">
      <c r="A238" s="4" t="inlineStr">
        <is>
          <t>448</t>
        </is>
      </c>
      <c r="B238" s="5" t="inlineStr">
        <is>
          <t xml:space="preserve">JOSE ALEXANDER TORRES PEREZ </t>
        </is>
      </c>
      <c r="C238" s="4" t="inlineStr">
        <is>
          <t>05/09/2009</t>
        </is>
      </c>
      <c r="D238" s="5" t="inlineStr">
        <is>
          <t>MENSAJERO</t>
        </is>
      </c>
      <c r="E238" s="5" t="inlineStr">
        <is>
          <t xml:space="preserve"> EMPLEADO</t>
        </is>
      </c>
      <c r="F238" s="5" t="inlineStr">
        <is>
          <t xml:space="preserve">AGENCIA SONSONATE  </t>
        </is>
      </c>
      <c r="G238" s="5" t="inlineStr">
        <is>
          <t>Gerencia de Negocios</t>
        </is>
      </c>
      <c r="H238" s="5" t="n"/>
    </row>
    <row r="239" hidden="1" s="38">
      <c r="A239" s="4" t="inlineStr">
        <is>
          <t>526</t>
        </is>
      </c>
      <c r="B239" s="5" t="inlineStr">
        <is>
          <t xml:space="preserve">XIOMARA BEATRIZ MARTINEZ SERMEÑO </t>
        </is>
      </c>
      <c r="C239" s="4" t="inlineStr">
        <is>
          <t>18/04/2013</t>
        </is>
      </c>
      <c r="D239" s="5" t="inlineStr">
        <is>
          <t>SUBJEFE DE  AGENCIA</t>
        </is>
      </c>
      <c r="E239" s="5" t="inlineStr">
        <is>
          <t xml:space="preserve"> EMPLEADO</t>
        </is>
      </c>
      <c r="F239" s="5" t="inlineStr">
        <is>
          <t xml:space="preserve">AGENCIA SONSONATE  </t>
        </is>
      </c>
      <c r="G239" s="5" t="inlineStr">
        <is>
          <t>Gerencia de Negocios</t>
        </is>
      </c>
      <c r="H239" s="5" t="n"/>
    </row>
    <row r="240" hidden="1" s="38">
      <c r="A240" s="4" t="inlineStr">
        <is>
          <t>559</t>
        </is>
      </c>
      <c r="B240" s="5" t="inlineStr">
        <is>
          <t xml:space="preserve">JOSUE ALEXANDER PEREZ HENRIQUEZ </t>
        </is>
      </c>
      <c r="C240" s="4" t="inlineStr">
        <is>
          <t>18/01/2016</t>
        </is>
      </c>
      <c r="D240" s="5" t="inlineStr">
        <is>
          <t>EJECUTIVO DE NEGOCIOS</t>
        </is>
      </c>
      <c r="E240" s="5" t="inlineStr">
        <is>
          <t xml:space="preserve"> EMPLEADO</t>
        </is>
      </c>
      <c r="F240" s="5" t="inlineStr">
        <is>
          <t xml:space="preserve">AGENCIA SONSONATE  </t>
        </is>
      </c>
      <c r="G240" s="5" t="inlineStr">
        <is>
          <t>Gerencia de Negocios</t>
        </is>
      </c>
      <c r="H240" s="5" t="n"/>
    </row>
    <row r="241" hidden="1" s="38">
      <c r="A241" s="4" t="inlineStr">
        <is>
          <t>575</t>
        </is>
      </c>
      <c r="B241" s="5" t="inlineStr">
        <is>
          <t xml:space="preserve">JESSICA YAMILETH LEIVA VASQUEZ </t>
        </is>
      </c>
      <c r="C241" s="4" t="inlineStr">
        <is>
          <t>17/10/2016</t>
        </is>
      </c>
      <c r="D241" s="5" t="inlineStr">
        <is>
          <t>EJECUTIVA DE SEGUROS</t>
        </is>
      </c>
      <c r="E241" s="5" t="inlineStr">
        <is>
          <t xml:space="preserve"> EMPLEADO</t>
        </is>
      </c>
      <c r="F241" s="5" t="inlineStr">
        <is>
          <t xml:space="preserve">AGENCIA SONSONATE  </t>
        </is>
      </c>
      <c r="G241" s="5" t="inlineStr">
        <is>
          <t>Gerencia de Negocios</t>
        </is>
      </c>
      <c r="H241" s="5" t="n"/>
    </row>
    <row r="242" hidden="1" s="38">
      <c r="A242" s="4" t="inlineStr">
        <is>
          <t>755</t>
        </is>
      </c>
      <c r="B242" s="5" t="inlineStr">
        <is>
          <t xml:space="preserve">MIGUEL ANGEL LEON MENA </t>
        </is>
      </c>
      <c r="C242" s="4" t="inlineStr">
        <is>
          <t>01/07/2022</t>
        </is>
      </c>
      <c r="D242" s="5" t="inlineStr">
        <is>
          <t>CAJERO</t>
        </is>
      </c>
      <c r="E242" s="5" t="inlineStr">
        <is>
          <t xml:space="preserve"> EMPLEADO</t>
        </is>
      </c>
      <c r="F242" s="5" t="inlineStr">
        <is>
          <t xml:space="preserve">AGENCIA SONSONATE  </t>
        </is>
      </c>
      <c r="G242" s="5" t="inlineStr">
        <is>
          <t>Gerencia de Negocios</t>
        </is>
      </c>
      <c r="H242" s="5" t="n"/>
    </row>
    <row r="243" hidden="1" s="38">
      <c r="A243" s="4" t="inlineStr">
        <is>
          <t>849</t>
        </is>
      </c>
      <c r="B243" s="5" t="inlineStr">
        <is>
          <t xml:space="preserve">KARLA MARCELA  ESCOBAR TRIGUEROS </t>
        </is>
      </c>
      <c r="C243" s="4" t="inlineStr">
        <is>
          <t>16/01/2024</t>
        </is>
      </c>
      <c r="D243" s="5" t="inlineStr">
        <is>
          <t>CAJERO</t>
        </is>
      </c>
      <c r="E243" s="5" t="inlineStr">
        <is>
          <t xml:space="preserve"> EMPLEADO</t>
        </is>
      </c>
      <c r="F243" s="5" t="inlineStr">
        <is>
          <t xml:space="preserve">AGENCIA SONSONATE  </t>
        </is>
      </c>
      <c r="G243" s="5" t="inlineStr">
        <is>
          <t>Gerencia de Negocios</t>
        </is>
      </c>
      <c r="H243" s="5" t="n"/>
    </row>
    <row r="244" hidden="1" s="38">
      <c r="A244" s="4" t="inlineStr">
        <is>
          <t>159</t>
        </is>
      </c>
      <c r="B244" s="5" t="inlineStr">
        <is>
          <t xml:space="preserve">PATRICIA GUADALUPE GUARDADO OSEGUEDA </t>
        </is>
      </c>
      <c r="C244" s="4" t="inlineStr">
        <is>
          <t>17/08/1998</t>
        </is>
      </c>
      <c r="D244" s="5" t="inlineStr">
        <is>
          <t>EJECUTIVO DE NEGOCIOS</t>
        </is>
      </c>
      <c r="E244" s="5" t="inlineStr">
        <is>
          <t xml:space="preserve"> EMPLEADO</t>
        </is>
      </c>
      <c r="F244" s="5" t="inlineStr">
        <is>
          <t xml:space="preserve">AGENCIA MERLIOT  </t>
        </is>
      </c>
      <c r="G244" s="5" t="inlineStr">
        <is>
          <t>Gerencia de Negocios</t>
        </is>
      </c>
      <c r="H244" s="5" t="n"/>
    </row>
    <row r="245" hidden="1" s="38">
      <c r="A245" s="4" t="inlineStr">
        <is>
          <t>251</t>
        </is>
      </c>
      <c r="B245" s="5" t="inlineStr">
        <is>
          <t xml:space="preserve">NURIA LISSETH AGUILAR AGUILAR </t>
        </is>
      </c>
      <c r="C245" s="4" t="inlineStr">
        <is>
          <t>29/10/2001</t>
        </is>
      </c>
      <c r="D245" s="5" t="inlineStr">
        <is>
          <t>EJECUTIVO DE NEGOCIOS</t>
        </is>
      </c>
      <c r="E245" s="5" t="inlineStr">
        <is>
          <t xml:space="preserve"> EMPLEADO</t>
        </is>
      </c>
      <c r="F245" s="5" t="inlineStr">
        <is>
          <t xml:space="preserve">AGENCIA MERLIOT  </t>
        </is>
      </c>
      <c r="G245" s="5" t="inlineStr">
        <is>
          <t>Gerencia de Negocios</t>
        </is>
      </c>
      <c r="H245" s="5" t="n"/>
    </row>
    <row r="246" hidden="1" s="38">
      <c r="A246" s="4" t="inlineStr">
        <is>
          <t>343</t>
        </is>
      </c>
      <c r="B246" s="5" t="inlineStr">
        <is>
          <t>FATIMA BERENICE MEDINA  ESCALANTE</t>
        </is>
      </c>
      <c r="C246" s="4" t="inlineStr">
        <is>
          <t>27/05/2005</t>
        </is>
      </c>
      <c r="D246" s="5" t="inlineStr">
        <is>
          <t xml:space="preserve">JEFE DE AGENCIA  </t>
        </is>
      </c>
      <c r="E246" s="5" t="inlineStr">
        <is>
          <t xml:space="preserve"> EMPLEADO</t>
        </is>
      </c>
      <c r="F246" s="5" t="inlineStr">
        <is>
          <t xml:space="preserve">AGENCIA MERLIOT  </t>
        </is>
      </c>
      <c r="G246" s="5" t="inlineStr">
        <is>
          <t>Gerencia de Negocios</t>
        </is>
      </c>
      <c r="H246" s="5" t="n"/>
    </row>
    <row r="247" hidden="1" s="38">
      <c r="A247" s="4" t="inlineStr">
        <is>
          <t>657</t>
        </is>
      </c>
      <c r="B247" s="5" t="inlineStr">
        <is>
          <t>CLELIA DESIREE CAMPOS COSS</t>
        </is>
      </c>
      <c r="C247" s="4" t="inlineStr">
        <is>
          <t>09/07/2019</t>
        </is>
      </c>
      <c r="D247" s="5" t="inlineStr">
        <is>
          <t>SERVICIOS VARIOS</t>
        </is>
      </c>
      <c r="E247" s="5" t="inlineStr">
        <is>
          <t xml:space="preserve"> EMPLEADO</t>
        </is>
      </c>
      <c r="F247" s="5" t="inlineStr">
        <is>
          <t xml:space="preserve">AGENCIA MERLIOT  </t>
        </is>
      </c>
      <c r="G247" s="5" t="inlineStr">
        <is>
          <t>Gerencia de Negocios</t>
        </is>
      </c>
      <c r="H247" s="5" t="n"/>
    </row>
    <row r="248" hidden="1" s="38">
      <c r="A248" s="4" t="inlineStr">
        <is>
          <t>671</t>
        </is>
      </c>
      <c r="B248" s="5" t="inlineStr">
        <is>
          <t xml:space="preserve">MILTON ALEXANDER CUELLAR GARCIA </t>
        </is>
      </c>
      <c r="C248" s="4" t="inlineStr">
        <is>
          <t>18/11/2019</t>
        </is>
      </c>
      <c r="D248" s="5" t="inlineStr">
        <is>
          <t>CAJERO</t>
        </is>
      </c>
      <c r="E248" s="5" t="inlineStr">
        <is>
          <t xml:space="preserve"> EMPLEADO</t>
        </is>
      </c>
      <c r="F248" s="5" t="inlineStr">
        <is>
          <t xml:space="preserve">AGENCIA MERLIOT  </t>
        </is>
      </c>
      <c r="G248" s="5" t="inlineStr">
        <is>
          <t>Gerencia de Negocios</t>
        </is>
      </c>
      <c r="H248" s="5" t="n"/>
    </row>
    <row r="249" hidden="1" s="38">
      <c r="A249" s="4" t="inlineStr">
        <is>
          <t>700</t>
        </is>
      </c>
      <c r="B249" s="5" t="inlineStr">
        <is>
          <t xml:space="preserve">JENNIFFER MIREYA AYALA ZEPEDA </t>
        </is>
      </c>
      <c r="C249" s="4" t="inlineStr">
        <is>
          <t>18/01/2021</t>
        </is>
      </c>
      <c r="D249" s="5" t="inlineStr">
        <is>
          <t>SUBJEFE DE  AGENCIA</t>
        </is>
      </c>
      <c r="E249" s="5" t="inlineStr">
        <is>
          <t xml:space="preserve"> EMPLEADO</t>
        </is>
      </c>
      <c r="F249" s="5" t="inlineStr">
        <is>
          <t xml:space="preserve">AGENCIA MERLIOT  </t>
        </is>
      </c>
      <c r="G249" s="5" t="inlineStr">
        <is>
          <t>Gerencia de Negocios</t>
        </is>
      </c>
      <c r="H249" s="5" t="n"/>
    </row>
    <row r="250" hidden="1" s="38">
      <c r="A250" s="4" t="inlineStr">
        <is>
          <t>827</t>
        </is>
      </c>
      <c r="B250" s="5" t="inlineStr">
        <is>
          <t xml:space="preserve">KELLY IDALIA CHAVEZ ABREGO </t>
        </is>
      </c>
      <c r="C250" s="4" t="inlineStr">
        <is>
          <t>07/09/2023</t>
        </is>
      </c>
      <c r="D250" s="5" t="inlineStr">
        <is>
          <t>CAJERO</t>
        </is>
      </c>
      <c r="E250" s="5" t="inlineStr">
        <is>
          <t xml:space="preserve"> EMPLEADO</t>
        </is>
      </c>
      <c r="F250" s="5" t="inlineStr">
        <is>
          <t xml:space="preserve">AGENCIA MERLIOT  </t>
        </is>
      </c>
      <c r="G250" s="5" t="inlineStr">
        <is>
          <t>Gerencia de Negocios</t>
        </is>
      </c>
      <c r="H250" s="5" t="n"/>
    </row>
    <row r="251" hidden="1" s="38">
      <c r="A251" s="4" t="inlineStr">
        <is>
          <t>892</t>
        </is>
      </c>
      <c r="B251" s="5" t="inlineStr">
        <is>
          <t xml:space="preserve">DIANA VANESSA RODRIGUEZ SORIANO </t>
        </is>
      </c>
      <c r="C251" s="4" t="inlineStr">
        <is>
          <t>18/09/2024</t>
        </is>
      </c>
      <c r="D251" s="5" t="inlineStr">
        <is>
          <t>EJECUTIVA DE SEGUROS</t>
        </is>
      </c>
      <c r="E251" s="5" t="inlineStr">
        <is>
          <t xml:space="preserve"> EMPLEADO</t>
        </is>
      </c>
      <c r="F251" s="5" t="inlineStr">
        <is>
          <t xml:space="preserve">AGENCIA MERLIOT  </t>
        </is>
      </c>
      <c r="G251" s="5" t="inlineStr">
        <is>
          <t>Gerencia de Negocios</t>
        </is>
      </c>
      <c r="H251" s="5" t="n"/>
    </row>
    <row r="252" hidden="1" s="38">
      <c r="A252" s="4" t="inlineStr">
        <is>
          <t>909</t>
        </is>
      </c>
      <c r="B252" s="5" t="inlineStr">
        <is>
          <t xml:space="preserve">GLADYS LISETH HERNANDEZ CRUZ </t>
        </is>
      </c>
      <c r="C252" s="4" t="inlineStr">
        <is>
          <t>11/02/2025</t>
        </is>
      </c>
      <c r="D252" s="5" t="inlineStr">
        <is>
          <t>CAJERO</t>
        </is>
      </c>
      <c r="E252" s="5" t="inlineStr">
        <is>
          <t xml:space="preserve"> EMPLEADO</t>
        </is>
      </c>
      <c r="F252" s="5" t="inlineStr">
        <is>
          <t xml:space="preserve">AGENCIA MERLIOT  </t>
        </is>
      </c>
      <c r="G252" s="5" t="inlineStr">
        <is>
          <t>Gerencia de Negocios</t>
        </is>
      </c>
      <c r="H252" s="5" t="n"/>
    </row>
    <row r="253" hidden="1" s="38">
      <c r="A253" s="4" t="inlineStr">
        <is>
          <t>922</t>
        </is>
      </c>
      <c r="B253" s="5" t="inlineStr">
        <is>
          <t xml:space="preserve">MADELINE ADRIANA GOMEZ GARCIA </t>
        </is>
      </c>
      <c r="C253" s="4" t="inlineStr">
        <is>
          <t>05/05/2025</t>
        </is>
      </c>
      <c r="D253" s="5" t="inlineStr">
        <is>
          <t>CAJERO</t>
        </is>
      </c>
      <c r="E253" s="5" t="inlineStr">
        <is>
          <t xml:space="preserve"> EMPLEADO</t>
        </is>
      </c>
      <c r="F253" s="5" t="inlineStr">
        <is>
          <t xml:space="preserve">AGENCIA MERLIOT  </t>
        </is>
      </c>
      <c r="G253" s="5" t="inlineStr">
        <is>
          <t>Gerencia de Negocios</t>
        </is>
      </c>
      <c r="H253" s="5" t="n"/>
    </row>
    <row r="254" hidden="1" s="38">
      <c r="A254" s="4" t="inlineStr">
        <is>
          <t>936</t>
        </is>
      </c>
      <c r="B254" s="5" t="inlineStr">
        <is>
          <t xml:space="preserve">MARISELA GUADALUPE MEJIA CRUZ </t>
        </is>
      </c>
      <c r="C254" s="4" t="inlineStr">
        <is>
          <t>14/07/2025</t>
        </is>
      </c>
      <c r="D254" s="5" t="inlineStr">
        <is>
          <t>CAJERO</t>
        </is>
      </c>
      <c r="E254" s="5" t="inlineStr">
        <is>
          <t xml:space="preserve"> EMPLEADO</t>
        </is>
      </c>
      <c r="F254" s="5" t="inlineStr">
        <is>
          <t xml:space="preserve">AGENCIA MERLIOT  </t>
        </is>
      </c>
      <c r="G254" s="5" t="inlineStr">
        <is>
          <t>Gerencia de Negocios</t>
        </is>
      </c>
      <c r="H254" s="5" t="n"/>
    </row>
    <row r="255" hidden="1" s="38">
      <c r="A255" s="4" t="inlineStr">
        <is>
          <t>944</t>
        </is>
      </c>
      <c r="B255" s="5" t="inlineStr">
        <is>
          <t xml:space="preserve">JOSSELYN  IVONNE GARCIA  HERNANDEZ  </t>
        </is>
      </c>
      <c r="C255" s="4" t="inlineStr">
        <is>
          <t>17/10/2025</t>
        </is>
      </c>
      <c r="D255" s="5" t="inlineStr">
        <is>
          <t>AUXILIAR DE ATENCION A  ASOCIADOS</t>
        </is>
      </c>
      <c r="E255" s="5" t="inlineStr">
        <is>
          <t xml:space="preserve"> EMPLEADO</t>
        </is>
      </c>
      <c r="F255" s="5" t="inlineStr">
        <is>
          <t xml:space="preserve">AGENCIA MERLIOT  </t>
        </is>
      </c>
      <c r="G255" s="5" t="inlineStr">
        <is>
          <t>Gerencia de Negocios</t>
        </is>
      </c>
      <c r="H255" s="5" t="n"/>
    </row>
    <row r="256" hidden="1" s="38">
      <c r="A256" s="4" t="inlineStr">
        <is>
          <t>967</t>
        </is>
      </c>
      <c r="B256" s="5" t="inlineStr">
        <is>
          <t xml:space="preserve">MAVERICK JOSSIMAR GONZALEZ  MUÑOZ </t>
        </is>
      </c>
      <c r="C256" s="4" t="inlineStr">
        <is>
          <t>11/05/2026</t>
        </is>
      </c>
      <c r="D256" s="5" t="inlineStr">
        <is>
          <t>CAJERO</t>
        </is>
      </c>
      <c r="E256" s="5" t="inlineStr">
        <is>
          <t xml:space="preserve"> EMPLEADO</t>
        </is>
      </c>
      <c r="F256" s="5" t="inlineStr">
        <is>
          <t xml:space="preserve">AGENCIA MERLIOT  </t>
        </is>
      </c>
      <c r="G256" s="5" t="inlineStr">
        <is>
          <t>Gerencia de Negocios</t>
        </is>
      </c>
      <c r="H256" s="5" t="n"/>
    </row>
    <row r="257" hidden="1" s="38">
      <c r="A257" s="4" t="inlineStr">
        <is>
          <t>19</t>
        </is>
      </c>
      <c r="B257" s="5" t="inlineStr">
        <is>
          <t>ANA MARGARITA SERRANO RUBIO</t>
        </is>
      </c>
      <c r="C257" s="4" t="inlineStr">
        <is>
          <t>04/04/1994</t>
        </is>
      </c>
      <c r="D257" s="5" t="inlineStr">
        <is>
          <t>CAJERO</t>
        </is>
      </c>
      <c r="E257" s="5" t="inlineStr">
        <is>
          <t xml:space="preserve"> EMPLEADO</t>
        </is>
      </c>
      <c r="F257" s="5" t="inlineStr">
        <is>
          <t xml:space="preserve">AGENCIA COLONIA MEDICA  </t>
        </is>
      </c>
      <c r="G257" s="5" t="inlineStr">
        <is>
          <t>Gerencia de Negocios</t>
        </is>
      </c>
      <c r="H257" s="5" t="n"/>
    </row>
    <row r="258" hidden="1" s="38">
      <c r="A258" s="4" t="inlineStr">
        <is>
          <t>89</t>
        </is>
      </c>
      <c r="B258" s="5" t="inlineStr">
        <is>
          <t xml:space="preserve">PATRICIA JEANNETTE FLORES MARTINEZ </t>
        </is>
      </c>
      <c r="C258" s="4" t="inlineStr">
        <is>
          <t>08/04/1996</t>
        </is>
      </c>
      <c r="D258" s="5" t="inlineStr">
        <is>
          <t>AUXILIAR DE OPERACIONES Y ATENCION EN  AGENCIA</t>
        </is>
      </c>
      <c r="E258" s="5" t="inlineStr">
        <is>
          <t xml:space="preserve"> EMPLEADO</t>
        </is>
      </c>
      <c r="F258" s="5" t="inlineStr">
        <is>
          <t xml:space="preserve">AGENCIA COLONIA MEDICA  </t>
        </is>
      </c>
      <c r="G258" s="5" t="inlineStr">
        <is>
          <t>Gerencia de Negocios</t>
        </is>
      </c>
      <c r="H258" s="5" t="n"/>
    </row>
    <row r="259" hidden="1" s="38">
      <c r="A259" s="4" t="inlineStr">
        <is>
          <t>179</t>
        </is>
      </c>
      <c r="B259" s="5" t="inlineStr">
        <is>
          <t xml:space="preserve">JULIO RAFAEL FLORES HENRIQUEZ </t>
        </is>
      </c>
      <c r="C259" s="4" t="inlineStr">
        <is>
          <t>12/04/1999</t>
        </is>
      </c>
      <c r="D259" s="5" t="inlineStr">
        <is>
          <t xml:space="preserve">JEFE DE AGENCIA  </t>
        </is>
      </c>
      <c r="E259" s="5" t="inlineStr">
        <is>
          <t xml:space="preserve"> EMPLEADO</t>
        </is>
      </c>
      <c r="F259" s="5" t="inlineStr">
        <is>
          <t xml:space="preserve">AGENCIA COLONIA MEDICA  </t>
        </is>
      </c>
      <c r="G259" s="5" t="inlineStr">
        <is>
          <t>Gerencia de Negocios</t>
        </is>
      </c>
      <c r="H259" s="5" t="n"/>
    </row>
    <row r="260" hidden="1" s="38">
      <c r="A260" s="4" t="inlineStr">
        <is>
          <t>308</t>
        </is>
      </c>
      <c r="B260" s="5" t="inlineStr">
        <is>
          <t xml:space="preserve">JENNIFFER IVETTE MORALES PEREZ </t>
        </is>
      </c>
      <c r="C260" s="4" t="inlineStr">
        <is>
          <t>12/04/2004</t>
        </is>
      </c>
      <c r="D260" s="5" t="inlineStr">
        <is>
          <t>EJECUTIVO DE NEGOCIOS</t>
        </is>
      </c>
      <c r="E260" s="5" t="inlineStr">
        <is>
          <t xml:space="preserve"> EMPLEADO</t>
        </is>
      </c>
      <c r="F260" s="5" t="inlineStr">
        <is>
          <t xml:space="preserve">AGENCIA COLONIA MEDICA  </t>
        </is>
      </c>
      <c r="G260" s="5" t="inlineStr">
        <is>
          <t>Gerencia de Negocios</t>
        </is>
      </c>
      <c r="H260" s="5" t="n"/>
    </row>
    <row r="261" hidden="1" s="38">
      <c r="A261" s="4" t="inlineStr">
        <is>
          <t>412</t>
        </is>
      </c>
      <c r="B261" s="5" t="inlineStr">
        <is>
          <t xml:space="preserve">CARMEN DE JESÚS GONZÁLEZ BLANCO </t>
        </is>
      </c>
      <c r="C261" s="4" t="inlineStr">
        <is>
          <t>17/10/2007</t>
        </is>
      </c>
      <c r="D261" s="5" t="inlineStr">
        <is>
          <t>EJECUTIVA DE SEGUROS</t>
        </is>
      </c>
      <c r="E261" s="5" t="inlineStr">
        <is>
          <t xml:space="preserve"> EMPLEADO</t>
        </is>
      </c>
      <c r="F261" s="5" t="inlineStr">
        <is>
          <t xml:space="preserve">AGENCIA COLONIA MEDICA  </t>
        </is>
      </c>
      <c r="G261" s="5" t="inlineStr">
        <is>
          <t>Gerencia de Negocios</t>
        </is>
      </c>
      <c r="H261" s="5" t="n"/>
    </row>
    <row r="262" hidden="1" s="38">
      <c r="A262" s="4" t="inlineStr">
        <is>
          <t>624</t>
        </is>
      </c>
      <c r="B262" s="5" t="inlineStr">
        <is>
          <t xml:space="preserve">JULIO ENRIQUE  CAMPOS ANDRADE </t>
        </is>
      </c>
      <c r="C262" s="4" t="inlineStr">
        <is>
          <t>09/07/2018</t>
        </is>
      </c>
      <c r="D262" s="5" t="inlineStr">
        <is>
          <t>EJECUTIVO DE NEGOCIOS</t>
        </is>
      </c>
      <c r="E262" s="5" t="inlineStr">
        <is>
          <t xml:space="preserve"> EMPLEADO</t>
        </is>
      </c>
      <c r="F262" s="5" t="inlineStr">
        <is>
          <t xml:space="preserve">AGENCIA COLONIA MEDICA  </t>
        </is>
      </c>
      <c r="G262" s="5" t="inlineStr">
        <is>
          <t>Gerencia de Negocios</t>
        </is>
      </c>
      <c r="H262" s="5" t="n"/>
    </row>
    <row r="263" hidden="1" s="38">
      <c r="A263" s="4" t="inlineStr">
        <is>
          <t>674</t>
        </is>
      </c>
      <c r="B263" s="5" t="inlineStr">
        <is>
          <t xml:space="preserve">ALFREDO ARMANDO RAMOS ESCOBAR </t>
        </is>
      </c>
      <c r="C263" s="4" t="inlineStr">
        <is>
          <t>05/12/2019</t>
        </is>
      </c>
      <c r="D263" s="5" t="inlineStr">
        <is>
          <t>CAJERO</t>
        </is>
      </c>
      <c r="E263" s="5" t="inlineStr">
        <is>
          <t xml:space="preserve"> EMPLEADO</t>
        </is>
      </c>
      <c r="F263" s="5" t="inlineStr">
        <is>
          <t xml:space="preserve">AGENCIA COLONIA MEDICA  </t>
        </is>
      </c>
      <c r="G263" s="5" t="inlineStr">
        <is>
          <t>Gerencia de Negocios</t>
        </is>
      </c>
      <c r="H263" s="5" t="n"/>
    </row>
    <row r="264" hidden="1" s="38">
      <c r="A264" s="4" t="inlineStr">
        <is>
          <t>722</t>
        </is>
      </c>
      <c r="B264" s="5" t="inlineStr">
        <is>
          <t xml:space="preserve">INGRID PAOLA  CORADO HERNANDEZ </t>
        </is>
      </c>
      <c r="C264" s="4" t="inlineStr">
        <is>
          <t>05/07/2021</t>
        </is>
      </c>
      <c r="D264" s="5" t="inlineStr">
        <is>
          <t>CAJERO</t>
        </is>
      </c>
      <c r="E264" s="5" t="inlineStr">
        <is>
          <t xml:space="preserve"> EMPLEADO</t>
        </is>
      </c>
      <c r="F264" s="5" t="inlineStr">
        <is>
          <t xml:space="preserve">AGENCIA COLONIA MEDICA  </t>
        </is>
      </c>
      <c r="G264" s="5" t="inlineStr">
        <is>
          <t>Gerencia de Negocios</t>
        </is>
      </c>
      <c r="H264" s="5" t="n"/>
    </row>
    <row r="265" hidden="1" s="38">
      <c r="A265" s="4" t="inlineStr">
        <is>
          <t>728</t>
        </is>
      </c>
      <c r="B265" s="5" t="inlineStr">
        <is>
          <t xml:space="preserve">DIANA MARISOL BATRES BARAHONA </t>
        </is>
      </c>
      <c r="C265" s="4" t="inlineStr">
        <is>
          <t>16/08/2021</t>
        </is>
      </c>
      <c r="D265" s="5" t="inlineStr">
        <is>
          <t>SUBJEFE DE  AGENCIA</t>
        </is>
      </c>
      <c r="E265" s="5" t="inlineStr">
        <is>
          <t xml:space="preserve"> EMPLEADO</t>
        </is>
      </c>
      <c r="F265" s="5" t="inlineStr">
        <is>
          <t xml:space="preserve">AGENCIA COLONIA MEDICA  </t>
        </is>
      </c>
      <c r="G265" s="5" t="inlineStr">
        <is>
          <t>Gerencia de Negocios</t>
        </is>
      </c>
      <c r="H265" s="5" t="n"/>
    </row>
    <row r="266" hidden="1" s="38">
      <c r="A266" s="4" t="inlineStr">
        <is>
          <t>735</t>
        </is>
      </c>
      <c r="B266" s="5" t="inlineStr">
        <is>
          <t>YHANA MILET  VALLE  HERNANDEZ</t>
        </is>
      </c>
      <c r="C266" s="4" t="inlineStr">
        <is>
          <t>22/11/2021</t>
        </is>
      </c>
      <c r="D266" s="5" t="inlineStr">
        <is>
          <t>CAJERO</t>
        </is>
      </c>
      <c r="E266" s="5" t="inlineStr">
        <is>
          <t xml:space="preserve"> EMPLEADO</t>
        </is>
      </c>
      <c r="F266" s="5" t="inlineStr">
        <is>
          <t xml:space="preserve">AGENCIA COLONIA MEDICA  </t>
        </is>
      </c>
      <c r="G266" s="5" t="inlineStr">
        <is>
          <t>Gerencia de Negocios</t>
        </is>
      </c>
      <c r="H266" s="5" t="n"/>
    </row>
    <row r="267" hidden="1" s="38">
      <c r="A267" s="4" t="inlineStr">
        <is>
          <t>801</t>
        </is>
      </c>
      <c r="B267" s="5" t="inlineStr">
        <is>
          <t xml:space="preserve">ZULMA BEATRIZ RIVAS RIVERA </t>
        </is>
      </c>
      <c r="C267" s="4" t="inlineStr">
        <is>
          <t>16/03/2023</t>
        </is>
      </c>
      <c r="D267" s="5" t="inlineStr">
        <is>
          <t>CAJERO</t>
        </is>
      </c>
      <c r="E267" s="5" t="inlineStr">
        <is>
          <t xml:space="preserve"> EMPLEADO</t>
        </is>
      </c>
      <c r="F267" s="5" t="inlineStr">
        <is>
          <t xml:space="preserve">AGENCIA COLONIA MEDICA  </t>
        </is>
      </c>
      <c r="G267" s="5" t="inlineStr">
        <is>
          <t>Gerencia de Negocios</t>
        </is>
      </c>
      <c r="H267" s="5" t="n"/>
    </row>
    <row r="268" hidden="1" s="38">
      <c r="A268" s="4" t="inlineStr">
        <is>
          <t>855</t>
        </is>
      </c>
      <c r="B268" s="5" t="inlineStr">
        <is>
          <t xml:space="preserve">STEFFANY MARIELOS MIRO HERNANDEZ </t>
        </is>
      </c>
      <c r="C268" s="4" t="inlineStr">
        <is>
          <t>09/02/2024</t>
        </is>
      </c>
      <c r="D268" s="5" t="inlineStr">
        <is>
          <t>CAJERO</t>
        </is>
      </c>
      <c r="E268" s="5" t="inlineStr">
        <is>
          <t xml:space="preserve"> EMPLEADO</t>
        </is>
      </c>
      <c r="F268" s="5" t="inlineStr">
        <is>
          <t xml:space="preserve">AGENCIA COLONIA MEDICA  </t>
        </is>
      </c>
      <c r="G268" s="5" t="inlineStr">
        <is>
          <t>Gerencia de Negocios</t>
        </is>
      </c>
      <c r="H268" s="5" t="n"/>
    </row>
    <row r="269" hidden="1" s="38">
      <c r="A269" s="4" t="inlineStr">
        <is>
          <t>873</t>
        </is>
      </c>
      <c r="B269" s="5" t="inlineStr">
        <is>
          <t xml:space="preserve">FLOR DE MARIA ROSALES SORTO </t>
        </is>
      </c>
      <c r="C269" s="4" t="inlineStr">
        <is>
          <t>13/05/2024</t>
        </is>
      </c>
      <c r="D269" s="5" t="inlineStr">
        <is>
          <t>CAJERO</t>
        </is>
      </c>
      <c r="E269" s="5" t="inlineStr">
        <is>
          <t xml:space="preserve"> EMPLEADO</t>
        </is>
      </c>
      <c r="F269" s="5" t="inlineStr">
        <is>
          <t xml:space="preserve">AGENCIA COLONIA MEDICA  </t>
        </is>
      </c>
      <c r="G269" s="5" t="inlineStr">
        <is>
          <t>Gerencia de Negocios</t>
        </is>
      </c>
      <c r="H269" s="5" t="n"/>
    </row>
    <row r="270" hidden="1" s="38">
      <c r="A270" s="4" t="inlineStr">
        <is>
          <t>891</t>
        </is>
      </c>
      <c r="B270" s="5" t="inlineStr">
        <is>
          <t xml:space="preserve">YESENIA LISSETH BARAHONA VALLE </t>
        </is>
      </c>
      <c r="C270" s="4" t="inlineStr">
        <is>
          <t>18/09/2024</t>
        </is>
      </c>
      <c r="D270" s="5" t="inlineStr">
        <is>
          <t>AUXILIAR DE ATENCION AL ASOCIADO EN AGENCIA</t>
        </is>
      </c>
      <c r="E270" s="5" t="inlineStr">
        <is>
          <t xml:space="preserve"> EMPLEADO</t>
        </is>
      </c>
      <c r="F270" s="5" t="inlineStr">
        <is>
          <t xml:space="preserve">AGENCIA COLONIA MEDICA  </t>
        </is>
      </c>
      <c r="G270" s="5" t="inlineStr">
        <is>
          <t>Gerencia de Negocios</t>
        </is>
      </c>
      <c r="H270" s="5" t="n"/>
    </row>
    <row r="271" hidden="1" s="38">
      <c r="A271" s="4" t="inlineStr">
        <is>
          <t>913</t>
        </is>
      </c>
      <c r="B271" s="5" t="inlineStr">
        <is>
          <t xml:space="preserve">FLOR DEL CARMEN GONZALEZ HERNANDEZ </t>
        </is>
      </c>
      <c r="C271" s="4" t="inlineStr">
        <is>
          <t>10/03/2025</t>
        </is>
      </c>
      <c r="D271" s="5" t="inlineStr">
        <is>
          <t>SERVICIOS VARIOS</t>
        </is>
      </c>
      <c r="E271" s="5" t="inlineStr">
        <is>
          <t xml:space="preserve"> EMPLEADO</t>
        </is>
      </c>
      <c r="F271" s="5" t="inlineStr">
        <is>
          <t xml:space="preserve">AGENCIA COLONIA MEDICA  </t>
        </is>
      </c>
      <c r="G271" s="5" t="inlineStr">
        <is>
          <t>Gerencia de Negocios</t>
        </is>
      </c>
      <c r="H271" s="5" t="n"/>
    </row>
    <row r="272" hidden="1" s="38">
      <c r="A272" s="4" t="inlineStr">
        <is>
          <t>933</t>
        </is>
      </c>
      <c r="B272" s="5" t="inlineStr">
        <is>
          <t xml:space="preserve">JACQUELINE GUADALUPE CEA ALVARADO </t>
        </is>
      </c>
      <c r="C272" s="4" t="inlineStr">
        <is>
          <t>08/07/2025</t>
        </is>
      </c>
      <c r="D272" s="5" t="inlineStr">
        <is>
          <t>EJECUTIVO DE NEGOCIOS</t>
        </is>
      </c>
      <c r="E272" s="5" t="inlineStr">
        <is>
          <t xml:space="preserve"> EMPLEADO</t>
        </is>
      </c>
      <c r="F272" s="5" t="inlineStr">
        <is>
          <t xml:space="preserve">AGENCIA COLONIA MEDICA  </t>
        </is>
      </c>
      <c r="G272" s="5" t="inlineStr">
        <is>
          <t>Gerencia de Negocios</t>
        </is>
      </c>
      <c r="H272" s="5" t="n"/>
    </row>
    <row r="273" hidden="1" s="38">
      <c r="A273" s="4" t="inlineStr">
        <is>
          <t>59</t>
        </is>
      </c>
      <c r="B273" s="5" t="inlineStr">
        <is>
          <t xml:space="preserve">ZOILA AYDEE LARIOS  </t>
        </is>
      </c>
      <c r="C273" s="4" t="inlineStr">
        <is>
          <t>15/01/1996</t>
        </is>
      </c>
      <c r="D273" s="5" t="inlineStr">
        <is>
          <t>SERVICIOS VARIOS</t>
        </is>
      </c>
      <c r="E273" s="5" t="inlineStr">
        <is>
          <t xml:space="preserve"> EMPLEADO</t>
        </is>
      </c>
      <c r="F273" s="5" t="inlineStr">
        <is>
          <t xml:space="preserve">AGENCIA PLAZA MUNDO  </t>
        </is>
      </c>
      <c r="G273" s="5" t="inlineStr">
        <is>
          <t>Gerencia de Negocios</t>
        </is>
      </c>
      <c r="H273" s="5" t="n"/>
    </row>
    <row r="274" hidden="1" s="38">
      <c r="A274" s="4" t="inlineStr">
        <is>
          <t>331</t>
        </is>
      </c>
      <c r="B274" s="5" t="inlineStr">
        <is>
          <t xml:space="preserve">NORMA ARACELY GUILLEN </t>
        </is>
      </c>
      <c r="C274" s="4" t="inlineStr">
        <is>
          <t>01/03/2005</t>
        </is>
      </c>
      <c r="D274" s="5" t="inlineStr">
        <is>
          <t>SUBJEFE DE  AGENCIA</t>
        </is>
      </c>
      <c r="E274" s="5" t="inlineStr">
        <is>
          <t xml:space="preserve"> EMPLEADO</t>
        </is>
      </c>
      <c r="F274" s="5" t="inlineStr">
        <is>
          <t xml:space="preserve">AGENCIA PLAZA MUNDO  </t>
        </is>
      </c>
      <c r="G274" s="5" t="inlineStr">
        <is>
          <t>Gerencia de Negocios</t>
        </is>
      </c>
      <c r="H274" s="5" t="n"/>
    </row>
    <row r="275" hidden="1" s="38">
      <c r="A275" s="4" t="inlineStr">
        <is>
          <t>535</t>
        </is>
      </c>
      <c r="B275" s="5" t="inlineStr">
        <is>
          <t xml:space="preserve">ROSARIO DEL CARMEN PEREZ LOPEZ </t>
        </is>
      </c>
      <c r="C275" s="4" t="inlineStr">
        <is>
          <t>16/07/2014</t>
        </is>
      </c>
      <c r="D275" s="5" t="inlineStr">
        <is>
          <t xml:space="preserve">JEFE DE AGENCIA  </t>
        </is>
      </c>
      <c r="E275" s="5" t="inlineStr">
        <is>
          <t xml:space="preserve"> EMPLEADO</t>
        </is>
      </c>
      <c r="F275" s="5" t="inlineStr">
        <is>
          <t xml:space="preserve">AGENCIA PLAZA MUNDO  </t>
        </is>
      </c>
      <c r="G275" s="5" t="inlineStr">
        <is>
          <t>Gerencia de Negocios</t>
        </is>
      </c>
      <c r="H275" s="5" t="n"/>
    </row>
    <row r="276" hidden="1" s="38">
      <c r="A276" s="4" t="inlineStr">
        <is>
          <t>616</t>
        </is>
      </c>
      <c r="B276" s="5" t="inlineStr">
        <is>
          <t xml:space="preserve">GABRIELA JEANNETTE BOLAÑOS HERRERA </t>
        </is>
      </c>
      <c r="C276" s="4" t="inlineStr">
        <is>
          <t>14/05/2018</t>
        </is>
      </c>
      <c r="D276" s="5" t="inlineStr">
        <is>
          <t>EJECUTIVA DE SEGUROS</t>
        </is>
      </c>
      <c r="E276" s="5" t="inlineStr">
        <is>
          <t xml:space="preserve"> EMPLEADO</t>
        </is>
      </c>
      <c r="F276" s="5" t="inlineStr">
        <is>
          <t xml:space="preserve">AGENCIA PLAZA MUNDO  </t>
        </is>
      </c>
      <c r="G276" s="5" t="inlineStr">
        <is>
          <t>Gerencia de Negocios</t>
        </is>
      </c>
      <c r="H276" s="5" t="n"/>
    </row>
    <row r="277" hidden="1" s="38">
      <c r="A277" s="4" t="inlineStr">
        <is>
          <t>675</t>
        </is>
      </c>
      <c r="B277" s="5" t="inlineStr">
        <is>
          <t xml:space="preserve">NANCY CAROLINA FUENTES SORTO </t>
        </is>
      </c>
      <c r="C277" s="4" t="inlineStr">
        <is>
          <t>22/01/2020</t>
        </is>
      </c>
      <c r="D277" s="5" t="inlineStr">
        <is>
          <t>CAJERO</t>
        </is>
      </c>
      <c r="E277" s="5" t="inlineStr">
        <is>
          <t xml:space="preserve"> EMPLEADO</t>
        </is>
      </c>
      <c r="F277" s="5" t="inlineStr">
        <is>
          <t xml:space="preserve">AGENCIA PLAZA MUNDO  </t>
        </is>
      </c>
      <c r="G277" s="5" t="inlineStr">
        <is>
          <t>Gerencia de Negocios</t>
        </is>
      </c>
      <c r="H277" s="5" t="n"/>
    </row>
    <row r="278" hidden="1" s="38">
      <c r="A278" s="4" t="inlineStr">
        <is>
          <t>748</t>
        </is>
      </c>
      <c r="B278" s="5" t="inlineStr">
        <is>
          <t xml:space="preserve">WALTER ALBERTO BARAHONA DIAZ </t>
        </is>
      </c>
      <c r="C278" s="4" t="inlineStr">
        <is>
          <t>16/05/2022</t>
        </is>
      </c>
      <c r="D278" s="5" t="inlineStr">
        <is>
          <t>CAJERO</t>
        </is>
      </c>
      <c r="E278" s="5" t="inlineStr">
        <is>
          <t xml:space="preserve"> EMPLEADO</t>
        </is>
      </c>
      <c r="F278" s="5" t="inlineStr">
        <is>
          <t xml:space="preserve">AGENCIA PLAZA MUNDO  </t>
        </is>
      </c>
      <c r="G278" s="5" t="inlineStr">
        <is>
          <t>Gerencia de Negocios</t>
        </is>
      </c>
      <c r="H278" s="5" t="n"/>
    </row>
    <row r="279" hidden="1" s="38">
      <c r="A279" s="4" t="inlineStr">
        <is>
          <t>876</t>
        </is>
      </c>
      <c r="B279" s="5" t="inlineStr">
        <is>
          <t xml:space="preserve">PAOLA JEANNETTE ROMERO HERNANDEZ  </t>
        </is>
      </c>
      <c r="C279" s="4" t="inlineStr">
        <is>
          <t>10/06/2024</t>
        </is>
      </c>
      <c r="D279" s="5" t="inlineStr">
        <is>
          <t>CAJERO</t>
        </is>
      </c>
      <c r="E279" s="5" t="inlineStr">
        <is>
          <t xml:space="preserve"> EMPLEADO</t>
        </is>
      </c>
      <c r="F279" s="5" t="inlineStr">
        <is>
          <t xml:space="preserve">AGENCIA PLAZA MUNDO  </t>
        </is>
      </c>
      <c r="G279" s="5" t="inlineStr">
        <is>
          <t>Gerencia de Negocios</t>
        </is>
      </c>
      <c r="H279" s="5" t="n"/>
    </row>
    <row r="280" hidden="1" s="38">
      <c r="A280" s="4" t="inlineStr">
        <is>
          <t>955</t>
        </is>
      </c>
      <c r="B280" s="5" t="inlineStr">
        <is>
          <t xml:space="preserve">ERIKA IVETH MANCIA HERNANDEZ </t>
        </is>
      </c>
      <c r="C280" s="4" t="inlineStr">
        <is>
          <t>05/01/2026</t>
        </is>
      </c>
      <c r="D280" s="5" t="inlineStr">
        <is>
          <t>CAJERO</t>
        </is>
      </c>
      <c r="E280" s="5" t="inlineStr">
        <is>
          <t xml:space="preserve"> EMPLEADO</t>
        </is>
      </c>
      <c r="F280" s="5" t="inlineStr">
        <is>
          <t xml:space="preserve">AGENCIA PLAZA MUNDO  </t>
        </is>
      </c>
      <c r="G280" s="5" t="inlineStr">
        <is>
          <t>Gerencia de Negocios</t>
        </is>
      </c>
      <c r="H280" s="5" t="n"/>
    </row>
    <row r="281" hidden="1" s="38">
      <c r="A281" s="4" t="inlineStr">
        <is>
          <t>456</t>
        </is>
      </c>
      <c r="B281" s="5" t="inlineStr">
        <is>
          <t xml:space="preserve">LUCIANO DE JESUS SARAVIA BELTRAN </t>
        </is>
      </c>
      <c r="C281" s="4" t="inlineStr">
        <is>
          <t>15/02/2010</t>
        </is>
      </c>
      <c r="D281" s="5" t="inlineStr">
        <is>
          <t>MENSAJERO</t>
        </is>
      </c>
      <c r="E281" s="5" t="inlineStr">
        <is>
          <t xml:space="preserve"> EMPLEADO</t>
        </is>
      </c>
      <c r="F281" s="5" t="inlineStr">
        <is>
          <t xml:space="preserve">AGENCIA USULUTAN  </t>
        </is>
      </c>
      <c r="G281" s="5" t="inlineStr">
        <is>
          <t>Gerencia de Negocios</t>
        </is>
      </c>
      <c r="H281" s="5" t="n"/>
    </row>
    <row r="282" hidden="1" s="38">
      <c r="A282" s="4" t="inlineStr">
        <is>
          <t>903</t>
        </is>
      </c>
      <c r="B282" s="5" t="inlineStr">
        <is>
          <t xml:space="preserve">WENDY YAMILETH  MARQUEZ VASQUEZ </t>
        </is>
      </c>
      <c r="C282" s="4" t="inlineStr">
        <is>
          <t>24/10/2024</t>
        </is>
      </c>
      <c r="D282" s="5" t="inlineStr">
        <is>
          <t xml:space="preserve">JEFE DE AGENCIA  </t>
        </is>
      </c>
      <c r="E282" s="5" t="inlineStr">
        <is>
          <t xml:space="preserve"> EMPLEADO</t>
        </is>
      </c>
      <c r="F282" s="5" t="inlineStr">
        <is>
          <t xml:space="preserve">AGENCIA USULUTAN  </t>
        </is>
      </c>
      <c r="G282" s="5" t="inlineStr">
        <is>
          <t>Gerencia de Negocios</t>
        </is>
      </c>
      <c r="H282" s="5" t="n"/>
    </row>
    <row r="283" hidden="1" s="38">
      <c r="A283" s="4" t="inlineStr">
        <is>
          <t>912</t>
        </is>
      </c>
      <c r="B283" s="5" t="inlineStr">
        <is>
          <t xml:space="preserve">HECTOR MAURICIO GONZÁLEZ VÁSQUEZ </t>
        </is>
      </c>
      <c r="C283" s="4" t="inlineStr">
        <is>
          <t>10/03/2025</t>
        </is>
      </c>
      <c r="D283" s="5" t="inlineStr">
        <is>
          <t>EJECUTIVO DE SEGUROS</t>
        </is>
      </c>
      <c r="E283" s="5" t="inlineStr">
        <is>
          <t xml:space="preserve"> EMPLEADO</t>
        </is>
      </c>
      <c r="F283" s="5" t="inlineStr">
        <is>
          <t xml:space="preserve">AGENCIA USULUTAN  </t>
        </is>
      </c>
      <c r="G283" s="5" t="inlineStr">
        <is>
          <t>Gerencia de Negocios</t>
        </is>
      </c>
      <c r="H283" s="5" t="n"/>
    </row>
    <row r="284" hidden="1" s="38">
      <c r="A284" s="4" t="inlineStr">
        <is>
          <t>917</t>
        </is>
      </c>
      <c r="B284" s="5" t="inlineStr">
        <is>
          <t xml:space="preserve">LUIS MANUEL VALENCIA GUERRERO </t>
        </is>
      </c>
      <c r="C284" s="4" t="inlineStr">
        <is>
          <t>10/04/2025</t>
        </is>
      </c>
      <c r="D284" s="5" t="inlineStr">
        <is>
          <t>SUBJEFE DE  AGENCIA</t>
        </is>
      </c>
      <c r="E284" s="5" t="inlineStr">
        <is>
          <t xml:space="preserve"> EMPLEADO</t>
        </is>
      </c>
      <c r="F284" s="5" t="inlineStr">
        <is>
          <t xml:space="preserve">AGENCIA USULUTAN  </t>
        </is>
      </c>
      <c r="G284" s="5" t="inlineStr">
        <is>
          <t>Gerencia de Negocios</t>
        </is>
      </c>
      <c r="H284" s="5" t="n"/>
    </row>
    <row r="285" hidden="1" s="38">
      <c r="A285" s="4" t="inlineStr">
        <is>
          <t>951</t>
        </is>
      </c>
      <c r="B285" s="5" t="inlineStr">
        <is>
          <t xml:space="preserve">MELVIN ELISEO HERNANDEZ MACHADO </t>
        </is>
      </c>
      <c r="C285" s="4" t="inlineStr">
        <is>
          <t>16/12/2025</t>
        </is>
      </c>
      <c r="D285" s="5" t="inlineStr">
        <is>
          <t>EJECUTIVO DE NEGOCIOS</t>
        </is>
      </c>
      <c r="E285" s="5" t="inlineStr">
        <is>
          <t xml:space="preserve"> EMPLEADO</t>
        </is>
      </c>
      <c r="F285" s="5" t="inlineStr">
        <is>
          <t xml:space="preserve">AGENCIA USULUTAN  </t>
        </is>
      </c>
      <c r="G285" s="5" t="inlineStr">
        <is>
          <t>Gerencia de Negocios</t>
        </is>
      </c>
      <c r="H285" s="5" t="n"/>
    </row>
    <row r="286" hidden="1" s="38">
      <c r="A286" s="4" t="inlineStr">
        <is>
          <t>961</t>
        </is>
      </c>
      <c r="B286" s="5" t="inlineStr">
        <is>
          <t>FATIMA LISSETTE HERNANDEZ  MEJIA</t>
        </is>
      </c>
      <c r="C286" s="4" t="inlineStr">
        <is>
          <t>16/03/2026</t>
        </is>
      </c>
      <c r="D286" s="5" t="inlineStr">
        <is>
          <t>CAJERO</t>
        </is>
      </c>
      <c r="E286" s="5" t="inlineStr">
        <is>
          <t xml:space="preserve"> EMPLEADO</t>
        </is>
      </c>
      <c r="F286" s="5" t="inlineStr">
        <is>
          <t xml:space="preserve">AGENCIA USULUTAN  </t>
        </is>
      </c>
      <c r="G286" s="5" t="inlineStr">
        <is>
          <t>Gerencia de Negocios</t>
        </is>
      </c>
      <c r="H286" s="5" t="n"/>
    </row>
    <row r="287" hidden="1" s="38">
      <c r="A287" s="4" t="inlineStr">
        <is>
          <t>970</t>
        </is>
      </c>
      <c r="B287" s="5" t="inlineStr">
        <is>
          <t xml:space="preserve">EDUARDO JOSE GAMEZ VILLATORO </t>
        </is>
      </c>
      <c r="C287" s="4" t="inlineStr">
        <is>
          <t>01/06/2026</t>
        </is>
      </c>
      <c r="D287" s="5" t="inlineStr">
        <is>
          <t>CAJERO</t>
        </is>
      </c>
      <c r="E287" s="5" t="inlineStr">
        <is>
          <t xml:space="preserve"> EMPLEADO</t>
        </is>
      </c>
      <c r="F287" s="5" t="inlineStr">
        <is>
          <t xml:space="preserve">AGENCIA USULUTAN  </t>
        </is>
      </c>
      <c r="G287" s="5" t="inlineStr">
        <is>
          <t>Gerencia de Negocios</t>
        </is>
      </c>
      <c r="H287" s="5" t="n"/>
    </row>
    <row r="288" hidden="1" s="38">
      <c r="A288" s="4" t="inlineStr">
        <is>
          <t>442</t>
        </is>
      </c>
      <c r="B288" s="5" t="inlineStr">
        <is>
          <t xml:space="preserve">JUAN JOSE CAÑAS COMAYAGUA </t>
        </is>
      </c>
      <c r="C288" s="4" t="inlineStr">
        <is>
          <t>22/10/2008</t>
        </is>
      </c>
      <c r="D288" s="5" t="inlineStr">
        <is>
          <t>JEFE DE DEPARTAMENTO LEGAL</t>
        </is>
      </c>
      <c r="E288" s="5" t="inlineStr">
        <is>
          <t xml:space="preserve"> EMPLEADO</t>
        </is>
      </c>
      <c r="F288" s="5" t="inlineStr">
        <is>
          <t>DEPARTAMENTO LEGAL</t>
        </is>
      </c>
      <c r="G288" s="5" t="inlineStr">
        <is>
          <t>Gerencia Legal y Cumplimiento Normativo</t>
        </is>
      </c>
      <c r="H288" s="5" t="n"/>
    </row>
    <row r="289" hidden="1" s="38">
      <c r="A289" s="4" t="inlineStr">
        <is>
          <t>592</t>
        </is>
      </c>
      <c r="B289" s="5" t="inlineStr">
        <is>
          <t xml:space="preserve">CARLOS RENE CASTILLO GAMEZ </t>
        </is>
      </c>
      <c r="C289" s="4" t="inlineStr">
        <is>
          <t>16/05/2017</t>
        </is>
      </c>
      <c r="D289" s="5" t="inlineStr">
        <is>
          <t>ASISTENTE TECNICO LEGAL</t>
        </is>
      </c>
      <c r="E289" s="5" t="inlineStr">
        <is>
          <t xml:space="preserve"> EMPLEADO</t>
        </is>
      </c>
      <c r="F289" s="5" t="inlineStr">
        <is>
          <t>DEPARTAMENTO LEGAL</t>
        </is>
      </c>
      <c r="G289" s="5" t="inlineStr">
        <is>
          <t>Gerencia Legal y Cumplimiento Normativo</t>
        </is>
      </c>
      <c r="H289" s="5" t="n"/>
    </row>
    <row r="290" hidden="1" s="38">
      <c r="A290" s="4" t="inlineStr">
        <is>
          <t>814</t>
        </is>
      </c>
      <c r="B290" s="5" t="inlineStr">
        <is>
          <t xml:space="preserve">ANDREA RAQUEL MONTOYA ALARCON </t>
        </is>
      </c>
      <c r="C290" s="4" t="inlineStr">
        <is>
          <t>19/12/2023</t>
        </is>
      </c>
      <c r="D290" s="5" t="inlineStr">
        <is>
          <t>AUXILIAR JURIDICO DE ESCRITURACION</t>
        </is>
      </c>
      <c r="E290" s="5" t="inlineStr">
        <is>
          <t xml:space="preserve"> EMPLEADO</t>
        </is>
      </c>
      <c r="F290" s="5" t="inlineStr">
        <is>
          <t>DEPARTAMENTO LEGAL</t>
        </is>
      </c>
      <c r="G290" s="5" t="inlineStr">
        <is>
          <t>Gerencia Legal y Cumplimiento Normativo</t>
        </is>
      </c>
      <c r="H290" s="5" t="n"/>
    </row>
    <row r="291" hidden="1" s="38">
      <c r="A291" s="4" t="inlineStr">
        <is>
          <t>831</t>
        </is>
      </c>
      <c r="B291" s="5" t="inlineStr">
        <is>
          <t xml:space="preserve">NICOLLE ALEXANDRA MARINERO GALLARDO </t>
        </is>
      </c>
      <c r="C291" s="4" t="inlineStr">
        <is>
          <t>18/01/2024</t>
        </is>
      </c>
      <c r="D291" s="5" t="inlineStr">
        <is>
          <t>AUXILIAR JURIDICO NOTARIAL</t>
        </is>
      </c>
      <c r="E291" s="5" t="inlineStr">
        <is>
          <t xml:space="preserve"> EMPLEADO</t>
        </is>
      </c>
      <c r="F291" s="5" t="inlineStr">
        <is>
          <t>DEPARTAMENTO LEGAL</t>
        </is>
      </c>
      <c r="G291" s="5" t="inlineStr">
        <is>
          <t>Gerencia Legal y Cumplimiento Normativo</t>
        </is>
      </c>
      <c r="H291" s="5" t="n"/>
    </row>
    <row r="292" hidden="1" s="38">
      <c r="A292" s="4" t="inlineStr">
        <is>
          <t>843</t>
        </is>
      </c>
      <c r="B292" s="5" t="inlineStr">
        <is>
          <t xml:space="preserve">DANIELA MARIA FUENTES MEDINA </t>
        </is>
      </c>
      <c r="C292" s="4" t="inlineStr">
        <is>
          <t>01/01/2025</t>
        </is>
      </c>
      <c r="D292" s="5" t="inlineStr">
        <is>
          <t>AUXILIAR JURIDICO DE CONTRATACION</t>
        </is>
      </c>
      <c r="E292" s="5" t="inlineStr">
        <is>
          <t xml:space="preserve"> EMPLEADO</t>
        </is>
      </c>
      <c r="F292" s="5" t="inlineStr">
        <is>
          <t>DEPARTAMENTO LEGAL</t>
        </is>
      </c>
      <c r="G292" s="5" t="inlineStr">
        <is>
          <t>Gerencia Legal y Cumplimiento Normativo</t>
        </is>
      </c>
      <c r="H292" s="5" t="n"/>
    </row>
    <row r="293" hidden="1" s="38">
      <c r="A293" s="4" t="inlineStr">
        <is>
          <t>893</t>
        </is>
      </c>
      <c r="B293" s="5" t="inlineStr">
        <is>
          <t xml:space="preserve">ALEJANDRA MARIA GONZALEZ BENAVIDES </t>
        </is>
      </c>
      <c r="C293" s="4" t="inlineStr">
        <is>
          <t>01/01/2025</t>
        </is>
      </c>
      <c r="D293" s="5" t="inlineStr">
        <is>
          <t>AUXILIAR JURIDICO JUDICIAL</t>
        </is>
      </c>
      <c r="E293" s="5" t="inlineStr">
        <is>
          <t xml:space="preserve"> EMPLEADO</t>
        </is>
      </c>
      <c r="F293" s="5" t="inlineStr">
        <is>
          <t>DEPARTAMENTO LEGAL</t>
        </is>
      </c>
      <c r="G293" s="5" t="inlineStr">
        <is>
          <t>Gerencia Legal y Cumplimiento Normativo</t>
        </is>
      </c>
      <c r="H293" s="5" t="n"/>
    </row>
    <row r="294" hidden="1" s="38">
      <c r="A294" s="4" t="inlineStr">
        <is>
          <t>905</t>
        </is>
      </c>
      <c r="B294" s="5" t="inlineStr">
        <is>
          <t xml:space="preserve">CHRISTIAN ENRIQUE CAMPOS PRIVADO </t>
        </is>
      </c>
      <c r="C294" s="4" t="inlineStr">
        <is>
          <t>02/12/2024</t>
        </is>
      </c>
      <c r="D294" s="5" t="inlineStr">
        <is>
          <t>ASISTENTE TECNICO LEGAL</t>
        </is>
      </c>
      <c r="E294" s="5" t="inlineStr">
        <is>
          <t xml:space="preserve"> EMPLEADO</t>
        </is>
      </c>
      <c r="F294" s="5" t="inlineStr">
        <is>
          <t>DEPARTAMENTO LEGAL</t>
        </is>
      </c>
      <c r="G294" s="5" t="inlineStr">
        <is>
          <t>Gerencia Legal y Cumplimiento Normativo</t>
        </is>
      </c>
      <c r="H294" s="5" t="n"/>
    </row>
    <row r="295" hidden="1" s="38">
      <c r="A295" s="4" t="inlineStr">
        <is>
          <t>929</t>
        </is>
      </c>
      <c r="B295" s="5" t="inlineStr">
        <is>
          <t xml:space="preserve">GABRIELA LOURDES AREVALO SANCHEZ </t>
        </is>
      </c>
      <c r="C295" s="4" t="inlineStr">
        <is>
          <t>18/06/2025</t>
        </is>
      </c>
      <c r="D295" s="5" t="inlineStr">
        <is>
          <t>AUXILIAR JURIDICO DE CONTRATACION</t>
        </is>
      </c>
      <c r="E295" s="5" t="inlineStr">
        <is>
          <t xml:space="preserve"> EMPLEADO</t>
        </is>
      </c>
      <c r="F295" s="5" t="inlineStr">
        <is>
          <t>DEPARTAMENTO LEGAL</t>
        </is>
      </c>
      <c r="G295" s="5" t="inlineStr">
        <is>
          <t>Gerencia Legal y Cumplimiento Normativo</t>
        </is>
      </c>
      <c r="H295" s="5" t="n"/>
    </row>
    <row r="296" hidden="1" s="38">
      <c r="A296" s="4" t="inlineStr">
        <is>
          <t>53</t>
        </is>
      </c>
      <c r="B296" s="5" t="inlineStr">
        <is>
          <t>CLAUDIA MARIA GIMENEZ PEREZ</t>
        </is>
      </c>
      <c r="C296" s="36" t="n">
        <v>34848</v>
      </c>
      <c r="D296" s="5" t="inlineStr">
        <is>
          <t>ASISTENTE DEL CONSEJO DE ADMINISTRACION</t>
        </is>
      </c>
      <c r="E296" s="5" t="inlineStr">
        <is>
          <t xml:space="preserve"> EMPLEADO</t>
        </is>
      </c>
      <c r="F296" s="5" t="inlineStr">
        <is>
          <t>CONSEJO DE ADMINISTRACION</t>
        </is>
      </c>
      <c r="G296" s="5" t="inlineStr">
        <is>
          <t>Consejo de Administración</t>
        </is>
      </c>
      <c r="H296" s="5" t="n"/>
    </row>
    <row r="297" hidden="1" s="38">
      <c r="A297" s="4" t="inlineStr">
        <is>
          <t>986</t>
        </is>
      </c>
      <c r="B297" s="5" t="inlineStr">
        <is>
          <t>JENNIFER ROXANA AYALA AYALA</t>
        </is>
      </c>
      <c r="C297" s="36" t="n">
        <v>46303</v>
      </c>
      <c r="D297" s="5" t="inlineStr">
        <is>
          <t>ASISTENTE TECNICO DEL FONDO DE SOLIDARIDAD</t>
        </is>
      </c>
      <c r="E297" s="5" t="inlineStr">
        <is>
          <t xml:space="preserve"> EMPLEADO</t>
        </is>
      </c>
      <c r="F297" s="5" t="inlineStr">
        <is>
          <t>DEPARTAMENTO DE ATENCION A ASOCIADO Y CLIENTE</t>
        </is>
      </c>
      <c r="G297" s="5" t="inlineStr">
        <is>
          <t>Gerencia de Negocios</t>
        </is>
      </c>
      <c r="H297" s="5" t="n"/>
    </row>
    <row r="298" hidden="1" s="38">
      <c r="A298" s="25" t="n"/>
      <c r="B298" s="5" t="n"/>
      <c r="C298" s="4" t="n"/>
      <c r="D298" s="5" t="n"/>
      <c r="E298" s="5" t="n"/>
      <c r="F298" s="5" t="n"/>
      <c r="G298" s="5" t="n"/>
      <c r="H298" s="5" t="n"/>
    </row>
    <row r="299" hidden="1" s="38">
      <c r="A299" s="25" t="n"/>
      <c r="B299" s="5" t="n"/>
      <c r="C299" s="4" t="n"/>
      <c r="D299" s="5" t="n"/>
      <c r="E299" s="5" t="n"/>
      <c r="F299" s="5" t="n"/>
      <c r="G299" s="5" t="n"/>
      <c r="H299" s="5" t="n"/>
    </row>
    <row r="300" hidden="1" s="38">
      <c r="A300" s="25" t="n"/>
      <c r="B300" s="5" t="n"/>
      <c r="C300" s="4" t="n"/>
      <c r="D300" s="5" t="n"/>
      <c r="E300" s="5" t="n"/>
      <c r="F300" s="5" t="n"/>
      <c r="G300" s="5" t="n"/>
      <c r="H300" s="5" t="n"/>
    </row>
    <row r="301" hidden="1" s="38">
      <c r="A301" s="25" t="n"/>
      <c r="B301" s="5" t="n"/>
      <c r="C301" s="4" t="n"/>
      <c r="D301" s="5" t="n"/>
      <c r="E301" s="5" t="n"/>
      <c r="F301" s="5" t="n"/>
      <c r="G301" s="5" t="n"/>
      <c r="H301" s="5" t="n"/>
    </row>
    <row r="302" hidden="1" s="38">
      <c r="A302" s="25" t="n"/>
      <c r="B302" s="5" t="n"/>
      <c r="C302" s="4" t="n"/>
      <c r="D302" s="5" t="n"/>
      <c r="E302" s="5" t="n"/>
      <c r="F302" s="5" t="n"/>
      <c r="G302" s="5" t="n"/>
      <c r="H302" s="5" t="n"/>
    </row>
    <row r="303" hidden="1" s="38">
      <c r="A303" s="25" t="n"/>
      <c r="B303" s="5" t="n"/>
      <c r="C303" s="4" t="n"/>
      <c r="D303" s="5" t="n"/>
      <c r="E303" s="5" t="n"/>
      <c r="F303" s="5" t="n"/>
      <c r="G303" s="5" t="n"/>
      <c r="H303" s="5" t="n"/>
    </row>
    <row r="304" hidden="1" s="38">
      <c r="A304" s="25" t="n"/>
      <c r="B304" s="5" t="n"/>
      <c r="C304" s="4" t="n"/>
      <c r="D304" s="5" t="n"/>
      <c r="E304" s="5" t="n"/>
      <c r="F304" s="5" t="n"/>
      <c r="G304" s="5" t="n"/>
      <c r="H304" s="5" t="n"/>
    </row>
    <row r="305" hidden="1" s="38">
      <c r="A305" s="25" t="n"/>
      <c r="B305" s="5" t="n"/>
      <c r="C305" s="4" t="n"/>
      <c r="D305" s="5" t="n"/>
      <c r="E305" s="5" t="n"/>
      <c r="F305" s="5" t="n"/>
      <c r="G305" s="5" t="n"/>
      <c r="H305" s="5" t="n"/>
    </row>
    <row r="306" hidden="1" s="38">
      <c r="A306" s="25" t="n"/>
      <c r="B306" s="5" t="n"/>
      <c r="C306" s="4" t="n"/>
      <c r="D306" s="5" t="n"/>
      <c r="E306" s="5" t="n"/>
      <c r="F306" s="5" t="n"/>
      <c r="G306" s="5" t="n"/>
      <c r="H306" s="5" t="n"/>
    </row>
    <row r="307" hidden="1" s="38">
      <c r="A307" s="25" t="n"/>
      <c r="B307" s="5" t="n"/>
      <c r="C307" s="4" t="n"/>
      <c r="D307" s="5" t="n"/>
      <c r="E307" s="5" t="n"/>
      <c r="F307" s="5" t="n"/>
      <c r="G307" s="5" t="n"/>
      <c r="H307" s="5" t="n"/>
    </row>
    <row r="308" hidden="1" s="38">
      <c r="A308" s="25" t="n"/>
      <c r="B308" s="5" t="n"/>
      <c r="C308" s="4" t="n"/>
      <c r="D308" s="5" t="n"/>
      <c r="E308" s="5" t="n"/>
      <c r="F308" s="5" t="n"/>
      <c r="G308" s="5" t="n"/>
      <c r="H308" s="5" t="n"/>
    </row>
    <row r="309" hidden="1" s="38">
      <c r="A309" s="25" t="n"/>
      <c r="B309" s="5" t="n"/>
      <c r="C309" s="4" t="n"/>
      <c r="D309" s="5" t="n"/>
      <c r="E309" s="5" t="n"/>
      <c r="F309" s="5" t="n"/>
      <c r="G309" s="5" t="n"/>
      <c r="H309" s="5" t="n"/>
    </row>
    <row r="310" hidden="1" s="38">
      <c r="A310" s="25" t="n"/>
      <c r="B310" s="5" t="n"/>
      <c r="C310" s="4" t="n"/>
      <c r="D310" s="5" t="n"/>
      <c r="E310" s="5" t="n"/>
      <c r="F310" s="5" t="n"/>
      <c r="G310" s="5" t="n"/>
      <c r="H310" s="5" t="n"/>
    </row>
    <row r="311" hidden="1" s="38">
      <c r="A311" s="25" t="n"/>
      <c r="B311" s="5" t="n"/>
      <c r="C311" s="4" t="n"/>
      <c r="D311" s="5" t="n"/>
      <c r="E311" s="5" t="n"/>
      <c r="F311" s="5" t="n"/>
      <c r="G311" s="5" t="n"/>
      <c r="H311" s="5" t="n"/>
    </row>
    <row r="312" hidden="1" s="38">
      <c r="A312" s="25" t="n"/>
      <c r="B312" s="5" t="n"/>
      <c r="C312" s="4" t="n"/>
      <c r="D312" s="5" t="n"/>
      <c r="E312" s="5" t="n"/>
      <c r="F312" s="5" t="n"/>
      <c r="G312" s="5" t="n"/>
      <c r="H312" s="5" t="n"/>
    </row>
    <row r="313" hidden="1" s="38">
      <c r="A313" s="25" t="n"/>
      <c r="B313" s="5" t="n"/>
      <c r="C313" s="4" t="n"/>
      <c r="D313" s="5" t="n"/>
      <c r="E313" s="5" t="n"/>
      <c r="F313" s="5" t="n"/>
      <c r="G313" s="5" t="n"/>
      <c r="H313" s="5" t="n"/>
    </row>
    <row r="314" hidden="1" s="38">
      <c r="A314" s="25" t="n"/>
      <c r="B314" s="5" t="n"/>
      <c r="C314" s="4" t="n"/>
      <c r="D314" s="5" t="n"/>
      <c r="E314" s="5" t="n"/>
      <c r="F314" s="5" t="n"/>
      <c r="G314" s="5" t="n"/>
      <c r="H314" s="5" t="n"/>
    </row>
    <row r="315" hidden="1" s="38">
      <c r="A315" s="25" t="n"/>
      <c r="B315" s="5" t="n"/>
      <c r="C315" s="4" t="n"/>
      <c r="D315" s="5" t="n"/>
      <c r="E315" s="5" t="n"/>
      <c r="F315" s="5" t="n"/>
      <c r="G315" s="5" t="n"/>
      <c r="H315" s="5" t="n"/>
    </row>
    <row r="316" hidden="1" s="38">
      <c r="A316" s="25" t="n"/>
      <c r="B316" s="5" t="n"/>
      <c r="C316" s="4" t="n"/>
      <c r="D316" s="5" t="n"/>
      <c r="E316" s="5" t="n"/>
      <c r="F316" s="5" t="n"/>
      <c r="G316" s="5" t="n"/>
      <c r="H316" s="5" t="n"/>
    </row>
    <row r="317" hidden="1" s="38">
      <c r="A317" s="25" t="n"/>
      <c r="B317" s="5" t="n"/>
      <c r="C317" s="4" t="n"/>
      <c r="D317" s="5" t="n"/>
      <c r="E317" s="5" t="n"/>
      <c r="F317" s="5" t="n"/>
      <c r="G317" s="5" t="n"/>
      <c r="H317" s="5" t="n"/>
    </row>
    <row r="318" hidden="1" s="38">
      <c r="A318" s="25" t="n"/>
      <c r="B318" s="5" t="n"/>
      <c r="C318" s="4" t="n"/>
      <c r="D318" s="5" t="n"/>
      <c r="E318" s="5" t="n"/>
      <c r="F318" s="5" t="n"/>
      <c r="G318" s="5" t="n"/>
      <c r="H318" s="5" t="n"/>
    </row>
    <row r="319" hidden="1" s="38">
      <c r="A319" s="25" t="n"/>
      <c r="B319" s="5" t="n"/>
      <c r="C319" s="4" t="n"/>
      <c r="D319" s="5" t="n"/>
      <c r="E319" s="5" t="n"/>
      <c r="F319" s="5" t="n"/>
      <c r="G319" s="5" t="n"/>
      <c r="H319" s="5" t="n"/>
    </row>
    <row r="320" hidden="1" s="38">
      <c r="A320" s="25" t="n"/>
      <c r="B320" s="5" t="n"/>
      <c r="C320" s="4" t="n"/>
      <c r="D320" s="5" t="n"/>
      <c r="E320" s="5" t="n"/>
      <c r="F320" s="5" t="n"/>
      <c r="G320" s="5" t="n"/>
      <c r="H320" s="5" t="n"/>
    </row>
    <row r="321" hidden="1" s="38">
      <c r="A321" s="25" t="n"/>
      <c r="B321" s="5" t="n"/>
      <c r="C321" s="4" t="n"/>
      <c r="D321" s="5" t="n"/>
      <c r="E321" s="5" t="n"/>
      <c r="F321" s="5" t="n"/>
      <c r="G321" s="5" t="n"/>
      <c r="H321" s="5" t="n"/>
    </row>
    <row r="322" hidden="1" s="38">
      <c r="A322" s="25" t="n"/>
      <c r="B322" s="5" t="n"/>
      <c r="C322" s="4" t="n"/>
      <c r="D322" s="5" t="n"/>
      <c r="E322" s="5" t="n"/>
      <c r="F322" s="5" t="n"/>
      <c r="G322" s="5" t="n"/>
      <c r="H322" s="5" t="n"/>
    </row>
    <row r="323" hidden="1" s="38">
      <c r="A323" s="25" t="n"/>
      <c r="B323" s="5" t="n"/>
      <c r="C323" s="4" t="n"/>
      <c r="D323" s="5" t="n"/>
      <c r="E323" s="5" t="n"/>
      <c r="F323" s="5" t="n"/>
      <c r="G323" s="5" t="n"/>
      <c r="H323" s="5" t="n"/>
    </row>
    <row r="324" hidden="1" s="38">
      <c r="A324" s="25" t="n"/>
      <c r="B324" s="5" t="n"/>
      <c r="C324" s="4" t="n"/>
      <c r="D324" s="5" t="n"/>
      <c r="E324" s="5" t="n"/>
      <c r="F324" s="5" t="n"/>
      <c r="G324" s="5" t="n"/>
      <c r="H324" s="5" t="n"/>
    </row>
    <row r="325" hidden="1" s="38">
      <c r="A325" s="25" t="n"/>
      <c r="B325" s="5" t="n"/>
      <c r="C325" s="4" t="n"/>
      <c r="D325" s="5" t="n"/>
      <c r="E325" s="5" t="n"/>
      <c r="F325" s="5" t="n"/>
      <c r="G325" s="5" t="n"/>
      <c r="H325" s="5" t="n"/>
    </row>
    <row r="326" hidden="1" s="38">
      <c r="A326" s="25" t="n"/>
      <c r="B326" s="5" t="n"/>
      <c r="C326" s="4" t="n"/>
      <c r="D326" s="5" t="n"/>
      <c r="E326" s="5" t="n"/>
      <c r="F326" s="5" t="n"/>
      <c r="G326" s="5" t="n"/>
      <c r="H326" s="5" t="n"/>
    </row>
    <row r="327" hidden="1" s="38">
      <c r="A327" s="25" t="n"/>
      <c r="B327" s="5" t="n"/>
      <c r="C327" s="4" t="n"/>
      <c r="D327" s="5" t="n"/>
      <c r="E327" s="5" t="n"/>
      <c r="F327" s="5" t="n"/>
      <c r="G327" s="5" t="n"/>
      <c r="H327" s="5" t="n"/>
    </row>
    <row r="328" hidden="1" s="38">
      <c r="A328" s="25" t="n"/>
      <c r="B328" s="5" t="n"/>
      <c r="C328" s="4" t="n"/>
      <c r="D328" s="5" t="n"/>
      <c r="E328" s="5" t="n"/>
      <c r="F328" s="5" t="n"/>
      <c r="G328" s="5" t="n"/>
      <c r="H328" s="5" t="n"/>
    </row>
    <row r="329" hidden="1" s="38">
      <c r="A329" s="25" t="n"/>
      <c r="B329" s="5" t="n"/>
      <c r="C329" s="4" t="n"/>
      <c r="D329" s="5" t="n"/>
      <c r="E329" s="5" t="n"/>
      <c r="F329" s="5" t="n"/>
      <c r="G329" s="5" t="n"/>
      <c r="H329" s="5" t="n"/>
    </row>
    <row r="330" hidden="1" s="38">
      <c r="A330" s="25" t="n"/>
      <c r="B330" s="5" t="n"/>
      <c r="C330" s="4" t="n"/>
      <c r="D330" s="5" t="n"/>
      <c r="E330" s="5" t="n"/>
      <c r="F330" s="5" t="n"/>
      <c r="G330" s="5" t="n"/>
      <c r="H330" s="5" t="n"/>
    </row>
    <row r="331" hidden="1" s="38">
      <c r="A331" s="25" t="n"/>
      <c r="B331" s="5" t="n"/>
      <c r="C331" s="4" t="n"/>
      <c r="D331" s="5" t="n"/>
      <c r="E331" s="5" t="n"/>
      <c r="F331" s="5" t="n"/>
      <c r="G331" s="5" t="n"/>
      <c r="H331" s="5" t="n"/>
    </row>
    <row r="332" hidden="1" s="38">
      <c r="A332" s="25" t="n"/>
      <c r="B332" s="5" t="n"/>
      <c r="C332" s="4" t="n"/>
      <c r="D332" s="5" t="n"/>
      <c r="E332" s="5" t="n"/>
      <c r="F332" s="5" t="n"/>
      <c r="G332" s="5" t="n"/>
      <c r="H332" s="5" t="n"/>
    </row>
    <row r="333" hidden="1" s="38">
      <c r="A333" s="25" t="n"/>
      <c r="B333" s="5" t="n"/>
      <c r="C333" s="4" t="n"/>
      <c r="D333" s="5" t="n"/>
      <c r="E333" s="5" t="n"/>
      <c r="F333" s="5" t="n"/>
      <c r="G333" s="5" t="n"/>
      <c r="H333" s="5" t="n"/>
    </row>
    <row r="334" hidden="1" s="38">
      <c r="A334" s="25" t="n"/>
      <c r="B334" s="5" t="n"/>
      <c r="C334" s="4" t="n"/>
      <c r="D334" s="5" t="n"/>
      <c r="E334" s="5" t="n"/>
      <c r="F334" s="5" t="n"/>
      <c r="G334" s="5" t="n"/>
      <c r="H334" s="5" t="n"/>
    </row>
    <row r="335" hidden="1" s="38">
      <c r="A335" s="25" t="n"/>
      <c r="B335" s="5" t="n"/>
      <c r="C335" s="4" t="n"/>
      <c r="D335" s="5" t="n"/>
      <c r="E335" s="5" t="n"/>
      <c r="F335" s="5" t="n"/>
      <c r="G335" s="5" t="n"/>
      <c r="H335" s="5" t="n"/>
    </row>
    <row r="336" hidden="1" s="38">
      <c r="A336" s="25" t="n"/>
      <c r="B336" s="5" t="n"/>
      <c r="C336" s="4" t="n"/>
      <c r="D336" s="5" t="n"/>
      <c r="E336" s="5" t="n"/>
      <c r="F336" s="5" t="n"/>
      <c r="G336" s="5" t="n"/>
      <c r="H336" s="5" t="n"/>
    </row>
    <row r="337" hidden="1" s="38">
      <c r="A337" s="25" t="n"/>
      <c r="B337" s="5" t="n"/>
      <c r="C337" s="4" t="n"/>
      <c r="D337" s="5" t="n"/>
      <c r="E337" s="5" t="n"/>
      <c r="F337" s="5" t="n"/>
      <c r="G337" s="5" t="n"/>
      <c r="H337" s="5" t="n"/>
    </row>
    <row r="338" hidden="1" s="38">
      <c r="A338" s="25" t="n"/>
      <c r="B338" s="5" t="n"/>
      <c r="C338" s="4" t="n"/>
      <c r="D338" s="5" t="n"/>
      <c r="E338" s="5" t="n"/>
      <c r="F338" s="5" t="n"/>
      <c r="G338" s="5" t="n"/>
      <c r="H338" s="5" t="n"/>
    </row>
    <row r="339" hidden="1" s="38">
      <c r="A339" s="25" t="n"/>
      <c r="B339" s="5" t="n"/>
      <c r="C339" s="4" t="n"/>
      <c r="D339" s="5" t="n"/>
      <c r="E339" s="5" t="n"/>
      <c r="F339" s="5" t="n"/>
      <c r="G339" s="5" t="n"/>
      <c r="H339" s="5" t="n"/>
    </row>
    <row r="340" hidden="1" s="38">
      <c r="A340" s="25" t="n"/>
      <c r="B340" s="5" t="n"/>
      <c r="C340" s="4" t="n"/>
      <c r="D340" s="5" t="n"/>
      <c r="E340" s="5" t="n"/>
      <c r="F340" s="5" t="n"/>
      <c r="G340" s="5" t="n"/>
      <c r="H340" s="5" t="n"/>
    </row>
    <row r="341" hidden="1" s="38">
      <c r="A341" s="25" t="n"/>
      <c r="B341" s="5" t="n"/>
      <c r="C341" s="4" t="n"/>
      <c r="D341" s="5" t="n"/>
      <c r="E341" s="5" t="n"/>
      <c r="F341" s="5" t="n"/>
      <c r="G341" s="5" t="n"/>
      <c r="H341" s="5" t="n"/>
    </row>
    <row r="342" hidden="1" s="38">
      <c r="A342" s="25" t="n"/>
      <c r="B342" s="5" t="n"/>
      <c r="C342" s="4" t="n"/>
      <c r="D342" s="5" t="n"/>
      <c r="E342" s="5" t="n"/>
      <c r="F342" s="5" t="n"/>
      <c r="G342" s="5" t="n"/>
      <c r="H342" s="5" t="n"/>
    </row>
    <row r="343" hidden="1" s="38">
      <c r="A343" s="25" t="n"/>
      <c r="B343" s="5" t="n"/>
      <c r="C343" s="4" t="n"/>
      <c r="D343" s="5" t="n"/>
      <c r="E343" s="5" t="n"/>
      <c r="F343" s="5" t="n"/>
      <c r="G343" s="5" t="n"/>
      <c r="H343" s="5" t="n"/>
    </row>
    <row r="344" hidden="1" s="38">
      <c r="A344" s="25" t="n"/>
      <c r="B344" s="5" t="n"/>
      <c r="C344" s="4" t="n"/>
      <c r="D344" s="5" t="n"/>
      <c r="E344" s="5" t="n"/>
      <c r="F344" s="5" t="n"/>
      <c r="G344" s="5" t="n"/>
      <c r="H344" s="5" t="n"/>
    </row>
    <row r="345" hidden="1" s="38">
      <c r="A345" s="25" t="n"/>
      <c r="B345" s="5" t="n"/>
      <c r="C345" s="4" t="n"/>
      <c r="D345" s="5" t="n"/>
      <c r="E345" s="5" t="n"/>
      <c r="F345" s="5" t="n"/>
      <c r="G345" s="5" t="n"/>
      <c r="H345" s="5" t="n"/>
    </row>
    <row r="346" hidden="1" s="38">
      <c r="A346" s="25" t="n"/>
      <c r="B346" s="5" t="n"/>
      <c r="C346" s="4" t="n"/>
      <c r="D346" s="5" t="n"/>
      <c r="E346" s="5" t="n"/>
      <c r="F346" s="5" t="n"/>
      <c r="G346" s="5" t="n"/>
      <c r="H346" s="5" t="n"/>
    </row>
    <row r="347" hidden="1" s="38">
      <c r="A347" s="25" t="n"/>
      <c r="B347" s="5" t="n"/>
      <c r="C347" s="4" t="n"/>
      <c r="D347" s="5" t="n"/>
      <c r="E347" s="5" t="n"/>
      <c r="F347" s="5" t="n"/>
      <c r="G347" s="5" t="n"/>
      <c r="H347" s="5" t="n"/>
    </row>
    <row r="348" hidden="1" s="38">
      <c r="A348" s="25" t="n"/>
      <c r="B348" s="5" t="n"/>
      <c r="C348" s="4" t="n"/>
      <c r="D348" s="5" t="n"/>
      <c r="E348" s="5" t="n"/>
      <c r="F348" s="5" t="n"/>
      <c r="G348" s="5" t="n"/>
      <c r="H348" s="5" t="n"/>
    </row>
    <row r="349" hidden="1" s="38">
      <c r="A349" s="25" t="n"/>
      <c r="B349" s="5" t="n"/>
      <c r="C349" s="4" t="n"/>
      <c r="D349" s="5" t="n"/>
      <c r="E349" s="5" t="n"/>
      <c r="F349" s="5" t="n"/>
      <c r="G349" s="5" t="n"/>
      <c r="H349" s="5" t="n"/>
    </row>
    <row r="350" hidden="1" s="38">
      <c r="A350" s="25" t="n"/>
      <c r="B350" s="5" t="n"/>
      <c r="C350" s="4" t="n"/>
      <c r="D350" s="5" t="n"/>
      <c r="E350" s="5" t="n"/>
      <c r="F350" s="5" t="n"/>
      <c r="G350" s="5" t="n"/>
      <c r="H350" s="5" t="n"/>
    </row>
    <row r="351" hidden="1" s="38">
      <c r="A351" s="25" t="n"/>
      <c r="B351" s="5" t="n"/>
      <c r="C351" s="4" t="n"/>
      <c r="D351" s="5" t="n"/>
      <c r="E351" s="5" t="n"/>
      <c r="F351" s="5" t="n"/>
      <c r="G351" s="5" t="n"/>
      <c r="H351" s="5" t="n"/>
    </row>
    <row r="352" hidden="1" s="38">
      <c r="A352" s="25" t="n"/>
      <c r="B352" s="5" t="n"/>
      <c r="C352" s="4" t="n"/>
      <c r="D352" s="5" t="n"/>
      <c r="E352" s="5" t="n"/>
      <c r="F352" s="5" t="n"/>
      <c r="G352" s="5" t="n"/>
      <c r="H352" s="5" t="n"/>
    </row>
    <row r="353" hidden="1" s="38">
      <c r="A353" s="25" t="n"/>
      <c r="B353" s="5" t="n"/>
      <c r="C353" s="4" t="n"/>
      <c r="D353" s="5" t="n"/>
      <c r="E353" s="5" t="n"/>
      <c r="F353" s="5" t="n"/>
      <c r="G353" s="5" t="n"/>
      <c r="H353" s="5" t="n"/>
    </row>
    <row r="354" hidden="1" s="38">
      <c r="A354" s="25" t="n"/>
      <c r="B354" s="5" t="n"/>
      <c r="C354" s="4" t="n"/>
      <c r="D354" s="5" t="n"/>
      <c r="E354" s="5" t="n"/>
      <c r="F354" s="5" t="n"/>
      <c r="G354" s="5" t="n"/>
      <c r="H354" s="5" t="n"/>
    </row>
    <row r="355" hidden="1" s="38">
      <c r="A355" s="25" t="n"/>
      <c r="B355" s="5" t="n"/>
      <c r="C355" s="4" t="n"/>
      <c r="D355" s="5" t="n"/>
      <c r="E355" s="5" t="n"/>
      <c r="F355" s="5" t="n"/>
      <c r="G355" s="5" t="n"/>
      <c r="H355" s="5" t="n"/>
    </row>
    <row r="356" hidden="1" s="38">
      <c r="A356" s="25" t="n"/>
      <c r="B356" s="5" t="n"/>
      <c r="C356" s="4" t="n"/>
      <c r="D356" s="5" t="n"/>
      <c r="E356" s="5" t="n"/>
      <c r="F356" s="5" t="n"/>
      <c r="G356" s="5" t="n"/>
      <c r="H356" s="5" t="n"/>
    </row>
    <row r="357" hidden="1" s="38">
      <c r="A357" s="25" t="n"/>
      <c r="B357" s="5" t="n"/>
      <c r="C357" s="4" t="n"/>
      <c r="D357" s="5" t="n"/>
      <c r="E357" s="5" t="n"/>
      <c r="F357" s="5" t="n"/>
      <c r="G357" s="5" t="n"/>
      <c r="H357" s="5" t="n"/>
    </row>
    <row r="358" hidden="1" s="38">
      <c r="A358" s="25" t="n"/>
      <c r="B358" s="5" t="n"/>
      <c r="C358" s="4" t="n"/>
      <c r="D358" s="5" t="n"/>
      <c r="E358" s="5" t="n"/>
      <c r="F358" s="5" t="n"/>
      <c r="G358" s="5" t="n"/>
      <c r="H358" s="5" t="n"/>
    </row>
    <row r="359" hidden="1" s="38">
      <c r="A359" s="25" t="n"/>
      <c r="B359" s="5" t="n"/>
      <c r="C359" s="4" t="n"/>
      <c r="D359" s="5" t="n"/>
      <c r="E359" s="5" t="n"/>
      <c r="F359" s="5" t="n"/>
      <c r="G359" s="5" t="n"/>
      <c r="H359" s="5" t="n"/>
    </row>
    <row r="360" hidden="1" s="38">
      <c r="A360" s="25" t="n"/>
      <c r="B360" s="5" t="n"/>
      <c r="C360" s="4" t="n"/>
      <c r="D360" s="5" t="n"/>
      <c r="E360" s="5" t="n"/>
      <c r="F360" s="5" t="n"/>
      <c r="G360" s="5" t="n"/>
      <c r="H360" s="5" t="n"/>
    </row>
    <row r="361" hidden="1" s="38">
      <c r="A361" s="25" t="n"/>
      <c r="B361" s="5" t="n"/>
      <c r="C361" s="4" t="n"/>
      <c r="D361" s="5" t="n"/>
      <c r="E361" s="5" t="n"/>
      <c r="F361" s="5" t="n"/>
      <c r="G361" s="5" t="n"/>
      <c r="H361" s="5" t="n"/>
    </row>
    <row r="362" hidden="1" s="38">
      <c r="A362" s="25" t="n"/>
      <c r="B362" s="5" t="n"/>
      <c r="C362" s="4" t="n"/>
      <c r="D362" s="5" t="n"/>
      <c r="E362" s="5" t="n"/>
      <c r="F362" s="5" t="n"/>
      <c r="G362" s="5" t="n"/>
      <c r="H362" s="5" t="n"/>
    </row>
    <row r="363" hidden="1" s="38">
      <c r="A363" s="25" t="n"/>
      <c r="B363" s="5" t="n"/>
      <c r="C363" s="4" t="n"/>
      <c r="D363" s="5" t="n"/>
      <c r="E363" s="5" t="n"/>
      <c r="F363" s="5" t="n"/>
      <c r="G363" s="5" t="n"/>
      <c r="H363" s="5" t="n"/>
    </row>
    <row r="364" hidden="1" s="38">
      <c r="A364" s="25" t="n"/>
      <c r="B364" s="5" t="n"/>
      <c r="C364" s="4" t="n"/>
      <c r="D364" s="5" t="n"/>
      <c r="E364" s="5" t="n"/>
      <c r="F364" s="5" t="n"/>
      <c r="G364" s="5" t="n"/>
      <c r="H364" s="5" t="n"/>
    </row>
    <row r="365" hidden="1" s="38">
      <c r="A365" s="25" t="n"/>
      <c r="B365" s="5" t="n"/>
      <c r="C365" s="4" t="n"/>
      <c r="D365" s="5" t="n"/>
      <c r="E365" s="5" t="n"/>
      <c r="F365" s="5" t="n"/>
      <c r="G365" s="5" t="n"/>
      <c r="H365" s="5" t="n"/>
    </row>
    <row r="366" hidden="1" s="38">
      <c r="A366" s="25" t="n"/>
      <c r="B366" s="5" t="n"/>
      <c r="C366" s="4" t="n"/>
      <c r="D366" s="5" t="n"/>
      <c r="E366" s="5" t="n"/>
      <c r="F366" s="5" t="n"/>
      <c r="G366" s="5" t="n"/>
      <c r="H366" s="5" t="n"/>
    </row>
    <row r="367" hidden="1" s="38">
      <c r="A367" s="25" t="n"/>
      <c r="B367" s="5" t="n"/>
      <c r="C367" s="4" t="n"/>
      <c r="D367" s="5" t="n"/>
      <c r="E367" s="5" t="n"/>
      <c r="F367" s="5" t="n"/>
      <c r="G367" s="5" t="n"/>
      <c r="H367" s="5" t="n"/>
    </row>
    <row r="368" hidden="1" s="38">
      <c r="A368" s="25" t="n"/>
      <c r="B368" s="5" t="n"/>
      <c r="C368" s="4" t="n"/>
      <c r="D368" s="5" t="n"/>
      <c r="E368" s="5" t="n"/>
      <c r="F368" s="5" t="n"/>
      <c r="G368" s="5" t="n"/>
      <c r="H368" s="5" t="n"/>
    </row>
    <row r="369" hidden="1" s="38">
      <c r="A369" s="25" t="n"/>
      <c r="B369" s="5" t="n"/>
      <c r="C369" s="4" t="n"/>
      <c r="D369" s="5" t="n"/>
      <c r="E369" s="5" t="n"/>
      <c r="F369" s="5" t="n"/>
      <c r="G369" s="5" t="n"/>
      <c r="H369" s="5" t="n"/>
    </row>
    <row r="370" hidden="1" s="38">
      <c r="A370" s="25" t="n"/>
      <c r="B370" s="5" t="n"/>
      <c r="C370" s="4" t="n"/>
      <c r="D370" s="5" t="n"/>
      <c r="E370" s="5" t="n"/>
      <c r="F370" s="5" t="n"/>
      <c r="G370" s="5" t="n"/>
      <c r="H370" s="5" t="n"/>
    </row>
    <row r="371" hidden="1" s="38">
      <c r="A371" s="25" t="n"/>
      <c r="B371" s="5" t="n"/>
      <c r="C371" s="4" t="n"/>
      <c r="D371" s="5" t="n"/>
      <c r="E371" s="5" t="n"/>
      <c r="F371" s="5" t="n"/>
      <c r="G371" s="5" t="n"/>
      <c r="H371" s="5" t="n"/>
    </row>
    <row r="372" hidden="1" s="38">
      <c r="A372" s="25" t="n"/>
      <c r="B372" s="5" t="n"/>
      <c r="C372" s="4" t="n"/>
      <c r="D372" s="5" t="n"/>
      <c r="E372" s="5" t="n"/>
      <c r="F372" s="5" t="n"/>
      <c r="G372" s="5" t="n"/>
      <c r="H372" s="5" t="n"/>
    </row>
    <row r="373" hidden="1" s="38">
      <c r="A373" s="25" t="n"/>
      <c r="B373" s="5" t="n"/>
      <c r="C373" s="4" t="n"/>
      <c r="D373" s="5" t="n"/>
      <c r="E373" s="5" t="n"/>
      <c r="F373" s="5" t="n"/>
      <c r="G373" s="5" t="n"/>
      <c r="H373" s="5" t="n"/>
    </row>
    <row r="374" hidden="1" s="38">
      <c r="A374" s="25" t="n"/>
      <c r="B374" s="5" t="n"/>
      <c r="C374" s="4" t="n"/>
      <c r="D374" s="5" t="n"/>
      <c r="E374" s="5" t="n"/>
      <c r="F374" s="5" t="n"/>
      <c r="G374" s="5" t="n"/>
      <c r="H374" s="5" t="n"/>
    </row>
    <row r="375" hidden="1" s="38">
      <c r="A375" s="25" t="n"/>
      <c r="B375" s="5" t="n"/>
      <c r="C375" s="4" t="n"/>
      <c r="D375" s="5" t="n"/>
      <c r="E375" s="5" t="n"/>
      <c r="F375" s="5" t="n"/>
      <c r="G375" s="5" t="n"/>
      <c r="H375" s="5" t="n"/>
    </row>
    <row r="376" hidden="1" s="38">
      <c r="A376" s="25" t="n"/>
      <c r="B376" s="5" t="n"/>
      <c r="C376" s="4" t="n"/>
      <c r="D376" s="5" t="n"/>
      <c r="E376" s="5" t="n"/>
      <c r="F376" s="5" t="n"/>
      <c r="G376" s="5" t="n"/>
      <c r="H376" s="5" t="n"/>
    </row>
    <row r="377" hidden="1" s="38">
      <c r="A377" s="25" t="n"/>
      <c r="B377" s="5" t="n"/>
      <c r="C377" s="4" t="n"/>
      <c r="D377" s="5" t="n"/>
      <c r="E377" s="5" t="n"/>
      <c r="F377" s="5" t="n"/>
      <c r="G377" s="5" t="n"/>
      <c r="H377" s="5" t="n"/>
    </row>
    <row r="378" hidden="1" s="38">
      <c r="A378" s="25" t="n"/>
      <c r="B378" s="5" t="n"/>
      <c r="C378" s="4" t="n"/>
      <c r="D378" s="5" t="n"/>
      <c r="E378" s="5" t="n"/>
      <c r="F378" s="5" t="n"/>
      <c r="G378" s="5" t="n"/>
      <c r="H378" s="5" t="n"/>
    </row>
    <row r="379" hidden="1" s="38">
      <c r="A379" s="25" t="n"/>
      <c r="B379" s="5" t="n"/>
      <c r="C379" s="4" t="n"/>
      <c r="D379" s="5" t="n"/>
      <c r="E379" s="5" t="n"/>
      <c r="F379" s="5" t="n"/>
      <c r="G379" s="5" t="n"/>
      <c r="H379" s="5" t="n"/>
    </row>
    <row r="380" hidden="1" s="38">
      <c r="A380" s="25" t="n"/>
      <c r="B380" s="5" t="n"/>
      <c r="C380" s="4" t="n"/>
      <c r="D380" s="5" t="n"/>
      <c r="E380" s="5" t="n"/>
      <c r="F380" s="5" t="n"/>
      <c r="G380" s="5" t="n"/>
      <c r="H380" s="5" t="n"/>
    </row>
    <row r="381" hidden="1" s="38">
      <c r="A381" s="25" t="n"/>
      <c r="B381" s="5" t="n"/>
      <c r="C381" s="4" t="n"/>
      <c r="D381" s="5" t="n"/>
      <c r="E381" s="5" t="n"/>
      <c r="F381" s="5" t="n"/>
      <c r="G381" s="5" t="n"/>
      <c r="H381" s="5" t="n"/>
    </row>
    <row r="382" hidden="1" s="38">
      <c r="A382" s="25" t="n"/>
      <c r="B382" s="5" t="n"/>
      <c r="C382" s="4" t="n"/>
      <c r="D382" s="5" t="n"/>
      <c r="E382" s="5" t="n"/>
      <c r="F382" s="5" t="n"/>
      <c r="G382" s="5" t="n"/>
      <c r="H382" s="5" t="n"/>
    </row>
    <row r="383" hidden="1" s="38">
      <c r="A383" s="25" t="n"/>
      <c r="B383" s="5" t="n"/>
      <c r="C383" s="4" t="n"/>
      <c r="D383" s="5" t="n"/>
      <c r="E383" s="5" t="n"/>
      <c r="F383" s="5" t="n"/>
      <c r="G383" s="5" t="n"/>
      <c r="H383" s="5" t="n"/>
    </row>
    <row r="384" hidden="1" s="38">
      <c r="A384" s="25" t="n"/>
      <c r="B384" s="5" t="n"/>
      <c r="C384" s="4" t="n"/>
      <c r="D384" s="5" t="n"/>
      <c r="E384" s="5" t="n"/>
      <c r="F384" s="5" t="n"/>
      <c r="G384" s="5" t="n"/>
      <c r="H384" s="5" t="n"/>
    </row>
    <row r="385" hidden="1" s="38">
      <c r="A385" s="25" t="n"/>
      <c r="B385" s="5" t="n"/>
      <c r="C385" s="4" t="n"/>
      <c r="D385" s="5" t="n"/>
      <c r="E385" s="5" t="n"/>
      <c r="F385" s="5" t="n"/>
      <c r="G385" s="5" t="n"/>
      <c r="H385" s="5" t="n"/>
    </row>
    <row r="386" hidden="1" s="38">
      <c r="A386" s="25" t="n"/>
      <c r="B386" s="5" t="n"/>
      <c r="C386" s="4" t="n"/>
      <c r="D386" s="5" t="n"/>
      <c r="E386" s="5" t="n"/>
      <c r="F386" s="5" t="n"/>
      <c r="G386" s="5" t="n"/>
      <c r="H386" s="5" t="n"/>
    </row>
    <row r="387" hidden="1" s="38">
      <c r="A387" s="25" t="n"/>
      <c r="B387" s="5" t="n"/>
      <c r="C387" s="4" t="n"/>
      <c r="D387" s="5" t="n"/>
      <c r="E387" s="5" t="n"/>
      <c r="F387" s="5" t="n"/>
      <c r="G387" s="5" t="n"/>
      <c r="H387" s="5" t="n"/>
    </row>
    <row r="388" hidden="1" s="38">
      <c r="A388" s="25" t="n"/>
      <c r="B388" s="5" t="n"/>
      <c r="C388" s="4" t="n"/>
      <c r="D388" s="5" t="n"/>
      <c r="E388" s="5" t="n"/>
      <c r="F388" s="5" t="n"/>
      <c r="G388" s="5" t="n"/>
      <c r="H388" s="5" t="n"/>
    </row>
    <row r="389" hidden="1" s="38">
      <c r="A389" s="25" t="n"/>
      <c r="B389" s="5" t="n"/>
      <c r="C389" s="4" t="n"/>
      <c r="D389" s="5" t="n"/>
      <c r="E389" s="5" t="n"/>
      <c r="F389" s="5" t="n"/>
      <c r="G389" s="5" t="n"/>
      <c r="H389" s="5" t="n"/>
    </row>
    <row r="390" hidden="1" s="38">
      <c r="A390" s="25" t="n"/>
      <c r="B390" s="5" t="n"/>
      <c r="C390" s="4" t="n"/>
      <c r="D390" s="5" t="n"/>
      <c r="E390" s="5" t="n"/>
      <c r="F390" s="5" t="n"/>
      <c r="G390" s="5" t="n"/>
      <c r="H390" s="5" t="n"/>
    </row>
    <row r="391" hidden="1" s="38">
      <c r="A391" s="25" t="n"/>
      <c r="B391" s="5" t="n"/>
      <c r="C391" s="4" t="n"/>
      <c r="D391" s="5" t="n"/>
      <c r="E391" s="5" t="n"/>
      <c r="F391" s="5" t="n"/>
      <c r="G391" s="5" t="n"/>
      <c r="H391" s="5" t="n"/>
    </row>
    <row r="392" hidden="1" s="38">
      <c r="A392" s="25" t="n"/>
      <c r="B392" s="5" t="n"/>
      <c r="C392" s="4" t="n"/>
      <c r="D392" s="5" t="n"/>
      <c r="E392" s="5" t="n"/>
      <c r="F392" s="5" t="n"/>
      <c r="G392" s="5" t="n"/>
      <c r="H392" s="5" t="n"/>
    </row>
    <row r="393" hidden="1" s="38">
      <c r="A393" s="25" t="n"/>
      <c r="B393" s="5" t="n"/>
      <c r="C393" s="4" t="n"/>
      <c r="D393" s="5" t="n"/>
      <c r="E393" s="5" t="n"/>
      <c r="F393" s="5" t="n"/>
      <c r="G393" s="5" t="n"/>
      <c r="H393" s="5" t="n"/>
    </row>
    <row r="394" hidden="1" s="38">
      <c r="A394" s="25" t="n"/>
      <c r="B394" s="5" t="n"/>
      <c r="C394" s="4" t="n"/>
      <c r="D394" s="5" t="n"/>
      <c r="E394" s="5" t="n"/>
      <c r="F394" s="5" t="n"/>
      <c r="G394" s="5" t="n"/>
      <c r="H394" s="5" t="n"/>
    </row>
    <row r="395" hidden="1" s="38">
      <c r="A395" s="25" t="n"/>
      <c r="B395" s="5" t="n"/>
      <c r="C395" s="4" t="n"/>
      <c r="D395" s="5" t="n"/>
      <c r="E395" s="5" t="n"/>
      <c r="F395" s="5" t="n"/>
      <c r="G395" s="5" t="n"/>
      <c r="H395" s="5" t="n"/>
    </row>
    <row r="396" hidden="1" s="38">
      <c r="A396" s="25" t="n"/>
      <c r="B396" s="5" t="n"/>
      <c r="C396" s="4" t="n"/>
      <c r="D396" s="5" t="n"/>
      <c r="E396" s="5" t="n"/>
      <c r="F396" s="5" t="n"/>
      <c r="G396" s="5" t="n"/>
      <c r="H396" s="5" t="n"/>
    </row>
    <row r="397" hidden="1" s="38">
      <c r="A397" s="25" t="n"/>
      <c r="B397" s="5" t="n"/>
      <c r="C397" s="4" t="n"/>
      <c r="D397" s="5" t="n"/>
      <c r="E397" s="5" t="n"/>
      <c r="F397" s="5" t="n"/>
      <c r="G397" s="5" t="n"/>
      <c r="H397" s="5" t="n"/>
    </row>
    <row r="398" hidden="1" s="38">
      <c r="A398" s="25" t="n"/>
      <c r="B398" s="5" t="n"/>
      <c r="C398" s="4" t="n"/>
      <c r="D398" s="5" t="n"/>
      <c r="E398" s="5" t="n"/>
      <c r="F398" s="5" t="n"/>
      <c r="G398" s="5" t="n"/>
      <c r="H398" s="5" t="n"/>
    </row>
    <row r="399" hidden="1" s="38">
      <c r="A399" s="25" t="n"/>
      <c r="B399" s="5" t="n"/>
      <c r="C399" s="4" t="n"/>
      <c r="D399" s="5" t="n"/>
      <c r="E399" s="5" t="n"/>
      <c r="F399" s="5" t="n"/>
      <c r="G399" s="5" t="n"/>
      <c r="H399" s="5" t="n"/>
    </row>
    <row r="400" hidden="1" s="38">
      <c r="A400" s="25" t="n"/>
      <c r="B400" s="5" t="n"/>
      <c r="C400" s="4" t="n"/>
      <c r="D400" s="5" t="n"/>
      <c r="E400" s="5" t="n"/>
      <c r="F400" s="5" t="n"/>
      <c r="G400" s="5" t="n"/>
      <c r="H400" s="5" t="n"/>
    </row>
    <row r="401" hidden="1" s="38">
      <c r="A401" s="25" t="n"/>
      <c r="B401" s="5" t="n"/>
      <c r="C401" s="4" t="n"/>
      <c r="D401" s="5" t="n"/>
      <c r="E401" s="5" t="n"/>
      <c r="F401" s="5" t="n"/>
      <c r="G401" s="5" t="n"/>
      <c r="H401" s="5" t="n"/>
    </row>
    <row r="402" hidden="1" s="38">
      <c r="A402" s="25" t="n"/>
      <c r="B402" s="5" t="n"/>
      <c r="C402" s="4" t="n"/>
      <c r="D402" s="5" t="n"/>
      <c r="E402" s="5" t="n"/>
      <c r="F402" s="5" t="n"/>
      <c r="G402" s="5" t="n"/>
      <c r="H402" s="5" t="n"/>
    </row>
    <row r="403" hidden="1" s="38">
      <c r="A403" s="25" t="n"/>
      <c r="B403" s="5" t="n"/>
      <c r="C403" s="4" t="n"/>
      <c r="D403" s="5" t="n"/>
      <c r="E403" s="5" t="n"/>
      <c r="F403" s="5" t="n"/>
      <c r="G403" s="5" t="n"/>
      <c r="H403" s="5" t="n"/>
    </row>
    <row r="404" hidden="1" s="38">
      <c r="A404" s="25" t="n"/>
      <c r="B404" s="5" t="n"/>
      <c r="C404" s="4" t="n"/>
      <c r="D404" s="5" t="n"/>
      <c r="E404" s="5" t="n"/>
      <c r="F404" s="5" t="n"/>
      <c r="G404" s="5" t="n"/>
      <c r="H404" s="5" t="n"/>
    </row>
    <row r="405" hidden="1" s="38">
      <c r="A405" s="25" t="n"/>
      <c r="B405" s="5" t="n"/>
      <c r="C405" s="4" t="n"/>
      <c r="D405" s="5" t="n"/>
      <c r="E405" s="5" t="n"/>
      <c r="F405" s="5" t="n"/>
      <c r="G405" s="5" t="n"/>
      <c r="H405" s="5" t="n"/>
    </row>
    <row r="406" hidden="1" s="38">
      <c r="A406" s="25" t="n"/>
      <c r="B406" s="5" t="n"/>
      <c r="C406" s="4" t="n"/>
      <c r="D406" s="5" t="n"/>
      <c r="E406" s="5" t="n"/>
      <c r="F406" s="5" t="n"/>
      <c r="G406" s="5" t="n"/>
      <c r="H406" s="5" t="n"/>
    </row>
    <row r="407" hidden="1" s="38">
      <c r="A407" s="25" t="n"/>
      <c r="B407" s="5" t="n"/>
      <c r="C407" s="4" t="n"/>
      <c r="D407" s="5" t="n"/>
      <c r="E407" s="5" t="n"/>
      <c r="F407" s="5" t="n"/>
      <c r="G407" s="5" t="n"/>
      <c r="H407" s="5" t="n"/>
    </row>
    <row r="408" hidden="1" s="38">
      <c r="A408" s="25" t="n"/>
      <c r="B408" s="5" t="n"/>
      <c r="C408" s="4" t="n"/>
      <c r="D408" s="5" t="n"/>
      <c r="E408" s="5" t="n"/>
      <c r="F408" s="5" t="n"/>
      <c r="G408" s="5" t="n"/>
      <c r="H408" s="5" t="n"/>
    </row>
    <row r="409" hidden="1" s="38">
      <c r="A409" s="25" t="n"/>
      <c r="B409" s="5" t="n"/>
      <c r="C409" s="4" t="n"/>
      <c r="D409" s="5" t="n"/>
      <c r="E409" s="5" t="n"/>
      <c r="F409" s="5" t="n"/>
      <c r="G409" s="5" t="n"/>
      <c r="H409" s="5" t="n"/>
    </row>
    <row r="410" hidden="1" s="38">
      <c r="A410" s="25" t="n"/>
      <c r="B410" s="5" t="n"/>
      <c r="C410" s="4" t="n"/>
      <c r="D410" s="5" t="n"/>
      <c r="E410" s="5" t="n"/>
      <c r="F410" s="5" t="n"/>
      <c r="G410" s="5" t="n"/>
      <c r="H410" s="5" t="n"/>
    </row>
    <row r="411" hidden="1" s="38">
      <c r="A411" s="25" t="n"/>
      <c r="B411" s="5" t="n"/>
      <c r="C411" s="4" t="n"/>
      <c r="D411" s="5" t="n"/>
      <c r="E411" s="5" t="n"/>
      <c r="F411" s="5" t="n"/>
      <c r="G411" s="5" t="n"/>
      <c r="H411" s="5" t="n"/>
    </row>
    <row r="412" hidden="1" s="38">
      <c r="A412" s="25" t="n"/>
      <c r="B412" s="5" t="n"/>
      <c r="C412" s="4" t="n"/>
      <c r="D412" s="5" t="n"/>
      <c r="E412" s="5" t="n"/>
      <c r="F412" s="5" t="n"/>
      <c r="G412" s="5" t="n"/>
      <c r="H412" s="5" t="n"/>
    </row>
    <row r="413" hidden="1" s="38">
      <c r="A413" s="25" t="n"/>
      <c r="B413" s="5" t="n"/>
      <c r="C413" s="4" t="n"/>
      <c r="D413" s="5" t="n"/>
      <c r="E413" s="5" t="n"/>
      <c r="F413" s="5" t="n"/>
      <c r="G413" s="5" t="n"/>
      <c r="H413" s="5" t="n"/>
    </row>
    <row r="414" hidden="1" s="38">
      <c r="A414" s="25" t="n"/>
      <c r="B414" s="5" t="n"/>
      <c r="C414" s="4" t="n"/>
      <c r="D414" s="5" t="n"/>
      <c r="E414" s="5" t="n"/>
      <c r="F414" s="5" t="n"/>
      <c r="G414" s="5" t="n"/>
      <c r="H414" s="5" t="n"/>
    </row>
    <row r="415" hidden="1" s="38">
      <c r="A415" s="25" t="n"/>
      <c r="B415" s="5" t="n"/>
      <c r="C415" s="4" t="n"/>
      <c r="D415" s="5" t="n"/>
      <c r="E415" s="5" t="n"/>
      <c r="F415" s="5" t="n"/>
      <c r="G415" s="5" t="n"/>
      <c r="H415" s="5" t="n"/>
    </row>
    <row r="416" hidden="1" s="38">
      <c r="A416" s="25" t="n"/>
      <c r="B416" s="5" t="n"/>
      <c r="C416" s="4" t="n"/>
      <c r="D416" s="5" t="n"/>
      <c r="E416" s="5" t="n"/>
      <c r="F416" s="5" t="n"/>
      <c r="G416" s="5" t="n"/>
      <c r="H416" s="5" t="n"/>
    </row>
    <row r="417" hidden="1" s="38">
      <c r="A417" s="25" t="n"/>
      <c r="B417" s="5" t="n"/>
      <c r="C417" s="4" t="n"/>
      <c r="D417" s="5" t="n"/>
      <c r="E417" s="5" t="n"/>
      <c r="F417" s="5" t="n"/>
      <c r="G417" s="5" t="n"/>
      <c r="H417" s="5" t="n"/>
    </row>
    <row r="418" hidden="1" s="38">
      <c r="A418" s="25" t="n"/>
      <c r="B418" s="5" t="n"/>
      <c r="C418" s="4" t="n"/>
      <c r="D418" s="5" t="n"/>
      <c r="E418" s="5" t="n"/>
      <c r="F418" s="5" t="n"/>
      <c r="G418" s="5" t="n"/>
      <c r="H418" s="5" t="n"/>
    </row>
    <row r="419" hidden="1" s="38">
      <c r="A419" s="25" t="n"/>
      <c r="B419" s="5" t="n"/>
      <c r="C419" s="4" t="n"/>
      <c r="D419" s="5" t="n"/>
      <c r="E419" s="5" t="n"/>
      <c r="F419" s="5" t="n"/>
      <c r="G419" s="5" t="n"/>
      <c r="H419" s="5" t="n"/>
    </row>
    <row r="420" hidden="1" s="38">
      <c r="A420" s="25" t="n"/>
      <c r="B420" s="5" t="n"/>
      <c r="C420" s="4" t="n"/>
      <c r="D420" s="5" t="n"/>
      <c r="E420" s="5" t="n"/>
      <c r="F420" s="5" t="n"/>
      <c r="G420" s="5" t="n"/>
      <c r="H420" s="5" t="n"/>
    </row>
    <row r="421" hidden="1" s="38">
      <c r="A421" s="25" t="n"/>
      <c r="B421" s="5" t="n"/>
      <c r="C421" s="4" t="n"/>
      <c r="D421" s="5" t="n"/>
      <c r="E421" s="5" t="n"/>
      <c r="F421" s="5" t="n"/>
      <c r="G421" s="5" t="n"/>
      <c r="H421" s="5" t="n"/>
    </row>
    <row r="422" hidden="1" s="38">
      <c r="A422" s="25" t="n"/>
      <c r="B422" s="5" t="n"/>
      <c r="C422" s="4" t="n"/>
      <c r="D422" s="5" t="n"/>
      <c r="E422" s="5" t="n"/>
      <c r="F422" s="5" t="n"/>
      <c r="G422" s="5" t="n"/>
      <c r="H422" s="5" t="n"/>
    </row>
    <row r="423" hidden="1" s="38">
      <c r="A423" s="25" t="n"/>
      <c r="B423" s="5" t="n"/>
      <c r="C423" s="4" t="n"/>
      <c r="D423" s="5" t="n"/>
      <c r="E423" s="5" t="n"/>
      <c r="F423" s="5" t="n"/>
      <c r="G423" s="5" t="n"/>
      <c r="H423" s="5" t="n"/>
    </row>
    <row r="424" hidden="1" s="38">
      <c r="A424" s="25" t="n"/>
      <c r="B424" s="5" t="n"/>
      <c r="C424" s="4" t="n"/>
      <c r="D424" s="5" t="n"/>
      <c r="E424" s="5" t="n"/>
      <c r="F424" s="5" t="n"/>
      <c r="G424" s="5" t="n"/>
      <c r="H424" s="5" t="n"/>
    </row>
    <row r="425" hidden="1" s="38">
      <c r="A425" s="25" t="n"/>
      <c r="B425" s="5" t="n"/>
      <c r="C425" s="4" t="n"/>
      <c r="D425" s="5" t="n"/>
      <c r="E425" s="5" t="n"/>
      <c r="F425" s="5" t="n"/>
      <c r="G425" s="5" t="n"/>
      <c r="H425" s="5" t="n"/>
    </row>
    <row r="426" hidden="1" s="38">
      <c r="A426" s="25" t="n"/>
      <c r="B426" s="5" t="n"/>
      <c r="C426" s="4" t="n"/>
      <c r="D426" s="5" t="n"/>
      <c r="E426" s="5" t="n"/>
      <c r="F426" s="5" t="n"/>
      <c r="G426" s="5" t="n"/>
      <c r="H426" s="5" t="n"/>
    </row>
    <row r="427" hidden="1" s="38">
      <c r="A427" s="25" t="n"/>
      <c r="B427" s="5" t="n"/>
      <c r="C427" s="4" t="n"/>
      <c r="D427" s="5" t="n"/>
      <c r="E427" s="5" t="n"/>
      <c r="F427" s="5" t="n"/>
      <c r="G427" s="5" t="n"/>
      <c r="H427" s="5" t="n"/>
    </row>
    <row r="428" hidden="1" s="38">
      <c r="A428" s="25" t="n"/>
      <c r="B428" s="5" t="n"/>
      <c r="C428" s="4" t="n"/>
      <c r="D428" s="5" t="n"/>
      <c r="E428" s="5" t="n"/>
      <c r="F428" s="5" t="n"/>
      <c r="G428" s="5" t="n"/>
      <c r="H428" s="5" t="n"/>
    </row>
    <row r="429" hidden="1" s="38">
      <c r="A429" s="25" t="n"/>
      <c r="B429" s="5" t="n"/>
      <c r="C429" s="4" t="n"/>
      <c r="D429" s="5" t="n"/>
      <c r="E429" s="5" t="n"/>
      <c r="F429" s="5" t="n"/>
      <c r="G429" s="5" t="n"/>
      <c r="H429" s="5" t="n"/>
    </row>
    <row r="430" hidden="1" s="38">
      <c r="A430" s="25" t="n"/>
      <c r="B430" s="5" t="n"/>
      <c r="C430" s="4" t="n"/>
      <c r="D430" s="5" t="n"/>
      <c r="E430" s="5" t="n"/>
      <c r="F430" s="5" t="n"/>
      <c r="G430" s="5" t="n"/>
      <c r="H430" s="5" t="n"/>
    </row>
    <row r="431" hidden="1" s="38">
      <c r="A431" s="25" t="n"/>
      <c r="B431" s="5" t="n"/>
      <c r="C431" s="4" t="n"/>
      <c r="D431" s="5" t="n"/>
      <c r="E431" s="5" t="n"/>
      <c r="F431" s="5" t="n"/>
      <c r="G431" s="5" t="n"/>
      <c r="H431" s="5" t="n"/>
    </row>
    <row r="432" hidden="1" s="38">
      <c r="A432" s="25" t="n"/>
      <c r="B432" s="5" t="n"/>
      <c r="C432" s="4" t="n"/>
      <c r="D432" s="5" t="n"/>
      <c r="E432" s="5" t="n"/>
      <c r="F432" s="5" t="n"/>
      <c r="G432" s="5" t="n"/>
      <c r="H432" s="5" t="n"/>
    </row>
    <row r="433" hidden="1" s="38">
      <c r="A433" s="25" t="n"/>
      <c r="B433" s="5" t="n"/>
      <c r="C433" s="4" t="n"/>
      <c r="D433" s="5" t="n"/>
      <c r="E433" s="5" t="n"/>
      <c r="F433" s="5" t="n"/>
      <c r="G433" s="5" t="n"/>
      <c r="H433" s="5" t="n"/>
    </row>
    <row r="434" hidden="1" s="38">
      <c r="A434" s="25" t="n"/>
      <c r="B434" s="5" t="n"/>
      <c r="C434" s="4" t="n"/>
      <c r="D434" s="5" t="n"/>
      <c r="E434" s="5" t="n"/>
      <c r="F434" s="5" t="n"/>
      <c r="G434" s="5" t="n"/>
      <c r="H434" s="5" t="n"/>
    </row>
    <row r="435" hidden="1" s="38">
      <c r="A435" s="25" t="n"/>
      <c r="B435" s="5" t="n"/>
      <c r="C435" s="4" t="n"/>
      <c r="D435" s="5" t="n"/>
      <c r="E435" s="5" t="n"/>
      <c r="F435" s="5" t="n"/>
      <c r="G435" s="5" t="n"/>
      <c r="H435" s="5" t="n"/>
    </row>
    <row r="436" hidden="1" s="38">
      <c r="A436" s="25" t="n"/>
      <c r="B436" s="5" t="n"/>
      <c r="C436" s="4" t="n"/>
      <c r="D436" s="5" t="n"/>
      <c r="E436" s="5" t="n"/>
      <c r="F436" s="5" t="n"/>
      <c r="G436" s="5" t="n"/>
      <c r="H436" s="5" t="n"/>
    </row>
    <row r="437" hidden="1" s="38">
      <c r="A437" s="25" t="n"/>
      <c r="B437" s="5" t="n"/>
      <c r="C437" s="4" t="n"/>
      <c r="D437" s="5" t="n"/>
      <c r="E437" s="5" t="n"/>
      <c r="F437" s="5" t="n"/>
      <c r="G437" s="5" t="n"/>
      <c r="H437" s="5" t="n"/>
    </row>
    <row r="438" hidden="1" s="38">
      <c r="A438" s="25" t="n"/>
      <c r="B438" s="5" t="n"/>
      <c r="C438" s="4" t="n"/>
      <c r="D438" s="5" t="n"/>
      <c r="E438" s="5" t="n"/>
      <c r="F438" s="5" t="n"/>
      <c r="G438" s="5" t="n"/>
      <c r="H438" s="5" t="n"/>
    </row>
    <row r="439" hidden="1" s="38">
      <c r="A439" s="25" t="n"/>
      <c r="B439" s="5" t="n"/>
      <c r="C439" s="4" t="n"/>
      <c r="D439" s="5" t="n"/>
      <c r="E439" s="5" t="n"/>
      <c r="F439" s="5" t="n"/>
      <c r="G439" s="5" t="n"/>
      <c r="H439" s="5" t="n"/>
    </row>
    <row r="440" hidden="1" s="38">
      <c r="A440" s="25" t="n"/>
      <c r="B440" s="5" t="n"/>
      <c r="C440" s="4" t="n"/>
      <c r="D440" s="5" t="n"/>
      <c r="E440" s="5" t="n"/>
      <c r="F440" s="5" t="n"/>
      <c r="G440" s="5" t="n"/>
      <c r="H440" s="5" t="n"/>
    </row>
    <row r="441" hidden="1" s="38">
      <c r="A441" s="25" t="n"/>
      <c r="B441" s="5" t="n"/>
      <c r="C441" s="4" t="n"/>
      <c r="D441" s="5" t="n"/>
      <c r="E441" s="5" t="n"/>
      <c r="F441" s="5" t="n"/>
      <c r="G441" s="5" t="n"/>
      <c r="H441" s="5" t="n"/>
    </row>
    <row r="442" hidden="1" s="38">
      <c r="A442" s="25" t="n"/>
      <c r="B442" s="5" t="n"/>
      <c r="C442" s="4" t="n"/>
      <c r="D442" s="5" t="n"/>
      <c r="E442" s="5" t="n"/>
      <c r="F442" s="5" t="n"/>
      <c r="G442" s="5" t="n"/>
      <c r="H442" s="5" t="n"/>
    </row>
    <row r="443" hidden="1" s="38">
      <c r="A443" s="25" t="n"/>
      <c r="B443" s="5" t="n"/>
      <c r="C443" s="4" t="n"/>
      <c r="D443" s="5" t="n"/>
      <c r="E443" s="5" t="n"/>
      <c r="F443" s="5" t="n"/>
      <c r="G443" s="5" t="n"/>
      <c r="H443" s="5" t="n"/>
    </row>
    <row r="444" hidden="1" s="38">
      <c r="A444" s="25" t="n"/>
      <c r="B444" s="5" t="n"/>
      <c r="C444" s="4" t="n"/>
      <c r="D444" s="5" t="n"/>
      <c r="E444" s="5" t="n"/>
      <c r="F444" s="5" t="n"/>
      <c r="G444" s="5" t="n"/>
      <c r="H444" s="5" t="n"/>
    </row>
    <row r="445" hidden="1" s="38">
      <c r="A445" s="25" t="n"/>
      <c r="B445" s="5" t="n"/>
      <c r="C445" s="4" t="n"/>
      <c r="D445" s="5" t="n"/>
      <c r="E445" s="5" t="n"/>
      <c r="F445" s="5" t="n"/>
      <c r="G445" s="5" t="n"/>
      <c r="H445" s="5" t="n"/>
    </row>
    <row r="446" hidden="1" s="38">
      <c r="A446" s="25" t="n"/>
      <c r="B446" s="5" t="n"/>
      <c r="C446" s="4" t="n"/>
      <c r="D446" s="5" t="n"/>
      <c r="E446" s="5" t="n"/>
      <c r="F446" s="5" t="n"/>
      <c r="G446" s="5" t="n"/>
      <c r="H446" s="5" t="n"/>
    </row>
    <row r="447" hidden="1" s="38">
      <c r="A447" s="25" t="n"/>
      <c r="B447" s="5" t="n"/>
      <c r="C447" s="4" t="n"/>
      <c r="D447" s="5" t="n"/>
      <c r="E447" s="5" t="n"/>
      <c r="F447" s="5" t="n"/>
      <c r="G447" s="5" t="n"/>
      <c r="H447" s="5" t="n"/>
    </row>
    <row r="448" hidden="1" s="38">
      <c r="A448" s="25" t="n"/>
      <c r="B448" s="5" t="n"/>
      <c r="C448" s="4" t="n"/>
      <c r="D448" s="5" t="n"/>
      <c r="E448" s="5" t="n"/>
      <c r="F448" s="5" t="n"/>
      <c r="G448" s="5" t="n"/>
      <c r="H448" s="5" t="n"/>
    </row>
    <row r="449" hidden="1" s="38">
      <c r="A449" s="25" t="n"/>
      <c r="B449" s="5" t="n"/>
      <c r="C449" s="4" t="n"/>
      <c r="D449" s="5" t="n"/>
      <c r="E449" s="5" t="n"/>
      <c r="F449" s="5" t="n"/>
      <c r="G449" s="5" t="n"/>
      <c r="H449" s="5" t="n"/>
    </row>
    <row r="450" hidden="1" s="38">
      <c r="A450" s="25" t="n"/>
      <c r="B450" s="5" t="n"/>
      <c r="C450" s="4" t="n"/>
      <c r="D450" s="5" t="n"/>
      <c r="E450" s="5" t="n"/>
      <c r="F450" s="5" t="n"/>
      <c r="G450" s="5" t="n"/>
      <c r="H450" s="5" t="n"/>
    </row>
    <row r="451" hidden="1" s="38">
      <c r="A451" s="25" t="n"/>
      <c r="B451" s="5" t="n"/>
      <c r="C451" s="4" t="n"/>
      <c r="D451" s="5" t="n"/>
      <c r="E451" s="5" t="n"/>
      <c r="F451" s="5" t="n"/>
      <c r="G451" s="5" t="n"/>
      <c r="H451" s="5" t="n"/>
    </row>
    <row r="452" hidden="1" s="38">
      <c r="A452" s="25" t="n"/>
      <c r="B452" s="5" t="n"/>
      <c r="C452" s="4" t="n"/>
      <c r="D452" s="5" t="n"/>
      <c r="E452" s="5" t="n"/>
      <c r="F452" s="5" t="n"/>
      <c r="G452" s="5" t="n"/>
      <c r="H452" s="5" t="n"/>
    </row>
    <row r="453" hidden="1" s="38">
      <c r="A453" s="25" t="n"/>
      <c r="B453" s="5" t="n"/>
      <c r="C453" s="4" t="n"/>
      <c r="D453" s="5" t="n"/>
      <c r="E453" s="5" t="n"/>
      <c r="F453" s="5" t="n"/>
      <c r="G453" s="5" t="n"/>
      <c r="H453" s="5" t="n"/>
    </row>
    <row r="454" hidden="1" s="38">
      <c r="A454" s="25" t="n"/>
      <c r="B454" s="5" t="n"/>
      <c r="C454" s="4" t="n"/>
      <c r="D454" s="5" t="n"/>
      <c r="E454" s="5" t="n"/>
      <c r="F454" s="5" t="n"/>
      <c r="G454" s="5" t="n"/>
      <c r="H454" s="5" t="n"/>
    </row>
    <row r="455" hidden="1" s="38">
      <c r="A455" s="25" t="n"/>
      <c r="B455" s="5" t="n"/>
      <c r="C455" s="4" t="n"/>
      <c r="D455" s="5" t="n"/>
      <c r="E455" s="5" t="n"/>
      <c r="F455" s="5" t="n"/>
      <c r="G455" s="5" t="n"/>
      <c r="H455" s="5" t="n"/>
    </row>
    <row r="456" hidden="1" s="38">
      <c r="A456" s="25" t="n"/>
      <c r="B456" s="5" t="n"/>
      <c r="C456" s="4" t="n"/>
      <c r="D456" s="5" t="n"/>
      <c r="E456" s="5" t="n"/>
      <c r="F456" s="5" t="n"/>
      <c r="G456" s="5" t="n"/>
      <c r="H456" s="5" t="n"/>
    </row>
    <row r="457" hidden="1" s="38">
      <c r="A457" s="25" t="n"/>
      <c r="B457" s="5" t="n"/>
      <c r="C457" s="4" t="n"/>
      <c r="D457" s="5" t="n"/>
      <c r="E457" s="5" t="n"/>
      <c r="F457" s="5" t="n"/>
      <c r="G457" s="5" t="n"/>
      <c r="H457" s="5" t="n"/>
    </row>
    <row r="458" hidden="1" s="38">
      <c r="A458" s="25" t="n"/>
      <c r="B458" s="5" t="n"/>
      <c r="C458" s="4" t="n"/>
      <c r="D458" s="5" t="n"/>
      <c r="E458" s="5" t="n"/>
      <c r="F458" s="5" t="n"/>
      <c r="G458" s="5" t="n"/>
      <c r="H458" s="5" t="n"/>
    </row>
    <row r="459" hidden="1" s="38">
      <c r="A459" s="25" t="n"/>
      <c r="B459" s="5" t="n"/>
      <c r="C459" s="4" t="n"/>
      <c r="D459" s="5" t="n"/>
      <c r="E459" s="5" t="n"/>
      <c r="F459" s="5" t="n"/>
      <c r="G459" s="5" t="n"/>
      <c r="H459" s="5" t="n"/>
    </row>
    <row r="460" hidden="1" s="38">
      <c r="A460" s="25" t="n"/>
      <c r="B460" s="5" t="n"/>
      <c r="C460" s="4" t="n"/>
      <c r="D460" s="5" t="n"/>
      <c r="E460" s="5" t="n"/>
      <c r="F460" s="5" t="n"/>
      <c r="G460" s="5" t="n"/>
      <c r="H460" s="5" t="n"/>
    </row>
    <row r="461" hidden="1" s="38">
      <c r="A461" s="25" t="n"/>
      <c r="B461" s="5" t="n"/>
      <c r="C461" s="4" t="n"/>
      <c r="D461" s="5" t="n"/>
      <c r="E461" s="5" t="n"/>
      <c r="F461" s="5" t="n"/>
      <c r="G461" s="5" t="n"/>
      <c r="H461" s="5" t="n"/>
    </row>
    <row r="462" hidden="1" s="38">
      <c r="A462" s="25" t="n"/>
      <c r="B462" s="5" t="n"/>
      <c r="C462" s="4" t="n"/>
      <c r="D462" s="5" t="n"/>
      <c r="E462" s="5" t="n"/>
      <c r="F462" s="5" t="n"/>
      <c r="G462" s="5" t="n"/>
      <c r="H462" s="5" t="n"/>
    </row>
    <row r="463" hidden="1" s="38">
      <c r="A463" s="25" t="n"/>
      <c r="B463" s="5" t="n"/>
      <c r="C463" s="4" t="n"/>
      <c r="D463" s="5" t="n"/>
      <c r="E463" s="5" t="n"/>
      <c r="F463" s="5" t="n"/>
      <c r="G463" s="5" t="n"/>
      <c r="H463" s="5" t="n"/>
    </row>
    <row r="464" hidden="1" s="38">
      <c r="A464" s="25" t="n"/>
      <c r="B464" s="5" t="n"/>
      <c r="C464" s="4" t="n"/>
      <c r="D464" s="5" t="n"/>
      <c r="E464" s="5" t="n"/>
      <c r="F464" s="5" t="n"/>
      <c r="G464" s="5" t="n"/>
      <c r="H464" s="5" t="n"/>
    </row>
    <row r="465" hidden="1" s="38">
      <c r="A465" s="25" t="n"/>
      <c r="B465" s="5" t="n"/>
      <c r="C465" s="4" t="n"/>
      <c r="D465" s="5" t="n"/>
      <c r="E465" s="5" t="n"/>
      <c r="F465" s="5" t="n"/>
      <c r="G465" s="5" t="n"/>
      <c r="H465" s="5" t="n"/>
    </row>
    <row r="466" hidden="1" s="38">
      <c r="A466" s="25" t="n"/>
      <c r="B466" s="5" t="n"/>
      <c r="C466" s="4" t="n"/>
      <c r="D466" s="5" t="n"/>
      <c r="E466" s="5" t="n"/>
      <c r="F466" s="5" t="n"/>
      <c r="G466" s="5" t="n"/>
      <c r="H466" s="5" t="n"/>
    </row>
    <row r="467" hidden="1" s="38">
      <c r="A467" s="25" t="n"/>
      <c r="B467" s="5" t="n"/>
      <c r="C467" s="4" t="n"/>
      <c r="D467" s="5" t="n"/>
      <c r="E467" s="5" t="n"/>
      <c r="F467" s="5" t="n"/>
      <c r="G467" s="5" t="n"/>
      <c r="H467" s="5" t="n"/>
    </row>
    <row r="468" hidden="1" s="38">
      <c r="A468" s="25" t="n"/>
      <c r="B468" s="5" t="n"/>
      <c r="C468" s="4" t="n"/>
      <c r="D468" s="5" t="n"/>
      <c r="E468" s="5" t="n"/>
      <c r="F468" s="5" t="n"/>
      <c r="G468" s="5" t="n"/>
      <c r="H468" s="5" t="n"/>
    </row>
    <row r="469" hidden="1" s="38">
      <c r="A469" s="25" t="n"/>
      <c r="B469" s="5" t="n"/>
      <c r="C469" s="4" t="n"/>
      <c r="D469" s="5" t="n"/>
      <c r="E469" s="5" t="n"/>
      <c r="F469" s="5" t="n"/>
      <c r="G469" s="5" t="n"/>
      <c r="H469" s="5" t="n"/>
    </row>
    <row r="470" hidden="1" s="38">
      <c r="A470" s="25" t="n"/>
      <c r="B470" s="5" t="n"/>
      <c r="C470" s="4" t="n"/>
      <c r="D470" s="5" t="n"/>
      <c r="E470" s="5" t="n"/>
      <c r="F470" s="5" t="n"/>
      <c r="G470" s="5" t="n"/>
      <c r="H470" s="5" t="n"/>
    </row>
    <row r="471" hidden="1" s="38">
      <c r="A471" s="25" t="n"/>
      <c r="B471" s="5" t="n"/>
      <c r="C471" s="4" t="n"/>
      <c r="D471" s="5" t="n"/>
      <c r="E471" s="5" t="n"/>
      <c r="F471" s="5" t="n"/>
      <c r="G471" s="5" t="n"/>
      <c r="H471" s="5" t="n"/>
    </row>
    <row r="472" hidden="1" s="38">
      <c r="A472" s="25" t="n"/>
      <c r="B472" s="5" t="n"/>
      <c r="C472" s="4" t="n"/>
      <c r="D472" s="5" t="n"/>
      <c r="E472" s="5" t="n"/>
      <c r="F472" s="5" t="n"/>
      <c r="G472" s="5" t="n"/>
      <c r="H472" s="5" t="n"/>
    </row>
    <row r="473" hidden="1" s="38">
      <c r="A473" s="25" t="n"/>
      <c r="B473" s="5" t="n"/>
      <c r="C473" s="4" t="n"/>
      <c r="D473" s="5" t="n"/>
      <c r="E473" s="5" t="n"/>
      <c r="F473" s="5" t="n"/>
      <c r="G473" s="5" t="n"/>
      <c r="H473" s="5" t="n"/>
    </row>
    <row r="474" hidden="1" s="38">
      <c r="A474" s="25" t="n"/>
      <c r="B474" s="5" t="n"/>
      <c r="C474" s="4" t="n"/>
      <c r="D474" s="5" t="n"/>
      <c r="E474" s="5" t="n"/>
      <c r="F474" s="5" t="n"/>
      <c r="G474" s="5" t="n"/>
      <c r="H474" s="5" t="n"/>
    </row>
    <row r="475" hidden="1" s="38">
      <c r="A475" s="25" t="n"/>
      <c r="B475" s="5" t="n"/>
      <c r="C475" s="4" t="n"/>
      <c r="D475" s="5" t="n"/>
      <c r="E475" s="5" t="n"/>
      <c r="F475" s="5" t="n"/>
      <c r="G475" s="5" t="n"/>
      <c r="H475" s="5" t="n"/>
    </row>
    <row r="476" hidden="1" s="38">
      <c r="A476" s="25" t="n"/>
      <c r="B476" s="5" t="n"/>
      <c r="C476" s="4" t="n"/>
      <c r="D476" s="5" t="n"/>
      <c r="E476" s="5" t="n"/>
      <c r="F476" s="5" t="n"/>
      <c r="G476" s="5" t="n"/>
      <c r="H476" s="5" t="n"/>
    </row>
    <row r="477" hidden="1" s="38">
      <c r="A477" s="25" t="n"/>
      <c r="B477" s="5" t="n"/>
      <c r="C477" s="4" t="n"/>
      <c r="D477" s="5" t="n"/>
      <c r="E477" s="5" t="n"/>
      <c r="F477" s="5" t="n"/>
      <c r="G477" s="5" t="n"/>
      <c r="H477" s="5" t="n"/>
    </row>
    <row r="478" hidden="1" s="38">
      <c r="A478" s="25" t="n"/>
      <c r="B478" s="5" t="n"/>
      <c r="C478" s="4" t="n"/>
      <c r="D478" s="5" t="n"/>
      <c r="E478" s="5" t="n"/>
      <c r="F478" s="5" t="n"/>
      <c r="G478" s="5" t="n"/>
      <c r="H478" s="5" t="n"/>
    </row>
    <row r="479" hidden="1" s="38">
      <c r="A479" s="25" t="n"/>
      <c r="B479" s="5" t="n"/>
      <c r="C479" s="4" t="n"/>
      <c r="D479" s="5" t="n"/>
      <c r="E479" s="5" t="n"/>
      <c r="F479" s="5" t="n"/>
      <c r="G479" s="5" t="n"/>
      <c r="H479" s="5" t="n"/>
    </row>
    <row r="480" hidden="1" s="38">
      <c r="A480" s="25" t="n"/>
      <c r="B480" s="5" t="n"/>
      <c r="C480" s="4" t="n"/>
      <c r="D480" s="5" t="n"/>
      <c r="E480" s="5" t="n"/>
      <c r="F480" s="5" t="n"/>
      <c r="G480" s="5" t="n"/>
      <c r="H480" s="5" t="n"/>
    </row>
    <row r="481" hidden="1" s="38">
      <c r="A481" s="25" t="n"/>
      <c r="B481" s="5" t="n"/>
      <c r="C481" s="4" t="n"/>
      <c r="D481" s="5" t="n"/>
      <c r="E481" s="5" t="n"/>
      <c r="F481" s="5" t="n"/>
      <c r="G481" s="5" t="n"/>
      <c r="H481" s="5" t="n"/>
    </row>
    <row r="482" hidden="1" s="38">
      <c r="A482" s="25" t="n"/>
      <c r="B482" s="5" t="n"/>
      <c r="C482" s="4" t="n"/>
      <c r="D482" s="5" t="n"/>
      <c r="E482" s="5" t="n"/>
      <c r="F482" s="5" t="n"/>
      <c r="G482" s="5" t="n"/>
      <c r="H482" s="5" t="n"/>
    </row>
    <row r="483" hidden="1" s="38">
      <c r="A483" s="25" t="n"/>
      <c r="B483" s="5" t="n"/>
      <c r="C483" s="4" t="n"/>
      <c r="D483" s="5" t="n"/>
      <c r="E483" s="5" t="n"/>
      <c r="F483" s="5" t="n"/>
      <c r="G483" s="5" t="n"/>
      <c r="H483" s="5" t="n"/>
    </row>
    <row r="484" hidden="1" s="38">
      <c r="A484" s="25" t="n"/>
      <c r="B484" s="5" t="n"/>
      <c r="C484" s="4" t="n"/>
      <c r="D484" s="5" t="n"/>
      <c r="E484" s="5" t="n"/>
      <c r="F484" s="5" t="n"/>
      <c r="G484" s="5" t="n"/>
      <c r="H484" s="5" t="n"/>
    </row>
    <row r="485" hidden="1" s="38">
      <c r="A485" s="25" t="n"/>
      <c r="B485" s="5" t="n"/>
      <c r="C485" s="4" t="n"/>
      <c r="D485" s="5" t="n"/>
      <c r="E485" s="5" t="n"/>
      <c r="F485" s="5" t="n"/>
      <c r="G485" s="5" t="n"/>
      <c r="H485" s="5" t="n"/>
    </row>
    <row r="486" hidden="1" s="38">
      <c r="A486" s="25" t="n"/>
      <c r="B486" s="5" t="n"/>
      <c r="C486" s="4" t="n"/>
      <c r="D486" s="5" t="n"/>
      <c r="E486" s="5" t="n"/>
      <c r="F486" s="5" t="n"/>
      <c r="G486" s="5" t="n"/>
      <c r="H486" s="5" t="n"/>
    </row>
    <row r="487" hidden="1" s="38">
      <c r="A487" s="25" t="n"/>
      <c r="B487" s="5" t="n"/>
      <c r="C487" s="4" t="n"/>
      <c r="D487" s="5" t="n"/>
      <c r="E487" s="5" t="n"/>
      <c r="F487" s="5" t="n"/>
      <c r="G487" s="5" t="n"/>
      <c r="H487" s="5" t="n"/>
    </row>
    <row r="488" hidden="1" s="38">
      <c r="A488" s="25" t="n"/>
      <c r="B488" s="5" t="n"/>
      <c r="C488" s="4" t="n"/>
      <c r="D488" s="5" t="n"/>
      <c r="E488" s="5" t="n"/>
      <c r="F488" s="5" t="n"/>
      <c r="G488" s="5" t="n"/>
      <c r="H488" s="5" t="n"/>
    </row>
    <row r="489" hidden="1" s="38">
      <c r="A489" s="25" t="n"/>
      <c r="B489" s="5" t="n"/>
      <c r="C489" s="4" t="n"/>
      <c r="D489" s="5" t="n"/>
      <c r="E489" s="5" t="n"/>
      <c r="F489" s="5" t="n"/>
      <c r="G489" s="5" t="n"/>
      <c r="H489" s="5" t="n"/>
    </row>
    <row r="490" hidden="1" s="38">
      <c r="A490" s="25" t="n"/>
      <c r="B490" s="5" t="n"/>
      <c r="C490" s="4" t="n"/>
      <c r="D490" s="5" t="n"/>
      <c r="E490" s="5" t="n"/>
      <c r="F490" s="5" t="n"/>
      <c r="G490" s="5" t="n"/>
      <c r="H490" s="5" t="n"/>
    </row>
    <row r="491" hidden="1" s="38">
      <c r="A491" s="25" t="n"/>
      <c r="B491" s="5" t="n"/>
      <c r="C491" s="4" t="n"/>
      <c r="D491" s="5" t="n"/>
      <c r="E491" s="5" t="n"/>
      <c r="F491" s="5" t="n"/>
      <c r="G491" s="5" t="n"/>
      <c r="H491" s="5" t="n"/>
    </row>
    <row r="492" hidden="1" s="38">
      <c r="A492" s="25" t="n"/>
      <c r="B492" s="5" t="n"/>
      <c r="C492" s="4" t="n"/>
      <c r="D492" s="5" t="n"/>
      <c r="E492" s="5" t="n"/>
      <c r="F492" s="5" t="n"/>
      <c r="G492" s="5" t="n"/>
      <c r="H492" s="5" t="n"/>
    </row>
    <row r="493" hidden="1" s="38">
      <c r="A493" s="25" t="n"/>
      <c r="B493" s="5" t="n"/>
      <c r="C493" s="4" t="n"/>
      <c r="D493" s="5" t="n"/>
      <c r="E493" s="5" t="n"/>
      <c r="F493" s="5" t="n"/>
      <c r="G493" s="5" t="n"/>
      <c r="H493" s="5" t="n"/>
    </row>
    <row r="494" hidden="1" s="38">
      <c r="A494" s="25" t="n"/>
      <c r="B494" s="5" t="n"/>
      <c r="C494" s="4" t="n"/>
      <c r="D494" s="5" t="n"/>
      <c r="E494" s="5" t="n"/>
      <c r="F494" s="5" t="n"/>
      <c r="G494" s="5" t="n"/>
      <c r="H494" s="5" t="n"/>
    </row>
    <row r="495" hidden="1" s="38">
      <c r="A495" s="25" t="n"/>
      <c r="B495" s="5" t="n"/>
      <c r="C495" s="4" t="n"/>
      <c r="D495" s="5" t="n"/>
      <c r="E495" s="5" t="n"/>
      <c r="F495" s="5" t="n"/>
      <c r="G495" s="5" t="n"/>
      <c r="H495" s="5" t="n"/>
    </row>
    <row r="496" hidden="1" s="38">
      <c r="A496" s="25" t="n"/>
      <c r="B496" s="5" t="n"/>
      <c r="C496" s="4" t="n"/>
      <c r="D496" s="5" t="n"/>
      <c r="E496" s="5" t="n"/>
      <c r="F496" s="5" t="n"/>
      <c r="G496" s="5" t="n"/>
      <c r="H496" s="5" t="n"/>
    </row>
    <row r="497" hidden="1" s="38">
      <c r="A497" s="25" t="n"/>
      <c r="B497" s="5" t="n"/>
      <c r="C497" s="4" t="n"/>
      <c r="D497" s="5" t="n"/>
      <c r="E497" s="5" t="n"/>
      <c r="F497" s="5" t="n"/>
      <c r="G497" s="5" t="n"/>
      <c r="H497" s="5" t="n"/>
    </row>
    <row r="498" hidden="1" s="38">
      <c r="A498" s="25" t="n"/>
      <c r="B498" s="5" t="n"/>
      <c r="C498" s="4" t="n"/>
      <c r="D498" s="5" t="n"/>
      <c r="E498" s="5" t="n"/>
      <c r="F498" s="5" t="n"/>
      <c r="G498" s="5" t="n"/>
      <c r="H498" s="5" t="n"/>
    </row>
    <row r="499" hidden="1" s="38">
      <c r="A499" s="25" t="n"/>
      <c r="B499" s="5" t="n"/>
      <c r="C499" s="4" t="n"/>
      <c r="D499" s="5" t="n"/>
      <c r="E499" s="5" t="n"/>
      <c r="F499" s="5" t="n"/>
      <c r="G499" s="5" t="n"/>
      <c r="H499" s="5" t="n"/>
    </row>
    <row r="500" hidden="1" s="38">
      <c r="A500" s="25" t="n"/>
      <c r="B500" s="5" t="n"/>
      <c r="C500" s="4" t="n"/>
      <c r="D500" s="5" t="n"/>
      <c r="E500" s="5" t="n"/>
      <c r="F500" s="5" t="n"/>
      <c r="G500" s="5" t="n"/>
      <c r="H500" s="5" t="n"/>
    </row>
    <row r="501" hidden="1" s="38">
      <c r="A501" s="25" t="n"/>
      <c r="B501" s="5" t="n"/>
      <c r="C501" s="4" t="n"/>
      <c r="D501" s="5" t="n"/>
      <c r="E501" s="5" t="n"/>
      <c r="F501" s="5" t="n"/>
      <c r="G501" s="5" t="n"/>
      <c r="H501" s="5" t="n"/>
    </row>
    <row r="502" hidden="1" s="38">
      <c r="A502" s="25" t="n"/>
      <c r="B502" s="5" t="n"/>
      <c r="C502" s="4" t="n"/>
      <c r="D502" s="5" t="n"/>
      <c r="E502" s="5" t="n"/>
      <c r="F502" s="5" t="n"/>
      <c r="G502" s="5" t="n"/>
      <c r="H502" s="5" t="n"/>
    </row>
    <row r="503" hidden="1" s="38">
      <c r="A503" s="25" t="n"/>
      <c r="B503" s="5" t="n"/>
      <c r="C503" s="4" t="n"/>
      <c r="D503" s="5" t="n"/>
      <c r="E503" s="5" t="n"/>
      <c r="F503" s="5" t="n"/>
      <c r="G503" s="5" t="n"/>
      <c r="H503" s="5" t="n"/>
    </row>
    <row r="504" hidden="1" s="38">
      <c r="A504" s="25" t="n"/>
      <c r="B504" s="5" t="n"/>
      <c r="C504" s="4" t="n"/>
      <c r="D504" s="5" t="n"/>
      <c r="E504" s="5" t="n"/>
      <c r="F504" s="5" t="n"/>
      <c r="G504" s="5" t="n"/>
      <c r="H504" s="5" t="n"/>
    </row>
    <row r="505" hidden="1" s="38">
      <c r="A505" s="25" t="n"/>
      <c r="B505" s="5" t="n"/>
      <c r="C505" s="4" t="n"/>
      <c r="D505" s="5" t="n"/>
      <c r="E505" s="5" t="n"/>
      <c r="F505" s="5" t="n"/>
      <c r="G505" s="5" t="n"/>
      <c r="H505" s="5" t="n"/>
    </row>
    <row r="506" hidden="1" s="38">
      <c r="A506" s="25" t="n"/>
      <c r="B506" s="5" t="n"/>
      <c r="C506" s="4" t="n"/>
      <c r="D506" s="5" t="n"/>
      <c r="E506" s="5" t="n"/>
      <c r="F506" s="5" t="n"/>
      <c r="G506" s="5" t="n"/>
      <c r="H506" s="5" t="n"/>
    </row>
    <row r="507" hidden="1" s="38">
      <c r="A507" s="25" t="n"/>
      <c r="B507" s="5" t="n"/>
      <c r="C507" s="4" t="n"/>
      <c r="D507" s="5" t="n"/>
      <c r="E507" s="5" t="n"/>
      <c r="F507" s="5" t="n"/>
      <c r="G507" s="5" t="n"/>
      <c r="H507" s="5" t="n"/>
    </row>
    <row r="508" hidden="1" s="38">
      <c r="A508" s="25" t="n"/>
      <c r="B508" s="5" t="n"/>
      <c r="C508" s="4" t="n"/>
      <c r="D508" s="5" t="n"/>
      <c r="E508" s="5" t="n"/>
      <c r="F508" s="5" t="n"/>
      <c r="G508" s="5" t="n"/>
      <c r="H508" s="5" t="n"/>
    </row>
    <row r="509" hidden="1" s="38">
      <c r="A509" s="25" t="n"/>
      <c r="B509" s="5" t="n"/>
      <c r="C509" s="4" t="n"/>
      <c r="D509" s="5" t="n"/>
      <c r="E509" s="5" t="n"/>
      <c r="F509" s="5" t="n"/>
      <c r="G509" s="5" t="n"/>
      <c r="H509" s="5" t="n"/>
    </row>
    <row r="510" hidden="1" s="38">
      <c r="A510" s="25" t="n"/>
      <c r="B510" s="5" t="n"/>
      <c r="C510" s="4" t="n"/>
      <c r="D510" s="5" t="n"/>
      <c r="E510" s="5" t="n"/>
      <c r="F510" s="5" t="n"/>
      <c r="G510" s="5" t="n"/>
      <c r="H510" s="5" t="n"/>
    </row>
    <row r="511" hidden="1" s="38">
      <c r="A511" s="25" t="n"/>
      <c r="B511" s="5" t="n"/>
      <c r="C511" s="4" t="n"/>
      <c r="D511" s="5" t="n"/>
      <c r="E511" s="5" t="n"/>
      <c r="F511" s="5" t="n"/>
      <c r="G511" s="5" t="n"/>
      <c r="H511" s="5" t="n"/>
    </row>
    <row r="512" hidden="1" s="38">
      <c r="A512" s="25" t="n"/>
      <c r="B512" s="5" t="n"/>
      <c r="C512" s="4" t="n"/>
      <c r="D512" s="5" t="n"/>
      <c r="E512" s="5" t="n"/>
      <c r="F512" s="5" t="n"/>
      <c r="G512" s="5" t="n"/>
      <c r="H512" s="5" t="n"/>
    </row>
    <row r="513" hidden="1" s="38">
      <c r="A513" s="25" t="n"/>
      <c r="B513" s="5" t="n"/>
      <c r="C513" s="4" t="n"/>
      <c r="D513" s="5" t="n"/>
      <c r="E513" s="5" t="n"/>
      <c r="F513" s="5" t="n"/>
      <c r="G513" s="5" t="n"/>
      <c r="H513" s="5" t="n"/>
    </row>
    <row r="514" hidden="1" s="38">
      <c r="A514" s="25" t="n"/>
      <c r="B514" s="5" t="n"/>
      <c r="C514" s="4" t="n"/>
      <c r="D514" s="5" t="n"/>
      <c r="E514" s="5" t="n"/>
      <c r="F514" s="5" t="n"/>
      <c r="G514" s="5" t="n"/>
      <c r="H514" s="5" t="n"/>
    </row>
    <row r="515" hidden="1" s="38">
      <c r="A515" s="25" t="n"/>
      <c r="B515" s="5" t="n"/>
      <c r="C515" s="4" t="n"/>
      <c r="D515" s="5" t="n"/>
      <c r="E515" s="5" t="n"/>
      <c r="F515" s="5" t="n"/>
      <c r="G515" s="5" t="n"/>
      <c r="H515" s="5" t="n"/>
    </row>
    <row r="516" hidden="1" s="38">
      <c r="A516" s="25" t="n"/>
      <c r="B516" s="5" t="n"/>
      <c r="C516" s="4" t="n"/>
      <c r="D516" s="5" t="n"/>
      <c r="E516" s="5" t="n"/>
      <c r="F516" s="5" t="n"/>
      <c r="G516" s="5" t="n"/>
      <c r="H516" s="5" t="n"/>
    </row>
    <row r="517" hidden="1" s="38">
      <c r="A517" s="25" t="n"/>
      <c r="B517" s="5" t="n"/>
      <c r="C517" s="4" t="n"/>
      <c r="D517" s="5" t="n"/>
      <c r="E517" s="5" t="n"/>
      <c r="F517" s="5" t="n"/>
      <c r="G517" s="5" t="n"/>
      <c r="H517" s="5" t="n"/>
    </row>
    <row r="518" hidden="1" s="38">
      <c r="A518" s="25" t="n"/>
      <c r="B518" s="5" t="n"/>
      <c r="C518" s="4" t="n"/>
      <c r="D518" s="5" t="n"/>
      <c r="E518" s="5" t="n"/>
      <c r="F518" s="5" t="n"/>
      <c r="G518" s="5" t="n"/>
      <c r="H518" s="5" t="n"/>
    </row>
    <row r="519" hidden="1" s="38">
      <c r="A519" s="25" t="n"/>
      <c r="B519" s="5" t="n"/>
      <c r="C519" s="4" t="n"/>
      <c r="D519" s="5" t="n"/>
      <c r="E519" s="5" t="n"/>
      <c r="F519" s="5" t="n"/>
      <c r="G519" s="5" t="n"/>
      <c r="H519" s="5" t="n"/>
    </row>
    <row r="520" hidden="1" s="38">
      <c r="A520" s="25" t="n"/>
      <c r="B520" s="5" t="n"/>
      <c r="C520" s="4" t="n"/>
      <c r="D520" s="5" t="n"/>
      <c r="E520" s="5" t="n"/>
      <c r="F520" s="5" t="n"/>
      <c r="G520" s="5" t="n"/>
      <c r="H520" s="5" t="n"/>
    </row>
    <row r="521" hidden="1" s="38">
      <c r="A521" s="25" t="n"/>
      <c r="B521" s="5" t="n"/>
      <c r="C521" s="4" t="n"/>
      <c r="D521" s="5" t="n"/>
      <c r="E521" s="5" t="n"/>
      <c r="F521" s="5" t="n"/>
      <c r="G521" s="5" t="n"/>
      <c r="H521" s="5" t="n"/>
    </row>
    <row r="522" hidden="1" s="38">
      <c r="A522" s="25" t="n"/>
      <c r="B522" s="5" t="n"/>
      <c r="C522" s="4" t="n"/>
      <c r="D522" s="5" t="n"/>
      <c r="E522" s="5" t="n"/>
      <c r="F522" s="5" t="n"/>
      <c r="G522" s="5" t="n"/>
      <c r="H522" s="5" t="n"/>
    </row>
    <row r="523" hidden="1" s="38">
      <c r="A523" s="25" t="n"/>
      <c r="B523" s="5" t="n"/>
      <c r="C523" s="4" t="n"/>
      <c r="D523" s="5" t="n"/>
      <c r="E523" s="5" t="n"/>
      <c r="F523" s="5" t="n"/>
      <c r="G523" s="5" t="n"/>
      <c r="H523" s="5" t="n"/>
    </row>
    <row r="524" hidden="1" s="38">
      <c r="A524" s="25" t="n"/>
      <c r="B524" s="5" t="n"/>
      <c r="C524" s="4" t="n"/>
      <c r="D524" s="5" t="n"/>
      <c r="E524" s="5" t="n"/>
      <c r="F524" s="5" t="n"/>
      <c r="G524" s="5" t="n"/>
      <c r="H524" s="5" t="n"/>
    </row>
    <row r="525" hidden="1" s="38">
      <c r="A525" s="25" t="n"/>
      <c r="B525" s="5" t="n"/>
      <c r="C525" s="4" t="n"/>
      <c r="D525" s="5" t="n"/>
      <c r="E525" s="5" t="n"/>
      <c r="F525" s="5" t="n"/>
      <c r="G525" s="5" t="n"/>
      <c r="H525" s="5" t="n"/>
    </row>
    <row r="526" hidden="1" s="38">
      <c r="A526" s="25" t="n"/>
      <c r="B526" s="5" t="n"/>
      <c r="C526" s="4" t="n"/>
      <c r="D526" s="5" t="n"/>
      <c r="E526" s="5" t="n"/>
      <c r="F526" s="5" t="n"/>
      <c r="G526" s="5" t="n"/>
      <c r="H526" s="5" t="n"/>
    </row>
    <row r="527" hidden="1" s="38">
      <c r="A527" s="25" t="n"/>
      <c r="B527" s="5" t="n"/>
      <c r="C527" s="4" t="n"/>
      <c r="D527" s="5" t="n"/>
      <c r="E527" s="5" t="n"/>
      <c r="F527" s="5" t="n"/>
      <c r="G527" s="5" t="n"/>
      <c r="H527" s="5" t="n"/>
    </row>
    <row r="528" hidden="1" s="38">
      <c r="A528" s="25" t="n"/>
      <c r="B528" s="5" t="n"/>
      <c r="C528" s="4" t="n"/>
      <c r="D528" s="5" t="n"/>
      <c r="E528" s="5" t="n"/>
      <c r="F528" s="5" t="n"/>
      <c r="G528" s="5" t="n"/>
      <c r="H528" s="5" t="n"/>
    </row>
    <row r="529" hidden="1" s="38">
      <c r="A529" s="25" t="n"/>
      <c r="B529" s="5" t="n"/>
      <c r="C529" s="4" t="n"/>
      <c r="D529" s="5" t="n"/>
      <c r="E529" s="5" t="n"/>
      <c r="F529" s="5" t="n"/>
      <c r="G529" s="5" t="n"/>
      <c r="H529" s="5" t="n"/>
    </row>
    <row r="530" hidden="1" s="38">
      <c r="A530" s="25" t="n"/>
      <c r="B530" s="5" t="n"/>
      <c r="C530" s="4" t="n"/>
      <c r="D530" s="5" t="n"/>
      <c r="E530" s="5" t="n"/>
      <c r="F530" s="5" t="n"/>
      <c r="G530" s="5" t="n"/>
      <c r="H530" s="5" t="n"/>
    </row>
    <row r="531" hidden="1" s="38">
      <c r="A531" s="25" t="n"/>
      <c r="B531" s="5" t="n"/>
      <c r="C531" s="4" t="n"/>
      <c r="D531" s="5" t="n"/>
      <c r="E531" s="5" t="n"/>
      <c r="F531" s="5" t="n"/>
      <c r="G531" s="5" t="n"/>
      <c r="H531" s="5" t="n"/>
    </row>
    <row r="532" hidden="1" s="38">
      <c r="A532" s="25" t="n"/>
      <c r="B532" s="5" t="n"/>
      <c r="C532" s="4" t="n"/>
      <c r="D532" s="5" t="n"/>
      <c r="E532" s="5" t="n"/>
      <c r="F532" s="5" t="n"/>
      <c r="G532" s="5" t="n"/>
      <c r="H532" s="5" t="n"/>
    </row>
    <row r="533" hidden="1" s="38">
      <c r="A533" s="25" t="n"/>
      <c r="B533" s="5" t="n"/>
      <c r="C533" s="4" t="n"/>
      <c r="D533" s="5" t="n"/>
      <c r="E533" s="5" t="n"/>
      <c r="F533" s="5" t="n"/>
      <c r="G533" s="5" t="n"/>
      <c r="H533" s="5" t="n"/>
    </row>
    <row r="534" hidden="1" s="38">
      <c r="A534" s="25" t="n"/>
      <c r="B534" s="5" t="n"/>
      <c r="C534" s="4" t="n"/>
      <c r="D534" s="5" t="n"/>
      <c r="E534" s="5" t="n"/>
      <c r="F534" s="5" t="n"/>
      <c r="G534" s="5" t="n"/>
      <c r="H534" s="5" t="n"/>
    </row>
    <row r="535" hidden="1" s="38">
      <c r="A535" s="25" t="n"/>
      <c r="B535" s="5" t="n"/>
      <c r="C535" s="4" t="n"/>
      <c r="D535" s="5" t="n"/>
      <c r="E535" s="5" t="n"/>
      <c r="F535" s="5" t="n"/>
      <c r="G535" s="5" t="n"/>
      <c r="H535" s="5" t="n"/>
    </row>
    <row r="536" hidden="1" s="38">
      <c r="A536" s="25" t="n"/>
      <c r="B536" s="5" t="n"/>
      <c r="C536" s="4" t="n"/>
      <c r="D536" s="5" t="n"/>
      <c r="E536" s="5" t="n"/>
      <c r="F536" s="5" t="n"/>
      <c r="G536" s="5" t="n"/>
      <c r="H536" s="5" t="n"/>
    </row>
    <row r="537" hidden="1" s="38">
      <c r="A537" s="25" t="n"/>
      <c r="B537" s="5" t="n"/>
      <c r="C537" s="4" t="n"/>
      <c r="D537" s="5" t="n"/>
      <c r="E537" s="5" t="n"/>
      <c r="F537" s="5" t="n"/>
      <c r="G537" s="5" t="n"/>
      <c r="H537" s="5" t="n"/>
    </row>
    <row r="538" hidden="1" s="38">
      <c r="A538" s="25" t="n"/>
      <c r="B538" s="5" t="n"/>
      <c r="C538" s="4" t="n"/>
      <c r="D538" s="5" t="n"/>
      <c r="E538" s="5" t="n"/>
      <c r="F538" s="5" t="n"/>
      <c r="G538" s="5" t="n"/>
      <c r="H538" s="5" t="n"/>
    </row>
    <row r="539" hidden="1" s="38">
      <c r="A539" s="25" t="n"/>
      <c r="B539" s="5" t="n"/>
      <c r="C539" s="4" t="n"/>
      <c r="D539" s="5" t="n"/>
      <c r="E539" s="5" t="n"/>
      <c r="F539" s="5" t="n"/>
      <c r="G539" s="5" t="n"/>
      <c r="H539" s="5" t="n"/>
    </row>
    <row r="540" hidden="1" s="38">
      <c r="A540" s="25" t="n"/>
      <c r="B540" s="5" t="n"/>
      <c r="C540" s="4" t="n"/>
      <c r="D540" s="5" t="n"/>
      <c r="E540" s="5" t="n"/>
      <c r="F540" s="5" t="n"/>
      <c r="G540" s="5" t="n"/>
      <c r="H540" s="5" t="n"/>
    </row>
    <row r="541" hidden="1" s="38">
      <c r="A541" s="25" t="n"/>
      <c r="B541" s="5" t="n"/>
      <c r="C541" s="4" t="n"/>
      <c r="D541" s="5" t="n"/>
      <c r="E541" s="5" t="n"/>
      <c r="F541" s="5" t="n"/>
      <c r="G541" s="5" t="n"/>
      <c r="H541" s="5" t="n"/>
    </row>
    <row r="542" hidden="1" s="38">
      <c r="A542" s="25" t="n"/>
      <c r="B542" s="5" t="n"/>
      <c r="C542" s="4" t="n"/>
      <c r="D542" s="5" t="n"/>
      <c r="E542" s="5" t="n"/>
      <c r="F542" s="5" t="n"/>
      <c r="G542" s="5" t="n"/>
      <c r="H542" s="5" t="n"/>
    </row>
    <row r="543" hidden="1" s="38">
      <c r="A543" s="25" t="n"/>
      <c r="B543" s="5" t="n"/>
      <c r="C543" s="4" t="n"/>
      <c r="D543" s="5" t="n"/>
      <c r="E543" s="5" t="n"/>
      <c r="F543" s="5" t="n"/>
      <c r="G543" s="5" t="n"/>
      <c r="H543" s="5" t="n"/>
    </row>
    <row r="544" hidden="1" s="38">
      <c r="A544" s="25" t="n"/>
      <c r="B544" s="5" t="n"/>
      <c r="C544" s="4" t="n"/>
      <c r="D544" s="5" t="n"/>
      <c r="E544" s="5" t="n"/>
      <c r="F544" s="5" t="n"/>
      <c r="G544" s="5" t="n"/>
      <c r="H544" s="5" t="n"/>
    </row>
    <row r="545" hidden="1" s="38">
      <c r="A545" s="25" t="n"/>
      <c r="B545" s="5" t="n"/>
      <c r="C545" s="4" t="n"/>
      <c r="D545" s="5" t="n"/>
      <c r="E545" s="5" t="n"/>
      <c r="F545" s="5" t="n"/>
      <c r="G545" s="5" t="n"/>
      <c r="H545" s="5" t="n"/>
    </row>
    <row r="546" hidden="1" s="38">
      <c r="A546" s="25" t="n"/>
      <c r="B546" s="5" t="n"/>
      <c r="C546" s="4" t="n"/>
      <c r="D546" s="5" t="n"/>
      <c r="E546" s="5" t="n"/>
      <c r="F546" s="5" t="n"/>
      <c r="G546" s="5" t="n"/>
      <c r="H546" s="5" t="n"/>
    </row>
    <row r="547" hidden="1" s="38">
      <c r="A547" s="25" t="n"/>
      <c r="B547" s="5" t="n"/>
      <c r="C547" s="4" t="n"/>
      <c r="D547" s="5" t="n"/>
      <c r="E547" s="5" t="n"/>
      <c r="F547" s="5" t="n"/>
      <c r="G547" s="5" t="n"/>
      <c r="H547" s="5" t="n"/>
    </row>
    <row r="548" hidden="1" s="38">
      <c r="A548" s="25" t="n"/>
      <c r="B548" s="5" t="n"/>
      <c r="C548" s="4" t="n"/>
      <c r="D548" s="5" t="n"/>
      <c r="E548" s="5" t="n"/>
      <c r="F548" s="5" t="n"/>
      <c r="G548" s="5" t="n"/>
      <c r="H548" s="5" t="n"/>
    </row>
    <row r="549" hidden="1" s="38">
      <c r="A549" s="25" t="n"/>
      <c r="B549" s="5" t="n"/>
      <c r="C549" s="4" t="n"/>
      <c r="D549" s="5" t="n"/>
      <c r="E549" s="5" t="n"/>
      <c r="F549" s="5" t="n"/>
      <c r="G549" s="5" t="n"/>
      <c r="H549" s="5" t="n"/>
    </row>
    <row r="550" hidden="1" s="38">
      <c r="A550" s="25" t="n"/>
      <c r="B550" s="5" t="n"/>
      <c r="C550" s="4" t="n"/>
      <c r="D550" s="5" t="n"/>
      <c r="E550" s="5" t="n"/>
      <c r="F550" s="5" t="n"/>
      <c r="G550" s="5" t="n"/>
      <c r="H550" s="5" t="n"/>
    </row>
    <row r="551" hidden="1" s="38">
      <c r="A551" s="25" t="n"/>
      <c r="B551" s="5" t="n"/>
      <c r="C551" s="4" t="n"/>
      <c r="D551" s="5" t="n"/>
      <c r="E551" s="5" t="n"/>
      <c r="F551" s="5" t="n"/>
      <c r="G551" s="5" t="n"/>
      <c r="H551" s="5" t="n"/>
    </row>
    <row r="552" hidden="1" s="38">
      <c r="A552" s="25" t="n"/>
      <c r="B552" s="5" t="n"/>
      <c r="C552" s="4" t="n"/>
      <c r="D552" s="5" t="n"/>
      <c r="E552" s="5" t="n"/>
      <c r="F552" s="5" t="n"/>
      <c r="G552" s="5" t="n"/>
      <c r="H552" s="5" t="n"/>
    </row>
    <row r="553" hidden="1" s="38">
      <c r="A553" s="25" t="n"/>
      <c r="B553" s="5" t="n"/>
      <c r="C553" s="4" t="n"/>
      <c r="D553" s="5" t="n"/>
      <c r="E553" s="5" t="n"/>
      <c r="F553" s="5" t="n"/>
      <c r="G553" s="5" t="n"/>
      <c r="H553" s="5" t="n"/>
    </row>
    <row r="554" hidden="1" s="38">
      <c r="A554" s="25" t="n"/>
      <c r="B554" s="5" t="n"/>
      <c r="C554" s="4" t="n"/>
      <c r="D554" s="5" t="n"/>
      <c r="E554" s="5" t="n"/>
      <c r="F554" s="5" t="n"/>
      <c r="G554" s="5" t="n"/>
      <c r="H554" s="5" t="n"/>
    </row>
    <row r="555" hidden="1" s="38">
      <c r="A555" s="25" t="n"/>
      <c r="B555" s="5" t="n"/>
      <c r="C555" s="4" t="n"/>
      <c r="D555" s="5" t="n"/>
      <c r="E555" s="5" t="n"/>
      <c r="F555" s="5" t="n"/>
      <c r="G555" s="5" t="n"/>
      <c r="H555" s="5" t="n"/>
    </row>
    <row r="556" hidden="1" s="38">
      <c r="A556" s="25" t="n"/>
      <c r="B556" s="5" t="n"/>
      <c r="C556" s="4" t="n"/>
      <c r="D556" s="5" t="n"/>
      <c r="E556" s="5" t="n"/>
      <c r="F556" s="5" t="n"/>
      <c r="G556" s="5" t="n"/>
      <c r="H556" s="5" t="n"/>
    </row>
    <row r="557" hidden="1" s="38">
      <c r="A557" s="25" t="n"/>
      <c r="B557" s="5" t="n"/>
      <c r="C557" s="4" t="n"/>
      <c r="D557" s="5" t="n"/>
      <c r="E557" s="5" t="n"/>
      <c r="F557" s="5" t="n"/>
      <c r="G557" s="5" t="n"/>
      <c r="H557" s="5" t="n"/>
    </row>
    <row r="558" hidden="1" s="38">
      <c r="A558" s="25" t="n"/>
      <c r="B558" s="5" t="n"/>
      <c r="C558" s="4" t="n"/>
      <c r="D558" s="5" t="n"/>
      <c r="E558" s="5" t="n"/>
      <c r="F558" s="5" t="n"/>
      <c r="G558" s="5" t="n"/>
      <c r="H558" s="5" t="n"/>
    </row>
    <row r="559" hidden="1" s="38">
      <c r="A559" s="25" t="n"/>
      <c r="B559" s="5" t="n"/>
      <c r="C559" s="4" t="n"/>
      <c r="D559" s="5" t="n"/>
      <c r="E559" s="5" t="n"/>
      <c r="F559" s="5" t="n"/>
      <c r="G559" s="5" t="n"/>
      <c r="H559" s="5" t="n"/>
    </row>
    <row r="560" hidden="1" s="38">
      <c r="A560" s="25" t="n"/>
      <c r="B560" s="5" t="n"/>
      <c r="C560" s="4" t="n"/>
      <c r="D560" s="5" t="n"/>
      <c r="E560" s="5" t="n"/>
      <c r="F560" s="5" t="n"/>
      <c r="G560" s="5" t="n"/>
      <c r="H560" s="5" t="n"/>
    </row>
    <row r="561" hidden="1" s="38">
      <c r="A561" s="25" t="n"/>
      <c r="B561" s="5" t="n"/>
      <c r="C561" s="4" t="n"/>
      <c r="D561" s="5" t="n"/>
      <c r="E561" s="5" t="n"/>
      <c r="F561" s="5" t="n"/>
      <c r="G561" s="5" t="n"/>
      <c r="H561" s="5" t="n"/>
    </row>
    <row r="562" hidden="1" s="38">
      <c r="A562" s="25" t="n"/>
      <c r="B562" s="5" t="n"/>
      <c r="C562" s="4" t="n"/>
      <c r="D562" s="5" t="n"/>
      <c r="E562" s="5" t="n"/>
      <c r="F562" s="5" t="n"/>
      <c r="G562" s="5" t="n"/>
      <c r="H562" s="5" t="n"/>
    </row>
    <row r="563" hidden="1" s="38">
      <c r="A563" s="25" t="n"/>
      <c r="B563" s="5" t="n"/>
      <c r="C563" s="4" t="n"/>
      <c r="D563" s="5" t="n"/>
      <c r="E563" s="5" t="n"/>
      <c r="F563" s="5" t="n"/>
      <c r="G563" s="5" t="n"/>
      <c r="H563" s="5" t="n"/>
    </row>
    <row r="564" hidden="1" s="38">
      <c r="A564" s="25" t="n"/>
      <c r="B564" s="5" t="n"/>
      <c r="C564" s="4" t="n"/>
      <c r="D564" s="5" t="n"/>
      <c r="E564" s="5" t="n"/>
      <c r="F564" s="5" t="n"/>
      <c r="G564" s="5" t="n"/>
      <c r="H564" s="5" t="n"/>
    </row>
    <row r="565" hidden="1" s="38">
      <c r="A565" s="25" t="n"/>
      <c r="B565" s="5" t="n"/>
      <c r="C565" s="4" t="n"/>
      <c r="D565" s="5" t="n"/>
      <c r="E565" s="5" t="n"/>
      <c r="F565" s="5" t="n"/>
      <c r="G565" s="5" t="n"/>
      <c r="H565" s="5" t="n"/>
    </row>
    <row r="566" hidden="1" s="38">
      <c r="A566" s="25" t="n"/>
      <c r="B566" s="5" t="n"/>
      <c r="C566" s="4" t="n"/>
      <c r="D566" s="5" t="n"/>
      <c r="E566" s="5" t="n"/>
      <c r="F566" s="5" t="n"/>
      <c r="G566" s="5" t="n"/>
      <c r="H566" s="5" t="n"/>
    </row>
    <row r="567" hidden="1" s="38">
      <c r="A567" s="25" t="n"/>
      <c r="B567" s="5" t="n"/>
      <c r="C567" s="4" t="n"/>
      <c r="D567" s="5" t="n"/>
      <c r="E567" s="5" t="n"/>
      <c r="F567" s="5" t="n"/>
      <c r="G567" s="5" t="n"/>
      <c r="H567" s="5" t="n"/>
    </row>
    <row r="568" hidden="1" s="38">
      <c r="A568" s="25" t="n"/>
      <c r="B568" s="5" t="n"/>
      <c r="C568" s="4" t="n"/>
      <c r="D568" s="5" t="n"/>
      <c r="E568" s="5" t="n"/>
      <c r="F568" s="5" t="n"/>
      <c r="G568" s="5" t="n"/>
      <c r="H568" s="5" t="n"/>
    </row>
    <row r="569" hidden="1" s="38">
      <c r="A569" s="25" t="n"/>
      <c r="B569" s="5" t="n"/>
      <c r="C569" s="4" t="n"/>
      <c r="D569" s="5" t="n"/>
      <c r="E569" s="5" t="n"/>
      <c r="F569" s="5" t="n"/>
      <c r="G569" s="5" t="n"/>
      <c r="H569" s="5" t="n"/>
    </row>
    <row r="570" hidden="1" s="38">
      <c r="A570" s="25" t="n"/>
      <c r="B570" s="5" t="n"/>
      <c r="C570" s="4" t="n"/>
      <c r="D570" s="5" t="n"/>
      <c r="E570" s="5" t="n"/>
      <c r="F570" s="5" t="n"/>
      <c r="G570" s="5" t="n"/>
      <c r="H570" s="5" t="n"/>
    </row>
    <row r="571" hidden="1" s="38">
      <c r="A571" s="25" t="n"/>
      <c r="B571" s="5" t="n"/>
      <c r="C571" s="4" t="n"/>
      <c r="D571" s="5" t="n"/>
      <c r="E571" s="5" t="n"/>
      <c r="F571" s="5" t="n"/>
      <c r="G571" s="5" t="n"/>
      <c r="H571" s="5" t="n"/>
    </row>
    <row r="572" hidden="1" s="38">
      <c r="A572" s="25" t="n"/>
      <c r="B572" s="5" t="n"/>
      <c r="C572" s="4" t="n"/>
      <c r="D572" s="5" t="n"/>
      <c r="E572" s="5" t="n"/>
      <c r="F572" s="5" t="n"/>
      <c r="G572" s="5" t="n"/>
      <c r="H572" s="5" t="n"/>
    </row>
    <row r="573" hidden="1" s="38">
      <c r="A573" s="25" t="n"/>
      <c r="B573" s="5" t="n"/>
      <c r="C573" s="4" t="n"/>
      <c r="D573" s="5" t="n"/>
      <c r="E573" s="5" t="n"/>
      <c r="F573" s="5" t="n"/>
      <c r="G573" s="5" t="n"/>
      <c r="H573" s="5" t="n"/>
    </row>
    <row r="574" hidden="1" s="38">
      <c r="A574" s="25" t="n"/>
      <c r="B574" s="5" t="n"/>
      <c r="C574" s="4" t="n"/>
      <c r="D574" s="5" t="n"/>
      <c r="E574" s="5" t="n"/>
      <c r="F574" s="5" t="n"/>
      <c r="G574" s="5" t="n"/>
      <c r="H574" s="5" t="n"/>
    </row>
    <row r="575" hidden="1" s="38">
      <c r="A575" s="25" t="n"/>
      <c r="B575" s="5" t="n"/>
      <c r="C575" s="4" t="n"/>
      <c r="D575" s="5" t="n"/>
      <c r="E575" s="5" t="n"/>
      <c r="F575" s="5" t="n"/>
      <c r="G575" s="5" t="n"/>
      <c r="H575" s="5" t="n"/>
    </row>
    <row r="576" hidden="1" s="38">
      <c r="A576" s="25" t="n"/>
      <c r="B576" s="5" t="n"/>
      <c r="C576" s="4" t="n"/>
      <c r="D576" s="5" t="n"/>
      <c r="E576" s="5" t="n"/>
      <c r="F576" s="5" t="n"/>
      <c r="G576" s="5" t="n"/>
      <c r="H576" s="5" t="n"/>
    </row>
    <row r="577" hidden="1" s="38">
      <c r="A577" s="25" t="n"/>
      <c r="B577" s="5" t="n"/>
      <c r="C577" s="4" t="n"/>
      <c r="D577" s="5" t="n"/>
      <c r="E577" s="5" t="n"/>
      <c r="F577" s="5" t="n"/>
      <c r="G577" s="5" t="n"/>
      <c r="H577" s="5" t="n"/>
    </row>
    <row r="578" hidden="1" s="38">
      <c r="A578" s="25" t="n"/>
      <c r="B578" s="5" t="n"/>
      <c r="C578" s="4" t="n"/>
      <c r="D578" s="5" t="n"/>
      <c r="E578" s="5" t="n"/>
      <c r="F578" s="5" t="n"/>
      <c r="G578" s="5" t="n"/>
      <c r="H578" s="5" t="n"/>
    </row>
    <row r="579" hidden="1" s="38">
      <c r="A579" s="25" t="n"/>
      <c r="B579" s="5" t="n"/>
      <c r="C579" s="4" t="n"/>
      <c r="D579" s="5" t="n"/>
      <c r="E579" s="5" t="n"/>
      <c r="F579" s="5" t="n"/>
      <c r="G579" s="5" t="n"/>
      <c r="H579" s="5" t="n"/>
    </row>
    <row r="580" hidden="1" s="38">
      <c r="A580" s="25" t="n"/>
      <c r="B580" s="5" t="n"/>
      <c r="C580" s="4" t="n"/>
      <c r="D580" s="5" t="n"/>
      <c r="E580" s="5" t="n"/>
      <c r="F580" s="5" t="n"/>
      <c r="G580" s="5" t="n"/>
      <c r="H580" s="5" t="n"/>
    </row>
    <row r="581" hidden="1" s="38">
      <c r="A581" s="25" t="n"/>
      <c r="B581" s="5" t="n"/>
      <c r="C581" s="4" t="n"/>
      <c r="D581" s="5" t="n"/>
      <c r="E581" s="5" t="n"/>
      <c r="F581" s="5" t="n"/>
      <c r="G581" s="5" t="n"/>
      <c r="H581" s="5" t="n"/>
    </row>
    <row r="582" hidden="1" s="38">
      <c r="A582" s="25" t="n"/>
      <c r="B582" s="5" t="n"/>
      <c r="C582" s="4" t="n"/>
      <c r="D582" s="5" t="n"/>
      <c r="E582" s="5" t="n"/>
      <c r="F582" s="5" t="n"/>
      <c r="G582" s="5" t="n"/>
      <c r="H582" s="5" t="n"/>
    </row>
    <row r="583" hidden="1" s="38">
      <c r="A583" s="25" t="n"/>
      <c r="B583" s="5" t="n"/>
      <c r="C583" s="4" t="n"/>
      <c r="D583" s="5" t="n"/>
      <c r="E583" s="5" t="n"/>
      <c r="F583" s="5" t="n"/>
      <c r="G583" s="5" t="n"/>
      <c r="H583" s="5" t="n"/>
    </row>
    <row r="584" hidden="1" s="38">
      <c r="A584" s="25" t="n"/>
      <c r="B584" s="5" t="n"/>
      <c r="C584" s="4" t="n"/>
      <c r="D584" s="5" t="n"/>
      <c r="E584" s="5" t="n"/>
      <c r="F584" s="5" t="n"/>
      <c r="G584" s="5" t="n"/>
      <c r="H584" s="5" t="n"/>
    </row>
    <row r="585" hidden="1" s="38">
      <c r="A585" s="25" t="n"/>
      <c r="B585" s="5" t="n"/>
      <c r="C585" s="4" t="n"/>
      <c r="D585" s="5" t="n"/>
      <c r="E585" s="5" t="n"/>
      <c r="F585" s="5" t="n"/>
      <c r="G585" s="5" t="n"/>
      <c r="H585" s="5" t="n"/>
    </row>
    <row r="586" hidden="1" s="38">
      <c r="A586" s="25" t="n"/>
      <c r="B586" s="5" t="n"/>
      <c r="C586" s="4" t="n"/>
      <c r="D586" s="5" t="n"/>
      <c r="E586" s="5" t="n"/>
      <c r="F586" s="5" t="n"/>
      <c r="G586" s="5" t="n"/>
      <c r="H586" s="5" t="n"/>
    </row>
    <row r="587" hidden="1" s="38">
      <c r="A587" s="25" t="n"/>
      <c r="B587" s="5" t="n"/>
      <c r="C587" s="4" t="n"/>
      <c r="D587" s="5" t="n"/>
      <c r="E587" s="5" t="n"/>
      <c r="F587" s="5" t="n"/>
      <c r="G587" s="5" t="n"/>
      <c r="H587" s="5" t="n"/>
    </row>
    <row r="588" hidden="1" s="38">
      <c r="A588" s="25" t="n"/>
      <c r="B588" s="5" t="n"/>
      <c r="C588" s="4" t="n"/>
      <c r="D588" s="5" t="n"/>
      <c r="E588" s="5" t="n"/>
      <c r="F588" s="5" t="n"/>
      <c r="G588" s="5" t="n"/>
      <c r="H588" s="5" t="n"/>
    </row>
    <row r="589" hidden="1" s="38">
      <c r="A589" s="25" t="n"/>
      <c r="B589" s="5" t="n"/>
      <c r="C589" s="4" t="n"/>
      <c r="D589" s="5" t="n"/>
      <c r="E589" s="5" t="n"/>
      <c r="F589" s="5" t="n"/>
      <c r="G589" s="5" t="n"/>
      <c r="H589" s="5" t="n"/>
    </row>
    <row r="590" hidden="1" s="38">
      <c r="A590" s="25" t="n"/>
      <c r="B590" s="5" t="n"/>
      <c r="C590" s="4" t="n"/>
      <c r="D590" s="5" t="n"/>
      <c r="E590" s="5" t="n"/>
      <c r="F590" s="5" t="n"/>
      <c r="G590" s="5" t="n"/>
      <c r="H590" s="5" t="n"/>
    </row>
    <row r="591" hidden="1" s="38">
      <c r="A591" s="25" t="n"/>
      <c r="B591" s="5" t="n"/>
      <c r="C591" s="4" t="n"/>
      <c r="D591" s="5" t="n"/>
      <c r="E591" s="5" t="n"/>
      <c r="F591" s="5" t="n"/>
      <c r="G591" s="5" t="n"/>
      <c r="H591" s="5" t="n"/>
    </row>
    <row r="592" hidden="1" s="38">
      <c r="A592" s="25" t="n"/>
      <c r="B592" s="5" t="n"/>
      <c r="C592" s="4" t="n"/>
      <c r="D592" s="5" t="n"/>
      <c r="E592" s="5" t="n"/>
      <c r="F592" s="5" t="n"/>
      <c r="G592" s="5" t="n"/>
      <c r="H592" s="5" t="n"/>
    </row>
    <row r="593" hidden="1" s="38">
      <c r="A593" s="25" t="n"/>
      <c r="B593" s="5" t="n"/>
      <c r="C593" s="4" t="n"/>
      <c r="D593" s="5" t="n"/>
      <c r="E593" s="5" t="n"/>
      <c r="F593" s="5" t="n"/>
      <c r="G593" s="5" t="n"/>
      <c r="H593" s="5" t="n"/>
    </row>
    <row r="594" hidden="1" s="38">
      <c r="A594" s="25" t="n"/>
      <c r="B594" s="5" t="n"/>
      <c r="C594" s="4" t="n"/>
      <c r="D594" s="5" t="n"/>
      <c r="E594" s="5" t="n"/>
      <c r="F594" s="5" t="n"/>
      <c r="G594" s="5" t="n"/>
      <c r="H594" s="5" t="n"/>
    </row>
    <row r="595" hidden="1" s="38">
      <c r="A595" s="25" t="n"/>
      <c r="B595" s="5" t="n"/>
      <c r="C595" s="4" t="n"/>
      <c r="D595" s="5" t="n"/>
      <c r="E595" s="5" t="n"/>
      <c r="F595" s="5" t="n"/>
      <c r="G595" s="5" t="n"/>
      <c r="H595" s="5" t="n"/>
    </row>
    <row r="596" hidden="1" s="38">
      <c r="A596" s="25" t="n"/>
      <c r="B596" s="5" t="n"/>
      <c r="C596" s="4" t="n"/>
      <c r="D596" s="5" t="n"/>
      <c r="E596" s="5" t="n"/>
      <c r="F596" s="5" t="n"/>
      <c r="G596" s="5" t="n"/>
      <c r="H596" s="5" t="n"/>
    </row>
    <row r="597" hidden="1" s="38">
      <c r="A597" s="25" t="n"/>
      <c r="B597" s="5" t="n"/>
      <c r="C597" s="4" t="n"/>
      <c r="D597" s="5" t="n"/>
      <c r="E597" s="5" t="n"/>
      <c r="F597" s="5" t="n"/>
      <c r="G597" s="5" t="n"/>
      <c r="H597" s="5" t="n"/>
    </row>
    <row r="598" hidden="1" s="38">
      <c r="A598" s="25" t="n"/>
      <c r="B598" s="5" t="n"/>
      <c r="C598" s="4" t="n"/>
      <c r="D598" s="5" t="n"/>
      <c r="E598" s="5" t="n"/>
      <c r="F598" s="5" t="n"/>
      <c r="G598" s="5" t="n"/>
      <c r="H598" s="5" t="n"/>
    </row>
    <row r="599" hidden="1" s="38">
      <c r="A599" s="25" t="n"/>
      <c r="B599" s="5" t="n"/>
      <c r="C599" s="4" t="n"/>
      <c r="D599" s="5" t="n"/>
      <c r="E599" s="5" t="n"/>
      <c r="F599" s="5" t="n"/>
      <c r="G599" s="5" t="n"/>
      <c r="H599" s="5" t="n"/>
    </row>
    <row r="600" hidden="1" s="38">
      <c r="A600" s="25" t="n"/>
      <c r="B600" s="5" t="n"/>
      <c r="C600" s="4" t="n"/>
      <c r="D600" s="5" t="n"/>
      <c r="E600" s="5" t="n"/>
      <c r="F600" s="5" t="n"/>
      <c r="G600" s="5" t="n"/>
      <c r="H600" s="5" t="n"/>
    </row>
    <row r="601" hidden="1" s="38">
      <c r="A601" s="25" t="n"/>
      <c r="B601" s="5" t="n"/>
      <c r="C601" s="4" t="n"/>
      <c r="D601" s="5" t="n"/>
      <c r="E601" s="5" t="n"/>
      <c r="F601" s="5" t="n"/>
      <c r="G601" s="5" t="n"/>
      <c r="H601" s="5" t="n"/>
    </row>
    <row r="602" hidden="1" s="38">
      <c r="A602" s="25" t="n"/>
      <c r="B602" s="5" t="n"/>
      <c r="C602" s="4" t="n"/>
      <c r="D602" s="5" t="n"/>
      <c r="E602" s="5" t="n"/>
      <c r="F602" s="5" t="n"/>
      <c r="G602" s="5" t="n"/>
      <c r="H602" s="5" t="n"/>
    </row>
    <row r="603" hidden="1" s="38">
      <c r="A603" s="25" t="n"/>
      <c r="B603" s="5" t="n"/>
      <c r="C603" s="4" t="n"/>
      <c r="D603" s="5" t="n"/>
      <c r="E603" s="5" t="n"/>
      <c r="F603" s="5" t="n"/>
      <c r="G603" s="5" t="n"/>
      <c r="H603" s="5" t="n"/>
    </row>
    <row r="604" hidden="1" s="38">
      <c r="A604" s="25" t="n"/>
      <c r="B604" s="5" t="n"/>
      <c r="C604" s="4" t="n"/>
      <c r="D604" s="5" t="n"/>
      <c r="E604" s="5" t="n"/>
      <c r="F604" s="5" t="n"/>
      <c r="G604" s="5" t="n"/>
      <c r="H604" s="5" t="n"/>
    </row>
    <row r="605" hidden="1" s="38">
      <c r="A605" s="25" t="n"/>
      <c r="B605" s="5" t="n"/>
      <c r="C605" s="4" t="n"/>
      <c r="D605" s="5" t="n"/>
      <c r="E605" s="5" t="n"/>
      <c r="F605" s="5" t="n"/>
      <c r="G605" s="5" t="n"/>
      <c r="H605" s="5" t="n"/>
    </row>
    <row r="606" hidden="1" s="38">
      <c r="A606" s="25" t="n"/>
      <c r="B606" s="5" t="n"/>
      <c r="C606" s="4" t="n"/>
      <c r="D606" s="5" t="n"/>
      <c r="E606" s="5" t="n"/>
      <c r="F606" s="5" t="n"/>
      <c r="G606" s="5" t="n"/>
      <c r="H606" s="5" t="n"/>
    </row>
    <row r="607" hidden="1" s="38">
      <c r="A607" s="25" t="n"/>
      <c r="B607" s="5" t="n"/>
      <c r="C607" s="4" t="n"/>
      <c r="D607" s="5" t="n"/>
      <c r="E607" s="5" t="n"/>
      <c r="F607" s="5" t="n"/>
      <c r="G607" s="5" t="n"/>
      <c r="H607" s="5" t="n"/>
    </row>
    <row r="608" hidden="1" s="38">
      <c r="A608" s="25" t="n"/>
      <c r="B608" s="5" t="n"/>
      <c r="C608" s="4" t="n"/>
      <c r="D608" s="5" t="n"/>
      <c r="E608" s="5" t="n"/>
      <c r="F608" s="5" t="n"/>
      <c r="G608" s="5" t="n"/>
      <c r="H608" s="5" t="n"/>
    </row>
    <row r="609" hidden="1" s="38">
      <c r="A609" s="25" t="n"/>
      <c r="B609" s="5" t="n"/>
      <c r="C609" s="4" t="n"/>
      <c r="D609" s="5" t="n"/>
      <c r="E609" s="5" t="n"/>
      <c r="F609" s="5" t="n"/>
      <c r="G609" s="5" t="n"/>
      <c r="H609" s="5" t="n"/>
    </row>
    <row r="610" hidden="1" s="38">
      <c r="A610" s="25" t="n"/>
      <c r="B610" s="5" t="n"/>
      <c r="C610" s="4" t="n"/>
      <c r="D610" s="5" t="n"/>
      <c r="E610" s="5" t="n"/>
      <c r="F610" s="5" t="n"/>
      <c r="G610" s="5" t="n"/>
      <c r="H610" s="5" t="n"/>
    </row>
    <row r="611" hidden="1" s="38">
      <c r="A611" s="25" t="n"/>
      <c r="B611" s="5" t="n"/>
      <c r="C611" s="4" t="n"/>
      <c r="D611" s="5" t="n"/>
      <c r="E611" s="5" t="n"/>
      <c r="F611" s="5" t="n"/>
      <c r="G611" s="5" t="n"/>
      <c r="H611" s="5" t="n"/>
    </row>
    <row r="612" hidden="1" s="38">
      <c r="A612" s="25" t="n"/>
      <c r="B612" s="5" t="n"/>
      <c r="C612" s="4" t="n"/>
      <c r="D612" s="5" t="n"/>
      <c r="E612" s="5" t="n"/>
      <c r="F612" s="5" t="n"/>
      <c r="G612" s="5" t="n"/>
      <c r="H612" s="5" t="n"/>
    </row>
    <row r="613" hidden="1" s="38">
      <c r="A613" s="25" t="n"/>
      <c r="B613" s="5" t="n"/>
      <c r="C613" s="4" t="n"/>
      <c r="D613" s="5" t="n"/>
      <c r="E613" s="5" t="n"/>
      <c r="F613" s="5" t="n"/>
      <c r="G613" s="5" t="n"/>
      <c r="H613" s="5" t="n"/>
    </row>
    <row r="614" hidden="1" s="38">
      <c r="A614" s="25" t="n"/>
      <c r="B614" s="5" t="n"/>
      <c r="C614" s="4" t="n"/>
      <c r="D614" s="5" t="n"/>
      <c r="E614" s="5" t="n"/>
      <c r="F614" s="5" t="n"/>
      <c r="G614" s="5" t="n"/>
      <c r="H614" s="5" t="n"/>
    </row>
    <row r="615" hidden="1" s="38">
      <c r="A615" s="25" t="n"/>
      <c r="B615" s="5" t="n"/>
      <c r="C615" s="4" t="n"/>
      <c r="D615" s="5" t="n"/>
      <c r="E615" s="5" t="n"/>
      <c r="F615" s="5" t="n"/>
      <c r="G615" s="5" t="n"/>
      <c r="H615" s="5" t="n"/>
    </row>
    <row r="616" hidden="1" s="38">
      <c r="A616" s="25" t="n"/>
      <c r="B616" s="5" t="n"/>
      <c r="C616" s="4" t="n"/>
      <c r="D616" s="5" t="n"/>
      <c r="E616" s="5" t="n"/>
      <c r="F616" s="5" t="n"/>
      <c r="G616" s="5" t="n"/>
      <c r="H616" s="5" t="n"/>
    </row>
    <row r="617" hidden="1" s="38">
      <c r="A617" s="25" t="n"/>
      <c r="B617" s="5" t="n"/>
      <c r="C617" s="4" t="n"/>
      <c r="D617" s="5" t="n"/>
      <c r="E617" s="5" t="n"/>
      <c r="F617" s="5" t="n"/>
      <c r="G617" s="5" t="n"/>
      <c r="H617" s="5" t="n"/>
    </row>
    <row r="618" hidden="1" s="38">
      <c r="A618" s="25" t="n"/>
      <c r="B618" s="5" t="n"/>
      <c r="C618" s="4" t="n"/>
      <c r="D618" s="5" t="n"/>
      <c r="E618" s="5" t="n"/>
      <c r="F618" s="5" t="n"/>
      <c r="G618" s="5" t="n"/>
      <c r="H618" s="5" t="n"/>
    </row>
    <row r="619" hidden="1" s="38">
      <c r="A619" s="25" t="n"/>
      <c r="B619" s="5" t="n"/>
      <c r="C619" s="4" t="n"/>
      <c r="D619" s="5" t="n"/>
      <c r="E619" s="5" t="n"/>
      <c r="F619" s="5" t="n"/>
      <c r="G619" s="5" t="n"/>
      <c r="H619" s="5" t="n"/>
    </row>
    <row r="620" hidden="1" s="38">
      <c r="A620" s="25" t="n"/>
      <c r="B620" s="5" t="n"/>
      <c r="C620" s="4" t="n"/>
      <c r="D620" s="5" t="n"/>
      <c r="E620" s="5" t="n"/>
      <c r="F620" s="5" t="n"/>
      <c r="G620" s="5" t="n"/>
      <c r="H620" s="5" t="n"/>
    </row>
    <row r="621" hidden="1" s="38">
      <c r="A621" s="25" t="n"/>
      <c r="B621" s="5" t="n"/>
      <c r="C621" s="4" t="n"/>
      <c r="D621" s="5" t="n"/>
      <c r="E621" s="5" t="n"/>
      <c r="F621" s="5" t="n"/>
      <c r="G621" s="5" t="n"/>
      <c r="H621" s="5" t="n"/>
    </row>
    <row r="622" hidden="1" s="38">
      <c r="A622" s="25" t="n"/>
      <c r="B622" s="5" t="n"/>
      <c r="C622" s="4" t="n"/>
      <c r="D622" s="5" t="n"/>
      <c r="E622" s="5" t="n"/>
      <c r="F622" s="5" t="n"/>
      <c r="G622" s="5" t="n"/>
      <c r="H622" s="5" t="n"/>
    </row>
    <row r="623" hidden="1" s="38">
      <c r="A623" s="25" t="n"/>
      <c r="B623" s="5" t="n"/>
      <c r="C623" s="4" t="n"/>
      <c r="D623" s="5" t="n"/>
      <c r="E623" s="5" t="n"/>
      <c r="F623" s="5" t="n"/>
      <c r="G623" s="5" t="n"/>
      <c r="H623" s="5" t="n"/>
    </row>
    <row r="624" hidden="1" s="38">
      <c r="A624" s="25" t="n"/>
      <c r="B624" s="5" t="n"/>
      <c r="C624" s="4" t="n"/>
      <c r="D624" s="5" t="n"/>
      <c r="E624" s="5" t="n"/>
      <c r="F624" s="5" t="n"/>
      <c r="G624" s="5" t="n"/>
      <c r="H624" s="5" t="n"/>
    </row>
    <row r="625" hidden="1" s="38">
      <c r="A625" s="25" t="n"/>
      <c r="B625" s="5" t="n"/>
      <c r="C625" s="4" t="n"/>
      <c r="D625" s="5" t="n"/>
      <c r="E625" s="5" t="n"/>
      <c r="F625" s="5" t="n"/>
      <c r="G625" s="5" t="n"/>
      <c r="H625" s="5" t="n"/>
    </row>
    <row r="626" hidden="1" s="38">
      <c r="A626" s="25" t="n"/>
      <c r="B626" s="5" t="n"/>
      <c r="C626" s="4" t="n"/>
      <c r="D626" s="5" t="n"/>
      <c r="E626" s="5" t="n"/>
      <c r="F626" s="5" t="n"/>
      <c r="G626" s="5" t="n"/>
      <c r="H626" s="5" t="n"/>
    </row>
    <row r="627" hidden="1" s="38">
      <c r="A627" s="25" t="n"/>
      <c r="B627" s="5" t="n"/>
      <c r="C627" s="4" t="n"/>
      <c r="D627" s="5" t="n"/>
      <c r="E627" s="5" t="n"/>
      <c r="F627" s="5" t="n"/>
      <c r="G627" s="5" t="n"/>
      <c r="H627" s="5" t="n"/>
    </row>
    <row r="628" hidden="1" s="38">
      <c r="A628" s="25" t="n"/>
      <c r="B628" s="5" t="n"/>
      <c r="C628" s="4" t="n"/>
      <c r="D628" s="5" t="n"/>
      <c r="E628" s="5" t="n"/>
      <c r="F628" s="5" t="n"/>
      <c r="G628" s="5" t="n"/>
      <c r="H628" s="5" t="n"/>
    </row>
    <row r="629" hidden="1" s="38">
      <c r="A629" s="25" t="n"/>
      <c r="B629" s="5" t="n"/>
      <c r="C629" s="4" t="n"/>
      <c r="D629" s="5" t="n"/>
      <c r="E629" s="5" t="n"/>
      <c r="F629" s="5" t="n"/>
      <c r="G629" s="5" t="n"/>
      <c r="H629" s="5" t="n"/>
    </row>
    <row r="630" hidden="1" s="38">
      <c r="A630" s="25" t="n"/>
      <c r="B630" s="5" t="n"/>
      <c r="C630" s="4" t="n"/>
      <c r="D630" s="5" t="n"/>
      <c r="E630" s="5" t="n"/>
      <c r="F630" s="5" t="n"/>
      <c r="G630" s="5" t="n"/>
      <c r="H630" s="5" t="n"/>
    </row>
    <row r="631" hidden="1" s="38">
      <c r="A631" s="25" t="n"/>
      <c r="B631" s="5" t="n"/>
      <c r="C631" s="4" t="n"/>
      <c r="D631" s="5" t="n"/>
      <c r="E631" s="5" t="n"/>
      <c r="F631" s="5" t="n"/>
      <c r="G631" s="5" t="n"/>
      <c r="H631" s="5" t="n"/>
    </row>
    <row r="632" hidden="1" s="38">
      <c r="A632" s="25" t="n"/>
      <c r="B632" s="5" t="n"/>
      <c r="C632" s="4" t="n"/>
      <c r="D632" s="5" t="n"/>
      <c r="E632" s="5" t="n"/>
      <c r="F632" s="5" t="n"/>
      <c r="G632" s="5" t="n"/>
      <c r="H632" s="5" t="n"/>
    </row>
    <row r="633" hidden="1" s="38">
      <c r="A633" s="25" t="n"/>
      <c r="B633" s="5" t="n"/>
      <c r="C633" s="4" t="n"/>
      <c r="D633" s="5" t="n"/>
      <c r="E633" s="5" t="n"/>
      <c r="F633" s="5" t="n"/>
      <c r="G633" s="5" t="n"/>
      <c r="H633" s="5" t="n"/>
    </row>
    <row r="634" hidden="1" s="38">
      <c r="A634" s="25" t="n"/>
      <c r="B634" s="5" t="n"/>
      <c r="C634" s="4" t="n"/>
      <c r="D634" s="5" t="n"/>
      <c r="E634" s="5" t="n"/>
      <c r="F634" s="5" t="n"/>
      <c r="G634" s="5" t="n"/>
      <c r="H634" s="5" t="n"/>
    </row>
    <row r="635" hidden="1" s="38">
      <c r="A635" s="25" t="n"/>
      <c r="B635" s="5" t="n"/>
      <c r="C635" s="4" t="n"/>
      <c r="D635" s="5" t="n"/>
      <c r="E635" s="5" t="n"/>
      <c r="F635" s="5" t="n"/>
      <c r="G635" s="5" t="n"/>
      <c r="H635" s="5" t="n"/>
    </row>
    <row r="636" hidden="1" s="38">
      <c r="A636" s="25" t="n"/>
      <c r="B636" s="5" t="n"/>
      <c r="C636" s="4" t="n"/>
      <c r="D636" s="5" t="n"/>
      <c r="E636" s="5" t="n"/>
      <c r="F636" s="5" t="n"/>
      <c r="G636" s="5" t="n"/>
      <c r="H636" s="5" t="n"/>
    </row>
    <row r="637" hidden="1" s="38">
      <c r="A637" s="25" t="n"/>
      <c r="B637" s="5" t="n"/>
      <c r="C637" s="4" t="n"/>
      <c r="D637" s="5" t="n"/>
      <c r="E637" s="5" t="n"/>
      <c r="F637" s="5" t="n"/>
      <c r="G637" s="5" t="n"/>
      <c r="H637" s="5" t="n"/>
    </row>
    <row r="638" hidden="1" s="38">
      <c r="A638" s="25" t="n"/>
      <c r="B638" s="5" t="n"/>
      <c r="C638" s="4" t="n"/>
      <c r="D638" s="5" t="n"/>
      <c r="E638" s="5" t="n"/>
      <c r="F638" s="5" t="n"/>
      <c r="G638" s="5" t="n"/>
      <c r="H638" s="5" t="n"/>
    </row>
    <row r="639" hidden="1" s="38">
      <c r="A639" s="25" t="n"/>
      <c r="B639" s="5" t="n"/>
      <c r="C639" s="4" t="n"/>
      <c r="D639" s="5" t="n"/>
      <c r="E639" s="5" t="n"/>
      <c r="F639" s="5" t="n"/>
      <c r="G639" s="5" t="n"/>
      <c r="H639" s="5" t="n"/>
    </row>
    <row r="640" hidden="1" s="38">
      <c r="A640" s="25" t="n"/>
      <c r="B640" s="5" t="n"/>
      <c r="C640" s="4" t="n"/>
      <c r="D640" s="5" t="n"/>
      <c r="E640" s="5" t="n"/>
      <c r="F640" s="5" t="n"/>
      <c r="G640" s="5" t="n"/>
      <c r="H640" s="5" t="n"/>
    </row>
    <row r="641" hidden="1" s="38">
      <c r="A641" s="25" t="n"/>
      <c r="B641" s="5" t="n"/>
      <c r="C641" s="4" t="n"/>
      <c r="D641" s="5" t="n"/>
      <c r="E641" s="5" t="n"/>
      <c r="F641" s="5" t="n"/>
      <c r="G641" s="5" t="n"/>
      <c r="H641" s="5" t="n"/>
    </row>
    <row r="642" hidden="1" s="38">
      <c r="A642" s="25" t="n"/>
      <c r="B642" s="5" t="n"/>
      <c r="C642" s="4" t="n"/>
      <c r="D642" s="5" t="n"/>
      <c r="E642" s="5" t="n"/>
      <c r="F642" s="5" t="n"/>
      <c r="G642" s="5" t="n"/>
      <c r="H642" s="5" t="n"/>
    </row>
    <row r="643" hidden="1" s="38">
      <c r="A643" s="25" t="n"/>
      <c r="B643" s="5" t="n"/>
      <c r="C643" s="4" t="n"/>
      <c r="D643" s="5" t="n"/>
      <c r="E643" s="5" t="n"/>
      <c r="F643" s="5" t="n"/>
      <c r="G643" s="5" t="n"/>
      <c r="H643" s="5" t="n"/>
    </row>
    <row r="644" hidden="1" s="38">
      <c r="A644" s="25" t="n"/>
      <c r="B644" s="5" t="n"/>
      <c r="C644" s="4" t="n"/>
      <c r="D644" s="5" t="n"/>
      <c r="E644" s="5" t="n"/>
      <c r="F644" s="5" t="n"/>
      <c r="G644" s="5" t="n"/>
      <c r="H644" s="5" t="n"/>
    </row>
    <row r="645" hidden="1" s="38">
      <c r="A645" s="25" t="n"/>
      <c r="B645" s="5" t="n"/>
      <c r="C645" s="4" t="n"/>
      <c r="D645" s="5" t="n"/>
      <c r="E645" s="5" t="n"/>
      <c r="F645" s="5" t="n"/>
      <c r="G645" s="5" t="n"/>
      <c r="H645" s="5" t="n"/>
    </row>
    <row r="646" hidden="1" s="38">
      <c r="A646" s="25" t="n"/>
      <c r="B646" s="5" t="n"/>
      <c r="C646" s="4" t="n"/>
      <c r="D646" s="5" t="n"/>
      <c r="E646" s="5" t="n"/>
      <c r="F646" s="5" t="n"/>
      <c r="G646" s="5" t="n"/>
      <c r="H646" s="5" t="n"/>
    </row>
    <row r="647" hidden="1" s="38">
      <c r="A647" s="25" t="n"/>
      <c r="B647" s="5" t="n"/>
      <c r="C647" s="4" t="n"/>
      <c r="D647" s="5" t="n"/>
      <c r="E647" s="5" t="n"/>
      <c r="F647" s="5" t="n"/>
      <c r="G647" s="5" t="n"/>
      <c r="H647" s="5" t="n"/>
    </row>
    <row r="648" hidden="1" s="38">
      <c r="A648" s="25" t="n"/>
      <c r="B648" s="5" t="n"/>
      <c r="C648" s="4" t="n"/>
      <c r="D648" s="5" t="n"/>
      <c r="E648" s="5" t="n"/>
      <c r="F648" s="5" t="n"/>
      <c r="G648" s="5" t="n"/>
      <c r="H648" s="5" t="n"/>
    </row>
    <row r="649" hidden="1" s="38">
      <c r="A649" s="25" t="n"/>
      <c r="B649" s="5" t="n"/>
      <c r="C649" s="4" t="n"/>
      <c r="D649" s="5" t="n"/>
      <c r="E649" s="5" t="n"/>
      <c r="F649" s="5" t="n"/>
      <c r="G649" s="5" t="n"/>
      <c r="H649" s="5" t="n"/>
    </row>
    <row r="650" hidden="1" s="38">
      <c r="A650" s="25" t="n"/>
      <c r="B650" s="5" t="n"/>
      <c r="C650" s="4" t="n"/>
      <c r="D650" s="5" t="n"/>
      <c r="E650" s="5" t="n"/>
      <c r="F650" s="5" t="n"/>
      <c r="G650" s="5" t="n"/>
      <c r="H650" s="5" t="n"/>
    </row>
    <row r="651" hidden="1" s="38">
      <c r="A651" s="25" t="n"/>
      <c r="B651" s="5" t="n"/>
      <c r="C651" s="4" t="n"/>
      <c r="D651" s="5" t="n"/>
      <c r="E651" s="5" t="n"/>
      <c r="F651" s="5" t="n"/>
      <c r="G651" s="5" t="n"/>
      <c r="H651" s="5" t="n"/>
    </row>
    <row r="652" hidden="1" s="38">
      <c r="A652" s="25" t="n"/>
      <c r="B652" s="5" t="n"/>
      <c r="C652" s="4" t="n"/>
      <c r="D652" s="5" t="n"/>
      <c r="E652" s="5" t="n"/>
      <c r="F652" s="5" t="n"/>
      <c r="G652" s="5" t="n"/>
      <c r="H652" s="5" t="n"/>
    </row>
    <row r="653" hidden="1" s="38">
      <c r="A653" s="25" t="n"/>
      <c r="B653" s="5" t="n"/>
      <c r="C653" s="4" t="n"/>
      <c r="D653" s="5" t="n"/>
      <c r="E653" s="5" t="n"/>
      <c r="F653" s="5" t="n"/>
      <c r="G653" s="5" t="n"/>
      <c r="H653" s="5" t="n"/>
    </row>
    <row r="654" hidden="1" s="38">
      <c r="A654" s="25" t="n"/>
      <c r="B654" s="5" t="n"/>
      <c r="C654" s="4" t="n"/>
      <c r="D654" s="5" t="n"/>
      <c r="E654" s="5" t="n"/>
      <c r="F654" s="5" t="n"/>
      <c r="G654" s="5" t="n"/>
      <c r="H654" s="5" t="n"/>
    </row>
    <row r="655" hidden="1" s="38">
      <c r="A655" s="25" t="n"/>
      <c r="B655" s="5" t="n"/>
      <c r="C655" s="4" t="n"/>
      <c r="D655" s="5" t="n"/>
      <c r="E655" s="5" t="n"/>
      <c r="F655" s="5" t="n"/>
      <c r="G655" s="5" t="n"/>
      <c r="H655" s="5" t="n"/>
    </row>
    <row r="656" hidden="1" s="38">
      <c r="A656" s="25" t="n"/>
      <c r="B656" s="5" t="n"/>
      <c r="C656" s="4" t="n"/>
      <c r="D656" s="5" t="n"/>
      <c r="E656" s="5" t="n"/>
      <c r="F656" s="5" t="n"/>
      <c r="G656" s="5" t="n"/>
      <c r="H656" s="5" t="n"/>
    </row>
    <row r="657" hidden="1" s="38">
      <c r="A657" s="25" t="n"/>
      <c r="B657" s="5" t="n"/>
      <c r="C657" s="4" t="n"/>
      <c r="D657" s="5" t="n"/>
      <c r="E657" s="5" t="n"/>
      <c r="F657" s="5" t="n"/>
      <c r="G657" s="5" t="n"/>
      <c r="H657" s="5" t="n"/>
    </row>
    <row r="658" hidden="1" s="38">
      <c r="A658" s="25" t="n"/>
      <c r="B658" s="5" t="n"/>
      <c r="C658" s="4" t="n"/>
      <c r="D658" s="5" t="n"/>
      <c r="E658" s="5" t="n"/>
      <c r="F658" s="5" t="n"/>
      <c r="G658" s="5" t="n"/>
      <c r="H658" s="5" t="n"/>
    </row>
    <row r="659" hidden="1" s="38">
      <c r="A659" s="25" t="n"/>
      <c r="B659" s="5" t="n"/>
      <c r="C659" s="4" t="n"/>
      <c r="D659" s="5" t="n"/>
      <c r="E659" s="5" t="n"/>
      <c r="F659" s="5" t="n"/>
      <c r="G659" s="5" t="n"/>
      <c r="H659" s="5" t="n"/>
    </row>
    <row r="660" hidden="1" s="38">
      <c r="A660" s="25" t="n"/>
      <c r="B660" s="5" t="n"/>
      <c r="C660" s="4" t="n"/>
      <c r="D660" s="5" t="n"/>
      <c r="E660" s="5" t="n"/>
      <c r="F660" s="5" t="n"/>
      <c r="G660" s="5" t="n"/>
      <c r="H660" s="5" t="n"/>
    </row>
    <row r="661" hidden="1" s="38">
      <c r="A661" s="25" t="n"/>
      <c r="B661" s="5" t="n"/>
      <c r="C661" s="4" t="n"/>
      <c r="D661" s="5" t="n"/>
      <c r="E661" s="5" t="n"/>
      <c r="F661" s="5" t="n"/>
      <c r="G661" s="5" t="n"/>
      <c r="H661" s="5" t="n"/>
    </row>
    <row r="662" hidden="1" s="38">
      <c r="A662" s="25" t="n"/>
      <c r="B662" s="5" t="n"/>
      <c r="C662" s="4" t="n"/>
      <c r="D662" s="5" t="n"/>
      <c r="E662" s="5" t="n"/>
      <c r="F662" s="5" t="n"/>
      <c r="G662" s="5" t="n"/>
      <c r="H662" s="5" t="n"/>
    </row>
    <row r="663" hidden="1" s="38">
      <c r="A663" s="25" t="n"/>
      <c r="B663" s="5" t="n"/>
      <c r="C663" s="4" t="n"/>
      <c r="D663" s="5" t="n"/>
      <c r="E663" s="5" t="n"/>
      <c r="F663" s="5" t="n"/>
      <c r="G663" s="5" t="n"/>
      <c r="H663" s="5" t="n"/>
    </row>
    <row r="664" hidden="1" s="38">
      <c r="A664" s="25" t="n"/>
      <c r="B664" s="5" t="n"/>
      <c r="C664" s="4" t="n"/>
      <c r="D664" s="5" t="n"/>
      <c r="E664" s="5" t="n"/>
      <c r="F664" s="5" t="n"/>
      <c r="G664" s="5" t="n"/>
      <c r="H664" s="5" t="n"/>
    </row>
    <row r="665" hidden="1" s="38">
      <c r="A665" s="25" t="n"/>
      <c r="B665" s="5" t="n"/>
      <c r="C665" s="4" t="n"/>
      <c r="D665" s="5" t="n"/>
      <c r="E665" s="5" t="n"/>
      <c r="F665" s="5" t="n"/>
      <c r="G665" s="5" t="n"/>
      <c r="H665" s="5" t="n"/>
    </row>
    <row r="666" hidden="1" s="38">
      <c r="A666" s="25" t="n"/>
      <c r="B666" s="5" t="n"/>
      <c r="C666" s="4" t="n"/>
      <c r="D666" s="5" t="n"/>
      <c r="E666" s="5" t="n"/>
      <c r="F666" s="5" t="n"/>
      <c r="G666" s="5" t="n"/>
      <c r="H666" s="5" t="n"/>
    </row>
    <row r="667" hidden="1" s="38">
      <c r="A667" s="25" t="n"/>
      <c r="B667" s="5" t="n"/>
      <c r="C667" s="4" t="n"/>
      <c r="D667" s="5" t="n"/>
      <c r="E667" s="5" t="n"/>
      <c r="F667" s="5" t="n"/>
      <c r="G667" s="5" t="n"/>
      <c r="H667" s="5" t="n"/>
    </row>
    <row r="668" hidden="1" s="38">
      <c r="A668" s="25" t="n"/>
      <c r="B668" s="5" t="n"/>
      <c r="C668" s="4" t="n"/>
      <c r="D668" s="5" t="n"/>
      <c r="E668" s="5" t="n"/>
      <c r="F668" s="5" t="n"/>
      <c r="G668" s="5" t="n"/>
      <c r="H668" s="5" t="n"/>
    </row>
    <row r="669" hidden="1" s="38">
      <c r="A669" s="25" t="n"/>
      <c r="B669" s="5" t="n"/>
      <c r="C669" s="4" t="n"/>
      <c r="D669" s="5" t="n"/>
      <c r="E669" s="5" t="n"/>
      <c r="F669" s="5" t="n"/>
      <c r="G669" s="5" t="n"/>
      <c r="H669" s="5" t="n"/>
    </row>
    <row r="670" hidden="1" s="38">
      <c r="A670" s="25" t="n"/>
      <c r="B670" s="5" t="n"/>
      <c r="C670" s="4" t="n"/>
      <c r="D670" s="5" t="n"/>
      <c r="E670" s="5" t="n"/>
      <c r="F670" s="5" t="n"/>
      <c r="G670" s="5" t="n"/>
      <c r="H670" s="5" t="n"/>
    </row>
    <row r="671" hidden="1" s="38">
      <c r="A671" s="25" t="n"/>
      <c r="B671" s="5" t="n"/>
      <c r="C671" s="4" t="n"/>
      <c r="D671" s="5" t="n"/>
      <c r="E671" s="5" t="n"/>
      <c r="F671" s="5" t="n"/>
      <c r="G671" s="5" t="n"/>
      <c r="H671" s="5" t="n"/>
    </row>
    <row r="672" hidden="1" s="38">
      <c r="A672" s="25" t="n"/>
      <c r="B672" s="5" t="n"/>
      <c r="C672" s="4" t="n"/>
      <c r="D672" s="5" t="n"/>
      <c r="E672" s="5" t="n"/>
      <c r="F672" s="5" t="n"/>
      <c r="G672" s="5" t="n"/>
      <c r="H672" s="5" t="n"/>
    </row>
    <row r="673" hidden="1" s="38">
      <c r="A673" s="25" t="n"/>
      <c r="B673" s="5" t="n"/>
      <c r="C673" s="4" t="n"/>
      <c r="D673" s="5" t="n"/>
      <c r="E673" s="5" t="n"/>
      <c r="F673" s="5" t="n"/>
      <c r="G673" s="5" t="n"/>
      <c r="H673" s="5" t="n"/>
    </row>
    <row r="674" hidden="1" s="38">
      <c r="A674" s="25" t="n"/>
      <c r="B674" s="5" t="n"/>
      <c r="C674" s="4" t="n"/>
      <c r="D674" s="5" t="n"/>
      <c r="E674" s="5" t="n"/>
      <c r="F674" s="5" t="n"/>
      <c r="G674" s="5" t="n"/>
      <c r="H674" s="5" t="n"/>
    </row>
    <row r="675" hidden="1" s="38">
      <c r="A675" s="25" t="n"/>
      <c r="B675" s="5" t="n"/>
      <c r="C675" s="4" t="n"/>
      <c r="D675" s="5" t="n"/>
      <c r="E675" s="5" t="n"/>
      <c r="F675" s="5" t="n"/>
      <c r="G675" s="5" t="n"/>
      <c r="H675" s="5" t="n"/>
    </row>
    <row r="676" hidden="1" s="38">
      <c r="A676" s="25" t="n"/>
      <c r="B676" s="5" t="n"/>
      <c r="C676" s="4" t="n"/>
      <c r="D676" s="5" t="n"/>
      <c r="E676" s="5" t="n"/>
      <c r="F676" s="5" t="n"/>
      <c r="G676" s="5" t="n"/>
      <c r="H676" s="5" t="n"/>
    </row>
    <row r="677" hidden="1" s="38">
      <c r="A677" s="25" t="n"/>
      <c r="B677" s="5" t="n"/>
      <c r="C677" s="4" t="n"/>
      <c r="D677" s="5" t="n"/>
      <c r="E677" s="5" t="n"/>
      <c r="F677" s="5" t="n"/>
      <c r="G677" s="5" t="n"/>
      <c r="H677" s="5" t="n"/>
    </row>
    <row r="678" hidden="1" s="38">
      <c r="A678" s="25" t="n"/>
      <c r="B678" s="5" t="n"/>
      <c r="C678" s="4" t="n"/>
      <c r="D678" s="5" t="n"/>
      <c r="E678" s="5" t="n"/>
      <c r="F678" s="5" t="n"/>
      <c r="G678" s="5" t="n"/>
      <c r="H678" s="5" t="n"/>
    </row>
    <row r="679" hidden="1" s="38">
      <c r="A679" s="25" t="n"/>
      <c r="B679" s="5" t="n"/>
      <c r="C679" s="4" t="n"/>
      <c r="D679" s="5" t="n"/>
      <c r="E679" s="5" t="n"/>
      <c r="F679" s="5" t="n"/>
      <c r="G679" s="5" t="n"/>
      <c r="H679" s="5" t="n"/>
    </row>
    <row r="680" hidden="1" s="38">
      <c r="A680" s="25" t="n"/>
      <c r="B680" s="5" t="n"/>
      <c r="C680" s="4" t="n"/>
      <c r="D680" s="5" t="n"/>
      <c r="E680" s="5" t="n"/>
      <c r="F680" s="5" t="n"/>
      <c r="G680" s="5" t="n"/>
      <c r="H680" s="5" t="n"/>
    </row>
    <row r="681" hidden="1" s="38">
      <c r="A681" s="25" t="n"/>
      <c r="B681" s="5" t="n"/>
      <c r="C681" s="4" t="n"/>
      <c r="D681" s="5" t="n"/>
      <c r="E681" s="5" t="n"/>
      <c r="F681" s="5" t="n"/>
      <c r="G681" s="5" t="n"/>
      <c r="H681" s="5" t="n"/>
    </row>
    <row r="682" hidden="1" s="38">
      <c r="A682" s="25" t="n"/>
      <c r="B682" s="5" t="n"/>
      <c r="C682" s="4" t="n"/>
      <c r="D682" s="5" t="n"/>
      <c r="E682" s="5" t="n"/>
      <c r="F682" s="5" t="n"/>
      <c r="G682" s="5" t="n"/>
      <c r="H682" s="5" t="n"/>
    </row>
    <row r="683" hidden="1" s="38">
      <c r="A683" s="25" t="n"/>
      <c r="B683" s="5" t="n"/>
      <c r="C683" s="4" t="n"/>
      <c r="D683" s="5" t="n"/>
      <c r="E683" s="5" t="n"/>
      <c r="F683" s="5" t="n"/>
      <c r="G683" s="5" t="n"/>
      <c r="H683" s="5" t="n"/>
    </row>
    <row r="684" hidden="1" s="38">
      <c r="A684" s="25" t="n"/>
      <c r="B684" s="5" t="n"/>
      <c r="C684" s="4" t="n"/>
      <c r="D684" s="5" t="n"/>
      <c r="E684" s="5" t="n"/>
      <c r="F684" s="5" t="n"/>
      <c r="G684" s="5" t="n"/>
      <c r="H684" s="5" t="n"/>
    </row>
    <row r="685" hidden="1" s="38">
      <c r="A685" s="25" t="n"/>
      <c r="B685" s="5" t="n"/>
      <c r="C685" s="4" t="n"/>
      <c r="D685" s="5" t="n"/>
      <c r="E685" s="5" t="n"/>
      <c r="F685" s="5" t="n"/>
      <c r="G685" s="5" t="n"/>
      <c r="H685" s="5" t="n"/>
    </row>
    <row r="686" hidden="1" s="38">
      <c r="A686" s="25" t="n"/>
      <c r="B686" s="5" t="n"/>
      <c r="C686" s="4" t="n"/>
      <c r="D686" s="5" t="n"/>
      <c r="E686" s="5" t="n"/>
      <c r="F686" s="5" t="n"/>
      <c r="G686" s="5" t="n"/>
      <c r="H686" s="5" t="n"/>
    </row>
    <row r="687" hidden="1" s="38">
      <c r="A687" s="25" t="n"/>
      <c r="B687" s="5" t="n"/>
      <c r="C687" s="4" t="n"/>
      <c r="D687" s="5" t="n"/>
      <c r="E687" s="5" t="n"/>
      <c r="F687" s="5" t="n"/>
      <c r="G687" s="5" t="n"/>
      <c r="H687" s="5" t="n"/>
    </row>
    <row r="688" hidden="1" s="38">
      <c r="A688" s="25" t="n"/>
      <c r="B688" s="5" t="n"/>
      <c r="C688" s="4" t="n"/>
      <c r="D688" s="5" t="n"/>
      <c r="E688" s="5" t="n"/>
      <c r="F688" s="5" t="n"/>
      <c r="G688" s="5" t="n"/>
      <c r="H688" s="5" t="n"/>
    </row>
    <row r="689" hidden="1" s="38">
      <c r="A689" s="25" t="n"/>
      <c r="B689" s="5" t="n"/>
      <c r="C689" s="4" t="n"/>
      <c r="D689" s="5" t="n"/>
      <c r="E689" s="5" t="n"/>
      <c r="F689" s="5" t="n"/>
      <c r="G689" s="5" t="n"/>
      <c r="H689" s="5" t="n"/>
    </row>
    <row r="690" hidden="1" s="38">
      <c r="A690" s="25" t="n"/>
      <c r="B690" s="5" t="n"/>
      <c r="C690" s="4" t="n"/>
      <c r="D690" s="5" t="n"/>
      <c r="E690" s="5" t="n"/>
      <c r="F690" s="5" t="n"/>
      <c r="G690" s="5" t="n"/>
      <c r="H690" s="5" t="n"/>
    </row>
    <row r="691" hidden="1" s="38">
      <c r="A691" s="25" t="n"/>
      <c r="B691" s="5" t="n"/>
      <c r="C691" s="4" t="n"/>
      <c r="D691" s="5" t="n"/>
      <c r="E691" s="5" t="n"/>
      <c r="F691" s="5" t="n"/>
      <c r="G691" s="5" t="n"/>
      <c r="H691" s="5" t="n"/>
    </row>
    <row r="692" hidden="1" s="38">
      <c r="A692" s="25" t="n"/>
      <c r="B692" s="5" t="n"/>
      <c r="C692" s="4" t="n"/>
      <c r="D692" s="5" t="n"/>
      <c r="E692" s="5" t="n"/>
      <c r="F692" s="5" t="n"/>
      <c r="G692" s="5" t="n"/>
      <c r="H692" s="5" t="n"/>
    </row>
    <row r="693" hidden="1" s="38">
      <c r="A693" s="25" t="n"/>
      <c r="B693" s="5" t="n"/>
      <c r="C693" s="4" t="n"/>
      <c r="D693" s="5" t="n"/>
      <c r="E693" s="5" t="n"/>
      <c r="F693" s="5" t="n"/>
      <c r="G693" s="5" t="n"/>
      <c r="H693" s="5" t="n"/>
    </row>
    <row r="694" hidden="1" s="38">
      <c r="A694" s="25" t="n"/>
      <c r="B694" s="5" t="n"/>
      <c r="C694" s="4" t="n"/>
      <c r="D694" s="5" t="n"/>
      <c r="E694" s="5" t="n"/>
      <c r="F694" s="5" t="n"/>
      <c r="G694" s="5" t="n"/>
      <c r="H694" s="5" t="n"/>
    </row>
    <row r="695" hidden="1" s="38">
      <c r="A695" s="25" t="n"/>
      <c r="B695" s="5" t="n"/>
      <c r="C695" s="4" t="n"/>
      <c r="D695" s="5" t="n"/>
      <c r="E695" s="5" t="n"/>
      <c r="F695" s="5" t="n"/>
      <c r="G695" s="5" t="n"/>
      <c r="H695" s="5" t="n"/>
    </row>
    <row r="696" hidden="1" s="38">
      <c r="A696" s="25" t="n"/>
      <c r="B696" s="5" t="n"/>
      <c r="C696" s="4" t="n"/>
      <c r="D696" s="5" t="n"/>
      <c r="E696" s="5" t="n"/>
      <c r="F696" s="5" t="n"/>
      <c r="G696" s="5" t="n"/>
      <c r="H696" s="5" t="n"/>
    </row>
    <row r="697" hidden="1" s="38">
      <c r="A697" s="25" t="n"/>
      <c r="B697" s="5" t="n"/>
      <c r="C697" s="4" t="n"/>
      <c r="D697" s="5" t="n"/>
      <c r="E697" s="5" t="n"/>
      <c r="F697" s="5" t="n"/>
      <c r="G697" s="5" t="n"/>
      <c r="H697" s="5" t="n"/>
    </row>
    <row r="698" hidden="1" s="38">
      <c r="A698" s="25" t="n"/>
      <c r="B698" s="5" t="n"/>
      <c r="C698" s="4" t="n"/>
      <c r="D698" s="5" t="n"/>
      <c r="E698" s="5" t="n"/>
      <c r="F698" s="5" t="n"/>
      <c r="G698" s="5" t="n"/>
      <c r="H698" s="5" t="n"/>
    </row>
    <row r="699" hidden="1" s="38">
      <c r="A699" s="25" t="n"/>
      <c r="B699" s="5" t="n"/>
      <c r="C699" s="4" t="n"/>
      <c r="D699" s="5" t="n"/>
      <c r="E699" s="5" t="n"/>
      <c r="F699" s="5" t="n"/>
      <c r="G699" s="5" t="n"/>
      <c r="H699" s="5" t="n"/>
    </row>
    <row r="700" hidden="1" s="38">
      <c r="A700" s="25" t="n"/>
      <c r="B700" s="5" t="n"/>
      <c r="C700" s="4" t="n"/>
      <c r="D700" s="5" t="n"/>
      <c r="E700" s="5" t="n"/>
      <c r="F700" s="5" t="n"/>
      <c r="G700" s="5" t="n"/>
      <c r="H700" s="5" t="n"/>
    </row>
    <row r="701" hidden="1" s="38">
      <c r="A701" s="25" t="n"/>
      <c r="B701" s="5" t="n"/>
      <c r="C701" s="4" t="n"/>
      <c r="D701" s="5" t="n"/>
      <c r="E701" s="5" t="n"/>
      <c r="F701" s="5" t="n"/>
      <c r="G701" s="5" t="n"/>
      <c r="H701" s="5" t="n"/>
    </row>
    <row r="702" hidden="1" s="38">
      <c r="A702" s="25" t="n"/>
      <c r="B702" s="5" t="n"/>
      <c r="C702" s="4" t="n"/>
      <c r="D702" s="5" t="n"/>
      <c r="E702" s="5" t="n"/>
      <c r="F702" s="5" t="n"/>
      <c r="G702" s="5" t="n"/>
      <c r="H702" s="5" t="n"/>
    </row>
    <row r="703" hidden="1" s="38">
      <c r="A703" s="25" t="n"/>
      <c r="B703" s="5" t="n"/>
      <c r="C703" s="4" t="n"/>
      <c r="D703" s="5" t="n"/>
      <c r="E703" s="5" t="n"/>
      <c r="F703" s="5" t="n"/>
      <c r="G703" s="5" t="n"/>
      <c r="H703" s="5" t="n"/>
    </row>
    <row r="704" hidden="1" s="38">
      <c r="A704" s="25" t="n"/>
      <c r="B704" s="5" t="n"/>
      <c r="C704" s="4" t="n"/>
      <c r="D704" s="5" t="n"/>
      <c r="E704" s="5" t="n"/>
      <c r="F704" s="5" t="n"/>
      <c r="G704" s="5" t="n"/>
      <c r="H704" s="5" t="n"/>
    </row>
    <row r="705" hidden="1" s="38">
      <c r="A705" s="25" t="n"/>
      <c r="B705" s="5" t="n"/>
      <c r="C705" s="4" t="n"/>
      <c r="D705" s="5" t="n"/>
      <c r="E705" s="5" t="n"/>
      <c r="F705" s="5" t="n"/>
      <c r="G705" s="5" t="n"/>
      <c r="H705" s="5" t="n"/>
    </row>
    <row r="706" hidden="1" s="38">
      <c r="A706" s="25" t="n"/>
      <c r="B706" s="5" t="n"/>
      <c r="C706" s="4" t="n"/>
      <c r="D706" s="5" t="n"/>
      <c r="E706" s="5" t="n"/>
      <c r="F706" s="5" t="n"/>
      <c r="G706" s="5" t="n"/>
      <c r="H706" s="5" t="n"/>
    </row>
    <row r="707" hidden="1" s="38">
      <c r="A707" s="25" t="n"/>
      <c r="B707" s="5" t="n"/>
      <c r="C707" s="4" t="n"/>
      <c r="D707" s="5" t="n"/>
      <c r="E707" s="5" t="n"/>
      <c r="F707" s="5" t="n"/>
      <c r="G707" s="5" t="n"/>
      <c r="H707" s="5" t="n"/>
    </row>
    <row r="708" hidden="1" s="38">
      <c r="A708" s="25" t="n"/>
      <c r="B708" s="5" t="n"/>
      <c r="C708" s="4" t="n"/>
      <c r="D708" s="5" t="n"/>
      <c r="E708" s="5" t="n"/>
      <c r="F708" s="5" t="n"/>
      <c r="G708" s="5" t="n"/>
      <c r="H708" s="5" t="n"/>
    </row>
    <row r="709" hidden="1" s="38">
      <c r="A709" s="25" t="n"/>
      <c r="B709" s="5" t="n"/>
      <c r="C709" s="4" t="n"/>
      <c r="D709" s="5" t="n"/>
      <c r="E709" s="5" t="n"/>
      <c r="F709" s="5" t="n"/>
      <c r="G709" s="5" t="n"/>
      <c r="H709" s="5" t="n"/>
    </row>
    <row r="710" hidden="1" s="38">
      <c r="A710" s="25" t="n"/>
      <c r="B710" s="5" t="n"/>
      <c r="C710" s="4" t="n"/>
      <c r="D710" s="5" t="n"/>
      <c r="E710" s="5" t="n"/>
      <c r="F710" s="5" t="n"/>
      <c r="G710" s="5" t="n"/>
      <c r="H710" s="5" t="n"/>
    </row>
    <row r="711" hidden="1" s="38">
      <c r="A711" s="25" t="n"/>
      <c r="B711" s="5" t="n"/>
      <c r="C711" s="4" t="n"/>
      <c r="D711" s="5" t="n"/>
      <c r="E711" s="5" t="n"/>
      <c r="F711" s="5" t="n"/>
      <c r="G711" s="5" t="n"/>
      <c r="H711" s="5" t="n"/>
    </row>
    <row r="712" hidden="1" s="38">
      <c r="A712" s="25" t="n"/>
      <c r="B712" s="5" t="n"/>
      <c r="C712" s="4" t="n"/>
      <c r="D712" s="5" t="n"/>
      <c r="E712" s="5" t="n"/>
      <c r="F712" s="5" t="n"/>
      <c r="G712" s="5" t="n"/>
      <c r="H712" s="5" t="n"/>
    </row>
    <row r="713" hidden="1" s="38">
      <c r="A713" s="25" t="n"/>
      <c r="B713" s="5" t="n"/>
      <c r="C713" s="4" t="n"/>
      <c r="D713" s="5" t="n"/>
      <c r="E713" s="5" t="n"/>
      <c r="F713" s="5" t="n"/>
      <c r="G713" s="5" t="n"/>
      <c r="H713" s="5" t="n"/>
    </row>
    <row r="714" hidden="1" s="38">
      <c r="A714" s="25" t="n"/>
      <c r="B714" s="5" t="n"/>
      <c r="C714" s="4" t="n"/>
      <c r="D714" s="5" t="n"/>
      <c r="E714" s="5" t="n"/>
      <c r="F714" s="5" t="n"/>
      <c r="G714" s="5" t="n"/>
      <c r="H714" s="5" t="n"/>
    </row>
    <row r="715" hidden="1" s="38">
      <c r="A715" s="25" t="n"/>
      <c r="B715" s="5" t="n"/>
      <c r="C715" s="4" t="n"/>
      <c r="D715" s="5" t="n"/>
      <c r="E715" s="5" t="n"/>
      <c r="F715" s="5" t="n"/>
      <c r="G715" s="5" t="n"/>
      <c r="H715" s="5" t="n"/>
    </row>
    <row r="716" hidden="1" s="38">
      <c r="A716" s="25" t="n"/>
      <c r="B716" s="5" t="n"/>
      <c r="C716" s="4" t="n"/>
      <c r="D716" s="5" t="n"/>
      <c r="E716" s="5" t="n"/>
      <c r="F716" s="5" t="n"/>
      <c r="G716" s="5" t="n"/>
      <c r="H716" s="5" t="n"/>
    </row>
    <row r="717" hidden="1" s="38">
      <c r="A717" s="25" t="n"/>
      <c r="B717" s="5" t="n"/>
      <c r="C717" s="4" t="n"/>
      <c r="D717" s="5" t="n"/>
      <c r="E717" s="5" t="n"/>
      <c r="F717" s="5" t="n"/>
      <c r="G717" s="5" t="n"/>
      <c r="H717" s="5" t="n"/>
    </row>
    <row r="718" hidden="1" s="38">
      <c r="A718" s="25" t="n"/>
      <c r="B718" s="5" t="n"/>
      <c r="C718" s="4" t="n"/>
      <c r="D718" s="5" t="n"/>
      <c r="E718" s="5" t="n"/>
      <c r="F718" s="5" t="n"/>
      <c r="G718" s="5" t="n"/>
      <c r="H718" s="5" t="n"/>
    </row>
    <row r="719" hidden="1" s="38">
      <c r="A719" s="25" t="n"/>
      <c r="B719" s="5" t="n"/>
      <c r="C719" s="4" t="n"/>
      <c r="D719" s="5" t="n"/>
      <c r="E719" s="5" t="n"/>
      <c r="F719" s="5" t="n"/>
      <c r="G719" s="5" t="n"/>
      <c r="H719" s="5" t="n"/>
    </row>
    <row r="720" hidden="1" s="38">
      <c r="A720" s="25" t="n"/>
      <c r="B720" s="5" t="n"/>
      <c r="C720" s="4" t="n"/>
      <c r="D720" s="5" t="n"/>
      <c r="E720" s="5" t="n"/>
      <c r="F720" s="5" t="n"/>
      <c r="G720" s="5" t="n"/>
      <c r="H720" s="5" t="n"/>
    </row>
    <row r="721" hidden="1" s="38">
      <c r="A721" s="25" t="n"/>
      <c r="B721" s="5" t="n"/>
      <c r="C721" s="4" t="n"/>
      <c r="D721" s="5" t="n"/>
      <c r="E721" s="5" t="n"/>
      <c r="F721" s="5" t="n"/>
      <c r="G721" s="5" t="n"/>
      <c r="H721" s="5" t="n"/>
    </row>
    <row r="722" hidden="1" s="38">
      <c r="A722" s="25" t="n"/>
      <c r="B722" s="5" t="n"/>
      <c r="C722" s="4" t="n"/>
      <c r="D722" s="5" t="n"/>
      <c r="E722" s="5" t="n"/>
      <c r="F722" s="5" t="n"/>
      <c r="G722" s="5" t="n"/>
      <c r="H722" s="5" t="n"/>
    </row>
    <row r="723" hidden="1" s="38">
      <c r="A723" s="25" t="n"/>
      <c r="B723" s="5" t="n"/>
      <c r="C723" s="4" t="n"/>
      <c r="D723" s="5" t="n"/>
      <c r="E723" s="5" t="n"/>
      <c r="F723" s="5" t="n"/>
      <c r="G723" s="5" t="n"/>
      <c r="H723" s="5" t="n"/>
    </row>
    <row r="724" hidden="1" s="38">
      <c r="A724" s="25" t="n"/>
      <c r="B724" s="5" t="n"/>
      <c r="C724" s="4" t="n"/>
      <c r="D724" s="5" t="n"/>
      <c r="E724" s="5" t="n"/>
      <c r="F724" s="5" t="n"/>
      <c r="G724" s="5" t="n"/>
      <c r="H724" s="5" t="n"/>
    </row>
    <row r="725" hidden="1" s="38">
      <c r="A725" s="25" t="n"/>
      <c r="B725" s="5" t="n"/>
      <c r="C725" s="4" t="n"/>
      <c r="D725" s="5" t="n"/>
      <c r="E725" s="5" t="n"/>
      <c r="F725" s="5" t="n"/>
      <c r="G725" s="5" t="n"/>
      <c r="H725" s="5" t="n"/>
    </row>
    <row r="726" hidden="1" s="38">
      <c r="A726" s="25" t="n"/>
      <c r="B726" s="5" t="n"/>
      <c r="C726" s="4" t="n"/>
      <c r="D726" s="5" t="n"/>
      <c r="E726" s="5" t="n"/>
      <c r="F726" s="5" t="n"/>
      <c r="G726" s="5" t="n"/>
      <c r="H726" s="5" t="n"/>
    </row>
    <row r="727" hidden="1" s="38">
      <c r="A727" s="25" t="n"/>
      <c r="B727" s="5" t="n"/>
      <c r="C727" s="4" t="n"/>
      <c r="D727" s="5" t="n"/>
      <c r="E727" s="5" t="n"/>
      <c r="F727" s="5" t="n"/>
      <c r="G727" s="5" t="n"/>
      <c r="H727" s="5" t="n"/>
    </row>
    <row r="728" hidden="1" s="38">
      <c r="A728" s="25" t="n"/>
      <c r="B728" s="5" t="n"/>
      <c r="C728" s="4" t="n"/>
      <c r="D728" s="5" t="n"/>
      <c r="E728" s="5" t="n"/>
      <c r="F728" s="5" t="n"/>
      <c r="G728" s="5" t="n"/>
      <c r="H728" s="5" t="n"/>
    </row>
    <row r="729" hidden="1" s="38">
      <c r="A729" s="25" t="n"/>
      <c r="B729" s="5" t="n"/>
      <c r="C729" s="4" t="n"/>
      <c r="D729" s="5" t="n"/>
      <c r="E729" s="5" t="n"/>
      <c r="F729" s="5" t="n"/>
      <c r="G729" s="5" t="n"/>
      <c r="H729" s="5" t="n"/>
    </row>
    <row r="730" hidden="1" s="38">
      <c r="A730" s="25" t="n"/>
      <c r="B730" s="5" t="n"/>
      <c r="C730" s="4" t="n"/>
      <c r="D730" s="5" t="n"/>
      <c r="E730" s="5" t="n"/>
      <c r="F730" s="5" t="n"/>
      <c r="G730" s="5" t="n"/>
      <c r="H730" s="5" t="n"/>
    </row>
    <row r="731" hidden="1" s="38">
      <c r="A731" s="25" t="n"/>
      <c r="B731" s="5" t="n"/>
      <c r="C731" s="4" t="n"/>
      <c r="D731" s="5" t="n"/>
      <c r="E731" s="5" t="n"/>
      <c r="F731" s="5" t="n"/>
      <c r="G731" s="5" t="n"/>
      <c r="H731" s="5" t="n"/>
    </row>
    <row r="732" hidden="1" s="38">
      <c r="A732" s="25" t="n"/>
      <c r="B732" s="5" t="n"/>
      <c r="C732" s="4" t="n"/>
      <c r="D732" s="5" t="n"/>
      <c r="E732" s="5" t="n"/>
      <c r="F732" s="5" t="n"/>
      <c r="G732" s="5" t="n"/>
      <c r="H732" s="5" t="n"/>
    </row>
    <row r="733" hidden="1" s="38">
      <c r="A733" s="25" t="n"/>
      <c r="B733" s="5" t="n"/>
      <c r="C733" s="4" t="n"/>
      <c r="D733" s="5" t="n"/>
      <c r="E733" s="5" t="n"/>
      <c r="F733" s="5" t="n"/>
      <c r="G733" s="5" t="n"/>
      <c r="H733" s="5" t="n"/>
    </row>
    <row r="734" hidden="1" s="38">
      <c r="A734" s="25" t="n"/>
      <c r="B734" s="5" t="n"/>
      <c r="C734" s="4" t="n"/>
      <c r="D734" s="5" t="n"/>
      <c r="E734" s="5" t="n"/>
      <c r="F734" s="5" t="n"/>
      <c r="G734" s="5" t="n"/>
      <c r="H734" s="5" t="n"/>
    </row>
    <row r="735" hidden="1" s="38">
      <c r="A735" s="25" t="n"/>
      <c r="B735" s="5" t="n"/>
      <c r="C735" s="4" t="n"/>
      <c r="D735" s="5" t="n"/>
      <c r="E735" s="5" t="n"/>
      <c r="F735" s="5" t="n"/>
      <c r="G735" s="5" t="n"/>
      <c r="H735" s="5" t="n"/>
    </row>
    <row r="736" hidden="1" s="38">
      <c r="A736" s="25" t="n"/>
      <c r="B736" s="5" t="n"/>
      <c r="C736" s="4" t="n"/>
      <c r="D736" s="5" t="n"/>
      <c r="E736" s="5" t="n"/>
      <c r="F736" s="5" t="n"/>
      <c r="G736" s="5" t="n"/>
      <c r="H736" s="5" t="n"/>
    </row>
    <row r="737" hidden="1" s="38">
      <c r="A737" s="25" t="n"/>
      <c r="B737" s="5" t="n"/>
      <c r="C737" s="4" t="n"/>
      <c r="D737" s="5" t="n"/>
      <c r="E737" s="5" t="n"/>
      <c r="F737" s="5" t="n"/>
      <c r="G737" s="5" t="n"/>
      <c r="H737" s="5" t="n"/>
    </row>
    <row r="738" hidden="1" s="38">
      <c r="A738" s="25" t="n"/>
      <c r="B738" s="5" t="n"/>
      <c r="C738" s="4" t="n"/>
      <c r="D738" s="5" t="n"/>
      <c r="E738" s="5" t="n"/>
      <c r="F738" s="5" t="n"/>
      <c r="G738" s="5" t="n"/>
      <c r="H738" s="5" t="n"/>
    </row>
    <row r="739" hidden="1" s="38">
      <c r="A739" s="25" t="n"/>
      <c r="B739" s="5" t="n"/>
      <c r="C739" s="4" t="n"/>
      <c r="D739" s="5" t="n"/>
      <c r="E739" s="5" t="n"/>
      <c r="F739" s="5" t="n"/>
      <c r="G739" s="5" t="n"/>
      <c r="H739" s="5" t="n"/>
    </row>
    <row r="740" hidden="1" s="38">
      <c r="A740" s="25" t="n"/>
      <c r="B740" s="5" t="n"/>
      <c r="C740" s="4" t="n"/>
      <c r="D740" s="5" t="n"/>
      <c r="E740" s="5" t="n"/>
      <c r="F740" s="5" t="n"/>
      <c r="G740" s="5" t="n"/>
      <c r="H740" s="5" t="n"/>
    </row>
    <row r="741" hidden="1" s="38">
      <c r="A741" s="25" t="n"/>
      <c r="B741" s="5" t="n"/>
      <c r="C741" s="4" t="n"/>
      <c r="D741" s="5" t="n"/>
      <c r="E741" s="5" t="n"/>
      <c r="F741" s="5" t="n"/>
      <c r="G741" s="5" t="n"/>
      <c r="H741" s="5" t="n"/>
    </row>
    <row r="742" hidden="1" s="38">
      <c r="A742" s="25" t="n"/>
      <c r="B742" s="5" t="n"/>
      <c r="C742" s="4" t="n"/>
      <c r="D742" s="5" t="n"/>
      <c r="E742" s="5" t="n"/>
      <c r="F742" s="5" t="n"/>
      <c r="G742" s="5" t="n"/>
      <c r="H742" s="5" t="n"/>
    </row>
    <row r="743" hidden="1" s="38">
      <c r="A743" s="25" t="n"/>
      <c r="B743" s="5" t="n"/>
      <c r="C743" s="4" t="n"/>
      <c r="D743" s="5" t="n"/>
      <c r="E743" s="5" t="n"/>
      <c r="F743" s="5" t="n"/>
      <c r="G743" s="5" t="n"/>
      <c r="H743" s="5" t="n"/>
    </row>
    <row r="744" hidden="1" s="38">
      <c r="A744" s="25" t="n"/>
      <c r="B744" s="5" t="n"/>
      <c r="C744" s="4" t="n"/>
      <c r="D744" s="5" t="n"/>
      <c r="E744" s="5" t="n"/>
      <c r="F744" s="5" t="n"/>
      <c r="G744" s="5" t="n"/>
      <c r="H744" s="5" t="n"/>
    </row>
    <row r="745" hidden="1" s="38">
      <c r="A745" s="25" t="n"/>
      <c r="B745" s="5" t="n"/>
      <c r="C745" s="4" t="n"/>
      <c r="D745" s="5" t="n"/>
      <c r="E745" s="5" t="n"/>
      <c r="F745" s="5" t="n"/>
      <c r="G745" s="5" t="n"/>
      <c r="H745" s="5" t="n"/>
    </row>
    <row r="746" hidden="1" s="38">
      <c r="A746" s="25" t="n"/>
      <c r="B746" s="5" t="n"/>
      <c r="C746" s="4" t="n"/>
      <c r="D746" s="5" t="n"/>
      <c r="E746" s="5" t="n"/>
      <c r="F746" s="5" t="n"/>
      <c r="G746" s="5" t="n"/>
      <c r="H746" s="5" t="n"/>
    </row>
    <row r="747" hidden="1" s="38">
      <c r="A747" s="25" t="n"/>
      <c r="B747" s="5" t="n"/>
      <c r="C747" s="4" t="n"/>
      <c r="D747" s="5" t="n"/>
      <c r="E747" s="5" t="n"/>
      <c r="F747" s="5" t="n"/>
      <c r="G747" s="5" t="n"/>
      <c r="H747" s="5" t="n"/>
    </row>
    <row r="748" hidden="1" s="38">
      <c r="A748" s="25" t="n"/>
      <c r="B748" s="5" t="n"/>
      <c r="C748" s="4" t="n"/>
      <c r="D748" s="5" t="n"/>
      <c r="E748" s="5" t="n"/>
      <c r="F748" s="5" t="n"/>
      <c r="G748" s="5" t="n"/>
      <c r="H748" s="5" t="n"/>
    </row>
    <row r="749" hidden="1" s="38">
      <c r="A749" s="25" t="n"/>
      <c r="B749" s="5" t="n"/>
      <c r="C749" s="4" t="n"/>
      <c r="D749" s="5" t="n"/>
      <c r="E749" s="5" t="n"/>
      <c r="F749" s="5" t="n"/>
      <c r="G749" s="5" t="n"/>
      <c r="H749" s="5" t="n"/>
    </row>
    <row r="750" hidden="1" s="38">
      <c r="A750" s="25" t="n"/>
      <c r="B750" s="5" t="n"/>
      <c r="C750" s="4" t="n"/>
      <c r="D750" s="5" t="n"/>
      <c r="E750" s="5" t="n"/>
      <c r="F750" s="5" t="n"/>
      <c r="G750" s="5" t="n"/>
      <c r="H750" s="5" t="n"/>
    </row>
    <row r="751" hidden="1" s="38">
      <c r="A751" s="25" t="n"/>
      <c r="B751" s="5" t="n"/>
      <c r="C751" s="4" t="n"/>
      <c r="D751" s="5" t="n"/>
      <c r="E751" s="5" t="n"/>
      <c r="F751" s="5" t="n"/>
      <c r="G751" s="5" t="n"/>
      <c r="H751" s="5" t="n"/>
    </row>
    <row r="752" hidden="1" s="38">
      <c r="A752" s="25" t="n"/>
      <c r="B752" s="5" t="n"/>
      <c r="C752" s="4" t="n"/>
      <c r="D752" s="5" t="n"/>
      <c r="E752" s="5" t="n"/>
      <c r="F752" s="5" t="n"/>
      <c r="G752" s="5" t="n"/>
      <c r="H752" s="5" t="n"/>
    </row>
    <row r="753" hidden="1" s="38">
      <c r="A753" s="25" t="n"/>
      <c r="B753" s="5" t="n"/>
      <c r="C753" s="4" t="n"/>
      <c r="D753" s="5" t="n"/>
      <c r="E753" s="5" t="n"/>
      <c r="F753" s="5" t="n"/>
      <c r="G753" s="5" t="n"/>
      <c r="H753" s="5" t="n"/>
    </row>
    <row r="754" hidden="1" s="38">
      <c r="A754" s="25" t="n"/>
      <c r="B754" s="5" t="n"/>
      <c r="C754" s="4" t="n"/>
      <c r="D754" s="5" t="n"/>
      <c r="E754" s="5" t="n"/>
      <c r="F754" s="5" t="n"/>
      <c r="G754" s="5" t="n"/>
      <c r="H754" s="5" t="n"/>
    </row>
    <row r="755" hidden="1" s="38">
      <c r="A755" s="25" t="n"/>
      <c r="B755" s="5" t="n"/>
      <c r="C755" s="4" t="n"/>
      <c r="D755" s="5" t="n"/>
      <c r="E755" s="5" t="n"/>
      <c r="F755" s="5" t="n"/>
      <c r="G755" s="5" t="n"/>
      <c r="H755" s="5" t="n"/>
    </row>
    <row r="756" hidden="1" s="38">
      <c r="A756" s="25" t="n"/>
      <c r="B756" s="5" t="n"/>
      <c r="C756" s="4" t="n"/>
      <c r="D756" s="5" t="n"/>
      <c r="E756" s="5" t="n"/>
      <c r="F756" s="5" t="n"/>
      <c r="G756" s="5" t="n"/>
      <c r="H756" s="5" t="n"/>
    </row>
    <row r="757" hidden="1" s="38">
      <c r="A757" s="25" t="n"/>
      <c r="B757" s="5" t="n"/>
      <c r="C757" s="4" t="n"/>
      <c r="D757" s="5" t="n"/>
      <c r="E757" s="5" t="n"/>
      <c r="F757" s="5" t="n"/>
      <c r="G757" s="5" t="n"/>
      <c r="H757" s="5" t="n"/>
    </row>
    <row r="758" hidden="1" s="38">
      <c r="A758" s="25" t="n"/>
      <c r="B758" s="5" t="n"/>
      <c r="C758" s="4" t="n"/>
      <c r="D758" s="5" t="n"/>
      <c r="E758" s="5" t="n"/>
      <c r="F758" s="5" t="n"/>
      <c r="G758" s="5" t="n"/>
      <c r="H758" s="5" t="n"/>
    </row>
    <row r="759" hidden="1" s="38">
      <c r="A759" s="25" t="n"/>
      <c r="B759" s="5" t="n"/>
      <c r="C759" s="4" t="n"/>
      <c r="D759" s="5" t="n"/>
      <c r="E759" s="5" t="n"/>
      <c r="F759" s="5" t="n"/>
      <c r="G759" s="5" t="n"/>
      <c r="H759" s="5" t="n"/>
    </row>
    <row r="760" hidden="1" s="38">
      <c r="A760" s="25" t="n"/>
      <c r="B760" s="5" t="n"/>
      <c r="C760" s="4" t="n"/>
      <c r="D760" s="5" t="n"/>
      <c r="E760" s="5" t="n"/>
      <c r="F760" s="5" t="n"/>
      <c r="G760" s="5" t="n"/>
      <c r="H760" s="5" t="n"/>
    </row>
    <row r="761" hidden="1" s="38">
      <c r="A761" s="25" t="n"/>
      <c r="B761" s="5" t="n"/>
      <c r="C761" s="4" t="n"/>
      <c r="D761" s="5" t="n"/>
      <c r="E761" s="5" t="n"/>
      <c r="F761" s="5" t="n"/>
      <c r="G761" s="5" t="n"/>
      <c r="H761" s="5" t="n"/>
    </row>
    <row r="762" hidden="1" s="38">
      <c r="A762" s="25" t="n"/>
      <c r="B762" s="5" t="n"/>
      <c r="C762" s="4" t="n"/>
      <c r="D762" s="5" t="n"/>
      <c r="E762" s="5" t="n"/>
      <c r="F762" s="5" t="n"/>
      <c r="G762" s="5" t="n"/>
      <c r="H762" s="5" t="n"/>
    </row>
    <row r="763" hidden="1" s="38">
      <c r="A763" s="25" t="n"/>
      <c r="B763" s="5" t="n"/>
      <c r="C763" s="4" t="n"/>
      <c r="D763" s="5" t="n"/>
      <c r="E763" s="5" t="n"/>
      <c r="F763" s="5" t="n"/>
      <c r="G763" s="5" t="n"/>
      <c r="H763" s="5" t="n"/>
    </row>
    <row r="764" hidden="1" s="38">
      <c r="A764" s="25" t="n"/>
      <c r="B764" s="5" t="n"/>
      <c r="C764" s="4" t="n"/>
      <c r="D764" s="5" t="n"/>
      <c r="E764" s="5" t="n"/>
      <c r="F764" s="5" t="n"/>
      <c r="G764" s="5" t="n"/>
      <c r="H764" s="5" t="n"/>
    </row>
    <row r="765" hidden="1" s="38">
      <c r="A765" s="25" t="n"/>
      <c r="B765" s="5" t="n"/>
      <c r="C765" s="4" t="n"/>
      <c r="D765" s="5" t="n"/>
      <c r="E765" s="5" t="n"/>
      <c r="F765" s="5" t="n"/>
      <c r="G765" s="5" t="n"/>
      <c r="H765" s="5" t="n"/>
    </row>
    <row r="766" hidden="1" s="38">
      <c r="A766" s="25" t="n"/>
      <c r="B766" s="5" t="n"/>
      <c r="C766" s="4" t="n"/>
      <c r="D766" s="5" t="n"/>
      <c r="E766" s="5" t="n"/>
      <c r="F766" s="5" t="n"/>
      <c r="G766" s="5" t="n"/>
      <c r="H766" s="5" t="n"/>
    </row>
    <row r="767" hidden="1" s="38">
      <c r="A767" s="25" t="n"/>
      <c r="B767" s="5" t="n"/>
      <c r="C767" s="4" t="n"/>
      <c r="D767" s="5" t="n"/>
      <c r="E767" s="5" t="n"/>
      <c r="F767" s="5" t="n"/>
      <c r="G767" s="5" t="n"/>
      <c r="H767" s="5" t="n"/>
    </row>
    <row r="768" hidden="1" s="38">
      <c r="A768" s="25" t="n"/>
      <c r="B768" s="5" t="n"/>
      <c r="C768" s="4" t="n"/>
      <c r="D768" s="5" t="n"/>
      <c r="E768" s="5" t="n"/>
      <c r="F768" s="5" t="n"/>
      <c r="G768" s="5" t="n"/>
      <c r="H768" s="5" t="n"/>
    </row>
    <row r="769" hidden="1" s="38">
      <c r="A769" s="25" t="n"/>
      <c r="B769" s="5" t="n"/>
      <c r="C769" s="4" t="n"/>
      <c r="D769" s="5" t="n"/>
      <c r="E769" s="5" t="n"/>
      <c r="F769" s="5" t="n"/>
      <c r="G769" s="5" t="n"/>
      <c r="H769" s="5" t="n"/>
    </row>
    <row r="770" hidden="1" s="38">
      <c r="A770" s="25" t="n"/>
      <c r="B770" s="5" t="n"/>
      <c r="C770" s="4" t="n"/>
      <c r="D770" s="5" t="n"/>
      <c r="E770" s="5" t="n"/>
      <c r="F770" s="5" t="n"/>
      <c r="G770" s="5" t="n"/>
      <c r="H770" s="5" t="n"/>
    </row>
    <row r="771" hidden="1" s="38">
      <c r="A771" s="25" t="n"/>
      <c r="B771" s="5" t="n"/>
      <c r="C771" s="4" t="n"/>
      <c r="D771" s="5" t="n"/>
      <c r="E771" s="5" t="n"/>
      <c r="F771" s="5" t="n"/>
      <c r="G771" s="5" t="n"/>
      <c r="H771" s="5" t="n"/>
    </row>
    <row r="772" hidden="1" s="38">
      <c r="A772" s="25" t="n"/>
      <c r="B772" s="5" t="n"/>
      <c r="C772" s="4" t="n"/>
      <c r="D772" s="5" t="n"/>
      <c r="E772" s="5" t="n"/>
      <c r="F772" s="5" t="n"/>
      <c r="G772" s="5" t="n"/>
      <c r="H772" s="5" t="n"/>
    </row>
    <row r="773" hidden="1" s="38">
      <c r="A773" s="25" t="n"/>
      <c r="B773" s="5" t="n"/>
      <c r="C773" s="4" t="n"/>
      <c r="D773" s="5" t="n"/>
      <c r="E773" s="5" t="n"/>
      <c r="F773" s="5" t="n"/>
      <c r="G773" s="5" t="n"/>
      <c r="H773" s="5" t="n"/>
    </row>
    <row r="774" hidden="1" s="38">
      <c r="A774" s="25" t="n"/>
      <c r="B774" s="5" t="n"/>
      <c r="C774" s="4" t="n"/>
      <c r="D774" s="5" t="n"/>
      <c r="E774" s="5" t="n"/>
      <c r="F774" s="5" t="n"/>
      <c r="G774" s="5" t="n"/>
      <c r="H774" s="5" t="n"/>
    </row>
    <row r="775" hidden="1" s="38">
      <c r="A775" s="25" t="n"/>
      <c r="B775" s="5" t="n"/>
      <c r="C775" s="4" t="n"/>
      <c r="D775" s="5" t="n"/>
      <c r="E775" s="5" t="n"/>
      <c r="F775" s="5" t="n"/>
      <c r="G775" s="5" t="n"/>
      <c r="H775" s="5" t="n"/>
    </row>
    <row r="776" hidden="1" s="38">
      <c r="A776" s="25" t="n"/>
      <c r="B776" s="5" t="n"/>
      <c r="C776" s="4" t="n"/>
      <c r="D776" s="5" t="n"/>
      <c r="E776" s="5" t="n"/>
      <c r="F776" s="5" t="n"/>
      <c r="G776" s="5" t="n"/>
      <c r="H776" s="5" t="n"/>
    </row>
    <row r="777" hidden="1" s="38">
      <c r="A777" s="25" t="n"/>
      <c r="B777" s="5" t="n"/>
      <c r="C777" s="4" t="n"/>
      <c r="D777" s="5" t="n"/>
      <c r="E777" s="5" t="n"/>
      <c r="F777" s="5" t="n"/>
      <c r="G777" s="5" t="n"/>
      <c r="H777" s="5" t="n"/>
    </row>
    <row r="778" hidden="1" s="38">
      <c r="A778" s="25" t="n"/>
      <c r="B778" s="5" t="n"/>
      <c r="C778" s="4" t="n"/>
      <c r="D778" s="5" t="n"/>
      <c r="E778" s="5" t="n"/>
      <c r="F778" s="5" t="n"/>
      <c r="G778" s="5" t="n"/>
      <c r="H778" s="5" t="n"/>
    </row>
    <row r="779" hidden="1" s="38">
      <c r="A779" s="25" t="n"/>
      <c r="B779" s="5" t="n"/>
      <c r="C779" s="4" t="n"/>
      <c r="D779" s="5" t="n"/>
      <c r="E779" s="5" t="n"/>
      <c r="F779" s="5" t="n"/>
      <c r="G779" s="5" t="n"/>
      <c r="H779" s="5" t="n"/>
    </row>
    <row r="780" hidden="1" s="38">
      <c r="A780" s="25" t="n"/>
      <c r="B780" s="5" t="n"/>
      <c r="C780" s="4" t="n"/>
      <c r="D780" s="5" t="n"/>
      <c r="E780" s="5" t="n"/>
      <c r="F780" s="5" t="n"/>
      <c r="G780" s="5" t="n"/>
      <c r="H780" s="5" t="n"/>
    </row>
    <row r="781" hidden="1" s="38">
      <c r="A781" s="25" t="n"/>
      <c r="B781" s="5" t="n"/>
      <c r="C781" s="4" t="n"/>
      <c r="D781" s="5" t="n"/>
      <c r="E781" s="5" t="n"/>
      <c r="F781" s="5" t="n"/>
      <c r="G781" s="5" t="n"/>
      <c r="H781" s="5" t="n"/>
    </row>
    <row r="782" hidden="1" s="38">
      <c r="A782" s="25" t="n"/>
      <c r="B782" s="5" t="n"/>
      <c r="C782" s="4" t="n"/>
      <c r="D782" s="5" t="n"/>
      <c r="E782" s="5" t="n"/>
      <c r="F782" s="5" t="n"/>
      <c r="G782" s="5" t="n"/>
      <c r="H782" s="5" t="n"/>
    </row>
    <row r="783" hidden="1" s="38">
      <c r="A783" s="25" t="n"/>
      <c r="B783" s="5" t="n"/>
      <c r="C783" s="4" t="n"/>
      <c r="D783" s="5" t="n"/>
      <c r="E783" s="5" t="n"/>
      <c r="F783" s="5" t="n"/>
      <c r="G783" s="5" t="n"/>
      <c r="H783" s="5" t="n"/>
    </row>
    <row r="784" hidden="1" s="38">
      <c r="A784" s="25" t="n"/>
      <c r="B784" s="5" t="n"/>
      <c r="C784" s="4" t="n"/>
      <c r="D784" s="5" t="n"/>
      <c r="E784" s="5" t="n"/>
      <c r="F784" s="5" t="n"/>
      <c r="G784" s="5" t="n"/>
      <c r="H784" s="5" t="n"/>
    </row>
    <row r="785" hidden="1" s="38">
      <c r="A785" s="25" t="n"/>
      <c r="B785" s="5" t="n"/>
      <c r="C785" s="4" t="n"/>
      <c r="D785" s="5" t="n"/>
      <c r="E785" s="5" t="n"/>
      <c r="F785" s="5" t="n"/>
      <c r="G785" s="5" t="n"/>
      <c r="H785" s="5" t="n"/>
    </row>
    <row r="786" hidden="1" s="38">
      <c r="A786" s="25" t="n"/>
      <c r="B786" s="5" t="n"/>
      <c r="C786" s="4" t="n"/>
      <c r="D786" s="5" t="n"/>
      <c r="E786" s="5" t="n"/>
      <c r="F786" s="5" t="n"/>
      <c r="G786" s="5" t="n"/>
      <c r="H786" s="5" t="n"/>
    </row>
    <row r="787" hidden="1" s="38">
      <c r="A787" s="25" t="n"/>
      <c r="B787" s="5" t="n"/>
      <c r="C787" s="4" t="n"/>
      <c r="D787" s="5" t="n"/>
      <c r="E787" s="5" t="n"/>
      <c r="F787" s="5" t="n"/>
      <c r="G787" s="5" t="n"/>
      <c r="H787" s="5" t="n"/>
    </row>
    <row r="788" hidden="1" s="38">
      <c r="A788" s="25" t="n"/>
      <c r="B788" s="5" t="n"/>
      <c r="C788" s="4" t="n"/>
      <c r="D788" s="5" t="n"/>
      <c r="E788" s="5" t="n"/>
      <c r="F788" s="5" t="n"/>
      <c r="G788" s="5" t="n"/>
      <c r="H788" s="5" t="n"/>
    </row>
    <row r="789" hidden="1" s="38">
      <c r="A789" s="25" t="n"/>
      <c r="B789" s="5" t="n"/>
      <c r="C789" s="4" t="n"/>
      <c r="D789" s="5" t="n"/>
      <c r="E789" s="5" t="n"/>
      <c r="F789" s="5" t="n"/>
      <c r="G789" s="5" t="n"/>
      <c r="H789" s="5" t="n"/>
    </row>
    <row r="790" hidden="1" s="38">
      <c r="A790" s="25" t="n"/>
      <c r="B790" s="5" t="n"/>
      <c r="C790" s="4" t="n"/>
      <c r="D790" s="5" t="n"/>
      <c r="E790" s="5" t="n"/>
      <c r="F790" s="5" t="n"/>
      <c r="G790" s="5" t="n"/>
      <c r="H790" s="5" t="n"/>
    </row>
    <row r="791" hidden="1" s="38">
      <c r="A791" s="25" t="n"/>
      <c r="B791" s="5" t="n"/>
      <c r="C791" s="4" t="n"/>
      <c r="D791" s="5" t="n"/>
      <c r="E791" s="5" t="n"/>
      <c r="F791" s="5" t="n"/>
      <c r="G791" s="5" t="n"/>
      <c r="H791" s="5" t="n"/>
    </row>
    <row r="792" hidden="1" s="38">
      <c r="A792" s="25" t="n"/>
      <c r="B792" s="5" t="n"/>
      <c r="C792" s="4" t="n"/>
      <c r="D792" s="5" t="n"/>
      <c r="E792" s="5" t="n"/>
      <c r="F792" s="5" t="n"/>
      <c r="G792" s="5" t="n"/>
      <c r="H792" s="5" t="n"/>
    </row>
    <row r="793" hidden="1" s="38">
      <c r="A793" s="25" t="n"/>
      <c r="B793" s="5" t="n"/>
      <c r="C793" s="4" t="n"/>
      <c r="D793" s="5" t="n"/>
      <c r="E793" s="5" t="n"/>
      <c r="F793" s="5" t="n"/>
      <c r="G793" s="5" t="n"/>
      <c r="H793" s="5" t="n"/>
    </row>
    <row r="794" hidden="1" s="38">
      <c r="A794" s="25" t="n"/>
      <c r="B794" s="5" t="n"/>
      <c r="C794" s="4" t="n"/>
      <c r="D794" s="5" t="n"/>
      <c r="E794" s="5" t="n"/>
      <c r="F794" s="5" t="n"/>
      <c r="G794" s="5" t="n"/>
      <c r="H794" s="5" t="n"/>
    </row>
    <row r="795" hidden="1" s="38">
      <c r="A795" s="25" t="n"/>
      <c r="B795" s="5" t="n"/>
      <c r="C795" s="4" t="n"/>
      <c r="D795" s="5" t="n"/>
      <c r="E795" s="5" t="n"/>
      <c r="F795" s="5" t="n"/>
      <c r="G795" s="5" t="n"/>
      <c r="H795" s="5" t="n"/>
    </row>
    <row r="796" hidden="1" s="38">
      <c r="A796" s="25" t="n"/>
      <c r="B796" s="5" t="n"/>
      <c r="C796" s="4" t="n"/>
      <c r="D796" s="5" t="n"/>
      <c r="E796" s="5" t="n"/>
      <c r="F796" s="5" t="n"/>
      <c r="G796" s="5" t="n"/>
      <c r="H796" s="5" t="n"/>
    </row>
    <row r="797" hidden="1" s="38">
      <c r="A797" s="25" t="n"/>
      <c r="B797" s="5" t="n"/>
      <c r="C797" s="4" t="n"/>
      <c r="D797" s="5" t="n"/>
      <c r="E797" s="5" t="n"/>
      <c r="F797" s="5" t="n"/>
      <c r="G797" s="5" t="n"/>
      <c r="H797" s="5" t="n"/>
    </row>
    <row r="798" hidden="1" s="38">
      <c r="A798" s="25" t="n"/>
      <c r="B798" s="5" t="n"/>
      <c r="C798" s="4" t="n"/>
      <c r="D798" s="5" t="n"/>
      <c r="E798" s="5" t="n"/>
      <c r="F798" s="5" t="n"/>
      <c r="G798" s="5" t="n"/>
      <c r="H798" s="5" t="n"/>
    </row>
    <row r="799" hidden="1" s="38">
      <c r="A799" s="25" t="n"/>
      <c r="B799" s="5" t="n"/>
      <c r="C799" s="4" t="n"/>
      <c r="D799" s="5" t="n"/>
      <c r="E799" s="5" t="n"/>
      <c r="F799" s="5" t="n"/>
      <c r="G799" s="5" t="n"/>
      <c r="H799" s="5" t="n"/>
    </row>
    <row r="800" hidden="1" s="38">
      <c r="A800" s="25" t="n"/>
      <c r="B800" s="5" t="n"/>
      <c r="C800" s="4" t="n"/>
      <c r="D800" s="5" t="n"/>
      <c r="E800" s="5" t="n"/>
      <c r="F800" s="5" t="n"/>
      <c r="G800" s="5" t="n"/>
      <c r="H800" s="5" t="n"/>
    </row>
    <row r="801" hidden="1" s="38">
      <c r="A801" s="25" t="n"/>
      <c r="B801" s="5" t="n"/>
      <c r="C801" s="4" t="n"/>
      <c r="D801" s="5" t="n"/>
      <c r="E801" s="5" t="n"/>
      <c r="F801" s="5" t="n"/>
      <c r="G801" s="5" t="n"/>
      <c r="H801" s="5" t="n"/>
    </row>
    <row r="802" hidden="1" s="38">
      <c r="A802" s="25" t="n"/>
      <c r="B802" s="5" t="n"/>
      <c r="C802" s="4" t="n"/>
      <c r="D802" s="5" t="n"/>
      <c r="E802" s="5" t="n"/>
      <c r="F802" s="5" t="n"/>
      <c r="G802" s="5" t="n"/>
      <c r="H802" s="5" t="n"/>
    </row>
    <row r="803" hidden="1" s="38">
      <c r="A803" s="25" t="n"/>
      <c r="B803" s="5" t="n"/>
      <c r="C803" s="4" t="n"/>
      <c r="D803" s="5" t="n"/>
      <c r="E803" s="5" t="n"/>
      <c r="F803" s="5" t="n"/>
      <c r="G803" s="5" t="n"/>
      <c r="H803" s="5" t="n"/>
    </row>
    <row r="804" hidden="1" s="38">
      <c r="A804" s="25" t="n"/>
      <c r="B804" s="5" t="n"/>
      <c r="C804" s="4" t="n"/>
      <c r="D804" s="5" t="n"/>
      <c r="E804" s="5" t="n"/>
      <c r="F804" s="5" t="n"/>
      <c r="G804" s="5" t="n"/>
      <c r="H804" s="5" t="n"/>
    </row>
    <row r="805" hidden="1" s="38">
      <c r="A805" s="25" t="n"/>
      <c r="B805" s="5" t="n"/>
      <c r="C805" s="4" t="n"/>
      <c r="D805" s="5" t="n"/>
      <c r="E805" s="5" t="n"/>
      <c r="F805" s="5" t="n"/>
      <c r="G805" s="5" t="n"/>
      <c r="H805" s="5" t="n"/>
    </row>
    <row r="806" hidden="1" s="38">
      <c r="A806" s="25" t="n"/>
      <c r="B806" s="5" t="n"/>
      <c r="C806" s="4" t="n"/>
      <c r="D806" s="5" t="n"/>
      <c r="E806" s="5" t="n"/>
      <c r="F806" s="5" t="n"/>
      <c r="G806" s="5" t="n"/>
      <c r="H806" s="5" t="n"/>
    </row>
    <row r="807" hidden="1" s="38">
      <c r="A807" s="25" t="n"/>
      <c r="B807" s="5" t="n"/>
      <c r="C807" s="4" t="n"/>
      <c r="D807" s="5" t="n"/>
      <c r="E807" s="5" t="n"/>
      <c r="F807" s="5" t="n"/>
      <c r="G807" s="5" t="n"/>
      <c r="H807" s="5" t="n"/>
    </row>
    <row r="808" hidden="1" s="38">
      <c r="A808" s="25" t="n"/>
      <c r="B808" s="5" t="n"/>
      <c r="C808" s="4" t="n"/>
      <c r="D808" s="5" t="n"/>
      <c r="E808" s="5" t="n"/>
      <c r="F808" s="5" t="n"/>
      <c r="G808" s="5" t="n"/>
      <c r="H808" s="5" t="n"/>
    </row>
    <row r="809" hidden="1" s="38">
      <c r="A809" s="25" t="n"/>
      <c r="B809" s="5" t="n"/>
      <c r="C809" s="4" t="n"/>
      <c r="D809" s="5" t="n"/>
      <c r="E809" s="5" t="n"/>
      <c r="F809" s="5" t="n"/>
      <c r="G809" s="5" t="n"/>
      <c r="H809" s="5" t="n"/>
    </row>
    <row r="810" hidden="1" s="38">
      <c r="A810" s="25" t="n"/>
      <c r="B810" s="5" t="n"/>
      <c r="C810" s="4" t="n"/>
      <c r="D810" s="5" t="n"/>
      <c r="E810" s="5" t="n"/>
      <c r="F810" s="5" t="n"/>
      <c r="G810" s="5" t="n"/>
      <c r="H810" s="5" t="n"/>
    </row>
    <row r="811" hidden="1" s="38">
      <c r="A811" s="25" t="n"/>
      <c r="B811" s="5" t="n"/>
      <c r="C811" s="4" t="n"/>
      <c r="D811" s="5" t="n"/>
      <c r="E811" s="5" t="n"/>
      <c r="F811" s="5" t="n"/>
      <c r="G811" s="5" t="n"/>
      <c r="H811" s="5" t="n"/>
    </row>
    <row r="812" hidden="1" s="38">
      <c r="A812" s="25" t="n"/>
      <c r="B812" s="5" t="n"/>
      <c r="C812" s="4" t="n"/>
      <c r="D812" s="5" t="n"/>
      <c r="E812" s="5" t="n"/>
      <c r="F812" s="5" t="n"/>
      <c r="G812" s="5" t="n"/>
      <c r="H812" s="5" t="n"/>
    </row>
    <row r="813" hidden="1" s="38">
      <c r="A813" s="25" t="n"/>
      <c r="B813" s="5" t="n"/>
      <c r="C813" s="4" t="n"/>
      <c r="D813" s="5" t="n"/>
      <c r="E813" s="5" t="n"/>
      <c r="F813" s="5" t="n"/>
      <c r="G813" s="5" t="n"/>
      <c r="H813" s="5" t="n"/>
    </row>
    <row r="814" hidden="1" s="38">
      <c r="A814" s="25" t="n"/>
      <c r="B814" s="5" t="n"/>
      <c r="C814" s="4" t="n"/>
      <c r="D814" s="5" t="n"/>
      <c r="E814" s="5" t="n"/>
      <c r="F814" s="5" t="n"/>
      <c r="G814" s="5" t="n"/>
      <c r="H814" s="5" t="n"/>
    </row>
    <row r="815" hidden="1" s="38">
      <c r="A815" s="25" t="n"/>
      <c r="B815" s="5" t="n"/>
      <c r="C815" s="4" t="n"/>
      <c r="D815" s="5" t="n"/>
      <c r="E815" s="5" t="n"/>
      <c r="F815" s="5" t="n"/>
      <c r="G815" s="5" t="n"/>
      <c r="H815" s="5" t="n"/>
    </row>
    <row r="816" hidden="1" s="38">
      <c r="A816" s="25" t="n"/>
      <c r="B816" s="5" t="n"/>
      <c r="C816" s="4" t="n"/>
      <c r="D816" s="5" t="n"/>
      <c r="E816" s="5" t="n"/>
      <c r="F816" s="5" t="n"/>
      <c r="G816" s="5" t="n"/>
      <c r="H816" s="5" t="n"/>
    </row>
    <row r="817" hidden="1" s="38">
      <c r="A817" s="25" t="n"/>
      <c r="B817" s="5" t="n"/>
      <c r="C817" s="4" t="n"/>
      <c r="D817" s="5" t="n"/>
      <c r="E817" s="5" t="n"/>
      <c r="F817" s="5" t="n"/>
      <c r="G817" s="5" t="n"/>
      <c r="H817" s="5" t="n"/>
    </row>
    <row r="818" hidden="1" s="38">
      <c r="A818" s="25" t="n"/>
      <c r="B818" s="5" t="n"/>
      <c r="C818" s="4" t="n"/>
      <c r="D818" s="5" t="n"/>
      <c r="E818" s="5" t="n"/>
      <c r="F818" s="5" t="n"/>
      <c r="G818" s="5" t="n"/>
      <c r="H818" s="5" t="n"/>
    </row>
    <row r="819" hidden="1" s="38">
      <c r="A819" s="25" t="n"/>
      <c r="B819" s="5" t="n"/>
      <c r="C819" s="4" t="n"/>
      <c r="D819" s="5" t="n"/>
      <c r="E819" s="5" t="n"/>
      <c r="F819" s="5" t="n"/>
      <c r="G819" s="5" t="n"/>
      <c r="H819" s="5" t="n"/>
    </row>
    <row r="820" hidden="1" s="38">
      <c r="A820" s="25" t="n"/>
      <c r="B820" s="5" t="n"/>
      <c r="C820" s="4" t="n"/>
      <c r="D820" s="5" t="n"/>
      <c r="E820" s="5" t="n"/>
      <c r="F820" s="5" t="n"/>
      <c r="G820" s="5" t="n"/>
      <c r="H820" s="5" t="n"/>
    </row>
    <row r="821" hidden="1" s="38">
      <c r="A821" s="25" t="n"/>
      <c r="B821" s="5" t="n"/>
      <c r="C821" s="4" t="n"/>
      <c r="D821" s="5" t="n"/>
      <c r="E821" s="5" t="n"/>
      <c r="F821" s="5" t="n"/>
      <c r="G821" s="5" t="n"/>
      <c r="H821" s="5" t="n"/>
    </row>
    <row r="822" hidden="1" s="38">
      <c r="A822" s="25" t="n"/>
      <c r="B822" s="5" t="n"/>
      <c r="C822" s="4" t="n"/>
      <c r="D822" s="5" t="n"/>
      <c r="E822" s="5" t="n"/>
      <c r="F822" s="5" t="n"/>
      <c r="G822" s="5" t="n"/>
      <c r="H822" s="5" t="n"/>
    </row>
    <row r="823" hidden="1" s="38">
      <c r="A823" s="25" t="n"/>
      <c r="B823" s="5" t="n"/>
      <c r="C823" s="4" t="n"/>
      <c r="D823" s="5" t="n"/>
      <c r="E823" s="5" t="n"/>
      <c r="F823" s="5" t="n"/>
      <c r="G823" s="5" t="n"/>
      <c r="H823" s="5" t="n"/>
    </row>
    <row r="824" hidden="1" s="38">
      <c r="A824" s="25" t="n"/>
      <c r="B824" s="5" t="n"/>
      <c r="C824" s="4" t="n"/>
      <c r="D824" s="5" t="n"/>
      <c r="E824" s="5" t="n"/>
      <c r="F824" s="5" t="n"/>
      <c r="G824" s="5" t="n"/>
      <c r="H824" s="5" t="n"/>
    </row>
    <row r="825" hidden="1" s="38">
      <c r="A825" s="25" t="n"/>
      <c r="B825" s="5" t="n"/>
      <c r="C825" s="4" t="n"/>
      <c r="D825" s="5" t="n"/>
      <c r="E825" s="5" t="n"/>
      <c r="F825" s="5" t="n"/>
      <c r="G825" s="5" t="n"/>
      <c r="H825" s="5" t="n"/>
    </row>
    <row r="826" hidden="1" s="38">
      <c r="A826" s="25" t="n"/>
      <c r="B826" s="5" t="n"/>
      <c r="C826" s="4" t="n"/>
      <c r="D826" s="5" t="n"/>
      <c r="E826" s="5" t="n"/>
      <c r="F826" s="5" t="n"/>
      <c r="G826" s="5" t="n"/>
      <c r="H826" s="5" t="n"/>
    </row>
    <row r="827" hidden="1" s="38">
      <c r="A827" s="25" t="n"/>
      <c r="B827" s="5" t="n"/>
      <c r="C827" s="4" t="n"/>
      <c r="D827" s="5" t="n"/>
      <c r="E827" s="5" t="n"/>
      <c r="F827" s="5" t="n"/>
      <c r="G827" s="5" t="n"/>
      <c r="H827" s="5" t="n"/>
    </row>
    <row r="828" hidden="1" s="38">
      <c r="A828" s="25" t="n"/>
      <c r="B828" s="5" t="n"/>
      <c r="C828" s="4" t="n"/>
      <c r="D828" s="5" t="n"/>
      <c r="E828" s="5" t="n"/>
      <c r="F828" s="5" t="n"/>
      <c r="G828" s="5" t="n"/>
      <c r="H828" s="5" t="n"/>
    </row>
    <row r="829" hidden="1" s="38">
      <c r="A829" s="25" t="n"/>
      <c r="B829" s="5" t="n"/>
      <c r="C829" s="4" t="n"/>
      <c r="D829" s="5" t="n"/>
      <c r="E829" s="5" t="n"/>
      <c r="F829" s="5" t="n"/>
      <c r="G829" s="5" t="n"/>
      <c r="H829" s="5" t="n"/>
    </row>
    <row r="830" hidden="1" s="38">
      <c r="A830" s="25" t="n"/>
      <c r="B830" s="5" t="n"/>
      <c r="C830" s="4" t="n"/>
      <c r="D830" s="5" t="n"/>
      <c r="E830" s="5" t="n"/>
      <c r="F830" s="5" t="n"/>
      <c r="G830" s="5" t="n"/>
      <c r="H830" s="5" t="n"/>
    </row>
    <row r="831" hidden="1" s="38">
      <c r="A831" s="25" t="n"/>
      <c r="B831" s="5" t="n"/>
      <c r="C831" s="4" t="n"/>
      <c r="D831" s="5" t="n"/>
      <c r="E831" s="5" t="n"/>
      <c r="F831" s="5" t="n"/>
      <c r="G831" s="5" t="n"/>
      <c r="H831" s="5" t="n"/>
    </row>
    <row r="832" hidden="1" s="38">
      <c r="A832" s="25" t="n"/>
      <c r="B832" s="5" t="n"/>
      <c r="C832" s="4" t="n"/>
      <c r="D832" s="5" t="n"/>
      <c r="E832" s="5" t="n"/>
      <c r="F832" s="5" t="n"/>
      <c r="G832" s="5" t="n"/>
      <c r="H832" s="5" t="n"/>
    </row>
    <row r="833" hidden="1" s="38">
      <c r="A833" s="25" t="n"/>
      <c r="B833" s="5" t="n"/>
      <c r="C833" s="4" t="n"/>
      <c r="D833" s="5" t="n"/>
      <c r="E833" s="5" t="n"/>
      <c r="F833" s="5" t="n"/>
      <c r="G833" s="5" t="n"/>
      <c r="H833" s="5" t="n"/>
    </row>
    <row r="834" hidden="1" s="38">
      <c r="A834" s="25" t="n"/>
      <c r="B834" s="5" t="n"/>
      <c r="C834" s="4" t="n"/>
      <c r="D834" s="5" t="n"/>
      <c r="E834" s="5" t="n"/>
      <c r="F834" s="5" t="n"/>
      <c r="G834" s="5" t="n"/>
      <c r="H834" s="5" t="n"/>
    </row>
    <row r="835" hidden="1" s="38">
      <c r="A835" s="25" t="n"/>
      <c r="B835" s="5" t="n"/>
      <c r="C835" s="4" t="n"/>
      <c r="D835" s="5" t="n"/>
      <c r="E835" s="5" t="n"/>
      <c r="F835" s="5" t="n"/>
      <c r="G835" s="5" t="n"/>
      <c r="H835" s="5" t="n"/>
    </row>
    <row r="836" hidden="1" s="38">
      <c r="A836" s="25" t="n"/>
      <c r="B836" s="5" t="n"/>
      <c r="C836" s="4" t="n"/>
      <c r="D836" s="5" t="n"/>
      <c r="E836" s="5" t="n"/>
      <c r="F836" s="5" t="n"/>
      <c r="G836" s="5" t="n"/>
      <c r="H836" s="5" t="n"/>
    </row>
    <row r="837" hidden="1" s="38">
      <c r="A837" s="25" t="n"/>
      <c r="B837" s="5" t="n"/>
      <c r="C837" s="4" t="n"/>
      <c r="D837" s="5" t="n"/>
      <c r="E837" s="5" t="n"/>
      <c r="F837" s="5" t="n"/>
      <c r="G837" s="5" t="n"/>
      <c r="H837" s="5" t="n"/>
    </row>
    <row r="838" hidden="1" s="38">
      <c r="A838" s="25" t="n"/>
      <c r="B838" s="5" t="n"/>
      <c r="C838" s="4" t="n"/>
      <c r="D838" s="5" t="n"/>
      <c r="E838" s="5" t="n"/>
      <c r="F838" s="5" t="n"/>
      <c r="G838" s="5" t="n"/>
      <c r="H838" s="5" t="n"/>
    </row>
    <row r="839" hidden="1" s="38">
      <c r="A839" s="25" t="n"/>
      <c r="B839" s="5" t="n"/>
      <c r="C839" s="4" t="n"/>
      <c r="D839" s="5" t="n"/>
      <c r="E839" s="5" t="n"/>
      <c r="F839" s="5" t="n"/>
      <c r="G839" s="5" t="n"/>
      <c r="H839" s="5" t="n"/>
    </row>
    <row r="840" hidden="1" s="38">
      <c r="A840" s="25" t="n"/>
      <c r="B840" s="5" t="n"/>
      <c r="C840" s="4" t="n"/>
      <c r="D840" s="5" t="n"/>
      <c r="E840" s="5" t="n"/>
      <c r="F840" s="5" t="n"/>
      <c r="G840" s="5" t="n"/>
      <c r="H840" s="5" t="n"/>
    </row>
    <row r="841" hidden="1" s="38">
      <c r="A841" s="25" t="n"/>
      <c r="B841" s="5" t="n"/>
      <c r="C841" s="4" t="n"/>
      <c r="D841" s="5" t="n"/>
      <c r="E841" s="5" t="n"/>
      <c r="F841" s="5" t="n"/>
      <c r="G841" s="5" t="n"/>
      <c r="H841" s="5" t="n"/>
    </row>
    <row r="842" hidden="1" s="38">
      <c r="A842" s="25" t="n"/>
      <c r="B842" s="5" t="n"/>
      <c r="C842" s="4" t="n"/>
      <c r="D842" s="5" t="n"/>
      <c r="E842" s="5" t="n"/>
      <c r="F842" s="5" t="n"/>
      <c r="G842" s="5" t="n"/>
      <c r="H842" s="5" t="n"/>
    </row>
    <row r="843" hidden="1" s="38">
      <c r="A843" s="25" t="n"/>
      <c r="B843" s="5" t="n"/>
      <c r="C843" s="4" t="n"/>
      <c r="D843" s="5" t="n"/>
      <c r="E843" s="5" t="n"/>
      <c r="F843" s="5" t="n"/>
      <c r="G843" s="5" t="n"/>
      <c r="H843" s="5" t="n"/>
    </row>
    <row r="844" hidden="1" s="38">
      <c r="A844" s="25" t="n"/>
      <c r="B844" s="5" t="n"/>
      <c r="C844" s="4" t="n"/>
      <c r="D844" s="5" t="n"/>
      <c r="E844" s="5" t="n"/>
      <c r="F844" s="5" t="n"/>
      <c r="G844" s="5" t="n"/>
      <c r="H844" s="5" t="n"/>
    </row>
    <row r="845" hidden="1" s="38">
      <c r="A845" s="25" t="n"/>
      <c r="B845" s="5" t="n"/>
      <c r="C845" s="4" t="n"/>
      <c r="D845" s="5" t="n"/>
      <c r="E845" s="5" t="n"/>
      <c r="F845" s="5" t="n"/>
      <c r="G845" s="5" t="n"/>
      <c r="H845" s="5" t="n"/>
    </row>
    <row r="846" hidden="1" s="38">
      <c r="A846" s="25" t="n"/>
      <c r="B846" s="5" t="n"/>
      <c r="C846" s="4" t="n"/>
      <c r="D846" s="5" t="n"/>
      <c r="E846" s="5" t="n"/>
      <c r="F846" s="5" t="n"/>
      <c r="G846" s="5" t="n"/>
      <c r="H846" s="5" t="n"/>
    </row>
    <row r="847" hidden="1" s="38">
      <c r="A847" s="25" t="n"/>
      <c r="B847" s="5" t="n"/>
      <c r="C847" s="4" t="n"/>
      <c r="D847" s="5" t="n"/>
      <c r="E847" s="5" t="n"/>
      <c r="F847" s="5" t="n"/>
      <c r="G847" s="5" t="n"/>
      <c r="H847" s="5" t="n"/>
    </row>
    <row r="848" hidden="1" s="38">
      <c r="A848" s="25" t="n"/>
      <c r="B848" s="5" t="n"/>
      <c r="C848" s="4" t="n"/>
      <c r="D848" s="5" t="n"/>
      <c r="E848" s="5" t="n"/>
      <c r="F848" s="5" t="n"/>
      <c r="G848" s="5" t="n"/>
      <c r="H848" s="5" t="n"/>
    </row>
    <row r="849" hidden="1" s="38">
      <c r="A849" s="25" t="n"/>
      <c r="B849" s="5" t="n"/>
      <c r="C849" s="4" t="n"/>
      <c r="D849" s="5" t="n"/>
      <c r="E849" s="5" t="n"/>
      <c r="F849" s="5" t="n"/>
      <c r="G849" s="5" t="n"/>
      <c r="H849" s="5" t="n"/>
    </row>
    <row r="850" hidden="1" s="38">
      <c r="A850" s="25" t="n"/>
      <c r="B850" s="5" t="n"/>
      <c r="C850" s="4" t="n"/>
      <c r="D850" s="5" t="n"/>
      <c r="E850" s="5" t="n"/>
      <c r="F850" s="5" t="n"/>
      <c r="G850" s="5" t="n"/>
      <c r="H850" s="5" t="n"/>
    </row>
    <row r="851" hidden="1" s="38">
      <c r="A851" s="25" t="n"/>
      <c r="B851" s="5" t="n"/>
      <c r="C851" s="4" t="n"/>
      <c r="D851" s="5" t="n"/>
      <c r="E851" s="5" t="n"/>
      <c r="F851" s="5" t="n"/>
      <c r="G851" s="5" t="n"/>
      <c r="H851" s="5" t="n"/>
    </row>
    <row r="852" hidden="1" s="38">
      <c r="A852" s="25" t="n"/>
      <c r="B852" s="5" t="n"/>
      <c r="C852" s="4" t="n"/>
      <c r="D852" s="5" t="n"/>
      <c r="E852" s="5" t="n"/>
      <c r="F852" s="5" t="n"/>
      <c r="G852" s="5" t="n"/>
      <c r="H852" s="5" t="n"/>
    </row>
    <row r="853" hidden="1" s="38">
      <c r="A853" s="25" t="n"/>
      <c r="B853" s="5" t="n"/>
      <c r="C853" s="4" t="n"/>
      <c r="D853" s="5" t="n"/>
      <c r="E853" s="5" t="n"/>
      <c r="F853" s="5" t="n"/>
      <c r="G853" s="5" t="n"/>
      <c r="H853" s="5" t="n"/>
    </row>
    <row r="854" hidden="1" s="38">
      <c r="A854" s="25" t="n"/>
      <c r="B854" s="5" t="n"/>
      <c r="C854" s="4" t="n"/>
      <c r="D854" s="5" t="n"/>
      <c r="E854" s="5" t="n"/>
      <c r="F854" s="5" t="n"/>
      <c r="G854" s="5" t="n"/>
      <c r="H854" s="5" t="n"/>
    </row>
    <row r="855" hidden="1" s="38">
      <c r="A855" s="25" t="n"/>
      <c r="B855" s="5" t="n"/>
      <c r="C855" s="4" t="n"/>
      <c r="D855" s="5" t="n"/>
      <c r="E855" s="5" t="n"/>
      <c r="F855" s="5" t="n"/>
      <c r="G855" s="5" t="n"/>
      <c r="H855" s="5" t="n"/>
    </row>
    <row r="856" hidden="1" s="38">
      <c r="A856" s="25" t="n"/>
      <c r="B856" s="5" t="n"/>
      <c r="C856" s="4" t="n"/>
      <c r="D856" s="5" t="n"/>
      <c r="E856" s="5" t="n"/>
      <c r="F856" s="5" t="n"/>
      <c r="G856" s="5" t="n"/>
      <c r="H856" s="5" t="n"/>
    </row>
    <row r="857" hidden="1" s="38">
      <c r="A857" s="25" t="n"/>
      <c r="B857" s="5" t="n"/>
      <c r="C857" s="4" t="n"/>
      <c r="D857" s="5" t="n"/>
      <c r="E857" s="5" t="n"/>
      <c r="F857" s="5" t="n"/>
      <c r="G857" s="5" t="n"/>
      <c r="H857" s="5" t="n"/>
    </row>
    <row r="858" hidden="1" s="38">
      <c r="A858" s="25" t="n"/>
      <c r="B858" s="5" t="n"/>
      <c r="C858" s="4" t="n"/>
      <c r="D858" s="5" t="n"/>
      <c r="E858" s="5" t="n"/>
      <c r="F858" s="5" t="n"/>
      <c r="G858" s="5" t="n"/>
      <c r="H858" s="5" t="n"/>
    </row>
    <row r="859" hidden="1" s="38">
      <c r="A859" s="25" t="n"/>
      <c r="B859" s="5" t="n"/>
      <c r="C859" s="4" t="n"/>
      <c r="D859" s="5" t="n"/>
      <c r="E859" s="5" t="n"/>
      <c r="F859" s="5" t="n"/>
      <c r="G859" s="5" t="n"/>
      <c r="H859" s="5" t="n"/>
    </row>
    <row r="860" hidden="1" s="38">
      <c r="A860" s="25" t="n"/>
      <c r="B860" s="5" t="n"/>
      <c r="C860" s="4" t="n"/>
      <c r="D860" s="5" t="n"/>
      <c r="E860" s="5" t="n"/>
      <c r="F860" s="5" t="n"/>
      <c r="G860" s="5" t="n"/>
      <c r="H860" s="5" t="n"/>
    </row>
    <row r="861" hidden="1" s="38">
      <c r="A861" s="25" t="n"/>
      <c r="B861" s="5" t="n"/>
      <c r="C861" s="4" t="n"/>
      <c r="D861" s="5" t="n"/>
      <c r="E861" s="5" t="n"/>
      <c r="F861" s="5" t="n"/>
      <c r="G861" s="5" t="n"/>
      <c r="H861" s="5" t="n"/>
    </row>
    <row r="862" hidden="1" s="38">
      <c r="A862" s="25" t="n"/>
      <c r="B862" s="5" t="n"/>
      <c r="C862" s="4" t="n"/>
      <c r="D862" s="5" t="n"/>
      <c r="E862" s="5" t="n"/>
      <c r="F862" s="5" t="n"/>
      <c r="G862" s="5" t="n"/>
      <c r="H862" s="5" t="n"/>
    </row>
    <row r="863" hidden="1" s="38">
      <c r="A863" s="25" t="n"/>
      <c r="B863" s="5" t="n"/>
      <c r="C863" s="4" t="n"/>
      <c r="D863" s="5" t="n"/>
      <c r="E863" s="5" t="n"/>
      <c r="F863" s="5" t="n"/>
      <c r="G863" s="5" t="n"/>
      <c r="H863" s="5" t="n"/>
    </row>
    <row r="864" hidden="1" s="38">
      <c r="A864" s="25" t="n"/>
      <c r="B864" s="5" t="n"/>
      <c r="C864" s="4" t="n"/>
      <c r="D864" s="5" t="n"/>
      <c r="E864" s="5" t="n"/>
      <c r="F864" s="5" t="n"/>
      <c r="G864" s="5" t="n"/>
      <c r="H864" s="5" t="n"/>
    </row>
    <row r="865" hidden="1" s="38">
      <c r="A865" s="25" t="n"/>
      <c r="B865" s="5" t="n"/>
      <c r="C865" s="4" t="n"/>
      <c r="D865" s="5" t="n"/>
      <c r="E865" s="5" t="n"/>
      <c r="F865" s="5" t="n"/>
      <c r="G865" s="5" t="n"/>
      <c r="H865" s="5" t="n"/>
    </row>
    <row r="866" hidden="1" s="38">
      <c r="A866" s="25" t="n"/>
      <c r="B866" s="5" t="n"/>
      <c r="C866" s="4" t="n"/>
      <c r="D866" s="5" t="n"/>
      <c r="E866" s="5" t="n"/>
      <c r="F866" s="5" t="n"/>
      <c r="G866" s="5" t="n"/>
      <c r="H866" s="5" t="n"/>
    </row>
    <row r="867" hidden="1" s="38">
      <c r="A867" s="25" t="n"/>
      <c r="B867" s="5" t="n"/>
      <c r="C867" s="4" t="n"/>
      <c r="D867" s="5" t="n"/>
      <c r="E867" s="5" t="n"/>
      <c r="F867" s="5" t="n"/>
      <c r="G867" s="5" t="n"/>
      <c r="H867" s="5" t="n"/>
    </row>
    <row r="868" hidden="1" s="38">
      <c r="A868" s="25" t="n"/>
      <c r="B868" s="5" t="n"/>
      <c r="C868" s="4" t="n"/>
      <c r="D868" s="5" t="n"/>
      <c r="E868" s="5" t="n"/>
      <c r="F868" s="5" t="n"/>
      <c r="G868" s="5" t="n"/>
      <c r="H868" s="5" t="n"/>
    </row>
    <row r="869" hidden="1" s="38">
      <c r="A869" s="25" t="n"/>
      <c r="B869" s="5" t="n"/>
      <c r="C869" s="4" t="n"/>
      <c r="D869" s="5" t="n"/>
      <c r="E869" s="5" t="n"/>
      <c r="F869" s="5" t="n"/>
      <c r="G869" s="5" t="n"/>
      <c r="H869" s="5" t="n"/>
    </row>
    <row r="870" hidden="1" s="38">
      <c r="A870" s="25" t="n"/>
      <c r="B870" s="5" t="n"/>
      <c r="C870" s="4" t="n"/>
      <c r="D870" s="5" t="n"/>
      <c r="E870" s="5" t="n"/>
      <c r="F870" s="5" t="n"/>
      <c r="G870" s="5" t="n"/>
      <c r="H870" s="5" t="n"/>
    </row>
    <row r="871" hidden="1" s="38">
      <c r="A871" s="25" t="n"/>
      <c r="B871" s="5" t="n"/>
      <c r="C871" s="4" t="n"/>
      <c r="D871" s="5" t="n"/>
      <c r="E871" s="5" t="n"/>
      <c r="F871" s="5" t="n"/>
      <c r="G871" s="5" t="n"/>
      <c r="H871" s="5" t="n"/>
    </row>
    <row r="872" hidden="1" s="38">
      <c r="A872" s="25" t="n"/>
      <c r="B872" s="5" t="n"/>
      <c r="C872" s="4" t="n"/>
      <c r="D872" s="5" t="n"/>
      <c r="E872" s="5" t="n"/>
      <c r="F872" s="5" t="n"/>
      <c r="G872" s="5" t="n"/>
      <c r="H872" s="5" t="n"/>
    </row>
    <row r="873" hidden="1" s="38">
      <c r="A873" s="25" t="n"/>
      <c r="B873" s="5" t="n"/>
      <c r="C873" s="4" t="n"/>
      <c r="D873" s="5" t="n"/>
      <c r="E873" s="5" t="n"/>
      <c r="F873" s="5" t="n"/>
      <c r="G873" s="5" t="n"/>
      <c r="H873" s="5" t="n"/>
    </row>
    <row r="874" hidden="1" s="38">
      <c r="A874" s="25" t="n"/>
      <c r="B874" s="5" t="n"/>
      <c r="C874" s="4" t="n"/>
      <c r="D874" s="5" t="n"/>
      <c r="E874" s="5" t="n"/>
      <c r="F874" s="5" t="n"/>
      <c r="G874" s="5" t="n"/>
      <c r="H874" s="5" t="n"/>
    </row>
    <row r="875" hidden="1" s="38">
      <c r="A875" s="25" t="n"/>
      <c r="B875" s="5" t="n"/>
      <c r="C875" s="4" t="n"/>
      <c r="D875" s="5" t="n"/>
      <c r="E875" s="5" t="n"/>
      <c r="F875" s="5" t="n"/>
      <c r="G875" s="5" t="n"/>
      <c r="H875" s="5" t="n"/>
    </row>
    <row r="876" hidden="1" s="38">
      <c r="A876" s="25" t="n"/>
      <c r="B876" s="5" t="n"/>
      <c r="C876" s="4" t="n"/>
      <c r="D876" s="5" t="n"/>
      <c r="E876" s="5" t="n"/>
      <c r="F876" s="5" t="n"/>
      <c r="G876" s="5" t="n"/>
      <c r="H876" s="5" t="n"/>
    </row>
    <row r="877" hidden="1" s="38">
      <c r="A877" s="25" t="n"/>
      <c r="B877" s="5" t="n"/>
      <c r="C877" s="4" t="n"/>
      <c r="D877" s="5" t="n"/>
      <c r="E877" s="5" t="n"/>
      <c r="F877" s="5" t="n"/>
      <c r="G877" s="5" t="n"/>
      <c r="H877" s="5" t="n"/>
    </row>
    <row r="878" hidden="1" s="38">
      <c r="A878" s="25" t="n"/>
      <c r="B878" s="5" t="n"/>
      <c r="C878" s="4" t="n"/>
      <c r="D878" s="5" t="n"/>
      <c r="E878" s="5" t="n"/>
      <c r="F878" s="5" t="n"/>
      <c r="G878" s="5" t="n"/>
      <c r="H878" s="5" t="n"/>
    </row>
    <row r="879" hidden="1" s="38">
      <c r="A879" s="25" t="n"/>
      <c r="B879" s="5" t="n"/>
      <c r="C879" s="4" t="n"/>
      <c r="D879" s="5" t="n"/>
      <c r="E879" s="5" t="n"/>
      <c r="F879" s="5" t="n"/>
      <c r="G879" s="5" t="n"/>
      <c r="H879" s="5" t="n"/>
    </row>
    <row r="880" hidden="1" s="38">
      <c r="A880" s="25" t="n"/>
      <c r="B880" s="5" t="n"/>
      <c r="C880" s="4" t="n"/>
      <c r="D880" s="5" t="n"/>
      <c r="E880" s="5" t="n"/>
      <c r="F880" s="5" t="n"/>
      <c r="G880" s="5" t="n"/>
      <c r="H880" s="5" t="n"/>
    </row>
    <row r="881" hidden="1" s="38">
      <c r="A881" s="25" t="n"/>
      <c r="B881" s="5" t="n"/>
      <c r="C881" s="4" t="n"/>
      <c r="D881" s="5" t="n"/>
      <c r="E881" s="5" t="n"/>
      <c r="F881" s="5" t="n"/>
      <c r="G881" s="5" t="n"/>
      <c r="H881" s="5" t="n"/>
    </row>
    <row r="882" hidden="1" s="38">
      <c r="A882" s="25" t="n"/>
      <c r="B882" s="5" t="n"/>
      <c r="C882" s="4" t="n"/>
      <c r="D882" s="5" t="n"/>
      <c r="E882" s="5" t="n"/>
      <c r="F882" s="5" t="n"/>
      <c r="G882" s="5" t="n"/>
      <c r="H882" s="5" t="n"/>
    </row>
    <row r="883" hidden="1" s="38">
      <c r="A883" s="25" t="n"/>
      <c r="B883" s="5" t="n"/>
      <c r="C883" s="4" t="n"/>
      <c r="D883" s="5" t="n"/>
      <c r="E883" s="5" t="n"/>
      <c r="F883" s="5" t="n"/>
      <c r="G883" s="5" t="n"/>
      <c r="H883" s="5" t="n"/>
    </row>
    <row r="884" hidden="1" s="38">
      <c r="A884" s="25" t="n"/>
      <c r="B884" s="5" t="n"/>
      <c r="C884" s="4" t="n"/>
      <c r="D884" s="5" t="n"/>
      <c r="E884" s="5" t="n"/>
      <c r="F884" s="5" t="n"/>
      <c r="G884" s="5" t="n"/>
      <c r="H884" s="5" t="n"/>
    </row>
    <row r="885" hidden="1" s="38">
      <c r="A885" s="25" t="n"/>
      <c r="B885" s="5" t="n"/>
      <c r="C885" s="4" t="n"/>
      <c r="D885" s="5" t="n"/>
      <c r="E885" s="5" t="n"/>
      <c r="F885" s="5" t="n"/>
      <c r="G885" s="5" t="n"/>
      <c r="H885" s="5" t="n"/>
    </row>
    <row r="886" hidden="1" s="38">
      <c r="A886" s="25" t="n"/>
      <c r="B886" s="5" t="n"/>
      <c r="C886" s="4" t="n"/>
      <c r="D886" s="5" t="n"/>
      <c r="E886" s="5" t="n"/>
      <c r="F886" s="5" t="n"/>
      <c r="G886" s="5" t="n"/>
      <c r="H886" s="5" t="n"/>
    </row>
    <row r="887" hidden="1" s="38">
      <c r="A887" s="25" t="n"/>
      <c r="B887" s="5" t="n"/>
      <c r="C887" s="4" t="n"/>
      <c r="D887" s="5" t="n"/>
      <c r="E887" s="5" t="n"/>
      <c r="F887" s="5" t="n"/>
      <c r="G887" s="5" t="n"/>
      <c r="H887" s="5" t="n"/>
    </row>
    <row r="888" hidden="1" s="38">
      <c r="A888" s="25" t="n"/>
      <c r="B888" s="5" t="n"/>
      <c r="C888" s="4" t="n"/>
      <c r="D888" s="5" t="n"/>
      <c r="E888" s="5" t="n"/>
      <c r="F888" s="5" t="n"/>
      <c r="G888" s="5" t="n"/>
      <c r="H888" s="5" t="n"/>
    </row>
    <row r="889" hidden="1" s="38">
      <c r="A889" s="25" t="n"/>
      <c r="B889" s="5" t="n"/>
      <c r="C889" s="4" t="n"/>
      <c r="D889" s="5" t="n"/>
      <c r="E889" s="5" t="n"/>
      <c r="F889" s="5" t="n"/>
      <c r="G889" s="5" t="n"/>
      <c r="H889" s="5" t="n"/>
    </row>
    <row r="890" hidden="1" s="38">
      <c r="A890" s="25" t="n"/>
      <c r="B890" s="5" t="n"/>
      <c r="C890" s="4" t="n"/>
      <c r="D890" s="5" t="n"/>
      <c r="E890" s="5" t="n"/>
      <c r="F890" s="5" t="n"/>
      <c r="G890" s="5" t="n"/>
      <c r="H890" s="5" t="n"/>
    </row>
    <row r="891" hidden="1" s="38">
      <c r="A891" s="25" t="n"/>
      <c r="B891" s="5" t="n"/>
      <c r="C891" s="4" t="n"/>
      <c r="D891" s="5" t="n"/>
      <c r="E891" s="5" t="n"/>
      <c r="F891" s="5" t="n"/>
      <c r="G891" s="5" t="n"/>
      <c r="H891" s="5" t="n"/>
    </row>
    <row r="892" hidden="1" s="38">
      <c r="A892" s="25" t="n"/>
      <c r="B892" s="5" t="n"/>
      <c r="C892" s="4" t="n"/>
      <c r="D892" s="5" t="n"/>
      <c r="E892" s="5" t="n"/>
      <c r="F892" s="5" t="n"/>
      <c r="G892" s="5" t="n"/>
      <c r="H892" s="5" t="n"/>
    </row>
    <row r="893" hidden="1" s="38">
      <c r="A893" s="25" t="n"/>
      <c r="B893" s="5" t="n"/>
      <c r="C893" s="4" t="n"/>
      <c r="D893" s="5" t="n"/>
      <c r="E893" s="5" t="n"/>
      <c r="F893" s="5" t="n"/>
      <c r="G893" s="5" t="n"/>
      <c r="H893" s="5" t="n"/>
    </row>
    <row r="894" hidden="1" s="38">
      <c r="A894" s="25" t="n"/>
      <c r="B894" s="5" t="n"/>
      <c r="C894" s="4" t="n"/>
      <c r="D894" s="5" t="n"/>
      <c r="E894" s="5" t="n"/>
      <c r="F894" s="5" t="n"/>
      <c r="G894" s="5" t="n"/>
      <c r="H894" s="5" t="n"/>
    </row>
    <row r="895" hidden="1" s="38">
      <c r="A895" s="25" t="n"/>
      <c r="B895" s="5" t="n"/>
      <c r="C895" s="4" t="n"/>
      <c r="D895" s="5" t="n"/>
      <c r="E895" s="5" t="n"/>
      <c r="F895" s="5" t="n"/>
      <c r="G895" s="5" t="n"/>
      <c r="H895" s="5" t="n"/>
    </row>
    <row r="896" hidden="1" s="38">
      <c r="A896" s="25" t="n"/>
      <c r="B896" s="5" t="n"/>
      <c r="C896" s="4" t="n"/>
      <c r="D896" s="5" t="n"/>
      <c r="E896" s="5" t="n"/>
      <c r="F896" s="5" t="n"/>
      <c r="G896" s="5" t="n"/>
      <c r="H896" s="5" t="n"/>
    </row>
    <row r="897" hidden="1" s="38">
      <c r="A897" s="25" t="n"/>
      <c r="B897" s="5" t="n"/>
      <c r="C897" s="4" t="n"/>
      <c r="D897" s="5" t="n"/>
      <c r="E897" s="5" t="n"/>
      <c r="F897" s="5" t="n"/>
      <c r="G897" s="5" t="n"/>
      <c r="H897" s="5" t="n"/>
    </row>
    <row r="898" hidden="1" s="38">
      <c r="A898" s="25" t="n"/>
      <c r="B898" s="5" t="n"/>
      <c r="C898" s="4" t="n"/>
      <c r="D898" s="5" t="n"/>
      <c r="E898" s="5" t="n"/>
      <c r="F898" s="5" t="n"/>
      <c r="G898" s="5" t="n"/>
      <c r="H898" s="5" t="n"/>
    </row>
    <row r="899" hidden="1" s="38">
      <c r="A899" s="25" t="n"/>
      <c r="B899" s="5" t="n"/>
      <c r="C899" s="4" t="n"/>
      <c r="D899" s="5" t="n"/>
      <c r="E899" s="5" t="n"/>
      <c r="F899" s="5" t="n"/>
      <c r="G899" s="5" t="n"/>
      <c r="H899" s="5" t="n"/>
    </row>
    <row r="900" hidden="1" s="38">
      <c r="A900" s="25" t="n"/>
      <c r="B900" s="5" t="n"/>
      <c r="C900" s="4" t="n"/>
      <c r="D900" s="5" t="n"/>
      <c r="E900" s="5" t="n"/>
      <c r="F900" s="5" t="n"/>
      <c r="G900" s="5" t="n"/>
      <c r="H900" s="5" t="n"/>
    </row>
    <row r="901" hidden="1" s="38">
      <c r="A901" s="25" t="n"/>
      <c r="B901" s="5" t="n"/>
      <c r="C901" s="4" t="n"/>
      <c r="D901" s="5" t="n"/>
      <c r="E901" s="5" t="n"/>
      <c r="F901" s="5" t="n"/>
      <c r="G901" s="5" t="n"/>
      <c r="H901" s="5" t="n"/>
    </row>
    <row r="902" hidden="1" s="38">
      <c r="A902" s="25" t="n"/>
      <c r="B902" s="5" t="n"/>
      <c r="C902" s="4" t="n"/>
      <c r="D902" s="5" t="n"/>
      <c r="E902" s="5" t="n"/>
      <c r="F902" s="5" t="n"/>
      <c r="G902" s="5" t="n"/>
      <c r="H902" s="5" t="n"/>
    </row>
    <row r="903" hidden="1" s="38">
      <c r="A903" s="25" t="n"/>
      <c r="B903" s="5" t="n"/>
      <c r="C903" s="4" t="n"/>
      <c r="D903" s="5" t="n"/>
      <c r="E903" s="5" t="n"/>
      <c r="F903" s="5" t="n"/>
      <c r="G903" s="5" t="n"/>
      <c r="H903" s="5" t="n"/>
    </row>
    <row r="904" hidden="1" s="38">
      <c r="A904" s="25" t="n"/>
      <c r="B904" s="5" t="n"/>
      <c r="C904" s="4" t="n"/>
      <c r="D904" s="5" t="n"/>
      <c r="E904" s="5" t="n"/>
      <c r="F904" s="5" t="n"/>
      <c r="G904" s="5" t="n"/>
      <c r="H904" s="5" t="n"/>
    </row>
    <row r="905" hidden="1" s="38">
      <c r="A905" s="25" t="n"/>
      <c r="B905" s="5" t="n"/>
      <c r="C905" s="4" t="n"/>
      <c r="D905" s="5" t="n"/>
      <c r="E905" s="5" t="n"/>
      <c r="F905" s="5" t="n"/>
      <c r="G905" s="5" t="n"/>
      <c r="H905" s="5" t="n"/>
    </row>
    <row r="906" hidden="1" s="38">
      <c r="A906" s="25" t="n"/>
      <c r="B906" s="5" t="n"/>
      <c r="C906" s="4" t="n"/>
      <c r="D906" s="5" t="n"/>
      <c r="E906" s="5" t="n"/>
      <c r="F906" s="5" t="n"/>
      <c r="G906" s="5" t="n"/>
      <c r="H906" s="5" t="n"/>
    </row>
    <row r="907" hidden="1" s="38">
      <c r="A907" s="25" t="n"/>
      <c r="B907" s="5" t="n"/>
      <c r="C907" s="4" t="n"/>
      <c r="D907" s="5" t="n"/>
      <c r="E907" s="5" t="n"/>
      <c r="F907" s="5" t="n"/>
      <c r="G907" s="5" t="n"/>
      <c r="H907" s="5" t="n"/>
    </row>
    <row r="908" hidden="1" s="38">
      <c r="A908" s="25" t="n"/>
      <c r="B908" s="5" t="n"/>
      <c r="C908" s="4" t="n"/>
      <c r="D908" s="5" t="n"/>
      <c r="E908" s="5" t="n"/>
      <c r="F908" s="5" t="n"/>
      <c r="G908" s="5" t="n"/>
      <c r="H908" s="5" t="n"/>
    </row>
    <row r="909" hidden="1" s="38">
      <c r="A909" s="25" t="n"/>
      <c r="B909" s="5" t="n"/>
      <c r="C909" s="4" t="n"/>
      <c r="D909" s="5" t="n"/>
      <c r="E909" s="5" t="n"/>
      <c r="F909" s="5" t="n"/>
      <c r="G909" s="5" t="n"/>
      <c r="H909" s="5" t="n"/>
    </row>
    <row r="910" hidden="1" s="38">
      <c r="A910" s="25" t="n"/>
      <c r="B910" s="5" t="n"/>
      <c r="C910" s="4" t="n"/>
      <c r="D910" s="5" t="n"/>
      <c r="E910" s="5" t="n"/>
      <c r="F910" s="5" t="n"/>
      <c r="G910" s="5" t="n"/>
      <c r="H910" s="5" t="n"/>
    </row>
    <row r="911" hidden="1" s="38">
      <c r="A911" s="25" t="n"/>
      <c r="B911" s="5" t="n"/>
      <c r="C911" s="4" t="n"/>
      <c r="D911" s="5" t="n"/>
      <c r="E911" s="5" t="n"/>
      <c r="F911" s="5" t="n"/>
      <c r="G911" s="5" t="n"/>
      <c r="H911" s="5" t="n"/>
    </row>
    <row r="912" hidden="1" s="38">
      <c r="A912" s="25" t="n"/>
      <c r="B912" s="5" t="n"/>
      <c r="C912" s="4" t="n"/>
      <c r="D912" s="5" t="n"/>
      <c r="E912" s="5" t="n"/>
      <c r="F912" s="5" t="n"/>
      <c r="G912" s="5" t="n"/>
      <c r="H912" s="5" t="n"/>
    </row>
    <row r="913" hidden="1" s="38">
      <c r="A913" s="25" t="n"/>
      <c r="B913" s="5" t="n"/>
      <c r="C913" s="4" t="n"/>
      <c r="D913" s="5" t="n"/>
      <c r="E913" s="5" t="n"/>
      <c r="F913" s="5" t="n"/>
      <c r="G913" s="5" t="n"/>
      <c r="H913" s="5" t="n"/>
    </row>
    <row r="914" hidden="1" s="38">
      <c r="A914" s="25" t="n"/>
      <c r="B914" s="5" t="n"/>
      <c r="C914" s="4" t="n"/>
      <c r="D914" s="5" t="n"/>
      <c r="E914" s="5" t="n"/>
      <c r="F914" s="5" t="n"/>
      <c r="G914" s="5" t="n"/>
      <c r="H914" s="5" t="n"/>
    </row>
    <row r="915" hidden="1" s="38">
      <c r="A915" s="25" t="n"/>
      <c r="B915" s="5" t="n"/>
      <c r="C915" s="4" t="n"/>
      <c r="D915" s="5" t="n"/>
      <c r="E915" s="5" t="n"/>
      <c r="F915" s="5" t="n"/>
      <c r="G915" s="5" t="n"/>
      <c r="H915" s="5" t="n"/>
    </row>
    <row r="916" hidden="1" s="38">
      <c r="A916" s="25" t="n"/>
      <c r="B916" s="5" t="n"/>
      <c r="C916" s="4" t="n"/>
      <c r="D916" s="5" t="n"/>
      <c r="E916" s="5" t="n"/>
      <c r="F916" s="5" t="n"/>
      <c r="G916" s="5" t="n"/>
      <c r="H916" s="5" t="n"/>
    </row>
    <row r="917" hidden="1" s="38">
      <c r="A917" s="25" t="n"/>
      <c r="B917" s="5" t="n"/>
      <c r="C917" s="4" t="n"/>
      <c r="D917" s="5" t="n"/>
      <c r="E917" s="5" t="n"/>
      <c r="F917" s="5" t="n"/>
      <c r="G917" s="5" t="n"/>
      <c r="H917" s="5" t="n"/>
    </row>
    <row r="918" hidden="1" s="38">
      <c r="A918" s="25" t="n"/>
      <c r="B918" s="5" t="n"/>
      <c r="C918" s="4" t="n"/>
      <c r="D918" s="5" t="n"/>
      <c r="E918" s="5" t="n"/>
      <c r="F918" s="5" t="n"/>
      <c r="G918" s="5" t="n"/>
      <c r="H918" s="5" t="n"/>
    </row>
    <row r="919" hidden="1" s="38">
      <c r="A919" s="25" t="n"/>
      <c r="B919" s="5" t="n"/>
      <c r="C919" s="4" t="n"/>
      <c r="D919" s="5" t="n"/>
      <c r="E919" s="5" t="n"/>
      <c r="F919" s="5" t="n"/>
      <c r="G919" s="5" t="n"/>
      <c r="H919" s="5" t="n"/>
    </row>
    <row r="920" hidden="1" s="38">
      <c r="A920" s="25" t="n"/>
      <c r="B920" s="5" t="n"/>
      <c r="C920" s="4" t="n"/>
      <c r="D920" s="5" t="n"/>
      <c r="E920" s="5" t="n"/>
      <c r="F920" s="5" t="n"/>
      <c r="G920" s="5" t="n"/>
      <c r="H920" s="5" t="n"/>
    </row>
    <row r="921" hidden="1" s="38">
      <c r="A921" s="25" t="n"/>
      <c r="B921" s="5" t="n"/>
      <c r="C921" s="4" t="n"/>
      <c r="D921" s="5" t="n"/>
      <c r="E921" s="5" t="n"/>
      <c r="F921" s="5" t="n"/>
      <c r="G921" s="5" t="n"/>
      <c r="H921" s="5" t="n"/>
    </row>
    <row r="922" hidden="1" s="38">
      <c r="A922" s="25" t="n"/>
      <c r="B922" s="5" t="n"/>
      <c r="C922" s="4" t="n"/>
      <c r="D922" s="5" t="n"/>
      <c r="E922" s="5" t="n"/>
      <c r="F922" s="5" t="n"/>
      <c r="G922" s="5" t="n"/>
      <c r="H922" s="5" t="n"/>
    </row>
    <row r="923" hidden="1" s="38">
      <c r="A923" s="25" t="n"/>
      <c r="B923" s="5" t="n"/>
      <c r="C923" s="4" t="n"/>
      <c r="D923" s="5" t="n"/>
      <c r="E923" s="5" t="n"/>
      <c r="F923" s="5" t="n"/>
      <c r="G923" s="5" t="n"/>
      <c r="H923" s="5" t="n"/>
    </row>
    <row r="924" hidden="1" s="38">
      <c r="A924" s="25" t="n"/>
      <c r="B924" s="5" t="n"/>
      <c r="C924" s="4" t="n"/>
      <c r="D924" s="5" t="n"/>
      <c r="E924" s="5" t="n"/>
      <c r="F924" s="5" t="n"/>
      <c r="G924" s="5" t="n"/>
      <c r="H924" s="5" t="n"/>
    </row>
    <row r="925" hidden="1" s="38">
      <c r="A925" s="25" t="n"/>
      <c r="B925" s="5" t="n"/>
      <c r="C925" s="4" t="n"/>
      <c r="D925" s="5" t="n"/>
      <c r="E925" s="5" t="n"/>
      <c r="F925" s="5" t="n"/>
      <c r="G925" s="5" t="n"/>
      <c r="H925" s="5" t="n"/>
    </row>
    <row r="926" hidden="1" s="38">
      <c r="A926" s="25" t="n"/>
      <c r="B926" s="5" t="n"/>
      <c r="C926" s="4" t="n"/>
      <c r="D926" s="5" t="n"/>
      <c r="E926" s="5" t="n"/>
      <c r="F926" s="5" t="n"/>
      <c r="G926" s="5" t="n"/>
      <c r="H926" s="5" t="n"/>
    </row>
    <row r="927" hidden="1" s="38">
      <c r="A927" s="25" t="n"/>
      <c r="B927" s="5" t="n"/>
      <c r="C927" s="4" t="n"/>
      <c r="D927" s="5" t="n"/>
      <c r="E927" s="5" t="n"/>
      <c r="F927" s="5" t="n"/>
      <c r="G927" s="5" t="n"/>
      <c r="H927" s="5" t="n"/>
    </row>
    <row r="928" hidden="1" s="38">
      <c r="A928" s="25" t="n"/>
      <c r="B928" s="5" t="n"/>
      <c r="C928" s="4" t="n"/>
      <c r="D928" s="5" t="n"/>
      <c r="E928" s="5" t="n"/>
      <c r="F928" s="5" t="n"/>
      <c r="G928" s="5" t="n"/>
      <c r="H928" s="5" t="n"/>
    </row>
    <row r="929" hidden="1" s="38">
      <c r="A929" s="25" t="n"/>
      <c r="B929" s="5" t="n"/>
      <c r="C929" s="4" t="n"/>
      <c r="D929" s="5" t="n"/>
      <c r="E929" s="5" t="n"/>
      <c r="F929" s="5" t="n"/>
      <c r="G929" s="5" t="n"/>
      <c r="H929" s="5" t="n"/>
    </row>
    <row r="930" hidden="1" s="38">
      <c r="A930" s="25" t="n"/>
      <c r="B930" s="5" t="n"/>
      <c r="C930" s="4" t="n"/>
      <c r="D930" s="5" t="n"/>
      <c r="E930" s="5" t="n"/>
      <c r="F930" s="5" t="n"/>
      <c r="G930" s="5" t="n"/>
      <c r="H930" s="5" t="n"/>
    </row>
    <row r="931" hidden="1" s="38">
      <c r="A931" s="25" t="n"/>
      <c r="B931" s="5" t="n"/>
      <c r="C931" s="4" t="n"/>
      <c r="D931" s="5" t="n"/>
      <c r="E931" s="5" t="n"/>
      <c r="F931" s="5" t="n"/>
      <c r="G931" s="5" t="n"/>
      <c r="H931" s="5" t="n"/>
    </row>
    <row r="932" hidden="1" s="38">
      <c r="A932" s="25" t="n"/>
      <c r="B932" s="5" t="n"/>
      <c r="C932" s="4" t="n"/>
      <c r="D932" s="5" t="n"/>
      <c r="E932" s="5" t="n"/>
      <c r="F932" s="5" t="n"/>
      <c r="G932" s="5" t="n"/>
      <c r="H932" s="5" t="n"/>
    </row>
    <row r="933" hidden="1" s="38">
      <c r="A933" s="25" t="n"/>
      <c r="B933" s="5" t="n"/>
      <c r="C933" s="4" t="n"/>
      <c r="D933" s="5" t="n"/>
      <c r="E933" s="5" t="n"/>
      <c r="F933" s="5" t="n"/>
      <c r="G933" s="5" t="n"/>
      <c r="H933" s="5" t="n"/>
    </row>
    <row r="934" hidden="1" s="38">
      <c r="A934" s="25" t="n"/>
      <c r="B934" s="5" t="n"/>
      <c r="C934" s="4" t="n"/>
      <c r="D934" s="5" t="n"/>
      <c r="E934" s="5" t="n"/>
      <c r="F934" s="5" t="n"/>
      <c r="G934" s="5" t="n"/>
      <c r="H934" s="5" t="n"/>
    </row>
    <row r="935" hidden="1" s="38">
      <c r="A935" s="25" t="n"/>
      <c r="B935" s="5" t="n"/>
      <c r="C935" s="4" t="n"/>
      <c r="D935" s="5" t="n"/>
      <c r="E935" s="5" t="n"/>
      <c r="F935" s="5" t="n"/>
      <c r="G935" s="5" t="n"/>
      <c r="H935" s="5" t="n"/>
    </row>
    <row r="936" hidden="1" s="38">
      <c r="A936" s="25" t="n"/>
      <c r="B936" s="5" t="n"/>
      <c r="C936" s="4" t="n"/>
      <c r="D936" s="5" t="n"/>
      <c r="E936" s="5" t="n"/>
      <c r="F936" s="5" t="n"/>
      <c r="G936" s="5" t="n"/>
      <c r="H936" s="5" t="n"/>
    </row>
    <row r="937" hidden="1" s="38">
      <c r="A937" s="25" t="n"/>
      <c r="B937" s="5" t="n"/>
      <c r="C937" s="4" t="n"/>
      <c r="D937" s="5" t="n"/>
      <c r="E937" s="5" t="n"/>
      <c r="F937" s="5" t="n"/>
      <c r="G937" s="5" t="n"/>
      <c r="H937" s="5" t="n"/>
    </row>
    <row r="938" hidden="1" s="38">
      <c r="A938" s="25" t="n"/>
      <c r="B938" s="5" t="n"/>
      <c r="C938" s="4" t="n"/>
      <c r="D938" s="5" t="n"/>
      <c r="E938" s="5" t="n"/>
      <c r="F938" s="5" t="n"/>
      <c r="G938" s="5" t="n"/>
      <c r="H938" s="5" t="n"/>
    </row>
    <row r="939" hidden="1" s="38">
      <c r="A939" s="25" t="n"/>
      <c r="B939" s="5" t="n"/>
      <c r="C939" s="4" t="n"/>
      <c r="D939" s="5" t="n"/>
      <c r="E939" s="5" t="n"/>
      <c r="F939" s="5" t="n"/>
      <c r="G939" s="5" t="n"/>
      <c r="H939" s="5" t="n"/>
    </row>
    <row r="940" hidden="1" s="38">
      <c r="A940" s="25" t="n"/>
      <c r="B940" s="5" t="n"/>
      <c r="C940" s="4" t="n"/>
      <c r="D940" s="5" t="n"/>
      <c r="E940" s="5" t="n"/>
      <c r="F940" s="5" t="n"/>
      <c r="G940" s="5" t="n"/>
      <c r="H940" s="5" t="n"/>
    </row>
    <row r="941" hidden="1" s="38">
      <c r="A941" s="25" t="n"/>
      <c r="B941" s="5" t="n"/>
      <c r="C941" s="4" t="n"/>
      <c r="D941" s="5" t="n"/>
      <c r="E941" s="5" t="n"/>
      <c r="F941" s="5" t="n"/>
      <c r="G941" s="5" t="n"/>
      <c r="H941" s="5" t="n"/>
    </row>
    <row r="942" hidden="1" s="38">
      <c r="A942" s="25" t="n"/>
      <c r="B942" s="5" t="n"/>
      <c r="C942" s="4" t="n"/>
      <c r="D942" s="5" t="n"/>
      <c r="E942" s="5" t="n"/>
      <c r="F942" s="5" t="n"/>
      <c r="G942" s="5" t="n"/>
      <c r="H942" s="5" t="n"/>
    </row>
    <row r="943" hidden="1" s="38">
      <c r="A943" s="25" t="n"/>
      <c r="B943" s="5" t="n"/>
      <c r="C943" s="4" t="n"/>
      <c r="D943" s="5" t="n"/>
      <c r="E943" s="5" t="n"/>
      <c r="F943" s="5" t="n"/>
      <c r="G943" s="5" t="n"/>
      <c r="H943" s="5" t="n"/>
    </row>
    <row r="944" hidden="1" s="38">
      <c r="A944" s="25" t="n"/>
      <c r="B944" s="5" t="n"/>
      <c r="C944" s="4" t="n"/>
      <c r="D944" s="5" t="n"/>
      <c r="E944" s="5" t="n"/>
      <c r="F944" s="5" t="n"/>
      <c r="G944" s="5" t="n"/>
      <c r="H944" s="5" t="n"/>
    </row>
    <row r="945" hidden="1" s="38">
      <c r="A945" s="25" t="n"/>
      <c r="B945" s="5" t="n"/>
      <c r="C945" s="4" t="n"/>
      <c r="D945" s="5" t="n"/>
      <c r="E945" s="5" t="n"/>
      <c r="F945" s="5" t="n"/>
      <c r="G945" s="5" t="n"/>
      <c r="H945" s="5" t="n"/>
    </row>
    <row r="946" hidden="1" s="38">
      <c r="A946" s="25" t="n"/>
      <c r="B946" s="5" t="n"/>
      <c r="C946" s="4" t="n"/>
      <c r="D946" s="5" t="n"/>
      <c r="E946" s="5" t="n"/>
      <c r="F946" s="5" t="n"/>
      <c r="G946" s="5" t="n"/>
      <c r="H946" s="5" t="n"/>
    </row>
    <row r="947" hidden="1" s="38">
      <c r="A947" s="25" t="n"/>
      <c r="B947" s="5" t="n"/>
      <c r="C947" s="4" t="n"/>
      <c r="D947" s="5" t="n"/>
      <c r="E947" s="5" t="n"/>
      <c r="F947" s="5" t="n"/>
      <c r="G947" s="5" t="n"/>
      <c r="H947" s="5" t="n"/>
    </row>
    <row r="948" hidden="1" s="38">
      <c r="A948" s="25" t="n"/>
      <c r="B948" s="5" t="n"/>
      <c r="C948" s="4" t="n"/>
      <c r="D948" s="5" t="n"/>
      <c r="E948" s="5" t="n"/>
      <c r="F948" s="5" t="n"/>
      <c r="G948" s="5" t="n"/>
      <c r="H948" s="5" t="n"/>
    </row>
    <row r="949" hidden="1" s="38">
      <c r="A949" s="25" t="n"/>
      <c r="B949" s="5" t="n"/>
      <c r="C949" s="4" t="n"/>
      <c r="D949" s="5" t="n"/>
      <c r="E949" s="5" t="n"/>
      <c r="F949" s="5" t="n"/>
      <c r="G949" s="5" t="n"/>
      <c r="H949" s="5" t="n"/>
    </row>
    <row r="950" hidden="1" s="38">
      <c r="A950" s="25" t="n"/>
      <c r="B950" s="5" t="n"/>
      <c r="C950" s="4" t="n"/>
      <c r="D950" s="5" t="n"/>
      <c r="E950" s="5" t="n"/>
      <c r="F950" s="5" t="n"/>
      <c r="G950" s="5" t="n"/>
      <c r="H950" s="5" t="n"/>
    </row>
    <row r="951" hidden="1" s="38">
      <c r="A951" s="25" t="n"/>
      <c r="B951" s="5" t="n"/>
      <c r="C951" s="4" t="n"/>
      <c r="D951" s="5" t="n"/>
      <c r="E951" s="5" t="n"/>
      <c r="F951" s="5" t="n"/>
      <c r="G951" s="5" t="n"/>
      <c r="H951" s="5" t="n"/>
    </row>
    <row r="952" hidden="1" s="38">
      <c r="A952" s="25" t="n"/>
      <c r="B952" s="5" t="n"/>
      <c r="C952" s="4" t="n"/>
      <c r="D952" s="5" t="n"/>
      <c r="E952" s="5" t="n"/>
      <c r="F952" s="5" t="n"/>
      <c r="G952" s="5" t="n"/>
      <c r="H952" s="5" t="n"/>
    </row>
    <row r="953" hidden="1" s="38">
      <c r="A953" s="25" t="n"/>
      <c r="B953" s="5" t="n"/>
      <c r="C953" s="4" t="n"/>
      <c r="D953" s="5" t="n"/>
      <c r="E953" s="5" t="n"/>
      <c r="F953" s="5" t="n"/>
      <c r="G953" s="5" t="n"/>
      <c r="H953" s="5" t="n"/>
    </row>
    <row r="954" hidden="1" s="38">
      <c r="A954" s="25" t="n"/>
      <c r="B954" s="5" t="n"/>
      <c r="C954" s="4" t="n"/>
      <c r="D954" s="5" t="n"/>
      <c r="E954" s="5" t="n"/>
      <c r="F954" s="5" t="n"/>
      <c r="G954" s="5" t="n"/>
      <c r="H954" s="5" t="n"/>
    </row>
    <row r="955" hidden="1" s="38">
      <c r="A955" s="25" t="n"/>
      <c r="B955" s="5" t="n"/>
      <c r="C955" s="4" t="n"/>
      <c r="D955" s="5" t="n"/>
      <c r="E955" s="5" t="n"/>
      <c r="F955" s="5" t="n"/>
      <c r="G955" s="5" t="n"/>
      <c r="H955" s="5" t="n"/>
    </row>
    <row r="956" hidden="1" s="38">
      <c r="A956" s="25" t="n"/>
      <c r="B956" s="5" t="n"/>
      <c r="C956" s="4" t="n"/>
      <c r="D956" s="5" t="n"/>
      <c r="E956" s="5" t="n"/>
      <c r="F956" s="5" t="n"/>
      <c r="G956" s="5" t="n"/>
      <c r="H956" s="5" t="n"/>
    </row>
    <row r="957" hidden="1" s="38">
      <c r="A957" s="25" t="n"/>
      <c r="B957" s="5" t="n"/>
      <c r="C957" s="4" t="n"/>
      <c r="D957" s="5" t="n"/>
      <c r="E957" s="5" t="n"/>
      <c r="F957" s="5" t="n"/>
      <c r="G957" s="5" t="n"/>
      <c r="H957" s="5" t="n"/>
    </row>
    <row r="958" hidden="1" s="38">
      <c r="A958" s="25" t="n"/>
      <c r="B958" s="5" t="n"/>
      <c r="C958" s="4" t="n"/>
      <c r="D958" s="5" t="n"/>
      <c r="E958" s="5" t="n"/>
      <c r="F958" s="5" t="n"/>
      <c r="G958" s="5" t="n"/>
      <c r="H958" s="5" t="n"/>
    </row>
    <row r="959" hidden="1" s="38">
      <c r="A959" s="25" t="n"/>
      <c r="B959" s="5" t="n"/>
      <c r="C959" s="4" t="n"/>
      <c r="D959" s="5" t="n"/>
      <c r="E959" s="5" t="n"/>
      <c r="F959" s="5" t="n"/>
      <c r="G959" s="5" t="n"/>
      <c r="H959" s="5" t="n"/>
    </row>
    <row r="960" hidden="1" s="38">
      <c r="A960" s="25" t="n"/>
      <c r="B960" s="5" t="n"/>
      <c r="C960" s="4" t="n"/>
      <c r="D960" s="5" t="n"/>
      <c r="E960" s="5" t="n"/>
      <c r="F960" s="5" t="n"/>
      <c r="G960" s="5" t="n"/>
      <c r="H960" s="5" t="n"/>
    </row>
    <row r="961" hidden="1" s="38">
      <c r="A961" s="25" t="n"/>
      <c r="B961" s="5" t="n"/>
      <c r="C961" s="4" t="n"/>
      <c r="D961" s="5" t="n"/>
      <c r="E961" s="5" t="n"/>
      <c r="F961" s="5" t="n"/>
      <c r="G961" s="5" t="n"/>
      <c r="H961" s="5" t="n"/>
    </row>
    <row r="962" hidden="1" s="38">
      <c r="A962" s="25" t="n"/>
      <c r="B962" s="5" t="n"/>
      <c r="C962" s="4" t="n"/>
      <c r="D962" s="5" t="n"/>
      <c r="E962" s="5" t="n"/>
      <c r="F962" s="5" t="n"/>
      <c r="G962" s="5" t="n"/>
      <c r="H962" s="5" t="n"/>
    </row>
    <row r="963" hidden="1" s="38">
      <c r="A963" s="25" t="n"/>
      <c r="B963" s="5" t="n"/>
      <c r="C963" s="4" t="n"/>
      <c r="D963" s="5" t="n"/>
      <c r="E963" s="5" t="n"/>
      <c r="F963" s="5" t="n"/>
      <c r="G963" s="5" t="n"/>
      <c r="H963" s="5" t="n"/>
    </row>
    <row r="964" hidden="1" s="38">
      <c r="A964" s="25" t="n"/>
      <c r="B964" s="5" t="n"/>
      <c r="C964" s="4" t="n"/>
      <c r="D964" s="5" t="n"/>
      <c r="E964" s="5" t="n"/>
      <c r="F964" s="5" t="n"/>
      <c r="G964" s="5" t="n"/>
      <c r="H964" s="5" t="n"/>
    </row>
    <row r="965" hidden="1" s="38">
      <c r="A965" s="25" t="n"/>
      <c r="B965" s="5" t="n"/>
      <c r="C965" s="4" t="n"/>
      <c r="D965" s="5" t="n"/>
      <c r="E965" s="5" t="n"/>
      <c r="F965" s="5" t="n"/>
      <c r="G965" s="5" t="n"/>
      <c r="H965" s="5" t="n"/>
    </row>
    <row r="966" hidden="1" s="38">
      <c r="A966" s="25" t="n"/>
      <c r="B966" s="5" t="n"/>
      <c r="C966" s="4" t="n"/>
      <c r="D966" s="5" t="n"/>
      <c r="E966" s="5" t="n"/>
      <c r="F966" s="5" t="n"/>
      <c r="G966" s="5" t="n"/>
      <c r="H966" s="5" t="n"/>
    </row>
    <row r="967" hidden="1" s="38">
      <c r="A967" s="25" t="n"/>
      <c r="B967" s="5" t="n"/>
      <c r="C967" s="4" t="n"/>
      <c r="D967" s="5" t="n"/>
      <c r="E967" s="5" t="n"/>
      <c r="F967" s="5" t="n"/>
      <c r="G967" s="5" t="n"/>
      <c r="H967" s="5" t="n"/>
    </row>
    <row r="968" hidden="1" s="38">
      <c r="A968" s="25" t="n"/>
      <c r="B968" s="5" t="n"/>
      <c r="C968" s="4" t="n"/>
      <c r="D968" s="5" t="n"/>
      <c r="E968" s="5" t="n"/>
      <c r="F968" s="5" t="n"/>
      <c r="G968" s="5" t="n"/>
      <c r="H968" s="5" t="n"/>
    </row>
    <row r="969" hidden="1" s="38">
      <c r="A969" s="25" t="n"/>
      <c r="B969" s="5" t="n"/>
      <c r="C969" s="4" t="n"/>
      <c r="D969" s="5" t="n"/>
      <c r="E969" s="5" t="n"/>
      <c r="F969" s="5" t="n"/>
      <c r="G969" s="5" t="n"/>
      <c r="H969" s="5" t="n"/>
    </row>
    <row r="970" hidden="1" s="38">
      <c r="A970" s="25" t="n"/>
      <c r="B970" s="5" t="n"/>
      <c r="C970" s="4" t="n"/>
      <c r="D970" s="5" t="n"/>
      <c r="E970" s="5" t="n"/>
      <c r="F970" s="5" t="n"/>
      <c r="G970" s="5" t="n"/>
      <c r="H970" s="5" t="n"/>
    </row>
    <row r="971" hidden="1" s="38">
      <c r="A971" s="25" t="n"/>
      <c r="B971" s="5" t="n"/>
      <c r="C971" s="4" t="n"/>
      <c r="D971" s="5" t="n"/>
      <c r="E971" s="5" t="n"/>
      <c r="F971" s="5" t="n"/>
      <c r="G971" s="5" t="n"/>
      <c r="H971" s="5" t="n"/>
    </row>
    <row r="972" hidden="1" s="38">
      <c r="A972" s="25" t="n"/>
      <c r="B972" s="5" t="n"/>
      <c r="C972" s="4" t="n"/>
      <c r="D972" s="5" t="n"/>
      <c r="E972" s="5" t="n"/>
      <c r="F972" s="5" t="n"/>
      <c r="G972" s="5" t="n"/>
      <c r="H972" s="5" t="n"/>
    </row>
    <row r="973" hidden="1" s="38">
      <c r="A973" s="25" t="n"/>
      <c r="B973" s="5" t="n"/>
      <c r="C973" s="4" t="n"/>
      <c r="D973" s="5" t="n"/>
      <c r="E973" s="5" t="n"/>
      <c r="F973" s="5" t="n"/>
      <c r="G973" s="5" t="n"/>
      <c r="H973" s="5" t="n"/>
    </row>
    <row r="974" hidden="1" s="38">
      <c r="A974" s="25" t="n"/>
      <c r="B974" s="5" t="n"/>
      <c r="C974" s="4" t="n"/>
      <c r="D974" s="5" t="n"/>
      <c r="E974" s="5" t="n"/>
      <c r="F974" s="5" t="n"/>
      <c r="G974" s="5" t="n"/>
      <c r="H974" s="5" t="n"/>
    </row>
    <row r="975" hidden="1" s="38">
      <c r="A975" s="25" t="n"/>
      <c r="B975" s="5" t="n"/>
      <c r="C975" s="4" t="n"/>
      <c r="D975" s="5" t="n"/>
      <c r="E975" s="5" t="n"/>
      <c r="F975" s="5" t="n"/>
      <c r="G975" s="5" t="n"/>
      <c r="H975" s="5" t="n"/>
    </row>
    <row r="976" hidden="1" s="38">
      <c r="A976" s="25" t="n"/>
      <c r="B976" s="5" t="n"/>
      <c r="C976" s="4" t="n"/>
      <c r="D976" s="5" t="n"/>
      <c r="E976" s="5" t="n"/>
      <c r="F976" s="5" t="n"/>
      <c r="G976" s="5" t="n"/>
      <c r="H976" s="5" t="n"/>
    </row>
    <row r="977" hidden="1" s="38">
      <c r="A977" s="25" t="n"/>
      <c r="B977" s="5" t="n"/>
      <c r="C977" s="4" t="n"/>
      <c r="D977" s="5" t="n"/>
      <c r="E977" s="5" t="n"/>
      <c r="F977" s="5" t="n"/>
      <c r="G977" s="5" t="n"/>
      <c r="H977" s="5" t="n"/>
    </row>
    <row r="978" hidden="1" s="38">
      <c r="A978" s="25" t="n"/>
      <c r="B978" s="5" t="n"/>
      <c r="C978" s="4" t="n"/>
      <c r="D978" s="5" t="n"/>
      <c r="E978" s="5" t="n"/>
      <c r="F978" s="5" t="n"/>
      <c r="G978" s="5" t="n"/>
      <c r="H978" s="5" t="n"/>
    </row>
    <row r="979" hidden="1" s="38">
      <c r="A979" s="25" t="n"/>
      <c r="B979" s="5" t="n"/>
      <c r="C979" s="4" t="n"/>
      <c r="D979" s="5" t="n"/>
      <c r="E979" s="5" t="n"/>
      <c r="F979" s="5" t="n"/>
      <c r="G979" s="5" t="n"/>
      <c r="H979" s="5" t="n"/>
    </row>
    <row r="980" hidden="1" s="38">
      <c r="A980" s="25" t="n"/>
      <c r="B980" s="5" t="n"/>
      <c r="C980" s="4" t="n"/>
      <c r="D980" s="5" t="n"/>
      <c r="E980" s="5" t="n"/>
      <c r="F980" s="5" t="n"/>
      <c r="G980" s="5" t="n"/>
      <c r="H980" s="5" t="n"/>
    </row>
    <row r="981" hidden="1" s="38">
      <c r="A981" s="25" t="n"/>
      <c r="B981" s="5" t="n"/>
      <c r="C981" s="4" t="n"/>
      <c r="D981" s="5" t="n"/>
      <c r="E981" s="5" t="n"/>
      <c r="F981" s="5" t="n"/>
      <c r="G981" s="5" t="n"/>
      <c r="H981" s="5" t="n"/>
    </row>
    <row r="982" hidden="1" s="38">
      <c r="A982" s="25" t="n"/>
      <c r="B982" s="5" t="n"/>
      <c r="C982" s="4" t="n"/>
      <c r="D982" s="5" t="n"/>
      <c r="E982" s="5" t="n"/>
      <c r="F982" s="5" t="n"/>
      <c r="G982" s="5" t="n"/>
      <c r="H982" s="5" t="n"/>
    </row>
    <row r="983" hidden="1" s="38">
      <c r="A983" s="25" t="n"/>
      <c r="B983" s="5" t="n"/>
      <c r="C983" s="4" t="n"/>
      <c r="D983" s="5" t="n"/>
      <c r="E983" s="5" t="n"/>
      <c r="F983" s="5" t="n"/>
      <c r="G983" s="5" t="n"/>
      <c r="H983" s="5" t="n"/>
    </row>
    <row r="984" hidden="1" s="38">
      <c r="A984" s="25" t="n"/>
      <c r="B984" s="5" t="n"/>
      <c r="C984" s="4" t="n"/>
      <c r="D984" s="5" t="n"/>
      <c r="E984" s="5" t="n"/>
      <c r="F984" s="5" t="n"/>
      <c r="G984" s="5" t="n"/>
      <c r="H984" s="5" t="n"/>
    </row>
    <row r="985" hidden="1" s="38">
      <c r="A985" s="25" t="n"/>
      <c r="B985" s="5" t="n"/>
      <c r="C985" s="4" t="n"/>
      <c r="D985" s="5" t="n"/>
      <c r="E985" s="5" t="n"/>
      <c r="F985" s="5" t="n"/>
      <c r="G985" s="5" t="n"/>
      <c r="H985" s="5" t="n"/>
    </row>
    <row r="986" hidden="1" s="38">
      <c r="A986" s="25" t="n"/>
      <c r="B986" s="5" t="n"/>
      <c r="C986" s="4" t="n"/>
      <c r="D986" s="5" t="n"/>
      <c r="E986" s="5" t="n"/>
      <c r="F986" s="5" t="n"/>
      <c r="G986" s="5" t="n"/>
      <c r="H986" s="5" t="n"/>
    </row>
    <row r="987" hidden="1" s="38">
      <c r="A987" s="25" t="n"/>
      <c r="B987" s="5" t="n"/>
      <c r="C987" s="4" t="n"/>
      <c r="D987" s="5" t="n"/>
      <c r="E987" s="5" t="n"/>
      <c r="F987" s="5" t="n"/>
      <c r="G987" s="5" t="n"/>
      <c r="H987" s="5" t="n"/>
    </row>
    <row r="988" hidden="1" s="38">
      <c r="A988" s="25" t="n"/>
      <c r="B988" s="5" t="n"/>
      <c r="C988" s="4" t="n"/>
      <c r="D988" s="5" t="n"/>
      <c r="E988" s="5" t="n"/>
      <c r="F988" s="5" t="n"/>
      <c r="G988" s="5" t="n"/>
      <c r="H988" s="5" t="n"/>
    </row>
    <row r="989" hidden="1" s="38">
      <c r="A989" s="25" t="n"/>
      <c r="B989" s="5" t="n"/>
      <c r="C989" s="4" t="n"/>
      <c r="D989" s="5" t="n"/>
      <c r="E989" s="5" t="n"/>
      <c r="F989" s="5" t="n"/>
      <c r="G989" s="5" t="n"/>
      <c r="H989" s="5" t="n"/>
    </row>
    <row r="990" hidden="1" s="38">
      <c r="A990" s="25" t="n"/>
      <c r="B990" s="5" t="n"/>
      <c r="C990" s="4" t="n"/>
      <c r="D990" s="5" t="n"/>
      <c r="E990" s="5" t="n"/>
      <c r="F990" s="5" t="n"/>
      <c r="G990" s="5" t="n"/>
      <c r="H990" s="5" t="n"/>
    </row>
    <row r="991" hidden="1" s="38">
      <c r="A991" s="25" t="n"/>
      <c r="B991" s="5" t="n"/>
      <c r="C991" s="4" t="n"/>
      <c r="D991" s="5" t="n"/>
      <c r="E991" s="5" t="n"/>
      <c r="F991" s="5" t="n"/>
      <c r="G991" s="5" t="n"/>
      <c r="H991" s="5" t="n"/>
    </row>
    <row r="992" hidden="1" s="38">
      <c r="A992" s="25" t="n"/>
      <c r="B992" s="5" t="n"/>
      <c r="C992" s="4" t="n"/>
      <c r="D992" s="5" t="n"/>
      <c r="E992" s="5" t="n"/>
      <c r="F992" s="5" t="n"/>
      <c r="G992" s="5" t="n"/>
      <c r="H992" s="5" t="n"/>
    </row>
    <row r="993" hidden="1" s="38">
      <c r="A993" s="25" t="n"/>
      <c r="B993" s="5" t="n"/>
      <c r="C993" s="4" t="n"/>
      <c r="D993" s="5" t="n"/>
      <c r="E993" s="5" t="n"/>
      <c r="F993" s="5" t="n"/>
      <c r="G993" s="5" t="n"/>
      <c r="H993" s="5" t="n"/>
    </row>
    <row r="994" hidden="1" s="38">
      <c r="A994" s="25" t="n"/>
      <c r="B994" s="5" t="n"/>
      <c r="C994" s="4" t="n"/>
      <c r="D994" s="5" t="n"/>
      <c r="E994" s="5" t="n"/>
      <c r="F994" s="5" t="n"/>
      <c r="G994" s="5" t="n"/>
      <c r="H994" s="5" t="n"/>
    </row>
    <row r="995" hidden="1" s="38">
      <c r="A995" s="25" t="n"/>
      <c r="B995" s="5" t="n"/>
      <c r="C995" s="4" t="n"/>
      <c r="D995" s="5" t="n"/>
      <c r="E995" s="5" t="n"/>
      <c r="F995" s="5" t="n"/>
      <c r="G995" s="5" t="n"/>
      <c r="H995" s="5" t="n"/>
    </row>
    <row r="996" hidden="1" s="38">
      <c r="A996" s="25" t="n"/>
      <c r="B996" s="5" t="n"/>
      <c r="C996" s="4" t="n"/>
      <c r="D996" s="5" t="n"/>
      <c r="E996" s="5" t="n"/>
      <c r="F996" s="5" t="n"/>
      <c r="G996" s="5" t="n"/>
      <c r="H996" s="5" t="n"/>
    </row>
    <row r="997" hidden="1" s="38">
      <c r="A997" s="25" t="n"/>
      <c r="B997" s="5" t="n"/>
      <c r="C997" s="4" t="n"/>
      <c r="D997" s="5" t="n"/>
      <c r="E997" s="5" t="n"/>
      <c r="F997" s="5" t="n"/>
      <c r="G997" s="5" t="n"/>
      <c r="H997" s="5" t="n"/>
    </row>
    <row r="998" hidden="1" s="38">
      <c r="A998" s="25" t="n"/>
      <c r="B998" s="5" t="n"/>
      <c r="C998" s="4" t="n"/>
      <c r="D998" s="5" t="n"/>
      <c r="E998" s="5" t="n"/>
      <c r="F998" s="5" t="n"/>
      <c r="G998" s="5" t="n"/>
      <c r="H998" s="5" t="n"/>
    </row>
    <row r="999" hidden="1" s="38">
      <c r="A999" s="25" t="n"/>
      <c r="B999" s="5" t="n"/>
      <c r="C999" s="4" t="n"/>
      <c r="D999" s="5" t="n"/>
      <c r="E999" s="5" t="n"/>
      <c r="F999" s="5" t="n"/>
      <c r="G999" s="5" t="n"/>
      <c r="H999" s="5" t="n"/>
    </row>
    <row r="1000" hidden="1" s="38">
      <c r="A1000" s="25" t="n"/>
      <c r="B1000" s="5" t="n"/>
      <c r="C1000" s="4" t="n"/>
      <c r="D1000" s="5" t="n"/>
      <c r="E1000" s="5" t="n"/>
      <c r="F1000" s="5" t="n"/>
      <c r="G1000" s="5" t="n"/>
      <c r="H1000" s="5" t="n"/>
    </row>
  </sheetData>
  <autoFilter ref="A4:H1000">
    <filterColumn colId="1" hiddenButton="0" showButton="1">
      <filters>
        <filter val="JAQUELIN JAZMIN ROMERO FLORES"/>
        <filter val="JAZMIN ABIGAIL VASQUEZ AVELAR"/>
      </filters>
    </filterColumn>
  </autoFilter>
  <conditionalFormatting sqref="H5:H1000">
    <cfRule type="expression" priority="1" dxfId="16">
      <formula>AND($H5&lt;&gt;"",COUNTIF('Base Exámenes'!$C$5:$C$1000,TRIM($A5))&gt;0)</formula>
    </cfRule>
  </conditionalFormatting>
  <dataValidations count="3">
    <dataValidation sqref="F5:F1000" showDropDown="0" showInputMessage="1" showErrorMessage="1" allowBlank="1" errorTitle="Departamento nuevo" error="Este departamento no está en la lista. Si es un departamento NUEVO elija 'Sí' para agregarlo; si fue un error de escritura elija 'No' y selecciónelo de la lista." promptTitle="Departamento" prompt="Elija el departamento de la lista (o escriba uno nuevo)." type="list" errorStyle="warning">
      <formula1>OFFSET(Cálculos!$W$6,0,0,COUNTIF(Cálculos!$W$6:$W$85,"?*"),1)</formula1>
    </dataValidation>
    <dataValidation sqref="G5:G1000" showDropDown="0" showInputMessage="1" showErrorMessage="1" allowBlank="1" errorTitle="Gerencia nuevo" error="Este gerencia no está en la lista. Si es un gerencia NUEVO elija 'Sí' para agregarlo; si fue un error de escritura elija 'No' y selecciónelo de la lista." promptTitle="Gerencia" prompt="Elija el gerencia de la lista (o escriba uno nuevo)." type="list" errorStyle="warning">
      <formula1>OFFSET(Cálculos!$V$6,0,0,COUNTIF(Cálculos!$V$6:$V$25,"?*"),1)</formula1>
    </dataValidation>
    <dataValidation sqref="H5:H1000" showDropDown="0" showInputMessage="1" showErrorMessage="1" allowBlank="1" errorTitle="Valor no válido" error="Elija una situación de la lista o deje la celda vacía." promptTitle="Situación especial" prompt="Déjelo vacío si la persona está activa. Elija una opción si está de vacaciones, incapacitada o renunció." type="list">
      <formula1>Cálculos!$AS$5:$AS$8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52" customWidth="1" style="38" min="1" max="1"/>
    <col width="62" customWidth="1" style="38" min="2" max="2"/>
    <col width="22" customWidth="1" style="38" min="3" max="3"/>
    <col width="23" customWidth="1" style="38" min="4" max="4"/>
    <col width="24" customWidth="1" style="38" min="5" max="5"/>
    <col width="21" customWidth="1" style="38" min="6" max="6"/>
    <col width="12" customWidth="1" style="38" min="7" max="7"/>
    <col width="13" customWidth="1" style="38" min="8" max="8"/>
    <col hidden="1" width="13" customWidth="1" style="38" min="9" max="9"/>
  </cols>
  <sheetData>
    <row r="1" ht="21" customHeight="1" s="38">
      <c r="A1" s="1" t="inlineStr">
        <is>
          <t>REGISTROS CRUDOS DEL EXAMEN</t>
        </is>
      </c>
    </row>
    <row r="2">
      <c r="A2" s="2" t="inlineStr">
        <is>
          <t>Datos exportados de la plataforma de evaluaciones</t>
        </is>
      </c>
    </row>
    <row r="4" ht="28.8" customHeight="1" s="38">
      <c r="A4" s="3" t="inlineStr">
        <is>
          <t>Nombre en Examen</t>
        </is>
      </c>
      <c r="B4" s="3" t="inlineStr">
        <is>
          <t>Área en Examen</t>
        </is>
      </c>
      <c r="C4" s="3" t="inlineStr">
        <is>
          <t>Código de Empleado</t>
        </is>
      </c>
      <c r="D4" s="3" t="inlineStr">
        <is>
          <t>Hora de Inicio</t>
        </is>
      </c>
      <c r="E4" s="3" t="inlineStr">
        <is>
          <t>Hora de Finalización</t>
        </is>
      </c>
      <c r="F4" s="3" t="inlineStr">
        <is>
          <t>Duración (min)</t>
        </is>
      </c>
      <c r="G4" s="3" t="inlineStr">
        <is>
          <t>Nota</t>
        </is>
      </c>
      <c r="H4" s="3" t="inlineStr">
        <is>
          <t>Correo</t>
        </is>
      </c>
      <c r="I4" s="3" t="inlineStr">
        <is>
          <t>Clave auxiliar (no editar)</t>
        </is>
      </c>
    </row>
    <row r="5">
      <c r="A5" s="5" t="inlineStr">
        <is>
          <t>José Augusto De la O Gallegos</t>
        </is>
      </c>
      <c r="B5" s="5" t="inlineStr">
        <is>
          <t>Gerencia de Finanzas y Planificación</t>
        </is>
      </c>
      <c r="C5" s="25" t="inlineStr">
        <is>
          <t>524</t>
        </is>
      </c>
      <c r="D5" s="9" t="n">
        <v>46296.42706018518</v>
      </c>
      <c r="E5" s="9" t="n">
        <v>46296.42956018518</v>
      </c>
      <c r="F5" s="7">
        <f>IF(OR(D5="",E5=""),"",(E5-D5)*1440)</f>
        <v>3.6</v>
      </c>
      <c r="G5" s="6" t="n">
        <v>100</v>
      </c>
      <c r="H5" s="6" t="inlineStr">
        <is>
          <t>anonymous</t>
        </is>
      </c>
      <c r="I5" t="str">
        <f>IF(C5="","",C5&amp;"|"&amp;G5)</f>
        <v>524|100</v>
      </c>
    </row>
    <row r="6">
      <c r="A6" s="5" t="inlineStr">
        <is>
          <t>Henry Oswaldo Pineda García</t>
        </is>
      </c>
      <c r="B6" s="5" t="inlineStr">
        <is>
          <t>Seguros</t>
        </is>
      </c>
      <c r="C6" s="25" t="inlineStr">
        <is>
          <t>894</t>
        </is>
      </c>
      <c r="D6" s="9" t="n">
        <v>46296.42641203704</v>
      </c>
      <c r="E6" s="9" t="n">
        <v>46296.431875</v>
      </c>
      <c r="F6" s="7">
        <f>IF(OR(D6="",E6=""),"",(E6-D6)*1440)</f>
        <v>7.86666666666667</v>
      </c>
      <c r="G6" s="6" t="n">
        <v>100</v>
      </c>
      <c r="H6" s="6" t="inlineStr">
        <is>
          <t>anonymous</t>
        </is>
      </c>
      <c r="I6" t="str">
        <f>IF(C6="","",C6&amp;"|"&amp;G6)</f>
        <v>894|100</v>
      </c>
    </row>
    <row r="7">
      <c r="A7" s="5" t="inlineStr">
        <is>
          <t>Sara Patricia González de Jiménez</t>
        </is>
      </c>
      <c r="B7" s="5" t="inlineStr">
        <is>
          <t>Departamento de Riesgos</t>
        </is>
      </c>
      <c r="C7" s="25" t="inlineStr">
        <is>
          <t>408</t>
        </is>
      </c>
      <c r="D7" s="9" t="n">
        <v>46296.43667824074</v>
      </c>
      <c r="E7" s="9" t="n">
        <v>46296.43879629629</v>
      </c>
      <c r="F7" s="7">
        <f>IF(OR(D7="",E7=""),"",(E7-D7)*1440)</f>
        <v>3.05</v>
      </c>
      <c r="G7" s="6" t="n">
        <v>100</v>
      </c>
      <c r="H7" s="6" t="inlineStr">
        <is>
          <t>anonymous</t>
        </is>
      </c>
      <c r="I7" t="str">
        <f>IF(C7="","",C7&amp;"|"&amp;G7)</f>
        <v>408|100</v>
      </c>
    </row>
    <row r="8">
      <c r="A8" s="5" t="inlineStr">
        <is>
          <t>THELMA ESPERANZA DIGUEROA DE SORTO</t>
        </is>
      </c>
      <c r="B8" s="5" t="inlineStr">
        <is>
          <t>AGENCIA SAN MIGUEL</t>
        </is>
      </c>
      <c r="C8" s="25" t="inlineStr">
        <is>
          <t>197</t>
        </is>
      </c>
      <c r="D8" s="9" t="n">
        <v>46296.43491898148</v>
      </c>
      <c r="E8" s="9" t="n">
        <v>46296.44064814815</v>
      </c>
      <c r="F8" s="7">
        <f>IF(OR(D8="",E8=""),"",(E8-D8)*1440)</f>
        <v>8.25</v>
      </c>
      <c r="G8" s="6" t="n">
        <v>100</v>
      </c>
      <c r="H8" s="6" t="inlineStr">
        <is>
          <t>anonymous</t>
        </is>
      </c>
      <c r="I8" t="str">
        <f>IF(C8="","",C8&amp;"|"&amp;G8)</f>
        <v>197|100</v>
      </c>
    </row>
    <row r="9">
      <c r="A9" s="5" t="inlineStr">
        <is>
          <t>Mauricio Edgardo Miranda Campos</t>
        </is>
      </c>
      <c r="B9" s="5" t="inlineStr">
        <is>
          <t>Procesos</t>
        </is>
      </c>
      <c r="C9" s="25" t="inlineStr">
        <is>
          <t>817</t>
        </is>
      </c>
      <c r="D9" s="9" t="n">
        <v>46296.43665509259</v>
      </c>
      <c r="E9" s="9" t="n">
        <v>46296.44137731481</v>
      </c>
      <c r="F9" s="7">
        <f>IF(OR(D9="",E9=""),"",(E9-D9)*1440)</f>
        <v>6.8</v>
      </c>
      <c r="G9" s="6" t="n">
        <v>100</v>
      </c>
      <c r="H9" s="6" t="inlineStr">
        <is>
          <t>anonymous</t>
        </is>
      </c>
      <c r="I9" t="str">
        <f>IF(C9="","",C9&amp;"|"&amp;G9)</f>
        <v>817|100</v>
      </c>
    </row>
    <row r="10">
      <c r="A10" s="5" t="inlineStr">
        <is>
          <t>Héctor Sebastián López Granados</t>
        </is>
      </c>
      <c r="B10" s="5" t="inlineStr">
        <is>
          <t>Procesos</t>
        </is>
      </c>
      <c r="C10" s="25" t="inlineStr">
        <is>
          <t>932</t>
        </is>
      </c>
      <c r="D10" s="9" t="n">
        <v>46296.4371875</v>
      </c>
      <c r="E10" s="9" t="n">
        <v>46296.44143518519</v>
      </c>
      <c r="F10" s="7">
        <f>IF(OR(D10="",E10=""),"",(E10-D10)*1440)</f>
        <v>6.11666666666667</v>
      </c>
      <c r="G10" s="6" t="n">
        <v>100</v>
      </c>
      <c r="H10" s="6" t="inlineStr">
        <is>
          <t>anonymous</t>
        </is>
      </c>
      <c r="I10" t="str">
        <f>IF(C10="","",C10&amp;"|"&amp;G10)</f>
        <v>932|100</v>
      </c>
    </row>
    <row r="11">
      <c r="A11" s="5" t="inlineStr">
        <is>
          <t>Claudia Carolina Henríquez Velasco</t>
        </is>
      </c>
      <c r="B11" s="5" t="inlineStr">
        <is>
          <t>Procesos</t>
        </is>
      </c>
      <c r="C11" s="25" t="inlineStr">
        <is>
          <t>318</t>
        </is>
      </c>
      <c r="D11" s="9" t="n">
        <v>46296.43657407408</v>
      </c>
      <c r="E11" s="9" t="n">
        <v>46296.44149305556</v>
      </c>
      <c r="F11" s="7">
        <f>IF(OR(D11="",E11=""),"",(E11-D11)*1440)</f>
        <v>7.08333333333333</v>
      </c>
      <c r="G11" s="6" t="n">
        <v>100</v>
      </c>
      <c r="H11" s="6" t="inlineStr">
        <is>
          <t>anonymous</t>
        </is>
      </c>
      <c r="I11" t="str">
        <f>IF(C11="","",C11&amp;"|"&amp;G11)</f>
        <v>318|100</v>
      </c>
    </row>
    <row r="12">
      <c r="A12" s="5" t="inlineStr">
        <is>
          <t>DIEGO GERARDO GUANDIQUE TORRES</t>
        </is>
      </c>
      <c r="B12" s="5" t="inlineStr">
        <is>
          <t>AGENCIA SAN MIGUEL</t>
        </is>
      </c>
      <c r="C12" s="25" t="inlineStr">
        <is>
          <t>776</t>
        </is>
      </c>
      <c r="D12" s="9" t="n">
        <v>46296.44304398148</v>
      </c>
      <c r="E12" s="9" t="n">
        <v>46296.44540509259</v>
      </c>
      <c r="F12" s="7">
        <f>IF(OR(D12="",E12=""),"",(E12-D12)*1440)</f>
        <v>3.4</v>
      </c>
      <c r="G12" s="6" t="n">
        <v>100</v>
      </c>
      <c r="H12" s="6" t="inlineStr">
        <is>
          <t>anonymous</t>
        </is>
      </c>
      <c r="I12" t="str">
        <f>IF(C12="","",C12&amp;"|"&amp;G12)</f>
        <v>776|100</v>
      </c>
    </row>
    <row r="13">
      <c r="A13" s="5" t="inlineStr">
        <is>
          <t>Martha Lorena González González</t>
        </is>
      </c>
      <c r="B13" s="5" t="inlineStr">
        <is>
          <t>San Miguel</t>
        </is>
      </c>
      <c r="C13" s="25" t="inlineStr">
        <is>
          <t>390</t>
        </is>
      </c>
      <c r="D13" s="9" t="n">
        <v>46296.44636574074</v>
      </c>
      <c r="E13" s="9" t="n">
        <v>46296.44844907407</v>
      </c>
      <c r="F13" s="7">
        <f>IF(OR(D13="",E13=""),"",(E13-D13)*1440)</f>
        <v>3</v>
      </c>
      <c r="G13" s="6" t="n">
        <v>100</v>
      </c>
      <c r="H13" s="6" t="inlineStr">
        <is>
          <t>anonymous</t>
        </is>
      </c>
      <c r="I13" t="str">
        <f>IF(C13="","",C13&amp;"|"&amp;G13)</f>
        <v>390|100</v>
      </c>
    </row>
    <row r="14">
      <c r="A14" s="5" t="inlineStr">
        <is>
          <t>Jennifer Georgina Alvarado de Hernández</t>
        </is>
      </c>
      <c r="B14" s="5" t="inlineStr">
        <is>
          <t>Seguridad de la Informacion y Ciberseguridad</t>
        </is>
      </c>
      <c r="C14" s="25" t="inlineStr">
        <is>
          <t>907</t>
        </is>
      </c>
      <c r="D14" s="9" t="n">
        <v>46296.44221064815</v>
      </c>
      <c r="E14" s="9" t="n">
        <v>46296.44850694444</v>
      </c>
      <c r="F14" s="7">
        <f>IF(OR(D14="",E14=""),"",(E14-D14)*1440)</f>
        <v>9.06666666666667</v>
      </c>
      <c r="G14" s="6" t="n">
        <v>85</v>
      </c>
      <c r="H14" s="6" t="inlineStr">
        <is>
          <t>anonymous</t>
        </is>
      </c>
      <c r="I14" t="str">
        <f>IF(C14="","",C14&amp;"|"&amp;G14)</f>
        <v>907|85</v>
      </c>
    </row>
    <row r="15">
      <c r="A15" s="5" t="inlineStr">
        <is>
          <t>Marvin Alonso Franco Ramirez</t>
        </is>
      </c>
      <c r="B15" s="5" t="inlineStr">
        <is>
          <t>Seguridad de la información y ciberseguridad</t>
        </is>
      </c>
      <c r="C15" s="25" t="inlineStr">
        <is>
          <t>918</t>
        </is>
      </c>
      <c r="D15" s="9" t="n">
        <v>46296.4418287037</v>
      </c>
      <c r="E15" s="9" t="n">
        <v>46296.44851851852</v>
      </c>
      <c r="F15" s="7">
        <f>IF(OR(D15="",E15=""),"",(E15-D15)*1440)</f>
        <v>9.63333333333333</v>
      </c>
      <c r="G15" s="6" t="n">
        <v>100</v>
      </c>
      <c r="H15" s="6" t="inlineStr">
        <is>
          <t>anonymous</t>
        </is>
      </c>
      <c r="I15" t="str">
        <f>IF(C15="","",C15&amp;"|"&amp;G15)</f>
        <v>918|100</v>
      </c>
    </row>
    <row r="16">
      <c r="A16" s="5" t="inlineStr">
        <is>
          <t>María Azucena Bonilla Rivera</t>
        </is>
      </c>
      <c r="B16" s="5" t="inlineStr">
        <is>
          <t>Seguridad de la Información</t>
        </is>
      </c>
      <c r="C16" s="25" t="inlineStr">
        <is>
          <t>710</t>
        </is>
      </c>
      <c r="D16" s="9" t="n">
        <v>46296.44082175926</v>
      </c>
      <c r="E16" s="9" t="n">
        <v>46296.4489699074</v>
      </c>
      <c r="F16" s="7">
        <f>IF(OR(D16="",E16=""),"",(E16-D16)*1440)</f>
        <v>11.7333333333333</v>
      </c>
      <c r="G16" s="6" t="n">
        <v>100</v>
      </c>
      <c r="H16" s="6" t="inlineStr">
        <is>
          <t>anonymous</t>
        </is>
      </c>
      <c r="I16" t="str">
        <f>IF(C16="","",C16&amp;"|"&amp;G16)</f>
        <v>710|100</v>
      </c>
    </row>
    <row r="17">
      <c r="A17" s="5" t="inlineStr">
        <is>
          <t>Valeria Michelle Quintanilla Flores</t>
        </is>
      </c>
      <c r="B17" s="5" t="inlineStr">
        <is>
          <t>Seguridad de la información y ciberseguridad</t>
        </is>
      </c>
      <c r="C17" s="25" t="inlineStr">
        <is>
          <t>950</t>
        </is>
      </c>
      <c r="D17" s="9" t="n">
        <v>46296.44081018519</v>
      </c>
      <c r="E17" s="9" t="n">
        <v>46296.44909722222</v>
      </c>
      <c r="F17" s="7">
        <f>IF(OR(D17="",E17=""),"",(E17-D17)*1440)</f>
        <v>11.9333333333333</v>
      </c>
      <c r="G17" s="6" t="n">
        <v>100</v>
      </c>
      <c r="H17" s="6" t="inlineStr">
        <is>
          <t>anonymous</t>
        </is>
      </c>
      <c r="I17" t="str">
        <f>IF(C17="","",C17&amp;"|"&amp;G17)</f>
        <v>950|100</v>
      </c>
    </row>
    <row r="18">
      <c r="A18" s="5" t="inlineStr">
        <is>
          <t>MARCELA GUADALUPE CRESPO BENAVIDEZ</t>
        </is>
      </c>
      <c r="B18" s="5" t="inlineStr">
        <is>
          <t>SAN MIGUEL</t>
        </is>
      </c>
      <c r="C18" s="25" t="inlineStr">
        <is>
          <t>807</t>
        </is>
      </c>
      <c r="D18" s="9" t="n">
        <v>46296.44934027778</v>
      </c>
      <c r="E18" s="9" t="n">
        <v>46296.45224537037</v>
      </c>
      <c r="F18" s="7">
        <f>IF(OR(D18="",E18=""),"",(E18-D18)*1440)</f>
        <v>4.18333333333333</v>
      </c>
      <c r="G18" s="6" t="n">
        <v>100</v>
      </c>
      <c r="H18" s="6" t="inlineStr">
        <is>
          <t>anonymous</t>
        </is>
      </c>
      <c r="I18" t="str">
        <f>IF(C18="","",C18&amp;"|"&amp;G18)</f>
        <v>807|100</v>
      </c>
    </row>
    <row r="19">
      <c r="A19" s="5" t="inlineStr">
        <is>
          <t>Victor Adonay Perez Castillo</t>
        </is>
      </c>
      <c r="B19" s="5" t="inlineStr">
        <is>
          <t>GERENCIA DE NEGOCIOS</t>
        </is>
      </c>
      <c r="C19" s="25" t="inlineStr">
        <is>
          <t>633</t>
        </is>
      </c>
      <c r="D19" s="9" t="n">
        <v>46296.45108796296</v>
      </c>
      <c r="E19" s="9" t="n">
        <v>46296.45368055555</v>
      </c>
      <c r="F19" s="7">
        <f>IF(OR(D19="",E19=""),"",(E19-D19)*1440)</f>
        <v>3.73333333333333</v>
      </c>
      <c r="G19" s="6" t="n">
        <v>100</v>
      </c>
      <c r="H19" s="6" t="inlineStr">
        <is>
          <t>anonymous</t>
        </is>
      </c>
      <c r="I19" t="str">
        <f>IF(C19="","",C19&amp;"|"&amp;G19)</f>
        <v>633|100</v>
      </c>
    </row>
    <row r="20">
      <c r="A20" s="5" t="inlineStr">
        <is>
          <t>LEIBY NATHALY ROMERO VANEGAS</t>
        </is>
      </c>
      <c r="B20" s="5" t="inlineStr">
        <is>
          <t>SAN MIGUEL</t>
        </is>
      </c>
      <c r="C20" s="25" t="inlineStr">
        <is>
          <t>545</t>
        </is>
      </c>
      <c r="D20" s="9" t="n">
        <v>46296.44934027778</v>
      </c>
      <c r="E20" s="9" t="n">
        <v>46296.45449074074</v>
      </c>
      <c r="F20" s="7">
        <f>IF(OR(D20="",E20=""),"",(E20-D20)*1440)</f>
        <v>7.41666666666667</v>
      </c>
      <c r="G20" s="6" t="n">
        <v>100</v>
      </c>
      <c r="H20" s="6" t="inlineStr">
        <is>
          <t>anonymous</t>
        </is>
      </c>
      <c r="I20" t="str">
        <f>IF(C20="","",C20&amp;"|"&amp;G20)</f>
        <v>545|100</v>
      </c>
    </row>
    <row r="21">
      <c r="A21" s="5" t="inlineStr">
        <is>
          <t>Carlos Alejandro Maravilla Mendez</t>
        </is>
      </c>
      <c r="B21" s="5" t="inlineStr">
        <is>
          <t>Departamento de Monitoreo y Seguridad</t>
        </is>
      </c>
      <c r="C21" s="25" t="inlineStr">
        <is>
          <t>901</t>
        </is>
      </c>
      <c r="D21" s="9" t="n">
        <v>46296.45403935185</v>
      </c>
      <c r="E21" s="9" t="n">
        <v>46296.45633101852</v>
      </c>
      <c r="F21" s="7">
        <f>IF(OR(D21="",E21=""),"",(E21-D21)*1440)</f>
        <v>3.3</v>
      </c>
      <c r="G21" s="6" t="n">
        <v>100</v>
      </c>
      <c r="H21" s="6" t="inlineStr">
        <is>
          <t>anonymous</t>
        </is>
      </c>
      <c r="I21" t="str">
        <f>IF(C21="","",C21&amp;"|"&amp;G21)</f>
        <v>901|100</v>
      </c>
    </row>
    <row r="22">
      <c r="A22" s="5" t="inlineStr">
        <is>
          <t>Marcelina Yamileth Lopez Vasquez</t>
        </is>
      </c>
      <c r="B22" s="5" t="inlineStr">
        <is>
          <t>Agencia san miguel</t>
        </is>
      </c>
      <c r="C22" s="25" t="inlineStr">
        <is>
          <t>777</t>
        </is>
      </c>
      <c r="D22" s="9" t="n">
        <v>46296.45601851852</v>
      </c>
      <c r="E22" s="9" t="n">
        <v>46296.45806712963</v>
      </c>
      <c r="F22" s="7">
        <f>IF(OR(D22="",E22=""),"",(E22-D22)*1440)</f>
        <v>2.95</v>
      </c>
      <c r="G22" s="6" t="n">
        <v>100</v>
      </c>
      <c r="H22" s="6" t="inlineStr">
        <is>
          <t>anonymous</t>
        </is>
      </c>
      <c r="I22" t="str">
        <f>IF(C22="","",C22&amp;"|"&amp;G22)</f>
        <v>777|100</v>
      </c>
    </row>
    <row r="23">
      <c r="A23" s="5" t="inlineStr">
        <is>
          <t>Sergio Artnuro Calderón Salazar</t>
        </is>
      </c>
      <c r="B23" s="5" t="inlineStr">
        <is>
          <t>Departamento de Monitoreo y Seguridad</t>
        </is>
      </c>
      <c r="C23" s="25" t="inlineStr">
        <is>
          <t>452</t>
        </is>
      </c>
      <c r="D23" s="9" t="n">
        <v>46296.45732638889</v>
      </c>
      <c r="E23" s="9" t="n">
        <v>46296.46072916667</v>
      </c>
      <c r="F23" s="7">
        <f>IF(OR(D23="",E23=""),"",(E23-D23)*1440)</f>
        <v>4.9</v>
      </c>
      <c r="G23" s="6" t="n">
        <v>90</v>
      </c>
      <c r="H23" s="6" t="inlineStr">
        <is>
          <t>anonymous</t>
        </is>
      </c>
      <c r="I23" t="str">
        <f>IF(C23="","",C23&amp;"|"&amp;G23)</f>
        <v>452|90</v>
      </c>
    </row>
    <row r="24">
      <c r="A24" s="5" t="inlineStr">
        <is>
          <t>Raúl Ernesto Palacios Landaverde</t>
        </is>
      </c>
      <c r="B24" s="5" t="inlineStr">
        <is>
          <t>SEGUROS</t>
        </is>
      </c>
      <c r="C24" s="25" t="inlineStr">
        <is>
          <t>689</t>
        </is>
      </c>
      <c r="D24" s="9" t="n">
        <v>46296.45379629629</v>
      </c>
      <c r="E24" s="9" t="n">
        <v>46296.46570601852</v>
      </c>
      <c r="F24" s="7">
        <f>IF(OR(D24="",E24=""),"",(E24-D24)*1440)</f>
        <v>17.15</v>
      </c>
      <c r="G24" s="6" t="n">
        <v>100</v>
      </c>
      <c r="H24" s="6" t="inlineStr">
        <is>
          <t>anonymous</t>
        </is>
      </c>
      <c r="I24" t="str">
        <f>IF(C24="","",C24&amp;"|"&amp;G24)</f>
        <v>689|100</v>
      </c>
    </row>
    <row r="25">
      <c r="A25" s="5" t="inlineStr">
        <is>
          <t>Patricia Esmeralda Portillo de Cespedes</t>
        </is>
      </c>
      <c r="B25" s="5" t="inlineStr">
        <is>
          <t>Colegio Medico</t>
        </is>
      </c>
      <c r="C25" s="25" t="inlineStr">
        <is>
          <t>360</t>
        </is>
      </c>
      <c r="D25" s="9" t="n">
        <v>46296.47090277778</v>
      </c>
      <c r="E25" s="9" t="n">
        <v>46296.47634259259</v>
      </c>
      <c r="F25" s="7">
        <f>IF(OR(D25="",E25=""),"",(E25-D25)*1440)</f>
        <v>7.83333333333333</v>
      </c>
      <c r="G25" s="6" t="n">
        <v>100</v>
      </c>
      <c r="H25" s="6" t="inlineStr">
        <is>
          <t>anonymous</t>
        </is>
      </c>
      <c r="I25" t="str">
        <f>IF(C25="","",C25&amp;"|"&amp;G25)</f>
        <v>360|100</v>
      </c>
    </row>
    <row r="26">
      <c r="A26" s="5" t="inlineStr">
        <is>
          <t>Georgi Roberto Castillo Chacón</t>
        </is>
      </c>
      <c r="B26" s="5" t="inlineStr">
        <is>
          <t>Gerencia de Oficialía de Cumplimiento</t>
        </is>
      </c>
      <c r="C26" s="25" t="inlineStr">
        <is>
          <t>862</t>
        </is>
      </c>
      <c r="D26" s="9" t="n">
        <v>46296.47011574074</v>
      </c>
      <c r="E26" s="9" t="n">
        <v>46296.47738425926</v>
      </c>
      <c r="F26" s="7">
        <f>IF(OR(D26="",E26=""),"",(E26-D26)*1440)</f>
        <v>10.4666666666667</v>
      </c>
      <c r="G26" s="6" t="n">
        <v>100</v>
      </c>
      <c r="H26" s="6" t="inlineStr">
        <is>
          <t>anonymous</t>
        </is>
      </c>
      <c r="I26" t="str">
        <f>IF(C26="","",C26&amp;"|"&amp;G26)</f>
        <v>862|100</v>
      </c>
    </row>
    <row r="27">
      <c r="A27" s="5" t="inlineStr">
        <is>
          <t>Fidel Isaías Castellón</t>
        </is>
      </c>
      <c r="B27" s="5" t="inlineStr">
        <is>
          <t>Oficialia de cumplimiento</t>
        </is>
      </c>
      <c r="C27" s="25" t="inlineStr">
        <is>
          <t>914</t>
        </is>
      </c>
      <c r="D27" s="9" t="n">
        <v>46296.47130787037</v>
      </c>
      <c r="E27" s="9" t="n">
        <v>46296.47803240741</v>
      </c>
      <c r="F27" s="7">
        <f>IF(OR(D27="",E27=""),"",(E27-D27)*1440)</f>
        <v>9.68333333333333</v>
      </c>
      <c r="G27" s="6" t="n">
        <v>100</v>
      </c>
      <c r="H27" s="6" t="inlineStr">
        <is>
          <t>anonymous</t>
        </is>
      </c>
      <c r="I27" t="str">
        <f>IF(C27="","",C27&amp;"|"&amp;G27)</f>
        <v>914|100</v>
      </c>
    </row>
    <row r="28">
      <c r="A28" s="5" t="inlineStr">
        <is>
          <t>Nico Eduardo Ciudad Real Mooij</t>
        </is>
      </c>
      <c r="B28" s="5" t="inlineStr">
        <is>
          <t>Oficialía de cumplimiento</t>
        </is>
      </c>
      <c r="C28" s="25" t="inlineStr">
        <is>
          <t>984</t>
        </is>
      </c>
      <c r="D28" s="9" t="n">
        <v>46296.4722337963</v>
      </c>
      <c r="E28" s="9" t="n">
        <v>46296.48002314815</v>
      </c>
      <c r="F28" s="7">
        <f>IF(OR(D28="",E28=""),"",(E28-D28)*1440)</f>
        <v>11.2166666666667</v>
      </c>
      <c r="G28" s="6" t="n">
        <v>100</v>
      </c>
      <c r="H28" s="6" t="inlineStr">
        <is>
          <t>anonymous</t>
        </is>
      </c>
      <c r="I28" t="str">
        <f>IF(C28="","",C28&amp;"|"&amp;G28)</f>
        <v>984|100</v>
      </c>
    </row>
    <row r="29">
      <c r="A29" s="5" t="inlineStr">
        <is>
          <t>Johanna Lisseth Romero Rivas</t>
        </is>
      </c>
      <c r="B29" s="5" t="inlineStr">
        <is>
          <t>Gerencia de Oficialía de Cumplimiento</t>
        </is>
      </c>
      <c r="C29" s="25" t="inlineStr">
        <is>
          <t>860</t>
        </is>
      </c>
      <c r="D29" s="9" t="n">
        <v>46296.47424768518</v>
      </c>
      <c r="E29" s="9" t="n">
        <v>46296.48637731482</v>
      </c>
      <c r="F29" s="7">
        <f>IF(OR(D29="",E29=""),"",(E29-D29)*1440)</f>
        <v>17.4666666666667</v>
      </c>
      <c r="G29" s="6" t="n">
        <v>100</v>
      </c>
      <c r="H29" s="6" t="inlineStr">
        <is>
          <t>anonymous</t>
        </is>
      </c>
      <c r="I29" t="str">
        <f>IF(C29="","",C29&amp;"|"&amp;G29)</f>
        <v>860|100</v>
      </c>
    </row>
    <row r="30">
      <c r="A30" s="5" t="inlineStr">
        <is>
          <t>HECTOR JOSE MENJIVAR SOMOZA</t>
        </is>
      </c>
      <c r="B30" s="5" t="inlineStr">
        <is>
          <t>DEPARTAMENTO DE ADMINISTRACION DE RIESGO</t>
        </is>
      </c>
      <c r="C30" s="25" t="inlineStr">
        <is>
          <t>583</t>
        </is>
      </c>
      <c r="D30" s="9" t="n">
        <v>46296.48392361111</v>
      </c>
      <c r="E30" s="9" t="n">
        <v>46296.48710648148</v>
      </c>
      <c r="F30" s="7">
        <f>IF(OR(D30="",E30=""),"",(E30-D30)*1440)</f>
        <v>4.58333333333333</v>
      </c>
      <c r="G30" s="6" t="n">
        <v>100</v>
      </c>
      <c r="H30" s="6" t="inlineStr">
        <is>
          <t>anonymous</t>
        </is>
      </c>
      <c r="I30" t="str">
        <f>IF(C30="","",C30&amp;"|"&amp;G30)</f>
        <v>583|100</v>
      </c>
    </row>
    <row r="31">
      <c r="A31" s="5" t="inlineStr">
        <is>
          <t>Josseline Lizbeth Ventura de Rivas</t>
        </is>
      </c>
      <c r="B31" s="5" t="inlineStr">
        <is>
          <t>Gerencia de Oficialia de Cumplimiento</t>
        </is>
      </c>
      <c r="C31" s="25" t="inlineStr">
        <is>
          <t>443</t>
        </is>
      </c>
      <c r="D31" s="9" t="n">
        <v>46296.48201388889</v>
      </c>
      <c r="E31" s="9" t="n">
        <v>46296.49148148148</v>
      </c>
      <c r="F31" s="7">
        <f>IF(OR(D31="",E31=""),"",(E31-D31)*1440)</f>
        <v>13.6333333333333</v>
      </c>
      <c r="G31" s="6" t="n">
        <v>100</v>
      </c>
      <c r="H31" s="6" t="inlineStr">
        <is>
          <t>anonymous</t>
        </is>
      </c>
      <c r="I31" t="str">
        <f>IF(C31="","",C31&amp;"|"&amp;G31)</f>
        <v>443|100</v>
      </c>
    </row>
    <row r="32">
      <c r="A32" s="5" t="inlineStr">
        <is>
          <t>JOSE MANUEL SERRANO ROVIRA</t>
        </is>
      </c>
      <c r="B32" s="5" t="inlineStr">
        <is>
          <t>AGENCIA SAN MIGUEL</t>
        </is>
      </c>
      <c r="C32" s="25" t="inlineStr">
        <is>
          <t>200</t>
        </is>
      </c>
      <c r="D32" s="9" t="n">
        <v>46296.48715277778</v>
      </c>
      <c r="E32" s="9" t="n">
        <v>46296.49199074074</v>
      </c>
      <c r="F32" s="7">
        <f>IF(OR(D32="",E32=""),"",(E32-D32)*1440)</f>
        <v>6.96666666666667</v>
      </c>
      <c r="G32" s="6" t="n">
        <v>90</v>
      </c>
      <c r="H32" s="6" t="inlineStr">
        <is>
          <t>anonymous</t>
        </is>
      </c>
      <c r="I32" t="str">
        <f>IF(C32="","",C32&amp;"|"&amp;G32)</f>
        <v>200|90</v>
      </c>
    </row>
    <row r="33">
      <c r="A33" s="5" t="inlineStr">
        <is>
          <t>Jorge Mateo Gutiérrez Flores</t>
        </is>
      </c>
      <c r="B33" s="5" t="inlineStr">
        <is>
          <t>Oficialía de cumplimiento</t>
        </is>
      </c>
      <c r="C33" s="25" t="inlineStr">
        <is>
          <t>985</t>
        </is>
      </c>
      <c r="D33" s="9" t="n">
        <v>46296.48653935185</v>
      </c>
      <c r="E33" s="9" t="n">
        <v>46296.4949537037</v>
      </c>
      <c r="F33" s="7">
        <f>IF(OR(D33="",E33=""),"",(E33-D33)*1440)</f>
        <v>12.1166666666667</v>
      </c>
      <c r="G33" s="6" t="n">
        <v>100</v>
      </c>
      <c r="H33" s="6" t="inlineStr">
        <is>
          <t>anonymous</t>
        </is>
      </c>
      <c r="I33" t="str">
        <f>IF(C33="","",C33&amp;"|"&amp;G33)</f>
        <v>985|100</v>
      </c>
    </row>
    <row r="34">
      <c r="A34" s="5" t="inlineStr">
        <is>
          <t>Lilian Liset Magaña Santos</t>
        </is>
      </c>
      <c r="B34" s="5" t="inlineStr">
        <is>
          <t>Oficialía de Cumplimiento</t>
        </is>
      </c>
      <c r="C34" s="25" t="inlineStr">
        <is>
          <t>983</t>
        </is>
      </c>
      <c r="D34" s="9" t="n">
        <v>46296.49111111111</v>
      </c>
      <c r="E34" s="9" t="n">
        <v>46296.49747685185</v>
      </c>
      <c r="F34" s="7">
        <f>IF(OR(D34="",E34=""),"",(E34-D34)*1440)</f>
        <v>9.16666666666667</v>
      </c>
      <c r="G34" s="6" t="n">
        <v>100</v>
      </c>
      <c r="H34" s="6" t="inlineStr">
        <is>
          <t>anonymous</t>
        </is>
      </c>
      <c r="I34" t="str">
        <f>IF(C34="","",C34&amp;"|"&amp;G34)</f>
        <v>983|100</v>
      </c>
    </row>
    <row r="35">
      <c r="A35" s="5" t="inlineStr">
        <is>
          <t>MILTON ALEXANDER CUELLAR GARCIA</t>
        </is>
      </c>
      <c r="B35" s="5" t="inlineStr">
        <is>
          <t>AGENCIA PLAZA MERLIOT</t>
        </is>
      </c>
      <c r="C35" s="25" t="inlineStr">
        <is>
          <t>671</t>
        </is>
      </c>
      <c r="D35" s="9" t="n">
        <v>46296.54665509259</v>
      </c>
      <c r="E35" s="9" t="n">
        <v>46296.55247685185</v>
      </c>
      <c r="F35" s="7">
        <f>IF(OR(D35="",E35=""),"",(E35-D35)*1440)</f>
        <v>8.38333333333333</v>
      </c>
      <c r="G35" s="6" t="n">
        <v>70</v>
      </c>
      <c r="H35" s="6" t="inlineStr">
        <is>
          <t>anonymous</t>
        </is>
      </c>
      <c r="I35" t="str">
        <f>IF(C35="","",C35&amp;"|"&amp;G35)</f>
        <v>671|70</v>
      </c>
    </row>
    <row r="36">
      <c r="A36" s="5" t="inlineStr">
        <is>
          <t>Lucila Margarita Corcio de Quintanilla</t>
        </is>
      </c>
      <c r="B36" s="5" t="inlineStr">
        <is>
          <t>Departamento de Depositos</t>
        </is>
      </c>
      <c r="C36" s="25" t="inlineStr">
        <is>
          <t>632</t>
        </is>
      </c>
      <c r="D36" s="9" t="n">
        <v>46296.56951388889</v>
      </c>
      <c r="E36" s="9" t="n">
        <v>46296.57800925926</v>
      </c>
      <c r="F36" s="7">
        <f>IF(OR(D36="",E36=""),"",(E36-D36)*1440)</f>
        <v>12.2333333333333</v>
      </c>
      <c r="G36" s="6" t="n">
        <v>100</v>
      </c>
      <c r="H36" s="6" t="inlineStr">
        <is>
          <t>anonymous</t>
        </is>
      </c>
      <c r="I36" t="str">
        <f>IF(C36="","",C36&amp;"|"&amp;G36)</f>
        <v>632|100</v>
      </c>
    </row>
    <row r="37">
      <c r="A37" s="5" t="inlineStr">
        <is>
          <t>Hilda Margarita Abrego Bran</t>
        </is>
      </c>
      <c r="B37" s="5" t="inlineStr">
        <is>
          <t>Análisis y Programación</t>
        </is>
      </c>
      <c r="C37" s="25" t="inlineStr">
        <is>
          <t>320</t>
        </is>
      </c>
      <c r="D37" s="9" t="n">
        <v>46296.56962962963</v>
      </c>
      <c r="E37" s="9" t="n">
        <v>46296.59023148148</v>
      </c>
      <c r="F37" s="7">
        <f>IF(OR(D37="",E37=""),"",(E37-D37)*1440)</f>
        <v>29.6666666666667</v>
      </c>
      <c r="G37" s="6" t="n">
        <v>100</v>
      </c>
      <c r="H37" s="6" t="inlineStr">
        <is>
          <t>anonymous</t>
        </is>
      </c>
      <c r="I37" t="str">
        <f>IF(C37="","",C37&amp;"|"&amp;G37)</f>
        <v>320|100</v>
      </c>
    </row>
    <row r="38">
      <c r="A38" s="5" t="inlineStr">
        <is>
          <t>Marlon Antonio Bonilla García</t>
        </is>
      </c>
      <c r="B38" s="5" t="inlineStr">
        <is>
          <t>Auditoría Interna</t>
        </is>
      </c>
      <c r="C38" s="25" t="inlineStr">
        <is>
          <t>750</t>
        </is>
      </c>
      <c r="D38" s="9" t="n">
        <v>46296.61756944445</v>
      </c>
      <c r="E38" s="9" t="n">
        <v>46296.62321759259</v>
      </c>
      <c r="F38" s="7">
        <f>IF(OR(D38="",E38=""),"",(E38-D38)*1440)</f>
        <v>8.13333333333333</v>
      </c>
      <c r="G38" s="6" t="n">
        <v>100</v>
      </c>
      <c r="H38" s="6" t="inlineStr">
        <is>
          <t>anonymous</t>
        </is>
      </c>
      <c r="I38" t="str">
        <f>IF(C38="","",C38&amp;"|"&amp;G38)</f>
        <v>750|100</v>
      </c>
    </row>
    <row r="39">
      <c r="A39" s="5" t="inlineStr">
        <is>
          <t>BRIAN ADONAY BARRERA ALVARADO</t>
        </is>
      </c>
      <c r="B39" s="5" t="inlineStr">
        <is>
          <t>DEPARTAMENTO DE CONTABILIDAD</t>
        </is>
      </c>
      <c r="C39" s="25" t="inlineStr">
        <is>
          <t>784</t>
        </is>
      </c>
      <c r="D39" s="9" t="n">
        <v>46296.61537037037</v>
      </c>
      <c r="E39" s="9" t="n">
        <v>46296.62540509259</v>
      </c>
      <c r="F39" s="7">
        <f>IF(OR(D39="",E39=""),"",(E39-D39)*1440)</f>
        <v>14.45</v>
      </c>
      <c r="G39" s="6" t="n">
        <v>100</v>
      </c>
      <c r="H39" s="6" t="inlineStr">
        <is>
          <t>anonymous</t>
        </is>
      </c>
      <c r="I39" t="str">
        <f>IF(C39="","",C39&amp;"|"&amp;G39)</f>
        <v>784|100</v>
      </c>
    </row>
    <row r="40">
      <c r="A40" s="5" t="inlineStr">
        <is>
          <t>Andrea Carolina Rumualdo Martinez</t>
        </is>
      </c>
      <c r="B40" s="5" t="inlineStr">
        <is>
          <t>Depto. de Tarjeta de Crédito y Débito</t>
        </is>
      </c>
      <c r="C40" s="25" t="inlineStr">
        <is>
          <t>952</t>
        </is>
      </c>
      <c r="D40" s="9" t="n">
        <v>46296.64626157407</v>
      </c>
      <c r="E40" s="9" t="n">
        <v>46296.65724537037</v>
      </c>
      <c r="F40" s="7">
        <f>IF(OR(D40="",E40=""),"",(E40-D40)*1440)</f>
        <v>15.8166666666667</v>
      </c>
      <c r="G40" s="6" t="n">
        <v>100</v>
      </c>
      <c r="H40" s="6" t="inlineStr">
        <is>
          <t>anonymous</t>
        </is>
      </c>
      <c r="I40" t="str">
        <f>IF(C40="","",C40&amp;"|"&amp;G40)</f>
        <v>952|100</v>
      </c>
    </row>
    <row r="41">
      <c r="A41" s="5" t="inlineStr">
        <is>
          <t>Celina Margarita Gutierrez de Rodriguez</t>
        </is>
      </c>
      <c r="B41" s="5" t="inlineStr">
        <is>
          <t>Gerencia de Sistemas--Analisis y Programacion</t>
        </is>
      </c>
      <c r="C41" s="25" t="inlineStr">
        <is>
          <t>239</t>
        </is>
      </c>
      <c r="D41" s="9" t="n">
        <v>46296.64138888889</v>
      </c>
      <c r="E41" s="9" t="n">
        <v>46296.65938657407</v>
      </c>
      <c r="F41" s="7">
        <f>IF(OR(D41="",E41=""),"",(E41-D41)*1440)</f>
        <v>25.9166666666667</v>
      </c>
      <c r="G41" s="6" t="n">
        <v>100</v>
      </c>
      <c r="H41" s="6" t="inlineStr">
        <is>
          <t>anonymous</t>
        </is>
      </c>
      <c r="I41" t="str">
        <f>IF(C41="","",C41&amp;"|"&amp;G41)</f>
        <v>239|100</v>
      </c>
    </row>
    <row r="42">
      <c r="A42" s="5" t="inlineStr">
        <is>
          <t>Josselyn Ivonne Garcia Hernandez</t>
        </is>
      </c>
      <c r="B42" s="5" t="inlineStr">
        <is>
          <t>Agencia. Merliot</t>
        </is>
      </c>
      <c r="C42" s="25" t="inlineStr">
        <is>
          <t>944</t>
        </is>
      </c>
      <c r="D42" s="9" t="n">
        <v>46296.64094907408</v>
      </c>
      <c r="E42" s="9" t="n">
        <v>46296.67511574074</v>
      </c>
      <c r="F42" s="7">
        <f>IF(OR(D42="",E42=""),"",(E42-D42)*1440)</f>
        <v>49.2</v>
      </c>
      <c r="G42" s="6" t="n">
        <v>75</v>
      </c>
      <c r="H42" s="6" t="inlineStr">
        <is>
          <t>anonymous</t>
        </is>
      </c>
      <c r="I42" t="str">
        <f>IF(C42="","",C42&amp;"|"&amp;G42)</f>
        <v>944|75</v>
      </c>
    </row>
    <row r="43">
      <c r="A43" s="5" t="inlineStr">
        <is>
          <t>maria elena valle benavides</t>
        </is>
      </c>
      <c r="B43" s="5" t="inlineStr">
        <is>
          <t>Departamento de Auditoria Interna</t>
        </is>
      </c>
      <c r="C43" s="25" t="inlineStr">
        <is>
          <t>865</t>
        </is>
      </c>
      <c r="D43" s="9" t="n">
        <v>46296.6762037037</v>
      </c>
      <c r="E43" s="9" t="n">
        <v>46296.68074074074</v>
      </c>
      <c r="F43" s="7">
        <f>IF(OR(D43="",E43=""),"",(E43-D43)*1440)</f>
        <v>6.53333333333333</v>
      </c>
      <c r="G43" s="6" t="n">
        <v>100</v>
      </c>
      <c r="H43" s="6" t="inlineStr">
        <is>
          <t>anonymous</t>
        </is>
      </c>
      <c r="I43" t="str">
        <f>IF(C43="","",C43&amp;"|"&amp;G43)</f>
        <v>865|100</v>
      </c>
    </row>
    <row r="44">
      <c r="A44" s="5" t="inlineStr">
        <is>
          <t>JENNIFER BETSABE MARAVILLA MORENO</t>
        </is>
      </c>
      <c r="B44" s="5" t="inlineStr">
        <is>
          <t>DEPARTAMENTO DE SEGUROS</t>
        </is>
      </c>
      <c r="C44" s="25" t="inlineStr">
        <is>
          <t>869</t>
        </is>
      </c>
      <c r="D44" s="9" t="n">
        <v>46296.67916666667</v>
      </c>
      <c r="E44" s="9" t="n">
        <v>46296.68630787037</v>
      </c>
      <c r="F44" s="7">
        <f>IF(OR(D44="",E44=""),"",(E44-D44)*1440)</f>
        <v>10.2833333333333</v>
      </c>
      <c r="G44" s="6" t="n">
        <v>100</v>
      </c>
      <c r="H44" s="6" t="inlineStr">
        <is>
          <t>anonymous</t>
        </is>
      </c>
      <c r="I44" t="str">
        <f>IF(C44="","",C44&amp;"|"&amp;G44)</f>
        <v>869|100</v>
      </c>
    </row>
    <row r="45">
      <c r="A45" s="5" t="inlineStr">
        <is>
          <t>ZORAIDA LORENA LOPEZ MEDINA</t>
        </is>
      </c>
      <c r="B45" s="5" t="inlineStr">
        <is>
          <t>AUDITORIA INTERNA</t>
        </is>
      </c>
      <c r="C45" s="25" t="inlineStr">
        <is>
          <t>548</t>
        </is>
      </c>
      <c r="D45" s="9" t="n">
        <v>46296.70424768519</v>
      </c>
      <c r="E45" s="9" t="n">
        <v>46296.71155092592</v>
      </c>
      <c r="F45" s="7">
        <f>IF(OR(D45="",E45=""),"",(E45-D45)*1440)</f>
        <v>10.5166666419167</v>
      </c>
      <c r="G45" s="6" t="n">
        <v>100</v>
      </c>
      <c r="H45" s="6" t="inlineStr">
        <is>
          <t>anonymous</t>
        </is>
      </c>
      <c r="I45" t="str">
        <f>IF(C45="","",C45&amp;"|"&amp;G45)</f>
        <v>548|100</v>
      </c>
    </row>
    <row r="46">
      <c r="A46" s="5" t="inlineStr">
        <is>
          <t>Fatima Elizabeth lemus Rodriguez</t>
        </is>
      </c>
      <c r="B46" s="5" t="inlineStr">
        <is>
          <t>Dpto Tarjeta de crédito y débito</t>
        </is>
      </c>
      <c r="C46" s="25" t="inlineStr">
        <is>
          <t>980</t>
        </is>
      </c>
      <c r="D46" s="9" t="n">
        <v>46296.71229166666</v>
      </c>
      <c r="E46" s="9" t="n">
        <v>46296.71346064815</v>
      </c>
      <c r="F46" s="7">
        <f>IF(OR(D46="",E46=""),"",(E46-D46)*1440)</f>
        <v>1.68333333333333</v>
      </c>
      <c r="G46" s="6" t="n">
        <v>100</v>
      </c>
      <c r="H46" s="6" t="inlineStr">
        <is>
          <t>anonymous</t>
        </is>
      </c>
      <c r="I46" t="str">
        <f>IF(C46="","",C46&amp;"|"&amp;G46)</f>
        <v>980|100</v>
      </c>
    </row>
    <row r="47">
      <c r="A47" s="5" t="inlineStr">
        <is>
          <t>Bessy Rodríguez de Inestroza</t>
        </is>
      </c>
      <c r="B47" s="5" t="inlineStr">
        <is>
          <t>Contabilidad</t>
        </is>
      </c>
      <c r="C47" s="25" t="inlineStr">
        <is>
          <t>373</t>
        </is>
      </c>
      <c r="D47" s="9" t="n">
        <v>46296.82646990741</v>
      </c>
      <c r="E47" s="9" t="n">
        <v>46296.82847222222</v>
      </c>
      <c r="F47" s="7">
        <f>IF(OR(D47="",E47=""),"",(E47-D47)*1440)</f>
        <v>2.88333333333333</v>
      </c>
      <c r="G47" s="6" t="n">
        <v>100</v>
      </c>
      <c r="H47" s="6" t="inlineStr">
        <is>
          <t>anonymous</t>
        </is>
      </c>
      <c r="I47" t="str">
        <f>IF(C47="","",C47&amp;"|"&amp;G47)</f>
        <v>373|100</v>
      </c>
    </row>
    <row r="48">
      <c r="A48" s="5" t="inlineStr">
        <is>
          <t>HELLEN ESTEFANI RODRIGUEZ GARCIA</t>
        </is>
      </c>
      <c r="B48" s="5" t="inlineStr">
        <is>
          <t>DEPOSITOS</t>
        </is>
      </c>
      <c r="C48" s="25" t="inlineStr">
        <is>
          <t>773</t>
        </is>
      </c>
      <c r="D48" s="9" t="n">
        <v>46297.46885416667</v>
      </c>
      <c r="E48" s="9" t="n">
        <v>46297.47550925926</v>
      </c>
      <c r="F48" s="7">
        <f>IF(OR(D48="",E48=""),"",(E48-D48)*1440)</f>
        <v>9.58333333333333</v>
      </c>
      <c r="G48" s="6" t="n">
        <v>95</v>
      </c>
      <c r="H48" s="6" t="inlineStr">
        <is>
          <t>anonymous</t>
        </is>
      </c>
      <c r="I48" t="str">
        <f>IF(C48="","",C48&amp;"|"&amp;G48)</f>
        <v>773|95</v>
      </c>
    </row>
    <row r="49">
      <c r="A49" s="5" t="inlineStr">
        <is>
          <t>Gladis Evelyn Castillo Torres</t>
        </is>
      </c>
      <c r="B49" s="5" t="inlineStr">
        <is>
          <t>Departamento Análisis y Programación</t>
        </is>
      </c>
      <c r="C49" s="25" t="inlineStr">
        <is>
          <t>474</t>
        </is>
      </c>
      <c r="D49" s="9" t="n">
        <v>46297.48075231481</v>
      </c>
      <c r="E49" s="9" t="n">
        <v>46297.48825231481</v>
      </c>
      <c r="F49" s="7">
        <f>IF(OR(D49="",E49=""),"",(E49-D49)*1440)</f>
        <v>10.8</v>
      </c>
      <c r="G49" s="6" t="n">
        <v>100</v>
      </c>
      <c r="H49" s="6" t="inlineStr">
        <is>
          <t>anonymous</t>
        </is>
      </c>
      <c r="I49" t="str">
        <f>IF(C49="","",C49&amp;"|"&amp;G49)</f>
        <v>474|100</v>
      </c>
    </row>
    <row r="50">
      <c r="A50" s="5" t="inlineStr">
        <is>
          <t>KRIZIA BETSABE FLORES DE MARTINEZ</t>
        </is>
      </c>
      <c r="B50" s="5" t="inlineStr">
        <is>
          <t>DEPTO.SEGUROS</t>
        </is>
      </c>
      <c r="C50" s="25" t="inlineStr">
        <is>
          <t>793</t>
        </is>
      </c>
      <c r="D50" s="9" t="n">
        <v>46297.45885416667</v>
      </c>
      <c r="E50" s="9" t="n">
        <v>46297.49109953704</v>
      </c>
      <c r="F50" s="7">
        <f>IF(OR(D50="",E50=""),"",(E50-D50)*1440)</f>
        <v>46.4333333333333</v>
      </c>
      <c r="G50" s="6" t="n">
        <v>90</v>
      </c>
      <c r="H50" s="6" t="inlineStr">
        <is>
          <t>anonymous</t>
        </is>
      </c>
      <c r="I50" t="str">
        <f>IF(C50="","",C50&amp;"|"&amp;G50)</f>
        <v>793|90</v>
      </c>
    </row>
    <row r="51">
      <c r="A51" s="5" t="inlineStr">
        <is>
          <t>carla eugenia hernandez de menjivar</t>
        </is>
      </c>
      <c r="B51" s="5" t="inlineStr">
        <is>
          <t>GERENCIA ADMINISTRATIVA</t>
        </is>
      </c>
      <c r="C51" s="25" t="inlineStr">
        <is>
          <t>349</t>
        </is>
      </c>
      <c r="D51" s="9" t="n">
        <v>46297.63677083333</v>
      </c>
      <c r="E51" s="9" t="n">
        <v>46297.63836805556</v>
      </c>
      <c r="F51" s="7">
        <f>IF(OR(D51="",E51=""),"",(E51-D51)*1440)</f>
        <v>2.3</v>
      </c>
      <c r="G51" s="6" t="n">
        <v>100</v>
      </c>
      <c r="H51" s="6" t="inlineStr">
        <is>
          <t>anonymous</t>
        </is>
      </c>
      <c r="I51" t="str">
        <f>IF(C51="","",C51&amp;"|"&amp;G51)</f>
        <v>349|100</v>
      </c>
    </row>
    <row r="52">
      <c r="A52" s="5" t="inlineStr">
        <is>
          <t>ANA EVELYN ROQUE DE GALEANO</t>
        </is>
      </c>
      <c r="B52" s="5" t="inlineStr">
        <is>
          <t>DEPÁRTAMENTO DE CREDITOS</t>
        </is>
      </c>
      <c r="C52" s="25" t="inlineStr">
        <is>
          <t>345</t>
        </is>
      </c>
      <c r="D52" s="9" t="n">
        <v>46297.64716435185</v>
      </c>
      <c r="E52" s="9" t="n">
        <v>46297.65186342593</v>
      </c>
      <c r="F52" s="7">
        <f>IF(OR(D52="",E52=""),"",(E52-D52)*1440)</f>
        <v>6.76666666666667</v>
      </c>
      <c r="G52" s="6" t="n">
        <v>90</v>
      </c>
      <c r="H52" s="6" t="inlineStr">
        <is>
          <t>anonymous</t>
        </is>
      </c>
      <c r="I52" t="str">
        <f>IF(C52="","",C52&amp;"|"&amp;G52)</f>
        <v>345|90</v>
      </c>
    </row>
    <row r="53">
      <c r="A53" s="5" t="inlineStr">
        <is>
          <t>Cindia Ivette Zepeda Vásquez</t>
        </is>
      </c>
      <c r="B53" s="5" t="inlineStr">
        <is>
          <t>departamento de créditos</t>
        </is>
      </c>
      <c r="C53" s="25" t="inlineStr">
        <is>
          <t>492</t>
        </is>
      </c>
      <c r="D53" s="9" t="n">
        <v>46297.65282407407</v>
      </c>
      <c r="E53" s="9" t="n">
        <v>46297.66012731481</v>
      </c>
      <c r="F53" s="7">
        <f>IF(OR(D53="",E53=""),"",(E53-D53)*1440)</f>
        <v>10.5166666666667</v>
      </c>
      <c r="G53" s="6" t="n">
        <v>100</v>
      </c>
      <c r="H53" s="6" t="inlineStr">
        <is>
          <t>anonymous</t>
        </is>
      </c>
      <c r="I53" t="str">
        <f>IF(C53="","",C53&amp;"|"&amp;G53)</f>
        <v>492|100</v>
      </c>
    </row>
    <row r="54">
      <c r="A54" s="5" t="inlineStr">
        <is>
          <t>Karen Marcela Barillas Molina</t>
        </is>
      </c>
      <c r="B54" s="5" t="inlineStr">
        <is>
          <t>Departamento tarjeta comercial</t>
        </is>
      </c>
      <c r="C54" s="25" t="inlineStr">
        <is>
          <t>715</t>
        </is>
      </c>
      <c r="D54" s="9" t="n">
        <v>46297.7059375</v>
      </c>
      <c r="E54" s="9" t="n">
        <v>46297.71334490741</v>
      </c>
      <c r="F54" s="7">
        <f>IF(OR(D54="",E54=""),"",(E54-D54)*1440)</f>
        <v>10.6666666666667</v>
      </c>
      <c r="G54" s="6" t="n">
        <v>85</v>
      </c>
      <c r="H54" s="6" t="inlineStr">
        <is>
          <t>anonymous</t>
        </is>
      </c>
      <c r="I54" t="str">
        <f>IF(C54="","",C54&amp;"|"&amp;G54)</f>
        <v>715|85</v>
      </c>
    </row>
    <row r="55">
      <c r="A55" s="5" t="inlineStr">
        <is>
          <t>JENNIFFER IVETTE MORALES PEREZ</t>
        </is>
      </c>
      <c r="B55" s="5" t="inlineStr">
        <is>
          <t>COLONIA MEDICA</t>
        </is>
      </c>
      <c r="C55" s="25" t="inlineStr">
        <is>
          <t>308</t>
        </is>
      </c>
      <c r="D55" s="9" t="n">
        <v>46297.71155092592</v>
      </c>
      <c r="E55" s="9" t="n">
        <v>46297.71489583333</v>
      </c>
      <c r="F55" s="7">
        <f>IF(OR(D55="",E55=""),"",(E55-D55)*1440)</f>
        <v>4.81666666666667</v>
      </c>
      <c r="G55" s="6" t="n">
        <v>95</v>
      </c>
      <c r="H55" s="6" t="inlineStr">
        <is>
          <t>anonymous</t>
        </is>
      </c>
      <c r="I55" t="str">
        <f>IF(C55="","",C55&amp;"|"&amp;G55)</f>
        <v>308|95</v>
      </c>
    </row>
    <row r="56">
      <c r="A56" s="5" t="inlineStr">
        <is>
          <t>Xiomara jeannette escobar portillo</t>
        </is>
      </c>
      <c r="B56" s="5" t="inlineStr">
        <is>
          <t>Servicios generales</t>
        </is>
      </c>
      <c r="C56" s="25" t="inlineStr">
        <is>
          <t>959</t>
        </is>
      </c>
      <c r="D56" s="9" t="n">
        <v>46297.77194444444</v>
      </c>
      <c r="E56" s="9" t="n">
        <v>46297.78946759259</v>
      </c>
      <c r="F56" s="7">
        <f>IF(OR(D56="",E56=""),"",(E56-D56)*1440)</f>
        <v>25.2333333333333</v>
      </c>
      <c r="G56" s="6" t="n">
        <v>90</v>
      </c>
      <c r="H56" s="6" t="inlineStr">
        <is>
          <t>anonymous</t>
        </is>
      </c>
      <c r="I56" t="str">
        <f>IF(C56="","",C56&amp;"|"&amp;G56)</f>
        <v>959|90</v>
      </c>
    </row>
    <row r="57">
      <c r="A57" s="5" t="inlineStr">
        <is>
          <t>Jesus guzma fuentes</t>
        </is>
      </c>
      <c r="B57" s="5" t="inlineStr">
        <is>
          <t>Servicios generales</t>
        </is>
      </c>
      <c r="C57" s="25" t="inlineStr">
        <is>
          <t>224</t>
        </is>
      </c>
      <c r="D57" s="9" t="n">
        <v>46297.83465277778</v>
      </c>
      <c r="E57" s="9" t="n">
        <v>46297.84905092593</v>
      </c>
      <c r="F57" s="7">
        <f>IF(OR(D57="",E57=""),"",(E57-D57)*1440)</f>
        <v>20.7333333333333</v>
      </c>
      <c r="G57" s="6" t="n">
        <v>80</v>
      </c>
      <c r="H57" s="6" t="inlineStr">
        <is>
          <t>anonymous</t>
        </is>
      </c>
      <c r="I57" t="str">
        <f>IF(C57="","",C57&amp;"|"&amp;G57)</f>
        <v>224|80</v>
      </c>
    </row>
    <row r="58">
      <c r="A58" s="5" t="inlineStr">
        <is>
          <t>Margarita Guadalupe Henríquez Elias</t>
        </is>
      </c>
      <c r="B58" s="5" t="inlineStr">
        <is>
          <t>Servicios vários</t>
        </is>
      </c>
      <c r="C58" s="25" t="inlineStr">
        <is>
          <t>522</t>
        </is>
      </c>
      <c r="D58" s="9" t="n">
        <v>46297.84774305556</v>
      </c>
      <c r="E58" s="9" t="n">
        <v>46297.85355324074</v>
      </c>
      <c r="F58" s="7">
        <f>IF(OR(D58="",E58=""),"",(E58-D58)*1440)</f>
        <v>8.36666666666667</v>
      </c>
      <c r="G58" s="6" t="n">
        <v>85</v>
      </c>
      <c r="H58" s="6" t="inlineStr">
        <is>
          <t>anonymous</t>
        </is>
      </c>
      <c r="I58" t="str">
        <f>IF(C58="","",C58&amp;"|"&amp;G58)</f>
        <v>522|85</v>
      </c>
    </row>
    <row r="59">
      <c r="A59" s="5" t="inlineStr">
        <is>
          <t>Iliana Carolina Flamenco flores</t>
        </is>
      </c>
      <c r="B59" s="5" t="inlineStr">
        <is>
          <t>Servicios generales</t>
        </is>
      </c>
      <c r="C59" s="25" t="inlineStr">
        <is>
          <t>684</t>
        </is>
      </c>
      <c r="D59" s="9" t="n">
        <v>46298.29701388889</v>
      </c>
      <c r="E59" s="9" t="n">
        <v>46298.30020833333</v>
      </c>
      <c r="F59" s="7">
        <f>IF(OR(D59="",E59=""),"",(E59-D59)*1440)</f>
        <v>4.6</v>
      </c>
      <c r="G59" s="6" t="n">
        <v>80</v>
      </c>
      <c r="H59" s="6" t="inlineStr">
        <is>
          <t>anonymous</t>
        </is>
      </c>
      <c r="I59" t="str">
        <f>IF(C59="","",C59&amp;"|"&amp;G59)</f>
        <v>684|80</v>
      </c>
    </row>
    <row r="60">
      <c r="A60" s="5" t="inlineStr">
        <is>
          <t>Mario Rosales</t>
        </is>
      </c>
      <c r="B60" s="5" t="inlineStr">
        <is>
          <t>Setvicio general</t>
        </is>
      </c>
      <c r="C60" s="25" t="inlineStr">
        <is>
          <t>430</t>
        </is>
      </c>
      <c r="D60" s="9" t="n">
        <v>46298.33667824074</v>
      </c>
      <c r="E60" s="9" t="n">
        <v>46298.34488425926</v>
      </c>
      <c r="F60" s="7">
        <f>IF(OR(D60="",E60=""),"",(E60-D60)*1440)</f>
        <v>11.8166666666667</v>
      </c>
      <c r="G60" s="6" t="n">
        <v>40</v>
      </c>
      <c r="H60" s="6" t="inlineStr">
        <is>
          <t>anonymous</t>
        </is>
      </c>
      <c r="I60" t="str">
        <f>IF(C60="","",C60&amp;"|"&amp;G60)</f>
        <v>430|40</v>
      </c>
    </row>
    <row r="61">
      <c r="A61" s="5" t="inlineStr">
        <is>
          <t>Jose.Rosalio.Garcia soto</t>
        </is>
      </c>
      <c r="B61" s="5" t="inlineStr">
        <is>
          <t>servicios.Generales</t>
        </is>
      </c>
      <c r="C61" s="25" t="inlineStr">
        <is>
          <t>587</t>
        </is>
      </c>
      <c r="D61" s="9" t="n">
        <v>46298.40037037037</v>
      </c>
      <c r="E61" s="9" t="n">
        <v>46298.41559027778</v>
      </c>
      <c r="F61" s="7">
        <f>IF(OR(D61="",E61=""),"",(E61-D61)*1440)</f>
        <v>21.9166666666667</v>
      </c>
      <c r="G61" s="6" t="n">
        <v>90</v>
      </c>
      <c r="H61" s="6" t="inlineStr">
        <is>
          <t>anonymous</t>
        </is>
      </c>
      <c r="I61" t="str">
        <f>IF(C61="","",C61&amp;"|"&amp;G61)</f>
        <v>587|90</v>
      </c>
    </row>
    <row r="62">
      <c r="A62" s="5" t="inlineStr">
        <is>
          <t>Belly Emerson Rivera Ascencio</t>
        </is>
      </c>
      <c r="B62" s="5" t="inlineStr">
        <is>
          <t>Servicios Generales</t>
        </is>
      </c>
      <c r="C62" s="25" t="inlineStr">
        <is>
          <t>875</t>
        </is>
      </c>
      <c r="D62" s="9" t="n">
        <v>46298.40277777778</v>
      </c>
      <c r="E62" s="9" t="n">
        <v>46298.41583333333</v>
      </c>
      <c r="F62" s="7">
        <f>IF(OR(D62="",E62=""),"",(E62-D62)*1440)</f>
        <v>18.8</v>
      </c>
      <c r="G62" s="6" t="n">
        <v>100</v>
      </c>
      <c r="H62" s="6" t="inlineStr">
        <is>
          <t>anonymous</t>
        </is>
      </c>
      <c r="I62" t="str">
        <f>IF(C62="","",C62&amp;"|"&amp;G62)</f>
        <v>875|100</v>
      </c>
    </row>
    <row r="63">
      <c r="A63" s="5" t="inlineStr">
        <is>
          <t>Cecilia Anzora</t>
        </is>
      </c>
      <c r="B63" s="5" t="inlineStr">
        <is>
          <t>Servicios generales</t>
        </is>
      </c>
      <c r="C63" s="25" t="inlineStr">
        <is>
          <t>387</t>
        </is>
      </c>
      <c r="D63" s="9" t="n">
        <v>46298.41678240741</v>
      </c>
      <c r="E63" s="9" t="n">
        <v>46298.4184375</v>
      </c>
      <c r="F63" s="7">
        <f>IF(OR(D63="",E63=""),"",(E63-D63)*1440)</f>
        <v>2.38333333333333</v>
      </c>
      <c r="G63" s="6" t="n">
        <v>90</v>
      </c>
      <c r="H63" s="6" t="inlineStr">
        <is>
          <t>anonymous</t>
        </is>
      </c>
      <c r="I63" t="str">
        <f>IF(C63="","",C63&amp;"|"&amp;G63)</f>
        <v>387|90</v>
      </c>
    </row>
    <row r="64">
      <c r="A64" s="5" t="inlineStr">
        <is>
          <t>INGRID ALEJANDRINA LISSETH GUZMAN DE SANCHEZ</t>
        </is>
      </c>
      <c r="B64" s="5" t="inlineStr">
        <is>
          <t>GERENCIA DE NEGOCIOS</t>
        </is>
      </c>
      <c r="C64" s="25" t="inlineStr">
        <is>
          <t>719</t>
        </is>
      </c>
      <c r="D64" s="9" t="n">
        <v>46298.40983796296</v>
      </c>
      <c r="E64" s="9" t="n">
        <v>46298.41878472222</v>
      </c>
      <c r="F64" s="7">
        <f>IF(OR(D64="",E64=""),"",(E64-D64)*1440)</f>
        <v>12.8833333333333</v>
      </c>
      <c r="G64" s="6" t="n">
        <v>100</v>
      </c>
      <c r="H64" s="6" t="inlineStr">
        <is>
          <t>anonymous</t>
        </is>
      </c>
      <c r="I64" t="str">
        <f>IF(C64="","",C64&amp;"|"&amp;G64)</f>
        <v>719|100</v>
      </c>
    </row>
    <row r="65">
      <c r="A65" s="5" t="inlineStr">
        <is>
          <t>Hugo Rolando Velasco Rivera</t>
        </is>
      </c>
      <c r="B65" s="5" t="inlineStr">
        <is>
          <t>Depto. De Custodia y Garantía de valores</t>
        </is>
      </c>
      <c r="C65" s="25" t="inlineStr">
        <is>
          <t>973</t>
        </is>
      </c>
      <c r="D65" s="9" t="n">
        <v>46298.50091435185</v>
      </c>
      <c r="E65" s="9" t="n">
        <v>46298.51430555555</v>
      </c>
      <c r="F65" s="7">
        <f>IF(OR(D65="",E65=""),"",(E65-D65)*1440)</f>
        <v>19.2833333333333</v>
      </c>
      <c r="G65" s="6" t="n">
        <v>100</v>
      </c>
      <c r="H65" s="6" t="inlineStr">
        <is>
          <t>anonymous</t>
        </is>
      </c>
      <c r="I65" t="str">
        <f>IF(C65="","",C65&amp;"|"&amp;G65)</f>
        <v>973|100</v>
      </c>
    </row>
    <row r="66">
      <c r="A66" s="5" t="inlineStr">
        <is>
          <t>Rossemary Yamileth Lobato Martínez</t>
        </is>
      </c>
      <c r="B66" s="5" t="inlineStr">
        <is>
          <t>Departamento de Contabilidad</t>
        </is>
      </c>
      <c r="C66" s="25" t="inlineStr">
        <is>
          <t>733</t>
        </is>
      </c>
      <c r="D66" s="9" t="n">
        <v>46300.30724537037</v>
      </c>
      <c r="E66" s="9" t="n">
        <v>46300.31707175926</v>
      </c>
      <c r="F66" s="7">
        <f>IF(OR(D66="",E66=""),"",(E66-D66)*1440)</f>
        <v>14.15</v>
      </c>
      <c r="G66" s="6" t="n">
        <v>100</v>
      </c>
      <c r="H66" s="6" t="inlineStr">
        <is>
          <t>anonymous</t>
        </is>
      </c>
      <c r="I66" t="str">
        <f>IF(C66="","",C66&amp;"|"&amp;G66)</f>
        <v>733|100</v>
      </c>
    </row>
    <row r="67">
      <c r="A67" s="5" t="inlineStr">
        <is>
          <t>CARLOS FRANCISCO HERNANDEZ MUÑOZ</t>
        </is>
      </c>
      <c r="B67" s="5" t="inlineStr">
        <is>
          <t>DEPARTAMENTO DE ANALISIS Y PROGRAMACION</t>
        </is>
      </c>
      <c r="C67" s="25" t="inlineStr">
        <is>
          <t>680</t>
        </is>
      </c>
      <c r="D67" s="9" t="n">
        <v>46300.38666666667</v>
      </c>
      <c r="E67" s="9" t="n">
        <v>46300.39171296296</v>
      </c>
      <c r="F67" s="7">
        <f>IF(OR(D67="",E67=""),"",(E67-D67)*1440)</f>
        <v>7.26666666666667</v>
      </c>
      <c r="G67" s="6" t="n">
        <v>100</v>
      </c>
      <c r="H67" s="6" t="inlineStr">
        <is>
          <t>anonymous</t>
        </is>
      </c>
      <c r="I67" t="str">
        <f>IF(C67="","",C67&amp;"|"&amp;G67)</f>
        <v>680|100</v>
      </c>
    </row>
    <row r="68">
      <c r="A68" s="5" t="inlineStr">
        <is>
          <t>German Alberto Campos Torres</t>
        </is>
      </c>
      <c r="B68" s="5" t="inlineStr">
        <is>
          <t>Servicios Generales</t>
        </is>
      </c>
      <c r="C68" s="25" t="inlineStr">
        <is>
          <t>830</t>
        </is>
      </c>
      <c r="D68" s="9" t="n">
        <v>46300.39452546297</v>
      </c>
      <c r="E68" s="9" t="n">
        <v>46300.39962962963</v>
      </c>
      <c r="F68" s="7">
        <f>IF(OR(D68="",E68=""),"",(E68-D68)*1440)</f>
        <v>7.35</v>
      </c>
      <c r="G68" s="6" t="n">
        <v>95</v>
      </c>
      <c r="H68" s="6" t="inlineStr">
        <is>
          <t>anonymous</t>
        </is>
      </c>
      <c r="I68" t="str">
        <f>IF(C68="","",C68&amp;"|"&amp;G68)</f>
        <v>830|95</v>
      </c>
    </row>
    <row r="69">
      <c r="A69" s="5" t="inlineStr">
        <is>
          <t>Mario Rosales</t>
        </is>
      </c>
      <c r="B69" s="5" t="inlineStr">
        <is>
          <t>Servicio general</t>
        </is>
      </c>
      <c r="C69" s="25" t="inlineStr">
        <is>
          <t>430</t>
        </is>
      </c>
      <c r="D69" s="9" t="n">
        <v>46300.39993055556</v>
      </c>
      <c r="E69" s="9" t="n">
        <v>46300.40560185185</v>
      </c>
      <c r="F69" s="7">
        <f>IF(OR(D69="",E69=""),"",(E69-D69)*1440)</f>
        <v>8.16666666666667</v>
      </c>
      <c r="G69" s="6" t="n">
        <v>100</v>
      </c>
      <c r="H69" s="6" t="inlineStr">
        <is>
          <t>anonymous</t>
        </is>
      </c>
      <c r="I69" t="str">
        <f>IF(C69="","",C69&amp;"|"&amp;G69)</f>
        <v>430|100</v>
      </c>
    </row>
    <row r="70">
      <c r="A70" s="5" t="inlineStr">
        <is>
          <t>Luis Marcelo Cruz Vigil</t>
        </is>
      </c>
      <c r="B70" s="5" t="inlineStr">
        <is>
          <t>Sub Gerencia de Canales</t>
        </is>
      </c>
      <c r="C70" s="25" t="inlineStr">
        <is>
          <t>215</t>
        </is>
      </c>
      <c r="D70" s="9" t="n">
        <v>46300.40697916667</v>
      </c>
      <c r="E70" s="9" t="n">
        <v>46300.41096064815</v>
      </c>
      <c r="F70" s="7">
        <f>IF(OR(D70="",E70=""),"",(E70-D70)*1440)</f>
        <v>5.73333333333333</v>
      </c>
      <c r="G70" s="6" t="n">
        <v>100</v>
      </c>
      <c r="H70" s="6" t="inlineStr">
        <is>
          <t>anonymous</t>
        </is>
      </c>
      <c r="I70" t="str">
        <f>IF(C70="","",C70&amp;"|"&amp;G70)</f>
        <v>215|100</v>
      </c>
    </row>
    <row r="71">
      <c r="A71" s="5" t="inlineStr">
        <is>
          <t>Carlos Alfonso Molina Cardona</t>
        </is>
      </c>
      <c r="B71" s="5" t="inlineStr">
        <is>
          <t>Operaciones y Soporte Tecnico</t>
        </is>
      </c>
      <c r="C71" s="25" t="inlineStr">
        <is>
          <t>281</t>
        </is>
      </c>
      <c r="D71" s="9" t="n">
        <v>46300.46083333333</v>
      </c>
      <c r="E71" s="9" t="n">
        <v>46300.48065972222</v>
      </c>
      <c r="F71" s="7">
        <f>IF(OR(D71="",E71=""),"",(E71-D71)*1440)</f>
        <v>28.55</v>
      </c>
      <c r="G71" s="6" t="n">
        <v>100</v>
      </c>
      <c r="H71" s="6" t="inlineStr">
        <is>
          <t>anonymous</t>
        </is>
      </c>
      <c r="I71" t="str">
        <f>IF(C71="","",C71&amp;"|"&amp;G71)</f>
        <v>281|100</v>
      </c>
    </row>
    <row r="72">
      <c r="A72" s="5" t="inlineStr">
        <is>
          <t>Jonathan Enrique Aquino Sánchez</t>
        </is>
      </c>
      <c r="B72" s="5" t="inlineStr">
        <is>
          <t>Servicios Generales</t>
        </is>
      </c>
      <c r="C72" s="25" t="inlineStr">
        <is>
          <t>852</t>
        </is>
      </c>
      <c r="D72" s="9" t="n">
        <v>46300.52502314815</v>
      </c>
      <c r="E72" s="9" t="n">
        <v>46300.53921296296</v>
      </c>
      <c r="F72" s="7">
        <f>IF(OR(D72="",E72=""),"",(E72-D72)*1440)</f>
        <v>20.4333333333333</v>
      </c>
      <c r="G72" s="6" t="n">
        <v>90</v>
      </c>
      <c r="H72" s="6" t="inlineStr">
        <is>
          <t>anonymous</t>
        </is>
      </c>
      <c r="I72" t="str">
        <f>IF(C72="","",C72&amp;"|"&amp;G72)</f>
        <v>852|90</v>
      </c>
    </row>
    <row r="73">
      <c r="A73" s="5" t="inlineStr">
        <is>
          <t>Jorge Alberto Barrera</t>
        </is>
      </c>
      <c r="B73" s="5" t="inlineStr">
        <is>
          <t>Operaciones y Soporte de TI</t>
        </is>
      </c>
      <c r="C73" s="25" t="inlineStr">
        <is>
          <t>880</t>
        </is>
      </c>
      <c r="D73" s="9" t="n">
        <v>46300.57717592592</v>
      </c>
      <c r="E73" s="9" t="n">
        <v>46300.5841087963</v>
      </c>
      <c r="F73" s="7">
        <f>IF(OR(D73="",E73=""),"",(E73-D73)*1440)</f>
        <v>9.98333333333333</v>
      </c>
      <c r="G73" s="6" t="n">
        <v>100</v>
      </c>
      <c r="H73" s="6" t="inlineStr">
        <is>
          <t>anonymous</t>
        </is>
      </c>
      <c r="I73" t="str">
        <f>IF(C73="","",C73&amp;"|"&amp;G73)</f>
        <v>880|100</v>
      </c>
    </row>
    <row r="74">
      <c r="A74" s="5" t="inlineStr">
        <is>
          <t>ISMAEL HUMBERTO GUERRERO FLORES</t>
        </is>
      </c>
      <c r="B74" s="5" t="inlineStr">
        <is>
          <t>SISTEMAS</t>
        </is>
      </c>
      <c r="C74" s="25" t="inlineStr">
        <is>
          <t>883</t>
        </is>
      </c>
      <c r="D74" s="9" t="n">
        <v>46300.58234953704</v>
      </c>
      <c r="E74" s="9" t="n">
        <v>46300.58474537037</v>
      </c>
      <c r="F74" s="7">
        <f>IF(OR(D74="",E74=""),"",(E74-D74)*1440)</f>
        <v>3.45</v>
      </c>
      <c r="G74" s="6" t="n">
        <v>95</v>
      </c>
      <c r="H74" s="6" t="inlineStr">
        <is>
          <t>anonymous</t>
        </is>
      </c>
      <c r="I74" t="str">
        <f>IF(C74="","",C74&amp;"|"&amp;G74)</f>
        <v>883|95</v>
      </c>
    </row>
    <row r="75">
      <c r="A75" s="5" t="inlineStr">
        <is>
          <t>Carlos Orlando García</t>
        </is>
      </c>
      <c r="B75" s="5" t="inlineStr">
        <is>
          <t>Operaciones y Soporte Tecnico</t>
        </is>
      </c>
      <c r="C75" s="25" t="inlineStr">
        <is>
          <t>221</t>
        </is>
      </c>
      <c r="D75" s="9" t="n">
        <v>46300.58730324074</v>
      </c>
      <c r="E75" s="9" t="n">
        <v>46300.58950231481</v>
      </c>
      <c r="F75" s="7">
        <f>IF(OR(D75="",E75=""),"",(E75-D75)*1440)</f>
        <v>3.16666666666667</v>
      </c>
      <c r="G75" s="6" t="n">
        <v>100</v>
      </c>
      <c r="H75" s="6" t="inlineStr">
        <is>
          <t>anonymous</t>
        </is>
      </c>
      <c r="I75" t="str">
        <f>IF(C75="","",C75&amp;"|"&amp;G75)</f>
        <v>221|100</v>
      </c>
    </row>
    <row r="76">
      <c r="A76" s="5" t="inlineStr">
        <is>
          <t>Andres vladimir luna guevara</t>
        </is>
      </c>
      <c r="B76" s="5" t="inlineStr">
        <is>
          <t>Servicios generales</t>
        </is>
      </c>
      <c r="C76" s="25" t="inlineStr">
        <is>
          <t>926</t>
        </is>
      </c>
      <c r="D76" s="9" t="n">
        <v>46300.60138888889</v>
      </c>
      <c r="E76" s="9" t="n">
        <v>46300.60789351852</v>
      </c>
      <c r="F76" s="7">
        <f>IF(OR(D76="",E76=""),"",(E76-D76)*1440)</f>
        <v>9.36666666666667</v>
      </c>
      <c r="G76" s="6" t="n">
        <v>90</v>
      </c>
      <c r="H76" s="6" t="inlineStr">
        <is>
          <t>anonymous</t>
        </is>
      </c>
      <c r="I76" t="str">
        <f>IF(C76="","",C76&amp;"|"&amp;G76)</f>
        <v>926|90</v>
      </c>
    </row>
    <row r="77">
      <c r="A77" s="5" t="inlineStr">
        <is>
          <t>Gabriela Lourdes Arévalo Sánchez</t>
        </is>
      </c>
      <c r="B77" s="5" t="inlineStr">
        <is>
          <t>Departamento Legal</t>
        </is>
      </c>
      <c r="C77" s="25" t="inlineStr">
        <is>
          <t>929</t>
        </is>
      </c>
      <c r="D77" s="9" t="n">
        <v>46300.62287037037</v>
      </c>
      <c r="E77" s="9" t="n">
        <v>46300.6284837963</v>
      </c>
      <c r="F77" s="7">
        <f>IF(OR(D77="",E77=""),"",(E77-D77)*1440)</f>
        <v>8.08333333333333</v>
      </c>
      <c r="G77" s="6" t="n">
        <v>90</v>
      </c>
      <c r="H77" s="6" t="inlineStr">
        <is>
          <t>anonymous</t>
        </is>
      </c>
      <c r="I77" t="str">
        <f>IF(C77="","",C77&amp;"|"&amp;G77)</f>
        <v>929|90</v>
      </c>
    </row>
    <row r="78">
      <c r="A78" s="5" t="inlineStr">
        <is>
          <t>SILVIA IVETH MARTINEZ DE RAMIREZ</t>
        </is>
      </c>
      <c r="B78" s="5" t="inlineStr">
        <is>
          <t>ADMINISTRACION DE RIESGOS</t>
        </is>
      </c>
      <c r="C78" s="25" t="inlineStr">
        <is>
          <t>433</t>
        </is>
      </c>
      <c r="D78" s="9" t="n">
        <v>46300.6215162037</v>
      </c>
      <c r="E78" s="9" t="n">
        <v>46300.6309837963</v>
      </c>
      <c r="F78" s="7">
        <f>IF(OR(D78="",E78=""),"",(E78-D78)*1440)</f>
        <v>13.6333333333333</v>
      </c>
      <c r="G78" s="6" t="n">
        <v>100</v>
      </c>
      <c r="H78" s="6" t="inlineStr">
        <is>
          <t>anonymous</t>
        </is>
      </c>
      <c r="I78" t="str">
        <f>IF(C78="","",C78&amp;"|"&amp;G78)</f>
        <v>433|100</v>
      </c>
    </row>
    <row r="79">
      <c r="A79" s="5" t="inlineStr">
        <is>
          <t>Edgar Margarito PozoShupan</t>
        </is>
      </c>
      <c r="B79" s="5" t="inlineStr">
        <is>
          <t>Operaciones y Soporte Tecnico</t>
        </is>
      </c>
      <c r="C79" s="25" t="inlineStr">
        <is>
          <t>259</t>
        </is>
      </c>
      <c r="D79" s="9" t="n">
        <v>46300.63085648148</v>
      </c>
      <c r="E79" s="9" t="n">
        <v>46300.63810185185</v>
      </c>
      <c r="F79" s="7">
        <f>IF(OR(D79="",E79=""),"",(E79-D79)*1440)</f>
        <v>10.4333333333333</v>
      </c>
      <c r="G79" s="6" t="n">
        <v>100</v>
      </c>
      <c r="H79" s="6" t="inlineStr">
        <is>
          <t>anonymous</t>
        </is>
      </c>
      <c r="I79" t="str">
        <f>IF(C79="","",C79&amp;"|"&amp;G79)</f>
        <v>259|100</v>
      </c>
    </row>
    <row r="80">
      <c r="A80" s="5" t="inlineStr">
        <is>
          <t>CLAUDIA MARIA GIMENEZ PEREZ</t>
        </is>
      </c>
      <c r="B80" s="5" t="inlineStr">
        <is>
          <t>CONSEJO DE ADMINISTRACION</t>
        </is>
      </c>
      <c r="C80" s="25" t="inlineStr">
        <is>
          <t>53</t>
        </is>
      </c>
      <c r="D80" s="9" t="n">
        <v>46300.65247685185</v>
      </c>
      <c r="E80" s="9" t="n">
        <v>46300.65800925926</v>
      </c>
      <c r="F80" s="7">
        <f>IF(OR(D80="",E80=""),"",(E80-D80)*1440)</f>
        <v>7.96666666666667</v>
      </c>
      <c r="G80" s="6" t="n">
        <v>90</v>
      </c>
      <c r="H80" s="6" t="inlineStr">
        <is>
          <t>anonymous</t>
        </is>
      </c>
      <c r="I80" t="str">
        <f>IF(C80="","",C80&amp;"|"&amp;G80)</f>
        <v>53|90</v>
      </c>
    </row>
    <row r="81">
      <c r="A81" s="5" t="inlineStr">
        <is>
          <t>Ma. GUADALUPE MARTINEZ</t>
        </is>
      </c>
      <c r="B81" s="5" t="inlineStr">
        <is>
          <t>SERVICIOS GENERALES</t>
        </is>
      </c>
      <c r="C81" s="25" t="inlineStr">
        <is>
          <t>222</t>
        </is>
      </c>
      <c r="D81" s="9" t="n">
        <v>46300.65453703704</v>
      </c>
      <c r="E81" s="9" t="n">
        <v>46300.66567129629</v>
      </c>
      <c r="F81" s="7">
        <f>IF(OR(D81="",E81=""),"",(E81-D81)*1440)</f>
        <v>16.0333333333333</v>
      </c>
      <c r="G81" s="6" t="n">
        <v>100</v>
      </c>
      <c r="H81" s="6" t="inlineStr">
        <is>
          <t>anonymous</t>
        </is>
      </c>
      <c r="I81" t="str">
        <f>IF(C81="","",C81&amp;"|"&amp;G81)</f>
        <v>222|100</v>
      </c>
    </row>
    <row r="82">
      <c r="A82" s="5" t="inlineStr">
        <is>
          <t>Diana Marisol Batres Barahona</t>
        </is>
      </c>
      <c r="B82" s="5" t="inlineStr">
        <is>
          <t>Colonia Medica</t>
        </is>
      </c>
      <c r="C82" s="25" t="inlineStr">
        <is>
          <t>728</t>
        </is>
      </c>
      <c r="D82" s="9" t="n">
        <v>46300.67056712963</v>
      </c>
      <c r="E82" s="9" t="n">
        <v>46300.68400462963</v>
      </c>
      <c r="F82" s="7">
        <f>IF(OR(D82="",E82=""),"",(E82-D82)*1440)</f>
        <v>19.35</v>
      </c>
      <c r="G82" s="6" t="n">
        <v>100</v>
      </c>
      <c r="H82" s="6" t="inlineStr">
        <is>
          <t>anonymous</t>
        </is>
      </c>
      <c r="I82" t="str">
        <f>IF(C82="","",C82&amp;"|"&amp;G82)</f>
        <v>728|100</v>
      </c>
    </row>
    <row r="83">
      <c r="A83" s="5" t="inlineStr">
        <is>
          <t>Zulma Beatriz Rivas Rivera</t>
        </is>
      </c>
      <c r="B83" s="5" t="inlineStr">
        <is>
          <t>COLONIA MEDICA</t>
        </is>
      </c>
      <c r="C83" s="25" t="inlineStr">
        <is>
          <t>801</t>
        </is>
      </c>
      <c r="D83" s="9" t="n">
        <v>46300.68642361111</v>
      </c>
      <c r="E83" s="9" t="n">
        <v>46300.68836805555</v>
      </c>
      <c r="F83" s="7">
        <f>IF(OR(D83="",E83=""),"",(E83-D83)*1440)</f>
        <v>2.8</v>
      </c>
      <c r="G83" s="6" t="n">
        <v>100</v>
      </c>
      <c r="H83" s="6" t="inlineStr">
        <is>
          <t>anonymous</t>
        </is>
      </c>
      <c r="I83" t="str">
        <f>IF(C83="","",C83&amp;"|"&amp;G83)</f>
        <v>801|100</v>
      </c>
    </row>
    <row r="84">
      <c r="A84" s="5" t="inlineStr">
        <is>
          <t>Pedro Ernesto Morán Ramírez</t>
        </is>
      </c>
      <c r="B84" s="5" t="inlineStr">
        <is>
          <t>Administración de Base de Datos</t>
        </is>
      </c>
      <c r="C84" s="25" t="inlineStr">
        <is>
          <t>409</t>
        </is>
      </c>
      <c r="D84" s="9" t="n">
        <v>46300.68533564815</v>
      </c>
      <c r="E84" s="9" t="n">
        <v>46300.69601851852</v>
      </c>
      <c r="F84" s="7">
        <f>IF(OR(D84="",E84=""),"",(E84-D84)*1440)</f>
        <v>15.3833333333333</v>
      </c>
      <c r="G84" s="6" t="n">
        <v>95</v>
      </c>
      <c r="H84" s="6" t="inlineStr">
        <is>
          <t>anonymous</t>
        </is>
      </c>
      <c r="I84" t="str">
        <f>IF(C84="","",C84&amp;"|"&amp;G84)</f>
        <v>409|95</v>
      </c>
    </row>
    <row r="85">
      <c r="A85" s="5" t="inlineStr">
        <is>
          <t>Christian George Figueroa Blanco</t>
        </is>
      </c>
      <c r="B85" s="5" t="inlineStr">
        <is>
          <t>Servicio generales</t>
        </is>
      </c>
      <c r="C85" s="25" t="inlineStr">
        <is>
          <t>803</t>
        </is>
      </c>
      <c r="D85" s="9" t="n">
        <v>46300.70214120371</v>
      </c>
      <c r="E85" s="9" t="n">
        <v>46300.70883101852</v>
      </c>
      <c r="F85" s="7">
        <f>IF(OR(D85="",E85=""),"",(E85-D85)*1440)</f>
        <v>9.63333333333333</v>
      </c>
      <c r="G85" s="6" t="n">
        <v>60</v>
      </c>
      <c r="H85" s="6" t="inlineStr">
        <is>
          <t>anonymous</t>
        </is>
      </c>
      <c r="I85" t="str">
        <f>IF(C85="","",C85&amp;"|"&amp;G85)</f>
        <v>803|60</v>
      </c>
    </row>
    <row r="86">
      <c r="A86" s="5" t="inlineStr">
        <is>
          <t>MAIRA ELIZABETH PEREZ DE LEIVA</t>
        </is>
      </c>
      <c r="B86" s="5" t="inlineStr">
        <is>
          <t>SERVICIOS GENERALES</t>
        </is>
      </c>
      <c r="C86" s="25" t="inlineStr">
        <is>
          <t>599</t>
        </is>
      </c>
      <c r="D86" s="9" t="n">
        <v>46300.7419212963</v>
      </c>
      <c r="E86" s="9" t="n">
        <v>46300.74870370371</v>
      </c>
      <c r="F86" s="7">
        <f>IF(OR(D86="",E86=""),"",(E86-D86)*1440)</f>
        <v>9.76666666666667</v>
      </c>
      <c r="G86" s="6" t="n">
        <v>100</v>
      </c>
      <c r="H86" s="6" t="inlineStr">
        <is>
          <t>anonymous</t>
        </is>
      </c>
      <c r="I86" t="str">
        <f>IF(C86="","",C86&amp;"|"&amp;G86)</f>
        <v>599|100</v>
      </c>
    </row>
    <row r="87">
      <c r="A87" s="5" t="inlineStr">
        <is>
          <t>Leonel Edgardo Salazar Ramirez</t>
        </is>
      </c>
      <c r="B87" s="5" t="inlineStr">
        <is>
          <t>Agencia central, departamento de servicios generales</t>
        </is>
      </c>
      <c r="C87" s="25" t="inlineStr">
        <is>
          <t>55</t>
        </is>
      </c>
      <c r="D87" s="9" t="n">
        <v>46300.80671296296</v>
      </c>
      <c r="E87" s="9" t="n">
        <v>46300.81421296296</v>
      </c>
      <c r="F87" s="7">
        <f>IF(OR(D87="",E87=""),"",(E87-D87)*1440)</f>
        <v>10.8</v>
      </c>
      <c r="G87" s="6" t="n">
        <v>90</v>
      </c>
      <c r="H87" s="6" t="inlineStr">
        <is>
          <t>anonymous</t>
        </is>
      </c>
      <c r="I87" t="str">
        <f>IF(C87="","",C87&amp;"|"&amp;G87)</f>
        <v>55|90</v>
      </c>
    </row>
    <row r="88">
      <c r="A88" s="5" t="inlineStr">
        <is>
          <t>Wendy Yamileth Márquez Vásquez</t>
        </is>
      </c>
      <c r="B88" s="5" t="inlineStr">
        <is>
          <t>Usulután</t>
        </is>
      </c>
      <c r="C88" s="25" t="inlineStr">
        <is>
          <t>903</t>
        </is>
      </c>
      <c r="D88" s="9" t="n">
        <v>46301.42581018519</v>
      </c>
      <c r="E88" s="9" t="n">
        <v>46301.43233796296</v>
      </c>
      <c r="F88" s="7">
        <f>IF(OR(D88="",E88=""),"",(E88-D88)*1440)</f>
        <v>9.4</v>
      </c>
      <c r="G88" s="6" t="n">
        <v>100</v>
      </c>
      <c r="H88" s="6" t="inlineStr">
        <is>
          <t>anonymous</t>
        </is>
      </c>
      <c r="I88" t="str">
        <f>IF(C88="","",C88&amp;"|"&amp;G88)</f>
        <v>903|100</v>
      </c>
    </row>
    <row r="89">
      <c r="A89" s="5" t="inlineStr">
        <is>
          <t>Adolfo Molina</t>
        </is>
      </c>
      <c r="B89" s="5" t="inlineStr">
        <is>
          <t>Soporte Técnico</t>
        </is>
      </c>
      <c r="C89" s="25" t="inlineStr">
        <is>
          <t>490</t>
        </is>
      </c>
      <c r="D89" s="9" t="n">
        <v>46301.4247337963</v>
      </c>
      <c r="E89" s="9" t="n">
        <v>46301.43652777778</v>
      </c>
      <c r="F89" s="7">
        <f>IF(OR(D89="",E89=""),"",(E89-D89)*1440)</f>
        <v>16.9833333333333</v>
      </c>
      <c r="G89" s="6" t="n">
        <v>100</v>
      </c>
      <c r="H89" s="6" t="inlineStr">
        <is>
          <t>anonymous</t>
        </is>
      </c>
      <c r="I89" t="str">
        <f>IF(C89="","",C89&amp;"|"&amp;G89)</f>
        <v>490|100</v>
      </c>
    </row>
    <row r="90">
      <c r="A90" s="5" t="inlineStr">
        <is>
          <t>JOSUE ELIAZAR MARTINEZ RECINOS</t>
        </is>
      </c>
      <c r="B90" s="5" t="inlineStr">
        <is>
          <t>CONTABILIDAD</t>
        </is>
      </c>
      <c r="C90" s="25" t="inlineStr">
        <is>
          <t>872</t>
        </is>
      </c>
      <c r="D90" s="9" t="n">
        <v>46301.43630787037</v>
      </c>
      <c r="E90" s="9" t="n">
        <v>46301.43873842592</v>
      </c>
      <c r="F90" s="7">
        <f>IF(OR(D90="",E90=""),"",(E90-D90)*1440)</f>
        <v>3.5</v>
      </c>
      <c r="G90" s="6" t="n">
        <v>100</v>
      </c>
      <c r="H90" s="6" t="inlineStr">
        <is>
          <t>anonymous</t>
        </is>
      </c>
      <c r="I90" t="str">
        <f>IF(C90="","",C90&amp;"|"&amp;G90)</f>
        <v>872|100</v>
      </c>
    </row>
    <row r="91">
      <c r="A91" s="5" t="inlineStr">
        <is>
          <t>Wanda Moreno</t>
        </is>
      </c>
      <c r="B91" s="5" t="inlineStr">
        <is>
          <t>Gerencia de negocio</t>
        </is>
      </c>
      <c r="C91" s="25" t="inlineStr">
        <is>
          <t>782</t>
        </is>
      </c>
      <c r="D91" s="9" t="n">
        <v>46301.42778935185</v>
      </c>
      <c r="E91" s="9" t="n">
        <v>46301.44030092593</v>
      </c>
      <c r="F91" s="7">
        <f>IF(OR(D91="",E91=""),"",(E91-D91)*1440)</f>
        <v>18.0166666666667</v>
      </c>
      <c r="G91" s="6" t="n">
        <v>100</v>
      </c>
      <c r="H91" s="6" t="inlineStr">
        <is>
          <t>anonymous</t>
        </is>
      </c>
      <c r="I91" t="str">
        <f>IF(C91="","",C91&amp;"|"&amp;G91)</f>
        <v>782|100</v>
      </c>
    </row>
    <row r="92">
      <c r="A92" s="5" t="inlineStr">
        <is>
          <t>María Francisca De la Luz Hernández de Hernández</t>
        </is>
      </c>
      <c r="B92" s="5" t="inlineStr">
        <is>
          <t>Atención al Asociado</t>
        </is>
      </c>
      <c r="C92" s="25" t="inlineStr">
        <is>
          <t>166</t>
        </is>
      </c>
      <c r="D92" s="9" t="n">
        <v>46301.48449074074</v>
      </c>
      <c r="E92" s="9" t="n">
        <v>46301.4892824074</v>
      </c>
      <c r="F92" s="7">
        <f>IF(OR(D92="",E92=""),"",(E92-D92)*1440)</f>
        <v>6.9</v>
      </c>
      <c r="G92" s="6" t="n">
        <v>100</v>
      </c>
      <c r="H92" s="6" t="inlineStr">
        <is>
          <t>anonymous</t>
        </is>
      </c>
      <c r="I92" t="str">
        <f>IF(C92="","",C92&amp;"|"&amp;G92)</f>
        <v>166|100</v>
      </c>
    </row>
    <row r="93">
      <c r="A93" s="5" t="inlineStr">
        <is>
          <t>Luciano de Jesús Saravia Beltrán</t>
        </is>
      </c>
      <c r="B93" s="5" t="inlineStr">
        <is>
          <t>Agencia usulutan</t>
        </is>
      </c>
      <c r="C93" s="25" t="inlineStr">
        <is>
          <t>456</t>
        </is>
      </c>
      <c r="D93" s="9" t="n">
        <v>46301.48697916666</v>
      </c>
      <c r="E93" s="9" t="n">
        <v>46301.49184027778</v>
      </c>
      <c r="F93" s="7">
        <f>IF(OR(D93="",E93=""),"",(E93-D93)*1440)</f>
        <v>7</v>
      </c>
      <c r="G93" s="6" t="n">
        <v>80</v>
      </c>
      <c r="H93" s="6" t="inlineStr">
        <is>
          <t>anonymous</t>
        </is>
      </c>
      <c r="I93" t="str">
        <f>IF(C93="","",C93&amp;"|"&amp;G93)</f>
        <v>456|80</v>
      </c>
    </row>
    <row r="94">
      <c r="A94" s="5" t="inlineStr">
        <is>
          <t>Luciano de Jesús saravianbeltran</t>
        </is>
      </c>
      <c r="B94" s="5" t="inlineStr">
        <is>
          <t>Agencia usulutan</t>
        </is>
      </c>
      <c r="C94" s="25" t="inlineStr">
        <is>
          <t>456</t>
        </is>
      </c>
      <c r="D94" s="9" t="n">
        <v>46301.5078587963</v>
      </c>
      <c r="E94" s="9" t="n">
        <v>46301.51369212963</v>
      </c>
      <c r="F94" s="7">
        <f>IF(OR(D94="",E94=""),"",(E94-D94)*1440)</f>
        <v>8.4</v>
      </c>
      <c r="G94" s="6" t="n">
        <v>100</v>
      </c>
      <c r="H94" s="6" t="inlineStr">
        <is>
          <t>anonymous</t>
        </is>
      </c>
      <c r="I94" t="str">
        <f>IF(C94="","",C94&amp;"|"&amp;G94)</f>
        <v>456|100</v>
      </c>
    </row>
    <row r="95">
      <c r="A95" s="5" t="inlineStr">
        <is>
          <t>Alejandra Abigail Ramirez Romero</t>
        </is>
      </c>
      <c r="B95" s="5" t="inlineStr">
        <is>
          <t>Mercadeo</t>
        </is>
      </c>
      <c r="C95" s="25" t="inlineStr">
        <is>
          <t>982</t>
        </is>
      </c>
      <c r="D95" s="9" t="n">
        <v>46301.61615740741</v>
      </c>
      <c r="E95" s="9" t="n">
        <v>46301.64126157408</v>
      </c>
      <c r="F95" s="7">
        <f>IF(OR(D95="",E95=""),"",(E95-D95)*1440)</f>
        <v>36.15</v>
      </c>
      <c r="G95" s="6" t="n">
        <v>100</v>
      </c>
      <c r="H95" s="6" t="inlineStr">
        <is>
          <t>anonymous</t>
        </is>
      </c>
      <c r="I95" t="str">
        <f>IF(C95="","",C95&amp;"|"&amp;G95)</f>
        <v>982|100</v>
      </c>
    </row>
    <row r="96">
      <c r="A96" s="5" t="inlineStr">
        <is>
          <t>STEPHANIE CAROLINA MALDONADO FLORES</t>
        </is>
      </c>
      <c r="B96" s="5" t="inlineStr">
        <is>
          <t>EDUCACION Y RESPONSABILIDAD SOCIAL</t>
        </is>
      </c>
      <c r="C96" s="25" t="inlineStr">
        <is>
          <t>853</t>
        </is>
      </c>
      <c r="D96" s="9" t="n">
        <v>46301.62170138889</v>
      </c>
      <c r="E96" s="9" t="n">
        <v>46301.64635416667</v>
      </c>
      <c r="F96" s="7">
        <f>IF(OR(D96="",E96=""),"",(E96-D96)*1440)</f>
        <v>35.5</v>
      </c>
      <c r="G96" s="6" t="n">
        <v>100</v>
      </c>
      <c r="H96" s="6" t="inlineStr">
        <is>
          <t>anonymous</t>
        </is>
      </c>
      <c r="I96" t="str">
        <f>IF(C96="","",C96&amp;"|"&amp;G96)</f>
        <v>853|100</v>
      </c>
    </row>
    <row r="97">
      <c r="A97" s="5" t="inlineStr">
        <is>
          <t>Juan Antonio De Jesús Nunfio</t>
        </is>
      </c>
      <c r="B97" s="5" t="inlineStr">
        <is>
          <t>Departamento de créditos</t>
        </is>
      </c>
      <c r="C97" s="25" t="inlineStr">
        <is>
          <t>780</t>
        </is>
      </c>
      <c r="D97" s="9" t="n">
        <v>46301.65331018518</v>
      </c>
      <c r="E97" s="9" t="n">
        <v>46301.65928240741</v>
      </c>
      <c r="F97" s="7">
        <f>IF(OR(D97="",E97=""),"",(E97-D97)*1440)</f>
        <v>8.6</v>
      </c>
      <c r="G97" s="6" t="n">
        <v>100</v>
      </c>
      <c r="H97" s="6" t="inlineStr">
        <is>
          <t>anonymous</t>
        </is>
      </c>
      <c r="I97" t="str">
        <f>IF(C97="","",C97&amp;"|"&amp;G97)</f>
        <v>780|100</v>
      </c>
    </row>
    <row r="98">
      <c r="A98" s="5" t="inlineStr">
        <is>
          <t>Clelia Lizeth Ortiz Galdamez</t>
        </is>
      </c>
      <c r="B98" s="5" t="inlineStr">
        <is>
          <t>Seguros</t>
        </is>
      </c>
      <c r="C98" s="25" t="inlineStr">
        <is>
          <t>589</t>
        </is>
      </c>
      <c r="D98" s="9" t="n">
        <v>46301.67337962963</v>
      </c>
      <c r="E98" s="9" t="n">
        <v>46301.68011574074</v>
      </c>
      <c r="F98" s="7">
        <f>IF(OR(D98="",E98=""),"",(E98-D98)*1440)</f>
        <v>9.7</v>
      </c>
      <c r="G98" s="6" t="n">
        <v>90</v>
      </c>
      <c r="H98" s="6" t="inlineStr">
        <is>
          <t>anonymous</t>
        </is>
      </c>
      <c r="I98" t="str">
        <f>IF(C98="","",C98&amp;"|"&amp;G98)</f>
        <v>589|90</v>
      </c>
    </row>
    <row r="99">
      <c r="A99" s="5" t="inlineStr">
        <is>
          <t>juan jose lopez alfaro</t>
        </is>
      </c>
      <c r="B99" s="5" t="inlineStr">
        <is>
          <t>Operaciones y soporte tecnico</t>
        </is>
      </c>
      <c r="C99" s="25" t="inlineStr">
        <is>
          <t>119</t>
        </is>
      </c>
      <c r="D99" s="9" t="n">
        <v>46302.42083333333</v>
      </c>
      <c r="E99" s="9" t="n">
        <v>46302.4418287037</v>
      </c>
      <c r="F99" s="7">
        <f>IF(OR(D99="",E99=""),"",(E99-D99)*1440)</f>
        <v>30.2333333333333</v>
      </c>
      <c r="G99" s="6" t="n">
        <v>100</v>
      </c>
      <c r="H99" s="6" t="inlineStr">
        <is>
          <t>anonymous</t>
        </is>
      </c>
      <c r="I99" t="str">
        <f>IF(C99="","",C99&amp;"|"&amp;G99)</f>
        <v>119|100</v>
      </c>
    </row>
    <row r="100">
      <c r="A100" s="5" t="inlineStr">
        <is>
          <t>NANCY ROCIO MENJIVAR RIVAS</t>
        </is>
      </c>
      <c r="B100" s="5" t="inlineStr">
        <is>
          <t>SUB GERENCIA DE CANALES</t>
        </is>
      </c>
      <c r="C100" s="25" t="inlineStr">
        <is>
          <t>585</t>
        </is>
      </c>
      <c r="D100" s="9" t="n">
        <v>46302.46341435185</v>
      </c>
      <c r="E100" s="9" t="n">
        <v>46302.47909722223</v>
      </c>
      <c r="F100" s="7">
        <f>IF(OR(D100="",E100=""),"",(E100-D100)*1440)</f>
        <v>22.5833333528</v>
      </c>
      <c r="G100" s="6" t="n">
        <v>100</v>
      </c>
      <c r="H100" s="6" t="inlineStr">
        <is>
          <t>anonymous</t>
        </is>
      </c>
      <c r="I100" t="str">
        <f>IF(C100="","",C100&amp;"|"&amp;G100)</f>
        <v>585|100</v>
      </c>
    </row>
    <row r="101">
      <c r="A101" s="5" t="inlineStr">
        <is>
          <t>Lorena del Carmen Mejía Herrera</t>
        </is>
      </c>
      <c r="B101" s="5" t="inlineStr">
        <is>
          <t>Caja, agencia central</t>
        </is>
      </c>
      <c r="C101" s="25" t="inlineStr">
        <is>
          <t>960</t>
        </is>
      </c>
      <c r="D101" s="9" t="n">
        <v>46302.46998842592</v>
      </c>
      <c r="E101" s="9" t="n">
        <v>46302.48327546296</v>
      </c>
      <c r="F101" s="7">
        <f>IF(OR(D101="",E101=""),"",(E101-D101)*1440)</f>
        <v>19.1333333333333</v>
      </c>
      <c r="G101" s="6" t="n">
        <v>100</v>
      </c>
      <c r="H101" s="6" t="inlineStr">
        <is>
          <t>anonymous</t>
        </is>
      </c>
      <c r="I101" t="str">
        <f>IF(C101="","",C101&amp;"|"&amp;G101)</f>
        <v>960|100</v>
      </c>
    </row>
    <row r="102">
      <c r="A102" s="5" t="inlineStr">
        <is>
          <t>DAYANA ABIGAIL CHAVEZ DE CORDOVA</t>
        </is>
      </c>
      <c r="B102" s="5" t="inlineStr">
        <is>
          <t>DEPARTAMENTO DE CREDITOS</t>
        </is>
      </c>
      <c r="C102" s="25" t="inlineStr">
        <is>
          <t>837</t>
        </is>
      </c>
      <c r="D102" s="9" t="n">
        <v>46302.47519675926</v>
      </c>
      <c r="E102" s="9" t="n">
        <v>46302.48523148148</v>
      </c>
      <c r="F102" s="7">
        <f>IF(OR(D102="",E102=""),"",(E102-D102)*1440)</f>
        <v>14.45</v>
      </c>
      <c r="G102" s="6" t="n">
        <v>100</v>
      </c>
      <c r="H102" s="6" t="inlineStr">
        <is>
          <t>anonymous</t>
        </is>
      </c>
      <c r="I102" t="str">
        <f>IF(C102="","",C102&amp;"|"&amp;G102)</f>
        <v>837|100</v>
      </c>
    </row>
    <row r="103">
      <c r="A103" s="5" t="inlineStr">
        <is>
          <t>Jenniffer Mireya Ayala Zepeda</t>
        </is>
      </c>
      <c r="B103" s="5" t="inlineStr">
        <is>
          <t>Agencia Merliot</t>
        </is>
      </c>
      <c r="C103" s="25" t="inlineStr">
        <is>
          <t>700</t>
        </is>
      </c>
      <c r="D103" s="9" t="n">
        <v>46302.55385416667</v>
      </c>
      <c r="E103" s="9" t="n">
        <v>46302.56188657408</v>
      </c>
      <c r="F103" s="7">
        <f>IF(OR(D103="",E103=""),"",(E103-D103)*1440)</f>
        <v>11.5666666666667</v>
      </c>
      <c r="G103" s="6" t="n">
        <v>100</v>
      </c>
      <c r="H103" s="6" t="inlineStr">
        <is>
          <t>anonymous</t>
        </is>
      </c>
      <c r="I103" t="str">
        <f>IF(C103="","",C103&amp;"|"&amp;G103)</f>
        <v>700|100</v>
      </c>
    </row>
    <row r="104">
      <c r="A104" s="5" t="inlineStr">
        <is>
          <t>Madeline Adriana Gomez Garcia</t>
        </is>
      </c>
      <c r="B104" s="5" t="inlineStr">
        <is>
          <t>Agencia Merliot</t>
        </is>
      </c>
      <c r="C104" s="25" t="inlineStr">
        <is>
          <t>922</t>
        </is>
      </c>
      <c r="D104" s="9" t="n">
        <v>46302.57461805556</v>
      </c>
      <c r="E104" s="9" t="n">
        <v>46302.57753472222</v>
      </c>
      <c r="F104" s="7">
        <f>IF(OR(D104="",E104=""),"",(E104-D104)*1440)</f>
        <v>4.2</v>
      </c>
      <c r="G104" s="6" t="n">
        <v>100</v>
      </c>
      <c r="H104" s="6" t="inlineStr">
        <is>
          <t>anonymous</t>
        </is>
      </c>
      <c r="I104" t="str">
        <f>IF(C104="","",C104&amp;"|"&amp;G104)</f>
        <v>922|100</v>
      </c>
    </row>
    <row r="105">
      <c r="A105" s="5" t="inlineStr">
        <is>
          <t>kelly idalia chavez abrego</t>
        </is>
      </c>
      <c r="B105" s="5" t="inlineStr">
        <is>
          <t>agencia merliot</t>
        </is>
      </c>
      <c r="C105" s="25" t="inlineStr">
        <is>
          <t>827</t>
        </is>
      </c>
      <c r="D105" s="9" t="n">
        <v>46302.5837962963</v>
      </c>
      <c r="E105" s="9" t="n">
        <v>46302.58609953704</v>
      </c>
      <c r="F105" s="7">
        <f>IF(OR(D105="",E105=""),"",(E105-D105)*1440)</f>
        <v>3.31666666666667</v>
      </c>
      <c r="G105" s="6" t="n">
        <v>100</v>
      </c>
      <c r="H105" s="6" t="inlineStr">
        <is>
          <t>anonymous</t>
        </is>
      </c>
      <c r="I105" t="str">
        <f>IF(C105="","",C105&amp;"|"&amp;G105)</f>
        <v>827|100</v>
      </c>
    </row>
    <row r="106">
      <c r="A106" s="5" t="inlineStr">
        <is>
          <t>MAVERICK JOSSIMAR GONZALEZ MUÑOZ</t>
        </is>
      </c>
      <c r="B106" s="5" t="inlineStr">
        <is>
          <t>AGENCIA MERLIOT</t>
        </is>
      </c>
      <c r="C106" s="25" t="inlineStr">
        <is>
          <t>967</t>
        </is>
      </c>
      <c r="D106" s="9" t="n">
        <v>46302.58623842592</v>
      </c>
      <c r="E106" s="9" t="n">
        <v>46302.58998842593</v>
      </c>
      <c r="F106" s="7">
        <f>IF(OR(D106="",E106=""),"",(E106-D106)*1440)</f>
        <v>5.4</v>
      </c>
      <c r="G106" s="6" t="n">
        <v>100</v>
      </c>
      <c r="H106" s="6" t="inlineStr">
        <is>
          <t>anonymous</t>
        </is>
      </c>
      <c r="I106" t="str">
        <f>IF(C106="","",C106&amp;"|"&amp;G106)</f>
        <v>967|100</v>
      </c>
    </row>
    <row r="107">
      <c r="A107" s="5" t="inlineStr">
        <is>
          <t>Kevin Arturo Andrade Palacios</t>
        </is>
      </c>
      <c r="B107" s="5" t="inlineStr">
        <is>
          <t>Agencia Central</t>
        </is>
      </c>
      <c r="C107" s="25" t="inlineStr">
        <is>
          <t>976</t>
        </is>
      </c>
      <c r="D107" s="9" t="n">
        <v>46302.59699074074</v>
      </c>
      <c r="E107" s="9" t="n">
        <v>46302.59866898148</v>
      </c>
      <c r="F107" s="7">
        <f>IF(OR(D107="",E107=""),"",(E107-D107)*1440)</f>
        <v>2.41666666666667</v>
      </c>
      <c r="G107" s="6" t="n">
        <v>100</v>
      </c>
      <c r="H107" s="6" t="inlineStr">
        <is>
          <t>anonymous</t>
        </is>
      </c>
      <c r="I107" t="str">
        <f>IF(C107="","",C107&amp;"|"&amp;G107)</f>
        <v>976|100</v>
      </c>
    </row>
    <row r="108">
      <c r="A108" s="5" t="inlineStr">
        <is>
          <t>JESÚS ADRIÁN MENA AVALOS</t>
        </is>
      </c>
      <c r="B108" s="5" t="inlineStr">
        <is>
          <t>AGENCIA CENTRAL</t>
        </is>
      </c>
      <c r="C108" s="25" t="inlineStr">
        <is>
          <t>953</t>
        </is>
      </c>
      <c r="D108" s="9" t="n">
        <v>46302.62548611111</v>
      </c>
      <c r="E108" s="9" t="n">
        <v>46302.62670138889</v>
      </c>
      <c r="F108" s="7">
        <f>IF(OR(D108="",E108=""),"",(E108-D108)*1440)</f>
        <v>1.75</v>
      </c>
      <c r="G108" s="6" t="n">
        <v>100</v>
      </c>
      <c r="H108" s="6" t="inlineStr">
        <is>
          <t>anonymous</t>
        </is>
      </c>
      <c r="I108" t="str">
        <f>IF(C108="","",C108&amp;"|"&amp;G108)</f>
        <v>953|100</v>
      </c>
    </row>
    <row r="109">
      <c r="A109" s="5" t="inlineStr">
        <is>
          <t>CARMEN DE JESUS BLANCO GONZALEZ</t>
        </is>
      </c>
      <c r="B109" s="5" t="inlineStr">
        <is>
          <t>AGENCIA COLONIA MEDICA</t>
        </is>
      </c>
      <c r="C109" s="25" t="inlineStr">
        <is>
          <t>412</t>
        </is>
      </c>
      <c r="D109" s="9" t="n">
        <v>46302.48877314815</v>
      </c>
      <c r="E109" s="9" t="n">
        <v>46302.63581018519</v>
      </c>
      <c r="F109" s="7">
        <f>IF(OR(D109="",E109=""),"",(E109-D109)*1440)</f>
        <v>211.733333333333</v>
      </c>
      <c r="G109" s="6" t="n">
        <v>100</v>
      </c>
      <c r="H109" s="6" t="inlineStr">
        <is>
          <t>anonymous</t>
        </is>
      </c>
      <c r="I109" t="str">
        <f>IF(C109="","",C109&amp;"|"&amp;G109)</f>
        <v>412|100</v>
      </c>
    </row>
    <row r="110">
      <c r="A110" s="5" t="inlineStr">
        <is>
          <t>MARISELA GUADALUPE MEJIA CRUZ</t>
        </is>
      </c>
      <c r="B110" s="5" t="inlineStr">
        <is>
          <t>AGENCIA MERLIOT</t>
        </is>
      </c>
      <c r="C110" s="25" t="inlineStr">
        <is>
          <t>936</t>
        </is>
      </c>
      <c r="D110" s="9" t="n">
        <v>46302.63322916667</v>
      </c>
      <c r="E110" s="9" t="n">
        <v>46302.63703703704</v>
      </c>
      <c r="F110" s="7">
        <f>IF(OR(D110="",E110=""),"",(E110-D110)*1440)</f>
        <v>5.48333333333333</v>
      </c>
      <c r="G110" s="6" t="n">
        <v>100</v>
      </c>
      <c r="H110" s="6" t="inlineStr">
        <is>
          <t>anonymous</t>
        </is>
      </c>
      <c r="I110" t="str">
        <f>IF(C110="","",C110&amp;"|"&amp;G110)</f>
        <v>936|100</v>
      </c>
    </row>
    <row r="111">
      <c r="A111" s="5" t="inlineStr">
        <is>
          <t>PATRICIA JEANNETTE FLORES MARTINEZ</t>
        </is>
      </c>
      <c r="B111" s="5" t="inlineStr">
        <is>
          <t>COLONIA MEDICA</t>
        </is>
      </c>
      <c r="C111" s="25" t="inlineStr">
        <is>
          <t>89</t>
        </is>
      </c>
      <c r="D111" s="9" t="n">
        <v>46302.64388888889</v>
      </c>
      <c r="E111" s="9" t="n">
        <v>46302.64712962963</v>
      </c>
      <c r="F111" s="7">
        <f>IF(OR(D111="",E111=""),"",(E111-D111)*1440)</f>
        <v>4.66666666666667</v>
      </c>
      <c r="G111" s="6" t="n">
        <v>100</v>
      </c>
      <c r="H111" s="6" t="inlineStr">
        <is>
          <t>anonymous</t>
        </is>
      </c>
      <c r="I111" t="str">
        <f>IF(C111="","",C111&amp;"|"&amp;G111)</f>
        <v>89|100</v>
      </c>
    </row>
    <row r="112">
      <c r="A112" s="5" t="inlineStr">
        <is>
          <t>ANA SILVIA ROQUE SANCHEZ</t>
        </is>
      </c>
      <c r="B112" s="5" t="inlineStr">
        <is>
          <t>AGENCIA CENTRAL</t>
        </is>
      </c>
      <c r="C112" s="25" t="inlineStr">
        <is>
          <t>542</t>
        </is>
      </c>
      <c r="D112" s="9" t="n">
        <v>46302.63820601852</v>
      </c>
      <c r="E112" s="9" t="n">
        <v>46302.67400462963</v>
      </c>
      <c r="F112" s="7">
        <f>IF(OR(D112="",E112=""),"",(E112-D112)*1440)</f>
        <v>51.55</v>
      </c>
      <c r="G112" s="6" t="n">
        <v>95</v>
      </c>
      <c r="H112" s="6" t="inlineStr">
        <is>
          <t>anonymous</t>
        </is>
      </c>
      <c r="I112" t="str">
        <f>IF(C112="","",C112&amp;"|"&amp;G112)</f>
        <v>542|95</v>
      </c>
    </row>
    <row r="113">
      <c r="A113" s="5" t="inlineStr">
        <is>
          <t>FATIMA BERENICE MEDINA DE ESCALANTE</t>
        </is>
      </c>
      <c r="B113" s="5" t="inlineStr">
        <is>
          <t>AGENCIA PLAZA MERLIOT</t>
        </is>
      </c>
      <c r="C113" s="25" t="inlineStr">
        <is>
          <t>343</t>
        </is>
      </c>
      <c r="D113" s="9" t="n">
        <v>46302.70020833334</v>
      </c>
      <c r="E113" s="9" t="n">
        <v>46302.70259259259</v>
      </c>
      <c r="F113" s="7">
        <f>IF(OR(D113="",E113=""),"",(E113-D113)*1440)</f>
        <v>3.43333333333333</v>
      </c>
      <c r="G113" s="6" t="n">
        <v>100</v>
      </c>
      <c r="H113" s="6" t="inlineStr">
        <is>
          <t>anonymous</t>
        </is>
      </c>
      <c r="I113" t="str">
        <f>IF(C113="","",C113&amp;"|"&amp;G113)</f>
        <v>343|100</v>
      </c>
    </row>
    <row r="114">
      <c r="A114" s="5" t="inlineStr">
        <is>
          <t>GLADYS LISETH HERNANDEZ CRUZ</t>
        </is>
      </c>
      <c r="B114" s="5" t="inlineStr">
        <is>
          <t>AGENCIA MERLIOT</t>
        </is>
      </c>
      <c r="C114" s="25" t="inlineStr">
        <is>
          <t>909</t>
        </is>
      </c>
      <c r="D114" s="9" t="n">
        <v>46302.70101851852</v>
      </c>
      <c r="E114" s="9" t="n">
        <v>46302.70457175926</v>
      </c>
      <c r="F114" s="7">
        <f>IF(OR(D114="",E114=""),"",(E114-D114)*1440)</f>
        <v>5.11666666666667</v>
      </c>
      <c r="G114" s="6" t="n">
        <v>100</v>
      </c>
      <c r="H114" s="6" t="inlineStr">
        <is>
          <t>anonymous</t>
        </is>
      </c>
      <c r="I114" t="str">
        <f>IF(C114="","",C114&amp;"|"&amp;G114)</f>
        <v>909|100</v>
      </c>
    </row>
    <row r="115">
      <c r="A115" s="5" t="inlineStr">
        <is>
          <t>DIANA VANESSA RODRIGUEZ SORIANO</t>
        </is>
      </c>
      <c r="B115" s="5" t="inlineStr">
        <is>
          <t>AGENCIA PLAZA MERLIOT</t>
        </is>
      </c>
      <c r="C115" s="25" t="inlineStr">
        <is>
          <t>892</t>
        </is>
      </c>
      <c r="D115" s="9" t="n">
        <v>46303.38890046296</v>
      </c>
      <c r="E115" s="9" t="n">
        <v>46303.39013888889</v>
      </c>
      <c r="F115" s="7">
        <f>IF(OR(D115="",E115=""),"",(E115-D115)*1440)</f>
        <v>1.78333333333333</v>
      </c>
      <c r="G115" s="6" t="n">
        <v>100</v>
      </c>
      <c r="H115" s="6" t="inlineStr">
        <is>
          <t>anonymous</t>
        </is>
      </c>
      <c r="I115" t="str">
        <f>IF(C115="","",C115&amp;"|"&amp;G115)</f>
        <v>892|100</v>
      </c>
    </row>
    <row r="116">
      <c r="A116" s="5" t="inlineStr">
        <is>
          <t>PATRICIA GUADALUPE GUARDADO OSEGUEDA</t>
        </is>
      </c>
      <c r="B116" s="5" t="inlineStr">
        <is>
          <t>AGENCIA PLAZA MERLIOT</t>
        </is>
      </c>
      <c r="C116" s="25" t="inlineStr">
        <is>
          <t>159</t>
        </is>
      </c>
      <c r="D116" s="9" t="n">
        <v>46303.39310185185</v>
      </c>
      <c r="E116" s="9" t="n">
        <v>46303.39640046296</v>
      </c>
      <c r="F116" s="7">
        <f>IF(OR(D116="",E116=""),"",(E116-D116)*1440)</f>
        <v>4.75</v>
      </c>
      <c r="G116" s="6" t="n">
        <v>100</v>
      </c>
      <c r="H116" s="6" t="inlineStr">
        <is>
          <t>anonymous</t>
        </is>
      </c>
      <c r="I116" t="str">
        <f>IF(C116="","",C116&amp;"|"&amp;G116)</f>
        <v>159|100</v>
      </c>
    </row>
    <row r="117">
      <c r="A117" s="5" t="inlineStr">
        <is>
          <t>Maria de los Angeles Osorio Gil</t>
        </is>
      </c>
      <c r="B117" s="5" t="inlineStr">
        <is>
          <t>Cajera, agencia central</t>
        </is>
      </c>
      <c r="C117" s="25" t="inlineStr">
        <is>
          <t>757</t>
        </is>
      </c>
      <c r="D117" s="9" t="n">
        <v>46303.44171296297</v>
      </c>
      <c r="E117" s="9" t="n">
        <v>46303.44346064814</v>
      </c>
      <c r="F117" s="7">
        <f>IF(OR(D117="",E117=""),"",(E117-D117)*1440)</f>
        <v>2.5166666368</v>
      </c>
      <c r="G117" s="6" t="n">
        <v>100</v>
      </c>
      <c r="H117" s="6" t="inlineStr">
        <is>
          <t>anonymous</t>
        </is>
      </c>
      <c r="I117" t="str">
        <f>IF(C117="","",C117&amp;"|"&amp;G117)</f>
        <v>757|100</v>
      </c>
    </row>
    <row r="118">
      <c r="A118" s="5" t="inlineStr">
        <is>
          <t>HECTOR MAURICIO GONZALEZ VASQUEZ</t>
        </is>
      </c>
      <c r="B118" s="5" t="inlineStr">
        <is>
          <t>AGENCIA USULUTAN</t>
        </is>
      </c>
      <c r="C118" s="25" t="inlineStr">
        <is>
          <t>912</t>
        </is>
      </c>
      <c r="D118" s="9" t="n">
        <v>46303.45423611111</v>
      </c>
      <c r="E118" s="9" t="n">
        <v>46303.45730324074</v>
      </c>
      <c r="F118" s="7">
        <f>IF(OR(D118="",E118=""),"",(E118-D118)*1440)</f>
        <v>4.41666666666667</v>
      </c>
      <c r="G118" s="6" t="n">
        <v>100</v>
      </c>
      <c r="H118" s="6" t="inlineStr">
        <is>
          <t>anonymous</t>
        </is>
      </c>
      <c r="I118" t="str">
        <f>IF(C118="","",C118&amp;"|"&amp;G118)</f>
        <v>912|100</v>
      </c>
    </row>
    <row r="119">
      <c r="A119" s="5" t="inlineStr">
        <is>
          <t>NURIA LISSETH AGUILAR AGUILAR</t>
        </is>
      </c>
      <c r="B119" s="5" t="inlineStr">
        <is>
          <t>AGENCIA MERLIOT</t>
        </is>
      </c>
      <c r="C119" s="25" t="inlineStr">
        <is>
          <t>251</t>
        </is>
      </c>
      <c r="D119" s="9" t="n">
        <v>46303.45815972222</v>
      </c>
      <c r="E119" s="9" t="n">
        <v>46303.46199074074</v>
      </c>
      <c r="F119" s="7">
        <f>IF(OR(D119="",E119=""),"",(E119-D119)*1440)</f>
        <v>5.51666666666667</v>
      </c>
      <c r="G119" s="6" t="n">
        <v>100</v>
      </c>
      <c r="H119" s="6" t="inlineStr">
        <is>
          <t>anonymous</t>
        </is>
      </c>
      <c r="I119" t="str">
        <f>IF(C119="","",C119&amp;"|"&amp;G119)</f>
        <v>251|100</v>
      </c>
    </row>
    <row r="120">
      <c r="A120" s="5" t="inlineStr">
        <is>
          <t>Fátima Lissette Hernández de Mejía</t>
        </is>
      </c>
      <c r="B120" s="5" t="inlineStr">
        <is>
          <t>Agencia Usulutan</t>
        </is>
      </c>
      <c r="C120" s="25" t="inlineStr">
        <is>
          <t>961</t>
        </is>
      </c>
      <c r="D120" s="9" t="n">
        <v>46303.53456018519</v>
      </c>
      <c r="E120" s="9" t="n">
        <v>46303.54432870371</v>
      </c>
      <c r="F120" s="7">
        <f>IF(OR(D120="",E120=""),"",(E120-D120)*1440)</f>
        <v>14.0666666666667</v>
      </c>
      <c r="G120" s="6" t="n">
        <v>100</v>
      </c>
      <c r="H120" s="6" t="inlineStr">
        <is>
          <t>anonymous</t>
        </is>
      </c>
      <c r="I120" t="str">
        <f>IF(C120="","",C120&amp;"|"&amp;G120)</f>
        <v>961|100</v>
      </c>
    </row>
    <row r="121">
      <c r="A121" s="5" t="inlineStr">
        <is>
          <t>ERICK RODRIGO ORTIZ TURCIOS</t>
        </is>
      </c>
      <c r="B121" s="5" t="inlineStr">
        <is>
          <t>Contabilidad</t>
        </is>
      </c>
      <c r="C121" s="25" t="inlineStr">
        <is>
          <t>778</t>
        </is>
      </c>
      <c r="D121" s="9" t="n">
        <v>46304.33164351852</v>
      </c>
      <c r="E121" s="9" t="n">
        <v>46304.33385416667</v>
      </c>
      <c r="F121" s="7">
        <f>IF(OR(D121="",E121=""),"",(E121-D121)*1440)</f>
        <v>3.18333333333333</v>
      </c>
      <c r="G121" s="6" t="n">
        <v>100</v>
      </c>
      <c r="H121" s="6" t="inlineStr">
        <is>
          <t>anonymous</t>
        </is>
      </c>
      <c r="I121" t="str">
        <f>IF(C121="","",C121&amp;"|"&amp;G121)</f>
        <v>778|100</v>
      </c>
    </row>
    <row r="122">
      <c r="A122" s="5" t="inlineStr">
        <is>
          <t>DANIEL ENRIQUE FLORES RAMIREZ</t>
        </is>
      </c>
      <c r="B122" s="5" t="inlineStr">
        <is>
          <t>Departamento de contabilidad.</t>
        </is>
      </c>
      <c r="C122" s="25" t="inlineStr">
        <is>
          <t>676</t>
        </is>
      </c>
      <c r="D122" s="9" t="n">
        <v>46304.35847222222</v>
      </c>
      <c r="E122" s="9" t="n">
        <v>46304.36083333333</v>
      </c>
      <c r="F122" s="7">
        <f>IF(OR(D122="",E122=""),"",(E122-D122)*1440)</f>
        <v>3.4</v>
      </c>
      <c r="G122" s="6" t="n">
        <v>100</v>
      </c>
      <c r="H122" s="6" t="inlineStr">
        <is>
          <t>anonymous</t>
        </is>
      </c>
      <c r="I122" t="str">
        <f>IF(C122="","",C122&amp;"|"&amp;G122)</f>
        <v>676|100</v>
      </c>
    </row>
    <row r="123">
      <c r="A123" s="5" t="inlineStr">
        <is>
          <t>Carlos Roberto Aguilar Santos</t>
        </is>
      </c>
      <c r="B123" s="5" t="inlineStr">
        <is>
          <t>Soluciones Financieras</t>
        </is>
      </c>
      <c r="C123" s="25" t="inlineStr">
        <is>
          <t>472</t>
        </is>
      </c>
      <c r="D123" s="9" t="n">
        <v>46304.37324074074</v>
      </c>
      <c r="E123" s="9" t="n">
        <v>46304.37534722222</v>
      </c>
      <c r="F123" s="7">
        <f>IF(OR(D123="",E123=""),"",(E123-D123)*1440)</f>
        <v>3.03333333333333</v>
      </c>
      <c r="G123" s="6" t="n">
        <v>100</v>
      </c>
      <c r="H123" s="6" t="inlineStr">
        <is>
          <t>anonymous</t>
        </is>
      </c>
      <c r="I123" t="str">
        <f>IF(C123="","",C123&amp;"|"&amp;G123)</f>
        <v>472|100</v>
      </c>
    </row>
    <row r="124">
      <c r="A124" s="5" t="inlineStr">
        <is>
          <t>EDGARDO ISAIAS PEÑATE RIVAS</t>
        </is>
      </c>
      <c r="B124" s="5" t="inlineStr">
        <is>
          <t>GERENCIA DE NEGOCIOS</t>
        </is>
      </c>
      <c r="C124" s="25" t="inlineStr">
        <is>
          <t>712</t>
        </is>
      </c>
      <c r="D124" s="9" t="n">
        <v>46304.37309027778</v>
      </c>
      <c r="E124" s="9" t="n">
        <v>46304.37650462963</v>
      </c>
      <c r="F124" s="7">
        <f>IF(OR(D124="",E124=""),"",(E124-D124)*1440)</f>
        <v>4.91666666666667</v>
      </c>
      <c r="G124" s="6" t="n">
        <v>100</v>
      </c>
      <c r="H124" s="6" t="inlineStr">
        <is>
          <t>anonymous</t>
        </is>
      </c>
      <c r="I124" t="str">
        <f>IF(C124="","",C124&amp;"|"&amp;G124)</f>
        <v>712|100</v>
      </c>
    </row>
    <row r="125">
      <c r="A125" s="5" t="inlineStr">
        <is>
          <t>Victor Adonay Pérez Castillo</t>
        </is>
      </c>
      <c r="B125" s="5" t="inlineStr">
        <is>
          <t>GERENCIA DE NEGOCIOS</t>
        </is>
      </c>
      <c r="C125" s="25" t="inlineStr">
        <is>
          <t>633</t>
        </is>
      </c>
      <c r="D125" s="9" t="n">
        <v>46304.37530092592</v>
      </c>
      <c r="E125" s="9" t="n">
        <v>46304.37832175926</v>
      </c>
      <c r="F125" s="7">
        <f>IF(OR(D125="",E125=""),"",(E125-D125)*1440)</f>
        <v>4.35</v>
      </c>
      <c r="G125" s="6" t="n">
        <v>100</v>
      </c>
      <c r="H125" s="6" t="inlineStr">
        <is>
          <t>anonymous</t>
        </is>
      </c>
      <c r="I125" t="str">
        <f>IF(C125="","",C125&amp;"|"&amp;G125)</f>
        <v>633|100</v>
      </c>
    </row>
    <row r="126">
      <c r="A126" s="5" t="inlineStr">
        <is>
          <t>Byron Wilfredo Menjívar Melendez</t>
        </is>
      </c>
      <c r="B126" s="5" t="inlineStr">
        <is>
          <t>Análisis y programación</t>
        </is>
      </c>
      <c r="C126" s="25" t="inlineStr">
        <is>
          <t>806</t>
        </is>
      </c>
      <c r="D126" s="9" t="n">
        <v>46304.36936342593</v>
      </c>
      <c r="E126" s="9" t="n">
        <v>46304.38461805556</v>
      </c>
      <c r="F126" s="7">
        <f>IF(OR(D126="",E126=""),"",(E126-D126)*1440)</f>
        <v>21.9666666666667</v>
      </c>
      <c r="G126" s="6" t="n">
        <v>100</v>
      </c>
      <c r="H126" s="6" t="inlineStr">
        <is>
          <t>anonymous</t>
        </is>
      </c>
      <c r="I126" t="str">
        <f>IF(C126="","",C126&amp;"|"&amp;G126)</f>
        <v>806|100</v>
      </c>
    </row>
    <row r="127">
      <c r="A127" s="5" t="inlineStr">
        <is>
          <t>ILIANA DESIREE ALFARO</t>
        </is>
      </c>
      <c r="B127" s="5" t="inlineStr">
        <is>
          <t>DPTO SOLUCIONES</t>
        </is>
      </c>
      <c r="C127" s="25" t="inlineStr">
        <is>
          <t>439</t>
        </is>
      </c>
      <c r="D127" s="9" t="n">
        <v>46304.3803587963</v>
      </c>
      <c r="E127" s="9" t="n">
        <v>46304.38547453703</v>
      </c>
      <c r="F127" s="7">
        <f>IF(OR(D127="",E127=""),"",(E127-D127)*1440)</f>
        <v>7.36666666666667</v>
      </c>
      <c r="G127" s="6" t="n">
        <v>80</v>
      </c>
      <c r="H127" s="6" t="inlineStr">
        <is>
          <t>anonymous</t>
        </is>
      </c>
      <c r="I127" t="str">
        <f>IF(C127="","",C127&amp;"|"&amp;G127)</f>
        <v>439|80</v>
      </c>
    </row>
    <row r="128">
      <c r="A128" s="5" t="inlineStr">
        <is>
          <t>Rodrigo Fernando Figueroa Rivas</t>
        </is>
      </c>
      <c r="B128" s="5" t="inlineStr">
        <is>
          <t>Analisis y programacion</t>
        </is>
      </c>
      <c r="C128" s="25" t="inlineStr">
        <is>
          <t>824</t>
        </is>
      </c>
      <c r="D128" s="9" t="n">
        <v>46304.37327546296</v>
      </c>
      <c r="E128" s="9" t="n">
        <v>46304.38784722222</v>
      </c>
      <c r="F128" s="7">
        <f>IF(OR(D128="",E128=""),"",(E128-D128)*1440)</f>
        <v>20.9833333333333</v>
      </c>
      <c r="G128" s="6" t="n">
        <v>100</v>
      </c>
      <c r="H128" s="6" t="inlineStr">
        <is>
          <t>anonymous</t>
        </is>
      </c>
      <c r="I128" t="str">
        <f>IF(C128="","",C128&amp;"|"&amp;G128)</f>
        <v>824|100</v>
      </c>
    </row>
    <row r="129">
      <c r="A129" s="5" t="inlineStr">
        <is>
          <t>Milagro Natividad Escobar Melendez</t>
        </is>
      </c>
      <c r="B129" s="5" t="inlineStr">
        <is>
          <t>Análisis y Programación</t>
        </is>
      </c>
      <c r="C129" s="25" t="inlineStr">
        <is>
          <t>879</t>
        </is>
      </c>
      <c r="D129" s="9" t="n">
        <v>46304.39172453704</v>
      </c>
      <c r="E129" s="9" t="n">
        <v>46304.39483796297</v>
      </c>
      <c r="F129" s="7">
        <f>IF(OR(D129="",E129=""),"",(E129-D129)*1440)</f>
        <v>4.48333333333333</v>
      </c>
      <c r="G129" s="6" t="n">
        <v>100</v>
      </c>
      <c r="H129" s="6" t="inlineStr">
        <is>
          <t>anonymous</t>
        </is>
      </c>
      <c r="I129" t="str">
        <f>IF(C129="","",C129&amp;"|"&amp;G129)</f>
        <v>879|100</v>
      </c>
    </row>
    <row r="130">
      <c r="A130" s="5" t="inlineStr">
        <is>
          <t>ALMA BEATRIZ RAMIREZ SANDOVAL</t>
        </is>
      </c>
      <c r="B130" s="5" t="inlineStr">
        <is>
          <t>CONTABILIDAD</t>
        </is>
      </c>
      <c r="C130" s="25" t="inlineStr">
        <is>
          <t>850</t>
        </is>
      </c>
      <c r="D130" s="9" t="n">
        <v>46304.38685185185</v>
      </c>
      <c r="E130" s="9" t="n">
        <v>46304.4002662037</v>
      </c>
      <c r="F130" s="7">
        <f>IF(OR(D130="",E130=""),"",(E130-D130)*1440)</f>
        <v>19.3166666666667</v>
      </c>
      <c r="G130" s="6" t="n">
        <v>90</v>
      </c>
      <c r="H130" s="6" t="inlineStr">
        <is>
          <t>anonymous</t>
        </is>
      </c>
      <c r="I130" t="str">
        <f>IF(C130="","",C130&amp;"|"&amp;G130)</f>
        <v>850|90</v>
      </c>
    </row>
    <row r="131">
      <c r="A131" s="5" t="inlineStr">
        <is>
          <t>Jonathan Alexis Berrios Menjivar</t>
        </is>
      </c>
      <c r="B131" s="5" t="inlineStr">
        <is>
          <t>Analisis y Programacion</t>
        </is>
      </c>
      <c r="C131" s="25" t="inlineStr">
        <is>
          <t>783</t>
        </is>
      </c>
      <c r="D131" s="9" t="n">
        <v>46304.39583333334</v>
      </c>
      <c r="E131" s="9" t="n">
        <v>46304.40027777778</v>
      </c>
      <c r="F131" s="7">
        <f>IF(OR(D131="",E131=""),"",(E131-D131)*1440)</f>
        <v>6.4</v>
      </c>
      <c r="G131" s="6" t="n">
        <v>100</v>
      </c>
      <c r="H131" s="6" t="inlineStr">
        <is>
          <t>anonymous</t>
        </is>
      </c>
      <c r="I131" t="str">
        <f>IF(C131="","",C131&amp;"|"&amp;G131)</f>
        <v>783|100</v>
      </c>
    </row>
    <row r="132">
      <c r="A132" s="5" t="inlineStr">
        <is>
          <t>Patricia Guadalupe Segovia Ramirez</t>
        </is>
      </c>
      <c r="B132" s="5" t="inlineStr">
        <is>
          <t>Auditoria Interna</t>
        </is>
      </c>
      <c r="C132" s="25" t="inlineStr">
        <is>
          <t>742</t>
        </is>
      </c>
      <c r="D132" s="9" t="n">
        <v>46304.39957175926</v>
      </c>
      <c r="E132" s="9" t="n">
        <v>46304.40319444444</v>
      </c>
      <c r="F132" s="7">
        <f>IF(OR(D132="",E132=""),"",(E132-D132)*1440)</f>
        <v>5.21666666666667</v>
      </c>
      <c r="G132" s="6" t="n">
        <v>90</v>
      </c>
      <c r="H132" s="6" t="inlineStr">
        <is>
          <t>anonymous</t>
        </is>
      </c>
      <c r="I132" t="str">
        <f>IF(C132="","",C132&amp;"|"&amp;G132)</f>
        <v>742|90</v>
      </c>
    </row>
    <row r="133">
      <c r="A133" s="5" t="inlineStr">
        <is>
          <t>Mayra Lissette López de Sánchez</t>
        </is>
      </c>
      <c r="B133" s="5" t="inlineStr">
        <is>
          <t>Auditoría interna</t>
        </is>
      </c>
      <c r="C133" s="25" t="inlineStr">
        <is>
          <t>424</t>
        </is>
      </c>
      <c r="D133" s="9" t="n">
        <v>46304.40168981482</v>
      </c>
      <c r="E133" s="9" t="n">
        <v>46304.40432870371</v>
      </c>
      <c r="F133" s="7">
        <f>IF(OR(D133="",E133=""),"",(E133-D133)*1440)</f>
        <v>3.8</v>
      </c>
      <c r="G133" s="6" t="n">
        <v>90</v>
      </c>
      <c r="H133" s="6" t="inlineStr">
        <is>
          <t>anonymous</t>
        </is>
      </c>
      <c r="I133" t="str">
        <f>IF(C133="","",C133&amp;"|"&amp;G133)</f>
        <v>424|90</v>
      </c>
    </row>
    <row r="134">
      <c r="A134" s="5" t="inlineStr">
        <is>
          <t>Nelson Kilder Quijada Echeverria</t>
        </is>
      </c>
      <c r="B134" s="5" t="inlineStr">
        <is>
          <t>Talento Humano</t>
        </is>
      </c>
      <c r="C134" s="25" t="inlineStr">
        <is>
          <t>948</t>
        </is>
      </c>
      <c r="D134" s="9" t="n">
        <v>46304.40207175926</v>
      </c>
      <c r="E134" s="9" t="n">
        <v>46304.40600694445</v>
      </c>
      <c r="F134" s="7">
        <f>IF(OR(D134="",E134=""),"",(E134-D134)*1440)</f>
        <v>5.66666666666667</v>
      </c>
      <c r="G134" s="6" t="n">
        <v>100</v>
      </c>
      <c r="H134" s="6" t="inlineStr">
        <is>
          <t>anonymous</t>
        </is>
      </c>
      <c r="I134" t="str">
        <f>IF(C134="","",C134&amp;"|"&amp;G134)</f>
        <v>948|100</v>
      </c>
    </row>
    <row r="135">
      <c r="A135" s="5" t="inlineStr">
        <is>
          <t>Fermin Abiel Viera Linares</t>
        </is>
      </c>
      <c r="B135" s="5" t="inlineStr">
        <is>
          <t>Sistemas</t>
        </is>
      </c>
      <c r="C135" s="25" t="inlineStr">
        <is>
          <t>804</t>
        </is>
      </c>
      <c r="D135" s="9" t="n">
        <v>46304.4034837963</v>
      </c>
      <c r="E135" s="9" t="n">
        <v>46304.40790509259</v>
      </c>
      <c r="F135" s="7">
        <f>IF(OR(D135="",E135=""),"",(E135-D135)*1440)</f>
        <v>6.36666666666667</v>
      </c>
      <c r="G135" s="6" t="n">
        <v>100</v>
      </c>
      <c r="H135" s="6" t="inlineStr">
        <is>
          <t>anonymous</t>
        </is>
      </c>
      <c r="I135" t="str">
        <f>IF(C135="","",C135&amp;"|"&amp;G135)</f>
        <v>804|100</v>
      </c>
    </row>
    <row r="136">
      <c r="A136" s="5" t="inlineStr">
        <is>
          <t>Rosalba Rodríguez Jiménez</t>
        </is>
      </c>
      <c r="B136" s="5" t="inlineStr">
        <is>
          <t>Creditos</t>
        </is>
      </c>
      <c r="C136" s="25" t="inlineStr">
        <is>
          <t>470</t>
        </is>
      </c>
      <c r="D136" s="9" t="n">
        <v>46304.40576388889</v>
      </c>
      <c r="E136" s="9" t="n">
        <v>46304.40931712963</v>
      </c>
      <c r="F136" s="7">
        <f>IF(OR(D136="",E136=""),"",(E136-D136)*1440)</f>
        <v>5.11666666666667</v>
      </c>
      <c r="G136" s="6" t="n">
        <v>100</v>
      </c>
      <c r="H136" s="6" t="inlineStr">
        <is>
          <t>anonymous</t>
        </is>
      </c>
      <c r="I136" t="str">
        <f>IF(C136="","",C136&amp;"|"&amp;G136)</f>
        <v>470|100</v>
      </c>
    </row>
    <row r="137">
      <c r="A137" s="5" t="inlineStr">
        <is>
          <t>Melvin Enrique Portillo Valle</t>
        </is>
      </c>
      <c r="B137" s="5" t="inlineStr">
        <is>
          <t>Administración de Riesgos</t>
        </is>
      </c>
      <c r="C137" s="25" t="inlineStr">
        <is>
          <t>290</t>
        </is>
      </c>
      <c r="D137" s="9" t="n">
        <v>46304.406875</v>
      </c>
      <c r="E137" s="9" t="n">
        <v>46304.40962962963</v>
      </c>
      <c r="F137" s="7">
        <f>IF(OR(D137="",E137=""),"",(E137-D137)*1440)</f>
        <v>3.96666666666667</v>
      </c>
      <c r="G137" s="6" t="n">
        <v>100</v>
      </c>
      <c r="H137" s="6" t="inlineStr">
        <is>
          <t>anonymous</t>
        </is>
      </c>
      <c r="I137" t="str">
        <f>IF(C137="","",C137&amp;"|"&amp;G137)</f>
        <v>290|100</v>
      </c>
    </row>
    <row r="138">
      <c r="A138" s="5" t="inlineStr">
        <is>
          <t>Claudia Verónica Lara de Rodas</t>
        </is>
      </c>
      <c r="B138" s="5" t="inlineStr">
        <is>
          <t>tarjeta comercial</t>
        </is>
      </c>
      <c r="C138" s="25" t="inlineStr">
        <is>
          <t>422</t>
        </is>
      </c>
      <c r="D138" s="9" t="n">
        <v>46304.40586805555</v>
      </c>
      <c r="E138" s="9" t="n">
        <v>46304.41396990741</v>
      </c>
      <c r="F138" s="7">
        <f>IF(OR(D138="",E138=""),"",(E138-D138)*1440)</f>
        <v>11.6666666666667</v>
      </c>
      <c r="G138" s="6" t="n">
        <v>100</v>
      </c>
      <c r="H138" s="6" t="inlineStr">
        <is>
          <t>anonymous</t>
        </is>
      </c>
      <c r="I138" t="str">
        <f>IF(C138="","",C138&amp;"|"&amp;G138)</f>
        <v>422|100</v>
      </c>
    </row>
    <row r="139">
      <c r="A139" s="5" t="inlineStr">
        <is>
          <t>Carlos Alberto Velásquez Alvarado</t>
        </is>
      </c>
      <c r="B139" s="5" t="inlineStr">
        <is>
          <t>Cutodia de Garantías y Valores</t>
        </is>
      </c>
      <c r="C139" s="25" t="inlineStr">
        <is>
          <t>678</t>
        </is>
      </c>
      <c r="D139" s="9" t="n">
        <v>46304.41604166666</v>
      </c>
      <c r="E139" s="9" t="n">
        <v>46304.42278935185</v>
      </c>
      <c r="F139" s="7">
        <f>IF(OR(D139="",E139=""),"",(E139-D139)*1440)</f>
        <v>9.71666666666667</v>
      </c>
      <c r="G139" s="6" t="n">
        <v>100</v>
      </c>
      <c r="H139" s="6" t="inlineStr">
        <is>
          <t>anonymous</t>
        </is>
      </c>
      <c r="I139" t="str">
        <f>IF(C139="","",C139&amp;"|"&amp;G139)</f>
        <v>678|100</v>
      </c>
    </row>
    <row r="140">
      <c r="A140" s="5" t="inlineStr">
        <is>
          <t>SOFIA SOLEDAD CASTRO VALLE</t>
        </is>
      </c>
      <c r="B140" s="5" t="inlineStr">
        <is>
          <t>CREDITOS AGENCIA CENTRAL</t>
        </is>
      </c>
      <c r="C140" s="25" t="inlineStr">
        <is>
          <t>781</t>
        </is>
      </c>
      <c r="D140" s="9" t="n">
        <v>46304.42932870371</v>
      </c>
      <c r="E140" s="9" t="n">
        <v>46304.44460648148</v>
      </c>
      <c r="F140" s="7">
        <f>IF(OR(D140="",E140=""),"",(E140-D140)*1440)</f>
        <v>22</v>
      </c>
      <c r="G140" s="6" t="n">
        <v>90</v>
      </c>
      <c r="H140" s="6" t="inlineStr">
        <is>
          <t>anonymous</t>
        </is>
      </c>
      <c r="I140" t="str">
        <f>IF(C140="","",C140&amp;"|"&amp;G140)</f>
        <v>781|90</v>
      </c>
    </row>
    <row r="141">
      <c r="A141" s="5" t="inlineStr">
        <is>
          <t>PAMELA GIOVANNA AGUILAR SERBELLON</t>
        </is>
      </c>
      <c r="B141" s="5" t="inlineStr">
        <is>
          <t>ADMINISTRACION DE CARTERAS</t>
        </is>
      </c>
      <c r="C141" s="25" t="inlineStr">
        <is>
          <t>572</t>
        </is>
      </c>
      <c r="D141" s="9" t="n">
        <v>46304.49410879629</v>
      </c>
      <c r="E141" s="9" t="n">
        <v>46304.51201388889</v>
      </c>
      <c r="F141" s="7">
        <f>IF(OR(D141="",E141=""),"",(E141-D141)*1440)</f>
        <v>25.7833333333333</v>
      </c>
      <c r="G141" s="6" t="n">
        <v>100</v>
      </c>
      <c r="H141" s="6" t="inlineStr">
        <is>
          <t>anonymous</t>
        </is>
      </c>
      <c r="I141" t="str">
        <f>IF(C141="","",C141&amp;"|"&amp;G141)</f>
        <v>572|100</v>
      </c>
    </row>
    <row r="142">
      <c r="A142" s="5" t="inlineStr">
        <is>
          <t>Geovanny Gabriel Rodriguez Solórzano</t>
        </is>
      </c>
      <c r="B142" s="5" t="inlineStr">
        <is>
          <t>Servicios generales</t>
        </is>
      </c>
      <c r="C142" s="25" t="inlineStr">
        <is>
          <t>972</t>
        </is>
      </c>
      <c r="D142" s="9" t="n">
        <v>46304.51767361111</v>
      </c>
      <c r="E142" s="9" t="n">
        <v>46304.52078703704</v>
      </c>
      <c r="F142" s="7">
        <f>IF(OR(D142="",E142=""),"",(E142-D142)*1440)</f>
        <v>4.48333333333333</v>
      </c>
      <c r="G142" s="6" t="n">
        <v>90</v>
      </c>
      <c r="H142" s="6" t="inlineStr">
        <is>
          <t>anonymous</t>
        </is>
      </c>
      <c r="I142" t="str">
        <f>IF(C142="","",C142&amp;"|"&amp;G142)</f>
        <v>972|90</v>
      </c>
    </row>
    <row r="143">
      <c r="A143" s="5" t="inlineStr">
        <is>
          <t>Helen Gloribel Platero Sánchez</t>
        </is>
      </c>
      <c r="B143" s="5" t="inlineStr">
        <is>
          <t>Talento Humano</t>
        </is>
      </c>
      <c r="C143" s="25" t="inlineStr">
        <is>
          <t>962</t>
        </is>
      </c>
      <c r="D143" s="9" t="n">
        <v>46304.51046296296</v>
      </c>
      <c r="E143" s="9" t="n">
        <v>46304.52142361111</v>
      </c>
      <c r="F143" s="7">
        <f>IF(OR(D143="",E143=""),"",(E143-D143)*1440)</f>
        <v>15.7833333333333</v>
      </c>
      <c r="G143" s="6" t="n">
        <v>90</v>
      </c>
      <c r="H143" s="6" t="inlineStr">
        <is>
          <t>anonymous</t>
        </is>
      </c>
      <c r="I143" t="str">
        <f>IF(C143="","",C143&amp;"|"&amp;G143)</f>
        <v>962|90</v>
      </c>
    </row>
    <row r="144">
      <c r="A144" s="5" t="inlineStr">
        <is>
          <t>Loyda Aracely Ramos Cañenguez</t>
        </is>
      </c>
      <c r="B144" s="5" t="inlineStr">
        <is>
          <t>Departamento de Administracion de carteras</t>
        </is>
      </c>
      <c r="C144" s="25" t="inlineStr">
        <is>
          <t>931</t>
        </is>
      </c>
      <c r="D144" s="9" t="n">
        <v>46304.56408564815</v>
      </c>
      <c r="E144" s="9" t="n">
        <v>46304.56716435185</v>
      </c>
      <c r="F144" s="7">
        <f>IF(OR(D144="",E144=""),"",(E144-D144)*1440)</f>
        <v>4.43333333333333</v>
      </c>
      <c r="G144" s="6" t="n">
        <v>100</v>
      </c>
      <c r="H144" s="6" t="inlineStr">
        <is>
          <t>anonymous</t>
        </is>
      </c>
      <c r="I144" t="str">
        <f>IF(C144="","",C144&amp;"|"&amp;G144)</f>
        <v>931|100</v>
      </c>
    </row>
    <row r="145">
      <c r="A145" s="5" t="inlineStr">
        <is>
          <t>Luis Alexander Ramirez Montalvo</t>
        </is>
      </c>
      <c r="B145" s="5" t="inlineStr">
        <is>
          <t>Departamento de operaciones de tarjeta de credito y debito</t>
        </is>
      </c>
      <c r="C145" s="25" t="inlineStr">
        <is>
          <t>459</t>
        </is>
      </c>
      <c r="D145" s="9" t="n">
        <v>46304.57431712963</v>
      </c>
      <c r="E145" s="9" t="n">
        <v>46304.57939814815</v>
      </c>
      <c r="F145" s="7">
        <f>IF(OR(D145="",E145=""),"",(E145-D145)*1440)</f>
        <v>7.31666666666667</v>
      </c>
      <c r="G145" s="6" t="n">
        <v>95</v>
      </c>
      <c r="H145" s="6" t="inlineStr">
        <is>
          <t>anonymous</t>
        </is>
      </c>
      <c r="I145" t="str">
        <f>IF(C145="","",C145&amp;"|"&amp;G145)</f>
        <v>459|95</v>
      </c>
    </row>
    <row r="146">
      <c r="A146" s="5" t="inlineStr">
        <is>
          <t>José Francisco Zeceña Muñoz</t>
        </is>
      </c>
      <c r="B146" s="5" t="inlineStr">
        <is>
          <t>Custodia de Garantías y Valores</t>
        </is>
      </c>
      <c r="C146" s="25" t="inlineStr">
        <is>
          <t>934</t>
        </is>
      </c>
      <c r="D146" s="9" t="n">
        <v>46304.66388888889</v>
      </c>
      <c r="E146" s="9" t="n">
        <v>46304.67644675926</v>
      </c>
      <c r="F146" s="7">
        <f>IF(OR(D146="",E146=""),"",(E146-D146)*1440)</f>
        <v>18.0833333333333</v>
      </c>
      <c r="G146" s="6" t="n">
        <v>100</v>
      </c>
      <c r="H146" s="6" t="inlineStr">
        <is>
          <t>anonymous</t>
        </is>
      </c>
      <c r="I146" t="str">
        <f>IF(C146="","",C146&amp;"|"&amp;G146)</f>
        <v>934|100</v>
      </c>
    </row>
    <row r="147">
      <c r="A147" s="5" t="inlineStr">
        <is>
          <t>Gabriela Alejandra Rodriguez Arias</t>
        </is>
      </c>
      <c r="B147" s="5" t="inlineStr">
        <is>
          <t>depto tarjeta comercial</t>
        </is>
      </c>
      <c r="C147" s="25" t="inlineStr">
        <is>
          <t>654</t>
        </is>
      </c>
      <c r="D147" s="9" t="n">
        <v>46304.67545138889</v>
      </c>
      <c r="E147" s="9" t="n">
        <v>46304.67850694444</v>
      </c>
      <c r="F147" s="7">
        <f>IF(OR(D147="",E147=""),"",(E147-D147)*1440)</f>
        <v>4.4</v>
      </c>
      <c r="G147" s="6" t="n">
        <v>80</v>
      </c>
      <c r="H147" s="6" t="inlineStr">
        <is>
          <t>anonymous</t>
        </is>
      </c>
      <c r="I147" t="str">
        <f>IF(C147="","",C147&amp;"|"&amp;G147)</f>
        <v>654|80</v>
      </c>
    </row>
    <row r="148">
      <c r="A148" s="5" t="inlineStr">
        <is>
          <t>Alejandro José Argueta Cortez</t>
        </is>
      </c>
      <c r="B148" s="5" t="inlineStr">
        <is>
          <t>Custodia de valores</t>
        </is>
      </c>
      <c r="C148" s="25" t="inlineStr">
        <is>
          <t>949</t>
        </is>
      </c>
      <c r="D148" s="9" t="n">
        <v>46304.68123842592</v>
      </c>
      <c r="E148" s="9" t="n">
        <v>46304.68270833333</v>
      </c>
      <c r="F148" s="7">
        <f>IF(OR(D148="",E148=""),"",(E148-D148)*1440)</f>
        <v>2.11666666666667</v>
      </c>
      <c r="G148" s="6" t="n">
        <v>100</v>
      </c>
      <c r="H148" s="6" t="inlineStr">
        <is>
          <t>anonymous</t>
        </is>
      </c>
      <c r="I148" t="str">
        <f>IF(C148="","",C148&amp;"|"&amp;G148)</f>
        <v>949|100</v>
      </c>
    </row>
    <row r="149">
      <c r="A149" s="5" t="inlineStr">
        <is>
          <t>Rafael Ernesto Lopez Martinez</t>
        </is>
      </c>
      <c r="B149" s="5" t="inlineStr">
        <is>
          <t>Custodia de valores</t>
        </is>
      </c>
      <c r="C149" s="25" t="inlineStr">
        <is>
          <t>740</t>
        </is>
      </c>
      <c r="D149" s="9" t="n">
        <v>46304.68376157407</v>
      </c>
      <c r="E149" s="9" t="n">
        <v>46304.68594907408</v>
      </c>
      <c r="F149" s="7">
        <f>IF(OR(D149="",E149=""),"",(E149-D149)*1440)</f>
        <v>3.15</v>
      </c>
      <c r="G149" s="6" t="n">
        <v>100</v>
      </c>
      <c r="H149" s="6" t="inlineStr">
        <is>
          <t>anonymous</t>
        </is>
      </c>
      <c r="I149" t="str">
        <f>IF(C149="","",C149&amp;"|"&amp;G149)</f>
        <v>740|100</v>
      </c>
    </row>
    <row r="150">
      <c r="A150" s="5" t="inlineStr">
        <is>
          <t>Walter Oswaldo Sánchez Rivas</t>
        </is>
      </c>
      <c r="B150" s="5" t="inlineStr">
        <is>
          <t>Depósitos</t>
        </is>
      </c>
      <c r="C150" s="25" t="inlineStr">
        <is>
          <t>787</t>
        </is>
      </c>
      <c r="D150" s="9" t="n">
        <v>46304.69060185185</v>
      </c>
      <c r="E150" s="9" t="n">
        <v>46304.69292824074</v>
      </c>
      <c r="F150" s="7">
        <f>IF(OR(D150="",E150=""),"",(E150-D150)*1440)</f>
        <v>3.35</v>
      </c>
      <c r="G150" s="6" t="n">
        <v>100</v>
      </c>
      <c r="H150" s="6" t="inlineStr">
        <is>
          <t>anonymous</t>
        </is>
      </c>
      <c r="I150" t="str">
        <f>IF(C150="","",C150&amp;"|"&amp;G150)</f>
        <v>787|100</v>
      </c>
    </row>
    <row r="151">
      <c r="A151" s="5" t="inlineStr">
        <is>
          <t>Andrea Victoria Mayorga Rodríguez</t>
        </is>
      </c>
      <c r="B151" s="5" t="inlineStr">
        <is>
          <t>Gerencia Legal y de Cumplimiento Normativo</t>
        </is>
      </c>
      <c r="C151" s="25" t="inlineStr">
        <is>
          <t>570</t>
        </is>
      </c>
      <c r="D151" s="9" t="n">
        <v>46304.69274305556</v>
      </c>
      <c r="E151" s="9" t="n">
        <v>46304.69452546296</v>
      </c>
      <c r="F151" s="7">
        <f>IF(OR(D151="",E151=""),"",(E151-D151)*1440)</f>
        <v>2.56666666666667</v>
      </c>
      <c r="G151" s="6" t="n">
        <v>100</v>
      </c>
      <c r="H151" s="6" t="inlineStr">
        <is>
          <t>anonymous</t>
        </is>
      </c>
      <c r="I151" t="str">
        <f>IF(C151="","",C151&amp;"|"&amp;G151)</f>
        <v>570|100</v>
      </c>
    </row>
    <row r="152">
      <c r="A152" s="5" t="inlineStr">
        <is>
          <t>Alejandra María González Benavides</t>
        </is>
      </c>
      <c r="B152" s="5" t="inlineStr">
        <is>
          <t>Departamento Legal</t>
        </is>
      </c>
      <c r="C152" s="25" t="inlineStr">
        <is>
          <t>893</t>
        </is>
      </c>
      <c r="D152" s="9" t="n">
        <v>46304.69597222222</v>
      </c>
      <c r="E152" s="9" t="n">
        <v>46304.70368055555</v>
      </c>
      <c r="F152" s="7">
        <f>IF(OR(D152="",E152=""),"",(E152-D152)*1440)</f>
        <v>11.1</v>
      </c>
      <c r="G152" s="6" t="n">
        <v>100</v>
      </c>
      <c r="H152" s="6" t="inlineStr">
        <is>
          <t>anonymous</t>
        </is>
      </c>
      <c r="I152" t="str">
        <f>IF(C152="","",C152&amp;"|"&amp;G152)</f>
        <v>893|100</v>
      </c>
    </row>
    <row r="153">
      <c r="A153" s="5" t="inlineStr">
        <is>
          <t>JESICA XIOMARA RAMOS PEÑA</t>
        </is>
      </c>
      <c r="B153" s="5" t="inlineStr">
        <is>
          <t>CUSTODIA DE VALORES</t>
        </is>
      </c>
      <c r="C153" s="25" t="inlineStr">
        <is>
          <t>539</t>
        </is>
      </c>
      <c r="D153" s="9" t="n">
        <v>46304.70121527778</v>
      </c>
      <c r="E153" s="9" t="n">
        <v>46304.70379629629</v>
      </c>
      <c r="F153" s="7">
        <f>IF(OR(D153="",E153=""),"",(E153-D153)*1440)</f>
        <v>3.71666666666667</v>
      </c>
      <c r="G153" s="6" t="n">
        <v>100</v>
      </c>
      <c r="H153" s="6" t="inlineStr">
        <is>
          <t>anonymous</t>
        </is>
      </c>
      <c r="I153" t="str">
        <f>IF(C153="","",C153&amp;"|"&amp;G153)</f>
        <v>539|100</v>
      </c>
    </row>
    <row r="154">
      <c r="A154" s="5" t="inlineStr">
        <is>
          <t>Lidia Patricia Morales Avalos</t>
        </is>
      </c>
      <c r="B154" s="5" t="inlineStr">
        <is>
          <t>Comercial de Tarjjeta de Crédito y Débito</t>
        </is>
      </c>
      <c r="C154" s="25" t="inlineStr">
        <is>
          <t>533</t>
        </is>
      </c>
      <c r="D154" s="9" t="n">
        <v>46304.77427083333</v>
      </c>
      <c r="E154" s="9" t="n">
        <v>46304.7809837963</v>
      </c>
      <c r="F154" s="7">
        <f>IF(OR(D154="",E154=""),"",(E154-D154)*1440)</f>
        <v>9.66666666666667</v>
      </c>
      <c r="G154" s="6" t="n">
        <v>90</v>
      </c>
      <c r="H154" s="6" t="inlineStr">
        <is>
          <t>anonymous</t>
        </is>
      </c>
      <c r="I154" t="str">
        <f>IF(C154="","",C154&amp;"|"&amp;G154)</f>
        <v>533|90</v>
      </c>
    </row>
    <row r="155">
      <c r="A155" s="5" t="inlineStr">
        <is>
          <t>ALEXANDRA DANIELA PINEDA JIMENEZ</t>
        </is>
      </c>
      <c r="B155" s="5" t="inlineStr">
        <is>
          <t>AGENCIA CENTRAL</t>
        </is>
      </c>
      <c r="C155" s="25" t="inlineStr">
        <is>
          <t>958</t>
        </is>
      </c>
      <c r="D155" s="9" t="n">
        <v>46305.38385416667</v>
      </c>
      <c r="E155" s="9" t="n">
        <v>46305.39554398148</v>
      </c>
      <c r="F155" s="7">
        <f>IF(OR(D155="",E155=""),"",(E155-D155)*1440)</f>
        <v>16.8333333333333</v>
      </c>
      <c r="G155" s="6" t="n">
        <v>75</v>
      </c>
      <c r="H155" s="6" t="inlineStr">
        <is>
          <t>anonymous</t>
        </is>
      </c>
      <c r="I155" t="str">
        <f>IF(C155="","",C155&amp;"|"&amp;G155)</f>
        <v>958|75</v>
      </c>
    </row>
    <row r="156">
      <c r="A156" s="5" t="inlineStr">
        <is>
          <t>Henrry Daniel Escamilla</t>
        </is>
      </c>
      <c r="B156" s="5" t="inlineStr">
        <is>
          <t>Departamento de Administración de Riesgos</t>
        </is>
      </c>
      <c r="C156" s="25" t="inlineStr">
        <is>
          <t>928</t>
        </is>
      </c>
      <c r="D156" s="9" t="n">
        <v>46305.39564814815</v>
      </c>
      <c r="E156" s="9" t="n">
        <v>46305.39865740741</v>
      </c>
      <c r="F156" s="7">
        <f>IF(OR(D156="",E156=""),"",(E156-D156)*1440)</f>
        <v>4.33333333333333</v>
      </c>
      <c r="G156" s="6" t="n">
        <v>100</v>
      </c>
      <c r="H156" s="6" t="inlineStr">
        <is>
          <t>anonymous</t>
        </is>
      </c>
      <c r="I156" t="str">
        <f>IF(C156="","",C156&amp;"|"&amp;G156)</f>
        <v>928|100</v>
      </c>
    </row>
    <row r="157">
      <c r="A157" s="5" t="inlineStr">
        <is>
          <t>Krissia Andrea Domínguez Osorio</t>
        </is>
      </c>
      <c r="B157" s="5" t="inlineStr">
        <is>
          <t>Colegio medico</t>
        </is>
      </c>
      <c r="C157" s="25" t="inlineStr">
        <is>
          <t>841</t>
        </is>
      </c>
      <c r="D157" s="9" t="n">
        <v>46305.38912037037</v>
      </c>
      <c r="E157" s="9" t="n">
        <v>46305.39891203704</v>
      </c>
      <c r="F157" s="7">
        <f>IF(OR(D157="",E157=""),"",(E157-D157)*1440)</f>
        <v>14.1</v>
      </c>
      <c r="G157" s="6" t="n">
        <v>100</v>
      </c>
      <c r="H157" s="6" t="inlineStr">
        <is>
          <t>anonymous</t>
        </is>
      </c>
      <c r="I157" t="str">
        <f>IF(C157="","",C157&amp;"|"&amp;G157)</f>
        <v>841|100</v>
      </c>
    </row>
    <row r="158">
      <c r="A158" s="5" t="inlineStr">
        <is>
          <t>CLAUDIA ELENA GUARDADO DE VARELA</t>
        </is>
      </c>
      <c r="B158" s="5" t="inlineStr">
        <is>
          <t>AGENCIA COLEGIO MEDICO</t>
        </is>
      </c>
      <c r="C158" s="25" t="inlineStr">
        <is>
          <t>543</t>
        </is>
      </c>
      <c r="D158" s="9" t="n">
        <v>46305.39409722222</v>
      </c>
      <c r="E158" s="9" t="n">
        <v>46305.40700231482</v>
      </c>
      <c r="F158" s="7">
        <f>IF(OR(D158="",E158=""),"",(E158-D158)*1440)</f>
        <v>18.58333335025</v>
      </c>
      <c r="G158" s="6" t="n">
        <v>100</v>
      </c>
      <c r="H158" s="6" t="inlineStr">
        <is>
          <t>anonymous</t>
        </is>
      </c>
      <c r="I158" t="str">
        <f>IF(C158="","",C158&amp;"|"&amp;G158)</f>
        <v>543|100</v>
      </c>
    </row>
    <row r="159">
      <c r="A159" s="5" t="inlineStr">
        <is>
          <t>Lorena Elizabeth Galdámez Núñez</t>
        </is>
      </c>
      <c r="B159" s="5" t="inlineStr">
        <is>
          <t>Clínica empresarial</t>
        </is>
      </c>
      <c r="C159" s="25" t="inlineStr">
        <is>
          <t>590</t>
        </is>
      </c>
      <c r="D159" s="9" t="n">
        <v>46305.40681712963</v>
      </c>
      <c r="E159" s="9" t="n">
        <v>46305.40873842593</v>
      </c>
      <c r="F159" s="7">
        <f>IF(OR(D159="",E159=""),"",(E159-D159)*1440)</f>
        <v>2.76666666666667</v>
      </c>
      <c r="G159" s="6" t="n">
        <v>100</v>
      </c>
      <c r="H159" s="6" t="inlineStr">
        <is>
          <t>anonymous</t>
        </is>
      </c>
      <c r="I159" t="str">
        <f>IF(C159="","",C159&amp;"|"&amp;G159)</f>
        <v>590|100</v>
      </c>
    </row>
    <row r="160">
      <c r="A160" s="5" t="inlineStr">
        <is>
          <t>Antonia Saraí Beltrán de Carballo</t>
        </is>
      </c>
      <c r="B160" s="5" t="inlineStr">
        <is>
          <t>Gerencia General</t>
        </is>
      </c>
      <c r="C160" s="25" t="inlineStr">
        <is>
          <t>17</t>
        </is>
      </c>
      <c r="D160" s="9" t="n">
        <v>46305.40667824074</v>
      </c>
      <c r="E160" s="9" t="n">
        <v>46305.40980324074</v>
      </c>
      <c r="F160" s="7">
        <f>IF(OR(D160="",E160=""),"",(E160-D160)*1440)</f>
        <v>4.5</v>
      </c>
      <c r="G160" s="6" t="n">
        <v>100</v>
      </c>
      <c r="H160" s="6" t="inlineStr">
        <is>
          <t>anonymous</t>
        </is>
      </c>
      <c r="I160" t="str">
        <f>IF(C160="","",C160&amp;"|"&amp;G160)</f>
        <v>17|100</v>
      </c>
    </row>
    <row r="161">
      <c r="A161" s="5" t="inlineStr">
        <is>
          <t>GLADIS OSIRIS VALLE HERNANDEZ</t>
        </is>
      </c>
      <c r="B161" s="5" t="inlineStr">
        <is>
          <t>CLINICA EMPRESARIAL</t>
        </is>
      </c>
      <c r="C161" s="25" t="inlineStr">
        <is>
          <t>609</t>
        </is>
      </c>
      <c r="D161" s="9" t="n">
        <v>46305.40778935186</v>
      </c>
      <c r="E161" s="9" t="n">
        <v>46305.41128472222</v>
      </c>
      <c r="F161" s="7">
        <f>IF(OR(D161="",E161=""),"",(E161-D161)*1440)</f>
        <v>5.0333333155</v>
      </c>
      <c r="G161" s="6" t="n">
        <v>100</v>
      </c>
      <c r="H161" s="6" t="inlineStr">
        <is>
          <t>anonymous</t>
        </is>
      </c>
      <c r="I161" t="str">
        <f>IF(C161="","",C161&amp;"|"&amp;G161)</f>
        <v>609|100</v>
      </c>
    </row>
    <row r="162">
      <c r="A162" s="5" t="inlineStr">
        <is>
          <t>Ana Silvia Martinez de Rodriguez</t>
        </is>
      </c>
      <c r="B162" s="5" t="inlineStr">
        <is>
          <t>Departamento de Soluciones Financieras , Gerencia de Operaciones</t>
        </is>
      </c>
      <c r="C162" s="25" t="inlineStr">
        <is>
          <t>289</t>
        </is>
      </c>
      <c r="D162" s="9" t="n">
        <v>46305.40527777778</v>
      </c>
      <c r="E162" s="9" t="n">
        <v>46305.41322916667</v>
      </c>
      <c r="F162" s="7">
        <f>IF(OR(D162="",E162=""),"",(E162-D162)*1440)</f>
        <v>11.45</v>
      </c>
      <c r="G162" s="6" t="n">
        <v>100</v>
      </c>
      <c r="H162" s="6" t="inlineStr">
        <is>
          <t>anonymous</t>
        </is>
      </c>
      <c r="I162" t="str">
        <f>IF(C162="","",C162&amp;"|"&amp;G162)</f>
        <v>289|100</v>
      </c>
    </row>
    <row r="163">
      <c r="A163" s="5" t="inlineStr">
        <is>
          <t>Yanira Ortega de Miranda</t>
        </is>
      </c>
      <c r="B163" s="5" t="inlineStr">
        <is>
          <t>Agencia Colegio Medico</t>
        </is>
      </c>
      <c r="C163" s="25" t="inlineStr">
        <is>
          <t>29</t>
        </is>
      </c>
      <c r="D163" s="9" t="n">
        <v>46305.42515046296</v>
      </c>
      <c r="E163" s="9" t="n">
        <v>46305.43096064815</v>
      </c>
      <c r="F163" s="7">
        <f>IF(OR(D163="",E163=""),"",(E163-D163)*1440)</f>
        <v>8.36666666666667</v>
      </c>
      <c r="G163" s="6" t="n">
        <v>100</v>
      </c>
      <c r="H163" s="6" t="inlineStr">
        <is>
          <t>anonymous</t>
        </is>
      </c>
      <c r="I163" t="str">
        <f>IF(C163="","",C163&amp;"|"&amp;G163)</f>
        <v>29|100</v>
      </c>
    </row>
    <row r="164">
      <c r="A164" s="5" t="inlineStr">
        <is>
          <t>Jaquelin Jazmin Romero Flores</t>
        </is>
      </c>
      <c r="B164" s="5" t="inlineStr">
        <is>
          <t>Colegio Médico, Caja</t>
        </is>
      </c>
      <c r="C164" s="25" t="inlineStr">
        <is>
          <t>971</t>
        </is>
      </c>
      <c r="D164" s="9" t="n">
        <v>46305.43693287037</v>
      </c>
      <c r="E164" s="9" t="n">
        <v>46305.44142361111</v>
      </c>
      <c r="F164" s="7">
        <f>IF(OR(D164="",E164=""),"",(E164-D164)*1440)</f>
        <v>6.46666666666667</v>
      </c>
      <c r="G164" s="6" t="n">
        <v>100</v>
      </c>
      <c r="H164" s="6" t="inlineStr">
        <is>
          <t>anonymous</t>
        </is>
      </c>
      <c r="I164" t="str">
        <f>IF(C164="","",C164&amp;"|"&amp;G164)</f>
        <v>971|100</v>
      </c>
    </row>
    <row r="165">
      <c r="A165" s="5" t="inlineStr">
        <is>
          <t>Jacqueline Adriana Chavez Saravia</t>
        </is>
      </c>
      <c r="B165" s="5" t="inlineStr">
        <is>
          <t>Colegio medico</t>
        </is>
      </c>
      <c r="C165" s="25" t="inlineStr">
        <is>
          <t>811</t>
        </is>
      </c>
      <c r="D165" s="9" t="n">
        <v>46305.45777777778</v>
      </c>
      <c r="E165" s="9" t="n">
        <v>46305.46590277777</v>
      </c>
      <c r="F165" s="7">
        <f>IF(OR(D165="",E165=""),"",(E165-D165)*1440)</f>
        <v>11.69999997945</v>
      </c>
      <c r="G165" s="6" t="n">
        <v>90</v>
      </c>
      <c r="H165" s="6" t="inlineStr">
        <is>
          <t>anonymous</t>
        </is>
      </c>
      <c r="I165" t="str">
        <f>IF(C165="","",C165&amp;"|"&amp;G165)</f>
        <v>811|90</v>
      </c>
    </row>
    <row r="166">
      <c r="A166" s="5" t="inlineStr">
        <is>
          <t>Paula María Calderón Pérez</t>
        </is>
      </c>
      <c r="B166" s="5" t="inlineStr">
        <is>
          <t>Gerencia de Finanzas</t>
        </is>
      </c>
      <c r="C166" s="25" t="inlineStr">
        <is>
          <t>942</t>
        </is>
      </c>
      <c r="D166" s="9" t="n">
        <v>46305.46745370371</v>
      </c>
      <c r="E166" s="9" t="n">
        <v>46305.47055555556</v>
      </c>
      <c r="F166" s="7">
        <f>IF(OR(D166="",E166=""),"",(E166-D166)*1440)</f>
        <v>4.46666666666667</v>
      </c>
      <c r="G166" s="6" t="n">
        <v>100</v>
      </c>
      <c r="H166" s="6" t="inlineStr">
        <is>
          <t>anonymous</t>
        </is>
      </c>
      <c r="I166" t="str">
        <f>IF(C166="","",C166&amp;"|"&amp;G166)</f>
        <v>942|100</v>
      </c>
    </row>
    <row r="167">
      <c r="A167" s="5" t="inlineStr">
        <is>
          <t>Gabriela Concepción García Gutierréz</t>
        </is>
      </c>
      <c r="B167" s="5" t="inlineStr">
        <is>
          <t>Agencia Colegio Medico</t>
        </is>
      </c>
      <c r="C167" s="25" t="inlineStr">
        <is>
          <t>975</t>
        </is>
      </c>
      <c r="D167" s="9" t="n">
        <v>46305.46927083333</v>
      </c>
      <c r="E167" s="9" t="n">
        <v>46305.4796412037</v>
      </c>
      <c r="F167" s="7">
        <f>IF(OR(D167="",E167=""),"",(E167-D167)*1440)</f>
        <v>14.9333333333333</v>
      </c>
      <c r="G167" s="6" t="n">
        <v>90</v>
      </c>
      <c r="H167" s="6" t="inlineStr">
        <is>
          <t>anonymous</t>
        </is>
      </c>
      <c r="I167" t="str">
        <f>IF(C167="","",C167&amp;"|"&amp;G167)</f>
        <v>975|90</v>
      </c>
    </row>
    <row r="168">
      <c r="A168" s="5" t="inlineStr">
        <is>
          <t>ANTONIO ALEXANDER ALFARO ARGUETA</t>
        </is>
      </c>
      <c r="B168" s="5" t="inlineStr">
        <is>
          <t>DEPARTAMENTO COMERCIAL DE TARJETA</t>
        </is>
      </c>
      <c r="C168" s="25" t="inlineStr">
        <is>
          <t>669</t>
        </is>
      </c>
      <c r="D168" s="9" t="n">
        <v>46305.47315972222</v>
      </c>
      <c r="E168" s="9" t="n">
        <v>46305.48725694444</v>
      </c>
      <c r="F168" s="7">
        <f>IF(OR(D168="",E168=""),"",(E168-D168)*1440)</f>
        <v>20.3</v>
      </c>
      <c r="G168" s="6" t="n">
        <v>90</v>
      </c>
      <c r="H168" s="6" t="inlineStr">
        <is>
          <t>anonymous</t>
        </is>
      </c>
      <c r="I168" t="str">
        <f>IF(C168="","",C168&amp;"|"&amp;G168)</f>
        <v>669|90</v>
      </c>
    </row>
    <row r="169">
      <c r="A169" s="5" t="inlineStr">
        <is>
          <t>GABRIEL FRANCISCO MOLINA DIAZ</t>
        </is>
      </c>
      <c r="B169" s="5" t="inlineStr">
        <is>
          <t>DEPARTAMENTO DE COMERCIALIZACION DE TARJETA</t>
        </is>
      </c>
      <c r="C169" s="25" t="inlineStr">
        <is>
          <t>858</t>
        </is>
      </c>
      <c r="D169" s="9" t="n">
        <v>46305.47688657408</v>
      </c>
      <c r="E169" s="9" t="n">
        <v>46305.49159722222</v>
      </c>
      <c r="F169" s="7">
        <f>IF(OR(D169="",E169=""),"",(E169-D169)*1440)</f>
        <v>21.1833333333333</v>
      </c>
      <c r="G169" s="6" t="n">
        <v>95</v>
      </c>
      <c r="H169" s="6" t="inlineStr">
        <is>
          <t>anonymous</t>
        </is>
      </c>
      <c r="I169" t="str">
        <f>IF(C169="","",C169&amp;"|"&amp;G169)</f>
        <v>858|95</v>
      </c>
    </row>
    <row r="170">
      <c r="A170" s="5" t="inlineStr">
        <is>
          <t>Mario Antonio Navarro Pineda</t>
        </is>
      </c>
      <c r="B170" s="5" t="inlineStr">
        <is>
          <t>Departamento de Depósitos</t>
        </is>
      </c>
      <c r="C170" s="25" t="inlineStr">
        <is>
          <t>284</t>
        </is>
      </c>
      <c r="D170" s="9" t="n">
        <v>46305.5084375</v>
      </c>
      <c r="E170" s="9" t="n">
        <v>46305.51334490741</v>
      </c>
      <c r="F170" s="7">
        <f>IF(OR(D170="",E170=""),"",(E170-D170)*1440)</f>
        <v>7.06666666666667</v>
      </c>
      <c r="G170" s="6" t="n">
        <v>100</v>
      </c>
      <c r="H170" s="6" t="inlineStr">
        <is>
          <t>anonymous</t>
        </is>
      </c>
      <c r="I170" t="str">
        <f>IF(C170="","",C170&amp;"|"&amp;G170)</f>
        <v>284|100</v>
      </c>
    </row>
    <row r="171">
      <c r="A171" s="5" t="inlineStr">
        <is>
          <t>Merci Antonia Ceron Mejia</t>
        </is>
      </c>
      <c r="B171" s="5" t="inlineStr">
        <is>
          <t>Colegio Medico</t>
        </is>
      </c>
      <c r="C171" s="25" t="inlineStr">
        <is>
          <t>190</t>
        </is>
      </c>
      <c r="D171" s="9" t="n">
        <v>46305.51119212963</v>
      </c>
      <c r="E171" s="9" t="n">
        <v>46305.51334490741</v>
      </c>
      <c r="F171" s="7">
        <f>IF(OR(D171="",E171=""),"",(E171-D171)*1440)</f>
        <v>3.1</v>
      </c>
      <c r="G171" s="6" t="n">
        <v>100</v>
      </c>
      <c r="H171" s="6" t="inlineStr">
        <is>
          <t>anonymous</t>
        </is>
      </c>
      <c r="I171" t="str">
        <f>IF(C171="","",C171&amp;"|"&amp;G171)</f>
        <v>190|100</v>
      </c>
    </row>
    <row r="172">
      <c r="A172" s="5" t="inlineStr">
        <is>
          <t>Martha Esperanza Valtez Garcia</t>
        </is>
      </c>
      <c r="B172" s="5" t="inlineStr">
        <is>
          <t>Agencia Colegio Medico</t>
        </is>
      </c>
      <c r="C172" s="25" t="inlineStr">
        <is>
          <t>536</t>
        </is>
      </c>
      <c r="D172" s="9" t="n">
        <v>46305.51107638889</v>
      </c>
      <c r="E172" s="9" t="n">
        <v>46305.51391203704</v>
      </c>
      <c r="F172" s="7">
        <f>IF(OR(D172="",E172=""),"",(E172-D172)*1440)</f>
        <v>4.08333333333333</v>
      </c>
      <c r="G172" s="6" t="n">
        <v>100</v>
      </c>
      <c r="H172" s="6" t="inlineStr">
        <is>
          <t>anonymous</t>
        </is>
      </c>
      <c r="I172" t="str">
        <f>IF(C172="","",C172&amp;"|"&amp;G172)</f>
        <v>536|100</v>
      </c>
    </row>
    <row r="173">
      <c r="A173" s="5" t="inlineStr">
        <is>
          <t>JOSE ALEXANDER ABREGO</t>
        </is>
      </c>
      <c r="B173" s="5" t="inlineStr">
        <is>
          <t>DEPTO COMERCIAL DE TARJETA DE CREDITO</t>
        </is>
      </c>
      <c r="C173" s="25" t="inlineStr">
        <is>
          <t>655</t>
        </is>
      </c>
      <c r="D173" s="9" t="n">
        <v>46305.51121527778</v>
      </c>
      <c r="E173" s="9" t="n">
        <v>46305.51431712963</v>
      </c>
      <c r="F173" s="7">
        <f>IF(OR(D173="",E173=""),"",(E173-D173)*1440)</f>
        <v>4.46666666666667</v>
      </c>
      <c r="G173" s="6" t="n">
        <v>65</v>
      </c>
      <c r="H173" s="6" t="inlineStr">
        <is>
          <t>anonymous</t>
        </is>
      </c>
      <c r="I173" t="str">
        <f>IF(C173="","",C173&amp;"|"&amp;G173)</f>
        <v>655|65</v>
      </c>
    </row>
    <row r="174">
      <c r="A174" s="5" t="inlineStr">
        <is>
          <t>CARLOS ALEXANDER ROMERO ROMERO</t>
        </is>
      </c>
      <c r="B174" s="5" t="inlineStr">
        <is>
          <t>SEGUROS</t>
        </is>
      </c>
      <c r="C174" s="25" t="inlineStr">
        <is>
          <t>639</t>
        </is>
      </c>
      <c r="D174" s="9" t="n">
        <v>46305.51498842592</v>
      </c>
      <c r="E174" s="9" t="n">
        <v>46305.51787037037</v>
      </c>
      <c r="F174" s="7">
        <f>IF(OR(D174="",E174=""),"",(E174-D174)*1440)</f>
        <v>4.15</v>
      </c>
      <c r="G174" s="6" t="n">
        <v>100</v>
      </c>
      <c r="H174" s="6" t="inlineStr">
        <is>
          <t>anonymous</t>
        </is>
      </c>
      <c r="I174" t="str">
        <f>IF(C174="","",C174&amp;"|"&amp;G174)</f>
        <v>639|100</v>
      </c>
    </row>
    <row r="175">
      <c r="A175" s="5" t="inlineStr">
        <is>
          <t>Efrain Antonio Ayala López</t>
        </is>
      </c>
      <c r="B175" s="5" t="inlineStr">
        <is>
          <t>Departamento de Planificación y análisis</t>
        </is>
      </c>
      <c r="C175" s="25" t="inlineStr">
        <is>
          <t>946</t>
        </is>
      </c>
      <c r="D175" s="9" t="n">
        <v>46305.5291087963</v>
      </c>
      <c r="E175" s="9" t="n">
        <v>46305.53491898148</v>
      </c>
      <c r="F175" s="7">
        <f>IF(OR(D175="",E175=""),"",(E175-D175)*1440)</f>
        <v>8.36666666666667</v>
      </c>
      <c r="G175" s="6" t="n">
        <v>100</v>
      </c>
      <c r="H175" s="6" t="inlineStr">
        <is>
          <t>anonymous</t>
        </is>
      </c>
      <c r="I175" t="str">
        <f>IF(C175="","",C175&amp;"|"&amp;G175)</f>
        <v>946|100</v>
      </c>
    </row>
    <row r="176">
      <c r="A176" s="5" t="inlineStr">
        <is>
          <t>Ana Griselda Sigüenza Martínez</t>
        </is>
      </c>
      <c r="B176" s="5" t="inlineStr">
        <is>
          <t>Soluciones Financieras</t>
        </is>
      </c>
      <c r="C176" s="25" t="inlineStr">
        <is>
          <t>528</t>
        </is>
      </c>
      <c r="D176" s="9" t="n">
        <v>46305.53150462963</v>
      </c>
      <c r="E176" s="9" t="n">
        <v>46305.54105324074</v>
      </c>
      <c r="F176" s="7">
        <f>IF(OR(D176="",E176=""),"",(E176-D176)*1440)</f>
        <v>13.75</v>
      </c>
      <c r="G176" s="6" t="n">
        <v>100</v>
      </c>
      <c r="H176" s="6" t="inlineStr">
        <is>
          <t>anonymous</t>
        </is>
      </c>
      <c r="I176" t="str">
        <f>IF(C176="","",C176&amp;"|"&amp;G176)</f>
        <v>528|100</v>
      </c>
    </row>
    <row r="177">
      <c r="A177" s="5" t="inlineStr">
        <is>
          <t>Yaneth Hernández Yanes</t>
        </is>
      </c>
      <c r="B177" s="5" t="inlineStr">
        <is>
          <t>Créditos</t>
        </is>
      </c>
      <c r="C177" s="25" t="inlineStr">
        <is>
          <t>730</t>
        </is>
      </c>
      <c r="D177" s="9" t="n">
        <v>46305.56402777778</v>
      </c>
      <c r="E177" s="9" t="n">
        <v>46305.56736111111</v>
      </c>
      <c r="F177" s="7">
        <f>IF(OR(D177="",E177=""),"",(E177-D177)*1440)</f>
        <v>4.8</v>
      </c>
      <c r="G177" s="6" t="n">
        <v>100</v>
      </c>
      <c r="H177" s="6" t="inlineStr">
        <is>
          <t>anonymous</t>
        </is>
      </c>
      <c r="I177" t="str">
        <f>IF(C177="","",C177&amp;"|"&amp;G177)</f>
        <v>730|100</v>
      </c>
    </row>
    <row r="178">
      <c r="A178" s="5" t="inlineStr">
        <is>
          <t>Mauricio Antonio Ramirez Perez</t>
        </is>
      </c>
      <c r="B178" s="5" t="inlineStr">
        <is>
          <t>Servicios Generales</t>
        </is>
      </c>
      <c r="C178" s="25" t="inlineStr">
        <is>
          <t>436</t>
        </is>
      </c>
      <c r="D178" s="9" t="n">
        <v>46306.42859953704</v>
      </c>
      <c r="E178" s="9" t="n">
        <v>46306.43788194445</v>
      </c>
      <c r="F178" s="7">
        <f>IF(OR(D178="",E178=""),"",(E178-D178)*1440)</f>
        <v>13.3666666666667</v>
      </c>
      <c r="G178" s="6" t="n">
        <v>90</v>
      </c>
      <c r="H178" s="6" t="inlineStr">
        <is>
          <t>anonymous</t>
        </is>
      </c>
      <c r="I178" t="str">
        <f>IF(C178="","",C178&amp;"|"&amp;G178)</f>
        <v>436|90</v>
      </c>
    </row>
    <row r="179">
      <c r="A179" s="5" t="inlineStr">
        <is>
          <t>Juan José Cañas Comayagua</t>
        </is>
      </c>
      <c r="B179" s="5" t="inlineStr">
        <is>
          <t>Departamento Legal</t>
        </is>
      </c>
      <c r="C179" s="25" t="inlineStr">
        <is>
          <t>442</t>
        </is>
      </c>
      <c r="D179" s="9" t="n">
        <v>46306.59994212963</v>
      </c>
      <c r="E179" s="9" t="n">
        <v>46306.60649305556</v>
      </c>
      <c r="F179" s="7">
        <f>IF(OR(D179="",E179=""),"",(E179-D179)*1440)</f>
        <v>9.43333333333333</v>
      </c>
      <c r="G179" s="6" t="n">
        <v>100</v>
      </c>
      <c r="H179" s="6" t="inlineStr">
        <is>
          <t>anonymous</t>
        </is>
      </c>
      <c r="I179" t="str">
        <f>IF(C179="","",C179&amp;"|"&amp;G179)</f>
        <v>442|100</v>
      </c>
    </row>
    <row r="180">
      <c r="A180" s="5" t="inlineStr">
        <is>
          <t>MARIO LEONEL CANDRAY FLORES</t>
        </is>
      </c>
      <c r="B180" s="5" t="inlineStr">
        <is>
          <t>DPTO. DE CREDITOS</t>
        </is>
      </c>
      <c r="C180" s="25" t="inlineStr">
        <is>
          <t>939</t>
        </is>
      </c>
      <c r="D180" s="9" t="n">
        <v>46307.36936342593</v>
      </c>
      <c r="E180" s="9" t="n">
        <v>46307.37395833333</v>
      </c>
      <c r="F180" s="7">
        <f>IF(OR(D180="",E180=""),"",(E180-D180)*1440)</f>
        <v>6.61666666666667</v>
      </c>
      <c r="G180" s="6" t="n">
        <v>100</v>
      </c>
      <c r="H180" s="6" t="inlineStr">
        <is>
          <t>anonymous</t>
        </is>
      </c>
      <c r="I180" t="str">
        <f>IF(C180="","",C180&amp;"|"&amp;G180)</f>
        <v>939|100</v>
      </c>
    </row>
    <row r="181">
      <c r="A181" s="5" t="inlineStr">
        <is>
          <t>María Lilian Menjívar Guardado</t>
        </is>
      </c>
      <c r="B181" s="5" t="inlineStr">
        <is>
          <t>Gerencia de Creditos</t>
        </is>
      </c>
      <c r="C181" s="25" t="inlineStr">
        <is>
          <t>979</t>
        </is>
      </c>
      <c r="D181" s="9" t="n">
        <v>46307.36702546296</v>
      </c>
      <c r="E181" s="9" t="n">
        <v>46307.37511574074</v>
      </c>
      <c r="F181" s="7">
        <f>IF(OR(D181="",E181=""),"",(E181-D181)*1440)</f>
        <v>11.65</v>
      </c>
      <c r="G181" s="6" t="n">
        <v>100</v>
      </c>
      <c r="H181" s="6" t="inlineStr">
        <is>
          <t>anonymous</t>
        </is>
      </c>
      <c r="I181" t="str">
        <f>IF(C181="","",C181&amp;"|"&amp;G181)</f>
        <v>979|100</v>
      </c>
    </row>
    <row r="182">
      <c r="A182" s="5" t="inlineStr">
        <is>
          <t>Karla Vanessa García Oliva</t>
        </is>
      </c>
      <c r="B182" s="5" t="inlineStr">
        <is>
          <t>Depto. de créditos</t>
        </is>
      </c>
      <c r="C182" s="25" t="inlineStr">
        <is>
          <t>809</t>
        </is>
      </c>
      <c r="D182" s="9" t="n">
        <v>46307.37898148148</v>
      </c>
      <c r="E182" s="9" t="n">
        <v>46307.38409722222</v>
      </c>
      <c r="F182" s="7">
        <f>IF(OR(D182="",E182=""),"",(E182-D182)*1440)</f>
        <v>7.36666666666667</v>
      </c>
      <c r="G182" s="6" t="n">
        <v>100</v>
      </c>
      <c r="H182" s="6" t="inlineStr">
        <is>
          <t>anonymous</t>
        </is>
      </c>
      <c r="I182" t="str">
        <f>IF(C182="","",C182&amp;"|"&amp;G182)</f>
        <v>809|100</v>
      </c>
    </row>
    <row r="183">
      <c r="A183" s="5" t="inlineStr">
        <is>
          <t>Jennifer Marcela Morales de Torres</t>
        </is>
      </c>
      <c r="B183" s="5" t="inlineStr">
        <is>
          <t>Departamento de Contabilidad</t>
        </is>
      </c>
      <c r="C183" s="25" t="inlineStr">
        <is>
          <t>749</t>
        </is>
      </c>
      <c r="D183" s="9" t="n">
        <v>46307.38872685185</v>
      </c>
      <c r="E183" s="9" t="n">
        <v>46307.39042824074</v>
      </c>
      <c r="F183" s="7">
        <f>IF(OR(D183="",E183=""),"",(E183-D183)*1440)</f>
        <v>2.45</v>
      </c>
      <c r="G183" s="6" t="n">
        <v>100</v>
      </c>
      <c r="H183" s="6" t="inlineStr">
        <is>
          <t>anonymous</t>
        </is>
      </c>
      <c r="I183" t="str">
        <f>IF(C183="","",C183&amp;"|"&amp;G183)</f>
        <v>749|100</v>
      </c>
    </row>
    <row r="184">
      <c r="A184" s="5" t="inlineStr">
        <is>
          <t>Daniela María Fuentes Medina</t>
        </is>
      </c>
      <c r="B184" s="5" t="inlineStr">
        <is>
          <t>Legal</t>
        </is>
      </c>
      <c r="C184" s="25" t="inlineStr">
        <is>
          <t>843</t>
        </is>
      </c>
      <c r="D184" s="9" t="n">
        <v>46307.39090277778</v>
      </c>
      <c r="E184" s="9" t="n">
        <v>46307.39480324074</v>
      </c>
      <c r="F184" s="7">
        <f>IF(OR(D184="",E184=""),"",(E184-D184)*1440)</f>
        <v>5.61666666666667</v>
      </c>
      <c r="G184" s="6" t="n">
        <v>100</v>
      </c>
      <c r="H184" s="6" t="inlineStr">
        <is>
          <t>anonymous</t>
        </is>
      </c>
      <c r="I184" t="str">
        <f>IF(C184="","",C184&amp;"|"&amp;G184)</f>
        <v>843|100</v>
      </c>
    </row>
    <row r="185">
      <c r="A185" s="5" t="inlineStr">
        <is>
          <t>German Alberto Campos Torres</t>
        </is>
      </c>
      <c r="B185" s="5" t="inlineStr">
        <is>
          <t>Servicios Generales</t>
        </is>
      </c>
      <c r="C185" s="25" t="inlineStr">
        <is>
          <t>830</t>
        </is>
      </c>
      <c r="D185" s="9" t="n">
        <v>46307.39894675926</v>
      </c>
      <c r="E185" s="9" t="n">
        <v>46307.40229166667</v>
      </c>
      <c r="F185" s="7">
        <f>IF(OR(D185="",E185=""),"",(E185-D185)*1440)</f>
        <v>4.81666666666667</v>
      </c>
      <c r="G185" s="6" t="n">
        <v>100</v>
      </c>
      <c r="H185" s="6" t="inlineStr">
        <is>
          <t>anonymous</t>
        </is>
      </c>
      <c r="I185" t="str">
        <f>IF(C185="","",C185&amp;"|"&amp;G185)</f>
        <v>830|100</v>
      </c>
    </row>
    <row r="186">
      <c r="A186" s="5" t="inlineStr">
        <is>
          <t>Rosario del Carmen Pérez Lopez</t>
        </is>
      </c>
      <c r="B186" s="5" t="inlineStr">
        <is>
          <t>Agencia Plaza Mundo</t>
        </is>
      </c>
      <c r="C186" s="25" t="inlineStr">
        <is>
          <t>535</t>
        </is>
      </c>
      <c r="D186" s="9" t="n">
        <v>46307.40015046296</v>
      </c>
      <c r="E186" s="9" t="n">
        <v>46307.40383101852</v>
      </c>
      <c r="F186" s="7">
        <f>IF(OR(D186="",E186=""),"",(E186-D186)*1440)</f>
        <v>5.3</v>
      </c>
      <c r="G186" s="6" t="n">
        <v>100</v>
      </c>
      <c r="H186" s="6" t="inlineStr">
        <is>
          <t>anonymous</t>
        </is>
      </c>
      <c r="I186" t="str">
        <f>IF(C186="","",C186&amp;"|"&amp;G186)</f>
        <v>535|100</v>
      </c>
    </row>
    <row r="187">
      <c r="A187" s="5" t="inlineStr">
        <is>
          <t>Nicolle Alexandra Marinero Gallardo</t>
        </is>
      </c>
      <c r="B187" s="5" t="inlineStr">
        <is>
          <t>Departamento Legal</t>
        </is>
      </c>
      <c r="C187" s="25" t="inlineStr">
        <is>
          <t>831</t>
        </is>
      </c>
      <c r="D187" s="9" t="n">
        <v>46307.40994212963</v>
      </c>
      <c r="E187" s="9" t="n">
        <v>46307.4125462963</v>
      </c>
      <c r="F187" s="7">
        <f>IF(OR(D187="",E187=""),"",(E187-D187)*1440)</f>
        <v>3.75</v>
      </c>
      <c r="G187" s="6" t="n">
        <v>90</v>
      </c>
      <c r="H187" s="6" t="inlineStr">
        <is>
          <t>anonymous</t>
        </is>
      </c>
      <c r="I187" t="str">
        <f>IF(C187="","",C187&amp;"|"&amp;G187)</f>
        <v>831|90</v>
      </c>
    </row>
    <row r="188">
      <c r="A188" s="5" t="inlineStr">
        <is>
          <t>Andrea Raquel Montoya Alarcon</t>
        </is>
      </c>
      <c r="B188" s="5" t="inlineStr">
        <is>
          <t>Legal</t>
        </is>
      </c>
      <c r="C188" s="25" t="inlineStr">
        <is>
          <t>814</t>
        </is>
      </c>
      <c r="D188" s="9" t="n">
        <v>46307.41289351852</v>
      </c>
      <c r="E188" s="9" t="n">
        <v>46307.42131944445</v>
      </c>
      <c r="F188" s="7">
        <f>IF(OR(D188="",E188=""),"",(E188-D188)*1440)</f>
        <v>12.1333333333333</v>
      </c>
      <c r="G188" s="6" t="n">
        <v>100</v>
      </c>
      <c r="H188" s="6" t="inlineStr">
        <is>
          <t>anonymous</t>
        </is>
      </c>
      <c r="I188" t="str">
        <f>IF(C188="","",C188&amp;"|"&amp;G188)</f>
        <v>814|100</v>
      </c>
    </row>
    <row r="189">
      <c r="A189" s="5" t="inlineStr">
        <is>
          <t>Wilber Ernesto Diaz Gonzalez</t>
        </is>
      </c>
      <c r="B189" s="5" t="inlineStr">
        <is>
          <t>Agencia Colegio Medico</t>
        </is>
      </c>
      <c r="C189" s="25" t="inlineStr">
        <is>
          <t>890</t>
        </is>
      </c>
      <c r="D189" s="9" t="n">
        <v>46307.42672453704</v>
      </c>
      <c r="E189" s="9" t="n">
        <v>46307.43005787037</v>
      </c>
      <c r="F189" s="7">
        <f>IF(OR(D189="",E189=""),"",(E189-D189)*1440)</f>
        <v>4.8</v>
      </c>
      <c r="G189" s="6" t="n">
        <v>90</v>
      </c>
      <c r="H189" s="6" t="inlineStr">
        <is>
          <t>anonymous</t>
        </is>
      </c>
      <c r="I189" t="str">
        <f>IF(C189="","",C189&amp;"|"&amp;G189)</f>
        <v>890|90</v>
      </c>
    </row>
    <row r="190">
      <c r="A190" s="5" t="inlineStr">
        <is>
          <t>JEAN HARRY MIRANDA ARAUJO</t>
        </is>
      </c>
      <c r="B190" s="5" t="inlineStr">
        <is>
          <t>Departamento de Análisis y Programación</t>
        </is>
      </c>
      <c r="C190" s="25" t="inlineStr">
        <is>
          <t>752</t>
        </is>
      </c>
      <c r="D190" s="9" t="n">
        <v>46307.41273148148</v>
      </c>
      <c r="E190" s="9" t="n">
        <v>46307.43311342593</v>
      </c>
      <c r="F190" s="7">
        <f>IF(OR(D190="",E190=""),"",(E190-D190)*1440)</f>
        <v>29.35</v>
      </c>
      <c r="G190" s="6" t="n">
        <v>100</v>
      </c>
      <c r="H190" s="6" t="inlineStr">
        <is>
          <t>anonymous</t>
        </is>
      </c>
      <c r="I190" t="str">
        <f>IF(C190="","",C190&amp;"|"&amp;G190)</f>
        <v>752|100</v>
      </c>
    </row>
    <row r="191">
      <c r="A191" s="5" t="inlineStr">
        <is>
          <t>Marta Lilian Vigil de Quijano</t>
        </is>
      </c>
      <c r="B191" s="5" t="inlineStr">
        <is>
          <t>Gerencia Administrativa</t>
        </is>
      </c>
      <c r="C191" s="25" t="inlineStr">
        <is>
          <t>45</t>
        </is>
      </c>
      <c r="D191" s="9" t="n">
        <v>46307.42846064815</v>
      </c>
      <c r="E191" s="9" t="n">
        <v>46307.43666666667</v>
      </c>
      <c r="F191" s="7">
        <f>IF(OR(D191="",E191=""),"",(E191-D191)*1440)</f>
        <v>11.8166666666667</v>
      </c>
      <c r="G191" s="6" t="n">
        <v>100</v>
      </c>
      <c r="H191" s="6" t="inlineStr">
        <is>
          <t>anonymous</t>
        </is>
      </c>
      <c r="I191" t="str">
        <f>IF(C191="","",C191&amp;"|"&amp;G191)</f>
        <v>45|100</v>
      </c>
    </row>
    <row r="192">
      <c r="A192" s="5" t="inlineStr">
        <is>
          <t>Nelson Danilo Benítez Méndez</t>
        </is>
      </c>
      <c r="B192" s="5" t="inlineStr">
        <is>
          <t>Auditoría Interna</t>
        </is>
      </c>
      <c r="C192" s="25" t="inlineStr">
        <is>
          <t>534</t>
        </is>
      </c>
      <c r="D192" s="9" t="n">
        <v>46307.43509259259</v>
      </c>
      <c r="E192" s="9" t="n">
        <v>46307.43875</v>
      </c>
      <c r="F192" s="7">
        <f>IF(OR(D192="",E192=""),"",(E192-D192)*1440)</f>
        <v>5.26666666666667</v>
      </c>
      <c r="G192" s="6" t="n">
        <v>100</v>
      </c>
      <c r="H192" s="6" t="inlineStr">
        <is>
          <t>anonymous</t>
        </is>
      </c>
      <c r="I192" t="str">
        <f>IF(C192="","",C192&amp;"|"&amp;G192)</f>
        <v>534|100</v>
      </c>
    </row>
    <row r="193">
      <c r="A193" s="5" t="inlineStr">
        <is>
          <t>Norma Aracely Guillen</t>
        </is>
      </c>
      <c r="B193" s="5" t="inlineStr">
        <is>
          <t>Agencia Plaza Mundo</t>
        </is>
      </c>
      <c r="C193" s="25" t="inlineStr">
        <is>
          <t>331</t>
        </is>
      </c>
      <c r="D193" s="9" t="n">
        <v>46307.43707175926</v>
      </c>
      <c r="E193" s="9" t="n">
        <v>46307.44004629629</v>
      </c>
      <c r="F193" s="7">
        <f>IF(OR(D193="",E193=""),"",(E193-D193)*1440)</f>
        <v>4.28333333333333</v>
      </c>
      <c r="G193" s="6" t="n">
        <v>100</v>
      </c>
      <c r="H193" s="6" t="inlineStr">
        <is>
          <t>anonymous</t>
        </is>
      </c>
      <c r="I193" t="str">
        <f>IF(C193="","",C193&amp;"|"&amp;G193)</f>
        <v>331|100</v>
      </c>
    </row>
    <row r="194">
      <c r="A194" s="5" t="inlineStr">
        <is>
          <t>Flor Marisela Torres Velasquez</t>
        </is>
      </c>
      <c r="B194" s="5" t="inlineStr">
        <is>
          <t>Gerencia de Sistemas</t>
        </is>
      </c>
      <c r="C194" s="25" t="inlineStr">
        <is>
          <t>393</t>
        </is>
      </c>
      <c r="D194" s="9" t="n">
        <v>46307.48131944444</v>
      </c>
      <c r="E194" s="9" t="n">
        <v>46307.48341435185</v>
      </c>
      <c r="F194" s="7">
        <f>IF(OR(D194="",E194=""),"",(E194-D194)*1440)</f>
        <v>3.01666666666667</v>
      </c>
      <c r="G194" s="6" t="n">
        <v>100</v>
      </c>
      <c r="H194" s="6" t="inlineStr">
        <is>
          <t>anonymous</t>
        </is>
      </c>
      <c r="I194" t="str">
        <f>IF(C194="","",C194&amp;"|"&amp;G194)</f>
        <v>393|100</v>
      </c>
    </row>
    <row r="195">
      <c r="A195" s="5" t="inlineStr">
        <is>
          <t>Rosa Elizabeth Rivas de Aguiluz</t>
        </is>
      </c>
      <c r="B195" s="5" t="inlineStr">
        <is>
          <t>Soluciones Financieras</t>
        </is>
      </c>
      <c r="C195" s="25" t="inlineStr">
        <is>
          <t>182</t>
        </is>
      </c>
      <c r="D195" s="9" t="n">
        <v>46307.56247685185</v>
      </c>
      <c r="E195" s="9" t="n">
        <v>46307.56962962963</v>
      </c>
      <c r="F195" s="7">
        <f>IF(OR(D195="",E195=""),"",(E195-D195)*1440)</f>
        <v>10.3</v>
      </c>
      <c r="G195" s="6" t="n">
        <v>70</v>
      </c>
      <c r="H195" s="6" t="inlineStr">
        <is>
          <t>anonymous</t>
        </is>
      </c>
      <c r="I195" t="str">
        <f>IF(C195="","",C195&amp;"|"&amp;G195)</f>
        <v>182|70</v>
      </c>
    </row>
    <row r="196">
      <c r="A196" s="5" t="inlineStr">
        <is>
          <t>Sandra Guadalupe Roque Sanchez</t>
        </is>
      </c>
      <c r="B196" s="5" t="inlineStr">
        <is>
          <t>Soluciones Financieras</t>
        </is>
      </c>
      <c r="C196" s="25" t="inlineStr">
        <is>
          <t>298</t>
        </is>
      </c>
      <c r="D196" s="9" t="n">
        <v>46307.57112268519</v>
      </c>
      <c r="E196" s="9" t="n">
        <v>46307.58479166667</v>
      </c>
      <c r="F196" s="7">
        <f>IF(OR(D196="",E196=""),"",(E196-D196)*1440)</f>
        <v>19.6833333333333</v>
      </c>
      <c r="G196" s="6" t="n">
        <v>80</v>
      </c>
      <c r="H196" s="6" t="inlineStr">
        <is>
          <t>anonymous</t>
        </is>
      </c>
      <c r="I196" t="str">
        <f>IF(C196="","",C196&amp;"|"&amp;G196)</f>
        <v>298|80</v>
      </c>
    </row>
    <row r="197">
      <c r="A197" s="5" t="inlineStr">
        <is>
          <t>xochilt noubleau</t>
        </is>
      </c>
      <c r="B197" s="5" t="inlineStr">
        <is>
          <t>soluciones financieras</t>
        </is>
      </c>
      <c r="C197" s="25" t="inlineStr">
        <is>
          <t>263</t>
        </is>
      </c>
      <c r="D197" s="9" t="n">
        <v>46307.59239583334</v>
      </c>
      <c r="E197" s="9" t="n">
        <v>46307.60011574074</v>
      </c>
      <c r="F197" s="7">
        <f>IF(OR(D197="",E197=""),"",(E197-D197)*1440)</f>
        <v>11.1166666666667</v>
      </c>
      <c r="G197" s="6" t="n">
        <v>100</v>
      </c>
      <c r="H197" s="6" t="inlineStr">
        <is>
          <t>anonymous</t>
        </is>
      </c>
      <c r="I197" t="str">
        <f>IF(C197="","",C197&amp;"|"&amp;G197)</f>
        <v>263|100</v>
      </c>
    </row>
    <row r="198">
      <c r="A198" s="5" t="inlineStr">
        <is>
          <t>Christian Enrique Campos Privado</t>
        </is>
      </c>
      <c r="B198" s="5" t="inlineStr">
        <is>
          <t>Departamento Legal</t>
        </is>
      </c>
      <c r="C198" s="25" t="inlineStr">
        <is>
          <t>905</t>
        </is>
      </c>
      <c r="D198" s="9" t="n">
        <v>46307.60627314815</v>
      </c>
      <c r="E198" s="9" t="n">
        <v>46307.645</v>
      </c>
      <c r="F198" s="7">
        <f>IF(OR(D198="",E198=""),"",(E198-D198)*1440)</f>
        <v>55.7666666666667</v>
      </c>
      <c r="G198" s="6" t="n">
        <v>100</v>
      </c>
      <c r="H198" s="6" t="inlineStr">
        <is>
          <t>anonymous</t>
        </is>
      </c>
      <c r="I198" t="str">
        <f>IF(C198="","",C198&amp;"|"&amp;G198)</f>
        <v>905|100</v>
      </c>
    </row>
    <row r="199">
      <c r="A199" s="5" t="inlineStr">
        <is>
          <t>Meralys Chávez Rodriguez</t>
        </is>
      </c>
      <c r="B199" s="5" t="inlineStr">
        <is>
          <t>Auditoría Interna</t>
        </is>
      </c>
      <c r="C199" s="25" t="inlineStr">
        <is>
          <t>330</t>
        </is>
      </c>
      <c r="D199" s="9" t="n">
        <v>46307.64835648148</v>
      </c>
      <c r="E199" s="9" t="n">
        <v>46307.6527662037</v>
      </c>
      <c r="F199" s="7">
        <f>IF(OR(D199="",E199=""),"",(E199-D199)*1440)</f>
        <v>6.35</v>
      </c>
      <c r="G199" s="6" t="n">
        <v>100</v>
      </c>
      <c r="H199" s="6" t="inlineStr">
        <is>
          <t>anonymous</t>
        </is>
      </c>
      <c r="I199" t="str">
        <f>IF(C199="","",C199&amp;"|"&amp;G199)</f>
        <v>330|100</v>
      </c>
    </row>
    <row r="200">
      <c r="A200" s="5" t="inlineStr">
        <is>
          <t>Gema Yesenia Villalobos Hernández</t>
        </is>
      </c>
      <c r="B200" s="5" t="inlineStr">
        <is>
          <t>Administración de Crteras</t>
        </is>
      </c>
      <c r="C200" s="25" t="inlineStr">
        <is>
          <t>477</t>
        </is>
      </c>
      <c r="D200" s="9" t="n">
        <v>46307.65331018518</v>
      </c>
      <c r="E200" s="9" t="n">
        <v>46307.65584490741</v>
      </c>
      <c r="F200" s="7">
        <f>IF(OR(D200="",E200=""),"",(E200-D200)*1440)</f>
        <v>3.65</v>
      </c>
      <c r="G200" s="6" t="n">
        <v>100</v>
      </c>
      <c r="H200" s="6" t="inlineStr">
        <is>
          <t>anonymous</t>
        </is>
      </c>
      <c r="I200" t="str">
        <f>IF(C200="","",C200&amp;"|"&amp;G200)</f>
        <v>477|100</v>
      </c>
    </row>
    <row r="201">
      <c r="A201" s="5" t="inlineStr">
        <is>
          <t>Ester Aleyda Godoy Campos</t>
        </is>
      </c>
      <c r="B201" s="5" t="inlineStr">
        <is>
          <t>Planificación</t>
        </is>
      </c>
      <c r="C201" s="25" t="inlineStr">
        <is>
          <t>191</t>
        </is>
      </c>
      <c r="D201" s="9" t="n">
        <v>46307.66331018518</v>
      </c>
      <c r="E201" s="9" t="n">
        <v>46307.66598379629</v>
      </c>
      <c r="F201" s="7">
        <f>IF(OR(D201="",E201=""),"",(E201-D201)*1440)</f>
        <v>3.85</v>
      </c>
      <c r="G201" s="6" t="n">
        <v>100</v>
      </c>
      <c r="H201" s="6" t="inlineStr">
        <is>
          <t>anonymous</t>
        </is>
      </c>
      <c r="I201" t="str">
        <f>IF(C201="","",C201&amp;"|"&amp;G201)</f>
        <v>191|100</v>
      </c>
    </row>
    <row r="202">
      <c r="A202" s="5" t="inlineStr">
        <is>
          <t>YANETH MARLENY LANDAVERDE DE MORALES</t>
        </is>
      </c>
      <c r="B202" s="5" t="inlineStr">
        <is>
          <t>ADMINISTRACION DE CARTERA</t>
        </is>
      </c>
      <c r="C202" s="25" t="inlineStr">
        <is>
          <t>16</t>
        </is>
      </c>
      <c r="D202" s="9" t="n">
        <v>46307.67121527778</v>
      </c>
      <c r="E202" s="9" t="n">
        <v>46307.6755324074</v>
      </c>
      <c r="F202" s="7">
        <f>IF(OR(D202="",E202=""),"",(E202-D202)*1440)</f>
        <v>6.21666664256667</v>
      </c>
      <c r="G202" s="6" t="n">
        <v>100</v>
      </c>
      <c r="H202" s="6" t="inlineStr">
        <is>
          <t>anonymous</t>
        </is>
      </c>
      <c r="I202" t="str">
        <f>IF(C202="","",C202&amp;"|"&amp;G202)</f>
        <v>16|100</v>
      </c>
    </row>
    <row r="203">
      <c r="A203" s="5" t="inlineStr">
        <is>
          <t>Claudia Margarita Campos Gonzalez</t>
        </is>
      </c>
      <c r="B203" s="5" t="inlineStr">
        <is>
          <t>Departamento de análisis y programación</t>
        </is>
      </c>
      <c r="C203" s="25" t="inlineStr">
        <is>
          <t>410</t>
        </is>
      </c>
      <c r="D203" s="9" t="n">
        <v>46307.69018518519</v>
      </c>
      <c r="E203" s="9" t="n">
        <v>46307.69321759259</v>
      </c>
      <c r="F203" s="7">
        <f>IF(OR(D203="",E203=""),"",(E203-D203)*1440)</f>
        <v>4.36666666666667</v>
      </c>
      <c r="G203" s="6" t="n">
        <v>100</v>
      </c>
      <c r="H203" s="6" t="inlineStr">
        <is>
          <t>anonymous</t>
        </is>
      </c>
      <c r="I203" t="str">
        <f>IF(C203="","",C203&amp;"|"&amp;G203)</f>
        <v>410|100</v>
      </c>
    </row>
    <row r="204">
      <c r="A204" s="5" t="inlineStr">
        <is>
          <t>IVONNE LISSETH DE JESUS RODRIGUEZ</t>
        </is>
      </c>
      <c r="B204" s="5" t="inlineStr">
        <is>
          <t>PLAZA MUNDO</t>
        </is>
      </c>
      <c r="C204" s="25" t="inlineStr">
        <is>
          <t>219</t>
        </is>
      </c>
      <c r="D204" s="9" t="n">
        <v>46308.38597222222</v>
      </c>
      <c r="E204" s="9" t="n">
        <v>46308.39677083334</v>
      </c>
      <c r="F204" s="7">
        <f>IF(OR(D204="",E204=""),"",(E204-D204)*1440)</f>
        <v>15.55</v>
      </c>
      <c r="G204" s="6" t="n">
        <v>95</v>
      </c>
      <c r="H204" s="6" t="inlineStr">
        <is>
          <t>anonymous</t>
        </is>
      </c>
      <c r="I204" t="str">
        <f>IF(C204="","",C204&amp;"|"&amp;G204)</f>
        <v>219|95</v>
      </c>
    </row>
    <row r="205">
      <c r="A205" s="5" t="inlineStr">
        <is>
          <t>Gabriela Jeannette Bolaños Herrera</t>
        </is>
      </c>
      <c r="B205" s="5" t="inlineStr">
        <is>
          <t>Agencia Plaza Mundo</t>
        </is>
      </c>
      <c r="C205" s="25" t="inlineStr">
        <is>
          <t>616</t>
        </is>
      </c>
      <c r="D205" s="9" t="n">
        <v>46308.4108449074</v>
      </c>
      <c r="E205" s="9" t="n">
        <v>46308.41873842593</v>
      </c>
      <c r="F205" s="7">
        <f>IF(OR(D205="",E205=""),"",(E205-D205)*1440)</f>
        <v>11.36666668345</v>
      </c>
      <c r="G205" s="6" t="n">
        <v>100</v>
      </c>
      <c r="H205" s="6" t="inlineStr">
        <is>
          <t>anonymous</t>
        </is>
      </c>
      <c r="I205" t="str">
        <f>IF(C205="","",C205&amp;"|"&amp;G205)</f>
        <v>616|100</v>
      </c>
    </row>
    <row r="206">
      <c r="A206" s="5" t="inlineStr">
        <is>
          <t>MIGUEL ANGEL LEON MENA</t>
        </is>
      </c>
      <c r="B206" s="5" t="inlineStr">
        <is>
          <t>AGENCIA SONSONATE</t>
        </is>
      </c>
      <c r="C206" s="25" t="inlineStr">
        <is>
          <t>755</t>
        </is>
      </c>
      <c r="D206" s="9" t="n">
        <v>46308.43619212963</v>
      </c>
      <c r="E206" s="9" t="n">
        <v>46308.45641203703</v>
      </c>
      <c r="F206" s="7">
        <f>IF(OR(D206="",E206=""),"",(E206-D206)*1440)</f>
        <v>29.1166666666667</v>
      </c>
      <c r="G206" s="6" t="n">
        <v>80</v>
      </c>
      <c r="H206" s="6" t="inlineStr">
        <is>
          <t>anonymous</t>
        </is>
      </c>
      <c r="I206" t="str">
        <f>IF(C206="","",C206&amp;"|"&amp;G206)</f>
        <v>755|80</v>
      </c>
    </row>
    <row r="207">
      <c r="A207" s="5" t="inlineStr">
        <is>
          <t>DIEGO GERARDO GUANDIQUE TORRES</t>
        </is>
      </c>
      <c r="B207" s="5" t="inlineStr">
        <is>
          <t>SAN MIGUEL</t>
        </is>
      </c>
      <c r="C207" s="25" t="inlineStr">
        <is>
          <t>776</t>
        </is>
      </c>
      <c r="D207" s="9" t="n">
        <v>46308.46075231482</v>
      </c>
      <c r="E207" s="9" t="n">
        <v>46308.46273148148</v>
      </c>
      <c r="F207" s="7">
        <f>IF(OR(D207="",E207=""),"",(E207-D207)*1440)</f>
        <v>2.85</v>
      </c>
      <c r="G207" s="6" t="n">
        <v>100</v>
      </c>
      <c r="H207" s="6" t="inlineStr">
        <is>
          <t>anonymous</t>
        </is>
      </c>
      <c r="I207" t="str">
        <f>IF(C207="","",C207&amp;"|"&amp;G207)</f>
        <v>776|100</v>
      </c>
    </row>
    <row r="208">
      <c r="A208" s="5" t="inlineStr">
        <is>
          <t>Mabel Geraldine Ramírez de Portillo</t>
        </is>
      </c>
      <c r="B208" s="5" t="inlineStr">
        <is>
          <t>Créditos</t>
        </is>
      </c>
      <c r="C208" s="25" t="inlineStr">
        <is>
          <t>377</t>
        </is>
      </c>
      <c r="D208" s="9" t="n">
        <v>46308.56457175926</v>
      </c>
      <c r="E208" s="9" t="n">
        <v>46308.57119212963</v>
      </c>
      <c r="F208" s="7">
        <f>IF(OR(D208="",E208=""),"",(E208-D208)*1440)</f>
        <v>9.53333333333333</v>
      </c>
      <c r="G208" s="6" t="n">
        <v>100</v>
      </c>
      <c r="H208" s="6" t="inlineStr">
        <is>
          <t>anonymous</t>
        </is>
      </c>
      <c r="I208" t="str">
        <f>IF(C208="","",C208&amp;"|"&amp;G208)</f>
        <v>377|100</v>
      </c>
    </row>
    <row r="209">
      <c r="A209" s="5" t="inlineStr">
        <is>
          <t>INGRID PAOLA CORADO HERNANDEZ</t>
        </is>
      </c>
      <c r="B209" s="5" t="inlineStr">
        <is>
          <t>COLONIA MEDICA</t>
        </is>
      </c>
      <c r="C209" s="25" t="inlineStr">
        <is>
          <t>722</t>
        </is>
      </c>
      <c r="D209" s="9" t="n">
        <v>46308.57634259259</v>
      </c>
      <c r="E209" s="9" t="n">
        <v>46308.57957175926</v>
      </c>
      <c r="F209" s="7">
        <f>IF(OR(D209="",E209=""),"",(E209-D209)*1440)</f>
        <v>4.65</v>
      </c>
      <c r="G209" s="6" t="n">
        <v>90</v>
      </c>
      <c r="H209" s="6" t="inlineStr">
        <is>
          <t>anonymous</t>
        </is>
      </c>
      <c r="I209" t="str">
        <f>IF(C209="","",C209&amp;"|"&amp;G209)</f>
        <v>722|90</v>
      </c>
    </row>
    <row r="210">
      <c r="A210" s="5" t="inlineStr">
        <is>
          <t>Carolina Ramirez</t>
        </is>
      </c>
      <c r="B210" s="5" t="inlineStr">
        <is>
          <t>Central</t>
        </is>
      </c>
      <c r="C210" s="25" t="inlineStr">
        <is>
          <t>33</t>
        </is>
      </c>
      <c r="D210" s="9" t="n">
        <v>46308.60721064815</v>
      </c>
      <c r="E210" s="9" t="n">
        <v>46308.61247685185</v>
      </c>
      <c r="F210" s="7">
        <f>IF(OR(D210="",E210=""),"",(E210-D210)*1440)</f>
        <v>7.58333333333333</v>
      </c>
      <c r="G210" s="6" t="n">
        <v>100</v>
      </c>
      <c r="H210" s="6" t="inlineStr">
        <is>
          <t>anonymous</t>
        </is>
      </c>
      <c r="I210" t="str">
        <f>IF(C210="","",C210&amp;"|"&amp;G210)</f>
        <v>33|100</v>
      </c>
    </row>
    <row r="211">
      <c r="A211" s="5" t="inlineStr">
        <is>
          <t>Carlos René Castillo Gámez</t>
        </is>
      </c>
      <c r="B211" s="5" t="inlineStr">
        <is>
          <t>Legal</t>
        </is>
      </c>
      <c r="C211" s="25" t="inlineStr">
        <is>
          <t>592</t>
        </is>
      </c>
      <c r="D211" s="9" t="n">
        <v>46308.6159837963</v>
      </c>
      <c r="E211" s="9" t="n">
        <v>46308.62107638889</v>
      </c>
      <c r="F211" s="7">
        <f>IF(OR(D211="",E211=""),"",(E211-D211)*1440)</f>
        <v>7.33333333333333</v>
      </c>
      <c r="G211" s="6" t="n">
        <v>100</v>
      </c>
      <c r="H211" s="6" t="inlineStr">
        <is>
          <t>anonymous</t>
        </is>
      </c>
      <c r="I211" t="str">
        <f>IF(C211="","",C211&amp;"|"&amp;G211)</f>
        <v>592|100</v>
      </c>
    </row>
    <row r="212">
      <c r="A212" s="5" t="inlineStr">
        <is>
          <t>Karla Patricia Robles</t>
        </is>
      </c>
      <c r="B212" s="5" t="inlineStr">
        <is>
          <t>Departamento de Atención al Asociado y Clientes</t>
        </is>
      </c>
      <c r="C212" s="25" t="inlineStr">
        <is>
          <t>744</t>
        </is>
      </c>
      <c r="D212" s="9" t="n">
        <v>46308.61741898148</v>
      </c>
      <c r="E212" s="9" t="n">
        <v>46308.62261574074</v>
      </c>
      <c r="F212" s="7">
        <f>IF(OR(D212="",E212=""),"",(E212-D212)*1440)</f>
        <v>7.48333333333333</v>
      </c>
      <c r="G212" s="6" t="n">
        <v>90</v>
      </c>
      <c r="H212" s="6" t="inlineStr">
        <is>
          <t>anonymous</t>
        </is>
      </c>
      <c r="I212" t="str">
        <f>IF(C212="","",C212&amp;"|"&amp;G212)</f>
        <v>744|90</v>
      </c>
    </row>
    <row r="213">
      <c r="A213" s="5" t="inlineStr">
        <is>
          <t>Emerson Ulises Beltran Cortez</t>
        </is>
      </c>
      <c r="B213" s="5" t="inlineStr">
        <is>
          <t>Depto. Atención al Asociado y clientes</t>
        </is>
      </c>
      <c r="C213" s="25" t="inlineStr">
        <is>
          <t>887</t>
        </is>
      </c>
      <c r="D213" s="9" t="n">
        <v>46308.63217592592</v>
      </c>
      <c r="E213" s="9" t="n">
        <v>46308.64163194445</v>
      </c>
      <c r="F213" s="7">
        <f>IF(OR(D213="",E213=""),"",(E213-D213)*1440)</f>
        <v>13.6166666666667</v>
      </c>
      <c r="G213" s="6" t="n">
        <v>100</v>
      </c>
      <c r="H213" s="6" t="inlineStr">
        <is>
          <t>anonymous</t>
        </is>
      </c>
      <c r="I213" t="str">
        <f>IF(C213="","",C213&amp;"|"&amp;G213)</f>
        <v>887|100</v>
      </c>
    </row>
    <row r="214">
      <c r="A214" s="5" t="inlineStr">
        <is>
          <t>Jennifer Roxana Ayala Ayala</t>
        </is>
      </c>
      <c r="B214" s="5" t="inlineStr">
        <is>
          <t>Departamento de atención al asociado y clientes</t>
        </is>
      </c>
      <c r="C214" s="25" t="inlineStr">
        <is>
          <t>986</t>
        </is>
      </c>
      <c r="D214" s="9" t="n">
        <v>46308.70475694445</v>
      </c>
      <c r="E214" s="9" t="n">
        <v>46308.71369212963</v>
      </c>
      <c r="F214" s="7">
        <f>IF(OR(D214="",E214=""),"",(E214-D214)*1440)</f>
        <v>12.8666666666667</v>
      </c>
      <c r="G214" s="6" t="n">
        <v>80</v>
      </c>
      <c r="H214" s="6" t="inlineStr">
        <is>
          <t>anonymous</t>
        </is>
      </c>
      <c r="I214" t="str">
        <f>IF(C214="","",C214&amp;"|"&amp;G214)</f>
        <v>986|80</v>
      </c>
    </row>
    <row r="215">
      <c r="A215" s="5" t="inlineStr">
        <is>
          <t>Thelma Judith Quintanilla</t>
        </is>
      </c>
      <c r="B215" s="5" t="inlineStr">
        <is>
          <t>Contabilidad</t>
        </is>
      </c>
      <c r="C215" s="25" t="inlineStr">
        <is>
          <t>374</t>
        </is>
      </c>
      <c r="D215" s="9" t="n">
        <v>46309.37858796296</v>
      </c>
      <c r="E215" s="9" t="n">
        <v>46309.3869675926</v>
      </c>
      <c r="F215" s="7">
        <f>IF(OR(D215="",E215=""),"",(E215-D215)*1440)</f>
        <v>12.0666666899333</v>
      </c>
      <c r="G215" s="6" t="n">
        <v>85</v>
      </c>
      <c r="H215" s="6" t="inlineStr">
        <is>
          <t>anonymous</t>
        </is>
      </c>
      <c r="I215" t="str">
        <f>IF(C215="","",C215&amp;"|"&amp;G215)</f>
        <v>374|85</v>
      </c>
    </row>
    <row r="216">
      <c r="A216" s="5" t="inlineStr">
        <is>
          <t>GLENDA SALAZAR</t>
        </is>
      </c>
      <c r="B216" s="5" t="inlineStr">
        <is>
          <t>AGENCIA SANTA ANA</t>
        </is>
      </c>
      <c r="C216" s="25" t="inlineStr">
        <is>
          <t>295</t>
        </is>
      </c>
      <c r="D216" s="9" t="n">
        <v>46309.33659722222</v>
      </c>
      <c r="E216" s="9" t="n">
        <v>46309.33927083333</v>
      </c>
      <c r="F216" s="7">
        <f>IF(OR(D216="",E216=""),"",(E216-D216)*1440)</f>
        <v>3.85</v>
      </c>
      <c r="G216" s="6" t="n">
        <v>100</v>
      </c>
      <c r="H216" s="6" t="inlineStr">
        <is>
          <t>anonymous</t>
        </is>
      </c>
      <c r="I216" t="str">
        <f>IF(C216="","",C216&amp;"|"&amp;G216)</f>
        <v>295|100</v>
      </c>
    </row>
    <row r="217">
      <c r="A217" s="5" t="inlineStr">
        <is>
          <t>yenis marilu escobar sorto</t>
        </is>
      </c>
      <c r="B217" s="5" t="inlineStr">
        <is>
          <t>Soluciones</t>
        </is>
      </c>
      <c r="C217" s="25" t="inlineStr">
        <is>
          <t>34</t>
        </is>
      </c>
      <c r="D217" s="9" t="n">
        <v>46309.34978009259</v>
      </c>
      <c r="E217" s="9" t="n">
        <v>46309.35415509259</v>
      </c>
      <c r="F217" s="7">
        <f>IF(OR(D217="",E217=""),"",(E217-D217)*1440)</f>
        <v>6.3</v>
      </c>
      <c r="G217" s="6" t="n">
        <v>70</v>
      </c>
      <c r="H217" s="6" t="inlineStr">
        <is>
          <t>anonymous</t>
        </is>
      </c>
      <c r="I217" t="str">
        <f>IF(C217="","",C217&amp;"|"&amp;G217)</f>
        <v>34|70</v>
      </c>
    </row>
    <row r="218">
      <c r="A218" s="5" t="inlineStr">
        <is>
          <t>JULIO RAFAEL FLORES HENRIQUEZ</t>
        </is>
      </c>
      <c r="B218" s="5" t="inlineStr">
        <is>
          <t>COLONIA MEDICA</t>
        </is>
      </c>
      <c r="C218" s="25" t="inlineStr">
        <is>
          <t>179</t>
        </is>
      </c>
      <c r="D218" s="9" t="n">
        <v>46309.36197916666</v>
      </c>
      <c r="E218" s="9" t="n">
        <v>46309.36565972222</v>
      </c>
      <c r="F218" s="7">
        <f>IF(OR(D218="",E218=""),"",(E218-D218)*1440)</f>
        <v>5.3</v>
      </c>
      <c r="G218" s="6" t="n">
        <v>100</v>
      </c>
      <c r="H218" s="6" t="inlineStr">
        <is>
          <t>anonymous</t>
        </is>
      </c>
      <c r="I218" t="str">
        <f>IF(C218="","",C218&amp;"|"&amp;G218)</f>
        <v>179|100</v>
      </c>
    </row>
    <row r="219">
      <c r="A219" s="5" t="inlineStr">
        <is>
          <t>ANGELA GABRIELA REYES MOLINA</t>
        </is>
      </c>
      <c r="B219" s="5" t="inlineStr">
        <is>
          <t>Gerencia de Negocios</t>
        </is>
      </c>
      <c r="C219" s="25" t="inlineStr">
        <is>
          <t>956</t>
        </is>
      </c>
      <c r="D219" s="9" t="n">
        <v>46309.35945601852</v>
      </c>
      <c r="E219" s="9" t="n">
        <v>46309.36673611111</v>
      </c>
      <c r="F219" s="7">
        <f>IF(OR(D219="",E219=""),"",(E219-D219)*1440)</f>
        <v>10.4833333333333</v>
      </c>
      <c r="G219" s="6" t="n">
        <v>100</v>
      </c>
      <c r="H219" s="6" t="inlineStr">
        <is>
          <t>anonymous</t>
        </is>
      </c>
      <c r="I219" t="str">
        <f>IF(C219="","",C219&amp;"|"&amp;G219)</f>
        <v>956|100</v>
      </c>
    </row>
    <row r="220">
      <c r="A220" s="5" t="inlineStr">
        <is>
          <t>Eduardo Jose Gamez Villatoro</t>
        </is>
      </c>
      <c r="B220" s="5" t="inlineStr">
        <is>
          <t>Agencia Uslutan</t>
        </is>
      </c>
      <c r="C220" s="25" t="inlineStr">
        <is>
          <t>970</t>
        </is>
      </c>
      <c r="D220" s="9" t="n">
        <v>46309.37417824074</v>
      </c>
      <c r="E220" s="9" t="n">
        <v>46309.37625</v>
      </c>
      <c r="F220" s="7">
        <f>IF(OR(D220="",E220=""),"",(E220-D220)*1440)</f>
        <v>2.98333333333333</v>
      </c>
      <c r="G220" s="6" t="n">
        <v>100</v>
      </c>
      <c r="H220" s="6" t="inlineStr">
        <is>
          <t>anonymous</t>
        </is>
      </c>
      <c r="I220" t="str">
        <f>IF(C220="","",C220&amp;"|"&amp;G220)</f>
        <v>970|100</v>
      </c>
    </row>
    <row r="221">
      <c r="A221" s="5" t="inlineStr">
        <is>
          <t>SAMUEL ALBERTO SALGUERO RODRIGUEZ</t>
        </is>
      </c>
      <c r="B221" s="5" t="inlineStr">
        <is>
          <t>SUBGERENCIA DE CANALES</t>
        </is>
      </c>
      <c r="C221" s="25" t="inlineStr">
        <is>
          <t>968</t>
        </is>
      </c>
      <c r="D221" s="9" t="n">
        <v>46309.37976851852</v>
      </c>
      <c r="E221" s="9" t="n">
        <v>46309.38234953704</v>
      </c>
      <c r="F221" s="7">
        <f>IF(OR(D221="",E221=""),"",(E221-D221)*1440)</f>
        <v>3.71666666666667</v>
      </c>
      <c r="G221" s="6" t="n">
        <v>90</v>
      </c>
      <c r="H221" s="6" t="inlineStr">
        <is>
          <t>anonymous</t>
        </is>
      </c>
      <c r="I221" t="str">
        <f>IF(C221="","",C221&amp;"|"&amp;G221)</f>
        <v>968|90</v>
      </c>
    </row>
    <row r="222">
      <c r="A222" s="5" t="inlineStr">
        <is>
          <t>MELVIN ELISEO HERNANDEZ MACHADO</t>
        </is>
      </c>
      <c r="B222" s="5" t="inlineStr">
        <is>
          <t>USULUTAN</t>
        </is>
      </c>
      <c r="C222" s="25" t="inlineStr">
        <is>
          <t>951</t>
        </is>
      </c>
      <c r="D222" s="9" t="n">
        <v>46309.37678240741</v>
      </c>
      <c r="E222" s="9" t="n">
        <v>46309.3825462963</v>
      </c>
      <c r="F222" s="7">
        <f>IF(OR(D222="",E222=""),"",(E222-D222)*1440)</f>
        <v>8.3</v>
      </c>
      <c r="G222" s="6" t="n">
        <v>100</v>
      </c>
      <c r="H222" s="6" t="inlineStr">
        <is>
          <t>anonymous</t>
        </is>
      </c>
      <c r="I222" t="str">
        <f>IF(C222="","",C222&amp;"|"&amp;G222)</f>
        <v>951|100</v>
      </c>
    </row>
    <row r="223">
      <c r="A223" s="5" t="inlineStr">
        <is>
          <t>Jordan Alexander Flores Herrera</t>
        </is>
      </c>
      <c r="B223" s="5" t="inlineStr">
        <is>
          <t>Contabilidad</t>
        </is>
      </c>
      <c r="C223" s="25" t="inlineStr">
        <is>
          <t>916</t>
        </is>
      </c>
      <c r="D223" s="9" t="n">
        <v>46309.381875</v>
      </c>
      <c r="E223" s="9" t="n">
        <v>46309.38695601852</v>
      </c>
      <c r="F223" s="7">
        <f>IF(OR(D223="",E223=""),"",(E223-D223)*1440)</f>
        <v>7.31666666666667</v>
      </c>
      <c r="G223" s="6" t="n">
        <v>100</v>
      </c>
      <c r="H223" s="6" t="inlineStr">
        <is>
          <t>anonymous</t>
        </is>
      </c>
      <c r="I223" t="str">
        <f>IF(C223="","",C223&amp;"|"&amp;G223)</f>
        <v>916|100</v>
      </c>
    </row>
    <row r="224">
      <c r="A224" s="5" t="inlineStr">
        <is>
          <t>HENRY OSWALDO PINEDA GARCÍA</t>
        </is>
      </c>
      <c r="B224" s="5" t="inlineStr">
        <is>
          <t>SEGUROS</t>
        </is>
      </c>
      <c r="C224" s="25" t="inlineStr">
        <is>
          <t>894</t>
        </is>
      </c>
      <c r="D224" s="9" t="n">
        <v>46309.38635416667</v>
      </c>
      <c r="E224" s="9" t="n">
        <v>46309.38825231481</v>
      </c>
      <c r="F224" s="7">
        <f>IF(OR(D224="",E224=""),"",(E224-D224)*1440)</f>
        <v>2.73333333333333</v>
      </c>
      <c r="G224" s="6" t="n">
        <v>100</v>
      </c>
      <c r="H224" s="6" t="inlineStr">
        <is>
          <t>anonymous</t>
        </is>
      </c>
      <c r="I224" t="str">
        <f>IF(C224="","",C224&amp;"|"&amp;G224)</f>
        <v>894|100</v>
      </c>
    </row>
    <row r="225">
      <c r="A225" s="5" t="inlineStr">
        <is>
          <t>JUAN PABLO HENRIQUEZ RTAMIREZ</t>
        </is>
      </c>
      <c r="B225" s="5" t="inlineStr">
        <is>
          <t>SOLUCIONES FINANCIERAS</t>
        </is>
      </c>
      <c r="C225" s="25" t="inlineStr">
        <is>
          <t>573</t>
        </is>
      </c>
      <c r="D225" s="9" t="n">
        <v>46309.38109953704</v>
      </c>
      <c r="E225" s="9" t="n">
        <v>46309.38841435185</v>
      </c>
      <c r="F225" s="7">
        <f>IF(OR(D225="",E225=""),"",(E225-D225)*1440)</f>
        <v>10.5333333333333</v>
      </c>
      <c r="G225" s="6" t="n">
        <v>90</v>
      </c>
      <c r="H225" s="6" t="inlineStr">
        <is>
          <t>anonymous</t>
        </is>
      </c>
      <c r="I225" t="str">
        <f>IF(C225="","",C225&amp;"|"&amp;G225)</f>
        <v>573|90</v>
      </c>
    </row>
    <row r="226">
      <c r="A226" s="5" t="inlineStr">
        <is>
          <t>Nancy Carolina Fuentes Sorto</t>
        </is>
      </c>
      <c r="B226" s="5" t="inlineStr">
        <is>
          <t>Agencia Plaza Mundo</t>
        </is>
      </c>
      <c r="C226" s="25" t="inlineStr">
        <is>
          <t>675</t>
        </is>
      </c>
      <c r="D226" s="9" t="n">
        <v>46309.3912037037</v>
      </c>
      <c r="E226" s="9" t="n">
        <v>46309.3943287037</v>
      </c>
      <c r="F226" s="7">
        <f>IF(OR(D226="",E226=""),"",(E226-D226)*1440)</f>
        <v>4.5</v>
      </c>
      <c r="G226" s="6" t="n">
        <v>90</v>
      </c>
      <c r="H226" s="6" t="inlineStr">
        <is>
          <t>anonymous</t>
        </is>
      </c>
      <c r="I226" t="str">
        <f>IF(C226="","",C226&amp;"|"&amp;G226)</f>
        <v>675|90</v>
      </c>
    </row>
    <row r="227">
      <c r="A227" s="5" t="inlineStr">
        <is>
          <t>ANA ESTER ERAZO DE ORTIZ</t>
        </is>
      </c>
      <c r="B227" s="5" t="inlineStr">
        <is>
          <t>CREDITOS</t>
        </is>
      </c>
      <c r="C227" s="25" t="inlineStr">
        <is>
          <t>207</t>
        </is>
      </c>
      <c r="D227" s="9" t="n">
        <v>46309.3940162037</v>
      </c>
      <c r="E227" s="9" t="n">
        <v>46309.40052083333</v>
      </c>
      <c r="F227" s="7">
        <f>IF(OR(D227="",E227=""),"",(E227-D227)*1440)</f>
        <v>9.36666666666667</v>
      </c>
      <c r="G227" s="6" t="n">
        <v>100</v>
      </c>
      <c r="H227" s="6" t="inlineStr">
        <is>
          <t>anonymous</t>
        </is>
      </c>
      <c r="I227" t="str">
        <f>IF(C227="","",C227&amp;"|"&amp;G227)</f>
        <v>207|100</v>
      </c>
    </row>
    <row r="228">
      <c r="A228" s="5" t="inlineStr">
        <is>
          <t>Walter Alberto barahona díaz</t>
        </is>
      </c>
      <c r="B228" s="5" t="inlineStr">
        <is>
          <t>Plaza mundo</t>
        </is>
      </c>
      <c r="C228" s="25" t="inlineStr">
        <is>
          <t>748</t>
        </is>
      </c>
      <c r="D228" s="9" t="n">
        <v>46309.39879629629</v>
      </c>
      <c r="E228" s="9" t="n">
        <v>46309.40075231482</v>
      </c>
      <c r="F228" s="7">
        <f>IF(OR(D228="",E228=""),"",(E228-D228)*1440)</f>
        <v>2.81666666666667</v>
      </c>
      <c r="G228" s="6" t="n">
        <v>100</v>
      </c>
      <c r="H228" s="6" t="inlineStr">
        <is>
          <t>anonymous</t>
        </is>
      </c>
      <c r="I228" t="str">
        <f>IF(C228="","",C228&amp;"|"&amp;G228)</f>
        <v>748|100</v>
      </c>
    </row>
    <row r="229">
      <c r="A229" s="5" t="inlineStr">
        <is>
          <t>Erika iveth mancia hermandad</t>
        </is>
      </c>
      <c r="B229" s="5" t="inlineStr">
        <is>
          <t>Plaza mundo</t>
        </is>
      </c>
      <c r="C229" s="25" t="inlineStr">
        <is>
          <t>955</t>
        </is>
      </c>
      <c r="D229" s="9" t="n">
        <v>46309.40180555556</v>
      </c>
      <c r="E229" s="9" t="n">
        <v>46309.40469907408</v>
      </c>
      <c r="F229" s="7">
        <f>IF(OR(D229="",E229=""),"",(E229-D229)*1440)</f>
        <v>4.16666666666667</v>
      </c>
      <c r="G229" s="6" t="n">
        <v>100</v>
      </c>
      <c r="H229" s="6" t="inlineStr">
        <is>
          <t>anonymous</t>
        </is>
      </c>
      <c r="I229" t="str">
        <f>IF(C229="","",C229&amp;"|"&amp;G229)</f>
        <v>955|100</v>
      </c>
    </row>
    <row r="230">
      <c r="A230" s="5" t="inlineStr">
        <is>
          <t>Paola jeannette romero</t>
        </is>
      </c>
      <c r="B230" s="5" t="inlineStr">
        <is>
          <t>Plaza mundo</t>
        </is>
      </c>
      <c r="C230" s="25" t="inlineStr">
        <is>
          <t>876</t>
        </is>
      </c>
      <c r="D230" s="9" t="n">
        <v>46309.39832175926</v>
      </c>
      <c r="E230" s="9" t="n">
        <v>46309.40822916666</v>
      </c>
      <c r="F230" s="7">
        <f>IF(OR(D230="",E230=""),"",(E230-D230)*1440)</f>
        <v>14.2666666489</v>
      </c>
      <c r="G230" s="6" t="n">
        <v>100</v>
      </c>
      <c r="H230" s="6" t="inlineStr">
        <is>
          <t>anonymous</t>
        </is>
      </c>
      <c r="I230" t="str">
        <f>IF(C230="","",C230&amp;"|"&amp;G230)</f>
        <v>876|100</v>
      </c>
    </row>
    <row r="231">
      <c r="A231" s="5" t="inlineStr">
        <is>
          <t>Fabiola Elizabeth Ticas Gómez</t>
        </is>
      </c>
      <c r="B231" s="5" t="inlineStr">
        <is>
          <t>Atención al asociado y cliente</t>
        </is>
      </c>
      <c r="C231" s="25" t="inlineStr">
        <is>
          <t>945</t>
        </is>
      </c>
      <c r="D231" s="9" t="n">
        <v>46309.40732638889</v>
      </c>
      <c r="E231" s="9" t="n">
        <v>46309.40916666666</v>
      </c>
      <c r="F231" s="7">
        <f>IF(OR(D231="",E231=""),"",(E231-D231)*1440)</f>
        <v>2.64999998033333</v>
      </c>
      <c r="G231" s="6" t="n">
        <v>100</v>
      </c>
      <c r="H231" s="6" t="inlineStr">
        <is>
          <t>anonymous</t>
        </is>
      </c>
      <c r="I231" t="str">
        <f>IF(C231="","",C231&amp;"|"&amp;G231)</f>
        <v>945|100</v>
      </c>
    </row>
    <row r="232">
      <c r="A232" s="5" t="inlineStr">
        <is>
          <t>LUIS MANUEL VALENCIA GUERRERO</t>
        </is>
      </c>
      <c r="B232" s="5" t="inlineStr">
        <is>
          <t>AGENCIA USULUTAN</t>
        </is>
      </c>
      <c r="C232" s="25" t="inlineStr">
        <is>
          <t>917</t>
        </is>
      </c>
      <c r="D232" s="9" t="n">
        <v>46309.36599537037</v>
      </c>
      <c r="E232" s="9" t="n">
        <v>46309.4197337963</v>
      </c>
      <c r="F232" s="7">
        <f>IF(OR(D232="",E232=""),"",(E232-D232)*1440)</f>
        <v>77.3833333333333</v>
      </c>
      <c r="G232" s="6" t="n">
        <v>100</v>
      </c>
      <c r="H232" s="6" t="inlineStr">
        <is>
          <t>anonymous</t>
        </is>
      </c>
      <c r="I232" t="str">
        <f>IF(C232="","",C232&amp;"|"&amp;G232)</f>
        <v>917|100</v>
      </c>
    </row>
    <row r="233">
      <c r="A233" s="5" t="inlineStr">
        <is>
          <t>Claudia Marisol Madrid de Barrientos</t>
        </is>
      </c>
      <c r="B233" s="5" t="inlineStr">
        <is>
          <t>SEGUROS</t>
        </is>
      </c>
      <c r="C233" s="25" t="inlineStr">
        <is>
          <t>544</t>
        </is>
      </c>
      <c r="D233" s="9" t="n">
        <v>46309.42065972222</v>
      </c>
      <c r="E233" s="9" t="n">
        <v>46309.43305555556</v>
      </c>
      <c r="F233" s="7">
        <f>IF(OR(D233="",E233=""),"",(E233-D233)*1440)</f>
        <v>17.85</v>
      </c>
      <c r="G233" s="6" t="n">
        <v>90</v>
      </c>
      <c r="H233" s="6" t="inlineStr">
        <is>
          <t>anonymous</t>
        </is>
      </c>
      <c r="I233" t="str">
        <f>IF(C233="","",C233&amp;"|"&amp;G233)</f>
        <v>544|90</v>
      </c>
    </row>
    <row r="234">
      <c r="A234" s="5" t="inlineStr">
        <is>
          <t>JEANNETTE ANGELINNE HERNANDEZ MEJIA</t>
        </is>
      </c>
      <c r="B234" s="5" t="inlineStr">
        <is>
          <t>AGENCIA SANTA ANA</t>
        </is>
      </c>
      <c r="C234" s="25" t="inlineStr">
        <is>
          <t>312</t>
        </is>
      </c>
      <c r="D234" s="9" t="n">
        <v>46309.44709490741</v>
      </c>
      <c r="E234" s="9" t="n">
        <v>46309.46179398148</v>
      </c>
      <c r="F234" s="7">
        <f>IF(OR(D234="",E234=""),"",(E234-D234)*1440)</f>
        <v>21.1666666666667</v>
      </c>
      <c r="G234" s="6" t="n">
        <v>100</v>
      </c>
      <c r="H234" s="6" t="inlineStr">
        <is>
          <t>anonymous</t>
        </is>
      </c>
      <c r="I234" t="str">
        <f>IF(C234="","",C234&amp;"|"&amp;G234)</f>
        <v>312|100</v>
      </c>
    </row>
    <row r="235">
      <c r="A235" s="5" t="inlineStr">
        <is>
          <t>JENNYFER AYLIN ESCOBAR ZAMORA</t>
        </is>
      </c>
      <c r="B235" s="5" t="inlineStr">
        <is>
          <t>DEPARTAMENTO DE SEGUROS</t>
        </is>
      </c>
      <c r="C235" s="25" t="inlineStr">
        <is>
          <t>792</t>
        </is>
      </c>
      <c r="D235" s="9" t="n">
        <v>46309.47331018518</v>
      </c>
      <c r="E235" s="9" t="n">
        <v>46309.485625</v>
      </c>
      <c r="F235" s="7">
        <f>IF(OR(D235="",E235=""),"",(E235-D235)*1440)</f>
        <v>17.7333333333333</v>
      </c>
      <c r="G235" s="6" t="n">
        <v>100</v>
      </c>
      <c r="H235" s="6" t="inlineStr">
        <is>
          <t>anonymous</t>
        </is>
      </c>
      <c r="I235" t="str">
        <f>IF(C235="","",C235&amp;"|"&amp;G235)</f>
        <v>792|100</v>
      </c>
    </row>
    <row r="236">
      <c r="A236" s="5" t="inlineStr">
        <is>
          <t>JUANA HAZEL GARCIA</t>
        </is>
      </c>
      <c r="B236" s="5" t="inlineStr">
        <is>
          <t>DEPARTAMENTO DE SEGURO</t>
        </is>
      </c>
      <c r="C236" s="25" t="inlineStr">
        <is>
          <t>805</t>
        </is>
      </c>
      <c r="D236" s="9" t="n">
        <v>46309.47760416667</v>
      </c>
      <c r="E236" s="9" t="n">
        <v>46309.48584490741</v>
      </c>
      <c r="F236" s="7">
        <f>IF(OR(D236="",E236=""),"",(E236-D236)*1440)</f>
        <v>11.8666666666667</v>
      </c>
      <c r="G236" s="6" t="n">
        <v>100</v>
      </c>
      <c r="H236" s="6" t="inlineStr">
        <is>
          <t>anonymous</t>
        </is>
      </c>
      <c r="I236" t="str">
        <f>IF(C236="","",C236&amp;"|"&amp;G236)</f>
        <v>805|100</v>
      </c>
    </row>
    <row r="237">
      <c r="A237" s="5" t="inlineStr">
        <is>
          <t>ANDREA YAMILETH ESCOBAR CHICA</t>
        </is>
      </c>
      <c r="B237" s="5" t="inlineStr">
        <is>
          <t>SANTA ANA</t>
        </is>
      </c>
      <c r="C237" s="25" t="inlineStr">
        <is>
          <t>818</t>
        </is>
      </c>
      <c r="D237" s="9" t="n">
        <v>46309.62401620371</v>
      </c>
      <c r="E237" s="9" t="n">
        <v>46309.62991898148</v>
      </c>
      <c r="F237" s="7">
        <f>IF(OR(D237="",E237=""),"",(E237-D237)*1440)</f>
        <v>8.5</v>
      </c>
      <c r="G237" s="6" t="n">
        <v>90</v>
      </c>
      <c r="H237" s="6" t="inlineStr">
        <is>
          <t>anonymous</t>
        </is>
      </c>
      <c r="I237" t="str">
        <f>IF(C237="","",C237&amp;"|"&amp;G237)</f>
        <v>818|90</v>
      </c>
    </row>
    <row r="238">
      <c r="A238" s="5" t="inlineStr">
        <is>
          <t>LISSETTE MARICELA SANCHEZ MOLINA</t>
        </is>
      </c>
      <c r="B238" s="5" t="inlineStr">
        <is>
          <t>DEPTO. DE SEGUROS</t>
        </is>
      </c>
      <c r="C238" s="25" t="inlineStr">
        <is>
          <t>643</t>
        </is>
      </c>
      <c r="D238" s="9" t="n">
        <v>46309.63423611111</v>
      </c>
      <c r="E238" s="9" t="n">
        <v>46309.63932870371</v>
      </c>
      <c r="F238" s="7">
        <f>IF(OR(D238="",E238=""),"",(E238-D238)*1440)</f>
        <v>7.33333335025</v>
      </c>
      <c r="G238" s="6" t="n">
        <v>100</v>
      </c>
      <c r="H238" s="6" t="inlineStr">
        <is>
          <t>anonymous</t>
        </is>
      </c>
      <c r="I238" t="str">
        <f>IF(C238="","",C238&amp;"|"&amp;G238)</f>
        <v>643|100</v>
      </c>
    </row>
    <row r="239">
      <c r="A239" s="5" t="inlineStr">
        <is>
          <t>LUIS GERARDO DUEÑAS VALLE</t>
        </is>
      </c>
      <c r="B239" s="5" t="inlineStr">
        <is>
          <t>SANTA ANA</t>
        </is>
      </c>
      <c r="C239" s="25" t="inlineStr">
        <is>
          <t>954</t>
        </is>
      </c>
      <c r="D239" s="9" t="n">
        <v>46309.6360300926</v>
      </c>
      <c r="E239" s="9" t="n">
        <v>46309.63957175926</v>
      </c>
      <c r="F239" s="7">
        <f>IF(OR(D239="",E239=""),"",(E239-D239)*1440)</f>
        <v>5.1</v>
      </c>
      <c r="G239" s="6" t="n">
        <v>90</v>
      </c>
      <c r="H239" s="6" t="inlineStr">
        <is>
          <t>anonymous</t>
        </is>
      </c>
      <c r="I239" t="str">
        <f>IF(C239="","",C239&amp;"|"&amp;G239)</f>
        <v>954|90</v>
      </c>
    </row>
    <row r="240">
      <c r="A240" s="5" t="inlineStr">
        <is>
          <t>Ana Beatriz Quinteros Avelar</t>
        </is>
      </c>
      <c r="B240" s="5" t="inlineStr">
        <is>
          <t>Departamento de Tarjeta de Credito y Debito</t>
        </is>
      </c>
      <c r="C240" s="25" t="inlineStr">
        <is>
          <t>725</t>
        </is>
      </c>
      <c r="D240" s="9" t="n">
        <v>46309.64625</v>
      </c>
      <c r="E240" s="9" t="n">
        <v>46309.65164351852</v>
      </c>
      <c r="F240" s="7">
        <f>IF(OR(D240="",E240=""),"",(E240-D240)*1440)</f>
        <v>7.76666666666667</v>
      </c>
      <c r="G240" s="6" t="n">
        <v>100</v>
      </c>
      <c r="H240" s="6" t="inlineStr">
        <is>
          <t>anonymous</t>
        </is>
      </c>
      <c r="I240" t="str">
        <f>IF(C240="","",C240&amp;"|"&amp;G240)</f>
        <v>725|100</v>
      </c>
    </row>
    <row r="241">
      <c r="A241" s="5" t="inlineStr">
        <is>
          <t>Rebeca Abigail Vega Flores</t>
        </is>
      </c>
      <c r="B241" s="5" t="inlineStr">
        <is>
          <t>Subgerencia de canales</t>
        </is>
      </c>
      <c r="C241" s="25" t="inlineStr">
        <is>
          <t>854</t>
        </is>
      </c>
      <c r="D241" s="9" t="n">
        <v>46309.66535879629</v>
      </c>
      <c r="E241" s="9" t="n">
        <v>46309.67223379629</v>
      </c>
      <c r="F241" s="7">
        <f>IF(OR(D241="",E241=""),"",(E241-D241)*1440)</f>
        <v>9.9</v>
      </c>
      <c r="G241" s="6" t="n">
        <v>100</v>
      </c>
      <c r="H241" s="6" t="inlineStr">
        <is>
          <t>anonymous</t>
        </is>
      </c>
      <c r="I241" t="str">
        <f>IF(C241="","",C241&amp;"|"&amp;G241)</f>
        <v>854|100</v>
      </c>
    </row>
    <row r="242">
      <c r="A242" s="5" t="inlineStr">
        <is>
          <t>Juan Carlos Aguilar Ascencio</t>
        </is>
      </c>
      <c r="B242" s="5" t="inlineStr">
        <is>
          <t>Sub gerencia de canales</t>
        </is>
      </c>
      <c r="C242" s="25" t="inlineStr">
        <is>
          <t>581</t>
        </is>
      </c>
      <c r="D242" s="9" t="n">
        <v>46309.66768518519</v>
      </c>
      <c r="E242" s="9" t="n">
        <v>46309.67239583333</v>
      </c>
      <c r="F242" s="7">
        <f>IF(OR(D242="",E242=""),"",(E242-D242)*1440)</f>
        <v>6.78333333333333</v>
      </c>
      <c r="G242" s="6" t="n">
        <v>100</v>
      </c>
      <c r="H242" s="6" t="inlineStr">
        <is>
          <t>anonymous</t>
        </is>
      </c>
      <c r="I242" t="str">
        <f>IF(C242="","",C242&amp;"|"&amp;G242)</f>
        <v>581|100</v>
      </c>
    </row>
    <row r="243">
      <c r="A243" s="5" t="inlineStr">
        <is>
          <t>LUIS FERNANDO MORÁN GARCÍA</t>
        </is>
      </c>
      <c r="B243" s="5" t="inlineStr">
        <is>
          <t>SUBGERENCIA DE CANALES</t>
        </is>
      </c>
      <c r="C243" s="25" t="inlineStr">
        <is>
          <t>651</t>
        </is>
      </c>
      <c r="D243" s="9" t="n">
        <v>46309.66612268519</v>
      </c>
      <c r="E243" s="9" t="n">
        <v>46309.67240740741</v>
      </c>
      <c r="F243" s="7">
        <f>IF(OR(D243="",E243=""),"",(E243-D243)*1440)</f>
        <v>9.05</v>
      </c>
      <c r="G243" s="6" t="n">
        <v>100</v>
      </c>
      <c r="H243" s="6" t="inlineStr">
        <is>
          <t>anonymous</t>
        </is>
      </c>
      <c r="I243" t="str">
        <f>IF(C243="","",C243&amp;"|"&amp;G243)</f>
        <v>651|100</v>
      </c>
    </row>
    <row r="244">
      <c r="A244" s="5" t="inlineStr">
        <is>
          <t>Sandra Verónica Acevedo Beltrán</t>
        </is>
      </c>
      <c r="B244" s="5" t="inlineStr">
        <is>
          <t>Subgerencia De Canales</t>
        </is>
      </c>
      <c r="C244" s="25" t="inlineStr">
        <is>
          <t>713</t>
        </is>
      </c>
      <c r="D244" s="9" t="n">
        <v>46309.67064814815</v>
      </c>
      <c r="E244" s="9" t="n">
        <v>46309.68292824074</v>
      </c>
      <c r="F244" s="7">
        <f>IF(OR(D244="",E244=""),"",(E244-D244)*1440)</f>
        <v>17.6833333333333</v>
      </c>
      <c r="G244" s="6" t="n">
        <v>100</v>
      </c>
      <c r="H244" s="6" t="inlineStr">
        <is>
          <t>anonymous</t>
        </is>
      </c>
      <c r="I244" t="str">
        <f>IF(C244="","",C244&amp;"|"&amp;G244)</f>
        <v>713|100</v>
      </c>
    </row>
    <row r="245">
      <c r="A245" s="5" t="inlineStr">
        <is>
          <t>Rubia Estela Leiva</t>
        </is>
      </c>
      <c r="B245" s="5" t="inlineStr">
        <is>
          <t>Contabilidad</t>
        </is>
      </c>
      <c r="C245" s="25" t="inlineStr">
        <is>
          <t>70</t>
        </is>
      </c>
      <c r="D245" s="9" t="n">
        <v>46309.704375</v>
      </c>
      <c r="E245" s="9" t="n">
        <v>46309.70938657408</v>
      </c>
      <c r="F245" s="7">
        <f>IF(OR(D245="",E245=""),"",(E245-D245)*1440)</f>
        <v>7.21666666666667</v>
      </c>
      <c r="G245" s="6" t="n">
        <v>100</v>
      </c>
      <c r="H245" s="6" t="inlineStr">
        <is>
          <t>anonymous</t>
        </is>
      </c>
      <c r="I245" t="str">
        <f>IF(C245="","",C245&amp;"|"&amp;G245)</f>
        <v>70|100</v>
      </c>
    </row>
    <row r="246">
      <c r="A246" s="5" t="inlineStr">
        <is>
          <t>ZULEYMA ALEJANDRA VÁSQUEZ DE MARIN</t>
        </is>
      </c>
      <c r="B246" s="5" t="inlineStr">
        <is>
          <t>EDUCACIÓN Y RESPONSABILIDAD SOCIAL</t>
        </is>
      </c>
      <c r="C246" s="25" t="inlineStr">
        <is>
          <t>847</t>
        </is>
      </c>
      <c r="D246" s="9" t="n">
        <v>46309.73905092593</v>
      </c>
      <c r="E246" s="9" t="n">
        <v>46309.74121527778</v>
      </c>
      <c r="F246" s="7">
        <f>IF(OR(D246="",E246=""),"",(E246-D246)*1440)</f>
        <v>3.11666666666667</v>
      </c>
      <c r="G246" s="6" t="n">
        <v>100</v>
      </c>
      <c r="H246" s="6" t="inlineStr">
        <is>
          <t>CÓDIGO CORREGIDO: escribió 873 (pertenece a otra persona)</t>
        </is>
      </c>
      <c r="I246" t="str">
        <f>IF(C246="","",C246&amp;"|"&amp;G246)</f>
        <v>847|100</v>
      </c>
    </row>
    <row r="247">
      <c r="A247" s="5" t="inlineStr">
        <is>
          <t>Carlos Eduardo Servellón Pérez</t>
        </is>
      </c>
      <c r="B247" s="5" t="inlineStr">
        <is>
          <t>Dpto. De Educación y Responsabilidad Social</t>
        </is>
      </c>
      <c r="C247" s="25" t="inlineStr">
        <is>
          <t>919</t>
        </is>
      </c>
      <c r="D247" s="9" t="n">
        <v>46310.50890046296</v>
      </c>
      <c r="E247" s="9" t="n">
        <v>46310.5114699074</v>
      </c>
      <c r="F247" s="7">
        <f>IF(OR(D247="",E247=""),"",(E247-D247)*1440)</f>
        <v>3.7</v>
      </c>
      <c r="G247" s="6" t="n">
        <v>100</v>
      </c>
      <c r="H247" s="6" t="inlineStr">
        <is>
          <t>anonymous</t>
        </is>
      </c>
      <c r="I247" t="str">
        <f>IF(C247="","",C247&amp;"|"&amp;G247)</f>
        <v>919|100</v>
      </c>
    </row>
    <row r="248">
      <c r="A248" s="5" t="inlineStr">
        <is>
          <t>FLOR IMELDA VILLALOBOS DE ARDON</t>
        </is>
      </c>
      <c r="B248" s="5" t="inlineStr">
        <is>
          <t>AGENCIA COLEGIO MEDICO</t>
        </is>
      </c>
      <c r="C248" s="25" t="inlineStr">
        <is>
          <t>26</t>
        </is>
      </c>
      <c r="D248" s="9" t="n">
        <v>46310.50853009259</v>
      </c>
      <c r="E248" s="9" t="n">
        <v>46310.51637731482</v>
      </c>
      <c r="F248" s="7">
        <f>IF(OR(D248="",E248=""),"",(E248-D248)*1440)</f>
        <v>11.3</v>
      </c>
      <c r="G248" s="6" t="n">
        <v>100</v>
      </c>
      <c r="H248" s="6" t="inlineStr">
        <is>
          <t>anonymous</t>
        </is>
      </c>
      <c r="I248" t="str">
        <f>IF(C248="","",C248&amp;"|"&amp;G248)</f>
        <v>26|100</v>
      </c>
    </row>
    <row r="249">
      <c r="A249" s="5" t="inlineStr">
        <is>
          <t>Julio Enrique Campos Andrade</t>
        </is>
      </c>
      <c r="B249" s="5" t="inlineStr">
        <is>
          <t>Colonia médica</t>
        </is>
      </c>
      <c r="C249" s="25" t="inlineStr">
        <is>
          <t>624</t>
        </is>
      </c>
      <c r="D249" s="9" t="n">
        <v>46310.51340277777</v>
      </c>
      <c r="E249" s="9" t="n">
        <v>46310.51670138889</v>
      </c>
      <c r="F249" s="7">
        <f>IF(OR(D249="",E249=""),"",(E249-D249)*1440)</f>
        <v>4.75000002071667</v>
      </c>
      <c r="G249" s="6" t="n">
        <v>90</v>
      </c>
      <c r="H249" s="6" t="inlineStr">
        <is>
          <t>anonymous</t>
        </is>
      </c>
      <c r="I249" t="str">
        <f>IF(C249="","",C249&amp;"|"&amp;G249)</f>
        <v>624|90</v>
      </c>
    </row>
    <row r="250">
      <c r="A250" s="5" t="inlineStr">
        <is>
          <t>FLOR DE MARIA ROSALES SORTO</t>
        </is>
      </c>
      <c r="B250" s="5" t="inlineStr">
        <is>
          <t>COLONIA MEDICA</t>
        </is>
      </c>
      <c r="C250" s="25" t="inlineStr">
        <is>
          <t>873</t>
        </is>
      </c>
      <c r="D250" s="9" t="n">
        <v>46310.51609953704</v>
      </c>
      <c r="E250" s="9" t="n">
        <v>46310.52071759259</v>
      </c>
      <c r="F250" s="7">
        <f>IF(OR(D250="",E250=""),"",(E250-D250)*1440)</f>
        <v>6.65</v>
      </c>
      <c r="G250" s="6" t="n">
        <v>100</v>
      </c>
      <c r="H250" s="6" t="inlineStr">
        <is>
          <t>anonymous</t>
        </is>
      </c>
      <c r="I250" t="str">
        <f>IF(C250="","",C250&amp;"|"&amp;G250)</f>
        <v>873|100</v>
      </c>
    </row>
    <row r="251">
      <c r="A251" s="5" t="inlineStr">
        <is>
          <t>Clelia Desiree de Coss</t>
        </is>
      </c>
      <c r="B251" s="5" t="inlineStr">
        <is>
          <t>Agencia Plaza Merliot</t>
        </is>
      </c>
      <c r="C251" s="25" t="inlineStr">
        <is>
          <t>657</t>
        </is>
      </c>
      <c r="D251" s="9" t="n">
        <v>46310.52084490741</v>
      </c>
      <c r="E251" s="9" t="n">
        <v>46310.52479166666</v>
      </c>
      <c r="F251" s="7">
        <f>IF(OR(D251="",E251=""),"",(E251-D251)*1440)</f>
        <v>5.68333333333333</v>
      </c>
      <c r="G251" s="6" t="n">
        <v>100</v>
      </c>
      <c r="H251" s="6" t="inlineStr">
        <is>
          <t>anonymous</t>
        </is>
      </c>
      <c r="I251" t="str">
        <f>IF(C251="","",C251&amp;"|"&amp;G251)</f>
        <v>657|100</v>
      </c>
    </row>
    <row r="252">
      <c r="A252" s="5" t="inlineStr">
        <is>
          <t>STEFFANY MARIELOS MIRO HERNANDEZ</t>
        </is>
      </c>
      <c r="B252" s="5" t="inlineStr">
        <is>
          <t>COLONIA MEDICA</t>
        </is>
      </c>
      <c r="C252" s="25" t="inlineStr">
        <is>
          <t>855</t>
        </is>
      </c>
      <c r="D252" s="9" t="n">
        <v>46310.52517361111</v>
      </c>
      <c r="E252" s="9" t="n">
        <v>46310.52695601852</v>
      </c>
      <c r="F252" s="7">
        <f>IF(OR(D252="",E252=""),"",(E252-D252)*1440)</f>
        <v>2.56666666666667</v>
      </c>
      <c r="G252" s="6" t="n">
        <v>100</v>
      </c>
      <c r="H252" s="6" t="inlineStr">
        <is>
          <t>anonymous</t>
        </is>
      </c>
      <c r="I252" t="str">
        <f>IF(C252="","",C252&amp;"|"&amp;G252)</f>
        <v>855|100</v>
      </c>
    </row>
    <row r="253">
      <c r="A253" s="5" t="inlineStr">
        <is>
          <t>YHANA MILET VALLE DE HERNANDEZ</t>
        </is>
      </c>
      <c r="B253" s="5" t="inlineStr">
        <is>
          <t>COLONIA MEDICA</t>
        </is>
      </c>
      <c r="C253" s="25" t="inlineStr">
        <is>
          <t>735</t>
        </is>
      </c>
      <c r="D253" s="9" t="n">
        <v>46310.52905092593</v>
      </c>
      <c r="E253" s="9" t="n">
        <v>46310.53122685185</v>
      </c>
      <c r="F253" s="7">
        <f>IF(OR(D253="",E253=""),"",(E253-D253)*1440)</f>
        <v>3.13333333333333</v>
      </c>
      <c r="G253" s="6" t="n">
        <v>100</v>
      </c>
      <c r="H253" s="6" t="inlineStr">
        <is>
          <t>anonymous</t>
        </is>
      </c>
      <c r="I253" t="str">
        <f>IF(C253="","",C253&amp;"|"&amp;G253)</f>
        <v>735|100</v>
      </c>
    </row>
    <row r="254">
      <c r="A254" s="5" t="inlineStr">
        <is>
          <t>ALFREDO ARMANDO RAMOS ESCOBAR</t>
        </is>
      </c>
      <c r="B254" s="5" t="inlineStr">
        <is>
          <t>COLONIA MEDICA</t>
        </is>
      </c>
      <c r="C254" s="25" t="inlineStr">
        <is>
          <t>674</t>
        </is>
      </c>
      <c r="D254" s="9" t="n">
        <v>46310.53324074074</v>
      </c>
      <c r="E254" s="9" t="n">
        <v>46310.5352199074</v>
      </c>
      <c r="F254" s="7">
        <f>IF(OR(D254="",E254=""),"",(E254-D254)*1440)</f>
        <v>2.85</v>
      </c>
      <c r="G254" s="6" t="n">
        <v>100</v>
      </c>
      <c r="H254" s="6" t="inlineStr">
        <is>
          <t>anonymous</t>
        </is>
      </c>
      <c r="I254" t="str">
        <f>IF(C254="","",C254&amp;"|"&amp;G254)</f>
        <v>674|100</v>
      </c>
    </row>
    <row r="255">
      <c r="A255" s="5" t="inlineStr">
        <is>
          <t>FLOR DEL CARMEN GONZALEZ HERNANDEZ</t>
        </is>
      </c>
      <c r="B255" s="5" t="inlineStr">
        <is>
          <t>COLONIA MEDICA</t>
        </is>
      </c>
      <c r="C255" s="25" t="inlineStr">
        <is>
          <t>913</t>
        </is>
      </c>
      <c r="D255" s="9" t="n">
        <v>46310.53685185185</v>
      </c>
      <c r="E255" s="9" t="n">
        <v>46310.53796296296</v>
      </c>
      <c r="F255" s="7">
        <f>IF(OR(D255="",E255=""),"",(E255-D255)*1440)</f>
        <v>1.6</v>
      </c>
      <c r="G255" s="6" t="n">
        <v>100</v>
      </c>
      <c r="H255" s="6" t="inlineStr">
        <is>
          <t>anonymous</t>
        </is>
      </c>
      <c r="I255" t="str">
        <f>IF(C255="","",C255&amp;"|"&amp;G255)</f>
        <v>913|100</v>
      </c>
    </row>
    <row r="256">
      <c r="A256" s="5" t="inlineStr">
        <is>
          <t>ANA MARGARITA SERRANO RUBIO</t>
        </is>
      </c>
      <c r="B256" s="5" t="inlineStr">
        <is>
          <t>COLONIA MEDICA</t>
        </is>
      </c>
      <c r="C256" s="25" t="inlineStr">
        <is>
          <t>19</t>
        </is>
      </c>
      <c r="D256" s="9" t="n">
        <v>46310.53898148148</v>
      </c>
      <c r="E256" s="9" t="n">
        <v>46310.54141203704</v>
      </c>
      <c r="F256" s="7">
        <f>IF(OR(D256="",E256=""),"",(E256-D256)*1440)</f>
        <v>3.5</v>
      </c>
      <c r="G256" s="6" t="n">
        <v>100</v>
      </c>
      <c r="H256" s="6" t="inlineStr">
        <is>
          <t>anonymous</t>
        </is>
      </c>
      <c r="I256" t="str">
        <f>IF(C256="","",C256&amp;"|"&amp;G256)</f>
        <v>19|100</v>
      </c>
    </row>
    <row r="257">
      <c r="A257" s="5" t="inlineStr">
        <is>
          <t>YESENIA LISSETH BARAHONA VALLE</t>
        </is>
      </c>
      <c r="B257" s="5" t="inlineStr">
        <is>
          <t>COLONIA MEDICA</t>
        </is>
      </c>
      <c r="C257" s="25" t="inlineStr">
        <is>
          <t>891</t>
        </is>
      </c>
      <c r="D257" s="9" t="n">
        <v>46310.5425925926</v>
      </c>
      <c r="E257" s="9" t="n">
        <v>46310.54554398148</v>
      </c>
      <c r="F257" s="7">
        <f>IF(OR(D257="",E257=""),"",(E257-D257)*1440)</f>
        <v>4.25</v>
      </c>
      <c r="G257" s="6" t="n">
        <v>100</v>
      </c>
      <c r="H257" s="6" t="inlineStr">
        <is>
          <t>anonymous</t>
        </is>
      </c>
      <c r="I257" t="str">
        <f>IF(C257="","",C257&amp;"|"&amp;G257)</f>
        <v>891|100</v>
      </c>
    </row>
    <row r="258">
      <c r="A258" s="5" t="inlineStr">
        <is>
          <t>ESTHER ABIGAIL FLORESGRANDE</t>
        </is>
      </c>
      <c r="B258" s="5" t="inlineStr">
        <is>
          <t>AUXILIAR ATENCION AL CLIENTE</t>
        </is>
      </c>
      <c r="C258" s="25" t="inlineStr">
        <is>
          <t>857</t>
        </is>
      </c>
      <c r="D258" s="9" t="n">
        <v>46310.555</v>
      </c>
      <c r="E258" s="9" t="n">
        <v>46310.55657407407</v>
      </c>
      <c r="F258" s="7">
        <f>IF(OR(D258="",E258=""),"",(E258-D258)*1440)</f>
        <v>2.26666666666667</v>
      </c>
      <c r="G258" s="6" t="n">
        <v>100</v>
      </c>
      <c r="H258" s="6" t="inlineStr">
        <is>
          <t>anonymous</t>
        </is>
      </c>
      <c r="I258" t="str">
        <f>IF(C258="","",C258&amp;"|"&amp;G258)</f>
        <v>857|100</v>
      </c>
    </row>
    <row r="259">
      <c r="A259" s="5" t="inlineStr">
        <is>
          <t>Milagro Trinidad Romero Monterrosa</t>
        </is>
      </c>
      <c r="B259" s="5" t="inlineStr">
        <is>
          <t>Departamento de Contabilidad</t>
        </is>
      </c>
      <c r="C259" s="25" t="inlineStr">
        <is>
          <t>571</t>
        </is>
      </c>
      <c r="D259" s="9" t="n">
        <v>46310.56104166667</v>
      </c>
      <c r="E259" s="9" t="n">
        <v>46310.56497685185</v>
      </c>
      <c r="F259" s="7">
        <f>IF(OR(D259="",E259=""),"",(E259-D259)*1440)</f>
        <v>5.66666666666667</v>
      </c>
      <c r="G259" s="6" t="n">
        <v>100</v>
      </c>
      <c r="H259" s="6" t="inlineStr">
        <is>
          <t>anonymous</t>
        </is>
      </c>
      <c r="I259" t="str">
        <f>IF(C259="","",C259&amp;"|"&amp;G259)</f>
        <v>571|100</v>
      </c>
    </row>
    <row r="260">
      <c r="A260" s="5" t="inlineStr">
        <is>
          <t>CLAUDIA MARLENE CABRERA SANCHEZ</t>
        </is>
      </c>
      <c r="B260" s="5" t="inlineStr">
        <is>
          <t>CONTABILIDAD</t>
        </is>
      </c>
      <c r="C260" s="25" t="inlineStr">
        <is>
          <t>235</t>
        </is>
      </c>
      <c r="D260" s="9" t="n">
        <v>46310.56259259259</v>
      </c>
      <c r="E260" s="9" t="n">
        <v>46310.56960648148</v>
      </c>
      <c r="F260" s="7">
        <f>IF(OR(D260="",E260=""),"",(E260-D260)*1440)</f>
        <v>10.1</v>
      </c>
      <c r="G260" s="6" t="n">
        <v>100</v>
      </c>
      <c r="H260" s="6" t="inlineStr">
        <is>
          <t>anonymous</t>
        </is>
      </c>
      <c r="I260" t="str">
        <f>IF(C260="","",C260&amp;"|"&amp;G260)</f>
        <v>235|100</v>
      </c>
    </row>
    <row r="261">
      <c r="A261" s="5" t="inlineStr">
        <is>
          <t>Yesenia Lisseth Barahona Valle</t>
        </is>
      </c>
      <c r="B261" s="5" t="inlineStr">
        <is>
          <t>Agencia Colonia Medica</t>
        </is>
      </c>
      <c r="C261" s="25" t="inlineStr">
        <is>
          <t>891</t>
        </is>
      </c>
      <c r="D261" s="9" t="n">
        <v>46310.56686342593</v>
      </c>
      <c r="E261" s="9" t="n">
        <v>46310.57136574074</v>
      </c>
      <c r="F261" s="7">
        <f>IF(OR(D261="",E261=""),"",(E261-D261)*1440)</f>
        <v>6.48333333333333</v>
      </c>
      <c r="G261" s="6" t="n">
        <v>100</v>
      </c>
      <c r="H261" s="6" t="inlineStr">
        <is>
          <t>anonymous</t>
        </is>
      </c>
      <c r="I261" t="str">
        <f>IF(C261="","",C261&amp;"|"&amp;G261)</f>
        <v>891|100</v>
      </c>
    </row>
    <row r="262">
      <c r="A262" s="5" t="inlineStr">
        <is>
          <t>Jose Humberto Barillas Burgos</t>
        </is>
      </c>
      <c r="B262" s="5" t="inlineStr">
        <is>
          <t>Gerencia de Negocios</t>
        </is>
      </c>
      <c r="C262" s="25" t="inlineStr">
        <is>
          <t>741</t>
        </is>
      </c>
      <c r="D262" s="9" t="n">
        <v>46310.61644675926</v>
      </c>
      <c r="E262" s="9" t="n">
        <v>46310.61981481482</v>
      </c>
      <c r="F262" s="7">
        <f>IF(OR(D262="",E262=""),"",(E262-D262)*1440)</f>
        <v>4.85</v>
      </c>
      <c r="G262" s="6" t="n">
        <v>100</v>
      </c>
      <c r="H262" s="6" t="inlineStr">
        <is>
          <t>anonymous</t>
        </is>
      </c>
      <c r="I262" t="str">
        <f>IF(C262="","",C262&amp;"|"&amp;G262)</f>
        <v>741|100</v>
      </c>
    </row>
    <row r="263">
      <c r="A263" s="5" t="inlineStr">
        <is>
          <t>MARIA ANGELICA ESCOBAR DE RENDEROS</t>
        </is>
      </c>
      <c r="B263" s="5" t="inlineStr">
        <is>
          <t>AGENCIA SONSONATE</t>
        </is>
      </c>
      <c r="C263" s="25" t="inlineStr">
        <is>
          <t>287</t>
        </is>
      </c>
      <c r="D263" s="9" t="n">
        <v>46310.6287962963</v>
      </c>
      <c r="E263" s="9" t="n">
        <v>46310.63381944445</v>
      </c>
      <c r="F263" s="7">
        <f>IF(OR(D263="",E263=""),"",(E263-D263)*1440)</f>
        <v>7.23333333333333</v>
      </c>
      <c r="G263" s="6" t="n">
        <v>100</v>
      </c>
      <c r="H263" s="6" t="inlineStr">
        <is>
          <t>anonymous</t>
        </is>
      </c>
      <c r="I263" t="str">
        <f>IF(C263="","",C263&amp;"|"&amp;G263)</f>
        <v>287|100</v>
      </c>
    </row>
    <row r="264">
      <c r="A264" s="5" t="inlineStr">
        <is>
          <t>JOSUE ALEXANDER PEREZ HENRIQUEZ</t>
        </is>
      </c>
      <c r="B264" s="5" t="inlineStr">
        <is>
          <t>SONSONATE</t>
        </is>
      </c>
      <c r="C264" s="25" t="inlineStr">
        <is>
          <t>559</t>
        </is>
      </c>
      <c r="D264" s="9" t="n">
        <v>46310.63520833333</v>
      </c>
      <c r="E264" s="9" t="n">
        <v>46310.63688657407</v>
      </c>
      <c r="F264" s="7">
        <f>IF(OR(D264="",E264=""),"",(E264-D264)*1440)</f>
        <v>2.41666666666667</v>
      </c>
      <c r="G264" s="6" t="n">
        <v>100</v>
      </c>
      <c r="H264" s="6" t="inlineStr">
        <is>
          <t>anonymous</t>
        </is>
      </c>
      <c r="I264" t="str">
        <f>IF(C264="","",C264&amp;"|"&amp;G264)</f>
        <v>559|100</v>
      </c>
    </row>
    <row r="265">
      <c r="A265" s="5" t="inlineStr">
        <is>
          <t>XIOMARA BEATRIZ MARTINEZ SERMEÑO</t>
        </is>
      </c>
      <c r="B265" s="5" t="inlineStr">
        <is>
          <t>Agencia Sonsonate</t>
        </is>
      </c>
      <c r="C265" s="25" t="inlineStr">
        <is>
          <t>526</t>
        </is>
      </c>
      <c r="D265" s="9" t="n">
        <v>46310.62758101852</v>
      </c>
      <c r="E265" s="9" t="n">
        <v>46310.63746527778</v>
      </c>
      <c r="F265" s="7">
        <f>IF(OR(D265="",E265=""),"",(E265-D265)*1440)</f>
        <v>14.2333333333333</v>
      </c>
      <c r="G265" s="6" t="n">
        <v>100</v>
      </c>
      <c r="H265" s="6" t="inlineStr">
        <is>
          <t>anonymous</t>
        </is>
      </c>
      <c r="I265" t="str">
        <f>IF(C265="","",C265&amp;"|"&amp;G265)</f>
        <v>526|100</v>
      </c>
    </row>
    <row r="266">
      <c r="A266" s="5" t="inlineStr">
        <is>
          <t>JESSICA YAMILETH LEIVA VASAQUEZ</t>
        </is>
      </c>
      <c r="B266" s="5" t="inlineStr">
        <is>
          <t>AGENCIA SONSONATE</t>
        </is>
      </c>
      <c r="C266" s="25" t="inlineStr">
        <is>
          <t>575</t>
        </is>
      </c>
      <c r="D266" s="9" t="n">
        <v>46310.63784722222</v>
      </c>
      <c r="E266" s="9" t="n">
        <v>46310.63890046296</v>
      </c>
      <c r="F266" s="7">
        <f>IF(OR(D266="",E266=""),"",(E266-D266)*1440)</f>
        <v>1.51666666666667</v>
      </c>
      <c r="G266" s="6" t="n">
        <v>100</v>
      </c>
      <c r="H266" s="6" t="inlineStr">
        <is>
          <t>anonymous</t>
        </is>
      </c>
      <c r="I266" t="str">
        <f>IF(C266="","",C266&amp;"|"&amp;G266)</f>
        <v>575|100</v>
      </c>
    </row>
    <row r="267">
      <c r="A267" s="5" t="inlineStr">
        <is>
          <t>Zoila Aydee Larios</t>
        </is>
      </c>
      <c r="B267" s="5" t="inlineStr">
        <is>
          <t>Agencia Plaza mundo</t>
        </is>
      </c>
      <c r="C267" s="25" t="inlineStr">
        <is>
          <t>59</t>
        </is>
      </c>
      <c r="D267" s="9" t="n">
        <v>46310.64347222223</v>
      </c>
      <c r="E267" s="9" t="n">
        <v>46310.64591435185</v>
      </c>
      <c r="F267" s="7">
        <f>IF(OR(D267="",E267=""),"",(E267-D267)*1440)</f>
        <v>3.51666666666667</v>
      </c>
      <c r="G267" s="6" t="n">
        <v>100</v>
      </c>
      <c r="H267" s="6" t="inlineStr">
        <is>
          <t>anonymous</t>
        </is>
      </c>
      <c r="I267" t="str">
        <f>IF(C267="","",C267&amp;"|"&amp;G267)</f>
        <v>59|100</v>
      </c>
    </row>
    <row r="268">
      <c r="A268" s="5" t="inlineStr">
        <is>
          <t>KATHERINE MICHELLE LOPEZ LOPEZ</t>
        </is>
      </c>
      <c r="B268" s="5" t="inlineStr">
        <is>
          <t>AGENCIA CENTRAL</t>
        </is>
      </c>
      <c r="C268" s="25" t="inlineStr">
        <is>
          <t>768</t>
        </is>
      </c>
      <c r="D268" s="9" t="n">
        <v>46310.65715277778</v>
      </c>
      <c r="E268" s="9" t="n">
        <v>46310.65997685185</v>
      </c>
      <c r="F268" s="7">
        <f>IF(OR(D268="",E268=""),"",(E268-D268)*1440)</f>
        <v>4.06666666666667</v>
      </c>
      <c r="G268" s="6" t="n">
        <v>100</v>
      </c>
      <c r="H268" s="6" t="inlineStr">
        <is>
          <t>anonymous</t>
        </is>
      </c>
      <c r="I268" t="str">
        <f>IF(C268="","",C268&amp;"|"&amp;G268)</f>
        <v>768|100</v>
      </c>
    </row>
    <row r="269">
      <c r="A269" s="5" t="inlineStr">
        <is>
          <t>Griselda del Carmen Dominguez de Merino</t>
        </is>
      </c>
      <c r="B269" s="5" t="inlineStr">
        <is>
          <t>Agencia Central</t>
        </is>
      </c>
      <c r="C269" s="25" t="inlineStr">
        <is>
          <t>49</t>
        </is>
      </c>
      <c r="D269" s="9" t="n">
        <v>46310.6578125</v>
      </c>
      <c r="E269" s="9" t="n">
        <v>46310.66540509259</v>
      </c>
      <c r="F269" s="7">
        <f>IF(OR(D269="",E269=""),"",(E269-D269)*1440)</f>
        <v>10.9333333333333</v>
      </c>
      <c r="G269" s="6" t="n">
        <v>100</v>
      </c>
      <c r="H269" s="6" t="inlineStr">
        <is>
          <t>anonymous</t>
        </is>
      </c>
      <c r="I269" t="str">
        <f>IF(C269="","",C269&amp;"|"&amp;G269)</f>
        <v>49|100</v>
      </c>
    </row>
    <row r="270">
      <c r="A270" s="5" t="inlineStr">
        <is>
          <t>Carmen María Gutiérrez de estrada</t>
        </is>
      </c>
      <c r="B270" s="5" t="inlineStr">
        <is>
          <t>Mercadeo</t>
        </is>
      </c>
      <c r="C270" s="25" t="inlineStr">
        <is>
          <t>591</t>
        </is>
      </c>
      <c r="D270" s="9" t="n">
        <v>46310.66625</v>
      </c>
      <c r="E270" s="9" t="n">
        <v>46310.66862268518</v>
      </c>
      <c r="F270" s="7">
        <f>IF(OR(D270="",E270=""),"",(E270-D270)*1440)</f>
        <v>3.41666666666667</v>
      </c>
      <c r="G270" s="6" t="n">
        <v>80</v>
      </c>
      <c r="H270" s="6" t="inlineStr">
        <is>
          <t>anonymous</t>
        </is>
      </c>
      <c r="I270" t="str">
        <f>IF(C270="","",C270&amp;"|"&amp;G270)</f>
        <v>591|80</v>
      </c>
    </row>
    <row r="271">
      <c r="A271" s="5" t="inlineStr">
        <is>
          <t>Alejandra Verónica Centeno de López</t>
        </is>
      </c>
      <c r="B271" s="5" t="inlineStr">
        <is>
          <t>Dpto. de Análisis y Programación</t>
        </is>
      </c>
      <c r="C271" s="25" t="inlineStr">
        <is>
          <t>899</t>
        </is>
      </c>
      <c r="D271" s="9" t="n">
        <v>46310.69113425926</v>
      </c>
      <c r="E271" s="9" t="n">
        <v>46310.69614583333</v>
      </c>
      <c r="F271" s="7">
        <f>IF(OR(D271="",E271=""),"",(E271-D271)*1440)</f>
        <v>7.21666666666667</v>
      </c>
      <c r="G271" s="6" t="n">
        <v>100</v>
      </c>
      <c r="H271" s="6" t="inlineStr">
        <is>
          <t>anonymous</t>
        </is>
      </c>
      <c r="I271" t="str">
        <f>IF(C271="","",C271&amp;"|"&amp;G271)</f>
        <v>899|100</v>
      </c>
    </row>
    <row r="272">
      <c r="A272" s="5" t="inlineStr">
        <is>
          <t>Alex Virgilio Aguilar Arias</t>
        </is>
      </c>
      <c r="B272" s="5" t="inlineStr">
        <is>
          <t>Gerencia de Sistemas</t>
        </is>
      </c>
      <c r="C272" s="25" t="inlineStr">
        <is>
          <t>878</t>
        </is>
      </c>
      <c r="D272" s="9" t="n">
        <v>46310.69179398148</v>
      </c>
      <c r="E272" s="9" t="n">
        <v>46310.69674768519</v>
      </c>
      <c r="F272" s="7">
        <f>IF(OR(D272="",E272=""),"",(E272-D272)*1440)</f>
        <v>7.13333333333333</v>
      </c>
      <c r="G272" s="6" t="n">
        <v>100</v>
      </c>
      <c r="H272" s="6" t="inlineStr">
        <is>
          <t>anonymous</t>
        </is>
      </c>
      <c r="I272" t="str">
        <f>IF(C272="","",C272&amp;"|"&amp;G272)</f>
        <v>878|100</v>
      </c>
    </row>
    <row r="273">
      <c r="A273" s="5" t="inlineStr">
        <is>
          <t>Alan Rodrigo Benitez Rodríguez</t>
        </is>
      </c>
      <c r="B273" s="5" t="inlineStr">
        <is>
          <t>Depto. de Atención a Asociado y Cliente</t>
        </is>
      </c>
      <c r="C273" s="25" t="inlineStr">
        <is>
          <t>981</t>
        </is>
      </c>
      <c r="D273" s="9" t="n">
        <v>46310.69125</v>
      </c>
      <c r="E273" s="9" t="n">
        <v>46310.70625</v>
      </c>
      <c r="F273" s="7">
        <f>IF(OR(D273="",E273=""),"",(E273-D273)*1440)</f>
        <v>21.6</v>
      </c>
      <c r="G273" s="6" t="n">
        <v>100</v>
      </c>
      <c r="H273" s="6" t="inlineStr">
        <is>
          <t>anonymous</t>
        </is>
      </c>
      <c r="I273" t="str">
        <f>IF(C273="","",C273&amp;"|"&amp;G273)</f>
        <v>981|100</v>
      </c>
    </row>
    <row r="274">
      <c r="A274" s="5" t="inlineStr">
        <is>
          <t>José Alexander Torres Pérez</t>
        </is>
      </c>
      <c r="B274" s="5" t="inlineStr">
        <is>
          <t>Sonsonate</t>
        </is>
      </c>
      <c r="C274" s="25" t="inlineStr">
        <is>
          <t>448</t>
        </is>
      </c>
      <c r="D274" s="9" t="n">
        <v>46311.4097337963</v>
      </c>
      <c r="E274" s="9" t="n">
        <v>46311.41554398148</v>
      </c>
      <c r="F274" s="7">
        <f>IF(OR(D274="",E274=""),"",(E274-D274)*1440)</f>
        <v>8.36666666666667</v>
      </c>
      <c r="G274" s="6" t="n">
        <v>100</v>
      </c>
      <c r="H274" s="6" t="inlineStr">
        <is>
          <t>anonymous</t>
        </is>
      </c>
      <c r="I274" t="str">
        <f>IF(C274="","",C274&amp;"|"&amp;G274)</f>
        <v>448|100</v>
      </c>
    </row>
    <row r="275">
      <c r="A275" s="5" t="inlineStr">
        <is>
          <t>José Carlos Ireneo Hernández Rodríguez</t>
        </is>
      </c>
      <c r="B275" s="5" t="inlineStr">
        <is>
          <t>Mercadeo</t>
        </is>
      </c>
      <c r="C275" s="25" t="inlineStr">
        <is>
          <t>361</t>
        </is>
      </c>
      <c r="D275" s="9" t="n">
        <v>46311.41438657408</v>
      </c>
      <c r="E275" s="9" t="n">
        <v>46311.41858796297</v>
      </c>
      <c r="F275" s="7">
        <f>IF(OR(D275="",E275=""),"",(E275-D275)*1440)</f>
        <v>6.05</v>
      </c>
      <c r="G275" s="6" t="n">
        <v>95</v>
      </c>
      <c r="H275" s="6" t="inlineStr">
        <is>
          <t>anonymous</t>
        </is>
      </c>
      <c r="I275" t="str">
        <f>IF(C275="","",C275&amp;"|"&amp;G275)</f>
        <v>361|95</v>
      </c>
    </row>
    <row r="276">
      <c r="A276" s="5" t="inlineStr">
        <is>
          <t>MARIA ALEJANDRA BATRES ALVARADO</t>
        </is>
      </c>
      <c r="B276" s="5" t="inlineStr">
        <is>
          <t>MERCADEO</t>
        </is>
      </c>
      <c r="C276" s="25" t="inlineStr">
        <is>
          <t>895</t>
        </is>
      </c>
      <c r="D276" s="9" t="n">
        <v>46311.42444444444</v>
      </c>
      <c r="E276" s="9" t="n">
        <v>46311.42974537037</v>
      </c>
      <c r="F276" s="7">
        <f>IF(OR(D276="",E276=""),"",(E276-D276)*1440)</f>
        <v>7.63333333333334</v>
      </c>
      <c r="G276" s="6" t="n">
        <v>100</v>
      </c>
      <c r="H276" s="6" t="inlineStr">
        <is>
          <t>anonymous</t>
        </is>
      </c>
      <c r="I276" t="str">
        <f>IF(C276="","",C276&amp;"|"&amp;G276)</f>
        <v>895|100</v>
      </c>
    </row>
    <row r="277">
      <c r="A277" s="5" t="inlineStr">
        <is>
          <t>Gerardo Alexander Martínez Rivera</t>
        </is>
      </c>
      <c r="B277" s="5" t="inlineStr">
        <is>
          <t>Mercadeo</t>
        </is>
      </c>
      <c r="C277" s="25" t="inlineStr">
        <is>
          <t>897</t>
        </is>
      </c>
      <c r="D277" s="9" t="n">
        <v>46311.40699074074</v>
      </c>
      <c r="E277" s="9" t="n">
        <v>46311.45481481482</v>
      </c>
      <c r="F277" s="7">
        <f>IF(OR(D277="",E277=""),"",(E277-D277)*1440)</f>
        <v>68.8666666666667</v>
      </c>
      <c r="G277" s="6" t="n">
        <v>100</v>
      </c>
      <c r="H277" s="6" t="inlineStr">
        <is>
          <t>anonymous</t>
        </is>
      </c>
      <c r="I277" t="str">
        <f>IF(C277="","",C277&amp;"|"&amp;G277)</f>
        <v>897|100</v>
      </c>
    </row>
    <row r="278">
      <c r="A278" s="5" t="inlineStr">
        <is>
          <t>IRVIN ADEMIR PERAZA MOLINA</t>
        </is>
      </c>
      <c r="B278" s="5" t="inlineStr">
        <is>
          <t>AGENCIA SANTA ANA</t>
        </is>
      </c>
      <c r="C278" s="25" t="inlineStr">
        <is>
          <t>747</t>
        </is>
      </c>
      <c r="D278" s="9" t="n">
        <v>46311.45276620371</v>
      </c>
      <c r="E278" s="9" t="n">
        <v>46311.45640046296</v>
      </c>
      <c r="F278" s="7">
        <f>IF(OR(D278="",E278=""),"",(E278-D278)*1440)</f>
        <v>5.23333333333333</v>
      </c>
      <c r="G278" s="6" t="n">
        <v>100</v>
      </c>
      <c r="H278" s="6" t="inlineStr">
        <is>
          <t>anonymous</t>
        </is>
      </c>
      <c r="I278" t="str">
        <f>IF(C278="","",C278&amp;"|"&amp;G278)</f>
        <v>747|100</v>
      </c>
    </row>
    <row r="279">
      <c r="A279" s="5" t="inlineStr">
        <is>
          <t>SOFIA AZMINIA MENA ARGUETA</t>
        </is>
      </c>
      <c r="B279" s="5" t="inlineStr">
        <is>
          <t>AGENCIA SANTA ANA</t>
        </is>
      </c>
      <c r="C279" s="25" t="inlineStr">
        <is>
          <t>840</t>
        </is>
      </c>
      <c r="D279" s="9" t="n">
        <v>46311.46520833333</v>
      </c>
      <c r="E279" s="9" t="n">
        <v>46311.4675</v>
      </c>
      <c r="F279" s="7">
        <f>IF(OR(D279="",E279=""),"",(E279-D279)*1440)</f>
        <v>3.3</v>
      </c>
      <c r="G279" s="6" t="n">
        <v>100</v>
      </c>
      <c r="H279" s="6" t="inlineStr">
        <is>
          <t>CÓDIGO CORREGIDO: escribió 841 (pertenece a otra persona)</t>
        </is>
      </c>
      <c r="I279" t="str">
        <f>IF(C279="","",C279&amp;"|"&amp;G279)</f>
        <v>840|100</v>
      </c>
    </row>
    <row r="280">
      <c r="A280" s="5" t="inlineStr">
        <is>
          <t>JOSE CRISTOBAL LOPEZ ESQUIVEL</t>
        </is>
      </c>
      <c r="B280" s="5" t="inlineStr">
        <is>
          <t>AGENCIA SANTA ANA</t>
        </is>
      </c>
      <c r="C280" s="25" t="inlineStr">
        <is>
          <t>910</t>
        </is>
      </c>
      <c r="D280" s="9" t="n">
        <v>46311.47396990741</v>
      </c>
      <c r="E280" s="9" t="n">
        <v>46311.47555555555</v>
      </c>
      <c r="F280" s="7">
        <f>IF(OR(D280="",E280=""),"",(E280-D280)*1440)</f>
        <v>2.28333333333333</v>
      </c>
      <c r="G280" s="6" t="n">
        <v>100</v>
      </c>
      <c r="H280" s="6" t="inlineStr">
        <is>
          <t>anonymous</t>
        </is>
      </c>
      <c r="I280" t="str">
        <f>IF(C280="","",C280&amp;"|"&amp;G280)</f>
        <v>910|100</v>
      </c>
    </row>
    <row r="281">
      <c r="A281" s="5" t="inlineStr">
        <is>
          <t>Leidy Vanessa Guzmán Servellon</t>
        </is>
      </c>
      <c r="B281" s="5" t="inlineStr">
        <is>
          <t>Agencia Central</t>
        </is>
      </c>
      <c r="C281" s="25" t="inlineStr">
        <is>
          <t>974</t>
        </is>
      </c>
      <c r="D281" s="9" t="n">
        <v>46311.4046875</v>
      </c>
      <c r="E281" s="9" t="n">
        <v>46311.47748842592</v>
      </c>
      <c r="F281" s="7">
        <f>IF(OR(D281="",E281=""),"",(E281-D281)*1440)</f>
        <v>104.833333333333</v>
      </c>
      <c r="G281" s="6" t="n">
        <v>80</v>
      </c>
      <c r="H281" s="6" t="inlineStr">
        <is>
          <t>anonymous</t>
        </is>
      </c>
      <c r="I281" t="str">
        <f>IF(C281="","",C281&amp;"|"&amp;G281)</f>
        <v>974|80</v>
      </c>
    </row>
    <row r="282">
      <c r="A282" s="5" t="inlineStr">
        <is>
          <t>Jazmín Abigail Vasquez Avelar</t>
        </is>
      </c>
      <c r="B282" s="5" t="inlineStr">
        <is>
          <t>Agencia Central</t>
        </is>
      </c>
      <c r="C282" s="25" t="inlineStr">
        <is>
          <t>848</t>
        </is>
      </c>
      <c r="D282" s="9" t="n">
        <v>46311.47895833333</v>
      </c>
      <c r="E282" s="9" t="n">
        <v>46311.48482638889</v>
      </c>
      <c r="F282" s="7">
        <f>IF(OR(D282="",E282=""),"",(E282-D282)*1440)</f>
        <v>8.45</v>
      </c>
      <c r="G282" s="6" t="n">
        <v>100</v>
      </c>
      <c r="H282" s="6" t="inlineStr">
        <is>
          <t>anonymous</t>
        </is>
      </c>
      <c r="I282" t="str">
        <f>IF(C282="","",C282&amp;"|"&amp;G282)</f>
        <v>848|100</v>
      </c>
    </row>
    <row r="283">
      <c r="A283" s="5" t="inlineStr">
        <is>
          <t>ANA MARIA GIRON</t>
        </is>
      </c>
      <c r="B283" s="5" t="inlineStr">
        <is>
          <t>AGENCIA SANTA ANA</t>
        </is>
      </c>
      <c r="C283" s="25" t="inlineStr">
        <is>
          <t>168</t>
        </is>
      </c>
      <c r="D283" s="9" t="n">
        <v>46311.48390046296</v>
      </c>
      <c r="E283" s="9" t="n">
        <v>46311.49398148148</v>
      </c>
      <c r="F283" s="7">
        <f>IF(OR(D283="",E283=""),"",(E283-D283)*1440)</f>
        <v>14.5166666666667</v>
      </c>
      <c r="G283" s="6" t="n">
        <v>100</v>
      </c>
      <c r="H283" s="6" t="inlineStr">
        <is>
          <t>anonymous</t>
        </is>
      </c>
      <c r="I283" t="str">
        <f>IF(C283="","",C283&amp;"|"&amp;G283)</f>
        <v>168|100</v>
      </c>
    </row>
    <row r="284">
      <c r="A284" s="5" t="inlineStr">
        <is>
          <t>Blanca Aracely Moreno Hernández</t>
        </is>
      </c>
      <c r="B284" s="5" t="inlineStr">
        <is>
          <t>Agencia central</t>
        </is>
      </c>
      <c r="C284" s="25" t="inlineStr">
        <is>
          <t>385</t>
        </is>
      </c>
      <c r="D284" s="9" t="n">
        <v>46311.50098379629</v>
      </c>
      <c r="E284" s="9" t="n">
        <v>46311.50697916667</v>
      </c>
      <c r="F284" s="7">
        <f>IF(OR(D284="",E284=""),"",(E284-D284)*1440)</f>
        <v>8.63333333333333</v>
      </c>
      <c r="G284" s="6" t="n">
        <v>100</v>
      </c>
      <c r="H284" s="6" t="inlineStr">
        <is>
          <t>anonymous</t>
        </is>
      </c>
      <c r="I284" t="str">
        <f>IF(C284="","",C284&amp;"|"&amp;G284)</f>
        <v>385|100</v>
      </c>
    </row>
    <row r="285">
      <c r="A285" s="5" t="inlineStr">
        <is>
          <t>Claudia Carolina Hernández De Paz</t>
        </is>
      </c>
      <c r="B285" s="5" t="inlineStr">
        <is>
          <t>Tarjeta de Crédito y Debito</t>
        </is>
      </c>
      <c r="C285" s="25" t="inlineStr">
        <is>
          <t>389</t>
        </is>
      </c>
      <c r="D285" s="9" t="n">
        <v>46311.51278935185</v>
      </c>
      <c r="E285" s="9" t="n">
        <v>46311.51622685185</v>
      </c>
      <c r="F285" s="7">
        <f>IF(OR(D285="",E285=""),"",(E285-D285)*1440)</f>
        <v>4.95</v>
      </c>
      <c r="G285" s="6" t="n">
        <v>100</v>
      </c>
      <c r="H285" s="6" t="inlineStr">
        <is>
          <t>anonymous</t>
        </is>
      </c>
      <c r="I285" t="str">
        <f>IF(C285="","",C285&amp;"|"&amp;G285)</f>
        <v>389|100</v>
      </c>
    </row>
    <row r="286">
      <c r="A286" s="5" t="inlineStr">
        <is>
          <t>Karla Marcela Escobar Trigueros</t>
        </is>
      </c>
      <c r="B286" s="5" t="inlineStr">
        <is>
          <t>Agencia Sonsonate</t>
        </is>
      </c>
      <c r="C286" s="25" t="inlineStr">
        <is>
          <t>849</t>
        </is>
      </c>
      <c r="D286" s="9" t="n">
        <v>46311.56675925926</v>
      </c>
      <c r="E286" s="9" t="n">
        <v>46311.57149305556</v>
      </c>
      <c r="F286" s="7">
        <f>IF(OR(D286="",E286=""),"",(E286-D286)*1440)</f>
        <v>6.81666666666667</v>
      </c>
      <c r="G286" s="6" t="n">
        <v>100</v>
      </c>
      <c r="H286" s="6" t="inlineStr">
        <is>
          <t>anonymous</t>
        </is>
      </c>
      <c r="I286" t="str">
        <f>IF(C286="","",C286&amp;"|"&amp;G286)</f>
        <v>849|100</v>
      </c>
    </row>
    <row r="287">
      <c r="A287" s="5" t="inlineStr">
        <is>
          <t>Rafael Andrés Maravilla Guerra</t>
        </is>
      </c>
      <c r="B287" s="5" t="inlineStr">
        <is>
          <t>Planificación y Análisis</t>
        </is>
      </c>
      <c r="C287" s="25" t="inlineStr">
        <is>
          <t>839</t>
        </is>
      </c>
      <c r="D287" s="9" t="n">
        <v>46311.61962962963</v>
      </c>
      <c r="E287" s="9" t="n">
        <v>46311.62729166666</v>
      </c>
      <c r="F287" s="7">
        <f>IF(OR(D287="",E287=""),"",(E287-D287)*1440)</f>
        <v>11.0333333141167</v>
      </c>
      <c r="G287" s="6" t="n">
        <v>100</v>
      </c>
      <c r="H287" s="6" t="inlineStr">
        <is>
          <t>anonymous</t>
        </is>
      </c>
      <c r="I287" t="str">
        <f>IF(C287="","",C287&amp;"|"&amp;G287)</f>
        <v>839|100</v>
      </c>
    </row>
    <row r="288">
      <c r="A288" s="5" t="inlineStr">
        <is>
          <t>Ricardo Josué Cacao Rovelo</t>
        </is>
      </c>
      <c r="B288" s="5" t="inlineStr">
        <is>
          <t>Administración de Cartera</t>
        </is>
      </c>
      <c r="C288" s="25" t="inlineStr">
        <is>
          <t>732</t>
        </is>
      </c>
      <c r="D288" s="9" t="n">
        <v>46311.67041666667</v>
      </c>
      <c r="E288" s="9" t="n">
        <v>46311.6756712963</v>
      </c>
      <c r="F288" s="7">
        <f>IF(OR(D288="",E288=""),"",(E288-D288)*1440)</f>
        <v>7.56666666666667</v>
      </c>
      <c r="G288" s="6" t="n">
        <v>100</v>
      </c>
      <c r="H288" s="6" t="inlineStr">
        <is>
          <t>anonymous</t>
        </is>
      </c>
      <c r="I288" t="str">
        <f>IF(C288="","",C288&amp;"|"&amp;G288)</f>
        <v>732|100</v>
      </c>
    </row>
    <row r="289">
      <c r="A289" s="5" t="inlineStr">
        <is>
          <t>JACQUELINE GUADALUPE CEA ALVARADO</t>
        </is>
      </c>
      <c r="B289" s="5" t="inlineStr">
        <is>
          <t>COLONIA MEDICA</t>
        </is>
      </c>
      <c r="C289" s="25" t="inlineStr">
        <is>
          <t>933</t>
        </is>
      </c>
      <c r="D289" s="9" t="n">
        <v>46311.7072337963</v>
      </c>
      <c r="E289" s="9" t="n">
        <v>46311.71008101852</v>
      </c>
      <c r="F289" s="7">
        <f>IF(OR(D289="",E289=""),"",(E289-D289)*1440)</f>
        <v>4.1</v>
      </c>
      <c r="G289" s="6" t="n">
        <v>90</v>
      </c>
      <c r="H289" s="6" t="inlineStr">
        <is>
          <t>anonymous</t>
        </is>
      </c>
      <c r="I289" t="str">
        <f>IF(C289="","",C289&amp;"|"&amp;G289)</f>
        <v>933|90</v>
      </c>
    </row>
    <row r="290">
      <c r="A290" s="5" t="inlineStr">
        <is>
          <t>Luis faustony Vasquez cienfuegos</t>
        </is>
      </c>
      <c r="B290" s="5" t="inlineStr">
        <is>
          <t>Mercadeo</t>
        </is>
      </c>
      <c r="C290" s="25" t="inlineStr">
        <is>
          <t>723</t>
        </is>
      </c>
      <c r="D290" s="9" t="n">
        <v>46311.70719907407</v>
      </c>
      <c r="E290" s="9" t="n">
        <v>46311.71099537037</v>
      </c>
      <c r="F290" s="7">
        <f>IF(OR(D290="",E290=""),"",(E290-D290)*1440)</f>
        <v>5.46666666666667</v>
      </c>
      <c r="G290" s="6" t="n">
        <v>90</v>
      </c>
      <c r="H290" s="6" t="inlineStr">
        <is>
          <t>anonymous</t>
        </is>
      </c>
      <c r="I290" t="str">
        <f>IF(C290="","",C290&amp;"|"&amp;G290)</f>
        <v>723|90</v>
      </c>
    </row>
    <row r="291">
      <c r="A291" s="5" t="inlineStr">
        <is>
          <t>LETICIA ESMERALDA ROSA</t>
        </is>
      </c>
      <c r="B291" s="5" t="inlineStr">
        <is>
          <t>AGENCIA CENTRAL</t>
        </is>
      </c>
      <c r="C291" s="25" t="inlineStr">
        <is>
          <t>234</t>
        </is>
      </c>
      <c r="D291" s="9" t="n">
        <v>46311.71150462963</v>
      </c>
      <c r="E291" s="9" t="n">
        <v>46311.71462962963</v>
      </c>
      <c r="F291" s="7">
        <f>IF(OR(D291="",E291=""),"",(E291-D291)*1440)</f>
        <v>4.5</v>
      </c>
      <c r="G291" s="6" t="n">
        <v>90</v>
      </c>
      <c r="H291" s="6" t="inlineStr">
        <is>
          <t>anonymous</t>
        </is>
      </c>
      <c r="I291" t="str">
        <f>IF(C291="","",C291&amp;"|"&amp;G291)</f>
        <v>234|90</v>
      </c>
    </row>
    <row r="292">
      <c r="A292" s="5" t="inlineStr">
        <is>
          <t>ELSY GUADALUPE COREAS</t>
        </is>
      </c>
      <c r="B292" s="5" t="inlineStr">
        <is>
          <t>AGENCIA CENTRO FINANCIERO</t>
        </is>
      </c>
      <c r="C292" s="25" t="inlineStr">
        <is>
          <t>253</t>
        </is>
      </c>
      <c r="D292" s="9" t="n">
        <v>46311.71684027778</v>
      </c>
      <c r="E292" s="9" t="n">
        <v>46311.71950231482</v>
      </c>
      <c r="F292" s="7">
        <f>IF(OR(D292="",E292=""),"",(E292-D292)*1440)</f>
        <v>3.83333333333333</v>
      </c>
      <c r="G292" s="6" t="n">
        <v>100</v>
      </c>
      <c r="H292" s="6" t="inlineStr">
        <is>
          <t>anonymous</t>
        </is>
      </c>
      <c r="I292" t="str">
        <f>IF(C292="","",C292&amp;"|"&amp;G292)</f>
        <v>253|100</v>
      </c>
    </row>
    <row r="293">
      <c r="A293" s="5" t="inlineStr">
        <is>
          <t>ROQUE RAFAEL REYES ESPINAL</t>
        </is>
      </c>
      <c r="B293" s="5" t="inlineStr">
        <is>
          <t>GERENCIA DE OPERACIONES</t>
        </is>
      </c>
      <c r="C293" s="25" t="inlineStr">
        <is>
          <t>41</t>
        </is>
      </c>
      <c r="D293" s="9" t="n">
        <v>46311.80311342593</v>
      </c>
      <c r="E293" s="9" t="n">
        <v>46311.81412037037</v>
      </c>
      <c r="F293" s="7">
        <f>IF(OR(D293="",E293=""),"",(E293-D293)*1440)</f>
        <v>15.85</v>
      </c>
      <c r="G293" s="6" t="n">
        <v>100</v>
      </c>
      <c r="H293" s="6" t="inlineStr">
        <is>
          <t>anonymous</t>
        </is>
      </c>
      <c r="I293" t="str">
        <f>IF(C293="","",C293&amp;"|"&amp;G293)</f>
        <v>41|100</v>
      </c>
    </row>
    <row r="294">
      <c r="A294" s="5" t="inlineStr">
        <is>
          <t>NELSON ULISES CAMPOS FLORES</t>
        </is>
      </c>
      <c r="B294" s="5" t="inlineStr">
        <is>
          <t>GERENCIA GENERAL</t>
        </is>
      </c>
      <c r="C294" s="25" t="inlineStr">
        <is>
          <t>977</t>
        </is>
      </c>
      <c r="D294" s="9" t="n"/>
      <c r="E294" s="9" t="n"/>
      <c r="F294" s="7" t="str">
        <f>IF(OR(D294="",E294=""),"",(E294-D294)*1440)</f>
        <v/>
      </c>
      <c r="G294" s="6" t="n"/>
      <c r="H294" s="6" t="inlineStr">
        <is>
          <t>REGISTRO MANUAL: examen realizado (confirmado por la administración; sin nota ni fecha en la plataforma)</t>
        </is>
      </c>
      <c r="I294" t="str">
        <f>IF(C294="","",C294&amp;"|"&amp;G294)</f>
        <v>977|</v>
      </c>
    </row>
    <row r="295">
      <c r="A295" s="5" t="n"/>
      <c r="B295" s="5" t="n"/>
      <c r="C295" s="25" t="n"/>
      <c r="D295" s="9" t="n"/>
      <c r="E295" s="9" t="n"/>
      <c r="F295" s="7" t="str">
        <f>IF(OR(D295="",E295=""),"",(E295-D295)*1440)</f>
        <v/>
      </c>
      <c r="G295" s="6" t="n"/>
      <c r="H295" s="6" t="n"/>
      <c r="I295" t="str">
        <f>IF(C295="","",C295&amp;"|"&amp;G295)</f>
        <v/>
      </c>
    </row>
    <row r="296">
      <c r="A296" s="5" t="n"/>
      <c r="B296" s="5" t="n"/>
      <c r="C296" s="25" t="n"/>
      <c r="D296" s="9" t="n"/>
      <c r="E296" s="9" t="n"/>
      <c r="F296" s="7" t="str">
        <f>IF(OR(D296="",E296=""),"",(E296-D296)*1440)</f>
        <v/>
      </c>
      <c r="G296" s="6" t="n"/>
      <c r="H296" s="6" t="n"/>
      <c r="I296" t="str">
        <f>IF(C296="","",C296&amp;"|"&amp;G296)</f>
        <v/>
      </c>
    </row>
    <row r="297">
      <c r="A297" s="5" t="n"/>
      <c r="B297" s="5" t="n"/>
      <c r="C297" s="25" t="n"/>
      <c r="D297" s="9" t="n"/>
      <c r="E297" s="9" t="n"/>
      <c r="F297" s="7" t="str">
        <f>IF(OR(D297="",E297=""),"",(E297-D297)*1440)</f>
        <v/>
      </c>
      <c r="G297" s="6" t="n"/>
      <c r="H297" s="6" t="n"/>
      <c r="I297" t="str">
        <f>IF(C297="","",C297&amp;"|"&amp;G297)</f>
        <v/>
      </c>
    </row>
    <row r="298">
      <c r="A298" s="5" t="n"/>
      <c r="B298" s="5" t="n"/>
      <c r="C298" s="25" t="n"/>
      <c r="D298" s="9" t="n"/>
      <c r="E298" s="9" t="n"/>
      <c r="F298" s="7" t="str">
        <f>IF(OR(D298="",E298=""),"",(E298-D298)*1440)</f>
        <v/>
      </c>
      <c r="G298" s="6" t="n"/>
      <c r="H298" s="6" t="n"/>
      <c r="I298" t="str">
        <f>IF(C298="","",C298&amp;"|"&amp;G298)</f>
        <v/>
      </c>
    </row>
    <row r="299">
      <c r="A299" s="5" t="n"/>
      <c r="B299" s="5" t="n"/>
      <c r="C299" s="25" t="n"/>
      <c r="D299" s="9" t="n"/>
      <c r="E299" s="9" t="n"/>
      <c r="F299" s="7" t="str">
        <f>IF(OR(D299="",E299=""),"",(E299-D299)*1440)</f>
        <v/>
      </c>
      <c r="G299" s="6" t="n"/>
      <c r="H299" s="6" t="n"/>
      <c r="I299" t="str">
        <f>IF(C299="","",C299&amp;"|"&amp;G299)</f>
        <v/>
      </c>
    </row>
    <row r="300">
      <c r="A300" s="5" t="n"/>
      <c r="B300" s="5" t="n"/>
      <c r="C300" s="25" t="n"/>
      <c r="D300" s="9" t="n"/>
      <c r="E300" s="9" t="n"/>
      <c r="F300" s="7" t="str">
        <f>IF(OR(D300="",E300=""),"",(E300-D300)*1440)</f>
        <v/>
      </c>
      <c r="G300" s="6" t="n"/>
      <c r="H300" s="6" t="n"/>
      <c r="I300" t="str">
        <f>IF(C300="","",C300&amp;"|"&amp;G300)</f>
        <v/>
      </c>
    </row>
    <row r="301">
      <c r="A301" s="5" t="n"/>
      <c r="B301" s="5" t="n"/>
      <c r="C301" s="25" t="n"/>
      <c r="D301" s="9" t="n"/>
      <c r="E301" s="9" t="n"/>
      <c r="F301" s="7" t="str">
        <f>IF(OR(D301="",E301=""),"",(E301-D301)*1440)</f>
        <v/>
      </c>
      <c r="G301" s="6" t="n"/>
      <c r="H301" s="6" t="n"/>
      <c r="I301" t="str">
        <f>IF(C301="","",C301&amp;"|"&amp;G301)</f>
        <v/>
      </c>
    </row>
    <row r="302">
      <c r="A302" s="5" t="n"/>
      <c r="B302" s="5" t="n"/>
      <c r="C302" s="25" t="n"/>
      <c r="D302" s="9" t="n"/>
      <c r="E302" s="9" t="n"/>
      <c r="F302" s="7" t="str">
        <f>IF(OR(D302="",E302=""),"",(E302-D302)*1440)</f>
        <v/>
      </c>
      <c r="G302" s="6" t="n"/>
      <c r="H302" s="6" t="n"/>
      <c r="I302" t="str">
        <f>IF(C302="","",C302&amp;"|"&amp;G302)</f>
        <v/>
      </c>
    </row>
    <row r="303">
      <c r="A303" s="5" t="n"/>
      <c r="B303" s="5" t="n"/>
      <c r="C303" s="25" t="n"/>
      <c r="D303" s="9" t="n"/>
      <c r="E303" s="9" t="n"/>
      <c r="F303" s="7" t="str">
        <f>IF(OR(D303="",E303=""),"",(E303-D303)*1440)</f>
        <v/>
      </c>
      <c r="G303" s="6" t="n"/>
      <c r="H303" s="6" t="n"/>
      <c r="I303" t="str">
        <f>IF(C303="","",C303&amp;"|"&amp;G303)</f>
        <v/>
      </c>
    </row>
    <row r="304">
      <c r="A304" s="5" t="n"/>
      <c r="B304" s="5" t="n"/>
      <c r="C304" s="25" t="n"/>
      <c r="D304" s="9" t="n"/>
      <c r="E304" s="9" t="n"/>
      <c r="F304" s="7" t="str">
        <f>IF(OR(D304="",E304=""),"",(E304-D304)*1440)</f>
        <v/>
      </c>
      <c r="G304" s="6" t="n"/>
      <c r="H304" s="6" t="n"/>
      <c r="I304" t="str">
        <f>IF(C304="","",C304&amp;"|"&amp;G304)</f>
        <v/>
      </c>
    </row>
    <row r="305">
      <c r="A305" s="5" t="n"/>
      <c r="B305" s="5" t="n"/>
      <c r="C305" s="25" t="n"/>
      <c r="D305" s="9" t="n"/>
      <c r="E305" s="9" t="n"/>
      <c r="F305" s="7" t="str">
        <f>IF(OR(D305="",E305=""),"",(E305-D305)*1440)</f>
        <v/>
      </c>
      <c r="G305" s="6" t="n"/>
      <c r="H305" s="6" t="n"/>
      <c r="I305" t="str">
        <f>IF(C305="","",C305&amp;"|"&amp;G305)</f>
        <v/>
      </c>
    </row>
    <row r="306">
      <c r="A306" s="5" t="n"/>
      <c r="B306" s="5" t="n"/>
      <c r="C306" s="25" t="n"/>
      <c r="D306" s="9" t="n"/>
      <c r="E306" s="9" t="n"/>
      <c r="F306" s="7" t="str">
        <f>IF(OR(D306="",E306=""),"",(E306-D306)*1440)</f>
        <v/>
      </c>
      <c r="G306" s="6" t="n"/>
      <c r="H306" s="6" t="n"/>
      <c r="I306" t="str">
        <f>IF(C306="","",C306&amp;"|"&amp;G306)</f>
        <v/>
      </c>
    </row>
    <row r="307">
      <c r="A307" s="5" t="n"/>
      <c r="B307" s="5" t="n"/>
      <c r="C307" s="25" t="n"/>
      <c r="D307" s="9" t="n"/>
      <c r="E307" s="9" t="n"/>
      <c r="F307" s="7" t="str">
        <f>IF(OR(D307="",E307=""),"",(E307-D307)*1440)</f>
        <v/>
      </c>
      <c r="G307" s="6" t="n"/>
      <c r="H307" s="6" t="n"/>
      <c r="I307" t="str">
        <f>IF(C307="","",C307&amp;"|"&amp;G307)</f>
        <v/>
      </c>
    </row>
    <row r="308">
      <c r="A308" s="5" t="n"/>
      <c r="B308" s="5" t="n"/>
      <c r="C308" s="25" t="n"/>
      <c r="D308" s="9" t="n"/>
      <c r="E308" s="9" t="n"/>
      <c r="F308" s="7" t="str">
        <f>IF(OR(D308="",E308=""),"",(E308-D308)*1440)</f>
        <v/>
      </c>
      <c r="G308" s="6" t="n"/>
      <c r="H308" s="6" t="n"/>
      <c r="I308" t="str">
        <f>IF(C308="","",C308&amp;"|"&amp;G308)</f>
        <v/>
      </c>
    </row>
    <row r="309">
      <c r="A309" s="5" t="n"/>
      <c r="B309" s="5" t="n"/>
      <c r="C309" s="25" t="n"/>
      <c r="D309" s="9" t="n"/>
      <c r="E309" s="9" t="n"/>
      <c r="F309" s="7" t="str">
        <f>IF(OR(D309="",E309=""),"",(E309-D309)*1440)</f>
        <v/>
      </c>
      <c r="G309" s="6" t="n"/>
      <c r="H309" s="6" t="n"/>
      <c r="I309" t="str">
        <f>IF(C309="","",C309&amp;"|"&amp;G309)</f>
        <v/>
      </c>
    </row>
    <row r="310">
      <c r="A310" s="5" t="n"/>
      <c r="B310" s="5" t="n"/>
      <c r="C310" s="25" t="n"/>
      <c r="D310" s="9" t="n"/>
      <c r="E310" s="9" t="n"/>
      <c r="F310" s="7" t="str">
        <f>IF(OR(D310="",E310=""),"",(E310-D310)*1440)</f>
        <v/>
      </c>
      <c r="G310" s="6" t="n"/>
      <c r="H310" s="6" t="n"/>
      <c r="I310" t="str">
        <f>IF(C310="","",C310&amp;"|"&amp;G310)</f>
        <v/>
      </c>
    </row>
    <row r="311">
      <c r="A311" s="5" t="n"/>
      <c r="B311" s="5" t="n"/>
      <c r="C311" s="25" t="n"/>
      <c r="D311" s="9" t="n"/>
      <c r="E311" s="9" t="n"/>
      <c r="F311" s="7" t="str">
        <f>IF(OR(D311="",E311=""),"",(E311-D311)*1440)</f>
        <v/>
      </c>
      <c r="G311" s="6" t="n"/>
      <c r="H311" s="6" t="n"/>
      <c r="I311" t="str">
        <f>IF(C311="","",C311&amp;"|"&amp;G311)</f>
        <v/>
      </c>
    </row>
    <row r="312">
      <c r="A312" s="5" t="n"/>
      <c r="B312" s="5" t="n"/>
      <c r="C312" s="25" t="n"/>
      <c r="D312" s="9" t="n"/>
      <c r="E312" s="9" t="n"/>
      <c r="F312" s="7" t="str">
        <f>IF(OR(D312="",E312=""),"",(E312-D312)*1440)</f>
        <v/>
      </c>
      <c r="G312" s="6" t="n"/>
      <c r="H312" s="6" t="n"/>
      <c r="I312" t="str">
        <f>IF(C312="","",C312&amp;"|"&amp;G312)</f>
        <v/>
      </c>
    </row>
    <row r="313">
      <c r="A313" s="5" t="n"/>
      <c r="B313" s="5" t="n"/>
      <c r="C313" s="25" t="n"/>
      <c r="D313" s="9" t="n"/>
      <c r="E313" s="9" t="n"/>
      <c r="F313" s="7" t="str">
        <f>IF(OR(D313="",E313=""),"",(E313-D313)*1440)</f>
        <v/>
      </c>
      <c r="G313" s="6" t="n"/>
      <c r="H313" s="6" t="n"/>
      <c r="I313" t="str">
        <f>IF(C313="","",C313&amp;"|"&amp;G313)</f>
        <v/>
      </c>
    </row>
    <row r="314">
      <c r="A314" s="5" t="n"/>
      <c r="B314" s="5" t="n"/>
      <c r="C314" s="25" t="n"/>
      <c r="D314" s="9" t="n"/>
      <c r="E314" s="9" t="n"/>
      <c r="F314" s="7" t="str">
        <f>IF(OR(D314="",E314=""),"",(E314-D314)*1440)</f>
        <v/>
      </c>
      <c r="G314" s="6" t="n"/>
      <c r="H314" s="6" t="n"/>
      <c r="I314" t="str">
        <f>IF(C314="","",C314&amp;"|"&amp;G314)</f>
        <v/>
      </c>
    </row>
    <row r="315">
      <c r="A315" s="5" t="n"/>
      <c r="B315" s="5" t="n"/>
      <c r="C315" s="25" t="n"/>
      <c r="D315" s="9" t="n"/>
      <c r="E315" s="9" t="n"/>
      <c r="F315" s="7" t="str">
        <f>IF(OR(D315="",E315=""),"",(E315-D315)*1440)</f>
        <v/>
      </c>
      <c r="G315" s="6" t="n"/>
      <c r="H315" s="6" t="n"/>
      <c r="I315" t="str">
        <f>IF(C315="","",C315&amp;"|"&amp;G315)</f>
        <v/>
      </c>
    </row>
    <row r="316">
      <c r="A316" s="5" t="n"/>
      <c r="B316" s="5" t="n"/>
      <c r="C316" s="25" t="n"/>
      <c r="D316" s="9" t="n"/>
      <c r="E316" s="9" t="n"/>
      <c r="F316" s="7" t="str">
        <f>IF(OR(D316="",E316=""),"",(E316-D316)*1440)</f>
        <v/>
      </c>
      <c r="G316" s="6" t="n"/>
      <c r="H316" s="6" t="n"/>
      <c r="I316" t="str">
        <f>IF(C316="","",C316&amp;"|"&amp;G316)</f>
        <v/>
      </c>
    </row>
    <row r="317">
      <c r="A317" s="5" t="n"/>
      <c r="B317" s="5" t="n"/>
      <c r="C317" s="25" t="n"/>
      <c r="D317" s="9" t="n"/>
      <c r="E317" s="9" t="n"/>
      <c r="F317" s="7" t="str">
        <f>IF(OR(D317="",E317=""),"",(E317-D317)*1440)</f>
        <v/>
      </c>
      <c r="G317" s="6" t="n"/>
      <c r="H317" s="6" t="n"/>
      <c r="I317" t="str">
        <f>IF(C317="","",C317&amp;"|"&amp;G317)</f>
        <v/>
      </c>
    </row>
    <row r="318">
      <c r="A318" s="5" t="n"/>
      <c r="B318" s="5" t="n"/>
      <c r="C318" s="25" t="n"/>
      <c r="D318" s="9" t="n"/>
      <c r="E318" s="9" t="n"/>
      <c r="F318" s="7" t="str">
        <f>IF(OR(D318="",E318=""),"",(E318-D318)*1440)</f>
        <v/>
      </c>
      <c r="G318" s="6" t="n"/>
      <c r="H318" s="6" t="n"/>
      <c r="I318" t="str">
        <f>IF(C318="","",C318&amp;"|"&amp;G318)</f>
        <v/>
      </c>
    </row>
    <row r="319">
      <c r="A319" s="5" t="n"/>
      <c r="B319" s="5" t="n"/>
      <c r="C319" s="25" t="n"/>
      <c r="D319" s="9" t="n"/>
      <c r="E319" s="9" t="n"/>
      <c r="F319" s="7" t="str">
        <f>IF(OR(D319="",E319=""),"",(E319-D319)*1440)</f>
        <v/>
      </c>
      <c r="G319" s="6" t="n"/>
      <c r="H319" s="6" t="n"/>
      <c r="I319" t="str">
        <f>IF(C319="","",C319&amp;"|"&amp;G319)</f>
        <v/>
      </c>
    </row>
    <row r="320">
      <c r="A320" s="5" t="n"/>
      <c r="B320" s="5" t="n"/>
      <c r="C320" s="25" t="n"/>
      <c r="D320" s="9" t="n"/>
      <c r="E320" s="9" t="n"/>
      <c r="F320" s="7" t="str">
        <f>IF(OR(D320="",E320=""),"",(E320-D320)*1440)</f>
        <v/>
      </c>
      <c r="G320" s="6" t="n"/>
      <c r="H320" s="6" t="n"/>
      <c r="I320" t="str">
        <f>IF(C320="","",C320&amp;"|"&amp;G320)</f>
        <v/>
      </c>
    </row>
    <row r="321">
      <c r="A321" s="5" t="n"/>
      <c r="B321" s="5" t="n"/>
      <c r="C321" s="25" t="n"/>
      <c r="D321" s="9" t="n"/>
      <c r="E321" s="9" t="n"/>
      <c r="F321" s="7" t="str">
        <f>IF(OR(D321="",E321=""),"",(E321-D321)*1440)</f>
        <v/>
      </c>
      <c r="G321" s="6" t="n"/>
      <c r="H321" s="6" t="n"/>
      <c r="I321" t="str">
        <f>IF(C321="","",C321&amp;"|"&amp;G321)</f>
        <v/>
      </c>
    </row>
    <row r="322">
      <c r="A322" s="5" t="n"/>
      <c r="B322" s="5" t="n"/>
      <c r="C322" s="25" t="n"/>
      <c r="D322" s="9" t="n"/>
      <c r="E322" s="9" t="n"/>
      <c r="F322" s="7" t="str">
        <f>IF(OR(D322="",E322=""),"",(E322-D322)*1440)</f>
        <v/>
      </c>
      <c r="G322" s="6" t="n"/>
      <c r="H322" s="6" t="n"/>
      <c r="I322" t="str">
        <f>IF(C322="","",C322&amp;"|"&amp;G322)</f>
        <v/>
      </c>
    </row>
    <row r="323">
      <c r="A323" s="5" t="n"/>
      <c r="B323" s="5" t="n"/>
      <c r="C323" s="25" t="n"/>
      <c r="D323" s="9" t="n"/>
      <c r="E323" s="9" t="n"/>
      <c r="F323" s="7" t="str">
        <f>IF(OR(D323="",E323=""),"",(E323-D323)*1440)</f>
        <v/>
      </c>
      <c r="G323" s="6" t="n"/>
      <c r="H323" s="6" t="n"/>
      <c r="I323" t="str">
        <f>IF(C323="","",C323&amp;"|"&amp;G323)</f>
        <v/>
      </c>
    </row>
    <row r="324">
      <c r="A324" s="5" t="n"/>
      <c r="B324" s="5" t="n"/>
      <c r="C324" s="25" t="n"/>
      <c r="D324" s="9" t="n"/>
      <c r="E324" s="9" t="n"/>
      <c r="F324" s="7" t="str">
        <f>IF(OR(D324="",E324=""),"",(E324-D324)*1440)</f>
        <v/>
      </c>
      <c r="G324" s="6" t="n"/>
      <c r="H324" s="6" t="n"/>
      <c r="I324" t="str">
        <f>IF(C324="","",C324&amp;"|"&amp;G324)</f>
        <v/>
      </c>
    </row>
    <row r="325">
      <c r="A325" s="5" t="n"/>
      <c r="B325" s="5" t="n"/>
      <c r="C325" s="25" t="n"/>
      <c r="D325" s="9" t="n"/>
      <c r="E325" s="9" t="n"/>
      <c r="F325" s="7" t="str">
        <f>IF(OR(D325="",E325=""),"",(E325-D325)*1440)</f>
        <v/>
      </c>
      <c r="G325" s="6" t="n"/>
      <c r="H325" s="6" t="n"/>
      <c r="I325" t="str">
        <f>IF(C325="","",C325&amp;"|"&amp;G325)</f>
        <v/>
      </c>
    </row>
    <row r="326">
      <c r="A326" s="5" t="n"/>
      <c r="B326" s="5" t="n"/>
      <c r="C326" s="25" t="n"/>
      <c r="D326" s="9" t="n"/>
      <c r="E326" s="9" t="n"/>
      <c r="F326" s="7" t="str">
        <f>IF(OR(D326="",E326=""),"",(E326-D326)*1440)</f>
        <v/>
      </c>
      <c r="G326" s="6" t="n"/>
      <c r="H326" s="6" t="n"/>
      <c r="I326" t="str">
        <f>IF(C326="","",C326&amp;"|"&amp;G326)</f>
        <v/>
      </c>
    </row>
    <row r="327">
      <c r="A327" s="5" t="n"/>
      <c r="B327" s="5" t="n"/>
      <c r="C327" s="25" t="n"/>
      <c r="D327" s="9" t="n"/>
      <c r="E327" s="9" t="n"/>
      <c r="F327" s="7" t="str">
        <f>IF(OR(D327="",E327=""),"",(E327-D327)*1440)</f>
        <v/>
      </c>
      <c r="G327" s="6" t="n"/>
      <c r="H327" s="6" t="n"/>
      <c r="I327" t="str">
        <f>IF(C327="","",C327&amp;"|"&amp;G327)</f>
        <v/>
      </c>
    </row>
    <row r="328">
      <c r="A328" s="5" t="n"/>
      <c r="B328" s="5" t="n"/>
      <c r="C328" s="25" t="n"/>
      <c r="D328" s="9" t="n"/>
      <c r="E328" s="9" t="n"/>
      <c r="F328" s="7" t="str">
        <f>IF(OR(D328="",E328=""),"",(E328-D328)*1440)</f>
        <v/>
      </c>
      <c r="G328" s="6" t="n"/>
      <c r="H328" s="6" t="n"/>
      <c r="I328" t="str">
        <f>IF(C328="","",C328&amp;"|"&amp;G328)</f>
        <v/>
      </c>
    </row>
    <row r="329">
      <c r="A329" s="5" t="n"/>
      <c r="B329" s="5" t="n"/>
      <c r="C329" s="25" t="n"/>
      <c r="D329" s="9" t="n"/>
      <c r="E329" s="9" t="n"/>
      <c r="F329" s="7" t="str">
        <f>IF(OR(D329="",E329=""),"",(E329-D329)*1440)</f>
        <v/>
      </c>
      <c r="G329" s="6" t="n"/>
      <c r="H329" s="6" t="n"/>
      <c r="I329" t="str">
        <f>IF(C329="","",C329&amp;"|"&amp;G329)</f>
        <v/>
      </c>
    </row>
    <row r="330">
      <c r="A330" s="5" t="n"/>
      <c r="B330" s="5" t="n"/>
      <c r="C330" s="25" t="n"/>
      <c r="D330" s="9" t="n"/>
      <c r="E330" s="9" t="n"/>
      <c r="F330" s="7" t="str">
        <f>IF(OR(D330="",E330=""),"",(E330-D330)*1440)</f>
        <v/>
      </c>
      <c r="G330" s="6" t="n"/>
      <c r="H330" s="6" t="n"/>
      <c r="I330" t="str">
        <f>IF(C330="","",C330&amp;"|"&amp;G330)</f>
        <v/>
      </c>
    </row>
    <row r="331">
      <c r="A331" s="5" t="n"/>
      <c r="B331" s="5" t="n"/>
      <c r="C331" s="25" t="n"/>
      <c r="D331" s="9" t="n"/>
      <c r="E331" s="9" t="n"/>
      <c r="F331" s="7" t="str">
        <f>IF(OR(D331="",E331=""),"",(E331-D331)*1440)</f>
        <v/>
      </c>
      <c r="G331" s="6" t="n"/>
      <c r="H331" s="6" t="n"/>
      <c r="I331" t="str">
        <f>IF(C331="","",C331&amp;"|"&amp;G331)</f>
        <v/>
      </c>
    </row>
    <row r="332">
      <c r="A332" s="5" t="n"/>
      <c r="B332" s="5" t="n"/>
      <c r="C332" s="25" t="n"/>
      <c r="D332" s="9" t="n"/>
      <c r="E332" s="9" t="n"/>
      <c r="F332" s="7" t="str">
        <f>IF(OR(D332="",E332=""),"",(E332-D332)*1440)</f>
        <v/>
      </c>
      <c r="G332" s="6" t="n"/>
      <c r="H332" s="6" t="n"/>
      <c r="I332" t="str">
        <f>IF(C332="","",C332&amp;"|"&amp;G332)</f>
        <v/>
      </c>
    </row>
    <row r="333">
      <c r="A333" s="5" t="n"/>
      <c r="B333" s="5" t="n"/>
      <c r="C333" s="25" t="n"/>
      <c r="D333" s="9" t="n"/>
      <c r="E333" s="9" t="n"/>
      <c r="F333" s="7" t="str">
        <f>IF(OR(D333="",E333=""),"",(E333-D333)*1440)</f>
        <v/>
      </c>
      <c r="G333" s="6" t="n"/>
      <c r="H333" s="6" t="n"/>
      <c r="I333" t="str">
        <f>IF(C333="","",C333&amp;"|"&amp;G333)</f>
        <v/>
      </c>
    </row>
    <row r="334">
      <c r="A334" s="5" t="n"/>
      <c r="B334" s="5" t="n"/>
      <c r="C334" s="25" t="n"/>
      <c r="D334" s="9" t="n"/>
      <c r="E334" s="9" t="n"/>
      <c r="F334" s="7" t="str">
        <f>IF(OR(D334="",E334=""),"",(E334-D334)*1440)</f>
        <v/>
      </c>
      <c r="G334" s="6" t="n"/>
      <c r="H334" s="6" t="n"/>
      <c r="I334" t="str">
        <f>IF(C334="","",C334&amp;"|"&amp;G334)</f>
        <v/>
      </c>
    </row>
    <row r="335">
      <c r="A335" s="5" t="n"/>
      <c r="B335" s="5" t="n"/>
      <c r="C335" s="25" t="n"/>
      <c r="D335" s="9" t="n"/>
      <c r="E335" s="9" t="n"/>
      <c r="F335" s="7" t="str">
        <f>IF(OR(D335="",E335=""),"",(E335-D335)*1440)</f>
        <v/>
      </c>
      <c r="G335" s="6" t="n"/>
      <c r="H335" s="6" t="n"/>
      <c r="I335" t="str">
        <f>IF(C335="","",C335&amp;"|"&amp;G335)</f>
        <v/>
      </c>
    </row>
    <row r="336">
      <c r="A336" s="5" t="n"/>
      <c r="B336" s="5" t="n"/>
      <c r="C336" s="25" t="n"/>
      <c r="D336" s="9" t="n"/>
      <c r="E336" s="9" t="n"/>
      <c r="F336" s="7" t="str">
        <f>IF(OR(D336="",E336=""),"",(E336-D336)*1440)</f>
        <v/>
      </c>
      <c r="G336" s="6" t="n"/>
      <c r="H336" s="6" t="n"/>
      <c r="I336" t="str">
        <f>IF(C336="","",C336&amp;"|"&amp;G336)</f>
        <v/>
      </c>
    </row>
    <row r="337">
      <c r="A337" s="5" t="n"/>
      <c r="B337" s="5" t="n"/>
      <c r="C337" s="25" t="n"/>
      <c r="D337" s="9" t="n"/>
      <c r="E337" s="9" t="n"/>
      <c r="F337" s="7" t="str">
        <f>IF(OR(D337="",E337=""),"",(E337-D337)*1440)</f>
        <v/>
      </c>
      <c r="G337" s="6" t="n"/>
      <c r="H337" s="6" t="n"/>
      <c r="I337" t="str">
        <f>IF(C337="","",C337&amp;"|"&amp;G337)</f>
        <v/>
      </c>
    </row>
    <row r="338">
      <c r="A338" s="5" t="n"/>
      <c r="B338" s="5" t="n"/>
      <c r="C338" s="25" t="n"/>
      <c r="D338" s="9" t="n"/>
      <c r="E338" s="9" t="n"/>
      <c r="F338" s="7" t="str">
        <f>IF(OR(D338="",E338=""),"",(E338-D338)*1440)</f>
        <v/>
      </c>
      <c r="G338" s="6" t="n"/>
      <c r="H338" s="6" t="n"/>
      <c r="I338" t="str">
        <f>IF(C338="","",C338&amp;"|"&amp;G338)</f>
        <v/>
      </c>
    </row>
    <row r="339">
      <c r="A339" s="5" t="n"/>
      <c r="B339" s="5" t="n"/>
      <c r="C339" s="25" t="n"/>
      <c r="D339" s="9" t="n"/>
      <c r="E339" s="9" t="n"/>
      <c r="F339" s="7" t="str">
        <f>IF(OR(D339="",E339=""),"",(E339-D339)*1440)</f>
        <v/>
      </c>
      <c r="G339" s="6" t="n"/>
      <c r="H339" s="6" t="n"/>
      <c r="I339" t="str">
        <f>IF(C339="","",C339&amp;"|"&amp;G339)</f>
        <v/>
      </c>
    </row>
    <row r="340">
      <c r="A340" s="5" t="n"/>
      <c r="B340" s="5" t="n"/>
      <c r="C340" s="25" t="n"/>
      <c r="D340" s="9" t="n"/>
      <c r="E340" s="9" t="n"/>
      <c r="F340" s="7" t="str">
        <f>IF(OR(D340="",E340=""),"",(E340-D340)*1440)</f>
        <v/>
      </c>
      <c r="G340" s="6" t="n"/>
      <c r="H340" s="6" t="n"/>
      <c r="I340" t="str">
        <f>IF(C340="","",C340&amp;"|"&amp;G340)</f>
        <v/>
      </c>
    </row>
    <row r="341">
      <c r="A341" s="5" t="n"/>
      <c r="B341" s="5" t="n"/>
      <c r="C341" s="25" t="n"/>
      <c r="D341" s="9" t="n"/>
      <c r="E341" s="9" t="n"/>
      <c r="F341" s="7" t="str">
        <f>IF(OR(D341="",E341=""),"",(E341-D341)*1440)</f>
        <v/>
      </c>
      <c r="G341" s="6" t="n"/>
      <c r="H341" s="6" t="n"/>
      <c r="I341" t="str">
        <f>IF(C341="","",C341&amp;"|"&amp;G341)</f>
        <v/>
      </c>
    </row>
    <row r="342">
      <c r="A342" s="5" t="n"/>
      <c r="B342" s="5" t="n"/>
      <c r="C342" s="25" t="n"/>
      <c r="D342" s="9" t="n"/>
      <c r="E342" s="9" t="n"/>
      <c r="F342" s="7" t="str">
        <f>IF(OR(D342="",E342=""),"",(E342-D342)*1440)</f>
        <v/>
      </c>
      <c r="G342" s="6" t="n"/>
      <c r="H342" s="6" t="n"/>
      <c r="I342" t="str">
        <f>IF(C342="","",C342&amp;"|"&amp;G342)</f>
        <v/>
      </c>
    </row>
    <row r="343">
      <c r="A343" s="5" t="n"/>
      <c r="B343" s="5" t="n"/>
      <c r="C343" s="25" t="n"/>
      <c r="D343" s="9" t="n"/>
      <c r="E343" s="9" t="n"/>
      <c r="F343" s="7" t="str">
        <f>IF(OR(D343="",E343=""),"",(E343-D343)*1440)</f>
        <v/>
      </c>
      <c r="G343" s="6" t="n"/>
      <c r="H343" s="6" t="n"/>
      <c r="I343" t="str">
        <f>IF(C343="","",C343&amp;"|"&amp;G343)</f>
        <v/>
      </c>
    </row>
    <row r="344">
      <c r="A344" s="5" t="n"/>
      <c r="B344" s="5" t="n"/>
      <c r="C344" s="25" t="n"/>
      <c r="D344" s="9" t="n"/>
      <c r="E344" s="9" t="n"/>
      <c r="F344" s="7" t="str">
        <f>IF(OR(D344="",E344=""),"",(E344-D344)*1440)</f>
        <v/>
      </c>
      <c r="G344" s="6" t="n"/>
      <c r="H344" s="6" t="n"/>
      <c r="I344" t="str">
        <f>IF(C344="","",C344&amp;"|"&amp;G344)</f>
        <v/>
      </c>
    </row>
    <row r="345">
      <c r="A345" s="5" t="n"/>
      <c r="B345" s="5" t="n"/>
      <c r="C345" s="25" t="n"/>
      <c r="D345" s="9" t="n"/>
      <c r="E345" s="9" t="n"/>
      <c r="F345" s="7" t="str">
        <f>IF(OR(D345="",E345=""),"",(E345-D345)*1440)</f>
        <v/>
      </c>
      <c r="G345" s="6" t="n"/>
      <c r="H345" s="6" t="n"/>
      <c r="I345" t="str">
        <f>IF(C345="","",C345&amp;"|"&amp;G345)</f>
        <v/>
      </c>
    </row>
    <row r="346">
      <c r="A346" s="5" t="n"/>
      <c r="B346" s="5" t="n"/>
      <c r="C346" s="25" t="n"/>
      <c r="D346" s="9" t="n"/>
      <c r="E346" s="9" t="n"/>
      <c r="F346" s="7" t="str">
        <f>IF(OR(D346="",E346=""),"",(E346-D346)*1440)</f>
        <v/>
      </c>
      <c r="G346" s="6" t="n"/>
      <c r="H346" s="6" t="n"/>
      <c r="I346" t="str">
        <f>IF(C346="","",C346&amp;"|"&amp;G346)</f>
        <v/>
      </c>
    </row>
    <row r="347">
      <c r="A347" s="5" t="n"/>
      <c r="B347" s="5" t="n"/>
      <c r="C347" s="25" t="n"/>
      <c r="D347" s="9" t="n"/>
      <c r="E347" s="9" t="n"/>
      <c r="F347" s="7" t="str">
        <f>IF(OR(D347="",E347=""),"",(E347-D347)*1440)</f>
        <v/>
      </c>
      <c r="G347" s="6" t="n"/>
      <c r="H347" s="6" t="n"/>
      <c r="I347" t="str">
        <f>IF(C347="","",C347&amp;"|"&amp;G347)</f>
        <v/>
      </c>
    </row>
    <row r="348">
      <c r="A348" s="5" t="n"/>
      <c r="B348" s="5" t="n"/>
      <c r="C348" s="25" t="n"/>
      <c r="D348" s="9" t="n"/>
      <c r="E348" s="9" t="n"/>
      <c r="F348" s="7" t="str">
        <f>IF(OR(D348="",E348=""),"",(E348-D348)*1440)</f>
        <v/>
      </c>
      <c r="G348" s="6" t="n"/>
      <c r="H348" s="6" t="n"/>
      <c r="I348" t="str">
        <f>IF(C348="","",C348&amp;"|"&amp;G348)</f>
        <v/>
      </c>
    </row>
    <row r="349">
      <c r="A349" s="5" t="n"/>
      <c r="B349" s="5" t="n"/>
      <c r="C349" s="25" t="n"/>
      <c r="D349" s="9" t="n"/>
      <c r="E349" s="9" t="n"/>
      <c r="F349" s="7" t="str">
        <f>IF(OR(D349="",E349=""),"",(E349-D349)*1440)</f>
        <v/>
      </c>
      <c r="G349" s="6" t="n"/>
      <c r="H349" s="6" t="n"/>
      <c r="I349" t="str">
        <f>IF(C349="","",C349&amp;"|"&amp;G349)</f>
        <v/>
      </c>
    </row>
    <row r="350">
      <c r="A350" s="5" t="n"/>
      <c r="B350" s="5" t="n"/>
      <c r="C350" s="25" t="n"/>
      <c r="D350" s="9" t="n"/>
      <c r="E350" s="9" t="n"/>
      <c r="F350" s="7" t="str">
        <f>IF(OR(D350="",E350=""),"",(E350-D350)*1440)</f>
        <v/>
      </c>
      <c r="G350" s="6" t="n"/>
      <c r="H350" s="6" t="n"/>
      <c r="I350" t="str">
        <f>IF(C350="","",C350&amp;"|"&amp;G350)</f>
        <v/>
      </c>
    </row>
    <row r="351">
      <c r="A351" s="5" t="n"/>
      <c r="B351" s="5" t="n"/>
      <c r="C351" s="25" t="n"/>
      <c r="D351" s="9" t="n"/>
      <c r="E351" s="9" t="n"/>
      <c r="F351" s="7" t="str">
        <f>IF(OR(D351="",E351=""),"",(E351-D351)*1440)</f>
        <v/>
      </c>
      <c r="G351" s="6" t="n"/>
      <c r="H351" s="6" t="n"/>
      <c r="I351" t="str">
        <f>IF(C351="","",C351&amp;"|"&amp;G351)</f>
        <v/>
      </c>
    </row>
    <row r="352">
      <c r="A352" s="5" t="n"/>
      <c r="B352" s="5" t="n"/>
      <c r="C352" s="25" t="n"/>
      <c r="D352" s="9" t="n"/>
      <c r="E352" s="9" t="n"/>
      <c r="F352" s="7" t="str">
        <f>IF(OR(D352="",E352=""),"",(E352-D352)*1440)</f>
        <v/>
      </c>
      <c r="G352" s="6" t="n"/>
      <c r="H352" s="6" t="n"/>
      <c r="I352" t="str">
        <f>IF(C352="","",C352&amp;"|"&amp;G352)</f>
        <v/>
      </c>
    </row>
    <row r="353">
      <c r="A353" s="5" t="n"/>
      <c r="B353" s="5" t="n"/>
      <c r="C353" s="25" t="n"/>
      <c r="D353" s="9" t="n"/>
      <c r="E353" s="9" t="n"/>
      <c r="F353" s="7" t="str">
        <f>IF(OR(D353="",E353=""),"",(E353-D353)*1440)</f>
        <v/>
      </c>
      <c r="G353" s="6" t="n"/>
      <c r="H353" s="6" t="n"/>
      <c r="I353" t="str">
        <f>IF(C353="","",C353&amp;"|"&amp;G353)</f>
        <v/>
      </c>
    </row>
    <row r="354">
      <c r="A354" s="5" t="n"/>
      <c r="B354" s="5" t="n"/>
      <c r="C354" s="25" t="n"/>
      <c r="D354" s="9" t="n"/>
      <c r="E354" s="9" t="n"/>
      <c r="F354" s="7" t="str">
        <f>IF(OR(D354="",E354=""),"",(E354-D354)*1440)</f>
        <v/>
      </c>
      <c r="G354" s="6" t="n"/>
      <c r="H354" s="6" t="n"/>
      <c r="I354" t="str">
        <f>IF(C354="","",C354&amp;"|"&amp;G354)</f>
        <v/>
      </c>
    </row>
    <row r="355">
      <c r="A355" s="5" t="n"/>
      <c r="B355" s="5" t="n"/>
      <c r="C355" s="25" t="n"/>
      <c r="D355" s="9" t="n"/>
      <c r="E355" s="9" t="n"/>
      <c r="F355" s="7" t="str">
        <f>IF(OR(D355="",E355=""),"",(E355-D355)*1440)</f>
        <v/>
      </c>
      <c r="G355" s="6" t="n"/>
      <c r="H355" s="6" t="n"/>
      <c r="I355" t="str">
        <f>IF(C355="","",C355&amp;"|"&amp;G355)</f>
        <v/>
      </c>
    </row>
    <row r="356">
      <c r="A356" s="5" t="n"/>
      <c r="B356" s="5" t="n"/>
      <c r="C356" s="25" t="n"/>
      <c r="D356" s="9" t="n"/>
      <c r="E356" s="9" t="n"/>
      <c r="F356" s="7" t="str">
        <f>IF(OR(D356="",E356=""),"",(E356-D356)*1440)</f>
        <v/>
      </c>
      <c r="G356" s="6" t="n"/>
      <c r="H356" s="6" t="n"/>
      <c r="I356" t="str">
        <f>IF(C356="","",C356&amp;"|"&amp;G356)</f>
        <v/>
      </c>
    </row>
    <row r="357">
      <c r="A357" s="5" t="n"/>
      <c r="B357" s="5" t="n"/>
      <c r="C357" s="25" t="n"/>
      <c r="D357" s="9" t="n"/>
      <c r="E357" s="9" t="n"/>
      <c r="F357" s="7" t="str">
        <f>IF(OR(D357="",E357=""),"",(E357-D357)*1440)</f>
        <v/>
      </c>
      <c r="G357" s="6" t="n"/>
      <c r="H357" s="6" t="n"/>
      <c r="I357" t="str">
        <f>IF(C357="","",C357&amp;"|"&amp;G357)</f>
        <v/>
      </c>
    </row>
    <row r="358">
      <c r="A358" s="5" t="n"/>
      <c r="B358" s="5" t="n"/>
      <c r="C358" s="25" t="n"/>
      <c r="D358" s="9" t="n"/>
      <c r="E358" s="9" t="n"/>
      <c r="F358" s="7" t="str">
        <f>IF(OR(D358="",E358=""),"",(E358-D358)*1440)</f>
        <v/>
      </c>
      <c r="G358" s="6" t="n"/>
      <c r="H358" s="6" t="n"/>
      <c r="I358" t="str">
        <f>IF(C358="","",C358&amp;"|"&amp;G358)</f>
        <v/>
      </c>
    </row>
    <row r="359">
      <c r="A359" s="5" t="n"/>
      <c r="B359" s="5" t="n"/>
      <c r="C359" s="25" t="n"/>
      <c r="D359" s="9" t="n"/>
      <c r="E359" s="9" t="n"/>
      <c r="F359" s="7" t="str">
        <f>IF(OR(D359="",E359=""),"",(E359-D359)*1440)</f>
        <v/>
      </c>
      <c r="G359" s="6" t="n"/>
      <c r="H359" s="6" t="n"/>
      <c r="I359" t="str">
        <f>IF(C359="","",C359&amp;"|"&amp;G359)</f>
        <v/>
      </c>
    </row>
    <row r="360">
      <c r="A360" s="5" t="n"/>
      <c r="B360" s="5" t="n"/>
      <c r="C360" s="25" t="n"/>
      <c r="D360" s="9" t="n"/>
      <c r="E360" s="9" t="n"/>
      <c r="F360" s="7" t="str">
        <f>IF(OR(D360="",E360=""),"",(E360-D360)*1440)</f>
        <v/>
      </c>
      <c r="G360" s="6" t="n"/>
      <c r="H360" s="6" t="n"/>
      <c r="I360" t="str">
        <f>IF(C360="","",C360&amp;"|"&amp;G360)</f>
        <v/>
      </c>
    </row>
    <row r="361">
      <c r="A361" s="5" t="n"/>
      <c r="B361" s="5" t="n"/>
      <c r="C361" s="25" t="n"/>
      <c r="D361" s="9" t="n"/>
      <c r="E361" s="9" t="n"/>
      <c r="F361" s="7" t="str">
        <f>IF(OR(D361="",E361=""),"",(E361-D361)*1440)</f>
        <v/>
      </c>
      <c r="G361" s="6" t="n"/>
      <c r="H361" s="6" t="n"/>
      <c r="I361" t="str">
        <f>IF(C361="","",C361&amp;"|"&amp;G361)</f>
        <v/>
      </c>
    </row>
    <row r="362">
      <c r="A362" s="5" t="n"/>
      <c r="B362" s="5" t="n"/>
      <c r="C362" s="25" t="n"/>
      <c r="D362" s="9" t="n"/>
      <c r="E362" s="9" t="n"/>
      <c r="F362" s="7" t="str">
        <f>IF(OR(D362="",E362=""),"",(E362-D362)*1440)</f>
        <v/>
      </c>
      <c r="G362" s="6" t="n"/>
      <c r="H362" s="6" t="n"/>
      <c r="I362" t="str">
        <f>IF(C362="","",C362&amp;"|"&amp;G362)</f>
        <v/>
      </c>
    </row>
    <row r="363">
      <c r="A363" s="5" t="n"/>
      <c r="B363" s="5" t="n"/>
      <c r="C363" s="25" t="n"/>
      <c r="D363" s="9" t="n"/>
      <c r="E363" s="9" t="n"/>
      <c r="F363" s="7" t="str">
        <f>IF(OR(D363="",E363=""),"",(E363-D363)*1440)</f>
        <v/>
      </c>
      <c r="G363" s="6" t="n"/>
      <c r="H363" s="6" t="n"/>
      <c r="I363" t="str">
        <f>IF(C363="","",C363&amp;"|"&amp;G363)</f>
        <v/>
      </c>
    </row>
    <row r="364">
      <c r="A364" s="5" t="n"/>
      <c r="B364" s="5" t="n"/>
      <c r="C364" s="25" t="n"/>
      <c r="D364" s="9" t="n"/>
      <c r="E364" s="9" t="n"/>
      <c r="F364" s="7" t="str">
        <f>IF(OR(D364="",E364=""),"",(E364-D364)*1440)</f>
        <v/>
      </c>
      <c r="G364" s="6" t="n"/>
      <c r="H364" s="6" t="n"/>
      <c r="I364" t="str">
        <f>IF(C364="","",C364&amp;"|"&amp;G364)</f>
        <v/>
      </c>
    </row>
    <row r="365">
      <c r="A365" s="5" t="n"/>
      <c r="B365" s="5" t="n"/>
      <c r="C365" s="25" t="n"/>
      <c r="D365" s="9" t="n"/>
      <c r="E365" s="9" t="n"/>
      <c r="F365" s="7" t="str">
        <f>IF(OR(D365="",E365=""),"",(E365-D365)*1440)</f>
        <v/>
      </c>
      <c r="G365" s="6" t="n"/>
      <c r="H365" s="6" t="n"/>
      <c r="I365" t="str">
        <f>IF(C365="","",C365&amp;"|"&amp;G365)</f>
        <v/>
      </c>
    </row>
    <row r="366">
      <c r="A366" s="5" t="n"/>
      <c r="B366" s="5" t="n"/>
      <c r="C366" s="25" t="n"/>
      <c r="D366" s="9" t="n"/>
      <c r="E366" s="9" t="n"/>
      <c r="F366" s="7" t="str">
        <f>IF(OR(D366="",E366=""),"",(E366-D366)*1440)</f>
        <v/>
      </c>
      <c r="G366" s="6" t="n"/>
      <c r="H366" s="6" t="n"/>
      <c r="I366" t="str">
        <f>IF(C366="","",C366&amp;"|"&amp;G366)</f>
        <v/>
      </c>
    </row>
    <row r="367">
      <c r="A367" s="5" t="n"/>
      <c r="B367" s="5" t="n"/>
      <c r="C367" s="25" t="n"/>
      <c r="D367" s="9" t="n"/>
      <c r="E367" s="9" t="n"/>
      <c r="F367" s="7" t="str">
        <f>IF(OR(D367="",E367=""),"",(E367-D367)*1440)</f>
        <v/>
      </c>
      <c r="G367" s="6" t="n"/>
      <c r="H367" s="6" t="n"/>
      <c r="I367" t="str">
        <f>IF(C367="","",C367&amp;"|"&amp;G367)</f>
        <v/>
      </c>
    </row>
    <row r="368">
      <c r="A368" s="5" t="n"/>
      <c r="B368" s="5" t="n"/>
      <c r="C368" s="25" t="n"/>
      <c r="D368" s="9" t="n"/>
      <c r="E368" s="9" t="n"/>
      <c r="F368" s="7" t="str">
        <f>IF(OR(D368="",E368=""),"",(E368-D368)*1440)</f>
        <v/>
      </c>
      <c r="G368" s="6" t="n"/>
      <c r="H368" s="6" t="n"/>
      <c r="I368" t="str">
        <f>IF(C368="","",C368&amp;"|"&amp;G368)</f>
        <v/>
      </c>
    </row>
    <row r="369">
      <c r="A369" s="5" t="n"/>
      <c r="B369" s="5" t="n"/>
      <c r="C369" s="25" t="n"/>
      <c r="D369" s="9" t="n"/>
      <c r="E369" s="9" t="n"/>
      <c r="F369" s="7" t="str">
        <f>IF(OR(D369="",E369=""),"",(E369-D369)*1440)</f>
        <v/>
      </c>
      <c r="G369" s="6" t="n"/>
      <c r="H369" s="6" t="n"/>
      <c r="I369" t="str">
        <f>IF(C369="","",C369&amp;"|"&amp;G369)</f>
        <v/>
      </c>
    </row>
    <row r="370">
      <c r="A370" s="5" t="n"/>
      <c r="B370" s="5" t="n"/>
      <c r="C370" s="25" t="n"/>
      <c r="D370" s="9" t="n"/>
      <c r="E370" s="9" t="n"/>
      <c r="F370" s="7" t="str">
        <f>IF(OR(D370="",E370=""),"",(E370-D370)*1440)</f>
        <v/>
      </c>
      <c r="G370" s="6" t="n"/>
      <c r="H370" s="6" t="n"/>
      <c r="I370" t="str">
        <f>IF(C370="","",C370&amp;"|"&amp;G370)</f>
        <v/>
      </c>
    </row>
    <row r="371">
      <c r="A371" s="5" t="n"/>
      <c r="B371" s="5" t="n"/>
      <c r="C371" s="25" t="n"/>
      <c r="D371" s="9" t="n"/>
      <c r="E371" s="9" t="n"/>
      <c r="F371" s="7" t="str">
        <f>IF(OR(D371="",E371=""),"",(E371-D371)*1440)</f>
        <v/>
      </c>
      <c r="G371" s="6" t="n"/>
      <c r="H371" s="6" t="n"/>
      <c r="I371" t="str">
        <f>IF(C371="","",C371&amp;"|"&amp;G371)</f>
        <v/>
      </c>
    </row>
    <row r="372">
      <c r="A372" s="5" t="n"/>
      <c r="B372" s="5" t="n"/>
      <c r="C372" s="25" t="n"/>
      <c r="D372" s="9" t="n"/>
      <c r="E372" s="9" t="n"/>
      <c r="F372" s="7" t="str">
        <f>IF(OR(D372="",E372=""),"",(E372-D372)*1440)</f>
        <v/>
      </c>
      <c r="G372" s="6" t="n"/>
      <c r="H372" s="6" t="n"/>
      <c r="I372" t="str">
        <f>IF(C372="","",C372&amp;"|"&amp;G372)</f>
        <v/>
      </c>
    </row>
    <row r="373">
      <c r="A373" s="5" t="n"/>
      <c r="B373" s="5" t="n"/>
      <c r="C373" s="25" t="n"/>
      <c r="D373" s="9" t="n"/>
      <c r="E373" s="9" t="n"/>
      <c r="F373" s="7" t="str">
        <f>IF(OR(D373="",E373=""),"",(E373-D373)*1440)</f>
        <v/>
      </c>
      <c r="G373" s="6" t="n"/>
      <c r="H373" s="6" t="n"/>
      <c r="I373" t="str">
        <f>IF(C373="","",C373&amp;"|"&amp;G373)</f>
        <v/>
      </c>
    </row>
    <row r="374">
      <c r="A374" s="5" t="n"/>
      <c r="B374" s="5" t="n"/>
      <c r="C374" s="25" t="n"/>
      <c r="D374" s="9" t="n"/>
      <c r="E374" s="9" t="n"/>
      <c r="F374" s="7" t="str">
        <f>IF(OR(D374="",E374=""),"",(E374-D374)*1440)</f>
        <v/>
      </c>
      <c r="G374" s="6" t="n"/>
      <c r="H374" s="6" t="n"/>
      <c r="I374" t="str">
        <f>IF(C374="","",C374&amp;"|"&amp;G374)</f>
        <v/>
      </c>
    </row>
    <row r="375">
      <c r="A375" s="5" t="n"/>
      <c r="B375" s="5" t="n"/>
      <c r="C375" s="25" t="n"/>
      <c r="D375" s="9" t="n"/>
      <c r="E375" s="9" t="n"/>
      <c r="F375" s="7" t="str">
        <f>IF(OR(D375="",E375=""),"",(E375-D375)*1440)</f>
        <v/>
      </c>
      <c r="G375" s="6" t="n"/>
      <c r="H375" s="6" t="n"/>
      <c r="I375" t="str">
        <f>IF(C375="","",C375&amp;"|"&amp;G375)</f>
        <v/>
      </c>
    </row>
    <row r="376">
      <c r="A376" s="5" t="n"/>
      <c r="B376" s="5" t="n"/>
      <c r="C376" s="25" t="n"/>
      <c r="D376" s="9" t="n"/>
      <c r="E376" s="9" t="n"/>
      <c r="F376" s="7" t="str">
        <f>IF(OR(D376="",E376=""),"",(E376-D376)*1440)</f>
        <v/>
      </c>
      <c r="G376" s="6" t="n"/>
      <c r="H376" s="6" t="n"/>
      <c r="I376" t="str">
        <f>IF(C376="","",C376&amp;"|"&amp;G376)</f>
        <v/>
      </c>
    </row>
    <row r="377">
      <c r="A377" s="5" t="n"/>
      <c r="B377" s="5" t="n"/>
      <c r="C377" s="25" t="n"/>
      <c r="D377" s="9" t="n"/>
      <c r="E377" s="9" t="n"/>
      <c r="F377" s="7" t="str">
        <f>IF(OR(D377="",E377=""),"",(E377-D377)*1440)</f>
        <v/>
      </c>
      <c r="G377" s="6" t="n"/>
      <c r="H377" s="6" t="n"/>
      <c r="I377" t="str">
        <f>IF(C377="","",C377&amp;"|"&amp;G377)</f>
        <v/>
      </c>
    </row>
    <row r="378">
      <c r="A378" s="5" t="n"/>
      <c r="B378" s="5" t="n"/>
      <c r="C378" s="25" t="n"/>
      <c r="D378" s="9" t="n"/>
      <c r="E378" s="9" t="n"/>
      <c r="F378" s="7" t="str">
        <f>IF(OR(D378="",E378=""),"",(E378-D378)*1440)</f>
        <v/>
      </c>
      <c r="G378" s="6" t="n"/>
      <c r="H378" s="6" t="n"/>
      <c r="I378" t="str">
        <f>IF(C378="","",C378&amp;"|"&amp;G378)</f>
        <v/>
      </c>
    </row>
    <row r="379">
      <c r="A379" s="5" t="n"/>
      <c r="B379" s="5" t="n"/>
      <c r="C379" s="25" t="n"/>
      <c r="D379" s="9" t="n"/>
      <c r="E379" s="9" t="n"/>
      <c r="F379" s="7" t="str">
        <f>IF(OR(D379="",E379=""),"",(E379-D379)*1440)</f>
        <v/>
      </c>
      <c r="G379" s="6" t="n"/>
      <c r="H379" s="6" t="n"/>
      <c r="I379" t="str">
        <f>IF(C379="","",C379&amp;"|"&amp;G379)</f>
        <v/>
      </c>
    </row>
    <row r="380">
      <c r="A380" s="5" t="n"/>
      <c r="B380" s="5" t="n"/>
      <c r="C380" s="25" t="n"/>
      <c r="D380" s="9" t="n"/>
      <c r="E380" s="9" t="n"/>
      <c r="F380" s="7" t="str">
        <f>IF(OR(D380="",E380=""),"",(E380-D380)*1440)</f>
        <v/>
      </c>
      <c r="G380" s="6" t="n"/>
      <c r="H380" s="6" t="n"/>
      <c r="I380" t="str">
        <f>IF(C380="","",C380&amp;"|"&amp;G380)</f>
        <v/>
      </c>
    </row>
    <row r="381">
      <c r="A381" s="5" t="n"/>
      <c r="B381" s="5" t="n"/>
      <c r="C381" s="25" t="n"/>
      <c r="D381" s="9" t="n"/>
      <c r="E381" s="9" t="n"/>
      <c r="F381" s="7" t="str">
        <f>IF(OR(D381="",E381=""),"",(E381-D381)*1440)</f>
        <v/>
      </c>
      <c r="G381" s="6" t="n"/>
      <c r="H381" s="6" t="n"/>
      <c r="I381" t="str">
        <f>IF(C381="","",C381&amp;"|"&amp;G381)</f>
        <v/>
      </c>
    </row>
    <row r="382">
      <c r="A382" s="5" t="n"/>
      <c r="B382" s="5" t="n"/>
      <c r="C382" s="25" t="n"/>
      <c r="D382" s="9" t="n"/>
      <c r="E382" s="9" t="n"/>
      <c r="F382" s="7" t="str">
        <f>IF(OR(D382="",E382=""),"",(E382-D382)*1440)</f>
        <v/>
      </c>
      <c r="G382" s="6" t="n"/>
      <c r="H382" s="6" t="n"/>
      <c r="I382" t="str">
        <f>IF(C382="","",C382&amp;"|"&amp;G382)</f>
        <v/>
      </c>
    </row>
    <row r="383">
      <c r="A383" s="5" t="n"/>
      <c r="B383" s="5" t="n"/>
      <c r="C383" s="25" t="n"/>
      <c r="D383" s="9" t="n"/>
      <c r="E383" s="9" t="n"/>
      <c r="F383" s="7" t="str">
        <f>IF(OR(D383="",E383=""),"",(E383-D383)*1440)</f>
        <v/>
      </c>
      <c r="G383" s="6" t="n"/>
      <c r="H383" s="6" t="n"/>
      <c r="I383" t="str">
        <f>IF(C383="","",C383&amp;"|"&amp;G383)</f>
        <v/>
      </c>
    </row>
    <row r="384">
      <c r="A384" s="5" t="n"/>
      <c r="B384" s="5" t="n"/>
      <c r="C384" s="25" t="n"/>
      <c r="D384" s="9" t="n"/>
      <c r="E384" s="9" t="n"/>
      <c r="F384" s="7" t="str">
        <f>IF(OR(D384="",E384=""),"",(E384-D384)*1440)</f>
        <v/>
      </c>
      <c r="G384" s="6" t="n"/>
      <c r="H384" s="6" t="n"/>
      <c r="I384" t="str">
        <f>IF(C384="","",C384&amp;"|"&amp;G384)</f>
        <v/>
      </c>
    </row>
    <row r="385">
      <c r="A385" s="5" t="n"/>
      <c r="B385" s="5" t="n"/>
      <c r="C385" s="25" t="n"/>
      <c r="D385" s="9" t="n"/>
      <c r="E385" s="9" t="n"/>
      <c r="F385" s="7" t="str">
        <f>IF(OR(D385="",E385=""),"",(E385-D385)*1440)</f>
        <v/>
      </c>
      <c r="G385" s="6" t="n"/>
      <c r="H385" s="6" t="n"/>
      <c r="I385" t="str">
        <f>IF(C385="","",C385&amp;"|"&amp;G385)</f>
        <v/>
      </c>
    </row>
    <row r="386">
      <c r="A386" s="5" t="n"/>
      <c r="B386" s="5" t="n"/>
      <c r="C386" s="25" t="n"/>
      <c r="D386" s="9" t="n"/>
      <c r="E386" s="9" t="n"/>
      <c r="F386" s="7" t="str">
        <f>IF(OR(D386="",E386=""),"",(E386-D386)*1440)</f>
        <v/>
      </c>
      <c r="G386" s="6" t="n"/>
      <c r="H386" s="6" t="n"/>
      <c r="I386" t="str">
        <f>IF(C386="","",C386&amp;"|"&amp;G386)</f>
        <v/>
      </c>
    </row>
    <row r="387">
      <c r="A387" s="5" t="n"/>
      <c r="B387" s="5" t="n"/>
      <c r="C387" s="25" t="n"/>
      <c r="D387" s="9" t="n"/>
      <c r="E387" s="9" t="n"/>
      <c r="F387" s="7" t="str">
        <f>IF(OR(D387="",E387=""),"",(E387-D387)*1440)</f>
        <v/>
      </c>
      <c r="G387" s="6" t="n"/>
      <c r="H387" s="6" t="n"/>
      <c r="I387" t="str">
        <f>IF(C387="","",C387&amp;"|"&amp;G387)</f>
        <v/>
      </c>
    </row>
    <row r="388">
      <c r="A388" s="5" t="n"/>
      <c r="B388" s="5" t="n"/>
      <c r="C388" s="25" t="n"/>
      <c r="D388" s="9" t="n"/>
      <c r="E388" s="9" t="n"/>
      <c r="F388" s="7" t="str">
        <f>IF(OR(D388="",E388=""),"",(E388-D388)*1440)</f>
        <v/>
      </c>
      <c r="G388" s="6" t="n"/>
      <c r="H388" s="6" t="n"/>
      <c r="I388" t="str">
        <f>IF(C388="","",C388&amp;"|"&amp;G388)</f>
        <v/>
      </c>
    </row>
    <row r="389">
      <c r="A389" s="5" t="n"/>
      <c r="B389" s="5" t="n"/>
      <c r="C389" s="25" t="n"/>
      <c r="D389" s="9" t="n"/>
      <c r="E389" s="9" t="n"/>
      <c r="F389" s="7" t="str">
        <f>IF(OR(D389="",E389=""),"",(E389-D389)*1440)</f>
        <v/>
      </c>
      <c r="G389" s="6" t="n"/>
      <c r="H389" s="6" t="n"/>
      <c r="I389" t="str">
        <f>IF(C389="","",C389&amp;"|"&amp;G389)</f>
        <v/>
      </c>
    </row>
    <row r="390">
      <c r="A390" s="5" t="n"/>
      <c r="B390" s="5" t="n"/>
      <c r="C390" s="25" t="n"/>
      <c r="D390" s="9" t="n"/>
      <c r="E390" s="9" t="n"/>
      <c r="F390" s="7" t="str">
        <f>IF(OR(D390="",E390=""),"",(E390-D390)*1440)</f>
        <v/>
      </c>
      <c r="G390" s="6" t="n"/>
      <c r="H390" s="6" t="n"/>
      <c r="I390" t="str">
        <f>IF(C390="","",C390&amp;"|"&amp;G390)</f>
        <v/>
      </c>
    </row>
    <row r="391">
      <c r="A391" s="5" t="n"/>
      <c r="B391" s="5" t="n"/>
      <c r="C391" s="25" t="n"/>
      <c r="D391" s="9" t="n"/>
      <c r="E391" s="9" t="n"/>
      <c r="F391" s="7" t="str">
        <f>IF(OR(D391="",E391=""),"",(E391-D391)*1440)</f>
        <v/>
      </c>
      <c r="G391" s="6" t="n"/>
      <c r="H391" s="6" t="n"/>
      <c r="I391" t="str">
        <f>IF(C391="","",C391&amp;"|"&amp;G391)</f>
        <v/>
      </c>
    </row>
    <row r="392">
      <c r="A392" s="5" t="n"/>
      <c r="B392" s="5" t="n"/>
      <c r="C392" s="25" t="n"/>
      <c r="D392" s="9" t="n"/>
      <c r="E392" s="9" t="n"/>
      <c r="F392" s="7" t="str">
        <f>IF(OR(D392="",E392=""),"",(E392-D392)*1440)</f>
        <v/>
      </c>
      <c r="G392" s="6" t="n"/>
      <c r="H392" s="6" t="n"/>
      <c r="I392" t="str">
        <f>IF(C392="","",C392&amp;"|"&amp;G392)</f>
        <v/>
      </c>
    </row>
    <row r="393">
      <c r="A393" s="5" t="n"/>
      <c r="B393" s="5" t="n"/>
      <c r="C393" s="25" t="n"/>
      <c r="D393" s="9" t="n"/>
      <c r="E393" s="9" t="n"/>
      <c r="F393" s="7" t="str">
        <f>IF(OR(D393="",E393=""),"",(E393-D393)*1440)</f>
        <v/>
      </c>
      <c r="G393" s="6" t="n"/>
      <c r="H393" s="6" t="n"/>
      <c r="I393" t="str">
        <f>IF(C393="","",C393&amp;"|"&amp;G393)</f>
        <v/>
      </c>
    </row>
    <row r="394">
      <c r="A394" s="5" t="n"/>
      <c r="B394" s="5" t="n"/>
      <c r="C394" s="25" t="n"/>
      <c r="D394" s="9" t="n"/>
      <c r="E394" s="9" t="n"/>
      <c r="F394" s="7" t="str">
        <f>IF(OR(D394="",E394=""),"",(E394-D394)*1440)</f>
        <v/>
      </c>
      <c r="G394" s="6" t="n"/>
      <c r="H394" s="6" t="n"/>
      <c r="I394" t="str">
        <f>IF(C394="","",C394&amp;"|"&amp;G394)</f>
        <v/>
      </c>
    </row>
    <row r="395">
      <c r="A395" s="5" t="n"/>
      <c r="B395" s="5" t="n"/>
      <c r="C395" s="25" t="n"/>
      <c r="D395" s="9" t="n"/>
      <c r="E395" s="9" t="n"/>
      <c r="F395" s="7" t="str">
        <f>IF(OR(D395="",E395=""),"",(E395-D395)*1440)</f>
        <v/>
      </c>
      <c r="G395" s="6" t="n"/>
      <c r="H395" s="6" t="n"/>
      <c r="I395" t="str">
        <f>IF(C395="","",C395&amp;"|"&amp;G395)</f>
        <v/>
      </c>
    </row>
    <row r="396">
      <c r="A396" s="5" t="n"/>
      <c r="B396" s="5" t="n"/>
      <c r="C396" s="25" t="n"/>
      <c r="D396" s="9" t="n"/>
      <c r="E396" s="9" t="n"/>
      <c r="F396" s="7" t="str">
        <f>IF(OR(D396="",E396=""),"",(E396-D396)*1440)</f>
        <v/>
      </c>
      <c r="G396" s="6" t="n"/>
      <c r="H396" s="6" t="n"/>
      <c r="I396" t="str">
        <f>IF(C396="","",C396&amp;"|"&amp;G396)</f>
        <v/>
      </c>
    </row>
    <row r="397">
      <c r="A397" s="5" t="n"/>
      <c r="B397" s="5" t="n"/>
      <c r="C397" s="25" t="n"/>
      <c r="D397" s="9" t="n"/>
      <c r="E397" s="9" t="n"/>
      <c r="F397" s="7" t="str">
        <f>IF(OR(D397="",E397=""),"",(E397-D397)*1440)</f>
        <v/>
      </c>
      <c r="G397" s="6" t="n"/>
      <c r="H397" s="6" t="n"/>
      <c r="I397" t="str">
        <f>IF(C397="","",C397&amp;"|"&amp;G397)</f>
        <v/>
      </c>
    </row>
    <row r="398">
      <c r="A398" s="5" t="n"/>
      <c r="B398" s="5" t="n"/>
      <c r="C398" s="25" t="n"/>
      <c r="D398" s="9" t="n"/>
      <c r="E398" s="9" t="n"/>
      <c r="F398" s="7" t="str">
        <f>IF(OR(D398="",E398=""),"",(E398-D398)*1440)</f>
        <v/>
      </c>
      <c r="G398" s="6" t="n"/>
      <c r="H398" s="6" t="n"/>
      <c r="I398" t="str">
        <f>IF(C398="","",C398&amp;"|"&amp;G398)</f>
        <v/>
      </c>
    </row>
    <row r="399">
      <c r="A399" s="5" t="n"/>
      <c r="B399" s="5" t="n"/>
      <c r="C399" s="25" t="n"/>
      <c r="D399" s="9" t="n"/>
      <c r="E399" s="9" t="n"/>
      <c r="F399" s="7" t="str">
        <f>IF(OR(D399="",E399=""),"",(E399-D399)*1440)</f>
        <v/>
      </c>
      <c r="G399" s="6" t="n"/>
      <c r="H399" s="6" t="n"/>
      <c r="I399" t="str">
        <f>IF(C399="","",C399&amp;"|"&amp;G399)</f>
        <v/>
      </c>
    </row>
    <row r="400">
      <c r="A400" s="5" t="n"/>
      <c r="B400" s="5" t="n"/>
      <c r="C400" s="25" t="n"/>
      <c r="D400" s="9" t="n"/>
      <c r="E400" s="9" t="n"/>
      <c r="F400" s="7" t="str">
        <f>IF(OR(D400="",E400=""),"",(E400-D400)*1440)</f>
        <v/>
      </c>
      <c r="G400" s="6" t="n"/>
      <c r="H400" s="6" t="n"/>
      <c r="I400" t="str">
        <f>IF(C400="","",C400&amp;"|"&amp;G400)</f>
        <v/>
      </c>
    </row>
    <row r="401">
      <c r="A401" s="5" t="n"/>
      <c r="B401" s="5" t="n"/>
      <c r="C401" s="25" t="n"/>
      <c r="D401" s="9" t="n"/>
      <c r="E401" s="9" t="n"/>
      <c r="F401" s="7" t="str">
        <f>IF(OR(D401="",E401=""),"",(E401-D401)*1440)</f>
        <v/>
      </c>
      <c r="G401" s="6" t="n"/>
      <c r="H401" s="6" t="n"/>
      <c r="I401" t="str">
        <f>IF(C401="","",C401&amp;"|"&amp;G401)</f>
        <v/>
      </c>
    </row>
    <row r="402">
      <c r="A402" s="5" t="n"/>
      <c r="B402" s="5" t="n"/>
      <c r="C402" s="25" t="n"/>
      <c r="D402" s="9" t="n"/>
      <c r="E402" s="9" t="n"/>
      <c r="F402" s="7" t="str">
        <f>IF(OR(D402="",E402=""),"",(E402-D402)*1440)</f>
        <v/>
      </c>
      <c r="G402" s="6" t="n"/>
      <c r="H402" s="6" t="n"/>
      <c r="I402" t="str">
        <f>IF(C402="","",C402&amp;"|"&amp;G402)</f>
        <v/>
      </c>
    </row>
    <row r="403">
      <c r="A403" s="5" t="n"/>
      <c r="B403" s="5" t="n"/>
      <c r="C403" s="25" t="n"/>
      <c r="D403" s="9" t="n"/>
      <c r="E403" s="9" t="n"/>
      <c r="F403" s="7" t="str">
        <f>IF(OR(D403="",E403=""),"",(E403-D403)*1440)</f>
        <v/>
      </c>
      <c r="G403" s="6" t="n"/>
      <c r="H403" s="6" t="n"/>
      <c r="I403" t="str">
        <f>IF(C403="","",C403&amp;"|"&amp;G403)</f>
        <v/>
      </c>
    </row>
    <row r="404">
      <c r="A404" s="5" t="n"/>
      <c r="B404" s="5" t="n"/>
      <c r="C404" s="25" t="n"/>
      <c r="D404" s="9" t="n"/>
      <c r="E404" s="9" t="n"/>
      <c r="F404" s="7" t="str">
        <f>IF(OR(D404="",E404=""),"",(E404-D404)*1440)</f>
        <v/>
      </c>
      <c r="G404" s="6" t="n"/>
      <c r="H404" s="6" t="n"/>
      <c r="I404" t="str">
        <f>IF(C404="","",C404&amp;"|"&amp;G404)</f>
        <v/>
      </c>
    </row>
    <row r="405">
      <c r="A405" s="5" t="n"/>
      <c r="B405" s="5" t="n"/>
      <c r="C405" s="25" t="n"/>
      <c r="D405" s="9" t="n"/>
      <c r="E405" s="9" t="n"/>
      <c r="F405" s="7" t="str">
        <f>IF(OR(D405="",E405=""),"",(E405-D405)*1440)</f>
        <v/>
      </c>
      <c r="G405" s="6" t="n"/>
      <c r="H405" s="6" t="n"/>
      <c r="I405" t="str">
        <f>IF(C405="","",C405&amp;"|"&amp;G405)</f>
        <v/>
      </c>
    </row>
    <row r="406">
      <c r="A406" s="5" t="n"/>
      <c r="B406" s="5" t="n"/>
      <c r="C406" s="25" t="n"/>
      <c r="D406" s="9" t="n"/>
      <c r="E406" s="9" t="n"/>
      <c r="F406" s="7" t="str">
        <f>IF(OR(D406="",E406=""),"",(E406-D406)*1440)</f>
        <v/>
      </c>
      <c r="G406" s="6" t="n"/>
      <c r="H406" s="6" t="n"/>
      <c r="I406" t="str">
        <f>IF(C406="","",C406&amp;"|"&amp;G406)</f>
        <v/>
      </c>
    </row>
    <row r="407">
      <c r="A407" s="5" t="n"/>
      <c r="B407" s="5" t="n"/>
      <c r="C407" s="25" t="n"/>
      <c r="D407" s="9" t="n"/>
      <c r="E407" s="9" t="n"/>
      <c r="F407" s="7" t="str">
        <f>IF(OR(D407="",E407=""),"",(E407-D407)*1440)</f>
        <v/>
      </c>
      <c r="G407" s="6" t="n"/>
      <c r="H407" s="6" t="n"/>
      <c r="I407" t="str">
        <f>IF(C407="","",C407&amp;"|"&amp;G407)</f>
        <v/>
      </c>
    </row>
    <row r="408">
      <c r="A408" s="5" t="n"/>
      <c r="B408" s="5" t="n"/>
      <c r="C408" s="25" t="n"/>
      <c r="D408" s="9" t="n"/>
      <c r="E408" s="9" t="n"/>
      <c r="F408" s="7" t="str">
        <f>IF(OR(D408="",E408=""),"",(E408-D408)*1440)</f>
        <v/>
      </c>
      <c r="G408" s="6" t="n"/>
      <c r="H408" s="6" t="n"/>
      <c r="I408" t="str">
        <f>IF(C408="","",C408&amp;"|"&amp;G408)</f>
        <v/>
      </c>
    </row>
    <row r="409">
      <c r="A409" s="5" t="n"/>
      <c r="B409" s="5" t="n"/>
      <c r="C409" s="25" t="n"/>
      <c r="D409" s="9" t="n"/>
      <c r="E409" s="9" t="n"/>
      <c r="F409" s="7" t="str">
        <f>IF(OR(D409="",E409=""),"",(E409-D409)*1440)</f>
        <v/>
      </c>
      <c r="G409" s="6" t="n"/>
      <c r="H409" s="6" t="n"/>
      <c r="I409" t="str">
        <f>IF(C409="","",C409&amp;"|"&amp;G409)</f>
        <v/>
      </c>
    </row>
    <row r="410">
      <c r="A410" s="5" t="n"/>
      <c r="B410" s="5" t="n"/>
      <c r="C410" s="25" t="n"/>
      <c r="D410" s="9" t="n"/>
      <c r="E410" s="9" t="n"/>
      <c r="F410" s="7" t="str">
        <f>IF(OR(D410="",E410=""),"",(E410-D410)*1440)</f>
        <v/>
      </c>
      <c r="G410" s="6" t="n"/>
      <c r="H410" s="6" t="n"/>
      <c r="I410" t="str">
        <f>IF(C410="","",C410&amp;"|"&amp;G410)</f>
        <v/>
      </c>
    </row>
    <row r="411">
      <c r="A411" s="5" t="n"/>
      <c r="B411" s="5" t="n"/>
      <c r="C411" s="25" t="n"/>
      <c r="D411" s="9" t="n"/>
      <c r="E411" s="9" t="n"/>
      <c r="F411" s="7" t="str">
        <f>IF(OR(D411="",E411=""),"",(E411-D411)*1440)</f>
        <v/>
      </c>
      <c r="G411" s="6" t="n"/>
      <c r="H411" s="6" t="n"/>
      <c r="I411" t="str">
        <f>IF(C411="","",C411&amp;"|"&amp;G411)</f>
        <v/>
      </c>
    </row>
    <row r="412">
      <c r="A412" s="5" t="n"/>
      <c r="B412" s="5" t="n"/>
      <c r="C412" s="25" t="n"/>
      <c r="D412" s="9" t="n"/>
      <c r="E412" s="9" t="n"/>
      <c r="F412" s="7" t="str">
        <f>IF(OR(D412="",E412=""),"",(E412-D412)*1440)</f>
        <v/>
      </c>
      <c r="G412" s="6" t="n"/>
      <c r="H412" s="6" t="n"/>
      <c r="I412" t="str">
        <f>IF(C412="","",C412&amp;"|"&amp;G412)</f>
        <v/>
      </c>
    </row>
    <row r="413">
      <c r="A413" s="5" t="n"/>
      <c r="B413" s="5" t="n"/>
      <c r="C413" s="25" t="n"/>
      <c r="D413" s="9" t="n"/>
      <c r="E413" s="9" t="n"/>
      <c r="F413" s="7" t="str">
        <f>IF(OR(D413="",E413=""),"",(E413-D413)*1440)</f>
        <v/>
      </c>
      <c r="G413" s="6" t="n"/>
      <c r="H413" s="6" t="n"/>
      <c r="I413" t="str">
        <f>IF(C413="","",C413&amp;"|"&amp;G413)</f>
        <v/>
      </c>
    </row>
    <row r="414">
      <c r="A414" s="5" t="n"/>
      <c r="B414" s="5" t="n"/>
      <c r="C414" s="25" t="n"/>
      <c r="D414" s="9" t="n"/>
      <c r="E414" s="9" t="n"/>
      <c r="F414" s="7" t="str">
        <f>IF(OR(D414="",E414=""),"",(E414-D414)*1440)</f>
        <v/>
      </c>
      <c r="G414" s="6" t="n"/>
      <c r="H414" s="6" t="n"/>
      <c r="I414" t="str">
        <f>IF(C414="","",C414&amp;"|"&amp;G414)</f>
        <v/>
      </c>
    </row>
    <row r="415">
      <c r="A415" s="5" t="n"/>
      <c r="B415" s="5" t="n"/>
      <c r="C415" s="25" t="n"/>
      <c r="D415" s="9" t="n"/>
      <c r="E415" s="9" t="n"/>
      <c r="F415" s="7" t="str">
        <f>IF(OR(D415="",E415=""),"",(E415-D415)*1440)</f>
        <v/>
      </c>
      <c r="G415" s="6" t="n"/>
      <c r="H415" s="6" t="n"/>
      <c r="I415" t="str">
        <f>IF(C415="","",C415&amp;"|"&amp;G415)</f>
        <v/>
      </c>
    </row>
    <row r="416">
      <c r="A416" s="5" t="n"/>
      <c r="B416" s="5" t="n"/>
      <c r="C416" s="25" t="n"/>
      <c r="D416" s="9" t="n"/>
      <c r="E416" s="9" t="n"/>
      <c r="F416" s="7" t="str">
        <f>IF(OR(D416="",E416=""),"",(E416-D416)*1440)</f>
        <v/>
      </c>
      <c r="G416" s="6" t="n"/>
      <c r="H416" s="6" t="n"/>
      <c r="I416" t="str">
        <f>IF(C416="","",C416&amp;"|"&amp;G416)</f>
        <v/>
      </c>
    </row>
    <row r="417">
      <c r="A417" s="5" t="n"/>
      <c r="B417" s="5" t="n"/>
      <c r="C417" s="25" t="n"/>
      <c r="D417" s="9" t="n"/>
      <c r="E417" s="9" t="n"/>
      <c r="F417" s="7" t="str">
        <f>IF(OR(D417="",E417=""),"",(E417-D417)*1440)</f>
        <v/>
      </c>
      <c r="G417" s="6" t="n"/>
      <c r="H417" s="6" t="n"/>
      <c r="I417" t="str">
        <f>IF(C417="","",C417&amp;"|"&amp;G417)</f>
        <v/>
      </c>
    </row>
    <row r="418">
      <c r="A418" s="5" t="n"/>
      <c r="B418" s="5" t="n"/>
      <c r="C418" s="25" t="n"/>
      <c r="D418" s="9" t="n"/>
      <c r="E418" s="9" t="n"/>
      <c r="F418" s="7" t="str">
        <f>IF(OR(D418="",E418=""),"",(E418-D418)*1440)</f>
        <v/>
      </c>
      <c r="G418" s="6" t="n"/>
      <c r="H418" s="6" t="n"/>
      <c r="I418" t="str">
        <f>IF(C418="","",C418&amp;"|"&amp;G418)</f>
        <v/>
      </c>
    </row>
    <row r="419">
      <c r="A419" s="5" t="n"/>
      <c r="B419" s="5" t="n"/>
      <c r="C419" s="25" t="n"/>
      <c r="D419" s="9" t="n"/>
      <c r="E419" s="9" t="n"/>
      <c r="F419" s="7" t="str">
        <f>IF(OR(D419="",E419=""),"",(E419-D419)*1440)</f>
        <v/>
      </c>
      <c r="G419" s="6" t="n"/>
      <c r="H419" s="6" t="n"/>
      <c r="I419" t="str">
        <f>IF(C419="","",C419&amp;"|"&amp;G419)</f>
        <v/>
      </c>
    </row>
    <row r="420">
      <c r="A420" s="5" t="n"/>
      <c r="B420" s="5" t="n"/>
      <c r="C420" s="25" t="n"/>
      <c r="D420" s="9" t="n"/>
      <c r="E420" s="9" t="n"/>
      <c r="F420" s="7" t="str">
        <f>IF(OR(D420="",E420=""),"",(E420-D420)*1440)</f>
        <v/>
      </c>
      <c r="G420" s="6" t="n"/>
      <c r="H420" s="6" t="n"/>
      <c r="I420" t="str">
        <f>IF(C420="","",C420&amp;"|"&amp;G420)</f>
        <v/>
      </c>
    </row>
    <row r="421">
      <c r="A421" s="5" t="n"/>
      <c r="B421" s="5" t="n"/>
      <c r="C421" s="25" t="n"/>
      <c r="D421" s="9" t="n"/>
      <c r="E421" s="9" t="n"/>
      <c r="F421" s="7" t="str">
        <f>IF(OR(D421="",E421=""),"",(E421-D421)*1440)</f>
        <v/>
      </c>
      <c r="G421" s="6" t="n"/>
      <c r="H421" s="6" t="n"/>
      <c r="I421" t="str">
        <f>IF(C421="","",C421&amp;"|"&amp;G421)</f>
        <v/>
      </c>
    </row>
    <row r="422">
      <c r="A422" s="5" t="n"/>
      <c r="B422" s="5" t="n"/>
      <c r="C422" s="25" t="n"/>
      <c r="D422" s="9" t="n"/>
      <c r="E422" s="9" t="n"/>
      <c r="F422" s="7" t="str">
        <f>IF(OR(D422="",E422=""),"",(E422-D422)*1440)</f>
        <v/>
      </c>
      <c r="G422" s="6" t="n"/>
      <c r="H422" s="6" t="n"/>
      <c r="I422" t="str">
        <f>IF(C422="","",C422&amp;"|"&amp;G422)</f>
        <v/>
      </c>
    </row>
    <row r="423">
      <c r="A423" s="5" t="n"/>
      <c r="B423" s="5" t="n"/>
      <c r="C423" s="25" t="n"/>
      <c r="D423" s="9" t="n"/>
      <c r="E423" s="9" t="n"/>
      <c r="F423" s="7" t="str">
        <f>IF(OR(D423="",E423=""),"",(E423-D423)*1440)</f>
        <v/>
      </c>
      <c r="G423" s="6" t="n"/>
      <c r="H423" s="6" t="n"/>
      <c r="I423" t="str">
        <f>IF(C423="","",C423&amp;"|"&amp;G423)</f>
        <v/>
      </c>
    </row>
    <row r="424">
      <c r="A424" s="5" t="n"/>
      <c r="B424" s="5" t="n"/>
      <c r="C424" s="25" t="n"/>
      <c r="D424" s="9" t="n"/>
      <c r="E424" s="9" t="n"/>
      <c r="F424" s="7" t="str">
        <f>IF(OR(D424="",E424=""),"",(E424-D424)*1440)</f>
        <v/>
      </c>
      <c r="G424" s="6" t="n"/>
      <c r="H424" s="6" t="n"/>
      <c r="I424" t="str">
        <f>IF(C424="","",C424&amp;"|"&amp;G424)</f>
        <v/>
      </c>
    </row>
    <row r="425">
      <c r="A425" s="5" t="n"/>
      <c r="B425" s="5" t="n"/>
      <c r="C425" s="25" t="n"/>
      <c r="D425" s="9" t="n"/>
      <c r="E425" s="9" t="n"/>
      <c r="F425" s="7" t="str">
        <f>IF(OR(D425="",E425=""),"",(E425-D425)*1440)</f>
        <v/>
      </c>
      <c r="G425" s="6" t="n"/>
      <c r="H425" s="6" t="n"/>
      <c r="I425" t="str">
        <f>IF(C425="","",C425&amp;"|"&amp;G425)</f>
        <v/>
      </c>
    </row>
    <row r="426">
      <c r="A426" s="5" t="n"/>
      <c r="B426" s="5" t="n"/>
      <c r="C426" s="25" t="n"/>
      <c r="D426" s="9" t="n"/>
      <c r="E426" s="9" t="n"/>
      <c r="F426" s="7" t="str">
        <f>IF(OR(D426="",E426=""),"",(E426-D426)*1440)</f>
        <v/>
      </c>
      <c r="G426" s="6" t="n"/>
      <c r="H426" s="6" t="n"/>
      <c r="I426" t="str">
        <f>IF(C426="","",C426&amp;"|"&amp;G426)</f>
        <v/>
      </c>
    </row>
    <row r="427">
      <c r="A427" s="5" t="n"/>
      <c r="B427" s="5" t="n"/>
      <c r="C427" s="25" t="n"/>
      <c r="D427" s="9" t="n"/>
      <c r="E427" s="9" t="n"/>
      <c r="F427" s="7" t="str">
        <f>IF(OR(D427="",E427=""),"",(E427-D427)*1440)</f>
        <v/>
      </c>
      <c r="G427" s="6" t="n"/>
      <c r="H427" s="6" t="n"/>
      <c r="I427" t="str">
        <f>IF(C427="","",C427&amp;"|"&amp;G427)</f>
        <v/>
      </c>
    </row>
    <row r="428">
      <c r="A428" s="5" t="n"/>
      <c r="B428" s="5" t="n"/>
      <c r="C428" s="25" t="n"/>
      <c r="D428" s="9" t="n"/>
      <c r="E428" s="9" t="n"/>
      <c r="F428" s="7" t="str">
        <f>IF(OR(D428="",E428=""),"",(E428-D428)*1440)</f>
        <v/>
      </c>
      <c r="G428" s="6" t="n"/>
      <c r="H428" s="6" t="n"/>
      <c r="I428" t="str">
        <f>IF(C428="","",C428&amp;"|"&amp;G428)</f>
        <v/>
      </c>
    </row>
    <row r="429">
      <c r="A429" s="5" t="n"/>
      <c r="B429" s="5" t="n"/>
      <c r="C429" s="25" t="n"/>
      <c r="D429" s="9" t="n"/>
      <c r="E429" s="9" t="n"/>
      <c r="F429" s="7" t="str">
        <f>IF(OR(D429="",E429=""),"",(E429-D429)*1440)</f>
        <v/>
      </c>
      <c r="G429" s="6" t="n"/>
      <c r="H429" s="6" t="n"/>
      <c r="I429" t="str">
        <f>IF(C429="","",C429&amp;"|"&amp;G429)</f>
        <v/>
      </c>
    </row>
    <row r="430">
      <c r="A430" s="5" t="n"/>
      <c r="B430" s="5" t="n"/>
      <c r="C430" s="25" t="n"/>
      <c r="D430" s="9" t="n"/>
      <c r="E430" s="9" t="n"/>
      <c r="F430" s="7" t="str">
        <f>IF(OR(D430="",E430=""),"",(E430-D430)*1440)</f>
        <v/>
      </c>
      <c r="G430" s="6" t="n"/>
      <c r="H430" s="6" t="n"/>
      <c r="I430" t="str">
        <f>IF(C430="","",C430&amp;"|"&amp;G430)</f>
        <v/>
      </c>
    </row>
    <row r="431">
      <c r="A431" s="5" t="n"/>
      <c r="B431" s="5" t="n"/>
      <c r="C431" s="25" t="n"/>
      <c r="D431" s="9" t="n"/>
      <c r="E431" s="9" t="n"/>
      <c r="F431" s="7" t="str">
        <f>IF(OR(D431="",E431=""),"",(E431-D431)*1440)</f>
        <v/>
      </c>
      <c r="G431" s="6" t="n"/>
      <c r="H431" s="6" t="n"/>
      <c r="I431" t="str">
        <f>IF(C431="","",C431&amp;"|"&amp;G431)</f>
        <v/>
      </c>
    </row>
    <row r="432">
      <c r="A432" s="5" t="n"/>
      <c r="B432" s="5" t="n"/>
      <c r="C432" s="25" t="n"/>
      <c r="D432" s="9" t="n"/>
      <c r="E432" s="9" t="n"/>
      <c r="F432" s="7" t="str">
        <f>IF(OR(D432="",E432=""),"",(E432-D432)*1440)</f>
        <v/>
      </c>
      <c r="G432" s="6" t="n"/>
      <c r="H432" s="6" t="n"/>
      <c r="I432" t="str">
        <f>IF(C432="","",C432&amp;"|"&amp;G432)</f>
        <v/>
      </c>
    </row>
    <row r="433">
      <c r="A433" s="5" t="n"/>
      <c r="B433" s="5" t="n"/>
      <c r="C433" s="25" t="n"/>
      <c r="D433" s="9" t="n"/>
      <c r="E433" s="9" t="n"/>
      <c r="F433" s="7" t="str">
        <f>IF(OR(D433="",E433=""),"",(E433-D433)*1440)</f>
        <v/>
      </c>
      <c r="G433" s="6" t="n"/>
      <c r="H433" s="6" t="n"/>
      <c r="I433" t="str">
        <f>IF(C433="","",C433&amp;"|"&amp;G433)</f>
        <v/>
      </c>
    </row>
    <row r="434">
      <c r="A434" s="5" t="n"/>
      <c r="B434" s="5" t="n"/>
      <c r="C434" s="25" t="n"/>
      <c r="D434" s="9" t="n"/>
      <c r="E434" s="9" t="n"/>
      <c r="F434" s="7" t="str">
        <f>IF(OR(D434="",E434=""),"",(E434-D434)*1440)</f>
        <v/>
      </c>
      <c r="G434" s="6" t="n"/>
      <c r="H434" s="6" t="n"/>
      <c r="I434" t="str">
        <f>IF(C434="","",C434&amp;"|"&amp;G434)</f>
        <v/>
      </c>
    </row>
    <row r="435">
      <c r="A435" s="5" t="n"/>
      <c r="B435" s="5" t="n"/>
      <c r="C435" s="25" t="n"/>
      <c r="D435" s="9" t="n"/>
      <c r="E435" s="9" t="n"/>
      <c r="F435" s="7" t="str">
        <f>IF(OR(D435="",E435=""),"",(E435-D435)*1440)</f>
        <v/>
      </c>
      <c r="G435" s="6" t="n"/>
      <c r="H435" s="6" t="n"/>
      <c r="I435" t="str">
        <f>IF(C435="","",C435&amp;"|"&amp;G435)</f>
        <v/>
      </c>
    </row>
    <row r="436">
      <c r="A436" s="5" t="n"/>
      <c r="B436" s="5" t="n"/>
      <c r="C436" s="25" t="n"/>
      <c r="D436" s="9" t="n"/>
      <c r="E436" s="9" t="n"/>
      <c r="F436" s="7" t="str">
        <f>IF(OR(D436="",E436=""),"",(E436-D436)*1440)</f>
        <v/>
      </c>
      <c r="G436" s="6" t="n"/>
      <c r="H436" s="6" t="n"/>
      <c r="I436" t="str">
        <f>IF(C436="","",C436&amp;"|"&amp;G436)</f>
        <v/>
      </c>
    </row>
    <row r="437">
      <c r="A437" s="5" t="n"/>
      <c r="B437" s="5" t="n"/>
      <c r="C437" s="25" t="n"/>
      <c r="D437" s="9" t="n"/>
      <c r="E437" s="9" t="n"/>
      <c r="F437" s="7" t="str">
        <f>IF(OR(D437="",E437=""),"",(E437-D437)*1440)</f>
        <v/>
      </c>
      <c r="G437" s="6" t="n"/>
      <c r="H437" s="6" t="n"/>
      <c r="I437" t="str">
        <f>IF(C437="","",C437&amp;"|"&amp;G437)</f>
        <v/>
      </c>
    </row>
    <row r="438">
      <c r="A438" s="5" t="n"/>
      <c r="B438" s="5" t="n"/>
      <c r="C438" s="25" t="n"/>
      <c r="D438" s="9" t="n"/>
      <c r="E438" s="9" t="n"/>
      <c r="F438" s="7" t="str">
        <f>IF(OR(D438="",E438=""),"",(E438-D438)*1440)</f>
        <v/>
      </c>
      <c r="G438" s="6" t="n"/>
      <c r="H438" s="6" t="n"/>
      <c r="I438" t="str">
        <f>IF(C438="","",C438&amp;"|"&amp;G438)</f>
        <v/>
      </c>
    </row>
    <row r="439">
      <c r="A439" s="5" t="n"/>
      <c r="B439" s="5" t="n"/>
      <c r="C439" s="25" t="n"/>
      <c r="D439" s="9" t="n"/>
      <c r="E439" s="9" t="n"/>
      <c r="F439" s="7" t="str">
        <f>IF(OR(D439="",E439=""),"",(E439-D439)*1440)</f>
        <v/>
      </c>
      <c r="G439" s="6" t="n"/>
      <c r="H439" s="6" t="n"/>
      <c r="I439" t="str">
        <f>IF(C439="","",C439&amp;"|"&amp;G439)</f>
        <v/>
      </c>
    </row>
    <row r="440">
      <c r="A440" s="5" t="n"/>
      <c r="B440" s="5" t="n"/>
      <c r="C440" s="25" t="n"/>
      <c r="D440" s="9" t="n"/>
      <c r="E440" s="9" t="n"/>
      <c r="F440" s="7" t="str">
        <f>IF(OR(D440="",E440=""),"",(E440-D440)*1440)</f>
        <v/>
      </c>
      <c r="G440" s="6" t="n"/>
      <c r="H440" s="6" t="n"/>
      <c r="I440" t="str">
        <f>IF(C440="","",C440&amp;"|"&amp;G440)</f>
        <v/>
      </c>
    </row>
    <row r="441">
      <c r="A441" s="5" t="n"/>
      <c r="B441" s="5" t="n"/>
      <c r="C441" s="25" t="n"/>
      <c r="D441" s="9" t="n"/>
      <c r="E441" s="9" t="n"/>
      <c r="F441" s="7" t="str">
        <f>IF(OR(D441="",E441=""),"",(E441-D441)*1440)</f>
        <v/>
      </c>
      <c r="G441" s="6" t="n"/>
      <c r="H441" s="6" t="n"/>
      <c r="I441" t="str">
        <f>IF(C441="","",C441&amp;"|"&amp;G441)</f>
        <v/>
      </c>
    </row>
    <row r="442">
      <c r="A442" s="5" t="n"/>
      <c r="B442" s="5" t="n"/>
      <c r="C442" s="25" t="n"/>
      <c r="D442" s="9" t="n"/>
      <c r="E442" s="9" t="n"/>
      <c r="F442" s="7" t="str">
        <f>IF(OR(D442="",E442=""),"",(E442-D442)*1440)</f>
        <v/>
      </c>
      <c r="G442" s="6" t="n"/>
      <c r="H442" s="6" t="n"/>
      <c r="I442" t="str">
        <f>IF(C442="","",C442&amp;"|"&amp;G442)</f>
        <v/>
      </c>
    </row>
    <row r="443">
      <c r="A443" s="5" t="n"/>
      <c r="B443" s="5" t="n"/>
      <c r="C443" s="25" t="n"/>
      <c r="D443" s="9" t="n"/>
      <c r="E443" s="9" t="n"/>
      <c r="F443" s="7" t="str">
        <f>IF(OR(D443="",E443=""),"",(E443-D443)*1440)</f>
        <v/>
      </c>
      <c r="G443" s="6" t="n"/>
      <c r="H443" s="6" t="n"/>
      <c r="I443" t="str">
        <f>IF(C443="","",C443&amp;"|"&amp;G443)</f>
        <v/>
      </c>
    </row>
    <row r="444">
      <c r="A444" s="5" t="n"/>
      <c r="B444" s="5" t="n"/>
      <c r="C444" s="25" t="n"/>
      <c r="D444" s="9" t="n"/>
      <c r="E444" s="9" t="n"/>
      <c r="F444" s="7" t="str">
        <f>IF(OR(D444="",E444=""),"",(E444-D444)*1440)</f>
        <v/>
      </c>
      <c r="G444" s="6" t="n"/>
      <c r="H444" s="6" t="n"/>
      <c r="I444" t="str">
        <f>IF(C444="","",C444&amp;"|"&amp;G444)</f>
        <v/>
      </c>
    </row>
    <row r="445">
      <c r="A445" s="5" t="n"/>
      <c r="B445" s="5" t="n"/>
      <c r="C445" s="25" t="n"/>
      <c r="D445" s="9" t="n"/>
      <c r="E445" s="9" t="n"/>
      <c r="F445" s="7" t="str">
        <f>IF(OR(D445="",E445=""),"",(E445-D445)*1440)</f>
        <v/>
      </c>
      <c r="G445" s="6" t="n"/>
      <c r="H445" s="6" t="n"/>
      <c r="I445" t="str">
        <f>IF(C445="","",C445&amp;"|"&amp;G445)</f>
        <v/>
      </c>
    </row>
    <row r="446">
      <c r="A446" s="5" t="n"/>
      <c r="B446" s="5" t="n"/>
      <c r="C446" s="25" t="n"/>
      <c r="D446" s="9" t="n"/>
      <c r="E446" s="9" t="n"/>
      <c r="F446" s="7" t="str">
        <f>IF(OR(D446="",E446=""),"",(E446-D446)*1440)</f>
        <v/>
      </c>
      <c r="G446" s="6" t="n"/>
      <c r="H446" s="6" t="n"/>
      <c r="I446" t="str">
        <f>IF(C446="","",C446&amp;"|"&amp;G446)</f>
        <v/>
      </c>
    </row>
    <row r="447">
      <c r="A447" s="5" t="n"/>
      <c r="B447" s="5" t="n"/>
      <c r="C447" s="25" t="n"/>
      <c r="D447" s="9" t="n"/>
      <c r="E447" s="9" t="n"/>
      <c r="F447" s="7" t="str">
        <f>IF(OR(D447="",E447=""),"",(E447-D447)*1440)</f>
        <v/>
      </c>
      <c r="G447" s="6" t="n"/>
      <c r="H447" s="6" t="n"/>
      <c r="I447" t="str">
        <f>IF(C447="","",C447&amp;"|"&amp;G447)</f>
        <v/>
      </c>
    </row>
    <row r="448">
      <c r="A448" s="5" t="n"/>
      <c r="B448" s="5" t="n"/>
      <c r="C448" s="25" t="n"/>
      <c r="D448" s="9" t="n"/>
      <c r="E448" s="9" t="n"/>
      <c r="F448" s="7" t="str">
        <f>IF(OR(D448="",E448=""),"",(E448-D448)*1440)</f>
        <v/>
      </c>
      <c r="G448" s="6" t="n"/>
      <c r="H448" s="6" t="n"/>
      <c r="I448" t="str">
        <f>IF(C448="","",C448&amp;"|"&amp;G448)</f>
        <v/>
      </c>
    </row>
    <row r="449">
      <c r="A449" s="5" t="n"/>
      <c r="B449" s="5" t="n"/>
      <c r="C449" s="25" t="n"/>
      <c r="D449" s="9" t="n"/>
      <c r="E449" s="9" t="n"/>
      <c r="F449" s="7" t="str">
        <f>IF(OR(D449="",E449=""),"",(E449-D449)*1440)</f>
        <v/>
      </c>
      <c r="G449" s="6" t="n"/>
      <c r="H449" s="6" t="n"/>
      <c r="I449" t="str">
        <f>IF(C449="","",C449&amp;"|"&amp;G449)</f>
        <v/>
      </c>
    </row>
    <row r="450">
      <c r="A450" s="5" t="n"/>
      <c r="B450" s="5" t="n"/>
      <c r="C450" s="25" t="n"/>
      <c r="D450" s="9" t="n"/>
      <c r="E450" s="9" t="n"/>
      <c r="F450" s="7" t="str">
        <f>IF(OR(D450="",E450=""),"",(E450-D450)*1440)</f>
        <v/>
      </c>
      <c r="G450" s="6" t="n"/>
      <c r="H450" s="6" t="n"/>
      <c r="I450" t="str">
        <f>IF(C450="","",C450&amp;"|"&amp;G450)</f>
        <v/>
      </c>
    </row>
    <row r="451">
      <c r="A451" s="5" t="n"/>
      <c r="B451" s="5" t="n"/>
      <c r="C451" s="25" t="n"/>
      <c r="D451" s="9" t="n"/>
      <c r="E451" s="9" t="n"/>
      <c r="F451" s="7" t="str">
        <f>IF(OR(D451="",E451=""),"",(E451-D451)*1440)</f>
        <v/>
      </c>
      <c r="G451" s="6" t="n"/>
      <c r="H451" s="6" t="n"/>
      <c r="I451" t="str">
        <f>IF(C451="","",C451&amp;"|"&amp;G451)</f>
        <v/>
      </c>
    </row>
    <row r="452">
      <c r="A452" s="5" t="n"/>
      <c r="B452" s="5" t="n"/>
      <c r="C452" s="25" t="n"/>
      <c r="D452" s="9" t="n"/>
      <c r="E452" s="9" t="n"/>
      <c r="F452" s="7" t="str">
        <f>IF(OR(D452="",E452=""),"",(E452-D452)*1440)</f>
        <v/>
      </c>
      <c r="G452" s="6" t="n"/>
      <c r="H452" s="6" t="n"/>
      <c r="I452" t="str">
        <f>IF(C452="","",C452&amp;"|"&amp;G452)</f>
        <v/>
      </c>
    </row>
    <row r="453">
      <c r="A453" s="5" t="n"/>
      <c r="B453" s="5" t="n"/>
      <c r="C453" s="25" t="n"/>
      <c r="D453" s="9" t="n"/>
      <c r="E453" s="9" t="n"/>
      <c r="F453" s="7" t="str">
        <f>IF(OR(D453="",E453=""),"",(E453-D453)*1440)</f>
        <v/>
      </c>
      <c r="G453" s="6" t="n"/>
      <c r="H453" s="6" t="n"/>
      <c r="I453" t="str">
        <f>IF(C453="","",C453&amp;"|"&amp;G453)</f>
        <v/>
      </c>
    </row>
    <row r="454">
      <c r="A454" s="5" t="n"/>
      <c r="B454" s="5" t="n"/>
      <c r="C454" s="25" t="n"/>
      <c r="D454" s="9" t="n"/>
      <c r="E454" s="9" t="n"/>
      <c r="F454" s="7" t="str">
        <f>IF(OR(D454="",E454=""),"",(E454-D454)*1440)</f>
        <v/>
      </c>
      <c r="G454" s="6" t="n"/>
      <c r="H454" s="6" t="n"/>
      <c r="I454" t="str">
        <f>IF(C454="","",C454&amp;"|"&amp;G454)</f>
        <v/>
      </c>
    </row>
    <row r="455">
      <c r="A455" s="5" t="n"/>
      <c r="B455" s="5" t="n"/>
      <c r="C455" s="25" t="n"/>
      <c r="D455" s="9" t="n"/>
      <c r="E455" s="9" t="n"/>
      <c r="F455" s="7" t="str">
        <f>IF(OR(D455="",E455=""),"",(E455-D455)*1440)</f>
        <v/>
      </c>
      <c r="G455" s="6" t="n"/>
      <c r="H455" s="6" t="n"/>
      <c r="I455" t="str">
        <f>IF(C455="","",C455&amp;"|"&amp;G455)</f>
        <v/>
      </c>
    </row>
    <row r="456">
      <c r="A456" s="5" t="n"/>
      <c r="B456" s="5" t="n"/>
      <c r="C456" s="25" t="n"/>
      <c r="D456" s="9" t="n"/>
      <c r="E456" s="9" t="n"/>
      <c r="F456" s="7" t="str">
        <f>IF(OR(D456="",E456=""),"",(E456-D456)*1440)</f>
        <v/>
      </c>
      <c r="G456" s="6" t="n"/>
      <c r="H456" s="6" t="n"/>
      <c r="I456" t="str">
        <f>IF(C456="","",C456&amp;"|"&amp;G456)</f>
        <v/>
      </c>
    </row>
    <row r="457">
      <c r="A457" s="5" t="n"/>
      <c r="B457" s="5" t="n"/>
      <c r="C457" s="25" t="n"/>
      <c r="D457" s="9" t="n"/>
      <c r="E457" s="9" t="n"/>
      <c r="F457" s="7" t="str">
        <f>IF(OR(D457="",E457=""),"",(E457-D457)*1440)</f>
        <v/>
      </c>
      <c r="G457" s="6" t="n"/>
      <c r="H457" s="6" t="n"/>
      <c r="I457" t="str">
        <f>IF(C457="","",C457&amp;"|"&amp;G457)</f>
        <v/>
      </c>
    </row>
    <row r="458">
      <c r="A458" s="5" t="n"/>
      <c r="B458" s="5" t="n"/>
      <c r="C458" s="25" t="n"/>
      <c r="D458" s="9" t="n"/>
      <c r="E458" s="9" t="n"/>
      <c r="F458" s="7" t="str">
        <f>IF(OR(D458="",E458=""),"",(E458-D458)*1440)</f>
        <v/>
      </c>
      <c r="G458" s="6" t="n"/>
      <c r="H458" s="6" t="n"/>
      <c r="I458" t="str">
        <f>IF(C458="","",C458&amp;"|"&amp;G458)</f>
        <v/>
      </c>
    </row>
    <row r="459">
      <c r="A459" s="5" t="n"/>
      <c r="B459" s="5" t="n"/>
      <c r="C459" s="25" t="n"/>
      <c r="D459" s="9" t="n"/>
      <c r="E459" s="9" t="n"/>
      <c r="F459" s="7" t="str">
        <f>IF(OR(D459="",E459=""),"",(E459-D459)*1440)</f>
        <v/>
      </c>
      <c r="G459" s="6" t="n"/>
      <c r="H459" s="6" t="n"/>
      <c r="I459" t="str">
        <f>IF(C459="","",C459&amp;"|"&amp;G459)</f>
        <v/>
      </c>
    </row>
    <row r="460">
      <c r="A460" s="5" t="n"/>
      <c r="B460" s="5" t="n"/>
      <c r="C460" s="25" t="n"/>
      <c r="D460" s="9" t="n"/>
      <c r="E460" s="9" t="n"/>
      <c r="F460" s="7" t="str">
        <f>IF(OR(D460="",E460=""),"",(E460-D460)*1440)</f>
        <v/>
      </c>
      <c r="G460" s="6" t="n"/>
      <c r="H460" s="6" t="n"/>
      <c r="I460" t="str">
        <f>IF(C460="","",C460&amp;"|"&amp;G460)</f>
        <v/>
      </c>
    </row>
    <row r="461">
      <c r="A461" s="5" t="n"/>
      <c r="B461" s="5" t="n"/>
      <c r="C461" s="25" t="n"/>
      <c r="D461" s="9" t="n"/>
      <c r="E461" s="9" t="n"/>
      <c r="F461" s="7" t="str">
        <f>IF(OR(D461="",E461=""),"",(E461-D461)*1440)</f>
        <v/>
      </c>
      <c r="G461" s="6" t="n"/>
      <c r="H461" s="6" t="n"/>
      <c r="I461" t="str">
        <f>IF(C461="","",C461&amp;"|"&amp;G461)</f>
        <v/>
      </c>
    </row>
    <row r="462">
      <c r="A462" s="5" t="n"/>
      <c r="B462" s="5" t="n"/>
      <c r="C462" s="25" t="n"/>
      <c r="D462" s="9" t="n"/>
      <c r="E462" s="9" t="n"/>
      <c r="F462" s="7" t="str">
        <f>IF(OR(D462="",E462=""),"",(E462-D462)*1440)</f>
        <v/>
      </c>
      <c r="G462" s="6" t="n"/>
      <c r="H462" s="6" t="n"/>
      <c r="I462" t="str">
        <f>IF(C462="","",C462&amp;"|"&amp;G462)</f>
        <v/>
      </c>
    </row>
    <row r="463">
      <c r="A463" s="5" t="n"/>
      <c r="B463" s="5" t="n"/>
      <c r="C463" s="25" t="n"/>
      <c r="D463" s="9" t="n"/>
      <c r="E463" s="9" t="n"/>
      <c r="F463" s="7" t="str">
        <f>IF(OR(D463="",E463=""),"",(E463-D463)*1440)</f>
        <v/>
      </c>
      <c r="G463" s="6" t="n"/>
      <c r="H463" s="6" t="n"/>
      <c r="I463" t="str">
        <f>IF(C463="","",C463&amp;"|"&amp;G463)</f>
        <v/>
      </c>
    </row>
    <row r="464">
      <c r="A464" s="5" t="n"/>
      <c r="B464" s="5" t="n"/>
      <c r="C464" s="25" t="n"/>
      <c r="D464" s="9" t="n"/>
      <c r="E464" s="9" t="n"/>
      <c r="F464" s="7" t="str">
        <f>IF(OR(D464="",E464=""),"",(E464-D464)*1440)</f>
        <v/>
      </c>
      <c r="G464" s="6" t="n"/>
      <c r="H464" s="6" t="n"/>
      <c r="I464" t="str">
        <f>IF(C464="","",C464&amp;"|"&amp;G464)</f>
        <v/>
      </c>
    </row>
    <row r="465">
      <c r="A465" s="5" t="n"/>
      <c r="B465" s="5" t="n"/>
      <c r="C465" s="25" t="n"/>
      <c r="D465" s="9" t="n"/>
      <c r="E465" s="9" t="n"/>
      <c r="F465" s="7" t="str">
        <f>IF(OR(D465="",E465=""),"",(E465-D465)*1440)</f>
        <v/>
      </c>
      <c r="G465" s="6" t="n"/>
      <c r="H465" s="6" t="n"/>
      <c r="I465" t="str">
        <f>IF(C465="","",C465&amp;"|"&amp;G465)</f>
        <v/>
      </c>
    </row>
    <row r="466">
      <c r="A466" s="5" t="n"/>
      <c r="B466" s="5" t="n"/>
      <c r="C466" s="25" t="n"/>
      <c r="D466" s="9" t="n"/>
      <c r="E466" s="9" t="n"/>
      <c r="F466" s="7" t="str">
        <f>IF(OR(D466="",E466=""),"",(E466-D466)*1440)</f>
        <v/>
      </c>
      <c r="G466" s="6" t="n"/>
      <c r="H466" s="6" t="n"/>
      <c r="I466" t="str">
        <f>IF(C466="","",C466&amp;"|"&amp;G466)</f>
        <v/>
      </c>
    </row>
    <row r="467">
      <c r="A467" s="5" t="n"/>
      <c r="B467" s="5" t="n"/>
      <c r="C467" s="25" t="n"/>
      <c r="D467" s="9" t="n"/>
      <c r="E467" s="9" t="n"/>
      <c r="F467" s="7" t="str">
        <f>IF(OR(D467="",E467=""),"",(E467-D467)*1440)</f>
        <v/>
      </c>
      <c r="G467" s="6" t="n"/>
      <c r="H467" s="6" t="n"/>
      <c r="I467" t="str">
        <f>IF(C467="","",C467&amp;"|"&amp;G467)</f>
        <v/>
      </c>
    </row>
    <row r="468">
      <c r="A468" s="5" t="n"/>
      <c r="B468" s="5" t="n"/>
      <c r="C468" s="25" t="n"/>
      <c r="D468" s="9" t="n"/>
      <c r="E468" s="9" t="n"/>
      <c r="F468" s="7" t="str">
        <f>IF(OR(D468="",E468=""),"",(E468-D468)*1440)</f>
        <v/>
      </c>
      <c r="G468" s="6" t="n"/>
      <c r="H468" s="6" t="n"/>
      <c r="I468" t="str">
        <f>IF(C468="","",C468&amp;"|"&amp;G468)</f>
        <v/>
      </c>
    </row>
    <row r="469">
      <c r="A469" s="5" t="n"/>
      <c r="B469" s="5" t="n"/>
      <c r="C469" s="25" t="n"/>
      <c r="D469" s="9" t="n"/>
      <c r="E469" s="9" t="n"/>
      <c r="F469" s="7" t="str">
        <f>IF(OR(D469="",E469=""),"",(E469-D469)*1440)</f>
        <v/>
      </c>
      <c r="G469" s="6" t="n"/>
      <c r="H469" s="6" t="n"/>
      <c r="I469" t="str">
        <f>IF(C469="","",C469&amp;"|"&amp;G469)</f>
        <v/>
      </c>
    </row>
    <row r="470">
      <c r="A470" s="5" t="n"/>
      <c r="B470" s="5" t="n"/>
      <c r="C470" s="25" t="n"/>
      <c r="D470" s="9" t="n"/>
      <c r="E470" s="9" t="n"/>
      <c r="F470" s="7" t="str">
        <f>IF(OR(D470="",E470=""),"",(E470-D470)*1440)</f>
        <v/>
      </c>
      <c r="G470" s="6" t="n"/>
      <c r="H470" s="6" t="n"/>
      <c r="I470" t="str">
        <f>IF(C470="","",C470&amp;"|"&amp;G470)</f>
        <v/>
      </c>
    </row>
    <row r="471">
      <c r="A471" s="5" t="n"/>
      <c r="B471" s="5" t="n"/>
      <c r="C471" s="25" t="n"/>
      <c r="D471" s="9" t="n"/>
      <c r="E471" s="9" t="n"/>
      <c r="F471" s="7" t="str">
        <f>IF(OR(D471="",E471=""),"",(E471-D471)*1440)</f>
        <v/>
      </c>
      <c r="G471" s="6" t="n"/>
      <c r="H471" s="6" t="n"/>
      <c r="I471" t="str">
        <f>IF(C471="","",C471&amp;"|"&amp;G471)</f>
        <v/>
      </c>
    </row>
    <row r="472">
      <c r="A472" s="5" t="n"/>
      <c r="B472" s="5" t="n"/>
      <c r="C472" s="25" t="n"/>
      <c r="D472" s="9" t="n"/>
      <c r="E472" s="9" t="n"/>
      <c r="F472" s="7" t="str">
        <f>IF(OR(D472="",E472=""),"",(E472-D472)*1440)</f>
        <v/>
      </c>
      <c r="G472" s="6" t="n"/>
      <c r="H472" s="6" t="n"/>
      <c r="I472" t="str">
        <f>IF(C472="","",C472&amp;"|"&amp;G472)</f>
        <v/>
      </c>
    </row>
    <row r="473">
      <c r="A473" s="5" t="n"/>
      <c r="B473" s="5" t="n"/>
      <c r="C473" s="25" t="n"/>
      <c r="D473" s="9" t="n"/>
      <c r="E473" s="9" t="n"/>
      <c r="F473" s="7" t="str">
        <f>IF(OR(D473="",E473=""),"",(E473-D473)*1440)</f>
        <v/>
      </c>
      <c r="G473" s="6" t="n"/>
      <c r="H473" s="6" t="n"/>
      <c r="I473" t="str">
        <f>IF(C473="","",C473&amp;"|"&amp;G473)</f>
        <v/>
      </c>
    </row>
    <row r="474">
      <c r="A474" s="5" t="n"/>
      <c r="B474" s="5" t="n"/>
      <c r="C474" s="25" t="n"/>
      <c r="D474" s="9" t="n"/>
      <c r="E474" s="9" t="n"/>
      <c r="F474" s="7" t="str">
        <f>IF(OR(D474="",E474=""),"",(E474-D474)*1440)</f>
        <v/>
      </c>
      <c r="G474" s="6" t="n"/>
      <c r="H474" s="6" t="n"/>
      <c r="I474" t="str">
        <f>IF(C474="","",C474&amp;"|"&amp;G474)</f>
        <v/>
      </c>
    </row>
    <row r="475">
      <c r="A475" s="5" t="n"/>
      <c r="B475" s="5" t="n"/>
      <c r="C475" s="25" t="n"/>
      <c r="D475" s="9" t="n"/>
      <c r="E475" s="9" t="n"/>
      <c r="F475" s="7" t="str">
        <f>IF(OR(D475="",E475=""),"",(E475-D475)*1440)</f>
        <v/>
      </c>
      <c r="G475" s="6" t="n"/>
      <c r="H475" s="6" t="n"/>
      <c r="I475" t="str">
        <f>IF(C475="","",C475&amp;"|"&amp;G475)</f>
        <v/>
      </c>
    </row>
    <row r="476">
      <c r="A476" s="5" t="n"/>
      <c r="B476" s="5" t="n"/>
      <c r="C476" s="25" t="n"/>
      <c r="D476" s="9" t="n"/>
      <c r="E476" s="9" t="n"/>
      <c r="F476" s="7" t="str">
        <f>IF(OR(D476="",E476=""),"",(E476-D476)*1440)</f>
        <v/>
      </c>
      <c r="G476" s="6" t="n"/>
      <c r="H476" s="6" t="n"/>
      <c r="I476" t="str">
        <f>IF(C476="","",C476&amp;"|"&amp;G476)</f>
        <v/>
      </c>
    </row>
    <row r="477">
      <c r="A477" s="5" t="n"/>
      <c r="B477" s="5" t="n"/>
      <c r="C477" s="25" t="n"/>
      <c r="D477" s="9" t="n"/>
      <c r="E477" s="9" t="n"/>
      <c r="F477" s="7" t="str">
        <f>IF(OR(D477="",E477=""),"",(E477-D477)*1440)</f>
        <v/>
      </c>
      <c r="G477" s="6" t="n"/>
      <c r="H477" s="6" t="n"/>
      <c r="I477" t="str">
        <f>IF(C477="","",C477&amp;"|"&amp;G477)</f>
        <v/>
      </c>
    </row>
    <row r="478">
      <c r="A478" s="5" t="n"/>
      <c r="B478" s="5" t="n"/>
      <c r="C478" s="25" t="n"/>
      <c r="D478" s="9" t="n"/>
      <c r="E478" s="9" t="n"/>
      <c r="F478" s="7" t="str">
        <f>IF(OR(D478="",E478=""),"",(E478-D478)*1440)</f>
        <v/>
      </c>
      <c r="G478" s="6" t="n"/>
      <c r="H478" s="6" t="n"/>
      <c r="I478" t="str">
        <f>IF(C478="","",C478&amp;"|"&amp;G478)</f>
        <v/>
      </c>
    </row>
    <row r="479">
      <c r="A479" s="5" t="n"/>
      <c r="B479" s="5" t="n"/>
      <c r="C479" s="25" t="n"/>
      <c r="D479" s="9" t="n"/>
      <c r="E479" s="9" t="n"/>
      <c r="F479" s="7" t="str">
        <f>IF(OR(D479="",E479=""),"",(E479-D479)*1440)</f>
        <v/>
      </c>
      <c r="G479" s="6" t="n"/>
      <c r="H479" s="6" t="n"/>
      <c r="I479" t="str">
        <f>IF(C479="","",C479&amp;"|"&amp;G479)</f>
        <v/>
      </c>
    </row>
    <row r="480">
      <c r="A480" s="5" t="n"/>
      <c r="B480" s="5" t="n"/>
      <c r="C480" s="25" t="n"/>
      <c r="D480" s="9" t="n"/>
      <c r="E480" s="9" t="n"/>
      <c r="F480" s="7" t="str">
        <f>IF(OR(D480="",E480=""),"",(E480-D480)*1440)</f>
        <v/>
      </c>
      <c r="G480" s="6" t="n"/>
      <c r="H480" s="6" t="n"/>
      <c r="I480" t="str">
        <f>IF(C480="","",C480&amp;"|"&amp;G480)</f>
        <v/>
      </c>
    </row>
    <row r="481">
      <c r="A481" s="5" t="n"/>
      <c r="B481" s="5" t="n"/>
      <c r="C481" s="25" t="n"/>
      <c r="D481" s="9" t="n"/>
      <c r="E481" s="9" t="n"/>
      <c r="F481" s="7" t="str">
        <f>IF(OR(D481="",E481=""),"",(E481-D481)*1440)</f>
        <v/>
      </c>
      <c r="G481" s="6" t="n"/>
      <c r="H481" s="6" t="n"/>
      <c r="I481" t="str">
        <f>IF(C481="","",C481&amp;"|"&amp;G481)</f>
        <v/>
      </c>
    </row>
    <row r="482">
      <c r="A482" s="5" t="n"/>
      <c r="B482" s="5" t="n"/>
      <c r="C482" s="25" t="n"/>
      <c r="D482" s="9" t="n"/>
      <c r="E482" s="9" t="n"/>
      <c r="F482" s="7" t="str">
        <f>IF(OR(D482="",E482=""),"",(E482-D482)*1440)</f>
        <v/>
      </c>
      <c r="G482" s="6" t="n"/>
      <c r="H482" s="6" t="n"/>
      <c r="I482" t="str">
        <f>IF(C482="","",C482&amp;"|"&amp;G482)</f>
        <v/>
      </c>
    </row>
    <row r="483">
      <c r="A483" s="5" t="n"/>
      <c r="B483" s="5" t="n"/>
      <c r="C483" s="25" t="n"/>
      <c r="D483" s="9" t="n"/>
      <c r="E483" s="9" t="n"/>
      <c r="F483" s="7" t="str">
        <f>IF(OR(D483="",E483=""),"",(E483-D483)*1440)</f>
        <v/>
      </c>
      <c r="G483" s="6" t="n"/>
      <c r="H483" s="6" t="n"/>
      <c r="I483" t="str">
        <f>IF(C483="","",C483&amp;"|"&amp;G483)</f>
        <v/>
      </c>
    </row>
    <row r="484">
      <c r="A484" s="5" t="n"/>
      <c r="B484" s="5" t="n"/>
      <c r="C484" s="25" t="n"/>
      <c r="D484" s="9" t="n"/>
      <c r="E484" s="9" t="n"/>
      <c r="F484" s="7" t="str">
        <f>IF(OR(D484="",E484=""),"",(E484-D484)*1440)</f>
        <v/>
      </c>
      <c r="G484" s="6" t="n"/>
      <c r="H484" s="6" t="n"/>
      <c r="I484" t="str">
        <f>IF(C484="","",C484&amp;"|"&amp;G484)</f>
        <v/>
      </c>
    </row>
    <row r="485">
      <c r="A485" s="5" t="n"/>
      <c r="B485" s="5" t="n"/>
      <c r="C485" s="25" t="n"/>
      <c r="D485" s="9" t="n"/>
      <c r="E485" s="9" t="n"/>
      <c r="F485" s="7" t="str">
        <f>IF(OR(D485="",E485=""),"",(E485-D485)*1440)</f>
        <v/>
      </c>
      <c r="G485" s="6" t="n"/>
      <c r="H485" s="6" t="n"/>
      <c r="I485" t="str">
        <f>IF(C485="","",C485&amp;"|"&amp;G485)</f>
        <v/>
      </c>
    </row>
    <row r="486">
      <c r="A486" s="5" t="n"/>
      <c r="B486" s="5" t="n"/>
      <c r="C486" s="25" t="n"/>
      <c r="D486" s="9" t="n"/>
      <c r="E486" s="9" t="n"/>
      <c r="F486" s="7" t="str">
        <f>IF(OR(D486="",E486=""),"",(E486-D486)*1440)</f>
        <v/>
      </c>
      <c r="G486" s="6" t="n"/>
      <c r="H486" s="6" t="n"/>
      <c r="I486" t="str">
        <f>IF(C486="","",C486&amp;"|"&amp;G486)</f>
        <v/>
      </c>
    </row>
    <row r="487">
      <c r="A487" s="5" t="n"/>
      <c r="B487" s="5" t="n"/>
      <c r="C487" s="25" t="n"/>
      <c r="D487" s="9" t="n"/>
      <c r="E487" s="9" t="n"/>
      <c r="F487" s="7" t="str">
        <f>IF(OR(D487="",E487=""),"",(E487-D487)*1440)</f>
        <v/>
      </c>
      <c r="G487" s="6" t="n"/>
      <c r="H487" s="6" t="n"/>
      <c r="I487" t="str">
        <f>IF(C487="","",C487&amp;"|"&amp;G487)</f>
        <v/>
      </c>
    </row>
    <row r="488">
      <c r="A488" s="5" t="n"/>
      <c r="B488" s="5" t="n"/>
      <c r="C488" s="25" t="n"/>
      <c r="D488" s="9" t="n"/>
      <c r="E488" s="9" t="n"/>
      <c r="F488" s="7" t="str">
        <f>IF(OR(D488="",E488=""),"",(E488-D488)*1440)</f>
        <v/>
      </c>
      <c r="G488" s="6" t="n"/>
      <c r="H488" s="6" t="n"/>
      <c r="I488" t="str">
        <f>IF(C488="","",C488&amp;"|"&amp;G488)</f>
        <v/>
      </c>
    </row>
    <row r="489">
      <c r="A489" s="5" t="n"/>
      <c r="B489" s="5" t="n"/>
      <c r="C489" s="25" t="n"/>
      <c r="D489" s="9" t="n"/>
      <c r="E489" s="9" t="n"/>
      <c r="F489" s="7" t="str">
        <f>IF(OR(D489="",E489=""),"",(E489-D489)*1440)</f>
        <v/>
      </c>
      <c r="G489" s="6" t="n"/>
      <c r="H489" s="6" t="n"/>
      <c r="I489" t="str">
        <f>IF(C489="","",C489&amp;"|"&amp;G489)</f>
        <v/>
      </c>
    </row>
    <row r="490">
      <c r="A490" s="5" t="n"/>
      <c r="B490" s="5" t="n"/>
      <c r="C490" s="25" t="n"/>
      <c r="D490" s="9" t="n"/>
      <c r="E490" s="9" t="n"/>
      <c r="F490" s="7" t="str">
        <f>IF(OR(D490="",E490=""),"",(E490-D490)*1440)</f>
        <v/>
      </c>
      <c r="G490" s="6" t="n"/>
      <c r="H490" s="6" t="n"/>
      <c r="I490" t="str">
        <f>IF(C490="","",C490&amp;"|"&amp;G490)</f>
        <v/>
      </c>
    </row>
    <row r="491">
      <c r="A491" s="5" t="n"/>
      <c r="B491" s="5" t="n"/>
      <c r="C491" s="25" t="n"/>
      <c r="D491" s="9" t="n"/>
      <c r="E491" s="9" t="n"/>
      <c r="F491" s="7" t="str">
        <f>IF(OR(D491="",E491=""),"",(E491-D491)*1440)</f>
        <v/>
      </c>
      <c r="G491" s="6" t="n"/>
      <c r="H491" s="6" t="n"/>
      <c r="I491" t="str">
        <f>IF(C491="","",C491&amp;"|"&amp;G491)</f>
        <v/>
      </c>
    </row>
    <row r="492">
      <c r="A492" s="5" t="n"/>
      <c r="B492" s="5" t="n"/>
      <c r="C492" s="25" t="n"/>
      <c r="D492" s="9" t="n"/>
      <c r="E492" s="9" t="n"/>
      <c r="F492" s="7" t="str">
        <f>IF(OR(D492="",E492=""),"",(E492-D492)*1440)</f>
        <v/>
      </c>
      <c r="G492" s="6" t="n"/>
      <c r="H492" s="6" t="n"/>
      <c r="I492" t="str">
        <f>IF(C492="","",C492&amp;"|"&amp;G492)</f>
        <v/>
      </c>
    </row>
    <row r="493">
      <c r="A493" s="5" t="n"/>
      <c r="B493" s="5" t="n"/>
      <c r="C493" s="25" t="n"/>
      <c r="D493" s="9" t="n"/>
      <c r="E493" s="9" t="n"/>
      <c r="F493" s="7" t="str">
        <f>IF(OR(D493="",E493=""),"",(E493-D493)*1440)</f>
        <v/>
      </c>
      <c r="G493" s="6" t="n"/>
      <c r="H493" s="6" t="n"/>
      <c r="I493" t="str">
        <f>IF(C493="","",C493&amp;"|"&amp;G493)</f>
        <v/>
      </c>
    </row>
    <row r="494">
      <c r="A494" s="5" t="n"/>
      <c r="B494" s="5" t="n"/>
      <c r="C494" s="25" t="n"/>
      <c r="D494" s="9" t="n"/>
      <c r="E494" s="9" t="n"/>
      <c r="F494" s="7" t="str">
        <f>IF(OR(D494="",E494=""),"",(E494-D494)*1440)</f>
        <v/>
      </c>
      <c r="G494" s="6" t="n"/>
      <c r="H494" s="6" t="n"/>
      <c r="I494" t="str">
        <f>IF(C494="","",C494&amp;"|"&amp;G494)</f>
        <v/>
      </c>
    </row>
    <row r="495">
      <c r="A495" s="5" t="n"/>
      <c r="B495" s="5" t="n"/>
      <c r="C495" s="25" t="n"/>
      <c r="D495" s="9" t="n"/>
      <c r="E495" s="9" t="n"/>
      <c r="F495" s="7" t="str">
        <f>IF(OR(D495="",E495=""),"",(E495-D495)*1440)</f>
        <v/>
      </c>
      <c r="G495" s="6" t="n"/>
      <c r="H495" s="6" t="n"/>
      <c r="I495" t="str">
        <f>IF(C495="","",C495&amp;"|"&amp;G495)</f>
        <v/>
      </c>
    </row>
    <row r="496">
      <c r="A496" s="5" t="n"/>
      <c r="B496" s="5" t="n"/>
      <c r="C496" s="25" t="n"/>
      <c r="D496" s="9" t="n"/>
      <c r="E496" s="9" t="n"/>
      <c r="F496" s="7" t="str">
        <f>IF(OR(D496="",E496=""),"",(E496-D496)*1440)</f>
        <v/>
      </c>
      <c r="G496" s="6" t="n"/>
      <c r="H496" s="6" t="n"/>
      <c r="I496" t="str">
        <f>IF(C496="","",C496&amp;"|"&amp;G496)</f>
        <v/>
      </c>
    </row>
    <row r="497">
      <c r="A497" s="5" t="n"/>
      <c r="B497" s="5" t="n"/>
      <c r="C497" s="25" t="n"/>
      <c r="D497" s="9" t="n"/>
      <c r="E497" s="9" t="n"/>
      <c r="F497" s="7" t="str">
        <f>IF(OR(D497="",E497=""),"",(E497-D497)*1440)</f>
        <v/>
      </c>
      <c r="G497" s="6" t="n"/>
      <c r="H497" s="6" t="n"/>
      <c r="I497" t="str">
        <f>IF(C497="","",C497&amp;"|"&amp;G497)</f>
        <v/>
      </c>
    </row>
    <row r="498">
      <c r="A498" s="5" t="n"/>
      <c r="B498" s="5" t="n"/>
      <c r="C498" s="25" t="n"/>
      <c r="D498" s="9" t="n"/>
      <c r="E498" s="9" t="n"/>
      <c r="F498" s="7" t="str">
        <f>IF(OR(D498="",E498=""),"",(E498-D498)*1440)</f>
        <v/>
      </c>
      <c r="G498" s="6" t="n"/>
      <c r="H498" s="6" t="n"/>
      <c r="I498" t="str">
        <f>IF(C498="","",C498&amp;"|"&amp;G498)</f>
        <v/>
      </c>
    </row>
    <row r="499">
      <c r="A499" s="5" t="n"/>
      <c r="B499" s="5" t="n"/>
      <c r="C499" s="25" t="n"/>
      <c r="D499" s="9" t="n"/>
      <c r="E499" s="9" t="n"/>
      <c r="F499" s="7" t="str">
        <f>IF(OR(D499="",E499=""),"",(E499-D499)*1440)</f>
        <v/>
      </c>
      <c r="G499" s="6" t="n"/>
      <c r="H499" s="6" t="n"/>
      <c r="I499" t="str">
        <f>IF(C499="","",C499&amp;"|"&amp;G499)</f>
        <v/>
      </c>
    </row>
    <row r="500">
      <c r="A500" s="5" t="n"/>
      <c r="B500" s="5" t="n"/>
      <c r="C500" s="25" t="n"/>
      <c r="D500" s="9" t="n"/>
      <c r="E500" s="9" t="n"/>
      <c r="F500" s="7" t="str">
        <f>IF(OR(D500="",E500=""),"",(E500-D500)*1440)</f>
        <v/>
      </c>
      <c r="G500" s="6" t="n"/>
      <c r="H500" s="6" t="n"/>
      <c r="I500" t="str">
        <f>IF(C500="","",C500&amp;"|"&amp;G500)</f>
        <v/>
      </c>
    </row>
    <row r="501">
      <c r="A501" s="5" t="n"/>
      <c r="B501" s="5" t="n"/>
      <c r="C501" s="25" t="n"/>
      <c r="D501" s="9" t="n"/>
      <c r="E501" s="9" t="n"/>
      <c r="F501" s="7" t="str">
        <f>IF(OR(D501="",E501=""),"",(E501-D501)*1440)</f>
        <v/>
      </c>
      <c r="G501" s="6" t="n"/>
      <c r="H501" s="6" t="n"/>
      <c r="I501" t="str">
        <f>IF(C501="","",C501&amp;"|"&amp;G501)</f>
        <v/>
      </c>
    </row>
    <row r="502">
      <c r="A502" s="5" t="n"/>
      <c r="B502" s="5" t="n"/>
      <c r="C502" s="25" t="n"/>
      <c r="D502" s="9" t="n"/>
      <c r="E502" s="9" t="n"/>
      <c r="F502" s="7" t="str">
        <f>IF(OR(D502="",E502=""),"",(E502-D502)*1440)</f>
        <v/>
      </c>
      <c r="G502" s="6" t="n"/>
      <c r="H502" s="6" t="n"/>
      <c r="I502" t="str">
        <f>IF(C502="","",C502&amp;"|"&amp;G502)</f>
        <v/>
      </c>
    </row>
    <row r="503">
      <c r="A503" s="5" t="n"/>
      <c r="B503" s="5" t="n"/>
      <c r="C503" s="25" t="n"/>
      <c r="D503" s="9" t="n"/>
      <c r="E503" s="9" t="n"/>
      <c r="F503" s="7" t="str">
        <f>IF(OR(D503="",E503=""),"",(E503-D503)*1440)</f>
        <v/>
      </c>
      <c r="G503" s="6" t="n"/>
      <c r="H503" s="6" t="n"/>
      <c r="I503" t="str">
        <f>IF(C503="","",C503&amp;"|"&amp;G503)</f>
        <v/>
      </c>
    </row>
    <row r="504">
      <c r="A504" s="5" t="n"/>
      <c r="B504" s="5" t="n"/>
      <c r="C504" s="25" t="n"/>
      <c r="D504" s="9" t="n"/>
      <c r="E504" s="9" t="n"/>
      <c r="F504" s="7" t="str">
        <f>IF(OR(D504="",E504=""),"",(E504-D504)*1440)</f>
        <v/>
      </c>
      <c r="G504" s="6" t="n"/>
      <c r="H504" s="6" t="n"/>
      <c r="I504" t="str">
        <f>IF(C504="","",C504&amp;"|"&amp;G504)</f>
        <v/>
      </c>
    </row>
    <row r="505">
      <c r="A505" s="5" t="n"/>
      <c r="B505" s="5" t="n"/>
      <c r="C505" s="25" t="n"/>
      <c r="D505" s="9" t="n"/>
      <c r="E505" s="9" t="n"/>
      <c r="F505" s="7" t="str">
        <f>IF(OR(D505="",E505=""),"",(E505-D505)*1440)</f>
        <v/>
      </c>
      <c r="G505" s="6" t="n"/>
      <c r="H505" s="6" t="n"/>
      <c r="I505" t="str">
        <f>IF(C505="","",C505&amp;"|"&amp;G505)</f>
        <v/>
      </c>
    </row>
    <row r="506">
      <c r="A506" s="5" t="n"/>
      <c r="B506" s="5" t="n"/>
      <c r="C506" s="25" t="n"/>
      <c r="D506" s="9" t="n"/>
      <c r="E506" s="9" t="n"/>
      <c r="F506" s="7" t="str">
        <f>IF(OR(D506="",E506=""),"",(E506-D506)*1440)</f>
        <v/>
      </c>
      <c r="G506" s="6" t="n"/>
      <c r="H506" s="6" t="n"/>
      <c r="I506" t="str">
        <f>IF(C506="","",C506&amp;"|"&amp;G506)</f>
        <v/>
      </c>
    </row>
    <row r="507">
      <c r="A507" s="5" t="n"/>
      <c r="B507" s="5" t="n"/>
      <c r="C507" s="25" t="n"/>
      <c r="D507" s="9" t="n"/>
      <c r="E507" s="9" t="n"/>
      <c r="F507" s="7" t="str">
        <f>IF(OR(D507="",E507=""),"",(E507-D507)*1440)</f>
        <v/>
      </c>
      <c r="G507" s="6" t="n"/>
      <c r="H507" s="6" t="n"/>
      <c r="I507" t="str">
        <f>IF(C507="","",C507&amp;"|"&amp;G507)</f>
        <v/>
      </c>
    </row>
    <row r="508">
      <c r="A508" s="5" t="n"/>
      <c r="B508" s="5" t="n"/>
      <c r="C508" s="25" t="n"/>
      <c r="D508" s="9" t="n"/>
      <c r="E508" s="9" t="n"/>
      <c r="F508" s="7" t="str">
        <f>IF(OR(D508="",E508=""),"",(E508-D508)*1440)</f>
        <v/>
      </c>
      <c r="G508" s="6" t="n"/>
      <c r="H508" s="6" t="n"/>
      <c r="I508" t="str">
        <f>IF(C508="","",C508&amp;"|"&amp;G508)</f>
        <v/>
      </c>
    </row>
    <row r="509">
      <c r="A509" s="5" t="n"/>
      <c r="B509" s="5" t="n"/>
      <c r="C509" s="25" t="n"/>
      <c r="D509" s="9" t="n"/>
      <c r="E509" s="9" t="n"/>
      <c r="F509" s="7" t="str">
        <f>IF(OR(D509="",E509=""),"",(E509-D509)*1440)</f>
        <v/>
      </c>
      <c r="G509" s="6" t="n"/>
      <c r="H509" s="6" t="n"/>
      <c r="I509" t="str">
        <f>IF(C509="","",C509&amp;"|"&amp;G509)</f>
        <v/>
      </c>
    </row>
    <row r="510">
      <c r="A510" s="5" t="n"/>
      <c r="B510" s="5" t="n"/>
      <c r="C510" s="25" t="n"/>
      <c r="D510" s="9" t="n"/>
      <c r="E510" s="9" t="n"/>
      <c r="F510" s="7" t="str">
        <f>IF(OR(D510="",E510=""),"",(E510-D510)*1440)</f>
        <v/>
      </c>
      <c r="G510" s="6" t="n"/>
      <c r="H510" s="6" t="n"/>
      <c r="I510" t="str">
        <f>IF(C510="","",C510&amp;"|"&amp;G510)</f>
        <v/>
      </c>
    </row>
    <row r="511">
      <c r="A511" s="5" t="n"/>
      <c r="B511" s="5" t="n"/>
      <c r="C511" s="25" t="n"/>
      <c r="D511" s="9" t="n"/>
      <c r="E511" s="9" t="n"/>
      <c r="F511" s="7" t="str">
        <f>IF(OR(D511="",E511=""),"",(E511-D511)*1440)</f>
        <v/>
      </c>
      <c r="G511" s="6" t="n"/>
      <c r="H511" s="6" t="n"/>
      <c r="I511" t="str">
        <f>IF(C511="","",C511&amp;"|"&amp;G511)</f>
        <v/>
      </c>
    </row>
    <row r="512">
      <c r="A512" s="5" t="n"/>
      <c r="B512" s="5" t="n"/>
      <c r="C512" s="25" t="n"/>
      <c r="D512" s="9" t="n"/>
      <c r="E512" s="9" t="n"/>
      <c r="F512" s="7" t="str">
        <f>IF(OR(D512="",E512=""),"",(E512-D512)*1440)</f>
        <v/>
      </c>
      <c r="G512" s="6" t="n"/>
      <c r="H512" s="6" t="n"/>
      <c r="I512" t="str">
        <f>IF(C512="","",C512&amp;"|"&amp;G512)</f>
        <v/>
      </c>
    </row>
    <row r="513">
      <c r="A513" s="5" t="n"/>
      <c r="B513" s="5" t="n"/>
      <c r="C513" s="25" t="n"/>
      <c r="D513" s="9" t="n"/>
      <c r="E513" s="9" t="n"/>
      <c r="F513" s="7" t="str">
        <f>IF(OR(D513="",E513=""),"",(E513-D513)*1440)</f>
        <v/>
      </c>
      <c r="G513" s="6" t="n"/>
      <c r="H513" s="6" t="n"/>
      <c r="I513" t="str">
        <f>IF(C513="","",C513&amp;"|"&amp;G513)</f>
        <v/>
      </c>
    </row>
    <row r="514">
      <c r="A514" s="5" t="n"/>
      <c r="B514" s="5" t="n"/>
      <c r="C514" s="25" t="n"/>
      <c r="D514" s="9" t="n"/>
      <c r="E514" s="9" t="n"/>
      <c r="F514" s="7" t="str">
        <f>IF(OR(D514="",E514=""),"",(E514-D514)*1440)</f>
        <v/>
      </c>
      <c r="G514" s="6" t="n"/>
      <c r="H514" s="6" t="n"/>
      <c r="I514" t="str">
        <f>IF(C514="","",C514&amp;"|"&amp;G514)</f>
        <v/>
      </c>
    </row>
    <row r="515">
      <c r="A515" s="5" t="n"/>
      <c r="B515" s="5" t="n"/>
      <c r="C515" s="25" t="n"/>
      <c r="D515" s="9" t="n"/>
      <c r="E515" s="9" t="n"/>
      <c r="F515" s="7" t="str">
        <f>IF(OR(D515="",E515=""),"",(E515-D515)*1440)</f>
        <v/>
      </c>
      <c r="G515" s="6" t="n"/>
      <c r="H515" s="6" t="n"/>
      <c r="I515" t="str">
        <f>IF(C515="","",C515&amp;"|"&amp;G515)</f>
        <v/>
      </c>
    </row>
    <row r="516">
      <c r="A516" s="5" t="n"/>
      <c r="B516" s="5" t="n"/>
      <c r="C516" s="25" t="n"/>
      <c r="D516" s="9" t="n"/>
      <c r="E516" s="9" t="n"/>
      <c r="F516" s="7" t="str">
        <f>IF(OR(D516="",E516=""),"",(E516-D516)*1440)</f>
        <v/>
      </c>
      <c r="G516" s="6" t="n"/>
      <c r="H516" s="6" t="n"/>
      <c r="I516" t="str">
        <f>IF(C516="","",C516&amp;"|"&amp;G516)</f>
        <v/>
      </c>
    </row>
    <row r="517">
      <c r="A517" s="5" t="n"/>
      <c r="B517" s="5" t="n"/>
      <c r="C517" s="25" t="n"/>
      <c r="D517" s="9" t="n"/>
      <c r="E517" s="9" t="n"/>
      <c r="F517" s="7" t="str">
        <f>IF(OR(D517="",E517=""),"",(E517-D517)*1440)</f>
        <v/>
      </c>
      <c r="G517" s="6" t="n"/>
      <c r="H517" s="6" t="n"/>
      <c r="I517" t="str">
        <f>IF(C517="","",C517&amp;"|"&amp;G517)</f>
        <v/>
      </c>
    </row>
    <row r="518">
      <c r="A518" s="5" t="n"/>
      <c r="B518" s="5" t="n"/>
      <c r="C518" s="25" t="n"/>
      <c r="D518" s="9" t="n"/>
      <c r="E518" s="9" t="n"/>
      <c r="F518" s="7" t="str">
        <f>IF(OR(D518="",E518=""),"",(E518-D518)*1440)</f>
        <v/>
      </c>
      <c r="G518" s="6" t="n"/>
      <c r="H518" s="6" t="n"/>
      <c r="I518" t="str">
        <f>IF(C518="","",C518&amp;"|"&amp;G518)</f>
        <v/>
      </c>
    </row>
    <row r="519">
      <c r="A519" s="5" t="n"/>
      <c r="B519" s="5" t="n"/>
      <c r="C519" s="25" t="n"/>
      <c r="D519" s="9" t="n"/>
      <c r="E519" s="9" t="n"/>
      <c r="F519" s="7" t="str">
        <f>IF(OR(D519="",E519=""),"",(E519-D519)*1440)</f>
        <v/>
      </c>
      <c r="G519" s="6" t="n"/>
      <c r="H519" s="6" t="n"/>
      <c r="I519" t="str">
        <f>IF(C519="","",C519&amp;"|"&amp;G519)</f>
        <v/>
      </c>
    </row>
    <row r="520">
      <c r="A520" s="5" t="n"/>
      <c r="B520" s="5" t="n"/>
      <c r="C520" s="25" t="n"/>
      <c r="D520" s="9" t="n"/>
      <c r="E520" s="9" t="n"/>
      <c r="F520" s="7" t="str">
        <f>IF(OR(D520="",E520=""),"",(E520-D520)*1440)</f>
        <v/>
      </c>
      <c r="G520" s="6" t="n"/>
      <c r="H520" s="6" t="n"/>
      <c r="I520" t="str">
        <f>IF(C520="","",C520&amp;"|"&amp;G520)</f>
        <v/>
      </c>
    </row>
    <row r="521">
      <c r="A521" s="5" t="n"/>
      <c r="B521" s="5" t="n"/>
      <c r="C521" s="25" t="n"/>
      <c r="D521" s="9" t="n"/>
      <c r="E521" s="9" t="n"/>
      <c r="F521" s="7" t="str">
        <f>IF(OR(D521="",E521=""),"",(E521-D521)*1440)</f>
        <v/>
      </c>
      <c r="G521" s="6" t="n"/>
      <c r="H521" s="6" t="n"/>
      <c r="I521" t="str">
        <f>IF(C521="","",C521&amp;"|"&amp;G521)</f>
        <v/>
      </c>
    </row>
    <row r="522">
      <c r="A522" s="5" t="n"/>
      <c r="B522" s="5" t="n"/>
      <c r="C522" s="25" t="n"/>
      <c r="D522" s="9" t="n"/>
      <c r="E522" s="9" t="n"/>
      <c r="F522" s="7" t="str">
        <f>IF(OR(D522="",E522=""),"",(E522-D522)*1440)</f>
        <v/>
      </c>
      <c r="G522" s="6" t="n"/>
      <c r="H522" s="6" t="n"/>
      <c r="I522" t="str">
        <f>IF(C522="","",C522&amp;"|"&amp;G522)</f>
        <v/>
      </c>
    </row>
    <row r="523">
      <c r="A523" s="5" t="n"/>
      <c r="B523" s="5" t="n"/>
      <c r="C523" s="25" t="n"/>
      <c r="D523" s="9" t="n"/>
      <c r="E523" s="9" t="n"/>
      <c r="F523" s="7" t="str">
        <f>IF(OR(D523="",E523=""),"",(E523-D523)*1440)</f>
        <v/>
      </c>
      <c r="G523" s="6" t="n"/>
      <c r="H523" s="6" t="n"/>
      <c r="I523" t="str">
        <f>IF(C523="","",C523&amp;"|"&amp;G523)</f>
        <v/>
      </c>
    </row>
    <row r="524">
      <c r="A524" s="5" t="n"/>
      <c r="B524" s="5" t="n"/>
      <c r="C524" s="25" t="n"/>
      <c r="D524" s="9" t="n"/>
      <c r="E524" s="9" t="n"/>
      <c r="F524" s="7" t="str">
        <f>IF(OR(D524="",E524=""),"",(E524-D524)*1440)</f>
        <v/>
      </c>
      <c r="G524" s="6" t="n"/>
      <c r="H524" s="6" t="n"/>
      <c r="I524" t="str">
        <f>IF(C524="","",C524&amp;"|"&amp;G524)</f>
        <v/>
      </c>
    </row>
    <row r="525">
      <c r="A525" s="5" t="n"/>
      <c r="B525" s="5" t="n"/>
      <c r="C525" s="25" t="n"/>
      <c r="D525" s="9" t="n"/>
      <c r="E525" s="9" t="n"/>
      <c r="F525" s="7" t="str">
        <f>IF(OR(D525="",E525=""),"",(E525-D525)*1440)</f>
        <v/>
      </c>
      <c r="G525" s="6" t="n"/>
      <c r="H525" s="6" t="n"/>
      <c r="I525" t="str">
        <f>IF(C525="","",C525&amp;"|"&amp;G525)</f>
        <v/>
      </c>
    </row>
    <row r="526">
      <c r="A526" s="5" t="n"/>
      <c r="B526" s="5" t="n"/>
      <c r="C526" s="25" t="n"/>
      <c r="D526" s="9" t="n"/>
      <c r="E526" s="9" t="n"/>
      <c r="F526" s="7" t="str">
        <f>IF(OR(D526="",E526=""),"",(E526-D526)*1440)</f>
        <v/>
      </c>
      <c r="G526" s="6" t="n"/>
      <c r="H526" s="6" t="n"/>
      <c r="I526" t="str">
        <f>IF(C526="","",C526&amp;"|"&amp;G526)</f>
        <v/>
      </c>
    </row>
    <row r="527">
      <c r="A527" s="5" t="n"/>
      <c r="B527" s="5" t="n"/>
      <c r="C527" s="25" t="n"/>
      <c r="D527" s="9" t="n"/>
      <c r="E527" s="9" t="n"/>
      <c r="F527" s="7" t="str">
        <f>IF(OR(D527="",E527=""),"",(E527-D527)*1440)</f>
        <v/>
      </c>
      <c r="G527" s="6" t="n"/>
      <c r="H527" s="6" t="n"/>
      <c r="I527" t="str">
        <f>IF(C527="","",C527&amp;"|"&amp;G527)</f>
        <v/>
      </c>
    </row>
    <row r="528">
      <c r="A528" s="5" t="n"/>
      <c r="B528" s="5" t="n"/>
      <c r="C528" s="25" t="n"/>
      <c r="D528" s="9" t="n"/>
      <c r="E528" s="9" t="n"/>
      <c r="F528" s="7" t="str">
        <f>IF(OR(D528="",E528=""),"",(E528-D528)*1440)</f>
        <v/>
      </c>
      <c r="G528" s="6" t="n"/>
      <c r="H528" s="6" t="n"/>
      <c r="I528" t="str">
        <f>IF(C528="","",C528&amp;"|"&amp;G528)</f>
        <v/>
      </c>
    </row>
    <row r="529">
      <c r="A529" s="5" t="n"/>
      <c r="B529" s="5" t="n"/>
      <c r="C529" s="25" t="n"/>
      <c r="D529" s="9" t="n"/>
      <c r="E529" s="9" t="n"/>
      <c r="F529" s="7" t="str">
        <f>IF(OR(D529="",E529=""),"",(E529-D529)*1440)</f>
        <v/>
      </c>
      <c r="G529" s="6" t="n"/>
      <c r="H529" s="6" t="n"/>
      <c r="I529" t="str">
        <f>IF(C529="","",C529&amp;"|"&amp;G529)</f>
        <v/>
      </c>
    </row>
    <row r="530">
      <c r="A530" s="5" t="n"/>
      <c r="B530" s="5" t="n"/>
      <c r="C530" s="25" t="n"/>
      <c r="D530" s="9" t="n"/>
      <c r="E530" s="9" t="n"/>
      <c r="F530" s="7" t="str">
        <f>IF(OR(D530="",E530=""),"",(E530-D530)*1440)</f>
        <v/>
      </c>
      <c r="G530" s="6" t="n"/>
      <c r="H530" s="6" t="n"/>
      <c r="I530" t="str">
        <f>IF(C530="","",C530&amp;"|"&amp;G530)</f>
        <v/>
      </c>
    </row>
    <row r="531">
      <c r="A531" s="5" t="n"/>
      <c r="B531" s="5" t="n"/>
      <c r="C531" s="25" t="n"/>
      <c r="D531" s="9" t="n"/>
      <c r="E531" s="9" t="n"/>
      <c r="F531" s="7" t="str">
        <f>IF(OR(D531="",E531=""),"",(E531-D531)*1440)</f>
        <v/>
      </c>
      <c r="G531" s="6" t="n"/>
      <c r="H531" s="6" t="n"/>
      <c r="I531" t="str">
        <f>IF(C531="","",C531&amp;"|"&amp;G531)</f>
        <v/>
      </c>
    </row>
    <row r="532">
      <c r="A532" s="5" t="n"/>
      <c r="B532" s="5" t="n"/>
      <c r="C532" s="25" t="n"/>
      <c r="D532" s="9" t="n"/>
      <c r="E532" s="9" t="n"/>
      <c r="F532" s="7" t="str">
        <f>IF(OR(D532="",E532=""),"",(E532-D532)*1440)</f>
        <v/>
      </c>
      <c r="G532" s="6" t="n"/>
      <c r="H532" s="6" t="n"/>
      <c r="I532" t="str">
        <f>IF(C532="","",C532&amp;"|"&amp;G532)</f>
        <v/>
      </c>
    </row>
    <row r="533">
      <c r="A533" s="5" t="n"/>
      <c r="B533" s="5" t="n"/>
      <c r="C533" s="25" t="n"/>
      <c r="D533" s="9" t="n"/>
      <c r="E533" s="9" t="n"/>
      <c r="F533" s="7" t="str">
        <f>IF(OR(D533="",E533=""),"",(E533-D533)*1440)</f>
        <v/>
      </c>
      <c r="G533" s="6" t="n"/>
      <c r="H533" s="6" t="n"/>
      <c r="I533" t="str">
        <f>IF(C533="","",C533&amp;"|"&amp;G533)</f>
        <v/>
      </c>
    </row>
    <row r="534">
      <c r="A534" s="5" t="n"/>
      <c r="B534" s="5" t="n"/>
      <c r="C534" s="25" t="n"/>
      <c r="D534" s="9" t="n"/>
      <c r="E534" s="9" t="n"/>
      <c r="F534" s="7" t="str">
        <f>IF(OR(D534="",E534=""),"",(E534-D534)*1440)</f>
        <v/>
      </c>
      <c r="G534" s="6" t="n"/>
      <c r="H534" s="6" t="n"/>
      <c r="I534" t="str">
        <f>IF(C534="","",C534&amp;"|"&amp;G534)</f>
        <v/>
      </c>
    </row>
    <row r="535">
      <c r="A535" s="5" t="n"/>
      <c r="B535" s="5" t="n"/>
      <c r="C535" s="25" t="n"/>
      <c r="D535" s="9" t="n"/>
      <c r="E535" s="9" t="n"/>
      <c r="F535" s="7" t="str">
        <f>IF(OR(D535="",E535=""),"",(E535-D535)*1440)</f>
        <v/>
      </c>
      <c r="G535" s="6" t="n"/>
      <c r="H535" s="6" t="n"/>
      <c r="I535" t="str">
        <f>IF(C535="","",C535&amp;"|"&amp;G535)</f>
        <v/>
      </c>
    </row>
    <row r="536">
      <c r="A536" s="5" t="n"/>
      <c r="B536" s="5" t="n"/>
      <c r="C536" s="25" t="n"/>
      <c r="D536" s="9" t="n"/>
      <c r="E536" s="9" t="n"/>
      <c r="F536" s="7" t="str">
        <f>IF(OR(D536="",E536=""),"",(E536-D536)*1440)</f>
        <v/>
      </c>
      <c r="G536" s="6" t="n"/>
      <c r="H536" s="6" t="n"/>
      <c r="I536" t="str">
        <f>IF(C536="","",C536&amp;"|"&amp;G536)</f>
        <v/>
      </c>
    </row>
    <row r="537">
      <c r="A537" s="5" t="n"/>
      <c r="B537" s="5" t="n"/>
      <c r="C537" s="25" t="n"/>
      <c r="D537" s="9" t="n"/>
      <c r="E537" s="9" t="n"/>
      <c r="F537" s="7" t="str">
        <f>IF(OR(D537="",E537=""),"",(E537-D537)*1440)</f>
        <v/>
      </c>
      <c r="G537" s="6" t="n"/>
      <c r="H537" s="6" t="n"/>
      <c r="I537" t="str">
        <f>IF(C537="","",C537&amp;"|"&amp;G537)</f>
        <v/>
      </c>
    </row>
    <row r="538">
      <c r="A538" s="5" t="n"/>
      <c r="B538" s="5" t="n"/>
      <c r="C538" s="25" t="n"/>
      <c r="D538" s="9" t="n"/>
      <c r="E538" s="9" t="n"/>
      <c r="F538" s="7" t="str">
        <f>IF(OR(D538="",E538=""),"",(E538-D538)*1440)</f>
        <v/>
      </c>
      <c r="G538" s="6" t="n"/>
      <c r="H538" s="6" t="n"/>
      <c r="I538" t="str">
        <f>IF(C538="","",C538&amp;"|"&amp;G538)</f>
        <v/>
      </c>
    </row>
    <row r="539">
      <c r="A539" s="5" t="n"/>
      <c r="B539" s="5" t="n"/>
      <c r="C539" s="25" t="n"/>
      <c r="D539" s="9" t="n"/>
      <c r="E539" s="9" t="n"/>
      <c r="F539" s="7" t="str">
        <f>IF(OR(D539="",E539=""),"",(E539-D539)*1440)</f>
        <v/>
      </c>
      <c r="G539" s="6" t="n"/>
      <c r="H539" s="6" t="n"/>
      <c r="I539" t="str">
        <f>IF(C539="","",C539&amp;"|"&amp;G539)</f>
        <v/>
      </c>
    </row>
    <row r="540">
      <c r="A540" s="5" t="n"/>
      <c r="B540" s="5" t="n"/>
      <c r="C540" s="25" t="n"/>
      <c r="D540" s="9" t="n"/>
      <c r="E540" s="9" t="n"/>
      <c r="F540" s="7" t="str">
        <f>IF(OR(D540="",E540=""),"",(E540-D540)*1440)</f>
        <v/>
      </c>
      <c r="G540" s="6" t="n"/>
      <c r="H540" s="6" t="n"/>
      <c r="I540" t="str">
        <f>IF(C540="","",C540&amp;"|"&amp;G540)</f>
        <v/>
      </c>
    </row>
    <row r="541">
      <c r="A541" s="5" t="n"/>
      <c r="B541" s="5" t="n"/>
      <c r="C541" s="25" t="n"/>
      <c r="D541" s="9" t="n"/>
      <c r="E541" s="9" t="n"/>
      <c r="F541" s="7" t="str">
        <f>IF(OR(D541="",E541=""),"",(E541-D541)*1440)</f>
        <v/>
      </c>
      <c r="G541" s="6" t="n"/>
      <c r="H541" s="6" t="n"/>
      <c r="I541" t="str">
        <f>IF(C541="","",C541&amp;"|"&amp;G541)</f>
        <v/>
      </c>
    </row>
    <row r="542">
      <c r="A542" s="5" t="n"/>
      <c r="B542" s="5" t="n"/>
      <c r="C542" s="25" t="n"/>
      <c r="D542" s="9" t="n"/>
      <c r="E542" s="9" t="n"/>
      <c r="F542" s="7" t="str">
        <f>IF(OR(D542="",E542=""),"",(E542-D542)*1440)</f>
        <v/>
      </c>
      <c r="G542" s="6" t="n"/>
      <c r="H542" s="6" t="n"/>
      <c r="I542" t="str">
        <f>IF(C542="","",C542&amp;"|"&amp;G542)</f>
        <v/>
      </c>
    </row>
    <row r="543">
      <c r="A543" s="5" t="n"/>
      <c r="B543" s="5" t="n"/>
      <c r="C543" s="25" t="n"/>
      <c r="D543" s="9" t="n"/>
      <c r="E543" s="9" t="n"/>
      <c r="F543" s="7" t="str">
        <f>IF(OR(D543="",E543=""),"",(E543-D543)*1440)</f>
        <v/>
      </c>
      <c r="G543" s="6" t="n"/>
      <c r="H543" s="6" t="n"/>
      <c r="I543" t="str">
        <f>IF(C543="","",C543&amp;"|"&amp;G543)</f>
        <v/>
      </c>
    </row>
    <row r="544">
      <c r="A544" s="5" t="n"/>
      <c r="B544" s="5" t="n"/>
      <c r="C544" s="25" t="n"/>
      <c r="D544" s="9" t="n"/>
      <c r="E544" s="9" t="n"/>
      <c r="F544" s="7" t="str">
        <f>IF(OR(D544="",E544=""),"",(E544-D544)*1440)</f>
        <v/>
      </c>
      <c r="G544" s="6" t="n"/>
      <c r="H544" s="6" t="n"/>
      <c r="I544" t="str">
        <f>IF(C544="","",C544&amp;"|"&amp;G544)</f>
        <v/>
      </c>
    </row>
    <row r="545">
      <c r="A545" s="5" t="n"/>
      <c r="B545" s="5" t="n"/>
      <c r="C545" s="25" t="n"/>
      <c r="D545" s="9" t="n"/>
      <c r="E545" s="9" t="n"/>
      <c r="F545" s="7" t="str">
        <f>IF(OR(D545="",E545=""),"",(E545-D545)*1440)</f>
        <v/>
      </c>
      <c r="G545" s="6" t="n"/>
      <c r="H545" s="6" t="n"/>
      <c r="I545" t="str">
        <f>IF(C545="","",C545&amp;"|"&amp;G545)</f>
        <v/>
      </c>
    </row>
    <row r="546">
      <c r="A546" s="5" t="n"/>
      <c r="B546" s="5" t="n"/>
      <c r="C546" s="25" t="n"/>
      <c r="D546" s="9" t="n"/>
      <c r="E546" s="9" t="n"/>
      <c r="F546" s="7" t="str">
        <f>IF(OR(D546="",E546=""),"",(E546-D546)*1440)</f>
        <v/>
      </c>
      <c r="G546" s="6" t="n"/>
      <c r="H546" s="6" t="n"/>
      <c r="I546" t="str">
        <f>IF(C546="","",C546&amp;"|"&amp;G546)</f>
        <v/>
      </c>
    </row>
    <row r="547">
      <c r="A547" s="5" t="n"/>
      <c r="B547" s="5" t="n"/>
      <c r="C547" s="25" t="n"/>
      <c r="D547" s="9" t="n"/>
      <c r="E547" s="9" t="n"/>
      <c r="F547" s="7" t="str">
        <f>IF(OR(D547="",E547=""),"",(E547-D547)*1440)</f>
        <v/>
      </c>
      <c r="G547" s="6" t="n"/>
      <c r="H547" s="6" t="n"/>
      <c r="I547" t="str">
        <f>IF(C547="","",C547&amp;"|"&amp;G547)</f>
        <v/>
      </c>
    </row>
    <row r="548">
      <c r="A548" s="5" t="n"/>
      <c r="B548" s="5" t="n"/>
      <c r="C548" s="25" t="n"/>
      <c r="D548" s="9" t="n"/>
      <c r="E548" s="9" t="n"/>
      <c r="F548" s="7" t="str">
        <f>IF(OR(D548="",E548=""),"",(E548-D548)*1440)</f>
        <v/>
      </c>
      <c r="G548" s="6" t="n"/>
      <c r="H548" s="6" t="n"/>
      <c r="I548" t="str">
        <f>IF(C548="","",C548&amp;"|"&amp;G548)</f>
        <v/>
      </c>
    </row>
    <row r="549">
      <c r="A549" s="5" t="n"/>
      <c r="B549" s="5" t="n"/>
      <c r="C549" s="25" t="n"/>
      <c r="D549" s="9" t="n"/>
      <c r="E549" s="9" t="n"/>
      <c r="F549" s="7" t="str">
        <f>IF(OR(D549="",E549=""),"",(E549-D549)*1440)</f>
        <v/>
      </c>
      <c r="G549" s="6" t="n"/>
      <c r="H549" s="6" t="n"/>
      <c r="I549" t="str">
        <f>IF(C549="","",C549&amp;"|"&amp;G549)</f>
        <v/>
      </c>
    </row>
    <row r="550">
      <c r="A550" s="5" t="n"/>
      <c r="B550" s="5" t="n"/>
      <c r="C550" s="25" t="n"/>
      <c r="D550" s="9" t="n"/>
      <c r="E550" s="9" t="n"/>
      <c r="F550" s="7" t="str">
        <f>IF(OR(D550="",E550=""),"",(E550-D550)*1440)</f>
        <v/>
      </c>
      <c r="G550" s="6" t="n"/>
      <c r="H550" s="6" t="n"/>
      <c r="I550" t="str">
        <f>IF(C550="","",C550&amp;"|"&amp;G550)</f>
        <v/>
      </c>
    </row>
    <row r="551">
      <c r="A551" s="5" t="n"/>
      <c r="B551" s="5" t="n"/>
      <c r="C551" s="25" t="n"/>
      <c r="D551" s="9" t="n"/>
      <c r="E551" s="9" t="n"/>
      <c r="F551" s="7" t="str">
        <f>IF(OR(D551="",E551=""),"",(E551-D551)*1440)</f>
        <v/>
      </c>
      <c r="G551" s="6" t="n"/>
      <c r="H551" s="6" t="n"/>
      <c r="I551" t="str">
        <f>IF(C551="","",C551&amp;"|"&amp;G551)</f>
        <v/>
      </c>
    </row>
    <row r="552">
      <c r="A552" s="5" t="n"/>
      <c r="B552" s="5" t="n"/>
      <c r="C552" s="25" t="n"/>
      <c r="D552" s="9" t="n"/>
      <c r="E552" s="9" t="n"/>
      <c r="F552" s="7" t="str">
        <f>IF(OR(D552="",E552=""),"",(E552-D552)*1440)</f>
        <v/>
      </c>
      <c r="G552" s="6" t="n"/>
      <c r="H552" s="6" t="n"/>
      <c r="I552" t="str">
        <f>IF(C552="","",C552&amp;"|"&amp;G552)</f>
        <v/>
      </c>
    </row>
    <row r="553">
      <c r="A553" s="5" t="n"/>
      <c r="B553" s="5" t="n"/>
      <c r="C553" s="25" t="n"/>
      <c r="D553" s="9" t="n"/>
      <c r="E553" s="9" t="n"/>
      <c r="F553" s="7" t="str">
        <f>IF(OR(D553="",E553=""),"",(E553-D553)*1440)</f>
        <v/>
      </c>
      <c r="G553" s="6" t="n"/>
      <c r="H553" s="6" t="n"/>
      <c r="I553" t="str">
        <f>IF(C553="","",C553&amp;"|"&amp;G553)</f>
        <v/>
      </c>
    </row>
    <row r="554">
      <c r="A554" s="5" t="n"/>
      <c r="B554" s="5" t="n"/>
      <c r="C554" s="25" t="n"/>
      <c r="D554" s="9" t="n"/>
      <c r="E554" s="9" t="n"/>
      <c r="F554" s="7" t="str">
        <f>IF(OR(D554="",E554=""),"",(E554-D554)*1440)</f>
        <v/>
      </c>
      <c r="G554" s="6" t="n"/>
      <c r="H554" s="6" t="n"/>
      <c r="I554" t="str">
        <f>IF(C554="","",C554&amp;"|"&amp;G554)</f>
        <v/>
      </c>
    </row>
    <row r="555">
      <c r="A555" s="5" t="n"/>
      <c r="B555" s="5" t="n"/>
      <c r="C555" s="25" t="n"/>
      <c r="D555" s="9" t="n"/>
      <c r="E555" s="9" t="n"/>
      <c r="F555" s="7" t="str">
        <f>IF(OR(D555="",E555=""),"",(E555-D555)*1440)</f>
        <v/>
      </c>
      <c r="G555" s="6" t="n"/>
      <c r="H555" s="6" t="n"/>
      <c r="I555" t="str">
        <f>IF(C555="","",C555&amp;"|"&amp;G555)</f>
        <v/>
      </c>
    </row>
    <row r="556">
      <c r="A556" s="5" t="n"/>
      <c r="B556" s="5" t="n"/>
      <c r="C556" s="25" t="n"/>
      <c r="D556" s="9" t="n"/>
      <c r="E556" s="9" t="n"/>
      <c r="F556" s="7" t="str">
        <f>IF(OR(D556="",E556=""),"",(E556-D556)*1440)</f>
        <v/>
      </c>
      <c r="G556" s="6" t="n"/>
      <c r="H556" s="6" t="n"/>
      <c r="I556" t="str">
        <f>IF(C556="","",C556&amp;"|"&amp;G556)</f>
        <v/>
      </c>
    </row>
    <row r="557">
      <c r="A557" s="5" t="n"/>
      <c r="B557" s="5" t="n"/>
      <c r="C557" s="25" t="n"/>
      <c r="D557" s="9" t="n"/>
      <c r="E557" s="9" t="n"/>
      <c r="F557" s="7" t="str">
        <f>IF(OR(D557="",E557=""),"",(E557-D557)*1440)</f>
        <v/>
      </c>
      <c r="G557" s="6" t="n"/>
      <c r="H557" s="6" t="n"/>
      <c r="I557" t="str">
        <f>IF(C557="","",C557&amp;"|"&amp;G557)</f>
        <v/>
      </c>
    </row>
    <row r="558">
      <c r="A558" s="5" t="n"/>
      <c r="B558" s="5" t="n"/>
      <c r="C558" s="25" t="n"/>
      <c r="D558" s="9" t="n"/>
      <c r="E558" s="9" t="n"/>
      <c r="F558" s="7" t="str">
        <f>IF(OR(D558="",E558=""),"",(E558-D558)*1440)</f>
        <v/>
      </c>
      <c r="G558" s="6" t="n"/>
      <c r="H558" s="6" t="n"/>
      <c r="I558" t="str">
        <f>IF(C558="","",C558&amp;"|"&amp;G558)</f>
        <v/>
      </c>
    </row>
    <row r="559">
      <c r="A559" s="5" t="n"/>
      <c r="B559" s="5" t="n"/>
      <c r="C559" s="25" t="n"/>
      <c r="D559" s="9" t="n"/>
      <c r="E559" s="9" t="n"/>
      <c r="F559" s="7" t="str">
        <f>IF(OR(D559="",E559=""),"",(E559-D559)*1440)</f>
        <v/>
      </c>
      <c r="G559" s="6" t="n"/>
      <c r="H559" s="6" t="n"/>
      <c r="I559" t="str">
        <f>IF(C559="","",C559&amp;"|"&amp;G559)</f>
        <v/>
      </c>
    </row>
    <row r="560">
      <c r="A560" s="5" t="n"/>
      <c r="B560" s="5" t="n"/>
      <c r="C560" s="25" t="n"/>
      <c r="D560" s="9" t="n"/>
      <c r="E560" s="9" t="n"/>
      <c r="F560" s="7" t="str">
        <f>IF(OR(D560="",E560=""),"",(E560-D560)*1440)</f>
        <v/>
      </c>
      <c r="G560" s="6" t="n"/>
      <c r="H560" s="6" t="n"/>
      <c r="I560" t="str">
        <f>IF(C560="","",C560&amp;"|"&amp;G560)</f>
        <v/>
      </c>
    </row>
    <row r="561">
      <c r="A561" s="5" t="n"/>
      <c r="B561" s="5" t="n"/>
      <c r="C561" s="25" t="n"/>
      <c r="D561" s="9" t="n"/>
      <c r="E561" s="9" t="n"/>
      <c r="F561" s="7" t="str">
        <f>IF(OR(D561="",E561=""),"",(E561-D561)*1440)</f>
        <v/>
      </c>
      <c r="G561" s="6" t="n"/>
      <c r="H561" s="6" t="n"/>
      <c r="I561" t="str">
        <f>IF(C561="","",C561&amp;"|"&amp;G561)</f>
        <v/>
      </c>
    </row>
    <row r="562">
      <c r="A562" s="5" t="n"/>
      <c r="B562" s="5" t="n"/>
      <c r="C562" s="25" t="n"/>
      <c r="D562" s="9" t="n"/>
      <c r="E562" s="9" t="n"/>
      <c r="F562" s="7" t="str">
        <f>IF(OR(D562="",E562=""),"",(E562-D562)*1440)</f>
        <v/>
      </c>
      <c r="G562" s="6" t="n"/>
      <c r="H562" s="6" t="n"/>
      <c r="I562" t="str">
        <f>IF(C562="","",C562&amp;"|"&amp;G562)</f>
        <v/>
      </c>
    </row>
    <row r="563">
      <c r="A563" s="5" t="n"/>
      <c r="B563" s="5" t="n"/>
      <c r="C563" s="25" t="n"/>
      <c r="D563" s="9" t="n"/>
      <c r="E563" s="9" t="n"/>
      <c r="F563" s="7" t="str">
        <f>IF(OR(D563="",E563=""),"",(E563-D563)*1440)</f>
        <v/>
      </c>
      <c r="G563" s="6" t="n"/>
      <c r="H563" s="6" t="n"/>
      <c r="I563" t="str">
        <f>IF(C563="","",C563&amp;"|"&amp;G563)</f>
        <v/>
      </c>
    </row>
    <row r="564">
      <c r="A564" s="5" t="n"/>
      <c r="B564" s="5" t="n"/>
      <c r="C564" s="25" t="n"/>
      <c r="D564" s="9" t="n"/>
      <c r="E564" s="9" t="n"/>
      <c r="F564" s="7" t="str">
        <f>IF(OR(D564="",E564=""),"",(E564-D564)*1440)</f>
        <v/>
      </c>
      <c r="G564" s="6" t="n"/>
      <c r="H564" s="6" t="n"/>
      <c r="I564" t="str">
        <f>IF(C564="","",C564&amp;"|"&amp;G564)</f>
        <v/>
      </c>
    </row>
    <row r="565">
      <c r="A565" s="5" t="n"/>
      <c r="B565" s="5" t="n"/>
      <c r="C565" s="25" t="n"/>
      <c r="D565" s="9" t="n"/>
      <c r="E565" s="9" t="n"/>
      <c r="F565" s="7" t="str">
        <f>IF(OR(D565="",E565=""),"",(E565-D565)*1440)</f>
        <v/>
      </c>
      <c r="G565" s="6" t="n"/>
      <c r="H565" s="6" t="n"/>
      <c r="I565" t="str">
        <f>IF(C565="","",C565&amp;"|"&amp;G565)</f>
        <v/>
      </c>
    </row>
    <row r="566">
      <c r="A566" s="5" t="n"/>
      <c r="B566" s="5" t="n"/>
      <c r="C566" s="25" t="n"/>
      <c r="D566" s="9" t="n"/>
      <c r="E566" s="9" t="n"/>
      <c r="F566" s="7" t="str">
        <f>IF(OR(D566="",E566=""),"",(E566-D566)*1440)</f>
        <v/>
      </c>
      <c r="G566" s="6" t="n"/>
      <c r="H566" s="6" t="n"/>
      <c r="I566" t="str">
        <f>IF(C566="","",C566&amp;"|"&amp;G566)</f>
        <v/>
      </c>
    </row>
    <row r="567">
      <c r="A567" s="5" t="n"/>
      <c r="B567" s="5" t="n"/>
      <c r="C567" s="25" t="n"/>
      <c r="D567" s="9" t="n"/>
      <c r="E567" s="9" t="n"/>
      <c r="F567" s="7" t="str">
        <f>IF(OR(D567="",E567=""),"",(E567-D567)*1440)</f>
        <v/>
      </c>
      <c r="G567" s="6" t="n"/>
      <c r="H567" s="6" t="n"/>
      <c r="I567" t="str">
        <f>IF(C567="","",C567&amp;"|"&amp;G567)</f>
        <v/>
      </c>
    </row>
    <row r="568">
      <c r="A568" s="5" t="n"/>
      <c r="B568" s="5" t="n"/>
      <c r="C568" s="25" t="n"/>
      <c r="D568" s="9" t="n"/>
      <c r="E568" s="9" t="n"/>
      <c r="F568" s="7" t="str">
        <f>IF(OR(D568="",E568=""),"",(E568-D568)*1440)</f>
        <v/>
      </c>
      <c r="G568" s="6" t="n"/>
      <c r="H568" s="6" t="n"/>
      <c r="I568" t="str">
        <f>IF(C568="","",C568&amp;"|"&amp;G568)</f>
        <v/>
      </c>
    </row>
    <row r="569">
      <c r="A569" s="5" t="n"/>
      <c r="B569" s="5" t="n"/>
      <c r="C569" s="25" t="n"/>
      <c r="D569" s="9" t="n"/>
      <c r="E569" s="9" t="n"/>
      <c r="F569" s="7" t="str">
        <f>IF(OR(D569="",E569=""),"",(E569-D569)*1440)</f>
        <v/>
      </c>
      <c r="G569" s="6" t="n"/>
      <c r="H569" s="6" t="n"/>
      <c r="I569" t="str">
        <f>IF(C569="","",C569&amp;"|"&amp;G569)</f>
        <v/>
      </c>
    </row>
    <row r="570">
      <c r="A570" s="5" t="n"/>
      <c r="B570" s="5" t="n"/>
      <c r="C570" s="25" t="n"/>
      <c r="D570" s="9" t="n"/>
      <c r="E570" s="9" t="n"/>
      <c r="F570" s="7" t="str">
        <f>IF(OR(D570="",E570=""),"",(E570-D570)*1440)</f>
        <v/>
      </c>
      <c r="G570" s="6" t="n"/>
      <c r="H570" s="6" t="n"/>
      <c r="I570" t="str">
        <f>IF(C570="","",C570&amp;"|"&amp;G570)</f>
        <v/>
      </c>
    </row>
    <row r="571">
      <c r="A571" s="5" t="n"/>
      <c r="B571" s="5" t="n"/>
      <c r="C571" s="25" t="n"/>
      <c r="D571" s="9" t="n"/>
      <c r="E571" s="9" t="n"/>
      <c r="F571" s="7" t="str">
        <f>IF(OR(D571="",E571=""),"",(E571-D571)*1440)</f>
        <v/>
      </c>
      <c r="G571" s="6" t="n"/>
      <c r="H571" s="6" t="n"/>
      <c r="I571" t="str">
        <f>IF(C571="","",C571&amp;"|"&amp;G571)</f>
        <v/>
      </c>
    </row>
    <row r="572">
      <c r="A572" s="5" t="n"/>
      <c r="B572" s="5" t="n"/>
      <c r="C572" s="25" t="n"/>
      <c r="D572" s="9" t="n"/>
      <c r="E572" s="9" t="n"/>
      <c r="F572" s="7" t="str">
        <f>IF(OR(D572="",E572=""),"",(E572-D572)*1440)</f>
        <v/>
      </c>
      <c r="G572" s="6" t="n"/>
      <c r="H572" s="6" t="n"/>
      <c r="I572" t="str">
        <f>IF(C572="","",C572&amp;"|"&amp;G572)</f>
        <v/>
      </c>
    </row>
    <row r="573">
      <c r="A573" s="5" t="n"/>
      <c r="B573" s="5" t="n"/>
      <c r="C573" s="25" t="n"/>
      <c r="D573" s="9" t="n"/>
      <c r="E573" s="9" t="n"/>
      <c r="F573" s="7" t="str">
        <f>IF(OR(D573="",E573=""),"",(E573-D573)*1440)</f>
        <v/>
      </c>
      <c r="G573" s="6" t="n"/>
      <c r="H573" s="6" t="n"/>
      <c r="I573" t="str">
        <f>IF(C573="","",C573&amp;"|"&amp;G573)</f>
        <v/>
      </c>
    </row>
    <row r="574">
      <c r="A574" s="5" t="n"/>
      <c r="B574" s="5" t="n"/>
      <c r="C574" s="25" t="n"/>
      <c r="D574" s="9" t="n"/>
      <c r="E574" s="9" t="n"/>
      <c r="F574" s="7" t="str">
        <f>IF(OR(D574="",E574=""),"",(E574-D574)*1440)</f>
        <v/>
      </c>
      <c r="G574" s="6" t="n"/>
      <c r="H574" s="6" t="n"/>
      <c r="I574" t="str">
        <f>IF(C574="","",C574&amp;"|"&amp;G574)</f>
        <v/>
      </c>
    </row>
    <row r="575">
      <c r="A575" s="5" t="n"/>
      <c r="B575" s="5" t="n"/>
      <c r="C575" s="25" t="n"/>
      <c r="D575" s="9" t="n"/>
      <c r="E575" s="9" t="n"/>
      <c r="F575" s="7" t="str">
        <f>IF(OR(D575="",E575=""),"",(E575-D575)*1440)</f>
        <v/>
      </c>
      <c r="G575" s="6" t="n"/>
      <c r="H575" s="6" t="n"/>
      <c r="I575" t="str">
        <f>IF(C575="","",C575&amp;"|"&amp;G575)</f>
        <v/>
      </c>
    </row>
    <row r="576">
      <c r="A576" s="5" t="n"/>
      <c r="B576" s="5" t="n"/>
      <c r="C576" s="25" t="n"/>
      <c r="D576" s="9" t="n"/>
      <c r="E576" s="9" t="n"/>
      <c r="F576" s="7" t="str">
        <f>IF(OR(D576="",E576=""),"",(E576-D576)*1440)</f>
        <v/>
      </c>
      <c r="G576" s="6" t="n"/>
      <c r="H576" s="6" t="n"/>
      <c r="I576" t="str">
        <f>IF(C576="","",C576&amp;"|"&amp;G576)</f>
        <v/>
      </c>
    </row>
    <row r="577">
      <c r="A577" s="5" t="n"/>
      <c r="B577" s="5" t="n"/>
      <c r="C577" s="25" t="n"/>
      <c r="D577" s="9" t="n"/>
      <c r="E577" s="9" t="n"/>
      <c r="F577" s="7" t="str">
        <f>IF(OR(D577="",E577=""),"",(E577-D577)*1440)</f>
        <v/>
      </c>
      <c r="G577" s="6" t="n"/>
      <c r="H577" s="6" t="n"/>
      <c r="I577" t="str">
        <f>IF(C577="","",C577&amp;"|"&amp;G577)</f>
        <v/>
      </c>
    </row>
    <row r="578">
      <c r="A578" s="5" t="n"/>
      <c r="B578" s="5" t="n"/>
      <c r="C578" s="25" t="n"/>
      <c r="D578" s="9" t="n"/>
      <c r="E578" s="9" t="n"/>
      <c r="F578" s="7" t="str">
        <f>IF(OR(D578="",E578=""),"",(E578-D578)*1440)</f>
        <v/>
      </c>
      <c r="G578" s="6" t="n"/>
      <c r="H578" s="6" t="n"/>
      <c r="I578" t="str">
        <f>IF(C578="","",C578&amp;"|"&amp;G578)</f>
        <v/>
      </c>
    </row>
    <row r="579">
      <c r="A579" s="5" t="n"/>
      <c r="B579" s="5" t="n"/>
      <c r="C579" s="25" t="n"/>
      <c r="D579" s="9" t="n"/>
      <c r="E579" s="9" t="n"/>
      <c r="F579" s="7" t="str">
        <f>IF(OR(D579="",E579=""),"",(E579-D579)*1440)</f>
        <v/>
      </c>
      <c r="G579" s="6" t="n"/>
      <c r="H579" s="6" t="n"/>
      <c r="I579" t="str">
        <f>IF(C579="","",C579&amp;"|"&amp;G579)</f>
        <v/>
      </c>
    </row>
    <row r="580">
      <c r="A580" s="5" t="n"/>
      <c r="B580" s="5" t="n"/>
      <c r="C580" s="25" t="n"/>
      <c r="D580" s="9" t="n"/>
      <c r="E580" s="9" t="n"/>
      <c r="F580" s="7" t="str">
        <f>IF(OR(D580="",E580=""),"",(E580-D580)*1440)</f>
        <v/>
      </c>
      <c r="G580" s="6" t="n"/>
      <c r="H580" s="6" t="n"/>
      <c r="I580" t="str">
        <f>IF(C580="","",C580&amp;"|"&amp;G580)</f>
        <v/>
      </c>
    </row>
    <row r="581">
      <c r="A581" s="5" t="n"/>
      <c r="B581" s="5" t="n"/>
      <c r="C581" s="25" t="n"/>
      <c r="D581" s="9" t="n"/>
      <c r="E581" s="9" t="n"/>
      <c r="F581" s="7" t="str">
        <f>IF(OR(D581="",E581=""),"",(E581-D581)*1440)</f>
        <v/>
      </c>
      <c r="G581" s="6" t="n"/>
      <c r="H581" s="6" t="n"/>
      <c r="I581" t="str">
        <f>IF(C581="","",C581&amp;"|"&amp;G581)</f>
        <v/>
      </c>
    </row>
    <row r="582">
      <c r="A582" s="5" t="n"/>
      <c r="B582" s="5" t="n"/>
      <c r="C582" s="25" t="n"/>
      <c r="D582" s="9" t="n"/>
      <c r="E582" s="9" t="n"/>
      <c r="F582" s="7" t="str">
        <f>IF(OR(D582="",E582=""),"",(E582-D582)*1440)</f>
        <v/>
      </c>
      <c r="G582" s="6" t="n"/>
      <c r="H582" s="6" t="n"/>
      <c r="I582" t="str">
        <f>IF(C582="","",C582&amp;"|"&amp;G582)</f>
        <v/>
      </c>
    </row>
    <row r="583">
      <c r="A583" s="5" t="n"/>
      <c r="B583" s="5" t="n"/>
      <c r="C583" s="25" t="n"/>
      <c r="D583" s="9" t="n"/>
      <c r="E583" s="9" t="n"/>
      <c r="F583" s="7" t="str">
        <f>IF(OR(D583="",E583=""),"",(E583-D583)*1440)</f>
        <v/>
      </c>
      <c r="G583" s="6" t="n"/>
      <c r="H583" s="6" t="n"/>
      <c r="I583" t="str">
        <f>IF(C583="","",C583&amp;"|"&amp;G583)</f>
        <v/>
      </c>
    </row>
    <row r="584">
      <c r="A584" s="5" t="n"/>
      <c r="B584" s="5" t="n"/>
      <c r="C584" s="25" t="n"/>
      <c r="D584" s="9" t="n"/>
      <c r="E584" s="9" t="n"/>
      <c r="F584" s="7" t="str">
        <f>IF(OR(D584="",E584=""),"",(E584-D584)*1440)</f>
        <v/>
      </c>
      <c r="G584" s="6" t="n"/>
      <c r="H584" s="6" t="n"/>
      <c r="I584" t="str">
        <f>IF(C584="","",C584&amp;"|"&amp;G584)</f>
        <v/>
      </c>
    </row>
    <row r="585">
      <c r="A585" s="5" t="n"/>
      <c r="B585" s="5" t="n"/>
      <c r="C585" s="25" t="n"/>
      <c r="D585" s="9" t="n"/>
      <c r="E585" s="9" t="n"/>
      <c r="F585" s="7" t="str">
        <f>IF(OR(D585="",E585=""),"",(E585-D585)*1440)</f>
        <v/>
      </c>
      <c r="G585" s="6" t="n"/>
      <c r="H585" s="6" t="n"/>
      <c r="I585" t="str">
        <f>IF(C585="","",C585&amp;"|"&amp;G585)</f>
        <v/>
      </c>
    </row>
    <row r="586">
      <c r="A586" s="5" t="n"/>
      <c r="B586" s="5" t="n"/>
      <c r="C586" s="25" t="n"/>
      <c r="D586" s="9" t="n"/>
      <c r="E586" s="9" t="n"/>
      <c r="F586" s="7" t="str">
        <f>IF(OR(D586="",E586=""),"",(E586-D586)*1440)</f>
        <v/>
      </c>
      <c r="G586" s="6" t="n"/>
      <c r="H586" s="6" t="n"/>
      <c r="I586" t="str">
        <f>IF(C586="","",C586&amp;"|"&amp;G586)</f>
        <v/>
      </c>
    </row>
    <row r="587">
      <c r="A587" s="5" t="n"/>
      <c r="B587" s="5" t="n"/>
      <c r="C587" s="25" t="n"/>
      <c r="D587" s="9" t="n"/>
      <c r="E587" s="9" t="n"/>
      <c r="F587" s="7" t="str">
        <f>IF(OR(D587="",E587=""),"",(E587-D587)*1440)</f>
        <v/>
      </c>
      <c r="G587" s="6" t="n"/>
      <c r="H587" s="6" t="n"/>
      <c r="I587" t="str">
        <f>IF(C587="","",C587&amp;"|"&amp;G587)</f>
        <v/>
      </c>
    </row>
    <row r="588">
      <c r="A588" s="5" t="n"/>
      <c r="B588" s="5" t="n"/>
      <c r="C588" s="25" t="n"/>
      <c r="D588" s="9" t="n"/>
      <c r="E588" s="9" t="n"/>
      <c r="F588" s="7" t="str">
        <f>IF(OR(D588="",E588=""),"",(E588-D588)*1440)</f>
        <v/>
      </c>
      <c r="G588" s="6" t="n"/>
      <c r="H588" s="6" t="n"/>
      <c r="I588" t="str">
        <f>IF(C588="","",C588&amp;"|"&amp;G588)</f>
        <v/>
      </c>
    </row>
    <row r="589">
      <c r="A589" s="5" t="n"/>
      <c r="B589" s="5" t="n"/>
      <c r="C589" s="25" t="n"/>
      <c r="D589" s="9" t="n"/>
      <c r="E589" s="9" t="n"/>
      <c r="F589" s="7" t="str">
        <f>IF(OR(D589="",E589=""),"",(E589-D589)*1440)</f>
        <v/>
      </c>
      <c r="G589" s="6" t="n"/>
      <c r="H589" s="6" t="n"/>
      <c r="I589" t="str">
        <f>IF(C589="","",C589&amp;"|"&amp;G589)</f>
        <v/>
      </c>
    </row>
    <row r="590">
      <c r="A590" s="5" t="n"/>
      <c r="B590" s="5" t="n"/>
      <c r="C590" s="25" t="n"/>
      <c r="D590" s="9" t="n"/>
      <c r="E590" s="9" t="n"/>
      <c r="F590" s="7" t="str">
        <f>IF(OR(D590="",E590=""),"",(E590-D590)*1440)</f>
        <v/>
      </c>
      <c r="G590" s="6" t="n"/>
      <c r="H590" s="6" t="n"/>
      <c r="I590" t="str">
        <f>IF(C590="","",C590&amp;"|"&amp;G590)</f>
        <v/>
      </c>
    </row>
    <row r="591">
      <c r="A591" s="5" t="n"/>
      <c r="B591" s="5" t="n"/>
      <c r="C591" s="25" t="n"/>
      <c r="D591" s="9" t="n"/>
      <c r="E591" s="9" t="n"/>
      <c r="F591" s="7" t="str">
        <f>IF(OR(D591="",E591=""),"",(E591-D591)*1440)</f>
        <v/>
      </c>
      <c r="G591" s="6" t="n"/>
      <c r="H591" s="6" t="n"/>
      <c r="I591" t="str">
        <f>IF(C591="","",C591&amp;"|"&amp;G591)</f>
        <v/>
      </c>
    </row>
    <row r="592">
      <c r="A592" s="5" t="n"/>
      <c r="B592" s="5" t="n"/>
      <c r="C592" s="25" t="n"/>
      <c r="D592" s="9" t="n"/>
      <c r="E592" s="9" t="n"/>
      <c r="F592" s="7" t="str">
        <f>IF(OR(D592="",E592=""),"",(E592-D592)*1440)</f>
        <v/>
      </c>
      <c r="G592" s="6" t="n"/>
      <c r="H592" s="6" t="n"/>
      <c r="I592" t="str">
        <f>IF(C592="","",C592&amp;"|"&amp;G592)</f>
        <v/>
      </c>
    </row>
    <row r="593">
      <c r="A593" s="5" t="n"/>
      <c r="B593" s="5" t="n"/>
      <c r="C593" s="25" t="n"/>
      <c r="D593" s="9" t="n"/>
      <c r="E593" s="9" t="n"/>
      <c r="F593" s="7" t="str">
        <f>IF(OR(D593="",E593=""),"",(E593-D593)*1440)</f>
        <v/>
      </c>
      <c r="G593" s="6" t="n"/>
      <c r="H593" s="6" t="n"/>
      <c r="I593" t="str">
        <f>IF(C593="","",C593&amp;"|"&amp;G593)</f>
        <v/>
      </c>
    </row>
    <row r="594">
      <c r="A594" s="5" t="n"/>
      <c r="B594" s="5" t="n"/>
      <c r="C594" s="25" t="n"/>
      <c r="D594" s="9" t="n"/>
      <c r="E594" s="9" t="n"/>
      <c r="F594" s="7" t="str">
        <f>IF(OR(D594="",E594=""),"",(E594-D594)*1440)</f>
        <v/>
      </c>
      <c r="G594" s="6" t="n"/>
      <c r="H594" s="6" t="n"/>
      <c r="I594" t="str">
        <f>IF(C594="","",C594&amp;"|"&amp;G594)</f>
        <v/>
      </c>
    </row>
    <row r="595">
      <c r="A595" s="5" t="n"/>
      <c r="B595" s="5" t="n"/>
      <c r="C595" s="25" t="n"/>
      <c r="D595" s="9" t="n"/>
      <c r="E595" s="9" t="n"/>
      <c r="F595" s="7" t="str">
        <f>IF(OR(D595="",E595=""),"",(E595-D595)*1440)</f>
        <v/>
      </c>
      <c r="G595" s="6" t="n"/>
      <c r="H595" s="6" t="n"/>
      <c r="I595" t="str">
        <f>IF(C595="","",C595&amp;"|"&amp;G595)</f>
        <v/>
      </c>
    </row>
    <row r="596">
      <c r="A596" s="5" t="n"/>
      <c r="B596" s="5" t="n"/>
      <c r="C596" s="25" t="n"/>
      <c r="D596" s="9" t="n"/>
      <c r="E596" s="9" t="n"/>
      <c r="F596" s="7" t="str">
        <f>IF(OR(D596="",E596=""),"",(E596-D596)*1440)</f>
        <v/>
      </c>
      <c r="G596" s="6" t="n"/>
      <c r="H596" s="6" t="n"/>
      <c r="I596" t="str">
        <f>IF(C596="","",C596&amp;"|"&amp;G596)</f>
        <v/>
      </c>
    </row>
    <row r="597">
      <c r="A597" s="5" t="n"/>
      <c r="B597" s="5" t="n"/>
      <c r="C597" s="25" t="n"/>
      <c r="D597" s="9" t="n"/>
      <c r="E597" s="9" t="n"/>
      <c r="F597" s="7" t="str">
        <f>IF(OR(D597="",E597=""),"",(E597-D597)*1440)</f>
        <v/>
      </c>
      <c r="G597" s="6" t="n"/>
      <c r="H597" s="6" t="n"/>
      <c r="I597" t="str">
        <f>IF(C597="","",C597&amp;"|"&amp;G597)</f>
        <v/>
      </c>
    </row>
    <row r="598">
      <c r="A598" s="5" t="n"/>
      <c r="B598" s="5" t="n"/>
      <c r="C598" s="25" t="n"/>
      <c r="D598" s="9" t="n"/>
      <c r="E598" s="9" t="n"/>
      <c r="F598" s="7" t="str">
        <f>IF(OR(D598="",E598=""),"",(E598-D598)*1440)</f>
        <v/>
      </c>
      <c r="G598" s="6" t="n"/>
      <c r="H598" s="6" t="n"/>
      <c r="I598" t="str">
        <f>IF(C598="","",C598&amp;"|"&amp;G598)</f>
        <v/>
      </c>
    </row>
    <row r="599">
      <c r="A599" s="5" t="n"/>
      <c r="B599" s="5" t="n"/>
      <c r="C599" s="25" t="n"/>
      <c r="D599" s="9" t="n"/>
      <c r="E599" s="9" t="n"/>
      <c r="F599" s="7" t="str">
        <f>IF(OR(D599="",E599=""),"",(E599-D599)*1440)</f>
        <v/>
      </c>
      <c r="G599" s="6" t="n"/>
      <c r="H599" s="6" t="n"/>
      <c r="I599" t="str">
        <f>IF(C599="","",C599&amp;"|"&amp;G599)</f>
        <v/>
      </c>
    </row>
    <row r="600">
      <c r="A600" s="5" t="n"/>
      <c r="B600" s="5" t="n"/>
      <c r="C600" s="25" t="n"/>
      <c r="D600" s="9" t="n"/>
      <c r="E600" s="9" t="n"/>
      <c r="F600" s="7" t="str">
        <f>IF(OR(D600="",E600=""),"",(E600-D600)*1440)</f>
        <v/>
      </c>
      <c r="G600" s="6" t="n"/>
      <c r="H600" s="6" t="n"/>
      <c r="I600" t="str">
        <f>IF(C600="","",C600&amp;"|"&amp;G600)</f>
        <v/>
      </c>
    </row>
    <row r="601">
      <c r="A601" s="5" t="n"/>
      <c r="B601" s="5" t="n"/>
      <c r="C601" s="25" t="n"/>
      <c r="D601" s="9" t="n"/>
      <c r="E601" s="9" t="n"/>
      <c r="F601" s="7" t="str">
        <f>IF(OR(D601="",E601=""),"",(E601-D601)*1440)</f>
        <v/>
      </c>
      <c r="G601" s="6" t="n"/>
      <c r="H601" s="6" t="n"/>
      <c r="I601" t="str">
        <f>IF(C601="","",C601&amp;"|"&amp;G601)</f>
        <v/>
      </c>
    </row>
    <row r="602">
      <c r="A602" s="5" t="n"/>
      <c r="B602" s="5" t="n"/>
      <c r="C602" s="25" t="n"/>
      <c r="D602" s="9" t="n"/>
      <c r="E602" s="9" t="n"/>
      <c r="F602" s="7" t="str">
        <f>IF(OR(D602="",E602=""),"",(E602-D602)*1440)</f>
        <v/>
      </c>
      <c r="G602" s="6" t="n"/>
      <c r="H602" s="6" t="n"/>
      <c r="I602" t="str">
        <f>IF(C602="","",C602&amp;"|"&amp;G602)</f>
        <v/>
      </c>
    </row>
    <row r="603">
      <c r="A603" s="5" t="n"/>
      <c r="B603" s="5" t="n"/>
      <c r="C603" s="25" t="n"/>
      <c r="D603" s="9" t="n"/>
      <c r="E603" s="9" t="n"/>
      <c r="F603" s="7" t="str">
        <f>IF(OR(D603="",E603=""),"",(E603-D603)*1440)</f>
        <v/>
      </c>
      <c r="G603" s="6" t="n"/>
      <c r="H603" s="6" t="n"/>
      <c r="I603" t="str">
        <f>IF(C603="","",C603&amp;"|"&amp;G603)</f>
        <v/>
      </c>
    </row>
    <row r="604">
      <c r="A604" s="5" t="n"/>
      <c r="B604" s="5" t="n"/>
      <c r="C604" s="25" t="n"/>
      <c r="D604" s="9" t="n"/>
      <c r="E604" s="9" t="n"/>
      <c r="F604" s="7" t="str">
        <f>IF(OR(D604="",E604=""),"",(E604-D604)*1440)</f>
        <v/>
      </c>
      <c r="G604" s="6" t="n"/>
      <c r="H604" s="6" t="n"/>
      <c r="I604" t="str">
        <f>IF(C604="","",C604&amp;"|"&amp;G604)</f>
        <v/>
      </c>
    </row>
    <row r="605">
      <c r="A605" s="5" t="n"/>
      <c r="B605" s="5" t="n"/>
      <c r="C605" s="25" t="n"/>
      <c r="D605" s="9" t="n"/>
      <c r="E605" s="9" t="n"/>
      <c r="F605" s="7" t="str">
        <f>IF(OR(D605="",E605=""),"",(E605-D605)*1440)</f>
        <v/>
      </c>
      <c r="G605" s="6" t="n"/>
      <c r="H605" s="6" t="n"/>
      <c r="I605" t="str">
        <f>IF(C605="","",C605&amp;"|"&amp;G605)</f>
        <v/>
      </c>
    </row>
    <row r="606">
      <c r="A606" s="5" t="n"/>
      <c r="B606" s="5" t="n"/>
      <c r="C606" s="25" t="n"/>
      <c r="D606" s="9" t="n"/>
      <c r="E606" s="9" t="n"/>
      <c r="F606" s="7" t="str">
        <f>IF(OR(D606="",E606=""),"",(E606-D606)*1440)</f>
        <v/>
      </c>
      <c r="G606" s="6" t="n"/>
      <c r="H606" s="6" t="n"/>
      <c r="I606" t="str">
        <f>IF(C606="","",C606&amp;"|"&amp;G606)</f>
        <v/>
      </c>
    </row>
    <row r="607">
      <c r="A607" s="5" t="n"/>
      <c r="B607" s="5" t="n"/>
      <c r="C607" s="25" t="n"/>
      <c r="D607" s="9" t="n"/>
      <c r="E607" s="9" t="n"/>
      <c r="F607" s="7" t="str">
        <f>IF(OR(D607="",E607=""),"",(E607-D607)*1440)</f>
        <v/>
      </c>
      <c r="G607" s="6" t="n"/>
      <c r="H607" s="6" t="n"/>
      <c r="I607" t="str">
        <f>IF(C607="","",C607&amp;"|"&amp;G607)</f>
        <v/>
      </c>
    </row>
    <row r="608">
      <c r="A608" s="5" t="n"/>
      <c r="B608" s="5" t="n"/>
      <c r="C608" s="25" t="n"/>
      <c r="D608" s="9" t="n"/>
      <c r="E608" s="9" t="n"/>
      <c r="F608" s="7" t="str">
        <f>IF(OR(D608="",E608=""),"",(E608-D608)*1440)</f>
        <v/>
      </c>
      <c r="G608" s="6" t="n"/>
      <c r="H608" s="6" t="n"/>
      <c r="I608" t="str">
        <f>IF(C608="","",C608&amp;"|"&amp;G608)</f>
        <v/>
      </c>
    </row>
    <row r="609">
      <c r="A609" s="5" t="n"/>
      <c r="B609" s="5" t="n"/>
      <c r="C609" s="25" t="n"/>
      <c r="D609" s="9" t="n"/>
      <c r="E609" s="9" t="n"/>
      <c r="F609" s="7" t="str">
        <f>IF(OR(D609="",E609=""),"",(E609-D609)*1440)</f>
        <v/>
      </c>
      <c r="G609" s="6" t="n"/>
      <c r="H609" s="6" t="n"/>
      <c r="I609" t="str">
        <f>IF(C609="","",C609&amp;"|"&amp;G609)</f>
        <v/>
      </c>
    </row>
    <row r="610">
      <c r="A610" s="5" t="n"/>
      <c r="B610" s="5" t="n"/>
      <c r="C610" s="25" t="n"/>
      <c r="D610" s="9" t="n"/>
      <c r="E610" s="9" t="n"/>
      <c r="F610" s="7" t="str">
        <f>IF(OR(D610="",E610=""),"",(E610-D610)*1440)</f>
        <v/>
      </c>
      <c r="G610" s="6" t="n"/>
      <c r="H610" s="6" t="n"/>
      <c r="I610" t="str">
        <f>IF(C610="","",C610&amp;"|"&amp;G610)</f>
        <v/>
      </c>
    </row>
    <row r="611">
      <c r="A611" s="5" t="n"/>
      <c r="B611" s="5" t="n"/>
      <c r="C611" s="25" t="n"/>
      <c r="D611" s="9" t="n"/>
      <c r="E611" s="9" t="n"/>
      <c r="F611" s="7" t="str">
        <f>IF(OR(D611="",E611=""),"",(E611-D611)*1440)</f>
        <v/>
      </c>
      <c r="G611" s="6" t="n"/>
      <c r="H611" s="6" t="n"/>
      <c r="I611" t="str">
        <f>IF(C611="","",C611&amp;"|"&amp;G611)</f>
        <v/>
      </c>
    </row>
    <row r="612">
      <c r="A612" s="5" t="n"/>
      <c r="B612" s="5" t="n"/>
      <c r="C612" s="25" t="n"/>
      <c r="D612" s="9" t="n"/>
      <c r="E612" s="9" t="n"/>
      <c r="F612" s="7" t="str">
        <f>IF(OR(D612="",E612=""),"",(E612-D612)*1440)</f>
        <v/>
      </c>
      <c r="G612" s="6" t="n"/>
      <c r="H612" s="6" t="n"/>
      <c r="I612" t="str">
        <f>IF(C612="","",C612&amp;"|"&amp;G612)</f>
        <v/>
      </c>
    </row>
    <row r="613">
      <c r="A613" s="5" t="n"/>
      <c r="B613" s="5" t="n"/>
      <c r="C613" s="25" t="n"/>
      <c r="D613" s="9" t="n"/>
      <c r="E613" s="9" t="n"/>
      <c r="F613" s="7" t="str">
        <f>IF(OR(D613="",E613=""),"",(E613-D613)*1440)</f>
        <v/>
      </c>
      <c r="G613" s="6" t="n"/>
      <c r="H613" s="6" t="n"/>
      <c r="I613" t="str">
        <f>IF(C613="","",C613&amp;"|"&amp;G613)</f>
        <v/>
      </c>
    </row>
    <row r="614">
      <c r="A614" s="5" t="n"/>
      <c r="B614" s="5" t="n"/>
      <c r="C614" s="25" t="n"/>
      <c r="D614" s="9" t="n"/>
      <c r="E614" s="9" t="n"/>
      <c r="F614" s="7" t="str">
        <f>IF(OR(D614="",E614=""),"",(E614-D614)*1440)</f>
        <v/>
      </c>
      <c r="G614" s="6" t="n"/>
      <c r="H614" s="6" t="n"/>
      <c r="I614" t="str">
        <f>IF(C614="","",C614&amp;"|"&amp;G614)</f>
        <v/>
      </c>
    </row>
    <row r="615">
      <c r="A615" s="5" t="n"/>
      <c r="B615" s="5" t="n"/>
      <c r="C615" s="25" t="n"/>
      <c r="D615" s="9" t="n"/>
      <c r="E615" s="9" t="n"/>
      <c r="F615" s="7" t="str">
        <f>IF(OR(D615="",E615=""),"",(E615-D615)*1440)</f>
        <v/>
      </c>
      <c r="G615" s="6" t="n"/>
      <c r="H615" s="6" t="n"/>
      <c r="I615" t="str">
        <f>IF(C615="","",C615&amp;"|"&amp;G615)</f>
        <v/>
      </c>
    </row>
    <row r="616">
      <c r="A616" s="5" t="n"/>
      <c r="B616" s="5" t="n"/>
      <c r="C616" s="25" t="n"/>
      <c r="D616" s="9" t="n"/>
      <c r="E616" s="9" t="n"/>
      <c r="F616" s="7" t="str">
        <f>IF(OR(D616="",E616=""),"",(E616-D616)*1440)</f>
        <v/>
      </c>
      <c r="G616" s="6" t="n"/>
      <c r="H616" s="6" t="n"/>
      <c r="I616" t="str">
        <f>IF(C616="","",C616&amp;"|"&amp;G616)</f>
        <v/>
      </c>
    </row>
    <row r="617">
      <c r="A617" s="5" t="n"/>
      <c r="B617" s="5" t="n"/>
      <c r="C617" s="25" t="n"/>
      <c r="D617" s="9" t="n"/>
      <c r="E617" s="9" t="n"/>
      <c r="F617" s="7" t="str">
        <f>IF(OR(D617="",E617=""),"",(E617-D617)*1440)</f>
        <v/>
      </c>
      <c r="G617" s="6" t="n"/>
      <c r="H617" s="6" t="n"/>
      <c r="I617" t="str">
        <f>IF(C617="","",C617&amp;"|"&amp;G617)</f>
        <v/>
      </c>
    </row>
    <row r="618">
      <c r="A618" s="5" t="n"/>
      <c r="B618" s="5" t="n"/>
      <c r="C618" s="25" t="n"/>
      <c r="D618" s="9" t="n"/>
      <c r="E618" s="9" t="n"/>
      <c r="F618" s="7" t="str">
        <f>IF(OR(D618="",E618=""),"",(E618-D618)*1440)</f>
        <v/>
      </c>
      <c r="G618" s="6" t="n"/>
      <c r="H618" s="6" t="n"/>
      <c r="I618" t="str">
        <f>IF(C618="","",C618&amp;"|"&amp;G618)</f>
        <v/>
      </c>
    </row>
    <row r="619">
      <c r="A619" s="5" t="n"/>
      <c r="B619" s="5" t="n"/>
      <c r="C619" s="25" t="n"/>
      <c r="D619" s="9" t="n"/>
      <c r="E619" s="9" t="n"/>
      <c r="F619" s="7" t="str">
        <f>IF(OR(D619="",E619=""),"",(E619-D619)*1440)</f>
        <v/>
      </c>
      <c r="G619" s="6" t="n"/>
      <c r="H619" s="6" t="n"/>
      <c r="I619" t="str">
        <f>IF(C619="","",C619&amp;"|"&amp;G619)</f>
        <v/>
      </c>
    </row>
    <row r="620">
      <c r="A620" s="5" t="n"/>
      <c r="B620" s="5" t="n"/>
      <c r="C620" s="25" t="n"/>
      <c r="D620" s="9" t="n"/>
      <c r="E620" s="9" t="n"/>
      <c r="F620" s="7" t="str">
        <f>IF(OR(D620="",E620=""),"",(E620-D620)*1440)</f>
        <v/>
      </c>
      <c r="G620" s="6" t="n"/>
      <c r="H620" s="6" t="n"/>
      <c r="I620" t="str">
        <f>IF(C620="","",C620&amp;"|"&amp;G620)</f>
        <v/>
      </c>
    </row>
    <row r="621">
      <c r="A621" s="5" t="n"/>
      <c r="B621" s="5" t="n"/>
      <c r="C621" s="25" t="n"/>
      <c r="D621" s="9" t="n"/>
      <c r="E621" s="9" t="n"/>
      <c r="F621" s="7" t="str">
        <f>IF(OR(D621="",E621=""),"",(E621-D621)*1440)</f>
        <v/>
      </c>
      <c r="G621" s="6" t="n"/>
      <c r="H621" s="6" t="n"/>
      <c r="I621" t="str">
        <f>IF(C621="","",C621&amp;"|"&amp;G621)</f>
        <v/>
      </c>
    </row>
    <row r="622">
      <c r="A622" s="5" t="n"/>
      <c r="B622" s="5" t="n"/>
      <c r="C622" s="25" t="n"/>
      <c r="D622" s="9" t="n"/>
      <c r="E622" s="9" t="n"/>
      <c r="F622" s="7" t="str">
        <f>IF(OR(D622="",E622=""),"",(E622-D622)*1440)</f>
        <v/>
      </c>
      <c r="G622" s="6" t="n"/>
      <c r="H622" s="6" t="n"/>
      <c r="I622" t="str">
        <f>IF(C622="","",C622&amp;"|"&amp;G622)</f>
        <v/>
      </c>
    </row>
    <row r="623">
      <c r="A623" s="5" t="n"/>
      <c r="B623" s="5" t="n"/>
      <c r="C623" s="25" t="n"/>
      <c r="D623" s="9" t="n"/>
      <c r="E623" s="9" t="n"/>
      <c r="F623" s="7" t="str">
        <f>IF(OR(D623="",E623=""),"",(E623-D623)*1440)</f>
        <v/>
      </c>
      <c r="G623" s="6" t="n"/>
      <c r="H623" s="6" t="n"/>
      <c r="I623" t="str">
        <f>IF(C623="","",C623&amp;"|"&amp;G623)</f>
        <v/>
      </c>
    </row>
    <row r="624">
      <c r="A624" s="5" t="n"/>
      <c r="B624" s="5" t="n"/>
      <c r="C624" s="25" t="n"/>
      <c r="D624" s="9" t="n"/>
      <c r="E624" s="9" t="n"/>
      <c r="F624" s="7" t="str">
        <f>IF(OR(D624="",E624=""),"",(E624-D624)*1440)</f>
        <v/>
      </c>
      <c r="G624" s="6" t="n"/>
      <c r="H624" s="6" t="n"/>
      <c r="I624" t="str">
        <f>IF(C624="","",C624&amp;"|"&amp;G624)</f>
        <v/>
      </c>
    </row>
    <row r="625">
      <c r="A625" s="5" t="n"/>
      <c r="B625" s="5" t="n"/>
      <c r="C625" s="25" t="n"/>
      <c r="D625" s="9" t="n"/>
      <c r="E625" s="9" t="n"/>
      <c r="F625" s="7" t="str">
        <f>IF(OR(D625="",E625=""),"",(E625-D625)*1440)</f>
        <v/>
      </c>
      <c r="G625" s="6" t="n"/>
      <c r="H625" s="6" t="n"/>
      <c r="I625" t="str">
        <f>IF(C625="","",C625&amp;"|"&amp;G625)</f>
        <v/>
      </c>
    </row>
    <row r="626">
      <c r="A626" s="5" t="n"/>
      <c r="B626" s="5" t="n"/>
      <c r="C626" s="25" t="n"/>
      <c r="D626" s="9" t="n"/>
      <c r="E626" s="9" t="n"/>
      <c r="F626" s="7" t="str">
        <f>IF(OR(D626="",E626=""),"",(E626-D626)*1440)</f>
        <v/>
      </c>
      <c r="G626" s="6" t="n"/>
      <c r="H626" s="6" t="n"/>
      <c r="I626" t="str">
        <f>IF(C626="","",C626&amp;"|"&amp;G626)</f>
        <v/>
      </c>
    </row>
    <row r="627">
      <c r="A627" s="5" t="n"/>
      <c r="B627" s="5" t="n"/>
      <c r="C627" s="25" t="n"/>
      <c r="D627" s="9" t="n"/>
      <c r="E627" s="9" t="n"/>
      <c r="F627" s="7" t="str">
        <f>IF(OR(D627="",E627=""),"",(E627-D627)*1440)</f>
        <v/>
      </c>
      <c r="G627" s="6" t="n"/>
      <c r="H627" s="6" t="n"/>
      <c r="I627" t="str">
        <f>IF(C627="","",C627&amp;"|"&amp;G627)</f>
        <v/>
      </c>
    </row>
    <row r="628">
      <c r="A628" s="5" t="n"/>
      <c r="B628" s="5" t="n"/>
      <c r="C628" s="25" t="n"/>
      <c r="D628" s="9" t="n"/>
      <c r="E628" s="9" t="n"/>
      <c r="F628" s="7" t="str">
        <f>IF(OR(D628="",E628=""),"",(E628-D628)*1440)</f>
        <v/>
      </c>
      <c r="G628" s="6" t="n"/>
      <c r="H628" s="6" t="n"/>
      <c r="I628" t="str">
        <f>IF(C628="","",C628&amp;"|"&amp;G628)</f>
        <v/>
      </c>
    </row>
    <row r="629">
      <c r="A629" s="5" t="n"/>
      <c r="B629" s="5" t="n"/>
      <c r="C629" s="25" t="n"/>
      <c r="D629" s="9" t="n"/>
      <c r="E629" s="9" t="n"/>
      <c r="F629" s="7" t="str">
        <f>IF(OR(D629="",E629=""),"",(E629-D629)*1440)</f>
        <v/>
      </c>
      <c r="G629" s="6" t="n"/>
      <c r="H629" s="6" t="n"/>
      <c r="I629" t="str">
        <f>IF(C629="","",C629&amp;"|"&amp;G629)</f>
        <v/>
      </c>
    </row>
    <row r="630">
      <c r="A630" s="5" t="n"/>
      <c r="B630" s="5" t="n"/>
      <c r="C630" s="25" t="n"/>
      <c r="D630" s="9" t="n"/>
      <c r="E630" s="9" t="n"/>
      <c r="F630" s="7" t="str">
        <f>IF(OR(D630="",E630=""),"",(E630-D630)*1440)</f>
        <v/>
      </c>
      <c r="G630" s="6" t="n"/>
      <c r="H630" s="6" t="n"/>
      <c r="I630" t="str">
        <f>IF(C630="","",C630&amp;"|"&amp;G630)</f>
        <v/>
      </c>
    </row>
    <row r="631">
      <c r="A631" s="5" t="n"/>
      <c r="B631" s="5" t="n"/>
      <c r="C631" s="25" t="n"/>
      <c r="D631" s="9" t="n"/>
      <c r="E631" s="9" t="n"/>
      <c r="F631" s="7" t="str">
        <f>IF(OR(D631="",E631=""),"",(E631-D631)*1440)</f>
        <v/>
      </c>
      <c r="G631" s="6" t="n"/>
      <c r="H631" s="6" t="n"/>
      <c r="I631" t="str">
        <f>IF(C631="","",C631&amp;"|"&amp;G631)</f>
        <v/>
      </c>
    </row>
    <row r="632">
      <c r="A632" s="5" t="n"/>
      <c r="B632" s="5" t="n"/>
      <c r="C632" s="25" t="n"/>
      <c r="D632" s="9" t="n"/>
      <c r="E632" s="9" t="n"/>
      <c r="F632" s="7" t="str">
        <f>IF(OR(D632="",E632=""),"",(E632-D632)*1440)</f>
        <v/>
      </c>
      <c r="G632" s="6" t="n"/>
      <c r="H632" s="6" t="n"/>
      <c r="I632" t="str">
        <f>IF(C632="","",C632&amp;"|"&amp;G632)</f>
        <v/>
      </c>
    </row>
    <row r="633">
      <c r="A633" s="5" t="n"/>
      <c r="B633" s="5" t="n"/>
      <c r="C633" s="25" t="n"/>
      <c r="D633" s="9" t="n"/>
      <c r="E633" s="9" t="n"/>
      <c r="F633" s="7" t="str">
        <f>IF(OR(D633="",E633=""),"",(E633-D633)*1440)</f>
        <v/>
      </c>
      <c r="G633" s="6" t="n"/>
      <c r="H633" s="6" t="n"/>
      <c r="I633" t="str">
        <f>IF(C633="","",C633&amp;"|"&amp;G633)</f>
        <v/>
      </c>
    </row>
    <row r="634">
      <c r="A634" s="5" t="n"/>
      <c r="B634" s="5" t="n"/>
      <c r="C634" s="25" t="n"/>
      <c r="D634" s="9" t="n"/>
      <c r="E634" s="9" t="n"/>
      <c r="F634" s="7" t="str">
        <f>IF(OR(D634="",E634=""),"",(E634-D634)*1440)</f>
        <v/>
      </c>
      <c r="G634" s="6" t="n"/>
      <c r="H634" s="6" t="n"/>
      <c r="I634" t="str">
        <f>IF(C634="","",C634&amp;"|"&amp;G634)</f>
        <v/>
      </c>
    </row>
    <row r="635">
      <c r="A635" s="5" t="n"/>
      <c r="B635" s="5" t="n"/>
      <c r="C635" s="25" t="n"/>
      <c r="D635" s="9" t="n"/>
      <c r="E635" s="9" t="n"/>
      <c r="F635" s="7" t="str">
        <f>IF(OR(D635="",E635=""),"",(E635-D635)*1440)</f>
        <v/>
      </c>
      <c r="G635" s="6" t="n"/>
      <c r="H635" s="6" t="n"/>
      <c r="I635" t="str">
        <f>IF(C635="","",C635&amp;"|"&amp;G635)</f>
        <v/>
      </c>
    </row>
    <row r="636">
      <c r="A636" s="5" t="n"/>
      <c r="B636" s="5" t="n"/>
      <c r="C636" s="25" t="n"/>
      <c r="D636" s="9" t="n"/>
      <c r="E636" s="9" t="n"/>
      <c r="F636" s="7" t="str">
        <f>IF(OR(D636="",E636=""),"",(E636-D636)*1440)</f>
        <v/>
      </c>
      <c r="G636" s="6" t="n"/>
      <c r="H636" s="6" t="n"/>
      <c r="I636" t="str">
        <f>IF(C636="","",C636&amp;"|"&amp;G636)</f>
        <v/>
      </c>
    </row>
    <row r="637">
      <c r="A637" s="5" t="n"/>
      <c r="B637" s="5" t="n"/>
      <c r="C637" s="25" t="n"/>
      <c r="D637" s="9" t="n"/>
      <c r="E637" s="9" t="n"/>
      <c r="F637" s="7" t="str">
        <f>IF(OR(D637="",E637=""),"",(E637-D637)*1440)</f>
        <v/>
      </c>
      <c r="G637" s="6" t="n"/>
      <c r="H637" s="6" t="n"/>
      <c r="I637" t="str">
        <f>IF(C637="","",C637&amp;"|"&amp;G637)</f>
        <v/>
      </c>
    </row>
    <row r="638">
      <c r="A638" s="5" t="n"/>
      <c r="B638" s="5" t="n"/>
      <c r="C638" s="25" t="n"/>
      <c r="D638" s="9" t="n"/>
      <c r="E638" s="9" t="n"/>
      <c r="F638" s="7" t="str">
        <f>IF(OR(D638="",E638=""),"",(E638-D638)*1440)</f>
        <v/>
      </c>
      <c r="G638" s="6" t="n"/>
      <c r="H638" s="6" t="n"/>
      <c r="I638" t="str">
        <f>IF(C638="","",C638&amp;"|"&amp;G638)</f>
        <v/>
      </c>
    </row>
    <row r="639">
      <c r="A639" s="5" t="n"/>
      <c r="B639" s="5" t="n"/>
      <c r="C639" s="25" t="n"/>
      <c r="D639" s="9" t="n"/>
      <c r="E639" s="9" t="n"/>
      <c r="F639" s="7" t="str">
        <f>IF(OR(D639="",E639=""),"",(E639-D639)*1440)</f>
        <v/>
      </c>
      <c r="G639" s="6" t="n"/>
      <c r="H639" s="6" t="n"/>
      <c r="I639" t="str">
        <f>IF(C639="","",C639&amp;"|"&amp;G639)</f>
        <v/>
      </c>
    </row>
    <row r="640">
      <c r="A640" s="5" t="n"/>
      <c r="B640" s="5" t="n"/>
      <c r="C640" s="25" t="n"/>
      <c r="D640" s="9" t="n"/>
      <c r="E640" s="9" t="n"/>
      <c r="F640" s="7" t="str">
        <f>IF(OR(D640="",E640=""),"",(E640-D640)*1440)</f>
        <v/>
      </c>
      <c r="G640" s="6" t="n"/>
      <c r="H640" s="6" t="n"/>
      <c r="I640" t="str">
        <f>IF(C640="","",C640&amp;"|"&amp;G640)</f>
        <v/>
      </c>
    </row>
    <row r="641">
      <c r="A641" s="5" t="n"/>
      <c r="B641" s="5" t="n"/>
      <c r="C641" s="25" t="n"/>
      <c r="D641" s="9" t="n"/>
      <c r="E641" s="9" t="n"/>
      <c r="F641" s="7" t="str">
        <f>IF(OR(D641="",E641=""),"",(E641-D641)*1440)</f>
        <v/>
      </c>
      <c r="G641" s="6" t="n"/>
      <c r="H641" s="6" t="n"/>
      <c r="I641" t="str">
        <f>IF(C641="","",C641&amp;"|"&amp;G641)</f>
        <v/>
      </c>
    </row>
    <row r="642">
      <c r="A642" s="5" t="n"/>
      <c r="B642" s="5" t="n"/>
      <c r="C642" s="25" t="n"/>
      <c r="D642" s="9" t="n"/>
      <c r="E642" s="9" t="n"/>
      <c r="F642" s="7" t="str">
        <f>IF(OR(D642="",E642=""),"",(E642-D642)*1440)</f>
        <v/>
      </c>
      <c r="G642" s="6" t="n"/>
      <c r="H642" s="6" t="n"/>
      <c r="I642" t="str">
        <f>IF(C642="","",C642&amp;"|"&amp;G642)</f>
        <v/>
      </c>
    </row>
    <row r="643">
      <c r="A643" s="5" t="n"/>
      <c r="B643" s="5" t="n"/>
      <c r="C643" s="25" t="n"/>
      <c r="D643" s="9" t="n"/>
      <c r="E643" s="9" t="n"/>
      <c r="F643" s="7" t="str">
        <f>IF(OR(D643="",E643=""),"",(E643-D643)*1440)</f>
        <v/>
      </c>
      <c r="G643" s="6" t="n"/>
      <c r="H643" s="6" t="n"/>
      <c r="I643" t="str">
        <f>IF(C643="","",C643&amp;"|"&amp;G643)</f>
        <v/>
      </c>
    </row>
    <row r="644">
      <c r="A644" s="5" t="n"/>
      <c r="B644" s="5" t="n"/>
      <c r="C644" s="25" t="n"/>
      <c r="D644" s="9" t="n"/>
      <c r="E644" s="9" t="n"/>
      <c r="F644" s="7" t="str">
        <f>IF(OR(D644="",E644=""),"",(E644-D644)*1440)</f>
        <v/>
      </c>
      <c r="G644" s="6" t="n"/>
      <c r="H644" s="6" t="n"/>
      <c r="I644" t="str">
        <f>IF(C644="","",C644&amp;"|"&amp;G644)</f>
        <v/>
      </c>
    </row>
    <row r="645">
      <c r="A645" s="5" t="n"/>
      <c r="B645" s="5" t="n"/>
      <c r="C645" s="25" t="n"/>
      <c r="D645" s="9" t="n"/>
      <c r="E645" s="9" t="n"/>
      <c r="F645" s="7" t="str">
        <f>IF(OR(D645="",E645=""),"",(E645-D645)*1440)</f>
        <v/>
      </c>
      <c r="G645" s="6" t="n"/>
      <c r="H645" s="6" t="n"/>
      <c r="I645" t="str">
        <f>IF(C645="","",C645&amp;"|"&amp;G645)</f>
        <v/>
      </c>
    </row>
    <row r="646">
      <c r="A646" s="5" t="n"/>
      <c r="B646" s="5" t="n"/>
      <c r="C646" s="25" t="n"/>
      <c r="D646" s="9" t="n"/>
      <c r="E646" s="9" t="n"/>
      <c r="F646" s="7" t="str">
        <f>IF(OR(D646="",E646=""),"",(E646-D646)*1440)</f>
        <v/>
      </c>
      <c r="G646" s="6" t="n"/>
      <c r="H646" s="6" t="n"/>
      <c r="I646" t="str">
        <f>IF(C646="","",C646&amp;"|"&amp;G646)</f>
        <v/>
      </c>
    </row>
    <row r="647">
      <c r="A647" s="5" t="n"/>
      <c r="B647" s="5" t="n"/>
      <c r="C647" s="25" t="n"/>
      <c r="D647" s="9" t="n"/>
      <c r="E647" s="9" t="n"/>
      <c r="F647" s="7" t="str">
        <f>IF(OR(D647="",E647=""),"",(E647-D647)*1440)</f>
        <v/>
      </c>
      <c r="G647" s="6" t="n"/>
      <c r="H647" s="6" t="n"/>
      <c r="I647" t="str">
        <f>IF(C647="","",C647&amp;"|"&amp;G647)</f>
        <v/>
      </c>
    </row>
    <row r="648">
      <c r="A648" s="5" t="n"/>
      <c r="B648" s="5" t="n"/>
      <c r="C648" s="25" t="n"/>
      <c r="D648" s="9" t="n"/>
      <c r="E648" s="9" t="n"/>
      <c r="F648" s="7" t="str">
        <f>IF(OR(D648="",E648=""),"",(E648-D648)*1440)</f>
        <v/>
      </c>
      <c r="G648" s="6" t="n"/>
      <c r="H648" s="6" t="n"/>
      <c r="I648" t="str">
        <f>IF(C648="","",C648&amp;"|"&amp;G648)</f>
        <v/>
      </c>
    </row>
    <row r="649">
      <c r="A649" s="5" t="n"/>
      <c r="B649" s="5" t="n"/>
      <c r="C649" s="25" t="n"/>
      <c r="D649" s="9" t="n"/>
      <c r="E649" s="9" t="n"/>
      <c r="F649" s="7" t="str">
        <f>IF(OR(D649="",E649=""),"",(E649-D649)*1440)</f>
        <v/>
      </c>
      <c r="G649" s="6" t="n"/>
      <c r="H649" s="6" t="n"/>
      <c r="I649" t="str">
        <f>IF(C649="","",C649&amp;"|"&amp;G649)</f>
        <v/>
      </c>
    </row>
    <row r="650">
      <c r="A650" s="5" t="n"/>
      <c r="B650" s="5" t="n"/>
      <c r="C650" s="25" t="n"/>
      <c r="D650" s="9" t="n"/>
      <c r="E650" s="9" t="n"/>
      <c r="F650" s="7" t="str">
        <f>IF(OR(D650="",E650=""),"",(E650-D650)*1440)</f>
        <v/>
      </c>
      <c r="G650" s="6" t="n"/>
      <c r="H650" s="6" t="n"/>
      <c r="I650" t="str">
        <f>IF(C650="","",C650&amp;"|"&amp;G650)</f>
        <v/>
      </c>
    </row>
    <row r="651">
      <c r="A651" s="5" t="n"/>
      <c r="B651" s="5" t="n"/>
      <c r="C651" s="25" t="n"/>
      <c r="D651" s="9" t="n"/>
      <c r="E651" s="9" t="n"/>
      <c r="F651" s="7" t="str">
        <f>IF(OR(D651="",E651=""),"",(E651-D651)*1440)</f>
        <v/>
      </c>
      <c r="G651" s="6" t="n"/>
      <c r="H651" s="6" t="n"/>
      <c r="I651" t="str">
        <f>IF(C651="","",C651&amp;"|"&amp;G651)</f>
        <v/>
      </c>
    </row>
    <row r="652">
      <c r="A652" s="5" t="n"/>
      <c r="B652" s="5" t="n"/>
      <c r="C652" s="25" t="n"/>
      <c r="D652" s="9" t="n"/>
      <c r="E652" s="9" t="n"/>
      <c r="F652" s="7" t="str">
        <f>IF(OR(D652="",E652=""),"",(E652-D652)*1440)</f>
        <v/>
      </c>
      <c r="G652" s="6" t="n"/>
      <c r="H652" s="6" t="n"/>
      <c r="I652" t="str">
        <f>IF(C652="","",C652&amp;"|"&amp;G652)</f>
        <v/>
      </c>
    </row>
    <row r="653">
      <c r="A653" s="5" t="n"/>
      <c r="B653" s="5" t="n"/>
      <c r="C653" s="25" t="n"/>
      <c r="D653" s="9" t="n"/>
      <c r="E653" s="9" t="n"/>
      <c r="F653" s="7" t="str">
        <f>IF(OR(D653="",E653=""),"",(E653-D653)*1440)</f>
        <v/>
      </c>
      <c r="G653" s="6" t="n"/>
      <c r="H653" s="6" t="n"/>
      <c r="I653" t="str">
        <f>IF(C653="","",C653&amp;"|"&amp;G653)</f>
        <v/>
      </c>
    </row>
    <row r="654">
      <c r="A654" s="5" t="n"/>
      <c r="B654" s="5" t="n"/>
      <c r="C654" s="25" t="n"/>
      <c r="D654" s="9" t="n"/>
      <c r="E654" s="9" t="n"/>
      <c r="F654" s="7" t="str">
        <f>IF(OR(D654="",E654=""),"",(E654-D654)*1440)</f>
        <v/>
      </c>
      <c r="G654" s="6" t="n"/>
      <c r="H654" s="6" t="n"/>
      <c r="I654" t="str">
        <f>IF(C654="","",C654&amp;"|"&amp;G654)</f>
        <v/>
      </c>
    </row>
    <row r="655">
      <c r="A655" s="5" t="n"/>
      <c r="B655" s="5" t="n"/>
      <c r="C655" s="25" t="n"/>
      <c r="D655" s="9" t="n"/>
      <c r="E655" s="9" t="n"/>
      <c r="F655" s="7" t="str">
        <f>IF(OR(D655="",E655=""),"",(E655-D655)*1440)</f>
        <v/>
      </c>
      <c r="G655" s="6" t="n"/>
      <c r="H655" s="6" t="n"/>
      <c r="I655" t="str">
        <f>IF(C655="","",C655&amp;"|"&amp;G655)</f>
        <v/>
      </c>
    </row>
    <row r="656">
      <c r="A656" s="5" t="n"/>
      <c r="B656" s="5" t="n"/>
      <c r="C656" s="25" t="n"/>
      <c r="D656" s="9" t="n"/>
      <c r="E656" s="9" t="n"/>
      <c r="F656" s="7" t="str">
        <f>IF(OR(D656="",E656=""),"",(E656-D656)*1440)</f>
        <v/>
      </c>
      <c r="G656" s="6" t="n"/>
      <c r="H656" s="6" t="n"/>
      <c r="I656" t="str">
        <f>IF(C656="","",C656&amp;"|"&amp;G656)</f>
        <v/>
      </c>
    </row>
    <row r="657">
      <c r="A657" s="5" t="n"/>
      <c r="B657" s="5" t="n"/>
      <c r="C657" s="25" t="n"/>
      <c r="D657" s="9" t="n"/>
      <c r="E657" s="9" t="n"/>
      <c r="F657" s="7" t="str">
        <f>IF(OR(D657="",E657=""),"",(E657-D657)*1440)</f>
        <v/>
      </c>
      <c r="G657" s="6" t="n"/>
      <c r="H657" s="6" t="n"/>
      <c r="I657" t="str">
        <f>IF(C657="","",C657&amp;"|"&amp;G657)</f>
        <v/>
      </c>
    </row>
    <row r="658">
      <c r="A658" s="5" t="n"/>
      <c r="B658" s="5" t="n"/>
      <c r="C658" s="25" t="n"/>
      <c r="D658" s="9" t="n"/>
      <c r="E658" s="9" t="n"/>
      <c r="F658" s="7" t="str">
        <f>IF(OR(D658="",E658=""),"",(E658-D658)*1440)</f>
        <v/>
      </c>
      <c r="G658" s="6" t="n"/>
      <c r="H658" s="6" t="n"/>
      <c r="I658" t="str">
        <f>IF(C658="","",C658&amp;"|"&amp;G658)</f>
        <v/>
      </c>
    </row>
    <row r="659">
      <c r="A659" s="5" t="n"/>
      <c r="B659" s="5" t="n"/>
      <c r="C659" s="25" t="n"/>
      <c r="D659" s="9" t="n"/>
      <c r="E659" s="9" t="n"/>
      <c r="F659" s="7" t="str">
        <f>IF(OR(D659="",E659=""),"",(E659-D659)*1440)</f>
        <v/>
      </c>
      <c r="G659" s="6" t="n"/>
      <c r="H659" s="6" t="n"/>
      <c r="I659" t="str">
        <f>IF(C659="","",C659&amp;"|"&amp;G659)</f>
        <v/>
      </c>
    </row>
    <row r="660">
      <c r="A660" s="5" t="n"/>
      <c r="B660" s="5" t="n"/>
      <c r="C660" s="25" t="n"/>
      <c r="D660" s="9" t="n"/>
      <c r="E660" s="9" t="n"/>
      <c r="F660" s="7" t="str">
        <f>IF(OR(D660="",E660=""),"",(E660-D660)*1440)</f>
        <v/>
      </c>
      <c r="G660" s="6" t="n"/>
      <c r="H660" s="6" t="n"/>
      <c r="I660" t="str">
        <f>IF(C660="","",C660&amp;"|"&amp;G660)</f>
        <v/>
      </c>
    </row>
    <row r="661">
      <c r="A661" s="5" t="n"/>
      <c r="B661" s="5" t="n"/>
      <c r="C661" s="25" t="n"/>
      <c r="D661" s="9" t="n"/>
      <c r="E661" s="9" t="n"/>
      <c r="F661" s="7" t="str">
        <f>IF(OR(D661="",E661=""),"",(E661-D661)*1440)</f>
        <v/>
      </c>
      <c r="G661" s="6" t="n"/>
      <c r="H661" s="6" t="n"/>
      <c r="I661" t="str">
        <f>IF(C661="","",C661&amp;"|"&amp;G661)</f>
        <v/>
      </c>
    </row>
    <row r="662">
      <c r="A662" s="5" t="n"/>
      <c r="B662" s="5" t="n"/>
      <c r="C662" s="25" t="n"/>
      <c r="D662" s="9" t="n"/>
      <c r="E662" s="9" t="n"/>
      <c r="F662" s="7" t="str">
        <f>IF(OR(D662="",E662=""),"",(E662-D662)*1440)</f>
        <v/>
      </c>
      <c r="G662" s="6" t="n"/>
      <c r="H662" s="6" t="n"/>
      <c r="I662" t="str">
        <f>IF(C662="","",C662&amp;"|"&amp;G662)</f>
        <v/>
      </c>
    </row>
    <row r="663">
      <c r="A663" s="5" t="n"/>
      <c r="B663" s="5" t="n"/>
      <c r="C663" s="25" t="n"/>
      <c r="D663" s="9" t="n"/>
      <c r="E663" s="9" t="n"/>
      <c r="F663" s="7" t="str">
        <f>IF(OR(D663="",E663=""),"",(E663-D663)*1440)</f>
        <v/>
      </c>
      <c r="G663" s="6" t="n"/>
      <c r="H663" s="6" t="n"/>
      <c r="I663" t="str">
        <f>IF(C663="","",C663&amp;"|"&amp;G663)</f>
        <v/>
      </c>
    </row>
    <row r="664">
      <c r="A664" s="5" t="n"/>
      <c r="B664" s="5" t="n"/>
      <c r="C664" s="25" t="n"/>
      <c r="D664" s="9" t="n"/>
      <c r="E664" s="9" t="n"/>
      <c r="F664" s="7" t="str">
        <f>IF(OR(D664="",E664=""),"",(E664-D664)*1440)</f>
        <v/>
      </c>
      <c r="G664" s="6" t="n"/>
      <c r="H664" s="6" t="n"/>
      <c r="I664" t="str">
        <f>IF(C664="","",C664&amp;"|"&amp;G664)</f>
        <v/>
      </c>
    </row>
    <row r="665">
      <c r="A665" s="5" t="n"/>
      <c r="B665" s="5" t="n"/>
      <c r="C665" s="25" t="n"/>
      <c r="D665" s="9" t="n"/>
      <c r="E665" s="9" t="n"/>
      <c r="F665" s="7" t="str">
        <f>IF(OR(D665="",E665=""),"",(E665-D665)*1440)</f>
        <v/>
      </c>
      <c r="G665" s="6" t="n"/>
      <c r="H665" s="6" t="n"/>
      <c r="I665" t="str">
        <f>IF(C665="","",C665&amp;"|"&amp;G665)</f>
        <v/>
      </c>
    </row>
    <row r="666">
      <c r="A666" s="5" t="n"/>
      <c r="B666" s="5" t="n"/>
      <c r="C666" s="25" t="n"/>
      <c r="D666" s="9" t="n"/>
      <c r="E666" s="9" t="n"/>
      <c r="F666" s="7" t="str">
        <f>IF(OR(D666="",E666=""),"",(E666-D666)*1440)</f>
        <v/>
      </c>
      <c r="G666" s="6" t="n"/>
      <c r="H666" s="6" t="n"/>
      <c r="I666" t="str">
        <f>IF(C666="","",C666&amp;"|"&amp;G666)</f>
        <v/>
      </c>
    </row>
    <row r="667">
      <c r="A667" s="5" t="n"/>
      <c r="B667" s="5" t="n"/>
      <c r="C667" s="25" t="n"/>
      <c r="D667" s="9" t="n"/>
      <c r="E667" s="9" t="n"/>
      <c r="F667" s="7" t="str">
        <f>IF(OR(D667="",E667=""),"",(E667-D667)*1440)</f>
        <v/>
      </c>
      <c r="G667" s="6" t="n"/>
      <c r="H667" s="6" t="n"/>
      <c r="I667" t="str">
        <f>IF(C667="","",C667&amp;"|"&amp;G667)</f>
        <v/>
      </c>
    </row>
    <row r="668">
      <c r="A668" s="5" t="n"/>
      <c r="B668" s="5" t="n"/>
      <c r="C668" s="25" t="n"/>
      <c r="D668" s="9" t="n"/>
      <c r="E668" s="9" t="n"/>
      <c r="F668" s="7" t="str">
        <f>IF(OR(D668="",E668=""),"",(E668-D668)*1440)</f>
        <v/>
      </c>
      <c r="G668" s="6" t="n"/>
      <c r="H668" s="6" t="n"/>
      <c r="I668" t="str">
        <f>IF(C668="","",C668&amp;"|"&amp;G668)</f>
        <v/>
      </c>
    </row>
    <row r="669">
      <c r="A669" s="5" t="n"/>
      <c r="B669" s="5" t="n"/>
      <c r="C669" s="25" t="n"/>
      <c r="D669" s="9" t="n"/>
      <c r="E669" s="9" t="n"/>
      <c r="F669" s="7" t="str">
        <f>IF(OR(D669="",E669=""),"",(E669-D669)*1440)</f>
        <v/>
      </c>
      <c r="G669" s="6" t="n"/>
      <c r="H669" s="6" t="n"/>
      <c r="I669" t="str">
        <f>IF(C669="","",C669&amp;"|"&amp;G669)</f>
        <v/>
      </c>
    </row>
    <row r="670">
      <c r="A670" s="5" t="n"/>
      <c r="B670" s="5" t="n"/>
      <c r="C670" s="25" t="n"/>
      <c r="D670" s="9" t="n"/>
      <c r="E670" s="9" t="n"/>
      <c r="F670" s="7" t="str">
        <f>IF(OR(D670="",E670=""),"",(E670-D670)*1440)</f>
        <v/>
      </c>
      <c r="G670" s="6" t="n"/>
      <c r="H670" s="6" t="n"/>
      <c r="I670" t="str">
        <f>IF(C670="","",C670&amp;"|"&amp;G670)</f>
        <v/>
      </c>
    </row>
    <row r="671">
      <c r="A671" s="5" t="n"/>
      <c r="B671" s="5" t="n"/>
      <c r="C671" s="25" t="n"/>
      <c r="D671" s="9" t="n"/>
      <c r="E671" s="9" t="n"/>
      <c r="F671" s="7" t="str">
        <f>IF(OR(D671="",E671=""),"",(E671-D671)*1440)</f>
        <v/>
      </c>
      <c r="G671" s="6" t="n"/>
      <c r="H671" s="6" t="n"/>
      <c r="I671" t="str">
        <f>IF(C671="","",C671&amp;"|"&amp;G671)</f>
        <v/>
      </c>
    </row>
    <row r="672">
      <c r="A672" s="5" t="n"/>
      <c r="B672" s="5" t="n"/>
      <c r="C672" s="25" t="n"/>
      <c r="D672" s="9" t="n"/>
      <c r="E672" s="9" t="n"/>
      <c r="F672" s="7" t="str">
        <f>IF(OR(D672="",E672=""),"",(E672-D672)*1440)</f>
        <v/>
      </c>
      <c r="G672" s="6" t="n"/>
      <c r="H672" s="6" t="n"/>
      <c r="I672" t="str">
        <f>IF(C672="","",C672&amp;"|"&amp;G672)</f>
        <v/>
      </c>
    </row>
    <row r="673">
      <c r="A673" s="5" t="n"/>
      <c r="B673" s="5" t="n"/>
      <c r="C673" s="25" t="n"/>
      <c r="D673" s="9" t="n"/>
      <c r="E673" s="9" t="n"/>
      <c r="F673" s="7" t="str">
        <f>IF(OR(D673="",E673=""),"",(E673-D673)*1440)</f>
        <v/>
      </c>
      <c r="G673" s="6" t="n"/>
      <c r="H673" s="6" t="n"/>
      <c r="I673" t="str">
        <f>IF(C673="","",C673&amp;"|"&amp;G673)</f>
        <v/>
      </c>
    </row>
    <row r="674">
      <c r="A674" s="5" t="n"/>
      <c r="B674" s="5" t="n"/>
      <c r="C674" s="25" t="n"/>
      <c r="D674" s="9" t="n"/>
      <c r="E674" s="9" t="n"/>
      <c r="F674" s="7" t="str">
        <f>IF(OR(D674="",E674=""),"",(E674-D674)*1440)</f>
        <v/>
      </c>
      <c r="G674" s="6" t="n"/>
      <c r="H674" s="6" t="n"/>
      <c r="I674" t="str">
        <f>IF(C674="","",C674&amp;"|"&amp;G674)</f>
        <v/>
      </c>
    </row>
    <row r="675">
      <c r="A675" s="5" t="n"/>
      <c r="B675" s="5" t="n"/>
      <c r="C675" s="25" t="n"/>
      <c r="D675" s="9" t="n"/>
      <c r="E675" s="9" t="n"/>
      <c r="F675" s="7" t="str">
        <f>IF(OR(D675="",E675=""),"",(E675-D675)*1440)</f>
        <v/>
      </c>
      <c r="G675" s="6" t="n"/>
      <c r="H675" s="6" t="n"/>
      <c r="I675" t="str">
        <f>IF(C675="","",C675&amp;"|"&amp;G675)</f>
        <v/>
      </c>
    </row>
    <row r="676">
      <c r="A676" s="5" t="n"/>
      <c r="B676" s="5" t="n"/>
      <c r="C676" s="25" t="n"/>
      <c r="D676" s="9" t="n"/>
      <c r="E676" s="9" t="n"/>
      <c r="F676" s="7" t="str">
        <f>IF(OR(D676="",E676=""),"",(E676-D676)*1440)</f>
        <v/>
      </c>
      <c r="G676" s="6" t="n"/>
      <c r="H676" s="6" t="n"/>
      <c r="I676" t="str">
        <f>IF(C676="","",C676&amp;"|"&amp;G676)</f>
        <v/>
      </c>
    </row>
    <row r="677">
      <c r="A677" s="5" t="n"/>
      <c r="B677" s="5" t="n"/>
      <c r="C677" s="25" t="n"/>
      <c r="D677" s="9" t="n"/>
      <c r="E677" s="9" t="n"/>
      <c r="F677" s="7" t="str">
        <f>IF(OR(D677="",E677=""),"",(E677-D677)*1440)</f>
        <v/>
      </c>
      <c r="G677" s="6" t="n"/>
      <c r="H677" s="6" t="n"/>
      <c r="I677" t="str">
        <f>IF(C677="","",C677&amp;"|"&amp;G677)</f>
        <v/>
      </c>
    </row>
    <row r="678">
      <c r="A678" s="5" t="n"/>
      <c r="B678" s="5" t="n"/>
      <c r="C678" s="25" t="n"/>
      <c r="D678" s="9" t="n"/>
      <c r="E678" s="9" t="n"/>
      <c r="F678" s="7" t="str">
        <f>IF(OR(D678="",E678=""),"",(E678-D678)*1440)</f>
        <v/>
      </c>
      <c r="G678" s="6" t="n"/>
      <c r="H678" s="6" t="n"/>
      <c r="I678" t="str">
        <f>IF(C678="","",C678&amp;"|"&amp;G678)</f>
        <v/>
      </c>
    </row>
    <row r="679">
      <c r="A679" s="5" t="n"/>
      <c r="B679" s="5" t="n"/>
      <c r="C679" s="25" t="n"/>
      <c r="D679" s="9" t="n"/>
      <c r="E679" s="9" t="n"/>
      <c r="F679" s="7" t="str">
        <f>IF(OR(D679="",E679=""),"",(E679-D679)*1440)</f>
        <v/>
      </c>
      <c r="G679" s="6" t="n"/>
      <c r="H679" s="6" t="n"/>
      <c r="I679" t="str">
        <f>IF(C679="","",C679&amp;"|"&amp;G679)</f>
        <v/>
      </c>
    </row>
    <row r="680">
      <c r="A680" s="5" t="n"/>
      <c r="B680" s="5" t="n"/>
      <c r="C680" s="25" t="n"/>
      <c r="D680" s="9" t="n"/>
      <c r="E680" s="9" t="n"/>
      <c r="F680" s="7" t="str">
        <f>IF(OR(D680="",E680=""),"",(E680-D680)*1440)</f>
        <v/>
      </c>
      <c r="G680" s="6" t="n"/>
      <c r="H680" s="6" t="n"/>
      <c r="I680" t="str">
        <f>IF(C680="","",C680&amp;"|"&amp;G680)</f>
        <v/>
      </c>
    </row>
    <row r="681">
      <c r="A681" s="5" t="n"/>
      <c r="B681" s="5" t="n"/>
      <c r="C681" s="25" t="n"/>
      <c r="D681" s="9" t="n"/>
      <c r="E681" s="9" t="n"/>
      <c r="F681" s="7" t="str">
        <f>IF(OR(D681="",E681=""),"",(E681-D681)*1440)</f>
        <v/>
      </c>
      <c r="G681" s="6" t="n"/>
      <c r="H681" s="6" t="n"/>
      <c r="I681" t="str">
        <f>IF(C681="","",C681&amp;"|"&amp;G681)</f>
        <v/>
      </c>
    </row>
    <row r="682">
      <c r="A682" s="5" t="n"/>
      <c r="B682" s="5" t="n"/>
      <c r="C682" s="25" t="n"/>
      <c r="D682" s="9" t="n"/>
      <c r="E682" s="9" t="n"/>
      <c r="F682" s="7" t="str">
        <f>IF(OR(D682="",E682=""),"",(E682-D682)*1440)</f>
        <v/>
      </c>
      <c r="G682" s="6" t="n"/>
      <c r="H682" s="6" t="n"/>
      <c r="I682" t="str">
        <f>IF(C682="","",C682&amp;"|"&amp;G682)</f>
        <v/>
      </c>
    </row>
    <row r="683">
      <c r="A683" s="5" t="n"/>
      <c r="B683" s="5" t="n"/>
      <c r="C683" s="25" t="n"/>
      <c r="D683" s="9" t="n"/>
      <c r="E683" s="9" t="n"/>
      <c r="F683" s="7" t="str">
        <f>IF(OR(D683="",E683=""),"",(E683-D683)*1440)</f>
        <v/>
      </c>
      <c r="G683" s="6" t="n"/>
      <c r="H683" s="6" t="n"/>
      <c r="I683" t="str">
        <f>IF(C683="","",C683&amp;"|"&amp;G683)</f>
        <v/>
      </c>
    </row>
    <row r="684">
      <c r="A684" s="5" t="n"/>
      <c r="B684" s="5" t="n"/>
      <c r="C684" s="25" t="n"/>
      <c r="D684" s="9" t="n"/>
      <c r="E684" s="9" t="n"/>
      <c r="F684" s="7" t="str">
        <f>IF(OR(D684="",E684=""),"",(E684-D684)*1440)</f>
        <v/>
      </c>
      <c r="G684" s="6" t="n"/>
      <c r="H684" s="6" t="n"/>
      <c r="I684" t="str">
        <f>IF(C684="","",C684&amp;"|"&amp;G684)</f>
        <v/>
      </c>
    </row>
    <row r="685">
      <c r="A685" s="5" t="n"/>
      <c r="B685" s="5" t="n"/>
      <c r="C685" s="25" t="n"/>
      <c r="D685" s="9" t="n"/>
      <c r="E685" s="9" t="n"/>
      <c r="F685" s="7" t="str">
        <f>IF(OR(D685="",E685=""),"",(E685-D685)*1440)</f>
        <v/>
      </c>
      <c r="G685" s="6" t="n"/>
      <c r="H685" s="6" t="n"/>
      <c r="I685" t="str">
        <f>IF(C685="","",C685&amp;"|"&amp;G685)</f>
        <v/>
      </c>
    </row>
    <row r="686">
      <c r="A686" s="5" t="n"/>
      <c r="B686" s="5" t="n"/>
      <c r="C686" s="25" t="n"/>
      <c r="D686" s="9" t="n"/>
      <c r="E686" s="9" t="n"/>
      <c r="F686" s="7" t="str">
        <f>IF(OR(D686="",E686=""),"",(E686-D686)*1440)</f>
        <v/>
      </c>
      <c r="G686" s="6" t="n"/>
      <c r="H686" s="6" t="n"/>
      <c r="I686" t="str">
        <f>IF(C686="","",C686&amp;"|"&amp;G686)</f>
        <v/>
      </c>
    </row>
    <row r="687">
      <c r="A687" s="5" t="n"/>
      <c r="B687" s="5" t="n"/>
      <c r="C687" s="25" t="n"/>
      <c r="D687" s="9" t="n"/>
      <c r="E687" s="9" t="n"/>
      <c r="F687" s="7" t="str">
        <f>IF(OR(D687="",E687=""),"",(E687-D687)*1440)</f>
        <v/>
      </c>
      <c r="G687" s="6" t="n"/>
      <c r="H687" s="6" t="n"/>
      <c r="I687" t="str">
        <f>IF(C687="","",C687&amp;"|"&amp;G687)</f>
        <v/>
      </c>
    </row>
    <row r="688">
      <c r="A688" s="5" t="n"/>
      <c r="B688" s="5" t="n"/>
      <c r="C688" s="25" t="n"/>
      <c r="D688" s="9" t="n"/>
      <c r="E688" s="9" t="n"/>
      <c r="F688" s="7" t="str">
        <f>IF(OR(D688="",E688=""),"",(E688-D688)*1440)</f>
        <v/>
      </c>
      <c r="G688" s="6" t="n"/>
      <c r="H688" s="6" t="n"/>
      <c r="I688" t="str">
        <f>IF(C688="","",C688&amp;"|"&amp;G688)</f>
        <v/>
      </c>
    </row>
    <row r="689">
      <c r="A689" s="5" t="n"/>
      <c r="B689" s="5" t="n"/>
      <c r="C689" s="25" t="n"/>
      <c r="D689" s="9" t="n"/>
      <c r="E689" s="9" t="n"/>
      <c r="F689" s="7" t="str">
        <f>IF(OR(D689="",E689=""),"",(E689-D689)*1440)</f>
        <v/>
      </c>
      <c r="G689" s="6" t="n"/>
      <c r="H689" s="6" t="n"/>
      <c r="I689" t="str">
        <f>IF(C689="","",C689&amp;"|"&amp;G689)</f>
        <v/>
      </c>
    </row>
    <row r="690">
      <c r="A690" s="5" t="n"/>
      <c r="B690" s="5" t="n"/>
      <c r="C690" s="25" t="n"/>
      <c r="D690" s="9" t="n"/>
      <c r="E690" s="9" t="n"/>
      <c r="F690" s="7" t="str">
        <f>IF(OR(D690="",E690=""),"",(E690-D690)*1440)</f>
        <v/>
      </c>
      <c r="G690" s="6" t="n"/>
      <c r="H690" s="6" t="n"/>
      <c r="I690" t="str">
        <f>IF(C690="","",C690&amp;"|"&amp;G690)</f>
        <v/>
      </c>
    </row>
    <row r="691">
      <c r="A691" s="5" t="n"/>
      <c r="B691" s="5" t="n"/>
      <c r="C691" s="25" t="n"/>
      <c r="D691" s="9" t="n"/>
      <c r="E691" s="9" t="n"/>
      <c r="F691" s="7" t="str">
        <f>IF(OR(D691="",E691=""),"",(E691-D691)*1440)</f>
        <v/>
      </c>
      <c r="G691" s="6" t="n"/>
      <c r="H691" s="6" t="n"/>
      <c r="I691" t="str">
        <f>IF(C691="","",C691&amp;"|"&amp;G691)</f>
        <v/>
      </c>
    </row>
    <row r="692">
      <c r="A692" s="5" t="n"/>
      <c r="B692" s="5" t="n"/>
      <c r="C692" s="25" t="n"/>
      <c r="D692" s="9" t="n"/>
      <c r="E692" s="9" t="n"/>
      <c r="F692" s="7" t="str">
        <f>IF(OR(D692="",E692=""),"",(E692-D692)*1440)</f>
        <v/>
      </c>
      <c r="G692" s="6" t="n"/>
      <c r="H692" s="6" t="n"/>
      <c r="I692" t="str">
        <f>IF(C692="","",C692&amp;"|"&amp;G692)</f>
        <v/>
      </c>
    </row>
    <row r="693">
      <c r="A693" s="5" t="n"/>
      <c r="B693" s="5" t="n"/>
      <c r="C693" s="25" t="n"/>
      <c r="D693" s="9" t="n"/>
      <c r="E693" s="9" t="n"/>
      <c r="F693" s="7" t="str">
        <f>IF(OR(D693="",E693=""),"",(E693-D693)*1440)</f>
        <v/>
      </c>
      <c r="G693" s="6" t="n"/>
      <c r="H693" s="6" t="n"/>
      <c r="I693" t="str">
        <f>IF(C693="","",C693&amp;"|"&amp;G693)</f>
        <v/>
      </c>
    </row>
    <row r="694">
      <c r="A694" s="5" t="n"/>
      <c r="B694" s="5" t="n"/>
      <c r="C694" s="25" t="n"/>
      <c r="D694" s="9" t="n"/>
      <c r="E694" s="9" t="n"/>
      <c r="F694" s="7" t="str">
        <f>IF(OR(D694="",E694=""),"",(E694-D694)*1440)</f>
        <v/>
      </c>
      <c r="G694" s="6" t="n"/>
      <c r="H694" s="6" t="n"/>
      <c r="I694" t="str">
        <f>IF(C694="","",C694&amp;"|"&amp;G694)</f>
        <v/>
      </c>
    </row>
    <row r="695">
      <c r="A695" s="5" t="n"/>
      <c r="B695" s="5" t="n"/>
      <c r="C695" s="25" t="n"/>
      <c r="D695" s="9" t="n"/>
      <c r="E695" s="9" t="n"/>
      <c r="F695" s="7" t="str">
        <f>IF(OR(D695="",E695=""),"",(E695-D695)*1440)</f>
        <v/>
      </c>
      <c r="G695" s="6" t="n"/>
      <c r="H695" s="6" t="n"/>
      <c r="I695" t="str">
        <f>IF(C695="","",C695&amp;"|"&amp;G695)</f>
        <v/>
      </c>
    </row>
    <row r="696">
      <c r="A696" s="5" t="n"/>
      <c r="B696" s="5" t="n"/>
      <c r="C696" s="25" t="n"/>
      <c r="D696" s="9" t="n"/>
      <c r="E696" s="9" t="n"/>
      <c r="F696" s="7" t="str">
        <f>IF(OR(D696="",E696=""),"",(E696-D696)*1440)</f>
        <v/>
      </c>
      <c r="G696" s="6" t="n"/>
      <c r="H696" s="6" t="n"/>
      <c r="I696" t="str">
        <f>IF(C696="","",C696&amp;"|"&amp;G696)</f>
        <v/>
      </c>
    </row>
    <row r="697">
      <c r="A697" s="5" t="n"/>
      <c r="B697" s="5" t="n"/>
      <c r="C697" s="25" t="n"/>
      <c r="D697" s="9" t="n"/>
      <c r="E697" s="9" t="n"/>
      <c r="F697" s="7" t="str">
        <f>IF(OR(D697="",E697=""),"",(E697-D697)*1440)</f>
        <v/>
      </c>
      <c r="G697" s="6" t="n"/>
      <c r="H697" s="6" t="n"/>
      <c r="I697" t="str">
        <f>IF(C697="","",C697&amp;"|"&amp;G697)</f>
        <v/>
      </c>
    </row>
    <row r="698">
      <c r="A698" s="5" t="n"/>
      <c r="B698" s="5" t="n"/>
      <c r="C698" s="25" t="n"/>
      <c r="D698" s="9" t="n"/>
      <c r="E698" s="9" t="n"/>
      <c r="F698" s="7" t="str">
        <f>IF(OR(D698="",E698=""),"",(E698-D698)*1440)</f>
        <v/>
      </c>
      <c r="G698" s="6" t="n"/>
      <c r="H698" s="6" t="n"/>
      <c r="I698" t="str">
        <f>IF(C698="","",C698&amp;"|"&amp;G698)</f>
        <v/>
      </c>
    </row>
    <row r="699">
      <c r="A699" s="5" t="n"/>
      <c r="B699" s="5" t="n"/>
      <c r="C699" s="25" t="n"/>
      <c r="D699" s="9" t="n"/>
      <c r="E699" s="9" t="n"/>
      <c r="F699" s="7" t="str">
        <f>IF(OR(D699="",E699=""),"",(E699-D699)*1440)</f>
        <v/>
      </c>
      <c r="G699" s="6" t="n"/>
      <c r="H699" s="6" t="n"/>
      <c r="I699" t="str">
        <f>IF(C699="","",C699&amp;"|"&amp;G699)</f>
        <v/>
      </c>
    </row>
    <row r="700">
      <c r="A700" s="5" t="n"/>
      <c r="B700" s="5" t="n"/>
      <c r="C700" s="25" t="n"/>
      <c r="D700" s="9" t="n"/>
      <c r="E700" s="9" t="n"/>
      <c r="F700" s="7" t="str">
        <f>IF(OR(D700="",E700=""),"",(E700-D700)*1440)</f>
        <v/>
      </c>
      <c r="G700" s="6" t="n"/>
      <c r="H700" s="6" t="n"/>
      <c r="I700" t="str">
        <f>IF(C700="","",C700&amp;"|"&amp;G700)</f>
        <v/>
      </c>
    </row>
    <row r="701">
      <c r="A701" s="5" t="n"/>
      <c r="B701" s="5" t="n"/>
      <c r="C701" s="25" t="n"/>
      <c r="D701" s="9" t="n"/>
      <c r="E701" s="9" t="n"/>
      <c r="F701" s="7" t="str">
        <f>IF(OR(D701="",E701=""),"",(E701-D701)*1440)</f>
        <v/>
      </c>
      <c r="G701" s="6" t="n"/>
      <c r="H701" s="6" t="n"/>
      <c r="I701" t="str">
        <f>IF(C701="","",C701&amp;"|"&amp;G701)</f>
        <v/>
      </c>
    </row>
    <row r="702">
      <c r="A702" s="5" t="n"/>
      <c r="B702" s="5" t="n"/>
      <c r="C702" s="25" t="n"/>
      <c r="D702" s="9" t="n"/>
      <c r="E702" s="9" t="n"/>
      <c r="F702" s="7" t="str">
        <f>IF(OR(D702="",E702=""),"",(E702-D702)*1440)</f>
        <v/>
      </c>
      <c r="G702" s="6" t="n"/>
      <c r="H702" s="6" t="n"/>
      <c r="I702" t="str">
        <f>IF(C702="","",C702&amp;"|"&amp;G702)</f>
        <v/>
      </c>
    </row>
    <row r="703">
      <c r="A703" s="5" t="n"/>
      <c r="B703" s="5" t="n"/>
      <c r="C703" s="25" t="n"/>
      <c r="D703" s="9" t="n"/>
      <c r="E703" s="9" t="n"/>
      <c r="F703" s="7" t="str">
        <f>IF(OR(D703="",E703=""),"",(E703-D703)*1440)</f>
        <v/>
      </c>
      <c r="G703" s="6" t="n"/>
      <c r="H703" s="6" t="n"/>
      <c r="I703" t="str">
        <f>IF(C703="","",C703&amp;"|"&amp;G703)</f>
        <v/>
      </c>
    </row>
    <row r="704">
      <c r="A704" s="5" t="n"/>
      <c r="B704" s="5" t="n"/>
      <c r="C704" s="25" t="n"/>
      <c r="D704" s="9" t="n"/>
      <c r="E704" s="9" t="n"/>
      <c r="F704" s="7" t="str">
        <f>IF(OR(D704="",E704=""),"",(E704-D704)*1440)</f>
        <v/>
      </c>
      <c r="G704" s="6" t="n"/>
      <c r="H704" s="6" t="n"/>
      <c r="I704" t="str">
        <f>IF(C704="","",C704&amp;"|"&amp;G704)</f>
        <v/>
      </c>
    </row>
    <row r="705">
      <c r="A705" s="5" t="n"/>
      <c r="B705" s="5" t="n"/>
      <c r="C705" s="25" t="n"/>
      <c r="D705" s="9" t="n"/>
      <c r="E705" s="9" t="n"/>
      <c r="F705" s="7" t="str">
        <f>IF(OR(D705="",E705=""),"",(E705-D705)*1440)</f>
        <v/>
      </c>
      <c r="G705" s="6" t="n"/>
      <c r="H705" s="6" t="n"/>
      <c r="I705" t="str">
        <f>IF(C705="","",C705&amp;"|"&amp;G705)</f>
        <v/>
      </c>
    </row>
    <row r="706">
      <c r="A706" s="5" t="n"/>
      <c r="B706" s="5" t="n"/>
      <c r="C706" s="25" t="n"/>
      <c r="D706" s="9" t="n"/>
      <c r="E706" s="9" t="n"/>
      <c r="F706" s="7" t="str">
        <f>IF(OR(D706="",E706=""),"",(E706-D706)*1440)</f>
        <v/>
      </c>
      <c r="G706" s="6" t="n"/>
      <c r="H706" s="6" t="n"/>
      <c r="I706" t="str">
        <f>IF(C706="","",C706&amp;"|"&amp;G706)</f>
        <v/>
      </c>
    </row>
    <row r="707">
      <c r="A707" s="5" t="n"/>
      <c r="B707" s="5" t="n"/>
      <c r="C707" s="25" t="n"/>
      <c r="D707" s="9" t="n"/>
      <c r="E707" s="9" t="n"/>
      <c r="F707" s="7" t="str">
        <f>IF(OR(D707="",E707=""),"",(E707-D707)*1440)</f>
        <v/>
      </c>
      <c r="G707" s="6" t="n"/>
      <c r="H707" s="6" t="n"/>
      <c r="I707" t="str">
        <f>IF(C707="","",C707&amp;"|"&amp;G707)</f>
        <v/>
      </c>
    </row>
    <row r="708">
      <c r="A708" s="5" t="n"/>
      <c r="B708" s="5" t="n"/>
      <c r="C708" s="25" t="n"/>
      <c r="D708" s="9" t="n"/>
      <c r="E708" s="9" t="n"/>
      <c r="F708" s="7" t="str">
        <f>IF(OR(D708="",E708=""),"",(E708-D708)*1440)</f>
        <v/>
      </c>
      <c r="G708" s="6" t="n"/>
      <c r="H708" s="6" t="n"/>
      <c r="I708" t="str">
        <f>IF(C708="","",C708&amp;"|"&amp;G708)</f>
        <v/>
      </c>
    </row>
    <row r="709">
      <c r="A709" s="5" t="n"/>
      <c r="B709" s="5" t="n"/>
      <c r="C709" s="25" t="n"/>
      <c r="D709" s="9" t="n"/>
      <c r="E709" s="9" t="n"/>
      <c r="F709" s="7" t="str">
        <f>IF(OR(D709="",E709=""),"",(E709-D709)*1440)</f>
        <v/>
      </c>
      <c r="G709" s="6" t="n"/>
      <c r="H709" s="6" t="n"/>
      <c r="I709" t="str">
        <f>IF(C709="","",C709&amp;"|"&amp;G709)</f>
        <v/>
      </c>
    </row>
    <row r="710">
      <c r="A710" s="5" t="n"/>
      <c r="B710" s="5" t="n"/>
      <c r="C710" s="25" t="n"/>
      <c r="D710" s="9" t="n"/>
      <c r="E710" s="9" t="n"/>
      <c r="F710" s="7" t="str">
        <f>IF(OR(D710="",E710=""),"",(E710-D710)*1440)</f>
        <v/>
      </c>
      <c r="G710" s="6" t="n"/>
      <c r="H710" s="6" t="n"/>
      <c r="I710" t="str">
        <f>IF(C710="","",C710&amp;"|"&amp;G710)</f>
        <v/>
      </c>
    </row>
    <row r="711">
      <c r="A711" s="5" t="n"/>
      <c r="B711" s="5" t="n"/>
      <c r="C711" s="25" t="n"/>
      <c r="D711" s="9" t="n"/>
      <c r="E711" s="9" t="n"/>
      <c r="F711" s="7" t="str">
        <f>IF(OR(D711="",E711=""),"",(E711-D711)*1440)</f>
        <v/>
      </c>
      <c r="G711" s="6" t="n"/>
      <c r="H711" s="6" t="n"/>
      <c r="I711" t="str">
        <f>IF(C711="","",C711&amp;"|"&amp;G711)</f>
        <v/>
      </c>
    </row>
    <row r="712">
      <c r="A712" s="5" t="n"/>
      <c r="B712" s="5" t="n"/>
      <c r="C712" s="25" t="n"/>
      <c r="D712" s="9" t="n"/>
      <c r="E712" s="9" t="n"/>
      <c r="F712" s="7" t="str">
        <f>IF(OR(D712="",E712=""),"",(E712-D712)*1440)</f>
        <v/>
      </c>
      <c r="G712" s="6" t="n"/>
      <c r="H712" s="6" t="n"/>
      <c r="I712" t="str">
        <f>IF(C712="","",C712&amp;"|"&amp;G712)</f>
        <v/>
      </c>
    </row>
    <row r="713">
      <c r="A713" s="5" t="n"/>
      <c r="B713" s="5" t="n"/>
      <c r="C713" s="25" t="n"/>
      <c r="D713" s="9" t="n"/>
      <c r="E713" s="9" t="n"/>
      <c r="F713" s="7" t="str">
        <f>IF(OR(D713="",E713=""),"",(E713-D713)*1440)</f>
        <v/>
      </c>
      <c r="G713" s="6" t="n"/>
      <c r="H713" s="6" t="n"/>
      <c r="I713" t="str">
        <f>IF(C713="","",C713&amp;"|"&amp;G713)</f>
        <v/>
      </c>
    </row>
    <row r="714">
      <c r="A714" s="5" t="n"/>
      <c r="B714" s="5" t="n"/>
      <c r="C714" s="25" t="n"/>
      <c r="D714" s="9" t="n"/>
      <c r="E714" s="9" t="n"/>
      <c r="F714" s="7" t="str">
        <f>IF(OR(D714="",E714=""),"",(E714-D714)*1440)</f>
        <v/>
      </c>
      <c r="G714" s="6" t="n"/>
      <c r="H714" s="6" t="n"/>
      <c r="I714" t="str">
        <f>IF(C714="","",C714&amp;"|"&amp;G714)</f>
        <v/>
      </c>
    </row>
    <row r="715">
      <c r="A715" s="5" t="n"/>
      <c r="B715" s="5" t="n"/>
      <c r="C715" s="25" t="n"/>
      <c r="D715" s="9" t="n"/>
      <c r="E715" s="9" t="n"/>
      <c r="F715" s="7" t="str">
        <f>IF(OR(D715="",E715=""),"",(E715-D715)*1440)</f>
        <v/>
      </c>
      <c r="G715" s="6" t="n"/>
      <c r="H715" s="6" t="n"/>
      <c r="I715" t="str">
        <f>IF(C715="","",C715&amp;"|"&amp;G715)</f>
        <v/>
      </c>
    </row>
    <row r="716">
      <c r="A716" s="5" t="n"/>
      <c r="B716" s="5" t="n"/>
      <c r="C716" s="25" t="n"/>
      <c r="D716" s="9" t="n"/>
      <c r="E716" s="9" t="n"/>
      <c r="F716" s="7" t="str">
        <f>IF(OR(D716="",E716=""),"",(E716-D716)*1440)</f>
        <v/>
      </c>
      <c r="G716" s="6" t="n"/>
      <c r="H716" s="6" t="n"/>
      <c r="I716" t="str">
        <f>IF(C716="","",C716&amp;"|"&amp;G716)</f>
        <v/>
      </c>
    </row>
    <row r="717">
      <c r="A717" s="5" t="n"/>
      <c r="B717" s="5" t="n"/>
      <c r="C717" s="25" t="n"/>
      <c r="D717" s="9" t="n"/>
      <c r="E717" s="9" t="n"/>
      <c r="F717" s="7" t="str">
        <f>IF(OR(D717="",E717=""),"",(E717-D717)*1440)</f>
        <v/>
      </c>
      <c r="G717" s="6" t="n"/>
      <c r="H717" s="6" t="n"/>
      <c r="I717" t="str">
        <f>IF(C717="","",C717&amp;"|"&amp;G717)</f>
        <v/>
      </c>
    </row>
    <row r="718">
      <c r="A718" s="5" t="n"/>
      <c r="B718" s="5" t="n"/>
      <c r="C718" s="25" t="n"/>
      <c r="D718" s="9" t="n"/>
      <c r="E718" s="9" t="n"/>
      <c r="F718" s="7" t="str">
        <f>IF(OR(D718="",E718=""),"",(E718-D718)*1440)</f>
        <v/>
      </c>
      <c r="G718" s="6" t="n"/>
      <c r="H718" s="6" t="n"/>
      <c r="I718" t="str">
        <f>IF(C718="","",C718&amp;"|"&amp;G718)</f>
        <v/>
      </c>
    </row>
    <row r="719">
      <c r="A719" s="5" t="n"/>
      <c r="B719" s="5" t="n"/>
      <c r="C719" s="25" t="n"/>
      <c r="D719" s="9" t="n"/>
      <c r="E719" s="9" t="n"/>
      <c r="F719" s="7" t="str">
        <f>IF(OR(D719="",E719=""),"",(E719-D719)*1440)</f>
        <v/>
      </c>
      <c r="G719" s="6" t="n"/>
      <c r="H719" s="6" t="n"/>
      <c r="I719" t="str">
        <f>IF(C719="","",C719&amp;"|"&amp;G719)</f>
        <v/>
      </c>
    </row>
    <row r="720">
      <c r="A720" s="5" t="n"/>
      <c r="B720" s="5" t="n"/>
      <c r="C720" s="25" t="n"/>
      <c r="D720" s="9" t="n"/>
      <c r="E720" s="9" t="n"/>
      <c r="F720" s="7" t="str">
        <f>IF(OR(D720="",E720=""),"",(E720-D720)*1440)</f>
        <v/>
      </c>
      <c r="G720" s="6" t="n"/>
      <c r="H720" s="6" t="n"/>
      <c r="I720" t="str">
        <f>IF(C720="","",C720&amp;"|"&amp;G720)</f>
        <v/>
      </c>
    </row>
    <row r="721">
      <c r="A721" s="5" t="n"/>
      <c r="B721" s="5" t="n"/>
      <c r="C721" s="25" t="n"/>
      <c r="D721" s="9" t="n"/>
      <c r="E721" s="9" t="n"/>
      <c r="F721" s="7" t="str">
        <f>IF(OR(D721="",E721=""),"",(E721-D721)*1440)</f>
        <v/>
      </c>
      <c r="G721" s="6" t="n"/>
      <c r="H721" s="6" t="n"/>
      <c r="I721" t="str">
        <f>IF(C721="","",C721&amp;"|"&amp;G721)</f>
        <v/>
      </c>
    </row>
    <row r="722">
      <c r="A722" s="5" t="n"/>
      <c r="B722" s="5" t="n"/>
      <c r="C722" s="25" t="n"/>
      <c r="D722" s="9" t="n"/>
      <c r="E722" s="9" t="n"/>
      <c r="F722" s="7" t="str">
        <f>IF(OR(D722="",E722=""),"",(E722-D722)*1440)</f>
        <v/>
      </c>
      <c r="G722" s="6" t="n"/>
      <c r="H722" s="6" t="n"/>
      <c r="I722" t="str">
        <f>IF(C722="","",C722&amp;"|"&amp;G722)</f>
        <v/>
      </c>
    </row>
    <row r="723">
      <c r="A723" s="5" t="n"/>
      <c r="B723" s="5" t="n"/>
      <c r="C723" s="25" t="n"/>
      <c r="D723" s="9" t="n"/>
      <c r="E723" s="9" t="n"/>
      <c r="F723" s="7" t="str">
        <f>IF(OR(D723="",E723=""),"",(E723-D723)*1440)</f>
        <v/>
      </c>
      <c r="G723" s="6" t="n"/>
      <c r="H723" s="6" t="n"/>
      <c r="I723" t="str">
        <f>IF(C723="","",C723&amp;"|"&amp;G723)</f>
        <v/>
      </c>
    </row>
    <row r="724">
      <c r="A724" s="5" t="n"/>
      <c r="B724" s="5" t="n"/>
      <c r="C724" s="25" t="n"/>
      <c r="D724" s="9" t="n"/>
      <c r="E724" s="9" t="n"/>
      <c r="F724" s="7" t="str">
        <f>IF(OR(D724="",E724=""),"",(E724-D724)*1440)</f>
        <v/>
      </c>
      <c r="G724" s="6" t="n"/>
      <c r="H724" s="6" t="n"/>
      <c r="I724" t="str">
        <f>IF(C724="","",C724&amp;"|"&amp;G724)</f>
        <v/>
      </c>
    </row>
    <row r="725">
      <c r="A725" s="5" t="n"/>
      <c r="B725" s="5" t="n"/>
      <c r="C725" s="25" t="n"/>
      <c r="D725" s="9" t="n"/>
      <c r="E725" s="9" t="n"/>
      <c r="F725" s="7" t="str">
        <f>IF(OR(D725="",E725=""),"",(E725-D725)*1440)</f>
        <v/>
      </c>
      <c r="G725" s="6" t="n"/>
      <c r="H725" s="6" t="n"/>
      <c r="I725" t="str">
        <f>IF(C725="","",C725&amp;"|"&amp;G725)</f>
        <v/>
      </c>
    </row>
    <row r="726">
      <c r="A726" s="5" t="n"/>
      <c r="B726" s="5" t="n"/>
      <c r="C726" s="25" t="n"/>
      <c r="D726" s="9" t="n"/>
      <c r="E726" s="9" t="n"/>
      <c r="F726" s="7" t="str">
        <f>IF(OR(D726="",E726=""),"",(E726-D726)*1440)</f>
        <v/>
      </c>
      <c r="G726" s="6" t="n"/>
      <c r="H726" s="6" t="n"/>
      <c r="I726" t="str">
        <f>IF(C726="","",C726&amp;"|"&amp;G726)</f>
        <v/>
      </c>
    </row>
    <row r="727">
      <c r="A727" s="5" t="n"/>
      <c r="B727" s="5" t="n"/>
      <c r="C727" s="25" t="n"/>
      <c r="D727" s="9" t="n"/>
      <c r="E727" s="9" t="n"/>
      <c r="F727" s="7" t="str">
        <f>IF(OR(D727="",E727=""),"",(E727-D727)*1440)</f>
        <v/>
      </c>
      <c r="G727" s="6" t="n"/>
      <c r="H727" s="6" t="n"/>
      <c r="I727" t="str">
        <f>IF(C727="","",C727&amp;"|"&amp;G727)</f>
        <v/>
      </c>
    </row>
    <row r="728">
      <c r="A728" s="5" t="n"/>
      <c r="B728" s="5" t="n"/>
      <c r="C728" s="25" t="n"/>
      <c r="D728" s="9" t="n"/>
      <c r="E728" s="9" t="n"/>
      <c r="F728" s="7" t="str">
        <f>IF(OR(D728="",E728=""),"",(E728-D728)*1440)</f>
        <v/>
      </c>
      <c r="G728" s="6" t="n"/>
      <c r="H728" s="6" t="n"/>
      <c r="I728" t="str">
        <f>IF(C728="","",C728&amp;"|"&amp;G728)</f>
        <v/>
      </c>
    </row>
    <row r="729">
      <c r="A729" s="5" t="n"/>
      <c r="B729" s="5" t="n"/>
      <c r="C729" s="25" t="n"/>
      <c r="D729" s="9" t="n"/>
      <c r="E729" s="9" t="n"/>
      <c r="F729" s="7" t="str">
        <f>IF(OR(D729="",E729=""),"",(E729-D729)*1440)</f>
        <v/>
      </c>
      <c r="G729" s="6" t="n"/>
      <c r="H729" s="6" t="n"/>
      <c r="I729" t="str">
        <f>IF(C729="","",C729&amp;"|"&amp;G729)</f>
        <v/>
      </c>
    </row>
    <row r="730">
      <c r="A730" s="5" t="n"/>
      <c r="B730" s="5" t="n"/>
      <c r="C730" s="25" t="n"/>
      <c r="D730" s="9" t="n"/>
      <c r="E730" s="9" t="n"/>
      <c r="F730" s="7" t="str">
        <f>IF(OR(D730="",E730=""),"",(E730-D730)*1440)</f>
        <v/>
      </c>
      <c r="G730" s="6" t="n"/>
      <c r="H730" s="6" t="n"/>
      <c r="I730" t="str">
        <f>IF(C730="","",C730&amp;"|"&amp;G730)</f>
        <v/>
      </c>
    </row>
    <row r="731">
      <c r="A731" s="5" t="n"/>
      <c r="B731" s="5" t="n"/>
      <c r="C731" s="25" t="n"/>
      <c r="D731" s="9" t="n"/>
      <c r="E731" s="9" t="n"/>
      <c r="F731" s="7" t="str">
        <f>IF(OR(D731="",E731=""),"",(E731-D731)*1440)</f>
        <v/>
      </c>
      <c r="G731" s="6" t="n"/>
      <c r="H731" s="6" t="n"/>
      <c r="I731" t="str">
        <f>IF(C731="","",C731&amp;"|"&amp;G731)</f>
        <v/>
      </c>
    </row>
    <row r="732">
      <c r="A732" s="5" t="n"/>
      <c r="B732" s="5" t="n"/>
      <c r="C732" s="25" t="n"/>
      <c r="D732" s="9" t="n"/>
      <c r="E732" s="9" t="n"/>
      <c r="F732" s="7" t="str">
        <f>IF(OR(D732="",E732=""),"",(E732-D732)*1440)</f>
        <v/>
      </c>
      <c r="G732" s="6" t="n"/>
      <c r="H732" s="6" t="n"/>
      <c r="I732" t="str">
        <f>IF(C732="","",C732&amp;"|"&amp;G732)</f>
        <v/>
      </c>
    </row>
    <row r="733">
      <c r="A733" s="5" t="n"/>
      <c r="B733" s="5" t="n"/>
      <c r="C733" s="25" t="n"/>
      <c r="D733" s="9" t="n"/>
      <c r="E733" s="9" t="n"/>
      <c r="F733" s="7" t="str">
        <f>IF(OR(D733="",E733=""),"",(E733-D733)*1440)</f>
        <v/>
      </c>
      <c r="G733" s="6" t="n"/>
      <c r="H733" s="6" t="n"/>
      <c r="I733" t="str">
        <f>IF(C733="","",C733&amp;"|"&amp;G733)</f>
        <v/>
      </c>
    </row>
    <row r="734">
      <c r="A734" s="5" t="n"/>
      <c r="B734" s="5" t="n"/>
      <c r="C734" s="25" t="n"/>
      <c r="D734" s="9" t="n"/>
      <c r="E734" s="9" t="n"/>
      <c r="F734" s="7" t="str">
        <f>IF(OR(D734="",E734=""),"",(E734-D734)*1440)</f>
        <v/>
      </c>
      <c r="G734" s="6" t="n"/>
      <c r="H734" s="6" t="n"/>
      <c r="I734" t="str">
        <f>IF(C734="","",C734&amp;"|"&amp;G734)</f>
        <v/>
      </c>
    </row>
    <row r="735">
      <c r="A735" s="5" t="n"/>
      <c r="B735" s="5" t="n"/>
      <c r="C735" s="25" t="n"/>
      <c r="D735" s="9" t="n"/>
      <c r="E735" s="9" t="n"/>
      <c r="F735" s="7" t="str">
        <f>IF(OR(D735="",E735=""),"",(E735-D735)*1440)</f>
        <v/>
      </c>
      <c r="G735" s="6" t="n"/>
      <c r="H735" s="6" t="n"/>
      <c r="I735" t="str">
        <f>IF(C735="","",C735&amp;"|"&amp;G735)</f>
        <v/>
      </c>
    </row>
    <row r="736">
      <c r="A736" s="5" t="n"/>
      <c r="B736" s="5" t="n"/>
      <c r="C736" s="25" t="n"/>
      <c r="D736" s="9" t="n"/>
      <c r="E736" s="9" t="n"/>
      <c r="F736" s="7" t="str">
        <f>IF(OR(D736="",E736=""),"",(E736-D736)*1440)</f>
        <v/>
      </c>
      <c r="G736" s="6" t="n"/>
      <c r="H736" s="6" t="n"/>
      <c r="I736" t="str">
        <f>IF(C736="","",C736&amp;"|"&amp;G736)</f>
        <v/>
      </c>
    </row>
    <row r="737">
      <c r="A737" s="5" t="n"/>
      <c r="B737" s="5" t="n"/>
      <c r="C737" s="25" t="n"/>
      <c r="D737" s="9" t="n"/>
      <c r="E737" s="9" t="n"/>
      <c r="F737" s="7" t="str">
        <f>IF(OR(D737="",E737=""),"",(E737-D737)*1440)</f>
        <v/>
      </c>
      <c r="G737" s="6" t="n"/>
      <c r="H737" s="6" t="n"/>
      <c r="I737" t="str">
        <f>IF(C737="","",C737&amp;"|"&amp;G737)</f>
        <v/>
      </c>
    </row>
    <row r="738">
      <c r="A738" s="5" t="n"/>
      <c r="B738" s="5" t="n"/>
      <c r="C738" s="25" t="n"/>
      <c r="D738" s="9" t="n"/>
      <c r="E738" s="9" t="n"/>
      <c r="F738" s="7" t="str">
        <f>IF(OR(D738="",E738=""),"",(E738-D738)*1440)</f>
        <v/>
      </c>
      <c r="G738" s="6" t="n"/>
      <c r="H738" s="6" t="n"/>
      <c r="I738" t="str">
        <f>IF(C738="","",C738&amp;"|"&amp;G738)</f>
        <v/>
      </c>
    </row>
    <row r="739">
      <c r="A739" s="5" t="n"/>
      <c r="B739" s="5" t="n"/>
      <c r="C739" s="25" t="n"/>
      <c r="D739" s="9" t="n"/>
      <c r="E739" s="9" t="n"/>
      <c r="F739" s="7" t="str">
        <f>IF(OR(D739="",E739=""),"",(E739-D739)*1440)</f>
        <v/>
      </c>
      <c r="G739" s="6" t="n"/>
      <c r="H739" s="6" t="n"/>
      <c r="I739" t="str">
        <f>IF(C739="","",C739&amp;"|"&amp;G739)</f>
        <v/>
      </c>
    </row>
    <row r="740">
      <c r="A740" s="5" t="n"/>
      <c r="B740" s="5" t="n"/>
      <c r="C740" s="25" t="n"/>
      <c r="D740" s="9" t="n"/>
      <c r="E740" s="9" t="n"/>
      <c r="F740" s="7" t="str">
        <f>IF(OR(D740="",E740=""),"",(E740-D740)*1440)</f>
        <v/>
      </c>
      <c r="G740" s="6" t="n"/>
      <c r="H740" s="6" t="n"/>
      <c r="I740" t="str">
        <f>IF(C740="","",C740&amp;"|"&amp;G740)</f>
        <v/>
      </c>
    </row>
    <row r="741">
      <c r="A741" s="5" t="n"/>
      <c r="B741" s="5" t="n"/>
      <c r="C741" s="25" t="n"/>
      <c r="D741" s="9" t="n"/>
      <c r="E741" s="9" t="n"/>
      <c r="F741" s="7" t="str">
        <f>IF(OR(D741="",E741=""),"",(E741-D741)*1440)</f>
        <v/>
      </c>
      <c r="G741" s="6" t="n"/>
      <c r="H741" s="6" t="n"/>
      <c r="I741" t="str">
        <f>IF(C741="","",C741&amp;"|"&amp;G741)</f>
        <v/>
      </c>
    </row>
    <row r="742">
      <c r="A742" s="5" t="n"/>
      <c r="B742" s="5" t="n"/>
      <c r="C742" s="25" t="n"/>
      <c r="D742" s="9" t="n"/>
      <c r="E742" s="9" t="n"/>
      <c r="F742" s="7" t="str">
        <f>IF(OR(D742="",E742=""),"",(E742-D742)*1440)</f>
        <v/>
      </c>
      <c r="G742" s="6" t="n"/>
      <c r="H742" s="6" t="n"/>
      <c r="I742" t="str">
        <f>IF(C742="","",C742&amp;"|"&amp;G742)</f>
        <v/>
      </c>
    </row>
    <row r="743">
      <c r="A743" s="5" t="n"/>
      <c r="B743" s="5" t="n"/>
      <c r="C743" s="25" t="n"/>
      <c r="D743" s="9" t="n"/>
      <c r="E743" s="9" t="n"/>
      <c r="F743" s="7" t="str">
        <f>IF(OR(D743="",E743=""),"",(E743-D743)*1440)</f>
        <v/>
      </c>
      <c r="G743" s="6" t="n"/>
      <c r="H743" s="6" t="n"/>
      <c r="I743" t="str">
        <f>IF(C743="","",C743&amp;"|"&amp;G743)</f>
        <v/>
      </c>
    </row>
    <row r="744">
      <c r="A744" s="5" t="n"/>
      <c r="B744" s="5" t="n"/>
      <c r="C744" s="25" t="n"/>
      <c r="D744" s="9" t="n"/>
      <c r="E744" s="9" t="n"/>
      <c r="F744" s="7" t="str">
        <f>IF(OR(D744="",E744=""),"",(E744-D744)*1440)</f>
        <v/>
      </c>
      <c r="G744" s="6" t="n"/>
      <c r="H744" s="6" t="n"/>
      <c r="I744" t="str">
        <f>IF(C744="","",C744&amp;"|"&amp;G744)</f>
        <v/>
      </c>
    </row>
    <row r="745">
      <c r="A745" s="5" t="n"/>
      <c r="B745" s="5" t="n"/>
      <c r="C745" s="25" t="n"/>
      <c r="D745" s="9" t="n"/>
      <c r="E745" s="9" t="n"/>
      <c r="F745" s="7" t="str">
        <f>IF(OR(D745="",E745=""),"",(E745-D745)*1440)</f>
        <v/>
      </c>
      <c r="G745" s="6" t="n"/>
      <c r="H745" s="6" t="n"/>
      <c r="I745" t="str">
        <f>IF(C745="","",C745&amp;"|"&amp;G745)</f>
        <v/>
      </c>
    </row>
    <row r="746">
      <c r="A746" s="5" t="n"/>
      <c r="B746" s="5" t="n"/>
      <c r="C746" s="25" t="n"/>
      <c r="D746" s="9" t="n"/>
      <c r="E746" s="9" t="n"/>
      <c r="F746" s="7" t="str">
        <f>IF(OR(D746="",E746=""),"",(E746-D746)*1440)</f>
        <v/>
      </c>
      <c r="G746" s="6" t="n"/>
      <c r="H746" s="6" t="n"/>
      <c r="I746" t="str">
        <f>IF(C746="","",C746&amp;"|"&amp;G746)</f>
        <v/>
      </c>
    </row>
    <row r="747">
      <c r="A747" s="5" t="n"/>
      <c r="B747" s="5" t="n"/>
      <c r="C747" s="25" t="n"/>
      <c r="D747" s="9" t="n"/>
      <c r="E747" s="9" t="n"/>
      <c r="F747" s="7" t="str">
        <f>IF(OR(D747="",E747=""),"",(E747-D747)*1440)</f>
        <v/>
      </c>
      <c r="G747" s="6" t="n"/>
      <c r="H747" s="6" t="n"/>
      <c r="I747" t="str">
        <f>IF(C747="","",C747&amp;"|"&amp;G747)</f>
        <v/>
      </c>
    </row>
    <row r="748">
      <c r="A748" s="5" t="n"/>
      <c r="B748" s="5" t="n"/>
      <c r="C748" s="25" t="n"/>
      <c r="D748" s="9" t="n"/>
      <c r="E748" s="9" t="n"/>
      <c r="F748" s="7" t="str">
        <f>IF(OR(D748="",E748=""),"",(E748-D748)*1440)</f>
        <v/>
      </c>
      <c r="G748" s="6" t="n"/>
      <c r="H748" s="6" t="n"/>
      <c r="I748" t="str">
        <f>IF(C748="","",C748&amp;"|"&amp;G748)</f>
        <v/>
      </c>
    </row>
    <row r="749">
      <c r="A749" s="5" t="n"/>
      <c r="B749" s="5" t="n"/>
      <c r="C749" s="25" t="n"/>
      <c r="D749" s="9" t="n"/>
      <c r="E749" s="9" t="n"/>
      <c r="F749" s="7" t="str">
        <f>IF(OR(D749="",E749=""),"",(E749-D749)*1440)</f>
        <v/>
      </c>
      <c r="G749" s="6" t="n"/>
      <c r="H749" s="6" t="n"/>
      <c r="I749" t="str">
        <f>IF(C749="","",C749&amp;"|"&amp;G749)</f>
        <v/>
      </c>
    </row>
    <row r="750">
      <c r="A750" s="5" t="n"/>
      <c r="B750" s="5" t="n"/>
      <c r="C750" s="25" t="n"/>
      <c r="D750" s="9" t="n"/>
      <c r="E750" s="9" t="n"/>
      <c r="F750" s="7" t="str">
        <f>IF(OR(D750="",E750=""),"",(E750-D750)*1440)</f>
        <v/>
      </c>
      <c r="G750" s="6" t="n"/>
      <c r="H750" s="6" t="n"/>
      <c r="I750" t="str">
        <f>IF(C750="","",C750&amp;"|"&amp;G750)</f>
        <v/>
      </c>
    </row>
    <row r="751">
      <c r="A751" s="5" t="n"/>
      <c r="B751" s="5" t="n"/>
      <c r="C751" s="25" t="n"/>
      <c r="D751" s="9" t="n"/>
      <c r="E751" s="9" t="n"/>
      <c r="F751" s="7" t="str">
        <f>IF(OR(D751="",E751=""),"",(E751-D751)*1440)</f>
        <v/>
      </c>
      <c r="G751" s="6" t="n"/>
      <c r="H751" s="6" t="n"/>
      <c r="I751" t="str">
        <f>IF(C751="","",C751&amp;"|"&amp;G751)</f>
        <v/>
      </c>
    </row>
    <row r="752">
      <c r="A752" s="5" t="n"/>
      <c r="B752" s="5" t="n"/>
      <c r="C752" s="25" t="n"/>
      <c r="D752" s="9" t="n"/>
      <c r="E752" s="9" t="n"/>
      <c r="F752" s="7" t="str">
        <f>IF(OR(D752="",E752=""),"",(E752-D752)*1440)</f>
        <v/>
      </c>
      <c r="G752" s="6" t="n"/>
      <c r="H752" s="6" t="n"/>
      <c r="I752" t="str">
        <f>IF(C752="","",C752&amp;"|"&amp;G752)</f>
        <v/>
      </c>
    </row>
    <row r="753">
      <c r="A753" s="5" t="n"/>
      <c r="B753" s="5" t="n"/>
      <c r="C753" s="25" t="n"/>
      <c r="D753" s="9" t="n"/>
      <c r="E753" s="9" t="n"/>
      <c r="F753" s="7" t="str">
        <f>IF(OR(D753="",E753=""),"",(E753-D753)*1440)</f>
        <v/>
      </c>
      <c r="G753" s="6" t="n"/>
      <c r="H753" s="6" t="n"/>
      <c r="I753" t="str">
        <f>IF(C753="","",C753&amp;"|"&amp;G753)</f>
        <v/>
      </c>
    </row>
    <row r="754">
      <c r="A754" s="5" t="n"/>
      <c r="B754" s="5" t="n"/>
      <c r="C754" s="25" t="n"/>
      <c r="D754" s="9" t="n"/>
      <c r="E754" s="9" t="n"/>
      <c r="F754" s="7" t="str">
        <f>IF(OR(D754="",E754=""),"",(E754-D754)*1440)</f>
        <v/>
      </c>
      <c r="G754" s="6" t="n"/>
      <c r="H754" s="6" t="n"/>
      <c r="I754" t="str">
        <f>IF(C754="","",C754&amp;"|"&amp;G754)</f>
        <v/>
      </c>
    </row>
    <row r="755">
      <c r="A755" s="5" t="n"/>
      <c r="B755" s="5" t="n"/>
      <c r="C755" s="25" t="n"/>
      <c r="D755" s="9" t="n"/>
      <c r="E755" s="9" t="n"/>
      <c r="F755" s="7" t="str">
        <f>IF(OR(D755="",E755=""),"",(E755-D755)*1440)</f>
        <v/>
      </c>
      <c r="G755" s="6" t="n"/>
      <c r="H755" s="6" t="n"/>
      <c r="I755" t="str">
        <f>IF(C755="","",C755&amp;"|"&amp;G755)</f>
        <v/>
      </c>
    </row>
    <row r="756">
      <c r="A756" s="5" t="n"/>
      <c r="B756" s="5" t="n"/>
      <c r="C756" s="25" t="n"/>
      <c r="D756" s="9" t="n"/>
      <c r="E756" s="9" t="n"/>
      <c r="F756" s="7" t="str">
        <f>IF(OR(D756="",E756=""),"",(E756-D756)*1440)</f>
        <v/>
      </c>
      <c r="G756" s="6" t="n"/>
      <c r="H756" s="6" t="n"/>
      <c r="I756" t="str">
        <f>IF(C756="","",C756&amp;"|"&amp;G756)</f>
        <v/>
      </c>
    </row>
    <row r="757">
      <c r="A757" s="5" t="n"/>
      <c r="B757" s="5" t="n"/>
      <c r="C757" s="25" t="n"/>
      <c r="D757" s="9" t="n"/>
      <c r="E757" s="9" t="n"/>
      <c r="F757" s="7" t="str">
        <f>IF(OR(D757="",E757=""),"",(E757-D757)*1440)</f>
        <v/>
      </c>
      <c r="G757" s="6" t="n"/>
      <c r="H757" s="6" t="n"/>
      <c r="I757" t="str">
        <f>IF(C757="","",C757&amp;"|"&amp;G757)</f>
        <v/>
      </c>
    </row>
    <row r="758">
      <c r="A758" s="5" t="n"/>
      <c r="B758" s="5" t="n"/>
      <c r="C758" s="25" t="n"/>
      <c r="D758" s="9" t="n"/>
      <c r="E758" s="9" t="n"/>
      <c r="F758" s="7" t="str">
        <f>IF(OR(D758="",E758=""),"",(E758-D758)*1440)</f>
        <v/>
      </c>
      <c r="G758" s="6" t="n"/>
      <c r="H758" s="6" t="n"/>
      <c r="I758" t="str">
        <f>IF(C758="","",C758&amp;"|"&amp;G758)</f>
        <v/>
      </c>
    </row>
    <row r="759">
      <c r="A759" s="5" t="n"/>
      <c r="B759" s="5" t="n"/>
      <c r="C759" s="25" t="n"/>
      <c r="D759" s="9" t="n"/>
      <c r="E759" s="9" t="n"/>
      <c r="F759" s="7" t="str">
        <f>IF(OR(D759="",E759=""),"",(E759-D759)*1440)</f>
        <v/>
      </c>
      <c r="G759" s="6" t="n"/>
      <c r="H759" s="6" t="n"/>
      <c r="I759" t="str">
        <f>IF(C759="","",C759&amp;"|"&amp;G759)</f>
        <v/>
      </c>
    </row>
    <row r="760">
      <c r="A760" s="5" t="n"/>
      <c r="B760" s="5" t="n"/>
      <c r="C760" s="25" t="n"/>
      <c r="D760" s="9" t="n"/>
      <c r="E760" s="9" t="n"/>
      <c r="F760" s="7" t="str">
        <f>IF(OR(D760="",E760=""),"",(E760-D760)*1440)</f>
        <v/>
      </c>
      <c r="G760" s="6" t="n"/>
      <c r="H760" s="6" t="n"/>
      <c r="I760" t="str">
        <f>IF(C760="","",C760&amp;"|"&amp;G760)</f>
        <v/>
      </c>
    </row>
    <row r="761">
      <c r="A761" s="5" t="n"/>
      <c r="B761" s="5" t="n"/>
      <c r="C761" s="25" t="n"/>
      <c r="D761" s="9" t="n"/>
      <c r="E761" s="9" t="n"/>
      <c r="F761" s="7" t="str">
        <f>IF(OR(D761="",E761=""),"",(E761-D761)*1440)</f>
        <v/>
      </c>
      <c r="G761" s="6" t="n"/>
      <c r="H761" s="6" t="n"/>
      <c r="I761" t="str">
        <f>IF(C761="","",C761&amp;"|"&amp;G761)</f>
        <v/>
      </c>
    </row>
    <row r="762">
      <c r="A762" s="5" t="n"/>
      <c r="B762" s="5" t="n"/>
      <c r="C762" s="25" t="n"/>
      <c r="D762" s="9" t="n"/>
      <c r="E762" s="9" t="n"/>
      <c r="F762" s="7" t="str">
        <f>IF(OR(D762="",E762=""),"",(E762-D762)*1440)</f>
        <v/>
      </c>
      <c r="G762" s="6" t="n"/>
      <c r="H762" s="6" t="n"/>
      <c r="I762" t="str">
        <f>IF(C762="","",C762&amp;"|"&amp;G762)</f>
        <v/>
      </c>
    </row>
    <row r="763">
      <c r="A763" s="5" t="n"/>
      <c r="B763" s="5" t="n"/>
      <c r="C763" s="25" t="n"/>
      <c r="D763" s="9" t="n"/>
      <c r="E763" s="9" t="n"/>
      <c r="F763" s="7" t="str">
        <f>IF(OR(D763="",E763=""),"",(E763-D763)*1440)</f>
        <v/>
      </c>
      <c r="G763" s="6" t="n"/>
      <c r="H763" s="6" t="n"/>
      <c r="I763" t="str">
        <f>IF(C763="","",C763&amp;"|"&amp;G763)</f>
        <v/>
      </c>
    </row>
    <row r="764">
      <c r="A764" s="5" t="n"/>
      <c r="B764" s="5" t="n"/>
      <c r="C764" s="25" t="n"/>
      <c r="D764" s="9" t="n"/>
      <c r="E764" s="9" t="n"/>
      <c r="F764" s="7" t="str">
        <f>IF(OR(D764="",E764=""),"",(E764-D764)*1440)</f>
        <v/>
      </c>
      <c r="G764" s="6" t="n"/>
      <c r="H764" s="6" t="n"/>
      <c r="I764" t="str">
        <f>IF(C764="","",C764&amp;"|"&amp;G764)</f>
        <v/>
      </c>
    </row>
    <row r="765">
      <c r="A765" s="5" t="n"/>
      <c r="B765" s="5" t="n"/>
      <c r="C765" s="25" t="n"/>
      <c r="D765" s="9" t="n"/>
      <c r="E765" s="9" t="n"/>
      <c r="F765" s="7" t="str">
        <f>IF(OR(D765="",E765=""),"",(E765-D765)*1440)</f>
        <v/>
      </c>
      <c r="G765" s="6" t="n"/>
      <c r="H765" s="6" t="n"/>
      <c r="I765" t="str">
        <f>IF(C765="","",C765&amp;"|"&amp;G765)</f>
        <v/>
      </c>
    </row>
    <row r="766">
      <c r="A766" s="5" t="n"/>
      <c r="B766" s="5" t="n"/>
      <c r="C766" s="25" t="n"/>
      <c r="D766" s="9" t="n"/>
      <c r="E766" s="9" t="n"/>
      <c r="F766" s="7" t="str">
        <f>IF(OR(D766="",E766=""),"",(E766-D766)*1440)</f>
        <v/>
      </c>
      <c r="G766" s="6" t="n"/>
      <c r="H766" s="6" t="n"/>
      <c r="I766" t="str">
        <f>IF(C766="","",C766&amp;"|"&amp;G766)</f>
        <v/>
      </c>
    </row>
    <row r="767">
      <c r="A767" s="5" t="n"/>
      <c r="B767" s="5" t="n"/>
      <c r="C767" s="25" t="n"/>
      <c r="D767" s="9" t="n"/>
      <c r="E767" s="9" t="n"/>
      <c r="F767" s="7" t="str">
        <f>IF(OR(D767="",E767=""),"",(E767-D767)*1440)</f>
        <v/>
      </c>
      <c r="G767" s="6" t="n"/>
      <c r="H767" s="6" t="n"/>
      <c r="I767" t="str">
        <f>IF(C767="","",C767&amp;"|"&amp;G767)</f>
        <v/>
      </c>
    </row>
    <row r="768">
      <c r="A768" s="5" t="n"/>
      <c r="B768" s="5" t="n"/>
      <c r="C768" s="25" t="n"/>
      <c r="D768" s="9" t="n"/>
      <c r="E768" s="9" t="n"/>
      <c r="F768" s="7" t="str">
        <f>IF(OR(D768="",E768=""),"",(E768-D768)*1440)</f>
        <v/>
      </c>
      <c r="G768" s="6" t="n"/>
      <c r="H768" s="6" t="n"/>
      <c r="I768" t="str">
        <f>IF(C768="","",C768&amp;"|"&amp;G768)</f>
        <v/>
      </c>
    </row>
    <row r="769">
      <c r="A769" s="5" t="n"/>
      <c r="B769" s="5" t="n"/>
      <c r="C769" s="25" t="n"/>
      <c r="D769" s="9" t="n"/>
      <c r="E769" s="9" t="n"/>
      <c r="F769" s="7" t="str">
        <f>IF(OR(D769="",E769=""),"",(E769-D769)*1440)</f>
        <v/>
      </c>
      <c r="G769" s="6" t="n"/>
      <c r="H769" s="6" t="n"/>
      <c r="I769" t="str">
        <f>IF(C769="","",C769&amp;"|"&amp;G769)</f>
        <v/>
      </c>
    </row>
    <row r="770">
      <c r="A770" s="5" t="n"/>
      <c r="B770" s="5" t="n"/>
      <c r="C770" s="25" t="n"/>
      <c r="D770" s="9" t="n"/>
      <c r="E770" s="9" t="n"/>
      <c r="F770" s="7" t="str">
        <f>IF(OR(D770="",E770=""),"",(E770-D770)*1440)</f>
        <v/>
      </c>
      <c r="G770" s="6" t="n"/>
      <c r="H770" s="6" t="n"/>
      <c r="I770" t="str">
        <f>IF(C770="","",C770&amp;"|"&amp;G770)</f>
        <v/>
      </c>
    </row>
    <row r="771">
      <c r="A771" s="5" t="n"/>
      <c r="B771" s="5" t="n"/>
      <c r="C771" s="25" t="n"/>
      <c r="D771" s="9" t="n"/>
      <c r="E771" s="9" t="n"/>
      <c r="F771" s="7" t="str">
        <f>IF(OR(D771="",E771=""),"",(E771-D771)*1440)</f>
        <v/>
      </c>
      <c r="G771" s="6" t="n"/>
      <c r="H771" s="6" t="n"/>
      <c r="I771" t="str">
        <f>IF(C771="","",C771&amp;"|"&amp;G771)</f>
        <v/>
      </c>
    </row>
    <row r="772">
      <c r="A772" s="5" t="n"/>
      <c r="B772" s="5" t="n"/>
      <c r="C772" s="25" t="n"/>
      <c r="D772" s="9" t="n"/>
      <c r="E772" s="9" t="n"/>
      <c r="F772" s="7" t="str">
        <f>IF(OR(D772="",E772=""),"",(E772-D772)*1440)</f>
        <v/>
      </c>
      <c r="G772" s="6" t="n"/>
      <c r="H772" s="6" t="n"/>
      <c r="I772" t="str">
        <f>IF(C772="","",C772&amp;"|"&amp;G772)</f>
        <v/>
      </c>
    </row>
    <row r="773">
      <c r="A773" s="5" t="n"/>
      <c r="B773" s="5" t="n"/>
      <c r="C773" s="25" t="n"/>
      <c r="D773" s="9" t="n"/>
      <c r="E773" s="9" t="n"/>
      <c r="F773" s="7" t="str">
        <f>IF(OR(D773="",E773=""),"",(E773-D773)*1440)</f>
        <v/>
      </c>
      <c r="G773" s="6" t="n"/>
      <c r="H773" s="6" t="n"/>
      <c r="I773" t="str">
        <f>IF(C773="","",C773&amp;"|"&amp;G773)</f>
        <v/>
      </c>
    </row>
    <row r="774">
      <c r="A774" s="5" t="n"/>
      <c r="B774" s="5" t="n"/>
      <c r="C774" s="25" t="n"/>
      <c r="D774" s="9" t="n"/>
      <c r="E774" s="9" t="n"/>
      <c r="F774" s="7" t="str">
        <f>IF(OR(D774="",E774=""),"",(E774-D774)*1440)</f>
        <v/>
      </c>
      <c r="G774" s="6" t="n"/>
      <c r="H774" s="6" t="n"/>
      <c r="I774" t="str">
        <f>IF(C774="","",C774&amp;"|"&amp;G774)</f>
        <v/>
      </c>
    </row>
    <row r="775">
      <c r="A775" s="5" t="n"/>
      <c r="B775" s="5" t="n"/>
      <c r="C775" s="25" t="n"/>
      <c r="D775" s="9" t="n"/>
      <c r="E775" s="9" t="n"/>
      <c r="F775" s="7" t="str">
        <f>IF(OR(D775="",E775=""),"",(E775-D775)*1440)</f>
        <v/>
      </c>
      <c r="G775" s="6" t="n"/>
      <c r="H775" s="6" t="n"/>
      <c r="I775" t="str">
        <f>IF(C775="","",C775&amp;"|"&amp;G775)</f>
        <v/>
      </c>
    </row>
    <row r="776">
      <c r="A776" s="5" t="n"/>
      <c r="B776" s="5" t="n"/>
      <c r="C776" s="25" t="n"/>
      <c r="D776" s="9" t="n"/>
      <c r="E776" s="9" t="n"/>
      <c r="F776" s="7" t="str">
        <f>IF(OR(D776="",E776=""),"",(E776-D776)*1440)</f>
        <v/>
      </c>
      <c r="G776" s="6" t="n"/>
      <c r="H776" s="6" t="n"/>
      <c r="I776" t="str">
        <f>IF(C776="","",C776&amp;"|"&amp;G776)</f>
        <v/>
      </c>
    </row>
    <row r="777">
      <c r="A777" s="5" t="n"/>
      <c r="B777" s="5" t="n"/>
      <c r="C777" s="25" t="n"/>
      <c r="D777" s="9" t="n"/>
      <c r="E777" s="9" t="n"/>
      <c r="F777" s="7" t="str">
        <f>IF(OR(D777="",E777=""),"",(E777-D777)*1440)</f>
        <v/>
      </c>
      <c r="G777" s="6" t="n"/>
      <c r="H777" s="6" t="n"/>
      <c r="I777" t="str">
        <f>IF(C777="","",C777&amp;"|"&amp;G777)</f>
        <v/>
      </c>
    </row>
    <row r="778">
      <c r="A778" s="5" t="n"/>
      <c r="B778" s="5" t="n"/>
      <c r="C778" s="25" t="n"/>
      <c r="D778" s="9" t="n"/>
      <c r="E778" s="9" t="n"/>
      <c r="F778" s="7" t="str">
        <f>IF(OR(D778="",E778=""),"",(E778-D778)*1440)</f>
        <v/>
      </c>
      <c r="G778" s="6" t="n"/>
      <c r="H778" s="6" t="n"/>
      <c r="I778" t="str">
        <f>IF(C778="","",C778&amp;"|"&amp;G778)</f>
        <v/>
      </c>
    </row>
    <row r="779">
      <c r="A779" s="5" t="n"/>
      <c r="B779" s="5" t="n"/>
      <c r="C779" s="25" t="n"/>
      <c r="D779" s="9" t="n"/>
      <c r="E779" s="9" t="n"/>
      <c r="F779" s="7" t="str">
        <f>IF(OR(D779="",E779=""),"",(E779-D779)*1440)</f>
        <v/>
      </c>
      <c r="G779" s="6" t="n"/>
      <c r="H779" s="6" t="n"/>
      <c r="I779" t="str">
        <f>IF(C779="","",C779&amp;"|"&amp;G779)</f>
        <v/>
      </c>
    </row>
    <row r="780">
      <c r="A780" s="5" t="n"/>
      <c r="B780" s="5" t="n"/>
      <c r="C780" s="25" t="n"/>
      <c r="D780" s="9" t="n"/>
      <c r="E780" s="9" t="n"/>
      <c r="F780" s="7" t="str">
        <f>IF(OR(D780="",E780=""),"",(E780-D780)*1440)</f>
        <v/>
      </c>
      <c r="G780" s="6" t="n"/>
      <c r="H780" s="6" t="n"/>
      <c r="I780" t="str">
        <f>IF(C780="","",C780&amp;"|"&amp;G780)</f>
        <v/>
      </c>
    </row>
    <row r="781">
      <c r="A781" s="5" t="n"/>
      <c r="B781" s="5" t="n"/>
      <c r="C781" s="25" t="n"/>
      <c r="D781" s="9" t="n"/>
      <c r="E781" s="9" t="n"/>
      <c r="F781" s="7" t="str">
        <f>IF(OR(D781="",E781=""),"",(E781-D781)*1440)</f>
        <v/>
      </c>
      <c r="G781" s="6" t="n"/>
      <c r="H781" s="6" t="n"/>
      <c r="I781" t="str">
        <f>IF(C781="","",C781&amp;"|"&amp;G781)</f>
        <v/>
      </c>
    </row>
    <row r="782">
      <c r="A782" s="5" t="n"/>
      <c r="B782" s="5" t="n"/>
      <c r="C782" s="25" t="n"/>
      <c r="D782" s="9" t="n"/>
      <c r="E782" s="9" t="n"/>
      <c r="F782" s="7" t="str">
        <f>IF(OR(D782="",E782=""),"",(E782-D782)*1440)</f>
        <v/>
      </c>
      <c r="G782" s="6" t="n"/>
      <c r="H782" s="6" t="n"/>
      <c r="I782" t="str">
        <f>IF(C782="","",C782&amp;"|"&amp;G782)</f>
        <v/>
      </c>
    </row>
    <row r="783">
      <c r="A783" s="5" t="n"/>
      <c r="B783" s="5" t="n"/>
      <c r="C783" s="25" t="n"/>
      <c r="D783" s="9" t="n"/>
      <c r="E783" s="9" t="n"/>
      <c r="F783" s="7" t="str">
        <f>IF(OR(D783="",E783=""),"",(E783-D783)*1440)</f>
        <v/>
      </c>
      <c r="G783" s="6" t="n"/>
      <c r="H783" s="6" t="n"/>
      <c r="I783" t="str">
        <f>IF(C783="","",C783&amp;"|"&amp;G783)</f>
        <v/>
      </c>
    </row>
    <row r="784">
      <c r="A784" s="5" t="n"/>
      <c r="B784" s="5" t="n"/>
      <c r="C784" s="25" t="n"/>
      <c r="D784" s="9" t="n"/>
      <c r="E784" s="9" t="n"/>
      <c r="F784" s="7" t="str">
        <f>IF(OR(D784="",E784=""),"",(E784-D784)*1440)</f>
        <v/>
      </c>
      <c r="G784" s="6" t="n"/>
      <c r="H784" s="6" t="n"/>
      <c r="I784" t="str">
        <f>IF(C784="","",C784&amp;"|"&amp;G784)</f>
        <v/>
      </c>
    </row>
    <row r="785">
      <c r="A785" s="5" t="n"/>
      <c r="B785" s="5" t="n"/>
      <c r="C785" s="25" t="n"/>
      <c r="D785" s="9" t="n"/>
      <c r="E785" s="9" t="n"/>
      <c r="F785" s="7" t="str">
        <f>IF(OR(D785="",E785=""),"",(E785-D785)*1440)</f>
        <v/>
      </c>
      <c r="G785" s="6" t="n"/>
      <c r="H785" s="6" t="n"/>
      <c r="I785" t="str">
        <f>IF(C785="","",C785&amp;"|"&amp;G785)</f>
        <v/>
      </c>
    </row>
    <row r="786">
      <c r="A786" s="5" t="n"/>
      <c r="B786" s="5" t="n"/>
      <c r="C786" s="25" t="n"/>
      <c r="D786" s="9" t="n"/>
      <c r="E786" s="9" t="n"/>
      <c r="F786" s="7" t="str">
        <f>IF(OR(D786="",E786=""),"",(E786-D786)*1440)</f>
        <v/>
      </c>
      <c r="G786" s="6" t="n"/>
      <c r="H786" s="6" t="n"/>
      <c r="I786" t="str">
        <f>IF(C786="","",C786&amp;"|"&amp;G786)</f>
        <v/>
      </c>
    </row>
    <row r="787">
      <c r="A787" s="5" t="n"/>
      <c r="B787" s="5" t="n"/>
      <c r="C787" s="25" t="n"/>
      <c r="D787" s="9" t="n"/>
      <c r="E787" s="9" t="n"/>
      <c r="F787" s="7" t="str">
        <f>IF(OR(D787="",E787=""),"",(E787-D787)*1440)</f>
        <v/>
      </c>
      <c r="G787" s="6" t="n"/>
      <c r="H787" s="6" t="n"/>
      <c r="I787" t="str">
        <f>IF(C787="","",C787&amp;"|"&amp;G787)</f>
        <v/>
      </c>
    </row>
    <row r="788">
      <c r="A788" s="5" t="n"/>
      <c r="B788" s="5" t="n"/>
      <c r="C788" s="25" t="n"/>
      <c r="D788" s="9" t="n"/>
      <c r="E788" s="9" t="n"/>
      <c r="F788" s="7" t="str">
        <f>IF(OR(D788="",E788=""),"",(E788-D788)*1440)</f>
        <v/>
      </c>
      <c r="G788" s="6" t="n"/>
      <c r="H788" s="6" t="n"/>
      <c r="I788" t="str">
        <f>IF(C788="","",C788&amp;"|"&amp;G788)</f>
        <v/>
      </c>
    </row>
    <row r="789">
      <c r="A789" s="5" t="n"/>
      <c r="B789" s="5" t="n"/>
      <c r="C789" s="25" t="n"/>
      <c r="D789" s="9" t="n"/>
      <c r="E789" s="9" t="n"/>
      <c r="F789" s="7" t="str">
        <f>IF(OR(D789="",E789=""),"",(E789-D789)*1440)</f>
        <v/>
      </c>
      <c r="G789" s="6" t="n"/>
      <c r="H789" s="6" t="n"/>
      <c r="I789" t="str">
        <f>IF(C789="","",C789&amp;"|"&amp;G789)</f>
        <v/>
      </c>
    </row>
    <row r="790">
      <c r="A790" s="5" t="n"/>
      <c r="B790" s="5" t="n"/>
      <c r="C790" s="25" t="n"/>
      <c r="D790" s="9" t="n"/>
      <c r="E790" s="9" t="n"/>
      <c r="F790" s="7" t="str">
        <f>IF(OR(D790="",E790=""),"",(E790-D790)*1440)</f>
        <v/>
      </c>
      <c r="G790" s="6" t="n"/>
      <c r="H790" s="6" t="n"/>
      <c r="I790" t="str">
        <f>IF(C790="","",C790&amp;"|"&amp;G790)</f>
        <v/>
      </c>
    </row>
    <row r="791">
      <c r="A791" s="5" t="n"/>
      <c r="B791" s="5" t="n"/>
      <c r="C791" s="25" t="n"/>
      <c r="D791" s="9" t="n"/>
      <c r="E791" s="9" t="n"/>
      <c r="F791" s="7" t="str">
        <f>IF(OR(D791="",E791=""),"",(E791-D791)*1440)</f>
        <v/>
      </c>
      <c r="G791" s="6" t="n"/>
      <c r="H791" s="6" t="n"/>
      <c r="I791" t="str">
        <f>IF(C791="","",C791&amp;"|"&amp;G791)</f>
        <v/>
      </c>
    </row>
    <row r="792">
      <c r="A792" s="5" t="n"/>
      <c r="B792" s="5" t="n"/>
      <c r="C792" s="25" t="n"/>
      <c r="D792" s="9" t="n"/>
      <c r="E792" s="9" t="n"/>
      <c r="F792" s="7" t="str">
        <f>IF(OR(D792="",E792=""),"",(E792-D792)*1440)</f>
        <v/>
      </c>
      <c r="G792" s="6" t="n"/>
      <c r="H792" s="6" t="n"/>
      <c r="I792" t="str">
        <f>IF(C792="","",C792&amp;"|"&amp;G792)</f>
        <v/>
      </c>
    </row>
    <row r="793">
      <c r="A793" s="5" t="n"/>
      <c r="B793" s="5" t="n"/>
      <c r="C793" s="25" t="n"/>
      <c r="D793" s="9" t="n"/>
      <c r="E793" s="9" t="n"/>
      <c r="F793" s="7" t="str">
        <f>IF(OR(D793="",E793=""),"",(E793-D793)*1440)</f>
        <v/>
      </c>
      <c r="G793" s="6" t="n"/>
      <c r="H793" s="6" t="n"/>
      <c r="I793" t="str">
        <f>IF(C793="","",C793&amp;"|"&amp;G793)</f>
        <v/>
      </c>
    </row>
    <row r="794">
      <c r="A794" s="5" t="n"/>
      <c r="B794" s="5" t="n"/>
      <c r="C794" s="25" t="n"/>
      <c r="D794" s="9" t="n"/>
      <c r="E794" s="9" t="n"/>
      <c r="F794" s="7" t="str">
        <f>IF(OR(D794="",E794=""),"",(E794-D794)*1440)</f>
        <v/>
      </c>
      <c r="G794" s="6" t="n"/>
      <c r="H794" s="6" t="n"/>
      <c r="I794" t="str">
        <f>IF(C794="","",C794&amp;"|"&amp;G794)</f>
        <v/>
      </c>
    </row>
    <row r="795">
      <c r="A795" s="5" t="n"/>
      <c r="B795" s="5" t="n"/>
      <c r="C795" s="25" t="n"/>
      <c r="D795" s="9" t="n"/>
      <c r="E795" s="9" t="n"/>
      <c r="F795" s="7" t="str">
        <f>IF(OR(D795="",E795=""),"",(E795-D795)*1440)</f>
        <v/>
      </c>
      <c r="G795" s="6" t="n"/>
      <c r="H795" s="6" t="n"/>
      <c r="I795" t="str">
        <f>IF(C795="","",C795&amp;"|"&amp;G795)</f>
        <v/>
      </c>
    </row>
    <row r="796">
      <c r="A796" s="5" t="n"/>
      <c r="B796" s="5" t="n"/>
      <c r="C796" s="25" t="n"/>
      <c r="D796" s="9" t="n"/>
      <c r="E796" s="9" t="n"/>
      <c r="F796" s="7" t="str">
        <f>IF(OR(D796="",E796=""),"",(E796-D796)*1440)</f>
        <v/>
      </c>
      <c r="G796" s="6" t="n"/>
      <c r="H796" s="6" t="n"/>
      <c r="I796" t="str">
        <f>IF(C796="","",C796&amp;"|"&amp;G796)</f>
        <v/>
      </c>
    </row>
    <row r="797">
      <c r="A797" s="5" t="n"/>
      <c r="B797" s="5" t="n"/>
      <c r="C797" s="25" t="n"/>
      <c r="D797" s="9" t="n"/>
      <c r="E797" s="9" t="n"/>
      <c r="F797" s="7" t="str">
        <f>IF(OR(D797="",E797=""),"",(E797-D797)*1440)</f>
        <v/>
      </c>
      <c r="G797" s="6" t="n"/>
      <c r="H797" s="6" t="n"/>
      <c r="I797" t="str">
        <f>IF(C797="","",C797&amp;"|"&amp;G797)</f>
        <v/>
      </c>
    </row>
    <row r="798">
      <c r="A798" s="5" t="n"/>
      <c r="B798" s="5" t="n"/>
      <c r="C798" s="25" t="n"/>
      <c r="D798" s="9" t="n"/>
      <c r="E798" s="9" t="n"/>
      <c r="F798" s="7" t="str">
        <f>IF(OR(D798="",E798=""),"",(E798-D798)*1440)</f>
        <v/>
      </c>
      <c r="G798" s="6" t="n"/>
      <c r="H798" s="6" t="n"/>
      <c r="I798" t="str">
        <f>IF(C798="","",C798&amp;"|"&amp;G798)</f>
        <v/>
      </c>
    </row>
    <row r="799">
      <c r="A799" s="5" t="n"/>
      <c r="B799" s="5" t="n"/>
      <c r="C799" s="25" t="n"/>
      <c r="D799" s="9" t="n"/>
      <c r="E799" s="9" t="n"/>
      <c r="F799" s="7" t="str">
        <f>IF(OR(D799="",E799=""),"",(E799-D799)*1440)</f>
        <v/>
      </c>
      <c r="G799" s="6" t="n"/>
      <c r="H799" s="6" t="n"/>
      <c r="I799" t="str">
        <f>IF(C799="","",C799&amp;"|"&amp;G799)</f>
        <v/>
      </c>
    </row>
    <row r="800">
      <c r="A800" s="5" t="n"/>
      <c r="B800" s="5" t="n"/>
      <c r="C800" s="25" t="n"/>
      <c r="D800" s="9" t="n"/>
      <c r="E800" s="9" t="n"/>
      <c r="F800" s="7" t="str">
        <f>IF(OR(D800="",E800=""),"",(E800-D800)*1440)</f>
        <v/>
      </c>
      <c r="G800" s="6" t="n"/>
      <c r="H800" s="6" t="n"/>
      <c r="I800" t="str">
        <f>IF(C800="","",C800&amp;"|"&amp;G800)</f>
        <v/>
      </c>
    </row>
    <row r="801">
      <c r="A801" s="5" t="n"/>
      <c r="B801" s="5" t="n"/>
      <c r="C801" s="25" t="n"/>
      <c r="D801" s="9" t="n"/>
      <c r="E801" s="9" t="n"/>
      <c r="F801" s="7" t="str">
        <f>IF(OR(D801="",E801=""),"",(E801-D801)*1440)</f>
        <v/>
      </c>
      <c r="G801" s="6" t="n"/>
      <c r="H801" s="6" t="n"/>
      <c r="I801" t="str">
        <f>IF(C801="","",C801&amp;"|"&amp;G801)</f>
        <v/>
      </c>
    </row>
    <row r="802">
      <c r="A802" s="5" t="n"/>
      <c r="B802" s="5" t="n"/>
      <c r="C802" s="25" t="n"/>
      <c r="D802" s="9" t="n"/>
      <c r="E802" s="9" t="n"/>
      <c r="F802" s="7" t="str">
        <f>IF(OR(D802="",E802=""),"",(E802-D802)*1440)</f>
        <v/>
      </c>
      <c r="G802" s="6" t="n"/>
      <c r="H802" s="6" t="n"/>
      <c r="I802" t="str">
        <f>IF(C802="","",C802&amp;"|"&amp;G802)</f>
        <v/>
      </c>
    </row>
    <row r="803">
      <c r="A803" s="5" t="n"/>
      <c r="B803" s="5" t="n"/>
      <c r="C803" s="25" t="n"/>
      <c r="D803" s="9" t="n"/>
      <c r="E803" s="9" t="n"/>
      <c r="F803" s="7" t="str">
        <f>IF(OR(D803="",E803=""),"",(E803-D803)*1440)</f>
        <v/>
      </c>
      <c r="G803" s="6" t="n"/>
      <c r="H803" s="6" t="n"/>
      <c r="I803" t="str">
        <f>IF(C803="","",C803&amp;"|"&amp;G803)</f>
        <v/>
      </c>
    </row>
    <row r="804">
      <c r="A804" s="5" t="n"/>
      <c r="B804" s="5" t="n"/>
      <c r="C804" s="25" t="n"/>
      <c r="D804" s="9" t="n"/>
      <c r="E804" s="9" t="n"/>
      <c r="F804" s="7" t="str">
        <f>IF(OR(D804="",E804=""),"",(E804-D804)*1440)</f>
        <v/>
      </c>
      <c r="G804" s="6" t="n"/>
      <c r="H804" s="6" t="n"/>
      <c r="I804" t="str">
        <f>IF(C804="","",C804&amp;"|"&amp;G804)</f>
        <v/>
      </c>
    </row>
    <row r="805">
      <c r="A805" s="5" t="n"/>
      <c r="B805" s="5" t="n"/>
      <c r="C805" s="25" t="n"/>
      <c r="D805" s="9" t="n"/>
      <c r="E805" s="9" t="n"/>
      <c r="F805" s="7" t="str">
        <f>IF(OR(D805="",E805=""),"",(E805-D805)*1440)</f>
        <v/>
      </c>
      <c r="G805" s="6" t="n"/>
      <c r="H805" s="6" t="n"/>
      <c r="I805" t="str">
        <f>IF(C805="","",C805&amp;"|"&amp;G805)</f>
        <v/>
      </c>
    </row>
    <row r="806">
      <c r="A806" s="5" t="n"/>
      <c r="B806" s="5" t="n"/>
      <c r="C806" s="25" t="n"/>
      <c r="D806" s="9" t="n"/>
      <c r="E806" s="9" t="n"/>
      <c r="F806" s="7" t="str">
        <f>IF(OR(D806="",E806=""),"",(E806-D806)*1440)</f>
        <v/>
      </c>
      <c r="G806" s="6" t="n"/>
      <c r="H806" s="6" t="n"/>
      <c r="I806" t="str">
        <f>IF(C806="","",C806&amp;"|"&amp;G806)</f>
        <v/>
      </c>
    </row>
    <row r="807">
      <c r="A807" s="5" t="n"/>
      <c r="B807" s="5" t="n"/>
      <c r="C807" s="25" t="n"/>
      <c r="D807" s="9" t="n"/>
      <c r="E807" s="9" t="n"/>
      <c r="F807" s="7" t="str">
        <f>IF(OR(D807="",E807=""),"",(E807-D807)*1440)</f>
        <v/>
      </c>
      <c r="G807" s="6" t="n"/>
      <c r="H807" s="6" t="n"/>
      <c r="I807" t="str">
        <f>IF(C807="","",C807&amp;"|"&amp;G807)</f>
        <v/>
      </c>
    </row>
    <row r="808">
      <c r="A808" s="5" t="n"/>
      <c r="B808" s="5" t="n"/>
      <c r="C808" s="25" t="n"/>
      <c r="D808" s="9" t="n"/>
      <c r="E808" s="9" t="n"/>
      <c r="F808" s="7" t="str">
        <f>IF(OR(D808="",E808=""),"",(E808-D808)*1440)</f>
        <v/>
      </c>
      <c r="G808" s="6" t="n"/>
      <c r="H808" s="6" t="n"/>
      <c r="I808" t="str">
        <f>IF(C808="","",C808&amp;"|"&amp;G808)</f>
        <v/>
      </c>
    </row>
    <row r="809">
      <c r="A809" s="5" t="n"/>
      <c r="B809" s="5" t="n"/>
      <c r="C809" s="25" t="n"/>
      <c r="D809" s="9" t="n"/>
      <c r="E809" s="9" t="n"/>
      <c r="F809" s="7" t="str">
        <f>IF(OR(D809="",E809=""),"",(E809-D809)*1440)</f>
        <v/>
      </c>
      <c r="G809" s="6" t="n"/>
      <c r="H809" s="6" t="n"/>
      <c r="I809" t="str">
        <f>IF(C809="","",C809&amp;"|"&amp;G809)</f>
        <v/>
      </c>
    </row>
    <row r="810">
      <c r="A810" s="5" t="n"/>
      <c r="B810" s="5" t="n"/>
      <c r="C810" s="25" t="n"/>
      <c r="D810" s="9" t="n"/>
      <c r="E810" s="9" t="n"/>
      <c r="F810" s="7" t="str">
        <f>IF(OR(D810="",E810=""),"",(E810-D810)*1440)</f>
        <v/>
      </c>
      <c r="G810" s="6" t="n"/>
      <c r="H810" s="6" t="n"/>
      <c r="I810" t="str">
        <f>IF(C810="","",C810&amp;"|"&amp;G810)</f>
        <v/>
      </c>
    </row>
    <row r="811">
      <c r="A811" s="5" t="n"/>
      <c r="B811" s="5" t="n"/>
      <c r="C811" s="25" t="n"/>
      <c r="D811" s="9" t="n"/>
      <c r="E811" s="9" t="n"/>
      <c r="F811" s="7" t="str">
        <f>IF(OR(D811="",E811=""),"",(E811-D811)*1440)</f>
        <v/>
      </c>
      <c r="G811" s="6" t="n"/>
      <c r="H811" s="6" t="n"/>
      <c r="I811" t="str">
        <f>IF(C811="","",C811&amp;"|"&amp;G811)</f>
        <v/>
      </c>
    </row>
    <row r="812">
      <c r="A812" s="5" t="n"/>
      <c r="B812" s="5" t="n"/>
      <c r="C812" s="25" t="n"/>
      <c r="D812" s="9" t="n"/>
      <c r="E812" s="9" t="n"/>
      <c r="F812" s="7" t="str">
        <f>IF(OR(D812="",E812=""),"",(E812-D812)*1440)</f>
        <v/>
      </c>
      <c r="G812" s="6" t="n"/>
      <c r="H812" s="6" t="n"/>
      <c r="I812" t="str">
        <f>IF(C812="","",C812&amp;"|"&amp;G812)</f>
        <v/>
      </c>
    </row>
    <row r="813">
      <c r="A813" s="5" t="n"/>
      <c r="B813" s="5" t="n"/>
      <c r="C813" s="25" t="n"/>
      <c r="D813" s="9" t="n"/>
      <c r="E813" s="9" t="n"/>
      <c r="F813" s="7" t="str">
        <f>IF(OR(D813="",E813=""),"",(E813-D813)*1440)</f>
        <v/>
      </c>
      <c r="G813" s="6" t="n"/>
      <c r="H813" s="6" t="n"/>
      <c r="I813" t="str">
        <f>IF(C813="","",C813&amp;"|"&amp;G813)</f>
        <v/>
      </c>
    </row>
    <row r="814">
      <c r="A814" s="5" t="n"/>
      <c r="B814" s="5" t="n"/>
      <c r="C814" s="25" t="n"/>
      <c r="D814" s="9" t="n"/>
      <c r="E814" s="9" t="n"/>
      <c r="F814" s="7" t="str">
        <f>IF(OR(D814="",E814=""),"",(E814-D814)*1440)</f>
        <v/>
      </c>
      <c r="G814" s="6" t="n"/>
      <c r="H814" s="6" t="n"/>
      <c r="I814" t="str">
        <f>IF(C814="","",C814&amp;"|"&amp;G814)</f>
        <v/>
      </c>
    </row>
    <row r="815">
      <c r="A815" s="5" t="n"/>
      <c r="B815" s="5" t="n"/>
      <c r="C815" s="25" t="n"/>
      <c r="D815" s="9" t="n"/>
      <c r="E815" s="9" t="n"/>
      <c r="F815" s="7" t="str">
        <f>IF(OR(D815="",E815=""),"",(E815-D815)*1440)</f>
        <v/>
      </c>
      <c r="G815" s="6" t="n"/>
      <c r="H815" s="6" t="n"/>
      <c r="I815" t="str">
        <f>IF(C815="","",C815&amp;"|"&amp;G815)</f>
        <v/>
      </c>
    </row>
    <row r="816">
      <c r="A816" s="5" t="n"/>
      <c r="B816" s="5" t="n"/>
      <c r="C816" s="25" t="n"/>
      <c r="D816" s="9" t="n"/>
      <c r="E816" s="9" t="n"/>
      <c r="F816" s="7" t="str">
        <f>IF(OR(D816="",E816=""),"",(E816-D816)*1440)</f>
        <v/>
      </c>
      <c r="G816" s="6" t="n"/>
      <c r="H816" s="6" t="n"/>
      <c r="I816" t="str">
        <f>IF(C816="","",C816&amp;"|"&amp;G816)</f>
        <v/>
      </c>
    </row>
    <row r="817">
      <c r="A817" s="5" t="n"/>
      <c r="B817" s="5" t="n"/>
      <c r="C817" s="25" t="n"/>
      <c r="D817" s="9" t="n"/>
      <c r="E817" s="9" t="n"/>
      <c r="F817" s="7" t="str">
        <f>IF(OR(D817="",E817=""),"",(E817-D817)*1440)</f>
        <v/>
      </c>
      <c r="G817" s="6" t="n"/>
      <c r="H817" s="6" t="n"/>
      <c r="I817" t="str">
        <f>IF(C817="","",C817&amp;"|"&amp;G817)</f>
        <v/>
      </c>
    </row>
    <row r="818">
      <c r="A818" s="5" t="n"/>
      <c r="B818" s="5" t="n"/>
      <c r="C818" s="25" t="n"/>
      <c r="D818" s="9" t="n"/>
      <c r="E818" s="9" t="n"/>
      <c r="F818" s="7" t="str">
        <f>IF(OR(D818="",E818=""),"",(E818-D818)*1440)</f>
        <v/>
      </c>
      <c r="G818" s="6" t="n"/>
      <c r="H818" s="6" t="n"/>
      <c r="I818" t="str">
        <f>IF(C818="","",C818&amp;"|"&amp;G818)</f>
        <v/>
      </c>
    </row>
    <row r="819">
      <c r="A819" s="5" t="n"/>
      <c r="B819" s="5" t="n"/>
      <c r="C819" s="25" t="n"/>
      <c r="D819" s="9" t="n"/>
      <c r="E819" s="9" t="n"/>
      <c r="F819" s="7" t="str">
        <f>IF(OR(D819="",E819=""),"",(E819-D819)*1440)</f>
        <v/>
      </c>
      <c r="G819" s="6" t="n"/>
      <c r="H819" s="6" t="n"/>
      <c r="I819" t="str">
        <f>IF(C819="","",C819&amp;"|"&amp;G819)</f>
        <v/>
      </c>
    </row>
    <row r="820">
      <c r="A820" s="5" t="n"/>
      <c r="B820" s="5" t="n"/>
      <c r="C820" s="25" t="n"/>
      <c r="D820" s="9" t="n"/>
      <c r="E820" s="9" t="n"/>
      <c r="F820" s="7" t="str">
        <f>IF(OR(D820="",E820=""),"",(E820-D820)*1440)</f>
        <v/>
      </c>
      <c r="G820" s="6" t="n"/>
      <c r="H820" s="6" t="n"/>
      <c r="I820" t="str">
        <f>IF(C820="","",C820&amp;"|"&amp;G820)</f>
        <v/>
      </c>
    </row>
    <row r="821">
      <c r="A821" s="5" t="n"/>
      <c r="B821" s="5" t="n"/>
      <c r="C821" s="25" t="n"/>
      <c r="D821" s="9" t="n"/>
      <c r="E821" s="9" t="n"/>
      <c r="F821" s="7" t="str">
        <f>IF(OR(D821="",E821=""),"",(E821-D821)*1440)</f>
        <v/>
      </c>
      <c r="G821" s="6" t="n"/>
      <c r="H821" s="6" t="n"/>
      <c r="I821" t="str">
        <f>IF(C821="","",C821&amp;"|"&amp;G821)</f>
        <v/>
      </c>
    </row>
    <row r="822">
      <c r="A822" s="5" t="n"/>
      <c r="B822" s="5" t="n"/>
      <c r="C822" s="25" t="n"/>
      <c r="D822" s="9" t="n"/>
      <c r="E822" s="9" t="n"/>
      <c r="F822" s="7" t="str">
        <f>IF(OR(D822="",E822=""),"",(E822-D822)*1440)</f>
        <v/>
      </c>
      <c r="G822" s="6" t="n"/>
      <c r="H822" s="6" t="n"/>
      <c r="I822" t="str">
        <f>IF(C822="","",C822&amp;"|"&amp;G822)</f>
        <v/>
      </c>
    </row>
    <row r="823">
      <c r="A823" s="5" t="n"/>
      <c r="B823" s="5" t="n"/>
      <c r="C823" s="25" t="n"/>
      <c r="D823" s="9" t="n"/>
      <c r="E823" s="9" t="n"/>
      <c r="F823" s="7" t="str">
        <f>IF(OR(D823="",E823=""),"",(E823-D823)*1440)</f>
        <v/>
      </c>
      <c r="G823" s="6" t="n"/>
      <c r="H823" s="6" t="n"/>
      <c r="I823" t="str">
        <f>IF(C823="","",C823&amp;"|"&amp;G823)</f>
        <v/>
      </c>
    </row>
    <row r="824">
      <c r="A824" s="5" t="n"/>
      <c r="B824" s="5" t="n"/>
      <c r="C824" s="25" t="n"/>
      <c r="D824" s="9" t="n"/>
      <c r="E824" s="9" t="n"/>
      <c r="F824" s="7" t="str">
        <f>IF(OR(D824="",E824=""),"",(E824-D824)*1440)</f>
        <v/>
      </c>
      <c r="G824" s="6" t="n"/>
      <c r="H824" s="6" t="n"/>
      <c r="I824" t="str">
        <f>IF(C824="","",C824&amp;"|"&amp;G824)</f>
        <v/>
      </c>
    </row>
    <row r="825">
      <c r="A825" s="5" t="n"/>
      <c r="B825" s="5" t="n"/>
      <c r="C825" s="25" t="n"/>
      <c r="D825" s="9" t="n"/>
      <c r="E825" s="9" t="n"/>
      <c r="F825" s="7" t="str">
        <f>IF(OR(D825="",E825=""),"",(E825-D825)*1440)</f>
        <v/>
      </c>
      <c r="G825" s="6" t="n"/>
      <c r="H825" s="6" t="n"/>
      <c r="I825" t="str">
        <f>IF(C825="","",C825&amp;"|"&amp;G825)</f>
        <v/>
      </c>
    </row>
    <row r="826">
      <c r="A826" s="5" t="n"/>
      <c r="B826" s="5" t="n"/>
      <c r="C826" s="25" t="n"/>
      <c r="D826" s="9" t="n"/>
      <c r="E826" s="9" t="n"/>
      <c r="F826" s="7" t="str">
        <f>IF(OR(D826="",E826=""),"",(E826-D826)*1440)</f>
        <v/>
      </c>
      <c r="G826" s="6" t="n"/>
      <c r="H826" s="6" t="n"/>
      <c r="I826" t="str">
        <f>IF(C826="","",C826&amp;"|"&amp;G826)</f>
        <v/>
      </c>
    </row>
    <row r="827">
      <c r="A827" s="5" t="n"/>
      <c r="B827" s="5" t="n"/>
      <c r="C827" s="25" t="n"/>
      <c r="D827" s="9" t="n"/>
      <c r="E827" s="9" t="n"/>
      <c r="F827" s="7" t="str">
        <f>IF(OR(D827="",E827=""),"",(E827-D827)*1440)</f>
        <v/>
      </c>
      <c r="G827" s="6" t="n"/>
      <c r="H827" s="6" t="n"/>
      <c r="I827" t="str">
        <f>IF(C827="","",C827&amp;"|"&amp;G827)</f>
        <v/>
      </c>
    </row>
    <row r="828">
      <c r="A828" s="5" t="n"/>
      <c r="B828" s="5" t="n"/>
      <c r="C828" s="25" t="n"/>
      <c r="D828" s="9" t="n"/>
      <c r="E828" s="9" t="n"/>
      <c r="F828" s="7" t="str">
        <f>IF(OR(D828="",E828=""),"",(E828-D828)*1440)</f>
        <v/>
      </c>
      <c r="G828" s="6" t="n"/>
      <c r="H828" s="6" t="n"/>
      <c r="I828" t="str">
        <f>IF(C828="","",C828&amp;"|"&amp;G828)</f>
        <v/>
      </c>
    </row>
    <row r="829">
      <c r="A829" s="5" t="n"/>
      <c r="B829" s="5" t="n"/>
      <c r="C829" s="25" t="n"/>
      <c r="D829" s="9" t="n"/>
      <c r="E829" s="9" t="n"/>
      <c r="F829" s="7" t="str">
        <f>IF(OR(D829="",E829=""),"",(E829-D829)*1440)</f>
        <v/>
      </c>
      <c r="G829" s="6" t="n"/>
      <c r="H829" s="6" t="n"/>
      <c r="I829" t="str">
        <f>IF(C829="","",C829&amp;"|"&amp;G829)</f>
        <v/>
      </c>
    </row>
    <row r="830">
      <c r="A830" s="5" t="n"/>
      <c r="B830" s="5" t="n"/>
      <c r="C830" s="25" t="n"/>
      <c r="D830" s="9" t="n"/>
      <c r="E830" s="9" t="n"/>
      <c r="F830" s="7" t="str">
        <f>IF(OR(D830="",E830=""),"",(E830-D830)*1440)</f>
        <v/>
      </c>
      <c r="G830" s="6" t="n"/>
      <c r="H830" s="6" t="n"/>
      <c r="I830" t="str">
        <f>IF(C830="","",C830&amp;"|"&amp;G830)</f>
        <v/>
      </c>
    </row>
    <row r="831">
      <c r="A831" s="5" t="n"/>
      <c r="B831" s="5" t="n"/>
      <c r="C831" s="25" t="n"/>
      <c r="D831" s="9" t="n"/>
      <c r="E831" s="9" t="n"/>
      <c r="F831" s="7" t="str">
        <f>IF(OR(D831="",E831=""),"",(E831-D831)*1440)</f>
        <v/>
      </c>
      <c r="G831" s="6" t="n"/>
      <c r="H831" s="6" t="n"/>
      <c r="I831" t="str">
        <f>IF(C831="","",C831&amp;"|"&amp;G831)</f>
        <v/>
      </c>
    </row>
    <row r="832">
      <c r="A832" s="5" t="n"/>
      <c r="B832" s="5" t="n"/>
      <c r="C832" s="25" t="n"/>
      <c r="D832" s="9" t="n"/>
      <c r="E832" s="9" t="n"/>
      <c r="F832" s="7" t="str">
        <f>IF(OR(D832="",E832=""),"",(E832-D832)*1440)</f>
        <v/>
      </c>
      <c r="G832" s="6" t="n"/>
      <c r="H832" s="6" t="n"/>
      <c r="I832" t="str">
        <f>IF(C832="","",C832&amp;"|"&amp;G832)</f>
        <v/>
      </c>
    </row>
    <row r="833">
      <c r="A833" s="5" t="n"/>
      <c r="B833" s="5" t="n"/>
      <c r="C833" s="25" t="n"/>
      <c r="D833" s="9" t="n"/>
      <c r="E833" s="9" t="n"/>
      <c r="F833" s="7" t="str">
        <f>IF(OR(D833="",E833=""),"",(E833-D833)*1440)</f>
        <v/>
      </c>
      <c r="G833" s="6" t="n"/>
      <c r="H833" s="6" t="n"/>
      <c r="I833" t="str">
        <f>IF(C833="","",C833&amp;"|"&amp;G833)</f>
        <v/>
      </c>
    </row>
    <row r="834">
      <c r="A834" s="5" t="n"/>
      <c r="B834" s="5" t="n"/>
      <c r="C834" s="25" t="n"/>
      <c r="D834" s="9" t="n"/>
      <c r="E834" s="9" t="n"/>
      <c r="F834" s="7" t="str">
        <f>IF(OR(D834="",E834=""),"",(E834-D834)*1440)</f>
        <v/>
      </c>
      <c r="G834" s="6" t="n"/>
      <c r="H834" s="6" t="n"/>
      <c r="I834" t="str">
        <f>IF(C834="","",C834&amp;"|"&amp;G834)</f>
        <v/>
      </c>
    </row>
    <row r="835">
      <c r="A835" s="5" t="n"/>
      <c r="B835" s="5" t="n"/>
      <c r="C835" s="25" t="n"/>
      <c r="D835" s="9" t="n"/>
      <c r="E835" s="9" t="n"/>
      <c r="F835" s="7" t="str">
        <f>IF(OR(D835="",E835=""),"",(E835-D835)*1440)</f>
        <v/>
      </c>
      <c r="G835" s="6" t="n"/>
      <c r="H835" s="6" t="n"/>
      <c r="I835" t="str">
        <f>IF(C835="","",C835&amp;"|"&amp;G835)</f>
        <v/>
      </c>
    </row>
    <row r="836">
      <c r="A836" s="5" t="n"/>
      <c r="B836" s="5" t="n"/>
      <c r="C836" s="25" t="n"/>
      <c r="D836" s="9" t="n"/>
      <c r="E836" s="9" t="n"/>
      <c r="F836" s="7" t="str">
        <f>IF(OR(D836="",E836=""),"",(E836-D836)*1440)</f>
        <v/>
      </c>
      <c r="G836" s="6" t="n"/>
      <c r="H836" s="6" t="n"/>
      <c r="I836" t="str">
        <f>IF(C836="","",C836&amp;"|"&amp;G836)</f>
        <v/>
      </c>
    </row>
    <row r="837">
      <c r="A837" s="5" t="n"/>
      <c r="B837" s="5" t="n"/>
      <c r="C837" s="25" t="n"/>
      <c r="D837" s="9" t="n"/>
      <c r="E837" s="9" t="n"/>
      <c r="F837" s="7" t="str">
        <f>IF(OR(D837="",E837=""),"",(E837-D837)*1440)</f>
        <v/>
      </c>
      <c r="G837" s="6" t="n"/>
      <c r="H837" s="6" t="n"/>
      <c r="I837" t="str">
        <f>IF(C837="","",C837&amp;"|"&amp;G837)</f>
        <v/>
      </c>
    </row>
    <row r="838">
      <c r="A838" s="5" t="n"/>
      <c r="B838" s="5" t="n"/>
      <c r="C838" s="25" t="n"/>
      <c r="D838" s="9" t="n"/>
      <c r="E838" s="9" t="n"/>
      <c r="F838" s="7" t="str">
        <f>IF(OR(D838="",E838=""),"",(E838-D838)*1440)</f>
        <v/>
      </c>
      <c r="G838" s="6" t="n"/>
      <c r="H838" s="6" t="n"/>
      <c r="I838" t="str">
        <f>IF(C838="","",C838&amp;"|"&amp;G838)</f>
        <v/>
      </c>
    </row>
    <row r="839">
      <c r="A839" s="5" t="n"/>
      <c r="B839" s="5" t="n"/>
      <c r="C839" s="25" t="n"/>
      <c r="D839" s="9" t="n"/>
      <c r="E839" s="9" t="n"/>
      <c r="F839" s="7" t="str">
        <f>IF(OR(D839="",E839=""),"",(E839-D839)*1440)</f>
        <v/>
      </c>
      <c r="G839" s="6" t="n"/>
      <c r="H839" s="6" t="n"/>
      <c r="I839" t="str">
        <f>IF(C839="","",C839&amp;"|"&amp;G839)</f>
        <v/>
      </c>
    </row>
    <row r="840">
      <c r="A840" s="5" t="n"/>
      <c r="B840" s="5" t="n"/>
      <c r="C840" s="25" t="n"/>
      <c r="D840" s="9" t="n"/>
      <c r="E840" s="9" t="n"/>
      <c r="F840" s="7" t="str">
        <f>IF(OR(D840="",E840=""),"",(E840-D840)*1440)</f>
        <v/>
      </c>
      <c r="G840" s="6" t="n"/>
      <c r="H840" s="6" t="n"/>
      <c r="I840" t="str">
        <f>IF(C840="","",C840&amp;"|"&amp;G840)</f>
        <v/>
      </c>
    </row>
    <row r="841">
      <c r="A841" s="5" t="n"/>
      <c r="B841" s="5" t="n"/>
      <c r="C841" s="25" t="n"/>
      <c r="D841" s="9" t="n"/>
      <c r="E841" s="9" t="n"/>
      <c r="F841" s="7" t="str">
        <f>IF(OR(D841="",E841=""),"",(E841-D841)*1440)</f>
        <v/>
      </c>
      <c r="G841" s="6" t="n"/>
      <c r="H841" s="6" t="n"/>
      <c r="I841" t="str">
        <f>IF(C841="","",C841&amp;"|"&amp;G841)</f>
        <v/>
      </c>
    </row>
    <row r="842">
      <c r="A842" s="5" t="n"/>
      <c r="B842" s="5" t="n"/>
      <c r="C842" s="25" t="n"/>
      <c r="D842" s="9" t="n"/>
      <c r="E842" s="9" t="n"/>
      <c r="F842" s="7" t="str">
        <f>IF(OR(D842="",E842=""),"",(E842-D842)*1440)</f>
        <v/>
      </c>
      <c r="G842" s="6" t="n"/>
      <c r="H842" s="6" t="n"/>
      <c r="I842" t="str">
        <f>IF(C842="","",C842&amp;"|"&amp;G842)</f>
        <v/>
      </c>
    </row>
    <row r="843">
      <c r="A843" s="5" t="n"/>
      <c r="B843" s="5" t="n"/>
      <c r="C843" s="25" t="n"/>
      <c r="D843" s="9" t="n"/>
      <c r="E843" s="9" t="n"/>
      <c r="F843" s="7" t="str">
        <f>IF(OR(D843="",E843=""),"",(E843-D843)*1440)</f>
        <v/>
      </c>
      <c r="G843" s="6" t="n"/>
      <c r="H843" s="6" t="n"/>
      <c r="I843" t="str">
        <f>IF(C843="","",C843&amp;"|"&amp;G843)</f>
        <v/>
      </c>
    </row>
    <row r="844">
      <c r="A844" s="5" t="n"/>
      <c r="B844" s="5" t="n"/>
      <c r="C844" s="25" t="n"/>
      <c r="D844" s="9" t="n"/>
      <c r="E844" s="9" t="n"/>
      <c r="F844" s="7" t="str">
        <f>IF(OR(D844="",E844=""),"",(E844-D844)*1440)</f>
        <v/>
      </c>
      <c r="G844" s="6" t="n"/>
      <c r="H844" s="6" t="n"/>
      <c r="I844" t="str">
        <f>IF(C844="","",C844&amp;"|"&amp;G844)</f>
        <v/>
      </c>
    </row>
    <row r="845">
      <c r="A845" s="5" t="n"/>
      <c r="B845" s="5" t="n"/>
      <c r="C845" s="25" t="n"/>
      <c r="D845" s="9" t="n"/>
      <c r="E845" s="9" t="n"/>
      <c r="F845" s="7" t="str">
        <f>IF(OR(D845="",E845=""),"",(E845-D845)*1440)</f>
        <v/>
      </c>
      <c r="G845" s="6" t="n"/>
      <c r="H845" s="6" t="n"/>
      <c r="I845" t="str">
        <f>IF(C845="","",C845&amp;"|"&amp;G845)</f>
        <v/>
      </c>
    </row>
    <row r="846">
      <c r="A846" s="5" t="n"/>
      <c r="B846" s="5" t="n"/>
      <c r="C846" s="25" t="n"/>
      <c r="D846" s="9" t="n"/>
      <c r="E846" s="9" t="n"/>
      <c r="F846" s="7" t="str">
        <f>IF(OR(D846="",E846=""),"",(E846-D846)*1440)</f>
        <v/>
      </c>
      <c r="G846" s="6" t="n"/>
      <c r="H846" s="6" t="n"/>
      <c r="I846" t="str">
        <f>IF(C846="","",C846&amp;"|"&amp;G846)</f>
        <v/>
      </c>
    </row>
    <row r="847">
      <c r="A847" s="5" t="n"/>
      <c r="B847" s="5" t="n"/>
      <c r="C847" s="25" t="n"/>
      <c r="D847" s="9" t="n"/>
      <c r="E847" s="9" t="n"/>
      <c r="F847" s="7" t="str">
        <f>IF(OR(D847="",E847=""),"",(E847-D847)*1440)</f>
        <v/>
      </c>
      <c r="G847" s="6" t="n"/>
      <c r="H847" s="6" t="n"/>
      <c r="I847" t="str">
        <f>IF(C847="","",C847&amp;"|"&amp;G847)</f>
        <v/>
      </c>
    </row>
    <row r="848">
      <c r="A848" s="5" t="n"/>
      <c r="B848" s="5" t="n"/>
      <c r="C848" s="25" t="n"/>
      <c r="D848" s="9" t="n"/>
      <c r="E848" s="9" t="n"/>
      <c r="F848" s="7" t="str">
        <f>IF(OR(D848="",E848=""),"",(E848-D848)*1440)</f>
        <v/>
      </c>
      <c r="G848" s="6" t="n"/>
      <c r="H848" s="6" t="n"/>
      <c r="I848" t="str">
        <f>IF(C848="","",C848&amp;"|"&amp;G848)</f>
        <v/>
      </c>
    </row>
    <row r="849">
      <c r="A849" s="5" t="n"/>
      <c r="B849" s="5" t="n"/>
      <c r="C849" s="25" t="n"/>
      <c r="D849" s="9" t="n"/>
      <c r="E849" s="9" t="n"/>
      <c r="F849" s="7" t="str">
        <f>IF(OR(D849="",E849=""),"",(E849-D849)*1440)</f>
        <v/>
      </c>
      <c r="G849" s="6" t="n"/>
      <c r="H849" s="6" t="n"/>
      <c r="I849" t="str">
        <f>IF(C849="","",C849&amp;"|"&amp;G849)</f>
        <v/>
      </c>
    </row>
    <row r="850">
      <c r="A850" s="5" t="n"/>
      <c r="B850" s="5" t="n"/>
      <c r="C850" s="25" t="n"/>
      <c r="D850" s="9" t="n"/>
      <c r="E850" s="9" t="n"/>
      <c r="F850" s="7" t="str">
        <f>IF(OR(D850="",E850=""),"",(E850-D850)*1440)</f>
        <v/>
      </c>
      <c r="G850" s="6" t="n"/>
      <c r="H850" s="6" t="n"/>
      <c r="I850" t="str">
        <f>IF(C850="","",C850&amp;"|"&amp;G850)</f>
        <v/>
      </c>
    </row>
    <row r="851">
      <c r="A851" s="5" t="n"/>
      <c r="B851" s="5" t="n"/>
      <c r="C851" s="25" t="n"/>
      <c r="D851" s="9" t="n"/>
      <c r="E851" s="9" t="n"/>
      <c r="F851" s="7" t="str">
        <f>IF(OR(D851="",E851=""),"",(E851-D851)*1440)</f>
        <v/>
      </c>
      <c r="G851" s="6" t="n"/>
      <c r="H851" s="6" t="n"/>
      <c r="I851" t="str">
        <f>IF(C851="","",C851&amp;"|"&amp;G851)</f>
        <v/>
      </c>
    </row>
    <row r="852">
      <c r="A852" s="5" t="n"/>
      <c r="B852" s="5" t="n"/>
      <c r="C852" s="25" t="n"/>
      <c r="D852" s="9" t="n"/>
      <c r="E852" s="9" t="n"/>
      <c r="F852" s="7" t="str">
        <f>IF(OR(D852="",E852=""),"",(E852-D852)*1440)</f>
        <v/>
      </c>
      <c r="G852" s="6" t="n"/>
      <c r="H852" s="6" t="n"/>
      <c r="I852" t="str">
        <f>IF(C852="","",C852&amp;"|"&amp;G852)</f>
        <v/>
      </c>
    </row>
    <row r="853">
      <c r="A853" s="5" t="n"/>
      <c r="B853" s="5" t="n"/>
      <c r="C853" s="25" t="n"/>
      <c r="D853" s="9" t="n"/>
      <c r="E853" s="9" t="n"/>
      <c r="F853" s="7" t="str">
        <f>IF(OR(D853="",E853=""),"",(E853-D853)*1440)</f>
        <v/>
      </c>
      <c r="G853" s="6" t="n"/>
      <c r="H853" s="6" t="n"/>
      <c r="I853" t="str">
        <f>IF(C853="","",C853&amp;"|"&amp;G853)</f>
        <v/>
      </c>
    </row>
    <row r="854">
      <c r="A854" s="5" t="n"/>
      <c r="B854" s="5" t="n"/>
      <c r="C854" s="25" t="n"/>
      <c r="D854" s="9" t="n"/>
      <c r="E854" s="9" t="n"/>
      <c r="F854" s="7" t="str">
        <f>IF(OR(D854="",E854=""),"",(E854-D854)*1440)</f>
        <v/>
      </c>
      <c r="G854" s="6" t="n"/>
      <c r="H854" s="6" t="n"/>
      <c r="I854" t="str">
        <f>IF(C854="","",C854&amp;"|"&amp;G854)</f>
        <v/>
      </c>
    </row>
    <row r="855">
      <c r="A855" s="5" t="n"/>
      <c r="B855" s="5" t="n"/>
      <c r="C855" s="25" t="n"/>
      <c r="D855" s="9" t="n"/>
      <c r="E855" s="9" t="n"/>
      <c r="F855" s="7" t="str">
        <f>IF(OR(D855="",E855=""),"",(E855-D855)*1440)</f>
        <v/>
      </c>
      <c r="G855" s="6" t="n"/>
      <c r="H855" s="6" t="n"/>
      <c r="I855" t="str">
        <f>IF(C855="","",C855&amp;"|"&amp;G855)</f>
        <v/>
      </c>
    </row>
    <row r="856">
      <c r="A856" s="5" t="n"/>
      <c r="B856" s="5" t="n"/>
      <c r="C856" s="25" t="n"/>
      <c r="D856" s="9" t="n"/>
      <c r="E856" s="9" t="n"/>
      <c r="F856" s="7" t="str">
        <f>IF(OR(D856="",E856=""),"",(E856-D856)*1440)</f>
        <v/>
      </c>
      <c r="G856" s="6" t="n"/>
      <c r="H856" s="6" t="n"/>
      <c r="I856" t="str">
        <f>IF(C856="","",C856&amp;"|"&amp;G856)</f>
        <v/>
      </c>
    </row>
    <row r="857">
      <c r="A857" s="5" t="n"/>
      <c r="B857" s="5" t="n"/>
      <c r="C857" s="25" t="n"/>
      <c r="D857" s="9" t="n"/>
      <c r="E857" s="9" t="n"/>
      <c r="F857" s="7" t="str">
        <f>IF(OR(D857="",E857=""),"",(E857-D857)*1440)</f>
        <v/>
      </c>
      <c r="G857" s="6" t="n"/>
      <c r="H857" s="6" t="n"/>
      <c r="I857" t="str">
        <f>IF(C857="","",C857&amp;"|"&amp;G857)</f>
        <v/>
      </c>
    </row>
    <row r="858">
      <c r="A858" s="5" t="n"/>
      <c r="B858" s="5" t="n"/>
      <c r="C858" s="25" t="n"/>
      <c r="D858" s="9" t="n"/>
      <c r="E858" s="9" t="n"/>
      <c r="F858" s="7" t="str">
        <f>IF(OR(D858="",E858=""),"",(E858-D858)*1440)</f>
        <v/>
      </c>
      <c r="G858" s="6" t="n"/>
      <c r="H858" s="6" t="n"/>
      <c r="I858" t="str">
        <f>IF(C858="","",C858&amp;"|"&amp;G858)</f>
        <v/>
      </c>
    </row>
    <row r="859">
      <c r="A859" s="5" t="n"/>
      <c r="B859" s="5" t="n"/>
      <c r="C859" s="25" t="n"/>
      <c r="D859" s="9" t="n"/>
      <c r="E859" s="9" t="n"/>
      <c r="F859" s="7" t="str">
        <f>IF(OR(D859="",E859=""),"",(E859-D859)*1440)</f>
        <v/>
      </c>
      <c r="G859" s="6" t="n"/>
      <c r="H859" s="6" t="n"/>
      <c r="I859" t="str">
        <f>IF(C859="","",C859&amp;"|"&amp;G859)</f>
        <v/>
      </c>
    </row>
    <row r="860">
      <c r="A860" s="5" t="n"/>
      <c r="B860" s="5" t="n"/>
      <c r="C860" s="25" t="n"/>
      <c r="D860" s="9" t="n"/>
      <c r="E860" s="9" t="n"/>
      <c r="F860" s="7" t="str">
        <f>IF(OR(D860="",E860=""),"",(E860-D860)*1440)</f>
        <v/>
      </c>
      <c r="G860" s="6" t="n"/>
      <c r="H860" s="6" t="n"/>
      <c r="I860" t="str">
        <f>IF(C860="","",C860&amp;"|"&amp;G860)</f>
        <v/>
      </c>
    </row>
    <row r="861">
      <c r="A861" s="5" t="n"/>
      <c r="B861" s="5" t="n"/>
      <c r="C861" s="25" t="n"/>
      <c r="D861" s="9" t="n"/>
      <c r="E861" s="9" t="n"/>
      <c r="F861" s="7" t="str">
        <f>IF(OR(D861="",E861=""),"",(E861-D861)*1440)</f>
        <v/>
      </c>
      <c r="G861" s="6" t="n"/>
      <c r="H861" s="6" t="n"/>
      <c r="I861" t="str">
        <f>IF(C861="","",C861&amp;"|"&amp;G861)</f>
        <v/>
      </c>
    </row>
    <row r="862">
      <c r="A862" s="5" t="n"/>
      <c r="B862" s="5" t="n"/>
      <c r="C862" s="25" t="n"/>
      <c r="D862" s="9" t="n"/>
      <c r="E862" s="9" t="n"/>
      <c r="F862" s="7" t="str">
        <f>IF(OR(D862="",E862=""),"",(E862-D862)*1440)</f>
        <v/>
      </c>
      <c r="G862" s="6" t="n"/>
      <c r="H862" s="6" t="n"/>
      <c r="I862" t="str">
        <f>IF(C862="","",C862&amp;"|"&amp;G862)</f>
        <v/>
      </c>
    </row>
    <row r="863">
      <c r="A863" s="5" t="n"/>
      <c r="B863" s="5" t="n"/>
      <c r="C863" s="25" t="n"/>
      <c r="D863" s="9" t="n"/>
      <c r="E863" s="9" t="n"/>
      <c r="F863" s="7" t="str">
        <f>IF(OR(D863="",E863=""),"",(E863-D863)*1440)</f>
        <v/>
      </c>
      <c r="G863" s="6" t="n"/>
      <c r="H863" s="6" t="n"/>
      <c r="I863" t="str">
        <f>IF(C863="","",C863&amp;"|"&amp;G863)</f>
        <v/>
      </c>
    </row>
    <row r="864">
      <c r="A864" s="5" t="n"/>
      <c r="B864" s="5" t="n"/>
      <c r="C864" s="25" t="n"/>
      <c r="D864" s="9" t="n"/>
      <c r="E864" s="9" t="n"/>
      <c r="F864" s="7" t="str">
        <f>IF(OR(D864="",E864=""),"",(E864-D864)*1440)</f>
        <v/>
      </c>
      <c r="G864" s="6" t="n"/>
      <c r="H864" s="6" t="n"/>
      <c r="I864" t="str">
        <f>IF(C864="","",C864&amp;"|"&amp;G864)</f>
        <v/>
      </c>
    </row>
    <row r="865">
      <c r="A865" s="5" t="n"/>
      <c r="B865" s="5" t="n"/>
      <c r="C865" s="25" t="n"/>
      <c r="D865" s="9" t="n"/>
      <c r="E865" s="9" t="n"/>
      <c r="F865" s="7" t="str">
        <f>IF(OR(D865="",E865=""),"",(E865-D865)*1440)</f>
        <v/>
      </c>
      <c r="G865" s="6" t="n"/>
      <c r="H865" s="6" t="n"/>
      <c r="I865" t="str">
        <f>IF(C865="","",C865&amp;"|"&amp;G865)</f>
        <v/>
      </c>
    </row>
    <row r="866">
      <c r="A866" s="5" t="n"/>
      <c r="B866" s="5" t="n"/>
      <c r="C866" s="25" t="n"/>
      <c r="D866" s="9" t="n"/>
      <c r="E866" s="9" t="n"/>
      <c r="F866" s="7" t="str">
        <f>IF(OR(D866="",E866=""),"",(E866-D866)*1440)</f>
        <v/>
      </c>
      <c r="G866" s="6" t="n"/>
      <c r="H866" s="6" t="n"/>
      <c r="I866" t="str">
        <f>IF(C866="","",C866&amp;"|"&amp;G866)</f>
        <v/>
      </c>
    </row>
    <row r="867">
      <c r="A867" s="5" t="n"/>
      <c r="B867" s="5" t="n"/>
      <c r="C867" s="25" t="n"/>
      <c r="D867" s="9" t="n"/>
      <c r="E867" s="9" t="n"/>
      <c r="F867" s="7" t="str">
        <f>IF(OR(D867="",E867=""),"",(E867-D867)*1440)</f>
        <v/>
      </c>
      <c r="G867" s="6" t="n"/>
      <c r="H867" s="6" t="n"/>
      <c r="I867" t="str">
        <f>IF(C867="","",C867&amp;"|"&amp;G867)</f>
        <v/>
      </c>
    </row>
    <row r="868">
      <c r="A868" s="5" t="n"/>
      <c r="B868" s="5" t="n"/>
      <c r="C868" s="25" t="n"/>
      <c r="D868" s="9" t="n"/>
      <c r="E868" s="9" t="n"/>
      <c r="F868" s="7" t="str">
        <f>IF(OR(D868="",E868=""),"",(E868-D868)*1440)</f>
        <v/>
      </c>
      <c r="G868" s="6" t="n"/>
      <c r="H868" s="6" t="n"/>
      <c r="I868" t="str">
        <f>IF(C868="","",C868&amp;"|"&amp;G868)</f>
        <v/>
      </c>
    </row>
    <row r="869">
      <c r="A869" s="5" t="n"/>
      <c r="B869" s="5" t="n"/>
      <c r="C869" s="25" t="n"/>
      <c r="D869" s="9" t="n"/>
      <c r="E869" s="9" t="n"/>
      <c r="F869" s="7" t="str">
        <f>IF(OR(D869="",E869=""),"",(E869-D869)*1440)</f>
        <v/>
      </c>
      <c r="G869" s="6" t="n"/>
      <c r="H869" s="6" t="n"/>
      <c r="I869" t="str">
        <f>IF(C869="","",C869&amp;"|"&amp;G869)</f>
        <v/>
      </c>
    </row>
    <row r="870">
      <c r="A870" s="5" t="n"/>
      <c r="B870" s="5" t="n"/>
      <c r="C870" s="25" t="n"/>
      <c r="D870" s="9" t="n"/>
      <c r="E870" s="9" t="n"/>
      <c r="F870" s="7" t="str">
        <f>IF(OR(D870="",E870=""),"",(E870-D870)*1440)</f>
        <v/>
      </c>
      <c r="G870" s="6" t="n"/>
      <c r="H870" s="6" t="n"/>
      <c r="I870" t="str">
        <f>IF(C870="","",C870&amp;"|"&amp;G870)</f>
        <v/>
      </c>
    </row>
    <row r="871">
      <c r="A871" s="5" t="n"/>
      <c r="B871" s="5" t="n"/>
      <c r="C871" s="25" t="n"/>
      <c r="D871" s="9" t="n"/>
      <c r="E871" s="9" t="n"/>
      <c r="F871" s="7" t="str">
        <f>IF(OR(D871="",E871=""),"",(E871-D871)*1440)</f>
        <v/>
      </c>
      <c r="G871" s="6" t="n"/>
      <c r="H871" s="6" t="n"/>
      <c r="I871" t="str">
        <f>IF(C871="","",C871&amp;"|"&amp;G871)</f>
        <v/>
      </c>
    </row>
    <row r="872">
      <c r="A872" s="5" t="n"/>
      <c r="B872" s="5" t="n"/>
      <c r="C872" s="25" t="n"/>
      <c r="D872" s="9" t="n"/>
      <c r="E872" s="9" t="n"/>
      <c r="F872" s="7" t="str">
        <f>IF(OR(D872="",E872=""),"",(E872-D872)*1440)</f>
        <v/>
      </c>
      <c r="G872" s="6" t="n"/>
      <c r="H872" s="6" t="n"/>
      <c r="I872" t="str">
        <f>IF(C872="","",C872&amp;"|"&amp;G872)</f>
        <v/>
      </c>
    </row>
    <row r="873">
      <c r="A873" s="5" t="n"/>
      <c r="B873" s="5" t="n"/>
      <c r="C873" s="25" t="n"/>
      <c r="D873" s="9" t="n"/>
      <c r="E873" s="9" t="n"/>
      <c r="F873" s="7" t="str">
        <f>IF(OR(D873="",E873=""),"",(E873-D873)*1440)</f>
        <v/>
      </c>
      <c r="G873" s="6" t="n"/>
      <c r="H873" s="6" t="n"/>
      <c r="I873" t="str">
        <f>IF(C873="","",C873&amp;"|"&amp;G873)</f>
        <v/>
      </c>
    </row>
    <row r="874">
      <c r="A874" s="5" t="n"/>
      <c r="B874" s="5" t="n"/>
      <c r="C874" s="25" t="n"/>
      <c r="D874" s="9" t="n"/>
      <c r="E874" s="9" t="n"/>
      <c r="F874" s="7" t="str">
        <f>IF(OR(D874="",E874=""),"",(E874-D874)*1440)</f>
        <v/>
      </c>
      <c r="G874" s="6" t="n"/>
      <c r="H874" s="6" t="n"/>
      <c r="I874" t="str">
        <f>IF(C874="","",C874&amp;"|"&amp;G874)</f>
        <v/>
      </c>
    </row>
    <row r="875">
      <c r="A875" s="5" t="n"/>
      <c r="B875" s="5" t="n"/>
      <c r="C875" s="25" t="n"/>
      <c r="D875" s="9" t="n"/>
      <c r="E875" s="9" t="n"/>
      <c r="F875" s="7" t="str">
        <f>IF(OR(D875="",E875=""),"",(E875-D875)*1440)</f>
        <v/>
      </c>
      <c r="G875" s="6" t="n"/>
      <c r="H875" s="6" t="n"/>
      <c r="I875" t="str">
        <f>IF(C875="","",C875&amp;"|"&amp;G875)</f>
        <v/>
      </c>
    </row>
    <row r="876">
      <c r="A876" s="5" t="n"/>
      <c r="B876" s="5" t="n"/>
      <c r="C876" s="25" t="n"/>
      <c r="D876" s="9" t="n"/>
      <c r="E876" s="9" t="n"/>
      <c r="F876" s="7" t="str">
        <f>IF(OR(D876="",E876=""),"",(E876-D876)*1440)</f>
        <v/>
      </c>
      <c r="G876" s="6" t="n"/>
      <c r="H876" s="6" t="n"/>
      <c r="I876" t="str">
        <f>IF(C876="","",C876&amp;"|"&amp;G876)</f>
        <v/>
      </c>
    </row>
    <row r="877">
      <c r="A877" s="5" t="n"/>
      <c r="B877" s="5" t="n"/>
      <c r="C877" s="25" t="n"/>
      <c r="D877" s="9" t="n"/>
      <c r="E877" s="9" t="n"/>
      <c r="F877" s="7" t="str">
        <f>IF(OR(D877="",E877=""),"",(E877-D877)*1440)</f>
        <v/>
      </c>
      <c r="G877" s="6" t="n"/>
      <c r="H877" s="6" t="n"/>
      <c r="I877" t="str">
        <f>IF(C877="","",C877&amp;"|"&amp;G877)</f>
        <v/>
      </c>
    </row>
    <row r="878">
      <c r="A878" s="5" t="n"/>
      <c r="B878" s="5" t="n"/>
      <c r="C878" s="25" t="n"/>
      <c r="D878" s="9" t="n"/>
      <c r="E878" s="9" t="n"/>
      <c r="F878" s="7" t="str">
        <f>IF(OR(D878="",E878=""),"",(E878-D878)*1440)</f>
        <v/>
      </c>
      <c r="G878" s="6" t="n"/>
      <c r="H878" s="6" t="n"/>
      <c r="I878" t="str">
        <f>IF(C878="","",C878&amp;"|"&amp;G878)</f>
        <v/>
      </c>
    </row>
    <row r="879">
      <c r="A879" s="5" t="n"/>
      <c r="B879" s="5" t="n"/>
      <c r="C879" s="25" t="n"/>
      <c r="D879" s="9" t="n"/>
      <c r="E879" s="9" t="n"/>
      <c r="F879" s="7" t="str">
        <f>IF(OR(D879="",E879=""),"",(E879-D879)*1440)</f>
        <v/>
      </c>
      <c r="G879" s="6" t="n"/>
      <c r="H879" s="6" t="n"/>
      <c r="I879" t="str">
        <f>IF(C879="","",C879&amp;"|"&amp;G879)</f>
        <v/>
      </c>
    </row>
    <row r="880">
      <c r="A880" s="5" t="n"/>
      <c r="B880" s="5" t="n"/>
      <c r="C880" s="25" t="n"/>
      <c r="D880" s="9" t="n"/>
      <c r="E880" s="9" t="n"/>
      <c r="F880" s="7" t="str">
        <f>IF(OR(D880="",E880=""),"",(E880-D880)*1440)</f>
        <v/>
      </c>
      <c r="G880" s="6" t="n"/>
      <c r="H880" s="6" t="n"/>
      <c r="I880" t="str">
        <f>IF(C880="","",C880&amp;"|"&amp;G880)</f>
        <v/>
      </c>
    </row>
    <row r="881">
      <c r="A881" s="5" t="n"/>
      <c r="B881" s="5" t="n"/>
      <c r="C881" s="25" t="n"/>
      <c r="D881" s="9" t="n"/>
      <c r="E881" s="9" t="n"/>
      <c r="F881" s="7" t="str">
        <f>IF(OR(D881="",E881=""),"",(E881-D881)*1440)</f>
        <v/>
      </c>
      <c r="G881" s="6" t="n"/>
      <c r="H881" s="6" t="n"/>
      <c r="I881" t="str">
        <f>IF(C881="","",C881&amp;"|"&amp;G881)</f>
        <v/>
      </c>
    </row>
    <row r="882">
      <c r="A882" s="5" t="n"/>
      <c r="B882" s="5" t="n"/>
      <c r="C882" s="25" t="n"/>
      <c r="D882" s="9" t="n"/>
      <c r="E882" s="9" t="n"/>
      <c r="F882" s="7" t="str">
        <f>IF(OR(D882="",E882=""),"",(E882-D882)*1440)</f>
        <v/>
      </c>
      <c r="G882" s="6" t="n"/>
      <c r="H882" s="6" t="n"/>
      <c r="I882" t="str">
        <f>IF(C882="","",C882&amp;"|"&amp;G882)</f>
        <v/>
      </c>
    </row>
    <row r="883">
      <c r="A883" s="5" t="n"/>
      <c r="B883" s="5" t="n"/>
      <c r="C883" s="25" t="n"/>
      <c r="D883" s="9" t="n"/>
      <c r="E883" s="9" t="n"/>
      <c r="F883" s="7" t="str">
        <f>IF(OR(D883="",E883=""),"",(E883-D883)*1440)</f>
        <v/>
      </c>
      <c r="G883" s="6" t="n"/>
      <c r="H883" s="6" t="n"/>
      <c r="I883" t="str">
        <f>IF(C883="","",C883&amp;"|"&amp;G883)</f>
        <v/>
      </c>
    </row>
    <row r="884">
      <c r="A884" s="5" t="n"/>
      <c r="B884" s="5" t="n"/>
      <c r="C884" s="25" t="n"/>
      <c r="D884" s="9" t="n"/>
      <c r="E884" s="9" t="n"/>
      <c r="F884" s="7" t="str">
        <f>IF(OR(D884="",E884=""),"",(E884-D884)*1440)</f>
        <v/>
      </c>
      <c r="G884" s="6" t="n"/>
      <c r="H884" s="6" t="n"/>
      <c r="I884" t="str">
        <f>IF(C884="","",C884&amp;"|"&amp;G884)</f>
        <v/>
      </c>
    </row>
    <row r="885">
      <c r="A885" s="5" t="n"/>
      <c r="B885" s="5" t="n"/>
      <c r="C885" s="25" t="n"/>
      <c r="D885" s="9" t="n"/>
      <c r="E885" s="9" t="n"/>
      <c r="F885" s="7" t="str">
        <f>IF(OR(D885="",E885=""),"",(E885-D885)*1440)</f>
        <v/>
      </c>
      <c r="G885" s="6" t="n"/>
      <c r="H885" s="6" t="n"/>
      <c r="I885" t="str">
        <f>IF(C885="","",C885&amp;"|"&amp;G885)</f>
        <v/>
      </c>
    </row>
    <row r="886">
      <c r="A886" s="5" t="n"/>
      <c r="B886" s="5" t="n"/>
      <c r="C886" s="25" t="n"/>
      <c r="D886" s="9" t="n"/>
      <c r="E886" s="9" t="n"/>
      <c r="F886" s="7" t="str">
        <f>IF(OR(D886="",E886=""),"",(E886-D886)*1440)</f>
        <v/>
      </c>
      <c r="G886" s="6" t="n"/>
      <c r="H886" s="6" t="n"/>
      <c r="I886" t="str">
        <f>IF(C886="","",C886&amp;"|"&amp;G886)</f>
        <v/>
      </c>
    </row>
    <row r="887">
      <c r="A887" s="5" t="n"/>
      <c r="B887" s="5" t="n"/>
      <c r="C887" s="25" t="n"/>
      <c r="D887" s="9" t="n"/>
      <c r="E887" s="9" t="n"/>
      <c r="F887" s="7" t="str">
        <f>IF(OR(D887="",E887=""),"",(E887-D887)*1440)</f>
        <v/>
      </c>
      <c r="G887" s="6" t="n"/>
      <c r="H887" s="6" t="n"/>
      <c r="I887" t="str">
        <f>IF(C887="","",C887&amp;"|"&amp;G887)</f>
        <v/>
      </c>
    </row>
    <row r="888">
      <c r="A888" s="5" t="n"/>
      <c r="B888" s="5" t="n"/>
      <c r="C888" s="25" t="n"/>
      <c r="D888" s="9" t="n"/>
      <c r="E888" s="9" t="n"/>
      <c r="F888" s="7" t="str">
        <f>IF(OR(D888="",E888=""),"",(E888-D888)*1440)</f>
        <v/>
      </c>
      <c r="G888" s="6" t="n"/>
      <c r="H888" s="6" t="n"/>
      <c r="I888" t="str">
        <f>IF(C888="","",C888&amp;"|"&amp;G888)</f>
        <v/>
      </c>
    </row>
    <row r="889">
      <c r="A889" s="5" t="n"/>
      <c r="B889" s="5" t="n"/>
      <c r="C889" s="25" t="n"/>
      <c r="D889" s="9" t="n"/>
      <c r="E889" s="9" t="n"/>
      <c r="F889" s="7" t="str">
        <f>IF(OR(D889="",E889=""),"",(E889-D889)*1440)</f>
        <v/>
      </c>
      <c r="G889" s="6" t="n"/>
      <c r="H889" s="6" t="n"/>
      <c r="I889" t="str">
        <f>IF(C889="","",C889&amp;"|"&amp;G889)</f>
        <v/>
      </c>
    </row>
    <row r="890">
      <c r="A890" s="5" t="n"/>
      <c r="B890" s="5" t="n"/>
      <c r="C890" s="25" t="n"/>
      <c r="D890" s="9" t="n"/>
      <c r="E890" s="9" t="n"/>
      <c r="F890" s="7" t="str">
        <f>IF(OR(D890="",E890=""),"",(E890-D890)*1440)</f>
        <v/>
      </c>
      <c r="G890" s="6" t="n"/>
      <c r="H890" s="6" t="n"/>
      <c r="I890" t="str">
        <f>IF(C890="","",C890&amp;"|"&amp;G890)</f>
        <v/>
      </c>
    </row>
    <row r="891">
      <c r="A891" s="5" t="n"/>
      <c r="B891" s="5" t="n"/>
      <c r="C891" s="25" t="n"/>
      <c r="D891" s="9" t="n"/>
      <c r="E891" s="9" t="n"/>
      <c r="F891" s="7" t="str">
        <f>IF(OR(D891="",E891=""),"",(E891-D891)*1440)</f>
        <v/>
      </c>
      <c r="G891" s="6" t="n"/>
      <c r="H891" s="6" t="n"/>
      <c r="I891" t="str">
        <f>IF(C891="","",C891&amp;"|"&amp;G891)</f>
        <v/>
      </c>
    </row>
    <row r="892">
      <c r="A892" s="5" t="n"/>
      <c r="B892" s="5" t="n"/>
      <c r="C892" s="25" t="n"/>
      <c r="D892" s="9" t="n"/>
      <c r="E892" s="9" t="n"/>
      <c r="F892" s="7" t="str">
        <f>IF(OR(D892="",E892=""),"",(E892-D892)*1440)</f>
        <v/>
      </c>
      <c r="G892" s="6" t="n"/>
      <c r="H892" s="6" t="n"/>
      <c r="I892" t="str">
        <f>IF(C892="","",C892&amp;"|"&amp;G892)</f>
        <v/>
      </c>
    </row>
    <row r="893">
      <c r="A893" s="5" t="n"/>
      <c r="B893" s="5" t="n"/>
      <c r="C893" s="25" t="n"/>
      <c r="D893" s="9" t="n"/>
      <c r="E893" s="9" t="n"/>
      <c r="F893" s="7" t="str">
        <f>IF(OR(D893="",E893=""),"",(E893-D893)*1440)</f>
        <v/>
      </c>
      <c r="G893" s="6" t="n"/>
      <c r="H893" s="6" t="n"/>
      <c r="I893" t="str">
        <f>IF(C893="","",C893&amp;"|"&amp;G893)</f>
        <v/>
      </c>
    </row>
    <row r="894">
      <c r="A894" s="5" t="n"/>
      <c r="B894" s="5" t="n"/>
      <c r="C894" s="25" t="n"/>
      <c r="D894" s="9" t="n"/>
      <c r="E894" s="9" t="n"/>
      <c r="F894" s="7" t="str">
        <f>IF(OR(D894="",E894=""),"",(E894-D894)*1440)</f>
        <v/>
      </c>
      <c r="G894" s="6" t="n"/>
      <c r="H894" s="6" t="n"/>
      <c r="I894" t="str">
        <f>IF(C894="","",C894&amp;"|"&amp;G894)</f>
        <v/>
      </c>
    </row>
    <row r="895">
      <c r="A895" s="5" t="n"/>
      <c r="B895" s="5" t="n"/>
      <c r="C895" s="25" t="n"/>
      <c r="D895" s="9" t="n"/>
      <c r="E895" s="9" t="n"/>
      <c r="F895" s="7" t="str">
        <f>IF(OR(D895="",E895=""),"",(E895-D895)*1440)</f>
        <v/>
      </c>
      <c r="G895" s="6" t="n"/>
      <c r="H895" s="6" t="n"/>
      <c r="I895" t="str">
        <f>IF(C895="","",C895&amp;"|"&amp;G895)</f>
        <v/>
      </c>
    </row>
    <row r="896">
      <c r="A896" s="5" t="n"/>
      <c r="B896" s="5" t="n"/>
      <c r="C896" s="25" t="n"/>
      <c r="D896" s="9" t="n"/>
      <c r="E896" s="9" t="n"/>
      <c r="F896" s="7" t="str">
        <f>IF(OR(D896="",E896=""),"",(E896-D896)*1440)</f>
        <v/>
      </c>
      <c r="G896" s="6" t="n"/>
      <c r="H896" s="6" t="n"/>
      <c r="I896" t="str">
        <f>IF(C896="","",C896&amp;"|"&amp;G896)</f>
        <v/>
      </c>
    </row>
    <row r="897">
      <c r="A897" s="5" t="n"/>
      <c r="B897" s="5" t="n"/>
      <c r="C897" s="25" t="n"/>
      <c r="D897" s="9" t="n"/>
      <c r="E897" s="9" t="n"/>
      <c r="F897" s="7" t="str">
        <f>IF(OR(D897="",E897=""),"",(E897-D897)*1440)</f>
        <v/>
      </c>
      <c r="G897" s="6" t="n"/>
      <c r="H897" s="6" t="n"/>
      <c r="I897" t="str">
        <f>IF(C897="","",C897&amp;"|"&amp;G897)</f>
        <v/>
      </c>
    </row>
    <row r="898">
      <c r="A898" s="5" t="n"/>
      <c r="B898" s="5" t="n"/>
      <c r="C898" s="25" t="n"/>
      <c r="D898" s="9" t="n"/>
      <c r="E898" s="9" t="n"/>
      <c r="F898" s="7" t="str">
        <f>IF(OR(D898="",E898=""),"",(E898-D898)*1440)</f>
        <v/>
      </c>
      <c r="G898" s="6" t="n"/>
      <c r="H898" s="6" t="n"/>
      <c r="I898" t="str">
        <f>IF(C898="","",C898&amp;"|"&amp;G898)</f>
        <v/>
      </c>
    </row>
    <row r="899">
      <c r="A899" s="5" t="n"/>
      <c r="B899" s="5" t="n"/>
      <c r="C899" s="25" t="n"/>
      <c r="D899" s="9" t="n"/>
      <c r="E899" s="9" t="n"/>
      <c r="F899" s="7" t="str">
        <f>IF(OR(D899="",E899=""),"",(E899-D899)*1440)</f>
        <v/>
      </c>
      <c r="G899" s="6" t="n"/>
      <c r="H899" s="6" t="n"/>
      <c r="I899" t="str">
        <f>IF(C899="","",C899&amp;"|"&amp;G899)</f>
        <v/>
      </c>
    </row>
    <row r="900">
      <c r="A900" s="5" t="n"/>
      <c r="B900" s="5" t="n"/>
      <c r="C900" s="25" t="n"/>
      <c r="D900" s="9" t="n"/>
      <c r="E900" s="9" t="n"/>
      <c r="F900" s="7" t="str">
        <f>IF(OR(D900="",E900=""),"",(E900-D900)*1440)</f>
        <v/>
      </c>
      <c r="G900" s="6" t="n"/>
      <c r="H900" s="6" t="n"/>
      <c r="I900" t="str">
        <f>IF(C900="","",C900&amp;"|"&amp;G900)</f>
        <v/>
      </c>
    </row>
    <row r="901">
      <c r="A901" s="5" t="n"/>
      <c r="B901" s="5" t="n"/>
      <c r="C901" s="25" t="n"/>
      <c r="D901" s="9" t="n"/>
      <c r="E901" s="9" t="n"/>
      <c r="F901" s="7" t="str">
        <f>IF(OR(D901="",E901=""),"",(E901-D901)*1440)</f>
        <v/>
      </c>
      <c r="G901" s="6" t="n"/>
      <c r="H901" s="6" t="n"/>
      <c r="I901" t="str">
        <f>IF(C901="","",C901&amp;"|"&amp;G901)</f>
        <v/>
      </c>
    </row>
    <row r="902">
      <c r="A902" s="5" t="n"/>
      <c r="B902" s="5" t="n"/>
      <c r="C902" s="25" t="n"/>
      <c r="D902" s="9" t="n"/>
      <c r="E902" s="9" t="n"/>
      <c r="F902" s="7" t="str">
        <f>IF(OR(D902="",E902=""),"",(E902-D902)*1440)</f>
        <v/>
      </c>
      <c r="G902" s="6" t="n"/>
      <c r="H902" s="6" t="n"/>
      <c r="I902" t="str">
        <f>IF(C902="","",C902&amp;"|"&amp;G902)</f>
        <v/>
      </c>
    </row>
    <row r="903">
      <c r="A903" s="5" t="n"/>
      <c r="B903" s="5" t="n"/>
      <c r="C903" s="25" t="n"/>
      <c r="D903" s="9" t="n"/>
      <c r="E903" s="9" t="n"/>
      <c r="F903" s="7" t="str">
        <f>IF(OR(D903="",E903=""),"",(E903-D903)*1440)</f>
        <v/>
      </c>
      <c r="G903" s="6" t="n"/>
      <c r="H903" s="6" t="n"/>
      <c r="I903" t="str">
        <f>IF(C903="","",C903&amp;"|"&amp;G903)</f>
        <v/>
      </c>
    </row>
    <row r="904">
      <c r="A904" s="5" t="n"/>
      <c r="B904" s="5" t="n"/>
      <c r="C904" s="25" t="n"/>
      <c r="D904" s="9" t="n"/>
      <c r="E904" s="9" t="n"/>
      <c r="F904" s="7" t="str">
        <f>IF(OR(D904="",E904=""),"",(E904-D904)*1440)</f>
        <v/>
      </c>
      <c r="G904" s="6" t="n"/>
      <c r="H904" s="6" t="n"/>
      <c r="I904" t="str">
        <f>IF(C904="","",C904&amp;"|"&amp;G904)</f>
        <v/>
      </c>
    </row>
    <row r="905">
      <c r="A905" s="5" t="n"/>
      <c r="B905" s="5" t="n"/>
      <c r="C905" s="25" t="n"/>
      <c r="D905" s="9" t="n"/>
      <c r="E905" s="9" t="n"/>
      <c r="F905" s="7" t="str">
        <f>IF(OR(D905="",E905=""),"",(E905-D905)*1440)</f>
        <v/>
      </c>
      <c r="G905" s="6" t="n"/>
      <c r="H905" s="6" t="n"/>
      <c r="I905" t="str">
        <f>IF(C905="","",C905&amp;"|"&amp;G905)</f>
        <v/>
      </c>
    </row>
    <row r="906">
      <c r="A906" s="5" t="n"/>
      <c r="B906" s="5" t="n"/>
      <c r="C906" s="25" t="n"/>
      <c r="D906" s="9" t="n"/>
      <c r="E906" s="9" t="n"/>
      <c r="F906" s="7" t="str">
        <f>IF(OR(D906="",E906=""),"",(E906-D906)*1440)</f>
        <v/>
      </c>
      <c r="G906" s="6" t="n"/>
      <c r="H906" s="6" t="n"/>
      <c r="I906" t="str">
        <f>IF(C906="","",C906&amp;"|"&amp;G906)</f>
        <v/>
      </c>
    </row>
    <row r="907">
      <c r="A907" s="5" t="n"/>
      <c r="B907" s="5" t="n"/>
      <c r="C907" s="25" t="n"/>
      <c r="D907" s="9" t="n"/>
      <c r="E907" s="9" t="n"/>
      <c r="F907" s="7" t="str">
        <f>IF(OR(D907="",E907=""),"",(E907-D907)*1440)</f>
        <v/>
      </c>
      <c r="G907" s="6" t="n"/>
      <c r="H907" s="6" t="n"/>
      <c r="I907" t="str">
        <f>IF(C907="","",C907&amp;"|"&amp;G907)</f>
        <v/>
      </c>
    </row>
    <row r="908">
      <c r="A908" s="5" t="n"/>
      <c r="B908" s="5" t="n"/>
      <c r="C908" s="25" t="n"/>
      <c r="D908" s="9" t="n"/>
      <c r="E908" s="9" t="n"/>
      <c r="F908" s="7" t="str">
        <f>IF(OR(D908="",E908=""),"",(E908-D908)*1440)</f>
        <v/>
      </c>
      <c r="G908" s="6" t="n"/>
      <c r="H908" s="6" t="n"/>
      <c r="I908" t="str">
        <f>IF(C908="","",C908&amp;"|"&amp;G908)</f>
        <v/>
      </c>
    </row>
    <row r="909">
      <c r="A909" s="5" t="n"/>
      <c r="B909" s="5" t="n"/>
      <c r="C909" s="25" t="n"/>
      <c r="D909" s="9" t="n"/>
      <c r="E909" s="9" t="n"/>
      <c r="F909" s="7" t="str">
        <f>IF(OR(D909="",E909=""),"",(E909-D909)*1440)</f>
        <v/>
      </c>
      <c r="G909" s="6" t="n"/>
      <c r="H909" s="6" t="n"/>
      <c r="I909" t="str">
        <f>IF(C909="","",C909&amp;"|"&amp;G909)</f>
        <v/>
      </c>
    </row>
    <row r="910">
      <c r="A910" s="5" t="n"/>
      <c r="B910" s="5" t="n"/>
      <c r="C910" s="25" t="n"/>
      <c r="D910" s="9" t="n"/>
      <c r="E910" s="9" t="n"/>
      <c r="F910" s="7" t="str">
        <f>IF(OR(D910="",E910=""),"",(E910-D910)*1440)</f>
        <v/>
      </c>
      <c r="G910" s="6" t="n"/>
      <c r="H910" s="6" t="n"/>
      <c r="I910" t="str">
        <f>IF(C910="","",C910&amp;"|"&amp;G910)</f>
        <v/>
      </c>
    </row>
    <row r="911">
      <c r="A911" s="5" t="n"/>
      <c r="B911" s="5" t="n"/>
      <c r="C911" s="25" t="n"/>
      <c r="D911" s="9" t="n"/>
      <c r="E911" s="9" t="n"/>
      <c r="F911" s="7" t="str">
        <f>IF(OR(D911="",E911=""),"",(E911-D911)*1440)</f>
        <v/>
      </c>
      <c r="G911" s="6" t="n"/>
      <c r="H911" s="6" t="n"/>
      <c r="I911" t="str">
        <f>IF(C911="","",C911&amp;"|"&amp;G911)</f>
        <v/>
      </c>
    </row>
    <row r="912">
      <c r="A912" s="5" t="n"/>
      <c r="B912" s="5" t="n"/>
      <c r="C912" s="25" t="n"/>
      <c r="D912" s="9" t="n"/>
      <c r="E912" s="9" t="n"/>
      <c r="F912" s="7" t="str">
        <f>IF(OR(D912="",E912=""),"",(E912-D912)*1440)</f>
        <v/>
      </c>
      <c r="G912" s="6" t="n"/>
      <c r="H912" s="6" t="n"/>
      <c r="I912" t="str">
        <f>IF(C912="","",C912&amp;"|"&amp;G912)</f>
        <v/>
      </c>
    </row>
    <row r="913">
      <c r="A913" s="5" t="n"/>
      <c r="B913" s="5" t="n"/>
      <c r="C913" s="25" t="n"/>
      <c r="D913" s="9" t="n"/>
      <c r="E913" s="9" t="n"/>
      <c r="F913" s="7" t="str">
        <f>IF(OR(D913="",E913=""),"",(E913-D913)*1440)</f>
        <v/>
      </c>
      <c r="G913" s="6" t="n"/>
      <c r="H913" s="6" t="n"/>
      <c r="I913" t="str">
        <f>IF(C913="","",C913&amp;"|"&amp;G913)</f>
        <v/>
      </c>
    </row>
    <row r="914">
      <c r="A914" s="5" t="n"/>
      <c r="B914" s="5" t="n"/>
      <c r="C914" s="25" t="n"/>
      <c r="D914" s="9" t="n"/>
      <c r="E914" s="9" t="n"/>
      <c r="F914" s="7" t="str">
        <f>IF(OR(D914="",E914=""),"",(E914-D914)*1440)</f>
        <v/>
      </c>
      <c r="G914" s="6" t="n"/>
      <c r="H914" s="6" t="n"/>
      <c r="I914" t="str">
        <f>IF(C914="","",C914&amp;"|"&amp;G914)</f>
        <v/>
      </c>
    </row>
    <row r="915">
      <c r="A915" s="5" t="n"/>
      <c r="B915" s="5" t="n"/>
      <c r="C915" s="25" t="n"/>
      <c r="D915" s="9" t="n"/>
      <c r="E915" s="9" t="n"/>
      <c r="F915" s="7" t="str">
        <f>IF(OR(D915="",E915=""),"",(E915-D915)*1440)</f>
        <v/>
      </c>
      <c r="G915" s="6" t="n"/>
      <c r="H915" s="6" t="n"/>
      <c r="I915" t="str">
        <f>IF(C915="","",C915&amp;"|"&amp;G915)</f>
        <v/>
      </c>
    </row>
    <row r="916">
      <c r="A916" s="5" t="n"/>
      <c r="B916" s="5" t="n"/>
      <c r="C916" s="25" t="n"/>
      <c r="D916" s="9" t="n"/>
      <c r="E916" s="9" t="n"/>
      <c r="F916" s="7" t="str">
        <f>IF(OR(D916="",E916=""),"",(E916-D916)*1440)</f>
        <v/>
      </c>
      <c r="G916" s="6" t="n"/>
      <c r="H916" s="6" t="n"/>
      <c r="I916" t="str">
        <f>IF(C916="","",C916&amp;"|"&amp;G916)</f>
        <v/>
      </c>
    </row>
    <row r="917">
      <c r="A917" s="5" t="n"/>
      <c r="B917" s="5" t="n"/>
      <c r="C917" s="25" t="n"/>
      <c r="D917" s="9" t="n"/>
      <c r="E917" s="9" t="n"/>
      <c r="F917" s="7" t="str">
        <f>IF(OR(D917="",E917=""),"",(E917-D917)*1440)</f>
        <v/>
      </c>
      <c r="G917" s="6" t="n"/>
      <c r="H917" s="6" t="n"/>
      <c r="I917" t="str">
        <f>IF(C917="","",C917&amp;"|"&amp;G917)</f>
        <v/>
      </c>
    </row>
    <row r="918">
      <c r="A918" s="5" t="n"/>
      <c r="B918" s="5" t="n"/>
      <c r="C918" s="25" t="n"/>
      <c r="D918" s="9" t="n"/>
      <c r="E918" s="9" t="n"/>
      <c r="F918" s="7" t="str">
        <f>IF(OR(D918="",E918=""),"",(E918-D918)*1440)</f>
        <v/>
      </c>
      <c r="G918" s="6" t="n"/>
      <c r="H918" s="6" t="n"/>
      <c r="I918" t="str">
        <f>IF(C918="","",C918&amp;"|"&amp;G918)</f>
        <v/>
      </c>
    </row>
    <row r="919">
      <c r="A919" s="5" t="n"/>
      <c r="B919" s="5" t="n"/>
      <c r="C919" s="25" t="n"/>
      <c r="D919" s="9" t="n"/>
      <c r="E919" s="9" t="n"/>
      <c r="F919" s="7" t="str">
        <f>IF(OR(D919="",E919=""),"",(E919-D919)*1440)</f>
        <v/>
      </c>
      <c r="G919" s="6" t="n"/>
      <c r="H919" s="6" t="n"/>
      <c r="I919" t="str">
        <f>IF(C919="","",C919&amp;"|"&amp;G919)</f>
        <v/>
      </c>
    </row>
    <row r="920">
      <c r="A920" s="5" t="n"/>
      <c r="B920" s="5" t="n"/>
      <c r="C920" s="25" t="n"/>
      <c r="D920" s="9" t="n"/>
      <c r="E920" s="9" t="n"/>
      <c r="F920" s="7" t="str">
        <f>IF(OR(D920="",E920=""),"",(E920-D920)*1440)</f>
        <v/>
      </c>
      <c r="G920" s="6" t="n"/>
      <c r="H920" s="6" t="n"/>
      <c r="I920" t="str">
        <f>IF(C920="","",C920&amp;"|"&amp;G920)</f>
        <v/>
      </c>
    </row>
    <row r="921">
      <c r="A921" s="5" t="n"/>
      <c r="B921" s="5" t="n"/>
      <c r="C921" s="25" t="n"/>
      <c r="D921" s="9" t="n"/>
      <c r="E921" s="9" t="n"/>
      <c r="F921" s="7" t="str">
        <f>IF(OR(D921="",E921=""),"",(E921-D921)*1440)</f>
        <v/>
      </c>
      <c r="G921" s="6" t="n"/>
      <c r="H921" s="6" t="n"/>
      <c r="I921" t="str">
        <f>IF(C921="","",C921&amp;"|"&amp;G921)</f>
        <v/>
      </c>
    </row>
    <row r="922">
      <c r="A922" s="5" t="n"/>
      <c r="B922" s="5" t="n"/>
      <c r="C922" s="25" t="n"/>
      <c r="D922" s="9" t="n"/>
      <c r="E922" s="9" t="n"/>
      <c r="F922" s="7" t="str">
        <f>IF(OR(D922="",E922=""),"",(E922-D922)*1440)</f>
        <v/>
      </c>
      <c r="G922" s="6" t="n"/>
      <c r="H922" s="6" t="n"/>
      <c r="I922" t="str">
        <f>IF(C922="","",C922&amp;"|"&amp;G922)</f>
        <v/>
      </c>
    </row>
    <row r="923">
      <c r="A923" s="5" t="n"/>
      <c r="B923" s="5" t="n"/>
      <c r="C923" s="25" t="n"/>
      <c r="D923" s="9" t="n"/>
      <c r="E923" s="9" t="n"/>
      <c r="F923" s="7" t="str">
        <f>IF(OR(D923="",E923=""),"",(E923-D923)*1440)</f>
        <v/>
      </c>
      <c r="G923" s="6" t="n"/>
      <c r="H923" s="6" t="n"/>
      <c r="I923" t="str">
        <f>IF(C923="","",C923&amp;"|"&amp;G923)</f>
        <v/>
      </c>
    </row>
    <row r="924">
      <c r="A924" s="5" t="n"/>
      <c r="B924" s="5" t="n"/>
      <c r="C924" s="25" t="n"/>
      <c r="D924" s="9" t="n"/>
      <c r="E924" s="9" t="n"/>
      <c r="F924" s="7" t="str">
        <f>IF(OR(D924="",E924=""),"",(E924-D924)*1440)</f>
        <v/>
      </c>
      <c r="G924" s="6" t="n"/>
      <c r="H924" s="6" t="n"/>
      <c r="I924" t="str">
        <f>IF(C924="","",C924&amp;"|"&amp;G924)</f>
        <v/>
      </c>
    </row>
    <row r="925">
      <c r="A925" s="5" t="n"/>
      <c r="B925" s="5" t="n"/>
      <c r="C925" s="25" t="n"/>
      <c r="D925" s="9" t="n"/>
      <c r="E925" s="9" t="n"/>
      <c r="F925" s="7" t="str">
        <f>IF(OR(D925="",E925=""),"",(E925-D925)*1440)</f>
        <v/>
      </c>
      <c r="G925" s="6" t="n"/>
      <c r="H925" s="6" t="n"/>
      <c r="I925" t="str">
        <f>IF(C925="","",C925&amp;"|"&amp;G925)</f>
        <v/>
      </c>
    </row>
    <row r="926">
      <c r="A926" s="5" t="n"/>
      <c r="B926" s="5" t="n"/>
      <c r="C926" s="25" t="n"/>
      <c r="D926" s="9" t="n"/>
      <c r="E926" s="9" t="n"/>
      <c r="F926" s="7" t="str">
        <f>IF(OR(D926="",E926=""),"",(E926-D926)*1440)</f>
        <v/>
      </c>
      <c r="G926" s="6" t="n"/>
      <c r="H926" s="6" t="n"/>
      <c r="I926" t="str">
        <f>IF(C926="","",C926&amp;"|"&amp;G926)</f>
        <v/>
      </c>
    </row>
    <row r="927">
      <c r="A927" s="5" t="n"/>
      <c r="B927" s="5" t="n"/>
      <c r="C927" s="25" t="n"/>
      <c r="D927" s="9" t="n"/>
      <c r="E927" s="9" t="n"/>
      <c r="F927" s="7" t="str">
        <f>IF(OR(D927="",E927=""),"",(E927-D927)*1440)</f>
        <v/>
      </c>
      <c r="G927" s="6" t="n"/>
      <c r="H927" s="6" t="n"/>
      <c r="I927" t="str">
        <f>IF(C927="","",C927&amp;"|"&amp;G927)</f>
        <v/>
      </c>
    </row>
    <row r="928">
      <c r="A928" s="5" t="n"/>
      <c r="B928" s="5" t="n"/>
      <c r="C928" s="25" t="n"/>
      <c r="D928" s="9" t="n"/>
      <c r="E928" s="9" t="n"/>
      <c r="F928" s="7" t="str">
        <f>IF(OR(D928="",E928=""),"",(E928-D928)*1440)</f>
        <v/>
      </c>
      <c r="G928" s="6" t="n"/>
      <c r="H928" s="6" t="n"/>
      <c r="I928" t="str">
        <f>IF(C928="","",C928&amp;"|"&amp;G928)</f>
        <v/>
      </c>
    </row>
    <row r="929">
      <c r="A929" s="5" t="n"/>
      <c r="B929" s="5" t="n"/>
      <c r="C929" s="25" t="n"/>
      <c r="D929" s="9" t="n"/>
      <c r="E929" s="9" t="n"/>
      <c r="F929" s="7" t="str">
        <f>IF(OR(D929="",E929=""),"",(E929-D929)*1440)</f>
        <v/>
      </c>
      <c r="G929" s="6" t="n"/>
      <c r="H929" s="6" t="n"/>
      <c r="I929" t="str">
        <f>IF(C929="","",C929&amp;"|"&amp;G929)</f>
        <v/>
      </c>
    </row>
    <row r="930">
      <c r="A930" s="5" t="n"/>
      <c r="B930" s="5" t="n"/>
      <c r="C930" s="25" t="n"/>
      <c r="D930" s="9" t="n"/>
      <c r="E930" s="9" t="n"/>
      <c r="F930" s="7" t="str">
        <f>IF(OR(D930="",E930=""),"",(E930-D930)*1440)</f>
        <v/>
      </c>
      <c r="G930" s="6" t="n"/>
      <c r="H930" s="6" t="n"/>
      <c r="I930" t="str">
        <f>IF(C930="","",C930&amp;"|"&amp;G930)</f>
        <v/>
      </c>
    </row>
    <row r="931">
      <c r="A931" s="5" t="n"/>
      <c r="B931" s="5" t="n"/>
      <c r="C931" s="25" t="n"/>
      <c r="D931" s="9" t="n"/>
      <c r="E931" s="9" t="n"/>
      <c r="F931" s="7" t="str">
        <f>IF(OR(D931="",E931=""),"",(E931-D931)*1440)</f>
        <v/>
      </c>
      <c r="G931" s="6" t="n"/>
      <c r="H931" s="6" t="n"/>
      <c r="I931" t="str">
        <f>IF(C931="","",C931&amp;"|"&amp;G931)</f>
        <v/>
      </c>
    </row>
    <row r="932">
      <c r="A932" s="5" t="n"/>
      <c r="B932" s="5" t="n"/>
      <c r="C932" s="25" t="n"/>
      <c r="D932" s="9" t="n"/>
      <c r="E932" s="9" t="n"/>
      <c r="F932" s="7" t="str">
        <f>IF(OR(D932="",E932=""),"",(E932-D932)*1440)</f>
        <v/>
      </c>
      <c r="G932" s="6" t="n"/>
      <c r="H932" s="6" t="n"/>
      <c r="I932" t="str">
        <f>IF(C932="","",C932&amp;"|"&amp;G932)</f>
        <v/>
      </c>
    </row>
    <row r="933">
      <c r="A933" s="5" t="n"/>
      <c r="B933" s="5" t="n"/>
      <c r="C933" s="25" t="n"/>
      <c r="D933" s="9" t="n"/>
      <c r="E933" s="9" t="n"/>
      <c r="F933" s="7" t="str">
        <f>IF(OR(D933="",E933=""),"",(E933-D933)*1440)</f>
        <v/>
      </c>
      <c r="G933" s="6" t="n"/>
      <c r="H933" s="6" t="n"/>
      <c r="I933" t="str">
        <f>IF(C933="","",C933&amp;"|"&amp;G933)</f>
        <v/>
      </c>
    </row>
    <row r="934">
      <c r="A934" s="5" t="n"/>
      <c r="B934" s="5" t="n"/>
      <c r="C934" s="25" t="n"/>
      <c r="D934" s="9" t="n"/>
      <c r="E934" s="9" t="n"/>
      <c r="F934" s="7" t="str">
        <f>IF(OR(D934="",E934=""),"",(E934-D934)*1440)</f>
        <v/>
      </c>
      <c r="G934" s="6" t="n"/>
      <c r="H934" s="6" t="n"/>
      <c r="I934" t="str">
        <f>IF(C934="","",C934&amp;"|"&amp;G934)</f>
        <v/>
      </c>
    </row>
    <row r="935">
      <c r="A935" s="5" t="n"/>
      <c r="B935" s="5" t="n"/>
      <c r="C935" s="25" t="n"/>
      <c r="D935" s="9" t="n"/>
      <c r="E935" s="9" t="n"/>
      <c r="F935" s="7" t="str">
        <f>IF(OR(D935="",E935=""),"",(E935-D935)*1440)</f>
        <v/>
      </c>
      <c r="G935" s="6" t="n"/>
      <c r="H935" s="6" t="n"/>
      <c r="I935" t="str">
        <f>IF(C935="","",C935&amp;"|"&amp;G935)</f>
        <v/>
      </c>
    </row>
    <row r="936">
      <c r="A936" s="5" t="n"/>
      <c r="B936" s="5" t="n"/>
      <c r="C936" s="25" t="n"/>
      <c r="D936" s="9" t="n"/>
      <c r="E936" s="9" t="n"/>
      <c r="F936" s="7" t="str">
        <f>IF(OR(D936="",E936=""),"",(E936-D936)*1440)</f>
        <v/>
      </c>
      <c r="G936" s="6" t="n"/>
      <c r="H936" s="6" t="n"/>
      <c r="I936" t="str">
        <f>IF(C936="","",C936&amp;"|"&amp;G936)</f>
        <v/>
      </c>
    </row>
    <row r="937">
      <c r="A937" s="5" t="n"/>
      <c r="B937" s="5" t="n"/>
      <c r="C937" s="25" t="n"/>
      <c r="D937" s="9" t="n"/>
      <c r="E937" s="9" t="n"/>
      <c r="F937" s="7" t="str">
        <f>IF(OR(D937="",E937=""),"",(E937-D937)*1440)</f>
        <v/>
      </c>
      <c r="G937" s="6" t="n"/>
      <c r="H937" s="6" t="n"/>
      <c r="I937" t="str">
        <f>IF(C937="","",C937&amp;"|"&amp;G937)</f>
        <v/>
      </c>
    </row>
    <row r="938">
      <c r="A938" s="5" t="n"/>
      <c r="B938" s="5" t="n"/>
      <c r="C938" s="25" t="n"/>
      <c r="D938" s="9" t="n"/>
      <c r="E938" s="9" t="n"/>
      <c r="F938" s="7" t="str">
        <f>IF(OR(D938="",E938=""),"",(E938-D938)*1440)</f>
        <v/>
      </c>
      <c r="G938" s="6" t="n"/>
      <c r="H938" s="6" t="n"/>
      <c r="I938" t="str">
        <f>IF(C938="","",C938&amp;"|"&amp;G938)</f>
        <v/>
      </c>
    </row>
    <row r="939">
      <c r="A939" s="5" t="n"/>
      <c r="B939" s="5" t="n"/>
      <c r="C939" s="25" t="n"/>
      <c r="D939" s="9" t="n"/>
      <c r="E939" s="9" t="n"/>
      <c r="F939" s="7" t="str">
        <f>IF(OR(D939="",E939=""),"",(E939-D939)*1440)</f>
        <v/>
      </c>
      <c r="G939" s="6" t="n"/>
      <c r="H939" s="6" t="n"/>
      <c r="I939" t="str">
        <f>IF(C939="","",C939&amp;"|"&amp;G939)</f>
        <v/>
      </c>
    </row>
    <row r="940">
      <c r="A940" s="5" t="n"/>
      <c r="B940" s="5" t="n"/>
      <c r="C940" s="25" t="n"/>
      <c r="D940" s="9" t="n"/>
      <c r="E940" s="9" t="n"/>
      <c r="F940" s="7" t="str">
        <f>IF(OR(D940="",E940=""),"",(E940-D940)*1440)</f>
        <v/>
      </c>
      <c r="G940" s="6" t="n"/>
      <c r="H940" s="6" t="n"/>
      <c r="I940" t="str">
        <f>IF(C940="","",C940&amp;"|"&amp;G940)</f>
        <v/>
      </c>
    </row>
    <row r="941">
      <c r="A941" s="5" t="n"/>
      <c r="B941" s="5" t="n"/>
      <c r="C941" s="25" t="n"/>
      <c r="D941" s="9" t="n"/>
      <c r="E941" s="9" t="n"/>
      <c r="F941" s="7" t="str">
        <f>IF(OR(D941="",E941=""),"",(E941-D941)*1440)</f>
        <v/>
      </c>
      <c r="G941" s="6" t="n"/>
      <c r="H941" s="6" t="n"/>
      <c r="I941" t="str">
        <f>IF(C941="","",C941&amp;"|"&amp;G941)</f>
        <v/>
      </c>
    </row>
    <row r="942">
      <c r="A942" s="5" t="n"/>
      <c r="B942" s="5" t="n"/>
      <c r="C942" s="25" t="n"/>
      <c r="D942" s="9" t="n"/>
      <c r="E942" s="9" t="n"/>
      <c r="F942" s="7" t="str">
        <f>IF(OR(D942="",E942=""),"",(E942-D942)*1440)</f>
        <v/>
      </c>
      <c r="G942" s="6" t="n"/>
      <c r="H942" s="6" t="n"/>
      <c r="I942" t="str">
        <f>IF(C942="","",C942&amp;"|"&amp;G942)</f>
        <v/>
      </c>
    </row>
    <row r="943">
      <c r="A943" s="5" t="n"/>
      <c r="B943" s="5" t="n"/>
      <c r="C943" s="25" t="n"/>
      <c r="D943" s="9" t="n"/>
      <c r="E943" s="9" t="n"/>
      <c r="F943" s="7" t="str">
        <f>IF(OR(D943="",E943=""),"",(E943-D943)*1440)</f>
        <v/>
      </c>
      <c r="G943" s="6" t="n"/>
      <c r="H943" s="6" t="n"/>
      <c r="I943" t="str">
        <f>IF(C943="","",C943&amp;"|"&amp;G943)</f>
        <v/>
      </c>
    </row>
    <row r="944">
      <c r="A944" s="5" t="n"/>
      <c r="B944" s="5" t="n"/>
      <c r="C944" s="25" t="n"/>
      <c r="D944" s="9" t="n"/>
      <c r="E944" s="9" t="n"/>
      <c r="F944" s="7" t="str">
        <f>IF(OR(D944="",E944=""),"",(E944-D944)*1440)</f>
        <v/>
      </c>
      <c r="G944" s="6" t="n"/>
      <c r="H944" s="6" t="n"/>
      <c r="I944" t="str">
        <f>IF(C944="","",C944&amp;"|"&amp;G944)</f>
        <v/>
      </c>
    </row>
    <row r="945">
      <c r="A945" s="5" t="n"/>
      <c r="B945" s="5" t="n"/>
      <c r="C945" s="25" t="n"/>
      <c r="D945" s="9" t="n"/>
      <c r="E945" s="9" t="n"/>
      <c r="F945" s="7" t="str">
        <f>IF(OR(D945="",E945=""),"",(E945-D945)*1440)</f>
        <v/>
      </c>
      <c r="G945" s="6" t="n"/>
      <c r="H945" s="6" t="n"/>
      <c r="I945" t="str">
        <f>IF(C945="","",C945&amp;"|"&amp;G945)</f>
        <v/>
      </c>
    </row>
    <row r="946">
      <c r="A946" s="5" t="n"/>
      <c r="B946" s="5" t="n"/>
      <c r="C946" s="25" t="n"/>
      <c r="D946" s="9" t="n"/>
      <c r="E946" s="9" t="n"/>
      <c r="F946" s="7" t="str">
        <f>IF(OR(D946="",E946=""),"",(E946-D946)*1440)</f>
        <v/>
      </c>
      <c r="G946" s="6" t="n"/>
      <c r="H946" s="6" t="n"/>
      <c r="I946" t="str">
        <f>IF(C946="","",C946&amp;"|"&amp;G946)</f>
        <v/>
      </c>
    </row>
    <row r="947">
      <c r="A947" s="5" t="n"/>
      <c r="B947" s="5" t="n"/>
      <c r="C947" s="25" t="n"/>
      <c r="D947" s="9" t="n"/>
      <c r="E947" s="9" t="n"/>
      <c r="F947" s="7" t="str">
        <f>IF(OR(D947="",E947=""),"",(E947-D947)*1440)</f>
        <v/>
      </c>
      <c r="G947" s="6" t="n"/>
      <c r="H947" s="6" t="n"/>
      <c r="I947" t="str">
        <f>IF(C947="","",C947&amp;"|"&amp;G947)</f>
        <v/>
      </c>
    </row>
    <row r="948">
      <c r="A948" s="5" t="n"/>
      <c r="B948" s="5" t="n"/>
      <c r="C948" s="25" t="n"/>
      <c r="D948" s="9" t="n"/>
      <c r="E948" s="9" t="n"/>
      <c r="F948" s="7" t="str">
        <f>IF(OR(D948="",E948=""),"",(E948-D948)*1440)</f>
        <v/>
      </c>
      <c r="G948" s="6" t="n"/>
      <c r="H948" s="6" t="n"/>
      <c r="I948" t="str">
        <f>IF(C948="","",C948&amp;"|"&amp;G948)</f>
        <v/>
      </c>
    </row>
    <row r="949">
      <c r="A949" s="5" t="n"/>
      <c r="B949" s="5" t="n"/>
      <c r="C949" s="25" t="n"/>
      <c r="D949" s="9" t="n"/>
      <c r="E949" s="9" t="n"/>
      <c r="F949" s="7" t="str">
        <f>IF(OR(D949="",E949=""),"",(E949-D949)*1440)</f>
        <v/>
      </c>
      <c r="G949" s="6" t="n"/>
      <c r="H949" s="6" t="n"/>
      <c r="I949" t="str">
        <f>IF(C949="","",C949&amp;"|"&amp;G949)</f>
        <v/>
      </c>
    </row>
    <row r="950">
      <c r="A950" s="5" t="n"/>
      <c r="B950" s="5" t="n"/>
      <c r="C950" s="25" t="n"/>
      <c r="D950" s="9" t="n"/>
      <c r="E950" s="9" t="n"/>
      <c r="F950" s="7" t="str">
        <f>IF(OR(D950="",E950=""),"",(E950-D950)*1440)</f>
        <v/>
      </c>
      <c r="G950" s="6" t="n"/>
      <c r="H950" s="6" t="n"/>
      <c r="I950" t="str">
        <f>IF(C950="","",C950&amp;"|"&amp;G950)</f>
        <v/>
      </c>
    </row>
    <row r="951">
      <c r="A951" s="5" t="n"/>
      <c r="B951" s="5" t="n"/>
      <c r="C951" s="25" t="n"/>
      <c r="D951" s="9" t="n"/>
      <c r="E951" s="9" t="n"/>
      <c r="F951" s="7" t="str">
        <f>IF(OR(D951="",E951=""),"",(E951-D951)*1440)</f>
        <v/>
      </c>
      <c r="G951" s="6" t="n"/>
      <c r="H951" s="6" t="n"/>
      <c r="I951" t="str">
        <f>IF(C951="","",C951&amp;"|"&amp;G951)</f>
        <v/>
      </c>
    </row>
    <row r="952">
      <c r="A952" s="5" t="n"/>
      <c r="B952" s="5" t="n"/>
      <c r="C952" s="25" t="n"/>
      <c r="D952" s="9" t="n"/>
      <c r="E952" s="9" t="n"/>
      <c r="F952" s="7" t="str">
        <f>IF(OR(D952="",E952=""),"",(E952-D952)*1440)</f>
        <v/>
      </c>
      <c r="G952" s="6" t="n"/>
      <c r="H952" s="6" t="n"/>
      <c r="I952" t="str">
        <f>IF(C952="","",C952&amp;"|"&amp;G952)</f>
        <v/>
      </c>
    </row>
    <row r="953">
      <c r="A953" s="5" t="n"/>
      <c r="B953" s="5" t="n"/>
      <c r="C953" s="25" t="n"/>
      <c r="D953" s="9" t="n"/>
      <c r="E953" s="9" t="n"/>
      <c r="F953" s="7" t="str">
        <f>IF(OR(D953="",E953=""),"",(E953-D953)*1440)</f>
        <v/>
      </c>
      <c r="G953" s="6" t="n"/>
      <c r="H953" s="6" t="n"/>
      <c r="I953" t="str">
        <f>IF(C953="","",C953&amp;"|"&amp;G953)</f>
        <v/>
      </c>
    </row>
    <row r="954">
      <c r="A954" s="5" t="n"/>
      <c r="B954" s="5" t="n"/>
      <c r="C954" s="25" t="n"/>
      <c r="D954" s="9" t="n"/>
      <c r="E954" s="9" t="n"/>
      <c r="F954" s="7" t="str">
        <f>IF(OR(D954="",E954=""),"",(E954-D954)*1440)</f>
        <v/>
      </c>
      <c r="G954" s="6" t="n"/>
      <c r="H954" s="6" t="n"/>
      <c r="I954" t="str">
        <f>IF(C954="","",C954&amp;"|"&amp;G954)</f>
        <v/>
      </c>
    </row>
    <row r="955">
      <c r="A955" s="5" t="n"/>
      <c r="B955" s="5" t="n"/>
      <c r="C955" s="25" t="n"/>
      <c r="D955" s="9" t="n"/>
      <c r="E955" s="9" t="n"/>
      <c r="F955" s="7" t="str">
        <f>IF(OR(D955="",E955=""),"",(E955-D955)*1440)</f>
        <v/>
      </c>
      <c r="G955" s="6" t="n"/>
      <c r="H955" s="6" t="n"/>
      <c r="I955" t="str">
        <f>IF(C955="","",C955&amp;"|"&amp;G955)</f>
        <v/>
      </c>
    </row>
    <row r="956">
      <c r="A956" s="5" t="n"/>
      <c r="B956" s="5" t="n"/>
      <c r="C956" s="25" t="n"/>
      <c r="D956" s="9" t="n"/>
      <c r="E956" s="9" t="n"/>
      <c r="F956" s="7" t="str">
        <f>IF(OR(D956="",E956=""),"",(E956-D956)*1440)</f>
        <v/>
      </c>
      <c r="G956" s="6" t="n"/>
      <c r="H956" s="6" t="n"/>
      <c r="I956" t="str">
        <f>IF(C956="","",C956&amp;"|"&amp;G956)</f>
        <v/>
      </c>
    </row>
    <row r="957">
      <c r="A957" s="5" t="n"/>
      <c r="B957" s="5" t="n"/>
      <c r="C957" s="25" t="n"/>
      <c r="D957" s="9" t="n"/>
      <c r="E957" s="9" t="n"/>
      <c r="F957" s="7" t="str">
        <f>IF(OR(D957="",E957=""),"",(E957-D957)*1440)</f>
        <v/>
      </c>
      <c r="G957" s="6" t="n"/>
      <c r="H957" s="6" t="n"/>
      <c r="I957" t="str">
        <f>IF(C957="","",C957&amp;"|"&amp;G957)</f>
        <v/>
      </c>
    </row>
    <row r="958">
      <c r="A958" s="5" t="n"/>
      <c r="B958" s="5" t="n"/>
      <c r="C958" s="25" t="n"/>
      <c r="D958" s="9" t="n"/>
      <c r="E958" s="9" t="n"/>
      <c r="F958" s="7" t="str">
        <f>IF(OR(D958="",E958=""),"",(E958-D958)*1440)</f>
        <v/>
      </c>
      <c r="G958" s="6" t="n"/>
      <c r="H958" s="6" t="n"/>
      <c r="I958" t="str">
        <f>IF(C958="","",C958&amp;"|"&amp;G958)</f>
        <v/>
      </c>
    </row>
    <row r="959">
      <c r="A959" s="5" t="n"/>
      <c r="B959" s="5" t="n"/>
      <c r="C959" s="25" t="n"/>
      <c r="D959" s="9" t="n"/>
      <c r="E959" s="9" t="n"/>
      <c r="F959" s="7" t="str">
        <f>IF(OR(D959="",E959=""),"",(E959-D959)*1440)</f>
        <v/>
      </c>
      <c r="G959" s="6" t="n"/>
      <c r="H959" s="6" t="n"/>
      <c r="I959" t="str">
        <f>IF(C959="","",C959&amp;"|"&amp;G959)</f>
        <v/>
      </c>
    </row>
    <row r="960">
      <c r="A960" s="5" t="n"/>
      <c r="B960" s="5" t="n"/>
      <c r="C960" s="25" t="n"/>
      <c r="D960" s="9" t="n"/>
      <c r="E960" s="9" t="n"/>
      <c r="F960" s="7" t="str">
        <f>IF(OR(D960="",E960=""),"",(E960-D960)*1440)</f>
        <v/>
      </c>
      <c r="G960" s="6" t="n"/>
      <c r="H960" s="6" t="n"/>
      <c r="I960" t="str">
        <f>IF(C960="","",C960&amp;"|"&amp;G960)</f>
        <v/>
      </c>
    </row>
    <row r="961">
      <c r="A961" s="5" t="n"/>
      <c r="B961" s="5" t="n"/>
      <c r="C961" s="25" t="n"/>
      <c r="D961" s="9" t="n"/>
      <c r="E961" s="9" t="n"/>
      <c r="F961" s="7" t="str">
        <f>IF(OR(D961="",E961=""),"",(E961-D961)*1440)</f>
        <v/>
      </c>
      <c r="G961" s="6" t="n"/>
      <c r="H961" s="6" t="n"/>
      <c r="I961" t="str">
        <f>IF(C961="","",C961&amp;"|"&amp;G961)</f>
        <v/>
      </c>
    </row>
    <row r="962">
      <c r="A962" s="5" t="n"/>
      <c r="B962" s="5" t="n"/>
      <c r="C962" s="25" t="n"/>
      <c r="D962" s="9" t="n"/>
      <c r="E962" s="9" t="n"/>
      <c r="F962" s="7" t="str">
        <f>IF(OR(D962="",E962=""),"",(E962-D962)*1440)</f>
        <v/>
      </c>
      <c r="G962" s="6" t="n"/>
      <c r="H962" s="6" t="n"/>
      <c r="I962" t="str">
        <f>IF(C962="","",C962&amp;"|"&amp;G962)</f>
        <v/>
      </c>
    </row>
    <row r="963">
      <c r="A963" s="5" t="n"/>
      <c r="B963" s="5" t="n"/>
      <c r="C963" s="25" t="n"/>
      <c r="D963" s="9" t="n"/>
      <c r="E963" s="9" t="n"/>
      <c r="F963" s="7" t="str">
        <f>IF(OR(D963="",E963=""),"",(E963-D963)*1440)</f>
        <v/>
      </c>
      <c r="G963" s="6" t="n"/>
      <c r="H963" s="6" t="n"/>
      <c r="I963" t="str">
        <f>IF(C963="","",C963&amp;"|"&amp;G963)</f>
        <v/>
      </c>
    </row>
    <row r="964">
      <c r="A964" s="5" t="n"/>
      <c r="B964" s="5" t="n"/>
      <c r="C964" s="25" t="n"/>
      <c r="D964" s="9" t="n"/>
      <c r="E964" s="9" t="n"/>
      <c r="F964" s="7" t="str">
        <f>IF(OR(D964="",E964=""),"",(E964-D964)*1440)</f>
        <v/>
      </c>
      <c r="G964" s="6" t="n"/>
      <c r="H964" s="6" t="n"/>
      <c r="I964" t="str">
        <f>IF(C964="","",C964&amp;"|"&amp;G964)</f>
        <v/>
      </c>
    </row>
    <row r="965">
      <c r="A965" s="5" t="n"/>
      <c r="B965" s="5" t="n"/>
      <c r="C965" s="25" t="n"/>
      <c r="D965" s="9" t="n"/>
      <c r="E965" s="9" t="n"/>
      <c r="F965" s="7" t="str">
        <f>IF(OR(D965="",E965=""),"",(E965-D965)*1440)</f>
        <v/>
      </c>
      <c r="G965" s="6" t="n"/>
      <c r="H965" s="6" t="n"/>
      <c r="I965" t="str">
        <f>IF(C965="","",C965&amp;"|"&amp;G965)</f>
        <v/>
      </c>
    </row>
    <row r="966">
      <c r="A966" s="5" t="n"/>
      <c r="B966" s="5" t="n"/>
      <c r="C966" s="25" t="n"/>
      <c r="D966" s="9" t="n"/>
      <c r="E966" s="9" t="n"/>
      <c r="F966" s="7" t="str">
        <f>IF(OR(D966="",E966=""),"",(E966-D966)*1440)</f>
        <v/>
      </c>
      <c r="G966" s="6" t="n"/>
      <c r="H966" s="6" t="n"/>
      <c r="I966" t="str">
        <f>IF(C966="","",C966&amp;"|"&amp;G966)</f>
        <v/>
      </c>
    </row>
    <row r="967">
      <c r="A967" s="5" t="n"/>
      <c r="B967" s="5" t="n"/>
      <c r="C967" s="25" t="n"/>
      <c r="D967" s="9" t="n"/>
      <c r="E967" s="9" t="n"/>
      <c r="F967" s="7" t="str">
        <f>IF(OR(D967="",E967=""),"",(E967-D967)*1440)</f>
        <v/>
      </c>
      <c r="G967" s="6" t="n"/>
      <c r="H967" s="6" t="n"/>
      <c r="I967" t="str">
        <f>IF(C967="","",C967&amp;"|"&amp;G967)</f>
        <v/>
      </c>
    </row>
    <row r="968">
      <c r="A968" s="5" t="n"/>
      <c r="B968" s="5" t="n"/>
      <c r="C968" s="25" t="n"/>
      <c r="D968" s="9" t="n"/>
      <c r="E968" s="9" t="n"/>
      <c r="F968" s="7" t="str">
        <f>IF(OR(D968="",E968=""),"",(E968-D968)*1440)</f>
        <v/>
      </c>
      <c r="G968" s="6" t="n"/>
      <c r="H968" s="6" t="n"/>
      <c r="I968" t="str">
        <f>IF(C968="","",C968&amp;"|"&amp;G968)</f>
        <v/>
      </c>
    </row>
    <row r="969">
      <c r="A969" s="5" t="n"/>
      <c r="B969" s="5" t="n"/>
      <c r="C969" s="25" t="n"/>
      <c r="D969" s="9" t="n"/>
      <c r="E969" s="9" t="n"/>
      <c r="F969" s="7" t="str">
        <f>IF(OR(D969="",E969=""),"",(E969-D969)*1440)</f>
        <v/>
      </c>
      <c r="G969" s="6" t="n"/>
      <c r="H969" s="6" t="n"/>
      <c r="I969" t="str">
        <f>IF(C969="","",C969&amp;"|"&amp;G969)</f>
        <v/>
      </c>
    </row>
    <row r="970">
      <c r="A970" s="5" t="n"/>
      <c r="B970" s="5" t="n"/>
      <c r="C970" s="25" t="n"/>
      <c r="D970" s="9" t="n"/>
      <c r="E970" s="9" t="n"/>
      <c r="F970" s="7" t="str">
        <f>IF(OR(D970="",E970=""),"",(E970-D970)*1440)</f>
        <v/>
      </c>
      <c r="G970" s="6" t="n"/>
      <c r="H970" s="6" t="n"/>
      <c r="I970" t="str">
        <f>IF(C970="","",C970&amp;"|"&amp;G970)</f>
        <v/>
      </c>
    </row>
    <row r="971">
      <c r="A971" s="5" t="n"/>
      <c r="B971" s="5" t="n"/>
      <c r="C971" s="25" t="n"/>
      <c r="D971" s="9" t="n"/>
      <c r="E971" s="9" t="n"/>
      <c r="F971" s="7" t="str">
        <f>IF(OR(D971="",E971=""),"",(E971-D971)*1440)</f>
        <v/>
      </c>
      <c r="G971" s="6" t="n"/>
      <c r="H971" s="6" t="n"/>
      <c r="I971" t="str">
        <f>IF(C971="","",C971&amp;"|"&amp;G971)</f>
        <v/>
      </c>
    </row>
    <row r="972">
      <c r="A972" s="5" t="n"/>
      <c r="B972" s="5" t="n"/>
      <c r="C972" s="25" t="n"/>
      <c r="D972" s="9" t="n"/>
      <c r="E972" s="9" t="n"/>
      <c r="F972" s="7" t="str">
        <f>IF(OR(D972="",E972=""),"",(E972-D972)*1440)</f>
        <v/>
      </c>
      <c r="G972" s="6" t="n"/>
      <c r="H972" s="6" t="n"/>
      <c r="I972" t="str">
        <f>IF(C972="","",C972&amp;"|"&amp;G972)</f>
        <v/>
      </c>
    </row>
    <row r="973">
      <c r="A973" s="5" t="n"/>
      <c r="B973" s="5" t="n"/>
      <c r="C973" s="25" t="n"/>
      <c r="D973" s="9" t="n"/>
      <c r="E973" s="9" t="n"/>
      <c r="F973" s="7" t="str">
        <f>IF(OR(D973="",E973=""),"",(E973-D973)*1440)</f>
        <v/>
      </c>
      <c r="G973" s="6" t="n"/>
      <c r="H973" s="6" t="n"/>
      <c r="I973" t="str">
        <f>IF(C973="","",C973&amp;"|"&amp;G973)</f>
        <v/>
      </c>
    </row>
    <row r="974">
      <c r="A974" s="5" t="n"/>
      <c r="B974" s="5" t="n"/>
      <c r="C974" s="25" t="n"/>
      <c r="D974" s="9" t="n"/>
      <c r="E974" s="9" t="n"/>
      <c r="F974" s="7" t="str">
        <f>IF(OR(D974="",E974=""),"",(E974-D974)*1440)</f>
        <v/>
      </c>
      <c r="G974" s="6" t="n"/>
      <c r="H974" s="6" t="n"/>
      <c r="I974" t="str">
        <f>IF(C974="","",C974&amp;"|"&amp;G974)</f>
        <v/>
      </c>
    </row>
    <row r="975">
      <c r="A975" s="5" t="n"/>
      <c r="B975" s="5" t="n"/>
      <c r="C975" s="25" t="n"/>
      <c r="D975" s="9" t="n"/>
      <c r="E975" s="9" t="n"/>
      <c r="F975" s="7" t="str">
        <f>IF(OR(D975="",E975=""),"",(E975-D975)*1440)</f>
        <v/>
      </c>
      <c r="G975" s="6" t="n"/>
      <c r="H975" s="6" t="n"/>
      <c r="I975" t="str">
        <f>IF(C975="","",C975&amp;"|"&amp;G975)</f>
        <v/>
      </c>
    </row>
    <row r="976">
      <c r="A976" s="5" t="n"/>
      <c r="B976" s="5" t="n"/>
      <c r="C976" s="25" t="n"/>
      <c r="D976" s="9" t="n"/>
      <c r="E976" s="9" t="n"/>
      <c r="F976" s="7" t="str">
        <f>IF(OR(D976="",E976=""),"",(E976-D976)*1440)</f>
        <v/>
      </c>
      <c r="G976" s="6" t="n"/>
      <c r="H976" s="6" t="n"/>
      <c r="I976" t="str">
        <f>IF(C976="","",C976&amp;"|"&amp;G976)</f>
        <v/>
      </c>
    </row>
    <row r="977">
      <c r="A977" s="5" t="n"/>
      <c r="B977" s="5" t="n"/>
      <c r="C977" s="25" t="n"/>
      <c r="D977" s="9" t="n"/>
      <c r="E977" s="9" t="n"/>
      <c r="F977" s="7" t="str">
        <f>IF(OR(D977="",E977=""),"",(E977-D977)*1440)</f>
        <v/>
      </c>
      <c r="G977" s="6" t="n"/>
      <c r="H977" s="6" t="n"/>
      <c r="I977" t="str">
        <f>IF(C977="","",C977&amp;"|"&amp;G977)</f>
        <v/>
      </c>
    </row>
    <row r="978">
      <c r="A978" s="5" t="n"/>
      <c r="B978" s="5" t="n"/>
      <c r="C978" s="25" t="n"/>
      <c r="D978" s="9" t="n"/>
      <c r="E978" s="9" t="n"/>
      <c r="F978" s="7" t="str">
        <f>IF(OR(D978="",E978=""),"",(E978-D978)*1440)</f>
        <v/>
      </c>
      <c r="G978" s="6" t="n"/>
      <c r="H978" s="6" t="n"/>
      <c r="I978" t="str">
        <f>IF(C978="","",C978&amp;"|"&amp;G978)</f>
        <v/>
      </c>
    </row>
    <row r="979">
      <c r="A979" s="5" t="n"/>
      <c r="B979" s="5" t="n"/>
      <c r="C979" s="25" t="n"/>
      <c r="D979" s="9" t="n"/>
      <c r="E979" s="9" t="n"/>
      <c r="F979" s="7" t="str">
        <f>IF(OR(D979="",E979=""),"",(E979-D979)*1440)</f>
        <v/>
      </c>
      <c r="G979" s="6" t="n"/>
      <c r="H979" s="6" t="n"/>
      <c r="I979" t="str">
        <f>IF(C979="","",C979&amp;"|"&amp;G979)</f>
        <v/>
      </c>
    </row>
    <row r="980">
      <c r="A980" s="5" t="n"/>
      <c r="B980" s="5" t="n"/>
      <c r="C980" s="25" t="n"/>
      <c r="D980" s="9" t="n"/>
      <c r="E980" s="9" t="n"/>
      <c r="F980" s="7" t="str">
        <f>IF(OR(D980="",E980=""),"",(E980-D980)*1440)</f>
        <v/>
      </c>
      <c r="G980" s="6" t="n"/>
      <c r="H980" s="6" t="n"/>
      <c r="I980" t="str">
        <f>IF(C980="","",C980&amp;"|"&amp;G980)</f>
        <v/>
      </c>
    </row>
    <row r="981">
      <c r="A981" s="5" t="n"/>
      <c r="B981" s="5" t="n"/>
      <c r="C981" s="25" t="n"/>
      <c r="D981" s="9" t="n"/>
      <c r="E981" s="9" t="n"/>
      <c r="F981" s="7" t="str">
        <f>IF(OR(D981="",E981=""),"",(E981-D981)*1440)</f>
        <v/>
      </c>
      <c r="G981" s="6" t="n"/>
      <c r="H981" s="6" t="n"/>
      <c r="I981" t="str">
        <f>IF(C981="","",C981&amp;"|"&amp;G981)</f>
        <v/>
      </c>
    </row>
    <row r="982">
      <c r="A982" s="5" t="n"/>
      <c r="B982" s="5" t="n"/>
      <c r="C982" s="25" t="n"/>
      <c r="D982" s="9" t="n"/>
      <c r="E982" s="9" t="n"/>
      <c r="F982" s="7" t="str">
        <f>IF(OR(D982="",E982=""),"",(E982-D982)*1440)</f>
        <v/>
      </c>
      <c r="G982" s="6" t="n"/>
      <c r="H982" s="6" t="n"/>
      <c r="I982" t="str">
        <f>IF(C982="","",C982&amp;"|"&amp;G982)</f>
        <v/>
      </c>
    </row>
    <row r="983">
      <c r="A983" s="5" t="n"/>
      <c r="B983" s="5" t="n"/>
      <c r="C983" s="25" t="n"/>
      <c r="D983" s="9" t="n"/>
      <c r="E983" s="9" t="n"/>
      <c r="F983" s="7" t="str">
        <f>IF(OR(D983="",E983=""),"",(E983-D983)*1440)</f>
        <v/>
      </c>
      <c r="G983" s="6" t="n"/>
      <c r="H983" s="6" t="n"/>
      <c r="I983" t="str">
        <f>IF(C983="","",C983&amp;"|"&amp;G983)</f>
        <v/>
      </c>
    </row>
    <row r="984">
      <c r="A984" s="5" t="n"/>
      <c r="B984" s="5" t="n"/>
      <c r="C984" s="25" t="n"/>
      <c r="D984" s="9" t="n"/>
      <c r="E984" s="9" t="n"/>
      <c r="F984" s="7" t="str">
        <f>IF(OR(D984="",E984=""),"",(E984-D984)*1440)</f>
        <v/>
      </c>
      <c r="G984" s="6" t="n"/>
      <c r="H984" s="6" t="n"/>
      <c r="I984" t="str">
        <f>IF(C984="","",C984&amp;"|"&amp;G984)</f>
        <v/>
      </c>
    </row>
    <row r="985">
      <c r="A985" s="5" t="n"/>
      <c r="B985" s="5" t="n"/>
      <c r="C985" s="25" t="n"/>
      <c r="D985" s="9" t="n"/>
      <c r="E985" s="9" t="n"/>
      <c r="F985" s="7" t="str">
        <f>IF(OR(D985="",E985=""),"",(E985-D985)*1440)</f>
        <v/>
      </c>
      <c r="G985" s="6" t="n"/>
      <c r="H985" s="6" t="n"/>
      <c r="I985" t="str">
        <f>IF(C985="","",C985&amp;"|"&amp;G985)</f>
        <v/>
      </c>
    </row>
    <row r="986">
      <c r="A986" s="5" t="n"/>
      <c r="B986" s="5" t="n"/>
      <c r="C986" s="25" t="n"/>
      <c r="D986" s="9" t="n"/>
      <c r="E986" s="9" t="n"/>
      <c r="F986" s="7" t="str">
        <f>IF(OR(D986="",E986=""),"",(E986-D986)*1440)</f>
        <v/>
      </c>
      <c r="G986" s="6" t="n"/>
      <c r="H986" s="6" t="n"/>
      <c r="I986" t="str">
        <f>IF(C986="","",C986&amp;"|"&amp;G986)</f>
        <v/>
      </c>
    </row>
    <row r="987">
      <c r="A987" s="5" t="n"/>
      <c r="B987" s="5" t="n"/>
      <c r="C987" s="25" t="n"/>
      <c r="D987" s="9" t="n"/>
      <c r="E987" s="9" t="n"/>
      <c r="F987" s="7" t="str">
        <f>IF(OR(D987="",E987=""),"",(E987-D987)*1440)</f>
        <v/>
      </c>
      <c r="G987" s="6" t="n"/>
      <c r="H987" s="6" t="n"/>
      <c r="I987" t="str">
        <f>IF(C987="","",C987&amp;"|"&amp;G987)</f>
        <v/>
      </c>
    </row>
    <row r="988">
      <c r="A988" s="5" t="n"/>
      <c r="B988" s="5" t="n"/>
      <c r="C988" s="25" t="n"/>
      <c r="D988" s="9" t="n"/>
      <c r="E988" s="9" t="n"/>
      <c r="F988" s="7" t="str">
        <f>IF(OR(D988="",E988=""),"",(E988-D988)*1440)</f>
        <v/>
      </c>
      <c r="G988" s="6" t="n"/>
      <c r="H988" s="6" t="n"/>
      <c r="I988" t="str">
        <f>IF(C988="","",C988&amp;"|"&amp;G988)</f>
        <v/>
      </c>
    </row>
    <row r="989">
      <c r="A989" s="5" t="n"/>
      <c r="B989" s="5" t="n"/>
      <c r="C989" s="25" t="n"/>
      <c r="D989" s="9" t="n"/>
      <c r="E989" s="9" t="n"/>
      <c r="F989" s="7" t="str">
        <f>IF(OR(D989="",E989=""),"",(E989-D989)*1440)</f>
        <v/>
      </c>
      <c r="G989" s="6" t="n"/>
      <c r="H989" s="6" t="n"/>
      <c r="I989" t="str">
        <f>IF(C989="","",C989&amp;"|"&amp;G989)</f>
        <v/>
      </c>
    </row>
    <row r="990">
      <c r="A990" s="5" t="n"/>
      <c r="B990" s="5" t="n"/>
      <c r="C990" s="25" t="n"/>
      <c r="D990" s="9" t="n"/>
      <c r="E990" s="9" t="n"/>
      <c r="F990" s="7" t="str">
        <f>IF(OR(D990="",E990=""),"",(E990-D990)*1440)</f>
        <v/>
      </c>
      <c r="G990" s="6" t="n"/>
      <c r="H990" s="6" t="n"/>
      <c r="I990" t="str">
        <f>IF(C990="","",C990&amp;"|"&amp;G990)</f>
        <v/>
      </c>
    </row>
    <row r="991">
      <c r="A991" s="5" t="n"/>
      <c r="B991" s="5" t="n"/>
      <c r="C991" s="25" t="n"/>
      <c r="D991" s="9" t="n"/>
      <c r="E991" s="9" t="n"/>
      <c r="F991" s="7" t="str">
        <f>IF(OR(D991="",E991=""),"",(E991-D991)*1440)</f>
        <v/>
      </c>
      <c r="G991" s="6" t="n"/>
      <c r="H991" s="6" t="n"/>
      <c r="I991" t="str">
        <f>IF(C991="","",C991&amp;"|"&amp;G991)</f>
        <v/>
      </c>
    </row>
    <row r="992">
      <c r="A992" s="5" t="n"/>
      <c r="B992" s="5" t="n"/>
      <c r="C992" s="25" t="n"/>
      <c r="D992" s="9" t="n"/>
      <c r="E992" s="9" t="n"/>
      <c r="F992" s="7" t="str">
        <f>IF(OR(D992="",E992=""),"",(E992-D992)*1440)</f>
        <v/>
      </c>
      <c r="G992" s="6" t="n"/>
      <c r="H992" s="6" t="n"/>
      <c r="I992" t="str">
        <f>IF(C992="","",C992&amp;"|"&amp;G992)</f>
        <v/>
      </c>
    </row>
    <row r="993">
      <c r="A993" s="5" t="n"/>
      <c r="B993" s="5" t="n"/>
      <c r="C993" s="25" t="n"/>
      <c r="D993" s="9" t="n"/>
      <c r="E993" s="9" t="n"/>
      <c r="F993" s="7" t="str">
        <f>IF(OR(D993="",E993=""),"",(E993-D993)*1440)</f>
        <v/>
      </c>
      <c r="G993" s="6" t="n"/>
      <c r="H993" s="6" t="n"/>
      <c r="I993" t="str">
        <f>IF(C993="","",C993&amp;"|"&amp;G993)</f>
        <v/>
      </c>
    </row>
    <row r="994">
      <c r="A994" s="5" t="n"/>
      <c r="B994" s="5" t="n"/>
      <c r="C994" s="25" t="n"/>
      <c r="D994" s="9" t="n"/>
      <c r="E994" s="9" t="n"/>
      <c r="F994" s="7" t="str">
        <f>IF(OR(D994="",E994=""),"",(E994-D994)*1440)</f>
        <v/>
      </c>
      <c r="G994" s="6" t="n"/>
      <c r="H994" s="6" t="n"/>
      <c r="I994" t="str">
        <f>IF(C994="","",C994&amp;"|"&amp;G994)</f>
        <v/>
      </c>
    </row>
    <row r="995">
      <c r="A995" s="5" t="n"/>
      <c r="B995" s="5" t="n"/>
      <c r="C995" s="25" t="n"/>
      <c r="D995" s="9" t="n"/>
      <c r="E995" s="9" t="n"/>
      <c r="F995" s="7" t="str">
        <f>IF(OR(D995="",E995=""),"",(E995-D995)*1440)</f>
        <v/>
      </c>
      <c r="G995" s="6" t="n"/>
      <c r="H995" s="6" t="n"/>
      <c r="I995" t="str">
        <f>IF(C995="","",C995&amp;"|"&amp;G995)</f>
        <v/>
      </c>
    </row>
    <row r="996">
      <c r="A996" s="5" t="n"/>
      <c r="B996" s="5" t="n"/>
      <c r="C996" s="25" t="n"/>
      <c r="D996" s="9" t="n"/>
      <c r="E996" s="9" t="n"/>
      <c r="F996" s="7" t="str">
        <f>IF(OR(D996="",E996=""),"",(E996-D996)*1440)</f>
        <v/>
      </c>
      <c r="G996" s="6" t="n"/>
      <c r="H996" s="6" t="n"/>
      <c r="I996" t="str">
        <f>IF(C996="","",C996&amp;"|"&amp;G996)</f>
        <v/>
      </c>
    </row>
    <row r="997">
      <c r="A997" s="5" t="n"/>
      <c r="B997" s="5" t="n"/>
      <c r="C997" s="25" t="n"/>
      <c r="D997" s="9" t="n"/>
      <c r="E997" s="9" t="n"/>
      <c r="F997" s="7" t="str">
        <f>IF(OR(D997="",E997=""),"",(E997-D997)*1440)</f>
        <v/>
      </c>
      <c r="G997" s="6" t="n"/>
      <c r="H997" s="6" t="n"/>
      <c r="I997" t="str">
        <f>IF(C997="","",C997&amp;"|"&amp;G997)</f>
        <v/>
      </c>
    </row>
    <row r="998">
      <c r="A998" s="5" t="n"/>
      <c r="B998" s="5" t="n"/>
      <c r="C998" s="25" t="n"/>
      <c r="D998" s="9" t="n"/>
      <c r="E998" s="9" t="n"/>
      <c r="F998" s="7" t="str">
        <f>IF(OR(D998="",E998=""),"",(E998-D998)*1440)</f>
        <v/>
      </c>
      <c r="G998" s="6" t="n"/>
      <c r="H998" s="6" t="n"/>
      <c r="I998" t="str">
        <f>IF(C998="","",C998&amp;"|"&amp;G998)</f>
        <v/>
      </c>
    </row>
    <row r="999">
      <c r="A999" s="5" t="n"/>
      <c r="B999" s="5" t="n"/>
      <c r="C999" s="25" t="n"/>
      <c r="D999" s="9" t="n"/>
      <c r="E999" s="9" t="n"/>
      <c r="F999" s="7" t="str">
        <f>IF(OR(D999="",E999=""),"",(E999-D999)*1440)</f>
        <v/>
      </c>
      <c r="G999" s="6" t="n"/>
      <c r="H999" s="6" t="n"/>
      <c r="I999" t="str">
        <f>IF(C999="","",C999&amp;"|"&amp;G999)</f>
        <v/>
      </c>
    </row>
    <row r="1000">
      <c r="A1000" s="5" t="n"/>
      <c r="B1000" s="5" t="n"/>
      <c r="C1000" s="25" t="n"/>
      <c r="D1000" s="9" t="n"/>
      <c r="E1000" s="9" t="n"/>
      <c r="F1000" s="7" t="str">
        <f>IF(OR(D1000="",E1000=""),"",(E1000-D1000)*1440)</f>
        <v/>
      </c>
      <c r="G1000" s="6" t="n"/>
      <c r="H1000" s="6" t="n"/>
      <c r="I1000" t="str">
        <f>IF(C1000="","",C1000&amp;"|"&amp;G1000)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12" customWidth="1" style="38" min="1" max="1"/>
    <col width="38" customWidth="1" style="38" min="2" max="2"/>
    <col width="44" customWidth="1" style="38" min="3" max="3"/>
    <col width="32" customWidth="1" style="38" min="4" max="4"/>
    <col width="40" customWidth="1" style="38" min="5" max="5"/>
    <col width="15" customWidth="1" style="38" min="6" max="6"/>
    <col width="19" customWidth="1" style="38" min="7" max="8"/>
    <col width="13" customWidth="1" style="38" min="9" max="9"/>
    <col width="9" customWidth="1" style="38" min="10" max="10"/>
    <col width="13" customWidth="1" style="38" min="11" max="11"/>
    <col width="12" customWidth="1" style="38" min="12" max="12"/>
    <col width="24" customWidth="1" style="38" min="13" max="13"/>
  </cols>
  <sheetData>
    <row r="1" ht="21" customHeight="1" s="38">
      <c r="A1" s="1" t="inlineStr">
        <is>
          <t>DETALLE INDIVIDUAL DE PARTICIPANTES</t>
        </is>
      </c>
    </row>
    <row r="2">
      <c r="A2" s="2" t="inlineStr">
        <is>
          <t>Cruce oficial por Código de Empleado frente a la Base Oficial y Base Exámenes.</t>
        </is>
      </c>
    </row>
    <row r="4" ht="28.8" customHeight="1" s="38">
      <c r="A4" s="3" t="inlineStr">
        <is>
          <t>Código de empleado</t>
        </is>
      </c>
      <c r="B4" s="3" t="inlineStr">
        <is>
          <t>Nombre del colaborador</t>
        </is>
      </c>
      <c r="C4" s="3" t="inlineStr">
        <is>
          <t>Área / Departamento</t>
        </is>
      </c>
      <c r="D4" s="3" t="inlineStr">
        <is>
          <t>Gerencia Asignada</t>
        </is>
      </c>
      <c r="E4" s="3" t="inlineStr">
        <is>
          <t>Cargo</t>
        </is>
      </c>
      <c r="F4" s="3" t="inlineStr">
        <is>
          <t>Estado Examen</t>
        </is>
      </c>
      <c r="G4" s="3" t="inlineStr">
        <is>
          <t>Hora de inicio</t>
        </is>
      </c>
      <c r="H4" s="3" t="inlineStr">
        <is>
          <t>Hora de finalización</t>
        </is>
      </c>
      <c r="I4" s="3" t="inlineStr">
        <is>
          <t>Duración (min)</t>
        </is>
      </c>
      <c r="J4" s="3" t="inlineStr">
        <is>
          <t>Nota</t>
        </is>
      </c>
      <c r="K4" s="3" t="inlineStr">
        <is>
          <t>Correo</t>
        </is>
      </c>
      <c r="L4" s="3" t="inlineStr">
        <is>
          <t>N° de intentos</t>
        </is>
      </c>
      <c r="M4" s="3" t="inlineStr">
        <is>
          <t>Situación especial (vigente)</t>
        </is>
      </c>
    </row>
    <row r="5">
      <c r="A5" s="4" t="str">
        <f>IF('Base Oficial'!A5="","",TRIM('Base Oficial'!A5))</f>
        <v>977</v>
      </c>
      <c r="B5" s="6" t="str">
        <f>IF($A5="","",TRIM('Base Oficial'!B5))</f>
        <v>NELSON ULISES CAMPOS FLORES</v>
      </c>
      <c r="C5" s="6" t="str">
        <f>IF($A5="","",TRIM('Base Oficial'!F5))</f>
        <v>GERENCIA GENERAL</v>
      </c>
      <c r="D5" s="6" t="str">
        <f>IF($A5="","",TRIM('Base Oficial'!G5))</f>
        <v>Gerencia General</v>
      </c>
      <c r="E5" s="6" t="str">
        <f>IF($A5="","",TRIM('Base Oficial'!D5))</f>
        <v>GERENTE GENERAL</v>
      </c>
      <c r="F5" s="4" t="str">
        <f>IF($A5="","",IF(COUNTIF('Base Exámenes'!$C$5:$C$1000, A5)&gt;0, "Completado", IF(M5&lt;&gt;"", M5, "Pendiente")))</f>
        <v>Completado</v>
      </c>
      <c r="G5" s="11" t="str">
        <f>IF(F5="Completado", IFERROR(IF(INDEX('Base Exámenes'!$D$5:$D$1000, MATCH(A5&amp;"|"&amp;J5, 'Base Exámenes'!$I$5:$I$1000, 0))="", "", INDEX('Base Exámenes'!$D$5:$D$1000, MATCH(A5&amp;"|"&amp;J5, 'Base Exámenes'!$I$5:$I$1000, 0))), ""), "")</f>
        <v/>
      </c>
      <c r="H5" s="11" t="str">
        <f>IF(F5="Completado", IFERROR(IF(INDEX('Base Exámenes'!$E$5:$E$1000, MATCH(A5&amp;"|"&amp;J5, 'Base Exámenes'!$I$5:$I$1000, 0))="", "", INDEX('Base Exámenes'!$E$5:$E$1000, MATCH(A5&amp;"|"&amp;J5, 'Base Exámenes'!$I$5:$I$1000, 0))), ""), "")</f>
        <v/>
      </c>
      <c r="I5" s="10" t="str">
        <f>IF(F5="Completado", IFERROR(IF(INDEX('Base Exámenes'!$F$5:$F$1000, MATCH(A5&amp;"|"&amp;J5, 'Base Exámenes'!$I$5:$I$1000, 0))="", "", INDEX('Base Exámenes'!$F$5:$F$1000, MATCH(A5&amp;"|"&amp;J5, 'Base Exámenes'!$I$5:$I$1000, 0))), ""), "")</f>
        <v/>
      </c>
      <c r="J5" s="6" t="str">
        <f>IF(F5="Completado", IF(COUNTIFS('Base Exámenes'!$C$5:$C$1000, A5, 'Base Exámenes'!$G$5:$G$1000, "&lt;&gt;")=0, "", _xlfn.MAXIFS('Base Exámenes'!$G$5:$G$1000, 'Base Exámenes'!$C$5:$C$1000, A5)), "")</f>
        <v/>
      </c>
      <c r="K5" s="6" t="str">
        <f>IF(F5="Completado", IFERROR(IF(INDEX('Base Exámenes'!$H$5:$H$1000, MATCH(A5&amp;"|"&amp;J5, 'Base Exámenes'!$I$5:$I$1000, 0))="", "", INDEX('Base Exámenes'!$H$5:$H$1000, MATCH(A5&amp;"|"&amp;J5, 'Base Exámenes'!$I$5:$I$1000, 0))), ""), "")</f>
        <v>REGISTRO MANUAL: examen realizado (confirmado por la administración; sin nota ni fecha en la plataforma)</v>
      </c>
      <c r="L5" s="22">
        <f>IF($A5="","",COUNTIF('Base Exámenes'!$C$5:$C$1000, A5))</f>
        <v>1</v>
      </c>
      <c r="M5" s="6" t="str">
        <f>IF($A5="","",IF(COUNTIF('Base Exámenes'!$C$5:$C$1000, A5)&gt;0, "", TRIM('Base Oficial'!H5)))</f>
        <v/>
      </c>
    </row>
    <row r="6">
      <c r="A6" s="4" t="str">
        <f>IF('Base Oficial'!A6="","",TRIM('Base Oficial'!A6))</f>
        <v>349</v>
      </c>
      <c r="B6" s="6" t="str">
        <f>IF($A6="","",TRIM('Base Oficial'!B6))</f>
        <v>CARLA EUGENIA HERNANDEZ MENJIVAR</v>
      </c>
      <c r="C6" s="6" t="str">
        <f>IF($A6="","",TRIM('Base Oficial'!F6))</f>
        <v>GERENCIA ADMINISTRATIVA</v>
      </c>
      <c r="D6" s="6" t="str">
        <f>IF($A6="","",TRIM('Base Oficial'!G6))</f>
        <v>Gerencia Administrativa</v>
      </c>
      <c r="E6" s="6" t="str">
        <f>IF($A6="","",TRIM('Base Oficial'!D6))</f>
        <v>GERENTE ADMINISTRATIVA</v>
      </c>
      <c r="F6" s="4" t="str">
        <f>IF($A6="","",IF(COUNTIF('Base Exámenes'!$C$5:$C$1000, A6)&gt;0, "Completado", IF(M6&lt;&gt;"", M6, "Pendiente")))</f>
        <v>Completado</v>
      </c>
      <c r="G6" s="11">
        <f>IF(F6="Completado", IFERROR(IF(INDEX('Base Exámenes'!$D$5:$D$1000, MATCH(A6&amp;"|"&amp;J6, 'Base Exámenes'!$I$5:$I$1000, 0))="", "", INDEX('Base Exámenes'!$D$5:$D$1000, MATCH(A6&amp;"|"&amp;J6, 'Base Exámenes'!$I$5:$I$1000, 0))), ""), "")</f>
        <v>46297.636770833335</v>
      </c>
      <c r="H6" s="11">
        <f>IF(F6="Completado", IFERROR(IF(INDEX('Base Exámenes'!$E$5:$E$1000, MATCH(A6&amp;"|"&amp;J6, 'Base Exámenes'!$I$5:$I$1000, 0))="", "", INDEX('Base Exámenes'!$E$5:$E$1000, MATCH(A6&amp;"|"&amp;J6, 'Base Exámenes'!$I$5:$I$1000, 0))), ""), "")</f>
        <v>46297.63836805556</v>
      </c>
      <c r="I6" s="10">
        <f>IF(F6="Completado", IFERROR(IF(INDEX('Base Exámenes'!$F$5:$F$1000, MATCH(A6&amp;"|"&amp;J6, 'Base Exámenes'!$I$5:$I$1000, 0))="", "", INDEX('Base Exámenes'!$F$5:$F$1000, MATCH(A6&amp;"|"&amp;J6, 'Base Exámenes'!$I$5:$I$1000, 0))), ""), "")</f>
        <v>2.3</v>
      </c>
      <c r="J6" s="6">
        <f>IF(F6="Completado", IF(COUNTIFS('Base Exámenes'!$C$5:$C$1000, A6, 'Base Exámenes'!$G$5:$G$1000, "&lt;&gt;")=0, "", _xlfn.MAXIFS('Base Exámenes'!$G$5:$G$1000, 'Base Exámenes'!$C$5:$C$1000, A6)), "")</f>
        <v>100</v>
      </c>
      <c r="K6" s="6" t="str">
        <f>IF(F6="Completado", IFERROR(IF(INDEX('Base Exámenes'!$H$5:$H$1000, MATCH(A6&amp;"|"&amp;J6, 'Base Exámenes'!$I$5:$I$1000, 0))="", "", INDEX('Base Exámenes'!$H$5:$H$1000, MATCH(A6&amp;"|"&amp;J6, 'Base Exámenes'!$I$5:$I$1000, 0))), ""), "")</f>
        <v>anonymous</v>
      </c>
      <c r="L6" s="22">
        <f>IF($A6="","",COUNTIF('Base Exámenes'!$C$5:$C$1000, A6))</f>
        <v>1</v>
      </c>
      <c r="M6" s="6" t="str">
        <f>IF($A6="","",IF(COUNTIF('Base Exámenes'!$C$5:$C$1000, A6)&gt;0, "", TRIM('Base Oficial'!H6)))</f>
        <v/>
      </c>
    </row>
    <row r="7">
      <c r="A7" s="4" t="str">
        <f>IF('Base Oficial'!A7="","",TRIM('Base Oficial'!A7))</f>
        <v>41</v>
      </c>
      <c r="B7" s="6" t="str">
        <f>IF($A7="","",TRIM('Base Oficial'!B7))</f>
        <v>ROQUE RAFAEL REYES ESPINAL</v>
      </c>
      <c r="C7" s="6" t="str">
        <f>IF($A7="","",TRIM('Base Oficial'!F7))</f>
        <v>GERENCIA DE OPERACIONES</v>
      </c>
      <c r="D7" s="6" t="str">
        <f>IF($A7="","",TRIM('Base Oficial'!G7))</f>
        <v>Gerencia de Operaciones</v>
      </c>
      <c r="E7" s="6" t="str">
        <f>IF($A7="","",TRIM('Base Oficial'!D7))</f>
        <v>GERENTE DE OPERACIONES</v>
      </c>
      <c r="F7" s="4" t="str">
        <f>IF($A7="","",IF(COUNTIF('Base Exámenes'!$C$5:$C$1000, A7)&gt;0, "Completado", IF(M7&lt;&gt;"", M7, "Pendiente")))</f>
        <v>Completado</v>
      </c>
      <c r="G7" s="11">
        <f>IF(F7="Completado", IFERROR(IF(INDEX('Base Exámenes'!$D$5:$D$1000, MATCH(A7&amp;"|"&amp;J7, 'Base Exámenes'!$I$5:$I$1000, 0))="", "", INDEX('Base Exámenes'!$D$5:$D$1000, MATCH(A7&amp;"|"&amp;J7, 'Base Exámenes'!$I$5:$I$1000, 0))), ""), "")</f>
        <v>46311.80311342593</v>
      </c>
      <c r="H7" s="11">
        <f>IF(F7="Completado", IFERROR(IF(INDEX('Base Exámenes'!$E$5:$E$1000, MATCH(A7&amp;"|"&amp;J7, 'Base Exámenes'!$I$5:$I$1000, 0))="", "", INDEX('Base Exámenes'!$E$5:$E$1000, MATCH(A7&amp;"|"&amp;J7, 'Base Exámenes'!$I$5:$I$1000, 0))), ""), "")</f>
        <v>46311.81412037037</v>
      </c>
      <c r="I7" s="10">
        <f>IF(F7="Completado", IFERROR(IF(INDEX('Base Exámenes'!$F$5:$F$1000, MATCH(A7&amp;"|"&amp;J7, 'Base Exámenes'!$I$5:$I$1000, 0))="", "", INDEX('Base Exámenes'!$F$5:$F$1000, MATCH(A7&amp;"|"&amp;J7, 'Base Exámenes'!$I$5:$I$1000, 0))), ""), "")</f>
        <v>15.85</v>
      </c>
      <c r="J7" s="6">
        <f>IF(F7="Completado", IF(COUNTIFS('Base Exámenes'!$C$5:$C$1000, A7, 'Base Exámenes'!$G$5:$G$1000, "&lt;&gt;")=0, "", _xlfn.MAXIFS('Base Exámenes'!$G$5:$G$1000, 'Base Exámenes'!$C$5:$C$1000, A7)), "")</f>
        <v>100</v>
      </c>
      <c r="K7" s="6" t="str">
        <f>IF(F7="Completado", IFERROR(IF(INDEX('Base Exámenes'!$H$5:$H$1000, MATCH(A7&amp;"|"&amp;J7, 'Base Exámenes'!$I$5:$I$1000, 0))="", "", INDEX('Base Exámenes'!$H$5:$H$1000, MATCH(A7&amp;"|"&amp;J7, 'Base Exámenes'!$I$5:$I$1000, 0))), ""), "")</f>
        <v>anonymous</v>
      </c>
      <c r="L7" s="22">
        <f>IF($A7="","",COUNTIF('Base Exámenes'!$C$5:$C$1000, A7))</f>
        <v>1</v>
      </c>
      <c r="M7" s="6" t="str">
        <f>IF($A7="","",IF(COUNTIF('Base Exámenes'!$C$5:$C$1000, A7)&gt;0, "", TRIM('Base Oficial'!H7)))</f>
        <v/>
      </c>
    </row>
    <row r="8">
      <c r="A8" s="4" t="str">
        <f>IF('Base Oficial'!A8="","",TRIM('Base Oficial'!A8))</f>
        <v>524</v>
      </c>
      <c r="B8" s="6" t="str">
        <f>IF($A8="","",TRIM('Base Oficial'!B8))</f>
        <v>JOSE AUGUSTO DE LA O GALLEGOS</v>
      </c>
      <c r="C8" s="6" t="str">
        <f>IF($A8="","",TRIM('Base Oficial'!F8))</f>
        <v>GERENCIA DE FINANZAS Y PLANIFICACIÓN</v>
      </c>
      <c r="D8" s="6" t="str">
        <f>IF($A8="","",TRIM('Base Oficial'!G8))</f>
        <v>Gerencia de Finanzas y Planificación</v>
      </c>
      <c r="E8" s="6" t="str">
        <f>IF($A8="","",TRIM('Base Oficial'!D8))</f>
        <v>GERENTE DE FINANZAS Y PLANIFICACION</v>
      </c>
      <c r="F8" s="4" t="str">
        <f>IF($A8="","",IF(COUNTIF('Base Exámenes'!$C$5:$C$1000, A8)&gt;0, "Completado", IF(M8&lt;&gt;"", M8, "Pendiente")))</f>
        <v>Completado</v>
      </c>
      <c r="G8" s="11">
        <f>IF(F8="Completado", IFERROR(IF(INDEX('Base Exámenes'!$D$5:$D$1000, MATCH(A8&amp;"|"&amp;J8, 'Base Exámenes'!$I$5:$I$1000, 0))="", "", INDEX('Base Exámenes'!$D$5:$D$1000, MATCH(A8&amp;"|"&amp;J8, 'Base Exámenes'!$I$5:$I$1000, 0))), ""), "")</f>
        <v>46296.42706018518</v>
      </c>
      <c r="H8" s="11">
        <f>IF(F8="Completado", IFERROR(IF(INDEX('Base Exámenes'!$E$5:$E$1000, MATCH(A8&amp;"|"&amp;J8, 'Base Exámenes'!$I$5:$I$1000, 0))="", "", INDEX('Base Exámenes'!$E$5:$E$1000, MATCH(A8&amp;"|"&amp;J8, 'Base Exámenes'!$I$5:$I$1000, 0))), ""), "")</f>
        <v>46296.429560185185</v>
      </c>
      <c r="I8" s="10">
        <f>IF(F8="Completado", IFERROR(IF(INDEX('Base Exámenes'!$F$5:$F$1000, MATCH(A8&amp;"|"&amp;J8, 'Base Exámenes'!$I$5:$I$1000, 0))="", "", INDEX('Base Exámenes'!$F$5:$F$1000, MATCH(A8&amp;"|"&amp;J8, 'Base Exámenes'!$I$5:$I$1000, 0))), ""), "")</f>
        <v>3.6</v>
      </c>
      <c r="J8" s="6">
        <f>IF(F8="Completado", IF(COUNTIFS('Base Exámenes'!$C$5:$C$1000, A8, 'Base Exámenes'!$G$5:$G$1000, "&lt;&gt;")=0, "", _xlfn.MAXIFS('Base Exámenes'!$G$5:$G$1000, 'Base Exámenes'!$C$5:$C$1000, A8)), "")</f>
        <v>100</v>
      </c>
      <c r="K8" s="6" t="str">
        <f>IF(F8="Completado", IFERROR(IF(INDEX('Base Exámenes'!$H$5:$H$1000, MATCH(A8&amp;"|"&amp;J8, 'Base Exámenes'!$I$5:$I$1000, 0))="", "", INDEX('Base Exámenes'!$H$5:$H$1000, MATCH(A8&amp;"|"&amp;J8, 'Base Exámenes'!$I$5:$I$1000, 0))), ""), "")</f>
        <v>anonymous</v>
      </c>
      <c r="L8" s="22">
        <f>IF($A8="","",COUNTIF('Base Exámenes'!$C$5:$C$1000, A8))</f>
        <v>1</v>
      </c>
      <c r="M8" s="6" t="str">
        <f>IF($A8="","",IF(COUNTIF('Base Exámenes'!$C$5:$C$1000, A8)&gt;0, "", TRIM('Base Oficial'!H8)))</f>
        <v/>
      </c>
    </row>
    <row r="9">
      <c r="A9" s="4" t="str">
        <f>IF('Base Oficial'!A9="","",TRIM('Base Oficial'!A9))</f>
        <v>878</v>
      </c>
      <c r="B9" s="6" t="str">
        <f>IF($A9="","",TRIM('Base Oficial'!B9))</f>
        <v>ALEX VIRGILIO AGUILAR ARIAS</v>
      </c>
      <c r="C9" s="6" t="str">
        <f>IF($A9="","",TRIM('Base Oficial'!F9))</f>
        <v>GERENCIA DE SISTEMAS</v>
      </c>
      <c r="D9" s="6" t="str">
        <f>IF($A9="","",TRIM('Base Oficial'!G9))</f>
        <v>Gerencia de Sistemas</v>
      </c>
      <c r="E9" s="6" t="str">
        <f>IF($A9="","",TRIM('Base Oficial'!D9))</f>
        <v>GERENTE DE SISTEMAS</v>
      </c>
      <c r="F9" s="4" t="str">
        <f>IF($A9="","",IF(COUNTIF('Base Exámenes'!$C$5:$C$1000, A9)&gt;0, "Completado", IF(M9&lt;&gt;"", M9, "Pendiente")))</f>
        <v>Completado</v>
      </c>
      <c r="G9" s="11">
        <f>IF(F9="Completado", IFERROR(IF(INDEX('Base Exámenes'!$D$5:$D$1000, MATCH(A9&amp;"|"&amp;J9, 'Base Exámenes'!$I$5:$I$1000, 0))="", "", INDEX('Base Exámenes'!$D$5:$D$1000, MATCH(A9&amp;"|"&amp;J9, 'Base Exámenes'!$I$5:$I$1000, 0))), ""), "")</f>
        <v>46310.69179398148</v>
      </c>
      <c r="H9" s="11">
        <f>IF(F9="Completado", IFERROR(IF(INDEX('Base Exámenes'!$E$5:$E$1000, MATCH(A9&amp;"|"&amp;J9, 'Base Exámenes'!$I$5:$I$1000, 0))="", "", INDEX('Base Exámenes'!$E$5:$E$1000, MATCH(A9&amp;"|"&amp;J9, 'Base Exámenes'!$I$5:$I$1000, 0))), ""), "")</f>
        <v>46310.696747685186</v>
      </c>
      <c r="I9" s="10">
        <f>IF(F9="Completado", IFERROR(IF(INDEX('Base Exámenes'!$F$5:$F$1000, MATCH(A9&amp;"|"&amp;J9, 'Base Exámenes'!$I$5:$I$1000, 0))="", "", INDEX('Base Exámenes'!$F$5:$F$1000, MATCH(A9&amp;"|"&amp;J9, 'Base Exámenes'!$I$5:$I$1000, 0))), ""), "")</f>
        <v>7.13333333333333</v>
      </c>
      <c r="J9" s="6">
        <f>IF(F9="Completado", IF(COUNTIFS('Base Exámenes'!$C$5:$C$1000, A9, 'Base Exámenes'!$G$5:$G$1000, "&lt;&gt;")=0, "", _xlfn.MAXIFS('Base Exámenes'!$G$5:$G$1000, 'Base Exámenes'!$C$5:$C$1000, A9)), "")</f>
        <v>100</v>
      </c>
      <c r="K9" s="6" t="str">
        <f>IF(F9="Completado", IFERROR(IF(INDEX('Base Exámenes'!$H$5:$H$1000, MATCH(A9&amp;"|"&amp;J9, 'Base Exámenes'!$I$5:$I$1000, 0))="", "", INDEX('Base Exámenes'!$H$5:$H$1000, MATCH(A9&amp;"|"&amp;J9, 'Base Exámenes'!$I$5:$I$1000, 0))), ""), "")</f>
        <v>anonymous</v>
      </c>
      <c r="L9" s="22">
        <f>IF($A9="","",COUNTIF('Base Exámenes'!$C$5:$C$1000, A9))</f>
        <v>1</v>
      </c>
      <c r="M9" s="6" t="str">
        <f>IF($A9="","",IF(COUNTIF('Base Exámenes'!$C$5:$C$1000, A9)&gt;0, "", TRIM('Base Oficial'!H9)))</f>
        <v/>
      </c>
    </row>
    <row r="10">
      <c r="A10" s="4" t="str">
        <f>IF('Base Oficial'!A10="","",TRIM('Base Oficial'!A10))</f>
        <v>862</v>
      </c>
      <c r="B10" s="6" t="str">
        <f>IF($A10="","",TRIM('Base Oficial'!B10))</f>
        <v>GEORGI ROBERTO CASTILLO CHACON</v>
      </c>
      <c r="C10" s="6" t="str">
        <f>IF($A10="","",TRIM('Base Oficial'!F10))</f>
        <v>OFICIALIA DE CUMPLIMIENTO</v>
      </c>
      <c r="D10" s="6" t="str">
        <f>IF($A10="","",TRIM('Base Oficial'!G10))</f>
        <v>Gerencia de Oficialía de Cumplimiento</v>
      </c>
      <c r="E10" s="6" t="str">
        <f>IF($A10="","",TRIM('Base Oficial'!D10))</f>
        <v>GERENTE DE OFICIALIA DE CUMPLIMIENTO</v>
      </c>
      <c r="F10" s="4" t="str">
        <f>IF($A10="","",IF(COUNTIF('Base Exámenes'!$C$5:$C$1000, A10)&gt;0, "Completado", IF(M10&lt;&gt;"", M10, "Pendiente")))</f>
        <v>Completado</v>
      </c>
      <c r="G10" s="11">
        <f>IF(F10="Completado", IFERROR(IF(INDEX('Base Exámenes'!$D$5:$D$1000, MATCH(A10&amp;"|"&amp;J10, 'Base Exámenes'!$I$5:$I$1000, 0))="", "", INDEX('Base Exámenes'!$D$5:$D$1000, MATCH(A10&amp;"|"&amp;J10, 'Base Exámenes'!$I$5:$I$1000, 0))), ""), "")</f>
        <v>46296.47011574074</v>
      </c>
      <c r="H10" s="11">
        <f>IF(F10="Completado", IFERROR(IF(INDEX('Base Exámenes'!$E$5:$E$1000, MATCH(A10&amp;"|"&amp;J10, 'Base Exámenes'!$I$5:$I$1000, 0))="", "", INDEX('Base Exámenes'!$E$5:$E$1000, MATCH(A10&amp;"|"&amp;J10, 'Base Exámenes'!$I$5:$I$1000, 0))), ""), "")</f>
        <v>46296.47738425926</v>
      </c>
      <c r="I10" s="10">
        <f>IF(F10="Completado", IFERROR(IF(INDEX('Base Exámenes'!$F$5:$F$1000, MATCH(A10&amp;"|"&amp;J10, 'Base Exámenes'!$I$5:$I$1000, 0))="", "", INDEX('Base Exámenes'!$F$5:$F$1000, MATCH(A10&amp;"|"&amp;J10, 'Base Exámenes'!$I$5:$I$1000, 0))), ""), "")</f>
        <v>10.4666666666667</v>
      </c>
      <c r="J10" s="6">
        <f>IF(F10="Completado", IF(COUNTIFS('Base Exámenes'!$C$5:$C$1000, A10, 'Base Exámenes'!$G$5:$G$1000, "&lt;&gt;")=0, "", _xlfn.MAXIFS('Base Exámenes'!$G$5:$G$1000, 'Base Exámenes'!$C$5:$C$1000, A10)), "")</f>
        <v>100</v>
      </c>
      <c r="K10" s="6" t="str">
        <f>IF(F10="Completado", IFERROR(IF(INDEX('Base Exámenes'!$H$5:$H$1000, MATCH(A10&amp;"|"&amp;J10, 'Base Exámenes'!$I$5:$I$1000, 0))="", "", INDEX('Base Exámenes'!$H$5:$H$1000, MATCH(A10&amp;"|"&amp;J10, 'Base Exámenes'!$I$5:$I$1000, 0))), ""), "")</f>
        <v>anonymous</v>
      </c>
      <c r="L10" s="22">
        <f>IF($A10="","",COUNTIF('Base Exámenes'!$C$5:$C$1000, A10))</f>
        <v>1</v>
      </c>
      <c r="M10" s="6" t="str">
        <f>IF($A10="","",IF(COUNTIF('Base Exámenes'!$C$5:$C$1000, A10)&gt;0, "", TRIM('Base Oficial'!H10)))</f>
        <v/>
      </c>
    </row>
    <row r="11">
      <c r="A11" s="4" t="str">
        <f>IF('Base Oficial'!A11="","",TRIM('Base Oficial'!A11))</f>
        <v>741</v>
      </c>
      <c r="B11" s="6" t="str">
        <f>IF($A11="","",TRIM('Base Oficial'!B11))</f>
        <v>JOSE HUMBERTO BARILLAS BURGOS</v>
      </c>
      <c r="C11" s="6" t="str">
        <f>IF($A11="","",TRIM('Base Oficial'!F11))</f>
        <v>GERENCIA DE NEGOCIOS</v>
      </c>
      <c r="D11" s="6" t="str">
        <f>IF($A11="","",TRIM('Base Oficial'!G11))</f>
        <v>Gerencia de Negocios</v>
      </c>
      <c r="E11" s="6" t="str">
        <f>IF($A11="","",TRIM('Base Oficial'!D11))</f>
        <v>GERENTE DE NEGOCIOS</v>
      </c>
      <c r="F11" s="4" t="str">
        <f>IF($A11="","",IF(COUNTIF('Base Exámenes'!$C$5:$C$1000, A11)&gt;0, "Completado", IF(M11&lt;&gt;"", M11, "Pendiente")))</f>
        <v>Completado</v>
      </c>
      <c r="G11" s="11">
        <f>IF(F11="Completado", IFERROR(IF(INDEX('Base Exámenes'!$D$5:$D$1000, MATCH(A11&amp;"|"&amp;J11, 'Base Exámenes'!$I$5:$I$1000, 0))="", "", INDEX('Base Exámenes'!$D$5:$D$1000, MATCH(A11&amp;"|"&amp;J11, 'Base Exámenes'!$I$5:$I$1000, 0))), ""), "")</f>
        <v>46310.61644675926</v>
      </c>
      <c r="H11" s="11">
        <f>IF(F11="Completado", IFERROR(IF(INDEX('Base Exámenes'!$E$5:$E$1000, MATCH(A11&amp;"|"&amp;J11, 'Base Exámenes'!$I$5:$I$1000, 0))="", "", INDEX('Base Exámenes'!$E$5:$E$1000, MATCH(A11&amp;"|"&amp;J11, 'Base Exámenes'!$I$5:$I$1000, 0))), ""), "")</f>
        <v>46310.61981481482</v>
      </c>
      <c r="I11" s="10">
        <f>IF(F11="Completado", IFERROR(IF(INDEX('Base Exámenes'!$F$5:$F$1000, MATCH(A11&amp;"|"&amp;J11, 'Base Exámenes'!$I$5:$I$1000, 0))="", "", INDEX('Base Exámenes'!$F$5:$F$1000, MATCH(A11&amp;"|"&amp;J11, 'Base Exámenes'!$I$5:$I$1000, 0))), ""), "")</f>
        <v>4.85</v>
      </c>
      <c r="J11" s="6">
        <f>IF(F11="Completado", IF(COUNTIFS('Base Exámenes'!$C$5:$C$1000, A11, 'Base Exámenes'!$G$5:$G$1000, "&lt;&gt;")=0, "", _xlfn.MAXIFS('Base Exámenes'!$G$5:$G$1000, 'Base Exámenes'!$C$5:$C$1000, A11)), "")</f>
        <v>100</v>
      </c>
      <c r="K11" s="6" t="str">
        <f>IF(F11="Completado", IFERROR(IF(INDEX('Base Exámenes'!$H$5:$H$1000, MATCH(A11&amp;"|"&amp;J11, 'Base Exámenes'!$I$5:$I$1000, 0))="", "", INDEX('Base Exámenes'!$H$5:$H$1000, MATCH(A11&amp;"|"&amp;J11, 'Base Exámenes'!$I$5:$I$1000, 0))), ""), "")</f>
        <v>anonymous</v>
      </c>
      <c r="L11" s="22">
        <f>IF($A11="","",COUNTIF('Base Exámenes'!$C$5:$C$1000, A11))</f>
        <v>1</v>
      </c>
      <c r="M11" s="6" t="str">
        <f>IF($A11="","",IF(COUNTIF('Base Exámenes'!$C$5:$C$1000, A11)&gt;0, "", TRIM('Base Oficial'!H11)))</f>
        <v/>
      </c>
    </row>
    <row r="12">
      <c r="A12" s="4" t="str">
        <f>IF('Base Oficial'!A12="","",TRIM('Base Oficial'!A12))</f>
        <v>570</v>
      </c>
      <c r="B12" s="6" t="str">
        <f>IF($A12="","",TRIM('Base Oficial'!B12))</f>
        <v>ANDREA VICTORIA MAYORGA RODRIGUEZ</v>
      </c>
      <c r="C12" s="6" t="str">
        <f>IF($A12="","",TRIM('Base Oficial'!F12))</f>
        <v>GERENCIA LEGAL Y DE CUMPLIMIENTO NORMATIVO</v>
      </c>
      <c r="D12" s="6" t="str">
        <f>IF($A12="","",TRIM('Base Oficial'!G12))</f>
        <v>Gerencia Legal y Cumplimiento Normativo</v>
      </c>
      <c r="E12" s="6" t="str">
        <f>IF($A12="","",TRIM('Base Oficial'!D12))</f>
        <v>GERENTE LEGAL Y DE CUMPLIMIENTO NORMATIVO</v>
      </c>
      <c r="F12" s="4" t="str">
        <f>IF($A12="","",IF(COUNTIF('Base Exámenes'!$C$5:$C$1000, A12)&gt;0, "Completado", IF(M12&lt;&gt;"", M12, "Pendiente")))</f>
        <v>Completado</v>
      </c>
      <c r="G12" s="11">
        <f>IF(F12="Completado", IFERROR(IF(INDEX('Base Exámenes'!$D$5:$D$1000, MATCH(A12&amp;"|"&amp;J12, 'Base Exámenes'!$I$5:$I$1000, 0))="", "", INDEX('Base Exámenes'!$D$5:$D$1000, MATCH(A12&amp;"|"&amp;J12, 'Base Exámenes'!$I$5:$I$1000, 0))), ""), "")</f>
        <v>46304.69274305556</v>
      </c>
      <c r="H12" s="11">
        <f>IF(F12="Completado", IFERROR(IF(INDEX('Base Exámenes'!$E$5:$E$1000, MATCH(A12&amp;"|"&amp;J12, 'Base Exámenes'!$I$5:$I$1000, 0))="", "", INDEX('Base Exámenes'!$E$5:$E$1000, MATCH(A12&amp;"|"&amp;J12, 'Base Exámenes'!$I$5:$I$1000, 0))), ""), "")</f>
        <v>46304.69452546296</v>
      </c>
      <c r="I12" s="10">
        <f>IF(F12="Completado", IFERROR(IF(INDEX('Base Exámenes'!$F$5:$F$1000, MATCH(A12&amp;"|"&amp;J12, 'Base Exámenes'!$I$5:$I$1000, 0))="", "", INDEX('Base Exámenes'!$F$5:$F$1000, MATCH(A12&amp;"|"&amp;J12, 'Base Exámenes'!$I$5:$I$1000, 0))), ""), "")</f>
        <v>2.56666666666667</v>
      </c>
      <c r="J12" s="6">
        <f>IF(F12="Completado", IF(COUNTIFS('Base Exámenes'!$C$5:$C$1000, A12, 'Base Exámenes'!$G$5:$G$1000, "&lt;&gt;")=0, "", _xlfn.MAXIFS('Base Exámenes'!$G$5:$G$1000, 'Base Exámenes'!$C$5:$C$1000, A12)), "")</f>
        <v>100</v>
      </c>
      <c r="K12" s="6" t="str">
        <f>IF(F12="Completado", IFERROR(IF(INDEX('Base Exámenes'!$H$5:$H$1000, MATCH(A12&amp;"|"&amp;J12, 'Base Exámenes'!$I$5:$I$1000, 0))="", "", INDEX('Base Exámenes'!$H$5:$H$1000, MATCH(A12&amp;"|"&amp;J12, 'Base Exámenes'!$I$5:$I$1000, 0))), ""), "")</f>
        <v>anonymous</v>
      </c>
      <c r="L12" s="22">
        <f>IF($A12="","",COUNTIF('Base Exámenes'!$C$5:$C$1000, A12))</f>
        <v>1</v>
      </c>
      <c r="M12" s="6" t="str">
        <f>IF($A12="","",IF(COUNTIF('Base Exámenes'!$C$5:$C$1000, A12)&gt;0, "", TRIM('Base Oficial'!H12)))</f>
        <v/>
      </c>
    </row>
    <row r="13">
      <c r="A13" s="4" t="str">
        <f>IF('Base Oficial'!A13="","",TRIM('Base Oficial'!A13))</f>
        <v>17</v>
      </c>
      <c r="B13" s="6" t="str">
        <f>IF($A13="","",TRIM('Base Oficial'!B13))</f>
        <v>ANTONIA SARAI BELTRAN CARBALLO</v>
      </c>
      <c r="C13" s="6" t="str">
        <f>IF($A13="","",TRIM('Base Oficial'!F13))</f>
        <v>GERENCIA GENERAL</v>
      </c>
      <c r="D13" s="6" t="str">
        <f>IF($A13="","",TRIM('Base Oficial'!G13))</f>
        <v>Gerencia General</v>
      </c>
      <c r="E13" s="6" t="str">
        <f>IF($A13="","",TRIM('Base Oficial'!D13))</f>
        <v>ASISTENTE ADMINISTRATIVO DE GERENCIA GENERAL</v>
      </c>
      <c r="F13" s="4" t="str">
        <f>IF($A13="","",IF(COUNTIF('Base Exámenes'!$C$5:$C$1000, A13)&gt;0, "Completado", IF(M13&lt;&gt;"", M13, "Pendiente")))</f>
        <v>Completado</v>
      </c>
      <c r="G13" s="11">
        <f>IF(F13="Completado", IFERROR(IF(INDEX('Base Exámenes'!$D$5:$D$1000, MATCH(A13&amp;"|"&amp;J13, 'Base Exámenes'!$I$5:$I$1000, 0))="", "", INDEX('Base Exámenes'!$D$5:$D$1000, MATCH(A13&amp;"|"&amp;J13, 'Base Exámenes'!$I$5:$I$1000, 0))), ""), "")</f>
        <v>46305.40667824074</v>
      </c>
      <c r="H13" s="11">
        <f>IF(F13="Completado", IFERROR(IF(INDEX('Base Exámenes'!$E$5:$E$1000, MATCH(A13&amp;"|"&amp;J13, 'Base Exámenes'!$I$5:$I$1000, 0))="", "", INDEX('Base Exámenes'!$E$5:$E$1000, MATCH(A13&amp;"|"&amp;J13, 'Base Exámenes'!$I$5:$I$1000, 0))), ""), "")</f>
        <v>46305.40980324074</v>
      </c>
      <c r="I13" s="10">
        <f>IF(F13="Completado", IFERROR(IF(INDEX('Base Exámenes'!$F$5:$F$1000, MATCH(A13&amp;"|"&amp;J13, 'Base Exámenes'!$I$5:$I$1000, 0))="", "", INDEX('Base Exámenes'!$F$5:$F$1000, MATCH(A13&amp;"|"&amp;J13, 'Base Exámenes'!$I$5:$I$1000, 0))), ""), "")</f>
        <v>4.5</v>
      </c>
      <c r="J13" s="6">
        <f>IF(F13="Completado", IF(COUNTIFS('Base Exámenes'!$C$5:$C$1000, A13, 'Base Exámenes'!$G$5:$G$1000, "&lt;&gt;")=0, "", _xlfn.MAXIFS('Base Exámenes'!$G$5:$G$1000, 'Base Exámenes'!$C$5:$C$1000, A13)), "")</f>
        <v>100</v>
      </c>
      <c r="K13" s="6" t="str">
        <f>IF(F13="Completado", IFERROR(IF(INDEX('Base Exámenes'!$H$5:$H$1000, MATCH(A13&amp;"|"&amp;J13, 'Base Exámenes'!$I$5:$I$1000, 0))="", "", INDEX('Base Exámenes'!$H$5:$H$1000, MATCH(A13&amp;"|"&amp;J13, 'Base Exámenes'!$I$5:$I$1000, 0))), ""), "")</f>
        <v>anonymous</v>
      </c>
      <c r="L13" s="22">
        <f>IF($A13="","",COUNTIF('Base Exámenes'!$C$5:$C$1000, A13))</f>
        <v>1</v>
      </c>
      <c r="M13" s="6" t="str">
        <f>IF($A13="","",IF(COUNTIF('Base Exámenes'!$C$5:$C$1000, A13)&gt;0, "", TRIM('Base Oficial'!H13)))</f>
        <v/>
      </c>
    </row>
    <row r="14">
      <c r="A14" s="4" t="str">
        <f>IF('Base Oficial'!A14="","",TRIM('Base Oficial'!A14))</f>
        <v>290</v>
      </c>
      <c r="B14" s="6" t="str">
        <f>IF($A14="","",TRIM('Base Oficial'!B14))</f>
        <v>MELVIN ENRIQUE PORTILLO VALLE</v>
      </c>
      <c r="C14" s="6" t="str">
        <f>IF($A14="","",TRIM('Base Oficial'!F14))</f>
        <v>ADMINISTRACION DE RIESGOS</v>
      </c>
      <c r="D14" s="6" t="str">
        <f>IF($A14="","",TRIM('Base Oficial'!G14))</f>
        <v>Gerencia General</v>
      </c>
      <c r="E14" s="6" t="str">
        <f>IF($A14="","",TRIM('Base Oficial'!D14))</f>
        <v>ANALISTA DE RIESGOS FINANCIEROS</v>
      </c>
      <c r="F14" s="4" t="str">
        <f>IF($A14="","",IF(COUNTIF('Base Exámenes'!$C$5:$C$1000, A14)&gt;0, "Completado", IF(M14&lt;&gt;"", M14, "Pendiente")))</f>
        <v>Completado</v>
      </c>
      <c r="G14" s="11">
        <f>IF(F14="Completado", IFERROR(IF(INDEX('Base Exámenes'!$D$5:$D$1000, MATCH(A14&amp;"|"&amp;J14, 'Base Exámenes'!$I$5:$I$1000, 0))="", "", INDEX('Base Exámenes'!$D$5:$D$1000, MATCH(A14&amp;"|"&amp;J14, 'Base Exámenes'!$I$5:$I$1000, 0))), ""), "")</f>
        <v>46304.406875</v>
      </c>
      <c r="H14" s="11">
        <f>IF(F14="Completado", IFERROR(IF(INDEX('Base Exámenes'!$E$5:$E$1000, MATCH(A14&amp;"|"&amp;J14, 'Base Exámenes'!$I$5:$I$1000, 0))="", "", INDEX('Base Exámenes'!$E$5:$E$1000, MATCH(A14&amp;"|"&amp;J14, 'Base Exámenes'!$I$5:$I$1000, 0))), ""), "")</f>
        <v>46304.40962962963</v>
      </c>
      <c r="I14" s="10">
        <f>IF(F14="Completado", IFERROR(IF(INDEX('Base Exámenes'!$F$5:$F$1000, MATCH(A14&amp;"|"&amp;J14, 'Base Exámenes'!$I$5:$I$1000, 0))="", "", INDEX('Base Exámenes'!$F$5:$F$1000, MATCH(A14&amp;"|"&amp;J14, 'Base Exámenes'!$I$5:$I$1000, 0))), ""), "")</f>
        <v>3.96666666666667</v>
      </c>
      <c r="J14" s="6">
        <f>IF(F14="Completado", IF(COUNTIFS('Base Exámenes'!$C$5:$C$1000, A14, 'Base Exámenes'!$G$5:$G$1000, "&lt;&gt;")=0, "", _xlfn.MAXIFS('Base Exámenes'!$G$5:$G$1000, 'Base Exámenes'!$C$5:$C$1000, A14)), "")</f>
        <v>100</v>
      </c>
      <c r="K14" s="6" t="str">
        <f>IF(F14="Completado", IFERROR(IF(INDEX('Base Exámenes'!$H$5:$H$1000, MATCH(A14&amp;"|"&amp;J14, 'Base Exámenes'!$I$5:$I$1000, 0))="", "", INDEX('Base Exámenes'!$H$5:$H$1000, MATCH(A14&amp;"|"&amp;J14, 'Base Exámenes'!$I$5:$I$1000, 0))), ""), "")</f>
        <v>anonymous</v>
      </c>
      <c r="L14" s="22">
        <f>IF($A14="","",COUNTIF('Base Exámenes'!$C$5:$C$1000, A14))</f>
        <v>1</v>
      </c>
      <c r="M14" s="6" t="str">
        <f>IF($A14="","",IF(COUNTIF('Base Exámenes'!$C$5:$C$1000, A14)&gt;0, "", TRIM('Base Oficial'!H14)))</f>
        <v/>
      </c>
    </row>
    <row r="15">
      <c r="A15" s="4" t="str">
        <f>IF('Base Oficial'!A15="","",TRIM('Base Oficial'!A15))</f>
        <v>408</v>
      </c>
      <c r="B15" s="6" t="str">
        <f>IF($A15="","",TRIM('Base Oficial'!B15))</f>
        <v>SARA PATRICIA GONZALEZ JIMENEZ</v>
      </c>
      <c r="C15" s="6" t="str">
        <f>IF($A15="","",TRIM('Base Oficial'!F15))</f>
        <v>ADMINISTRACION DE RIESGOS</v>
      </c>
      <c r="D15" s="6" t="str">
        <f>IF($A15="","",TRIM('Base Oficial'!G15))</f>
        <v>Gerencia General</v>
      </c>
      <c r="E15" s="6" t="str">
        <f>IF($A15="","",TRIM('Base Oficial'!D15))</f>
        <v>ASISTENTE TECNICO DE RIESGOS</v>
      </c>
      <c r="F15" s="4" t="str">
        <f>IF($A15="","",IF(COUNTIF('Base Exámenes'!$C$5:$C$1000, A15)&gt;0, "Completado", IF(M15&lt;&gt;"", M15, "Pendiente")))</f>
        <v>Completado</v>
      </c>
      <c r="G15" s="11">
        <f>IF(F15="Completado", IFERROR(IF(INDEX('Base Exámenes'!$D$5:$D$1000, MATCH(A15&amp;"|"&amp;J15, 'Base Exámenes'!$I$5:$I$1000, 0))="", "", INDEX('Base Exámenes'!$D$5:$D$1000, MATCH(A15&amp;"|"&amp;J15, 'Base Exámenes'!$I$5:$I$1000, 0))), ""), "")</f>
        <v>46296.43667824074</v>
      </c>
      <c r="H15" s="11">
        <f>IF(F15="Completado", IFERROR(IF(INDEX('Base Exámenes'!$E$5:$E$1000, MATCH(A15&amp;"|"&amp;J15, 'Base Exámenes'!$I$5:$I$1000, 0))="", "", INDEX('Base Exámenes'!$E$5:$E$1000, MATCH(A15&amp;"|"&amp;J15, 'Base Exámenes'!$I$5:$I$1000, 0))), ""), "")</f>
        <v>46296.438796296294</v>
      </c>
      <c r="I15" s="10">
        <f>IF(F15="Completado", IFERROR(IF(INDEX('Base Exámenes'!$F$5:$F$1000, MATCH(A15&amp;"|"&amp;J15, 'Base Exámenes'!$I$5:$I$1000, 0))="", "", INDEX('Base Exámenes'!$F$5:$F$1000, MATCH(A15&amp;"|"&amp;J15, 'Base Exámenes'!$I$5:$I$1000, 0))), ""), "")</f>
        <v>3.05</v>
      </c>
      <c r="J15" s="6">
        <f>IF(F15="Completado", IF(COUNTIFS('Base Exámenes'!$C$5:$C$1000, A15, 'Base Exámenes'!$G$5:$G$1000, "&lt;&gt;")=0, "", _xlfn.MAXIFS('Base Exámenes'!$G$5:$G$1000, 'Base Exámenes'!$C$5:$C$1000, A15)), "")</f>
        <v>100</v>
      </c>
      <c r="K15" s="6" t="str">
        <f>IF(F15="Completado", IFERROR(IF(INDEX('Base Exámenes'!$H$5:$H$1000, MATCH(A15&amp;"|"&amp;J15, 'Base Exámenes'!$I$5:$I$1000, 0))="", "", INDEX('Base Exámenes'!$H$5:$H$1000, MATCH(A15&amp;"|"&amp;J15, 'Base Exámenes'!$I$5:$I$1000, 0))), ""), "")</f>
        <v>anonymous</v>
      </c>
      <c r="L15" s="22">
        <f>IF($A15="","",COUNTIF('Base Exámenes'!$C$5:$C$1000, A15))</f>
        <v>1</v>
      </c>
      <c r="M15" s="6" t="str">
        <f>IF($A15="","",IF(COUNTIF('Base Exámenes'!$C$5:$C$1000, A15)&gt;0, "", TRIM('Base Oficial'!H15)))</f>
        <v/>
      </c>
    </row>
    <row r="16">
      <c r="A16" s="4" t="str">
        <f>IF('Base Oficial'!A16="","",TRIM('Base Oficial'!A16))</f>
        <v>433</v>
      </c>
      <c r="B16" s="6" t="str">
        <f>IF($A16="","",TRIM('Base Oficial'!B16))</f>
        <v>SILVIA IVETH MARTINEZ RAMIREZ</v>
      </c>
      <c r="C16" s="6" t="str">
        <f>IF($A16="","",TRIM('Base Oficial'!F16))</f>
        <v>ADMINISTRACION DE RIESGOS</v>
      </c>
      <c r="D16" s="6" t="str">
        <f>IF($A16="","",TRIM('Base Oficial'!G16))</f>
        <v>Gerencia General</v>
      </c>
      <c r="E16" s="6" t="str">
        <f>IF($A16="","",TRIM('Base Oficial'!D16))</f>
        <v>ANALISTA DE RIESGO OPERACIONAL</v>
      </c>
      <c r="F16" s="4" t="str">
        <f>IF($A16="","",IF(COUNTIF('Base Exámenes'!$C$5:$C$1000, A16)&gt;0, "Completado", IF(M16&lt;&gt;"", M16, "Pendiente")))</f>
        <v>Completado</v>
      </c>
      <c r="G16" s="11">
        <f>IF(F16="Completado", IFERROR(IF(INDEX('Base Exámenes'!$D$5:$D$1000, MATCH(A16&amp;"|"&amp;J16, 'Base Exámenes'!$I$5:$I$1000, 0))="", "", INDEX('Base Exámenes'!$D$5:$D$1000, MATCH(A16&amp;"|"&amp;J16, 'Base Exámenes'!$I$5:$I$1000, 0))), ""), "")</f>
        <v>46300.621516203704</v>
      </c>
      <c r="H16" s="11">
        <f>IF(F16="Completado", IFERROR(IF(INDEX('Base Exámenes'!$E$5:$E$1000, MATCH(A16&amp;"|"&amp;J16, 'Base Exámenes'!$I$5:$I$1000, 0))="", "", INDEX('Base Exámenes'!$E$5:$E$1000, MATCH(A16&amp;"|"&amp;J16, 'Base Exámenes'!$I$5:$I$1000, 0))), ""), "")</f>
        <v>46300.6309837963</v>
      </c>
      <c r="I16" s="10">
        <f>IF(F16="Completado", IFERROR(IF(INDEX('Base Exámenes'!$F$5:$F$1000, MATCH(A16&amp;"|"&amp;J16, 'Base Exámenes'!$I$5:$I$1000, 0))="", "", INDEX('Base Exámenes'!$F$5:$F$1000, MATCH(A16&amp;"|"&amp;J16, 'Base Exámenes'!$I$5:$I$1000, 0))), ""), "")</f>
        <v>13.6333333333333</v>
      </c>
      <c r="J16" s="6">
        <f>IF(F16="Completado", IF(COUNTIFS('Base Exámenes'!$C$5:$C$1000, A16, 'Base Exámenes'!$G$5:$G$1000, "&lt;&gt;")=0, "", _xlfn.MAXIFS('Base Exámenes'!$G$5:$G$1000, 'Base Exámenes'!$C$5:$C$1000, A16)), "")</f>
        <v>100</v>
      </c>
      <c r="K16" s="6" t="str">
        <f>IF(F16="Completado", IFERROR(IF(INDEX('Base Exámenes'!$H$5:$H$1000, MATCH(A16&amp;"|"&amp;J16, 'Base Exámenes'!$I$5:$I$1000, 0))="", "", INDEX('Base Exámenes'!$H$5:$H$1000, MATCH(A16&amp;"|"&amp;J16, 'Base Exámenes'!$I$5:$I$1000, 0))), ""), "")</f>
        <v>anonymous</v>
      </c>
      <c r="L16" s="22">
        <f>IF($A16="","",COUNTIF('Base Exámenes'!$C$5:$C$1000, A16))</f>
        <v>1</v>
      </c>
      <c r="M16" s="6" t="str">
        <f>IF($A16="","",IF(COUNTIF('Base Exámenes'!$C$5:$C$1000, A16)&gt;0, "", TRIM('Base Oficial'!H16)))</f>
        <v/>
      </c>
    </row>
    <row r="17">
      <c r="A17" s="4" t="str">
        <f>IF('Base Oficial'!A17="","",TRIM('Base Oficial'!A17))</f>
        <v>928</v>
      </c>
      <c r="B17" s="6" t="str">
        <f>IF($A17="","",TRIM('Base Oficial'!B17))</f>
        <v>HENRRY DANIEL ESCAMILLA ZALDAÑA</v>
      </c>
      <c r="C17" s="6" t="str">
        <f>IF($A17="","",TRIM('Base Oficial'!F17))</f>
        <v>ADMINISTRACION DE RIESGOS</v>
      </c>
      <c r="D17" s="6" t="str">
        <f>IF($A17="","",TRIM('Base Oficial'!G17))</f>
        <v>Gerencia General</v>
      </c>
      <c r="E17" s="6" t="str">
        <f>IF($A17="","",TRIM('Base Oficial'!D17))</f>
        <v>JEFE DE ADMINISTRACION DE RIESGOS</v>
      </c>
      <c r="F17" s="4" t="str">
        <f>IF($A17="","",IF(COUNTIF('Base Exámenes'!$C$5:$C$1000, A17)&gt;0, "Completado", IF(M17&lt;&gt;"", M17, "Pendiente")))</f>
        <v>Completado</v>
      </c>
      <c r="G17" s="11">
        <f>IF(F17="Completado", IFERROR(IF(INDEX('Base Exámenes'!$D$5:$D$1000, MATCH(A17&amp;"|"&amp;J17, 'Base Exámenes'!$I$5:$I$1000, 0))="", "", INDEX('Base Exámenes'!$D$5:$D$1000, MATCH(A17&amp;"|"&amp;J17, 'Base Exámenes'!$I$5:$I$1000, 0))), ""), "")</f>
        <v>46305.39564814815</v>
      </c>
      <c r="H17" s="11">
        <f>IF(F17="Completado", IFERROR(IF(INDEX('Base Exámenes'!$E$5:$E$1000, MATCH(A17&amp;"|"&amp;J17, 'Base Exámenes'!$I$5:$I$1000, 0))="", "", INDEX('Base Exámenes'!$E$5:$E$1000, MATCH(A17&amp;"|"&amp;J17, 'Base Exámenes'!$I$5:$I$1000, 0))), ""), "")</f>
        <v>46305.39865740741</v>
      </c>
      <c r="I17" s="10">
        <f>IF(F17="Completado", IFERROR(IF(INDEX('Base Exámenes'!$F$5:$F$1000, MATCH(A17&amp;"|"&amp;J17, 'Base Exámenes'!$I$5:$I$1000, 0))="", "", INDEX('Base Exámenes'!$F$5:$F$1000, MATCH(A17&amp;"|"&amp;J17, 'Base Exámenes'!$I$5:$I$1000, 0))), ""), "")</f>
        <v>4.33333333333333</v>
      </c>
      <c r="J17" s="6">
        <f>IF(F17="Completado", IF(COUNTIFS('Base Exámenes'!$C$5:$C$1000, A17, 'Base Exámenes'!$G$5:$G$1000, "&lt;&gt;")=0, "", _xlfn.MAXIFS('Base Exámenes'!$G$5:$G$1000, 'Base Exámenes'!$C$5:$C$1000, A17)), "")</f>
        <v>100</v>
      </c>
      <c r="K17" s="6" t="str">
        <f>IF(F17="Completado", IFERROR(IF(INDEX('Base Exámenes'!$H$5:$H$1000, MATCH(A17&amp;"|"&amp;J17, 'Base Exámenes'!$I$5:$I$1000, 0))="", "", INDEX('Base Exámenes'!$H$5:$H$1000, MATCH(A17&amp;"|"&amp;J17, 'Base Exámenes'!$I$5:$I$1000, 0))), ""), "")</f>
        <v>anonymous</v>
      </c>
      <c r="L17" s="22">
        <f>IF($A17="","",COUNTIF('Base Exámenes'!$C$5:$C$1000, A17))</f>
        <v>1</v>
      </c>
      <c r="M17" s="6" t="str">
        <f>IF($A17="","",IF(COUNTIF('Base Exámenes'!$C$5:$C$1000, A17)&gt;0, "", TRIM('Base Oficial'!H17)))</f>
        <v/>
      </c>
    </row>
    <row r="18">
      <c r="A18" s="4" t="str">
        <f>IF('Base Oficial'!A18="","",TRIM('Base Oficial'!A18))</f>
        <v>318</v>
      </c>
      <c r="B18" s="6" t="str">
        <f>IF($A18="","",TRIM('Base Oficial'!B18))</f>
        <v>CLAUDIA CAROLINA HENRIQUEZ VELASCO</v>
      </c>
      <c r="C18" s="6" t="str">
        <f>IF($A18="","",TRIM('Base Oficial'!F18))</f>
        <v>DEPARTAMENTO DE PROCESOS</v>
      </c>
      <c r="D18" s="6" t="str">
        <f>IF($A18="","",TRIM('Base Oficial'!G18))</f>
        <v>Gerencia General</v>
      </c>
      <c r="E18" s="6" t="str">
        <f>IF($A18="","",TRIM('Base Oficial'!D18))</f>
        <v>JEFE DE PROCESOS</v>
      </c>
      <c r="F18" s="4" t="str">
        <f>IF($A18="","",IF(COUNTIF('Base Exámenes'!$C$5:$C$1000, A18)&gt;0, "Completado", IF(M18&lt;&gt;"", M18, "Pendiente")))</f>
        <v>Completado</v>
      </c>
      <c r="G18" s="11">
        <f>IF(F18="Completado", IFERROR(IF(INDEX('Base Exámenes'!$D$5:$D$1000, MATCH(A18&amp;"|"&amp;J18, 'Base Exámenes'!$I$5:$I$1000, 0))="", "", INDEX('Base Exámenes'!$D$5:$D$1000, MATCH(A18&amp;"|"&amp;J18, 'Base Exámenes'!$I$5:$I$1000, 0))), ""), "")</f>
        <v>46296.436574074076</v>
      </c>
      <c r="H18" s="11">
        <f>IF(F18="Completado", IFERROR(IF(INDEX('Base Exámenes'!$E$5:$E$1000, MATCH(A18&amp;"|"&amp;J18, 'Base Exámenes'!$I$5:$I$1000, 0))="", "", INDEX('Base Exámenes'!$E$5:$E$1000, MATCH(A18&amp;"|"&amp;J18, 'Base Exámenes'!$I$5:$I$1000, 0))), ""), "")</f>
        <v>46296.44149305556</v>
      </c>
      <c r="I18" s="10">
        <f>IF(F18="Completado", IFERROR(IF(INDEX('Base Exámenes'!$F$5:$F$1000, MATCH(A18&amp;"|"&amp;J18, 'Base Exámenes'!$I$5:$I$1000, 0))="", "", INDEX('Base Exámenes'!$F$5:$F$1000, MATCH(A18&amp;"|"&amp;J18, 'Base Exámenes'!$I$5:$I$1000, 0))), ""), "")</f>
        <v>7.08333333333333</v>
      </c>
      <c r="J18" s="6">
        <f>IF(F18="Completado", IF(COUNTIFS('Base Exámenes'!$C$5:$C$1000, A18, 'Base Exámenes'!$G$5:$G$1000, "&lt;&gt;")=0, "", _xlfn.MAXIFS('Base Exámenes'!$G$5:$G$1000, 'Base Exámenes'!$C$5:$C$1000, A18)), "")</f>
        <v>100</v>
      </c>
      <c r="K18" s="6" t="str">
        <f>IF(F18="Completado", IFERROR(IF(INDEX('Base Exámenes'!$H$5:$H$1000, MATCH(A18&amp;"|"&amp;J18, 'Base Exámenes'!$I$5:$I$1000, 0))="", "", INDEX('Base Exámenes'!$H$5:$H$1000, MATCH(A18&amp;"|"&amp;J18, 'Base Exámenes'!$I$5:$I$1000, 0))), ""), "")</f>
        <v>anonymous</v>
      </c>
      <c r="L18" s="22">
        <f>IF($A18="","",COUNTIF('Base Exámenes'!$C$5:$C$1000, A18))</f>
        <v>1</v>
      </c>
      <c r="M18" s="6" t="str">
        <f>IF($A18="","",IF(COUNTIF('Base Exámenes'!$C$5:$C$1000, A18)&gt;0, "", TRIM('Base Oficial'!H18)))</f>
        <v/>
      </c>
    </row>
    <row r="19">
      <c r="A19" s="4" t="str">
        <f>IF('Base Oficial'!A19="","",TRIM('Base Oficial'!A19))</f>
        <v>817</v>
      </c>
      <c r="B19" s="6" t="str">
        <f>IF($A19="","",TRIM('Base Oficial'!B19))</f>
        <v>MAURICIO EDGARDO MIRANDA CAMPOS</v>
      </c>
      <c r="C19" s="6" t="str">
        <f>IF($A19="","",TRIM('Base Oficial'!F19))</f>
        <v>DEPARTAMENTO DE PROCESOS</v>
      </c>
      <c r="D19" s="6" t="str">
        <f>IF($A19="","",TRIM('Base Oficial'!G19))</f>
        <v>Gerencia General</v>
      </c>
      <c r="E19" s="6" t="str">
        <f>IF($A19="","",TRIM('Base Oficial'!D19))</f>
        <v>ANALISTA DE PROCESOS</v>
      </c>
      <c r="F19" s="4" t="str">
        <f>IF($A19="","",IF(COUNTIF('Base Exámenes'!$C$5:$C$1000, A19)&gt;0, "Completado", IF(M19&lt;&gt;"", M19, "Pendiente")))</f>
        <v>Completado</v>
      </c>
      <c r="G19" s="11">
        <f>IF(F19="Completado", IFERROR(IF(INDEX('Base Exámenes'!$D$5:$D$1000, MATCH(A19&amp;"|"&amp;J19, 'Base Exámenes'!$I$5:$I$1000, 0))="", "", INDEX('Base Exámenes'!$D$5:$D$1000, MATCH(A19&amp;"|"&amp;J19, 'Base Exámenes'!$I$5:$I$1000, 0))), ""), "")</f>
        <v>46296.43665509259</v>
      </c>
      <c r="H19" s="11">
        <f>IF(F19="Completado", IFERROR(IF(INDEX('Base Exámenes'!$E$5:$E$1000, MATCH(A19&amp;"|"&amp;J19, 'Base Exámenes'!$I$5:$I$1000, 0))="", "", INDEX('Base Exámenes'!$E$5:$E$1000, MATCH(A19&amp;"|"&amp;J19, 'Base Exámenes'!$I$5:$I$1000, 0))), ""), "")</f>
        <v>46296.44137731481</v>
      </c>
      <c r="I19" s="10">
        <f>IF(F19="Completado", IFERROR(IF(INDEX('Base Exámenes'!$F$5:$F$1000, MATCH(A19&amp;"|"&amp;J19, 'Base Exámenes'!$I$5:$I$1000, 0))="", "", INDEX('Base Exámenes'!$F$5:$F$1000, MATCH(A19&amp;"|"&amp;J19, 'Base Exámenes'!$I$5:$I$1000, 0))), ""), "")</f>
        <v>6.8</v>
      </c>
      <c r="J19" s="6">
        <f>IF(F19="Completado", IF(COUNTIFS('Base Exámenes'!$C$5:$C$1000, A19, 'Base Exámenes'!$G$5:$G$1000, "&lt;&gt;")=0, "", _xlfn.MAXIFS('Base Exámenes'!$G$5:$G$1000, 'Base Exámenes'!$C$5:$C$1000, A19)), "")</f>
        <v>100</v>
      </c>
      <c r="K19" s="6" t="str">
        <f>IF(F19="Completado", IFERROR(IF(INDEX('Base Exámenes'!$H$5:$H$1000, MATCH(A19&amp;"|"&amp;J19, 'Base Exámenes'!$I$5:$I$1000, 0))="", "", INDEX('Base Exámenes'!$H$5:$H$1000, MATCH(A19&amp;"|"&amp;J19, 'Base Exámenes'!$I$5:$I$1000, 0))), ""), "")</f>
        <v>anonymous</v>
      </c>
      <c r="L19" s="22">
        <f>IF($A19="","",COUNTIF('Base Exámenes'!$C$5:$C$1000, A19))</f>
        <v>1</v>
      </c>
      <c r="M19" s="6" t="str">
        <f>IF($A19="","",IF(COUNTIF('Base Exámenes'!$C$5:$C$1000, A19)&gt;0, "", TRIM('Base Oficial'!H19)))</f>
        <v/>
      </c>
    </row>
    <row r="20">
      <c r="A20" s="4" t="str">
        <f>IF('Base Oficial'!A20="","",TRIM('Base Oficial'!A20))</f>
        <v>932</v>
      </c>
      <c r="B20" s="6" t="str">
        <f>IF($A20="","",TRIM('Base Oficial'!B20))</f>
        <v>HECTOR SEBASTIAN LOPEZ GRANADOS</v>
      </c>
      <c r="C20" s="6" t="str">
        <f>IF($A20="","",TRIM('Base Oficial'!F20))</f>
        <v>DEPARTAMENTO DE PROCESOS</v>
      </c>
      <c r="D20" s="6" t="str">
        <f>IF($A20="","",TRIM('Base Oficial'!G20))</f>
        <v>Gerencia General</v>
      </c>
      <c r="E20" s="6" t="str">
        <f>IF($A20="","",TRIM('Base Oficial'!D20))</f>
        <v>ASISTENTE TECNICO DE PROCESOS</v>
      </c>
      <c r="F20" s="4" t="str">
        <f>IF($A20="","",IF(COUNTIF('Base Exámenes'!$C$5:$C$1000, A20)&gt;0, "Completado", IF(M20&lt;&gt;"", M20, "Pendiente")))</f>
        <v>Completado</v>
      </c>
      <c r="G20" s="11">
        <f>IF(F20="Completado", IFERROR(IF(INDEX('Base Exámenes'!$D$5:$D$1000, MATCH(A20&amp;"|"&amp;J20, 'Base Exámenes'!$I$5:$I$1000, 0))="", "", INDEX('Base Exámenes'!$D$5:$D$1000, MATCH(A20&amp;"|"&amp;J20, 'Base Exámenes'!$I$5:$I$1000, 0))), ""), "")</f>
        <v>46296.4371875</v>
      </c>
      <c r="H20" s="11">
        <f>IF(F20="Completado", IFERROR(IF(INDEX('Base Exámenes'!$E$5:$E$1000, MATCH(A20&amp;"|"&amp;J20, 'Base Exámenes'!$I$5:$I$1000, 0))="", "", INDEX('Base Exámenes'!$E$5:$E$1000, MATCH(A20&amp;"|"&amp;J20, 'Base Exámenes'!$I$5:$I$1000, 0))), ""), "")</f>
        <v>46296.44143518519</v>
      </c>
      <c r="I20" s="10">
        <f>IF(F20="Completado", IFERROR(IF(INDEX('Base Exámenes'!$F$5:$F$1000, MATCH(A20&amp;"|"&amp;J20, 'Base Exámenes'!$I$5:$I$1000, 0))="", "", INDEX('Base Exámenes'!$F$5:$F$1000, MATCH(A20&amp;"|"&amp;J20, 'Base Exámenes'!$I$5:$I$1000, 0))), ""), "")</f>
        <v>6.11666666666667</v>
      </c>
      <c r="J20" s="6">
        <f>IF(F20="Completado", IF(COUNTIFS('Base Exámenes'!$C$5:$C$1000, A20, 'Base Exámenes'!$G$5:$G$1000, "&lt;&gt;")=0, "", _xlfn.MAXIFS('Base Exámenes'!$G$5:$G$1000, 'Base Exámenes'!$C$5:$C$1000, A20)), "")</f>
        <v>100</v>
      </c>
      <c r="K20" s="6" t="str">
        <f>IF(F20="Completado", IFERROR(IF(INDEX('Base Exámenes'!$H$5:$H$1000, MATCH(A20&amp;"|"&amp;J20, 'Base Exámenes'!$I$5:$I$1000, 0))="", "", INDEX('Base Exámenes'!$H$5:$H$1000, MATCH(A20&amp;"|"&amp;J20, 'Base Exámenes'!$I$5:$I$1000, 0))), ""), "")</f>
        <v>anonymous</v>
      </c>
      <c r="L20" s="22">
        <f>IF($A20="","",COUNTIF('Base Exámenes'!$C$5:$C$1000, A20))</f>
        <v>1</v>
      </c>
      <c r="M20" s="6" t="str">
        <f>IF($A20="","",IF(COUNTIF('Base Exámenes'!$C$5:$C$1000, A20)&gt;0, "", TRIM('Base Oficial'!H20)))</f>
        <v/>
      </c>
    </row>
    <row r="21">
      <c r="A21" s="4" t="str">
        <f>IF('Base Oficial'!A21="","",TRIM('Base Oficial'!A21))</f>
        <v>710</v>
      </c>
      <c r="B21" s="6" t="str">
        <f>IF($A21="","",TRIM('Base Oficial'!B21))</f>
        <v>MARIA AZUCENA BONILLA RIVERA</v>
      </c>
      <c r="C21" s="6" t="str">
        <f>IF($A21="","",TRIM('Base Oficial'!F21))</f>
        <v>OFICIALIA DE SEGURIDAD DE LA INFORMACION</v>
      </c>
      <c r="D21" s="6" t="str">
        <f>IF($A21="","",TRIM('Base Oficial'!G21))</f>
        <v>Gerencia General</v>
      </c>
      <c r="E21" s="6" t="str">
        <f>IF($A21="","",TRIM('Base Oficial'!D21))</f>
        <v>OFICIAL DE SEGURIDAD DE LA INFORMACION</v>
      </c>
      <c r="F21" s="4" t="str">
        <f>IF($A21="","",IF(COUNTIF('Base Exámenes'!$C$5:$C$1000, A21)&gt;0, "Completado", IF(M21&lt;&gt;"", M21, "Pendiente")))</f>
        <v>Completado</v>
      </c>
      <c r="G21" s="11">
        <f>IF(F21="Completado", IFERROR(IF(INDEX('Base Exámenes'!$D$5:$D$1000, MATCH(A21&amp;"|"&amp;J21, 'Base Exámenes'!$I$5:$I$1000, 0))="", "", INDEX('Base Exámenes'!$D$5:$D$1000, MATCH(A21&amp;"|"&amp;J21, 'Base Exámenes'!$I$5:$I$1000, 0))), ""), "")</f>
        <v>46296.44082175926</v>
      </c>
      <c r="H21" s="11">
        <f>IF(F21="Completado", IFERROR(IF(INDEX('Base Exámenes'!$E$5:$E$1000, MATCH(A21&amp;"|"&amp;J21, 'Base Exámenes'!$I$5:$I$1000, 0))="", "", INDEX('Base Exámenes'!$E$5:$E$1000, MATCH(A21&amp;"|"&amp;J21, 'Base Exámenes'!$I$5:$I$1000, 0))), ""), "")</f>
        <v>46296.448969907404</v>
      </c>
      <c r="I21" s="10">
        <f>IF(F21="Completado", IFERROR(IF(INDEX('Base Exámenes'!$F$5:$F$1000, MATCH(A21&amp;"|"&amp;J21, 'Base Exámenes'!$I$5:$I$1000, 0))="", "", INDEX('Base Exámenes'!$F$5:$F$1000, MATCH(A21&amp;"|"&amp;J21, 'Base Exámenes'!$I$5:$I$1000, 0))), ""), "")</f>
        <v>11.7333333333333</v>
      </c>
      <c r="J21" s="6">
        <f>IF(F21="Completado", IF(COUNTIFS('Base Exámenes'!$C$5:$C$1000, A21, 'Base Exámenes'!$G$5:$G$1000, "&lt;&gt;")=0, "", _xlfn.MAXIFS('Base Exámenes'!$G$5:$G$1000, 'Base Exámenes'!$C$5:$C$1000, A21)), "")</f>
        <v>100</v>
      </c>
      <c r="K21" s="6" t="str">
        <f>IF(F21="Completado", IFERROR(IF(INDEX('Base Exámenes'!$H$5:$H$1000, MATCH(A21&amp;"|"&amp;J21, 'Base Exámenes'!$I$5:$I$1000, 0))="", "", INDEX('Base Exámenes'!$H$5:$H$1000, MATCH(A21&amp;"|"&amp;J21, 'Base Exámenes'!$I$5:$I$1000, 0))), ""), "")</f>
        <v>anonymous</v>
      </c>
      <c r="L21" s="22">
        <f>IF($A21="","",COUNTIF('Base Exámenes'!$C$5:$C$1000, A21))</f>
        <v>1</v>
      </c>
      <c r="M21" s="6" t="str">
        <f>IF($A21="","",IF(COUNTIF('Base Exámenes'!$C$5:$C$1000, A21)&gt;0, "", TRIM('Base Oficial'!H21)))</f>
        <v/>
      </c>
    </row>
    <row r="22">
      <c r="A22" s="4" t="str">
        <f>IF('Base Oficial'!A22="","",TRIM('Base Oficial'!A22))</f>
        <v>907</v>
      </c>
      <c r="B22" s="6" t="str">
        <f>IF($A22="","",TRIM('Base Oficial'!B22))</f>
        <v>JENNIFER GEORGINA ALVARADO HERNANDEZ</v>
      </c>
      <c r="C22" s="6" t="str">
        <f>IF($A22="","",TRIM('Base Oficial'!F22))</f>
        <v>OFICIALIA DE SEGURIDAD DE LA INFORMACION</v>
      </c>
      <c r="D22" s="6" t="str">
        <f>IF($A22="","",TRIM('Base Oficial'!G22))</f>
        <v>Gerencia General</v>
      </c>
      <c r="E22" s="6" t="str">
        <f>IF($A22="","",TRIM('Base Oficial'!D22))</f>
        <v>ANALISTA DE MONITOREO DEL FRAUDE DIGITAL</v>
      </c>
      <c r="F22" s="4" t="str">
        <f>IF($A22="","",IF(COUNTIF('Base Exámenes'!$C$5:$C$1000, A22)&gt;0, "Completado", IF(M22&lt;&gt;"", M22, "Pendiente")))</f>
        <v>Completado</v>
      </c>
      <c r="G22" s="11">
        <f>IF(F22="Completado", IFERROR(IF(INDEX('Base Exámenes'!$D$5:$D$1000, MATCH(A22&amp;"|"&amp;J22, 'Base Exámenes'!$I$5:$I$1000, 0))="", "", INDEX('Base Exámenes'!$D$5:$D$1000, MATCH(A22&amp;"|"&amp;J22, 'Base Exámenes'!$I$5:$I$1000, 0))), ""), "")</f>
        <v>46296.44221064815</v>
      </c>
      <c r="H22" s="11">
        <f>IF(F22="Completado", IFERROR(IF(INDEX('Base Exámenes'!$E$5:$E$1000, MATCH(A22&amp;"|"&amp;J22, 'Base Exámenes'!$I$5:$I$1000, 0))="", "", INDEX('Base Exámenes'!$E$5:$E$1000, MATCH(A22&amp;"|"&amp;J22, 'Base Exámenes'!$I$5:$I$1000, 0))), ""), "")</f>
        <v>46296.44850694444</v>
      </c>
      <c r="I22" s="10">
        <f>IF(F22="Completado", IFERROR(IF(INDEX('Base Exámenes'!$F$5:$F$1000, MATCH(A22&amp;"|"&amp;J22, 'Base Exámenes'!$I$5:$I$1000, 0))="", "", INDEX('Base Exámenes'!$F$5:$F$1000, MATCH(A22&amp;"|"&amp;J22, 'Base Exámenes'!$I$5:$I$1000, 0))), ""), "")</f>
        <v>9.06666666666667</v>
      </c>
      <c r="J22" s="6">
        <f>IF(F22="Completado", IF(COUNTIFS('Base Exámenes'!$C$5:$C$1000, A22, 'Base Exámenes'!$G$5:$G$1000, "&lt;&gt;")=0, "", _xlfn.MAXIFS('Base Exámenes'!$G$5:$G$1000, 'Base Exámenes'!$C$5:$C$1000, A22)), "")</f>
        <v>85</v>
      </c>
      <c r="K22" s="6" t="str">
        <f>IF(F22="Completado", IFERROR(IF(INDEX('Base Exámenes'!$H$5:$H$1000, MATCH(A22&amp;"|"&amp;J22, 'Base Exámenes'!$I$5:$I$1000, 0))="", "", INDEX('Base Exámenes'!$H$5:$H$1000, MATCH(A22&amp;"|"&amp;J22, 'Base Exámenes'!$I$5:$I$1000, 0))), ""), "")</f>
        <v>anonymous</v>
      </c>
      <c r="L22" s="22">
        <f>IF($A22="","",COUNTIF('Base Exámenes'!$C$5:$C$1000, A22))</f>
        <v>1</v>
      </c>
      <c r="M22" s="6" t="str">
        <f>IF($A22="","",IF(COUNTIF('Base Exámenes'!$C$5:$C$1000, A22)&gt;0, "", TRIM('Base Oficial'!H22)))</f>
        <v/>
      </c>
    </row>
    <row r="23">
      <c r="A23" s="4" t="str">
        <f>IF('Base Oficial'!A23="","",TRIM('Base Oficial'!A23))</f>
        <v>918</v>
      </c>
      <c r="B23" s="6" t="str">
        <f>IF($A23="","",TRIM('Base Oficial'!B23))</f>
        <v>MARVIN ALONSO FRANCO RAMIREZ</v>
      </c>
      <c r="C23" s="6" t="str">
        <f>IF($A23="","",TRIM('Base Oficial'!F23))</f>
        <v>OFICIALIA DE SEGURIDAD DE LA INFORMACION</v>
      </c>
      <c r="D23" s="6" t="str">
        <f>IF($A23="","",TRIM('Base Oficial'!G23))</f>
        <v>Gerencia General</v>
      </c>
      <c r="E23" s="6" t="str">
        <f>IF($A23="","",TRIM('Base Oficial'!D23))</f>
        <v>ANALISTA DE SEGURIDAD DE LA INFORMACION</v>
      </c>
      <c r="F23" s="4" t="str">
        <f>IF($A23="","",IF(COUNTIF('Base Exámenes'!$C$5:$C$1000, A23)&gt;0, "Completado", IF(M23&lt;&gt;"", M23, "Pendiente")))</f>
        <v>Completado</v>
      </c>
      <c r="G23" s="11">
        <f>IF(F23="Completado", IFERROR(IF(INDEX('Base Exámenes'!$D$5:$D$1000, MATCH(A23&amp;"|"&amp;J23, 'Base Exámenes'!$I$5:$I$1000, 0))="", "", INDEX('Base Exámenes'!$D$5:$D$1000, MATCH(A23&amp;"|"&amp;J23, 'Base Exámenes'!$I$5:$I$1000, 0))), ""), "")</f>
        <v>46296.441828703704</v>
      </c>
      <c r="H23" s="11">
        <f>IF(F23="Completado", IFERROR(IF(INDEX('Base Exámenes'!$E$5:$E$1000, MATCH(A23&amp;"|"&amp;J23, 'Base Exámenes'!$I$5:$I$1000, 0))="", "", INDEX('Base Exámenes'!$E$5:$E$1000, MATCH(A23&amp;"|"&amp;J23, 'Base Exámenes'!$I$5:$I$1000, 0))), ""), "")</f>
        <v>46296.44851851852</v>
      </c>
      <c r="I23" s="10">
        <f>IF(F23="Completado", IFERROR(IF(INDEX('Base Exámenes'!$F$5:$F$1000, MATCH(A23&amp;"|"&amp;J23, 'Base Exámenes'!$I$5:$I$1000, 0))="", "", INDEX('Base Exámenes'!$F$5:$F$1000, MATCH(A23&amp;"|"&amp;J23, 'Base Exámenes'!$I$5:$I$1000, 0))), ""), "")</f>
        <v>9.63333333333333</v>
      </c>
      <c r="J23" s="6">
        <f>IF(F23="Completado", IF(COUNTIFS('Base Exámenes'!$C$5:$C$1000, A23, 'Base Exámenes'!$G$5:$G$1000, "&lt;&gt;")=0, "", _xlfn.MAXIFS('Base Exámenes'!$G$5:$G$1000, 'Base Exámenes'!$C$5:$C$1000, A23)), "")</f>
        <v>100</v>
      </c>
      <c r="K23" s="6" t="str">
        <f>IF(F23="Completado", IFERROR(IF(INDEX('Base Exámenes'!$H$5:$H$1000, MATCH(A23&amp;"|"&amp;J23, 'Base Exámenes'!$I$5:$I$1000, 0))="", "", INDEX('Base Exámenes'!$H$5:$H$1000, MATCH(A23&amp;"|"&amp;J23, 'Base Exámenes'!$I$5:$I$1000, 0))), ""), "")</f>
        <v>anonymous</v>
      </c>
      <c r="L23" s="22">
        <f>IF($A23="","",COUNTIF('Base Exámenes'!$C$5:$C$1000, A23))</f>
        <v>1</v>
      </c>
      <c r="M23" s="6" t="str">
        <f>IF($A23="","",IF(COUNTIF('Base Exámenes'!$C$5:$C$1000, A23)&gt;0, "", TRIM('Base Oficial'!H23)))</f>
        <v/>
      </c>
    </row>
    <row r="24">
      <c r="A24" s="4" t="str">
        <f>IF('Base Oficial'!A24="","",TRIM('Base Oficial'!A24))</f>
        <v>950</v>
      </c>
      <c r="B24" s="6" t="str">
        <f>IF($A24="","",TRIM('Base Oficial'!B24))</f>
        <v>VALERIA MICHELLE QUINTANILLA FLORES</v>
      </c>
      <c r="C24" s="6" t="str">
        <f>IF($A24="","",TRIM('Base Oficial'!F24))</f>
        <v>OFICIALIA DE SEGURIDAD DE LA INFORMACION</v>
      </c>
      <c r="D24" s="6" t="str">
        <f>IF($A24="","",TRIM('Base Oficial'!G24))</f>
        <v>Gerencia General</v>
      </c>
      <c r="E24" s="6" t="str">
        <f>IF($A24="","",TRIM('Base Oficial'!D24))</f>
        <v>ANALISTA TECNICO DE PROTECCION DE DATOS</v>
      </c>
      <c r="F24" s="4" t="str">
        <f>IF($A24="","",IF(COUNTIF('Base Exámenes'!$C$5:$C$1000, A24)&gt;0, "Completado", IF(M24&lt;&gt;"", M24, "Pendiente")))</f>
        <v>Completado</v>
      </c>
      <c r="G24" s="11">
        <f>IF(F24="Completado", IFERROR(IF(INDEX('Base Exámenes'!$D$5:$D$1000, MATCH(A24&amp;"|"&amp;J24, 'Base Exámenes'!$I$5:$I$1000, 0))="", "", INDEX('Base Exámenes'!$D$5:$D$1000, MATCH(A24&amp;"|"&amp;J24, 'Base Exámenes'!$I$5:$I$1000, 0))), ""), "")</f>
        <v>46296.44081018519</v>
      </c>
      <c r="H24" s="11">
        <f>IF(F24="Completado", IFERROR(IF(INDEX('Base Exámenes'!$E$5:$E$1000, MATCH(A24&amp;"|"&amp;J24, 'Base Exámenes'!$I$5:$I$1000, 0))="", "", INDEX('Base Exámenes'!$E$5:$E$1000, MATCH(A24&amp;"|"&amp;J24, 'Base Exámenes'!$I$5:$I$1000, 0))), ""), "")</f>
        <v>46296.44909722222</v>
      </c>
      <c r="I24" s="10">
        <f>IF(F24="Completado", IFERROR(IF(INDEX('Base Exámenes'!$F$5:$F$1000, MATCH(A24&amp;"|"&amp;J24, 'Base Exámenes'!$I$5:$I$1000, 0))="", "", INDEX('Base Exámenes'!$F$5:$F$1000, MATCH(A24&amp;"|"&amp;J24, 'Base Exámenes'!$I$5:$I$1000, 0))), ""), "")</f>
        <v>11.9333333333333</v>
      </c>
      <c r="J24" s="6">
        <f>IF(F24="Completado", IF(COUNTIFS('Base Exámenes'!$C$5:$C$1000, A24, 'Base Exámenes'!$G$5:$G$1000, "&lt;&gt;")=0, "", _xlfn.MAXIFS('Base Exámenes'!$G$5:$G$1000, 'Base Exámenes'!$C$5:$C$1000, A24)), "")</f>
        <v>100</v>
      </c>
      <c r="K24" s="6" t="str">
        <f>IF(F24="Completado", IFERROR(IF(INDEX('Base Exámenes'!$H$5:$H$1000, MATCH(A24&amp;"|"&amp;J24, 'Base Exámenes'!$I$5:$I$1000, 0))="", "", INDEX('Base Exámenes'!$H$5:$H$1000, MATCH(A24&amp;"|"&amp;J24, 'Base Exámenes'!$I$5:$I$1000, 0))), ""), "")</f>
        <v>anonymous</v>
      </c>
      <c r="L24" s="22">
        <f>IF($A24="","",COUNTIF('Base Exámenes'!$C$5:$C$1000, A24))</f>
        <v>1</v>
      </c>
      <c r="M24" s="6" t="str">
        <f>IF($A24="","",IF(COUNTIF('Base Exámenes'!$C$5:$C$1000, A24)&gt;0, "", TRIM('Base Oficial'!H24)))</f>
        <v/>
      </c>
    </row>
    <row r="25">
      <c r="A25" s="4" t="str">
        <f>IF('Base Oficial'!A25="","",TRIM('Base Oficial'!A25))</f>
        <v>45</v>
      </c>
      <c r="B25" s="6" t="str">
        <f>IF($A25="","",TRIM('Base Oficial'!B25))</f>
        <v>MARTA LILLIAN VIGIL QUIJANO</v>
      </c>
      <c r="C25" s="6" t="str">
        <f>IF($A25="","",TRIM('Base Oficial'!F25))</f>
        <v>GERENCIA ADMINISTRATIVA</v>
      </c>
      <c r="D25" s="6" t="str">
        <f>IF($A25="","",TRIM('Base Oficial'!G25))</f>
        <v>Gerencia Administrativa</v>
      </c>
      <c r="E25" s="6" t="str">
        <f>IF($A25="","",TRIM('Base Oficial'!D25))</f>
        <v>ASISTENTE ADMINISTRATIVO DE GERENCIA ADMINISTRATIVA</v>
      </c>
      <c r="F25" s="4" t="str">
        <f>IF($A25="","",IF(COUNTIF('Base Exámenes'!$C$5:$C$1000, A25)&gt;0, "Completado", IF(M25&lt;&gt;"", M25, "Pendiente")))</f>
        <v>Completado</v>
      </c>
      <c r="G25" s="11">
        <f>IF(F25="Completado", IFERROR(IF(INDEX('Base Exámenes'!$D$5:$D$1000, MATCH(A25&amp;"|"&amp;J25, 'Base Exámenes'!$I$5:$I$1000, 0))="", "", INDEX('Base Exámenes'!$D$5:$D$1000, MATCH(A25&amp;"|"&amp;J25, 'Base Exámenes'!$I$5:$I$1000, 0))), ""), "")</f>
        <v>46307.428460648145</v>
      </c>
      <c r="H25" s="11">
        <f>IF(F25="Completado", IFERROR(IF(INDEX('Base Exámenes'!$E$5:$E$1000, MATCH(A25&amp;"|"&amp;J25, 'Base Exámenes'!$I$5:$I$1000, 0))="", "", INDEX('Base Exámenes'!$E$5:$E$1000, MATCH(A25&amp;"|"&amp;J25, 'Base Exámenes'!$I$5:$I$1000, 0))), ""), "")</f>
        <v>46307.43666666667</v>
      </c>
      <c r="I25" s="10">
        <f>IF(F25="Completado", IFERROR(IF(INDEX('Base Exámenes'!$F$5:$F$1000, MATCH(A25&amp;"|"&amp;J25, 'Base Exámenes'!$I$5:$I$1000, 0))="", "", INDEX('Base Exámenes'!$F$5:$F$1000, MATCH(A25&amp;"|"&amp;J25, 'Base Exámenes'!$I$5:$I$1000, 0))), ""), "")</f>
        <v>11.8166666666667</v>
      </c>
      <c r="J25" s="6">
        <f>IF(F25="Completado", IF(COUNTIFS('Base Exámenes'!$C$5:$C$1000, A25, 'Base Exámenes'!$G$5:$G$1000, "&lt;&gt;")=0, "", _xlfn.MAXIFS('Base Exámenes'!$G$5:$G$1000, 'Base Exámenes'!$C$5:$C$1000, A25)), "")</f>
        <v>100</v>
      </c>
      <c r="K25" s="6" t="str">
        <f>IF(F25="Completado", IFERROR(IF(INDEX('Base Exámenes'!$H$5:$H$1000, MATCH(A25&amp;"|"&amp;J25, 'Base Exámenes'!$I$5:$I$1000, 0))="", "", INDEX('Base Exámenes'!$H$5:$H$1000, MATCH(A25&amp;"|"&amp;J25, 'Base Exámenes'!$I$5:$I$1000, 0))), ""), "")</f>
        <v>anonymous</v>
      </c>
      <c r="L25" s="22">
        <f>IF($A25="","",COUNTIF('Base Exámenes'!$C$5:$C$1000, A25))</f>
        <v>1</v>
      </c>
      <c r="M25" s="6" t="str">
        <f>IF($A25="","",IF(COUNTIF('Base Exámenes'!$C$5:$C$1000, A25)&gt;0, "", TRIM('Base Oficial'!H25)))</f>
        <v/>
      </c>
    </row>
    <row r="26">
      <c r="A26" s="4" t="str">
        <f>IF('Base Oficial'!A26="","",TRIM('Base Oficial'!A26))</f>
        <v>55</v>
      </c>
      <c r="B26" s="6" t="str">
        <f>IF($A26="","",TRIM('Base Oficial'!B26))</f>
        <v>LEONEL EDGARDO SALAZAR RAMIREZ</v>
      </c>
      <c r="C26" s="6" t="str">
        <f>IF($A26="","",TRIM('Base Oficial'!F26))</f>
        <v>DEPARTAMENTO DE SERVICIOS GENERALES</v>
      </c>
      <c r="D26" s="6" t="str">
        <f>IF($A26="","",TRIM('Base Oficial'!G26))</f>
        <v>Gerencia Administrativa</v>
      </c>
      <c r="E26" s="6" t="str">
        <f>IF($A26="","",TRIM('Base Oficial'!D26))</f>
        <v>MENSAJERO</v>
      </c>
      <c r="F26" s="4" t="str">
        <f>IF($A26="","",IF(COUNTIF('Base Exámenes'!$C$5:$C$1000, A26)&gt;0, "Completado", IF(M26&lt;&gt;"", M26, "Pendiente")))</f>
        <v>Completado</v>
      </c>
      <c r="G26" s="11">
        <f>IF(F26="Completado", IFERROR(IF(INDEX('Base Exámenes'!$D$5:$D$1000, MATCH(A26&amp;"|"&amp;J26, 'Base Exámenes'!$I$5:$I$1000, 0))="", "", INDEX('Base Exámenes'!$D$5:$D$1000, MATCH(A26&amp;"|"&amp;J26, 'Base Exámenes'!$I$5:$I$1000, 0))), ""), "")</f>
        <v>46300.80671296296</v>
      </c>
      <c r="H26" s="11">
        <f>IF(F26="Completado", IFERROR(IF(INDEX('Base Exámenes'!$E$5:$E$1000, MATCH(A26&amp;"|"&amp;J26, 'Base Exámenes'!$I$5:$I$1000, 0))="", "", INDEX('Base Exámenes'!$E$5:$E$1000, MATCH(A26&amp;"|"&amp;J26, 'Base Exámenes'!$I$5:$I$1000, 0))), ""), "")</f>
        <v>46300.81421296296</v>
      </c>
      <c r="I26" s="10">
        <f>IF(F26="Completado", IFERROR(IF(INDEX('Base Exámenes'!$F$5:$F$1000, MATCH(A26&amp;"|"&amp;J26, 'Base Exámenes'!$I$5:$I$1000, 0))="", "", INDEX('Base Exámenes'!$F$5:$F$1000, MATCH(A26&amp;"|"&amp;J26, 'Base Exámenes'!$I$5:$I$1000, 0))), ""), "")</f>
        <v>10.8</v>
      </c>
      <c r="J26" s="6">
        <f>IF(F26="Completado", IF(COUNTIFS('Base Exámenes'!$C$5:$C$1000, A26, 'Base Exámenes'!$G$5:$G$1000, "&lt;&gt;")=0, "", _xlfn.MAXIFS('Base Exámenes'!$G$5:$G$1000, 'Base Exámenes'!$C$5:$C$1000, A26)), "")</f>
        <v>90</v>
      </c>
      <c r="K26" s="6" t="str">
        <f>IF(F26="Completado", IFERROR(IF(INDEX('Base Exámenes'!$H$5:$H$1000, MATCH(A26&amp;"|"&amp;J26, 'Base Exámenes'!$I$5:$I$1000, 0))="", "", INDEX('Base Exámenes'!$H$5:$H$1000, MATCH(A26&amp;"|"&amp;J26, 'Base Exámenes'!$I$5:$I$1000, 0))), ""), "")</f>
        <v>anonymous</v>
      </c>
      <c r="L26" s="22">
        <f>IF($A26="","",COUNTIF('Base Exámenes'!$C$5:$C$1000, A26))</f>
        <v>1</v>
      </c>
      <c r="M26" s="6" t="str">
        <f>IF($A26="","",IF(COUNTIF('Base Exámenes'!$C$5:$C$1000, A26)&gt;0, "", TRIM('Base Oficial'!H26)))</f>
        <v/>
      </c>
    </row>
    <row r="27">
      <c r="A27" s="4" t="str">
        <f>IF('Base Oficial'!A27="","",TRIM('Base Oficial'!A27))</f>
        <v>222</v>
      </c>
      <c r="B27" s="6" t="str">
        <f>IF($A27="","",TRIM('Base Oficial'!B27))</f>
        <v>MARIA GUADALUPE MARTINEZ MURCIA</v>
      </c>
      <c r="C27" s="6" t="str">
        <f>IF($A27="","",TRIM('Base Oficial'!F27))</f>
        <v>DEPARTAMENTO DE SERVICIOS GENERALES</v>
      </c>
      <c r="D27" s="6" t="str">
        <f>IF($A27="","",TRIM('Base Oficial'!G27))</f>
        <v>Gerencia Administrativa</v>
      </c>
      <c r="E27" s="6" t="str">
        <f>IF($A27="","",TRIM('Base Oficial'!D27))</f>
        <v>AUXILIAR DE COMPRAS</v>
      </c>
      <c r="F27" s="4" t="str">
        <f>IF($A27="","",IF(COUNTIF('Base Exámenes'!$C$5:$C$1000, A27)&gt;0, "Completado", IF(M27&lt;&gt;"", M27, "Pendiente")))</f>
        <v>Completado</v>
      </c>
      <c r="G27" s="11">
        <f>IF(F27="Completado", IFERROR(IF(INDEX('Base Exámenes'!$D$5:$D$1000, MATCH(A27&amp;"|"&amp;J27, 'Base Exámenes'!$I$5:$I$1000, 0))="", "", INDEX('Base Exámenes'!$D$5:$D$1000, MATCH(A27&amp;"|"&amp;J27, 'Base Exámenes'!$I$5:$I$1000, 0))), ""), "")</f>
        <v>46300.65453703704</v>
      </c>
      <c r="H27" s="11">
        <f>IF(F27="Completado", IFERROR(IF(INDEX('Base Exámenes'!$E$5:$E$1000, MATCH(A27&amp;"|"&amp;J27, 'Base Exámenes'!$I$5:$I$1000, 0))="", "", INDEX('Base Exámenes'!$E$5:$E$1000, MATCH(A27&amp;"|"&amp;J27, 'Base Exámenes'!$I$5:$I$1000, 0))), ""), "")</f>
        <v>46300.665671296294</v>
      </c>
      <c r="I27" s="10">
        <f>IF(F27="Completado", IFERROR(IF(INDEX('Base Exámenes'!$F$5:$F$1000, MATCH(A27&amp;"|"&amp;J27, 'Base Exámenes'!$I$5:$I$1000, 0))="", "", INDEX('Base Exámenes'!$F$5:$F$1000, MATCH(A27&amp;"|"&amp;J27, 'Base Exámenes'!$I$5:$I$1000, 0))), ""), "")</f>
        <v>16.0333333333333</v>
      </c>
      <c r="J27" s="6">
        <f>IF(F27="Completado", IF(COUNTIFS('Base Exámenes'!$C$5:$C$1000, A27, 'Base Exámenes'!$G$5:$G$1000, "&lt;&gt;")=0, "", _xlfn.MAXIFS('Base Exámenes'!$G$5:$G$1000, 'Base Exámenes'!$C$5:$C$1000, A27)), "")</f>
        <v>100</v>
      </c>
      <c r="K27" s="6" t="str">
        <f>IF(F27="Completado", IFERROR(IF(INDEX('Base Exámenes'!$H$5:$H$1000, MATCH(A27&amp;"|"&amp;J27, 'Base Exámenes'!$I$5:$I$1000, 0))="", "", INDEX('Base Exámenes'!$H$5:$H$1000, MATCH(A27&amp;"|"&amp;J27, 'Base Exámenes'!$I$5:$I$1000, 0))), ""), "")</f>
        <v>anonymous</v>
      </c>
      <c r="L27" s="22">
        <f>IF($A27="","",COUNTIF('Base Exámenes'!$C$5:$C$1000, A27))</f>
        <v>1</v>
      </c>
      <c r="M27" s="6" t="str">
        <f>IF($A27="","",IF(COUNTIF('Base Exámenes'!$C$5:$C$1000, A27)&gt;0, "", TRIM('Base Oficial'!H27)))</f>
        <v/>
      </c>
    </row>
    <row r="28">
      <c r="A28" s="4" t="str">
        <f>IF('Base Oficial'!A28="","",TRIM('Base Oficial'!A28))</f>
        <v>224</v>
      </c>
      <c r="B28" s="6" t="str">
        <f>IF($A28="","",TRIM('Base Oficial'!B28))</f>
        <v>JESUS REYES GUZMAN FUENTES</v>
      </c>
      <c r="C28" s="6" t="str">
        <f>IF($A28="","",TRIM('Base Oficial'!F28))</f>
        <v>DEPARTAMENTO DE SERVICIOS GENERALES</v>
      </c>
      <c r="D28" s="6" t="str">
        <f>IF($A28="","",TRIM('Base Oficial'!G28))</f>
        <v>Gerencia Administrativa</v>
      </c>
      <c r="E28" s="6" t="str">
        <f>IF($A28="","",TRIM('Base Oficial'!D28))</f>
        <v>MENSAJERO</v>
      </c>
      <c r="F28" s="4" t="str">
        <f>IF($A28="","",IF(COUNTIF('Base Exámenes'!$C$5:$C$1000, A28)&gt;0, "Completado", IF(M28&lt;&gt;"", M28, "Pendiente")))</f>
        <v>Completado</v>
      </c>
      <c r="G28" s="11">
        <f>IF(F28="Completado", IFERROR(IF(INDEX('Base Exámenes'!$D$5:$D$1000, MATCH(A28&amp;"|"&amp;J28, 'Base Exámenes'!$I$5:$I$1000, 0))="", "", INDEX('Base Exámenes'!$D$5:$D$1000, MATCH(A28&amp;"|"&amp;J28, 'Base Exámenes'!$I$5:$I$1000, 0))), ""), "")</f>
        <v>46297.834652777776</v>
      </c>
      <c r="H28" s="11">
        <f>IF(F28="Completado", IFERROR(IF(INDEX('Base Exámenes'!$E$5:$E$1000, MATCH(A28&amp;"|"&amp;J28, 'Base Exámenes'!$I$5:$I$1000, 0))="", "", INDEX('Base Exámenes'!$E$5:$E$1000, MATCH(A28&amp;"|"&amp;J28, 'Base Exámenes'!$I$5:$I$1000, 0))), ""), "")</f>
        <v>46297.84905092593</v>
      </c>
      <c r="I28" s="10">
        <f>IF(F28="Completado", IFERROR(IF(INDEX('Base Exámenes'!$F$5:$F$1000, MATCH(A28&amp;"|"&amp;J28, 'Base Exámenes'!$I$5:$I$1000, 0))="", "", INDEX('Base Exámenes'!$F$5:$F$1000, MATCH(A28&amp;"|"&amp;J28, 'Base Exámenes'!$I$5:$I$1000, 0))), ""), "")</f>
        <v>20.7333333333333</v>
      </c>
      <c r="J28" s="6">
        <f>IF(F28="Completado", IF(COUNTIFS('Base Exámenes'!$C$5:$C$1000, A28, 'Base Exámenes'!$G$5:$G$1000, "&lt;&gt;")=0, "", _xlfn.MAXIFS('Base Exámenes'!$G$5:$G$1000, 'Base Exámenes'!$C$5:$C$1000, A28)), "")</f>
        <v>80</v>
      </c>
      <c r="K28" s="6" t="str">
        <f>IF(F28="Completado", IFERROR(IF(INDEX('Base Exámenes'!$H$5:$H$1000, MATCH(A28&amp;"|"&amp;J28, 'Base Exámenes'!$I$5:$I$1000, 0))="", "", INDEX('Base Exámenes'!$H$5:$H$1000, MATCH(A28&amp;"|"&amp;J28, 'Base Exámenes'!$I$5:$I$1000, 0))), ""), "")</f>
        <v>anonymous</v>
      </c>
      <c r="L28" s="22">
        <f>IF($A28="","",COUNTIF('Base Exámenes'!$C$5:$C$1000, A28))</f>
        <v>1</v>
      </c>
      <c r="M28" s="6" t="str">
        <f>IF($A28="","",IF(COUNTIF('Base Exámenes'!$C$5:$C$1000, A28)&gt;0, "", TRIM('Base Oficial'!H28)))</f>
        <v/>
      </c>
    </row>
    <row r="29">
      <c r="A29" s="4" t="str">
        <f>IF('Base Oficial'!A29="","",TRIM('Base Oficial'!A29))</f>
        <v>387</v>
      </c>
      <c r="B29" s="6" t="str">
        <f>IF($A29="","",TRIM('Base Oficial'!B29))</f>
        <v>CELINA CECILIA ANZORA BERNAL</v>
      </c>
      <c r="C29" s="6" t="str">
        <f>IF($A29="","",TRIM('Base Oficial'!F29))</f>
        <v>DEPARTAMENTO DE SERVICIOS GENERALES</v>
      </c>
      <c r="D29" s="6" t="str">
        <f>IF($A29="","",TRIM('Base Oficial'!G29))</f>
        <v>Gerencia Administrativa</v>
      </c>
      <c r="E29" s="6" t="str">
        <f>IF($A29="","",TRIM('Base Oficial'!D29))</f>
        <v>SERVICIOS VARIOS</v>
      </c>
      <c r="F29" s="4" t="str">
        <f>IF($A29="","",IF(COUNTIF('Base Exámenes'!$C$5:$C$1000, A29)&gt;0, "Completado", IF(M29&lt;&gt;"", M29, "Pendiente")))</f>
        <v>Completado</v>
      </c>
      <c r="G29" s="11">
        <f>IF(F29="Completado", IFERROR(IF(INDEX('Base Exámenes'!$D$5:$D$1000, MATCH(A29&amp;"|"&amp;J29, 'Base Exámenes'!$I$5:$I$1000, 0))="", "", INDEX('Base Exámenes'!$D$5:$D$1000, MATCH(A29&amp;"|"&amp;J29, 'Base Exámenes'!$I$5:$I$1000, 0))), ""), "")</f>
        <v>46298.41678240741</v>
      </c>
      <c r="H29" s="11">
        <f>IF(F29="Completado", IFERROR(IF(INDEX('Base Exámenes'!$E$5:$E$1000, MATCH(A29&amp;"|"&amp;J29, 'Base Exámenes'!$I$5:$I$1000, 0))="", "", INDEX('Base Exámenes'!$E$5:$E$1000, MATCH(A29&amp;"|"&amp;J29, 'Base Exámenes'!$I$5:$I$1000, 0))), ""), "")</f>
        <v>46298.4184375</v>
      </c>
      <c r="I29" s="10">
        <f>IF(F29="Completado", IFERROR(IF(INDEX('Base Exámenes'!$F$5:$F$1000, MATCH(A29&amp;"|"&amp;J29, 'Base Exámenes'!$I$5:$I$1000, 0))="", "", INDEX('Base Exámenes'!$F$5:$F$1000, MATCH(A29&amp;"|"&amp;J29, 'Base Exámenes'!$I$5:$I$1000, 0))), ""), "")</f>
        <v>2.38333333333333</v>
      </c>
      <c r="J29" s="6">
        <f>IF(F29="Completado", IF(COUNTIFS('Base Exámenes'!$C$5:$C$1000, A29, 'Base Exámenes'!$G$5:$G$1000, "&lt;&gt;")=0, "", _xlfn.MAXIFS('Base Exámenes'!$G$5:$G$1000, 'Base Exámenes'!$C$5:$C$1000, A29)), "")</f>
        <v>90</v>
      </c>
      <c r="K29" s="6" t="str">
        <f>IF(F29="Completado", IFERROR(IF(INDEX('Base Exámenes'!$H$5:$H$1000, MATCH(A29&amp;"|"&amp;J29, 'Base Exámenes'!$I$5:$I$1000, 0))="", "", INDEX('Base Exámenes'!$H$5:$H$1000, MATCH(A29&amp;"|"&amp;J29, 'Base Exámenes'!$I$5:$I$1000, 0))), ""), "")</f>
        <v>anonymous</v>
      </c>
      <c r="L29" s="22">
        <f>IF($A29="","",COUNTIF('Base Exámenes'!$C$5:$C$1000, A29))</f>
        <v>1</v>
      </c>
      <c r="M29" s="6" t="str">
        <f>IF($A29="","",IF(COUNTIF('Base Exámenes'!$C$5:$C$1000, A29)&gt;0, "", TRIM('Base Oficial'!H29)))</f>
        <v/>
      </c>
    </row>
    <row r="30">
      <c r="A30" s="4" t="str">
        <f>IF('Base Oficial'!A30="","",TRIM('Base Oficial'!A30))</f>
        <v>430</v>
      </c>
      <c r="B30" s="6" t="str">
        <f>IF($A30="","",TRIM('Base Oficial'!B30))</f>
        <v>MARIO ROSALES VASQUEZ</v>
      </c>
      <c r="C30" s="6" t="str">
        <f>IF($A30="","",TRIM('Base Oficial'!F30))</f>
        <v>DEPARTAMENTO DE SERVICIOS GENERALES</v>
      </c>
      <c r="D30" s="6" t="str">
        <f>IF($A30="","",TRIM('Base Oficial'!G30))</f>
        <v>Gerencia Administrativa</v>
      </c>
      <c r="E30" s="6" t="str">
        <f>IF($A30="","",TRIM('Base Oficial'!D30))</f>
        <v>MENSAJERO</v>
      </c>
      <c r="F30" s="4" t="str">
        <f>IF($A30="","",IF(COUNTIF('Base Exámenes'!$C$5:$C$1000, A30)&gt;0, "Completado", IF(M30&lt;&gt;"", M30, "Pendiente")))</f>
        <v>Completado</v>
      </c>
      <c r="G30" s="11">
        <f>IF(F30="Completado", IFERROR(IF(INDEX('Base Exámenes'!$D$5:$D$1000, MATCH(A30&amp;"|"&amp;J30, 'Base Exámenes'!$I$5:$I$1000, 0))="", "", INDEX('Base Exámenes'!$D$5:$D$1000, MATCH(A30&amp;"|"&amp;J30, 'Base Exámenes'!$I$5:$I$1000, 0))), ""), "")</f>
        <v>46300.399930555555</v>
      </c>
      <c r="H30" s="11">
        <f>IF(F30="Completado", IFERROR(IF(INDEX('Base Exámenes'!$E$5:$E$1000, MATCH(A30&amp;"|"&amp;J30, 'Base Exámenes'!$I$5:$I$1000, 0))="", "", INDEX('Base Exámenes'!$E$5:$E$1000, MATCH(A30&amp;"|"&amp;J30, 'Base Exámenes'!$I$5:$I$1000, 0))), ""), "")</f>
        <v>46300.40560185185</v>
      </c>
      <c r="I30" s="10">
        <f>IF(F30="Completado", IFERROR(IF(INDEX('Base Exámenes'!$F$5:$F$1000, MATCH(A30&amp;"|"&amp;J30, 'Base Exámenes'!$I$5:$I$1000, 0))="", "", INDEX('Base Exámenes'!$F$5:$F$1000, MATCH(A30&amp;"|"&amp;J30, 'Base Exámenes'!$I$5:$I$1000, 0))), ""), "")</f>
        <v>8.16666666666667</v>
      </c>
      <c r="J30" s="6">
        <f>IF(F30="Completado", IF(COUNTIFS('Base Exámenes'!$C$5:$C$1000, A30, 'Base Exámenes'!$G$5:$G$1000, "&lt;&gt;")=0, "", _xlfn.MAXIFS('Base Exámenes'!$G$5:$G$1000, 'Base Exámenes'!$C$5:$C$1000, A30)), "")</f>
        <v>100</v>
      </c>
      <c r="K30" s="6" t="str">
        <f>IF(F30="Completado", IFERROR(IF(INDEX('Base Exámenes'!$H$5:$H$1000, MATCH(A30&amp;"|"&amp;J30, 'Base Exámenes'!$I$5:$I$1000, 0))="", "", INDEX('Base Exámenes'!$H$5:$H$1000, MATCH(A30&amp;"|"&amp;J30, 'Base Exámenes'!$I$5:$I$1000, 0))), ""), "")</f>
        <v>anonymous</v>
      </c>
      <c r="L30" s="22">
        <f>IF($A30="","",COUNTIF('Base Exámenes'!$C$5:$C$1000, A30))</f>
        <v>2</v>
      </c>
      <c r="M30" s="6" t="str">
        <f>IF($A30="","",IF(COUNTIF('Base Exámenes'!$C$5:$C$1000, A30)&gt;0, "", TRIM('Base Oficial'!H30)))</f>
        <v/>
      </c>
    </row>
    <row r="31">
      <c r="A31" s="4" t="str">
        <f>IF('Base Oficial'!A31="","",TRIM('Base Oficial'!A31))</f>
        <v>436</v>
      </c>
      <c r="B31" s="6" t="str">
        <f>IF($A31="","",TRIM('Base Oficial'!B31))</f>
        <v>MAURICIO ANTONIO RAMIREZ PEREZ</v>
      </c>
      <c r="C31" s="6" t="str">
        <f>IF($A31="","",TRIM('Base Oficial'!F31))</f>
        <v>DEPARTAMENTO DE SERVICIOS GENERALES</v>
      </c>
      <c r="D31" s="6" t="str">
        <f>IF($A31="","",TRIM('Base Oficial'!G31))</f>
        <v>Gerencia Administrativa</v>
      </c>
      <c r="E31" s="6" t="str">
        <f>IF($A31="","",TRIM('Base Oficial'!D31))</f>
        <v>AUXILIAR DE MANTENIMIENTO</v>
      </c>
      <c r="F31" s="4" t="str">
        <f>IF($A31="","",IF(COUNTIF('Base Exámenes'!$C$5:$C$1000, A31)&gt;0, "Completado", IF(M31&lt;&gt;"", M31, "Pendiente")))</f>
        <v>Completado</v>
      </c>
      <c r="G31" s="11">
        <f>IF(F31="Completado", IFERROR(IF(INDEX('Base Exámenes'!$D$5:$D$1000, MATCH(A31&amp;"|"&amp;J31, 'Base Exámenes'!$I$5:$I$1000, 0))="", "", INDEX('Base Exámenes'!$D$5:$D$1000, MATCH(A31&amp;"|"&amp;J31, 'Base Exámenes'!$I$5:$I$1000, 0))), ""), "")</f>
        <v>46306.42859953704</v>
      </c>
      <c r="H31" s="11">
        <f>IF(F31="Completado", IFERROR(IF(INDEX('Base Exámenes'!$E$5:$E$1000, MATCH(A31&amp;"|"&amp;J31, 'Base Exámenes'!$I$5:$I$1000, 0))="", "", INDEX('Base Exámenes'!$E$5:$E$1000, MATCH(A31&amp;"|"&amp;J31, 'Base Exámenes'!$I$5:$I$1000, 0))), ""), "")</f>
        <v>46306.43788194445</v>
      </c>
      <c r="I31" s="10">
        <f>IF(F31="Completado", IFERROR(IF(INDEX('Base Exámenes'!$F$5:$F$1000, MATCH(A31&amp;"|"&amp;J31, 'Base Exámenes'!$I$5:$I$1000, 0))="", "", INDEX('Base Exámenes'!$F$5:$F$1000, MATCH(A31&amp;"|"&amp;J31, 'Base Exámenes'!$I$5:$I$1000, 0))), ""), "")</f>
        <v>13.3666666666667</v>
      </c>
      <c r="J31" s="6">
        <f>IF(F31="Completado", IF(COUNTIFS('Base Exámenes'!$C$5:$C$1000, A31, 'Base Exámenes'!$G$5:$G$1000, "&lt;&gt;")=0, "", _xlfn.MAXIFS('Base Exámenes'!$G$5:$G$1000, 'Base Exámenes'!$C$5:$C$1000, A31)), "")</f>
        <v>90</v>
      </c>
      <c r="K31" s="6" t="str">
        <f>IF(F31="Completado", IFERROR(IF(INDEX('Base Exámenes'!$H$5:$H$1000, MATCH(A31&amp;"|"&amp;J31, 'Base Exámenes'!$I$5:$I$1000, 0))="", "", INDEX('Base Exámenes'!$H$5:$H$1000, MATCH(A31&amp;"|"&amp;J31, 'Base Exámenes'!$I$5:$I$1000, 0))), ""), "")</f>
        <v>anonymous</v>
      </c>
      <c r="L31" s="22">
        <f>IF($A31="","",COUNTIF('Base Exámenes'!$C$5:$C$1000, A31))</f>
        <v>1</v>
      </c>
      <c r="M31" s="6" t="str">
        <f>IF($A31="","",IF(COUNTIF('Base Exámenes'!$C$5:$C$1000, A31)&gt;0, "", TRIM('Base Oficial'!H31)))</f>
        <v/>
      </c>
    </row>
    <row r="32">
      <c r="A32" s="4" t="str">
        <f>IF('Base Oficial'!A32="","",TRIM('Base Oficial'!A32))</f>
        <v>522</v>
      </c>
      <c r="B32" s="6" t="str">
        <f>IF($A32="","",TRIM('Base Oficial'!B32))</f>
        <v>MARGARITA GUADALUPE HENRIQUEZ ELIAS</v>
      </c>
      <c r="C32" s="6" t="str">
        <f>IF($A32="","",TRIM('Base Oficial'!F32))</f>
        <v>DEPARTAMENTO DE SERVICIOS GENERALES</v>
      </c>
      <c r="D32" s="6" t="str">
        <f>IF($A32="","",TRIM('Base Oficial'!G32))</f>
        <v>Gerencia Administrativa</v>
      </c>
      <c r="E32" s="6" t="str">
        <f>IF($A32="","",TRIM('Base Oficial'!D32))</f>
        <v>SERVICIOS VARIOS</v>
      </c>
      <c r="F32" s="4" t="str">
        <f>IF($A32="","",IF(COUNTIF('Base Exámenes'!$C$5:$C$1000, A32)&gt;0, "Completado", IF(M32&lt;&gt;"", M32, "Pendiente")))</f>
        <v>Completado</v>
      </c>
      <c r="G32" s="11">
        <f>IF(F32="Completado", IFERROR(IF(INDEX('Base Exámenes'!$D$5:$D$1000, MATCH(A32&amp;"|"&amp;J32, 'Base Exámenes'!$I$5:$I$1000, 0))="", "", INDEX('Base Exámenes'!$D$5:$D$1000, MATCH(A32&amp;"|"&amp;J32, 'Base Exámenes'!$I$5:$I$1000, 0))), ""), "")</f>
        <v>46297.84774305556</v>
      </c>
      <c r="H32" s="11">
        <f>IF(F32="Completado", IFERROR(IF(INDEX('Base Exámenes'!$E$5:$E$1000, MATCH(A32&amp;"|"&amp;J32, 'Base Exámenes'!$I$5:$I$1000, 0))="", "", INDEX('Base Exámenes'!$E$5:$E$1000, MATCH(A32&amp;"|"&amp;J32, 'Base Exámenes'!$I$5:$I$1000, 0))), ""), "")</f>
        <v>46297.85355324074</v>
      </c>
      <c r="I32" s="10">
        <f>IF(F32="Completado", IFERROR(IF(INDEX('Base Exámenes'!$F$5:$F$1000, MATCH(A32&amp;"|"&amp;J32, 'Base Exámenes'!$I$5:$I$1000, 0))="", "", INDEX('Base Exámenes'!$F$5:$F$1000, MATCH(A32&amp;"|"&amp;J32, 'Base Exámenes'!$I$5:$I$1000, 0))), ""), "")</f>
        <v>8.36666666666667</v>
      </c>
      <c r="J32" s="6">
        <f>IF(F32="Completado", IF(COUNTIFS('Base Exámenes'!$C$5:$C$1000, A32, 'Base Exámenes'!$G$5:$G$1000, "&lt;&gt;")=0, "", _xlfn.MAXIFS('Base Exámenes'!$G$5:$G$1000, 'Base Exámenes'!$C$5:$C$1000, A32)), "")</f>
        <v>85</v>
      </c>
      <c r="K32" s="6" t="str">
        <f>IF(F32="Completado", IFERROR(IF(INDEX('Base Exámenes'!$H$5:$H$1000, MATCH(A32&amp;"|"&amp;J32, 'Base Exámenes'!$I$5:$I$1000, 0))="", "", INDEX('Base Exámenes'!$H$5:$H$1000, MATCH(A32&amp;"|"&amp;J32, 'Base Exámenes'!$I$5:$I$1000, 0))), ""), "")</f>
        <v>anonymous</v>
      </c>
      <c r="L32" s="22">
        <f>IF($A32="","",COUNTIF('Base Exámenes'!$C$5:$C$1000, A32))</f>
        <v>1</v>
      </c>
      <c r="M32" s="6" t="str">
        <f>IF($A32="","",IF(COUNTIF('Base Exámenes'!$C$5:$C$1000, A32)&gt;0, "", TRIM('Base Oficial'!H32)))</f>
        <v/>
      </c>
    </row>
    <row r="33">
      <c r="A33" s="4" t="str">
        <f>IF('Base Oficial'!A33="","",TRIM('Base Oficial'!A33))</f>
        <v>587</v>
      </c>
      <c r="B33" s="6" t="str">
        <f>IF($A33="","",TRIM('Base Oficial'!B33))</f>
        <v>JOSE ROSALIO GARCIA SOTO</v>
      </c>
      <c r="C33" s="6" t="str">
        <f>IF($A33="","",TRIM('Base Oficial'!F33))</f>
        <v>DEPARTAMENTO DE SERVICIOS GENERALES</v>
      </c>
      <c r="D33" s="6" t="str">
        <f>IF($A33="","",TRIM('Base Oficial'!G33))</f>
        <v>Gerencia Administrativa</v>
      </c>
      <c r="E33" s="6" t="str">
        <f>IF($A33="","",TRIM('Base Oficial'!D33))</f>
        <v>JARDINERO</v>
      </c>
      <c r="F33" s="4" t="str">
        <f>IF($A33="","",IF(COUNTIF('Base Exámenes'!$C$5:$C$1000, A33)&gt;0, "Completado", IF(M33&lt;&gt;"", M33, "Pendiente")))</f>
        <v>Completado</v>
      </c>
      <c r="G33" s="11">
        <f>IF(F33="Completado", IFERROR(IF(INDEX('Base Exámenes'!$D$5:$D$1000, MATCH(A33&amp;"|"&amp;J33, 'Base Exámenes'!$I$5:$I$1000, 0))="", "", INDEX('Base Exámenes'!$D$5:$D$1000, MATCH(A33&amp;"|"&amp;J33, 'Base Exámenes'!$I$5:$I$1000, 0))), ""), "")</f>
        <v>46298.40037037037</v>
      </c>
      <c r="H33" s="11">
        <f>IF(F33="Completado", IFERROR(IF(INDEX('Base Exámenes'!$E$5:$E$1000, MATCH(A33&amp;"|"&amp;J33, 'Base Exámenes'!$I$5:$I$1000, 0))="", "", INDEX('Base Exámenes'!$E$5:$E$1000, MATCH(A33&amp;"|"&amp;J33, 'Base Exámenes'!$I$5:$I$1000, 0))), ""), "")</f>
        <v>46298.41559027778</v>
      </c>
      <c r="I33" s="10">
        <f>IF(F33="Completado", IFERROR(IF(INDEX('Base Exámenes'!$F$5:$F$1000, MATCH(A33&amp;"|"&amp;J33, 'Base Exámenes'!$I$5:$I$1000, 0))="", "", INDEX('Base Exámenes'!$F$5:$F$1000, MATCH(A33&amp;"|"&amp;J33, 'Base Exámenes'!$I$5:$I$1000, 0))), ""), "")</f>
        <v>21.9166666666667</v>
      </c>
      <c r="J33" s="6">
        <f>IF(F33="Completado", IF(COUNTIFS('Base Exámenes'!$C$5:$C$1000, A33, 'Base Exámenes'!$G$5:$G$1000, "&lt;&gt;")=0, "", _xlfn.MAXIFS('Base Exámenes'!$G$5:$G$1000, 'Base Exámenes'!$C$5:$C$1000, A33)), "")</f>
        <v>90</v>
      </c>
      <c r="K33" s="6" t="str">
        <f>IF(F33="Completado", IFERROR(IF(INDEX('Base Exámenes'!$H$5:$H$1000, MATCH(A33&amp;"|"&amp;J33, 'Base Exámenes'!$I$5:$I$1000, 0))="", "", INDEX('Base Exámenes'!$H$5:$H$1000, MATCH(A33&amp;"|"&amp;J33, 'Base Exámenes'!$I$5:$I$1000, 0))), ""), "")</f>
        <v>anonymous</v>
      </c>
      <c r="L33" s="22">
        <f>IF($A33="","",COUNTIF('Base Exámenes'!$C$5:$C$1000, A33))</f>
        <v>1</v>
      </c>
      <c r="M33" s="6" t="str">
        <f>IF($A33="","",IF(COUNTIF('Base Exámenes'!$C$5:$C$1000, A33)&gt;0, "", TRIM('Base Oficial'!H33)))</f>
        <v/>
      </c>
    </row>
    <row r="34">
      <c r="A34" s="4" t="str">
        <f>IF('Base Oficial'!A34="","",TRIM('Base Oficial'!A34))</f>
        <v>599</v>
      </c>
      <c r="B34" s="6" t="str">
        <f>IF($A34="","",TRIM('Base Oficial'!B34))</f>
        <v>MAIRA ELIZABETH PEREZ LEIVA</v>
      </c>
      <c r="C34" s="6" t="str">
        <f>IF($A34="","",TRIM('Base Oficial'!F34))</f>
        <v>DEPARTAMENTO DE SERVICIOS GENERALES</v>
      </c>
      <c r="D34" s="6" t="str">
        <f>IF($A34="","",TRIM('Base Oficial'!G34))</f>
        <v>Gerencia Administrativa</v>
      </c>
      <c r="E34" s="6" t="str">
        <f>IF($A34="","",TRIM('Base Oficial'!D34))</f>
        <v>JEFE DE SERVICIOS GENERALES</v>
      </c>
      <c r="F34" s="4" t="str">
        <f>IF($A34="","",IF(COUNTIF('Base Exámenes'!$C$5:$C$1000, A34)&gt;0, "Completado", IF(M34&lt;&gt;"", M34, "Pendiente")))</f>
        <v>Completado</v>
      </c>
      <c r="G34" s="11">
        <f>IF(F34="Completado", IFERROR(IF(INDEX('Base Exámenes'!$D$5:$D$1000, MATCH(A34&amp;"|"&amp;J34, 'Base Exámenes'!$I$5:$I$1000, 0))="", "", INDEX('Base Exámenes'!$D$5:$D$1000, MATCH(A34&amp;"|"&amp;J34, 'Base Exámenes'!$I$5:$I$1000, 0))), ""), "")</f>
        <v>46300.7419212963</v>
      </c>
      <c r="H34" s="11">
        <f>IF(F34="Completado", IFERROR(IF(INDEX('Base Exámenes'!$E$5:$E$1000, MATCH(A34&amp;"|"&amp;J34, 'Base Exámenes'!$I$5:$I$1000, 0))="", "", INDEX('Base Exámenes'!$E$5:$E$1000, MATCH(A34&amp;"|"&amp;J34, 'Base Exámenes'!$I$5:$I$1000, 0))), ""), "")</f>
        <v>46300.748703703706</v>
      </c>
      <c r="I34" s="10">
        <f>IF(F34="Completado", IFERROR(IF(INDEX('Base Exámenes'!$F$5:$F$1000, MATCH(A34&amp;"|"&amp;J34, 'Base Exámenes'!$I$5:$I$1000, 0))="", "", INDEX('Base Exámenes'!$F$5:$F$1000, MATCH(A34&amp;"|"&amp;J34, 'Base Exámenes'!$I$5:$I$1000, 0))), ""), "")</f>
        <v>9.76666666666667</v>
      </c>
      <c r="J34" s="6">
        <f>IF(F34="Completado", IF(COUNTIFS('Base Exámenes'!$C$5:$C$1000, A34, 'Base Exámenes'!$G$5:$G$1000, "&lt;&gt;")=0, "", _xlfn.MAXIFS('Base Exámenes'!$G$5:$G$1000, 'Base Exámenes'!$C$5:$C$1000, A34)), "")</f>
        <v>100</v>
      </c>
      <c r="K34" s="6" t="str">
        <f>IF(F34="Completado", IFERROR(IF(INDEX('Base Exámenes'!$H$5:$H$1000, MATCH(A34&amp;"|"&amp;J34, 'Base Exámenes'!$I$5:$I$1000, 0))="", "", INDEX('Base Exámenes'!$H$5:$H$1000, MATCH(A34&amp;"|"&amp;J34, 'Base Exámenes'!$I$5:$I$1000, 0))), ""), "")</f>
        <v>anonymous</v>
      </c>
      <c r="L34" s="22">
        <f>IF($A34="","",COUNTIF('Base Exámenes'!$C$5:$C$1000, A34))</f>
        <v>1</v>
      </c>
      <c r="M34" s="6" t="str">
        <f>IF($A34="","",IF(COUNTIF('Base Exámenes'!$C$5:$C$1000, A34)&gt;0, "", TRIM('Base Oficial'!H34)))</f>
        <v/>
      </c>
    </row>
    <row r="35">
      <c r="A35" s="4" t="str">
        <f>IF('Base Oficial'!A35="","",TRIM('Base Oficial'!A35))</f>
        <v>684</v>
      </c>
      <c r="B35" s="6" t="str">
        <f>IF($A35="","",TRIM('Base Oficial'!B35))</f>
        <v>ILIANA CAROLINA FLAMENCO FLORES</v>
      </c>
      <c r="C35" s="6" t="str">
        <f>IF($A35="","",TRIM('Base Oficial'!F35))</f>
        <v>DEPARTAMENTO DE SERVICIOS GENERALES</v>
      </c>
      <c r="D35" s="6" t="str">
        <f>IF($A35="","",TRIM('Base Oficial'!G35))</f>
        <v>Gerencia Administrativa</v>
      </c>
      <c r="E35" s="6" t="str">
        <f>IF($A35="","",TRIM('Base Oficial'!D35))</f>
        <v>SERVICIOS VARIOS</v>
      </c>
      <c r="F35" s="4" t="str">
        <f>IF($A35="","",IF(COUNTIF('Base Exámenes'!$C$5:$C$1000, A35)&gt;0, "Completado", IF(M35&lt;&gt;"", M35, "Pendiente")))</f>
        <v>Completado</v>
      </c>
      <c r="G35" s="11">
        <f>IF(F35="Completado", IFERROR(IF(INDEX('Base Exámenes'!$D$5:$D$1000, MATCH(A35&amp;"|"&amp;J35, 'Base Exámenes'!$I$5:$I$1000, 0))="", "", INDEX('Base Exámenes'!$D$5:$D$1000, MATCH(A35&amp;"|"&amp;J35, 'Base Exámenes'!$I$5:$I$1000, 0))), ""), "")</f>
        <v>46298.29701388889</v>
      </c>
      <c r="H35" s="11">
        <f>IF(F35="Completado", IFERROR(IF(INDEX('Base Exámenes'!$E$5:$E$1000, MATCH(A35&amp;"|"&amp;J35, 'Base Exámenes'!$I$5:$I$1000, 0))="", "", INDEX('Base Exámenes'!$E$5:$E$1000, MATCH(A35&amp;"|"&amp;J35, 'Base Exámenes'!$I$5:$I$1000, 0))), ""), "")</f>
        <v>46298.300208333334</v>
      </c>
      <c r="I35" s="10">
        <f>IF(F35="Completado", IFERROR(IF(INDEX('Base Exámenes'!$F$5:$F$1000, MATCH(A35&amp;"|"&amp;J35, 'Base Exámenes'!$I$5:$I$1000, 0))="", "", INDEX('Base Exámenes'!$F$5:$F$1000, MATCH(A35&amp;"|"&amp;J35, 'Base Exámenes'!$I$5:$I$1000, 0))), ""), "")</f>
        <v>4.6</v>
      </c>
      <c r="J35" s="6">
        <f>IF(F35="Completado", IF(COUNTIFS('Base Exámenes'!$C$5:$C$1000, A35, 'Base Exámenes'!$G$5:$G$1000, "&lt;&gt;")=0, "", _xlfn.MAXIFS('Base Exámenes'!$G$5:$G$1000, 'Base Exámenes'!$C$5:$C$1000, A35)), "")</f>
        <v>80</v>
      </c>
      <c r="K35" s="6" t="str">
        <f>IF(F35="Completado", IFERROR(IF(INDEX('Base Exámenes'!$H$5:$H$1000, MATCH(A35&amp;"|"&amp;J35, 'Base Exámenes'!$I$5:$I$1000, 0))="", "", INDEX('Base Exámenes'!$H$5:$H$1000, MATCH(A35&amp;"|"&amp;J35, 'Base Exámenes'!$I$5:$I$1000, 0))), ""), "")</f>
        <v>anonymous</v>
      </c>
      <c r="L35" s="22">
        <f>IF($A35="","",COUNTIF('Base Exámenes'!$C$5:$C$1000, A35))</f>
        <v>1</v>
      </c>
      <c r="M35" s="6" t="str">
        <f>IF($A35="","",IF(COUNTIF('Base Exámenes'!$C$5:$C$1000, A35)&gt;0, "", TRIM('Base Oficial'!H35)))</f>
        <v/>
      </c>
    </row>
    <row r="36">
      <c r="A36" s="4" t="str">
        <f>IF('Base Oficial'!A36="","",TRIM('Base Oficial'!A36))</f>
        <v>803</v>
      </c>
      <c r="B36" s="6" t="str">
        <f>IF($A36="","",TRIM('Base Oficial'!B36))</f>
        <v>CHRISTIAN GEORGE FIGUEROA BLANCO</v>
      </c>
      <c r="C36" s="6" t="str">
        <f>IF($A36="","",TRIM('Base Oficial'!F36))</f>
        <v>DEPARTAMENTO DE SERVICIOS GENERALES</v>
      </c>
      <c r="D36" s="6" t="str">
        <f>IF($A36="","",TRIM('Base Oficial'!G36))</f>
        <v>Gerencia Administrativa</v>
      </c>
      <c r="E36" s="6" t="str">
        <f>IF($A36="","",TRIM('Base Oficial'!D36))</f>
        <v>MENSAJERO</v>
      </c>
      <c r="F36" s="4" t="str">
        <f>IF($A36="","",IF(COUNTIF('Base Exámenes'!$C$5:$C$1000, A36)&gt;0, "Completado", IF(M36&lt;&gt;"", M36, "Pendiente")))</f>
        <v>Completado</v>
      </c>
      <c r="G36" s="11">
        <f>IF(F36="Completado", IFERROR(IF(INDEX('Base Exámenes'!$D$5:$D$1000, MATCH(A36&amp;"|"&amp;J36, 'Base Exámenes'!$I$5:$I$1000, 0))="", "", INDEX('Base Exámenes'!$D$5:$D$1000, MATCH(A36&amp;"|"&amp;J36, 'Base Exámenes'!$I$5:$I$1000, 0))), ""), "")</f>
        <v>46300.70214120371</v>
      </c>
      <c r="H36" s="11">
        <f>IF(F36="Completado", IFERROR(IF(INDEX('Base Exámenes'!$E$5:$E$1000, MATCH(A36&amp;"|"&amp;J36, 'Base Exámenes'!$I$5:$I$1000, 0))="", "", INDEX('Base Exámenes'!$E$5:$E$1000, MATCH(A36&amp;"|"&amp;J36, 'Base Exámenes'!$I$5:$I$1000, 0))), ""), "")</f>
        <v>46300.70883101852</v>
      </c>
      <c r="I36" s="10">
        <f>IF(F36="Completado", IFERROR(IF(INDEX('Base Exámenes'!$F$5:$F$1000, MATCH(A36&amp;"|"&amp;J36, 'Base Exámenes'!$I$5:$I$1000, 0))="", "", INDEX('Base Exámenes'!$F$5:$F$1000, MATCH(A36&amp;"|"&amp;J36, 'Base Exámenes'!$I$5:$I$1000, 0))), ""), "")</f>
        <v>9.63333333333333</v>
      </c>
      <c r="J36" s="6">
        <f>IF(F36="Completado", IF(COUNTIFS('Base Exámenes'!$C$5:$C$1000, A36, 'Base Exámenes'!$G$5:$G$1000, "&lt;&gt;")=0, "", _xlfn.MAXIFS('Base Exámenes'!$G$5:$G$1000, 'Base Exámenes'!$C$5:$C$1000, A36)), "")</f>
        <v>60</v>
      </c>
      <c r="K36" s="6" t="str">
        <f>IF(F36="Completado", IFERROR(IF(INDEX('Base Exámenes'!$H$5:$H$1000, MATCH(A36&amp;"|"&amp;J36, 'Base Exámenes'!$I$5:$I$1000, 0))="", "", INDEX('Base Exámenes'!$H$5:$H$1000, MATCH(A36&amp;"|"&amp;J36, 'Base Exámenes'!$I$5:$I$1000, 0))), ""), "")</f>
        <v>anonymous</v>
      </c>
      <c r="L36" s="22">
        <f>IF($A36="","",COUNTIF('Base Exámenes'!$C$5:$C$1000, A36))</f>
        <v>1</v>
      </c>
      <c r="M36" s="6" t="str">
        <f>IF($A36="","",IF(COUNTIF('Base Exámenes'!$C$5:$C$1000, A36)&gt;0, "", TRIM('Base Oficial'!H36)))</f>
        <v/>
      </c>
    </row>
    <row r="37">
      <c r="A37" s="4" t="str">
        <f>IF('Base Oficial'!A37="","",TRIM('Base Oficial'!A37))</f>
        <v>830</v>
      </c>
      <c r="B37" s="6" t="str">
        <f>IF($A37="","",TRIM('Base Oficial'!B37))</f>
        <v>GERMAN ALBERTO CAMPOS TORRES</v>
      </c>
      <c r="C37" s="6" t="str">
        <f>IF($A37="","",TRIM('Base Oficial'!F37))</f>
        <v>DEPARTAMENTO DE SERVICIOS GENERALES</v>
      </c>
      <c r="D37" s="6" t="str">
        <f>IF($A37="","",TRIM('Base Oficial'!G37))</f>
        <v>Gerencia Administrativa</v>
      </c>
      <c r="E37" s="6" t="str">
        <f>IF($A37="","",TRIM('Base Oficial'!D37))</f>
        <v>TECNICO EN MANTENIMIENTO</v>
      </c>
      <c r="F37" s="4" t="str">
        <f>IF($A37="","",IF(COUNTIF('Base Exámenes'!$C$5:$C$1000, A37)&gt;0, "Completado", IF(M37&lt;&gt;"", M37, "Pendiente")))</f>
        <v>Completado</v>
      </c>
      <c r="G37" s="11">
        <f>IF(F37="Completado", IFERROR(IF(INDEX('Base Exámenes'!$D$5:$D$1000, MATCH(A37&amp;"|"&amp;J37, 'Base Exámenes'!$I$5:$I$1000, 0))="", "", INDEX('Base Exámenes'!$D$5:$D$1000, MATCH(A37&amp;"|"&amp;J37, 'Base Exámenes'!$I$5:$I$1000, 0))), ""), "")</f>
        <v>46307.39894675926</v>
      </c>
      <c r="H37" s="11">
        <f>IF(F37="Completado", IFERROR(IF(INDEX('Base Exámenes'!$E$5:$E$1000, MATCH(A37&amp;"|"&amp;J37, 'Base Exámenes'!$I$5:$I$1000, 0))="", "", INDEX('Base Exámenes'!$E$5:$E$1000, MATCH(A37&amp;"|"&amp;J37, 'Base Exámenes'!$I$5:$I$1000, 0))), ""), "")</f>
        <v>46307.402291666665</v>
      </c>
      <c r="I37" s="10">
        <f>IF(F37="Completado", IFERROR(IF(INDEX('Base Exámenes'!$F$5:$F$1000, MATCH(A37&amp;"|"&amp;J37, 'Base Exámenes'!$I$5:$I$1000, 0))="", "", INDEX('Base Exámenes'!$F$5:$F$1000, MATCH(A37&amp;"|"&amp;J37, 'Base Exámenes'!$I$5:$I$1000, 0))), ""), "")</f>
        <v>4.81666666666667</v>
      </c>
      <c r="J37" s="6">
        <f>IF(F37="Completado", IF(COUNTIFS('Base Exámenes'!$C$5:$C$1000, A37, 'Base Exámenes'!$G$5:$G$1000, "&lt;&gt;")=0, "", _xlfn.MAXIFS('Base Exámenes'!$G$5:$G$1000, 'Base Exámenes'!$C$5:$C$1000, A37)), "")</f>
        <v>100</v>
      </c>
      <c r="K37" s="6" t="str">
        <f>IF(F37="Completado", IFERROR(IF(INDEX('Base Exámenes'!$H$5:$H$1000, MATCH(A37&amp;"|"&amp;J37, 'Base Exámenes'!$I$5:$I$1000, 0))="", "", INDEX('Base Exámenes'!$H$5:$H$1000, MATCH(A37&amp;"|"&amp;J37, 'Base Exámenes'!$I$5:$I$1000, 0))), ""), "")</f>
        <v>anonymous</v>
      </c>
      <c r="L37" s="22">
        <f>IF($A37="","",COUNTIF('Base Exámenes'!$C$5:$C$1000, A37))</f>
        <v>2</v>
      </c>
      <c r="M37" s="6" t="str">
        <f>IF($A37="","",IF(COUNTIF('Base Exámenes'!$C$5:$C$1000, A37)&gt;0, "", TRIM('Base Oficial'!H37)))</f>
        <v/>
      </c>
    </row>
    <row r="38">
      <c r="A38" s="4" t="str">
        <f>IF('Base Oficial'!A38="","",TRIM('Base Oficial'!A38))</f>
        <v>852</v>
      </c>
      <c r="B38" s="6" t="str">
        <f>IF($A38="","",TRIM('Base Oficial'!B38))</f>
        <v>JONATHAN ENRIQUE AQUINO SANCHEZ</v>
      </c>
      <c r="C38" s="6" t="str">
        <f>IF($A38="","",TRIM('Base Oficial'!F38))</f>
        <v>DEPARTAMENTO DE SERVICIOS GENERALES</v>
      </c>
      <c r="D38" s="6" t="str">
        <f>IF($A38="","",TRIM('Base Oficial'!G38))</f>
        <v>Gerencia Administrativa</v>
      </c>
      <c r="E38" s="6" t="str">
        <f>IF($A38="","",TRIM('Base Oficial'!D38))</f>
        <v>SERVICIOS VARIOS</v>
      </c>
      <c r="F38" s="4" t="str">
        <f>IF($A38="","",IF(COUNTIF('Base Exámenes'!$C$5:$C$1000, A38)&gt;0, "Completado", IF(M38&lt;&gt;"", M38, "Pendiente")))</f>
        <v>Completado</v>
      </c>
      <c r="G38" s="11">
        <f>IF(F38="Completado", IFERROR(IF(INDEX('Base Exámenes'!$D$5:$D$1000, MATCH(A38&amp;"|"&amp;J38, 'Base Exámenes'!$I$5:$I$1000, 0))="", "", INDEX('Base Exámenes'!$D$5:$D$1000, MATCH(A38&amp;"|"&amp;J38, 'Base Exámenes'!$I$5:$I$1000, 0))), ""), "")</f>
        <v>46300.52502314815</v>
      </c>
      <c r="H38" s="11">
        <f>IF(F38="Completado", IFERROR(IF(INDEX('Base Exámenes'!$E$5:$E$1000, MATCH(A38&amp;"|"&amp;J38, 'Base Exámenes'!$I$5:$I$1000, 0))="", "", INDEX('Base Exámenes'!$E$5:$E$1000, MATCH(A38&amp;"|"&amp;J38, 'Base Exámenes'!$I$5:$I$1000, 0))), ""), "")</f>
        <v>46300.53921296296</v>
      </c>
      <c r="I38" s="10">
        <f>IF(F38="Completado", IFERROR(IF(INDEX('Base Exámenes'!$F$5:$F$1000, MATCH(A38&amp;"|"&amp;J38, 'Base Exámenes'!$I$5:$I$1000, 0))="", "", INDEX('Base Exámenes'!$F$5:$F$1000, MATCH(A38&amp;"|"&amp;J38, 'Base Exámenes'!$I$5:$I$1000, 0))), ""), "")</f>
        <v>20.4333333333333</v>
      </c>
      <c r="J38" s="6">
        <f>IF(F38="Completado", IF(COUNTIFS('Base Exámenes'!$C$5:$C$1000, A38, 'Base Exámenes'!$G$5:$G$1000, "&lt;&gt;")=0, "", _xlfn.MAXIFS('Base Exámenes'!$G$5:$G$1000, 'Base Exámenes'!$C$5:$C$1000, A38)), "")</f>
        <v>90</v>
      </c>
      <c r="K38" s="6" t="str">
        <f>IF(F38="Completado", IFERROR(IF(INDEX('Base Exámenes'!$H$5:$H$1000, MATCH(A38&amp;"|"&amp;J38, 'Base Exámenes'!$I$5:$I$1000, 0))="", "", INDEX('Base Exámenes'!$H$5:$H$1000, MATCH(A38&amp;"|"&amp;J38, 'Base Exámenes'!$I$5:$I$1000, 0))), ""), "")</f>
        <v>anonymous</v>
      </c>
      <c r="L38" s="22">
        <f>IF($A38="","",COUNTIF('Base Exámenes'!$C$5:$C$1000, A38))</f>
        <v>1</v>
      </c>
      <c r="M38" s="6" t="str">
        <f>IF($A38="","",IF(COUNTIF('Base Exámenes'!$C$5:$C$1000, A38)&gt;0, "", TRIM('Base Oficial'!H38)))</f>
        <v/>
      </c>
    </row>
    <row r="39">
      <c r="A39" s="4" t="str">
        <f>IF('Base Oficial'!A39="","",TRIM('Base Oficial'!A39))</f>
        <v>875</v>
      </c>
      <c r="B39" s="6" t="str">
        <f>IF($A39="","",TRIM('Base Oficial'!B39))</f>
        <v>BELLY EMERSON RIVERA ASCENCIO</v>
      </c>
      <c r="C39" s="6" t="str">
        <f>IF($A39="","",TRIM('Base Oficial'!F39))</f>
        <v>DEPARTAMENTO DE SERVICIOS GENERALES</v>
      </c>
      <c r="D39" s="6" t="str">
        <f>IF($A39="","",TRIM('Base Oficial'!G39))</f>
        <v>Gerencia Administrativa</v>
      </c>
      <c r="E39" s="6" t="str">
        <f>IF($A39="","",TRIM('Base Oficial'!D39))</f>
        <v>SERVICIOS VARIOS</v>
      </c>
      <c r="F39" s="4" t="str">
        <f>IF($A39="","",IF(COUNTIF('Base Exámenes'!$C$5:$C$1000, A39)&gt;0, "Completado", IF(M39&lt;&gt;"", M39, "Pendiente")))</f>
        <v>Completado</v>
      </c>
      <c r="G39" s="11">
        <f>IF(F39="Completado", IFERROR(IF(INDEX('Base Exámenes'!$D$5:$D$1000, MATCH(A39&amp;"|"&amp;J39, 'Base Exámenes'!$I$5:$I$1000, 0))="", "", INDEX('Base Exámenes'!$D$5:$D$1000, MATCH(A39&amp;"|"&amp;J39, 'Base Exámenes'!$I$5:$I$1000, 0))), ""), "")</f>
        <v>46298.40277777778</v>
      </c>
      <c r="H39" s="11">
        <f>IF(F39="Completado", IFERROR(IF(INDEX('Base Exámenes'!$E$5:$E$1000, MATCH(A39&amp;"|"&amp;J39, 'Base Exámenes'!$I$5:$I$1000, 0))="", "", INDEX('Base Exámenes'!$E$5:$E$1000, MATCH(A39&amp;"|"&amp;J39, 'Base Exámenes'!$I$5:$I$1000, 0))), ""), "")</f>
        <v>46298.41583333333</v>
      </c>
      <c r="I39" s="10">
        <f>IF(F39="Completado", IFERROR(IF(INDEX('Base Exámenes'!$F$5:$F$1000, MATCH(A39&amp;"|"&amp;J39, 'Base Exámenes'!$I$5:$I$1000, 0))="", "", INDEX('Base Exámenes'!$F$5:$F$1000, MATCH(A39&amp;"|"&amp;J39, 'Base Exámenes'!$I$5:$I$1000, 0))), ""), "")</f>
        <v>18.8</v>
      </c>
      <c r="J39" s="6">
        <f>IF(F39="Completado", IF(COUNTIFS('Base Exámenes'!$C$5:$C$1000, A39, 'Base Exámenes'!$G$5:$G$1000, "&lt;&gt;")=0, "", _xlfn.MAXIFS('Base Exámenes'!$G$5:$G$1000, 'Base Exámenes'!$C$5:$C$1000, A39)), "")</f>
        <v>100</v>
      </c>
      <c r="K39" s="6" t="str">
        <f>IF(F39="Completado", IFERROR(IF(INDEX('Base Exámenes'!$H$5:$H$1000, MATCH(A39&amp;"|"&amp;J39, 'Base Exámenes'!$I$5:$I$1000, 0))="", "", INDEX('Base Exámenes'!$H$5:$H$1000, MATCH(A39&amp;"|"&amp;J39, 'Base Exámenes'!$I$5:$I$1000, 0))), ""), "")</f>
        <v>anonymous</v>
      </c>
      <c r="L39" s="22">
        <f>IF($A39="","",COUNTIF('Base Exámenes'!$C$5:$C$1000, A39))</f>
        <v>1</v>
      </c>
      <c r="M39" s="6" t="str">
        <f>IF($A39="","",IF(COUNTIF('Base Exámenes'!$C$5:$C$1000, A39)&gt;0, "", TRIM('Base Oficial'!H39)))</f>
        <v/>
      </c>
    </row>
    <row r="40">
      <c r="A40" s="4" t="str">
        <f>IF('Base Oficial'!A40="","",TRIM('Base Oficial'!A40))</f>
        <v>926</v>
      </c>
      <c r="B40" s="6" t="str">
        <f>IF($A40="","",TRIM('Base Oficial'!B40))</f>
        <v>ANDRES VLADIMIR LUNA GUEVARA</v>
      </c>
      <c r="C40" s="6" t="str">
        <f>IF($A40="","",TRIM('Base Oficial'!F40))</f>
        <v>DEPARTAMENTO DE SERVICIOS GENERALES</v>
      </c>
      <c r="D40" s="6" t="str">
        <f>IF($A40="","",TRIM('Base Oficial'!G40))</f>
        <v>Gerencia Administrativa</v>
      </c>
      <c r="E40" s="6" t="str">
        <f>IF($A40="","",TRIM('Base Oficial'!D40))</f>
        <v>MENSAJERO</v>
      </c>
      <c r="F40" s="4" t="str">
        <f>IF($A40="","",IF(COUNTIF('Base Exámenes'!$C$5:$C$1000, A40)&gt;0, "Completado", IF(M40&lt;&gt;"", M40, "Pendiente")))</f>
        <v>Completado</v>
      </c>
      <c r="G40" s="11">
        <f>IF(F40="Completado", IFERROR(IF(INDEX('Base Exámenes'!$D$5:$D$1000, MATCH(A40&amp;"|"&amp;J40, 'Base Exámenes'!$I$5:$I$1000, 0))="", "", INDEX('Base Exámenes'!$D$5:$D$1000, MATCH(A40&amp;"|"&amp;J40, 'Base Exámenes'!$I$5:$I$1000, 0))), ""), "")</f>
        <v>46300.60138888889</v>
      </c>
      <c r="H40" s="11">
        <f>IF(F40="Completado", IFERROR(IF(INDEX('Base Exámenes'!$E$5:$E$1000, MATCH(A40&amp;"|"&amp;J40, 'Base Exámenes'!$I$5:$I$1000, 0))="", "", INDEX('Base Exámenes'!$E$5:$E$1000, MATCH(A40&amp;"|"&amp;J40, 'Base Exámenes'!$I$5:$I$1000, 0))), ""), "")</f>
        <v>46300.60789351852</v>
      </c>
      <c r="I40" s="10">
        <f>IF(F40="Completado", IFERROR(IF(INDEX('Base Exámenes'!$F$5:$F$1000, MATCH(A40&amp;"|"&amp;J40, 'Base Exámenes'!$I$5:$I$1000, 0))="", "", INDEX('Base Exámenes'!$F$5:$F$1000, MATCH(A40&amp;"|"&amp;J40, 'Base Exámenes'!$I$5:$I$1000, 0))), ""), "")</f>
        <v>9.36666666666667</v>
      </c>
      <c r="J40" s="6">
        <f>IF(F40="Completado", IF(COUNTIFS('Base Exámenes'!$C$5:$C$1000, A40, 'Base Exámenes'!$G$5:$G$1000, "&lt;&gt;")=0, "", _xlfn.MAXIFS('Base Exámenes'!$G$5:$G$1000, 'Base Exámenes'!$C$5:$C$1000, A40)), "")</f>
        <v>90</v>
      </c>
      <c r="K40" s="6" t="str">
        <f>IF(F40="Completado", IFERROR(IF(INDEX('Base Exámenes'!$H$5:$H$1000, MATCH(A40&amp;"|"&amp;J40, 'Base Exámenes'!$I$5:$I$1000, 0))="", "", INDEX('Base Exámenes'!$H$5:$H$1000, MATCH(A40&amp;"|"&amp;J40, 'Base Exámenes'!$I$5:$I$1000, 0))), ""), "")</f>
        <v>anonymous</v>
      </c>
      <c r="L40" s="22">
        <f>IF($A40="","",COUNTIF('Base Exámenes'!$C$5:$C$1000, A40))</f>
        <v>1</v>
      </c>
      <c r="M40" s="6" t="str">
        <f>IF($A40="","",IF(COUNTIF('Base Exámenes'!$C$5:$C$1000, A40)&gt;0, "", TRIM('Base Oficial'!H40)))</f>
        <v/>
      </c>
    </row>
    <row r="41">
      <c r="A41" s="4" t="str">
        <f>IF('Base Oficial'!A41="","",TRIM('Base Oficial'!A41))</f>
        <v>959</v>
      </c>
      <c r="B41" s="6" t="str">
        <f>IF($A41="","",TRIM('Base Oficial'!B41))</f>
        <v>XIOMARA JEANNETTE ESCOBAR PORTILLO</v>
      </c>
      <c r="C41" s="6" t="str">
        <f>IF($A41="","",TRIM('Base Oficial'!F41))</f>
        <v>DEPARTAMENTO DE SERVICIOS GENERALES</v>
      </c>
      <c r="D41" s="6" t="str">
        <f>IF($A41="","",TRIM('Base Oficial'!G41))</f>
        <v>Gerencia Administrativa</v>
      </c>
      <c r="E41" s="6" t="str">
        <f>IF($A41="","",TRIM('Base Oficial'!D41))</f>
        <v>SERVICIOS VARIOS</v>
      </c>
      <c r="F41" s="4" t="str">
        <f>IF($A41="","",IF(COUNTIF('Base Exámenes'!$C$5:$C$1000, A41)&gt;0, "Completado", IF(M41&lt;&gt;"", M41, "Pendiente")))</f>
        <v>Completado</v>
      </c>
      <c r="G41" s="11">
        <f>IF(F41="Completado", IFERROR(IF(INDEX('Base Exámenes'!$D$5:$D$1000, MATCH(A41&amp;"|"&amp;J41, 'Base Exámenes'!$I$5:$I$1000, 0))="", "", INDEX('Base Exámenes'!$D$5:$D$1000, MATCH(A41&amp;"|"&amp;J41, 'Base Exámenes'!$I$5:$I$1000, 0))), ""), "")</f>
        <v>46297.771944444445</v>
      </c>
      <c r="H41" s="11">
        <f>IF(F41="Completado", IFERROR(IF(INDEX('Base Exámenes'!$E$5:$E$1000, MATCH(A41&amp;"|"&amp;J41, 'Base Exámenes'!$I$5:$I$1000, 0))="", "", INDEX('Base Exámenes'!$E$5:$E$1000, MATCH(A41&amp;"|"&amp;J41, 'Base Exámenes'!$I$5:$I$1000, 0))), ""), "")</f>
        <v>46297.78946759259</v>
      </c>
      <c r="I41" s="10">
        <f>IF(F41="Completado", IFERROR(IF(INDEX('Base Exámenes'!$F$5:$F$1000, MATCH(A41&amp;"|"&amp;J41, 'Base Exámenes'!$I$5:$I$1000, 0))="", "", INDEX('Base Exámenes'!$F$5:$F$1000, MATCH(A41&amp;"|"&amp;J41, 'Base Exámenes'!$I$5:$I$1000, 0))), ""), "")</f>
        <v>25.2333333333333</v>
      </c>
      <c r="J41" s="6">
        <f>IF(F41="Completado", IF(COUNTIFS('Base Exámenes'!$C$5:$C$1000, A41, 'Base Exámenes'!$G$5:$G$1000, "&lt;&gt;")=0, "", _xlfn.MAXIFS('Base Exámenes'!$G$5:$G$1000, 'Base Exámenes'!$C$5:$C$1000, A41)), "")</f>
        <v>90</v>
      </c>
      <c r="K41" s="6" t="str">
        <f>IF(F41="Completado", IFERROR(IF(INDEX('Base Exámenes'!$H$5:$H$1000, MATCH(A41&amp;"|"&amp;J41, 'Base Exámenes'!$I$5:$I$1000, 0))="", "", INDEX('Base Exámenes'!$H$5:$H$1000, MATCH(A41&amp;"|"&amp;J41, 'Base Exámenes'!$I$5:$I$1000, 0))), ""), "")</f>
        <v>anonymous</v>
      </c>
      <c r="L41" s="22">
        <f>IF($A41="","",COUNTIF('Base Exámenes'!$C$5:$C$1000, A41))</f>
        <v>1</v>
      </c>
      <c r="M41" s="6" t="str">
        <f>IF($A41="","",IF(COUNTIF('Base Exámenes'!$C$5:$C$1000, A41)&gt;0, "", TRIM('Base Oficial'!H41)))</f>
        <v/>
      </c>
    </row>
    <row r="42">
      <c r="A42" s="4" t="str">
        <f>IF('Base Oficial'!A42="","",TRIM('Base Oficial'!A42))</f>
        <v>972</v>
      </c>
      <c r="B42" s="6" t="str">
        <f>IF($A42="","",TRIM('Base Oficial'!B42))</f>
        <v>GEOVANNY GABRIEL RODRIGUEZ SOLORZANO</v>
      </c>
      <c r="C42" s="6" t="str">
        <f>IF($A42="","",TRIM('Base Oficial'!F42))</f>
        <v>DEPARTAMENTO DE SERVICIOS GENERALES</v>
      </c>
      <c r="D42" s="6" t="str">
        <f>IF($A42="","",TRIM('Base Oficial'!G42))</f>
        <v>Gerencia Administrativa</v>
      </c>
      <c r="E42" s="6" t="str">
        <f>IF($A42="","",TRIM('Base Oficial'!D42))</f>
        <v>AUXILIAR DE ACTIVO FIJO Y ALMACEN</v>
      </c>
      <c r="F42" s="4" t="str">
        <f>IF($A42="","",IF(COUNTIF('Base Exámenes'!$C$5:$C$1000, A42)&gt;0, "Completado", IF(M42&lt;&gt;"", M42, "Pendiente")))</f>
        <v>Completado</v>
      </c>
      <c r="G42" s="11">
        <f>IF(F42="Completado", IFERROR(IF(INDEX('Base Exámenes'!$D$5:$D$1000, MATCH(A42&amp;"|"&amp;J42, 'Base Exámenes'!$I$5:$I$1000, 0))="", "", INDEX('Base Exámenes'!$D$5:$D$1000, MATCH(A42&amp;"|"&amp;J42, 'Base Exámenes'!$I$5:$I$1000, 0))), ""), "")</f>
        <v>46304.51767361111</v>
      </c>
      <c r="H42" s="11">
        <f>IF(F42="Completado", IFERROR(IF(INDEX('Base Exámenes'!$E$5:$E$1000, MATCH(A42&amp;"|"&amp;J42, 'Base Exámenes'!$I$5:$I$1000, 0))="", "", INDEX('Base Exámenes'!$E$5:$E$1000, MATCH(A42&amp;"|"&amp;J42, 'Base Exámenes'!$I$5:$I$1000, 0))), ""), "")</f>
        <v>46304.520787037036</v>
      </c>
      <c r="I42" s="10">
        <f>IF(F42="Completado", IFERROR(IF(INDEX('Base Exámenes'!$F$5:$F$1000, MATCH(A42&amp;"|"&amp;J42, 'Base Exámenes'!$I$5:$I$1000, 0))="", "", INDEX('Base Exámenes'!$F$5:$F$1000, MATCH(A42&amp;"|"&amp;J42, 'Base Exámenes'!$I$5:$I$1000, 0))), ""), "")</f>
        <v>4.48333333333333</v>
      </c>
      <c r="J42" s="6">
        <f>IF(F42="Completado", IF(COUNTIFS('Base Exámenes'!$C$5:$C$1000, A42, 'Base Exámenes'!$G$5:$G$1000, "&lt;&gt;")=0, "", _xlfn.MAXIFS('Base Exámenes'!$G$5:$G$1000, 'Base Exámenes'!$C$5:$C$1000, A42)), "")</f>
        <v>90</v>
      </c>
      <c r="K42" s="6" t="str">
        <f>IF(F42="Completado", IFERROR(IF(INDEX('Base Exámenes'!$H$5:$H$1000, MATCH(A42&amp;"|"&amp;J42, 'Base Exámenes'!$I$5:$I$1000, 0))="", "", INDEX('Base Exámenes'!$H$5:$H$1000, MATCH(A42&amp;"|"&amp;J42, 'Base Exámenes'!$I$5:$I$1000, 0))), ""), "")</f>
        <v>anonymous</v>
      </c>
      <c r="L42" s="22">
        <f>IF($A42="","",COUNTIF('Base Exámenes'!$C$5:$C$1000, A42))</f>
        <v>1</v>
      </c>
      <c r="M42" s="6" t="str">
        <f>IF($A42="","",IF(COUNTIF('Base Exámenes'!$C$5:$C$1000, A42)&gt;0, "", TRIM('Base Oficial'!H42)))</f>
        <v/>
      </c>
    </row>
    <row r="43">
      <c r="A43" s="4" t="str">
        <f>IF('Base Oficial'!A43="","",TRIM('Base Oficial'!A43))</f>
        <v>539</v>
      </c>
      <c r="B43" s="6" t="str">
        <f>IF($A43="","",TRIM('Base Oficial'!B43))</f>
        <v>JESICA XIOMARA RAMOS PEÑA</v>
      </c>
      <c r="C43" s="6" t="str">
        <f>IF($A43="","",TRIM('Base Oficial'!F43))</f>
        <v>DEPARTAMENTO DE CUSTODIA DE GARANTÍA Y VALORES</v>
      </c>
      <c r="D43" s="6" t="str">
        <f>IF($A43="","",TRIM('Base Oficial'!G43))</f>
        <v>Gerencia Administrativa</v>
      </c>
      <c r="E43" s="6" t="str">
        <f>IF($A43="","",TRIM('Base Oficial'!D43))</f>
        <v>JEFE DE CUSTODIA DE GARANTÍA Y VALORES</v>
      </c>
      <c r="F43" s="4" t="str">
        <f>IF($A43="","",IF(COUNTIF('Base Exámenes'!$C$5:$C$1000, A43)&gt;0, "Completado", IF(M43&lt;&gt;"", M43, "Pendiente")))</f>
        <v>Completado</v>
      </c>
      <c r="G43" s="11">
        <f>IF(F43="Completado", IFERROR(IF(INDEX('Base Exámenes'!$D$5:$D$1000, MATCH(A43&amp;"|"&amp;J43, 'Base Exámenes'!$I$5:$I$1000, 0))="", "", INDEX('Base Exámenes'!$D$5:$D$1000, MATCH(A43&amp;"|"&amp;J43, 'Base Exámenes'!$I$5:$I$1000, 0))), ""), "")</f>
        <v>46304.701215277775</v>
      </c>
      <c r="H43" s="11">
        <f>IF(F43="Completado", IFERROR(IF(INDEX('Base Exámenes'!$E$5:$E$1000, MATCH(A43&amp;"|"&amp;J43, 'Base Exámenes'!$I$5:$I$1000, 0))="", "", INDEX('Base Exámenes'!$E$5:$E$1000, MATCH(A43&amp;"|"&amp;J43, 'Base Exámenes'!$I$5:$I$1000, 0))), ""), "")</f>
        <v>46304.70379629629</v>
      </c>
      <c r="I43" s="10">
        <f>IF(F43="Completado", IFERROR(IF(INDEX('Base Exámenes'!$F$5:$F$1000, MATCH(A43&amp;"|"&amp;J43, 'Base Exámenes'!$I$5:$I$1000, 0))="", "", INDEX('Base Exámenes'!$F$5:$F$1000, MATCH(A43&amp;"|"&amp;J43, 'Base Exámenes'!$I$5:$I$1000, 0))), ""), "")</f>
        <v>3.71666666666667</v>
      </c>
      <c r="J43" s="6">
        <f>IF(F43="Completado", IF(COUNTIFS('Base Exámenes'!$C$5:$C$1000, A43, 'Base Exámenes'!$G$5:$G$1000, "&lt;&gt;")=0, "", _xlfn.MAXIFS('Base Exámenes'!$G$5:$G$1000, 'Base Exámenes'!$C$5:$C$1000, A43)), "")</f>
        <v>100</v>
      </c>
      <c r="K43" s="6" t="str">
        <f>IF(F43="Completado", IFERROR(IF(INDEX('Base Exámenes'!$H$5:$H$1000, MATCH(A43&amp;"|"&amp;J43, 'Base Exámenes'!$I$5:$I$1000, 0))="", "", INDEX('Base Exámenes'!$H$5:$H$1000, MATCH(A43&amp;"|"&amp;J43, 'Base Exámenes'!$I$5:$I$1000, 0))), ""), "")</f>
        <v>anonymous</v>
      </c>
      <c r="L43" s="22">
        <f>IF($A43="","",COUNTIF('Base Exámenes'!$C$5:$C$1000, A43))</f>
        <v>1</v>
      </c>
      <c r="M43" s="6" t="str">
        <f>IF($A43="","",IF(COUNTIF('Base Exámenes'!$C$5:$C$1000, A43)&gt;0, "", TRIM('Base Oficial'!H43)))</f>
        <v/>
      </c>
    </row>
    <row r="44">
      <c r="A44" s="4" t="str">
        <f>IF('Base Oficial'!A44="","",TRIM('Base Oficial'!A44))</f>
        <v>678</v>
      </c>
      <c r="B44" s="6" t="str">
        <f>IF($A44="","",TRIM('Base Oficial'!B44))</f>
        <v>CARLOS ALBERTO VELASQUEZ ALVARADO</v>
      </c>
      <c r="C44" s="6" t="str">
        <f>IF($A44="","",TRIM('Base Oficial'!F44))</f>
        <v>DEPARTAMENTO DE CUSTODIA DE GARANTÍA Y VALORES</v>
      </c>
      <c r="D44" s="6" t="str">
        <f>IF($A44="","",TRIM('Base Oficial'!G44))</f>
        <v>Gerencia Administrativa</v>
      </c>
      <c r="E44" s="6" t="str">
        <f>IF($A44="","",TRIM('Base Oficial'!D44))</f>
        <v>ANALISTA DE ARCHIVO CENTRAL</v>
      </c>
      <c r="F44" s="4" t="str">
        <f>IF($A44="","",IF(COUNTIF('Base Exámenes'!$C$5:$C$1000, A44)&gt;0, "Completado", IF(M44&lt;&gt;"", M44, "Pendiente")))</f>
        <v>Completado</v>
      </c>
      <c r="G44" s="11">
        <f>IF(F44="Completado", IFERROR(IF(INDEX('Base Exámenes'!$D$5:$D$1000, MATCH(A44&amp;"|"&amp;J44, 'Base Exámenes'!$I$5:$I$1000, 0))="", "", INDEX('Base Exámenes'!$D$5:$D$1000, MATCH(A44&amp;"|"&amp;J44, 'Base Exámenes'!$I$5:$I$1000, 0))), ""), "")</f>
        <v>46304.416041666664</v>
      </c>
      <c r="H44" s="11">
        <f>IF(F44="Completado", IFERROR(IF(INDEX('Base Exámenes'!$E$5:$E$1000, MATCH(A44&amp;"|"&amp;J44, 'Base Exámenes'!$I$5:$I$1000, 0))="", "", INDEX('Base Exámenes'!$E$5:$E$1000, MATCH(A44&amp;"|"&amp;J44, 'Base Exámenes'!$I$5:$I$1000, 0))), ""), "")</f>
        <v>46304.422789351855</v>
      </c>
      <c r="I44" s="10">
        <f>IF(F44="Completado", IFERROR(IF(INDEX('Base Exámenes'!$F$5:$F$1000, MATCH(A44&amp;"|"&amp;J44, 'Base Exámenes'!$I$5:$I$1000, 0))="", "", INDEX('Base Exámenes'!$F$5:$F$1000, MATCH(A44&amp;"|"&amp;J44, 'Base Exámenes'!$I$5:$I$1000, 0))), ""), "")</f>
        <v>9.71666666666667</v>
      </c>
      <c r="J44" s="6">
        <f>IF(F44="Completado", IF(COUNTIFS('Base Exámenes'!$C$5:$C$1000, A44, 'Base Exámenes'!$G$5:$G$1000, "&lt;&gt;")=0, "", _xlfn.MAXIFS('Base Exámenes'!$G$5:$G$1000, 'Base Exámenes'!$C$5:$C$1000, A44)), "")</f>
        <v>100</v>
      </c>
      <c r="K44" s="6" t="str">
        <f>IF(F44="Completado", IFERROR(IF(INDEX('Base Exámenes'!$H$5:$H$1000, MATCH(A44&amp;"|"&amp;J44, 'Base Exámenes'!$I$5:$I$1000, 0))="", "", INDEX('Base Exámenes'!$H$5:$H$1000, MATCH(A44&amp;"|"&amp;J44, 'Base Exámenes'!$I$5:$I$1000, 0))), ""), "")</f>
        <v>anonymous</v>
      </c>
      <c r="L44" s="22">
        <f>IF($A44="","",COUNTIF('Base Exámenes'!$C$5:$C$1000, A44))</f>
        <v>1</v>
      </c>
      <c r="M44" s="6" t="str">
        <f>IF($A44="","",IF(COUNTIF('Base Exámenes'!$C$5:$C$1000, A44)&gt;0, "", TRIM('Base Oficial'!H44)))</f>
        <v/>
      </c>
    </row>
    <row r="45">
      <c r="A45" s="4" t="str">
        <f>IF('Base Oficial'!A45="","",TRIM('Base Oficial'!A45))</f>
        <v>740</v>
      </c>
      <c r="B45" s="6" t="str">
        <f>IF($A45="","",TRIM('Base Oficial'!B45))</f>
        <v>RAFAEL ERNESTO LOPEZ MARTINEZ</v>
      </c>
      <c r="C45" s="6" t="str">
        <f>IF($A45="","",TRIM('Base Oficial'!F45))</f>
        <v>DEPARTAMENTO DE CUSTODIA DE GARANTÍA Y VALORES</v>
      </c>
      <c r="D45" s="6" t="str">
        <f>IF($A45="","",TRIM('Base Oficial'!G45))</f>
        <v>Gerencia Administrativa</v>
      </c>
      <c r="E45" s="6" t="str">
        <f>IF($A45="","",TRIM('Base Oficial'!D45))</f>
        <v>ASISTENTE ADMINISTRATIVO CUSTODIA DE GARANTIA Y VALORES</v>
      </c>
      <c r="F45" s="4" t="str">
        <f>IF($A45="","",IF(COUNTIF('Base Exámenes'!$C$5:$C$1000, A45)&gt;0, "Completado", IF(M45&lt;&gt;"", M45, "Pendiente")))</f>
        <v>Completado</v>
      </c>
      <c r="G45" s="11">
        <f>IF(F45="Completado", IFERROR(IF(INDEX('Base Exámenes'!$D$5:$D$1000, MATCH(A45&amp;"|"&amp;J45, 'Base Exámenes'!$I$5:$I$1000, 0))="", "", INDEX('Base Exámenes'!$D$5:$D$1000, MATCH(A45&amp;"|"&amp;J45, 'Base Exámenes'!$I$5:$I$1000, 0))), ""), "")</f>
        <v>46304.68376157407</v>
      </c>
      <c r="H45" s="11">
        <f>IF(F45="Completado", IFERROR(IF(INDEX('Base Exámenes'!$E$5:$E$1000, MATCH(A45&amp;"|"&amp;J45, 'Base Exámenes'!$I$5:$I$1000, 0))="", "", INDEX('Base Exámenes'!$E$5:$E$1000, MATCH(A45&amp;"|"&amp;J45, 'Base Exámenes'!$I$5:$I$1000, 0))), ""), "")</f>
        <v>46304.685949074075</v>
      </c>
      <c r="I45" s="10">
        <f>IF(F45="Completado", IFERROR(IF(INDEX('Base Exámenes'!$F$5:$F$1000, MATCH(A45&amp;"|"&amp;J45, 'Base Exámenes'!$I$5:$I$1000, 0))="", "", INDEX('Base Exámenes'!$F$5:$F$1000, MATCH(A45&amp;"|"&amp;J45, 'Base Exámenes'!$I$5:$I$1000, 0))), ""), "")</f>
        <v>3.15</v>
      </c>
      <c r="J45" s="6">
        <f>IF(F45="Completado", IF(COUNTIFS('Base Exámenes'!$C$5:$C$1000, A45, 'Base Exámenes'!$G$5:$G$1000, "&lt;&gt;")=0, "", _xlfn.MAXIFS('Base Exámenes'!$G$5:$G$1000, 'Base Exámenes'!$C$5:$C$1000, A45)), "")</f>
        <v>100</v>
      </c>
      <c r="K45" s="6" t="str">
        <f>IF(F45="Completado", IFERROR(IF(INDEX('Base Exámenes'!$H$5:$H$1000, MATCH(A45&amp;"|"&amp;J45, 'Base Exámenes'!$I$5:$I$1000, 0))="", "", INDEX('Base Exámenes'!$H$5:$H$1000, MATCH(A45&amp;"|"&amp;J45, 'Base Exámenes'!$I$5:$I$1000, 0))), ""), "")</f>
        <v>anonymous</v>
      </c>
      <c r="L45" s="22">
        <f>IF($A45="","",COUNTIF('Base Exámenes'!$C$5:$C$1000, A45))</f>
        <v>1</v>
      </c>
      <c r="M45" s="6" t="str">
        <f>IF($A45="","",IF(COUNTIF('Base Exámenes'!$C$5:$C$1000, A45)&gt;0, "", TRIM('Base Oficial'!H45)))</f>
        <v/>
      </c>
    </row>
    <row r="46">
      <c r="A46" s="4" t="str">
        <f>IF('Base Oficial'!A46="","",TRIM('Base Oficial'!A46))</f>
        <v>934</v>
      </c>
      <c r="B46" s="6" t="str">
        <f>IF($A46="","",TRIM('Base Oficial'!B46))</f>
        <v>JOSE FRANCISCO ZECEÑA MUÑOZ</v>
      </c>
      <c r="C46" s="6" t="str">
        <f>IF($A46="","",TRIM('Base Oficial'!F46))</f>
        <v>DEPARTAMENTO DE CUSTODIA DE GARANTÍA Y VALORES</v>
      </c>
      <c r="D46" s="6" t="str">
        <f>IF($A46="","",TRIM('Base Oficial'!G46))</f>
        <v>Gerencia Administrativa</v>
      </c>
      <c r="E46" s="6" t="str">
        <f>IF($A46="","",TRIM('Base Oficial'!D46))</f>
        <v>AUXILIAR DE CUSTODIA DE VALORES</v>
      </c>
      <c r="F46" s="4" t="str">
        <f>IF($A46="","",IF(COUNTIF('Base Exámenes'!$C$5:$C$1000, A46)&gt;0, "Completado", IF(M46&lt;&gt;"", M46, "Pendiente")))</f>
        <v>Completado</v>
      </c>
      <c r="G46" s="11">
        <f>IF(F46="Completado", IFERROR(IF(INDEX('Base Exámenes'!$D$5:$D$1000, MATCH(A46&amp;"|"&amp;J46, 'Base Exámenes'!$I$5:$I$1000, 0))="", "", INDEX('Base Exámenes'!$D$5:$D$1000, MATCH(A46&amp;"|"&amp;J46, 'Base Exámenes'!$I$5:$I$1000, 0))), ""), "")</f>
        <v>46304.66388888889</v>
      </c>
      <c r="H46" s="11">
        <f>IF(F46="Completado", IFERROR(IF(INDEX('Base Exámenes'!$E$5:$E$1000, MATCH(A46&amp;"|"&amp;J46, 'Base Exámenes'!$I$5:$I$1000, 0))="", "", INDEX('Base Exámenes'!$E$5:$E$1000, MATCH(A46&amp;"|"&amp;J46, 'Base Exámenes'!$I$5:$I$1000, 0))), ""), "")</f>
        <v>46304.67644675926</v>
      </c>
      <c r="I46" s="10">
        <f>IF(F46="Completado", IFERROR(IF(INDEX('Base Exámenes'!$F$5:$F$1000, MATCH(A46&amp;"|"&amp;J46, 'Base Exámenes'!$I$5:$I$1000, 0))="", "", INDEX('Base Exámenes'!$F$5:$F$1000, MATCH(A46&amp;"|"&amp;J46, 'Base Exámenes'!$I$5:$I$1000, 0))), ""), "")</f>
        <v>18.0833333333333</v>
      </c>
      <c r="J46" s="6">
        <f>IF(F46="Completado", IF(COUNTIFS('Base Exámenes'!$C$5:$C$1000, A46, 'Base Exámenes'!$G$5:$G$1000, "&lt;&gt;")=0, "", _xlfn.MAXIFS('Base Exámenes'!$G$5:$G$1000, 'Base Exámenes'!$C$5:$C$1000, A46)), "")</f>
        <v>100</v>
      </c>
      <c r="K46" s="6" t="str">
        <f>IF(F46="Completado", IFERROR(IF(INDEX('Base Exámenes'!$H$5:$H$1000, MATCH(A46&amp;"|"&amp;J46, 'Base Exámenes'!$I$5:$I$1000, 0))="", "", INDEX('Base Exámenes'!$H$5:$H$1000, MATCH(A46&amp;"|"&amp;J46, 'Base Exámenes'!$I$5:$I$1000, 0))), ""), "")</f>
        <v>anonymous</v>
      </c>
      <c r="L46" s="22">
        <f>IF($A46="","",COUNTIF('Base Exámenes'!$C$5:$C$1000, A46))</f>
        <v>1</v>
      </c>
      <c r="M46" s="6" t="str">
        <f>IF($A46="","",IF(COUNTIF('Base Exámenes'!$C$5:$C$1000, A46)&gt;0, "", TRIM('Base Oficial'!H46)))</f>
        <v/>
      </c>
    </row>
    <row r="47">
      <c r="A47" s="4" t="str">
        <f>IF('Base Oficial'!A47="","",TRIM('Base Oficial'!A47))</f>
        <v>949</v>
      </c>
      <c r="B47" s="6" t="str">
        <f>IF($A47="","",TRIM('Base Oficial'!B47))</f>
        <v>ALEJANDRO JOSE ARGUETA CORTEZ</v>
      </c>
      <c r="C47" s="6" t="str">
        <f>IF($A47="","",TRIM('Base Oficial'!F47))</f>
        <v>DEPARTAMENTO DE CUSTODIA DE GARANTÍA Y VALORES</v>
      </c>
      <c r="D47" s="6" t="str">
        <f>IF($A47="","",TRIM('Base Oficial'!G47))</f>
        <v>Gerencia Administrativa</v>
      </c>
      <c r="E47" s="6" t="str">
        <f>IF($A47="","",TRIM('Base Oficial'!D47))</f>
        <v>AUXILIAR DE CUSTODIA DE VALORES</v>
      </c>
      <c r="F47" s="4" t="str">
        <f>IF($A47="","",IF(COUNTIF('Base Exámenes'!$C$5:$C$1000, A47)&gt;0, "Completado", IF(M47&lt;&gt;"", M47, "Pendiente")))</f>
        <v>Completado</v>
      </c>
      <c r="G47" s="11">
        <f>IF(F47="Completado", IFERROR(IF(INDEX('Base Exámenes'!$D$5:$D$1000, MATCH(A47&amp;"|"&amp;J47, 'Base Exámenes'!$I$5:$I$1000, 0))="", "", INDEX('Base Exámenes'!$D$5:$D$1000, MATCH(A47&amp;"|"&amp;J47, 'Base Exámenes'!$I$5:$I$1000, 0))), ""), "")</f>
        <v>46304.681238425925</v>
      </c>
      <c r="H47" s="11">
        <f>IF(F47="Completado", IFERROR(IF(INDEX('Base Exámenes'!$E$5:$E$1000, MATCH(A47&amp;"|"&amp;J47, 'Base Exámenes'!$I$5:$I$1000, 0))="", "", INDEX('Base Exámenes'!$E$5:$E$1000, MATCH(A47&amp;"|"&amp;J47, 'Base Exámenes'!$I$5:$I$1000, 0))), ""), "")</f>
        <v>46304.682708333334</v>
      </c>
      <c r="I47" s="10">
        <f>IF(F47="Completado", IFERROR(IF(INDEX('Base Exámenes'!$F$5:$F$1000, MATCH(A47&amp;"|"&amp;J47, 'Base Exámenes'!$I$5:$I$1000, 0))="", "", INDEX('Base Exámenes'!$F$5:$F$1000, MATCH(A47&amp;"|"&amp;J47, 'Base Exámenes'!$I$5:$I$1000, 0))), ""), "")</f>
        <v>2.11666666666667</v>
      </c>
      <c r="J47" s="6">
        <f>IF(F47="Completado", IF(COUNTIFS('Base Exámenes'!$C$5:$C$1000, A47, 'Base Exámenes'!$G$5:$G$1000, "&lt;&gt;")=0, "", _xlfn.MAXIFS('Base Exámenes'!$G$5:$G$1000, 'Base Exámenes'!$C$5:$C$1000, A47)), "")</f>
        <v>100</v>
      </c>
      <c r="K47" s="6" t="str">
        <f>IF(F47="Completado", IFERROR(IF(INDEX('Base Exámenes'!$H$5:$H$1000, MATCH(A47&amp;"|"&amp;J47, 'Base Exámenes'!$I$5:$I$1000, 0))="", "", INDEX('Base Exámenes'!$H$5:$H$1000, MATCH(A47&amp;"|"&amp;J47, 'Base Exámenes'!$I$5:$I$1000, 0))), ""), "")</f>
        <v>anonymous</v>
      </c>
      <c r="L47" s="22">
        <f>IF($A47="","",COUNTIF('Base Exámenes'!$C$5:$C$1000, A47))</f>
        <v>1</v>
      </c>
      <c r="M47" s="6" t="str">
        <f>IF($A47="","",IF(COUNTIF('Base Exámenes'!$C$5:$C$1000, A47)&gt;0, "", TRIM('Base Oficial'!H47)))</f>
        <v/>
      </c>
    </row>
    <row r="48">
      <c r="A48" s="4" t="str">
        <f>IF('Base Oficial'!A48="","",TRIM('Base Oficial'!A48))</f>
        <v>973</v>
      </c>
      <c r="B48" s="6" t="str">
        <f>IF($A48="","",TRIM('Base Oficial'!B48))</f>
        <v>HUGO ROLANDO VELASCO RIVERA</v>
      </c>
      <c r="C48" s="6" t="str">
        <f>IF($A48="","",TRIM('Base Oficial'!F48))</f>
        <v>DEPARTAMENTO DE CUSTODIA DE GARANTÍA Y VALORES</v>
      </c>
      <c r="D48" s="6" t="str">
        <f>IF($A48="","",TRIM('Base Oficial'!G48))</f>
        <v>Gerencia Administrativa</v>
      </c>
      <c r="E48" s="6" t="str">
        <f>IF($A48="","",TRIM('Base Oficial'!D48))</f>
        <v>AUXILIAR DE CUSTODIA DE VALORES</v>
      </c>
      <c r="F48" s="4" t="str">
        <f>IF($A48="","",IF(COUNTIF('Base Exámenes'!$C$5:$C$1000, A48)&gt;0, "Completado", IF(M48&lt;&gt;"", M48, "Pendiente")))</f>
        <v>Completado</v>
      </c>
      <c r="G48" s="11">
        <f>IF(F48="Completado", IFERROR(IF(INDEX('Base Exámenes'!$D$5:$D$1000, MATCH(A48&amp;"|"&amp;J48, 'Base Exámenes'!$I$5:$I$1000, 0))="", "", INDEX('Base Exámenes'!$D$5:$D$1000, MATCH(A48&amp;"|"&amp;J48, 'Base Exámenes'!$I$5:$I$1000, 0))), ""), "")</f>
        <v>46298.500914351855</v>
      </c>
      <c r="H48" s="11">
        <f>IF(F48="Completado", IFERROR(IF(INDEX('Base Exámenes'!$E$5:$E$1000, MATCH(A48&amp;"|"&amp;J48, 'Base Exámenes'!$I$5:$I$1000, 0))="", "", INDEX('Base Exámenes'!$E$5:$E$1000, MATCH(A48&amp;"|"&amp;J48, 'Base Exámenes'!$I$5:$I$1000, 0))), ""), "")</f>
        <v>46298.51430555555</v>
      </c>
      <c r="I48" s="10">
        <f>IF(F48="Completado", IFERROR(IF(INDEX('Base Exámenes'!$F$5:$F$1000, MATCH(A48&amp;"|"&amp;J48, 'Base Exámenes'!$I$5:$I$1000, 0))="", "", INDEX('Base Exámenes'!$F$5:$F$1000, MATCH(A48&amp;"|"&amp;J48, 'Base Exámenes'!$I$5:$I$1000, 0))), ""), "")</f>
        <v>19.2833333333333</v>
      </c>
      <c r="J48" s="6">
        <f>IF(F48="Completado", IF(COUNTIFS('Base Exámenes'!$C$5:$C$1000, A48, 'Base Exámenes'!$G$5:$G$1000, "&lt;&gt;")=0, "", _xlfn.MAXIFS('Base Exámenes'!$G$5:$G$1000, 'Base Exámenes'!$C$5:$C$1000, A48)), "")</f>
        <v>100</v>
      </c>
      <c r="K48" s="6" t="str">
        <f>IF(F48="Completado", IFERROR(IF(INDEX('Base Exámenes'!$H$5:$H$1000, MATCH(A48&amp;"|"&amp;J48, 'Base Exámenes'!$I$5:$I$1000, 0))="", "", INDEX('Base Exámenes'!$H$5:$H$1000, MATCH(A48&amp;"|"&amp;J48, 'Base Exámenes'!$I$5:$I$1000, 0))), ""), "")</f>
        <v>anonymous</v>
      </c>
      <c r="L48" s="22">
        <f>IF($A48="","",COUNTIF('Base Exámenes'!$C$5:$C$1000, A48))</f>
        <v>1</v>
      </c>
      <c r="M48" s="6" t="str">
        <f>IF($A48="","",IF(COUNTIF('Base Exámenes'!$C$5:$C$1000, A48)&gt;0, "", TRIM('Base Oficial'!H48)))</f>
        <v/>
      </c>
    </row>
    <row r="49">
      <c r="A49" s="4" t="str">
        <f>IF('Base Oficial'!A49="","",TRIM('Base Oficial'!A49))</f>
        <v>65</v>
      </c>
      <c r="B49" s="6" t="str">
        <f>IF($A49="","",TRIM('Base Oficial'!B49))</f>
        <v>DORA ALICIA CASTILLO</v>
      </c>
      <c r="C49" s="6" t="str">
        <f>IF($A49="","",TRIM('Base Oficial'!F49))</f>
        <v>DEPARTAMENTO DE TALENTO HUMANO</v>
      </c>
      <c r="D49" s="6" t="str">
        <f>IF($A49="","",TRIM('Base Oficial'!G49))</f>
        <v>Gerencia Administrativa</v>
      </c>
      <c r="E49" s="6" t="str">
        <f>IF($A49="","",TRIM('Base Oficial'!D49))</f>
        <v>JEFE DE TALENTO HUMANO</v>
      </c>
      <c r="F49" s="4" t="str">
        <f>IF($A49="","",IF(COUNTIF('Base Exámenes'!$C$5:$C$1000, A49)&gt;0, "Completado", IF(M49&lt;&gt;"", M49, "Pendiente")))</f>
        <v>Vacaciones</v>
      </c>
      <c r="G49" s="11" t="str">
        <f>IF(F49="Completado", IFERROR(IF(INDEX('Base Exámenes'!$D$5:$D$1000, MATCH(A49&amp;"|"&amp;J49, 'Base Exámenes'!$I$5:$I$1000, 0))="", "", INDEX('Base Exámenes'!$D$5:$D$1000, MATCH(A49&amp;"|"&amp;J49, 'Base Exámenes'!$I$5:$I$1000, 0))), ""), "")</f>
        <v/>
      </c>
      <c r="H49" s="11" t="str">
        <f>IF(F49="Completado", IFERROR(IF(INDEX('Base Exámenes'!$E$5:$E$1000, MATCH(A49&amp;"|"&amp;J49, 'Base Exámenes'!$I$5:$I$1000, 0))="", "", INDEX('Base Exámenes'!$E$5:$E$1000, MATCH(A49&amp;"|"&amp;J49, 'Base Exámenes'!$I$5:$I$1000, 0))), ""), "")</f>
        <v/>
      </c>
      <c r="I49" s="10" t="str">
        <f>IF(F49="Completado", IFERROR(IF(INDEX('Base Exámenes'!$F$5:$F$1000, MATCH(A49&amp;"|"&amp;J49, 'Base Exámenes'!$I$5:$I$1000, 0))="", "", INDEX('Base Exámenes'!$F$5:$F$1000, MATCH(A49&amp;"|"&amp;J49, 'Base Exámenes'!$I$5:$I$1000, 0))), ""), "")</f>
        <v/>
      </c>
      <c r="J49" s="6" t="str">
        <f>IF(F49="Completado", IF(COUNTIFS('Base Exámenes'!$C$5:$C$1000, A49, 'Base Exámenes'!$G$5:$G$1000, "&lt;&gt;")=0, "", _xlfn.MAXIFS('Base Exámenes'!$G$5:$G$1000, 'Base Exámenes'!$C$5:$C$1000, A49)), "")</f>
        <v/>
      </c>
      <c r="K49" s="6" t="str">
        <f>IF(F49="Completado", IFERROR(IF(INDEX('Base Exámenes'!$H$5:$H$1000, MATCH(A49&amp;"|"&amp;J49, 'Base Exámenes'!$I$5:$I$1000, 0))="", "", INDEX('Base Exámenes'!$H$5:$H$1000, MATCH(A49&amp;"|"&amp;J49, 'Base Exámenes'!$I$5:$I$1000, 0))), ""), "")</f>
        <v/>
      </c>
      <c r="L49" s="22">
        <f>IF($A49="","",COUNTIF('Base Exámenes'!$C$5:$C$1000, A49))</f>
        <v>0</v>
      </c>
      <c r="M49" s="6" t="str">
        <f>IF($A49="","",IF(COUNTIF('Base Exámenes'!$C$5:$C$1000, A49)&gt;0, "", TRIM('Base Oficial'!H49)))</f>
        <v>Vacaciones</v>
      </c>
    </row>
    <row r="50">
      <c r="A50" s="4" t="str">
        <f>IF('Base Oficial'!A50="","",TRIM('Base Oficial'!A50))</f>
        <v>948</v>
      </c>
      <c r="B50" s="6" t="str">
        <f>IF($A50="","",TRIM('Base Oficial'!B50))</f>
        <v>NELSON KILDER QUIJADA ECHEVERRIA</v>
      </c>
      <c r="C50" s="6" t="str">
        <f>IF($A50="","",TRIM('Base Oficial'!F50))</f>
        <v>DEPARTAMENTO DE TALENTO HUMANO</v>
      </c>
      <c r="D50" s="6" t="str">
        <f>IF($A50="","",TRIM('Base Oficial'!G50))</f>
        <v>Gerencia Administrativa</v>
      </c>
      <c r="E50" s="6" t="str">
        <f>IF($A50="","",TRIM('Base Oficial'!D50))</f>
        <v>ASISTENTE TECNICO DE TALENTO HUMANO</v>
      </c>
      <c r="F50" s="4" t="str">
        <f>IF($A50="","",IF(COUNTIF('Base Exámenes'!$C$5:$C$1000, A50)&gt;0, "Completado", IF(M50&lt;&gt;"", M50, "Pendiente")))</f>
        <v>Completado</v>
      </c>
      <c r="G50" s="11">
        <f>IF(F50="Completado", IFERROR(IF(INDEX('Base Exámenes'!$D$5:$D$1000, MATCH(A50&amp;"|"&amp;J50, 'Base Exámenes'!$I$5:$I$1000, 0))="", "", INDEX('Base Exámenes'!$D$5:$D$1000, MATCH(A50&amp;"|"&amp;J50, 'Base Exámenes'!$I$5:$I$1000, 0))), ""), "")</f>
        <v>46304.40207175926</v>
      </c>
      <c r="H50" s="11">
        <f>IF(F50="Completado", IFERROR(IF(INDEX('Base Exámenes'!$E$5:$E$1000, MATCH(A50&amp;"|"&amp;J50, 'Base Exámenes'!$I$5:$I$1000, 0))="", "", INDEX('Base Exámenes'!$E$5:$E$1000, MATCH(A50&amp;"|"&amp;J50, 'Base Exámenes'!$I$5:$I$1000, 0))), ""), "")</f>
        <v>46304.406006944446</v>
      </c>
      <c r="I50" s="10">
        <f>IF(F50="Completado", IFERROR(IF(INDEX('Base Exámenes'!$F$5:$F$1000, MATCH(A50&amp;"|"&amp;J50, 'Base Exámenes'!$I$5:$I$1000, 0))="", "", INDEX('Base Exámenes'!$F$5:$F$1000, MATCH(A50&amp;"|"&amp;J50, 'Base Exámenes'!$I$5:$I$1000, 0))), ""), "")</f>
        <v>5.66666666666667</v>
      </c>
      <c r="J50" s="6">
        <f>IF(F50="Completado", IF(COUNTIFS('Base Exámenes'!$C$5:$C$1000, A50, 'Base Exámenes'!$G$5:$G$1000, "&lt;&gt;")=0, "", _xlfn.MAXIFS('Base Exámenes'!$G$5:$G$1000, 'Base Exámenes'!$C$5:$C$1000, A50)), "")</f>
        <v>100</v>
      </c>
      <c r="K50" s="6" t="str">
        <f>IF(F50="Completado", IFERROR(IF(INDEX('Base Exámenes'!$H$5:$H$1000, MATCH(A50&amp;"|"&amp;J50, 'Base Exámenes'!$I$5:$I$1000, 0))="", "", INDEX('Base Exámenes'!$H$5:$H$1000, MATCH(A50&amp;"|"&amp;J50, 'Base Exámenes'!$I$5:$I$1000, 0))), ""), "")</f>
        <v>anonymous</v>
      </c>
      <c r="L50" s="22">
        <f>IF($A50="","",COUNTIF('Base Exámenes'!$C$5:$C$1000, A50))</f>
        <v>1</v>
      </c>
      <c r="M50" s="6" t="str">
        <f>IF($A50="","",IF(COUNTIF('Base Exámenes'!$C$5:$C$1000, A50)&gt;0, "", TRIM('Base Oficial'!H50)))</f>
        <v/>
      </c>
    </row>
    <row r="51">
      <c r="A51" s="4" t="str">
        <f>IF('Base Oficial'!A51="","",TRIM('Base Oficial'!A51))</f>
        <v>962</v>
      </c>
      <c r="B51" s="6" t="str">
        <f>IF($A51="","",TRIM('Base Oficial'!B51))</f>
        <v>HELEN GLORIBEL PLATERO SANCHEZ</v>
      </c>
      <c r="C51" s="6" t="str">
        <f>IF($A51="","",TRIM('Base Oficial'!F51))</f>
        <v>DEPARTAMENTO DE TALENTO HUMANO</v>
      </c>
      <c r="D51" s="6" t="str">
        <f>IF($A51="","",TRIM('Base Oficial'!G51))</f>
        <v>Gerencia Administrativa</v>
      </c>
      <c r="E51" s="6" t="str">
        <f>IF($A51="","",TRIM('Base Oficial'!D51))</f>
        <v>ANALISTA DE DESARROLLO ORGANIZACIONAL</v>
      </c>
      <c r="F51" s="4" t="str">
        <f>IF($A51="","",IF(COUNTIF('Base Exámenes'!$C$5:$C$1000, A51)&gt;0, "Completado", IF(M51&lt;&gt;"", M51, "Pendiente")))</f>
        <v>Completado</v>
      </c>
      <c r="G51" s="11">
        <f>IF(F51="Completado", IFERROR(IF(INDEX('Base Exámenes'!$D$5:$D$1000, MATCH(A51&amp;"|"&amp;J51, 'Base Exámenes'!$I$5:$I$1000, 0))="", "", INDEX('Base Exámenes'!$D$5:$D$1000, MATCH(A51&amp;"|"&amp;J51, 'Base Exámenes'!$I$5:$I$1000, 0))), ""), "")</f>
        <v>46304.510462962964</v>
      </c>
      <c r="H51" s="11">
        <f>IF(F51="Completado", IFERROR(IF(INDEX('Base Exámenes'!$E$5:$E$1000, MATCH(A51&amp;"|"&amp;J51, 'Base Exámenes'!$I$5:$I$1000, 0))="", "", INDEX('Base Exámenes'!$E$5:$E$1000, MATCH(A51&amp;"|"&amp;J51, 'Base Exámenes'!$I$5:$I$1000, 0))), ""), "")</f>
        <v>46304.52142361111</v>
      </c>
      <c r="I51" s="10">
        <f>IF(F51="Completado", IFERROR(IF(INDEX('Base Exámenes'!$F$5:$F$1000, MATCH(A51&amp;"|"&amp;J51, 'Base Exámenes'!$I$5:$I$1000, 0))="", "", INDEX('Base Exámenes'!$F$5:$F$1000, MATCH(A51&amp;"|"&amp;J51, 'Base Exámenes'!$I$5:$I$1000, 0))), ""), "")</f>
        <v>15.7833333333333</v>
      </c>
      <c r="J51" s="6">
        <f>IF(F51="Completado", IF(COUNTIFS('Base Exámenes'!$C$5:$C$1000, A51, 'Base Exámenes'!$G$5:$G$1000, "&lt;&gt;")=0, "", _xlfn.MAXIFS('Base Exámenes'!$G$5:$G$1000, 'Base Exámenes'!$C$5:$C$1000, A51)), "")</f>
        <v>90</v>
      </c>
      <c r="K51" s="6" t="str">
        <f>IF(F51="Completado", IFERROR(IF(INDEX('Base Exámenes'!$H$5:$H$1000, MATCH(A51&amp;"|"&amp;J51, 'Base Exámenes'!$I$5:$I$1000, 0))="", "", INDEX('Base Exámenes'!$H$5:$H$1000, MATCH(A51&amp;"|"&amp;J51, 'Base Exámenes'!$I$5:$I$1000, 0))), ""), "")</f>
        <v>anonymous</v>
      </c>
      <c r="L51" s="22">
        <f>IF($A51="","",COUNTIF('Base Exámenes'!$C$5:$C$1000, A51))</f>
        <v>1</v>
      </c>
      <c r="M51" s="6" t="str">
        <f>IF($A51="","",IF(COUNTIF('Base Exámenes'!$C$5:$C$1000, A51)&gt;0, "", TRIM('Base Oficial'!H51)))</f>
        <v/>
      </c>
    </row>
    <row r="52">
      <c r="A52" s="4" t="str">
        <f>IF('Base Oficial'!A52="","",TRIM('Base Oficial'!A52))</f>
        <v>452</v>
      </c>
      <c r="B52" s="6" t="str">
        <f>IF($A52="","",TRIM('Base Oficial'!B52))</f>
        <v>SERGIO ARTURO CALDERON SALAZAR</v>
      </c>
      <c r="C52" s="6" t="str">
        <f>IF($A52="","",TRIM('Base Oficial'!F52))</f>
        <v>DEPARTAMENTO DE SEGURIDAD</v>
      </c>
      <c r="D52" s="6" t="str">
        <f>IF($A52="","",TRIM('Base Oficial'!G52))</f>
        <v>Gerencia Administrativa</v>
      </c>
      <c r="E52" s="6" t="str">
        <f>IF($A52="","",TRIM('Base Oficial'!D52))</f>
        <v>COORDINADOR DE SEGURIDAD</v>
      </c>
      <c r="F52" s="4" t="str">
        <f>IF($A52="","",IF(COUNTIF('Base Exámenes'!$C$5:$C$1000, A52)&gt;0, "Completado", IF(M52&lt;&gt;"", M52, "Pendiente")))</f>
        <v>Completado</v>
      </c>
      <c r="G52" s="11">
        <f>IF(F52="Completado", IFERROR(IF(INDEX('Base Exámenes'!$D$5:$D$1000, MATCH(A52&amp;"|"&amp;J52, 'Base Exámenes'!$I$5:$I$1000, 0))="", "", INDEX('Base Exámenes'!$D$5:$D$1000, MATCH(A52&amp;"|"&amp;J52, 'Base Exámenes'!$I$5:$I$1000, 0))), ""), "")</f>
        <v>46296.45732638889</v>
      </c>
      <c r="H52" s="11">
        <f>IF(F52="Completado", IFERROR(IF(INDEX('Base Exámenes'!$E$5:$E$1000, MATCH(A52&amp;"|"&amp;J52, 'Base Exámenes'!$I$5:$I$1000, 0))="", "", INDEX('Base Exámenes'!$E$5:$E$1000, MATCH(A52&amp;"|"&amp;J52, 'Base Exámenes'!$I$5:$I$1000, 0))), ""), "")</f>
        <v>46296.46072916667</v>
      </c>
      <c r="I52" s="10">
        <f>IF(F52="Completado", IFERROR(IF(INDEX('Base Exámenes'!$F$5:$F$1000, MATCH(A52&amp;"|"&amp;J52, 'Base Exámenes'!$I$5:$I$1000, 0))="", "", INDEX('Base Exámenes'!$F$5:$F$1000, MATCH(A52&amp;"|"&amp;J52, 'Base Exámenes'!$I$5:$I$1000, 0))), ""), "")</f>
        <v>4.9</v>
      </c>
      <c r="J52" s="6">
        <f>IF(F52="Completado", IF(COUNTIFS('Base Exámenes'!$C$5:$C$1000, A52, 'Base Exámenes'!$G$5:$G$1000, "&lt;&gt;")=0, "", _xlfn.MAXIFS('Base Exámenes'!$G$5:$G$1000, 'Base Exámenes'!$C$5:$C$1000, A52)), "")</f>
        <v>90</v>
      </c>
      <c r="K52" s="6" t="str">
        <f>IF(F52="Completado", IFERROR(IF(INDEX('Base Exámenes'!$H$5:$H$1000, MATCH(A52&amp;"|"&amp;J52, 'Base Exámenes'!$I$5:$I$1000, 0))="", "", INDEX('Base Exámenes'!$H$5:$H$1000, MATCH(A52&amp;"|"&amp;J52, 'Base Exámenes'!$I$5:$I$1000, 0))), ""), "")</f>
        <v>anonymous</v>
      </c>
      <c r="L52" s="22">
        <f>IF($A52="","",COUNTIF('Base Exámenes'!$C$5:$C$1000, A52))</f>
        <v>1</v>
      </c>
      <c r="M52" s="6" t="str">
        <f>IF($A52="","",IF(COUNTIF('Base Exámenes'!$C$5:$C$1000, A52)&gt;0, "", TRIM('Base Oficial'!H52)))</f>
        <v/>
      </c>
    </row>
    <row r="53">
      <c r="A53" s="4" t="str">
        <f>IF('Base Oficial'!A53="","",TRIM('Base Oficial'!A53))</f>
        <v>901</v>
      </c>
      <c r="B53" s="6" t="str">
        <f>IF($A53="","",TRIM('Base Oficial'!B53))</f>
        <v>CARLOS ALEJANDRO MARAVILLA MENDEZ</v>
      </c>
      <c r="C53" s="6" t="str">
        <f>IF($A53="","",TRIM('Base Oficial'!F53))</f>
        <v>DEPARTAMENTO DE SEGURIDAD</v>
      </c>
      <c r="D53" s="6" t="str">
        <f>IF($A53="","",TRIM('Base Oficial'!G53))</f>
        <v>Gerencia Administrativa</v>
      </c>
      <c r="E53" s="6" t="str">
        <f>IF($A53="","",TRIM('Base Oficial'!D53))</f>
        <v>OPERADOR DE MONITOREO DE LOS SISTEMAS DE SEGURIDAD</v>
      </c>
      <c r="F53" s="4" t="str">
        <f>IF($A53="","",IF(COUNTIF('Base Exámenes'!$C$5:$C$1000, A53)&gt;0, "Completado", IF(M53&lt;&gt;"", M53, "Pendiente")))</f>
        <v>Completado</v>
      </c>
      <c r="G53" s="11">
        <f>IF(F53="Completado", IFERROR(IF(INDEX('Base Exámenes'!$D$5:$D$1000, MATCH(A53&amp;"|"&amp;J53, 'Base Exámenes'!$I$5:$I$1000, 0))="", "", INDEX('Base Exámenes'!$D$5:$D$1000, MATCH(A53&amp;"|"&amp;J53, 'Base Exámenes'!$I$5:$I$1000, 0))), ""), "")</f>
        <v>46296.454039351855</v>
      </c>
      <c r="H53" s="11">
        <f>IF(F53="Completado", IFERROR(IF(INDEX('Base Exámenes'!$E$5:$E$1000, MATCH(A53&amp;"|"&amp;J53, 'Base Exámenes'!$I$5:$I$1000, 0))="", "", INDEX('Base Exámenes'!$E$5:$E$1000, MATCH(A53&amp;"|"&amp;J53, 'Base Exámenes'!$I$5:$I$1000, 0))), ""), "")</f>
        <v>46296.45633101852</v>
      </c>
      <c r="I53" s="10">
        <f>IF(F53="Completado", IFERROR(IF(INDEX('Base Exámenes'!$F$5:$F$1000, MATCH(A53&amp;"|"&amp;J53, 'Base Exámenes'!$I$5:$I$1000, 0))="", "", INDEX('Base Exámenes'!$F$5:$F$1000, MATCH(A53&amp;"|"&amp;J53, 'Base Exámenes'!$I$5:$I$1000, 0))), ""), "")</f>
        <v>3.3</v>
      </c>
      <c r="J53" s="6">
        <f>IF(F53="Completado", IF(COUNTIFS('Base Exámenes'!$C$5:$C$1000, A53, 'Base Exámenes'!$G$5:$G$1000, "&lt;&gt;")=0, "", _xlfn.MAXIFS('Base Exámenes'!$G$5:$G$1000, 'Base Exámenes'!$C$5:$C$1000, A53)), "")</f>
        <v>100</v>
      </c>
      <c r="K53" s="6" t="str">
        <f>IF(F53="Completado", IFERROR(IF(INDEX('Base Exámenes'!$H$5:$H$1000, MATCH(A53&amp;"|"&amp;J53, 'Base Exámenes'!$I$5:$I$1000, 0))="", "", INDEX('Base Exámenes'!$H$5:$H$1000, MATCH(A53&amp;"|"&amp;J53, 'Base Exámenes'!$I$5:$I$1000, 0))), ""), "")</f>
        <v>anonymous</v>
      </c>
      <c r="L53" s="22">
        <f>IF($A53="","",COUNTIF('Base Exámenes'!$C$5:$C$1000, A53))</f>
        <v>1</v>
      </c>
      <c r="M53" s="6" t="str">
        <f>IF($A53="","",IF(COUNTIF('Base Exámenes'!$C$5:$C$1000, A53)&gt;0, "", TRIM('Base Oficial'!H53)))</f>
        <v/>
      </c>
    </row>
    <row r="54">
      <c r="A54" s="4" t="str">
        <f>IF('Base Oficial'!A54="","",TRIM('Base Oficial'!A54))</f>
        <v>590</v>
      </c>
      <c r="B54" s="6" t="str">
        <f>IF($A54="","",TRIM('Base Oficial'!B54))</f>
        <v>LORENA ELIZABETH GALDAMEZ NUÑEZ</v>
      </c>
      <c r="C54" s="6" t="str">
        <f>IF($A54="","",TRIM('Base Oficial'!F54))</f>
        <v>CLINICA EMPRESARIAL</v>
      </c>
      <c r="D54" s="6" t="str">
        <f>IF($A54="","",TRIM('Base Oficial'!G54))</f>
        <v>Gerencia Administrativa</v>
      </c>
      <c r="E54" s="6" t="str">
        <f>IF($A54="","",TRIM('Base Oficial'!D54))</f>
        <v>MEDICO</v>
      </c>
      <c r="F54" s="4" t="str">
        <f>IF($A54="","",IF(COUNTIF('Base Exámenes'!$C$5:$C$1000, A54)&gt;0, "Completado", IF(M54&lt;&gt;"", M54, "Pendiente")))</f>
        <v>Completado</v>
      </c>
      <c r="G54" s="11">
        <f>IF(F54="Completado", IFERROR(IF(INDEX('Base Exámenes'!$D$5:$D$1000, MATCH(A54&amp;"|"&amp;J54, 'Base Exámenes'!$I$5:$I$1000, 0))="", "", INDEX('Base Exámenes'!$D$5:$D$1000, MATCH(A54&amp;"|"&amp;J54, 'Base Exámenes'!$I$5:$I$1000, 0))), ""), "")</f>
        <v>46305.40681712963</v>
      </c>
      <c r="H54" s="11">
        <f>IF(F54="Completado", IFERROR(IF(INDEX('Base Exámenes'!$E$5:$E$1000, MATCH(A54&amp;"|"&amp;J54, 'Base Exámenes'!$I$5:$I$1000, 0))="", "", INDEX('Base Exámenes'!$E$5:$E$1000, MATCH(A54&amp;"|"&amp;J54, 'Base Exámenes'!$I$5:$I$1000, 0))), ""), "")</f>
        <v>46305.408738425926</v>
      </c>
      <c r="I54" s="10">
        <f>IF(F54="Completado", IFERROR(IF(INDEX('Base Exámenes'!$F$5:$F$1000, MATCH(A54&amp;"|"&amp;J54, 'Base Exámenes'!$I$5:$I$1000, 0))="", "", INDEX('Base Exámenes'!$F$5:$F$1000, MATCH(A54&amp;"|"&amp;J54, 'Base Exámenes'!$I$5:$I$1000, 0))), ""), "")</f>
        <v>2.76666666666667</v>
      </c>
      <c r="J54" s="6">
        <f>IF(F54="Completado", IF(COUNTIFS('Base Exámenes'!$C$5:$C$1000, A54, 'Base Exámenes'!$G$5:$G$1000, "&lt;&gt;")=0, "", _xlfn.MAXIFS('Base Exámenes'!$G$5:$G$1000, 'Base Exámenes'!$C$5:$C$1000, A54)), "")</f>
        <v>100</v>
      </c>
      <c r="K54" s="6" t="str">
        <f>IF(F54="Completado", IFERROR(IF(INDEX('Base Exámenes'!$H$5:$H$1000, MATCH(A54&amp;"|"&amp;J54, 'Base Exámenes'!$I$5:$I$1000, 0))="", "", INDEX('Base Exámenes'!$H$5:$H$1000, MATCH(A54&amp;"|"&amp;J54, 'Base Exámenes'!$I$5:$I$1000, 0))), ""), "")</f>
        <v>anonymous</v>
      </c>
      <c r="L54" s="22">
        <f>IF($A54="","",COUNTIF('Base Exámenes'!$C$5:$C$1000, A54))</f>
        <v>1</v>
      </c>
      <c r="M54" s="6" t="str">
        <f>IF($A54="","",IF(COUNTIF('Base Exámenes'!$C$5:$C$1000, A54)&gt;0, "", TRIM('Base Oficial'!H54)))</f>
        <v/>
      </c>
    </row>
    <row r="55">
      <c r="A55" s="4" t="str">
        <f>IF('Base Oficial'!A55="","",TRIM('Base Oficial'!A55))</f>
        <v>609</v>
      </c>
      <c r="B55" s="6" t="str">
        <f>IF($A55="","",TRIM('Base Oficial'!B55))</f>
        <v>GLADIS OSIRIS VALLE HERNANDEZ</v>
      </c>
      <c r="C55" s="6" t="str">
        <f>IF($A55="","",TRIM('Base Oficial'!F55))</f>
        <v>CLINICA EMPRESARIAL</v>
      </c>
      <c r="D55" s="6" t="str">
        <f>IF($A55="","",TRIM('Base Oficial'!G55))</f>
        <v>Gerencia Administrativa</v>
      </c>
      <c r="E55" s="6" t="str">
        <f>IF($A55="","",TRIM('Base Oficial'!D55))</f>
        <v>ENFERMERA</v>
      </c>
      <c r="F55" s="4" t="str">
        <f>IF($A55="","",IF(COUNTIF('Base Exámenes'!$C$5:$C$1000, A55)&gt;0, "Completado", IF(M55&lt;&gt;"", M55, "Pendiente")))</f>
        <v>Completado</v>
      </c>
      <c r="G55" s="11">
        <f>IF(F55="Completado", IFERROR(IF(INDEX('Base Exámenes'!$D$5:$D$1000, MATCH(A55&amp;"|"&amp;J55, 'Base Exámenes'!$I$5:$I$1000, 0))="", "", INDEX('Base Exámenes'!$D$5:$D$1000, MATCH(A55&amp;"|"&amp;J55, 'Base Exámenes'!$I$5:$I$1000, 0))), ""), "")</f>
        <v>46305.407789351855</v>
      </c>
      <c r="H55" s="11">
        <f>IF(F55="Completado", IFERROR(IF(INDEX('Base Exámenes'!$E$5:$E$1000, MATCH(A55&amp;"|"&amp;J55, 'Base Exámenes'!$I$5:$I$1000, 0))="", "", INDEX('Base Exámenes'!$E$5:$E$1000, MATCH(A55&amp;"|"&amp;J55, 'Base Exámenes'!$I$5:$I$1000, 0))), ""), "")</f>
        <v>46305.41128472222</v>
      </c>
      <c r="I55" s="10">
        <f>IF(F55="Completado", IFERROR(IF(INDEX('Base Exámenes'!$F$5:$F$1000, MATCH(A55&amp;"|"&amp;J55, 'Base Exámenes'!$I$5:$I$1000, 0))="", "", INDEX('Base Exámenes'!$F$5:$F$1000, MATCH(A55&amp;"|"&amp;J55, 'Base Exámenes'!$I$5:$I$1000, 0))), ""), "")</f>
        <v>5.0333333155</v>
      </c>
      <c r="J55" s="6">
        <f>IF(F55="Completado", IF(COUNTIFS('Base Exámenes'!$C$5:$C$1000, A55, 'Base Exámenes'!$G$5:$G$1000, "&lt;&gt;")=0, "", _xlfn.MAXIFS('Base Exámenes'!$G$5:$G$1000, 'Base Exámenes'!$C$5:$C$1000, A55)), "")</f>
        <v>100</v>
      </c>
      <c r="K55" s="6" t="str">
        <f>IF(F55="Completado", IFERROR(IF(INDEX('Base Exámenes'!$H$5:$H$1000, MATCH(A55&amp;"|"&amp;J55, 'Base Exámenes'!$I$5:$I$1000, 0))="", "", INDEX('Base Exámenes'!$H$5:$H$1000, MATCH(A55&amp;"|"&amp;J55, 'Base Exámenes'!$I$5:$I$1000, 0))), ""), "")</f>
        <v>anonymous</v>
      </c>
      <c r="L55" s="22">
        <f>IF($A55="","",COUNTIF('Base Exámenes'!$C$5:$C$1000, A55))</f>
        <v>1</v>
      </c>
      <c r="M55" s="6" t="str">
        <f>IF($A55="","",IF(COUNTIF('Base Exámenes'!$C$5:$C$1000, A55)&gt;0, "", TRIM('Base Oficial'!H55)))</f>
        <v/>
      </c>
    </row>
    <row r="56">
      <c r="A56" s="4" t="str">
        <f>IF('Base Oficial'!A56="","",TRIM('Base Oficial'!A56))</f>
        <v>847</v>
      </c>
      <c r="B56" s="6" t="str">
        <f>IF($A56="","",TRIM('Base Oficial'!B56))</f>
        <v>ZULEYMA ALEJANDRA VASQUEZ MARIN</v>
      </c>
      <c r="C56" s="6" t="str">
        <f>IF($A56="","",TRIM('Base Oficial'!F56))</f>
        <v>DEPARTAMENTO DE EDUCACION Y RESPONSABILIDAD SOCIAL</v>
      </c>
      <c r="D56" s="6" t="str">
        <f>IF($A56="","",TRIM('Base Oficial'!G56))</f>
        <v>Gerencia Administrativa</v>
      </c>
      <c r="E56" s="6" t="str">
        <f>IF($A56="","",TRIM('Base Oficial'!D56))</f>
        <v>JEFE DE EDUCACION Y RESPONSABILIDAD SOCIAL</v>
      </c>
      <c r="F56" s="4" t="str">
        <f>IF($A56="","",IF(COUNTIF('Base Exámenes'!$C$5:$C$1000, A56)&gt;0, "Completado", IF(M56&lt;&gt;"", M56, "Pendiente")))</f>
        <v>Completado</v>
      </c>
      <c r="G56" s="11">
        <f>IF(F56="Completado", IFERROR(IF(INDEX('Base Exámenes'!$D$5:$D$1000, MATCH(A56&amp;"|"&amp;J56, 'Base Exámenes'!$I$5:$I$1000, 0))="", "", INDEX('Base Exámenes'!$D$5:$D$1000, MATCH(A56&amp;"|"&amp;J56, 'Base Exámenes'!$I$5:$I$1000, 0))), ""), "")</f>
        <v>46309.73905092593</v>
      </c>
      <c r="H56" s="11">
        <f>IF(F56="Completado", IFERROR(IF(INDEX('Base Exámenes'!$E$5:$E$1000, MATCH(A56&amp;"|"&amp;J56, 'Base Exámenes'!$I$5:$I$1000, 0))="", "", INDEX('Base Exámenes'!$E$5:$E$1000, MATCH(A56&amp;"|"&amp;J56, 'Base Exámenes'!$I$5:$I$1000, 0))), ""), "")</f>
        <v>46309.741215277776</v>
      </c>
      <c r="I56" s="10">
        <f>IF(F56="Completado", IFERROR(IF(INDEX('Base Exámenes'!$F$5:$F$1000, MATCH(A56&amp;"|"&amp;J56, 'Base Exámenes'!$I$5:$I$1000, 0))="", "", INDEX('Base Exámenes'!$F$5:$F$1000, MATCH(A56&amp;"|"&amp;J56, 'Base Exámenes'!$I$5:$I$1000, 0))), ""), "")</f>
        <v>3.11666666666667</v>
      </c>
      <c r="J56" s="6">
        <f>IF(F56="Completado", IF(COUNTIFS('Base Exámenes'!$C$5:$C$1000, A56, 'Base Exámenes'!$G$5:$G$1000, "&lt;&gt;")=0, "", _xlfn.MAXIFS('Base Exámenes'!$G$5:$G$1000, 'Base Exámenes'!$C$5:$C$1000, A56)), "")</f>
        <v>100</v>
      </c>
      <c r="K56" s="6" t="str">
        <f>IF(F56="Completado", IFERROR(IF(INDEX('Base Exámenes'!$H$5:$H$1000, MATCH(A56&amp;"|"&amp;J56, 'Base Exámenes'!$I$5:$I$1000, 0))="", "", INDEX('Base Exámenes'!$H$5:$H$1000, MATCH(A56&amp;"|"&amp;J56, 'Base Exámenes'!$I$5:$I$1000, 0))), ""), "")</f>
        <v>CÓDIGO CORREGIDO: escribió 873 (pertenece a otra persona)</v>
      </c>
      <c r="L56" s="22">
        <f>IF($A56="","",COUNTIF('Base Exámenes'!$C$5:$C$1000, A56))</f>
        <v>1</v>
      </c>
      <c r="M56" s="6" t="str">
        <f>IF($A56="","",IF(COUNTIF('Base Exámenes'!$C$5:$C$1000, A56)&gt;0, "", TRIM('Base Oficial'!H56)))</f>
        <v/>
      </c>
    </row>
    <row r="57">
      <c r="A57" s="4" t="str">
        <f>IF('Base Oficial'!A57="","",TRIM('Base Oficial'!A57))</f>
        <v>853</v>
      </c>
      <c r="B57" s="6" t="str">
        <f>IF($A57="","",TRIM('Base Oficial'!B57))</f>
        <v>STEPHANIE CAROLINA MALDONADO FLORES</v>
      </c>
      <c r="C57" s="6" t="str">
        <f>IF($A57="","",TRIM('Base Oficial'!F57))</f>
        <v>DEPARTAMENTO DE EDUCACION Y RESPONSABILIDAD SOCIAL</v>
      </c>
      <c r="D57" s="6" t="str">
        <f>IF($A57="","",TRIM('Base Oficial'!G57))</f>
        <v>Gerencia Administrativa</v>
      </c>
      <c r="E57" s="6" t="str">
        <f>IF($A57="","",TRIM('Base Oficial'!D57))</f>
        <v>ASISTENTE TECNICO DEPARTAMENTO DE EDUCACION Y RESPONSABILIDA</v>
      </c>
      <c r="F57" s="4" t="str">
        <f>IF($A57="","",IF(COUNTIF('Base Exámenes'!$C$5:$C$1000, A57)&gt;0, "Completado", IF(M57&lt;&gt;"", M57, "Pendiente")))</f>
        <v>Completado</v>
      </c>
      <c r="G57" s="11">
        <f>IF(F57="Completado", IFERROR(IF(INDEX('Base Exámenes'!$D$5:$D$1000, MATCH(A57&amp;"|"&amp;J57, 'Base Exámenes'!$I$5:$I$1000, 0))="", "", INDEX('Base Exámenes'!$D$5:$D$1000, MATCH(A57&amp;"|"&amp;J57, 'Base Exámenes'!$I$5:$I$1000, 0))), ""), "")</f>
        <v>46301.62170138889</v>
      </c>
      <c r="H57" s="11">
        <f>IF(F57="Completado", IFERROR(IF(INDEX('Base Exámenes'!$E$5:$E$1000, MATCH(A57&amp;"|"&amp;J57, 'Base Exámenes'!$I$5:$I$1000, 0))="", "", INDEX('Base Exámenes'!$E$5:$E$1000, MATCH(A57&amp;"|"&amp;J57, 'Base Exámenes'!$I$5:$I$1000, 0))), ""), "")</f>
        <v>46301.64635416667</v>
      </c>
      <c r="I57" s="10">
        <f>IF(F57="Completado", IFERROR(IF(INDEX('Base Exámenes'!$F$5:$F$1000, MATCH(A57&amp;"|"&amp;J57, 'Base Exámenes'!$I$5:$I$1000, 0))="", "", INDEX('Base Exámenes'!$F$5:$F$1000, MATCH(A57&amp;"|"&amp;J57, 'Base Exámenes'!$I$5:$I$1000, 0))), ""), "")</f>
        <v>35.5</v>
      </c>
      <c r="J57" s="6">
        <f>IF(F57="Completado", IF(COUNTIFS('Base Exámenes'!$C$5:$C$1000, A57, 'Base Exámenes'!$G$5:$G$1000, "&lt;&gt;")=0, "", _xlfn.MAXIFS('Base Exámenes'!$G$5:$G$1000, 'Base Exámenes'!$C$5:$C$1000, A57)), "")</f>
        <v>100</v>
      </c>
      <c r="K57" s="6" t="str">
        <f>IF(F57="Completado", IFERROR(IF(INDEX('Base Exámenes'!$H$5:$H$1000, MATCH(A57&amp;"|"&amp;J57, 'Base Exámenes'!$I$5:$I$1000, 0))="", "", INDEX('Base Exámenes'!$H$5:$H$1000, MATCH(A57&amp;"|"&amp;J57, 'Base Exámenes'!$I$5:$I$1000, 0))), ""), "")</f>
        <v>anonymous</v>
      </c>
      <c r="L57" s="22">
        <f>IF($A57="","",COUNTIF('Base Exámenes'!$C$5:$C$1000, A57))</f>
        <v>1</v>
      </c>
      <c r="M57" s="6" t="str">
        <f>IF($A57="","",IF(COUNTIF('Base Exámenes'!$C$5:$C$1000, A57)&gt;0, "", TRIM('Base Oficial'!H57)))</f>
        <v/>
      </c>
    </row>
    <row r="58">
      <c r="A58" s="4" t="str">
        <f>IF('Base Oficial'!A58="","",TRIM('Base Oficial'!A58))</f>
        <v>919</v>
      </c>
      <c r="B58" s="6" t="str">
        <f>IF($A58="","",TRIM('Base Oficial'!B58))</f>
        <v>CARLOS EDUARDO SERVELLON PEREZ</v>
      </c>
      <c r="C58" s="6" t="str">
        <f>IF($A58="","",TRIM('Base Oficial'!F58))</f>
        <v>DEPARTAMENTO DE EDUCACION Y RESPONSABILIDAD SOCIAL</v>
      </c>
      <c r="D58" s="6" t="str">
        <f>IF($A58="","",TRIM('Base Oficial'!G58))</f>
        <v>Gerencia Administrativa</v>
      </c>
      <c r="E58" s="6" t="str">
        <f>IF($A58="","",TRIM('Base Oficial'!D58))</f>
        <v>AUXILIAR DE EDUCACION Y RESPONSABILIDAD SOCIAL</v>
      </c>
      <c r="F58" s="4" t="str">
        <f>IF($A58="","",IF(COUNTIF('Base Exámenes'!$C$5:$C$1000, A58)&gt;0, "Completado", IF(M58&lt;&gt;"", M58, "Pendiente")))</f>
        <v>Completado</v>
      </c>
      <c r="G58" s="11">
        <f>IF(F58="Completado", IFERROR(IF(INDEX('Base Exámenes'!$D$5:$D$1000, MATCH(A58&amp;"|"&amp;J58, 'Base Exámenes'!$I$5:$I$1000, 0))="", "", INDEX('Base Exámenes'!$D$5:$D$1000, MATCH(A58&amp;"|"&amp;J58, 'Base Exámenes'!$I$5:$I$1000, 0))), ""), "")</f>
        <v>46310.50890046296</v>
      </c>
      <c r="H58" s="11">
        <f>IF(F58="Completado", IFERROR(IF(INDEX('Base Exámenes'!$E$5:$E$1000, MATCH(A58&amp;"|"&amp;J58, 'Base Exámenes'!$I$5:$I$1000, 0))="", "", INDEX('Base Exámenes'!$E$5:$E$1000, MATCH(A58&amp;"|"&amp;J58, 'Base Exámenes'!$I$5:$I$1000, 0))), ""), "")</f>
        <v>46310.511469907404</v>
      </c>
      <c r="I58" s="10">
        <f>IF(F58="Completado", IFERROR(IF(INDEX('Base Exámenes'!$F$5:$F$1000, MATCH(A58&amp;"|"&amp;J58, 'Base Exámenes'!$I$5:$I$1000, 0))="", "", INDEX('Base Exámenes'!$F$5:$F$1000, MATCH(A58&amp;"|"&amp;J58, 'Base Exámenes'!$I$5:$I$1000, 0))), ""), "")</f>
        <v>3.7</v>
      </c>
      <c r="J58" s="6">
        <f>IF(F58="Completado", IF(COUNTIFS('Base Exámenes'!$C$5:$C$1000, A58, 'Base Exámenes'!$G$5:$G$1000, "&lt;&gt;")=0, "", _xlfn.MAXIFS('Base Exámenes'!$G$5:$G$1000, 'Base Exámenes'!$C$5:$C$1000, A58)), "")</f>
        <v>100</v>
      </c>
      <c r="K58" s="6" t="str">
        <f>IF(F58="Completado", IFERROR(IF(INDEX('Base Exámenes'!$H$5:$H$1000, MATCH(A58&amp;"|"&amp;J58, 'Base Exámenes'!$I$5:$I$1000, 0))="", "", INDEX('Base Exámenes'!$H$5:$H$1000, MATCH(A58&amp;"|"&amp;J58, 'Base Exámenes'!$I$5:$I$1000, 0))), ""), "")</f>
        <v>anonymous</v>
      </c>
      <c r="L58" s="22">
        <f>IF($A58="","",COUNTIF('Base Exámenes'!$C$5:$C$1000, A58))</f>
        <v>1</v>
      </c>
      <c r="M58" s="6" t="str">
        <f>IF($A58="","",IF(COUNTIF('Base Exámenes'!$C$5:$C$1000, A58)&gt;0, "", TRIM('Base Oficial'!H58)))</f>
        <v/>
      </c>
    </row>
    <row r="59">
      <c r="A59" s="4" t="str">
        <f>IF('Base Oficial'!A59="","",TRIM('Base Oficial'!A59))</f>
        <v>34</v>
      </c>
      <c r="B59" s="6" t="str">
        <f>IF($A59="","",TRIM('Base Oficial'!B59))</f>
        <v>YENIS MARILU ESCOBAR SORTO</v>
      </c>
      <c r="C59" s="6" t="str">
        <f>IF($A59="","",TRIM('Base Oficial'!F59))</f>
        <v>DEPARTAMENTO DE SOLUCIONES FINANCIERAS</v>
      </c>
      <c r="D59" s="6" t="str">
        <f>IF($A59="","",TRIM('Base Oficial'!G59))</f>
        <v>Gerencia de Operaciones</v>
      </c>
      <c r="E59" s="6" t="str">
        <f>IF($A59="","",TRIM('Base Oficial'!D59))</f>
        <v>EJECUTIVO DE SOLUCIONES FINANCIERAS</v>
      </c>
      <c r="F59" s="4" t="str">
        <f>IF($A59="","",IF(COUNTIF('Base Exámenes'!$C$5:$C$1000, A59)&gt;0, "Completado", IF(M59&lt;&gt;"", M59, "Pendiente")))</f>
        <v>Completado</v>
      </c>
      <c r="G59" s="11">
        <f>IF(F59="Completado", IFERROR(IF(INDEX('Base Exámenes'!$D$5:$D$1000, MATCH(A59&amp;"|"&amp;J59, 'Base Exámenes'!$I$5:$I$1000, 0))="", "", INDEX('Base Exámenes'!$D$5:$D$1000, MATCH(A59&amp;"|"&amp;J59, 'Base Exámenes'!$I$5:$I$1000, 0))), ""), "")</f>
        <v>46309.34978009259</v>
      </c>
      <c r="H59" s="11">
        <f>IF(F59="Completado", IFERROR(IF(INDEX('Base Exámenes'!$E$5:$E$1000, MATCH(A59&amp;"|"&amp;J59, 'Base Exámenes'!$I$5:$I$1000, 0))="", "", INDEX('Base Exámenes'!$E$5:$E$1000, MATCH(A59&amp;"|"&amp;J59, 'Base Exámenes'!$I$5:$I$1000, 0))), ""), "")</f>
        <v>46309.354155092595</v>
      </c>
      <c r="I59" s="10">
        <f>IF(F59="Completado", IFERROR(IF(INDEX('Base Exámenes'!$F$5:$F$1000, MATCH(A59&amp;"|"&amp;J59, 'Base Exámenes'!$I$5:$I$1000, 0))="", "", INDEX('Base Exámenes'!$F$5:$F$1000, MATCH(A59&amp;"|"&amp;J59, 'Base Exámenes'!$I$5:$I$1000, 0))), ""), "")</f>
        <v>6.3</v>
      </c>
      <c r="J59" s="6">
        <f>IF(F59="Completado", IF(COUNTIFS('Base Exámenes'!$C$5:$C$1000, A59, 'Base Exámenes'!$G$5:$G$1000, "&lt;&gt;")=0, "", _xlfn.MAXIFS('Base Exámenes'!$G$5:$G$1000, 'Base Exámenes'!$C$5:$C$1000, A59)), "")</f>
        <v>70</v>
      </c>
      <c r="K59" s="6" t="str">
        <f>IF(F59="Completado", IFERROR(IF(INDEX('Base Exámenes'!$H$5:$H$1000, MATCH(A59&amp;"|"&amp;J59, 'Base Exámenes'!$I$5:$I$1000, 0))="", "", INDEX('Base Exámenes'!$H$5:$H$1000, MATCH(A59&amp;"|"&amp;J59, 'Base Exámenes'!$I$5:$I$1000, 0))), ""), "")</f>
        <v>anonymous</v>
      </c>
      <c r="L59" s="22">
        <f>IF($A59="","",COUNTIF('Base Exámenes'!$C$5:$C$1000, A59))</f>
        <v>1</v>
      </c>
      <c r="M59" s="6" t="str">
        <f>IF($A59="","",IF(COUNTIF('Base Exámenes'!$C$5:$C$1000, A59)&gt;0, "", TRIM('Base Oficial'!H59)))</f>
        <v/>
      </c>
    </row>
    <row r="60">
      <c r="A60" s="4" t="str">
        <f>IF('Base Oficial'!A60="","",TRIM('Base Oficial'!A60))</f>
        <v>182</v>
      </c>
      <c r="B60" s="6" t="str">
        <f>IF($A60="","",TRIM('Base Oficial'!B60))</f>
        <v>ROSA ELIZABETH RIVAS AGUILUZ</v>
      </c>
      <c r="C60" s="6" t="str">
        <f>IF($A60="","",TRIM('Base Oficial'!F60))</f>
        <v>DEPARTAMENTO DE SOLUCIONES FINANCIERAS</v>
      </c>
      <c r="D60" s="6" t="str">
        <f>IF($A60="","",TRIM('Base Oficial'!G60))</f>
        <v>Gerencia de Operaciones</v>
      </c>
      <c r="E60" s="6" t="str">
        <f>IF($A60="","",TRIM('Base Oficial'!D60))</f>
        <v>EJECUTIVO DE SOLUCIONES FINANCIERAS</v>
      </c>
      <c r="F60" s="4" t="str">
        <f>IF($A60="","",IF(COUNTIF('Base Exámenes'!$C$5:$C$1000, A60)&gt;0, "Completado", IF(M60&lt;&gt;"", M60, "Pendiente")))</f>
        <v>Completado</v>
      </c>
      <c r="G60" s="11">
        <f>IF(F60="Completado", IFERROR(IF(INDEX('Base Exámenes'!$D$5:$D$1000, MATCH(A60&amp;"|"&amp;J60, 'Base Exámenes'!$I$5:$I$1000, 0))="", "", INDEX('Base Exámenes'!$D$5:$D$1000, MATCH(A60&amp;"|"&amp;J60, 'Base Exámenes'!$I$5:$I$1000, 0))), ""), "")</f>
        <v>46307.562476851854</v>
      </c>
      <c r="H60" s="11">
        <f>IF(F60="Completado", IFERROR(IF(INDEX('Base Exámenes'!$E$5:$E$1000, MATCH(A60&amp;"|"&amp;J60, 'Base Exámenes'!$I$5:$I$1000, 0))="", "", INDEX('Base Exámenes'!$E$5:$E$1000, MATCH(A60&amp;"|"&amp;J60, 'Base Exámenes'!$I$5:$I$1000, 0))), ""), "")</f>
        <v>46307.56962962963</v>
      </c>
      <c r="I60" s="10">
        <f>IF(F60="Completado", IFERROR(IF(INDEX('Base Exámenes'!$F$5:$F$1000, MATCH(A60&amp;"|"&amp;J60, 'Base Exámenes'!$I$5:$I$1000, 0))="", "", INDEX('Base Exámenes'!$F$5:$F$1000, MATCH(A60&amp;"|"&amp;J60, 'Base Exámenes'!$I$5:$I$1000, 0))), ""), "")</f>
        <v>10.3</v>
      </c>
      <c r="J60" s="6">
        <f>IF(F60="Completado", IF(COUNTIFS('Base Exámenes'!$C$5:$C$1000, A60, 'Base Exámenes'!$G$5:$G$1000, "&lt;&gt;")=0, "", _xlfn.MAXIFS('Base Exámenes'!$G$5:$G$1000, 'Base Exámenes'!$C$5:$C$1000, A60)), "")</f>
        <v>70</v>
      </c>
      <c r="K60" s="6" t="str">
        <f>IF(F60="Completado", IFERROR(IF(INDEX('Base Exámenes'!$H$5:$H$1000, MATCH(A60&amp;"|"&amp;J60, 'Base Exámenes'!$I$5:$I$1000, 0))="", "", INDEX('Base Exámenes'!$H$5:$H$1000, MATCH(A60&amp;"|"&amp;J60, 'Base Exámenes'!$I$5:$I$1000, 0))), ""), "")</f>
        <v>anonymous</v>
      </c>
      <c r="L60" s="22">
        <f>IF($A60="","",COUNTIF('Base Exámenes'!$C$5:$C$1000, A60))</f>
        <v>1</v>
      </c>
      <c r="M60" s="6" t="str">
        <f>IF($A60="","",IF(COUNTIF('Base Exámenes'!$C$5:$C$1000, A60)&gt;0, "", TRIM('Base Oficial'!H60)))</f>
        <v/>
      </c>
    </row>
    <row r="61">
      <c r="A61" s="4" t="str">
        <f>IF('Base Oficial'!A61="","",TRIM('Base Oficial'!A61))</f>
        <v>263</v>
      </c>
      <c r="B61" s="6" t="str">
        <f>IF($A61="","",TRIM('Base Oficial'!B61))</f>
        <v>XOCHILT VERONICA NOUBLEAU</v>
      </c>
      <c r="C61" s="6" t="str">
        <f>IF($A61="","",TRIM('Base Oficial'!F61))</f>
        <v>DEPARTAMENTO DE SOLUCIONES FINANCIERAS</v>
      </c>
      <c r="D61" s="6" t="str">
        <f>IF($A61="","",TRIM('Base Oficial'!G61))</f>
        <v>Gerencia de Operaciones</v>
      </c>
      <c r="E61" s="6" t="str">
        <f>IF($A61="","",TRIM('Base Oficial'!D61))</f>
        <v>EJECUTIVO DE SOLUCIONES FINANCIERAS</v>
      </c>
      <c r="F61" s="4" t="str">
        <f>IF($A61="","",IF(COUNTIF('Base Exámenes'!$C$5:$C$1000, A61)&gt;0, "Completado", IF(M61&lt;&gt;"", M61, "Pendiente")))</f>
        <v>Completado</v>
      </c>
      <c r="G61" s="11">
        <f>IF(F61="Completado", IFERROR(IF(INDEX('Base Exámenes'!$D$5:$D$1000, MATCH(A61&amp;"|"&amp;J61, 'Base Exámenes'!$I$5:$I$1000, 0))="", "", INDEX('Base Exámenes'!$D$5:$D$1000, MATCH(A61&amp;"|"&amp;J61, 'Base Exámenes'!$I$5:$I$1000, 0))), ""), "")</f>
        <v>46307.59239583334</v>
      </c>
      <c r="H61" s="11">
        <f>IF(F61="Completado", IFERROR(IF(INDEX('Base Exámenes'!$E$5:$E$1000, MATCH(A61&amp;"|"&amp;J61, 'Base Exámenes'!$I$5:$I$1000, 0))="", "", INDEX('Base Exámenes'!$E$5:$E$1000, MATCH(A61&amp;"|"&amp;J61, 'Base Exámenes'!$I$5:$I$1000, 0))), ""), "")</f>
        <v>46307.60011574074</v>
      </c>
      <c r="I61" s="10">
        <f>IF(F61="Completado", IFERROR(IF(INDEX('Base Exámenes'!$F$5:$F$1000, MATCH(A61&amp;"|"&amp;J61, 'Base Exámenes'!$I$5:$I$1000, 0))="", "", INDEX('Base Exámenes'!$F$5:$F$1000, MATCH(A61&amp;"|"&amp;J61, 'Base Exámenes'!$I$5:$I$1000, 0))), ""), "")</f>
        <v>11.1166666666667</v>
      </c>
      <c r="J61" s="6">
        <f>IF(F61="Completado", IF(COUNTIFS('Base Exámenes'!$C$5:$C$1000, A61, 'Base Exámenes'!$G$5:$G$1000, "&lt;&gt;")=0, "", _xlfn.MAXIFS('Base Exámenes'!$G$5:$G$1000, 'Base Exámenes'!$C$5:$C$1000, A61)), "")</f>
        <v>100</v>
      </c>
      <c r="K61" s="6" t="str">
        <f>IF(F61="Completado", IFERROR(IF(INDEX('Base Exámenes'!$H$5:$H$1000, MATCH(A61&amp;"|"&amp;J61, 'Base Exámenes'!$I$5:$I$1000, 0))="", "", INDEX('Base Exámenes'!$H$5:$H$1000, MATCH(A61&amp;"|"&amp;J61, 'Base Exámenes'!$I$5:$I$1000, 0))), ""), "")</f>
        <v>anonymous</v>
      </c>
      <c r="L61" s="22">
        <f>IF($A61="","",COUNTIF('Base Exámenes'!$C$5:$C$1000, A61))</f>
        <v>1</v>
      </c>
      <c r="M61" s="6" t="str">
        <f>IF($A61="","",IF(COUNTIF('Base Exámenes'!$C$5:$C$1000, A61)&gt;0, "", TRIM('Base Oficial'!H61)))</f>
        <v/>
      </c>
    </row>
    <row r="62">
      <c r="A62" s="4" t="str">
        <f>IF('Base Oficial'!A62="","",TRIM('Base Oficial'!A62))</f>
        <v>289</v>
      </c>
      <c r="B62" s="6" t="str">
        <f>IF($A62="","",TRIM('Base Oficial'!B62))</f>
        <v>ANA SILVIA MARTINEZ RODRIGUEZ</v>
      </c>
      <c r="C62" s="6" t="str">
        <f>IF($A62="","",TRIM('Base Oficial'!F62))</f>
        <v>DEPARTAMENTO DE SOLUCIONES FINANCIERAS</v>
      </c>
      <c r="D62" s="6" t="str">
        <f>IF($A62="","",TRIM('Base Oficial'!G62))</f>
        <v>Gerencia de Operaciones</v>
      </c>
      <c r="E62" s="6" t="str">
        <f>IF($A62="","",TRIM('Base Oficial'!D62))</f>
        <v>EJECUTIVO DE SOLUCIONES FINANCIERAS</v>
      </c>
      <c r="F62" s="4" t="str">
        <f>IF($A62="","",IF(COUNTIF('Base Exámenes'!$C$5:$C$1000, A62)&gt;0, "Completado", IF(M62&lt;&gt;"", M62, "Pendiente")))</f>
        <v>Completado</v>
      </c>
      <c r="G62" s="11">
        <f>IF(F62="Completado", IFERROR(IF(INDEX('Base Exámenes'!$D$5:$D$1000, MATCH(A62&amp;"|"&amp;J62, 'Base Exámenes'!$I$5:$I$1000, 0))="", "", INDEX('Base Exámenes'!$D$5:$D$1000, MATCH(A62&amp;"|"&amp;J62, 'Base Exámenes'!$I$5:$I$1000, 0))), ""), "")</f>
        <v>46305.405277777776</v>
      </c>
      <c r="H62" s="11">
        <f>IF(F62="Completado", IFERROR(IF(INDEX('Base Exámenes'!$E$5:$E$1000, MATCH(A62&amp;"|"&amp;J62, 'Base Exámenes'!$I$5:$I$1000, 0))="", "", INDEX('Base Exámenes'!$E$5:$E$1000, MATCH(A62&amp;"|"&amp;J62, 'Base Exámenes'!$I$5:$I$1000, 0))), ""), "")</f>
        <v>46305.41322916667</v>
      </c>
      <c r="I62" s="10">
        <f>IF(F62="Completado", IFERROR(IF(INDEX('Base Exámenes'!$F$5:$F$1000, MATCH(A62&amp;"|"&amp;J62, 'Base Exámenes'!$I$5:$I$1000, 0))="", "", INDEX('Base Exámenes'!$F$5:$F$1000, MATCH(A62&amp;"|"&amp;J62, 'Base Exámenes'!$I$5:$I$1000, 0))), ""), "")</f>
        <v>11.45</v>
      </c>
      <c r="J62" s="6">
        <f>IF(F62="Completado", IF(COUNTIFS('Base Exámenes'!$C$5:$C$1000, A62, 'Base Exámenes'!$G$5:$G$1000, "&lt;&gt;")=0, "", _xlfn.MAXIFS('Base Exámenes'!$G$5:$G$1000, 'Base Exámenes'!$C$5:$C$1000, A62)), "")</f>
        <v>100</v>
      </c>
      <c r="K62" s="6" t="str">
        <f>IF(F62="Completado", IFERROR(IF(INDEX('Base Exámenes'!$H$5:$H$1000, MATCH(A62&amp;"|"&amp;J62, 'Base Exámenes'!$I$5:$I$1000, 0))="", "", INDEX('Base Exámenes'!$H$5:$H$1000, MATCH(A62&amp;"|"&amp;J62, 'Base Exámenes'!$I$5:$I$1000, 0))), ""), "")</f>
        <v>anonymous</v>
      </c>
      <c r="L62" s="22">
        <f>IF($A62="","",COUNTIF('Base Exámenes'!$C$5:$C$1000, A62))</f>
        <v>1</v>
      </c>
      <c r="M62" s="6" t="str">
        <f>IF($A62="","",IF(COUNTIF('Base Exámenes'!$C$5:$C$1000, A62)&gt;0, "", TRIM('Base Oficial'!H62)))</f>
        <v/>
      </c>
    </row>
    <row r="63">
      <c r="A63" s="4" t="str">
        <f>IF('Base Oficial'!A63="","",TRIM('Base Oficial'!A63))</f>
        <v>298</v>
      </c>
      <c r="B63" s="6" t="str">
        <f>IF($A63="","",TRIM('Base Oficial'!B63))</f>
        <v>SANDRA GUADALUPE ROQUE SANCHEZ</v>
      </c>
      <c r="C63" s="6" t="str">
        <f>IF($A63="","",TRIM('Base Oficial'!F63))</f>
        <v>DEPARTAMENTO DE SOLUCIONES FINANCIERAS</v>
      </c>
      <c r="D63" s="6" t="str">
        <f>IF($A63="","",TRIM('Base Oficial'!G63))</f>
        <v>Gerencia de Operaciones</v>
      </c>
      <c r="E63" s="6" t="str">
        <f>IF($A63="","",TRIM('Base Oficial'!D63))</f>
        <v>EJECUTIVO DE SOLUCIONES FINANCIERAS</v>
      </c>
      <c r="F63" s="4" t="str">
        <f>IF($A63="","",IF(COUNTIF('Base Exámenes'!$C$5:$C$1000, A63)&gt;0, "Completado", IF(M63&lt;&gt;"", M63, "Pendiente")))</f>
        <v>Completado</v>
      </c>
      <c r="G63" s="11">
        <f>IF(F63="Completado", IFERROR(IF(INDEX('Base Exámenes'!$D$5:$D$1000, MATCH(A63&amp;"|"&amp;J63, 'Base Exámenes'!$I$5:$I$1000, 0))="", "", INDEX('Base Exámenes'!$D$5:$D$1000, MATCH(A63&amp;"|"&amp;J63, 'Base Exámenes'!$I$5:$I$1000, 0))), ""), "")</f>
        <v>46307.571122685185</v>
      </c>
      <c r="H63" s="11">
        <f>IF(F63="Completado", IFERROR(IF(INDEX('Base Exámenes'!$E$5:$E$1000, MATCH(A63&amp;"|"&amp;J63, 'Base Exámenes'!$I$5:$I$1000, 0))="", "", INDEX('Base Exámenes'!$E$5:$E$1000, MATCH(A63&amp;"|"&amp;J63, 'Base Exámenes'!$I$5:$I$1000, 0))), ""), "")</f>
        <v>46307.58479166667</v>
      </c>
      <c r="I63" s="10">
        <f>IF(F63="Completado", IFERROR(IF(INDEX('Base Exámenes'!$F$5:$F$1000, MATCH(A63&amp;"|"&amp;J63, 'Base Exámenes'!$I$5:$I$1000, 0))="", "", INDEX('Base Exámenes'!$F$5:$F$1000, MATCH(A63&amp;"|"&amp;J63, 'Base Exámenes'!$I$5:$I$1000, 0))), ""), "")</f>
        <v>19.6833333333333</v>
      </c>
      <c r="J63" s="6">
        <f>IF(F63="Completado", IF(COUNTIFS('Base Exámenes'!$C$5:$C$1000, A63, 'Base Exámenes'!$G$5:$G$1000, "&lt;&gt;")=0, "", _xlfn.MAXIFS('Base Exámenes'!$G$5:$G$1000, 'Base Exámenes'!$C$5:$C$1000, A63)), "")</f>
        <v>80</v>
      </c>
      <c r="K63" s="6" t="str">
        <f>IF(F63="Completado", IFERROR(IF(INDEX('Base Exámenes'!$H$5:$H$1000, MATCH(A63&amp;"|"&amp;J63, 'Base Exámenes'!$I$5:$I$1000, 0))="", "", INDEX('Base Exámenes'!$H$5:$H$1000, MATCH(A63&amp;"|"&amp;J63, 'Base Exámenes'!$I$5:$I$1000, 0))), ""), "")</f>
        <v>anonymous</v>
      </c>
      <c r="L63" s="22">
        <f>IF($A63="","",COUNTIF('Base Exámenes'!$C$5:$C$1000, A63))</f>
        <v>1</v>
      </c>
      <c r="M63" s="6" t="str">
        <f>IF($A63="","",IF(COUNTIF('Base Exámenes'!$C$5:$C$1000, A63)&gt;0, "", TRIM('Base Oficial'!H63)))</f>
        <v/>
      </c>
    </row>
    <row r="64">
      <c r="A64" s="4" t="str">
        <f>IF('Base Oficial'!A64="","",TRIM('Base Oficial'!A64))</f>
        <v>439</v>
      </c>
      <c r="B64" s="6" t="str">
        <f>IF($A64="","",TRIM('Base Oficial'!B64))</f>
        <v>ILIANA DESIREE ALFARO</v>
      </c>
      <c r="C64" s="6" t="str">
        <f>IF($A64="","",TRIM('Base Oficial'!F64))</f>
        <v>DEPARTAMENTO DE SOLUCIONES FINANCIERAS</v>
      </c>
      <c r="D64" s="6" t="str">
        <f>IF($A64="","",TRIM('Base Oficial'!G64))</f>
        <v>Gerencia de Operaciones</v>
      </c>
      <c r="E64" s="6" t="str">
        <f>IF($A64="","",TRIM('Base Oficial'!D64))</f>
        <v>EJECUTIVO DE SOLUCIONES FINANCIERAS</v>
      </c>
      <c r="F64" s="4" t="str">
        <f>IF($A64="","",IF(COUNTIF('Base Exámenes'!$C$5:$C$1000, A64)&gt;0, "Completado", IF(M64&lt;&gt;"", M64, "Pendiente")))</f>
        <v>Completado</v>
      </c>
      <c r="G64" s="11">
        <f>IF(F64="Completado", IFERROR(IF(INDEX('Base Exámenes'!$D$5:$D$1000, MATCH(A64&amp;"|"&amp;J64, 'Base Exámenes'!$I$5:$I$1000, 0))="", "", INDEX('Base Exámenes'!$D$5:$D$1000, MATCH(A64&amp;"|"&amp;J64, 'Base Exámenes'!$I$5:$I$1000, 0))), ""), "")</f>
        <v>46304.3803587963</v>
      </c>
      <c r="H64" s="11">
        <f>IF(F64="Completado", IFERROR(IF(INDEX('Base Exámenes'!$E$5:$E$1000, MATCH(A64&amp;"|"&amp;J64, 'Base Exámenes'!$I$5:$I$1000, 0))="", "", INDEX('Base Exámenes'!$E$5:$E$1000, MATCH(A64&amp;"|"&amp;J64, 'Base Exámenes'!$I$5:$I$1000, 0))), ""), "")</f>
        <v>46304.38547453703</v>
      </c>
      <c r="I64" s="10">
        <f>IF(F64="Completado", IFERROR(IF(INDEX('Base Exámenes'!$F$5:$F$1000, MATCH(A64&amp;"|"&amp;J64, 'Base Exámenes'!$I$5:$I$1000, 0))="", "", INDEX('Base Exámenes'!$F$5:$F$1000, MATCH(A64&amp;"|"&amp;J64, 'Base Exámenes'!$I$5:$I$1000, 0))), ""), "")</f>
        <v>7.36666666666667</v>
      </c>
      <c r="J64" s="6">
        <f>IF(F64="Completado", IF(COUNTIFS('Base Exámenes'!$C$5:$C$1000, A64, 'Base Exámenes'!$G$5:$G$1000, "&lt;&gt;")=0, "", _xlfn.MAXIFS('Base Exámenes'!$G$5:$G$1000, 'Base Exámenes'!$C$5:$C$1000, A64)), "")</f>
        <v>80</v>
      </c>
      <c r="K64" s="6" t="str">
        <f>IF(F64="Completado", IFERROR(IF(INDEX('Base Exámenes'!$H$5:$H$1000, MATCH(A64&amp;"|"&amp;J64, 'Base Exámenes'!$I$5:$I$1000, 0))="", "", INDEX('Base Exámenes'!$H$5:$H$1000, MATCH(A64&amp;"|"&amp;J64, 'Base Exámenes'!$I$5:$I$1000, 0))), ""), "")</f>
        <v>anonymous</v>
      </c>
      <c r="L64" s="22">
        <f>IF($A64="","",COUNTIF('Base Exámenes'!$C$5:$C$1000, A64))</f>
        <v>1</v>
      </c>
      <c r="M64" s="6" t="str">
        <f>IF($A64="","",IF(COUNTIF('Base Exámenes'!$C$5:$C$1000, A64)&gt;0, "", TRIM('Base Oficial'!H64)))</f>
        <v/>
      </c>
    </row>
    <row r="65">
      <c r="A65" s="4" t="str">
        <f>IF('Base Oficial'!A65="","",TRIM('Base Oficial'!A65))</f>
        <v>472</v>
      </c>
      <c r="B65" s="6" t="str">
        <f>IF($A65="","",TRIM('Base Oficial'!B65))</f>
        <v>CARLOS ROBERTO AGUILAR SANTOS</v>
      </c>
      <c r="C65" s="6" t="str">
        <f>IF($A65="","",TRIM('Base Oficial'!F65))</f>
        <v>DEPARTAMENTO DE SOLUCIONES FINANCIERAS</v>
      </c>
      <c r="D65" s="6" t="str">
        <f>IF($A65="","",TRIM('Base Oficial'!G65))</f>
        <v>Gerencia de Operaciones</v>
      </c>
      <c r="E65" s="6" t="str">
        <f>IF($A65="","",TRIM('Base Oficial'!D65))</f>
        <v>JEFE DE SOLUCIONES FINANCIERAS</v>
      </c>
      <c r="F65" s="4" t="str">
        <f>IF($A65="","",IF(COUNTIF('Base Exámenes'!$C$5:$C$1000, A65)&gt;0, "Completado", IF(M65&lt;&gt;"", M65, "Pendiente")))</f>
        <v>Completado</v>
      </c>
      <c r="G65" s="11">
        <f>IF(F65="Completado", IFERROR(IF(INDEX('Base Exámenes'!$D$5:$D$1000, MATCH(A65&amp;"|"&amp;J65, 'Base Exámenes'!$I$5:$I$1000, 0))="", "", INDEX('Base Exámenes'!$D$5:$D$1000, MATCH(A65&amp;"|"&amp;J65, 'Base Exámenes'!$I$5:$I$1000, 0))), ""), "")</f>
        <v>46304.373240740744</v>
      </c>
      <c r="H65" s="11">
        <f>IF(F65="Completado", IFERROR(IF(INDEX('Base Exámenes'!$E$5:$E$1000, MATCH(A65&amp;"|"&amp;J65, 'Base Exámenes'!$I$5:$I$1000, 0))="", "", INDEX('Base Exámenes'!$E$5:$E$1000, MATCH(A65&amp;"|"&amp;J65, 'Base Exámenes'!$I$5:$I$1000, 0))), ""), "")</f>
        <v>46304.37534722222</v>
      </c>
      <c r="I65" s="10">
        <f>IF(F65="Completado", IFERROR(IF(INDEX('Base Exámenes'!$F$5:$F$1000, MATCH(A65&amp;"|"&amp;J65, 'Base Exámenes'!$I$5:$I$1000, 0))="", "", INDEX('Base Exámenes'!$F$5:$F$1000, MATCH(A65&amp;"|"&amp;J65, 'Base Exámenes'!$I$5:$I$1000, 0))), ""), "")</f>
        <v>3.03333333333333</v>
      </c>
      <c r="J65" s="6">
        <f>IF(F65="Completado", IF(COUNTIFS('Base Exámenes'!$C$5:$C$1000, A65, 'Base Exámenes'!$G$5:$G$1000, "&lt;&gt;")=0, "", _xlfn.MAXIFS('Base Exámenes'!$G$5:$G$1000, 'Base Exámenes'!$C$5:$C$1000, A65)), "")</f>
        <v>100</v>
      </c>
      <c r="K65" s="6" t="str">
        <f>IF(F65="Completado", IFERROR(IF(INDEX('Base Exámenes'!$H$5:$H$1000, MATCH(A65&amp;"|"&amp;J65, 'Base Exámenes'!$I$5:$I$1000, 0))="", "", INDEX('Base Exámenes'!$H$5:$H$1000, MATCH(A65&amp;"|"&amp;J65, 'Base Exámenes'!$I$5:$I$1000, 0))), ""), "")</f>
        <v>anonymous</v>
      </c>
      <c r="L65" s="22">
        <f>IF($A65="","",COUNTIF('Base Exámenes'!$C$5:$C$1000, A65))</f>
        <v>1</v>
      </c>
      <c r="M65" s="6" t="str">
        <f>IF($A65="","",IF(COUNTIF('Base Exámenes'!$C$5:$C$1000, A65)&gt;0, "", TRIM('Base Oficial'!H65)))</f>
        <v/>
      </c>
    </row>
    <row r="66">
      <c r="A66" s="4" t="str">
        <f>IF('Base Oficial'!A66="","",TRIM('Base Oficial'!A66))</f>
        <v>528</v>
      </c>
      <c r="B66" s="6" t="str">
        <f>IF($A66="","",TRIM('Base Oficial'!B66))</f>
        <v>ANA GRISELDA SIGÜENZA MARTINEZ</v>
      </c>
      <c r="C66" s="6" t="str">
        <f>IF($A66="","",TRIM('Base Oficial'!F66))</f>
        <v>DEPARTAMENTO DE SOLUCIONES FINANCIERAS</v>
      </c>
      <c r="D66" s="6" t="str">
        <f>IF($A66="","",TRIM('Base Oficial'!G66))</f>
        <v>Gerencia de Operaciones</v>
      </c>
      <c r="E66" s="6" t="str">
        <f>IF($A66="","",TRIM('Base Oficial'!D66))</f>
        <v>AUXILIAR DE DEPARTAMENTO DE SOLUCIONES FINANCIERAS</v>
      </c>
      <c r="F66" s="4" t="str">
        <f>IF($A66="","",IF(COUNTIF('Base Exámenes'!$C$5:$C$1000, A66)&gt;0, "Completado", IF(M66&lt;&gt;"", M66, "Pendiente")))</f>
        <v>Completado</v>
      </c>
      <c r="G66" s="11">
        <f>IF(F66="Completado", IFERROR(IF(INDEX('Base Exámenes'!$D$5:$D$1000, MATCH(A66&amp;"|"&amp;J66, 'Base Exámenes'!$I$5:$I$1000, 0))="", "", INDEX('Base Exámenes'!$D$5:$D$1000, MATCH(A66&amp;"|"&amp;J66, 'Base Exámenes'!$I$5:$I$1000, 0))), ""), "")</f>
        <v>46305.53150462963</v>
      </c>
      <c r="H66" s="11">
        <f>IF(F66="Completado", IFERROR(IF(INDEX('Base Exámenes'!$E$5:$E$1000, MATCH(A66&amp;"|"&amp;J66, 'Base Exámenes'!$I$5:$I$1000, 0))="", "", INDEX('Base Exámenes'!$E$5:$E$1000, MATCH(A66&amp;"|"&amp;J66, 'Base Exámenes'!$I$5:$I$1000, 0))), ""), "")</f>
        <v>46305.54105324074</v>
      </c>
      <c r="I66" s="10">
        <f>IF(F66="Completado", IFERROR(IF(INDEX('Base Exámenes'!$F$5:$F$1000, MATCH(A66&amp;"|"&amp;J66, 'Base Exámenes'!$I$5:$I$1000, 0))="", "", INDEX('Base Exámenes'!$F$5:$F$1000, MATCH(A66&amp;"|"&amp;J66, 'Base Exámenes'!$I$5:$I$1000, 0))), ""), "")</f>
        <v>13.75</v>
      </c>
      <c r="J66" s="6">
        <f>IF(F66="Completado", IF(COUNTIFS('Base Exámenes'!$C$5:$C$1000, A66, 'Base Exámenes'!$G$5:$G$1000, "&lt;&gt;")=0, "", _xlfn.MAXIFS('Base Exámenes'!$G$5:$G$1000, 'Base Exámenes'!$C$5:$C$1000, A66)), "")</f>
        <v>100</v>
      </c>
      <c r="K66" s="6" t="str">
        <f>IF(F66="Completado", IFERROR(IF(INDEX('Base Exámenes'!$H$5:$H$1000, MATCH(A66&amp;"|"&amp;J66, 'Base Exámenes'!$I$5:$I$1000, 0))="", "", INDEX('Base Exámenes'!$H$5:$H$1000, MATCH(A66&amp;"|"&amp;J66, 'Base Exámenes'!$I$5:$I$1000, 0))), ""), "")</f>
        <v>anonymous</v>
      </c>
      <c r="L66" s="22">
        <f>IF($A66="","",COUNTIF('Base Exámenes'!$C$5:$C$1000, A66))</f>
        <v>1</v>
      </c>
      <c r="M66" s="6" t="str">
        <f>IF($A66="","",IF(COUNTIF('Base Exámenes'!$C$5:$C$1000, A66)&gt;0, "", TRIM('Base Oficial'!H66)))</f>
        <v/>
      </c>
    </row>
    <row r="67">
      <c r="A67" s="4" t="str">
        <f>IF('Base Oficial'!A67="","",TRIM('Base Oficial'!A67))</f>
        <v>573</v>
      </c>
      <c r="B67" s="6" t="str">
        <f>IF($A67="","",TRIM('Base Oficial'!B67))</f>
        <v>JUAN PABLO HENRIQUEZ RAMIREZ</v>
      </c>
      <c r="C67" s="6" t="str">
        <f>IF($A67="","",TRIM('Base Oficial'!F67))</f>
        <v>DEPARTAMENTO DE SOLUCIONES FINANCIERAS</v>
      </c>
      <c r="D67" s="6" t="str">
        <f>IF($A67="","",TRIM('Base Oficial'!G67))</f>
        <v>Gerencia de Operaciones</v>
      </c>
      <c r="E67" s="6" t="str">
        <f>IF($A67="","",TRIM('Base Oficial'!D67))</f>
        <v>EJECUTIVO DE SOLUCIONES FINANCIERAS</v>
      </c>
      <c r="F67" s="4" t="str">
        <f>IF($A67="","",IF(COUNTIF('Base Exámenes'!$C$5:$C$1000, A67)&gt;0, "Completado", IF(M67&lt;&gt;"", M67, "Pendiente")))</f>
        <v>Completado</v>
      </c>
      <c r="G67" s="11">
        <f>IF(F67="Completado", IFERROR(IF(INDEX('Base Exámenes'!$D$5:$D$1000, MATCH(A67&amp;"|"&amp;J67, 'Base Exámenes'!$I$5:$I$1000, 0))="", "", INDEX('Base Exámenes'!$D$5:$D$1000, MATCH(A67&amp;"|"&amp;J67, 'Base Exámenes'!$I$5:$I$1000, 0))), ""), "")</f>
        <v>46309.38109953704</v>
      </c>
      <c r="H67" s="11">
        <f>IF(F67="Completado", IFERROR(IF(INDEX('Base Exámenes'!$E$5:$E$1000, MATCH(A67&amp;"|"&amp;J67, 'Base Exámenes'!$I$5:$I$1000, 0))="", "", INDEX('Base Exámenes'!$E$5:$E$1000, MATCH(A67&amp;"|"&amp;J67, 'Base Exámenes'!$I$5:$I$1000, 0))), ""), "")</f>
        <v>46309.38841435185</v>
      </c>
      <c r="I67" s="10">
        <f>IF(F67="Completado", IFERROR(IF(INDEX('Base Exámenes'!$F$5:$F$1000, MATCH(A67&amp;"|"&amp;J67, 'Base Exámenes'!$I$5:$I$1000, 0))="", "", INDEX('Base Exámenes'!$F$5:$F$1000, MATCH(A67&amp;"|"&amp;J67, 'Base Exámenes'!$I$5:$I$1000, 0))), ""), "")</f>
        <v>10.5333333333333</v>
      </c>
      <c r="J67" s="6">
        <f>IF(F67="Completado", IF(COUNTIFS('Base Exámenes'!$C$5:$C$1000, A67, 'Base Exámenes'!$G$5:$G$1000, "&lt;&gt;")=0, "", _xlfn.MAXIFS('Base Exámenes'!$G$5:$G$1000, 'Base Exámenes'!$C$5:$C$1000, A67)), "")</f>
        <v>90</v>
      </c>
      <c r="K67" s="6" t="str">
        <f>IF(F67="Completado", IFERROR(IF(INDEX('Base Exámenes'!$H$5:$H$1000, MATCH(A67&amp;"|"&amp;J67, 'Base Exámenes'!$I$5:$I$1000, 0))="", "", INDEX('Base Exámenes'!$H$5:$H$1000, MATCH(A67&amp;"|"&amp;J67, 'Base Exámenes'!$I$5:$I$1000, 0))), ""), "")</f>
        <v>anonymous</v>
      </c>
      <c r="L67" s="22">
        <f>IF($A67="","",COUNTIF('Base Exámenes'!$C$5:$C$1000, A67))</f>
        <v>1</v>
      </c>
      <c r="M67" s="6" t="str">
        <f>IF($A67="","",IF(COUNTIF('Base Exámenes'!$C$5:$C$1000, A67)&gt;0, "", TRIM('Base Oficial'!H67)))</f>
        <v/>
      </c>
    </row>
    <row r="68">
      <c r="A68" s="4" t="str">
        <f>IF('Base Oficial'!A68="","",TRIM('Base Oficial'!A68))</f>
        <v>885</v>
      </c>
      <c r="B68" s="6" t="str">
        <f>IF($A68="","",TRIM('Base Oficial'!B68))</f>
        <v>ALBA BEATRIZ MELENDEZ PRUDENCIO</v>
      </c>
      <c r="C68" s="6" t="str">
        <f>IF($A68="","",TRIM('Base Oficial'!F68))</f>
        <v>DEPARTAMENTO DE SOLUCIONES FINANCIERAS</v>
      </c>
      <c r="D68" s="6" t="str">
        <f>IF($A68="","",TRIM('Base Oficial'!G68))</f>
        <v>Gerencia de Operaciones</v>
      </c>
      <c r="E68" s="6" t="str">
        <f>IF($A68="","",TRIM('Base Oficial'!D68))</f>
        <v>ASISTENTE DE RECUPERACION JUDICIAL Y CARTERA CASTIGADA</v>
      </c>
      <c r="F68" s="4" t="str">
        <f>IF($A68="","",IF(COUNTIF('Base Exámenes'!$C$5:$C$1000, A68)&gt;0, "Completado", IF(M68&lt;&gt;"", M68, "Pendiente")))</f>
        <v>Renuncia</v>
      </c>
      <c r="G68" s="11" t="str">
        <f>IF(F68="Completado", IFERROR(IF(INDEX('Base Exámenes'!$D$5:$D$1000, MATCH(A68&amp;"|"&amp;J68, 'Base Exámenes'!$I$5:$I$1000, 0))="", "", INDEX('Base Exámenes'!$D$5:$D$1000, MATCH(A68&amp;"|"&amp;J68, 'Base Exámenes'!$I$5:$I$1000, 0))), ""), "")</f>
        <v/>
      </c>
      <c r="H68" s="11" t="str">
        <f>IF(F68="Completado", IFERROR(IF(INDEX('Base Exámenes'!$E$5:$E$1000, MATCH(A68&amp;"|"&amp;J68, 'Base Exámenes'!$I$5:$I$1000, 0))="", "", INDEX('Base Exámenes'!$E$5:$E$1000, MATCH(A68&amp;"|"&amp;J68, 'Base Exámenes'!$I$5:$I$1000, 0))), ""), "")</f>
        <v/>
      </c>
      <c r="I68" s="10" t="str">
        <f>IF(F68="Completado", IFERROR(IF(INDEX('Base Exámenes'!$F$5:$F$1000, MATCH(A68&amp;"|"&amp;J68, 'Base Exámenes'!$I$5:$I$1000, 0))="", "", INDEX('Base Exámenes'!$F$5:$F$1000, MATCH(A68&amp;"|"&amp;J68, 'Base Exámenes'!$I$5:$I$1000, 0))), ""), "")</f>
        <v/>
      </c>
      <c r="J68" s="6" t="str">
        <f>IF(F68="Completado", IF(COUNTIFS('Base Exámenes'!$C$5:$C$1000, A68, 'Base Exámenes'!$G$5:$G$1000, "&lt;&gt;")=0, "", _xlfn.MAXIFS('Base Exámenes'!$G$5:$G$1000, 'Base Exámenes'!$C$5:$C$1000, A68)), "")</f>
        <v/>
      </c>
      <c r="K68" s="6" t="str">
        <f>IF(F68="Completado", IFERROR(IF(INDEX('Base Exámenes'!$H$5:$H$1000, MATCH(A68&amp;"|"&amp;J68, 'Base Exámenes'!$I$5:$I$1000, 0))="", "", INDEX('Base Exámenes'!$H$5:$H$1000, MATCH(A68&amp;"|"&amp;J68, 'Base Exámenes'!$I$5:$I$1000, 0))), ""), "")</f>
        <v/>
      </c>
      <c r="L68" s="22">
        <f>IF($A68="","",COUNTIF('Base Exámenes'!$C$5:$C$1000, A68))</f>
        <v>0</v>
      </c>
      <c r="M68" s="6" t="str">
        <f>IF($A68="","",IF(COUNTIF('Base Exámenes'!$C$5:$C$1000, A68)&gt;0, "", TRIM('Base Oficial'!H68)))</f>
        <v>Renuncia</v>
      </c>
    </row>
    <row r="69">
      <c r="A69" s="4" t="str">
        <f>IF('Base Oficial'!A69="","",TRIM('Base Oficial'!A69))</f>
        <v>389</v>
      </c>
      <c r="B69" s="6" t="str">
        <f>IF($A69="","",TRIM('Base Oficial'!B69))</f>
        <v>CLAUDIA CAROLINA HERNANDEZ DE PAZ</v>
      </c>
      <c r="C69" s="6" t="str">
        <f>IF($A69="","",TRIM('Base Oficial'!F69))</f>
        <v>DEPARTAMENTO DE TARJETA DE CREDITO Y DEBITO</v>
      </c>
      <c r="D69" s="6" t="str">
        <f>IF($A69="","",TRIM('Base Oficial'!G69))</f>
        <v>Gerencia de Operaciones</v>
      </c>
      <c r="E69" s="6" t="str">
        <f>IF($A69="","",TRIM('Base Oficial'!D69))</f>
        <v>ASISTENTE TECNICO DE INTERCAMBIO DE TARJETAS</v>
      </c>
      <c r="F69" s="4" t="str">
        <f>IF($A69="","",IF(COUNTIF('Base Exámenes'!$C$5:$C$1000, A69)&gt;0, "Completado", IF(M69&lt;&gt;"", M69, "Pendiente")))</f>
        <v>Completado</v>
      </c>
      <c r="G69" s="11">
        <f>IF(F69="Completado", IFERROR(IF(INDEX('Base Exámenes'!$D$5:$D$1000, MATCH(A69&amp;"|"&amp;J69, 'Base Exámenes'!$I$5:$I$1000, 0))="", "", INDEX('Base Exámenes'!$D$5:$D$1000, MATCH(A69&amp;"|"&amp;J69, 'Base Exámenes'!$I$5:$I$1000, 0))), ""), "")</f>
        <v>46311.51278935185</v>
      </c>
      <c r="H69" s="11">
        <f>IF(F69="Completado", IFERROR(IF(INDEX('Base Exámenes'!$E$5:$E$1000, MATCH(A69&amp;"|"&amp;J69, 'Base Exámenes'!$I$5:$I$1000, 0))="", "", INDEX('Base Exámenes'!$E$5:$E$1000, MATCH(A69&amp;"|"&amp;J69, 'Base Exámenes'!$I$5:$I$1000, 0))), ""), "")</f>
        <v>46311.516226851854</v>
      </c>
      <c r="I69" s="10">
        <f>IF(F69="Completado", IFERROR(IF(INDEX('Base Exámenes'!$F$5:$F$1000, MATCH(A69&amp;"|"&amp;J69, 'Base Exámenes'!$I$5:$I$1000, 0))="", "", INDEX('Base Exámenes'!$F$5:$F$1000, MATCH(A69&amp;"|"&amp;J69, 'Base Exámenes'!$I$5:$I$1000, 0))), ""), "")</f>
        <v>4.95</v>
      </c>
      <c r="J69" s="6">
        <f>IF(F69="Completado", IF(COUNTIFS('Base Exámenes'!$C$5:$C$1000, A69, 'Base Exámenes'!$G$5:$G$1000, "&lt;&gt;")=0, "", _xlfn.MAXIFS('Base Exámenes'!$G$5:$G$1000, 'Base Exámenes'!$C$5:$C$1000, A69)), "")</f>
        <v>100</v>
      </c>
      <c r="K69" s="6" t="str">
        <f>IF(F69="Completado", IFERROR(IF(INDEX('Base Exámenes'!$H$5:$H$1000, MATCH(A69&amp;"|"&amp;J69, 'Base Exámenes'!$I$5:$I$1000, 0))="", "", INDEX('Base Exámenes'!$H$5:$H$1000, MATCH(A69&amp;"|"&amp;J69, 'Base Exámenes'!$I$5:$I$1000, 0))), ""), "")</f>
        <v>anonymous</v>
      </c>
      <c r="L69" s="22">
        <f>IF($A69="","",COUNTIF('Base Exámenes'!$C$5:$C$1000, A69))</f>
        <v>1</v>
      </c>
      <c r="M69" s="6" t="str">
        <f>IF($A69="","",IF(COUNTIF('Base Exámenes'!$C$5:$C$1000, A69)&gt;0, "", TRIM('Base Oficial'!H69)))</f>
        <v/>
      </c>
    </row>
    <row r="70">
      <c r="A70" s="4" t="str">
        <f>IF('Base Oficial'!A70="","",TRIM('Base Oficial'!A70))</f>
        <v>399</v>
      </c>
      <c r="B70" s="6" t="str">
        <f>IF($A70="","",TRIM('Base Oficial'!B70))</f>
        <v>GEOVANNI LIZAMA PORTILLO</v>
      </c>
      <c r="C70" s="6" t="str">
        <f>IF($A70="","",TRIM('Base Oficial'!F70))</f>
        <v>DEPARTAMENTO DE TARJETA DE CREDITO Y DEBITO</v>
      </c>
      <c r="D70" s="6" t="str">
        <f>IF($A70="","",TRIM('Base Oficial'!G70))</f>
        <v>Gerencia de Operaciones</v>
      </c>
      <c r="E70" s="6" t="str">
        <f>IF($A70="","",TRIM('Base Oficial'!D70))</f>
        <v>JEFE DE TARJETA DE CREDITO Y DEBITO</v>
      </c>
      <c r="F70" s="4" t="str">
        <f>IF($A70="","",IF(COUNTIF('Base Exámenes'!$C$5:$C$1000, A70)&gt;0, "Completado", IF(M70&lt;&gt;"", M70, "Pendiente")))</f>
        <v>Incapacidad</v>
      </c>
      <c r="G70" s="11" t="str">
        <f>IF(F70="Completado", IFERROR(IF(INDEX('Base Exámenes'!$D$5:$D$1000, MATCH(A70&amp;"|"&amp;J70, 'Base Exámenes'!$I$5:$I$1000, 0))="", "", INDEX('Base Exámenes'!$D$5:$D$1000, MATCH(A70&amp;"|"&amp;J70, 'Base Exámenes'!$I$5:$I$1000, 0))), ""), "")</f>
        <v/>
      </c>
      <c r="H70" s="11" t="str">
        <f>IF(F70="Completado", IFERROR(IF(INDEX('Base Exámenes'!$E$5:$E$1000, MATCH(A70&amp;"|"&amp;J70, 'Base Exámenes'!$I$5:$I$1000, 0))="", "", INDEX('Base Exámenes'!$E$5:$E$1000, MATCH(A70&amp;"|"&amp;J70, 'Base Exámenes'!$I$5:$I$1000, 0))), ""), "")</f>
        <v/>
      </c>
      <c r="I70" s="10" t="str">
        <f>IF(F70="Completado", IFERROR(IF(INDEX('Base Exámenes'!$F$5:$F$1000, MATCH(A70&amp;"|"&amp;J70, 'Base Exámenes'!$I$5:$I$1000, 0))="", "", INDEX('Base Exámenes'!$F$5:$F$1000, MATCH(A70&amp;"|"&amp;J70, 'Base Exámenes'!$I$5:$I$1000, 0))), ""), "")</f>
        <v/>
      </c>
      <c r="J70" s="6" t="str">
        <f>IF(F70="Completado", IF(COUNTIFS('Base Exámenes'!$C$5:$C$1000, A70, 'Base Exámenes'!$G$5:$G$1000, "&lt;&gt;")=0, "", _xlfn.MAXIFS('Base Exámenes'!$G$5:$G$1000, 'Base Exámenes'!$C$5:$C$1000, A70)), "")</f>
        <v/>
      </c>
      <c r="K70" s="6" t="str">
        <f>IF(F70="Completado", IFERROR(IF(INDEX('Base Exámenes'!$H$5:$H$1000, MATCH(A70&amp;"|"&amp;J70, 'Base Exámenes'!$I$5:$I$1000, 0))="", "", INDEX('Base Exámenes'!$H$5:$H$1000, MATCH(A70&amp;"|"&amp;J70, 'Base Exámenes'!$I$5:$I$1000, 0))), ""), "")</f>
        <v/>
      </c>
      <c r="L70" s="22">
        <f>IF($A70="","",COUNTIF('Base Exámenes'!$C$5:$C$1000, A70))</f>
        <v>0</v>
      </c>
      <c r="M70" s="6" t="str">
        <f>IF($A70="","",IF(COUNTIF('Base Exámenes'!$C$5:$C$1000, A70)&gt;0, "", TRIM('Base Oficial'!H70)))</f>
        <v>Incapacidad</v>
      </c>
    </row>
    <row r="71">
      <c r="A71" s="4" t="str">
        <f>IF('Base Oficial'!A71="","",TRIM('Base Oficial'!A71))</f>
        <v>459</v>
      </c>
      <c r="B71" s="6" t="str">
        <f>IF($A71="","",TRIM('Base Oficial'!B71))</f>
        <v>LUIS ALEXANDER RAMIREZ MONTALVO</v>
      </c>
      <c r="C71" s="6" t="str">
        <f>IF($A71="","",TRIM('Base Oficial'!F71))</f>
        <v>DEPARTAMENTO DE TARJETA DE CREDITO Y DEBITO</v>
      </c>
      <c r="D71" s="6" t="str">
        <f>IF($A71="","",TRIM('Base Oficial'!G71))</f>
        <v>Gerencia de Operaciones</v>
      </c>
      <c r="E71" s="6" t="str">
        <f>IF($A71="","",TRIM('Base Oficial'!D71))</f>
        <v>ASISTENTE TECNICO DE EMISION DE TARJETA</v>
      </c>
      <c r="F71" s="4" t="str">
        <f>IF($A71="","",IF(COUNTIF('Base Exámenes'!$C$5:$C$1000, A71)&gt;0, "Completado", IF(M71&lt;&gt;"", M71, "Pendiente")))</f>
        <v>Completado</v>
      </c>
      <c r="G71" s="11">
        <f>IF(F71="Completado", IFERROR(IF(INDEX('Base Exámenes'!$D$5:$D$1000, MATCH(A71&amp;"|"&amp;J71, 'Base Exámenes'!$I$5:$I$1000, 0))="", "", INDEX('Base Exámenes'!$D$5:$D$1000, MATCH(A71&amp;"|"&amp;J71, 'Base Exámenes'!$I$5:$I$1000, 0))), ""), "")</f>
        <v>46304.57431712963</v>
      </c>
      <c r="H71" s="11">
        <f>IF(F71="Completado", IFERROR(IF(INDEX('Base Exámenes'!$E$5:$E$1000, MATCH(A71&amp;"|"&amp;J71, 'Base Exámenes'!$I$5:$I$1000, 0))="", "", INDEX('Base Exámenes'!$E$5:$E$1000, MATCH(A71&amp;"|"&amp;J71, 'Base Exámenes'!$I$5:$I$1000, 0))), ""), "")</f>
        <v>46304.57939814815</v>
      </c>
      <c r="I71" s="10">
        <f>IF(F71="Completado", IFERROR(IF(INDEX('Base Exámenes'!$F$5:$F$1000, MATCH(A71&amp;"|"&amp;J71, 'Base Exámenes'!$I$5:$I$1000, 0))="", "", INDEX('Base Exámenes'!$F$5:$F$1000, MATCH(A71&amp;"|"&amp;J71, 'Base Exámenes'!$I$5:$I$1000, 0))), ""), "")</f>
        <v>7.31666666666667</v>
      </c>
      <c r="J71" s="6">
        <f>IF(F71="Completado", IF(COUNTIFS('Base Exámenes'!$C$5:$C$1000, A71, 'Base Exámenes'!$G$5:$G$1000, "&lt;&gt;")=0, "", _xlfn.MAXIFS('Base Exámenes'!$G$5:$G$1000, 'Base Exámenes'!$C$5:$C$1000, A71)), "")</f>
        <v>95</v>
      </c>
      <c r="K71" s="6" t="str">
        <f>IF(F71="Completado", IFERROR(IF(INDEX('Base Exámenes'!$H$5:$H$1000, MATCH(A71&amp;"|"&amp;J71, 'Base Exámenes'!$I$5:$I$1000, 0))="", "", INDEX('Base Exámenes'!$H$5:$H$1000, MATCH(A71&amp;"|"&amp;J71, 'Base Exámenes'!$I$5:$I$1000, 0))), ""), "")</f>
        <v>anonymous</v>
      </c>
      <c r="L71" s="22">
        <f>IF($A71="","",COUNTIF('Base Exámenes'!$C$5:$C$1000, A71))</f>
        <v>1</v>
      </c>
      <c r="M71" s="6" t="str">
        <f>IF($A71="","",IF(COUNTIF('Base Exámenes'!$C$5:$C$1000, A71)&gt;0, "", TRIM('Base Oficial'!H71)))</f>
        <v/>
      </c>
    </row>
    <row r="72">
      <c r="A72" s="4" t="str">
        <f>IF('Base Oficial'!A72="","",TRIM('Base Oficial'!A72))</f>
        <v>725</v>
      </c>
      <c r="B72" s="6" t="str">
        <f>IF($A72="","",TRIM('Base Oficial'!B72))</f>
        <v>ANA BEATRIZ QUINTEROS AVELAR</v>
      </c>
      <c r="C72" s="6" t="str">
        <f>IF($A72="","",TRIM('Base Oficial'!F72))</f>
        <v>DEPARTAMENTO DE TARJETA DE CREDITO Y DEBITO</v>
      </c>
      <c r="D72" s="6" t="str">
        <f>IF($A72="","",TRIM('Base Oficial'!G72))</f>
        <v>Gerencia de Operaciones</v>
      </c>
      <c r="E72" s="6" t="str">
        <f>IF($A72="","",TRIM('Base Oficial'!D72))</f>
        <v>ASISTENTE TECNICO DE OPERACIONES DE TARJETAS</v>
      </c>
      <c r="F72" s="4" t="str">
        <f>IF($A72="","",IF(COUNTIF('Base Exámenes'!$C$5:$C$1000, A72)&gt;0, "Completado", IF(M72&lt;&gt;"", M72, "Pendiente")))</f>
        <v>Completado</v>
      </c>
      <c r="G72" s="11">
        <f>IF(F72="Completado", IFERROR(IF(INDEX('Base Exámenes'!$D$5:$D$1000, MATCH(A72&amp;"|"&amp;J72, 'Base Exámenes'!$I$5:$I$1000, 0))="", "", INDEX('Base Exámenes'!$D$5:$D$1000, MATCH(A72&amp;"|"&amp;J72, 'Base Exámenes'!$I$5:$I$1000, 0))), ""), "")</f>
        <v>46309.64625</v>
      </c>
      <c r="H72" s="11">
        <f>IF(F72="Completado", IFERROR(IF(INDEX('Base Exámenes'!$E$5:$E$1000, MATCH(A72&amp;"|"&amp;J72, 'Base Exámenes'!$I$5:$I$1000, 0))="", "", INDEX('Base Exámenes'!$E$5:$E$1000, MATCH(A72&amp;"|"&amp;J72, 'Base Exámenes'!$I$5:$I$1000, 0))), ""), "")</f>
        <v>46309.65164351852</v>
      </c>
      <c r="I72" s="10">
        <f>IF(F72="Completado", IFERROR(IF(INDEX('Base Exámenes'!$F$5:$F$1000, MATCH(A72&amp;"|"&amp;J72, 'Base Exámenes'!$I$5:$I$1000, 0))="", "", INDEX('Base Exámenes'!$F$5:$F$1000, MATCH(A72&amp;"|"&amp;J72, 'Base Exámenes'!$I$5:$I$1000, 0))), ""), "")</f>
        <v>7.76666666666667</v>
      </c>
      <c r="J72" s="6">
        <f>IF(F72="Completado", IF(COUNTIFS('Base Exámenes'!$C$5:$C$1000, A72, 'Base Exámenes'!$G$5:$G$1000, "&lt;&gt;")=0, "", _xlfn.MAXIFS('Base Exámenes'!$G$5:$G$1000, 'Base Exámenes'!$C$5:$C$1000, A72)), "")</f>
        <v>100</v>
      </c>
      <c r="K72" s="6" t="str">
        <f>IF(F72="Completado", IFERROR(IF(INDEX('Base Exámenes'!$H$5:$H$1000, MATCH(A72&amp;"|"&amp;J72, 'Base Exámenes'!$I$5:$I$1000, 0))="", "", INDEX('Base Exámenes'!$H$5:$H$1000, MATCH(A72&amp;"|"&amp;J72, 'Base Exámenes'!$I$5:$I$1000, 0))), ""), "")</f>
        <v>anonymous</v>
      </c>
      <c r="L72" s="22">
        <f>IF($A72="","",COUNTIF('Base Exámenes'!$C$5:$C$1000, A72))</f>
        <v>1</v>
      </c>
      <c r="M72" s="6" t="str">
        <f>IF($A72="","",IF(COUNTIF('Base Exámenes'!$C$5:$C$1000, A72)&gt;0, "", TRIM('Base Oficial'!H72)))</f>
        <v/>
      </c>
    </row>
    <row r="73">
      <c r="A73" s="4" t="str">
        <f>IF('Base Oficial'!A73="","",TRIM('Base Oficial'!A73))</f>
        <v>952</v>
      </c>
      <c r="B73" s="6" t="str">
        <f>IF($A73="","",TRIM('Base Oficial'!B73))</f>
        <v>ANDREA CAROLINA RUMUALDO MARTINEZ</v>
      </c>
      <c r="C73" s="6" t="str">
        <f>IF($A73="","",TRIM('Base Oficial'!F73))</f>
        <v>DEPARTAMENTO DE TARJETA DE CREDITO Y DEBITO</v>
      </c>
      <c r="D73" s="6" t="str">
        <f>IF($A73="","",TRIM('Base Oficial'!G73))</f>
        <v>Gerencia de Operaciones</v>
      </c>
      <c r="E73" s="6" t="str">
        <f>IF($A73="","",TRIM('Base Oficial'!D73))</f>
        <v>AUXILIAR DE CONTROL DE CALIDAD</v>
      </c>
      <c r="F73" s="4" t="str">
        <f>IF($A73="","",IF(COUNTIF('Base Exámenes'!$C$5:$C$1000, A73)&gt;0, "Completado", IF(M73&lt;&gt;"", M73, "Pendiente")))</f>
        <v>Completado</v>
      </c>
      <c r="G73" s="11">
        <f>IF(F73="Completado", IFERROR(IF(INDEX('Base Exámenes'!$D$5:$D$1000, MATCH(A73&amp;"|"&amp;J73, 'Base Exámenes'!$I$5:$I$1000, 0))="", "", INDEX('Base Exámenes'!$D$5:$D$1000, MATCH(A73&amp;"|"&amp;J73, 'Base Exámenes'!$I$5:$I$1000, 0))), ""), "")</f>
        <v>46296.646261574075</v>
      </c>
      <c r="H73" s="11">
        <f>IF(F73="Completado", IFERROR(IF(INDEX('Base Exámenes'!$E$5:$E$1000, MATCH(A73&amp;"|"&amp;J73, 'Base Exámenes'!$I$5:$I$1000, 0))="", "", INDEX('Base Exámenes'!$E$5:$E$1000, MATCH(A73&amp;"|"&amp;J73, 'Base Exámenes'!$I$5:$I$1000, 0))), ""), "")</f>
        <v>46296.65724537037</v>
      </c>
      <c r="I73" s="10">
        <f>IF(F73="Completado", IFERROR(IF(INDEX('Base Exámenes'!$F$5:$F$1000, MATCH(A73&amp;"|"&amp;J73, 'Base Exámenes'!$I$5:$I$1000, 0))="", "", INDEX('Base Exámenes'!$F$5:$F$1000, MATCH(A73&amp;"|"&amp;J73, 'Base Exámenes'!$I$5:$I$1000, 0))), ""), "")</f>
        <v>15.8166666666667</v>
      </c>
      <c r="J73" s="6">
        <f>IF(F73="Completado", IF(COUNTIFS('Base Exámenes'!$C$5:$C$1000, A73, 'Base Exámenes'!$G$5:$G$1000, "&lt;&gt;")=0, "", _xlfn.MAXIFS('Base Exámenes'!$G$5:$G$1000, 'Base Exámenes'!$C$5:$C$1000, A73)), "")</f>
        <v>100</v>
      </c>
      <c r="K73" s="6" t="str">
        <f>IF(F73="Completado", IFERROR(IF(INDEX('Base Exámenes'!$H$5:$H$1000, MATCH(A73&amp;"|"&amp;J73, 'Base Exámenes'!$I$5:$I$1000, 0))="", "", INDEX('Base Exámenes'!$H$5:$H$1000, MATCH(A73&amp;"|"&amp;J73, 'Base Exámenes'!$I$5:$I$1000, 0))), ""), "")</f>
        <v>anonymous</v>
      </c>
      <c r="L73" s="22">
        <f>IF($A73="","",COUNTIF('Base Exámenes'!$C$5:$C$1000, A73))</f>
        <v>1</v>
      </c>
      <c r="M73" s="6" t="str">
        <f>IF($A73="","",IF(COUNTIF('Base Exámenes'!$C$5:$C$1000, A73)&gt;0, "", TRIM('Base Oficial'!H73)))</f>
        <v/>
      </c>
    </row>
    <row r="74">
      <c r="A74" s="4" t="str">
        <f>IF('Base Oficial'!A74="","",TRIM('Base Oficial'!A74))</f>
        <v>980</v>
      </c>
      <c r="B74" s="6" t="str">
        <f>IF($A74="","",TRIM('Base Oficial'!B74))</f>
        <v>FATIMA ELIZABETH LEMUS RODRIGUEZ</v>
      </c>
      <c r="C74" s="6" t="str">
        <f>IF($A74="","",TRIM('Base Oficial'!F74))</f>
        <v>DEPARTAMENTO DE TARJETA DE CREDITO Y DEBITO</v>
      </c>
      <c r="D74" s="6" t="str">
        <f>IF($A74="","",TRIM('Base Oficial'!G74))</f>
        <v>Gerencia de Operaciones</v>
      </c>
      <c r="E74" s="6" t="str">
        <f>IF($A74="","",TRIM('Base Oficial'!D74))</f>
        <v>AUXILIAR DE EMISION DE TARJETA</v>
      </c>
      <c r="F74" s="4" t="str">
        <f>IF($A74="","",IF(COUNTIF('Base Exámenes'!$C$5:$C$1000, A74)&gt;0, "Completado", IF(M74&lt;&gt;"", M74, "Pendiente")))</f>
        <v>Completado</v>
      </c>
      <c r="G74" s="11">
        <f>IF(F74="Completado", IFERROR(IF(INDEX('Base Exámenes'!$D$5:$D$1000, MATCH(A74&amp;"|"&amp;J74, 'Base Exámenes'!$I$5:$I$1000, 0))="", "", INDEX('Base Exámenes'!$D$5:$D$1000, MATCH(A74&amp;"|"&amp;J74, 'Base Exámenes'!$I$5:$I$1000, 0))), ""), "")</f>
        <v>46296.71229166666</v>
      </c>
      <c r="H74" s="11">
        <f>IF(F74="Completado", IFERROR(IF(INDEX('Base Exámenes'!$E$5:$E$1000, MATCH(A74&amp;"|"&amp;J74, 'Base Exámenes'!$I$5:$I$1000, 0))="", "", INDEX('Base Exámenes'!$E$5:$E$1000, MATCH(A74&amp;"|"&amp;J74, 'Base Exámenes'!$I$5:$I$1000, 0))), ""), "")</f>
        <v>46296.71346064815</v>
      </c>
      <c r="I74" s="10">
        <f>IF(F74="Completado", IFERROR(IF(INDEX('Base Exámenes'!$F$5:$F$1000, MATCH(A74&amp;"|"&amp;J74, 'Base Exámenes'!$I$5:$I$1000, 0))="", "", INDEX('Base Exámenes'!$F$5:$F$1000, MATCH(A74&amp;"|"&amp;J74, 'Base Exámenes'!$I$5:$I$1000, 0))), ""), "")</f>
        <v>1.68333333333333</v>
      </c>
      <c r="J74" s="6">
        <f>IF(F74="Completado", IF(COUNTIFS('Base Exámenes'!$C$5:$C$1000, A74, 'Base Exámenes'!$G$5:$G$1000, "&lt;&gt;")=0, "", _xlfn.MAXIFS('Base Exámenes'!$G$5:$G$1000, 'Base Exámenes'!$C$5:$C$1000, A74)), "")</f>
        <v>100</v>
      </c>
      <c r="K74" s="6" t="str">
        <f>IF(F74="Completado", IFERROR(IF(INDEX('Base Exámenes'!$H$5:$H$1000, MATCH(A74&amp;"|"&amp;J74, 'Base Exámenes'!$I$5:$I$1000, 0))="", "", INDEX('Base Exámenes'!$H$5:$H$1000, MATCH(A74&amp;"|"&amp;J74, 'Base Exámenes'!$I$5:$I$1000, 0))), ""), "")</f>
        <v>anonymous</v>
      </c>
      <c r="L74" s="22">
        <f>IF($A74="","",COUNTIF('Base Exámenes'!$C$5:$C$1000, A74))</f>
        <v>1</v>
      </c>
      <c r="M74" s="6" t="str">
        <f>IF($A74="","",IF(COUNTIF('Base Exámenes'!$C$5:$C$1000, A74)&gt;0, "", TRIM('Base Oficial'!H74)))</f>
        <v/>
      </c>
    </row>
    <row r="75">
      <c r="A75" s="4" t="str">
        <f>IF('Base Oficial'!A75="","",TRIM('Base Oficial'!A75))</f>
        <v>284</v>
      </c>
      <c r="B75" s="6" t="str">
        <f>IF($A75="","",TRIM('Base Oficial'!B75))</f>
        <v>MARIO ANTONIO NAVARRO PINEDA</v>
      </c>
      <c r="C75" s="6" t="str">
        <f>IF($A75="","",TRIM('Base Oficial'!F75))</f>
        <v>DEPARTAMENTO DE DEPOSITOS</v>
      </c>
      <c r="D75" s="6" t="str">
        <f>IF($A75="","",TRIM('Base Oficial'!G75))</f>
        <v>Gerencia de Operaciones</v>
      </c>
      <c r="E75" s="6" t="str">
        <f>IF($A75="","",TRIM('Base Oficial'!D75))</f>
        <v>JEFE DE DEPOSITOS</v>
      </c>
      <c r="F75" s="4" t="str">
        <f>IF($A75="","",IF(COUNTIF('Base Exámenes'!$C$5:$C$1000, A75)&gt;0, "Completado", IF(M75&lt;&gt;"", M75, "Pendiente")))</f>
        <v>Completado</v>
      </c>
      <c r="G75" s="11">
        <f>IF(F75="Completado", IFERROR(IF(INDEX('Base Exámenes'!$D$5:$D$1000, MATCH(A75&amp;"|"&amp;J75, 'Base Exámenes'!$I$5:$I$1000, 0))="", "", INDEX('Base Exámenes'!$D$5:$D$1000, MATCH(A75&amp;"|"&amp;J75, 'Base Exámenes'!$I$5:$I$1000, 0))), ""), "")</f>
        <v>46305.5084375</v>
      </c>
      <c r="H75" s="11">
        <f>IF(F75="Completado", IFERROR(IF(INDEX('Base Exámenes'!$E$5:$E$1000, MATCH(A75&amp;"|"&amp;J75, 'Base Exámenes'!$I$5:$I$1000, 0))="", "", INDEX('Base Exámenes'!$E$5:$E$1000, MATCH(A75&amp;"|"&amp;J75, 'Base Exámenes'!$I$5:$I$1000, 0))), ""), "")</f>
        <v>46305.513344907406</v>
      </c>
      <c r="I75" s="10">
        <f>IF(F75="Completado", IFERROR(IF(INDEX('Base Exámenes'!$F$5:$F$1000, MATCH(A75&amp;"|"&amp;J75, 'Base Exámenes'!$I$5:$I$1000, 0))="", "", INDEX('Base Exámenes'!$F$5:$F$1000, MATCH(A75&amp;"|"&amp;J75, 'Base Exámenes'!$I$5:$I$1000, 0))), ""), "")</f>
        <v>7.06666666666667</v>
      </c>
      <c r="J75" s="6">
        <f>IF(F75="Completado", IF(COUNTIFS('Base Exámenes'!$C$5:$C$1000, A75, 'Base Exámenes'!$G$5:$G$1000, "&lt;&gt;")=0, "", _xlfn.MAXIFS('Base Exámenes'!$G$5:$G$1000, 'Base Exámenes'!$C$5:$C$1000, A75)), "")</f>
        <v>100</v>
      </c>
      <c r="K75" s="6" t="str">
        <f>IF(F75="Completado", IFERROR(IF(INDEX('Base Exámenes'!$H$5:$H$1000, MATCH(A75&amp;"|"&amp;J75, 'Base Exámenes'!$I$5:$I$1000, 0))="", "", INDEX('Base Exámenes'!$H$5:$H$1000, MATCH(A75&amp;"|"&amp;J75, 'Base Exámenes'!$I$5:$I$1000, 0))), ""), "")</f>
        <v>anonymous</v>
      </c>
      <c r="L75" s="22">
        <f>IF($A75="","",COUNTIF('Base Exámenes'!$C$5:$C$1000, A75))</f>
        <v>1</v>
      </c>
      <c r="M75" s="6" t="str">
        <f>IF($A75="","",IF(COUNTIF('Base Exámenes'!$C$5:$C$1000, A75)&gt;0, "", TRIM('Base Oficial'!H75)))</f>
        <v/>
      </c>
    </row>
    <row r="76">
      <c r="A76" s="4" t="str">
        <f>IF('Base Oficial'!A76="","",TRIM('Base Oficial'!A76))</f>
        <v>632</v>
      </c>
      <c r="B76" s="6" t="str">
        <f>IF($A76="","",TRIM('Base Oficial'!B76))</f>
        <v>LUCILA MARGARITA CORCIO QUINTANILLA</v>
      </c>
      <c r="C76" s="6" t="str">
        <f>IF($A76="","",TRIM('Base Oficial'!F76))</f>
        <v>DEPARTAMENTO DE DEPOSITOS</v>
      </c>
      <c r="D76" s="6" t="str">
        <f>IF($A76="","",TRIM('Base Oficial'!G76))</f>
        <v>Gerencia de Operaciones</v>
      </c>
      <c r="E76" s="6" t="str">
        <f>IF($A76="","",TRIM('Base Oficial'!D76))</f>
        <v>ASISTENTE COMPENSADOR DE CHEQUES</v>
      </c>
      <c r="F76" s="4" t="str">
        <f>IF($A76="","",IF(COUNTIF('Base Exámenes'!$C$5:$C$1000, A76)&gt;0, "Completado", IF(M76&lt;&gt;"", M76, "Pendiente")))</f>
        <v>Completado</v>
      </c>
      <c r="G76" s="11">
        <f>IF(F76="Completado", IFERROR(IF(INDEX('Base Exámenes'!$D$5:$D$1000, MATCH(A76&amp;"|"&amp;J76, 'Base Exámenes'!$I$5:$I$1000, 0))="", "", INDEX('Base Exámenes'!$D$5:$D$1000, MATCH(A76&amp;"|"&amp;J76, 'Base Exámenes'!$I$5:$I$1000, 0))), ""), "")</f>
        <v>46296.56951388889</v>
      </c>
      <c r="H76" s="11">
        <f>IF(F76="Completado", IFERROR(IF(INDEX('Base Exámenes'!$E$5:$E$1000, MATCH(A76&amp;"|"&amp;J76, 'Base Exámenes'!$I$5:$I$1000, 0))="", "", INDEX('Base Exámenes'!$E$5:$E$1000, MATCH(A76&amp;"|"&amp;J76, 'Base Exámenes'!$I$5:$I$1000, 0))), ""), "")</f>
        <v>46296.57800925926</v>
      </c>
      <c r="I76" s="10">
        <f>IF(F76="Completado", IFERROR(IF(INDEX('Base Exámenes'!$F$5:$F$1000, MATCH(A76&amp;"|"&amp;J76, 'Base Exámenes'!$I$5:$I$1000, 0))="", "", INDEX('Base Exámenes'!$F$5:$F$1000, MATCH(A76&amp;"|"&amp;J76, 'Base Exámenes'!$I$5:$I$1000, 0))), ""), "")</f>
        <v>12.2333333333333</v>
      </c>
      <c r="J76" s="6">
        <f>IF(F76="Completado", IF(COUNTIFS('Base Exámenes'!$C$5:$C$1000, A76, 'Base Exámenes'!$G$5:$G$1000, "&lt;&gt;")=0, "", _xlfn.MAXIFS('Base Exámenes'!$G$5:$G$1000, 'Base Exámenes'!$C$5:$C$1000, A76)), "")</f>
        <v>100</v>
      </c>
      <c r="K76" s="6" t="str">
        <f>IF(F76="Completado", IFERROR(IF(INDEX('Base Exámenes'!$H$5:$H$1000, MATCH(A76&amp;"|"&amp;J76, 'Base Exámenes'!$I$5:$I$1000, 0))="", "", INDEX('Base Exámenes'!$H$5:$H$1000, MATCH(A76&amp;"|"&amp;J76, 'Base Exámenes'!$I$5:$I$1000, 0))), ""), "")</f>
        <v>anonymous</v>
      </c>
      <c r="L76" s="22">
        <f>IF($A76="","",COUNTIF('Base Exámenes'!$C$5:$C$1000, A76))</f>
        <v>1</v>
      </c>
      <c r="M76" s="6" t="str">
        <f>IF($A76="","",IF(COUNTIF('Base Exámenes'!$C$5:$C$1000, A76)&gt;0, "", TRIM('Base Oficial'!H76)))</f>
        <v/>
      </c>
    </row>
    <row r="77">
      <c r="A77" s="4" t="str">
        <f>IF('Base Oficial'!A77="","",TRIM('Base Oficial'!A77))</f>
        <v>773</v>
      </c>
      <c r="B77" s="6" t="str">
        <f>IF($A77="","",TRIM('Base Oficial'!B77))</f>
        <v>HELLEN ESTEFANI RODRIGUEZ GARCIA</v>
      </c>
      <c r="C77" s="6" t="str">
        <f>IF($A77="","",TRIM('Base Oficial'!F77))</f>
        <v>DEPARTAMENTO DE DEPOSITOS</v>
      </c>
      <c r="D77" s="6" t="str">
        <f>IF($A77="","",TRIM('Base Oficial'!G77))</f>
        <v>Gerencia de Operaciones</v>
      </c>
      <c r="E77" s="6" t="str">
        <f>IF($A77="","",TRIM('Base Oficial'!D77))</f>
        <v>ASISTENTE COMPENSADOR DE CHEQUES</v>
      </c>
      <c r="F77" s="4" t="str">
        <f>IF($A77="","",IF(COUNTIF('Base Exámenes'!$C$5:$C$1000, A77)&gt;0, "Completado", IF(M77&lt;&gt;"", M77, "Pendiente")))</f>
        <v>Completado</v>
      </c>
      <c r="G77" s="11">
        <f>IF(F77="Completado", IFERROR(IF(INDEX('Base Exámenes'!$D$5:$D$1000, MATCH(A77&amp;"|"&amp;J77, 'Base Exámenes'!$I$5:$I$1000, 0))="", "", INDEX('Base Exámenes'!$D$5:$D$1000, MATCH(A77&amp;"|"&amp;J77, 'Base Exámenes'!$I$5:$I$1000, 0))), ""), "")</f>
        <v>46297.46885416667</v>
      </c>
      <c r="H77" s="11">
        <f>IF(F77="Completado", IFERROR(IF(INDEX('Base Exámenes'!$E$5:$E$1000, MATCH(A77&amp;"|"&amp;J77, 'Base Exámenes'!$I$5:$I$1000, 0))="", "", INDEX('Base Exámenes'!$E$5:$E$1000, MATCH(A77&amp;"|"&amp;J77, 'Base Exámenes'!$I$5:$I$1000, 0))), ""), "")</f>
        <v>46297.47550925926</v>
      </c>
      <c r="I77" s="10">
        <f>IF(F77="Completado", IFERROR(IF(INDEX('Base Exámenes'!$F$5:$F$1000, MATCH(A77&amp;"|"&amp;J77, 'Base Exámenes'!$I$5:$I$1000, 0))="", "", INDEX('Base Exámenes'!$F$5:$F$1000, MATCH(A77&amp;"|"&amp;J77, 'Base Exámenes'!$I$5:$I$1000, 0))), ""), "")</f>
        <v>9.58333333333333</v>
      </c>
      <c r="J77" s="6">
        <f>IF(F77="Completado", IF(COUNTIFS('Base Exámenes'!$C$5:$C$1000, A77, 'Base Exámenes'!$G$5:$G$1000, "&lt;&gt;")=0, "", _xlfn.MAXIFS('Base Exámenes'!$G$5:$G$1000, 'Base Exámenes'!$C$5:$C$1000, A77)), "")</f>
        <v>95</v>
      </c>
      <c r="K77" s="6" t="str">
        <f>IF(F77="Completado", IFERROR(IF(INDEX('Base Exámenes'!$H$5:$H$1000, MATCH(A77&amp;"|"&amp;J77, 'Base Exámenes'!$I$5:$I$1000, 0))="", "", INDEX('Base Exámenes'!$H$5:$H$1000, MATCH(A77&amp;"|"&amp;J77, 'Base Exámenes'!$I$5:$I$1000, 0))), ""), "")</f>
        <v>anonymous</v>
      </c>
      <c r="L77" s="22">
        <f>IF($A77="","",COUNTIF('Base Exámenes'!$C$5:$C$1000, A77))</f>
        <v>1</v>
      </c>
      <c r="M77" s="6" t="str">
        <f>IF($A77="","",IF(COUNTIF('Base Exámenes'!$C$5:$C$1000, A77)&gt;0, "", TRIM('Base Oficial'!H77)))</f>
        <v/>
      </c>
    </row>
    <row r="78">
      <c r="A78" s="4" t="str">
        <f>IF('Base Oficial'!A78="","",TRIM('Base Oficial'!A78))</f>
        <v>787</v>
      </c>
      <c r="B78" s="6" t="str">
        <f>IF($A78="","",TRIM('Base Oficial'!B78))</f>
        <v>WALTER OSWALDO SANCHEZ RIVAS</v>
      </c>
      <c r="C78" s="6" t="str">
        <f>IF($A78="","",TRIM('Base Oficial'!F78))</f>
        <v>DEPARTAMENTO DE DEPOSITOS</v>
      </c>
      <c r="D78" s="6" t="str">
        <f>IF($A78="","",TRIM('Base Oficial'!G78))</f>
        <v>Gerencia de Operaciones</v>
      </c>
      <c r="E78" s="6" t="str">
        <f>IF($A78="","",TRIM('Base Oficial'!D78))</f>
        <v>ASISTENTE COMPENSADOR DE CHEQUES</v>
      </c>
      <c r="F78" s="4" t="str">
        <f>IF($A78="","",IF(COUNTIF('Base Exámenes'!$C$5:$C$1000, A78)&gt;0, "Completado", IF(M78&lt;&gt;"", M78, "Pendiente")))</f>
        <v>Completado</v>
      </c>
      <c r="G78" s="11">
        <f>IF(F78="Completado", IFERROR(IF(INDEX('Base Exámenes'!$D$5:$D$1000, MATCH(A78&amp;"|"&amp;J78, 'Base Exámenes'!$I$5:$I$1000, 0))="", "", INDEX('Base Exámenes'!$D$5:$D$1000, MATCH(A78&amp;"|"&amp;J78, 'Base Exámenes'!$I$5:$I$1000, 0))), ""), "")</f>
        <v>46304.69060185185</v>
      </c>
      <c r="H78" s="11">
        <f>IF(F78="Completado", IFERROR(IF(INDEX('Base Exámenes'!$E$5:$E$1000, MATCH(A78&amp;"|"&amp;J78, 'Base Exámenes'!$I$5:$I$1000, 0))="", "", INDEX('Base Exámenes'!$E$5:$E$1000, MATCH(A78&amp;"|"&amp;J78, 'Base Exámenes'!$I$5:$I$1000, 0))), ""), "")</f>
        <v>46304.692928240744</v>
      </c>
      <c r="I78" s="10">
        <f>IF(F78="Completado", IFERROR(IF(INDEX('Base Exámenes'!$F$5:$F$1000, MATCH(A78&amp;"|"&amp;J78, 'Base Exámenes'!$I$5:$I$1000, 0))="", "", INDEX('Base Exámenes'!$F$5:$F$1000, MATCH(A78&amp;"|"&amp;J78, 'Base Exámenes'!$I$5:$I$1000, 0))), ""), "")</f>
        <v>3.35</v>
      </c>
      <c r="J78" s="6">
        <f>IF(F78="Completado", IF(COUNTIFS('Base Exámenes'!$C$5:$C$1000, A78, 'Base Exámenes'!$G$5:$G$1000, "&lt;&gt;")=0, "", _xlfn.MAXIFS('Base Exámenes'!$G$5:$G$1000, 'Base Exámenes'!$C$5:$C$1000, A78)), "")</f>
        <v>100</v>
      </c>
      <c r="K78" s="6" t="str">
        <f>IF(F78="Completado", IFERROR(IF(INDEX('Base Exámenes'!$H$5:$H$1000, MATCH(A78&amp;"|"&amp;J78, 'Base Exámenes'!$I$5:$I$1000, 0))="", "", INDEX('Base Exámenes'!$H$5:$H$1000, MATCH(A78&amp;"|"&amp;J78, 'Base Exámenes'!$I$5:$I$1000, 0))), ""), "")</f>
        <v>anonymous</v>
      </c>
      <c r="L78" s="22">
        <f>IF($A78="","",COUNTIF('Base Exámenes'!$C$5:$C$1000, A78))</f>
        <v>1</v>
      </c>
      <c r="M78" s="6" t="str">
        <f>IF($A78="","",IF(COUNTIF('Base Exámenes'!$C$5:$C$1000, A78)&gt;0, "", TRIM('Base Oficial'!H78)))</f>
        <v/>
      </c>
    </row>
    <row r="79">
      <c r="A79" s="4" t="str">
        <f>IF('Base Oficial'!A79="","",TRIM('Base Oficial'!A79))</f>
        <v>16</v>
      </c>
      <c r="B79" s="6" t="str">
        <f>IF($A79="","",TRIM('Base Oficial'!B79))</f>
        <v>YANETH MARLENY LANDAVERDE MORALES</v>
      </c>
      <c r="C79" s="6" t="str">
        <f>IF($A79="","",TRIM('Base Oficial'!F79))</f>
        <v>ADMINISTRACIÓN DE CARTERAS</v>
      </c>
      <c r="D79" s="6" t="str">
        <f>IF($A79="","",TRIM('Base Oficial'!G79))</f>
        <v>Gerencia de Operaciones</v>
      </c>
      <c r="E79" s="6" t="str">
        <f>IF($A79="","",TRIM('Base Oficial'!D79))</f>
        <v>JEFE DE ADMINISTRACION DE CARTERA</v>
      </c>
      <c r="F79" s="4" t="str">
        <f>IF($A79="","",IF(COUNTIF('Base Exámenes'!$C$5:$C$1000, A79)&gt;0, "Completado", IF(M79&lt;&gt;"", M79, "Pendiente")))</f>
        <v>Completado</v>
      </c>
      <c r="G79" s="11">
        <f>IF(F79="Completado", IFERROR(IF(INDEX('Base Exámenes'!$D$5:$D$1000, MATCH(A79&amp;"|"&amp;J79, 'Base Exámenes'!$I$5:$I$1000, 0))="", "", INDEX('Base Exámenes'!$D$5:$D$1000, MATCH(A79&amp;"|"&amp;J79, 'Base Exámenes'!$I$5:$I$1000, 0))), ""), "")</f>
        <v>46307.671215277776</v>
      </c>
      <c r="H79" s="11">
        <f>IF(F79="Completado", IFERROR(IF(INDEX('Base Exámenes'!$E$5:$E$1000, MATCH(A79&amp;"|"&amp;J79, 'Base Exámenes'!$I$5:$I$1000, 0))="", "", INDEX('Base Exámenes'!$E$5:$E$1000, MATCH(A79&amp;"|"&amp;J79, 'Base Exámenes'!$I$5:$I$1000, 0))), ""), "")</f>
        <v>46307.675532407404</v>
      </c>
      <c r="I79" s="10">
        <f>IF(F79="Completado", IFERROR(IF(INDEX('Base Exámenes'!$F$5:$F$1000, MATCH(A79&amp;"|"&amp;J79, 'Base Exámenes'!$I$5:$I$1000, 0))="", "", INDEX('Base Exámenes'!$F$5:$F$1000, MATCH(A79&amp;"|"&amp;J79, 'Base Exámenes'!$I$5:$I$1000, 0))), ""), "")</f>
        <v>6.21666664256667</v>
      </c>
      <c r="J79" s="6">
        <f>IF(F79="Completado", IF(COUNTIFS('Base Exámenes'!$C$5:$C$1000, A79, 'Base Exámenes'!$G$5:$G$1000, "&lt;&gt;")=0, "", _xlfn.MAXIFS('Base Exámenes'!$G$5:$G$1000, 'Base Exámenes'!$C$5:$C$1000, A79)), "")</f>
        <v>100</v>
      </c>
      <c r="K79" s="6" t="str">
        <f>IF(F79="Completado", IFERROR(IF(INDEX('Base Exámenes'!$H$5:$H$1000, MATCH(A79&amp;"|"&amp;J79, 'Base Exámenes'!$I$5:$I$1000, 0))="", "", INDEX('Base Exámenes'!$H$5:$H$1000, MATCH(A79&amp;"|"&amp;J79, 'Base Exámenes'!$I$5:$I$1000, 0))), ""), "")</f>
        <v>anonymous</v>
      </c>
      <c r="L79" s="22">
        <f>IF($A79="","",COUNTIF('Base Exámenes'!$C$5:$C$1000, A79))</f>
        <v>1</v>
      </c>
      <c r="M79" s="6" t="str">
        <f>IF($A79="","",IF(COUNTIF('Base Exámenes'!$C$5:$C$1000, A79)&gt;0, "", TRIM('Base Oficial'!H79)))</f>
        <v/>
      </c>
    </row>
    <row r="80">
      <c r="A80" s="4" t="str">
        <f>IF('Base Oficial'!A80="","",TRIM('Base Oficial'!A80))</f>
        <v>477</v>
      </c>
      <c r="B80" s="6" t="str">
        <f>IF($A80="","",TRIM('Base Oficial'!B80))</f>
        <v>GEMA YESENIA VILLALOBOS HERNANDEZ</v>
      </c>
      <c r="C80" s="6" t="str">
        <f>IF($A80="","",TRIM('Base Oficial'!F80))</f>
        <v>ADMINISTRACIÓN DE CARTERAS</v>
      </c>
      <c r="D80" s="6" t="str">
        <f>IF($A80="","",TRIM('Base Oficial'!G80))</f>
        <v>Gerencia de Operaciones</v>
      </c>
      <c r="E80" s="6" t="str">
        <f>IF($A80="","",TRIM('Base Oficial'!D80))</f>
        <v>ANALISTA DE CARTERAS</v>
      </c>
      <c r="F80" s="4" t="str">
        <f>IF($A80="","",IF(COUNTIF('Base Exámenes'!$C$5:$C$1000, A80)&gt;0, "Completado", IF(M80&lt;&gt;"", M80, "Pendiente")))</f>
        <v>Completado</v>
      </c>
      <c r="G80" s="11">
        <f>IF(F80="Completado", IFERROR(IF(INDEX('Base Exámenes'!$D$5:$D$1000, MATCH(A80&amp;"|"&amp;J80, 'Base Exámenes'!$I$5:$I$1000, 0))="", "", INDEX('Base Exámenes'!$D$5:$D$1000, MATCH(A80&amp;"|"&amp;J80, 'Base Exámenes'!$I$5:$I$1000, 0))), ""), "")</f>
        <v>46307.65331018518</v>
      </c>
      <c r="H80" s="11">
        <f>IF(F80="Completado", IFERROR(IF(INDEX('Base Exámenes'!$E$5:$E$1000, MATCH(A80&amp;"|"&amp;J80, 'Base Exámenes'!$I$5:$I$1000, 0))="", "", INDEX('Base Exámenes'!$E$5:$E$1000, MATCH(A80&amp;"|"&amp;J80, 'Base Exámenes'!$I$5:$I$1000, 0))), ""), "")</f>
        <v>46307.65584490741</v>
      </c>
      <c r="I80" s="10">
        <f>IF(F80="Completado", IFERROR(IF(INDEX('Base Exámenes'!$F$5:$F$1000, MATCH(A80&amp;"|"&amp;J80, 'Base Exámenes'!$I$5:$I$1000, 0))="", "", INDEX('Base Exámenes'!$F$5:$F$1000, MATCH(A80&amp;"|"&amp;J80, 'Base Exámenes'!$I$5:$I$1000, 0))), ""), "")</f>
        <v>3.65</v>
      </c>
      <c r="J80" s="6">
        <f>IF(F80="Completado", IF(COUNTIFS('Base Exámenes'!$C$5:$C$1000, A80, 'Base Exámenes'!$G$5:$G$1000, "&lt;&gt;")=0, "", _xlfn.MAXIFS('Base Exámenes'!$G$5:$G$1000, 'Base Exámenes'!$C$5:$C$1000, A80)), "")</f>
        <v>100</v>
      </c>
      <c r="K80" s="6" t="str">
        <f>IF(F80="Completado", IFERROR(IF(INDEX('Base Exámenes'!$H$5:$H$1000, MATCH(A80&amp;"|"&amp;J80, 'Base Exámenes'!$I$5:$I$1000, 0))="", "", INDEX('Base Exámenes'!$H$5:$H$1000, MATCH(A80&amp;"|"&amp;J80, 'Base Exámenes'!$I$5:$I$1000, 0))), ""), "")</f>
        <v>anonymous</v>
      </c>
      <c r="L80" s="22">
        <f>IF($A80="","",COUNTIF('Base Exámenes'!$C$5:$C$1000, A80))</f>
        <v>1</v>
      </c>
      <c r="M80" s="6" t="str">
        <f>IF($A80="","",IF(COUNTIF('Base Exámenes'!$C$5:$C$1000, A80)&gt;0, "", TRIM('Base Oficial'!H80)))</f>
        <v/>
      </c>
    </row>
    <row r="81">
      <c r="A81" s="4" t="str">
        <f>IF('Base Oficial'!A81="","",TRIM('Base Oficial'!A81))</f>
        <v>572</v>
      </c>
      <c r="B81" s="6" t="str">
        <f>IF($A81="","",TRIM('Base Oficial'!B81))</f>
        <v>PAMELA GIOVANNA AGUILAR SERBELLON</v>
      </c>
      <c r="C81" s="6" t="str">
        <f>IF($A81="","",TRIM('Base Oficial'!F81))</f>
        <v>ADMINISTRACIÓN DE CARTERAS</v>
      </c>
      <c r="D81" s="6" t="str">
        <f>IF($A81="","",TRIM('Base Oficial'!G81))</f>
        <v>Gerencia de Operaciones</v>
      </c>
      <c r="E81" s="6" t="str">
        <f>IF($A81="","",TRIM('Base Oficial'!D81))</f>
        <v>GESTOR DE COBROS Y PAGOS DE SEGUROS</v>
      </c>
      <c r="F81" s="4" t="str">
        <f>IF($A81="","",IF(COUNTIF('Base Exámenes'!$C$5:$C$1000, A81)&gt;0, "Completado", IF(M81&lt;&gt;"", M81, "Pendiente")))</f>
        <v>Completado</v>
      </c>
      <c r="G81" s="11">
        <f>IF(F81="Completado", IFERROR(IF(INDEX('Base Exámenes'!$D$5:$D$1000, MATCH(A81&amp;"|"&amp;J81, 'Base Exámenes'!$I$5:$I$1000, 0))="", "", INDEX('Base Exámenes'!$D$5:$D$1000, MATCH(A81&amp;"|"&amp;J81, 'Base Exámenes'!$I$5:$I$1000, 0))), ""), "")</f>
        <v>46304.494108796294</v>
      </c>
      <c r="H81" s="11">
        <f>IF(F81="Completado", IFERROR(IF(INDEX('Base Exámenes'!$E$5:$E$1000, MATCH(A81&amp;"|"&amp;J81, 'Base Exámenes'!$I$5:$I$1000, 0))="", "", INDEX('Base Exámenes'!$E$5:$E$1000, MATCH(A81&amp;"|"&amp;J81, 'Base Exámenes'!$I$5:$I$1000, 0))), ""), "")</f>
        <v>46304.51201388889</v>
      </c>
      <c r="I81" s="10">
        <f>IF(F81="Completado", IFERROR(IF(INDEX('Base Exámenes'!$F$5:$F$1000, MATCH(A81&amp;"|"&amp;J81, 'Base Exámenes'!$I$5:$I$1000, 0))="", "", INDEX('Base Exámenes'!$F$5:$F$1000, MATCH(A81&amp;"|"&amp;J81, 'Base Exámenes'!$I$5:$I$1000, 0))), ""), "")</f>
        <v>25.7833333333333</v>
      </c>
      <c r="J81" s="6">
        <f>IF(F81="Completado", IF(COUNTIFS('Base Exámenes'!$C$5:$C$1000, A81, 'Base Exámenes'!$G$5:$G$1000, "&lt;&gt;")=0, "", _xlfn.MAXIFS('Base Exámenes'!$G$5:$G$1000, 'Base Exámenes'!$C$5:$C$1000, A81)), "")</f>
        <v>100</v>
      </c>
      <c r="K81" s="6" t="str">
        <f>IF(F81="Completado", IFERROR(IF(INDEX('Base Exámenes'!$H$5:$H$1000, MATCH(A81&amp;"|"&amp;J81, 'Base Exámenes'!$I$5:$I$1000, 0))="", "", INDEX('Base Exámenes'!$H$5:$H$1000, MATCH(A81&amp;"|"&amp;J81, 'Base Exámenes'!$I$5:$I$1000, 0))), ""), "")</f>
        <v>anonymous</v>
      </c>
      <c r="L81" s="22">
        <f>IF($A81="","",COUNTIF('Base Exámenes'!$C$5:$C$1000, A81))</f>
        <v>1</v>
      </c>
      <c r="M81" s="6" t="str">
        <f>IF($A81="","",IF(COUNTIF('Base Exámenes'!$C$5:$C$1000, A81)&gt;0, "", TRIM('Base Oficial'!H81)))</f>
        <v/>
      </c>
    </row>
    <row r="82">
      <c r="A82" s="4" t="str">
        <f>IF('Base Oficial'!A82="","",TRIM('Base Oficial'!A82))</f>
        <v>732</v>
      </c>
      <c r="B82" s="6" t="str">
        <f>IF($A82="","",TRIM('Base Oficial'!B82))</f>
        <v>RICARDO JOSUE CACAO ROVELO</v>
      </c>
      <c r="C82" s="6" t="str">
        <f>IF($A82="","",TRIM('Base Oficial'!F82))</f>
        <v>ADMINISTRACIÓN DE CARTERAS</v>
      </c>
      <c r="D82" s="6" t="str">
        <f>IF($A82="","",TRIM('Base Oficial'!G82))</f>
        <v>Gerencia de Operaciones</v>
      </c>
      <c r="E82" s="6" t="str">
        <f>IF($A82="","",TRIM('Base Oficial'!D82))</f>
        <v>ANALISTA DE CARTERAS</v>
      </c>
      <c r="F82" s="4" t="str">
        <f>IF($A82="","",IF(COUNTIF('Base Exámenes'!$C$5:$C$1000, A82)&gt;0, "Completado", IF(M82&lt;&gt;"", M82, "Pendiente")))</f>
        <v>Completado</v>
      </c>
      <c r="G82" s="11">
        <f>IF(F82="Completado", IFERROR(IF(INDEX('Base Exámenes'!$D$5:$D$1000, MATCH(A82&amp;"|"&amp;J82, 'Base Exámenes'!$I$5:$I$1000, 0))="", "", INDEX('Base Exámenes'!$D$5:$D$1000, MATCH(A82&amp;"|"&amp;J82, 'Base Exámenes'!$I$5:$I$1000, 0))), ""), "")</f>
        <v>46311.67041666667</v>
      </c>
      <c r="H82" s="11">
        <f>IF(F82="Completado", IFERROR(IF(INDEX('Base Exámenes'!$E$5:$E$1000, MATCH(A82&amp;"|"&amp;J82, 'Base Exámenes'!$I$5:$I$1000, 0))="", "", INDEX('Base Exámenes'!$E$5:$E$1000, MATCH(A82&amp;"|"&amp;J82, 'Base Exámenes'!$I$5:$I$1000, 0))), ""), "")</f>
        <v>46311.675671296296</v>
      </c>
      <c r="I82" s="10">
        <f>IF(F82="Completado", IFERROR(IF(INDEX('Base Exámenes'!$F$5:$F$1000, MATCH(A82&amp;"|"&amp;J82, 'Base Exámenes'!$I$5:$I$1000, 0))="", "", INDEX('Base Exámenes'!$F$5:$F$1000, MATCH(A82&amp;"|"&amp;J82, 'Base Exámenes'!$I$5:$I$1000, 0))), ""), "")</f>
        <v>7.56666666666667</v>
      </c>
      <c r="J82" s="6">
        <f>IF(F82="Completado", IF(COUNTIFS('Base Exámenes'!$C$5:$C$1000, A82, 'Base Exámenes'!$G$5:$G$1000, "&lt;&gt;")=0, "", _xlfn.MAXIFS('Base Exámenes'!$G$5:$G$1000, 'Base Exámenes'!$C$5:$C$1000, A82)), "")</f>
        <v>100</v>
      </c>
      <c r="K82" s="6" t="str">
        <f>IF(F82="Completado", IFERROR(IF(INDEX('Base Exámenes'!$H$5:$H$1000, MATCH(A82&amp;"|"&amp;J82, 'Base Exámenes'!$I$5:$I$1000, 0))="", "", INDEX('Base Exámenes'!$H$5:$H$1000, MATCH(A82&amp;"|"&amp;J82, 'Base Exámenes'!$I$5:$I$1000, 0))), ""), "")</f>
        <v>anonymous</v>
      </c>
      <c r="L82" s="22">
        <f>IF($A82="","",COUNTIF('Base Exámenes'!$C$5:$C$1000, A82))</f>
        <v>1</v>
      </c>
      <c r="M82" s="6" t="str">
        <f>IF($A82="","",IF(COUNTIF('Base Exámenes'!$C$5:$C$1000, A82)&gt;0, "", TRIM('Base Oficial'!H82)))</f>
        <v/>
      </c>
    </row>
    <row r="83">
      <c r="A83" s="4" t="str">
        <f>IF('Base Oficial'!A83="","",TRIM('Base Oficial'!A83))</f>
        <v>931</v>
      </c>
      <c r="B83" s="6" t="str">
        <f>IF($A83="","",TRIM('Base Oficial'!B83))</f>
        <v>LOYDA ARACELY RAMOS CAÑENGUEZ</v>
      </c>
      <c r="C83" s="6" t="str">
        <f>IF($A83="","",TRIM('Base Oficial'!F83))</f>
        <v>ADMINISTRACIÓN DE CARTERAS</v>
      </c>
      <c r="D83" s="6" t="str">
        <f>IF($A83="","",TRIM('Base Oficial'!G83))</f>
        <v>Gerencia de Operaciones</v>
      </c>
      <c r="E83" s="6" t="str">
        <f>IF($A83="","",TRIM('Base Oficial'!D83))</f>
        <v>ANALISTA DE PRESTAMOS</v>
      </c>
      <c r="F83" s="4" t="str">
        <f>IF($A83="","",IF(COUNTIF('Base Exámenes'!$C$5:$C$1000, A83)&gt;0, "Completado", IF(M83&lt;&gt;"", M83, "Pendiente")))</f>
        <v>Completado</v>
      </c>
      <c r="G83" s="11">
        <f>IF(F83="Completado", IFERROR(IF(INDEX('Base Exámenes'!$D$5:$D$1000, MATCH(A83&amp;"|"&amp;J83, 'Base Exámenes'!$I$5:$I$1000, 0))="", "", INDEX('Base Exámenes'!$D$5:$D$1000, MATCH(A83&amp;"|"&amp;J83, 'Base Exámenes'!$I$5:$I$1000, 0))), ""), "")</f>
        <v>46304.56408564815</v>
      </c>
      <c r="H83" s="11">
        <f>IF(F83="Completado", IFERROR(IF(INDEX('Base Exámenes'!$E$5:$E$1000, MATCH(A83&amp;"|"&amp;J83, 'Base Exámenes'!$I$5:$I$1000, 0))="", "", INDEX('Base Exámenes'!$E$5:$E$1000, MATCH(A83&amp;"|"&amp;J83, 'Base Exámenes'!$I$5:$I$1000, 0))), ""), "")</f>
        <v>46304.56716435185</v>
      </c>
      <c r="I83" s="10">
        <f>IF(F83="Completado", IFERROR(IF(INDEX('Base Exámenes'!$F$5:$F$1000, MATCH(A83&amp;"|"&amp;J83, 'Base Exámenes'!$I$5:$I$1000, 0))="", "", INDEX('Base Exámenes'!$F$5:$F$1000, MATCH(A83&amp;"|"&amp;J83, 'Base Exámenes'!$I$5:$I$1000, 0))), ""), "")</f>
        <v>4.43333333333333</v>
      </c>
      <c r="J83" s="6">
        <f>IF(F83="Completado", IF(COUNTIFS('Base Exámenes'!$C$5:$C$1000, A83, 'Base Exámenes'!$G$5:$G$1000, "&lt;&gt;")=0, "", _xlfn.MAXIFS('Base Exámenes'!$G$5:$G$1000, 'Base Exámenes'!$C$5:$C$1000, A83)), "")</f>
        <v>100</v>
      </c>
      <c r="K83" s="6" t="str">
        <f>IF(F83="Completado", IFERROR(IF(INDEX('Base Exámenes'!$H$5:$H$1000, MATCH(A83&amp;"|"&amp;J83, 'Base Exámenes'!$I$5:$I$1000, 0))="", "", INDEX('Base Exámenes'!$H$5:$H$1000, MATCH(A83&amp;"|"&amp;J83, 'Base Exámenes'!$I$5:$I$1000, 0))), ""), "")</f>
        <v>anonymous</v>
      </c>
      <c r="L83" s="22">
        <f>IF($A83="","",COUNTIF('Base Exámenes'!$C$5:$C$1000, A83))</f>
        <v>1</v>
      </c>
      <c r="M83" s="6" t="str">
        <f>IF($A83="","",IF(COUNTIF('Base Exámenes'!$C$5:$C$1000, A83)&gt;0, "", TRIM('Base Oficial'!H83)))</f>
        <v/>
      </c>
    </row>
    <row r="84">
      <c r="A84" s="4" t="str">
        <f>IF('Base Oficial'!A84="","",TRIM('Base Oficial'!A84))</f>
        <v>942</v>
      </c>
      <c r="B84" s="6" t="str">
        <f>IF($A84="","",TRIM('Base Oficial'!B84))</f>
        <v>PAULA MARIA CALDERON PEREZ</v>
      </c>
      <c r="C84" s="6" t="str">
        <f>IF($A84="","",TRIM('Base Oficial'!F84))</f>
        <v>GERENCIA DE FINANZAS Y PLANIFICACIÓN</v>
      </c>
      <c r="D84" s="6" t="str">
        <f>IF($A84="","",TRIM('Base Oficial'!G84))</f>
        <v>Gerencia de Finanzas y Planificación</v>
      </c>
      <c r="E84" s="6" t="str">
        <f>IF($A84="","",TRIM('Base Oficial'!D84))</f>
        <v>ASISTENTE DE GERENCIA DE FINANZAS</v>
      </c>
      <c r="F84" s="4" t="str">
        <f>IF($A84="","",IF(COUNTIF('Base Exámenes'!$C$5:$C$1000, A84)&gt;0, "Completado", IF(M84&lt;&gt;"", M84, "Pendiente")))</f>
        <v>Completado</v>
      </c>
      <c r="G84" s="11">
        <f>IF(F84="Completado", IFERROR(IF(INDEX('Base Exámenes'!$D$5:$D$1000, MATCH(A84&amp;"|"&amp;J84, 'Base Exámenes'!$I$5:$I$1000, 0))="", "", INDEX('Base Exámenes'!$D$5:$D$1000, MATCH(A84&amp;"|"&amp;J84, 'Base Exámenes'!$I$5:$I$1000, 0))), ""), "")</f>
        <v>46305.467453703706</v>
      </c>
      <c r="H84" s="11">
        <f>IF(F84="Completado", IFERROR(IF(INDEX('Base Exámenes'!$E$5:$E$1000, MATCH(A84&amp;"|"&amp;J84, 'Base Exámenes'!$I$5:$I$1000, 0))="", "", INDEX('Base Exámenes'!$E$5:$E$1000, MATCH(A84&amp;"|"&amp;J84, 'Base Exámenes'!$I$5:$I$1000, 0))), ""), "")</f>
        <v>46305.470555555556</v>
      </c>
      <c r="I84" s="10">
        <f>IF(F84="Completado", IFERROR(IF(INDEX('Base Exámenes'!$F$5:$F$1000, MATCH(A84&amp;"|"&amp;J84, 'Base Exámenes'!$I$5:$I$1000, 0))="", "", INDEX('Base Exámenes'!$F$5:$F$1000, MATCH(A84&amp;"|"&amp;J84, 'Base Exámenes'!$I$5:$I$1000, 0))), ""), "")</f>
        <v>4.46666666666667</v>
      </c>
      <c r="J84" s="6">
        <f>IF(F84="Completado", IF(COUNTIFS('Base Exámenes'!$C$5:$C$1000, A84, 'Base Exámenes'!$G$5:$G$1000, "&lt;&gt;")=0, "", _xlfn.MAXIFS('Base Exámenes'!$G$5:$G$1000, 'Base Exámenes'!$C$5:$C$1000, A84)), "")</f>
        <v>100</v>
      </c>
      <c r="K84" s="6" t="str">
        <f>IF(F84="Completado", IFERROR(IF(INDEX('Base Exámenes'!$H$5:$H$1000, MATCH(A84&amp;"|"&amp;J84, 'Base Exámenes'!$I$5:$I$1000, 0))="", "", INDEX('Base Exámenes'!$H$5:$H$1000, MATCH(A84&amp;"|"&amp;J84, 'Base Exámenes'!$I$5:$I$1000, 0))), ""), "")</f>
        <v>anonymous</v>
      </c>
      <c r="L84" s="22">
        <f>IF($A84="","",COUNTIF('Base Exámenes'!$C$5:$C$1000, A84))</f>
        <v>1</v>
      </c>
      <c r="M84" s="6" t="str">
        <f>IF($A84="","",IF(COUNTIF('Base Exámenes'!$C$5:$C$1000, A84)&gt;0, "", TRIM('Base Oficial'!H84)))</f>
        <v/>
      </c>
    </row>
    <row r="85">
      <c r="A85" s="4" t="str">
        <f>IF('Base Oficial'!A85="","",TRIM('Base Oficial'!A85))</f>
        <v>70</v>
      </c>
      <c r="B85" s="6" t="str">
        <f>IF($A85="","",TRIM('Base Oficial'!B85))</f>
        <v>RUBIA ESTELA LEIVA SIBRIAN</v>
      </c>
      <c r="C85" s="6" t="str">
        <f>IF($A85="","",TRIM('Base Oficial'!F85))</f>
        <v>DEPARTAMENTO DE CONTABILIDAD</v>
      </c>
      <c r="D85" s="6" t="str">
        <f>IF($A85="","",TRIM('Base Oficial'!G85))</f>
        <v>Gerencia de Finanzas y Planificación</v>
      </c>
      <c r="E85" s="6" t="str">
        <f>IF($A85="","",TRIM('Base Oficial'!D85))</f>
        <v>ASISTENTE TECNICO DE PAGOS</v>
      </c>
      <c r="F85" s="4" t="str">
        <f>IF($A85="","",IF(COUNTIF('Base Exámenes'!$C$5:$C$1000, A85)&gt;0, "Completado", IF(M85&lt;&gt;"", M85, "Pendiente")))</f>
        <v>Completado</v>
      </c>
      <c r="G85" s="11">
        <f>IF(F85="Completado", IFERROR(IF(INDEX('Base Exámenes'!$D$5:$D$1000, MATCH(A85&amp;"|"&amp;J85, 'Base Exámenes'!$I$5:$I$1000, 0))="", "", INDEX('Base Exámenes'!$D$5:$D$1000, MATCH(A85&amp;"|"&amp;J85, 'Base Exámenes'!$I$5:$I$1000, 0))), ""), "")</f>
        <v>46309.704375</v>
      </c>
      <c r="H85" s="11">
        <f>IF(F85="Completado", IFERROR(IF(INDEX('Base Exámenes'!$E$5:$E$1000, MATCH(A85&amp;"|"&amp;J85, 'Base Exámenes'!$I$5:$I$1000, 0))="", "", INDEX('Base Exámenes'!$E$5:$E$1000, MATCH(A85&amp;"|"&amp;J85, 'Base Exámenes'!$I$5:$I$1000, 0))), ""), "")</f>
        <v>46309.709386574075</v>
      </c>
      <c r="I85" s="10">
        <f>IF(F85="Completado", IFERROR(IF(INDEX('Base Exámenes'!$F$5:$F$1000, MATCH(A85&amp;"|"&amp;J85, 'Base Exámenes'!$I$5:$I$1000, 0))="", "", INDEX('Base Exámenes'!$F$5:$F$1000, MATCH(A85&amp;"|"&amp;J85, 'Base Exámenes'!$I$5:$I$1000, 0))), ""), "")</f>
        <v>7.21666666666667</v>
      </c>
      <c r="J85" s="6">
        <f>IF(F85="Completado", IF(COUNTIFS('Base Exámenes'!$C$5:$C$1000, A85, 'Base Exámenes'!$G$5:$G$1000, "&lt;&gt;")=0, "", _xlfn.MAXIFS('Base Exámenes'!$G$5:$G$1000, 'Base Exámenes'!$C$5:$C$1000, A85)), "")</f>
        <v>100</v>
      </c>
      <c r="K85" s="6" t="str">
        <f>IF(F85="Completado", IFERROR(IF(INDEX('Base Exámenes'!$H$5:$H$1000, MATCH(A85&amp;"|"&amp;J85, 'Base Exámenes'!$I$5:$I$1000, 0))="", "", INDEX('Base Exámenes'!$H$5:$H$1000, MATCH(A85&amp;"|"&amp;J85, 'Base Exámenes'!$I$5:$I$1000, 0))), ""), "")</f>
        <v>anonymous</v>
      </c>
      <c r="L85" s="22">
        <f>IF($A85="","",COUNTIF('Base Exámenes'!$C$5:$C$1000, A85))</f>
        <v>1</v>
      </c>
      <c r="M85" s="6" t="str">
        <f>IF($A85="","",IF(COUNTIF('Base Exámenes'!$C$5:$C$1000, A85)&gt;0, "", TRIM('Base Oficial'!H85)))</f>
        <v/>
      </c>
    </row>
    <row r="86">
      <c r="A86" s="4" t="str">
        <f>IF('Base Oficial'!A86="","",TRIM('Base Oficial'!A86))</f>
        <v>235</v>
      </c>
      <c r="B86" s="6" t="str">
        <f>IF($A86="","",TRIM('Base Oficial'!B86))</f>
        <v>CLAUDIA MARLENE CABRERA SANCHEZ</v>
      </c>
      <c r="C86" s="6" t="str">
        <f>IF($A86="","",TRIM('Base Oficial'!F86))</f>
        <v>DEPARTAMENTO DE CONTABILIDAD</v>
      </c>
      <c r="D86" s="6" t="str">
        <f>IF($A86="","",TRIM('Base Oficial'!G86))</f>
        <v>Gerencia de Finanzas y Planificación</v>
      </c>
      <c r="E86" s="6" t="str">
        <f>IF($A86="","",TRIM('Base Oficial'!D86))</f>
        <v>SUPERVISOR DE CONTABILIDAD</v>
      </c>
      <c r="F86" s="4" t="str">
        <f>IF($A86="","",IF(COUNTIF('Base Exámenes'!$C$5:$C$1000, A86)&gt;0, "Completado", IF(M86&lt;&gt;"", M86, "Pendiente")))</f>
        <v>Completado</v>
      </c>
      <c r="G86" s="11">
        <f>IF(F86="Completado", IFERROR(IF(INDEX('Base Exámenes'!$D$5:$D$1000, MATCH(A86&amp;"|"&amp;J86, 'Base Exámenes'!$I$5:$I$1000, 0))="", "", INDEX('Base Exámenes'!$D$5:$D$1000, MATCH(A86&amp;"|"&amp;J86, 'Base Exámenes'!$I$5:$I$1000, 0))), ""), "")</f>
        <v>46310.56259259259</v>
      </c>
      <c r="H86" s="11">
        <f>IF(F86="Completado", IFERROR(IF(INDEX('Base Exámenes'!$E$5:$E$1000, MATCH(A86&amp;"|"&amp;J86, 'Base Exámenes'!$I$5:$I$1000, 0))="", "", INDEX('Base Exámenes'!$E$5:$E$1000, MATCH(A86&amp;"|"&amp;J86, 'Base Exámenes'!$I$5:$I$1000, 0))), ""), "")</f>
        <v>46310.569606481484</v>
      </c>
      <c r="I86" s="10">
        <f>IF(F86="Completado", IFERROR(IF(INDEX('Base Exámenes'!$F$5:$F$1000, MATCH(A86&amp;"|"&amp;J86, 'Base Exámenes'!$I$5:$I$1000, 0))="", "", INDEX('Base Exámenes'!$F$5:$F$1000, MATCH(A86&amp;"|"&amp;J86, 'Base Exámenes'!$I$5:$I$1000, 0))), ""), "")</f>
        <v>10.1</v>
      </c>
      <c r="J86" s="6">
        <f>IF(F86="Completado", IF(COUNTIFS('Base Exámenes'!$C$5:$C$1000, A86, 'Base Exámenes'!$G$5:$G$1000, "&lt;&gt;")=0, "", _xlfn.MAXIFS('Base Exámenes'!$G$5:$G$1000, 'Base Exámenes'!$C$5:$C$1000, A86)), "")</f>
        <v>100</v>
      </c>
      <c r="K86" s="6" t="str">
        <f>IF(F86="Completado", IFERROR(IF(INDEX('Base Exámenes'!$H$5:$H$1000, MATCH(A86&amp;"|"&amp;J86, 'Base Exámenes'!$I$5:$I$1000, 0))="", "", INDEX('Base Exámenes'!$H$5:$H$1000, MATCH(A86&amp;"|"&amp;J86, 'Base Exámenes'!$I$5:$I$1000, 0))), ""), "")</f>
        <v>anonymous</v>
      </c>
      <c r="L86" s="22">
        <f>IF($A86="","",COUNTIF('Base Exámenes'!$C$5:$C$1000, A86))</f>
        <v>1</v>
      </c>
      <c r="M86" s="6" t="str">
        <f>IF($A86="","",IF(COUNTIF('Base Exámenes'!$C$5:$C$1000, A86)&gt;0, "", TRIM('Base Oficial'!H86)))</f>
        <v/>
      </c>
    </row>
    <row r="87">
      <c r="A87" s="4" t="str">
        <f>IF('Base Oficial'!A87="","",TRIM('Base Oficial'!A87))</f>
        <v>373</v>
      </c>
      <c r="B87" s="6" t="str">
        <f>IF($A87="","",TRIM('Base Oficial'!B87))</f>
        <v>MARTA ELIZABETH RODRIGUEZ INESTROZA</v>
      </c>
      <c r="C87" s="6" t="str">
        <f>IF($A87="","",TRIM('Base Oficial'!F87))</f>
        <v>DEPARTAMENTO DE CONTABILIDAD</v>
      </c>
      <c r="D87" s="6" t="str">
        <f>IF($A87="","",TRIM('Base Oficial'!G87))</f>
        <v>Gerencia de Finanzas y Planificación</v>
      </c>
      <c r="E87" s="6" t="str">
        <f>IF($A87="","",TRIM('Base Oficial'!D87))</f>
        <v>CONTADOR GENERAL</v>
      </c>
      <c r="F87" s="4" t="str">
        <f>IF($A87="","",IF(COUNTIF('Base Exámenes'!$C$5:$C$1000, A87)&gt;0, "Completado", IF(M87&lt;&gt;"", M87, "Pendiente")))</f>
        <v>Completado</v>
      </c>
      <c r="G87" s="11">
        <f>IF(F87="Completado", IFERROR(IF(INDEX('Base Exámenes'!$D$5:$D$1000, MATCH(A87&amp;"|"&amp;J87, 'Base Exámenes'!$I$5:$I$1000, 0))="", "", INDEX('Base Exámenes'!$D$5:$D$1000, MATCH(A87&amp;"|"&amp;J87, 'Base Exámenes'!$I$5:$I$1000, 0))), ""), "")</f>
        <v>46296.826469907406</v>
      </c>
      <c r="H87" s="11">
        <f>IF(F87="Completado", IFERROR(IF(INDEX('Base Exámenes'!$E$5:$E$1000, MATCH(A87&amp;"|"&amp;J87, 'Base Exámenes'!$I$5:$I$1000, 0))="", "", INDEX('Base Exámenes'!$E$5:$E$1000, MATCH(A87&amp;"|"&amp;J87, 'Base Exámenes'!$I$5:$I$1000, 0))), ""), "")</f>
        <v>46296.82847222222</v>
      </c>
      <c r="I87" s="10">
        <f>IF(F87="Completado", IFERROR(IF(INDEX('Base Exámenes'!$F$5:$F$1000, MATCH(A87&amp;"|"&amp;J87, 'Base Exámenes'!$I$5:$I$1000, 0))="", "", INDEX('Base Exámenes'!$F$5:$F$1000, MATCH(A87&amp;"|"&amp;J87, 'Base Exámenes'!$I$5:$I$1000, 0))), ""), "")</f>
        <v>2.88333333333333</v>
      </c>
      <c r="J87" s="6">
        <f>IF(F87="Completado", IF(COUNTIFS('Base Exámenes'!$C$5:$C$1000, A87, 'Base Exámenes'!$G$5:$G$1000, "&lt;&gt;")=0, "", _xlfn.MAXIFS('Base Exámenes'!$G$5:$G$1000, 'Base Exámenes'!$C$5:$C$1000, A87)), "")</f>
        <v>100</v>
      </c>
      <c r="K87" s="6" t="str">
        <f>IF(F87="Completado", IFERROR(IF(INDEX('Base Exámenes'!$H$5:$H$1000, MATCH(A87&amp;"|"&amp;J87, 'Base Exámenes'!$I$5:$I$1000, 0))="", "", INDEX('Base Exámenes'!$H$5:$H$1000, MATCH(A87&amp;"|"&amp;J87, 'Base Exámenes'!$I$5:$I$1000, 0))), ""), "")</f>
        <v>anonymous</v>
      </c>
      <c r="L87" s="22">
        <f>IF($A87="","",COUNTIF('Base Exámenes'!$C$5:$C$1000, A87))</f>
        <v>1</v>
      </c>
      <c r="M87" s="6" t="str">
        <f>IF($A87="","",IF(COUNTIF('Base Exámenes'!$C$5:$C$1000, A87)&gt;0, "", TRIM('Base Oficial'!H87)))</f>
        <v/>
      </c>
    </row>
    <row r="88">
      <c r="A88" s="4" t="str">
        <f>IF('Base Oficial'!A88="","",TRIM('Base Oficial'!A88))</f>
        <v>374</v>
      </c>
      <c r="B88" s="6" t="str">
        <f>IF($A88="","",TRIM('Base Oficial'!B88))</f>
        <v>THELMA JUDITH QUINTANILLA VALLE</v>
      </c>
      <c r="C88" s="6" t="str">
        <f>IF($A88="","",TRIM('Base Oficial'!F88))</f>
        <v>DEPARTAMENTO DE CONTABILIDAD</v>
      </c>
      <c r="D88" s="6" t="str">
        <f>IF($A88="","",TRIM('Base Oficial'!G88))</f>
        <v>Gerencia de Finanzas y Planificación</v>
      </c>
      <c r="E88" s="6" t="str">
        <f>IF($A88="","",TRIM('Base Oficial'!D88))</f>
        <v>AUXILIAR CONTABLE DE DIGITALIZACION</v>
      </c>
      <c r="F88" s="4" t="str">
        <f>IF($A88="","",IF(COUNTIF('Base Exámenes'!$C$5:$C$1000, A88)&gt;0, "Completado", IF(M88&lt;&gt;"", M88, "Pendiente")))</f>
        <v>Completado</v>
      </c>
      <c r="G88" s="11">
        <f>IF(F88="Completado", IFERROR(IF(INDEX('Base Exámenes'!$D$5:$D$1000, MATCH(A88&amp;"|"&amp;J88, 'Base Exámenes'!$I$5:$I$1000, 0))="", "", INDEX('Base Exámenes'!$D$5:$D$1000, MATCH(A88&amp;"|"&amp;J88, 'Base Exámenes'!$I$5:$I$1000, 0))), ""), "")</f>
        <v>46309.378587962965</v>
      </c>
      <c r="H88" s="11">
        <f>IF(F88="Completado", IFERROR(IF(INDEX('Base Exámenes'!$E$5:$E$1000, MATCH(A88&amp;"|"&amp;J88, 'Base Exámenes'!$I$5:$I$1000, 0))="", "", INDEX('Base Exámenes'!$E$5:$E$1000, MATCH(A88&amp;"|"&amp;J88, 'Base Exámenes'!$I$5:$I$1000, 0))), ""), "")</f>
        <v>46309.386967592596</v>
      </c>
      <c r="I88" s="10">
        <f>IF(F88="Completado", IFERROR(IF(INDEX('Base Exámenes'!$F$5:$F$1000, MATCH(A88&amp;"|"&amp;J88, 'Base Exámenes'!$I$5:$I$1000, 0))="", "", INDEX('Base Exámenes'!$F$5:$F$1000, MATCH(A88&amp;"|"&amp;J88, 'Base Exámenes'!$I$5:$I$1000, 0))), ""), "")</f>
        <v>12.0666666899333</v>
      </c>
      <c r="J88" s="6">
        <f>IF(F88="Completado", IF(COUNTIFS('Base Exámenes'!$C$5:$C$1000, A88, 'Base Exámenes'!$G$5:$G$1000, "&lt;&gt;")=0, "", _xlfn.MAXIFS('Base Exámenes'!$G$5:$G$1000, 'Base Exámenes'!$C$5:$C$1000, A88)), "")</f>
        <v>85</v>
      </c>
      <c r="K88" s="6" t="str">
        <f>IF(F88="Completado", IFERROR(IF(INDEX('Base Exámenes'!$H$5:$H$1000, MATCH(A88&amp;"|"&amp;J88, 'Base Exámenes'!$I$5:$I$1000, 0))="", "", INDEX('Base Exámenes'!$H$5:$H$1000, MATCH(A88&amp;"|"&amp;J88, 'Base Exámenes'!$I$5:$I$1000, 0))), ""), "")</f>
        <v>anonymous</v>
      </c>
      <c r="L88" s="22">
        <f>IF($A88="","",COUNTIF('Base Exámenes'!$C$5:$C$1000, A88))</f>
        <v>1</v>
      </c>
      <c r="M88" s="6" t="str">
        <f>IF($A88="","",IF(COUNTIF('Base Exámenes'!$C$5:$C$1000, A88)&gt;0, "", TRIM('Base Oficial'!H88)))</f>
        <v/>
      </c>
    </row>
    <row r="89">
      <c r="A89" s="4" t="str">
        <f>IF('Base Oficial'!A89="","",TRIM('Base Oficial'!A89))</f>
        <v>571</v>
      </c>
      <c r="B89" s="6" t="str">
        <f>IF($A89="","",TRIM('Base Oficial'!B89))</f>
        <v>MILAGRO TRINIDAD ROMERO MONTERROSA</v>
      </c>
      <c r="C89" s="6" t="str">
        <f>IF($A89="","",TRIM('Base Oficial'!F89))</f>
        <v>DEPARTAMENTO DE CONTABILIDAD</v>
      </c>
      <c r="D89" s="6" t="str">
        <f>IF($A89="","",TRIM('Base Oficial'!G89))</f>
        <v>Gerencia de Finanzas y Planificación</v>
      </c>
      <c r="E89" s="6" t="str">
        <f>IF($A89="","",TRIM('Base Oficial'!D89))</f>
        <v>ASISTENTE TECNICO DE IMPUESTOS</v>
      </c>
      <c r="F89" s="4" t="str">
        <f>IF($A89="","",IF(COUNTIF('Base Exámenes'!$C$5:$C$1000, A89)&gt;0, "Completado", IF(M89&lt;&gt;"", M89, "Pendiente")))</f>
        <v>Completado</v>
      </c>
      <c r="G89" s="11">
        <f>IF(F89="Completado", IFERROR(IF(INDEX('Base Exámenes'!$D$5:$D$1000, MATCH(A89&amp;"|"&amp;J89, 'Base Exámenes'!$I$5:$I$1000, 0))="", "", INDEX('Base Exámenes'!$D$5:$D$1000, MATCH(A89&amp;"|"&amp;J89, 'Base Exámenes'!$I$5:$I$1000, 0))), ""), "")</f>
        <v>46310.56104166667</v>
      </c>
      <c r="H89" s="11">
        <f>IF(F89="Completado", IFERROR(IF(INDEX('Base Exámenes'!$E$5:$E$1000, MATCH(A89&amp;"|"&amp;J89, 'Base Exámenes'!$I$5:$I$1000, 0))="", "", INDEX('Base Exámenes'!$E$5:$E$1000, MATCH(A89&amp;"|"&amp;J89, 'Base Exámenes'!$I$5:$I$1000, 0))), ""), "")</f>
        <v>46310.56497685185</v>
      </c>
      <c r="I89" s="10">
        <f>IF(F89="Completado", IFERROR(IF(INDEX('Base Exámenes'!$F$5:$F$1000, MATCH(A89&amp;"|"&amp;J89, 'Base Exámenes'!$I$5:$I$1000, 0))="", "", INDEX('Base Exámenes'!$F$5:$F$1000, MATCH(A89&amp;"|"&amp;J89, 'Base Exámenes'!$I$5:$I$1000, 0))), ""), "")</f>
        <v>5.66666666666667</v>
      </c>
      <c r="J89" s="6">
        <f>IF(F89="Completado", IF(COUNTIFS('Base Exámenes'!$C$5:$C$1000, A89, 'Base Exámenes'!$G$5:$G$1000, "&lt;&gt;")=0, "", _xlfn.MAXIFS('Base Exámenes'!$G$5:$G$1000, 'Base Exámenes'!$C$5:$C$1000, A89)), "")</f>
        <v>100</v>
      </c>
      <c r="K89" s="6" t="str">
        <f>IF(F89="Completado", IFERROR(IF(INDEX('Base Exámenes'!$H$5:$H$1000, MATCH(A89&amp;"|"&amp;J89, 'Base Exámenes'!$I$5:$I$1000, 0))="", "", INDEX('Base Exámenes'!$H$5:$H$1000, MATCH(A89&amp;"|"&amp;J89, 'Base Exámenes'!$I$5:$I$1000, 0))), ""), "")</f>
        <v>anonymous</v>
      </c>
      <c r="L89" s="22">
        <f>IF($A89="","",COUNTIF('Base Exámenes'!$C$5:$C$1000, A89))</f>
        <v>1</v>
      </c>
      <c r="M89" s="6" t="str">
        <f>IF($A89="","",IF(COUNTIF('Base Exámenes'!$C$5:$C$1000, A89)&gt;0, "", TRIM('Base Oficial'!H89)))</f>
        <v/>
      </c>
    </row>
    <row r="90">
      <c r="A90" s="4" t="str">
        <f>IF('Base Oficial'!A90="","",TRIM('Base Oficial'!A90))</f>
        <v>676</v>
      </c>
      <c r="B90" s="6" t="str">
        <f>IF($A90="","",TRIM('Base Oficial'!B90))</f>
        <v>DANIEL ENRIQUE FLORES RAMIREZ</v>
      </c>
      <c r="C90" s="6" t="str">
        <f>IF($A90="","",TRIM('Base Oficial'!F90))</f>
        <v>DEPARTAMENTO DE CONTABILIDAD</v>
      </c>
      <c r="D90" s="6" t="str">
        <f>IF($A90="","",TRIM('Base Oficial'!G90))</f>
        <v>Gerencia de Finanzas y Planificación</v>
      </c>
      <c r="E90" s="6" t="str">
        <f>IF($A90="","",TRIM('Base Oficial'!D90))</f>
        <v>ASISTENTE TECNICO DE TARJETA DE CREDITO Y DEBITO</v>
      </c>
      <c r="F90" s="4" t="str">
        <f>IF($A90="","",IF(COUNTIF('Base Exámenes'!$C$5:$C$1000, A90)&gt;0, "Completado", IF(M90&lt;&gt;"", M90, "Pendiente")))</f>
        <v>Completado</v>
      </c>
      <c r="G90" s="11">
        <f>IF(F90="Completado", IFERROR(IF(INDEX('Base Exámenes'!$D$5:$D$1000, MATCH(A90&amp;"|"&amp;J90, 'Base Exámenes'!$I$5:$I$1000, 0))="", "", INDEX('Base Exámenes'!$D$5:$D$1000, MATCH(A90&amp;"|"&amp;J90, 'Base Exámenes'!$I$5:$I$1000, 0))), ""), "")</f>
        <v>46304.35847222222</v>
      </c>
      <c r="H90" s="11">
        <f>IF(F90="Completado", IFERROR(IF(INDEX('Base Exámenes'!$E$5:$E$1000, MATCH(A90&amp;"|"&amp;J90, 'Base Exámenes'!$I$5:$I$1000, 0))="", "", INDEX('Base Exámenes'!$E$5:$E$1000, MATCH(A90&amp;"|"&amp;J90, 'Base Exámenes'!$I$5:$I$1000, 0))), ""), "")</f>
        <v>46304.36083333333</v>
      </c>
      <c r="I90" s="10">
        <f>IF(F90="Completado", IFERROR(IF(INDEX('Base Exámenes'!$F$5:$F$1000, MATCH(A90&amp;"|"&amp;J90, 'Base Exámenes'!$I$5:$I$1000, 0))="", "", INDEX('Base Exámenes'!$F$5:$F$1000, MATCH(A90&amp;"|"&amp;J90, 'Base Exámenes'!$I$5:$I$1000, 0))), ""), "")</f>
        <v>3.4</v>
      </c>
      <c r="J90" s="6">
        <f>IF(F90="Completado", IF(COUNTIFS('Base Exámenes'!$C$5:$C$1000, A90, 'Base Exámenes'!$G$5:$G$1000, "&lt;&gt;")=0, "", _xlfn.MAXIFS('Base Exámenes'!$G$5:$G$1000, 'Base Exámenes'!$C$5:$C$1000, A90)), "")</f>
        <v>100</v>
      </c>
      <c r="K90" s="6" t="str">
        <f>IF(F90="Completado", IFERROR(IF(INDEX('Base Exámenes'!$H$5:$H$1000, MATCH(A90&amp;"|"&amp;J90, 'Base Exámenes'!$I$5:$I$1000, 0))="", "", INDEX('Base Exámenes'!$H$5:$H$1000, MATCH(A90&amp;"|"&amp;J90, 'Base Exámenes'!$I$5:$I$1000, 0))), ""), "")</f>
        <v>anonymous</v>
      </c>
      <c r="L90" s="22">
        <f>IF($A90="","",COUNTIF('Base Exámenes'!$C$5:$C$1000, A90))</f>
        <v>1</v>
      </c>
      <c r="M90" s="6" t="str">
        <f>IF($A90="","",IF(COUNTIF('Base Exámenes'!$C$5:$C$1000, A90)&gt;0, "", TRIM('Base Oficial'!H90)))</f>
        <v/>
      </c>
    </row>
    <row r="91">
      <c r="A91" s="4" t="str">
        <f>IF('Base Oficial'!A91="","",TRIM('Base Oficial'!A91))</f>
        <v>733</v>
      </c>
      <c r="B91" s="6" t="str">
        <f>IF($A91="","",TRIM('Base Oficial'!B91))</f>
        <v>ROSSEMARY YAMILETH LOBATO MARTINEZ</v>
      </c>
      <c r="C91" s="6" t="str">
        <f>IF($A91="","",TRIM('Base Oficial'!F91))</f>
        <v>DEPARTAMENTO DE CONTABILIDAD</v>
      </c>
      <c r="D91" s="6" t="str">
        <f>IF($A91="","",TRIM('Base Oficial'!G91))</f>
        <v>Gerencia de Finanzas y Planificación</v>
      </c>
      <c r="E91" s="6" t="str">
        <f>IF($A91="","",TRIM('Base Oficial'!D91))</f>
        <v>ASISTENTE TECNICO DE PAGOS</v>
      </c>
      <c r="F91" s="4" t="str">
        <f>IF($A91="","",IF(COUNTIF('Base Exámenes'!$C$5:$C$1000, A91)&gt;0, "Completado", IF(M91&lt;&gt;"", M91, "Pendiente")))</f>
        <v>Completado</v>
      </c>
      <c r="G91" s="11">
        <f>IF(F91="Completado", IFERROR(IF(INDEX('Base Exámenes'!$D$5:$D$1000, MATCH(A91&amp;"|"&amp;J91, 'Base Exámenes'!$I$5:$I$1000, 0))="", "", INDEX('Base Exámenes'!$D$5:$D$1000, MATCH(A91&amp;"|"&amp;J91, 'Base Exámenes'!$I$5:$I$1000, 0))), ""), "")</f>
        <v>46300.30724537037</v>
      </c>
      <c r="H91" s="11">
        <f>IF(F91="Completado", IFERROR(IF(INDEX('Base Exámenes'!$E$5:$E$1000, MATCH(A91&amp;"|"&amp;J91, 'Base Exámenes'!$I$5:$I$1000, 0))="", "", INDEX('Base Exámenes'!$E$5:$E$1000, MATCH(A91&amp;"|"&amp;J91, 'Base Exámenes'!$I$5:$I$1000, 0))), ""), "")</f>
        <v>46300.31707175926</v>
      </c>
      <c r="I91" s="10">
        <f>IF(F91="Completado", IFERROR(IF(INDEX('Base Exámenes'!$F$5:$F$1000, MATCH(A91&amp;"|"&amp;J91, 'Base Exámenes'!$I$5:$I$1000, 0))="", "", INDEX('Base Exámenes'!$F$5:$F$1000, MATCH(A91&amp;"|"&amp;J91, 'Base Exámenes'!$I$5:$I$1000, 0))), ""), "")</f>
        <v>14.15</v>
      </c>
      <c r="J91" s="6">
        <f>IF(F91="Completado", IF(COUNTIFS('Base Exámenes'!$C$5:$C$1000, A91, 'Base Exámenes'!$G$5:$G$1000, "&lt;&gt;")=0, "", _xlfn.MAXIFS('Base Exámenes'!$G$5:$G$1000, 'Base Exámenes'!$C$5:$C$1000, A91)), "")</f>
        <v>100</v>
      </c>
      <c r="K91" s="6" t="str">
        <f>IF(F91="Completado", IFERROR(IF(INDEX('Base Exámenes'!$H$5:$H$1000, MATCH(A91&amp;"|"&amp;J91, 'Base Exámenes'!$I$5:$I$1000, 0))="", "", INDEX('Base Exámenes'!$H$5:$H$1000, MATCH(A91&amp;"|"&amp;J91, 'Base Exámenes'!$I$5:$I$1000, 0))), ""), "")</f>
        <v>anonymous</v>
      </c>
      <c r="L91" s="22">
        <f>IF($A91="","",COUNTIF('Base Exámenes'!$C$5:$C$1000, A91))</f>
        <v>1</v>
      </c>
      <c r="M91" s="6" t="str">
        <f>IF($A91="","",IF(COUNTIF('Base Exámenes'!$C$5:$C$1000, A91)&gt;0, "", TRIM('Base Oficial'!H91)))</f>
        <v/>
      </c>
    </row>
    <row r="92">
      <c r="A92" s="4" t="str">
        <f>IF('Base Oficial'!A92="","",TRIM('Base Oficial'!A92))</f>
        <v>749</v>
      </c>
      <c r="B92" s="6" t="str">
        <f>IF($A92="","",TRIM('Base Oficial'!B92))</f>
        <v>JENNIFER MARCELA MORALES TORRES</v>
      </c>
      <c r="C92" s="6" t="str">
        <f>IF($A92="","",TRIM('Base Oficial'!F92))</f>
        <v>DEPARTAMENTO DE CONTABILIDAD</v>
      </c>
      <c r="D92" s="6" t="str">
        <f>IF($A92="","",TRIM('Base Oficial'!G92))</f>
        <v>Gerencia de Finanzas y Planificación</v>
      </c>
      <c r="E92" s="6" t="str">
        <f>IF($A92="","",TRIM('Base Oficial'!D92))</f>
        <v>CONTADOR BANCARIO</v>
      </c>
      <c r="F92" s="4" t="str">
        <f>IF($A92="","",IF(COUNTIF('Base Exámenes'!$C$5:$C$1000, A92)&gt;0, "Completado", IF(M92&lt;&gt;"", M92, "Pendiente")))</f>
        <v>Completado</v>
      </c>
      <c r="G92" s="11">
        <f>IF(F92="Completado", IFERROR(IF(INDEX('Base Exámenes'!$D$5:$D$1000, MATCH(A92&amp;"|"&amp;J92, 'Base Exámenes'!$I$5:$I$1000, 0))="", "", INDEX('Base Exámenes'!$D$5:$D$1000, MATCH(A92&amp;"|"&amp;J92, 'Base Exámenes'!$I$5:$I$1000, 0))), ""), "")</f>
        <v>46307.38872685185</v>
      </c>
      <c r="H92" s="11">
        <f>IF(F92="Completado", IFERROR(IF(INDEX('Base Exámenes'!$E$5:$E$1000, MATCH(A92&amp;"|"&amp;J92, 'Base Exámenes'!$I$5:$I$1000, 0))="", "", INDEX('Base Exámenes'!$E$5:$E$1000, MATCH(A92&amp;"|"&amp;J92, 'Base Exámenes'!$I$5:$I$1000, 0))), ""), "")</f>
        <v>46307.39042824074</v>
      </c>
      <c r="I92" s="10">
        <f>IF(F92="Completado", IFERROR(IF(INDEX('Base Exámenes'!$F$5:$F$1000, MATCH(A92&amp;"|"&amp;J92, 'Base Exámenes'!$I$5:$I$1000, 0))="", "", INDEX('Base Exámenes'!$F$5:$F$1000, MATCH(A92&amp;"|"&amp;J92, 'Base Exámenes'!$I$5:$I$1000, 0))), ""), "")</f>
        <v>2.45</v>
      </c>
      <c r="J92" s="6">
        <f>IF(F92="Completado", IF(COUNTIFS('Base Exámenes'!$C$5:$C$1000, A92, 'Base Exámenes'!$G$5:$G$1000, "&lt;&gt;")=0, "", _xlfn.MAXIFS('Base Exámenes'!$G$5:$G$1000, 'Base Exámenes'!$C$5:$C$1000, A92)), "")</f>
        <v>100</v>
      </c>
      <c r="K92" s="6" t="str">
        <f>IF(F92="Completado", IFERROR(IF(INDEX('Base Exámenes'!$H$5:$H$1000, MATCH(A92&amp;"|"&amp;J92, 'Base Exámenes'!$I$5:$I$1000, 0))="", "", INDEX('Base Exámenes'!$H$5:$H$1000, MATCH(A92&amp;"|"&amp;J92, 'Base Exámenes'!$I$5:$I$1000, 0))), ""), "")</f>
        <v>anonymous</v>
      </c>
      <c r="L92" s="22">
        <f>IF($A92="","",COUNTIF('Base Exámenes'!$C$5:$C$1000, A92))</f>
        <v>1</v>
      </c>
      <c r="M92" s="6" t="str">
        <f>IF($A92="","",IF(COUNTIF('Base Exámenes'!$C$5:$C$1000, A92)&gt;0, "", TRIM('Base Oficial'!H92)))</f>
        <v/>
      </c>
    </row>
    <row r="93">
      <c r="A93" s="4" t="str">
        <f>IF('Base Oficial'!A93="","",TRIM('Base Oficial'!A93))</f>
        <v>778</v>
      </c>
      <c r="B93" s="6" t="str">
        <f>IF($A93="","",TRIM('Base Oficial'!B93))</f>
        <v>ERICK RODRIGO ORTIZ TURCIOS</v>
      </c>
      <c r="C93" s="6" t="str">
        <f>IF($A93="","",TRIM('Base Oficial'!F93))</f>
        <v>DEPARTAMENTO DE CONTABILIDAD</v>
      </c>
      <c r="D93" s="6" t="str">
        <f>IF($A93="","",TRIM('Base Oficial'!G93))</f>
        <v>Gerencia de Finanzas y Planificación</v>
      </c>
      <c r="E93" s="6" t="str">
        <f>IF($A93="","",TRIM('Base Oficial'!D93))</f>
        <v>ASISTENTE TECNICO DE AGENCIA CENTRAL</v>
      </c>
      <c r="F93" s="4" t="str">
        <f>IF($A93="","",IF(COUNTIF('Base Exámenes'!$C$5:$C$1000, A93)&gt;0, "Completado", IF(M93&lt;&gt;"", M93, "Pendiente")))</f>
        <v>Completado</v>
      </c>
      <c r="G93" s="11">
        <f>IF(F93="Completado", IFERROR(IF(INDEX('Base Exámenes'!$D$5:$D$1000, MATCH(A93&amp;"|"&amp;J93, 'Base Exámenes'!$I$5:$I$1000, 0))="", "", INDEX('Base Exámenes'!$D$5:$D$1000, MATCH(A93&amp;"|"&amp;J93, 'Base Exámenes'!$I$5:$I$1000, 0))), ""), "")</f>
        <v>46304.33164351852</v>
      </c>
      <c r="H93" s="11">
        <f>IF(F93="Completado", IFERROR(IF(INDEX('Base Exámenes'!$E$5:$E$1000, MATCH(A93&amp;"|"&amp;J93, 'Base Exámenes'!$I$5:$I$1000, 0))="", "", INDEX('Base Exámenes'!$E$5:$E$1000, MATCH(A93&amp;"|"&amp;J93, 'Base Exámenes'!$I$5:$I$1000, 0))), ""), "")</f>
        <v>46304.33385416667</v>
      </c>
      <c r="I93" s="10">
        <f>IF(F93="Completado", IFERROR(IF(INDEX('Base Exámenes'!$F$5:$F$1000, MATCH(A93&amp;"|"&amp;J93, 'Base Exámenes'!$I$5:$I$1000, 0))="", "", INDEX('Base Exámenes'!$F$5:$F$1000, MATCH(A93&amp;"|"&amp;J93, 'Base Exámenes'!$I$5:$I$1000, 0))), ""), "")</f>
        <v>3.18333333333333</v>
      </c>
      <c r="J93" s="6">
        <f>IF(F93="Completado", IF(COUNTIFS('Base Exámenes'!$C$5:$C$1000, A93, 'Base Exámenes'!$G$5:$G$1000, "&lt;&gt;")=0, "", _xlfn.MAXIFS('Base Exámenes'!$G$5:$G$1000, 'Base Exámenes'!$C$5:$C$1000, A93)), "")</f>
        <v>100</v>
      </c>
      <c r="K93" s="6" t="str">
        <f>IF(F93="Completado", IFERROR(IF(INDEX('Base Exámenes'!$H$5:$H$1000, MATCH(A93&amp;"|"&amp;J93, 'Base Exámenes'!$I$5:$I$1000, 0))="", "", INDEX('Base Exámenes'!$H$5:$H$1000, MATCH(A93&amp;"|"&amp;J93, 'Base Exámenes'!$I$5:$I$1000, 0))), ""), "")</f>
        <v>anonymous</v>
      </c>
      <c r="L93" s="22">
        <f>IF($A93="","",COUNTIF('Base Exámenes'!$C$5:$C$1000, A93))</f>
        <v>1</v>
      </c>
      <c r="M93" s="6" t="str">
        <f>IF($A93="","",IF(COUNTIF('Base Exámenes'!$C$5:$C$1000, A93)&gt;0, "", TRIM('Base Oficial'!H93)))</f>
        <v/>
      </c>
    </row>
    <row r="94">
      <c r="A94" s="4" t="str">
        <f>IF('Base Oficial'!A94="","",TRIM('Base Oficial'!A94))</f>
        <v>784</v>
      </c>
      <c r="B94" s="6" t="str">
        <f>IF($A94="","",TRIM('Base Oficial'!B94))</f>
        <v>BRIAN ADONAY BARRERA ALVARADO</v>
      </c>
      <c r="C94" s="6" t="str">
        <f>IF($A94="","",TRIM('Base Oficial'!F94))</f>
        <v>DEPARTAMENTO DE CONTABILIDAD</v>
      </c>
      <c r="D94" s="6" t="str">
        <f>IF($A94="","",TRIM('Base Oficial'!G94))</f>
        <v>Gerencia de Finanzas y Planificación</v>
      </c>
      <c r="E94" s="6" t="str">
        <f>IF($A94="","",TRIM('Base Oficial'!D94))</f>
        <v>CONTADOR DE AGENCIAS</v>
      </c>
      <c r="F94" s="4" t="str">
        <f>IF($A94="","",IF(COUNTIF('Base Exámenes'!$C$5:$C$1000, A94)&gt;0, "Completado", IF(M94&lt;&gt;"", M94, "Pendiente")))</f>
        <v>Completado</v>
      </c>
      <c r="G94" s="11">
        <f>IF(F94="Completado", IFERROR(IF(INDEX('Base Exámenes'!$D$5:$D$1000, MATCH(A94&amp;"|"&amp;J94, 'Base Exámenes'!$I$5:$I$1000, 0))="", "", INDEX('Base Exámenes'!$D$5:$D$1000, MATCH(A94&amp;"|"&amp;J94, 'Base Exámenes'!$I$5:$I$1000, 0))), ""), "")</f>
        <v>46296.61537037037</v>
      </c>
      <c r="H94" s="11">
        <f>IF(F94="Completado", IFERROR(IF(INDEX('Base Exámenes'!$E$5:$E$1000, MATCH(A94&amp;"|"&amp;J94, 'Base Exámenes'!$I$5:$I$1000, 0))="", "", INDEX('Base Exámenes'!$E$5:$E$1000, MATCH(A94&amp;"|"&amp;J94, 'Base Exámenes'!$I$5:$I$1000, 0))), ""), "")</f>
        <v>46296.62540509259</v>
      </c>
      <c r="I94" s="10">
        <f>IF(F94="Completado", IFERROR(IF(INDEX('Base Exámenes'!$F$5:$F$1000, MATCH(A94&amp;"|"&amp;J94, 'Base Exámenes'!$I$5:$I$1000, 0))="", "", INDEX('Base Exámenes'!$F$5:$F$1000, MATCH(A94&amp;"|"&amp;J94, 'Base Exámenes'!$I$5:$I$1000, 0))), ""), "")</f>
        <v>14.45</v>
      </c>
      <c r="J94" s="6">
        <f>IF(F94="Completado", IF(COUNTIFS('Base Exámenes'!$C$5:$C$1000, A94, 'Base Exámenes'!$G$5:$G$1000, "&lt;&gt;")=0, "", _xlfn.MAXIFS('Base Exámenes'!$G$5:$G$1000, 'Base Exámenes'!$C$5:$C$1000, A94)), "")</f>
        <v>100</v>
      </c>
      <c r="K94" s="6" t="str">
        <f>IF(F94="Completado", IFERROR(IF(INDEX('Base Exámenes'!$H$5:$H$1000, MATCH(A94&amp;"|"&amp;J94, 'Base Exámenes'!$I$5:$I$1000, 0))="", "", INDEX('Base Exámenes'!$H$5:$H$1000, MATCH(A94&amp;"|"&amp;J94, 'Base Exámenes'!$I$5:$I$1000, 0))), ""), "")</f>
        <v>anonymous</v>
      </c>
      <c r="L94" s="22">
        <f>IF($A94="","",COUNTIF('Base Exámenes'!$C$5:$C$1000, A94))</f>
        <v>1</v>
      </c>
      <c r="M94" s="6" t="str">
        <f>IF($A94="","",IF(COUNTIF('Base Exámenes'!$C$5:$C$1000, A94)&gt;0, "", TRIM('Base Oficial'!H94)))</f>
        <v/>
      </c>
    </row>
    <row r="95">
      <c r="A95" s="4" t="str">
        <f>IF('Base Oficial'!A95="","",TRIM('Base Oficial'!A95))</f>
        <v>850</v>
      </c>
      <c r="B95" s="6" t="str">
        <f>IF($A95="","",TRIM('Base Oficial'!B95))</f>
        <v>ALMA BEATRIZ RAMIREZ SANDOVAL</v>
      </c>
      <c r="C95" s="6" t="str">
        <f>IF($A95="","",TRIM('Base Oficial'!F95))</f>
        <v>DEPARTAMENTO DE CONTABILIDAD</v>
      </c>
      <c r="D95" s="6" t="str">
        <f>IF($A95="","",TRIM('Base Oficial'!G95))</f>
        <v>Gerencia de Finanzas y Planificación</v>
      </c>
      <c r="E95" s="6" t="str">
        <f>IF($A95="","",TRIM('Base Oficial'!D95))</f>
        <v>CONTADOR DE AGENCIA NO MONETARIA</v>
      </c>
      <c r="F95" s="4" t="str">
        <f>IF($A95="","",IF(COUNTIF('Base Exámenes'!$C$5:$C$1000, A95)&gt;0, "Completado", IF(M95&lt;&gt;"", M95, "Pendiente")))</f>
        <v>Completado</v>
      </c>
      <c r="G95" s="11">
        <f>IF(F95="Completado", IFERROR(IF(INDEX('Base Exámenes'!$D$5:$D$1000, MATCH(A95&amp;"|"&amp;J95, 'Base Exámenes'!$I$5:$I$1000, 0))="", "", INDEX('Base Exámenes'!$D$5:$D$1000, MATCH(A95&amp;"|"&amp;J95, 'Base Exámenes'!$I$5:$I$1000, 0))), ""), "")</f>
        <v>46304.38685185185</v>
      </c>
      <c r="H95" s="11">
        <f>IF(F95="Completado", IFERROR(IF(INDEX('Base Exámenes'!$E$5:$E$1000, MATCH(A95&amp;"|"&amp;J95, 'Base Exámenes'!$I$5:$I$1000, 0))="", "", INDEX('Base Exámenes'!$E$5:$E$1000, MATCH(A95&amp;"|"&amp;J95, 'Base Exámenes'!$I$5:$I$1000, 0))), ""), "")</f>
        <v>46304.4002662037</v>
      </c>
      <c r="I95" s="10">
        <f>IF(F95="Completado", IFERROR(IF(INDEX('Base Exámenes'!$F$5:$F$1000, MATCH(A95&amp;"|"&amp;J95, 'Base Exámenes'!$I$5:$I$1000, 0))="", "", INDEX('Base Exámenes'!$F$5:$F$1000, MATCH(A95&amp;"|"&amp;J95, 'Base Exámenes'!$I$5:$I$1000, 0))), ""), "")</f>
        <v>19.3166666666667</v>
      </c>
      <c r="J95" s="6">
        <f>IF(F95="Completado", IF(COUNTIFS('Base Exámenes'!$C$5:$C$1000, A95, 'Base Exámenes'!$G$5:$G$1000, "&lt;&gt;")=0, "", _xlfn.MAXIFS('Base Exámenes'!$G$5:$G$1000, 'Base Exámenes'!$C$5:$C$1000, A95)), "")</f>
        <v>90</v>
      </c>
      <c r="K95" s="6" t="str">
        <f>IF(F95="Completado", IFERROR(IF(INDEX('Base Exámenes'!$H$5:$H$1000, MATCH(A95&amp;"|"&amp;J95, 'Base Exámenes'!$I$5:$I$1000, 0))="", "", INDEX('Base Exámenes'!$H$5:$H$1000, MATCH(A95&amp;"|"&amp;J95, 'Base Exámenes'!$I$5:$I$1000, 0))), ""), "")</f>
        <v>anonymous</v>
      </c>
      <c r="L95" s="22">
        <f>IF($A95="","",COUNTIF('Base Exámenes'!$C$5:$C$1000, A95))</f>
        <v>1</v>
      </c>
      <c r="M95" s="6" t="str">
        <f>IF($A95="","",IF(COUNTIF('Base Exámenes'!$C$5:$C$1000, A95)&gt;0, "", TRIM('Base Oficial'!H95)))</f>
        <v/>
      </c>
    </row>
    <row r="96">
      <c r="A96" s="4" t="str">
        <f>IF('Base Oficial'!A96="","",TRIM('Base Oficial'!A96))</f>
        <v>872</v>
      </c>
      <c r="B96" s="6" t="str">
        <f>IF($A96="","",TRIM('Base Oficial'!B96))</f>
        <v>JOSUE ELIAZAR MARTINEZ RECINOS</v>
      </c>
      <c r="C96" s="6" t="str">
        <f>IF($A96="","",TRIM('Base Oficial'!F96))</f>
        <v>DEPARTAMENTO DE CONTABILIDAD</v>
      </c>
      <c r="D96" s="6" t="str">
        <f>IF($A96="","",TRIM('Base Oficial'!G96))</f>
        <v>Gerencia de Finanzas y Planificación</v>
      </c>
      <c r="E96" s="6" t="str">
        <f>IF($A96="","",TRIM('Base Oficial'!D96))</f>
        <v>CONTADOR DE AGENCIAS</v>
      </c>
      <c r="F96" s="4" t="str">
        <f>IF($A96="","",IF(COUNTIF('Base Exámenes'!$C$5:$C$1000, A96)&gt;0, "Completado", IF(M96&lt;&gt;"", M96, "Pendiente")))</f>
        <v>Completado</v>
      </c>
      <c r="G96" s="11">
        <f>IF(F96="Completado", IFERROR(IF(INDEX('Base Exámenes'!$D$5:$D$1000, MATCH(A96&amp;"|"&amp;J96, 'Base Exámenes'!$I$5:$I$1000, 0))="", "", INDEX('Base Exámenes'!$D$5:$D$1000, MATCH(A96&amp;"|"&amp;J96, 'Base Exámenes'!$I$5:$I$1000, 0))), ""), "")</f>
        <v>46301.43630787037</v>
      </c>
      <c r="H96" s="11">
        <f>IF(F96="Completado", IFERROR(IF(INDEX('Base Exámenes'!$E$5:$E$1000, MATCH(A96&amp;"|"&amp;J96, 'Base Exámenes'!$I$5:$I$1000, 0))="", "", INDEX('Base Exámenes'!$E$5:$E$1000, MATCH(A96&amp;"|"&amp;J96, 'Base Exámenes'!$I$5:$I$1000, 0))), ""), "")</f>
        <v>46301.438738425924</v>
      </c>
      <c r="I96" s="10">
        <f>IF(F96="Completado", IFERROR(IF(INDEX('Base Exámenes'!$F$5:$F$1000, MATCH(A96&amp;"|"&amp;J96, 'Base Exámenes'!$I$5:$I$1000, 0))="", "", INDEX('Base Exámenes'!$F$5:$F$1000, MATCH(A96&amp;"|"&amp;J96, 'Base Exámenes'!$I$5:$I$1000, 0))), ""), "")</f>
        <v>3.5</v>
      </c>
      <c r="J96" s="6">
        <f>IF(F96="Completado", IF(COUNTIFS('Base Exámenes'!$C$5:$C$1000, A96, 'Base Exámenes'!$G$5:$G$1000, "&lt;&gt;")=0, "", _xlfn.MAXIFS('Base Exámenes'!$G$5:$G$1000, 'Base Exámenes'!$C$5:$C$1000, A96)), "")</f>
        <v>100</v>
      </c>
      <c r="K96" s="6" t="str">
        <f>IF(F96="Completado", IFERROR(IF(INDEX('Base Exámenes'!$H$5:$H$1000, MATCH(A96&amp;"|"&amp;J96, 'Base Exámenes'!$I$5:$I$1000, 0))="", "", INDEX('Base Exámenes'!$H$5:$H$1000, MATCH(A96&amp;"|"&amp;J96, 'Base Exámenes'!$I$5:$I$1000, 0))), ""), "")</f>
        <v>anonymous</v>
      </c>
      <c r="L96" s="22">
        <f>IF($A96="","",COUNTIF('Base Exámenes'!$C$5:$C$1000, A96))</f>
        <v>1</v>
      </c>
      <c r="M96" s="6" t="str">
        <f>IF($A96="","",IF(COUNTIF('Base Exámenes'!$C$5:$C$1000, A96)&gt;0, "", TRIM('Base Oficial'!H96)))</f>
        <v/>
      </c>
    </row>
    <row r="97">
      <c r="A97" s="4" t="str">
        <f>IF('Base Oficial'!A97="","",TRIM('Base Oficial'!A97))</f>
        <v>916</v>
      </c>
      <c r="B97" s="6" t="str">
        <f>IF($A97="","",TRIM('Base Oficial'!B97))</f>
        <v>JORDAN ALEXANDER FLORES HERRERA</v>
      </c>
      <c r="C97" s="6" t="str">
        <f>IF($A97="","",TRIM('Base Oficial'!F97))</f>
        <v>DEPARTAMENTO DE CONTABILIDAD</v>
      </c>
      <c r="D97" s="6" t="str">
        <f>IF($A97="","",TRIM('Base Oficial'!G97))</f>
        <v>Gerencia de Finanzas y Planificación</v>
      </c>
      <c r="E97" s="6" t="str">
        <f>IF($A97="","",TRIM('Base Oficial'!D97))</f>
        <v>AUXILIAR CONTABLE DE DIGITALIZACION</v>
      </c>
      <c r="F97" s="4" t="str">
        <f>IF($A97="","",IF(COUNTIF('Base Exámenes'!$C$5:$C$1000, A97)&gt;0, "Completado", IF(M97&lt;&gt;"", M97, "Pendiente")))</f>
        <v>Completado</v>
      </c>
      <c r="G97" s="11">
        <f>IF(F97="Completado", IFERROR(IF(INDEX('Base Exámenes'!$D$5:$D$1000, MATCH(A97&amp;"|"&amp;J97, 'Base Exámenes'!$I$5:$I$1000, 0))="", "", INDEX('Base Exámenes'!$D$5:$D$1000, MATCH(A97&amp;"|"&amp;J97, 'Base Exámenes'!$I$5:$I$1000, 0))), ""), "")</f>
        <v>46309.381875</v>
      </c>
      <c r="H97" s="11">
        <f>IF(F97="Completado", IFERROR(IF(INDEX('Base Exámenes'!$E$5:$E$1000, MATCH(A97&amp;"|"&amp;J97, 'Base Exámenes'!$I$5:$I$1000, 0))="", "", INDEX('Base Exámenes'!$E$5:$E$1000, MATCH(A97&amp;"|"&amp;J97, 'Base Exámenes'!$I$5:$I$1000, 0))), ""), "")</f>
        <v>46309.38695601852</v>
      </c>
      <c r="I97" s="10">
        <f>IF(F97="Completado", IFERROR(IF(INDEX('Base Exámenes'!$F$5:$F$1000, MATCH(A97&amp;"|"&amp;J97, 'Base Exámenes'!$I$5:$I$1000, 0))="", "", INDEX('Base Exámenes'!$F$5:$F$1000, MATCH(A97&amp;"|"&amp;J97, 'Base Exámenes'!$I$5:$I$1000, 0))), ""), "")</f>
        <v>7.31666666666667</v>
      </c>
      <c r="J97" s="6">
        <f>IF(F97="Completado", IF(COUNTIFS('Base Exámenes'!$C$5:$C$1000, A97, 'Base Exámenes'!$G$5:$G$1000, "&lt;&gt;")=0, "", _xlfn.MAXIFS('Base Exámenes'!$G$5:$G$1000, 'Base Exámenes'!$C$5:$C$1000, A97)), "")</f>
        <v>100</v>
      </c>
      <c r="K97" s="6" t="str">
        <f>IF(F97="Completado", IFERROR(IF(INDEX('Base Exámenes'!$H$5:$H$1000, MATCH(A97&amp;"|"&amp;J97, 'Base Exámenes'!$I$5:$I$1000, 0))="", "", INDEX('Base Exámenes'!$H$5:$H$1000, MATCH(A97&amp;"|"&amp;J97, 'Base Exámenes'!$I$5:$I$1000, 0))), ""), "")</f>
        <v>anonymous</v>
      </c>
      <c r="L97" s="22">
        <f>IF($A97="","",COUNTIF('Base Exámenes'!$C$5:$C$1000, A97))</f>
        <v>1</v>
      </c>
      <c r="M97" s="6" t="str">
        <f>IF($A97="","",IF(COUNTIF('Base Exámenes'!$C$5:$C$1000, A97)&gt;0, "", TRIM('Base Oficial'!H97)))</f>
        <v/>
      </c>
    </row>
    <row r="98">
      <c r="A98" s="4" t="str">
        <f>IF('Base Oficial'!A98="","",TRIM('Base Oficial'!A98))</f>
        <v>191</v>
      </c>
      <c r="B98" s="6" t="str">
        <f>IF($A98="","",TRIM('Base Oficial'!B98))</f>
        <v>ESTER ALEYDA GODOY CAMPOS</v>
      </c>
      <c r="C98" s="6" t="str">
        <f>IF($A98="","",TRIM('Base Oficial'!F98))</f>
        <v>DEPARTAMENTO DE PLANIFICACIÓN Y ANALISIS</v>
      </c>
      <c r="D98" s="6" t="str">
        <f>IF($A98="","",TRIM('Base Oficial'!G98))</f>
        <v>Gerencia de Finanzas y Planificación</v>
      </c>
      <c r="E98" s="6" t="str">
        <f>IF($A98="","",TRIM('Base Oficial'!D98))</f>
        <v>ASISTENTE TECNICO DE PLANIFICACION</v>
      </c>
      <c r="F98" s="4" t="str">
        <f>IF($A98="","",IF(COUNTIF('Base Exámenes'!$C$5:$C$1000, A98)&gt;0, "Completado", IF(M98&lt;&gt;"", M98, "Pendiente")))</f>
        <v>Completado</v>
      </c>
      <c r="G98" s="11">
        <f>IF(F98="Completado", IFERROR(IF(INDEX('Base Exámenes'!$D$5:$D$1000, MATCH(A98&amp;"|"&amp;J98, 'Base Exámenes'!$I$5:$I$1000, 0))="", "", INDEX('Base Exámenes'!$D$5:$D$1000, MATCH(A98&amp;"|"&amp;J98, 'Base Exámenes'!$I$5:$I$1000, 0))), ""), "")</f>
        <v>46307.663310185184</v>
      </c>
      <c r="H98" s="11">
        <f>IF(F98="Completado", IFERROR(IF(INDEX('Base Exámenes'!$E$5:$E$1000, MATCH(A98&amp;"|"&amp;J98, 'Base Exámenes'!$I$5:$I$1000, 0))="", "", INDEX('Base Exámenes'!$E$5:$E$1000, MATCH(A98&amp;"|"&amp;J98, 'Base Exámenes'!$I$5:$I$1000, 0))), ""), "")</f>
        <v>46307.665983796294</v>
      </c>
      <c r="I98" s="10">
        <f>IF(F98="Completado", IFERROR(IF(INDEX('Base Exámenes'!$F$5:$F$1000, MATCH(A98&amp;"|"&amp;J98, 'Base Exámenes'!$I$5:$I$1000, 0))="", "", INDEX('Base Exámenes'!$F$5:$F$1000, MATCH(A98&amp;"|"&amp;J98, 'Base Exámenes'!$I$5:$I$1000, 0))), ""), "")</f>
        <v>3.85</v>
      </c>
      <c r="J98" s="6">
        <f>IF(F98="Completado", IF(COUNTIFS('Base Exámenes'!$C$5:$C$1000, A98, 'Base Exámenes'!$G$5:$G$1000, "&lt;&gt;")=0, "", _xlfn.MAXIFS('Base Exámenes'!$G$5:$G$1000, 'Base Exámenes'!$C$5:$C$1000, A98)), "")</f>
        <v>100</v>
      </c>
      <c r="K98" s="6" t="str">
        <f>IF(F98="Completado", IFERROR(IF(INDEX('Base Exámenes'!$H$5:$H$1000, MATCH(A98&amp;"|"&amp;J98, 'Base Exámenes'!$I$5:$I$1000, 0))="", "", INDEX('Base Exámenes'!$H$5:$H$1000, MATCH(A98&amp;"|"&amp;J98, 'Base Exámenes'!$I$5:$I$1000, 0))), ""), "")</f>
        <v>anonymous</v>
      </c>
      <c r="L98" s="22">
        <f>IF($A98="","",COUNTIF('Base Exámenes'!$C$5:$C$1000, A98))</f>
        <v>1</v>
      </c>
      <c r="M98" s="6" t="str">
        <f>IF($A98="","",IF(COUNTIF('Base Exámenes'!$C$5:$C$1000, A98)&gt;0, "", TRIM('Base Oficial'!H98)))</f>
        <v/>
      </c>
    </row>
    <row r="99">
      <c r="A99" s="4" t="str">
        <f>IF('Base Oficial'!A99="","",TRIM('Base Oficial'!A99))</f>
        <v>839</v>
      </c>
      <c r="B99" s="6" t="str">
        <f>IF($A99="","",TRIM('Base Oficial'!B99))</f>
        <v>RAFAEL ANDRES MARAVILLA GUERRA</v>
      </c>
      <c r="C99" s="6" t="str">
        <f>IF($A99="","",TRIM('Base Oficial'!F99))</f>
        <v>DEPARTAMENTO DE PLANIFICACIÓN Y ANALISIS</v>
      </c>
      <c r="D99" s="6" t="str">
        <f>IF($A99="","",TRIM('Base Oficial'!G99))</f>
        <v>Gerencia de Finanzas y Planificación</v>
      </c>
      <c r="E99" s="6" t="str">
        <f>IF($A99="","",TRIM('Base Oficial'!D99))</f>
        <v>ASISTENTE DE ANALISIS Y NORMATIVAS</v>
      </c>
      <c r="F99" s="4" t="str">
        <f>IF($A99="","",IF(COUNTIF('Base Exámenes'!$C$5:$C$1000, A99)&gt;0, "Completado", IF(M99&lt;&gt;"", M99, "Pendiente")))</f>
        <v>Completado</v>
      </c>
      <c r="G99" s="11">
        <f>IF(F99="Completado", IFERROR(IF(INDEX('Base Exámenes'!$D$5:$D$1000, MATCH(A99&amp;"|"&amp;J99, 'Base Exámenes'!$I$5:$I$1000, 0))="", "", INDEX('Base Exámenes'!$D$5:$D$1000, MATCH(A99&amp;"|"&amp;J99, 'Base Exámenes'!$I$5:$I$1000, 0))), ""), "")</f>
        <v>46311.61962962963</v>
      </c>
      <c r="H99" s="11">
        <f>IF(F99="Completado", IFERROR(IF(INDEX('Base Exámenes'!$E$5:$E$1000, MATCH(A99&amp;"|"&amp;J99, 'Base Exámenes'!$I$5:$I$1000, 0))="", "", INDEX('Base Exámenes'!$E$5:$E$1000, MATCH(A99&amp;"|"&amp;J99, 'Base Exámenes'!$I$5:$I$1000, 0))), ""), "")</f>
        <v>46311.627291666664</v>
      </c>
      <c r="I99" s="10">
        <f>IF(F99="Completado", IFERROR(IF(INDEX('Base Exámenes'!$F$5:$F$1000, MATCH(A99&amp;"|"&amp;J99, 'Base Exámenes'!$I$5:$I$1000, 0))="", "", INDEX('Base Exámenes'!$F$5:$F$1000, MATCH(A99&amp;"|"&amp;J99, 'Base Exámenes'!$I$5:$I$1000, 0))), ""), "")</f>
        <v>11.0333333141167</v>
      </c>
      <c r="J99" s="6">
        <f>IF(F99="Completado", IF(COUNTIFS('Base Exámenes'!$C$5:$C$1000, A99, 'Base Exámenes'!$G$5:$G$1000, "&lt;&gt;")=0, "", _xlfn.MAXIFS('Base Exámenes'!$G$5:$G$1000, 'Base Exámenes'!$C$5:$C$1000, A99)), "")</f>
        <v>100</v>
      </c>
      <c r="K99" s="6" t="str">
        <f>IF(F99="Completado", IFERROR(IF(INDEX('Base Exámenes'!$H$5:$H$1000, MATCH(A99&amp;"|"&amp;J99, 'Base Exámenes'!$I$5:$I$1000, 0))="", "", INDEX('Base Exámenes'!$H$5:$H$1000, MATCH(A99&amp;"|"&amp;J99, 'Base Exámenes'!$I$5:$I$1000, 0))), ""), "")</f>
        <v>anonymous</v>
      </c>
      <c r="L99" s="22">
        <f>IF($A99="","",COUNTIF('Base Exámenes'!$C$5:$C$1000, A99))</f>
        <v>1</v>
      </c>
      <c r="M99" s="6" t="str">
        <f>IF($A99="","",IF(COUNTIF('Base Exámenes'!$C$5:$C$1000, A99)&gt;0, "", TRIM('Base Oficial'!H99)))</f>
        <v/>
      </c>
    </row>
    <row r="100">
      <c r="A100" s="4" t="str">
        <f>IF('Base Oficial'!A100="","",TRIM('Base Oficial'!A100))</f>
        <v>946</v>
      </c>
      <c r="B100" s="6" t="str">
        <f>IF($A100="","",TRIM('Base Oficial'!B100))</f>
        <v>EFRAIN ANTONIO AYALA LOPEZ</v>
      </c>
      <c r="C100" s="6" t="str">
        <f>IF($A100="","",TRIM('Base Oficial'!F100))</f>
        <v>DEPARTAMENTO DE PLANIFICACIÓN Y ANALISIS</v>
      </c>
      <c r="D100" s="6" t="str">
        <f>IF($A100="","",TRIM('Base Oficial'!G100))</f>
        <v>Gerencia de Finanzas y Planificación</v>
      </c>
      <c r="E100" s="6" t="str">
        <f>IF($A100="","",TRIM('Base Oficial'!D100))</f>
        <v>JEFE DE PLANIFICACION Y ANALISIS</v>
      </c>
      <c r="F100" s="4" t="str">
        <f>IF($A100="","",IF(COUNTIF('Base Exámenes'!$C$5:$C$1000, A100)&gt;0, "Completado", IF(M100&lt;&gt;"", M100, "Pendiente")))</f>
        <v>Completado</v>
      </c>
      <c r="G100" s="11">
        <f>IF(F100="Completado", IFERROR(IF(INDEX('Base Exámenes'!$D$5:$D$1000, MATCH(A100&amp;"|"&amp;J100, 'Base Exámenes'!$I$5:$I$1000, 0))="", "", INDEX('Base Exámenes'!$D$5:$D$1000, MATCH(A100&amp;"|"&amp;J100, 'Base Exámenes'!$I$5:$I$1000, 0))), ""), "")</f>
        <v>46305.5291087963</v>
      </c>
      <c r="H100" s="11">
        <f>IF(F100="Completado", IFERROR(IF(INDEX('Base Exámenes'!$E$5:$E$1000, MATCH(A100&amp;"|"&amp;J100, 'Base Exámenes'!$I$5:$I$1000, 0))="", "", INDEX('Base Exámenes'!$E$5:$E$1000, MATCH(A100&amp;"|"&amp;J100, 'Base Exámenes'!$I$5:$I$1000, 0))), ""), "")</f>
        <v>46305.53491898148</v>
      </c>
      <c r="I100" s="10">
        <f>IF(F100="Completado", IFERROR(IF(INDEX('Base Exámenes'!$F$5:$F$1000, MATCH(A100&amp;"|"&amp;J100, 'Base Exámenes'!$I$5:$I$1000, 0))="", "", INDEX('Base Exámenes'!$F$5:$F$1000, MATCH(A100&amp;"|"&amp;J100, 'Base Exámenes'!$I$5:$I$1000, 0))), ""), "")</f>
        <v>8.36666666666667</v>
      </c>
      <c r="J100" s="6">
        <f>IF(F100="Completado", IF(COUNTIFS('Base Exámenes'!$C$5:$C$1000, A100, 'Base Exámenes'!$G$5:$G$1000, "&lt;&gt;")=0, "", _xlfn.MAXIFS('Base Exámenes'!$G$5:$G$1000, 'Base Exámenes'!$C$5:$C$1000, A100)), "")</f>
        <v>100</v>
      </c>
      <c r="K100" s="6" t="str">
        <f>IF(F100="Completado", IFERROR(IF(INDEX('Base Exámenes'!$H$5:$H$1000, MATCH(A100&amp;"|"&amp;J100, 'Base Exámenes'!$I$5:$I$1000, 0))="", "", INDEX('Base Exámenes'!$H$5:$H$1000, MATCH(A100&amp;"|"&amp;J100, 'Base Exámenes'!$I$5:$I$1000, 0))), ""), "")</f>
        <v>anonymous</v>
      </c>
      <c r="L100" s="22">
        <f>IF($A100="","",COUNTIF('Base Exámenes'!$C$5:$C$1000, A100))</f>
        <v>1</v>
      </c>
      <c r="M100" s="6" t="str">
        <f>IF($A100="","",IF(COUNTIF('Base Exámenes'!$C$5:$C$1000, A100)&gt;0, "", TRIM('Base Oficial'!H100)))</f>
        <v/>
      </c>
    </row>
    <row r="101">
      <c r="A101" s="4" t="str">
        <f>IF('Base Oficial'!A101="","",TRIM('Base Oficial'!A101))</f>
        <v>393</v>
      </c>
      <c r="B101" s="6" t="str">
        <f>IF($A101="","",TRIM('Base Oficial'!B101))</f>
        <v>FLOR MARISELA TORRES VELASQUEZ</v>
      </c>
      <c r="C101" s="6" t="str">
        <f>IF($A101="","",TRIM('Base Oficial'!F101))</f>
        <v>GERENCIA DE SISTEMAS</v>
      </c>
      <c r="D101" s="6" t="str">
        <f>IF($A101="","",TRIM('Base Oficial'!G101))</f>
        <v>Gerencia de Sistemas</v>
      </c>
      <c r="E101" s="6" t="str">
        <f>IF($A101="","",TRIM('Base Oficial'!D101))</f>
        <v>LIDER DE PROYECTOS TECNOLOGICOS</v>
      </c>
      <c r="F101" s="4" t="str">
        <f>IF($A101="","",IF(COUNTIF('Base Exámenes'!$C$5:$C$1000, A101)&gt;0, "Completado", IF(M101&lt;&gt;"", M101, "Pendiente")))</f>
        <v>Completado</v>
      </c>
      <c r="G101" s="11">
        <f>IF(F101="Completado", IFERROR(IF(INDEX('Base Exámenes'!$D$5:$D$1000, MATCH(A101&amp;"|"&amp;J101, 'Base Exámenes'!$I$5:$I$1000, 0))="", "", INDEX('Base Exámenes'!$D$5:$D$1000, MATCH(A101&amp;"|"&amp;J101, 'Base Exámenes'!$I$5:$I$1000, 0))), ""), "")</f>
        <v>46307.48131944444</v>
      </c>
      <c r="H101" s="11">
        <f>IF(F101="Completado", IFERROR(IF(INDEX('Base Exámenes'!$E$5:$E$1000, MATCH(A101&amp;"|"&amp;J101, 'Base Exámenes'!$I$5:$I$1000, 0))="", "", INDEX('Base Exámenes'!$E$5:$E$1000, MATCH(A101&amp;"|"&amp;J101, 'Base Exámenes'!$I$5:$I$1000, 0))), ""), "")</f>
        <v>46307.48341435185</v>
      </c>
      <c r="I101" s="10">
        <f>IF(F101="Completado", IFERROR(IF(INDEX('Base Exámenes'!$F$5:$F$1000, MATCH(A101&amp;"|"&amp;J101, 'Base Exámenes'!$I$5:$I$1000, 0))="", "", INDEX('Base Exámenes'!$F$5:$F$1000, MATCH(A101&amp;"|"&amp;J101, 'Base Exámenes'!$I$5:$I$1000, 0))), ""), "")</f>
        <v>3.01666666666667</v>
      </c>
      <c r="J101" s="6">
        <f>IF(F101="Completado", IF(COUNTIFS('Base Exámenes'!$C$5:$C$1000, A101, 'Base Exámenes'!$G$5:$G$1000, "&lt;&gt;")=0, "", _xlfn.MAXIFS('Base Exámenes'!$G$5:$G$1000, 'Base Exámenes'!$C$5:$C$1000, A101)), "")</f>
        <v>100</v>
      </c>
      <c r="K101" s="6" t="str">
        <f>IF(F101="Completado", IFERROR(IF(INDEX('Base Exámenes'!$H$5:$H$1000, MATCH(A101&amp;"|"&amp;J101, 'Base Exámenes'!$I$5:$I$1000, 0))="", "", INDEX('Base Exámenes'!$H$5:$H$1000, MATCH(A101&amp;"|"&amp;J101, 'Base Exámenes'!$I$5:$I$1000, 0))), ""), "")</f>
        <v>anonymous</v>
      </c>
      <c r="L101" s="22">
        <f>IF($A101="","",COUNTIF('Base Exámenes'!$C$5:$C$1000, A101))</f>
        <v>1</v>
      </c>
      <c r="M101" s="6" t="str">
        <f>IF($A101="","",IF(COUNTIF('Base Exámenes'!$C$5:$C$1000, A101)&gt;0, "", TRIM('Base Oficial'!H101)))</f>
        <v/>
      </c>
    </row>
    <row r="102">
      <c r="A102" s="4" t="str">
        <f>IF('Base Oficial'!A102="","",TRIM('Base Oficial'!A102))</f>
        <v>804</v>
      </c>
      <c r="B102" s="6" t="str">
        <f>IF($A102="","",TRIM('Base Oficial'!B102))</f>
        <v>FERMIN ABIEL VIERA LINARES</v>
      </c>
      <c r="C102" s="6" t="str">
        <f>IF($A102="","",TRIM('Base Oficial'!F102))</f>
        <v>GERENCIA DE SISTEMAS</v>
      </c>
      <c r="D102" s="6" t="str">
        <f>IF($A102="","",TRIM('Base Oficial'!G102))</f>
        <v>Gerencia de Sistemas</v>
      </c>
      <c r="E102" s="6" t="str">
        <f>IF($A102="","",TRIM('Base Oficial'!D102))</f>
        <v>ANALISTA DE CAMBIOS Y SEGURIDAD</v>
      </c>
      <c r="F102" s="4" t="str">
        <f>IF($A102="","",IF(COUNTIF('Base Exámenes'!$C$5:$C$1000, A102)&gt;0, "Completado", IF(M102&lt;&gt;"", M102, "Pendiente")))</f>
        <v>Completado</v>
      </c>
      <c r="G102" s="11">
        <f>IF(F102="Completado", IFERROR(IF(INDEX('Base Exámenes'!$D$5:$D$1000, MATCH(A102&amp;"|"&amp;J102, 'Base Exámenes'!$I$5:$I$1000, 0))="", "", INDEX('Base Exámenes'!$D$5:$D$1000, MATCH(A102&amp;"|"&amp;J102, 'Base Exámenes'!$I$5:$I$1000, 0))), ""), "")</f>
        <v>46304.4034837963</v>
      </c>
      <c r="H102" s="11">
        <f>IF(F102="Completado", IFERROR(IF(INDEX('Base Exámenes'!$E$5:$E$1000, MATCH(A102&amp;"|"&amp;J102, 'Base Exámenes'!$I$5:$I$1000, 0))="", "", INDEX('Base Exámenes'!$E$5:$E$1000, MATCH(A102&amp;"|"&amp;J102, 'Base Exámenes'!$I$5:$I$1000, 0))), ""), "")</f>
        <v>46304.407905092594</v>
      </c>
      <c r="I102" s="10">
        <f>IF(F102="Completado", IFERROR(IF(INDEX('Base Exámenes'!$F$5:$F$1000, MATCH(A102&amp;"|"&amp;J102, 'Base Exámenes'!$I$5:$I$1000, 0))="", "", INDEX('Base Exámenes'!$F$5:$F$1000, MATCH(A102&amp;"|"&amp;J102, 'Base Exámenes'!$I$5:$I$1000, 0))), ""), "")</f>
        <v>6.36666666666667</v>
      </c>
      <c r="J102" s="6">
        <f>IF(F102="Completado", IF(COUNTIFS('Base Exámenes'!$C$5:$C$1000, A102, 'Base Exámenes'!$G$5:$G$1000, "&lt;&gt;")=0, "", _xlfn.MAXIFS('Base Exámenes'!$G$5:$G$1000, 'Base Exámenes'!$C$5:$C$1000, A102)), "")</f>
        <v>100</v>
      </c>
      <c r="K102" s="6" t="str">
        <f>IF(F102="Completado", IFERROR(IF(INDEX('Base Exámenes'!$H$5:$H$1000, MATCH(A102&amp;"|"&amp;J102, 'Base Exámenes'!$I$5:$I$1000, 0))="", "", INDEX('Base Exámenes'!$H$5:$H$1000, MATCH(A102&amp;"|"&amp;J102, 'Base Exámenes'!$I$5:$I$1000, 0))), ""), "")</f>
        <v>anonymous</v>
      </c>
      <c r="L102" s="22">
        <f>IF($A102="","",COUNTIF('Base Exámenes'!$C$5:$C$1000, A102))</f>
        <v>1</v>
      </c>
      <c r="M102" s="6" t="str">
        <f>IF($A102="","",IF(COUNTIF('Base Exámenes'!$C$5:$C$1000, A102)&gt;0, "", TRIM('Base Oficial'!H102)))</f>
        <v/>
      </c>
    </row>
    <row r="103">
      <c r="A103" s="4" t="str">
        <f>IF('Base Oficial'!A103="","",TRIM('Base Oficial'!A103))</f>
        <v>883</v>
      </c>
      <c r="B103" s="6" t="str">
        <f>IF($A103="","",TRIM('Base Oficial'!B103))</f>
        <v>ISMAEL HUMBERTO GUERRERO FLORES</v>
      </c>
      <c r="C103" s="6" t="str">
        <f>IF($A103="","",TRIM('Base Oficial'!F103))</f>
        <v>GERENCIA DE SISTEMAS</v>
      </c>
      <c r="D103" s="6" t="str">
        <f>IF($A103="","",TRIM('Base Oficial'!G103))</f>
        <v>Gerencia de Sistemas</v>
      </c>
      <c r="E103" s="6" t="str">
        <f>IF($A103="","",TRIM('Base Oficial'!D103))</f>
        <v>ADMINISTRADOR DE SEGURIDAD INFORMATICA</v>
      </c>
      <c r="F103" s="4" t="str">
        <f>IF($A103="","",IF(COUNTIF('Base Exámenes'!$C$5:$C$1000, A103)&gt;0, "Completado", IF(M103&lt;&gt;"", M103, "Pendiente")))</f>
        <v>Completado</v>
      </c>
      <c r="G103" s="11">
        <f>IF(F103="Completado", IFERROR(IF(INDEX('Base Exámenes'!$D$5:$D$1000, MATCH(A103&amp;"|"&amp;J103, 'Base Exámenes'!$I$5:$I$1000, 0))="", "", INDEX('Base Exámenes'!$D$5:$D$1000, MATCH(A103&amp;"|"&amp;J103, 'Base Exámenes'!$I$5:$I$1000, 0))), ""), "")</f>
        <v>46300.582349537035</v>
      </c>
      <c r="H103" s="11">
        <f>IF(F103="Completado", IFERROR(IF(INDEX('Base Exámenes'!$E$5:$E$1000, MATCH(A103&amp;"|"&amp;J103, 'Base Exámenes'!$I$5:$I$1000, 0))="", "", INDEX('Base Exámenes'!$E$5:$E$1000, MATCH(A103&amp;"|"&amp;J103, 'Base Exámenes'!$I$5:$I$1000, 0))), ""), "")</f>
        <v>46300.58474537037</v>
      </c>
      <c r="I103" s="10">
        <f>IF(F103="Completado", IFERROR(IF(INDEX('Base Exámenes'!$F$5:$F$1000, MATCH(A103&amp;"|"&amp;J103, 'Base Exámenes'!$I$5:$I$1000, 0))="", "", INDEX('Base Exámenes'!$F$5:$F$1000, MATCH(A103&amp;"|"&amp;J103, 'Base Exámenes'!$I$5:$I$1000, 0))), ""), "")</f>
        <v>3.45</v>
      </c>
      <c r="J103" s="6">
        <f>IF(F103="Completado", IF(COUNTIFS('Base Exámenes'!$C$5:$C$1000, A103, 'Base Exámenes'!$G$5:$G$1000, "&lt;&gt;")=0, "", _xlfn.MAXIFS('Base Exámenes'!$G$5:$G$1000, 'Base Exámenes'!$C$5:$C$1000, A103)), "")</f>
        <v>95</v>
      </c>
      <c r="K103" s="6" t="str">
        <f>IF(F103="Completado", IFERROR(IF(INDEX('Base Exámenes'!$H$5:$H$1000, MATCH(A103&amp;"|"&amp;J103, 'Base Exámenes'!$I$5:$I$1000, 0))="", "", INDEX('Base Exámenes'!$H$5:$H$1000, MATCH(A103&amp;"|"&amp;J103, 'Base Exámenes'!$I$5:$I$1000, 0))), ""), "")</f>
        <v>anonymous</v>
      </c>
      <c r="L103" s="22">
        <f>IF($A103="","",COUNTIF('Base Exámenes'!$C$5:$C$1000, A103))</f>
        <v>1</v>
      </c>
      <c r="M103" s="6" t="str">
        <f>IF($A103="","",IF(COUNTIF('Base Exámenes'!$C$5:$C$1000, A103)&gt;0, "", TRIM('Base Oficial'!H103)))</f>
        <v/>
      </c>
    </row>
    <row r="104">
      <c r="A104" s="4" t="str">
        <f>IF('Base Oficial'!A104="","",TRIM('Base Oficial'!A104))</f>
        <v>90</v>
      </c>
      <c r="B104" s="6" t="str">
        <f>IF($A104="","",TRIM('Base Oficial'!B104))</f>
        <v>HUGO MARVIN SERRANO SARAVIA</v>
      </c>
      <c r="C104" s="6" t="str">
        <f>IF($A104="","",TRIM('Base Oficial'!F104))</f>
        <v>DEPARTAMENTO DE OPERACIONES Y SOPORTE TECNICO</v>
      </c>
      <c r="D104" s="6" t="str">
        <f>IF($A104="","",TRIM('Base Oficial'!G104))</f>
        <v>Gerencia de Sistemas</v>
      </c>
      <c r="E104" s="6" t="str">
        <f>IF($A104="","",TRIM('Base Oficial'!D104))</f>
        <v>OPERADOR DE SISTEMAS</v>
      </c>
      <c r="F104" s="4" t="str">
        <f>IF($A104="","",IF(COUNTIF('Base Exámenes'!$C$5:$C$1000, A104)&gt;0, "Completado", IF(M104&lt;&gt;"", M104, "Pendiente")))</f>
        <v>Vacaciones</v>
      </c>
      <c r="G104" s="11" t="str">
        <f>IF(F104="Completado", IFERROR(IF(INDEX('Base Exámenes'!$D$5:$D$1000, MATCH(A104&amp;"|"&amp;J104, 'Base Exámenes'!$I$5:$I$1000, 0))="", "", INDEX('Base Exámenes'!$D$5:$D$1000, MATCH(A104&amp;"|"&amp;J104, 'Base Exámenes'!$I$5:$I$1000, 0))), ""), "")</f>
        <v/>
      </c>
      <c r="H104" s="11" t="str">
        <f>IF(F104="Completado", IFERROR(IF(INDEX('Base Exámenes'!$E$5:$E$1000, MATCH(A104&amp;"|"&amp;J104, 'Base Exámenes'!$I$5:$I$1000, 0))="", "", INDEX('Base Exámenes'!$E$5:$E$1000, MATCH(A104&amp;"|"&amp;J104, 'Base Exámenes'!$I$5:$I$1000, 0))), ""), "")</f>
        <v/>
      </c>
      <c r="I104" s="10" t="str">
        <f>IF(F104="Completado", IFERROR(IF(INDEX('Base Exámenes'!$F$5:$F$1000, MATCH(A104&amp;"|"&amp;J104, 'Base Exámenes'!$I$5:$I$1000, 0))="", "", INDEX('Base Exámenes'!$F$5:$F$1000, MATCH(A104&amp;"|"&amp;J104, 'Base Exámenes'!$I$5:$I$1000, 0))), ""), "")</f>
        <v/>
      </c>
      <c r="J104" s="6" t="str">
        <f>IF(F104="Completado", IF(COUNTIFS('Base Exámenes'!$C$5:$C$1000, A104, 'Base Exámenes'!$G$5:$G$1000, "&lt;&gt;")=0, "", _xlfn.MAXIFS('Base Exámenes'!$G$5:$G$1000, 'Base Exámenes'!$C$5:$C$1000, A104)), "")</f>
        <v/>
      </c>
      <c r="K104" s="6" t="str">
        <f>IF(F104="Completado", IFERROR(IF(INDEX('Base Exámenes'!$H$5:$H$1000, MATCH(A104&amp;"|"&amp;J104, 'Base Exámenes'!$I$5:$I$1000, 0))="", "", INDEX('Base Exámenes'!$H$5:$H$1000, MATCH(A104&amp;"|"&amp;J104, 'Base Exámenes'!$I$5:$I$1000, 0))), ""), "")</f>
        <v/>
      </c>
      <c r="L104" s="22">
        <f>IF($A104="","",COUNTIF('Base Exámenes'!$C$5:$C$1000, A104))</f>
        <v>0</v>
      </c>
      <c r="M104" s="6" t="str">
        <f>IF($A104="","",IF(COUNTIF('Base Exámenes'!$C$5:$C$1000, A104)&gt;0, "", TRIM('Base Oficial'!H104)))</f>
        <v>Vacaciones</v>
      </c>
    </row>
    <row r="105">
      <c r="A105" s="4" t="str">
        <f>IF('Base Oficial'!A105="","",TRIM('Base Oficial'!A105))</f>
        <v>119</v>
      </c>
      <c r="B105" s="6" t="str">
        <f>IF($A105="","",TRIM('Base Oficial'!B105))</f>
        <v>JUAN JOSE LOPEZ ALFARO</v>
      </c>
      <c r="C105" s="6" t="str">
        <f>IF($A105="","",TRIM('Base Oficial'!F105))</f>
        <v>DEPARTAMENTO DE OPERACIONES Y SOPORTE TECNICO</v>
      </c>
      <c r="D105" s="6" t="str">
        <f>IF($A105="","",TRIM('Base Oficial'!G105))</f>
        <v>Gerencia de Sistemas</v>
      </c>
      <c r="E105" s="6" t="str">
        <f>IF($A105="","",TRIM('Base Oficial'!D105))</f>
        <v>OPERADOR DE SISTEMAS</v>
      </c>
      <c r="F105" s="4" t="str">
        <f>IF($A105="","",IF(COUNTIF('Base Exámenes'!$C$5:$C$1000, A105)&gt;0, "Completado", IF(M105&lt;&gt;"", M105, "Pendiente")))</f>
        <v>Completado</v>
      </c>
      <c r="G105" s="11">
        <f>IF(F105="Completado", IFERROR(IF(INDEX('Base Exámenes'!$D$5:$D$1000, MATCH(A105&amp;"|"&amp;J105, 'Base Exámenes'!$I$5:$I$1000, 0))="", "", INDEX('Base Exámenes'!$D$5:$D$1000, MATCH(A105&amp;"|"&amp;J105, 'Base Exámenes'!$I$5:$I$1000, 0))), ""), "")</f>
        <v>46302.42083333333</v>
      </c>
      <c r="H105" s="11">
        <f>IF(F105="Completado", IFERROR(IF(INDEX('Base Exámenes'!$E$5:$E$1000, MATCH(A105&amp;"|"&amp;J105, 'Base Exámenes'!$I$5:$I$1000, 0))="", "", INDEX('Base Exámenes'!$E$5:$E$1000, MATCH(A105&amp;"|"&amp;J105, 'Base Exámenes'!$I$5:$I$1000, 0))), ""), "")</f>
        <v>46302.441828703704</v>
      </c>
      <c r="I105" s="10">
        <f>IF(F105="Completado", IFERROR(IF(INDEX('Base Exámenes'!$F$5:$F$1000, MATCH(A105&amp;"|"&amp;J105, 'Base Exámenes'!$I$5:$I$1000, 0))="", "", INDEX('Base Exámenes'!$F$5:$F$1000, MATCH(A105&amp;"|"&amp;J105, 'Base Exámenes'!$I$5:$I$1000, 0))), ""), "")</f>
        <v>30.2333333333333</v>
      </c>
      <c r="J105" s="6">
        <f>IF(F105="Completado", IF(COUNTIFS('Base Exámenes'!$C$5:$C$1000, A105, 'Base Exámenes'!$G$5:$G$1000, "&lt;&gt;")=0, "", _xlfn.MAXIFS('Base Exámenes'!$G$5:$G$1000, 'Base Exámenes'!$C$5:$C$1000, A105)), "")</f>
        <v>100</v>
      </c>
      <c r="K105" s="6" t="str">
        <f>IF(F105="Completado", IFERROR(IF(INDEX('Base Exámenes'!$H$5:$H$1000, MATCH(A105&amp;"|"&amp;J105, 'Base Exámenes'!$I$5:$I$1000, 0))="", "", INDEX('Base Exámenes'!$H$5:$H$1000, MATCH(A105&amp;"|"&amp;J105, 'Base Exámenes'!$I$5:$I$1000, 0))), ""), "")</f>
        <v>anonymous</v>
      </c>
      <c r="L105" s="22">
        <f>IF($A105="","",COUNTIF('Base Exámenes'!$C$5:$C$1000, A105))</f>
        <v>1</v>
      </c>
      <c r="M105" s="6" t="str">
        <f>IF($A105="","",IF(COUNTIF('Base Exámenes'!$C$5:$C$1000, A105)&gt;0, "", TRIM('Base Oficial'!H105)))</f>
        <v/>
      </c>
    </row>
    <row r="106">
      <c r="A106" s="4" t="str">
        <f>IF('Base Oficial'!A106="","",TRIM('Base Oficial'!A106))</f>
        <v>221</v>
      </c>
      <c r="B106" s="6" t="str">
        <f>IF($A106="","",TRIM('Base Oficial'!B106))</f>
        <v>CARLOS ORLANDO GARCIA VELASQUEZ</v>
      </c>
      <c r="C106" s="6" t="str">
        <f>IF($A106="","",TRIM('Base Oficial'!F106))</f>
        <v>DEPARTAMENTO DE OPERACIONES Y SOPORTE TECNICO</v>
      </c>
      <c r="D106" s="6" t="str">
        <f>IF($A106="","",TRIM('Base Oficial'!G106))</f>
        <v>Gerencia de Sistemas</v>
      </c>
      <c r="E106" s="6" t="str">
        <f>IF($A106="","",TRIM('Base Oficial'!D106))</f>
        <v>TECNICO EN SOPORTE</v>
      </c>
      <c r="F106" s="4" t="str">
        <f>IF($A106="","",IF(COUNTIF('Base Exámenes'!$C$5:$C$1000, A106)&gt;0, "Completado", IF(M106&lt;&gt;"", M106, "Pendiente")))</f>
        <v>Completado</v>
      </c>
      <c r="G106" s="11">
        <f>IF(F106="Completado", IFERROR(IF(INDEX('Base Exámenes'!$D$5:$D$1000, MATCH(A106&amp;"|"&amp;J106, 'Base Exámenes'!$I$5:$I$1000, 0))="", "", INDEX('Base Exámenes'!$D$5:$D$1000, MATCH(A106&amp;"|"&amp;J106, 'Base Exámenes'!$I$5:$I$1000, 0))), ""), "")</f>
        <v>46300.58730324074</v>
      </c>
      <c r="H106" s="11">
        <f>IF(F106="Completado", IFERROR(IF(INDEX('Base Exámenes'!$E$5:$E$1000, MATCH(A106&amp;"|"&amp;J106, 'Base Exámenes'!$I$5:$I$1000, 0))="", "", INDEX('Base Exámenes'!$E$5:$E$1000, MATCH(A106&amp;"|"&amp;J106, 'Base Exámenes'!$I$5:$I$1000, 0))), ""), "")</f>
        <v>46300.58950231481</v>
      </c>
      <c r="I106" s="10">
        <f>IF(F106="Completado", IFERROR(IF(INDEX('Base Exámenes'!$F$5:$F$1000, MATCH(A106&amp;"|"&amp;J106, 'Base Exámenes'!$I$5:$I$1000, 0))="", "", INDEX('Base Exámenes'!$F$5:$F$1000, MATCH(A106&amp;"|"&amp;J106, 'Base Exámenes'!$I$5:$I$1000, 0))), ""), "")</f>
        <v>3.16666666666667</v>
      </c>
      <c r="J106" s="6">
        <f>IF(F106="Completado", IF(COUNTIFS('Base Exámenes'!$C$5:$C$1000, A106, 'Base Exámenes'!$G$5:$G$1000, "&lt;&gt;")=0, "", _xlfn.MAXIFS('Base Exámenes'!$G$5:$G$1000, 'Base Exámenes'!$C$5:$C$1000, A106)), "")</f>
        <v>100</v>
      </c>
      <c r="K106" s="6" t="str">
        <f>IF(F106="Completado", IFERROR(IF(INDEX('Base Exámenes'!$H$5:$H$1000, MATCH(A106&amp;"|"&amp;J106, 'Base Exámenes'!$I$5:$I$1000, 0))="", "", INDEX('Base Exámenes'!$H$5:$H$1000, MATCH(A106&amp;"|"&amp;J106, 'Base Exámenes'!$I$5:$I$1000, 0))), ""), "")</f>
        <v>anonymous</v>
      </c>
      <c r="L106" s="22">
        <f>IF($A106="","",COUNTIF('Base Exámenes'!$C$5:$C$1000, A106))</f>
        <v>1</v>
      </c>
      <c r="M106" s="6" t="str">
        <f>IF($A106="","",IF(COUNTIF('Base Exámenes'!$C$5:$C$1000, A106)&gt;0, "", TRIM('Base Oficial'!H106)))</f>
        <v/>
      </c>
    </row>
    <row r="107">
      <c r="A107" s="4" t="str">
        <f>IF('Base Oficial'!A107="","",TRIM('Base Oficial'!A107))</f>
        <v>259</v>
      </c>
      <c r="B107" s="6" t="str">
        <f>IF($A107="","",TRIM('Base Oficial'!B107))</f>
        <v>EDGAR MARGARITO POZO SHUPAN</v>
      </c>
      <c r="C107" s="6" t="str">
        <f>IF($A107="","",TRIM('Base Oficial'!F107))</f>
        <v>DEPARTAMENTO DE OPERACIONES Y SOPORTE TECNICO</v>
      </c>
      <c r="D107" s="6" t="str">
        <f>IF($A107="","",TRIM('Base Oficial'!G107))</f>
        <v>Gerencia de Sistemas</v>
      </c>
      <c r="E107" s="6" t="str">
        <f>IF($A107="","",TRIM('Base Oficial'!D107))</f>
        <v>TECNICO EN SOPORTE</v>
      </c>
      <c r="F107" s="4" t="str">
        <f>IF($A107="","",IF(COUNTIF('Base Exámenes'!$C$5:$C$1000, A107)&gt;0, "Completado", IF(M107&lt;&gt;"", M107, "Pendiente")))</f>
        <v>Completado</v>
      </c>
      <c r="G107" s="11">
        <f>IF(F107="Completado", IFERROR(IF(INDEX('Base Exámenes'!$D$5:$D$1000, MATCH(A107&amp;"|"&amp;J107, 'Base Exámenes'!$I$5:$I$1000, 0))="", "", INDEX('Base Exámenes'!$D$5:$D$1000, MATCH(A107&amp;"|"&amp;J107, 'Base Exámenes'!$I$5:$I$1000, 0))), ""), "")</f>
        <v>46300.63085648148</v>
      </c>
      <c r="H107" s="11">
        <f>IF(F107="Completado", IFERROR(IF(INDEX('Base Exámenes'!$E$5:$E$1000, MATCH(A107&amp;"|"&amp;J107, 'Base Exámenes'!$I$5:$I$1000, 0))="", "", INDEX('Base Exámenes'!$E$5:$E$1000, MATCH(A107&amp;"|"&amp;J107, 'Base Exámenes'!$I$5:$I$1000, 0))), ""), "")</f>
        <v>46300.63810185185</v>
      </c>
      <c r="I107" s="10">
        <f>IF(F107="Completado", IFERROR(IF(INDEX('Base Exámenes'!$F$5:$F$1000, MATCH(A107&amp;"|"&amp;J107, 'Base Exámenes'!$I$5:$I$1000, 0))="", "", INDEX('Base Exámenes'!$F$5:$F$1000, MATCH(A107&amp;"|"&amp;J107, 'Base Exámenes'!$I$5:$I$1000, 0))), ""), "")</f>
        <v>10.4333333333333</v>
      </c>
      <c r="J107" s="6">
        <f>IF(F107="Completado", IF(COUNTIFS('Base Exámenes'!$C$5:$C$1000, A107, 'Base Exámenes'!$G$5:$G$1000, "&lt;&gt;")=0, "", _xlfn.MAXIFS('Base Exámenes'!$G$5:$G$1000, 'Base Exámenes'!$C$5:$C$1000, A107)), "")</f>
        <v>100</v>
      </c>
      <c r="K107" s="6" t="str">
        <f>IF(F107="Completado", IFERROR(IF(INDEX('Base Exámenes'!$H$5:$H$1000, MATCH(A107&amp;"|"&amp;J107, 'Base Exámenes'!$I$5:$I$1000, 0))="", "", INDEX('Base Exámenes'!$H$5:$H$1000, MATCH(A107&amp;"|"&amp;J107, 'Base Exámenes'!$I$5:$I$1000, 0))), ""), "")</f>
        <v>anonymous</v>
      </c>
      <c r="L107" s="22">
        <f>IF($A107="","",COUNTIF('Base Exámenes'!$C$5:$C$1000, A107))</f>
        <v>1</v>
      </c>
      <c r="M107" s="6" t="str">
        <f>IF($A107="","",IF(COUNTIF('Base Exámenes'!$C$5:$C$1000, A107)&gt;0, "", TRIM('Base Oficial'!H107)))</f>
        <v/>
      </c>
    </row>
    <row r="108">
      <c r="A108" s="4" t="str">
        <f>IF('Base Oficial'!A108="","",TRIM('Base Oficial'!A108))</f>
        <v>281</v>
      </c>
      <c r="B108" s="6" t="str">
        <f>IF($A108="","",TRIM('Base Oficial'!B108))</f>
        <v>CARLOS ALFONSO MOLINA CARDONA</v>
      </c>
      <c r="C108" s="6" t="str">
        <f>IF($A108="","",TRIM('Base Oficial'!F108))</f>
        <v>DEPARTAMENTO DE OPERACIONES Y SOPORTE TECNICO</v>
      </c>
      <c r="D108" s="6" t="str">
        <f>IF($A108="","",TRIM('Base Oficial'!G108))</f>
        <v>Gerencia de Sistemas</v>
      </c>
      <c r="E108" s="6" t="str">
        <f>IF($A108="","",TRIM('Base Oficial'!D108))</f>
        <v>OPERADOR DE SISTEMAS</v>
      </c>
      <c r="F108" s="4" t="str">
        <f>IF($A108="","",IF(COUNTIF('Base Exámenes'!$C$5:$C$1000, A108)&gt;0, "Completado", IF(M108&lt;&gt;"", M108, "Pendiente")))</f>
        <v>Completado</v>
      </c>
      <c r="G108" s="11">
        <f>IF(F108="Completado", IFERROR(IF(INDEX('Base Exámenes'!$D$5:$D$1000, MATCH(A108&amp;"|"&amp;J108, 'Base Exámenes'!$I$5:$I$1000, 0))="", "", INDEX('Base Exámenes'!$D$5:$D$1000, MATCH(A108&amp;"|"&amp;J108, 'Base Exámenes'!$I$5:$I$1000, 0))), ""), "")</f>
        <v>46300.46083333333</v>
      </c>
      <c r="H108" s="11">
        <f>IF(F108="Completado", IFERROR(IF(INDEX('Base Exámenes'!$E$5:$E$1000, MATCH(A108&amp;"|"&amp;J108, 'Base Exámenes'!$I$5:$I$1000, 0))="", "", INDEX('Base Exámenes'!$E$5:$E$1000, MATCH(A108&amp;"|"&amp;J108, 'Base Exámenes'!$I$5:$I$1000, 0))), ""), "")</f>
        <v>46300.48065972222</v>
      </c>
      <c r="I108" s="10">
        <f>IF(F108="Completado", IFERROR(IF(INDEX('Base Exámenes'!$F$5:$F$1000, MATCH(A108&amp;"|"&amp;J108, 'Base Exámenes'!$I$5:$I$1000, 0))="", "", INDEX('Base Exámenes'!$F$5:$F$1000, MATCH(A108&amp;"|"&amp;J108, 'Base Exámenes'!$I$5:$I$1000, 0))), ""), "")</f>
        <v>28.55</v>
      </c>
      <c r="J108" s="6">
        <f>IF(F108="Completado", IF(COUNTIFS('Base Exámenes'!$C$5:$C$1000, A108, 'Base Exámenes'!$G$5:$G$1000, "&lt;&gt;")=0, "", _xlfn.MAXIFS('Base Exámenes'!$G$5:$G$1000, 'Base Exámenes'!$C$5:$C$1000, A108)), "")</f>
        <v>100</v>
      </c>
      <c r="K108" s="6" t="str">
        <f>IF(F108="Completado", IFERROR(IF(INDEX('Base Exámenes'!$H$5:$H$1000, MATCH(A108&amp;"|"&amp;J108, 'Base Exámenes'!$I$5:$I$1000, 0))="", "", INDEX('Base Exámenes'!$H$5:$H$1000, MATCH(A108&amp;"|"&amp;J108, 'Base Exámenes'!$I$5:$I$1000, 0))), ""), "")</f>
        <v>anonymous</v>
      </c>
      <c r="L108" s="22">
        <f>IF($A108="","",COUNTIF('Base Exámenes'!$C$5:$C$1000, A108))</f>
        <v>1</v>
      </c>
      <c r="M108" s="6" t="str">
        <f>IF($A108="","",IF(COUNTIF('Base Exámenes'!$C$5:$C$1000, A108)&gt;0, "", TRIM('Base Oficial'!H108)))</f>
        <v/>
      </c>
    </row>
    <row r="109">
      <c r="A109" s="4" t="str">
        <f>IF('Base Oficial'!A109="","",TRIM('Base Oficial'!A109))</f>
        <v>490</v>
      </c>
      <c r="B109" s="6" t="str">
        <f>IF($A109="","",TRIM('Base Oficial'!B109))</f>
        <v>JULIO ADOLFO MOLINA ARRIOLA</v>
      </c>
      <c r="C109" s="6" t="str">
        <f>IF($A109="","",TRIM('Base Oficial'!F109))</f>
        <v>DEPARTAMENTO DE OPERACIONES Y SOPORTE TECNICO</v>
      </c>
      <c r="D109" s="6" t="str">
        <f>IF($A109="","",TRIM('Base Oficial'!G109))</f>
        <v>Gerencia de Sistemas</v>
      </c>
      <c r="E109" s="6" t="str">
        <f>IF($A109="","",TRIM('Base Oficial'!D109))</f>
        <v>OPERADOR DE SISTEMAS</v>
      </c>
      <c r="F109" s="4" t="str">
        <f>IF($A109="","",IF(COUNTIF('Base Exámenes'!$C$5:$C$1000, A109)&gt;0, "Completado", IF(M109&lt;&gt;"", M109, "Pendiente")))</f>
        <v>Completado</v>
      </c>
      <c r="G109" s="11">
        <f>IF(F109="Completado", IFERROR(IF(INDEX('Base Exámenes'!$D$5:$D$1000, MATCH(A109&amp;"|"&amp;J109, 'Base Exámenes'!$I$5:$I$1000, 0))="", "", INDEX('Base Exámenes'!$D$5:$D$1000, MATCH(A109&amp;"|"&amp;J109, 'Base Exámenes'!$I$5:$I$1000, 0))), ""), "")</f>
        <v>46301.424733796295</v>
      </c>
      <c r="H109" s="11">
        <f>IF(F109="Completado", IFERROR(IF(INDEX('Base Exámenes'!$E$5:$E$1000, MATCH(A109&amp;"|"&amp;J109, 'Base Exámenes'!$I$5:$I$1000, 0))="", "", INDEX('Base Exámenes'!$E$5:$E$1000, MATCH(A109&amp;"|"&amp;J109, 'Base Exámenes'!$I$5:$I$1000, 0))), ""), "")</f>
        <v>46301.436527777776</v>
      </c>
      <c r="I109" s="10">
        <f>IF(F109="Completado", IFERROR(IF(INDEX('Base Exámenes'!$F$5:$F$1000, MATCH(A109&amp;"|"&amp;J109, 'Base Exámenes'!$I$5:$I$1000, 0))="", "", INDEX('Base Exámenes'!$F$5:$F$1000, MATCH(A109&amp;"|"&amp;J109, 'Base Exámenes'!$I$5:$I$1000, 0))), ""), "")</f>
        <v>16.9833333333333</v>
      </c>
      <c r="J109" s="6">
        <f>IF(F109="Completado", IF(COUNTIFS('Base Exámenes'!$C$5:$C$1000, A109, 'Base Exámenes'!$G$5:$G$1000, "&lt;&gt;")=0, "", _xlfn.MAXIFS('Base Exámenes'!$G$5:$G$1000, 'Base Exámenes'!$C$5:$C$1000, A109)), "")</f>
        <v>100</v>
      </c>
      <c r="K109" s="6" t="str">
        <f>IF(F109="Completado", IFERROR(IF(INDEX('Base Exámenes'!$H$5:$H$1000, MATCH(A109&amp;"|"&amp;J109, 'Base Exámenes'!$I$5:$I$1000, 0))="", "", INDEX('Base Exámenes'!$H$5:$H$1000, MATCH(A109&amp;"|"&amp;J109, 'Base Exámenes'!$I$5:$I$1000, 0))), ""), "")</f>
        <v>anonymous</v>
      </c>
      <c r="L109" s="22">
        <f>IF($A109="","",COUNTIF('Base Exámenes'!$C$5:$C$1000, A109))</f>
        <v>1</v>
      </c>
      <c r="M109" s="6" t="str">
        <f>IF($A109="","",IF(COUNTIF('Base Exámenes'!$C$5:$C$1000, A109)&gt;0, "", TRIM('Base Oficial'!H109)))</f>
        <v/>
      </c>
    </row>
    <row r="110">
      <c r="A110" s="4" t="str">
        <f>IF('Base Oficial'!A110="","",TRIM('Base Oficial'!A110))</f>
        <v>880</v>
      </c>
      <c r="B110" s="6" t="str">
        <f>IF($A110="","",TRIM('Base Oficial'!B110))</f>
        <v>JORGE ALBERTO BARRERA</v>
      </c>
      <c r="C110" s="6" t="str">
        <f>IF($A110="","",TRIM('Base Oficial'!F110))</f>
        <v>DEPARTAMENTO DE OPERACIONES Y SOPORTE TECNICO</v>
      </c>
      <c r="D110" s="6" t="str">
        <f>IF($A110="","",TRIM('Base Oficial'!G110))</f>
        <v>Gerencia de Sistemas</v>
      </c>
      <c r="E110" s="6" t="str">
        <f>IF($A110="","",TRIM('Base Oficial'!D110))</f>
        <v>JEFE DE OPERACIONES Y SOPORTE TECNICO</v>
      </c>
      <c r="F110" s="4" t="str">
        <f>IF($A110="","",IF(COUNTIF('Base Exámenes'!$C$5:$C$1000, A110)&gt;0, "Completado", IF(M110&lt;&gt;"", M110, "Pendiente")))</f>
        <v>Completado</v>
      </c>
      <c r="G110" s="11">
        <f>IF(F110="Completado", IFERROR(IF(INDEX('Base Exámenes'!$D$5:$D$1000, MATCH(A110&amp;"|"&amp;J110, 'Base Exámenes'!$I$5:$I$1000, 0))="", "", INDEX('Base Exámenes'!$D$5:$D$1000, MATCH(A110&amp;"|"&amp;J110, 'Base Exámenes'!$I$5:$I$1000, 0))), ""), "")</f>
        <v>46300.57717592592</v>
      </c>
      <c r="H110" s="11">
        <f>IF(F110="Completado", IFERROR(IF(INDEX('Base Exámenes'!$E$5:$E$1000, MATCH(A110&amp;"|"&amp;J110, 'Base Exámenes'!$I$5:$I$1000, 0))="", "", INDEX('Base Exámenes'!$E$5:$E$1000, MATCH(A110&amp;"|"&amp;J110, 'Base Exámenes'!$I$5:$I$1000, 0))), ""), "")</f>
        <v>46300.5841087963</v>
      </c>
      <c r="I110" s="10">
        <f>IF(F110="Completado", IFERROR(IF(INDEX('Base Exámenes'!$F$5:$F$1000, MATCH(A110&amp;"|"&amp;J110, 'Base Exámenes'!$I$5:$I$1000, 0))="", "", INDEX('Base Exámenes'!$F$5:$F$1000, MATCH(A110&amp;"|"&amp;J110, 'Base Exámenes'!$I$5:$I$1000, 0))), ""), "")</f>
        <v>9.98333333333333</v>
      </c>
      <c r="J110" s="6">
        <f>IF(F110="Completado", IF(COUNTIFS('Base Exámenes'!$C$5:$C$1000, A110, 'Base Exámenes'!$G$5:$G$1000, "&lt;&gt;")=0, "", _xlfn.MAXIFS('Base Exámenes'!$G$5:$G$1000, 'Base Exámenes'!$C$5:$C$1000, A110)), "")</f>
        <v>100</v>
      </c>
      <c r="K110" s="6" t="str">
        <f>IF(F110="Completado", IFERROR(IF(INDEX('Base Exámenes'!$H$5:$H$1000, MATCH(A110&amp;"|"&amp;J110, 'Base Exámenes'!$I$5:$I$1000, 0))="", "", INDEX('Base Exámenes'!$H$5:$H$1000, MATCH(A110&amp;"|"&amp;J110, 'Base Exámenes'!$I$5:$I$1000, 0))), ""), "")</f>
        <v>anonymous</v>
      </c>
      <c r="L110" s="22">
        <f>IF($A110="","",COUNTIF('Base Exámenes'!$C$5:$C$1000, A110))</f>
        <v>1</v>
      </c>
      <c r="M110" s="6" t="str">
        <f>IF($A110="","",IF(COUNTIF('Base Exámenes'!$C$5:$C$1000, A110)&gt;0, "", TRIM('Base Oficial'!H110)))</f>
        <v/>
      </c>
    </row>
    <row r="111">
      <c r="A111" s="4" t="str">
        <f>IF('Base Oficial'!A111="","",TRIM('Base Oficial'!A111))</f>
        <v>239</v>
      </c>
      <c r="B111" s="6" t="str">
        <f>IF($A111="","",TRIM('Base Oficial'!B111))</f>
        <v>CELINA MARGARITA GUTIERREZ RODRIGUEZ</v>
      </c>
      <c r="C111" s="6" t="str">
        <f>IF($A111="","",TRIM('Base Oficial'!F111))</f>
        <v>DEPARTAMENTO DE ANALISIS Y PROGRAMACIÓN</v>
      </c>
      <c r="D111" s="6" t="str">
        <f>IF($A111="","",TRIM('Base Oficial'!G111))</f>
        <v>Gerencia de Sistemas</v>
      </c>
      <c r="E111" s="6" t="str">
        <f>IF($A111="","",TRIM('Base Oficial'!D111))</f>
        <v>ANALISTA PROGRAMADOR SENIOR</v>
      </c>
      <c r="F111" s="4" t="str">
        <f>IF($A111="","",IF(COUNTIF('Base Exámenes'!$C$5:$C$1000, A111)&gt;0, "Completado", IF(M111&lt;&gt;"", M111, "Pendiente")))</f>
        <v>Completado</v>
      </c>
      <c r="G111" s="11">
        <f>IF(F111="Completado", IFERROR(IF(INDEX('Base Exámenes'!$D$5:$D$1000, MATCH(A111&amp;"|"&amp;J111, 'Base Exámenes'!$I$5:$I$1000, 0))="", "", INDEX('Base Exámenes'!$D$5:$D$1000, MATCH(A111&amp;"|"&amp;J111, 'Base Exámenes'!$I$5:$I$1000, 0))), ""), "")</f>
        <v>46296.641388888886</v>
      </c>
      <c r="H111" s="11">
        <f>IF(F111="Completado", IFERROR(IF(INDEX('Base Exámenes'!$E$5:$E$1000, MATCH(A111&amp;"|"&amp;J111, 'Base Exámenes'!$I$5:$I$1000, 0))="", "", INDEX('Base Exámenes'!$E$5:$E$1000, MATCH(A111&amp;"|"&amp;J111, 'Base Exámenes'!$I$5:$I$1000, 0))), ""), "")</f>
        <v>46296.65938657407</v>
      </c>
      <c r="I111" s="10">
        <f>IF(F111="Completado", IFERROR(IF(INDEX('Base Exámenes'!$F$5:$F$1000, MATCH(A111&amp;"|"&amp;J111, 'Base Exámenes'!$I$5:$I$1000, 0))="", "", INDEX('Base Exámenes'!$F$5:$F$1000, MATCH(A111&amp;"|"&amp;J111, 'Base Exámenes'!$I$5:$I$1000, 0))), ""), "")</f>
        <v>25.9166666666667</v>
      </c>
      <c r="J111" s="6">
        <f>IF(F111="Completado", IF(COUNTIFS('Base Exámenes'!$C$5:$C$1000, A111, 'Base Exámenes'!$G$5:$G$1000, "&lt;&gt;")=0, "", _xlfn.MAXIFS('Base Exámenes'!$G$5:$G$1000, 'Base Exámenes'!$C$5:$C$1000, A111)), "")</f>
        <v>100</v>
      </c>
      <c r="K111" s="6" t="str">
        <f>IF(F111="Completado", IFERROR(IF(INDEX('Base Exámenes'!$H$5:$H$1000, MATCH(A111&amp;"|"&amp;J111, 'Base Exámenes'!$I$5:$I$1000, 0))="", "", INDEX('Base Exámenes'!$H$5:$H$1000, MATCH(A111&amp;"|"&amp;J111, 'Base Exámenes'!$I$5:$I$1000, 0))), ""), "")</f>
        <v>anonymous</v>
      </c>
      <c r="L111" s="22">
        <f>IF($A111="","",COUNTIF('Base Exámenes'!$C$5:$C$1000, A111))</f>
        <v>1</v>
      </c>
      <c r="M111" s="6" t="str">
        <f>IF($A111="","",IF(COUNTIF('Base Exámenes'!$C$5:$C$1000, A111)&gt;0, "", TRIM('Base Oficial'!H111)))</f>
        <v/>
      </c>
    </row>
    <row r="112">
      <c r="A112" s="4" t="str">
        <f>IF('Base Oficial'!A112="","",TRIM('Base Oficial'!A112))</f>
        <v>320</v>
      </c>
      <c r="B112" s="6" t="str">
        <f>IF($A112="","",TRIM('Base Oficial'!B112))</f>
        <v>HILDA MARGARITA ABREGO BRAN</v>
      </c>
      <c r="C112" s="6" t="str">
        <f>IF($A112="","",TRIM('Base Oficial'!F112))</f>
        <v>DEPARTAMENTO DE ANALISIS Y PROGRAMACIÓN</v>
      </c>
      <c r="D112" s="6" t="str">
        <f>IF($A112="","",TRIM('Base Oficial'!G112))</f>
        <v>Gerencia de Sistemas</v>
      </c>
      <c r="E112" s="6" t="str">
        <f>IF($A112="","",TRIM('Base Oficial'!D112))</f>
        <v>ANALISTA QA</v>
      </c>
      <c r="F112" s="4" t="str">
        <f>IF($A112="","",IF(COUNTIF('Base Exámenes'!$C$5:$C$1000, A112)&gt;0, "Completado", IF(M112&lt;&gt;"", M112, "Pendiente")))</f>
        <v>Completado</v>
      </c>
      <c r="G112" s="11">
        <f>IF(F112="Completado", IFERROR(IF(INDEX('Base Exámenes'!$D$5:$D$1000, MATCH(A112&amp;"|"&amp;J112, 'Base Exámenes'!$I$5:$I$1000, 0))="", "", INDEX('Base Exámenes'!$D$5:$D$1000, MATCH(A112&amp;"|"&amp;J112, 'Base Exámenes'!$I$5:$I$1000, 0))), ""), "")</f>
        <v>46296.56962962963</v>
      </c>
      <c r="H112" s="11">
        <f>IF(F112="Completado", IFERROR(IF(INDEX('Base Exámenes'!$E$5:$E$1000, MATCH(A112&amp;"|"&amp;J112, 'Base Exámenes'!$I$5:$I$1000, 0))="", "", INDEX('Base Exámenes'!$E$5:$E$1000, MATCH(A112&amp;"|"&amp;J112, 'Base Exámenes'!$I$5:$I$1000, 0))), ""), "")</f>
        <v>46296.59023148148</v>
      </c>
      <c r="I112" s="10">
        <f>IF(F112="Completado", IFERROR(IF(INDEX('Base Exámenes'!$F$5:$F$1000, MATCH(A112&amp;"|"&amp;J112, 'Base Exámenes'!$I$5:$I$1000, 0))="", "", INDEX('Base Exámenes'!$F$5:$F$1000, MATCH(A112&amp;"|"&amp;J112, 'Base Exámenes'!$I$5:$I$1000, 0))), ""), "")</f>
        <v>29.6666666666667</v>
      </c>
      <c r="J112" s="6">
        <f>IF(F112="Completado", IF(COUNTIFS('Base Exámenes'!$C$5:$C$1000, A112, 'Base Exámenes'!$G$5:$G$1000, "&lt;&gt;")=0, "", _xlfn.MAXIFS('Base Exámenes'!$G$5:$G$1000, 'Base Exámenes'!$C$5:$C$1000, A112)), "")</f>
        <v>100</v>
      </c>
      <c r="K112" s="6" t="str">
        <f>IF(F112="Completado", IFERROR(IF(INDEX('Base Exámenes'!$H$5:$H$1000, MATCH(A112&amp;"|"&amp;J112, 'Base Exámenes'!$I$5:$I$1000, 0))="", "", INDEX('Base Exámenes'!$H$5:$H$1000, MATCH(A112&amp;"|"&amp;J112, 'Base Exámenes'!$I$5:$I$1000, 0))), ""), "")</f>
        <v>anonymous</v>
      </c>
      <c r="L112" s="22">
        <f>IF($A112="","",COUNTIF('Base Exámenes'!$C$5:$C$1000, A112))</f>
        <v>1</v>
      </c>
      <c r="M112" s="6" t="str">
        <f>IF($A112="","",IF(COUNTIF('Base Exámenes'!$C$5:$C$1000, A112)&gt;0, "", TRIM('Base Oficial'!H112)))</f>
        <v/>
      </c>
    </row>
    <row r="113">
      <c r="A113" s="4" t="str">
        <f>IF('Base Oficial'!A113="","",TRIM('Base Oficial'!A113))</f>
        <v>410</v>
      </c>
      <c r="B113" s="6" t="str">
        <f>IF($A113="","",TRIM('Base Oficial'!B113))</f>
        <v>CLAUDIA MARGARITA CAMPOS GONZÁLEZ</v>
      </c>
      <c r="C113" s="6" t="str">
        <f>IF($A113="","",TRIM('Base Oficial'!F113))</f>
        <v>DEPARTAMENTO DE ANALISIS Y PROGRAMACIÓN</v>
      </c>
      <c r="D113" s="6" t="str">
        <f>IF($A113="","",TRIM('Base Oficial'!G113))</f>
        <v>Gerencia de Sistemas</v>
      </c>
      <c r="E113" s="6" t="str">
        <f>IF($A113="","",TRIM('Base Oficial'!D113))</f>
        <v>JEFE DE ANALISIS Y PROGRAMACION</v>
      </c>
      <c r="F113" s="4" t="str">
        <f>IF($A113="","",IF(COUNTIF('Base Exámenes'!$C$5:$C$1000, A113)&gt;0, "Completado", IF(M113&lt;&gt;"", M113, "Pendiente")))</f>
        <v>Completado</v>
      </c>
      <c r="G113" s="11">
        <f>IF(F113="Completado", IFERROR(IF(INDEX('Base Exámenes'!$D$5:$D$1000, MATCH(A113&amp;"|"&amp;J113, 'Base Exámenes'!$I$5:$I$1000, 0))="", "", INDEX('Base Exámenes'!$D$5:$D$1000, MATCH(A113&amp;"|"&amp;J113, 'Base Exámenes'!$I$5:$I$1000, 0))), ""), "")</f>
        <v>46307.69018518519</v>
      </c>
      <c r="H113" s="11">
        <f>IF(F113="Completado", IFERROR(IF(INDEX('Base Exámenes'!$E$5:$E$1000, MATCH(A113&amp;"|"&amp;J113, 'Base Exámenes'!$I$5:$I$1000, 0))="", "", INDEX('Base Exámenes'!$E$5:$E$1000, MATCH(A113&amp;"|"&amp;J113, 'Base Exámenes'!$I$5:$I$1000, 0))), ""), "")</f>
        <v>46307.69321759259</v>
      </c>
      <c r="I113" s="10">
        <f>IF(F113="Completado", IFERROR(IF(INDEX('Base Exámenes'!$F$5:$F$1000, MATCH(A113&amp;"|"&amp;J113, 'Base Exámenes'!$I$5:$I$1000, 0))="", "", INDEX('Base Exámenes'!$F$5:$F$1000, MATCH(A113&amp;"|"&amp;J113, 'Base Exámenes'!$I$5:$I$1000, 0))), ""), "")</f>
        <v>4.36666666666667</v>
      </c>
      <c r="J113" s="6">
        <f>IF(F113="Completado", IF(COUNTIFS('Base Exámenes'!$C$5:$C$1000, A113, 'Base Exámenes'!$G$5:$G$1000, "&lt;&gt;")=0, "", _xlfn.MAXIFS('Base Exámenes'!$G$5:$G$1000, 'Base Exámenes'!$C$5:$C$1000, A113)), "")</f>
        <v>100</v>
      </c>
      <c r="K113" s="6" t="str">
        <f>IF(F113="Completado", IFERROR(IF(INDEX('Base Exámenes'!$H$5:$H$1000, MATCH(A113&amp;"|"&amp;J113, 'Base Exámenes'!$I$5:$I$1000, 0))="", "", INDEX('Base Exámenes'!$H$5:$H$1000, MATCH(A113&amp;"|"&amp;J113, 'Base Exámenes'!$I$5:$I$1000, 0))), ""), "")</f>
        <v>anonymous</v>
      </c>
      <c r="L113" s="22">
        <f>IF($A113="","",COUNTIF('Base Exámenes'!$C$5:$C$1000, A113))</f>
        <v>1</v>
      </c>
      <c r="M113" s="6" t="str">
        <f>IF($A113="","",IF(COUNTIF('Base Exámenes'!$C$5:$C$1000, A113)&gt;0, "", TRIM('Base Oficial'!H113)))</f>
        <v/>
      </c>
    </row>
    <row r="114">
      <c r="A114" s="4" t="str">
        <f>IF('Base Oficial'!A114="","",TRIM('Base Oficial'!A114))</f>
        <v>474</v>
      </c>
      <c r="B114" s="6" t="str">
        <f>IF($A114="","",TRIM('Base Oficial'!B114))</f>
        <v>GLADIS EVELIN CASTILLO TORRES</v>
      </c>
      <c r="C114" s="6" t="str">
        <f>IF($A114="","",TRIM('Base Oficial'!F114))</f>
        <v>DEPARTAMENTO DE ANALISIS Y PROGRAMACIÓN</v>
      </c>
      <c r="D114" s="6" t="str">
        <f>IF($A114="","",TRIM('Base Oficial'!G114))</f>
        <v>Gerencia de Sistemas</v>
      </c>
      <c r="E114" s="6" t="str">
        <f>IF($A114="","",TRIM('Base Oficial'!D114))</f>
        <v>ANALISTA PROGRAMADOR SENIOR</v>
      </c>
      <c r="F114" s="4" t="str">
        <f>IF($A114="","",IF(COUNTIF('Base Exámenes'!$C$5:$C$1000, A114)&gt;0, "Completado", IF(M114&lt;&gt;"", M114, "Pendiente")))</f>
        <v>Completado</v>
      </c>
      <c r="G114" s="11">
        <f>IF(F114="Completado", IFERROR(IF(INDEX('Base Exámenes'!$D$5:$D$1000, MATCH(A114&amp;"|"&amp;J114, 'Base Exámenes'!$I$5:$I$1000, 0))="", "", INDEX('Base Exámenes'!$D$5:$D$1000, MATCH(A114&amp;"|"&amp;J114, 'Base Exámenes'!$I$5:$I$1000, 0))), ""), "")</f>
        <v>46297.48075231481</v>
      </c>
      <c r="H114" s="11">
        <f>IF(F114="Completado", IFERROR(IF(INDEX('Base Exámenes'!$E$5:$E$1000, MATCH(A114&amp;"|"&amp;J114, 'Base Exámenes'!$I$5:$I$1000, 0))="", "", INDEX('Base Exámenes'!$E$5:$E$1000, MATCH(A114&amp;"|"&amp;J114, 'Base Exámenes'!$I$5:$I$1000, 0))), ""), "")</f>
        <v>46297.48825231481</v>
      </c>
      <c r="I114" s="10">
        <f>IF(F114="Completado", IFERROR(IF(INDEX('Base Exámenes'!$F$5:$F$1000, MATCH(A114&amp;"|"&amp;J114, 'Base Exámenes'!$I$5:$I$1000, 0))="", "", INDEX('Base Exámenes'!$F$5:$F$1000, MATCH(A114&amp;"|"&amp;J114, 'Base Exámenes'!$I$5:$I$1000, 0))), ""), "")</f>
        <v>10.8</v>
      </c>
      <c r="J114" s="6">
        <f>IF(F114="Completado", IF(COUNTIFS('Base Exámenes'!$C$5:$C$1000, A114, 'Base Exámenes'!$G$5:$G$1000, "&lt;&gt;")=0, "", _xlfn.MAXIFS('Base Exámenes'!$G$5:$G$1000, 'Base Exámenes'!$C$5:$C$1000, A114)), "")</f>
        <v>100</v>
      </c>
      <c r="K114" s="6" t="str">
        <f>IF(F114="Completado", IFERROR(IF(INDEX('Base Exámenes'!$H$5:$H$1000, MATCH(A114&amp;"|"&amp;J114, 'Base Exámenes'!$I$5:$I$1000, 0))="", "", INDEX('Base Exámenes'!$H$5:$H$1000, MATCH(A114&amp;"|"&amp;J114, 'Base Exámenes'!$I$5:$I$1000, 0))), ""), "")</f>
        <v>anonymous</v>
      </c>
      <c r="L114" s="22">
        <f>IF($A114="","",COUNTIF('Base Exámenes'!$C$5:$C$1000, A114))</f>
        <v>1</v>
      </c>
      <c r="M114" s="6" t="str">
        <f>IF($A114="","",IF(COUNTIF('Base Exámenes'!$C$5:$C$1000, A114)&gt;0, "", TRIM('Base Oficial'!H114)))</f>
        <v/>
      </c>
    </row>
    <row r="115">
      <c r="A115" s="4" t="str">
        <f>IF('Base Oficial'!A115="","",TRIM('Base Oficial'!A115))</f>
        <v>680</v>
      </c>
      <c r="B115" s="6" t="str">
        <f>IF($A115="","",TRIM('Base Oficial'!B115))</f>
        <v>CARLOS FRANCISCO HERNANDEZ MUÑOZ</v>
      </c>
      <c r="C115" s="6" t="str">
        <f>IF($A115="","",TRIM('Base Oficial'!F115))</f>
        <v>DEPARTAMENTO DE ANALISIS Y PROGRAMACIÓN</v>
      </c>
      <c r="D115" s="6" t="str">
        <f>IF($A115="","",TRIM('Base Oficial'!G115))</f>
        <v>Gerencia de Sistemas</v>
      </c>
      <c r="E115" s="6" t="str">
        <f>IF($A115="","",TRIM('Base Oficial'!D115))</f>
        <v>ANALISTA QA</v>
      </c>
      <c r="F115" s="4" t="str">
        <f>IF($A115="","",IF(COUNTIF('Base Exámenes'!$C$5:$C$1000, A115)&gt;0, "Completado", IF(M115&lt;&gt;"", M115, "Pendiente")))</f>
        <v>Completado</v>
      </c>
      <c r="G115" s="11">
        <f>IF(F115="Completado", IFERROR(IF(INDEX('Base Exámenes'!$D$5:$D$1000, MATCH(A115&amp;"|"&amp;J115, 'Base Exámenes'!$I$5:$I$1000, 0))="", "", INDEX('Base Exámenes'!$D$5:$D$1000, MATCH(A115&amp;"|"&amp;J115, 'Base Exámenes'!$I$5:$I$1000, 0))), ""), "")</f>
        <v>46300.386666666665</v>
      </c>
      <c r="H115" s="11">
        <f>IF(F115="Completado", IFERROR(IF(INDEX('Base Exámenes'!$E$5:$E$1000, MATCH(A115&amp;"|"&amp;J115, 'Base Exámenes'!$I$5:$I$1000, 0))="", "", INDEX('Base Exámenes'!$E$5:$E$1000, MATCH(A115&amp;"|"&amp;J115, 'Base Exámenes'!$I$5:$I$1000, 0))), ""), "")</f>
        <v>46300.39171296296</v>
      </c>
      <c r="I115" s="10">
        <f>IF(F115="Completado", IFERROR(IF(INDEX('Base Exámenes'!$F$5:$F$1000, MATCH(A115&amp;"|"&amp;J115, 'Base Exámenes'!$I$5:$I$1000, 0))="", "", INDEX('Base Exámenes'!$F$5:$F$1000, MATCH(A115&amp;"|"&amp;J115, 'Base Exámenes'!$I$5:$I$1000, 0))), ""), "")</f>
        <v>7.26666666666667</v>
      </c>
      <c r="J115" s="6">
        <f>IF(F115="Completado", IF(COUNTIFS('Base Exámenes'!$C$5:$C$1000, A115, 'Base Exámenes'!$G$5:$G$1000, "&lt;&gt;")=0, "", _xlfn.MAXIFS('Base Exámenes'!$G$5:$G$1000, 'Base Exámenes'!$C$5:$C$1000, A115)), "")</f>
        <v>100</v>
      </c>
      <c r="K115" s="6" t="str">
        <f>IF(F115="Completado", IFERROR(IF(INDEX('Base Exámenes'!$H$5:$H$1000, MATCH(A115&amp;"|"&amp;J115, 'Base Exámenes'!$I$5:$I$1000, 0))="", "", INDEX('Base Exámenes'!$H$5:$H$1000, MATCH(A115&amp;"|"&amp;J115, 'Base Exámenes'!$I$5:$I$1000, 0))), ""), "")</f>
        <v>anonymous</v>
      </c>
      <c r="L115" s="22">
        <f>IF($A115="","",COUNTIF('Base Exámenes'!$C$5:$C$1000, A115))</f>
        <v>1</v>
      </c>
      <c r="M115" s="6" t="str">
        <f>IF($A115="","",IF(COUNTIF('Base Exámenes'!$C$5:$C$1000, A115)&gt;0, "", TRIM('Base Oficial'!H115)))</f>
        <v/>
      </c>
    </row>
    <row r="116">
      <c r="A116" s="4" t="str">
        <f>IF('Base Oficial'!A116="","",TRIM('Base Oficial'!A116))</f>
        <v>752</v>
      </c>
      <c r="B116" s="6" t="str">
        <f>IF($A116="","",TRIM('Base Oficial'!B116))</f>
        <v>JEAN HARRY MIRANDA ARAUJO</v>
      </c>
      <c r="C116" s="6" t="str">
        <f>IF($A116="","",TRIM('Base Oficial'!F116))</f>
        <v>DEPARTAMENTO DE ANALISIS Y PROGRAMACIÓN</v>
      </c>
      <c r="D116" s="6" t="str">
        <f>IF($A116="","",TRIM('Base Oficial'!G116))</f>
        <v>Gerencia de Sistemas</v>
      </c>
      <c r="E116" s="6" t="str">
        <f>IF($A116="","",TRIM('Base Oficial'!D116))</f>
        <v>ANALISTA PROGRAMADOR</v>
      </c>
      <c r="F116" s="4" t="str">
        <f>IF($A116="","",IF(COUNTIF('Base Exámenes'!$C$5:$C$1000, A116)&gt;0, "Completado", IF(M116&lt;&gt;"", M116, "Pendiente")))</f>
        <v>Completado</v>
      </c>
      <c r="G116" s="11">
        <f>IF(F116="Completado", IFERROR(IF(INDEX('Base Exámenes'!$D$5:$D$1000, MATCH(A116&amp;"|"&amp;J116, 'Base Exámenes'!$I$5:$I$1000, 0))="", "", INDEX('Base Exámenes'!$D$5:$D$1000, MATCH(A116&amp;"|"&amp;J116, 'Base Exámenes'!$I$5:$I$1000, 0))), ""), "")</f>
        <v>46307.41273148148</v>
      </c>
      <c r="H116" s="11">
        <f>IF(F116="Completado", IFERROR(IF(INDEX('Base Exámenes'!$E$5:$E$1000, MATCH(A116&amp;"|"&amp;J116, 'Base Exámenes'!$I$5:$I$1000, 0))="", "", INDEX('Base Exámenes'!$E$5:$E$1000, MATCH(A116&amp;"|"&amp;J116, 'Base Exámenes'!$I$5:$I$1000, 0))), ""), "")</f>
        <v>46307.43311342593</v>
      </c>
      <c r="I116" s="10">
        <f>IF(F116="Completado", IFERROR(IF(INDEX('Base Exámenes'!$F$5:$F$1000, MATCH(A116&amp;"|"&amp;J116, 'Base Exámenes'!$I$5:$I$1000, 0))="", "", INDEX('Base Exámenes'!$F$5:$F$1000, MATCH(A116&amp;"|"&amp;J116, 'Base Exámenes'!$I$5:$I$1000, 0))), ""), "")</f>
        <v>29.35</v>
      </c>
      <c r="J116" s="6">
        <f>IF(F116="Completado", IF(COUNTIFS('Base Exámenes'!$C$5:$C$1000, A116, 'Base Exámenes'!$G$5:$G$1000, "&lt;&gt;")=0, "", _xlfn.MAXIFS('Base Exámenes'!$G$5:$G$1000, 'Base Exámenes'!$C$5:$C$1000, A116)), "")</f>
        <v>100</v>
      </c>
      <c r="K116" s="6" t="str">
        <f>IF(F116="Completado", IFERROR(IF(INDEX('Base Exámenes'!$H$5:$H$1000, MATCH(A116&amp;"|"&amp;J116, 'Base Exámenes'!$I$5:$I$1000, 0))="", "", INDEX('Base Exámenes'!$H$5:$H$1000, MATCH(A116&amp;"|"&amp;J116, 'Base Exámenes'!$I$5:$I$1000, 0))), ""), "")</f>
        <v>anonymous</v>
      </c>
      <c r="L116" s="22">
        <f>IF($A116="","",COUNTIF('Base Exámenes'!$C$5:$C$1000, A116))</f>
        <v>1</v>
      </c>
      <c r="M116" s="6" t="str">
        <f>IF($A116="","",IF(COUNTIF('Base Exámenes'!$C$5:$C$1000, A116)&gt;0, "", TRIM('Base Oficial'!H116)))</f>
        <v/>
      </c>
    </row>
    <row r="117">
      <c r="A117" s="4" t="str">
        <f>IF('Base Oficial'!A117="","",TRIM('Base Oficial'!A117))</f>
        <v>783</v>
      </c>
      <c r="B117" s="6" t="str">
        <f>IF($A117="","",TRIM('Base Oficial'!B117))</f>
        <v>JONATHAN ALEXIS BERRIOS MENJIVAR</v>
      </c>
      <c r="C117" s="6" t="str">
        <f>IF($A117="","",TRIM('Base Oficial'!F117))</f>
        <v>DEPARTAMENTO DE ANALISIS Y PROGRAMACIÓN</v>
      </c>
      <c r="D117" s="6" t="str">
        <f>IF($A117="","",TRIM('Base Oficial'!G117))</f>
        <v>Gerencia de Sistemas</v>
      </c>
      <c r="E117" s="6" t="str">
        <f>IF($A117="","",TRIM('Base Oficial'!D117))</f>
        <v>ANALISTA PROGRAMADOR</v>
      </c>
      <c r="F117" s="4" t="str">
        <f>IF($A117="","",IF(COUNTIF('Base Exámenes'!$C$5:$C$1000, A117)&gt;0, "Completado", IF(M117&lt;&gt;"", M117, "Pendiente")))</f>
        <v>Completado</v>
      </c>
      <c r="G117" s="11">
        <f>IF(F117="Completado", IFERROR(IF(INDEX('Base Exámenes'!$D$5:$D$1000, MATCH(A117&amp;"|"&amp;J117, 'Base Exámenes'!$I$5:$I$1000, 0))="", "", INDEX('Base Exámenes'!$D$5:$D$1000, MATCH(A117&amp;"|"&amp;J117, 'Base Exámenes'!$I$5:$I$1000, 0))), ""), "")</f>
        <v>46304.395833333336</v>
      </c>
      <c r="H117" s="11">
        <f>IF(F117="Completado", IFERROR(IF(INDEX('Base Exámenes'!$E$5:$E$1000, MATCH(A117&amp;"|"&amp;J117, 'Base Exámenes'!$I$5:$I$1000, 0))="", "", INDEX('Base Exámenes'!$E$5:$E$1000, MATCH(A117&amp;"|"&amp;J117, 'Base Exámenes'!$I$5:$I$1000, 0))), ""), "")</f>
        <v>46304.40027777778</v>
      </c>
      <c r="I117" s="10">
        <f>IF(F117="Completado", IFERROR(IF(INDEX('Base Exámenes'!$F$5:$F$1000, MATCH(A117&amp;"|"&amp;J117, 'Base Exámenes'!$I$5:$I$1000, 0))="", "", INDEX('Base Exámenes'!$F$5:$F$1000, MATCH(A117&amp;"|"&amp;J117, 'Base Exámenes'!$I$5:$I$1000, 0))), ""), "")</f>
        <v>6.4</v>
      </c>
      <c r="J117" s="6">
        <f>IF(F117="Completado", IF(COUNTIFS('Base Exámenes'!$C$5:$C$1000, A117, 'Base Exámenes'!$G$5:$G$1000, "&lt;&gt;")=0, "", _xlfn.MAXIFS('Base Exámenes'!$G$5:$G$1000, 'Base Exámenes'!$C$5:$C$1000, A117)), "")</f>
        <v>100</v>
      </c>
      <c r="K117" s="6" t="str">
        <f>IF(F117="Completado", IFERROR(IF(INDEX('Base Exámenes'!$H$5:$H$1000, MATCH(A117&amp;"|"&amp;J117, 'Base Exámenes'!$I$5:$I$1000, 0))="", "", INDEX('Base Exámenes'!$H$5:$H$1000, MATCH(A117&amp;"|"&amp;J117, 'Base Exámenes'!$I$5:$I$1000, 0))), ""), "")</f>
        <v>anonymous</v>
      </c>
      <c r="L117" s="22">
        <f>IF($A117="","",COUNTIF('Base Exámenes'!$C$5:$C$1000, A117))</f>
        <v>1</v>
      </c>
      <c r="M117" s="6" t="str">
        <f>IF($A117="","",IF(COUNTIF('Base Exámenes'!$C$5:$C$1000, A117)&gt;0, "", TRIM('Base Oficial'!H117)))</f>
        <v/>
      </c>
    </row>
    <row r="118">
      <c r="A118" s="4" t="str">
        <f>IF('Base Oficial'!A118="","",TRIM('Base Oficial'!A118))</f>
        <v>806</v>
      </c>
      <c r="B118" s="6" t="str">
        <f>IF($A118="","",TRIM('Base Oficial'!B118))</f>
        <v>BYRON WILFREDO MENJIVAR MELENDEZ</v>
      </c>
      <c r="C118" s="6" t="str">
        <f>IF($A118="","",TRIM('Base Oficial'!F118))</f>
        <v>DEPARTAMENTO DE ANALISIS Y PROGRAMACIÓN</v>
      </c>
      <c r="D118" s="6" t="str">
        <f>IF($A118="","",TRIM('Base Oficial'!G118))</f>
        <v>Gerencia de Sistemas</v>
      </c>
      <c r="E118" s="6" t="str">
        <f>IF($A118="","",TRIM('Base Oficial'!D118))</f>
        <v>ANALISTA PROGRAMADOR</v>
      </c>
      <c r="F118" s="4" t="str">
        <f>IF($A118="","",IF(COUNTIF('Base Exámenes'!$C$5:$C$1000, A118)&gt;0, "Completado", IF(M118&lt;&gt;"", M118, "Pendiente")))</f>
        <v>Completado</v>
      </c>
      <c r="G118" s="11">
        <f>IF(F118="Completado", IFERROR(IF(INDEX('Base Exámenes'!$D$5:$D$1000, MATCH(A118&amp;"|"&amp;J118, 'Base Exámenes'!$I$5:$I$1000, 0))="", "", INDEX('Base Exámenes'!$D$5:$D$1000, MATCH(A118&amp;"|"&amp;J118, 'Base Exámenes'!$I$5:$I$1000, 0))), ""), "")</f>
        <v>46304.369363425925</v>
      </c>
      <c r="H118" s="11">
        <f>IF(F118="Completado", IFERROR(IF(INDEX('Base Exámenes'!$E$5:$E$1000, MATCH(A118&amp;"|"&amp;J118, 'Base Exámenes'!$I$5:$I$1000, 0))="", "", INDEX('Base Exámenes'!$E$5:$E$1000, MATCH(A118&amp;"|"&amp;J118, 'Base Exámenes'!$I$5:$I$1000, 0))), ""), "")</f>
        <v>46304.384618055556</v>
      </c>
      <c r="I118" s="10">
        <f>IF(F118="Completado", IFERROR(IF(INDEX('Base Exámenes'!$F$5:$F$1000, MATCH(A118&amp;"|"&amp;J118, 'Base Exámenes'!$I$5:$I$1000, 0))="", "", INDEX('Base Exámenes'!$F$5:$F$1000, MATCH(A118&amp;"|"&amp;J118, 'Base Exámenes'!$I$5:$I$1000, 0))), ""), "")</f>
        <v>21.9666666666667</v>
      </c>
      <c r="J118" s="6">
        <f>IF(F118="Completado", IF(COUNTIFS('Base Exámenes'!$C$5:$C$1000, A118, 'Base Exámenes'!$G$5:$G$1000, "&lt;&gt;")=0, "", _xlfn.MAXIFS('Base Exámenes'!$G$5:$G$1000, 'Base Exámenes'!$C$5:$C$1000, A118)), "")</f>
        <v>100</v>
      </c>
      <c r="K118" s="6" t="str">
        <f>IF(F118="Completado", IFERROR(IF(INDEX('Base Exámenes'!$H$5:$H$1000, MATCH(A118&amp;"|"&amp;J118, 'Base Exámenes'!$I$5:$I$1000, 0))="", "", INDEX('Base Exámenes'!$H$5:$H$1000, MATCH(A118&amp;"|"&amp;J118, 'Base Exámenes'!$I$5:$I$1000, 0))), ""), "")</f>
        <v>anonymous</v>
      </c>
      <c r="L118" s="22">
        <f>IF($A118="","",COUNTIF('Base Exámenes'!$C$5:$C$1000, A118))</f>
        <v>1</v>
      </c>
      <c r="M118" s="6" t="str">
        <f>IF($A118="","",IF(COUNTIF('Base Exámenes'!$C$5:$C$1000, A118)&gt;0, "", TRIM('Base Oficial'!H118)))</f>
        <v/>
      </c>
    </row>
    <row r="119">
      <c r="A119" s="4" t="str">
        <f>IF('Base Oficial'!A119="","",TRIM('Base Oficial'!A119))</f>
        <v>824</v>
      </c>
      <c r="B119" s="6" t="str">
        <f>IF($A119="","",TRIM('Base Oficial'!B119))</f>
        <v>RODRIGO FERNANDO FIGUEROA RIVAS</v>
      </c>
      <c r="C119" s="6" t="str">
        <f>IF($A119="","",TRIM('Base Oficial'!F119))</f>
        <v>DEPARTAMENTO DE ANALISIS Y PROGRAMACIÓN</v>
      </c>
      <c r="D119" s="6" t="str">
        <f>IF($A119="","",TRIM('Base Oficial'!G119))</f>
        <v>Gerencia de Sistemas</v>
      </c>
      <c r="E119" s="6" t="str">
        <f>IF($A119="","",TRIM('Base Oficial'!D119))</f>
        <v>ANALISTA PROGRAMADOR JUNIOR</v>
      </c>
      <c r="F119" s="4" t="str">
        <f>IF($A119="","",IF(COUNTIF('Base Exámenes'!$C$5:$C$1000, A119)&gt;0, "Completado", IF(M119&lt;&gt;"", M119, "Pendiente")))</f>
        <v>Completado</v>
      </c>
      <c r="G119" s="11">
        <f>IF(F119="Completado", IFERROR(IF(INDEX('Base Exámenes'!$D$5:$D$1000, MATCH(A119&amp;"|"&amp;J119, 'Base Exámenes'!$I$5:$I$1000, 0))="", "", INDEX('Base Exámenes'!$D$5:$D$1000, MATCH(A119&amp;"|"&amp;J119, 'Base Exámenes'!$I$5:$I$1000, 0))), ""), "")</f>
        <v>46304.37327546296</v>
      </c>
      <c r="H119" s="11">
        <f>IF(F119="Completado", IFERROR(IF(INDEX('Base Exámenes'!$E$5:$E$1000, MATCH(A119&amp;"|"&amp;J119, 'Base Exámenes'!$I$5:$I$1000, 0))="", "", INDEX('Base Exámenes'!$E$5:$E$1000, MATCH(A119&amp;"|"&amp;J119, 'Base Exámenes'!$I$5:$I$1000, 0))), ""), "")</f>
        <v>46304.38784722222</v>
      </c>
      <c r="I119" s="10">
        <f>IF(F119="Completado", IFERROR(IF(INDEX('Base Exámenes'!$F$5:$F$1000, MATCH(A119&amp;"|"&amp;J119, 'Base Exámenes'!$I$5:$I$1000, 0))="", "", INDEX('Base Exámenes'!$F$5:$F$1000, MATCH(A119&amp;"|"&amp;J119, 'Base Exámenes'!$I$5:$I$1000, 0))), ""), "")</f>
        <v>20.9833333333333</v>
      </c>
      <c r="J119" s="6">
        <f>IF(F119="Completado", IF(COUNTIFS('Base Exámenes'!$C$5:$C$1000, A119, 'Base Exámenes'!$G$5:$G$1000, "&lt;&gt;")=0, "", _xlfn.MAXIFS('Base Exámenes'!$G$5:$G$1000, 'Base Exámenes'!$C$5:$C$1000, A119)), "")</f>
        <v>100</v>
      </c>
      <c r="K119" s="6" t="str">
        <f>IF(F119="Completado", IFERROR(IF(INDEX('Base Exámenes'!$H$5:$H$1000, MATCH(A119&amp;"|"&amp;J119, 'Base Exámenes'!$I$5:$I$1000, 0))="", "", INDEX('Base Exámenes'!$H$5:$H$1000, MATCH(A119&amp;"|"&amp;J119, 'Base Exámenes'!$I$5:$I$1000, 0))), ""), "")</f>
        <v>anonymous</v>
      </c>
      <c r="L119" s="22">
        <f>IF($A119="","",COUNTIF('Base Exámenes'!$C$5:$C$1000, A119))</f>
        <v>1</v>
      </c>
      <c r="M119" s="6" t="str">
        <f>IF($A119="","",IF(COUNTIF('Base Exámenes'!$C$5:$C$1000, A119)&gt;0, "", TRIM('Base Oficial'!H119)))</f>
        <v/>
      </c>
    </row>
    <row r="120">
      <c r="A120" s="4" t="str">
        <f>IF('Base Oficial'!A120="","",TRIM('Base Oficial'!A120))</f>
        <v>879</v>
      </c>
      <c r="B120" s="6" t="str">
        <f>IF($A120="","",TRIM('Base Oficial'!B120))</f>
        <v>MILAGRO NATIVIDAD ESCOBAR MELENDEZ</v>
      </c>
      <c r="C120" s="6" t="str">
        <f>IF($A120="","",TRIM('Base Oficial'!F120))</f>
        <v>DEPARTAMENTO DE ANALISIS Y PROGRAMACIÓN</v>
      </c>
      <c r="D120" s="6" t="str">
        <f>IF($A120="","",TRIM('Base Oficial'!G120))</f>
        <v>Gerencia de Sistemas</v>
      </c>
      <c r="E120" s="6" t="str">
        <f>IF($A120="","",TRIM('Base Oficial'!D120))</f>
        <v>ANALISTA PROGRAMADOR</v>
      </c>
      <c r="F120" s="4" t="str">
        <f>IF($A120="","",IF(COUNTIF('Base Exámenes'!$C$5:$C$1000, A120)&gt;0, "Completado", IF(M120&lt;&gt;"", M120, "Pendiente")))</f>
        <v>Completado</v>
      </c>
      <c r="G120" s="11">
        <f>IF(F120="Completado", IFERROR(IF(INDEX('Base Exámenes'!$D$5:$D$1000, MATCH(A120&amp;"|"&amp;J120, 'Base Exámenes'!$I$5:$I$1000, 0))="", "", INDEX('Base Exámenes'!$D$5:$D$1000, MATCH(A120&amp;"|"&amp;J120, 'Base Exámenes'!$I$5:$I$1000, 0))), ""), "")</f>
        <v>46304.39172453704</v>
      </c>
      <c r="H120" s="11">
        <f>IF(F120="Completado", IFERROR(IF(INDEX('Base Exámenes'!$E$5:$E$1000, MATCH(A120&amp;"|"&amp;J120, 'Base Exámenes'!$I$5:$I$1000, 0))="", "", INDEX('Base Exámenes'!$E$5:$E$1000, MATCH(A120&amp;"|"&amp;J120, 'Base Exámenes'!$I$5:$I$1000, 0))), ""), "")</f>
        <v>46304.394837962966</v>
      </c>
      <c r="I120" s="10">
        <f>IF(F120="Completado", IFERROR(IF(INDEX('Base Exámenes'!$F$5:$F$1000, MATCH(A120&amp;"|"&amp;J120, 'Base Exámenes'!$I$5:$I$1000, 0))="", "", INDEX('Base Exámenes'!$F$5:$F$1000, MATCH(A120&amp;"|"&amp;J120, 'Base Exámenes'!$I$5:$I$1000, 0))), ""), "")</f>
        <v>4.48333333333333</v>
      </c>
      <c r="J120" s="6">
        <f>IF(F120="Completado", IF(COUNTIFS('Base Exámenes'!$C$5:$C$1000, A120, 'Base Exámenes'!$G$5:$G$1000, "&lt;&gt;")=0, "", _xlfn.MAXIFS('Base Exámenes'!$G$5:$G$1000, 'Base Exámenes'!$C$5:$C$1000, A120)), "")</f>
        <v>100</v>
      </c>
      <c r="K120" s="6" t="str">
        <f>IF(F120="Completado", IFERROR(IF(INDEX('Base Exámenes'!$H$5:$H$1000, MATCH(A120&amp;"|"&amp;J120, 'Base Exámenes'!$I$5:$I$1000, 0))="", "", INDEX('Base Exámenes'!$H$5:$H$1000, MATCH(A120&amp;"|"&amp;J120, 'Base Exámenes'!$I$5:$I$1000, 0))), ""), "")</f>
        <v>anonymous</v>
      </c>
      <c r="L120" s="22">
        <f>IF($A120="","",COUNTIF('Base Exámenes'!$C$5:$C$1000, A120))</f>
        <v>1</v>
      </c>
      <c r="M120" s="6" t="str">
        <f>IF($A120="","",IF(COUNTIF('Base Exámenes'!$C$5:$C$1000, A120)&gt;0, "", TRIM('Base Oficial'!H120)))</f>
        <v/>
      </c>
    </row>
    <row r="121">
      <c r="A121" s="4" t="str">
        <f>IF('Base Oficial'!A121="","",TRIM('Base Oficial'!A121))</f>
        <v>899</v>
      </c>
      <c r="B121" s="6" t="str">
        <f>IF($A121="","",TRIM('Base Oficial'!B121))</f>
        <v>ALEJANDRA VERONICA CENTENO LOPEZ</v>
      </c>
      <c r="C121" s="6" t="str">
        <f>IF($A121="","",TRIM('Base Oficial'!F121))</f>
        <v>DEPARTAMENTO DE ANALISIS Y PROGRAMACIÓN</v>
      </c>
      <c r="D121" s="6" t="str">
        <f>IF($A121="","",TRIM('Base Oficial'!G121))</f>
        <v>Gerencia de Sistemas</v>
      </c>
      <c r="E121" s="6" t="str">
        <f>IF($A121="","",TRIM('Base Oficial'!D121))</f>
        <v>ANALISTA PROGRAMADOR</v>
      </c>
      <c r="F121" s="4" t="str">
        <f>IF($A121="","",IF(COUNTIF('Base Exámenes'!$C$5:$C$1000, A121)&gt;0, "Completado", IF(M121&lt;&gt;"", M121, "Pendiente")))</f>
        <v>Completado</v>
      </c>
      <c r="G121" s="11">
        <f>IF(F121="Completado", IFERROR(IF(INDEX('Base Exámenes'!$D$5:$D$1000, MATCH(A121&amp;"|"&amp;J121, 'Base Exámenes'!$I$5:$I$1000, 0))="", "", INDEX('Base Exámenes'!$D$5:$D$1000, MATCH(A121&amp;"|"&amp;J121, 'Base Exámenes'!$I$5:$I$1000, 0))), ""), "")</f>
        <v>46310.69113425926</v>
      </c>
      <c r="H121" s="11">
        <f>IF(F121="Completado", IFERROR(IF(INDEX('Base Exámenes'!$E$5:$E$1000, MATCH(A121&amp;"|"&amp;J121, 'Base Exámenes'!$I$5:$I$1000, 0))="", "", INDEX('Base Exámenes'!$E$5:$E$1000, MATCH(A121&amp;"|"&amp;J121, 'Base Exámenes'!$I$5:$I$1000, 0))), ""), "")</f>
        <v>46310.69614583333</v>
      </c>
      <c r="I121" s="10">
        <f>IF(F121="Completado", IFERROR(IF(INDEX('Base Exámenes'!$F$5:$F$1000, MATCH(A121&amp;"|"&amp;J121, 'Base Exámenes'!$I$5:$I$1000, 0))="", "", INDEX('Base Exámenes'!$F$5:$F$1000, MATCH(A121&amp;"|"&amp;J121, 'Base Exámenes'!$I$5:$I$1000, 0))), ""), "")</f>
        <v>7.21666666666667</v>
      </c>
      <c r="J121" s="6">
        <f>IF(F121="Completado", IF(COUNTIFS('Base Exámenes'!$C$5:$C$1000, A121, 'Base Exámenes'!$G$5:$G$1000, "&lt;&gt;")=0, "", _xlfn.MAXIFS('Base Exámenes'!$G$5:$G$1000, 'Base Exámenes'!$C$5:$C$1000, A121)), "")</f>
        <v>100</v>
      </c>
      <c r="K121" s="6" t="str">
        <f>IF(F121="Completado", IFERROR(IF(INDEX('Base Exámenes'!$H$5:$H$1000, MATCH(A121&amp;"|"&amp;J121, 'Base Exámenes'!$I$5:$I$1000, 0))="", "", INDEX('Base Exámenes'!$H$5:$H$1000, MATCH(A121&amp;"|"&amp;J121, 'Base Exámenes'!$I$5:$I$1000, 0))), ""), "")</f>
        <v>anonymous</v>
      </c>
      <c r="L121" s="22">
        <f>IF($A121="","",COUNTIF('Base Exámenes'!$C$5:$C$1000, A121))</f>
        <v>1</v>
      </c>
      <c r="M121" s="6" t="str">
        <f>IF($A121="","",IF(COUNTIF('Base Exámenes'!$C$5:$C$1000, A121)&gt;0, "", TRIM('Base Oficial'!H121)))</f>
        <v/>
      </c>
    </row>
    <row r="122">
      <c r="A122" s="4" t="str">
        <f>IF('Base Oficial'!A122="","",TRIM('Base Oficial'!A122))</f>
        <v>409</v>
      </c>
      <c r="B122" s="6" t="str">
        <f>IF($A122="","",TRIM('Base Oficial'!B122))</f>
        <v>PEDRO ERNESTO MORÁN RAMÍREZ</v>
      </c>
      <c r="C122" s="6" t="str">
        <f>IF($A122="","",TRIM('Base Oficial'!F122))</f>
        <v>ADMINISTRACION DE BASE DE DATOS</v>
      </c>
      <c r="D122" s="6" t="str">
        <f>IF($A122="","",TRIM('Base Oficial'!G122))</f>
        <v>Gerencia de Sistemas</v>
      </c>
      <c r="E122" s="6" t="str">
        <f>IF($A122="","",TRIM('Base Oficial'!D122))</f>
        <v>ADMINISTRADOR DE BASE DE DATOS</v>
      </c>
      <c r="F122" s="4" t="str">
        <f>IF($A122="","",IF(COUNTIF('Base Exámenes'!$C$5:$C$1000, A122)&gt;0, "Completado", IF(M122&lt;&gt;"", M122, "Pendiente")))</f>
        <v>Completado</v>
      </c>
      <c r="G122" s="11">
        <f>IF(F122="Completado", IFERROR(IF(INDEX('Base Exámenes'!$D$5:$D$1000, MATCH(A122&amp;"|"&amp;J122, 'Base Exámenes'!$I$5:$I$1000, 0))="", "", INDEX('Base Exámenes'!$D$5:$D$1000, MATCH(A122&amp;"|"&amp;J122, 'Base Exámenes'!$I$5:$I$1000, 0))), ""), "")</f>
        <v>46300.68533564815</v>
      </c>
      <c r="H122" s="11">
        <f>IF(F122="Completado", IFERROR(IF(INDEX('Base Exámenes'!$E$5:$E$1000, MATCH(A122&amp;"|"&amp;J122, 'Base Exámenes'!$I$5:$I$1000, 0))="", "", INDEX('Base Exámenes'!$E$5:$E$1000, MATCH(A122&amp;"|"&amp;J122, 'Base Exámenes'!$I$5:$I$1000, 0))), ""), "")</f>
        <v>46300.696018518516</v>
      </c>
      <c r="I122" s="10">
        <f>IF(F122="Completado", IFERROR(IF(INDEX('Base Exámenes'!$F$5:$F$1000, MATCH(A122&amp;"|"&amp;J122, 'Base Exámenes'!$I$5:$I$1000, 0))="", "", INDEX('Base Exámenes'!$F$5:$F$1000, MATCH(A122&amp;"|"&amp;J122, 'Base Exámenes'!$I$5:$I$1000, 0))), ""), "")</f>
        <v>15.3833333333333</v>
      </c>
      <c r="J122" s="6">
        <f>IF(F122="Completado", IF(COUNTIFS('Base Exámenes'!$C$5:$C$1000, A122, 'Base Exámenes'!$G$5:$G$1000, "&lt;&gt;")=0, "", _xlfn.MAXIFS('Base Exámenes'!$G$5:$G$1000, 'Base Exámenes'!$C$5:$C$1000, A122)), "")</f>
        <v>95</v>
      </c>
      <c r="K122" s="6" t="str">
        <f>IF(F122="Completado", IFERROR(IF(INDEX('Base Exámenes'!$H$5:$H$1000, MATCH(A122&amp;"|"&amp;J122, 'Base Exámenes'!$I$5:$I$1000, 0))="", "", INDEX('Base Exámenes'!$H$5:$H$1000, MATCH(A122&amp;"|"&amp;J122, 'Base Exámenes'!$I$5:$I$1000, 0))), ""), "")</f>
        <v>anonymous</v>
      </c>
      <c r="L122" s="22">
        <f>IF($A122="","",COUNTIF('Base Exámenes'!$C$5:$C$1000, A122))</f>
        <v>1</v>
      </c>
      <c r="M122" s="6" t="str">
        <f>IF($A122="","",IF(COUNTIF('Base Exámenes'!$C$5:$C$1000, A122)&gt;0, "", TRIM('Base Oficial'!H122)))</f>
        <v/>
      </c>
    </row>
    <row r="123">
      <c r="A123" s="4" t="str">
        <f>IF('Base Oficial'!A123="","",TRIM('Base Oficial'!A123))</f>
        <v>330</v>
      </c>
      <c r="B123" s="6" t="str">
        <f>IF($A123="","",TRIM('Base Oficial'!B123))</f>
        <v>MERALYS CHAVEZ RODRIGUEZ</v>
      </c>
      <c r="C123" s="6" t="str">
        <f>IF($A123="","",TRIM('Base Oficial'!F123))</f>
        <v>DEPARTAMENTO DE AUDITORIA INTERNA</v>
      </c>
      <c r="D123" s="6" t="str">
        <f>IF($A123="","",TRIM('Base Oficial'!G123))</f>
        <v>Auditoría Interna</v>
      </c>
      <c r="E123" s="6" t="str">
        <f>IF($A123="","",TRIM('Base Oficial'!D123))</f>
        <v>AUDITOR INTERNO</v>
      </c>
      <c r="F123" s="4" t="str">
        <f>IF($A123="","",IF(COUNTIF('Base Exámenes'!$C$5:$C$1000, A123)&gt;0, "Completado", IF(M123&lt;&gt;"", M123, "Pendiente")))</f>
        <v>Completado</v>
      </c>
      <c r="G123" s="11">
        <f>IF(F123="Completado", IFERROR(IF(INDEX('Base Exámenes'!$D$5:$D$1000, MATCH(A123&amp;"|"&amp;J123, 'Base Exámenes'!$I$5:$I$1000, 0))="", "", INDEX('Base Exámenes'!$D$5:$D$1000, MATCH(A123&amp;"|"&amp;J123, 'Base Exámenes'!$I$5:$I$1000, 0))), ""), "")</f>
        <v>46307.648356481484</v>
      </c>
      <c r="H123" s="11">
        <f>IF(F123="Completado", IFERROR(IF(INDEX('Base Exámenes'!$E$5:$E$1000, MATCH(A123&amp;"|"&amp;J123, 'Base Exámenes'!$I$5:$I$1000, 0))="", "", INDEX('Base Exámenes'!$E$5:$E$1000, MATCH(A123&amp;"|"&amp;J123, 'Base Exámenes'!$I$5:$I$1000, 0))), ""), "")</f>
        <v>46307.652766203704</v>
      </c>
      <c r="I123" s="10">
        <f>IF(F123="Completado", IFERROR(IF(INDEX('Base Exámenes'!$F$5:$F$1000, MATCH(A123&amp;"|"&amp;J123, 'Base Exámenes'!$I$5:$I$1000, 0))="", "", INDEX('Base Exámenes'!$F$5:$F$1000, MATCH(A123&amp;"|"&amp;J123, 'Base Exámenes'!$I$5:$I$1000, 0))), ""), "")</f>
        <v>6.35</v>
      </c>
      <c r="J123" s="6">
        <f>IF(F123="Completado", IF(COUNTIFS('Base Exámenes'!$C$5:$C$1000, A123, 'Base Exámenes'!$G$5:$G$1000, "&lt;&gt;")=0, "", _xlfn.MAXIFS('Base Exámenes'!$G$5:$G$1000, 'Base Exámenes'!$C$5:$C$1000, A123)), "")</f>
        <v>100</v>
      </c>
      <c r="K123" s="6" t="str">
        <f>IF(F123="Completado", IFERROR(IF(INDEX('Base Exámenes'!$H$5:$H$1000, MATCH(A123&amp;"|"&amp;J123, 'Base Exámenes'!$I$5:$I$1000, 0))="", "", INDEX('Base Exámenes'!$H$5:$H$1000, MATCH(A123&amp;"|"&amp;J123, 'Base Exámenes'!$I$5:$I$1000, 0))), ""), "")</f>
        <v>anonymous</v>
      </c>
      <c r="L123" s="22">
        <f>IF($A123="","",COUNTIF('Base Exámenes'!$C$5:$C$1000, A123))</f>
        <v>1</v>
      </c>
      <c r="M123" s="6" t="str">
        <f>IF($A123="","",IF(COUNTIF('Base Exámenes'!$C$5:$C$1000, A123)&gt;0, "", TRIM('Base Oficial'!H123)))</f>
        <v/>
      </c>
    </row>
    <row r="124">
      <c r="A124" s="4" t="str">
        <f>IF('Base Oficial'!A124="","",TRIM('Base Oficial'!A124))</f>
        <v>424</v>
      </c>
      <c r="B124" s="6" t="str">
        <f>IF($A124="","",TRIM('Base Oficial'!B124))</f>
        <v>MAYRA LISSETTE LOPEZ SANCHEZ</v>
      </c>
      <c r="C124" s="6" t="str">
        <f>IF($A124="","",TRIM('Base Oficial'!F124))</f>
        <v>DEPARTAMENTO DE AUDITORIA INTERNA</v>
      </c>
      <c r="D124" s="6" t="str">
        <f>IF($A124="","",TRIM('Base Oficial'!G124))</f>
        <v>Auditoría Interna</v>
      </c>
      <c r="E124" s="6" t="str">
        <f>IF($A124="","",TRIM('Base Oficial'!D124))</f>
        <v>SUPERVISOR DE AUDITORIA INTERNA</v>
      </c>
      <c r="F124" s="4" t="str">
        <f>IF($A124="","",IF(COUNTIF('Base Exámenes'!$C$5:$C$1000, A124)&gt;0, "Completado", IF(M124&lt;&gt;"", M124, "Pendiente")))</f>
        <v>Completado</v>
      </c>
      <c r="G124" s="11">
        <f>IF(F124="Completado", IFERROR(IF(INDEX('Base Exámenes'!$D$5:$D$1000, MATCH(A124&amp;"|"&amp;J124, 'Base Exámenes'!$I$5:$I$1000, 0))="", "", INDEX('Base Exámenes'!$D$5:$D$1000, MATCH(A124&amp;"|"&amp;J124, 'Base Exámenes'!$I$5:$I$1000, 0))), ""), "")</f>
        <v>46304.40168981482</v>
      </c>
      <c r="H124" s="11">
        <f>IF(F124="Completado", IFERROR(IF(INDEX('Base Exámenes'!$E$5:$E$1000, MATCH(A124&amp;"|"&amp;J124, 'Base Exámenes'!$I$5:$I$1000, 0))="", "", INDEX('Base Exámenes'!$E$5:$E$1000, MATCH(A124&amp;"|"&amp;J124, 'Base Exámenes'!$I$5:$I$1000, 0))), ""), "")</f>
        <v>46304.404328703706</v>
      </c>
      <c r="I124" s="10">
        <f>IF(F124="Completado", IFERROR(IF(INDEX('Base Exámenes'!$F$5:$F$1000, MATCH(A124&amp;"|"&amp;J124, 'Base Exámenes'!$I$5:$I$1000, 0))="", "", INDEX('Base Exámenes'!$F$5:$F$1000, MATCH(A124&amp;"|"&amp;J124, 'Base Exámenes'!$I$5:$I$1000, 0))), ""), "")</f>
        <v>3.8</v>
      </c>
      <c r="J124" s="6">
        <f>IF(F124="Completado", IF(COUNTIFS('Base Exámenes'!$C$5:$C$1000, A124, 'Base Exámenes'!$G$5:$G$1000, "&lt;&gt;")=0, "", _xlfn.MAXIFS('Base Exámenes'!$G$5:$G$1000, 'Base Exámenes'!$C$5:$C$1000, A124)), "")</f>
        <v>90</v>
      </c>
      <c r="K124" s="6" t="str">
        <f>IF(F124="Completado", IFERROR(IF(INDEX('Base Exámenes'!$H$5:$H$1000, MATCH(A124&amp;"|"&amp;J124, 'Base Exámenes'!$I$5:$I$1000, 0))="", "", INDEX('Base Exámenes'!$H$5:$H$1000, MATCH(A124&amp;"|"&amp;J124, 'Base Exámenes'!$I$5:$I$1000, 0))), ""), "")</f>
        <v>anonymous</v>
      </c>
      <c r="L124" s="22">
        <f>IF($A124="","",COUNTIF('Base Exámenes'!$C$5:$C$1000, A124))</f>
        <v>1</v>
      </c>
      <c r="M124" s="6" t="str">
        <f>IF($A124="","",IF(COUNTIF('Base Exámenes'!$C$5:$C$1000, A124)&gt;0, "", TRIM('Base Oficial'!H124)))</f>
        <v/>
      </c>
    </row>
    <row r="125">
      <c r="A125" s="4" t="str">
        <f>IF('Base Oficial'!A125="","",TRIM('Base Oficial'!A125))</f>
        <v>534</v>
      </c>
      <c r="B125" s="6" t="str">
        <f>IF($A125="","",TRIM('Base Oficial'!B125))</f>
        <v>NELSON DANILO BENITEZ MENDEZ</v>
      </c>
      <c r="C125" s="6" t="str">
        <f>IF($A125="","",TRIM('Base Oficial'!F125))</f>
        <v>DEPARTAMENTO DE AUDITORIA INTERNA</v>
      </c>
      <c r="D125" s="6" t="str">
        <f>IF($A125="","",TRIM('Base Oficial'!G125))</f>
        <v>Auditoría Interna</v>
      </c>
      <c r="E125" s="6" t="str">
        <f>IF($A125="","",TRIM('Base Oficial'!D125))</f>
        <v>AUDITOR DE SISTEMAS</v>
      </c>
      <c r="F125" s="4" t="str">
        <f>IF($A125="","",IF(COUNTIF('Base Exámenes'!$C$5:$C$1000, A125)&gt;0, "Completado", IF(M125&lt;&gt;"", M125, "Pendiente")))</f>
        <v>Completado</v>
      </c>
      <c r="G125" s="11">
        <f>IF(F125="Completado", IFERROR(IF(INDEX('Base Exámenes'!$D$5:$D$1000, MATCH(A125&amp;"|"&amp;J125, 'Base Exámenes'!$I$5:$I$1000, 0))="", "", INDEX('Base Exámenes'!$D$5:$D$1000, MATCH(A125&amp;"|"&amp;J125, 'Base Exámenes'!$I$5:$I$1000, 0))), ""), "")</f>
        <v>46307.43509259259</v>
      </c>
      <c r="H125" s="11">
        <f>IF(F125="Completado", IFERROR(IF(INDEX('Base Exámenes'!$E$5:$E$1000, MATCH(A125&amp;"|"&amp;J125, 'Base Exámenes'!$I$5:$I$1000, 0))="", "", INDEX('Base Exámenes'!$E$5:$E$1000, MATCH(A125&amp;"|"&amp;J125, 'Base Exámenes'!$I$5:$I$1000, 0))), ""), "")</f>
        <v>46307.43875</v>
      </c>
      <c r="I125" s="10">
        <f>IF(F125="Completado", IFERROR(IF(INDEX('Base Exámenes'!$F$5:$F$1000, MATCH(A125&amp;"|"&amp;J125, 'Base Exámenes'!$I$5:$I$1000, 0))="", "", INDEX('Base Exámenes'!$F$5:$F$1000, MATCH(A125&amp;"|"&amp;J125, 'Base Exámenes'!$I$5:$I$1000, 0))), ""), "")</f>
        <v>5.26666666666667</v>
      </c>
      <c r="J125" s="6">
        <f>IF(F125="Completado", IF(COUNTIFS('Base Exámenes'!$C$5:$C$1000, A125, 'Base Exámenes'!$G$5:$G$1000, "&lt;&gt;")=0, "", _xlfn.MAXIFS('Base Exámenes'!$G$5:$G$1000, 'Base Exámenes'!$C$5:$C$1000, A125)), "")</f>
        <v>100</v>
      </c>
      <c r="K125" s="6" t="str">
        <f>IF(F125="Completado", IFERROR(IF(INDEX('Base Exámenes'!$H$5:$H$1000, MATCH(A125&amp;"|"&amp;J125, 'Base Exámenes'!$I$5:$I$1000, 0))="", "", INDEX('Base Exámenes'!$H$5:$H$1000, MATCH(A125&amp;"|"&amp;J125, 'Base Exámenes'!$I$5:$I$1000, 0))), ""), "")</f>
        <v>anonymous</v>
      </c>
      <c r="L125" s="22">
        <f>IF($A125="","",COUNTIF('Base Exámenes'!$C$5:$C$1000, A125))</f>
        <v>1</v>
      </c>
      <c r="M125" s="6" t="str">
        <f>IF($A125="","",IF(COUNTIF('Base Exámenes'!$C$5:$C$1000, A125)&gt;0, "", TRIM('Base Oficial'!H125)))</f>
        <v/>
      </c>
    </row>
    <row r="126">
      <c r="A126" s="4" t="str">
        <f>IF('Base Oficial'!A126="","",TRIM('Base Oficial'!A126))</f>
        <v>548</v>
      </c>
      <c r="B126" s="6" t="str">
        <f>IF($A126="","",TRIM('Base Oficial'!B126))</f>
        <v>ZORAIDA LORENA LOPEZ MEDINA</v>
      </c>
      <c r="C126" s="6" t="str">
        <f>IF($A126="","",TRIM('Base Oficial'!F126))</f>
        <v>DEPARTAMENTO DE AUDITORIA INTERNA</v>
      </c>
      <c r="D126" s="6" t="str">
        <f>IF($A126="","",TRIM('Base Oficial'!G126))</f>
        <v>Auditoría Interna</v>
      </c>
      <c r="E126" s="6" t="str">
        <f>IF($A126="","",TRIM('Base Oficial'!D126))</f>
        <v>ASISTENTE DE AUDITORIA INTERNA</v>
      </c>
      <c r="F126" s="4" t="str">
        <f>IF($A126="","",IF(COUNTIF('Base Exámenes'!$C$5:$C$1000, A126)&gt;0, "Completado", IF(M126&lt;&gt;"", M126, "Pendiente")))</f>
        <v>Completado</v>
      </c>
      <c r="G126" s="11">
        <f>IF(F126="Completado", IFERROR(IF(INDEX('Base Exámenes'!$D$5:$D$1000, MATCH(A126&amp;"|"&amp;J126, 'Base Exámenes'!$I$5:$I$1000, 0))="", "", INDEX('Base Exámenes'!$D$5:$D$1000, MATCH(A126&amp;"|"&amp;J126, 'Base Exámenes'!$I$5:$I$1000, 0))), ""), "")</f>
        <v>46296.704247685186</v>
      </c>
      <c r="H126" s="11">
        <f>IF(F126="Completado", IFERROR(IF(INDEX('Base Exámenes'!$E$5:$E$1000, MATCH(A126&amp;"|"&amp;J126, 'Base Exámenes'!$I$5:$I$1000, 0))="", "", INDEX('Base Exámenes'!$E$5:$E$1000, MATCH(A126&amp;"|"&amp;J126, 'Base Exámenes'!$I$5:$I$1000, 0))), ""), "")</f>
        <v>46296.711550925924</v>
      </c>
      <c r="I126" s="10">
        <f>IF(F126="Completado", IFERROR(IF(INDEX('Base Exámenes'!$F$5:$F$1000, MATCH(A126&amp;"|"&amp;J126, 'Base Exámenes'!$I$5:$I$1000, 0))="", "", INDEX('Base Exámenes'!$F$5:$F$1000, MATCH(A126&amp;"|"&amp;J126, 'Base Exámenes'!$I$5:$I$1000, 0))), ""), "")</f>
        <v>10.5166666419167</v>
      </c>
      <c r="J126" s="6">
        <f>IF(F126="Completado", IF(COUNTIFS('Base Exámenes'!$C$5:$C$1000, A126, 'Base Exámenes'!$G$5:$G$1000, "&lt;&gt;")=0, "", _xlfn.MAXIFS('Base Exámenes'!$G$5:$G$1000, 'Base Exámenes'!$C$5:$C$1000, A126)), "")</f>
        <v>100</v>
      </c>
      <c r="K126" s="6" t="str">
        <f>IF(F126="Completado", IFERROR(IF(INDEX('Base Exámenes'!$H$5:$H$1000, MATCH(A126&amp;"|"&amp;J126, 'Base Exámenes'!$I$5:$I$1000, 0))="", "", INDEX('Base Exámenes'!$H$5:$H$1000, MATCH(A126&amp;"|"&amp;J126, 'Base Exámenes'!$I$5:$I$1000, 0))), ""), "")</f>
        <v>anonymous</v>
      </c>
      <c r="L126" s="22">
        <f>IF($A126="","",COUNTIF('Base Exámenes'!$C$5:$C$1000, A126))</f>
        <v>1</v>
      </c>
      <c r="M126" s="6" t="str">
        <f>IF($A126="","",IF(COUNTIF('Base Exámenes'!$C$5:$C$1000, A126)&gt;0, "", TRIM('Base Oficial'!H126)))</f>
        <v/>
      </c>
    </row>
    <row r="127">
      <c r="A127" s="4" t="str">
        <f>IF('Base Oficial'!A127="","",TRIM('Base Oficial'!A127))</f>
        <v>742</v>
      </c>
      <c r="B127" s="6" t="str">
        <f>IF($A127="","",TRIM('Base Oficial'!B127))</f>
        <v>PATRICIA GUADALUPE SEGOVIA RAMIREZ</v>
      </c>
      <c r="C127" s="6" t="str">
        <f>IF($A127="","",TRIM('Base Oficial'!F127))</f>
        <v>DEPARTAMENTO DE AUDITORIA INTERNA</v>
      </c>
      <c r="D127" s="6" t="str">
        <f>IF($A127="","",TRIM('Base Oficial'!G127))</f>
        <v>Auditoría Interna</v>
      </c>
      <c r="E127" s="6" t="str">
        <f>IF($A127="","",TRIM('Base Oficial'!D127))</f>
        <v>ASISTENTE DE AUDITORIA INTERNA</v>
      </c>
      <c r="F127" s="4" t="str">
        <f>IF($A127="","",IF(COUNTIF('Base Exámenes'!$C$5:$C$1000, A127)&gt;0, "Completado", IF(M127&lt;&gt;"", M127, "Pendiente")))</f>
        <v>Completado</v>
      </c>
      <c r="G127" s="11">
        <f>IF(F127="Completado", IFERROR(IF(INDEX('Base Exámenes'!$D$5:$D$1000, MATCH(A127&amp;"|"&amp;J127, 'Base Exámenes'!$I$5:$I$1000, 0))="", "", INDEX('Base Exámenes'!$D$5:$D$1000, MATCH(A127&amp;"|"&amp;J127, 'Base Exámenes'!$I$5:$I$1000, 0))), ""), "")</f>
        <v>46304.39957175926</v>
      </c>
      <c r="H127" s="11">
        <f>IF(F127="Completado", IFERROR(IF(INDEX('Base Exámenes'!$E$5:$E$1000, MATCH(A127&amp;"|"&amp;J127, 'Base Exámenes'!$I$5:$I$1000, 0))="", "", INDEX('Base Exámenes'!$E$5:$E$1000, MATCH(A127&amp;"|"&amp;J127, 'Base Exámenes'!$I$5:$I$1000, 0))), ""), "")</f>
        <v>46304.40319444444</v>
      </c>
      <c r="I127" s="10">
        <f>IF(F127="Completado", IFERROR(IF(INDEX('Base Exámenes'!$F$5:$F$1000, MATCH(A127&amp;"|"&amp;J127, 'Base Exámenes'!$I$5:$I$1000, 0))="", "", INDEX('Base Exámenes'!$F$5:$F$1000, MATCH(A127&amp;"|"&amp;J127, 'Base Exámenes'!$I$5:$I$1000, 0))), ""), "")</f>
        <v>5.21666666666667</v>
      </c>
      <c r="J127" s="6">
        <f>IF(F127="Completado", IF(COUNTIFS('Base Exámenes'!$C$5:$C$1000, A127, 'Base Exámenes'!$G$5:$G$1000, "&lt;&gt;")=0, "", _xlfn.MAXIFS('Base Exámenes'!$G$5:$G$1000, 'Base Exámenes'!$C$5:$C$1000, A127)), "")</f>
        <v>90</v>
      </c>
      <c r="K127" s="6" t="str">
        <f>IF(F127="Completado", IFERROR(IF(INDEX('Base Exámenes'!$H$5:$H$1000, MATCH(A127&amp;"|"&amp;J127, 'Base Exámenes'!$I$5:$I$1000, 0))="", "", INDEX('Base Exámenes'!$H$5:$H$1000, MATCH(A127&amp;"|"&amp;J127, 'Base Exámenes'!$I$5:$I$1000, 0))), ""), "")</f>
        <v>anonymous</v>
      </c>
      <c r="L127" s="22">
        <f>IF($A127="","",COUNTIF('Base Exámenes'!$C$5:$C$1000, A127))</f>
        <v>1</v>
      </c>
      <c r="M127" s="6" t="str">
        <f>IF($A127="","",IF(COUNTIF('Base Exámenes'!$C$5:$C$1000, A127)&gt;0, "", TRIM('Base Oficial'!H127)))</f>
        <v/>
      </c>
    </row>
    <row r="128">
      <c r="A128" s="4" t="str">
        <f>IF('Base Oficial'!A128="","",TRIM('Base Oficial'!A128))</f>
        <v>750</v>
      </c>
      <c r="B128" s="6" t="str">
        <f>IF($A128="","",TRIM('Base Oficial'!B128))</f>
        <v>MARLON ANTONIO BONILLA GARCIA</v>
      </c>
      <c r="C128" s="6" t="str">
        <f>IF($A128="","",TRIM('Base Oficial'!F128))</f>
        <v>DEPARTAMENTO DE AUDITORIA INTERNA</v>
      </c>
      <c r="D128" s="6" t="str">
        <f>IF($A128="","",TRIM('Base Oficial'!G128))</f>
        <v>Auditoría Interna</v>
      </c>
      <c r="E128" s="6" t="str">
        <f>IF($A128="","",TRIM('Base Oficial'!D128))</f>
        <v>ASISTENTE DE AUDITORIA INTERNA</v>
      </c>
      <c r="F128" s="4" t="str">
        <f>IF($A128="","",IF(COUNTIF('Base Exámenes'!$C$5:$C$1000, A128)&gt;0, "Completado", IF(M128&lt;&gt;"", M128, "Pendiente")))</f>
        <v>Completado</v>
      </c>
      <c r="G128" s="11">
        <f>IF(F128="Completado", IFERROR(IF(INDEX('Base Exámenes'!$D$5:$D$1000, MATCH(A128&amp;"|"&amp;J128, 'Base Exámenes'!$I$5:$I$1000, 0))="", "", INDEX('Base Exámenes'!$D$5:$D$1000, MATCH(A128&amp;"|"&amp;J128, 'Base Exámenes'!$I$5:$I$1000, 0))), ""), "")</f>
        <v>46296.61756944445</v>
      </c>
      <c r="H128" s="11">
        <f>IF(F128="Completado", IFERROR(IF(INDEX('Base Exámenes'!$E$5:$E$1000, MATCH(A128&amp;"|"&amp;J128, 'Base Exámenes'!$I$5:$I$1000, 0))="", "", INDEX('Base Exámenes'!$E$5:$E$1000, MATCH(A128&amp;"|"&amp;J128, 'Base Exámenes'!$I$5:$I$1000, 0))), ""), "")</f>
        <v>46296.62321759259</v>
      </c>
      <c r="I128" s="10">
        <f>IF(F128="Completado", IFERROR(IF(INDEX('Base Exámenes'!$F$5:$F$1000, MATCH(A128&amp;"|"&amp;J128, 'Base Exámenes'!$I$5:$I$1000, 0))="", "", INDEX('Base Exámenes'!$F$5:$F$1000, MATCH(A128&amp;"|"&amp;J128, 'Base Exámenes'!$I$5:$I$1000, 0))), ""), "")</f>
        <v>8.13333333333333</v>
      </c>
      <c r="J128" s="6">
        <f>IF(F128="Completado", IF(COUNTIFS('Base Exámenes'!$C$5:$C$1000, A128, 'Base Exámenes'!$G$5:$G$1000, "&lt;&gt;")=0, "", _xlfn.MAXIFS('Base Exámenes'!$G$5:$G$1000, 'Base Exámenes'!$C$5:$C$1000, A128)), "")</f>
        <v>100</v>
      </c>
      <c r="K128" s="6" t="str">
        <f>IF(F128="Completado", IFERROR(IF(INDEX('Base Exámenes'!$H$5:$H$1000, MATCH(A128&amp;"|"&amp;J128, 'Base Exámenes'!$I$5:$I$1000, 0))="", "", INDEX('Base Exámenes'!$H$5:$H$1000, MATCH(A128&amp;"|"&amp;J128, 'Base Exámenes'!$I$5:$I$1000, 0))), ""), "")</f>
        <v>anonymous</v>
      </c>
      <c r="L128" s="22">
        <f>IF($A128="","",COUNTIF('Base Exámenes'!$C$5:$C$1000, A128))</f>
        <v>1</v>
      </c>
      <c r="M128" s="6" t="str">
        <f>IF($A128="","",IF(COUNTIF('Base Exámenes'!$C$5:$C$1000, A128)&gt;0, "", TRIM('Base Oficial'!H128)))</f>
        <v/>
      </c>
    </row>
    <row r="129">
      <c r="A129" s="4" t="str">
        <f>IF('Base Oficial'!A129="","",TRIM('Base Oficial'!A129))</f>
        <v>865</v>
      </c>
      <c r="B129" s="6" t="str">
        <f>IF($A129="","",TRIM('Base Oficial'!B129))</f>
        <v>MARIA ELENA VALLE BENAVIDES</v>
      </c>
      <c r="C129" s="6" t="str">
        <f>IF($A129="","",TRIM('Base Oficial'!F129))</f>
        <v>DEPARTAMENTO DE AUDITORIA INTERNA</v>
      </c>
      <c r="D129" s="6" t="str">
        <f>IF($A129="","",TRIM('Base Oficial'!G129))</f>
        <v>Auditoría Interna</v>
      </c>
      <c r="E129" s="6" t="str">
        <f>IF($A129="","",TRIM('Base Oficial'!D129))</f>
        <v>ASISTENTE DE AUDITORIA INTERNA</v>
      </c>
      <c r="F129" s="4" t="str">
        <f>IF($A129="","",IF(COUNTIF('Base Exámenes'!$C$5:$C$1000, A129)&gt;0, "Completado", IF(M129&lt;&gt;"", M129, "Pendiente")))</f>
        <v>Completado</v>
      </c>
      <c r="G129" s="11">
        <f>IF(F129="Completado", IFERROR(IF(INDEX('Base Exámenes'!$D$5:$D$1000, MATCH(A129&amp;"|"&amp;J129, 'Base Exámenes'!$I$5:$I$1000, 0))="", "", INDEX('Base Exámenes'!$D$5:$D$1000, MATCH(A129&amp;"|"&amp;J129, 'Base Exámenes'!$I$5:$I$1000, 0))), ""), "")</f>
        <v>46296.676203703704</v>
      </c>
      <c r="H129" s="11">
        <f>IF(F129="Completado", IFERROR(IF(INDEX('Base Exámenes'!$E$5:$E$1000, MATCH(A129&amp;"|"&amp;J129, 'Base Exámenes'!$I$5:$I$1000, 0))="", "", INDEX('Base Exámenes'!$E$5:$E$1000, MATCH(A129&amp;"|"&amp;J129, 'Base Exámenes'!$I$5:$I$1000, 0))), ""), "")</f>
        <v>46296.68074074074</v>
      </c>
      <c r="I129" s="10">
        <f>IF(F129="Completado", IFERROR(IF(INDEX('Base Exámenes'!$F$5:$F$1000, MATCH(A129&amp;"|"&amp;J129, 'Base Exámenes'!$I$5:$I$1000, 0))="", "", INDEX('Base Exámenes'!$F$5:$F$1000, MATCH(A129&amp;"|"&amp;J129, 'Base Exámenes'!$I$5:$I$1000, 0))), ""), "")</f>
        <v>6.53333333333333</v>
      </c>
      <c r="J129" s="6">
        <f>IF(F129="Completado", IF(COUNTIFS('Base Exámenes'!$C$5:$C$1000, A129, 'Base Exámenes'!$G$5:$G$1000, "&lt;&gt;")=0, "", _xlfn.MAXIFS('Base Exámenes'!$G$5:$G$1000, 'Base Exámenes'!$C$5:$C$1000, A129)), "")</f>
        <v>100</v>
      </c>
      <c r="K129" s="6" t="str">
        <f>IF(F129="Completado", IFERROR(IF(INDEX('Base Exámenes'!$H$5:$H$1000, MATCH(A129&amp;"|"&amp;J129, 'Base Exámenes'!$I$5:$I$1000, 0))="", "", INDEX('Base Exámenes'!$H$5:$H$1000, MATCH(A129&amp;"|"&amp;J129, 'Base Exámenes'!$I$5:$I$1000, 0))), ""), "")</f>
        <v>anonymous</v>
      </c>
      <c r="L129" s="22">
        <f>IF($A129="","",COUNTIF('Base Exámenes'!$C$5:$C$1000, A129))</f>
        <v>1</v>
      </c>
      <c r="M129" s="6" t="str">
        <f>IF($A129="","",IF(COUNTIF('Base Exámenes'!$C$5:$C$1000, A129)&gt;0, "", TRIM('Base Oficial'!H129)))</f>
        <v/>
      </c>
    </row>
    <row r="130">
      <c r="A130" s="4" t="str">
        <f>IF('Base Oficial'!A130="","",TRIM('Base Oficial'!A130))</f>
        <v>443</v>
      </c>
      <c r="B130" s="6" t="str">
        <f>IF($A130="","",TRIM('Base Oficial'!B130))</f>
        <v>JOSSELINE LIZBETH VENTURA RIVAS</v>
      </c>
      <c r="C130" s="6" t="str">
        <f>IF($A130="","",TRIM('Base Oficial'!F130))</f>
        <v>OFICIALIA DE CUMPLIMIENTO</v>
      </c>
      <c r="D130" s="6" t="str">
        <f>IF($A130="","",TRIM('Base Oficial'!G130))</f>
        <v>Gerencia de Oficialía de Cumplimiento</v>
      </c>
      <c r="E130" s="6" t="str">
        <f>IF($A130="","",TRIM('Base Oficial'!D130))</f>
        <v>ANALISTA DE CUMPLIMIENTO</v>
      </c>
      <c r="F130" s="4" t="str">
        <f>IF($A130="","",IF(COUNTIF('Base Exámenes'!$C$5:$C$1000, A130)&gt;0, "Completado", IF(M130&lt;&gt;"", M130, "Pendiente")))</f>
        <v>Completado</v>
      </c>
      <c r="G130" s="11">
        <f>IF(F130="Completado", IFERROR(IF(INDEX('Base Exámenes'!$D$5:$D$1000, MATCH(A130&amp;"|"&amp;J130, 'Base Exámenes'!$I$5:$I$1000, 0))="", "", INDEX('Base Exámenes'!$D$5:$D$1000, MATCH(A130&amp;"|"&amp;J130, 'Base Exámenes'!$I$5:$I$1000, 0))), ""), "")</f>
        <v>46296.48201388889</v>
      </c>
      <c r="H130" s="11">
        <f>IF(F130="Completado", IFERROR(IF(INDEX('Base Exámenes'!$E$5:$E$1000, MATCH(A130&amp;"|"&amp;J130, 'Base Exámenes'!$I$5:$I$1000, 0))="", "", INDEX('Base Exámenes'!$E$5:$E$1000, MATCH(A130&amp;"|"&amp;J130, 'Base Exámenes'!$I$5:$I$1000, 0))), ""), "")</f>
        <v>46296.491481481484</v>
      </c>
      <c r="I130" s="10">
        <f>IF(F130="Completado", IFERROR(IF(INDEX('Base Exámenes'!$F$5:$F$1000, MATCH(A130&amp;"|"&amp;J130, 'Base Exámenes'!$I$5:$I$1000, 0))="", "", INDEX('Base Exámenes'!$F$5:$F$1000, MATCH(A130&amp;"|"&amp;J130, 'Base Exámenes'!$I$5:$I$1000, 0))), ""), "")</f>
        <v>13.6333333333333</v>
      </c>
      <c r="J130" s="6">
        <f>IF(F130="Completado", IF(COUNTIFS('Base Exámenes'!$C$5:$C$1000, A130, 'Base Exámenes'!$G$5:$G$1000, "&lt;&gt;")=0, "", _xlfn.MAXIFS('Base Exámenes'!$G$5:$G$1000, 'Base Exámenes'!$C$5:$C$1000, A130)), "")</f>
        <v>100</v>
      </c>
      <c r="K130" s="6" t="str">
        <f>IF(F130="Completado", IFERROR(IF(INDEX('Base Exámenes'!$H$5:$H$1000, MATCH(A130&amp;"|"&amp;J130, 'Base Exámenes'!$I$5:$I$1000, 0))="", "", INDEX('Base Exámenes'!$H$5:$H$1000, MATCH(A130&amp;"|"&amp;J130, 'Base Exámenes'!$I$5:$I$1000, 0))), ""), "")</f>
        <v>anonymous</v>
      </c>
      <c r="L130" s="22">
        <f>IF($A130="","",COUNTIF('Base Exámenes'!$C$5:$C$1000, A130))</f>
        <v>1</v>
      </c>
      <c r="M130" s="6" t="str">
        <f>IF($A130="","",IF(COUNTIF('Base Exámenes'!$C$5:$C$1000, A130)&gt;0, "", TRIM('Base Oficial'!H130)))</f>
        <v/>
      </c>
    </row>
    <row r="131">
      <c r="A131" s="4" t="str">
        <f>IF('Base Oficial'!A131="","",TRIM('Base Oficial'!A131))</f>
        <v>860</v>
      </c>
      <c r="B131" s="6" t="str">
        <f>IF($A131="","",TRIM('Base Oficial'!B131))</f>
        <v>JOHANNA LISSETH ROMERO RIVAS</v>
      </c>
      <c r="C131" s="6" t="str">
        <f>IF($A131="","",TRIM('Base Oficial'!F131))</f>
        <v>OFICIALIA DE CUMPLIMIENTO</v>
      </c>
      <c r="D131" s="6" t="str">
        <f>IF($A131="","",TRIM('Base Oficial'!G131))</f>
        <v>Gerencia de Oficialía de Cumplimiento</v>
      </c>
      <c r="E131" s="6" t="str">
        <f>IF($A131="","",TRIM('Base Oficial'!D131))</f>
        <v>ANALISTA DE OFICIALIA DE CUMPLIMIENTO Y OFICIAL DE CUMPLIMIE</v>
      </c>
      <c r="F131" s="4" t="str">
        <f>IF($A131="","",IF(COUNTIF('Base Exámenes'!$C$5:$C$1000, A131)&gt;0, "Completado", IF(M131&lt;&gt;"", M131, "Pendiente")))</f>
        <v>Completado</v>
      </c>
      <c r="G131" s="11">
        <f>IF(F131="Completado", IFERROR(IF(INDEX('Base Exámenes'!$D$5:$D$1000, MATCH(A131&amp;"|"&amp;J131, 'Base Exámenes'!$I$5:$I$1000, 0))="", "", INDEX('Base Exámenes'!$D$5:$D$1000, MATCH(A131&amp;"|"&amp;J131, 'Base Exámenes'!$I$5:$I$1000, 0))), ""), "")</f>
        <v>46296.47424768518</v>
      </c>
      <c r="H131" s="11">
        <f>IF(F131="Completado", IFERROR(IF(INDEX('Base Exámenes'!$E$5:$E$1000, MATCH(A131&amp;"|"&amp;J131, 'Base Exámenes'!$I$5:$I$1000, 0))="", "", INDEX('Base Exámenes'!$E$5:$E$1000, MATCH(A131&amp;"|"&amp;J131, 'Base Exámenes'!$I$5:$I$1000, 0))), ""), "")</f>
        <v>46296.48637731482</v>
      </c>
      <c r="I131" s="10">
        <f>IF(F131="Completado", IFERROR(IF(INDEX('Base Exámenes'!$F$5:$F$1000, MATCH(A131&amp;"|"&amp;J131, 'Base Exámenes'!$I$5:$I$1000, 0))="", "", INDEX('Base Exámenes'!$F$5:$F$1000, MATCH(A131&amp;"|"&amp;J131, 'Base Exámenes'!$I$5:$I$1000, 0))), ""), "")</f>
        <v>17.4666666666667</v>
      </c>
      <c r="J131" s="6">
        <f>IF(F131="Completado", IF(COUNTIFS('Base Exámenes'!$C$5:$C$1000, A131, 'Base Exámenes'!$G$5:$G$1000, "&lt;&gt;")=0, "", _xlfn.MAXIFS('Base Exámenes'!$G$5:$G$1000, 'Base Exámenes'!$C$5:$C$1000, A131)), "")</f>
        <v>100</v>
      </c>
      <c r="K131" s="6" t="str">
        <f>IF(F131="Completado", IFERROR(IF(INDEX('Base Exámenes'!$H$5:$H$1000, MATCH(A131&amp;"|"&amp;J131, 'Base Exámenes'!$I$5:$I$1000, 0))="", "", INDEX('Base Exámenes'!$H$5:$H$1000, MATCH(A131&amp;"|"&amp;J131, 'Base Exámenes'!$I$5:$I$1000, 0))), ""), "")</f>
        <v>anonymous</v>
      </c>
      <c r="L131" s="22">
        <f>IF($A131="","",COUNTIF('Base Exámenes'!$C$5:$C$1000, A131))</f>
        <v>1</v>
      </c>
      <c r="M131" s="6" t="str">
        <f>IF($A131="","",IF(COUNTIF('Base Exámenes'!$C$5:$C$1000, A131)&gt;0, "", TRIM('Base Oficial'!H131)))</f>
        <v/>
      </c>
    </row>
    <row r="132">
      <c r="A132" s="4" t="str">
        <f>IF('Base Oficial'!A132="","",TRIM('Base Oficial'!A132))</f>
        <v>914</v>
      </c>
      <c r="B132" s="6" t="str">
        <f>IF($A132="","",TRIM('Base Oficial'!B132))</f>
        <v>FIDEL ISAIAS CASTELLON CALVIO</v>
      </c>
      <c r="C132" s="6" t="str">
        <f>IF($A132="","",TRIM('Base Oficial'!F132))</f>
        <v>OFICIALIA DE CUMPLIMIENTO</v>
      </c>
      <c r="D132" s="6" t="str">
        <f>IF($A132="","",TRIM('Base Oficial'!G132))</f>
        <v>Gerencia de Oficialía de Cumplimiento</v>
      </c>
      <c r="E132" s="6" t="str">
        <f>IF($A132="","",TRIM('Base Oficial'!D132))</f>
        <v>ADMINISTRADOR DE MONITOR PLUS Y ANALISTA DE CUMPLIMIENTO</v>
      </c>
      <c r="F132" s="4" t="str">
        <f>IF($A132="","",IF(COUNTIF('Base Exámenes'!$C$5:$C$1000, A132)&gt;0, "Completado", IF(M132&lt;&gt;"", M132, "Pendiente")))</f>
        <v>Completado</v>
      </c>
      <c r="G132" s="11">
        <f>IF(F132="Completado", IFERROR(IF(INDEX('Base Exámenes'!$D$5:$D$1000, MATCH(A132&amp;"|"&amp;J132, 'Base Exámenes'!$I$5:$I$1000, 0))="", "", INDEX('Base Exámenes'!$D$5:$D$1000, MATCH(A132&amp;"|"&amp;J132, 'Base Exámenes'!$I$5:$I$1000, 0))), ""), "")</f>
        <v>46296.47130787037</v>
      </c>
      <c r="H132" s="11">
        <f>IF(F132="Completado", IFERROR(IF(INDEX('Base Exámenes'!$E$5:$E$1000, MATCH(A132&amp;"|"&amp;J132, 'Base Exámenes'!$I$5:$I$1000, 0))="", "", INDEX('Base Exámenes'!$E$5:$E$1000, MATCH(A132&amp;"|"&amp;J132, 'Base Exámenes'!$I$5:$I$1000, 0))), ""), "")</f>
        <v>46296.47803240741</v>
      </c>
      <c r="I132" s="10">
        <f>IF(F132="Completado", IFERROR(IF(INDEX('Base Exámenes'!$F$5:$F$1000, MATCH(A132&amp;"|"&amp;J132, 'Base Exámenes'!$I$5:$I$1000, 0))="", "", INDEX('Base Exámenes'!$F$5:$F$1000, MATCH(A132&amp;"|"&amp;J132, 'Base Exámenes'!$I$5:$I$1000, 0))), ""), "")</f>
        <v>9.68333333333333</v>
      </c>
      <c r="J132" s="6">
        <f>IF(F132="Completado", IF(COUNTIFS('Base Exámenes'!$C$5:$C$1000, A132, 'Base Exámenes'!$G$5:$G$1000, "&lt;&gt;")=0, "", _xlfn.MAXIFS('Base Exámenes'!$G$5:$G$1000, 'Base Exámenes'!$C$5:$C$1000, A132)), "")</f>
        <v>100</v>
      </c>
      <c r="K132" s="6" t="str">
        <f>IF(F132="Completado", IFERROR(IF(INDEX('Base Exámenes'!$H$5:$H$1000, MATCH(A132&amp;"|"&amp;J132, 'Base Exámenes'!$I$5:$I$1000, 0))="", "", INDEX('Base Exámenes'!$H$5:$H$1000, MATCH(A132&amp;"|"&amp;J132, 'Base Exámenes'!$I$5:$I$1000, 0))), ""), "")</f>
        <v>anonymous</v>
      </c>
      <c r="L132" s="22">
        <f>IF($A132="","",COUNTIF('Base Exámenes'!$C$5:$C$1000, A132))</f>
        <v>1</v>
      </c>
      <c r="M132" s="6" t="str">
        <f>IF($A132="","",IF(COUNTIF('Base Exámenes'!$C$5:$C$1000, A132)&gt;0, "", TRIM('Base Oficial'!H132)))</f>
        <v/>
      </c>
    </row>
    <row r="133">
      <c r="A133" s="4" t="str">
        <f>IF('Base Oficial'!A133="","",TRIM('Base Oficial'!A133))</f>
        <v>983</v>
      </c>
      <c r="B133" s="6" t="str">
        <f>IF($A133="","",TRIM('Base Oficial'!B133))</f>
        <v>LILIAN LISET MAGAÑA SANTOS</v>
      </c>
      <c r="C133" s="6" t="str">
        <f>IF($A133="","",TRIM('Base Oficial'!F133))</f>
        <v>OFICIALIA DE CUMPLIMIENTO</v>
      </c>
      <c r="D133" s="6" t="str">
        <f>IF($A133="","",TRIM('Base Oficial'!G133))</f>
        <v>Gerencia de Oficialía de Cumplimiento</v>
      </c>
      <c r="E133" s="6" t="str">
        <f>IF($A133="","",TRIM('Base Oficial'!D133))</f>
        <v>PASANTE</v>
      </c>
      <c r="F133" s="4" t="str">
        <f>IF($A133="","",IF(COUNTIF('Base Exámenes'!$C$5:$C$1000, A133)&gt;0, "Completado", IF(M133&lt;&gt;"", M133, "Pendiente")))</f>
        <v>Completado</v>
      </c>
      <c r="G133" s="11">
        <f>IF(F133="Completado", IFERROR(IF(INDEX('Base Exámenes'!$D$5:$D$1000, MATCH(A133&amp;"|"&amp;J133, 'Base Exámenes'!$I$5:$I$1000, 0))="", "", INDEX('Base Exámenes'!$D$5:$D$1000, MATCH(A133&amp;"|"&amp;J133, 'Base Exámenes'!$I$5:$I$1000, 0))), ""), "")</f>
        <v>46296.491111111114</v>
      </c>
      <c r="H133" s="11">
        <f>IF(F133="Completado", IFERROR(IF(INDEX('Base Exámenes'!$E$5:$E$1000, MATCH(A133&amp;"|"&amp;J133, 'Base Exámenes'!$I$5:$I$1000, 0))="", "", INDEX('Base Exámenes'!$E$5:$E$1000, MATCH(A133&amp;"|"&amp;J133, 'Base Exámenes'!$I$5:$I$1000, 0))), ""), "")</f>
        <v>46296.49747685185</v>
      </c>
      <c r="I133" s="10">
        <f>IF(F133="Completado", IFERROR(IF(INDEX('Base Exámenes'!$F$5:$F$1000, MATCH(A133&amp;"|"&amp;J133, 'Base Exámenes'!$I$5:$I$1000, 0))="", "", INDEX('Base Exámenes'!$F$5:$F$1000, MATCH(A133&amp;"|"&amp;J133, 'Base Exámenes'!$I$5:$I$1000, 0))), ""), "")</f>
        <v>9.16666666666667</v>
      </c>
      <c r="J133" s="6">
        <f>IF(F133="Completado", IF(COUNTIFS('Base Exámenes'!$C$5:$C$1000, A133, 'Base Exámenes'!$G$5:$G$1000, "&lt;&gt;")=0, "", _xlfn.MAXIFS('Base Exámenes'!$G$5:$G$1000, 'Base Exámenes'!$C$5:$C$1000, A133)), "")</f>
        <v>100</v>
      </c>
      <c r="K133" s="6" t="str">
        <f>IF(F133="Completado", IFERROR(IF(INDEX('Base Exámenes'!$H$5:$H$1000, MATCH(A133&amp;"|"&amp;J133, 'Base Exámenes'!$I$5:$I$1000, 0))="", "", INDEX('Base Exámenes'!$H$5:$H$1000, MATCH(A133&amp;"|"&amp;J133, 'Base Exámenes'!$I$5:$I$1000, 0))), ""), "")</f>
        <v>anonymous</v>
      </c>
      <c r="L133" s="22">
        <f>IF($A133="","",COUNTIF('Base Exámenes'!$C$5:$C$1000, A133))</f>
        <v>1</v>
      </c>
      <c r="M133" s="6" t="str">
        <f>IF($A133="","",IF(COUNTIF('Base Exámenes'!$C$5:$C$1000, A133)&gt;0, "", TRIM('Base Oficial'!H133)))</f>
        <v/>
      </c>
    </row>
    <row r="134">
      <c r="A134" s="4" t="str">
        <f>IF('Base Oficial'!A134="","",TRIM('Base Oficial'!A134))</f>
        <v>984</v>
      </c>
      <c r="B134" s="6" t="str">
        <f>IF($A134="","",TRIM('Base Oficial'!B134))</f>
        <v>NICO EDUARDO CIUDAD REAL MOOIJ</v>
      </c>
      <c r="C134" s="6" t="str">
        <f>IF($A134="","",TRIM('Base Oficial'!F134))</f>
        <v>OFICIALIA DE CUMPLIMIENTO</v>
      </c>
      <c r="D134" s="6" t="str">
        <f>IF($A134="","",TRIM('Base Oficial'!G134))</f>
        <v>Gerencia de Oficialía de Cumplimiento</v>
      </c>
      <c r="E134" s="6" t="str">
        <f>IF($A134="","",TRIM('Base Oficial'!D134))</f>
        <v>PASANTE</v>
      </c>
      <c r="F134" s="4" t="str">
        <f>IF($A134="","",IF(COUNTIF('Base Exámenes'!$C$5:$C$1000, A134)&gt;0, "Completado", IF(M134&lt;&gt;"", M134, "Pendiente")))</f>
        <v>Completado</v>
      </c>
      <c r="G134" s="11">
        <f>IF(F134="Completado", IFERROR(IF(INDEX('Base Exámenes'!$D$5:$D$1000, MATCH(A134&amp;"|"&amp;J134, 'Base Exámenes'!$I$5:$I$1000, 0))="", "", INDEX('Base Exámenes'!$D$5:$D$1000, MATCH(A134&amp;"|"&amp;J134, 'Base Exámenes'!$I$5:$I$1000, 0))), ""), "")</f>
        <v>46296.472233796296</v>
      </c>
      <c r="H134" s="11">
        <f>IF(F134="Completado", IFERROR(IF(INDEX('Base Exámenes'!$E$5:$E$1000, MATCH(A134&amp;"|"&amp;J134, 'Base Exámenes'!$I$5:$I$1000, 0))="", "", INDEX('Base Exámenes'!$E$5:$E$1000, MATCH(A134&amp;"|"&amp;J134, 'Base Exámenes'!$I$5:$I$1000, 0))), ""), "")</f>
        <v>46296.48002314815</v>
      </c>
      <c r="I134" s="10">
        <f>IF(F134="Completado", IFERROR(IF(INDEX('Base Exámenes'!$F$5:$F$1000, MATCH(A134&amp;"|"&amp;J134, 'Base Exámenes'!$I$5:$I$1000, 0))="", "", INDEX('Base Exámenes'!$F$5:$F$1000, MATCH(A134&amp;"|"&amp;J134, 'Base Exámenes'!$I$5:$I$1000, 0))), ""), "")</f>
        <v>11.2166666666667</v>
      </c>
      <c r="J134" s="6">
        <f>IF(F134="Completado", IF(COUNTIFS('Base Exámenes'!$C$5:$C$1000, A134, 'Base Exámenes'!$G$5:$G$1000, "&lt;&gt;")=0, "", _xlfn.MAXIFS('Base Exámenes'!$G$5:$G$1000, 'Base Exámenes'!$C$5:$C$1000, A134)), "")</f>
        <v>100</v>
      </c>
      <c r="K134" s="6" t="str">
        <f>IF(F134="Completado", IFERROR(IF(INDEX('Base Exámenes'!$H$5:$H$1000, MATCH(A134&amp;"|"&amp;J134, 'Base Exámenes'!$I$5:$I$1000, 0))="", "", INDEX('Base Exámenes'!$H$5:$H$1000, MATCH(A134&amp;"|"&amp;J134, 'Base Exámenes'!$I$5:$I$1000, 0))), ""), "")</f>
        <v>anonymous</v>
      </c>
      <c r="L134" s="22">
        <f>IF($A134="","",COUNTIF('Base Exámenes'!$C$5:$C$1000, A134))</f>
        <v>1</v>
      </c>
      <c r="M134" s="6" t="str">
        <f>IF($A134="","",IF(COUNTIF('Base Exámenes'!$C$5:$C$1000, A134)&gt;0, "", TRIM('Base Oficial'!H134)))</f>
        <v/>
      </c>
    </row>
    <row r="135">
      <c r="A135" s="4" t="str">
        <f>IF('Base Oficial'!A135="","",TRIM('Base Oficial'!A135))</f>
        <v>985</v>
      </c>
      <c r="B135" s="6" t="str">
        <f>IF($A135="","",TRIM('Base Oficial'!B135))</f>
        <v>JORGE MATEO GUTIERREZ FLORES</v>
      </c>
      <c r="C135" s="6" t="str">
        <f>IF($A135="","",TRIM('Base Oficial'!F135))</f>
        <v>OFICIALIA DE CUMPLIMIENTO</v>
      </c>
      <c r="D135" s="6" t="str">
        <f>IF($A135="","",TRIM('Base Oficial'!G135))</f>
        <v>Gerencia de Oficialía de Cumplimiento</v>
      </c>
      <c r="E135" s="6" t="str">
        <f>IF($A135="","",TRIM('Base Oficial'!D135))</f>
        <v>PASANTE</v>
      </c>
      <c r="F135" s="4" t="str">
        <f>IF($A135="","",IF(COUNTIF('Base Exámenes'!$C$5:$C$1000, A135)&gt;0, "Completado", IF(M135&lt;&gt;"", M135, "Pendiente")))</f>
        <v>Completado</v>
      </c>
      <c r="G135" s="11">
        <f>IF(F135="Completado", IFERROR(IF(INDEX('Base Exámenes'!$D$5:$D$1000, MATCH(A135&amp;"|"&amp;J135, 'Base Exámenes'!$I$5:$I$1000, 0))="", "", INDEX('Base Exámenes'!$D$5:$D$1000, MATCH(A135&amp;"|"&amp;J135, 'Base Exámenes'!$I$5:$I$1000, 0))), ""), "")</f>
        <v>46296.48653935185</v>
      </c>
      <c r="H135" s="11">
        <f>IF(F135="Completado", IFERROR(IF(INDEX('Base Exámenes'!$E$5:$E$1000, MATCH(A135&amp;"|"&amp;J135, 'Base Exámenes'!$I$5:$I$1000, 0))="", "", INDEX('Base Exámenes'!$E$5:$E$1000, MATCH(A135&amp;"|"&amp;J135, 'Base Exámenes'!$I$5:$I$1000, 0))), ""), "")</f>
        <v>46296.4949537037</v>
      </c>
      <c r="I135" s="10">
        <f>IF(F135="Completado", IFERROR(IF(INDEX('Base Exámenes'!$F$5:$F$1000, MATCH(A135&amp;"|"&amp;J135, 'Base Exámenes'!$I$5:$I$1000, 0))="", "", INDEX('Base Exámenes'!$F$5:$F$1000, MATCH(A135&amp;"|"&amp;J135, 'Base Exámenes'!$I$5:$I$1000, 0))), ""), "")</f>
        <v>12.1166666666667</v>
      </c>
      <c r="J135" s="6">
        <f>IF(F135="Completado", IF(COUNTIFS('Base Exámenes'!$C$5:$C$1000, A135, 'Base Exámenes'!$G$5:$G$1000, "&lt;&gt;")=0, "", _xlfn.MAXIFS('Base Exámenes'!$G$5:$G$1000, 'Base Exámenes'!$C$5:$C$1000, A135)), "")</f>
        <v>100</v>
      </c>
      <c r="K135" s="6" t="str">
        <f>IF(F135="Completado", IFERROR(IF(INDEX('Base Exámenes'!$H$5:$H$1000, MATCH(A135&amp;"|"&amp;J135, 'Base Exámenes'!$I$5:$I$1000, 0))="", "", INDEX('Base Exámenes'!$H$5:$H$1000, MATCH(A135&amp;"|"&amp;J135, 'Base Exámenes'!$I$5:$I$1000, 0))), ""), "")</f>
        <v>anonymous</v>
      </c>
      <c r="L135" s="22">
        <f>IF($A135="","",COUNTIF('Base Exámenes'!$C$5:$C$1000, A135))</f>
        <v>1</v>
      </c>
      <c r="M135" s="6" t="str">
        <f>IF($A135="","",IF(COUNTIF('Base Exámenes'!$C$5:$C$1000, A135)&gt;0, "", TRIM('Base Oficial'!H135)))</f>
        <v/>
      </c>
    </row>
    <row r="136">
      <c r="A136" s="4" t="str">
        <f>IF('Base Oficial'!A136="","",TRIM('Base Oficial'!A136))</f>
        <v>583</v>
      </c>
      <c r="B136" s="6" t="str">
        <f>IF($A136="","",TRIM('Base Oficial'!B136))</f>
        <v>HECTOR JOSE MENJIVAR SOMOZA</v>
      </c>
      <c r="C136" s="6" t="str">
        <f>IF($A136="","",TRIM('Base Oficial'!F136))</f>
        <v>GERENCIA DE NEGOCIOS</v>
      </c>
      <c r="D136" s="6" t="str">
        <f>IF($A136="","",TRIM('Base Oficial'!G136))</f>
        <v>Gerencia de Negocios</v>
      </c>
      <c r="E136" s="6" t="str">
        <f>IF($A136="","",TRIM('Base Oficial'!D136))</f>
        <v>ANALISTA DE INTELIGENCIA DE NEGOCIOS</v>
      </c>
      <c r="F136" s="4" t="str">
        <f>IF($A136="","",IF(COUNTIF('Base Exámenes'!$C$5:$C$1000, A136)&gt;0, "Completado", IF(M136&lt;&gt;"", M136, "Pendiente")))</f>
        <v>Completado</v>
      </c>
      <c r="G136" s="11">
        <f>IF(F136="Completado", IFERROR(IF(INDEX('Base Exámenes'!$D$5:$D$1000, MATCH(A136&amp;"|"&amp;J136, 'Base Exámenes'!$I$5:$I$1000, 0))="", "", INDEX('Base Exámenes'!$D$5:$D$1000, MATCH(A136&amp;"|"&amp;J136, 'Base Exámenes'!$I$5:$I$1000, 0))), ""), "")</f>
        <v>46296.483923611115</v>
      </c>
      <c r="H136" s="11">
        <f>IF(F136="Completado", IFERROR(IF(INDEX('Base Exámenes'!$E$5:$E$1000, MATCH(A136&amp;"|"&amp;J136, 'Base Exámenes'!$I$5:$I$1000, 0))="", "", INDEX('Base Exámenes'!$E$5:$E$1000, MATCH(A136&amp;"|"&amp;J136, 'Base Exámenes'!$I$5:$I$1000, 0))), ""), "")</f>
        <v>46296.48710648148</v>
      </c>
      <c r="I136" s="10">
        <f>IF(F136="Completado", IFERROR(IF(INDEX('Base Exámenes'!$F$5:$F$1000, MATCH(A136&amp;"|"&amp;J136, 'Base Exámenes'!$I$5:$I$1000, 0))="", "", INDEX('Base Exámenes'!$F$5:$F$1000, MATCH(A136&amp;"|"&amp;J136, 'Base Exámenes'!$I$5:$I$1000, 0))), ""), "")</f>
        <v>4.58333333333333</v>
      </c>
      <c r="J136" s="6">
        <f>IF(F136="Completado", IF(COUNTIFS('Base Exámenes'!$C$5:$C$1000, A136, 'Base Exámenes'!$G$5:$G$1000, "&lt;&gt;")=0, "", _xlfn.MAXIFS('Base Exámenes'!$G$5:$G$1000, 'Base Exámenes'!$C$5:$C$1000, A136)), "")</f>
        <v>100</v>
      </c>
      <c r="K136" s="6" t="str">
        <f>IF(F136="Completado", IFERROR(IF(INDEX('Base Exámenes'!$H$5:$H$1000, MATCH(A136&amp;"|"&amp;J136, 'Base Exámenes'!$I$5:$I$1000, 0))="", "", INDEX('Base Exámenes'!$H$5:$H$1000, MATCH(A136&amp;"|"&amp;J136, 'Base Exámenes'!$I$5:$I$1000, 0))), ""), "")</f>
        <v>anonymous</v>
      </c>
      <c r="L136" s="22">
        <f>IF($A136="","",COUNTIF('Base Exámenes'!$C$5:$C$1000, A136))</f>
        <v>1</v>
      </c>
      <c r="M136" s="6" t="str">
        <f>IF($A136="","",IF(COUNTIF('Base Exámenes'!$C$5:$C$1000, A136)&gt;0, "", TRIM('Base Oficial'!H136)))</f>
        <v/>
      </c>
    </row>
    <row r="137">
      <c r="A137" s="4" t="str">
        <f>IF('Base Oficial'!A137="","",TRIM('Base Oficial'!A137))</f>
        <v>633</v>
      </c>
      <c r="B137" s="6" t="str">
        <f>IF($A137="","",TRIM('Base Oficial'!B137))</f>
        <v>VICTOR ADONAY PEREZ CASTILLO</v>
      </c>
      <c r="C137" s="6" t="str">
        <f>IF($A137="","",TRIM('Base Oficial'!F137))</f>
        <v>GERENCIA DE NEGOCIOS</v>
      </c>
      <c r="D137" s="6" t="str">
        <f>IF($A137="","",TRIM('Base Oficial'!G137))</f>
        <v>Gerencia de Negocios</v>
      </c>
      <c r="E137" s="6" t="str">
        <f>IF($A137="","",TRIM('Base Oficial'!D137))</f>
        <v>ASISTENTE PARA CANALES ELECTRONICOS Y OPERACIONES EN AGENCIA</v>
      </c>
      <c r="F137" s="4" t="str">
        <f>IF($A137="","",IF(COUNTIF('Base Exámenes'!$C$5:$C$1000, A137)&gt;0, "Completado", IF(M137&lt;&gt;"", M137, "Pendiente")))</f>
        <v>Completado</v>
      </c>
      <c r="G137" s="11">
        <f>IF(F137="Completado", IFERROR(IF(INDEX('Base Exámenes'!$D$5:$D$1000, MATCH(A137&amp;"|"&amp;J137, 'Base Exámenes'!$I$5:$I$1000, 0))="", "", INDEX('Base Exámenes'!$D$5:$D$1000, MATCH(A137&amp;"|"&amp;J137, 'Base Exámenes'!$I$5:$I$1000, 0))), ""), "")</f>
        <v>46296.45108796296</v>
      </c>
      <c r="H137" s="11">
        <f>IF(F137="Completado", IFERROR(IF(INDEX('Base Exámenes'!$E$5:$E$1000, MATCH(A137&amp;"|"&amp;J137, 'Base Exámenes'!$I$5:$I$1000, 0))="", "", INDEX('Base Exámenes'!$E$5:$E$1000, MATCH(A137&amp;"|"&amp;J137, 'Base Exámenes'!$I$5:$I$1000, 0))), ""), "")</f>
        <v>46296.453680555554</v>
      </c>
      <c r="I137" s="10">
        <f>IF(F137="Completado", IFERROR(IF(INDEX('Base Exámenes'!$F$5:$F$1000, MATCH(A137&amp;"|"&amp;J137, 'Base Exámenes'!$I$5:$I$1000, 0))="", "", INDEX('Base Exámenes'!$F$5:$F$1000, MATCH(A137&amp;"|"&amp;J137, 'Base Exámenes'!$I$5:$I$1000, 0))), ""), "")</f>
        <v>3.73333333333333</v>
      </c>
      <c r="J137" s="6">
        <f>IF(F137="Completado", IF(COUNTIFS('Base Exámenes'!$C$5:$C$1000, A137, 'Base Exámenes'!$G$5:$G$1000, "&lt;&gt;")=0, "", _xlfn.MAXIFS('Base Exámenes'!$G$5:$G$1000, 'Base Exámenes'!$C$5:$C$1000, A137)), "")</f>
        <v>100</v>
      </c>
      <c r="K137" s="6" t="str">
        <f>IF(F137="Completado", IFERROR(IF(INDEX('Base Exámenes'!$H$5:$H$1000, MATCH(A137&amp;"|"&amp;J137, 'Base Exámenes'!$I$5:$I$1000, 0))="", "", INDEX('Base Exámenes'!$H$5:$H$1000, MATCH(A137&amp;"|"&amp;J137, 'Base Exámenes'!$I$5:$I$1000, 0))), ""), "")</f>
        <v>anonymous</v>
      </c>
      <c r="L137" s="22">
        <f>IF($A137="","",COUNTIF('Base Exámenes'!$C$5:$C$1000, A137))</f>
        <v>2</v>
      </c>
      <c r="M137" s="6" t="str">
        <f>IF($A137="","",IF(COUNTIF('Base Exámenes'!$C$5:$C$1000, A137)&gt;0, "", TRIM('Base Oficial'!H137)))</f>
        <v/>
      </c>
    </row>
    <row r="138">
      <c r="A138" s="4" t="str">
        <f>IF('Base Oficial'!A138="","",TRIM('Base Oficial'!A138))</f>
        <v>782</v>
      </c>
      <c r="B138" s="6" t="str">
        <f>IF($A138="","",TRIM('Base Oficial'!B138))</f>
        <v>WANDA ILIANA MORENO QUINTEROS</v>
      </c>
      <c r="C138" s="6" t="str">
        <f>IF($A138="","",TRIM('Base Oficial'!F138))</f>
        <v>GERENCIA DE NEGOCIOS</v>
      </c>
      <c r="D138" s="6" t="str">
        <f>IF($A138="","",TRIM('Base Oficial'!G138))</f>
        <v>Gerencia de Negocios</v>
      </c>
      <c r="E138" s="6" t="str">
        <f>IF($A138="","",TRIM('Base Oficial'!D138))</f>
        <v>ADMINISTRADOR DE PLATAFORMAS Y TRANSFORMACION DIGITAL DE CRE</v>
      </c>
      <c r="F138" s="4" t="str">
        <f>IF($A138="","",IF(COUNTIF('Base Exámenes'!$C$5:$C$1000, A138)&gt;0, "Completado", IF(M138&lt;&gt;"", M138, "Pendiente")))</f>
        <v>Completado</v>
      </c>
      <c r="G138" s="11">
        <f>IF(F138="Completado", IFERROR(IF(INDEX('Base Exámenes'!$D$5:$D$1000, MATCH(A138&amp;"|"&amp;J138, 'Base Exámenes'!$I$5:$I$1000, 0))="", "", INDEX('Base Exámenes'!$D$5:$D$1000, MATCH(A138&amp;"|"&amp;J138, 'Base Exámenes'!$I$5:$I$1000, 0))), ""), "")</f>
        <v>46301.42778935185</v>
      </c>
      <c r="H138" s="11">
        <f>IF(F138="Completado", IFERROR(IF(INDEX('Base Exámenes'!$E$5:$E$1000, MATCH(A138&amp;"|"&amp;J138, 'Base Exámenes'!$I$5:$I$1000, 0))="", "", INDEX('Base Exámenes'!$E$5:$E$1000, MATCH(A138&amp;"|"&amp;J138, 'Base Exámenes'!$I$5:$I$1000, 0))), ""), "")</f>
        <v>46301.440300925926</v>
      </c>
      <c r="I138" s="10">
        <f>IF(F138="Completado", IFERROR(IF(INDEX('Base Exámenes'!$F$5:$F$1000, MATCH(A138&amp;"|"&amp;J138, 'Base Exámenes'!$I$5:$I$1000, 0))="", "", INDEX('Base Exámenes'!$F$5:$F$1000, MATCH(A138&amp;"|"&amp;J138, 'Base Exámenes'!$I$5:$I$1000, 0))), ""), "")</f>
        <v>18.0166666666667</v>
      </c>
      <c r="J138" s="6">
        <f>IF(F138="Completado", IF(COUNTIFS('Base Exámenes'!$C$5:$C$1000, A138, 'Base Exámenes'!$G$5:$G$1000, "&lt;&gt;")=0, "", _xlfn.MAXIFS('Base Exámenes'!$G$5:$G$1000, 'Base Exámenes'!$C$5:$C$1000, A138)), "")</f>
        <v>100</v>
      </c>
      <c r="K138" s="6" t="str">
        <f>IF(F138="Completado", IFERROR(IF(INDEX('Base Exámenes'!$H$5:$H$1000, MATCH(A138&amp;"|"&amp;J138, 'Base Exámenes'!$I$5:$I$1000, 0))="", "", INDEX('Base Exámenes'!$H$5:$H$1000, MATCH(A138&amp;"|"&amp;J138, 'Base Exámenes'!$I$5:$I$1000, 0))), ""), "")</f>
        <v>anonymous</v>
      </c>
      <c r="L138" s="22">
        <f>IF($A138="","",COUNTIF('Base Exámenes'!$C$5:$C$1000, A138))</f>
        <v>1</v>
      </c>
      <c r="M138" s="6" t="str">
        <f>IF($A138="","",IF(COUNTIF('Base Exámenes'!$C$5:$C$1000, A138)&gt;0, "", TRIM('Base Oficial'!H138)))</f>
        <v/>
      </c>
    </row>
    <row r="139">
      <c r="A139" s="4" t="str">
        <f>IF('Base Oficial'!A139="","",TRIM('Base Oficial'!A139))</f>
        <v>166</v>
      </c>
      <c r="B139" s="6" t="str">
        <f>IF($A139="","",TRIM('Base Oficial'!B139))</f>
        <v>MARIA FRANCISCA DE LA LUZ HERNANDEZ HERNANDEZ</v>
      </c>
      <c r="C139" s="6" t="str">
        <f>IF($A139="","",TRIM('Base Oficial'!F139))</f>
        <v>DEPARTAMENTO DE ATENCION A ASOCIADO Y CLIENTE</v>
      </c>
      <c r="D139" s="6" t="str">
        <f>IF($A139="","",TRIM('Base Oficial'!G139))</f>
        <v>Gerencia de Negocios</v>
      </c>
      <c r="E139" s="6" t="str">
        <f>IF($A139="","",TRIM('Base Oficial'!D139))</f>
        <v>JEFE DE ATENCION A ASOCIADOS Y CLIENTES</v>
      </c>
      <c r="F139" s="4" t="str">
        <f>IF($A139="","",IF(COUNTIF('Base Exámenes'!$C$5:$C$1000, A139)&gt;0, "Completado", IF(M139&lt;&gt;"", M139, "Pendiente")))</f>
        <v>Completado</v>
      </c>
      <c r="G139" s="11">
        <f>IF(F139="Completado", IFERROR(IF(INDEX('Base Exámenes'!$D$5:$D$1000, MATCH(A139&amp;"|"&amp;J139, 'Base Exámenes'!$I$5:$I$1000, 0))="", "", INDEX('Base Exámenes'!$D$5:$D$1000, MATCH(A139&amp;"|"&amp;J139, 'Base Exámenes'!$I$5:$I$1000, 0))), ""), "")</f>
        <v>46301.48449074074</v>
      </c>
      <c r="H139" s="11">
        <f>IF(F139="Completado", IFERROR(IF(INDEX('Base Exámenes'!$E$5:$E$1000, MATCH(A139&amp;"|"&amp;J139, 'Base Exámenes'!$I$5:$I$1000, 0))="", "", INDEX('Base Exámenes'!$E$5:$E$1000, MATCH(A139&amp;"|"&amp;J139, 'Base Exámenes'!$I$5:$I$1000, 0))), ""), "")</f>
        <v>46301.489282407405</v>
      </c>
      <c r="I139" s="10">
        <f>IF(F139="Completado", IFERROR(IF(INDEX('Base Exámenes'!$F$5:$F$1000, MATCH(A139&amp;"|"&amp;J139, 'Base Exámenes'!$I$5:$I$1000, 0))="", "", INDEX('Base Exámenes'!$F$5:$F$1000, MATCH(A139&amp;"|"&amp;J139, 'Base Exámenes'!$I$5:$I$1000, 0))), ""), "")</f>
        <v>6.9</v>
      </c>
      <c r="J139" s="6">
        <f>IF(F139="Completado", IF(COUNTIFS('Base Exámenes'!$C$5:$C$1000, A139, 'Base Exámenes'!$G$5:$G$1000, "&lt;&gt;")=0, "", _xlfn.MAXIFS('Base Exámenes'!$G$5:$G$1000, 'Base Exámenes'!$C$5:$C$1000, A139)), "")</f>
        <v>100</v>
      </c>
      <c r="K139" s="6" t="str">
        <f>IF(F139="Completado", IFERROR(IF(INDEX('Base Exámenes'!$H$5:$H$1000, MATCH(A139&amp;"|"&amp;J139, 'Base Exámenes'!$I$5:$I$1000, 0))="", "", INDEX('Base Exámenes'!$H$5:$H$1000, MATCH(A139&amp;"|"&amp;J139, 'Base Exámenes'!$I$5:$I$1000, 0))), ""), "")</f>
        <v>anonymous</v>
      </c>
      <c r="L139" s="22">
        <f>IF($A139="","",COUNTIF('Base Exámenes'!$C$5:$C$1000, A139))</f>
        <v>1</v>
      </c>
      <c r="M139" s="6" t="str">
        <f>IF($A139="","",IF(COUNTIF('Base Exámenes'!$C$5:$C$1000, A139)&gt;0, "", TRIM('Base Oficial'!H139)))</f>
        <v/>
      </c>
    </row>
    <row r="140">
      <c r="A140" s="4" t="str">
        <f>IF('Base Oficial'!A140="","",TRIM('Base Oficial'!A140))</f>
        <v>712</v>
      </c>
      <c r="B140" s="6" t="str">
        <f>IF($A140="","",TRIM('Base Oficial'!B140))</f>
        <v>EDGARDO ISAIAS PEÑATE RIVAS</v>
      </c>
      <c r="C140" s="6" t="str">
        <f>IF($A140="","",TRIM('Base Oficial'!F140))</f>
        <v>DEPARTAMENTO DE ATENCION A ASOCIADO Y CLIENTE</v>
      </c>
      <c r="D140" s="6" t="str">
        <f>IF($A140="","",TRIM('Base Oficial'!G140))</f>
        <v>Gerencia de Negocios</v>
      </c>
      <c r="E140" s="6" t="str">
        <f>IF($A140="","",TRIM('Base Oficial'!D140))</f>
        <v>ASISTENTE TECNICO DEL FONDO DE SOLIDARIDAD</v>
      </c>
      <c r="F140" s="4" t="str">
        <f>IF($A140="","",IF(COUNTIF('Base Exámenes'!$C$5:$C$1000, A140)&gt;0, "Completado", IF(M140&lt;&gt;"", M140, "Pendiente")))</f>
        <v>Completado</v>
      </c>
      <c r="G140" s="11">
        <f>IF(F140="Completado", IFERROR(IF(INDEX('Base Exámenes'!$D$5:$D$1000, MATCH(A140&amp;"|"&amp;J140, 'Base Exámenes'!$I$5:$I$1000, 0))="", "", INDEX('Base Exámenes'!$D$5:$D$1000, MATCH(A140&amp;"|"&amp;J140, 'Base Exámenes'!$I$5:$I$1000, 0))), ""), "")</f>
        <v>46304.373090277775</v>
      </c>
      <c r="H140" s="11">
        <f>IF(F140="Completado", IFERROR(IF(INDEX('Base Exámenes'!$E$5:$E$1000, MATCH(A140&amp;"|"&amp;J140, 'Base Exámenes'!$I$5:$I$1000, 0))="", "", INDEX('Base Exámenes'!$E$5:$E$1000, MATCH(A140&amp;"|"&amp;J140, 'Base Exámenes'!$I$5:$I$1000, 0))), ""), "")</f>
        <v>46304.37650462963</v>
      </c>
      <c r="I140" s="10">
        <f>IF(F140="Completado", IFERROR(IF(INDEX('Base Exámenes'!$F$5:$F$1000, MATCH(A140&amp;"|"&amp;J140, 'Base Exámenes'!$I$5:$I$1000, 0))="", "", INDEX('Base Exámenes'!$F$5:$F$1000, MATCH(A140&amp;"|"&amp;J140, 'Base Exámenes'!$I$5:$I$1000, 0))), ""), "")</f>
        <v>4.91666666666667</v>
      </c>
      <c r="J140" s="6">
        <f>IF(F140="Completado", IF(COUNTIFS('Base Exámenes'!$C$5:$C$1000, A140, 'Base Exámenes'!$G$5:$G$1000, "&lt;&gt;")=0, "", _xlfn.MAXIFS('Base Exámenes'!$G$5:$G$1000, 'Base Exámenes'!$C$5:$C$1000, A140)), "")</f>
        <v>100</v>
      </c>
      <c r="K140" s="6" t="str">
        <f>IF(F140="Completado", IFERROR(IF(INDEX('Base Exámenes'!$H$5:$H$1000, MATCH(A140&amp;"|"&amp;J140, 'Base Exámenes'!$I$5:$I$1000, 0))="", "", INDEX('Base Exámenes'!$H$5:$H$1000, MATCH(A140&amp;"|"&amp;J140, 'Base Exámenes'!$I$5:$I$1000, 0))), ""), "")</f>
        <v>anonymous</v>
      </c>
      <c r="L140" s="22">
        <f>IF($A140="","",COUNTIF('Base Exámenes'!$C$5:$C$1000, A140))</f>
        <v>1</v>
      </c>
      <c r="M140" s="6" t="str">
        <f>IF($A140="","",IF(COUNTIF('Base Exámenes'!$C$5:$C$1000, A140)&gt;0, "", TRIM('Base Oficial'!H140)))</f>
        <v/>
      </c>
    </row>
    <row r="141">
      <c r="A141" s="4" t="str">
        <f>IF('Base Oficial'!A141="","",TRIM('Base Oficial'!A141))</f>
        <v>744</v>
      </c>
      <c r="B141" s="6" t="str">
        <f>IF($A141="","",TRIM('Base Oficial'!B141))</f>
        <v>KARLA PATRICIA ROBLES CORTEZ</v>
      </c>
      <c r="C141" s="6" t="str">
        <f>IF($A141="","",TRIM('Base Oficial'!F141))</f>
        <v>DEPARTAMENTO DE ATENCION A ASOCIADO Y CLIENTE</v>
      </c>
      <c r="D141" s="6" t="str">
        <f>IF($A141="","",TRIM('Base Oficial'!G141))</f>
        <v>Gerencia de Negocios</v>
      </c>
      <c r="E141" s="6" t="str">
        <f>IF($A141="","",TRIM('Base Oficial'!D141))</f>
        <v>ASISTENTE TECNICO DE AFILIACION</v>
      </c>
      <c r="F141" s="4" t="str">
        <f>IF($A141="","",IF(COUNTIF('Base Exámenes'!$C$5:$C$1000, A141)&gt;0, "Completado", IF(M141&lt;&gt;"", M141, "Pendiente")))</f>
        <v>Completado</v>
      </c>
      <c r="G141" s="11">
        <f>IF(F141="Completado", IFERROR(IF(INDEX('Base Exámenes'!$D$5:$D$1000, MATCH(A141&amp;"|"&amp;J141, 'Base Exámenes'!$I$5:$I$1000, 0))="", "", INDEX('Base Exámenes'!$D$5:$D$1000, MATCH(A141&amp;"|"&amp;J141, 'Base Exámenes'!$I$5:$I$1000, 0))), ""), "")</f>
        <v>46308.617418981485</v>
      </c>
      <c r="H141" s="11">
        <f>IF(F141="Completado", IFERROR(IF(INDEX('Base Exámenes'!$E$5:$E$1000, MATCH(A141&amp;"|"&amp;J141, 'Base Exámenes'!$I$5:$I$1000, 0))="", "", INDEX('Base Exámenes'!$E$5:$E$1000, MATCH(A141&amp;"|"&amp;J141, 'Base Exámenes'!$I$5:$I$1000, 0))), ""), "")</f>
        <v>46308.622615740744</v>
      </c>
      <c r="I141" s="10">
        <f>IF(F141="Completado", IFERROR(IF(INDEX('Base Exámenes'!$F$5:$F$1000, MATCH(A141&amp;"|"&amp;J141, 'Base Exámenes'!$I$5:$I$1000, 0))="", "", INDEX('Base Exámenes'!$F$5:$F$1000, MATCH(A141&amp;"|"&amp;J141, 'Base Exámenes'!$I$5:$I$1000, 0))), ""), "")</f>
        <v>7.48333333333333</v>
      </c>
      <c r="J141" s="6">
        <f>IF(F141="Completado", IF(COUNTIFS('Base Exámenes'!$C$5:$C$1000, A141, 'Base Exámenes'!$G$5:$G$1000, "&lt;&gt;")=0, "", _xlfn.MAXIFS('Base Exámenes'!$G$5:$G$1000, 'Base Exámenes'!$C$5:$C$1000, A141)), "")</f>
        <v>90</v>
      </c>
      <c r="K141" s="6" t="str">
        <f>IF(F141="Completado", IFERROR(IF(INDEX('Base Exámenes'!$H$5:$H$1000, MATCH(A141&amp;"|"&amp;J141, 'Base Exámenes'!$I$5:$I$1000, 0))="", "", INDEX('Base Exámenes'!$H$5:$H$1000, MATCH(A141&amp;"|"&amp;J141, 'Base Exámenes'!$I$5:$I$1000, 0))), ""), "")</f>
        <v>anonymous</v>
      </c>
      <c r="L141" s="22">
        <f>IF($A141="","",COUNTIF('Base Exámenes'!$C$5:$C$1000, A141))</f>
        <v>1</v>
      </c>
      <c r="M141" s="6" t="str">
        <f>IF($A141="","",IF(COUNTIF('Base Exámenes'!$C$5:$C$1000, A141)&gt;0, "", TRIM('Base Oficial'!H141)))</f>
        <v/>
      </c>
    </row>
    <row r="142">
      <c r="A142" s="4" t="str">
        <f>IF('Base Oficial'!A142="","",TRIM('Base Oficial'!A142))</f>
        <v>887</v>
      </c>
      <c r="B142" s="6" t="str">
        <f>IF($A142="","",TRIM('Base Oficial'!B142))</f>
        <v>EMERSON ULISES BELTRAN CORTEZ</v>
      </c>
      <c r="C142" s="6" t="str">
        <f>IF($A142="","",TRIM('Base Oficial'!F142))</f>
        <v>DEPARTAMENTO DE ATENCION A ASOCIADO Y CLIENTE</v>
      </c>
      <c r="D142" s="6" t="str">
        <f>IF($A142="","",TRIM('Base Oficial'!G142))</f>
        <v>Gerencia de Negocios</v>
      </c>
      <c r="E142" s="6" t="str">
        <f>IF($A142="","",TRIM('Base Oficial'!D142))</f>
        <v>AUXILIAR DE ATENCION A ASOCIADOS</v>
      </c>
      <c r="F142" s="4" t="str">
        <f>IF($A142="","",IF(COUNTIF('Base Exámenes'!$C$5:$C$1000, A142)&gt;0, "Completado", IF(M142&lt;&gt;"", M142, "Pendiente")))</f>
        <v>Completado</v>
      </c>
      <c r="G142" s="11">
        <f>IF(F142="Completado", IFERROR(IF(INDEX('Base Exámenes'!$D$5:$D$1000, MATCH(A142&amp;"|"&amp;J142, 'Base Exámenes'!$I$5:$I$1000, 0))="", "", INDEX('Base Exámenes'!$D$5:$D$1000, MATCH(A142&amp;"|"&amp;J142, 'Base Exámenes'!$I$5:$I$1000, 0))), ""), "")</f>
        <v>46308.63217592592</v>
      </c>
      <c r="H142" s="11">
        <f>IF(F142="Completado", IFERROR(IF(INDEX('Base Exámenes'!$E$5:$E$1000, MATCH(A142&amp;"|"&amp;J142, 'Base Exámenes'!$I$5:$I$1000, 0))="", "", INDEX('Base Exámenes'!$E$5:$E$1000, MATCH(A142&amp;"|"&amp;J142, 'Base Exámenes'!$I$5:$I$1000, 0))), ""), "")</f>
        <v>46308.64163194445</v>
      </c>
      <c r="I142" s="10">
        <f>IF(F142="Completado", IFERROR(IF(INDEX('Base Exámenes'!$F$5:$F$1000, MATCH(A142&amp;"|"&amp;J142, 'Base Exámenes'!$I$5:$I$1000, 0))="", "", INDEX('Base Exámenes'!$F$5:$F$1000, MATCH(A142&amp;"|"&amp;J142, 'Base Exámenes'!$I$5:$I$1000, 0))), ""), "")</f>
        <v>13.6166666666667</v>
      </c>
      <c r="J142" s="6">
        <f>IF(F142="Completado", IF(COUNTIFS('Base Exámenes'!$C$5:$C$1000, A142, 'Base Exámenes'!$G$5:$G$1000, "&lt;&gt;")=0, "", _xlfn.MAXIFS('Base Exámenes'!$G$5:$G$1000, 'Base Exámenes'!$C$5:$C$1000, A142)), "")</f>
        <v>100</v>
      </c>
      <c r="K142" s="6" t="str">
        <f>IF(F142="Completado", IFERROR(IF(INDEX('Base Exámenes'!$H$5:$H$1000, MATCH(A142&amp;"|"&amp;J142, 'Base Exámenes'!$I$5:$I$1000, 0))="", "", INDEX('Base Exámenes'!$H$5:$H$1000, MATCH(A142&amp;"|"&amp;J142, 'Base Exámenes'!$I$5:$I$1000, 0))), ""), "")</f>
        <v>anonymous</v>
      </c>
      <c r="L142" s="22">
        <f>IF($A142="","",COUNTIF('Base Exámenes'!$C$5:$C$1000, A142))</f>
        <v>1</v>
      </c>
      <c r="M142" s="6" t="str">
        <f>IF($A142="","",IF(COUNTIF('Base Exámenes'!$C$5:$C$1000, A142)&gt;0, "", TRIM('Base Oficial'!H142)))</f>
        <v/>
      </c>
    </row>
    <row r="143">
      <c r="A143" s="4" t="str">
        <f>IF('Base Oficial'!A143="","",TRIM('Base Oficial'!A143))</f>
        <v>945</v>
      </c>
      <c r="B143" s="6" t="str">
        <f>IF($A143="","",TRIM('Base Oficial'!B143))</f>
        <v>FABIOLA ELIZABETH TICAS GOMEZ</v>
      </c>
      <c r="C143" s="6" t="str">
        <f>IF($A143="","",TRIM('Base Oficial'!F143))</f>
        <v>DEPARTAMENTO DE ATENCION A ASOCIADO Y CLIENTE</v>
      </c>
      <c r="D143" s="6" t="str">
        <f>IF($A143="","",TRIM('Base Oficial'!G143))</f>
        <v>Gerencia de Negocios</v>
      </c>
      <c r="E143" s="6" t="str">
        <f>IF($A143="","",TRIM('Base Oficial'!D143))</f>
        <v>RECEPCIONISTA</v>
      </c>
      <c r="F143" s="4" t="str">
        <f>IF($A143="","",IF(COUNTIF('Base Exámenes'!$C$5:$C$1000, A143)&gt;0, "Completado", IF(M143&lt;&gt;"", M143, "Pendiente")))</f>
        <v>Completado</v>
      </c>
      <c r="G143" s="11">
        <f>IF(F143="Completado", IFERROR(IF(INDEX('Base Exámenes'!$D$5:$D$1000, MATCH(A143&amp;"|"&amp;J143, 'Base Exámenes'!$I$5:$I$1000, 0))="", "", INDEX('Base Exámenes'!$D$5:$D$1000, MATCH(A143&amp;"|"&amp;J143, 'Base Exámenes'!$I$5:$I$1000, 0))), ""), "")</f>
        <v>46309.407326388886</v>
      </c>
      <c r="H143" s="11">
        <f>IF(F143="Completado", IFERROR(IF(INDEX('Base Exámenes'!$E$5:$E$1000, MATCH(A143&amp;"|"&amp;J143, 'Base Exámenes'!$I$5:$I$1000, 0))="", "", INDEX('Base Exámenes'!$E$5:$E$1000, MATCH(A143&amp;"|"&amp;J143, 'Base Exámenes'!$I$5:$I$1000, 0))), ""), "")</f>
        <v>46309.409166666665</v>
      </c>
      <c r="I143" s="10">
        <f>IF(F143="Completado", IFERROR(IF(INDEX('Base Exámenes'!$F$5:$F$1000, MATCH(A143&amp;"|"&amp;J143, 'Base Exámenes'!$I$5:$I$1000, 0))="", "", INDEX('Base Exámenes'!$F$5:$F$1000, MATCH(A143&amp;"|"&amp;J143, 'Base Exámenes'!$I$5:$I$1000, 0))), ""), "")</f>
        <v>2.64999998033333</v>
      </c>
      <c r="J143" s="6">
        <f>IF(F143="Completado", IF(COUNTIFS('Base Exámenes'!$C$5:$C$1000, A143, 'Base Exámenes'!$G$5:$G$1000, "&lt;&gt;")=0, "", _xlfn.MAXIFS('Base Exámenes'!$G$5:$G$1000, 'Base Exámenes'!$C$5:$C$1000, A143)), "")</f>
        <v>100</v>
      </c>
      <c r="K143" s="6" t="str">
        <f>IF(F143="Completado", IFERROR(IF(INDEX('Base Exámenes'!$H$5:$H$1000, MATCH(A143&amp;"|"&amp;J143, 'Base Exámenes'!$I$5:$I$1000, 0))="", "", INDEX('Base Exámenes'!$H$5:$H$1000, MATCH(A143&amp;"|"&amp;J143, 'Base Exámenes'!$I$5:$I$1000, 0))), ""), "")</f>
        <v>anonymous</v>
      </c>
      <c r="L143" s="22">
        <f>IF($A143="","",COUNTIF('Base Exámenes'!$C$5:$C$1000, A143))</f>
        <v>1</v>
      </c>
      <c r="M143" s="6" t="str">
        <f>IF($A143="","",IF(COUNTIF('Base Exámenes'!$C$5:$C$1000, A143)&gt;0, "", TRIM('Base Oficial'!H143)))</f>
        <v/>
      </c>
    </row>
    <row r="144">
      <c r="A144" s="4" t="str">
        <f>IF('Base Oficial'!A144="","",TRIM('Base Oficial'!A144))</f>
        <v>981</v>
      </c>
      <c r="B144" s="6" t="str">
        <f>IF($A144="","",TRIM('Base Oficial'!B144))</f>
        <v>ALAN RODRIGO BENITEZ RODRIGUEZ</v>
      </c>
      <c r="C144" s="6" t="str">
        <f>IF($A144="","",TRIM('Base Oficial'!F144))</f>
        <v>DEPARTAMENTO DE ATENCION A ASOCIADO Y CLIENTE</v>
      </c>
      <c r="D144" s="6" t="str">
        <f>IF($A144="","",TRIM('Base Oficial'!G144))</f>
        <v>Gerencia de Negocios</v>
      </c>
      <c r="E144" s="6" t="str">
        <f>IF($A144="","",TRIM('Base Oficial'!D144))</f>
        <v>PASANTE</v>
      </c>
      <c r="F144" s="4" t="str">
        <f>IF($A144="","",IF(COUNTIF('Base Exámenes'!$C$5:$C$1000, A144)&gt;0, "Completado", IF(M144&lt;&gt;"", M144, "Pendiente")))</f>
        <v>Completado</v>
      </c>
      <c r="G144" s="11">
        <f>IF(F144="Completado", IFERROR(IF(INDEX('Base Exámenes'!$D$5:$D$1000, MATCH(A144&amp;"|"&amp;J144, 'Base Exámenes'!$I$5:$I$1000, 0))="", "", INDEX('Base Exámenes'!$D$5:$D$1000, MATCH(A144&amp;"|"&amp;J144, 'Base Exámenes'!$I$5:$I$1000, 0))), ""), "")</f>
        <v>46310.69125</v>
      </c>
      <c r="H144" s="11">
        <f>IF(F144="Completado", IFERROR(IF(INDEX('Base Exámenes'!$E$5:$E$1000, MATCH(A144&amp;"|"&amp;J144, 'Base Exámenes'!$I$5:$I$1000, 0))="", "", INDEX('Base Exámenes'!$E$5:$E$1000, MATCH(A144&amp;"|"&amp;J144, 'Base Exámenes'!$I$5:$I$1000, 0))), ""), "")</f>
        <v>46310.70625</v>
      </c>
      <c r="I144" s="10">
        <f>IF(F144="Completado", IFERROR(IF(INDEX('Base Exámenes'!$F$5:$F$1000, MATCH(A144&amp;"|"&amp;J144, 'Base Exámenes'!$I$5:$I$1000, 0))="", "", INDEX('Base Exámenes'!$F$5:$F$1000, MATCH(A144&amp;"|"&amp;J144, 'Base Exámenes'!$I$5:$I$1000, 0))), ""), "")</f>
        <v>21.6</v>
      </c>
      <c r="J144" s="6">
        <f>IF(F144="Completado", IF(COUNTIFS('Base Exámenes'!$C$5:$C$1000, A144, 'Base Exámenes'!$G$5:$G$1000, "&lt;&gt;")=0, "", _xlfn.MAXIFS('Base Exámenes'!$G$5:$G$1000, 'Base Exámenes'!$C$5:$C$1000, A144)), "")</f>
        <v>100</v>
      </c>
      <c r="K144" s="6" t="str">
        <f>IF(F144="Completado", IFERROR(IF(INDEX('Base Exámenes'!$H$5:$H$1000, MATCH(A144&amp;"|"&amp;J144, 'Base Exámenes'!$I$5:$I$1000, 0))="", "", INDEX('Base Exámenes'!$H$5:$H$1000, MATCH(A144&amp;"|"&amp;J144, 'Base Exámenes'!$I$5:$I$1000, 0))), ""), "")</f>
        <v>anonymous</v>
      </c>
      <c r="L144" s="22">
        <f>IF($A144="","",COUNTIF('Base Exámenes'!$C$5:$C$1000, A144))</f>
        <v>1</v>
      </c>
      <c r="M144" s="6" t="str">
        <f>IF($A144="","",IF(COUNTIF('Base Exámenes'!$C$5:$C$1000, A144)&gt;0, "", TRIM('Base Oficial'!H144)))</f>
        <v/>
      </c>
    </row>
    <row r="145">
      <c r="A145" s="4" t="str">
        <f>IF('Base Oficial'!A145="","",TRIM('Base Oficial'!A145))</f>
        <v>219</v>
      </c>
      <c r="B145" s="6" t="str">
        <f>IF($A145="","",TRIM('Base Oficial'!B145))</f>
        <v>IVONNE LISSETH DE JESUS RODRIGUEZ FLORES</v>
      </c>
      <c r="C145" s="6" t="str">
        <f>IF($A145="","",TRIM('Base Oficial'!F145))</f>
        <v>DEPARTAMENTO DE MERCADEO</v>
      </c>
      <c r="D145" s="6" t="str">
        <f>IF($A145="","",TRIM('Base Oficial'!G145))</f>
        <v>Gerencia de Negocios</v>
      </c>
      <c r="E145" s="6" t="str">
        <f>IF($A145="","",TRIM('Base Oficial'!D145))</f>
        <v>ASISTENTE TELEMARKETING</v>
      </c>
      <c r="F145" s="4" t="str">
        <f>IF($A145="","",IF(COUNTIF('Base Exámenes'!$C$5:$C$1000, A145)&gt;0, "Completado", IF(M145&lt;&gt;"", M145, "Pendiente")))</f>
        <v>Completado</v>
      </c>
      <c r="G145" s="11">
        <f>IF(F145="Completado", IFERROR(IF(INDEX('Base Exámenes'!$D$5:$D$1000, MATCH(A145&amp;"|"&amp;J145, 'Base Exámenes'!$I$5:$I$1000, 0))="", "", INDEX('Base Exámenes'!$D$5:$D$1000, MATCH(A145&amp;"|"&amp;J145, 'Base Exámenes'!$I$5:$I$1000, 0))), ""), "")</f>
        <v>46308.38597222222</v>
      </c>
      <c r="H145" s="11">
        <f>IF(F145="Completado", IFERROR(IF(INDEX('Base Exámenes'!$E$5:$E$1000, MATCH(A145&amp;"|"&amp;J145, 'Base Exámenes'!$I$5:$I$1000, 0))="", "", INDEX('Base Exámenes'!$E$5:$E$1000, MATCH(A145&amp;"|"&amp;J145, 'Base Exámenes'!$I$5:$I$1000, 0))), ""), "")</f>
        <v>46308.39677083334</v>
      </c>
      <c r="I145" s="10">
        <f>IF(F145="Completado", IFERROR(IF(INDEX('Base Exámenes'!$F$5:$F$1000, MATCH(A145&amp;"|"&amp;J145, 'Base Exámenes'!$I$5:$I$1000, 0))="", "", INDEX('Base Exámenes'!$F$5:$F$1000, MATCH(A145&amp;"|"&amp;J145, 'Base Exámenes'!$I$5:$I$1000, 0))), ""), "")</f>
        <v>15.55</v>
      </c>
      <c r="J145" s="6">
        <f>IF(F145="Completado", IF(COUNTIFS('Base Exámenes'!$C$5:$C$1000, A145, 'Base Exámenes'!$G$5:$G$1000, "&lt;&gt;")=0, "", _xlfn.MAXIFS('Base Exámenes'!$G$5:$G$1000, 'Base Exámenes'!$C$5:$C$1000, A145)), "")</f>
        <v>95</v>
      </c>
      <c r="K145" s="6" t="str">
        <f>IF(F145="Completado", IFERROR(IF(INDEX('Base Exámenes'!$H$5:$H$1000, MATCH(A145&amp;"|"&amp;J145, 'Base Exámenes'!$I$5:$I$1000, 0))="", "", INDEX('Base Exámenes'!$H$5:$H$1000, MATCH(A145&amp;"|"&amp;J145, 'Base Exámenes'!$I$5:$I$1000, 0))), ""), "")</f>
        <v>anonymous</v>
      </c>
      <c r="L145" s="22">
        <f>IF($A145="","",COUNTIF('Base Exámenes'!$C$5:$C$1000, A145))</f>
        <v>1</v>
      </c>
      <c r="M145" s="6" t="str">
        <f>IF($A145="","",IF(COUNTIF('Base Exámenes'!$C$5:$C$1000, A145)&gt;0, "", TRIM('Base Oficial'!H145)))</f>
        <v/>
      </c>
    </row>
    <row r="146">
      <c r="A146" s="4" t="str">
        <f>IF('Base Oficial'!A146="","",TRIM('Base Oficial'!A146))</f>
        <v>361</v>
      </c>
      <c r="B146" s="6" t="str">
        <f>IF($A146="","",TRIM('Base Oficial'!B146))</f>
        <v>JOSE CARLOS IRENEO HERNANDEZ RODRIGUEZ</v>
      </c>
      <c r="C146" s="6" t="str">
        <f>IF($A146="","",TRIM('Base Oficial'!F146))</f>
        <v>DEPARTAMENTO DE MERCADEO</v>
      </c>
      <c r="D146" s="6" t="str">
        <f>IF($A146="","",TRIM('Base Oficial'!G146))</f>
        <v>Gerencia de Negocios</v>
      </c>
      <c r="E146" s="6" t="str">
        <f>IF($A146="","",TRIM('Base Oficial'!D146))</f>
        <v>ASISTENTE TECNICO DE MERCADEO</v>
      </c>
      <c r="F146" s="4" t="str">
        <f>IF($A146="","",IF(COUNTIF('Base Exámenes'!$C$5:$C$1000, A146)&gt;0, "Completado", IF(M146&lt;&gt;"", M146, "Pendiente")))</f>
        <v>Completado</v>
      </c>
      <c r="G146" s="11">
        <f>IF(F146="Completado", IFERROR(IF(INDEX('Base Exámenes'!$D$5:$D$1000, MATCH(A146&amp;"|"&amp;J146, 'Base Exámenes'!$I$5:$I$1000, 0))="", "", INDEX('Base Exámenes'!$D$5:$D$1000, MATCH(A146&amp;"|"&amp;J146, 'Base Exámenes'!$I$5:$I$1000, 0))), ""), "")</f>
        <v>46311.41438657408</v>
      </c>
      <c r="H146" s="11">
        <f>IF(F146="Completado", IFERROR(IF(INDEX('Base Exámenes'!$E$5:$E$1000, MATCH(A146&amp;"|"&amp;J146, 'Base Exámenes'!$I$5:$I$1000, 0))="", "", INDEX('Base Exámenes'!$E$5:$E$1000, MATCH(A146&amp;"|"&amp;J146, 'Base Exámenes'!$I$5:$I$1000, 0))), ""), "")</f>
        <v>46311.418587962966</v>
      </c>
      <c r="I146" s="10">
        <f>IF(F146="Completado", IFERROR(IF(INDEX('Base Exámenes'!$F$5:$F$1000, MATCH(A146&amp;"|"&amp;J146, 'Base Exámenes'!$I$5:$I$1000, 0))="", "", INDEX('Base Exámenes'!$F$5:$F$1000, MATCH(A146&amp;"|"&amp;J146, 'Base Exámenes'!$I$5:$I$1000, 0))), ""), "")</f>
        <v>6.05</v>
      </c>
      <c r="J146" s="6">
        <f>IF(F146="Completado", IF(COUNTIFS('Base Exámenes'!$C$5:$C$1000, A146, 'Base Exámenes'!$G$5:$G$1000, "&lt;&gt;")=0, "", _xlfn.MAXIFS('Base Exámenes'!$G$5:$G$1000, 'Base Exámenes'!$C$5:$C$1000, A146)), "")</f>
        <v>95</v>
      </c>
      <c r="K146" s="6" t="str">
        <f>IF(F146="Completado", IFERROR(IF(INDEX('Base Exámenes'!$H$5:$H$1000, MATCH(A146&amp;"|"&amp;J146, 'Base Exámenes'!$I$5:$I$1000, 0))="", "", INDEX('Base Exámenes'!$H$5:$H$1000, MATCH(A146&amp;"|"&amp;J146, 'Base Exámenes'!$I$5:$I$1000, 0))), ""), "")</f>
        <v>anonymous</v>
      </c>
      <c r="L146" s="22">
        <f>IF($A146="","",COUNTIF('Base Exámenes'!$C$5:$C$1000, A146))</f>
        <v>1</v>
      </c>
      <c r="M146" s="6" t="str">
        <f>IF($A146="","",IF(COUNTIF('Base Exámenes'!$C$5:$C$1000, A146)&gt;0, "", TRIM('Base Oficial'!H146)))</f>
        <v/>
      </c>
    </row>
    <row r="147">
      <c r="A147" s="4" t="str">
        <f>IF('Base Oficial'!A147="","",TRIM('Base Oficial'!A147))</f>
        <v>591</v>
      </c>
      <c r="B147" s="6" t="str">
        <f>IF($A147="","",TRIM('Base Oficial'!B147))</f>
        <v>CARMEN MARIA GUTIERREZ ESTRADA</v>
      </c>
      <c r="C147" s="6" t="str">
        <f>IF($A147="","",TRIM('Base Oficial'!F147))</f>
        <v>DEPARTAMENTO DE MERCADEO</v>
      </c>
      <c r="D147" s="6" t="str">
        <f>IF($A147="","",TRIM('Base Oficial'!G147))</f>
        <v>Gerencia de Negocios</v>
      </c>
      <c r="E147" s="6" t="str">
        <f>IF($A147="","",TRIM('Base Oficial'!D147))</f>
        <v>JEFE DE MERCADEO</v>
      </c>
      <c r="F147" s="4" t="str">
        <f>IF($A147="","",IF(COUNTIF('Base Exámenes'!$C$5:$C$1000, A147)&gt;0, "Completado", IF(M147&lt;&gt;"", M147, "Pendiente")))</f>
        <v>Completado</v>
      </c>
      <c r="G147" s="11">
        <f>IF(F147="Completado", IFERROR(IF(INDEX('Base Exámenes'!$D$5:$D$1000, MATCH(A147&amp;"|"&amp;J147, 'Base Exámenes'!$I$5:$I$1000, 0))="", "", INDEX('Base Exámenes'!$D$5:$D$1000, MATCH(A147&amp;"|"&amp;J147, 'Base Exámenes'!$I$5:$I$1000, 0))), ""), "")</f>
        <v>46310.66625</v>
      </c>
      <c r="H147" s="11">
        <f>IF(F147="Completado", IFERROR(IF(INDEX('Base Exámenes'!$E$5:$E$1000, MATCH(A147&amp;"|"&amp;J147, 'Base Exámenes'!$I$5:$I$1000, 0))="", "", INDEX('Base Exámenes'!$E$5:$E$1000, MATCH(A147&amp;"|"&amp;J147, 'Base Exámenes'!$I$5:$I$1000, 0))), ""), "")</f>
        <v>46310.66862268518</v>
      </c>
      <c r="I147" s="10">
        <f>IF(F147="Completado", IFERROR(IF(INDEX('Base Exámenes'!$F$5:$F$1000, MATCH(A147&amp;"|"&amp;J147, 'Base Exámenes'!$I$5:$I$1000, 0))="", "", INDEX('Base Exámenes'!$F$5:$F$1000, MATCH(A147&amp;"|"&amp;J147, 'Base Exámenes'!$I$5:$I$1000, 0))), ""), "")</f>
        <v>3.41666666666667</v>
      </c>
      <c r="J147" s="6">
        <f>IF(F147="Completado", IF(COUNTIFS('Base Exámenes'!$C$5:$C$1000, A147, 'Base Exámenes'!$G$5:$G$1000, "&lt;&gt;")=0, "", _xlfn.MAXIFS('Base Exámenes'!$G$5:$G$1000, 'Base Exámenes'!$C$5:$C$1000, A147)), "")</f>
        <v>80</v>
      </c>
      <c r="K147" s="6" t="str">
        <f>IF(F147="Completado", IFERROR(IF(INDEX('Base Exámenes'!$H$5:$H$1000, MATCH(A147&amp;"|"&amp;J147, 'Base Exámenes'!$I$5:$I$1000, 0))="", "", INDEX('Base Exámenes'!$H$5:$H$1000, MATCH(A147&amp;"|"&amp;J147, 'Base Exámenes'!$I$5:$I$1000, 0))), ""), "")</f>
        <v>anonymous</v>
      </c>
      <c r="L147" s="22">
        <f>IF($A147="","",COUNTIF('Base Exámenes'!$C$5:$C$1000, A147))</f>
        <v>1</v>
      </c>
      <c r="M147" s="6" t="str">
        <f>IF($A147="","",IF(COUNTIF('Base Exámenes'!$C$5:$C$1000, A147)&gt;0, "", TRIM('Base Oficial'!H147)))</f>
        <v/>
      </c>
    </row>
    <row r="148">
      <c r="A148" s="4" t="str">
        <f>IF('Base Oficial'!A148="","",TRIM('Base Oficial'!A148))</f>
        <v>723</v>
      </c>
      <c r="B148" s="6" t="str">
        <f>IF($A148="","",TRIM('Base Oficial'!B148))</f>
        <v>LUIS FAUSTONY VASQUEZ CIENFUEGOS</v>
      </c>
      <c r="C148" s="6" t="str">
        <f>IF($A148="","",TRIM('Base Oficial'!F148))</f>
        <v>DEPARTAMENTO DE MERCADEO</v>
      </c>
      <c r="D148" s="6" t="str">
        <f>IF($A148="","",TRIM('Base Oficial'!G148))</f>
        <v>Gerencia de Negocios</v>
      </c>
      <c r="E148" s="6" t="str">
        <f>IF($A148="","",TRIM('Base Oficial'!D148))</f>
        <v>GESTOR DE DOCUMENTOS</v>
      </c>
      <c r="F148" s="4" t="str">
        <f>IF($A148="","",IF(COUNTIF('Base Exámenes'!$C$5:$C$1000, A148)&gt;0, "Completado", IF(M148&lt;&gt;"", M148, "Pendiente")))</f>
        <v>Completado</v>
      </c>
      <c r="G148" s="11">
        <f>IF(F148="Completado", IFERROR(IF(INDEX('Base Exámenes'!$D$5:$D$1000, MATCH(A148&amp;"|"&amp;J148, 'Base Exámenes'!$I$5:$I$1000, 0))="", "", INDEX('Base Exámenes'!$D$5:$D$1000, MATCH(A148&amp;"|"&amp;J148, 'Base Exámenes'!$I$5:$I$1000, 0))), ""), "")</f>
        <v>46311.70719907407</v>
      </c>
      <c r="H148" s="11">
        <f>IF(F148="Completado", IFERROR(IF(INDEX('Base Exámenes'!$E$5:$E$1000, MATCH(A148&amp;"|"&amp;J148, 'Base Exámenes'!$I$5:$I$1000, 0))="", "", INDEX('Base Exámenes'!$E$5:$E$1000, MATCH(A148&amp;"|"&amp;J148, 'Base Exámenes'!$I$5:$I$1000, 0))), ""), "")</f>
        <v>46311.71099537037</v>
      </c>
      <c r="I148" s="10">
        <f>IF(F148="Completado", IFERROR(IF(INDEX('Base Exámenes'!$F$5:$F$1000, MATCH(A148&amp;"|"&amp;J148, 'Base Exámenes'!$I$5:$I$1000, 0))="", "", INDEX('Base Exámenes'!$F$5:$F$1000, MATCH(A148&amp;"|"&amp;J148, 'Base Exámenes'!$I$5:$I$1000, 0))), ""), "")</f>
        <v>5.46666666666667</v>
      </c>
      <c r="J148" s="6">
        <f>IF(F148="Completado", IF(COUNTIFS('Base Exámenes'!$C$5:$C$1000, A148, 'Base Exámenes'!$G$5:$G$1000, "&lt;&gt;")=0, "", _xlfn.MAXIFS('Base Exámenes'!$G$5:$G$1000, 'Base Exámenes'!$C$5:$C$1000, A148)), "")</f>
        <v>90</v>
      </c>
      <c r="K148" s="6" t="str">
        <f>IF(F148="Completado", IFERROR(IF(INDEX('Base Exámenes'!$H$5:$H$1000, MATCH(A148&amp;"|"&amp;J148, 'Base Exámenes'!$I$5:$I$1000, 0))="", "", INDEX('Base Exámenes'!$H$5:$H$1000, MATCH(A148&amp;"|"&amp;J148, 'Base Exámenes'!$I$5:$I$1000, 0))), ""), "")</f>
        <v>anonymous</v>
      </c>
      <c r="L148" s="22">
        <f>IF($A148="","",COUNTIF('Base Exámenes'!$C$5:$C$1000, A148))</f>
        <v>1</v>
      </c>
      <c r="M148" s="6" t="str">
        <f>IF($A148="","",IF(COUNTIF('Base Exámenes'!$C$5:$C$1000, A148)&gt;0, "", TRIM('Base Oficial'!H148)))</f>
        <v/>
      </c>
    </row>
    <row r="149">
      <c r="A149" s="4" t="str">
        <f>IF('Base Oficial'!A149="","",TRIM('Base Oficial'!A149))</f>
        <v>895</v>
      </c>
      <c r="B149" s="6" t="str">
        <f>IF($A149="","",TRIM('Base Oficial'!B149))</f>
        <v>MARIA ALEJANDRA BATRES ALVARADO</v>
      </c>
      <c r="C149" s="6" t="str">
        <f>IF($A149="","",TRIM('Base Oficial'!F149))</f>
        <v>DEPARTAMENTO DE MERCADEO</v>
      </c>
      <c r="D149" s="6" t="str">
        <f>IF($A149="","",TRIM('Base Oficial'!G149))</f>
        <v>Gerencia de Negocios</v>
      </c>
      <c r="E149" s="6" t="str">
        <f>IF($A149="","",TRIM('Base Oficial'!D149))</f>
        <v>DISEÑADOR GRAFICO</v>
      </c>
      <c r="F149" s="4" t="str">
        <f>IF($A149="","",IF(COUNTIF('Base Exámenes'!$C$5:$C$1000, A149)&gt;0, "Completado", IF(M149&lt;&gt;"", M149, "Pendiente")))</f>
        <v>Completado</v>
      </c>
      <c r="G149" s="11">
        <f>IF(F149="Completado", IFERROR(IF(INDEX('Base Exámenes'!$D$5:$D$1000, MATCH(A149&amp;"|"&amp;J149, 'Base Exámenes'!$I$5:$I$1000, 0))="", "", INDEX('Base Exámenes'!$D$5:$D$1000, MATCH(A149&amp;"|"&amp;J149, 'Base Exámenes'!$I$5:$I$1000, 0))), ""), "")</f>
        <v>46311.42444444444</v>
      </c>
      <c r="H149" s="11">
        <f>IF(F149="Completado", IFERROR(IF(INDEX('Base Exámenes'!$E$5:$E$1000, MATCH(A149&amp;"|"&amp;J149, 'Base Exámenes'!$I$5:$I$1000, 0))="", "", INDEX('Base Exámenes'!$E$5:$E$1000, MATCH(A149&amp;"|"&amp;J149, 'Base Exámenes'!$I$5:$I$1000, 0))), ""), "")</f>
        <v>46311.42974537037</v>
      </c>
      <c r="I149" s="10">
        <f>IF(F149="Completado", IFERROR(IF(INDEX('Base Exámenes'!$F$5:$F$1000, MATCH(A149&amp;"|"&amp;J149, 'Base Exámenes'!$I$5:$I$1000, 0))="", "", INDEX('Base Exámenes'!$F$5:$F$1000, MATCH(A149&amp;"|"&amp;J149, 'Base Exámenes'!$I$5:$I$1000, 0))), ""), "")</f>
        <v>7.63333333333334</v>
      </c>
      <c r="J149" s="6">
        <f>IF(F149="Completado", IF(COUNTIFS('Base Exámenes'!$C$5:$C$1000, A149, 'Base Exámenes'!$G$5:$G$1000, "&lt;&gt;")=0, "", _xlfn.MAXIFS('Base Exámenes'!$G$5:$G$1000, 'Base Exámenes'!$C$5:$C$1000, A149)), "")</f>
        <v>100</v>
      </c>
      <c r="K149" s="6" t="str">
        <f>IF(F149="Completado", IFERROR(IF(INDEX('Base Exámenes'!$H$5:$H$1000, MATCH(A149&amp;"|"&amp;J149, 'Base Exámenes'!$I$5:$I$1000, 0))="", "", INDEX('Base Exámenes'!$H$5:$H$1000, MATCH(A149&amp;"|"&amp;J149, 'Base Exámenes'!$I$5:$I$1000, 0))), ""), "")</f>
        <v>anonymous</v>
      </c>
      <c r="L149" s="22">
        <f>IF($A149="","",COUNTIF('Base Exámenes'!$C$5:$C$1000, A149))</f>
        <v>1</v>
      </c>
      <c r="M149" s="6" t="str">
        <f>IF($A149="","",IF(COUNTIF('Base Exámenes'!$C$5:$C$1000, A149)&gt;0, "", TRIM('Base Oficial'!H149)))</f>
        <v/>
      </c>
    </row>
    <row r="150">
      <c r="A150" s="4" t="str">
        <f>IF('Base Oficial'!A150="","",TRIM('Base Oficial'!A150))</f>
        <v>897</v>
      </c>
      <c r="B150" s="6" t="str">
        <f>IF($A150="","",TRIM('Base Oficial'!B150))</f>
        <v>GERARDO ALEXANDER MARTINEZ RIVERA</v>
      </c>
      <c r="C150" s="6" t="str">
        <f>IF($A150="","",TRIM('Base Oficial'!F150))</f>
        <v>DEPARTAMENTO DE MERCADEO</v>
      </c>
      <c r="D150" s="6" t="str">
        <f>IF($A150="","",TRIM('Base Oficial'!G150))</f>
        <v>Gerencia de Negocios</v>
      </c>
      <c r="E150" s="6" t="str">
        <f>IF($A150="","",TRIM('Base Oficial'!D150))</f>
        <v>ANALISTA DE COMUNICACIONES</v>
      </c>
      <c r="F150" s="4" t="str">
        <f>IF($A150="","",IF(COUNTIF('Base Exámenes'!$C$5:$C$1000, A150)&gt;0, "Completado", IF(M150&lt;&gt;"", M150, "Pendiente")))</f>
        <v>Completado</v>
      </c>
      <c r="G150" s="11">
        <f>IF(F150="Completado", IFERROR(IF(INDEX('Base Exámenes'!$D$5:$D$1000, MATCH(A150&amp;"|"&amp;J150, 'Base Exámenes'!$I$5:$I$1000, 0))="", "", INDEX('Base Exámenes'!$D$5:$D$1000, MATCH(A150&amp;"|"&amp;J150, 'Base Exámenes'!$I$5:$I$1000, 0))), ""), "")</f>
        <v>46311.40699074074</v>
      </c>
      <c r="H150" s="11">
        <f>IF(F150="Completado", IFERROR(IF(INDEX('Base Exámenes'!$E$5:$E$1000, MATCH(A150&amp;"|"&amp;J150, 'Base Exámenes'!$I$5:$I$1000, 0))="", "", INDEX('Base Exámenes'!$E$5:$E$1000, MATCH(A150&amp;"|"&amp;J150, 'Base Exámenes'!$I$5:$I$1000, 0))), ""), "")</f>
        <v>46311.45481481482</v>
      </c>
      <c r="I150" s="10">
        <f>IF(F150="Completado", IFERROR(IF(INDEX('Base Exámenes'!$F$5:$F$1000, MATCH(A150&amp;"|"&amp;J150, 'Base Exámenes'!$I$5:$I$1000, 0))="", "", INDEX('Base Exámenes'!$F$5:$F$1000, MATCH(A150&amp;"|"&amp;J150, 'Base Exámenes'!$I$5:$I$1000, 0))), ""), "")</f>
        <v>68.8666666666667</v>
      </c>
      <c r="J150" s="6">
        <f>IF(F150="Completado", IF(COUNTIFS('Base Exámenes'!$C$5:$C$1000, A150, 'Base Exámenes'!$G$5:$G$1000, "&lt;&gt;")=0, "", _xlfn.MAXIFS('Base Exámenes'!$G$5:$G$1000, 'Base Exámenes'!$C$5:$C$1000, A150)), "")</f>
        <v>100</v>
      </c>
      <c r="K150" s="6" t="str">
        <f>IF(F150="Completado", IFERROR(IF(INDEX('Base Exámenes'!$H$5:$H$1000, MATCH(A150&amp;"|"&amp;J150, 'Base Exámenes'!$I$5:$I$1000, 0))="", "", INDEX('Base Exámenes'!$H$5:$H$1000, MATCH(A150&amp;"|"&amp;J150, 'Base Exámenes'!$I$5:$I$1000, 0))), ""), "")</f>
        <v>anonymous</v>
      </c>
      <c r="L150" s="22">
        <f>IF($A150="","",COUNTIF('Base Exámenes'!$C$5:$C$1000, A150))</f>
        <v>1</v>
      </c>
      <c r="M150" s="6" t="str">
        <f>IF($A150="","",IF(COUNTIF('Base Exámenes'!$C$5:$C$1000, A150)&gt;0, "", TRIM('Base Oficial'!H150)))</f>
        <v/>
      </c>
    </row>
    <row r="151">
      <c r="A151" s="4" t="str">
        <f>IF('Base Oficial'!A151="","",TRIM('Base Oficial'!A151))</f>
        <v>982</v>
      </c>
      <c r="B151" s="6" t="str">
        <f>IF($A151="","",TRIM('Base Oficial'!B151))</f>
        <v>ALEJANDRA ABIGAIL RAMIREZ ROMERO</v>
      </c>
      <c r="C151" s="6" t="str">
        <f>IF($A151="","",TRIM('Base Oficial'!F151))</f>
        <v>DEPARTAMENTO DE MERCADEO</v>
      </c>
      <c r="D151" s="6" t="str">
        <f>IF($A151="","",TRIM('Base Oficial'!G151))</f>
        <v>Gerencia de Negocios</v>
      </c>
      <c r="E151" s="6" t="str">
        <f>IF($A151="","",TRIM('Base Oficial'!D151))</f>
        <v>DISEÑADOR GRAFICO</v>
      </c>
      <c r="F151" s="4" t="str">
        <f>IF($A151="","",IF(COUNTIF('Base Exámenes'!$C$5:$C$1000, A151)&gt;0, "Completado", IF(M151&lt;&gt;"", M151, "Pendiente")))</f>
        <v>Completado</v>
      </c>
      <c r="G151" s="11">
        <f>IF(F151="Completado", IFERROR(IF(INDEX('Base Exámenes'!$D$5:$D$1000, MATCH(A151&amp;"|"&amp;J151, 'Base Exámenes'!$I$5:$I$1000, 0))="", "", INDEX('Base Exámenes'!$D$5:$D$1000, MATCH(A151&amp;"|"&amp;J151, 'Base Exámenes'!$I$5:$I$1000, 0))), ""), "")</f>
        <v>46301.61615740741</v>
      </c>
      <c r="H151" s="11">
        <f>IF(F151="Completado", IFERROR(IF(INDEX('Base Exámenes'!$E$5:$E$1000, MATCH(A151&amp;"|"&amp;J151, 'Base Exámenes'!$I$5:$I$1000, 0))="", "", INDEX('Base Exámenes'!$E$5:$E$1000, MATCH(A151&amp;"|"&amp;J151, 'Base Exámenes'!$I$5:$I$1000, 0))), ""), "")</f>
        <v>46301.64126157408</v>
      </c>
      <c r="I151" s="10">
        <f>IF(F151="Completado", IFERROR(IF(INDEX('Base Exámenes'!$F$5:$F$1000, MATCH(A151&amp;"|"&amp;J151, 'Base Exámenes'!$I$5:$I$1000, 0))="", "", INDEX('Base Exámenes'!$F$5:$F$1000, MATCH(A151&amp;"|"&amp;J151, 'Base Exámenes'!$I$5:$I$1000, 0))), ""), "")</f>
        <v>36.15</v>
      </c>
      <c r="J151" s="6">
        <f>IF(F151="Completado", IF(COUNTIFS('Base Exámenes'!$C$5:$C$1000, A151, 'Base Exámenes'!$G$5:$G$1000, "&lt;&gt;")=0, "", _xlfn.MAXIFS('Base Exámenes'!$G$5:$G$1000, 'Base Exámenes'!$C$5:$C$1000, A151)), "")</f>
        <v>100</v>
      </c>
      <c r="K151" s="6" t="str">
        <f>IF(F151="Completado", IFERROR(IF(INDEX('Base Exámenes'!$H$5:$H$1000, MATCH(A151&amp;"|"&amp;J151, 'Base Exámenes'!$I$5:$I$1000, 0))="", "", INDEX('Base Exámenes'!$H$5:$H$1000, MATCH(A151&amp;"|"&amp;J151, 'Base Exámenes'!$I$5:$I$1000, 0))), ""), "")</f>
        <v>anonymous</v>
      </c>
      <c r="L151" s="22">
        <f>IF($A151="","",COUNTIF('Base Exámenes'!$C$5:$C$1000, A151))</f>
        <v>1</v>
      </c>
      <c r="M151" s="6" t="str">
        <f>IF($A151="","",IF(COUNTIF('Base Exámenes'!$C$5:$C$1000, A151)&gt;0, "", TRIM('Base Oficial'!H151)))</f>
        <v/>
      </c>
    </row>
    <row r="152">
      <c r="A152" s="4" t="str">
        <f>IF('Base Oficial'!A152="","",TRIM('Base Oficial'!A152))</f>
        <v>207</v>
      </c>
      <c r="B152" s="6" t="str">
        <f>IF($A152="","",TRIM('Base Oficial'!B152))</f>
        <v>ANA ESTER ERAZO ORTIZ</v>
      </c>
      <c r="C152" s="6" t="str">
        <f>IF($A152="","",TRIM('Base Oficial'!F152))</f>
        <v>DEPARTAMENTO DE CREDITOS</v>
      </c>
      <c r="D152" s="6" t="str">
        <f>IF($A152="","",TRIM('Base Oficial'!G152))</f>
        <v>Gerencia de Negocios</v>
      </c>
      <c r="E152" s="6" t="str">
        <f>IF($A152="","",TRIM('Base Oficial'!D152))</f>
        <v>ANALISTA DE CREDITOS</v>
      </c>
      <c r="F152" s="4" t="str">
        <f>IF($A152="","",IF(COUNTIF('Base Exámenes'!$C$5:$C$1000, A152)&gt;0, "Completado", IF(M152&lt;&gt;"", M152, "Pendiente")))</f>
        <v>Completado</v>
      </c>
      <c r="G152" s="11">
        <f>IF(F152="Completado", IFERROR(IF(INDEX('Base Exámenes'!$D$5:$D$1000, MATCH(A152&amp;"|"&amp;J152, 'Base Exámenes'!$I$5:$I$1000, 0))="", "", INDEX('Base Exámenes'!$D$5:$D$1000, MATCH(A152&amp;"|"&amp;J152, 'Base Exámenes'!$I$5:$I$1000, 0))), ""), "")</f>
        <v>46309.3940162037</v>
      </c>
      <c r="H152" s="11">
        <f>IF(F152="Completado", IFERROR(IF(INDEX('Base Exámenes'!$E$5:$E$1000, MATCH(A152&amp;"|"&amp;J152, 'Base Exámenes'!$I$5:$I$1000, 0))="", "", INDEX('Base Exámenes'!$E$5:$E$1000, MATCH(A152&amp;"|"&amp;J152, 'Base Exámenes'!$I$5:$I$1000, 0))), ""), "")</f>
        <v>46309.40052083333</v>
      </c>
      <c r="I152" s="10">
        <f>IF(F152="Completado", IFERROR(IF(INDEX('Base Exámenes'!$F$5:$F$1000, MATCH(A152&amp;"|"&amp;J152, 'Base Exámenes'!$I$5:$I$1000, 0))="", "", INDEX('Base Exámenes'!$F$5:$F$1000, MATCH(A152&amp;"|"&amp;J152, 'Base Exámenes'!$I$5:$I$1000, 0))), ""), "")</f>
        <v>9.36666666666667</v>
      </c>
      <c r="J152" s="6">
        <f>IF(F152="Completado", IF(COUNTIFS('Base Exámenes'!$C$5:$C$1000, A152, 'Base Exámenes'!$G$5:$G$1000, "&lt;&gt;")=0, "", _xlfn.MAXIFS('Base Exámenes'!$G$5:$G$1000, 'Base Exámenes'!$C$5:$C$1000, A152)), "")</f>
        <v>100</v>
      </c>
      <c r="K152" s="6" t="str">
        <f>IF(F152="Completado", IFERROR(IF(INDEX('Base Exámenes'!$H$5:$H$1000, MATCH(A152&amp;"|"&amp;J152, 'Base Exámenes'!$I$5:$I$1000, 0))="", "", INDEX('Base Exámenes'!$H$5:$H$1000, MATCH(A152&amp;"|"&amp;J152, 'Base Exámenes'!$I$5:$I$1000, 0))), ""), "")</f>
        <v>anonymous</v>
      </c>
      <c r="L152" s="22">
        <f>IF($A152="","",COUNTIF('Base Exámenes'!$C$5:$C$1000, A152))</f>
        <v>1</v>
      </c>
      <c r="M152" s="6" t="str">
        <f>IF($A152="","",IF(COUNTIF('Base Exámenes'!$C$5:$C$1000, A152)&gt;0, "", TRIM('Base Oficial'!H152)))</f>
        <v/>
      </c>
    </row>
    <row r="153">
      <c r="A153" s="4" t="str">
        <f>IF('Base Oficial'!A153="","",TRIM('Base Oficial'!A153))</f>
        <v>345</v>
      </c>
      <c r="B153" s="6" t="str">
        <f>IF($A153="","",TRIM('Base Oficial'!B153))</f>
        <v>ANA EVELYN ROQUE GALEANO</v>
      </c>
      <c r="C153" s="6" t="str">
        <f>IF($A153="","",TRIM('Base Oficial'!F153))</f>
        <v>DEPARTAMENTO DE CREDITOS</v>
      </c>
      <c r="D153" s="6" t="str">
        <f>IF($A153="","",TRIM('Base Oficial'!G153))</f>
        <v>Gerencia de Negocios</v>
      </c>
      <c r="E153" s="6" t="str">
        <f>IF($A153="","",TRIM('Base Oficial'!D153))</f>
        <v>AUXILIAR DE CREDITOS</v>
      </c>
      <c r="F153" s="4" t="str">
        <f>IF($A153="","",IF(COUNTIF('Base Exámenes'!$C$5:$C$1000, A153)&gt;0, "Completado", IF(M153&lt;&gt;"", M153, "Pendiente")))</f>
        <v>Completado</v>
      </c>
      <c r="G153" s="11">
        <f>IF(F153="Completado", IFERROR(IF(INDEX('Base Exámenes'!$D$5:$D$1000, MATCH(A153&amp;"|"&amp;J153, 'Base Exámenes'!$I$5:$I$1000, 0))="", "", INDEX('Base Exámenes'!$D$5:$D$1000, MATCH(A153&amp;"|"&amp;J153, 'Base Exámenes'!$I$5:$I$1000, 0))), ""), "")</f>
        <v>46297.64716435185</v>
      </c>
      <c r="H153" s="11">
        <f>IF(F153="Completado", IFERROR(IF(INDEX('Base Exámenes'!$E$5:$E$1000, MATCH(A153&amp;"|"&amp;J153, 'Base Exámenes'!$I$5:$I$1000, 0))="", "", INDEX('Base Exámenes'!$E$5:$E$1000, MATCH(A153&amp;"|"&amp;J153, 'Base Exámenes'!$I$5:$I$1000, 0))), ""), "")</f>
        <v>46297.65186342593</v>
      </c>
      <c r="I153" s="10">
        <f>IF(F153="Completado", IFERROR(IF(INDEX('Base Exámenes'!$F$5:$F$1000, MATCH(A153&amp;"|"&amp;J153, 'Base Exámenes'!$I$5:$I$1000, 0))="", "", INDEX('Base Exámenes'!$F$5:$F$1000, MATCH(A153&amp;"|"&amp;J153, 'Base Exámenes'!$I$5:$I$1000, 0))), ""), "")</f>
        <v>6.76666666666667</v>
      </c>
      <c r="J153" s="6">
        <f>IF(F153="Completado", IF(COUNTIFS('Base Exámenes'!$C$5:$C$1000, A153, 'Base Exámenes'!$G$5:$G$1000, "&lt;&gt;")=0, "", _xlfn.MAXIFS('Base Exámenes'!$G$5:$G$1000, 'Base Exámenes'!$C$5:$C$1000, A153)), "")</f>
        <v>90</v>
      </c>
      <c r="K153" s="6" t="str">
        <f>IF(F153="Completado", IFERROR(IF(INDEX('Base Exámenes'!$H$5:$H$1000, MATCH(A153&amp;"|"&amp;J153, 'Base Exámenes'!$I$5:$I$1000, 0))="", "", INDEX('Base Exámenes'!$H$5:$H$1000, MATCH(A153&amp;"|"&amp;J153, 'Base Exámenes'!$I$5:$I$1000, 0))), ""), "")</f>
        <v>anonymous</v>
      </c>
      <c r="L153" s="22">
        <f>IF($A153="","",COUNTIF('Base Exámenes'!$C$5:$C$1000, A153))</f>
        <v>1</v>
      </c>
      <c r="M153" s="6" t="str">
        <f>IF($A153="","",IF(COUNTIF('Base Exámenes'!$C$5:$C$1000, A153)&gt;0, "", TRIM('Base Oficial'!H153)))</f>
        <v/>
      </c>
    </row>
    <row r="154">
      <c r="A154" s="4" t="str">
        <f>IF('Base Oficial'!A154="","",TRIM('Base Oficial'!A154))</f>
        <v>377</v>
      </c>
      <c r="B154" s="6" t="str">
        <f>IF($A154="","",TRIM('Base Oficial'!B154))</f>
        <v>MABEL GERALDINE RAMIREZ PORTILLO</v>
      </c>
      <c r="C154" s="6" t="str">
        <f>IF($A154="","",TRIM('Base Oficial'!F154))</f>
        <v>DEPARTAMENTO DE CREDITOS</v>
      </c>
      <c r="D154" s="6" t="str">
        <f>IF($A154="","",TRIM('Base Oficial'!G154))</f>
        <v>Gerencia de Negocios</v>
      </c>
      <c r="E154" s="6" t="str">
        <f>IF($A154="","",TRIM('Base Oficial'!D154))</f>
        <v>SUPERVISOR DE ANALISTAS DE CREDITOS</v>
      </c>
      <c r="F154" s="4" t="str">
        <f>IF($A154="","",IF(COUNTIF('Base Exámenes'!$C$5:$C$1000, A154)&gt;0, "Completado", IF(M154&lt;&gt;"", M154, "Pendiente")))</f>
        <v>Completado</v>
      </c>
      <c r="G154" s="11">
        <f>IF(F154="Completado", IFERROR(IF(INDEX('Base Exámenes'!$D$5:$D$1000, MATCH(A154&amp;"|"&amp;J154, 'Base Exámenes'!$I$5:$I$1000, 0))="", "", INDEX('Base Exámenes'!$D$5:$D$1000, MATCH(A154&amp;"|"&amp;J154, 'Base Exámenes'!$I$5:$I$1000, 0))), ""), "")</f>
        <v>46308.564571759256</v>
      </c>
      <c r="H154" s="11">
        <f>IF(F154="Completado", IFERROR(IF(INDEX('Base Exámenes'!$E$5:$E$1000, MATCH(A154&amp;"|"&amp;J154, 'Base Exámenes'!$I$5:$I$1000, 0))="", "", INDEX('Base Exámenes'!$E$5:$E$1000, MATCH(A154&amp;"|"&amp;J154, 'Base Exámenes'!$I$5:$I$1000, 0))), ""), "")</f>
        <v>46308.57119212963</v>
      </c>
      <c r="I154" s="10">
        <f>IF(F154="Completado", IFERROR(IF(INDEX('Base Exámenes'!$F$5:$F$1000, MATCH(A154&amp;"|"&amp;J154, 'Base Exámenes'!$I$5:$I$1000, 0))="", "", INDEX('Base Exámenes'!$F$5:$F$1000, MATCH(A154&amp;"|"&amp;J154, 'Base Exámenes'!$I$5:$I$1000, 0))), ""), "")</f>
        <v>9.53333333333333</v>
      </c>
      <c r="J154" s="6">
        <f>IF(F154="Completado", IF(COUNTIFS('Base Exámenes'!$C$5:$C$1000, A154, 'Base Exámenes'!$G$5:$G$1000, "&lt;&gt;")=0, "", _xlfn.MAXIFS('Base Exámenes'!$G$5:$G$1000, 'Base Exámenes'!$C$5:$C$1000, A154)), "")</f>
        <v>100</v>
      </c>
      <c r="K154" s="6" t="str">
        <f>IF(F154="Completado", IFERROR(IF(INDEX('Base Exámenes'!$H$5:$H$1000, MATCH(A154&amp;"|"&amp;J154, 'Base Exámenes'!$I$5:$I$1000, 0))="", "", INDEX('Base Exámenes'!$H$5:$H$1000, MATCH(A154&amp;"|"&amp;J154, 'Base Exámenes'!$I$5:$I$1000, 0))), ""), "")</f>
        <v>anonymous</v>
      </c>
      <c r="L154" s="22">
        <f>IF($A154="","",COUNTIF('Base Exámenes'!$C$5:$C$1000, A154))</f>
        <v>1</v>
      </c>
      <c r="M154" s="6" t="str">
        <f>IF($A154="","",IF(COUNTIF('Base Exámenes'!$C$5:$C$1000, A154)&gt;0, "", TRIM('Base Oficial'!H154)))</f>
        <v/>
      </c>
    </row>
    <row r="155">
      <c r="A155" s="4" t="str">
        <f>IF('Base Oficial'!A155="","",TRIM('Base Oficial'!A155))</f>
        <v>470</v>
      </c>
      <c r="B155" s="6" t="str">
        <f>IF($A155="","",TRIM('Base Oficial'!B155))</f>
        <v>ROSALBA RODRIGUEZ JIMENEZ</v>
      </c>
      <c r="C155" s="6" t="str">
        <f>IF($A155="","",TRIM('Base Oficial'!F155))</f>
        <v>DEPARTAMENTO DE CREDITOS</v>
      </c>
      <c r="D155" s="6" t="str">
        <f>IF($A155="","",TRIM('Base Oficial'!G155))</f>
        <v>Gerencia de Negocios</v>
      </c>
      <c r="E155" s="6" t="str">
        <f>IF($A155="","",TRIM('Base Oficial'!D155))</f>
        <v>ANALISTA DE CREDITOS</v>
      </c>
      <c r="F155" s="4" t="str">
        <f>IF($A155="","",IF(COUNTIF('Base Exámenes'!$C$5:$C$1000, A155)&gt;0, "Completado", IF(M155&lt;&gt;"", M155, "Pendiente")))</f>
        <v>Completado</v>
      </c>
      <c r="G155" s="11">
        <f>IF(F155="Completado", IFERROR(IF(INDEX('Base Exámenes'!$D$5:$D$1000, MATCH(A155&amp;"|"&amp;J155, 'Base Exámenes'!$I$5:$I$1000, 0))="", "", INDEX('Base Exámenes'!$D$5:$D$1000, MATCH(A155&amp;"|"&amp;J155, 'Base Exámenes'!$I$5:$I$1000, 0))), ""), "")</f>
        <v>46304.40576388889</v>
      </c>
      <c r="H155" s="11">
        <f>IF(F155="Completado", IFERROR(IF(INDEX('Base Exámenes'!$E$5:$E$1000, MATCH(A155&amp;"|"&amp;J155, 'Base Exámenes'!$I$5:$I$1000, 0))="", "", INDEX('Base Exámenes'!$E$5:$E$1000, MATCH(A155&amp;"|"&amp;J155, 'Base Exámenes'!$I$5:$I$1000, 0))), ""), "")</f>
        <v>46304.409317129626</v>
      </c>
      <c r="I155" s="10">
        <f>IF(F155="Completado", IFERROR(IF(INDEX('Base Exámenes'!$F$5:$F$1000, MATCH(A155&amp;"|"&amp;J155, 'Base Exámenes'!$I$5:$I$1000, 0))="", "", INDEX('Base Exámenes'!$F$5:$F$1000, MATCH(A155&amp;"|"&amp;J155, 'Base Exámenes'!$I$5:$I$1000, 0))), ""), "")</f>
        <v>5.11666666666667</v>
      </c>
      <c r="J155" s="6">
        <f>IF(F155="Completado", IF(COUNTIFS('Base Exámenes'!$C$5:$C$1000, A155, 'Base Exámenes'!$G$5:$G$1000, "&lt;&gt;")=0, "", _xlfn.MAXIFS('Base Exámenes'!$G$5:$G$1000, 'Base Exámenes'!$C$5:$C$1000, A155)), "")</f>
        <v>100</v>
      </c>
      <c r="K155" s="6" t="str">
        <f>IF(F155="Completado", IFERROR(IF(INDEX('Base Exámenes'!$H$5:$H$1000, MATCH(A155&amp;"|"&amp;J155, 'Base Exámenes'!$I$5:$I$1000, 0))="", "", INDEX('Base Exámenes'!$H$5:$H$1000, MATCH(A155&amp;"|"&amp;J155, 'Base Exámenes'!$I$5:$I$1000, 0))), ""), "")</f>
        <v>anonymous</v>
      </c>
      <c r="L155" s="22">
        <f>IF($A155="","",COUNTIF('Base Exámenes'!$C$5:$C$1000, A155))</f>
        <v>1</v>
      </c>
      <c r="M155" s="6" t="str">
        <f>IF($A155="","",IF(COUNTIF('Base Exámenes'!$C$5:$C$1000, A155)&gt;0, "", TRIM('Base Oficial'!H155)))</f>
        <v/>
      </c>
    </row>
    <row r="156">
      <c r="A156" s="4" t="str">
        <f>IF('Base Oficial'!A156="","",TRIM('Base Oficial'!A156))</f>
        <v>492</v>
      </c>
      <c r="B156" s="6" t="str">
        <f>IF($A156="","",TRIM('Base Oficial'!B156))</f>
        <v>CINDIA IVETTE ZEPEDA VASQUEZ</v>
      </c>
      <c r="C156" s="6" t="str">
        <f>IF($A156="","",TRIM('Base Oficial'!F156))</f>
        <v>DEPARTAMENTO DE CREDITOS</v>
      </c>
      <c r="D156" s="6" t="str">
        <f>IF($A156="","",TRIM('Base Oficial'!G156))</f>
        <v>Gerencia de Negocios</v>
      </c>
      <c r="E156" s="6" t="str">
        <f>IF($A156="","",TRIM('Base Oficial'!D156))</f>
        <v>AUXILIAR DE CREDITOS</v>
      </c>
      <c r="F156" s="4" t="str">
        <f>IF($A156="","",IF(COUNTIF('Base Exámenes'!$C$5:$C$1000, A156)&gt;0, "Completado", IF(M156&lt;&gt;"", M156, "Pendiente")))</f>
        <v>Completado</v>
      </c>
      <c r="G156" s="11">
        <f>IF(F156="Completado", IFERROR(IF(INDEX('Base Exámenes'!$D$5:$D$1000, MATCH(A156&amp;"|"&amp;J156, 'Base Exámenes'!$I$5:$I$1000, 0))="", "", INDEX('Base Exámenes'!$D$5:$D$1000, MATCH(A156&amp;"|"&amp;J156, 'Base Exámenes'!$I$5:$I$1000, 0))), ""), "")</f>
        <v>46297.65282407407</v>
      </c>
      <c r="H156" s="11">
        <f>IF(F156="Completado", IFERROR(IF(INDEX('Base Exámenes'!$E$5:$E$1000, MATCH(A156&amp;"|"&amp;J156, 'Base Exámenes'!$I$5:$I$1000, 0))="", "", INDEX('Base Exámenes'!$E$5:$E$1000, MATCH(A156&amp;"|"&amp;J156, 'Base Exámenes'!$I$5:$I$1000, 0))), ""), "")</f>
        <v>46297.66012731481</v>
      </c>
      <c r="I156" s="10">
        <f>IF(F156="Completado", IFERROR(IF(INDEX('Base Exámenes'!$F$5:$F$1000, MATCH(A156&amp;"|"&amp;J156, 'Base Exámenes'!$I$5:$I$1000, 0))="", "", INDEX('Base Exámenes'!$F$5:$F$1000, MATCH(A156&amp;"|"&amp;J156, 'Base Exámenes'!$I$5:$I$1000, 0))), ""), "")</f>
        <v>10.5166666666667</v>
      </c>
      <c r="J156" s="6">
        <f>IF(F156="Completado", IF(COUNTIFS('Base Exámenes'!$C$5:$C$1000, A156, 'Base Exámenes'!$G$5:$G$1000, "&lt;&gt;")=0, "", _xlfn.MAXIFS('Base Exámenes'!$G$5:$G$1000, 'Base Exámenes'!$C$5:$C$1000, A156)), "")</f>
        <v>100</v>
      </c>
      <c r="K156" s="6" t="str">
        <f>IF(F156="Completado", IFERROR(IF(INDEX('Base Exámenes'!$H$5:$H$1000, MATCH(A156&amp;"|"&amp;J156, 'Base Exámenes'!$I$5:$I$1000, 0))="", "", INDEX('Base Exámenes'!$H$5:$H$1000, MATCH(A156&amp;"|"&amp;J156, 'Base Exámenes'!$I$5:$I$1000, 0))), ""), "")</f>
        <v>anonymous</v>
      </c>
      <c r="L156" s="22">
        <f>IF($A156="","",COUNTIF('Base Exámenes'!$C$5:$C$1000, A156))</f>
        <v>1</v>
      </c>
      <c r="M156" s="6" t="str">
        <f>IF($A156="","",IF(COUNTIF('Base Exámenes'!$C$5:$C$1000, A156)&gt;0, "", TRIM('Base Oficial'!H156)))</f>
        <v/>
      </c>
    </row>
    <row r="157">
      <c r="A157" s="4" t="str">
        <f>IF('Base Oficial'!A157="","",TRIM('Base Oficial'!A157))</f>
        <v>719</v>
      </c>
      <c r="B157" s="6" t="str">
        <f>IF($A157="","",TRIM('Base Oficial'!B157))</f>
        <v>INGRID ALEJANDRINA LISSETH GUZMAN SANCHEZ</v>
      </c>
      <c r="C157" s="6" t="str">
        <f>IF($A157="","",TRIM('Base Oficial'!F157))</f>
        <v>DEPARTAMENTO DE CREDITOS</v>
      </c>
      <c r="D157" s="6" t="str">
        <f>IF($A157="","",TRIM('Base Oficial'!G157))</f>
        <v>Gerencia de Negocios</v>
      </c>
      <c r="E157" s="6" t="str">
        <f>IF($A157="","",TRIM('Base Oficial'!D157))</f>
        <v>AUXILIAR DE CREDITOS</v>
      </c>
      <c r="F157" s="4" t="str">
        <f>IF($A157="","",IF(COUNTIF('Base Exámenes'!$C$5:$C$1000, A157)&gt;0, "Completado", IF(M157&lt;&gt;"", M157, "Pendiente")))</f>
        <v>Completado</v>
      </c>
      <c r="G157" s="11">
        <f>IF(F157="Completado", IFERROR(IF(INDEX('Base Exámenes'!$D$5:$D$1000, MATCH(A157&amp;"|"&amp;J157, 'Base Exámenes'!$I$5:$I$1000, 0))="", "", INDEX('Base Exámenes'!$D$5:$D$1000, MATCH(A157&amp;"|"&amp;J157, 'Base Exámenes'!$I$5:$I$1000, 0))), ""), "")</f>
        <v>46298.409837962965</v>
      </c>
      <c r="H157" s="11">
        <f>IF(F157="Completado", IFERROR(IF(INDEX('Base Exámenes'!$E$5:$E$1000, MATCH(A157&amp;"|"&amp;J157, 'Base Exámenes'!$I$5:$I$1000, 0))="", "", INDEX('Base Exámenes'!$E$5:$E$1000, MATCH(A157&amp;"|"&amp;J157, 'Base Exámenes'!$I$5:$I$1000, 0))), ""), "")</f>
        <v>46298.41878472222</v>
      </c>
      <c r="I157" s="10">
        <f>IF(F157="Completado", IFERROR(IF(INDEX('Base Exámenes'!$F$5:$F$1000, MATCH(A157&amp;"|"&amp;J157, 'Base Exámenes'!$I$5:$I$1000, 0))="", "", INDEX('Base Exámenes'!$F$5:$F$1000, MATCH(A157&amp;"|"&amp;J157, 'Base Exámenes'!$I$5:$I$1000, 0))), ""), "")</f>
        <v>12.8833333333333</v>
      </c>
      <c r="J157" s="6">
        <f>IF(F157="Completado", IF(COUNTIFS('Base Exámenes'!$C$5:$C$1000, A157, 'Base Exámenes'!$G$5:$G$1000, "&lt;&gt;")=0, "", _xlfn.MAXIFS('Base Exámenes'!$G$5:$G$1000, 'Base Exámenes'!$C$5:$C$1000, A157)), "")</f>
        <v>100</v>
      </c>
      <c r="K157" s="6" t="str">
        <f>IF(F157="Completado", IFERROR(IF(INDEX('Base Exámenes'!$H$5:$H$1000, MATCH(A157&amp;"|"&amp;J157, 'Base Exámenes'!$I$5:$I$1000, 0))="", "", INDEX('Base Exámenes'!$H$5:$H$1000, MATCH(A157&amp;"|"&amp;J157, 'Base Exámenes'!$I$5:$I$1000, 0))), ""), "")</f>
        <v>anonymous</v>
      </c>
      <c r="L157" s="22">
        <f>IF($A157="","",COUNTIF('Base Exámenes'!$C$5:$C$1000, A157))</f>
        <v>1</v>
      </c>
      <c r="M157" s="6" t="str">
        <f>IF($A157="","",IF(COUNTIF('Base Exámenes'!$C$5:$C$1000, A157)&gt;0, "", TRIM('Base Oficial'!H157)))</f>
        <v/>
      </c>
    </row>
    <row r="158">
      <c r="A158" s="4" t="str">
        <f>IF('Base Oficial'!A158="","",TRIM('Base Oficial'!A158))</f>
        <v>730</v>
      </c>
      <c r="B158" s="6" t="str">
        <f>IF($A158="","",TRIM('Base Oficial'!B158))</f>
        <v>YANETH HERNANDEZ YANES</v>
      </c>
      <c r="C158" s="6" t="str">
        <f>IF($A158="","",TRIM('Base Oficial'!F158))</f>
        <v>DEPARTAMENTO DE CREDITOS</v>
      </c>
      <c r="D158" s="6" t="str">
        <f>IF($A158="","",TRIM('Base Oficial'!G158))</f>
        <v>Gerencia de Negocios</v>
      </c>
      <c r="E158" s="6" t="str">
        <f>IF($A158="","",TRIM('Base Oficial'!D158))</f>
        <v>JEFE DE CREDITOS</v>
      </c>
      <c r="F158" s="4" t="str">
        <f>IF($A158="","",IF(COUNTIF('Base Exámenes'!$C$5:$C$1000, A158)&gt;0, "Completado", IF(M158&lt;&gt;"", M158, "Pendiente")))</f>
        <v>Completado</v>
      </c>
      <c r="G158" s="11">
        <f>IF(F158="Completado", IFERROR(IF(INDEX('Base Exámenes'!$D$5:$D$1000, MATCH(A158&amp;"|"&amp;J158, 'Base Exámenes'!$I$5:$I$1000, 0))="", "", INDEX('Base Exámenes'!$D$5:$D$1000, MATCH(A158&amp;"|"&amp;J158, 'Base Exámenes'!$I$5:$I$1000, 0))), ""), "")</f>
        <v>46305.56402777778</v>
      </c>
      <c r="H158" s="11">
        <f>IF(F158="Completado", IFERROR(IF(INDEX('Base Exámenes'!$E$5:$E$1000, MATCH(A158&amp;"|"&amp;J158, 'Base Exámenes'!$I$5:$I$1000, 0))="", "", INDEX('Base Exámenes'!$E$5:$E$1000, MATCH(A158&amp;"|"&amp;J158, 'Base Exámenes'!$I$5:$I$1000, 0))), ""), "")</f>
        <v>46305.56736111111</v>
      </c>
      <c r="I158" s="10">
        <f>IF(F158="Completado", IFERROR(IF(INDEX('Base Exámenes'!$F$5:$F$1000, MATCH(A158&amp;"|"&amp;J158, 'Base Exámenes'!$I$5:$I$1000, 0))="", "", INDEX('Base Exámenes'!$F$5:$F$1000, MATCH(A158&amp;"|"&amp;J158, 'Base Exámenes'!$I$5:$I$1000, 0))), ""), "")</f>
        <v>4.8</v>
      </c>
      <c r="J158" s="6">
        <f>IF(F158="Completado", IF(COUNTIFS('Base Exámenes'!$C$5:$C$1000, A158, 'Base Exámenes'!$G$5:$G$1000, "&lt;&gt;")=0, "", _xlfn.MAXIFS('Base Exámenes'!$G$5:$G$1000, 'Base Exámenes'!$C$5:$C$1000, A158)), "")</f>
        <v>100</v>
      </c>
      <c r="K158" s="6" t="str">
        <f>IF(F158="Completado", IFERROR(IF(INDEX('Base Exámenes'!$H$5:$H$1000, MATCH(A158&amp;"|"&amp;J158, 'Base Exámenes'!$I$5:$I$1000, 0))="", "", INDEX('Base Exámenes'!$H$5:$H$1000, MATCH(A158&amp;"|"&amp;J158, 'Base Exámenes'!$I$5:$I$1000, 0))), ""), "")</f>
        <v>anonymous</v>
      </c>
      <c r="L158" s="22">
        <f>IF($A158="","",COUNTIF('Base Exámenes'!$C$5:$C$1000, A158))</f>
        <v>1</v>
      </c>
      <c r="M158" s="6" t="str">
        <f>IF($A158="","",IF(COUNTIF('Base Exámenes'!$C$5:$C$1000, A158)&gt;0, "", TRIM('Base Oficial'!H158)))</f>
        <v/>
      </c>
    </row>
    <row r="159">
      <c r="A159" s="4" t="str">
        <f>IF('Base Oficial'!A159="","",TRIM('Base Oficial'!A159))</f>
        <v>780</v>
      </c>
      <c r="B159" s="6" t="str">
        <f>IF($A159="","",TRIM('Base Oficial'!B159))</f>
        <v>JUAN ANTONIO DE JESUS NUNFIO</v>
      </c>
      <c r="C159" s="6" t="str">
        <f>IF($A159="","",TRIM('Base Oficial'!F159))</f>
        <v>DEPARTAMENTO DE CREDITOS</v>
      </c>
      <c r="D159" s="6" t="str">
        <f>IF($A159="","",TRIM('Base Oficial'!G159))</f>
        <v>Gerencia de Negocios</v>
      </c>
      <c r="E159" s="6" t="str">
        <f>IF($A159="","",TRIM('Base Oficial'!D159))</f>
        <v>ANALISTA DE CREDITOS</v>
      </c>
      <c r="F159" s="4" t="str">
        <f>IF($A159="","",IF(COUNTIF('Base Exámenes'!$C$5:$C$1000, A159)&gt;0, "Completado", IF(M159&lt;&gt;"", M159, "Pendiente")))</f>
        <v>Completado</v>
      </c>
      <c r="G159" s="11">
        <f>IF(F159="Completado", IFERROR(IF(INDEX('Base Exámenes'!$D$5:$D$1000, MATCH(A159&amp;"|"&amp;J159, 'Base Exámenes'!$I$5:$I$1000, 0))="", "", INDEX('Base Exámenes'!$D$5:$D$1000, MATCH(A159&amp;"|"&amp;J159, 'Base Exámenes'!$I$5:$I$1000, 0))), ""), "")</f>
        <v>46301.65331018518</v>
      </c>
      <c r="H159" s="11">
        <f>IF(F159="Completado", IFERROR(IF(INDEX('Base Exámenes'!$E$5:$E$1000, MATCH(A159&amp;"|"&amp;J159, 'Base Exámenes'!$I$5:$I$1000, 0))="", "", INDEX('Base Exámenes'!$E$5:$E$1000, MATCH(A159&amp;"|"&amp;J159, 'Base Exámenes'!$I$5:$I$1000, 0))), ""), "")</f>
        <v>46301.65928240741</v>
      </c>
      <c r="I159" s="10">
        <f>IF(F159="Completado", IFERROR(IF(INDEX('Base Exámenes'!$F$5:$F$1000, MATCH(A159&amp;"|"&amp;J159, 'Base Exámenes'!$I$5:$I$1000, 0))="", "", INDEX('Base Exámenes'!$F$5:$F$1000, MATCH(A159&amp;"|"&amp;J159, 'Base Exámenes'!$I$5:$I$1000, 0))), ""), "")</f>
        <v>8.6</v>
      </c>
      <c r="J159" s="6">
        <f>IF(F159="Completado", IF(COUNTIFS('Base Exámenes'!$C$5:$C$1000, A159, 'Base Exámenes'!$G$5:$G$1000, "&lt;&gt;")=0, "", _xlfn.MAXIFS('Base Exámenes'!$G$5:$G$1000, 'Base Exámenes'!$C$5:$C$1000, A159)), "")</f>
        <v>100</v>
      </c>
      <c r="K159" s="6" t="str">
        <f>IF(F159="Completado", IFERROR(IF(INDEX('Base Exámenes'!$H$5:$H$1000, MATCH(A159&amp;"|"&amp;J159, 'Base Exámenes'!$I$5:$I$1000, 0))="", "", INDEX('Base Exámenes'!$H$5:$H$1000, MATCH(A159&amp;"|"&amp;J159, 'Base Exámenes'!$I$5:$I$1000, 0))), ""), "")</f>
        <v>anonymous</v>
      </c>
      <c r="L159" s="22">
        <f>IF($A159="","",COUNTIF('Base Exámenes'!$C$5:$C$1000, A159))</f>
        <v>1</v>
      </c>
      <c r="M159" s="6" t="str">
        <f>IF($A159="","",IF(COUNTIF('Base Exámenes'!$C$5:$C$1000, A159)&gt;0, "", TRIM('Base Oficial'!H159)))</f>
        <v/>
      </c>
    </row>
    <row r="160">
      <c r="A160" s="4" t="str">
        <f>IF('Base Oficial'!A160="","",TRIM('Base Oficial'!A160))</f>
        <v>781</v>
      </c>
      <c r="B160" s="6" t="str">
        <f>IF($A160="","",TRIM('Base Oficial'!B160))</f>
        <v>SOFIA SOLEDAD CASTRO VALLE</v>
      </c>
      <c r="C160" s="6" t="str">
        <f>IF($A160="","",TRIM('Base Oficial'!F160))</f>
        <v>DEPARTAMENTO DE CREDITOS</v>
      </c>
      <c r="D160" s="6" t="str">
        <f>IF($A160="","",TRIM('Base Oficial'!G160))</f>
        <v>Gerencia de Negocios</v>
      </c>
      <c r="E160" s="6" t="str">
        <f>IF($A160="","",TRIM('Base Oficial'!D160))</f>
        <v>AUXILIAR DE CREDITOS</v>
      </c>
      <c r="F160" s="4" t="str">
        <f>IF($A160="","",IF(COUNTIF('Base Exámenes'!$C$5:$C$1000, A160)&gt;0, "Completado", IF(M160&lt;&gt;"", M160, "Pendiente")))</f>
        <v>Completado</v>
      </c>
      <c r="G160" s="11">
        <f>IF(F160="Completado", IFERROR(IF(INDEX('Base Exámenes'!$D$5:$D$1000, MATCH(A160&amp;"|"&amp;J160, 'Base Exámenes'!$I$5:$I$1000, 0))="", "", INDEX('Base Exámenes'!$D$5:$D$1000, MATCH(A160&amp;"|"&amp;J160, 'Base Exámenes'!$I$5:$I$1000, 0))), ""), "")</f>
        <v>46304.42932870371</v>
      </c>
      <c r="H160" s="11">
        <f>IF(F160="Completado", IFERROR(IF(INDEX('Base Exámenes'!$E$5:$E$1000, MATCH(A160&amp;"|"&amp;J160, 'Base Exámenes'!$I$5:$I$1000, 0))="", "", INDEX('Base Exámenes'!$E$5:$E$1000, MATCH(A160&amp;"|"&amp;J160, 'Base Exámenes'!$I$5:$I$1000, 0))), ""), "")</f>
        <v>46304.444606481484</v>
      </c>
      <c r="I160" s="10">
        <f>IF(F160="Completado", IFERROR(IF(INDEX('Base Exámenes'!$F$5:$F$1000, MATCH(A160&amp;"|"&amp;J160, 'Base Exámenes'!$I$5:$I$1000, 0))="", "", INDEX('Base Exámenes'!$F$5:$F$1000, MATCH(A160&amp;"|"&amp;J160, 'Base Exámenes'!$I$5:$I$1000, 0))), ""), "")</f>
        <v>22</v>
      </c>
      <c r="J160" s="6">
        <f>IF(F160="Completado", IF(COUNTIFS('Base Exámenes'!$C$5:$C$1000, A160, 'Base Exámenes'!$G$5:$G$1000, "&lt;&gt;")=0, "", _xlfn.MAXIFS('Base Exámenes'!$G$5:$G$1000, 'Base Exámenes'!$C$5:$C$1000, A160)), "")</f>
        <v>90</v>
      </c>
      <c r="K160" s="6" t="str">
        <f>IF(F160="Completado", IFERROR(IF(INDEX('Base Exámenes'!$H$5:$H$1000, MATCH(A160&amp;"|"&amp;J160, 'Base Exámenes'!$I$5:$I$1000, 0))="", "", INDEX('Base Exámenes'!$H$5:$H$1000, MATCH(A160&amp;"|"&amp;J160, 'Base Exámenes'!$I$5:$I$1000, 0))), ""), "")</f>
        <v>anonymous</v>
      </c>
      <c r="L160" s="22">
        <f>IF($A160="","",COUNTIF('Base Exámenes'!$C$5:$C$1000, A160))</f>
        <v>1</v>
      </c>
      <c r="M160" s="6" t="str">
        <f>IF($A160="","",IF(COUNTIF('Base Exámenes'!$C$5:$C$1000, A160)&gt;0, "", TRIM('Base Oficial'!H160)))</f>
        <v/>
      </c>
    </row>
    <row r="161">
      <c r="A161" s="4" t="str">
        <f>IF('Base Oficial'!A161="","",TRIM('Base Oficial'!A161))</f>
        <v>809</v>
      </c>
      <c r="B161" s="6" t="str">
        <f>IF($A161="","",TRIM('Base Oficial'!B161))</f>
        <v>KARLA VANESSA GARCIA OLIVA</v>
      </c>
      <c r="C161" s="6" t="str">
        <f>IF($A161="","",TRIM('Base Oficial'!F161))</f>
        <v>DEPARTAMENTO DE CREDITOS</v>
      </c>
      <c r="D161" s="6" t="str">
        <f>IF($A161="","",TRIM('Base Oficial'!G161))</f>
        <v>Gerencia de Negocios</v>
      </c>
      <c r="E161" s="6" t="str">
        <f>IF($A161="","",TRIM('Base Oficial'!D161))</f>
        <v>ANALISTA DE CREDITOS</v>
      </c>
      <c r="F161" s="4" t="str">
        <f>IF($A161="","",IF(COUNTIF('Base Exámenes'!$C$5:$C$1000, A161)&gt;0, "Completado", IF(M161&lt;&gt;"", M161, "Pendiente")))</f>
        <v>Completado</v>
      </c>
      <c r="G161" s="11">
        <f>IF(F161="Completado", IFERROR(IF(INDEX('Base Exámenes'!$D$5:$D$1000, MATCH(A161&amp;"|"&amp;J161, 'Base Exámenes'!$I$5:$I$1000, 0))="", "", INDEX('Base Exámenes'!$D$5:$D$1000, MATCH(A161&amp;"|"&amp;J161, 'Base Exámenes'!$I$5:$I$1000, 0))), ""), "")</f>
        <v>46307.37898148148</v>
      </c>
      <c r="H161" s="11">
        <f>IF(F161="Completado", IFERROR(IF(INDEX('Base Exámenes'!$E$5:$E$1000, MATCH(A161&amp;"|"&amp;J161, 'Base Exámenes'!$I$5:$I$1000, 0))="", "", INDEX('Base Exámenes'!$E$5:$E$1000, MATCH(A161&amp;"|"&amp;J161, 'Base Exámenes'!$I$5:$I$1000, 0))), ""), "")</f>
        <v>46307.384097222224</v>
      </c>
      <c r="I161" s="10">
        <f>IF(F161="Completado", IFERROR(IF(INDEX('Base Exámenes'!$F$5:$F$1000, MATCH(A161&amp;"|"&amp;J161, 'Base Exámenes'!$I$5:$I$1000, 0))="", "", INDEX('Base Exámenes'!$F$5:$F$1000, MATCH(A161&amp;"|"&amp;J161, 'Base Exámenes'!$I$5:$I$1000, 0))), ""), "")</f>
        <v>7.36666666666667</v>
      </c>
      <c r="J161" s="6">
        <f>IF(F161="Completado", IF(COUNTIFS('Base Exámenes'!$C$5:$C$1000, A161, 'Base Exámenes'!$G$5:$G$1000, "&lt;&gt;")=0, "", _xlfn.MAXIFS('Base Exámenes'!$G$5:$G$1000, 'Base Exámenes'!$C$5:$C$1000, A161)), "")</f>
        <v>100</v>
      </c>
      <c r="K161" s="6" t="str">
        <f>IF(F161="Completado", IFERROR(IF(INDEX('Base Exámenes'!$H$5:$H$1000, MATCH(A161&amp;"|"&amp;J161, 'Base Exámenes'!$I$5:$I$1000, 0))="", "", INDEX('Base Exámenes'!$H$5:$H$1000, MATCH(A161&amp;"|"&amp;J161, 'Base Exámenes'!$I$5:$I$1000, 0))), ""), "")</f>
        <v>anonymous</v>
      </c>
      <c r="L161" s="22">
        <f>IF($A161="","",COUNTIF('Base Exámenes'!$C$5:$C$1000, A161))</f>
        <v>1</v>
      </c>
      <c r="M161" s="6" t="str">
        <f>IF($A161="","",IF(COUNTIF('Base Exámenes'!$C$5:$C$1000, A161)&gt;0, "", TRIM('Base Oficial'!H161)))</f>
        <v/>
      </c>
    </row>
    <row r="162">
      <c r="A162" s="4" t="str">
        <f>IF('Base Oficial'!A162="","",TRIM('Base Oficial'!A162))</f>
        <v>837</v>
      </c>
      <c r="B162" s="6" t="str">
        <f>IF($A162="","",TRIM('Base Oficial'!B162))</f>
        <v>DAYANA ABIGAIL CHAVEZ CORDOVA</v>
      </c>
      <c r="C162" s="6" t="str">
        <f>IF($A162="","",TRIM('Base Oficial'!F162))</f>
        <v>DEPARTAMENTO DE CREDITOS</v>
      </c>
      <c r="D162" s="6" t="str">
        <f>IF($A162="","",TRIM('Base Oficial'!G162))</f>
        <v>Gerencia de Negocios</v>
      </c>
      <c r="E162" s="6" t="str">
        <f>IF($A162="","",TRIM('Base Oficial'!D162))</f>
        <v>GESTOR DE EXPEDIENTES</v>
      </c>
      <c r="F162" s="4" t="str">
        <f>IF($A162="","",IF(COUNTIF('Base Exámenes'!$C$5:$C$1000, A162)&gt;0, "Completado", IF(M162&lt;&gt;"", M162, "Pendiente")))</f>
        <v>Completado</v>
      </c>
      <c r="G162" s="11">
        <f>IF(F162="Completado", IFERROR(IF(INDEX('Base Exámenes'!$D$5:$D$1000, MATCH(A162&amp;"|"&amp;J162, 'Base Exámenes'!$I$5:$I$1000, 0))="", "", INDEX('Base Exámenes'!$D$5:$D$1000, MATCH(A162&amp;"|"&amp;J162, 'Base Exámenes'!$I$5:$I$1000, 0))), ""), "")</f>
        <v>46302.47519675926</v>
      </c>
      <c r="H162" s="11">
        <f>IF(F162="Completado", IFERROR(IF(INDEX('Base Exámenes'!$E$5:$E$1000, MATCH(A162&amp;"|"&amp;J162, 'Base Exámenes'!$I$5:$I$1000, 0))="", "", INDEX('Base Exámenes'!$E$5:$E$1000, MATCH(A162&amp;"|"&amp;J162, 'Base Exámenes'!$I$5:$I$1000, 0))), ""), "")</f>
        <v>46302.48523148148</v>
      </c>
      <c r="I162" s="10">
        <f>IF(F162="Completado", IFERROR(IF(INDEX('Base Exámenes'!$F$5:$F$1000, MATCH(A162&amp;"|"&amp;J162, 'Base Exámenes'!$I$5:$I$1000, 0))="", "", INDEX('Base Exámenes'!$F$5:$F$1000, MATCH(A162&amp;"|"&amp;J162, 'Base Exámenes'!$I$5:$I$1000, 0))), ""), "")</f>
        <v>14.45</v>
      </c>
      <c r="J162" s="6">
        <f>IF(F162="Completado", IF(COUNTIFS('Base Exámenes'!$C$5:$C$1000, A162, 'Base Exámenes'!$G$5:$G$1000, "&lt;&gt;")=0, "", _xlfn.MAXIFS('Base Exámenes'!$G$5:$G$1000, 'Base Exámenes'!$C$5:$C$1000, A162)), "")</f>
        <v>100</v>
      </c>
      <c r="K162" s="6" t="str">
        <f>IF(F162="Completado", IFERROR(IF(INDEX('Base Exámenes'!$H$5:$H$1000, MATCH(A162&amp;"|"&amp;J162, 'Base Exámenes'!$I$5:$I$1000, 0))="", "", INDEX('Base Exámenes'!$H$5:$H$1000, MATCH(A162&amp;"|"&amp;J162, 'Base Exámenes'!$I$5:$I$1000, 0))), ""), "")</f>
        <v>anonymous</v>
      </c>
      <c r="L162" s="22">
        <f>IF($A162="","",COUNTIF('Base Exámenes'!$C$5:$C$1000, A162))</f>
        <v>1</v>
      </c>
      <c r="M162" s="6" t="str">
        <f>IF($A162="","",IF(COUNTIF('Base Exámenes'!$C$5:$C$1000, A162)&gt;0, "", TRIM('Base Oficial'!H162)))</f>
        <v/>
      </c>
    </row>
    <row r="163">
      <c r="A163" s="4" t="str">
        <f>IF('Base Oficial'!A163="","",TRIM('Base Oficial'!A163))</f>
        <v>939</v>
      </c>
      <c r="B163" s="6" t="str">
        <f>IF($A163="","",TRIM('Base Oficial'!B163))</f>
        <v>MARIO LEONEL CANDRAY FLORES</v>
      </c>
      <c r="C163" s="6" t="str">
        <f>IF($A163="","",TRIM('Base Oficial'!F163))</f>
        <v>DEPARTAMENTO DE CREDITOS</v>
      </c>
      <c r="D163" s="6" t="str">
        <f>IF($A163="","",TRIM('Base Oficial'!G163))</f>
        <v>Gerencia de Negocios</v>
      </c>
      <c r="E163" s="6" t="str">
        <f>IF($A163="","",TRIM('Base Oficial'!D163))</f>
        <v>ANALISTA DE CREDITOS</v>
      </c>
      <c r="F163" s="4" t="str">
        <f>IF($A163="","",IF(COUNTIF('Base Exámenes'!$C$5:$C$1000, A163)&gt;0, "Completado", IF(M163&lt;&gt;"", M163, "Pendiente")))</f>
        <v>Completado</v>
      </c>
      <c r="G163" s="11">
        <f>IF(F163="Completado", IFERROR(IF(INDEX('Base Exámenes'!$D$5:$D$1000, MATCH(A163&amp;"|"&amp;J163, 'Base Exámenes'!$I$5:$I$1000, 0))="", "", INDEX('Base Exámenes'!$D$5:$D$1000, MATCH(A163&amp;"|"&amp;J163, 'Base Exámenes'!$I$5:$I$1000, 0))), ""), "")</f>
        <v>46307.369363425925</v>
      </c>
      <c r="H163" s="11">
        <f>IF(F163="Completado", IFERROR(IF(INDEX('Base Exámenes'!$E$5:$E$1000, MATCH(A163&amp;"|"&amp;J163, 'Base Exámenes'!$I$5:$I$1000, 0))="", "", INDEX('Base Exámenes'!$E$5:$E$1000, MATCH(A163&amp;"|"&amp;J163, 'Base Exámenes'!$I$5:$I$1000, 0))), ""), "")</f>
        <v>46307.37395833333</v>
      </c>
      <c r="I163" s="10">
        <f>IF(F163="Completado", IFERROR(IF(INDEX('Base Exámenes'!$F$5:$F$1000, MATCH(A163&amp;"|"&amp;J163, 'Base Exámenes'!$I$5:$I$1000, 0))="", "", INDEX('Base Exámenes'!$F$5:$F$1000, MATCH(A163&amp;"|"&amp;J163, 'Base Exámenes'!$I$5:$I$1000, 0))), ""), "")</f>
        <v>6.61666666666667</v>
      </c>
      <c r="J163" s="6">
        <f>IF(F163="Completado", IF(COUNTIFS('Base Exámenes'!$C$5:$C$1000, A163, 'Base Exámenes'!$G$5:$G$1000, "&lt;&gt;")=0, "", _xlfn.MAXIFS('Base Exámenes'!$G$5:$G$1000, 'Base Exámenes'!$C$5:$C$1000, A163)), "")</f>
        <v>100</v>
      </c>
      <c r="K163" s="6" t="str">
        <f>IF(F163="Completado", IFERROR(IF(INDEX('Base Exámenes'!$H$5:$H$1000, MATCH(A163&amp;"|"&amp;J163, 'Base Exámenes'!$I$5:$I$1000, 0))="", "", INDEX('Base Exámenes'!$H$5:$H$1000, MATCH(A163&amp;"|"&amp;J163, 'Base Exámenes'!$I$5:$I$1000, 0))), ""), "")</f>
        <v>anonymous</v>
      </c>
      <c r="L163" s="22">
        <f>IF($A163="","",COUNTIF('Base Exámenes'!$C$5:$C$1000, A163))</f>
        <v>1</v>
      </c>
      <c r="M163" s="6" t="str">
        <f>IF($A163="","",IF(COUNTIF('Base Exámenes'!$C$5:$C$1000, A163)&gt;0, "", TRIM('Base Oficial'!H163)))</f>
        <v/>
      </c>
    </row>
    <row r="164">
      <c r="A164" s="4" t="str">
        <f>IF('Base Oficial'!A164="","",TRIM('Base Oficial'!A164))</f>
        <v>979</v>
      </c>
      <c r="B164" s="6" t="str">
        <f>IF($A164="","",TRIM('Base Oficial'!B164))</f>
        <v>MARIA LILIAN MENJIVAR GUARDADO</v>
      </c>
      <c r="C164" s="6" t="str">
        <f>IF($A164="","",TRIM('Base Oficial'!F164))</f>
        <v>DEPARTAMENTO DE CREDITOS</v>
      </c>
      <c r="D164" s="6" t="str">
        <f>IF($A164="","",TRIM('Base Oficial'!G164))</f>
        <v>Gerencia de Negocios</v>
      </c>
      <c r="E164" s="6" t="str">
        <f>IF($A164="","",TRIM('Base Oficial'!D164))</f>
        <v>ANALISTA DE CREDITOS</v>
      </c>
      <c r="F164" s="4" t="str">
        <f>IF($A164="","",IF(COUNTIF('Base Exámenes'!$C$5:$C$1000, A164)&gt;0, "Completado", IF(M164&lt;&gt;"", M164, "Pendiente")))</f>
        <v>Completado</v>
      </c>
      <c r="G164" s="11">
        <f>IF(F164="Completado", IFERROR(IF(INDEX('Base Exámenes'!$D$5:$D$1000, MATCH(A164&amp;"|"&amp;J164, 'Base Exámenes'!$I$5:$I$1000, 0))="", "", INDEX('Base Exámenes'!$D$5:$D$1000, MATCH(A164&amp;"|"&amp;J164, 'Base Exámenes'!$I$5:$I$1000, 0))), ""), "")</f>
        <v>46307.36702546296</v>
      </c>
      <c r="H164" s="11">
        <f>IF(F164="Completado", IFERROR(IF(INDEX('Base Exámenes'!$E$5:$E$1000, MATCH(A164&amp;"|"&amp;J164, 'Base Exámenes'!$I$5:$I$1000, 0))="", "", INDEX('Base Exámenes'!$E$5:$E$1000, MATCH(A164&amp;"|"&amp;J164, 'Base Exámenes'!$I$5:$I$1000, 0))), ""), "")</f>
        <v>46307.37511574074</v>
      </c>
      <c r="I164" s="10">
        <f>IF(F164="Completado", IFERROR(IF(INDEX('Base Exámenes'!$F$5:$F$1000, MATCH(A164&amp;"|"&amp;J164, 'Base Exámenes'!$I$5:$I$1000, 0))="", "", INDEX('Base Exámenes'!$F$5:$F$1000, MATCH(A164&amp;"|"&amp;J164, 'Base Exámenes'!$I$5:$I$1000, 0))), ""), "")</f>
        <v>11.65</v>
      </c>
      <c r="J164" s="6">
        <f>IF(F164="Completado", IF(COUNTIFS('Base Exámenes'!$C$5:$C$1000, A164, 'Base Exámenes'!$G$5:$G$1000, "&lt;&gt;")=0, "", _xlfn.MAXIFS('Base Exámenes'!$G$5:$G$1000, 'Base Exámenes'!$C$5:$C$1000, A164)), "")</f>
        <v>100</v>
      </c>
      <c r="K164" s="6" t="str">
        <f>IF(F164="Completado", IFERROR(IF(INDEX('Base Exámenes'!$H$5:$H$1000, MATCH(A164&amp;"|"&amp;J164, 'Base Exámenes'!$I$5:$I$1000, 0))="", "", INDEX('Base Exámenes'!$H$5:$H$1000, MATCH(A164&amp;"|"&amp;J164, 'Base Exámenes'!$I$5:$I$1000, 0))), ""), "")</f>
        <v>anonymous</v>
      </c>
      <c r="L164" s="22">
        <f>IF($A164="","",COUNTIF('Base Exámenes'!$C$5:$C$1000, A164))</f>
        <v>1</v>
      </c>
      <c r="M164" s="6" t="str">
        <f>IF($A164="","",IF(COUNTIF('Base Exámenes'!$C$5:$C$1000, A164)&gt;0, "", TRIM('Base Oficial'!H164)))</f>
        <v/>
      </c>
    </row>
    <row r="165">
      <c r="A165" s="4" t="str">
        <f>IF('Base Oficial'!A165="","",TRIM('Base Oficial'!A165))</f>
        <v>544</v>
      </c>
      <c r="B165" s="6" t="str">
        <f>IF($A165="","",TRIM('Base Oficial'!B165))</f>
        <v>CLAUDIA MARISOL MADRID BARRIENTOS</v>
      </c>
      <c r="C165" s="6" t="str">
        <f>IF($A165="","",TRIM('Base Oficial'!F165))</f>
        <v>DEPARTAMENTO DE SEGUROS</v>
      </c>
      <c r="D165" s="6" t="str">
        <f>IF($A165="","",TRIM('Base Oficial'!G165))</f>
        <v>Gerencia de Negocios</v>
      </c>
      <c r="E165" s="6" t="str">
        <f>IF($A165="","",TRIM('Base Oficial'!D165))</f>
        <v>GESTOR DE RECLAMOS Y SUSCRIPCIONES</v>
      </c>
      <c r="F165" s="4" t="str">
        <f>IF($A165="","",IF(COUNTIF('Base Exámenes'!$C$5:$C$1000, A165)&gt;0, "Completado", IF(M165&lt;&gt;"", M165, "Pendiente")))</f>
        <v>Completado</v>
      </c>
      <c r="G165" s="11">
        <f>IF(F165="Completado", IFERROR(IF(INDEX('Base Exámenes'!$D$5:$D$1000, MATCH(A165&amp;"|"&amp;J165, 'Base Exámenes'!$I$5:$I$1000, 0))="", "", INDEX('Base Exámenes'!$D$5:$D$1000, MATCH(A165&amp;"|"&amp;J165, 'Base Exámenes'!$I$5:$I$1000, 0))), ""), "")</f>
        <v>46309.42065972222</v>
      </c>
      <c r="H165" s="11">
        <f>IF(F165="Completado", IFERROR(IF(INDEX('Base Exámenes'!$E$5:$E$1000, MATCH(A165&amp;"|"&amp;J165, 'Base Exámenes'!$I$5:$I$1000, 0))="", "", INDEX('Base Exámenes'!$E$5:$E$1000, MATCH(A165&amp;"|"&amp;J165, 'Base Exámenes'!$I$5:$I$1000, 0))), ""), "")</f>
        <v>46309.43305555556</v>
      </c>
      <c r="I165" s="10">
        <f>IF(F165="Completado", IFERROR(IF(INDEX('Base Exámenes'!$F$5:$F$1000, MATCH(A165&amp;"|"&amp;J165, 'Base Exámenes'!$I$5:$I$1000, 0))="", "", INDEX('Base Exámenes'!$F$5:$F$1000, MATCH(A165&amp;"|"&amp;J165, 'Base Exámenes'!$I$5:$I$1000, 0))), ""), "")</f>
        <v>17.85</v>
      </c>
      <c r="J165" s="6">
        <f>IF(F165="Completado", IF(COUNTIFS('Base Exámenes'!$C$5:$C$1000, A165, 'Base Exámenes'!$G$5:$G$1000, "&lt;&gt;")=0, "", _xlfn.MAXIFS('Base Exámenes'!$G$5:$G$1000, 'Base Exámenes'!$C$5:$C$1000, A165)), "")</f>
        <v>90</v>
      </c>
      <c r="K165" s="6" t="str">
        <f>IF(F165="Completado", IFERROR(IF(INDEX('Base Exámenes'!$H$5:$H$1000, MATCH(A165&amp;"|"&amp;J165, 'Base Exámenes'!$I$5:$I$1000, 0))="", "", INDEX('Base Exámenes'!$H$5:$H$1000, MATCH(A165&amp;"|"&amp;J165, 'Base Exámenes'!$I$5:$I$1000, 0))), ""), "")</f>
        <v>anonymous</v>
      </c>
      <c r="L165" s="22">
        <f>IF($A165="","",COUNTIF('Base Exámenes'!$C$5:$C$1000, A165))</f>
        <v>1</v>
      </c>
      <c r="M165" s="6" t="str">
        <f>IF($A165="","",IF(COUNTIF('Base Exámenes'!$C$5:$C$1000, A165)&gt;0, "", TRIM('Base Oficial'!H165)))</f>
        <v/>
      </c>
    </row>
    <row r="166">
      <c r="A166" s="4" t="str">
        <f>IF('Base Oficial'!A166="","",TRIM('Base Oficial'!A166))</f>
        <v>589</v>
      </c>
      <c r="B166" s="6" t="str">
        <f>IF($A166="","",TRIM('Base Oficial'!B166))</f>
        <v>CLELIA LIZETH ORTIZ GALDAMEZ</v>
      </c>
      <c r="C166" s="6" t="str">
        <f>IF($A166="","",TRIM('Base Oficial'!F166))</f>
        <v>DEPARTAMENTO DE SEGUROS</v>
      </c>
      <c r="D166" s="6" t="str">
        <f>IF($A166="","",TRIM('Base Oficial'!G166))</f>
        <v>Gerencia de Negocios</v>
      </c>
      <c r="E166" s="6" t="str">
        <f>IF($A166="","",TRIM('Base Oficial'!D166))</f>
        <v>AUXILIAR DE ADMINISTRACION DE SEGUROS</v>
      </c>
      <c r="F166" s="4" t="str">
        <f>IF($A166="","",IF(COUNTIF('Base Exámenes'!$C$5:$C$1000, A166)&gt;0, "Completado", IF(M166&lt;&gt;"", M166, "Pendiente")))</f>
        <v>Completado</v>
      </c>
      <c r="G166" s="11">
        <f>IF(F166="Completado", IFERROR(IF(INDEX('Base Exámenes'!$D$5:$D$1000, MATCH(A166&amp;"|"&amp;J166, 'Base Exámenes'!$I$5:$I$1000, 0))="", "", INDEX('Base Exámenes'!$D$5:$D$1000, MATCH(A166&amp;"|"&amp;J166, 'Base Exámenes'!$I$5:$I$1000, 0))), ""), "")</f>
        <v>46301.67337962963</v>
      </c>
      <c r="H166" s="11">
        <f>IF(F166="Completado", IFERROR(IF(INDEX('Base Exámenes'!$E$5:$E$1000, MATCH(A166&amp;"|"&amp;J166, 'Base Exámenes'!$I$5:$I$1000, 0))="", "", INDEX('Base Exámenes'!$E$5:$E$1000, MATCH(A166&amp;"|"&amp;J166, 'Base Exámenes'!$I$5:$I$1000, 0))), ""), "")</f>
        <v>46301.68011574074</v>
      </c>
      <c r="I166" s="10">
        <f>IF(F166="Completado", IFERROR(IF(INDEX('Base Exámenes'!$F$5:$F$1000, MATCH(A166&amp;"|"&amp;J166, 'Base Exámenes'!$I$5:$I$1000, 0))="", "", INDEX('Base Exámenes'!$F$5:$F$1000, MATCH(A166&amp;"|"&amp;J166, 'Base Exámenes'!$I$5:$I$1000, 0))), ""), "")</f>
        <v>9.7</v>
      </c>
      <c r="J166" s="6">
        <f>IF(F166="Completado", IF(COUNTIFS('Base Exámenes'!$C$5:$C$1000, A166, 'Base Exámenes'!$G$5:$G$1000, "&lt;&gt;")=0, "", _xlfn.MAXIFS('Base Exámenes'!$G$5:$G$1000, 'Base Exámenes'!$C$5:$C$1000, A166)), "")</f>
        <v>90</v>
      </c>
      <c r="K166" s="6" t="str">
        <f>IF(F166="Completado", IFERROR(IF(INDEX('Base Exámenes'!$H$5:$H$1000, MATCH(A166&amp;"|"&amp;J166, 'Base Exámenes'!$I$5:$I$1000, 0))="", "", INDEX('Base Exámenes'!$H$5:$H$1000, MATCH(A166&amp;"|"&amp;J166, 'Base Exámenes'!$I$5:$I$1000, 0))), ""), "")</f>
        <v>anonymous</v>
      </c>
      <c r="L166" s="22">
        <f>IF($A166="","",COUNTIF('Base Exámenes'!$C$5:$C$1000, A166))</f>
        <v>1</v>
      </c>
      <c r="M166" s="6" t="str">
        <f>IF($A166="","",IF(COUNTIF('Base Exámenes'!$C$5:$C$1000, A166)&gt;0, "", TRIM('Base Oficial'!H166)))</f>
        <v/>
      </c>
    </row>
    <row r="167">
      <c r="A167" s="4" t="str">
        <f>IF('Base Oficial'!A167="","",TRIM('Base Oficial'!A167))</f>
        <v>639</v>
      </c>
      <c r="B167" s="6" t="str">
        <f>IF($A167="","",TRIM('Base Oficial'!B167))</f>
        <v>CARLOS ALEXANDER ROMERO ROMERO</v>
      </c>
      <c r="C167" s="6" t="str">
        <f>IF($A167="","",TRIM('Base Oficial'!F167))</f>
        <v>DEPARTAMENTO DE SEGUROS</v>
      </c>
      <c r="D167" s="6" t="str">
        <f>IF($A167="","",TRIM('Base Oficial'!G167))</f>
        <v>Gerencia de Negocios</v>
      </c>
      <c r="E167" s="6" t="str">
        <f>IF($A167="","",TRIM('Base Oficial'!D167))</f>
        <v>GESTOR DE CARTERA DE SEGUROS</v>
      </c>
      <c r="F167" s="4" t="str">
        <f>IF($A167="","",IF(COUNTIF('Base Exámenes'!$C$5:$C$1000, A167)&gt;0, "Completado", IF(M167&lt;&gt;"", M167, "Pendiente")))</f>
        <v>Completado</v>
      </c>
      <c r="G167" s="11">
        <f>IF(F167="Completado", IFERROR(IF(INDEX('Base Exámenes'!$D$5:$D$1000, MATCH(A167&amp;"|"&amp;J167, 'Base Exámenes'!$I$5:$I$1000, 0))="", "", INDEX('Base Exámenes'!$D$5:$D$1000, MATCH(A167&amp;"|"&amp;J167, 'Base Exámenes'!$I$5:$I$1000, 0))), ""), "")</f>
        <v>46305.51498842592</v>
      </c>
      <c r="H167" s="11">
        <f>IF(F167="Completado", IFERROR(IF(INDEX('Base Exámenes'!$E$5:$E$1000, MATCH(A167&amp;"|"&amp;J167, 'Base Exámenes'!$I$5:$I$1000, 0))="", "", INDEX('Base Exámenes'!$E$5:$E$1000, MATCH(A167&amp;"|"&amp;J167, 'Base Exámenes'!$I$5:$I$1000, 0))), ""), "")</f>
        <v>46305.51787037037</v>
      </c>
      <c r="I167" s="10">
        <f>IF(F167="Completado", IFERROR(IF(INDEX('Base Exámenes'!$F$5:$F$1000, MATCH(A167&amp;"|"&amp;J167, 'Base Exámenes'!$I$5:$I$1000, 0))="", "", INDEX('Base Exámenes'!$F$5:$F$1000, MATCH(A167&amp;"|"&amp;J167, 'Base Exámenes'!$I$5:$I$1000, 0))), ""), "")</f>
        <v>4.15</v>
      </c>
      <c r="J167" s="6">
        <f>IF(F167="Completado", IF(COUNTIFS('Base Exámenes'!$C$5:$C$1000, A167, 'Base Exámenes'!$G$5:$G$1000, "&lt;&gt;")=0, "", _xlfn.MAXIFS('Base Exámenes'!$G$5:$G$1000, 'Base Exámenes'!$C$5:$C$1000, A167)), "")</f>
        <v>100</v>
      </c>
      <c r="K167" s="6" t="str">
        <f>IF(F167="Completado", IFERROR(IF(INDEX('Base Exámenes'!$H$5:$H$1000, MATCH(A167&amp;"|"&amp;J167, 'Base Exámenes'!$I$5:$I$1000, 0))="", "", INDEX('Base Exámenes'!$H$5:$H$1000, MATCH(A167&amp;"|"&amp;J167, 'Base Exámenes'!$I$5:$I$1000, 0))), ""), "")</f>
        <v>anonymous</v>
      </c>
      <c r="L167" s="22">
        <f>IF($A167="","",COUNTIF('Base Exámenes'!$C$5:$C$1000, A167))</f>
        <v>1</v>
      </c>
      <c r="M167" s="6" t="str">
        <f>IF($A167="","",IF(COUNTIF('Base Exámenes'!$C$5:$C$1000, A167)&gt;0, "", TRIM('Base Oficial'!H167)))</f>
        <v/>
      </c>
    </row>
    <row r="168">
      <c r="A168" s="4" t="str">
        <f>IF('Base Oficial'!A168="","",TRIM('Base Oficial'!A168))</f>
        <v>643</v>
      </c>
      <c r="B168" s="6" t="str">
        <f>IF($A168="","",TRIM('Base Oficial'!B168))</f>
        <v>LISSETTE MARICELA SANCHEZ MOLINA</v>
      </c>
      <c r="C168" s="6" t="str">
        <f>IF($A168="","",TRIM('Base Oficial'!F168))</f>
        <v>DEPARTAMENTO DE SEGUROS</v>
      </c>
      <c r="D168" s="6" t="str">
        <f>IF($A168="","",TRIM('Base Oficial'!G168))</f>
        <v>Gerencia de Negocios</v>
      </c>
      <c r="E168" s="6" t="str">
        <f>IF($A168="","",TRIM('Base Oficial'!D168))</f>
        <v>ASISTENTE DE SEGUROS</v>
      </c>
      <c r="F168" s="4" t="str">
        <f>IF($A168="","",IF(COUNTIF('Base Exámenes'!$C$5:$C$1000, A168)&gt;0, "Completado", IF(M168&lt;&gt;"", M168, "Pendiente")))</f>
        <v>Completado</v>
      </c>
      <c r="G168" s="11">
        <f>IF(F168="Completado", IFERROR(IF(INDEX('Base Exámenes'!$D$5:$D$1000, MATCH(A168&amp;"|"&amp;J168, 'Base Exámenes'!$I$5:$I$1000, 0))="", "", INDEX('Base Exámenes'!$D$5:$D$1000, MATCH(A168&amp;"|"&amp;J168, 'Base Exámenes'!$I$5:$I$1000, 0))), ""), "")</f>
        <v>46309.63423611111</v>
      </c>
      <c r="H168" s="11">
        <f>IF(F168="Completado", IFERROR(IF(INDEX('Base Exámenes'!$E$5:$E$1000, MATCH(A168&amp;"|"&amp;J168, 'Base Exámenes'!$I$5:$I$1000, 0))="", "", INDEX('Base Exámenes'!$E$5:$E$1000, MATCH(A168&amp;"|"&amp;J168, 'Base Exámenes'!$I$5:$I$1000, 0))), ""), "")</f>
        <v>46309.639328703706</v>
      </c>
      <c r="I168" s="10">
        <f>IF(F168="Completado", IFERROR(IF(INDEX('Base Exámenes'!$F$5:$F$1000, MATCH(A168&amp;"|"&amp;J168, 'Base Exámenes'!$I$5:$I$1000, 0))="", "", INDEX('Base Exámenes'!$F$5:$F$1000, MATCH(A168&amp;"|"&amp;J168, 'Base Exámenes'!$I$5:$I$1000, 0))), ""), "")</f>
        <v>7.33333335025</v>
      </c>
      <c r="J168" s="6">
        <f>IF(F168="Completado", IF(COUNTIFS('Base Exámenes'!$C$5:$C$1000, A168, 'Base Exámenes'!$G$5:$G$1000, "&lt;&gt;")=0, "", _xlfn.MAXIFS('Base Exámenes'!$G$5:$G$1000, 'Base Exámenes'!$C$5:$C$1000, A168)), "")</f>
        <v>100</v>
      </c>
      <c r="K168" s="6" t="str">
        <f>IF(F168="Completado", IFERROR(IF(INDEX('Base Exámenes'!$H$5:$H$1000, MATCH(A168&amp;"|"&amp;J168, 'Base Exámenes'!$I$5:$I$1000, 0))="", "", INDEX('Base Exámenes'!$H$5:$H$1000, MATCH(A168&amp;"|"&amp;J168, 'Base Exámenes'!$I$5:$I$1000, 0))), ""), "")</f>
        <v>anonymous</v>
      </c>
      <c r="L168" s="22">
        <f>IF($A168="","",COUNTIF('Base Exámenes'!$C$5:$C$1000, A168))</f>
        <v>1</v>
      </c>
      <c r="M168" s="6" t="str">
        <f>IF($A168="","",IF(COUNTIF('Base Exámenes'!$C$5:$C$1000, A168)&gt;0, "", TRIM('Base Oficial'!H168)))</f>
        <v/>
      </c>
    </row>
    <row r="169">
      <c r="A169" s="4" t="str">
        <f>IF('Base Oficial'!A169="","",TRIM('Base Oficial'!A169))</f>
        <v>689</v>
      </c>
      <c r="B169" s="6" t="str">
        <f>IF($A169="","",TRIM('Base Oficial'!B169))</f>
        <v>RAUL ERNESTO PALACIOS LANDAVERDE</v>
      </c>
      <c r="C169" s="6" t="str">
        <f>IF($A169="","",TRIM('Base Oficial'!F169))</f>
        <v>DEPARTAMENTO DE SEGUROS</v>
      </c>
      <c r="D169" s="6" t="str">
        <f>IF($A169="","",TRIM('Base Oficial'!G169))</f>
        <v>Gerencia de Negocios</v>
      </c>
      <c r="E169" s="6" t="str">
        <f>IF($A169="","",TRIM('Base Oficial'!D169))</f>
        <v>TECNICO DEL SEGURO DE SALUD</v>
      </c>
      <c r="F169" s="4" t="str">
        <f>IF($A169="","",IF(COUNTIF('Base Exámenes'!$C$5:$C$1000, A169)&gt;0, "Completado", IF(M169&lt;&gt;"", M169, "Pendiente")))</f>
        <v>Completado</v>
      </c>
      <c r="G169" s="11">
        <f>IF(F169="Completado", IFERROR(IF(INDEX('Base Exámenes'!$D$5:$D$1000, MATCH(A169&amp;"|"&amp;J169, 'Base Exámenes'!$I$5:$I$1000, 0))="", "", INDEX('Base Exámenes'!$D$5:$D$1000, MATCH(A169&amp;"|"&amp;J169, 'Base Exámenes'!$I$5:$I$1000, 0))), ""), "")</f>
        <v>46296.45379629629</v>
      </c>
      <c r="H169" s="11">
        <f>IF(F169="Completado", IFERROR(IF(INDEX('Base Exámenes'!$E$5:$E$1000, MATCH(A169&amp;"|"&amp;J169, 'Base Exámenes'!$I$5:$I$1000, 0))="", "", INDEX('Base Exámenes'!$E$5:$E$1000, MATCH(A169&amp;"|"&amp;J169, 'Base Exámenes'!$I$5:$I$1000, 0))), ""), "")</f>
        <v>46296.46570601852</v>
      </c>
      <c r="I169" s="10">
        <f>IF(F169="Completado", IFERROR(IF(INDEX('Base Exámenes'!$F$5:$F$1000, MATCH(A169&amp;"|"&amp;J169, 'Base Exámenes'!$I$5:$I$1000, 0))="", "", INDEX('Base Exámenes'!$F$5:$F$1000, MATCH(A169&amp;"|"&amp;J169, 'Base Exámenes'!$I$5:$I$1000, 0))), ""), "")</f>
        <v>17.15</v>
      </c>
      <c r="J169" s="6">
        <f>IF(F169="Completado", IF(COUNTIFS('Base Exámenes'!$C$5:$C$1000, A169, 'Base Exámenes'!$G$5:$G$1000, "&lt;&gt;")=0, "", _xlfn.MAXIFS('Base Exámenes'!$G$5:$G$1000, 'Base Exámenes'!$C$5:$C$1000, A169)), "")</f>
        <v>100</v>
      </c>
      <c r="K169" s="6" t="str">
        <f>IF(F169="Completado", IFERROR(IF(INDEX('Base Exámenes'!$H$5:$H$1000, MATCH(A169&amp;"|"&amp;J169, 'Base Exámenes'!$I$5:$I$1000, 0))="", "", INDEX('Base Exámenes'!$H$5:$H$1000, MATCH(A169&amp;"|"&amp;J169, 'Base Exámenes'!$I$5:$I$1000, 0))), ""), "")</f>
        <v>anonymous</v>
      </c>
      <c r="L169" s="22">
        <f>IF($A169="","",COUNTIF('Base Exámenes'!$C$5:$C$1000, A169))</f>
        <v>1</v>
      </c>
      <c r="M169" s="6" t="str">
        <f>IF($A169="","",IF(COUNTIF('Base Exámenes'!$C$5:$C$1000, A169)&gt;0, "", TRIM('Base Oficial'!H169)))</f>
        <v/>
      </c>
    </row>
    <row r="170">
      <c r="A170" s="4" t="str">
        <f>IF('Base Oficial'!A170="","",TRIM('Base Oficial'!A170))</f>
        <v>792</v>
      </c>
      <c r="B170" s="6" t="str">
        <f>IF($A170="","",TRIM('Base Oficial'!B170))</f>
        <v>JENNYFER AYLIN ESCOBAR ZAMORA</v>
      </c>
      <c r="C170" s="6" t="str">
        <f>IF($A170="","",TRIM('Base Oficial'!F170))</f>
        <v>DEPARTAMENTO DE SEGUROS</v>
      </c>
      <c r="D170" s="6" t="str">
        <f>IF($A170="","",TRIM('Base Oficial'!G170))</f>
        <v>Gerencia de Negocios</v>
      </c>
      <c r="E170" s="6" t="str">
        <f>IF($A170="","",TRIM('Base Oficial'!D170))</f>
        <v>COORDINADOR COMERCIAL DE SEGUROS</v>
      </c>
      <c r="F170" s="4" t="str">
        <f>IF($A170="","",IF(COUNTIF('Base Exámenes'!$C$5:$C$1000, A170)&gt;0, "Completado", IF(M170&lt;&gt;"", M170, "Pendiente")))</f>
        <v>Completado</v>
      </c>
      <c r="G170" s="11">
        <f>IF(F170="Completado", IFERROR(IF(INDEX('Base Exámenes'!$D$5:$D$1000, MATCH(A170&amp;"|"&amp;J170, 'Base Exámenes'!$I$5:$I$1000, 0))="", "", INDEX('Base Exámenes'!$D$5:$D$1000, MATCH(A170&amp;"|"&amp;J170, 'Base Exámenes'!$I$5:$I$1000, 0))), ""), "")</f>
        <v>46309.47331018518</v>
      </c>
      <c r="H170" s="11">
        <f>IF(F170="Completado", IFERROR(IF(INDEX('Base Exámenes'!$E$5:$E$1000, MATCH(A170&amp;"|"&amp;J170, 'Base Exámenes'!$I$5:$I$1000, 0))="", "", INDEX('Base Exámenes'!$E$5:$E$1000, MATCH(A170&amp;"|"&amp;J170, 'Base Exámenes'!$I$5:$I$1000, 0))), ""), "")</f>
        <v>46309.485625</v>
      </c>
      <c r="I170" s="10">
        <f>IF(F170="Completado", IFERROR(IF(INDEX('Base Exámenes'!$F$5:$F$1000, MATCH(A170&amp;"|"&amp;J170, 'Base Exámenes'!$I$5:$I$1000, 0))="", "", INDEX('Base Exámenes'!$F$5:$F$1000, MATCH(A170&amp;"|"&amp;J170, 'Base Exámenes'!$I$5:$I$1000, 0))), ""), "")</f>
        <v>17.7333333333333</v>
      </c>
      <c r="J170" s="6">
        <f>IF(F170="Completado", IF(COUNTIFS('Base Exámenes'!$C$5:$C$1000, A170, 'Base Exámenes'!$G$5:$G$1000, "&lt;&gt;")=0, "", _xlfn.MAXIFS('Base Exámenes'!$G$5:$G$1000, 'Base Exámenes'!$C$5:$C$1000, A170)), "")</f>
        <v>100</v>
      </c>
      <c r="K170" s="6" t="str">
        <f>IF(F170="Completado", IFERROR(IF(INDEX('Base Exámenes'!$H$5:$H$1000, MATCH(A170&amp;"|"&amp;J170, 'Base Exámenes'!$I$5:$I$1000, 0))="", "", INDEX('Base Exámenes'!$H$5:$H$1000, MATCH(A170&amp;"|"&amp;J170, 'Base Exámenes'!$I$5:$I$1000, 0))), ""), "")</f>
        <v>anonymous</v>
      </c>
      <c r="L170" s="22">
        <f>IF($A170="","",COUNTIF('Base Exámenes'!$C$5:$C$1000, A170))</f>
        <v>1</v>
      </c>
      <c r="M170" s="6" t="str">
        <f>IF($A170="","",IF(COUNTIF('Base Exámenes'!$C$5:$C$1000, A170)&gt;0, "", TRIM('Base Oficial'!H170)))</f>
        <v/>
      </c>
    </row>
    <row r="171">
      <c r="A171" s="4" t="str">
        <f>IF('Base Oficial'!A171="","",TRIM('Base Oficial'!A171))</f>
        <v>793</v>
      </c>
      <c r="B171" s="6" t="str">
        <f>IF($A171="","",TRIM('Base Oficial'!B171))</f>
        <v>KRIZIA BETSABE FLORES MARTINEZ</v>
      </c>
      <c r="C171" s="6" t="str">
        <f>IF($A171="","",TRIM('Base Oficial'!F171))</f>
        <v>DEPARTAMENTO DE SEGUROS</v>
      </c>
      <c r="D171" s="6" t="str">
        <f>IF($A171="","",TRIM('Base Oficial'!G171))</f>
        <v>Gerencia de Negocios</v>
      </c>
      <c r="E171" s="6" t="str">
        <f>IF($A171="","",TRIM('Base Oficial'!D171))</f>
        <v>JEFE DE SEGUROS</v>
      </c>
      <c r="F171" s="4" t="str">
        <f>IF($A171="","",IF(COUNTIF('Base Exámenes'!$C$5:$C$1000, A171)&gt;0, "Completado", IF(M171&lt;&gt;"", M171, "Pendiente")))</f>
        <v>Completado</v>
      </c>
      <c r="G171" s="11">
        <f>IF(F171="Completado", IFERROR(IF(INDEX('Base Exámenes'!$D$5:$D$1000, MATCH(A171&amp;"|"&amp;J171, 'Base Exámenes'!$I$5:$I$1000, 0))="", "", INDEX('Base Exámenes'!$D$5:$D$1000, MATCH(A171&amp;"|"&amp;J171, 'Base Exámenes'!$I$5:$I$1000, 0))), ""), "")</f>
        <v>46297.45885416667</v>
      </c>
      <c r="H171" s="11">
        <f>IF(F171="Completado", IFERROR(IF(INDEX('Base Exámenes'!$E$5:$E$1000, MATCH(A171&amp;"|"&amp;J171, 'Base Exámenes'!$I$5:$I$1000, 0))="", "", INDEX('Base Exámenes'!$E$5:$E$1000, MATCH(A171&amp;"|"&amp;J171, 'Base Exámenes'!$I$5:$I$1000, 0))), ""), "")</f>
        <v>46297.49109953704</v>
      </c>
      <c r="I171" s="10">
        <f>IF(F171="Completado", IFERROR(IF(INDEX('Base Exámenes'!$F$5:$F$1000, MATCH(A171&amp;"|"&amp;J171, 'Base Exámenes'!$I$5:$I$1000, 0))="", "", INDEX('Base Exámenes'!$F$5:$F$1000, MATCH(A171&amp;"|"&amp;J171, 'Base Exámenes'!$I$5:$I$1000, 0))), ""), "")</f>
        <v>46.4333333333333</v>
      </c>
      <c r="J171" s="6">
        <f>IF(F171="Completado", IF(COUNTIFS('Base Exámenes'!$C$5:$C$1000, A171, 'Base Exámenes'!$G$5:$G$1000, "&lt;&gt;")=0, "", _xlfn.MAXIFS('Base Exámenes'!$G$5:$G$1000, 'Base Exámenes'!$C$5:$C$1000, A171)), "")</f>
        <v>90</v>
      </c>
      <c r="K171" s="6" t="str">
        <f>IF(F171="Completado", IFERROR(IF(INDEX('Base Exámenes'!$H$5:$H$1000, MATCH(A171&amp;"|"&amp;J171, 'Base Exámenes'!$I$5:$I$1000, 0))="", "", INDEX('Base Exámenes'!$H$5:$H$1000, MATCH(A171&amp;"|"&amp;J171, 'Base Exámenes'!$I$5:$I$1000, 0))), ""), "")</f>
        <v>anonymous</v>
      </c>
      <c r="L171" s="22">
        <f>IF($A171="","",COUNTIF('Base Exámenes'!$C$5:$C$1000, A171))</f>
        <v>1</v>
      </c>
      <c r="M171" s="6" t="str">
        <f>IF($A171="","",IF(COUNTIF('Base Exámenes'!$C$5:$C$1000, A171)&gt;0, "", TRIM('Base Oficial'!H171)))</f>
        <v/>
      </c>
    </row>
    <row r="172">
      <c r="A172" s="4" t="str">
        <f>IF('Base Oficial'!A172="","",TRIM('Base Oficial'!A172))</f>
        <v>802</v>
      </c>
      <c r="B172" s="6" t="str">
        <f>IF($A172="","",TRIM('Base Oficial'!B172))</f>
        <v>ERIKA VANESSA ALEMAN MIJANGO</v>
      </c>
      <c r="C172" s="6" t="str">
        <f>IF($A172="","",TRIM('Base Oficial'!F172))</f>
        <v>DEPARTAMENTO DE SEGUROS</v>
      </c>
      <c r="D172" s="6" t="str">
        <f>IF($A172="","",TRIM('Base Oficial'!G172))</f>
        <v>Gerencia de Negocios</v>
      </c>
      <c r="E172" s="6" t="str">
        <f>IF($A172="","",TRIM('Base Oficial'!D172))</f>
        <v>EJECUTIVO DE VENTA DE SEGUROS</v>
      </c>
      <c r="F172" s="4" t="str">
        <f>IF($A172="","",IF(COUNTIF('Base Exámenes'!$C$5:$C$1000, A172)&gt;0, "Completado", IF(M172&lt;&gt;"", M172, "Pendiente")))</f>
        <v>Renuncia</v>
      </c>
      <c r="G172" s="11" t="str">
        <f>IF(F172="Completado", IFERROR(IF(INDEX('Base Exámenes'!$D$5:$D$1000, MATCH(A172&amp;"|"&amp;J172, 'Base Exámenes'!$I$5:$I$1000, 0))="", "", INDEX('Base Exámenes'!$D$5:$D$1000, MATCH(A172&amp;"|"&amp;J172, 'Base Exámenes'!$I$5:$I$1000, 0))), ""), "")</f>
        <v/>
      </c>
      <c r="H172" s="11" t="str">
        <f>IF(F172="Completado", IFERROR(IF(INDEX('Base Exámenes'!$E$5:$E$1000, MATCH(A172&amp;"|"&amp;J172, 'Base Exámenes'!$I$5:$I$1000, 0))="", "", INDEX('Base Exámenes'!$E$5:$E$1000, MATCH(A172&amp;"|"&amp;J172, 'Base Exámenes'!$I$5:$I$1000, 0))), ""), "")</f>
        <v/>
      </c>
      <c r="I172" s="10" t="str">
        <f>IF(F172="Completado", IFERROR(IF(INDEX('Base Exámenes'!$F$5:$F$1000, MATCH(A172&amp;"|"&amp;J172, 'Base Exámenes'!$I$5:$I$1000, 0))="", "", INDEX('Base Exámenes'!$F$5:$F$1000, MATCH(A172&amp;"|"&amp;J172, 'Base Exámenes'!$I$5:$I$1000, 0))), ""), "")</f>
        <v/>
      </c>
      <c r="J172" s="6" t="str">
        <f>IF(F172="Completado", IF(COUNTIFS('Base Exámenes'!$C$5:$C$1000, A172, 'Base Exámenes'!$G$5:$G$1000, "&lt;&gt;")=0, "", _xlfn.MAXIFS('Base Exámenes'!$G$5:$G$1000, 'Base Exámenes'!$C$5:$C$1000, A172)), "")</f>
        <v/>
      </c>
      <c r="K172" s="6" t="str">
        <f>IF(F172="Completado", IFERROR(IF(INDEX('Base Exámenes'!$H$5:$H$1000, MATCH(A172&amp;"|"&amp;J172, 'Base Exámenes'!$I$5:$I$1000, 0))="", "", INDEX('Base Exámenes'!$H$5:$H$1000, MATCH(A172&amp;"|"&amp;J172, 'Base Exámenes'!$I$5:$I$1000, 0))), ""), "")</f>
        <v/>
      </c>
      <c r="L172" s="22">
        <f>IF($A172="","",COUNTIF('Base Exámenes'!$C$5:$C$1000, A172))</f>
        <v>0</v>
      </c>
      <c r="M172" s="6" t="str">
        <f>IF($A172="","",IF(COUNTIF('Base Exámenes'!$C$5:$C$1000, A172)&gt;0, "", TRIM('Base Oficial'!H172)))</f>
        <v>Renuncia</v>
      </c>
    </row>
    <row r="173">
      <c r="A173" s="4" t="str">
        <f>IF('Base Oficial'!A173="","",TRIM('Base Oficial'!A173))</f>
        <v>805</v>
      </c>
      <c r="B173" s="6" t="str">
        <f>IF($A173="","",TRIM('Base Oficial'!B173))</f>
        <v>JUANA HAZEL GARCIA COREAS</v>
      </c>
      <c r="C173" s="6" t="str">
        <f>IF($A173="","",TRIM('Base Oficial'!F173))</f>
        <v>DEPARTAMENTO DE SEGUROS</v>
      </c>
      <c r="D173" s="6" t="str">
        <f>IF($A173="","",TRIM('Base Oficial'!G173))</f>
        <v>Gerencia de Negocios</v>
      </c>
      <c r="E173" s="6" t="str">
        <f>IF($A173="","",TRIM('Base Oficial'!D173))</f>
        <v>EJECUTIVO DE VENTA DE SEGUROS</v>
      </c>
      <c r="F173" s="4" t="str">
        <f>IF($A173="","",IF(COUNTIF('Base Exámenes'!$C$5:$C$1000, A173)&gt;0, "Completado", IF(M173&lt;&gt;"", M173, "Pendiente")))</f>
        <v>Completado</v>
      </c>
      <c r="G173" s="11">
        <f>IF(F173="Completado", IFERROR(IF(INDEX('Base Exámenes'!$D$5:$D$1000, MATCH(A173&amp;"|"&amp;J173, 'Base Exámenes'!$I$5:$I$1000, 0))="", "", INDEX('Base Exámenes'!$D$5:$D$1000, MATCH(A173&amp;"|"&amp;J173, 'Base Exámenes'!$I$5:$I$1000, 0))), ""), "")</f>
        <v>46309.47760416667</v>
      </c>
      <c r="H173" s="11">
        <f>IF(F173="Completado", IFERROR(IF(INDEX('Base Exámenes'!$E$5:$E$1000, MATCH(A173&amp;"|"&amp;J173, 'Base Exámenes'!$I$5:$I$1000, 0))="", "", INDEX('Base Exámenes'!$E$5:$E$1000, MATCH(A173&amp;"|"&amp;J173, 'Base Exámenes'!$I$5:$I$1000, 0))), ""), "")</f>
        <v>46309.48584490741</v>
      </c>
      <c r="I173" s="10">
        <f>IF(F173="Completado", IFERROR(IF(INDEX('Base Exámenes'!$F$5:$F$1000, MATCH(A173&amp;"|"&amp;J173, 'Base Exámenes'!$I$5:$I$1000, 0))="", "", INDEX('Base Exámenes'!$F$5:$F$1000, MATCH(A173&amp;"|"&amp;J173, 'Base Exámenes'!$I$5:$I$1000, 0))), ""), "")</f>
        <v>11.8666666666667</v>
      </c>
      <c r="J173" s="6">
        <f>IF(F173="Completado", IF(COUNTIFS('Base Exámenes'!$C$5:$C$1000, A173, 'Base Exámenes'!$G$5:$G$1000, "&lt;&gt;")=0, "", _xlfn.MAXIFS('Base Exámenes'!$G$5:$G$1000, 'Base Exámenes'!$C$5:$C$1000, A173)), "")</f>
        <v>100</v>
      </c>
      <c r="K173" s="6" t="str">
        <f>IF(F173="Completado", IFERROR(IF(INDEX('Base Exámenes'!$H$5:$H$1000, MATCH(A173&amp;"|"&amp;J173, 'Base Exámenes'!$I$5:$I$1000, 0))="", "", INDEX('Base Exámenes'!$H$5:$H$1000, MATCH(A173&amp;"|"&amp;J173, 'Base Exámenes'!$I$5:$I$1000, 0))), ""), "")</f>
        <v>anonymous</v>
      </c>
      <c r="L173" s="22">
        <f>IF($A173="","",COUNTIF('Base Exámenes'!$C$5:$C$1000, A173))</f>
        <v>1</v>
      </c>
      <c r="M173" s="6" t="str">
        <f>IF($A173="","",IF(COUNTIF('Base Exámenes'!$C$5:$C$1000, A173)&gt;0, "", TRIM('Base Oficial'!H173)))</f>
        <v/>
      </c>
    </row>
    <row r="174">
      <c r="A174" s="4" t="str">
        <f>IF('Base Oficial'!A174="","",TRIM('Base Oficial'!A174))</f>
        <v>869</v>
      </c>
      <c r="B174" s="6" t="str">
        <f>IF($A174="","",TRIM('Base Oficial'!B174))</f>
        <v>JENNIFER BETSABE MARAVILLA MORENO</v>
      </c>
      <c r="C174" s="6" t="str">
        <f>IF($A174="","",TRIM('Base Oficial'!F174))</f>
        <v>DEPARTAMENTO DE SEGUROS</v>
      </c>
      <c r="D174" s="6" t="str">
        <f>IF($A174="","",TRIM('Base Oficial'!G174))</f>
        <v>Gerencia de Negocios</v>
      </c>
      <c r="E174" s="6" t="str">
        <f>IF($A174="","",TRIM('Base Oficial'!D174))</f>
        <v>EJECUTIVO DE VENTA DE SEGUROS</v>
      </c>
      <c r="F174" s="4" t="str">
        <f>IF($A174="","",IF(COUNTIF('Base Exámenes'!$C$5:$C$1000, A174)&gt;0, "Completado", IF(M174&lt;&gt;"", M174, "Pendiente")))</f>
        <v>Completado</v>
      </c>
      <c r="G174" s="11">
        <f>IF(F174="Completado", IFERROR(IF(INDEX('Base Exámenes'!$D$5:$D$1000, MATCH(A174&amp;"|"&amp;J174, 'Base Exámenes'!$I$5:$I$1000, 0))="", "", INDEX('Base Exámenes'!$D$5:$D$1000, MATCH(A174&amp;"|"&amp;J174, 'Base Exámenes'!$I$5:$I$1000, 0))), ""), "")</f>
        <v>46296.67916666667</v>
      </c>
      <c r="H174" s="11">
        <f>IF(F174="Completado", IFERROR(IF(INDEX('Base Exámenes'!$E$5:$E$1000, MATCH(A174&amp;"|"&amp;J174, 'Base Exámenes'!$I$5:$I$1000, 0))="", "", INDEX('Base Exámenes'!$E$5:$E$1000, MATCH(A174&amp;"|"&amp;J174, 'Base Exámenes'!$I$5:$I$1000, 0))), ""), "")</f>
        <v>46296.68630787037</v>
      </c>
      <c r="I174" s="10">
        <f>IF(F174="Completado", IFERROR(IF(INDEX('Base Exámenes'!$F$5:$F$1000, MATCH(A174&amp;"|"&amp;J174, 'Base Exámenes'!$I$5:$I$1000, 0))="", "", INDEX('Base Exámenes'!$F$5:$F$1000, MATCH(A174&amp;"|"&amp;J174, 'Base Exámenes'!$I$5:$I$1000, 0))), ""), "")</f>
        <v>10.2833333333333</v>
      </c>
      <c r="J174" s="6">
        <f>IF(F174="Completado", IF(COUNTIFS('Base Exámenes'!$C$5:$C$1000, A174, 'Base Exámenes'!$G$5:$G$1000, "&lt;&gt;")=0, "", _xlfn.MAXIFS('Base Exámenes'!$G$5:$G$1000, 'Base Exámenes'!$C$5:$C$1000, A174)), "")</f>
        <v>100</v>
      </c>
      <c r="K174" s="6" t="str">
        <f>IF(F174="Completado", IFERROR(IF(INDEX('Base Exámenes'!$H$5:$H$1000, MATCH(A174&amp;"|"&amp;J174, 'Base Exámenes'!$I$5:$I$1000, 0))="", "", INDEX('Base Exámenes'!$H$5:$H$1000, MATCH(A174&amp;"|"&amp;J174, 'Base Exámenes'!$I$5:$I$1000, 0))), ""), "")</f>
        <v>anonymous</v>
      </c>
      <c r="L174" s="22">
        <f>IF($A174="","",COUNTIF('Base Exámenes'!$C$5:$C$1000, A174))</f>
        <v>1</v>
      </c>
      <c r="M174" s="6" t="str">
        <f>IF($A174="","",IF(COUNTIF('Base Exámenes'!$C$5:$C$1000, A174)&gt;0, "", TRIM('Base Oficial'!H174)))</f>
        <v/>
      </c>
    </row>
    <row r="175">
      <c r="A175" s="4" t="str">
        <f>IF('Base Oficial'!A175="","",TRIM('Base Oficial'!A175))</f>
        <v>894</v>
      </c>
      <c r="B175" s="6" t="str">
        <f>IF($A175="","",TRIM('Base Oficial'!B175))</f>
        <v>HENRY OSWALDO PINEDA GARCIA</v>
      </c>
      <c r="C175" s="6" t="str">
        <f>IF($A175="","",TRIM('Base Oficial'!F175))</f>
        <v>DEPARTAMENTO DE SEGUROS</v>
      </c>
      <c r="D175" s="6" t="str">
        <f>IF($A175="","",TRIM('Base Oficial'!G175))</f>
        <v>Gerencia de Negocios</v>
      </c>
      <c r="E175" s="6" t="str">
        <f>IF($A175="","",TRIM('Base Oficial'!D175))</f>
        <v>EJECUTIVO MOVIL DE SEGUROS</v>
      </c>
      <c r="F175" s="4" t="str">
        <f>IF($A175="","",IF(COUNTIF('Base Exámenes'!$C$5:$C$1000, A175)&gt;0, "Completado", IF(M175&lt;&gt;"", M175, "Pendiente")))</f>
        <v>Completado</v>
      </c>
      <c r="G175" s="11">
        <f>IF(F175="Completado", IFERROR(IF(INDEX('Base Exámenes'!$D$5:$D$1000, MATCH(A175&amp;"|"&amp;J175, 'Base Exámenes'!$I$5:$I$1000, 0))="", "", INDEX('Base Exámenes'!$D$5:$D$1000, MATCH(A175&amp;"|"&amp;J175, 'Base Exámenes'!$I$5:$I$1000, 0))), ""), "")</f>
        <v>46296.426412037035</v>
      </c>
      <c r="H175" s="11">
        <f>IF(F175="Completado", IFERROR(IF(INDEX('Base Exámenes'!$E$5:$E$1000, MATCH(A175&amp;"|"&amp;J175, 'Base Exámenes'!$I$5:$I$1000, 0))="", "", INDEX('Base Exámenes'!$E$5:$E$1000, MATCH(A175&amp;"|"&amp;J175, 'Base Exámenes'!$I$5:$I$1000, 0))), ""), "")</f>
        <v>46296.431875</v>
      </c>
      <c r="I175" s="10">
        <f>IF(F175="Completado", IFERROR(IF(INDEX('Base Exámenes'!$F$5:$F$1000, MATCH(A175&amp;"|"&amp;J175, 'Base Exámenes'!$I$5:$I$1000, 0))="", "", INDEX('Base Exámenes'!$F$5:$F$1000, MATCH(A175&amp;"|"&amp;J175, 'Base Exámenes'!$I$5:$I$1000, 0))), ""), "")</f>
        <v>7.86666666666667</v>
      </c>
      <c r="J175" s="6">
        <f>IF(F175="Completado", IF(COUNTIFS('Base Exámenes'!$C$5:$C$1000, A175, 'Base Exámenes'!$G$5:$G$1000, "&lt;&gt;")=0, "", _xlfn.MAXIFS('Base Exámenes'!$G$5:$G$1000, 'Base Exámenes'!$C$5:$C$1000, A175)), "")</f>
        <v>100</v>
      </c>
      <c r="K175" s="6" t="str">
        <f>IF(F175="Completado", IFERROR(IF(INDEX('Base Exámenes'!$H$5:$H$1000, MATCH(A175&amp;"|"&amp;J175, 'Base Exámenes'!$I$5:$I$1000, 0))="", "", INDEX('Base Exámenes'!$H$5:$H$1000, MATCH(A175&amp;"|"&amp;J175, 'Base Exámenes'!$I$5:$I$1000, 0))), ""), "")</f>
        <v>anonymous</v>
      </c>
      <c r="L175" s="22">
        <f>IF($A175="","",COUNTIF('Base Exámenes'!$C$5:$C$1000, A175))</f>
        <v>2</v>
      </c>
      <c r="M175" s="6" t="str">
        <f>IF($A175="","",IF(COUNTIF('Base Exámenes'!$C$5:$C$1000, A175)&gt;0, "", TRIM('Base Oficial'!H175)))</f>
        <v/>
      </c>
    </row>
    <row r="176">
      <c r="A176" s="4" t="str">
        <f>IF('Base Oficial'!A176="","",TRIM('Base Oficial'!A176))</f>
        <v>422</v>
      </c>
      <c r="B176" s="6" t="str">
        <f>IF($A176="","",TRIM('Base Oficial'!B176))</f>
        <v>CLAUDIA VERONICA LARA RODAS</v>
      </c>
      <c r="C176" s="6" t="str">
        <f>IF($A176="","",TRIM('Base Oficial'!F176))</f>
        <v>DEPARTAMENTO COMERCIAL DE TARJETA DE CREDITO Y DEBITO</v>
      </c>
      <c r="D176" s="6" t="str">
        <f>IF($A176="","",TRIM('Base Oficial'!G176))</f>
        <v>Gerencia de Negocios</v>
      </c>
      <c r="E176" s="6" t="str">
        <f>IF($A176="","",TRIM('Base Oficial'!D176))</f>
        <v>ASISTENTE COMERCIAL DE TARJETA DE CREDITO</v>
      </c>
      <c r="F176" s="4" t="str">
        <f>IF($A176="","",IF(COUNTIF('Base Exámenes'!$C$5:$C$1000, A176)&gt;0, "Completado", IF(M176&lt;&gt;"", M176, "Pendiente")))</f>
        <v>Completado</v>
      </c>
      <c r="G176" s="11">
        <f>IF(F176="Completado", IFERROR(IF(INDEX('Base Exámenes'!$D$5:$D$1000, MATCH(A176&amp;"|"&amp;J176, 'Base Exámenes'!$I$5:$I$1000, 0))="", "", INDEX('Base Exámenes'!$D$5:$D$1000, MATCH(A176&amp;"|"&amp;J176, 'Base Exámenes'!$I$5:$I$1000, 0))), ""), "")</f>
        <v>46304.40586805555</v>
      </c>
      <c r="H176" s="11">
        <f>IF(F176="Completado", IFERROR(IF(INDEX('Base Exámenes'!$E$5:$E$1000, MATCH(A176&amp;"|"&amp;J176, 'Base Exámenes'!$I$5:$I$1000, 0))="", "", INDEX('Base Exámenes'!$E$5:$E$1000, MATCH(A176&amp;"|"&amp;J176, 'Base Exámenes'!$I$5:$I$1000, 0))), ""), "")</f>
        <v>46304.41396990741</v>
      </c>
      <c r="I176" s="10">
        <f>IF(F176="Completado", IFERROR(IF(INDEX('Base Exámenes'!$F$5:$F$1000, MATCH(A176&amp;"|"&amp;J176, 'Base Exámenes'!$I$5:$I$1000, 0))="", "", INDEX('Base Exámenes'!$F$5:$F$1000, MATCH(A176&amp;"|"&amp;J176, 'Base Exámenes'!$I$5:$I$1000, 0))), ""), "")</f>
        <v>11.6666666666667</v>
      </c>
      <c r="J176" s="6">
        <f>IF(F176="Completado", IF(COUNTIFS('Base Exámenes'!$C$5:$C$1000, A176, 'Base Exámenes'!$G$5:$G$1000, "&lt;&gt;")=0, "", _xlfn.MAXIFS('Base Exámenes'!$G$5:$G$1000, 'Base Exámenes'!$C$5:$C$1000, A176)), "")</f>
        <v>100</v>
      </c>
      <c r="K176" s="6" t="str">
        <f>IF(F176="Completado", IFERROR(IF(INDEX('Base Exámenes'!$H$5:$H$1000, MATCH(A176&amp;"|"&amp;J176, 'Base Exámenes'!$I$5:$I$1000, 0))="", "", INDEX('Base Exámenes'!$H$5:$H$1000, MATCH(A176&amp;"|"&amp;J176, 'Base Exámenes'!$I$5:$I$1000, 0))), ""), "")</f>
        <v>anonymous</v>
      </c>
      <c r="L176" s="22">
        <f>IF($A176="","",COUNTIF('Base Exámenes'!$C$5:$C$1000, A176))</f>
        <v>1</v>
      </c>
      <c r="M176" s="6" t="str">
        <f>IF($A176="","",IF(COUNTIF('Base Exámenes'!$C$5:$C$1000, A176)&gt;0, "", TRIM('Base Oficial'!H176)))</f>
        <v/>
      </c>
    </row>
    <row r="177">
      <c r="A177" s="4" t="str">
        <f>IF('Base Oficial'!A177="","",TRIM('Base Oficial'!A177))</f>
        <v>533</v>
      </c>
      <c r="B177" s="6" t="str">
        <f>IF($A177="","",TRIM('Base Oficial'!B177))</f>
        <v>LIDIA PATRICIA MORALES AVALOS</v>
      </c>
      <c r="C177" s="6" t="str">
        <f>IF($A177="","",TRIM('Base Oficial'!F177))</f>
        <v>DEPARTAMENTO COMERCIAL DE TARJETA DE CREDITO Y DEBITO</v>
      </c>
      <c r="D177" s="6" t="str">
        <f>IF($A177="","",TRIM('Base Oficial'!G177))</f>
        <v>Gerencia de Negocios</v>
      </c>
      <c r="E177" s="6" t="str">
        <f>IF($A177="","",TRIM('Base Oficial'!D177))</f>
        <v>JEFE COMERCIAL DE TARJETA DE CREDITO</v>
      </c>
      <c r="F177" s="4" t="str">
        <f>IF($A177="","",IF(COUNTIF('Base Exámenes'!$C$5:$C$1000, A177)&gt;0, "Completado", IF(M177&lt;&gt;"", M177, "Pendiente")))</f>
        <v>Completado</v>
      </c>
      <c r="G177" s="11">
        <f>IF(F177="Completado", IFERROR(IF(INDEX('Base Exámenes'!$D$5:$D$1000, MATCH(A177&amp;"|"&amp;J177, 'Base Exámenes'!$I$5:$I$1000, 0))="", "", INDEX('Base Exámenes'!$D$5:$D$1000, MATCH(A177&amp;"|"&amp;J177, 'Base Exámenes'!$I$5:$I$1000, 0))), ""), "")</f>
        <v>46304.77427083333</v>
      </c>
      <c r="H177" s="11">
        <f>IF(F177="Completado", IFERROR(IF(INDEX('Base Exámenes'!$E$5:$E$1000, MATCH(A177&amp;"|"&amp;J177, 'Base Exámenes'!$I$5:$I$1000, 0))="", "", INDEX('Base Exámenes'!$E$5:$E$1000, MATCH(A177&amp;"|"&amp;J177, 'Base Exámenes'!$I$5:$I$1000, 0))), ""), "")</f>
        <v>46304.7809837963</v>
      </c>
      <c r="I177" s="10">
        <f>IF(F177="Completado", IFERROR(IF(INDEX('Base Exámenes'!$F$5:$F$1000, MATCH(A177&amp;"|"&amp;J177, 'Base Exámenes'!$I$5:$I$1000, 0))="", "", INDEX('Base Exámenes'!$F$5:$F$1000, MATCH(A177&amp;"|"&amp;J177, 'Base Exámenes'!$I$5:$I$1000, 0))), ""), "")</f>
        <v>9.66666666666667</v>
      </c>
      <c r="J177" s="6">
        <f>IF(F177="Completado", IF(COUNTIFS('Base Exámenes'!$C$5:$C$1000, A177, 'Base Exámenes'!$G$5:$G$1000, "&lt;&gt;")=0, "", _xlfn.MAXIFS('Base Exámenes'!$G$5:$G$1000, 'Base Exámenes'!$C$5:$C$1000, A177)), "")</f>
        <v>90</v>
      </c>
      <c r="K177" s="6" t="str">
        <f>IF(F177="Completado", IFERROR(IF(INDEX('Base Exámenes'!$H$5:$H$1000, MATCH(A177&amp;"|"&amp;J177, 'Base Exámenes'!$I$5:$I$1000, 0))="", "", INDEX('Base Exámenes'!$H$5:$H$1000, MATCH(A177&amp;"|"&amp;J177, 'Base Exámenes'!$I$5:$I$1000, 0))), ""), "")</f>
        <v>anonymous</v>
      </c>
      <c r="L177" s="22">
        <f>IF($A177="","",COUNTIF('Base Exámenes'!$C$5:$C$1000, A177))</f>
        <v>1</v>
      </c>
      <c r="M177" s="6" t="str">
        <f>IF($A177="","",IF(COUNTIF('Base Exámenes'!$C$5:$C$1000, A177)&gt;0, "", TRIM('Base Oficial'!H177)))</f>
        <v/>
      </c>
    </row>
    <row r="178">
      <c r="A178" s="4" t="str">
        <f>IF('Base Oficial'!A178="","",TRIM('Base Oficial'!A178))</f>
        <v>654</v>
      </c>
      <c r="B178" s="6" t="str">
        <f>IF($A178="","",TRIM('Base Oficial'!B178))</f>
        <v>GABRIELA ALEJANDRA RODRIGUEZ ARIAS</v>
      </c>
      <c r="C178" s="6" t="str">
        <f>IF($A178="","",TRIM('Base Oficial'!F178))</f>
        <v>DEPARTAMENTO COMERCIAL DE TARJETA DE CREDITO Y DEBITO</v>
      </c>
      <c r="D178" s="6" t="str">
        <f>IF($A178="","",TRIM('Base Oficial'!G178))</f>
        <v>Gerencia de Negocios</v>
      </c>
      <c r="E178" s="6" t="str">
        <f>IF($A178="","",TRIM('Base Oficial'!D178))</f>
        <v>AUXILIAR DE ATENCION AL CLIENTE</v>
      </c>
      <c r="F178" s="4" t="str">
        <f>IF($A178="","",IF(COUNTIF('Base Exámenes'!$C$5:$C$1000, A178)&gt;0, "Completado", IF(M178&lt;&gt;"", M178, "Pendiente")))</f>
        <v>Completado</v>
      </c>
      <c r="G178" s="11">
        <f>IF(F178="Completado", IFERROR(IF(INDEX('Base Exámenes'!$D$5:$D$1000, MATCH(A178&amp;"|"&amp;J178, 'Base Exámenes'!$I$5:$I$1000, 0))="", "", INDEX('Base Exámenes'!$D$5:$D$1000, MATCH(A178&amp;"|"&amp;J178, 'Base Exámenes'!$I$5:$I$1000, 0))), ""), "")</f>
        <v>46304.67545138889</v>
      </c>
      <c r="H178" s="11">
        <f>IF(F178="Completado", IFERROR(IF(INDEX('Base Exámenes'!$E$5:$E$1000, MATCH(A178&amp;"|"&amp;J178, 'Base Exámenes'!$I$5:$I$1000, 0))="", "", INDEX('Base Exámenes'!$E$5:$E$1000, MATCH(A178&amp;"|"&amp;J178, 'Base Exámenes'!$I$5:$I$1000, 0))), ""), "")</f>
        <v>46304.678506944445</v>
      </c>
      <c r="I178" s="10">
        <f>IF(F178="Completado", IFERROR(IF(INDEX('Base Exámenes'!$F$5:$F$1000, MATCH(A178&amp;"|"&amp;J178, 'Base Exámenes'!$I$5:$I$1000, 0))="", "", INDEX('Base Exámenes'!$F$5:$F$1000, MATCH(A178&amp;"|"&amp;J178, 'Base Exámenes'!$I$5:$I$1000, 0))), ""), "")</f>
        <v>4.4</v>
      </c>
      <c r="J178" s="6">
        <f>IF(F178="Completado", IF(COUNTIFS('Base Exámenes'!$C$5:$C$1000, A178, 'Base Exámenes'!$G$5:$G$1000, "&lt;&gt;")=0, "", _xlfn.MAXIFS('Base Exámenes'!$G$5:$G$1000, 'Base Exámenes'!$C$5:$C$1000, A178)), "")</f>
        <v>80</v>
      </c>
      <c r="K178" s="6" t="str">
        <f>IF(F178="Completado", IFERROR(IF(INDEX('Base Exámenes'!$H$5:$H$1000, MATCH(A178&amp;"|"&amp;J178, 'Base Exámenes'!$I$5:$I$1000, 0))="", "", INDEX('Base Exámenes'!$H$5:$H$1000, MATCH(A178&amp;"|"&amp;J178, 'Base Exámenes'!$I$5:$I$1000, 0))), ""), "")</f>
        <v>anonymous</v>
      </c>
      <c r="L178" s="22">
        <f>IF($A178="","",COUNTIF('Base Exámenes'!$C$5:$C$1000, A178))</f>
        <v>1</v>
      </c>
      <c r="M178" s="6" t="str">
        <f>IF($A178="","",IF(COUNTIF('Base Exámenes'!$C$5:$C$1000, A178)&gt;0, "", TRIM('Base Oficial'!H178)))</f>
        <v/>
      </c>
    </row>
    <row r="179">
      <c r="A179" s="4" t="str">
        <f>IF('Base Oficial'!A179="","",TRIM('Base Oficial'!A179))</f>
        <v>655</v>
      </c>
      <c r="B179" s="6" t="str">
        <f>IF($A179="","",TRIM('Base Oficial'!B179))</f>
        <v>JOSE ALEXANDER ABREGO</v>
      </c>
      <c r="C179" s="6" t="str">
        <f>IF($A179="","",TRIM('Base Oficial'!F179))</f>
        <v>DEPARTAMENTO COMERCIAL DE TARJETA DE CREDITO Y DEBITO</v>
      </c>
      <c r="D179" s="6" t="str">
        <f>IF($A179="","",TRIM('Base Oficial'!G179))</f>
        <v>Gerencia de Negocios</v>
      </c>
      <c r="E179" s="6" t="str">
        <f>IF($A179="","",TRIM('Base Oficial'!D179))</f>
        <v>EJECUTIVO DE NEGOCIOS</v>
      </c>
      <c r="F179" s="4" t="str">
        <f>IF($A179="","",IF(COUNTIF('Base Exámenes'!$C$5:$C$1000, A179)&gt;0, "Completado", IF(M179&lt;&gt;"", M179, "Pendiente")))</f>
        <v>Completado</v>
      </c>
      <c r="G179" s="11">
        <f>IF(F179="Completado", IFERROR(IF(INDEX('Base Exámenes'!$D$5:$D$1000, MATCH(A179&amp;"|"&amp;J179, 'Base Exámenes'!$I$5:$I$1000, 0))="", "", INDEX('Base Exámenes'!$D$5:$D$1000, MATCH(A179&amp;"|"&amp;J179, 'Base Exámenes'!$I$5:$I$1000, 0))), ""), "")</f>
        <v>46305.51121527778</v>
      </c>
      <c r="H179" s="11">
        <f>IF(F179="Completado", IFERROR(IF(INDEX('Base Exámenes'!$E$5:$E$1000, MATCH(A179&amp;"|"&amp;J179, 'Base Exámenes'!$I$5:$I$1000, 0))="", "", INDEX('Base Exámenes'!$E$5:$E$1000, MATCH(A179&amp;"|"&amp;J179, 'Base Exámenes'!$I$5:$I$1000, 0))), ""), "")</f>
        <v>46305.51431712963</v>
      </c>
      <c r="I179" s="10">
        <f>IF(F179="Completado", IFERROR(IF(INDEX('Base Exámenes'!$F$5:$F$1000, MATCH(A179&amp;"|"&amp;J179, 'Base Exámenes'!$I$5:$I$1000, 0))="", "", INDEX('Base Exámenes'!$F$5:$F$1000, MATCH(A179&amp;"|"&amp;J179, 'Base Exámenes'!$I$5:$I$1000, 0))), ""), "")</f>
        <v>4.46666666666667</v>
      </c>
      <c r="J179" s="6">
        <f>IF(F179="Completado", IF(COUNTIFS('Base Exámenes'!$C$5:$C$1000, A179, 'Base Exámenes'!$G$5:$G$1000, "&lt;&gt;")=0, "", _xlfn.MAXIFS('Base Exámenes'!$G$5:$G$1000, 'Base Exámenes'!$C$5:$C$1000, A179)), "")</f>
        <v>65</v>
      </c>
      <c r="K179" s="6" t="str">
        <f>IF(F179="Completado", IFERROR(IF(INDEX('Base Exámenes'!$H$5:$H$1000, MATCH(A179&amp;"|"&amp;J179, 'Base Exámenes'!$I$5:$I$1000, 0))="", "", INDEX('Base Exámenes'!$H$5:$H$1000, MATCH(A179&amp;"|"&amp;J179, 'Base Exámenes'!$I$5:$I$1000, 0))), ""), "")</f>
        <v>anonymous</v>
      </c>
      <c r="L179" s="22">
        <f>IF($A179="","",COUNTIF('Base Exámenes'!$C$5:$C$1000, A179))</f>
        <v>1</v>
      </c>
      <c r="M179" s="6" t="str">
        <f>IF($A179="","",IF(COUNTIF('Base Exámenes'!$C$5:$C$1000, A179)&gt;0, "", TRIM('Base Oficial'!H179)))</f>
        <v/>
      </c>
    </row>
    <row r="180">
      <c r="A180" s="4" t="str">
        <f>IF('Base Oficial'!A180="","",TRIM('Base Oficial'!A180))</f>
        <v>669</v>
      </c>
      <c r="B180" s="6" t="str">
        <f>IF($A180="","",TRIM('Base Oficial'!B180))</f>
        <v>ANTONIO ALEXANDER ALFARO ARGUETA</v>
      </c>
      <c r="C180" s="6" t="str">
        <f>IF($A180="","",TRIM('Base Oficial'!F180))</f>
        <v>DEPARTAMENTO COMERCIAL DE TARJETA DE CREDITO Y DEBITO</v>
      </c>
      <c r="D180" s="6" t="str">
        <f>IF($A180="","",TRIM('Base Oficial'!G180))</f>
        <v>Gerencia de Negocios</v>
      </c>
      <c r="E180" s="6" t="str">
        <f>IF($A180="","",TRIM('Base Oficial'!D180))</f>
        <v>EJECUTIVO DE NEGOCIOS</v>
      </c>
      <c r="F180" s="4" t="str">
        <f>IF($A180="","",IF(COUNTIF('Base Exámenes'!$C$5:$C$1000, A180)&gt;0, "Completado", IF(M180&lt;&gt;"", M180, "Pendiente")))</f>
        <v>Completado</v>
      </c>
      <c r="G180" s="11">
        <f>IF(F180="Completado", IFERROR(IF(INDEX('Base Exámenes'!$D$5:$D$1000, MATCH(A180&amp;"|"&amp;J180, 'Base Exámenes'!$I$5:$I$1000, 0))="", "", INDEX('Base Exámenes'!$D$5:$D$1000, MATCH(A180&amp;"|"&amp;J180, 'Base Exámenes'!$I$5:$I$1000, 0))), ""), "")</f>
        <v>46305.47315972222</v>
      </c>
      <c r="H180" s="11">
        <f>IF(F180="Completado", IFERROR(IF(INDEX('Base Exámenes'!$E$5:$E$1000, MATCH(A180&amp;"|"&amp;J180, 'Base Exámenes'!$I$5:$I$1000, 0))="", "", INDEX('Base Exámenes'!$E$5:$E$1000, MATCH(A180&amp;"|"&amp;J180, 'Base Exámenes'!$I$5:$I$1000, 0))), ""), "")</f>
        <v>46305.48725694444</v>
      </c>
      <c r="I180" s="10">
        <f>IF(F180="Completado", IFERROR(IF(INDEX('Base Exámenes'!$F$5:$F$1000, MATCH(A180&amp;"|"&amp;J180, 'Base Exámenes'!$I$5:$I$1000, 0))="", "", INDEX('Base Exámenes'!$F$5:$F$1000, MATCH(A180&amp;"|"&amp;J180, 'Base Exámenes'!$I$5:$I$1000, 0))), ""), "")</f>
        <v>20.3</v>
      </c>
      <c r="J180" s="6">
        <f>IF(F180="Completado", IF(COUNTIFS('Base Exámenes'!$C$5:$C$1000, A180, 'Base Exámenes'!$G$5:$G$1000, "&lt;&gt;")=0, "", _xlfn.MAXIFS('Base Exámenes'!$G$5:$G$1000, 'Base Exámenes'!$C$5:$C$1000, A180)), "")</f>
        <v>90</v>
      </c>
      <c r="K180" s="6" t="str">
        <f>IF(F180="Completado", IFERROR(IF(INDEX('Base Exámenes'!$H$5:$H$1000, MATCH(A180&amp;"|"&amp;J180, 'Base Exámenes'!$I$5:$I$1000, 0))="", "", INDEX('Base Exámenes'!$H$5:$H$1000, MATCH(A180&amp;"|"&amp;J180, 'Base Exámenes'!$I$5:$I$1000, 0))), ""), "")</f>
        <v>anonymous</v>
      </c>
      <c r="L180" s="22">
        <f>IF($A180="","",COUNTIF('Base Exámenes'!$C$5:$C$1000, A180))</f>
        <v>1</v>
      </c>
      <c r="M180" s="6" t="str">
        <f>IF($A180="","",IF(COUNTIF('Base Exámenes'!$C$5:$C$1000, A180)&gt;0, "", TRIM('Base Oficial'!H180)))</f>
        <v/>
      </c>
    </row>
    <row r="181">
      <c r="A181" s="4" t="str">
        <f>IF('Base Oficial'!A181="","",TRIM('Base Oficial'!A181))</f>
        <v>715</v>
      </c>
      <c r="B181" s="6" t="str">
        <f>IF($A181="","",TRIM('Base Oficial'!B181))</f>
        <v>KAREN MARCELA BARILLAS MOLINA</v>
      </c>
      <c r="C181" s="6" t="str">
        <f>IF($A181="","",TRIM('Base Oficial'!F181))</f>
        <v>DEPARTAMENTO COMERCIAL DE TARJETA DE CREDITO Y DEBITO</v>
      </c>
      <c r="D181" s="6" t="str">
        <f>IF($A181="","",TRIM('Base Oficial'!G181))</f>
        <v>Gerencia de Negocios</v>
      </c>
      <c r="E181" s="6" t="str">
        <f>IF($A181="","",TRIM('Base Oficial'!D181))</f>
        <v>AUXILIAR DE ATENCION AL TARJETAHABIENTE</v>
      </c>
      <c r="F181" s="4" t="str">
        <f>IF($A181="","",IF(COUNTIF('Base Exámenes'!$C$5:$C$1000, A181)&gt;0, "Completado", IF(M181&lt;&gt;"", M181, "Pendiente")))</f>
        <v>Completado</v>
      </c>
      <c r="G181" s="11">
        <f>IF(F181="Completado", IFERROR(IF(INDEX('Base Exámenes'!$D$5:$D$1000, MATCH(A181&amp;"|"&amp;J181, 'Base Exámenes'!$I$5:$I$1000, 0))="", "", INDEX('Base Exámenes'!$D$5:$D$1000, MATCH(A181&amp;"|"&amp;J181, 'Base Exámenes'!$I$5:$I$1000, 0))), ""), "")</f>
        <v>46297.7059375</v>
      </c>
      <c r="H181" s="11">
        <f>IF(F181="Completado", IFERROR(IF(INDEX('Base Exámenes'!$E$5:$E$1000, MATCH(A181&amp;"|"&amp;J181, 'Base Exámenes'!$I$5:$I$1000, 0))="", "", INDEX('Base Exámenes'!$E$5:$E$1000, MATCH(A181&amp;"|"&amp;J181, 'Base Exámenes'!$I$5:$I$1000, 0))), ""), "")</f>
        <v>46297.71334490741</v>
      </c>
      <c r="I181" s="10">
        <f>IF(F181="Completado", IFERROR(IF(INDEX('Base Exámenes'!$F$5:$F$1000, MATCH(A181&amp;"|"&amp;J181, 'Base Exámenes'!$I$5:$I$1000, 0))="", "", INDEX('Base Exámenes'!$F$5:$F$1000, MATCH(A181&amp;"|"&amp;J181, 'Base Exámenes'!$I$5:$I$1000, 0))), ""), "")</f>
        <v>10.6666666666667</v>
      </c>
      <c r="J181" s="6">
        <f>IF(F181="Completado", IF(COUNTIFS('Base Exámenes'!$C$5:$C$1000, A181, 'Base Exámenes'!$G$5:$G$1000, "&lt;&gt;")=0, "", _xlfn.MAXIFS('Base Exámenes'!$G$5:$G$1000, 'Base Exámenes'!$C$5:$C$1000, A181)), "")</f>
        <v>85</v>
      </c>
      <c r="K181" s="6" t="str">
        <f>IF(F181="Completado", IFERROR(IF(INDEX('Base Exámenes'!$H$5:$H$1000, MATCH(A181&amp;"|"&amp;J181, 'Base Exámenes'!$I$5:$I$1000, 0))="", "", INDEX('Base Exámenes'!$H$5:$H$1000, MATCH(A181&amp;"|"&amp;J181, 'Base Exámenes'!$I$5:$I$1000, 0))), ""), "")</f>
        <v>anonymous</v>
      </c>
      <c r="L181" s="22">
        <f>IF($A181="","",COUNTIF('Base Exámenes'!$C$5:$C$1000, A181))</f>
        <v>1</v>
      </c>
      <c r="M181" s="6" t="str">
        <f>IF($A181="","",IF(COUNTIF('Base Exámenes'!$C$5:$C$1000, A181)&gt;0, "", TRIM('Base Oficial'!H181)))</f>
        <v/>
      </c>
    </row>
    <row r="182">
      <c r="A182" s="4" t="str">
        <f>IF('Base Oficial'!A182="","",TRIM('Base Oficial'!A182))</f>
        <v>835</v>
      </c>
      <c r="B182" s="6" t="str">
        <f>IF($A182="","",TRIM('Base Oficial'!B182))</f>
        <v>LUIS ALBERTO MEJIA DELGADO</v>
      </c>
      <c r="C182" s="6" t="str">
        <f>IF($A182="","",TRIM('Base Oficial'!F182))</f>
        <v>DEPARTAMENTO COMERCIAL DE TARJETA DE CREDITO Y DEBITO</v>
      </c>
      <c r="D182" s="6" t="str">
        <f>IF($A182="","",TRIM('Base Oficial'!G182))</f>
        <v>Gerencia de Negocios</v>
      </c>
      <c r="E182" s="6" t="str">
        <f>IF($A182="","",TRIM('Base Oficial'!D182))</f>
        <v>EJECUTIVO DE NEGOCIOS</v>
      </c>
      <c r="F182" s="4" t="str">
        <f>IF($A182="","",IF(COUNTIF('Base Exámenes'!$C$5:$C$1000, A182)&gt;0, "Completado", IF(M182&lt;&gt;"", M182, "Pendiente")))</f>
        <v>Renuncia</v>
      </c>
      <c r="G182" s="11" t="str">
        <f>IF(F182="Completado", IFERROR(IF(INDEX('Base Exámenes'!$D$5:$D$1000, MATCH(A182&amp;"|"&amp;J182, 'Base Exámenes'!$I$5:$I$1000, 0))="", "", INDEX('Base Exámenes'!$D$5:$D$1000, MATCH(A182&amp;"|"&amp;J182, 'Base Exámenes'!$I$5:$I$1000, 0))), ""), "")</f>
        <v/>
      </c>
      <c r="H182" s="11" t="str">
        <f>IF(F182="Completado", IFERROR(IF(INDEX('Base Exámenes'!$E$5:$E$1000, MATCH(A182&amp;"|"&amp;J182, 'Base Exámenes'!$I$5:$I$1000, 0))="", "", INDEX('Base Exámenes'!$E$5:$E$1000, MATCH(A182&amp;"|"&amp;J182, 'Base Exámenes'!$I$5:$I$1000, 0))), ""), "")</f>
        <v/>
      </c>
      <c r="I182" s="10" t="str">
        <f>IF(F182="Completado", IFERROR(IF(INDEX('Base Exámenes'!$F$5:$F$1000, MATCH(A182&amp;"|"&amp;J182, 'Base Exámenes'!$I$5:$I$1000, 0))="", "", INDEX('Base Exámenes'!$F$5:$F$1000, MATCH(A182&amp;"|"&amp;J182, 'Base Exámenes'!$I$5:$I$1000, 0))), ""), "")</f>
        <v/>
      </c>
      <c r="J182" s="6" t="str">
        <f>IF(F182="Completado", IF(COUNTIFS('Base Exámenes'!$C$5:$C$1000, A182, 'Base Exámenes'!$G$5:$G$1000, "&lt;&gt;")=0, "", _xlfn.MAXIFS('Base Exámenes'!$G$5:$G$1000, 'Base Exámenes'!$C$5:$C$1000, A182)), "")</f>
        <v/>
      </c>
      <c r="K182" s="6" t="str">
        <f>IF(F182="Completado", IFERROR(IF(INDEX('Base Exámenes'!$H$5:$H$1000, MATCH(A182&amp;"|"&amp;J182, 'Base Exámenes'!$I$5:$I$1000, 0))="", "", INDEX('Base Exámenes'!$H$5:$H$1000, MATCH(A182&amp;"|"&amp;J182, 'Base Exámenes'!$I$5:$I$1000, 0))), ""), "")</f>
        <v/>
      </c>
      <c r="L182" s="22">
        <f>IF($A182="","",COUNTIF('Base Exámenes'!$C$5:$C$1000, A182))</f>
        <v>0</v>
      </c>
      <c r="M182" s="6" t="str">
        <f>IF($A182="","",IF(COUNTIF('Base Exámenes'!$C$5:$C$1000, A182)&gt;0, "", TRIM('Base Oficial'!H182)))</f>
        <v>Renuncia</v>
      </c>
    </row>
    <row r="183">
      <c r="A183" s="4" t="str">
        <f>IF('Base Oficial'!A183="","",TRIM('Base Oficial'!A183))</f>
        <v>858</v>
      </c>
      <c r="B183" s="6" t="str">
        <f>IF($A183="","",TRIM('Base Oficial'!B183))</f>
        <v>GABRIEL FRANCISCO MOLINA DIAZ</v>
      </c>
      <c r="C183" s="6" t="str">
        <f>IF($A183="","",TRIM('Base Oficial'!F183))</f>
        <v>DEPARTAMENTO COMERCIAL DE TARJETA DE CREDITO Y DEBITO</v>
      </c>
      <c r="D183" s="6" t="str">
        <f>IF($A183="","",TRIM('Base Oficial'!G183))</f>
        <v>Gerencia de Negocios</v>
      </c>
      <c r="E183" s="6" t="str">
        <f>IF($A183="","",TRIM('Base Oficial'!D183))</f>
        <v>EJECUTIVO DE NEGOCIOS</v>
      </c>
      <c r="F183" s="4" t="str">
        <f>IF($A183="","",IF(COUNTIF('Base Exámenes'!$C$5:$C$1000, A183)&gt;0, "Completado", IF(M183&lt;&gt;"", M183, "Pendiente")))</f>
        <v>Completado</v>
      </c>
      <c r="G183" s="11">
        <f>IF(F183="Completado", IFERROR(IF(INDEX('Base Exámenes'!$D$5:$D$1000, MATCH(A183&amp;"|"&amp;J183, 'Base Exámenes'!$I$5:$I$1000, 0))="", "", INDEX('Base Exámenes'!$D$5:$D$1000, MATCH(A183&amp;"|"&amp;J183, 'Base Exámenes'!$I$5:$I$1000, 0))), ""), "")</f>
        <v>46305.47688657408</v>
      </c>
      <c r="H183" s="11">
        <f>IF(F183="Completado", IFERROR(IF(INDEX('Base Exámenes'!$E$5:$E$1000, MATCH(A183&amp;"|"&amp;J183, 'Base Exámenes'!$I$5:$I$1000, 0))="", "", INDEX('Base Exámenes'!$E$5:$E$1000, MATCH(A183&amp;"|"&amp;J183, 'Base Exámenes'!$I$5:$I$1000, 0))), ""), "")</f>
        <v>46305.49159722222</v>
      </c>
      <c r="I183" s="10">
        <f>IF(F183="Completado", IFERROR(IF(INDEX('Base Exámenes'!$F$5:$F$1000, MATCH(A183&amp;"|"&amp;J183, 'Base Exámenes'!$I$5:$I$1000, 0))="", "", INDEX('Base Exámenes'!$F$5:$F$1000, MATCH(A183&amp;"|"&amp;J183, 'Base Exámenes'!$I$5:$I$1000, 0))), ""), "")</f>
        <v>21.1833333333333</v>
      </c>
      <c r="J183" s="6">
        <f>IF(F183="Completado", IF(COUNTIFS('Base Exámenes'!$C$5:$C$1000, A183, 'Base Exámenes'!$G$5:$G$1000, "&lt;&gt;")=0, "", _xlfn.MAXIFS('Base Exámenes'!$G$5:$G$1000, 'Base Exámenes'!$C$5:$C$1000, A183)), "")</f>
        <v>95</v>
      </c>
      <c r="K183" s="6" t="str">
        <f>IF(F183="Completado", IFERROR(IF(INDEX('Base Exámenes'!$H$5:$H$1000, MATCH(A183&amp;"|"&amp;J183, 'Base Exámenes'!$I$5:$I$1000, 0))="", "", INDEX('Base Exámenes'!$H$5:$H$1000, MATCH(A183&amp;"|"&amp;J183, 'Base Exámenes'!$I$5:$I$1000, 0))), ""), "")</f>
        <v>anonymous</v>
      </c>
      <c r="L183" s="22">
        <f>IF($A183="","",COUNTIF('Base Exámenes'!$C$5:$C$1000, A183))</f>
        <v>1</v>
      </c>
      <c r="M183" s="6" t="str">
        <f>IF($A183="","",IF(COUNTIF('Base Exámenes'!$C$5:$C$1000, A183)&gt;0, "", TRIM('Base Oficial'!H183)))</f>
        <v/>
      </c>
    </row>
    <row r="184">
      <c r="A184" s="4" t="str">
        <f>IF('Base Oficial'!A184="","",TRIM('Base Oficial'!A184))</f>
        <v>215</v>
      </c>
      <c r="B184" s="6" t="str">
        <f>IF($A184="","",TRIM('Base Oficial'!B184))</f>
        <v>LUIS MARCELO CRUZ VIGIL</v>
      </c>
      <c r="C184" s="6" t="str">
        <f>IF($A184="","",TRIM('Base Oficial'!F184))</f>
        <v>SUB GERENCIA DE CANALES</v>
      </c>
      <c r="D184" s="6" t="str">
        <f>IF($A184="","",TRIM('Base Oficial'!G184))</f>
        <v>Gerencia de Negocios</v>
      </c>
      <c r="E184" s="6" t="str">
        <f>IF($A184="","",TRIM('Base Oficial'!D184))</f>
        <v>SUB GERENTE DE CANALES</v>
      </c>
      <c r="F184" s="4" t="str">
        <f>IF($A184="","",IF(COUNTIF('Base Exámenes'!$C$5:$C$1000, A184)&gt;0, "Completado", IF(M184&lt;&gt;"", M184, "Pendiente")))</f>
        <v>Completado</v>
      </c>
      <c r="G184" s="11">
        <f>IF(F184="Completado", IFERROR(IF(INDEX('Base Exámenes'!$D$5:$D$1000, MATCH(A184&amp;"|"&amp;J184, 'Base Exámenes'!$I$5:$I$1000, 0))="", "", INDEX('Base Exámenes'!$D$5:$D$1000, MATCH(A184&amp;"|"&amp;J184, 'Base Exámenes'!$I$5:$I$1000, 0))), ""), "")</f>
        <v>46300.40697916667</v>
      </c>
      <c r="H184" s="11">
        <f>IF(F184="Completado", IFERROR(IF(INDEX('Base Exámenes'!$E$5:$E$1000, MATCH(A184&amp;"|"&amp;J184, 'Base Exámenes'!$I$5:$I$1000, 0))="", "", INDEX('Base Exámenes'!$E$5:$E$1000, MATCH(A184&amp;"|"&amp;J184, 'Base Exámenes'!$I$5:$I$1000, 0))), ""), "")</f>
        <v>46300.41096064815</v>
      </c>
      <c r="I184" s="10">
        <f>IF(F184="Completado", IFERROR(IF(INDEX('Base Exámenes'!$F$5:$F$1000, MATCH(A184&amp;"|"&amp;J184, 'Base Exámenes'!$I$5:$I$1000, 0))="", "", INDEX('Base Exámenes'!$F$5:$F$1000, MATCH(A184&amp;"|"&amp;J184, 'Base Exámenes'!$I$5:$I$1000, 0))), ""), "")</f>
        <v>5.73333333333333</v>
      </c>
      <c r="J184" s="6">
        <f>IF(F184="Completado", IF(COUNTIFS('Base Exámenes'!$C$5:$C$1000, A184, 'Base Exámenes'!$G$5:$G$1000, "&lt;&gt;")=0, "", _xlfn.MAXIFS('Base Exámenes'!$G$5:$G$1000, 'Base Exámenes'!$C$5:$C$1000, A184)), "")</f>
        <v>100</v>
      </c>
      <c r="K184" s="6" t="str">
        <f>IF(F184="Completado", IFERROR(IF(INDEX('Base Exámenes'!$H$5:$H$1000, MATCH(A184&amp;"|"&amp;J184, 'Base Exámenes'!$I$5:$I$1000, 0))="", "", INDEX('Base Exámenes'!$H$5:$H$1000, MATCH(A184&amp;"|"&amp;J184, 'Base Exámenes'!$I$5:$I$1000, 0))), ""), "")</f>
        <v>anonymous</v>
      </c>
      <c r="L184" s="22">
        <f>IF($A184="","",COUNTIF('Base Exámenes'!$C$5:$C$1000, A184))</f>
        <v>1</v>
      </c>
      <c r="M184" s="6" t="str">
        <f>IF($A184="","",IF(COUNTIF('Base Exámenes'!$C$5:$C$1000, A184)&gt;0, "", TRIM('Base Oficial'!H184)))</f>
        <v/>
      </c>
    </row>
    <row r="185">
      <c r="A185" s="4" t="str">
        <f>IF('Base Oficial'!A185="","",TRIM('Base Oficial'!A185))</f>
        <v>581</v>
      </c>
      <c r="B185" s="6" t="str">
        <f>IF($A185="","",TRIM('Base Oficial'!B185))</f>
        <v>JUAN CARLOS AGUILAR ASCENCIO</v>
      </c>
      <c r="C185" s="6" t="str">
        <f>IF($A185="","",TRIM('Base Oficial'!F185))</f>
        <v>SUB GERENCIA DE CANALES</v>
      </c>
      <c r="D185" s="6" t="str">
        <f>IF($A185="","",TRIM('Base Oficial'!G185))</f>
        <v>Gerencia de Negocios</v>
      </c>
      <c r="E185" s="6" t="str">
        <f>IF($A185="","",TRIM('Base Oficial'!D185))</f>
        <v>CAJERO MOVIL</v>
      </c>
      <c r="F185" s="4" t="str">
        <f>IF($A185="","",IF(COUNTIF('Base Exámenes'!$C$5:$C$1000, A185)&gt;0, "Completado", IF(M185&lt;&gt;"", M185, "Pendiente")))</f>
        <v>Completado</v>
      </c>
      <c r="G185" s="11">
        <f>IF(F185="Completado", IFERROR(IF(INDEX('Base Exámenes'!$D$5:$D$1000, MATCH(A185&amp;"|"&amp;J185, 'Base Exámenes'!$I$5:$I$1000, 0))="", "", INDEX('Base Exámenes'!$D$5:$D$1000, MATCH(A185&amp;"|"&amp;J185, 'Base Exámenes'!$I$5:$I$1000, 0))), ""), "")</f>
        <v>46309.66768518519</v>
      </c>
      <c r="H185" s="11">
        <f>IF(F185="Completado", IFERROR(IF(INDEX('Base Exámenes'!$E$5:$E$1000, MATCH(A185&amp;"|"&amp;J185, 'Base Exámenes'!$I$5:$I$1000, 0))="", "", INDEX('Base Exámenes'!$E$5:$E$1000, MATCH(A185&amp;"|"&amp;J185, 'Base Exámenes'!$I$5:$I$1000, 0))), ""), "")</f>
        <v>46309.67239583333</v>
      </c>
      <c r="I185" s="10">
        <f>IF(F185="Completado", IFERROR(IF(INDEX('Base Exámenes'!$F$5:$F$1000, MATCH(A185&amp;"|"&amp;J185, 'Base Exámenes'!$I$5:$I$1000, 0))="", "", INDEX('Base Exámenes'!$F$5:$F$1000, MATCH(A185&amp;"|"&amp;J185, 'Base Exámenes'!$I$5:$I$1000, 0))), ""), "")</f>
        <v>6.78333333333333</v>
      </c>
      <c r="J185" s="6">
        <f>IF(F185="Completado", IF(COUNTIFS('Base Exámenes'!$C$5:$C$1000, A185, 'Base Exámenes'!$G$5:$G$1000, "&lt;&gt;")=0, "", _xlfn.MAXIFS('Base Exámenes'!$G$5:$G$1000, 'Base Exámenes'!$C$5:$C$1000, A185)), "")</f>
        <v>100</v>
      </c>
      <c r="K185" s="6" t="str">
        <f>IF(F185="Completado", IFERROR(IF(INDEX('Base Exámenes'!$H$5:$H$1000, MATCH(A185&amp;"|"&amp;J185, 'Base Exámenes'!$I$5:$I$1000, 0))="", "", INDEX('Base Exámenes'!$H$5:$H$1000, MATCH(A185&amp;"|"&amp;J185, 'Base Exámenes'!$I$5:$I$1000, 0))), ""), "")</f>
        <v>anonymous</v>
      </c>
      <c r="L185" s="22">
        <f>IF($A185="","",COUNTIF('Base Exámenes'!$C$5:$C$1000, A185))</f>
        <v>1</v>
      </c>
      <c r="M185" s="6" t="str">
        <f>IF($A185="","",IF(COUNTIF('Base Exámenes'!$C$5:$C$1000, A185)&gt;0, "", TRIM('Base Oficial'!H185)))</f>
        <v/>
      </c>
    </row>
    <row r="186">
      <c r="A186" s="4" t="str">
        <f>IF('Base Oficial'!A186="","",TRIM('Base Oficial'!A186))</f>
        <v>585</v>
      </c>
      <c r="B186" s="6" t="str">
        <f>IF($A186="","",TRIM('Base Oficial'!B186))</f>
        <v>NANCY ROCIO MENJIVAR RIVAS</v>
      </c>
      <c r="C186" s="6" t="str">
        <f>IF($A186="","",TRIM('Base Oficial'!F186))</f>
        <v>SUB GERENCIA DE CANALES</v>
      </c>
      <c r="D186" s="6" t="str">
        <f>IF($A186="","",TRIM('Base Oficial'!G186))</f>
        <v>Gerencia de Negocios</v>
      </c>
      <c r="E186" s="6" t="str">
        <f>IF($A186="","",TRIM('Base Oficial'!D186))</f>
        <v>EJECUTIVO MOVIL DE SEGUROS</v>
      </c>
      <c r="F186" s="4" t="str">
        <f>IF($A186="","",IF(COUNTIF('Base Exámenes'!$C$5:$C$1000, A186)&gt;0, "Completado", IF(M186&lt;&gt;"", M186, "Pendiente")))</f>
        <v>Completado</v>
      </c>
      <c r="G186" s="11">
        <f>IF(F186="Completado", IFERROR(IF(INDEX('Base Exámenes'!$D$5:$D$1000, MATCH(A186&amp;"|"&amp;J186, 'Base Exámenes'!$I$5:$I$1000, 0))="", "", INDEX('Base Exámenes'!$D$5:$D$1000, MATCH(A186&amp;"|"&amp;J186, 'Base Exámenes'!$I$5:$I$1000, 0))), ""), "")</f>
        <v>46302.46341435185</v>
      </c>
      <c r="H186" s="11">
        <f>IF(F186="Completado", IFERROR(IF(INDEX('Base Exámenes'!$E$5:$E$1000, MATCH(A186&amp;"|"&amp;J186, 'Base Exámenes'!$I$5:$I$1000, 0))="", "", INDEX('Base Exámenes'!$E$5:$E$1000, MATCH(A186&amp;"|"&amp;J186, 'Base Exámenes'!$I$5:$I$1000, 0))), ""), "")</f>
        <v>46302.479097222225</v>
      </c>
      <c r="I186" s="10">
        <f>IF(F186="Completado", IFERROR(IF(INDEX('Base Exámenes'!$F$5:$F$1000, MATCH(A186&amp;"|"&amp;J186, 'Base Exámenes'!$I$5:$I$1000, 0))="", "", INDEX('Base Exámenes'!$F$5:$F$1000, MATCH(A186&amp;"|"&amp;J186, 'Base Exámenes'!$I$5:$I$1000, 0))), ""), "")</f>
        <v>22.5833333528</v>
      </c>
      <c r="J186" s="6">
        <f>IF(F186="Completado", IF(COUNTIFS('Base Exámenes'!$C$5:$C$1000, A186, 'Base Exámenes'!$G$5:$G$1000, "&lt;&gt;")=0, "", _xlfn.MAXIFS('Base Exámenes'!$G$5:$G$1000, 'Base Exámenes'!$C$5:$C$1000, A186)), "")</f>
        <v>100</v>
      </c>
      <c r="K186" s="6" t="str">
        <f>IF(F186="Completado", IFERROR(IF(INDEX('Base Exámenes'!$H$5:$H$1000, MATCH(A186&amp;"|"&amp;J186, 'Base Exámenes'!$I$5:$I$1000, 0))="", "", INDEX('Base Exámenes'!$H$5:$H$1000, MATCH(A186&amp;"|"&amp;J186, 'Base Exámenes'!$I$5:$I$1000, 0))), ""), "")</f>
        <v>anonymous</v>
      </c>
      <c r="L186" s="22">
        <f>IF($A186="","",COUNTIF('Base Exámenes'!$C$5:$C$1000, A186))</f>
        <v>1</v>
      </c>
      <c r="M186" s="6" t="str">
        <f>IF($A186="","",IF(COUNTIF('Base Exámenes'!$C$5:$C$1000, A186)&gt;0, "", TRIM('Base Oficial'!H186)))</f>
        <v/>
      </c>
    </row>
    <row r="187">
      <c r="A187" s="4" t="str">
        <f>IF('Base Oficial'!A187="","",TRIM('Base Oficial'!A187))</f>
        <v>651</v>
      </c>
      <c r="B187" s="6" t="str">
        <f>IF($A187="","",TRIM('Base Oficial'!B187))</f>
        <v>LUIS FERNANDO MORAN GARCIA</v>
      </c>
      <c r="C187" s="6" t="str">
        <f>IF($A187="","",TRIM('Base Oficial'!F187))</f>
        <v>SUB GERENCIA DE CANALES</v>
      </c>
      <c r="D187" s="6" t="str">
        <f>IF($A187="","",TRIM('Base Oficial'!G187))</f>
        <v>Gerencia de Negocios</v>
      </c>
      <c r="E187" s="6" t="str">
        <f>IF($A187="","",TRIM('Base Oficial'!D187))</f>
        <v>JEFE MOVIL DE AGENCIAS</v>
      </c>
      <c r="F187" s="4" t="str">
        <f>IF($A187="","",IF(COUNTIF('Base Exámenes'!$C$5:$C$1000, A187)&gt;0, "Completado", IF(M187&lt;&gt;"", M187, "Pendiente")))</f>
        <v>Completado</v>
      </c>
      <c r="G187" s="11">
        <f>IF(F187="Completado", IFERROR(IF(INDEX('Base Exámenes'!$D$5:$D$1000, MATCH(A187&amp;"|"&amp;J187, 'Base Exámenes'!$I$5:$I$1000, 0))="", "", INDEX('Base Exámenes'!$D$5:$D$1000, MATCH(A187&amp;"|"&amp;J187, 'Base Exámenes'!$I$5:$I$1000, 0))), ""), "")</f>
        <v>46309.66612268519</v>
      </c>
      <c r="H187" s="11">
        <f>IF(F187="Completado", IFERROR(IF(INDEX('Base Exámenes'!$E$5:$E$1000, MATCH(A187&amp;"|"&amp;J187, 'Base Exámenes'!$I$5:$I$1000, 0))="", "", INDEX('Base Exámenes'!$E$5:$E$1000, MATCH(A187&amp;"|"&amp;J187, 'Base Exámenes'!$I$5:$I$1000, 0))), ""), "")</f>
        <v>46309.67240740741</v>
      </c>
      <c r="I187" s="10">
        <f>IF(F187="Completado", IFERROR(IF(INDEX('Base Exámenes'!$F$5:$F$1000, MATCH(A187&amp;"|"&amp;J187, 'Base Exámenes'!$I$5:$I$1000, 0))="", "", INDEX('Base Exámenes'!$F$5:$F$1000, MATCH(A187&amp;"|"&amp;J187, 'Base Exámenes'!$I$5:$I$1000, 0))), ""), "")</f>
        <v>9.05</v>
      </c>
      <c r="J187" s="6">
        <f>IF(F187="Completado", IF(COUNTIFS('Base Exámenes'!$C$5:$C$1000, A187, 'Base Exámenes'!$G$5:$G$1000, "&lt;&gt;")=0, "", _xlfn.MAXIFS('Base Exámenes'!$G$5:$G$1000, 'Base Exámenes'!$C$5:$C$1000, A187)), "")</f>
        <v>100</v>
      </c>
      <c r="K187" s="6" t="str">
        <f>IF(F187="Completado", IFERROR(IF(INDEX('Base Exámenes'!$H$5:$H$1000, MATCH(A187&amp;"|"&amp;J187, 'Base Exámenes'!$I$5:$I$1000, 0))="", "", INDEX('Base Exámenes'!$H$5:$H$1000, MATCH(A187&amp;"|"&amp;J187, 'Base Exámenes'!$I$5:$I$1000, 0))), ""), "")</f>
        <v>anonymous</v>
      </c>
      <c r="L187" s="22">
        <f>IF($A187="","",COUNTIF('Base Exámenes'!$C$5:$C$1000, A187))</f>
        <v>1</v>
      </c>
      <c r="M187" s="6" t="str">
        <f>IF($A187="","",IF(COUNTIF('Base Exámenes'!$C$5:$C$1000, A187)&gt;0, "", TRIM('Base Oficial'!H187)))</f>
        <v/>
      </c>
    </row>
    <row r="188">
      <c r="A188" s="4" t="str">
        <f>IF('Base Oficial'!A188="","",TRIM('Base Oficial'!A188))</f>
        <v>713</v>
      </c>
      <c r="B188" s="6" t="str">
        <f>IF($A188="","",TRIM('Base Oficial'!B188))</f>
        <v>SANDRA VERONICA ACEVEDO BELTRAN</v>
      </c>
      <c r="C188" s="6" t="str">
        <f>IF($A188="","",TRIM('Base Oficial'!F188))</f>
        <v>SUB GERENCIA DE CANALES</v>
      </c>
      <c r="D188" s="6" t="str">
        <f>IF($A188="","",TRIM('Base Oficial'!G188))</f>
        <v>Gerencia de Negocios</v>
      </c>
      <c r="E188" s="6" t="str">
        <f>IF($A188="","",TRIM('Base Oficial'!D188))</f>
        <v>ASISTENTE PARA CORRESPONSALES FINANCIEROS</v>
      </c>
      <c r="F188" s="4" t="str">
        <f>IF($A188="","",IF(COUNTIF('Base Exámenes'!$C$5:$C$1000, A188)&gt;0, "Completado", IF(M188&lt;&gt;"", M188, "Pendiente")))</f>
        <v>Completado</v>
      </c>
      <c r="G188" s="11">
        <f>IF(F188="Completado", IFERROR(IF(INDEX('Base Exámenes'!$D$5:$D$1000, MATCH(A188&amp;"|"&amp;J188, 'Base Exámenes'!$I$5:$I$1000, 0))="", "", INDEX('Base Exámenes'!$D$5:$D$1000, MATCH(A188&amp;"|"&amp;J188, 'Base Exámenes'!$I$5:$I$1000, 0))), ""), "")</f>
        <v>46309.670648148145</v>
      </c>
      <c r="H188" s="11">
        <f>IF(F188="Completado", IFERROR(IF(INDEX('Base Exámenes'!$E$5:$E$1000, MATCH(A188&amp;"|"&amp;J188, 'Base Exámenes'!$I$5:$I$1000, 0))="", "", INDEX('Base Exámenes'!$E$5:$E$1000, MATCH(A188&amp;"|"&amp;J188, 'Base Exámenes'!$I$5:$I$1000, 0))), ""), "")</f>
        <v>46309.68292824074</v>
      </c>
      <c r="I188" s="10">
        <f>IF(F188="Completado", IFERROR(IF(INDEX('Base Exámenes'!$F$5:$F$1000, MATCH(A188&amp;"|"&amp;J188, 'Base Exámenes'!$I$5:$I$1000, 0))="", "", INDEX('Base Exámenes'!$F$5:$F$1000, MATCH(A188&amp;"|"&amp;J188, 'Base Exámenes'!$I$5:$I$1000, 0))), ""), "")</f>
        <v>17.6833333333333</v>
      </c>
      <c r="J188" s="6">
        <f>IF(F188="Completado", IF(COUNTIFS('Base Exámenes'!$C$5:$C$1000, A188, 'Base Exámenes'!$G$5:$G$1000, "&lt;&gt;")=0, "", _xlfn.MAXIFS('Base Exámenes'!$G$5:$G$1000, 'Base Exámenes'!$C$5:$C$1000, A188)), "")</f>
        <v>100</v>
      </c>
      <c r="K188" s="6" t="str">
        <f>IF(F188="Completado", IFERROR(IF(INDEX('Base Exámenes'!$H$5:$H$1000, MATCH(A188&amp;"|"&amp;J188, 'Base Exámenes'!$I$5:$I$1000, 0))="", "", INDEX('Base Exámenes'!$H$5:$H$1000, MATCH(A188&amp;"|"&amp;J188, 'Base Exámenes'!$I$5:$I$1000, 0))), ""), "")</f>
        <v>anonymous</v>
      </c>
      <c r="L188" s="22">
        <f>IF($A188="","",COUNTIF('Base Exámenes'!$C$5:$C$1000, A188))</f>
        <v>1</v>
      </c>
      <c r="M188" s="6" t="str">
        <f>IF($A188="","",IF(COUNTIF('Base Exámenes'!$C$5:$C$1000, A188)&gt;0, "", TRIM('Base Oficial'!H188)))</f>
        <v/>
      </c>
    </row>
    <row r="189">
      <c r="A189" s="4" t="str">
        <f>IF('Base Oficial'!A189="","",TRIM('Base Oficial'!A189))</f>
        <v>854</v>
      </c>
      <c r="B189" s="6" t="str">
        <f>IF($A189="","",TRIM('Base Oficial'!B189))</f>
        <v>REBECA ABIGAIL VEGA FLORES</v>
      </c>
      <c r="C189" s="6" t="str">
        <f>IF($A189="","",TRIM('Base Oficial'!F189))</f>
        <v>SUB GERENCIA DE CANALES</v>
      </c>
      <c r="D189" s="6" t="str">
        <f>IF($A189="","",TRIM('Base Oficial'!G189))</f>
        <v>Gerencia de Negocios</v>
      </c>
      <c r="E189" s="6" t="str">
        <f>IF($A189="","",TRIM('Base Oficial'!D189))</f>
        <v>CAJERO MOVIL</v>
      </c>
      <c r="F189" s="4" t="str">
        <f>IF($A189="","",IF(COUNTIF('Base Exámenes'!$C$5:$C$1000, A189)&gt;0, "Completado", IF(M189&lt;&gt;"", M189, "Pendiente")))</f>
        <v>Completado</v>
      </c>
      <c r="G189" s="11">
        <f>IF(F189="Completado", IFERROR(IF(INDEX('Base Exámenes'!$D$5:$D$1000, MATCH(A189&amp;"|"&amp;J189, 'Base Exámenes'!$I$5:$I$1000, 0))="", "", INDEX('Base Exámenes'!$D$5:$D$1000, MATCH(A189&amp;"|"&amp;J189, 'Base Exámenes'!$I$5:$I$1000, 0))), ""), "")</f>
        <v>46309.665358796294</v>
      </c>
      <c r="H189" s="11">
        <f>IF(F189="Completado", IFERROR(IF(INDEX('Base Exámenes'!$E$5:$E$1000, MATCH(A189&amp;"|"&amp;J189, 'Base Exámenes'!$I$5:$I$1000, 0))="", "", INDEX('Base Exámenes'!$E$5:$E$1000, MATCH(A189&amp;"|"&amp;J189, 'Base Exámenes'!$I$5:$I$1000, 0))), ""), "")</f>
        <v>46309.67223379629</v>
      </c>
      <c r="I189" s="10">
        <f>IF(F189="Completado", IFERROR(IF(INDEX('Base Exámenes'!$F$5:$F$1000, MATCH(A189&amp;"|"&amp;J189, 'Base Exámenes'!$I$5:$I$1000, 0))="", "", INDEX('Base Exámenes'!$F$5:$F$1000, MATCH(A189&amp;"|"&amp;J189, 'Base Exámenes'!$I$5:$I$1000, 0))), ""), "")</f>
        <v>9.9</v>
      </c>
      <c r="J189" s="6">
        <f>IF(F189="Completado", IF(COUNTIFS('Base Exámenes'!$C$5:$C$1000, A189, 'Base Exámenes'!$G$5:$G$1000, "&lt;&gt;")=0, "", _xlfn.MAXIFS('Base Exámenes'!$G$5:$G$1000, 'Base Exámenes'!$C$5:$C$1000, A189)), "")</f>
        <v>100</v>
      </c>
      <c r="K189" s="6" t="str">
        <f>IF(F189="Completado", IFERROR(IF(INDEX('Base Exámenes'!$H$5:$H$1000, MATCH(A189&amp;"|"&amp;J189, 'Base Exámenes'!$I$5:$I$1000, 0))="", "", INDEX('Base Exámenes'!$H$5:$H$1000, MATCH(A189&amp;"|"&amp;J189, 'Base Exámenes'!$I$5:$I$1000, 0))), ""), "")</f>
        <v>anonymous</v>
      </c>
      <c r="L189" s="22">
        <f>IF($A189="","",COUNTIF('Base Exámenes'!$C$5:$C$1000, A189))</f>
        <v>1</v>
      </c>
      <c r="M189" s="6" t="str">
        <f>IF($A189="","",IF(COUNTIF('Base Exámenes'!$C$5:$C$1000, A189)&gt;0, "", TRIM('Base Oficial'!H189)))</f>
        <v/>
      </c>
    </row>
    <row r="190">
      <c r="A190" s="4" t="str">
        <f>IF('Base Oficial'!A190="","",TRIM('Base Oficial'!A190))</f>
        <v>968</v>
      </c>
      <c r="B190" s="6" t="str">
        <f>IF($A190="","",TRIM('Base Oficial'!B190))</f>
        <v>SAMUEL ALBERTO SALGUERO RODRIGUEZ</v>
      </c>
      <c r="C190" s="6" t="str">
        <f>IF($A190="","",TRIM('Base Oficial'!F190))</f>
        <v>SUB GERENCIA DE CANALES</v>
      </c>
      <c r="D190" s="6" t="str">
        <f>IF($A190="","",TRIM('Base Oficial'!G190))</f>
        <v>Gerencia de Negocios</v>
      </c>
      <c r="E190" s="6" t="str">
        <f>IF($A190="","",TRIM('Base Oficial'!D190))</f>
        <v>CAJERO MOVIL</v>
      </c>
      <c r="F190" s="4" t="str">
        <f>IF($A190="","",IF(COUNTIF('Base Exámenes'!$C$5:$C$1000, A190)&gt;0, "Completado", IF(M190&lt;&gt;"", M190, "Pendiente")))</f>
        <v>Completado</v>
      </c>
      <c r="G190" s="11">
        <f>IF(F190="Completado", IFERROR(IF(INDEX('Base Exámenes'!$D$5:$D$1000, MATCH(A190&amp;"|"&amp;J190, 'Base Exámenes'!$I$5:$I$1000, 0))="", "", INDEX('Base Exámenes'!$D$5:$D$1000, MATCH(A190&amp;"|"&amp;J190, 'Base Exámenes'!$I$5:$I$1000, 0))), ""), "")</f>
        <v>46309.37976851852</v>
      </c>
      <c r="H190" s="11">
        <f>IF(F190="Completado", IFERROR(IF(INDEX('Base Exámenes'!$E$5:$E$1000, MATCH(A190&amp;"|"&amp;J190, 'Base Exámenes'!$I$5:$I$1000, 0))="", "", INDEX('Base Exámenes'!$E$5:$E$1000, MATCH(A190&amp;"|"&amp;J190, 'Base Exámenes'!$I$5:$I$1000, 0))), ""), "")</f>
        <v>46309.38234953704</v>
      </c>
      <c r="I190" s="10">
        <f>IF(F190="Completado", IFERROR(IF(INDEX('Base Exámenes'!$F$5:$F$1000, MATCH(A190&amp;"|"&amp;J190, 'Base Exámenes'!$I$5:$I$1000, 0))="", "", INDEX('Base Exámenes'!$F$5:$F$1000, MATCH(A190&amp;"|"&amp;J190, 'Base Exámenes'!$I$5:$I$1000, 0))), ""), "")</f>
        <v>3.71666666666667</v>
      </c>
      <c r="J190" s="6">
        <f>IF(F190="Completado", IF(COUNTIFS('Base Exámenes'!$C$5:$C$1000, A190, 'Base Exámenes'!$G$5:$G$1000, "&lt;&gt;")=0, "", _xlfn.MAXIFS('Base Exámenes'!$G$5:$G$1000, 'Base Exámenes'!$C$5:$C$1000, A190)), "")</f>
        <v>90</v>
      </c>
      <c r="K190" s="6" t="str">
        <f>IF(F190="Completado", IFERROR(IF(INDEX('Base Exámenes'!$H$5:$H$1000, MATCH(A190&amp;"|"&amp;J190, 'Base Exámenes'!$I$5:$I$1000, 0))="", "", INDEX('Base Exámenes'!$H$5:$H$1000, MATCH(A190&amp;"|"&amp;J190, 'Base Exámenes'!$I$5:$I$1000, 0))), ""), "")</f>
        <v>anonymous</v>
      </c>
      <c r="L190" s="22">
        <f>IF($A190="","",COUNTIF('Base Exámenes'!$C$5:$C$1000, A190))</f>
        <v>1</v>
      </c>
      <c r="M190" s="6" t="str">
        <f>IF($A190="","",IF(COUNTIF('Base Exámenes'!$C$5:$C$1000, A190)&gt;0, "", TRIM('Base Oficial'!H190)))</f>
        <v/>
      </c>
    </row>
    <row r="191">
      <c r="A191" s="4" t="str">
        <f>IF('Base Oficial'!A191="","",TRIM('Base Oficial'!A191))</f>
        <v>33</v>
      </c>
      <c r="B191" s="6" t="str">
        <f>IF($A191="","",TRIM('Base Oficial'!B191))</f>
        <v>CAROLINA ELIZABETH RAMIREZ PONCE</v>
      </c>
      <c r="C191" s="6" t="str">
        <f>IF($A191="","",TRIM('Base Oficial'!F191))</f>
        <v>AGENCIA CENTRAL</v>
      </c>
      <c r="D191" s="6" t="str">
        <f>IF($A191="","",TRIM('Base Oficial'!G191))</f>
        <v>Gerencia de Negocios</v>
      </c>
      <c r="E191" s="6" t="str">
        <f>IF($A191="","",TRIM('Base Oficial'!D191))</f>
        <v>SUBJEFE DE AGENCIA</v>
      </c>
      <c r="F191" s="4" t="str">
        <f>IF($A191="","",IF(COUNTIF('Base Exámenes'!$C$5:$C$1000, A191)&gt;0, "Completado", IF(M191&lt;&gt;"", M191, "Pendiente")))</f>
        <v>Completado</v>
      </c>
      <c r="G191" s="11">
        <f>IF(F191="Completado", IFERROR(IF(INDEX('Base Exámenes'!$D$5:$D$1000, MATCH(A191&amp;"|"&amp;J191, 'Base Exámenes'!$I$5:$I$1000, 0))="", "", INDEX('Base Exámenes'!$D$5:$D$1000, MATCH(A191&amp;"|"&amp;J191, 'Base Exámenes'!$I$5:$I$1000, 0))), ""), "")</f>
        <v>46308.60721064815</v>
      </c>
      <c r="H191" s="11">
        <f>IF(F191="Completado", IFERROR(IF(INDEX('Base Exámenes'!$E$5:$E$1000, MATCH(A191&amp;"|"&amp;J191, 'Base Exámenes'!$I$5:$I$1000, 0))="", "", INDEX('Base Exámenes'!$E$5:$E$1000, MATCH(A191&amp;"|"&amp;J191, 'Base Exámenes'!$I$5:$I$1000, 0))), ""), "")</f>
        <v>46308.61247685185</v>
      </c>
      <c r="I191" s="10">
        <f>IF(F191="Completado", IFERROR(IF(INDEX('Base Exámenes'!$F$5:$F$1000, MATCH(A191&amp;"|"&amp;J191, 'Base Exámenes'!$I$5:$I$1000, 0))="", "", INDEX('Base Exámenes'!$F$5:$F$1000, MATCH(A191&amp;"|"&amp;J191, 'Base Exámenes'!$I$5:$I$1000, 0))), ""), "")</f>
        <v>7.58333333333333</v>
      </c>
      <c r="J191" s="6">
        <f>IF(F191="Completado", IF(COUNTIFS('Base Exámenes'!$C$5:$C$1000, A191, 'Base Exámenes'!$G$5:$G$1000, "&lt;&gt;")=0, "", _xlfn.MAXIFS('Base Exámenes'!$G$5:$G$1000, 'Base Exámenes'!$C$5:$C$1000, A191)), "")</f>
        <v>100</v>
      </c>
      <c r="K191" s="6" t="str">
        <f>IF(F191="Completado", IFERROR(IF(INDEX('Base Exámenes'!$H$5:$H$1000, MATCH(A191&amp;"|"&amp;J191, 'Base Exámenes'!$I$5:$I$1000, 0))="", "", INDEX('Base Exámenes'!$H$5:$H$1000, MATCH(A191&amp;"|"&amp;J191, 'Base Exámenes'!$I$5:$I$1000, 0))), ""), "")</f>
        <v>anonymous</v>
      </c>
      <c r="L191" s="22">
        <f>IF($A191="","",COUNTIF('Base Exámenes'!$C$5:$C$1000, A191))</f>
        <v>1</v>
      </c>
      <c r="M191" s="6" t="str">
        <f>IF($A191="","",IF(COUNTIF('Base Exámenes'!$C$5:$C$1000, A191)&gt;0, "", TRIM('Base Oficial'!H191)))</f>
        <v/>
      </c>
    </row>
    <row r="192">
      <c r="A192" s="4" t="str">
        <f>IF('Base Oficial'!A192="","",TRIM('Base Oficial'!A192))</f>
        <v>49</v>
      </c>
      <c r="B192" s="6" t="str">
        <f>IF($A192="","",TRIM('Base Oficial'!B192))</f>
        <v>GRISELDA DEL CARMEN DOMINGUEZ MERINO</v>
      </c>
      <c r="C192" s="6" t="str">
        <f>IF($A192="","",TRIM('Base Oficial'!F192))</f>
        <v>AGENCIA CENTRAL</v>
      </c>
      <c r="D192" s="6" t="str">
        <f>IF($A192="","",TRIM('Base Oficial'!G192))</f>
        <v>Gerencia de Negocios</v>
      </c>
      <c r="E192" s="6" t="str">
        <f>IF($A192="","",TRIM('Base Oficial'!D192))</f>
        <v>EJECUTIVO DE NEGOCIOS</v>
      </c>
      <c r="F192" s="4" t="str">
        <f>IF($A192="","",IF(COUNTIF('Base Exámenes'!$C$5:$C$1000, A192)&gt;0, "Completado", IF(M192&lt;&gt;"", M192, "Pendiente")))</f>
        <v>Completado</v>
      </c>
      <c r="G192" s="11">
        <f>IF(F192="Completado", IFERROR(IF(INDEX('Base Exámenes'!$D$5:$D$1000, MATCH(A192&amp;"|"&amp;J192, 'Base Exámenes'!$I$5:$I$1000, 0))="", "", INDEX('Base Exámenes'!$D$5:$D$1000, MATCH(A192&amp;"|"&amp;J192, 'Base Exámenes'!$I$5:$I$1000, 0))), ""), "")</f>
        <v>46310.6578125</v>
      </c>
      <c r="H192" s="11">
        <f>IF(F192="Completado", IFERROR(IF(INDEX('Base Exámenes'!$E$5:$E$1000, MATCH(A192&amp;"|"&amp;J192, 'Base Exámenes'!$I$5:$I$1000, 0))="", "", INDEX('Base Exámenes'!$E$5:$E$1000, MATCH(A192&amp;"|"&amp;J192, 'Base Exámenes'!$I$5:$I$1000, 0))), ""), "")</f>
        <v>46310.66540509259</v>
      </c>
      <c r="I192" s="10">
        <f>IF(F192="Completado", IFERROR(IF(INDEX('Base Exámenes'!$F$5:$F$1000, MATCH(A192&amp;"|"&amp;J192, 'Base Exámenes'!$I$5:$I$1000, 0))="", "", INDEX('Base Exámenes'!$F$5:$F$1000, MATCH(A192&amp;"|"&amp;J192, 'Base Exámenes'!$I$5:$I$1000, 0))), ""), "")</f>
        <v>10.9333333333333</v>
      </c>
      <c r="J192" s="6">
        <f>IF(F192="Completado", IF(COUNTIFS('Base Exámenes'!$C$5:$C$1000, A192, 'Base Exámenes'!$G$5:$G$1000, "&lt;&gt;")=0, "", _xlfn.MAXIFS('Base Exámenes'!$G$5:$G$1000, 'Base Exámenes'!$C$5:$C$1000, A192)), "")</f>
        <v>100</v>
      </c>
      <c r="K192" s="6" t="str">
        <f>IF(F192="Completado", IFERROR(IF(INDEX('Base Exámenes'!$H$5:$H$1000, MATCH(A192&amp;"|"&amp;J192, 'Base Exámenes'!$I$5:$I$1000, 0))="", "", INDEX('Base Exámenes'!$H$5:$H$1000, MATCH(A192&amp;"|"&amp;J192, 'Base Exámenes'!$I$5:$I$1000, 0))), ""), "")</f>
        <v>anonymous</v>
      </c>
      <c r="L192" s="22">
        <f>IF($A192="","",COUNTIF('Base Exámenes'!$C$5:$C$1000, A192))</f>
        <v>1</v>
      </c>
      <c r="M192" s="6" t="str">
        <f>IF($A192="","",IF(COUNTIF('Base Exámenes'!$C$5:$C$1000, A192)&gt;0, "", TRIM('Base Oficial'!H192)))</f>
        <v/>
      </c>
    </row>
    <row r="193">
      <c r="A193" s="4" t="str">
        <f>IF('Base Oficial'!A193="","",TRIM('Base Oficial'!A193))</f>
        <v>234</v>
      </c>
      <c r="B193" s="6" t="str">
        <f>IF($A193="","",TRIM('Base Oficial'!B193))</f>
        <v>LETICIA ESMERALDA ROSA</v>
      </c>
      <c r="C193" s="6" t="str">
        <f>IF($A193="","",TRIM('Base Oficial'!F193))</f>
        <v>AGENCIA CENTRAL</v>
      </c>
      <c r="D193" s="6" t="str">
        <f>IF($A193="","",TRIM('Base Oficial'!G193))</f>
        <v>Gerencia de Negocios</v>
      </c>
      <c r="E193" s="6" t="str">
        <f>IF($A193="","",TRIM('Base Oficial'!D193))</f>
        <v>EJECUTIVO DE NEGOCIOS</v>
      </c>
      <c r="F193" s="4" t="str">
        <f>IF($A193="","",IF(COUNTIF('Base Exámenes'!$C$5:$C$1000, A193)&gt;0, "Completado", IF(M193&lt;&gt;"", M193, "Pendiente")))</f>
        <v>Completado</v>
      </c>
      <c r="G193" s="11">
        <f>IF(F193="Completado", IFERROR(IF(INDEX('Base Exámenes'!$D$5:$D$1000, MATCH(A193&amp;"|"&amp;J193, 'Base Exámenes'!$I$5:$I$1000, 0))="", "", INDEX('Base Exámenes'!$D$5:$D$1000, MATCH(A193&amp;"|"&amp;J193, 'Base Exámenes'!$I$5:$I$1000, 0))), ""), "")</f>
        <v>46311.71150462963</v>
      </c>
      <c r="H193" s="11">
        <f>IF(F193="Completado", IFERROR(IF(INDEX('Base Exámenes'!$E$5:$E$1000, MATCH(A193&amp;"|"&amp;J193, 'Base Exámenes'!$I$5:$I$1000, 0))="", "", INDEX('Base Exámenes'!$E$5:$E$1000, MATCH(A193&amp;"|"&amp;J193, 'Base Exámenes'!$I$5:$I$1000, 0))), ""), "")</f>
        <v>46311.71462962963</v>
      </c>
      <c r="I193" s="10">
        <f>IF(F193="Completado", IFERROR(IF(INDEX('Base Exámenes'!$F$5:$F$1000, MATCH(A193&amp;"|"&amp;J193, 'Base Exámenes'!$I$5:$I$1000, 0))="", "", INDEX('Base Exámenes'!$F$5:$F$1000, MATCH(A193&amp;"|"&amp;J193, 'Base Exámenes'!$I$5:$I$1000, 0))), ""), "")</f>
        <v>4.5</v>
      </c>
      <c r="J193" s="6">
        <f>IF(F193="Completado", IF(COUNTIFS('Base Exámenes'!$C$5:$C$1000, A193, 'Base Exámenes'!$G$5:$G$1000, "&lt;&gt;")=0, "", _xlfn.MAXIFS('Base Exámenes'!$G$5:$G$1000, 'Base Exámenes'!$C$5:$C$1000, A193)), "")</f>
        <v>90</v>
      </c>
      <c r="K193" s="6" t="str">
        <f>IF(F193="Completado", IFERROR(IF(INDEX('Base Exámenes'!$H$5:$H$1000, MATCH(A193&amp;"|"&amp;J193, 'Base Exámenes'!$I$5:$I$1000, 0))="", "", INDEX('Base Exámenes'!$H$5:$H$1000, MATCH(A193&amp;"|"&amp;J193, 'Base Exámenes'!$I$5:$I$1000, 0))), ""), "")</f>
        <v>anonymous</v>
      </c>
      <c r="L193" s="22">
        <f>IF($A193="","",COUNTIF('Base Exámenes'!$C$5:$C$1000, A193))</f>
        <v>1</v>
      </c>
      <c r="M193" s="6" t="str">
        <f>IF($A193="","",IF(COUNTIF('Base Exámenes'!$C$5:$C$1000, A193)&gt;0, "", TRIM('Base Oficial'!H193)))</f>
        <v/>
      </c>
    </row>
    <row r="194">
      <c r="A194" s="4" t="str">
        <f>IF('Base Oficial'!A194="","",TRIM('Base Oficial'!A194))</f>
        <v>253</v>
      </c>
      <c r="B194" s="6" t="str">
        <f>IF($A194="","",TRIM('Base Oficial'!B194))</f>
        <v>ELSY GUADALUPE COREA AGUILUZ</v>
      </c>
      <c r="C194" s="6" t="str">
        <f>IF($A194="","",TRIM('Base Oficial'!F194))</f>
        <v>AGENCIA CENTRAL</v>
      </c>
      <c r="D194" s="6" t="str">
        <f>IF($A194="","",TRIM('Base Oficial'!G194))</f>
        <v>Gerencia de Negocios</v>
      </c>
      <c r="E194" s="6" t="str">
        <f>IF($A194="","",TRIM('Base Oficial'!D194))</f>
        <v>EJECUTIVO DE NEGOCIOS</v>
      </c>
      <c r="F194" s="4" t="str">
        <f>IF($A194="","",IF(COUNTIF('Base Exámenes'!$C$5:$C$1000, A194)&gt;0, "Completado", IF(M194&lt;&gt;"", M194, "Pendiente")))</f>
        <v>Completado</v>
      </c>
      <c r="G194" s="11">
        <f>IF(F194="Completado", IFERROR(IF(INDEX('Base Exámenes'!$D$5:$D$1000, MATCH(A194&amp;"|"&amp;J194, 'Base Exámenes'!$I$5:$I$1000, 0))="", "", INDEX('Base Exámenes'!$D$5:$D$1000, MATCH(A194&amp;"|"&amp;J194, 'Base Exámenes'!$I$5:$I$1000, 0))), ""), "")</f>
        <v>46311.716840277775</v>
      </c>
      <c r="H194" s="11">
        <f>IF(F194="Completado", IFERROR(IF(INDEX('Base Exámenes'!$E$5:$E$1000, MATCH(A194&amp;"|"&amp;J194, 'Base Exámenes'!$I$5:$I$1000, 0))="", "", INDEX('Base Exámenes'!$E$5:$E$1000, MATCH(A194&amp;"|"&amp;J194, 'Base Exámenes'!$I$5:$I$1000, 0))), ""), "")</f>
        <v>46311.719502314816</v>
      </c>
      <c r="I194" s="10">
        <f>IF(F194="Completado", IFERROR(IF(INDEX('Base Exámenes'!$F$5:$F$1000, MATCH(A194&amp;"|"&amp;J194, 'Base Exámenes'!$I$5:$I$1000, 0))="", "", INDEX('Base Exámenes'!$F$5:$F$1000, MATCH(A194&amp;"|"&amp;J194, 'Base Exámenes'!$I$5:$I$1000, 0))), ""), "")</f>
        <v>3.83333333333333</v>
      </c>
      <c r="J194" s="6">
        <f>IF(F194="Completado", IF(COUNTIFS('Base Exámenes'!$C$5:$C$1000, A194, 'Base Exámenes'!$G$5:$G$1000, "&lt;&gt;")=0, "", _xlfn.MAXIFS('Base Exámenes'!$G$5:$G$1000, 'Base Exámenes'!$C$5:$C$1000, A194)), "")</f>
        <v>100</v>
      </c>
      <c r="K194" s="6" t="str">
        <f>IF(F194="Completado", IFERROR(IF(INDEX('Base Exámenes'!$H$5:$H$1000, MATCH(A194&amp;"|"&amp;J194, 'Base Exámenes'!$I$5:$I$1000, 0))="", "", INDEX('Base Exámenes'!$H$5:$H$1000, MATCH(A194&amp;"|"&amp;J194, 'Base Exámenes'!$I$5:$I$1000, 0))), ""), "")</f>
        <v>anonymous</v>
      </c>
      <c r="L194" s="22">
        <f>IF($A194="","",COUNTIF('Base Exámenes'!$C$5:$C$1000, A194))</f>
        <v>1</v>
      </c>
      <c r="M194" s="6" t="str">
        <f>IF($A194="","",IF(COUNTIF('Base Exámenes'!$C$5:$C$1000, A194)&gt;0, "", TRIM('Base Oficial'!H194)))</f>
        <v/>
      </c>
    </row>
    <row r="195">
      <c r="A195" s="4" t="str">
        <f>IF('Base Oficial'!A195="","",TRIM('Base Oficial'!A195))</f>
        <v>385</v>
      </c>
      <c r="B195" s="6" t="str">
        <f>IF($A195="","",TRIM('Base Oficial'!B195))</f>
        <v>BLANCA ARACELY MORENO HERNANDEZ</v>
      </c>
      <c r="C195" s="6" t="str">
        <f>IF($A195="","",TRIM('Base Oficial'!F195))</f>
        <v>AGENCIA CENTRAL</v>
      </c>
      <c r="D195" s="6" t="str">
        <f>IF($A195="","",TRIM('Base Oficial'!G195))</f>
        <v>Gerencia de Negocios</v>
      </c>
      <c r="E195" s="6" t="str">
        <f>IF($A195="","",TRIM('Base Oficial'!D195))</f>
        <v>AUXILIAR DE OPERACIONES Y ATENCION EN AGENCIA</v>
      </c>
      <c r="F195" s="4" t="str">
        <f>IF($A195="","",IF(COUNTIF('Base Exámenes'!$C$5:$C$1000, A195)&gt;0, "Completado", IF(M195&lt;&gt;"", M195, "Pendiente")))</f>
        <v>Completado</v>
      </c>
      <c r="G195" s="11">
        <f>IF(F195="Completado", IFERROR(IF(INDEX('Base Exámenes'!$D$5:$D$1000, MATCH(A195&amp;"|"&amp;J195, 'Base Exámenes'!$I$5:$I$1000, 0))="", "", INDEX('Base Exámenes'!$D$5:$D$1000, MATCH(A195&amp;"|"&amp;J195, 'Base Exámenes'!$I$5:$I$1000, 0))), ""), "")</f>
        <v>46311.50098379629</v>
      </c>
      <c r="H195" s="11">
        <f>IF(F195="Completado", IFERROR(IF(INDEX('Base Exámenes'!$E$5:$E$1000, MATCH(A195&amp;"|"&amp;J195, 'Base Exámenes'!$I$5:$I$1000, 0))="", "", INDEX('Base Exámenes'!$E$5:$E$1000, MATCH(A195&amp;"|"&amp;J195, 'Base Exámenes'!$I$5:$I$1000, 0))), ""), "")</f>
        <v>46311.50697916667</v>
      </c>
      <c r="I195" s="10">
        <f>IF(F195="Completado", IFERROR(IF(INDEX('Base Exámenes'!$F$5:$F$1000, MATCH(A195&amp;"|"&amp;J195, 'Base Exámenes'!$I$5:$I$1000, 0))="", "", INDEX('Base Exámenes'!$F$5:$F$1000, MATCH(A195&amp;"|"&amp;J195, 'Base Exámenes'!$I$5:$I$1000, 0))), ""), "")</f>
        <v>8.63333333333333</v>
      </c>
      <c r="J195" s="6">
        <f>IF(F195="Completado", IF(COUNTIFS('Base Exámenes'!$C$5:$C$1000, A195, 'Base Exámenes'!$G$5:$G$1000, "&lt;&gt;")=0, "", _xlfn.MAXIFS('Base Exámenes'!$G$5:$G$1000, 'Base Exámenes'!$C$5:$C$1000, A195)), "")</f>
        <v>100</v>
      </c>
      <c r="K195" s="6" t="str">
        <f>IF(F195="Completado", IFERROR(IF(INDEX('Base Exámenes'!$H$5:$H$1000, MATCH(A195&amp;"|"&amp;J195, 'Base Exámenes'!$I$5:$I$1000, 0))="", "", INDEX('Base Exámenes'!$H$5:$H$1000, MATCH(A195&amp;"|"&amp;J195, 'Base Exámenes'!$I$5:$I$1000, 0))), ""), "")</f>
        <v>anonymous</v>
      </c>
      <c r="L195" s="22">
        <f>IF($A195="","",COUNTIF('Base Exámenes'!$C$5:$C$1000, A195))</f>
        <v>1</v>
      </c>
      <c r="M195" s="6" t="str">
        <f>IF($A195="","",IF(COUNTIF('Base Exámenes'!$C$5:$C$1000, A195)&gt;0, "", TRIM('Base Oficial'!H195)))</f>
        <v/>
      </c>
    </row>
    <row r="196">
      <c r="A196" s="4" t="str">
        <f>IF('Base Oficial'!A196="","",TRIM('Base Oficial'!A196))</f>
        <v>440</v>
      </c>
      <c r="B196" s="6" t="str">
        <f>IF($A196="","",TRIM('Base Oficial'!B196))</f>
        <v>KARLA MERCEDES DELEON DELGADO</v>
      </c>
      <c r="C196" s="6" t="str">
        <f>IF($A196="","",TRIM('Base Oficial'!F196))</f>
        <v>AGENCIA CENTRAL</v>
      </c>
      <c r="D196" s="6" t="str">
        <f>IF($A196="","",TRIM('Base Oficial'!G196))</f>
        <v>Gerencia de Negocios</v>
      </c>
      <c r="E196" s="6" t="str">
        <f>IF($A196="","",TRIM('Base Oficial'!D196))</f>
        <v>JEFE DE AGENCIA</v>
      </c>
      <c r="F196" s="4" t="str">
        <f>IF($A196="","",IF(COUNTIF('Base Exámenes'!$C$5:$C$1000, A196)&gt;0, "Completado", IF(M196&lt;&gt;"", M196, "Pendiente")))</f>
        <v>Vacaciones</v>
      </c>
      <c r="G196" s="11" t="str">
        <f>IF(F196="Completado", IFERROR(IF(INDEX('Base Exámenes'!$D$5:$D$1000, MATCH(A196&amp;"|"&amp;J196, 'Base Exámenes'!$I$5:$I$1000, 0))="", "", INDEX('Base Exámenes'!$D$5:$D$1000, MATCH(A196&amp;"|"&amp;J196, 'Base Exámenes'!$I$5:$I$1000, 0))), ""), "")</f>
        <v/>
      </c>
      <c r="H196" s="11" t="str">
        <f>IF(F196="Completado", IFERROR(IF(INDEX('Base Exámenes'!$E$5:$E$1000, MATCH(A196&amp;"|"&amp;J196, 'Base Exámenes'!$I$5:$I$1000, 0))="", "", INDEX('Base Exámenes'!$E$5:$E$1000, MATCH(A196&amp;"|"&amp;J196, 'Base Exámenes'!$I$5:$I$1000, 0))), ""), "")</f>
        <v/>
      </c>
      <c r="I196" s="10" t="str">
        <f>IF(F196="Completado", IFERROR(IF(INDEX('Base Exámenes'!$F$5:$F$1000, MATCH(A196&amp;"|"&amp;J196, 'Base Exámenes'!$I$5:$I$1000, 0))="", "", INDEX('Base Exámenes'!$F$5:$F$1000, MATCH(A196&amp;"|"&amp;J196, 'Base Exámenes'!$I$5:$I$1000, 0))), ""), "")</f>
        <v/>
      </c>
      <c r="J196" s="6" t="str">
        <f>IF(F196="Completado", IF(COUNTIFS('Base Exámenes'!$C$5:$C$1000, A196, 'Base Exámenes'!$G$5:$G$1000, "&lt;&gt;")=0, "", _xlfn.MAXIFS('Base Exámenes'!$G$5:$G$1000, 'Base Exámenes'!$C$5:$C$1000, A196)), "")</f>
        <v/>
      </c>
      <c r="K196" s="6" t="str">
        <f>IF(F196="Completado", IFERROR(IF(INDEX('Base Exámenes'!$H$5:$H$1000, MATCH(A196&amp;"|"&amp;J196, 'Base Exámenes'!$I$5:$I$1000, 0))="", "", INDEX('Base Exámenes'!$H$5:$H$1000, MATCH(A196&amp;"|"&amp;J196, 'Base Exámenes'!$I$5:$I$1000, 0))), ""), "")</f>
        <v/>
      </c>
      <c r="L196" s="22">
        <f>IF($A196="","",COUNTIF('Base Exámenes'!$C$5:$C$1000, A196))</f>
        <v>0</v>
      </c>
      <c r="M196" s="6" t="str">
        <f>IF($A196="","",IF(COUNTIF('Base Exámenes'!$C$5:$C$1000, A196)&gt;0, "", TRIM('Base Oficial'!H196)))</f>
        <v>Vacaciones</v>
      </c>
    </row>
    <row r="197">
      <c r="A197" s="4" t="str">
        <f>IF('Base Oficial'!A197="","",TRIM('Base Oficial'!A197))</f>
        <v>542</v>
      </c>
      <c r="B197" s="6" t="str">
        <f>IF($A197="","",TRIM('Base Oficial'!B197))</f>
        <v>ANA SILVIA ROQUE SANCHEZ</v>
      </c>
      <c r="C197" s="6" t="str">
        <f>IF($A197="","",TRIM('Base Oficial'!F197))</f>
        <v>AGENCIA CENTRAL</v>
      </c>
      <c r="D197" s="6" t="str">
        <f>IF($A197="","",TRIM('Base Oficial'!G197))</f>
        <v>Gerencia de Negocios</v>
      </c>
      <c r="E197" s="6" t="str">
        <f>IF($A197="","",TRIM('Base Oficial'!D197))</f>
        <v>EJECUTIVA DE SEGUROS</v>
      </c>
      <c r="F197" s="4" t="str">
        <f>IF($A197="","",IF(COUNTIF('Base Exámenes'!$C$5:$C$1000, A197)&gt;0, "Completado", IF(M197&lt;&gt;"", M197, "Pendiente")))</f>
        <v>Completado</v>
      </c>
      <c r="G197" s="11">
        <f>IF(F197="Completado", IFERROR(IF(INDEX('Base Exámenes'!$D$5:$D$1000, MATCH(A197&amp;"|"&amp;J197, 'Base Exámenes'!$I$5:$I$1000, 0))="", "", INDEX('Base Exámenes'!$D$5:$D$1000, MATCH(A197&amp;"|"&amp;J197, 'Base Exámenes'!$I$5:$I$1000, 0))), ""), "")</f>
        <v>46302.63820601852</v>
      </c>
      <c r="H197" s="11">
        <f>IF(F197="Completado", IFERROR(IF(INDEX('Base Exámenes'!$E$5:$E$1000, MATCH(A197&amp;"|"&amp;J197, 'Base Exámenes'!$I$5:$I$1000, 0))="", "", INDEX('Base Exámenes'!$E$5:$E$1000, MATCH(A197&amp;"|"&amp;J197, 'Base Exámenes'!$I$5:$I$1000, 0))), ""), "")</f>
        <v>46302.67400462963</v>
      </c>
      <c r="I197" s="10">
        <f>IF(F197="Completado", IFERROR(IF(INDEX('Base Exámenes'!$F$5:$F$1000, MATCH(A197&amp;"|"&amp;J197, 'Base Exámenes'!$I$5:$I$1000, 0))="", "", INDEX('Base Exámenes'!$F$5:$F$1000, MATCH(A197&amp;"|"&amp;J197, 'Base Exámenes'!$I$5:$I$1000, 0))), ""), "")</f>
        <v>51.55</v>
      </c>
      <c r="J197" s="6">
        <f>IF(F197="Completado", IF(COUNTIFS('Base Exámenes'!$C$5:$C$1000, A197, 'Base Exámenes'!$G$5:$G$1000, "&lt;&gt;")=0, "", _xlfn.MAXIFS('Base Exámenes'!$G$5:$G$1000, 'Base Exámenes'!$C$5:$C$1000, A197)), "")</f>
        <v>95</v>
      </c>
      <c r="K197" s="6" t="str">
        <f>IF(F197="Completado", IFERROR(IF(INDEX('Base Exámenes'!$H$5:$H$1000, MATCH(A197&amp;"|"&amp;J197, 'Base Exámenes'!$I$5:$I$1000, 0))="", "", INDEX('Base Exámenes'!$H$5:$H$1000, MATCH(A197&amp;"|"&amp;J197, 'Base Exámenes'!$I$5:$I$1000, 0))), ""), "")</f>
        <v>anonymous</v>
      </c>
      <c r="L197" s="22">
        <f>IF($A197="","",COUNTIF('Base Exámenes'!$C$5:$C$1000, A197))</f>
        <v>1</v>
      </c>
      <c r="M197" s="6" t="str">
        <f>IF($A197="","",IF(COUNTIF('Base Exámenes'!$C$5:$C$1000, A197)&gt;0, "", TRIM('Base Oficial'!H197)))</f>
        <v/>
      </c>
    </row>
    <row r="198">
      <c r="A198" s="4" t="str">
        <f>IF('Base Oficial'!A198="","",TRIM('Base Oficial'!A198))</f>
        <v>739</v>
      </c>
      <c r="B198" s="6" t="str">
        <f>IF($A198="","",TRIM('Base Oficial'!B198))</f>
        <v>JOHANA PATRICIA LUNA RAMOS</v>
      </c>
      <c r="C198" s="6" t="str">
        <f>IF($A198="","",TRIM('Base Oficial'!F198))</f>
        <v>AGENCIA CENTRAL</v>
      </c>
      <c r="D198" s="6" t="str">
        <f>IF($A198="","",TRIM('Base Oficial'!G198))</f>
        <v>Gerencia de Negocios</v>
      </c>
      <c r="E198" s="6" t="str">
        <f>IF($A198="","",TRIM('Base Oficial'!D198))</f>
        <v>CAJERO</v>
      </c>
      <c r="F198" s="4" t="str">
        <f>IF($A198="","",IF(COUNTIF('Base Exámenes'!$C$5:$C$1000, A198)&gt;0, "Completado", IF(M198&lt;&gt;"", M198, "Pendiente")))</f>
        <v>Incapacidad por maternidad</v>
      </c>
      <c r="G198" s="11" t="str">
        <f>IF(F198="Completado", IFERROR(IF(INDEX('Base Exámenes'!$D$5:$D$1000, MATCH(A198&amp;"|"&amp;J198, 'Base Exámenes'!$I$5:$I$1000, 0))="", "", INDEX('Base Exámenes'!$D$5:$D$1000, MATCH(A198&amp;"|"&amp;J198, 'Base Exámenes'!$I$5:$I$1000, 0))), ""), "")</f>
        <v/>
      </c>
      <c r="H198" s="11" t="str">
        <f>IF(F198="Completado", IFERROR(IF(INDEX('Base Exámenes'!$E$5:$E$1000, MATCH(A198&amp;"|"&amp;J198, 'Base Exámenes'!$I$5:$I$1000, 0))="", "", INDEX('Base Exámenes'!$E$5:$E$1000, MATCH(A198&amp;"|"&amp;J198, 'Base Exámenes'!$I$5:$I$1000, 0))), ""), "")</f>
        <v/>
      </c>
      <c r="I198" s="10" t="str">
        <f>IF(F198="Completado", IFERROR(IF(INDEX('Base Exámenes'!$F$5:$F$1000, MATCH(A198&amp;"|"&amp;J198, 'Base Exámenes'!$I$5:$I$1000, 0))="", "", INDEX('Base Exámenes'!$F$5:$F$1000, MATCH(A198&amp;"|"&amp;J198, 'Base Exámenes'!$I$5:$I$1000, 0))), ""), "")</f>
        <v/>
      </c>
      <c r="J198" s="6" t="str">
        <f>IF(F198="Completado", IF(COUNTIFS('Base Exámenes'!$C$5:$C$1000, A198, 'Base Exámenes'!$G$5:$G$1000, "&lt;&gt;")=0, "", _xlfn.MAXIFS('Base Exámenes'!$G$5:$G$1000, 'Base Exámenes'!$C$5:$C$1000, A198)), "")</f>
        <v/>
      </c>
      <c r="K198" s="6" t="str">
        <f>IF(F198="Completado", IFERROR(IF(INDEX('Base Exámenes'!$H$5:$H$1000, MATCH(A198&amp;"|"&amp;J198, 'Base Exámenes'!$I$5:$I$1000, 0))="", "", INDEX('Base Exámenes'!$H$5:$H$1000, MATCH(A198&amp;"|"&amp;J198, 'Base Exámenes'!$I$5:$I$1000, 0))), ""), "")</f>
        <v/>
      </c>
      <c r="L198" s="22">
        <f>IF($A198="","",COUNTIF('Base Exámenes'!$C$5:$C$1000, A198))</f>
        <v>0</v>
      </c>
      <c r="M198" s="6" t="str">
        <f>IF($A198="","",IF(COUNTIF('Base Exámenes'!$C$5:$C$1000, A198)&gt;0, "", TRIM('Base Oficial'!H198)))</f>
        <v>Incapacidad por maternidad</v>
      </c>
    </row>
    <row r="199">
      <c r="A199" s="4" t="str">
        <f>IF('Base Oficial'!A199="","",TRIM('Base Oficial'!A199))</f>
        <v>757</v>
      </c>
      <c r="B199" s="6" t="str">
        <f>IF($A199="","",TRIM('Base Oficial'!B199))</f>
        <v>MARIA DE LOS ANGELES OSORIO GIL</v>
      </c>
      <c r="C199" s="6" t="str">
        <f>IF($A199="","",TRIM('Base Oficial'!F199))</f>
        <v>AGENCIA CENTRAL</v>
      </c>
      <c r="D199" s="6" t="str">
        <f>IF($A199="","",TRIM('Base Oficial'!G199))</f>
        <v>Gerencia de Negocios</v>
      </c>
      <c r="E199" s="6" t="str">
        <f>IF($A199="","",TRIM('Base Oficial'!D199))</f>
        <v>CAJERO</v>
      </c>
      <c r="F199" s="4" t="str">
        <f>IF($A199="","",IF(COUNTIF('Base Exámenes'!$C$5:$C$1000, A199)&gt;0, "Completado", IF(M199&lt;&gt;"", M199, "Pendiente")))</f>
        <v>Completado</v>
      </c>
      <c r="G199" s="11">
        <f>IF(F199="Completado", IFERROR(IF(INDEX('Base Exámenes'!$D$5:$D$1000, MATCH(A199&amp;"|"&amp;J199, 'Base Exámenes'!$I$5:$I$1000, 0))="", "", INDEX('Base Exámenes'!$D$5:$D$1000, MATCH(A199&amp;"|"&amp;J199, 'Base Exámenes'!$I$5:$I$1000, 0))), ""), "")</f>
        <v>46303.441712962966</v>
      </c>
      <c r="H199" s="11">
        <f>IF(F199="Completado", IFERROR(IF(INDEX('Base Exámenes'!$E$5:$E$1000, MATCH(A199&amp;"|"&amp;J199, 'Base Exámenes'!$I$5:$I$1000, 0))="", "", INDEX('Base Exámenes'!$E$5:$E$1000, MATCH(A199&amp;"|"&amp;J199, 'Base Exámenes'!$I$5:$I$1000, 0))), ""), "")</f>
        <v>46303.443460648145</v>
      </c>
      <c r="I199" s="10">
        <f>IF(F199="Completado", IFERROR(IF(INDEX('Base Exámenes'!$F$5:$F$1000, MATCH(A199&amp;"|"&amp;J199, 'Base Exámenes'!$I$5:$I$1000, 0))="", "", INDEX('Base Exámenes'!$F$5:$F$1000, MATCH(A199&amp;"|"&amp;J199, 'Base Exámenes'!$I$5:$I$1000, 0))), ""), "")</f>
        <v>2.5166666368</v>
      </c>
      <c r="J199" s="6">
        <f>IF(F199="Completado", IF(COUNTIFS('Base Exámenes'!$C$5:$C$1000, A199, 'Base Exámenes'!$G$5:$G$1000, "&lt;&gt;")=0, "", _xlfn.MAXIFS('Base Exámenes'!$G$5:$G$1000, 'Base Exámenes'!$C$5:$C$1000, A199)), "")</f>
        <v>100</v>
      </c>
      <c r="K199" s="6" t="str">
        <f>IF(F199="Completado", IFERROR(IF(INDEX('Base Exámenes'!$H$5:$H$1000, MATCH(A199&amp;"|"&amp;J199, 'Base Exámenes'!$I$5:$I$1000, 0))="", "", INDEX('Base Exámenes'!$H$5:$H$1000, MATCH(A199&amp;"|"&amp;J199, 'Base Exámenes'!$I$5:$I$1000, 0))), ""), "")</f>
        <v>anonymous</v>
      </c>
      <c r="L199" s="22">
        <f>IF($A199="","",COUNTIF('Base Exámenes'!$C$5:$C$1000, A199))</f>
        <v>1</v>
      </c>
      <c r="M199" s="6" t="str">
        <f>IF($A199="","",IF(COUNTIF('Base Exámenes'!$C$5:$C$1000, A199)&gt;0, "", TRIM('Base Oficial'!H199)))</f>
        <v/>
      </c>
    </row>
    <row r="200">
      <c r="A200" s="4" t="str">
        <f>IF('Base Oficial'!A200="","",TRIM('Base Oficial'!A200))</f>
        <v>768</v>
      </c>
      <c r="B200" s="6" t="str">
        <f>IF($A200="","",TRIM('Base Oficial'!B200))</f>
        <v>KATHERINE MICHELLE LOPEZ LOPEZ</v>
      </c>
      <c r="C200" s="6" t="str">
        <f>IF($A200="","",TRIM('Base Oficial'!F200))</f>
        <v>AGENCIA CENTRAL</v>
      </c>
      <c r="D200" s="6" t="str">
        <f>IF($A200="","",TRIM('Base Oficial'!G200))</f>
        <v>Gerencia de Negocios</v>
      </c>
      <c r="E200" s="6" t="str">
        <f>IF($A200="","",TRIM('Base Oficial'!D200))</f>
        <v>AUXILIAR DE OPERACIONES Y ATENCION EN AGENCIA</v>
      </c>
      <c r="F200" s="4" t="str">
        <f>IF($A200="","",IF(COUNTIF('Base Exámenes'!$C$5:$C$1000, A200)&gt;0, "Completado", IF(M200&lt;&gt;"", M200, "Pendiente")))</f>
        <v>Completado</v>
      </c>
      <c r="G200" s="11">
        <f>IF(F200="Completado", IFERROR(IF(INDEX('Base Exámenes'!$D$5:$D$1000, MATCH(A200&amp;"|"&amp;J200, 'Base Exámenes'!$I$5:$I$1000, 0))="", "", INDEX('Base Exámenes'!$D$5:$D$1000, MATCH(A200&amp;"|"&amp;J200, 'Base Exámenes'!$I$5:$I$1000, 0))), ""), "")</f>
        <v>46310.65715277778</v>
      </c>
      <c r="H200" s="11">
        <f>IF(F200="Completado", IFERROR(IF(INDEX('Base Exámenes'!$E$5:$E$1000, MATCH(A200&amp;"|"&amp;J200, 'Base Exámenes'!$I$5:$I$1000, 0))="", "", INDEX('Base Exámenes'!$E$5:$E$1000, MATCH(A200&amp;"|"&amp;J200, 'Base Exámenes'!$I$5:$I$1000, 0))), ""), "")</f>
        <v>46310.65997685185</v>
      </c>
      <c r="I200" s="10">
        <f>IF(F200="Completado", IFERROR(IF(INDEX('Base Exámenes'!$F$5:$F$1000, MATCH(A200&amp;"|"&amp;J200, 'Base Exámenes'!$I$5:$I$1000, 0))="", "", INDEX('Base Exámenes'!$F$5:$F$1000, MATCH(A200&amp;"|"&amp;J200, 'Base Exámenes'!$I$5:$I$1000, 0))), ""), "")</f>
        <v>4.06666666666667</v>
      </c>
      <c r="J200" s="6">
        <f>IF(F200="Completado", IF(COUNTIFS('Base Exámenes'!$C$5:$C$1000, A200, 'Base Exámenes'!$G$5:$G$1000, "&lt;&gt;")=0, "", _xlfn.MAXIFS('Base Exámenes'!$G$5:$G$1000, 'Base Exámenes'!$C$5:$C$1000, A200)), "")</f>
        <v>100</v>
      </c>
      <c r="K200" s="6" t="str">
        <f>IF(F200="Completado", IFERROR(IF(INDEX('Base Exámenes'!$H$5:$H$1000, MATCH(A200&amp;"|"&amp;J200, 'Base Exámenes'!$I$5:$I$1000, 0))="", "", INDEX('Base Exámenes'!$H$5:$H$1000, MATCH(A200&amp;"|"&amp;J200, 'Base Exámenes'!$I$5:$I$1000, 0))), ""), "")</f>
        <v>anonymous</v>
      </c>
      <c r="L200" s="22">
        <f>IF($A200="","",COUNTIF('Base Exámenes'!$C$5:$C$1000, A200))</f>
        <v>1</v>
      </c>
      <c r="M200" s="6" t="str">
        <f>IF($A200="","",IF(COUNTIF('Base Exámenes'!$C$5:$C$1000, A200)&gt;0, "", TRIM('Base Oficial'!H200)))</f>
        <v/>
      </c>
    </row>
    <row r="201">
      <c r="A201" s="4" t="str">
        <f>IF('Base Oficial'!A201="","",TRIM('Base Oficial'!A201))</f>
        <v>848</v>
      </c>
      <c r="B201" s="6" t="str">
        <f>IF($A201="","",TRIM('Base Oficial'!B201))</f>
        <v>JAZMIN ABIGAIL VASQUEZ AVELAR</v>
      </c>
      <c r="C201" s="6" t="str">
        <f>IF($A201="","",TRIM('Base Oficial'!F201))</f>
        <v>AGENCIA CENTRAL</v>
      </c>
      <c r="D201" s="6" t="str">
        <f>IF($A201="","",TRIM('Base Oficial'!G201))</f>
        <v>Gerencia de Negocios</v>
      </c>
      <c r="E201" s="6" t="str">
        <f>IF($A201="","",TRIM('Base Oficial'!D201))</f>
        <v>CAJERO</v>
      </c>
      <c r="F201" s="4" t="str">
        <f>IF($A201="","",IF(COUNTIF('Base Exámenes'!$C$5:$C$1000, A201)&gt;0, "Completado", IF(M201&lt;&gt;"", M201, "Pendiente")))</f>
        <v>Completado</v>
      </c>
      <c r="G201" s="11">
        <f>IF(F201="Completado", IFERROR(IF(INDEX('Base Exámenes'!$D$5:$D$1000, MATCH(A201&amp;"|"&amp;J201, 'Base Exámenes'!$I$5:$I$1000, 0))="", "", INDEX('Base Exámenes'!$D$5:$D$1000, MATCH(A201&amp;"|"&amp;J201, 'Base Exámenes'!$I$5:$I$1000, 0))), ""), "")</f>
        <v>46311.47895833333</v>
      </c>
      <c r="H201" s="11">
        <f>IF(F201="Completado", IFERROR(IF(INDEX('Base Exámenes'!$E$5:$E$1000, MATCH(A201&amp;"|"&amp;J201, 'Base Exámenes'!$I$5:$I$1000, 0))="", "", INDEX('Base Exámenes'!$E$5:$E$1000, MATCH(A201&amp;"|"&amp;J201, 'Base Exámenes'!$I$5:$I$1000, 0))), ""), "")</f>
        <v>46311.484826388885</v>
      </c>
      <c r="I201" s="10">
        <f>IF(F201="Completado", IFERROR(IF(INDEX('Base Exámenes'!$F$5:$F$1000, MATCH(A201&amp;"|"&amp;J201, 'Base Exámenes'!$I$5:$I$1000, 0))="", "", INDEX('Base Exámenes'!$F$5:$F$1000, MATCH(A201&amp;"|"&amp;J201, 'Base Exámenes'!$I$5:$I$1000, 0))), ""), "")</f>
        <v>8.45</v>
      </c>
      <c r="J201" s="6">
        <f>IF(F201="Completado", IF(COUNTIFS('Base Exámenes'!$C$5:$C$1000, A201, 'Base Exámenes'!$G$5:$G$1000, "&lt;&gt;")=0, "", _xlfn.MAXIFS('Base Exámenes'!$G$5:$G$1000, 'Base Exámenes'!$C$5:$C$1000, A201)), "")</f>
        <v>100</v>
      </c>
      <c r="K201" s="6" t="str">
        <f>IF(F201="Completado", IFERROR(IF(INDEX('Base Exámenes'!$H$5:$H$1000, MATCH(A201&amp;"|"&amp;J201, 'Base Exámenes'!$I$5:$I$1000, 0))="", "", INDEX('Base Exámenes'!$H$5:$H$1000, MATCH(A201&amp;"|"&amp;J201, 'Base Exámenes'!$I$5:$I$1000, 0))), ""), "")</f>
        <v>anonymous</v>
      </c>
      <c r="L201" s="22">
        <f>IF($A201="","",COUNTIF('Base Exámenes'!$C$5:$C$1000, A201))</f>
        <v>1</v>
      </c>
      <c r="M201" s="6" t="str">
        <f>IF($A201="","",IF(COUNTIF('Base Exámenes'!$C$5:$C$1000, A201)&gt;0, "", TRIM('Base Oficial'!H201)))</f>
        <v/>
      </c>
    </row>
    <row r="202">
      <c r="A202" s="4" t="str">
        <f>IF('Base Oficial'!A202="","",TRIM('Base Oficial'!A202))</f>
        <v>857</v>
      </c>
      <c r="B202" s="6" t="str">
        <f>IF($A202="","",TRIM('Base Oficial'!B202))</f>
        <v>ESTHER ABIGAIL FLORES GRANDE</v>
      </c>
      <c r="C202" s="6" t="str">
        <f>IF($A202="","",TRIM('Base Oficial'!F202))</f>
        <v>AGENCIA CENTRAL</v>
      </c>
      <c r="D202" s="6" t="str">
        <f>IF($A202="","",TRIM('Base Oficial'!G202))</f>
        <v>Gerencia de Negocios</v>
      </c>
      <c r="E202" s="6" t="str">
        <f>IF($A202="","",TRIM('Base Oficial'!D202))</f>
        <v>AUXILIAR DE OPERACIONES Y ATENCION EN AGENCIA</v>
      </c>
      <c r="F202" s="4" t="str">
        <f>IF($A202="","",IF(COUNTIF('Base Exámenes'!$C$5:$C$1000, A202)&gt;0, "Completado", IF(M202&lt;&gt;"", M202, "Pendiente")))</f>
        <v>Completado</v>
      </c>
      <c r="G202" s="11">
        <f>IF(F202="Completado", IFERROR(IF(INDEX('Base Exámenes'!$D$5:$D$1000, MATCH(A202&amp;"|"&amp;J202, 'Base Exámenes'!$I$5:$I$1000, 0))="", "", INDEX('Base Exámenes'!$D$5:$D$1000, MATCH(A202&amp;"|"&amp;J202, 'Base Exámenes'!$I$5:$I$1000, 0))), ""), "")</f>
        <v>46310.555</v>
      </c>
      <c r="H202" s="11">
        <f>IF(F202="Completado", IFERROR(IF(INDEX('Base Exámenes'!$E$5:$E$1000, MATCH(A202&amp;"|"&amp;J202, 'Base Exámenes'!$I$5:$I$1000, 0))="", "", INDEX('Base Exámenes'!$E$5:$E$1000, MATCH(A202&amp;"|"&amp;J202, 'Base Exámenes'!$I$5:$I$1000, 0))), ""), "")</f>
        <v>46310.55657407407</v>
      </c>
      <c r="I202" s="10">
        <f>IF(F202="Completado", IFERROR(IF(INDEX('Base Exámenes'!$F$5:$F$1000, MATCH(A202&amp;"|"&amp;J202, 'Base Exámenes'!$I$5:$I$1000, 0))="", "", INDEX('Base Exámenes'!$F$5:$F$1000, MATCH(A202&amp;"|"&amp;J202, 'Base Exámenes'!$I$5:$I$1000, 0))), ""), "")</f>
        <v>2.26666666666667</v>
      </c>
      <c r="J202" s="6">
        <f>IF(F202="Completado", IF(COUNTIFS('Base Exámenes'!$C$5:$C$1000, A202, 'Base Exámenes'!$G$5:$G$1000, "&lt;&gt;")=0, "", _xlfn.MAXIFS('Base Exámenes'!$G$5:$G$1000, 'Base Exámenes'!$C$5:$C$1000, A202)), "")</f>
        <v>100</v>
      </c>
      <c r="K202" s="6" t="str">
        <f>IF(F202="Completado", IFERROR(IF(INDEX('Base Exámenes'!$H$5:$H$1000, MATCH(A202&amp;"|"&amp;J202, 'Base Exámenes'!$I$5:$I$1000, 0))="", "", INDEX('Base Exámenes'!$H$5:$H$1000, MATCH(A202&amp;"|"&amp;J202, 'Base Exámenes'!$I$5:$I$1000, 0))), ""), "")</f>
        <v>anonymous</v>
      </c>
      <c r="L202" s="22">
        <f>IF($A202="","",COUNTIF('Base Exámenes'!$C$5:$C$1000, A202))</f>
        <v>1</v>
      </c>
      <c r="M202" s="6" t="str">
        <f>IF($A202="","",IF(COUNTIF('Base Exámenes'!$C$5:$C$1000, A202)&gt;0, "", TRIM('Base Oficial'!H202)))</f>
        <v/>
      </c>
    </row>
    <row r="203">
      <c r="A203" s="4" t="str">
        <f>IF('Base Oficial'!A203="","",TRIM('Base Oficial'!A203))</f>
        <v>953</v>
      </c>
      <c r="B203" s="6" t="str">
        <f>IF($A203="","",TRIM('Base Oficial'!B203))</f>
        <v>JESUS ADRIAN MENA AVALOS</v>
      </c>
      <c r="C203" s="6" t="str">
        <f>IF($A203="","",TRIM('Base Oficial'!F203))</f>
        <v>AGENCIA CENTRAL</v>
      </c>
      <c r="D203" s="6" t="str">
        <f>IF($A203="","",TRIM('Base Oficial'!G203))</f>
        <v>Gerencia de Negocios</v>
      </c>
      <c r="E203" s="6" t="str">
        <f>IF($A203="","",TRIM('Base Oficial'!D203))</f>
        <v>CAJERO</v>
      </c>
      <c r="F203" s="4" t="str">
        <f>IF($A203="","",IF(COUNTIF('Base Exámenes'!$C$5:$C$1000, A203)&gt;0, "Completado", IF(M203&lt;&gt;"", M203, "Pendiente")))</f>
        <v>Completado</v>
      </c>
      <c r="G203" s="11">
        <f>IF(F203="Completado", IFERROR(IF(INDEX('Base Exámenes'!$D$5:$D$1000, MATCH(A203&amp;"|"&amp;J203, 'Base Exámenes'!$I$5:$I$1000, 0))="", "", INDEX('Base Exámenes'!$D$5:$D$1000, MATCH(A203&amp;"|"&amp;J203, 'Base Exámenes'!$I$5:$I$1000, 0))), ""), "")</f>
        <v>46302.62548611111</v>
      </c>
      <c r="H203" s="11">
        <f>IF(F203="Completado", IFERROR(IF(INDEX('Base Exámenes'!$E$5:$E$1000, MATCH(A203&amp;"|"&amp;J203, 'Base Exámenes'!$I$5:$I$1000, 0))="", "", INDEX('Base Exámenes'!$E$5:$E$1000, MATCH(A203&amp;"|"&amp;J203, 'Base Exámenes'!$I$5:$I$1000, 0))), ""), "")</f>
        <v>46302.62670138889</v>
      </c>
      <c r="I203" s="10">
        <f>IF(F203="Completado", IFERROR(IF(INDEX('Base Exámenes'!$F$5:$F$1000, MATCH(A203&amp;"|"&amp;J203, 'Base Exámenes'!$I$5:$I$1000, 0))="", "", INDEX('Base Exámenes'!$F$5:$F$1000, MATCH(A203&amp;"|"&amp;J203, 'Base Exámenes'!$I$5:$I$1000, 0))), ""), "")</f>
        <v>1.75</v>
      </c>
      <c r="J203" s="6">
        <f>IF(F203="Completado", IF(COUNTIFS('Base Exámenes'!$C$5:$C$1000, A203, 'Base Exámenes'!$G$5:$G$1000, "&lt;&gt;")=0, "", _xlfn.MAXIFS('Base Exámenes'!$G$5:$G$1000, 'Base Exámenes'!$C$5:$C$1000, A203)), "")</f>
        <v>100</v>
      </c>
      <c r="K203" s="6" t="str">
        <f>IF(F203="Completado", IFERROR(IF(INDEX('Base Exámenes'!$H$5:$H$1000, MATCH(A203&amp;"|"&amp;J203, 'Base Exámenes'!$I$5:$I$1000, 0))="", "", INDEX('Base Exámenes'!$H$5:$H$1000, MATCH(A203&amp;"|"&amp;J203, 'Base Exámenes'!$I$5:$I$1000, 0))), ""), "")</f>
        <v>anonymous</v>
      </c>
      <c r="L203" s="22">
        <f>IF($A203="","",COUNTIF('Base Exámenes'!$C$5:$C$1000, A203))</f>
        <v>1</v>
      </c>
      <c r="M203" s="6" t="str">
        <f>IF($A203="","",IF(COUNTIF('Base Exámenes'!$C$5:$C$1000, A203)&gt;0, "", TRIM('Base Oficial'!H203)))</f>
        <v/>
      </c>
    </row>
    <row r="204">
      <c r="A204" s="4" t="str">
        <f>IF('Base Oficial'!A204="","",TRIM('Base Oficial'!A204))</f>
        <v>956</v>
      </c>
      <c r="B204" s="6" t="str">
        <f>IF($A204="","",TRIM('Base Oficial'!B204))</f>
        <v>ANGELA GABRIELA REYES MOLINA</v>
      </c>
      <c r="C204" s="6" t="str">
        <f>IF($A204="","",TRIM('Base Oficial'!F204))</f>
        <v>AGENCIA CENTRAL</v>
      </c>
      <c r="D204" s="6" t="str">
        <f>IF($A204="","",TRIM('Base Oficial'!G204))</f>
        <v>Gerencia de Negocios</v>
      </c>
      <c r="E204" s="6" t="str">
        <f>IF($A204="","",TRIM('Base Oficial'!D204))</f>
        <v>CAJERO</v>
      </c>
      <c r="F204" s="4" t="str">
        <f>IF($A204="","",IF(COUNTIF('Base Exámenes'!$C$5:$C$1000, A204)&gt;0, "Completado", IF(M204&lt;&gt;"", M204, "Pendiente")))</f>
        <v>Completado</v>
      </c>
      <c r="G204" s="11">
        <f>IF(F204="Completado", IFERROR(IF(INDEX('Base Exámenes'!$D$5:$D$1000, MATCH(A204&amp;"|"&amp;J204, 'Base Exámenes'!$I$5:$I$1000, 0))="", "", INDEX('Base Exámenes'!$D$5:$D$1000, MATCH(A204&amp;"|"&amp;J204, 'Base Exámenes'!$I$5:$I$1000, 0))), ""), "")</f>
        <v>46309.359456018516</v>
      </c>
      <c r="H204" s="11">
        <f>IF(F204="Completado", IFERROR(IF(INDEX('Base Exámenes'!$E$5:$E$1000, MATCH(A204&amp;"|"&amp;J204, 'Base Exámenes'!$I$5:$I$1000, 0))="", "", INDEX('Base Exámenes'!$E$5:$E$1000, MATCH(A204&amp;"|"&amp;J204, 'Base Exámenes'!$I$5:$I$1000, 0))), ""), "")</f>
        <v>46309.366736111115</v>
      </c>
      <c r="I204" s="10">
        <f>IF(F204="Completado", IFERROR(IF(INDEX('Base Exámenes'!$F$5:$F$1000, MATCH(A204&amp;"|"&amp;J204, 'Base Exámenes'!$I$5:$I$1000, 0))="", "", INDEX('Base Exámenes'!$F$5:$F$1000, MATCH(A204&amp;"|"&amp;J204, 'Base Exámenes'!$I$5:$I$1000, 0))), ""), "")</f>
        <v>10.4833333333333</v>
      </c>
      <c r="J204" s="6">
        <f>IF(F204="Completado", IF(COUNTIFS('Base Exámenes'!$C$5:$C$1000, A204, 'Base Exámenes'!$G$5:$G$1000, "&lt;&gt;")=0, "", _xlfn.MAXIFS('Base Exámenes'!$G$5:$G$1000, 'Base Exámenes'!$C$5:$C$1000, A204)), "")</f>
        <v>100</v>
      </c>
      <c r="K204" s="6" t="str">
        <f>IF(F204="Completado", IFERROR(IF(INDEX('Base Exámenes'!$H$5:$H$1000, MATCH(A204&amp;"|"&amp;J204, 'Base Exámenes'!$I$5:$I$1000, 0))="", "", INDEX('Base Exámenes'!$H$5:$H$1000, MATCH(A204&amp;"|"&amp;J204, 'Base Exámenes'!$I$5:$I$1000, 0))), ""), "")</f>
        <v>anonymous</v>
      </c>
      <c r="L204" s="22">
        <f>IF($A204="","",COUNTIF('Base Exámenes'!$C$5:$C$1000, A204))</f>
        <v>1</v>
      </c>
      <c r="M204" s="6" t="str">
        <f>IF($A204="","",IF(COUNTIF('Base Exámenes'!$C$5:$C$1000, A204)&gt;0, "", TRIM('Base Oficial'!H204)))</f>
        <v/>
      </c>
    </row>
    <row r="205">
      <c r="A205" s="4" t="str">
        <f>IF('Base Oficial'!A205="","",TRIM('Base Oficial'!A205))</f>
        <v>958</v>
      </c>
      <c r="B205" s="6" t="str">
        <f>IF($A205="","",TRIM('Base Oficial'!B205))</f>
        <v>ALEXANDRA DANIELA PINEDA JIMENEZ</v>
      </c>
      <c r="C205" s="6" t="str">
        <f>IF($A205="","",TRIM('Base Oficial'!F205))</f>
        <v>AGENCIA CENTRAL</v>
      </c>
      <c r="D205" s="6" t="str">
        <f>IF($A205="","",TRIM('Base Oficial'!G205))</f>
        <v>Gerencia de Negocios</v>
      </c>
      <c r="E205" s="6" t="str">
        <f>IF($A205="","",TRIM('Base Oficial'!D205))</f>
        <v>AUXILIAR DE ATENCION A ASOCIADOS</v>
      </c>
      <c r="F205" s="4" t="str">
        <f>IF($A205="","",IF(COUNTIF('Base Exámenes'!$C$5:$C$1000, A205)&gt;0, "Completado", IF(M205&lt;&gt;"", M205, "Pendiente")))</f>
        <v>Completado</v>
      </c>
      <c r="G205" s="11">
        <f>IF(F205="Completado", IFERROR(IF(INDEX('Base Exámenes'!$D$5:$D$1000, MATCH(A205&amp;"|"&amp;J205, 'Base Exámenes'!$I$5:$I$1000, 0))="", "", INDEX('Base Exámenes'!$D$5:$D$1000, MATCH(A205&amp;"|"&amp;J205, 'Base Exámenes'!$I$5:$I$1000, 0))), ""), "")</f>
        <v>46305.38385416667</v>
      </c>
      <c r="H205" s="11">
        <f>IF(F205="Completado", IFERROR(IF(INDEX('Base Exámenes'!$E$5:$E$1000, MATCH(A205&amp;"|"&amp;J205, 'Base Exámenes'!$I$5:$I$1000, 0))="", "", INDEX('Base Exámenes'!$E$5:$E$1000, MATCH(A205&amp;"|"&amp;J205, 'Base Exámenes'!$I$5:$I$1000, 0))), ""), "")</f>
        <v>46305.39554398148</v>
      </c>
      <c r="I205" s="10">
        <f>IF(F205="Completado", IFERROR(IF(INDEX('Base Exámenes'!$F$5:$F$1000, MATCH(A205&amp;"|"&amp;J205, 'Base Exámenes'!$I$5:$I$1000, 0))="", "", INDEX('Base Exámenes'!$F$5:$F$1000, MATCH(A205&amp;"|"&amp;J205, 'Base Exámenes'!$I$5:$I$1000, 0))), ""), "")</f>
        <v>16.8333333333333</v>
      </c>
      <c r="J205" s="6">
        <f>IF(F205="Completado", IF(COUNTIFS('Base Exámenes'!$C$5:$C$1000, A205, 'Base Exámenes'!$G$5:$G$1000, "&lt;&gt;")=0, "", _xlfn.MAXIFS('Base Exámenes'!$G$5:$G$1000, 'Base Exámenes'!$C$5:$C$1000, A205)), "")</f>
        <v>75</v>
      </c>
      <c r="K205" s="6" t="str">
        <f>IF(F205="Completado", IFERROR(IF(INDEX('Base Exámenes'!$H$5:$H$1000, MATCH(A205&amp;"|"&amp;J205, 'Base Exámenes'!$I$5:$I$1000, 0))="", "", INDEX('Base Exámenes'!$H$5:$H$1000, MATCH(A205&amp;"|"&amp;J205, 'Base Exámenes'!$I$5:$I$1000, 0))), ""), "")</f>
        <v>anonymous</v>
      </c>
      <c r="L205" s="22">
        <f>IF($A205="","",COUNTIF('Base Exámenes'!$C$5:$C$1000, A205))</f>
        <v>1</v>
      </c>
      <c r="M205" s="6" t="str">
        <f>IF($A205="","",IF(COUNTIF('Base Exámenes'!$C$5:$C$1000, A205)&gt;0, "", TRIM('Base Oficial'!H205)))</f>
        <v/>
      </c>
    </row>
    <row r="206">
      <c r="A206" s="4" t="str">
        <f>IF('Base Oficial'!A206="","",TRIM('Base Oficial'!A206))</f>
        <v>960</v>
      </c>
      <c r="B206" s="6" t="str">
        <f>IF($A206="","",TRIM('Base Oficial'!B206))</f>
        <v>LORENA DEL CARMEN MEJIA HERRERA</v>
      </c>
      <c r="C206" s="6" t="str">
        <f>IF($A206="","",TRIM('Base Oficial'!F206))</f>
        <v>AGENCIA CENTRAL</v>
      </c>
      <c r="D206" s="6" t="str">
        <f>IF($A206="","",TRIM('Base Oficial'!G206))</f>
        <v>Gerencia de Negocios</v>
      </c>
      <c r="E206" s="6" t="str">
        <f>IF($A206="","",TRIM('Base Oficial'!D206))</f>
        <v>CAJERO</v>
      </c>
      <c r="F206" s="4" t="str">
        <f>IF($A206="","",IF(COUNTIF('Base Exámenes'!$C$5:$C$1000, A206)&gt;0, "Completado", IF(M206&lt;&gt;"", M206, "Pendiente")))</f>
        <v>Completado</v>
      </c>
      <c r="G206" s="11">
        <f>IF(F206="Completado", IFERROR(IF(INDEX('Base Exámenes'!$D$5:$D$1000, MATCH(A206&amp;"|"&amp;J206, 'Base Exámenes'!$I$5:$I$1000, 0))="", "", INDEX('Base Exámenes'!$D$5:$D$1000, MATCH(A206&amp;"|"&amp;J206, 'Base Exámenes'!$I$5:$I$1000, 0))), ""), "")</f>
        <v>46302.469988425924</v>
      </c>
      <c r="H206" s="11">
        <f>IF(F206="Completado", IFERROR(IF(INDEX('Base Exámenes'!$E$5:$E$1000, MATCH(A206&amp;"|"&amp;J206, 'Base Exámenes'!$I$5:$I$1000, 0))="", "", INDEX('Base Exámenes'!$E$5:$E$1000, MATCH(A206&amp;"|"&amp;J206, 'Base Exámenes'!$I$5:$I$1000, 0))), ""), "")</f>
        <v>46302.48327546296</v>
      </c>
      <c r="I206" s="10">
        <f>IF(F206="Completado", IFERROR(IF(INDEX('Base Exámenes'!$F$5:$F$1000, MATCH(A206&amp;"|"&amp;J206, 'Base Exámenes'!$I$5:$I$1000, 0))="", "", INDEX('Base Exámenes'!$F$5:$F$1000, MATCH(A206&amp;"|"&amp;J206, 'Base Exámenes'!$I$5:$I$1000, 0))), ""), "")</f>
        <v>19.1333333333333</v>
      </c>
      <c r="J206" s="6">
        <f>IF(F206="Completado", IF(COUNTIFS('Base Exámenes'!$C$5:$C$1000, A206, 'Base Exámenes'!$G$5:$G$1000, "&lt;&gt;")=0, "", _xlfn.MAXIFS('Base Exámenes'!$G$5:$G$1000, 'Base Exámenes'!$C$5:$C$1000, A206)), "")</f>
        <v>100</v>
      </c>
      <c r="K206" s="6" t="str">
        <f>IF(F206="Completado", IFERROR(IF(INDEX('Base Exámenes'!$H$5:$H$1000, MATCH(A206&amp;"|"&amp;J206, 'Base Exámenes'!$I$5:$I$1000, 0))="", "", INDEX('Base Exámenes'!$H$5:$H$1000, MATCH(A206&amp;"|"&amp;J206, 'Base Exámenes'!$I$5:$I$1000, 0))), ""), "")</f>
        <v>anonymous</v>
      </c>
      <c r="L206" s="22">
        <f>IF($A206="","",COUNTIF('Base Exámenes'!$C$5:$C$1000, A206))</f>
        <v>1</v>
      </c>
      <c r="M206" s="6" t="str">
        <f>IF($A206="","",IF(COUNTIF('Base Exámenes'!$C$5:$C$1000, A206)&gt;0, "", TRIM('Base Oficial'!H206)))</f>
        <v/>
      </c>
    </row>
    <row r="207">
      <c r="A207" s="4" t="str">
        <f>IF('Base Oficial'!A207="","",TRIM('Base Oficial'!A207))</f>
        <v>974</v>
      </c>
      <c r="B207" s="6" t="str">
        <f>IF($A207="","",TRIM('Base Oficial'!B207))</f>
        <v>LEIDY VANESSA GUZMAN SERVELLON</v>
      </c>
      <c r="C207" s="6" t="str">
        <f>IF($A207="","",TRIM('Base Oficial'!F207))</f>
        <v>AGENCIA CENTRAL</v>
      </c>
      <c r="D207" s="6" t="str">
        <f>IF($A207="","",TRIM('Base Oficial'!G207))</f>
        <v>Gerencia de Negocios</v>
      </c>
      <c r="E207" s="6" t="str">
        <f>IF($A207="","",TRIM('Base Oficial'!D207))</f>
        <v>CAJERO</v>
      </c>
      <c r="F207" s="4" t="str">
        <f>IF($A207="","",IF(COUNTIF('Base Exámenes'!$C$5:$C$1000, A207)&gt;0, "Completado", IF(M207&lt;&gt;"", M207, "Pendiente")))</f>
        <v>Completado</v>
      </c>
      <c r="G207" s="11">
        <f>IF(F207="Completado", IFERROR(IF(INDEX('Base Exámenes'!$D$5:$D$1000, MATCH(A207&amp;"|"&amp;J207, 'Base Exámenes'!$I$5:$I$1000, 0))="", "", INDEX('Base Exámenes'!$D$5:$D$1000, MATCH(A207&amp;"|"&amp;J207, 'Base Exámenes'!$I$5:$I$1000, 0))), ""), "")</f>
        <v>46311.4046875</v>
      </c>
      <c r="H207" s="11">
        <f>IF(F207="Completado", IFERROR(IF(INDEX('Base Exámenes'!$E$5:$E$1000, MATCH(A207&amp;"|"&amp;J207, 'Base Exámenes'!$I$5:$I$1000, 0))="", "", INDEX('Base Exámenes'!$E$5:$E$1000, MATCH(A207&amp;"|"&amp;J207, 'Base Exámenes'!$I$5:$I$1000, 0))), ""), "")</f>
        <v>46311.477488425924</v>
      </c>
      <c r="I207" s="10">
        <f>IF(F207="Completado", IFERROR(IF(INDEX('Base Exámenes'!$F$5:$F$1000, MATCH(A207&amp;"|"&amp;J207, 'Base Exámenes'!$I$5:$I$1000, 0))="", "", INDEX('Base Exámenes'!$F$5:$F$1000, MATCH(A207&amp;"|"&amp;J207, 'Base Exámenes'!$I$5:$I$1000, 0))), ""), "")</f>
        <v>104.833333333333</v>
      </c>
      <c r="J207" s="6">
        <f>IF(F207="Completado", IF(COUNTIFS('Base Exámenes'!$C$5:$C$1000, A207, 'Base Exámenes'!$G$5:$G$1000, "&lt;&gt;")=0, "", _xlfn.MAXIFS('Base Exámenes'!$G$5:$G$1000, 'Base Exámenes'!$C$5:$C$1000, A207)), "")</f>
        <v>80</v>
      </c>
      <c r="K207" s="6" t="str">
        <f>IF(F207="Completado", IFERROR(IF(INDEX('Base Exámenes'!$H$5:$H$1000, MATCH(A207&amp;"|"&amp;J207, 'Base Exámenes'!$I$5:$I$1000, 0))="", "", INDEX('Base Exámenes'!$H$5:$H$1000, MATCH(A207&amp;"|"&amp;J207, 'Base Exámenes'!$I$5:$I$1000, 0))), ""), "")</f>
        <v>anonymous</v>
      </c>
      <c r="L207" s="22">
        <f>IF($A207="","",COUNTIF('Base Exámenes'!$C$5:$C$1000, A207))</f>
        <v>1</v>
      </c>
      <c r="M207" s="6" t="str">
        <f>IF($A207="","",IF(COUNTIF('Base Exámenes'!$C$5:$C$1000, A207)&gt;0, "", TRIM('Base Oficial'!H207)))</f>
        <v/>
      </c>
    </row>
    <row r="208">
      <c r="A208" s="4" t="str">
        <f>IF('Base Oficial'!A208="","",TRIM('Base Oficial'!A208))</f>
        <v>976</v>
      </c>
      <c r="B208" s="6" t="str">
        <f>IF($A208="","",TRIM('Base Oficial'!B208))</f>
        <v>KEVIN ARTURO ANDRADE PALACIOS</v>
      </c>
      <c r="C208" s="6" t="str">
        <f>IF($A208="","",TRIM('Base Oficial'!F208))</f>
        <v>AGENCIA CENTRAL</v>
      </c>
      <c r="D208" s="6" t="str">
        <f>IF($A208="","",TRIM('Base Oficial'!G208))</f>
        <v>Gerencia de Negocios</v>
      </c>
      <c r="E208" s="6" t="str">
        <f>IF($A208="","",TRIM('Base Oficial'!D208))</f>
        <v>CAJERO</v>
      </c>
      <c r="F208" s="4" t="str">
        <f>IF($A208="","",IF(COUNTIF('Base Exámenes'!$C$5:$C$1000, A208)&gt;0, "Completado", IF(M208&lt;&gt;"", M208, "Pendiente")))</f>
        <v>Completado</v>
      </c>
      <c r="G208" s="11">
        <f>IF(F208="Completado", IFERROR(IF(INDEX('Base Exámenes'!$D$5:$D$1000, MATCH(A208&amp;"|"&amp;J208, 'Base Exámenes'!$I$5:$I$1000, 0))="", "", INDEX('Base Exámenes'!$D$5:$D$1000, MATCH(A208&amp;"|"&amp;J208, 'Base Exámenes'!$I$5:$I$1000, 0))), ""), "")</f>
        <v>46302.59699074074</v>
      </c>
      <c r="H208" s="11">
        <f>IF(F208="Completado", IFERROR(IF(INDEX('Base Exámenes'!$E$5:$E$1000, MATCH(A208&amp;"|"&amp;J208, 'Base Exámenes'!$I$5:$I$1000, 0))="", "", INDEX('Base Exámenes'!$E$5:$E$1000, MATCH(A208&amp;"|"&amp;J208, 'Base Exámenes'!$I$5:$I$1000, 0))), ""), "")</f>
        <v>46302.59866898148</v>
      </c>
      <c r="I208" s="10">
        <f>IF(F208="Completado", IFERROR(IF(INDEX('Base Exámenes'!$F$5:$F$1000, MATCH(A208&amp;"|"&amp;J208, 'Base Exámenes'!$I$5:$I$1000, 0))="", "", INDEX('Base Exámenes'!$F$5:$F$1000, MATCH(A208&amp;"|"&amp;J208, 'Base Exámenes'!$I$5:$I$1000, 0))), ""), "")</f>
        <v>2.41666666666667</v>
      </c>
      <c r="J208" s="6">
        <f>IF(F208="Completado", IF(COUNTIFS('Base Exámenes'!$C$5:$C$1000, A208, 'Base Exámenes'!$G$5:$G$1000, "&lt;&gt;")=0, "", _xlfn.MAXIFS('Base Exámenes'!$G$5:$G$1000, 'Base Exámenes'!$C$5:$C$1000, A208)), "")</f>
        <v>100</v>
      </c>
      <c r="K208" s="6" t="str">
        <f>IF(F208="Completado", IFERROR(IF(INDEX('Base Exámenes'!$H$5:$H$1000, MATCH(A208&amp;"|"&amp;J208, 'Base Exámenes'!$I$5:$I$1000, 0))="", "", INDEX('Base Exámenes'!$H$5:$H$1000, MATCH(A208&amp;"|"&amp;J208, 'Base Exámenes'!$I$5:$I$1000, 0))), ""), "")</f>
        <v>anonymous</v>
      </c>
      <c r="L208" s="22">
        <f>IF($A208="","",COUNTIF('Base Exámenes'!$C$5:$C$1000, A208))</f>
        <v>1</v>
      </c>
      <c r="M208" s="6" t="str">
        <f>IF($A208="","",IF(COUNTIF('Base Exámenes'!$C$5:$C$1000, A208)&gt;0, "", TRIM('Base Oficial'!H208)))</f>
        <v/>
      </c>
    </row>
    <row r="209">
      <c r="A209" s="4" t="str">
        <f>IF('Base Oficial'!A209="","",TRIM('Base Oficial'!A209))</f>
        <v>26</v>
      </c>
      <c r="B209" s="6" t="str">
        <f>IF($A209="","",TRIM('Base Oficial'!B209))</f>
        <v>FLOR IMELDA VILLALOBOS ARDON</v>
      </c>
      <c r="C209" s="6" t="str">
        <f>IF($A209="","",TRIM('Base Oficial'!F209))</f>
        <v>AGENCIA COLEGIO MEDICO</v>
      </c>
      <c r="D209" s="6" t="str">
        <f>IF($A209="","",TRIM('Base Oficial'!G209))</f>
        <v>Gerencia de Negocios</v>
      </c>
      <c r="E209" s="6" t="str">
        <f>IF($A209="","",TRIM('Base Oficial'!D209))</f>
        <v>EJECUTIVO DE NEGOCIOS</v>
      </c>
      <c r="F209" s="4" t="str">
        <f>IF($A209="","",IF(COUNTIF('Base Exámenes'!$C$5:$C$1000, A209)&gt;0, "Completado", IF(M209&lt;&gt;"", M209, "Pendiente")))</f>
        <v>Completado</v>
      </c>
      <c r="G209" s="11">
        <f>IF(F209="Completado", IFERROR(IF(INDEX('Base Exámenes'!$D$5:$D$1000, MATCH(A209&amp;"|"&amp;J209, 'Base Exámenes'!$I$5:$I$1000, 0))="", "", INDEX('Base Exámenes'!$D$5:$D$1000, MATCH(A209&amp;"|"&amp;J209, 'Base Exámenes'!$I$5:$I$1000, 0))), ""), "")</f>
        <v>46310.50853009259</v>
      </c>
      <c r="H209" s="11">
        <f>IF(F209="Completado", IFERROR(IF(INDEX('Base Exámenes'!$E$5:$E$1000, MATCH(A209&amp;"|"&amp;J209, 'Base Exámenes'!$I$5:$I$1000, 0))="", "", INDEX('Base Exámenes'!$E$5:$E$1000, MATCH(A209&amp;"|"&amp;J209, 'Base Exámenes'!$I$5:$I$1000, 0))), ""), "")</f>
        <v>46310.516377314816</v>
      </c>
      <c r="I209" s="10">
        <f>IF(F209="Completado", IFERROR(IF(INDEX('Base Exámenes'!$F$5:$F$1000, MATCH(A209&amp;"|"&amp;J209, 'Base Exámenes'!$I$5:$I$1000, 0))="", "", INDEX('Base Exámenes'!$F$5:$F$1000, MATCH(A209&amp;"|"&amp;J209, 'Base Exámenes'!$I$5:$I$1000, 0))), ""), "")</f>
        <v>11.3</v>
      </c>
      <c r="J209" s="6">
        <f>IF(F209="Completado", IF(COUNTIFS('Base Exámenes'!$C$5:$C$1000, A209, 'Base Exámenes'!$G$5:$G$1000, "&lt;&gt;")=0, "", _xlfn.MAXIFS('Base Exámenes'!$G$5:$G$1000, 'Base Exámenes'!$C$5:$C$1000, A209)), "")</f>
        <v>100</v>
      </c>
      <c r="K209" s="6" t="str">
        <f>IF(F209="Completado", IFERROR(IF(INDEX('Base Exámenes'!$H$5:$H$1000, MATCH(A209&amp;"|"&amp;J209, 'Base Exámenes'!$I$5:$I$1000, 0))="", "", INDEX('Base Exámenes'!$H$5:$H$1000, MATCH(A209&amp;"|"&amp;J209, 'Base Exámenes'!$I$5:$I$1000, 0))), ""), "")</f>
        <v>anonymous</v>
      </c>
      <c r="L209" s="22">
        <f>IF($A209="","",COUNTIF('Base Exámenes'!$C$5:$C$1000, A209))</f>
        <v>1</v>
      </c>
      <c r="M209" s="6" t="str">
        <f>IF($A209="","",IF(COUNTIF('Base Exámenes'!$C$5:$C$1000, A209)&gt;0, "", TRIM('Base Oficial'!H209)))</f>
        <v/>
      </c>
    </row>
    <row r="210">
      <c r="A210" s="4" t="str">
        <f>IF('Base Oficial'!A210="","",TRIM('Base Oficial'!A210))</f>
        <v>29</v>
      </c>
      <c r="B210" s="6" t="str">
        <f>IF($A210="","",TRIM('Base Oficial'!B210))</f>
        <v>YANIRA ELIZABETH ORTEGA MIRANDA</v>
      </c>
      <c r="C210" s="6" t="str">
        <f>IF($A210="","",TRIM('Base Oficial'!F210))</f>
        <v>AGENCIA COLEGIO MEDICO</v>
      </c>
      <c r="D210" s="6" t="str">
        <f>IF($A210="","",TRIM('Base Oficial'!G210))</f>
        <v>Gerencia de Negocios</v>
      </c>
      <c r="E210" s="6" t="str">
        <f>IF($A210="","",TRIM('Base Oficial'!D210))</f>
        <v>SUBJEFE DE AGENCIA</v>
      </c>
      <c r="F210" s="4" t="str">
        <f>IF($A210="","",IF(COUNTIF('Base Exámenes'!$C$5:$C$1000, A210)&gt;0, "Completado", IF(M210&lt;&gt;"", M210, "Pendiente")))</f>
        <v>Completado</v>
      </c>
      <c r="G210" s="11">
        <f>IF(F210="Completado", IFERROR(IF(INDEX('Base Exámenes'!$D$5:$D$1000, MATCH(A210&amp;"|"&amp;J210, 'Base Exámenes'!$I$5:$I$1000, 0))="", "", INDEX('Base Exámenes'!$D$5:$D$1000, MATCH(A210&amp;"|"&amp;J210, 'Base Exámenes'!$I$5:$I$1000, 0))), ""), "")</f>
        <v>46305.425150462965</v>
      </c>
      <c r="H210" s="11">
        <f>IF(F210="Completado", IFERROR(IF(INDEX('Base Exámenes'!$E$5:$E$1000, MATCH(A210&amp;"|"&amp;J210, 'Base Exámenes'!$I$5:$I$1000, 0))="", "", INDEX('Base Exámenes'!$E$5:$E$1000, MATCH(A210&amp;"|"&amp;J210, 'Base Exámenes'!$I$5:$I$1000, 0))), ""), "")</f>
        <v>46305.43096064815</v>
      </c>
      <c r="I210" s="10">
        <f>IF(F210="Completado", IFERROR(IF(INDEX('Base Exámenes'!$F$5:$F$1000, MATCH(A210&amp;"|"&amp;J210, 'Base Exámenes'!$I$5:$I$1000, 0))="", "", INDEX('Base Exámenes'!$F$5:$F$1000, MATCH(A210&amp;"|"&amp;J210, 'Base Exámenes'!$I$5:$I$1000, 0))), ""), "")</f>
        <v>8.36666666666667</v>
      </c>
      <c r="J210" s="6">
        <f>IF(F210="Completado", IF(COUNTIFS('Base Exámenes'!$C$5:$C$1000, A210, 'Base Exámenes'!$G$5:$G$1000, "&lt;&gt;")=0, "", _xlfn.MAXIFS('Base Exámenes'!$G$5:$G$1000, 'Base Exámenes'!$C$5:$C$1000, A210)), "")</f>
        <v>100</v>
      </c>
      <c r="K210" s="6" t="str">
        <f>IF(F210="Completado", IFERROR(IF(INDEX('Base Exámenes'!$H$5:$H$1000, MATCH(A210&amp;"|"&amp;J210, 'Base Exámenes'!$I$5:$I$1000, 0))="", "", INDEX('Base Exámenes'!$H$5:$H$1000, MATCH(A210&amp;"|"&amp;J210, 'Base Exámenes'!$I$5:$I$1000, 0))), ""), "")</f>
        <v>anonymous</v>
      </c>
      <c r="L210" s="22">
        <f>IF($A210="","",COUNTIF('Base Exámenes'!$C$5:$C$1000, A210))</f>
        <v>1</v>
      </c>
      <c r="M210" s="6" t="str">
        <f>IF($A210="","",IF(COUNTIF('Base Exámenes'!$C$5:$C$1000, A210)&gt;0, "", TRIM('Base Oficial'!H210)))</f>
        <v/>
      </c>
    </row>
    <row r="211">
      <c r="A211" s="4" t="str">
        <f>IF('Base Oficial'!A211="","",TRIM('Base Oficial'!A211))</f>
        <v>190</v>
      </c>
      <c r="B211" s="6" t="str">
        <f>IF($A211="","",TRIM('Base Oficial'!B211))</f>
        <v>MERCI ANTONIA CERON MEJIA</v>
      </c>
      <c r="C211" s="6" t="str">
        <f>IF($A211="","",TRIM('Base Oficial'!F211))</f>
        <v>AGENCIA COLEGIO MEDICO</v>
      </c>
      <c r="D211" s="6" t="str">
        <f>IF($A211="","",TRIM('Base Oficial'!G211))</f>
        <v>Gerencia de Negocios</v>
      </c>
      <c r="E211" s="6" t="str">
        <f>IF($A211="","",TRIM('Base Oficial'!D211))</f>
        <v>EJECUTIVO DE NEGOCIOS</v>
      </c>
      <c r="F211" s="4" t="str">
        <f>IF($A211="","",IF(COUNTIF('Base Exámenes'!$C$5:$C$1000, A211)&gt;0, "Completado", IF(M211&lt;&gt;"", M211, "Pendiente")))</f>
        <v>Completado</v>
      </c>
      <c r="G211" s="11">
        <f>IF(F211="Completado", IFERROR(IF(INDEX('Base Exámenes'!$D$5:$D$1000, MATCH(A211&amp;"|"&amp;J211, 'Base Exámenes'!$I$5:$I$1000, 0))="", "", INDEX('Base Exámenes'!$D$5:$D$1000, MATCH(A211&amp;"|"&amp;J211, 'Base Exámenes'!$I$5:$I$1000, 0))), ""), "")</f>
        <v>46305.51119212963</v>
      </c>
      <c r="H211" s="11">
        <f>IF(F211="Completado", IFERROR(IF(INDEX('Base Exámenes'!$E$5:$E$1000, MATCH(A211&amp;"|"&amp;J211, 'Base Exámenes'!$I$5:$I$1000, 0))="", "", INDEX('Base Exámenes'!$E$5:$E$1000, MATCH(A211&amp;"|"&amp;J211, 'Base Exámenes'!$I$5:$I$1000, 0))), ""), "")</f>
        <v>46305.513344907406</v>
      </c>
      <c r="I211" s="10">
        <f>IF(F211="Completado", IFERROR(IF(INDEX('Base Exámenes'!$F$5:$F$1000, MATCH(A211&amp;"|"&amp;J211, 'Base Exámenes'!$I$5:$I$1000, 0))="", "", INDEX('Base Exámenes'!$F$5:$F$1000, MATCH(A211&amp;"|"&amp;J211, 'Base Exámenes'!$I$5:$I$1000, 0))), ""), "")</f>
        <v>3.1</v>
      </c>
      <c r="J211" s="6">
        <f>IF(F211="Completado", IF(COUNTIFS('Base Exámenes'!$C$5:$C$1000, A211, 'Base Exámenes'!$G$5:$G$1000, "&lt;&gt;")=0, "", _xlfn.MAXIFS('Base Exámenes'!$G$5:$G$1000, 'Base Exámenes'!$C$5:$C$1000, A211)), "")</f>
        <v>100</v>
      </c>
      <c r="K211" s="6" t="str">
        <f>IF(F211="Completado", IFERROR(IF(INDEX('Base Exámenes'!$H$5:$H$1000, MATCH(A211&amp;"|"&amp;J211, 'Base Exámenes'!$I$5:$I$1000, 0))="", "", INDEX('Base Exámenes'!$H$5:$H$1000, MATCH(A211&amp;"|"&amp;J211, 'Base Exámenes'!$I$5:$I$1000, 0))), ""), "")</f>
        <v>anonymous</v>
      </c>
      <c r="L211" s="22">
        <f>IF($A211="","",COUNTIF('Base Exámenes'!$C$5:$C$1000, A211))</f>
        <v>1</v>
      </c>
      <c r="M211" s="6" t="str">
        <f>IF($A211="","",IF(COUNTIF('Base Exámenes'!$C$5:$C$1000, A211)&gt;0, "", TRIM('Base Oficial'!H211)))</f>
        <v/>
      </c>
    </row>
    <row r="212">
      <c r="A212" s="4" t="str">
        <f>IF('Base Oficial'!A212="","",TRIM('Base Oficial'!A212))</f>
        <v>360</v>
      </c>
      <c r="B212" s="6" t="str">
        <f>IF($A212="","",TRIM('Base Oficial'!B212))</f>
        <v>PATRICIA ESMERALDA PORTILLO CESPEDES</v>
      </c>
      <c r="C212" s="6" t="str">
        <f>IF($A212="","",TRIM('Base Oficial'!F212))</f>
        <v>AGENCIA COLEGIO MEDICO</v>
      </c>
      <c r="D212" s="6" t="str">
        <f>IF($A212="","",TRIM('Base Oficial'!G212))</f>
        <v>Gerencia de Negocios</v>
      </c>
      <c r="E212" s="6" t="str">
        <f>IF($A212="","",TRIM('Base Oficial'!D212))</f>
        <v>JEFE DE AGENCIA</v>
      </c>
      <c r="F212" s="4" t="str">
        <f>IF($A212="","",IF(COUNTIF('Base Exámenes'!$C$5:$C$1000, A212)&gt;0, "Completado", IF(M212&lt;&gt;"", M212, "Pendiente")))</f>
        <v>Completado</v>
      </c>
      <c r="G212" s="11">
        <f>IF(F212="Completado", IFERROR(IF(INDEX('Base Exámenes'!$D$5:$D$1000, MATCH(A212&amp;"|"&amp;J212, 'Base Exámenes'!$I$5:$I$1000, 0))="", "", INDEX('Base Exámenes'!$D$5:$D$1000, MATCH(A212&amp;"|"&amp;J212, 'Base Exámenes'!$I$5:$I$1000, 0))), ""), "")</f>
        <v>46296.47090277778</v>
      </c>
      <c r="H212" s="11">
        <f>IF(F212="Completado", IFERROR(IF(INDEX('Base Exámenes'!$E$5:$E$1000, MATCH(A212&amp;"|"&amp;J212, 'Base Exámenes'!$I$5:$I$1000, 0))="", "", INDEX('Base Exámenes'!$E$5:$E$1000, MATCH(A212&amp;"|"&amp;J212, 'Base Exámenes'!$I$5:$I$1000, 0))), ""), "")</f>
        <v>46296.47634259259</v>
      </c>
      <c r="I212" s="10">
        <f>IF(F212="Completado", IFERROR(IF(INDEX('Base Exámenes'!$F$5:$F$1000, MATCH(A212&amp;"|"&amp;J212, 'Base Exámenes'!$I$5:$I$1000, 0))="", "", INDEX('Base Exámenes'!$F$5:$F$1000, MATCH(A212&amp;"|"&amp;J212, 'Base Exámenes'!$I$5:$I$1000, 0))), ""), "")</f>
        <v>7.83333333333333</v>
      </c>
      <c r="J212" s="6">
        <f>IF(F212="Completado", IF(COUNTIFS('Base Exámenes'!$C$5:$C$1000, A212, 'Base Exámenes'!$G$5:$G$1000, "&lt;&gt;")=0, "", _xlfn.MAXIFS('Base Exámenes'!$G$5:$G$1000, 'Base Exámenes'!$C$5:$C$1000, A212)), "")</f>
        <v>100</v>
      </c>
      <c r="K212" s="6" t="str">
        <f>IF(F212="Completado", IFERROR(IF(INDEX('Base Exámenes'!$H$5:$H$1000, MATCH(A212&amp;"|"&amp;J212, 'Base Exámenes'!$I$5:$I$1000, 0))="", "", INDEX('Base Exámenes'!$H$5:$H$1000, MATCH(A212&amp;"|"&amp;J212, 'Base Exámenes'!$I$5:$I$1000, 0))), ""), "")</f>
        <v>anonymous</v>
      </c>
      <c r="L212" s="22">
        <f>IF($A212="","",COUNTIF('Base Exámenes'!$C$5:$C$1000, A212))</f>
        <v>1</v>
      </c>
      <c r="M212" s="6" t="str">
        <f>IF($A212="","",IF(COUNTIF('Base Exámenes'!$C$5:$C$1000, A212)&gt;0, "", TRIM('Base Oficial'!H212)))</f>
        <v/>
      </c>
    </row>
    <row r="213">
      <c r="A213" s="4" t="str">
        <f>IF('Base Oficial'!A213="","",TRIM('Base Oficial'!A213))</f>
        <v>466</v>
      </c>
      <c r="B213" s="6" t="str">
        <f>IF($A213="","",TRIM('Base Oficial'!B213))</f>
        <v>DORIS ELISA HERNANDEZ</v>
      </c>
      <c r="C213" s="6" t="str">
        <f>IF($A213="","",TRIM('Base Oficial'!F213))</f>
        <v>AGENCIA COLEGIO MEDICO</v>
      </c>
      <c r="D213" s="6" t="str">
        <f>IF($A213="","",TRIM('Base Oficial'!G213))</f>
        <v>Gerencia de Negocios</v>
      </c>
      <c r="E213" s="6" t="str">
        <f>IF($A213="","",TRIM('Base Oficial'!D213))</f>
        <v>SERVICIOS VARIOS</v>
      </c>
      <c r="F213" s="4" t="str">
        <f>IF($A213="","",IF(COUNTIF('Base Exámenes'!$C$5:$C$1000, A213)&gt;0, "Completado", IF(M213&lt;&gt;"", M213, "Pendiente")))</f>
        <v>Vacaciones</v>
      </c>
      <c r="G213" s="11" t="str">
        <f>IF(F213="Completado", IFERROR(IF(INDEX('Base Exámenes'!$D$5:$D$1000, MATCH(A213&amp;"|"&amp;J213, 'Base Exámenes'!$I$5:$I$1000, 0))="", "", INDEX('Base Exámenes'!$D$5:$D$1000, MATCH(A213&amp;"|"&amp;J213, 'Base Exámenes'!$I$5:$I$1000, 0))), ""), "")</f>
        <v/>
      </c>
      <c r="H213" s="11" t="str">
        <f>IF(F213="Completado", IFERROR(IF(INDEX('Base Exámenes'!$E$5:$E$1000, MATCH(A213&amp;"|"&amp;J213, 'Base Exámenes'!$I$5:$I$1000, 0))="", "", INDEX('Base Exámenes'!$E$5:$E$1000, MATCH(A213&amp;"|"&amp;J213, 'Base Exámenes'!$I$5:$I$1000, 0))), ""), "")</f>
        <v/>
      </c>
      <c r="I213" s="10" t="str">
        <f>IF(F213="Completado", IFERROR(IF(INDEX('Base Exámenes'!$F$5:$F$1000, MATCH(A213&amp;"|"&amp;J213, 'Base Exámenes'!$I$5:$I$1000, 0))="", "", INDEX('Base Exámenes'!$F$5:$F$1000, MATCH(A213&amp;"|"&amp;J213, 'Base Exámenes'!$I$5:$I$1000, 0))), ""), "")</f>
        <v/>
      </c>
      <c r="J213" s="6" t="str">
        <f>IF(F213="Completado", IF(COUNTIFS('Base Exámenes'!$C$5:$C$1000, A213, 'Base Exámenes'!$G$5:$G$1000, "&lt;&gt;")=0, "", _xlfn.MAXIFS('Base Exámenes'!$G$5:$G$1000, 'Base Exámenes'!$C$5:$C$1000, A213)), "")</f>
        <v/>
      </c>
      <c r="K213" s="6" t="str">
        <f>IF(F213="Completado", IFERROR(IF(INDEX('Base Exámenes'!$H$5:$H$1000, MATCH(A213&amp;"|"&amp;J213, 'Base Exámenes'!$I$5:$I$1000, 0))="", "", INDEX('Base Exámenes'!$H$5:$H$1000, MATCH(A213&amp;"|"&amp;J213, 'Base Exámenes'!$I$5:$I$1000, 0))), ""), "")</f>
        <v/>
      </c>
      <c r="L213" s="22">
        <f>IF($A213="","",COUNTIF('Base Exámenes'!$C$5:$C$1000, A213))</f>
        <v>0</v>
      </c>
      <c r="M213" s="6" t="str">
        <f>IF($A213="","",IF(COUNTIF('Base Exámenes'!$C$5:$C$1000, A213)&gt;0, "", TRIM('Base Oficial'!H213)))</f>
        <v>Vacaciones</v>
      </c>
    </row>
    <row r="214">
      <c r="A214" s="4" t="str">
        <f>IF('Base Oficial'!A214="","",TRIM('Base Oficial'!A214))</f>
        <v>536</v>
      </c>
      <c r="B214" s="6" t="str">
        <f>IF($A214="","",TRIM('Base Oficial'!B214))</f>
        <v>MARTHA ESPERANZA VALTEZ GARCIA</v>
      </c>
      <c r="C214" s="6" t="str">
        <f>IF($A214="","",TRIM('Base Oficial'!F214))</f>
        <v>AGENCIA COLEGIO MEDICO</v>
      </c>
      <c r="D214" s="6" t="str">
        <f>IF($A214="","",TRIM('Base Oficial'!G214))</f>
        <v>Gerencia de Negocios</v>
      </c>
      <c r="E214" s="6" t="str">
        <f>IF($A214="","",TRIM('Base Oficial'!D214))</f>
        <v>CAJERO</v>
      </c>
      <c r="F214" s="4" t="str">
        <f>IF($A214="","",IF(COUNTIF('Base Exámenes'!$C$5:$C$1000, A214)&gt;0, "Completado", IF(M214&lt;&gt;"", M214, "Pendiente")))</f>
        <v>Completado</v>
      </c>
      <c r="G214" s="11">
        <f>IF(F214="Completado", IFERROR(IF(INDEX('Base Exámenes'!$D$5:$D$1000, MATCH(A214&amp;"|"&amp;J214, 'Base Exámenes'!$I$5:$I$1000, 0))="", "", INDEX('Base Exámenes'!$D$5:$D$1000, MATCH(A214&amp;"|"&amp;J214, 'Base Exámenes'!$I$5:$I$1000, 0))), ""), "")</f>
        <v>46305.51107638889</v>
      </c>
      <c r="H214" s="11">
        <f>IF(F214="Completado", IFERROR(IF(INDEX('Base Exámenes'!$E$5:$E$1000, MATCH(A214&amp;"|"&amp;J214, 'Base Exámenes'!$I$5:$I$1000, 0))="", "", INDEX('Base Exámenes'!$E$5:$E$1000, MATCH(A214&amp;"|"&amp;J214, 'Base Exámenes'!$I$5:$I$1000, 0))), ""), "")</f>
        <v>46305.51391203704</v>
      </c>
      <c r="I214" s="10">
        <f>IF(F214="Completado", IFERROR(IF(INDEX('Base Exámenes'!$F$5:$F$1000, MATCH(A214&amp;"|"&amp;J214, 'Base Exámenes'!$I$5:$I$1000, 0))="", "", INDEX('Base Exámenes'!$F$5:$F$1000, MATCH(A214&amp;"|"&amp;J214, 'Base Exámenes'!$I$5:$I$1000, 0))), ""), "")</f>
        <v>4.08333333333333</v>
      </c>
      <c r="J214" s="6">
        <f>IF(F214="Completado", IF(COUNTIFS('Base Exámenes'!$C$5:$C$1000, A214, 'Base Exámenes'!$G$5:$G$1000, "&lt;&gt;")=0, "", _xlfn.MAXIFS('Base Exámenes'!$G$5:$G$1000, 'Base Exámenes'!$C$5:$C$1000, A214)), "")</f>
        <v>100</v>
      </c>
      <c r="K214" s="6" t="str">
        <f>IF(F214="Completado", IFERROR(IF(INDEX('Base Exámenes'!$H$5:$H$1000, MATCH(A214&amp;"|"&amp;J214, 'Base Exámenes'!$I$5:$I$1000, 0))="", "", INDEX('Base Exámenes'!$H$5:$H$1000, MATCH(A214&amp;"|"&amp;J214, 'Base Exámenes'!$I$5:$I$1000, 0))), ""), "")</f>
        <v>anonymous</v>
      </c>
      <c r="L214" s="22">
        <f>IF($A214="","",COUNTIF('Base Exámenes'!$C$5:$C$1000, A214))</f>
        <v>1</v>
      </c>
      <c r="M214" s="6" t="str">
        <f>IF($A214="","",IF(COUNTIF('Base Exámenes'!$C$5:$C$1000, A214)&gt;0, "", TRIM('Base Oficial'!H214)))</f>
        <v/>
      </c>
    </row>
    <row r="215">
      <c r="A215" s="4" t="str">
        <f>IF('Base Oficial'!A215="","",TRIM('Base Oficial'!A215))</f>
        <v>543</v>
      </c>
      <c r="B215" s="6" t="str">
        <f>IF($A215="","",TRIM('Base Oficial'!B215))</f>
        <v>CLAUDIA ELENA GUARDADO VARELA</v>
      </c>
      <c r="C215" s="6" t="str">
        <f>IF($A215="","",TRIM('Base Oficial'!F215))</f>
        <v>AGENCIA COLEGIO MEDICO</v>
      </c>
      <c r="D215" s="6" t="str">
        <f>IF($A215="","",TRIM('Base Oficial'!G215))</f>
        <v>Gerencia de Negocios</v>
      </c>
      <c r="E215" s="6" t="str">
        <f>IF($A215="","",TRIM('Base Oficial'!D215))</f>
        <v>EJECUTIVA DE SEGUROS</v>
      </c>
      <c r="F215" s="4" t="str">
        <f>IF($A215="","",IF(COUNTIF('Base Exámenes'!$C$5:$C$1000, A215)&gt;0, "Completado", IF(M215&lt;&gt;"", M215, "Pendiente")))</f>
        <v>Completado</v>
      </c>
      <c r="G215" s="11">
        <f>IF(F215="Completado", IFERROR(IF(INDEX('Base Exámenes'!$D$5:$D$1000, MATCH(A215&amp;"|"&amp;J215, 'Base Exámenes'!$I$5:$I$1000, 0))="", "", INDEX('Base Exámenes'!$D$5:$D$1000, MATCH(A215&amp;"|"&amp;J215, 'Base Exámenes'!$I$5:$I$1000, 0))), ""), "")</f>
        <v>46305.39409722222</v>
      </c>
      <c r="H215" s="11">
        <f>IF(F215="Completado", IFERROR(IF(INDEX('Base Exámenes'!$E$5:$E$1000, MATCH(A215&amp;"|"&amp;J215, 'Base Exámenes'!$I$5:$I$1000, 0))="", "", INDEX('Base Exámenes'!$E$5:$E$1000, MATCH(A215&amp;"|"&amp;J215, 'Base Exámenes'!$I$5:$I$1000, 0))), ""), "")</f>
        <v>46305.407002314816</v>
      </c>
      <c r="I215" s="10">
        <f>IF(F215="Completado", IFERROR(IF(INDEX('Base Exámenes'!$F$5:$F$1000, MATCH(A215&amp;"|"&amp;J215, 'Base Exámenes'!$I$5:$I$1000, 0))="", "", INDEX('Base Exámenes'!$F$5:$F$1000, MATCH(A215&amp;"|"&amp;J215, 'Base Exámenes'!$I$5:$I$1000, 0))), ""), "")</f>
        <v>18.58333335025</v>
      </c>
      <c r="J215" s="6">
        <f>IF(F215="Completado", IF(COUNTIFS('Base Exámenes'!$C$5:$C$1000, A215, 'Base Exámenes'!$G$5:$G$1000, "&lt;&gt;")=0, "", _xlfn.MAXIFS('Base Exámenes'!$G$5:$G$1000, 'Base Exámenes'!$C$5:$C$1000, A215)), "")</f>
        <v>100</v>
      </c>
      <c r="K215" s="6" t="str">
        <f>IF(F215="Completado", IFERROR(IF(INDEX('Base Exámenes'!$H$5:$H$1000, MATCH(A215&amp;"|"&amp;J215, 'Base Exámenes'!$I$5:$I$1000, 0))="", "", INDEX('Base Exámenes'!$H$5:$H$1000, MATCH(A215&amp;"|"&amp;J215, 'Base Exámenes'!$I$5:$I$1000, 0))), ""), "")</f>
        <v>anonymous</v>
      </c>
      <c r="L215" s="22">
        <f>IF($A215="","",COUNTIF('Base Exámenes'!$C$5:$C$1000, A215))</f>
        <v>1</v>
      </c>
      <c r="M215" s="6" t="str">
        <f>IF($A215="","",IF(COUNTIF('Base Exámenes'!$C$5:$C$1000, A215)&gt;0, "", TRIM('Base Oficial'!H215)))</f>
        <v/>
      </c>
    </row>
    <row r="216">
      <c r="A216" s="4" t="str">
        <f>IF('Base Oficial'!A216="","",TRIM('Base Oficial'!A216))</f>
        <v>811</v>
      </c>
      <c r="B216" s="6" t="str">
        <f>IF($A216="","",TRIM('Base Oficial'!B216))</f>
        <v>JACQUELINE ADRIANA CHAVEZ SARAVIA</v>
      </c>
      <c r="C216" s="6" t="str">
        <f>IF($A216="","",TRIM('Base Oficial'!F216))</f>
        <v>AGENCIA COLEGIO MEDICO</v>
      </c>
      <c r="D216" s="6" t="str">
        <f>IF($A216="","",TRIM('Base Oficial'!G216))</f>
        <v>Gerencia de Negocios</v>
      </c>
      <c r="E216" s="6" t="str">
        <f>IF($A216="","",TRIM('Base Oficial'!D216))</f>
        <v>CAJERO</v>
      </c>
      <c r="F216" s="4" t="str">
        <f>IF($A216="","",IF(COUNTIF('Base Exámenes'!$C$5:$C$1000, A216)&gt;0, "Completado", IF(M216&lt;&gt;"", M216, "Pendiente")))</f>
        <v>Completado</v>
      </c>
      <c r="G216" s="11">
        <f>IF(F216="Completado", IFERROR(IF(INDEX('Base Exámenes'!$D$5:$D$1000, MATCH(A216&amp;"|"&amp;J216, 'Base Exámenes'!$I$5:$I$1000, 0))="", "", INDEX('Base Exámenes'!$D$5:$D$1000, MATCH(A216&amp;"|"&amp;J216, 'Base Exámenes'!$I$5:$I$1000, 0))), ""), "")</f>
        <v>46305.45777777778</v>
      </c>
      <c r="H216" s="11">
        <f>IF(F216="Completado", IFERROR(IF(INDEX('Base Exámenes'!$E$5:$E$1000, MATCH(A216&amp;"|"&amp;J216, 'Base Exámenes'!$I$5:$I$1000, 0))="", "", INDEX('Base Exámenes'!$E$5:$E$1000, MATCH(A216&amp;"|"&amp;J216, 'Base Exámenes'!$I$5:$I$1000, 0))), ""), "")</f>
        <v>46305.465902777774</v>
      </c>
      <c r="I216" s="10">
        <f>IF(F216="Completado", IFERROR(IF(INDEX('Base Exámenes'!$F$5:$F$1000, MATCH(A216&amp;"|"&amp;J216, 'Base Exámenes'!$I$5:$I$1000, 0))="", "", INDEX('Base Exámenes'!$F$5:$F$1000, MATCH(A216&amp;"|"&amp;J216, 'Base Exámenes'!$I$5:$I$1000, 0))), ""), "")</f>
        <v>11.69999997945</v>
      </c>
      <c r="J216" s="6">
        <f>IF(F216="Completado", IF(COUNTIFS('Base Exámenes'!$C$5:$C$1000, A216, 'Base Exámenes'!$G$5:$G$1000, "&lt;&gt;")=0, "", _xlfn.MAXIFS('Base Exámenes'!$G$5:$G$1000, 'Base Exámenes'!$C$5:$C$1000, A216)), "")</f>
        <v>90</v>
      </c>
      <c r="K216" s="6" t="str">
        <f>IF(F216="Completado", IFERROR(IF(INDEX('Base Exámenes'!$H$5:$H$1000, MATCH(A216&amp;"|"&amp;J216, 'Base Exámenes'!$I$5:$I$1000, 0))="", "", INDEX('Base Exámenes'!$H$5:$H$1000, MATCH(A216&amp;"|"&amp;J216, 'Base Exámenes'!$I$5:$I$1000, 0))), ""), "")</f>
        <v>anonymous</v>
      </c>
      <c r="L216" s="22">
        <f>IF($A216="","",COUNTIF('Base Exámenes'!$C$5:$C$1000, A216))</f>
        <v>1</v>
      </c>
      <c r="M216" s="6" t="str">
        <f>IF($A216="","",IF(COUNTIF('Base Exámenes'!$C$5:$C$1000, A216)&gt;0, "", TRIM('Base Oficial'!H216)))</f>
        <v/>
      </c>
    </row>
    <row r="217">
      <c r="A217" s="4" t="str">
        <f>IF('Base Oficial'!A217="","",TRIM('Base Oficial'!A217))</f>
        <v>841</v>
      </c>
      <c r="B217" s="6" t="str">
        <f>IF($A217="","",TRIM('Base Oficial'!B217))</f>
        <v>KRISSIA ANDREA DOMINGUEZ OSORIO</v>
      </c>
      <c r="C217" s="6" t="str">
        <f>IF($A217="","",TRIM('Base Oficial'!F217))</f>
        <v>AGENCIA COLEGIO MEDICO</v>
      </c>
      <c r="D217" s="6" t="str">
        <f>IF($A217="","",TRIM('Base Oficial'!G217))</f>
        <v>Gerencia de Negocios</v>
      </c>
      <c r="E217" s="6" t="str">
        <f>IF($A217="","",TRIM('Base Oficial'!D217))</f>
        <v>CAJERO</v>
      </c>
      <c r="F217" s="4" t="str">
        <f>IF($A217="","",IF(COUNTIF('Base Exámenes'!$C$5:$C$1000, A217)&gt;0, "Completado", IF(M217&lt;&gt;"", M217, "Pendiente")))</f>
        <v>Completado</v>
      </c>
      <c r="G217" s="11">
        <f>IF(F217="Completado", IFERROR(IF(INDEX('Base Exámenes'!$D$5:$D$1000, MATCH(A217&amp;"|"&amp;J217, 'Base Exámenes'!$I$5:$I$1000, 0))="", "", INDEX('Base Exámenes'!$D$5:$D$1000, MATCH(A217&amp;"|"&amp;J217, 'Base Exámenes'!$I$5:$I$1000, 0))), ""), "")</f>
        <v>46305.38912037037</v>
      </c>
      <c r="H217" s="11">
        <f>IF(F217="Completado", IFERROR(IF(INDEX('Base Exámenes'!$E$5:$E$1000, MATCH(A217&amp;"|"&amp;J217, 'Base Exámenes'!$I$5:$I$1000, 0))="", "", INDEX('Base Exámenes'!$E$5:$E$1000, MATCH(A217&amp;"|"&amp;J217, 'Base Exámenes'!$I$5:$I$1000, 0))), ""), "")</f>
        <v>46305.39891203704</v>
      </c>
      <c r="I217" s="10">
        <f>IF(F217="Completado", IFERROR(IF(INDEX('Base Exámenes'!$F$5:$F$1000, MATCH(A217&amp;"|"&amp;J217, 'Base Exámenes'!$I$5:$I$1000, 0))="", "", INDEX('Base Exámenes'!$F$5:$F$1000, MATCH(A217&amp;"|"&amp;J217, 'Base Exámenes'!$I$5:$I$1000, 0))), ""), "")</f>
        <v>14.1</v>
      </c>
      <c r="J217" s="6">
        <f>IF(F217="Completado", IF(COUNTIFS('Base Exámenes'!$C$5:$C$1000, A217, 'Base Exámenes'!$G$5:$G$1000, "&lt;&gt;")=0, "", _xlfn.MAXIFS('Base Exámenes'!$G$5:$G$1000, 'Base Exámenes'!$C$5:$C$1000, A217)), "")</f>
        <v>100</v>
      </c>
      <c r="K217" s="6" t="str">
        <f>IF(F217="Completado", IFERROR(IF(INDEX('Base Exámenes'!$H$5:$H$1000, MATCH(A217&amp;"|"&amp;J217, 'Base Exámenes'!$I$5:$I$1000, 0))="", "", INDEX('Base Exámenes'!$H$5:$H$1000, MATCH(A217&amp;"|"&amp;J217, 'Base Exámenes'!$I$5:$I$1000, 0))), ""), "")</f>
        <v>anonymous</v>
      </c>
      <c r="L217" s="22">
        <f>IF($A217="","",COUNTIF('Base Exámenes'!$C$5:$C$1000, A217))</f>
        <v>1</v>
      </c>
      <c r="M217" s="6" t="str">
        <f>IF($A217="","",IF(COUNTIF('Base Exámenes'!$C$5:$C$1000, A217)&gt;0, "", TRIM('Base Oficial'!H217)))</f>
        <v/>
      </c>
    </row>
    <row r="218">
      <c r="A218" s="4" t="str">
        <f>IF('Base Oficial'!A218="","",TRIM('Base Oficial'!A218))</f>
        <v>890</v>
      </c>
      <c r="B218" s="6" t="str">
        <f>IF($A218="","",TRIM('Base Oficial'!B218))</f>
        <v>WILBER ERNESTO DIAZ GONZALEZ</v>
      </c>
      <c r="C218" s="6" t="str">
        <f>IF($A218="","",TRIM('Base Oficial'!F218))</f>
        <v>AGENCIA COLEGIO MEDICO</v>
      </c>
      <c r="D218" s="6" t="str">
        <f>IF($A218="","",TRIM('Base Oficial'!G218))</f>
        <v>Gerencia de Negocios</v>
      </c>
      <c r="E218" s="6" t="str">
        <f>IF($A218="","",TRIM('Base Oficial'!D218))</f>
        <v>CAJERO</v>
      </c>
      <c r="F218" s="4" t="str">
        <f>IF($A218="","",IF(COUNTIF('Base Exámenes'!$C$5:$C$1000, A218)&gt;0, "Completado", IF(M218&lt;&gt;"", M218, "Pendiente")))</f>
        <v>Completado</v>
      </c>
      <c r="G218" s="11">
        <f>IF(F218="Completado", IFERROR(IF(INDEX('Base Exámenes'!$D$5:$D$1000, MATCH(A218&amp;"|"&amp;J218, 'Base Exámenes'!$I$5:$I$1000, 0))="", "", INDEX('Base Exámenes'!$D$5:$D$1000, MATCH(A218&amp;"|"&amp;J218, 'Base Exámenes'!$I$5:$I$1000, 0))), ""), "")</f>
        <v>46307.426724537036</v>
      </c>
      <c r="H218" s="11">
        <f>IF(F218="Completado", IFERROR(IF(INDEX('Base Exámenes'!$E$5:$E$1000, MATCH(A218&amp;"|"&amp;J218, 'Base Exámenes'!$I$5:$I$1000, 0))="", "", INDEX('Base Exámenes'!$E$5:$E$1000, MATCH(A218&amp;"|"&amp;J218, 'Base Exámenes'!$I$5:$I$1000, 0))), ""), "")</f>
        <v>46307.43005787037</v>
      </c>
      <c r="I218" s="10">
        <f>IF(F218="Completado", IFERROR(IF(INDEX('Base Exámenes'!$F$5:$F$1000, MATCH(A218&amp;"|"&amp;J218, 'Base Exámenes'!$I$5:$I$1000, 0))="", "", INDEX('Base Exámenes'!$F$5:$F$1000, MATCH(A218&amp;"|"&amp;J218, 'Base Exámenes'!$I$5:$I$1000, 0))), ""), "")</f>
        <v>4.8</v>
      </c>
      <c r="J218" s="6">
        <f>IF(F218="Completado", IF(COUNTIFS('Base Exámenes'!$C$5:$C$1000, A218, 'Base Exámenes'!$G$5:$G$1000, "&lt;&gt;")=0, "", _xlfn.MAXIFS('Base Exámenes'!$G$5:$G$1000, 'Base Exámenes'!$C$5:$C$1000, A218)), "")</f>
        <v>90</v>
      </c>
      <c r="K218" s="6" t="str">
        <f>IF(F218="Completado", IFERROR(IF(INDEX('Base Exámenes'!$H$5:$H$1000, MATCH(A218&amp;"|"&amp;J218, 'Base Exámenes'!$I$5:$I$1000, 0))="", "", INDEX('Base Exámenes'!$H$5:$H$1000, MATCH(A218&amp;"|"&amp;J218, 'Base Exámenes'!$I$5:$I$1000, 0))), ""), "")</f>
        <v>anonymous</v>
      </c>
      <c r="L218" s="22">
        <f>IF($A218="","",COUNTIF('Base Exámenes'!$C$5:$C$1000, A218))</f>
        <v>1</v>
      </c>
      <c r="M218" s="6" t="str">
        <f>IF($A218="","",IF(COUNTIF('Base Exámenes'!$C$5:$C$1000, A218)&gt;0, "", TRIM('Base Oficial'!H218)))</f>
        <v/>
      </c>
    </row>
    <row r="219">
      <c r="A219" s="4" t="str">
        <f>IF('Base Oficial'!A219="","",TRIM('Base Oficial'!A219))</f>
        <v>971</v>
      </c>
      <c r="B219" s="6" t="str">
        <f>IF($A219="","",TRIM('Base Oficial'!B219))</f>
        <v>JAQUELIN JAZMIN ROMERO FLORES</v>
      </c>
      <c r="C219" s="6" t="str">
        <f>IF($A219="","",TRIM('Base Oficial'!F219))</f>
        <v>AGENCIA COLEGIO MEDICO</v>
      </c>
      <c r="D219" s="6" t="str">
        <f>IF($A219="","",TRIM('Base Oficial'!G219))</f>
        <v>Gerencia de Negocios</v>
      </c>
      <c r="E219" s="6" t="str">
        <f>IF($A219="","",TRIM('Base Oficial'!D219))</f>
        <v>CAJERO</v>
      </c>
      <c r="F219" s="4" t="str">
        <f>IF($A219="","",IF(COUNTIF('Base Exámenes'!$C$5:$C$1000, A219)&gt;0, "Completado", IF(M219&lt;&gt;"", M219, "Pendiente")))</f>
        <v>Completado</v>
      </c>
      <c r="G219" s="11">
        <f>IF(F219="Completado", IFERROR(IF(INDEX('Base Exámenes'!$D$5:$D$1000, MATCH(A219&amp;"|"&amp;J219, 'Base Exámenes'!$I$5:$I$1000, 0))="", "", INDEX('Base Exámenes'!$D$5:$D$1000, MATCH(A219&amp;"|"&amp;J219, 'Base Exámenes'!$I$5:$I$1000, 0))), ""), "")</f>
        <v>46305.43693287037</v>
      </c>
      <c r="H219" s="11">
        <f>IF(F219="Completado", IFERROR(IF(INDEX('Base Exámenes'!$E$5:$E$1000, MATCH(A219&amp;"|"&amp;J219, 'Base Exámenes'!$I$5:$I$1000, 0))="", "", INDEX('Base Exámenes'!$E$5:$E$1000, MATCH(A219&amp;"|"&amp;J219, 'Base Exámenes'!$I$5:$I$1000, 0))), ""), "")</f>
        <v>46305.44142361111</v>
      </c>
      <c r="I219" s="10">
        <f>IF(F219="Completado", IFERROR(IF(INDEX('Base Exámenes'!$F$5:$F$1000, MATCH(A219&amp;"|"&amp;J219, 'Base Exámenes'!$I$5:$I$1000, 0))="", "", INDEX('Base Exámenes'!$F$5:$F$1000, MATCH(A219&amp;"|"&amp;J219, 'Base Exámenes'!$I$5:$I$1000, 0))), ""), "")</f>
        <v>6.46666666666667</v>
      </c>
      <c r="J219" s="6">
        <f>IF(F219="Completado", IF(COUNTIFS('Base Exámenes'!$C$5:$C$1000, A219, 'Base Exámenes'!$G$5:$G$1000, "&lt;&gt;")=0, "", _xlfn.MAXIFS('Base Exámenes'!$G$5:$G$1000, 'Base Exámenes'!$C$5:$C$1000, A219)), "")</f>
        <v>100</v>
      </c>
      <c r="K219" s="6" t="str">
        <f>IF(F219="Completado", IFERROR(IF(INDEX('Base Exámenes'!$H$5:$H$1000, MATCH(A219&amp;"|"&amp;J219, 'Base Exámenes'!$I$5:$I$1000, 0))="", "", INDEX('Base Exámenes'!$H$5:$H$1000, MATCH(A219&amp;"|"&amp;J219, 'Base Exámenes'!$I$5:$I$1000, 0))), ""), "")</f>
        <v>anonymous</v>
      </c>
      <c r="L219" s="22">
        <f>IF($A219="","",COUNTIF('Base Exámenes'!$C$5:$C$1000, A219))</f>
        <v>1</v>
      </c>
      <c r="M219" s="6" t="str">
        <f>IF($A219="","",IF(COUNTIF('Base Exámenes'!$C$5:$C$1000, A219)&gt;0, "", TRIM('Base Oficial'!H219)))</f>
        <v/>
      </c>
    </row>
    <row r="220">
      <c r="A220" s="4" t="str">
        <f>IF('Base Oficial'!A220="","",TRIM('Base Oficial'!A220))</f>
        <v>975</v>
      </c>
      <c r="B220" s="6" t="str">
        <f>IF($A220="","",TRIM('Base Oficial'!B220))</f>
        <v>GABRIELA CONCEPCION GARCIA GUTIERREZ</v>
      </c>
      <c r="C220" s="6" t="str">
        <f>IF($A220="","",TRIM('Base Oficial'!F220))</f>
        <v>AGENCIA COLEGIO MEDICO</v>
      </c>
      <c r="D220" s="6" t="str">
        <f>IF($A220="","",TRIM('Base Oficial'!G220))</f>
        <v>Gerencia de Negocios</v>
      </c>
      <c r="E220" s="6" t="str">
        <f>IF($A220="","",TRIM('Base Oficial'!D220))</f>
        <v>AUXILIAR DE ATENCION AL ASOCIADO EN AGENCIA</v>
      </c>
      <c r="F220" s="4" t="str">
        <f>IF($A220="","",IF(COUNTIF('Base Exámenes'!$C$5:$C$1000, A220)&gt;0, "Completado", IF(M220&lt;&gt;"", M220, "Pendiente")))</f>
        <v>Completado</v>
      </c>
      <c r="G220" s="11">
        <f>IF(F220="Completado", IFERROR(IF(INDEX('Base Exámenes'!$D$5:$D$1000, MATCH(A220&amp;"|"&amp;J220, 'Base Exámenes'!$I$5:$I$1000, 0))="", "", INDEX('Base Exámenes'!$D$5:$D$1000, MATCH(A220&amp;"|"&amp;J220, 'Base Exámenes'!$I$5:$I$1000, 0))), ""), "")</f>
        <v>46305.46927083333</v>
      </c>
      <c r="H220" s="11">
        <f>IF(F220="Completado", IFERROR(IF(INDEX('Base Exámenes'!$E$5:$E$1000, MATCH(A220&amp;"|"&amp;J220, 'Base Exámenes'!$I$5:$I$1000, 0))="", "", INDEX('Base Exámenes'!$E$5:$E$1000, MATCH(A220&amp;"|"&amp;J220, 'Base Exámenes'!$I$5:$I$1000, 0))), ""), "")</f>
        <v>46305.4796412037</v>
      </c>
      <c r="I220" s="10">
        <f>IF(F220="Completado", IFERROR(IF(INDEX('Base Exámenes'!$F$5:$F$1000, MATCH(A220&amp;"|"&amp;J220, 'Base Exámenes'!$I$5:$I$1000, 0))="", "", INDEX('Base Exámenes'!$F$5:$F$1000, MATCH(A220&amp;"|"&amp;J220, 'Base Exámenes'!$I$5:$I$1000, 0))), ""), "")</f>
        <v>14.9333333333333</v>
      </c>
      <c r="J220" s="6">
        <f>IF(F220="Completado", IF(COUNTIFS('Base Exámenes'!$C$5:$C$1000, A220, 'Base Exámenes'!$G$5:$G$1000, "&lt;&gt;")=0, "", _xlfn.MAXIFS('Base Exámenes'!$G$5:$G$1000, 'Base Exámenes'!$C$5:$C$1000, A220)), "")</f>
        <v>90</v>
      </c>
      <c r="K220" s="6" t="str">
        <f>IF(F220="Completado", IFERROR(IF(INDEX('Base Exámenes'!$H$5:$H$1000, MATCH(A220&amp;"|"&amp;J220, 'Base Exámenes'!$I$5:$I$1000, 0))="", "", INDEX('Base Exámenes'!$H$5:$H$1000, MATCH(A220&amp;"|"&amp;J220, 'Base Exámenes'!$I$5:$I$1000, 0))), ""), "")</f>
        <v>anonymous</v>
      </c>
      <c r="L220" s="22">
        <f>IF($A220="","",COUNTIF('Base Exámenes'!$C$5:$C$1000, A220))</f>
        <v>1</v>
      </c>
      <c r="M220" s="6" t="str">
        <f>IF($A220="","",IF(COUNTIF('Base Exámenes'!$C$5:$C$1000, A220)&gt;0, "", TRIM('Base Oficial'!H220)))</f>
        <v/>
      </c>
    </row>
    <row r="221">
      <c r="A221" s="4" t="str">
        <f>IF('Base Oficial'!A221="","",TRIM('Base Oficial'!A221))</f>
        <v>197</v>
      </c>
      <c r="B221" s="6" t="str">
        <f>IF($A221="","",TRIM('Base Oficial'!B221))</f>
        <v>THELMA ESPERANZA FIGUEROA SORTO</v>
      </c>
      <c r="C221" s="6" t="str">
        <f>IF($A221="","",TRIM('Base Oficial'!F221))</f>
        <v>AGENCIA SAN MIGUEL</v>
      </c>
      <c r="D221" s="6" t="str">
        <f>IF($A221="","",TRIM('Base Oficial'!G221))</f>
        <v>Gerencia de Negocios</v>
      </c>
      <c r="E221" s="6" t="str">
        <f>IF($A221="","",TRIM('Base Oficial'!D221))</f>
        <v>EJECUTIVO DE NEGOCIOS</v>
      </c>
      <c r="F221" s="4" t="str">
        <f>IF($A221="","",IF(COUNTIF('Base Exámenes'!$C$5:$C$1000, A221)&gt;0, "Completado", IF(M221&lt;&gt;"", M221, "Pendiente")))</f>
        <v>Completado</v>
      </c>
      <c r="G221" s="11">
        <f>IF(F221="Completado", IFERROR(IF(INDEX('Base Exámenes'!$D$5:$D$1000, MATCH(A221&amp;"|"&amp;J221, 'Base Exámenes'!$I$5:$I$1000, 0))="", "", INDEX('Base Exámenes'!$D$5:$D$1000, MATCH(A221&amp;"|"&amp;J221, 'Base Exámenes'!$I$5:$I$1000, 0))), ""), "")</f>
        <v>46296.43491898148</v>
      </c>
      <c r="H221" s="11">
        <f>IF(F221="Completado", IFERROR(IF(INDEX('Base Exámenes'!$E$5:$E$1000, MATCH(A221&amp;"|"&amp;J221, 'Base Exámenes'!$I$5:$I$1000, 0))="", "", INDEX('Base Exámenes'!$E$5:$E$1000, MATCH(A221&amp;"|"&amp;J221, 'Base Exámenes'!$I$5:$I$1000, 0))), ""), "")</f>
        <v>46296.44064814815</v>
      </c>
      <c r="I221" s="10">
        <f>IF(F221="Completado", IFERROR(IF(INDEX('Base Exámenes'!$F$5:$F$1000, MATCH(A221&amp;"|"&amp;J221, 'Base Exámenes'!$I$5:$I$1000, 0))="", "", INDEX('Base Exámenes'!$F$5:$F$1000, MATCH(A221&amp;"|"&amp;J221, 'Base Exámenes'!$I$5:$I$1000, 0))), ""), "")</f>
        <v>8.25</v>
      </c>
      <c r="J221" s="6">
        <f>IF(F221="Completado", IF(COUNTIFS('Base Exámenes'!$C$5:$C$1000, A221, 'Base Exámenes'!$G$5:$G$1000, "&lt;&gt;")=0, "", _xlfn.MAXIFS('Base Exámenes'!$G$5:$G$1000, 'Base Exámenes'!$C$5:$C$1000, A221)), "")</f>
        <v>100</v>
      </c>
      <c r="K221" s="6" t="str">
        <f>IF(F221="Completado", IFERROR(IF(INDEX('Base Exámenes'!$H$5:$H$1000, MATCH(A221&amp;"|"&amp;J221, 'Base Exámenes'!$I$5:$I$1000, 0))="", "", INDEX('Base Exámenes'!$H$5:$H$1000, MATCH(A221&amp;"|"&amp;J221, 'Base Exámenes'!$I$5:$I$1000, 0))), ""), "")</f>
        <v>anonymous</v>
      </c>
      <c r="L221" s="22">
        <f>IF($A221="","",COUNTIF('Base Exámenes'!$C$5:$C$1000, A221))</f>
        <v>1</v>
      </c>
      <c r="M221" s="6" t="str">
        <f>IF($A221="","",IF(COUNTIF('Base Exámenes'!$C$5:$C$1000, A221)&gt;0, "", TRIM('Base Oficial'!H221)))</f>
        <v/>
      </c>
    </row>
    <row r="222">
      <c r="A222" s="4" t="str">
        <f>IF('Base Oficial'!A222="","",TRIM('Base Oficial'!A222))</f>
        <v>200</v>
      </c>
      <c r="B222" s="6" t="str">
        <f>IF($A222="","",TRIM('Base Oficial'!B222))</f>
        <v>JOSE MANUEL SERRANO ROVIRA</v>
      </c>
      <c r="C222" s="6" t="str">
        <f>IF($A222="","",TRIM('Base Oficial'!F222))</f>
        <v>AGENCIA SAN MIGUEL</v>
      </c>
      <c r="D222" s="6" t="str">
        <f>IF($A222="","",TRIM('Base Oficial'!G222))</f>
        <v>Gerencia de Negocios</v>
      </c>
      <c r="E222" s="6" t="str">
        <f>IF($A222="","",TRIM('Base Oficial'!D222))</f>
        <v>JEFE DE AGENCIA</v>
      </c>
      <c r="F222" s="4" t="str">
        <f>IF($A222="","",IF(COUNTIF('Base Exámenes'!$C$5:$C$1000, A222)&gt;0, "Completado", IF(M222&lt;&gt;"", M222, "Pendiente")))</f>
        <v>Completado</v>
      </c>
      <c r="G222" s="11">
        <f>IF(F222="Completado", IFERROR(IF(INDEX('Base Exámenes'!$D$5:$D$1000, MATCH(A222&amp;"|"&amp;J222, 'Base Exámenes'!$I$5:$I$1000, 0))="", "", INDEX('Base Exámenes'!$D$5:$D$1000, MATCH(A222&amp;"|"&amp;J222, 'Base Exámenes'!$I$5:$I$1000, 0))), ""), "")</f>
        <v>46296.48715277778</v>
      </c>
      <c r="H222" s="11">
        <f>IF(F222="Completado", IFERROR(IF(INDEX('Base Exámenes'!$E$5:$E$1000, MATCH(A222&amp;"|"&amp;J222, 'Base Exámenes'!$I$5:$I$1000, 0))="", "", INDEX('Base Exámenes'!$E$5:$E$1000, MATCH(A222&amp;"|"&amp;J222, 'Base Exámenes'!$I$5:$I$1000, 0))), ""), "")</f>
        <v>46296.49199074074</v>
      </c>
      <c r="I222" s="10">
        <f>IF(F222="Completado", IFERROR(IF(INDEX('Base Exámenes'!$F$5:$F$1000, MATCH(A222&amp;"|"&amp;J222, 'Base Exámenes'!$I$5:$I$1000, 0))="", "", INDEX('Base Exámenes'!$F$5:$F$1000, MATCH(A222&amp;"|"&amp;J222, 'Base Exámenes'!$I$5:$I$1000, 0))), ""), "")</f>
        <v>6.96666666666667</v>
      </c>
      <c r="J222" s="6">
        <f>IF(F222="Completado", IF(COUNTIFS('Base Exámenes'!$C$5:$C$1000, A222, 'Base Exámenes'!$G$5:$G$1000, "&lt;&gt;")=0, "", _xlfn.MAXIFS('Base Exámenes'!$G$5:$G$1000, 'Base Exámenes'!$C$5:$C$1000, A222)), "")</f>
        <v>90</v>
      </c>
      <c r="K222" s="6" t="str">
        <f>IF(F222="Completado", IFERROR(IF(INDEX('Base Exámenes'!$H$5:$H$1000, MATCH(A222&amp;"|"&amp;J222, 'Base Exámenes'!$I$5:$I$1000, 0))="", "", INDEX('Base Exámenes'!$H$5:$H$1000, MATCH(A222&amp;"|"&amp;J222, 'Base Exámenes'!$I$5:$I$1000, 0))), ""), "")</f>
        <v>anonymous</v>
      </c>
      <c r="L222" s="22">
        <f>IF($A222="","",COUNTIF('Base Exámenes'!$C$5:$C$1000, A222))</f>
        <v>1</v>
      </c>
      <c r="M222" s="6" t="str">
        <f>IF($A222="","",IF(COUNTIF('Base Exámenes'!$C$5:$C$1000, A222)&gt;0, "", TRIM('Base Oficial'!H222)))</f>
        <v/>
      </c>
    </row>
    <row r="223">
      <c r="A223" s="4" t="str">
        <f>IF('Base Oficial'!A223="","",TRIM('Base Oficial'!A223))</f>
        <v>390</v>
      </c>
      <c r="B223" s="6" t="str">
        <f>IF($A223="","",TRIM('Base Oficial'!B223))</f>
        <v>MARTHA LORENA GONZALEZ GONZALEZ</v>
      </c>
      <c r="C223" s="6" t="str">
        <f>IF($A223="","",TRIM('Base Oficial'!F223))</f>
        <v>AGENCIA SAN MIGUEL</v>
      </c>
      <c r="D223" s="6" t="str">
        <f>IF($A223="","",TRIM('Base Oficial'!G223))</f>
        <v>Gerencia de Negocios</v>
      </c>
      <c r="E223" s="6" t="str">
        <f>IF($A223="","",TRIM('Base Oficial'!D223))</f>
        <v>AUXILIAR DE OPERACIONES Y ATENCION EN AGENCIA</v>
      </c>
      <c r="F223" s="4" t="str">
        <f>IF($A223="","",IF(COUNTIF('Base Exámenes'!$C$5:$C$1000, A223)&gt;0, "Completado", IF(M223&lt;&gt;"", M223, "Pendiente")))</f>
        <v>Completado</v>
      </c>
      <c r="G223" s="11">
        <f>IF(F223="Completado", IFERROR(IF(INDEX('Base Exámenes'!$D$5:$D$1000, MATCH(A223&amp;"|"&amp;J223, 'Base Exámenes'!$I$5:$I$1000, 0))="", "", INDEX('Base Exámenes'!$D$5:$D$1000, MATCH(A223&amp;"|"&amp;J223, 'Base Exámenes'!$I$5:$I$1000, 0))), ""), "")</f>
        <v>46296.44636574074</v>
      </c>
      <c r="H223" s="11">
        <f>IF(F223="Completado", IFERROR(IF(INDEX('Base Exámenes'!$E$5:$E$1000, MATCH(A223&amp;"|"&amp;J223, 'Base Exámenes'!$I$5:$I$1000, 0))="", "", INDEX('Base Exámenes'!$E$5:$E$1000, MATCH(A223&amp;"|"&amp;J223, 'Base Exámenes'!$I$5:$I$1000, 0))), ""), "")</f>
        <v>46296.44844907407</v>
      </c>
      <c r="I223" s="10">
        <f>IF(F223="Completado", IFERROR(IF(INDEX('Base Exámenes'!$F$5:$F$1000, MATCH(A223&amp;"|"&amp;J223, 'Base Exámenes'!$I$5:$I$1000, 0))="", "", INDEX('Base Exámenes'!$F$5:$F$1000, MATCH(A223&amp;"|"&amp;J223, 'Base Exámenes'!$I$5:$I$1000, 0))), ""), "")</f>
        <v>3</v>
      </c>
      <c r="J223" s="6">
        <f>IF(F223="Completado", IF(COUNTIFS('Base Exámenes'!$C$5:$C$1000, A223, 'Base Exámenes'!$G$5:$G$1000, "&lt;&gt;")=0, "", _xlfn.MAXIFS('Base Exámenes'!$G$5:$G$1000, 'Base Exámenes'!$C$5:$C$1000, A223)), "")</f>
        <v>100</v>
      </c>
      <c r="K223" s="6" t="str">
        <f>IF(F223="Completado", IFERROR(IF(INDEX('Base Exámenes'!$H$5:$H$1000, MATCH(A223&amp;"|"&amp;J223, 'Base Exámenes'!$I$5:$I$1000, 0))="", "", INDEX('Base Exámenes'!$H$5:$H$1000, MATCH(A223&amp;"|"&amp;J223, 'Base Exámenes'!$I$5:$I$1000, 0))), ""), "")</f>
        <v>anonymous</v>
      </c>
      <c r="L223" s="22">
        <f>IF($A223="","",COUNTIF('Base Exámenes'!$C$5:$C$1000, A223))</f>
        <v>1</v>
      </c>
      <c r="M223" s="6" t="str">
        <f>IF($A223="","",IF(COUNTIF('Base Exámenes'!$C$5:$C$1000, A223)&gt;0, "", TRIM('Base Oficial'!H223)))</f>
        <v/>
      </c>
    </row>
    <row r="224">
      <c r="A224" s="4" t="str">
        <f>IF('Base Oficial'!A224="","",TRIM('Base Oficial'!A224))</f>
        <v>545</v>
      </c>
      <c r="B224" s="6" t="str">
        <f>IF($A224="","",TRIM('Base Oficial'!B224))</f>
        <v>LEIBY NATHALY ROMERO VANEGAS</v>
      </c>
      <c r="C224" s="6" t="str">
        <f>IF($A224="","",TRIM('Base Oficial'!F224))</f>
        <v>AGENCIA SAN MIGUEL</v>
      </c>
      <c r="D224" s="6" t="str">
        <f>IF($A224="","",TRIM('Base Oficial'!G224))</f>
        <v>Gerencia de Negocios</v>
      </c>
      <c r="E224" s="6" t="str">
        <f>IF($A224="","",TRIM('Base Oficial'!D224))</f>
        <v>SUBJEFE DE AGENCIA</v>
      </c>
      <c r="F224" s="4" t="str">
        <f>IF($A224="","",IF(COUNTIF('Base Exámenes'!$C$5:$C$1000, A224)&gt;0, "Completado", IF(M224&lt;&gt;"", M224, "Pendiente")))</f>
        <v>Completado</v>
      </c>
      <c r="G224" s="11">
        <f>IF(F224="Completado", IFERROR(IF(INDEX('Base Exámenes'!$D$5:$D$1000, MATCH(A224&amp;"|"&amp;J224, 'Base Exámenes'!$I$5:$I$1000, 0))="", "", INDEX('Base Exámenes'!$D$5:$D$1000, MATCH(A224&amp;"|"&amp;J224, 'Base Exámenes'!$I$5:$I$1000, 0))), ""), "")</f>
        <v>46296.44934027778</v>
      </c>
      <c r="H224" s="11">
        <f>IF(F224="Completado", IFERROR(IF(INDEX('Base Exámenes'!$E$5:$E$1000, MATCH(A224&amp;"|"&amp;J224, 'Base Exámenes'!$I$5:$I$1000, 0))="", "", INDEX('Base Exámenes'!$E$5:$E$1000, MATCH(A224&amp;"|"&amp;J224, 'Base Exámenes'!$I$5:$I$1000, 0))), ""), "")</f>
        <v>46296.45449074074</v>
      </c>
      <c r="I224" s="10">
        <f>IF(F224="Completado", IFERROR(IF(INDEX('Base Exámenes'!$F$5:$F$1000, MATCH(A224&amp;"|"&amp;J224, 'Base Exámenes'!$I$5:$I$1000, 0))="", "", INDEX('Base Exámenes'!$F$5:$F$1000, MATCH(A224&amp;"|"&amp;J224, 'Base Exámenes'!$I$5:$I$1000, 0))), ""), "")</f>
        <v>7.41666666666667</v>
      </c>
      <c r="J224" s="6">
        <f>IF(F224="Completado", IF(COUNTIFS('Base Exámenes'!$C$5:$C$1000, A224, 'Base Exámenes'!$G$5:$G$1000, "&lt;&gt;")=0, "", _xlfn.MAXIFS('Base Exámenes'!$G$5:$G$1000, 'Base Exámenes'!$C$5:$C$1000, A224)), "")</f>
        <v>100</v>
      </c>
      <c r="K224" s="6" t="str">
        <f>IF(F224="Completado", IFERROR(IF(INDEX('Base Exámenes'!$H$5:$H$1000, MATCH(A224&amp;"|"&amp;J224, 'Base Exámenes'!$I$5:$I$1000, 0))="", "", INDEX('Base Exámenes'!$H$5:$H$1000, MATCH(A224&amp;"|"&amp;J224, 'Base Exámenes'!$I$5:$I$1000, 0))), ""), "")</f>
        <v>anonymous</v>
      </c>
      <c r="L224" s="22">
        <f>IF($A224="","",COUNTIF('Base Exámenes'!$C$5:$C$1000, A224))</f>
        <v>1</v>
      </c>
      <c r="M224" s="6" t="str">
        <f>IF($A224="","",IF(COUNTIF('Base Exámenes'!$C$5:$C$1000, A224)&gt;0, "", TRIM('Base Oficial'!H224)))</f>
        <v/>
      </c>
    </row>
    <row r="225">
      <c r="A225" s="4" t="str">
        <f>IF('Base Oficial'!A225="","",TRIM('Base Oficial'!A225))</f>
        <v>776</v>
      </c>
      <c r="B225" s="6" t="str">
        <f>IF($A225="","",TRIM('Base Oficial'!B225))</f>
        <v>DIEGO GERARDO GUANDIQUE TORRES</v>
      </c>
      <c r="C225" s="6" t="str">
        <f>IF($A225="","",TRIM('Base Oficial'!F225))</f>
        <v>AGENCIA SAN MIGUEL</v>
      </c>
      <c r="D225" s="6" t="str">
        <f>IF($A225="","",TRIM('Base Oficial'!G225))</f>
        <v>Gerencia de Negocios</v>
      </c>
      <c r="E225" s="6" t="str">
        <f>IF($A225="","",TRIM('Base Oficial'!D225))</f>
        <v>CAJERO</v>
      </c>
      <c r="F225" s="4" t="str">
        <f>IF($A225="","",IF(COUNTIF('Base Exámenes'!$C$5:$C$1000, A225)&gt;0, "Completado", IF(M225&lt;&gt;"", M225, "Pendiente")))</f>
        <v>Completado</v>
      </c>
      <c r="G225" s="11">
        <f>IF(F225="Completado", IFERROR(IF(INDEX('Base Exámenes'!$D$5:$D$1000, MATCH(A225&amp;"|"&amp;J225, 'Base Exámenes'!$I$5:$I$1000, 0))="", "", INDEX('Base Exámenes'!$D$5:$D$1000, MATCH(A225&amp;"|"&amp;J225, 'Base Exámenes'!$I$5:$I$1000, 0))), ""), "")</f>
        <v>46296.44304398148</v>
      </c>
      <c r="H225" s="11">
        <f>IF(F225="Completado", IFERROR(IF(INDEX('Base Exámenes'!$E$5:$E$1000, MATCH(A225&amp;"|"&amp;J225, 'Base Exámenes'!$I$5:$I$1000, 0))="", "", INDEX('Base Exámenes'!$E$5:$E$1000, MATCH(A225&amp;"|"&amp;J225, 'Base Exámenes'!$I$5:$I$1000, 0))), ""), "")</f>
        <v>46296.44540509259</v>
      </c>
      <c r="I225" s="10">
        <f>IF(F225="Completado", IFERROR(IF(INDEX('Base Exámenes'!$F$5:$F$1000, MATCH(A225&amp;"|"&amp;J225, 'Base Exámenes'!$I$5:$I$1000, 0))="", "", INDEX('Base Exámenes'!$F$5:$F$1000, MATCH(A225&amp;"|"&amp;J225, 'Base Exámenes'!$I$5:$I$1000, 0))), ""), "")</f>
        <v>3.4</v>
      </c>
      <c r="J225" s="6">
        <f>IF(F225="Completado", IF(COUNTIFS('Base Exámenes'!$C$5:$C$1000, A225, 'Base Exámenes'!$G$5:$G$1000, "&lt;&gt;")=0, "", _xlfn.MAXIFS('Base Exámenes'!$G$5:$G$1000, 'Base Exámenes'!$C$5:$C$1000, A225)), "")</f>
        <v>100</v>
      </c>
      <c r="K225" s="6" t="str">
        <f>IF(F225="Completado", IFERROR(IF(INDEX('Base Exámenes'!$H$5:$H$1000, MATCH(A225&amp;"|"&amp;J225, 'Base Exámenes'!$I$5:$I$1000, 0))="", "", INDEX('Base Exámenes'!$H$5:$H$1000, MATCH(A225&amp;"|"&amp;J225, 'Base Exámenes'!$I$5:$I$1000, 0))), ""), "")</f>
        <v>anonymous</v>
      </c>
      <c r="L225" s="22">
        <f>IF($A225="","",COUNTIF('Base Exámenes'!$C$5:$C$1000, A225))</f>
        <v>2</v>
      </c>
      <c r="M225" s="6" t="str">
        <f>IF($A225="","",IF(COUNTIF('Base Exámenes'!$C$5:$C$1000, A225)&gt;0, "", TRIM('Base Oficial'!H225)))</f>
        <v/>
      </c>
    </row>
    <row r="226">
      <c r="A226" s="4" t="str">
        <f>IF('Base Oficial'!A226="","",TRIM('Base Oficial'!A226))</f>
        <v>777</v>
      </c>
      <c r="B226" s="6" t="str">
        <f>IF($A226="","",TRIM('Base Oficial'!B226))</f>
        <v>MARCELINA YAMILETH LOPEZ VASQUEZ</v>
      </c>
      <c r="C226" s="6" t="str">
        <f>IF($A226="","",TRIM('Base Oficial'!F226))</f>
        <v>AGENCIA SAN MIGUEL</v>
      </c>
      <c r="D226" s="6" t="str">
        <f>IF($A226="","",TRIM('Base Oficial'!G226))</f>
        <v>Gerencia de Negocios</v>
      </c>
      <c r="E226" s="6" t="str">
        <f>IF($A226="","",TRIM('Base Oficial'!D226))</f>
        <v>CAJERO</v>
      </c>
      <c r="F226" s="4" t="str">
        <f>IF($A226="","",IF(COUNTIF('Base Exámenes'!$C$5:$C$1000, A226)&gt;0, "Completado", IF(M226&lt;&gt;"", M226, "Pendiente")))</f>
        <v>Completado</v>
      </c>
      <c r="G226" s="11">
        <f>IF(F226="Completado", IFERROR(IF(INDEX('Base Exámenes'!$D$5:$D$1000, MATCH(A226&amp;"|"&amp;J226, 'Base Exámenes'!$I$5:$I$1000, 0))="", "", INDEX('Base Exámenes'!$D$5:$D$1000, MATCH(A226&amp;"|"&amp;J226, 'Base Exámenes'!$I$5:$I$1000, 0))), ""), "")</f>
        <v>46296.45601851852</v>
      </c>
      <c r="H226" s="11">
        <f>IF(F226="Completado", IFERROR(IF(INDEX('Base Exámenes'!$E$5:$E$1000, MATCH(A226&amp;"|"&amp;J226, 'Base Exámenes'!$I$5:$I$1000, 0))="", "", INDEX('Base Exámenes'!$E$5:$E$1000, MATCH(A226&amp;"|"&amp;J226, 'Base Exámenes'!$I$5:$I$1000, 0))), ""), "")</f>
        <v>46296.45806712963</v>
      </c>
      <c r="I226" s="10">
        <f>IF(F226="Completado", IFERROR(IF(INDEX('Base Exámenes'!$F$5:$F$1000, MATCH(A226&amp;"|"&amp;J226, 'Base Exámenes'!$I$5:$I$1000, 0))="", "", INDEX('Base Exámenes'!$F$5:$F$1000, MATCH(A226&amp;"|"&amp;J226, 'Base Exámenes'!$I$5:$I$1000, 0))), ""), "")</f>
        <v>2.95</v>
      </c>
      <c r="J226" s="6">
        <f>IF(F226="Completado", IF(COUNTIFS('Base Exámenes'!$C$5:$C$1000, A226, 'Base Exámenes'!$G$5:$G$1000, "&lt;&gt;")=0, "", _xlfn.MAXIFS('Base Exámenes'!$G$5:$G$1000, 'Base Exámenes'!$C$5:$C$1000, A226)), "")</f>
        <v>100</v>
      </c>
      <c r="K226" s="6" t="str">
        <f>IF(F226="Completado", IFERROR(IF(INDEX('Base Exámenes'!$H$5:$H$1000, MATCH(A226&amp;"|"&amp;J226, 'Base Exámenes'!$I$5:$I$1000, 0))="", "", INDEX('Base Exámenes'!$H$5:$H$1000, MATCH(A226&amp;"|"&amp;J226, 'Base Exámenes'!$I$5:$I$1000, 0))), ""), "")</f>
        <v>anonymous</v>
      </c>
      <c r="L226" s="22">
        <f>IF($A226="","",COUNTIF('Base Exámenes'!$C$5:$C$1000, A226))</f>
        <v>1</v>
      </c>
      <c r="M226" s="6" t="str">
        <f>IF($A226="","",IF(COUNTIF('Base Exámenes'!$C$5:$C$1000, A226)&gt;0, "", TRIM('Base Oficial'!H226)))</f>
        <v/>
      </c>
    </row>
    <row r="227">
      <c r="A227" s="4" t="str">
        <f>IF('Base Oficial'!A227="","",TRIM('Base Oficial'!A227))</f>
        <v>807</v>
      </c>
      <c r="B227" s="6" t="str">
        <f>IF($A227="","",TRIM('Base Oficial'!B227))</f>
        <v>MARCELA GUADALUPE CRESPO BENAVIDEZ</v>
      </c>
      <c r="C227" s="6" t="str">
        <f>IF($A227="","",TRIM('Base Oficial'!F227))</f>
        <v>AGENCIA SAN MIGUEL</v>
      </c>
      <c r="D227" s="6" t="str">
        <f>IF($A227="","",TRIM('Base Oficial'!G227))</f>
        <v>Gerencia de Negocios</v>
      </c>
      <c r="E227" s="6" t="str">
        <f>IF($A227="","",TRIM('Base Oficial'!D227))</f>
        <v>EJECUTIVA DE SEGUROS</v>
      </c>
      <c r="F227" s="4" t="str">
        <f>IF($A227="","",IF(COUNTIF('Base Exámenes'!$C$5:$C$1000, A227)&gt;0, "Completado", IF(M227&lt;&gt;"", M227, "Pendiente")))</f>
        <v>Completado</v>
      </c>
      <c r="G227" s="11">
        <f>IF(F227="Completado", IFERROR(IF(INDEX('Base Exámenes'!$D$5:$D$1000, MATCH(A227&amp;"|"&amp;J227, 'Base Exámenes'!$I$5:$I$1000, 0))="", "", INDEX('Base Exámenes'!$D$5:$D$1000, MATCH(A227&amp;"|"&amp;J227, 'Base Exámenes'!$I$5:$I$1000, 0))), ""), "")</f>
        <v>46296.44934027778</v>
      </c>
      <c r="H227" s="11">
        <f>IF(F227="Completado", IFERROR(IF(INDEX('Base Exámenes'!$E$5:$E$1000, MATCH(A227&amp;"|"&amp;J227, 'Base Exámenes'!$I$5:$I$1000, 0))="", "", INDEX('Base Exámenes'!$E$5:$E$1000, MATCH(A227&amp;"|"&amp;J227, 'Base Exámenes'!$I$5:$I$1000, 0))), ""), "")</f>
        <v>46296.45224537037</v>
      </c>
      <c r="I227" s="10">
        <f>IF(F227="Completado", IFERROR(IF(INDEX('Base Exámenes'!$F$5:$F$1000, MATCH(A227&amp;"|"&amp;J227, 'Base Exámenes'!$I$5:$I$1000, 0))="", "", INDEX('Base Exámenes'!$F$5:$F$1000, MATCH(A227&amp;"|"&amp;J227, 'Base Exámenes'!$I$5:$I$1000, 0))), ""), "")</f>
        <v>4.18333333333333</v>
      </c>
      <c r="J227" s="6">
        <f>IF(F227="Completado", IF(COUNTIFS('Base Exámenes'!$C$5:$C$1000, A227, 'Base Exámenes'!$G$5:$G$1000, "&lt;&gt;")=0, "", _xlfn.MAXIFS('Base Exámenes'!$G$5:$G$1000, 'Base Exámenes'!$C$5:$C$1000, A227)), "")</f>
        <v>100</v>
      </c>
      <c r="K227" s="6" t="str">
        <f>IF(F227="Completado", IFERROR(IF(INDEX('Base Exámenes'!$H$5:$H$1000, MATCH(A227&amp;"|"&amp;J227, 'Base Exámenes'!$I$5:$I$1000, 0))="", "", INDEX('Base Exámenes'!$H$5:$H$1000, MATCH(A227&amp;"|"&amp;J227, 'Base Exámenes'!$I$5:$I$1000, 0))), ""), "")</f>
        <v>anonymous</v>
      </c>
      <c r="L227" s="22">
        <f>IF($A227="","",COUNTIF('Base Exámenes'!$C$5:$C$1000, A227))</f>
        <v>1</v>
      </c>
      <c r="M227" s="6" t="str">
        <f>IF($A227="","",IF(COUNTIF('Base Exámenes'!$C$5:$C$1000, A227)&gt;0, "", TRIM('Base Oficial'!H227)))</f>
        <v/>
      </c>
    </row>
    <row r="228">
      <c r="A228" s="4" t="str">
        <f>IF('Base Oficial'!A228="","",TRIM('Base Oficial'!A228))</f>
        <v>861</v>
      </c>
      <c r="B228" s="6" t="str">
        <f>IF($A228="","",TRIM('Base Oficial'!B228))</f>
        <v>SANDRA MARINA BERRIOS SANTOS</v>
      </c>
      <c r="C228" s="6" t="str">
        <f>IF($A228="","",TRIM('Base Oficial'!F228))</f>
        <v>AGENCIA SAN MIGUEL</v>
      </c>
      <c r="D228" s="6" t="str">
        <f>IF($A228="","",TRIM('Base Oficial'!G228))</f>
        <v>Gerencia de Negocios</v>
      </c>
      <c r="E228" s="6" t="str">
        <f>IF($A228="","",TRIM('Base Oficial'!D228))</f>
        <v>CAJERO</v>
      </c>
      <c r="F228" s="4" t="str">
        <f>IF($A228="","",IF(COUNTIF('Base Exámenes'!$C$5:$C$1000, A228)&gt;0, "Completado", IF(M228&lt;&gt;"", M228, "Pendiente")))</f>
        <v>Incapacidad por maternidad</v>
      </c>
      <c r="G228" s="11" t="str">
        <f>IF(F228="Completado", IFERROR(IF(INDEX('Base Exámenes'!$D$5:$D$1000, MATCH(A228&amp;"|"&amp;J228, 'Base Exámenes'!$I$5:$I$1000, 0))="", "", INDEX('Base Exámenes'!$D$5:$D$1000, MATCH(A228&amp;"|"&amp;J228, 'Base Exámenes'!$I$5:$I$1000, 0))), ""), "")</f>
        <v/>
      </c>
      <c r="H228" s="11" t="str">
        <f>IF(F228="Completado", IFERROR(IF(INDEX('Base Exámenes'!$E$5:$E$1000, MATCH(A228&amp;"|"&amp;J228, 'Base Exámenes'!$I$5:$I$1000, 0))="", "", INDEX('Base Exámenes'!$E$5:$E$1000, MATCH(A228&amp;"|"&amp;J228, 'Base Exámenes'!$I$5:$I$1000, 0))), ""), "")</f>
        <v/>
      </c>
      <c r="I228" s="10" t="str">
        <f>IF(F228="Completado", IFERROR(IF(INDEX('Base Exámenes'!$F$5:$F$1000, MATCH(A228&amp;"|"&amp;J228, 'Base Exámenes'!$I$5:$I$1000, 0))="", "", INDEX('Base Exámenes'!$F$5:$F$1000, MATCH(A228&amp;"|"&amp;J228, 'Base Exámenes'!$I$5:$I$1000, 0))), ""), "")</f>
        <v/>
      </c>
      <c r="J228" s="6" t="str">
        <f>IF(F228="Completado", IF(COUNTIFS('Base Exámenes'!$C$5:$C$1000, A228, 'Base Exámenes'!$G$5:$G$1000, "&lt;&gt;")=0, "", _xlfn.MAXIFS('Base Exámenes'!$G$5:$G$1000, 'Base Exámenes'!$C$5:$C$1000, A228)), "")</f>
        <v/>
      </c>
      <c r="K228" s="6" t="str">
        <f>IF(F228="Completado", IFERROR(IF(INDEX('Base Exámenes'!$H$5:$H$1000, MATCH(A228&amp;"|"&amp;J228, 'Base Exámenes'!$I$5:$I$1000, 0))="", "", INDEX('Base Exámenes'!$H$5:$H$1000, MATCH(A228&amp;"|"&amp;J228, 'Base Exámenes'!$I$5:$I$1000, 0))), ""), "")</f>
        <v/>
      </c>
      <c r="L228" s="22">
        <f>IF($A228="","",COUNTIF('Base Exámenes'!$C$5:$C$1000, A228))</f>
        <v>0</v>
      </c>
      <c r="M228" s="6" t="str">
        <f>IF($A228="","",IF(COUNTIF('Base Exámenes'!$C$5:$C$1000, A228)&gt;0, "", TRIM('Base Oficial'!H228)))</f>
        <v>Incapacidad por maternidad</v>
      </c>
    </row>
    <row r="229">
      <c r="A229" s="4" t="str">
        <f>IF('Base Oficial'!A229="","",TRIM('Base Oficial'!A229))</f>
        <v>168</v>
      </c>
      <c r="B229" s="6" t="str">
        <f>IF($A229="","",TRIM('Base Oficial'!B229))</f>
        <v>ANA MARIA GIRON</v>
      </c>
      <c r="C229" s="6" t="str">
        <f>IF($A229="","",TRIM('Base Oficial'!F229))</f>
        <v>AGENCIA SANTA ANA</v>
      </c>
      <c r="D229" s="6" t="str">
        <f>IF($A229="","",TRIM('Base Oficial'!G229))</f>
        <v>Gerencia de Negocios</v>
      </c>
      <c r="E229" s="6" t="str">
        <f>IF($A229="","",TRIM('Base Oficial'!D229))</f>
        <v>EJECUTIVO DE NEGOCIOS</v>
      </c>
      <c r="F229" s="4" t="str">
        <f>IF($A229="","",IF(COUNTIF('Base Exámenes'!$C$5:$C$1000, A229)&gt;0, "Completado", IF(M229&lt;&gt;"", M229, "Pendiente")))</f>
        <v>Completado</v>
      </c>
      <c r="G229" s="11">
        <f>IF(F229="Completado", IFERROR(IF(INDEX('Base Exámenes'!$D$5:$D$1000, MATCH(A229&amp;"|"&amp;J229, 'Base Exámenes'!$I$5:$I$1000, 0))="", "", INDEX('Base Exámenes'!$D$5:$D$1000, MATCH(A229&amp;"|"&amp;J229, 'Base Exámenes'!$I$5:$I$1000, 0))), ""), "")</f>
        <v>46311.48390046296</v>
      </c>
      <c r="H229" s="11">
        <f>IF(F229="Completado", IFERROR(IF(INDEX('Base Exámenes'!$E$5:$E$1000, MATCH(A229&amp;"|"&amp;J229, 'Base Exámenes'!$I$5:$I$1000, 0))="", "", INDEX('Base Exámenes'!$E$5:$E$1000, MATCH(A229&amp;"|"&amp;J229, 'Base Exámenes'!$I$5:$I$1000, 0))), ""), "")</f>
        <v>46311.49398148148</v>
      </c>
      <c r="I229" s="10">
        <f>IF(F229="Completado", IFERROR(IF(INDEX('Base Exámenes'!$F$5:$F$1000, MATCH(A229&amp;"|"&amp;J229, 'Base Exámenes'!$I$5:$I$1000, 0))="", "", INDEX('Base Exámenes'!$F$5:$F$1000, MATCH(A229&amp;"|"&amp;J229, 'Base Exámenes'!$I$5:$I$1000, 0))), ""), "")</f>
        <v>14.5166666666667</v>
      </c>
      <c r="J229" s="6">
        <f>IF(F229="Completado", IF(COUNTIFS('Base Exámenes'!$C$5:$C$1000, A229, 'Base Exámenes'!$G$5:$G$1000, "&lt;&gt;")=0, "", _xlfn.MAXIFS('Base Exámenes'!$G$5:$G$1000, 'Base Exámenes'!$C$5:$C$1000, A229)), "")</f>
        <v>100</v>
      </c>
      <c r="K229" s="6" t="str">
        <f>IF(F229="Completado", IFERROR(IF(INDEX('Base Exámenes'!$H$5:$H$1000, MATCH(A229&amp;"|"&amp;J229, 'Base Exámenes'!$I$5:$I$1000, 0))="", "", INDEX('Base Exámenes'!$H$5:$H$1000, MATCH(A229&amp;"|"&amp;J229, 'Base Exámenes'!$I$5:$I$1000, 0))), ""), "")</f>
        <v>anonymous</v>
      </c>
      <c r="L229" s="22">
        <f>IF($A229="","",COUNTIF('Base Exámenes'!$C$5:$C$1000, A229))</f>
        <v>1</v>
      </c>
      <c r="M229" s="6" t="str">
        <f>IF($A229="","",IF(COUNTIF('Base Exámenes'!$C$5:$C$1000, A229)&gt;0, "", TRIM('Base Oficial'!H229)))</f>
        <v/>
      </c>
    </row>
    <row r="230">
      <c r="A230" s="4" t="str">
        <f>IF('Base Oficial'!A230="","",TRIM('Base Oficial'!A230))</f>
        <v>295</v>
      </c>
      <c r="B230" s="6" t="str">
        <f>IF($A230="","",TRIM('Base Oficial'!B230))</f>
        <v>GLENDA MARAYA SALAZAR GONZALEZ</v>
      </c>
      <c r="C230" s="6" t="str">
        <f>IF($A230="","",TRIM('Base Oficial'!F230))</f>
        <v>AGENCIA SANTA ANA</v>
      </c>
      <c r="D230" s="6" t="str">
        <f>IF($A230="","",TRIM('Base Oficial'!G230))</f>
        <v>Gerencia de Negocios</v>
      </c>
      <c r="E230" s="6" t="str">
        <f>IF($A230="","",TRIM('Base Oficial'!D230))</f>
        <v>JEFE DE AGENCIA</v>
      </c>
      <c r="F230" s="4" t="str">
        <f>IF($A230="","",IF(COUNTIF('Base Exámenes'!$C$5:$C$1000, A230)&gt;0, "Completado", IF(M230&lt;&gt;"", M230, "Pendiente")))</f>
        <v>Completado</v>
      </c>
      <c r="G230" s="11">
        <f>IF(F230="Completado", IFERROR(IF(INDEX('Base Exámenes'!$D$5:$D$1000, MATCH(A230&amp;"|"&amp;J230, 'Base Exámenes'!$I$5:$I$1000, 0))="", "", INDEX('Base Exámenes'!$D$5:$D$1000, MATCH(A230&amp;"|"&amp;J230, 'Base Exámenes'!$I$5:$I$1000, 0))), ""), "")</f>
        <v>46309.336597222224</v>
      </c>
      <c r="H230" s="11">
        <f>IF(F230="Completado", IFERROR(IF(INDEX('Base Exámenes'!$E$5:$E$1000, MATCH(A230&amp;"|"&amp;J230, 'Base Exámenes'!$I$5:$I$1000, 0))="", "", INDEX('Base Exámenes'!$E$5:$E$1000, MATCH(A230&amp;"|"&amp;J230, 'Base Exámenes'!$I$5:$I$1000, 0))), ""), "")</f>
        <v>46309.339270833334</v>
      </c>
      <c r="I230" s="10">
        <f>IF(F230="Completado", IFERROR(IF(INDEX('Base Exámenes'!$F$5:$F$1000, MATCH(A230&amp;"|"&amp;J230, 'Base Exámenes'!$I$5:$I$1000, 0))="", "", INDEX('Base Exámenes'!$F$5:$F$1000, MATCH(A230&amp;"|"&amp;J230, 'Base Exámenes'!$I$5:$I$1000, 0))), ""), "")</f>
        <v>3.85</v>
      </c>
      <c r="J230" s="6">
        <f>IF(F230="Completado", IF(COUNTIFS('Base Exámenes'!$C$5:$C$1000, A230, 'Base Exámenes'!$G$5:$G$1000, "&lt;&gt;")=0, "", _xlfn.MAXIFS('Base Exámenes'!$G$5:$G$1000, 'Base Exámenes'!$C$5:$C$1000, A230)), "")</f>
        <v>100</v>
      </c>
      <c r="K230" s="6" t="str">
        <f>IF(F230="Completado", IFERROR(IF(INDEX('Base Exámenes'!$H$5:$H$1000, MATCH(A230&amp;"|"&amp;J230, 'Base Exámenes'!$I$5:$I$1000, 0))="", "", INDEX('Base Exámenes'!$H$5:$H$1000, MATCH(A230&amp;"|"&amp;J230, 'Base Exámenes'!$I$5:$I$1000, 0))), ""), "")</f>
        <v>anonymous</v>
      </c>
      <c r="L230" s="22">
        <f>IF($A230="","",COUNTIF('Base Exámenes'!$C$5:$C$1000, A230))</f>
        <v>1</v>
      </c>
      <c r="M230" s="6" t="str">
        <f>IF($A230="","",IF(COUNTIF('Base Exámenes'!$C$5:$C$1000, A230)&gt;0, "", TRIM('Base Oficial'!H230)))</f>
        <v/>
      </c>
    </row>
    <row r="231">
      <c r="A231" s="4" t="str">
        <f>IF('Base Oficial'!A231="","",TRIM('Base Oficial'!A231))</f>
        <v>312</v>
      </c>
      <c r="B231" s="6" t="str">
        <f>IF($A231="","",TRIM('Base Oficial'!B231))</f>
        <v>JEANNETTE ANGELINNE HERNANDEZ MEJIA</v>
      </c>
      <c r="C231" s="6" t="str">
        <f>IF($A231="","",TRIM('Base Oficial'!F231))</f>
        <v>AGENCIA SANTA ANA</v>
      </c>
      <c r="D231" s="6" t="str">
        <f>IF($A231="","",TRIM('Base Oficial'!G231))</f>
        <v>Gerencia de Negocios</v>
      </c>
      <c r="E231" s="6" t="str">
        <f>IF($A231="","",TRIM('Base Oficial'!D231))</f>
        <v>SUBJEFE DE AGENCIA</v>
      </c>
      <c r="F231" s="4" t="str">
        <f>IF($A231="","",IF(COUNTIF('Base Exámenes'!$C$5:$C$1000, A231)&gt;0, "Completado", IF(M231&lt;&gt;"", M231, "Pendiente")))</f>
        <v>Completado</v>
      </c>
      <c r="G231" s="11">
        <f>IF(F231="Completado", IFERROR(IF(INDEX('Base Exámenes'!$D$5:$D$1000, MATCH(A231&amp;"|"&amp;J231, 'Base Exámenes'!$I$5:$I$1000, 0))="", "", INDEX('Base Exámenes'!$D$5:$D$1000, MATCH(A231&amp;"|"&amp;J231, 'Base Exámenes'!$I$5:$I$1000, 0))), ""), "")</f>
        <v>46309.44709490741</v>
      </c>
      <c r="H231" s="11">
        <f>IF(F231="Completado", IFERROR(IF(INDEX('Base Exámenes'!$E$5:$E$1000, MATCH(A231&amp;"|"&amp;J231, 'Base Exámenes'!$I$5:$I$1000, 0))="", "", INDEX('Base Exámenes'!$E$5:$E$1000, MATCH(A231&amp;"|"&amp;J231, 'Base Exámenes'!$I$5:$I$1000, 0))), ""), "")</f>
        <v>46309.46179398148</v>
      </c>
      <c r="I231" s="10">
        <f>IF(F231="Completado", IFERROR(IF(INDEX('Base Exámenes'!$F$5:$F$1000, MATCH(A231&amp;"|"&amp;J231, 'Base Exámenes'!$I$5:$I$1000, 0))="", "", INDEX('Base Exámenes'!$F$5:$F$1000, MATCH(A231&amp;"|"&amp;J231, 'Base Exámenes'!$I$5:$I$1000, 0))), ""), "")</f>
        <v>21.1666666666667</v>
      </c>
      <c r="J231" s="6">
        <f>IF(F231="Completado", IF(COUNTIFS('Base Exámenes'!$C$5:$C$1000, A231, 'Base Exámenes'!$G$5:$G$1000, "&lt;&gt;")=0, "", _xlfn.MAXIFS('Base Exámenes'!$G$5:$G$1000, 'Base Exámenes'!$C$5:$C$1000, A231)), "")</f>
        <v>100</v>
      </c>
      <c r="K231" s="6" t="str">
        <f>IF(F231="Completado", IFERROR(IF(INDEX('Base Exámenes'!$H$5:$H$1000, MATCH(A231&amp;"|"&amp;J231, 'Base Exámenes'!$I$5:$I$1000, 0))="", "", INDEX('Base Exámenes'!$H$5:$H$1000, MATCH(A231&amp;"|"&amp;J231, 'Base Exámenes'!$I$5:$I$1000, 0))), ""), "")</f>
        <v>anonymous</v>
      </c>
      <c r="L231" s="22">
        <f>IF($A231="","",COUNTIF('Base Exámenes'!$C$5:$C$1000, A231))</f>
        <v>1</v>
      </c>
      <c r="M231" s="6" t="str">
        <f>IF($A231="","",IF(COUNTIF('Base Exámenes'!$C$5:$C$1000, A231)&gt;0, "", TRIM('Base Oficial'!H231)))</f>
        <v/>
      </c>
    </row>
    <row r="232">
      <c r="A232" s="4" t="str">
        <f>IF('Base Oficial'!A232="","",TRIM('Base Oficial'!A232))</f>
        <v>747</v>
      </c>
      <c r="B232" s="6" t="str">
        <f>IF($A232="","",TRIM('Base Oficial'!B232))</f>
        <v>IRVIN ADEMIR PERAZA MOLINA</v>
      </c>
      <c r="C232" s="6" t="str">
        <f>IF($A232="","",TRIM('Base Oficial'!F232))</f>
        <v>AGENCIA SANTA ANA</v>
      </c>
      <c r="D232" s="6" t="str">
        <f>IF($A232="","",TRIM('Base Oficial'!G232))</f>
        <v>Gerencia de Negocios</v>
      </c>
      <c r="E232" s="6" t="str">
        <f>IF($A232="","",TRIM('Base Oficial'!D232))</f>
        <v>EJECUTIVO DE SEGUROS</v>
      </c>
      <c r="F232" s="4" t="str">
        <f>IF($A232="","",IF(COUNTIF('Base Exámenes'!$C$5:$C$1000, A232)&gt;0, "Completado", IF(M232&lt;&gt;"", M232, "Pendiente")))</f>
        <v>Completado</v>
      </c>
      <c r="G232" s="11">
        <f>IF(F232="Completado", IFERROR(IF(INDEX('Base Exámenes'!$D$5:$D$1000, MATCH(A232&amp;"|"&amp;J232, 'Base Exámenes'!$I$5:$I$1000, 0))="", "", INDEX('Base Exámenes'!$D$5:$D$1000, MATCH(A232&amp;"|"&amp;J232, 'Base Exámenes'!$I$5:$I$1000, 0))), ""), "")</f>
        <v>46311.45276620371</v>
      </c>
      <c r="H232" s="11">
        <f>IF(F232="Completado", IFERROR(IF(INDEX('Base Exámenes'!$E$5:$E$1000, MATCH(A232&amp;"|"&amp;J232, 'Base Exámenes'!$I$5:$I$1000, 0))="", "", INDEX('Base Exámenes'!$E$5:$E$1000, MATCH(A232&amp;"|"&amp;J232, 'Base Exámenes'!$I$5:$I$1000, 0))), ""), "")</f>
        <v>46311.456400462965</v>
      </c>
      <c r="I232" s="10">
        <f>IF(F232="Completado", IFERROR(IF(INDEX('Base Exámenes'!$F$5:$F$1000, MATCH(A232&amp;"|"&amp;J232, 'Base Exámenes'!$I$5:$I$1000, 0))="", "", INDEX('Base Exámenes'!$F$5:$F$1000, MATCH(A232&amp;"|"&amp;J232, 'Base Exámenes'!$I$5:$I$1000, 0))), ""), "")</f>
        <v>5.23333333333333</v>
      </c>
      <c r="J232" s="6">
        <f>IF(F232="Completado", IF(COUNTIFS('Base Exámenes'!$C$5:$C$1000, A232, 'Base Exámenes'!$G$5:$G$1000, "&lt;&gt;")=0, "", _xlfn.MAXIFS('Base Exámenes'!$G$5:$G$1000, 'Base Exámenes'!$C$5:$C$1000, A232)), "")</f>
        <v>100</v>
      </c>
      <c r="K232" s="6" t="str">
        <f>IF(F232="Completado", IFERROR(IF(INDEX('Base Exámenes'!$H$5:$H$1000, MATCH(A232&amp;"|"&amp;J232, 'Base Exámenes'!$I$5:$I$1000, 0))="", "", INDEX('Base Exámenes'!$H$5:$H$1000, MATCH(A232&amp;"|"&amp;J232, 'Base Exámenes'!$I$5:$I$1000, 0))), ""), "")</f>
        <v>anonymous</v>
      </c>
      <c r="L232" s="22">
        <f>IF($A232="","",COUNTIF('Base Exámenes'!$C$5:$C$1000, A232))</f>
        <v>1</v>
      </c>
      <c r="M232" s="6" t="str">
        <f>IF($A232="","",IF(COUNTIF('Base Exámenes'!$C$5:$C$1000, A232)&gt;0, "", TRIM('Base Oficial'!H232)))</f>
        <v/>
      </c>
    </row>
    <row r="233">
      <c r="A233" s="4" t="str">
        <f>IF('Base Oficial'!A233="","",TRIM('Base Oficial'!A233))</f>
        <v>818</v>
      </c>
      <c r="B233" s="6" t="str">
        <f>IF($A233="","",TRIM('Base Oficial'!B233))</f>
        <v>ANDREA YAMILETH ESCOBAR CHICA</v>
      </c>
      <c r="C233" s="6" t="str">
        <f>IF($A233="","",TRIM('Base Oficial'!F233))</f>
        <v>AGENCIA SANTA ANA</v>
      </c>
      <c r="D233" s="6" t="str">
        <f>IF($A233="","",TRIM('Base Oficial'!G233))</f>
        <v>Gerencia de Negocios</v>
      </c>
      <c r="E233" s="6" t="str">
        <f>IF($A233="","",TRIM('Base Oficial'!D233))</f>
        <v>CAJERO</v>
      </c>
      <c r="F233" s="4" t="str">
        <f>IF($A233="","",IF(COUNTIF('Base Exámenes'!$C$5:$C$1000, A233)&gt;0, "Completado", IF(M233&lt;&gt;"", M233, "Pendiente")))</f>
        <v>Completado</v>
      </c>
      <c r="G233" s="11">
        <f>IF(F233="Completado", IFERROR(IF(INDEX('Base Exámenes'!$D$5:$D$1000, MATCH(A233&amp;"|"&amp;J233, 'Base Exámenes'!$I$5:$I$1000, 0))="", "", INDEX('Base Exámenes'!$D$5:$D$1000, MATCH(A233&amp;"|"&amp;J233, 'Base Exámenes'!$I$5:$I$1000, 0))), ""), "")</f>
        <v>46309.62401620371</v>
      </c>
      <c r="H233" s="11">
        <f>IF(F233="Completado", IFERROR(IF(INDEX('Base Exámenes'!$E$5:$E$1000, MATCH(A233&amp;"|"&amp;J233, 'Base Exámenes'!$I$5:$I$1000, 0))="", "", INDEX('Base Exámenes'!$E$5:$E$1000, MATCH(A233&amp;"|"&amp;J233, 'Base Exámenes'!$I$5:$I$1000, 0))), ""), "")</f>
        <v>46309.62991898148</v>
      </c>
      <c r="I233" s="10">
        <f>IF(F233="Completado", IFERROR(IF(INDEX('Base Exámenes'!$F$5:$F$1000, MATCH(A233&amp;"|"&amp;J233, 'Base Exámenes'!$I$5:$I$1000, 0))="", "", INDEX('Base Exámenes'!$F$5:$F$1000, MATCH(A233&amp;"|"&amp;J233, 'Base Exámenes'!$I$5:$I$1000, 0))), ""), "")</f>
        <v>8.5</v>
      </c>
      <c r="J233" s="6">
        <f>IF(F233="Completado", IF(COUNTIFS('Base Exámenes'!$C$5:$C$1000, A233, 'Base Exámenes'!$G$5:$G$1000, "&lt;&gt;")=0, "", _xlfn.MAXIFS('Base Exámenes'!$G$5:$G$1000, 'Base Exámenes'!$C$5:$C$1000, A233)), "")</f>
        <v>90</v>
      </c>
      <c r="K233" s="6" t="str">
        <f>IF(F233="Completado", IFERROR(IF(INDEX('Base Exámenes'!$H$5:$H$1000, MATCH(A233&amp;"|"&amp;J233, 'Base Exámenes'!$I$5:$I$1000, 0))="", "", INDEX('Base Exámenes'!$H$5:$H$1000, MATCH(A233&amp;"|"&amp;J233, 'Base Exámenes'!$I$5:$I$1000, 0))), ""), "")</f>
        <v>anonymous</v>
      </c>
      <c r="L233" s="22">
        <f>IF($A233="","",COUNTIF('Base Exámenes'!$C$5:$C$1000, A233))</f>
        <v>1</v>
      </c>
      <c r="M233" s="6" t="str">
        <f>IF($A233="","",IF(COUNTIF('Base Exámenes'!$C$5:$C$1000, A233)&gt;0, "", TRIM('Base Oficial'!H233)))</f>
        <v/>
      </c>
    </row>
    <row r="234">
      <c r="A234" s="4" t="str">
        <f>IF('Base Oficial'!A234="","",TRIM('Base Oficial'!A234))</f>
        <v>840</v>
      </c>
      <c r="B234" s="6" t="str">
        <f>IF($A234="","",TRIM('Base Oficial'!B234))</f>
        <v>SOFIA AZMINIA MENA ARGUETA</v>
      </c>
      <c r="C234" s="6" t="str">
        <f>IF($A234="","",TRIM('Base Oficial'!F234))</f>
        <v>AGENCIA SANTA ANA</v>
      </c>
      <c r="D234" s="6" t="str">
        <f>IF($A234="","",TRIM('Base Oficial'!G234))</f>
        <v>Gerencia de Negocios</v>
      </c>
      <c r="E234" s="6" t="str">
        <f>IF($A234="","",TRIM('Base Oficial'!D234))</f>
        <v>CAJERO</v>
      </c>
      <c r="F234" s="4" t="str">
        <f>IF($A234="","",IF(COUNTIF('Base Exámenes'!$C$5:$C$1000, A234)&gt;0, "Completado", IF(M234&lt;&gt;"", M234, "Pendiente")))</f>
        <v>Completado</v>
      </c>
      <c r="G234" s="11">
        <f>IF(F234="Completado", IFERROR(IF(INDEX('Base Exámenes'!$D$5:$D$1000, MATCH(A234&amp;"|"&amp;J234, 'Base Exámenes'!$I$5:$I$1000, 0))="", "", INDEX('Base Exámenes'!$D$5:$D$1000, MATCH(A234&amp;"|"&amp;J234, 'Base Exámenes'!$I$5:$I$1000, 0))), ""), "")</f>
        <v>46311.465208333335</v>
      </c>
      <c r="H234" s="11">
        <f>IF(F234="Completado", IFERROR(IF(INDEX('Base Exámenes'!$E$5:$E$1000, MATCH(A234&amp;"|"&amp;J234, 'Base Exámenes'!$I$5:$I$1000, 0))="", "", INDEX('Base Exámenes'!$E$5:$E$1000, MATCH(A234&amp;"|"&amp;J234, 'Base Exámenes'!$I$5:$I$1000, 0))), ""), "")</f>
        <v>46311.4675</v>
      </c>
      <c r="I234" s="10">
        <f>IF(F234="Completado", IFERROR(IF(INDEX('Base Exámenes'!$F$5:$F$1000, MATCH(A234&amp;"|"&amp;J234, 'Base Exámenes'!$I$5:$I$1000, 0))="", "", INDEX('Base Exámenes'!$F$5:$F$1000, MATCH(A234&amp;"|"&amp;J234, 'Base Exámenes'!$I$5:$I$1000, 0))), ""), "")</f>
        <v>3.3</v>
      </c>
      <c r="J234" s="6">
        <f>IF(F234="Completado", IF(COUNTIFS('Base Exámenes'!$C$5:$C$1000, A234, 'Base Exámenes'!$G$5:$G$1000, "&lt;&gt;")=0, "", _xlfn.MAXIFS('Base Exámenes'!$G$5:$G$1000, 'Base Exámenes'!$C$5:$C$1000, A234)), "")</f>
        <v>100</v>
      </c>
      <c r="K234" s="6" t="str">
        <f>IF(F234="Completado", IFERROR(IF(INDEX('Base Exámenes'!$H$5:$H$1000, MATCH(A234&amp;"|"&amp;J234, 'Base Exámenes'!$I$5:$I$1000, 0))="", "", INDEX('Base Exámenes'!$H$5:$H$1000, MATCH(A234&amp;"|"&amp;J234, 'Base Exámenes'!$I$5:$I$1000, 0))), ""), "")</f>
        <v>CÓDIGO CORREGIDO: escribió 841 (pertenece a otra persona)</v>
      </c>
      <c r="L234" s="22">
        <f>IF($A234="","",COUNTIF('Base Exámenes'!$C$5:$C$1000, A234))</f>
        <v>1</v>
      </c>
      <c r="M234" s="6" t="str">
        <f>IF($A234="","",IF(COUNTIF('Base Exámenes'!$C$5:$C$1000, A234)&gt;0, "", TRIM('Base Oficial'!H234)))</f>
        <v/>
      </c>
    </row>
    <row r="235">
      <c r="A235" s="4" t="str">
        <f>IF('Base Oficial'!A235="","",TRIM('Base Oficial'!A235))</f>
        <v>910</v>
      </c>
      <c r="B235" s="6" t="str">
        <f>IF($A235="","",TRIM('Base Oficial'!B235))</f>
        <v>JOSE CRISTOBAL LOPEZ ESQUIVEL</v>
      </c>
      <c r="C235" s="6" t="str">
        <f>IF($A235="","",TRIM('Base Oficial'!F235))</f>
        <v>AGENCIA SANTA ANA</v>
      </c>
      <c r="D235" s="6" t="str">
        <f>IF($A235="","",TRIM('Base Oficial'!G235))</f>
        <v>Gerencia de Negocios</v>
      </c>
      <c r="E235" s="6" t="str">
        <f>IF($A235="","",TRIM('Base Oficial'!D235))</f>
        <v>MENSAJERO</v>
      </c>
      <c r="F235" s="4" t="str">
        <f>IF($A235="","",IF(COUNTIF('Base Exámenes'!$C$5:$C$1000, A235)&gt;0, "Completado", IF(M235&lt;&gt;"", M235, "Pendiente")))</f>
        <v>Completado</v>
      </c>
      <c r="G235" s="11">
        <f>IF(F235="Completado", IFERROR(IF(INDEX('Base Exámenes'!$D$5:$D$1000, MATCH(A235&amp;"|"&amp;J235, 'Base Exámenes'!$I$5:$I$1000, 0))="", "", INDEX('Base Exámenes'!$D$5:$D$1000, MATCH(A235&amp;"|"&amp;J235, 'Base Exámenes'!$I$5:$I$1000, 0))), ""), "")</f>
        <v>46311.473969907405</v>
      </c>
      <c r="H235" s="11">
        <f>IF(F235="Completado", IFERROR(IF(INDEX('Base Exámenes'!$E$5:$E$1000, MATCH(A235&amp;"|"&amp;J235, 'Base Exámenes'!$I$5:$I$1000, 0))="", "", INDEX('Base Exámenes'!$E$5:$E$1000, MATCH(A235&amp;"|"&amp;J235, 'Base Exámenes'!$I$5:$I$1000, 0))), ""), "")</f>
        <v>46311.47555555555</v>
      </c>
      <c r="I235" s="10">
        <f>IF(F235="Completado", IFERROR(IF(INDEX('Base Exámenes'!$F$5:$F$1000, MATCH(A235&amp;"|"&amp;J235, 'Base Exámenes'!$I$5:$I$1000, 0))="", "", INDEX('Base Exámenes'!$F$5:$F$1000, MATCH(A235&amp;"|"&amp;J235, 'Base Exámenes'!$I$5:$I$1000, 0))), ""), "")</f>
        <v>2.28333333333333</v>
      </c>
      <c r="J235" s="6">
        <f>IF(F235="Completado", IF(COUNTIFS('Base Exámenes'!$C$5:$C$1000, A235, 'Base Exámenes'!$G$5:$G$1000, "&lt;&gt;")=0, "", _xlfn.MAXIFS('Base Exámenes'!$G$5:$G$1000, 'Base Exámenes'!$C$5:$C$1000, A235)), "")</f>
        <v>100</v>
      </c>
      <c r="K235" s="6" t="str">
        <f>IF(F235="Completado", IFERROR(IF(INDEX('Base Exámenes'!$H$5:$H$1000, MATCH(A235&amp;"|"&amp;J235, 'Base Exámenes'!$I$5:$I$1000, 0))="", "", INDEX('Base Exámenes'!$H$5:$H$1000, MATCH(A235&amp;"|"&amp;J235, 'Base Exámenes'!$I$5:$I$1000, 0))), ""), "")</f>
        <v>anonymous</v>
      </c>
      <c r="L235" s="22">
        <f>IF($A235="","",COUNTIF('Base Exámenes'!$C$5:$C$1000, A235))</f>
        <v>1</v>
      </c>
      <c r="M235" s="6" t="str">
        <f>IF($A235="","",IF(COUNTIF('Base Exámenes'!$C$5:$C$1000, A235)&gt;0, "", TRIM('Base Oficial'!H235)))</f>
        <v/>
      </c>
    </row>
    <row r="236">
      <c r="A236" s="4" t="str">
        <f>IF('Base Oficial'!A236="","",TRIM('Base Oficial'!A236))</f>
        <v>954</v>
      </c>
      <c r="B236" s="6" t="str">
        <f>IF($A236="","",TRIM('Base Oficial'!B236))</f>
        <v>LUIS GERARDO DUEÑAS VALLE</v>
      </c>
      <c r="C236" s="6" t="str">
        <f>IF($A236="","",TRIM('Base Oficial'!F236))</f>
        <v>AGENCIA SANTA ANA</v>
      </c>
      <c r="D236" s="6" t="str">
        <f>IF($A236="","",TRIM('Base Oficial'!G236))</f>
        <v>Gerencia de Negocios</v>
      </c>
      <c r="E236" s="6" t="str">
        <f>IF($A236="","",TRIM('Base Oficial'!D236))</f>
        <v>CAJERO</v>
      </c>
      <c r="F236" s="4" t="str">
        <f>IF($A236="","",IF(COUNTIF('Base Exámenes'!$C$5:$C$1000, A236)&gt;0, "Completado", IF(M236&lt;&gt;"", M236, "Pendiente")))</f>
        <v>Completado</v>
      </c>
      <c r="G236" s="11">
        <f>IF(F236="Completado", IFERROR(IF(INDEX('Base Exámenes'!$D$5:$D$1000, MATCH(A236&amp;"|"&amp;J236, 'Base Exámenes'!$I$5:$I$1000, 0))="", "", INDEX('Base Exámenes'!$D$5:$D$1000, MATCH(A236&amp;"|"&amp;J236, 'Base Exámenes'!$I$5:$I$1000, 0))), ""), "")</f>
        <v>46309.636030092595</v>
      </c>
      <c r="H236" s="11">
        <f>IF(F236="Completado", IFERROR(IF(INDEX('Base Exámenes'!$E$5:$E$1000, MATCH(A236&amp;"|"&amp;J236, 'Base Exámenes'!$I$5:$I$1000, 0))="", "", INDEX('Base Exámenes'!$E$5:$E$1000, MATCH(A236&amp;"|"&amp;J236, 'Base Exámenes'!$I$5:$I$1000, 0))), ""), "")</f>
        <v>46309.63957175926</v>
      </c>
      <c r="I236" s="10">
        <f>IF(F236="Completado", IFERROR(IF(INDEX('Base Exámenes'!$F$5:$F$1000, MATCH(A236&amp;"|"&amp;J236, 'Base Exámenes'!$I$5:$I$1000, 0))="", "", INDEX('Base Exámenes'!$F$5:$F$1000, MATCH(A236&amp;"|"&amp;J236, 'Base Exámenes'!$I$5:$I$1000, 0))), ""), "")</f>
        <v>5.1</v>
      </c>
      <c r="J236" s="6">
        <f>IF(F236="Completado", IF(COUNTIFS('Base Exámenes'!$C$5:$C$1000, A236, 'Base Exámenes'!$G$5:$G$1000, "&lt;&gt;")=0, "", _xlfn.MAXIFS('Base Exámenes'!$G$5:$G$1000, 'Base Exámenes'!$C$5:$C$1000, A236)), "")</f>
        <v>90</v>
      </c>
      <c r="K236" s="6" t="str">
        <f>IF(F236="Completado", IFERROR(IF(INDEX('Base Exámenes'!$H$5:$H$1000, MATCH(A236&amp;"|"&amp;J236, 'Base Exámenes'!$I$5:$I$1000, 0))="", "", INDEX('Base Exámenes'!$H$5:$H$1000, MATCH(A236&amp;"|"&amp;J236, 'Base Exámenes'!$I$5:$I$1000, 0))), ""), "")</f>
        <v>anonymous</v>
      </c>
      <c r="L236" s="22">
        <f>IF($A236="","",COUNTIF('Base Exámenes'!$C$5:$C$1000, A236))</f>
        <v>1</v>
      </c>
      <c r="M236" s="6" t="str">
        <f>IF($A236="","",IF(COUNTIF('Base Exámenes'!$C$5:$C$1000, A236)&gt;0, "", TRIM('Base Oficial'!H236)))</f>
        <v/>
      </c>
    </row>
    <row r="237">
      <c r="A237" s="4" t="str">
        <f>IF('Base Oficial'!A237="","",TRIM('Base Oficial'!A237))</f>
        <v>287</v>
      </c>
      <c r="B237" s="6" t="str">
        <f>IF($A237="","",TRIM('Base Oficial'!B237))</f>
        <v>MARIA ANGELICA ESCOBAR RENDEROS</v>
      </c>
      <c r="C237" s="6" t="str">
        <f>IF($A237="","",TRIM('Base Oficial'!F237))</f>
        <v>AGENCIA SONSONATE</v>
      </c>
      <c r="D237" s="6" t="str">
        <f>IF($A237="","",TRIM('Base Oficial'!G237))</f>
        <v>Gerencia de Negocios</v>
      </c>
      <c r="E237" s="6" t="str">
        <f>IF($A237="","",TRIM('Base Oficial'!D237))</f>
        <v>JEFE DE AGENCIA</v>
      </c>
      <c r="F237" s="4" t="str">
        <f>IF($A237="","",IF(COUNTIF('Base Exámenes'!$C$5:$C$1000, A237)&gt;0, "Completado", IF(M237&lt;&gt;"", M237, "Pendiente")))</f>
        <v>Completado</v>
      </c>
      <c r="G237" s="11">
        <f>IF(F237="Completado", IFERROR(IF(INDEX('Base Exámenes'!$D$5:$D$1000, MATCH(A237&amp;"|"&amp;J237, 'Base Exámenes'!$I$5:$I$1000, 0))="", "", INDEX('Base Exámenes'!$D$5:$D$1000, MATCH(A237&amp;"|"&amp;J237, 'Base Exámenes'!$I$5:$I$1000, 0))), ""), "")</f>
        <v>46310.628796296296</v>
      </c>
      <c r="H237" s="11">
        <f>IF(F237="Completado", IFERROR(IF(INDEX('Base Exámenes'!$E$5:$E$1000, MATCH(A237&amp;"|"&amp;J237, 'Base Exámenes'!$I$5:$I$1000, 0))="", "", INDEX('Base Exámenes'!$E$5:$E$1000, MATCH(A237&amp;"|"&amp;J237, 'Base Exámenes'!$I$5:$I$1000, 0))), ""), "")</f>
        <v>46310.63381944445</v>
      </c>
      <c r="I237" s="10">
        <f>IF(F237="Completado", IFERROR(IF(INDEX('Base Exámenes'!$F$5:$F$1000, MATCH(A237&amp;"|"&amp;J237, 'Base Exámenes'!$I$5:$I$1000, 0))="", "", INDEX('Base Exámenes'!$F$5:$F$1000, MATCH(A237&amp;"|"&amp;J237, 'Base Exámenes'!$I$5:$I$1000, 0))), ""), "")</f>
        <v>7.23333333333333</v>
      </c>
      <c r="J237" s="6">
        <f>IF(F237="Completado", IF(COUNTIFS('Base Exámenes'!$C$5:$C$1000, A237, 'Base Exámenes'!$G$5:$G$1000, "&lt;&gt;")=0, "", _xlfn.MAXIFS('Base Exámenes'!$G$5:$G$1000, 'Base Exámenes'!$C$5:$C$1000, A237)), "")</f>
        <v>100</v>
      </c>
      <c r="K237" s="6" t="str">
        <f>IF(F237="Completado", IFERROR(IF(INDEX('Base Exámenes'!$H$5:$H$1000, MATCH(A237&amp;"|"&amp;J237, 'Base Exámenes'!$I$5:$I$1000, 0))="", "", INDEX('Base Exámenes'!$H$5:$H$1000, MATCH(A237&amp;"|"&amp;J237, 'Base Exámenes'!$I$5:$I$1000, 0))), ""), "")</f>
        <v>anonymous</v>
      </c>
      <c r="L237" s="22">
        <f>IF($A237="","",COUNTIF('Base Exámenes'!$C$5:$C$1000, A237))</f>
        <v>1</v>
      </c>
      <c r="M237" s="6" t="str">
        <f>IF($A237="","",IF(COUNTIF('Base Exámenes'!$C$5:$C$1000, A237)&gt;0, "", TRIM('Base Oficial'!H237)))</f>
        <v/>
      </c>
    </row>
    <row r="238">
      <c r="A238" s="4" t="str">
        <f>IF('Base Oficial'!A238="","",TRIM('Base Oficial'!A238))</f>
        <v>448</v>
      </c>
      <c r="B238" s="6" t="str">
        <f>IF($A238="","",TRIM('Base Oficial'!B238))</f>
        <v>JOSE ALEXANDER TORRES PEREZ</v>
      </c>
      <c r="C238" s="6" t="str">
        <f>IF($A238="","",TRIM('Base Oficial'!F238))</f>
        <v>AGENCIA SONSONATE</v>
      </c>
      <c r="D238" s="6" t="str">
        <f>IF($A238="","",TRIM('Base Oficial'!G238))</f>
        <v>Gerencia de Negocios</v>
      </c>
      <c r="E238" s="6" t="str">
        <f>IF($A238="","",TRIM('Base Oficial'!D238))</f>
        <v>MENSAJERO</v>
      </c>
      <c r="F238" s="4" t="str">
        <f>IF($A238="","",IF(COUNTIF('Base Exámenes'!$C$5:$C$1000, A238)&gt;0, "Completado", IF(M238&lt;&gt;"", M238, "Pendiente")))</f>
        <v>Completado</v>
      </c>
      <c r="G238" s="11">
        <f>IF(F238="Completado", IFERROR(IF(INDEX('Base Exámenes'!$D$5:$D$1000, MATCH(A238&amp;"|"&amp;J238, 'Base Exámenes'!$I$5:$I$1000, 0))="", "", INDEX('Base Exámenes'!$D$5:$D$1000, MATCH(A238&amp;"|"&amp;J238, 'Base Exámenes'!$I$5:$I$1000, 0))), ""), "")</f>
        <v>46311.409733796296</v>
      </c>
      <c r="H238" s="11">
        <f>IF(F238="Completado", IFERROR(IF(INDEX('Base Exámenes'!$E$5:$E$1000, MATCH(A238&amp;"|"&amp;J238, 'Base Exámenes'!$I$5:$I$1000, 0))="", "", INDEX('Base Exámenes'!$E$5:$E$1000, MATCH(A238&amp;"|"&amp;J238, 'Base Exámenes'!$I$5:$I$1000, 0))), ""), "")</f>
        <v>46311.41554398148</v>
      </c>
      <c r="I238" s="10">
        <f>IF(F238="Completado", IFERROR(IF(INDEX('Base Exámenes'!$F$5:$F$1000, MATCH(A238&amp;"|"&amp;J238, 'Base Exámenes'!$I$5:$I$1000, 0))="", "", INDEX('Base Exámenes'!$F$5:$F$1000, MATCH(A238&amp;"|"&amp;J238, 'Base Exámenes'!$I$5:$I$1000, 0))), ""), "")</f>
        <v>8.36666666666667</v>
      </c>
      <c r="J238" s="6">
        <f>IF(F238="Completado", IF(COUNTIFS('Base Exámenes'!$C$5:$C$1000, A238, 'Base Exámenes'!$G$5:$G$1000, "&lt;&gt;")=0, "", _xlfn.MAXIFS('Base Exámenes'!$G$5:$G$1000, 'Base Exámenes'!$C$5:$C$1000, A238)), "")</f>
        <v>100</v>
      </c>
      <c r="K238" s="6" t="str">
        <f>IF(F238="Completado", IFERROR(IF(INDEX('Base Exámenes'!$H$5:$H$1000, MATCH(A238&amp;"|"&amp;J238, 'Base Exámenes'!$I$5:$I$1000, 0))="", "", INDEX('Base Exámenes'!$H$5:$H$1000, MATCH(A238&amp;"|"&amp;J238, 'Base Exámenes'!$I$5:$I$1000, 0))), ""), "")</f>
        <v>anonymous</v>
      </c>
      <c r="L238" s="22">
        <f>IF($A238="","",COUNTIF('Base Exámenes'!$C$5:$C$1000, A238))</f>
        <v>1</v>
      </c>
      <c r="M238" s="6" t="str">
        <f>IF($A238="","",IF(COUNTIF('Base Exámenes'!$C$5:$C$1000, A238)&gt;0, "", TRIM('Base Oficial'!H238)))</f>
        <v/>
      </c>
    </row>
    <row r="239">
      <c r="A239" s="4" t="str">
        <f>IF('Base Oficial'!A239="","",TRIM('Base Oficial'!A239))</f>
        <v>526</v>
      </c>
      <c r="B239" s="6" t="str">
        <f>IF($A239="","",TRIM('Base Oficial'!B239))</f>
        <v>XIOMARA BEATRIZ MARTINEZ SERMEÑO</v>
      </c>
      <c r="C239" s="6" t="str">
        <f>IF($A239="","",TRIM('Base Oficial'!F239))</f>
        <v>AGENCIA SONSONATE</v>
      </c>
      <c r="D239" s="6" t="str">
        <f>IF($A239="","",TRIM('Base Oficial'!G239))</f>
        <v>Gerencia de Negocios</v>
      </c>
      <c r="E239" s="6" t="str">
        <f>IF($A239="","",TRIM('Base Oficial'!D239))</f>
        <v>SUBJEFE DE AGENCIA</v>
      </c>
      <c r="F239" s="4" t="str">
        <f>IF($A239="","",IF(COUNTIF('Base Exámenes'!$C$5:$C$1000, A239)&gt;0, "Completado", IF(M239&lt;&gt;"", M239, "Pendiente")))</f>
        <v>Completado</v>
      </c>
      <c r="G239" s="11">
        <f>IF(F239="Completado", IFERROR(IF(INDEX('Base Exámenes'!$D$5:$D$1000, MATCH(A239&amp;"|"&amp;J239, 'Base Exámenes'!$I$5:$I$1000, 0))="", "", INDEX('Base Exámenes'!$D$5:$D$1000, MATCH(A239&amp;"|"&amp;J239, 'Base Exámenes'!$I$5:$I$1000, 0))), ""), "")</f>
        <v>46310.62758101852</v>
      </c>
      <c r="H239" s="11">
        <f>IF(F239="Completado", IFERROR(IF(INDEX('Base Exámenes'!$E$5:$E$1000, MATCH(A239&amp;"|"&amp;J239, 'Base Exámenes'!$I$5:$I$1000, 0))="", "", INDEX('Base Exámenes'!$E$5:$E$1000, MATCH(A239&amp;"|"&amp;J239, 'Base Exámenes'!$I$5:$I$1000, 0))), ""), "")</f>
        <v>46310.63746527778</v>
      </c>
      <c r="I239" s="10">
        <f>IF(F239="Completado", IFERROR(IF(INDEX('Base Exámenes'!$F$5:$F$1000, MATCH(A239&amp;"|"&amp;J239, 'Base Exámenes'!$I$5:$I$1000, 0))="", "", INDEX('Base Exámenes'!$F$5:$F$1000, MATCH(A239&amp;"|"&amp;J239, 'Base Exámenes'!$I$5:$I$1000, 0))), ""), "")</f>
        <v>14.2333333333333</v>
      </c>
      <c r="J239" s="6">
        <f>IF(F239="Completado", IF(COUNTIFS('Base Exámenes'!$C$5:$C$1000, A239, 'Base Exámenes'!$G$5:$G$1000, "&lt;&gt;")=0, "", _xlfn.MAXIFS('Base Exámenes'!$G$5:$G$1000, 'Base Exámenes'!$C$5:$C$1000, A239)), "")</f>
        <v>100</v>
      </c>
      <c r="K239" s="6" t="str">
        <f>IF(F239="Completado", IFERROR(IF(INDEX('Base Exámenes'!$H$5:$H$1000, MATCH(A239&amp;"|"&amp;J239, 'Base Exámenes'!$I$5:$I$1000, 0))="", "", INDEX('Base Exámenes'!$H$5:$H$1000, MATCH(A239&amp;"|"&amp;J239, 'Base Exámenes'!$I$5:$I$1000, 0))), ""), "")</f>
        <v>anonymous</v>
      </c>
      <c r="L239" s="22">
        <f>IF($A239="","",COUNTIF('Base Exámenes'!$C$5:$C$1000, A239))</f>
        <v>1</v>
      </c>
      <c r="M239" s="6" t="str">
        <f>IF($A239="","",IF(COUNTIF('Base Exámenes'!$C$5:$C$1000, A239)&gt;0, "", TRIM('Base Oficial'!H239)))</f>
        <v/>
      </c>
    </row>
    <row r="240">
      <c r="A240" s="4" t="str">
        <f>IF('Base Oficial'!A240="","",TRIM('Base Oficial'!A240))</f>
        <v>559</v>
      </c>
      <c r="B240" s="6" t="str">
        <f>IF($A240="","",TRIM('Base Oficial'!B240))</f>
        <v>JOSUE ALEXANDER PEREZ HENRIQUEZ</v>
      </c>
      <c r="C240" s="6" t="str">
        <f>IF($A240="","",TRIM('Base Oficial'!F240))</f>
        <v>AGENCIA SONSONATE</v>
      </c>
      <c r="D240" s="6" t="str">
        <f>IF($A240="","",TRIM('Base Oficial'!G240))</f>
        <v>Gerencia de Negocios</v>
      </c>
      <c r="E240" s="6" t="str">
        <f>IF($A240="","",TRIM('Base Oficial'!D240))</f>
        <v>EJECUTIVO DE NEGOCIOS</v>
      </c>
      <c r="F240" s="4" t="str">
        <f>IF($A240="","",IF(COUNTIF('Base Exámenes'!$C$5:$C$1000, A240)&gt;0, "Completado", IF(M240&lt;&gt;"", M240, "Pendiente")))</f>
        <v>Completado</v>
      </c>
      <c r="G240" s="11">
        <f>IF(F240="Completado", IFERROR(IF(INDEX('Base Exámenes'!$D$5:$D$1000, MATCH(A240&amp;"|"&amp;J240, 'Base Exámenes'!$I$5:$I$1000, 0))="", "", INDEX('Base Exámenes'!$D$5:$D$1000, MATCH(A240&amp;"|"&amp;J240, 'Base Exámenes'!$I$5:$I$1000, 0))), ""), "")</f>
        <v>46310.63520833333</v>
      </c>
      <c r="H240" s="11">
        <f>IF(F240="Completado", IFERROR(IF(INDEX('Base Exámenes'!$E$5:$E$1000, MATCH(A240&amp;"|"&amp;J240, 'Base Exámenes'!$I$5:$I$1000, 0))="", "", INDEX('Base Exámenes'!$E$5:$E$1000, MATCH(A240&amp;"|"&amp;J240, 'Base Exámenes'!$I$5:$I$1000, 0))), ""), "")</f>
        <v>46310.63688657407</v>
      </c>
      <c r="I240" s="10">
        <f>IF(F240="Completado", IFERROR(IF(INDEX('Base Exámenes'!$F$5:$F$1000, MATCH(A240&amp;"|"&amp;J240, 'Base Exámenes'!$I$5:$I$1000, 0))="", "", INDEX('Base Exámenes'!$F$5:$F$1000, MATCH(A240&amp;"|"&amp;J240, 'Base Exámenes'!$I$5:$I$1000, 0))), ""), "")</f>
        <v>2.41666666666667</v>
      </c>
      <c r="J240" s="6">
        <f>IF(F240="Completado", IF(COUNTIFS('Base Exámenes'!$C$5:$C$1000, A240, 'Base Exámenes'!$G$5:$G$1000, "&lt;&gt;")=0, "", _xlfn.MAXIFS('Base Exámenes'!$G$5:$G$1000, 'Base Exámenes'!$C$5:$C$1000, A240)), "")</f>
        <v>100</v>
      </c>
      <c r="K240" s="6" t="str">
        <f>IF(F240="Completado", IFERROR(IF(INDEX('Base Exámenes'!$H$5:$H$1000, MATCH(A240&amp;"|"&amp;J240, 'Base Exámenes'!$I$5:$I$1000, 0))="", "", INDEX('Base Exámenes'!$H$5:$H$1000, MATCH(A240&amp;"|"&amp;J240, 'Base Exámenes'!$I$5:$I$1000, 0))), ""), "")</f>
        <v>anonymous</v>
      </c>
      <c r="L240" s="22">
        <f>IF($A240="","",COUNTIF('Base Exámenes'!$C$5:$C$1000, A240))</f>
        <v>1</v>
      </c>
      <c r="M240" s="6" t="str">
        <f>IF($A240="","",IF(COUNTIF('Base Exámenes'!$C$5:$C$1000, A240)&gt;0, "", TRIM('Base Oficial'!H240)))</f>
        <v/>
      </c>
    </row>
    <row r="241">
      <c r="A241" s="4" t="str">
        <f>IF('Base Oficial'!A241="","",TRIM('Base Oficial'!A241))</f>
        <v>575</v>
      </c>
      <c r="B241" s="6" t="str">
        <f>IF($A241="","",TRIM('Base Oficial'!B241))</f>
        <v>JESSICA YAMILETH LEIVA VASQUEZ</v>
      </c>
      <c r="C241" s="6" t="str">
        <f>IF($A241="","",TRIM('Base Oficial'!F241))</f>
        <v>AGENCIA SONSONATE</v>
      </c>
      <c r="D241" s="6" t="str">
        <f>IF($A241="","",TRIM('Base Oficial'!G241))</f>
        <v>Gerencia de Negocios</v>
      </c>
      <c r="E241" s="6" t="str">
        <f>IF($A241="","",TRIM('Base Oficial'!D241))</f>
        <v>EJECUTIVA DE SEGUROS</v>
      </c>
      <c r="F241" s="4" t="str">
        <f>IF($A241="","",IF(COUNTIF('Base Exámenes'!$C$5:$C$1000, A241)&gt;0, "Completado", IF(M241&lt;&gt;"", M241, "Pendiente")))</f>
        <v>Completado</v>
      </c>
      <c r="G241" s="11">
        <f>IF(F241="Completado", IFERROR(IF(INDEX('Base Exámenes'!$D$5:$D$1000, MATCH(A241&amp;"|"&amp;J241, 'Base Exámenes'!$I$5:$I$1000, 0))="", "", INDEX('Base Exámenes'!$D$5:$D$1000, MATCH(A241&amp;"|"&amp;J241, 'Base Exámenes'!$I$5:$I$1000, 0))), ""), "")</f>
        <v>46310.63784722222</v>
      </c>
      <c r="H241" s="11">
        <f>IF(F241="Completado", IFERROR(IF(INDEX('Base Exámenes'!$E$5:$E$1000, MATCH(A241&amp;"|"&amp;J241, 'Base Exámenes'!$I$5:$I$1000, 0))="", "", INDEX('Base Exámenes'!$E$5:$E$1000, MATCH(A241&amp;"|"&amp;J241, 'Base Exámenes'!$I$5:$I$1000, 0))), ""), "")</f>
        <v>46310.63890046296</v>
      </c>
      <c r="I241" s="10">
        <f>IF(F241="Completado", IFERROR(IF(INDEX('Base Exámenes'!$F$5:$F$1000, MATCH(A241&amp;"|"&amp;J241, 'Base Exámenes'!$I$5:$I$1000, 0))="", "", INDEX('Base Exámenes'!$F$5:$F$1000, MATCH(A241&amp;"|"&amp;J241, 'Base Exámenes'!$I$5:$I$1000, 0))), ""), "")</f>
        <v>1.51666666666667</v>
      </c>
      <c r="J241" s="6">
        <f>IF(F241="Completado", IF(COUNTIFS('Base Exámenes'!$C$5:$C$1000, A241, 'Base Exámenes'!$G$5:$G$1000, "&lt;&gt;")=0, "", _xlfn.MAXIFS('Base Exámenes'!$G$5:$G$1000, 'Base Exámenes'!$C$5:$C$1000, A241)), "")</f>
        <v>100</v>
      </c>
      <c r="K241" s="6" t="str">
        <f>IF(F241="Completado", IFERROR(IF(INDEX('Base Exámenes'!$H$5:$H$1000, MATCH(A241&amp;"|"&amp;J241, 'Base Exámenes'!$I$5:$I$1000, 0))="", "", INDEX('Base Exámenes'!$H$5:$H$1000, MATCH(A241&amp;"|"&amp;J241, 'Base Exámenes'!$I$5:$I$1000, 0))), ""), "")</f>
        <v>anonymous</v>
      </c>
      <c r="L241" s="22">
        <f>IF($A241="","",COUNTIF('Base Exámenes'!$C$5:$C$1000, A241))</f>
        <v>1</v>
      </c>
      <c r="M241" s="6" t="str">
        <f>IF($A241="","",IF(COUNTIF('Base Exámenes'!$C$5:$C$1000, A241)&gt;0, "", TRIM('Base Oficial'!H241)))</f>
        <v/>
      </c>
    </row>
    <row r="242">
      <c r="A242" s="4" t="str">
        <f>IF('Base Oficial'!A242="","",TRIM('Base Oficial'!A242))</f>
        <v>755</v>
      </c>
      <c r="B242" s="6" t="str">
        <f>IF($A242="","",TRIM('Base Oficial'!B242))</f>
        <v>MIGUEL ANGEL LEON MENA</v>
      </c>
      <c r="C242" s="6" t="str">
        <f>IF($A242="","",TRIM('Base Oficial'!F242))</f>
        <v>AGENCIA SONSONATE</v>
      </c>
      <c r="D242" s="6" t="str">
        <f>IF($A242="","",TRIM('Base Oficial'!G242))</f>
        <v>Gerencia de Negocios</v>
      </c>
      <c r="E242" s="6" t="str">
        <f>IF($A242="","",TRIM('Base Oficial'!D242))</f>
        <v>CAJERO</v>
      </c>
      <c r="F242" s="4" t="str">
        <f>IF($A242="","",IF(COUNTIF('Base Exámenes'!$C$5:$C$1000, A242)&gt;0, "Completado", IF(M242&lt;&gt;"", M242, "Pendiente")))</f>
        <v>Completado</v>
      </c>
      <c r="G242" s="11">
        <f>IF(F242="Completado", IFERROR(IF(INDEX('Base Exámenes'!$D$5:$D$1000, MATCH(A242&amp;"|"&amp;J242, 'Base Exámenes'!$I$5:$I$1000, 0))="", "", INDEX('Base Exámenes'!$D$5:$D$1000, MATCH(A242&amp;"|"&amp;J242, 'Base Exámenes'!$I$5:$I$1000, 0))), ""), "")</f>
        <v>46308.43619212963</v>
      </c>
      <c r="H242" s="11">
        <f>IF(F242="Completado", IFERROR(IF(INDEX('Base Exámenes'!$E$5:$E$1000, MATCH(A242&amp;"|"&amp;J242, 'Base Exámenes'!$I$5:$I$1000, 0))="", "", INDEX('Base Exámenes'!$E$5:$E$1000, MATCH(A242&amp;"|"&amp;J242, 'Base Exámenes'!$I$5:$I$1000, 0))), ""), "")</f>
        <v>46308.456412037034</v>
      </c>
      <c r="I242" s="10">
        <f>IF(F242="Completado", IFERROR(IF(INDEX('Base Exámenes'!$F$5:$F$1000, MATCH(A242&amp;"|"&amp;J242, 'Base Exámenes'!$I$5:$I$1000, 0))="", "", INDEX('Base Exámenes'!$F$5:$F$1000, MATCH(A242&amp;"|"&amp;J242, 'Base Exámenes'!$I$5:$I$1000, 0))), ""), "")</f>
        <v>29.1166666666667</v>
      </c>
      <c r="J242" s="6">
        <f>IF(F242="Completado", IF(COUNTIFS('Base Exámenes'!$C$5:$C$1000, A242, 'Base Exámenes'!$G$5:$G$1000, "&lt;&gt;")=0, "", _xlfn.MAXIFS('Base Exámenes'!$G$5:$G$1000, 'Base Exámenes'!$C$5:$C$1000, A242)), "")</f>
        <v>80</v>
      </c>
      <c r="K242" s="6" t="str">
        <f>IF(F242="Completado", IFERROR(IF(INDEX('Base Exámenes'!$H$5:$H$1000, MATCH(A242&amp;"|"&amp;J242, 'Base Exámenes'!$I$5:$I$1000, 0))="", "", INDEX('Base Exámenes'!$H$5:$H$1000, MATCH(A242&amp;"|"&amp;J242, 'Base Exámenes'!$I$5:$I$1000, 0))), ""), "")</f>
        <v>anonymous</v>
      </c>
      <c r="L242" s="22">
        <f>IF($A242="","",COUNTIF('Base Exámenes'!$C$5:$C$1000, A242))</f>
        <v>1</v>
      </c>
      <c r="M242" s="6" t="str">
        <f>IF($A242="","",IF(COUNTIF('Base Exámenes'!$C$5:$C$1000, A242)&gt;0, "", TRIM('Base Oficial'!H242)))</f>
        <v/>
      </c>
    </row>
    <row r="243">
      <c r="A243" s="4" t="str">
        <f>IF('Base Oficial'!A243="","",TRIM('Base Oficial'!A243))</f>
        <v>849</v>
      </c>
      <c r="B243" s="6" t="str">
        <f>IF($A243="","",TRIM('Base Oficial'!B243))</f>
        <v>KARLA MARCELA ESCOBAR TRIGUEROS</v>
      </c>
      <c r="C243" s="6" t="str">
        <f>IF($A243="","",TRIM('Base Oficial'!F243))</f>
        <v>AGENCIA SONSONATE</v>
      </c>
      <c r="D243" s="6" t="str">
        <f>IF($A243="","",TRIM('Base Oficial'!G243))</f>
        <v>Gerencia de Negocios</v>
      </c>
      <c r="E243" s="6" t="str">
        <f>IF($A243="","",TRIM('Base Oficial'!D243))</f>
        <v>CAJERO</v>
      </c>
      <c r="F243" s="4" t="str">
        <f>IF($A243="","",IF(COUNTIF('Base Exámenes'!$C$5:$C$1000, A243)&gt;0, "Completado", IF(M243&lt;&gt;"", M243, "Pendiente")))</f>
        <v>Completado</v>
      </c>
      <c r="G243" s="11">
        <f>IF(F243="Completado", IFERROR(IF(INDEX('Base Exámenes'!$D$5:$D$1000, MATCH(A243&amp;"|"&amp;J243, 'Base Exámenes'!$I$5:$I$1000, 0))="", "", INDEX('Base Exámenes'!$D$5:$D$1000, MATCH(A243&amp;"|"&amp;J243, 'Base Exámenes'!$I$5:$I$1000, 0))), ""), "")</f>
        <v>46311.56675925926</v>
      </c>
      <c r="H243" s="11">
        <f>IF(F243="Completado", IFERROR(IF(INDEX('Base Exámenes'!$E$5:$E$1000, MATCH(A243&amp;"|"&amp;J243, 'Base Exámenes'!$I$5:$I$1000, 0))="", "", INDEX('Base Exámenes'!$E$5:$E$1000, MATCH(A243&amp;"|"&amp;J243, 'Base Exámenes'!$I$5:$I$1000, 0))), ""), "")</f>
        <v>46311.571493055555</v>
      </c>
      <c r="I243" s="10">
        <f>IF(F243="Completado", IFERROR(IF(INDEX('Base Exámenes'!$F$5:$F$1000, MATCH(A243&amp;"|"&amp;J243, 'Base Exámenes'!$I$5:$I$1000, 0))="", "", INDEX('Base Exámenes'!$F$5:$F$1000, MATCH(A243&amp;"|"&amp;J243, 'Base Exámenes'!$I$5:$I$1000, 0))), ""), "")</f>
        <v>6.81666666666667</v>
      </c>
      <c r="J243" s="6">
        <f>IF(F243="Completado", IF(COUNTIFS('Base Exámenes'!$C$5:$C$1000, A243, 'Base Exámenes'!$G$5:$G$1000, "&lt;&gt;")=0, "", _xlfn.MAXIFS('Base Exámenes'!$G$5:$G$1000, 'Base Exámenes'!$C$5:$C$1000, A243)), "")</f>
        <v>100</v>
      </c>
      <c r="K243" s="6" t="str">
        <f>IF(F243="Completado", IFERROR(IF(INDEX('Base Exámenes'!$H$5:$H$1000, MATCH(A243&amp;"|"&amp;J243, 'Base Exámenes'!$I$5:$I$1000, 0))="", "", INDEX('Base Exámenes'!$H$5:$H$1000, MATCH(A243&amp;"|"&amp;J243, 'Base Exámenes'!$I$5:$I$1000, 0))), ""), "")</f>
        <v>anonymous</v>
      </c>
      <c r="L243" s="22">
        <f>IF($A243="","",COUNTIF('Base Exámenes'!$C$5:$C$1000, A243))</f>
        <v>1</v>
      </c>
      <c r="M243" s="6" t="str">
        <f>IF($A243="","",IF(COUNTIF('Base Exámenes'!$C$5:$C$1000, A243)&gt;0, "", TRIM('Base Oficial'!H243)))</f>
        <v/>
      </c>
    </row>
    <row r="244">
      <c r="A244" s="4" t="str">
        <f>IF('Base Oficial'!A244="","",TRIM('Base Oficial'!A244))</f>
        <v>159</v>
      </c>
      <c r="B244" s="6" t="str">
        <f>IF($A244="","",TRIM('Base Oficial'!B244))</f>
        <v>PATRICIA GUADALUPE GUARDADO OSEGUEDA</v>
      </c>
      <c r="C244" s="6" t="str">
        <f>IF($A244="","",TRIM('Base Oficial'!F244))</f>
        <v>AGENCIA MERLIOT</v>
      </c>
      <c r="D244" s="6" t="str">
        <f>IF($A244="","",TRIM('Base Oficial'!G244))</f>
        <v>Gerencia de Negocios</v>
      </c>
      <c r="E244" s="6" t="str">
        <f>IF($A244="","",TRIM('Base Oficial'!D244))</f>
        <v>EJECUTIVO DE NEGOCIOS</v>
      </c>
      <c r="F244" s="4" t="str">
        <f>IF($A244="","",IF(COUNTIF('Base Exámenes'!$C$5:$C$1000, A244)&gt;0, "Completado", IF(M244&lt;&gt;"", M244, "Pendiente")))</f>
        <v>Completado</v>
      </c>
      <c r="G244" s="11">
        <f>IF(F244="Completado", IFERROR(IF(INDEX('Base Exámenes'!$D$5:$D$1000, MATCH(A244&amp;"|"&amp;J244, 'Base Exámenes'!$I$5:$I$1000, 0))="", "", INDEX('Base Exámenes'!$D$5:$D$1000, MATCH(A244&amp;"|"&amp;J244, 'Base Exámenes'!$I$5:$I$1000, 0))), ""), "")</f>
        <v>46303.39310185185</v>
      </c>
      <c r="H244" s="11">
        <f>IF(F244="Completado", IFERROR(IF(INDEX('Base Exámenes'!$E$5:$E$1000, MATCH(A244&amp;"|"&amp;J244, 'Base Exámenes'!$I$5:$I$1000, 0))="", "", INDEX('Base Exámenes'!$E$5:$E$1000, MATCH(A244&amp;"|"&amp;J244, 'Base Exámenes'!$I$5:$I$1000, 0))), ""), "")</f>
        <v>46303.39640046296</v>
      </c>
      <c r="I244" s="10">
        <f>IF(F244="Completado", IFERROR(IF(INDEX('Base Exámenes'!$F$5:$F$1000, MATCH(A244&amp;"|"&amp;J244, 'Base Exámenes'!$I$5:$I$1000, 0))="", "", INDEX('Base Exámenes'!$F$5:$F$1000, MATCH(A244&amp;"|"&amp;J244, 'Base Exámenes'!$I$5:$I$1000, 0))), ""), "")</f>
        <v>4.75</v>
      </c>
      <c r="J244" s="6">
        <f>IF(F244="Completado", IF(COUNTIFS('Base Exámenes'!$C$5:$C$1000, A244, 'Base Exámenes'!$G$5:$G$1000, "&lt;&gt;")=0, "", _xlfn.MAXIFS('Base Exámenes'!$G$5:$G$1000, 'Base Exámenes'!$C$5:$C$1000, A244)), "")</f>
        <v>100</v>
      </c>
      <c r="K244" s="6" t="str">
        <f>IF(F244="Completado", IFERROR(IF(INDEX('Base Exámenes'!$H$5:$H$1000, MATCH(A244&amp;"|"&amp;J244, 'Base Exámenes'!$I$5:$I$1000, 0))="", "", INDEX('Base Exámenes'!$H$5:$H$1000, MATCH(A244&amp;"|"&amp;J244, 'Base Exámenes'!$I$5:$I$1000, 0))), ""), "")</f>
        <v>anonymous</v>
      </c>
      <c r="L244" s="22">
        <f>IF($A244="","",COUNTIF('Base Exámenes'!$C$5:$C$1000, A244))</f>
        <v>1</v>
      </c>
      <c r="M244" s="6" t="str">
        <f>IF($A244="","",IF(COUNTIF('Base Exámenes'!$C$5:$C$1000, A244)&gt;0, "", TRIM('Base Oficial'!H244)))</f>
        <v/>
      </c>
    </row>
    <row r="245">
      <c r="A245" s="4" t="str">
        <f>IF('Base Oficial'!A245="","",TRIM('Base Oficial'!A245))</f>
        <v>251</v>
      </c>
      <c r="B245" s="6" t="str">
        <f>IF($A245="","",TRIM('Base Oficial'!B245))</f>
        <v>NURIA LISSETH AGUILAR AGUILAR</v>
      </c>
      <c r="C245" s="6" t="str">
        <f>IF($A245="","",TRIM('Base Oficial'!F245))</f>
        <v>AGENCIA MERLIOT</v>
      </c>
      <c r="D245" s="6" t="str">
        <f>IF($A245="","",TRIM('Base Oficial'!G245))</f>
        <v>Gerencia de Negocios</v>
      </c>
      <c r="E245" s="6" t="str">
        <f>IF($A245="","",TRIM('Base Oficial'!D245))</f>
        <v>EJECUTIVO DE NEGOCIOS</v>
      </c>
      <c r="F245" s="4" t="str">
        <f>IF($A245="","",IF(COUNTIF('Base Exámenes'!$C$5:$C$1000, A245)&gt;0, "Completado", IF(M245&lt;&gt;"", M245, "Pendiente")))</f>
        <v>Completado</v>
      </c>
      <c r="G245" s="11">
        <f>IF(F245="Completado", IFERROR(IF(INDEX('Base Exámenes'!$D$5:$D$1000, MATCH(A245&amp;"|"&amp;J245, 'Base Exámenes'!$I$5:$I$1000, 0))="", "", INDEX('Base Exámenes'!$D$5:$D$1000, MATCH(A245&amp;"|"&amp;J245, 'Base Exámenes'!$I$5:$I$1000, 0))), ""), "")</f>
        <v>46303.45815972222</v>
      </c>
      <c r="H245" s="11">
        <f>IF(F245="Completado", IFERROR(IF(INDEX('Base Exámenes'!$E$5:$E$1000, MATCH(A245&amp;"|"&amp;J245, 'Base Exámenes'!$I$5:$I$1000, 0))="", "", INDEX('Base Exámenes'!$E$5:$E$1000, MATCH(A245&amp;"|"&amp;J245, 'Base Exámenes'!$I$5:$I$1000, 0))), ""), "")</f>
        <v>46303.46199074074</v>
      </c>
      <c r="I245" s="10">
        <f>IF(F245="Completado", IFERROR(IF(INDEX('Base Exámenes'!$F$5:$F$1000, MATCH(A245&amp;"|"&amp;J245, 'Base Exámenes'!$I$5:$I$1000, 0))="", "", INDEX('Base Exámenes'!$F$5:$F$1000, MATCH(A245&amp;"|"&amp;J245, 'Base Exámenes'!$I$5:$I$1000, 0))), ""), "")</f>
        <v>5.51666666666667</v>
      </c>
      <c r="J245" s="6">
        <f>IF(F245="Completado", IF(COUNTIFS('Base Exámenes'!$C$5:$C$1000, A245, 'Base Exámenes'!$G$5:$G$1000, "&lt;&gt;")=0, "", _xlfn.MAXIFS('Base Exámenes'!$G$5:$G$1000, 'Base Exámenes'!$C$5:$C$1000, A245)), "")</f>
        <v>100</v>
      </c>
      <c r="K245" s="6" t="str">
        <f>IF(F245="Completado", IFERROR(IF(INDEX('Base Exámenes'!$H$5:$H$1000, MATCH(A245&amp;"|"&amp;J245, 'Base Exámenes'!$I$5:$I$1000, 0))="", "", INDEX('Base Exámenes'!$H$5:$H$1000, MATCH(A245&amp;"|"&amp;J245, 'Base Exámenes'!$I$5:$I$1000, 0))), ""), "")</f>
        <v>anonymous</v>
      </c>
      <c r="L245" s="22">
        <f>IF($A245="","",COUNTIF('Base Exámenes'!$C$5:$C$1000, A245))</f>
        <v>1</v>
      </c>
      <c r="M245" s="6" t="str">
        <f>IF($A245="","",IF(COUNTIF('Base Exámenes'!$C$5:$C$1000, A245)&gt;0, "", TRIM('Base Oficial'!H245)))</f>
        <v/>
      </c>
    </row>
    <row r="246">
      <c r="A246" s="4" t="str">
        <f>IF('Base Oficial'!A246="","",TRIM('Base Oficial'!A246))</f>
        <v>343</v>
      </c>
      <c r="B246" s="6" t="str">
        <f>IF($A246="","",TRIM('Base Oficial'!B246))</f>
        <v>FATIMA BERENICE MEDINA ESCALANTE</v>
      </c>
      <c r="C246" s="6" t="str">
        <f>IF($A246="","",TRIM('Base Oficial'!F246))</f>
        <v>AGENCIA MERLIOT</v>
      </c>
      <c r="D246" s="6" t="str">
        <f>IF($A246="","",TRIM('Base Oficial'!G246))</f>
        <v>Gerencia de Negocios</v>
      </c>
      <c r="E246" s="6" t="str">
        <f>IF($A246="","",TRIM('Base Oficial'!D246))</f>
        <v>JEFE DE AGENCIA</v>
      </c>
      <c r="F246" s="4" t="str">
        <f>IF($A246="","",IF(COUNTIF('Base Exámenes'!$C$5:$C$1000, A246)&gt;0, "Completado", IF(M246&lt;&gt;"", M246, "Pendiente")))</f>
        <v>Completado</v>
      </c>
      <c r="G246" s="11">
        <f>IF(F246="Completado", IFERROR(IF(INDEX('Base Exámenes'!$D$5:$D$1000, MATCH(A246&amp;"|"&amp;J246, 'Base Exámenes'!$I$5:$I$1000, 0))="", "", INDEX('Base Exámenes'!$D$5:$D$1000, MATCH(A246&amp;"|"&amp;J246, 'Base Exámenes'!$I$5:$I$1000, 0))), ""), "")</f>
        <v>46302.700208333335</v>
      </c>
      <c r="H246" s="11">
        <f>IF(F246="Completado", IFERROR(IF(INDEX('Base Exámenes'!$E$5:$E$1000, MATCH(A246&amp;"|"&amp;J246, 'Base Exámenes'!$I$5:$I$1000, 0))="", "", INDEX('Base Exámenes'!$E$5:$E$1000, MATCH(A246&amp;"|"&amp;J246, 'Base Exámenes'!$I$5:$I$1000, 0))), ""), "")</f>
        <v>46302.70259259259</v>
      </c>
      <c r="I246" s="10">
        <f>IF(F246="Completado", IFERROR(IF(INDEX('Base Exámenes'!$F$5:$F$1000, MATCH(A246&amp;"|"&amp;J246, 'Base Exámenes'!$I$5:$I$1000, 0))="", "", INDEX('Base Exámenes'!$F$5:$F$1000, MATCH(A246&amp;"|"&amp;J246, 'Base Exámenes'!$I$5:$I$1000, 0))), ""), "")</f>
        <v>3.43333333333333</v>
      </c>
      <c r="J246" s="6">
        <f>IF(F246="Completado", IF(COUNTIFS('Base Exámenes'!$C$5:$C$1000, A246, 'Base Exámenes'!$G$5:$G$1000, "&lt;&gt;")=0, "", _xlfn.MAXIFS('Base Exámenes'!$G$5:$G$1000, 'Base Exámenes'!$C$5:$C$1000, A246)), "")</f>
        <v>100</v>
      </c>
      <c r="K246" s="6" t="str">
        <f>IF(F246="Completado", IFERROR(IF(INDEX('Base Exámenes'!$H$5:$H$1000, MATCH(A246&amp;"|"&amp;J246, 'Base Exámenes'!$I$5:$I$1000, 0))="", "", INDEX('Base Exámenes'!$H$5:$H$1000, MATCH(A246&amp;"|"&amp;J246, 'Base Exámenes'!$I$5:$I$1000, 0))), ""), "")</f>
        <v>anonymous</v>
      </c>
      <c r="L246" s="22">
        <f>IF($A246="","",COUNTIF('Base Exámenes'!$C$5:$C$1000, A246))</f>
        <v>1</v>
      </c>
      <c r="M246" s="6" t="str">
        <f>IF($A246="","",IF(COUNTIF('Base Exámenes'!$C$5:$C$1000, A246)&gt;0, "", TRIM('Base Oficial'!H246)))</f>
        <v/>
      </c>
    </row>
    <row r="247">
      <c r="A247" s="4" t="str">
        <f>IF('Base Oficial'!A247="","",TRIM('Base Oficial'!A247))</f>
        <v>657</v>
      </c>
      <c r="B247" s="6" t="str">
        <f>IF($A247="","",TRIM('Base Oficial'!B247))</f>
        <v>CLELIA DESIREE CAMPOS COSS</v>
      </c>
      <c r="C247" s="6" t="str">
        <f>IF($A247="","",TRIM('Base Oficial'!F247))</f>
        <v>AGENCIA MERLIOT</v>
      </c>
      <c r="D247" s="6" t="str">
        <f>IF($A247="","",TRIM('Base Oficial'!G247))</f>
        <v>Gerencia de Negocios</v>
      </c>
      <c r="E247" s="6" t="str">
        <f>IF($A247="","",TRIM('Base Oficial'!D247))</f>
        <v>SERVICIOS VARIOS</v>
      </c>
      <c r="F247" s="4" t="str">
        <f>IF($A247="","",IF(COUNTIF('Base Exámenes'!$C$5:$C$1000, A247)&gt;0, "Completado", IF(M247&lt;&gt;"", M247, "Pendiente")))</f>
        <v>Completado</v>
      </c>
      <c r="G247" s="11">
        <f>IF(F247="Completado", IFERROR(IF(INDEX('Base Exámenes'!$D$5:$D$1000, MATCH(A247&amp;"|"&amp;J247, 'Base Exámenes'!$I$5:$I$1000, 0))="", "", INDEX('Base Exámenes'!$D$5:$D$1000, MATCH(A247&amp;"|"&amp;J247, 'Base Exámenes'!$I$5:$I$1000, 0))), ""), "")</f>
        <v>46310.520844907405</v>
      </c>
      <c r="H247" s="11">
        <f>IF(F247="Completado", IFERROR(IF(INDEX('Base Exámenes'!$E$5:$E$1000, MATCH(A247&amp;"|"&amp;J247, 'Base Exámenes'!$I$5:$I$1000, 0))="", "", INDEX('Base Exámenes'!$E$5:$E$1000, MATCH(A247&amp;"|"&amp;J247, 'Base Exámenes'!$I$5:$I$1000, 0))), ""), "")</f>
        <v>46310.52479166666</v>
      </c>
      <c r="I247" s="10">
        <f>IF(F247="Completado", IFERROR(IF(INDEX('Base Exámenes'!$F$5:$F$1000, MATCH(A247&amp;"|"&amp;J247, 'Base Exámenes'!$I$5:$I$1000, 0))="", "", INDEX('Base Exámenes'!$F$5:$F$1000, MATCH(A247&amp;"|"&amp;J247, 'Base Exámenes'!$I$5:$I$1000, 0))), ""), "")</f>
        <v>5.68333333333333</v>
      </c>
      <c r="J247" s="6">
        <f>IF(F247="Completado", IF(COUNTIFS('Base Exámenes'!$C$5:$C$1000, A247, 'Base Exámenes'!$G$5:$G$1000, "&lt;&gt;")=0, "", _xlfn.MAXIFS('Base Exámenes'!$G$5:$G$1000, 'Base Exámenes'!$C$5:$C$1000, A247)), "")</f>
        <v>100</v>
      </c>
      <c r="K247" s="6" t="str">
        <f>IF(F247="Completado", IFERROR(IF(INDEX('Base Exámenes'!$H$5:$H$1000, MATCH(A247&amp;"|"&amp;J247, 'Base Exámenes'!$I$5:$I$1000, 0))="", "", INDEX('Base Exámenes'!$H$5:$H$1000, MATCH(A247&amp;"|"&amp;J247, 'Base Exámenes'!$I$5:$I$1000, 0))), ""), "")</f>
        <v>anonymous</v>
      </c>
      <c r="L247" s="22">
        <f>IF($A247="","",COUNTIF('Base Exámenes'!$C$5:$C$1000, A247))</f>
        <v>1</v>
      </c>
      <c r="M247" s="6" t="str">
        <f>IF($A247="","",IF(COUNTIF('Base Exámenes'!$C$5:$C$1000, A247)&gt;0, "", TRIM('Base Oficial'!H247)))</f>
        <v/>
      </c>
    </row>
    <row r="248">
      <c r="A248" s="4" t="str">
        <f>IF('Base Oficial'!A248="","",TRIM('Base Oficial'!A248))</f>
        <v>671</v>
      </c>
      <c r="B248" s="6" t="str">
        <f>IF($A248="","",TRIM('Base Oficial'!B248))</f>
        <v>MILTON ALEXANDER CUELLAR GARCIA</v>
      </c>
      <c r="C248" s="6" t="str">
        <f>IF($A248="","",TRIM('Base Oficial'!F248))</f>
        <v>AGENCIA MERLIOT</v>
      </c>
      <c r="D248" s="6" t="str">
        <f>IF($A248="","",TRIM('Base Oficial'!G248))</f>
        <v>Gerencia de Negocios</v>
      </c>
      <c r="E248" s="6" t="str">
        <f>IF($A248="","",TRIM('Base Oficial'!D248))</f>
        <v>CAJERO</v>
      </c>
      <c r="F248" s="4" t="str">
        <f>IF($A248="","",IF(COUNTIF('Base Exámenes'!$C$5:$C$1000, A248)&gt;0, "Completado", IF(M248&lt;&gt;"", M248, "Pendiente")))</f>
        <v>Completado</v>
      </c>
      <c r="G248" s="11">
        <f>IF(F248="Completado", IFERROR(IF(INDEX('Base Exámenes'!$D$5:$D$1000, MATCH(A248&amp;"|"&amp;J248, 'Base Exámenes'!$I$5:$I$1000, 0))="", "", INDEX('Base Exámenes'!$D$5:$D$1000, MATCH(A248&amp;"|"&amp;J248, 'Base Exámenes'!$I$5:$I$1000, 0))), ""), "")</f>
        <v>46296.54665509259</v>
      </c>
      <c r="H248" s="11">
        <f>IF(F248="Completado", IFERROR(IF(INDEX('Base Exámenes'!$E$5:$E$1000, MATCH(A248&amp;"|"&amp;J248, 'Base Exámenes'!$I$5:$I$1000, 0))="", "", INDEX('Base Exámenes'!$E$5:$E$1000, MATCH(A248&amp;"|"&amp;J248, 'Base Exámenes'!$I$5:$I$1000, 0))), ""), "")</f>
        <v>46296.55247685185</v>
      </c>
      <c r="I248" s="10">
        <f>IF(F248="Completado", IFERROR(IF(INDEX('Base Exámenes'!$F$5:$F$1000, MATCH(A248&amp;"|"&amp;J248, 'Base Exámenes'!$I$5:$I$1000, 0))="", "", INDEX('Base Exámenes'!$F$5:$F$1000, MATCH(A248&amp;"|"&amp;J248, 'Base Exámenes'!$I$5:$I$1000, 0))), ""), "")</f>
        <v>8.38333333333333</v>
      </c>
      <c r="J248" s="6">
        <f>IF(F248="Completado", IF(COUNTIFS('Base Exámenes'!$C$5:$C$1000, A248, 'Base Exámenes'!$G$5:$G$1000, "&lt;&gt;")=0, "", _xlfn.MAXIFS('Base Exámenes'!$G$5:$G$1000, 'Base Exámenes'!$C$5:$C$1000, A248)), "")</f>
        <v>70</v>
      </c>
      <c r="K248" s="6" t="str">
        <f>IF(F248="Completado", IFERROR(IF(INDEX('Base Exámenes'!$H$5:$H$1000, MATCH(A248&amp;"|"&amp;J248, 'Base Exámenes'!$I$5:$I$1000, 0))="", "", INDEX('Base Exámenes'!$H$5:$H$1000, MATCH(A248&amp;"|"&amp;J248, 'Base Exámenes'!$I$5:$I$1000, 0))), ""), "")</f>
        <v>anonymous</v>
      </c>
      <c r="L248" s="22">
        <f>IF($A248="","",COUNTIF('Base Exámenes'!$C$5:$C$1000, A248))</f>
        <v>1</v>
      </c>
      <c r="M248" s="6" t="str">
        <f>IF($A248="","",IF(COUNTIF('Base Exámenes'!$C$5:$C$1000, A248)&gt;0, "", TRIM('Base Oficial'!H248)))</f>
        <v/>
      </c>
    </row>
    <row r="249">
      <c r="A249" s="4" t="str">
        <f>IF('Base Oficial'!A249="","",TRIM('Base Oficial'!A249))</f>
        <v>700</v>
      </c>
      <c r="B249" s="6" t="str">
        <f>IF($A249="","",TRIM('Base Oficial'!B249))</f>
        <v>JENNIFFER MIREYA AYALA ZEPEDA</v>
      </c>
      <c r="C249" s="6" t="str">
        <f>IF($A249="","",TRIM('Base Oficial'!F249))</f>
        <v>AGENCIA MERLIOT</v>
      </c>
      <c r="D249" s="6" t="str">
        <f>IF($A249="","",TRIM('Base Oficial'!G249))</f>
        <v>Gerencia de Negocios</v>
      </c>
      <c r="E249" s="6" t="str">
        <f>IF($A249="","",TRIM('Base Oficial'!D249))</f>
        <v>SUBJEFE DE AGENCIA</v>
      </c>
      <c r="F249" s="4" t="str">
        <f>IF($A249="","",IF(COUNTIF('Base Exámenes'!$C$5:$C$1000, A249)&gt;0, "Completado", IF(M249&lt;&gt;"", M249, "Pendiente")))</f>
        <v>Completado</v>
      </c>
      <c r="G249" s="11">
        <f>IF(F249="Completado", IFERROR(IF(INDEX('Base Exámenes'!$D$5:$D$1000, MATCH(A249&amp;"|"&amp;J249, 'Base Exámenes'!$I$5:$I$1000, 0))="", "", INDEX('Base Exámenes'!$D$5:$D$1000, MATCH(A249&amp;"|"&amp;J249, 'Base Exámenes'!$I$5:$I$1000, 0))), ""), "")</f>
        <v>46302.55385416667</v>
      </c>
      <c r="H249" s="11">
        <f>IF(F249="Completado", IFERROR(IF(INDEX('Base Exámenes'!$E$5:$E$1000, MATCH(A249&amp;"|"&amp;J249, 'Base Exámenes'!$I$5:$I$1000, 0))="", "", INDEX('Base Exámenes'!$E$5:$E$1000, MATCH(A249&amp;"|"&amp;J249, 'Base Exámenes'!$I$5:$I$1000, 0))), ""), "")</f>
        <v>46302.561886574076</v>
      </c>
      <c r="I249" s="10">
        <f>IF(F249="Completado", IFERROR(IF(INDEX('Base Exámenes'!$F$5:$F$1000, MATCH(A249&amp;"|"&amp;J249, 'Base Exámenes'!$I$5:$I$1000, 0))="", "", INDEX('Base Exámenes'!$F$5:$F$1000, MATCH(A249&amp;"|"&amp;J249, 'Base Exámenes'!$I$5:$I$1000, 0))), ""), "")</f>
        <v>11.5666666666667</v>
      </c>
      <c r="J249" s="6">
        <f>IF(F249="Completado", IF(COUNTIFS('Base Exámenes'!$C$5:$C$1000, A249, 'Base Exámenes'!$G$5:$G$1000, "&lt;&gt;")=0, "", _xlfn.MAXIFS('Base Exámenes'!$G$5:$G$1000, 'Base Exámenes'!$C$5:$C$1000, A249)), "")</f>
        <v>100</v>
      </c>
      <c r="K249" s="6" t="str">
        <f>IF(F249="Completado", IFERROR(IF(INDEX('Base Exámenes'!$H$5:$H$1000, MATCH(A249&amp;"|"&amp;J249, 'Base Exámenes'!$I$5:$I$1000, 0))="", "", INDEX('Base Exámenes'!$H$5:$H$1000, MATCH(A249&amp;"|"&amp;J249, 'Base Exámenes'!$I$5:$I$1000, 0))), ""), "")</f>
        <v>anonymous</v>
      </c>
      <c r="L249" s="22">
        <f>IF($A249="","",COUNTIF('Base Exámenes'!$C$5:$C$1000, A249))</f>
        <v>1</v>
      </c>
      <c r="M249" s="6" t="str">
        <f>IF($A249="","",IF(COUNTIF('Base Exámenes'!$C$5:$C$1000, A249)&gt;0, "", TRIM('Base Oficial'!H249)))</f>
        <v/>
      </c>
    </row>
    <row r="250">
      <c r="A250" s="4" t="str">
        <f>IF('Base Oficial'!A250="","",TRIM('Base Oficial'!A250))</f>
        <v>827</v>
      </c>
      <c r="B250" s="6" t="str">
        <f>IF($A250="","",TRIM('Base Oficial'!B250))</f>
        <v>KELLY IDALIA CHAVEZ ABREGO</v>
      </c>
      <c r="C250" s="6" t="str">
        <f>IF($A250="","",TRIM('Base Oficial'!F250))</f>
        <v>AGENCIA MERLIOT</v>
      </c>
      <c r="D250" s="6" t="str">
        <f>IF($A250="","",TRIM('Base Oficial'!G250))</f>
        <v>Gerencia de Negocios</v>
      </c>
      <c r="E250" s="6" t="str">
        <f>IF($A250="","",TRIM('Base Oficial'!D250))</f>
        <v>CAJERO</v>
      </c>
      <c r="F250" s="4" t="str">
        <f>IF($A250="","",IF(COUNTIF('Base Exámenes'!$C$5:$C$1000, A250)&gt;0, "Completado", IF(M250&lt;&gt;"", M250, "Pendiente")))</f>
        <v>Completado</v>
      </c>
      <c r="G250" s="11">
        <f>IF(F250="Completado", IFERROR(IF(INDEX('Base Exámenes'!$D$5:$D$1000, MATCH(A250&amp;"|"&amp;J250, 'Base Exámenes'!$I$5:$I$1000, 0))="", "", INDEX('Base Exámenes'!$D$5:$D$1000, MATCH(A250&amp;"|"&amp;J250, 'Base Exámenes'!$I$5:$I$1000, 0))), ""), "")</f>
        <v>46302.5837962963</v>
      </c>
      <c r="H250" s="11">
        <f>IF(F250="Completado", IFERROR(IF(INDEX('Base Exámenes'!$E$5:$E$1000, MATCH(A250&amp;"|"&amp;J250, 'Base Exámenes'!$I$5:$I$1000, 0))="", "", INDEX('Base Exámenes'!$E$5:$E$1000, MATCH(A250&amp;"|"&amp;J250, 'Base Exámenes'!$I$5:$I$1000, 0))), ""), "")</f>
        <v>46302.58609953704</v>
      </c>
      <c r="I250" s="10">
        <f>IF(F250="Completado", IFERROR(IF(INDEX('Base Exámenes'!$F$5:$F$1000, MATCH(A250&amp;"|"&amp;J250, 'Base Exámenes'!$I$5:$I$1000, 0))="", "", INDEX('Base Exámenes'!$F$5:$F$1000, MATCH(A250&amp;"|"&amp;J250, 'Base Exámenes'!$I$5:$I$1000, 0))), ""), "")</f>
        <v>3.31666666666667</v>
      </c>
      <c r="J250" s="6">
        <f>IF(F250="Completado", IF(COUNTIFS('Base Exámenes'!$C$5:$C$1000, A250, 'Base Exámenes'!$G$5:$G$1000, "&lt;&gt;")=0, "", _xlfn.MAXIFS('Base Exámenes'!$G$5:$G$1000, 'Base Exámenes'!$C$5:$C$1000, A250)), "")</f>
        <v>100</v>
      </c>
      <c r="K250" s="6" t="str">
        <f>IF(F250="Completado", IFERROR(IF(INDEX('Base Exámenes'!$H$5:$H$1000, MATCH(A250&amp;"|"&amp;J250, 'Base Exámenes'!$I$5:$I$1000, 0))="", "", INDEX('Base Exámenes'!$H$5:$H$1000, MATCH(A250&amp;"|"&amp;J250, 'Base Exámenes'!$I$5:$I$1000, 0))), ""), "")</f>
        <v>anonymous</v>
      </c>
      <c r="L250" s="22">
        <f>IF($A250="","",COUNTIF('Base Exámenes'!$C$5:$C$1000, A250))</f>
        <v>1</v>
      </c>
      <c r="M250" s="6" t="str">
        <f>IF($A250="","",IF(COUNTIF('Base Exámenes'!$C$5:$C$1000, A250)&gt;0, "", TRIM('Base Oficial'!H250)))</f>
        <v/>
      </c>
    </row>
    <row r="251">
      <c r="A251" s="4" t="str">
        <f>IF('Base Oficial'!A251="","",TRIM('Base Oficial'!A251))</f>
        <v>892</v>
      </c>
      <c r="B251" s="6" t="str">
        <f>IF($A251="","",TRIM('Base Oficial'!B251))</f>
        <v>DIANA VANESSA RODRIGUEZ SORIANO</v>
      </c>
      <c r="C251" s="6" t="str">
        <f>IF($A251="","",TRIM('Base Oficial'!F251))</f>
        <v>AGENCIA MERLIOT</v>
      </c>
      <c r="D251" s="6" t="str">
        <f>IF($A251="","",TRIM('Base Oficial'!G251))</f>
        <v>Gerencia de Negocios</v>
      </c>
      <c r="E251" s="6" t="str">
        <f>IF($A251="","",TRIM('Base Oficial'!D251))</f>
        <v>EJECUTIVA DE SEGUROS</v>
      </c>
      <c r="F251" s="4" t="str">
        <f>IF($A251="","",IF(COUNTIF('Base Exámenes'!$C$5:$C$1000, A251)&gt;0, "Completado", IF(M251&lt;&gt;"", M251, "Pendiente")))</f>
        <v>Completado</v>
      </c>
      <c r="G251" s="11">
        <f>IF(F251="Completado", IFERROR(IF(INDEX('Base Exámenes'!$D$5:$D$1000, MATCH(A251&amp;"|"&amp;J251, 'Base Exámenes'!$I$5:$I$1000, 0))="", "", INDEX('Base Exámenes'!$D$5:$D$1000, MATCH(A251&amp;"|"&amp;J251, 'Base Exámenes'!$I$5:$I$1000, 0))), ""), "")</f>
        <v>46303.38890046296</v>
      </c>
      <c r="H251" s="11">
        <f>IF(F251="Completado", IFERROR(IF(INDEX('Base Exámenes'!$E$5:$E$1000, MATCH(A251&amp;"|"&amp;J251, 'Base Exámenes'!$I$5:$I$1000, 0))="", "", INDEX('Base Exámenes'!$E$5:$E$1000, MATCH(A251&amp;"|"&amp;J251, 'Base Exámenes'!$I$5:$I$1000, 0))), ""), "")</f>
        <v>46303.39013888889</v>
      </c>
      <c r="I251" s="10">
        <f>IF(F251="Completado", IFERROR(IF(INDEX('Base Exámenes'!$F$5:$F$1000, MATCH(A251&amp;"|"&amp;J251, 'Base Exámenes'!$I$5:$I$1000, 0))="", "", INDEX('Base Exámenes'!$F$5:$F$1000, MATCH(A251&amp;"|"&amp;J251, 'Base Exámenes'!$I$5:$I$1000, 0))), ""), "")</f>
        <v>1.78333333333333</v>
      </c>
      <c r="J251" s="6">
        <f>IF(F251="Completado", IF(COUNTIFS('Base Exámenes'!$C$5:$C$1000, A251, 'Base Exámenes'!$G$5:$G$1000, "&lt;&gt;")=0, "", _xlfn.MAXIFS('Base Exámenes'!$G$5:$G$1000, 'Base Exámenes'!$C$5:$C$1000, A251)), "")</f>
        <v>100</v>
      </c>
      <c r="K251" s="6" t="str">
        <f>IF(F251="Completado", IFERROR(IF(INDEX('Base Exámenes'!$H$5:$H$1000, MATCH(A251&amp;"|"&amp;J251, 'Base Exámenes'!$I$5:$I$1000, 0))="", "", INDEX('Base Exámenes'!$H$5:$H$1000, MATCH(A251&amp;"|"&amp;J251, 'Base Exámenes'!$I$5:$I$1000, 0))), ""), "")</f>
        <v>anonymous</v>
      </c>
      <c r="L251" s="22">
        <f>IF($A251="","",COUNTIF('Base Exámenes'!$C$5:$C$1000, A251))</f>
        <v>1</v>
      </c>
      <c r="M251" s="6" t="str">
        <f>IF($A251="","",IF(COUNTIF('Base Exámenes'!$C$5:$C$1000, A251)&gt;0, "", TRIM('Base Oficial'!H251)))</f>
        <v/>
      </c>
    </row>
    <row r="252">
      <c r="A252" s="4" t="str">
        <f>IF('Base Oficial'!A252="","",TRIM('Base Oficial'!A252))</f>
        <v>909</v>
      </c>
      <c r="B252" s="6" t="str">
        <f>IF($A252="","",TRIM('Base Oficial'!B252))</f>
        <v>GLADYS LISETH HERNANDEZ CRUZ</v>
      </c>
      <c r="C252" s="6" t="str">
        <f>IF($A252="","",TRIM('Base Oficial'!F252))</f>
        <v>AGENCIA MERLIOT</v>
      </c>
      <c r="D252" s="6" t="str">
        <f>IF($A252="","",TRIM('Base Oficial'!G252))</f>
        <v>Gerencia de Negocios</v>
      </c>
      <c r="E252" s="6" t="str">
        <f>IF($A252="","",TRIM('Base Oficial'!D252))</f>
        <v>CAJERO</v>
      </c>
      <c r="F252" s="4" t="str">
        <f>IF($A252="","",IF(COUNTIF('Base Exámenes'!$C$5:$C$1000, A252)&gt;0, "Completado", IF(M252&lt;&gt;"", M252, "Pendiente")))</f>
        <v>Completado</v>
      </c>
      <c r="G252" s="11">
        <f>IF(F252="Completado", IFERROR(IF(INDEX('Base Exámenes'!$D$5:$D$1000, MATCH(A252&amp;"|"&amp;J252, 'Base Exámenes'!$I$5:$I$1000, 0))="", "", INDEX('Base Exámenes'!$D$5:$D$1000, MATCH(A252&amp;"|"&amp;J252, 'Base Exámenes'!$I$5:$I$1000, 0))), ""), "")</f>
        <v>46302.70101851852</v>
      </c>
      <c r="H252" s="11">
        <f>IF(F252="Completado", IFERROR(IF(INDEX('Base Exámenes'!$E$5:$E$1000, MATCH(A252&amp;"|"&amp;J252, 'Base Exámenes'!$I$5:$I$1000, 0))="", "", INDEX('Base Exámenes'!$E$5:$E$1000, MATCH(A252&amp;"|"&amp;J252, 'Base Exámenes'!$I$5:$I$1000, 0))), ""), "")</f>
        <v>46302.70457175926</v>
      </c>
      <c r="I252" s="10">
        <f>IF(F252="Completado", IFERROR(IF(INDEX('Base Exámenes'!$F$5:$F$1000, MATCH(A252&amp;"|"&amp;J252, 'Base Exámenes'!$I$5:$I$1000, 0))="", "", INDEX('Base Exámenes'!$F$5:$F$1000, MATCH(A252&amp;"|"&amp;J252, 'Base Exámenes'!$I$5:$I$1000, 0))), ""), "")</f>
        <v>5.11666666666667</v>
      </c>
      <c r="J252" s="6">
        <f>IF(F252="Completado", IF(COUNTIFS('Base Exámenes'!$C$5:$C$1000, A252, 'Base Exámenes'!$G$5:$G$1000, "&lt;&gt;")=0, "", _xlfn.MAXIFS('Base Exámenes'!$G$5:$G$1000, 'Base Exámenes'!$C$5:$C$1000, A252)), "")</f>
        <v>100</v>
      </c>
      <c r="K252" s="6" t="str">
        <f>IF(F252="Completado", IFERROR(IF(INDEX('Base Exámenes'!$H$5:$H$1000, MATCH(A252&amp;"|"&amp;J252, 'Base Exámenes'!$I$5:$I$1000, 0))="", "", INDEX('Base Exámenes'!$H$5:$H$1000, MATCH(A252&amp;"|"&amp;J252, 'Base Exámenes'!$I$5:$I$1000, 0))), ""), "")</f>
        <v>anonymous</v>
      </c>
      <c r="L252" s="22">
        <f>IF($A252="","",COUNTIF('Base Exámenes'!$C$5:$C$1000, A252))</f>
        <v>1</v>
      </c>
      <c r="M252" s="6" t="str">
        <f>IF($A252="","",IF(COUNTIF('Base Exámenes'!$C$5:$C$1000, A252)&gt;0, "", TRIM('Base Oficial'!H252)))</f>
        <v/>
      </c>
    </row>
    <row r="253">
      <c r="A253" s="4" t="str">
        <f>IF('Base Oficial'!A253="","",TRIM('Base Oficial'!A253))</f>
        <v>922</v>
      </c>
      <c r="B253" s="6" t="str">
        <f>IF($A253="","",TRIM('Base Oficial'!B253))</f>
        <v>MADELINE ADRIANA GOMEZ GARCIA</v>
      </c>
      <c r="C253" s="6" t="str">
        <f>IF($A253="","",TRIM('Base Oficial'!F253))</f>
        <v>AGENCIA MERLIOT</v>
      </c>
      <c r="D253" s="6" t="str">
        <f>IF($A253="","",TRIM('Base Oficial'!G253))</f>
        <v>Gerencia de Negocios</v>
      </c>
      <c r="E253" s="6" t="str">
        <f>IF($A253="","",TRIM('Base Oficial'!D253))</f>
        <v>CAJERO</v>
      </c>
      <c r="F253" s="4" t="str">
        <f>IF($A253="","",IF(COUNTIF('Base Exámenes'!$C$5:$C$1000, A253)&gt;0, "Completado", IF(M253&lt;&gt;"", M253, "Pendiente")))</f>
        <v>Completado</v>
      </c>
      <c r="G253" s="11">
        <f>IF(F253="Completado", IFERROR(IF(INDEX('Base Exámenes'!$D$5:$D$1000, MATCH(A253&amp;"|"&amp;J253, 'Base Exámenes'!$I$5:$I$1000, 0))="", "", INDEX('Base Exámenes'!$D$5:$D$1000, MATCH(A253&amp;"|"&amp;J253, 'Base Exámenes'!$I$5:$I$1000, 0))), ""), "")</f>
        <v>46302.57461805556</v>
      </c>
      <c r="H253" s="11">
        <f>IF(F253="Completado", IFERROR(IF(INDEX('Base Exámenes'!$E$5:$E$1000, MATCH(A253&amp;"|"&amp;J253, 'Base Exámenes'!$I$5:$I$1000, 0))="", "", INDEX('Base Exámenes'!$E$5:$E$1000, MATCH(A253&amp;"|"&amp;J253, 'Base Exámenes'!$I$5:$I$1000, 0))), ""), "")</f>
        <v>46302.57753472222</v>
      </c>
      <c r="I253" s="10">
        <f>IF(F253="Completado", IFERROR(IF(INDEX('Base Exámenes'!$F$5:$F$1000, MATCH(A253&amp;"|"&amp;J253, 'Base Exámenes'!$I$5:$I$1000, 0))="", "", INDEX('Base Exámenes'!$F$5:$F$1000, MATCH(A253&amp;"|"&amp;J253, 'Base Exámenes'!$I$5:$I$1000, 0))), ""), "")</f>
        <v>4.2</v>
      </c>
      <c r="J253" s="6">
        <f>IF(F253="Completado", IF(COUNTIFS('Base Exámenes'!$C$5:$C$1000, A253, 'Base Exámenes'!$G$5:$G$1000, "&lt;&gt;")=0, "", _xlfn.MAXIFS('Base Exámenes'!$G$5:$G$1000, 'Base Exámenes'!$C$5:$C$1000, A253)), "")</f>
        <v>100</v>
      </c>
      <c r="K253" s="6" t="str">
        <f>IF(F253="Completado", IFERROR(IF(INDEX('Base Exámenes'!$H$5:$H$1000, MATCH(A253&amp;"|"&amp;J253, 'Base Exámenes'!$I$5:$I$1000, 0))="", "", INDEX('Base Exámenes'!$H$5:$H$1000, MATCH(A253&amp;"|"&amp;J253, 'Base Exámenes'!$I$5:$I$1000, 0))), ""), "")</f>
        <v>anonymous</v>
      </c>
      <c r="L253" s="22">
        <f>IF($A253="","",COUNTIF('Base Exámenes'!$C$5:$C$1000, A253))</f>
        <v>1</v>
      </c>
      <c r="M253" s="6" t="str">
        <f>IF($A253="","",IF(COUNTIF('Base Exámenes'!$C$5:$C$1000, A253)&gt;0, "", TRIM('Base Oficial'!H253)))</f>
        <v/>
      </c>
    </row>
    <row r="254">
      <c r="A254" s="4" t="str">
        <f>IF('Base Oficial'!A254="","",TRIM('Base Oficial'!A254))</f>
        <v>936</v>
      </c>
      <c r="B254" s="6" t="str">
        <f>IF($A254="","",TRIM('Base Oficial'!B254))</f>
        <v>MARISELA GUADALUPE MEJIA CRUZ</v>
      </c>
      <c r="C254" s="6" t="str">
        <f>IF($A254="","",TRIM('Base Oficial'!F254))</f>
        <v>AGENCIA MERLIOT</v>
      </c>
      <c r="D254" s="6" t="str">
        <f>IF($A254="","",TRIM('Base Oficial'!G254))</f>
        <v>Gerencia de Negocios</v>
      </c>
      <c r="E254" s="6" t="str">
        <f>IF($A254="","",TRIM('Base Oficial'!D254))</f>
        <v>CAJERO</v>
      </c>
      <c r="F254" s="4" t="str">
        <f>IF($A254="","",IF(COUNTIF('Base Exámenes'!$C$5:$C$1000, A254)&gt;0, "Completado", IF(M254&lt;&gt;"", M254, "Pendiente")))</f>
        <v>Completado</v>
      </c>
      <c r="G254" s="11">
        <f>IF(F254="Completado", IFERROR(IF(INDEX('Base Exámenes'!$D$5:$D$1000, MATCH(A254&amp;"|"&amp;J254, 'Base Exámenes'!$I$5:$I$1000, 0))="", "", INDEX('Base Exámenes'!$D$5:$D$1000, MATCH(A254&amp;"|"&amp;J254, 'Base Exámenes'!$I$5:$I$1000, 0))), ""), "")</f>
        <v>46302.63322916667</v>
      </c>
      <c r="H254" s="11">
        <f>IF(F254="Completado", IFERROR(IF(INDEX('Base Exámenes'!$E$5:$E$1000, MATCH(A254&amp;"|"&amp;J254, 'Base Exámenes'!$I$5:$I$1000, 0))="", "", INDEX('Base Exámenes'!$E$5:$E$1000, MATCH(A254&amp;"|"&amp;J254, 'Base Exámenes'!$I$5:$I$1000, 0))), ""), "")</f>
        <v>46302.637037037035</v>
      </c>
      <c r="I254" s="10">
        <f>IF(F254="Completado", IFERROR(IF(INDEX('Base Exámenes'!$F$5:$F$1000, MATCH(A254&amp;"|"&amp;J254, 'Base Exámenes'!$I$5:$I$1000, 0))="", "", INDEX('Base Exámenes'!$F$5:$F$1000, MATCH(A254&amp;"|"&amp;J254, 'Base Exámenes'!$I$5:$I$1000, 0))), ""), "")</f>
        <v>5.48333333333333</v>
      </c>
      <c r="J254" s="6">
        <f>IF(F254="Completado", IF(COUNTIFS('Base Exámenes'!$C$5:$C$1000, A254, 'Base Exámenes'!$G$5:$G$1000, "&lt;&gt;")=0, "", _xlfn.MAXIFS('Base Exámenes'!$G$5:$G$1000, 'Base Exámenes'!$C$5:$C$1000, A254)), "")</f>
        <v>100</v>
      </c>
      <c r="K254" s="6" t="str">
        <f>IF(F254="Completado", IFERROR(IF(INDEX('Base Exámenes'!$H$5:$H$1000, MATCH(A254&amp;"|"&amp;J254, 'Base Exámenes'!$I$5:$I$1000, 0))="", "", INDEX('Base Exámenes'!$H$5:$H$1000, MATCH(A254&amp;"|"&amp;J254, 'Base Exámenes'!$I$5:$I$1000, 0))), ""), "")</f>
        <v>anonymous</v>
      </c>
      <c r="L254" s="22">
        <f>IF($A254="","",COUNTIF('Base Exámenes'!$C$5:$C$1000, A254))</f>
        <v>1</v>
      </c>
      <c r="M254" s="6" t="str">
        <f>IF($A254="","",IF(COUNTIF('Base Exámenes'!$C$5:$C$1000, A254)&gt;0, "", TRIM('Base Oficial'!H254)))</f>
        <v/>
      </c>
    </row>
    <row r="255">
      <c r="A255" s="4" t="str">
        <f>IF('Base Oficial'!A255="","",TRIM('Base Oficial'!A255))</f>
        <v>944</v>
      </c>
      <c r="B255" s="6" t="str">
        <f>IF($A255="","",TRIM('Base Oficial'!B255))</f>
        <v>JOSSELYN IVONNE GARCIA HERNANDEZ</v>
      </c>
      <c r="C255" s="6" t="str">
        <f>IF($A255="","",TRIM('Base Oficial'!F255))</f>
        <v>AGENCIA MERLIOT</v>
      </c>
      <c r="D255" s="6" t="str">
        <f>IF($A255="","",TRIM('Base Oficial'!G255))</f>
        <v>Gerencia de Negocios</v>
      </c>
      <c r="E255" s="6" t="str">
        <f>IF($A255="","",TRIM('Base Oficial'!D255))</f>
        <v>AUXILIAR DE ATENCION A ASOCIADOS</v>
      </c>
      <c r="F255" s="4" t="str">
        <f>IF($A255="","",IF(COUNTIF('Base Exámenes'!$C$5:$C$1000, A255)&gt;0, "Completado", IF(M255&lt;&gt;"", M255, "Pendiente")))</f>
        <v>Completado</v>
      </c>
      <c r="G255" s="11">
        <f>IF(F255="Completado", IFERROR(IF(INDEX('Base Exámenes'!$D$5:$D$1000, MATCH(A255&amp;"|"&amp;J255, 'Base Exámenes'!$I$5:$I$1000, 0))="", "", INDEX('Base Exámenes'!$D$5:$D$1000, MATCH(A255&amp;"|"&amp;J255, 'Base Exámenes'!$I$5:$I$1000, 0))), ""), "")</f>
        <v>46296.64094907408</v>
      </c>
      <c r="H255" s="11">
        <f>IF(F255="Completado", IFERROR(IF(INDEX('Base Exámenes'!$E$5:$E$1000, MATCH(A255&amp;"|"&amp;J255, 'Base Exámenes'!$I$5:$I$1000, 0))="", "", INDEX('Base Exámenes'!$E$5:$E$1000, MATCH(A255&amp;"|"&amp;J255, 'Base Exámenes'!$I$5:$I$1000, 0))), ""), "")</f>
        <v>46296.67511574074</v>
      </c>
      <c r="I255" s="10">
        <f>IF(F255="Completado", IFERROR(IF(INDEX('Base Exámenes'!$F$5:$F$1000, MATCH(A255&amp;"|"&amp;J255, 'Base Exámenes'!$I$5:$I$1000, 0))="", "", INDEX('Base Exámenes'!$F$5:$F$1000, MATCH(A255&amp;"|"&amp;J255, 'Base Exámenes'!$I$5:$I$1000, 0))), ""), "")</f>
        <v>49.2</v>
      </c>
      <c r="J255" s="6">
        <f>IF(F255="Completado", IF(COUNTIFS('Base Exámenes'!$C$5:$C$1000, A255, 'Base Exámenes'!$G$5:$G$1000, "&lt;&gt;")=0, "", _xlfn.MAXIFS('Base Exámenes'!$G$5:$G$1000, 'Base Exámenes'!$C$5:$C$1000, A255)), "")</f>
        <v>75</v>
      </c>
      <c r="K255" s="6" t="str">
        <f>IF(F255="Completado", IFERROR(IF(INDEX('Base Exámenes'!$H$5:$H$1000, MATCH(A255&amp;"|"&amp;J255, 'Base Exámenes'!$I$5:$I$1000, 0))="", "", INDEX('Base Exámenes'!$H$5:$H$1000, MATCH(A255&amp;"|"&amp;J255, 'Base Exámenes'!$I$5:$I$1000, 0))), ""), "")</f>
        <v>anonymous</v>
      </c>
      <c r="L255" s="22">
        <f>IF($A255="","",COUNTIF('Base Exámenes'!$C$5:$C$1000, A255))</f>
        <v>1</v>
      </c>
      <c r="M255" s="6" t="str">
        <f>IF($A255="","",IF(COUNTIF('Base Exámenes'!$C$5:$C$1000, A255)&gt;0, "", TRIM('Base Oficial'!H255)))</f>
        <v/>
      </c>
    </row>
    <row r="256">
      <c r="A256" s="4" t="str">
        <f>IF('Base Oficial'!A256="","",TRIM('Base Oficial'!A256))</f>
        <v>967</v>
      </c>
      <c r="B256" s="6" t="str">
        <f>IF($A256="","",TRIM('Base Oficial'!B256))</f>
        <v>MAVERICK JOSSIMAR GONZALEZ MUÑOZ</v>
      </c>
      <c r="C256" s="6" t="str">
        <f>IF($A256="","",TRIM('Base Oficial'!F256))</f>
        <v>AGENCIA MERLIOT</v>
      </c>
      <c r="D256" s="6" t="str">
        <f>IF($A256="","",TRIM('Base Oficial'!G256))</f>
        <v>Gerencia de Negocios</v>
      </c>
      <c r="E256" s="6" t="str">
        <f>IF($A256="","",TRIM('Base Oficial'!D256))</f>
        <v>CAJERO</v>
      </c>
      <c r="F256" s="4" t="str">
        <f>IF($A256="","",IF(COUNTIF('Base Exámenes'!$C$5:$C$1000, A256)&gt;0, "Completado", IF(M256&lt;&gt;"", M256, "Pendiente")))</f>
        <v>Completado</v>
      </c>
      <c r="G256" s="11">
        <f>IF(F256="Completado", IFERROR(IF(INDEX('Base Exámenes'!$D$5:$D$1000, MATCH(A256&amp;"|"&amp;J256, 'Base Exámenes'!$I$5:$I$1000, 0))="", "", INDEX('Base Exámenes'!$D$5:$D$1000, MATCH(A256&amp;"|"&amp;J256, 'Base Exámenes'!$I$5:$I$1000, 0))), ""), "")</f>
        <v>46302.58623842592</v>
      </c>
      <c r="H256" s="11">
        <f>IF(F256="Completado", IFERROR(IF(INDEX('Base Exámenes'!$E$5:$E$1000, MATCH(A256&amp;"|"&amp;J256, 'Base Exámenes'!$I$5:$I$1000, 0))="", "", INDEX('Base Exámenes'!$E$5:$E$1000, MATCH(A256&amp;"|"&amp;J256, 'Base Exámenes'!$I$5:$I$1000, 0))), ""), "")</f>
        <v>46302.58998842593</v>
      </c>
      <c r="I256" s="10">
        <f>IF(F256="Completado", IFERROR(IF(INDEX('Base Exámenes'!$F$5:$F$1000, MATCH(A256&amp;"|"&amp;J256, 'Base Exámenes'!$I$5:$I$1000, 0))="", "", INDEX('Base Exámenes'!$F$5:$F$1000, MATCH(A256&amp;"|"&amp;J256, 'Base Exámenes'!$I$5:$I$1000, 0))), ""), "")</f>
        <v>5.4</v>
      </c>
      <c r="J256" s="6">
        <f>IF(F256="Completado", IF(COUNTIFS('Base Exámenes'!$C$5:$C$1000, A256, 'Base Exámenes'!$G$5:$G$1000, "&lt;&gt;")=0, "", _xlfn.MAXIFS('Base Exámenes'!$G$5:$G$1000, 'Base Exámenes'!$C$5:$C$1000, A256)), "")</f>
        <v>100</v>
      </c>
      <c r="K256" s="6" t="str">
        <f>IF(F256="Completado", IFERROR(IF(INDEX('Base Exámenes'!$H$5:$H$1000, MATCH(A256&amp;"|"&amp;J256, 'Base Exámenes'!$I$5:$I$1000, 0))="", "", INDEX('Base Exámenes'!$H$5:$H$1000, MATCH(A256&amp;"|"&amp;J256, 'Base Exámenes'!$I$5:$I$1000, 0))), ""), "")</f>
        <v>anonymous</v>
      </c>
      <c r="L256" s="22">
        <f>IF($A256="","",COUNTIF('Base Exámenes'!$C$5:$C$1000, A256))</f>
        <v>1</v>
      </c>
      <c r="M256" s="6" t="str">
        <f>IF($A256="","",IF(COUNTIF('Base Exámenes'!$C$5:$C$1000, A256)&gt;0, "", TRIM('Base Oficial'!H256)))</f>
        <v/>
      </c>
    </row>
    <row r="257">
      <c r="A257" s="4" t="str">
        <f>IF('Base Oficial'!A257="","",TRIM('Base Oficial'!A257))</f>
        <v>19</v>
      </c>
      <c r="B257" s="6" t="str">
        <f>IF($A257="","",TRIM('Base Oficial'!B257))</f>
        <v>ANA MARGARITA SERRANO RUBIO</v>
      </c>
      <c r="C257" s="6" t="str">
        <f>IF($A257="","",TRIM('Base Oficial'!F257))</f>
        <v>AGENCIA COLONIA MEDICA</v>
      </c>
      <c r="D257" s="6" t="str">
        <f>IF($A257="","",TRIM('Base Oficial'!G257))</f>
        <v>Gerencia de Negocios</v>
      </c>
      <c r="E257" s="6" t="str">
        <f>IF($A257="","",TRIM('Base Oficial'!D257))</f>
        <v>CAJERO</v>
      </c>
      <c r="F257" s="4" t="str">
        <f>IF($A257="","",IF(COUNTIF('Base Exámenes'!$C$5:$C$1000, A257)&gt;0, "Completado", IF(M257&lt;&gt;"", M257, "Pendiente")))</f>
        <v>Completado</v>
      </c>
      <c r="G257" s="11">
        <f>IF(F257="Completado", IFERROR(IF(INDEX('Base Exámenes'!$D$5:$D$1000, MATCH(A257&amp;"|"&amp;J257, 'Base Exámenes'!$I$5:$I$1000, 0))="", "", INDEX('Base Exámenes'!$D$5:$D$1000, MATCH(A257&amp;"|"&amp;J257, 'Base Exámenes'!$I$5:$I$1000, 0))), ""), "")</f>
        <v>46310.538981481484</v>
      </c>
      <c r="H257" s="11">
        <f>IF(F257="Completado", IFERROR(IF(INDEX('Base Exámenes'!$E$5:$E$1000, MATCH(A257&amp;"|"&amp;J257, 'Base Exámenes'!$I$5:$I$1000, 0))="", "", INDEX('Base Exámenes'!$E$5:$E$1000, MATCH(A257&amp;"|"&amp;J257, 'Base Exámenes'!$I$5:$I$1000, 0))), ""), "")</f>
        <v>46310.54141203704</v>
      </c>
      <c r="I257" s="10">
        <f>IF(F257="Completado", IFERROR(IF(INDEX('Base Exámenes'!$F$5:$F$1000, MATCH(A257&amp;"|"&amp;J257, 'Base Exámenes'!$I$5:$I$1000, 0))="", "", INDEX('Base Exámenes'!$F$5:$F$1000, MATCH(A257&amp;"|"&amp;J257, 'Base Exámenes'!$I$5:$I$1000, 0))), ""), "")</f>
        <v>3.5</v>
      </c>
      <c r="J257" s="6">
        <f>IF(F257="Completado", IF(COUNTIFS('Base Exámenes'!$C$5:$C$1000, A257, 'Base Exámenes'!$G$5:$G$1000, "&lt;&gt;")=0, "", _xlfn.MAXIFS('Base Exámenes'!$G$5:$G$1000, 'Base Exámenes'!$C$5:$C$1000, A257)), "")</f>
        <v>100</v>
      </c>
      <c r="K257" s="6" t="str">
        <f>IF(F257="Completado", IFERROR(IF(INDEX('Base Exámenes'!$H$5:$H$1000, MATCH(A257&amp;"|"&amp;J257, 'Base Exámenes'!$I$5:$I$1000, 0))="", "", INDEX('Base Exámenes'!$H$5:$H$1000, MATCH(A257&amp;"|"&amp;J257, 'Base Exámenes'!$I$5:$I$1000, 0))), ""), "")</f>
        <v>anonymous</v>
      </c>
      <c r="L257" s="22">
        <f>IF($A257="","",COUNTIF('Base Exámenes'!$C$5:$C$1000, A257))</f>
        <v>1</v>
      </c>
      <c r="M257" s="6" t="str">
        <f>IF($A257="","",IF(COUNTIF('Base Exámenes'!$C$5:$C$1000, A257)&gt;0, "", TRIM('Base Oficial'!H257)))</f>
        <v/>
      </c>
    </row>
    <row r="258">
      <c r="A258" s="4" t="str">
        <f>IF('Base Oficial'!A258="","",TRIM('Base Oficial'!A258))</f>
        <v>89</v>
      </c>
      <c r="B258" s="6" t="str">
        <f>IF($A258="","",TRIM('Base Oficial'!B258))</f>
        <v>PATRICIA JEANNETTE FLORES MARTINEZ</v>
      </c>
      <c r="C258" s="6" t="str">
        <f>IF($A258="","",TRIM('Base Oficial'!F258))</f>
        <v>AGENCIA COLONIA MEDICA</v>
      </c>
      <c r="D258" s="6" t="str">
        <f>IF($A258="","",TRIM('Base Oficial'!G258))</f>
        <v>Gerencia de Negocios</v>
      </c>
      <c r="E258" s="6" t="str">
        <f>IF($A258="","",TRIM('Base Oficial'!D258))</f>
        <v>AUXILIAR DE OPERACIONES Y ATENCION EN AGENCIA</v>
      </c>
      <c r="F258" s="4" t="str">
        <f>IF($A258="","",IF(COUNTIF('Base Exámenes'!$C$5:$C$1000, A258)&gt;0, "Completado", IF(M258&lt;&gt;"", M258, "Pendiente")))</f>
        <v>Completado</v>
      </c>
      <c r="G258" s="11">
        <f>IF(F258="Completado", IFERROR(IF(INDEX('Base Exámenes'!$D$5:$D$1000, MATCH(A258&amp;"|"&amp;J258, 'Base Exámenes'!$I$5:$I$1000, 0))="", "", INDEX('Base Exámenes'!$D$5:$D$1000, MATCH(A258&amp;"|"&amp;J258, 'Base Exámenes'!$I$5:$I$1000, 0))), ""), "")</f>
        <v>46302.64388888889</v>
      </c>
      <c r="H258" s="11">
        <f>IF(F258="Completado", IFERROR(IF(INDEX('Base Exámenes'!$E$5:$E$1000, MATCH(A258&amp;"|"&amp;J258, 'Base Exámenes'!$I$5:$I$1000, 0))="", "", INDEX('Base Exámenes'!$E$5:$E$1000, MATCH(A258&amp;"|"&amp;J258, 'Base Exámenes'!$I$5:$I$1000, 0))), ""), "")</f>
        <v>46302.64712962963</v>
      </c>
      <c r="I258" s="10">
        <f>IF(F258="Completado", IFERROR(IF(INDEX('Base Exámenes'!$F$5:$F$1000, MATCH(A258&amp;"|"&amp;J258, 'Base Exámenes'!$I$5:$I$1000, 0))="", "", INDEX('Base Exámenes'!$F$5:$F$1000, MATCH(A258&amp;"|"&amp;J258, 'Base Exámenes'!$I$5:$I$1000, 0))), ""), "")</f>
        <v>4.66666666666667</v>
      </c>
      <c r="J258" s="6">
        <f>IF(F258="Completado", IF(COUNTIFS('Base Exámenes'!$C$5:$C$1000, A258, 'Base Exámenes'!$G$5:$G$1000, "&lt;&gt;")=0, "", _xlfn.MAXIFS('Base Exámenes'!$G$5:$G$1000, 'Base Exámenes'!$C$5:$C$1000, A258)), "")</f>
        <v>100</v>
      </c>
      <c r="K258" s="6" t="str">
        <f>IF(F258="Completado", IFERROR(IF(INDEX('Base Exámenes'!$H$5:$H$1000, MATCH(A258&amp;"|"&amp;J258, 'Base Exámenes'!$I$5:$I$1000, 0))="", "", INDEX('Base Exámenes'!$H$5:$H$1000, MATCH(A258&amp;"|"&amp;J258, 'Base Exámenes'!$I$5:$I$1000, 0))), ""), "")</f>
        <v>anonymous</v>
      </c>
      <c r="L258" s="22">
        <f>IF($A258="","",COUNTIF('Base Exámenes'!$C$5:$C$1000, A258))</f>
        <v>1</v>
      </c>
      <c r="M258" s="6" t="str">
        <f>IF($A258="","",IF(COUNTIF('Base Exámenes'!$C$5:$C$1000, A258)&gt;0, "", TRIM('Base Oficial'!H258)))</f>
        <v/>
      </c>
    </row>
    <row r="259">
      <c r="A259" s="4" t="str">
        <f>IF('Base Oficial'!A259="","",TRIM('Base Oficial'!A259))</f>
        <v>179</v>
      </c>
      <c r="B259" s="6" t="str">
        <f>IF($A259="","",TRIM('Base Oficial'!B259))</f>
        <v>JULIO RAFAEL FLORES HENRIQUEZ</v>
      </c>
      <c r="C259" s="6" t="str">
        <f>IF($A259="","",TRIM('Base Oficial'!F259))</f>
        <v>AGENCIA COLONIA MEDICA</v>
      </c>
      <c r="D259" s="6" t="str">
        <f>IF($A259="","",TRIM('Base Oficial'!G259))</f>
        <v>Gerencia de Negocios</v>
      </c>
      <c r="E259" s="6" t="str">
        <f>IF($A259="","",TRIM('Base Oficial'!D259))</f>
        <v>JEFE DE AGENCIA</v>
      </c>
      <c r="F259" s="4" t="str">
        <f>IF($A259="","",IF(COUNTIF('Base Exámenes'!$C$5:$C$1000, A259)&gt;0, "Completado", IF(M259&lt;&gt;"", M259, "Pendiente")))</f>
        <v>Completado</v>
      </c>
      <c r="G259" s="11">
        <f>IF(F259="Completado", IFERROR(IF(INDEX('Base Exámenes'!$D$5:$D$1000, MATCH(A259&amp;"|"&amp;J259, 'Base Exámenes'!$I$5:$I$1000, 0))="", "", INDEX('Base Exámenes'!$D$5:$D$1000, MATCH(A259&amp;"|"&amp;J259, 'Base Exámenes'!$I$5:$I$1000, 0))), ""), "")</f>
        <v>46309.361979166664</v>
      </c>
      <c r="H259" s="11">
        <f>IF(F259="Completado", IFERROR(IF(INDEX('Base Exámenes'!$E$5:$E$1000, MATCH(A259&amp;"|"&amp;J259, 'Base Exámenes'!$I$5:$I$1000, 0))="", "", INDEX('Base Exámenes'!$E$5:$E$1000, MATCH(A259&amp;"|"&amp;J259, 'Base Exámenes'!$I$5:$I$1000, 0))), ""), "")</f>
        <v>46309.36565972222</v>
      </c>
      <c r="I259" s="10">
        <f>IF(F259="Completado", IFERROR(IF(INDEX('Base Exámenes'!$F$5:$F$1000, MATCH(A259&amp;"|"&amp;J259, 'Base Exámenes'!$I$5:$I$1000, 0))="", "", INDEX('Base Exámenes'!$F$5:$F$1000, MATCH(A259&amp;"|"&amp;J259, 'Base Exámenes'!$I$5:$I$1000, 0))), ""), "")</f>
        <v>5.3</v>
      </c>
      <c r="J259" s="6">
        <f>IF(F259="Completado", IF(COUNTIFS('Base Exámenes'!$C$5:$C$1000, A259, 'Base Exámenes'!$G$5:$G$1000, "&lt;&gt;")=0, "", _xlfn.MAXIFS('Base Exámenes'!$G$5:$G$1000, 'Base Exámenes'!$C$5:$C$1000, A259)), "")</f>
        <v>100</v>
      </c>
      <c r="K259" s="6" t="str">
        <f>IF(F259="Completado", IFERROR(IF(INDEX('Base Exámenes'!$H$5:$H$1000, MATCH(A259&amp;"|"&amp;J259, 'Base Exámenes'!$I$5:$I$1000, 0))="", "", INDEX('Base Exámenes'!$H$5:$H$1000, MATCH(A259&amp;"|"&amp;J259, 'Base Exámenes'!$I$5:$I$1000, 0))), ""), "")</f>
        <v>anonymous</v>
      </c>
      <c r="L259" s="22">
        <f>IF($A259="","",COUNTIF('Base Exámenes'!$C$5:$C$1000, A259))</f>
        <v>1</v>
      </c>
      <c r="M259" s="6" t="str">
        <f>IF($A259="","",IF(COUNTIF('Base Exámenes'!$C$5:$C$1000, A259)&gt;0, "", TRIM('Base Oficial'!H259)))</f>
        <v/>
      </c>
    </row>
    <row r="260">
      <c r="A260" s="4" t="str">
        <f>IF('Base Oficial'!A260="","",TRIM('Base Oficial'!A260))</f>
        <v>308</v>
      </c>
      <c r="B260" s="6" t="str">
        <f>IF($A260="","",TRIM('Base Oficial'!B260))</f>
        <v>JENNIFFER IVETTE MORALES PEREZ</v>
      </c>
      <c r="C260" s="6" t="str">
        <f>IF($A260="","",TRIM('Base Oficial'!F260))</f>
        <v>AGENCIA COLONIA MEDICA</v>
      </c>
      <c r="D260" s="6" t="str">
        <f>IF($A260="","",TRIM('Base Oficial'!G260))</f>
        <v>Gerencia de Negocios</v>
      </c>
      <c r="E260" s="6" t="str">
        <f>IF($A260="","",TRIM('Base Oficial'!D260))</f>
        <v>EJECUTIVO DE NEGOCIOS</v>
      </c>
      <c r="F260" s="4" t="str">
        <f>IF($A260="","",IF(COUNTIF('Base Exámenes'!$C$5:$C$1000, A260)&gt;0, "Completado", IF(M260&lt;&gt;"", M260, "Pendiente")))</f>
        <v>Completado</v>
      </c>
      <c r="G260" s="11">
        <f>IF(F260="Completado", IFERROR(IF(INDEX('Base Exámenes'!$D$5:$D$1000, MATCH(A260&amp;"|"&amp;J260, 'Base Exámenes'!$I$5:$I$1000, 0))="", "", INDEX('Base Exámenes'!$D$5:$D$1000, MATCH(A260&amp;"|"&amp;J260, 'Base Exámenes'!$I$5:$I$1000, 0))), ""), "")</f>
        <v>46297.711550925924</v>
      </c>
      <c r="H260" s="11">
        <f>IF(F260="Completado", IFERROR(IF(INDEX('Base Exámenes'!$E$5:$E$1000, MATCH(A260&amp;"|"&amp;J260, 'Base Exámenes'!$I$5:$I$1000, 0))="", "", INDEX('Base Exámenes'!$E$5:$E$1000, MATCH(A260&amp;"|"&amp;J260, 'Base Exámenes'!$I$5:$I$1000, 0))), ""), "")</f>
        <v>46297.714895833335</v>
      </c>
      <c r="I260" s="10">
        <f>IF(F260="Completado", IFERROR(IF(INDEX('Base Exámenes'!$F$5:$F$1000, MATCH(A260&amp;"|"&amp;J260, 'Base Exámenes'!$I$5:$I$1000, 0))="", "", INDEX('Base Exámenes'!$F$5:$F$1000, MATCH(A260&amp;"|"&amp;J260, 'Base Exámenes'!$I$5:$I$1000, 0))), ""), "")</f>
        <v>4.81666666666667</v>
      </c>
      <c r="J260" s="6">
        <f>IF(F260="Completado", IF(COUNTIFS('Base Exámenes'!$C$5:$C$1000, A260, 'Base Exámenes'!$G$5:$G$1000, "&lt;&gt;")=0, "", _xlfn.MAXIFS('Base Exámenes'!$G$5:$G$1000, 'Base Exámenes'!$C$5:$C$1000, A260)), "")</f>
        <v>95</v>
      </c>
      <c r="K260" s="6" t="str">
        <f>IF(F260="Completado", IFERROR(IF(INDEX('Base Exámenes'!$H$5:$H$1000, MATCH(A260&amp;"|"&amp;J260, 'Base Exámenes'!$I$5:$I$1000, 0))="", "", INDEX('Base Exámenes'!$H$5:$H$1000, MATCH(A260&amp;"|"&amp;J260, 'Base Exámenes'!$I$5:$I$1000, 0))), ""), "")</f>
        <v>anonymous</v>
      </c>
      <c r="L260" s="22">
        <f>IF($A260="","",COUNTIF('Base Exámenes'!$C$5:$C$1000, A260))</f>
        <v>1</v>
      </c>
      <c r="M260" s="6" t="str">
        <f>IF($A260="","",IF(COUNTIF('Base Exámenes'!$C$5:$C$1000, A260)&gt;0, "", TRIM('Base Oficial'!H260)))</f>
        <v/>
      </c>
    </row>
    <row r="261">
      <c r="A261" s="4" t="str">
        <f>IF('Base Oficial'!A261="","",TRIM('Base Oficial'!A261))</f>
        <v>412</v>
      </c>
      <c r="B261" s="6" t="str">
        <f>IF($A261="","",TRIM('Base Oficial'!B261))</f>
        <v>CARMEN DE JESÚS GONZÁLEZ BLANCO</v>
      </c>
      <c r="C261" s="6" t="str">
        <f>IF($A261="","",TRIM('Base Oficial'!F261))</f>
        <v>AGENCIA COLONIA MEDICA</v>
      </c>
      <c r="D261" s="6" t="str">
        <f>IF($A261="","",TRIM('Base Oficial'!G261))</f>
        <v>Gerencia de Negocios</v>
      </c>
      <c r="E261" s="6" t="str">
        <f>IF($A261="","",TRIM('Base Oficial'!D261))</f>
        <v>EJECUTIVA DE SEGUROS</v>
      </c>
      <c r="F261" s="4" t="str">
        <f>IF($A261="","",IF(COUNTIF('Base Exámenes'!$C$5:$C$1000, A261)&gt;0, "Completado", IF(M261&lt;&gt;"", M261, "Pendiente")))</f>
        <v>Completado</v>
      </c>
      <c r="G261" s="11">
        <f>IF(F261="Completado", IFERROR(IF(INDEX('Base Exámenes'!$D$5:$D$1000, MATCH(A261&amp;"|"&amp;J261, 'Base Exámenes'!$I$5:$I$1000, 0))="", "", INDEX('Base Exámenes'!$D$5:$D$1000, MATCH(A261&amp;"|"&amp;J261, 'Base Exámenes'!$I$5:$I$1000, 0))), ""), "")</f>
        <v>46302.48877314815</v>
      </c>
      <c r="H261" s="11">
        <f>IF(F261="Completado", IFERROR(IF(INDEX('Base Exámenes'!$E$5:$E$1000, MATCH(A261&amp;"|"&amp;J261, 'Base Exámenes'!$I$5:$I$1000, 0))="", "", INDEX('Base Exámenes'!$E$5:$E$1000, MATCH(A261&amp;"|"&amp;J261, 'Base Exámenes'!$I$5:$I$1000, 0))), ""), "")</f>
        <v>46302.63581018519</v>
      </c>
      <c r="I261" s="10">
        <f>IF(F261="Completado", IFERROR(IF(INDEX('Base Exámenes'!$F$5:$F$1000, MATCH(A261&amp;"|"&amp;J261, 'Base Exámenes'!$I$5:$I$1000, 0))="", "", INDEX('Base Exámenes'!$F$5:$F$1000, MATCH(A261&amp;"|"&amp;J261, 'Base Exámenes'!$I$5:$I$1000, 0))), ""), "")</f>
        <v>211.733333333333</v>
      </c>
      <c r="J261" s="6">
        <f>IF(F261="Completado", IF(COUNTIFS('Base Exámenes'!$C$5:$C$1000, A261, 'Base Exámenes'!$G$5:$G$1000, "&lt;&gt;")=0, "", _xlfn.MAXIFS('Base Exámenes'!$G$5:$G$1000, 'Base Exámenes'!$C$5:$C$1000, A261)), "")</f>
        <v>100</v>
      </c>
      <c r="K261" s="6" t="str">
        <f>IF(F261="Completado", IFERROR(IF(INDEX('Base Exámenes'!$H$5:$H$1000, MATCH(A261&amp;"|"&amp;J261, 'Base Exámenes'!$I$5:$I$1000, 0))="", "", INDEX('Base Exámenes'!$H$5:$H$1000, MATCH(A261&amp;"|"&amp;J261, 'Base Exámenes'!$I$5:$I$1000, 0))), ""), "")</f>
        <v>anonymous</v>
      </c>
      <c r="L261" s="22">
        <f>IF($A261="","",COUNTIF('Base Exámenes'!$C$5:$C$1000, A261))</f>
        <v>1</v>
      </c>
      <c r="M261" s="6" t="str">
        <f>IF($A261="","",IF(COUNTIF('Base Exámenes'!$C$5:$C$1000, A261)&gt;0, "", TRIM('Base Oficial'!H261)))</f>
        <v/>
      </c>
    </row>
    <row r="262">
      <c r="A262" s="4" t="str">
        <f>IF('Base Oficial'!A262="","",TRIM('Base Oficial'!A262))</f>
        <v>624</v>
      </c>
      <c r="B262" s="6" t="str">
        <f>IF($A262="","",TRIM('Base Oficial'!B262))</f>
        <v>JULIO ENRIQUE CAMPOS ANDRADE</v>
      </c>
      <c r="C262" s="6" t="str">
        <f>IF($A262="","",TRIM('Base Oficial'!F262))</f>
        <v>AGENCIA COLONIA MEDICA</v>
      </c>
      <c r="D262" s="6" t="str">
        <f>IF($A262="","",TRIM('Base Oficial'!G262))</f>
        <v>Gerencia de Negocios</v>
      </c>
      <c r="E262" s="6" t="str">
        <f>IF($A262="","",TRIM('Base Oficial'!D262))</f>
        <v>EJECUTIVO DE NEGOCIOS</v>
      </c>
      <c r="F262" s="4" t="str">
        <f>IF($A262="","",IF(COUNTIF('Base Exámenes'!$C$5:$C$1000, A262)&gt;0, "Completado", IF(M262&lt;&gt;"", M262, "Pendiente")))</f>
        <v>Completado</v>
      </c>
      <c r="G262" s="11">
        <f>IF(F262="Completado", IFERROR(IF(INDEX('Base Exámenes'!$D$5:$D$1000, MATCH(A262&amp;"|"&amp;J262, 'Base Exámenes'!$I$5:$I$1000, 0))="", "", INDEX('Base Exámenes'!$D$5:$D$1000, MATCH(A262&amp;"|"&amp;J262, 'Base Exámenes'!$I$5:$I$1000, 0))), ""), "")</f>
        <v>46310.513402777775</v>
      </c>
      <c r="H262" s="11">
        <f>IF(F262="Completado", IFERROR(IF(INDEX('Base Exámenes'!$E$5:$E$1000, MATCH(A262&amp;"|"&amp;J262, 'Base Exámenes'!$I$5:$I$1000, 0))="", "", INDEX('Base Exámenes'!$E$5:$E$1000, MATCH(A262&amp;"|"&amp;J262, 'Base Exámenes'!$I$5:$I$1000, 0))), ""), "")</f>
        <v>46310.516701388886</v>
      </c>
      <c r="I262" s="10">
        <f>IF(F262="Completado", IFERROR(IF(INDEX('Base Exámenes'!$F$5:$F$1000, MATCH(A262&amp;"|"&amp;J262, 'Base Exámenes'!$I$5:$I$1000, 0))="", "", INDEX('Base Exámenes'!$F$5:$F$1000, MATCH(A262&amp;"|"&amp;J262, 'Base Exámenes'!$I$5:$I$1000, 0))), ""), "")</f>
        <v>4.75000002071667</v>
      </c>
      <c r="J262" s="6">
        <f>IF(F262="Completado", IF(COUNTIFS('Base Exámenes'!$C$5:$C$1000, A262, 'Base Exámenes'!$G$5:$G$1000, "&lt;&gt;")=0, "", _xlfn.MAXIFS('Base Exámenes'!$G$5:$G$1000, 'Base Exámenes'!$C$5:$C$1000, A262)), "")</f>
        <v>90</v>
      </c>
      <c r="K262" s="6" t="str">
        <f>IF(F262="Completado", IFERROR(IF(INDEX('Base Exámenes'!$H$5:$H$1000, MATCH(A262&amp;"|"&amp;J262, 'Base Exámenes'!$I$5:$I$1000, 0))="", "", INDEX('Base Exámenes'!$H$5:$H$1000, MATCH(A262&amp;"|"&amp;J262, 'Base Exámenes'!$I$5:$I$1000, 0))), ""), "")</f>
        <v>anonymous</v>
      </c>
      <c r="L262" s="22">
        <f>IF($A262="","",COUNTIF('Base Exámenes'!$C$5:$C$1000, A262))</f>
        <v>1</v>
      </c>
      <c r="M262" s="6" t="str">
        <f>IF($A262="","",IF(COUNTIF('Base Exámenes'!$C$5:$C$1000, A262)&gt;0, "", TRIM('Base Oficial'!H262)))</f>
        <v/>
      </c>
    </row>
    <row r="263">
      <c r="A263" s="4" t="str">
        <f>IF('Base Oficial'!A263="","",TRIM('Base Oficial'!A263))</f>
        <v>674</v>
      </c>
      <c r="B263" s="6" t="str">
        <f>IF($A263="","",TRIM('Base Oficial'!B263))</f>
        <v>ALFREDO ARMANDO RAMOS ESCOBAR</v>
      </c>
      <c r="C263" s="6" t="str">
        <f>IF($A263="","",TRIM('Base Oficial'!F263))</f>
        <v>AGENCIA COLONIA MEDICA</v>
      </c>
      <c r="D263" s="6" t="str">
        <f>IF($A263="","",TRIM('Base Oficial'!G263))</f>
        <v>Gerencia de Negocios</v>
      </c>
      <c r="E263" s="6" t="str">
        <f>IF($A263="","",TRIM('Base Oficial'!D263))</f>
        <v>CAJERO</v>
      </c>
      <c r="F263" s="4" t="str">
        <f>IF($A263="","",IF(COUNTIF('Base Exámenes'!$C$5:$C$1000, A263)&gt;0, "Completado", IF(M263&lt;&gt;"", M263, "Pendiente")))</f>
        <v>Completado</v>
      </c>
      <c r="G263" s="11">
        <f>IF(F263="Completado", IFERROR(IF(INDEX('Base Exámenes'!$D$5:$D$1000, MATCH(A263&amp;"|"&amp;J263, 'Base Exámenes'!$I$5:$I$1000, 0))="", "", INDEX('Base Exámenes'!$D$5:$D$1000, MATCH(A263&amp;"|"&amp;J263, 'Base Exámenes'!$I$5:$I$1000, 0))), ""), "")</f>
        <v>46310.53324074074</v>
      </c>
      <c r="H263" s="11">
        <f>IF(F263="Completado", IFERROR(IF(INDEX('Base Exámenes'!$E$5:$E$1000, MATCH(A263&amp;"|"&amp;J263, 'Base Exámenes'!$I$5:$I$1000, 0))="", "", INDEX('Base Exámenes'!$E$5:$E$1000, MATCH(A263&amp;"|"&amp;J263, 'Base Exámenes'!$I$5:$I$1000, 0))), ""), "")</f>
        <v>46310.535219907404</v>
      </c>
      <c r="I263" s="10">
        <f>IF(F263="Completado", IFERROR(IF(INDEX('Base Exámenes'!$F$5:$F$1000, MATCH(A263&amp;"|"&amp;J263, 'Base Exámenes'!$I$5:$I$1000, 0))="", "", INDEX('Base Exámenes'!$F$5:$F$1000, MATCH(A263&amp;"|"&amp;J263, 'Base Exámenes'!$I$5:$I$1000, 0))), ""), "")</f>
        <v>2.85</v>
      </c>
      <c r="J263" s="6">
        <f>IF(F263="Completado", IF(COUNTIFS('Base Exámenes'!$C$5:$C$1000, A263, 'Base Exámenes'!$G$5:$G$1000, "&lt;&gt;")=0, "", _xlfn.MAXIFS('Base Exámenes'!$G$5:$G$1000, 'Base Exámenes'!$C$5:$C$1000, A263)), "")</f>
        <v>100</v>
      </c>
      <c r="K263" s="6" t="str">
        <f>IF(F263="Completado", IFERROR(IF(INDEX('Base Exámenes'!$H$5:$H$1000, MATCH(A263&amp;"|"&amp;J263, 'Base Exámenes'!$I$5:$I$1000, 0))="", "", INDEX('Base Exámenes'!$H$5:$H$1000, MATCH(A263&amp;"|"&amp;J263, 'Base Exámenes'!$I$5:$I$1000, 0))), ""), "")</f>
        <v>anonymous</v>
      </c>
      <c r="L263" s="22">
        <f>IF($A263="","",COUNTIF('Base Exámenes'!$C$5:$C$1000, A263))</f>
        <v>1</v>
      </c>
      <c r="M263" s="6" t="str">
        <f>IF($A263="","",IF(COUNTIF('Base Exámenes'!$C$5:$C$1000, A263)&gt;0, "", TRIM('Base Oficial'!H263)))</f>
        <v/>
      </c>
    </row>
    <row r="264">
      <c r="A264" s="4" t="str">
        <f>IF('Base Oficial'!A264="","",TRIM('Base Oficial'!A264))</f>
        <v>722</v>
      </c>
      <c r="B264" s="6" t="str">
        <f>IF($A264="","",TRIM('Base Oficial'!B264))</f>
        <v>INGRID PAOLA CORADO HERNANDEZ</v>
      </c>
      <c r="C264" s="6" t="str">
        <f>IF($A264="","",TRIM('Base Oficial'!F264))</f>
        <v>AGENCIA COLONIA MEDICA</v>
      </c>
      <c r="D264" s="6" t="str">
        <f>IF($A264="","",TRIM('Base Oficial'!G264))</f>
        <v>Gerencia de Negocios</v>
      </c>
      <c r="E264" s="6" t="str">
        <f>IF($A264="","",TRIM('Base Oficial'!D264))</f>
        <v>CAJERO</v>
      </c>
      <c r="F264" s="4" t="str">
        <f>IF($A264="","",IF(COUNTIF('Base Exámenes'!$C$5:$C$1000, A264)&gt;0, "Completado", IF(M264&lt;&gt;"", M264, "Pendiente")))</f>
        <v>Completado</v>
      </c>
      <c r="G264" s="11">
        <f>IF(F264="Completado", IFERROR(IF(INDEX('Base Exámenes'!$D$5:$D$1000, MATCH(A264&amp;"|"&amp;J264, 'Base Exámenes'!$I$5:$I$1000, 0))="", "", INDEX('Base Exámenes'!$D$5:$D$1000, MATCH(A264&amp;"|"&amp;J264, 'Base Exámenes'!$I$5:$I$1000, 0))), ""), "")</f>
        <v>46308.57634259259</v>
      </c>
      <c r="H264" s="11">
        <f>IF(F264="Completado", IFERROR(IF(INDEX('Base Exámenes'!$E$5:$E$1000, MATCH(A264&amp;"|"&amp;J264, 'Base Exámenes'!$I$5:$I$1000, 0))="", "", INDEX('Base Exámenes'!$E$5:$E$1000, MATCH(A264&amp;"|"&amp;J264, 'Base Exámenes'!$I$5:$I$1000, 0))), ""), "")</f>
        <v>46308.57957175926</v>
      </c>
      <c r="I264" s="10">
        <f>IF(F264="Completado", IFERROR(IF(INDEX('Base Exámenes'!$F$5:$F$1000, MATCH(A264&amp;"|"&amp;J264, 'Base Exámenes'!$I$5:$I$1000, 0))="", "", INDEX('Base Exámenes'!$F$5:$F$1000, MATCH(A264&amp;"|"&amp;J264, 'Base Exámenes'!$I$5:$I$1000, 0))), ""), "")</f>
        <v>4.65</v>
      </c>
      <c r="J264" s="6">
        <f>IF(F264="Completado", IF(COUNTIFS('Base Exámenes'!$C$5:$C$1000, A264, 'Base Exámenes'!$G$5:$G$1000, "&lt;&gt;")=0, "", _xlfn.MAXIFS('Base Exámenes'!$G$5:$G$1000, 'Base Exámenes'!$C$5:$C$1000, A264)), "")</f>
        <v>90</v>
      </c>
      <c r="K264" s="6" t="str">
        <f>IF(F264="Completado", IFERROR(IF(INDEX('Base Exámenes'!$H$5:$H$1000, MATCH(A264&amp;"|"&amp;J264, 'Base Exámenes'!$I$5:$I$1000, 0))="", "", INDEX('Base Exámenes'!$H$5:$H$1000, MATCH(A264&amp;"|"&amp;J264, 'Base Exámenes'!$I$5:$I$1000, 0))), ""), "")</f>
        <v>anonymous</v>
      </c>
      <c r="L264" s="22">
        <f>IF($A264="","",COUNTIF('Base Exámenes'!$C$5:$C$1000, A264))</f>
        <v>1</v>
      </c>
      <c r="M264" s="6" t="str">
        <f>IF($A264="","",IF(COUNTIF('Base Exámenes'!$C$5:$C$1000, A264)&gt;0, "", TRIM('Base Oficial'!H264)))</f>
        <v/>
      </c>
    </row>
    <row r="265">
      <c r="A265" s="4" t="str">
        <f>IF('Base Oficial'!A265="","",TRIM('Base Oficial'!A265))</f>
        <v>728</v>
      </c>
      <c r="B265" s="6" t="str">
        <f>IF($A265="","",TRIM('Base Oficial'!B265))</f>
        <v>DIANA MARISOL BATRES BARAHONA</v>
      </c>
      <c r="C265" s="6" t="str">
        <f>IF($A265="","",TRIM('Base Oficial'!F265))</f>
        <v>AGENCIA COLONIA MEDICA</v>
      </c>
      <c r="D265" s="6" t="str">
        <f>IF($A265="","",TRIM('Base Oficial'!G265))</f>
        <v>Gerencia de Negocios</v>
      </c>
      <c r="E265" s="6" t="str">
        <f>IF($A265="","",TRIM('Base Oficial'!D265))</f>
        <v>SUBJEFE DE AGENCIA</v>
      </c>
      <c r="F265" s="4" t="str">
        <f>IF($A265="","",IF(COUNTIF('Base Exámenes'!$C$5:$C$1000, A265)&gt;0, "Completado", IF(M265&lt;&gt;"", M265, "Pendiente")))</f>
        <v>Completado</v>
      </c>
      <c r="G265" s="11">
        <f>IF(F265="Completado", IFERROR(IF(INDEX('Base Exámenes'!$D$5:$D$1000, MATCH(A265&amp;"|"&amp;J265, 'Base Exámenes'!$I$5:$I$1000, 0))="", "", INDEX('Base Exámenes'!$D$5:$D$1000, MATCH(A265&amp;"|"&amp;J265, 'Base Exámenes'!$I$5:$I$1000, 0))), ""), "")</f>
        <v>46300.67056712963</v>
      </c>
      <c r="H265" s="11">
        <f>IF(F265="Completado", IFERROR(IF(INDEX('Base Exámenes'!$E$5:$E$1000, MATCH(A265&amp;"|"&amp;J265, 'Base Exámenes'!$I$5:$I$1000, 0))="", "", INDEX('Base Exámenes'!$E$5:$E$1000, MATCH(A265&amp;"|"&amp;J265, 'Base Exámenes'!$I$5:$I$1000, 0))), ""), "")</f>
        <v>46300.68400462963</v>
      </c>
      <c r="I265" s="10">
        <f>IF(F265="Completado", IFERROR(IF(INDEX('Base Exámenes'!$F$5:$F$1000, MATCH(A265&amp;"|"&amp;J265, 'Base Exámenes'!$I$5:$I$1000, 0))="", "", INDEX('Base Exámenes'!$F$5:$F$1000, MATCH(A265&amp;"|"&amp;J265, 'Base Exámenes'!$I$5:$I$1000, 0))), ""), "")</f>
        <v>19.35</v>
      </c>
      <c r="J265" s="6">
        <f>IF(F265="Completado", IF(COUNTIFS('Base Exámenes'!$C$5:$C$1000, A265, 'Base Exámenes'!$G$5:$G$1000, "&lt;&gt;")=0, "", _xlfn.MAXIFS('Base Exámenes'!$G$5:$G$1000, 'Base Exámenes'!$C$5:$C$1000, A265)), "")</f>
        <v>100</v>
      </c>
      <c r="K265" s="6" t="str">
        <f>IF(F265="Completado", IFERROR(IF(INDEX('Base Exámenes'!$H$5:$H$1000, MATCH(A265&amp;"|"&amp;J265, 'Base Exámenes'!$I$5:$I$1000, 0))="", "", INDEX('Base Exámenes'!$H$5:$H$1000, MATCH(A265&amp;"|"&amp;J265, 'Base Exámenes'!$I$5:$I$1000, 0))), ""), "")</f>
        <v>anonymous</v>
      </c>
      <c r="L265" s="22">
        <f>IF($A265="","",COUNTIF('Base Exámenes'!$C$5:$C$1000, A265))</f>
        <v>1</v>
      </c>
      <c r="M265" s="6" t="str">
        <f>IF($A265="","",IF(COUNTIF('Base Exámenes'!$C$5:$C$1000, A265)&gt;0, "", TRIM('Base Oficial'!H265)))</f>
        <v/>
      </c>
    </row>
    <row r="266">
      <c r="A266" s="4" t="str">
        <f>IF('Base Oficial'!A266="","",TRIM('Base Oficial'!A266))</f>
        <v>735</v>
      </c>
      <c r="B266" s="6" t="str">
        <f>IF($A266="","",TRIM('Base Oficial'!B266))</f>
        <v>YHANA MILET VALLE HERNANDEZ</v>
      </c>
      <c r="C266" s="6" t="str">
        <f>IF($A266="","",TRIM('Base Oficial'!F266))</f>
        <v>AGENCIA COLONIA MEDICA</v>
      </c>
      <c r="D266" s="6" t="str">
        <f>IF($A266="","",TRIM('Base Oficial'!G266))</f>
        <v>Gerencia de Negocios</v>
      </c>
      <c r="E266" s="6" t="str">
        <f>IF($A266="","",TRIM('Base Oficial'!D266))</f>
        <v>CAJERO</v>
      </c>
      <c r="F266" s="4" t="str">
        <f>IF($A266="","",IF(COUNTIF('Base Exámenes'!$C$5:$C$1000, A266)&gt;0, "Completado", IF(M266&lt;&gt;"", M266, "Pendiente")))</f>
        <v>Completado</v>
      </c>
      <c r="G266" s="11">
        <f>IF(F266="Completado", IFERROR(IF(INDEX('Base Exámenes'!$D$5:$D$1000, MATCH(A266&amp;"|"&amp;J266, 'Base Exámenes'!$I$5:$I$1000, 0))="", "", INDEX('Base Exámenes'!$D$5:$D$1000, MATCH(A266&amp;"|"&amp;J266, 'Base Exámenes'!$I$5:$I$1000, 0))), ""), "")</f>
        <v>46310.52905092593</v>
      </c>
      <c r="H266" s="11">
        <f>IF(F266="Completado", IFERROR(IF(INDEX('Base Exámenes'!$E$5:$E$1000, MATCH(A266&amp;"|"&amp;J266, 'Base Exámenes'!$I$5:$I$1000, 0))="", "", INDEX('Base Exámenes'!$E$5:$E$1000, MATCH(A266&amp;"|"&amp;J266, 'Base Exámenes'!$I$5:$I$1000, 0))), ""), "")</f>
        <v>46310.531226851854</v>
      </c>
      <c r="I266" s="10">
        <f>IF(F266="Completado", IFERROR(IF(INDEX('Base Exámenes'!$F$5:$F$1000, MATCH(A266&amp;"|"&amp;J266, 'Base Exámenes'!$I$5:$I$1000, 0))="", "", INDEX('Base Exámenes'!$F$5:$F$1000, MATCH(A266&amp;"|"&amp;J266, 'Base Exámenes'!$I$5:$I$1000, 0))), ""), "")</f>
        <v>3.13333333333333</v>
      </c>
      <c r="J266" s="6">
        <f>IF(F266="Completado", IF(COUNTIFS('Base Exámenes'!$C$5:$C$1000, A266, 'Base Exámenes'!$G$5:$G$1000, "&lt;&gt;")=0, "", _xlfn.MAXIFS('Base Exámenes'!$G$5:$G$1000, 'Base Exámenes'!$C$5:$C$1000, A266)), "")</f>
        <v>100</v>
      </c>
      <c r="K266" s="6" t="str">
        <f>IF(F266="Completado", IFERROR(IF(INDEX('Base Exámenes'!$H$5:$H$1000, MATCH(A266&amp;"|"&amp;J266, 'Base Exámenes'!$I$5:$I$1000, 0))="", "", INDEX('Base Exámenes'!$H$5:$H$1000, MATCH(A266&amp;"|"&amp;J266, 'Base Exámenes'!$I$5:$I$1000, 0))), ""), "")</f>
        <v>anonymous</v>
      </c>
      <c r="L266" s="22">
        <f>IF($A266="","",COUNTIF('Base Exámenes'!$C$5:$C$1000, A266))</f>
        <v>1</v>
      </c>
      <c r="M266" s="6" t="str">
        <f>IF($A266="","",IF(COUNTIF('Base Exámenes'!$C$5:$C$1000, A266)&gt;0, "", TRIM('Base Oficial'!H266)))</f>
        <v/>
      </c>
    </row>
    <row r="267">
      <c r="A267" s="4" t="str">
        <f>IF('Base Oficial'!A267="","",TRIM('Base Oficial'!A267))</f>
        <v>801</v>
      </c>
      <c r="B267" s="6" t="str">
        <f>IF($A267="","",TRIM('Base Oficial'!B267))</f>
        <v>ZULMA BEATRIZ RIVAS RIVERA</v>
      </c>
      <c r="C267" s="6" t="str">
        <f>IF($A267="","",TRIM('Base Oficial'!F267))</f>
        <v>AGENCIA COLONIA MEDICA</v>
      </c>
      <c r="D267" s="6" t="str">
        <f>IF($A267="","",TRIM('Base Oficial'!G267))</f>
        <v>Gerencia de Negocios</v>
      </c>
      <c r="E267" s="6" t="str">
        <f>IF($A267="","",TRIM('Base Oficial'!D267))</f>
        <v>CAJERO</v>
      </c>
      <c r="F267" s="4" t="str">
        <f>IF($A267="","",IF(COUNTIF('Base Exámenes'!$C$5:$C$1000, A267)&gt;0, "Completado", IF(M267&lt;&gt;"", M267, "Pendiente")))</f>
        <v>Completado</v>
      </c>
      <c r="G267" s="11">
        <f>IF(F267="Completado", IFERROR(IF(INDEX('Base Exámenes'!$D$5:$D$1000, MATCH(A267&amp;"|"&amp;J267, 'Base Exámenes'!$I$5:$I$1000, 0))="", "", INDEX('Base Exámenes'!$D$5:$D$1000, MATCH(A267&amp;"|"&amp;J267, 'Base Exámenes'!$I$5:$I$1000, 0))), ""), "")</f>
        <v>46300.686423611114</v>
      </c>
      <c r="H267" s="11">
        <f>IF(F267="Completado", IFERROR(IF(INDEX('Base Exámenes'!$E$5:$E$1000, MATCH(A267&amp;"|"&amp;J267, 'Base Exámenes'!$I$5:$I$1000, 0))="", "", INDEX('Base Exámenes'!$E$5:$E$1000, MATCH(A267&amp;"|"&amp;J267, 'Base Exámenes'!$I$5:$I$1000, 0))), ""), "")</f>
        <v>46300.688368055555</v>
      </c>
      <c r="I267" s="10">
        <f>IF(F267="Completado", IFERROR(IF(INDEX('Base Exámenes'!$F$5:$F$1000, MATCH(A267&amp;"|"&amp;J267, 'Base Exámenes'!$I$5:$I$1000, 0))="", "", INDEX('Base Exámenes'!$F$5:$F$1000, MATCH(A267&amp;"|"&amp;J267, 'Base Exámenes'!$I$5:$I$1000, 0))), ""), "")</f>
        <v>2.8</v>
      </c>
      <c r="J267" s="6">
        <f>IF(F267="Completado", IF(COUNTIFS('Base Exámenes'!$C$5:$C$1000, A267, 'Base Exámenes'!$G$5:$G$1000, "&lt;&gt;")=0, "", _xlfn.MAXIFS('Base Exámenes'!$G$5:$G$1000, 'Base Exámenes'!$C$5:$C$1000, A267)), "")</f>
        <v>100</v>
      </c>
      <c r="K267" s="6" t="str">
        <f>IF(F267="Completado", IFERROR(IF(INDEX('Base Exámenes'!$H$5:$H$1000, MATCH(A267&amp;"|"&amp;J267, 'Base Exámenes'!$I$5:$I$1000, 0))="", "", INDEX('Base Exámenes'!$H$5:$H$1000, MATCH(A267&amp;"|"&amp;J267, 'Base Exámenes'!$I$5:$I$1000, 0))), ""), "")</f>
        <v>anonymous</v>
      </c>
      <c r="L267" s="22">
        <f>IF($A267="","",COUNTIF('Base Exámenes'!$C$5:$C$1000, A267))</f>
        <v>1</v>
      </c>
      <c r="M267" s="6" t="str">
        <f>IF($A267="","",IF(COUNTIF('Base Exámenes'!$C$5:$C$1000, A267)&gt;0, "", TRIM('Base Oficial'!H267)))</f>
        <v/>
      </c>
    </row>
    <row r="268">
      <c r="A268" s="4" t="str">
        <f>IF('Base Oficial'!A268="","",TRIM('Base Oficial'!A268))</f>
        <v>855</v>
      </c>
      <c r="B268" s="6" t="str">
        <f>IF($A268="","",TRIM('Base Oficial'!B268))</f>
        <v>STEFFANY MARIELOS MIRO HERNANDEZ</v>
      </c>
      <c r="C268" s="6" t="str">
        <f>IF($A268="","",TRIM('Base Oficial'!F268))</f>
        <v>AGENCIA COLONIA MEDICA</v>
      </c>
      <c r="D268" s="6" t="str">
        <f>IF($A268="","",TRIM('Base Oficial'!G268))</f>
        <v>Gerencia de Negocios</v>
      </c>
      <c r="E268" s="6" t="str">
        <f>IF($A268="","",TRIM('Base Oficial'!D268))</f>
        <v>CAJERO</v>
      </c>
      <c r="F268" s="4" t="str">
        <f>IF($A268="","",IF(COUNTIF('Base Exámenes'!$C$5:$C$1000, A268)&gt;0, "Completado", IF(M268&lt;&gt;"", M268, "Pendiente")))</f>
        <v>Completado</v>
      </c>
      <c r="G268" s="11">
        <f>IF(F268="Completado", IFERROR(IF(INDEX('Base Exámenes'!$D$5:$D$1000, MATCH(A268&amp;"|"&amp;J268, 'Base Exámenes'!$I$5:$I$1000, 0))="", "", INDEX('Base Exámenes'!$D$5:$D$1000, MATCH(A268&amp;"|"&amp;J268, 'Base Exámenes'!$I$5:$I$1000, 0))), ""), "")</f>
        <v>46310.52517361111</v>
      </c>
      <c r="H268" s="11">
        <f>IF(F268="Completado", IFERROR(IF(INDEX('Base Exámenes'!$E$5:$E$1000, MATCH(A268&amp;"|"&amp;J268, 'Base Exámenes'!$I$5:$I$1000, 0))="", "", INDEX('Base Exámenes'!$E$5:$E$1000, MATCH(A268&amp;"|"&amp;J268, 'Base Exámenes'!$I$5:$I$1000, 0))), ""), "")</f>
        <v>46310.52695601852</v>
      </c>
      <c r="I268" s="10">
        <f>IF(F268="Completado", IFERROR(IF(INDEX('Base Exámenes'!$F$5:$F$1000, MATCH(A268&amp;"|"&amp;J268, 'Base Exámenes'!$I$5:$I$1000, 0))="", "", INDEX('Base Exámenes'!$F$5:$F$1000, MATCH(A268&amp;"|"&amp;J268, 'Base Exámenes'!$I$5:$I$1000, 0))), ""), "")</f>
        <v>2.56666666666667</v>
      </c>
      <c r="J268" s="6">
        <f>IF(F268="Completado", IF(COUNTIFS('Base Exámenes'!$C$5:$C$1000, A268, 'Base Exámenes'!$G$5:$G$1000, "&lt;&gt;")=0, "", _xlfn.MAXIFS('Base Exámenes'!$G$5:$G$1000, 'Base Exámenes'!$C$5:$C$1000, A268)), "")</f>
        <v>100</v>
      </c>
      <c r="K268" s="6" t="str">
        <f>IF(F268="Completado", IFERROR(IF(INDEX('Base Exámenes'!$H$5:$H$1000, MATCH(A268&amp;"|"&amp;J268, 'Base Exámenes'!$I$5:$I$1000, 0))="", "", INDEX('Base Exámenes'!$H$5:$H$1000, MATCH(A268&amp;"|"&amp;J268, 'Base Exámenes'!$I$5:$I$1000, 0))), ""), "")</f>
        <v>anonymous</v>
      </c>
      <c r="L268" s="22">
        <f>IF($A268="","",COUNTIF('Base Exámenes'!$C$5:$C$1000, A268))</f>
        <v>1</v>
      </c>
      <c r="M268" s="6" t="str">
        <f>IF($A268="","",IF(COUNTIF('Base Exámenes'!$C$5:$C$1000, A268)&gt;0, "", TRIM('Base Oficial'!H268)))</f>
        <v/>
      </c>
    </row>
    <row r="269">
      <c r="A269" s="4" t="str">
        <f>IF('Base Oficial'!A269="","",TRIM('Base Oficial'!A269))</f>
        <v>873</v>
      </c>
      <c r="B269" s="6" t="str">
        <f>IF($A269="","",TRIM('Base Oficial'!B269))</f>
        <v>FLOR DE MARIA ROSALES SORTO</v>
      </c>
      <c r="C269" s="6" t="str">
        <f>IF($A269="","",TRIM('Base Oficial'!F269))</f>
        <v>AGENCIA COLONIA MEDICA</v>
      </c>
      <c r="D269" s="6" t="str">
        <f>IF($A269="","",TRIM('Base Oficial'!G269))</f>
        <v>Gerencia de Negocios</v>
      </c>
      <c r="E269" s="6" t="str">
        <f>IF($A269="","",TRIM('Base Oficial'!D269))</f>
        <v>CAJERO</v>
      </c>
      <c r="F269" s="4" t="str">
        <f>IF($A269="","",IF(COUNTIF('Base Exámenes'!$C$5:$C$1000, A269)&gt;0, "Completado", IF(M269&lt;&gt;"", M269, "Pendiente")))</f>
        <v>Completado</v>
      </c>
      <c r="G269" s="11">
        <f>IF(F269="Completado", IFERROR(IF(INDEX('Base Exámenes'!$D$5:$D$1000, MATCH(A269&amp;"|"&amp;J269, 'Base Exámenes'!$I$5:$I$1000, 0))="", "", INDEX('Base Exámenes'!$D$5:$D$1000, MATCH(A269&amp;"|"&amp;J269, 'Base Exámenes'!$I$5:$I$1000, 0))), ""), "")</f>
        <v>46310.51609953704</v>
      </c>
      <c r="H269" s="11">
        <f>IF(F269="Completado", IFERROR(IF(INDEX('Base Exámenes'!$E$5:$E$1000, MATCH(A269&amp;"|"&amp;J269, 'Base Exámenes'!$I$5:$I$1000, 0))="", "", INDEX('Base Exámenes'!$E$5:$E$1000, MATCH(A269&amp;"|"&amp;J269, 'Base Exámenes'!$I$5:$I$1000, 0))), ""), "")</f>
        <v>46310.52071759259</v>
      </c>
      <c r="I269" s="10">
        <f>IF(F269="Completado", IFERROR(IF(INDEX('Base Exámenes'!$F$5:$F$1000, MATCH(A269&amp;"|"&amp;J269, 'Base Exámenes'!$I$5:$I$1000, 0))="", "", INDEX('Base Exámenes'!$F$5:$F$1000, MATCH(A269&amp;"|"&amp;J269, 'Base Exámenes'!$I$5:$I$1000, 0))), ""), "")</f>
        <v>6.65</v>
      </c>
      <c r="J269" s="6">
        <f>IF(F269="Completado", IF(COUNTIFS('Base Exámenes'!$C$5:$C$1000, A269, 'Base Exámenes'!$G$5:$G$1000, "&lt;&gt;")=0, "", _xlfn.MAXIFS('Base Exámenes'!$G$5:$G$1000, 'Base Exámenes'!$C$5:$C$1000, A269)), "")</f>
        <v>100</v>
      </c>
      <c r="K269" s="6" t="str">
        <f>IF(F269="Completado", IFERROR(IF(INDEX('Base Exámenes'!$H$5:$H$1000, MATCH(A269&amp;"|"&amp;J269, 'Base Exámenes'!$I$5:$I$1000, 0))="", "", INDEX('Base Exámenes'!$H$5:$H$1000, MATCH(A269&amp;"|"&amp;J269, 'Base Exámenes'!$I$5:$I$1000, 0))), ""), "")</f>
        <v>anonymous</v>
      </c>
      <c r="L269" s="22">
        <f>IF($A269="","",COUNTIF('Base Exámenes'!$C$5:$C$1000, A269))</f>
        <v>1</v>
      </c>
      <c r="M269" s="6" t="str">
        <f>IF($A269="","",IF(COUNTIF('Base Exámenes'!$C$5:$C$1000, A269)&gt;0, "", TRIM('Base Oficial'!H269)))</f>
        <v/>
      </c>
    </row>
    <row r="270">
      <c r="A270" s="4" t="str">
        <f>IF('Base Oficial'!A270="","",TRIM('Base Oficial'!A270))</f>
        <v>891</v>
      </c>
      <c r="B270" s="6" t="str">
        <f>IF($A270="","",TRIM('Base Oficial'!B270))</f>
        <v>YESENIA LISSETH BARAHONA VALLE</v>
      </c>
      <c r="C270" s="6" t="str">
        <f>IF($A270="","",TRIM('Base Oficial'!F270))</f>
        <v>AGENCIA COLONIA MEDICA</v>
      </c>
      <c r="D270" s="6" t="str">
        <f>IF($A270="","",TRIM('Base Oficial'!G270))</f>
        <v>Gerencia de Negocios</v>
      </c>
      <c r="E270" s="6" t="str">
        <f>IF($A270="","",TRIM('Base Oficial'!D270))</f>
        <v>AUXILIAR DE ATENCION AL ASOCIADO EN AGENCIA</v>
      </c>
      <c r="F270" s="4" t="str">
        <f>IF($A270="","",IF(COUNTIF('Base Exámenes'!$C$5:$C$1000, A270)&gt;0, "Completado", IF(M270&lt;&gt;"", M270, "Pendiente")))</f>
        <v>Completado</v>
      </c>
      <c r="G270" s="11">
        <f>IF(F270="Completado", IFERROR(IF(INDEX('Base Exámenes'!$D$5:$D$1000, MATCH(A270&amp;"|"&amp;J270, 'Base Exámenes'!$I$5:$I$1000, 0))="", "", INDEX('Base Exámenes'!$D$5:$D$1000, MATCH(A270&amp;"|"&amp;J270, 'Base Exámenes'!$I$5:$I$1000, 0))), ""), "")</f>
        <v>46310.542592592596</v>
      </c>
      <c r="H270" s="11">
        <f>IF(F270="Completado", IFERROR(IF(INDEX('Base Exámenes'!$E$5:$E$1000, MATCH(A270&amp;"|"&amp;J270, 'Base Exámenes'!$I$5:$I$1000, 0))="", "", INDEX('Base Exámenes'!$E$5:$E$1000, MATCH(A270&amp;"|"&amp;J270, 'Base Exámenes'!$I$5:$I$1000, 0))), ""), "")</f>
        <v>46310.54554398148</v>
      </c>
      <c r="I270" s="10">
        <f>IF(F270="Completado", IFERROR(IF(INDEX('Base Exámenes'!$F$5:$F$1000, MATCH(A270&amp;"|"&amp;J270, 'Base Exámenes'!$I$5:$I$1000, 0))="", "", INDEX('Base Exámenes'!$F$5:$F$1000, MATCH(A270&amp;"|"&amp;J270, 'Base Exámenes'!$I$5:$I$1000, 0))), ""), "")</f>
        <v>4.25</v>
      </c>
      <c r="J270" s="6">
        <f>IF(F270="Completado", IF(COUNTIFS('Base Exámenes'!$C$5:$C$1000, A270, 'Base Exámenes'!$G$5:$G$1000, "&lt;&gt;")=0, "", _xlfn.MAXIFS('Base Exámenes'!$G$5:$G$1000, 'Base Exámenes'!$C$5:$C$1000, A270)), "")</f>
        <v>100</v>
      </c>
      <c r="K270" s="6" t="str">
        <f>IF(F270="Completado", IFERROR(IF(INDEX('Base Exámenes'!$H$5:$H$1000, MATCH(A270&amp;"|"&amp;J270, 'Base Exámenes'!$I$5:$I$1000, 0))="", "", INDEX('Base Exámenes'!$H$5:$H$1000, MATCH(A270&amp;"|"&amp;J270, 'Base Exámenes'!$I$5:$I$1000, 0))), ""), "")</f>
        <v>anonymous</v>
      </c>
      <c r="L270" s="22">
        <f>IF($A270="","",COUNTIF('Base Exámenes'!$C$5:$C$1000, A270))</f>
        <v>2</v>
      </c>
      <c r="M270" s="6" t="str">
        <f>IF($A270="","",IF(COUNTIF('Base Exámenes'!$C$5:$C$1000, A270)&gt;0, "", TRIM('Base Oficial'!H270)))</f>
        <v/>
      </c>
    </row>
    <row r="271">
      <c r="A271" s="4" t="str">
        <f>IF('Base Oficial'!A271="","",TRIM('Base Oficial'!A271))</f>
        <v>913</v>
      </c>
      <c r="B271" s="6" t="str">
        <f>IF($A271="","",TRIM('Base Oficial'!B271))</f>
        <v>FLOR DEL CARMEN GONZALEZ HERNANDEZ</v>
      </c>
      <c r="C271" s="6" t="str">
        <f>IF($A271="","",TRIM('Base Oficial'!F271))</f>
        <v>AGENCIA COLONIA MEDICA</v>
      </c>
      <c r="D271" s="6" t="str">
        <f>IF($A271="","",TRIM('Base Oficial'!G271))</f>
        <v>Gerencia de Negocios</v>
      </c>
      <c r="E271" s="6" t="str">
        <f>IF($A271="","",TRIM('Base Oficial'!D271))</f>
        <v>SERVICIOS VARIOS</v>
      </c>
      <c r="F271" s="4" t="str">
        <f>IF($A271="","",IF(COUNTIF('Base Exámenes'!$C$5:$C$1000, A271)&gt;0, "Completado", IF(M271&lt;&gt;"", M271, "Pendiente")))</f>
        <v>Completado</v>
      </c>
      <c r="G271" s="11">
        <f>IF(F271="Completado", IFERROR(IF(INDEX('Base Exámenes'!$D$5:$D$1000, MATCH(A271&amp;"|"&amp;J271, 'Base Exámenes'!$I$5:$I$1000, 0))="", "", INDEX('Base Exámenes'!$D$5:$D$1000, MATCH(A271&amp;"|"&amp;J271, 'Base Exámenes'!$I$5:$I$1000, 0))), ""), "")</f>
        <v>46310.53685185185</v>
      </c>
      <c r="H271" s="11">
        <f>IF(F271="Completado", IFERROR(IF(INDEX('Base Exámenes'!$E$5:$E$1000, MATCH(A271&amp;"|"&amp;J271, 'Base Exámenes'!$I$5:$I$1000, 0))="", "", INDEX('Base Exámenes'!$E$5:$E$1000, MATCH(A271&amp;"|"&amp;J271, 'Base Exámenes'!$I$5:$I$1000, 0))), ""), "")</f>
        <v>46310.53796296296</v>
      </c>
      <c r="I271" s="10">
        <f>IF(F271="Completado", IFERROR(IF(INDEX('Base Exámenes'!$F$5:$F$1000, MATCH(A271&amp;"|"&amp;J271, 'Base Exámenes'!$I$5:$I$1000, 0))="", "", INDEX('Base Exámenes'!$F$5:$F$1000, MATCH(A271&amp;"|"&amp;J271, 'Base Exámenes'!$I$5:$I$1000, 0))), ""), "")</f>
        <v>1.6</v>
      </c>
      <c r="J271" s="6">
        <f>IF(F271="Completado", IF(COUNTIFS('Base Exámenes'!$C$5:$C$1000, A271, 'Base Exámenes'!$G$5:$G$1000, "&lt;&gt;")=0, "", _xlfn.MAXIFS('Base Exámenes'!$G$5:$G$1000, 'Base Exámenes'!$C$5:$C$1000, A271)), "")</f>
        <v>100</v>
      </c>
      <c r="K271" s="6" t="str">
        <f>IF(F271="Completado", IFERROR(IF(INDEX('Base Exámenes'!$H$5:$H$1000, MATCH(A271&amp;"|"&amp;J271, 'Base Exámenes'!$I$5:$I$1000, 0))="", "", INDEX('Base Exámenes'!$H$5:$H$1000, MATCH(A271&amp;"|"&amp;J271, 'Base Exámenes'!$I$5:$I$1000, 0))), ""), "")</f>
        <v>anonymous</v>
      </c>
      <c r="L271" s="22">
        <f>IF($A271="","",COUNTIF('Base Exámenes'!$C$5:$C$1000, A271))</f>
        <v>1</v>
      </c>
      <c r="M271" s="6" t="str">
        <f>IF($A271="","",IF(COUNTIF('Base Exámenes'!$C$5:$C$1000, A271)&gt;0, "", TRIM('Base Oficial'!H271)))</f>
        <v/>
      </c>
    </row>
    <row r="272">
      <c r="A272" s="4" t="str">
        <f>IF('Base Oficial'!A272="","",TRIM('Base Oficial'!A272))</f>
        <v>933</v>
      </c>
      <c r="B272" s="6" t="str">
        <f>IF($A272="","",TRIM('Base Oficial'!B272))</f>
        <v>JACQUELINE GUADALUPE CEA ALVARADO</v>
      </c>
      <c r="C272" s="6" t="str">
        <f>IF($A272="","",TRIM('Base Oficial'!F272))</f>
        <v>AGENCIA COLONIA MEDICA</v>
      </c>
      <c r="D272" s="6" t="str">
        <f>IF($A272="","",TRIM('Base Oficial'!G272))</f>
        <v>Gerencia de Negocios</v>
      </c>
      <c r="E272" s="6" t="str">
        <f>IF($A272="","",TRIM('Base Oficial'!D272))</f>
        <v>EJECUTIVO DE NEGOCIOS</v>
      </c>
      <c r="F272" s="4" t="str">
        <f>IF($A272="","",IF(COUNTIF('Base Exámenes'!$C$5:$C$1000, A272)&gt;0, "Completado", IF(M272&lt;&gt;"", M272, "Pendiente")))</f>
        <v>Completado</v>
      </c>
      <c r="G272" s="11">
        <f>IF(F272="Completado", IFERROR(IF(INDEX('Base Exámenes'!$D$5:$D$1000, MATCH(A272&amp;"|"&amp;J272, 'Base Exámenes'!$I$5:$I$1000, 0))="", "", INDEX('Base Exámenes'!$D$5:$D$1000, MATCH(A272&amp;"|"&amp;J272, 'Base Exámenes'!$I$5:$I$1000, 0))), ""), "")</f>
        <v>46311.707233796296</v>
      </c>
      <c r="H272" s="11">
        <f>IF(F272="Completado", IFERROR(IF(INDEX('Base Exámenes'!$E$5:$E$1000, MATCH(A272&amp;"|"&amp;J272, 'Base Exámenes'!$I$5:$I$1000, 0))="", "", INDEX('Base Exámenes'!$E$5:$E$1000, MATCH(A272&amp;"|"&amp;J272, 'Base Exámenes'!$I$5:$I$1000, 0))), ""), "")</f>
        <v>46311.71008101852</v>
      </c>
      <c r="I272" s="10">
        <f>IF(F272="Completado", IFERROR(IF(INDEX('Base Exámenes'!$F$5:$F$1000, MATCH(A272&amp;"|"&amp;J272, 'Base Exámenes'!$I$5:$I$1000, 0))="", "", INDEX('Base Exámenes'!$F$5:$F$1000, MATCH(A272&amp;"|"&amp;J272, 'Base Exámenes'!$I$5:$I$1000, 0))), ""), "")</f>
        <v>4.1</v>
      </c>
      <c r="J272" s="6">
        <f>IF(F272="Completado", IF(COUNTIFS('Base Exámenes'!$C$5:$C$1000, A272, 'Base Exámenes'!$G$5:$G$1000, "&lt;&gt;")=0, "", _xlfn.MAXIFS('Base Exámenes'!$G$5:$G$1000, 'Base Exámenes'!$C$5:$C$1000, A272)), "")</f>
        <v>90</v>
      </c>
      <c r="K272" s="6" t="str">
        <f>IF(F272="Completado", IFERROR(IF(INDEX('Base Exámenes'!$H$5:$H$1000, MATCH(A272&amp;"|"&amp;J272, 'Base Exámenes'!$I$5:$I$1000, 0))="", "", INDEX('Base Exámenes'!$H$5:$H$1000, MATCH(A272&amp;"|"&amp;J272, 'Base Exámenes'!$I$5:$I$1000, 0))), ""), "")</f>
        <v>anonymous</v>
      </c>
      <c r="L272" s="22">
        <f>IF($A272="","",COUNTIF('Base Exámenes'!$C$5:$C$1000, A272))</f>
        <v>1</v>
      </c>
      <c r="M272" s="6" t="str">
        <f>IF($A272="","",IF(COUNTIF('Base Exámenes'!$C$5:$C$1000, A272)&gt;0, "", TRIM('Base Oficial'!H272)))</f>
        <v/>
      </c>
    </row>
    <row r="273">
      <c r="A273" s="4" t="str">
        <f>IF('Base Oficial'!A273="","",TRIM('Base Oficial'!A273))</f>
        <v>59</v>
      </c>
      <c r="B273" s="6" t="str">
        <f>IF($A273="","",TRIM('Base Oficial'!B273))</f>
        <v>ZOILA AYDEE LARIOS</v>
      </c>
      <c r="C273" s="6" t="str">
        <f>IF($A273="","",TRIM('Base Oficial'!F273))</f>
        <v>AGENCIA PLAZA MUNDO</v>
      </c>
      <c r="D273" s="6" t="str">
        <f>IF($A273="","",TRIM('Base Oficial'!G273))</f>
        <v>Gerencia de Negocios</v>
      </c>
      <c r="E273" s="6" t="str">
        <f>IF($A273="","",TRIM('Base Oficial'!D273))</f>
        <v>SERVICIOS VARIOS</v>
      </c>
      <c r="F273" s="4" t="str">
        <f>IF($A273="","",IF(COUNTIF('Base Exámenes'!$C$5:$C$1000, A273)&gt;0, "Completado", IF(M273&lt;&gt;"", M273, "Pendiente")))</f>
        <v>Completado</v>
      </c>
      <c r="G273" s="11">
        <f>IF(F273="Completado", IFERROR(IF(INDEX('Base Exámenes'!$D$5:$D$1000, MATCH(A273&amp;"|"&amp;J273, 'Base Exámenes'!$I$5:$I$1000, 0))="", "", INDEX('Base Exámenes'!$D$5:$D$1000, MATCH(A273&amp;"|"&amp;J273, 'Base Exámenes'!$I$5:$I$1000, 0))), ""), "")</f>
        <v>46310.643472222226</v>
      </c>
      <c r="H273" s="11">
        <f>IF(F273="Completado", IFERROR(IF(INDEX('Base Exámenes'!$E$5:$E$1000, MATCH(A273&amp;"|"&amp;J273, 'Base Exámenes'!$I$5:$I$1000, 0))="", "", INDEX('Base Exámenes'!$E$5:$E$1000, MATCH(A273&amp;"|"&amp;J273, 'Base Exámenes'!$I$5:$I$1000, 0))), ""), "")</f>
        <v>46310.64591435185</v>
      </c>
      <c r="I273" s="10">
        <f>IF(F273="Completado", IFERROR(IF(INDEX('Base Exámenes'!$F$5:$F$1000, MATCH(A273&amp;"|"&amp;J273, 'Base Exámenes'!$I$5:$I$1000, 0))="", "", INDEX('Base Exámenes'!$F$5:$F$1000, MATCH(A273&amp;"|"&amp;J273, 'Base Exámenes'!$I$5:$I$1000, 0))), ""), "")</f>
        <v>3.51666666666667</v>
      </c>
      <c r="J273" s="6">
        <f>IF(F273="Completado", IF(COUNTIFS('Base Exámenes'!$C$5:$C$1000, A273, 'Base Exámenes'!$G$5:$G$1000, "&lt;&gt;")=0, "", _xlfn.MAXIFS('Base Exámenes'!$G$5:$G$1000, 'Base Exámenes'!$C$5:$C$1000, A273)), "")</f>
        <v>100</v>
      </c>
      <c r="K273" s="6" t="str">
        <f>IF(F273="Completado", IFERROR(IF(INDEX('Base Exámenes'!$H$5:$H$1000, MATCH(A273&amp;"|"&amp;J273, 'Base Exámenes'!$I$5:$I$1000, 0))="", "", INDEX('Base Exámenes'!$H$5:$H$1000, MATCH(A273&amp;"|"&amp;J273, 'Base Exámenes'!$I$5:$I$1000, 0))), ""), "")</f>
        <v>anonymous</v>
      </c>
      <c r="L273" s="22">
        <f>IF($A273="","",COUNTIF('Base Exámenes'!$C$5:$C$1000, A273))</f>
        <v>1</v>
      </c>
      <c r="M273" s="6" t="str">
        <f>IF($A273="","",IF(COUNTIF('Base Exámenes'!$C$5:$C$1000, A273)&gt;0, "", TRIM('Base Oficial'!H273)))</f>
        <v/>
      </c>
    </row>
    <row r="274">
      <c r="A274" s="4" t="str">
        <f>IF('Base Oficial'!A274="","",TRIM('Base Oficial'!A274))</f>
        <v>331</v>
      </c>
      <c r="B274" s="6" t="str">
        <f>IF($A274="","",TRIM('Base Oficial'!B274))</f>
        <v>NORMA ARACELY GUILLEN</v>
      </c>
      <c r="C274" s="6" t="str">
        <f>IF($A274="","",TRIM('Base Oficial'!F274))</f>
        <v>AGENCIA PLAZA MUNDO</v>
      </c>
      <c r="D274" s="6" t="str">
        <f>IF($A274="","",TRIM('Base Oficial'!G274))</f>
        <v>Gerencia de Negocios</v>
      </c>
      <c r="E274" s="6" t="str">
        <f>IF($A274="","",TRIM('Base Oficial'!D274))</f>
        <v>SUBJEFE DE AGENCIA</v>
      </c>
      <c r="F274" s="4" t="str">
        <f>IF($A274="","",IF(COUNTIF('Base Exámenes'!$C$5:$C$1000, A274)&gt;0, "Completado", IF(M274&lt;&gt;"", M274, "Pendiente")))</f>
        <v>Completado</v>
      </c>
      <c r="G274" s="11">
        <f>IF(F274="Completado", IFERROR(IF(INDEX('Base Exámenes'!$D$5:$D$1000, MATCH(A274&amp;"|"&amp;J274, 'Base Exámenes'!$I$5:$I$1000, 0))="", "", INDEX('Base Exámenes'!$D$5:$D$1000, MATCH(A274&amp;"|"&amp;J274, 'Base Exámenes'!$I$5:$I$1000, 0))), ""), "")</f>
        <v>46307.43707175926</v>
      </c>
      <c r="H274" s="11">
        <f>IF(F274="Completado", IFERROR(IF(INDEX('Base Exámenes'!$E$5:$E$1000, MATCH(A274&amp;"|"&amp;J274, 'Base Exámenes'!$I$5:$I$1000, 0))="", "", INDEX('Base Exámenes'!$E$5:$E$1000, MATCH(A274&amp;"|"&amp;J274, 'Base Exámenes'!$I$5:$I$1000, 0))), ""), "")</f>
        <v>46307.440046296295</v>
      </c>
      <c r="I274" s="10">
        <f>IF(F274="Completado", IFERROR(IF(INDEX('Base Exámenes'!$F$5:$F$1000, MATCH(A274&amp;"|"&amp;J274, 'Base Exámenes'!$I$5:$I$1000, 0))="", "", INDEX('Base Exámenes'!$F$5:$F$1000, MATCH(A274&amp;"|"&amp;J274, 'Base Exámenes'!$I$5:$I$1000, 0))), ""), "")</f>
        <v>4.28333333333333</v>
      </c>
      <c r="J274" s="6">
        <f>IF(F274="Completado", IF(COUNTIFS('Base Exámenes'!$C$5:$C$1000, A274, 'Base Exámenes'!$G$5:$G$1000, "&lt;&gt;")=0, "", _xlfn.MAXIFS('Base Exámenes'!$G$5:$G$1000, 'Base Exámenes'!$C$5:$C$1000, A274)), "")</f>
        <v>100</v>
      </c>
      <c r="K274" s="6" t="str">
        <f>IF(F274="Completado", IFERROR(IF(INDEX('Base Exámenes'!$H$5:$H$1000, MATCH(A274&amp;"|"&amp;J274, 'Base Exámenes'!$I$5:$I$1000, 0))="", "", INDEX('Base Exámenes'!$H$5:$H$1000, MATCH(A274&amp;"|"&amp;J274, 'Base Exámenes'!$I$5:$I$1000, 0))), ""), "")</f>
        <v>anonymous</v>
      </c>
      <c r="L274" s="22">
        <f>IF($A274="","",COUNTIF('Base Exámenes'!$C$5:$C$1000, A274))</f>
        <v>1</v>
      </c>
      <c r="M274" s="6" t="str">
        <f>IF($A274="","",IF(COUNTIF('Base Exámenes'!$C$5:$C$1000, A274)&gt;0, "", TRIM('Base Oficial'!H274)))</f>
        <v/>
      </c>
    </row>
    <row r="275">
      <c r="A275" s="4" t="str">
        <f>IF('Base Oficial'!A275="","",TRIM('Base Oficial'!A275))</f>
        <v>535</v>
      </c>
      <c r="B275" s="6" t="str">
        <f>IF($A275="","",TRIM('Base Oficial'!B275))</f>
        <v>ROSARIO DEL CARMEN PEREZ LOPEZ</v>
      </c>
      <c r="C275" s="6" t="str">
        <f>IF($A275="","",TRIM('Base Oficial'!F275))</f>
        <v>AGENCIA PLAZA MUNDO</v>
      </c>
      <c r="D275" s="6" t="str">
        <f>IF($A275="","",TRIM('Base Oficial'!G275))</f>
        <v>Gerencia de Negocios</v>
      </c>
      <c r="E275" s="6" t="str">
        <f>IF($A275="","",TRIM('Base Oficial'!D275))</f>
        <v>JEFE DE AGENCIA</v>
      </c>
      <c r="F275" s="4" t="str">
        <f>IF($A275="","",IF(COUNTIF('Base Exámenes'!$C$5:$C$1000, A275)&gt;0, "Completado", IF(M275&lt;&gt;"", M275, "Pendiente")))</f>
        <v>Completado</v>
      </c>
      <c r="G275" s="11">
        <f>IF(F275="Completado", IFERROR(IF(INDEX('Base Exámenes'!$D$5:$D$1000, MATCH(A275&amp;"|"&amp;J275, 'Base Exámenes'!$I$5:$I$1000, 0))="", "", INDEX('Base Exámenes'!$D$5:$D$1000, MATCH(A275&amp;"|"&amp;J275, 'Base Exámenes'!$I$5:$I$1000, 0))), ""), "")</f>
        <v>46307.40015046296</v>
      </c>
      <c r="H275" s="11">
        <f>IF(F275="Completado", IFERROR(IF(INDEX('Base Exámenes'!$E$5:$E$1000, MATCH(A275&amp;"|"&amp;J275, 'Base Exámenes'!$I$5:$I$1000, 0))="", "", INDEX('Base Exámenes'!$E$5:$E$1000, MATCH(A275&amp;"|"&amp;J275, 'Base Exámenes'!$I$5:$I$1000, 0))), ""), "")</f>
        <v>46307.40383101852</v>
      </c>
      <c r="I275" s="10">
        <f>IF(F275="Completado", IFERROR(IF(INDEX('Base Exámenes'!$F$5:$F$1000, MATCH(A275&amp;"|"&amp;J275, 'Base Exámenes'!$I$5:$I$1000, 0))="", "", INDEX('Base Exámenes'!$F$5:$F$1000, MATCH(A275&amp;"|"&amp;J275, 'Base Exámenes'!$I$5:$I$1000, 0))), ""), "")</f>
        <v>5.3</v>
      </c>
      <c r="J275" s="6">
        <f>IF(F275="Completado", IF(COUNTIFS('Base Exámenes'!$C$5:$C$1000, A275, 'Base Exámenes'!$G$5:$G$1000, "&lt;&gt;")=0, "", _xlfn.MAXIFS('Base Exámenes'!$G$5:$G$1000, 'Base Exámenes'!$C$5:$C$1000, A275)), "")</f>
        <v>100</v>
      </c>
      <c r="K275" s="6" t="str">
        <f>IF(F275="Completado", IFERROR(IF(INDEX('Base Exámenes'!$H$5:$H$1000, MATCH(A275&amp;"|"&amp;J275, 'Base Exámenes'!$I$5:$I$1000, 0))="", "", INDEX('Base Exámenes'!$H$5:$H$1000, MATCH(A275&amp;"|"&amp;J275, 'Base Exámenes'!$I$5:$I$1000, 0))), ""), "")</f>
        <v>anonymous</v>
      </c>
      <c r="L275" s="22">
        <f>IF($A275="","",COUNTIF('Base Exámenes'!$C$5:$C$1000, A275))</f>
        <v>1</v>
      </c>
      <c r="M275" s="6" t="str">
        <f>IF($A275="","",IF(COUNTIF('Base Exámenes'!$C$5:$C$1000, A275)&gt;0, "", TRIM('Base Oficial'!H275)))</f>
        <v/>
      </c>
    </row>
    <row r="276">
      <c r="A276" s="4" t="str">
        <f>IF('Base Oficial'!A276="","",TRIM('Base Oficial'!A276))</f>
        <v>616</v>
      </c>
      <c r="B276" s="6" t="str">
        <f>IF($A276="","",TRIM('Base Oficial'!B276))</f>
        <v>GABRIELA JEANNETTE BOLAÑOS HERRERA</v>
      </c>
      <c r="C276" s="6" t="str">
        <f>IF($A276="","",TRIM('Base Oficial'!F276))</f>
        <v>AGENCIA PLAZA MUNDO</v>
      </c>
      <c r="D276" s="6" t="str">
        <f>IF($A276="","",TRIM('Base Oficial'!G276))</f>
        <v>Gerencia de Negocios</v>
      </c>
      <c r="E276" s="6" t="str">
        <f>IF($A276="","",TRIM('Base Oficial'!D276))</f>
        <v>EJECUTIVA DE SEGUROS</v>
      </c>
      <c r="F276" s="4" t="str">
        <f>IF($A276="","",IF(COUNTIF('Base Exámenes'!$C$5:$C$1000, A276)&gt;0, "Completado", IF(M276&lt;&gt;"", M276, "Pendiente")))</f>
        <v>Completado</v>
      </c>
      <c r="G276" s="11">
        <f>IF(F276="Completado", IFERROR(IF(INDEX('Base Exámenes'!$D$5:$D$1000, MATCH(A276&amp;"|"&amp;J276, 'Base Exámenes'!$I$5:$I$1000, 0))="", "", INDEX('Base Exámenes'!$D$5:$D$1000, MATCH(A276&amp;"|"&amp;J276, 'Base Exámenes'!$I$5:$I$1000, 0))), ""), "")</f>
        <v>46308.410844907405</v>
      </c>
      <c r="H276" s="11">
        <f>IF(F276="Completado", IFERROR(IF(INDEX('Base Exámenes'!$E$5:$E$1000, MATCH(A276&amp;"|"&amp;J276, 'Base Exámenes'!$I$5:$I$1000, 0))="", "", INDEX('Base Exámenes'!$E$5:$E$1000, MATCH(A276&amp;"|"&amp;J276, 'Base Exámenes'!$I$5:$I$1000, 0))), ""), "")</f>
        <v>46308.41873842593</v>
      </c>
      <c r="I276" s="10">
        <f>IF(F276="Completado", IFERROR(IF(INDEX('Base Exámenes'!$F$5:$F$1000, MATCH(A276&amp;"|"&amp;J276, 'Base Exámenes'!$I$5:$I$1000, 0))="", "", INDEX('Base Exámenes'!$F$5:$F$1000, MATCH(A276&amp;"|"&amp;J276, 'Base Exámenes'!$I$5:$I$1000, 0))), ""), "")</f>
        <v>11.36666668345</v>
      </c>
      <c r="J276" s="6">
        <f>IF(F276="Completado", IF(COUNTIFS('Base Exámenes'!$C$5:$C$1000, A276, 'Base Exámenes'!$G$5:$G$1000, "&lt;&gt;")=0, "", _xlfn.MAXIFS('Base Exámenes'!$G$5:$G$1000, 'Base Exámenes'!$C$5:$C$1000, A276)), "")</f>
        <v>100</v>
      </c>
      <c r="K276" s="6" t="str">
        <f>IF(F276="Completado", IFERROR(IF(INDEX('Base Exámenes'!$H$5:$H$1000, MATCH(A276&amp;"|"&amp;J276, 'Base Exámenes'!$I$5:$I$1000, 0))="", "", INDEX('Base Exámenes'!$H$5:$H$1000, MATCH(A276&amp;"|"&amp;J276, 'Base Exámenes'!$I$5:$I$1000, 0))), ""), "")</f>
        <v>anonymous</v>
      </c>
      <c r="L276" s="22">
        <f>IF($A276="","",COUNTIF('Base Exámenes'!$C$5:$C$1000, A276))</f>
        <v>1</v>
      </c>
      <c r="M276" s="6" t="str">
        <f>IF($A276="","",IF(COUNTIF('Base Exámenes'!$C$5:$C$1000, A276)&gt;0, "", TRIM('Base Oficial'!H276)))</f>
        <v/>
      </c>
    </row>
    <row r="277">
      <c r="A277" s="4" t="str">
        <f>IF('Base Oficial'!A277="","",TRIM('Base Oficial'!A277))</f>
        <v>675</v>
      </c>
      <c r="B277" s="6" t="str">
        <f>IF($A277="","",TRIM('Base Oficial'!B277))</f>
        <v>NANCY CAROLINA FUENTES SORTO</v>
      </c>
      <c r="C277" s="6" t="str">
        <f>IF($A277="","",TRIM('Base Oficial'!F277))</f>
        <v>AGENCIA PLAZA MUNDO</v>
      </c>
      <c r="D277" s="6" t="str">
        <f>IF($A277="","",TRIM('Base Oficial'!G277))</f>
        <v>Gerencia de Negocios</v>
      </c>
      <c r="E277" s="6" t="str">
        <f>IF($A277="","",TRIM('Base Oficial'!D277))</f>
        <v>CAJERO</v>
      </c>
      <c r="F277" s="4" t="str">
        <f>IF($A277="","",IF(COUNTIF('Base Exámenes'!$C$5:$C$1000, A277)&gt;0, "Completado", IF(M277&lt;&gt;"", M277, "Pendiente")))</f>
        <v>Completado</v>
      </c>
      <c r="G277" s="11">
        <f>IF(F277="Completado", IFERROR(IF(INDEX('Base Exámenes'!$D$5:$D$1000, MATCH(A277&amp;"|"&amp;J277, 'Base Exámenes'!$I$5:$I$1000, 0))="", "", INDEX('Base Exámenes'!$D$5:$D$1000, MATCH(A277&amp;"|"&amp;J277, 'Base Exámenes'!$I$5:$I$1000, 0))), ""), "")</f>
        <v>46309.3912037037</v>
      </c>
      <c r="H277" s="11">
        <f>IF(F277="Completado", IFERROR(IF(INDEX('Base Exámenes'!$E$5:$E$1000, MATCH(A277&amp;"|"&amp;J277, 'Base Exámenes'!$I$5:$I$1000, 0))="", "", INDEX('Base Exámenes'!$E$5:$E$1000, MATCH(A277&amp;"|"&amp;J277, 'Base Exámenes'!$I$5:$I$1000, 0))), ""), "")</f>
        <v>46309.394328703704</v>
      </c>
      <c r="I277" s="10">
        <f>IF(F277="Completado", IFERROR(IF(INDEX('Base Exámenes'!$F$5:$F$1000, MATCH(A277&amp;"|"&amp;J277, 'Base Exámenes'!$I$5:$I$1000, 0))="", "", INDEX('Base Exámenes'!$F$5:$F$1000, MATCH(A277&amp;"|"&amp;J277, 'Base Exámenes'!$I$5:$I$1000, 0))), ""), "")</f>
        <v>4.5</v>
      </c>
      <c r="J277" s="6">
        <f>IF(F277="Completado", IF(COUNTIFS('Base Exámenes'!$C$5:$C$1000, A277, 'Base Exámenes'!$G$5:$G$1000, "&lt;&gt;")=0, "", _xlfn.MAXIFS('Base Exámenes'!$G$5:$G$1000, 'Base Exámenes'!$C$5:$C$1000, A277)), "")</f>
        <v>90</v>
      </c>
      <c r="K277" s="6" t="str">
        <f>IF(F277="Completado", IFERROR(IF(INDEX('Base Exámenes'!$H$5:$H$1000, MATCH(A277&amp;"|"&amp;J277, 'Base Exámenes'!$I$5:$I$1000, 0))="", "", INDEX('Base Exámenes'!$H$5:$H$1000, MATCH(A277&amp;"|"&amp;J277, 'Base Exámenes'!$I$5:$I$1000, 0))), ""), "")</f>
        <v>anonymous</v>
      </c>
      <c r="L277" s="22">
        <f>IF($A277="","",COUNTIF('Base Exámenes'!$C$5:$C$1000, A277))</f>
        <v>1</v>
      </c>
      <c r="M277" s="6" t="str">
        <f>IF($A277="","",IF(COUNTIF('Base Exámenes'!$C$5:$C$1000, A277)&gt;0, "", TRIM('Base Oficial'!H277)))</f>
        <v/>
      </c>
    </row>
    <row r="278">
      <c r="A278" s="4" t="str">
        <f>IF('Base Oficial'!A278="","",TRIM('Base Oficial'!A278))</f>
        <v>748</v>
      </c>
      <c r="B278" s="6" t="str">
        <f>IF($A278="","",TRIM('Base Oficial'!B278))</f>
        <v>WALTER ALBERTO BARAHONA DIAZ</v>
      </c>
      <c r="C278" s="6" t="str">
        <f>IF($A278="","",TRIM('Base Oficial'!F278))</f>
        <v>AGENCIA PLAZA MUNDO</v>
      </c>
      <c r="D278" s="6" t="str">
        <f>IF($A278="","",TRIM('Base Oficial'!G278))</f>
        <v>Gerencia de Negocios</v>
      </c>
      <c r="E278" s="6" t="str">
        <f>IF($A278="","",TRIM('Base Oficial'!D278))</f>
        <v>CAJERO</v>
      </c>
      <c r="F278" s="4" t="str">
        <f>IF($A278="","",IF(COUNTIF('Base Exámenes'!$C$5:$C$1000, A278)&gt;0, "Completado", IF(M278&lt;&gt;"", M278, "Pendiente")))</f>
        <v>Completado</v>
      </c>
      <c r="G278" s="11">
        <f>IF(F278="Completado", IFERROR(IF(INDEX('Base Exámenes'!$D$5:$D$1000, MATCH(A278&amp;"|"&amp;J278, 'Base Exámenes'!$I$5:$I$1000, 0))="", "", INDEX('Base Exámenes'!$D$5:$D$1000, MATCH(A278&amp;"|"&amp;J278, 'Base Exámenes'!$I$5:$I$1000, 0))), ""), "")</f>
        <v>46309.39879629629</v>
      </c>
      <c r="H278" s="11">
        <f>IF(F278="Completado", IFERROR(IF(INDEX('Base Exámenes'!$E$5:$E$1000, MATCH(A278&amp;"|"&amp;J278, 'Base Exámenes'!$I$5:$I$1000, 0))="", "", INDEX('Base Exámenes'!$E$5:$E$1000, MATCH(A278&amp;"|"&amp;J278, 'Base Exámenes'!$I$5:$I$1000, 0))), ""), "")</f>
        <v>46309.40075231482</v>
      </c>
      <c r="I278" s="10">
        <f>IF(F278="Completado", IFERROR(IF(INDEX('Base Exámenes'!$F$5:$F$1000, MATCH(A278&amp;"|"&amp;J278, 'Base Exámenes'!$I$5:$I$1000, 0))="", "", INDEX('Base Exámenes'!$F$5:$F$1000, MATCH(A278&amp;"|"&amp;J278, 'Base Exámenes'!$I$5:$I$1000, 0))), ""), "")</f>
        <v>2.81666666666667</v>
      </c>
      <c r="J278" s="6">
        <f>IF(F278="Completado", IF(COUNTIFS('Base Exámenes'!$C$5:$C$1000, A278, 'Base Exámenes'!$G$5:$G$1000, "&lt;&gt;")=0, "", _xlfn.MAXIFS('Base Exámenes'!$G$5:$G$1000, 'Base Exámenes'!$C$5:$C$1000, A278)), "")</f>
        <v>100</v>
      </c>
      <c r="K278" s="6" t="str">
        <f>IF(F278="Completado", IFERROR(IF(INDEX('Base Exámenes'!$H$5:$H$1000, MATCH(A278&amp;"|"&amp;J278, 'Base Exámenes'!$I$5:$I$1000, 0))="", "", INDEX('Base Exámenes'!$H$5:$H$1000, MATCH(A278&amp;"|"&amp;J278, 'Base Exámenes'!$I$5:$I$1000, 0))), ""), "")</f>
        <v>anonymous</v>
      </c>
      <c r="L278" s="22">
        <f>IF($A278="","",COUNTIF('Base Exámenes'!$C$5:$C$1000, A278))</f>
        <v>1</v>
      </c>
      <c r="M278" s="6" t="str">
        <f>IF($A278="","",IF(COUNTIF('Base Exámenes'!$C$5:$C$1000, A278)&gt;0, "", TRIM('Base Oficial'!H278)))</f>
        <v/>
      </c>
    </row>
    <row r="279">
      <c r="A279" s="4" t="str">
        <f>IF('Base Oficial'!A279="","",TRIM('Base Oficial'!A279))</f>
        <v>876</v>
      </c>
      <c r="B279" s="6" t="str">
        <f>IF($A279="","",TRIM('Base Oficial'!B279))</f>
        <v>PAOLA JEANNETTE ROMERO HERNANDEZ</v>
      </c>
      <c r="C279" s="6" t="str">
        <f>IF($A279="","",TRIM('Base Oficial'!F279))</f>
        <v>AGENCIA PLAZA MUNDO</v>
      </c>
      <c r="D279" s="6" t="str">
        <f>IF($A279="","",TRIM('Base Oficial'!G279))</f>
        <v>Gerencia de Negocios</v>
      </c>
      <c r="E279" s="6" t="str">
        <f>IF($A279="","",TRIM('Base Oficial'!D279))</f>
        <v>CAJERO</v>
      </c>
      <c r="F279" s="4" t="str">
        <f>IF($A279="","",IF(COUNTIF('Base Exámenes'!$C$5:$C$1000, A279)&gt;0, "Completado", IF(M279&lt;&gt;"", M279, "Pendiente")))</f>
        <v>Completado</v>
      </c>
      <c r="G279" s="11">
        <f>IF(F279="Completado", IFERROR(IF(INDEX('Base Exámenes'!$D$5:$D$1000, MATCH(A279&amp;"|"&amp;J279, 'Base Exámenes'!$I$5:$I$1000, 0))="", "", INDEX('Base Exámenes'!$D$5:$D$1000, MATCH(A279&amp;"|"&amp;J279, 'Base Exámenes'!$I$5:$I$1000, 0))), ""), "")</f>
        <v>46309.39832175926</v>
      </c>
      <c r="H279" s="11">
        <f>IF(F279="Completado", IFERROR(IF(INDEX('Base Exámenes'!$E$5:$E$1000, MATCH(A279&amp;"|"&amp;J279, 'Base Exámenes'!$I$5:$I$1000, 0))="", "", INDEX('Base Exámenes'!$E$5:$E$1000, MATCH(A279&amp;"|"&amp;J279, 'Base Exámenes'!$I$5:$I$1000, 0))), ""), "")</f>
        <v>46309.408229166664</v>
      </c>
      <c r="I279" s="10">
        <f>IF(F279="Completado", IFERROR(IF(INDEX('Base Exámenes'!$F$5:$F$1000, MATCH(A279&amp;"|"&amp;J279, 'Base Exámenes'!$I$5:$I$1000, 0))="", "", INDEX('Base Exámenes'!$F$5:$F$1000, MATCH(A279&amp;"|"&amp;J279, 'Base Exámenes'!$I$5:$I$1000, 0))), ""), "")</f>
        <v>14.2666666489</v>
      </c>
      <c r="J279" s="6">
        <f>IF(F279="Completado", IF(COUNTIFS('Base Exámenes'!$C$5:$C$1000, A279, 'Base Exámenes'!$G$5:$G$1000, "&lt;&gt;")=0, "", _xlfn.MAXIFS('Base Exámenes'!$G$5:$G$1000, 'Base Exámenes'!$C$5:$C$1000, A279)), "")</f>
        <v>100</v>
      </c>
      <c r="K279" s="6" t="str">
        <f>IF(F279="Completado", IFERROR(IF(INDEX('Base Exámenes'!$H$5:$H$1000, MATCH(A279&amp;"|"&amp;J279, 'Base Exámenes'!$I$5:$I$1000, 0))="", "", INDEX('Base Exámenes'!$H$5:$H$1000, MATCH(A279&amp;"|"&amp;J279, 'Base Exámenes'!$I$5:$I$1000, 0))), ""), "")</f>
        <v>anonymous</v>
      </c>
      <c r="L279" s="22">
        <f>IF($A279="","",COUNTIF('Base Exámenes'!$C$5:$C$1000, A279))</f>
        <v>1</v>
      </c>
      <c r="M279" s="6" t="str">
        <f>IF($A279="","",IF(COUNTIF('Base Exámenes'!$C$5:$C$1000, A279)&gt;0, "", TRIM('Base Oficial'!H279)))</f>
        <v/>
      </c>
    </row>
    <row r="280">
      <c r="A280" s="4" t="str">
        <f>IF('Base Oficial'!A280="","",TRIM('Base Oficial'!A280))</f>
        <v>955</v>
      </c>
      <c r="B280" s="6" t="str">
        <f>IF($A280="","",TRIM('Base Oficial'!B280))</f>
        <v>ERIKA IVETH MANCIA HERNANDEZ</v>
      </c>
      <c r="C280" s="6" t="str">
        <f>IF($A280="","",TRIM('Base Oficial'!F280))</f>
        <v>AGENCIA PLAZA MUNDO</v>
      </c>
      <c r="D280" s="6" t="str">
        <f>IF($A280="","",TRIM('Base Oficial'!G280))</f>
        <v>Gerencia de Negocios</v>
      </c>
      <c r="E280" s="6" t="str">
        <f>IF($A280="","",TRIM('Base Oficial'!D280))</f>
        <v>CAJERO</v>
      </c>
      <c r="F280" s="4" t="str">
        <f>IF($A280="","",IF(COUNTIF('Base Exámenes'!$C$5:$C$1000, A280)&gt;0, "Completado", IF(M280&lt;&gt;"", M280, "Pendiente")))</f>
        <v>Completado</v>
      </c>
      <c r="G280" s="11">
        <f>IF(F280="Completado", IFERROR(IF(INDEX('Base Exámenes'!$D$5:$D$1000, MATCH(A280&amp;"|"&amp;J280, 'Base Exámenes'!$I$5:$I$1000, 0))="", "", INDEX('Base Exámenes'!$D$5:$D$1000, MATCH(A280&amp;"|"&amp;J280, 'Base Exámenes'!$I$5:$I$1000, 0))), ""), "")</f>
        <v>46309.40180555556</v>
      </c>
      <c r="H280" s="11">
        <f>IF(F280="Completado", IFERROR(IF(INDEX('Base Exámenes'!$E$5:$E$1000, MATCH(A280&amp;"|"&amp;J280, 'Base Exámenes'!$I$5:$I$1000, 0))="", "", INDEX('Base Exámenes'!$E$5:$E$1000, MATCH(A280&amp;"|"&amp;J280, 'Base Exámenes'!$I$5:$I$1000, 0))), ""), "")</f>
        <v>46309.404699074075</v>
      </c>
      <c r="I280" s="10">
        <f>IF(F280="Completado", IFERROR(IF(INDEX('Base Exámenes'!$F$5:$F$1000, MATCH(A280&amp;"|"&amp;J280, 'Base Exámenes'!$I$5:$I$1000, 0))="", "", INDEX('Base Exámenes'!$F$5:$F$1000, MATCH(A280&amp;"|"&amp;J280, 'Base Exámenes'!$I$5:$I$1000, 0))), ""), "")</f>
        <v>4.16666666666667</v>
      </c>
      <c r="J280" s="6">
        <f>IF(F280="Completado", IF(COUNTIFS('Base Exámenes'!$C$5:$C$1000, A280, 'Base Exámenes'!$G$5:$G$1000, "&lt;&gt;")=0, "", _xlfn.MAXIFS('Base Exámenes'!$G$5:$G$1000, 'Base Exámenes'!$C$5:$C$1000, A280)), "")</f>
        <v>100</v>
      </c>
      <c r="K280" s="6" t="str">
        <f>IF(F280="Completado", IFERROR(IF(INDEX('Base Exámenes'!$H$5:$H$1000, MATCH(A280&amp;"|"&amp;J280, 'Base Exámenes'!$I$5:$I$1000, 0))="", "", INDEX('Base Exámenes'!$H$5:$H$1000, MATCH(A280&amp;"|"&amp;J280, 'Base Exámenes'!$I$5:$I$1000, 0))), ""), "")</f>
        <v>anonymous</v>
      </c>
      <c r="L280" s="22">
        <f>IF($A280="","",COUNTIF('Base Exámenes'!$C$5:$C$1000, A280))</f>
        <v>1</v>
      </c>
      <c r="M280" s="6" t="str">
        <f>IF($A280="","",IF(COUNTIF('Base Exámenes'!$C$5:$C$1000, A280)&gt;0, "", TRIM('Base Oficial'!H280)))</f>
        <v/>
      </c>
    </row>
    <row r="281">
      <c r="A281" s="4" t="str">
        <f>IF('Base Oficial'!A281="","",TRIM('Base Oficial'!A281))</f>
        <v>456</v>
      </c>
      <c r="B281" s="6" t="str">
        <f>IF($A281="","",TRIM('Base Oficial'!B281))</f>
        <v>LUCIANO DE JESUS SARAVIA BELTRAN</v>
      </c>
      <c r="C281" s="6" t="str">
        <f>IF($A281="","",TRIM('Base Oficial'!F281))</f>
        <v>AGENCIA USULUTAN</v>
      </c>
      <c r="D281" s="6" t="str">
        <f>IF($A281="","",TRIM('Base Oficial'!G281))</f>
        <v>Gerencia de Negocios</v>
      </c>
      <c r="E281" s="6" t="str">
        <f>IF($A281="","",TRIM('Base Oficial'!D281))</f>
        <v>MENSAJERO</v>
      </c>
      <c r="F281" s="4" t="str">
        <f>IF($A281="","",IF(COUNTIF('Base Exámenes'!$C$5:$C$1000, A281)&gt;0, "Completado", IF(M281&lt;&gt;"", M281, "Pendiente")))</f>
        <v>Completado</v>
      </c>
      <c r="G281" s="11">
        <f>IF(F281="Completado", IFERROR(IF(INDEX('Base Exámenes'!$D$5:$D$1000, MATCH(A281&amp;"|"&amp;J281, 'Base Exámenes'!$I$5:$I$1000, 0))="", "", INDEX('Base Exámenes'!$D$5:$D$1000, MATCH(A281&amp;"|"&amp;J281, 'Base Exámenes'!$I$5:$I$1000, 0))), ""), "")</f>
        <v>46301.5078587963</v>
      </c>
      <c r="H281" s="11">
        <f>IF(F281="Completado", IFERROR(IF(INDEX('Base Exámenes'!$E$5:$E$1000, MATCH(A281&amp;"|"&amp;J281, 'Base Exámenes'!$I$5:$I$1000, 0))="", "", INDEX('Base Exámenes'!$E$5:$E$1000, MATCH(A281&amp;"|"&amp;J281, 'Base Exámenes'!$I$5:$I$1000, 0))), ""), "")</f>
        <v>46301.51369212963</v>
      </c>
      <c r="I281" s="10">
        <f>IF(F281="Completado", IFERROR(IF(INDEX('Base Exámenes'!$F$5:$F$1000, MATCH(A281&amp;"|"&amp;J281, 'Base Exámenes'!$I$5:$I$1000, 0))="", "", INDEX('Base Exámenes'!$F$5:$F$1000, MATCH(A281&amp;"|"&amp;J281, 'Base Exámenes'!$I$5:$I$1000, 0))), ""), "")</f>
        <v>8.4</v>
      </c>
      <c r="J281" s="6">
        <f>IF(F281="Completado", IF(COUNTIFS('Base Exámenes'!$C$5:$C$1000, A281, 'Base Exámenes'!$G$5:$G$1000, "&lt;&gt;")=0, "", _xlfn.MAXIFS('Base Exámenes'!$G$5:$G$1000, 'Base Exámenes'!$C$5:$C$1000, A281)), "")</f>
        <v>100</v>
      </c>
      <c r="K281" s="6" t="str">
        <f>IF(F281="Completado", IFERROR(IF(INDEX('Base Exámenes'!$H$5:$H$1000, MATCH(A281&amp;"|"&amp;J281, 'Base Exámenes'!$I$5:$I$1000, 0))="", "", INDEX('Base Exámenes'!$H$5:$H$1000, MATCH(A281&amp;"|"&amp;J281, 'Base Exámenes'!$I$5:$I$1000, 0))), ""), "")</f>
        <v>anonymous</v>
      </c>
      <c r="L281" s="22">
        <f>IF($A281="","",COUNTIF('Base Exámenes'!$C$5:$C$1000, A281))</f>
        <v>2</v>
      </c>
      <c r="M281" s="6" t="str">
        <f>IF($A281="","",IF(COUNTIF('Base Exámenes'!$C$5:$C$1000, A281)&gt;0, "", TRIM('Base Oficial'!H281)))</f>
        <v/>
      </c>
    </row>
    <row r="282">
      <c r="A282" s="4" t="str">
        <f>IF('Base Oficial'!A282="","",TRIM('Base Oficial'!A282))</f>
        <v>903</v>
      </c>
      <c r="B282" s="6" t="str">
        <f>IF($A282="","",TRIM('Base Oficial'!B282))</f>
        <v>WENDY YAMILETH MARQUEZ VASQUEZ</v>
      </c>
      <c r="C282" s="6" t="str">
        <f>IF($A282="","",TRIM('Base Oficial'!F282))</f>
        <v>AGENCIA USULUTAN</v>
      </c>
      <c r="D282" s="6" t="str">
        <f>IF($A282="","",TRIM('Base Oficial'!G282))</f>
        <v>Gerencia de Negocios</v>
      </c>
      <c r="E282" s="6" t="str">
        <f>IF($A282="","",TRIM('Base Oficial'!D282))</f>
        <v>JEFE DE AGENCIA</v>
      </c>
      <c r="F282" s="4" t="str">
        <f>IF($A282="","",IF(COUNTIF('Base Exámenes'!$C$5:$C$1000, A282)&gt;0, "Completado", IF(M282&lt;&gt;"", M282, "Pendiente")))</f>
        <v>Completado</v>
      </c>
      <c r="G282" s="11">
        <f>IF(F282="Completado", IFERROR(IF(INDEX('Base Exámenes'!$D$5:$D$1000, MATCH(A282&amp;"|"&amp;J282, 'Base Exámenes'!$I$5:$I$1000, 0))="", "", INDEX('Base Exámenes'!$D$5:$D$1000, MATCH(A282&amp;"|"&amp;J282, 'Base Exámenes'!$I$5:$I$1000, 0))), ""), "")</f>
        <v>46301.42581018519</v>
      </c>
      <c r="H282" s="11">
        <f>IF(F282="Completado", IFERROR(IF(INDEX('Base Exámenes'!$E$5:$E$1000, MATCH(A282&amp;"|"&amp;J282, 'Base Exámenes'!$I$5:$I$1000, 0))="", "", INDEX('Base Exámenes'!$E$5:$E$1000, MATCH(A282&amp;"|"&amp;J282, 'Base Exámenes'!$I$5:$I$1000, 0))), ""), "")</f>
        <v>46301.432337962964</v>
      </c>
      <c r="I282" s="10">
        <f>IF(F282="Completado", IFERROR(IF(INDEX('Base Exámenes'!$F$5:$F$1000, MATCH(A282&amp;"|"&amp;J282, 'Base Exámenes'!$I$5:$I$1000, 0))="", "", INDEX('Base Exámenes'!$F$5:$F$1000, MATCH(A282&amp;"|"&amp;J282, 'Base Exámenes'!$I$5:$I$1000, 0))), ""), "")</f>
        <v>9.4</v>
      </c>
      <c r="J282" s="6">
        <f>IF(F282="Completado", IF(COUNTIFS('Base Exámenes'!$C$5:$C$1000, A282, 'Base Exámenes'!$G$5:$G$1000, "&lt;&gt;")=0, "", _xlfn.MAXIFS('Base Exámenes'!$G$5:$G$1000, 'Base Exámenes'!$C$5:$C$1000, A282)), "")</f>
        <v>100</v>
      </c>
      <c r="K282" s="6" t="str">
        <f>IF(F282="Completado", IFERROR(IF(INDEX('Base Exámenes'!$H$5:$H$1000, MATCH(A282&amp;"|"&amp;J282, 'Base Exámenes'!$I$5:$I$1000, 0))="", "", INDEX('Base Exámenes'!$H$5:$H$1000, MATCH(A282&amp;"|"&amp;J282, 'Base Exámenes'!$I$5:$I$1000, 0))), ""), "")</f>
        <v>anonymous</v>
      </c>
      <c r="L282" s="22">
        <f>IF($A282="","",COUNTIF('Base Exámenes'!$C$5:$C$1000, A282))</f>
        <v>1</v>
      </c>
      <c r="M282" s="6" t="str">
        <f>IF($A282="","",IF(COUNTIF('Base Exámenes'!$C$5:$C$1000, A282)&gt;0, "", TRIM('Base Oficial'!H282)))</f>
        <v/>
      </c>
    </row>
    <row r="283">
      <c r="A283" s="4" t="str">
        <f>IF('Base Oficial'!A283="","",TRIM('Base Oficial'!A283))</f>
        <v>912</v>
      </c>
      <c r="B283" s="6" t="str">
        <f>IF($A283="","",TRIM('Base Oficial'!B283))</f>
        <v>HECTOR MAURICIO GONZÁLEZ VÁSQUEZ</v>
      </c>
      <c r="C283" s="6" t="str">
        <f>IF($A283="","",TRIM('Base Oficial'!F283))</f>
        <v>AGENCIA USULUTAN</v>
      </c>
      <c r="D283" s="6" t="str">
        <f>IF($A283="","",TRIM('Base Oficial'!G283))</f>
        <v>Gerencia de Negocios</v>
      </c>
      <c r="E283" s="6" t="str">
        <f>IF($A283="","",TRIM('Base Oficial'!D283))</f>
        <v>EJECUTIVO DE SEGUROS</v>
      </c>
      <c r="F283" s="4" t="str">
        <f>IF($A283="","",IF(COUNTIF('Base Exámenes'!$C$5:$C$1000, A283)&gt;0, "Completado", IF(M283&lt;&gt;"", M283, "Pendiente")))</f>
        <v>Completado</v>
      </c>
      <c r="G283" s="11">
        <f>IF(F283="Completado", IFERROR(IF(INDEX('Base Exámenes'!$D$5:$D$1000, MATCH(A283&amp;"|"&amp;J283, 'Base Exámenes'!$I$5:$I$1000, 0))="", "", INDEX('Base Exámenes'!$D$5:$D$1000, MATCH(A283&amp;"|"&amp;J283, 'Base Exámenes'!$I$5:$I$1000, 0))), ""), "")</f>
        <v>46303.45423611111</v>
      </c>
      <c r="H283" s="11">
        <f>IF(F283="Completado", IFERROR(IF(INDEX('Base Exámenes'!$E$5:$E$1000, MATCH(A283&amp;"|"&amp;J283, 'Base Exámenes'!$I$5:$I$1000, 0))="", "", INDEX('Base Exámenes'!$E$5:$E$1000, MATCH(A283&amp;"|"&amp;J283, 'Base Exámenes'!$I$5:$I$1000, 0))), ""), "")</f>
        <v>46303.45730324074</v>
      </c>
      <c r="I283" s="10">
        <f>IF(F283="Completado", IFERROR(IF(INDEX('Base Exámenes'!$F$5:$F$1000, MATCH(A283&amp;"|"&amp;J283, 'Base Exámenes'!$I$5:$I$1000, 0))="", "", INDEX('Base Exámenes'!$F$5:$F$1000, MATCH(A283&amp;"|"&amp;J283, 'Base Exámenes'!$I$5:$I$1000, 0))), ""), "")</f>
        <v>4.41666666666667</v>
      </c>
      <c r="J283" s="6">
        <f>IF(F283="Completado", IF(COUNTIFS('Base Exámenes'!$C$5:$C$1000, A283, 'Base Exámenes'!$G$5:$G$1000, "&lt;&gt;")=0, "", _xlfn.MAXIFS('Base Exámenes'!$G$5:$G$1000, 'Base Exámenes'!$C$5:$C$1000, A283)), "")</f>
        <v>100</v>
      </c>
      <c r="K283" s="6" t="str">
        <f>IF(F283="Completado", IFERROR(IF(INDEX('Base Exámenes'!$H$5:$H$1000, MATCH(A283&amp;"|"&amp;J283, 'Base Exámenes'!$I$5:$I$1000, 0))="", "", INDEX('Base Exámenes'!$H$5:$H$1000, MATCH(A283&amp;"|"&amp;J283, 'Base Exámenes'!$I$5:$I$1000, 0))), ""), "")</f>
        <v>anonymous</v>
      </c>
      <c r="L283" s="22">
        <f>IF($A283="","",COUNTIF('Base Exámenes'!$C$5:$C$1000, A283))</f>
        <v>1</v>
      </c>
      <c r="M283" s="6" t="str">
        <f>IF($A283="","",IF(COUNTIF('Base Exámenes'!$C$5:$C$1000, A283)&gt;0, "", TRIM('Base Oficial'!H283)))</f>
        <v/>
      </c>
    </row>
    <row r="284">
      <c r="A284" s="4" t="str">
        <f>IF('Base Oficial'!A284="","",TRIM('Base Oficial'!A284))</f>
        <v>917</v>
      </c>
      <c r="B284" s="6" t="str">
        <f>IF($A284="","",TRIM('Base Oficial'!B284))</f>
        <v>LUIS MANUEL VALENCIA GUERRERO</v>
      </c>
      <c r="C284" s="6" t="str">
        <f>IF($A284="","",TRIM('Base Oficial'!F284))</f>
        <v>AGENCIA USULUTAN</v>
      </c>
      <c r="D284" s="6" t="str">
        <f>IF($A284="","",TRIM('Base Oficial'!G284))</f>
        <v>Gerencia de Negocios</v>
      </c>
      <c r="E284" s="6" t="str">
        <f>IF($A284="","",TRIM('Base Oficial'!D284))</f>
        <v>SUBJEFE DE AGENCIA</v>
      </c>
      <c r="F284" s="4" t="str">
        <f>IF($A284="","",IF(COUNTIF('Base Exámenes'!$C$5:$C$1000, A284)&gt;0, "Completado", IF(M284&lt;&gt;"", M284, "Pendiente")))</f>
        <v>Completado</v>
      </c>
      <c r="G284" s="11">
        <f>IF(F284="Completado", IFERROR(IF(INDEX('Base Exámenes'!$D$5:$D$1000, MATCH(A284&amp;"|"&amp;J284, 'Base Exámenes'!$I$5:$I$1000, 0))="", "", INDEX('Base Exámenes'!$D$5:$D$1000, MATCH(A284&amp;"|"&amp;J284, 'Base Exámenes'!$I$5:$I$1000, 0))), ""), "")</f>
        <v>46309.36599537037</v>
      </c>
      <c r="H284" s="11">
        <f>IF(F284="Completado", IFERROR(IF(INDEX('Base Exámenes'!$E$5:$E$1000, MATCH(A284&amp;"|"&amp;J284, 'Base Exámenes'!$I$5:$I$1000, 0))="", "", INDEX('Base Exámenes'!$E$5:$E$1000, MATCH(A284&amp;"|"&amp;J284, 'Base Exámenes'!$I$5:$I$1000, 0))), ""), "")</f>
        <v>46309.4197337963</v>
      </c>
      <c r="I284" s="10">
        <f>IF(F284="Completado", IFERROR(IF(INDEX('Base Exámenes'!$F$5:$F$1000, MATCH(A284&amp;"|"&amp;J284, 'Base Exámenes'!$I$5:$I$1000, 0))="", "", INDEX('Base Exámenes'!$F$5:$F$1000, MATCH(A284&amp;"|"&amp;J284, 'Base Exámenes'!$I$5:$I$1000, 0))), ""), "")</f>
        <v>77.3833333333333</v>
      </c>
      <c r="J284" s="6">
        <f>IF(F284="Completado", IF(COUNTIFS('Base Exámenes'!$C$5:$C$1000, A284, 'Base Exámenes'!$G$5:$G$1000, "&lt;&gt;")=0, "", _xlfn.MAXIFS('Base Exámenes'!$G$5:$G$1000, 'Base Exámenes'!$C$5:$C$1000, A284)), "")</f>
        <v>100</v>
      </c>
      <c r="K284" s="6" t="str">
        <f>IF(F284="Completado", IFERROR(IF(INDEX('Base Exámenes'!$H$5:$H$1000, MATCH(A284&amp;"|"&amp;J284, 'Base Exámenes'!$I$5:$I$1000, 0))="", "", INDEX('Base Exámenes'!$H$5:$H$1000, MATCH(A284&amp;"|"&amp;J284, 'Base Exámenes'!$I$5:$I$1000, 0))), ""), "")</f>
        <v>anonymous</v>
      </c>
      <c r="L284" s="22">
        <f>IF($A284="","",COUNTIF('Base Exámenes'!$C$5:$C$1000, A284))</f>
        <v>1</v>
      </c>
      <c r="M284" s="6" t="str">
        <f>IF($A284="","",IF(COUNTIF('Base Exámenes'!$C$5:$C$1000, A284)&gt;0, "", TRIM('Base Oficial'!H284)))</f>
        <v/>
      </c>
    </row>
    <row r="285">
      <c r="A285" s="4" t="str">
        <f>IF('Base Oficial'!A285="","",TRIM('Base Oficial'!A285))</f>
        <v>951</v>
      </c>
      <c r="B285" s="6" t="str">
        <f>IF($A285="","",TRIM('Base Oficial'!B285))</f>
        <v>MELVIN ELISEO HERNANDEZ MACHADO</v>
      </c>
      <c r="C285" s="6" t="str">
        <f>IF($A285="","",TRIM('Base Oficial'!F285))</f>
        <v>AGENCIA USULUTAN</v>
      </c>
      <c r="D285" s="6" t="str">
        <f>IF($A285="","",TRIM('Base Oficial'!G285))</f>
        <v>Gerencia de Negocios</v>
      </c>
      <c r="E285" s="6" t="str">
        <f>IF($A285="","",TRIM('Base Oficial'!D285))</f>
        <v>EJECUTIVO DE NEGOCIOS</v>
      </c>
      <c r="F285" s="4" t="str">
        <f>IF($A285="","",IF(COUNTIF('Base Exámenes'!$C$5:$C$1000, A285)&gt;0, "Completado", IF(M285&lt;&gt;"", M285, "Pendiente")))</f>
        <v>Completado</v>
      </c>
      <c r="G285" s="11">
        <f>IF(F285="Completado", IFERROR(IF(INDEX('Base Exámenes'!$D$5:$D$1000, MATCH(A285&amp;"|"&amp;J285, 'Base Exámenes'!$I$5:$I$1000, 0))="", "", INDEX('Base Exámenes'!$D$5:$D$1000, MATCH(A285&amp;"|"&amp;J285, 'Base Exámenes'!$I$5:$I$1000, 0))), ""), "")</f>
        <v>46309.37678240741</v>
      </c>
      <c r="H285" s="11">
        <f>IF(F285="Completado", IFERROR(IF(INDEX('Base Exámenes'!$E$5:$E$1000, MATCH(A285&amp;"|"&amp;J285, 'Base Exámenes'!$I$5:$I$1000, 0))="", "", INDEX('Base Exámenes'!$E$5:$E$1000, MATCH(A285&amp;"|"&amp;J285, 'Base Exámenes'!$I$5:$I$1000, 0))), ""), "")</f>
        <v>46309.3825462963</v>
      </c>
      <c r="I285" s="10">
        <f>IF(F285="Completado", IFERROR(IF(INDEX('Base Exámenes'!$F$5:$F$1000, MATCH(A285&amp;"|"&amp;J285, 'Base Exámenes'!$I$5:$I$1000, 0))="", "", INDEX('Base Exámenes'!$F$5:$F$1000, MATCH(A285&amp;"|"&amp;J285, 'Base Exámenes'!$I$5:$I$1000, 0))), ""), "")</f>
        <v>8.3</v>
      </c>
      <c r="J285" s="6">
        <f>IF(F285="Completado", IF(COUNTIFS('Base Exámenes'!$C$5:$C$1000, A285, 'Base Exámenes'!$G$5:$G$1000, "&lt;&gt;")=0, "", _xlfn.MAXIFS('Base Exámenes'!$G$5:$G$1000, 'Base Exámenes'!$C$5:$C$1000, A285)), "")</f>
        <v>100</v>
      </c>
      <c r="K285" s="6" t="str">
        <f>IF(F285="Completado", IFERROR(IF(INDEX('Base Exámenes'!$H$5:$H$1000, MATCH(A285&amp;"|"&amp;J285, 'Base Exámenes'!$I$5:$I$1000, 0))="", "", INDEX('Base Exámenes'!$H$5:$H$1000, MATCH(A285&amp;"|"&amp;J285, 'Base Exámenes'!$I$5:$I$1000, 0))), ""), "")</f>
        <v>anonymous</v>
      </c>
      <c r="L285" s="22">
        <f>IF($A285="","",COUNTIF('Base Exámenes'!$C$5:$C$1000, A285))</f>
        <v>1</v>
      </c>
      <c r="M285" s="6" t="str">
        <f>IF($A285="","",IF(COUNTIF('Base Exámenes'!$C$5:$C$1000, A285)&gt;0, "", TRIM('Base Oficial'!H285)))</f>
        <v/>
      </c>
    </row>
    <row r="286">
      <c r="A286" s="4" t="str">
        <f>IF('Base Oficial'!A286="","",TRIM('Base Oficial'!A286))</f>
        <v>961</v>
      </c>
      <c r="B286" s="6" t="str">
        <f>IF($A286="","",TRIM('Base Oficial'!B286))</f>
        <v>FATIMA LISSETTE HERNANDEZ MEJIA</v>
      </c>
      <c r="C286" s="6" t="str">
        <f>IF($A286="","",TRIM('Base Oficial'!F286))</f>
        <v>AGENCIA USULUTAN</v>
      </c>
      <c r="D286" s="6" t="str">
        <f>IF($A286="","",TRIM('Base Oficial'!G286))</f>
        <v>Gerencia de Negocios</v>
      </c>
      <c r="E286" s="6" t="str">
        <f>IF($A286="","",TRIM('Base Oficial'!D286))</f>
        <v>CAJERO</v>
      </c>
      <c r="F286" s="4" t="str">
        <f>IF($A286="","",IF(COUNTIF('Base Exámenes'!$C$5:$C$1000, A286)&gt;0, "Completado", IF(M286&lt;&gt;"", M286, "Pendiente")))</f>
        <v>Completado</v>
      </c>
      <c r="G286" s="11">
        <f>IF(F286="Completado", IFERROR(IF(INDEX('Base Exámenes'!$D$5:$D$1000, MATCH(A286&amp;"|"&amp;J286, 'Base Exámenes'!$I$5:$I$1000, 0))="", "", INDEX('Base Exámenes'!$D$5:$D$1000, MATCH(A286&amp;"|"&amp;J286, 'Base Exámenes'!$I$5:$I$1000, 0))), ""), "")</f>
        <v>46303.53456018519</v>
      </c>
      <c r="H286" s="11">
        <f>IF(F286="Completado", IFERROR(IF(INDEX('Base Exámenes'!$E$5:$E$1000, MATCH(A286&amp;"|"&amp;J286, 'Base Exámenes'!$I$5:$I$1000, 0))="", "", INDEX('Base Exámenes'!$E$5:$E$1000, MATCH(A286&amp;"|"&amp;J286, 'Base Exámenes'!$I$5:$I$1000, 0))), ""), "")</f>
        <v>46303.544328703705</v>
      </c>
      <c r="I286" s="10">
        <f>IF(F286="Completado", IFERROR(IF(INDEX('Base Exámenes'!$F$5:$F$1000, MATCH(A286&amp;"|"&amp;J286, 'Base Exámenes'!$I$5:$I$1000, 0))="", "", INDEX('Base Exámenes'!$F$5:$F$1000, MATCH(A286&amp;"|"&amp;J286, 'Base Exámenes'!$I$5:$I$1000, 0))), ""), "")</f>
        <v>14.0666666666667</v>
      </c>
      <c r="J286" s="6">
        <f>IF(F286="Completado", IF(COUNTIFS('Base Exámenes'!$C$5:$C$1000, A286, 'Base Exámenes'!$G$5:$G$1000, "&lt;&gt;")=0, "", _xlfn.MAXIFS('Base Exámenes'!$G$5:$G$1000, 'Base Exámenes'!$C$5:$C$1000, A286)), "")</f>
        <v>100</v>
      </c>
      <c r="K286" s="6" t="str">
        <f>IF(F286="Completado", IFERROR(IF(INDEX('Base Exámenes'!$H$5:$H$1000, MATCH(A286&amp;"|"&amp;J286, 'Base Exámenes'!$I$5:$I$1000, 0))="", "", INDEX('Base Exámenes'!$H$5:$H$1000, MATCH(A286&amp;"|"&amp;J286, 'Base Exámenes'!$I$5:$I$1000, 0))), ""), "")</f>
        <v>anonymous</v>
      </c>
      <c r="L286" s="22">
        <f>IF($A286="","",COUNTIF('Base Exámenes'!$C$5:$C$1000, A286))</f>
        <v>1</v>
      </c>
      <c r="M286" s="6" t="str">
        <f>IF($A286="","",IF(COUNTIF('Base Exámenes'!$C$5:$C$1000, A286)&gt;0, "", TRIM('Base Oficial'!H286)))</f>
        <v/>
      </c>
    </row>
    <row r="287">
      <c r="A287" s="4" t="str">
        <f>IF('Base Oficial'!A287="","",TRIM('Base Oficial'!A287))</f>
        <v>970</v>
      </c>
      <c r="B287" s="6" t="str">
        <f>IF($A287="","",TRIM('Base Oficial'!B287))</f>
        <v>EDUARDO JOSE GAMEZ VILLATORO</v>
      </c>
      <c r="C287" s="6" t="str">
        <f>IF($A287="","",TRIM('Base Oficial'!F287))</f>
        <v>AGENCIA USULUTAN</v>
      </c>
      <c r="D287" s="6" t="str">
        <f>IF($A287="","",TRIM('Base Oficial'!G287))</f>
        <v>Gerencia de Negocios</v>
      </c>
      <c r="E287" s="6" t="str">
        <f>IF($A287="","",TRIM('Base Oficial'!D287))</f>
        <v>CAJERO</v>
      </c>
      <c r="F287" s="4" t="str">
        <f>IF($A287="","",IF(COUNTIF('Base Exámenes'!$C$5:$C$1000, A287)&gt;0, "Completado", IF(M287&lt;&gt;"", M287, "Pendiente")))</f>
        <v>Completado</v>
      </c>
      <c r="G287" s="11">
        <f>IF(F287="Completado", IFERROR(IF(INDEX('Base Exámenes'!$D$5:$D$1000, MATCH(A287&amp;"|"&amp;J287, 'Base Exámenes'!$I$5:$I$1000, 0))="", "", INDEX('Base Exámenes'!$D$5:$D$1000, MATCH(A287&amp;"|"&amp;J287, 'Base Exámenes'!$I$5:$I$1000, 0))), ""), "")</f>
        <v>46309.37417824074</v>
      </c>
      <c r="H287" s="11">
        <f>IF(F287="Completado", IFERROR(IF(INDEX('Base Exámenes'!$E$5:$E$1000, MATCH(A287&amp;"|"&amp;J287, 'Base Exámenes'!$I$5:$I$1000, 0))="", "", INDEX('Base Exámenes'!$E$5:$E$1000, MATCH(A287&amp;"|"&amp;J287, 'Base Exámenes'!$I$5:$I$1000, 0))), ""), "")</f>
        <v>46309.37625</v>
      </c>
      <c r="I287" s="10">
        <f>IF(F287="Completado", IFERROR(IF(INDEX('Base Exámenes'!$F$5:$F$1000, MATCH(A287&amp;"|"&amp;J287, 'Base Exámenes'!$I$5:$I$1000, 0))="", "", INDEX('Base Exámenes'!$F$5:$F$1000, MATCH(A287&amp;"|"&amp;J287, 'Base Exámenes'!$I$5:$I$1000, 0))), ""), "")</f>
        <v>2.98333333333333</v>
      </c>
      <c r="J287" s="6">
        <f>IF(F287="Completado", IF(COUNTIFS('Base Exámenes'!$C$5:$C$1000, A287, 'Base Exámenes'!$G$5:$G$1000, "&lt;&gt;")=0, "", _xlfn.MAXIFS('Base Exámenes'!$G$5:$G$1000, 'Base Exámenes'!$C$5:$C$1000, A287)), "")</f>
        <v>100</v>
      </c>
      <c r="K287" s="6" t="str">
        <f>IF(F287="Completado", IFERROR(IF(INDEX('Base Exámenes'!$H$5:$H$1000, MATCH(A287&amp;"|"&amp;J287, 'Base Exámenes'!$I$5:$I$1000, 0))="", "", INDEX('Base Exámenes'!$H$5:$H$1000, MATCH(A287&amp;"|"&amp;J287, 'Base Exámenes'!$I$5:$I$1000, 0))), ""), "")</f>
        <v>anonymous</v>
      </c>
      <c r="L287" s="22">
        <f>IF($A287="","",COUNTIF('Base Exámenes'!$C$5:$C$1000, A287))</f>
        <v>1</v>
      </c>
      <c r="M287" s="6" t="str">
        <f>IF($A287="","",IF(COUNTIF('Base Exámenes'!$C$5:$C$1000, A287)&gt;0, "", TRIM('Base Oficial'!H287)))</f>
        <v/>
      </c>
    </row>
    <row r="288">
      <c r="A288" s="4" t="str">
        <f>IF('Base Oficial'!A288="","",TRIM('Base Oficial'!A288))</f>
        <v>442</v>
      </c>
      <c r="B288" s="6" t="str">
        <f>IF($A288="","",TRIM('Base Oficial'!B288))</f>
        <v>JUAN JOSE CAÑAS COMAYAGUA</v>
      </c>
      <c r="C288" s="6" t="str">
        <f>IF($A288="","",TRIM('Base Oficial'!F288))</f>
        <v>DEPARTAMENTO LEGAL</v>
      </c>
      <c r="D288" s="6" t="str">
        <f>IF($A288="","",TRIM('Base Oficial'!G288))</f>
        <v>Gerencia Legal y Cumplimiento Normativo</v>
      </c>
      <c r="E288" s="6" t="str">
        <f>IF($A288="","",TRIM('Base Oficial'!D288))</f>
        <v>JEFE DE DEPARTAMENTO LEGAL</v>
      </c>
      <c r="F288" s="4" t="str">
        <f>IF($A288="","",IF(COUNTIF('Base Exámenes'!$C$5:$C$1000, A288)&gt;0, "Completado", IF(M288&lt;&gt;"", M288, "Pendiente")))</f>
        <v>Completado</v>
      </c>
      <c r="G288" s="11">
        <f>IF(F288="Completado", IFERROR(IF(INDEX('Base Exámenes'!$D$5:$D$1000, MATCH(A288&amp;"|"&amp;J288, 'Base Exámenes'!$I$5:$I$1000, 0))="", "", INDEX('Base Exámenes'!$D$5:$D$1000, MATCH(A288&amp;"|"&amp;J288, 'Base Exámenes'!$I$5:$I$1000, 0))), ""), "")</f>
        <v>46306.59994212963</v>
      </c>
      <c r="H288" s="11">
        <f>IF(F288="Completado", IFERROR(IF(INDEX('Base Exámenes'!$E$5:$E$1000, MATCH(A288&amp;"|"&amp;J288, 'Base Exámenes'!$I$5:$I$1000, 0))="", "", INDEX('Base Exámenes'!$E$5:$E$1000, MATCH(A288&amp;"|"&amp;J288, 'Base Exámenes'!$I$5:$I$1000, 0))), ""), "")</f>
        <v>46306.60649305556</v>
      </c>
      <c r="I288" s="10">
        <f>IF(F288="Completado", IFERROR(IF(INDEX('Base Exámenes'!$F$5:$F$1000, MATCH(A288&amp;"|"&amp;J288, 'Base Exámenes'!$I$5:$I$1000, 0))="", "", INDEX('Base Exámenes'!$F$5:$F$1000, MATCH(A288&amp;"|"&amp;J288, 'Base Exámenes'!$I$5:$I$1000, 0))), ""), "")</f>
        <v>9.43333333333333</v>
      </c>
      <c r="J288" s="6">
        <f>IF(F288="Completado", IF(COUNTIFS('Base Exámenes'!$C$5:$C$1000, A288, 'Base Exámenes'!$G$5:$G$1000, "&lt;&gt;")=0, "", _xlfn.MAXIFS('Base Exámenes'!$G$5:$G$1000, 'Base Exámenes'!$C$5:$C$1000, A288)), "")</f>
        <v>100</v>
      </c>
      <c r="K288" s="6" t="str">
        <f>IF(F288="Completado", IFERROR(IF(INDEX('Base Exámenes'!$H$5:$H$1000, MATCH(A288&amp;"|"&amp;J288, 'Base Exámenes'!$I$5:$I$1000, 0))="", "", INDEX('Base Exámenes'!$H$5:$H$1000, MATCH(A288&amp;"|"&amp;J288, 'Base Exámenes'!$I$5:$I$1000, 0))), ""), "")</f>
        <v>anonymous</v>
      </c>
      <c r="L288" s="22">
        <f>IF($A288="","",COUNTIF('Base Exámenes'!$C$5:$C$1000, A288))</f>
        <v>1</v>
      </c>
      <c r="M288" s="6" t="str">
        <f>IF($A288="","",IF(COUNTIF('Base Exámenes'!$C$5:$C$1000, A288)&gt;0, "", TRIM('Base Oficial'!H288)))</f>
        <v/>
      </c>
    </row>
    <row r="289">
      <c r="A289" s="4" t="str">
        <f>IF('Base Oficial'!A289="","",TRIM('Base Oficial'!A289))</f>
        <v>592</v>
      </c>
      <c r="B289" s="6" t="str">
        <f>IF($A289="","",TRIM('Base Oficial'!B289))</f>
        <v>CARLOS RENE CASTILLO GAMEZ</v>
      </c>
      <c r="C289" s="6" t="str">
        <f>IF($A289="","",TRIM('Base Oficial'!F289))</f>
        <v>DEPARTAMENTO LEGAL</v>
      </c>
      <c r="D289" s="6" t="str">
        <f>IF($A289="","",TRIM('Base Oficial'!G289))</f>
        <v>Gerencia Legal y Cumplimiento Normativo</v>
      </c>
      <c r="E289" s="6" t="str">
        <f>IF($A289="","",TRIM('Base Oficial'!D289))</f>
        <v>ASISTENTE TECNICO LEGAL</v>
      </c>
      <c r="F289" s="4" t="str">
        <f>IF($A289="","",IF(COUNTIF('Base Exámenes'!$C$5:$C$1000, A289)&gt;0, "Completado", IF(M289&lt;&gt;"", M289, "Pendiente")))</f>
        <v>Completado</v>
      </c>
      <c r="G289" s="11">
        <f>IF(F289="Completado", IFERROR(IF(INDEX('Base Exámenes'!$D$5:$D$1000, MATCH(A289&amp;"|"&amp;J289, 'Base Exámenes'!$I$5:$I$1000, 0))="", "", INDEX('Base Exámenes'!$D$5:$D$1000, MATCH(A289&amp;"|"&amp;J289, 'Base Exámenes'!$I$5:$I$1000, 0))), ""), "")</f>
        <v>46308.6159837963</v>
      </c>
      <c r="H289" s="11">
        <f>IF(F289="Completado", IFERROR(IF(INDEX('Base Exámenes'!$E$5:$E$1000, MATCH(A289&amp;"|"&amp;J289, 'Base Exámenes'!$I$5:$I$1000, 0))="", "", INDEX('Base Exámenes'!$E$5:$E$1000, MATCH(A289&amp;"|"&amp;J289, 'Base Exámenes'!$I$5:$I$1000, 0))), ""), "")</f>
        <v>46308.62107638889</v>
      </c>
      <c r="I289" s="10">
        <f>IF(F289="Completado", IFERROR(IF(INDEX('Base Exámenes'!$F$5:$F$1000, MATCH(A289&amp;"|"&amp;J289, 'Base Exámenes'!$I$5:$I$1000, 0))="", "", INDEX('Base Exámenes'!$F$5:$F$1000, MATCH(A289&amp;"|"&amp;J289, 'Base Exámenes'!$I$5:$I$1000, 0))), ""), "")</f>
        <v>7.33333333333333</v>
      </c>
      <c r="J289" s="6">
        <f>IF(F289="Completado", IF(COUNTIFS('Base Exámenes'!$C$5:$C$1000, A289, 'Base Exámenes'!$G$5:$G$1000, "&lt;&gt;")=0, "", _xlfn.MAXIFS('Base Exámenes'!$G$5:$G$1000, 'Base Exámenes'!$C$5:$C$1000, A289)), "")</f>
        <v>100</v>
      </c>
      <c r="K289" s="6" t="str">
        <f>IF(F289="Completado", IFERROR(IF(INDEX('Base Exámenes'!$H$5:$H$1000, MATCH(A289&amp;"|"&amp;J289, 'Base Exámenes'!$I$5:$I$1000, 0))="", "", INDEX('Base Exámenes'!$H$5:$H$1000, MATCH(A289&amp;"|"&amp;J289, 'Base Exámenes'!$I$5:$I$1000, 0))), ""), "")</f>
        <v>anonymous</v>
      </c>
      <c r="L289" s="22">
        <f>IF($A289="","",COUNTIF('Base Exámenes'!$C$5:$C$1000, A289))</f>
        <v>1</v>
      </c>
      <c r="M289" s="6" t="str">
        <f>IF($A289="","",IF(COUNTIF('Base Exámenes'!$C$5:$C$1000, A289)&gt;0, "", TRIM('Base Oficial'!H289)))</f>
        <v/>
      </c>
    </row>
    <row r="290">
      <c r="A290" s="4" t="str">
        <f>IF('Base Oficial'!A290="","",TRIM('Base Oficial'!A290))</f>
        <v>814</v>
      </c>
      <c r="B290" s="6" t="str">
        <f>IF($A290="","",TRIM('Base Oficial'!B290))</f>
        <v>ANDREA RAQUEL MONTOYA ALARCON</v>
      </c>
      <c r="C290" s="6" t="str">
        <f>IF($A290="","",TRIM('Base Oficial'!F290))</f>
        <v>DEPARTAMENTO LEGAL</v>
      </c>
      <c r="D290" s="6" t="str">
        <f>IF($A290="","",TRIM('Base Oficial'!G290))</f>
        <v>Gerencia Legal y Cumplimiento Normativo</v>
      </c>
      <c r="E290" s="6" t="str">
        <f>IF($A290="","",TRIM('Base Oficial'!D290))</f>
        <v>AUXILIAR JURIDICO DE ESCRITURACION</v>
      </c>
      <c r="F290" s="4" t="str">
        <f>IF($A290="","",IF(COUNTIF('Base Exámenes'!$C$5:$C$1000, A290)&gt;0, "Completado", IF(M290&lt;&gt;"", M290, "Pendiente")))</f>
        <v>Completado</v>
      </c>
      <c r="G290" s="11">
        <f>IF(F290="Completado", IFERROR(IF(INDEX('Base Exámenes'!$D$5:$D$1000, MATCH(A290&amp;"|"&amp;J290, 'Base Exámenes'!$I$5:$I$1000, 0))="", "", INDEX('Base Exámenes'!$D$5:$D$1000, MATCH(A290&amp;"|"&amp;J290, 'Base Exámenes'!$I$5:$I$1000, 0))), ""), "")</f>
        <v>46307.41289351852</v>
      </c>
      <c r="H290" s="11">
        <f>IF(F290="Completado", IFERROR(IF(INDEX('Base Exámenes'!$E$5:$E$1000, MATCH(A290&amp;"|"&amp;J290, 'Base Exámenes'!$I$5:$I$1000, 0))="", "", INDEX('Base Exámenes'!$E$5:$E$1000, MATCH(A290&amp;"|"&amp;J290, 'Base Exámenes'!$I$5:$I$1000, 0))), ""), "")</f>
        <v>46307.421319444446</v>
      </c>
      <c r="I290" s="10">
        <f>IF(F290="Completado", IFERROR(IF(INDEX('Base Exámenes'!$F$5:$F$1000, MATCH(A290&amp;"|"&amp;J290, 'Base Exámenes'!$I$5:$I$1000, 0))="", "", INDEX('Base Exámenes'!$F$5:$F$1000, MATCH(A290&amp;"|"&amp;J290, 'Base Exámenes'!$I$5:$I$1000, 0))), ""), "")</f>
        <v>12.1333333333333</v>
      </c>
      <c r="J290" s="6">
        <f>IF(F290="Completado", IF(COUNTIFS('Base Exámenes'!$C$5:$C$1000, A290, 'Base Exámenes'!$G$5:$G$1000, "&lt;&gt;")=0, "", _xlfn.MAXIFS('Base Exámenes'!$G$5:$G$1000, 'Base Exámenes'!$C$5:$C$1000, A290)), "")</f>
        <v>100</v>
      </c>
      <c r="K290" s="6" t="str">
        <f>IF(F290="Completado", IFERROR(IF(INDEX('Base Exámenes'!$H$5:$H$1000, MATCH(A290&amp;"|"&amp;J290, 'Base Exámenes'!$I$5:$I$1000, 0))="", "", INDEX('Base Exámenes'!$H$5:$H$1000, MATCH(A290&amp;"|"&amp;J290, 'Base Exámenes'!$I$5:$I$1000, 0))), ""), "")</f>
        <v>anonymous</v>
      </c>
      <c r="L290" s="22">
        <f>IF($A290="","",COUNTIF('Base Exámenes'!$C$5:$C$1000, A290))</f>
        <v>1</v>
      </c>
      <c r="M290" s="6" t="str">
        <f>IF($A290="","",IF(COUNTIF('Base Exámenes'!$C$5:$C$1000, A290)&gt;0, "", TRIM('Base Oficial'!H290)))</f>
        <v/>
      </c>
    </row>
    <row r="291">
      <c r="A291" s="4" t="str">
        <f>IF('Base Oficial'!A291="","",TRIM('Base Oficial'!A291))</f>
        <v>831</v>
      </c>
      <c r="B291" s="6" t="str">
        <f>IF($A291="","",TRIM('Base Oficial'!B291))</f>
        <v>NICOLLE ALEXANDRA MARINERO GALLARDO</v>
      </c>
      <c r="C291" s="6" t="str">
        <f>IF($A291="","",TRIM('Base Oficial'!F291))</f>
        <v>DEPARTAMENTO LEGAL</v>
      </c>
      <c r="D291" s="6" t="str">
        <f>IF($A291="","",TRIM('Base Oficial'!G291))</f>
        <v>Gerencia Legal y Cumplimiento Normativo</v>
      </c>
      <c r="E291" s="6" t="str">
        <f>IF($A291="","",TRIM('Base Oficial'!D291))</f>
        <v>AUXILIAR JURIDICO NOTARIAL</v>
      </c>
      <c r="F291" s="4" t="str">
        <f>IF($A291="","",IF(COUNTIF('Base Exámenes'!$C$5:$C$1000, A291)&gt;0, "Completado", IF(M291&lt;&gt;"", M291, "Pendiente")))</f>
        <v>Completado</v>
      </c>
      <c r="G291" s="11">
        <f>IF(F291="Completado", IFERROR(IF(INDEX('Base Exámenes'!$D$5:$D$1000, MATCH(A291&amp;"|"&amp;J291, 'Base Exámenes'!$I$5:$I$1000, 0))="", "", INDEX('Base Exámenes'!$D$5:$D$1000, MATCH(A291&amp;"|"&amp;J291, 'Base Exámenes'!$I$5:$I$1000, 0))), ""), "")</f>
        <v>46307.40994212963</v>
      </c>
      <c r="H291" s="11">
        <f>IF(F291="Completado", IFERROR(IF(INDEX('Base Exámenes'!$E$5:$E$1000, MATCH(A291&amp;"|"&amp;J291, 'Base Exámenes'!$I$5:$I$1000, 0))="", "", INDEX('Base Exámenes'!$E$5:$E$1000, MATCH(A291&amp;"|"&amp;J291, 'Base Exámenes'!$I$5:$I$1000, 0))), ""), "")</f>
        <v>46307.4125462963</v>
      </c>
      <c r="I291" s="10">
        <f>IF(F291="Completado", IFERROR(IF(INDEX('Base Exámenes'!$F$5:$F$1000, MATCH(A291&amp;"|"&amp;J291, 'Base Exámenes'!$I$5:$I$1000, 0))="", "", INDEX('Base Exámenes'!$F$5:$F$1000, MATCH(A291&amp;"|"&amp;J291, 'Base Exámenes'!$I$5:$I$1000, 0))), ""), "")</f>
        <v>3.75</v>
      </c>
      <c r="J291" s="6">
        <f>IF(F291="Completado", IF(COUNTIFS('Base Exámenes'!$C$5:$C$1000, A291, 'Base Exámenes'!$G$5:$G$1000, "&lt;&gt;")=0, "", _xlfn.MAXIFS('Base Exámenes'!$G$5:$G$1000, 'Base Exámenes'!$C$5:$C$1000, A291)), "")</f>
        <v>90</v>
      </c>
      <c r="K291" s="6" t="str">
        <f>IF(F291="Completado", IFERROR(IF(INDEX('Base Exámenes'!$H$5:$H$1000, MATCH(A291&amp;"|"&amp;J291, 'Base Exámenes'!$I$5:$I$1000, 0))="", "", INDEX('Base Exámenes'!$H$5:$H$1000, MATCH(A291&amp;"|"&amp;J291, 'Base Exámenes'!$I$5:$I$1000, 0))), ""), "")</f>
        <v>anonymous</v>
      </c>
      <c r="L291" s="22">
        <f>IF($A291="","",COUNTIF('Base Exámenes'!$C$5:$C$1000, A291))</f>
        <v>1</v>
      </c>
      <c r="M291" s="6" t="str">
        <f>IF($A291="","",IF(COUNTIF('Base Exámenes'!$C$5:$C$1000, A291)&gt;0, "", TRIM('Base Oficial'!H291)))</f>
        <v/>
      </c>
    </row>
    <row r="292">
      <c r="A292" s="4" t="str">
        <f>IF('Base Oficial'!A292="","",TRIM('Base Oficial'!A292))</f>
        <v>843</v>
      </c>
      <c r="B292" s="6" t="str">
        <f>IF($A292="","",TRIM('Base Oficial'!B292))</f>
        <v>DANIELA MARIA FUENTES MEDINA</v>
      </c>
      <c r="C292" s="6" t="str">
        <f>IF($A292="","",TRIM('Base Oficial'!F292))</f>
        <v>DEPARTAMENTO LEGAL</v>
      </c>
      <c r="D292" s="6" t="str">
        <f>IF($A292="","",TRIM('Base Oficial'!G292))</f>
        <v>Gerencia Legal y Cumplimiento Normativo</v>
      </c>
      <c r="E292" s="6" t="str">
        <f>IF($A292="","",TRIM('Base Oficial'!D292))</f>
        <v>AUXILIAR JURIDICO DE CONTRATACION</v>
      </c>
      <c r="F292" s="4" t="str">
        <f>IF($A292="","",IF(COUNTIF('Base Exámenes'!$C$5:$C$1000, A292)&gt;0, "Completado", IF(M292&lt;&gt;"", M292, "Pendiente")))</f>
        <v>Completado</v>
      </c>
      <c r="G292" s="11">
        <f>IF(F292="Completado", IFERROR(IF(INDEX('Base Exámenes'!$D$5:$D$1000, MATCH(A292&amp;"|"&amp;J292, 'Base Exámenes'!$I$5:$I$1000, 0))="", "", INDEX('Base Exámenes'!$D$5:$D$1000, MATCH(A292&amp;"|"&amp;J292, 'Base Exámenes'!$I$5:$I$1000, 0))), ""), "")</f>
        <v>46307.39090277778</v>
      </c>
      <c r="H292" s="11">
        <f>IF(F292="Completado", IFERROR(IF(INDEX('Base Exámenes'!$E$5:$E$1000, MATCH(A292&amp;"|"&amp;J292, 'Base Exámenes'!$I$5:$I$1000, 0))="", "", INDEX('Base Exámenes'!$E$5:$E$1000, MATCH(A292&amp;"|"&amp;J292, 'Base Exámenes'!$I$5:$I$1000, 0))), ""), "")</f>
        <v>46307.39480324074</v>
      </c>
      <c r="I292" s="10">
        <f>IF(F292="Completado", IFERROR(IF(INDEX('Base Exámenes'!$F$5:$F$1000, MATCH(A292&amp;"|"&amp;J292, 'Base Exámenes'!$I$5:$I$1000, 0))="", "", INDEX('Base Exámenes'!$F$5:$F$1000, MATCH(A292&amp;"|"&amp;J292, 'Base Exámenes'!$I$5:$I$1000, 0))), ""), "")</f>
        <v>5.61666666666667</v>
      </c>
      <c r="J292" s="6">
        <f>IF(F292="Completado", IF(COUNTIFS('Base Exámenes'!$C$5:$C$1000, A292, 'Base Exámenes'!$G$5:$G$1000, "&lt;&gt;")=0, "", _xlfn.MAXIFS('Base Exámenes'!$G$5:$G$1000, 'Base Exámenes'!$C$5:$C$1000, A292)), "")</f>
        <v>100</v>
      </c>
      <c r="K292" s="6" t="str">
        <f>IF(F292="Completado", IFERROR(IF(INDEX('Base Exámenes'!$H$5:$H$1000, MATCH(A292&amp;"|"&amp;J292, 'Base Exámenes'!$I$5:$I$1000, 0))="", "", INDEX('Base Exámenes'!$H$5:$H$1000, MATCH(A292&amp;"|"&amp;J292, 'Base Exámenes'!$I$5:$I$1000, 0))), ""), "")</f>
        <v>anonymous</v>
      </c>
      <c r="L292" s="22">
        <f>IF($A292="","",COUNTIF('Base Exámenes'!$C$5:$C$1000, A292))</f>
        <v>1</v>
      </c>
      <c r="M292" s="6" t="str">
        <f>IF($A292="","",IF(COUNTIF('Base Exámenes'!$C$5:$C$1000, A292)&gt;0, "", TRIM('Base Oficial'!H292)))</f>
        <v/>
      </c>
    </row>
    <row r="293">
      <c r="A293" s="4" t="str">
        <f>IF('Base Oficial'!A293="","",TRIM('Base Oficial'!A293))</f>
        <v>893</v>
      </c>
      <c r="B293" s="6" t="str">
        <f>IF($A293="","",TRIM('Base Oficial'!B293))</f>
        <v>ALEJANDRA MARIA GONZALEZ BENAVIDES</v>
      </c>
      <c r="C293" s="6" t="str">
        <f>IF($A293="","",TRIM('Base Oficial'!F293))</f>
        <v>DEPARTAMENTO LEGAL</v>
      </c>
      <c r="D293" s="6" t="str">
        <f>IF($A293="","",TRIM('Base Oficial'!G293))</f>
        <v>Gerencia Legal y Cumplimiento Normativo</v>
      </c>
      <c r="E293" s="6" t="str">
        <f>IF($A293="","",TRIM('Base Oficial'!D293))</f>
        <v>AUXILIAR JURIDICO JUDICIAL</v>
      </c>
      <c r="F293" s="4" t="str">
        <f>IF($A293="","",IF(COUNTIF('Base Exámenes'!$C$5:$C$1000, A293)&gt;0, "Completado", IF(M293&lt;&gt;"", M293, "Pendiente")))</f>
        <v>Completado</v>
      </c>
      <c r="G293" s="11">
        <f>IF(F293="Completado", IFERROR(IF(INDEX('Base Exámenes'!$D$5:$D$1000, MATCH(A293&amp;"|"&amp;J293, 'Base Exámenes'!$I$5:$I$1000, 0))="", "", INDEX('Base Exámenes'!$D$5:$D$1000, MATCH(A293&amp;"|"&amp;J293, 'Base Exámenes'!$I$5:$I$1000, 0))), ""), "")</f>
        <v>46304.695972222224</v>
      </c>
      <c r="H293" s="11">
        <f>IF(F293="Completado", IFERROR(IF(INDEX('Base Exámenes'!$E$5:$E$1000, MATCH(A293&amp;"|"&amp;J293, 'Base Exámenes'!$I$5:$I$1000, 0))="", "", INDEX('Base Exámenes'!$E$5:$E$1000, MATCH(A293&amp;"|"&amp;J293, 'Base Exámenes'!$I$5:$I$1000, 0))), ""), "")</f>
        <v>46304.703680555554</v>
      </c>
      <c r="I293" s="10">
        <f>IF(F293="Completado", IFERROR(IF(INDEX('Base Exámenes'!$F$5:$F$1000, MATCH(A293&amp;"|"&amp;J293, 'Base Exámenes'!$I$5:$I$1000, 0))="", "", INDEX('Base Exámenes'!$F$5:$F$1000, MATCH(A293&amp;"|"&amp;J293, 'Base Exámenes'!$I$5:$I$1000, 0))), ""), "")</f>
        <v>11.1</v>
      </c>
      <c r="J293" s="6">
        <f>IF(F293="Completado", IF(COUNTIFS('Base Exámenes'!$C$5:$C$1000, A293, 'Base Exámenes'!$G$5:$G$1000, "&lt;&gt;")=0, "", _xlfn.MAXIFS('Base Exámenes'!$G$5:$G$1000, 'Base Exámenes'!$C$5:$C$1000, A293)), "")</f>
        <v>100</v>
      </c>
      <c r="K293" s="6" t="str">
        <f>IF(F293="Completado", IFERROR(IF(INDEX('Base Exámenes'!$H$5:$H$1000, MATCH(A293&amp;"|"&amp;J293, 'Base Exámenes'!$I$5:$I$1000, 0))="", "", INDEX('Base Exámenes'!$H$5:$H$1000, MATCH(A293&amp;"|"&amp;J293, 'Base Exámenes'!$I$5:$I$1000, 0))), ""), "")</f>
        <v>anonymous</v>
      </c>
      <c r="L293" s="22">
        <f>IF($A293="","",COUNTIF('Base Exámenes'!$C$5:$C$1000, A293))</f>
        <v>1</v>
      </c>
      <c r="M293" s="6" t="str">
        <f>IF($A293="","",IF(COUNTIF('Base Exámenes'!$C$5:$C$1000, A293)&gt;0, "", TRIM('Base Oficial'!H293)))</f>
        <v/>
      </c>
    </row>
    <row r="294">
      <c r="A294" s="4" t="str">
        <f>IF('Base Oficial'!A294="","",TRIM('Base Oficial'!A294))</f>
        <v>905</v>
      </c>
      <c r="B294" s="6" t="str">
        <f>IF($A294="","",TRIM('Base Oficial'!B294))</f>
        <v>CHRISTIAN ENRIQUE CAMPOS PRIVADO</v>
      </c>
      <c r="C294" s="6" t="str">
        <f>IF($A294="","",TRIM('Base Oficial'!F294))</f>
        <v>DEPARTAMENTO LEGAL</v>
      </c>
      <c r="D294" s="6" t="str">
        <f>IF($A294="","",TRIM('Base Oficial'!G294))</f>
        <v>Gerencia Legal y Cumplimiento Normativo</v>
      </c>
      <c r="E294" s="6" t="str">
        <f>IF($A294="","",TRIM('Base Oficial'!D294))</f>
        <v>ASISTENTE TECNICO LEGAL</v>
      </c>
      <c r="F294" s="4" t="str">
        <f>IF($A294="","",IF(COUNTIF('Base Exámenes'!$C$5:$C$1000, A294)&gt;0, "Completado", IF(M294&lt;&gt;"", M294, "Pendiente")))</f>
        <v>Completado</v>
      </c>
      <c r="G294" s="11">
        <f>IF(F294="Completado", IFERROR(IF(INDEX('Base Exámenes'!$D$5:$D$1000, MATCH(A294&amp;"|"&amp;J294, 'Base Exámenes'!$I$5:$I$1000, 0))="", "", INDEX('Base Exámenes'!$D$5:$D$1000, MATCH(A294&amp;"|"&amp;J294, 'Base Exámenes'!$I$5:$I$1000, 0))), ""), "")</f>
        <v>46307.60627314815</v>
      </c>
      <c r="H294" s="11">
        <f>IF(F294="Completado", IFERROR(IF(INDEX('Base Exámenes'!$E$5:$E$1000, MATCH(A294&amp;"|"&amp;J294, 'Base Exámenes'!$I$5:$I$1000, 0))="", "", INDEX('Base Exámenes'!$E$5:$E$1000, MATCH(A294&amp;"|"&amp;J294, 'Base Exámenes'!$I$5:$I$1000, 0))), ""), "")</f>
        <v>46307.645</v>
      </c>
      <c r="I294" s="10">
        <f>IF(F294="Completado", IFERROR(IF(INDEX('Base Exámenes'!$F$5:$F$1000, MATCH(A294&amp;"|"&amp;J294, 'Base Exámenes'!$I$5:$I$1000, 0))="", "", INDEX('Base Exámenes'!$F$5:$F$1000, MATCH(A294&amp;"|"&amp;J294, 'Base Exámenes'!$I$5:$I$1000, 0))), ""), "")</f>
        <v>55.7666666666667</v>
      </c>
      <c r="J294" s="6">
        <f>IF(F294="Completado", IF(COUNTIFS('Base Exámenes'!$C$5:$C$1000, A294, 'Base Exámenes'!$G$5:$G$1000, "&lt;&gt;")=0, "", _xlfn.MAXIFS('Base Exámenes'!$G$5:$G$1000, 'Base Exámenes'!$C$5:$C$1000, A294)), "")</f>
        <v>100</v>
      </c>
      <c r="K294" s="6" t="str">
        <f>IF(F294="Completado", IFERROR(IF(INDEX('Base Exámenes'!$H$5:$H$1000, MATCH(A294&amp;"|"&amp;J294, 'Base Exámenes'!$I$5:$I$1000, 0))="", "", INDEX('Base Exámenes'!$H$5:$H$1000, MATCH(A294&amp;"|"&amp;J294, 'Base Exámenes'!$I$5:$I$1000, 0))), ""), "")</f>
        <v>anonymous</v>
      </c>
      <c r="L294" s="22">
        <f>IF($A294="","",COUNTIF('Base Exámenes'!$C$5:$C$1000, A294))</f>
        <v>1</v>
      </c>
      <c r="M294" s="6" t="str">
        <f>IF($A294="","",IF(COUNTIF('Base Exámenes'!$C$5:$C$1000, A294)&gt;0, "", TRIM('Base Oficial'!H294)))</f>
        <v/>
      </c>
    </row>
    <row r="295">
      <c r="A295" s="4" t="str">
        <f>IF('Base Oficial'!A295="","",TRIM('Base Oficial'!A295))</f>
        <v>929</v>
      </c>
      <c r="B295" s="6" t="str">
        <f>IF($A295="","",TRIM('Base Oficial'!B295))</f>
        <v>GABRIELA LOURDES AREVALO SANCHEZ</v>
      </c>
      <c r="C295" s="6" t="str">
        <f>IF($A295="","",TRIM('Base Oficial'!F295))</f>
        <v>DEPARTAMENTO LEGAL</v>
      </c>
      <c r="D295" s="6" t="str">
        <f>IF($A295="","",TRIM('Base Oficial'!G295))</f>
        <v>Gerencia Legal y Cumplimiento Normativo</v>
      </c>
      <c r="E295" s="6" t="str">
        <f>IF($A295="","",TRIM('Base Oficial'!D295))</f>
        <v>AUXILIAR JURIDICO DE CONTRATACION</v>
      </c>
      <c r="F295" s="4" t="str">
        <f>IF($A295="","",IF(COUNTIF('Base Exámenes'!$C$5:$C$1000, A295)&gt;0, "Completado", IF(M295&lt;&gt;"", M295, "Pendiente")))</f>
        <v>Completado</v>
      </c>
      <c r="G295" s="11">
        <f>IF(F295="Completado", IFERROR(IF(INDEX('Base Exámenes'!$D$5:$D$1000, MATCH(A295&amp;"|"&amp;J295, 'Base Exámenes'!$I$5:$I$1000, 0))="", "", INDEX('Base Exámenes'!$D$5:$D$1000, MATCH(A295&amp;"|"&amp;J295, 'Base Exámenes'!$I$5:$I$1000, 0))), ""), "")</f>
        <v>46300.62287037037</v>
      </c>
      <c r="H295" s="11">
        <f>IF(F295="Completado", IFERROR(IF(INDEX('Base Exámenes'!$E$5:$E$1000, MATCH(A295&amp;"|"&amp;J295, 'Base Exámenes'!$I$5:$I$1000, 0))="", "", INDEX('Base Exámenes'!$E$5:$E$1000, MATCH(A295&amp;"|"&amp;J295, 'Base Exámenes'!$I$5:$I$1000, 0))), ""), "")</f>
        <v>46300.628483796296</v>
      </c>
      <c r="I295" s="10">
        <f>IF(F295="Completado", IFERROR(IF(INDEX('Base Exámenes'!$F$5:$F$1000, MATCH(A295&amp;"|"&amp;J295, 'Base Exámenes'!$I$5:$I$1000, 0))="", "", INDEX('Base Exámenes'!$F$5:$F$1000, MATCH(A295&amp;"|"&amp;J295, 'Base Exámenes'!$I$5:$I$1000, 0))), ""), "")</f>
        <v>8.08333333333333</v>
      </c>
      <c r="J295" s="6">
        <f>IF(F295="Completado", IF(COUNTIFS('Base Exámenes'!$C$5:$C$1000, A295, 'Base Exámenes'!$G$5:$G$1000, "&lt;&gt;")=0, "", _xlfn.MAXIFS('Base Exámenes'!$G$5:$G$1000, 'Base Exámenes'!$C$5:$C$1000, A295)), "")</f>
        <v>90</v>
      </c>
      <c r="K295" s="6" t="str">
        <f>IF(F295="Completado", IFERROR(IF(INDEX('Base Exámenes'!$H$5:$H$1000, MATCH(A295&amp;"|"&amp;J295, 'Base Exámenes'!$I$5:$I$1000, 0))="", "", INDEX('Base Exámenes'!$H$5:$H$1000, MATCH(A295&amp;"|"&amp;J295, 'Base Exámenes'!$I$5:$I$1000, 0))), ""), "")</f>
        <v>anonymous</v>
      </c>
      <c r="L295" s="22">
        <f>IF($A295="","",COUNTIF('Base Exámenes'!$C$5:$C$1000, A295))</f>
        <v>1</v>
      </c>
      <c r="M295" s="6" t="str">
        <f>IF($A295="","",IF(COUNTIF('Base Exámenes'!$C$5:$C$1000, A295)&gt;0, "", TRIM('Base Oficial'!H295)))</f>
        <v/>
      </c>
    </row>
    <row r="296">
      <c r="A296" s="4" t="str">
        <f>IF('Base Oficial'!A296="","",TRIM('Base Oficial'!A296))</f>
        <v>53</v>
      </c>
      <c r="B296" s="6" t="str">
        <f>IF($A296="","",TRIM('Base Oficial'!B296))</f>
        <v>CLAUDIA MARIA GIMENEZ PEREZ</v>
      </c>
      <c r="C296" s="6" t="str">
        <f>IF($A296="","",TRIM('Base Oficial'!F296))</f>
        <v>CONSEJO DE ADMINISTRACION</v>
      </c>
      <c r="D296" s="6" t="str">
        <f>IF($A296="","",TRIM('Base Oficial'!G296))</f>
        <v>Consejo de Administración</v>
      </c>
      <c r="E296" s="6" t="str">
        <f>IF($A296="","",TRIM('Base Oficial'!D296))</f>
        <v>ASISTENTE DEL CONSEJO DE ADMINISTRACION</v>
      </c>
      <c r="F296" s="4" t="str">
        <f>IF($A296="","",IF(COUNTIF('Base Exámenes'!$C$5:$C$1000, A296)&gt;0, "Completado", IF(M296&lt;&gt;"", M296, "Pendiente")))</f>
        <v>Completado</v>
      </c>
      <c r="G296" s="11">
        <f>IF(F296="Completado", IFERROR(IF(INDEX('Base Exámenes'!$D$5:$D$1000, MATCH(A296&amp;"|"&amp;J296, 'Base Exámenes'!$I$5:$I$1000, 0))="", "", INDEX('Base Exámenes'!$D$5:$D$1000, MATCH(A296&amp;"|"&amp;J296, 'Base Exámenes'!$I$5:$I$1000, 0))), ""), "")</f>
        <v>46300.65247685185</v>
      </c>
      <c r="H296" s="11">
        <f>IF(F296="Completado", IFERROR(IF(INDEX('Base Exámenes'!$E$5:$E$1000, MATCH(A296&amp;"|"&amp;J296, 'Base Exámenes'!$I$5:$I$1000, 0))="", "", INDEX('Base Exámenes'!$E$5:$E$1000, MATCH(A296&amp;"|"&amp;J296, 'Base Exámenes'!$I$5:$I$1000, 0))), ""), "")</f>
        <v>46300.658009259256</v>
      </c>
      <c r="I296" s="10">
        <f>IF(F296="Completado", IFERROR(IF(INDEX('Base Exámenes'!$F$5:$F$1000, MATCH(A296&amp;"|"&amp;J296, 'Base Exámenes'!$I$5:$I$1000, 0))="", "", INDEX('Base Exámenes'!$F$5:$F$1000, MATCH(A296&amp;"|"&amp;J296, 'Base Exámenes'!$I$5:$I$1000, 0))), ""), "")</f>
        <v>7.96666666666667</v>
      </c>
      <c r="J296" s="6">
        <f>IF(F296="Completado", IF(COUNTIFS('Base Exámenes'!$C$5:$C$1000, A296, 'Base Exámenes'!$G$5:$G$1000, "&lt;&gt;")=0, "", _xlfn.MAXIFS('Base Exámenes'!$G$5:$G$1000, 'Base Exámenes'!$C$5:$C$1000, A296)), "")</f>
        <v>90</v>
      </c>
      <c r="K296" s="6" t="str">
        <f>IF(F296="Completado", IFERROR(IF(INDEX('Base Exámenes'!$H$5:$H$1000, MATCH(A296&amp;"|"&amp;J296, 'Base Exámenes'!$I$5:$I$1000, 0))="", "", INDEX('Base Exámenes'!$H$5:$H$1000, MATCH(A296&amp;"|"&amp;J296, 'Base Exámenes'!$I$5:$I$1000, 0))), ""), "")</f>
        <v>anonymous</v>
      </c>
      <c r="L296" s="22">
        <f>IF($A296="","",COUNTIF('Base Exámenes'!$C$5:$C$1000, A296))</f>
        <v>1</v>
      </c>
      <c r="M296" s="6" t="str">
        <f>IF($A296="","",IF(COUNTIF('Base Exámenes'!$C$5:$C$1000, A296)&gt;0, "", TRIM('Base Oficial'!H296)))</f>
        <v/>
      </c>
    </row>
    <row r="297">
      <c r="A297" s="4" t="str">
        <f>IF('Base Oficial'!A297="","",TRIM('Base Oficial'!A297))</f>
        <v>986</v>
      </c>
      <c r="B297" s="6" t="str">
        <f>IF($A297="","",TRIM('Base Oficial'!B297))</f>
        <v>JENNIFER ROXANA AYALA AYALA</v>
      </c>
      <c r="C297" s="6" t="str">
        <f>IF($A297="","",TRIM('Base Oficial'!F297))</f>
        <v>DEPARTAMENTO DE ATENCION A ASOCIADO Y CLIENTE</v>
      </c>
      <c r="D297" s="6" t="str">
        <f>IF($A297="","",TRIM('Base Oficial'!G297))</f>
        <v>Gerencia de Negocios</v>
      </c>
      <c r="E297" s="6" t="str">
        <f>IF($A297="","",TRIM('Base Oficial'!D297))</f>
        <v>ASISTENTE TECNICO DEL FONDO DE SOLIDARIDAD</v>
      </c>
      <c r="F297" s="4" t="str">
        <f>IF($A297="","",IF(COUNTIF('Base Exámenes'!$C$5:$C$1000, A297)&gt;0, "Completado", IF(M297&lt;&gt;"", M297, "Pendiente")))</f>
        <v>Completado</v>
      </c>
      <c r="G297" s="11">
        <f>IF(F297="Completado", IFERROR(IF(INDEX('Base Exámenes'!$D$5:$D$1000, MATCH(A297&amp;"|"&amp;J297, 'Base Exámenes'!$I$5:$I$1000, 0))="", "", INDEX('Base Exámenes'!$D$5:$D$1000, MATCH(A297&amp;"|"&amp;J297, 'Base Exámenes'!$I$5:$I$1000, 0))), ""), "")</f>
        <v>46308.70475694445</v>
      </c>
      <c r="H297" s="11">
        <f>IF(F297="Completado", IFERROR(IF(INDEX('Base Exámenes'!$E$5:$E$1000, MATCH(A297&amp;"|"&amp;J297, 'Base Exámenes'!$I$5:$I$1000, 0))="", "", INDEX('Base Exámenes'!$E$5:$E$1000, MATCH(A297&amp;"|"&amp;J297, 'Base Exámenes'!$I$5:$I$1000, 0))), ""), "")</f>
        <v>46308.713692129626</v>
      </c>
      <c r="I297" s="10">
        <f>IF(F297="Completado", IFERROR(IF(INDEX('Base Exámenes'!$F$5:$F$1000, MATCH(A297&amp;"|"&amp;J297, 'Base Exámenes'!$I$5:$I$1000, 0))="", "", INDEX('Base Exámenes'!$F$5:$F$1000, MATCH(A297&amp;"|"&amp;J297, 'Base Exámenes'!$I$5:$I$1000, 0))), ""), "")</f>
        <v>12.8666666666667</v>
      </c>
      <c r="J297" s="6">
        <f>IF(F297="Completado", IF(COUNTIFS('Base Exámenes'!$C$5:$C$1000, A297, 'Base Exámenes'!$G$5:$G$1000, "&lt;&gt;")=0, "", _xlfn.MAXIFS('Base Exámenes'!$G$5:$G$1000, 'Base Exámenes'!$C$5:$C$1000, A297)), "")</f>
        <v>80</v>
      </c>
      <c r="K297" s="6" t="str">
        <f>IF(F297="Completado", IFERROR(IF(INDEX('Base Exámenes'!$H$5:$H$1000, MATCH(A297&amp;"|"&amp;J297, 'Base Exámenes'!$I$5:$I$1000, 0))="", "", INDEX('Base Exámenes'!$H$5:$H$1000, MATCH(A297&amp;"|"&amp;J297, 'Base Exámenes'!$I$5:$I$1000, 0))), ""), "")</f>
        <v>anonymous</v>
      </c>
      <c r="L297" s="22">
        <f>IF($A297="","",COUNTIF('Base Exámenes'!$C$5:$C$1000, A297))</f>
        <v>1</v>
      </c>
      <c r="M297" s="6" t="str">
        <f>IF($A297="","",IF(COUNTIF('Base Exámenes'!$C$5:$C$1000, A297)&gt;0, "", TRIM('Base Oficial'!H297)))</f>
        <v/>
      </c>
    </row>
    <row r="298">
      <c r="A298" s="4" t="str">
        <f>IF('Base Oficial'!A298="","",TRIM('Base Oficial'!A298))</f>
        <v/>
      </c>
      <c r="B298" s="6" t="str">
        <f>IF($A298="","",TRIM('Base Oficial'!B298))</f>
        <v/>
      </c>
      <c r="C298" s="6" t="str">
        <f>IF($A298="","",TRIM('Base Oficial'!F298))</f>
        <v/>
      </c>
      <c r="D298" s="6" t="str">
        <f>IF($A298="","",TRIM('Base Oficial'!G298))</f>
        <v/>
      </c>
      <c r="E298" s="6" t="str">
        <f>IF($A298="","",TRIM('Base Oficial'!D298))</f>
        <v/>
      </c>
      <c r="F298" s="4" t="str">
        <f>IF($A298="","",IF(COUNTIF('Base Exámenes'!$C$5:$C$1000, A298)&gt;0, "Completado", IF(M298&lt;&gt;"", M298, "Pendiente")))</f>
        <v/>
      </c>
      <c r="G298" s="11" t="str">
        <f>IF(F298="Completado", IFERROR(IF(INDEX('Base Exámenes'!$D$5:$D$1000, MATCH(A298&amp;"|"&amp;J298, 'Base Exámenes'!$I$5:$I$1000, 0))="", "", INDEX('Base Exámenes'!$D$5:$D$1000, MATCH(A298&amp;"|"&amp;J298, 'Base Exámenes'!$I$5:$I$1000, 0))), ""), "")</f>
        <v/>
      </c>
      <c r="H298" s="11" t="str">
        <f>IF(F298="Completado", IFERROR(IF(INDEX('Base Exámenes'!$E$5:$E$1000, MATCH(A298&amp;"|"&amp;J298, 'Base Exámenes'!$I$5:$I$1000, 0))="", "", INDEX('Base Exámenes'!$E$5:$E$1000, MATCH(A298&amp;"|"&amp;J298, 'Base Exámenes'!$I$5:$I$1000, 0))), ""), "")</f>
        <v/>
      </c>
      <c r="I298" s="10" t="str">
        <f>IF(F298="Completado", IFERROR(IF(INDEX('Base Exámenes'!$F$5:$F$1000, MATCH(A298&amp;"|"&amp;J298, 'Base Exámenes'!$I$5:$I$1000, 0))="", "", INDEX('Base Exámenes'!$F$5:$F$1000, MATCH(A298&amp;"|"&amp;J298, 'Base Exámenes'!$I$5:$I$1000, 0))), ""), "")</f>
        <v/>
      </c>
      <c r="J298" s="6" t="str">
        <f>IF(F298="Completado", IF(COUNTIFS('Base Exámenes'!$C$5:$C$1000, A298, 'Base Exámenes'!$G$5:$G$1000, "&lt;&gt;")=0, "", _xlfn.MAXIFS('Base Exámenes'!$G$5:$G$1000, 'Base Exámenes'!$C$5:$C$1000, A298)), "")</f>
        <v/>
      </c>
      <c r="K298" s="6" t="str">
        <f>IF(F298="Completado", IFERROR(IF(INDEX('Base Exámenes'!$H$5:$H$1000, MATCH(A298&amp;"|"&amp;J298, 'Base Exámenes'!$I$5:$I$1000, 0))="", "", INDEX('Base Exámenes'!$H$5:$H$1000, MATCH(A298&amp;"|"&amp;J298, 'Base Exámenes'!$I$5:$I$1000, 0))), ""), "")</f>
        <v/>
      </c>
      <c r="L298" s="22" t="str">
        <f>IF($A298="","",COUNTIF('Base Exámenes'!$C$5:$C$1000, A298))</f>
        <v/>
      </c>
      <c r="M298" s="6" t="str">
        <f>IF($A298="","",IF(COUNTIF('Base Exámenes'!$C$5:$C$1000, A298)&gt;0, "", TRIM('Base Oficial'!H298)))</f>
        <v/>
      </c>
    </row>
    <row r="299">
      <c r="A299" s="4" t="str">
        <f>IF('Base Oficial'!A299="","",TRIM('Base Oficial'!A299))</f>
        <v/>
      </c>
      <c r="B299" s="6" t="str">
        <f>IF($A299="","",TRIM('Base Oficial'!B299))</f>
        <v/>
      </c>
      <c r="C299" s="6" t="str">
        <f>IF($A299="","",TRIM('Base Oficial'!F299))</f>
        <v/>
      </c>
      <c r="D299" s="6" t="str">
        <f>IF($A299="","",TRIM('Base Oficial'!G299))</f>
        <v/>
      </c>
      <c r="E299" s="6" t="str">
        <f>IF($A299="","",TRIM('Base Oficial'!D299))</f>
        <v/>
      </c>
      <c r="F299" s="4" t="str">
        <f>IF($A299="","",IF(COUNTIF('Base Exámenes'!$C$5:$C$1000, A299)&gt;0, "Completado", IF(M299&lt;&gt;"", M299, "Pendiente")))</f>
        <v/>
      </c>
      <c r="G299" s="11" t="str">
        <f>IF(F299="Completado", IFERROR(IF(INDEX('Base Exámenes'!$D$5:$D$1000, MATCH(A299&amp;"|"&amp;J299, 'Base Exámenes'!$I$5:$I$1000, 0))="", "", INDEX('Base Exámenes'!$D$5:$D$1000, MATCH(A299&amp;"|"&amp;J299, 'Base Exámenes'!$I$5:$I$1000, 0))), ""), "")</f>
        <v/>
      </c>
      <c r="H299" s="11" t="str">
        <f>IF(F299="Completado", IFERROR(IF(INDEX('Base Exámenes'!$E$5:$E$1000, MATCH(A299&amp;"|"&amp;J299, 'Base Exámenes'!$I$5:$I$1000, 0))="", "", INDEX('Base Exámenes'!$E$5:$E$1000, MATCH(A299&amp;"|"&amp;J299, 'Base Exámenes'!$I$5:$I$1000, 0))), ""), "")</f>
        <v/>
      </c>
      <c r="I299" s="10" t="str">
        <f>IF(F299="Completado", IFERROR(IF(INDEX('Base Exámenes'!$F$5:$F$1000, MATCH(A299&amp;"|"&amp;J299, 'Base Exámenes'!$I$5:$I$1000, 0))="", "", INDEX('Base Exámenes'!$F$5:$F$1000, MATCH(A299&amp;"|"&amp;J299, 'Base Exámenes'!$I$5:$I$1000, 0))), ""), "")</f>
        <v/>
      </c>
      <c r="J299" s="6" t="str">
        <f>IF(F299="Completado", IF(COUNTIFS('Base Exámenes'!$C$5:$C$1000, A299, 'Base Exámenes'!$G$5:$G$1000, "&lt;&gt;")=0, "", _xlfn.MAXIFS('Base Exámenes'!$G$5:$G$1000, 'Base Exámenes'!$C$5:$C$1000, A299)), "")</f>
        <v/>
      </c>
      <c r="K299" s="6" t="str">
        <f>IF(F299="Completado", IFERROR(IF(INDEX('Base Exámenes'!$H$5:$H$1000, MATCH(A299&amp;"|"&amp;J299, 'Base Exámenes'!$I$5:$I$1000, 0))="", "", INDEX('Base Exámenes'!$H$5:$H$1000, MATCH(A299&amp;"|"&amp;J299, 'Base Exámenes'!$I$5:$I$1000, 0))), ""), "")</f>
        <v/>
      </c>
      <c r="L299" s="22" t="str">
        <f>IF($A299="","",COUNTIF('Base Exámenes'!$C$5:$C$1000, A299))</f>
        <v/>
      </c>
      <c r="M299" s="6" t="str">
        <f>IF($A299="","",IF(COUNTIF('Base Exámenes'!$C$5:$C$1000, A299)&gt;0, "", TRIM('Base Oficial'!H299)))</f>
        <v/>
      </c>
    </row>
    <row r="300">
      <c r="A300" s="4" t="str">
        <f>IF('Base Oficial'!A300="","",TRIM('Base Oficial'!A300))</f>
        <v/>
      </c>
      <c r="B300" s="6" t="str">
        <f>IF($A300="","",TRIM('Base Oficial'!B300))</f>
        <v/>
      </c>
      <c r="C300" s="6" t="str">
        <f>IF($A300="","",TRIM('Base Oficial'!F300))</f>
        <v/>
      </c>
      <c r="D300" s="6" t="str">
        <f>IF($A300="","",TRIM('Base Oficial'!G300))</f>
        <v/>
      </c>
      <c r="E300" s="6" t="str">
        <f>IF($A300="","",TRIM('Base Oficial'!D300))</f>
        <v/>
      </c>
      <c r="F300" s="4" t="str">
        <f>IF($A300="","",IF(COUNTIF('Base Exámenes'!$C$5:$C$1000, A300)&gt;0, "Completado", IF(M300&lt;&gt;"", M300, "Pendiente")))</f>
        <v/>
      </c>
      <c r="G300" s="11" t="str">
        <f>IF(F300="Completado", IFERROR(IF(INDEX('Base Exámenes'!$D$5:$D$1000, MATCH(A300&amp;"|"&amp;J300, 'Base Exámenes'!$I$5:$I$1000, 0))="", "", INDEX('Base Exámenes'!$D$5:$D$1000, MATCH(A300&amp;"|"&amp;J300, 'Base Exámenes'!$I$5:$I$1000, 0))), ""), "")</f>
        <v/>
      </c>
      <c r="H300" s="11" t="str">
        <f>IF(F300="Completado", IFERROR(IF(INDEX('Base Exámenes'!$E$5:$E$1000, MATCH(A300&amp;"|"&amp;J300, 'Base Exámenes'!$I$5:$I$1000, 0))="", "", INDEX('Base Exámenes'!$E$5:$E$1000, MATCH(A300&amp;"|"&amp;J300, 'Base Exámenes'!$I$5:$I$1000, 0))), ""), "")</f>
        <v/>
      </c>
      <c r="I300" s="10" t="str">
        <f>IF(F300="Completado", IFERROR(IF(INDEX('Base Exámenes'!$F$5:$F$1000, MATCH(A300&amp;"|"&amp;J300, 'Base Exámenes'!$I$5:$I$1000, 0))="", "", INDEX('Base Exámenes'!$F$5:$F$1000, MATCH(A300&amp;"|"&amp;J300, 'Base Exámenes'!$I$5:$I$1000, 0))), ""), "")</f>
        <v/>
      </c>
      <c r="J300" s="6" t="str">
        <f>IF(F300="Completado", IF(COUNTIFS('Base Exámenes'!$C$5:$C$1000, A300, 'Base Exámenes'!$G$5:$G$1000, "&lt;&gt;")=0, "", _xlfn.MAXIFS('Base Exámenes'!$G$5:$G$1000, 'Base Exámenes'!$C$5:$C$1000, A300)), "")</f>
        <v/>
      </c>
      <c r="K300" s="6" t="str">
        <f>IF(F300="Completado", IFERROR(IF(INDEX('Base Exámenes'!$H$5:$H$1000, MATCH(A300&amp;"|"&amp;J300, 'Base Exámenes'!$I$5:$I$1000, 0))="", "", INDEX('Base Exámenes'!$H$5:$H$1000, MATCH(A300&amp;"|"&amp;J300, 'Base Exámenes'!$I$5:$I$1000, 0))), ""), "")</f>
        <v/>
      </c>
      <c r="L300" s="22" t="str">
        <f>IF($A300="","",COUNTIF('Base Exámenes'!$C$5:$C$1000, A300))</f>
        <v/>
      </c>
      <c r="M300" s="6" t="str">
        <f>IF($A300="","",IF(COUNTIF('Base Exámenes'!$C$5:$C$1000, A300)&gt;0, "", TRIM('Base Oficial'!H300)))</f>
        <v/>
      </c>
    </row>
    <row r="301">
      <c r="A301" s="4" t="str">
        <f>IF('Base Oficial'!A301="","",TRIM('Base Oficial'!A301))</f>
        <v/>
      </c>
      <c r="B301" s="6" t="str">
        <f>IF($A301="","",TRIM('Base Oficial'!B301))</f>
        <v/>
      </c>
      <c r="C301" s="6" t="str">
        <f>IF($A301="","",TRIM('Base Oficial'!F301))</f>
        <v/>
      </c>
      <c r="D301" s="6" t="str">
        <f>IF($A301="","",TRIM('Base Oficial'!G301))</f>
        <v/>
      </c>
      <c r="E301" s="6" t="str">
        <f>IF($A301="","",TRIM('Base Oficial'!D301))</f>
        <v/>
      </c>
      <c r="F301" s="4" t="str">
        <f>IF($A301="","",IF(COUNTIF('Base Exámenes'!$C$5:$C$1000, A301)&gt;0, "Completado", IF(M301&lt;&gt;"", M301, "Pendiente")))</f>
        <v/>
      </c>
      <c r="G301" s="11" t="str">
        <f>IF(F301="Completado", IFERROR(IF(INDEX('Base Exámenes'!$D$5:$D$1000, MATCH(A301&amp;"|"&amp;J301, 'Base Exámenes'!$I$5:$I$1000, 0))="", "", INDEX('Base Exámenes'!$D$5:$D$1000, MATCH(A301&amp;"|"&amp;J301, 'Base Exámenes'!$I$5:$I$1000, 0))), ""), "")</f>
        <v/>
      </c>
      <c r="H301" s="11" t="str">
        <f>IF(F301="Completado", IFERROR(IF(INDEX('Base Exámenes'!$E$5:$E$1000, MATCH(A301&amp;"|"&amp;J301, 'Base Exámenes'!$I$5:$I$1000, 0))="", "", INDEX('Base Exámenes'!$E$5:$E$1000, MATCH(A301&amp;"|"&amp;J301, 'Base Exámenes'!$I$5:$I$1000, 0))), ""), "")</f>
        <v/>
      </c>
      <c r="I301" s="10" t="str">
        <f>IF(F301="Completado", IFERROR(IF(INDEX('Base Exámenes'!$F$5:$F$1000, MATCH(A301&amp;"|"&amp;J301, 'Base Exámenes'!$I$5:$I$1000, 0))="", "", INDEX('Base Exámenes'!$F$5:$F$1000, MATCH(A301&amp;"|"&amp;J301, 'Base Exámenes'!$I$5:$I$1000, 0))), ""), "")</f>
        <v/>
      </c>
      <c r="J301" s="6" t="str">
        <f>IF(F301="Completado", IF(COUNTIFS('Base Exámenes'!$C$5:$C$1000, A301, 'Base Exámenes'!$G$5:$G$1000, "&lt;&gt;")=0, "", _xlfn.MAXIFS('Base Exámenes'!$G$5:$G$1000, 'Base Exámenes'!$C$5:$C$1000, A301)), "")</f>
        <v/>
      </c>
      <c r="K301" s="6" t="str">
        <f>IF(F301="Completado", IFERROR(IF(INDEX('Base Exámenes'!$H$5:$H$1000, MATCH(A301&amp;"|"&amp;J301, 'Base Exámenes'!$I$5:$I$1000, 0))="", "", INDEX('Base Exámenes'!$H$5:$H$1000, MATCH(A301&amp;"|"&amp;J301, 'Base Exámenes'!$I$5:$I$1000, 0))), ""), "")</f>
        <v/>
      </c>
      <c r="L301" s="22" t="str">
        <f>IF($A301="","",COUNTIF('Base Exámenes'!$C$5:$C$1000, A301))</f>
        <v/>
      </c>
      <c r="M301" s="6" t="str">
        <f>IF($A301="","",IF(COUNTIF('Base Exámenes'!$C$5:$C$1000, A301)&gt;0, "", TRIM('Base Oficial'!H301)))</f>
        <v/>
      </c>
    </row>
    <row r="302">
      <c r="A302" s="4" t="str">
        <f>IF('Base Oficial'!A302="","",TRIM('Base Oficial'!A302))</f>
        <v/>
      </c>
      <c r="B302" s="6" t="str">
        <f>IF($A302="","",TRIM('Base Oficial'!B302))</f>
        <v/>
      </c>
      <c r="C302" s="6" t="str">
        <f>IF($A302="","",TRIM('Base Oficial'!F302))</f>
        <v/>
      </c>
      <c r="D302" s="6" t="str">
        <f>IF($A302="","",TRIM('Base Oficial'!G302))</f>
        <v/>
      </c>
      <c r="E302" s="6" t="str">
        <f>IF($A302="","",TRIM('Base Oficial'!D302))</f>
        <v/>
      </c>
      <c r="F302" s="4" t="str">
        <f>IF($A302="","",IF(COUNTIF('Base Exámenes'!$C$5:$C$1000, A302)&gt;0, "Completado", IF(M302&lt;&gt;"", M302, "Pendiente")))</f>
        <v/>
      </c>
      <c r="G302" s="11" t="str">
        <f>IF(F302="Completado", IFERROR(IF(INDEX('Base Exámenes'!$D$5:$D$1000, MATCH(A302&amp;"|"&amp;J302, 'Base Exámenes'!$I$5:$I$1000, 0))="", "", INDEX('Base Exámenes'!$D$5:$D$1000, MATCH(A302&amp;"|"&amp;J302, 'Base Exámenes'!$I$5:$I$1000, 0))), ""), "")</f>
        <v/>
      </c>
      <c r="H302" s="11" t="str">
        <f>IF(F302="Completado", IFERROR(IF(INDEX('Base Exámenes'!$E$5:$E$1000, MATCH(A302&amp;"|"&amp;J302, 'Base Exámenes'!$I$5:$I$1000, 0))="", "", INDEX('Base Exámenes'!$E$5:$E$1000, MATCH(A302&amp;"|"&amp;J302, 'Base Exámenes'!$I$5:$I$1000, 0))), ""), "")</f>
        <v/>
      </c>
      <c r="I302" s="10" t="str">
        <f>IF(F302="Completado", IFERROR(IF(INDEX('Base Exámenes'!$F$5:$F$1000, MATCH(A302&amp;"|"&amp;J302, 'Base Exámenes'!$I$5:$I$1000, 0))="", "", INDEX('Base Exámenes'!$F$5:$F$1000, MATCH(A302&amp;"|"&amp;J302, 'Base Exámenes'!$I$5:$I$1000, 0))), ""), "")</f>
        <v/>
      </c>
      <c r="J302" s="6" t="str">
        <f>IF(F302="Completado", IF(COUNTIFS('Base Exámenes'!$C$5:$C$1000, A302, 'Base Exámenes'!$G$5:$G$1000, "&lt;&gt;")=0, "", _xlfn.MAXIFS('Base Exámenes'!$G$5:$G$1000, 'Base Exámenes'!$C$5:$C$1000, A302)), "")</f>
        <v/>
      </c>
      <c r="K302" s="6" t="str">
        <f>IF(F302="Completado", IFERROR(IF(INDEX('Base Exámenes'!$H$5:$H$1000, MATCH(A302&amp;"|"&amp;J302, 'Base Exámenes'!$I$5:$I$1000, 0))="", "", INDEX('Base Exámenes'!$H$5:$H$1000, MATCH(A302&amp;"|"&amp;J302, 'Base Exámenes'!$I$5:$I$1000, 0))), ""), "")</f>
        <v/>
      </c>
      <c r="L302" s="22" t="str">
        <f>IF($A302="","",COUNTIF('Base Exámenes'!$C$5:$C$1000, A302))</f>
        <v/>
      </c>
      <c r="M302" s="6" t="str">
        <f>IF($A302="","",IF(COUNTIF('Base Exámenes'!$C$5:$C$1000, A302)&gt;0, "", TRIM('Base Oficial'!H302)))</f>
        <v/>
      </c>
    </row>
    <row r="303">
      <c r="A303" s="4" t="str">
        <f>IF('Base Oficial'!A303="","",TRIM('Base Oficial'!A303))</f>
        <v/>
      </c>
      <c r="B303" s="6" t="str">
        <f>IF($A303="","",TRIM('Base Oficial'!B303))</f>
        <v/>
      </c>
      <c r="C303" s="6" t="str">
        <f>IF($A303="","",TRIM('Base Oficial'!F303))</f>
        <v/>
      </c>
      <c r="D303" s="6" t="str">
        <f>IF($A303="","",TRIM('Base Oficial'!G303))</f>
        <v/>
      </c>
      <c r="E303" s="6" t="str">
        <f>IF($A303="","",TRIM('Base Oficial'!D303))</f>
        <v/>
      </c>
      <c r="F303" s="4" t="str">
        <f>IF($A303="","",IF(COUNTIF('Base Exámenes'!$C$5:$C$1000, A303)&gt;0, "Completado", IF(M303&lt;&gt;"", M303, "Pendiente")))</f>
        <v/>
      </c>
      <c r="G303" s="11" t="str">
        <f>IF(F303="Completado", IFERROR(IF(INDEX('Base Exámenes'!$D$5:$D$1000, MATCH(A303&amp;"|"&amp;J303, 'Base Exámenes'!$I$5:$I$1000, 0))="", "", INDEX('Base Exámenes'!$D$5:$D$1000, MATCH(A303&amp;"|"&amp;J303, 'Base Exámenes'!$I$5:$I$1000, 0))), ""), "")</f>
        <v/>
      </c>
      <c r="H303" s="11" t="str">
        <f>IF(F303="Completado", IFERROR(IF(INDEX('Base Exámenes'!$E$5:$E$1000, MATCH(A303&amp;"|"&amp;J303, 'Base Exámenes'!$I$5:$I$1000, 0))="", "", INDEX('Base Exámenes'!$E$5:$E$1000, MATCH(A303&amp;"|"&amp;J303, 'Base Exámenes'!$I$5:$I$1000, 0))), ""), "")</f>
        <v/>
      </c>
      <c r="I303" s="10" t="str">
        <f>IF(F303="Completado", IFERROR(IF(INDEX('Base Exámenes'!$F$5:$F$1000, MATCH(A303&amp;"|"&amp;J303, 'Base Exámenes'!$I$5:$I$1000, 0))="", "", INDEX('Base Exámenes'!$F$5:$F$1000, MATCH(A303&amp;"|"&amp;J303, 'Base Exámenes'!$I$5:$I$1000, 0))), ""), "")</f>
        <v/>
      </c>
      <c r="J303" s="6" t="str">
        <f>IF(F303="Completado", IF(COUNTIFS('Base Exámenes'!$C$5:$C$1000, A303, 'Base Exámenes'!$G$5:$G$1000, "&lt;&gt;")=0, "", _xlfn.MAXIFS('Base Exámenes'!$G$5:$G$1000, 'Base Exámenes'!$C$5:$C$1000, A303)), "")</f>
        <v/>
      </c>
      <c r="K303" s="6" t="str">
        <f>IF(F303="Completado", IFERROR(IF(INDEX('Base Exámenes'!$H$5:$H$1000, MATCH(A303&amp;"|"&amp;J303, 'Base Exámenes'!$I$5:$I$1000, 0))="", "", INDEX('Base Exámenes'!$H$5:$H$1000, MATCH(A303&amp;"|"&amp;J303, 'Base Exámenes'!$I$5:$I$1000, 0))), ""), "")</f>
        <v/>
      </c>
      <c r="L303" s="22" t="str">
        <f>IF($A303="","",COUNTIF('Base Exámenes'!$C$5:$C$1000, A303))</f>
        <v/>
      </c>
      <c r="M303" s="6" t="str">
        <f>IF($A303="","",IF(COUNTIF('Base Exámenes'!$C$5:$C$1000, A303)&gt;0, "", TRIM('Base Oficial'!H303)))</f>
        <v/>
      </c>
    </row>
    <row r="304">
      <c r="A304" s="4" t="str">
        <f>IF('Base Oficial'!A304="","",TRIM('Base Oficial'!A304))</f>
        <v/>
      </c>
      <c r="B304" s="6" t="str">
        <f>IF($A304="","",TRIM('Base Oficial'!B304))</f>
        <v/>
      </c>
      <c r="C304" s="6" t="str">
        <f>IF($A304="","",TRIM('Base Oficial'!F304))</f>
        <v/>
      </c>
      <c r="D304" s="6" t="str">
        <f>IF($A304="","",TRIM('Base Oficial'!G304))</f>
        <v/>
      </c>
      <c r="E304" s="6" t="str">
        <f>IF($A304="","",TRIM('Base Oficial'!D304))</f>
        <v/>
      </c>
      <c r="F304" s="4" t="str">
        <f>IF($A304="","",IF(COUNTIF('Base Exámenes'!$C$5:$C$1000, A304)&gt;0, "Completado", IF(M304&lt;&gt;"", M304, "Pendiente")))</f>
        <v/>
      </c>
      <c r="G304" s="11" t="str">
        <f>IF(F304="Completado", IFERROR(IF(INDEX('Base Exámenes'!$D$5:$D$1000, MATCH(A304&amp;"|"&amp;J304, 'Base Exámenes'!$I$5:$I$1000, 0))="", "", INDEX('Base Exámenes'!$D$5:$D$1000, MATCH(A304&amp;"|"&amp;J304, 'Base Exámenes'!$I$5:$I$1000, 0))), ""), "")</f>
        <v/>
      </c>
      <c r="H304" s="11" t="str">
        <f>IF(F304="Completado", IFERROR(IF(INDEX('Base Exámenes'!$E$5:$E$1000, MATCH(A304&amp;"|"&amp;J304, 'Base Exámenes'!$I$5:$I$1000, 0))="", "", INDEX('Base Exámenes'!$E$5:$E$1000, MATCH(A304&amp;"|"&amp;J304, 'Base Exámenes'!$I$5:$I$1000, 0))), ""), "")</f>
        <v/>
      </c>
      <c r="I304" s="10" t="str">
        <f>IF(F304="Completado", IFERROR(IF(INDEX('Base Exámenes'!$F$5:$F$1000, MATCH(A304&amp;"|"&amp;J304, 'Base Exámenes'!$I$5:$I$1000, 0))="", "", INDEX('Base Exámenes'!$F$5:$F$1000, MATCH(A304&amp;"|"&amp;J304, 'Base Exámenes'!$I$5:$I$1000, 0))), ""), "")</f>
        <v/>
      </c>
      <c r="J304" s="6" t="str">
        <f>IF(F304="Completado", IF(COUNTIFS('Base Exámenes'!$C$5:$C$1000, A304, 'Base Exámenes'!$G$5:$G$1000, "&lt;&gt;")=0, "", _xlfn.MAXIFS('Base Exámenes'!$G$5:$G$1000, 'Base Exámenes'!$C$5:$C$1000, A304)), "")</f>
        <v/>
      </c>
      <c r="K304" s="6" t="str">
        <f>IF(F304="Completado", IFERROR(IF(INDEX('Base Exámenes'!$H$5:$H$1000, MATCH(A304&amp;"|"&amp;J304, 'Base Exámenes'!$I$5:$I$1000, 0))="", "", INDEX('Base Exámenes'!$H$5:$H$1000, MATCH(A304&amp;"|"&amp;J304, 'Base Exámenes'!$I$5:$I$1000, 0))), ""), "")</f>
        <v/>
      </c>
      <c r="L304" s="22" t="str">
        <f>IF($A304="","",COUNTIF('Base Exámenes'!$C$5:$C$1000, A304))</f>
        <v/>
      </c>
      <c r="M304" s="6" t="str">
        <f>IF($A304="","",IF(COUNTIF('Base Exámenes'!$C$5:$C$1000, A304)&gt;0, "", TRIM('Base Oficial'!H304)))</f>
        <v/>
      </c>
    </row>
    <row r="305">
      <c r="A305" s="4" t="str">
        <f>IF('Base Oficial'!A305="","",TRIM('Base Oficial'!A305))</f>
        <v/>
      </c>
      <c r="B305" s="6" t="str">
        <f>IF($A305="","",TRIM('Base Oficial'!B305))</f>
        <v/>
      </c>
      <c r="C305" s="6" t="str">
        <f>IF($A305="","",TRIM('Base Oficial'!F305))</f>
        <v/>
      </c>
      <c r="D305" s="6" t="str">
        <f>IF($A305="","",TRIM('Base Oficial'!G305))</f>
        <v/>
      </c>
      <c r="E305" s="6" t="str">
        <f>IF($A305="","",TRIM('Base Oficial'!D305))</f>
        <v/>
      </c>
      <c r="F305" s="4" t="str">
        <f>IF($A305="","",IF(COUNTIF('Base Exámenes'!$C$5:$C$1000, A305)&gt;0, "Completado", IF(M305&lt;&gt;"", M305, "Pendiente")))</f>
        <v/>
      </c>
      <c r="G305" s="11" t="str">
        <f>IF(F305="Completado", IFERROR(IF(INDEX('Base Exámenes'!$D$5:$D$1000, MATCH(A305&amp;"|"&amp;J305, 'Base Exámenes'!$I$5:$I$1000, 0))="", "", INDEX('Base Exámenes'!$D$5:$D$1000, MATCH(A305&amp;"|"&amp;J305, 'Base Exámenes'!$I$5:$I$1000, 0))), ""), "")</f>
        <v/>
      </c>
      <c r="H305" s="11" t="str">
        <f>IF(F305="Completado", IFERROR(IF(INDEX('Base Exámenes'!$E$5:$E$1000, MATCH(A305&amp;"|"&amp;J305, 'Base Exámenes'!$I$5:$I$1000, 0))="", "", INDEX('Base Exámenes'!$E$5:$E$1000, MATCH(A305&amp;"|"&amp;J305, 'Base Exámenes'!$I$5:$I$1000, 0))), ""), "")</f>
        <v/>
      </c>
      <c r="I305" s="10" t="str">
        <f>IF(F305="Completado", IFERROR(IF(INDEX('Base Exámenes'!$F$5:$F$1000, MATCH(A305&amp;"|"&amp;J305, 'Base Exámenes'!$I$5:$I$1000, 0))="", "", INDEX('Base Exámenes'!$F$5:$F$1000, MATCH(A305&amp;"|"&amp;J305, 'Base Exámenes'!$I$5:$I$1000, 0))), ""), "")</f>
        <v/>
      </c>
      <c r="J305" s="6" t="str">
        <f>IF(F305="Completado", IF(COUNTIFS('Base Exámenes'!$C$5:$C$1000, A305, 'Base Exámenes'!$G$5:$G$1000, "&lt;&gt;")=0, "", _xlfn.MAXIFS('Base Exámenes'!$G$5:$G$1000, 'Base Exámenes'!$C$5:$C$1000, A305)), "")</f>
        <v/>
      </c>
      <c r="K305" s="6" t="str">
        <f>IF(F305="Completado", IFERROR(IF(INDEX('Base Exámenes'!$H$5:$H$1000, MATCH(A305&amp;"|"&amp;J305, 'Base Exámenes'!$I$5:$I$1000, 0))="", "", INDEX('Base Exámenes'!$H$5:$H$1000, MATCH(A305&amp;"|"&amp;J305, 'Base Exámenes'!$I$5:$I$1000, 0))), ""), "")</f>
        <v/>
      </c>
      <c r="L305" s="22" t="str">
        <f>IF($A305="","",COUNTIF('Base Exámenes'!$C$5:$C$1000, A305))</f>
        <v/>
      </c>
      <c r="M305" s="6" t="str">
        <f>IF($A305="","",IF(COUNTIF('Base Exámenes'!$C$5:$C$1000, A305)&gt;0, "", TRIM('Base Oficial'!H305)))</f>
        <v/>
      </c>
    </row>
    <row r="306">
      <c r="A306" s="4" t="str">
        <f>IF('Base Oficial'!A306="","",TRIM('Base Oficial'!A306))</f>
        <v/>
      </c>
      <c r="B306" s="6" t="str">
        <f>IF($A306="","",TRIM('Base Oficial'!B306))</f>
        <v/>
      </c>
      <c r="C306" s="6" t="str">
        <f>IF($A306="","",TRIM('Base Oficial'!F306))</f>
        <v/>
      </c>
      <c r="D306" s="6" t="str">
        <f>IF($A306="","",TRIM('Base Oficial'!G306))</f>
        <v/>
      </c>
      <c r="E306" s="6" t="str">
        <f>IF($A306="","",TRIM('Base Oficial'!D306))</f>
        <v/>
      </c>
      <c r="F306" s="4" t="str">
        <f>IF($A306="","",IF(COUNTIF('Base Exámenes'!$C$5:$C$1000, A306)&gt;0, "Completado", IF(M306&lt;&gt;"", M306, "Pendiente")))</f>
        <v/>
      </c>
      <c r="G306" s="11" t="str">
        <f>IF(F306="Completado", IFERROR(IF(INDEX('Base Exámenes'!$D$5:$D$1000, MATCH(A306&amp;"|"&amp;J306, 'Base Exámenes'!$I$5:$I$1000, 0))="", "", INDEX('Base Exámenes'!$D$5:$D$1000, MATCH(A306&amp;"|"&amp;J306, 'Base Exámenes'!$I$5:$I$1000, 0))), ""), "")</f>
        <v/>
      </c>
      <c r="H306" s="11" t="str">
        <f>IF(F306="Completado", IFERROR(IF(INDEX('Base Exámenes'!$E$5:$E$1000, MATCH(A306&amp;"|"&amp;J306, 'Base Exámenes'!$I$5:$I$1000, 0))="", "", INDEX('Base Exámenes'!$E$5:$E$1000, MATCH(A306&amp;"|"&amp;J306, 'Base Exámenes'!$I$5:$I$1000, 0))), ""), "")</f>
        <v/>
      </c>
      <c r="I306" s="10" t="str">
        <f>IF(F306="Completado", IFERROR(IF(INDEX('Base Exámenes'!$F$5:$F$1000, MATCH(A306&amp;"|"&amp;J306, 'Base Exámenes'!$I$5:$I$1000, 0))="", "", INDEX('Base Exámenes'!$F$5:$F$1000, MATCH(A306&amp;"|"&amp;J306, 'Base Exámenes'!$I$5:$I$1000, 0))), ""), "")</f>
        <v/>
      </c>
      <c r="J306" s="6" t="str">
        <f>IF(F306="Completado", IF(COUNTIFS('Base Exámenes'!$C$5:$C$1000, A306, 'Base Exámenes'!$G$5:$G$1000, "&lt;&gt;")=0, "", _xlfn.MAXIFS('Base Exámenes'!$G$5:$G$1000, 'Base Exámenes'!$C$5:$C$1000, A306)), "")</f>
        <v/>
      </c>
      <c r="K306" s="6" t="str">
        <f>IF(F306="Completado", IFERROR(IF(INDEX('Base Exámenes'!$H$5:$H$1000, MATCH(A306&amp;"|"&amp;J306, 'Base Exámenes'!$I$5:$I$1000, 0))="", "", INDEX('Base Exámenes'!$H$5:$H$1000, MATCH(A306&amp;"|"&amp;J306, 'Base Exámenes'!$I$5:$I$1000, 0))), ""), "")</f>
        <v/>
      </c>
      <c r="L306" s="22" t="str">
        <f>IF($A306="","",COUNTIF('Base Exámenes'!$C$5:$C$1000, A306))</f>
        <v/>
      </c>
      <c r="M306" s="6" t="str">
        <f>IF($A306="","",IF(COUNTIF('Base Exámenes'!$C$5:$C$1000, A306)&gt;0, "", TRIM('Base Oficial'!H306)))</f>
        <v/>
      </c>
    </row>
    <row r="307">
      <c r="A307" s="4" t="str">
        <f>IF('Base Oficial'!A307="","",TRIM('Base Oficial'!A307))</f>
        <v/>
      </c>
      <c r="B307" s="6" t="str">
        <f>IF($A307="","",TRIM('Base Oficial'!B307))</f>
        <v/>
      </c>
      <c r="C307" s="6" t="str">
        <f>IF($A307="","",TRIM('Base Oficial'!F307))</f>
        <v/>
      </c>
      <c r="D307" s="6" t="str">
        <f>IF($A307="","",TRIM('Base Oficial'!G307))</f>
        <v/>
      </c>
      <c r="E307" s="6" t="str">
        <f>IF($A307="","",TRIM('Base Oficial'!D307))</f>
        <v/>
      </c>
      <c r="F307" s="4" t="str">
        <f>IF($A307="","",IF(COUNTIF('Base Exámenes'!$C$5:$C$1000, A307)&gt;0, "Completado", IF(M307&lt;&gt;"", M307, "Pendiente")))</f>
        <v/>
      </c>
      <c r="G307" s="11" t="str">
        <f>IF(F307="Completado", IFERROR(IF(INDEX('Base Exámenes'!$D$5:$D$1000, MATCH(A307&amp;"|"&amp;J307, 'Base Exámenes'!$I$5:$I$1000, 0))="", "", INDEX('Base Exámenes'!$D$5:$D$1000, MATCH(A307&amp;"|"&amp;J307, 'Base Exámenes'!$I$5:$I$1000, 0))), ""), "")</f>
        <v/>
      </c>
      <c r="H307" s="11" t="str">
        <f>IF(F307="Completado", IFERROR(IF(INDEX('Base Exámenes'!$E$5:$E$1000, MATCH(A307&amp;"|"&amp;J307, 'Base Exámenes'!$I$5:$I$1000, 0))="", "", INDEX('Base Exámenes'!$E$5:$E$1000, MATCH(A307&amp;"|"&amp;J307, 'Base Exámenes'!$I$5:$I$1000, 0))), ""), "")</f>
        <v/>
      </c>
      <c r="I307" s="10" t="str">
        <f>IF(F307="Completado", IFERROR(IF(INDEX('Base Exámenes'!$F$5:$F$1000, MATCH(A307&amp;"|"&amp;J307, 'Base Exámenes'!$I$5:$I$1000, 0))="", "", INDEX('Base Exámenes'!$F$5:$F$1000, MATCH(A307&amp;"|"&amp;J307, 'Base Exámenes'!$I$5:$I$1000, 0))), ""), "")</f>
        <v/>
      </c>
      <c r="J307" s="6" t="str">
        <f>IF(F307="Completado", IF(COUNTIFS('Base Exámenes'!$C$5:$C$1000, A307, 'Base Exámenes'!$G$5:$G$1000, "&lt;&gt;")=0, "", _xlfn.MAXIFS('Base Exámenes'!$G$5:$G$1000, 'Base Exámenes'!$C$5:$C$1000, A307)), "")</f>
        <v/>
      </c>
      <c r="K307" s="6" t="str">
        <f>IF(F307="Completado", IFERROR(IF(INDEX('Base Exámenes'!$H$5:$H$1000, MATCH(A307&amp;"|"&amp;J307, 'Base Exámenes'!$I$5:$I$1000, 0))="", "", INDEX('Base Exámenes'!$H$5:$H$1000, MATCH(A307&amp;"|"&amp;J307, 'Base Exámenes'!$I$5:$I$1000, 0))), ""), "")</f>
        <v/>
      </c>
      <c r="L307" s="22" t="str">
        <f>IF($A307="","",COUNTIF('Base Exámenes'!$C$5:$C$1000, A307))</f>
        <v/>
      </c>
      <c r="M307" s="6" t="str">
        <f>IF($A307="","",IF(COUNTIF('Base Exámenes'!$C$5:$C$1000, A307)&gt;0, "", TRIM('Base Oficial'!H307)))</f>
        <v/>
      </c>
    </row>
    <row r="308">
      <c r="A308" s="4" t="str">
        <f>IF('Base Oficial'!A308="","",TRIM('Base Oficial'!A308))</f>
        <v/>
      </c>
      <c r="B308" s="6" t="str">
        <f>IF($A308="","",TRIM('Base Oficial'!B308))</f>
        <v/>
      </c>
      <c r="C308" s="6" t="str">
        <f>IF($A308="","",TRIM('Base Oficial'!F308))</f>
        <v/>
      </c>
      <c r="D308" s="6" t="str">
        <f>IF($A308="","",TRIM('Base Oficial'!G308))</f>
        <v/>
      </c>
      <c r="E308" s="6" t="str">
        <f>IF($A308="","",TRIM('Base Oficial'!D308))</f>
        <v/>
      </c>
      <c r="F308" s="4" t="str">
        <f>IF($A308="","",IF(COUNTIF('Base Exámenes'!$C$5:$C$1000, A308)&gt;0, "Completado", IF(M308&lt;&gt;"", M308, "Pendiente")))</f>
        <v/>
      </c>
      <c r="G308" s="11" t="str">
        <f>IF(F308="Completado", IFERROR(IF(INDEX('Base Exámenes'!$D$5:$D$1000, MATCH(A308&amp;"|"&amp;J308, 'Base Exámenes'!$I$5:$I$1000, 0))="", "", INDEX('Base Exámenes'!$D$5:$D$1000, MATCH(A308&amp;"|"&amp;J308, 'Base Exámenes'!$I$5:$I$1000, 0))), ""), "")</f>
        <v/>
      </c>
      <c r="H308" s="11" t="str">
        <f>IF(F308="Completado", IFERROR(IF(INDEX('Base Exámenes'!$E$5:$E$1000, MATCH(A308&amp;"|"&amp;J308, 'Base Exámenes'!$I$5:$I$1000, 0))="", "", INDEX('Base Exámenes'!$E$5:$E$1000, MATCH(A308&amp;"|"&amp;J308, 'Base Exámenes'!$I$5:$I$1000, 0))), ""), "")</f>
        <v/>
      </c>
      <c r="I308" s="10" t="str">
        <f>IF(F308="Completado", IFERROR(IF(INDEX('Base Exámenes'!$F$5:$F$1000, MATCH(A308&amp;"|"&amp;J308, 'Base Exámenes'!$I$5:$I$1000, 0))="", "", INDEX('Base Exámenes'!$F$5:$F$1000, MATCH(A308&amp;"|"&amp;J308, 'Base Exámenes'!$I$5:$I$1000, 0))), ""), "")</f>
        <v/>
      </c>
      <c r="J308" s="6" t="str">
        <f>IF(F308="Completado", IF(COUNTIFS('Base Exámenes'!$C$5:$C$1000, A308, 'Base Exámenes'!$G$5:$G$1000, "&lt;&gt;")=0, "", _xlfn.MAXIFS('Base Exámenes'!$G$5:$G$1000, 'Base Exámenes'!$C$5:$C$1000, A308)), "")</f>
        <v/>
      </c>
      <c r="K308" s="6" t="str">
        <f>IF(F308="Completado", IFERROR(IF(INDEX('Base Exámenes'!$H$5:$H$1000, MATCH(A308&amp;"|"&amp;J308, 'Base Exámenes'!$I$5:$I$1000, 0))="", "", INDEX('Base Exámenes'!$H$5:$H$1000, MATCH(A308&amp;"|"&amp;J308, 'Base Exámenes'!$I$5:$I$1000, 0))), ""), "")</f>
        <v/>
      </c>
      <c r="L308" s="22" t="str">
        <f>IF($A308="","",COUNTIF('Base Exámenes'!$C$5:$C$1000, A308))</f>
        <v/>
      </c>
      <c r="M308" s="6" t="str">
        <f>IF($A308="","",IF(COUNTIF('Base Exámenes'!$C$5:$C$1000, A308)&gt;0, "", TRIM('Base Oficial'!H308)))</f>
        <v/>
      </c>
    </row>
    <row r="309">
      <c r="A309" s="4" t="str">
        <f>IF('Base Oficial'!A309="","",TRIM('Base Oficial'!A309))</f>
        <v/>
      </c>
      <c r="B309" s="6" t="str">
        <f>IF($A309="","",TRIM('Base Oficial'!B309))</f>
        <v/>
      </c>
      <c r="C309" s="6" t="str">
        <f>IF($A309="","",TRIM('Base Oficial'!F309))</f>
        <v/>
      </c>
      <c r="D309" s="6" t="str">
        <f>IF($A309="","",TRIM('Base Oficial'!G309))</f>
        <v/>
      </c>
      <c r="E309" s="6" t="str">
        <f>IF($A309="","",TRIM('Base Oficial'!D309))</f>
        <v/>
      </c>
      <c r="F309" s="4" t="str">
        <f>IF($A309="","",IF(COUNTIF('Base Exámenes'!$C$5:$C$1000, A309)&gt;0, "Completado", IF(M309&lt;&gt;"", M309, "Pendiente")))</f>
        <v/>
      </c>
      <c r="G309" s="11" t="str">
        <f>IF(F309="Completado", IFERROR(IF(INDEX('Base Exámenes'!$D$5:$D$1000, MATCH(A309&amp;"|"&amp;J309, 'Base Exámenes'!$I$5:$I$1000, 0))="", "", INDEX('Base Exámenes'!$D$5:$D$1000, MATCH(A309&amp;"|"&amp;J309, 'Base Exámenes'!$I$5:$I$1000, 0))), ""), "")</f>
        <v/>
      </c>
      <c r="H309" s="11" t="str">
        <f>IF(F309="Completado", IFERROR(IF(INDEX('Base Exámenes'!$E$5:$E$1000, MATCH(A309&amp;"|"&amp;J309, 'Base Exámenes'!$I$5:$I$1000, 0))="", "", INDEX('Base Exámenes'!$E$5:$E$1000, MATCH(A309&amp;"|"&amp;J309, 'Base Exámenes'!$I$5:$I$1000, 0))), ""), "")</f>
        <v/>
      </c>
      <c r="I309" s="10" t="str">
        <f>IF(F309="Completado", IFERROR(IF(INDEX('Base Exámenes'!$F$5:$F$1000, MATCH(A309&amp;"|"&amp;J309, 'Base Exámenes'!$I$5:$I$1000, 0))="", "", INDEX('Base Exámenes'!$F$5:$F$1000, MATCH(A309&amp;"|"&amp;J309, 'Base Exámenes'!$I$5:$I$1000, 0))), ""), "")</f>
        <v/>
      </c>
      <c r="J309" s="6" t="str">
        <f>IF(F309="Completado", IF(COUNTIFS('Base Exámenes'!$C$5:$C$1000, A309, 'Base Exámenes'!$G$5:$G$1000, "&lt;&gt;")=0, "", _xlfn.MAXIFS('Base Exámenes'!$G$5:$G$1000, 'Base Exámenes'!$C$5:$C$1000, A309)), "")</f>
        <v/>
      </c>
      <c r="K309" s="6" t="str">
        <f>IF(F309="Completado", IFERROR(IF(INDEX('Base Exámenes'!$H$5:$H$1000, MATCH(A309&amp;"|"&amp;J309, 'Base Exámenes'!$I$5:$I$1000, 0))="", "", INDEX('Base Exámenes'!$H$5:$H$1000, MATCH(A309&amp;"|"&amp;J309, 'Base Exámenes'!$I$5:$I$1000, 0))), ""), "")</f>
        <v/>
      </c>
      <c r="L309" s="22" t="str">
        <f>IF($A309="","",COUNTIF('Base Exámenes'!$C$5:$C$1000, A309))</f>
        <v/>
      </c>
      <c r="M309" s="6" t="str">
        <f>IF($A309="","",IF(COUNTIF('Base Exámenes'!$C$5:$C$1000, A309)&gt;0, "", TRIM('Base Oficial'!H309)))</f>
        <v/>
      </c>
    </row>
    <row r="310">
      <c r="A310" s="4" t="str">
        <f>IF('Base Oficial'!A310="","",TRIM('Base Oficial'!A310))</f>
        <v/>
      </c>
      <c r="B310" s="6" t="str">
        <f>IF($A310="","",TRIM('Base Oficial'!B310))</f>
        <v/>
      </c>
      <c r="C310" s="6" t="str">
        <f>IF($A310="","",TRIM('Base Oficial'!F310))</f>
        <v/>
      </c>
      <c r="D310" s="6" t="str">
        <f>IF($A310="","",TRIM('Base Oficial'!G310))</f>
        <v/>
      </c>
      <c r="E310" s="6" t="str">
        <f>IF($A310="","",TRIM('Base Oficial'!D310))</f>
        <v/>
      </c>
      <c r="F310" s="4" t="str">
        <f>IF($A310="","",IF(COUNTIF('Base Exámenes'!$C$5:$C$1000, A310)&gt;0, "Completado", IF(M310&lt;&gt;"", M310, "Pendiente")))</f>
        <v/>
      </c>
      <c r="G310" s="11" t="str">
        <f>IF(F310="Completado", IFERROR(IF(INDEX('Base Exámenes'!$D$5:$D$1000, MATCH(A310&amp;"|"&amp;J310, 'Base Exámenes'!$I$5:$I$1000, 0))="", "", INDEX('Base Exámenes'!$D$5:$D$1000, MATCH(A310&amp;"|"&amp;J310, 'Base Exámenes'!$I$5:$I$1000, 0))), ""), "")</f>
        <v/>
      </c>
      <c r="H310" s="11" t="str">
        <f>IF(F310="Completado", IFERROR(IF(INDEX('Base Exámenes'!$E$5:$E$1000, MATCH(A310&amp;"|"&amp;J310, 'Base Exámenes'!$I$5:$I$1000, 0))="", "", INDEX('Base Exámenes'!$E$5:$E$1000, MATCH(A310&amp;"|"&amp;J310, 'Base Exámenes'!$I$5:$I$1000, 0))), ""), "")</f>
        <v/>
      </c>
      <c r="I310" s="10" t="str">
        <f>IF(F310="Completado", IFERROR(IF(INDEX('Base Exámenes'!$F$5:$F$1000, MATCH(A310&amp;"|"&amp;J310, 'Base Exámenes'!$I$5:$I$1000, 0))="", "", INDEX('Base Exámenes'!$F$5:$F$1000, MATCH(A310&amp;"|"&amp;J310, 'Base Exámenes'!$I$5:$I$1000, 0))), ""), "")</f>
        <v/>
      </c>
      <c r="J310" s="6" t="str">
        <f>IF(F310="Completado", IF(COUNTIFS('Base Exámenes'!$C$5:$C$1000, A310, 'Base Exámenes'!$G$5:$G$1000, "&lt;&gt;")=0, "", _xlfn.MAXIFS('Base Exámenes'!$G$5:$G$1000, 'Base Exámenes'!$C$5:$C$1000, A310)), "")</f>
        <v/>
      </c>
      <c r="K310" s="6" t="str">
        <f>IF(F310="Completado", IFERROR(IF(INDEX('Base Exámenes'!$H$5:$H$1000, MATCH(A310&amp;"|"&amp;J310, 'Base Exámenes'!$I$5:$I$1000, 0))="", "", INDEX('Base Exámenes'!$H$5:$H$1000, MATCH(A310&amp;"|"&amp;J310, 'Base Exámenes'!$I$5:$I$1000, 0))), ""), "")</f>
        <v/>
      </c>
      <c r="L310" s="22" t="str">
        <f>IF($A310="","",COUNTIF('Base Exámenes'!$C$5:$C$1000, A310))</f>
        <v/>
      </c>
      <c r="M310" s="6" t="str">
        <f>IF($A310="","",IF(COUNTIF('Base Exámenes'!$C$5:$C$1000, A310)&gt;0, "", TRIM('Base Oficial'!H310)))</f>
        <v/>
      </c>
    </row>
    <row r="311">
      <c r="A311" s="4" t="str">
        <f>IF('Base Oficial'!A311="","",TRIM('Base Oficial'!A311))</f>
        <v/>
      </c>
      <c r="B311" s="6" t="str">
        <f>IF($A311="","",TRIM('Base Oficial'!B311))</f>
        <v/>
      </c>
      <c r="C311" s="6" t="str">
        <f>IF($A311="","",TRIM('Base Oficial'!F311))</f>
        <v/>
      </c>
      <c r="D311" s="6" t="str">
        <f>IF($A311="","",TRIM('Base Oficial'!G311))</f>
        <v/>
      </c>
      <c r="E311" s="6" t="str">
        <f>IF($A311="","",TRIM('Base Oficial'!D311))</f>
        <v/>
      </c>
      <c r="F311" s="4" t="str">
        <f>IF($A311="","",IF(COUNTIF('Base Exámenes'!$C$5:$C$1000, A311)&gt;0, "Completado", IF(M311&lt;&gt;"", M311, "Pendiente")))</f>
        <v/>
      </c>
      <c r="G311" s="11" t="str">
        <f>IF(F311="Completado", IFERROR(IF(INDEX('Base Exámenes'!$D$5:$D$1000, MATCH(A311&amp;"|"&amp;J311, 'Base Exámenes'!$I$5:$I$1000, 0))="", "", INDEX('Base Exámenes'!$D$5:$D$1000, MATCH(A311&amp;"|"&amp;J311, 'Base Exámenes'!$I$5:$I$1000, 0))), ""), "")</f>
        <v/>
      </c>
      <c r="H311" s="11" t="str">
        <f>IF(F311="Completado", IFERROR(IF(INDEX('Base Exámenes'!$E$5:$E$1000, MATCH(A311&amp;"|"&amp;J311, 'Base Exámenes'!$I$5:$I$1000, 0))="", "", INDEX('Base Exámenes'!$E$5:$E$1000, MATCH(A311&amp;"|"&amp;J311, 'Base Exámenes'!$I$5:$I$1000, 0))), ""), "")</f>
        <v/>
      </c>
      <c r="I311" s="10" t="str">
        <f>IF(F311="Completado", IFERROR(IF(INDEX('Base Exámenes'!$F$5:$F$1000, MATCH(A311&amp;"|"&amp;J311, 'Base Exámenes'!$I$5:$I$1000, 0))="", "", INDEX('Base Exámenes'!$F$5:$F$1000, MATCH(A311&amp;"|"&amp;J311, 'Base Exámenes'!$I$5:$I$1000, 0))), ""), "")</f>
        <v/>
      </c>
      <c r="J311" s="6" t="str">
        <f>IF(F311="Completado", IF(COUNTIFS('Base Exámenes'!$C$5:$C$1000, A311, 'Base Exámenes'!$G$5:$G$1000, "&lt;&gt;")=0, "", _xlfn.MAXIFS('Base Exámenes'!$G$5:$G$1000, 'Base Exámenes'!$C$5:$C$1000, A311)), "")</f>
        <v/>
      </c>
      <c r="K311" s="6" t="str">
        <f>IF(F311="Completado", IFERROR(IF(INDEX('Base Exámenes'!$H$5:$H$1000, MATCH(A311&amp;"|"&amp;J311, 'Base Exámenes'!$I$5:$I$1000, 0))="", "", INDEX('Base Exámenes'!$H$5:$H$1000, MATCH(A311&amp;"|"&amp;J311, 'Base Exámenes'!$I$5:$I$1000, 0))), ""), "")</f>
        <v/>
      </c>
      <c r="L311" s="22" t="str">
        <f>IF($A311="","",COUNTIF('Base Exámenes'!$C$5:$C$1000, A311))</f>
        <v/>
      </c>
      <c r="M311" s="6" t="str">
        <f>IF($A311="","",IF(COUNTIF('Base Exámenes'!$C$5:$C$1000, A311)&gt;0, "", TRIM('Base Oficial'!H311)))</f>
        <v/>
      </c>
    </row>
    <row r="312">
      <c r="A312" s="4" t="str">
        <f>IF('Base Oficial'!A312="","",TRIM('Base Oficial'!A312))</f>
        <v/>
      </c>
      <c r="B312" s="6" t="str">
        <f>IF($A312="","",TRIM('Base Oficial'!B312))</f>
        <v/>
      </c>
      <c r="C312" s="6" t="str">
        <f>IF($A312="","",TRIM('Base Oficial'!F312))</f>
        <v/>
      </c>
      <c r="D312" s="6" t="str">
        <f>IF($A312="","",TRIM('Base Oficial'!G312))</f>
        <v/>
      </c>
      <c r="E312" s="6" t="str">
        <f>IF($A312="","",TRIM('Base Oficial'!D312))</f>
        <v/>
      </c>
      <c r="F312" s="4" t="str">
        <f>IF($A312="","",IF(COUNTIF('Base Exámenes'!$C$5:$C$1000, A312)&gt;0, "Completado", IF(M312&lt;&gt;"", M312, "Pendiente")))</f>
        <v/>
      </c>
      <c r="G312" s="11" t="str">
        <f>IF(F312="Completado", IFERROR(IF(INDEX('Base Exámenes'!$D$5:$D$1000, MATCH(A312&amp;"|"&amp;J312, 'Base Exámenes'!$I$5:$I$1000, 0))="", "", INDEX('Base Exámenes'!$D$5:$D$1000, MATCH(A312&amp;"|"&amp;J312, 'Base Exámenes'!$I$5:$I$1000, 0))), ""), "")</f>
        <v/>
      </c>
      <c r="H312" s="11" t="str">
        <f>IF(F312="Completado", IFERROR(IF(INDEX('Base Exámenes'!$E$5:$E$1000, MATCH(A312&amp;"|"&amp;J312, 'Base Exámenes'!$I$5:$I$1000, 0))="", "", INDEX('Base Exámenes'!$E$5:$E$1000, MATCH(A312&amp;"|"&amp;J312, 'Base Exámenes'!$I$5:$I$1000, 0))), ""), "")</f>
        <v/>
      </c>
      <c r="I312" s="10" t="str">
        <f>IF(F312="Completado", IFERROR(IF(INDEX('Base Exámenes'!$F$5:$F$1000, MATCH(A312&amp;"|"&amp;J312, 'Base Exámenes'!$I$5:$I$1000, 0))="", "", INDEX('Base Exámenes'!$F$5:$F$1000, MATCH(A312&amp;"|"&amp;J312, 'Base Exámenes'!$I$5:$I$1000, 0))), ""), "")</f>
        <v/>
      </c>
      <c r="J312" s="6" t="str">
        <f>IF(F312="Completado", IF(COUNTIFS('Base Exámenes'!$C$5:$C$1000, A312, 'Base Exámenes'!$G$5:$G$1000, "&lt;&gt;")=0, "", _xlfn.MAXIFS('Base Exámenes'!$G$5:$G$1000, 'Base Exámenes'!$C$5:$C$1000, A312)), "")</f>
        <v/>
      </c>
      <c r="K312" s="6" t="str">
        <f>IF(F312="Completado", IFERROR(IF(INDEX('Base Exámenes'!$H$5:$H$1000, MATCH(A312&amp;"|"&amp;J312, 'Base Exámenes'!$I$5:$I$1000, 0))="", "", INDEX('Base Exámenes'!$H$5:$H$1000, MATCH(A312&amp;"|"&amp;J312, 'Base Exámenes'!$I$5:$I$1000, 0))), ""), "")</f>
        <v/>
      </c>
      <c r="L312" s="22" t="str">
        <f>IF($A312="","",COUNTIF('Base Exámenes'!$C$5:$C$1000, A312))</f>
        <v/>
      </c>
      <c r="M312" s="6" t="str">
        <f>IF($A312="","",IF(COUNTIF('Base Exámenes'!$C$5:$C$1000, A312)&gt;0, "", TRIM('Base Oficial'!H312)))</f>
        <v/>
      </c>
    </row>
    <row r="313">
      <c r="A313" s="4" t="str">
        <f>IF('Base Oficial'!A313="","",TRIM('Base Oficial'!A313))</f>
        <v/>
      </c>
      <c r="B313" s="6" t="str">
        <f>IF($A313="","",TRIM('Base Oficial'!B313))</f>
        <v/>
      </c>
      <c r="C313" s="6" t="str">
        <f>IF($A313="","",TRIM('Base Oficial'!F313))</f>
        <v/>
      </c>
      <c r="D313" s="6" t="str">
        <f>IF($A313="","",TRIM('Base Oficial'!G313))</f>
        <v/>
      </c>
      <c r="E313" s="6" t="str">
        <f>IF($A313="","",TRIM('Base Oficial'!D313))</f>
        <v/>
      </c>
      <c r="F313" s="4" t="str">
        <f>IF($A313="","",IF(COUNTIF('Base Exámenes'!$C$5:$C$1000, A313)&gt;0, "Completado", IF(M313&lt;&gt;"", M313, "Pendiente")))</f>
        <v/>
      </c>
      <c r="G313" s="11" t="str">
        <f>IF(F313="Completado", IFERROR(IF(INDEX('Base Exámenes'!$D$5:$D$1000, MATCH(A313&amp;"|"&amp;J313, 'Base Exámenes'!$I$5:$I$1000, 0))="", "", INDEX('Base Exámenes'!$D$5:$D$1000, MATCH(A313&amp;"|"&amp;J313, 'Base Exámenes'!$I$5:$I$1000, 0))), ""), "")</f>
        <v/>
      </c>
      <c r="H313" s="11" t="str">
        <f>IF(F313="Completado", IFERROR(IF(INDEX('Base Exámenes'!$E$5:$E$1000, MATCH(A313&amp;"|"&amp;J313, 'Base Exámenes'!$I$5:$I$1000, 0))="", "", INDEX('Base Exámenes'!$E$5:$E$1000, MATCH(A313&amp;"|"&amp;J313, 'Base Exámenes'!$I$5:$I$1000, 0))), ""), "")</f>
        <v/>
      </c>
      <c r="I313" s="10" t="str">
        <f>IF(F313="Completado", IFERROR(IF(INDEX('Base Exámenes'!$F$5:$F$1000, MATCH(A313&amp;"|"&amp;J313, 'Base Exámenes'!$I$5:$I$1000, 0))="", "", INDEX('Base Exámenes'!$F$5:$F$1000, MATCH(A313&amp;"|"&amp;J313, 'Base Exámenes'!$I$5:$I$1000, 0))), ""), "")</f>
        <v/>
      </c>
      <c r="J313" s="6" t="str">
        <f>IF(F313="Completado", IF(COUNTIFS('Base Exámenes'!$C$5:$C$1000, A313, 'Base Exámenes'!$G$5:$G$1000, "&lt;&gt;")=0, "", _xlfn.MAXIFS('Base Exámenes'!$G$5:$G$1000, 'Base Exámenes'!$C$5:$C$1000, A313)), "")</f>
        <v/>
      </c>
      <c r="K313" s="6" t="str">
        <f>IF(F313="Completado", IFERROR(IF(INDEX('Base Exámenes'!$H$5:$H$1000, MATCH(A313&amp;"|"&amp;J313, 'Base Exámenes'!$I$5:$I$1000, 0))="", "", INDEX('Base Exámenes'!$H$5:$H$1000, MATCH(A313&amp;"|"&amp;J313, 'Base Exámenes'!$I$5:$I$1000, 0))), ""), "")</f>
        <v/>
      </c>
      <c r="L313" s="22" t="str">
        <f>IF($A313="","",COUNTIF('Base Exámenes'!$C$5:$C$1000, A313))</f>
        <v/>
      </c>
      <c r="M313" s="6" t="str">
        <f>IF($A313="","",IF(COUNTIF('Base Exámenes'!$C$5:$C$1000, A313)&gt;0, "", TRIM('Base Oficial'!H313)))</f>
        <v/>
      </c>
    </row>
    <row r="314">
      <c r="A314" s="4" t="str">
        <f>IF('Base Oficial'!A314="","",TRIM('Base Oficial'!A314))</f>
        <v/>
      </c>
      <c r="B314" s="6" t="str">
        <f>IF($A314="","",TRIM('Base Oficial'!B314))</f>
        <v/>
      </c>
      <c r="C314" s="6" t="str">
        <f>IF($A314="","",TRIM('Base Oficial'!F314))</f>
        <v/>
      </c>
      <c r="D314" s="6" t="str">
        <f>IF($A314="","",TRIM('Base Oficial'!G314))</f>
        <v/>
      </c>
      <c r="E314" s="6" t="str">
        <f>IF($A314="","",TRIM('Base Oficial'!D314))</f>
        <v/>
      </c>
      <c r="F314" s="4" t="str">
        <f>IF($A314="","",IF(COUNTIF('Base Exámenes'!$C$5:$C$1000, A314)&gt;0, "Completado", IF(M314&lt;&gt;"", M314, "Pendiente")))</f>
        <v/>
      </c>
      <c r="G314" s="11" t="str">
        <f>IF(F314="Completado", IFERROR(IF(INDEX('Base Exámenes'!$D$5:$D$1000, MATCH(A314&amp;"|"&amp;J314, 'Base Exámenes'!$I$5:$I$1000, 0))="", "", INDEX('Base Exámenes'!$D$5:$D$1000, MATCH(A314&amp;"|"&amp;J314, 'Base Exámenes'!$I$5:$I$1000, 0))), ""), "")</f>
        <v/>
      </c>
      <c r="H314" s="11" t="str">
        <f>IF(F314="Completado", IFERROR(IF(INDEX('Base Exámenes'!$E$5:$E$1000, MATCH(A314&amp;"|"&amp;J314, 'Base Exámenes'!$I$5:$I$1000, 0))="", "", INDEX('Base Exámenes'!$E$5:$E$1000, MATCH(A314&amp;"|"&amp;J314, 'Base Exámenes'!$I$5:$I$1000, 0))), ""), "")</f>
        <v/>
      </c>
      <c r="I314" s="10" t="str">
        <f>IF(F314="Completado", IFERROR(IF(INDEX('Base Exámenes'!$F$5:$F$1000, MATCH(A314&amp;"|"&amp;J314, 'Base Exámenes'!$I$5:$I$1000, 0))="", "", INDEX('Base Exámenes'!$F$5:$F$1000, MATCH(A314&amp;"|"&amp;J314, 'Base Exámenes'!$I$5:$I$1000, 0))), ""), "")</f>
        <v/>
      </c>
      <c r="J314" s="6" t="str">
        <f>IF(F314="Completado", IF(COUNTIFS('Base Exámenes'!$C$5:$C$1000, A314, 'Base Exámenes'!$G$5:$G$1000, "&lt;&gt;")=0, "", _xlfn.MAXIFS('Base Exámenes'!$G$5:$G$1000, 'Base Exámenes'!$C$5:$C$1000, A314)), "")</f>
        <v/>
      </c>
      <c r="K314" s="6" t="str">
        <f>IF(F314="Completado", IFERROR(IF(INDEX('Base Exámenes'!$H$5:$H$1000, MATCH(A314&amp;"|"&amp;J314, 'Base Exámenes'!$I$5:$I$1000, 0))="", "", INDEX('Base Exámenes'!$H$5:$H$1000, MATCH(A314&amp;"|"&amp;J314, 'Base Exámenes'!$I$5:$I$1000, 0))), ""), "")</f>
        <v/>
      </c>
      <c r="L314" s="22" t="str">
        <f>IF($A314="","",COUNTIF('Base Exámenes'!$C$5:$C$1000, A314))</f>
        <v/>
      </c>
      <c r="M314" s="6" t="str">
        <f>IF($A314="","",IF(COUNTIF('Base Exámenes'!$C$5:$C$1000, A314)&gt;0, "", TRIM('Base Oficial'!H314)))</f>
        <v/>
      </c>
    </row>
    <row r="315">
      <c r="A315" s="4" t="str">
        <f>IF('Base Oficial'!A315="","",TRIM('Base Oficial'!A315))</f>
        <v/>
      </c>
      <c r="B315" s="6" t="str">
        <f>IF($A315="","",TRIM('Base Oficial'!B315))</f>
        <v/>
      </c>
      <c r="C315" s="6" t="str">
        <f>IF($A315="","",TRIM('Base Oficial'!F315))</f>
        <v/>
      </c>
      <c r="D315" s="6" t="str">
        <f>IF($A315="","",TRIM('Base Oficial'!G315))</f>
        <v/>
      </c>
      <c r="E315" s="6" t="str">
        <f>IF($A315="","",TRIM('Base Oficial'!D315))</f>
        <v/>
      </c>
      <c r="F315" s="4" t="str">
        <f>IF($A315="","",IF(COUNTIF('Base Exámenes'!$C$5:$C$1000, A315)&gt;0, "Completado", IF(M315&lt;&gt;"", M315, "Pendiente")))</f>
        <v/>
      </c>
      <c r="G315" s="11" t="str">
        <f>IF(F315="Completado", IFERROR(IF(INDEX('Base Exámenes'!$D$5:$D$1000, MATCH(A315&amp;"|"&amp;J315, 'Base Exámenes'!$I$5:$I$1000, 0))="", "", INDEX('Base Exámenes'!$D$5:$D$1000, MATCH(A315&amp;"|"&amp;J315, 'Base Exámenes'!$I$5:$I$1000, 0))), ""), "")</f>
        <v/>
      </c>
      <c r="H315" s="11" t="str">
        <f>IF(F315="Completado", IFERROR(IF(INDEX('Base Exámenes'!$E$5:$E$1000, MATCH(A315&amp;"|"&amp;J315, 'Base Exámenes'!$I$5:$I$1000, 0))="", "", INDEX('Base Exámenes'!$E$5:$E$1000, MATCH(A315&amp;"|"&amp;J315, 'Base Exámenes'!$I$5:$I$1000, 0))), ""), "")</f>
        <v/>
      </c>
      <c r="I315" s="10" t="str">
        <f>IF(F315="Completado", IFERROR(IF(INDEX('Base Exámenes'!$F$5:$F$1000, MATCH(A315&amp;"|"&amp;J315, 'Base Exámenes'!$I$5:$I$1000, 0))="", "", INDEX('Base Exámenes'!$F$5:$F$1000, MATCH(A315&amp;"|"&amp;J315, 'Base Exámenes'!$I$5:$I$1000, 0))), ""), "")</f>
        <v/>
      </c>
      <c r="J315" s="6" t="str">
        <f>IF(F315="Completado", IF(COUNTIFS('Base Exámenes'!$C$5:$C$1000, A315, 'Base Exámenes'!$G$5:$G$1000, "&lt;&gt;")=0, "", _xlfn.MAXIFS('Base Exámenes'!$G$5:$G$1000, 'Base Exámenes'!$C$5:$C$1000, A315)), "")</f>
        <v/>
      </c>
      <c r="K315" s="6" t="str">
        <f>IF(F315="Completado", IFERROR(IF(INDEX('Base Exámenes'!$H$5:$H$1000, MATCH(A315&amp;"|"&amp;J315, 'Base Exámenes'!$I$5:$I$1000, 0))="", "", INDEX('Base Exámenes'!$H$5:$H$1000, MATCH(A315&amp;"|"&amp;J315, 'Base Exámenes'!$I$5:$I$1000, 0))), ""), "")</f>
        <v/>
      </c>
      <c r="L315" s="22" t="str">
        <f>IF($A315="","",COUNTIF('Base Exámenes'!$C$5:$C$1000, A315))</f>
        <v/>
      </c>
      <c r="M315" s="6" t="str">
        <f>IF($A315="","",IF(COUNTIF('Base Exámenes'!$C$5:$C$1000, A315)&gt;0, "", TRIM('Base Oficial'!H315)))</f>
        <v/>
      </c>
    </row>
    <row r="316">
      <c r="A316" s="4" t="str">
        <f>IF('Base Oficial'!A316="","",TRIM('Base Oficial'!A316))</f>
        <v/>
      </c>
      <c r="B316" s="6" t="str">
        <f>IF($A316="","",TRIM('Base Oficial'!B316))</f>
        <v/>
      </c>
      <c r="C316" s="6" t="str">
        <f>IF($A316="","",TRIM('Base Oficial'!F316))</f>
        <v/>
      </c>
      <c r="D316" s="6" t="str">
        <f>IF($A316="","",TRIM('Base Oficial'!G316))</f>
        <v/>
      </c>
      <c r="E316" s="6" t="str">
        <f>IF($A316="","",TRIM('Base Oficial'!D316))</f>
        <v/>
      </c>
      <c r="F316" s="4" t="str">
        <f>IF($A316="","",IF(COUNTIF('Base Exámenes'!$C$5:$C$1000, A316)&gt;0, "Completado", IF(M316&lt;&gt;"", M316, "Pendiente")))</f>
        <v/>
      </c>
      <c r="G316" s="11" t="str">
        <f>IF(F316="Completado", IFERROR(IF(INDEX('Base Exámenes'!$D$5:$D$1000, MATCH(A316&amp;"|"&amp;J316, 'Base Exámenes'!$I$5:$I$1000, 0))="", "", INDEX('Base Exámenes'!$D$5:$D$1000, MATCH(A316&amp;"|"&amp;J316, 'Base Exámenes'!$I$5:$I$1000, 0))), ""), "")</f>
        <v/>
      </c>
      <c r="H316" s="11" t="str">
        <f>IF(F316="Completado", IFERROR(IF(INDEX('Base Exámenes'!$E$5:$E$1000, MATCH(A316&amp;"|"&amp;J316, 'Base Exámenes'!$I$5:$I$1000, 0))="", "", INDEX('Base Exámenes'!$E$5:$E$1000, MATCH(A316&amp;"|"&amp;J316, 'Base Exámenes'!$I$5:$I$1000, 0))), ""), "")</f>
        <v/>
      </c>
      <c r="I316" s="10" t="str">
        <f>IF(F316="Completado", IFERROR(IF(INDEX('Base Exámenes'!$F$5:$F$1000, MATCH(A316&amp;"|"&amp;J316, 'Base Exámenes'!$I$5:$I$1000, 0))="", "", INDEX('Base Exámenes'!$F$5:$F$1000, MATCH(A316&amp;"|"&amp;J316, 'Base Exámenes'!$I$5:$I$1000, 0))), ""), "")</f>
        <v/>
      </c>
      <c r="J316" s="6" t="str">
        <f>IF(F316="Completado", IF(COUNTIFS('Base Exámenes'!$C$5:$C$1000, A316, 'Base Exámenes'!$G$5:$G$1000, "&lt;&gt;")=0, "", _xlfn.MAXIFS('Base Exámenes'!$G$5:$G$1000, 'Base Exámenes'!$C$5:$C$1000, A316)), "")</f>
        <v/>
      </c>
      <c r="K316" s="6" t="str">
        <f>IF(F316="Completado", IFERROR(IF(INDEX('Base Exámenes'!$H$5:$H$1000, MATCH(A316&amp;"|"&amp;J316, 'Base Exámenes'!$I$5:$I$1000, 0))="", "", INDEX('Base Exámenes'!$H$5:$H$1000, MATCH(A316&amp;"|"&amp;J316, 'Base Exámenes'!$I$5:$I$1000, 0))), ""), "")</f>
        <v/>
      </c>
      <c r="L316" s="22" t="str">
        <f>IF($A316="","",COUNTIF('Base Exámenes'!$C$5:$C$1000, A316))</f>
        <v/>
      </c>
      <c r="M316" s="6" t="str">
        <f>IF($A316="","",IF(COUNTIF('Base Exámenes'!$C$5:$C$1000, A316)&gt;0, "", TRIM('Base Oficial'!H316)))</f>
        <v/>
      </c>
    </row>
    <row r="317">
      <c r="A317" s="4" t="str">
        <f>IF('Base Oficial'!A317="","",TRIM('Base Oficial'!A317))</f>
        <v/>
      </c>
      <c r="B317" s="6" t="str">
        <f>IF($A317="","",TRIM('Base Oficial'!B317))</f>
        <v/>
      </c>
      <c r="C317" s="6" t="str">
        <f>IF($A317="","",TRIM('Base Oficial'!F317))</f>
        <v/>
      </c>
      <c r="D317" s="6" t="str">
        <f>IF($A317="","",TRIM('Base Oficial'!G317))</f>
        <v/>
      </c>
      <c r="E317" s="6" t="str">
        <f>IF($A317="","",TRIM('Base Oficial'!D317))</f>
        <v/>
      </c>
      <c r="F317" s="4" t="str">
        <f>IF($A317="","",IF(COUNTIF('Base Exámenes'!$C$5:$C$1000, A317)&gt;0, "Completado", IF(M317&lt;&gt;"", M317, "Pendiente")))</f>
        <v/>
      </c>
      <c r="G317" s="11" t="str">
        <f>IF(F317="Completado", IFERROR(IF(INDEX('Base Exámenes'!$D$5:$D$1000, MATCH(A317&amp;"|"&amp;J317, 'Base Exámenes'!$I$5:$I$1000, 0))="", "", INDEX('Base Exámenes'!$D$5:$D$1000, MATCH(A317&amp;"|"&amp;J317, 'Base Exámenes'!$I$5:$I$1000, 0))), ""), "")</f>
        <v/>
      </c>
      <c r="H317" s="11" t="str">
        <f>IF(F317="Completado", IFERROR(IF(INDEX('Base Exámenes'!$E$5:$E$1000, MATCH(A317&amp;"|"&amp;J317, 'Base Exámenes'!$I$5:$I$1000, 0))="", "", INDEX('Base Exámenes'!$E$5:$E$1000, MATCH(A317&amp;"|"&amp;J317, 'Base Exámenes'!$I$5:$I$1000, 0))), ""), "")</f>
        <v/>
      </c>
      <c r="I317" s="10" t="str">
        <f>IF(F317="Completado", IFERROR(IF(INDEX('Base Exámenes'!$F$5:$F$1000, MATCH(A317&amp;"|"&amp;J317, 'Base Exámenes'!$I$5:$I$1000, 0))="", "", INDEX('Base Exámenes'!$F$5:$F$1000, MATCH(A317&amp;"|"&amp;J317, 'Base Exámenes'!$I$5:$I$1000, 0))), ""), "")</f>
        <v/>
      </c>
      <c r="J317" s="6" t="str">
        <f>IF(F317="Completado", IF(COUNTIFS('Base Exámenes'!$C$5:$C$1000, A317, 'Base Exámenes'!$G$5:$G$1000, "&lt;&gt;")=0, "", _xlfn.MAXIFS('Base Exámenes'!$G$5:$G$1000, 'Base Exámenes'!$C$5:$C$1000, A317)), "")</f>
        <v/>
      </c>
      <c r="K317" s="6" t="str">
        <f>IF(F317="Completado", IFERROR(IF(INDEX('Base Exámenes'!$H$5:$H$1000, MATCH(A317&amp;"|"&amp;J317, 'Base Exámenes'!$I$5:$I$1000, 0))="", "", INDEX('Base Exámenes'!$H$5:$H$1000, MATCH(A317&amp;"|"&amp;J317, 'Base Exámenes'!$I$5:$I$1000, 0))), ""), "")</f>
        <v/>
      </c>
      <c r="L317" s="22" t="str">
        <f>IF($A317="","",COUNTIF('Base Exámenes'!$C$5:$C$1000, A317))</f>
        <v/>
      </c>
      <c r="M317" s="6" t="str">
        <f>IF($A317="","",IF(COUNTIF('Base Exámenes'!$C$5:$C$1000, A317)&gt;0, "", TRIM('Base Oficial'!H317)))</f>
        <v/>
      </c>
    </row>
    <row r="318">
      <c r="A318" s="4" t="str">
        <f>IF('Base Oficial'!A318="","",TRIM('Base Oficial'!A318))</f>
        <v/>
      </c>
      <c r="B318" s="6" t="str">
        <f>IF($A318="","",TRIM('Base Oficial'!B318))</f>
        <v/>
      </c>
      <c r="C318" s="6" t="str">
        <f>IF($A318="","",TRIM('Base Oficial'!F318))</f>
        <v/>
      </c>
      <c r="D318" s="6" t="str">
        <f>IF($A318="","",TRIM('Base Oficial'!G318))</f>
        <v/>
      </c>
      <c r="E318" s="6" t="str">
        <f>IF($A318="","",TRIM('Base Oficial'!D318))</f>
        <v/>
      </c>
      <c r="F318" s="4" t="str">
        <f>IF($A318="","",IF(COUNTIF('Base Exámenes'!$C$5:$C$1000, A318)&gt;0, "Completado", IF(M318&lt;&gt;"", M318, "Pendiente")))</f>
        <v/>
      </c>
      <c r="G318" s="11" t="str">
        <f>IF(F318="Completado", IFERROR(IF(INDEX('Base Exámenes'!$D$5:$D$1000, MATCH(A318&amp;"|"&amp;J318, 'Base Exámenes'!$I$5:$I$1000, 0))="", "", INDEX('Base Exámenes'!$D$5:$D$1000, MATCH(A318&amp;"|"&amp;J318, 'Base Exámenes'!$I$5:$I$1000, 0))), ""), "")</f>
        <v/>
      </c>
      <c r="H318" s="11" t="str">
        <f>IF(F318="Completado", IFERROR(IF(INDEX('Base Exámenes'!$E$5:$E$1000, MATCH(A318&amp;"|"&amp;J318, 'Base Exámenes'!$I$5:$I$1000, 0))="", "", INDEX('Base Exámenes'!$E$5:$E$1000, MATCH(A318&amp;"|"&amp;J318, 'Base Exámenes'!$I$5:$I$1000, 0))), ""), "")</f>
        <v/>
      </c>
      <c r="I318" s="10" t="str">
        <f>IF(F318="Completado", IFERROR(IF(INDEX('Base Exámenes'!$F$5:$F$1000, MATCH(A318&amp;"|"&amp;J318, 'Base Exámenes'!$I$5:$I$1000, 0))="", "", INDEX('Base Exámenes'!$F$5:$F$1000, MATCH(A318&amp;"|"&amp;J318, 'Base Exámenes'!$I$5:$I$1000, 0))), ""), "")</f>
        <v/>
      </c>
      <c r="J318" s="6" t="str">
        <f>IF(F318="Completado", IF(COUNTIFS('Base Exámenes'!$C$5:$C$1000, A318, 'Base Exámenes'!$G$5:$G$1000, "&lt;&gt;")=0, "", _xlfn.MAXIFS('Base Exámenes'!$G$5:$G$1000, 'Base Exámenes'!$C$5:$C$1000, A318)), "")</f>
        <v/>
      </c>
      <c r="K318" s="6" t="str">
        <f>IF(F318="Completado", IFERROR(IF(INDEX('Base Exámenes'!$H$5:$H$1000, MATCH(A318&amp;"|"&amp;J318, 'Base Exámenes'!$I$5:$I$1000, 0))="", "", INDEX('Base Exámenes'!$H$5:$H$1000, MATCH(A318&amp;"|"&amp;J318, 'Base Exámenes'!$I$5:$I$1000, 0))), ""), "")</f>
        <v/>
      </c>
      <c r="L318" s="22" t="str">
        <f>IF($A318="","",COUNTIF('Base Exámenes'!$C$5:$C$1000, A318))</f>
        <v/>
      </c>
      <c r="M318" s="6" t="str">
        <f>IF($A318="","",IF(COUNTIF('Base Exámenes'!$C$5:$C$1000, A318)&gt;0, "", TRIM('Base Oficial'!H318)))</f>
        <v/>
      </c>
    </row>
    <row r="319">
      <c r="A319" s="4" t="str">
        <f>IF('Base Oficial'!A319="","",TRIM('Base Oficial'!A319))</f>
        <v/>
      </c>
      <c r="B319" s="6" t="str">
        <f>IF($A319="","",TRIM('Base Oficial'!B319))</f>
        <v/>
      </c>
      <c r="C319" s="6" t="str">
        <f>IF($A319="","",TRIM('Base Oficial'!F319))</f>
        <v/>
      </c>
      <c r="D319" s="6" t="str">
        <f>IF($A319="","",TRIM('Base Oficial'!G319))</f>
        <v/>
      </c>
      <c r="E319" s="6" t="str">
        <f>IF($A319="","",TRIM('Base Oficial'!D319))</f>
        <v/>
      </c>
      <c r="F319" s="4" t="str">
        <f>IF($A319="","",IF(COUNTIF('Base Exámenes'!$C$5:$C$1000, A319)&gt;0, "Completado", IF(M319&lt;&gt;"", M319, "Pendiente")))</f>
        <v/>
      </c>
      <c r="G319" s="11" t="str">
        <f>IF(F319="Completado", IFERROR(IF(INDEX('Base Exámenes'!$D$5:$D$1000, MATCH(A319&amp;"|"&amp;J319, 'Base Exámenes'!$I$5:$I$1000, 0))="", "", INDEX('Base Exámenes'!$D$5:$D$1000, MATCH(A319&amp;"|"&amp;J319, 'Base Exámenes'!$I$5:$I$1000, 0))), ""), "")</f>
        <v/>
      </c>
      <c r="H319" s="11" t="str">
        <f>IF(F319="Completado", IFERROR(IF(INDEX('Base Exámenes'!$E$5:$E$1000, MATCH(A319&amp;"|"&amp;J319, 'Base Exámenes'!$I$5:$I$1000, 0))="", "", INDEX('Base Exámenes'!$E$5:$E$1000, MATCH(A319&amp;"|"&amp;J319, 'Base Exámenes'!$I$5:$I$1000, 0))), ""), "")</f>
        <v/>
      </c>
      <c r="I319" s="10" t="str">
        <f>IF(F319="Completado", IFERROR(IF(INDEX('Base Exámenes'!$F$5:$F$1000, MATCH(A319&amp;"|"&amp;J319, 'Base Exámenes'!$I$5:$I$1000, 0))="", "", INDEX('Base Exámenes'!$F$5:$F$1000, MATCH(A319&amp;"|"&amp;J319, 'Base Exámenes'!$I$5:$I$1000, 0))), ""), "")</f>
        <v/>
      </c>
      <c r="J319" s="6" t="str">
        <f>IF(F319="Completado", IF(COUNTIFS('Base Exámenes'!$C$5:$C$1000, A319, 'Base Exámenes'!$G$5:$G$1000, "&lt;&gt;")=0, "", _xlfn.MAXIFS('Base Exámenes'!$G$5:$G$1000, 'Base Exámenes'!$C$5:$C$1000, A319)), "")</f>
        <v/>
      </c>
      <c r="K319" s="6" t="str">
        <f>IF(F319="Completado", IFERROR(IF(INDEX('Base Exámenes'!$H$5:$H$1000, MATCH(A319&amp;"|"&amp;J319, 'Base Exámenes'!$I$5:$I$1000, 0))="", "", INDEX('Base Exámenes'!$H$5:$H$1000, MATCH(A319&amp;"|"&amp;J319, 'Base Exámenes'!$I$5:$I$1000, 0))), ""), "")</f>
        <v/>
      </c>
      <c r="L319" s="22" t="str">
        <f>IF($A319="","",COUNTIF('Base Exámenes'!$C$5:$C$1000, A319))</f>
        <v/>
      </c>
      <c r="M319" s="6" t="str">
        <f>IF($A319="","",IF(COUNTIF('Base Exámenes'!$C$5:$C$1000, A319)&gt;0, "", TRIM('Base Oficial'!H319)))</f>
        <v/>
      </c>
    </row>
    <row r="320">
      <c r="A320" s="4" t="str">
        <f>IF('Base Oficial'!A320="","",TRIM('Base Oficial'!A320))</f>
        <v/>
      </c>
      <c r="B320" s="6" t="str">
        <f>IF($A320="","",TRIM('Base Oficial'!B320))</f>
        <v/>
      </c>
      <c r="C320" s="6" t="str">
        <f>IF($A320="","",TRIM('Base Oficial'!F320))</f>
        <v/>
      </c>
      <c r="D320" s="6" t="str">
        <f>IF($A320="","",TRIM('Base Oficial'!G320))</f>
        <v/>
      </c>
      <c r="E320" s="6" t="str">
        <f>IF($A320="","",TRIM('Base Oficial'!D320))</f>
        <v/>
      </c>
      <c r="F320" s="4" t="str">
        <f>IF($A320="","",IF(COUNTIF('Base Exámenes'!$C$5:$C$1000, A320)&gt;0, "Completado", IF(M320&lt;&gt;"", M320, "Pendiente")))</f>
        <v/>
      </c>
      <c r="G320" s="11" t="str">
        <f>IF(F320="Completado", IFERROR(IF(INDEX('Base Exámenes'!$D$5:$D$1000, MATCH(A320&amp;"|"&amp;J320, 'Base Exámenes'!$I$5:$I$1000, 0))="", "", INDEX('Base Exámenes'!$D$5:$D$1000, MATCH(A320&amp;"|"&amp;J320, 'Base Exámenes'!$I$5:$I$1000, 0))), ""), "")</f>
        <v/>
      </c>
      <c r="H320" s="11" t="str">
        <f>IF(F320="Completado", IFERROR(IF(INDEX('Base Exámenes'!$E$5:$E$1000, MATCH(A320&amp;"|"&amp;J320, 'Base Exámenes'!$I$5:$I$1000, 0))="", "", INDEX('Base Exámenes'!$E$5:$E$1000, MATCH(A320&amp;"|"&amp;J320, 'Base Exámenes'!$I$5:$I$1000, 0))), ""), "")</f>
        <v/>
      </c>
      <c r="I320" s="10" t="str">
        <f>IF(F320="Completado", IFERROR(IF(INDEX('Base Exámenes'!$F$5:$F$1000, MATCH(A320&amp;"|"&amp;J320, 'Base Exámenes'!$I$5:$I$1000, 0))="", "", INDEX('Base Exámenes'!$F$5:$F$1000, MATCH(A320&amp;"|"&amp;J320, 'Base Exámenes'!$I$5:$I$1000, 0))), ""), "")</f>
        <v/>
      </c>
      <c r="J320" s="6" t="str">
        <f>IF(F320="Completado", IF(COUNTIFS('Base Exámenes'!$C$5:$C$1000, A320, 'Base Exámenes'!$G$5:$G$1000, "&lt;&gt;")=0, "", _xlfn.MAXIFS('Base Exámenes'!$G$5:$G$1000, 'Base Exámenes'!$C$5:$C$1000, A320)), "")</f>
        <v/>
      </c>
      <c r="K320" s="6" t="str">
        <f>IF(F320="Completado", IFERROR(IF(INDEX('Base Exámenes'!$H$5:$H$1000, MATCH(A320&amp;"|"&amp;J320, 'Base Exámenes'!$I$5:$I$1000, 0))="", "", INDEX('Base Exámenes'!$H$5:$H$1000, MATCH(A320&amp;"|"&amp;J320, 'Base Exámenes'!$I$5:$I$1000, 0))), ""), "")</f>
        <v/>
      </c>
      <c r="L320" s="22" t="str">
        <f>IF($A320="","",COUNTIF('Base Exámenes'!$C$5:$C$1000, A320))</f>
        <v/>
      </c>
      <c r="M320" s="6" t="str">
        <f>IF($A320="","",IF(COUNTIF('Base Exámenes'!$C$5:$C$1000, A320)&gt;0, "", TRIM('Base Oficial'!H320)))</f>
        <v/>
      </c>
    </row>
    <row r="321">
      <c r="A321" s="4" t="str">
        <f>IF('Base Oficial'!A321="","",TRIM('Base Oficial'!A321))</f>
        <v/>
      </c>
      <c r="B321" s="6" t="str">
        <f>IF($A321="","",TRIM('Base Oficial'!B321))</f>
        <v/>
      </c>
      <c r="C321" s="6" t="str">
        <f>IF($A321="","",TRIM('Base Oficial'!F321))</f>
        <v/>
      </c>
      <c r="D321" s="6" t="str">
        <f>IF($A321="","",TRIM('Base Oficial'!G321))</f>
        <v/>
      </c>
      <c r="E321" s="6" t="str">
        <f>IF($A321="","",TRIM('Base Oficial'!D321))</f>
        <v/>
      </c>
      <c r="F321" s="4" t="str">
        <f>IF($A321="","",IF(COUNTIF('Base Exámenes'!$C$5:$C$1000, A321)&gt;0, "Completado", IF(M321&lt;&gt;"", M321, "Pendiente")))</f>
        <v/>
      </c>
      <c r="G321" s="11" t="str">
        <f>IF(F321="Completado", IFERROR(IF(INDEX('Base Exámenes'!$D$5:$D$1000, MATCH(A321&amp;"|"&amp;J321, 'Base Exámenes'!$I$5:$I$1000, 0))="", "", INDEX('Base Exámenes'!$D$5:$D$1000, MATCH(A321&amp;"|"&amp;J321, 'Base Exámenes'!$I$5:$I$1000, 0))), ""), "")</f>
        <v/>
      </c>
      <c r="H321" s="11" t="str">
        <f>IF(F321="Completado", IFERROR(IF(INDEX('Base Exámenes'!$E$5:$E$1000, MATCH(A321&amp;"|"&amp;J321, 'Base Exámenes'!$I$5:$I$1000, 0))="", "", INDEX('Base Exámenes'!$E$5:$E$1000, MATCH(A321&amp;"|"&amp;J321, 'Base Exámenes'!$I$5:$I$1000, 0))), ""), "")</f>
        <v/>
      </c>
      <c r="I321" s="10" t="str">
        <f>IF(F321="Completado", IFERROR(IF(INDEX('Base Exámenes'!$F$5:$F$1000, MATCH(A321&amp;"|"&amp;J321, 'Base Exámenes'!$I$5:$I$1000, 0))="", "", INDEX('Base Exámenes'!$F$5:$F$1000, MATCH(A321&amp;"|"&amp;J321, 'Base Exámenes'!$I$5:$I$1000, 0))), ""), "")</f>
        <v/>
      </c>
      <c r="J321" s="6" t="str">
        <f>IF(F321="Completado", IF(COUNTIFS('Base Exámenes'!$C$5:$C$1000, A321, 'Base Exámenes'!$G$5:$G$1000, "&lt;&gt;")=0, "", _xlfn.MAXIFS('Base Exámenes'!$G$5:$G$1000, 'Base Exámenes'!$C$5:$C$1000, A321)), "")</f>
        <v/>
      </c>
      <c r="K321" s="6" t="str">
        <f>IF(F321="Completado", IFERROR(IF(INDEX('Base Exámenes'!$H$5:$H$1000, MATCH(A321&amp;"|"&amp;J321, 'Base Exámenes'!$I$5:$I$1000, 0))="", "", INDEX('Base Exámenes'!$H$5:$H$1000, MATCH(A321&amp;"|"&amp;J321, 'Base Exámenes'!$I$5:$I$1000, 0))), ""), "")</f>
        <v/>
      </c>
      <c r="L321" s="22" t="str">
        <f>IF($A321="","",COUNTIF('Base Exámenes'!$C$5:$C$1000, A321))</f>
        <v/>
      </c>
      <c r="M321" s="6" t="str">
        <f>IF($A321="","",IF(COUNTIF('Base Exámenes'!$C$5:$C$1000, A321)&gt;0, "", TRIM('Base Oficial'!H321)))</f>
        <v/>
      </c>
    </row>
    <row r="322">
      <c r="A322" s="4" t="str">
        <f>IF('Base Oficial'!A322="","",TRIM('Base Oficial'!A322))</f>
        <v/>
      </c>
      <c r="B322" s="6" t="str">
        <f>IF($A322="","",TRIM('Base Oficial'!B322))</f>
        <v/>
      </c>
      <c r="C322" s="6" t="str">
        <f>IF($A322="","",TRIM('Base Oficial'!F322))</f>
        <v/>
      </c>
      <c r="D322" s="6" t="str">
        <f>IF($A322="","",TRIM('Base Oficial'!G322))</f>
        <v/>
      </c>
      <c r="E322" s="6" t="str">
        <f>IF($A322="","",TRIM('Base Oficial'!D322))</f>
        <v/>
      </c>
      <c r="F322" s="4" t="str">
        <f>IF($A322="","",IF(COUNTIF('Base Exámenes'!$C$5:$C$1000, A322)&gt;0, "Completado", IF(M322&lt;&gt;"", M322, "Pendiente")))</f>
        <v/>
      </c>
      <c r="G322" s="11" t="str">
        <f>IF(F322="Completado", IFERROR(IF(INDEX('Base Exámenes'!$D$5:$D$1000, MATCH(A322&amp;"|"&amp;J322, 'Base Exámenes'!$I$5:$I$1000, 0))="", "", INDEX('Base Exámenes'!$D$5:$D$1000, MATCH(A322&amp;"|"&amp;J322, 'Base Exámenes'!$I$5:$I$1000, 0))), ""), "")</f>
        <v/>
      </c>
      <c r="H322" s="11" t="str">
        <f>IF(F322="Completado", IFERROR(IF(INDEX('Base Exámenes'!$E$5:$E$1000, MATCH(A322&amp;"|"&amp;J322, 'Base Exámenes'!$I$5:$I$1000, 0))="", "", INDEX('Base Exámenes'!$E$5:$E$1000, MATCH(A322&amp;"|"&amp;J322, 'Base Exámenes'!$I$5:$I$1000, 0))), ""), "")</f>
        <v/>
      </c>
      <c r="I322" s="10" t="str">
        <f>IF(F322="Completado", IFERROR(IF(INDEX('Base Exámenes'!$F$5:$F$1000, MATCH(A322&amp;"|"&amp;J322, 'Base Exámenes'!$I$5:$I$1000, 0))="", "", INDEX('Base Exámenes'!$F$5:$F$1000, MATCH(A322&amp;"|"&amp;J322, 'Base Exámenes'!$I$5:$I$1000, 0))), ""), "")</f>
        <v/>
      </c>
      <c r="J322" s="6" t="str">
        <f>IF(F322="Completado", IF(COUNTIFS('Base Exámenes'!$C$5:$C$1000, A322, 'Base Exámenes'!$G$5:$G$1000, "&lt;&gt;")=0, "", _xlfn.MAXIFS('Base Exámenes'!$G$5:$G$1000, 'Base Exámenes'!$C$5:$C$1000, A322)), "")</f>
        <v/>
      </c>
      <c r="K322" s="6" t="str">
        <f>IF(F322="Completado", IFERROR(IF(INDEX('Base Exámenes'!$H$5:$H$1000, MATCH(A322&amp;"|"&amp;J322, 'Base Exámenes'!$I$5:$I$1000, 0))="", "", INDEX('Base Exámenes'!$H$5:$H$1000, MATCH(A322&amp;"|"&amp;J322, 'Base Exámenes'!$I$5:$I$1000, 0))), ""), "")</f>
        <v/>
      </c>
      <c r="L322" s="22" t="str">
        <f>IF($A322="","",COUNTIF('Base Exámenes'!$C$5:$C$1000, A322))</f>
        <v/>
      </c>
      <c r="M322" s="6" t="str">
        <f>IF($A322="","",IF(COUNTIF('Base Exámenes'!$C$5:$C$1000, A322)&gt;0, "", TRIM('Base Oficial'!H322)))</f>
        <v/>
      </c>
    </row>
    <row r="323">
      <c r="A323" s="4" t="str">
        <f>IF('Base Oficial'!A323="","",TRIM('Base Oficial'!A323))</f>
        <v/>
      </c>
      <c r="B323" s="6" t="str">
        <f>IF($A323="","",TRIM('Base Oficial'!B323))</f>
        <v/>
      </c>
      <c r="C323" s="6" t="str">
        <f>IF($A323="","",TRIM('Base Oficial'!F323))</f>
        <v/>
      </c>
      <c r="D323" s="6" t="str">
        <f>IF($A323="","",TRIM('Base Oficial'!G323))</f>
        <v/>
      </c>
      <c r="E323" s="6" t="str">
        <f>IF($A323="","",TRIM('Base Oficial'!D323))</f>
        <v/>
      </c>
      <c r="F323" s="4" t="str">
        <f>IF($A323="","",IF(COUNTIF('Base Exámenes'!$C$5:$C$1000, A323)&gt;0, "Completado", IF(M323&lt;&gt;"", M323, "Pendiente")))</f>
        <v/>
      </c>
      <c r="G323" s="11" t="str">
        <f>IF(F323="Completado", IFERROR(IF(INDEX('Base Exámenes'!$D$5:$D$1000, MATCH(A323&amp;"|"&amp;J323, 'Base Exámenes'!$I$5:$I$1000, 0))="", "", INDEX('Base Exámenes'!$D$5:$D$1000, MATCH(A323&amp;"|"&amp;J323, 'Base Exámenes'!$I$5:$I$1000, 0))), ""), "")</f>
        <v/>
      </c>
      <c r="H323" s="11" t="str">
        <f>IF(F323="Completado", IFERROR(IF(INDEX('Base Exámenes'!$E$5:$E$1000, MATCH(A323&amp;"|"&amp;J323, 'Base Exámenes'!$I$5:$I$1000, 0))="", "", INDEX('Base Exámenes'!$E$5:$E$1000, MATCH(A323&amp;"|"&amp;J323, 'Base Exámenes'!$I$5:$I$1000, 0))), ""), "")</f>
        <v/>
      </c>
      <c r="I323" s="10" t="str">
        <f>IF(F323="Completado", IFERROR(IF(INDEX('Base Exámenes'!$F$5:$F$1000, MATCH(A323&amp;"|"&amp;J323, 'Base Exámenes'!$I$5:$I$1000, 0))="", "", INDEX('Base Exámenes'!$F$5:$F$1000, MATCH(A323&amp;"|"&amp;J323, 'Base Exámenes'!$I$5:$I$1000, 0))), ""), "")</f>
        <v/>
      </c>
      <c r="J323" s="6" t="str">
        <f>IF(F323="Completado", IF(COUNTIFS('Base Exámenes'!$C$5:$C$1000, A323, 'Base Exámenes'!$G$5:$G$1000, "&lt;&gt;")=0, "", _xlfn.MAXIFS('Base Exámenes'!$G$5:$G$1000, 'Base Exámenes'!$C$5:$C$1000, A323)), "")</f>
        <v/>
      </c>
      <c r="K323" s="6" t="str">
        <f>IF(F323="Completado", IFERROR(IF(INDEX('Base Exámenes'!$H$5:$H$1000, MATCH(A323&amp;"|"&amp;J323, 'Base Exámenes'!$I$5:$I$1000, 0))="", "", INDEX('Base Exámenes'!$H$5:$H$1000, MATCH(A323&amp;"|"&amp;J323, 'Base Exámenes'!$I$5:$I$1000, 0))), ""), "")</f>
        <v/>
      </c>
      <c r="L323" s="22" t="str">
        <f>IF($A323="","",COUNTIF('Base Exámenes'!$C$5:$C$1000, A323))</f>
        <v/>
      </c>
      <c r="M323" s="6" t="str">
        <f>IF($A323="","",IF(COUNTIF('Base Exámenes'!$C$5:$C$1000, A323)&gt;0, "", TRIM('Base Oficial'!H323)))</f>
        <v/>
      </c>
    </row>
    <row r="324">
      <c r="A324" s="4" t="str">
        <f>IF('Base Oficial'!A324="","",TRIM('Base Oficial'!A324))</f>
        <v/>
      </c>
      <c r="B324" s="6" t="str">
        <f>IF($A324="","",TRIM('Base Oficial'!B324))</f>
        <v/>
      </c>
      <c r="C324" s="6" t="str">
        <f>IF($A324="","",TRIM('Base Oficial'!F324))</f>
        <v/>
      </c>
      <c r="D324" s="6" t="str">
        <f>IF($A324="","",TRIM('Base Oficial'!G324))</f>
        <v/>
      </c>
      <c r="E324" s="6" t="str">
        <f>IF($A324="","",TRIM('Base Oficial'!D324))</f>
        <v/>
      </c>
      <c r="F324" s="4" t="str">
        <f>IF($A324="","",IF(COUNTIF('Base Exámenes'!$C$5:$C$1000, A324)&gt;0, "Completado", IF(M324&lt;&gt;"", M324, "Pendiente")))</f>
        <v/>
      </c>
      <c r="G324" s="11" t="str">
        <f>IF(F324="Completado", IFERROR(IF(INDEX('Base Exámenes'!$D$5:$D$1000, MATCH(A324&amp;"|"&amp;J324, 'Base Exámenes'!$I$5:$I$1000, 0))="", "", INDEX('Base Exámenes'!$D$5:$D$1000, MATCH(A324&amp;"|"&amp;J324, 'Base Exámenes'!$I$5:$I$1000, 0))), ""), "")</f>
        <v/>
      </c>
      <c r="H324" s="11" t="str">
        <f>IF(F324="Completado", IFERROR(IF(INDEX('Base Exámenes'!$E$5:$E$1000, MATCH(A324&amp;"|"&amp;J324, 'Base Exámenes'!$I$5:$I$1000, 0))="", "", INDEX('Base Exámenes'!$E$5:$E$1000, MATCH(A324&amp;"|"&amp;J324, 'Base Exámenes'!$I$5:$I$1000, 0))), ""), "")</f>
        <v/>
      </c>
      <c r="I324" s="10" t="str">
        <f>IF(F324="Completado", IFERROR(IF(INDEX('Base Exámenes'!$F$5:$F$1000, MATCH(A324&amp;"|"&amp;J324, 'Base Exámenes'!$I$5:$I$1000, 0))="", "", INDEX('Base Exámenes'!$F$5:$F$1000, MATCH(A324&amp;"|"&amp;J324, 'Base Exámenes'!$I$5:$I$1000, 0))), ""), "")</f>
        <v/>
      </c>
      <c r="J324" s="6" t="str">
        <f>IF(F324="Completado", IF(COUNTIFS('Base Exámenes'!$C$5:$C$1000, A324, 'Base Exámenes'!$G$5:$G$1000, "&lt;&gt;")=0, "", _xlfn.MAXIFS('Base Exámenes'!$G$5:$G$1000, 'Base Exámenes'!$C$5:$C$1000, A324)), "")</f>
        <v/>
      </c>
      <c r="K324" s="6" t="str">
        <f>IF(F324="Completado", IFERROR(IF(INDEX('Base Exámenes'!$H$5:$H$1000, MATCH(A324&amp;"|"&amp;J324, 'Base Exámenes'!$I$5:$I$1000, 0))="", "", INDEX('Base Exámenes'!$H$5:$H$1000, MATCH(A324&amp;"|"&amp;J324, 'Base Exámenes'!$I$5:$I$1000, 0))), ""), "")</f>
        <v/>
      </c>
      <c r="L324" s="22" t="str">
        <f>IF($A324="","",COUNTIF('Base Exámenes'!$C$5:$C$1000, A324))</f>
        <v/>
      </c>
      <c r="M324" s="6" t="str">
        <f>IF($A324="","",IF(COUNTIF('Base Exámenes'!$C$5:$C$1000, A324)&gt;0, "", TRIM('Base Oficial'!H324)))</f>
        <v/>
      </c>
    </row>
    <row r="325">
      <c r="A325" s="4" t="str">
        <f>IF('Base Oficial'!A325="","",TRIM('Base Oficial'!A325))</f>
        <v/>
      </c>
      <c r="B325" s="6" t="str">
        <f>IF($A325="","",TRIM('Base Oficial'!B325))</f>
        <v/>
      </c>
      <c r="C325" s="6" t="str">
        <f>IF($A325="","",TRIM('Base Oficial'!F325))</f>
        <v/>
      </c>
      <c r="D325" s="6" t="str">
        <f>IF($A325="","",TRIM('Base Oficial'!G325))</f>
        <v/>
      </c>
      <c r="E325" s="6" t="str">
        <f>IF($A325="","",TRIM('Base Oficial'!D325))</f>
        <v/>
      </c>
      <c r="F325" s="4" t="str">
        <f>IF($A325="","",IF(COUNTIF('Base Exámenes'!$C$5:$C$1000, A325)&gt;0, "Completado", IF(M325&lt;&gt;"", M325, "Pendiente")))</f>
        <v/>
      </c>
      <c r="G325" s="11" t="str">
        <f>IF(F325="Completado", IFERROR(IF(INDEX('Base Exámenes'!$D$5:$D$1000, MATCH(A325&amp;"|"&amp;J325, 'Base Exámenes'!$I$5:$I$1000, 0))="", "", INDEX('Base Exámenes'!$D$5:$D$1000, MATCH(A325&amp;"|"&amp;J325, 'Base Exámenes'!$I$5:$I$1000, 0))), ""), "")</f>
        <v/>
      </c>
      <c r="H325" s="11" t="str">
        <f>IF(F325="Completado", IFERROR(IF(INDEX('Base Exámenes'!$E$5:$E$1000, MATCH(A325&amp;"|"&amp;J325, 'Base Exámenes'!$I$5:$I$1000, 0))="", "", INDEX('Base Exámenes'!$E$5:$E$1000, MATCH(A325&amp;"|"&amp;J325, 'Base Exámenes'!$I$5:$I$1000, 0))), ""), "")</f>
        <v/>
      </c>
      <c r="I325" s="10" t="str">
        <f>IF(F325="Completado", IFERROR(IF(INDEX('Base Exámenes'!$F$5:$F$1000, MATCH(A325&amp;"|"&amp;J325, 'Base Exámenes'!$I$5:$I$1000, 0))="", "", INDEX('Base Exámenes'!$F$5:$F$1000, MATCH(A325&amp;"|"&amp;J325, 'Base Exámenes'!$I$5:$I$1000, 0))), ""), "")</f>
        <v/>
      </c>
      <c r="J325" s="6" t="str">
        <f>IF(F325="Completado", IF(COUNTIFS('Base Exámenes'!$C$5:$C$1000, A325, 'Base Exámenes'!$G$5:$G$1000, "&lt;&gt;")=0, "", _xlfn.MAXIFS('Base Exámenes'!$G$5:$G$1000, 'Base Exámenes'!$C$5:$C$1000, A325)), "")</f>
        <v/>
      </c>
      <c r="K325" s="6" t="str">
        <f>IF(F325="Completado", IFERROR(IF(INDEX('Base Exámenes'!$H$5:$H$1000, MATCH(A325&amp;"|"&amp;J325, 'Base Exámenes'!$I$5:$I$1000, 0))="", "", INDEX('Base Exámenes'!$H$5:$H$1000, MATCH(A325&amp;"|"&amp;J325, 'Base Exámenes'!$I$5:$I$1000, 0))), ""), "")</f>
        <v/>
      </c>
      <c r="L325" s="22" t="str">
        <f>IF($A325="","",COUNTIF('Base Exámenes'!$C$5:$C$1000, A325))</f>
        <v/>
      </c>
      <c r="M325" s="6" t="str">
        <f>IF($A325="","",IF(COUNTIF('Base Exámenes'!$C$5:$C$1000, A325)&gt;0, "", TRIM('Base Oficial'!H325)))</f>
        <v/>
      </c>
    </row>
    <row r="326">
      <c r="A326" s="4" t="str">
        <f>IF('Base Oficial'!A326="","",TRIM('Base Oficial'!A326))</f>
        <v/>
      </c>
      <c r="B326" s="6" t="str">
        <f>IF($A326="","",TRIM('Base Oficial'!B326))</f>
        <v/>
      </c>
      <c r="C326" s="6" t="str">
        <f>IF($A326="","",TRIM('Base Oficial'!F326))</f>
        <v/>
      </c>
      <c r="D326" s="6" t="str">
        <f>IF($A326="","",TRIM('Base Oficial'!G326))</f>
        <v/>
      </c>
      <c r="E326" s="6" t="str">
        <f>IF($A326="","",TRIM('Base Oficial'!D326))</f>
        <v/>
      </c>
      <c r="F326" s="4" t="str">
        <f>IF($A326="","",IF(COUNTIF('Base Exámenes'!$C$5:$C$1000, A326)&gt;0, "Completado", IF(M326&lt;&gt;"", M326, "Pendiente")))</f>
        <v/>
      </c>
      <c r="G326" s="11" t="str">
        <f>IF(F326="Completado", IFERROR(IF(INDEX('Base Exámenes'!$D$5:$D$1000, MATCH(A326&amp;"|"&amp;J326, 'Base Exámenes'!$I$5:$I$1000, 0))="", "", INDEX('Base Exámenes'!$D$5:$D$1000, MATCH(A326&amp;"|"&amp;J326, 'Base Exámenes'!$I$5:$I$1000, 0))), ""), "")</f>
        <v/>
      </c>
      <c r="H326" s="11" t="str">
        <f>IF(F326="Completado", IFERROR(IF(INDEX('Base Exámenes'!$E$5:$E$1000, MATCH(A326&amp;"|"&amp;J326, 'Base Exámenes'!$I$5:$I$1000, 0))="", "", INDEX('Base Exámenes'!$E$5:$E$1000, MATCH(A326&amp;"|"&amp;J326, 'Base Exámenes'!$I$5:$I$1000, 0))), ""), "")</f>
        <v/>
      </c>
      <c r="I326" s="10" t="str">
        <f>IF(F326="Completado", IFERROR(IF(INDEX('Base Exámenes'!$F$5:$F$1000, MATCH(A326&amp;"|"&amp;J326, 'Base Exámenes'!$I$5:$I$1000, 0))="", "", INDEX('Base Exámenes'!$F$5:$F$1000, MATCH(A326&amp;"|"&amp;J326, 'Base Exámenes'!$I$5:$I$1000, 0))), ""), "")</f>
        <v/>
      </c>
      <c r="J326" s="6" t="str">
        <f>IF(F326="Completado", IF(COUNTIFS('Base Exámenes'!$C$5:$C$1000, A326, 'Base Exámenes'!$G$5:$G$1000, "&lt;&gt;")=0, "", _xlfn.MAXIFS('Base Exámenes'!$G$5:$G$1000, 'Base Exámenes'!$C$5:$C$1000, A326)), "")</f>
        <v/>
      </c>
      <c r="K326" s="6" t="str">
        <f>IF(F326="Completado", IFERROR(IF(INDEX('Base Exámenes'!$H$5:$H$1000, MATCH(A326&amp;"|"&amp;J326, 'Base Exámenes'!$I$5:$I$1000, 0))="", "", INDEX('Base Exámenes'!$H$5:$H$1000, MATCH(A326&amp;"|"&amp;J326, 'Base Exámenes'!$I$5:$I$1000, 0))), ""), "")</f>
        <v/>
      </c>
      <c r="L326" s="22" t="str">
        <f>IF($A326="","",COUNTIF('Base Exámenes'!$C$5:$C$1000, A326))</f>
        <v/>
      </c>
      <c r="M326" s="6" t="str">
        <f>IF($A326="","",IF(COUNTIF('Base Exámenes'!$C$5:$C$1000, A326)&gt;0, "", TRIM('Base Oficial'!H326)))</f>
        <v/>
      </c>
    </row>
    <row r="327">
      <c r="A327" s="4" t="str">
        <f>IF('Base Oficial'!A327="","",TRIM('Base Oficial'!A327))</f>
        <v/>
      </c>
      <c r="B327" s="6" t="str">
        <f>IF($A327="","",TRIM('Base Oficial'!B327))</f>
        <v/>
      </c>
      <c r="C327" s="6" t="str">
        <f>IF($A327="","",TRIM('Base Oficial'!F327))</f>
        <v/>
      </c>
      <c r="D327" s="6" t="str">
        <f>IF($A327="","",TRIM('Base Oficial'!G327))</f>
        <v/>
      </c>
      <c r="E327" s="6" t="str">
        <f>IF($A327="","",TRIM('Base Oficial'!D327))</f>
        <v/>
      </c>
      <c r="F327" s="4" t="str">
        <f>IF($A327="","",IF(COUNTIF('Base Exámenes'!$C$5:$C$1000, A327)&gt;0, "Completado", IF(M327&lt;&gt;"", M327, "Pendiente")))</f>
        <v/>
      </c>
      <c r="G327" s="11" t="str">
        <f>IF(F327="Completado", IFERROR(IF(INDEX('Base Exámenes'!$D$5:$D$1000, MATCH(A327&amp;"|"&amp;J327, 'Base Exámenes'!$I$5:$I$1000, 0))="", "", INDEX('Base Exámenes'!$D$5:$D$1000, MATCH(A327&amp;"|"&amp;J327, 'Base Exámenes'!$I$5:$I$1000, 0))), ""), "")</f>
        <v/>
      </c>
      <c r="H327" s="11" t="str">
        <f>IF(F327="Completado", IFERROR(IF(INDEX('Base Exámenes'!$E$5:$E$1000, MATCH(A327&amp;"|"&amp;J327, 'Base Exámenes'!$I$5:$I$1000, 0))="", "", INDEX('Base Exámenes'!$E$5:$E$1000, MATCH(A327&amp;"|"&amp;J327, 'Base Exámenes'!$I$5:$I$1000, 0))), ""), "")</f>
        <v/>
      </c>
      <c r="I327" s="10" t="str">
        <f>IF(F327="Completado", IFERROR(IF(INDEX('Base Exámenes'!$F$5:$F$1000, MATCH(A327&amp;"|"&amp;J327, 'Base Exámenes'!$I$5:$I$1000, 0))="", "", INDEX('Base Exámenes'!$F$5:$F$1000, MATCH(A327&amp;"|"&amp;J327, 'Base Exámenes'!$I$5:$I$1000, 0))), ""), "")</f>
        <v/>
      </c>
      <c r="J327" s="6" t="str">
        <f>IF(F327="Completado", IF(COUNTIFS('Base Exámenes'!$C$5:$C$1000, A327, 'Base Exámenes'!$G$5:$G$1000, "&lt;&gt;")=0, "", _xlfn.MAXIFS('Base Exámenes'!$G$5:$G$1000, 'Base Exámenes'!$C$5:$C$1000, A327)), "")</f>
        <v/>
      </c>
      <c r="K327" s="6" t="str">
        <f>IF(F327="Completado", IFERROR(IF(INDEX('Base Exámenes'!$H$5:$H$1000, MATCH(A327&amp;"|"&amp;J327, 'Base Exámenes'!$I$5:$I$1000, 0))="", "", INDEX('Base Exámenes'!$H$5:$H$1000, MATCH(A327&amp;"|"&amp;J327, 'Base Exámenes'!$I$5:$I$1000, 0))), ""), "")</f>
        <v/>
      </c>
      <c r="L327" s="22" t="str">
        <f>IF($A327="","",COUNTIF('Base Exámenes'!$C$5:$C$1000, A327))</f>
        <v/>
      </c>
      <c r="M327" s="6" t="str">
        <f>IF($A327="","",IF(COUNTIF('Base Exámenes'!$C$5:$C$1000, A327)&gt;0, "", TRIM('Base Oficial'!H327)))</f>
        <v/>
      </c>
    </row>
    <row r="328">
      <c r="A328" s="4" t="str">
        <f>IF('Base Oficial'!A328="","",TRIM('Base Oficial'!A328))</f>
        <v/>
      </c>
      <c r="B328" s="6" t="str">
        <f>IF($A328="","",TRIM('Base Oficial'!B328))</f>
        <v/>
      </c>
      <c r="C328" s="6" t="str">
        <f>IF($A328="","",TRIM('Base Oficial'!F328))</f>
        <v/>
      </c>
      <c r="D328" s="6" t="str">
        <f>IF($A328="","",TRIM('Base Oficial'!G328))</f>
        <v/>
      </c>
      <c r="E328" s="6" t="str">
        <f>IF($A328="","",TRIM('Base Oficial'!D328))</f>
        <v/>
      </c>
      <c r="F328" s="4" t="str">
        <f>IF($A328="","",IF(COUNTIF('Base Exámenes'!$C$5:$C$1000, A328)&gt;0, "Completado", IF(M328&lt;&gt;"", M328, "Pendiente")))</f>
        <v/>
      </c>
      <c r="G328" s="11" t="str">
        <f>IF(F328="Completado", IFERROR(IF(INDEX('Base Exámenes'!$D$5:$D$1000, MATCH(A328&amp;"|"&amp;J328, 'Base Exámenes'!$I$5:$I$1000, 0))="", "", INDEX('Base Exámenes'!$D$5:$D$1000, MATCH(A328&amp;"|"&amp;J328, 'Base Exámenes'!$I$5:$I$1000, 0))), ""), "")</f>
        <v/>
      </c>
      <c r="H328" s="11" t="str">
        <f>IF(F328="Completado", IFERROR(IF(INDEX('Base Exámenes'!$E$5:$E$1000, MATCH(A328&amp;"|"&amp;J328, 'Base Exámenes'!$I$5:$I$1000, 0))="", "", INDEX('Base Exámenes'!$E$5:$E$1000, MATCH(A328&amp;"|"&amp;J328, 'Base Exámenes'!$I$5:$I$1000, 0))), ""), "")</f>
        <v/>
      </c>
      <c r="I328" s="10" t="str">
        <f>IF(F328="Completado", IFERROR(IF(INDEX('Base Exámenes'!$F$5:$F$1000, MATCH(A328&amp;"|"&amp;J328, 'Base Exámenes'!$I$5:$I$1000, 0))="", "", INDEX('Base Exámenes'!$F$5:$F$1000, MATCH(A328&amp;"|"&amp;J328, 'Base Exámenes'!$I$5:$I$1000, 0))), ""), "")</f>
        <v/>
      </c>
      <c r="J328" s="6" t="str">
        <f>IF(F328="Completado", IF(COUNTIFS('Base Exámenes'!$C$5:$C$1000, A328, 'Base Exámenes'!$G$5:$G$1000, "&lt;&gt;")=0, "", _xlfn.MAXIFS('Base Exámenes'!$G$5:$G$1000, 'Base Exámenes'!$C$5:$C$1000, A328)), "")</f>
        <v/>
      </c>
      <c r="K328" s="6" t="str">
        <f>IF(F328="Completado", IFERROR(IF(INDEX('Base Exámenes'!$H$5:$H$1000, MATCH(A328&amp;"|"&amp;J328, 'Base Exámenes'!$I$5:$I$1000, 0))="", "", INDEX('Base Exámenes'!$H$5:$H$1000, MATCH(A328&amp;"|"&amp;J328, 'Base Exámenes'!$I$5:$I$1000, 0))), ""), "")</f>
        <v/>
      </c>
      <c r="L328" s="22" t="str">
        <f>IF($A328="","",COUNTIF('Base Exámenes'!$C$5:$C$1000, A328))</f>
        <v/>
      </c>
      <c r="M328" s="6" t="str">
        <f>IF($A328="","",IF(COUNTIF('Base Exámenes'!$C$5:$C$1000, A328)&gt;0, "", TRIM('Base Oficial'!H328)))</f>
        <v/>
      </c>
    </row>
    <row r="329">
      <c r="A329" s="4" t="str">
        <f>IF('Base Oficial'!A329="","",TRIM('Base Oficial'!A329))</f>
        <v/>
      </c>
      <c r="B329" s="6" t="str">
        <f>IF($A329="","",TRIM('Base Oficial'!B329))</f>
        <v/>
      </c>
      <c r="C329" s="6" t="str">
        <f>IF($A329="","",TRIM('Base Oficial'!F329))</f>
        <v/>
      </c>
      <c r="D329" s="6" t="str">
        <f>IF($A329="","",TRIM('Base Oficial'!G329))</f>
        <v/>
      </c>
      <c r="E329" s="6" t="str">
        <f>IF($A329="","",TRIM('Base Oficial'!D329))</f>
        <v/>
      </c>
      <c r="F329" s="4" t="str">
        <f>IF($A329="","",IF(COUNTIF('Base Exámenes'!$C$5:$C$1000, A329)&gt;0, "Completado", IF(M329&lt;&gt;"", M329, "Pendiente")))</f>
        <v/>
      </c>
      <c r="G329" s="11" t="str">
        <f>IF(F329="Completado", IFERROR(IF(INDEX('Base Exámenes'!$D$5:$D$1000, MATCH(A329&amp;"|"&amp;J329, 'Base Exámenes'!$I$5:$I$1000, 0))="", "", INDEX('Base Exámenes'!$D$5:$D$1000, MATCH(A329&amp;"|"&amp;J329, 'Base Exámenes'!$I$5:$I$1000, 0))), ""), "")</f>
        <v/>
      </c>
      <c r="H329" s="11" t="str">
        <f>IF(F329="Completado", IFERROR(IF(INDEX('Base Exámenes'!$E$5:$E$1000, MATCH(A329&amp;"|"&amp;J329, 'Base Exámenes'!$I$5:$I$1000, 0))="", "", INDEX('Base Exámenes'!$E$5:$E$1000, MATCH(A329&amp;"|"&amp;J329, 'Base Exámenes'!$I$5:$I$1000, 0))), ""), "")</f>
        <v/>
      </c>
      <c r="I329" s="10" t="str">
        <f>IF(F329="Completado", IFERROR(IF(INDEX('Base Exámenes'!$F$5:$F$1000, MATCH(A329&amp;"|"&amp;J329, 'Base Exámenes'!$I$5:$I$1000, 0))="", "", INDEX('Base Exámenes'!$F$5:$F$1000, MATCH(A329&amp;"|"&amp;J329, 'Base Exámenes'!$I$5:$I$1000, 0))), ""), "")</f>
        <v/>
      </c>
      <c r="J329" s="6" t="str">
        <f>IF(F329="Completado", IF(COUNTIFS('Base Exámenes'!$C$5:$C$1000, A329, 'Base Exámenes'!$G$5:$G$1000, "&lt;&gt;")=0, "", _xlfn.MAXIFS('Base Exámenes'!$G$5:$G$1000, 'Base Exámenes'!$C$5:$C$1000, A329)), "")</f>
        <v/>
      </c>
      <c r="K329" s="6" t="str">
        <f>IF(F329="Completado", IFERROR(IF(INDEX('Base Exámenes'!$H$5:$H$1000, MATCH(A329&amp;"|"&amp;J329, 'Base Exámenes'!$I$5:$I$1000, 0))="", "", INDEX('Base Exámenes'!$H$5:$H$1000, MATCH(A329&amp;"|"&amp;J329, 'Base Exámenes'!$I$5:$I$1000, 0))), ""), "")</f>
        <v/>
      </c>
      <c r="L329" s="22" t="str">
        <f>IF($A329="","",COUNTIF('Base Exámenes'!$C$5:$C$1000, A329))</f>
        <v/>
      </c>
      <c r="M329" s="6" t="str">
        <f>IF($A329="","",IF(COUNTIF('Base Exámenes'!$C$5:$C$1000, A329)&gt;0, "", TRIM('Base Oficial'!H329)))</f>
        <v/>
      </c>
    </row>
    <row r="330">
      <c r="A330" s="4" t="str">
        <f>IF('Base Oficial'!A330="","",TRIM('Base Oficial'!A330))</f>
        <v/>
      </c>
      <c r="B330" s="6" t="str">
        <f>IF($A330="","",TRIM('Base Oficial'!B330))</f>
        <v/>
      </c>
      <c r="C330" s="6" t="str">
        <f>IF($A330="","",TRIM('Base Oficial'!F330))</f>
        <v/>
      </c>
      <c r="D330" s="6" t="str">
        <f>IF($A330="","",TRIM('Base Oficial'!G330))</f>
        <v/>
      </c>
      <c r="E330" s="6" t="str">
        <f>IF($A330="","",TRIM('Base Oficial'!D330))</f>
        <v/>
      </c>
      <c r="F330" s="4" t="str">
        <f>IF($A330="","",IF(COUNTIF('Base Exámenes'!$C$5:$C$1000, A330)&gt;0, "Completado", IF(M330&lt;&gt;"", M330, "Pendiente")))</f>
        <v/>
      </c>
      <c r="G330" s="11" t="str">
        <f>IF(F330="Completado", IFERROR(IF(INDEX('Base Exámenes'!$D$5:$D$1000, MATCH(A330&amp;"|"&amp;J330, 'Base Exámenes'!$I$5:$I$1000, 0))="", "", INDEX('Base Exámenes'!$D$5:$D$1000, MATCH(A330&amp;"|"&amp;J330, 'Base Exámenes'!$I$5:$I$1000, 0))), ""), "")</f>
        <v/>
      </c>
      <c r="H330" s="11" t="str">
        <f>IF(F330="Completado", IFERROR(IF(INDEX('Base Exámenes'!$E$5:$E$1000, MATCH(A330&amp;"|"&amp;J330, 'Base Exámenes'!$I$5:$I$1000, 0))="", "", INDEX('Base Exámenes'!$E$5:$E$1000, MATCH(A330&amp;"|"&amp;J330, 'Base Exámenes'!$I$5:$I$1000, 0))), ""), "")</f>
        <v/>
      </c>
      <c r="I330" s="10" t="str">
        <f>IF(F330="Completado", IFERROR(IF(INDEX('Base Exámenes'!$F$5:$F$1000, MATCH(A330&amp;"|"&amp;J330, 'Base Exámenes'!$I$5:$I$1000, 0))="", "", INDEX('Base Exámenes'!$F$5:$F$1000, MATCH(A330&amp;"|"&amp;J330, 'Base Exámenes'!$I$5:$I$1000, 0))), ""), "")</f>
        <v/>
      </c>
      <c r="J330" s="6" t="str">
        <f>IF(F330="Completado", IF(COUNTIFS('Base Exámenes'!$C$5:$C$1000, A330, 'Base Exámenes'!$G$5:$G$1000, "&lt;&gt;")=0, "", _xlfn.MAXIFS('Base Exámenes'!$G$5:$G$1000, 'Base Exámenes'!$C$5:$C$1000, A330)), "")</f>
        <v/>
      </c>
      <c r="K330" s="6" t="str">
        <f>IF(F330="Completado", IFERROR(IF(INDEX('Base Exámenes'!$H$5:$H$1000, MATCH(A330&amp;"|"&amp;J330, 'Base Exámenes'!$I$5:$I$1000, 0))="", "", INDEX('Base Exámenes'!$H$5:$H$1000, MATCH(A330&amp;"|"&amp;J330, 'Base Exámenes'!$I$5:$I$1000, 0))), ""), "")</f>
        <v/>
      </c>
      <c r="L330" s="22" t="str">
        <f>IF($A330="","",COUNTIF('Base Exámenes'!$C$5:$C$1000, A330))</f>
        <v/>
      </c>
      <c r="M330" s="6" t="str">
        <f>IF($A330="","",IF(COUNTIF('Base Exámenes'!$C$5:$C$1000, A330)&gt;0, "", TRIM('Base Oficial'!H330)))</f>
        <v/>
      </c>
    </row>
    <row r="331">
      <c r="A331" s="4" t="str">
        <f>IF('Base Oficial'!A331="","",TRIM('Base Oficial'!A331))</f>
        <v/>
      </c>
      <c r="B331" s="6" t="str">
        <f>IF($A331="","",TRIM('Base Oficial'!B331))</f>
        <v/>
      </c>
      <c r="C331" s="6" t="str">
        <f>IF($A331="","",TRIM('Base Oficial'!F331))</f>
        <v/>
      </c>
      <c r="D331" s="6" t="str">
        <f>IF($A331="","",TRIM('Base Oficial'!G331))</f>
        <v/>
      </c>
      <c r="E331" s="6" t="str">
        <f>IF($A331="","",TRIM('Base Oficial'!D331))</f>
        <v/>
      </c>
      <c r="F331" s="4" t="str">
        <f>IF($A331="","",IF(COUNTIF('Base Exámenes'!$C$5:$C$1000, A331)&gt;0, "Completado", IF(M331&lt;&gt;"", M331, "Pendiente")))</f>
        <v/>
      </c>
      <c r="G331" s="11" t="str">
        <f>IF(F331="Completado", IFERROR(IF(INDEX('Base Exámenes'!$D$5:$D$1000, MATCH(A331&amp;"|"&amp;J331, 'Base Exámenes'!$I$5:$I$1000, 0))="", "", INDEX('Base Exámenes'!$D$5:$D$1000, MATCH(A331&amp;"|"&amp;J331, 'Base Exámenes'!$I$5:$I$1000, 0))), ""), "")</f>
        <v/>
      </c>
      <c r="H331" s="11" t="str">
        <f>IF(F331="Completado", IFERROR(IF(INDEX('Base Exámenes'!$E$5:$E$1000, MATCH(A331&amp;"|"&amp;J331, 'Base Exámenes'!$I$5:$I$1000, 0))="", "", INDEX('Base Exámenes'!$E$5:$E$1000, MATCH(A331&amp;"|"&amp;J331, 'Base Exámenes'!$I$5:$I$1000, 0))), ""), "")</f>
        <v/>
      </c>
      <c r="I331" s="10" t="str">
        <f>IF(F331="Completado", IFERROR(IF(INDEX('Base Exámenes'!$F$5:$F$1000, MATCH(A331&amp;"|"&amp;J331, 'Base Exámenes'!$I$5:$I$1000, 0))="", "", INDEX('Base Exámenes'!$F$5:$F$1000, MATCH(A331&amp;"|"&amp;J331, 'Base Exámenes'!$I$5:$I$1000, 0))), ""), "")</f>
        <v/>
      </c>
      <c r="J331" s="6" t="str">
        <f>IF(F331="Completado", IF(COUNTIFS('Base Exámenes'!$C$5:$C$1000, A331, 'Base Exámenes'!$G$5:$G$1000, "&lt;&gt;")=0, "", _xlfn.MAXIFS('Base Exámenes'!$G$5:$G$1000, 'Base Exámenes'!$C$5:$C$1000, A331)), "")</f>
        <v/>
      </c>
      <c r="K331" s="6" t="str">
        <f>IF(F331="Completado", IFERROR(IF(INDEX('Base Exámenes'!$H$5:$H$1000, MATCH(A331&amp;"|"&amp;J331, 'Base Exámenes'!$I$5:$I$1000, 0))="", "", INDEX('Base Exámenes'!$H$5:$H$1000, MATCH(A331&amp;"|"&amp;J331, 'Base Exámenes'!$I$5:$I$1000, 0))), ""), "")</f>
        <v/>
      </c>
      <c r="L331" s="22" t="str">
        <f>IF($A331="","",COUNTIF('Base Exámenes'!$C$5:$C$1000, A331))</f>
        <v/>
      </c>
      <c r="M331" s="6" t="str">
        <f>IF($A331="","",IF(COUNTIF('Base Exámenes'!$C$5:$C$1000, A331)&gt;0, "", TRIM('Base Oficial'!H331)))</f>
        <v/>
      </c>
    </row>
    <row r="332">
      <c r="A332" s="4" t="str">
        <f>IF('Base Oficial'!A332="","",TRIM('Base Oficial'!A332))</f>
        <v/>
      </c>
      <c r="B332" s="6" t="str">
        <f>IF($A332="","",TRIM('Base Oficial'!B332))</f>
        <v/>
      </c>
      <c r="C332" s="6" t="str">
        <f>IF($A332="","",TRIM('Base Oficial'!F332))</f>
        <v/>
      </c>
      <c r="D332" s="6" t="str">
        <f>IF($A332="","",TRIM('Base Oficial'!G332))</f>
        <v/>
      </c>
      <c r="E332" s="6" t="str">
        <f>IF($A332="","",TRIM('Base Oficial'!D332))</f>
        <v/>
      </c>
      <c r="F332" s="4" t="str">
        <f>IF($A332="","",IF(COUNTIF('Base Exámenes'!$C$5:$C$1000, A332)&gt;0, "Completado", IF(M332&lt;&gt;"", M332, "Pendiente")))</f>
        <v/>
      </c>
      <c r="G332" s="11" t="str">
        <f>IF(F332="Completado", IFERROR(IF(INDEX('Base Exámenes'!$D$5:$D$1000, MATCH(A332&amp;"|"&amp;J332, 'Base Exámenes'!$I$5:$I$1000, 0))="", "", INDEX('Base Exámenes'!$D$5:$D$1000, MATCH(A332&amp;"|"&amp;J332, 'Base Exámenes'!$I$5:$I$1000, 0))), ""), "")</f>
        <v/>
      </c>
      <c r="H332" s="11" t="str">
        <f>IF(F332="Completado", IFERROR(IF(INDEX('Base Exámenes'!$E$5:$E$1000, MATCH(A332&amp;"|"&amp;J332, 'Base Exámenes'!$I$5:$I$1000, 0))="", "", INDEX('Base Exámenes'!$E$5:$E$1000, MATCH(A332&amp;"|"&amp;J332, 'Base Exámenes'!$I$5:$I$1000, 0))), ""), "")</f>
        <v/>
      </c>
      <c r="I332" s="10" t="str">
        <f>IF(F332="Completado", IFERROR(IF(INDEX('Base Exámenes'!$F$5:$F$1000, MATCH(A332&amp;"|"&amp;J332, 'Base Exámenes'!$I$5:$I$1000, 0))="", "", INDEX('Base Exámenes'!$F$5:$F$1000, MATCH(A332&amp;"|"&amp;J332, 'Base Exámenes'!$I$5:$I$1000, 0))), ""), "")</f>
        <v/>
      </c>
      <c r="J332" s="6" t="str">
        <f>IF(F332="Completado", IF(COUNTIFS('Base Exámenes'!$C$5:$C$1000, A332, 'Base Exámenes'!$G$5:$G$1000, "&lt;&gt;")=0, "", _xlfn.MAXIFS('Base Exámenes'!$G$5:$G$1000, 'Base Exámenes'!$C$5:$C$1000, A332)), "")</f>
        <v/>
      </c>
      <c r="K332" s="6" t="str">
        <f>IF(F332="Completado", IFERROR(IF(INDEX('Base Exámenes'!$H$5:$H$1000, MATCH(A332&amp;"|"&amp;J332, 'Base Exámenes'!$I$5:$I$1000, 0))="", "", INDEX('Base Exámenes'!$H$5:$H$1000, MATCH(A332&amp;"|"&amp;J332, 'Base Exámenes'!$I$5:$I$1000, 0))), ""), "")</f>
        <v/>
      </c>
      <c r="L332" s="22" t="str">
        <f>IF($A332="","",COUNTIF('Base Exámenes'!$C$5:$C$1000, A332))</f>
        <v/>
      </c>
      <c r="M332" s="6" t="str">
        <f>IF($A332="","",IF(COUNTIF('Base Exámenes'!$C$5:$C$1000, A332)&gt;0, "", TRIM('Base Oficial'!H332)))</f>
        <v/>
      </c>
    </row>
    <row r="333">
      <c r="A333" s="4" t="str">
        <f>IF('Base Oficial'!A333="","",TRIM('Base Oficial'!A333))</f>
        <v/>
      </c>
      <c r="B333" s="6" t="str">
        <f>IF($A333="","",TRIM('Base Oficial'!B333))</f>
        <v/>
      </c>
      <c r="C333" s="6" t="str">
        <f>IF($A333="","",TRIM('Base Oficial'!F333))</f>
        <v/>
      </c>
      <c r="D333" s="6" t="str">
        <f>IF($A333="","",TRIM('Base Oficial'!G333))</f>
        <v/>
      </c>
      <c r="E333" s="6" t="str">
        <f>IF($A333="","",TRIM('Base Oficial'!D333))</f>
        <v/>
      </c>
      <c r="F333" s="4" t="str">
        <f>IF($A333="","",IF(COUNTIF('Base Exámenes'!$C$5:$C$1000, A333)&gt;0, "Completado", IF(M333&lt;&gt;"", M333, "Pendiente")))</f>
        <v/>
      </c>
      <c r="G333" s="11" t="str">
        <f>IF(F333="Completado", IFERROR(IF(INDEX('Base Exámenes'!$D$5:$D$1000, MATCH(A333&amp;"|"&amp;J333, 'Base Exámenes'!$I$5:$I$1000, 0))="", "", INDEX('Base Exámenes'!$D$5:$D$1000, MATCH(A333&amp;"|"&amp;J333, 'Base Exámenes'!$I$5:$I$1000, 0))), ""), "")</f>
        <v/>
      </c>
      <c r="H333" s="11" t="str">
        <f>IF(F333="Completado", IFERROR(IF(INDEX('Base Exámenes'!$E$5:$E$1000, MATCH(A333&amp;"|"&amp;J333, 'Base Exámenes'!$I$5:$I$1000, 0))="", "", INDEX('Base Exámenes'!$E$5:$E$1000, MATCH(A333&amp;"|"&amp;J333, 'Base Exámenes'!$I$5:$I$1000, 0))), ""), "")</f>
        <v/>
      </c>
      <c r="I333" s="10" t="str">
        <f>IF(F333="Completado", IFERROR(IF(INDEX('Base Exámenes'!$F$5:$F$1000, MATCH(A333&amp;"|"&amp;J333, 'Base Exámenes'!$I$5:$I$1000, 0))="", "", INDEX('Base Exámenes'!$F$5:$F$1000, MATCH(A333&amp;"|"&amp;J333, 'Base Exámenes'!$I$5:$I$1000, 0))), ""), "")</f>
        <v/>
      </c>
      <c r="J333" s="6" t="str">
        <f>IF(F333="Completado", IF(COUNTIFS('Base Exámenes'!$C$5:$C$1000, A333, 'Base Exámenes'!$G$5:$G$1000, "&lt;&gt;")=0, "", _xlfn.MAXIFS('Base Exámenes'!$G$5:$G$1000, 'Base Exámenes'!$C$5:$C$1000, A333)), "")</f>
        <v/>
      </c>
      <c r="K333" s="6" t="str">
        <f>IF(F333="Completado", IFERROR(IF(INDEX('Base Exámenes'!$H$5:$H$1000, MATCH(A333&amp;"|"&amp;J333, 'Base Exámenes'!$I$5:$I$1000, 0))="", "", INDEX('Base Exámenes'!$H$5:$H$1000, MATCH(A333&amp;"|"&amp;J333, 'Base Exámenes'!$I$5:$I$1000, 0))), ""), "")</f>
        <v/>
      </c>
      <c r="L333" s="22" t="str">
        <f>IF($A333="","",COUNTIF('Base Exámenes'!$C$5:$C$1000, A333))</f>
        <v/>
      </c>
      <c r="M333" s="6" t="str">
        <f>IF($A333="","",IF(COUNTIF('Base Exámenes'!$C$5:$C$1000, A333)&gt;0, "", TRIM('Base Oficial'!H333)))</f>
        <v/>
      </c>
    </row>
    <row r="334">
      <c r="A334" s="4" t="str">
        <f>IF('Base Oficial'!A334="","",TRIM('Base Oficial'!A334))</f>
        <v/>
      </c>
      <c r="B334" s="6" t="str">
        <f>IF($A334="","",TRIM('Base Oficial'!B334))</f>
        <v/>
      </c>
      <c r="C334" s="6" t="str">
        <f>IF($A334="","",TRIM('Base Oficial'!F334))</f>
        <v/>
      </c>
      <c r="D334" s="6" t="str">
        <f>IF($A334="","",TRIM('Base Oficial'!G334))</f>
        <v/>
      </c>
      <c r="E334" s="6" t="str">
        <f>IF($A334="","",TRIM('Base Oficial'!D334))</f>
        <v/>
      </c>
      <c r="F334" s="4" t="str">
        <f>IF($A334="","",IF(COUNTIF('Base Exámenes'!$C$5:$C$1000, A334)&gt;0, "Completado", IF(M334&lt;&gt;"", M334, "Pendiente")))</f>
        <v/>
      </c>
      <c r="G334" s="11" t="str">
        <f>IF(F334="Completado", IFERROR(IF(INDEX('Base Exámenes'!$D$5:$D$1000, MATCH(A334&amp;"|"&amp;J334, 'Base Exámenes'!$I$5:$I$1000, 0))="", "", INDEX('Base Exámenes'!$D$5:$D$1000, MATCH(A334&amp;"|"&amp;J334, 'Base Exámenes'!$I$5:$I$1000, 0))), ""), "")</f>
        <v/>
      </c>
      <c r="H334" s="11" t="str">
        <f>IF(F334="Completado", IFERROR(IF(INDEX('Base Exámenes'!$E$5:$E$1000, MATCH(A334&amp;"|"&amp;J334, 'Base Exámenes'!$I$5:$I$1000, 0))="", "", INDEX('Base Exámenes'!$E$5:$E$1000, MATCH(A334&amp;"|"&amp;J334, 'Base Exámenes'!$I$5:$I$1000, 0))), ""), "")</f>
        <v/>
      </c>
      <c r="I334" s="10" t="str">
        <f>IF(F334="Completado", IFERROR(IF(INDEX('Base Exámenes'!$F$5:$F$1000, MATCH(A334&amp;"|"&amp;J334, 'Base Exámenes'!$I$5:$I$1000, 0))="", "", INDEX('Base Exámenes'!$F$5:$F$1000, MATCH(A334&amp;"|"&amp;J334, 'Base Exámenes'!$I$5:$I$1000, 0))), ""), "")</f>
        <v/>
      </c>
      <c r="J334" s="6" t="str">
        <f>IF(F334="Completado", IF(COUNTIFS('Base Exámenes'!$C$5:$C$1000, A334, 'Base Exámenes'!$G$5:$G$1000, "&lt;&gt;")=0, "", _xlfn.MAXIFS('Base Exámenes'!$G$5:$G$1000, 'Base Exámenes'!$C$5:$C$1000, A334)), "")</f>
        <v/>
      </c>
      <c r="K334" s="6" t="str">
        <f>IF(F334="Completado", IFERROR(IF(INDEX('Base Exámenes'!$H$5:$H$1000, MATCH(A334&amp;"|"&amp;J334, 'Base Exámenes'!$I$5:$I$1000, 0))="", "", INDEX('Base Exámenes'!$H$5:$H$1000, MATCH(A334&amp;"|"&amp;J334, 'Base Exámenes'!$I$5:$I$1000, 0))), ""), "")</f>
        <v/>
      </c>
      <c r="L334" s="22" t="str">
        <f>IF($A334="","",COUNTIF('Base Exámenes'!$C$5:$C$1000, A334))</f>
        <v/>
      </c>
      <c r="M334" s="6" t="str">
        <f>IF($A334="","",IF(COUNTIF('Base Exámenes'!$C$5:$C$1000, A334)&gt;0, "", TRIM('Base Oficial'!H334)))</f>
        <v/>
      </c>
    </row>
    <row r="335">
      <c r="A335" s="4" t="str">
        <f>IF('Base Oficial'!A335="","",TRIM('Base Oficial'!A335))</f>
        <v/>
      </c>
      <c r="B335" s="6" t="str">
        <f>IF($A335="","",TRIM('Base Oficial'!B335))</f>
        <v/>
      </c>
      <c r="C335" s="6" t="str">
        <f>IF($A335="","",TRIM('Base Oficial'!F335))</f>
        <v/>
      </c>
      <c r="D335" s="6" t="str">
        <f>IF($A335="","",TRIM('Base Oficial'!G335))</f>
        <v/>
      </c>
      <c r="E335" s="6" t="str">
        <f>IF($A335="","",TRIM('Base Oficial'!D335))</f>
        <v/>
      </c>
      <c r="F335" s="4" t="str">
        <f>IF($A335="","",IF(COUNTIF('Base Exámenes'!$C$5:$C$1000, A335)&gt;0, "Completado", IF(M335&lt;&gt;"", M335, "Pendiente")))</f>
        <v/>
      </c>
      <c r="G335" s="11" t="str">
        <f>IF(F335="Completado", IFERROR(IF(INDEX('Base Exámenes'!$D$5:$D$1000, MATCH(A335&amp;"|"&amp;J335, 'Base Exámenes'!$I$5:$I$1000, 0))="", "", INDEX('Base Exámenes'!$D$5:$D$1000, MATCH(A335&amp;"|"&amp;J335, 'Base Exámenes'!$I$5:$I$1000, 0))), ""), "")</f>
        <v/>
      </c>
      <c r="H335" s="11" t="str">
        <f>IF(F335="Completado", IFERROR(IF(INDEX('Base Exámenes'!$E$5:$E$1000, MATCH(A335&amp;"|"&amp;J335, 'Base Exámenes'!$I$5:$I$1000, 0))="", "", INDEX('Base Exámenes'!$E$5:$E$1000, MATCH(A335&amp;"|"&amp;J335, 'Base Exámenes'!$I$5:$I$1000, 0))), ""), "")</f>
        <v/>
      </c>
      <c r="I335" s="10" t="str">
        <f>IF(F335="Completado", IFERROR(IF(INDEX('Base Exámenes'!$F$5:$F$1000, MATCH(A335&amp;"|"&amp;J335, 'Base Exámenes'!$I$5:$I$1000, 0))="", "", INDEX('Base Exámenes'!$F$5:$F$1000, MATCH(A335&amp;"|"&amp;J335, 'Base Exámenes'!$I$5:$I$1000, 0))), ""), "")</f>
        <v/>
      </c>
      <c r="J335" s="6" t="str">
        <f>IF(F335="Completado", IF(COUNTIFS('Base Exámenes'!$C$5:$C$1000, A335, 'Base Exámenes'!$G$5:$G$1000, "&lt;&gt;")=0, "", _xlfn.MAXIFS('Base Exámenes'!$G$5:$G$1000, 'Base Exámenes'!$C$5:$C$1000, A335)), "")</f>
        <v/>
      </c>
      <c r="K335" s="6" t="str">
        <f>IF(F335="Completado", IFERROR(IF(INDEX('Base Exámenes'!$H$5:$H$1000, MATCH(A335&amp;"|"&amp;J335, 'Base Exámenes'!$I$5:$I$1000, 0))="", "", INDEX('Base Exámenes'!$H$5:$H$1000, MATCH(A335&amp;"|"&amp;J335, 'Base Exámenes'!$I$5:$I$1000, 0))), ""), "")</f>
        <v/>
      </c>
      <c r="L335" s="22" t="str">
        <f>IF($A335="","",COUNTIF('Base Exámenes'!$C$5:$C$1000, A335))</f>
        <v/>
      </c>
      <c r="M335" s="6" t="str">
        <f>IF($A335="","",IF(COUNTIF('Base Exámenes'!$C$5:$C$1000, A335)&gt;0, "", TRIM('Base Oficial'!H335)))</f>
        <v/>
      </c>
    </row>
    <row r="336">
      <c r="A336" s="4" t="str">
        <f>IF('Base Oficial'!A336="","",TRIM('Base Oficial'!A336))</f>
        <v/>
      </c>
      <c r="B336" s="6" t="str">
        <f>IF($A336="","",TRIM('Base Oficial'!B336))</f>
        <v/>
      </c>
      <c r="C336" s="6" t="str">
        <f>IF($A336="","",TRIM('Base Oficial'!F336))</f>
        <v/>
      </c>
      <c r="D336" s="6" t="str">
        <f>IF($A336="","",TRIM('Base Oficial'!G336))</f>
        <v/>
      </c>
      <c r="E336" s="6" t="str">
        <f>IF($A336="","",TRIM('Base Oficial'!D336))</f>
        <v/>
      </c>
      <c r="F336" s="4" t="str">
        <f>IF($A336="","",IF(COUNTIF('Base Exámenes'!$C$5:$C$1000, A336)&gt;0, "Completado", IF(M336&lt;&gt;"", M336, "Pendiente")))</f>
        <v/>
      </c>
      <c r="G336" s="11" t="str">
        <f>IF(F336="Completado", IFERROR(IF(INDEX('Base Exámenes'!$D$5:$D$1000, MATCH(A336&amp;"|"&amp;J336, 'Base Exámenes'!$I$5:$I$1000, 0))="", "", INDEX('Base Exámenes'!$D$5:$D$1000, MATCH(A336&amp;"|"&amp;J336, 'Base Exámenes'!$I$5:$I$1000, 0))), ""), "")</f>
        <v/>
      </c>
      <c r="H336" s="11" t="str">
        <f>IF(F336="Completado", IFERROR(IF(INDEX('Base Exámenes'!$E$5:$E$1000, MATCH(A336&amp;"|"&amp;J336, 'Base Exámenes'!$I$5:$I$1000, 0))="", "", INDEX('Base Exámenes'!$E$5:$E$1000, MATCH(A336&amp;"|"&amp;J336, 'Base Exámenes'!$I$5:$I$1000, 0))), ""), "")</f>
        <v/>
      </c>
      <c r="I336" s="10" t="str">
        <f>IF(F336="Completado", IFERROR(IF(INDEX('Base Exámenes'!$F$5:$F$1000, MATCH(A336&amp;"|"&amp;J336, 'Base Exámenes'!$I$5:$I$1000, 0))="", "", INDEX('Base Exámenes'!$F$5:$F$1000, MATCH(A336&amp;"|"&amp;J336, 'Base Exámenes'!$I$5:$I$1000, 0))), ""), "")</f>
        <v/>
      </c>
      <c r="J336" s="6" t="str">
        <f>IF(F336="Completado", IF(COUNTIFS('Base Exámenes'!$C$5:$C$1000, A336, 'Base Exámenes'!$G$5:$G$1000, "&lt;&gt;")=0, "", _xlfn.MAXIFS('Base Exámenes'!$G$5:$G$1000, 'Base Exámenes'!$C$5:$C$1000, A336)), "")</f>
        <v/>
      </c>
      <c r="K336" s="6" t="str">
        <f>IF(F336="Completado", IFERROR(IF(INDEX('Base Exámenes'!$H$5:$H$1000, MATCH(A336&amp;"|"&amp;J336, 'Base Exámenes'!$I$5:$I$1000, 0))="", "", INDEX('Base Exámenes'!$H$5:$H$1000, MATCH(A336&amp;"|"&amp;J336, 'Base Exámenes'!$I$5:$I$1000, 0))), ""), "")</f>
        <v/>
      </c>
      <c r="L336" s="22" t="str">
        <f>IF($A336="","",COUNTIF('Base Exámenes'!$C$5:$C$1000, A336))</f>
        <v/>
      </c>
      <c r="M336" s="6" t="str">
        <f>IF($A336="","",IF(COUNTIF('Base Exámenes'!$C$5:$C$1000, A336)&gt;0, "", TRIM('Base Oficial'!H336)))</f>
        <v/>
      </c>
    </row>
    <row r="337">
      <c r="A337" s="4" t="str">
        <f>IF('Base Oficial'!A337="","",TRIM('Base Oficial'!A337))</f>
        <v/>
      </c>
      <c r="B337" s="6" t="str">
        <f>IF($A337="","",TRIM('Base Oficial'!B337))</f>
        <v/>
      </c>
      <c r="C337" s="6" t="str">
        <f>IF($A337="","",TRIM('Base Oficial'!F337))</f>
        <v/>
      </c>
      <c r="D337" s="6" t="str">
        <f>IF($A337="","",TRIM('Base Oficial'!G337))</f>
        <v/>
      </c>
      <c r="E337" s="6" t="str">
        <f>IF($A337="","",TRIM('Base Oficial'!D337))</f>
        <v/>
      </c>
      <c r="F337" s="4" t="str">
        <f>IF($A337="","",IF(COUNTIF('Base Exámenes'!$C$5:$C$1000, A337)&gt;0, "Completado", IF(M337&lt;&gt;"", M337, "Pendiente")))</f>
        <v/>
      </c>
      <c r="G337" s="11" t="str">
        <f>IF(F337="Completado", IFERROR(IF(INDEX('Base Exámenes'!$D$5:$D$1000, MATCH(A337&amp;"|"&amp;J337, 'Base Exámenes'!$I$5:$I$1000, 0))="", "", INDEX('Base Exámenes'!$D$5:$D$1000, MATCH(A337&amp;"|"&amp;J337, 'Base Exámenes'!$I$5:$I$1000, 0))), ""), "")</f>
        <v/>
      </c>
      <c r="H337" s="11" t="str">
        <f>IF(F337="Completado", IFERROR(IF(INDEX('Base Exámenes'!$E$5:$E$1000, MATCH(A337&amp;"|"&amp;J337, 'Base Exámenes'!$I$5:$I$1000, 0))="", "", INDEX('Base Exámenes'!$E$5:$E$1000, MATCH(A337&amp;"|"&amp;J337, 'Base Exámenes'!$I$5:$I$1000, 0))), ""), "")</f>
        <v/>
      </c>
      <c r="I337" s="10" t="str">
        <f>IF(F337="Completado", IFERROR(IF(INDEX('Base Exámenes'!$F$5:$F$1000, MATCH(A337&amp;"|"&amp;J337, 'Base Exámenes'!$I$5:$I$1000, 0))="", "", INDEX('Base Exámenes'!$F$5:$F$1000, MATCH(A337&amp;"|"&amp;J337, 'Base Exámenes'!$I$5:$I$1000, 0))), ""), "")</f>
        <v/>
      </c>
      <c r="J337" s="6" t="str">
        <f>IF(F337="Completado", IF(COUNTIFS('Base Exámenes'!$C$5:$C$1000, A337, 'Base Exámenes'!$G$5:$G$1000, "&lt;&gt;")=0, "", _xlfn.MAXIFS('Base Exámenes'!$G$5:$G$1000, 'Base Exámenes'!$C$5:$C$1000, A337)), "")</f>
        <v/>
      </c>
      <c r="K337" s="6" t="str">
        <f>IF(F337="Completado", IFERROR(IF(INDEX('Base Exámenes'!$H$5:$H$1000, MATCH(A337&amp;"|"&amp;J337, 'Base Exámenes'!$I$5:$I$1000, 0))="", "", INDEX('Base Exámenes'!$H$5:$H$1000, MATCH(A337&amp;"|"&amp;J337, 'Base Exámenes'!$I$5:$I$1000, 0))), ""), "")</f>
        <v/>
      </c>
      <c r="L337" s="22" t="str">
        <f>IF($A337="","",COUNTIF('Base Exámenes'!$C$5:$C$1000, A337))</f>
        <v/>
      </c>
      <c r="M337" s="6" t="str">
        <f>IF($A337="","",IF(COUNTIF('Base Exámenes'!$C$5:$C$1000, A337)&gt;0, "", TRIM('Base Oficial'!H337)))</f>
        <v/>
      </c>
    </row>
    <row r="338">
      <c r="A338" s="4" t="str">
        <f>IF('Base Oficial'!A338="","",TRIM('Base Oficial'!A338))</f>
        <v/>
      </c>
      <c r="B338" s="6" t="str">
        <f>IF($A338="","",TRIM('Base Oficial'!B338))</f>
        <v/>
      </c>
      <c r="C338" s="6" t="str">
        <f>IF($A338="","",TRIM('Base Oficial'!F338))</f>
        <v/>
      </c>
      <c r="D338" s="6" t="str">
        <f>IF($A338="","",TRIM('Base Oficial'!G338))</f>
        <v/>
      </c>
      <c r="E338" s="6" t="str">
        <f>IF($A338="","",TRIM('Base Oficial'!D338))</f>
        <v/>
      </c>
      <c r="F338" s="4" t="str">
        <f>IF($A338="","",IF(COUNTIF('Base Exámenes'!$C$5:$C$1000, A338)&gt;0, "Completado", IF(M338&lt;&gt;"", M338, "Pendiente")))</f>
        <v/>
      </c>
      <c r="G338" s="11" t="str">
        <f>IF(F338="Completado", IFERROR(IF(INDEX('Base Exámenes'!$D$5:$D$1000, MATCH(A338&amp;"|"&amp;J338, 'Base Exámenes'!$I$5:$I$1000, 0))="", "", INDEX('Base Exámenes'!$D$5:$D$1000, MATCH(A338&amp;"|"&amp;J338, 'Base Exámenes'!$I$5:$I$1000, 0))), ""), "")</f>
        <v/>
      </c>
      <c r="H338" s="11" t="str">
        <f>IF(F338="Completado", IFERROR(IF(INDEX('Base Exámenes'!$E$5:$E$1000, MATCH(A338&amp;"|"&amp;J338, 'Base Exámenes'!$I$5:$I$1000, 0))="", "", INDEX('Base Exámenes'!$E$5:$E$1000, MATCH(A338&amp;"|"&amp;J338, 'Base Exámenes'!$I$5:$I$1000, 0))), ""), "")</f>
        <v/>
      </c>
      <c r="I338" s="10" t="str">
        <f>IF(F338="Completado", IFERROR(IF(INDEX('Base Exámenes'!$F$5:$F$1000, MATCH(A338&amp;"|"&amp;J338, 'Base Exámenes'!$I$5:$I$1000, 0))="", "", INDEX('Base Exámenes'!$F$5:$F$1000, MATCH(A338&amp;"|"&amp;J338, 'Base Exámenes'!$I$5:$I$1000, 0))), ""), "")</f>
        <v/>
      </c>
      <c r="J338" s="6" t="str">
        <f>IF(F338="Completado", IF(COUNTIFS('Base Exámenes'!$C$5:$C$1000, A338, 'Base Exámenes'!$G$5:$G$1000, "&lt;&gt;")=0, "", _xlfn.MAXIFS('Base Exámenes'!$G$5:$G$1000, 'Base Exámenes'!$C$5:$C$1000, A338)), "")</f>
        <v/>
      </c>
      <c r="K338" s="6" t="str">
        <f>IF(F338="Completado", IFERROR(IF(INDEX('Base Exámenes'!$H$5:$H$1000, MATCH(A338&amp;"|"&amp;J338, 'Base Exámenes'!$I$5:$I$1000, 0))="", "", INDEX('Base Exámenes'!$H$5:$H$1000, MATCH(A338&amp;"|"&amp;J338, 'Base Exámenes'!$I$5:$I$1000, 0))), ""), "")</f>
        <v/>
      </c>
      <c r="L338" s="22" t="str">
        <f>IF($A338="","",COUNTIF('Base Exámenes'!$C$5:$C$1000, A338))</f>
        <v/>
      </c>
      <c r="M338" s="6" t="str">
        <f>IF($A338="","",IF(COUNTIF('Base Exámenes'!$C$5:$C$1000, A338)&gt;0, "", TRIM('Base Oficial'!H338)))</f>
        <v/>
      </c>
    </row>
    <row r="339">
      <c r="A339" s="4" t="str">
        <f>IF('Base Oficial'!A339="","",TRIM('Base Oficial'!A339))</f>
        <v/>
      </c>
      <c r="B339" s="6" t="str">
        <f>IF($A339="","",TRIM('Base Oficial'!B339))</f>
        <v/>
      </c>
      <c r="C339" s="6" t="str">
        <f>IF($A339="","",TRIM('Base Oficial'!F339))</f>
        <v/>
      </c>
      <c r="D339" s="6" t="str">
        <f>IF($A339="","",TRIM('Base Oficial'!G339))</f>
        <v/>
      </c>
      <c r="E339" s="6" t="str">
        <f>IF($A339="","",TRIM('Base Oficial'!D339))</f>
        <v/>
      </c>
      <c r="F339" s="4" t="str">
        <f>IF($A339="","",IF(COUNTIF('Base Exámenes'!$C$5:$C$1000, A339)&gt;0, "Completado", IF(M339&lt;&gt;"", M339, "Pendiente")))</f>
        <v/>
      </c>
      <c r="G339" s="11" t="str">
        <f>IF(F339="Completado", IFERROR(IF(INDEX('Base Exámenes'!$D$5:$D$1000, MATCH(A339&amp;"|"&amp;J339, 'Base Exámenes'!$I$5:$I$1000, 0))="", "", INDEX('Base Exámenes'!$D$5:$D$1000, MATCH(A339&amp;"|"&amp;J339, 'Base Exámenes'!$I$5:$I$1000, 0))), ""), "")</f>
        <v/>
      </c>
      <c r="H339" s="11" t="str">
        <f>IF(F339="Completado", IFERROR(IF(INDEX('Base Exámenes'!$E$5:$E$1000, MATCH(A339&amp;"|"&amp;J339, 'Base Exámenes'!$I$5:$I$1000, 0))="", "", INDEX('Base Exámenes'!$E$5:$E$1000, MATCH(A339&amp;"|"&amp;J339, 'Base Exámenes'!$I$5:$I$1000, 0))), ""), "")</f>
        <v/>
      </c>
      <c r="I339" s="10" t="str">
        <f>IF(F339="Completado", IFERROR(IF(INDEX('Base Exámenes'!$F$5:$F$1000, MATCH(A339&amp;"|"&amp;J339, 'Base Exámenes'!$I$5:$I$1000, 0))="", "", INDEX('Base Exámenes'!$F$5:$F$1000, MATCH(A339&amp;"|"&amp;J339, 'Base Exámenes'!$I$5:$I$1000, 0))), ""), "")</f>
        <v/>
      </c>
      <c r="J339" s="6" t="str">
        <f>IF(F339="Completado", IF(COUNTIFS('Base Exámenes'!$C$5:$C$1000, A339, 'Base Exámenes'!$G$5:$G$1000, "&lt;&gt;")=0, "", _xlfn.MAXIFS('Base Exámenes'!$G$5:$G$1000, 'Base Exámenes'!$C$5:$C$1000, A339)), "")</f>
        <v/>
      </c>
      <c r="K339" s="6" t="str">
        <f>IF(F339="Completado", IFERROR(IF(INDEX('Base Exámenes'!$H$5:$H$1000, MATCH(A339&amp;"|"&amp;J339, 'Base Exámenes'!$I$5:$I$1000, 0))="", "", INDEX('Base Exámenes'!$H$5:$H$1000, MATCH(A339&amp;"|"&amp;J339, 'Base Exámenes'!$I$5:$I$1000, 0))), ""), "")</f>
        <v/>
      </c>
      <c r="L339" s="22" t="str">
        <f>IF($A339="","",COUNTIF('Base Exámenes'!$C$5:$C$1000, A339))</f>
        <v/>
      </c>
      <c r="M339" s="6" t="str">
        <f>IF($A339="","",IF(COUNTIF('Base Exámenes'!$C$5:$C$1000, A339)&gt;0, "", TRIM('Base Oficial'!H339)))</f>
        <v/>
      </c>
    </row>
    <row r="340">
      <c r="A340" s="4" t="str">
        <f>IF('Base Oficial'!A340="","",TRIM('Base Oficial'!A340))</f>
        <v/>
      </c>
      <c r="B340" s="6" t="str">
        <f>IF($A340="","",TRIM('Base Oficial'!B340))</f>
        <v/>
      </c>
      <c r="C340" s="6" t="str">
        <f>IF($A340="","",TRIM('Base Oficial'!F340))</f>
        <v/>
      </c>
      <c r="D340" s="6" t="str">
        <f>IF($A340="","",TRIM('Base Oficial'!G340))</f>
        <v/>
      </c>
      <c r="E340" s="6" t="str">
        <f>IF($A340="","",TRIM('Base Oficial'!D340))</f>
        <v/>
      </c>
      <c r="F340" s="4" t="str">
        <f>IF($A340="","",IF(COUNTIF('Base Exámenes'!$C$5:$C$1000, A340)&gt;0, "Completado", IF(M340&lt;&gt;"", M340, "Pendiente")))</f>
        <v/>
      </c>
      <c r="G340" s="11" t="str">
        <f>IF(F340="Completado", IFERROR(IF(INDEX('Base Exámenes'!$D$5:$D$1000, MATCH(A340&amp;"|"&amp;J340, 'Base Exámenes'!$I$5:$I$1000, 0))="", "", INDEX('Base Exámenes'!$D$5:$D$1000, MATCH(A340&amp;"|"&amp;J340, 'Base Exámenes'!$I$5:$I$1000, 0))), ""), "")</f>
        <v/>
      </c>
      <c r="H340" s="11" t="str">
        <f>IF(F340="Completado", IFERROR(IF(INDEX('Base Exámenes'!$E$5:$E$1000, MATCH(A340&amp;"|"&amp;J340, 'Base Exámenes'!$I$5:$I$1000, 0))="", "", INDEX('Base Exámenes'!$E$5:$E$1000, MATCH(A340&amp;"|"&amp;J340, 'Base Exámenes'!$I$5:$I$1000, 0))), ""), "")</f>
        <v/>
      </c>
      <c r="I340" s="10" t="str">
        <f>IF(F340="Completado", IFERROR(IF(INDEX('Base Exámenes'!$F$5:$F$1000, MATCH(A340&amp;"|"&amp;J340, 'Base Exámenes'!$I$5:$I$1000, 0))="", "", INDEX('Base Exámenes'!$F$5:$F$1000, MATCH(A340&amp;"|"&amp;J340, 'Base Exámenes'!$I$5:$I$1000, 0))), ""), "")</f>
        <v/>
      </c>
      <c r="J340" s="6" t="str">
        <f>IF(F340="Completado", IF(COUNTIFS('Base Exámenes'!$C$5:$C$1000, A340, 'Base Exámenes'!$G$5:$G$1000, "&lt;&gt;")=0, "", _xlfn.MAXIFS('Base Exámenes'!$G$5:$G$1000, 'Base Exámenes'!$C$5:$C$1000, A340)), "")</f>
        <v/>
      </c>
      <c r="K340" s="6" t="str">
        <f>IF(F340="Completado", IFERROR(IF(INDEX('Base Exámenes'!$H$5:$H$1000, MATCH(A340&amp;"|"&amp;J340, 'Base Exámenes'!$I$5:$I$1000, 0))="", "", INDEX('Base Exámenes'!$H$5:$H$1000, MATCH(A340&amp;"|"&amp;J340, 'Base Exámenes'!$I$5:$I$1000, 0))), ""), "")</f>
        <v/>
      </c>
      <c r="L340" s="22" t="str">
        <f>IF($A340="","",COUNTIF('Base Exámenes'!$C$5:$C$1000, A340))</f>
        <v/>
      </c>
      <c r="M340" s="6" t="str">
        <f>IF($A340="","",IF(COUNTIF('Base Exámenes'!$C$5:$C$1000, A340)&gt;0, "", TRIM('Base Oficial'!H340)))</f>
        <v/>
      </c>
    </row>
    <row r="341">
      <c r="A341" s="4" t="str">
        <f>IF('Base Oficial'!A341="","",TRIM('Base Oficial'!A341))</f>
        <v/>
      </c>
      <c r="B341" s="6" t="str">
        <f>IF($A341="","",TRIM('Base Oficial'!B341))</f>
        <v/>
      </c>
      <c r="C341" s="6" t="str">
        <f>IF($A341="","",TRIM('Base Oficial'!F341))</f>
        <v/>
      </c>
      <c r="D341" s="6" t="str">
        <f>IF($A341="","",TRIM('Base Oficial'!G341))</f>
        <v/>
      </c>
      <c r="E341" s="6" t="str">
        <f>IF($A341="","",TRIM('Base Oficial'!D341))</f>
        <v/>
      </c>
      <c r="F341" s="4" t="str">
        <f>IF($A341="","",IF(COUNTIF('Base Exámenes'!$C$5:$C$1000, A341)&gt;0, "Completado", IF(M341&lt;&gt;"", M341, "Pendiente")))</f>
        <v/>
      </c>
      <c r="G341" s="11" t="str">
        <f>IF(F341="Completado", IFERROR(IF(INDEX('Base Exámenes'!$D$5:$D$1000, MATCH(A341&amp;"|"&amp;J341, 'Base Exámenes'!$I$5:$I$1000, 0))="", "", INDEX('Base Exámenes'!$D$5:$D$1000, MATCH(A341&amp;"|"&amp;J341, 'Base Exámenes'!$I$5:$I$1000, 0))), ""), "")</f>
        <v/>
      </c>
      <c r="H341" s="11" t="str">
        <f>IF(F341="Completado", IFERROR(IF(INDEX('Base Exámenes'!$E$5:$E$1000, MATCH(A341&amp;"|"&amp;J341, 'Base Exámenes'!$I$5:$I$1000, 0))="", "", INDEX('Base Exámenes'!$E$5:$E$1000, MATCH(A341&amp;"|"&amp;J341, 'Base Exámenes'!$I$5:$I$1000, 0))), ""), "")</f>
        <v/>
      </c>
      <c r="I341" s="10" t="str">
        <f>IF(F341="Completado", IFERROR(IF(INDEX('Base Exámenes'!$F$5:$F$1000, MATCH(A341&amp;"|"&amp;J341, 'Base Exámenes'!$I$5:$I$1000, 0))="", "", INDEX('Base Exámenes'!$F$5:$F$1000, MATCH(A341&amp;"|"&amp;J341, 'Base Exámenes'!$I$5:$I$1000, 0))), ""), "")</f>
        <v/>
      </c>
      <c r="J341" s="6" t="str">
        <f>IF(F341="Completado", IF(COUNTIFS('Base Exámenes'!$C$5:$C$1000, A341, 'Base Exámenes'!$G$5:$G$1000, "&lt;&gt;")=0, "", _xlfn.MAXIFS('Base Exámenes'!$G$5:$G$1000, 'Base Exámenes'!$C$5:$C$1000, A341)), "")</f>
        <v/>
      </c>
      <c r="K341" s="6" t="str">
        <f>IF(F341="Completado", IFERROR(IF(INDEX('Base Exámenes'!$H$5:$H$1000, MATCH(A341&amp;"|"&amp;J341, 'Base Exámenes'!$I$5:$I$1000, 0))="", "", INDEX('Base Exámenes'!$H$5:$H$1000, MATCH(A341&amp;"|"&amp;J341, 'Base Exámenes'!$I$5:$I$1000, 0))), ""), "")</f>
        <v/>
      </c>
      <c r="L341" s="22" t="str">
        <f>IF($A341="","",COUNTIF('Base Exámenes'!$C$5:$C$1000, A341))</f>
        <v/>
      </c>
      <c r="M341" s="6" t="str">
        <f>IF($A341="","",IF(COUNTIF('Base Exámenes'!$C$5:$C$1000, A341)&gt;0, "", TRIM('Base Oficial'!H341)))</f>
        <v/>
      </c>
    </row>
    <row r="342">
      <c r="A342" s="4" t="str">
        <f>IF('Base Oficial'!A342="","",TRIM('Base Oficial'!A342))</f>
        <v/>
      </c>
      <c r="B342" s="6" t="str">
        <f>IF($A342="","",TRIM('Base Oficial'!B342))</f>
        <v/>
      </c>
      <c r="C342" s="6" t="str">
        <f>IF($A342="","",TRIM('Base Oficial'!F342))</f>
        <v/>
      </c>
      <c r="D342" s="6" t="str">
        <f>IF($A342="","",TRIM('Base Oficial'!G342))</f>
        <v/>
      </c>
      <c r="E342" s="6" t="str">
        <f>IF($A342="","",TRIM('Base Oficial'!D342))</f>
        <v/>
      </c>
      <c r="F342" s="4" t="str">
        <f>IF($A342="","",IF(COUNTIF('Base Exámenes'!$C$5:$C$1000, A342)&gt;0, "Completado", IF(M342&lt;&gt;"", M342, "Pendiente")))</f>
        <v/>
      </c>
      <c r="G342" s="11" t="str">
        <f>IF(F342="Completado", IFERROR(IF(INDEX('Base Exámenes'!$D$5:$D$1000, MATCH(A342&amp;"|"&amp;J342, 'Base Exámenes'!$I$5:$I$1000, 0))="", "", INDEX('Base Exámenes'!$D$5:$D$1000, MATCH(A342&amp;"|"&amp;J342, 'Base Exámenes'!$I$5:$I$1000, 0))), ""), "")</f>
        <v/>
      </c>
      <c r="H342" s="11" t="str">
        <f>IF(F342="Completado", IFERROR(IF(INDEX('Base Exámenes'!$E$5:$E$1000, MATCH(A342&amp;"|"&amp;J342, 'Base Exámenes'!$I$5:$I$1000, 0))="", "", INDEX('Base Exámenes'!$E$5:$E$1000, MATCH(A342&amp;"|"&amp;J342, 'Base Exámenes'!$I$5:$I$1000, 0))), ""), "")</f>
        <v/>
      </c>
      <c r="I342" s="10" t="str">
        <f>IF(F342="Completado", IFERROR(IF(INDEX('Base Exámenes'!$F$5:$F$1000, MATCH(A342&amp;"|"&amp;J342, 'Base Exámenes'!$I$5:$I$1000, 0))="", "", INDEX('Base Exámenes'!$F$5:$F$1000, MATCH(A342&amp;"|"&amp;J342, 'Base Exámenes'!$I$5:$I$1000, 0))), ""), "")</f>
        <v/>
      </c>
      <c r="J342" s="6" t="str">
        <f>IF(F342="Completado", IF(COUNTIFS('Base Exámenes'!$C$5:$C$1000, A342, 'Base Exámenes'!$G$5:$G$1000, "&lt;&gt;")=0, "", _xlfn.MAXIFS('Base Exámenes'!$G$5:$G$1000, 'Base Exámenes'!$C$5:$C$1000, A342)), "")</f>
        <v/>
      </c>
      <c r="K342" s="6" t="str">
        <f>IF(F342="Completado", IFERROR(IF(INDEX('Base Exámenes'!$H$5:$H$1000, MATCH(A342&amp;"|"&amp;J342, 'Base Exámenes'!$I$5:$I$1000, 0))="", "", INDEX('Base Exámenes'!$H$5:$H$1000, MATCH(A342&amp;"|"&amp;J342, 'Base Exámenes'!$I$5:$I$1000, 0))), ""), "")</f>
        <v/>
      </c>
      <c r="L342" s="22" t="str">
        <f>IF($A342="","",COUNTIF('Base Exámenes'!$C$5:$C$1000, A342))</f>
        <v/>
      </c>
      <c r="M342" s="6" t="str">
        <f>IF($A342="","",IF(COUNTIF('Base Exámenes'!$C$5:$C$1000, A342)&gt;0, "", TRIM('Base Oficial'!H342)))</f>
        <v/>
      </c>
    </row>
    <row r="343">
      <c r="A343" s="4" t="str">
        <f>IF('Base Oficial'!A343="","",TRIM('Base Oficial'!A343))</f>
        <v/>
      </c>
      <c r="B343" s="6" t="str">
        <f>IF($A343="","",TRIM('Base Oficial'!B343))</f>
        <v/>
      </c>
      <c r="C343" s="6" t="str">
        <f>IF($A343="","",TRIM('Base Oficial'!F343))</f>
        <v/>
      </c>
      <c r="D343" s="6" t="str">
        <f>IF($A343="","",TRIM('Base Oficial'!G343))</f>
        <v/>
      </c>
      <c r="E343" s="6" t="str">
        <f>IF($A343="","",TRIM('Base Oficial'!D343))</f>
        <v/>
      </c>
      <c r="F343" s="4" t="str">
        <f>IF($A343="","",IF(COUNTIF('Base Exámenes'!$C$5:$C$1000, A343)&gt;0, "Completado", IF(M343&lt;&gt;"", M343, "Pendiente")))</f>
        <v/>
      </c>
      <c r="G343" s="11" t="str">
        <f>IF(F343="Completado", IFERROR(IF(INDEX('Base Exámenes'!$D$5:$D$1000, MATCH(A343&amp;"|"&amp;J343, 'Base Exámenes'!$I$5:$I$1000, 0))="", "", INDEX('Base Exámenes'!$D$5:$D$1000, MATCH(A343&amp;"|"&amp;J343, 'Base Exámenes'!$I$5:$I$1000, 0))), ""), "")</f>
        <v/>
      </c>
      <c r="H343" s="11" t="str">
        <f>IF(F343="Completado", IFERROR(IF(INDEX('Base Exámenes'!$E$5:$E$1000, MATCH(A343&amp;"|"&amp;J343, 'Base Exámenes'!$I$5:$I$1000, 0))="", "", INDEX('Base Exámenes'!$E$5:$E$1000, MATCH(A343&amp;"|"&amp;J343, 'Base Exámenes'!$I$5:$I$1000, 0))), ""), "")</f>
        <v/>
      </c>
      <c r="I343" s="10" t="str">
        <f>IF(F343="Completado", IFERROR(IF(INDEX('Base Exámenes'!$F$5:$F$1000, MATCH(A343&amp;"|"&amp;J343, 'Base Exámenes'!$I$5:$I$1000, 0))="", "", INDEX('Base Exámenes'!$F$5:$F$1000, MATCH(A343&amp;"|"&amp;J343, 'Base Exámenes'!$I$5:$I$1000, 0))), ""), "")</f>
        <v/>
      </c>
      <c r="J343" s="6" t="str">
        <f>IF(F343="Completado", IF(COUNTIFS('Base Exámenes'!$C$5:$C$1000, A343, 'Base Exámenes'!$G$5:$G$1000, "&lt;&gt;")=0, "", _xlfn.MAXIFS('Base Exámenes'!$G$5:$G$1000, 'Base Exámenes'!$C$5:$C$1000, A343)), "")</f>
        <v/>
      </c>
      <c r="K343" s="6" t="str">
        <f>IF(F343="Completado", IFERROR(IF(INDEX('Base Exámenes'!$H$5:$H$1000, MATCH(A343&amp;"|"&amp;J343, 'Base Exámenes'!$I$5:$I$1000, 0))="", "", INDEX('Base Exámenes'!$H$5:$H$1000, MATCH(A343&amp;"|"&amp;J343, 'Base Exámenes'!$I$5:$I$1000, 0))), ""), "")</f>
        <v/>
      </c>
      <c r="L343" s="22" t="str">
        <f>IF($A343="","",COUNTIF('Base Exámenes'!$C$5:$C$1000, A343))</f>
        <v/>
      </c>
      <c r="M343" s="6" t="str">
        <f>IF($A343="","",IF(COUNTIF('Base Exámenes'!$C$5:$C$1000, A343)&gt;0, "", TRIM('Base Oficial'!H343)))</f>
        <v/>
      </c>
    </row>
    <row r="344">
      <c r="A344" s="4" t="str">
        <f>IF('Base Oficial'!A344="","",TRIM('Base Oficial'!A344))</f>
        <v/>
      </c>
      <c r="B344" s="6" t="str">
        <f>IF($A344="","",TRIM('Base Oficial'!B344))</f>
        <v/>
      </c>
      <c r="C344" s="6" t="str">
        <f>IF($A344="","",TRIM('Base Oficial'!F344))</f>
        <v/>
      </c>
      <c r="D344" s="6" t="str">
        <f>IF($A344="","",TRIM('Base Oficial'!G344))</f>
        <v/>
      </c>
      <c r="E344" s="6" t="str">
        <f>IF($A344="","",TRIM('Base Oficial'!D344))</f>
        <v/>
      </c>
      <c r="F344" s="4" t="str">
        <f>IF($A344="","",IF(COUNTIF('Base Exámenes'!$C$5:$C$1000, A344)&gt;0, "Completado", IF(M344&lt;&gt;"", M344, "Pendiente")))</f>
        <v/>
      </c>
      <c r="G344" s="11" t="str">
        <f>IF(F344="Completado", IFERROR(IF(INDEX('Base Exámenes'!$D$5:$D$1000, MATCH(A344&amp;"|"&amp;J344, 'Base Exámenes'!$I$5:$I$1000, 0))="", "", INDEX('Base Exámenes'!$D$5:$D$1000, MATCH(A344&amp;"|"&amp;J344, 'Base Exámenes'!$I$5:$I$1000, 0))), ""), "")</f>
        <v/>
      </c>
      <c r="H344" s="11" t="str">
        <f>IF(F344="Completado", IFERROR(IF(INDEX('Base Exámenes'!$E$5:$E$1000, MATCH(A344&amp;"|"&amp;J344, 'Base Exámenes'!$I$5:$I$1000, 0))="", "", INDEX('Base Exámenes'!$E$5:$E$1000, MATCH(A344&amp;"|"&amp;J344, 'Base Exámenes'!$I$5:$I$1000, 0))), ""), "")</f>
        <v/>
      </c>
      <c r="I344" s="10" t="str">
        <f>IF(F344="Completado", IFERROR(IF(INDEX('Base Exámenes'!$F$5:$F$1000, MATCH(A344&amp;"|"&amp;J344, 'Base Exámenes'!$I$5:$I$1000, 0))="", "", INDEX('Base Exámenes'!$F$5:$F$1000, MATCH(A344&amp;"|"&amp;J344, 'Base Exámenes'!$I$5:$I$1000, 0))), ""), "")</f>
        <v/>
      </c>
      <c r="J344" s="6" t="str">
        <f>IF(F344="Completado", IF(COUNTIFS('Base Exámenes'!$C$5:$C$1000, A344, 'Base Exámenes'!$G$5:$G$1000, "&lt;&gt;")=0, "", _xlfn.MAXIFS('Base Exámenes'!$G$5:$G$1000, 'Base Exámenes'!$C$5:$C$1000, A344)), "")</f>
        <v/>
      </c>
      <c r="K344" s="6" t="str">
        <f>IF(F344="Completado", IFERROR(IF(INDEX('Base Exámenes'!$H$5:$H$1000, MATCH(A344&amp;"|"&amp;J344, 'Base Exámenes'!$I$5:$I$1000, 0))="", "", INDEX('Base Exámenes'!$H$5:$H$1000, MATCH(A344&amp;"|"&amp;J344, 'Base Exámenes'!$I$5:$I$1000, 0))), ""), "")</f>
        <v/>
      </c>
      <c r="L344" s="22" t="str">
        <f>IF($A344="","",COUNTIF('Base Exámenes'!$C$5:$C$1000, A344))</f>
        <v/>
      </c>
      <c r="M344" s="6" t="str">
        <f>IF($A344="","",IF(COUNTIF('Base Exámenes'!$C$5:$C$1000, A344)&gt;0, "", TRIM('Base Oficial'!H344)))</f>
        <v/>
      </c>
    </row>
    <row r="345">
      <c r="A345" s="4" t="str">
        <f>IF('Base Oficial'!A345="","",TRIM('Base Oficial'!A345))</f>
        <v/>
      </c>
      <c r="B345" s="6" t="str">
        <f>IF($A345="","",TRIM('Base Oficial'!B345))</f>
        <v/>
      </c>
      <c r="C345" s="6" t="str">
        <f>IF($A345="","",TRIM('Base Oficial'!F345))</f>
        <v/>
      </c>
      <c r="D345" s="6" t="str">
        <f>IF($A345="","",TRIM('Base Oficial'!G345))</f>
        <v/>
      </c>
      <c r="E345" s="6" t="str">
        <f>IF($A345="","",TRIM('Base Oficial'!D345))</f>
        <v/>
      </c>
      <c r="F345" s="4" t="str">
        <f>IF($A345="","",IF(COUNTIF('Base Exámenes'!$C$5:$C$1000, A345)&gt;0, "Completado", IF(M345&lt;&gt;"", M345, "Pendiente")))</f>
        <v/>
      </c>
      <c r="G345" s="11" t="str">
        <f>IF(F345="Completado", IFERROR(IF(INDEX('Base Exámenes'!$D$5:$D$1000, MATCH(A345&amp;"|"&amp;J345, 'Base Exámenes'!$I$5:$I$1000, 0))="", "", INDEX('Base Exámenes'!$D$5:$D$1000, MATCH(A345&amp;"|"&amp;J345, 'Base Exámenes'!$I$5:$I$1000, 0))), ""), "")</f>
        <v/>
      </c>
      <c r="H345" s="11" t="str">
        <f>IF(F345="Completado", IFERROR(IF(INDEX('Base Exámenes'!$E$5:$E$1000, MATCH(A345&amp;"|"&amp;J345, 'Base Exámenes'!$I$5:$I$1000, 0))="", "", INDEX('Base Exámenes'!$E$5:$E$1000, MATCH(A345&amp;"|"&amp;J345, 'Base Exámenes'!$I$5:$I$1000, 0))), ""), "")</f>
        <v/>
      </c>
      <c r="I345" s="10" t="str">
        <f>IF(F345="Completado", IFERROR(IF(INDEX('Base Exámenes'!$F$5:$F$1000, MATCH(A345&amp;"|"&amp;J345, 'Base Exámenes'!$I$5:$I$1000, 0))="", "", INDEX('Base Exámenes'!$F$5:$F$1000, MATCH(A345&amp;"|"&amp;J345, 'Base Exámenes'!$I$5:$I$1000, 0))), ""), "")</f>
        <v/>
      </c>
      <c r="J345" s="6" t="str">
        <f>IF(F345="Completado", IF(COUNTIFS('Base Exámenes'!$C$5:$C$1000, A345, 'Base Exámenes'!$G$5:$G$1000, "&lt;&gt;")=0, "", _xlfn.MAXIFS('Base Exámenes'!$G$5:$G$1000, 'Base Exámenes'!$C$5:$C$1000, A345)), "")</f>
        <v/>
      </c>
      <c r="K345" s="6" t="str">
        <f>IF(F345="Completado", IFERROR(IF(INDEX('Base Exámenes'!$H$5:$H$1000, MATCH(A345&amp;"|"&amp;J345, 'Base Exámenes'!$I$5:$I$1000, 0))="", "", INDEX('Base Exámenes'!$H$5:$H$1000, MATCH(A345&amp;"|"&amp;J345, 'Base Exámenes'!$I$5:$I$1000, 0))), ""), "")</f>
        <v/>
      </c>
      <c r="L345" s="22" t="str">
        <f>IF($A345="","",COUNTIF('Base Exámenes'!$C$5:$C$1000, A345))</f>
        <v/>
      </c>
      <c r="M345" s="6" t="str">
        <f>IF($A345="","",IF(COUNTIF('Base Exámenes'!$C$5:$C$1000, A345)&gt;0, "", TRIM('Base Oficial'!H345)))</f>
        <v/>
      </c>
    </row>
    <row r="346">
      <c r="A346" s="4" t="str">
        <f>IF('Base Oficial'!A346="","",TRIM('Base Oficial'!A346))</f>
        <v/>
      </c>
      <c r="B346" s="6" t="str">
        <f>IF($A346="","",TRIM('Base Oficial'!B346))</f>
        <v/>
      </c>
      <c r="C346" s="6" t="str">
        <f>IF($A346="","",TRIM('Base Oficial'!F346))</f>
        <v/>
      </c>
      <c r="D346" s="6" t="str">
        <f>IF($A346="","",TRIM('Base Oficial'!G346))</f>
        <v/>
      </c>
      <c r="E346" s="6" t="str">
        <f>IF($A346="","",TRIM('Base Oficial'!D346))</f>
        <v/>
      </c>
      <c r="F346" s="4" t="str">
        <f>IF($A346="","",IF(COUNTIF('Base Exámenes'!$C$5:$C$1000, A346)&gt;0, "Completado", IF(M346&lt;&gt;"", M346, "Pendiente")))</f>
        <v/>
      </c>
      <c r="G346" s="11" t="str">
        <f>IF(F346="Completado", IFERROR(IF(INDEX('Base Exámenes'!$D$5:$D$1000, MATCH(A346&amp;"|"&amp;J346, 'Base Exámenes'!$I$5:$I$1000, 0))="", "", INDEX('Base Exámenes'!$D$5:$D$1000, MATCH(A346&amp;"|"&amp;J346, 'Base Exámenes'!$I$5:$I$1000, 0))), ""), "")</f>
        <v/>
      </c>
      <c r="H346" s="11" t="str">
        <f>IF(F346="Completado", IFERROR(IF(INDEX('Base Exámenes'!$E$5:$E$1000, MATCH(A346&amp;"|"&amp;J346, 'Base Exámenes'!$I$5:$I$1000, 0))="", "", INDEX('Base Exámenes'!$E$5:$E$1000, MATCH(A346&amp;"|"&amp;J346, 'Base Exámenes'!$I$5:$I$1000, 0))), ""), "")</f>
        <v/>
      </c>
      <c r="I346" s="10" t="str">
        <f>IF(F346="Completado", IFERROR(IF(INDEX('Base Exámenes'!$F$5:$F$1000, MATCH(A346&amp;"|"&amp;J346, 'Base Exámenes'!$I$5:$I$1000, 0))="", "", INDEX('Base Exámenes'!$F$5:$F$1000, MATCH(A346&amp;"|"&amp;J346, 'Base Exámenes'!$I$5:$I$1000, 0))), ""), "")</f>
        <v/>
      </c>
      <c r="J346" s="6" t="str">
        <f>IF(F346="Completado", IF(COUNTIFS('Base Exámenes'!$C$5:$C$1000, A346, 'Base Exámenes'!$G$5:$G$1000, "&lt;&gt;")=0, "", _xlfn.MAXIFS('Base Exámenes'!$G$5:$G$1000, 'Base Exámenes'!$C$5:$C$1000, A346)), "")</f>
        <v/>
      </c>
      <c r="K346" s="6" t="str">
        <f>IF(F346="Completado", IFERROR(IF(INDEX('Base Exámenes'!$H$5:$H$1000, MATCH(A346&amp;"|"&amp;J346, 'Base Exámenes'!$I$5:$I$1000, 0))="", "", INDEX('Base Exámenes'!$H$5:$H$1000, MATCH(A346&amp;"|"&amp;J346, 'Base Exámenes'!$I$5:$I$1000, 0))), ""), "")</f>
        <v/>
      </c>
      <c r="L346" s="22" t="str">
        <f>IF($A346="","",COUNTIF('Base Exámenes'!$C$5:$C$1000, A346))</f>
        <v/>
      </c>
      <c r="M346" s="6" t="str">
        <f>IF($A346="","",IF(COUNTIF('Base Exámenes'!$C$5:$C$1000, A346)&gt;0, "", TRIM('Base Oficial'!H346)))</f>
        <v/>
      </c>
    </row>
    <row r="347">
      <c r="A347" s="4" t="str">
        <f>IF('Base Oficial'!A347="","",TRIM('Base Oficial'!A347))</f>
        <v/>
      </c>
      <c r="B347" s="6" t="str">
        <f>IF($A347="","",TRIM('Base Oficial'!B347))</f>
        <v/>
      </c>
      <c r="C347" s="6" t="str">
        <f>IF($A347="","",TRIM('Base Oficial'!F347))</f>
        <v/>
      </c>
      <c r="D347" s="6" t="str">
        <f>IF($A347="","",TRIM('Base Oficial'!G347))</f>
        <v/>
      </c>
      <c r="E347" s="6" t="str">
        <f>IF($A347="","",TRIM('Base Oficial'!D347))</f>
        <v/>
      </c>
      <c r="F347" s="4" t="str">
        <f>IF($A347="","",IF(COUNTIF('Base Exámenes'!$C$5:$C$1000, A347)&gt;0, "Completado", IF(M347&lt;&gt;"", M347, "Pendiente")))</f>
        <v/>
      </c>
      <c r="G347" s="11" t="str">
        <f>IF(F347="Completado", IFERROR(IF(INDEX('Base Exámenes'!$D$5:$D$1000, MATCH(A347&amp;"|"&amp;J347, 'Base Exámenes'!$I$5:$I$1000, 0))="", "", INDEX('Base Exámenes'!$D$5:$D$1000, MATCH(A347&amp;"|"&amp;J347, 'Base Exámenes'!$I$5:$I$1000, 0))), ""), "")</f>
        <v/>
      </c>
      <c r="H347" s="11" t="str">
        <f>IF(F347="Completado", IFERROR(IF(INDEX('Base Exámenes'!$E$5:$E$1000, MATCH(A347&amp;"|"&amp;J347, 'Base Exámenes'!$I$5:$I$1000, 0))="", "", INDEX('Base Exámenes'!$E$5:$E$1000, MATCH(A347&amp;"|"&amp;J347, 'Base Exámenes'!$I$5:$I$1000, 0))), ""), "")</f>
        <v/>
      </c>
      <c r="I347" s="10" t="str">
        <f>IF(F347="Completado", IFERROR(IF(INDEX('Base Exámenes'!$F$5:$F$1000, MATCH(A347&amp;"|"&amp;J347, 'Base Exámenes'!$I$5:$I$1000, 0))="", "", INDEX('Base Exámenes'!$F$5:$F$1000, MATCH(A347&amp;"|"&amp;J347, 'Base Exámenes'!$I$5:$I$1000, 0))), ""), "")</f>
        <v/>
      </c>
      <c r="J347" s="6" t="str">
        <f>IF(F347="Completado", IF(COUNTIFS('Base Exámenes'!$C$5:$C$1000, A347, 'Base Exámenes'!$G$5:$G$1000, "&lt;&gt;")=0, "", _xlfn.MAXIFS('Base Exámenes'!$G$5:$G$1000, 'Base Exámenes'!$C$5:$C$1000, A347)), "")</f>
        <v/>
      </c>
      <c r="K347" s="6" t="str">
        <f>IF(F347="Completado", IFERROR(IF(INDEX('Base Exámenes'!$H$5:$H$1000, MATCH(A347&amp;"|"&amp;J347, 'Base Exámenes'!$I$5:$I$1000, 0))="", "", INDEX('Base Exámenes'!$H$5:$H$1000, MATCH(A347&amp;"|"&amp;J347, 'Base Exámenes'!$I$5:$I$1000, 0))), ""), "")</f>
        <v/>
      </c>
      <c r="L347" s="22" t="str">
        <f>IF($A347="","",COUNTIF('Base Exámenes'!$C$5:$C$1000, A347))</f>
        <v/>
      </c>
      <c r="M347" s="6" t="str">
        <f>IF($A347="","",IF(COUNTIF('Base Exámenes'!$C$5:$C$1000, A347)&gt;0, "", TRIM('Base Oficial'!H347)))</f>
        <v/>
      </c>
    </row>
    <row r="348">
      <c r="A348" s="4" t="str">
        <f>IF('Base Oficial'!A348="","",TRIM('Base Oficial'!A348))</f>
        <v/>
      </c>
      <c r="B348" s="6" t="str">
        <f>IF($A348="","",TRIM('Base Oficial'!B348))</f>
        <v/>
      </c>
      <c r="C348" s="6" t="str">
        <f>IF($A348="","",TRIM('Base Oficial'!F348))</f>
        <v/>
      </c>
      <c r="D348" s="6" t="str">
        <f>IF($A348="","",TRIM('Base Oficial'!G348))</f>
        <v/>
      </c>
      <c r="E348" s="6" t="str">
        <f>IF($A348="","",TRIM('Base Oficial'!D348))</f>
        <v/>
      </c>
      <c r="F348" s="4" t="str">
        <f>IF($A348="","",IF(COUNTIF('Base Exámenes'!$C$5:$C$1000, A348)&gt;0, "Completado", IF(M348&lt;&gt;"", M348, "Pendiente")))</f>
        <v/>
      </c>
      <c r="G348" s="11" t="str">
        <f>IF(F348="Completado", IFERROR(IF(INDEX('Base Exámenes'!$D$5:$D$1000, MATCH(A348&amp;"|"&amp;J348, 'Base Exámenes'!$I$5:$I$1000, 0))="", "", INDEX('Base Exámenes'!$D$5:$D$1000, MATCH(A348&amp;"|"&amp;J348, 'Base Exámenes'!$I$5:$I$1000, 0))), ""), "")</f>
        <v/>
      </c>
      <c r="H348" s="11" t="str">
        <f>IF(F348="Completado", IFERROR(IF(INDEX('Base Exámenes'!$E$5:$E$1000, MATCH(A348&amp;"|"&amp;J348, 'Base Exámenes'!$I$5:$I$1000, 0))="", "", INDEX('Base Exámenes'!$E$5:$E$1000, MATCH(A348&amp;"|"&amp;J348, 'Base Exámenes'!$I$5:$I$1000, 0))), ""), "")</f>
        <v/>
      </c>
      <c r="I348" s="10" t="str">
        <f>IF(F348="Completado", IFERROR(IF(INDEX('Base Exámenes'!$F$5:$F$1000, MATCH(A348&amp;"|"&amp;J348, 'Base Exámenes'!$I$5:$I$1000, 0))="", "", INDEX('Base Exámenes'!$F$5:$F$1000, MATCH(A348&amp;"|"&amp;J348, 'Base Exámenes'!$I$5:$I$1000, 0))), ""), "")</f>
        <v/>
      </c>
      <c r="J348" s="6" t="str">
        <f>IF(F348="Completado", IF(COUNTIFS('Base Exámenes'!$C$5:$C$1000, A348, 'Base Exámenes'!$G$5:$G$1000, "&lt;&gt;")=0, "", _xlfn.MAXIFS('Base Exámenes'!$G$5:$G$1000, 'Base Exámenes'!$C$5:$C$1000, A348)), "")</f>
        <v/>
      </c>
      <c r="K348" s="6" t="str">
        <f>IF(F348="Completado", IFERROR(IF(INDEX('Base Exámenes'!$H$5:$H$1000, MATCH(A348&amp;"|"&amp;J348, 'Base Exámenes'!$I$5:$I$1000, 0))="", "", INDEX('Base Exámenes'!$H$5:$H$1000, MATCH(A348&amp;"|"&amp;J348, 'Base Exámenes'!$I$5:$I$1000, 0))), ""), "")</f>
        <v/>
      </c>
      <c r="L348" s="22" t="str">
        <f>IF($A348="","",COUNTIF('Base Exámenes'!$C$5:$C$1000, A348))</f>
        <v/>
      </c>
      <c r="M348" s="6" t="str">
        <f>IF($A348="","",IF(COUNTIF('Base Exámenes'!$C$5:$C$1000, A348)&gt;0, "", TRIM('Base Oficial'!H348)))</f>
        <v/>
      </c>
    </row>
    <row r="349">
      <c r="A349" s="4" t="str">
        <f>IF('Base Oficial'!A349="","",TRIM('Base Oficial'!A349))</f>
        <v/>
      </c>
      <c r="B349" s="6" t="str">
        <f>IF($A349="","",TRIM('Base Oficial'!B349))</f>
        <v/>
      </c>
      <c r="C349" s="6" t="str">
        <f>IF($A349="","",TRIM('Base Oficial'!F349))</f>
        <v/>
      </c>
      <c r="D349" s="6" t="str">
        <f>IF($A349="","",TRIM('Base Oficial'!G349))</f>
        <v/>
      </c>
      <c r="E349" s="6" t="str">
        <f>IF($A349="","",TRIM('Base Oficial'!D349))</f>
        <v/>
      </c>
      <c r="F349" s="4" t="str">
        <f>IF($A349="","",IF(COUNTIF('Base Exámenes'!$C$5:$C$1000, A349)&gt;0, "Completado", IF(M349&lt;&gt;"", M349, "Pendiente")))</f>
        <v/>
      </c>
      <c r="G349" s="11" t="str">
        <f>IF(F349="Completado", IFERROR(IF(INDEX('Base Exámenes'!$D$5:$D$1000, MATCH(A349&amp;"|"&amp;J349, 'Base Exámenes'!$I$5:$I$1000, 0))="", "", INDEX('Base Exámenes'!$D$5:$D$1000, MATCH(A349&amp;"|"&amp;J349, 'Base Exámenes'!$I$5:$I$1000, 0))), ""), "")</f>
        <v/>
      </c>
      <c r="H349" s="11" t="str">
        <f>IF(F349="Completado", IFERROR(IF(INDEX('Base Exámenes'!$E$5:$E$1000, MATCH(A349&amp;"|"&amp;J349, 'Base Exámenes'!$I$5:$I$1000, 0))="", "", INDEX('Base Exámenes'!$E$5:$E$1000, MATCH(A349&amp;"|"&amp;J349, 'Base Exámenes'!$I$5:$I$1000, 0))), ""), "")</f>
        <v/>
      </c>
      <c r="I349" s="10" t="str">
        <f>IF(F349="Completado", IFERROR(IF(INDEX('Base Exámenes'!$F$5:$F$1000, MATCH(A349&amp;"|"&amp;J349, 'Base Exámenes'!$I$5:$I$1000, 0))="", "", INDEX('Base Exámenes'!$F$5:$F$1000, MATCH(A349&amp;"|"&amp;J349, 'Base Exámenes'!$I$5:$I$1000, 0))), ""), "")</f>
        <v/>
      </c>
      <c r="J349" s="6" t="str">
        <f>IF(F349="Completado", IF(COUNTIFS('Base Exámenes'!$C$5:$C$1000, A349, 'Base Exámenes'!$G$5:$G$1000, "&lt;&gt;")=0, "", _xlfn.MAXIFS('Base Exámenes'!$G$5:$G$1000, 'Base Exámenes'!$C$5:$C$1000, A349)), "")</f>
        <v/>
      </c>
      <c r="K349" s="6" t="str">
        <f>IF(F349="Completado", IFERROR(IF(INDEX('Base Exámenes'!$H$5:$H$1000, MATCH(A349&amp;"|"&amp;J349, 'Base Exámenes'!$I$5:$I$1000, 0))="", "", INDEX('Base Exámenes'!$H$5:$H$1000, MATCH(A349&amp;"|"&amp;J349, 'Base Exámenes'!$I$5:$I$1000, 0))), ""), "")</f>
        <v/>
      </c>
      <c r="L349" s="22" t="str">
        <f>IF($A349="","",COUNTIF('Base Exámenes'!$C$5:$C$1000, A349))</f>
        <v/>
      </c>
      <c r="M349" s="6" t="str">
        <f>IF($A349="","",IF(COUNTIF('Base Exámenes'!$C$5:$C$1000, A349)&gt;0, "", TRIM('Base Oficial'!H349)))</f>
        <v/>
      </c>
    </row>
    <row r="350">
      <c r="A350" s="4" t="str">
        <f>IF('Base Oficial'!A350="","",TRIM('Base Oficial'!A350))</f>
        <v/>
      </c>
      <c r="B350" s="6" t="str">
        <f>IF($A350="","",TRIM('Base Oficial'!B350))</f>
        <v/>
      </c>
      <c r="C350" s="6" t="str">
        <f>IF($A350="","",TRIM('Base Oficial'!F350))</f>
        <v/>
      </c>
      <c r="D350" s="6" t="str">
        <f>IF($A350="","",TRIM('Base Oficial'!G350))</f>
        <v/>
      </c>
      <c r="E350" s="6" t="str">
        <f>IF($A350="","",TRIM('Base Oficial'!D350))</f>
        <v/>
      </c>
      <c r="F350" s="4" t="str">
        <f>IF($A350="","",IF(COUNTIF('Base Exámenes'!$C$5:$C$1000, A350)&gt;0, "Completado", IF(M350&lt;&gt;"", M350, "Pendiente")))</f>
        <v/>
      </c>
      <c r="G350" s="11" t="str">
        <f>IF(F350="Completado", IFERROR(IF(INDEX('Base Exámenes'!$D$5:$D$1000, MATCH(A350&amp;"|"&amp;J350, 'Base Exámenes'!$I$5:$I$1000, 0))="", "", INDEX('Base Exámenes'!$D$5:$D$1000, MATCH(A350&amp;"|"&amp;J350, 'Base Exámenes'!$I$5:$I$1000, 0))), ""), "")</f>
        <v/>
      </c>
      <c r="H350" s="11" t="str">
        <f>IF(F350="Completado", IFERROR(IF(INDEX('Base Exámenes'!$E$5:$E$1000, MATCH(A350&amp;"|"&amp;J350, 'Base Exámenes'!$I$5:$I$1000, 0))="", "", INDEX('Base Exámenes'!$E$5:$E$1000, MATCH(A350&amp;"|"&amp;J350, 'Base Exámenes'!$I$5:$I$1000, 0))), ""), "")</f>
        <v/>
      </c>
      <c r="I350" s="10" t="str">
        <f>IF(F350="Completado", IFERROR(IF(INDEX('Base Exámenes'!$F$5:$F$1000, MATCH(A350&amp;"|"&amp;J350, 'Base Exámenes'!$I$5:$I$1000, 0))="", "", INDEX('Base Exámenes'!$F$5:$F$1000, MATCH(A350&amp;"|"&amp;J350, 'Base Exámenes'!$I$5:$I$1000, 0))), ""), "")</f>
        <v/>
      </c>
      <c r="J350" s="6" t="str">
        <f>IF(F350="Completado", IF(COUNTIFS('Base Exámenes'!$C$5:$C$1000, A350, 'Base Exámenes'!$G$5:$G$1000, "&lt;&gt;")=0, "", _xlfn.MAXIFS('Base Exámenes'!$G$5:$G$1000, 'Base Exámenes'!$C$5:$C$1000, A350)), "")</f>
        <v/>
      </c>
      <c r="K350" s="6" t="str">
        <f>IF(F350="Completado", IFERROR(IF(INDEX('Base Exámenes'!$H$5:$H$1000, MATCH(A350&amp;"|"&amp;J350, 'Base Exámenes'!$I$5:$I$1000, 0))="", "", INDEX('Base Exámenes'!$H$5:$H$1000, MATCH(A350&amp;"|"&amp;J350, 'Base Exámenes'!$I$5:$I$1000, 0))), ""), "")</f>
        <v/>
      </c>
      <c r="L350" s="22" t="str">
        <f>IF($A350="","",COUNTIF('Base Exámenes'!$C$5:$C$1000, A350))</f>
        <v/>
      </c>
      <c r="M350" s="6" t="str">
        <f>IF($A350="","",IF(COUNTIF('Base Exámenes'!$C$5:$C$1000, A350)&gt;0, "", TRIM('Base Oficial'!H350)))</f>
        <v/>
      </c>
    </row>
    <row r="351">
      <c r="A351" s="4" t="str">
        <f>IF('Base Oficial'!A351="","",TRIM('Base Oficial'!A351))</f>
        <v/>
      </c>
      <c r="B351" s="6" t="str">
        <f>IF($A351="","",TRIM('Base Oficial'!B351))</f>
        <v/>
      </c>
      <c r="C351" s="6" t="str">
        <f>IF($A351="","",TRIM('Base Oficial'!F351))</f>
        <v/>
      </c>
      <c r="D351" s="6" t="str">
        <f>IF($A351="","",TRIM('Base Oficial'!G351))</f>
        <v/>
      </c>
      <c r="E351" s="6" t="str">
        <f>IF($A351="","",TRIM('Base Oficial'!D351))</f>
        <v/>
      </c>
      <c r="F351" s="4" t="str">
        <f>IF($A351="","",IF(COUNTIF('Base Exámenes'!$C$5:$C$1000, A351)&gt;0, "Completado", IF(M351&lt;&gt;"", M351, "Pendiente")))</f>
        <v/>
      </c>
      <c r="G351" s="11" t="str">
        <f>IF(F351="Completado", IFERROR(IF(INDEX('Base Exámenes'!$D$5:$D$1000, MATCH(A351&amp;"|"&amp;J351, 'Base Exámenes'!$I$5:$I$1000, 0))="", "", INDEX('Base Exámenes'!$D$5:$D$1000, MATCH(A351&amp;"|"&amp;J351, 'Base Exámenes'!$I$5:$I$1000, 0))), ""), "")</f>
        <v/>
      </c>
      <c r="H351" s="11" t="str">
        <f>IF(F351="Completado", IFERROR(IF(INDEX('Base Exámenes'!$E$5:$E$1000, MATCH(A351&amp;"|"&amp;J351, 'Base Exámenes'!$I$5:$I$1000, 0))="", "", INDEX('Base Exámenes'!$E$5:$E$1000, MATCH(A351&amp;"|"&amp;J351, 'Base Exámenes'!$I$5:$I$1000, 0))), ""), "")</f>
        <v/>
      </c>
      <c r="I351" s="10" t="str">
        <f>IF(F351="Completado", IFERROR(IF(INDEX('Base Exámenes'!$F$5:$F$1000, MATCH(A351&amp;"|"&amp;J351, 'Base Exámenes'!$I$5:$I$1000, 0))="", "", INDEX('Base Exámenes'!$F$5:$F$1000, MATCH(A351&amp;"|"&amp;J351, 'Base Exámenes'!$I$5:$I$1000, 0))), ""), "")</f>
        <v/>
      </c>
      <c r="J351" s="6" t="str">
        <f>IF(F351="Completado", IF(COUNTIFS('Base Exámenes'!$C$5:$C$1000, A351, 'Base Exámenes'!$G$5:$G$1000, "&lt;&gt;")=0, "", _xlfn.MAXIFS('Base Exámenes'!$G$5:$G$1000, 'Base Exámenes'!$C$5:$C$1000, A351)), "")</f>
        <v/>
      </c>
      <c r="K351" s="6" t="str">
        <f>IF(F351="Completado", IFERROR(IF(INDEX('Base Exámenes'!$H$5:$H$1000, MATCH(A351&amp;"|"&amp;J351, 'Base Exámenes'!$I$5:$I$1000, 0))="", "", INDEX('Base Exámenes'!$H$5:$H$1000, MATCH(A351&amp;"|"&amp;J351, 'Base Exámenes'!$I$5:$I$1000, 0))), ""), "")</f>
        <v/>
      </c>
      <c r="L351" s="22" t="str">
        <f>IF($A351="","",COUNTIF('Base Exámenes'!$C$5:$C$1000, A351))</f>
        <v/>
      </c>
      <c r="M351" s="6" t="str">
        <f>IF($A351="","",IF(COUNTIF('Base Exámenes'!$C$5:$C$1000, A351)&gt;0, "", TRIM('Base Oficial'!H351)))</f>
        <v/>
      </c>
    </row>
    <row r="352">
      <c r="A352" s="4" t="str">
        <f>IF('Base Oficial'!A352="","",TRIM('Base Oficial'!A352))</f>
        <v/>
      </c>
      <c r="B352" s="6" t="str">
        <f>IF($A352="","",TRIM('Base Oficial'!B352))</f>
        <v/>
      </c>
      <c r="C352" s="6" t="str">
        <f>IF($A352="","",TRIM('Base Oficial'!F352))</f>
        <v/>
      </c>
      <c r="D352" s="6" t="str">
        <f>IF($A352="","",TRIM('Base Oficial'!G352))</f>
        <v/>
      </c>
      <c r="E352" s="6" t="str">
        <f>IF($A352="","",TRIM('Base Oficial'!D352))</f>
        <v/>
      </c>
      <c r="F352" s="4" t="str">
        <f>IF($A352="","",IF(COUNTIF('Base Exámenes'!$C$5:$C$1000, A352)&gt;0, "Completado", IF(M352&lt;&gt;"", M352, "Pendiente")))</f>
        <v/>
      </c>
      <c r="G352" s="11" t="str">
        <f>IF(F352="Completado", IFERROR(IF(INDEX('Base Exámenes'!$D$5:$D$1000, MATCH(A352&amp;"|"&amp;J352, 'Base Exámenes'!$I$5:$I$1000, 0))="", "", INDEX('Base Exámenes'!$D$5:$D$1000, MATCH(A352&amp;"|"&amp;J352, 'Base Exámenes'!$I$5:$I$1000, 0))), ""), "")</f>
        <v/>
      </c>
      <c r="H352" s="11" t="str">
        <f>IF(F352="Completado", IFERROR(IF(INDEX('Base Exámenes'!$E$5:$E$1000, MATCH(A352&amp;"|"&amp;J352, 'Base Exámenes'!$I$5:$I$1000, 0))="", "", INDEX('Base Exámenes'!$E$5:$E$1000, MATCH(A352&amp;"|"&amp;J352, 'Base Exámenes'!$I$5:$I$1000, 0))), ""), "")</f>
        <v/>
      </c>
      <c r="I352" s="10" t="str">
        <f>IF(F352="Completado", IFERROR(IF(INDEX('Base Exámenes'!$F$5:$F$1000, MATCH(A352&amp;"|"&amp;J352, 'Base Exámenes'!$I$5:$I$1000, 0))="", "", INDEX('Base Exámenes'!$F$5:$F$1000, MATCH(A352&amp;"|"&amp;J352, 'Base Exámenes'!$I$5:$I$1000, 0))), ""), "")</f>
        <v/>
      </c>
      <c r="J352" s="6" t="str">
        <f>IF(F352="Completado", IF(COUNTIFS('Base Exámenes'!$C$5:$C$1000, A352, 'Base Exámenes'!$G$5:$G$1000, "&lt;&gt;")=0, "", _xlfn.MAXIFS('Base Exámenes'!$G$5:$G$1000, 'Base Exámenes'!$C$5:$C$1000, A352)), "")</f>
        <v/>
      </c>
      <c r="K352" s="6" t="str">
        <f>IF(F352="Completado", IFERROR(IF(INDEX('Base Exámenes'!$H$5:$H$1000, MATCH(A352&amp;"|"&amp;J352, 'Base Exámenes'!$I$5:$I$1000, 0))="", "", INDEX('Base Exámenes'!$H$5:$H$1000, MATCH(A352&amp;"|"&amp;J352, 'Base Exámenes'!$I$5:$I$1000, 0))), ""), "")</f>
        <v/>
      </c>
      <c r="L352" s="22" t="str">
        <f>IF($A352="","",COUNTIF('Base Exámenes'!$C$5:$C$1000, A352))</f>
        <v/>
      </c>
      <c r="M352" s="6" t="str">
        <f>IF($A352="","",IF(COUNTIF('Base Exámenes'!$C$5:$C$1000, A352)&gt;0, "", TRIM('Base Oficial'!H352)))</f>
        <v/>
      </c>
    </row>
    <row r="353">
      <c r="A353" s="4" t="str">
        <f>IF('Base Oficial'!A353="","",TRIM('Base Oficial'!A353))</f>
        <v/>
      </c>
      <c r="B353" s="6" t="str">
        <f>IF($A353="","",TRIM('Base Oficial'!B353))</f>
        <v/>
      </c>
      <c r="C353" s="6" t="str">
        <f>IF($A353="","",TRIM('Base Oficial'!F353))</f>
        <v/>
      </c>
      <c r="D353" s="6" t="str">
        <f>IF($A353="","",TRIM('Base Oficial'!G353))</f>
        <v/>
      </c>
      <c r="E353" s="6" t="str">
        <f>IF($A353="","",TRIM('Base Oficial'!D353))</f>
        <v/>
      </c>
      <c r="F353" s="4" t="str">
        <f>IF($A353="","",IF(COUNTIF('Base Exámenes'!$C$5:$C$1000, A353)&gt;0, "Completado", IF(M353&lt;&gt;"", M353, "Pendiente")))</f>
        <v/>
      </c>
      <c r="G353" s="11" t="str">
        <f>IF(F353="Completado", IFERROR(IF(INDEX('Base Exámenes'!$D$5:$D$1000, MATCH(A353&amp;"|"&amp;J353, 'Base Exámenes'!$I$5:$I$1000, 0))="", "", INDEX('Base Exámenes'!$D$5:$D$1000, MATCH(A353&amp;"|"&amp;J353, 'Base Exámenes'!$I$5:$I$1000, 0))), ""), "")</f>
        <v/>
      </c>
      <c r="H353" s="11" t="str">
        <f>IF(F353="Completado", IFERROR(IF(INDEX('Base Exámenes'!$E$5:$E$1000, MATCH(A353&amp;"|"&amp;J353, 'Base Exámenes'!$I$5:$I$1000, 0))="", "", INDEX('Base Exámenes'!$E$5:$E$1000, MATCH(A353&amp;"|"&amp;J353, 'Base Exámenes'!$I$5:$I$1000, 0))), ""), "")</f>
        <v/>
      </c>
      <c r="I353" s="10" t="str">
        <f>IF(F353="Completado", IFERROR(IF(INDEX('Base Exámenes'!$F$5:$F$1000, MATCH(A353&amp;"|"&amp;J353, 'Base Exámenes'!$I$5:$I$1000, 0))="", "", INDEX('Base Exámenes'!$F$5:$F$1000, MATCH(A353&amp;"|"&amp;J353, 'Base Exámenes'!$I$5:$I$1000, 0))), ""), "")</f>
        <v/>
      </c>
      <c r="J353" s="6" t="str">
        <f>IF(F353="Completado", IF(COUNTIFS('Base Exámenes'!$C$5:$C$1000, A353, 'Base Exámenes'!$G$5:$G$1000, "&lt;&gt;")=0, "", _xlfn.MAXIFS('Base Exámenes'!$G$5:$G$1000, 'Base Exámenes'!$C$5:$C$1000, A353)), "")</f>
        <v/>
      </c>
      <c r="K353" s="6" t="str">
        <f>IF(F353="Completado", IFERROR(IF(INDEX('Base Exámenes'!$H$5:$H$1000, MATCH(A353&amp;"|"&amp;J353, 'Base Exámenes'!$I$5:$I$1000, 0))="", "", INDEX('Base Exámenes'!$H$5:$H$1000, MATCH(A353&amp;"|"&amp;J353, 'Base Exámenes'!$I$5:$I$1000, 0))), ""), "")</f>
        <v/>
      </c>
      <c r="L353" s="22" t="str">
        <f>IF($A353="","",COUNTIF('Base Exámenes'!$C$5:$C$1000, A353))</f>
        <v/>
      </c>
      <c r="M353" s="6" t="str">
        <f>IF($A353="","",IF(COUNTIF('Base Exámenes'!$C$5:$C$1000, A353)&gt;0, "", TRIM('Base Oficial'!H353)))</f>
        <v/>
      </c>
    </row>
    <row r="354">
      <c r="A354" s="4" t="str">
        <f>IF('Base Oficial'!A354="","",TRIM('Base Oficial'!A354))</f>
        <v/>
      </c>
      <c r="B354" s="6" t="str">
        <f>IF($A354="","",TRIM('Base Oficial'!B354))</f>
        <v/>
      </c>
      <c r="C354" s="6" t="str">
        <f>IF($A354="","",TRIM('Base Oficial'!F354))</f>
        <v/>
      </c>
      <c r="D354" s="6" t="str">
        <f>IF($A354="","",TRIM('Base Oficial'!G354))</f>
        <v/>
      </c>
      <c r="E354" s="6" t="str">
        <f>IF($A354="","",TRIM('Base Oficial'!D354))</f>
        <v/>
      </c>
      <c r="F354" s="4" t="str">
        <f>IF($A354="","",IF(COUNTIF('Base Exámenes'!$C$5:$C$1000, A354)&gt;0, "Completado", IF(M354&lt;&gt;"", M354, "Pendiente")))</f>
        <v/>
      </c>
      <c r="G354" s="11" t="str">
        <f>IF(F354="Completado", IFERROR(IF(INDEX('Base Exámenes'!$D$5:$D$1000, MATCH(A354&amp;"|"&amp;J354, 'Base Exámenes'!$I$5:$I$1000, 0))="", "", INDEX('Base Exámenes'!$D$5:$D$1000, MATCH(A354&amp;"|"&amp;J354, 'Base Exámenes'!$I$5:$I$1000, 0))), ""), "")</f>
        <v/>
      </c>
      <c r="H354" s="11" t="str">
        <f>IF(F354="Completado", IFERROR(IF(INDEX('Base Exámenes'!$E$5:$E$1000, MATCH(A354&amp;"|"&amp;J354, 'Base Exámenes'!$I$5:$I$1000, 0))="", "", INDEX('Base Exámenes'!$E$5:$E$1000, MATCH(A354&amp;"|"&amp;J354, 'Base Exámenes'!$I$5:$I$1000, 0))), ""), "")</f>
        <v/>
      </c>
      <c r="I354" s="10" t="str">
        <f>IF(F354="Completado", IFERROR(IF(INDEX('Base Exámenes'!$F$5:$F$1000, MATCH(A354&amp;"|"&amp;J354, 'Base Exámenes'!$I$5:$I$1000, 0))="", "", INDEX('Base Exámenes'!$F$5:$F$1000, MATCH(A354&amp;"|"&amp;J354, 'Base Exámenes'!$I$5:$I$1000, 0))), ""), "")</f>
        <v/>
      </c>
      <c r="J354" s="6" t="str">
        <f>IF(F354="Completado", IF(COUNTIFS('Base Exámenes'!$C$5:$C$1000, A354, 'Base Exámenes'!$G$5:$G$1000, "&lt;&gt;")=0, "", _xlfn.MAXIFS('Base Exámenes'!$G$5:$G$1000, 'Base Exámenes'!$C$5:$C$1000, A354)), "")</f>
        <v/>
      </c>
      <c r="K354" s="6" t="str">
        <f>IF(F354="Completado", IFERROR(IF(INDEX('Base Exámenes'!$H$5:$H$1000, MATCH(A354&amp;"|"&amp;J354, 'Base Exámenes'!$I$5:$I$1000, 0))="", "", INDEX('Base Exámenes'!$H$5:$H$1000, MATCH(A354&amp;"|"&amp;J354, 'Base Exámenes'!$I$5:$I$1000, 0))), ""), "")</f>
        <v/>
      </c>
      <c r="L354" s="22" t="str">
        <f>IF($A354="","",COUNTIF('Base Exámenes'!$C$5:$C$1000, A354))</f>
        <v/>
      </c>
      <c r="M354" s="6" t="str">
        <f>IF($A354="","",IF(COUNTIF('Base Exámenes'!$C$5:$C$1000, A354)&gt;0, "", TRIM('Base Oficial'!H354)))</f>
        <v/>
      </c>
    </row>
    <row r="355">
      <c r="A355" s="4" t="str">
        <f>IF('Base Oficial'!A355="","",TRIM('Base Oficial'!A355))</f>
        <v/>
      </c>
      <c r="B355" s="6" t="str">
        <f>IF($A355="","",TRIM('Base Oficial'!B355))</f>
        <v/>
      </c>
      <c r="C355" s="6" t="str">
        <f>IF($A355="","",TRIM('Base Oficial'!F355))</f>
        <v/>
      </c>
      <c r="D355" s="6" t="str">
        <f>IF($A355="","",TRIM('Base Oficial'!G355))</f>
        <v/>
      </c>
      <c r="E355" s="6" t="str">
        <f>IF($A355="","",TRIM('Base Oficial'!D355))</f>
        <v/>
      </c>
      <c r="F355" s="4" t="str">
        <f>IF($A355="","",IF(COUNTIF('Base Exámenes'!$C$5:$C$1000, A355)&gt;0, "Completado", IF(M355&lt;&gt;"", M355, "Pendiente")))</f>
        <v/>
      </c>
      <c r="G355" s="11" t="str">
        <f>IF(F355="Completado", IFERROR(IF(INDEX('Base Exámenes'!$D$5:$D$1000, MATCH(A355&amp;"|"&amp;J355, 'Base Exámenes'!$I$5:$I$1000, 0))="", "", INDEX('Base Exámenes'!$D$5:$D$1000, MATCH(A355&amp;"|"&amp;J355, 'Base Exámenes'!$I$5:$I$1000, 0))), ""), "")</f>
        <v/>
      </c>
      <c r="H355" s="11" t="str">
        <f>IF(F355="Completado", IFERROR(IF(INDEX('Base Exámenes'!$E$5:$E$1000, MATCH(A355&amp;"|"&amp;J355, 'Base Exámenes'!$I$5:$I$1000, 0))="", "", INDEX('Base Exámenes'!$E$5:$E$1000, MATCH(A355&amp;"|"&amp;J355, 'Base Exámenes'!$I$5:$I$1000, 0))), ""), "")</f>
        <v/>
      </c>
      <c r="I355" s="10" t="str">
        <f>IF(F355="Completado", IFERROR(IF(INDEX('Base Exámenes'!$F$5:$F$1000, MATCH(A355&amp;"|"&amp;J355, 'Base Exámenes'!$I$5:$I$1000, 0))="", "", INDEX('Base Exámenes'!$F$5:$F$1000, MATCH(A355&amp;"|"&amp;J355, 'Base Exámenes'!$I$5:$I$1000, 0))), ""), "")</f>
        <v/>
      </c>
      <c r="J355" s="6" t="str">
        <f>IF(F355="Completado", IF(COUNTIFS('Base Exámenes'!$C$5:$C$1000, A355, 'Base Exámenes'!$G$5:$G$1000, "&lt;&gt;")=0, "", _xlfn.MAXIFS('Base Exámenes'!$G$5:$G$1000, 'Base Exámenes'!$C$5:$C$1000, A355)), "")</f>
        <v/>
      </c>
      <c r="K355" s="6" t="str">
        <f>IF(F355="Completado", IFERROR(IF(INDEX('Base Exámenes'!$H$5:$H$1000, MATCH(A355&amp;"|"&amp;J355, 'Base Exámenes'!$I$5:$I$1000, 0))="", "", INDEX('Base Exámenes'!$H$5:$H$1000, MATCH(A355&amp;"|"&amp;J355, 'Base Exámenes'!$I$5:$I$1000, 0))), ""), "")</f>
        <v/>
      </c>
      <c r="L355" s="22" t="str">
        <f>IF($A355="","",COUNTIF('Base Exámenes'!$C$5:$C$1000, A355))</f>
        <v/>
      </c>
      <c r="M355" s="6" t="str">
        <f>IF($A355="","",IF(COUNTIF('Base Exámenes'!$C$5:$C$1000, A355)&gt;0, "", TRIM('Base Oficial'!H355)))</f>
        <v/>
      </c>
    </row>
    <row r="356">
      <c r="A356" s="4" t="str">
        <f>IF('Base Oficial'!A356="","",TRIM('Base Oficial'!A356))</f>
        <v/>
      </c>
      <c r="B356" s="6" t="str">
        <f>IF($A356="","",TRIM('Base Oficial'!B356))</f>
        <v/>
      </c>
      <c r="C356" s="6" t="str">
        <f>IF($A356="","",TRIM('Base Oficial'!F356))</f>
        <v/>
      </c>
      <c r="D356" s="6" t="str">
        <f>IF($A356="","",TRIM('Base Oficial'!G356))</f>
        <v/>
      </c>
      <c r="E356" s="6" t="str">
        <f>IF($A356="","",TRIM('Base Oficial'!D356))</f>
        <v/>
      </c>
      <c r="F356" s="4" t="str">
        <f>IF($A356="","",IF(COUNTIF('Base Exámenes'!$C$5:$C$1000, A356)&gt;0, "Completado", IF(M356&lt;&gt;"", M356, "Pendiente")))</f>
        <v/>
      </c>
      <c r="G356" s="11" t="str">
        <f>IF(F356="Completado", IFERROR(IF(INDEX('Base Exámenes'!$D$5:$D$1000, MATCH(A356&amp;"|"&amp;J356, 'Base Exámenes'!$I$5:$I$1000, 0))="", "", INDEX('Base Exámenes'!$D$5:$D$1000, MATCH(A356&amp;"|"&amp;J356, 'Base Exámenes'!$I$5:$I$1000, 0))), ""), "")</f>
        <v/>
      </c>
      <c r="H356" s="11" t="str">
        <f>IF(F356="Completado", IFERROR(IF(INDEX('Base Exámenes'!$E$5:$E$1000, MATCH(A356&amp;"|"&amp;J356, 'Base Exámenes'!$I$5:$I$1000, 0))="", "", INDEX('Base Exámenes'!$E$5:$E$1000, MATCH(A356&amp;"|"&amp;J356, 'Base Exámenes'!$I$5:$I$1000, 0))), ""), "")</f>
        <v/>
      </c>
      <c r="I356" s="10" t="str">
        <f>IF(F356="Completado", IFERROR(IF(INDEX('Base Exámenes'!$F$5:$F$1000, MATCH(A356&amp;"|"&amp;J356, 'Base Exámenes'!$I$5:$I$1000, 0))="", "", INDEX('Base Exámenes'!$F$5:$F$1000, MATCH(A356&amp;"|"&amp;J356, 'Base Exámenes'!$I$5:$I$1000, 0))), ""), "")</f>
        <v/>
      </c>
      <c r="J356" s="6" t="str">
        <f>IF(F356="Completado", IF(COUNTIFS('Base Exámenes'!$C$5:$C$1000, A356, 'Base Exámenes'!$G$5:$G$1000, "&lt;&gt;")=0, "", _xlfn.MAXIFS('Base Exámenes'!$G$5:$G$1000, 'Base Exámenes'!$C$5:$C$1000, A356)), "")</f>
        <v/>
      </c>
      <c r="K356" s="6" t="str">
        <f>IF(F356="Completado", IFERROR(IF(INDEX('Base Exámenes'!$H$5:$H$1000, MATCH(A356&amp;"|"&amp;J356, 'Base Exámenes'!$I$5:$I$1000, 0))="", "", INDEX('Base Exámenes'!$H$5:$H$1000, MATCH(A356&amp;"|"&amp;J356, 'Base Exámenes'!$I$5:$I$1000, 0))), ""), "")</f>
        <v/>
      </c>
      <c r="L356" s="22" t="str">
        <f>IF($A356="","",COUNTIF('Base Exámenes'!$C$5:$C$1000, A356))</f>
        <v/>
      </c>
      <c r="M356" s="6" t="str">
        <f>IF($A356="","",IF(COUNTIF('Base Exámenes'!$C$5:$C$1000, A356)&gt;0, "", TRIM('Base Oficial'!H356)))</f>
        <v/>
      </c>
    </row>
    <row r="357">
      <c r="A357" s="4" t="str">
        <f>IF('Base Oficial'!A357="","",TRIM('Base Oficial'!A357))</f>
        <v/>
      </c>
      <c r="B357" s="6" t="str">
        <f>IF($A357="","",TRIM('Base Oficial'!B357))</f>
        <v/>
      </c>
      <c r="C357" s="6" t="str">
        <f>IF($A357="","",TRIM('Base Oficial'!F357))</f>
        <v/>
      </c>
      <c r="D357" s="6" t="str">
        <f>IF($A357="","",TRIM('Base Oficial'!G357))</f>
        <v/>
      </c>
      <c r="E357" s="6" t="str">
        <f>IF($A357="","",TRIM('Base Oficial'!D357))</f>
        <v/>
      </c>
      <c r="F357" s="4" t="str">
        <f>IF($A357="","",IF(COUNTIF('Base Exámenes'!$C$5:$C$1000, A357)&gt;0, "Completado", IF(M357&lt;&gt;"", M357, "Pendiente")))</f>
        <v/>
      </c>
      <c r="G357" s="11" t="str">
        <f>IF(F357="Completado", IFERROR(IF(INDEX('Base Exámenes'!$D$5:$D$1000, MATCH(A357&amp;"|"&amp;J357, 'Base Exámenes'!$I$5:$I$1000, 0))="", "", INDEX('Base Exámenes'!$D$5:$D$1000, MATCH(A357&amp;"|"&amp;J357, 'Base Exámenes'!$I$5:$I$1000, 0))), ""), "")</f>
        <v/>
      </c>
      <c r="H357" s="11" t="str">
        <f>IF(F357="Completado", IFERROR(IF(INDEX('Base Exámenes'!$E$5:$E$1000, MATCH(A357&amp;"|"&amp;J357, 'Base Exámenes'!$I$5:$I$1000, 0))="", "", INDEX('Base Exámenes'!$E$5:$E$1000, MATCH(A357&amp;"|"&amp;J357, 'Base Exámenes'!$I$5:$I$1000, 0))), ""), "")</f>
        <v/>
      </c>
      <c r="I357" s="10" t="str">
        <f>IF(F357="Completado", IFERROR(IF(INDEX('Base Exámenes'!$F$5:$F$1000, MATCH(A357&amp;"|"&amp;J357, 'Base Exámenes'!$I$5:$I$1000, 0))="", "", INDEX('Base Exámenes'!$F$5:$F$1000, MATCH(A357&amp;"|"&amp;J357, 'Base Exámenes'!$I$5:$I$1000, 0))), ""), "")</f>
        <v/>
      </c>
      <c r="J357" s="6" t="str">
        <f>IF(F357="Completado", IF(COUNTIFS('Base Exámenes'!$C$5:$C$1000, A357, 'Base Exámenes'!$G$5:$G$1000, "&lt;&gt;")=0, "", _xlfn.MAXIFS('Base Exámenes'!$G$5:$G$1000, 'Base Exámenes'!$C$5:$C$1000, A357)), "")</f>
        <v/>
      </c>
      <c r="K357" s="6" t="str">
        <f>IF(F357="Completado", IFERROR(IF(INDEX('Base Exámenes'!$H$5:$H$1000, MATCH(A357&amp;"|"&amp;J357, 'Base Exámenes'!$I$5:$I$1000, 0))="", "", INDEX('Base Exámenes'!$H$5:$H$1000, MATCH(A357&amp;"|"&amp;J357, 'Base Exámenes'!$I$5:$I$1000, 0))), ""), "")</f>
        <v/>
      </c>
      <c r="L357" s="22" t="str">
        <f>IF($A357="","",COUNTIF('Base Exámenes'!$C$5:$C$1000, A357))</f>
        <v/>
      </c>
      <c r="M357" s="6" t="str">
        <f>IF($A357="","",IF(COUNTIF('Base Exámenes'!$C$5:$C$1000, A357)&gt;0, "", TRIM('Base Oficial'!H357)))</f>
        <v/>
      </c>
    </row>
    <row r="358">
      <c r="A358" s="4" t="str">
        <f>IF('Base Oficial'!A358="","",TRIM('Base Oficial'!A358))</f>
        <v/>
      </c>
      <c r="B358" s="6" t="str">
        <f>IF($A358="","",TRIM('Base Oficial'!B358))</f>
        <v/>
      </c>
      <c r="C358" s="6" t="str">
        <f>IF($A358="","",TRIM('Base Oficial'!F358))</f>
        <v/>
      </c>
      <c r="D358" s="6" t="str">
        <f>IF($A358="","",TRIM('Base Oficial'!G358))</f>
        <v/>
      </c>
      <c r="E358" s="6" t="str">
        <f>IF($A358="","",TRIM('Base Oficial'!D358))</f>
        <v/>
      </c>
      <c r="F358" s="4" t="str">
        <f>IF($A358="","",IF(COUNTIF('Base Exámenes'!$C$5:$C$1000, A358)&gt;0, "Completado", IF(M358&lt;&gt;"", M358, "Pendiente")))</f>
        <v/>
      </c>
      <c r="G358" s="11" t="str">
        <f>IF(F358="Completado", IFERROR(IF(INDEX('Base Exámenes'!$D$5:$D$1000, MATCH(A358&amp;"|"&amp;J358, 'Base Exámenes'!$I$5:$I$1000, 0))="", "", INDEX('Base Exámenes'!$D$5:$D$1000, MATCH(A358&amp;"|"&amp;J358, 'Base Exámenes'!$I$5:$I$1000, 0))), ""), "")</f>
        <v/>
      </c>
      <c r="H358" s="11" t="str">
        <f>IF(F358="Completado", IFERROR(IF(INDEX('Base Exámenes'!$E$5:$E$1000, MATCH(A358&amp;"|"&amp;J358, 'Base Exámenes'!$I$5:$I$1000, 0))="", "", INDEX('Base Exámenes'!$E$5:$E$1000, MATCH(A358&amp;"|"&amp;J358, 'Base Exámenes'!$I$5:$I$1000, 0))), ""), "")</f>
        <v/>
      </c>
      <c r="I358" s="10" t="str">
        <f>IF(F358="Completado", IFERROR(IF(INDEX('Base Exámenes'!$F$5:$F$1000, MATCH(A358&amp;"|"&amp;J358, 'Base Exámenes'!$I$5:$I$1000, 0))="", "", INDEX('Base Exámenes'!$F$5:$F$1000, MATCH(A358&amp;"|"&amp;J358, 'Base Exámenes'!$I$5:$I$1000, 0))), ""), "")</f>
        <v/>
      </c>
      <c r="J358" s="6" t="str">
        <f>IF(F358="Completado", IF(COUNTIFS('Base Exámenes'!$C$5:$C$1000, A358, 'Base Exámenes'!$G$5:$G$1000, "&lt;&gt;")=0, "", _xlfn.MAXIFS('Base Exámenes'!$G$5:$G$1000, 'Base Exámenes'!$C$5:$C$1000, A358)), "")</f>
        <v/>
      </c>
      <c r="K358" s="6" t="str">
        <f>IF(F358="Completado", IFERROR(IF(INDEX('Base Exámenes'!$H$5:$H$1000, MATCH(A358&amp;"|"&amp;J358, 'Base Exámenes'!$I$5:$I$1000, 0))="", "", INDEX('Base Exámenes'!$H$5:$H$1000, MATCH(A358&amp;"|"&amp;J358, 'Base Exámenes'!$I$5:$I$1000, 0))), ""), "")</f>
        <v/>
      </c>
      <c r="L358" s="22" t="str">
        <f>IF($A358="","",COUNTIF('Base Exámenes'!$C$5:$C$1000, A358))</f>
        <v/>
      </c>
      <c r="M358" s="6" t="str">
        <f>IF($A358="","",IF(COUNTIF('Base Exámenes'!$C$5:$C$1000, A358)&gt;0, "", TRIM('Base Oficial'!H358)))</f>
        <v/>
      </c>
    </row>
    <row r="359">
      <c r="A359" s="4" t="str">
        <f>IF('Base Oficial'!A359="","",TRIM('Base Oficial'!A359))</f>
        <v/>
      </c>
      <c r="B359" s="6" t="str">
        <f>IF($A359="","",TRIM('Base Oficial'!B359))</f>
        <v/>
      </c>
      <c r="C359" s="6" t="str">
        <f>IF($A359="","",TRIM('Base Oficial'!F359))</f>
        <v/>
      </c>
      <c r="D359" s="6" t="str">
        <f>IF($A359="","",TRIM('Base Oficial'!G359))</f>
        <v/>
      </c>
      <c r="E359" s="6" t="str">
        <f>IF($A359="","",TRIM('Base Oficial'!D359))</f>
        <v/>
      </c>
      <c r="F359" s="4" t="str">
        <f>IF($A359="","",IF(COUNTIF('Base Exámenes'!$C$5:$C$1000, A359)&gt;0, "Completado", IF(M359&lt;&gt;"", M359, "Pendiente")))</f>
        <v/>
      </c>
      <c r="G359" s="11" t="str">
        <f>IF(F359="Completado", IFERROR(IF(INDEX('Base Exámenes'!$D$5:$D$1000, MATCH(A359&amp;"|"&amp;J359, 'Base Exámenes'!$I$5:$I$1000, 0))="", "", INDEX('Base Exámenes'!$D$5:$D$1000, MATCH(A359&amp;"|"&amp;J359, 'Base Exámenes'!$I$5:$I$1000, 0))), ""), "")</f>
        <v/>
      </c>
      <c r="H359" s="11" t="str">
        <f>IF(F359="Completado", IFERROR(IF(INDEX('Base Exámenes'!$E$5:$E$1000, MATCH(A359&amp;"|"&amp;J359, 'Base Exámenes'!$I$5:$I$1000, 0))="", "", INDEX('Base Exámenes'!$E$5:$E$1000, MATCH(A359&amp;"|"&amp;J359, 'Base Exámenes'!$I$5:$I$1000, 0))), ""), "")</f>
        <v/>
      </c>
      <c r="I359" s="10" t="str">
        <f>IF(F359="Completado", IFERROR(IF(INDEX('Base Exámenes'!$F$5:$F$1000, MATCH(A359&amp;"|"&amp;J359, 'Base Exámenes'!$I$5:$I$1000, 0))="", "", INDEX('Base Exámenes'!$F$5:$F$1000, MATCH(A359&amp;"|"&amp;J359, 'Base Exámenes'!$I$5:$I$1000, 0))), ""), "")</f>
        <v/>
      </c>
      <c r="J359" s="6" t="str">
        <f>IF(F359="Completado", IF(COUNTIFS('Base Exámenes'!$C$5:$C$1000, A359, 'Base Exámenes'!$G$5:$G$1000, "&lt;&gt;")=0, "", _xlfn.MAXIFS('Base Exámenes'!$G$5:$G$1000, 'Base Exámenes'!$C$5:$C$1000, A359)), "")</f>
        <v/>
      </c>
      <c r="K359" s="6" t="str">
        <f>IF(F359="Completado", IFERROR(IF(INDEX('Base Exámenes'!$H$5:$H$1000, MATCH(A359&amp;"|"&amp;J359, 'Base Exámenes'!$I$5:$I$1000, 0))="", "", INDEX('Base Exámenes'!$H$5:$H$1000, MATCH(A359&amp;"|"&amp;J359, 'Base Exámenes'!$I$5:$I$1000, 0))), ""), "")</f>
        <v/>
      </c>
      <c r="L359" s="22" t="str">
        <f>IF($A359="","",COUNTIF('Base Exámenes'!$C$5:$C$1000, A359))</f>
        <v/>
      </c>
      <c r="M359" s="6" t="str">
        <f>IF($A359="","",IF(COUNTIF('Base Exámenes'!$C$5:$C$1000, A359)&gt;0, "", TRIM('Base Oficial'!H359)))</f>
        <v/>
      </c>
    </row>
    <row r="360">
      <c r="A360" s="4" t="str">
        <f>IF('Base Oficial'!A360="","",TRIM('Base Oficial'!A360))</f>
        <v/>
      </c>
      <c r="B360" s="6" t="str">
        <f>IF($A360="","",TRIM('Base Oficial'!B360))</f>
        <v/>
      </c>
      <c r="C360" s="6" t="str">
        <f>IF($A360="","",TRIM('Base Oficial'!F360))</f>
        <v/>
      </c>
      <c r="D360" s="6" t="str">
        <f>IF($A360="","",TRIM('Base Oficial'!G360))</f>
        <v/>
      </c>
      <c r="E360" s="6" t="str">
        <f>IF($A360="","",TRIM('Base Oficial'!D360))</f>
        <v/>
      </c>
      <c r="F360" s="4" t="str">
        <f>IF($A360="","",IF(COUNTIF('Base Exámenes'!$C$5:$C$1000, A360)&gt;0, "Completado", IF(M360&lt;&gt;"", M360, "Pendiente")))</f>
        <v/>
      </c>
      <c r="G360" s="11" t="str">
        <f>IF(F360="Completado", IFERROR(IF(INDEX('Base Exámenes'!$D$5:$D$1000, MATCH(A360&amp;"|"&amp;J360, 'Base Exámenes'!$I$5:$I$1000, 0))="", "", INDEX('Base Exámenes'!$D$5:$D$1000, MATCH(A360&amp;"|"&amp;J360, 'Base Exámenes'!$I$5:$I$1000, 0))), ""), "")</f>
        <v/>
      </c>
      <c r="H360" s="11" t="str">
        <f>IF(F360="Completado", IFERROR(IF(INDEX('Base Exámenes'!$E$5:$E$1000, MATCH(A360&amp;"|"&amp;J360, 'Base Exámenes'!$I$5:$I$1000, 0))="", "", INDEX('Base Exámenes'!$E$5:$E$1000, MATCH(A360&amp;"|"&amp;J360, 'Base Exámenes'!$I$5:$I$1000, 0))), ""), "")</f>
        <v/>
      </c>
      <c r="I360" s="10" t="str">
        <f>IF(F360="Completado", IFERROR(IF(INDEX('Base Exámenes'!$F$5:$F$1000, MATCH(A360&amp;"|"&amp;J360, 'Base Exámenes'!$I$5:$I$1000, 0))="", "", INDEX('Base Exámenes'!$F$5:$F$1000, MATCH(A360&amp;"|"&amp;J360, 'Base Exámenes'!$I$5:$I$1000, 0))), ""), "")</f>
        <v/>
      </c>
      <c r="J360" s="6" t="str">
        <f>IF(F360="Completado", IF(COUNTIFS('Base Exámenes'!$C$5:$C$1000, A360, 'Base Exámenes'!$G$5:$G$1000, "&lt;&gt;")=0, "", _xlfn.MAXIFS('Base Exámenes'!$G$5:$G$1000, 'Base Exámenes'!$C$5:$C$1000, A360)), "")</f>
        <v/>
      </c>
      <c r="K360" s="6" t="str">
        <f>IF(F360="Completado", IFERROR(IF(INDEX('Base Exámenes'!$H$5:$H$1000, MATCH(A360&amp;"|"&amp;J360, 'Base Exámenes'!$I$5:$I$1000, 0))="", "", INDEX('Base Exámenes'!$H$5:$H$1000, MATCH(A360&amp;"|"&amp;J360, 'Base Exámenes'!$I$5:$I$1000, 0))), ""), "")</f>
        <v/>
      </c>
      <c r="L360" s="22" t="str">
        <f>IF($A360="","",COUNTIF('Base Exámenes'!$C$5:$C$1000, A360))</f>
        <v/>
      </c>
      <c r="M360" s="6" t="str">
        <f>IF($A360="","",IF(COUNTIF('Base Exámenes'!$C$5:$C$1000, A360)&gt;0, "", TRIM('Base Oficial'!H360)))</f>
        <v/>
      </c>
    </row>
    <row r="361">
      <c r="A361" s="4" t="str">
        <f>IF('Base Oficial'!A361="","",TRIM('Base Oficial'!A361))</f>
        <v/>
      </c>
      <c r="B361" s="6" t="str">
        <f>IF($A361="","",TRIM('Base Oficial'!B361))</f>
        <v/>
      </c>
      <c r="C361" s="6" t="str">
        <f>IF($A361="","",TRIM('Base Oficial'!F361))</f>
        <v/>
      </c>
      <c r="D361" s="6" t="str">
        <f>IF($A361="","",TRIM('Base Oficial'!G361))</f>
        <v/>
      </c>
      <c r="E361" s="6" t="str">
        <f>IF($A361="","",TRIM('Base Oficial'!D361))</f>
        <v/>
      </c>
      <c r="F361" s="4" t="str">
        <f>IF($A361="","",IF(COUNTIF('Base Exámenes'!$C$5:$C$1000, A361)&gt;0, "Completado", IF(M361&lt;&gt;"", M361, "Pendiente")))</f>
        <v/>
      </c>
      <c r="G361" s="11" t="str">
        <f>IF(F361="Completado", IFERROR(IF(INDEX('Base Exámenes'!$D$5:$D$1000, MATCH(A361&amp;"|"&amp;J361, 'Base Exámenes'!$I$5:$I$1000, 0))="", "", INDEX('Base Exámenes'!$D$5:$D$1000, MATCH(A361&amp;"|"&amp;J361, 'Base Exámenes'!$I$5:$I$1000, 0))), ""), "")</f>
        <v/>
      </c>
      <c r="H361" s="11" t="str">
        <f>IF(F361="Completado", IFERROR(IF(INDEX('Base Exámenes'!$E$5:$E$1000, MATCH(A361&amp;"|"&amp;J361, 'Base Exámenes'!$I$5:$I$1000, 0))="", "", INDEX('Base Exámenes'!$E$5:$E$1000, MATCH(A361&amp;"|"&amp;J361, 'Base Exámenes'!$I$5:$I$1000, 0))), ""), "")</f>
        <v/>
      </c>
      <c r="I361" s="10" t="str">
        <f>IF(F361="Completado", IFERROR(IF(INDEX('Base Exámenes'!$F$5:$F$1000, MATCH(A361&amp;"|"&amp;J361, 'Base Exámenes'!$I$5:$I$1000, 0))="", "", INDEX('Base Exámenes'!$F$5:$F$1000, MATCH(A361&amp;"|"&amp;J361, 'Base Exámenes'!$I$5:$I$1000, 0))), ""), "")</f>
        <v/>
      </c>
      <c r="J361" s="6" t="str">
        <f>IF(F361="Completado", IF(COUNTIFS('Base Exámenes'!$C$5:$C$1000, A361, 'Base Exámenes'!$G$5:$G$1000, "&lt;&gt;")=0, "", _xlfn.MAXIFS('Base Exámenes'!$G$5:$G$1000, 'Base Exámenes'!$C$5:$C$1000, A361)), "")</f>
        <v/>
      </c>
      <c r="K361" s="6" t="str">
        <f>IF(F361="Completado", IFERROR(IF(INDEX('Base Exámenes'!$H$5:$H$1000, MATCH(A361&amp;"|"&amp;J361, 'Base Exámenes'!$I$5:$I$1000, 0))="", "", INDEX('Base Exámenes'!$H$5:$H$1000, MATCH(A361&amp;"|"&amp;J361, 'Base Exámenes'!$I$5:$I$1000, 0))), ""), "")</f>
        <v/>
      </c>
      <c r="L361" s="22" t="str">
        <f>IF($A361="","",COUNTIF('Base Exámenes'!$C$5:$C$1000, A361))</f>
        <v/>
      </c>
      <c r="M361" s="6" t="str">
        <f>IF($A361="","",IF(COUNTIF('Base Exámenes'!$C$5:$C$1000, A361)&gt;0, "", TRIM('Base Oficial'!H361)))</f>
        <v/>
      </c>
    </row>
    <row r="362">
      <c r="A362" s="4" t="str">
        <f>IF('Base Oficial'!A362="","",TRIM('Base Oficial'!A362))</f>
        <v/>
      </c>
      <c r="B362" s="6" t="str">
        <f>IF($A362="","",TRIM('Base Oficial'!B362))</f>
        <v/>
      </c>
      <c r="C362" s="6" t="str">
        <f>IF($A362="","",TRIM('Base Oficial'!F362))</f>
        <v/>
      </c>
      <c r="D362" s="6" t="str">
        <f>IF($A362="","",TRIM('Base Oficial'!G362))</f>
        <v/>
      </c>
      <c r="E362" s="6" t="str">
        <f>IF($A362="","",TRIM('Base Oficial'!D362))</f>
        <v/>
      </c>
      <c r="F362" s="4" t="str">
        <f>IF($A362="","",IF(COUNTIF('Base Exámenes'!$C$5:$C$1000, A362)&gt;0, "Completado", IF(M362&lt;&gt;"", M362, "Pendiente")))</f>
        <v/>
      </c>
      <c r="G362" s="11" t="str">
        <f>IF(F362="Completado", IFERROR(IF(INDEX('Base Exámenes'!$D$5:$D$1000, MATCH(A362&amp;"|"&amp;J362, 'Base Exámenes'!$I$5:$I$1000, 0))="", "", INDEX('Base Exámenes'!$D$5:$D$1000, MATCH(A362&amp;"|"&amp;J362, 'Base Exámenes'!$I$5:$I$1000, 0))), ""), "")</f>
        <v/>
      </c>
      <c r="H362" s="11" t="str">
        <f>IF(F362="Completado", IFERROR(IF(INDEX('Base Exámenes'!$E$5:$E$1000, MATCH(A362&amp;"|"&amp;J362, 'Base Exámenes'!$I$5:$I$1000, 0))="", "", INDEX('Base Exámenes'!$E$5:$E$1000, MATCH(A362&amp;"|"&amp;J362, 'Base Exámenes'!$I$5:$I$1000, 0))), ""), "")</f>
        <v/>
      </c>
      <c r="I362" s="10" t="str">
        <f>IF(F362="Completado", IFERROR(IF(INDEX('Base Exámenes'!$F$5:$F$1000, MATCH(A362&amp;"|"&amp;J362, 'Base Exámenes'!$I$5:$I$1000, 0))="", "", INDEX('Base Exámenes'!$F$5:$F$1000, MATCH(A362&amp;"|"&amp;J362, 'Base Exámenes'!$I$5:$I$1000, 0))), ""), "")</f>
        <v/>
      </c>
      <c r="J362" s="6" t="str">
        <f>IF(F362="Completado", IF(COUNTIFS('Base Exámenes'!$C$5:$C$1000, A362, 'Base Exámenes'!$G$5:$G$1000, "&lt;&gt;")=0, "", _xlfn.MAXIFS('Base Exámenes'!$G$5:$G$1000, 'Base Exámenes'!$C$5:$C$1000, A362)), "")</f>
        <v/>
      </c>
      <c r="K362" s="6" t="str">
        <f>IF(F362="Completado", IFERROR(IF(INDEX('Base Exámenes'!$H$5:$H$1000, MATCH(A362&amp;"|"&amp;J362, 'Base Exámenes'!$I$5:$I$1000, 0))="", "", INDEX('Base Exámenes'!$H$5:$H$1000, MATCH(A362&amp;"|"&amp;J362, 'Base Exámenes'!$I$5:$I$1000, 0))), ""), "")</f>
        <v/>
      </c>
      <c r="L362" s="22" t="str">
        <f>IF($A362="","",COUNTIF('Base Exámenes'!$C$5:$C$1000, A362))</f>
        <v/>
      </c>
      <c r="M362" s="6" t="str">
        <f>IF($A362="","",IF(COUNTIF('Base Exámenes'!$C$5:$C$1000, A362)&gt;0, "", TRIM('Base Oficial'!H362)))</f>
        <v/>
      </c>
    </row>
    <row r="363">
      <c r="A363" s="4" t="str">
        <f>IF('Base Oficial'!A363="","",TRIM('Base Oficial'!A363))</f>
        <v/>
      </c>
      <c r="B363" s="6" t="str">
        <f>IF($A363="","",TRIM('Base Oficial'!B363))</f>
        <v/>
      </c>
      <c r="C363" s="6" t="str">
        <f>IF($A363="","",TRIM('Base Oficial'!F363))</f>
        <v/>
      </c>
      <c r="D363" s="6" t="str">
        <f>IF($A363="","",TRIM('Base Oficial'!G363))</f>
        <v/>
      </c>
      <c r="E363" s="6" t="str">
        <f>IF($A363="","",TRIM('Base Oficial'!D363))</f>
        <v/>
      </c>
      <c r="F363" s="4" t="str">
        <f>IF($A363="","",IF(COUNTIF('Base Exámenes'!$C$5:$C$1000, A363)&gt;0, "Completado", IF(M363&lt;&gt;"", M363, "Pendiente")))</f>
        <v/>
      </c>
      <c r="G363" s="11" t="str">
        <f>IF(F363="Completado", IFERROR(IF(INDEX('Base Exámenes'!$D$5:$D$1000, MATCH(A363&amp;"|"&amp;J363, 'Base Exámenes'!$I$5:$I$1000, 0))="", "", INDEX('Base Exámenes'!$D$5:$D$1000, MATCH(A363&amp;"|"&amp;J363, 'Base Exámenes'!$I$5:$I$1000, 0))), ""), "")</f>
        <v/>
      </c>
      <c r="H363" s="11" t="str">
        <f>IF(F363="Completado", IFERROR(IF(INDEX('Base Exámenes'!$E$5:$E$1000, MATCH(A363&amp;"|"&amp;J363, 'Base Exámenes'!$I$5:$I$1000, 0))="", "", INDEX('Base Exámenes'!$E$5:$E$1000, MATCH(A363&amp;"|"&amp;J363, 'Base Exámenes'!$I$5:$I$1000, 0))), ""), "")</f>
        <v/>
      </c>
      <c r="I363" s="10" t="str">
        <f>IF(F363="Completado", IFERROR(IF(INDEX('Base Exámenes'!$F$5:$F$1000, MATCH(A363&amp;"|"&amp;J363, 'Base Exámenes'!$I$5:$I$1000, 0))="", "", INDEX('Base Exámenes'!$F$5:$F$1000, MATCH(A363&amp;"|"&amp;J363, 'Base Exámenes'!$I$5:$I$1000, 0))), ""), "")</f>
        <v/>
      </c>
      <c r="J363" s="6" t="str">
        <f>IF(F363="Completado", IF(COUNTIFS('Base Exámenes'!$C$5:$C$1000, A363, 'Base Exámenes'!$G$5:$G$1000, "&lt;&gt;")=0, "", _xlfn.MAXIFS('Base Exámenes'!$G$5:$G$1000, 'Base Exámenes'!$C$5:$C$1000, A363)), "")</f>
        <v/>
      </c>
      <c r="K363" s="6" t="str">
        <f>IF(F363="Completado", IFERROR(IF(INDEX('Base Exámenes'!$H$5:$H$1000, MATCH(A363&amp;"|"&amp;J363, 'Base Exámenes'!$I$5:$I$1000, 0))="", "", INDEX('Base Exámenes'!$H$5:$H$1000, MATCH(A363&amp;"|"&amp;J363, 'Base Exámenes'!$I$5:$I$1000, 0))), ""), "")</f>
        <v/>
      </c>
      <c r="L363" s="22" t="str">
        <f>IF($A363="","",COUNTIF('Base Exámenes'!$C$5:$C$1000, A363))</f>
        <v/>
      </c>
      <c r="M363" s="6" t="str">
        <f>IF($A363="","",IF(COUNTIF('Base Exámenes'!$C$5:$C$1000, A363)&gt;0, "", TRIM('Base Oficial'!H363)))</f>
        <v/>
      </c>
    </row>
    <row r="364">
      <c r="A364" s="4" t="str">
        <f>IF('Base Oficial'!A364="","",TRIM('Base Oficial'!A364))</f>
        <v/>
      </c>
      <c r="B364" s="6" t="str">
        <f>IF($A364="","",TRIM('Base Oficial'!B364))</f>
        <v/>
      </c>
      <c r="C364" s="6" t="str">
        <f>IF($A364="","",TRIM('Base Oficial'!F364))</f>
        <v/>
      </c>
      <c r="D364" s="6" t="str">
        <f>IF($A364="","",TRIM('Base Oficial'!G364))</f>
        <v/>
      </c>
      <c r="E364" s="6" t="str">
        <f>IF($A364="","",TRIM('Base Oficial'!D364))</f>
        <v/>
      </c>
      <c r="F364" s="4" t="str">
        <f>IF($A364="","",IF(COUNTIF('Base Exámenes'!$C$5:$C$1000, A364)&gt;0, "Completado", IF(M364&lt;&gt;"", M364, "Pendiente")))</f>
        <v/>
      </c>
      <c r="G364" s="11" t="str">
        <f>IF(F364="Completado", IFERROR(IF(INDEX('Base Exámenes'!$D$5:$D$1000, MATCH(A364&amp;"|"&amp;J364, 'Base Exámenes'!$I$5:$I$1000, 0))="", "", INDEX('Base Exámenes'!$D$5:$D$1000, MATCH(A364&amp;"|"&amp;J364, 'Base Exámenes'!$I$5:$I$1000, 0))), ""), "")</f>
        <v/>
      </c>
      <c r="H364" s="11" t="str">
        <f>IF(F364="Completado", IFERROR(IF(INDEX('Base Exámenes'!$E$5:$E$1000, MATCH(A364&amp;"|"&amp;J364, 'Base Exámenes'!$I$5:$I$1000, 0))="", "", INDEX('Base Exámenes'!$E$5:$E$1000, MATCH(A364&amp;"|"&amp;J364, 'Base Exámenes'!$I$5:$I$1000, 0))), ""), "")</f>
        <v/>
      </c>
      <c r="I364" s="10" t="str">
        <f>IF(F364="Completado", IFERROR(IF(INDEX('Base Exámenes'!$F$5:$F$1000, MATCH(A364&amp;"|"&amp;J364, 'Base Exámenes'!$I$5:$I$1000, 0))="", "", INDEX('Base Exámenes'!$F$5:$F$1000, MATCH(A364&amp;"|"&amp;J364, 'Base Exámenes'!$I$5:$I$1000, 0))), ""), "")</f>
        <v/>
      </c>
      <c r="J364" s="6" t="str">
        <f>IF(F364="Completado", IF(COUNTIFS('Base Exámenes'!$C$5:$C$1000, A364, 'Base Exámenes'!$G$5:$G$1000, "&lt;&gt;")=0, "", _xlfn.MAXIFS('Base Exámenes'!$G$5:$G$1000, 'Base Exámenes'!$C$5:$C$1000, A364)), "")</f>
        <v/>
      </c>
      <c r="K364" s="6" t="str">
        <f>IF(F364="Completado", IFERROR(IF(INDEX('Base Exámenes'!$H$5:$H$1000, MATCH(A364&amp;"|"&amp;J364, 'Base Exámenes'!$I$5:$I$1000, 0))="", "", INDEX('Base Exámenes'!$H$5:$H$1000, MATCH(A364&amp;"|"&amp;J364, 'Base Exámenes'!$I$5:$I$1000, 0))), ""), "")</f>
        <v/>
      </c>
      <c r="L364" s="22" t="str">
        <f>IF($A364="","",COUNTIF('Base Exámenes'!$C$5:$C$1000, A364))</f>
        <v/>
      </c>
      <c r="M364" s="6" t="str">
        <f>IF($A364="","",IF(COUNTIF('Base Exámenes'!$C$5:$C$1000, A364)&gt;0, "", TRIM('Base Oficial'!H364)))</f>
        <v/>
      </c>
    </row>
    <row r="365">
      <c r="A365" s="4" t="str">
        <f>IF('Base Oficial'!A365="","",TRIM('Base Oficial'!A365))</f>
        <v/>
      </c>
      <c r="B365" s="6" t="str">
        <f>IF($A365="","",TRIM('Base Oficial'!B365))</f>
        <v/>
      </c>
      <c r="C365" s="6" t="str">
        <f>IF($A365="","",TRIM('Base Oficial'!F365))</f>
        <v/>
      </c>
      <c r="D365" s="6" t="str">
        <f>IF($A365="","",TRIM('Base Oficial'!G365))</f>
        <v/>
      </c>
      <c r="E365" s="6" t="str">
        <f>IF($A365="","",TRIM('Base Oficial'!D365))</f>
        <v/>
      </c>
      <c r="F365" s="4" t="str">
        <f>IF($A365="","",IF(COUNTIF('Base Exámenes'!$C$5:$C$1000, A365)&gt;0, "Completado", IF(M365&lt;&gt;"", M365, "Pendiente")))</f>
        <v/>
      </c>
      <c r="G365" s="11" t="str">
        <f>IF(F365="Completado", IFERROR(IF(INDEX('Base Exámenes'!$D$5:$D$1000, MATCH(A365&amp;"|"&amp;J365, 'Base Exámenes'!$I$5:$I$1000, 0))="", "", INDEX('Base Exámenes'!$D$5:$D$1000, MATCH(A365&amp;"|"&amp;J365, 'Base Exámenes'!$I$5:$I$1000, 0))), ""), "")</f>
        <v/>
      </c>
      <c r="H365" s="11" t="str">
        <f>IF(F365="Completado", IFERROR(IF(INDEX('Base Exámenes'!$E$5:$E$1000, MATCH(A365&amp;"|"&amp;J365, 'Base Exámenes'!$I$5:$I$1000, 0))="", "", INDEX('Base Exámenes'!$E$5:$E$1000, MATCH(A365&amp;"|"&amp;J365, 'Base Exámenes'!$I$5:$I$1000, 0))), ""), "")</f>
        <v/>
      </c>
      <c r="I365" s="10" t="str">
        <f>IF(F365="Completado", IFERROR(IF(INDEX('Base Exámenes'!$F$5:$F$1000, MATCH(A365&amp;"|"&amp;J365, 'Base Exámenes'!$I$5:$I$1000, 0))="", "", INDEX('Base Exámenes'!$F$5:$F$1000, MATCH(A365&amp;"|"&amp;J365, 'Base Exámenes'!$I$5:$I$1000, 0))), ""), "")</f>
        <v/>
      </c>
      <c r="J365" s="6" t="str">
        <f>IF(F365="Completado", IF(COUNTIFS('Base Exámenes'!$C$5:$C$1000, A365, 'Base Exámenes'!$G$5:$G$1000, "&lt;&gt;")=0, "", _xlfn.MAXIFS('Base Exámenes'!$G$5:$G$1000, 'Base Exámenes'!$C$5:$C$1000, A365)), "")</f>
        <v/>
      </c>
      <c r="K365" s="6" t="str">
        <f>IF(F365="Completado", IFERROR(IF(INDEX('Base Exámenes'!$H$5:$H$1000, MATCH(A365&amp;"|"&amp;J365, 'Base Exámenes'!$I$5:$I$1000, 0))="", "", INDEX('Base Exámenes'!$H$5:$H$1000, MATCH(A365&amp;"|"&amp;J365, 'Base Exámenes'!$I$5:$I$1000, 0))), ""), "")</f>
        <v/>
      </c>
      <c r="L365" s="22" t="str">
        <f>IF($A365="","",COUNTIF('Base Exámenes'!$C$5:$C$1000, A365))</f>
        <v/>
      </c>
      <c r="M365" s="6" t="str">
        <f>IF($A365="","",IF(COUNTIF('Base Exámenes'!$C$5:$C$1000, A365)&gt;0, "", TRIM('Base Oficial'!H365)))</f>
        <v/>
      </c>
    </row>
    <row r="366">
      <c r="A366" s="4" t="str">
        <f>IF('Base Oficial'!A366="","",TRIM('Base Oficial'!A366))</f>
        <v/>
      </c>
      <c r="B366" s="6" t="str">
        <f>IF($A366="","",TRIM('Base Oficial'!B366))</f>
        <v/>
      </c>
      <c r="C366" s="6" t="str">
        <f>IF($A366="","",TRIM('Base Oficial'!F366))</f>
        <v/>
      </c>
      <c r="D366" s="6" t="str">
        <f>IF($A366="","",TRIM('Base Oficial'!G366))</f>
        <v/>
      </c>
      <c r="E366" s="6" t="str">
        <f>IF($A366="","",TRIM('Base Oficial'!D366))</f>
        <v/>
      </c>
      <c r="F366" s="4" t="str">
        <f>IF($A366="","",IF(COUNTIF('Base Exámenes'!$C$5:$C$1000, A366)&gt;0, "Completado", IF(M366&lt;&gt;"", M366, "Pendiente")))</f>
        <v/>
      </c>
      <c r="G366" s="11" t="str">
        <f>IF(F366="Completado", IFERROR(IF(INDEX('Base Exámenes'!$D$5:$D$1000, MATCH(A366&amp;"|"&amp;J366, 'Base Exámenes'!$I$5:$I$1000, 0))="", "", INDEX('Base Exámenes'!$D$5:$D$1000, MATCH(A366&amp;"|"&amp;J366, 'Base Exámenes'!$I$5:$I$1000, 0))), ""), "")</f>
        <v/>
      </c>
      <c r="H366" s="11" t="str">
        <f>IF(F366="Completado", IFERROR(IF(INDEX('Base Exámenes'!$E$5:$E$1000, MATCH(A366&amp;"|"&amp;J366, 'Base Exámenes'!$I$5:$I$1000, 0))="", "", INDEX('Base Exámenes'!$E$5:$E$1000, MATCH(A366&amp;"|"&amp;J366, 'Base Exámenes'!$I$5:$I$1000, 0))), ""), "")</f>
        <v/>
      </c>
      <c r="I366" s="10" t="str">
        <f>IF(F366="Completado", IFERROR(IF(INDEX('Base Exámenes'!$F$5:$F$1000, MATCH(A366&amp;"|"&amp;J366, 'Base Exámenes'!$I$5:$I$1000, 0))="", "", INDEX('Base Exámenes'!$F$5:$F$1000, MATCH(A366&amp;"|"&amp;J366, 'Base Exámenes'!$I$5:$I$1000, 0))), ""), "")</f>
        <v/>
      </c>
      <c r="J366" s="6" t="str">
        <f>IF(F366="Completado", IF(COUNTIFS('Base Exámenes'!$C$5:$C$1000, A366, 'Base Exámenes'!$G$5:$G$1000, "&lt;&gt;")=0, "", _xlfn.MAXIFS('Base Exámenes'!$G$5:$G$1000, 'Base Exámenes'!$C$5:$C$1000, A366)), "")</f>
        <v/>
      </c>
      <c r="K366" s="6" t="str">
        <f>IF(F366="Completado", IFERROR(IF(INDEX('Base Exámenes'!$H$5:$H$1000, MATCH(A366&amp;"|"&amp;J366, 'Base Exámenes'!$I$5:$I$1000, 0))="", "", INDEX('Base Exámenes'!$H$5:$H$1000, MATCH(A366&amp;"|"&amp;J366, 'Base Exámenes'!$I$5:$I$1000, 0))), ""), "")</f>
        <v/>
      </c>
      <c r="L366" s="22" t="str">
        <f>IF($A366="","",COUNTIF('Base Exámenes'!$C$5:$C$1000, A366))</f>
        <v/>
      </c>
      <c r="M366" s="6" t="str">
        <f>IF($A366="","",IF(COUNTIF('Base Exámenes'!$C$5:$C$1000, A366)&gt;0, "", TRIM('Base Oficial'!H366)))</f>
        <v/>
      </c>
    </row>
    <row r="367">
      <c r="A367" s="4" t="str">
        <f>IF('Base Oficial'!A367="","",TRIM('Base Oficial'!A367))</f>
        <v/>
      </c>
      <c r="B367" s="6" t="str">
        <f>IF($A367="","",TRIM('Base Oficial'!B367))</f>
        <v/>
      </c>
      <c r="C367" s="6" t="str">
        <f>IF($A367="","",TRIM('Base Oficial'!F367))</f>
        <v/>
      </c>
      <c r="D367" s="6" t="str">
        <f>IF($A367="","",TRIM('Base Oficial'!G367))</f>
        <v/>
      </c>
      <c r="E367" s="6" t="str">
        <f>IF($A367="","",TRIM('Base Oficial'!D367))</f>
        <v/>
      </c>
      <c r="F367" s="4" t="str">
        <f>IF($A367="","",IF(COUNTIF('Base Exámenes'!$C$5:$C$1000, A367)&gt;0, "Completado", IF(M367&lt;&gt;"", M367, "Pendiente")))</f>
        <v/>
      </c>
      <c r="G367" s="11" t="str">
        <f>IF(F367="Completado", IFERROR(IF(INDEX('Base Exámenes'!$D$5:$D$1000, MATCH(A367&amp;"|"&amp;J367, 'Base Exámenes'!$I$5:$I$1000, 0))="", "", INDEX('Base Exámenes'!$D$5:$D$1000, MATCH(A367&amp;"|"&amp;J367, 'Base Exámenes'!$I$5:$I$1000, 0))), ""), "")</f>
        <v/>
      </c>
      <c r="H367" s="11" t="str">
        <f>IF(F367="Completado", IFERROR(IF(INDEX('Base Exámenes'!$E$5:$E$1000, MATCH(A367&amp;"|"&amp;J367, 'Base Exámenes'!$I$5:$I$1000, 0))="", "", INDEX('Base Exámenes'!$E$5:$E$1000, MATCH(A367&amp;"|"&amp;J367, 'Base Exámenes'!$I$5:$I$1000, 0))), ""), "")</f>
        <v/>
      </c>
      <c r="I367" s="10" t="str">
        <f>IF(F367="Completado", IFERROR(IF(INDEX('Base Exámenes'!$F$5:$F$1000, MATCH(A367&amp;"|"&amp;J367, 'Base Exámenes'!$I$5:$I$1000, 0))="", "", INDEX('Base Exámenes'!$F$5:$F$1000, MATCH(A367&amp;"|"&amp;J367, 'Base Exámenes'!$I$5:$I$1000, 0))), ""), "")</f>
        <v/>
      </c>
      <c r="J367" s="6" t="str">
        <f>IF(F367="Completado", IF(COUNTIFS('Base Exámenes'!$C$5:$C$1000, A367, 'Base Exámenes'!$G$5:$G$1000, "&lt;&gt;")=0, "", _xlfn.MAXIFS('Base Exámenes'!$G$5:$G$1000, 'Base Exámenes'!$C$5:$C$1000, A367)), "")</f>
        <v/>
      </c>
      <c r="K367" s="6" t="str">
        <f>IF(F367="Completado", IFERROR(IF(INDEX('Base Exámenes'!$H$5:$H$1000, MATCH(A367&amp;"|"&amp;J367, 'Base Exámenes'!$I$5:$I$1000, 0))="", "", INDEX('Base Exámenes'!$H$5:$H$1000, MATCH(A367&amp;"|"&amp;J367, 'Base Exámenes'!$I$5:$I$1000, 0))), ""), "")</f>
        <v/>
      </c>
      <c r="L367" s="22" t="str">
        <f>IF($A367="","",COUNTIF('Base Exámenes'!$C$5:$C$1000, A367))</f>
        <v/>
      </c>
      <c r="M367" s="6" t="str">
        <f>IF($A367="","",IF(COUNTIF('Base Exámenes'!$C$5:$C$1000, A367)&gt;0, "", TRIM('Base Oficial'!H367)))</f>
        <v/>
      </c>
    </row>
    <row r="368">
      <c r="A368" s="4" t="str">
        <f>IF('Base Oficial'!A368="","",TRIM('Base Oficial'!A368))</f>
        <v/>
      </c>
      <c r="B368" s="6" t="str">
        <f>IF($A368="","",TRIM('Base Oficial'!B368))</f>
        <v/>
      </c>
      <c r="C368" s="6" t="str">
        <f>IF($A368="","",TRIM('Base Oficial'!F368))</f>
        <v/>
      </c>
      <c r="D368" s="6" t="str">
        <f>IF($A368="","",TRIM('Base Oficial'!G368))</f>
        <v/>
      </c>
      <c r="E368" s="6" t="str">
        <f>IF($A368="","",TRIM('Base Oficial'!D368))</f>
        <v/>
      </c>
      <c r="F368" s="4" t="str">
        <f>IF($A368="","",IF(COUNTIF('Base Exámenes'!$C$5:$C$1000, A368)&gt;0, "Completado", IF(M368&lt;&gt;"", M368, "Pendiente")))</f>
        <v/>
      </c>
      <c r="G368" s="11" t="str">
        <f>IF(F368="Completado", IFERROR(IF(INDEX('Base Exámenes'!$D$5:$D$1000, MATCH(A368&amp;"|"&amp;J368, 'Base Exámenes'!$I$5:$I$1000, 0))="", "", INDEX('Base Exámenes'!$D$5:$D$1000, MATCH(A368&amp;"|"&amp;J368, 'Base Exámenes'!$I$5:$I$1000, 0))), ""), "")</f>
        <v/>
      </c>
      <c r="H368" s="11" t="str">
        <f>IF(F368="Completado", IFERROR(IF(INDEX('Base Exámenes'!$E$5:$E$1000, MATCH(A368&amp;"|"&amp;J368, 'Base Exámenes'!$I$5:$I$1000, 0))="", "", INDEX('Base Exámenes'!$E$5:$E$1000, MATCH(A368&amp;"|"&amp;J368, 'Base Exámenes'!$I$5:$I$1000, 0))), ""), "")</f>
        <v/>
      </c>
      <c r="I368" s="10" t="str">
        <f>IF(F368="Completado", IFERROR(IF(INDEX('Base Exámenes'!$F$5:$F$1000, MATCH(A368&amp;"|"&amp;J368, 'Base Exámenes'!$I$5:$I$1000, 0))="", "", INDEX('Base Exámenes'!$F$5:$F$1000, MATCH(A368&amp;"|"&amp;J368, 'Base Exámenes'!$I$5:$I$1000, 0))), ""), "")</f>
        <v/>
      </c>
      <c r="J368" s="6" t="str">
        <f>IF(F368="Completado", IF(COUNTIFS('Base Exámenes'!$C$5:$C$1000, A368, 'Base Exámenes'!$G$5:$G$1000, "&lt;&gt;")=0, "", _xlfn.MAXIFS('Base Exámenes'!$G$5:$G$1000, 'Base Exámenes'!$C$5:$C$1000, A368)), "")</f>
        <v/>
      </c>
      <c r="K368" s="6" t="str">
        <f>IF(F368="Completado", IFERROR(IF(INDEX('Base Exámenes'!$H$5:$H$1000, MATCH(A368&amp;"|"&amp;J368, 'Base Exámenes'!$I$5:$I$1000, 0))="", "", INDEX('Base Exámenes'!$H$5:$H$1000, MATCH(A368&amp;"|"&amp;J368, 'Base Exámenes'!$I$5:$I$1000, 0))), ""), "")</f>
        <v/>
      </c>
      <c r="L368" s="22" t="str">
        <f>IF($A368="","",COUNTIF('Base Exámenes'!$C$5:$C$1000, A368))</f>
        <v/>
      </c>
      <c r="M368" s="6" t="str">
        <f>IF($A368="","",IF(COUNTIF('Base Exámenes'!$C$5:$C$1000, A368)&gt;0, "", TRIM('Base Oficial'!H368)))</f>
        <v/>
      </c>
    </row>
    <row r="369">
      <c r="A369" s="4" t="str">
        <f>IF('Base Oficial'!A369="","",TRIM('Base Oficial'!A369))</f>
        <v/>
      </c>
      <c r="B369" s="6" t="str">
        <f>IF($A369="","",TRIM('Base Oficial'!B369))</f>
        <v/>
      </c>
      <c r="C369" s="6" t="str">
        <f>IF($A369="","",TRIM('Base Oficial'!F369))</f>
        <v/>
      </c>
      <c r="D369" s="6" t="str">
        <f>IF($A369="","",TRIM('Base Oficial'!G369))</f>
        <v/>
      </c>
      <c r="E369" s="6" t="str">
        <f>IF($A369="","",TRIM('Base Oficial'!D369))</f>
        <v/>
      </c>
      <c r="F369" s="4" t="str">
        <f>IF($A369="","",IF(COUNTIF('Base Exámenes'!$C$5:$C$1000, A369)&gt;0, "Completado", IF(M369&lt;&gt;"", M369, "Pendiente")))</f>
        <v/>
      </c>
      <c r="G369" s="11" t="str">
        <f>IF(F369="Completado", IFERROR(IF(INDEX('Base Exámenes'!$D$5:$D$1000, MATCH(A369&amp;"|"&amp;J369, 'Base Exámenes'!$I$5:$I$1000, 0))="", "", INDEX('Base Exámenes'!$D$5:$D$1000, MATCH(A369&amp;"|"&amp;J369, 'Base Exámenes'!$I$5:$I$1000, 0))), ""), "")</f>
        <v/>
      </c>
      <c r="H369" s="11" t="str">
        <f>IF(F369="Completado", IFERROR(IF(INDEX('Base Exámenes'!$E$5:$E$1000, MATCH(A369&amp;"|"&amp;J369, 'Base Exámenes'!$I$5:$I$1000, 0))="", "", INDEX('Base Exámenes'!$E$5:$E$1000, MATCH(A369&amp;"|"&amp;J369, 'Base Exámenes'!$I$5:$I$1000, 0))), ""), "")</f>
        <v/>
      </c>
      <c r="I369" s="10" t="str">
        <f>IF(F369="Completado", IFERROR(IF(INDEX('Base Exámenes'!$F$5:$F$1000, MATCH(A369&amp;"|"&amp;J369, 'Base Exámenes'!$I$5:$I$1000, 0))="", "", INDEX('Base Exámenes'!$F$5:$F$1000, MATCH(A369&amp;"|"&amp;J369, 'Base Exámenes'!$I$5:$I$1000, 0))), ""), "")</f>
        <v/>
      </c>
      <c r="J369" s="6" t="str">
        <f>IF(F369="Completado", IF(COUNTIFS('Base Exámenes'!$C$5:$C$1000, A369, 'Base Exámenes'!$G$5:$G$1000, "&lt;&gt;")=0, "", _xlfn.MAXIFS('Base Exámenes'!$G$5:$G$1000, 'Base Exámenes'!$C$5:$C$1000, A369)), "")</f>
        <v/>
      </c>
      <c r="K369" s="6" t="str">
        <f>IF(F369="Completado", IFERROR(IF(INDEX('Base Exámenes'!$H$5:$H$1000, MATCH(A369&amp;"|"&amp;J369, 'Base Exámenes'!$I$5:$I$1000, 0))="", "", INDEX('Base Exámenes'!$H$5:$H$1000, MATCH(A369&amp;"|"&amp;J369, 'Base Exámenes'!$I$5:$I$1000, 0))), ""), "")</f>
        <v/>
      </c>
      <c r="L369" s="22" t="str">
        <f>IF($A369="","",COUNTIF('Base Exámenes'!$C$5:$C$1000, A369))</f>
        <v/>
      </c>
      <c r="M369" s="6" t="str">
        <f>IF($A369="","",IF(COUNTIF('Base Exámenes'!$C$5:$C$1000, A369)&gt;0, "", TRIM('Base Oficial'!H369)))</f>
        <v/>
      </c>
    </row>
    <row r="370">
      <c r="A370" s="4" t="str">
        <f>IF('Base Oficial'!A370="","",TRIM('Base Oficial'!A370))</f>
        <v/>
      </c>
      <c r="B370" s="6" t="str">
        <f>IF($A370="","",TRIM('Base Oficial'!B370))</f>
        <v/>
      </c>
      <c r="C370" s="6" t="str">
        <f>IF($A370="","",TRIM('Base Oficial'!F370))</f>
        <v/>
      </c>
      <c r="D370" s="6" t="str">
        <f>IF($A370="","",TRIM('Base Oficial'!G370))</f>
        <v/>
      </c>
      <c r="E370" s="6" t="str">
        <f>IF($A370="","",TRIM('Base Oficial'!D370))</f>
        <v/>
      </c>
      <c r="F370" s="4" t="str">
        <f>IF($A370="","",IF(COUNTIF('Base Exámenes'!$C$5:$C$1000, A370)&gt;0, "Completado", IF(M370&lt;&gt;"", M370, "Pendiente")))</f>
        <v/>
      </c>
      <c r="G370" s="11" t="str">
        <f>IF(F370="Completado", IFERROR(IF(INDEX('Base Exámenes'!$D$5:$D$1000, MATCH(A370&amp;"|"&amp;J370, 'Base Exámenes'!$I$5:$I$1000, 0))="", "", INDEX('Base Exámenes'!$D$5:$D$1000, MATCH(A370&amp;"|"&amp;J370, 'Base Exámenes'!$I$5:$I$1000, 0))), ""), "")</f>
        <v/>
      </c>
      <c r="H370" s="11" t="str">
        <f>IF(F370="Completado", IFERROR(IF(INDEX('Base Exámenes'!$E$5:$E$1000, MATCH(A370&amp;"|"&amp;J370, 'Base Exámenes'!$I$5:$I$1000, 0))="", "", INDEX('Base Exámenes'!$E$5:$E$1000, MATCH(A370&amp;"|"&amp;J370, 'Base Exámenes'!$I$5:$I$1000, 0))), ""), "")</f>
        <v/>
      </c>
      <c r="I370" s="10" t="str">
        <f>IF(F370="Completado", IFERROR(IF(INDEX('Base Exámenes'!$F$5:$F$1000, MATCH(A370&amp;"|"&amp;J370, 'Base Exámenes'!$I$5:$I$1000, 0))="", "", INDEX('Base Exámenes'!$F$5:$F$1000, MATCH(A370&amp;"|"&amp;J370, 'Base Exámenes'!$I$5:$I$1000, 0))), ""), "")</f>
        <v/>
      </c>
      <c r="J370" s="6" t="str">
        <f>IF(F370="Completado", IF(COUNTIFS('Base Exámenes'!$C$5:$C$1000, A370, 'Base Exámenes'!$G$5:$G$1000, "&lt;&gt;")=0, "", _xlfn.MAXIFS('Base Exámenes'!$G$5:$G$1000, 'Base Exámenes'!$C$5:$C$1000, A370)), "")</f>
        <v/>
      </c>
      <c r="K370" s="6" t="str">
        <f>IF(F370="Completado", IFERROR(IF(INDEX('Base Exámenes'!$H$5:$H$1000, MATCH(A370&amp;"|"&amp;J370, 'Base Exámenes'!$I$5:$I$1000, 0))="", "", INDEX('Base Exámenes'!$H$5:$H$1000, MATCH(A370&amp;"|"&amp;J370, 'Base Exámenes'!$I$5:$I$1000, 0))), ""), "")</f>
        <v/>
      </c>
      <c r="L370" s="22" t="str">
        <f>IF($A370="","",COUNTIF('Base Exámenes'!$C$5:$C$1000, A370))</f>
        <v/>
      </c>
      <c r="M370" s="6" t="str">
        <f>IF($A370="","",IF(COUNTIF('Base Exámenes'!$C$5:$C$1000, A370)&gt;0, "", TRIM('Base Oficial'!H370)))</f>
        <v/>
      </c>
    </row>
    <row r="371">
      <c r="A371" s="4" t="str">
        <f>IF('Base Oficial'!A371="","",TRIM('Base Oficial'!A371))</f>
        <v/>
      </c>
      <c r="B371" s="6" t="str">
        <f>IF($A371="","",TRIM('Base Oficial'!B371))</f>
        <v/>
      </c>
      <c r="C371" s="6" t="str">
        <f>IF($A371="","",TRIM('Base Oficial'!F371))</f>
        <v/>
      </c>
      <c r="D371" s="6" t="str">
        <f>IF($A371="","",TRIM('Base Oficial'!G371))</f>
        <v/>
      </c>
      <c r="E371" s="6" t="str">
        <f>IF($A371="","",TRIM('Base Oficial'!D371))</f>
        <v/>
      </c>
      <c r="F371" s="4" t="str">
        <f>IF($A371="","",IF(COUNTIF('Base Exámenes'!$C$5:$C$1000, A371)&gt;0, "Completado", IF(M371&lt;&gt;"", M371, "Pendiente")))</f>
        <v/>
      </c>
      <c r="G371" s="11" t="str">
        <f>IF(F371="Completado", IFERROR(IF(INDEX('Base Exámenes'!$D$5:$D$1000, MATCH(A371&amp;"|"&amp;J371, 'Base Exámenes'!$I$5:$I$1000, 0))="", "", INDEX('Base Exámenes'!$D$5:$D$1000, MATCH(A371&amp;"|"&amp;J371, 'Base Exámenes'!$I$5:$I$1000, 0))), ""), "")</f>
        <v/>
      </c>
      <c r="H371" s="11" t="str">
        <f>IF(F371="Completado", IFERROR(IF(INDEX('Base Exámenes'!$E$5:$E$1000, MATCH(A371&amp;"|"&amp;J371, 'Base Exámenes'!$I$5:$I$1000, 0))="", "", INDEX('Base Exámenes'!$E$5:$E$1000, MATCH(A371&amp;"|"&amp;J371, 'Base Exámenes'!$I$5:$I$1000, 0))), ""), "")</f>
        <v/>
      </c>
      <c r="I371" s="10" t="str">
        <f>IF(F371="Completado", IFERROR(IF(INDEX('Base Exámenes'!$F$5:$F$1000, MATCH(A371&amp;"|"&amp;J371, 'Base Exámenes'!$I$5:$I$1000, 0))="", "", INDEX('Base Exámenes'!$F$5:$F$1000, MATCH(A371&amp;"|"&amp;J371, 'Base Exámenes'!$I$5:$I$1000, 0))), ""), "")</f>
        <v/>
      </c>
      <c r="J371" s="6" t="str">
        <f>IF(F371="Completado", IF(COUNTIFS('Base Exámenes'!$C$5:$C$1000, A371, 'Base Exámenes'!$G$5:$G$1000, "&lt;&gt;")=0, "", _xlfn.MAXIFS('Base Exámenes'!$G$5:$G$1000, 'Base Exámenes'!$C$5:$C$1000, A371)), "")</f>
        <v/>
      </c>
      <c r="K371" s="6" t="str">
        <f>IF(F371="Completado", IFERROR(IF(INDEX('Base Exámenes'!$H$5:$H$1000, MATCH(A371&amp;"|"&amp;J371, 'Base Exámenes'!$I$5:$I$1000, 0))="", "", INDEX('Base Exámenes'!$H$5:$H$1000, MATCH(A371&amp;"|"&amp;J371, 'Base Exámenes'!$I$5:$I$1000, 0))), ""), "")</f>
        <v/>
      </c>
      <c r="L371" s="22" t="str">
        <f>IF($A371="","",COUNTIF('Base Exámenes'!$C$5:$C$1000, A371))</f>
        <v/>
      </c>
      <c r="M371" s="6" t="str">
        <f>IF($A371="","",IF(COUNTIF('Base Exámenes'!$C$5:$C$1000, A371)&gt;0, "", TRIM('Base Oficial'!H371)))</f>
        <v/>
      </c>
    </row>
    <row r="372">
      <c r="A372" s="4" t="str">
        <f>IF('Base Oficial'!A372="","",TRIM('Base Oficial'!A372))</f>
        <v/>
      </c>
      <c r="B372" s="6" t="str">
        <f>IF($A372="","",TRIM('Base Oficial'!B372))</f>
        <v/>
      </c>
      <c r="C372" s="6" t="str">
        <f>IF($A372="","",TRIM('Base Oficial'!F372))</f>
        <v/>
      </c>
      <c r="D372" s="6" t="str">
        <f>IF($A372="","",TRIM('Base Oficial'!G372))</f>
        <v/>
      </c>
      <c r="E372" s="6" t="str">
        <f>IF($A372="","",TRIM('Base Oficial'!D372))</f>
        <v/>
      </c>
      <c r="F372" s="4" t="str">
        <f>IF($A372="","",IF(COUNTIF('Base Exámenes'!$C$5:$C$1000, A372)&gt;0, "Completado", IF(M372&lt;&gt;"", M372, "Pendiente")))</f>
        <v/>
      </c>
      <c r="G372" s="11" t="str">
        <f>IF(F372="Completado", IFERROR(IF(INDEX('Base Exámenes'!$D$5:$D$1000, MATCH(A372&amp;"|"&amp;J372, 'Base Exámenes'!$I$5:$I$1000, 0))="", "", INDEX('Base Exámenes'!$D$5:$D$1000, MATCH(A372&amp;"|"&amp;J372, 'Base Exámenes'!$I$5:$I$1000, 0))), ""), "")</f>
        <v/>
      </c>
      <c r="H372" s="11" t="str">
        <f>IF(F372="Completado", IFERROR(IF(INDEX('Base Exámenes'!$E$5:$E$1000, MATCH(A372&amp;"|"&amp;J372, 'Base Exámenes'!$I$5:$I$1000, 0))="", "", INDEX('Base Exámenes'!$E$5:$E$1000, MATCH(A372&amp;"|"&amp;J372, 'Base Exámenes'!$I$5:$I$1000, 0))), ""), "")</f>
        <v/>
      </c>
      <c r="I372" s="10" t="str">
        <f>IF(F372="Completado", IFERROR(IF(INDEX('Base Exámenes'!$F$5:$F$1000, MATCH(A372&amp;"|"&amp;J372, 'Base Exámenes'!$I$5:$I$1000, 0))="", "", INDEX('Base Exámenes'!$F$5:$F$1000, MATCH(A372&amp;"|"&amp;J372, 'Base Exámenes'!$I$5:$I$1000, 0))), ""), "")</f>
        <v/>
      </c>
      <c r="J372" s="6" t="str">
        <f>IF(F372="Completado", IF(COUNTIFS('Base Exámenes'!$C$5:$C$1000, A372, 'Base Exámenes'!$G$5:$G$1000, "&lt;&gt;")=0, "", _xlfn.MAXIFS('Base Exámenes'!$G$5:$G$1000, 'Base Exámenes'!$C$5:$C$1000, A372)), "")</f>
        <v/>
      </c>
      <c r="K372" s="6" t="str">
        <f>IF(F372="Completado", IFERROR(IF(INDEX('Base Exámenes'!$H$5:$H$1000, MATCH(A372&amp;"|"&amp;J372, 'Base Exámenes'!$I$5:$I$1000, 0))="", "", INDEX('Base Exámenes'!$H$5:$H$1000, MATCH(A372&amp;"|"&amp;J372, 'Base Exámenes'!$I$5:$I$1000, 0))), ""), "")</f>
        <v/>
      </c>
      <c r="L372" s="22" t="str">
        <f>IF($A372="","",COUNTIF('Base Exámenes'!$C$5:$C$1000, A372))</f>
        <v/>
      </c>
      <c r="M372" s="6" t="str">
        <f>IF($A372="","",IF(COUNTIF('Base Exámenes'!$C$5:$C$1000, A372)&gt;0, "", TRIM('Base Oficial'!H372)))</f>
        <v/>
      </c>
    </row>
    <row r="373">
      <c r="A373" s="4" t="str">
        <f>IF('Base Oficial'!A373="","",TRIM('Base Oficial'!A373))</f>
        <v/>
      </c>
      <c r="B373" s="6" t="str">
        <f>IF($A373="","",TRIM('Base Oficial'!B373))</f>
        <v/>
      </c>
      <c r="C373" s="6" t="str">
        <f>IF($A373="","",TRIM('Base Oficial'!F373))</f>
        <v/>
      </c>
      <c r="D373" s="6" t="str">
        <f>IF($A373="","",TRIM('Base Oficial'!G373))</f>
        <v/>
      </c>
      <c r="E373" s="6" t="str">
        <f>IF($A373="","",TRIM('Base Oficial'!D373))</f>
        <v/>
      </c>
      <c r="F373" s="4" t="str">
        <f>IF($A373="","",IF(COUNTIF('Base Exámenes'!$C$5:$C$1000, A373)&gt;0, "Completado", IF(M373&lt;&gt;"", M373, "Pendiente")))</f>
        <v/>
      </c>
      <c r="G373" s="11" t="str">
        <f>IF(F373="Completado", IFERROR(IF(INDEX('Base Exámenes'!$D$5:$D$1000, MATCH(A373&amp;"|"&amp;J373, 'Base Exámenes'!$I$5:$I$1000, 0))="", "", INDEX('Base Exámenes'!$D$5:$D$1000, MATCH(A373&amp;"|"&amp;J373, 'Base Exámenes'!$I$5:$I$1000, 0))), ""), "")</f>
        <v/>
      </c>
      <c r="H373" s="11" t="str">
        <f>IF(F373="Completado", IFERROR(IF(INDEX('Base Exámenes'!$E$5:$E$1000, MATCH(A373&amp;"|"&amp;J373, 'Base Exámenes'!$I$5:$I$1000, 0))="", "", INDEX('Base Exámenes'!$E$5:$E$1000, MATCH(A373&amp;"|"&amp;J373, 'Base Exámenes'!$I$5:$I$1000, 0))), ""), "")</f>
        <v/>
      </c>
      <c r="I373" s="10" t="str">
        <f>IF(F373="Completado", IFERROR(IF(INDEX('Base Exámenes'!$F$5:$F$1000, MATCH(A373&amp;"|"&amp;J373, 'Base Exámenes'!$I$5:$I$1000, 0))="", "", INDEX('Base Exámenes'!$F$5:$F$1000, MATCH(A373&amp;"|"&amp;J373, 'Base Exámenes'!$I$5:$I$1000, 0))), ""), "")</f>
        <v/>
      </c>
      <c r="J373" s="6" t="str">
        <f>IF(F373="Completado", IF(COUNTIFS('Base Exámenes'!$C$5:$C$1000, A373, 'Base Exámenes'!$G$5:$G$1000, "&lt;&gt;")=0, "", _xlfn.MAXIFS('Base Exámenes'!$G$5:$G$1000, 'Base Exámenes'!$C$5:$C$1000, A373)), "")</f>
        <v/>
      </c>
      <c r="K373" s="6" t="str">
        <f>IF(F373="Completado", IFERROR(IF(INDEX('Base Exámenes'!$H$5:$H$1000, MATCH(A373&amp;"|"&amp;J373, 'Base Exámenes'!$I$5:$I$1000, 0))="", "", INDEX('Base Exámenes'!$H$5:$H$1000, MATCH(A373&amp;"|"&amp;J373, 'Base Exámenes'!$I$5:$I$1000, 0))), ""), "")</f>
        <v/>
      </c>
      <c r="L373" s="22" t="str">
        <f>IF($A373="","",COUNTIF('Base Exámenes'!$C$5:$C$1000, A373))</f>
        <v/>
      </c>
      <c r="M373" s="6" t="str">
        <f>IF($A373="","",IF(COUNTIF('Base Exámenes'!$C$5:$C$1000, A373)&gt;0, "", TRIM('Base Oficial'!H373)))</f>
        <v/>
      </c>
    </row>
    <row r="374">
      <c r="A374" s="4" t="str">
        <f>IF('Base Oficial'!A374="","",TRIM('Base Oficial'!A374))</f>
        <v/>
      </c>
      <c r="B374" s="6" t="str">
        <f>IF($A374="","",TRIM('Base Oficial'!B374))</f>
        <v/>
      </c>
      <c r="C374" s="6" t="str">
        <f>IF($A374="","",TRIM('Base Oficial'!F374))</f>
        <v/>
      </c>
      <c r="D374" s="6" t="str">
        <f>IF($A374="","",TRIM('Base Oficial'!G374))</f>
        <v/>
      </c>
      <c r="E374" s="6" t="str">
        <f>IF($A374="","",TRIM('Base Oficial'!D374))</f>
        <v/>
      </c>
      <c r="F374" s="4" t="str">
        <f>IF($A374="","",IF(COUNTIF('Base Exámenes'!$C$5:$C$1000, A374)&gt;0, "Completado", IF(M374&lt;&gt;"", M374, "Pendiente")))</f>
        <v/>
      </c>
      <c r="G374" s="11" t="str">
        <f>IF(F374="Completado", IFERROR(IF(INDEX('Base Exámenes'!$D$5:$D$1000, MATCH(A374&amp;"|"&amp;J374, 'Base Exámenes'!$I$5:$I$1000, 0))="", "", INDEX('Base Exámenes'!$D$5:$D$1000, MATCH(A374&amp;"|"&amp;J374, 'Base Exámenes'!$I$5:$I$1000, 0))), ""), "")</f>
        <v/>
      </c>
      <c r="H374" s="11" t="str">
        <f>IF(F374="Completado", IFERROR(IF(INDEX('Base Exámenes'!$E$5:$E$1000, MATCH(A374&amp;"|"&amp;J374, 'Base Exámenes'!$I$5:$I$1000, 0))="", "", INDEX('Base Exámenes'!$E$5:$E$1000, MATCH(A374&amp;"|"&amp;J374, 'Base Exámenes'!$I$5:$I$1000, 0))), ""), "")</f>
        <v/>
      </c>
      <c r="I374" s="10" t="str">
        <f>IF(F374="Completado", IFERROR(IF(INDEX('Base Exámenes'!$F$5:$F$1000, MATCH(A374&amp;"|"&amp;J374, 'Base Exámenes'!$I$5:$I$1000, 0))="", "", INDEX('Base Exámenes'!$F$5:$F$1000, MATCH(A374&amp;"|"&amp;J374, 'Base Exámenes'!$I$5:$I$1000, 0))), ""), "")</f>
        <v/>
      </c>
      <c r="J374" s="6" t="str">
        <f>IF(F374="Completado", IF(COUNTIFS('Base Exámenes'!$C$5:$C$1000, A374, 'Base Exámenes'!$G$5:$G$1000, "&lt;&gt;")=0, "", _xlfn.MAXIFS('Base Exámenes'!$G$5:$G$1000, 'Base Exámenes'!$C$5:$C$1000, A374)), "")</f>
        <v/>
      </c>
      <c r="K374" s="6" t="str">
        <f>IF(F374="Completado", IFERROR(IF(INDEX('Base Exámenes'!$H$5:$H$1000, MATCH(A374&amp;"|"&amp;J374, 'Base Exámenes'!$I$5:$I$1000, 0))="", "", INDEX('Base Exámenes'!$H$5:$H$1000, MATCH(A374&amp;"|"&amp;J374, 'Base Exámenes'!$I$5:$I$1000, 0))), ""), "")</f>
        <v/>
      </c>
      <c r="L374" s="22" t="str">
        <f>IF($A374="","",COUNTIF('Base Exámenes'!$C$5:$C$1000, A374))</f>
        <v/>
      </c>
      <c r="M374" s="6" t="str">
        <f>IF($A374="","",IF(COUNTIF('Base Exámenes'!$C$5:$C$1000, A374)&gt;0, "", TRIM('Base Oficial'!H374)))</f>
        <v/>
      </c>
    </row>
    <row r="375">
      <c r="A375" s="4" t="str">
        <f>IF('Base Oficial'!A375="","",TRIM('Base Oficial'!A375))</f>
        <v/>
      </c>
      <c r="B375" s="6" t="str">
        <f>IF($A375="","",TRIM('Base Oficial'!B375))</f>
        <v/>
      </c>
      <c r="C375" s="6" t="str">
        <f>IF($A375="","",TRIM('Base Oficial'!F375))</f>
        <v/>
      </c>
      <c r="D375" s="6" t="str">
        <f>IF($A375="","",TRIM('Base Oficial'!G375))</f>
        <v/>
      </c>
      <c r="E375" s="6" t="str">
        <f>IF($A375="","",TRIM('Base Oficial'!D375))</f>
        <v/>
      </c>
      <c r="F375" s="4" t="str">
        <f>IF($A375="","",IF(COUNTIF('Base Exámenes'!$C$5:$C$1000, A375)&gt;0, "Completado", IF(M375&lt;&gt;"", M375, "Pendiente")))</f>
        <v/>
      </c>
      <c r="G375" s="11" t="str">
        <f>IF(F375="Completado", IFERROR(IF(INDEX('Base Exámenes'!$D$5:$D$1000, MATCH(A375&amp;"|"&amp;J375, 'Base Exámenes'!$I$5:$I$1000, 0))="", "", INDEX('Base Exámenes'!$D$5:$D$1000, MATCH(A375&amp;"|"&amp;J375, 'Base Exámenes'!$I$5:$I$1000, 0))), ""), "")</f>
        <v/>
      </c>
      <c r="H375" s="11" t="str">
        <f>IF(F375="Completado", IFERROR(IF(INDEX('Base Exámenes'!$E$5:$E$1000, MATCH(A375&amp;"|"&amp;J375, 'Base Exámenes'!$I$5:$I$1000, 0))="", "", INDEX('Base Exámenes'!$E$5:$E$1000, MATCH(A375&amp;"|"&amp;J375, 'Base Exámenes'!$I$5:$I$1000, 0))), ""), "")</f>
        <v/>
      </c>
      <c r="I375" s="10" t="str">
        <f>IF(F375="Completado", IFERROR(IF(INDEX('Base Exámenes'!$F$5:$F$1000, MATCH(A375&amp;"|"&amp;J375, 'Base Exámenes'!$I$5:$I$1000, 0))="", "", INDEX('Base Exámenes'!$F$5:$F$1000, MATCH(A375&amp;"|"&amp;J375, 'Base Exámenes'!$I$5:$I$1000, 0))), ""), "")</f>
        <v/>
      </c>
      <c r="J375" s="6" t="str">
        <f>IF(F375="Completado", IF(COUNTIFS('Base Exámenes'!$C$5:$C$1000, A375, 'Base Exámenes'!$G$5:$G$1000, "&lt;&gt;")=0, "", _xlfn.MAXIFS('Base Exámenes'!$G$5:$G$1000, 'Base Exámenes'!$C$5:$C$1000, A375)), "")</f>
        <v/>
      </c>
      <c r="K375" s="6" t="str">
        <f>IF(F375="Completado", IFERROR(IF(INDEX('Base Exámenes'!$H$5:$H$1000, MATCH(A375&amp;"|"&amp;J375, 'Base Exámenes'!$I$5:$I$1000, 0))="", "", INDEX('Base Exámenes'!$H$5:$H$1000, MATCH(A375&amp;"|"&amp;J375, 'Base Exámenes'!$I$5:$I$1000, 0))), ""), "")</f>
        <v/>
      </c>
      <c r="L375" s="22" t="str">
        <f>IF($A375="","",COUNTIF('Base Exámenes'!$C$5:$C$1000, A375))</f>
        <v/>
      </c>
      <c r="M375" s="6" t="str">
        <f>IF($A375="","",IF(COUNTIF('Base Exámenes'!$C$5:$C$1000, A375)&gt;0, "", TRIM('Base Oficial'!H375)))</f>
        <v/>
      </c>
    </row>
    <row r="376">
      <c r="A376" s="4" t="str">
        <f>IF('Base Oficial'!A376="","",TRIM('Base Oficial'!A376))</f>
        <v/>
      </c>
      <c r="B376" s="6" t="str">
        <f>IF($A376="","",TRIM('Base Oficial'!B376))</f>
        <v/>
      </c>
      <c r="C376" s="6" t="str">
        <f>IF($A376="","",TRIM('Base Oficial'!F376))</f>
        <v/>
      </c>
      <c r="D376" s="6" t="str">
        <f>IF($A376="","",TRIM('Base Oficial'!G376))</f>
        <v/>
      </c>
      <c r="E376" s="6" t="str">
        <f>IF($A376="","",TRIM('Base Oficial'!D376))</f>
        <v/>
      </c>
      <c r="F376" s="4" t="str">
        <f>IF($A376="","",IF(COUNTIF('Base Exámenes'!$C$5:$C$1000, A376)&gt;0, "Completado", IF(M376&lt;&gt;"", M376, "Pendiente")))</f>
        <v/>
      </c>
      <c r="G376" s="11" t="str">
        <f>IF(F376="Completado", IFERROR(IF(INDEX('Base Exámenes'!$D$5:$D$1000, MATCH(A376&amp;"|"&amp;J376, 'Base Exámenes'!$I$5:$I$1000, 0))="", "", INDEX('Base Exámenes'!$D$5:$D$1000, MATCH(A376&amp;"|"&amp;J376, 'Base Exámenes'!$I$5:$I$1000, 0))), ""), "")</f>
        <v/>
      </c>
      <c r="H376" s="11" t="str">
        <f>IF(F376="Completado", IFERROR(IF(INDEX('Base Exámenes'!$E$5:$E$1000, MATCH(A376&amp;"|"&amp;J376, 'Base Exámenes'!$I$5:$I$1000, 0))="", "", INDEX('Base Exámenes'!$E$5:$E$1000, MATCH(A376&amp;"|"&amp;J376, 'Base Exámenes'!$I$5:$I$1000, 0))), ""), "")</f>
        <v/>
      </c>
      <c r="I376" s="10" t="str">
        <f>IF(F376="Completado", IFERROR(IF(INDEX('Base Exámenes'!$F$5:$F$1000, MATCH(A376&amp;"|"&amp;J376, 'Base Exámenes'!$I$5:$I$1000, 0))="", "", INDEX('Base Exámenes'!$F$5:$F$1000, MATCH(A376&amp;"|"&amp;J376, 'Base Exámenes'!$I$5:$I$1000, 0))), ""), "")</f>
        <v/>
      </c>
      <c r="J376" s="6" t="str">
        <f>IF(F376="Completado", IF(COUNTIFS('Base Exámenes'!$C$5:$C$1000, A376, 'Base Exámenes'!$G$5:$G$1000, "&lt;&gt;")=0, "", _xlfn.MAXIFS('Base Exámenes'!$G$5:$G$1000, 'Base Exámenes'!$C$5:$C$1000, A376)), "")</f>
        <v/>
      </c>
      <c r="K376" s="6" t="str">
        <f>IF(F376="Completado", IFERROR(IF(INDEX('Base Exámenes'!$H$5:$H$1000, MATCH(A376&amp;"|"&amp;J376, 'Base Exámenes'!$I$5:$I$1000, 0))="", "", INDEX('Base Exámenes'!$H$5:$H$1000, MATCH(A376&amp;"|"&amp;J376, 'Base Exámenes'!$I$5:$I$1000, 0))), ""), "")</f>
        <v/>
      </c>
      <c r="L376" s="22" t="str">
        <f>IF($A376="","",COUNTIF('Base Exámenes'!$C$5:$C$1000, A376))</f>
        <v/>
      </c>
      <c r="M376" s="6" t="str">
        <f>IF($A376="","",IF(COUNTIF('Base Exámenes'!$C$5:$C$1000, A376)&gt;0, "", TRIM('Base Oficial'!H376)))</f>
        <v/>
      </c>
    </row>
    <row r="377">
      <c r="A377" s="4" t="str">
        <f>IF('Base Oficial'!A377="","",TRIM('Base Oficial'!A377))</f>
        <v/>
      </c>
      <c r="B377" s="6" t="str">
        <f>IF($A377="","",TRIM('Base Oficial'!B377))</f>
        <v/>
      </c>
      <c r="C377" s="6" t="str">
        <f>IF($A377="","",TRIM('Base Oficial'!F377))</f>
        <v/>
      </c>
      <c r="D377" s="6" t="str">
        <f>IF($A377="","",TRIM('Base Oficial'!G377))</f>
        <v/>
      </c>
      <c r="E377" s="6" t="str">
        <f>IF($A377="","",TRIM('Base Oficial'!D377))</f>
        <v/>
      </c>
      <c r="F377" s="4" t="str">
        <f>IF($A377="","",IF(COUNTIF('Base Exámenes'!$C$5:$C$1000, A377)&gt;0, "Completado", IF(M377&lt;&gt;"", M377, "Pendiente")))</f>
        <v/>
      </c>
      <c r="G377" s="11" t="str">
        <f>IF(F377="Completado", IFERROR(IF(INDEX('Base Exámenes'!$D$5:$D$1000, MATCH(A377&amp;"|"&amp;J377, 'Base Exámenes'!$I$5:$I$1000, 0))="", "", INDEX('Base Exámenes'!$D$5:$D$1000, MATCH(A377&amp;"|"&amp;J377, 'Base Exámenes'!$I$5:$I$1000, 0))), ""), "")</f>
        <v/>
      </c>
      <c r="H377" s="11" t="str">
        <f>IF(F377="Completado", IFERROR(IF(INDEX('Base Exámenes'!$E$5:$E$1000, MATCH(A377&amp;"|"&amp;J377, 'Base Exámenes'!$I$5:$I$1000, 0))="", "", INDEX('Base Exámenes'!$E$5:$E$1000, MATCH(A377&amp;"|"&amp;J377, 'Base Exámenes'!$I$5:$I$1000, 0))), ""), "")</f>
        <v/>
      </c>
      <c r="I377" s="10" t="str">
        <f>IF(F377="Completado", IFERROR(IF(INDEX('Base Exámenes'!$F$5:$F$1000, MATCH(A377&amp;"|"&amp;J377, 'Base Exámenes'!$I$5:$I$1000, 0))="", "", INDEX('Base Exámenes'!$F$5:$F$1000, MATCH(A377&amp;"|"&amp;J377, 'Base Exámenes'!$I$5:$I$1000, 0))), ""), "")</f>
        <v/>
      </c>
      <c r="J377" s="6" t="str">
        <f>IF(F377="Completado", IF(COUNTIFS('Base Exámenes'!$C$5:$C$1000, A377, 'Base Exámenes'!$G$5:$G$1000, "&lt;&gt;")=0, "", _xlfn.MAXIFS('Base Exámenes'!$G$5:$G$1000, 'Base Exámenes'!$C$5:$C$1000, A377)), "")</f>
        <v/>
      </c>
      <c r="K377" s="6" t="str">
        <f>IF(F377="Completado", IFERROR(IF(INDEX('Base Exámenes'!$H$5:$H$1000, MATCH(A377&amp;"|"&amp;J377, 'Base Exámenes'!$I$5:$I$1000, 0))="", "", INDEX('Base Exámenes'!$H$5:$H$1000, MATCH(A377&amp;"|"&amp;J377, 'Base Exámenes'!$I$5:$I$1000, 0))), ""), "")</f>
        <v/>
      </c>
      <c r="L377" s="22" t="str">
        <f>IF($A377="","",COUNTIF('Base Exámenes'!$C$5:$C$1000, A377))</f>
        <v/>
      </c>
      <c r="M377" s="6" t="str">
        <f>IF($A377="","",IF(COUNTIF('Base Exámenes'!$C$5:$C$1000, A377)&gt;0, "", TRIM('Base Oficial'!H377)))</f>
        <v/>
      </c>
    </row>
    <row r="378">
      <c r="A378" s="4" t="str">
        <f>IF('Base Oficial'!A378="","",TRIM('Base Oficial'!A378))</f>
        <v/>
      </c>
      <c r="B378" s="6" t="str">
        <f>IF($A378="","",TRIM('Base Oficial'!B378))</f>
        <v/>
      </c>
      <c r="C378" s="6" t="str">
        <f>IF($A378="","",TRIM('Base Oficial'!F378))</f>
        <v/>
      </c>
      <c r="D378" s="6" t="str">
        <f>IF($A378="","",TRIM('Base Oficial'!G378))</f>
        <v/>
      </c>
      <c r="E378" s="6" t="str">
        <f>IF($A378="","",TRIM('Base Oficial'!D378))</f>
        <v/>
      </c>
      <c r="F378" s="4" t="str">
        <f>IF($A378="","",IF(COUNTIF('Base Exámenes'!$C$5:$C$1000, A378)&gt;0, "Completado", IF(M378&lt;&gt;"", M378, "Pendiente")))</f>
        <v/>
      </c>
      <c r="G378" s="11" t="str">
        <f>IF(F378="Completado", IFERROR(IF(INDEX('Base Exámenes'!$D$5:$D$1000, MATCH(A378&amp;"|"&amp;J378, 'Base Exámenes'!$I$5:$I$1000, 0))="", "", INDEX('Base Exámenes'!$D$5:$D$1000, MATCH(A378&amp;"|"&amp;J378, 'Base Exámenes'!$I$5:$I$1000, 0))), ""), "")</f>
        <v/>
      </c>
      <c r="H378" s="11" t="str">
        <f>IF(F378="Completado", IFERROR(IF(INDEX('Base Exámenes'!$E$5:$E$1000, MATCH(A378&amp;"|"&amp;J378, 'Base Exámenes'!$I$5:$I$1000, 0))="", "", INDEX('Base Exámenes'!$E$5:$E$1000, MATCH(A378&amp;"|"&amp;J378, 'Base Exámenes'!$I$5:$I$1000, 0))), ""), "")</f>
        <v/>
      </c>
      <c r="I378" s="10" t="str">
        <f>IF(F378="Completado", IFERROR(IF(INDEX('Base Exámenes'!$F$5:$F$1000, MATCH(A378&amp;"|"&amp;J378, 'Base Exámenes'!$I$5:$I$1000, 0))="", "", INDEX('Base Exámenes'!$F$5:$F$1000, MATCH(A378&amp;"|"&amp;J378, 'Base Exámenes'!$I$5:$I$1000, 0))), ""), "")</f>
        <v/>
      </c>
      <c r="J378" s="6" t="str">
        <f>IF(F378="Completado", IF(COUNTIFS('Base Exámenes'!$C$5:$C$1000, A378, 'Base Exámenes'!$G$5:$G$1000, "&lt;&gt;")=0, "", _xlfn.MAXIFS('Base Exámenes'!$G$5:$G$1000, 'Base Exámenes'!$C$5:$C$1000, A378)), "")</f>
        <v/>
      </c>
      <c r="K378" s="6" t="str">
        <f>IF(F378="Completado", IFERROR(IF(INDEX('Base Exámenes'!$H$5:$H$1000, MATCH(A378&amp;"|"&amp;J378, 'Base Exámenes'!$I$5:$I$1000, 0))="", "", INDEX('Base Exámenes'!$H$5:$H$1000, MATCH(A378&amp;"|"&amp;J378, 'Base Exámenes'!$I$5:$I$1000, 0))), ""), "")</f>
        <v/>
      </c>
      <c r="L378" s="22" t="str">
        <f>IF($A378="","",COUNTIF('Base Exámenes'!$C$5:$C$1000, A378))</f>
        <v/>
      </c>
      <c r="M378" s="6" t="str">
        <f>IF($A378="","",IF(COUNTIF('Base Exámenes'!$C$5:$C$1000, A378)&gt;0, "", TRIM('Base Oficial'!H378)))</f>
        <v/>
      </c>
    </row>
    <row r="379">
      <c r="A379" s="4" t="str">
        <f>IF('Base Oficial'!A379="","",TRIM('Base Oficial'!A379))</f>
        <v/>
      </c>
      <c r="B379" s="6" t="str">
        <f>IF($A379="","",TRIM('Base Oficial'!B379))</f>
        <v/>
      </c>
      <c r="C379" s="6" t="str">
        <f>IF($A379="","",TRIM('Base Oficial'!F379))</f>
        <v/>
      </c>
      <c r="D379" s="6" t="str">
        <f>IF($A379="","",TRIM('Base Oficial'!G379))</f>
        <v/>
      </c>
      <c r="E379" s="6" t="str">
        <f>IF($A379="","",TRIM('Base Oficial'!D379))</f>
        <v/>
      </c>
      <c r="F379" s="4" t="str">
        <f>IF($A379="","",IF(COUNTIF('Base Exámenes'!$C$5:$C$1000, A379)&gt;0, "Completado", IF(M379&lt;&gt;"", M379, "Pendiente")))</f>
        <v/>
      </c>
      <c r="G379" s="11" t="str">
        <f>IF(F379="Completado", IFERROR(IF(INDEX('Base Exámenes'!$D$5:$D$1000, MATCH(A379&amp;"|"&amp;J379, 'Base Exámenes'!$I$5:$I$1000, 0))="", "", INDEX('Base Exámenes'!$D$5:$D$1000, MATCH(A379&amp;"|"&amp;J379, 'Base Exámenes'!$I$5:$I$1000, 0))), ""), "")</f>
        <v/>
      </c>
      <c r="H379" s="11" t="str">
        <f>IF(F379="Completado", IFERROR(IF(INDEX('Base Exámenes'!$E$5:$E$1000, MATCH(A379&amp;"|"&amp;J379, 'Base Exámenes'!$I$5:$I$1000, 0))="", "", INDEX('Base Exámenes'!$E$5:$E$1000, MATCH(A379&amp;"|"&amp;J379, 'Base Exámenes'!$I$5:$I$1000, 0))), ""), "")</f>
        <v/>
      </c>
      <c r="I379" s="10" t="str">
        <f>IF(F379="Completado", IFERROR(IF(INDEX('Base Exámenes'!$F$5:$F$1000, MATCH(A379&amp;"|"&amp;J379, 'Base Exámenes'!$I$5:$I$1000, 0))="", "", INDEX('Base Exámenes'!$F$5:$F$1000, MATCH(A379&amp;"|"&amp;J379, 'Base Exámenes'!$I$5:$I$1000, 0))), ""), "")</f>
        <v/>
      </c>
      <c r="J379" s="6" t="str">
        <f>IF(F379="Completado", IF(COUNTIFS('Base Exámenes'!$C$5:$C$1000, A379, 'Base Exámenes'!$G$5:$G$1000, "&lt;&gt;")=0, "", _xlfn.MAXIFS('Base Exámenes'!$G$5:$G$1000, 'Base Exámenes'!$C$5:$C$1000, A379)), "")</f>
        <v/>
      </c>
      <c r="K379" s="6" t="str">
        <f>IF(F379="Completado", IFERROR(IF(INDEX('Base Exámenes'!$H$5:$H$1000, MATCH(A379&amp;"|"&amp;J379, 'Base Exámenes'!$I$5:$I$1000, 0))="", "", INDEX('Base Exámenes'!$H$5:$H$1000, MATCH(A379&amp;"|"&amp;J379, 'Base Exámenes'!$I$5:$I$1000, 0))), ""), "")</f>
        <v/>
      </c>
      <c r="L379" s="22" t="str">
        <f>IF($A379="","",COUNTIF('Base Exámenes'!$C$5:$C$1000, A379))</f>
        <v/>
      </c>
      <c r="M379" s="6" t="str">
        <f>IF($A379="","",IF(COUNTIF('Base Exámenes'!$C$5:$C$1000, A379)&gt;0, "", TRIM('Base Oficial'!H379)))</f>
        <v/>
      </c>
    </row>
    <row r="380">
      <c r="A380" s="4" t="str">
        <f>IF('Base Oficial'!A380="","",TRIM('Base Oficial'!A380))</f>
        <v/>
      </c>
      <c r="B380" s="6" t="str">
        <f>IF($A380="","",TRIM('Base Oficial'!B380))</f>
        <v/>
      </c>
      <c r="C380" s="6" t="str">
        <f>IF($A380="","",TRIM('Base Oficial'!F380))</f>
        <v/>
      </c>
      <c r="D380" s="6" t="str">
        <f>IF($A380="","",TRIM('Base Oficial'!G380))</f>
        <v/>
      </c>
      <c r="E380" s="6" t="str">
        <f>IF($A380="","",TRIM('Base Oficial'!D380))</f>
        <v/>
      </c>
      <c r="F380" s="4" t="str">
        <f>IF($A380="","",IF(COUNTIF('Base Exámenes'!$C$5:$C$1000, A380)&gt;0, "Completado", IF(M380&lt;&gt;"", M380, "Pendiente")))</f>
        <v/>
      </c>
      <c r="G380" s="11" t="str">
        <f>IF(F380="Completado", IFERROR(IF(INDEX('Base Exámenes'!$D$5:$D$1000, MATCH(A380&amp;"|"&amp;J380, 'Base Exámenes'!$I$5:$I$1000, 0))="", "", INDEX('Base Exámenes'!$D$5:$D$1000, MATCH(A380&amp;"|"&amp;J380, 'Base Exámenes'!$I$5:$I$1000, 0))), ""), "")</f>
        <v/>
      </c>
      <c r="H380" s="11" t="str">
        <f>IF(F380="Completado", IFERROR(IF(INDEX('Base Exámenes'!$E$5:$E$1000, MATCH(A380&amp;"|"&amp;J380, 'Base Exámenes'!$I$5:$I$1000, 0))="", "", INDEX('Base Exámenes'!$E$5:$E$1000, MATCH(A380&amp;"|"&amp;J380, 'Base Exámenes'!$I$5:$I$1000, 0))), ""), "")</f>
        <v/>
      </c>
      <c r="I380" s="10" t="str">
        <f>IF(F380="Completado", IFERROR(IF(INDEX('Base Exámenes'!$F$5:$F$1000, MATCH(A380&amp;"|"&amp;J380, 'Base Exámenes'!$I$5:$I$1000, 0))="", "", INDEX('Base Exámenes'!$F$5:$F$1000, MATCH(A380&amp;"|"&amp;J380, 'Base Exámenes'!$I$5:$I$1000, 0))), ""), "")</f>
        <v/>
      </c>
      <c r="J380" s="6" t="str">
        <f>IF(F380="Completado", IF(COUNTIFS('Base Exámenes'!$C$5:$C$1000, A380, 'Base Exámenes'!$G$5:$G$1000, "&lt;&gt;")=0, "", _xlfn.MAXIFS('Base Exámenes'!$G$5:$G$1000, 'Base Exámenes'!$C$5:$C$1000, A380)), "")</f>
        <v/>
      </c>
      <c r="K380" s="6" t="str">
        <f>IF(F380="Completado", IFERROR(IF(INDEX('Base Exámenes'!$H$5:$H$1000, MATCH(A380&amp;"|"&amp;J380, 'Base Exámenes'!$I$5:$I$1000, 0))="", "", INDEX('Base Exámenes'!$H$5:$H$1000, MATCH(A380&amp;"|"&amp;J380, 'Base Exámenes'!$I$5:$I$1000, 0))), ""), "")</f>
        <v/>
      </c>
      <c r="L380" s="22" t="str">
        <f>IF($A380="","",COUNTIF('Base Exámenes'!$C$5:$C$1000, A380))</f>
        <v/>
      </c>
      <c r="M380" s="6" t="str">
        <f>IF($A380="","",IF(COUNTIF('Base Exámenes'!$C$5:$C$1000, A380)&gt;0, "", TRIM('Base Oficial'!H380)))</f>
        <v/>
      </c>
    </row>
    <row r="381">
      <c r="A381" s="4" t="str">
        <f>IF('Base Oficial'!A381="","",TRIM('Base Oficial'!A381))</f>
        <v/>
      </c>
      <c r="B381" s="6" t="str">
        <f>IF($A381="","",TRIM('Base Oficial'!B381))</f>
        <v/>
      </c>
      <c r="C381" s="6" t="str">
        <f>IF($A381="","",TRIM('Base Oficial'!F381))</f>
        <v/>
      </c>
      <c r="D381" s="6" t="str">
        <f>IF($A381="","",TRIM('Base Oficial'!G381))</f>
        <v/>
      </c>
      <c r="E381" s="6" t="str">
        <f>IF($A381="","",TRIM('Base Oficial'!D381))</f>
        <v/>
      </c>
      <c r="F381" s="4" t="str">
        <f>IF($A381="","",IF(COUNTIF('Base Exámenes'!$C$5:$C$1000, A381)&gt;0, "Completado", IF(M381&lt;&gt;"", M381, "Pendiente")))</f>
        <v/>
      </c>
      <c r="G381" s="11" t="str">
        <f>IF(F381="Completado", IFERROR(IF(INDEX('Base Exámenes'!$D$5:$D$1000, MATCH(A381&amp;"|"&amp;J381, 'Base Exámenes'!$I$5:$I$1000, 0))="", "", INDEX('Base Exámenes'!$D$5:$D$1000, MATCH(A381&amp;"|"&amp;J381, 'Base Exámenes'!$I$5:$I$1000, 0))), ""), "")</f>
        <v/>
      </c>
      <c r="H381" s="11" t="str">
        <f>IF(F381="Completado", IFERROR(IF(INDEX('Base Exámenes'!$E$5:$E$1000, MATCH(A381&amp;"|"&amp;J381, 'Base Exámenes'!$I$5:$I$1000, 0))="", "", INDEX('Base Exámenes'!$E$5:$E$1000, MATCH(A381&amp;"|"&amp;J381, 'Base Exámenes'!$I$5:$I$1000, 0))), ""), "")</f>
        <v/>
      </c>
      <c r="I381" s="10" t="str">
        <f>IF(F381="Completado", IFERROR(IF(INDEX('Base Exámenes'!$F$5:$F$1000, MATCH(A381&amp;"|"&amp;J381, 'Base Exámenes'!$I$5:$I$1000, 0))="", "", INDEX('Base Exámenes'!$F$5:$F$1000, MATCH(A381&amp;"|"&amp;J381, 'Base Exámenes'!$I$5:$I$1000, 0))), ""), "")</f>
        <v/>
      </c>
      <c r="J381" s="6" t="str">
        <f>IF(F381="Completado", IF(COUNTIFS('Base Exámenes'!$C$5:$C$1000, A381, 'Base Exámenes'!$G$5:$G$1000, "&lt;&gt;")=0, "", _xlfn.MAXIFS('Base Exámenes'!$G$5:$G$1000, 'Base Exámenes'!$C$5:$C$1000, A381)), "")</f>
        <v/>
      </c>
      <c r="K381" s="6" t="str">
        <f>IF(F381="Completado", IFERROR(IF(INDEX('Base Exámenes'!$H$5:$H$1000, MATCH(A381&amp;"|"&amp;J381, 'Base Exámenes'!$I$5:$I$1000, 0))="", "", INDEX('Base Exámenes'!$H$5:$H$1000, MATCH(A381&amp;"|"&amp;J381, 'Base Exámenes'!$I$5:$I$1000, 0))), ""), "")</f>
        <v/>
      </c>
      <c r="L381" s="22" t="str">
        <f>IF($A381="","",COUNTIF('Base Exámenes'!$C$5:$C$1000, A381))</f>
        <v/>
      </c>
      <c r="M381" s="6" t="str">
        <f>IF($A381="","",IF(COUNTIF('Base Exámenes'!$C$5:$C$1000, A381)&gt;0, "", TRIM('Base Oficial'!H381)))</f>
        <v/>
      </c>
    </row>
    <row r="382">
      <c r="A382" s="4" t="str">
        <f>IF('Base Oficial'!A382="","",TRIM('Base Oficial'!A382))</f>
        <v/>
      </c>
      <c r="B382" s="6" t="str">
        <f>IF($A382="","",TRIM('Base Oficial'!B382))</f>
        <v/>
      </c>
      <c r="C382" s="6" t="str">
        <f>IF($A382="","",TRIM('Base Oficial'!F382))</f>
        <v/>
      </c>
      <c r="D382" s="6" t="str">
        <f>IF($A382="","",TRIM('Base Oficial'!G382))</f>
        <v/>
      </c>
      <c r="E382" s="6" t="str">
        <f>IF($A382="","",TRIM('Base Oficial'!D382))</f>
        <v/>
      </c>
      <c r="F382" s="4" t="str">
        <f>IF($A382="","",IF(COUNTIF('Base Exámenes'!$C$5:$C$1000, A382)&gt;0, "Completado", IF(M382&lt;&gt;"", M382, "Pendiente")))</f>
        <v/>
      </c>
      <c r="G382" s="11" t="str">
        <f>IF(F382="Completado", IFERROR(IF(INDEX('Base Exámenes'!$D$5:$D$1000, MATCH(A382&amp;"|"&amp;J382, 'Base Exámenes'!$I$5:$I$1000, 0))="", "", INDEX('Base Exámenes'!$D$5:$D$1000, MATCH(A382&amp;"|"&amp;J382, 'Base Exámenes'!$I$5:$I$1000, 0))), ""), "")</f>
        <v/>
      </c>
      <c r="H382" s="11" t="str">
        <f>IF(F382="Completado", IFERROR(IF(INDEX('Base Exámenes'!$E$5:$E$1000, MATCH(A382&amp;"|"&amp;J382, 'Base Exámenes'!$I$5:$I$1000, 0))="", "", INDEX('Base Exámenes'!$E$5:$E$1000, MATCH(A382&amp;"|"&amp;J382, 'Base Exámenes'!$I$5:$I$1000, 0))), ""), "")</f>
        <v/>
      </c>
      <c r="I382" s="10" t="str">
        <f>IF(F382="Completado", IFERROR(IF(INDEX('Base Exámenes'!$F$5:$F$1000, MATCH(A382&amp;"|"&amp;J382, 'Base Exámenes'!$I$5:$I$1000, 0))="", "", INDEX('Base Exámenes'!$F$5:$F$1000, MATCH(A382&amp;"|"&amp;J382, 'Base Exámenes'!$I$5:$I$1000, 0))), ""), "")</f>
        <v/>
      </c>
      <c r="J382" s="6" t="str">
        <f>IF(F382="Completado", IF(COUNTIFS('Base Exámenes'!$C$5:$C$1000, A382, 'Base Exámenes'!$G$5:$G$1000, "&lt;&gt;")=0, "", _xlfn.MAXIFS('Base Exámenes'!$G$5:$G$1000, 'Base Exámenes'!$C$5:$C$1000, A382)), "")</f>
        <v/>
      </c>
      <c r="K382" s="6" t="str">
        <f>IF(F382="Completado", IFERROR(IF(INDEX('Base Exámenes'!$H$5:$H$1000, MATCH(A382&amp;"|"&amp;J382, 'Base Exámenes'!$I$5:$I$1000, 0))="", "", INDEX('Base Exámenes'!$H$5:$H$1000, MATCH(A382&amp;"|"&amp;J382, 'Base Exámenes'!$I$5:$I$1000, 0))), ""), "")</f>
        <v/>
      </c>
      <c r="L382" s="22" t="str">
        <f>IF($A382="","",COUNTIF('Base Exámenes'!$C$5:$C$1000, A382))</f>
        <v/>
      </c>
      <c r="M382" s="6" t="str">
        <f>IF($A382="","",IF(COUNTIF('Base Exámenes'!$C$5:$C$1000, A382)&gt;0, "", TRIM('Base Oficial'!H382)))</f>
        <v/>
      </c>
    </row>
    <row r="383">
      <c r="A383" s="4" t="str">
        <f>IF('Base Oficial'!A383="","",TRIM('Base Oficial'!A383))</f>
        <v/>
      </c>
      <c r="B383" s="6" t="str">
        <f>IF($A383="","",TRIM('Base Oficial'!B383))</f>
        <v/>
      </c>
      <c r="C383" s="6" t="str">
        <f>IF($A383="","",TRIM('Base Oficial'!F383))</f>
        <v/>
      </c>
      <c r="D383" s="6" t="str">
        <f>IF($A383="","",TRIM('Base Oficial'!G383))</f>
        <v/>
      </c>
      <c r="E383" s="6" t="str">
        <f>IF($A383="","",TRIM('Base Oficial'!D383))</f>
        <v/>
      </c>
      <c r="F383" s="4" t="str">
        <f>IF($A383="","",IF(COUNTIF('Base Exámenes'!$C$5:$C$1000, A383)&gt;0, "Completado", IF(M383&lt;&gt;"", M383, "Pendiente")))</f>
        <v/>
      </c>
      <c r="G383" s="11" t="str">
        <f>IF(F383="Completado", IFERROR(IF(INDEX('Base Exámenes'!$D$5:$D$1000, MATCH(A383&amp;"|"&amp;J383, 'Base Exámenes'!$I$5:$I$1000, 0))="", "", INDEX('Base Exámenes'!$D$5:$D$1000, MATCH(A383&amp;"|"&amp;J383, 'Base Exámenes'!$I$5:$I$1000, 0))), ""), "")</f>
        <v/>
      </c>
      <c r="H383" s="11" t="str">
        <f>IF(F383="Completado", IFERROR(IF(INDEX('Base Exámenes'!$E$5:$E$1000, MATCH(A383&amp;"|"&amp;J383, 'Base Exámenes'!$I$5:$I$1000, 0))="", "", INDEX('Base Exámenes'!$E$5:$E$1000, MATCH(A383&amp;"|"&amp;J383, 'Base Exámenes'!$I$5:$I$1000, 0))), ""), "")</f>
        <v/>
      </c>
      <c r="I383" s="10" t="str">
        <f>IF(F383="Completado", IFERROR(IF(INDEX('Base Exámenes'!$F$5:$F$1000, MATCH(A383&amp;"|"&amp;J383, 'Base Exámenes'!$I$5:$I$1000, 0))="", "", INDEX('Base Exámenes'!$F$5:$F$1000, MATCH(A383&amp;"|"&amp;J383, 'Base Exámenes'!$I$5:$I$1000, 0))), ""), "")</f>
        <v/>
      </c>
      <c r="J383" s="6" t="str">
        <f>IF(F383="Completado", IF(COUNTIFS('Base Exámenes'!$C$5:$C$1000, A383, 'Base Exámenes'!$G$5:$G$1000, "&lt;&gt;")=0, "", _xlfn.MAXIFS('Base Exámenes'!$G$5:$G$1000, 'Base Exámenes'!$C$5:$C$1000, A383)), "")</f>
        <v/>
      </c>
      <c r="K383" s="6" t="str">
        <f>IF(F383="Completado", IFERROR(IF(INDEX('Base Exámenes'!$H$5:$H$1000, MATCH(A383&amp;"|"&amp;J383, 'Base Exámenes'!$I$5:$I$1000, 0))="", "", INDEX('Base Exámenes'!$H$5:$H$1000, MATCH(A383&amp;"|"&amp;J383, 'Base Exámenes'!$I$5:$I$1000, 0))), ""), "")</f>
        <v/>
      </c>
      <c r="L383" s="22" t="str">
        <f>IF($A383="","",COUNTIF('Base Exámenes'!$C$5:$C$1000, A383))</f>
        <v/>
      </c>
      <c r="M383" s="6" t="str">
        <f>IF($A383="","",IF(COUNTIF('Base Exámenes'!$C$5:$C$1000, A383)&gt;0, "", TRIM('Base Oficial'!H383)))</f>
        <v/>
      </c>
    </row>
    <row r="384">
      <c r="A384" s="4" t="str">
        <f>IF('Base Oficial'!A384="","",TRIM('Base Oficial'!A384))</f>
        <v/>
      </c>
      <c r="B384" s="6" t="str">
        <f>IF($A384="","",TRIM('Base Oficial'!B384))</f>
        <v/>
      </c>
      <c r="C384" s="6" t="str">
        <f>IF($A384="","",TRIM('Base Oficial'!F384))</f>
        <v/>
      </c>
      <c r="D384" s="6" t="str">
        <f>IF($A384="","",TRIM('Base Oficial'!G384))</f>
        <v/>
      </c>
      <c r="E384" s="6" t="str">
        <f>IF($A384="","",TRIM('Base Oficial'!D384))</f>
        <v/>
      </c>
      <c r="F384" s="4" t="str">
        <f>IF($A384="","",IF(COUNTIF('Base Exámenes'!$C$5:$C$1000, A384)&gt;0, "Completado", IF(M384&lt;&gt;"", M384, "Pendiente")))</f>
        <v/>
      </c>
      <c r="G384" s="11" t="str">
        <f>IF(F384="Completado", IFERROR(IF(INDEX('Base Exámenes'!$D$5:$D$1000, MATCH(A384&amp;"|"&amp;J384, 'Base Exámenes'!$I$5:$I$1000, 0))="", "", INDEX('Base Exámenes'!$D$5:$D$1000, MATCH(A384&amp;"|"&amp;J384, 'Base Exámenes'!$I$5:$I$1000, 0))), ""), "")</f>
        <v/>
      </c>
      <c r="H384" s="11" t="str">
        <f>IF(F384="Completado", IFERROR(IF(INDEX('Base Exámenes'!$E$5:$E$1000, MATCH(A384&amp;"|"&amp;J384, 'Base Exámenes'!$I$5:$I$1000, 0))="", "", INDEX('Base Exámenes'!$E$5:$E$1000, MATCH(A384&amp;"|"&amp;J384, 'Base Exámenes'!$I$5:$I$1000, 0))), ""), "")</f>
        <v/>
      </c>
      <c r="I384" s="10" t="str">
        <f>IF(F384="Completado", IFERROR(IF(INDEX('Base Exámenes'!$F$5:$F$1000, MATCH(A384&amp;"|"&amp;J384, 'Base Exámenes'!$I$5:$I$1000, 0))="", "", INDEX('Base Exámenes'!$F$5:$F$1000, MATCH(A384&amp;"|"&amp;J384, 'Base Exámenes'!$I$5:$I$1000, 0))), ""), "")</f>
        <v/>
      </c>
      <c r="J384" s="6" t="str">
        <f>IF(F384="Completado", IF(COUNTIFS('Base Exámenes'!$C$5:$C$1000, A384, 'Base Exámenes'!$G$5:$G$1000, "&lt;&gt;")=0, "", _xlfn.MAXIFS('Base Exámenes'!$G$5:$G$1000, 'Base Exámenes'!$C$5:$C$1000, A384)), "")</f>
        <v/>
      </c>
      <c r="K384" s="6" t="str">
        <f>IF(F384="Completado", IFERROR(IF(INDEX('Base Exámenes'!$H$5:$H$1000, MATCH(A384&amp;"|"&amp;J384, 'Base Exámenes'!$I$5:$I$1000, 0))="", "", INDEX('Base Exámenes'!$H$5:$H$1000, MATCH(A384&amp;"|"&amp;J384, 'Base Exámenes'!$I$5:$I$1000, 0))), ""), "")</f>
        <v/>
      </c>
      <c r="L384" s="22" t="str">
        <f>IF($A384="","",COUNTIF('Base Exámenes'!$C$5:$C$1000, A384))</f>
        <v/>
      </c>
      <c r="M384" s="6" t="str">
        <f>IF($A384="","",IF(COUNTIF('Base Exámenes'!$C$5:$C$1000, A384)&gt;0, "", TRIM('Base Oficial'!H384)))</f>
        <v/>
      </c>
    </row>
    <row r="385">
      <c r="A385" s="4" t="str">
        <f>IF('Base Oficial'!A385="","",TRIM('Base Oficial'!A385))</f>
        <v/>
      </c>
      <c r="B385" s="6" t="str">
        <f>IF($A385="","",TRIM('Base Oficial'!B385))</f>
        <v/>
      </c>
      <c r="C385" s="6" t="str">
        <f>IF($A385="","",TRIM('Base Oficial'!F385))</f>
        <v/>
      </c>
      <c r="D385" s="6" t="str">
        <f>IF($A385="","",TRIM('Base Oficial'!G385))</f>
        <v/>
      </c>
      <c r="E385" s="6" t="str">
        <f>IF($A385="","",TRIM('Base Oficial'!D385))</f>
        <v/>
      </c>
      <c r="F385" s="4" t="str">
        <f>IF($A385="","",IF(COUNTIF('Base Exámenes'!$C$5:$C$1000, A385)&gt;0, "Completado", IF(M385&lt;&gt;"", M385, "Pendiente")))</f>
        <v/>
      </c>
      <c r="G385" s="11" t="str">
        <f>IF(F385="Completado", IFERROR(IF(INDEX('Base Exámenes'!$D$5:$D$1000, MATCH(A385&amp;"|"&amp;J385, 'Base Exámenes'!$I$5:$I$1000, 0))="", "", INDEX('Base Exámenes'!$D$5:$D$1000, MATCH(A385&amp;"|"&amp;J385, 'Base Exámenes'!$I$5:$I$1000, 0))), ""), "")</f>
        <v/>
      </c>
      <c r="H385" s="11" t="str">
        <f>IF(F385="Completado", IFERROR(IF(INDEX('Base Exámenes'!$E$5:$E$1000, MATCH(A385&amp;"|"&amp;J385, 'Base Exámenes'!$I$5:$I$1000, 0))="", "", INDEX('Base Exámenes'!$E$5:$E$1000, MATCH(A385&amp;"|"&amp;J385, 'Base Exámenes'!$I$5:$I$1000, 0))), ""), "")</f>
        <v/>
      </c>
      <c r="I385" s="10" t="str">
        <f>IF(F385="Completado", IFERROR(IF(INDEX('Base Exámenes'!$F$5:$F$1000, MATCH(A385&amp;"|"&amp;J385, 'Base Exámenes'!$I$5:$I$1000, 0))="", "", INDEX('Base Exámenes'!$F$5:$F$1000, MATCH(A385&amp;"|"&amp;J385, 'Base Exámenes'!$I$5:$I$1000, 0))), ""), "")</f>
        <v/>
      </c>
      <c r="J385" s="6" t="str">
        <f>IF(F385="Completado", IF(COUNTIFS('Base Exámenes'!$C$5:$C$1000, A385, 'Base Exámenes'!$G$5:$G$1000, "&lt;&gt;")=0, "", _xlfn.MAXIFS('Base Exámenes'!$G$5:$G$1000, 'Base Exámenes'!$C$5:$C$1000, A385)), "")</f>
        <v/>
      </c>
      <c r="K385" s="6" t="str">
        <f>IF(F385="Completado", IFERROR(IF(INDEX('Base Exámenes'!$H$5:$H$1000, MATCH(A385&amp;"|"&amp;J385, 'Base Exámenes'!$I$5:$I$1000, 0))="", "", INDEX('Base Exámenes'!$H$5:$H$1000, MATCH(A385&amp;"|"&amp;J385, 'Base Exámenes'!$I$5:$I$1000, 0))), ""), "")</f>
        <v/>
      </c>
      <c r="L385" s="22" t="str">
        <f>IF($A385="","",COUNTIF('Base Exámenes'!$C$5:$C$1000, A385))</f>
        <v/>
      </c>
      <c r="M385" s="6" t="str">
        <f>IF($A385="","",IF(COUNTIF('Base Exámenes'!$C$5:$C$1000, A385)&gt;0, "", TRIM('Base Oficial'!H385)))</f>
        <v/>
      </c>
    </row>
    <row r="386">
      <c r="A386" s="4" t="str">
        <f>IF('Base Oficial'!A386="","",TRIM('Base Oficial'!A386))</f>
        <v/>
      </c>
      <c r="B386" s="6" t="str">
        <f>IF($A386="","",TRIM('Base Oficial'!B386))</f>
        <v/>
      </c>
      <c r="C386" s="6" t="str">
        <f>IF($A386="","",TRIM('Base Oficial'!F386))</f>
        <v/>
      </c>
      <c r="D386" s="6" t="str">
        <f>IF($A386="","",TRIM('Base Oficial'!G386))</f>
        <v/>
      </c>
      <c r="E386" s="6" t="str">
        <f>IF($A386="","",TRIM('Base Oficial'!D386))</f>
        <v/>
      </c>
      <c r="F386" s="4" t="str">
        <f>IF($A386="","",IF(COUNTIF('Base Exámenes'!$C$5:$C$1000, A386)&gt;0, "Completado", IF(M386&lt;&gt;"", M386, "Pendiente")))</f>
        <v/>
      </c>
      <c r="G386" s="11" t="str">
        <f>IF(F386="Completado", IFERROR(IF(INDEX('Base Exámenes'!$D$5:$D$1000, MATCH(A386&amp;"|"&amp;J386, 'Base Exámenes'!$I$5:$I$1000, 0))="", "", INDEX('Base Exámenes'!$D$5:$D$1000, MATCH(A386&amp;"|"&amp;J386, 'Base Exámenes'!$I$5:$I$1000, 0))), ""), "")</f>
        <v/>
      </c>
      <c r="H386" s="11" t="str">
        <f>IF(F386="Completado", IFERROR(IF(INDEX('Base Exámenes'!$E$5:$E$1000, MATCH(A386&amp;"|"&amp;J386, 'Base Exámenes'!$I$5:$I$1000, 0))="", "", INDEX('Base Exámenes'!$E$5:$E$1000, MATCH(A386&amp;"|"&amp;J386, 'Base Exámenes'!$I$5:$I$1000, 0))), ""), "")</f>
        <v/>
      </c>
      <c r="I386" s="10" t="str">
        <f>IF(F386="Completado", IFERROR(IF(INDEX('Base Exámenes'!$F$5:$F$1000, MATCH(A386&amp;"|"&amp;J386, 'Base Exámenes'!$I$5:$I$1000, 0))="", "", INDEX('Base Exámenes'!$F$5:$F$1000, MATCH(A386&amp;"|"&amp;J386, 'Base Exámenes'!$I$5:$I$1000, 0))), ""), "")</f>
        <v/>
      </c>
      <c r="J386" s="6" t="str">
        <f>IF(F386="Completado", IF(COUNTIFS('Base Exámenes'!$C$5:$C$1000, A386, 'Base Exámenes'!$G$5:$G$1000, "&lt;&gt;")=0, "", _xlfn.MAXIFS('Base Exámenes'!$G$5:$G$1000, 'Base Exámenes'!$C$5:$C$1000, A386)), "")</f>
        <v/>
      </c>
      <c r="K386" s="6" t="str">
        <f>IF(F386="Completado", IFERROR(IF(INDEX('Base Exámenes'!$H$5:$H$1000, MATCH(A386&amp;"|"&amp;J386, 'Base Exámenes'!$I$5:$I$1000, 0))="", "", INDEX('Base Exámenes'!$H$5:$H$1000, MATCH(A386&amp;"|"&amp;J386, 'Base Exámenes'!$I$5:$I$1000, 0))), ""), "")</f>
        <v/>
      </c>
      <c r="L386" s="22" t="str">
        <f>IF($A386="","",COUNTIF('Base Exámenes'!$C$5:$C$1000, A386))</f>
        <v/>
      </c>
      <c r="M386" s="6" t="str">
        <f>IF($A386="","",IF(COUNTIF('Base Exámenes'!$C$5:$C$1000, A386)&gt;0, "", TRIM('Base Oficial'!H386)))</f>
        <v/>
      </c>
    </row>
    <row r="387">
      <c r="A387" s="4" t="str">
        <f>IF('Base Oficial'!A387="","",TRIM('Base Oficial'!A387))</f>
        <v/>
      </c>
      <c r="B387" s="6" t="str">
        <f>IF($A387="","",TRIM('Base Oficial'!B387))</f>
        <v/>
      </c>
      <c r="C387" s="6" t="str">
        <f>IF($A387="","",TRIM('Base Oficial'!F387))</f>
        <v/>
      </c>
      <c r="D387" s="6" t="str">
        <f>IF($A387="","",TRIM('Base Oficial'!G387))</f>
        <v/>
      </c>
      <c r="E387" s="6" t="str">
        <f>IF($A387="","",TRIM('Base Oficial'!D387))</f>
        <v/>
      </c>
      <c r="F387" s="4" t="str">
        <f>IF($A387="","",IF(COUNTIF('Base Exámenes'!$C$5:$C$1000, A387)&gt;0, "Completado", IF(M387&lt;&gt;"", M387, "Pendiente")))</f>
        <v/>
      </c>
      <c r="G387" s="11" t="str">
        <f>IF(F387="Completado", IFERROR(IF(INDEX('Base Exámenes'!$D$5:$D$1000, MATCH(A387&amp;"|"&amp;J387, 'Base Exámenes'!$I$5:$I$1000, 0))="", "", INDEX('Base Exámenes'!$D$5:$D$1000, MATCH(A387&amp;"|"&amp;J387, 'Base Exámenes'!$I$5:$I$1000, 0))), ""), "")</f>
        <v/>
      </c>
      <c r="H387" s="11" t="str">
        <f>IF(F387="Completado", IFERROR(IF(INDEX('Base Exámenes'!$E$5:$E$1000, MATCH(A387&amp;"|"&amp;J387, 'Base Exámenes'!$I$5:$I$1000, 0))="", "", INDEX('Base Exámenes'!$E$5:$E$1000, MATCH(A387&amp;"|"&amp;J387, 'Base Exámenes'!$I$5:$I$1000, 0))), ""), "")</f>
        <v/>
      </c>
      <c r="I387" s="10" t="str">
        <f>IF(F387="Completado", IFERROR(IF(INDEX('Base Exámenes'!$F$5:$F$1000, MATCH(A387&amp;"|"&amp;J387, 'Base Exámenes'!$I$5:$I$1000, 0))="", "", INDEX('Base Exámenes'!$F$5:$F$1000, MATCH(A387&amp;"|"&amp;J387, 'Base Exámenes'!$I$5:$I$1000, 0))), ""), "")</f>
        <v/>
      </c>
      <c r="J387" s="6" t="str">
        <f>IF(F387="Completado", IF(COUNTIFS('Base Exámenes'!$C$5:$C$1000, A387, 'Base Exámenes'!$G$5:$G$1000, "&lt;&gt;")=0, "", _xlfn.MAXIFS('Base Exámenes'!$G$5:$G$1000, 'Base Exámenes'!$C$5:$C$1000, A387)), "")</f>
        <v/>
      </c>
      <c r="K387" s="6" t="str">
        <f>IF(F387="Completado", IFERROR(IF(INDEX('Base Exámenes'!$H$5:$H$1000, MATCH(A387&amp;"|"&amp;J387, 'Base Exámenes'!$I$5:$I$1000, 0))="", "", INDEX('Base Exámenes'!$H$5:$H$1000, MATCH(A387&amp;"|"&amp;J387, 'Base Exámenes'!$I$5:$I$1000, 0))), ""), "")</f>
        <v/>
      </c>
      <c r="L387" s="22" t="str">
        <f>IF($A387="","",COUNTIF('Base Exámenes'!$C$5:$C$1000, A387))</f>
        <v/>
      </c>
      <c r="M387" s="6" t="str">
        <f>IF($A387="","",IF(COUNTIF('Base Exámenes'!$C$5:$C$1000, A387)&gt;0, "", TRIM('Base Oficial'!H387)))</f>
        <v/>
      </c>
    </row>
    <row r="388">
      <c r="A388" s="4" t="str">
        <f>IF('Base Oficial'!A388="","",TRIM('Base Oficial'!A388))</f>
        <v/>
      </c>
      <c r="B388" s="6" t="str">
        <f>IF($A388="","",TRIM('Base Oficial'!B388))</f>
        <v/>
      </c>
      <c r="C388" s="6" t="str">
        <f>IF($A388="","",TRIM('Base Oficial'!F388))</f>
        <v/>
      </c>
      <c r="D388" s="6" t="str">
        <f>IF($A388="","",TRIM('Base Oficial'!G388))</f>
        <v/>
      </c>
      <c r="E388" s="6" t="str">
        <f>IF($A388="","",TRIM('Base Oficial'!D388))</f>
        <v/>
      </c>
      <c r="F388" s="4" t="str">
        <f>IF($A388="","",IF(COUNTIF('Base Exámenes'!$C$5:$C$1000, A388)&gt;0, "Completado", IF(M388&lt;&gt;"", M388, "Pendiente")))</f>
        <v/>
      </c>
      <c r="G388" s="11" t="str">
        <f>IF(F388="Completado", IFERROR(IF(INDEX('Base Exámenes'!$D$5:$D$1000, MATCH(A388&amp;"|"&amp;J388, 'Base Exámenes'!$I$5:$I$1000, 0))="", "", INDEX('Base Exámenes'!$D$5:$D$1000, MATCH(A388&amp;"|"&amp;J388, 'Base Exámenes'!$I$5:$I$1000, 0))), ""), "")</f>
        <v/>
      </c>
      <c r="H388" s="11" t="str">
        <f>IF(F388="Completado", IFERROR(IF(INDEX('Base Exámenes'!$E$5:$E$1000, MATCH(A388&amp;"|"&amp;J388, 'Base Exámenes'!$I$5:$I$1000, 0))="", "", INDEX('Base Exámenes'!$E$5:$E$1000, MATCH(A388&amp;"|"&amp;J388, 'Base Exámenes'!$I$5:$I$1000, 0))), ""), "")</f>
        <v/>
      </c>
      <c r="I388" s="10" t="str">
        <f>IF(F388="Completado", IFERROR(IF(INDEX('Base Exámenes'!$F$5:$F$1000, MATCH(A388&amp;"|"&amp;J388, 'Base Exámenes'!$I$5:$I$1000, 0))="", "", INDEX('Base Exámenes'!$F$5:$F$1000, MATCH(A388&amp;"|"&amp;J388, 'Base Exámenes'!$I$5:$I$1000, 0))), ""), "")</f>
        <v/>
      </c>
      <c r="J388" s="6" t="str">
        <f>IF(F388="Completado", IF(COUNTIFS('Base Exámenes'!$C$5:$C$1000, A388, 'Base Exámenes'!$G$5:$G$1000, "&lt;&gt;")=0, "", _xlfn.MAXIFS('Base Exámenes'!$G$5:$G$1000, 'Base Exámenes'!$C$5:$C$1000, A388)), "")</f>
        <v/>
      </c>
      <c r="K388" s="6" t="str">
        <f>IF(F388="Completado", IFERROR(IF(INDEX('Base Exámenes'!$H$5:$H$1000, MATCH(A388&amp;"|"&amp;J388, 'Base Exámenes'!$I$5:$I$1000, 0))="", "", INDEX('Base Exámenes'!$H$5:$H$1000, MATCH(A388&amp;"|"&amp;J388, 'Base Exámenes'!$I$5:$I$1000, 0))), ""), "")</f>
        <v/>
      </c>
      <c r="L388" s="22" t="str">
        <f>IF($A388="","",COUNTIF('Base Exámenes'!$C$5:$C$1000, A388))</f>
        <v/>
      </c>
      <c r="M388" s="6" t="str">
        <f>IF($A388="","",IF(COUNTIF('Base Exámenes'!$C$5:$C$1000, A388)&gt;0, "", TRIM('Base Oficial'!H388)))</f>
        <v/>
      </c>
    </row>
    <row r="389">
      <c r="A389" s="4" t="str">
        <f>IF('Base Oficial'!A389="","",TRIM('Base Oficial'!A389))</f>
        <v/>
      </c>
      <c r="B389" s="6" t="str">
        <f>IF($A389="","",TRIM('Base Oficial'!B389))</f>
        <v/>
      </c>
      <c r="C389" s="6" t="str">
        <f>IF($A389="","",TRIM('Base Oficial'!F389))</f>
        <v/>
      </c>
      <c r="D389" s="6" t="str">
        <f>IF($A389="","",TRIM('Base Oficial'!G389))</f>
        <v/>
      </c>
      <c r="E389" s="6" t="str">
        <f>IF($A389="","",TRIM('Base Oficial'!D389))</f>
        <v/>
      </c>
      <c r="F389" s="4" t="str">
        <f>IF($A389="","",IF(COUNTIF('Base Exámenes'!$C$5:$C$1000, A389)&gt;0, "Completado", IF(M389&lt;&gt;"", M389, "Pendiente")))</f>
        <v/>
      </c>
      <c r="G389" s="11" t="str">
        <f>IF(F389="Completado", IFERROR(IF(INDEX('Base Exámenes'!$D$5:$D$1000, MATCH(A389&amp;"|"&amp;J389, 'Base Exámenes'!$I$5:$I$1000, 0))="", "", INDEX('Base Exámenes'!$D$5:$D$1000, MATCH(A389&amp;"|"&amp;J389, 'Base Exámenes'!$I$5:$I$1000, 0))), ""), "")</f>
        <v/>
      </c>
      <c r="H389" s="11" t="str">
        <f>IF(F389="Completado", IFERROR(IF(INDEX('Base Exámenes'!$E$5:$E$1000, MATCH(A389&amp;"|"&amp;J389, 'Base Exámenes'!$I$5:$I$1000, 0))="", "", INDEX('Base Exámenes'!$E$5:$E$1000, MATCH(A389&amp;"|"&amp;J389, 'Base Exámenes'!$I$5:$I$1000, 0))), ""), "")</f>
        <v/>
      </c>
      <c r="I389" s="10" t="str">
        <f>IF(F389="Completado", IFERROR(IF(INDEX('Base Exámenes'!$F$5:$F$1000, MATCH(A389&amp;"|"&amp;J389, 'Base Exámenes'!$I$5:$I$1000, 0))="", "", INDEX('Base Exámenes'!$F$5:$F$1000, MATCH(A389&amp;"|"&amp;J389, 'Base Exámenes'!$I$5:$I$1000, 0))), ""), "")</f>
        <v/>
      </c>
      <c r="J389" s="6" t="str">
        <f>IF(F389="Completado", IF(COUNTIFS('Base Exámenes'!$C$5:$C$1000, A389, 'Base Exámenes'!$G$5:$G$1000, "&lt;&gt;")=0, "", _xlfn.MAXIFS('Base Exámenes'!$G$5:$G$1000, 'Base Exámenes'!$C$5:$C$1000, A389)), "")</f>
        <v/>
      </c>
      <c r="K389" s="6" t="str">
        <f>IF(F389="Completado", IFERROR(IF(INDEX('Base Exámenes'!$H$5:$H$1000, MATCH(A389&amp;"|"&amp;J389, 'Base Exámenes'!$I$5:$I$1000, 0))="", "", INDEX('Base Exámenes'!$H$5:$H$1000, MATCH(A389&amp;"|"&amp;J389, 'Base Exámenes'!$I$5:$I$1000, 0))), ""), "")</f>
        <v/>
      </c>
      <c r="L389" s="22" t="str">
        <f>IF($A389="","",COUNTIF('Base Exámenes'!$C$5:$C$1000, A389))</f>
        <v/>
      </c>
      <c r="M389" s="6" t="str">
        <f>IF($A389="","",IF(COUNTIF('Base Exámenes'!$C$5:$C$1000, A389)&gt;0, "", TRIM('Base Oficial'!H389)))</f>
        <v/>
      </c>
    </row>
    <row r="390">
      <c r="A390" s="4" t="str">
        <f>IF('Base Oficial'!A390="","",TRIM('Base Oficial'!A390))</f>
        <v/>
      </c>
      <c r="B390" s="6" t="str">
        <f>IF($A390="","",TRIM('Base Oficial'!B390))</f>
        <v/>
      </c>
      <c r="C390" s="6" t="str">
        <f>IF($A390="","",TRIM('Base Oficial'!F390))</f>
        <v/>
      </c>
      <c r="D390" s="6" t="str">
        <f>IF($A390="","",TRIM('Base Oficial'!G390))</f>
        <v/>
      </c>
      <c r="E390" s="6" t="str">
        <f>IF($A390="","",TRIM('Base Oficial'!D390))</f>
        <v/>
      </c>
      <c r="F390" s="4" t="str">
        <f>IF($A390="","",IF(COUNTIF('Base Exámenes'!$C$5:$C$1000, A390)&gt;0, "Completado", IF(M390&lt;&gt;"", M390, "Pendiente")))</f>
        <v/>
      </c>
      <c r="G390" s="11" t="str">
        <f>IF(F390="Completado", IFERROR(IF(INDEX('Base Exámenes'!$D$5:$D$1000, MATCH(A390&amp;"|"&amp;J390, 'Base Exámenes'!$I$5:$I$1000, 0))="", "", INDEX('Base Exámenes'!$D$5:$D$1000, MATCH(A390&amp;"|"&amp;J390, 'Base Exámenes'!$I$5:$I$1000, 0))), ""), "")</f>
        <v/>
      </c>
      <c r="H390" s="11" t="str">
        <f>IF(F390="Completado", IFERROR(IF(INDEX('Base Exámenes'!$E$5:$E$1000, MATCH(A390&amp;"|"&amp;J390, 'Base Exámenes'!$I$5:$I$1000, 0))="", "", INDEX('Base Exámenes'!$E$5:$E$1000, MATCH(A390&amp;"|"&amp;J390, 'Base Exámenes'!$I$5:$I$1000, 0))), ""), "")</f>
        <v/>
      </c>
      <c r="I390" s="10" t="str">
        <f>IF(F390="Completado", IFERROR(IF(INDEX('Base Exámenes'!$F$5:$F$1000, MATCH(A390&amp;"|"&amp;J390, 'Base Exámenes'!$I$5:$I$1000, 0))="", "", INDEX('Base Exámenes'!$F$5:$F$1000, MATCH(A390&amp;"|"&amp;J390, 'Base Exámenes'!$I$5:$I$1000, 0))), ""), "")</f>
        <v/>
      </c>
      <c r="J390" s="6" t="str">
        <f>IF(F390="Completado", IF(COUNTIFS('Base Exámenes'!$C$5:$C$1000, A390, 'Base Exámenes'!$G$5:$G$1000, "&lt;&gt;")=0, "", _xlfn.MAXIFS('Base Exámenes'!$G$5:$G$1000, 'Base Exámenes'!$C$5:$C$1000, A390)), "")</f>
        <v/>
      </c>
      <c r="K390" s="6" t="str">
        <f>IF(F390="Completado", IFERROR(IF(INDEX('Base Exámenes'!$H$5:$H$1000, MATCH(A390&amp;"|"&amp;J390, 'Base Exámenes'!$I$5:$I$1000, 0))="", "", INDEX('Base Exámenes'!$H$5:$H$1000, MATCH(A390&amp;"|"&amp;J390, 'Base Exámenes'!$I$5:$I$1000, 0))), ""), "")</f>
        <v/>
      </c>
      <c r="L390" s="22" t="str">
        <f>IF($A390="","",COUNTIF('Base Exámenes'!$C$5:$C$1000, A390))</f>
        <v/>
      </c>
      <c r="M390" s="6" t="str">
        <f>IF($A390="","",IF(COUNTIF('Base Exámenes'!$C$5:$C$1000, A390)&gt;0, "", TRIM('Base Oficial'!H390)))</f>
        <v/>
      </c>
    </row>
    <row r="391">
      <c r="A391" s="4" t="str">
        <f>IF('Base Oficial'!A391="","",TRIM('Base Oficial'!A391))</f>
        <v/>
      </c>
      <c r="B391" s="6" t="str">
        <f>IF($A391="","",TRIM('Base Oficial'!B391))</f>
        <v/>
      </c>
      <c r="C391" s="6" t="str">
        <f>IF($A391="","",TRIM('Base Oficial'!F391))</f>
        <v/>
      </c>
      <c r="D391" s="6" t="str">
        <f>IF($A391="","",TRIM('Base Oficial'!G391))</f>
        <v/>
      </c>
      <c r="E391" s="6" t="str">
        <f>IF($A391="","",TRIM('Base Oficial'!D391))</f>
        <v/>
      </c>
      <c r="F391" s="4" t="str">
        <f>IF($A391="","",IF(COUNTIF('Base Exámenes'!$C$5:$C$1000, A391)&gt;0, "Completado", IF(M391&lt;&gt;"", M391, "Pendiente")))</f>
        <v/>
      </c>
      <c r="G391" s="11" t="str">
        <f>IF(F391="Completado", IFERROR(IF(INDEX('Base Exámenes'!$D$5:$D$1000, MATCH(A391&amp;"|"&amp;J391, 'Base Exámenes'!$I$5:$I$1000, 0))="", "", INDEX('Base Exámenes'!$D$5:$D$1000, MATCH(A391&amp;"|"&amp;J391, 'Base Exámenes'!$I$5:$I$1000, 0))), ""), "")</f>
        <v/>
      </c>
      <c r="H391" s="11" t="str">
        <f>IF(F391="Completado", IFERROR(IF(INDEX('Base Exámenes'!$E$5:$E$1000, MATCH(A391&amp;"|"&amp;J391, 'Base Exámenes'!$I$5:$I$1000, 0))="", "", INDEX('Base Exámenes'!$E$5:$E$1000, MATCH(A391&amp;"|"&amp;J391, 'Base Exámenes'!$I$5:$I$1000, 0))), ""), "")</f>
        <v/>
      </c>
      <c r="I391" s="10" t="str">
        <f>IF(F391="Completado", IFERROR(IF(INDEX('Base Exámenes'!$F$5:$F$1000, MATCH(A391&amp;"|"&amp;J391, 'Base Exámenes'!$I$5:$I$1000, 0))="", "", INDEX('Base Exámenes'!$F$5:$F$1000, MATCH(A391&amp;"|"&amp;J391, 'Base Exámenes'!$I$5:$I$1000, 0))), ""), "")</f>
        <v/>
      </c>
      <c r="J391" s="6" t="str">
        <f>IF(F391="Completado", IF(COUNTIFS('Base Exámenes'!$C$5:$C$1000, A391, 'Base Exámenes'!$G$5:$G$1000, "&lt;&gt;")=0, "", _xlfn.MAXIFS('Base Exámenes'!$G$5:$G$1000, 'Base Exámenes'!$C$5:$C$1000, A391)), "")</f>
        <v/>
      </c>
      <c r="K391" s="6" t="str">
        <f>IF(F391="Completado", IFERROR(IF(INDEX('Base Exámenes'!$H$5:$H$1000, MATCH(A391&amp;"|"&amp;J391, 'Base Exámenes'!$I$5:$I$1000, 0))="", "", INDEX('Base Exámenes'!$H$5:$H$1000, MATCH(A391&amp;"|"&amp;J391, 'Base Exámenes'!$I$5:$I$1000, 0))), ""), "")</f>
        <v/>
      </c>
      <c r="L391" s="22" t="str">
        <f>IF($A391="","",COUNTIF('Base Exámenes'!$C$5:$C$1000, A391))</f>
        <v/>
      </c>
      <c r="M391" s="6" t="str">
        <f>IF($A391="","",IF(COUNTIF('Base Exámenes'!$C$5:$C$1000, A391)&gt;0, "", TRIM('Base Oficial'!H391)))</f>
        <v/>
      </c>
    </row>
    <row r="392">
      <c r="A392" s="4" t="str">
        <f>IF('Base Oficial'!A392="","",TRIM('Base Oficial'!A392))</f>
        <v/>
      </c>
      <c r="B392" s="6" t="str">
        <f>IF($A392="","",TRIM('Base Oficial'!B392))</f>
        <v/>
      </c>
      <c r="C392" s="6" t="str">
        <f>IF($A392="","",TRIM('Base Oficial'!F392))</f>
        <v/>
      </c>
      <c r="D392" s="6" t="str">
        <f>IF($A392="","",TRIM('Base Oficial'!G392))</f>
        <v/>
      </c>
      <c r="E392" s="6" t="str">
        <f>IF($A392="","",TRIM('Base Oficial'!D392))</f>
        <v/>
      </c>
      <c r="F392" s="4" t="str">
        <f>IF($A392="","",IF(COUNTIF('Base Exámenes'!$C$5:$C$1000, A392)&gt;0, "Completado", IF(M392&lt;&gt;"", M392, "Pendiente")))</f>
        <v/>
      </c>
      <c r="G392" s="11" t="str">
        <f>IF(F392="Completado", IFERROR(IF(INDEX('Base Exámenes'!$D$5:$D$1000, MATCH(A392&amp;"|"&amp;J392, 'Base Exámenes'!$I$5:$I$1000, 0))="", "", INDEX('Base Exámenes'!$D$5:$D$1000, MATCH(A392&amp;"|"&amp;J392, 'Base Exámenes'!$I$5:$I$1000, 0))), ""), "")</f>
        <v/>
      </c>
      <c r="H392" s="11" t="str">
        <f>IF(F392="Completado", IFERROR(IF(INDEX('Base Exámenes'!$E$5:$E$1000, MATCH(A392&amp;"|"&amp;J392, 'Base Exámenes'!$I$5:$I$1000, 0))="", "", INDEX('Base Exámenes'!$E$5:$E$1000, MATCH(A392&amp;"|"&amp;J392, 'Base Exámenes'!$I$5:$I$1000, 0))), ""), "")</f>
        <v/>
      </c>
      <c r="I392" s="10" t="str">
        <f>IF(F392="Completado", IFERROR(IF(INDEX('Base Exámenes'!$F$5:$F$1000, MATCH(A392&amp;"|"&amp;J392, 'Base Exámenes'!$I$5:$I$1000, 0))="", "", INDEX('Base Exámenes'!$F$5:$F$1000, MATCH(A392&amp;"|"&amp;J392, 'Base Exámenes'!$I$5:$I$1000, 0))), ""), "")</f>
        <v/>
      </c>
      <c r="J392" s="6" t="str">
        <f>IF(F392="Completado", IF(COUNTIFS('Base Exámenes'!$C$5:$C$1000, A392, 'Base Exámenes'!$G$5:$G$1000, "&lt;&gt;")=0, "", _xlfn.MAXIFS('Base Exámenes'!$G$5:$G$1000, 'Base Exámenes'!$C$5:$C$1000, A392)), "")</f>
        <v/>
      </c>
      <c r="K392" s="6" t="str">
        <f>IF(F392="Completado", IFERROR(IF(INDEX('Base Exámenes'!$H$5:$H$1000, MATCH(A392&amp;"|"&amp;J392, 'Base Exámenes'!$I$5:$I$1000, 0))="", "", INDEX('Base Exámenes'!$H$5:$H$1000, MATCH(A392&amp;"|"&amp;J392, 'Base Exámenes'!$I$5:$I$1000, 0))), ""), "")</f>
        <v/>
      </c>
      <c r="L392" s="22" t="str">
        <f>IF($A392="","",COUNTIF('Base Exámenes'!$C$5:$C$1000, A392))</f>
        <v/>
      </c>
      <c r="M392" s="6" t="str">
        <f>IF($A392="","",IF(COUNTIF('Base Exámenes'!$C$5:$C$1000, A392)&gt;0, "", TRIM('Base Oficial'!H392)))</f>
        <v/>
      </c>
    </row>
    <row r="393">
      <c r="A393" s="4" t="str">
        <f>IF('Base Oficial'!A393="","",TRIM('Base Oficial'!A393))</f>
        <v/>
      </c>
      <c r="B393" s="6" t="str">
        <f>IF($A393="","",TRIM('Base Oficial'!B393))</f>
        <v/>
      </c>
      <c r="C393" s="6" t="str">
        <f>IF($A393="","",TRIM('Base Oficial'!F393))</f>
        <v/>
      </c>
      <c r="D393" s="6" t="str">
        <f>IF($A393="","",TRIM('Base Oficial'!G393))</f>
        <v/>
      </c>
      <c r="E393" s="6" t="str">
        <f>IF($A393="","",TRIM('Base Oficial'!D393))</f>
        <v/>
      </c>
      <c r="F393" s="4" t="str">
        <f>IF($A393="","",IF(COUNTIF('Base Exámenes'!$C$5:$C$1000, A393)&gt;0, "Completado", IF(M393&lt;&gt;"", M393, "Pendiente")))</f>
        <v/>
      </c>
      <c r="G393" s="11" t="str">
        <f>IF(F393="Completado", IFERROR(IF(INDEX('Base Exámenes'!$D$5:$D$1000, MATCH(A393&amp;"|"&amp;J393, 'Base Exámenes'!$I$5:$I$1000, 0))="", "", INDEX('Base Exámenes'!$D$5:$D$1000, MATCH(A393&amp;"|"&amp;J393, 'Base Exámenes'!$I$5:$I$1000, 0))), ""), "")</f>
        <v/>
      </c>
      <c r="H393" s="11" t="str">
        <f>IF(F393="Completado", IFERROR(IF(INDEX('Base Exámenes'!$E$5:$E$1000, MATCH(A393&amp;"|"&amp;J393, 'Base Exámenes'!$I$5:$I$1000, 0))="", "", INDEX('Base Exámenes'!$E$5:$E$1000, MATCH(A393&amp;"|"&amp;J393, 'Base Exámenes'!$I$5:$I$1000, 0))), ""), "")</f>
        <v/>
      </c>
      <c r="I393" s="10" t="str">
        <f>IF(F393="Completado", IFERROR(IF(INDEX('Base Exámenes'!$F$5:$F$1000, MATCH(A393&amp;"|"&amp;J393, 'Base Exámenes'!$I$5:$I$1000, 0))="", "", INDEX('Base Exámenes'!$F$5:$F$1000, MATCH(A393&amp;"|"&amp;J393, 'Base Exámenes'!$I$5:$I$1000, 0))), ""), "")</f>
        <v/>
      </c>
      <c r="J393" s="6" t="str">
        <f>IF(F393="Completado", IF(COUNTIFS('Base Exámenes'!$C$5:$C$1000, A393, 'Base Exámenes'!$G$5:$G$1000, "&lt;&gt;")=0, "", _xlfn.MAXIFS('Base Exámenes'!$G$5:$G$1000, 'Base Exámenes'!$C$5:$C$1000, A393)), "")</f>
        <v/>
      </c>
      <c r="K393" s="6" t="str">
        <f>IF(F393="Completado", IFERROR(IF(INDEX('Base Exámenes'!$H$5:$H$1000, MATCH(A393&amp;"|"&amp;J393, 'Base Exámenes'!$I$5:$I$1000, 0))="", "", INDEX('Base Exámenes'!$H$5:$H$1000, MATCH(A393&amp;"|"&amp;J393, 'Base Exámenes'!$I$5:$I$1000, 0))), ""), "")</f>
        <v/>
      </c>
      <c r="L393" s="22" t="str">
        <f>IF($A393="","",COUNTIF('Base Exámenes'!$C$5:$C$1000, A393))</f>
        <v/>
      </c>
      <c r="M393" s="6" t="str">
        <f>IF($A393="","",IF(COUNTIF('Base Exámenes'!$C$5:$C$1000, A393)&gt;0, "", TRIM('Base Oficial'!H393)))</f>
        <v/>
      </c>
    </row>
    <row r="394">
      <c r="A394" s="4" t="str">
        <f>IF('Base Oficial'!A394="","",TRIM('Base Oficial'!A394))</f>
        <v/>
      </c>
      <c r="B394" s="6" t="str">
        <f>IF($A394="","",TRIM('Base Oficial'!B394))</f>
        <v/>
      </c>
      <c r="C394" s="6" t="str">
        <f>IF($A394="","",TRIM('Base Oficial'!F394))</f>
        <v/>
      </c>
      <c r="D394" s="6" t="str">
        <f>IF($A394="","",TRIM('Base Oficial'!G394))</f>
        <v/>
      </c>
      <c r="E394" s="6" t="str">
        <f>IF($A394="","",TRIM('Base Oficial'!D394))</f>
        <v/>
      </c>
      <c r="F394" s="4" t="str">
        <f>IF($A394="","",IF(COUNTIF('Base Exámenes'!$C$5:$C$1000, A394)&gt;0, "Completado", IF(M394&lt;&gt;"", M394, "Pendiente")))</f>
        <v/>
      </c>
      <c r="G394" s="11" t="str">
        <f>IF(F394="Completado", IFERROR(IF(INDEX('Base Exámenes'!$D$5:$D$1000, MATCH(A394&amp;"|"&amp;J394, 'Base Exámenes'!$I$5:$I$1000, 0))="", "", INDEX('Base Exámenes'!$D$5:$D$1000, MATCH(A394&amp;"|"&amp;J394, 'Base Exámenes'!$I$5:$I$1000, 0))), ""), "")</f>
        <v/>
      </c>
      <c r="H394" s="11" t="str">
        <f>IF(F394="Completado", IFERROR(IF(INDEX('Base Exámenes'!$E$5:$E$1000, MATCH(A394&amp;"|"&amp;J394, 'Base Exámenes'!$I$5:$I$1000, 0))="", "", INDEX('Base Exámenes'!$E$5:$E$1000, MATCH(A394&amp;"|"&amp;J394, 'Base Exámenes'!$I$5:$I$1000, 0))), ""), "")</f>
        <v/>
      </c>
      <c r="I394" s="10" t="str">
        <f>IF(F394="Completado", IFERROR(IF(INDEX('Base Exámenes'!$F$5:$F$1000, MATCH(A394&amp;"|"&amp;J394, 'Base Exámenes'!$I$5:$I$1000, 0))="", "", INDEX('Base Exámenes'!$F$5:$F$1000, MATCH(A394&amp;"|"&amp;J394, 'Base Exámenes'!$I$5:$I$1000, 0))), ""), "")</f>
        <v/>
      </c>
      <c r="J394" s="6" t="str">
        <f>IF(F394="Completado", IF(COUNTIFS('Base Exámenes'!$C$5:$C$1000, A394, 'Base Exámenes'!$G$5:$G$1000, "&lt;&gt;")=0, "", _xlfn.MAXIFS('Base Exámenes'!$G$5:$G$1000, 'Base Exámenes'!$C$5:$C$1000, A394)), "")</f>
        <v/>
      </c>
      <c r="K394" s="6" t="str">
        <f>IF(F394="Completado", IFERROR(IF(INDEX('Base Exámenes'!$H$5:$H$1000, MATCH(A394&amp;"|"&amp;J394, 'Base Exámenes'!$I$5:$I$1000, 0))="", "", INDEX('Base Exámenes'!$H$5:$H$1000, MATCH(A394&amp;"|"&amp;J394, 'Base Exámenes'!$I$5:$I$1000, 0))), ""), "")</f>
        <v/>
      </c>
      <c r="L394" s="22" t="str">
        <f>IF($A394="","",COUNTIF('Base Exámenes'!$C$5:$C$1000, A394))</f>
        <v/>
      </c>
      <c r="M394" s="6" t="str">
        <f>IF($A394="","",IF(COUNTIF('Base Exámenes'!$C$5:$C$1000, A394)&gt;0, "", TRIM('Base Oficial'!H394)))</f>
        <v/>
      </c>
    </row>
    <row r="395">
      <c r="A395" s="4" t="str">
        <f>IF('Base Oficial'!A395="","",TRIM('Base Oficial'!A395))</f>
        <v/>
      </c>
      <c r="B395" s="6" t="str">
        <f>IF($A395="","",TRIM('Base Oficial'!B395))</f>
        <v/>
      </c>
      <c r="C395" s="6" t="str">
        <f>IF($A395="","",TRIM('Base Oficial'!F395))</f>
        <v/>
      </c>
      <c r="D395" s="6" t="str">
        <f>IF($A395="","",TRIM('Base Oficial'!G395))</f>
        <v/>
      </c>
      <c r="E395" s="6" t="str">
        <f>IF($A395="","",TRIM('Base Oficial'!D395))</f>
        <v/>
      </c>
      <c r="F395" s="4" t="str">
        <f>IF($A395="","",IF(COUNTIF('Base Exámenes'!$C$5:$C$1000, A395)&gt;0, "Completado", IF(M395&lt;&gt;"", M395, "Pendiente")))</f>
        <v/>
      </c>
      <c r="G395" s="11" t="str">
        <f>IF(F395="Completado", IFERROR(IF(INDEX('Base Exámenes'!$D$5:$D$1000, MATCH(A395&amp;"|"&amp;J395, 'Base Exámenes'!$I$5:$I$1000, 0))="", "", INDEX('Base Exámenes'!$D$5:$D$1000, MATCH(A395&amp;"|"&amp;J395, 'Base Exámenes'!$I$5:$I$1000, 0))), ""), "")</f>
        <v/>
      </c>
      <c r="H395" s="11" t="str">
        <f>IF(F395="Completado", IFERROR(IF(INDEX('Base Exámenes'!$E$5:$E$1000, MATCH(A395&amp;"|"&amp;J395, 'Base Exámenes'!$I$5:$I$1000, 0))="", "", INDEX('Base Exámenes'!$E$5:$E$1000, MATCH(A395&amp;"|"&amp;J395, 'Base Exámenes'!$I$5:$I$1000, 0))), ""), "")</f>
        <v/>
      </c>
      <c r="I395" s="10" t="str">
        <f>IF(F395="Completado", IFERROR(IF(INDEX('Base Exámenes'!$F$5:$F$1000, MATCH(A395&amp;"|"&amp;J395, 'Base Exámenes'!$I$5:$I$1000, 0))="", "", INDEX('Base Exámenes'!$F$5:$F$1000, MATCH(A395&amp;"|"&amp;J395, 'Base Exámenes'!$I$5:$I$1000, 0))), ""), "")</f>
        <v/>
      </c>
      <c r="J395" s="6" t="str">
        <f>IF(F395="Completado", IF(COUNTIFS('Base Exámenes'!$C$5:$C$1000, A395, 'Base Exámenes'!$G$5:$G$1000, "&lt;&gt;")=0, "", _xlfn.MAXIFS('Base Exámenes'!$G$5:$G$1000, 'Base Exámenes'!$C$5:$C$1000, A395)), "")</f>
        <v/>
      </c>
      <c r="K395" s="6" t="str">
        <f>IF(F395="Completado", IFERROR(IF(INDEX('Base Exámenes'!$H$5:$H$1000, MATCH(A395&amp;"|"&amp;J395, 'Base Exámenes'!$I$5:$I$1000, 0))="", "", INDEX('Base Exámenes'!$H$5:$H$1000, MATCH(A395&amp;"|"&amp;J395, 'Base Exámenes'!$I$5:$I$1000, 0))), ""), "")</f>
        <v/>
      </c>
      <c r="L395" s="22" t="str">
        <f>IF($A395="","",COUNTIF('Base Exámenes'!$C$5:$C$1000, A395))</f>
        <v/>
      </c>
      <c r="M395" s="6" t="str">
        <f>IF($A395="","",IF(COUNTIF('Base Exámenes'!$C$5:$C$1000, A395)&gt;0, "", TRIM('Base Oficial'!H395)))</f>
        <v/>
      </c>
    </row>
    <row r="396">
      <c r="A396" s="4" t="str">
        <f>IF('Base Oficial'!A396="","",TRIM('Base Oficial'!A396))</f>
        <v/>
      </c>
      <c r="B396" s="6" t="str">
        <f>IF($A396="","",TRIM('Base Oficial'!B396))</f>
        <v/>
      </c>
      <c r="C396" s="6" t="str">
        <f>IF($A396="","",TRIM('Base Oficial'!F396))</f>
        <v/>
      </c>
      <c r="D396" s="6" t="str">
        <f>IF($A396="","",TRIM('Base Oficial'!G396))</f>
        <v/>
      </c>
      <c r="E396" s="6" t="str">
        <f>IF($A396="","",TRIM('Base Oficial'!D396))</f>
        <v/>
      </c>
      <c r="F396" s="4" t="str">
        <f>IF($A396="","",IF(COUNTIF('Base Exámenes'!$C$5:$C$1000, A396)&gt;0, "Completado", IF(M396&lt;&gt;"", M396, "Pendiente")))</f>
        <v/>
      </c>
      <c r="G396" s="11" t="str">
        <f>IF(F396="Completado", IFERROR(IF(INDEX('Base Exámenes'!$D$5:$D$1000, MATCH(A396&amp;"|"&amp;J396, 'Base Exámenes'!$I$5:$I$1000, 0))="", "", INDEX('Base Exámenes'!$D$5:$D$1000, MATCH(A396&amp;"|"&amp;J396, 'Base Exámenes'!$I$5:$I$1000, 0))), ""), "")</f>
        <v/>
      </c>
      <c r="H396" s="11" t="str">
        <f>IF(F396="Completado", IFERROR(IF(INDEX('Base Exámenes'!$E$5:$E$1000, MATCH(A396&amp;"|"&amp;J396, 'Base Exámenes'!$I$5:$I$1000, 0))="", "", INDEX('Base Exámenes'!$E$5:$E$1000, MATCH(A396&amp;"|"&amp;J396, 'Base Exámenes'!$I$5:$I$1000, 0))), ""), "")</f>
        <v/>
      </c>
      <c r="I396" s="10" t="str">
        <f>IF(F396="Completado", IFERROR(IF(INDEX('Base Exámenes'!$F$5:$F$1000, MATCH(A396&amp;"|"&amp;J396, 'Base Exámenes'!$I$5:$I$1000, 0))="", "", INDEX('Base Exámenes'!$F$5:$F$1000, MATCH(A396&amp;"|"&amp;J396, 'Base Exámenes'!$I$5:$I$1000, 0))), ""), "")</f>
        <v/>
      </c>
      <c r="J396" s="6" t="str">
        <f>IF(F396="Completado", IF(COUNTIFS('Base Exámenes'!$C$5:$C$1000, A396, 'Base Exámenes'!$G$5:$G$1000, "&lt;&gt;")=0, "", _xlfn.MAXIFS('Base Exámenes'!$G$5:$G$1000, 'Base Exámenes'!$C$5:$C$1000, A396)), "")</f>
        <v/>
      </c>
      <c r="K396" s="6" t="str">
        <f>IF(F396="Completado", IFERROR(IF(INDEX('Base Exámenes'!$H$5:$H$1000, MATCH(A396&amp;"|"&amp;J396, 'Base Exámenes'!$I$5:$I$1000, 0))="", "", INDEX('Base Exámenes'!$H$5:$H$1000, MATCH(A396&amp;"|"&amp;J396, 'Base Exámenes'!$I$5:$I$1000, 0))), ""), "")</f>
        <v/>
      </c>
      <c r="L396" s="22" t="str">
        <f>IF($A396="","",COUNTIF('Base Exámenes'!$C$5:$C$1000, A396))</f>
        <v/>
      </c>
      <c r="M396" s="6" t="str">
        <f>IF($A396="","",IF(COUNTIF('Base Exámenes'!$C$5:$C$1000, A396)&gt;0, "", TRIM('Base Oficial'!H396)))</f>
        <v/>
      </c>
    </row>
    <row r="397">
      <c r="A397" s="4" t="str">
        <f>IF('Base Oficial'!A397="","",TRIM('Base Oficial'!A397))</f>
        <v/>
      </c>
      <c r="B397" s="6" t="str">
        <f>IF($A397="","",TRIM('Base Oficial'!B397))</f>
        <v/>
      </c>
      <c r="C397" s="6" t="str">
        <f>IF($A397="","",TRIM('Base Oficial'!F397))</f>
        <v/>
      </c>
      <c r="D397" s="6" t="str">
        <f>IF($A397="","",TRIM('Base Oficial'!G397))</f>
        <v/>
      </c>
      <c r="E397" s="6" t="str">
        <f>IF($A397="","",TRIM('Base Oficial'!D397))</f>
        <v/>
      </c>
      <c r="F397" s="4" t="str">
        <f>IF($A397="","",IF(COUNTIF('Base Exámenes'!$C$5:$C$1000, A397)&gt;0, "Completado", IF(M397&lt;&gt;"", M397, "Pendiente")))</f>
        <v/>
      </c>
      <c r="G397" s="11" t="str">
        <f>IF(F397="Completado", IFERROR(IF(INDEX('Base Exámenes'!$D$5:$D$1000, MATCH(A397&amp;"|"&amp;J397, 'Base Exámenes'!$I$5:$I$1000, 0))="", "", INDEX('Base Exámenes'!$D$5:$D$1000, MATCH(A397&amp;"|"&amp;J397, 'Base Exámenes'!$I$5:$I$1000, 0))), ""), "")</f>
        <v/>
      </c>
      <c r="H397" s="11" t="str">
        <f>IF(F397="Completado", IFERROR(IF(INDEX('Base Exámenes'!$E$5:$E$1000, MATCH(A397&amp;"|"&amp;J397, 'Base Exámenes'!$I$5:$I$1000, 0))="", "", INDEX('Base Exámenes'!$E$5:$E$1000, MATCH(A397&amp;"|"&amp;J397, 'Base Exámenes'!$I$5:$I$1000, 0))), ""), "")</f>
        <v/>
      </c>
      <c r="I397" s="10" t="str">
        <f>IF(F397="Completado", IFERROR(IF(INDEX('Base Exámenes'!$F$5:$F$1000, MATCH(A397&amp;"|"&amp;J397, 'Base Exámenes'!$I$5:$I$1000, 0))="", "", INDEX('Base Exámenes'!$F$5:$F$1000, MATCH(A397&amp;"|"&amp;J397, 'Base Exámenes'!$I$5:$I$1000, 0))), ""), "")</f>
        <v/>
      </c>
      <c r="J397" s="6" t="str">
        <f>IF(F397="Completado", IF(COUNTIFS('Base Exámenes'!$C$5:$C$1000, A397, 'Base Exámenes'!$G$5:$G$1000, "&lt;&gt;")=0, "", _xlfn.MAXIFS('Base Exámenes'!$G$5:$G$1000, 'Base Exámenes'!$C$5:$C$1000, A397)), "")</f>
        <v/>
      </c>
      <c r="K397" s="6" t="str">
        <f>IF(F397="Completado", IFERROR(IF(INDEX('Base Exámenes'!$H$5:$H$1000, MATCH(A397&amp;"|"&amp;J397, 'Base Exámenes'!$I$5:$I$1000, 0))="", "", INDEX('Base Exámenes'!$H$5:$H$1000, MATCH(A397&amp;"|"&amp;J397, 'Base Exámenes'!$I$5:$I$1000, 0))), ""), "")</f>
        <v/>
      </c>
      <c r="L397" s="22" t="str">
        <f>IF($A397="","",COUNTIF('Base Exámenes'!$C$5:$C$1000, A397))</f>
        <v/>
      </c>
      <c r="M397" s="6" t="str">
        <f>IF($A397="","",IF(COUNTIF('Base Exámenes'!$C$5:$C$1000, A397)&gt;0, "", TRIM('Base Oficial'!H397)))</f>
        <v/>
      </c>
    </row>
    <row r="398">
      <c r="A398" s="4" t="str">
        <f>IF('Base Oficial'!A398="","",TRIM('Base Oficial'!A398))</f>
        <v/>
      </c>
      <c r="B398" s="6" t="str">
        <f>IF($A398="","",TRIM('Base Oficial'!B398))</f>
        <v/>
      </c>
      <c r="C398" s="6" t="str">
        <f>IF($A398="","",TRIM('Base Oficial'!F398))</f>
        <v/>
      </c>
      <c r="D398" s="6" t="str">
        <f>IF($A398="","",TRIM('Base Oficial'!G398))</f>
        <v/>
      </c>
      <c r="E398" s="6" t="str">
        <f>IF($A398="","",TRIM('Base Oficial'!D398))</f>
        <v/>
      </c>
      <c r="F398" s="4" t="str">
        <f>IF($A398="","",IF(COUNTIF('Base Exámenes'!$C$5:$C$1000, A398)&gt;0, "Completado", IF(M398&lt;&gt;"", M398, "Pendiente")))</f>
        <v/>
      </c>
      <c r="G398" s="11" t="str">
        <f>IF(F398="Completado", IFERROR(IF(INDEX('Base Exámenes'!$D$5:$D$1000, MATCH(A398&amp;"|"&amp;J398, 'Base Exámenes'!$I$5:$I$1000, 0))="", "", INDEX('Base Exámenes'!$D$5:$D$1000, MATCH(A398&amp;"|"&amp;J398, 'Base Exámenes'!$I$5:$I$1000, 0))), ""), "")</f>
        <v/>
      </c>
      <c r="H398" s="11" t="str">
        <f>IF(F398="Completado", IFERROR(IF(INDEX('Base Exámenes'!$E$5:$E$1000, MATCH(A398&amp;"|"&amp;J398, 'Base Exámenes'!$I$5:$I$1000, 0))="", "", INDEX('Base Exámenes'!$E$5:$E$1000, MATCH(A398&amp;"|"&amp;J398, 'Base Exámenes'!$I$5:$I$1000, 0))), ""), "")</f>
        <v/>
      </c>
      <c r="I398" s="10" t="str">
        <f>IF(F398="Completado", IFERROR(IF(INDEX('Base Exámenes'!$F$5:$F$1000, MATCH(A398&amp;"|"&amp;J398, 'Base Exámenes'!$I$5:$I$1000, 0))="", "", INDEX('Base Exámenes'!$F$5:$F$1000, MATCH(A398&amp;"|"&amp;J398, 'Base Exámenes'!$I$5:$I$1000, 0))), ""), "")</f>
        <v/>
      </c>
      <c r="J398" s="6" t="str">
        <f>IF(F398="Completado", IF(COUNTIFS('Base Exámenes'!$C$5:$C$1000, A398, 'Base Exámenes'!$G$5:$G$1000, "&lt;&gt;")=0, "", _xlfn.MAXIFS('Base Exámenes'!$G$5:$G$1000, 'Base Exámenes'!$C$5:$C$1000, A398)), "")</f>
        <v/>
      </c>
      <c r="K398" s="6" t="str">
        <f>IF(F398="Completado", IFERROR(IF(INDEX('Base Exámenes'!$H$5:$H$1000, MATCH(A398&amp;"|"&amp;J398, 'Base Exámenes'!$I$5:$I$1000, 0))="", "", INDEX('Base Exámenes'!$H$5:$H$1000, MATCH(A398&amp;"|"&amp;J398, 'Base Exámenes'!$I$5:$I$1000, 0))), ""), "")</f>
        <v/>
      </c>
      <c r="L398" s="22" t="str">
        <f>IF($A398="","",COUNTIF('Base Exámenes'!$C$5:$C$1000, A398))</f>
        <v/>
      </c>
      <c r="M398" s="6" t="str">
        <f>IF($A398="","",IF(COUNTIF('Base Exámenes'!$C$5:$C$1000, A398)&gt;0, "", TRIM('Base Oficial'!H398)))</f>
        <v/>
      </c>
    </row>
    <row r="399">
      <c r="A399" s="4" t="str">
        <f>IF('Base Oficial'!A399="","",TRIM('Base Oficial'!A399))</f>
        <v/>
      </c>
      <c r="B399" s="6" t="str">
        <f>IF($A399="","",TRIM('Base Oficial'!B399))</f>
        <v/>
      </c>
      <c r="C399" s="6" t="str">
        <f>IF($A399="","",TRIM('Base Oficial'!F399))</f>
        <v/>
      </c>
      <c r="D399" s="6" t="str">
        <f>IF($A399="","",TRIM('Base Oficial'!G399))</f>
        <v/>
      </c>
      <c r="E399" s="6" t="str">
        <f>IF($A399="","",TRIM('Base Oficial'!D399))</f>
        <v/>
      </c>
      <c r="F399" s="4" t="str">
        <f>IF($A399="","",IF(COUNTIF('Base Exámenes'!$C$5:$C$1000, A399)&gt;0, "Completado", IF(M399&lt;&gt;"", M399, "Pendiente")))</f>
        <v/>
      </c>
      <c r="G399" s="11" t="str">
        <f>IF(F399="Completado", IFERROR(IF(INDEX('Base Exámenes'!$D$5:$D$1000, MATCH(A399&amp;"|"&amp;J399, 'Base Exámenes'!$I$5:$I$1000, 0))="", "", INDEX('Base Exámenes'!$D$5:$D$1000, MATCH(A399&amp;"|"&amp;J399, 'Base Exámenes'!$I$5:$I$1000, 0))), ""), "")</f>
        <v/>
      </c>
      <c r="H399" s="11" t="str">
        <f>IF(F399="Completado", IFERROR(IF(INDEX('Base Exámenes'!$E$5:$E$1000, MATCH(A399&amp;"|"&amp;J399, 'Base Exámenes'!$I$5:$I$1000, 0))="", "", INDEX('Base Exámenes'!$E$5:$E$1000, MATCH(A399&amp;"|"&amp;J399, 'Base Exámenes'!$I$5:$I$1000, 0))), ""), "")</f>
        <v/>
      </c>
      <c r="I399" s="10" t="str">
        <f>IF(F399="Completado", IFERROR(IF(INDEX('Base Exámenes'!$F$5:$F$1000, MATCH(A399&amp;"|"&amp;J399, 'Base Exámenes'!$I$5:$I$1000, 0))="", "", INDEX('Base Exámenes'!$F$5:$F$1000, MATCH(A399&amp;"|"&amp;J399, 'Base Exámenes'!$I$5:$I$1000, 0))), ""), "")</f>
        <v/>
      </c>
      <c r="J399" s="6" t="str">
        <f>IF(F399="Completado", IF(COUNTIFS('Base Exámenes'!$C$5:$C$1000, A399, 'Base Exámenes'!$G$5:$G$1000, "&lt;&gt;")=0, "", _xlfn.MAXIFS('Base Exámenes'!$G$5:$G$1000, 'Base Exámenes'!$C$5:$C$1000, A399)), "")</f>
        <v/>
      </c>
      <c r="K399" s="6" t="str">
        <f>IF(F399="Completado", IFERROR(IF(INDEX('Base Exámenes'!$H$5:$H$1000, MATCH(A399&amp;"|"&amp;J399, 'Base Exámenes'!$I$5:$I$1000, 0))="", "", INDEX('Base Exámenes'!$H$5:$H$1000, MATCH(A399&amp;"|"&amp;J399, 'Base Exámenes'!$I$5:$I$1000, 0))), ""), "")</f>
        <v/>
      </c>
      <c r="L399" s="22" t="str">
        <f>IF($A399="","",COUNTIF('Base Exámenes'!$C$5:$C$1000, A399))</f>
        <v/>
      </c>
      <c r="M399" s="6" t="str">
        <f>IF($A399="","",IF(COUNTIF('Base Exámenes'!$C$5:$C$1000, A399)&gt;0, "", TRIM('Base Oficial'!H399)))</f>
        <v/>
      </c>
    </row>
    <row r="400">
      <c r="A400" s="4" t="str">
        <f>IF('Base Oficial'!A400="","",TRIM('Base Oficial'!A400))</f>
        <v/>
      </c>
      <c r="B400" s="6" t="str">
        <f>IF($A400="","",TRIM('Base Oficial'!B400))</f>
        <v/>
      </c>
      <c r="C400" s="6" t="str">
        <f>IF($A400="","",TRIM('Base Oficial'!F400))</f>
        <v/>
      </c>
      <c r="D400" s="6" t="str">
        <f>IF($A400="","",TRIM('Base Oficial'!G400))</f>
        <v/>
      </c>
      <c r="E400" s="6" t="str">
        <f>IF($A400="","",TRIM('Base Oficial'!D400))</f>
        <v/>
      </c>
      <c r="F400" s="4" t="str">
        <f>IF($A400="","",IF(COUNTIF('Base Exámenes'!$C$5:$C$1000, A400)&gt;0, "Completado", IF(M400&lt;&gt;"", M400, "Pendiente")))</f>
        <v/>
      </c>
      <c r="G400" s="11" t="str">
        <f>IF(F400="Completado", IFERROR(IF(INDEX('Base Exámenes'!$D$5:$D$1000, MATCH(A400&amp;"|"&amp;J400, 'Base Exámenes'!$I$5:$I$1000, 0))="", "", INDEX('Base Exámenes'!$D$5:$D$1000, MATCH(A400&amp;"|"&amp;J400, 'Base Exámenes'!$I$5:$I$1000, 0))), ""), "")</f>
        <v/>
      </c>
      <c r="H400" s="11" t="str">
        <f>IF(F400="Completado", IFERROR(IF(INDEX('Base Exámenes'!$E$5:$E$1000, MATCH(A400&amp;"|"&amp;J400, 'Base Exámenes'!$I$5:$I$1000, 0))="", "", INDEX('Base Exámenes'!$E$5:$E$1000, MATCH(A400&amp;"|"&amp;J400, 'Base Exámenes'!$I$5:$I$1000, 0))), ""), "")</f>
        <v/>
      </c>
      <c r="I400" s="10" t="str">
        <f>IF(F400="Completado", IFERROR(IF(INDEX('Base Exámenes'!$F$5:$F$1000, MATCH(A400&amp;"|"&amp;J400, 'Base Exámenes'!$I$5:$I$1000, 0))="", "", INDEX('Base Exámenes'!$F$5:$F$1000, MATCH(A400&amp;"|"&amp;J400, 'Base Exámenes'!$I$5:$I$1000, 0))), ""), "")</f>
        <v/>
      </c>
      <c r="J400" s="6" t="str">
        <f>IF(F400="Completado", IF(COUNTIFS('Base Exámenes'!$C$5:$C$1000, A400, 'Base Exámenes'!$G$5:$G$1000, "&lt;&gt;")=0, "", _xlfn.MAXIFS('Base Exámenes'!$G$5:$G$1000, 'Base Exámenes'!$C$5:$C$1000, A400)), "")</f>
        <v/>
      </c>
      <c r="K400" s="6" t="str">
        <f>IF(F400="Completado", IFERROR(IF(INDEX('Base Exámenes'!$H$5:$H$1000, MATCH(A400&amp;"|"&amp;J400, 'Base Exámenes'!$I$5:$I$1000, 0))="", "", INDEX('Base Exámenes'!$H$5:$H$1000, MATCH(A400&amp;"|"&amp;J400, 'Base Exámenes'!$I$5:$I$1000, 0))), ""), "")</f>
        <v/>
      </c>
      <c r="L400" s="22" t="str">
        <f>IF($A400="","",COUNTIF('Base Exámenes'!$C$5:$C$1000, A400))</f>
        <v/>
      </c>
      <c r="M400" s="6" t="str">
        <f>IF($A400="","",IF(COUNTIF('Base Exámenes'!$C$5:$C$1000, A400)&gt;0, "", TRIM('Base Oficial'!H400)))</f>
        <v/>
      </c>
    </row>
    <row r="401">
      <c r="A401" s="4" t="str">
        <f>IF('Base Oficial'!A401="","",TRIM('Base Oficial'!A401))</f>
        <v/>
      </c>
      <c r="B401" s="6" t="str">
        <f>IF($A401="","",TRIM('Base Oficial'!B401))</f>
        <v/>
      </c>
      <c r="C401" s="6" t="str">
        <f>IF($A401="","",TRIM('Base Oficial'!F401))</f>
        <v/>
      </c>
      <c r="D401" s="6" t="str">
        <f>IF($A401="","",TRIM('Base Oficial'!G401))</f>
        <v/>
      </c>
      <c r="E401" s="6" t="str">
        <f>IF($A401="","",TRIM('Base Oficial'!D401))</f>
        <v/>
      </c>
      <c r="F401" s="4" t="str">
        <f>IF($A401="","",IF(COUNTIF('Base Exámenes'!$C$5:$C$1000, A401)&gt;0, "Completado", IF(M401&lt;&gt;"", M401, "Pendiente")))</f>
        <v/>
      </c>
      <c r="G401" s="11" t="str">
        <f>IF(F401="Completado", IFERROR(IF(INDEX('Base Exámenes'!$D$5:$D$1000, MATCH(A401&amp;"|"&amp;J401, 'Base Exámenes'!$I$5:$I$1000, 0))="", "", INDEX('Base Exámenes'!$D$5:$D$1000, MATCH(A401&amp;"|"&amp;J401, 'Base Exámenes'!$I$5:$I$1000, 0))), ""), "")</f>
        <v/>
      </c>
      <c r="H401" s="11" t="str">
        <f>IF(F401="Completado", IFERROR(IF(INDEX('Base Exámenes'!$E$5:$E$1000, MATCH(A401&amp;"|"&amp;J401, 'Base Exámenes'!$I$5:$I$1000, 0))="", "", INDEX('Base Exámenes'!$E$5:$E$1000, MATCH(A401&amp;"|"&amp;J401, 'Base Exámenes'!$I$5:$I$1000, 0))), ""), "")</f>
        <v/>
      </c>
      <c r="I401" s="10" t="str">
        <f>IF(F401="Completado", IFERROR(IF(INDEX('Base Exámenes'!$F$5:$F$1000, MATCH(A401&amp;"|"&amp;J401, 'Base Exámenes'!$I$5:$I$1000, 0))="", "", INDEX('Base Exámenes'!$F$5:$F$1000, MATCH(A401&amp;"|"&amp;J401, 'Base Exámenes'!$I$5:$I$1000, 0))), ""), "")</f>
        <v/>
      </c>
      <c r="J401" s="6" t="str">
        <f>IF(F401="Completado", IF(COUNTIFS('Base Exámenes'!$C$5:$C$1000, A401, 'Base Exámenes'!$G$5:$G$1000, "&lt;&gt;")=0, "", _xlfn.MAXIFS('Base Exámenes'!$G$5:$G$1000, 'Base Exámenes'!$C$5:$C$1000, A401)), "")</f>
        <v/>
      </c>
      <c r="K401" s="6" t="str">
        <f>IF(F401="Completado", IFERROR(IF(INDEX('Base Exámenes'!$H$5:$H$1000, MATCH(A401&amp;"|"&amp;J401, 'Base Exámenes'!$I$5:$I$1000, 0))="", "", INDEX('Base Exámenes'!$H$5:$H$1000, MATCH(A401&amp;"|"&amp;J401, 'Base Exámenes'!$I$5:$I$1000, 0))), ""), "")</f>
        <v/>
      </c>
      <c r="L401" s="22" t="str">
        <f>IF($A401="","",COUNTIF('Base Exámenes'!$C$5:$C$1000, A401))</f>
        <v/>
      </c>
      <c r="M401" s="6" t="str">
        <f>IF($A401="","",IF(COUNTIF('Base Exámenes'!$C$5:$C$1000, A401)&gt;0, "", TRIM('Base Oficial'!H401)))</f>
        <v/>
      </c>
    </row>
    <row r="402">
      <c r="A402" s="4" t="str">
        <f>IF('Base Oficial'!A402="","",TRIM('Base Oficial'!A402))</f>
        <v/>
      </c>
      <c r="B402" s="6" t="str">
        <f>IF($A402="","",TRIM('Base Oficial'!B402))</f>
        <v/>
      </c>
      <c r="C402" s="6" t="str">
        <f>IF($A402="","",TRIM('Base Oficial'!F402))</f>
        <v/>
      </c>
      <c r="D402" s="6" t="str">
        <f>IF($A402="","",TRIM('Base Oficial'!G402))</f>
        <v/>
      </c>
      <c r="E402" s="6" t="str">
        <f>IF($A402="","",TRIM('Base Oficial'!D402))</f>
        <v/>
      </c>
      <c r="F402" s="4" t="str">
        <f>IF($A402="","",IF(COUNTIF('Base Exámenes'!$C$5:$C$1000, A402)&gt;0, "Completado", IF(M402&lt;&gt;"", M402, "Pendiente")))</f>
        <v/>
      </c>
      <c r="G402" s="11" t="str">
        <f>IF(F402="Completado", IFERROR(IF(INDEX('Base Exámenes'!$D$5:$D$1000, MATCH(A402&amp;"|"&amp;J402, 'Base Exámenes'!$I$5:$I$1000, 0))="", "", INDEX('Base Exámenes'!$D$5:$D$1000, MATCH(A402&amp;"|"&amp;J402, 'Base Exámenes'!$I$5:$I$1000, 0))), ""), "")</f>
        <v/>
      </c>
      <c r="H402" s="11" t="str">
        <f>IF(F402="Completado", IFERROR(IF(INDEX('Base Exámenes'!$E$5:$E$1000, MATCH(A402&amp;"|"&amp;J402, 'Base Exámenes'!$I$5:$I$1000, 0))="", "", INDEX('Base Exámenes'!$E$5:$E$1000, MATCH(A402&amp;"|"&amp;J402, 'Base Exámenes'!$I$5:$I$1000, 0))), ""), "")</f>
        <v/>
      </c>
      <c r="I402" s="10" t="str">
        <f>IF(F402="Completado", IFERROR(IF(INDEX('Base Exámenes'!$F$5:$F$1000, MATCH(A402&amp;"|"&amp;J402, 'Base Exámenes'!$I$5:$I$1000, 0))="", "", INDEX('Base Exámenes'!$F$5:$F$1000, MATCH(A402&amp;"|"&amp;J402, 'Base Exámenes'!$I$5:$I$1000, 0))), ""), "")</f>
        <v/>
      </c>
      <c r="J402" s="6" t="str">
        <f>IF(F402="Completado", IF(COUNTIFS('Base Exámenes'!$C$5:$C$1000, A402, 'Base Exámenes'!$G$5:$G$1000, "&lt;&gt;")=0, "", _xlfn.MAXIFS('Base Exámenes'!$G$5:$G$1000, 'Base Exámenes'!$C$5:$C$1000, A402)), "")</f>
        <v/>
      </c>
      <c r="K402" s="6" t="str">
        <f>IF(F402="Completado", IFERROR(IF(INDEX('Base Exámenes'!$H$5:$H$1000, MATCH(A402&amp;"|"&amp;J402, 'Base Exámenes'!$I$5:$I$1000, 0))="", "", INDEX('Base Exámenes'!$H$5:$H$1000, MATCH(A402&amp;"|"&amp;J402, 'Base Exámenes'!$I$5:$I$1000, 0))), ""), "")</f>
        <v/>
      </c>
      <c r="L402" s="22" t="str">
        <f>IF($A402="","",COUNTIF('Base Exámenes'!$C$5:$C$1000, A402))</f>
        <v/>
      </c>
      <c r="M402" s="6" t="str">
        <f>IF($A402="","",IF(COUNTIF('Base Exámenes'!$C$5:$C$1000, A402)&gt;0, "", TRIM('Base Oficial'!H402)))</f>
        <v/>
      </c>
    </row>
    <row r="403">
      <c r="A403" s="4" t="str">
        <f>IF('Base Oficial'!A403="","",TRIM('Base Oficial'!A403))</f>
        <v/>
      </c>
      <c r="B403" s="6" t="str">
        <f>IF($A403="","",TRIM('Base Oficial'!B403))</f>
        <v/>
      </c>
      <c r="C403" s="6" t="str">
        <f>IF($A403="","",TRIM('Base Oficial'!F403))</f>
        <v/>
      </c>
      <c r="D403" s="6" t="str">
        <f>IF($A403="","",TRIM('Base Oficial'!G403))</f>
        <v/>
      </c>
      <c r="E403" s="6" t="str">
        <f>IF($A403="","",TRIM('Base Oficial'!D403))</f>
        <v/>
      </c>
      <c r="F403" s="4" t="str">
        <f>IF($A403="","",IF(COUNTIF('Base Exámenes'!$C$5:$C$1000, A403)&gt;0, "Completado", IF(M403&lt;&gt;"", M403, "Pendiente")))</f>
        <v/>
      </c>
      <c r="G403" s="11" t="str">
        <f>IF(F403="Completado", IFERROR(IF(INDEX('Base Exámenes'!$D$5:$D$1000, MATCH(A403&amp;"|"&amp;J403, 'Base Exámenes'!$I$5:$I$1000, 0))="", "", INDEX('Base Exámenes'!$D$5:$D$1000, MATCH(A403&amp;"|"&amp;J403, 'Base Exámenes'!$I$5:$I$1000, 0))), ""), "")</f>
        <v/>
      </c>
      <c r="H403" s="11" t="str">
        <f>IF(F403="Completado", IFERROR(IF(INDEX('Base Exámenes'!$E$5:$E$1000, MATCH(A403&amp;"|"&amp;J403, 'Base Exámenes'!$I$5:$I$1000, 0))="", "", INDEX('Base Exámenes'!$E$5:$E$1000, MATCH(A403&amp;"|"&amp;J403, 'Base Exámenes'!$I$5:$I$1000, 0))), ""), "")</f>
        <v/>
      </c>
      <c r="I403" s="10" t="str">
        <f>IF(F403="Completado", IFERROR(IF(INDEX('Base Exámenes'!$F$5:$F$1000, MATCH(A403&amp;"|"&amp;J403, 'Base Exámenes'!$I$5:$I$1000, 0))="", "", INDEX('Base Exámenes'!$F$5:$F$1000, MATCH(A403&amp;"|"&amp;J403, 'Base Exámenes'!$I$5:$I$1000, 0))), ""), "")</f>
        <v/>
      </c>
      <c r="J403" s="6" t="str">
        <f>IF(F403="Completado", IF(COUNTIFS('Base Exámenes'!$C$5:$C$1000, A403, 'Base Exámenes'!$G$5:$G$1000, "&lt;&gt;")=0, "", _xlfn.MAXIFS('Base Exámenes'!$G$5:$G$1000, 'Base Exámenes'!$C$5:$C$1000, A403)), "")</f>
        <v/>
      </c>
      <c r="K403" s="6" t="str">
        <f>IF(F403="Completado", IFERROR(IF(INDEX('Base Exámenes'!$H$5:$H$1000, MATCH(A403&amp;"|"&amp;J403, 'Base Exámenes'!$I$5:$I$1000, 0))="", "", INDEX('Base Exámenes'!$H$5:$H$1000, MATCH(A403&amp;"|"&amp;J403, 'Base Exámenes'!$I$5:$I$1000, 0))), ""), "")</f>
        <v/>
      </c>
      <c r="L403" s="22" t="str">
        <f>IF($A403="","",COUNTIF('Base Exámenes'!$C$5:$C$1000, A403))</f>
        <v/>
      </c>
      <c r="M403" s="6" t="str">
        <f>IF($A403="","",IF(COUNTIF('Base Exámenes'!$C$5:$C$1000, A403)&gt;0, "", TRIM('Base Oficial'!H403)))</f>
        <v/>
      </c>
    </row>
    <row r="404">
      <c r="A404" s="4" t="str">
        <f>IF('Base Oficial'!A404="","",TRIM('Base Oficial'!A404))</f>
        <v/>
      </c>
      <c r="B404" s="6" t="str">
        <f>IF($A404="","",TRIM('Base Oficial'!B404))</f>
        <v/>
      </c>
      <c r="C404" s="6" t="str">
        <f>IF($A404="","",TRIM('Base Oficial'!F404))</f>
        <v/>
      </c>
      <c r="D404" s="6" t="str">
        <f>IF($A404="","",TRIM('Base Oficial'!G404))</f>
        <v/>
      </c>
      <c r="E404" s="6" t="str">
        <f>IF($A404="","",TRIM('Base Oficial'!D404))</f>
        <v/>
      </c>
      <c r="F404" s="4" t="str">
        <f>IF($A404="","",IF(COUNTIF('Base Exámenes'!$C$5:$C$1000, A404)&gt;0, "Completado", IF(M404&lt;&gt;"", M404, "Pendiente")))</f>
        <v/>
      </c>
      <c r="G404" s="11" t="str">
        <f>IF(F404="Completado", IFERROR(IF(INDEX('Base Exámenes'!$D$5:$D$1000, MATCH(A404&amp;"|"&amp;J404, 'Base Exámenes'!$I$5:$I$1000, 0))="", "", INDEX('Base Exámenes'!$D$5:$D$1000, MATCH(A404&amp;"|"&amp;J404, 'Base Exámenes'!$I$5:$I$1000, 0))), ""), "")</f>
        <v/>
      </c>
      <c r="H404" s="11" t="str">
        <f>IF(F404="Completado", IFERROR(IF(INDEX('Base Exámenes'!$E$5:$E$1000, MATCH(A404&amp;"|"&amp;J404, 'Base Exámenes'!$I$5:$I$1000, 0))="", "", INDEX('Base Exámenes'!$E$5:$E$1000, MATCH(A404&amp;"|"&amp;J404, 'Base Exámenes'!$I$5:$I$1000, 0))), ""), "")</f>
        <v/>
      </c>
      <c r="I404" s="10" t="str">
        <f>IF(F404="Completado", IFERROR(IF(INDEX('Base Exámenes'!$F$5:$F$1000, MATCH(A404&amp;"|"&amp;J404, 'Base Exámenes'!$I$5:$I$1000, 0))="", "", INDEX('Base Exámenes'!$F$5:$F$1000, MATCH(A404&amp;"|"&amp;J404, 'Base Exámenes'!$I$5:$I$1000, 0))), ""), "")</f>
        <v/>
      </c>
      <c r="J404" s="6" t="str">
        <f>IF(F404="Completado", IF(COUNTIFS('Base Exámenes'!$C$5:$C$1000, A404, 'Base Exámenes'!$G$5:$G$1000, "&lt;&gt;")=0, "", _xlfn.MAXIFS('Base Exámenes'!$G$5:$G$1000, 'Base Exámenes'!$C$5:$C$1000, A404)), "")</f>
        <v/>
      </c>
      <c r="K404" s="6" t="str">
        <f>IF(F404="Completado", IFERROR(IF(INDEX('Base Exámenes'!$H$5:$H$1000, MATCH(A404&amp;"|"&amp;J404, 'Base Exámenes'!$I$5:$I$1000, 0))="", "", INDEX('Base Exámenes'!$H$5:$H$1000, MATCH(A404&amp;"|"&amp;J404, 'Base Exámenes'!$I$5:$I$1000, 0))), ""), "")</f>
        <v/>
      </c>
      <c r="L404" s="22" t="str">
        <f>IF($A404="","",COUNTIF('Base Exámenes'!$C$5:$C$1000, A404))</f>
        <v/>
      </c>
      <c r="M404" s="6" t="str">
        <f>IF($A404="","",IF(COUNTIF('Base Exámenes'!$C$5:$C$1000, A404)&gt;0, "", TRIM('Base Oficial'!H404)))</f>
        <v/>
      </c>
    </row>
    <row r="405">
      <c r="A405" s="4" t="str">
        <f>IF('Base Oficial'!A405="","",TRIM('Base Oficial'!A405))</f>
        <v/>
      </c>
      <c r="B405" s="6" t="str">
        <f>IF($A405="","",TRIM('Base Oficial'!B405))</f>
        <v/>
      </c>
      <c r="C405" s="6" t="str">
        <f>IF($A405="","",TRIM('Base Oficial'!F405))</f>
        <v/>
      </c>
      <c r="D405" s="6" t="str">
        <f>IF($A405="","",TRIM('Base Oficial'!G405))</f>
        <v/>
      </c>
      <c r="E405" s="6" t="str">
        <f>IF($A405="","",TRIM('Base Oficial'!D405))</f>
        <v/>
      </c>
      <c r="F405" s="4" t="str">
        <f>IF($A405="","",IF(COUNTIF('Base Exámenes'!$C$5:$C$1000, A405)&gt;0, "Completado", IF(M405&lt;&gt;"", M405, "Pendiente")))</f>
        <v/>
      </c>
      <c r="G405" s="11" t="str">
        <f>IF(F405="Completado", IFERROR(IF(INDEX('Base Exámenes'!$D$5:$D$1000, MATCH(A405&amp;"|"&amp;J405, 'Base Exámenes'!$I$5:$I$1000, 0))="", "", INDEX('Base Exámenes'!$D$5:$D$1000, MATCH(A405&amp;"|"&amp;J405, 'Base Exámenes'!$I$5:$I$1000, 0))), ""), "")</f>
        <v/>
      </c>
      <c r="H405" s="11" t="str">
        <f>IF(F405="Completado", IFERROR(IF(INDEX('Base Exámenes'!$E$5:$E$1000, MATCH(A405&amp;"|"&amp;J405, 'Base Exámenes'!$I$5:$I$1000, 0))="", "", INDEX('Base Exámenes'!$E$5:$E$1000, MATCH(A405&amp;"|"&amp;J405, 'Base Exámenes'!$I$5:$I$1000, 0))), ""), "")</f>
        <v/>
      </c>
      <c r="I405" s="10" t="str">
        <f>IF(F405="Completado", IFERROR(IF(INDEX('Base Exámenes'!$F$5:$F$1000, MATCH(A405&amp;"|"&amp;J405, 'Base Exámenes'!$I$5:$I$1000, 0))="", "", INDEX('Base Exámenes'!$F$5:$F$1000, MATCH(A405&amp;"|"&amp;J405, 'Base Exámenes'!$I$5:$I$1000, 0))), ""), "")</f>
        <v/>
      </c>
      <c r="J405" s="6" t="str">
        <f>IF(F405="Completado", IF(COUNTIFS('Base Exámenes'!$C$5:$C$1000, A405, 'Base Exámenes'!$G$5:$G$1000, "&lt;&gt;")=0, "", _xlfn.MAXIFS('Base Exámenes'!$G$5:$G$1000, 'Base Exámenes'!$C$5:$C$1000, A405)), "")</f>
        <v/>
      </c>
      <c r="K405" s="6" t="str">
        <f>IF(F405="Completado", IFERROR(IF(INDEX('Base Exámenes'!$H$5:$H$1000, MATCH(A405&amp;"|"&amp;J405, 'Base Exámenes'!$I$5:$I$1000, 0))="", "", INDEX('Base Exámenes'!$H$5:$H$1000, MATCH(A405&amp;"|"&amp;J405, 'Base Exámenes'!$I$5:$I$1000, 0))), ""), "")</f>
        <v/>
      </c>
      <c r="L405" s="22" t="str">
        <f>IF($A405="","",COUNTIF('Base Exámenes'!$C$5:$C$1000, A405))</f>
        <v/>
      </c>
      <c r="M405" s="6" t="str">
        <f>IF($A405="","",IF(COUNTIF('Base Exámenes'!$C$5:$C$1000, A405)&gt;0, "", TRIM('Base Oficial'!H405)))</f>
        <v/>
      </c>
    </row>
    <row r="406">
      <c r="A406" s="4" t="str">
        <f>IF('Base Oficial'!A406="","",TRIM('Base Oficial'!A406))</f>
        <v/>
      </c>
      <c r="B406" s="6" t="str">
        <f>IF($A406="","",TRIM('Base Oficial'!B406))</f>
        <v/>
      </c>
      <c r="C406" s="6" t="str">
        <f>IF($A406="","",TRIM('Base Oficial'!F406))</f>
        <v/>
      </c>
      <c r="D406" s="6" t="str">
        <f>IF($A406="","",TRIM('Base Oficial'!G406))</f>
        <v/>
      </c>
      <c r="E406" s="6" t="str">
        <f>IF($A406="","",TRIM('Base Oficial'!D406))</f>
        <v/>
      </c>
      <c r="F406" s="4" t="str">
        <f>IF($A406="","",IF(COUNTIF('Base Exámenes'!$C$5:$C$1000, A406)&gt;0, "Completado", IF(M406&lt;&gt;"", M406, "Pendiente")))</f>
        <v/>
      </c>
      <c r="G406" s="11" t="str">
        <f>IF(F406="Completado", IFERROR(IF(INDEX('Base Exámenes'!$D$5:$D$1000, MATCH(A406&amp;"|"&amp;J406, 'Base Exámenes'!$I$5:$I$1000, 0))="", "", INDEX('Base Exámenes'!$D$5:$D$1000, MATCH(A406&amp;"|"&amp;J406, 'Base Exámenes'!$I$5:$I$1000, 0))), ""), "")</f>
        <v/>
      </c>
      <c r="H406" s="11" t="str">
        <f>IF(F406="Completado", IFERROR(IF(INDEX('Base Exámenes'!$E$5:$E$1000, MATCH(A406&amp;"|"&amp;J406, 'Base Exámenes'!$I$5:$I$1000, 0))="", "", INDEX('Base Exámenes'!$E$5:$E$1000, MATCH(A406&amp;"|"&amp;J406, 'Base Exámenes'!$I$5:$I$1000, 0))), ""), "")</f>
        <v/>
      </c>
      <c r="I406" s="10" t="str">
        <f>IF(F406="Completado", IFERROR(IF(INDEX('Base Exámenes'!$F$5:$F$1000, MATCH(A406&amp;"|"&amp;J406, 'Base Exámenes'!$I$5:$I$1000, 0))="", "", INDEX('Base Exámenes'!$F$5:$F$1000, MATCH(A406&amp;"|"&amp;J406, 'Base Exámenes'!$I$5:$I$1000, 0))), ""), "")</f>
        <v/>
      </c>
      <c r="J406" s="6" t="str">
        <f>IF(F406="Completado", IF(COUNTIFS('Base Exámenes'!$C$5:$C$1000, A406, 'Base Exámenes'!$G$5:$G$1000, "&lt;&gt;")=0, "", _xlfn.MAXIFS('Base Exámenes'!$G$5:$G$1000, 'Base Exámenes'!$C$5:$C$1000, A406)), "")</f>
        <v/>
      </c>
      <c r="K406" s="6" t="str">
        <f>IF(F406="Completado", IFERROR(IF(INDEX('Base Exámenes'!$H$5:$H$1000, MATCH(A406&amp;"|"&amp;J406, 'Base Exámenes'!$I$5:$I$1000, 0))="", "", INDEX('Base Exámenes'!$H$5:$H$1000, MATCH(A406&amp;"|"&amp;J406, 'Base Exámenes'!$I$5:$I$1000, 0))), ""), "")</f>
        <v/>
      </c>
      <c r="L406" s="22" t="str">
        <f>IF($A406="","",COUNTIF('Base Exámenes'!$C$5:$C$1000, A406))</f>
        <v/>
      </c>
      <c r="M406" s="6" t="str">
        <f>IF($A406="","",IF(COUNTIF('Base Exámenes'!$C$5:$C$1000, A406)&gt;0, "", TRIM('Base Oficial'!H406)))</f>
        <v/>
      </c>
    </row>
    <row r="407">
      <c r="A407" s="4" t="str">
        <f>IF('Base Oficial'!A407="","",TRIM('Base Oficial'!A407))</f>
        <v/>
      </c>
      <c r="B407" s="6" t="str">
        <f>IF($A407="","",TRIM('Base Oficial'!B407))</f>
        <v/>
      </c>
      <c r="C407" s="6" t="str">
        <f>IF($A407="","",TRIM('Base Oficial'!F407))</f>
        <v/>
      </c>
      <c r="D407" s="6" t="str">
        <f>IF($A407="","",TRIM('Base Oficial'!G407))</f>
        <v/>
      </c>
      <c r="E407" s="6" t="str">
        <f>IF($A407="","",TRIM('Base Oficial'!D407))</f>
        <v/>
      </c>
      <c r="F407" s="4" t="str">
        <f>IF($A407="","",IF(COUNTIF('Base Exámenes'!$C$5:$C$1000, A407)&gt;0, "Completado", IF(M407&lt;&gt;"", M407, "Pendiente")))</f>
        <v/>
      </c>
      <c r="G407" s="11" t="str">
        <f>IF(F407="Completado", IFERROR(IF(INDEX('Base Exámenes'!$D$5:$D$1000, MATCH(A407&amp;"|"&amp;J407, 'Base Exámenes'!$I$5:$I$1000, 0))="", "", INDEX('Base Exámenes'!$D$5:$D$1000, MATCH(A407&amp;"|"&amp;J407, 'Base Exámenes'!$I$5:$I$1000, 0))), ""), "")</f>
        <v/>
      </c>
      <c r="H407" s="11" t="str">
        <f>IF(F407="Completado", IFERROR(IF(INDEX('Base Exámenes'!$E$5:$E$1000, MATCH(A407&amp;"|"&amp;J407, 'Base Exámenes'!$I$5:$I$1000, 0))="", "", INDEX('Base Exámenes'!$E$5:$E$1000, MATCH(A407&amp;"|"&amp;J407, 'Base Exámenes'!$I$5:$I$1000, 0))), ""), "")</f>
        <v/>
      </c>
      <c r="I407" s="10" t="str">
        <f>IF(F407="Completado", IFERROR(IF(INDEX('Base Exámenes'!$F$5:$F$1000, MATCH(A407&amp;"|"&amp;J407, 'Base Exámenes'!$I$5:$I$1000, 0))="", "", INDEX('Base Exámenes'!$F$5:$F$1000, MATCH(A407&amp;"|"&amp;J407, 'Base Exámenes'!$I$5:$I$1000, 0))), ""), "")</f>
        <v/>
      </c>
      <c r="J407" s="6" t="str">
        <f>IF(F407="Completado", IF(COUNTIFS('Base Exámenes'!$C$5:$C$1000, A407, 'Base Exámenes'!$G$5:$G$1000, "&lt;&gt;")=0, "", _xlfn.MAXIFS('Base Exámenes'!$G$5:$G$1000, 'Base Exámenes'!$C$5:$C$1000, A407)), "")</f>
        <v/>
      </c>
      <c r="K407" s="6" t="str">
        <f>IF(F407="Completado", IFERROR(IF(INDEX('Base Exámenes'!$H$5:$H$1000, MATCH(A407&amp;"|"&amp;J407, 'Base Exámenes'!$I$5:$I$1000, 0))="", "", INDEX('Base Exámenes'!$H$5:$H$1000, MATCH(A407&amp;"|"&amp;J407, 'Base Exámenes'!$I$5:$I$1000, 0))), ""), "")</f>
        <v/>
      </c>
      <c r="L407" s="22" t="str">
        <f>IF($A407="","",COUNTIF('Base Exámenes'!$C$5:$C$1000, A407))</f>
        <v/>
      </c>
      <c r="M407" s="6" t="str">
        <f>IF($A407="","",IF(COUNTIF('Base Exámenes'!$C$5:$C$1000, A407)&gt;0, "", TRIM('Base Oficial'!H407)))</f>
        <v/>
      </c>
    </row>
    <row r="408">
      <c r="A408" s="4" t="str">
        <f>IF('Base Oficial'!A408="","",TRIM('Base Oficial'!A408))</f>
        <v/>
      </c>
      <c r="B408" s="6" t="str">
        <f>IF($A408="","",TRIM('Base Oficial'!B408))</f>
        <v/>
      </c>
      <c r="C408" s="6" t="str">
        <f>IF($A408="","",TRIM('Base Oficial'!F408))</f>
        <v/>
      </c>
      <c r="D408" s="6" t="str">
        <f>IF($A408="","",TRIM('Base Oficial'!G408))</f>
        <v/>
      </c>
      <c r="E408" s="6" t="str">
        <f>IF($A408="","",TRIM('Base Oficial'!D408))</f>
        <v/>
      </c>
      <c r="F408" s="4" t="str">
        <f>IF($A408="","",IF(COUNTIF('Base Exámenes'!$C$5:$C$1000, A408)&gt;0, "Completado", IF(M408&lt;&gt;"", M408, "Pendiente")))</f>
        <v/>
      </c>
      <c r="G408" s="11" t="str">
        <f>IF(F408="Completado", IFERROR(IF(INDEX('Base Exámenes'!$D$5:$D$1000, MATCH(A408&amp;"|"&amp;J408, 'Base Exámenes'!$I$5:$I$1000, 0))="", "", INDEX('Base Exámenes'!$D$5:$D$1000, MATCH(A408&amp;"|"&amp;J408, 'Base Exámenes'!$I$5:$I$1000, 0))), ""), "")</f>
        <v/>
      </c>
      <c r="H408" s="11" t="str">
        <f>IF(F408="Completado", IFERROR(IF(INDEX('Base Exámenes'!$E$5:$E$1000, MATCH(A408&amp;"|"&amp;J408, 'Base Exámenes'!$I$5:$I$1000, 0))="", "", INDEX('Base Exámenes'!$E$5:$E$1000, MATCH(A408&amp;"|"&amp;J408, 'Base Exámenes'!$I$5:$I$1000, 0))), ""), "")</f>
        <v/>
      </c>
      <c r="I408" s="10" t="str">
        <f>IF(F408="Completado", IFERROR(IF(INDEX('Base Exámenes'!$F$5:$F$1000, MATCH(A408&amp;"|"&amp;J408, 'Base Exámenes'!$I$5:$I$1000, 0))="", "", INDEX('Base Exámenes'!$F$5:$F$1000, MATCH(A408&amp;"|"&amp;J408, 'Base Exámenes'!$I$5:$I$1000, 0))), ""), "")</f>
        <v/>
      </c>
      <c r="J408" s="6" t="str">
        <f>IF(F408="Completado", IF(COUNTIFS('Base Exámenes'!$C$5:$C$1000, A408, 'Base Exámenes'!$G$5:$G$1000, "&lt;&gt;")=0, "", _xlfn.MAXIFS('Base Exámenes'!$G$5:$G$1000, 'Base Exámenes'!$C$5:$C$1000, A408)), "")</f>
        <v/>
      </c>
      <c r="K408" s="6" t="str">
        <f>IF(F408="Completado", IFERROR(IF(INDEX('Base Exámenes'!$H$5:$H$1000, MATCH(A408&amp;"|"&amp;J408, 'Base Exámenes'!$I$5:$I$1000, 0))="", "", INDEX('Base Exámenes'!$H$5:$H$1000, MATCH(A408&amp;"|"&amp;J408, 'Base Exámenes'!$I$5:$I$1000, 0))), ""), "")</f>
        <v/>
      </c>
      <c r="L408" s="22" t="str">
        <f>IF($A408="","",COUNTIF('Base Exámenes'!$C$5:$C$1000, A408))</f>
        <v/>
      </c>
      <c r="M408" s="6" t="str">
        <f>IF($A408="","",IF(COUNTIF('Base Exámenes'!$C$5:$C$1000, A408)&gt;0, "", TRIM('Base Oficial'!H408)))</f>
        <v/>
      </c>
    </row>
    <row r="409">
      <c r="A409" s="4" t="str">
        <f>IF('Base Oficial'!A409="","",TRIM('Base Oficial'!A409))</f>
        <v/>
      </c>
      <c r="B409" s="6" t="str">
        <f>IF($A409="","",TRIM('Base Oficial'!B409))</f>
        <v/>
      </c>
      <c r="C409" s="6" t="str">
        <f>IF($A409="","",TRIM('Base Oficial'!F409))</f>
        <v/>
      </c>
      <c r="D409" s="6" t="str">
        <f>IF($A409="","",TRIM('Base Oficial'!G409))</f>
        <v/>
      </c>
      <c r="E409" s="6" t="str">
        <f>IF($A409="","",TRIM('Base Oficial'!D409))</f>
        <v/>
      </c>
      <c r="F409" s="4" t="str">
        <f>IF($A409="","",IF(COUNTIF('Base Exámenes'!$C$5:$C$1000, A409)&gt;0, "Completado", IF(M409&lt;&gt;"", M409, "Pendiente")))</f>
        <v/>
      </c>
      <c r="G409" s="11" t="str">
        <f>IF(F409="Completado", IFERROR(IF(INDEX('Base Exámenes'!$D$5:$D$1000, MATCH(A409&amp;"|"&amp;J409, 'Base Exámenes'!$I$5:$I$1000, 0))="", "", INDEX('Base Exámenes'!$D$5:$D$1000, MATCH(A409&amp;"|"&amp;J409, 'Base Exámenes'!$I$5:$I$1000, 0))), ""), "")</f>
        <v/>
      </c>
      <c r="H409" s="11" t="str">
        <f>IF(F409="Completado", IFERROR(IF(INDEX('Base Exámenes'!$E$5:$E$1000, MATCH(A409&amp;"|"&amp;J409, 'Base Exámenes'!$I$5:$I$1000, 0))="", "", INDEX('Base Exámenes'!$E$5:$E$1000, MATCH(A409&amp;"|"&amp;J409, 'Base Exámenes'!$I$5:$I$1000, 0))), ""), "")</f>
        <v/>
      </c>
      <c r="I409" s="10" t="str">
        <f>IF(F409="Completado", IFERROR(IF(INDEX('Base Exámenes'!$F$5:$F$1000, MATCH(A409&amp;"|"&amp;J409, 'Base Exámenes'!$I$5:$I$1000, 0))="", "", INDEX('Base Exámenes'!$F$5:$F$1000, MATCH(A409&amp;"|"&amp;J409, 'Base Exámenes'!$I$5:$I$1000, 0))), ""), "")</f>
        <v/>
      </c>
      <c r="J409" s="6" t="str">
        <f>IF(F409="Completado", IF(COUNTIFS('Base Exámenes'!$C$5:$C$1000, A409, 'Base Exámenes'!$G$5:$G$1000, "&lt;&gt;")=0, "", _xlfn.MAXIFS('Base Exámenes'!$G$5:$G$1000, 'Base Exámenes'!$C$5:$C$1000, A409)), "")</f>
        <v/>
      </c>
      <c r="K409" s="6" t="str">
        <f>IF(F409="Completado", IFERROR(IF(INDEX('Base Exámenes'!$H$5:$H$1000, MATCH(A409&amp;"|"&amp;J409, 'Base Exámenes'!$I$5:$I$1000, 0))="", "", INDEX('Base Exámenes'!$H$5:$H$1000, MATCH(A409&amp;"|"&amp;J409, 'Base Exámenes'!$I$5:$I$1000, 0))), ""), "")</f>
        <v/>
      </c>
      <c r="L409" s="22" t="str">
        <f>IF($A409="","",COUNTIF('Base Exámenes'!$C$5:$C$1000, A409))</f>
        <v/>
      </c>
      <c r="M409" s="6" t="str">
        <f>IF($A409="","",IF(COUNTIF('Base Exámenes'!$C$5:$C$1000, A409)&gt;0, "", TRIM('Base Oficial'!H409)))</f>
        <v/>
      </c>
    </row>
    <row r="410">
      <c r="A410" s="4" t="str">
        <f>IF('Base Oficial'!A410="","",TRIM('Base Oficial'!A410))</f>
        <v/>
      </c>
      <c r="B410" s="6" t="str">
        <f>IF($A410="","",TRIM('Base Oficial'!B410))</f>
        <v/>
      </c>
      <c r="C410" s="6" t="str">
        <f>IF($A410="","",TRIM('Base Oficial'!F410))</f>
        <v/>
      </c>
      <c r="D410" s="6" t="str">
        <f>IF($A410="","",TRIM('Base Oficial'!G410))</f>
        <v/>
      </c>
      <c r="E410" s="6" t="str">
        <f>IF($A410="","",TRIM('Base Oficial'!D410))</f>
        <v/>
      </c>
      <c r="F410" s="4" t="str">
        <f>IF($A410="","",IF(COUNTIF('Base Exámenes'!$C$5:$C$1000, A410)&gt;0, "Completado", IF(M410&lt;&gt;"", M410, "Pendiente")))</f>
        <v/>
      </c>
      <c r="G410" s="11" t="str">
        <f>IF(F410="Completado", IFERROR(IF(INDEX('Base Exámenes'!$D$5:$D$1000, MATCH(A410&amp;"|"&amp;J410, 'Base Exámenes'!$I$5:$I$1000, 0))="", "", INDEX('Base Exámenes'!$D$5:$D$1000, MATCH(A410&amp;"|"&amp;J410, 'Base Exámenes'!$I$5:$I$1000, 0))), ""), "")</f>
        <v/>
      </c>
      <c r="H410" s="11" t="str">
        <f>IF(F410="Completado", IFERROR(IF(INDEX('Base Exámenes'!$E$5:$E$1000, MATCH(A410&amp;"|"&amp;J410, 'Base Exámenes'!$I$5:$I$1000, 0))="", "", INDEX('Base Exámenes'!$E$5:$E$1000, MATCH(A410&amp;"|"&amp;J410, 'Base Exámenes'!$I$5:$I$1000, 0))), ""), "")</f>
        <v/>
      </c>
      <c r="I410" s="10" t="str">
        <f>IF(F410="Completado", IFERROR(IF(INDEX('Base Exámenes'!$F$5:$F$1000, MATCH(A410&amp;"|"&amp;J410, 'Base Exámenes'!$I$5:$I$1000, 0))="", "", INDEX('Base Exámenes'!$F$5:$F$1000, MATCH(A410&amp;"|"&amp;J410, 'Base Exámenes'!$I$5:$I$1000, 0))), ""), "")</f>
        <v/>
      </c>
      <c r="J410" s="6" t="str">
        <f>IF(F410="Completado", IF(COUNTIFS('Base Exámenes'!$C$5:$C$1000, A410, 'Base Exámenes'!$G$5:$G$1000, "&lt;&gt;")=0, "", _xlfn.MAXIFS('Base Exámenes'!$G$5:$G$1000, 'Base Exámenes'!$C$5:$C$1000, A410)), "")</f>
        <v/>
      </c>
      <c r="K410" s="6" t="str">
        <f>IF(F410="Completado", IFERROR(IF(INDEX('Base Exámenes'!$H$5:$H$1000, MATCH(A410&amp;"|"&amp;J410, 'Base Exámenes'!$I$5:$I$1000, 0))="", "", INDEX('Base Exámenes'!$H$5:$H$1000, MATCH(A410&amp;"|"&amp;J410, 'Base Exámenes'!$I$5:$I$1000, 0))), ""), "")</f>
        <v/>
      </c>
      <c r="L410" s="22" t="str">
        <f>IF($A410="","",COUNTIF('Base Exámenes'!$C$5:$C$1000, A410))</f>
        <v/>
      </c>
      <c r="M410" s="6" t="str">
        <f>IF($A410="","",IF(COUNTIF('Base Exámenes'!$C$5:$C$1000, A410)&gt;0, "", TRIM('Base Oficial'!H410)))</f>
        <v/>
      </c>
    </row>
    <row r="411">
      <c r="A411" s="4" t="str">
        <f>IF('Base Oficial'!A411="","",TRIM('Base Oficial'!A411))</f>
        <v/>
      </c>
      <c r="B411" s="6" t="str">
        <f>IF($A411="","",TRIM('Base Oficial'!B411))</f>
        <v/>
      </c>
      <c r="C411" s="6" t="str">
        <f>IF($A411="","",TRIM('Base Oficial'!F411))</f>
        <v/>
      </c>
      <c r="D411" s="6" t="str">
        <f>IF($A411="","",TRIM('Base Oficial'!G411))</f>
        <v/>
      </c>
      <c r="E411" s="6" t="str">
        <f>IF($A411="","",TRIM('Base Oficial'!D411))</f>
        <v/>
      </c>
      <c r="F411" s="4" t="str">
        <f>IF($A411="","",IF(COUNTIF('Base Exámenes'!$C$5:$C$1000, A411)&gt;0, "Completado", IF(M411&lt;&gt;"", M411, "Pendiente")))</f>
        <v/>
      </c>
      <c r="G411" s="11" t="str">
        <f>IF(F411="Completado", IFERROR(IF(INDEX('Base Exámenes'!$D$5:$D$1000, MATCH(A411&amp;"|"&amp;J411, 'Base Exámenes'!$I$5:$I$1000, 0))="", "", INDEX('Base Exámenes'!$D$5:$D$1000, MATCH(A411&amp;"|"&amp;J411, 'Base Exámenes'!$I$5:$I$1000, 0))), ""), "")</f>
        <v/>
      </c>
      <c r="H411" s="11" t="str">
        <f>IF(F411="Completado", IFERROR(IF(INDEX('Base Exámenes'!$E$5:$E$1000, MATCH(A411&amp;"|"&amp;J411, 'Base Exámenes'!$I$5:$I$1000, 0))="", "", INDEX('Base Exámenes'!$E$5:$E$1000, MATCH(A411&amp;"|"&amp;J411, 'Base Exámenes'!$I$5:$I$1000, 0))), ""), "")</f>
        <v/>
      </c>
      <c r="I411" s="10" t="str">
        <f>IF(F411="Completado", IFERROR(IF(INDEX('Base Exámenes'!$F$5:$F$1000, MATCH(A411&amp;"|"&amp;J411, 'Base Exámenes'!$I$5:$I$1000, 0))="", "", INDEX('Base Exámenes'!$F$5:$F$1000, MATCH(A411&amp;"|"&amp;J411, 'Base Exámenes'!$I$5:$I$1000, 0))), ""), "")</f>
        <v/>
      </c>
      <c r="J411" s="6" t="str">
        <f>IF(F411="Completado", IF(COUNTIFS('Base Exámenes'!$C$5:$C$1000, A411, 'Base Exámenes'!$G$5:$G$1000, "&lt;&gt;")=0, "", _xlfn.MAXIFS('Base Exámenes'!$G$5:$G$1000, 'Base Exámenes'!$C$5:$C$1000, A411)), "")</f>
        <v/>
      </c>
      <c r="K411" s="6" t="str">
        <f>IF(F411="Completado", IFERROR(IF(INDEX('Base Exámenes'!$H$5:$H$1000, MATCH(A411&amp;"|"&amp;J411, 'Base Exámenes'!$I$5:$I$1000, 0))="", "", INDEX('Base Exámenes'!$H$5:$H$1000, MATCH(A411&amp;"|"&amp;J411, 'Base Exámenes'!$I$5:$I$1000, 0))), ""), "")</f>
        <v/>
      </c>
      <c r="L411" s="22" t="str">
        <f>IF($A411="","",COUNTIF('Base Exámenes'!$C$5:$C$1000, A411))</f>
        <v/>
      </c>
      <c r="M411" s="6" t="str">
        <f>IF($A411="","",IF(COUNTIF('Base Exámenes'!$C$5:$C$1000, A411)&gt;0, "", TRIM('Base Oficial'!H411)))</f>
        <v/>
      </c>
    </row>
    <row r="412">
      <c r="A412" s="4" t="str">
        <f>IF('Base Oficial'!A412="","",TRIM('Base Oficial'!A412))</f>
        <v/>
      </c>
      <c r="B412" s="6" t="str">
        <f>IF($A412="","",TRIM('Base Oficial'!B412))</f>
        <v/>
      </c>
      <c r="C412" s="6" t="str">
        <f>IF($A412="","",TRIM('Base Oficial'!F412))</f>
        <v/>
      </c>
      <c r="D412" s="6" t="str">
        <f>IF($A412="","",TRIM('Base Oficial'!G412))</f>
        <v/>
      </c>
      <c r="E412" s="6" t="str">
        <f>IF($A412="","",TRIM('Base Oficial'!D412))</f>
        <v/>
      </c>
      <c r="F412" s="4" t="str">
        <f>IF($A412="","",IF(COUNTIF('Base Exámenes'!$C$5:$C$1000, A412)&gt;0, "Completado", IF(M412&lt;&gt;"", M412, "Pendiente")))</f>
        <v/>
      </c>
      <c r="G412" s="11" t="str">
        <f>IF(F412="Completado", IFERROR(IF(INDEX('Base Exámenes'!$D$5:$D$1000, MATCH(A412&amp;"|"&amp;J412, 'Base Exámenes'!$I$5:$I$1000, 0))="", "", INDEX('Base Exámenes'!$D$5:$D$1000, MATCH(A412&amp;"|"&amp;J412, 'Base Exámenes'!$I$5:$I$1000, 0))), ""), "")</f>
        <v/>
      </c>
      <c r="H412" s="11" t="str">
        <f>IF(F412="Completado", IFERROR(IF(INDEX('Base Exámenes'!$E$5:$E$1000, MATCH(A412&amp;"|"&amp;J412, 'Base Exámenes'!$I$5:$I$1000, 0))="", "", INDEX('Base Exámenes'!$E$5:$E$1000, MATCH(A412&amp;"|"&amp;J412, 'Base Exámenes'!$I$5:$I$1000, 0))), ""), "")</f>
        <v/>
      </c>
      <c r="I412" s="10" t="str">
        <f>IF(F412="Completado", IFERROR(IF(INDEX('Base Exámenes'!$F$5:$F$1000, MATCH(A412&amp;"|"&amp;J412, 'Base Exámenes'!$I$5:$I$1000, 0))="", "", INDEX('Base Exámenes'!$F$5:$F$1000, MATCH(A412&amp;"|"&amp;J412, 'Base Exámenes'!$I$5:$I$1000, 0))), ""), "")</f>
        <v/>
      </c>
      <c r="J412" s="6" t="str">
        <f>IF(F412="Completado", IF(COUNTIFS('Base Exámenes'!$C$5:$C$1000, A412, 'Base Exámenes'!$G$5:$G$1000, "&lt;&gt;")=0, "", _xlfn.MAXIFS('Base Exámenes'!$G$5:$G$1000, 'Base Exámenes'!$C$5:$C$1000, A412)), "")</f>
        <v/>
      </c>
      <c r="K412" s="6" t="str">
        <f>IF(F412="Completado", IFERROR(IF(INDEX('Base Exámenes'!$H$5:$H$1000, MATCH(A412&amp;"|"&amp;J412, 'Base Exámenes'!$I$5:$I$1000, 0))="", "", INDEX('Base Exámenes'!$H$5:$H$1000, MATCH(A412&amp;"|"&amp;J412, 'Base Exámenes'!$I$5:$I$1000, 0))), ""), "")</f>
        <v/>
      </c>
      <c r="L412" s="22" t="str">
        <f>IF($A412="","",COUNTIF('Base Exámenes'!$C$5:$C$1000, A412))</f>
        <v/>
      </c>
      <c r="M412" s="6" t="str">
        <f>IF($A412="","",IF(COUNTIF('Base Exámenes'!$C$5:$C$1000, A412)&gt;0, "", TRIM('Base Oficial'!H412)))</f>
        <v/>
      </c>
    </row>
    <row r="413">
      <c r="A413" s="4" t="str">
        <f>IF('Base Oficial'!A413="","",TRIM('Base Oficial'!A413))</f>
        <v/>
      </c>
      <c r="B413" s="6" t="str">
        <f>IF($A413="","",TRIM('Base Oficial'!B413))</f>
        <v/>
      </c>
      <c r="C413" s="6" t="str">
        <f>IF($A413="","",TRIM('Base Oficial'!F413))</f>
        <v/>
      </c>
      <c r="D413" s="6" t="str">
        <f>IF($A413="","",TRIM('Base Oficial'!G413))</f>
        <v/>
      </c>
      <c r="E413" s="6" t="str">
        <f>IF($A413="","",TRIM('Base Oficial'!D413))</f>
        <v/>
      </c>
      <c r="F413" s="4" t="str">
        <f>IF($A413="","",IF(COUNTIF('Base Exámenes'!$C$5:$C$1000, A413)&gt;0, "Completado", IF(M413&lt;&gt;"", M413, "Pendiente")))</f>
        <v/>
      </c>
      <c r="G413" s="11" t="str">
        <f>IF(F413="Completado", IFERROR(IF(INDEX('Base Exámenes'!$D$5:$D$1000, MATCH(A413&amp;"|"&amp;J413, 'Base Exámenes'!$I$5:$I$1000, 0))="", "", INDEX('Base Exámenes'!$D$5:$D$1000, MATCH(A413&amp;"|"&amp;J413, 'Base Exámenes'!$I$5:$I$1000, 0))), ""), "")</f>
        <v/>
      </c>
      <c r="H413" s="11" t="str">
        <f>IF(F413="Completado", IFERROR(IF(INDEX('Base Exámenes'!$E$5:$E$1000, MATCH(A413&amp;"|"&amp;J413, 'Base Exámenes'!$I$5:$I$1000, 0))="", "", INDEX('Base Exámenes'!$E$5:$E$1000, MATCH(A413&amp;"|"&amp;J413, 'Base Exámenes'!$I$5:$I$1000, 0))), ""), "")</f>
        <v/>
      </c>
      <c r="I413" s="10" t="str">
        <f>IF(F413="Completado", IFERROR(IF(INDEX('Base Exámenes'!$F$5:$F$1000, MATCH(A413&amp;"|"&amp;J413, 'Base Exámenes'!$I$5:$I$1000, 0))="", "", INDEX('Base Exámenes'!$F$5:$F$1000, MATCH(A413&amp;"|"&amp;J413, 'Base Exámenes'!$I$5:$I$1000, 0))), ""), "")</f>
        <v/>
      </c>
      <c r="J413" s="6" t="str">
        <f>IF(F413="Completado", IF(COUNTIFS('Base Exámenes'!$C$5:$C$1000, A413, 'Base Exámenes'!$G$5:$G$1000, "&lt;&gt;")=0, "", _xlfn.MAXIFS('Base Exámenes'!$G$5:$G$1000, 'Base Exámenes'!$C$5:$C$1000, A413)), "")</f>
        <v/>
      </c>
      <c r="K413" s="6" t="str">
        <f>IF(F413="Completado", IFERROR(IF(INDEX('Base Exámenes'!$H$5:$H$1000, MATCH(A413&amp;"|"&amp;J413, 'Base Exámenes'!$I$5:$I$1000, 0))="", "", INDEX('Base Exámenes'!$H$5:$H$1000, MATCH(A413&amp;"|"&amp;J413, 'Base Exámenes'!$I$5:$I$1000, 0))), ""), "")</f>
        <v/>
      </c>
      <c r="L413" s="22" t="str">
        <f>IF($A413="","",COUNTIF('Base Exámenes'!$C$5:$C$1000, A413))</f>
        <v/>
      </c>
      <c r="M413" s="6" t="str">
        <f>IF($A413="","",IF(COUNTIF('Base Exámenes'!$C$5:$C$1000, A413)&gt;0, "", TRIM('Base Oficial'!H413)))</f>
        <v/>
      </c>
    </row>
    <row r="414">
      <c r="A414" s="4" t="str">
        <f>IF('Base Oficial'!A414="","",TRIM('Base Oficial'!A414))</f>
        <v/>
      </c>
      <c r="B414" s="6" t="str">
        <f>IF($A414="","",TRIM('Base Oficial'!B414))</f>
        <v/>
      </c>
      <c r="C414" s="6" t="str">
        <f>IF($A414="","",TRIM('Base Oficial'!F414))</f>
        <v/>
      </c>
      <c r="D414" s="6" t="str">
        <f>IF($A414="","",TRIM('Base Oficial'!G414))</f>
        <v/>
      </c>
      <c r="E414" s="6" t="str">
        <f>IF($A414="","",TRIM('Base Oficial'!D414))</f>
        <v/>
      </c>
      <c r="F414" s="4" t="str">
        <f>IF($A414="","",IF(COUNTIF('Base Exámenes'!$C$5:$C$1000, A414)&gt;0, "Completado", IF(M414&lt;&gt;"", M414, "Pendiente")))</f>
        <v/>
      </c>
      <c r="G414" s="11" t="str">
        <f>IF(F414="Completado", IFERROR(IF(INDEX('Base Exámenes'!$D$5:$D$1000, MATCH(A414&amp;"|"&amp;J414, 'Base Exámenes'!$I$5:$I$1000, 0))="", "", INDEX('Base Exámenes'!$D$5:$D$1000, MATCH(A414&amp;"|"&amp;J414, 'Base Exámenes'!$I$5:$I$1000, 0))), ""), "")</f>
        <v/>
      </c>
      <c r="H414" s="11" t="str">
        <f>IF(F414="Completado", IFERROR(IF(INDEX('Base Exámenes'!$E$5:$E$1000, MATCH(A414&amp;"|"&amp;J414, 'Base Exámenes'!$I$5:$I$1000, 0))="", "", INDEX('Base Exámenes'!$E$5:$E$1000, MATCH(A414&amp;"|"&amp;J414, 'Base Exámenes'!$I$5:$I$1000, 0))), ""), "")</f>
        <v/>
      </c>
      <c r="I414" s="10" t="str">
        <f>IF(F414="Completado", IFERROR(IF(INDEX('Base Exámenes'!$F$5:$F$1000, MATCH(A414&amp;"|"&amp;J414, 'Base Exámenes'!$I$5:$I$1000, 0))="", "", INDEX('Base Exámenes'!$F$5:$F$1000, MATCH(A414&amp;"|"&amp;J414, 'Base Exámenes'!$I$5:$I$1000, 0))), ""), "")</f>
        <v/>
      </c>
      <c r="J414" s="6" t="str">
        <f>IF(F414="Completado", IF(COUNTIFS('Base Exámenes'!$C$5:$C$1000, A414, 'Base Exámenes'!$G$5:$G$1000, "&lt;&gt;")=0, "", _xlfn.MAXIFS('Base Exámenes'!$G$5:$G$1000, 'Base Exámenes'!$C$5:$C$1000, A414)), "")</f>
        <v/>
      </c>
      <c r="K414" s="6" t="str">
        <f>IF(F414="Completado", IFERROR(IF(INDEX('Base Exámenes'!$H$5:$H$1000, MATCH(A414&amp;"|"&amp;J414, 'Base Exámenes'!$I$5:$I$1000, 0))="", "", INDEX('Base Exámenes'!$H$5:$H$1000, MATCH(A414&amp;"|"&amp;J414, 'Base Exámenes'!$I$5:$I$1000, 0))), ""), "")</f>
        <v/>
      </c>
      <c r="L414" s="22" t="str">
        <f>IF($A414="","",COUNTIF('Base Exámenes'!$C$5:$C$1000, A414))</f>
        <v/>
      </c>
      <c r="M414" s="6" t="str">
        <f>IF($A414="","",IF(COUNTIF('Base Exámenes'!$C$5:$C$1000, A414)&gt;0, "", TRIM('Base Oficial'!H414)))</f>
        <v/>
      </c>
    </row>
    <row r="415">
      <c r="A415" s="4" t="str">
        <f>IF('Base Oficial'!A415="","",TRIM('Base Oficial'!A415))</f>
        <v/>
      </c>
      <c r="B415" s="6" t="str">
        <f>IF($A415="","",TRIM('Base Oficial'!B415))</f>
        <v/>
      </c>
      <c r="C415" s="6" t="str">
        <f>IF($A415="","",TRIM('Base Oficial'!F415))</f>
        <v/>
      </c>
      <c r="D415" s="6" t="str">
        <f>IF($A415="","",TRIM('Base Oficial'!G415))</f>
        <v/>
      </c>
      <c r="E415" s="6" t="str">
        <f>IF($A415="","",TRIM('Base Oficial'!D415))</f>
        <v/>
      </c>
      <c r="F415" s="4" t="str">
        <f>IF($A415="","",IF(COUNTIF('Base Exámenes'!$C$5:$C$1000, A415)&gt;0, "Completado", IF(M415&lt;&gt;"", M415, "Pendiente")))</f>
        <v/>
      </c>
      <c r="G415" s="11" t="str">
        <f>IF(F415="Completado", IFERROR(IF(INDEX('Base Exámenes'!$D$5:$D$1000, MATCH(A415&amp;"|"&amp;J415, 'Base Exámenes'!$I$5:$I$1000, 0))="", "", INDEX('Base Exámenes'!$D$5:$D$1000, MATCH(A415&amp;"|"&amp;J415, 'Base Exámenes'!$I$5:$I$1000, 0))), ""), "")</f>
        <v/>
      </c>
      <c r="H415" s="11" t="str">
        <f>IF(F415="Completado", IFERROR(IF(INDEX('Base Exámenes'!$E$5:$E$1000, MATCH(A415&amp;"|"&amp;J415, 'Base Exámenes'!$I$5:$I$1000, 0))="", "", INDEX('Base Exámenes'!$E$5:$E$1000, MATCH(A415&amp;"|"&amp;J415, 'Base Exámenes'!$I$5:$I$1000, 0))), ""), "")</f>
        <v/>
      </c>
      <c r="I415" s="10" t="str">
        <f>IF(F415="Completado", IFERROR(IF(INDEX('Base Exámenes'!$F$5:$F$1000, MATCH(A415&amp;"|"&amp;J415, 'Base Exámenes'!$I$5:$I$1000, 0))="", "", INDEX('Base Exámenes'!$F$5:$F$1000, MATCH(A415&amp;"|"&amp;J415, 'Base Exámenes'!$I$5:$I$1000, 0))), ""), "")</f>
        <v/>
      </c>
      <c r="J415" s="6" t="str">
        <f>IF(F415="Completado", IF(COUNTIFS('Base Exámenes'!$C$5:$C$1000, A415, 'Base Exámenes'!$G$5:$G$1000, "&lt;&gt;")=0, "", _xlfn.MAXIFS('Base Exámenes'!$G$5:$G$1000, 'Base Exámenes'!$C$5:$C$1000, A415)), "")</f>
        <v/>
      </c>
      <c r="K415" s="6" t="str">
        <f>IF(F415="Completado", IFERROR(IF(INDEX('Base Exámenes'!$H$5:$H$1000, MATCH(A415&amp;"|"&amp;J415, 'Base Exámenes'!$I$5:$I$1000, 0))="", "", INDEX('Base Exámenes'!$H$5:$H$1000, MATCH(A415&amp;"|"&amp;J415, 'Base Exámenes'!$I$5:$I$1000, 0))), ""), "")</f>
        <v/>
      </c>
      <c r="L415" s="22" t="str">
        <f>IF($A415="","",COUNTIF('Base Exámenes'!$C$5:$C$1000, A415))</f>
        <v/>
      </c>
      <c r="M415" s="6" t="str">
        <f>IF($A415="","",IF(COUNTIF('Base Exámenes'!$C$5:$C$1000, A415)&gt;0, "", TRIM('Base Oficial'!H415)))</f>
        <v/>
      </c>
    </row>
    <row r="416">
      <c r="A416" s="4" t="str">
        <f>IF('Base Oficial'!A416="","",TRIM('Base Oficial'!A416))</f>
        <v/>
      </c>
      <c r="B416" s="6" t="str">
        <f>IF($A416="","",TRIM('Base Oficial'!B416))</f>
        <v/>
      </c>
      <c r="C416" s="6" t="str">
        <f>IF($A416="","",TRIM('Base Oficial'!F416))</f>
        <v/>
      </c>
      <c r="D416" s="6" t="str">
        <f>IF($A416="","",TRIM('Base Oficial'!G416))</f>
        <v/>
      </c>
      <c r="E416" s="6" t="str">
        <f>IF($A416="","",TRIM('Base Oficial'!D416))</f>
        <v/>
      </c>
      <c r="F416" s="4" t="str">
        <f>IF($A416="","",IF(COUNTIF('Base Exámenes'!$C$5:$C$1000, A416)&gt;0, "Completado", IF(M416&lt;&gt;"", M416, "Pendiente")))</f>
        <v/>
      </c>
      <c r="G416" s="11" t="str">
        <f>IF(F416="Completado", IFERROR(IF(INDEX('Base Exámenes'!$D$5:$D$1000, MATCH(A416&amp;"|"&amp;J416, 'Base Exámenes'!$I$5:$I$1000, 0))="", "", INDEX('Base Exámenes'!$D$5:$D$1000, MATCH(A416&amp;"|"&amp;J416, 'Base Exámenes'!$I$5:$I$1000, 0))), ""), "")</f>
        <v/>
      </c>
      <c r="H416" s="11" t="str">
        <f>IF(F416="Completado", IFERROR(IF(INDEX('Base Exámenes'!$E$5:$E$1000, MATCH(A416&amp;"|"&amp;J416, 'Base Exámenes'!$I$5:$I$1000, 0))="", "", INDEX('Base Exámenes'!$E$5:$E$1000, MATCH(A416&amp;"|"&amp;J416, 'Base Exámenes'!$I$5:$I$1000, 0))), ""), "")</f>
        <v/>
      </c>
      <c r="I416" s="10" t="str">
        <f>IF(F416="Completado", IFERROR(IF(INDEX('Base Exámenes'!$F$5:$F$1000, MATCH(A416&amp;"|"&amp;J416, 'Base Exámenes'!$I$5:$I$1000, 0))="", "", INDEX('Base Exámenes'!$F$5:$F$1000, MATCH(A416&amp;"|"&amp;J416, 'Base Exámenes'!$I$5:$I$1000, 0))), ""), "")</f>
        <v/>
      </c>
      <c r="J416" s="6" t="str">
        <f>IF(F416="Completado", IF(COUNTIFS('Base Exámenes'!$C$5:$C$1000, A416, 'Base Exámenes'!$G$5:$G$1000, "&lt;&gt;")=0, "", _xlfn.MAXIFS('Base Exámenes'!$G$5:$G$1000, 'Base Exámenes'!$C$5:$C$1000, A416)), "")</f>
        <v/>
      </c>
      <c r="K416" s="6" t="str">
        <f>IF(F416="Completado", IFERROR(IF(INDEX('Base Exámenes'!$H$5:$H$1000, MATCH(A416&amp;"|"&amp;J416, 'Base Exámenes'!$I$5:$I$1000, 0))="", "", INDEX('Base Exámenes'!$H$5:$H$1000, MATCH(A416&amp;"|"&amp;J416, 'Base Exámenes'!$I$5:$I$1000, 0))), ""), "")</f>
        <v/>
      </c>
      <c r="L416" s="22" t="str">
        <f>IF($A416="","",COUNTIF('Base Exámenes'!$C$5:$C$1000, A416))</f>
        <v/>
      </c>
      <c r="M416" s="6" t="str">
        <f>IF($A416="","",IF(COUNTIF('Base Exámenes'!$C$5:$C$1000, A416)&gt;0, "", TRIM('Base Oficial'!H416)))</f>
        <v/>
      </c>
    </row>
    <row r="417">
      <c r="A417" s="4" t="str">
        <f>IF('Base Oficial'!A417="","",TRIM('Base Oficial'!A417))</f>
        <v/>
      </c>
      <c r="B417" s="6" t="str">
        <f>IF($A417="","",TRIM('Base Oficial'!B417))</f>
        <v/>
      </c>
      <c r="C417" s="6" t="str">
        <f>IF($A417="","",TRIM('Base Oficial'!F417))</f>
        <v/>
      </c>
      <c r="D417" s="6" t="str">
        <f>IF($A417="","",TRIM('Base Oficial'!G417))</f>
        <v/>
      </c>
      <c r="E417" s="6" t="str">
        <f>IF($A417="","",TRIM('Base Oficial'!D417))</f>
        <v/>
      </c>
      <c r="F417" s="4" t="str">
        <f>IF($A417="","",IF(COUNTIF('Base Exámenes'!$C$5:$C$1000, A417)&gt;0, "Completado", IF(M417&lt;&gt;"", M417, "Pendiente")))</f>
        <v/>
      </c>
      <c r="G417" s="11" t="str">
        <f>IF(F417="Completado", IFERROR(IF(INDEX('Base Exámenes'!$D$5:$D$1000, MATCH(A417&amp;"|"&amp;J417, 'Base Exámenes'!$I$5:$I$1000, 0))="", "", INDEX('Base Exámenes'!$D$5:$D$1000, MATCH(A417&amp;"|"&amp;J417, 'Base Exámenes'!$I$5:$I$1000, 0))), ""), "")</f>
        <v/>
      </c>
      <c r="H417" s="11" t="str">
        <f>IF(F417="Completado", IFERROR(IF(INDEX('Base Exámenes'!$E$5:$E$1000, MATCH(A417&amp;"|"&amp;J417, 'Base Exámenes'!$I$5:$I$1000, 0))="", "", INDEX('Base Exámenes'!$E$5:$E$1000, MATCH(A417&amp;"|"&amp;J417, 'Base Exámenes'!$I$5:$I$1000, 0))), ""), "")</f>
        <v/>
      </c>
      <c r="I417" s="10" t="str">
        <f>IF(F417="Completado", IFERROR(IF(INDEX('Base Exámenes'!$F$5:$F$1000, MATCH(A417&amp;"|"&amp;J417, 'Base Exámenes'!$I$5:$I$1000, 0))="", "", INDEX('Base Exámenes'!$F$5:$F$1000, MATCH(A417&amp;"|"&amp;J417, 'Base Exámenes'!$I$5:$I$1000, 0))), ""), "")</f>
        <v/>
      </c>
      <c r="J417" s="6" t="str">
        <f>IF(F417="Completado", IF(COUNTIFS('Base Exámenes'!$C$5:$C$1000, A417, 'Base Exámenes'!$G$5:$G$1000, "&lt;&gt;")=0, "", _xlfn.MAXIFS('Base Exámenes'!$G$5:$G$1000, 'Base Exámenes'!$C$5:$C$1000, A417)), "")</f>
        <v/>
      </c>
      <c r="K417" s="6" t="str">
        <f>IF(F417="Completado", IFERROR(IF(INDEX('Base Exámenes'!$H$5:$H$1000, MATCH(A417&amp;"|"&amp;J417, 'Base Exámenes'!$I$5:$I$1000, 0))="", "", INDEX('Base Exámenes'!$H$5:$H$1000, MATCH(A417&amp;"|"&amp;J417, 'Base Exámenes'!$I$5:$I$1000, 0))), ""), "")</f>
        <v/>
      </c>
      <c r="L417" s="22" t="str">
        <f>IF($A417="","",COUNTIF('Base Exámenes'!$C$5:$C$1000, A417))</f>
        <v/>
      </c>
      <c r="M417" s="6" t="str">
        <f>IF($A417="","",IF(COUNTIF('Base Exámenes'!$C$5:$C$1000, A417)&gt;0, "", TRIM('Base Oficial'!H417)))</f>
        <v/>
      </c>
    </row>
    <row r="418">
      <c r="A418" s="4" t="str">
        <f>IF('Base Oficial'!A418="","",TRIM('Base Oficial'!A418))</f>
        <v/>
      </c>
      <c r="B418" s="6" t="str">
        <f>IF($A418="","",TRIM('Base Oficial'!B418))</f>
        <v/>
      </c>
      <c r="C418" s="6" t="str">
        <f>IF($A418="","",TRIM('Base Oficial'!F418))</f>
        <v/>
      </c>
      <c r="D418" s="6" t="str">
        <f>IF($A418="","",TRIM('Base Oficial'!G418))</f>
        <v/>
      </c>
      <c r="E418" s="6" t="str">
        <f>IF($A418="","",TRIM('Base Oficial'!D418))</f>
        <v/>
      </c>
      <c r="F418" s="4" t="str">
        <f>IF($A418="","",IF(COUNTIF('Base Exámenes'!$C$5:$C$1000, A418)&gt;0, "Completado", IF(M418&lt;&gt;"", M418, "Pendiente")))</f>
        <v/>
      </c>
      <c r="G418" s="11" t="str">
        <f>IF(F418="Completado", IFERROR(IF(INDEX('Base Exámenes'!$D$5:$D$1000, MATCH(A418&amp;"|"&amp;J418, 'Base Exámenes'!$I$5:$I$1000, 0))="", "", INDEX('Base Exámenes'!$D$5:$D$1000, MATCH(A418&amp;"|"&amp;J418, 'Base Exámenes'!$I$5:$I$1000, 0))), ""), "")</f>
        <v/>
      </c>
      <c r="H418" s="11" t="str">
        <f>IF(F418="Completado", IFERROR(IF(INDEX('Base Exámenes'!$E$5:$E$1000, MATCH(A418&amp;"|"&amp;J418, 'Base Exámenes'!$I$5:$I$1000, 0))="", "", INDEX('Base Exámenes'!$E$5:$E$1000, MATCH(A418&amp;"|"&amp;J418, 'Base Exámenes'!$I$5:$I$1000, 0))), ""), "")</f>
        <v/>
      </c>
      <c r="I418" s="10" t="str">
        <f>IF(F418="Completado", IFERROR(IF(INDEX('Base Exámenes'!$F$5:$F$1000, MATCH(A418&amp;"|"&amp;J418, 'Base Exámenes'!$I$5:$I$1000, 0))="", "", INDEX('Base Exámenes'!$F$5:$F$1000, MATCH(A418&amp;"|"&amp;J418, 'Base Exámenes'!$I$5:$I$1000, 0))), ""), "")</f>
        <v/>
      </c>
      <c r="J418" s="6" t="str">
        <f>IF(F418="Completado", IF(COUNTIFS('Base Exámenes'!$C$5:$C$1000, A418, 'Base Exámenes'!$G$5:$G$1000, "&lt;&gt;")=0, "", _xlfn.MAXIFS('Base Exámenes'!$G$5:$G$1000, 'Base Exámenes'!$C$5:$C$1000, A418)), "")</f>
        <v/>
      </c>
      <c r="K418" s="6" t="str">
        <f>IF(F418="Completado", IFERROR(IF(INDEX('Base Exámenes'!$H$5:$H$1000, MATCH(A418&amp;"|"&amp;J418, 'Base Exámenes'!$I$5:$I$1000, 0))="", "", INDEX('Base Exámenes'!$H$5:$H$1000, MATCH(A418&amp;"|"&amp;J418, 'Base Exámenes'!$I$5:$I$1000, 0))), ""), "")</f>
        <v/>
      </c>
      <c r="L418" s="22" t="str">
        <f>IF($A418="","",COUNTIF('Base Exámenes'!$C$5:$C$1000, A418))</f>
        <v/>
      </c>
      <c r="M418" s="6" t="str">
        <f>IF($A418="","",IF(COUNTIF('Base Exámenes'!$C$5:$C$1000, A418)&gt;0, "", TRIM('Base Oficial'!H418)))</f>
        <v/>
      </c>
    </row>
    <row r="419">
      <c r="A419" s="4" t="str">
        <f>IF('Base Oficial'!A419="","",TRIM('Base Oficial'!A419))</f>
        <v/>
      </c>
      <c r="B419" s="6" t="str">
        <f>IF($A419="","",TRIM('Base Oficial'!B419))</f>
        <v/>
      </c>
      <c r="C419" s="6" t="str">
        <f>IF($A419="","",TRIM('Base Oficial'!F419))</f>
        <v/>
      </c>
      <c r="D419" s="6" t="str">
        <f>IF($A419="","",TRIM('Base Oficial'!G419))</f>
        <v/>
      </c>
      <c r="E419" s="6" t="str">
        <f>IF($A419="","",TRIM('Base Oficial'!D419))</f>
        <v/>
      </c>
      <c r="F419" s="4" t="str">
        <f>IF($A419="","",IF(COUNTIF('Base Exámenes'!$C$5:$C$1000, A419)&gt;0, "Completado", IF(M419&lt;&gt;"", M419, "Pendiente")))</f>
        <v/>
      </c>
      <c r="G419" s="11" t="str">
        <f>IF(F419="Completado", IFERROR(IF(INDEX('Base Exámenes'!$D$5:$D$1000, MATCH(A419&amp;"|"&amp;J419, 'Base Exámenes'!$I$5:$I$1000, 0))="", "", INDEX('Base Exámenes'!$D$5:$D$1000, MATCH(A419&amp;"|"&amp;J419, 'Base Exámenes'!$I$5:$I$1000, 0))), ""), "")</f>
        <v/>
      </c>
      <c r="H419" s="11" t="str">
        <f>IF(F419="Completado", IFERROR(IF(INDEX('Base Exámenes'!$E$5:$E$1000, MATCH(A419&amp;"|"&amp;J419, 'Base Exámenes'!$I$5:$I$1000, 0))="", "", INDEX('Base Exámenes'!$E$5:$E$1000, MATCH(A419&amp;"|"&amp;J419, 'Base Exámenes'!$I$5:$I$1000, 0))), ""), "")</f>
        <v/>
      </c>
      <c r="I419" s="10" t="str">
        <f>IF(F419="Completado", IFERROR(IF(INDEX('Base Exámenes'!$F$5:$F$1000, MATCH(A419&amp;"|"&amp;J419, 'Base Exámenes'!$I$5:$I$1000, 0))="", "", INDEX('Base Exámenes'!$F$5:$F$1000, MATCH(A419&amp;"|"&amp;J419, 'Base Exámenes'!$I$5:$I$1000, 0))), ""), "")</f>
        <v/>
      </c>
      <c r="J419" s="6" t="str">
        <f>IF(F419="Completado", IF(COUNTIFS('Base Exámenes'!$C$5:$C$1000, A419, 'Base Exámenes'!$G$5:$G$1000, "&lt;&gt;")=0, "", _xlfn.MAXIFS('Base Exámenes'!$G$5:$G$1000, 'Base Exámenes'!$C$5:$C$1000, A419)), "")</f>
        <v/>
      </c>
      <c r="K419" s="6" t="str">
        <f>IF(F419="Completado", IFERROR(IF(INDEX('Base Exámenes'!$H$5:$H$1000, MATCH(A419&amp;"|"&amp;J419, 'Base Exámenes'!$I$5:$I$1000, 0))="", "", INDEX('Base Exámenes'!$H$5:$H$1000, MATCH(A419&amp;"|"&amp;J419, 'Base Exámenes'!$I$5:$I$1000, 0))), ""), "")</f>
        <v/>
      </c>
      <c r="L419" s="22" t="str">
        <f>IF($A419="","",COUNTIF('Base Exámenes'!$C$5:$C$1000, A419))</f>
        <v/>
      </c>
      <c r="M419" s="6" t="str">
        <f>IF($A419="","",IF(COUNTIF('Base Exámenes'!$C$5:$C$1000, A419)&gt;0, "", TRIM('Base Oficial'!H419)))</f>
        <v/>
      </c>
    </row>
    <row r="420">
      <c r="A420" s="4" t="str">
        <f>IF('Base Oficial'!A420="","",TRIM('Base Oficial'!A420))</f>
        <v/>
      </c>
      <c r="B420" s="6" t="str">
        <f>IF($A420="","",TRIM('Base Oficial'!B420))</f>
        <v/>
      </c>
      <c r="C420" s="6" t="str">
        <f>IF($A420="","",TRIM('Base Oficial'!F420))</f>
        <v/>
      </c>
      <c r="D420" s="6" t="str">
        <f>IF($A420="","",TRIM('Base Oficial'!G420))</f>
        <v/>
      </c>
      <c r="E420" s="6" t="str">
        <f>IF($A420="","",TRIM('Base Oficial'!D420))</f>
        <v/>
      </c>
      <c r="F420" s="4" t="str">
        <f>IF($A420="","",IF(COUNTIF('Base Exámenes'!$C$5:$C$1000, A420)&gt;0, "Completado", IF(M420&lt;&gt;"", M420, "Pendiente")))</f>
        <v/>
      </c>
      <c r="G420" s="11" t="str">
        <f>IF(F420="Completado", IFERROR(IF(INDEX('Base Exámenes'!$D$5:$D$1000, MATCH(A420&amp;"|"&amp;J420, 'Base Exámenes'!$I$5:$I$1000, 0))="", "", INDEX('Base Exámenes'!$D$5:$D$1000, MATCH(A420&amp;"|"&amp;J420, 'Base Exámenes'!$I$5:$I$1000, 0))), ""), "")</f>
        <v/>
      </c>
      <c r="H420" s="11" t="str">
        <f>IF(F420="Completado", IFERROR(IF(INDEX('Base Exámenes'!$E$5:$E$1000, MATCH(A420&amp;"|"&amp;J420, 'Base Exámenes'!$I$5:$I$1000, 0))="", "", INDEX('Base Exámenes'!$E$5:$E$1000, MATCH(A420&amp;"|"&amp;J420, 'Base Exámenes'!$I$5:$I$1000, 0))), ""), "")</f>
        <v/>
      </c>
      <c r="I420" s="10" t="str">
        <f>IF(F420="Completado", IFERROR(IF(INDEX('Base Exámenes'!$F$5:$F$1000, MATCH(A420&amp;"|"&amp;J420, 'Base Exámenes'!$I$5:$I$1000, 0))="", "", INDEX('Base Exámenes'!$F$5:$F$1000, MATCH(A420&amp;"|"&amp;J420, 'Base Exámenes'!$I$5:$I$1000, 0))), ""), "")</f>
        <v/>
      </c>
      <c r="J420" s="6" t="str">
        <f>IF(F420="Completado", IF(COUNTIFS('Base Exámenes'!$C$5:$C$1000, A420, 'Base Exámenes'!$G$5:$G$1000, "&lt;&gt;")=0, "", _xlfn.MAXIFS('Base Exámenes'!$G$5:$G$1000, 'Base Exámenes'!$C$5:$C$1000, A420)), "")</f>
        <v/>
      </c>
      <c r="K420" s="6" t="str">
        <f>IF(F420="Completado", IFERROR(IF(INDEX('Base Exámenes'!$H$5:$H$1000, MATCH(A420&amp;"|"&amp;J420, 'Base Exámenes'!$I$5:$I$1000, 0))="", "", INDEX('Base Exámenes'!$H$5:$H$1000, MATCH(A420&amp;"|"&amp;J420, 'Base Exámenes'!$I$5:$I$1000, 0))), ""), "")</f>
        <v/>
      </c>
      <c r="L420" s="22" t="str">
        <f>IF($A420="","",COUNTIF('Base Exámenes'!$C$5:$C$1000, A420))</f>
        <v/>
      </c>
      <c r="M420" s="6" t="str">
        <f>IF($A420="","",IF(COUNTIF('Base Exámenes'!$C$5:$C$1000, A420)&gt;0, "", TRIM('Base Oficial'!H420)))</f>
        <v/>
      </c>
    </row>
    <row r="421">
      <c r="A421" s="4" t="str">
        <f>IF('Base Oficial'!A421="","",TRIM('Base Oficial'!A421))</f>
        <v/>
      </c>
      <c r="B421" s="6" t="str">
        <f>IF($A421="","",TRIM('Base Oficial'!B421))</f>
        <v/>
      </c>
      <c r="C421" s="6" t="str">
        <f>IF($A421="","",TRIM('Base Oficial'!F421))</f>
        <v/>
      </c>
      <c r="D421" s="6" t="str">
        <f>IF($A421="","",TRIM('Base Oficial'!G421))</f>
        <v/>
      </c>
      <c r="E421" s="6" t="str">
        <f>IF($A421="","",TRIM('Base Oficial'!D421))</f>
        <v/>
      </c>
      <c r="F421" s="4" t="str">
        <f>IF($A421="","",IF(COUNTIF('Base Exámenes'!$C$5:$C$1000, A421)&gt;0, "Completado", IF(M421&lt;&gt;"", M421, "Pendiente")))</f>
        <v/>
      </c>
      <c r="G421" s="11" t="str">
        <f>IF(F421="Completado", IFERROR(IF(INDEX('Base Exámenes'!$D$5:$D$1000, MATCH(A421&amp;"|"&amp;J421, 'Base Exámenes'!$I$5:$I$1000, 0))="", "", INDEX('Base Exámenes'!$D$5:$D$1000, MATCH(A421&amp;"|"&amp;J421, 'Base Exámenes'!$I$5:$I$1000, 0))), ""), "")</f>
        <v/>
      </c>
      <c r="H421" s="11" t="str">
        <f>IF(F421="Completado", IFERROR(IF(INDEX('Base Exámenes'!$E$5:$E$1000, MATCH(A421&amp;"|"&amp;J421, 'Base Exámenes'!$I$5:$I$1000, 0))="", "", INDEX('Base Exámenes'!$E$5:$E$1000, MATCH(A421&amp;"|"&amp;J421, 'Base Exámenes'!$I$5:$I$1000, 0))), ""), "")</f>
        <v/>
      </c>
      <c r="I421" s="10" t="str">
        <f>IF(F421="Completado", IFERROR(IF(INDEX('Base Exámenes'!$F$5:$F$1000, MATCH(A421&amp;"|"&amp;J421, 'Base Exámenes'!$I$5:$I$1000, 0))="", "", INDEX('Base Exámenes'!$F$5:$F$1000, MATCH(A421&amp;"|"&amp;J421, 'Base Exámenes'!$I$5:$I$1000, 0))), ""), "")</f>
        <v/>
      </c>
      <c r="J421" s="6" t="str">
        <f>IF(F421="Completado", IF(COUNTIFS('Base Exámenes'!$C$5:$C$1000, A421, 'Base Exámenes'!$G$5:$G$1000, "&lt;&gt;")=0, "", _xlfn.MAXIFS('Base Exámenes'!$G$5:$G$1000, 'Base Exámenes'!$C$5:$C$1000, A421)), "")</f>
        <v/>
      </c>
      <c r="K421" s="6" t="str">
        <f>IF(F421="Completado", IFERROR(IF(INDEX('Base Exámenes'!$H$5:$H$1000, MATCH(A421&amp;"|"&amp;J421, 'Base Exámenes'!$I$5:$I$1000, 0))="", "", INDEX('Base Exámenes'!$H$5:$H$1000, MATCH(A421&amp;"|"&amp;J421, 'Base Exámenes'!$I$5:$I$1000, 0))), ""), "")</f>
        <v/>
      </c>
      <c r="L421" s="22" t="str">
        <f>IF($A421="","",COUNTIF('Base Exámenes'!$C$5:$C$1000, A421))</f>
        <v/>
      </c>
      <c r="M421" s="6" t="str">
        <f>IF($A421="","",IF(COUNTIF('Base Exámenes'!$C$5:$C$1000, A421)&gt;0, "", TRIM('Base Oficial'!H421)))</f>
        <v/>
      </c>
    </row>
    <row r="422">
      <c r="A422" s="4" t="str">
        <f>IF('Base Oficial'!A422="","",TRIM('Base Oficial'!A422))</f>
        <v/>
      </c>
      <c r="B422" s="6" t="str">
        <f>IF($A422="","",TRIM('Base Oficial'!B422))</f>
        <v/>
      </c>
      <c r="C422" s="6" t="str">
        <f>IF($A422="","",TRIM('Base Oficial'!F422))</f>
        <v/>
      </c>
      <c r="D422" s="6" t="str">
        <f>IF($A422="","",TRIM('Base Oficial'!G422))</f>
        <v/>
      </c>
      <c r="E422" s="6" t="str">
        <f>IF($A422="","",TRIM('Base Oficial'!D422))</f>
        <v/>
      </c>
      <c r="F422" s="4" t="str">
        <f>IF($A422="","",IF(COUNTIF('Base Exámenes'!$C$5:$C$1000, A422)&gt;0, "Completado", IF(M422&lt;&gt;"", M422, "Pendiente")))</f>
        <v/>
      </c>
      <c r="G422" s="11" t="str">
        <f>IF(F422="Completado", IFERROR(IF(INDEX('Base Exámenes'!$D$5:$D$1000, MATCH(A422&amp;"|"&amp;J422, 'Base Exámenes'!$I$5:$I$1000, 0))="", "", INDEX('Base Exámenes'!$D$5:$D$1000, MATCH(A422&amp;"|"&amp;J422, 'Base Exámenes'!$I$5:$I$1000, 0))), ""), "")</f>
        <v/>
      </c>
      <c r="H422" s="11" t="str">
        <f>IF(F422="Completado", IFERROR(IF(INDEX('Base Exámenes'!$E$5:$E$1000, MATCH(A422&amp;"|"&amp;J422, 'Base Exámenes'!$I$5:$I$1000, 0))="", "", INDEX('Base Exámenes'!$E$5:$E$1000, MATCH(A422&amp;"|"&amp;J422, 'Base Exámenes'!$I$5:$I$1000, 0))), ""), "")</f>
        <v/>
      </c>
      <c r="I422" s="10" t="str">
        <f>IF(F422="Completado", IFERROR(IF(INDEX('Base Exámenes'!$F$5:$F$1000, MATCH(A422&amp;"|"&amp;J422, 'Base Exámenes'!$I$5:$I$1000, 0))="", "", INDEX('Base Exámenes'!$F$5:$F$1000, MATCH(A422&amp;"|"&amp;J422, 'Base Exámenes'!$I$5:$I$1000, 0))), ""), "")</f>
        <v/>
      </c>
      <c r="J422" s="6" t="str">
        <f>IF(F422="Completado", IF(COUNTIFS('Base Exámenes'!$C$5:$C$1000, A422, 'Base Exámenes'!$G$5:$G$1000, "&lt;&gt;")=0, "", _xlfn.MAXIFS('Base Exámenes'!$G$5:$G$1000, 'Base Exámenes'!$C$5:$C$1000, A422)), "")</f>
        <v/>
      </c>
      <c r="K422" s="6" t="str">
        <f>IF(F422="Completado", IFERROR(IF(INDEX('Base Exámenes'!$H$5:$H$1000, MATCH(A422&amp;"|"&amp;J422, 'Base Exámenes'!$I$5:$I$1000, 0))="", "", INDEX('Base Exámenes'!$H$5:$H$1000, MATCH(A422&amp;"|"&amp;J422, 'Base Exámenes'!$I$5:$I$1000, 0))), ""), "")</f>
        <v/>
      </c>
      <c r="L422" s="22" t="str">
        <f>IF($A422="","",COUNTIF('Base Exámenes'!$C$5:$C$1000, A422))</f>
        <v/>
      </c>
      <c r="M422" s="6" t="str">
        <f>IF($A422="","",IF(COUNTIF('Base Exámenes'!$C$5:$C$1000, A422)&gt;0, "", TRIM('Base Oficial'!H422)))</f>
        <v/>
      </c>
    </row>
    <row r="423">
      <c r="A423" s="4" t="str">
        <f>IF('Base Oficial'!A423="","",TRIM('Base Oficial'!A423))</f>
        <v/>
      </c>
      <c r="B423" s="6" t="str">
        <f>IF($A423="","",TRIM('Base Oficial'!B423))</f>
        <v/>
      </c>
      <c r="C423" s="6" t="str">
        <f>IF($A423="","",TRIM('Base Oficial'!F423))</f>
        <v/>
      </c>
      <c r="D423" s="6" t="str">
        <f>IF($A423="","",TRIM('Base Oficial'!G423))</f>
        <v/>
      </c>
      <c r="E423" s="6" t="str">
        <f>IF($A423="","",TRIM('Base Oficial'!D423))</f>
        <v/>
      </c>
      <c r="F423" s="4" t="str">
        <f>IF($A423="","",IF(COUNTIF('Base Exámenes'!$C$5:$C$1000, A423)&gt;0, "Completado", IF(M423&lt;&gt;"", M423, "Pendiente")))</f>
        <v/>
      </c>
      <c r="G423" s="11" t="str">
        <f>IF(F423="Completado", IFERROR(IF(INDEX('Base Exámenes'!$D$5:$D$1000, MATCH(A423&amp;"|"&amp;J423, 'Base Exámenes'!$I$5:$I$1000, 0))="", "", INDEX('Base Exámenes'!$D$5:$D$1000, MATCH(A423&amp;"|"&amp;J423, 'Base Exámenes'!$I$5:$I$1000, 0))), ""), "")</f>
        <v/>
      </c>
      <c r="H423" s="11" t="str">
        <f>IF(F423="Completado", IFERROR(IF(INDEX('Base Exámenes'!$E$5:$E$1000, MATCH(A423&amp;"|"&amp;J423, 'Base Exámenes'!$I$5:$I$1000, 0))="", "", INDEX('Base Exámenes'!$E$5:$E$1000, MATCH(A423&amp;"|"&amp;J423, 'Base Exámenes'!$I$5:$I$1000, 0))), ""), "")</f>
        <v/>
      </c>
      <c r="I423" s="10" t="str">
        <f>IF(F423="Completado", IFERROR(IF(INDEX('Base Exámenes'!$F$5:$F$1000, MATCH(A423&amp;"|"&amp;J423, 'Base Exámenes'!$I$5:$I$1000, 0))="", "", INDEX('Base Exámenes'!$F$5:$F$1000, MATCH(A423&amp;"|"&amp;J423, 'Base Exámenes'!$I$5:$I$1000, 0))), ""), "")</f>
        <v/>
      </c>
      <c r="J423" s="6" t="str">
        <f>IF(F423="Completado", IF(COUNTIFS('Base Exámenes'!$C$5:$C$1000, A423, 'Base Exámenes'!$G$5:$G$1000, "&lt;&gt;")=0, "", _xlfn.MAXIFS('Base Exámenes'!$G$5:$G$1000, 'Base Exámenes'!$C$5:$C$1000, A423)), "")</f>
        <v/>
      </c>
      <c r="K423" s="6" t="str">
        <f>IF(F423="Completado", IFERROR(IF(INDEX('Base Exámenes'!$H$5:$H$1000, MATCH(A423&amp;"|"&amp;J423, 'Base Exámenes'!$I$5:$I$1000, 0))="", "", INDEX('Base Exámenes'!$H$5:$H$1000, MATCH(A423&amp;"|"&amp;J423, 'Base Exámenes'!$I$5:$I$1000, 0))), ""), "")</f>
        <v/>
      </c>
      <c r="L423" s="22" t="str">
        <f>IF($A423="","",COUNTIF('Base Exámenes'!$C$5:$C$1000, A423))</f>
        <v/>
      </c>
      <c r="M423" s="6" t="str">
        <f>IF($A423="","",IF(COUNTIF('Base Exámenes'!$C$5:$C$1000, A423)&gt;0, "", TRIM('Base Oficial'!H423)))</f>
        <v/>
      </c>
    </row>
    <row r="424">
      <c r="A424" s="4" t="str">
        <f>IF('Base Oficial'!A424="","",TRIM('Base Oficial'!A424))</f>
        <v/>
      </c>
      <c r="B424" s="6" t="str">
        <f>IF($A424="","",TRIM('Base Oficial'!B424))</f>
        <v/>
      </c>
      <c r="C424" s="6" t="str">
        <f>IF($A424="","",TRIM('Base Oficial'!F424))</f>
        <v/>
      </c>
      <c r="D424" s="6" t="str">
        <f>IF($A424="","",TRIM('Base Oficial'!G424))</f>
        <v/>
      </c>
      <c r="E424" s="6" t="str">
        <f>IF($A424="","",TRIM('Base Oficial'!D424))</f>
        <v/>
      </c>
      <c r="F424" s="4" t="str">
        <f>IF($A424="","",IF(COUNTIF('Base Exámenes'!$C$5:$C$1000, A424)&gt;0, "Completado", IF(M424&lt;&gt;"", M424, "Pendiente")))</f>
        <v/>
      </c>
      <c r="G424" s="11" t="str">
        <f>IF(F424="Completado", IFERROR(IF(INDEX('Base Exámenes'!$D$5:$D$1000, MATCH(A424&amp;"|"&amp;J424, 'Base Exámenes'!$I$5:$I$1000, 0))="", "", INDEX('Base Exámenes'!$D$5:$D$1000, MATCH(A424&amp;"|"&amp;J424, 'Base Exámenes'!$I$5:$I$1000, 0))), ""), "")</f>
        <v/>
      </c>
      <c r="H424" s="11" t="str">
        <f>IF(F424="Completado", IFERROR(IF(INDEX('Base Exámenes'!$E$5:$E$1000, MATCH(A424&amp;"|"&amp;J424, 'Base Exámenes'!$I$5:$I$1000, 0))="", "", INDEX('Base Exámenes'!$E$5:$E$1000, MATCH(A424&amp;"|"&amp;J424, 'Base Exámenes'!$I$5:$I$1000, 0))), ""), "")</f>
        <v/>
      </c>
      <c r="I424" s="10" t="str">
        <f>IF(F424="Completado", IFERROR(IF(INDEX('Base Exámenes'!$F$5:$F$1000, MATCH(A424&amp;"|"&amp;J424, 'Base Exámenes'!$I$5:$I$1000, 0))="", "", INDEX('Base Exámenes'!$F$5:$F$1000, MATCH(A424&amp;"|"&amp;J424, 'Base Exámenes'!$I$5:$I$1000, 0))), ""), "")</f>
        <v/>
      </c>
      <c r="J424" s="6" t="str">
        <f>IF(F424="Completado", IF(COUNTIFS('Base Exámenes'!$C$5:$C$1000, A424, 'Base Exámenes'!$G$5:$G$1000, "&lt;&gt;")=0, "", _xlfn.MAXIFS('Base Exámenes'!$G$5:$G$1000, 'Base Exámenes'!$C$5:$C$1000, A424)), "")</f>
        <v/>
      </c>
      <c r="K424" s="6" t="str">
        <f>IF(F424="Completado", IFERROR(IF(INDEX('Base Exámenes'!$H$5:$H$1000, MATCH(A424&amp;"|"&amp;J424, 'Base Exámenes'!$I$5:$I$1000, 0))="", "", INDEX('Base Exámenes'!$H$5:$H$1000, MATCH(A424&amp;"|"&amp;J424, 'Base Exámenes'!$I$5:$I$1000, 0))), ""), "")</f>
        <v/>
      </c>
      <c r="L424" s="22" t="str">
        <f>IF($A424="","",COUNTIF('Base Exámenes'!$C$5:$C$1000, A424))</f>
        <v/>
      </c>
      <c r="M424" s="6" t="str">
        <f>IF($A424="","",IF(COUNTIF('Base Exámenes'!$C$5:$C$1000, A424)&gt;0, "", TRIM('Base Oficial'!H424)))</f>
        <v/>
      </c>
    </row>
    <row r="425">
      <c r="A425" s="4" t="str">
        <f>IF('Base Oficial'!A425="","",TRIM('Base Oficial'!A425))</f>
        <v/>
      </c>
      <c r="B425" s="6" t="str">
        <f>IF($A425="","",TRIM('Base Oficial'!B425))</f>
        <v/>
      </c>
      <c r="C425" s="6" t="str">
        <f>IF($A425="","",TRIM('Base Oficial'!F425))</f>
        <v/>
      </c>
      <c r="D425" s="6" t="str">
        <f>IF($A425="","",TRIM('Base Oficial'!G425))</f>
        <v/>
      </c>
      <c r="E425" s="6" t="str">
        <f>IF($A425="","",TRIM('Base Oficial'!D425))</f>
        <v/>
      </c>
      <c r="F425" s="4" t="str">
        <f>IF($A425="","",IF(COUNTIF('Base Exámenes'!$C$5:$C$1000, A425)&gt;0, "Completado", IF(M425&lt;&gt;"", M425, "Pendiente")))</f>
        <v/>
      </c>
      <c r="G425" s="11" t="str">
        <f>IF(F425="Completado", IFERROR(IF(INDEX('Base Exámenes'!$D$5:$D$1000, MATCH(A425&amp;"|"&amp;J425, 'Base Exámenes'!$I$5:$I$1000, 0))="", "", INDEX('Base Exámenes'!$D$5:$D$1000, MATCH(A425&amp;"|"&amp;J425, 'Base Exámenes'!$I$5:$I$1000, 0))), ""), "")</f>
        <v/>
      </c>
      <c r="H425" s="11" t="str">
        <f>IF(F425="Completado", IFERROR(IF(INDEX('Base Exámenes'!$E$5:$E$1000, MATCH(A425&amp;"|"&amp;J425, 'Base Exámenes'!$I$5:$I$1000, 0))="", "", INDEX('Base Exámenes'!$E$5:$E$1000, MATCH(A425&amp;"|"&amp;J425, 'Base Exámenes'!$I$5:$I$1000, 0))), ""), "")</f>
        <v/>
      </c>
      <c r="I425" s="10" t="str">
        <f>IF(F425="Completado", IFERROR(IF(INDEX('Base Exámenes'!$F$5:$F$1000, MATCH(A425&amp;"|"&amp;J425, 'Base Exámenes'!$I$5:$I$1000, 0))="", "", INDEX('Base Exámenes'!$F$5:$F$1000, MATCH(A425&amp;"|"&amp;J425, 'Base Exámenes'!$I$5:$I$1000, 0))), ""), "")</f>
        <v/>
      </c>
      <c r="J425" s="6" t="str">
        <f>IF(F425="Completado", IF(COUNTIFS('Base Exámenes'!$C$5:$C$1000, A425, 'Base Exámenes'!$G$5:$G$1000, "&lt;&gt;")=0, "", _xlfn.MAXIFS('Base Exámenes'!$G$5:$G$1000, 'Base Exámenes'!$C$5:$C$1000, A425)), "")</f>
        <v/>
      </c>
      <c r="K425" s="6" t="str">
        <f>IF(F425="Completado", IFERROR(IF(INDEX('Base Exámenes'!$H$5:$H$1000, MATCH(A425&amp;"|"&amp;J425, 'Base Exámenes'!$I$5:$I$1000, 0))="", "", INDEX('Base Exámenes'!$H$5:$H$1000, MATCH(A425&amp;"|"&amp;J425, 'Base Exámenes'!$I$5:$I$1000, 0))), ""), "")</f>
        <v/>
      </c>
      <c r="L425" s="22" t="str">
        <f>IF($A425="","",COUNTIF('Base Exámenes'!$C$5:$C$1000, A425))</f>
        <v/>
      </c>
      <c r="M425" s="6" t="str">
        <f>IF($A425="","",IF(COUNTIF('Base Exámenes'!$C$5:$C$1000, A425)&gt;0, "", TRIM('Base Oficial'!H425)))</f>
        <v/>
      </c>
    </row>
    <row r="426">
      <c r="A426" s="4" t="str">
        <f>IF('Base Oficial'!A426="","",TRIM('Base Oficial'!A426))</f>
        <v/>
      </c>
      <c r="B426" s="6" t="str">
        <f>IF($A426="","",TRIM('Base Oficial'!B426))</f>
        <v/>
      </c>
      <c r="C426" s="6" t="str">
        <f>IF($A426="","",TRIM('Base Oficial'!F426))</f>
        <v/>
      </c>
      <c r="D426" s="6" t="str">
        <f>IF($A426="","",TRIM('Base Oficial'!G426))</f>
        <v/>
      </c>
      <c r="E426" s="6" t="str">
        <f>IF($A426="","",TRIM('Base Oficial'!D426))</f>
        <v/>
      </c>
      <c r="F426" s="4" t="str">
        <f>IF($A426="","",IF(COUNTIF('Base Exámenes'!$C$5:$C$1000, A426)&gt;0, "Completado", IF(M426&lt;&gt;"", M426, "Pendiente")))</f>
        <v/>
      </c>
      <c r="G426" s="11" t="str">
        <f>IF(F426="Completado", IFERROR(IF(INDEX('Base Exámenes'!$D$5:$D$1000, MATCH(A426&amp;"|"&amp;J426, 'Base Exámenes'!$I$5:$I$1000, 0))="", "", INDEX('Base Exámenes'!$D$5:$D$1000, MATCH(A426&amp;"|"&amp;J426, 'Base Exámenes'!$I$5:$I$1000, 0))), ""), "")</f>
        <v/>
      </c>
      <c r="H426" s="11" t="str">
        <f>IF(F426="Completado", IFERROR(IF(INDEX('Base Exámenes'!$E$5:$E$1000, MATCH(A426&amp;"|"&amp;J426, 'Base Exámenes'!$I$5:$I$1000, 0))="", "", INDEX('Base Exámenes'!$E$5:$E$1000, MATCH(A426&amp;"|"&amp;J426, 'Base Exámenes'!$I$5:$I$1000, 0))), ""), "")</f>
        <v/>
      </c>
      <c r="I426" s="10" t="str">
        <f>IF(F426="Completado", IFERROR(IF(INDEX('Base Exámenes'!$F$5:$F$1000, MATCH(A426&amp;"|"&amp;J426, 'Base Exámenes'!$I$5:$I$1000, 0))="", "", INDEX('Base Exámenes'!$F$5:$F$1000, MATCH(A426&amp;"|"&amp;J426, 'Base Exámenes'!$I$5:$I$1000, 0))), ""), "")</f>
        <v/>
      </c>
      <c r="J426" s="6" t="str">
        <f>IF(F426="Completado", IF(COUNTIFS('Base Exámenes'!$C$5:$C$1000, A426, 'Base Exámenes'!$G$5:$G$1000, "&lt;&gt;")=0, "", _xlfn.MAXIFS('Base Exámenes'!$G$5:$G$1000, 'Base Exámenes'!$C$5:$C$1000, A426)), "")</f>
        <v/>
      </c>
      <c r="K426" s="6" t="str">
        <f>IF(F426="Completado", IFERROR(IF(INDEX('Base Exámenes'!$H$5:$H$1000, MATCH(A426&amp;"|"&amp;J426, 'Base Exámenes'!$I$5:$I$1000, 0))="", "", INDEX('Base Exámenes'!$H$5:$H$1000, MATCH(A426&amp;"|"&amp;J426, 'Base Exámenes'!$I$5:$I$1000, 0))), ""), "")</f>
        <v/>
      </c>
      <c r="L426" s="22" t="str">
        <f>IF($A426="","",COUNTIF('Base Exámenes'!$C$5:$C$1000, A426))</f>
        <v/>
      </c>
      <c r="M426" s="6" t="str">
        <f>IF($A426="","",IF(COUNTIF('Base Exámenes'!$C$5:$C$1000, A426)&gt;0, "", TRIM('Base Oficial'!H426)))</f>
        <v/>
      </c>
    </row>
    <row r="427">
      <c r="A427" s="4" t="str">
        <f>IF('Base Oficial'!A427="","",TRIM('Base Oficial'!A427))</f>
        <v/>
      </c>
      <c r="B427" s="6" t="str">
        <f>IF($A427="","",TRIM('Base Oficial'!B427))</f>
        <v/>
      </c>
      <c r="C427" s="6" t="str">
        <f>IF($A427="","",TRIM('Base Oficial'!F427))</f>
        <v/>
      </c>
      <c r="D427" s="6" t="str">
        <f>IF($A427="","",TRIM('Base Oficial'!G427))</f>
        <v/>
      </c>
      <c r="E427" s="6" t="str">
        <f>IF($A427="","",TRIM('Base Oficial'!D427))</f>
        <v/>
      </c>
      <c r="F427" s="4" t="str">
        <f>IF($A427="","",IF(COUNTIF('Base Exámenes'!$C$5:$C$1000, A427)&gt;0, "Completado", IF(M427&lt;&gt;"", M427, "Pendiente")))</f>
        <v/>
      </c>
      <c r="G427" s="11" t="str">
        <f>IF(F427="Completado", IFERROR(IF(INDEX('Base Exámenes'!$D$5:$D$1000, MATCH(A427&amp;"|"&amp;J427, 'Base Exámenes'!$I$5:$I$1000, 0))="", "", INDEX('Base Exámenes'!$D$5:$D$1000, MATCH(A427&amp;"|"&amp;J427, 'Base Exámenes'!$I$5:$I$1000, 0))), ""), "")</f>
        <v/>
      </c>
      <c r="H427" s="11" t="str">
        <f>IF(F427="Completado", IFERROR(IF(INDEX('Base Exámenes'!$E$5:$E$1000, MATCH(A427&amp;"|"&amp;J427, 'Base Exámenes'!$I$5:$I$1000, 0))="", "", INDEX('Base Exámenes'!$E$5:$E$1000, MATCH(A427&amp;"|"&amp;J427, 'Base Exámenes'!$I$5:$I$1000, 0))), ""), "")</f>
        <v/>
      </c>
      <c r="I427" s="10" t="str">
        <f>IF(F427="Completado", IFERROR(IF(INDEX('Base Exámenes'!$F$5:$F$1000, MATCH(A427&amp;"|"&amp;J427, 'Base Exámenes'!$I$5:$I$1000, 0))="", "", INDEX('Base Exámenes'!$F$5:$F$1000, MATCH(A427&amp;"|"&amp;J427, 'Base Exámenes'!$I$5:$I$1000, 0))), ""), "")</f>
        <v/>
      </c>
      <c r="J427" s="6" t="str">
        <f>IF(F427="Completado", IF(COUNTIFS('Base Exámenes'!$C$5:$C$1000, A427, 'Base Exámenes'!$G$5:$G$1000, "&lt;&gt;")=0, "", _xlfn.MAXIFS('Base Exámenes'!$G$5:$G$1000, 'Base Exámenes'!$C$5:$C$1000, A427)), "")</f>
        <v/>
      </c>
      <c r="K427" s="6" t="str">
        <f>IF(F427="Completado", IFERROR(IF(INDEX('Base Exámenes'!$H$5:$H$1000, MATCH(A427&amp;"|"&amp;J427, 'Base Exámenes'!$I$5:$I$1000, 0))="", "", INDEX('Base Exámenes'!$H$5:$H$1000, MATCH(A427&amp;"|"&amp;J427, 'Base Exámenes'!$I$5:$I$1000, 0))), ""), "")</f>
        <v/>
      </c>
      <c r="L427" s="22" t="str">
        <f>IF($A427="","",COUNTIF('Base Exámenes'!$C$5:$C$1000, A427))</f>
        <v/>
      </c>
      <c r="M427" s="6" t="str">
        <f>IF($A427="","",IF(COUNTIF('Base Exámenes'!$C$5:$C$1000, A427)&gt;0, "", TRIM('Base Oficial'!H427)))</f>
        <v/>
      </c>
    </row>
    <row r="428">
      <c r="A428" s="4" t="str">
        <f>IF('Base Oficial'!A428="","",TRIM('Base Oficial'!A428))</f>
        <v/>
      </c>
      <c r="B428" s="6" t="str">
        <f>IF($A428="","",TRIM('Base Oficial'!B428))</f>
        <v/>
      </c>
      <c r="C428" s="6" t="str">
        <f>IF($A428="","",TRIM('Base Oficial'!F428))</f>
        <v/>
      </c>
      <c r="D428" s="6" t="str">
        <f>IF($A428="","",TRIM('Base Oficial'!G428))</f>
        <v/>
      </c>
      <c r="E428" s="6" t="str">
        <f>IF($A428="","",TRIM('Base Oficial'!D428))</f>
        <v/>
      </c>
      <c r="F428" s="4" t="str">
        <f>IF($A428="","",IF(COUNTIF('Base Exámenes'!$C$5:$C$1000, A428)&gt;0, "Completado", IF(M428&lt;&gt;"", M428, "Pendiente")))</f>
        <v/>
      </c>
      <c r="G428" s="11" t="str">
        <f>IF(F428="Completado", IFERROR(IF(INDEX('Base Exámenes'!$D$5:$D$1000, MATCH(A428&amp;"|"&amp;J428, 'Base Exámenes'!$I$5:$I$1000, 0))="", "", INDEX('Base Exámenes'!$D$5:$D$1000, MATCH(A428&amp;"|"&amp;J428, 'Base Exámenes'!$I$5:$I$1000, 0))), ""), "")</f>
        <v/>
      </c>
      <c r="H428" s="11" t="str">
        <f>IF(F428="Completado", IFERROR(IF(INDEX('Base Exámenes'!$E$5:$E$1000, MATCH(A428&amp;"|"&amp;J428, 'Base Exámenes'!$I$5:$I$1000, 0))="", "", INDEX('Base Exámenes'!$E$5:$E$1000, MATCH(A428&amp;"|"&amp;J428, 'Base Exámenes'!$I$5:$I$1000, 0))), ""), "")</f>
        <v/>
      </c>
      <c r="I428" s="10" t="str">
        <f>IF(F428="Completado", IFERROR(IF(INDEX('Base Exámenes'!$F$5:$F$1000, MATCH(A428&amp;"|"&amp;J428, 'Base Exámenes'!$I$5:$I$1000, 0))="", "", INDEX('Base Exámenes'!$F$5:$F$1000, MATCH(A428&amp;"|"&amp;J428, 'Base Exámenes'!$I$5:$I$1000, 0))), ""), "")</f>
        <v/>
      </c>
      <c r="J428" s="6" t="str">
        <f>IF(F428="Completado", IF(COUNTIFS('Base Exámenes'!$C$5:$C$1000, A428, 'Base Exámenes'!$G$5:$G$1000, "&lt;&gt;")=0, "", _xlfn.MAXIFS('Base Exámenes'!$G$5:$G$1000, 'Base Exámenes'!$C$5:$C$1000, A428)), "")</f>
        <v/>
      </c>
      <c r="K428" s="6" t="str">
        <f>IF(F428="Completado", IFERROR(IF(INDEX('Base Exámenes'!$H$5:$H$1000, MATCH(A428&amp;"|"&amp;J428, 'Base Exámenes'!$I$5:$I$1000, 0))="", "", INDEX('Base Exámenes'!$H$5:$H$1000, MATCH(A428&amp;"|"&amp;J428, 'Base Exámenes'!$I$5:$I$1000, 0))), ""), "")</f>
        <v/>
      </c>
      <c r="L428" s="22" t="str">
        <f>IF($A428="","",COUNTIF('Base Exámenes'!$C$5:$C$1000, A428))</f>
        <v/>
      </c>
      <c r="M428" s="6" t="str">
        <f>IF($A428="","",IF(COUNTIF('Base Exámenes'!$C$5:$C$1000, A428)&gt;0, "", TRIM('Base Oficial'!H428)))</f>
        <v/>
      </c>
    </row>
    <row r="429">
      <c r="A429" s="4" t="str">
        <f>IF('Base Oficial'!A429="","",TRIM('Base Oficial'!A429))</f>
        <v/>
      </c>
      <c r="B429" s="6" t="str">
        <f>IF($A429="","",TRIM('Base Oficial'!B429))</f>
        <v/>
      </c>
      <c r="C429" s="6" t="str">
        <f>IF($A429="","",TRIM('Base Oficial'!F429))</f>
        <v/>
      </c>
      <c r="D429" s="6" t="str">
        <f>IF($A429="","",TRIM('Base Oficial'!G429))</f>
        <v/>
      </c>
      <c r="E429" s="6" t="str">
        <f>IF($A429="","",TRIM('Base Oficial'!D429))</f>
        <v/>
      </c>
      <c r="F429" s="4" t="str">
        <f>IF($A429="","",IF(COUNTIF('Base Exámenes'!$C$5:$C$1000, A429)&gt;0, "Completado", IF(M429&lt;&gt;"", M429, "Pendiente")))</f>
        <v/>
      </c>
      <c r="G429" s="11" t="str">
        <f>IF(F429="Completado", IFERROR(IF(INDEX('Base Exámenes'!$D$5:$D$1000, MATCH(A429&amp;"|"&amp;J429, 'Base Exámenes'!$I$5:$I$1000, 0))="", "", INDEX('Base Exámenes'!$D$5:$D$1000, MATCH(A429&amp;"|"&amp;J429, 'Base Exámenes'!$I$5:$I$1000, 0))), ""), "")</f>
        <v/>
      </c>
      <c r="H429" s="11" t="str">
        <f>IF(F429="Completado", IFERROR(IF(INDEX('Base Exámenes'!$E$5:$E$1000, MATCH(A429&amp;"|"&amp;J429, 'Base Exámenes'!$I$5:$I$1000, 0))="", "", INDEX('Base Exámenes'!$E$5:$E$1000, MATCH(A429&amp;"|"&amp;J429, 'Base Exámenes'!$I$5:$I$1000, 0))), ""), "")</f>
        <v/>
      </c>
      <c r="I429" s="10" t="str">
        <f>IF(F429="Completado", IFERROR(IF(INDEX('Base Exámenes'!$F$5:$F$1000, MATCH(A429&amp;"|"&amp;J429, 'Base Exámenes'!$I$5:$I$1000, 0))="", "", INDEX('Base Exámenes'!$F$5:$F$1000, MATCH(A429&amp;"|"&amp;J429, 'Base Exámenes'!$I$5:$I$1000, 0))), ""), "")</f>
        <v/>
      </c>
      <c r="J429" s="6" t="str">
        <f>IF(F429="Completado", IF(COUNTIFS('Base Exámenes'!$C$5:$C$1000, A429, 'Base Exámenes'!$G$5:$G$1000, "&lt;&gt;")=0, "", _xlfn.MAXIFS('Base Exámenes'!$G$5:$G$1000, 'Base Exámenes'!$C$5:$C$1000, A429)), "")</f>
        <v/>
      </c>
      <c r="K429" s="6" t="str">
        <f>IF(F429="Completado", IFERROR(IF(INDEX('Base Exámenes'!$H$5:$H$1000, MATCH(A429&amp;"|"&amp;J429, 'Base Exámenes'!$I$5:$I$1000, 0))="", "", INDEX('Base Exámenes'!$H$5:$H$1000, MATCH(A429&amp;"|"&amp;J429, 'Base Exámenes'!$I$5:$I$1000, 0))), ""), "")</f>
        <v/>
      </c>
      <c r="L429" s="22" t="str">
        <f>IF($A429="","",COUNTIF('Base Exámenes'!$C$5:$C$1000, A429))</f>
        <v/>
      </c>
      <c r="M429" s="6" t="str">
        <f>IF($A429="","",IF(COUNTIF('Base Exámenes'!$C$5:$C$1000, A429)&gt;0, "", TRIM('Base Oficial'!H429)))</f>
        <v/>
      </c>
    </row>
    <row r="430">
      <c r="A430" s="4" t="str">
        <f>IF('Base Oficial'!A430="","",TRIM('Base Oficial'!A430))</f>
        <v/>
      </c>
      <c r="B430" s="6" t="str">
        <f>IF($A430="","",TRIM('Base Oficial'!B430))</f>
        <v/>
      </c>
      <c r="C430" s="6" t="str">
        <f>IF($A430="","",TRIM('Base Oficial'!F430))</f>
        <v/>
      </c>
      <c r="D430" s="6" t="str">
        <f>IF($A430="","",TRIM('Base Oficial'!G430))</f>
        <v/>
      </c>
      <c r="E430" s="6" t="str">
        <f>IF($A430="","",TRIM('Base Oficial'!D430))</f>
        <v/>
      </c>
      <c r="F430" s="4" t="str">
        <f>IF($A430="","",IF(COUNTIF('Base Exámenes'!$C$5:$C$1000, A430)&gt;0, "Completado", IF(M430&lt;&gt;"", M430, "Pendiente")))</f>
        <v/>
      </c>
      <c r="G430" s="11" t="str">
        <f>IF(F430="Completado", IFERROR(IF(INDEX('Base Exámenes'!$D$5:$D$1000, MATCH(A430&amp;"|"&amp;J430, 'Base Exámenes'!$I$5:$I$1000, 0))="", "", INDEX('Base Exámenes'!$D$5:$D$1000, MATCH(A430&amp;"|"&amp;J430, 'Base Exámenes'!$I$5:$I$1000, 0))), ""), "")</f>
        <v/>
      </c>
      <c r="H430" s="11" t="str">
        <f>IF(F430="Completado", IFERROR(IF(INDEX('Base Exámenes'!$E$5:$E$1000, MATCH(A430&amp;"|"&amp;J430, 'Base Exámenes'!$I$5:$I$1000, 0))="", "", INDEX('Base Exámenes'!$E$5:$E$1000, MATCH(A430&amp;"|"&amp;J430, 'Base Exámenes'!$I$5:$I$1000, 0))), ""), "")</f>
        <v/>
      </c>
      <c r="I430" s="10" t="str">
        <f>IF(F430="Completado", IFERROR(IF(INDEX('Base Exámenes'!$F$5:$F$1000, MATCH(A430&amp;"|"&amp;J430, 'Base Exámenes'!$I$5:$I$1000, 0))="", "", INDEX('Base Exámenes'!$F$5:$F$1000, MATCH(A430&amp;"|"&amp;J430, 'Base Exámenes'!$I$5:$I$1000, 0))), ""), "")</f>
        <v/>
      </c>
      <c r="J430" s="6" t="str">
        <f>IF(F430="Completado", IF(COUNTIFS('Base Exámenes'!$C$5:$C$1000, A430, 'Base Exámenes'!$G$5:$G$1000, "&lt;&gt;")=0, "", _xlfn.MAXIFS('Base Exámenes'!$G$5:$G$1000, 'Base Exámenes'!$C$5:$C$1000, A430)), "")</f>
        <v/>
      </c>
      <c r="K430" s="6" t="str">
        <f>IF(F430="Completado", IFERROR(IF(INDEX('Base Exámenes'!$H$5:$H$1000, MATCH(A430&amp;"|"&amp;J430, 'Base Exámenes'!$I$5:$I$1000, 0))="", "", INDEX('Base Exámenes'!$H$5:$H$1000, MATCH(A430&amp;"|"&amp;J430, 'Base Exámenes'!$I$5:$I$1000, 0))), ""), "")</f>
        <v/>
      </c>
      <c r="L430" s="22" t="str">
        <f>IF($A430="","",COUNTIF('Base Exámenes'!$C$5:$C$1000, A430))</f>
        <v/>
      </c>
      <c r="M430" s="6" t="str">
        <f>IF($A430="","",IF(COUNTIF('Base Exámenes'!$C$5:$C$1000, A430)&gt;0, "", TRIM('Base Oficial'!H430)))</f>
        <v/>
      </c>
    </row>
    <row r="431">
      <c r="A431" s="4" t="str">
        <f>IF('Base Oficial'!A431="","",TRIM('Base Oficial'!A431))</f>
        <v/>
      </c>
      <c r="B431" s="6" t="str">
        <f>IF($A431="","",TRIM('Base Oficial'!B431))</f>
        <v/>
      </c>
      <c r="C431" s="6" t="str">
        <f>IF($A431="","",TRIM('Base Oficial'!F431))</f>
        <v/>
      </c>
      <c r="D431" s="6" t="str">
        <f>IF($A431="","",TRIM('Base Oficial'!G431))</f>
        <v/>
      </c>
      <c r="E431" s="6" t="str">
        <f>IF($A431="","",TRIM('Base Oficial'!D431))</f>
        <v/>
      </c>
      <c r="F431" s="4" t="str">
        <f>IF($A431="","",IF(COUNTIF('Base Exámenes'!$C$5:$C$1000, A431)&gt;0, "Completado", IF(M431&lt;&gt;"", M431, "Pendiente")))</f>
        <v/>
      </c>
      <c r="G431" s="11" t="str">
        <f>IF(F431="Completado", IFERROR(IF(INDEX('Base Exámenes'!$D$5:$D$1000, MATCH(A431&amp;"|"&amp;J431, 'Base Exámenes'!$I$5:$I$1000, 0))="", "", INDEX('Base Exámenes'!$D$5:$D$1000, MATCH(A431&amp;"|"&amp;J431, 'Base Exámenes'!$I$5:$I$1000, 0))), ""), "")</f>
        <v/>
      </c>
      <c r="H431" s="11" t="str">
        <f>IF(F431="Completado", IFERROR(IF(INDEX('Base Exámenes'!$E$5:$E$1000, MATCH(A431&amp;"|"&amp;J431, 'Base Exámenes'!$I$5:$I$1000, 0))="", "", INDEX('Base Exámenes'!$E$5:$E$1000, MATCH(A431&amp;"|"&amp;J431, 'Base Exámenes'!$I$5:$I$1000, 0))), ""), "")</f>
        <v/>
      </c>
      <c r="I431" s="10" t="str">
        <f>IF(F431="Completado", IFERROR(IF(INDEX('Base Exámenes'!$F$5:$F$1000, MATCH(A431&amp;"|"&amp;J431, 'Base Exámenes'!$I$5:$I$1000, 0))="", "", INDEX('Base Exámenes'!$F$5:$F$1000, MATCH(A431&amp;"|"&amp;J431, 'Base Exámenes'!$I$5:$I$1000, 0))), ""), "")</f>
        <v/>
      </c>
      <c r="J431" s="6" t="str">
        <f>IF(F431="Completado", IF(COUNTIFS('Base Exámenes'!$C$5:$C$1000, A431, 'Base Exámenes'!$G$5:$G$1000, "&lt;&gt;")=0, "", _xlfn.MAXIFS('Base Exámenes'!$G$5:$G$1000, 'Base Exámenes'!$C$5:$C$1000, A431)), "")</f>
        <v/>
      </c>
      <c r="K431" s="6" t="str">
        <f>IF(F431="Completado", IFERROR(IF(INDEX('Base Exámenes'!$H$5:$H$1000, MATCH(A431&amp;"|"&amp;J431, 'Base Exámenes'!$I$5:$I$1000, 0))="", "", INDEX('Base Exámenes'!$H$5:$H$1000, MATCH(A431&amp;"|"&amp;J431, 'Base Exámenes'!$I$5:$I$1000, 0))), ""), "")</f>
        <v/>
      </c>
      <c r="L431" s="22" t="str">
        <f>IF($A431="","",COUNTIF('Base Exámenes'!$C$5:$C$1000, A431))</f>
        <v/>
      </c>
      <c r="M431" s="6" t="str">
        <f>IF($A431="","",IF(COUNTIF('Base Exámenes'!$C$5:$C$1000, A431)&gt;0, "", TRIM('Base Oficial'!H431)))</f>
        <v/>
      </c>
    </row>
    <row r="432">
      <c r="A432" s="4" t="str">
        <f>IF('Base Oficial'!A432="","",TRIM('Base Oficial'!A432))</f>
        <v/>
      </c>
      <c r="B432" s="6" t="str">
        <f>IF($A432="","",TRIM('Base Oficial'!B432))</f>
        <v/>
      </c>
      <c r="C432" s="6" t="str">
        <f>IF($A432="","",TRIM('Base Oficial'!F432))</f>
        <v/>
      </c>
      <c r="D432" s="6" t="str">
        <f>IF($A432="","",TRIM('Base Oficial'!G432))</f>
        <v/>
      </c>
      <c r="E432" s="6" t="str">
        <f>IF($A432="","",TRIM('Base Oficial'!D432))</f>
        <v/>
      </c>
      <c r="F432" s="4" t="str">
        <f>IF($A432="","",IF(COUNTIF('Base Exámenes'!$C$5:$C$1000, A432)&gt;0, "Completado", IF(M432&lt;&gt;"", M432, "Pendiente")))</f>
        <v/>
      </c>
      <c r="G432" s="11" t="str">
        <f>IF(F432="Completado", IFERROR(IF(INDEX('Base Exámenes'!$D$5:$D$1000, MATCH(A432&amp;"|"&amp;J432, 'Base Exámenes'!$I$5:$I$1000, 0))="", "", INDEX('Base Exámenes'!$D$5:$D$1000, MATCH(A432&amp;"|"&amp;J432, 'Base Exámenes'!$I$5:$I$1000, 0))), ""), "")</f>
        <v/>
      </c>
      <c r="H432" s="11" t="str">
        <f>IF(F432="Completado", IFERROR(IF(INDEX('Base Exámenes'!$E$5:$E$1000, MATCH(A432&amp;"|"&amp;J432, 'Base Exámenes'!$I$5:$I$1000, 0))="", "", INDEX('Base Exámenes'!$E$5:$E$1000, MATCH(A432&amp;"|"&amp;J432, 'Base Exámenes'!$I$5:$I$1000, 0))), ""), "")</f>
        <v/>
      </c>
      <c r="I432" s="10" t="str">
        <f>IF(F432="Completado", IFERROR(IF(INDEX('Base Exámenes'!$F$5:$F$1000, MATCH(A432&amp;"|"&amp;J432, 'Base Exámenes'!$I$5:$I$1000, 0))="", "", INDEX('Base Exámenes'!$F$5:$F$1000, MATCH(A432&amp;"|"&amp;J432, 'Base Exámenes'!$I$5:$I$1000, 0))), ""), "")</f>
        <v/>
      </c>
      <c r="J432" s="6" t="str">
        <f>IF(F432="Completado", IF(COUNTIFS('Base Exámenes'!$C$5:$C$1000, A432, 'Base Exámenes'!$G$5:$G$1000, "&lt;&gt;")=0, "", _xlfn.MAXIFS('Base Exámenes'!$G$5:$G$1000, 'Base Exámenes'!$C$5:$C$1000, A432)), "")</f>
        <v/>
      </c>
      <c r="K432" s="6" t="str">
        <f>IF(F432="Completado", IFERROR(IF(INDEX('Base Exámenes'!$H$5:$H$1000, MATCH(A432&amp;"|"&amp;J432, 'Base Exámenes'!$I$5:$I$1000, 0))="", "", INDEX('Base Exámenes'!$H$5:$H$1000, MATCH(A432&amp;"|"&amp;J432, 'Base Exámenes'!$I$5:$I$1000, 0))), ""), "")</f>
        <v/>
      </c>
      <c r="L432" s="22" t="str">
        <f>IF($A432="","",COUNTIF('Base Exámenes'!$C$5:$C$1000, A432))</f>
        <v/>
      </c>
      <c r="M432" s="6" t="str">
        <f>IF($A432="","",IF(COUNTIF('Base Exámenes'!$C$5:$C$1000, A432)&gt;0, "", TRIM('Base Oficial'!H432)))</f>
        <v/>
      </c>
    </row>
    <row r="433">
      <c r="A433" s="4" t="str">
        <f>IF('Base Oficial'!A433="","",TRIM('Base Oficial'!A433))</f>
        <v/>
      </c>
      <c r="B433" s="6" t="str">
        <f>IF($A433="","",TRIM('Base Oficial'!B433))</f>
        <v/>
      </c>
      <c r="C433" s="6" t="str">
        <f>IF($A433="","",TRIM('Base Oficial'!F433))</f>
        <v/>
      </c>
      <c r="D433" s="6" t="str">
        <f>IF($A433="","",TRIM('Base Oficial'!G433))</f>
        <v/>
      </c>
      <c r="E433" s="6" t="str">
        <f>IF($A433="","",TRIM('Base Oficial'!D433))</f>
        <v/>
      </c>
      <c r="F433" s="4" t="str">
        <f>IF($A433="","",IF(COUNTIF('Base Exámenes'!$C$5:$C$1000, A433)&gt;0, "Completado", IF(M433&lt;&gt;"", M433, "Pendiente")))</f>
        <v/>
      </c>
      <c r="G433" s="11" t="str">
        <f>IF(F433="Completado", IFERROR(IF(INDEX('Base Exámenes'!$D$5:$D$1000, MATCH(A433&amp;"|"&amp;J433, 'Base Exámenes'!$I$5:$I$1000, 0))="", "", INDEX('Base Exámenes'!$D$5:$D$1000, MATCH(A433&amp;"|"&amp;J433, 'Base Exámenes'!$I$5:$I$1000, 0))), ""), "")</f>
        <v/>
      </c>
      <c r="H433" s="11" t="str">
        <f>IF(F433="Completado", IFERROR(IF(INDEX('Base Exámenes'!$E$5:$E$1000, MATCH(A433&amp;"|"&amp;J433, 'Base Exámenes'!$I$5:$I$1000, 0))="", "", INDEX('Base Exámenes'!$E$5:$E$1000, MATCH(A433&amp;"|"&amp;J433, 'Base Exámenes'!$I$5:$I$1000, 0))), ""), "")</f>
        <v/>
      </c>
      <c r="I433" s="10" t="str">
        <f>IF(F433="Completado", IFERROR(IF(INDEX('Base Exámenes'!$F$5:$F$1000, MATCH(A433&amp;"|"&amp;J433, 'Base Exámenes'!$I$5:$I$1000, 0))="", "", INDEX('Base Exámenes'!$F$5:$F$1000, MATCH(A433&amp;"|"&amp;J433, 'Base Exámenes'!$I$5:$I$1000, 0))), ""), "")</f>
        <v/>
      </c>
      <c r="J433" s="6" t="str">
        <f>IF(F433="Completado", IF(COUNTIFS('Base Exámenes'!$C$5:$C$1000, A433, 'Base Exámenes'!$G$5:$G$1000, "&lt;&gt;")=0, "", _xlfn.MAXIFS('Base Exámenes'!$G$5:$G$1000, 'Base Exámenes'!$C$5:$C$1000, A433)), "")</f>
        <v/>
      </c>
      <c r="K433" s="6" t="str">
        <f>IF(F433="Completado", IFERROR(IF(INDEX('Base Exámenes'!$H$5:$H$1000, MATCH(A433&amp;"|"&amp;J433, 'Base Exámenes'!$I$5:$I$1000, 0))="", "", INDEX('Base Exámenes'!$H$5:$H$1000, MATCH(A433&amp;"|"&amp;J433, 'Base Exámenes'!$I$5:$I$1000, 0))), ""), "")</f>
        <v/>
      </c>
      <c r="L433" s="22" t="str">
        <f>IF($A433="","",COUNTIF('Base Exámenes'!$C$5:$C$1000, A433))</f>
        <v/>
      </c>
      <c r="M433" s="6" t="str">
        <f>IF($A433="","",IF(COUNTIF('Base Exámenes'!$C$5:$C$1000, A433)&gt;0, "", TRIM('Base Oficial'!H433)))</f>
        <v/>
      </c>
    </row>
    <row r="434">
      <c r="A434" s="4" t="str">
        <f>IF('Base Oficial'!A434="","",TRIM('Base Oficial'!A434))</f>
        <v/>
      </c>
      <c r="B434" s="6" t="str">
        <f>IF($A434="","",TRIM('Base Oficial'!B434))</f>
        <v/>
      </c>
      <c r="C434" s="6" t="str">
        <f>IF($A434="","",TRIM('Base Oficial'!F434))</f>
        <v/>
      </c>
      <c r="D434" s="6" t="str">
        <f>IF($A434="","",TRIM('Base Oficial'!G434))</f>
        <v/>
      </c>
      <c r="E434" s="6" t="str">
        <f>IF($A434="","",TRIM('Base Oficial'!D434))</f>
        <v/>
      </c>
      <c r="F434" s="4" t="str">
        <f>IF($A434="","",IF(COUNTIF('Base Exámenes'!$C$5:$C$1000, A434)&gt;0, "Completado", IF(M434&lt;&gt;"", M434, "Pendiente")))</f>
        <v/>
      </c>
      <c r="G434" s="11" t="str">
        <f>IF(F434="Completado", IFERROR(IF(INDEX('Base Exámenes'!$D$5:$D$1000, MATCH(A434&amp;"|"&amp;J434, 'Base Exámenes'!$I$5:$I$1000, 0))="", "", INDEX('Base Exámenes'!$D$5:$D$1000, MATCH(A434&amp;"|"&amp;J434, 'Base Exámenes'!$I$5:$I$1000, 0))), ""), "")</f>
        <v/>
      </c>
      <c r="H434" s="11" t="str">
        <f>IF(F434="Completado", IFERROR(IF(INDEX('Base Exámenes'!$E$5:$E$1000, MATCH(A434&amp;"|"&amp;J434, 'Base Exámenes'!$I$5:$I$1000, 0))="", "", INDEX('Base Exámenes'!$E$5:$E$1000, MATCH(A434&amp;"|"&amp;J434, 'Base Exámenes'!$I$5:$I$1000, 0))), ""), "")</f>
        <v/>
      </c>
      <c r="I434" s="10" t="str">
        <f>IF(F434="Completado", IFERROR(IF(INDEX('Base Exámenes'!$F$5:$F$1000, MATCH(A434&amp;"|"&amp;J434, 'Base Exámenes'!$I$5:$I$1000, 0))="", "", INDEX('Base Exámenes'!$F$5:$F$1000, MATCH(A434&amp;"|"&amp;J434, 'Base Exámenes'!$I$5:$I$1000, 0))), ""), "")</f>
        <v/>
      </c>
      <c r="J434" s="6" t="str">
        <f>IF(F434="Completado", IF(COUNTIFS('Base Exámenes'!$C$5:$C$1000, A434, 'Base Exámenes'!$G$5:$G$1000, "&lt;&gt;")=0, "", _xlfn.MAXIFS('Base Exámenes'!$G$5:$G$1000, 'Base Exámenes'!$C$5:$C$1000, A434)), "")</f>
        <v/>
      </c>
      <c r="K434" s="6" t="str">
        <f>IF(F434="Completado", IFERROR(IF(INDEX('Base Exámenes'!$H$5:$H$1000, MATCH(A434&amp;"|"&amp;J434, 'Base Exámenes'!$I$5:$I$1000, 0))="", "", INDEX('Base Exámenes'!$H$5:$H$1000, MATCH(A434&amp;"|"&amp;J434, 'Base Exámenes'!$I$5:$I$1000, 0))), ""), "")</f>
        <v/>
      </c>
      <c r="L434" s="22" t="str">
        <f>IF($A434="","",COUNTIF('Base Exámenes'!$C$5:$C$1000, A434))</f>
        <v/>
      </c>
      <c r="M434" s="6" t="str">
        <f>IF($A434="","",IF(COUNTIF('Base Exámenes'!$C$5:$C$1000, A434)&gt;0, "", TRIM('Base Oficial'!H434)))</f>
        <v/>
      </c>
    </row>
    <row r="435">
      <c r="A435" s="4" t="str">
        <f>IF('Base Oficial'!A435="","",TRIM('Base Oficial'!A435))</f>
        <v/>
      </c>
      <c r="B435" s="6" t="str">
        <f>IF($A435="","",TRIM('Base Oficial'!B435))</f>
        <v/>
      </c>
      <c r="C435" s="6" t="str">
        <f>IF($A435="","",TRIM('Base Oficial'!F435))</f>
        <v/>
      </c>
      <c r="D435" s="6" t="str">
        <f>IF($A435="","",TRIM('Base Oficial'!G435))</f>
        <v/>
      </c>
      <c r="E435" s="6" t="str">
        <f>IF($A435="","",TRIM('Base Oficial'!D435))</f>
        <v/>
      </c>
      <c r="F435" s="4" t="str">
        <f>IF($A435="","",IF(COUNTIF('Base Exámenes'!$C$5:$C$1000, A435)&gt;0, "Completado", IF(M435&lt;&gt;"", M435, "Pendiente")))</f>
        <v/>
      </c>
      <c r="G435" s="11" t="str">
        <f>IF(F435="Completado", IFERROR(IF(INDEX('Base Exámenes'!$D$5:$D$1000, MATCH(A435&amp;"|"&amp;J435, 'Base Exámenes'!$I$5:$I$1000, 0))="", "", INDEX('Base Exámenes'!$D$5:$D$1000, MATCH(A435&amp;"|"&amp;J435, 'Base Exámenes'!$I$5:$I$1000, 0))), ""), "")</f>
        <v/>
      </c>
      <c r="H435" s="11" t="str">
        <f>IF(F435="Completado", IFERROR(IF(INDEX('Base Exámenes'!$E$5:$E$1000, MATCH(A435&amp;"|"&amp;J435, 'Base Exámenes'!$I$5:$I$1000, 0))="", "", INDEX('Base Exámenes'!$E$5:$E$1000, MATCH(A435&amp;"|"&amp;J435, 'Base Exámenes'!$I$5:$I$1000, 0))), ""), "")</f>
        <v/>
      </c>
      <c r="I435" s="10" t="str">
        <f>IF(F435="Completado", IFERROR(IF(INDEX('Base Exámenes'!$F$5:$F$1000, MATCH(A435&amp;"|"&amp;J435, 'Base Exámenes'!$I$5:$I$1000, 0))="", "", INDEX('Base Exámenes'!$F$5:$F$1000, MATCH(A435&amp;"|"&amp;J435, 'Base Exámenes'!$I$5:$I$1000, 0))), ""), "")</f>
        <v/>
      </c>
      <c r="J435" s="6" t="str">
        <f>IF(F435="Completado", IF(COUNTIFS('Base Exámenes'!$C$5:$C$1000, A435, 'Base Exámenes'!$G$5:$G$1000, "&lt;&gt;")=0, "", _xlfn.MAXIFS('Base Exámenes'!$G$5:$G$1000, 'Base Exámenes'!$C$5:$C$1000, A435)), "")</f>
        <v/>
      </c>
      <c r="K435" s="6" t="str">
        <f>IF(F435="Completado", IFERROR(IF(INDEX('Base Exámenes'!$H$5:$H$1000, MATCH(A435&amp;"|"&amp;J435, 'Base Exámenes'!$I$5:$I$1000, 0))="", "", INDEX('Base Exámenes'!$H$5:$H$1000, MATCH(A435&amp;"|"&amp;J435, 'Base Exámenes'!$I$5:$I$1000, 0))), ""), "")</f>
        <v/>
      </c>
      <c r="L435" s="22" t="str">
        <f>IF($A435="","",COUNTIF('Base Exámenes'!$C$5:$C$1000, A435))</f>
        <v/>
      </c>
      <c r="M435" s="6" t="str">
        <f>IF($A435="","",IF(COUNTIF('Base Exámenes'!$C$5:$C$1000, A435)&gt;0, "", TRIM('Base Oficial'!H435)))</f>
        <v/>
      </c>
    </row>
    <row r="436">
      <c r="A436" s="4" t="str">
        <f>IF('Base Oficial'!A436="","",TRIM('Base Oficial'!A436))</f>
        <v/>
      </c>
      <c r="B436" s="6" t="str">
        <f>IF($A436="","",TRIM('Base Oficial'!B436))</f>
        <v/>
      </c>
      <c r="C436" s="6" t="str">
        <f>IF($A436="","",TRIM('Base Oficial'!F436))</f>
        <v/>
      </c>
      <c r="D436" s="6" t="str">
        <f>IF($A436="","",TRIM('Base Oficial'!G436))</f>
        <v/>
      </c>
      <c r="E436" s="6" t="str">
        <f>IF($A436="","",TRIM('Base Oficial'!D436))</f>
        <v/>
      </c>
      <c r="F436" s="4" t="str">
        <f>IF($A436="","",IF(COUNTIF('Base Exámenes'!$C$5:$C$1000, A436)&gt;0, "Completado", IF(M436&lt;&gt;"", M436, "Pendiente")))</f>
        <v/>
      </c>
      <c r="G436" s="11" t="str">
        <f>IF(F436="Completado", IFERROR(IF(INDEX('Base Exámenes'!$D$5:$D$1000, MATCH(A436&amp;"|"&amp;J436, 'Base Exámenes'!$I$5:$I$1000, 0))="", "", INDEX('Base Exámenes'!$D$5:$D$1000, MATCH(A436&amp;"|"&amp;J436, 'Base Exámenes'!$I$5:$I$1000, 0))), ""), "")</f>
        <v/>
      </c>
      <c r="H436" s="11" t="str">
        <f>IF(F436="Completado", IFERROR(IF(INDEX('Base Exámenes'!$E$5:$E$1000, MATCH(A436&amp;"|"&amp;J436, 'Base Exámenes'!$I$5:$I$1000, 0))="", "", INDEX('Base Exámenes'!$E$5:$E$1000, MATCH(A436&amp;"|"&amp;J436, 'Base Exámenes'!$I$5:$I$1000, 0))), ""), "")</f>
        <v/>
      </c>
      <c r="I436" s="10" t="str">
        <f>IF(F436="Completado", IFERROR(IF(INDEX('Base Exámenes'!$F$5:$F$1000, MATCH(A436&amp;"|"&amp;J436, 'Base Exámenes'!$I$5:$I$1000, 0))="", "", INDEX('Base Exámenes'!$F$5:$F$1000, MATCH(A436&amp;"|"&amp;J436, 'Base Exámenes'!$I$5:$I$1000, 0))), ""), "")</f>
        <v/>
      </c>
      <c r="J436" s="6" t="str">
        <f>IF(F436="Completado", IF(COUNTIFS('Base Exámenes'!$C$5:$C$1000, A436, 'Base Exámenes'!$G$5:$G$1000, "&lt;&gt;")=0, "", _xlfn.MAXIFS('Base Exámenes'!$G$5:$G$1000, 'Base Exámenes'!$C$5:$C$1000, A436)), "")</f>
        <v/>
      </c>
      <c r="K436" s="6" t="str">
        <f>IF(F436="Completado", IFERROR(IF(INDEX('Base Exámenes'!$H$5:$H$1000, MATCH(A436&amp;"|"&amp;J436, 'Base Exámenes'!$I$5:$I$1000, 0))="", "", INDEX('Base Exámenes'!$H$5:$H$1000, MATCH(A436&amp;"|"&amp;J436, 'Base Exámenes'!$I$5:$I$1000, 0))), ""), "")</f>
        <v/>
      </c>
      <c r="L436" s="22" t="str">
        <f>IF($A436="","",COUNTIF('Base Exámenes'!$C$5:$C$1000, A436))</f>
        <v/>
      </c>
      <c r="M436" s="6" t="str">
        <f>IF($A436="","",IF(COUNTIF('Base Exámenes'!$C$5:$C$1000, A436)&gt;0, "", TRIM('Base Oficial'!H436)))</f>
        <v/>
      </c>
    </row>
    <row r="437">
      <c r="A437" s="4" t="str">
        <f>IF('Base Oficial'!A437="","",TRIM('Base Oficial'!A437))</f>
        <v/>
      </c>
      <c r="B437" s="6" t="str">
        <f>IF($A437="","",TRIM('Base Oficial'!B437))</f>
        <v/>
      </c>
      <c r="C437" s="6" t="str">
        <f>IF($A437="","",TRIM('Base Oficial'!F437))</f>
        <v/>
      </c>
      <c r="D437" s="6" t="str">
        <f>IF($A437="","",TRIM('Base Oficial'!G437))</f>
        <v/>
      </c>
      <c r="E437" s="6" t="str">
        <f>IF($A437="","",TRIM('Base Oficial'!D437))</f>
        <v/>
      </c>
      <c r="F437" s="4" t="str">
        <f>IF($A437="","",IF(COUNTIF('Base Exámenes'!$C$5:$C$1000, A437)&gt;0, "Completado", IF(M437&lt;&gt;"", M437, "Pendiente")))</f>
        <v/>
      </c>
      <c r="G437" s="11" t="str">
        <f>IF(F437="Completado", IFERROR(IF(INDEX('Base Exámenes'!$D$5:$D$1000, MATCH(A437&amp;"|"&amp;J437, 'Base Exámenes'!$I$5:$I$1000, 0))="", "", INDEX('Base Exámenes'!$D$5:$D$1000, MATCH(A437&amp;"|"&amp;J437, 'Base Exámenes'!$I$5:$I$1000, 0))), ""), "")</f>
        <v/>
      </c>
      <c r="H437" s="11" t="str">
        <f>IF(F437="Completado", IFERROR(IF(INDEX('Base Exámenes'!$E$5:$E$1000, MATCH(A437&amp;"|"&amp;J437, 'Base Exámenes'!$I$5:$I$1000, 0))="", "", INDEX('Base Exámenes'!$E$5:$E$1000, MATCH(A437&amp;"|"&amp;J437, 'Base Exámenes'!$I$5:$I$1000, 0))), ""), "")</f>
        <v/>
      </c>
      <c r="I437" s="10" t="str">
        <f>IF(F437="Completado", IFERROR(IF(INDEX('Base Exámenes'!$F$5:$F$1000, MATCH(A437&amp;"|"&amp;J437, 'Base Exámenes'!$I$5:$I$1000, 0))="", "", INDEX('Base Exámenes'!$F$5:$F$1000, MATCH(A437&amp;"|"&amp;J437, 'Base Exámenes'!$I$5:$I$1000, 0))), ""), "")</f>
        <v/>
      </c>
      <c r="J437" s="6" t="str">
        <f>IF(F437="Completado", IF(COUNTIFS('Base Exámenes'!$C$5:$C$1000, A437, 'Base Exámenes'!$G$5:$G$1000, "&lt;&gt;")=0, "", _xlfn.MAXIFS('Base Exámenes'!$G$5:$G$1000, 'Base Exámenes'!$C$5:$C$1000, A437)), "")</f>
        <v/>
      </c>
      <c r="K437" s="6" t="str">
        <f>IF(F437="Completado", IFERROR(IF(INDEX('Base Exámenes'!$H$5:$H$1000, MATCH(A437&amp;"|"&amp;J437, 'Base Exámenes'!$I$5:$I$1000, 0))="", "", INDEX('Base Exámenes'!$H$5:$H$1000, MATCH(A437&amp;"|"&amp;J437, 'Base Exámenes'!$I$5:$I$1000, 0))), ""), "")</f>
        <v/>
      </c>
      <c r="L437" s="22" t="str">
        <f>IF($A437="","",COUNTIF('Base Exámenes'!$C$5:$C$1000, A437))</f>
        <v/>
      </c>
      <c r="M437" s="6" t="str">
        <f>IF($A437="","",IF(COUNTIF('Base Exámenes'!$C$5:$C$1000, A437)&gt;0, "", TRIM('Base Oficial'!H437)))</f>
        <v/>
      </c>
    </row>
    <row r="438">
      <c r="A438" s="4" t="str">
        <f>IF('Base Oficial'!A438="","",TRIM('Base Oficial'!A438))</f>
        <v/>
      </c>
      <c r="B438" s="6" t="str">
        <f>IF($A438="","",TRIM('Base Oficial'!B438))</f>
        <v/>
      </c>
      <c r="C438" s="6" t="str">
        <f>IF($A438="","",TRIM('Base Oficial'!F438))</f>
        <v/>
      </c>
      <c r="D438" s="6" t="str">
        <f>IF($A438="","",TRIM('Base Oficial'!G438))</f>
        <v/>
      </c>
      <c r="E438" s="6" t="str">
        <f>IF($A438="","",TRIM('Base Oficial'!D438))</f>
        <v/>
      </c>
      <c r="F438" s="4" t="str">
        <f>IF($A438="","",IF(COUNTIF('Base Exámenes'!$C$5:$C$1000, A438)&gt;0, "Completado", IF(M438&lt;&gt;"", M438, "Pendiente")))</f>
        <v/>
      </c>
      <c r="G438" s="11" t="str">
        <f>IF(F438="Completado", IFERROR(IF(INDEX('Base Exámenes'!$D$5:$D$1000, MATCH(A438&amp;"|"&amp;J438, 'Base Exámenes'!$I$5:$I$1000, 0))="", "", INDEX('Base Exámenes'!$D$5:$D$1000, MATCH(A438&amp;"|"&amp;J438, 'Base Exámenes'!$I$5:$I$1000, 0))), ""), "")</f>
        <v/>
      </c>
      <c r="H438" s="11" t="str">
        <f>IF(F438="Completado", IFERROR(IF(INDEX('Base Exámenes'!$E$5:$E$1000, MATCH(A438&amp;"|"&amp;J438, 'Base Exámenes'!$I$5:$I$1000, 0))="", "", INDEX('Base Exámenes'!$E$5:$E$1000, MATCH(A438&amp;"|"&amp;J438, 'Base Exámenes'!$I$5:$I$1000, 0))), ""), "")</f>
        <v/>
      </c>
      <c r="I438" s="10" t="str">
        <f>IF(F438="Completado", IFERROR(IF(INDEX('Base Exámenes'!$F$5:$F$1000, MATCH(A438&amp;"|"&amp;J438, 'Base Exámenes'!$I$5:$I$1000, 0))="", "", INDEX('Base Exámenes'!$F$5:$F$1000, MATCH(A438&amp;"|"&amp;J438, 'Base Exámenes'!$I$5:$I$1000, 0))), ""), "")</f>
        <v/>
      </c>
      <c r="J438" s="6" t="str">
        <f>IF(F438="Completado", IF(COUNTIFS('Base Exámenes'!$C$5:$C$1000, A438, 'Base Exámenes'!$G$5:$G$1000, "&lt;&gt;")=0, "", _xlfn.MAXIFS('Base Exámenes'!$G$5:$G$1000, 'Base Exámenes'!$C$5:$C$1000, A438)), "")</f>
        <v/>
      </c>
      <c r="K438" s="6" t="str">
        <f>IF(F438="Completado", IFERROR(IF(INDEX('Base Exámenes'!$H$5:$H$1000, MATCH(A438&amp;"|"&amp;J438, 'Base Exámenes'!$I$5:$I$1000, 0))="", "", INDEX('Base Exámenes'!$H$5:$H$1000, MATCH(A438&amp;"|"&amp;J438, 'Base Exámenes'!$I$5:$I$1000, 0))), ""), "")</f>
        <v/>
      </c>
      <c r="L438" s="22" t="str">
        <f>IF($A438="","",COUNTIF('Base Exámenes'!$C$5:$C$1000, A438))</f>
        <v/>
      </c>
      <c r="M438" s="6" t="str">
        <f>IF($A438="","",IF(COUNTIF('Base Exámenes'!$C$5:$C$1000, A438)&gt;0, "", TRIM('Base Oficial'!H438)))</f>
        <v/>
      </c>
    </row>
    <row r="439">
      <c r="A439" s="4" t="str">
        <f>IF('Base Oficial'!A439="","",TRIM('Base Oficial'!A439))</f>
        <v/>
      </c>
      <c r="B439" s="6" t="str">
        <f>IF($A439="","",TRIM('Base Oficial'!B439))</f>
        <v/>
      </c>
      <c r="C439" s="6" t="str">
        <f>IF($A439="","",TRIM('Base Oficial'!F439))</f>
        <v/>
      </c>
      <c r="D439" s="6" t="str">
        <f>IF($A439="","",TRIM('Base Oficial'!G439))</f>
        <v/>
      </c>
      <c r="E439" s="6" t="str">
        <f>IF($A439="","",TRIM('Base Oficial'!D439))</f>
        <v/>
      </c>
      <c r="F439" s="4" t="str">
        <f>IF($A439="","",IF(COUNTIF('Base Exámenes'!$C$5:$C$1000, A439)&gt;0, "Completado", IF(M439&lt;&gt;"", M439, "Pendiente")))</f>
        <v/>
      </c>
      <c r="G439" s="11" t="str">
        <f>IF(F439="Completado", IFERROR(IF(INDEX('Base Exámenes'!$D$5:$D$1000, MATCH(A439&amp;"|"&amp;J439, 'Base Exámenes'!$I$5:$I$1000, 0))="", "", INDEX('Base Exámenes'!$D$5:$D$1000, MATCH(A439&amp;"|"&amp;J439, 'Base Exámenes'!$I$5:$I$1000, 0))), ""), "")</f>
        <v/>
      </c>
      <c r="H439" s="11" t="str">
        <f>IF(F439="Completado", IFERROR(IF(INDEX('Base Exámenes'!$E$5:$E$1000, MATCH(A439&amp;"|"&amp;J439, 'Base Exámenes'!$I$5:$I$1000, 0))="", "", INDEX('Base Exámenes'!$E$5:$E$1000, MATCH(A439&amp;"|"&amp;J439, 'Base Exámenes'!$I$5:$I$1000, 0))), ""), "")</f>
        <v/>
      </c>
      <c r="I439" s="10" t="str">
        <f>IF(F439="Completado", IFERROR(IF(INDEX('Base Exámenes'!$F$5:$F$1000, MATCH(A439&amp;"|"&amp;J439, 'Base Exámenes'!$I$5:$I$1000, 0))="", "", INDEX('Base Exámenes'!$F$5:$F$1000, MATCH(A439&amp;"|"&amp;J439, 'Base Exámenes'!$I$5:$I$1000, 0))), ""), "")</f>
        <v/>
      </c>
      <c r="J439" s="6" t="str">
        <f>IF(F439="Completado", IF(COUNTIFS('Base Exámenes'!$C$5:$C$1000, A439, 'Base Exámenes'!$G$5:$G$1000, "&lt;&gt;")=0, "", _xlfn.MAXIFS('Base Exámenes'!$G$5:$G$1000, 'Base Exámenes'!$C$5:$C$1000, A439)), "")</f>
        <v/>
      </c>
      <c r="K439" s="6" t="str">
        <f>IF(F439="Completado", IFERROR(IF(INDEX('Base Exámenes'!$H$5:$H$1000, MATCH(A439&amp;"|"&amp;J439, 'Base Exámenes'!$I$5:$I$1000, 0))="", "", INDEX('Base Exámenes'!$H$5:$H$1000, MATCH(A439&amp;"|"&amp;J439, 'Base Exámenes'!$I$5:$I$1000, 0))), ""), "")</f>
        <v/>
      </c>
      <c r="L439" s="22" t="str">
        <f>IF($A439="","",COUNTIF('Base Exámenes'!$C$5:$C$1000, A439))</f>
        <v/>
      </c>
      <c r="M439" s="6" t="str">
        <f>IF($A439="","",IF(COUNTIF('Base Exámenes'!$C$5:$C$1000, A439)&gt;0, "", TRIM('Base Oficial'!H439)))</f>
        <v/>
      </c>
    </row>
    <row r="440">
      <c r="A440" s="4" t="str">
        <f>IF('Base Oficial'!A440="","",TRIM('Base Oficial'!A440))</f>
        <v/>
      </c>
      <c r="B440" s="6" t="str">
        <f>IF($A440="","",TRIM('Base Oficial'!B440))</f>
        <v/>
      </c>
      <c r="C440" s="6" t="str">
        <f>IF($A440="","",TRIM('Base Oficial'!F440))</f>
        <v/>
      </c>
      <c r="D440" s="6" t="str">
        <f>IF($A440="","",TRIM('Base Oficial'!G440))</f>
        <v/>
      </c>
      <c r="E440" s="6" t="str">
        <f>IF($A440="","",TRIM('Base Oficial'!D440))</f>
        <v/>
      </c>
      <c r="F440" s="4" t="str">
        <f>IF($A440="","",IF(COUNTIF('Base Exámenes'!$C$5:$C$1000, A440)&gt;0, "Completado", IF(M440&lt;&gt;"", M440, "Pendiente")))</f>
        <v/>
      </c>
      <c r="G440" s="11" t="str">
        <f>IF(F440="Completado", IFERROR(IF(INDEX('Base Exámenes'!$D$5:$D$1000, MATCH(A440&amp;"|"&amp;J440, 'Base Exámenes'!$I$5:$I$1000, 0))="", "", INDEX('Base Exámenes'!$D$5:$D$1000, MATCH(A440&amp;"|"&amp;J440, 'Base Exámenes'!$I$5:$I$1000, 0))), ""), "")</f>
        <v/>
      </c>
      <c r="H440" s="11" t="str">
        <f>IF(F440="Completado", IFERROR(IF(INDEX('Base Exámenes'!$E$5:$E$1000, MATCH(A440&amp;"|"&amp;J440, 'Base Exámenes'!$I$5:$I$1000, 0))="", "", INDEX('Base Exámenes'!$E$5:$E$1000, MATCH(A440&amp;"|"&amp;J440, 'Base Exámenes'!$I$5:$I$1000, 0))), ""), "")</f>
        <v/>
      </c>
      <c r="I440" s="10" t="str">
        <f>IF(F440="Completado", IFERROR(IF(INDEX('Base Exámenes'!$F$5:$F$1000, MATCH(A440&amp;"|"&amp;J440, 'Base Exámenes'!$I$5:$I$1000, 0))="", "", INDEX('Base Exámenes'!$F$5:$F$1000, MATCH(A440&amp;"|"&amp;J440, 'Base Exámenes'!$I$5:$I$1000, 0))), ""), "")</f>
        <v/>
      </c>
      <c r="J440" s="6" t="str">
        <f>IF(F440="Completado", IF(COUNTIFS('Base Exámenes'!$C$5:$C$1000, A440, 'Base Exámenes'!$G$5:$G$1000, "&lt;&gt;")=0, "", _xlfn.MAXIFS('Base Exámenes'!$G$5:$G$1000, 'Base Exámenes'!$C$5:$C$1000, A440)), "")</f>
        <v/>
      </c>
      <c r="K440" s="6" t="str">
        <f>IF(F440="Completado", IFERROR(IF(INDEX('Base Exámenes'!$H$5:$H$1000, MATCH(A440&amp;"|"&amp;J440, 'Base Exámenes'!$I$5:$I$1000, 0))="", "", INDEX('Base Exámenes'!$H$5:$H$1000, MATCH(A440&amp;"|"&amp;J440, 'Base Exámenes'!$I$5:$I$1000, 0))), ""), "")</f>
        <v/>
      </c>
      <c r="L440" s="22" t="str">
        <f>IF($A440="","",COUNTIF('Base Exámenes'!$C$5:$C$1000, A440))</f>
        <v/>
      </c>
      <c r="M440" s="6" t="str">
        <f>IF($A440="","",IF(COUNTIF('Base Exámenes'!$C$5:$C$1000, A440)&gt;0, "", TRIM('Base Oficial'!H440)))</f>
        <v/>
      </c>
    </row>
    <row r="441">
      <c r="A441" s="4" t="str">
        <f>IF('Base Oficial'!A441="","",TRIM('Base Oficial'!A441))</f>
        <v/>
      </c>
      <c r="B441" s="6" t="str">
        <f>IF($A441="","",TRIM('Base Oficial'!B441))</f>
        <v/>
      </c>
      <c r="C441" s="6" t="str">
        <f>IF($A441="","",TRIM('Base Oficial'!F441))</f>
        <v/>
      </c>
      <c r="D441" s="6" t="str">
        <f>IF($A441="","",TRIM('Base Oficial'!G441))</f>
        <v/>
      </c>
      <c r="E441" s="6" t="str">
        <f>IF($A441="","",TRIM('Base Oficial'!D441))</f>
        <v/>
      </c>
      <c r="F441" s="4" t="str">
        <f>IF($A441="","",IF(COUNTIF('Base Exámenes'!$C$5:$C$1000, A441)&gt;0, "Completado", IF(M441&lt;&gt;"", M441, "Pendiente")))</f>
        <v/>
      </c>
      <c r="G441" s="11" t="str">
        <f>IF(F441="Completado", IFERROR(IF(INDEX('Base Exámenes'!$D$5:$D$1000, MATCH(A441&amp;"|"&amp;J441, 'Base Exámenes'!$I$5:$I$1000, 0))="", "", INDEX('Base Exámenes'!$D$5:$D$1000, MATCH(A441&amp;"|"&amp;J441, 'Base Exámenes'!$I$5:$I$1000, 0))), ""), "")</f>
        <v/>
      </c>
      <c r="H441" s="11" t="str">
        <f>IF(F441="Completado", IFERROR(IF(INDEX('Base Exámenes'!$E$5:$E$1000, MATCH(A441&amp;"|"&amp;J441, 'Base Exámenes'!$I$5:$I$1000, 0))="", "", INDEX('Base Exámenes'!$E$5:$E$1000, MATCH(A441&amp;"|"&amp;J441, 'Base Exámenes'!$I$5:$I$1000, 0))), ""), "")</f>
        <v/>
      </c>
      <c r="I441" s="10" t="str">
        <f>IF(F441="Completado", IFERROR(IF(INDEX('Base Exámenes'!$F$5:$F$1000, MATCH(A441&amp;"|"&amp;J441, 'Base Exámenes'!$I$5:$I$1000, 0))="", "", INDEX('Base Exámenes'!$F$5:$F$1000, MATCH(A441&amp;"|"&amp;J441, 'Base Exámenes'!$I$5:$I$1000, 0))), ""), "")</f>
        <v/>
      </c>
      <c r="J441" s="6" t="str">
        <f>IF(F441="Completado", IF(COUNTIFS('Base Exámenes'!$C$5:$C$1000, A441, 'Base Exámenes'!$G$5:$G$1000, "&lt;&gt;")=0, "", _xlfn.MAXIFS('Base Exámenes'!$G$5:$G$1000, 'Base Exámenes'!$C$5:$C$1000, A441)), "")</f>
        <v/>
      </c>
      <c r="K441" s="6" t="str">
        <f>IF(F441="Completado", IFERROR(IF(INDEX('Base Exámenes'!$H$5:$H$1000, MATCH(A441&amp;"|"&amp;J441, 'Base Exámenes'!$I$5:$I$1000, 0))="", "", INDEX('Base Exámenes'!$H$5:$H$1000, MATCH(A441&amp;"|"&amp;J441, 'Base Exámenes'!$I$5:$I$1000, 0))), ""), "")</f>
        <v/>
      </c>
      <c r="L441" s="22" t="str">
        <f>IF($A441="","",COUNTIF('Base Exámenes'!$C$5:$C$1000, A441))</f>
        <v/>
      </c>
      <c r="M441" s="6" t="str">
        <f>IF($A441="","",IF(COUNTIF('Base Exámenes'!$C$5:$C$1000, A441)&gt;0, "", TRIM('Base Oficial'!H441)))</f>
        <v/>
      </c>
    </row>
    <row r="442">
      <c r="A442" s="4" t="str">
        <f>IF('Base Oficial'!A442="","",TRIM('Base Oficial'!A442))</f>
        <v/>
      </c>
      <c r="B442" s="6" t="str">
        <f>IF($A442="","",TRIM('Base Oficial'!B442))</f>
        <v/>
      </c>
      <c r="C442" s="6" t="str">
        <f>IF($A442="","",TRIM('Base Oficial'!F442))</f>
        <v/>
      </c>
      <c r="D442" s="6" t="str">
        <f>IF($A442="","",TRIM('Base Oficial'!G442))</f>
        <v/>
      </c>
      <c r="E442" s="6" t="str">
        <f>IF($A442="","",TRIM('Base Oficial'!D442))</f>
        <v/>
      </c>
      <c r="F442" s="4" t="str">
        <f>IF($A442="","",IF(COUNTIF('Base Exámenes'!$C$5:$C$1000, A442)&gt;0, "Completado", IF(M442&lt;&gt;"", M442, "Pendiente")))</f>
        <v/>
      </c>
      <c r="G442" s="11" t="str">
        <f>IF(F442="Completado", IFERROR(IF(INDEX('Base Exámenes'!$D$5:$D$1000, MATCH(A442&amp;"|"&amp;J442, 'Base Exámenes'!$I$5:$I$1000, 0))="", "", INDEX('Base Exámenes'!$D$5:$D$1000, MATCH(A442&amp;"|"&amp;J442, 'Base Exámenes'!$I$5:$I$1000, 0))), ""), "")</f>
        <v/>
      </c>
      <c r="H442" s="11" t="str">
        <f>IF(F442="Completado", IFERROR(IF(INDEX('Base Exámenes'!$E$5:$E$1000, MATCH(A442&amp;"|"&amp;J442, 'Base Exámenes'!$I$5:$I$1000, 0))="", "", INDEX('Base Exámenes'!$E$5:$E$1000, MATCH(A442&amp;"|"&amp;J442, 'Base Exámenes'!$I$5:$I$1000, 0))), ""), "")</f>
        <v/>
      </c>
      <c r="I442" s="10" t="str">
        <f>IF(F442="Completado", IFERROR(IF(INDEX('Base Exámenes'!$F$5:$F$1000, MATCH(A442&amp;"|"&amp;J442, 'Base Exámenes'!$I$5:$I$1000, 0))="", "", INDEX('Base Exámenes'!$F$5:$F$1000, MATCH(A442&amp;"|"&amp;J442, 'Base Exámenes'!$I$5:$I$1000, 0))), ""), "")</f>
        <v/>
      </c>
      <c r="J442" s="6" t="str">
        <f>IF(F442="Completado", IF(COUNTIFS('Base Exámenes'!$C$5:$C$1000, A442, 'Base Exámenes'!$G$5:$G$1000, "&lt;&gt;")=0, "", _xlfn.MAXIFS('Base Exámenes'!$G$5:$G$1000, 'Base Exámenes'!$C$5:$C$1000, A442)), "")</f>
        <v/>
      </c>
      <c r="K442" s="6" t="str">
        <f>IF(F442="Completado", IFERROR(IF(INDEX('Base Exámenes'!$H$5:$H$1000, MATCH(A442&amp;"|"&amp;J442, 'Base Exámenes'!$I$5:$I$1000, 0))="", "", INDEX('Base Exámenes'!$H$5:$H$1000, MATCH(A442&amp;"|"&amp;J442, 'Base Exámenes'!$I$5:$I$1000, 0))), ""), "")</f>
        <v/>
      </c>
      <c r="L442" s="22" t="str">
        <f>IF($A442="","",COUNTIF('Base Exámenes'!$C$5:$C$1000, A442))</f>
        <v/>
      </c>
      <c r="M442" s="6" t="str">
        <f>IF($A442="","",IF(COUNTIF('Base Exámenes'!$C$5:$C$1000, A442)&gt;0, "", TRIM('Base Oficial'!H442)))</f>
        <v/>
      </c>
    </row>
    <row r="443">
      <c r="A443" s="4" t="str">
        <f>IF('Base Oficial'!A443="","",TRIM('Base Oficial'!A443))</f>
        <v/>
      </c>
      <c r="B443" s="6" t="str">
        <f>IF($A443="","",TRIM('Base Oficial'!B443))</f>
        <v/>
      </c>
      <c r="C443" s="6" t="str">
        <f>IF($A443="","",TRIM('Base Oficial'!F443))</f>
        <v/>
      </c>
      <c r="D443" s="6" t="str">
        <f>IF($A443="","",TRIM('Base Oficial'!G443))</f>
        <v/>
      </c>
      <c r="E443" s="6" t="str">
        <f>IF($A443="","",TRIM('Base Oficial'!D443))</f>
        <v/>
      </c>
      <c r="F443" s="4" t="str">
        <f>IF($A443="","",IF(COUNTIF('Base Exámenes'!$C$5:$C$1000, A443)&gt;0, "Completado", IF(M443&lt;&gt;"", M443, "Pendiente")))</f>
        <v/>
      </c>
      <c r="G443" s="11" t="str">
        <f>IF(F443="Completado", IFERROR(IF(INDEX('Base Exámenes'!$D$5:$D$1000, MATCH(A443&amp;"|"&amp;J443, 'Base Exámenes'!$I$5:$I$1000, 0))="", "", INDEX('Base Exámenes'!$D$5:$D$1000, MATCH(A443&amp;"|"&amp;J443, 'Base Exámenes'!$I$5:$I$1000, 0))), ""), "")</f>
        <v/>
      </c>
      <c r="H443" s="11" t="str">
        <f>IF(F443="Completado", IFERROR(IF(INDEX('Base Exámenes'!$E$5:$E$1000, MATCH(A443&amp;"|"&amp;J443, 'Base Exámenes'!$I$5:$I$1000, 0))="", "", INDEX('Base Exámenes'!$E$5:$E$1000, MATCH(A443&amp;"|"&amp;J443, 'Base Exámenes'!$I$5:$I$1000, 0))), ""), "")</f>
        <v/>
      </c>
      <c r="I443" s="10" t="str">
        <f>IF(F443="Completado", IFERROR(IF(INDEX('Base Exámenes'!$F$5:$F$1000, MATCH(A443&amp;"|"&amp;J443, 'Base Exámenes'!$I$5:$I$1000, 0))="", "", INDEX('Base Exámenes'!$F$5:$F$1000, MATCH(A443&amp;"|"&amp;J443, 'Base Exámenes'!$I$5:$I$1000, 0))), ""), "")</f>
        <v/>
      </c>
      <c r="J443" s="6" t="str">
        <f>IF(F443="Completado", IF(COUNTIFS('Base Exámenes'!$C$5:$C$1000, A443, 'Base Exámenes'!$G$5:$G$1000, "&lt;&gt;")=0, "", _xlfn.MAXIFS('Base Exámenes'!$G$5:$G$1000, 'Base Exámenes'!$C$5:$C$1000, A443)), "")</f>
        <v/>
      </c>
      <c r="K443" s="6" t="str">
        <f>IF(F443="Completado", IFERROR(IF(INDEX('Base Exámenes'!$H$5:$H$1000, MATCH(A443&amp;"|"&amp;J443, 'Base Exámenes'!$I$5:$I$1000, 0))="", "", INDEX('Base Exámenes'!$H$5:$H$1000, MATCH(A443&amp;"|"&amp;J443, 'Base Exámenes'!$I$5:$I$1000, 0))), ""), "")</f>
        <v/>
      </c>
      <c r="L443" s="22" t="str">
        <f>IF($A443="","",COUNTIF('Base Exámenes'!$C$5:$C$1000, A443))</f>
        <v/>
      </c>
      <c r="M443" s="6" t="str">
        <f>IF($A443="","",IF(COUNTIF('Base Exámenes'!$C$5:$C$1000, A443)&gt;0, "", TRIM('Base Oficial'!H443)))</f>
        <v/>
      </c>
    </row>
    <row r="444">
      <c r="A444" s="4" t="str">
        <f>IF('Base Oficial'!A444="","",TRIM('Base Oficial'!A444))</f>
        <v/>
      </c>
      <c r="B444" s="6" t="str">
        <f>IF($A444="","",TRIM('Base Oficial'!B444))</f>
        <v/>
      </c>
      <c r="C444" s="6" t="str">
        <f>IF($A444="","",TRIM('Base Oficial'!F444))</f>
        <v/>
      </c>
      <c r="D444" s="6" t="str">
        <f>IF($A444="","",TRIM('Base Oficial'!G444))</f>
        <v/>
      </c>
      <c r="E444" s="6" t="str">
        <f>IF($A444="","",TRIM('Base Oficial'!D444))</f>
        <v/>
      </c>
      <c r="F444" s="4" t="str">
        <f>IF($A444="","",IF(COUNTIF('Base Exámenes'!$C$5:$C$1000, A444)&gt;0, "Completado", IF(M444&lt;&gt;"", M444, "Pendiente")))</f>
        <v/>
      </c>
      <c r="G444" s="11" t="str">
        <f>IF(F444="Completado", IFERROR(IF(INDEX('Base Exámenes'!$D$5:$D$1000, MATCH(A444&amp;"|"&amp;J444, 'Base Exámenes'!$I$5:$I$1000, 0))="", "", INDEX('Base Exámenes'!$D$5:$D$1000, MATCH(A444&amp;"|"&amp;J444, 'Base Exámenes'!$I$5:$I$1000, 0))), ""), "")</f>
        <v/>
      </c>
      <c r="H444" s="11" t="str">
        <f>IF(F444="Completado", IFERROR(IF(INDEX('Base Exámenes'!$E$5:$E$1000, MATCH(A444&amp;"|"&amp;J444, 'Base Exámenes'!$I$5:$I$1000, 0))="", "", INDEX('Base Exámenes'!$E$5:$E$1000, MATCH(A444&amp;"|"&amp;J444, 'Base Exámenes'!$I$5:$I$1000, 0))), ""), "")</f>
        <v/>
      </c>
      <c r="I444" s="10" t="str">
        <f>IF(F444="Completado", IFERROR(IF(INDEX('Base Exámenes'!$F$5:$F$1000, MATCH(A444&amp;"|"&amp;J444, 'Base Exámenes'!$I$5:$I$1000, 0))="", "", INDEX('Base Exámenes'!$F$5:$F$1000, MATCH(A444&amp;"|"&amp;J444, 'Base Exámenes'!$I$5:$I$1000, 0))), ""), "")</f>
        <v/>
      </c>
      <c r="J444" s="6" t="str">
        <f>IF(F444="Completado", IF(COUNTIFS('Base Exámenes'!$C$5:$C$1000, A444, 'Base Exámenes'!$G$5:$G$1000, "&lt;&gt;")=0, "", _xlfn.MAXIFS('Base Exámenes'!$G$5:$G$1000, 'Base Exámenes'!$C$5:$C$1000, A444)), "")</f>
        <v/>
      </c>
      <c r="K444" s="6" t="str">
        <f>IF(F444="Completado", IFERROR(IF(INDEX('Base Exámenes'!$H$5:$H$1000, MATCH(A444&amp;"|"&amp;J444, 'Base Exámenes'!$I$5:$I$1000, 0))="", "", INDEX('Base Exámenes'!$H$5:$H$1000, MATCH(A444&amp;"|"&amp;J444, 'Base Exámenes'!$I$5:$I$1000, 0))), ""), "")</f>
        <v/>
      </c>
      <c r="L444" s="22" t="str">
        <f>IF($A444="","",COUNTIF('Base Exámenes'!$C$5:$C$1000, A444))</f>
        <v/>
      </c>
      <c r="M444" s="6" t="str">
        <f>IF($A444="","",IF(COUNTIF('Base Exámenes'!$C$5:$C$1000, A444)&gt;0, "", TRIM('Base Oficial'!H444)))</f>
        <v/>
      </c>
    </row>
    <row r="445">
      <c r="A445" s="4" t="str">
        <f>IF('Base Oficial'!A445="","",TRIM('Base Oficial'!A445))</f>
        <v/>
      </c>
      <c r="B445" s="6" t="str">
        <f>IF($A445="","",TRIM('Base Oficial'!B445))</f>
        <v/>
      </c>
      <c r="C445" s="6" t="str">
        <f>IF($A445="","",TRIM('Base Oficial'!F445))</f>
        <v/>
      </c>
      <c r="D445" s="6" t="str">
        <f>IF($A445="","",TRIM('Base Oficial'!G445))</f>
        <v/>
      </c>
      <c r="E445" s="6" t="str">
        <f>IF($A445="","",TRIM('Base Oficial'!D445))</f>
        <v/>
      </c>
      <c r="F445" s="4" t="str">
        <f>IF($A445="","",IF(COUNTIF('Base Exámenes'!$C$5:$C$1000, A445)&gt;0, "Completado", IF(M445&lt;&gt;"", M445, "Pendiente")))</f>
        <v/>
      </c>
      <c r="G445" s="11" t="str">
        <f>IF(F445="Completado", IFERROR(IF(INDEX('Base Exámenes'!$D$5:$D$1000, MATCH(A445&amp;"|"&amp;J445, 'Base Exámenes'!$I$5:$I$1000, 0))="", "", INDEX('Base Exámenes'!$D$5:$D$1000, MATCH(A445&amp;"|"&amp;J445, 'Base Exámenes'!$I$5:$I$1000, 0))), ""), "")</f>
        <v/>
      </c>
      <c r="H445" s="11" t="str">
        <f>IF(F445="Completado", IFERROR(IF(INDEX('Base Exámenes'!$E$5:$E$1000, MATCH(A445&amp;"|"&amp;J445, 'Base Exámenes'!$I$5:$I$1000, 0))="", "", INDEX('Base Exámenes'!$E$5:$E$1000, MATCH(A445&amp;"|"&amp;J445, 'Base Exámenes'!$I$5:$I$1000, 0))), ""), "")</f>
        <v/>
      </c>
      <c r="I445" s="10" t="str">
        <f>IF(F445="Completado", IFERROR(IF(INDEX('Base Exámenes'!$F$5:$F$1000, MATCH(A445&amp;"|"&amp;J445, 'Base Exámenes'!$I$5:$I$1000, 0))="", "", INDEX('Base Exámenes'!$F$5:$F$1000, MATCH(A445&amp;"|"&amp;J445, 'Base Exámenes'!$I$5:$I$1000, 0))), ""), "")</f>
        <v/>
      </c>
      <c r="J445" s="6" t="str">
        <f>IF(F445="Completado", IF(COUNTIFS('Base Exámenes'!$C$5:$C$1000, A445, 'Base Exámenes'!$G$5:$G$1000, "&lt;&gt;")=0, "", _xlfn.MAXIFS('Base Exámenes'!$G$5:$G$1000, 'Base Exámenes'!$C$5:$C$1000, A445)), "")</f>
        <v/>
      </c>
      <c r="K445" s="6" t="str">
        <f>IF(F445="Completado", IFERROR(IF(INDEX('Base Exámenes'!$H$5:$H$1000, MATCH(A445&amp;"|"&amp;J445, 'Base Exámenes'!$I$5:$I$1000, 0))="", "", INDEX('Base Exámenes'!$H$5:$H$1000, MATCH(A445&amp;"|"&amp;J445, 'Base Exámenes'!$I$5:$I$1000, 0))), ""), "")</f>
        <v/>
      </c>
      <c r="L445" s="22" t="str">
        <f>IF($A445="","",COUNTIF('Base Exámenes'!$C$5:$C$1000, A445))</f>
        <v/>
      </c>
      <c r="M445" s="6" t="str">
        <f>IF($A445="","",IF(COUNTIF('Base Exámenes'!$C$5:$C$1000, A445)&gt;0, "", TRIM('Base Oficial'!H445)))</f>
        <v/>
      </c>
    </row>
    <row r="446">
      <c r="A446" s="4" t="str">
        <f>IF('Base Oficial'!A446="","",TRIM('Base Oficial'!A446))</f>
        <v/>
      </c>
      <c r="B446" s="6" t="str">
        <f>IF($A446="","",TRIM('Base Oficial'!B446))</f>
        <v/>
      </c>
      <c r="C446" s="6" t="str">
        <f>IF($A446="","",TRIM('Base Oficial'!F446))</f>
        <v/>
      </c>
      <c r="D446" s="6" t="str">
        <f>IF($A446="","",TRIM('Base Oficial'!G446))</f>
        <v/>
      </c>
      <c r="E446" s="6" t="str">
        <f>IF($A446="","",TRIM('Base Oficial'!D446))</f>
        <v/>
      </c>
      <c r="F446" s="4" t="str">
        <f>IF($A446="","",IF(COUNTIF('Base Exámenes'!$C$5:$C$1000, A446)&gt;0, "Completado", IF(M446&lt;&gt;"", M446, "Pendiente")))</f>
        <v/>
      </c>
      <c r="G446" s="11" t="str">
        <f>IF(F446="Completado", IFERROR(IF(INDEX('Base Exámenes'!$D$5:$D$1000, MATCH(A446&amp;"|"&amp;J446, 'Base Exámenes'!$I$5:$I$1000, 0))="", "", INDEX('Base Exámenes'!$D$5:$D$1000, MATCH(A446&amp;"|"&amp;J446, 'Base Exámenes'!$I$5:$I$1000, 0))), ""), "")</f>
        <v/>
      </c>
      <c r="H446" s="11" t="str">
        <f>IF(F446="Completado", IFERROR(IF(INDEX('Base Exámenes'!$E$5:$E$1000, MATCH(A446&amp;"|"&amp;J446, 'Base Exámenes'!$I$5:$I$1000, 0))="", "", INDEX('Base Exámenes'!$E$5:$E$1000, MATCH(A446&amp;"|"&amp;J446, 'Base Exámenes'!$I$5:$I$1000, 0))), ""), "")</f>
        <v/>
      </c>
      <c r="I446" s="10" t="str">
        <f>IF(F446="Completado", IFERROR(IF(INDEX('Base Exámenes'!$F$5:$F$1000, MATCH(A446&amp;"|"&amp;J446, 'Base Exámenes'!$I$5:$I$1000, 0))="", "", INDEX('Base Exámenes'!$F$5:$F$1000, MATCH(A446&amp;"|"&amp;J446, 'Base Exámenes'!$I$5:$I$1000, 0))), ""), "")</f>
        <v/>
      </c>
      <c r="J446" s="6" t="str">
        <f>IF(F446="Completado", IF(COUNTIFS('Base Exámenes'!$C$5:$C$1000, A446, 'Base Exámenes'!$G$5:$G$1000, "&lt;&gt;")=0, "", _xlfn.MAXIFS('Base Exámenes'!$G$5:$G$1000, 'Base Exámenes'!$C$5:$C$1000, A446)), "")</f>
        <v/>
      </c>
      <c r="K446" s="6" t="str">
        <f>IF(F446="Completado", IFERROR(IF(INDEX('Base Exámenes'!$H$5:$H$1000, MATCH(A446&amp;"|"&amp;J446, 'Base Exámenes'!$I$5:$I$1000, 0))="", "", INDEX('Base Exámenes'!$H$5:$H$1000, MATCH(A446&amp;"|"&amp;J446, 'Base Exámenes'!$I$5:$I$1000, 0))), ""), "")</f>
        <v/>
      </c>
      <c r="L446" s="22" t="str">
        <f>IF($A446="","",COUNTIF('Base Exámenes'!$C$5:$C$1000, A446))</f>
        <v/>
      </c>
      <c r="M446" s="6" t="str">
        <f>IF($A446="","",IF(COUNTIF('Base Exámenes'!$C$5:$C$1000, A446)&gt;0, "", TRIM('Base Oficial'!H446)))</f>
        <v/>
      </c>
    </row>
    <row r="447">
      <c r="A447" s="4" t="str">
        <f>IF('Base Oficial'!A447="","",TRIM('Base Oficial'!A447))</f>
        <v/>
      </c>
      <c r="B447" s="6" t="str">
        <f>IF($A447="","",TRIM('Base Oficial'!B447))</f>
        <v/>
      </c>
      <c r="C447" s="6" t="str">
        <f>IF($A447="","",TRIM('Base Oficial'!F447))</f>
        <v/>
      </c>
      <c r="D447" s="6" t="str">
        <f>IF($A447="","",TRIM('Base Oficial'!G447))</f>
        <v/>
      </c>
      <c r="E447" s="6" t="str">
        <f>IF($A447="","",TRIM('Base Oficial'!D447))</f>
        <v/>
      </c>
      <c r="F447" s="4" t="str">
        <f>IF($A447="","",IF(COUNTIF('Base Exámenes'!$C$5:$C$1000, A447)&gt;0, "Completado", IF(M447&lt;&gt;"", M447, "Pendiente")))</f>
        <v/>
      </c>
      <c r="G447" s="11" t="str">
        <f>IF(F447="Completado", IFERROR(IF(INDEX('Base Exámenes'!$D$5:$D$1000, MATCH(A447&amp;"|"&amp;J447, 'Base Exámenes'!$I$5:$I$1000, 0))="", "", INDEX('Base Exámenes'!$D$5:$D$1000, MATCH(A447&amp;"|"&amp;J447, 'Base Exámenes'!$I$5:$I$1000, 0))), ""), "")</f>
        <v/>
      </c>
      <c r="H447" s="11" t="str">
        <f>IF(F447="Completado", IFERROR(IF(INDEX('Base Exámenes'!$E$5:$E$1000, MATCH(A447&amp;"|"&amp;J447, 'Base Exámenes'!$I$5:$I$1000, 0))="", "", INDEX('Base Exámenes'!$E$5:$E$1000, MATCH(A447&amp;"|"&amp;J447, 'Base Exámenes'!$I$5:$I$1000, 0))), ""), "")</f>
        <v/>
      </c>
      <c r="I447" s="10" t="str">
        <f>IF(F447="Completado", IFERROR(IF(INDEX('Base Exámenes'!$F$5:$F$1000, MATCH(A447&amp;"|"&amp;J447, 'Base Exámenes'!$I$5:$I$1000, 0))="", "", INDEX('Base Exámenes'!$F$5:$F$1000, MATCH(A447&amp;"|"&amp;J447, 'Base Exámenes'!$I$5:$I$1000, 0))), ""), "")</f>
        <v/>
      </c>
      <c r="J447" s="6" t="str">
        <f>IF(F447="Completado", IF(COUNTIFS('Base Exámenes'!$C$5:$C$1000, A447, 'Base Exámenes'!$G$5:$G$1000, "&lt;&gt;")=0, "", _xlfn.MAXIFS('Base Exámenes'!$G$5:$G$1000, 'Base Exámenes'!$C$5:$C$1000, A447)), "")</f>
        <v/>
      </c>
      <c r="K447" s="6" t="str">
        <f>IF(F447="Completado", IFERROR(IF(INDEX('Base Exámenes'!$H$5:$H$1000, MATCH(A447&amp;"|"&amp;J447, 'Base Exámenes'!$I$5:$I$1000, 0))="", "", INDEX('Base Exámenes'!$H$5:$H$1000, MATCH(A447&amp;"|"&amp;J447, 'Base Exámenes'!$I$5:$I$1000, 0))), ""), "")</f>
        <v/>
      </c>
      <c r="L447" s="22" t="str">
        <f>IF($A447="","",COUNTIF('Base Exámenes'!$C$5:$C$1000, A447))</f>
        <v/>
      </c>
      <c r="M447" s="6" t="str">
        <f>IF($A447="","",IF(COUNTIF('Base Exámenes'!$C$5:$C$1000, A447)&gt;0, "", TRIM('Base Oficial'!H447)))</f>
        <v/>
      </c>
    </row>
    <row r="448">
      <c r="A448" s="4" t="str">
        <f>IF('Base Oficial'!A448="","",TRIM('Base Oficial'!A448))</f>
        <v/>
      </c>
      <c r="B448" s="6" t="str">
        <f>IF($A448="","",TRIM('Base Oficial'!B448))</f>
        <v/>
      </c>
      <c r="C448" s="6" t="str">
        <f>IF($A448="","",TRIM('Base Oficial'!F448))</f>
        <v/>
      </c>
      <c r="D448" s="6" t="str">
        <f>IF($A448="","",TRIM('Base Oficial'!G448))</f>
        <v/>
      </c>
      <c r="E448" s="6" t="str">
        <f>IF($A448="","",TRIM('Base Oficial'!D448))</f>
        <v/>
      </c>
      <c r="F448" s="4" t="str">
        <f>IF($A448="","",IF(COUNTIF('Base Exámenes'!$C$5:$C$1000, A448)&gt;0, "Completado", IF(M448&lt;&gt;"", M448, "Pendiente")))</f>
        <v/>
      </c>
      <c r="G448" s="11" t="str">
        <f>IF(F448="Completado", IFERROR(IF(INDEX('Base Exámenes'!$D$5:$D$1000, MATCH(A448&amp;"|"&amp;J448, 'Base Exámenes'!$I$5:$I$1000, 0))="", "", INDEX('Base Exámenes'!$D$5:$D$1000, MATCH(A448&amp;"|"&amp;J448, 'Base Exámenes'!$I$5:$I$1000, 0))), ""), "")</f>
        <v/>
      </c>
      <c r="H448" s="11" t="str">
        <f>IF(F448="Completado", IFERROR(IF(INDEX('Base Exámenes'!$E$5:$E$1000, MATCH(A448&amp;"|"&amp;J448, 'Base Exámenes'!$I$5:$I$1000, 0))="", "", INDEX('Base Exámenes'!$E$5:$E$1000, MATCH(A448&amp;"|"&amp;J448, 'Base Exámenes'!$I$5:$I$1000, 0))), ""), "")</f>
        <v/>
      </c>
      <c r="I448" s="10" t="str">
        <f>IF(F448="Completado", IFERROR(IF(INDEX('Base Exámenes'!$F$5:$F$1000, MATCH(A448&amp;"|"&amp;J448, 'Base Exámenes'!$I$5:$I$1000, 0))="", "", INDEX('Base Exámenes'!$F$5:$F$1000, MATCH(A448&amp;"|"&amp;J448, 'Base Exámenes'!$I$5:$I$1000, 0))), ""), "")</f>
        <v/>
      </c>
      <c r="J448" s="6" t="str">
        <f>IF(F448="Completado", IF(COUNTIFS('Base Exámenes'!$C$5:$C$1000, A448, 'Base Exámenes'!$G$5:$G$1000, "&lt;&gt;")=0, "", _xlfn.MAXIFS('Base Exámenes'!$G$5:$G$1000, 'Base Exámenes'!$C$5:$C$1000, A448)), "")</f>
        <v/>
      </c>
      <c r="K448" s="6" t="str">
        <f>IF(F448="Completado", IFERROR(IF(INDEX('Base Exámenes'!$H$5:$H$1000, MATCH(A448&amp;"|"&amp;J448, 'Base Exámenes'!$I$5:$I$1000, 0))="", "", INDEX('Base Exámenes'!$H$5:$H$1000, MATCH(A448&amp;"|"&amp;J448, 'Base Exámenes'!$I$5:$I$1000, 0))), ""), "")</f>
        <v/>
      </c>
      <c r="L448" s="22" t="str">
        <f>IF($A448="","",COUNTIF('Base Exámenes'!$C$5:$C$1000, A448))</f>
        <v/>
      </c>
      <c r="M448" s="6" t="str">
        <f>IF($A448="","",IF(COUNTIF('Base Exámenes'!$C$5:$C$1000, A448)&gt;0, "", TRIM('Base Oficial'!H448)))</f>
        <v/>
      </c>
    </row>
    <row r="449">
      <c r="A449" s="4" t="str">
        <f>IF('Base Oficial'!A449="","",TRIM('Base Oficial'!A449))</f>
        <v/>
      </c>
      <c r="B449" s="6" t="str">
        <f>IF($A449="","",TRIM('Base Oficial'!B449))</f>
        <v/>
      </c>
      <c r="C449" s="6" t="str">
        <f>IF($A449="","",TRIM('Base Oficial'!F449))</f>
        <v/>
      </c>
      <c r="D449" s="6" t="str">
        <f>IF($A449="","",TRIM('Base Oficial'!G449))</f>
        <v/>
      </c>
      <c r="E449" s="6" t="str">
        <f>IF($A449="","",TRIM('Base Oficial'!D449))</f>
        <v/>
      </c>
      <c r="F449" s="4" t="str">
        <f>IF($A449="","",IF(COUNTIF('Base Exámenes'!$C$5:$C$1000, A449)&gt;0, "Completado", IF(M449&lt;&gt;"", M449, "Pendiente")))</f>
        <v/>
      </c>
      <c r="G449" s="11" t="str">
        <f>IF(F449="Completado", IFERROR(IF(INDEX('Base Exámenes'!$D$5:$D$1000, MATCH(A449&amp;"|"&amp;J449, 'Base Exámenes'!$I$5:$I$1000, 0))="", "", INDEX('Base Exámenes'!$D$5:$D$1000, MATCH(A449&amp;"|"&amp;J449, 'Base Exámenes'!$I$5:$I$1000, 0))), ""), "")</f>
        <v/>
      </c>
      <c r="H449" s="11" t="str">
        <f>IF(F449="Completado", IFERROR(IF(INDEX('Base Exámenes'!$E$5:$E$1000, MATCH(A449&amp;"|"&amp;J449, 'Base Exámenes'!$I$5:$I$1000, 0))="", "", INDEX('Base Exámenes'!$E$5:$E$1000, MATCH(A449&amp;"|"&amp;J449, 'Base Exámenes'!$I$5:$I$1000, 0))), ""), "")</f>
        <v/>
      </c>
      <c r="I449" s="10" t="str">
        <f>IF(F449="Completado", IFERROR(IF(INDEX('Base Exámenes'!$F$5:$F$1000, MATCH(A449&amp;"|"&amp;J449, 'Base Exámenes'!$I$5:$I$1000, 0))="", "", INDEX('Base Exámenes'!$F$5:$F$1000, MATCH(A449&amp;"|"&amp;J449, 'Base Exámenes'!$I$5:$I$1000, 0))), ""), "")</f>
        <v/>
      </c>
      <c r="J449" s="6" t="str">
        <f>IF(F449="Completado", IF(COUNTIFS('Base Exámenes'!$C$5:$C$1000, A449, 'Base Exámenes'!$G$5:$G$1000, "&lt;&gt;")=0, "", _xlfn.MAXIFS('Base Exámenes'!$G$5:$G$1000, 'Base Exámenes'!$C$5:$C$1000, A449)), "")</f>
        <v/>
      </c>
      <c r="K449" s="6" t="str">
        <f>IF(F449="Completado", IFERROR(IF(INDEX('Base Exámenes'!$H$5:$H$1000, MATCH(A449&amp;"|"&amp;J449, 'Base Exámenes'!$I$5:$I$1000, 0))="", "", INDEX('Base Exámenes'!$H$5:$H$1000, MATCH(A449&amp;"|"&amp;J449, 'Base Exámenes'!$I$5:$I$1000, 0))), ""), "")</f>
        <v/>
      </c>
      <c r="L449" s="22" t="str">
        <f>IF($A449="","",COUNTIF('Base Exámenes'!$C$5:$C$1000, A449))</f>
        <v/>
      </c>
      <c r="M449" s="6" t="str">
        <f>IF($A449="","",IF(COUNTIF('Base Exámenes'!$C$5:$C$1000, A449)&gt;0, "", TRIM('Base Oficial'!H449)))</f>
        <v/>
      </c>
    </row>
    <row r="450">
      <c r="A450" s="4" t="str">
        <f>IF('Base Oficial'!A450="","",TRIM('Base Oficial'!A450))</f>
        <v/>
      </c>
      <c r="B450" s="6" t="str">
        <f>IF($A450="","",TRIM('Base Oficial'!B450))</f>
        <v/>
      </c>
      <c r="C450" s="6" t="str">
        <f>IF($A450="","",TRIM('Base Oficial'!F450))</f>
        <v/>
      </c>
      <c r="D450" s="6" t="str">
        <f>IF($A450="","",TRIM('Base Oficial'!G450))</f>
        <v/>
      </c>
      <c r="E450" s="6" t="str">
        <f>IF($A450="","",TRIM('Base Oficial'!D450))</f>
        <v/>
      </c>
      <c r="F450" s="4" t="str">
        <f>IF($A450="","",IF(COUNTIF('Base Exámenes'!$C$5:$C$1000, A450)&gt;0, "Completado", IF(M450&lt;&gt;"", M450, "Pendiente")))</f>
        <v/>
      </c>
      <c r="G450" s="11" t="str">
        <f>IF(F450="Completado", IFERROR(IF(INDEX('Base Exámenes'!$D$5:$D$1000, MATCH(A450&amp;"|"&amp;J450, 'Base Exámenes'!$I$5:$I$1000, 0))="", "", INDEX('Base Exámenes'!$D$5:$D$1000, MATCH(A450&amp;"|"&amp;J450, 'Base Exámenes'!$I$5:$I$1000, 0))), ""), "")</f>
        <v/>
      </c>
      <c r="H450" s="11" t="str">
        <f>IF(F450="Completado", IFERROR(IF(INDEX('Base Exámenes'!$E$5:$E$1000, MATCH(A450&amp;"|"&amp;J450, 'Base Exámenes'!$I$5:$I$1000, 0))="", "", INDEX('Base Exámenes'!$E$5:$E$1000, MATCH(A450&amp;"|"&amp;J450, 'Base Exámenes'!$I$5:$I$1000, 0))), ""), "")</f>
        <v/>
      </c>
      <c r="I450" s="10" t="str">
        <f>IF(F450="Completado", IFERROR(IF(INDEX('Base Exámenes'!$F$5:$F$1000, MATCH(A450&amp;"|"&amp;J450, 'Base Exámenes'!$I$5:$I$1000, 0))="", "", INDEX('Base Exámenes'!$F$5:$F$1000, MATCH(A450&amp;"|"&amp;J450, 'Base Exámenes'!$I$5:$I$1000, 0))), ""), "")</f>
        <v/>
      </c>
      <c r="J450" s="6" t="str">
        <f>IF(F450="Completado", IF(COUNTIFS('Base Exámenes'!$C$5:$C$1000, A450, 'Base Exámenes'!$G$5:$G$1000, "&lt;&gt;")=0, "", _xlfn.MAXIFS('Base Exámenes'!$G$5:$G$1000, 'Base Exámenes'!$C$5:$C$1000, A450)), "")</f>
        <v/>
      </c>
      <c r="K450" s="6" t="str">
        <f>IF(F450="Completado", IFERROR(IF(INDEX('Base Exámenes'!$H$5:$H$1000, MATCH(A450&amp;"|"&amp;J450, 'Base Exámenes'!$I$5:$I$1000, 0))="", "", INDEX('Base Exámenes'!$H$5:$H$1000, MATCH(A450&amp;"|"&amp;J450, 'Base Exámenes'!$I$5:$I$1000, 0))), ""), "")</f>
        <v/>
      </c>
      <c r="L450" s="22" t="str">
        <f>IF($A450="","",COUNTIF('Base Exámenes'!$C$5:$C$1000, A450))</f>
        <v/>
      </c>
      <c r="M450" s="6" t="str">
        <f>IF($A450="","",IF(COUNTIF('Base Exámenes'!$C$5:$C$1000, A450)&gt;0, "", TRIM('Base Oficial'!H450)))</f>
        <v/>
      </c>
    </row>
    <row r="451">
      <c r="A451" s="4" t="str">
        <f>IF('Base Oficial'!A451="","",TRIM('Base Oficial'!A451))</f>
        <v/>
      </c>
      <c r="B451" s="6" t="str">
        <f>IF($A451="","",TRIM('Base Oficial'!B451))</f>
        <v/>
      </c>
      <c r="C451" s="6" t="str">
        <f>IF($A451="","",TRIM('Base Oficial'!F451))</f>
        <v/>
      </c>
      <c r="D451" s="6" t="str">
        <f>IF($A451="","",TRIM('Base Oficial'!G451))</f>
        <v/>
      </c>
      <c r="E451" s="6" t="str">
        <f>IF($A451="","",TRIM('Base Oficial'!D451))</f>
        <v/>
      </c>
      <c r="F451" s="4" t="str">
        <f>IF($A451="","",IF(COUNTIF('Base Exámenes'!$C$5:$C$1000, A451)&gt;0, "Completado", IF(M451&lt;&gt;"", M451, "Pendiente")))</f>
        <v/>
      </c>
      <c r="G451" s="11" t="str">
        <f>IF(F451="Completado", IFERROR(IF(INDEX('Base Exámenes'!$D$5:$D$1000, MATCH(A451&amp;"|"&amp;J451, 'Base Exámenes'!$I$5:$I$1000, 0))="", "", INDEX('Base Exámenes'!$D$5:$D$1000, MATCH(A451&amp;"|"&amp;J451, 'Base Exámenes'!$I$5:$I$1000, 0))), ""), "")</f>
        <v/>
      </c>
      <c r="H451" s="11" t="str">
        <f>IF(F451="Completado", IFERROR(IF(INDEX('Base Exámenes'!$E$5:$E$1000, MATCH(A451&amp;"|"&amp;J451, 'Base Exámenes'!$I$5:$I$1000, 0))="", "", INDEX('Base Exámenes'!$E$5:$E$1000, MATCH(A451&amp;"|"&amp;J451, 'Base Exámenes'!$I$5:$I$1000, 0))), ""), "")</f>
        <v/>
      </c>
      <c r="I451" s="10" t="str">
        <f>IF(F451="Completado", IFERROR(IF(INDEX('Base Exámenes'!$F$5:$F$1000, MATCH(A451&amp;"|"&amp;J451, 'Base Exámenes'!$I$5:$I$1000, 0))="", "", INDEX('Base Exámenes'!$F$5:$F$1000, MATCH(A451&amp;"|"&amp;J451, 'Base Exámenes'!$I$5:$I$1000, 0))), ""), "")</f>
        <v/>
      </c>
      <c r="J451" s="6" t="str">
        <f>IF(F451="Completado", IF(COUNTIFS('Base Exámenes'!$C$5:$C$1000, A451, 'Base Exámenes'!$G$5:$G$1000, "&lt;&gt;")=0, "", _xlfn.MAXIFS('Base Exámenes'!$G$5:$G$1000, 'Base Exámenes'!$C$5:$C$1000, A451)), "")</f>
        <v/>
      </c>
      <c r="K451" s="6" t="str">
        <f>IF(F451="Completado", IFERROR(IF(INDEX('Base Exámenes'!$H$5:$H$1000, MATCH(A451&amp;"|"&amp;J451, 'Base Exámenes'!$I$5:$I$1000, 0))="", "", INDEX('Base Exámenes'!$H$5:$H$1000, MATCH(A451&amp;"|"&amp;J451, 'Base Exámenes'!$I$5:$I$1000, 0))), ""), "")</f>
        <v/>
      </c>
      <c r="L451" s="22" t="str">
        <f>IF($A451="","",COUNTIF('Base Exámenes'!$C$5:$C$1000, A451))</f>
        <v/>
      </c>
      <c r="M451" s="6" t="str">
        <f>IF($A451="","",IF(COUNTIF('Base Exámenes'!$C$5:$C$1000, A451)&gt;0, "", TRIM('Base Oficial'!H451)))</f>
        <v/>
      </c>
    </row>
    <row r="452">
      <c r="A452" s="4" t="str">
        <f>IF('Base Oficial'!A452="","",TRIM('Base Oficial'!A452))</f>
        <v/>
      </c>
      <c r="B452" s="6" t="str">
        <f>IF($A452="","",TRIM('Base Oficial'!B452))</f>
        <v/>
      </c>
      <c r="C452" s="6" t="str">
        <f>IF($A452="","",TRIM('Base Oficial'!F452))</f>
        <v/>
      </c>
      <c r="D452" s="6" t="str">
        <f>IF($A452="","",TRIM('Base Oficial'!G452))</f>
        <v/>
      </c>
      <c r="E452" s="6" t="str">
        <f>IF($A452="","",TRIM('Base Oficial'!D452))</f>
        <v/>
      </c>
      <c r="F452" s="4" t="str">
        <f>IF($A452="","",IF(COUNTIF('Base Exámenes'!$C$5:$C$1000, A452)&gt;0, "Completado", IF(M452&lt;&gt;"", M452, "Pendiente")))</f>
        <v/>
      </c>
      <c r="G452" s="11" t="str">
        <f>IF(F452="Completado", IFERROR(IF(INDEX('Base Exámenes'!$D$5:$D$1000, MATCH(A452&amp;"|"&amp;J452, 'Base Exámenes'!$I$5:$I$1000, 0))="", "", INDEX('Base Exámenes'!$D$5:$D$1000, MATCH(A452&amp;"|"&amp;J452, 'Base Exámenes'!$I$5:$I$1000, 0))), ""), "")</f>
        <v/>
      </c>
      <c r="H452" s="11" t="str">
        <f>IF(F452="Completado", IFERROR(IF(INDEX('Base Exámenes'!$E$5:$E$1000, MATCH(A452&amp;"|"&amp;J452, 'Base Exámenes'!$I$5:$I$1000, 0))="", "", INDEX('Base Exámenes'!$E$5:$E$1000, MATCH(A452&amp;"|"&amp;J452, 'Base Exámenes'!$I$5:$I$1000, 0))), ""), "")</f>
        <v/>
      </c>
      <c r="I452" s="10" t="str">
        <f>IF(F452="Completado", IFERROR(IF(INDEX('Base Exámenes'!$F$5:$F$1000, MATCH(A452&amp;"|"&amp;J452, 'Base Exámenes'!$I$5:$I$1000, 0))="", "", INDEX('Base Exámenes'!$F$5:$F$1000, MATCH(A452&amp;"|"&amp;J452, 'Base Exámenes'!$I$5:$I$1000, 0))), ""), "")</f>
        <v/>
      </c>
      <c r="J452" s="6" t="str">
        <f>IF(F452="Completado", IF(COUNTIFS('Base Exámenes'!$C$5:$C$1000, A452, 'Base Exámenes'!$G$5:$G$1000, "&lt;&gt;")=0, "", _xlfn.MAXIFS('Base Exámenes'!$G$5:$G$1000, 'Base Exámenes'!$C$5:$C$1000, A452)), "")</f>
        <v/>
      </c>
      <c r="K452" s="6" t="str">
        <f>IF(F452="Completado", IFERROR(IF(INDEX('Base Exámenes'!$H$5:$H$1000, MATCH(A452&amp;"|"&amp;J452, 'Base Exámenes'!$I$5:$I$1000, 0))="", "", INDEX('Base Exámenes'!$H$5:$H$1000, MATCH(A452&amp;"|"&amp;J452, 'Base Exámenes'!$I$5:$I$1000, 0))), ""), "")</f>
        <v/>
      </c>
      <c r="L452" s="22" t="str">
        <f>IF($A452="","",COUNTIF('Base Exámenes'!$C$5:$C$1000, A452))</f>
        <v/>
      </c>
      <c r="M452" s="6" t="str">
        <f>IF($A452="","",IF(COUNTIF('Base Exámenes'!$C$5:$C$1000, A452)&gt;0, "", TRIM('Base Oficial'!H452)))</f>
        <v/>
      </c>
    </row>
    <row r="453">
      <c r="A453" s="4" t="str">
        <f>IF('Base Oficial'!A453="","",TRIM('Base Oficial'!A453))</f>
        <v/>
      </c>
      <c r="B453" s="6" t="str">
        <f>IF($A453="","",TRIM('Base Oficial'!B453))</f>
        <v/>
      </c>
      <c r="C453" s="6" t="str">
        <f>IF($A453="","",TRIM('Base Oficial'!F453))</f>
        <v/>
      </c>
      <c r="D453" s="6" t="str">
        <f>IF($A453="","",TRIM('Base Oficial'!G453))</f>
        <v/>
      </c>
      <c r="E453" s="6" t="str">
        <f>IF($A453="","",TRIM('Base Oficial'!D453))</f>
        <v/>
      </c>
      <c r="F453" s="4" t="str">
        <f>IF($A453="","",IF(COUNTIF('Base Exámenes'!$C$5:$C$1000, A453)&gt;0, "Completado", IF(M453&lt;&gt;"", M453, "Pendiente")))</f>
        <v/>
      </c>
      <c r="G453" s="11" t="str">
        <f>IF(F453="Completado", IFERROR(IF(INDEX('Base Exámenes'!$D$5:$D$1000, MATCH(A453&amp;"|"&amp;J453, 'Base Exámenes'!$I$5:$I$1000, 0))="", "", INDEX('Base Exámenes'!$D$5:$D$1000, MATCH(A453&amp;"|"&amp;J453, 'Base Exámenes'!$I$5:$I$1000, 0))), ""), "")</f>
        <v/>
      </c>
      <c r="H453" s="11" t="str">
        <f>IF(F453="Completado", IFERROR(IF(INDEX('Base Exámenes'!$E$5:$E$1000, MATCH(A453&amp;"|"&amp;J453, 'Base Exámenes'!$I$5:$I$1000, 0))="", "", INDEX('Base Exámenes'!$E$5:$E$1000, MATCH(A453&amp;"|"&amp;J453, 'Base Exámenes'!$I$5:$I$1000, 0))), ""), "")</f>
        <v/>
      </c>
      <c r="I453" s="10" t="str">
        <f>IF(F453="Completado", IFERROR(IF(INDEX('Base Exámenes'!$F$5:$F$1000, MATCH(A453&amp;"|"&amp;J453, 'Base Exámenes'!$I$5:$I$1000, 0))="", "", INDEX('Base Exámenes'!$F$5:$F$1000, MATCH(A453&amp;"|"&amp;J453, 'Base Exámenes'!$I$5:$I$1000, 0))), ""), "")</f>
        <v/>
      </c>
      <c r="J453" s="6" t="str">
        <f>IF(F453="Completado", IF(COUNTIFS('Base Exámenes'!$C$5:$C$1000, A453, 'Base Exámenes'!$G$5:$G$1000, "&lt;&gt;")=0, "", _xlfn.MAXIFS('Base Exámenes'!$G$5:$G$1000, 'Base Exámenes'!$C$5:$C$1000, A453)), "")</f>
        <v/>
      </c>
      <c r="K453" s="6" t="str">
        <f>IF(F453="Completado", IFERROR(IF(INDEX('Base Exámenes'!$H$5:$H$1000, MATCH(A453&amp;"|"&amp;J453, 'Base Exámenes'!$I$5:$I$1000, 0))="", "", INDEX('Base Exámenes'!$H$5:$H$1000, MATCH(A453&amp;"|"&amp;J453, 'Base Exámenes'!$I$5:$I$1000, 0))), ""), "")</f>
        <v/>
      </c>
      <c r="L453" s="22" t="str">
        <f>IF($A453="","",COUNTIF('Base Exámenes'!$C$5:$C$1000, A453))</f>
        <v/>
      </c>
      <c r="M453" s="6" t="str">
        <f>IF($A453="","",IF(COUNTIF('Base Exámenes'!$C$5:$C$1000, A453)&gt;0, "", TRIM('Base Oficial'!H453)))</f>
        <v/>
      </c>
    </row>
    <row r="454">
      <c r="A454" s="4" t="str">
        <f>IF('Base Oficial'!A454="","",TRIM('Base Oficial'!A454))</f>
        <v/>
      </c>
      <c r="B454" s="6" t="str">
        <f>IF($A454="","",TRIM('Base Oficial'!B454))</f>
        <v/>
      </c>
      <c r="C454" s="6" t="str">
        <f>IF($A454="","",TRIM('Base Oficial'!F454))</f>
        <v/>
      </c>
      <c r="D454" s="6" t="str">
        <f>IF($A454="","",TRIM('Base Oficial'!G454))</f>
        <v/>
      </c>
      <c r="E454" s="6" t="str">
        <f>IF($A454="","",TRIM('Base Oficial'!D454))</f>
        <v/>
      </c>
      <c r="F454" s="4" t="str">
        <f>IF($A454="","",IF(COUNTIF('Base Exámenes'!$C$5:$C$1000, A454)&gt;0, "Completado", IF(M454&lt;&gt;"", M454, "Pendiente")))</f>
        <v/>
      </c>
      <c r="G454" s="11" t="str">
        <f>IF(F454="Completado", IFERROR(IF(INDEX('Base Exámenes'!$D$5:$D$1000, MATCH(A454&amp;"|"&amp;J454, 'Base Exámenes'!$I$5:$I$1000, 0))="", "", INDEX('Base Exámenes'!$D$5:$D$1000, MATCH(A454&amp;"|"&amp;J454, 'Base Exámenes'!$I$5:$I$1000, 0))), ""), "")</f>
        <v/>
      </c>
      <c r="H454" s="11" t="str">
        <f>IF(F454="Completado", IFERROR(IF(INDEX('Base Exámenes'!$E$5:$E$1000, MATCH(A454&amp;"|"&amp;J454, 'Base Exámenes'!$I$5:$I$1000, 0))="", "", INDEX('Base Exámenes'!$E$5:$E$1000, MATCH(A454&amp;"|"&amp;J454, 'Base Exámenes'!$I$5:$I$1000, 0))), ""), "")</f>
        <v/>
      </c>
      <c r="I454" s="10" t="str">
        <f>IF(F454="Completado", IFERROR(IF(INDEX('Base Exámenes'!$F$5:$F$1000, MATCH(A454&amp;"|"&amp;J454, 'Base Exámenes'!$I$5:$I$1000, 0))="", "", INDEX('Base Exámenes'!$F$5:$F$1000, MATCH(A454&amp;"|"&amp;J454, 'Base Exámenes'!$I$5:$I$1000, 0))), ""), "")</f>
        <v/>
      </c>
      <c r="J454" s="6" t="str">
        <f>IF(F454="Completado", IF(COUNTIFS('Base Exámenes'!$C$5:$C$1000, A454, 'Base Exámenes'!$G$5:$G$1000, "&lt;&gt;")=0, "", _xlfn.MAXIFS('Base Exámenes'!$G$5:$G$1000, 'Base Exámenes'!$C$5:$C$1000, A454)), "")</f>
        <v/>
      </c>
      <c r="K454" s="6" t="str">
        <f>IF(F454="Completado", IFERROR(IF(INDEX('Base Exámenes'!$H$5:$H$1000, MATCH(A454&amp;"|"&amp;J454, 'Base Exámenes'!$I$5:$I$1000, 0))="", "", INDEX('Base Exámenes'!$H$5:$H$1000, MATCH(A454&amp;"|"&amp;J454, 'Base Exámenes'!$I$5:$I$1000, 0))), ""), "")</f>
        <v/>
      </c>
      <c r="L454" s="22" t="str">
        <f>IF($A454="","",COUNTIF('Base Exámenes'!$C$5:$C$1000, A454))</f>
        <v/>
      </c>
      <c r="M454" s="6" t="str">
        <f>IF($A454="","",IF(COUNTIF('Base Exámenes'!$C$5:$C$1000, A454)&gt;0, "", TRIM('Base Oficial'!H454)))</f>
        <v/>
      </c>
    </row>
    <row r="455">
      <c r="A455" s="4" t="str">
        <f>IF('Base Oficial'!A455="","",TRIM('Base Oficial'!A455))</f>
        <v/>
      </c>
      <c r="B455" s="6" t="str">
        <f>IF($A455="","",TRIM('Base Oficial'!B455))</f>
        <v/>
      </c>
      <c r="C455" s="6" t="str">
        <f>IF($A455="","",TRIM('Base Oficial'!F455))</f>
        <v/>
      </c>
      <c r="D455" s="6" t="str">
        <f>IF($A455="","",TRIM('Base Oficial'!G455))</f>
        <v/>
      </c>
      <c r="E455" s="6" t="str">
        <f>IF($A455="","",TRIM('Base Oficial'!D455))</f>
        <v/>
      </c>
      <c r="F455" s="4" t="str">
        <f>IF($A455="","",IF(COUNTIF('Base Exámenes'!$C$5:$C$1000, A455)&gt;0, "Completado", IF(M455&lt;&gt;"", M455, "Pendiente")))</f>
        <v/>
      </c>
      <c r="G455" s="11" t="str">
        <f>IF(F455="Completado", IFERROR(IF(INDEX('Base Exámenes'!$D$5:$D$1000, MATCH(A455&amp;"|"&amp;J455, 'Base Exámenes'!$I$5:$I$1000, 0))="", "", INDEX('Base Exámenes'!$D$5:$D$1000, MATCH(A455&amp;"|"&amp;J455, 'Base Exámenes'!$I$5:$I$1000, 0))), ""), "")</f>
        <v/>
      </c>
      <c r="H455" s="11" t="str">
        <f>IF(F455="Completado", IFERROR(IF(INDEX('Base Exámenes'!$E$5:$E$1000, MATCH(A455&amp;"|"&amp;J455, 'Base Exámenes'!$I$5:$I$1000, 0))="", "", INDEX('Base Exámenes'!$E$5:$E$1000, MATCH(A455&amp;"|"&amp;J455, 'Base Exámenes'!$I$5:$I$1000, 0))), ""), "")</f>
        <v/>
      </c>
      <c r="I455" s="10" t="str">
        <f>IF(F455="Completado", IFERROR(IF(INDEX('Base Exámenes'!$F$5:$F$1000, MATCH(A455&amp;"|"&amp;J455, 'Base Exámenes'!$I$5:$I$1000, 0))="", "", INDEX('Base Exámenes'!$F$5:$F$1000, MATCH(A455&amp;"|"&amp;J455, 'Base Exámenes'!$I$5:$I$1000, 0))), ""), "")</f>
        <v/>
      </c>
      <c r="J455" s="6" t="str">
        <f>IF(F455="Completado", IF(COUNTIFS('Base Exámenes'!$C$5:$C$1000, A455, 'Base Exámenes'!$G$5:$G$1000, "&lt;&gt;")=0, "", _xlfn.MAXIFS('Base Exámenes'!$G$5:$G$1000, 'Base Exámenes'!$C$5:$C$1000, A455)), "")</f>
        <v/>
      </c>
      <c r="K455" s="6" t="str">
        <f>IF(F455="Completado", IFERROR(IF(INDEX('Base Exámenes'!$H$5:$H$1000, MATCH(A455&amp;"|"&amp;J455, 'Base Exámenes'!$I$5:$I$1000, 0))="", "", INDEX('Base Exámenes'!$H$5:$H$1000, MATCH(A455&amp;"|"&amp;J455, 'Base Exámenes'!$I$5:$I$1000, 0))), ""), "")</f>
        <v/>
      </c>
      <c r="L455" s="22" t="str">
        <f>IF($A455="","",COUNTIF('Base Exámenes'!$C$5:$C$1000, A455))</f>
        <v/>
      </c>
      <c r="M455" s="6" t="str">
        <f>IF($A455="","",IF(COUNTIF('Base Exámenes'!$C$5:$C$1000, A455)&gt;0, "", TRIM('Base Oficial'!H455)))</f>
        <v/>
      </c>
    </row>
    <row r="456">
      <c r="A456" s="4" t="str">
        <f>IF('Base Oficial'!A456="","",TRIM('Base Oficial'!A456))</f>
        <v/>
      </c>
      <c r="B456" s="6" t="str">
        <f>IF($A456="","",TRIM('Base Oficial'!B456))</f>
        <v/>
      </c>
      <c r="C456" s="6" t="str">
        <f>IF($A456="","",TRIM('Base Oficial'!F456))</f>
        <v/>
      </c>
      <c r="D456" s="6" t="str">
        <f>IF($A456="","",TRIM('Base Oficial'!G456))</f>
        <v/>
      </c>
      <c r="E456" s="6" t="str">
        <f>IF($A456="","",TRIM('Base Oficial'!D456))</f>
        <v/>
      </c>
      <c r="F456" s="4" t="str">
        <f>IF($A456="","",IF(COUNTIF('Base Exámenes'!$C$5:$C$1000, A456)&gt;0, "Completado", IF(M456&lt;&gt;"", M456, "Pendiente")))</f>
        <v/>
      </c>
      <c r="G456" s="11" t="str">
        <f>IF(F456="Completado", IFERROR(IF(INDEX('Base Exámenes'!$D$5:$D$1000, MATCH(A456&amp;"|"&amp;J456, 'Base Exámenes'!$I$5:$I$1000, 0))="", "", INDEX('Base Exámenes'!$D$5:$D$1000, MATCH(A456&amp;"|"&amp;J456, 'Base Exámenes'!$I$5:$I$1000, 0))), ""), "")</f>
        <v/>
      </c>
      <c r="H456" s="11" t="str">
        <f>IF(F456="Completado", IFERROR(IF(INDEX('Base Exámenes'!$E$5:$E$1000, MATCH(A456&amp;"|"&amp;J456, 'Base Exámenes'!$I$5:$I$1000, 0))="", "", INDEX('Base Exámenes'!$E$5:$E$1000, MATCH(A456&amp;"|"&amp;J456, 'Base Exámenes'!$I$5:$I$1000, 0))), ""), "")</f>
        <v/>
      </c>
      <c r="I456" s="10" t="str">
        <f>IF(F456="Completado", IFERROR(IF(INDEX('Base Exámenes'!$F$5:$F$1000, MATCH(A456&amp;"|"&amp;J456, 'Base Exámenes'!$I$5:$I$1000, 0))="", "", INDEX('Base Exámenes'!$F$5:$F$1000, MATCH(A456&amp;"|"&amp;J456, 'Base Exámenes'!$I$5:$I$1000, 0))), ""), "")</f>
        <v/>
      </c>
      <c r="J456" s="6" t="str">
        <f>IF(F456="Completado", IF(COUNTIFS('Base Exámenes'!$C$5:$C$1000, A456, 'Base Exámenes'!$G$5:$G$1000, "&lt;&gt;")=0, "", _xlfn.MAXIFS('Base Exámenes'!$G$5:$G$1000, 'Base Exámenes'!$C$5:$C$1000, A456)), "")</f>
        <v/>
      </c>
      <c r="K456" s="6" t="str">
        <f>IF(F456="Completado", IFERROR(IF(INDEX('Base Exámenes'!$H$5:$H$1000, MATCH(A456&amp;"|"&amp;J456, 'Base Exámenes'!$I$5:$I$1000, 0))="", "", INDEX('Base Exámenes'!$H$5:$H$1000, MATCH(A456&amp;"|"&amp;J456, 'Base Exámenes'!$I$5:$I$1000, 0))), ""), "")</f>
        <v/>
      </c>
      <c r="L456" s="22" t="str">
        <f>IF($A456="","",COUNTIF('Base Exámenes'!$C$5:$C$1000, A456))</f>
        <v/>
      </c>
      <c r="M456" s="6" t="str">
        <f>IF($A456="","",IF(COUNTIF('Base Exámenes'!$C$5:$C$1000, A456)&gt;0, "", TRIM('Base Oficial'!H456)))</f>
        <v/>
      </c>
    </row>
    <row r="457">
      <c r="A457" s="4" t="str">
        <f>IF('Base Oficial'!A457="","",TRIM('Base Oficial'!A457))</f>
        <v/>
      </c>
      <c r="B457" s="6" t="str">
        <f>IF($A457="","",TRIM('Base Oficial'!B457))</f>
        <v/>
      </c>
      <c r="C457" s="6" t="str">
        <f>IF($A457="","",TRIM('Base Oficial'!F457))</f>
        <v/>
      </c>
      <c r="D457" s="6" t="str">
        <f>IF($A457="","",TRIM('Base Oficial'!G457))</f>
        <v/>
      </c>
      <c r="E457" s="6" t="str">
        <f>IF($A457="","",TRIM('Base Oficial'!D457))</f>
        <v/>
      </c>
      <c r="F457" s="4" t="str">
        <f>IF($A457="","",IF(COUNTIF('Base Exámenes'!$C$5:$C$1000, A457)&gt;0, "Completado", IF(M457&lt;&gt;"", M457, "Pendiente")))</f>
        <v/>
      </c>
      <c r="G457" s="11" t="str">
        <f>IF(F457="Completado", IFERROR(IF(INDEX('Base Exámenes'!$D$5:$D$1000, MATCH(A457&amp;"|"&amp;J457, 'Base Exámenes'!$I$5:$I$1000, 0))="", "", INDEX('Base Exámenes'!$D$5:$D$1000, MATCH(A457&amp;"|"&amp;J457, 'Base Exámenes'!$I$5:$I$1000, 0))), ""), "")</f>
        <v/>
      </c>
      <c r="H457" s="11" t="str">
        <f>IF(F457="Completado", IFERROR(IF(INDEX('Base Exámenes'!$E$5:$E$1000, MATCH(A457&amp;"|"&amp;J457, 'Base Exámenes'!$I$5:$I$1000, 0))="", "", INDEX('Base Exámenes'!$E$5:$E$1000, MATCH(A457&amp;"|"&amp;J457, 'Base Exámenes'!$I$5:$I$1000, 0))), ""), "")</f>
        <v/>
      </c>
      <c r="I457" s="10" t="str">
        <f>IF(F457="Completado", IFERROR(IF(INDEX('Base Exámenes'!$F$5:$F$1000, MATCH(A457&amp;"|"&amp;J457, 'Base Exámenes'!$I$5:$I$1000, 0))="", "", INDEX('Base Exámenes'!$F$5:$F$1000, MATCH(A457&amp;"|"&amp;J457, 'Base Exámenes'!$I$5:$I$1000, 0))), ""), "")</f>
        <v/>
      </c>
      <c r="J457" s="6" t="str">
        <f>IF(F457="Completado", IF(COUNTIFS('Base Exámenes'!$C$5:$C$1000, A457, 'Base Exámenes'!$G$5:$G$1000, "&lt;&gt;")=0, "", _xlfn.MAXIFS('Base Exámenes'!$G$5:$G$1000, 'Base Exámenes'!$C$5:$C$1000, A457)), "")</f>
        <v/>
      </c>
      <c r="K457" s="6" t="str">
        <f>IF(F457="Completado", IFERROR(IF(INDEX('Base Exámenes'!$H$5:$H$1000, MATCH(A457&amp;"|"&amp;J457, 'Base Exámenes'!$I$5:$I$1000, 0))="", "", INDEX('Base Exámenes'!$H$5:$H$1000, MATCH(A457&amp;"|"&amp;J457, 'Base Exámenes'!$I$5:$I$1000, 0))), ""), "")</f>
        <v/>
      </c>
      <c r="L457" s="22" t="str">
        <f>IF($A457="","",COUNTIF('Base Exámenes'!$C$5:$C$1000, A457))</f>
        <v/>
      </c>
      <c r="M457" s="6" t="str">
        <f>IF($A457="","",IF(COUNTIF('Base Exámenes'!$C$5:$C$1000, A457)&gt;0, "", TRIM('Base Oficial'!H457)))</f>
        <v/>
      </c>
    </row>
    <row r="458">
      <c r="A458" s="4" t="str">
        <f>IF('Base Oficial'!A458="","",TRIM('Base Oficial'!A458))</f>
        <v/>
      </c>
      <c r="B458" s="6" t="str">
        <f>IF($A458="","",TRIM('Base Oficial'!B458))</f>
        <v/>
      </c>
      <c r="C458" s="6" t="str">
        <f>IF($A458="","",TRIM('Base Oficial'!F458))</f>
        <v/>
      </c>
      <c r="D458" s="6" t="str">
        <f>IF($A458="","",TRIM('Base Oficial'!G458))</f>
        <v/>
      </c>
      <c r="E458" s="6" t="str">
        <f>IF($A458="","",TRIM('Base Oficial'!D458))</f>
        <v/>
      </c>
      <c r="F458" s="4" t="str">
        <f>IF($A458="","",IF(COUNTIF('Base Exámenes'!$C$5:$C$1000, A458)&gt;0, "Completado", IF(M458&lt;&gt;"", M458, "Pendiente")))</f>
        <v/>
      </c>
      <c r="G458" s="11" t="str">
        <f>IF(F458="Completado", IFERROR(IF(INDEX('Base Exámenes'!$D$5:$D$1000, MATCH(A458&amp;"|"&amp;J458, 'Base Exámenes'!$I$5:$I$1000, 0))="", "", INDEX('Base Exámenes'!$D$5:$D$1000, MATCH(A458&amp;"|"&amp;J458, 'Base Exámenes'!$I$5:$I$1000, 0))), ""), "")</f>
        <v/>
      </c>
      <c r="H458" s="11" t="str">
        <f>IF(F458="Completado", IFERROR(IF(INDEX('Base Exámenes'!$E$5:$E$1000, MATCH(A458&amp;"|"&amp;J458, 'Base Exámenes'!$I$5:$I$1000, 0))="", "", INDEX('Base Exámenes'!$E$5:$E$1000, MATCH(A458&amp;"|"&amp;J458, 'Base Exámenes'!$I$5:$I$1000, 0))), ""), "")</f>
        <v/>
      </c>
      <c r="I458" s="10" t="str">
        <f>IF(F458="Completado", IFERROR(IF(INDEX('Base Exámenes'!$F$5:$F$1000, MATCH(A458&amp;"|"&amp;J458, 'Base Exámenes'!$I$5:$I$1000, 0))="", "", INDEX('Base Exámenes'!$F$5:$F$1000, MATCH(A458&amp;"|"&amp;J458, 'Base Exámenes'!$I$5:$I$1000, 0))), ""), "")</f>
        <v/>
      </c>
      <c r="J458" s="6" t="str">
        <f>IF(F458="Completado", IF(COUNTIFS('Base Exámenes'!$C$5:$C$1000, A458, 'Base Exámenes'!$G$5:$G$1000, "&lt;&gt;")=0, "", _xlfn.MAXIFS('Base Exámenes'!$G$5:$G$1000, 'Base Exámenes'!$C$5:$C$1000, A458)), "")</f>
        <v/>
      </c>
      <c r="K458" s="6" t="str">
        <f>IF(F458="Completado", IFERROR(IF(INDEX('Base Exámenes'!$H$5:$H$1000, MATCH(A458&amp;"|"&amp;J458, 'Base Exámenes'!$I$5:$I$1000, 0))="", "", INDEX('Base Exámenes'!$H$5:$H$1000, MATCH(A458&amp;"|"&amp;J458, 'Base Exámenes'!$I$5:$I$1000, 0))), ""), "")</f>
        <v/>
      </c>
      <c r="L458" s="22" t="str">
        <f>IF($A458="","",COUNTIF('Base Exámenes'!$C$5:$C$1000, A458))</f>
        <v/>
      </c>
      <c r="M458" s="6" t="str">
        <f>IF($A458="","",IF(COUNTIF('Base Exámenes'!$C$5:$C$1000, A458)&gt;0, "", TRIM('Base Oficial'!H458)))</f>
        <v/>
      </c>
    </row>
    <row r="459">
      <c r="A459" s="4" t="str">
        <f>IF('Base Oficial'!A459="","",TRIM('Base Oficial'!A459))</f>
        <v/>
      </c>
      <c r="B459" s="6" t="str">
        <f>IF($A459="","",TRIM('Base Oficial'!B459))</f>
        <v/>
      </c>
      <c r="C459" s="6" t="str">
        <f>IF($A459="","",TRIM('Base Oficial'!F459))</f>
        <v/>
      </c>
      <c r="D459" s="6" t="str">
        <f>IF($A459="","",TRIM('Base Oficial'!G459))</f>
        <v/>
      </c>
      <c r="E459" s="6" t="str">
        <f>IF($A459="","",TRIM('Base Oficial'!D459))</f>
        <v/>
      </c>
      <c r="F459" s="4" t="str">
        <f>IF($A459="","",IF(COUNTIF('Base Exámenes'!$C$5:$C$1000, A459)&gt;0, "Completado", IF(M459&lt;&gt;"", M459, "Pendiente")))</f>
        <v/>
      </c>
      <c r="G459" s="11" t="str">
        <f>IF(F459="Completado", IFERROR(IF(INDEX('Base Exámenes'!$D$5:$D$1000, MATCH(A459&amp;"|"&amp;J459, 'Base Exámenes'!$I$5:$I$1000, 0))="", "", INDEX('Base Exámenes'!$D$5:$D$1000, MATCH(A459&amp;"|"&amp;J459, 'Base Exámenes'!$I$5:$I$1000, 0))), ""), "")</f>
        <v/>
      </c>
      <c r="H459" s="11" t="str">
        <f>IF(F459="Completado", IFERROR(IF(INDEX('Base Exámenes'!$E$5:$E$1000, MATCH(A459&amp;"|"&amp;J459, 'Base Exámenes'!$I$5:$I$1000, 0))="", "", INDEX('Base Exámenes'!$E$5:$E$1000, MATCH(A459&amp;"|"&amp;J459, 'Base Exámenes'!$I$5:$I$1000, 0))), ""), "")</f>
        <v/>
      </c>
      <c r="I459" s="10" t="str">
        <f>IF(F459="Completado", IFERROR(IF(INDEX('Base Exámenes'!$F$5:$F$1000, MATCH(A459&amp;"|"&amp;J459, 'Base Exámenes'!$I$5:$I$1000, 0))="", "", INDEX('Base Exámenes'!$F$5:$F$1000, MATCH(A459&amp;"|"&amp;J459, 'Base Exámenes'!$I$5:$I$1000, 0))), ""), "")</f>
        <v/>
      </c>
      <c r="J459" s="6" t="str">
        <f>IF(F459="Completado", IF(COUNTIFS('Base Exámenes'!$C$5:$C$1000, A459, 'Base Exámenes'!$G$5:$G$1000, "&lt;&gt;")=0, "", _xlfn.MAXIFS('Base Exámenes'!$G$5:$G$1000, 'Base Exámenes'!$C$5:$C$1000, A459)), "")</f>
        <v/>
      </c>
      <c r="K459" s="6" t="str">
        <f>IF(F459="Completado", IFERROR(IF(INDEX('Base Exámenes'!$H$5:$H$1000, MATCH(A459&amp;"|"&amp;J459, 'Base Exámenes'!$I$5:$I$1000, 0))="", "", INDEX('Base Exámenes'!$H$5:$H$1000, MATCH(A459&amp;"|"&amp;J459, 'Base Exámenes'!$I$5:$I$1000, 0))), ""), "")</f>
        <v/>
      </c>
      <c r="L459" s="22" t="str">
        <f>IF($A459="","",COUNTIF('Base Exámenes'!$C$5:$C$1000, A459))</f>
        <v/>
      </c>
      <c r="M459" s="6" t="str">
        <f>IF($A459="","",IF(COUNTIF('Base Exámenes'!$C$5:$C$1000, A459)&gt;0, "", TRIM('Base Oficial'!H459)))</f>
        <v/>
      </c>
    </row>
    <row r="460">
      <c r="A460" s="4" t="str">
        <f>IF('Base Oficial'!A460="","",TRIM('Base Oficial'!A460))</f>
        <v/>
      </c>
      <c r="B460" s="6" t="str">
        <f>IF($A460="","",TRIM('Base Oficial'!B460))</f>
        <v/>
      </c>
      <c r="C460" s="6" t="str">
        <f>IF($A460="","",TRIM('Base Oficial'!F460))</f>
        <v/>
      </c>
      <c r="D460" s="6" t="str">
        <f>IF($A460="","",TRIM('Base Oficial'!G460))</f>
        <v/>
      </c>
      <c r="E460" s="6" t="str">
        <f>IF($A460="","",TRIM('Base Oficial'!D460))</f>
        <v/>
      </c>
      <c r="F460" s="4" t="str">
        <f>IF($A460="","",IF(COUNTIF('Base Exámenes'!$C$5:$C$1000, A460)&gt;0, "Completado", IF(M460&lt;&gt;"", M460, "Pendiente")))</f>
        <v/>
      </c>
      <c r="G460" s="11" t="str">
        <f>IF(F460="Completado", IFERROR(IF(INDEX('Base Exámenes'!$D$5:$D$1000, MATCH(A460&amp;"|"&amp;J460, 'Base Exámenes'!$I$5:$I$1000, 0))="", "", INDEX('Base Exámenes'!$D$5:$D$1000, MATCH(A460&amp;"|"&amp;J460, 'Base Exámenes'!$I$5:$I$1000, 0))), ""), "")</f>
        <v/>
      </c>
      <c r="H460" s="11" t="str">
        <f>IF(F460="Completado", IFERROR(IF(INDEX('Base Exámenes'!$E$5:$E$1000, MATCH(A460&amp;"|"&amp;J460, 'Base Exámenes'!$I$5:$I$1000, 0))="", "", INDEX('Base Exámenes'!$E$5:$E$1000, MATCH(A460&amp;"|"&amp;J460, 'Base Exámenes'!$I$5:$I$1000, 0))), ""), "")</f>
        <v/>
      </c>
      <c r="I460" s="10" t="str">
        <f>IF(F460="Completado", IFERROR(IF(INDEX('Base Exámenes'!$F$5:$F$1000, MATCH(A460&amp;"|"&amp;J460, 'Base Exámenes'!$I$5:$I$1000, 0))="", "", INDEX('Base Exámenes'!$F$5:$F$1000, MATCH(A460&amp;"|"&amp;J460, 'Base Exámenes'!$I$5:$I$1000, 0))), ""), "")</f>
        <v/>
      </c>
      <c r="J460" s="6" t="str">
        <f>IF(F460="Completado", IF(COUNTIFS('Base Exámenes'!$C$5:$C$1000, A460, 'Base Exámenes'!$G$5:$G$1000, "&lt;&gt;")=0, "", _xlfn.MAXIFS('Base Exámenes'!$G$5:$G$1000, 'Base Exámenes'!$C$5:$C$1000, A460)), "")</f>
        <v/>
      </c>
      <c r="K460" s="6" t="str">
        <f>IF(F460="Completado", IFERROR(IF(INDEX('Base Exámenes'!$H$5:$H$1000, MATCH(A460&amp;"|"&amp;J460, 'Base Exámenes'!$I$5:$I$1000, 0))="", "", INDEX('Base Exámenes'!$H$5:$H$1000, MATCH(A460&amp;"|"&amp;J460, 'Base Exámenes'!$I$5:$I$1000, 0))), ""), "")</f>
        <v/>
      </c>
      <c r="L460" s="22" t="str">
        <f>IF($A460="","",COUNTIF('Base Exámenes'!$C$5:$C$1000, A460))</f>
        <v/>
      </c>
      <c r="M460" s="6" t="str">
        <f>IF($A460="","",IF(COUNTIF('Base Exámenes'!$C$5:$C$1000, A460)&gt;0, "", TRIM('Base Oficial'!H460)))</f>
        <v/>
      </c>
    </row>
    <row r="461">
      <c r="A461" s="4" t="str">
        <f>IF('Base Oficial'!A461="","",TRIM('Base Oficial'!A461))</f>
        <v/>
      </c>
      <c r="B461" s="6" t="str">
        <f>IF($A461="","",TRIM('Base Oficial'!B461))</f>
        <v/>
      </c>
      <c r="C461" s="6" t="str">
        <f>IF($A461="","",TRIM('Base Oficial'!F461))</f>
        <v/>
      </c>
      <c r="D461" s="6" t="str">
        <f>IF($A461="","",TRIM('Base Oficial'!G461))</f>
        <v/>
      </c>
      <c r="E461" s="6" t="str">
        <f>IF($A461="","",TRIM('Base Oficial'!D461))</f>
        <v/>
      </c>
      <c r="F461" s="4" t="str">
        <f>IF($A461="","",IF(COUNTIF('Base Exámenes'!$C$5:$C$1000, A461)&gt;0, "Completado", IF(M461&lt;&gt;"", M461, "Pendiente")))</f>
        <v/>
      </c>
      <c r="G461" s="11" t="str">
        <f>IF(F461="Completado", IFERROR(IF(INDEX('Base Exámenes'!$D$5:$D$1000, MATCH(A461&amp;"|"&amp;J461, 'Base Exámenes'!$I$5:$I$1000, 0))="", "", INDEX('Base Exámenes'!$D$5:$D$1000, MATCH(A461&amp;"|"&amp;J461, 'Base Exámenes'!$I$5:$I$1000, 0))), ""), "")</f>
        <v/>
      </c>
      <c r="H461" s="11" t="str">
        <f>IF(F461="Completado", IFERROR(IF(INDEX('Base Exámenes'!$E$5:$E$1000, MATCH(A461&amp;"|"&amp;J461, 'Base Exámenes'!$I$5:$I$1000, 0))="", "", INDEX('Base Exámenes'!$E$5:$E$1000, MATCH(A461&amp;"|"&amp;J461, 'Base Exámenes'!$I$5:$I$1000, 0))), ""), "")</f>
        <v/>
      </c>
      <c r="I461" s="10" t="str">
        <f>IF(F461="Completado", IFERROR(IF(INDEX('Base Exámenes'!$F$5:$F$1000, MATCH(A461&amp;"|"&amp;J461, 'Base Exámenes'!$I$5:$I$1000, 0))="", "", INDEX('Base Exámenes'!$F$5:$F$1000, MATCH(A461&amp;"|"&amp;J461, 'Base Exámenes'!$I$5:$I$1000, 0))), ""), "")</f>
        <v/>
      </c>
      <c r="J461" s="6" t="str">
        <f>IF(F461="Completado", IF(COUNTIFS('Base Exámenes'!$C$5:$C$1000, A461, 'Base Exámenes'!$G$5:$G$1000, "&lt;&gt;")=0, "", _xlfn.MAXIFS('Base Exámenes'!$G$5:$G$1000, 'Base Exámenes'!$C$5:$C$1000, A461)), "")</f>
        <v/>
      </c>
      <c r="K461" s="6" t="str">
        <f>IF(F461="Completado", IFERROR(IF(INDEX('Base Exámenes'!$H$5:$H$1000, MATCH(A461&amp;"|"&amp;J461, 'Base Exámenes'!$I$5:$I$1000, 0))="", "", INDEX('Base Exámenes'!$H$5:$H$1000, MATCH(A461&amp;"|"&amp;J461, 'Base Exámenes'!$I$5:$I$1000, 0))), ""), "")</f>
        <v/>
      </c>
      <c r="L461" s="22" t="str">
        <f>IF($A461="","",COUNTIF('Base Exámenes'!$C$5:$C$1000, A461))</f>
        <v/>
      </c>
      <c r="M461" s="6" t="str">
        <f>IF($A461="","",IF(COUNTIF('Base Exámenes'!$C$5:$C$1000, A461)&gt;0, "", TRIM('Base Oficial'!H461)))</f>
        <v/>
      </c>
    </row>
    <row r="462">
      <c r="A462" s="4" t="str">
        <f>IF('Base Oficial'!A462="","",TRIM('Base Oficial'!A462))</f>
        <v/>
      </c>
      <c r="B462" s="6" t="str">
        <f>IF($A462="","",TRIM('Base Oficial'!B462))</f>
        <v/>
      </c>
      <c r="C462" s="6" t="str">
        <f>IF($A462="","",TRIM('Base Oficial'!F462))</f>
        <v/>
      </c>
      <c r="D462" s="6" t="str">
        <f>IF($A462="","",TRIM('Base Oficial'!G462))</f>
        <v/>
      </c>
      <c r="E462" s="6" t="str">
        <f>IF($A462="","",TRIM('Base Oficial'!D462))</f>
        <v/>
      </c>
      <c r="F462" s="4" t="str">
        <f>IF($A462="","",IF(COUNTIF('Base Exámenes'!$C$5:$C$1000, A462)&gt;0, "Completado", IF(M462&lt;&gt;"", M462, "Pendiente")))</f>
        <v/>
      </c>
      <c r="G462" s="11" t="str">
        <f>IF(F462="Completado", IFERROR(IF(INDEX('Base Exámenes'!$D$5:$D$1000, MATCH(A462&amp;"|"&amp;J462, 'Base Exámenes'!$I$5:$I$1000, 0))="", "", INDEX('Base Exámenes'!$D$5:$D$1000, MATCH(A462&amp;"|"&amp;J462, 'Base Exámenes'!$I$5:$I$1000, 0))), ""), "")</f>
        <v/>
      </c>
      <c r="H462" s="11" t="str">
        <f>IF(F462="Completado", IFERROR(IF(INDEX('Base Exámenes'!$E$5:$E$1000, MATCH(A462&amp;"|"&amp;J462, 'Base Exámenes'!$I$5:$I$1000, 0))="", "", INDEX('Base Exámenes'!$E$5:$E$1000, MATCH(A462&amp;"|"&amp;J462, 'Base Exámenes'!$I$5:$I$1000, 0))), ""), "")</f>
        <v/>
      </c>
      <c r="I462" s="10" t="str">
        <f>IF(F462="Completado", IFERROR(IF(INDEX('Base Exámenes'!$F$5:$F$1000, MATCH(A462&amp;"|"&amp;J462, 'Base Exámenes'!$I$5:$I$1000, 0))="", "", INDEX('Base Exámenes'!$F$5:$F$1000, MATCH(A462&amp;"|"&amp;J462, 'Base Exámenes'!$I$5:$I$1000, 0))), ""), "")</f>
        <v/>
      </c>
      <c r="J462" s="6" t="str">
        <f>IF(F462="Completado", IF(COUNTIFS('Base Exámenes'!$C$5:$C$1000, A462, 'Base Exámenes'!$G$5:$G$1000, "&lt;&gt;")=0, "", _xlfn.MAXIFS('Base Exámenes'!$G$5:$G$1000, 'Base Exámenes'!$C$5:$C$1000, A462)), "")</f>
        <v/>
      </c>
      <c r="K462" s="6" t="str">
        <f>IF(F462="Completado", IFERROR(IF(INDEX('Base Exámenes'!$H$5:$H$1000, MATCH(A462&amp;"|"&amp;J462, 'Base Exámenes'!$I$5:$I$1000, 0))="", "", INDEX('Base Exámenes'!$H$5:$H$1000, MATCH(A462&amp;"|"&amp;J462, 'Base Exámenes'!$I$5:$I$1000, 0))), ""), "")</f>
        <v/>
      </c>
      <c r="L462" s="22" t="str">
        <f>IF($A462="","",COUNTIF('Base Exámenes'!$C$5:$C$1000, A462))</f>
        <v/>
      </c>
      <c r="M462" s="6" t="str">
        <f>IF($A462="","",IF(COUNTIF('Base Exámenes'!$C$5:$C$1000, A462)&gt;0, "", TRIM('Base Oficial'!H462)))</f>
        <v/>
      </c>
    </row>
    <row r="463">
      <c r="A463" s="4" t="str">
        <f>IF('Base Oficial'!A463="","",TRIM('Base Oficial'!A463))</f>
        <v/>
      </c>
      <c r="B463" s="6" t="str">
        <f>IF($A463="","",TRIM('Base Oficial'!B463))</f>
        <v/>
      </c>
      <c r="C463" s="6" t="str">
        <f>IF($A463="","",TRIM('Base Oficial'!F463))</f>
        <v/>
      </c>
      <c r="D463" s="6" t="str">
        <f>IF($A463="","",TRIM('Base Oficial'!G463))</f>
        <v/>
      </c>
      <c r="E463" s="6" t="str">
        <f>IF($A463="","",TRIM('Base Oficial'!D463))</f>
        <v/>
      </c>
      <c r="F463" s="4" t="str">
        <f>IF($A463="","",IF(COUNTIF('Base Exámenes'!$C$5:$C$1000, A463)&gt;0, "Completado", IF(M463&lt;&gt;"", M463, "Pendiente")))</f>
        <v/>
      </c>
      <c r="G463" s="11" t="str">
        <f>IF(F463="Completado", IFERROR(IF(INDEX('Base Exámenes'!$D$5:$D$1000, MATCH(A463&amp;"|"&amp;J463, 'Base Exámenes'!$I$5:$I$1000, 0))="", "", INDEX('Base Exámenes'!$D$5:$D$1000, MATCH(A463&amp;"|"&amp;J463, 'Base Exámenes'!$I$5:$I$1000, 0))), ""), "")</f>
        <v/>
      </c>
      <c r="H463" s="11" t="str">
        <f>IF(F463="Completado", IFERROR(IF(INDEX('Base Exámenes'!$E$5:$E$1000, MATCH(A463&amp;"|"&amp;J463, 'Base Exámenes'!$I$5:$I$1000, 0))="", "", INDEX('Base Exámenes'!$E$5:$E$1000, MATCH(A463&amp;"|"&amp;J463, 'Base Exámenes'!$I$5:$I$1000, 0))), ""), "")</f>
        <v/>
      </c>
      <c r="I463" s="10" t="str">
        <f>IF(F463="Completado", IFERROR(IF(INDEX('Base Exámenes'!$F$5:$F$1000, MATCH(A463&amp;"|"&amp;J463, 'Base Exámenes'!$I$5:$I$1000, 0))="", "", INDEX('Base Exámenes'!$F$5:$F$1000, MATCH(A463&amp;"|"&amp;J463, 'Base Exámenes'!$I$5:$I$1000, 0))), ""), "")</f>
        <v/>
      </c>
      <c r="J463" s="6" t="str">
        <f>IF(F463="Completado", IF(COUNTIFS('Base Exámenes'!$C$5:$C$1000, A463, 'Base Exámenes'!$G$5:$G$1000, "&lt;&gt;")=0, "", _xlfn.MAXIFS('Base Exámenes'!$G$5:$G$1000, 'Base Exámenes'!$C$5:$C$1000, A463)), "")</f>
        <v/>
      </c>
      <c r="K463" s="6" t="str">
        <f>IF(F463="Completado", IFERROR(IF(INDEX('Base Exámenes'!$H$5:$H$1000, MATCH(A463&amp;"|"&amp;J463, 'Base Exámenes'!$I$5:$I$1000, 0))="", "", INDEX('Base Exámenes'!$H$5:$H$1000, MATCH(A463&amp;"|"&amp;J463, 'Base Exámenes'!$I$5:$I$1000, 0))), ""), "")</f>
        <v/>
      </c>
      <c r="L463" s="22" t="str">
        <f>IF($A463="","",COUNTIF('Base Exámenes'!$C$5:$C$1000, A463))</f>
        <v/>
      </c>
      <c r="M463" s="6" t="str">
        <f>IF($A463="","",IF(COUNTIF('Base Exámenes'!$C$5:$C$1000, A463)&gt;0, "", TRIM('Base Oficial'!H463)))</f>
        <v/>
      </c>
    </row>
    <row r="464">
      <c r="A464" s="4" t="str">
        <f>IF('Base Oficial'!A464="","",TRIM('Base Oficial'!A464))</f>
        <v/>
      </c>
      <c r="B464" s="6" t="str">
        <f>IF($A464="","",TRIM('Base Oficial'!B464))</f>
        <v/>
      </c>
      <c r="C464" s="6" t="str">
        <f>IF($A464="","",TRIM('Base Oficial'!F464))</f>
        <v/>
      </c>
      <c r="D464" s="6" t="str">
        <f>IF($A464="","",TRIM('Base Oficial'!G464))</f>
        <v/>
      </c>
      <c r="E464" s="6" t="str">
        <f>IF($A464="","",TRIM('Base Oficial'!D464))</f>
        <v/>
      </c>
      <c r="F464" s="4" t="str">
        <f>IF($A464="","",IF(COUNTIF('Base Exámenes'!$C$5:$C$1000, A464)&gt;0, "Completado", IF(M464&lt;&gt;"", M464, "Pendiente")))</f>
        <v/>
      </c>
      <c r="G464" s="11" t="str">
        <f>IF(F464="Completado", IFERROR(IF(INDEX('Base Exámenes'!$D$5:$D$1000, MATCH(A464&amp;"|"&amp;J464, 'Base Exámenes'!$I$5:$I$1000, 0))="", "", INDEX('Base Exámenes'!$D$5:$D$1000, MATCH(A464&amp;"|"&amp;J464, 'Base Exámenes'!$I$5:$I$1000, 0))), ""), "")</f>
        <v/>
      </c>
      <c r="H464" s="11" t="str">
        <f>IF(F464="Completado", IFERROR(IF(INDEX('Base Exámenes'!$E$5:$E$1000, MATCH(A464&amp;"|"&amp;J464, 'Base Exámenes'!$I$5:$I$1000, 0))="", "", INDEX('Base Exámenes'!$E$5:$E$1000, MATCH(A464&amp;"|"&amp;J464, 'Base Exámenes'!$I$5:$I$1000, 0))), ""), "")</f>
        <v/>
      </c>
      <c r="I464" s="10" t="str">
        <f>IF(F464="Completado", IFERROR(IF(INDEX('Base Exámenes'!$F$5:$F$1000, MATCH(A464&amp;"|"&amp;J464, 'Base Exámenes'!$I$5:$I$1000, 0))="", "", INDEX('Base Exámenes'!$F$5:$F$1000, MATCH(A464&amp;"|"&amp;J464, 'Base Exámenes'!$I$5:$I$1000, 0))), ""), "")</f>
        <v/>
      </c>
      <c r="J464" s="6" t="str">
        <f>IF(F464="Completado", IF(COUNTIFS('Base Exámenes'!$C$5:$C$1000, A464, 'Base Exámenes'!$G$5:$G$1000, "&lt;&gt;")=0, "", _xlfn.MAXIFS('Base Exámenes'!$G$5:$G$1000, 'Base Exámenes'!$C$5:$C$1000, A464)), "")</f>
        <v/>
      </c>
      <c r="K464" s="6" t="str">
        <f>IF(F464="Completado", IFERROR(IF(INDEX('Base Exámenes'!$H$5:$H$1000, MATCH(A464&amp;"|"&amp;J464, 'Base Exámenes'!$I$5:$I$1000, 0))="", "", INDEX('Base Exámenes'!$H$5:$H$1000, MATCH(A464&amp;"|"&amp;J464, 'Base Exámenes'!$I$5:$I$1000, 0))), ""), "")</f>
        <v/>
      </c>
      <c r="L464" s="22" t="str">
        <f>IF($A464="","",COUNTIF('Base Exámenes'!$C$5:$C$1000, A464))</f>
        <v/>
      </c>
      <c r="M464" s="6" t="str">
        <f>IF($A464="","",IF(COUNTIF('Base Exámenes'!$C$5:$C$1000, A464)&gt;0, "", TRIM('Base Oficial'!H464)))</f>
        <v/>
      </c>
    </row>
    <row r="465">
      <c r="A465" s="4" t="str">
        <f>IF('Base Oficial'!A465="","",TRIM('Base Oficial'!A465))</f>
        <v/>
      </c>
      <c r="B465" s="6" t="str">
        <f>IF($A465="","",TRIM('Base Oficial'!B465))</f>
        <v/>
      </c>
      <c r="C465" s="6" t="str">
        <f>IF($A465="","",TRIM('Base Oficial'!F465))</f>
        <v/>
      </c>
      <c r="D465" s="6" t="str">
        <f>IF($A465="","",TRIM('Base Oficial'!G465))</f>
        <v/>
      </c>
      <c r="E465" s="6" t="str">
        <f>IF($A465="","",TRIM('Base Oficial'!D465))</f>
        <v/>
      </c>
      <c r="F465" s="4" t="str">
        <f>IF($A465="","",IF(COUNTIF('Base Exámenes'!$C$5:$C$1000, A465)&gt;0, "Completado", IF(M465&lt;&gt;"", M465, "Pendiente")))</f>
        <v/>
      </c>
      <c r="G465" s="11" t="str">
        <f>IF(F465="Completado", IFERROR(IF(INDEX('Base Exámenes'!$D$5:$D$1000, MATCH(A465&amp;"|"&amp;J465, 'Base Exámenes'!$I$5:$I$1000, 0))="", "", INDEX('Base Exámenes'!$D$5:$D$1000, MATCH(A465&amp;"|"&amp;J465, 'Base Exámenes'!$I$5:$I$1000, 0))), ""), "")</f>
        <v/>
      </c>
      <c r="H465" s="11" t="str">
        <f>IF(F465="Completado", IFERROR(IF(INDEX('Base Exámenes'!$E$5:$E$1000, MATCH(A465&amp;"|"&amp;J465, 'Base Exámenes'!$I$5:$I$1000, 0))="", "", INDEX('Base Exámenes'!$E$5:$E$1000, MATCH(A465&amp;"|"&amp;J465, 'Base Exámenes'!$I$5:$I$1000, 0))), ""), "")</f>
        <v/>
      </c>
      <c r="I465" s="10" t="str">
        <f>IF(F465="Completado", IFERROR(IF(INDEX('Base Exámenes'!$F$5:$F$1000, MATCH(A465&amp;"|"&amp;J465, 'Base Exámenes'!$I$5:$I$1000, 0))="", "", INDEX('Base Exámenes'!$F$5:$F$1000, MATCH(A465&amp;"|"&amp;J465, 'Base Exámenes'!$I$5:$I$1000, 0))), ""), "")</f>
        <v/>
      </c>
      <c r="J465" s="6" t="str">
        <f>IF(F465="Completado", IF(COUNTIFS('Base Exámenes'!$C$5:$C$1000, A465, 'Base Exámenes'!$G$5:$G$1000, "&lt;&gt;")=0, "", _xlfn.MAXIFS('Base Exámenes'!$G$5:$G$1000, 'Base Exámenes'!$C$5:$C$1000, A465)), "")</f>
        <v/>
      </c>
      <c r="K465" s="6" t="str">
        <f>IF(F465="Completado", IFERROR(IF(INDEX('Base Exámenes'!$H$5:$H$1000, MATCH(A465&amp;"|"&amp;J465, 'Base Exámenes'!$I$5:$I$1000, 0))="", "", INDEX('Base Exámenes'!$H$5:$H$1000, MATCH(A465&amp;"|"&amp;J465, 'Base Exámenes'!$I$5:$I$1000, 0))), ""), "")</f>
        <v/>
      </c>
      <c r="L465" s="22" t="str">
        <f>IF($A465="","",COUNTIF('Base Exámenes'!$C$5:$C$1000, A465))</f>
        <v/>
      </c>
      <c r="M465" s="6" t="str">
        <f>IF($A465="","",IF(COUNTIF('Base Exámenes'!$C$5:$C$1000, A465)&gt;0, "", TRIM('Base Oficial'!H465)))</f>
        <v/>
      </c>
    </row>
    <row r="466">
      <c r="A466" s="4" t="str">
        <f>IF('Base Oficial'!A466="","",TRIM('Base Oficial'!A466))</f>
        <v/>
      </c>
      <c r="B466" s="6" t="str">
        <f>IF($A466="","",TRIM('Base Oficial'!B466))</f>
        <v/>
      </c>
      <c r="C466" s="6" t="str">
        <f>IF($A466="","",TRIM('Base Oficial'!F466))</f>
        <v/>
      </c>
      <c r="D466" s="6" t="str">
        <f>IF($A466="","",TRIM('Base Oficial'!G466))</f>
        <v/>
      </c>
      <c r="E466" s="6" t="str">
        <f>IF($A466="","",TRIM('Base Oficial'!D466))</f>
        <v/>
      </c>
      <c r="F466" s="4" t="str">
        <f>IF($A466="","",IF(COUNTIF('Base Exámenes'!$C$5:$C$1000, A466)&gt;0, "Completado", IF(M466&lt;&gt;"", M466, "Pendiente")))</f>
        <v/>
      </c>
      <c r="G466" s="11" t="str">
        <f>IF(F466="Completado", IFERROR(IF(INDEX('Base Exámenes'!$D$5:$D$1000, MATCH(A466&amp;"|"&amp;J466, 'Base Exámenes'!$I$5:$I$1000, 0))="", "", INDEX('Base Exámenes'!$D$5:$D$1000, MATCH(A466&amp;"|"&amp;J466, 'Base Exámenes'!$I$5:$I$1000, 0))), ""), "")</f>
        <v/>
      </c>
      <c r="H466" s="11" t="str">
        <f>IF(F466="Completado", IFERROR(IF(INDEX('Base Exámenes'!$E$5:$E$1000, MATCH(A466&amp;"|"&amp;J466, 'Base Exámenes'!$I$5:$I$1000, 0))="", "", INDEX('Base Exámenes'!$E$5:$E$1000, MATCH(A466&amp;"|"&amp;J466, 'Base Exámenes'!$I$5:$I$1000, 0))), ""), "")</f>
        <v/>
      </c>
      <c r="I466" s="10" t="str">
        <f>IF(F466="Completado", IFERROR(IF(INDEX('Base Exámenes'!$F$5:$F$1000, MATCH(A466&amp;"|"&amp;J466, 'Base Exámenes'!$I$5:$I$1000, 0))="", "", INDEX('Base Exámenes'!$F$5:$F$1000, MATCH(A466&amp;"|"&amp;J466, 'Base Exámenes'!$I$5:$I$1000, 0))), ""), "")</f>
        <v/>
      </c>
      <c r="J466" s="6" t="str">
        <f>IF(F466="Completado", IF(COUNTIFS('Base Exámenes'!$C$5:$C$1000, A466, 'Base Exámenes'!$G$5:$G$1000, "&lt;&gt;")=0, "", _xlfn.MAXIFS('Base Exámenes'!$G$5:$G$1000, 'Base Exámenes'!$C$5:$C$1000, A466)), "")</f>
        <v/>
      </c>
      <c r="K466" s="6" t="str">
        <f>IF(F466="Completado", IFERROR(IF(INDEX('Base Exámenes'!$H$5:$H$1000, MATCH(A466&amp;"|"&amp;J466, 'Base Exámenes'!$I$5:$I$1000, 0))="", "", INDEX('Base Exámenes'!$H$5:$H$1000, MATCH(A466&amp;"|"&amp;J466, 'Base Exámenes'!$I$5:$I$1000, 0))), ""), "")</f>
        <v/>
      </c>
      <c r="L466" s="22" t="str">
        <f>IF($A466="","",COUNTIF('Base Exámenes'!$C$5:$C$1000, A466))</f>
        <v/>
      </c>
      <c r="M466" s="6" t="str">
        <f>IF($A466="","",IF(COUNTIF('Base Exámenes'!$C$5:$C$1000, A466)&gt;0, "", TRIM('Base Oficial'!H466)))</f>
        <v/>
      </c>
    </row>
    <row r="467">
      <c r="A467" s="4" t="str">
        <f>IF('Base Oficial'!A467="","",TRIM('Base Oficial'!A467))</f>
        <v/>
      </c>
      <c r="B467" s="6" t="str">
        <f>IF($A467="","",TRIM('Base Oficial'!B467))</f>
        <v/>
      </c>
      <c r="C467" s="6" t="str">
        <f>IF($A467="","",TRIM('Base Oficial'!F467))</f>
        <v/>
      </c>
      <c r="D467" s="6" t="str">
        <f>IF($A467="","",TRIM('Base Oficial'!G467))</f>
        <v/>
      </c>
      <c r="E467" s="6" t="str">
        <f>IF($A467="","",TRIM('Base Oficial'!D467))</f>
        <v/>
      </c>
      <c r="F467" s="4" t="str">
        <f>IF($A467="","",IF(COUNTIF('Base Exámenes'!$C$5:$C$1000, A467)&gt;0, "Completado", IF(M467&lt;&gt;"", M467, "Pendiente")))</f>
        <v/>
      </c>
      <c r="G467" s="11" t="str">
        <f>IF(F467="Completado", IFERROR(IF(INDEX('Base Exámenes'!$D$5:$D$1000, MATCH(A467&amp;"|"&amp;J467, 'Base Exámenes'!$I$5:$I$1000, 0))="", "", INDEX('Base Exámenes'!$D$5:$D$1000, MATCH(A467&amp;"|"&amp;J467, 'Base Exámenes'!$I$5:$I$1000, 0))), ""), "")</f>
        <v/>
      </c>
      <c r="H467" s="11" t="str">
        <f>IF(F467="Completado", IFERROR(IF(INDEX('Base Exámenes'!$E$5:$E$1000, MATCH(A467&amp;"|"&amp;J467, 'Base Exámenes'!$I$5:$I$1000, 0))="", "", INDEX('Base Exámenes'!$E$5:$E$1000, MATCH(A467&amp;"|"&amp;J467, 'Base Exámenes'!$I$5:$I$1000, 0))), ""), "")</f>
        <v/>
      </c>
      <c r="I467" s="10" t="str">
        <f>IF(F467="Completado", IFERROR(IF(INDEX('Base Exámenes'!$F$5:$F$1000, MATCH(A467&amp;"|"&amp;J467, 'Base Exámenes'!$I$5:$I$1000, 0))="", "", INDEX('Base Exámenes'!$F$5:$F$1000, MATCH(A467&amp;"|"&amp;J467, 'Base Exámenes'!$I$5:$I$1000, 0))), ""), "")</f>
        <v/>
      </c>
      <c r="J467" s="6" t="str">
        <f>IF(F467="Completado", IF(COUNTIFS('Base Exámenes'!$C$5:$C$1000, A467, 'Base Exámenes'!$G$5:$G$1000, "&lt;&gt;")=0, "", _xlfn.MAXIFS('Base Exámenes'!$G$5:$G$1000, 'Base Exámenes'!$C$5:$C$1000, A467)), "")</f>
        <v/>
      </c>
      <c r="K467" s="6" t="str">
        <f>IF(F467="Completado", IFERROR(IF(INDEX('Base Exámenes'!$H$5:$H$1000, MATCH(A467&amp;"|"&amp;J467, 'Base Exámenes'!$I$5:$I$1000, 0))="", "", INDEX('Base Exámenes'!$H$5:$H$1000, MATCH(A467&amp;"|"&amp;J467, 'Base Exámenes'!$I$5:$I$1000, 0))), ""), "")</f>
        <v/>
      </c>
      <c r="L467" s="22" t="str">
        <f>IF($A467="","",COUNTIF('Base Exámenes'!$C$5:$C$1000, A467))</f>
        <v/>
      </c>
      <c r="M467" s="6" t="str">
        <f>IF($A467="","",IF(COUNTIF('Base Exámenes'!$C$5:$C$1000, A467)&gt;0, "", TRIM('Base Oficial'!H467)))</f>
        <v/>
      </c>
    </row>
    <row r="468">
      <c r="A468" s="4" t="str">
        <f>IF('Base Oficial'!A468="","",TRIM('Base Oficial'!A468))</f>
        <v/>
      </c>
      <c r="B468" s="6" t="str">
        <f>IF($A468="","",TRIM('Base Oficial'!B468))</f>
        <v/>
      </c>
      <c r="C468" s="6" t="str">
        <f>IF($A468="","",TRIM('Base Oficial'!F468))</f>
        <v/>
      </c>
      <c r="D468" s="6" t="str">
        <f>IF($A468="","",TRIM('Base Oficial'!G468))</f>
        <v/>
      </c>
      <c r="E468" s="6" t="str">
        <f>IF($A468="","",TRIM('Base Oficial'!D468))</f>
        <v/>
      </c>
      <c r="F468" s="4" t="str">
        <f>IF($A468="","",IF(COUNTIF('Base Exámenes'!$C$5:$C$1000, A468)&gt;0, "Completado", IF(M468&lt;&gt;"", M468, "Pendiente")))</f>
        <v/>
      </c>
      <c r="G468" s="11" t="str">
        <f>IF(F468="Completado", IFERROR(IF(INDEX('Base Exámenes'!$D$5:$D$1000, MATCH(A468&amp;"|"&amp;J468, 'Base Exámenes'!$I$5:$I$1000, 0))="", "", INDEX('Base Exámenes'!$D$5:$D$1000, MATCH(A468&amp;"|"&amp;J468, 'Base Exámenes'!$I$5:$I$1000, 0))), ""), "")</f>
        <v/>
      </c>
      <c r="H468" s="11" t="str">
        <f>IF(F468="Completado", IFERROR(IF(INDEX('Base Exámenes'!$E$5:$E$1000, MATCH(A468&amp;"|"&amp;J468, 'Base Exámenes'!$I$5:$I$1000, 0))="", "", INDEX('Base Exámenes'!$E$5:$E$1000, MATCH(A468&amp;"|"&amp;J468, 'Base Exámenes'!$I$5:$I$1000, 0))), ""), "")</f>
        <v/>
      </c>
      <c r="I468" s="10" t="str">
        <f>IF(F468="Completado", IFERROR(IF(INDEX('Base Exámenes'!$F$5:$F$1000, MATCH(A468&amp;"|"&amp;J468, 'Base Exámenes'!$I$5:$I$1000, 0))="", "", INDEX('Base Exámenes'!$F$5:$F$1000, MATCH(A468&amp;"|"&amp;J468, 'Base Exámenes'!$I$5:$I$1000, 0))), ""), "")</f>
        <v/>
      </c>
      <c r="J468" s="6" t="str">
        <f>IF(F468="Completado", IF(COUNTIFS('Base Exámenes'!$C$5:$C$1000, A468, 'Base Exámenes'!$G$5:$G$1000, "&lt;&gt;")=0, "", _xlfn.MAXIFS('Base Exámenes'!$G$5:$G$1000, 'Base Exámenes'!$C$5:$C$1000, A468)), "")</f>
        <v/>
      </c>
      <c r="K468" s="6" t="str">
        <f>IF(F468="Completado", IFERROR(IF(INDEX('Base Exámenes'!$H$5:$H$1000, MATCH(A468&amp;"|"&amp;J468, 'Base Exámenes'!$I$5:$I$1000, 0))="", "", INDEX('Base Exámenes'!$H$5:$H$1000, MATCH(A468&amp;"|"&amp;J468, 'Base Exámenes'!$I$5:$I$1000, 0))), ""), "")</f>
        <v/>
      </c>
      <c r="L468" s="22" t="str">
        <f>IF($A468="","",COUNTIF('Base Exámenes'!$C$5:$C$1000, A468))</f>
        <v/>
      </c>
      <c r="M468" s="6" t="str">
        <f>IF($A468="","",IF(COUNTIF('Base Exámenes'!$C$5:$C$1000, A468)&gt;0, "", TRIM('Base Oficial'!H468)))</f>
        <v/>
      </c>
    </row>
    <row r="469">
      <c r="A469" s="4" t="str">
        <f>IF('Base Oficial'!A469="","",TRIM('Base Oficial'!A469))</f>
        <v/>
      </c>
      <c r="B469" s="6" t="str">
        <f>IF($A469="","",TRIM('Base Oficial'!B469))</f>
        <v/>
      </c>
      <c r="C469" s="6" t="str">
        <f>IF($A469="","",TRIM('Base Oficial'!F469))</f>
        <v/>
      </c>
      <c r="D469" s="6" t="str">
        <f>IF($A469="","",TRIM('Base Oficial'!G469))</f>
        <v/>
      </c>
      <c r="E469" s="6" t="str">
        <f>IF($A469="","",TRIM('Base Oficial'!D469))</f>
        <v/>
      </c>
      <c r="F469" s="4" t="str">
        <f>IF($A469="","",IF(COUNTIF('Base Exámenes'!$C$5:$C$1000, A469)&gt;0, "Completado", IF(M469&lt;&gt;"", M469, "Pendiente")))</f>
        <v/>
      </c>
      <c r="G469" s="11" t="str">
        <f>IF(F469="Completado", IFERROR(IF(INDEX('Base Exámenes'!$D$5:$D$1000, MATCH(A469&amp;"|"&amp;J469, 'Base Exámenes'!$I$5:$I$1000, 0))="", "", INDEX('Base Exámenes'!$D$5:$D$1000, MATCH(A469&amp;"|"&amp;J469, 'Base Exámenes'!$I$5:$I$1000, 0))), ""), "")</f>
        <v/>
      </c>
      <c r="H469" s="11" t="str">
        <f>IF(F469="Completado", IFERROR(IF(INDEX('Base Exámenes'!$E$5:$E$1000, MATCH(A469&amp;"|"&amp;J469, 'Base Exámenes'!$I$5:$I$1000, 0))="", "", INDEX('Base Exámenes'!$E$5:$E$1000, MATCH(A469&amp;"|"&amp;J469, 'Base Exámenes'!$I$5:$I$1000, 0))), ""), "")</f>
        <v/>
      </c>
      <c r="I469" s="10" t="str">
        <f>IF(F469="Completado", IFERROR(IF(INDEX('Base Exámenes'!$F$5:$F$1000, MATCH(A469&amp;"|"&amp;J469, 'Base Exámenes'!$I$5:$I$1000, 0))="", "", INDEX('Base Exámenes'!$F$5:$F$1000, MATCH(A469&amp;"|"&amp;J469, 'Base Exámenes'!$I$5:$I$1000, 0))), ""), "")</f>
        <v/>
      </c>
      <c r="J469" s="6" t="str">
        <f>IF(F469="Completado", IF(COUNTIFS('Base Exámenes'!$C$5:$C$1000, A469, 'Base Exámenes'!$G$5:$G$1000, "&lt;&gt;")=0, "", _xlfn.MAXIFS('Base Exámenes'!$G$5:$G$1000, 'Base Exámenes'!$C$5:$C$1000, A469)), "")</f>
        <v/>
      </c>
      <c r="K469" s="6" t="str">
        <f>IF(F469="Completado", IFERROR(IF(INDEX('Base Exámenes'!$H$5:$H$1000, MATCH(A469&amp;"|"&amp;J469, 'Base Exámenes'!$I$5:$I$1000, 0))="", "", INDEX('Base Exámenes'!$H$5:$H$1000, MATCH(A469&amp;"|"&amp;J469, 'Base Exámenes'!$I$5:$I$1000, 0))), ""), "")</f>
        <v/>
      </c>
      <c r="L469" s="22" t="str">
        <f>IF($A469="","",COUNTIF('Base Exámenes'!$C$5:$C$1000, A469))</f>
        <v/>
      </c>
      <c r="M469" s="6" t="str">
        <f>IF($A469="","",IF(COUNTIF('Base Exámenes'!$C$5:$C$1000, A469)&gt;0, "", TRIM('Base Oficial'!H469)))</f>
        <v/>
      </c>
    </row>
    <row r="470">
      <c r="A470" s="4" t="str">
        <f>IF('Base Oficial'!A470="","",TRIM('Base Oficial'!A470))</f>
        <v/>
      </c>
      <c r="B470" s="6" t="str">
        <f>IF($A470="","",TRIM('Base Oficial'!B470))</f>
        <v/>
      </c>
      <c r="C470" s="6" t="str">
        <f>IF($A470="","",TRIM('Base Oficial'!F470))</f>
        <v/>
      </c>
      <c r="D470" s="6" t="str">
        <f>IF($A470="","",TRIM('Base Oficial'!G470))</f>
        <v/>
      </c>
      <c r="E470" s="6" t="str">
        <f>IF($A470="","",TRIM('Base Oficial'!D470))</f>
        <v/>
      </c>
      <c r="F470" s="4" t="str">
        <f>IF($A470="","",IF(COUNTIF('Base Exámenes'!$C$5:$C$1000, A470)&gt;0, "Completado", IF(M470&lt;&gt;"", M470, "Pendiente")))</f>
        <v/>
      </c>
      <c r="G470" s="11" t="str">
        <f>IF(F470="Completado", IFERROR(IF(INDEX('Base Exámenes'!$D$5:$D$1000, MATCH(A470&amp;"|"&amp;J470, 'Base Exámenes'!$I$5:$I$1000, 0))="", "", INDEX('Base Exámenes'!$D$5:$D$1000, MATCH(A470&amp;"|"&amp;J470, 'Base Exámenes'!$I$5:$I$1000, 0))), ""), "")</f>
        <v/>
      </c>
      <c r="H470" s="11" t="str">
        <f>IF(F470="Completado", IFERROR(IF(INDEX('Base Exámenes'!$E$5:$E$1000, MATCH(A470&amp;"|"&amp;J470, 'Base Exámenes'!$I$5:$I$1000, 0))="", "", INDEX('Base Exámenes'!$E$5:$E$1000, MATCH(A470&amp;"|"&amp;J470, 'Base Exámenes'!$I$5:$I$1000, 0))), ""), "")</f>
        <v/>
      </c>
      <c r="I470" s="10" t="str">
        <f>IF(F470="Completado", IFERROR(IF(INDEX('Base Exámenes'!$F$5:$F$1000, MATCH(A470&amp;"|"&amp;J470, 'Base Exámenes'!$I$5:$I$1000, 0))="", "", INDEX('Base Exámenes'!$F$5:$F$1000, MATCH(A470&amp;"|"&amp;J470, 'Base Exámenes'!$I$5:$I$1000, 0))), ""), "")</f>
        <v/>
      </c>
      <c r="J470" s="6" t="str">
        <f>IF(F470="Completado", IF(COUNTIFS('Base Exámenes'!$C$5:$C$1000, A470, 'Base Exámenes'!$G$5:$G$1000, "&lt;&gt;")=0, "", _xlfn.MAXIFS('Base Exámenes'!$G$5:$G$1000, 'Base Exámenes'!$C$5:$C$1000, A470)), "")</f>
        <v/>
      </c>
      <c r="K470" s="6" t="str">
        <f>IF(F470="Completado", IFERROR(IF(INDEX('Base Exámenes'!$H$5:$H$1000, MATCH(A470&amp;"|"&amp;J470, 'Base Exámenes'!$I$5:$I$1000, 0))="", "", INDEX('Base Exámenes'!$H$5:$H$1000, MATCH(A470&amp;"|"&amp;J470, 'Base Exámenes'!$I$5:$I$1000, 0))), ""), "")</f>
        <v/>
      </c>
      <c r="L470" s="22" t="str">
        <f>IF($A470="","",COUNTIF('Base Exámenes'!$C$5:$C$1000, A470))</f>
        <v/>
      </c>
      <c r="M470" s="6" t="str">
        <f>IF($A470="","",IF(COUNTIF('Base Exámenes'!$C$5:$C$1000, A470)&gt;0, "", TRIM('Base Oficial'!H470)))</f>
        <v/>
      </c>
    </row>
    <row r="471">
      <c r="A471" s="4" t="str">
        <f>IF('Base Oficial'!A471="","",TRIM('Base Oficial'!A471))</f>
        <v/>
      </c>
      <c r="B471" s="6" t="str">
        <f>IF($A471="","",TRIM('Base Oficial'!B471))</f>
        <v/>
      </c>
      <c r="C471" s="6" t="str">
        <f>IF($A471="","",TRIM('Base Oficial'!F471))</f>
        <v/>
      </c>
      <c r="D471" s="6" t="str">
        <f>IF($A471="","",TRIM('Base Oficial'!G471))</f>
        <v/>
      </c>
      <c r="E471" s="6" t="str">
        <f>IF($A471="","",TRIM('Base Oficial'!D471))</f>
        <v/>
      </c>
      <c r="F471" s="4" t="str">
        <f>IF($A471="","",IF(COUNTIF('Base Exámenes'!$C$5:$C$1000, A471)&gt;0, "Completado", IF(M471&lt;&gt;"", M471, "Pendiente")))</f>
        <v/>
      </c>
      <c r="G471" s="11" t="str">
        <f>IF(F471="Completado", IFERROR(IF(INDEX('Base Exámenes'!$D$5:$D$1000, MATCH(A471&amp;"|"&amp;J471, 'Base Exámenes'!$I$5:$I$1000, 0))="", "", INDEX('Base Exámenes'!$D$5:$D$1000, MATCH(A471&amp;"|"&amp;J471, 'Base Exámenes'!$I$5:$I$1000, 0))), ""), "")</f>
        <v/>
      </c>
      <c r="H471" s="11" t="str">
        <f>IF(F471="Completado", IFERROR(IF(INDEX('Base Exámenes'!$E$5:$E$1000, MATCH(A471&amp;"|"&amp;J471, 'Base Exámenes'!$I$5:$I$1000, 0))="", "", INDEX('Base Exámenes'!$E$5:$E$1000, MATCH(A471&amp;"|"&amp;J471, 'Base Exámenes'!$I$5:$I$1000, 0))), ""), "")</f>
        <v/>
      </c>
      <c r="I471" s="10" t="str">
        <f>IF(F471="Completado", IFERROR(IF(INDEX('Base Exámenes'!$F$5:$F$1000, MATCH(A471&amp;"|"&amp;J471, 'Base Exámenes'!$I$5:$I$1000, 0))="", "", INDEX('Base Exámenes'!$F$5:$F$1000, MATCH(A471&amp;"|"&amp;J471, 'Base Exámenes'!$I$5:$I$1000, 0))), ""), "")</f>
        <v/>
      </c>
      <c r="J471" s="6" t="str">
        <f>IF(F471="Completado", IF(COUNTIFS('Base Exámenes'!$C$5:$C$1000, A471, 'Base Exámenes'!$G$5:$G$1000, "&lt;&gt;")=0, "", _xlfn.MAXIFS('Base Exámenes'!$G$5:$G$1000, 'Base Exámenes'!$C$5:$C$1000, A471)), "")</f>
        <v/>
      </c>
      <c r="K471" s="6" t="str">
        <f>IF(F471="Completado", IFERROR(IF(INDEX('Base Exámenes'!$H$5:$H$1000, MATCH(A471&amp;"|"&amp;J471, 'Base Exámenes'!$I$5:$I$1000, 0))="", "", INDEX('Base Exámenes'!$H$5:$H$1000, MATCH(A471&amp;"|"&amp;J471, 'Base Exámenes'!$I$5:$I$1000, 0))), ""), "")</f>
        <v/>
      </c>
      <c r="L471" s="22" t="str">
        <f>IF($A471="","",COUNTIF('Base Exámenes'!$C$5:$C$1000, A471))</f>
        <v/>
      </c>
      <c r="M471" s="6" t="str">
        <f>IF($A471="","",IF(COUNTIF('Base Exámenes'!$C$5:$C$1000, A471)&gt;0, "", TRIM('Base Oficial'!H471)))</f>
        <v/>
      </c>
    </row>
    <row r="472">
      <c r="A472" s="4" t="str">
        <f>IF('Base Oficial'!A472="","",TRIM('Base Oficial'!A472))</f>
        <v/>
      </c>
      <c r="B472" s="6" t="str">
        <f>IF($A472="","",TRIM('Base Oficial'!B472))</f>
        <v/>
      </c>
      <c r="C472" s="6" t="str">
        <f>IF($A472="","",TRIM('Base Oficial'!F472))</f>
        <v/>
      </c>
      <c r="D472" s="6" t="str">
        <f>IF($A472="","",TRIM('Base Oficial'!G472))</f>
        <v/>
      </c>
      <c r="E472" s="6" t="str">
        <f>IF($A472="","",TRIM('Base Oficial'!D472))</f>
        <v/>
      </c>
      <c r="F472" s="4" t="str">
        <f>IF($A472="","",IF(COUNTIF('Base Exámenes'!$C$5:$C$1000, A472)&gt;0, "Completado", IF(M472&lt;&gt;"", M472, "Pendiente")))</f>
        <v/>
      </c>
      <c r="G472" s="11" t="str">
        <f>IF(F472="Completado", IFERROR(IF(INDEX('Base Exámenes'!$D$5:$D$1000, MATCH(A472&amp;"|"&amp;J472, 'Base Exámenes'!$I$5:$I$1000, 0))="", "", INDEX('Base Exámenes'!$D$5:$D$1000, MATCH(A472&amp;"|"&amp;J472, 'Base Exámenes'!$I$5:$I$1000, 0))), ""), "")</f>
        <v/>
      </c>
      <c r="H472" s="11" t="str">
        <f>IF(F472="Completado", IFERROR(IF(INDEX('Base Exámenes'!$E$5:$E$1000, MATCH(A472&amp;"|"&amp;J472, 'Base Exámenes'!$I$5:$I$1000, 0))="", "", INDEX('Base Exámenes'!$E$5:$E$1000, MATCH(A472&amp;"|"&amp;J472, 'Base Exámenes'!$I$5:$I$1000, 0))), ""), "")</f>
        <v/>
      </c>
      <c r="I472" s="10" t="str">
        <f>IF(F472="Completado", IFERROR(IF(INDEX('Base Exámenes'!$F$5:$F$1000, MATCH(A472&amp;"|"&amp;J472, 'Base Exámenes'!$I$5:$I$1000, 0))="", "", INDEX('Base Exámenes'!$F$5:$F$1000, MATCH(A472&amp;"|"&amp;J472, 'Base Exámenes'!$I$5:$I$1000, 0))), ""), "")</f>
        <v/>
      </c>
      <c r="J472" s="6" t="str">
        <f>IF(F472="Completado", IF(COUNTIFS('Base Exámenes'!$C$5:$C$1000, A472, 'Base Exámenes'!$G$5:$G$1000, "&lt;&gt;")=0, "", _xlfn.MAXIFS('Base Exámenes'!$G$5:$G$1000, 'Base Exámenes'!$C$5:$C$1000, A472)), "")</f>
        <v/>
      </c>
      <c r="K472" s="6" t="str">
        <f>IF(F472="Completado", IFERROR(IF(INDEX('Base Exámenes'!$H$5:$H$1000, MATCH(A472&amp;"|"&amp;J472, 'Base Exámenes'!$I$5:$I$1000, 0))="", "", INDEX('Base Exámenes'!$H$5:$H$1000, MATCH(A472&amp;"|"&amp;J472, 'Base Exámenes'!$I$5:$I$1000, 0))), ""), "")</f>
        <v/>
      </c>
      <c r="L472" s="22" t="str">
        <f>IF($A472="","",COUNTIF('Base Exámenes'!$C$5:$C$1000, A472))</f>
        <v/>
      </c>
      <c r="M472" s="6" t="str">
        <f>IF($A472="","",IF(COUNTIF('Base Exámenes'!$C$5:$C$1000, A472)&gt;0, "", TRIM('Base Oficial'!H472)))</f>
        <v/>
      </c>
    </row>
    <row r="473">
      <c r="A473" s="4" t="str">
        <f>IF('Base Oficial'!A473="","",TRIM('Base Oficial'!A473))</f>
        <v/>
      </c>
      <c r="B473" s="6" t="str">
        <f>IF($A473="","",TRIM('Base Oficial'!B473))</f>
        <v/>
      </c>
      <c r="C473" s="6" t="str">
        <f>IF($A473="","",TRIM('Base Oficial'!F473))</f>
        <v/>
      </c>
      <c r="D473" s="6" t="str">
        <f>IF($A473="","",TRIM('Base Oficial'!G473))</f>
        <v/>
      </c>
      <c r="E473" s="6" t="str">
        <f>IF($A473="","",TRIM('Base Oficial'!D473))</f>
        <v/>
      </c>
      <c r="F473" s="4" t="str">
        <f>IF($A473="","",IF(COUNTIF('Base Exámenes'!$C$5:$C$1000, A473)&gt;0, "Completado", IF(M473&lt;&gt;"", M473, "Pendiente")))</f>
        <v/>
      </c>
      <c r="G473" s="11" t="str">
        <f>IF(F473="Completado", IFERROR(IF(INDEX('Base Exámenes'!$D$5:$D$1000, MATCH(A473&amp;"|"&amp;J473, 'Base Exámenes'!$I$5:$I$1000, 0))="", "", INDEX('Base Exámenes'!$D$5:$D$1000, MATCH(A473&amp;"|"&amp;J473, 'Base Exámenes'!$I$5:$I$1000, 0))), ""), "")</f>
        <v/>
      </c>
      <c r="H473" s="11" t="str">
        <f>IF(F473="Completado", IFERROR(IF(INDEX('Base Exámenes'!$E$5:$E$1000, MATCH(A473&amp;"|"&amp;J473, 'Base Exámenes'!$I$5:$I$1000, 0))="", "", INDEX('Base Exámenes'!$E$5:$E$1000, MATCH(A473&amp;"|"&amp;J473, 'Base Exámenes'!$I$5:$I$1000, 0))), ""), "")</f>
        <v/>
      </c>
      <c r="I473" s="10" t="str">
        <f>IF(F473="Completado", IFERROR(IF(INDEX('Base Exámenes'!$F$5:$F$1000, MATCH(A473&amp;"|"&amp;J473, 'Base Exámenes'!$I$5:$I$1000, 0))="", "", INDEX('Base Exámenes'!$F$5:$F$1000, MATCH(A473&amp;"|"&amp;J473, 'Base Exámenes'!$I$5:$I$1000, 0))), ""), "")</f>
        <v/>
      </c>
      <c r="J473" s="6" t="str">
        <f>IF(F473="Completado", IF(COUNTIFS('Base Exámenes'!$C$5:$C$1000, A473, 'Base Exámenes'!$G$5:$G$1000, "&lt;&gt;")=0, "", _xlfn.MAXIFS('Base Exámenes'!$G$5:$G$1000, 'Base Exámenes'!$C$5:$C$1000, A473)), "")</f>
        <v/>
      </c>
      <c r="K473" s="6" t="str">
        <f>IF(F473="Completado", IFERROR(IF(INDEX('Base Exámenes'!$H$5:$H$1000, MATCH(A473&amp;"|"&amp;J473, 'Base Exámenes'!$I$5:$I$1000, 0))="", "", INDEX('Base Exámenes'!$H$5:$H$1000, MATCH(A473&amp;"|"&amp;J473, 'Base Exámenes'!$I$5:$I$1000, 0))), ""), "")</f>
        <v/>
      </c>
      <c r="L473" s="22" t="str">
        <f>IF($A473="","",COUNTIF('Base Exámenes'!$C$5:$C$1000, A473))</f>
        <v/>
      </c>
      <c r="M473" s="6" t="str">
        <f>IF($A473="","",IF(COUNTIF('Base Exámenes'!$C$5:$C$1000, A473)&gt;0, "", TRIM('Base Oficial'!H473)))</f>
        <v/>
      </c>
    </row>
    <row r="474">
      <c r="A474" s="4" t="str">
        <f>IF('Base Oficial'!A474="","",TRIM('Base Oficial'!A474))</f>
        <v/>
      </c>
      <c r="B474" s="6" t="str">
        <f>IF($A474="","",TRIM('Base Oficial'!B474))</f>
        <v/>
      </c>
      <c r="C474" s="6" t="str">
        <f>IF($A474="","",TRIM('Base Oficial'!F474))</f>
        <v/>
      </c>
      <c r="D474" s="6" t="str">
        <f>IF($A474="","",TRIM('Base Oficial'!G474))</f>
        <v/>
      </c>
      <c r="E474" s="6" t="str">
        <f>IF($A474="","",TRIM('Base Oficial'!D474))</f>
        <v/>
      </c>
      <c r="F474" s="4" t="str">
        <f>IF($A474="","",IF(COUNTIF('Base Exámenes'!$C$5:$C$1000, A474)&gt;0, "Completado", IF(M474&lt;&gt;"", M474, "Pendiente")))</f>
        <v/>
      </c>
      <c r="G474" s="11" t="str">
        <f>IF(F474="Completado", IFERROR(IF(INDEX('Base Exámenes'!$D$5:$D$1000, MATCH(A474&amp;"|"&amp;J474, 'Base Exámenes'!$I$5:$I$1000, 0))="", "", INDEX('Base Exámenes'!$D$5:$D$1000, MATCH(A474&amp;"|"&amp;J474, 'Base Exámenes'!$I$5:$I$1000, 0))), ""), "")</f>
        <v/>
      </c>
      <c r="H474" s="11" t="str">
        <f>IF(F474="Completado", IFERROR(IF(INDEX('Base Exámenes'!$E$5:$E$1000, MATCH(A474&amp;"|"&amp;J474, 'Base Exámenes'!$I$5:$I$1000, 0))="", "", INDEX('Base Exámenes'!$E$5:$E$1000, MATCH(A474&amp;"|"&amp;J474, 'Base Exámenes'!$I$5:$I$1000, 0))), ""), "")</f>
        <v/>
      </c>
      <c r="I474" s="10" t="str">
        <f>IF(F474="Completado", IFERROR(IF(INDEX('Base Exámenes'!$F$5:$F$1000, MATCH(A474&amp;"|"&amp;J474, 'Base Exámenes'!$I$5:$I$1000, 0))="", "", INDEX('Base Exámenes'!$F$5:$F$1000, MATCH(A474&amp;"|"&amp;J474, 'Base Exámenes'!$I$5:$I$1000, 0))), ""), "")</f>
        <v/>
      </c>
      <c r="J474" s="6" t="str">
        <f>IF(F474="Completado", IF(COUNTIFS('Base Exámenes'!$C$5:$C$1000, A474, 'Base Exámenes'!$G$5:$G$1000, "&lt;&gt;")=0, "", _xlfn.MAXIFS('Base Exámenes'!$G$5:$G$1000, 'Base Exámenes'!$C$5:$C$1000, A474)), "")</f>
        <v/>
      </c>
      <c r="K474" s="6" t="str">
        <f>IF(F474="Completado", IFERROR(IF(INDEX('Base Exámenes'!$H$5:$H$1000, MATCH(A474&amp;"|"&amp;J474, 'Base Exámenes'!$I$5:$I$1000, 0))="", "", INDEX('Base Exámenes'!$H$5:$H$1000, MATCH(A474&amp;"|"&amp;J474, 'Base Exámenes'!$I$5:$I$1000, 0))), ""), "")</f>
        <v/>
      </c>
      <c r="L474" s="22" t="str">
        <f>IF($A474="","",COUNTIF('Base Exámenes'!$C$5:$C$1000, A474))</f>
        <v/>
      </c>
      <c r="M474" s="6" t="str">
        <f>IF($A474="","",IF(COUNTIF('Base Exámenes'!$C$5:$C$1000, A474)&gt;0, "", TRIM('Base Oficial'!H474)))</f>
        <v/>
      </c>
    </row>
    <row r="475">
      <c r="A475" s="4" t="str">
        <f>IF('Base Oficial'!A475="","",TRIM('Base Oficial'!A475))</f>
        <v/>
      </c>
      <c r="B475" s="6" t="str">
        <f>IF($A475="","",TRIM('Base Oficial'!B475))</f>
        <v/>
      </c>
      <c r="C475" s="6" t="str">
        <f>IF($A475="","",TRIM('Base Oficial'!F475))</f>
        <v/>
      </c>
      <c r="D475" s="6" t="str">
        <f>IF($A475="","",TRIM('Base Oficial'!G475))</f>
        <v/>
      </c>
      <c r="E475" s="6" t="str">
        <f>IF($A475="","",TRIM('Base Oficial'!D475))</f>
        <v/>
      </c>
      <c r="F475" s="4" t="str">
        <f>IF($A475="","",IF(COUNTIF('Base Exámenes'!$C$5:$C$1000, A475)&gt;0, "Completado", IF(M475&lt;&gt;"", M475, "Pendiente")))</f>
        <v/>
      </c>
      <c r="G475" s="11" t="str">
        <f>IF(F475="Completado", IFERROR(IF(INDEX('Base Exámenes'!$D$5:$D$1000, MATCH(A475&amp;"|"&amp;J475, 'Base Exámenes'!$I$5:$I$1000, 0))="", "", INDEX('Base Exámenes'!$D$5:$D$1000, MATCH(A475&amp;"|"&amp;J475, 'Base Exámenes'!$I$5:$I$1000, 0))), ""), "")</f>
        <v/>
      </c>
      <c r="H475" s="11" t="str">
        <f>IF(F475="Completado", IFERROR(IF(INDEX('Base Exámenes'!$E$5:$E$1000, MATCH(A475&amp;"|"&amp;J475, 'Base Exámenes'!$I$5:$I$1000, 0))="", "", INDEX('Base Exámenes'!$E$5:$E$1000, MATCH(A475&amp;"|"&amp;J475, 'Base Exámenes'!$I$5:$I$1000, 0))), ""), "")</f>
        <v/>
      </c>
      <c r="I475" s="10" t="str">
        <f>IF(F475="Completado", IFERROR(IF(INDEX('Base Exámenes'!$F$5:$F$1000, MATCH(A475&amp;"|"&amp;J475, 'Base Exámenes'!$I$5:$I$1000, 0))="", "", INDEX('Base Exámenes'!$F$5:$F$1000, MATCH(A475&amp;"|"&amp;J475, 'Base Exámenes'!$I$5:$I$1000, 0))), ""), "")</f>
        <v/>
      </c>
      <c r="J475" s="6" t="str">
        <f>IF(F475="Completado", IF(COUNTIFS('Base Exámenes'!$C$5:$C$1000, A475, 'Base Exámenes'!$G$5:$G$1000, "&lt;&gt;")=0, "", _xlfn.MAXIFS('Base Exámenes'!$G$5:$G$1000, 'Base Exámenes'!$C$5:$C$1000, A475)), "")</f>
        <v/>
      </c>
      <c r="K475" s="6" t="str">
        <f>IF(F475="Completado", IFERROR(IF(INDEX('Base Exámenes'!$H$5:$H$1000, MATCH(A475&amp;"|"&amp;J475, 'Base Exámenes'!$I$5:$I$1000, 0))="", "", INDEX('Base Exámenes'!$H$5:$H$1000, MATCH(A475&amp;"|"&amp;J475, 'Base Exámenes'!$I$5:$I$1000, 0))), ""), "")</f>
        <v/>
      </c>
      <c r="L475" s="22" t="str">
        <f>IF($A475="","",COUNTIF('Base Exámenes'!$C$5:$C$1000, A475))</f>
        <v/>
      </c>
      <c r="M475" s="6" t="str">
        <f>IF($A475="","",IF(COUNTIF('Base Exámenes'!$C$5:$C$1000, A475)&gt;0, "", TRIM('Base Oficial'!H475)))</f>
        <v/>
      </c>
    </row>
    <row r="476">
      <c r="A476" s="4" t="str">
        <f>IF('Base Oficial'!A476="","",TRIM('Base Oficial'!A476))</f>
        <v/>
      </c>
      <c r="B476" s="6" t="str">
        <f>IF($A476="","",TRIM('Base Oficial'!B476))</f>
        <v/>
      </c>
      <c r="C476" s="6" t="str">
        <f>IF($A476="","",TRIM('Base Oficial'!F476))</f>
        <v/>
      </c>
      <c r="D476" s="6" t="str">
        <f>IF($A476="","",TRIM('Base Oficial'!G476))</f>
        <v/>
      </c>
      <c r="E476" s="6" t="str">
        <f>IF($A476="","",TRIM('Base Oficial'!D476))</f>
        <v/>
      </c>
      <c r="F476" s="4" t="str">
        <f>IF($A476="","",IF(COUNTIF('Base Exámenes'!$C$5:$C$1000, A476)&gt;0, "Completado", IF(M476&lt;&gt;"", M476, "Pendiente")))</f>
        <v/>
      </c>
      <c r="G476" s="11" t="str">
        <f>IF(F476="Completado", IFERROR(IF(INDEX('Base Exámenes'!$D$5:$D$1000, MATCH(A476&amp;"|"&amp;J476, 'Base Exámenes'!$I$5:$I$1000, 0))="", "", INDEX('Base Exámenes'!$D$5:$D$1000, MATCH(A476&amp;"|"&amp;J476, 'Base Exámenes'!$I$5:$I$1000, 0))), ""), "")</f>
        <v/>
      </c>
      <c r="H476" s="11" t="str">
        <f>IF(F476="Completado", IFERROR(IF(INDEX('Base Exámenes'!$E$5:$E$1000, MATCH(A476&amp;"|"&amp;J476, 'Base Exámenes'!$I$5:$I$1000, 0))="", "", INDEX('Base Exámenes'!$E$5:$E$1000, MATCH(A476&amp;"|"&amp;J476, 'Base Exámenes'!$I$5:$I$1000, 0))), ""), "")</f>
        <v/>
      </c>
      <c r="I476" s="10" t="str">
        <f>IF(F476="Completado", IFERROR(IF(INDEX('Base Exámenes'!$F$5:$F$1000, MATCH(A476&amp;"|"&amp;J476, 'Base Exámenes'!$I$5:$I$1000, 0))="", "", INDEX('Base Exámenes'!$F$5:$F$1000, MATCH(A476&amp;"|"&amp;J476, 'Base Exámenes'!$I$5:$I$1000, 0))), ""), "")</f>
        <v/>
      </c>
      <c r="J476" s="6" t="str">
        <f>IF(F476="Completado", IF(COUNTIFS('Base Exámenes'!$C$5:$C$1000, A476, 'Base Exámenes'!$G$5:$G$1000, "&lt;&gt;")=0, "", _xlfn.MAXIFS('Base Exámenes'!$G$5:$G$1000, 'Base Exámenes'!$C$5:$C$1000, A476)), "")</f>
        <v/>
      </c>
      <c r="K476" s="6" t="str">
        <f>IF(F476="Completado", IFERROR(IF(INDEX('Base Exámenes'!$H$5:$H$1000, MATCH(A476&amp;"|"&amp;J476, 'Base Exámenes'!$I$5:$I$1000, 0))="", "", INDEX('Base Exámenes'!$H$5:$H$1000, MATCH(A476&amp;"|"&amp;J476, 'Base Exámenes'!$I$5:$I$1000, 0))), ""), "")</f>
        <v/>
      </c>
      <c r="L476" s="22" t="str">
        <f>IF($A476="","",COUNTIF('Base Exámenes'!$C$5:$C$1000, A476))</f>
        <v/>
      </c>
      <c r="M476" s="6" t="str">
        <f>IF($A476="","",IF(COUNTIF('Base Exámenes'!$C$5:$C$1000, A476)&gt;0, "", TRIM('Base Oficial'!H476)))</f>
        <v/>
      </c>
    </row>
    <row r="477">
      <c r="A477" s="4" t="str">
        <f>IF('Base Oficial'!A477="","",TRIM('Base Oficial'!A477))</f>
        <v/>
      </c>
      <c r="B477" s="6" t="str">
        <f>IF($A477="","",TRIM('Base Oficial'!B477))</f>
        <v/>
      </c>
      <c r="C477" s="6" t="str">
        <f>IF($A477="","",TRIM('Base Oficial'!F477))</f>
        <v/>
      </c>
      <c r="D477" s="6" t="str">
        <f>IF($A477="","",TRIM('Base Oficial'!G477))</f>
        <v/>
      </c>
      <c r="E477" s="6" t="str">
        <f>IF($A477="","",TRIM('Base Oficial'!D477))</f>
        <v/>
      </c>
      <c r="F477" s="4" t="str">
        <f>IF($A477="","",IF(COUNTIF('Base Exámenes'!$C$5:$C$1000, A477)&gt;0, "Completado", IF(M477&lt;&gt;"", M477, "Pendiente")))</f>
        <v/>
      </c>
      <c r="G477" s="11" t="str">
        <f>IF(F477="Completado", IFERROR(IF(INDEX('Base Exámenes'!$D$5:$D$1000, MATCH(A477&amp;"|"&amp;J477, 'Base Exámenes'!$I$5:$I$1000, 0))="", "", INDEX('Base Exámenes'!$D$5:$D$1000, MATCH(A477&amp;"|"&amp;J477, 'Base Exámenes'!$I$5:$I$1000, 0))), ""), "")</f>
        <v/>
      </c>
      <c r="H477" s="11" t="str">
        <f>IF(F477="Completado", IFERROR(IF(INDEX('Base Exámenes'!$E$5:$E$1000, MATCH(A477&amp;"|"&amp;J477, 'Base Exámenes'!$I$5:$I$1000, 0))="", "", INDEX('Base Exámenes'!$E$5:$E$1000, MATCH(A477&amp;"|"&amp;J477, 'Base Exámenes'!$I$5:$I$1000, 0))), ""), "")</f>
        <v/>
      </c>
      <c r="I477" s="10" t="str">
        <f>IF(F477="Completado", IFERROR(IF(INDEX('Base Exámenes'!$F$5:$F$1000, MATCH(A477&amp;"|"&amp;J477, 'Base Exámenes'!$I$5:$I$1000, 0))="", "", INDEX('Base Exámenes'!$F$5:$F$1000, MATCH(A477&amp;"|"&amp;J477, 'Base Exámenes'!$I$5:$I$1000, 0))), ""), "")</f>
        <v/>
      </c>
      <c r="J477" s="6" t="str">
        <f>IF(F477="Completado", IF(COUNTIFS('Base Exámenes'!$C$5:$C$1000, A477, 'Base Exámenes'!$G$5:$G$1000, "&lt;&gt;")=0, "", _xlfn.MAXIFS('Base Exámenes'!$G$5:$G$1000, 'Base Exámenes'!$C$5:$C$1000, A477)), "")</f>
        <v/>
      </c>
      <c r="K477" s="6" t="str">
        <f>IF(F477="Completado", IFERROR(IF(INDEX('Base Exámenes'!$H$5:$H$1000, MATCH(A477&amp;"|"&amp;J477, 'Base Exámenes'!$I$5:$I$1000, 0))="", "", INDEX('Base Exámenes'!$H$5:$H$1000, MATCH(A477&amp;"|"&amp;J477, 'Base Exámenes'!$I$5:$I$1000, 0))), ""), "")</f>
        <v/>
      </c>
      <c r="L477" s="22" t="str">
        <f>IF($A477="","",COUNTIF('Base Exámenes'!$C$5:$C$1000, A477))</f>
        <v/>
      </c>
      <c r="M477" s="6" t="str">
        <f>IF($A477="","",IF(COUNTIF('Base Exámenes'!$C$5:$C$1000, A477)&gt;0, "", TRIM('Base Oficial'!H477)))</f>
        <v/>
      </c>
    </row>
    <row r="478">
      <c r="A478" s="4" t="str">
        <f>IF('Base Oficial'!A478="","",TRIM('Base Oficial'!A478))</f>
        <v/>
      </c>
      <c r="B478" s="6" t="str">
        <f>IF($A478="","",TRIM('Base Oficial'!B478))</f>
        <v/>
      </c>
      <c r="C478" s="6" t="str">
        <f>IF($A478="","",TRIM('Base Oficial'!F478))</f>
        <v/>
      </c>
      <c r="D478" s="6" t="str">
        <f>IF($A478="","",TRIM('Base Oficial'!G478))</f>
        <v/>
      </c>
      <c r="E478" s="6" t="str">
        <f>IF($A478="","",TRIM('Base Oficial'!D478))</f>
        <v/>
      </c>
      <c r="F478" s="4" t="str">
        <f>IF($A478="","",IF(COUNTIF('Base Exámenes'!$C$5:$C$1000, A478)&gt;0, "Completado", IF(M478&lt;&gt;"", M478, "Pendiente")))</f>
        <v/>
      </c>
      <c r="G478" s="11" t="str">
        <f>IF(F478="Completado", IFERROR(IF(INDEX('Base Exámenes'!$D$5:$D$1000, MATCH(A478&amp;"|"&amp;J478, 'Base Exámenes'!$I$5:$I$1000, 0))="", "", INDEX('Base Exámenes'!$D$5:$D$1000, MATCH(A478&amp;"|"&amp;J478, 'Base Exámenes'!$I$5:$I$1000, 0))), ""), "")</f>
        <v/>
      </c>
      <c r="H478" s="11" t="str">
        <f>IF(F478="Completado", IFERROR(IF(INDEX('Base Exámenes'!$E$5:$E$1000, MATCH(A478&amp;"|"&amp;J478, 'Base Exámenes'!$I$5:$I$1000, 0))="", "", INDEX('Base Exámenes'!$E$5:$E$1000, MATCH(A478&amp;"|"&amp;J478, 'Base Exámenes'!$I$5:$I$1000, 0))), ""), "")</f>
        <v/>
      </c>
      <c r="I478" s="10" t="str">
        <f>IF(F478="Completado", IFERROR(IF(INDEX('Base Exámenes'!$F$5:$F$1000, MATCH(A478&amp;"|"&amp;J478, 'Base Exámenes'!$I$5:$I$1000, 0))="", "", INDEX('Base Exámenes'!$F$5:$F$1000, MATCH(A478&amp;"|"&amp;J478, 'Base Exámenes'!$I$5:$I$1000, 0))), ""), "")</f>
        <v/>
      </c>
      <c r="J478" s="6" t="str">
        <f>IF(F478="Completado", IF(COUNTIFS('Base Exámenes'!$C$5:$C$1000, A478, 'Base Exámenes'!$G$5:$G$1000, "&lt;&gt;")=0, "", _xlfn.MAXIFS('Base Exámenes'!$G$5:$G$1000, 'Base Exámenes'!$C$5:$C$1000, A478)), "")</f>
        <v/>
      </c>
      <c r="K478" s="6" t="str">
        <f>IF(F478="Completado", IFERROR(IF(INDEX('Base Exámenes'!$H$5:$H$1000, MATCH(A478&amp;"|"&amp;J478, 'Base Exámenes'!$I$5:$I$1000, 0))="", "", INDEX('Base Exámenes'!$H$5:$H$1000, MATCH(A478&amp;"|"&amp;J478, 'Base Exámenes'!$I$5:$I$1000, 0))), ""), "")</f>
        <v/>
      </c>
      <c r="L478" s="22" t="str">
        <f>IF($A478="","",COUNTIF('Base Exámenes'!$C$5:$C$1000, A478))</f>
        <v/>
      </c>
      <c r="M478" s="6" t="str">
        <f>IF($A478="","",IF(COUNTIF('Base Exámenes'!$C$5:$C$1000, A478)&gt;0, "", TRIM('Base Oficial'!H478)))</f>
        <v/>
      </c>
    </row>
    <row r="479">
      <c r="A479" s="4" t="str">
        <f>IF('Base Oficial'!A479="","",TRIM('Base Oficial'!A479))</f>
        <v/>
      </c>
      <c r="B479" s="6" t="str">
        <f>IF($A479="","",TRIM('Base Oficial'!B479))</f>
        <v/>
      </c>
      <c r="C479" s="6" t="str">
        <f>IF($A479="","",TRIM('Base Oficial'!F479))</f>
        <v/>
      </c>
      <c r="D479" s="6" t="str">
        <f>IF($A479="","",TRIM('Base Oficial'!G479))</f>
        <v/>
      </c>
      <c r="E479" s="6" t="str">
        <f>IF($A479="","",TRIM('Base Oficial'!D479))</f>
        <v/>
      </c>
      <c r="F479" s="4" t="str">
        <f>IF($A479="","",IF(COUNTIF('Base Exámenes'!$C$5:$C$1000, A479)&gt;0, "Completado", IF(M479&lt;&gt;"", M479, "Pendiente")))</f>
        <v/>
      </c>
      <c r="G479" s="11" t="str">
        <f>IF(F479="Completado", IFERROR(IF(INDEX('Base Exámenes'!$D$5:$D$1000, MATCH(A479&amp;"|"&amp;J479, 'Base Exámenes'!$I$5:$I$1000, 0))="", "", INDEX('Base Exámenes'!$D$5:$D$1000, MATCH(A479&amp;"|"&amp;J479, 'Base Exámenes'!$I$5:$I$1000, 0))), ""), "")</f>
        <v/>
      </c>
      <c r="H479" s="11" t="str">
        <f>IF(F479="Completado", IFERROR(IF(INDEX('Base Exámenes'!$E$5:$E$1000, MATCH(A479&amp;"|"&amp;J479, 'Base Exámenes'!$I$5:$I$1000, 0))="", "", INDEX('Base Exámenes'!$E$5:$E$1000, MATCH(A479&amp;"|"&amp;J479, 'Base Exámenes'!$I$5:$I$1000, 0))), ""), "")</f>
        <v/>
      </c>
      <c r="I479" s="10" t="str">
        <f>IF(F479="Completado", IFERROR(IF(INDEX('Base Exámenes'!$F$5:$F$1000, MATCH(A479&amp;"|"&amp;J479, 'Base Exámenes'!$I$5:$I$1000, 0))="", "", INDEX('Base Exámenes'!$F$5:$F$1000, MATCH(A479&amp;"|"&amp;J479, 'Base Exámenes'!$I$5:$I$1000, 0))), ""), "")</f>
        <v/>
      </c>
      <c r="J479" s="6" t="str">
        <f>IF(F479="Completado", IF(COUNTIFS('Base Exámenes'!$C$5:$C$1000, A479, 'Base Exámenes'!$G$5:$G$1000, "&lt;&gt;")=0, "", _xlfn.MAXIFS('Base Exámenes'!$G$5:$G$1000, 'Base Exámenes'!$C$5:$C$1000, A479)), "")</f>
        <v/>
      </c>
      <c r="K479" s="6" t="str">
        <f>IF(F479="Completado", IFERROR(IF(INDEX('Base Exámenes'!$H$5:$H$1000, MATCH(A479&amp;"|"&amp;J479, 'Base Exámenes'!$I$5:$I$1000, 0))="", "", INDEX('Base Exámenes'!$H$5:$H$1000, MATCH(A479&amp;"|"&amp;J479, 'Base Exámenes'!$I$5:$I$1000, 0))), ""), "")</f>
        <v/>
      </c>
      <c r="L479" s="22" t="str">
        <f>IF($A479="","",COUNTIF('Base Exámenes'!$C$5:$C$1000, A479))</f>
        <v/>
      </c>
      <c r="M479" s="6" t="str">
        <f>IF($A479="","",IF(COUNTIF('Base Exámenes'!$C$5:$C$1000, A479)&gt;0, "", TRIM('Base Oficial'!H479)))</f>
        <v/>
      </c>
    </row>
    <row r="480">
      <c r="A480" s="4" t="str">
        <f>IF('Base Oficial'!A480="","",TRIM('Base Oficial'!A480))</f>
        <v/>
      </c>
      <c r="B480" s="6" t="str">
        <f>IF($A480="","",TRIM('Base Oficial'!B480))</f>
        <v/>
      </c>
      <c r="C480" s="6" t="str">
        <f>IF($A480="","",TRIM('Base Oficial'!F480))</f>
        <v/>
      </c>
      <c r="D480" s="6" t="str">
        <f>IF($A480="","",TRIM('Base Oficial'!G480))</f>
        <v/>
      </c>
      <c r="E480" s="6" t="str">
        <f>IF($A480="","",TRIM('Base Oficial'!D480))</f>
        <v/>
      </c>
      <c r="F480" s="4" t="str">
        <f>IF($A480="","",IF(COUNTIF('Base Exámenes'!$C$5:$C$1000, A480)&gt;0, "Completado", IF(M480&lt;&gt;"", M480, "Pendiente")))</f>
        <v/>
      </c>
      <c r="G480" s="11" t="str">
        <f>IF(F480="Completado", IFERROR(IF(INDEX('Base Exámenes'!$D$5:$D$1000, MATCH(A480&amp;"|"&amp;J480, 'Base Exámenes'!$I$5:$I$1000, 0))="", "", INDEX('Base Exámenes'!$D$5:$D$1000, MATCH(A480&amp;"|"&amp;J480, 'Base Exámenes'!$I$5:$I$1000, 0))), ""), "")</f>
        <v/>
      </c>
      <c r="H480" s="11" t="str">
        <f>IF(F480="Completado", IFERROR(IF(INDEX('Base Exámenes'!$E$5:$E$1000, MATCH(A480&amp;"|"&amp;J480, 'Base Exámenes'!$I$5:$I$1000, 0))="", "", INDEX('Base Exámenes'!$E$5:$E$1000, MATCH(A480&amp;"|"&amp;J480, 'Base Exámenes'!$I$5:$I$1000, 0))), ""), "")</f>
        <v/>
      </c>
      <c r="I480" s="10" t="str">
        <f>IF(F480="Completado", IFERROR(IF(INDEX('Base Exámenes'!$F$5:$F$1000, MATCH(A480&amp;"|"&amp;J480, 'Base Exámenes'!$I$5:$I$1000, 0))="", "", INDEX('Base Exámenes'!$F$5:$F$1000, MATCH(A480&amp;"|"&amp;J480, 'Base Exámenes'!$I$5:$I$1000, 0))), ""), "")</f>
        <v/>
      </c>
      <c r="J480" s="6" t="str">
        <f>IF(F480="Completado", IF(COUNTIFS('Base Exámenes'!$C$5:$C$1000, A480, 'Base Exámenes'!$G$5:$G$1000, "&lt;&gt;")=0, "", _xlfn.MAXIFS('Base Exámenes'!$G$5:$G$1000, 'Base Exámenes'!$C$5:$C$1000, A480)), "")</f>
        <v/>
      </c>
      <c r="K480" s="6" t="str">
        <f>IF(F480="Completado", IFERROR(IF(INDEX('Base Exámenes'!$H$5:$H$1000, MATCH(A480&amp;"|"&amp;J480, 'Base Exámenes'!$I$5:$I$1000, 0))="", "", INDEX('Base Exámenes'!$H$5:$H$1000, MATCH(A480&amp;"|"&amp;J480, 'Base Exámenes'!$I$5:$I$1000, 0))), ""), "")</f>
        <v/>
      </c>
      <c r="L480" s="22" t="str">
        <f>IF($A480="","",COUNTIF('Base Exámenes'!$C$5:$C$1000, A480))</f>
        <v/>
      </c>
      <c r="M480" s="6" t="str">
        <f>IF($A480="","",IF(COUNTIF('Base Exámenes'!$C$5:$C$1000, A480)&gt;0, "", TRIM('Base Oficial'!H480)))</f>
        <v/>
      </c>
    </row>
    <row r="481">
      <c r="A481" s="4" t="str">
        <f>IF('Base Oficial'!A481="","",TRIM('Base Oficial'!A481))</f>
        <v/>
      </c>
      <c r="B481" s="6" t="str">
        <f>IF($A481="","",TRIM('Base Oficial'!B481))</f>
        <v/>
      </c>
      <c r="C481" s="6" t="str">
        <f>IF($A481="","",TRIM('Base Oficial'!F481))</f>
        <v/>
      </c>
      <c r="D481" s="6" t="str">
        <f>IF($A481="","",TRIM('Base Oficial'!G481))</f>
        <v/>
      </c>
      <c r="E481" s="6" t="str">
        <f>IF($A481="","",TRIM('Base Oficial'!D481))</f>
        <v/>
      </c>
      <c r="F481" s="4" t="str">
        <f>IF($A481="","",IF(COUNTIF('Base Exámenes'!$C$5:$C$1000, A481)&gt;0, "Completado", IF(M481&lt;&gt;"", M481, "Pendiente")))</f>
        <v/>
      </c>
      <c r="G481" s="11" t="str">
        <f>IF(F481="Completado", IFERROR(IF(INDEX('Base Exámenes'!$D$5:$D$1000, MATCH(A481&amp;"|"&amp;J481, 'Base Exámenes'!$I$5:$I$1000, 0))="", "", INDEX('Base Exámenes'!$D$5:$D$1000, MATCH(A481&amp;"|"&amp;J481, 'Base Exámenes'!$I$5:$I$1000, 0))), ""), "")</f>
        <v/>
      </c>
      <c r="H481" s="11" t="str">
        <f>IF(F481="Completado", IFERROR(IF(INDEX('Base Exámenes'!$E$5:$E$1000, MATCH(A481&amp;"|"&amp;J481, 'Base Exámenes'!$I$5:$I$1000, 0))="", "", INDEX('Base Exámenes'!$E$5:$E$1000, MATCH(A481&amp;"|"&amp;J481, 'Base Exámenes'!$I$5:$I$1000, 0))), ""), "")</f>
        <v/>
      </c>
      <c r="I481" s="10" t="str">
        <f>IF(F481="Completado", IFERROR(IF(INDEX('Base Exámenes'!$F$5:$F$1000, MATCH(A481&amp;"|"&amp;J481, 'Base Exámenes'!$I$5:$I$1000, 0))="", "", INDEX('Base Exámenes'!$F$5:$F$1000, MATCH(A481&amp;"|"&amp;J481, 'Base Exámenes'!$I$5:$I$1000, 0))), ""), "")</f>
        <v/>
      </c>
      <c r="J481" s="6" t="str">
        <f>IF(F481="Completado", IF(COUNTIFS('Base Exámenes'!$C$5:$C$1000, A481, 'Base Exámenes'!$G$5:$G$1000, "&lt;&gt;")=0, "", _xlfn.MAXIFS('Base Exámenes'!$G$5:$G$1000, 'Base Exámenes'!$C$5:$C$1000, A481)), "")</f>
        <v/>
      </c>
      <c r="K481" s="6" t="str">
        <f>IF(F481="Completado", IFERROR(IF(INDEX('Base Exámenes'!$H$5:$H$1000, MATCH(A481&amp;"|"&amp;J481, 'Base Exámenes'!$I$5:$I$1000, 0))="", "", INDEX('Base Exámenes'!$H$5:$H$1000, MATCH(A481&amp;"|"&amp;J481, 'Base Exámenes'!$I$5:$I$1000, 0))), ""), "")</f>
        <v/>
      </c>
      <c r="L481" s="22" t="str">
        <f>IF($A481="","",COUNTIF('Base Exámenes'!$C$5:$C$1000, A481))</f>
        <v/>
      </c>
      <c r="M481" s="6" t="str">
        <f>IF($A481="","",IF(COUNTIF('Base Exámenes'!$C$5:$C$1000, A481)&gt;0, "", TRIM('Base Oficial'!H481)))</f>
        <v/>
      </c>
    </row>
    <row r="482">
      <c r="A482" s="4" t="str">
        <f>IF('Base Oficial'!A482="","",TRIM('Base Oficial'!A482))</f>
        <v/>
      </c>
      <c r="B482" s="6" t="str">
        <f>IF($A482="","",TRIM('Base Oficial'!B482))</f>
        <v/>
      </c>
      <c r="C482" s="6" t="str">
        <f>IF($A482="","",TRIM('Base Oficial'!F482))</f>
        <v/>
      </c>
      <c r="D482" s="6" t="str">
        <f>IF($A482="","",TRIM('Base Oficial'!G482))</f>
        <v/>
      </c>
      <c r="E482" s="6" t="str">
        <f>IF($A482="","",TRIM('Base Oficial'!D482))</f>
        <v/>
      </c>
      <c r="F482" s="4" t="str">
        <f>IF($A482="","",IF(COUNTIF('Base Exámenes'!$C$5:$C$1000, A482)&gt;0, "Completado", IF(M482&lt;&gt;"", M482, "Pendiente")))</f>
        <v/>
      </c>
      <c r="G482" s="11" t="str">
        <f>IF(F482="Completado", IFERROR(IF(INDEX('Base Exámenes'!$D$5:$D$1000, MATCH(A482&amp;"|"&amp;J482, 'Base Exámenes'!$I$5:$I$1000, 0))="", "", INDEX('Base Exámenes'!$D$5:$D$1000, MATCH(A482&amp;"|"&amp;J482, 'Base Exámenes'!$I$5:$I$1000, 0))), ""), "")</f>
        <v/>
      </c>
      <c r="H482" s="11" t="str">
        <f>IF(F482="Completado", IFERROR(IF(INDEX('Base Exámenes'!$E$5:$E$1000, MATCH(A482&amp;"|"&amp;J482, 'Base Exámenes'!$I$5:$I$1000, 0))="", "", INDEX('Base Exámenes'!$E$5:$E$1000, MATCH(A482&amp;"|"&amp;J482, 'Base Exámenes'!$I$5:$I$1000, 0))), ""), "")</f>
        <v/>
      </c>
      <c r="I482" s="10" t="str">
        <f>IF(F482="Completado", IFERROR(IF(INDEX('Base Exámenes'!$F$5:$F$1000, MATCH(A482&amp;"|"&amp;J482, 'Base Exámenes'!$I$5:$I$1000, 0))="", "", INDEX('Base Exámenes'!$F$5:$F$1000, MATCH(A482&amp;"|"&amp;J482, 'Base Exámenes'!$I$5:$I$1000, 0))), ""), "")</f>
        <v/>
      </c>
      <c r="J482" s="6" t="str">
        <f>IF(F482="Completado", IF(COUNTIFS('Base Exámenes'!$C$5:$C$1000, A482, 'Base Exámenes'!$G$5:$G$1000, "&lt;&gt;")=0, "", _xlfn.MAXIFS('Base Exámenes'!$G$5:$G$1000, 'Base Exámenes'!$C$5:$C$1000, A482)), "")</f>
        <v/>
      </c>
      <c r="K482" s="6" t="str">
        <f>IF(F482="Completado", IFERROR(IF(INDEX('Base Exámenes'!$H$5:$H$1000, MATCH(A482&amp;"|"&amp;J482, 'Base Exámenes'!$I$5:$I$1000, 0))="", "", INDEX('Base Exámenes'!$H$5:$H$1000, MATCH(A482&amp;"|"&amp;J482, 'Base Exámenes'!$I$5:$I$1000, 0))), ""), "")</f>
        <v/>
      </c>
      <c r="L482" s="22" t="str">
        <f>IF($A482="","",COUNTIF('Base Exámenes'!$C$5:$C$1000, A482))</f>
        <v/>
      </c>
      <c r="M482" s="6" t="str">
        <f>IF($A482="","",IF(COUNTIF('Base Exámenes'!$C$5:$C$1000, A482)&gt;0, "", TRIM('Base Oficial'!H482)))</f>
        <v/>
      </c>
    </row>
    <row r="483">
      <c r="A483" s="4" t="str">
        <f>IF('Base Oficial'!A483="","",TRIM('Base Oficial'!A483))</f>
        <v/>
      </c>
      <c r="B483" s="6" t="str">
        <f>IF($A483="","",TRIM('Base Oficial'!B483))</f>
        <v/>
      </c>
      <c r="C483" s="6" t="str">
        <f>IF($A483="","",TRIM('Base Oficial'!F483))</f>
        <v/>
      </c>
      <c r="D483" s="6" t="str">
        <f>IF($A483="","",TRIM('Base Oficial'!G483))</f>
        <v/>
      </c>
      <c r="E483" s="6" t="str">
        <f>IF($A483="","",TRIM('Base Oficial'!D483))</f>
        <v/>
      </c>
      <c r="F483" s="4" t="str">
        <f>IF($A483="","",IF(COUNTIF('Base Exámenes'!$C$5:$C$1000, A483)&gt;0, "Completado", IF(M483&lt;&gt;"", M483, "Pendiente")))</f>
        <v/>
      </c>
      <c r="G483" s="11" t="str">
        <f>IF(F483="Completado", IFERROR(IF(INDEX('Base Exámenes'!$D$5:$D$1000, MATCH(A483&amp;"|"&amp;J483, 'Base Exámenes'!$I$5:$I$1000, 0))="", "", INDEX('Base Exámenes'!$D$5:$D$1000, MATCH(A483&amp;"|"&amp;J483, 'Base Exámenes'!$I$5:$I$1000, 0))), ""), "")</f>
        <v/>
      </c>
      <c r="H483" s="11" t="str">
        <f>IF(F483="Completado", IFERROR(IF(INDEX('Base Exámenes'!$E$5:$E$1000, MATCH(A483&amp;"|"&amp;J483, 'Base Exámenes'!$I$5:$I$1000, 0))="", "", INDEX('Base Exámenes'!$E$5:$E$1000, MATCH(A483&amp;"|"&amp;J483, 'Base Exámenes'!$I$5:$I$1000, 0))), ""), "")</f>
        <v/>
      </c>
      <c r="I483" s="10" t="str">
        <f>IF(F483="Completado", IFERROR(IF(INDEX('Base Exámenes'!$F$5:$F$1000, MATCH(A483&amp;"|"&amp;J483, 'Base Exámenes'!$I$5:$I$1000, 0))="", "", INDEX('Base Exámenes'!$F$5:$F$1000, MATCH(A483&amp;"|"&amp;J483, 'Base Exámenes'!$I$5:$I$1000, 0))), ""), "")</f>
        <v/>
      </c>
      <c r="J483" s="6" t="str">
        <f>IF(F483="Completado", IF(COUNTIFS('Base Exámenes'!$C$5:$C$1000, A483, 'Base Exámenes'!$G$5:$G$1000, "&lt;&gt;")=0, "", _xlfn.MAXIFS('Base Exámenes'!$G$5:$G$1000, 'Base Exámenes'!$C$5:$C$1000, A483)), "")</f>
        <v/>
      </c>
      <c r="K483" s="6" t="str">
        <f>IF(F483="Completado", IFERROR(IF(INDEX('Base Exámenes'!$H$5:$H$1000, MATCH(A483&amp;"|"&amp;J483, 'Base Exámenes'!$I$5:$I$1000, 0))="", "", INDEX('Base Exámenes'!$H$5:$H$1000, MATCH(A483&amp;"|"&amp;J483, 'Base Exámenes'!$I$5:$I$1000, 0))), ""), "")</f>
        <v/>
      </c>
      <c r="L483" s="22" t="str">
        <f>IF($A483="","",COUNTIF('Base Exámenes'!$C$5:$C$1000, A483))</f>
        <v/>
      </c>
      <c r="M483" s="6" t="str">
        <f>IF($A483="","",IF(COUNTIF('Base Exámenes'!$C$5:$C$1000, A483)&gt;0, "", TRIM('Base Oficial'!H483)))</f>
        <v/>
      </c>
    </row>
    <row r="484">
      <c r="A484" s="4" t="str">
        <f>IF('Base Oficial'!A484="","",TRIM('Base Oficial'!A484))</f>
        <v/>
      </c>
      <c r="B484" s="6" t="str">
        <f>IF($A484="","",TRIM('Base Oficial'!B484))</f>
        <v/>
      </c>
      <c r="C484" s="6" t="str">
        <f>IF($A484="","",TRIM('Base Oficial'!F484))</f>
        <v/>
      </c>
      <c r="D484" s="6" t="str">
        <f>IF($A484="","",TRIM('Base Oficial'!G484))</f>
        <v/>
      </c>
      <c r="E484" s="6" t="str">
        <f>IF($A484="","",TRIM('Base Oficial'!D484))</f>
        <v/>
      </c>
      <c r="F484" s="4" t="str">
        <f>IF($A484="","",IF(COUNTIF('Base Exámenes'!$C$5:$C$1000, A484)&gt;0, "Completado", IF(M484&lt;&gt;"", M484, "Pendiente")))</f>
        <v/>
      </c>
      <c r="G484" s="11" t="str">
        <f>IF(F484="Completado", IFERROR(IF(INDEX('Base Exámenes'!$D$5:$D$1000, MATCH(A484&amp;"|"&amp;J484, 'Base Exámenes'!$I$5:$I$1000, 0))="", "", INDEX('Base Exámenes'!$D$5:$D$1000, MATCH(A484&amp;"|"&amp;J484, 'Base Exámenes'!$I$5:$I$1000, 0))), ""), "")</f>
        <v/>
      </c>
      <c r="H484" s="11" t="str">
        <f>IF(F484="Completado", IFERROR(IF(INDEX('Base Exámenes'!$E$5:$E$1000, MATCH(A484&amp;"|"&amp;J484, 'Base Exámenes'!$I$5:$I$1000, 0))="", "", INDEX('Base Exámenes'!$E$5:$E$1000, MATCH(A484&amp;"|"&amp;J484, 'Base Exámenes'!$I$5:$I$1000, 0))), ""), "")</f>
        <v/>
      </c>
      <c r="I484" s="10" t="str">
        <f>IF(F484="Completado", IFERROR(IF(INDEX('Base Exámenes'!$F$5:$F$1000, MATCH(A484&amp;"|"&amp;J484, 'Base Exámenes'!$I$5:$I$1000, 0))="", "", INDEX('Base Exámenes'!$F$5:$F$1000, MATCH(A484&amp;"|"&amp;J484, 'Base Exámenes'!$I$5:$I$1000, 0))), ""), "")</f>
        <v/>
      </c>
      <c r="J484" s="6" t="str">
        <f>IF(F484="Completado", IF(COUNTIFS('Base Exámenes'!$C$5:$C$1000, A484, 'Base Exámenes'!$G$5:$G$1000, "&lt;&gt;")=0, "", _xlfn.MAXIFS('Base Exámenes'!$G$5:$G$1000, 'Base Exámenes'!$C$5:$C$1000, A484)), "")</f>
        <v/>
      </c>
      <c r="K484" s="6" t="str">
        <f>IF(F484="Completado", IFERROR(IF(INDEX('Base Exámenes'!$H$5:$H$1000, MATCH(A484&amp;"|"&amp;J484, 'Base Exámenes'!$I$5:$I$1000, 0))="", "", INDEX('Base Exámenes'!$H$5:$H$1000, MATCH(A484&amp;"|"&amp;J484, 'Base Exámenes'!$I$5:$I$1000, 0))), ""), "")</f>
        <v/>
      </c>
      <c r="L484" s="22" t="str">
        <f>IF($A484="","",COUNTIF('Base Exámenes'!$C$5:$C$1000, A484))</f>
        <v/>
      </c>
      <c r="M484" s="6" t="str">
        <f>IF($A484="","",IF(COUNTIF('Base Exámenes'!$C$5:$C$1000, A484)&gt;0, "", TRIM('Base Oficial'!H484)))</f>
        <v/>
      </c>
    </row>
    <row r="485">
      <c r="A485" s="4" t="str">
        <f>IF('Base Oficial'!A485="","",TRIM('Base Oficial'!A485))</f>
        <v/>
      </c>
      <c r="B485" s="6" t="str">
        <f>IF($A485="","",TRIM('Base Oficial'!B485))</f>
        <v/>
      </c>
      <c r="C485" s="6" t="str">
        <f>IF($A485="","",TRIM('Base Oficial'!F485))</f>
        <v/>
      </c>
      <c r="D485" s="6" t="str">
        <f>IF($A485="","",TRIM('Base Oficial'!G485))</f>
        <v/>
      </c>
      <c r="E485" s="6" t="str">
        <f>IF($A485="","",TRIM('Base Oficial'!D485))</f>
        <v/>
      </c>
      <c r="F485" s="4" t="str">
        <f>IF($A485="","",IF(COUNTIF('Base Exámenes'!$C$5:$C$1000, A485)&gt;0, "Completado", IF(M485&lt;&gt;"", M485, "Pendiente")))</f>
        <v/>
      </c>
      <c r="G485" s="11" t="str">
        <f>IF(F485="Completado", IFERROR(IF(INDEX('Base Exámenes'!$D$5:$D$1000, MATCH(A485&amp;"|"&amp;J485, 'Base Exámenes'!$I$5:$I$1000, 0))="", "", INDEX('Base Exámenes'!$D$5:$D$1000, MATCH(A485&amp;"|"&amp;J485, 'Base Exámenes'!$I$5:$I$1000, 0))), ""), "")</f>
        <v/>
      </c>
      <c r="H485" s="11" t="str">
        <f>IF(F485="Completado", IFERROR(IF(INDEX('Base Exámenes'!$E$5:$E$1000, MATCH(A485&amp;"|"&amp;J485, 'Base Exámenes'!$I$5:$I$1000, 0))="", "", INDEX('Base Exámenes'!$E$5:$E$1000, MATCH(A485&amp;"|"&amp;J485, 'Base Exámenes'!$I$5:$I$1000, 0))), ""), "")</f>
        <v/>
      </c>
      <c r="I485" s="10" t="str">
        <f>IF(F485="Completado", IFERROR(IF(INDEX('Base Exámenes'!$F$5:$F$1000, MATCH(A485&amp;"|"&amp;J485, 'Base Exámenes'!$I$5:$I$1000, 0))="", "", INDEX('Base Exámenes'!$F$5:$F$1000, MATCH(A485&amp;"|"&amp;J485, 'Base Exámenes'!$I$5:$I$1000, 0))), ""), "")</f>
        <v/>
      </c>
      <c r="J485" s="6" t="str">
        <f>IF(F485="Completado", IF(COUNTIFS('Base Exámenes'!$C$5:$C$1000, A485, 'Base Exámenes'!$G$5:$G$1000, "&lt;&gt;")=0, "", _xlfn.MAXIFS('Base Exámenes'!$G$5:$G$1000, 'Base Exámenes'!$C$5:$C$1000, A485)), "")</f>
        <v/>
      </c>
      <c r="K485" s="6" t="str">
        <f>IF(F485="Completado", IFERROR(IF(INDEX('Base Exámenes'!$H$5:$H$1000, MATCH(A485&amp;"|"&amp;J485, 'Base Exámenes'!$I$5:$I$1000, 0))="", "", INDEX('Base Exámenes'!$H$5:$H$1000, MATCH(A485&amp;"|"&amp;J485, 'Base Exámenes'!$I$5:$I$1000, 0))), ""), "")</f>
        <v/>
      </c>
      <c r="L485" s="22" t="str">
        <f>IF($A485="","",COUNTIF('Base Exámenes'!$C$5:$C$1000, A485))</f>
        <v/>
      </c>
      <c r="M485" s="6" t="str">
        <f>IF($A485="","",IF(COUNTIF('Base Exámenes'!$C$5:$C$1000, A485)&gt;0, "", TRIM('Base Oficial'!H485)))</f>
        <v/>
      </c>
    </row>
    <row r="486">
      <c r="A486" s="4" t="str">
        <f>IF('Base Oficial'!A486="","",TRIM('Base Oficial'!A486))</f>
        <v/>
      </c>
      <c r="B486" s="6" t="str">
        <f>IF($A486="","",TRIM('Base Oficial'!B486))</f>
        <v/>
      </c>
      <c r="C486" s="6" t="str">
        <f>IF($A486="","",TRIM('Base Oficial'!F486))</f>
        <v/>
      </c>
      <c r="D486" s="6" t="str">
        <f>IF($A486="","",TRIM('Base Oficial'!G486))</f>
        <v/>
      </c>
      <c r="E486" s="6" t="str">
        <f>IF($A486="","",TRIM('Base Oficial'!D486))</f>
        <v/>
      </c>
      <c r="F486" s="4" t="str">
        <f>IF($A486="","",IF(COUNTIF('Base Exámenes'!$C$5:$C$1000, A486)&gt;0, "Completado", IF(M486&lt;&gt;"", M486, "Pendiente")))</f>
        <v/>
      </c>
      <c r="G486" s="11" t="str">
        <f>IF(F486="Completado", IFERROR(IF(INDEX('Base Exámenes'!$D$5:$D$1000, MATCH(A486&amp;"|"&amp;J486, 'Base Exámenes'!$I$5:$I$1000, 0))="", "", INDEX('Base Exámenes'!$D$5:$D$1000, MATCH(A486&amp;"|"&amp;J486, 'Base Exámenes'!$I$5:$I$1000, 0))), ""), "")</f>
        <v/>
      </c>
      <c r="H486" s="11" t="str">
        <f>IF(F486="Completado", IFERROR(IF(INDEX('Base Exámenes'!$E$5:$E$1000, MATCH(A486&amp;"|"&amp;J486, 'Base Exámenes'!$I$5:$I$1000, 0))="", "", INDEX('Base Exámenes'!$E$5:$E$1000, MATCH(A486&amp;"|"&amp;J486, 'Base Exámenes'!$I$5:$I$1000, 0))), ""), "")</f>
        <v/>
      </c>
      <c r="I486" s="10" t="str">
        <f>IF(F486="Completado", IFERROR(IF(INDEX('Base Exámenes'!$F$5:$F$1000, MATCH(A486&amp;"|"&amp;J486, 'Base Exámenes'!$I$5:$I$1000, 0))="", "", INDEX('Base Exámenes'!$F$5:$F$1000, MATCH(A486&amp;"|"&amp;J486, 'Base Exámenes'!$I$5:$I$1000, 0))), ""), "")</f>
        <v/>
      </c>
      <c r="J486" s="6" t="str">
        <f>IF(F486="Completado", IF(COUNTIFS('Base Exámenes'!$C$5:$C$1000, A486, 'Base Exámenes'!$G$5:$G$1000, "&lt;&gt;")=0, "", _xlfn.MAXIFS('Base Exámenes'!$G$5:$G$1000, 'Base Exámenes'!$C$5:$C$1000, A486)), "")</f>
        <v/>
      </c>
      <c r="K486" s="6" t="str">
        <f>IF(F486="Completado", IFERROR(IF(INDEX('Base Exámenes'!$H$5:$H$1000, MATCH(A486&amp;"|"&amp;J486, 'Base Exámenes'!$I$5:$I$1000, 0))="", "", INDEX('Base Exámenes'!$H$5:$H$1000, MATCH(A486&amp;"|"&amp;J486, 'Base Exámenes'!$I$5:$I$1000, 0))), ""), "")</f>
        <v/>
      </c>
      <c r="L486" s="22" t="str">
        <f>IF($A486="","",COUNTIF('Base Exámenes'!$C$5:$C$1000, A486))</f>
        <v/>
      </c>
      <c r="M486" s="6" t="str">
        <f>IF($A486="","",IF(COUNTIF('Base Exámenes'!$C$5:$C$1000, A486)&gt;0, "", TRIM('Base Oficial'!H486)))</f>
        <v/>
      </c>
    </row>
    <row r="487">
      <c r="A487" s="4" t="str">
        <f>IF('Base Oficial'!A487="","",TRIM('Base Oficial'!A487))</f>
        <v/>
      </c>
      <c r="B487" s="6" t="str">
        <f>IF($A487="","",TRIM('Base Oficial'!B487))</f>
        <v/>
      </c>
      <c r="C487" s="6" t="str">
        <f>IF($A487="","",TRIM('Base Oficial'!F487))</f>
        <v/>
      </c>
      <c r="D487" s="6" t="str">
        <f>IF($A487="","",TRIM('Base Oficial'!G487))</f>
        <v/>
      </c>
      <c r="E487" s="6" t="str">
        <f>IF($A487="","",TRIM('Base Oficial'!D487))</f>
        <v/>
      </c>
      <c r="F487" s="4" t="str">
        <f>IF($A487="","",IF(COUNTIF('Base Exámenes'!$C$5:$C$1000, A487)&gt;0, "Completado", IF(M487&lt;&gt;"", M487, "Pendiente")))</f>
        <v/>
      </c>
      <c r="G487" s="11" t="str">
        <f>IF(F487="Completado", IFERROR(IF(INDEX('Base Exámenes'!$D$5:$D$1000, MATCH(A487&amp;"|"&amp;J487, 'Base Exámenes'!$I$5:$I$1000, 0))="", "", INDEX('Base Exámenes'!$D$5:$D$1000, MATCH(A487&amp;"|"&amp;J487, 'Base Exámenes'!$I$5:$I$1000, 0))), ""), "")</f>
        <v/>
      </c>
      <c r="H487" s="11" t="str">
        <f>IF(F487="Completado", IFERROR(IF(INDEX('Base Exámenes'!$E$5:$E$1000, MATCH(A487&amp;"|"&amp;J487, 'Base Exámenes'!$I$5:$I$1000, 0))="", "", INDEX('Base Exámenes'!$E$5:$E$1000, MATCH(A487&amp;"|"&amp;J487, 'Base Exámenes'!$I$5:$I$1000, 0))), ""), "")</f>
        <v/>
      </c>
      <c r="I487" s="10" t="str">
        <f>IF(F487="Completado", IFERROR(IF(INDEX('Base Exámenes'!$F$5:$F$1000, MATCH(A487&amp;"|"&amp;J487, 'Base Exámenes'!$I$5:$I$1000, 0))="", "", INDEX('Base Exámenes'!$F$5:$F$1000, MATCH(A487&amp;"|"&amp;J487, 'Base Exámenes'!$I$5:$I$1000, 0))), ""), "")</f>
        <v/>
      </c>
      <c r="J487" s="6" t="str">
        <f>IF(F487="Completado", IF(COUNTIFS('Base Exámenes'!$C$5:$C$1000, A487, 'Base Exámenes'!$G$5:$G$1000, "&lt;&gt;")=0, "", _xlfn.MAXIFS('Base Exámenes'!$G$5:$G$1000, 'Base Exámenes'!$C$5:$C$1000, A487)), "")</f>
        <v/>
      </c>
      <c r="K487" s="6" t="str">
        <f>IF(F487="Completado", IFERROR(IF(INDEX('Base Exámenes'!$H$5:$H$1000, MATCH(A487&amp;"|"&amp;J487, 'Base Exámenes'!$I$5:$I$1000, 0))="", "", INDEX('Base Exámenes'!$H$5:$H$1000, MATCH(A487&amp;"|"&amp;J487, 'Base Exámenes'!$I$5:$I$1000, 0))), ""), "")</f>
        <v/>
      </c>
      <c r="L487" s="22" t="str">
        <f>IF($A487="","",COUNTIF('Base Exámenes'!$C$5:$C$1000, A487))</f>
        <v/>
      </c>
      <c r="M487" s="6" t="str">
        <f>IF($A487="","",IF(COUNTIF('Base Exámenes'!$C$5:$C$1000, A487)&gt;0, "", TRIM('Base Oficial'!H487)))</f>
        <v/>
      </c>
    </row>
    <row r="488">
      <c r="A488" s="4" t="str">
        <f>IF('Base Oficial'!A488="","",TRIM('Base Oficial'!A488))</f>
        <v/>
      </c>
      <c r="B488" s="6" t="str">
        <f>IF($A488="","",TRIM('Base Oficial'!B488))</f>
        <v/>
      </c>
      <c r="C488" s="6" t="str">
        <f>IF($A488="","",TRIM('Base Oficial'!F488))</f>
        <v/>
      </c>
      <c r="D488" s="6" t="str">
        <f>IF($A488="","",TRIM('Base Oficial'!G488))</f>
        <v/>
      </c>
      <c r="E488" s="6" t="str">
        <f>IF($A488="","",TRIM('Base Oficial'!D488))</f>
        <v/>
      </c>
      <c r="F488" s="4" t="str">
        <f>IF($A488="","",IF(COUNTIF('Base Exámenes'!$C$5:$C$1000, A488)&gt;0, "Completado", IF(M488&lt;&gt;"", M488, "Pendiente")))</f>
        <v/>
      </c>
      <c r="G488" s="11" t="str">
        <f>IF(F488="Completado", IFERROR(IF(INDEX('Base Exámenes'!$D$5:$D$1000, MATCH(A488&amp;"|"&amp;J488, 'Base Exámenes'!$I$5:$I$1000, 0))="", "", INDEX('Base Exámenes'!$D$5:$D$1000, MATCH(A488&amp;"|"&amp;J488, 'Base Exámenes'!$I$5:$I$1000, 0))), ""), "")</f>
        <v/>
      </c>
      <c r="H488" s="11" t="str">
        <f>IF(F488="Completado", IFERROR(IF(INDEX('Base Exámenes'!$E$5:$E$1000, MATCH(A488&amp;"|"&amp;J488, 'Base Exámenes'!$I$5:$I$1000, 0))="", "", INDEX('Base Exámenes'!$E$5:$E$1000, MATCH(A488&amp;"|"&amp;J488, 'Base Exámenes'!$I$5:$I$1000, 0))), ""), "")</f>
        <v/>
      </c>
      <c r="I488" s="10" t="str">
        <f>IF(F488="Completado", IFERROR(IF(INDEX('Base Exámenes'!$F$5:$F$1000, MATCH(A488&amp;"|"&amp;J488, 'Base Exámenes'!$I$5:$I$1000, 0))="", "", INDEX('Base Exámenes'!$F$5:$F$1000, MATCH(A488&amp;"|"&amp;J488, 'Base Exámenes'!$I$5:$I$1000, 0))), ""), "")</f>
        <v/>
      </c>
      <c r="J488" s="6" t="str">
        <f>IF(F488="Completado", IF(COUNTIFS('Base Exámenes'!$C$5:$C$1000, A488, 'Base Exámenes'!$G$5:$G$1000, "&lt;&gt;")=0, "", _xlfn.MAXIFS('Base Exámenes'!$G$5:$G$1000, 'Base Exámenes'!$C$5:$C$1000, A488)), "")</f>
        <v/>
      </c>
      <c r="K488" s="6" t="str">
        <f>IF(F488="Completado", IFERROR(IF(INDEX('Base Exámenes'!$H$5:$H$1000, MATCH(A488&amp;"|"&amp;J488, 'Base Exámenes'!$I$5:$I$1000, 0))="", "", INDEX('Base Exámenes'!$H$5:$H$1000, MATCH(A488&amp;"|"&amp;J488, 'Base Exámenes'!$I$5:$I$1000, 0))), ""), "")</f>
        <v/>
      </c>
      <c r="L488" s="22" t="str">
        <f>IF($A488="","",COUNTIF('Base Exámenes'!$C$5:$C$1000, A488))</f>
        <v/>
      </c>
      <c r="M488" s="6" t="str">
        <f>IF($A488="","",IF(COUNTIF('Base Exámenes'!$C$5:$C$1000, A488)&gt;0, "", TRIM('Base Oficial'!H488)))</f>
        <v/>
      </c>
    </row>
    <row r="489">
      <c r="A489" s="4" t="str">
        <f>IF('Base Oficial'!A489="","",TRIM('Base Oficial'!A489))</f>
        <v/>
      </c>
      <c r="B489" s="6" t="str">
        <f>IF($A489="","",TRIM('Base Oficial'!B489))</f>
        <v/>
      </c>
      <c r="C489" s="6" t="str">
        <f>IF($A489="","",TRIM('Base Oficial'!F489))</f>
        <v/>
      </c>
      <c r="D489" s="6" t="str">
        <f>IF($A489="","",TRIM('Base Oficial'!G489))</f>
        <v/>
      </c>
      <c r="E489" s="6" t="str">
        <f>IF($A489="","",TRIM('Base Oficial'!D489))</f>
        <v/>
      </c>
      <c r="F489" s="4" t="str">
        <f>IF($A489="","",IF(COUNTIF('Base Exámenes'!$C$5:$C$1000, A489)&gt;0, "Completado", IF(M489&lt;&gt;"", M489, "Pendiente")))</f>
        <v/>
      </c>
      <c r="G489" s="11" t="str">
        <f>IF(F489="Completado", IFERROR(IF(INDEX('Base Exámenes'!$D$5:$D$1000, MATCH(A489&amp;"|"&amp;J489, 'Base Exámenes'!$I$5:$I$1000, 0))="", "", INDEX('Base Exámenes'!$D$5:$D$1000, MATCH(A489&amp;"|"&amp;J489, 'Base Exámenes'!$I$5:$I$1000, 0))), ""), "")</f>
        <v/>
      </c>
      <c r="H489" s="11" t="str">
        <f>IF(F489="Completado", IFERROR(IF(INDEX('Base Exámenes'!$E$5:$E$1000, MATCH(A489&amp;"|"&amp;J489, 'Base Exámenes'!$I$5:$I$1000, 0))="", "", INDEX('Base Exámenes'!$E$5:$E$1000, MATCH(A489&amp;"|"&amp;J489, 'Base Exámenes'!$I$5:$I$1000, 0))), ""), "")</f>
        <v/>
      </c>
      <c r="I489" s="10" t="str">
        <f>IF(F489="Completado", IFERROR(IF(INDEX('Base Exámenes'!$F$5:$F$1000, MATCH(A489&amp;"|"&amp;J489, 'Base Exámenes'!$I$5:$I$1000, 0))="", "", INDEX('Base Exámenes'!$F$5:$F$1000, MATCH(A489&amp;"|"&amp;J489, 'Base Exámenes'!$I$5:$I$1000, 0))), ""), "")</f>
        <v/>
      </c>
      <c r="J489" s="6" t="str">
        <f>IF(F489="Completado", IF(COUNTIFS('Base Exámenes'!$C$5:$C$1000, A489, 'Base Exámenes'!$G$5:$G$1000, "&lt;&gt;")=0, "", _xlfn.MAXIFS('Base Exámenes'!$G$5:$G$1000, 'Base Exámenes'!$C$5:$C$1000, A489)), "")</f>
        <v/>
      </c>
      <c r="K489" s="6" t="str">
        <f>IF(F489="Completado", IFERROR(IF(INDEX('Base Exámenes'!$H$5:$H$1000, MATCH(A489&amp;"|"&amp;J489, 'Base Exámenes'!$I$5:$I$1000, 0))="", "", INDEX('Base Exámenes'!$H$5:$H$1000, MATCH(A489&amp;"|"&amp;J489, 'Base Exámenes'!$I$5:$I$1000, 0))), ""), "")</f>
        <v/>
      </c>
      <c r="L489" s="22" t="str">
        <f>IF($A489="","",COUNTIF('Base Exámenes'!$C$5:$C$1000, A489))</f>
        <v/>
      </c>
      <c r="M489" s="6" t="str">
        <f>IF($A489="","",IF(COUNTIF('Base Exámenes'!$C$5:$C$1000, A489)&gt;0, "", TRIM('Base Oficial'!H489)))</f>
        <v/>
      </c>
    </row>
    <row r="490">
      <c r="A490" s="4" t="str">
        <f>IF('Base Oficial'!A490="","",TRIM('Base Oficial'!A490))</f>
        <v/>
      </c>
      <c r="B490" s="6" t="str">
        <f>IF($A490="","",TRIM('Base Oficial'!B490))</f>
        <v/>
      </c>
      <c r="C490" s="6" t="str">
        <f>IF($A490="","",TRIM('Base Oficial'!F490))</f>
        <v/>
      </c>
      <c r="D490" s="6" t="str">
        <f>IF($A490="","",TRIM('Base Oficial'!G490))</f>
        <v/>
      </c>
      <c r="E490" s="6" t="str">
        <f>IF($A490="","",TRIM('Base Oficial'!D490))</f>
        <v/>
      </c>
      <c r="F490" s="4" t="str">
        <f>IF($A490="","",IF(COUNTIF('Base Exámenes'!$C$5:$C$1000, A490)&gt;0, "Completado", IF(M490&lt;&gt;"", M490, "Pendiente")))</f>
        <v/>
      </c>
      <c r="G490" s="11" t="str">
        <f>IF(F490="Completado", IFERROR(IF(INDEX('Base Exámenes'!$D$5:$D$1000, MATCH(A490&amp;"|"&amp;J490, 'Base Exámenes'!$I$5:$I$1000, 0))="", "", INDEX('Base Exámenes'!$D$5:$D$1000, MATCH(A490&amp;"|"&amp;J490, 'Base Exámenes'!$I$5:$I$1000, 0))), ""), "")</f>
        <v/>
      </c>
      <c r="H490" s="11" t="str">
        <f>IF(F490="Completado", IFERROR(IF(INDEX('Base Exámenes'!$E$5:$E$1000, MATCH(A490&amp;"|"&amp;J490, 'Base Exámenes'!$I$5:$I$1000, 0))="", "", INDEX('Base Exámenes'!$E$5:$E$1000, MATCH(A490&amp;"|"&amp;J490, 'Base Exámenes'!$I$5:$I$1000, 0))), ""), "")</f>
        <v/>
      </c>
      <c r="I490" s="10" t="str">
        <f>IF(F490="Completado", IFERROR(IF(INDEX('Base Exámenes'!$F$5:$F$1000, MATCH(A490&amp;"|"&amp;J490, 'Base Exámenes'!$I$5:$I$1000, 0))="", "", INDEX('Base Exámenes'!$F$5:$F$1000, MATCH(A490&amp;"|"&amp;J490, 'Base Exámenes'!$I$5:$I$1000, 0))), ""), "")</f>
        <v/>
      </c>
      <c r="J490" s="6" t="str">
        <f>IF(F490="Completado", IF(COUNTIFS('Base Exámenes'!$C$5:$C$1000, A490, 'Base Exámenes'!$G$5:$G$1000, "&lt;&gt;")=0, "", _xlfn.MAXIFS('Base Exámenes'!$G$5:$G$1000, 'Base Exámenes'!$C$5:$C$1000, A490)), "")</f>
        <v/>
      </c>
      <c r="K490" s="6" t="str">
        <f>IF(F490="Completado", IFERROR(IF(INDEX('Base Exámenes'!$H$5:$H$1000, MATCH(A490&amp;"|"&amp;J490, 'Base Exámenes'!$I$5:$I$1000, 0))="", "", INDEX('Base Exámenes'!$H$5:$H$1000, MATCH(A490&amp;"|"&amp;J490, 'Base Exámenes'!$I$5:$I$1000, 0))), ""), "")</f>
        <v/>
      </c>
      <c r="L490" s="22" t="str">
        <f>IF($A490="","",COUNTIF('Base Exámenes'!$C$5:$C$1000, A490))</f>
        <v/>
      </c>
      <c r="M490" s="6" t="str">
        <f>IF($A490="","",IF(COUNTIF('Base Exámenes'!$C$5:$C$1000, A490)&gt;0, "", TRIM('Base Oficial'!H490)))</f>
        <v/>
      </c>
    </row>
    <row r="491">
      <c r="A491" s="4" t="str">
        <f>IF('Base Oficial'!A491="","",TRIM('Base Oficial'!A491))</f>
        <v/>
      </c>
      <c r="B491" s="6" t="str">
        <f>IF($A491="","",TRIM('Base Oficial'!B491))</f>
        <v/>
      </c>
      <c r="C491" s="6" t="str">
        <f>IF($A491="","",TRIM('Base Oficial'!F491))</f>
        <v/>
      </c>
      <c r="D491" s="6" t="str">
        <f>IF($A491="","",TRIM('Base Oficial'!G491))</f>
        <v/>
      </c>
      <c r="E491" s="6" t="str">
        <f>IF($A491="","",TRIM('Base Oficial'!D491))</f>
        <v/>
      </c>
      <c r="F491" s="4" t="str">
        <f>IF($A491="","",IF(COUNTIF('Base Exámenes'!$C$5:$C$1000, A491)&gt;0, "Completado", IF(M491&lt;&gt;"", M491, "Pendiente")))</f>
        <v/>
      </c>
      <c r="G491" s="11" t="str">
        <f>IF(F491="Completado", IFERROR(IF(INDEX('Base Exámenes'!$D$5:$D$1000, MATCH(A491&amp;"|"&amp;J491, 'Base Exámenes'!$I$5:$I$1000, 0))="", "", INDEX('Base Exámenes'!$D$5:$D$1000, MATCH(A491&amp;"|"&amp;J491, 'Base Exámenes'!$I$5:$I$1000, 0))), ""), "")</f>
        <v/>
      </c>
      <c r="H491" s="11" t="str">
        <f>IF(F491="Completado", IFERROR(IF(INDEX('Base Exámenes'!$E$5:$E$1000, MATCH(A491&amp;"|"&amp;J491, 'Base Exámenes'!$I$5:$I$1000, 0))="", "", INDEX('Base Exámenes'!$E$5:$E$1000, MATCH(A491&amp;"|"&amp;J491, 'Base Exámenes'!$I$5:$I$1000, 0))), ""), "")</f>
        <v/>
      </c>
      <c r="I491" s="10" t="str">
        <f>IF(F491="Completado", IFERROR(IF(INDEX('Base Exámenes'!$F$5:$F$1000, MATCH(A491&amp;"|"&amp;J491, 'Base Exámenes'!$I$5:$I$1000, 0))="", "", INDEX('Base Exámenes'!$F$5:$F$1000, MATCH(A491&amp;"|"&amp;J491, 'Base Exámenes'!$I$5:$I$1000, 0))), ""), "")</f>
        <v/>
      </c>
      <c r="J491" s="6" t="str">
        <f>IF(F491="Completado", IF(COUNTIFS('Base Exámenes'!$C$5:$C$1000, A491, 'Base Exámenes'!$G$5:$G$1000, "&lt;&gt;")=0, "", _xlfn.MAXIFS('Base Exámenes'!$G$5:$G$1000, 'Base Exámenes'!$C$5:$C$1000, A491)), "")</f>
        <v/>
      </c>
      <c r="K491" s="6" t="str">
        <f>IF(F491="Completado", IFERROR(IF(INDEX('Base Exámenes'!$H$5:$H$1000, MATCH(A491&amp;"|"&amp;J491, 'Base Exámenes'!$I$5:$I$1000, 0))="", "", INDEX('Base Exámenes'!$H$5:$H$1000, MATCH(A491&amp;"|"&amp;J491, 'Base Exámenes'!$I$5:$I$1000, 0))), ""), "")</f>
        <v/>
      </c>
      <c r="L491" s="22" t="str">
        <f>IF($A491="","",COUNTIF('Base Exámenes'!$C$5:$C$1000, A491))</f>
        <v/>
      </c>
      <c r="M491" s="6" t="str">
        <f>IF($A491="","",IF(COUNTIF('Base Exámenes'!$C$5:$C$1000, A491)&gt;0, "", TRIM('Base Oficial'!H491)))</f>
        <v/>
      </c>
    </row>
    <row r="492">
      <c r="A492" s="4" t="str">
        <f>IF('Base Oficial'!A492="","",TRIM('Base Oficial'!A492))</f>
        <v/>
      </c>
      <c r="B492" s="6" t="str">
        <f>IF($A492="","",TRIM('Base Oficial'!B492))</f>
        <v/>
      </c>
      <c r="C492" s="6" t="str">
        <f>IF($A492="","",TRIM('Base Oficial'!F492))</f>
        <v/>
      </c>
      <c r="D492" s="6" t="str">
        <f>IF($A492="","",TRIM('Base Oficial'!G492))</f>
        <v/>
      </c>
      <c r="E492" s="6" t="str">
        <f>IF($A492="","",TRIM('Base Oficial'!D492))</f>
        <v/>
      </c>
      <c r="F492" s="4" t="str">
        <f>IF($A492="","",IF(COUNTIF('Base Exámenes'!$C$5:$C$1000, A492)&gt;0, "Completado", IF(M492&lt;&gt;"", M492, "Pendiente")))</f>
        <v/>
      </c>
      <c r="G492" s="11" t="str">
        <f>IF(F492="Completado", IFERROR(IF(INDEX('Base Exámenes'!$D$5:$D$1000, MATCH(A492&amp;"|"&amp;J492, 'Base Exámenes'!$I$5:$I$1000, 0))="", "", INDEX('Base Exámenes'!$D$5:$D$1000, MATCH(A492&amp;"|"&amp;J492, 'Base Exámenes'!$I$5:$I$1000, 0))), ""), "")</f>
        <v/>
      </c>
      <c r="H492" s="11" t="str">
        <f>IF(F492="Completado", IFERROR(IF(INDEX('Base Exámenes'!$E$5:$E$1000, MATCH(A492&amp;"|"&amp;J492, 'Base Exámenes'!$I$5:$I$1000, 0))="", "", INDEX('Base Exámenes'!$E$5:$E$1000, MATCH(A492&amp;"|"&amp;J492, 'Base Exámenes'!$I$5:$I$1000, 0))), ""), "")</f>
        <v/>
      </c>
      <c r="I492" s="10" t="str">
        <f>IF(F492="Completado", IFERROR(IF(INDEX('Base Exámenes'!$F$5:$F$1000, MATCH(A492&amp;"|"&amp;J492, 'Base Exámenes'!$I$5:$I$1000, 0))="", "", INDEX('Base Exámenes'!$F$5:$F$1000, MATCH(A492&amp;"|"&amp;J492, 'Base Exámenes'!$I$5:$I$1000, 0))), ""), "")</f>
        <v/>
      </c>
      <c r="J492" s="6" t="str">
        <f>IF(F492="Completado", IF(COUNTIFS('Base Exámenes'!$C$5:$C$1000, A492, 'Base Exámenes'!$G$5:$G$1000, "&lt;&gt;")=0, "", _xlfn.MAXIFS('Base Exámenes'!$G$5:$G$1000, 'Base Exámenes'!$C$5:$C$1000, A492)), "")</f>
        <v/>
      </c>
      <c r="K492" s="6" t="str">
        <f>IF(F492="Completado", IFERROR(IF(INDEX('Base Exámenes'!$H$5:$H$1000, MATCH(A492&amp;"|"&amp;J492, 'Base Exámenes'!$I$5:$I$1000, 0))="", "", INDEX('Base Exámenes'!$H$5:$H$1000, MATCH(A492&amp;"|"&amp;J492, 'Base Exámenes'!$I$5:$I$1000, 0))), ""), "")</f>
        <v/>
      </c>
      <c r="L492" s="22" t="str">
        <f>IF($A492="","",COUNTIF('Base Exámenes'!$C$5:$C$1000, A492))</f>
        <v/>
      </c>
      <c r="M492" s="6" t="str">
        <f>IF($A492="","",IF(COUNTIF('Base Exámenes'!$C$5:$C$1000, A492)&gt;0, "", TRIM('Base Oficial'!H492)))</f>
        <v/>
      </c>
    </row>
    <row r="493">
      <c r="A493" s="4" t="str">
        <f>IF('Base Oficial'!A493="","",TRIM('Base Oficial'!A493))</f>
        <v/>
      </c>
      <c r="B493" s="6" t="str">
        <f>IF($A493="","",TRIM('Base Oficial'!B493))</f>
        <v/>
      </c>
      <c r="C493" s="6" t="str">
        <f>IF($A493="","",TRIM('Base Oficial'!F493))</f>
        <v/>
      </c>
      <c r="D493" s="6" t="str">
        <f>IF($A493="","",TRIM('Base Oficial'!G493))</f>
        <v/>
      </c>
      <c r="E493" s="6" t="str">
        <f>IF($A493="","",TRIM('Base Oficial'!D493))</f>
        <v/>
      </c>
      <c r="F493" s="4" t="str">
        <f>IF($A493="","",IF(COUNTIF('Base Exámenes'!$C$5:$C$1000, A493)&gt;0, "Completado", IF(M493&lt;&gt;"", M493, "Pendiente")))</f>
        <v/>
      </c>
      <c r="G493" s="11" t="str">
        <f>IF(F493="Completado", IFERROR(IF(INDEX('Base Exámenes'!$D$5:$D$1000, MATCH(A493&amp;"|"&amp;J493, 'Base Exámenes'!$I$5:$I$1000, 0))="", "", INDEX('Base Exámenes'!$D$5:$D$1000, MATCH(A493&amp;"|"&amp;J493, 'Base Exámenes'!$I$5:$I$1000, 0))), ""), "")</f>
        <v/>
      </c>
      <c r="H493" s="11" t="str">
        <f>IF(F493="Completado", IFERROR(IF(INDEX('Base Exámenes'!$E$5:$E$1000, MATCH(A493&amp;"|"&amp;J493, 'Base Exámenes'!$I$5:$I$1000, 0))="", "", INDEX('Base Exámenes'!$E$5:$E$1000, MATCH(A493&amp;"|"&amp;J493, 'Base Exámenes'!$I$5:$I$1000, 0))), ""), "")</f>
        <v/>
      </c>
      <c r="I493" s="10" t="str">
        <f>IF(F493="Completado", IFERROR(IF(INDEX('Base Exámenes'!$F$5:$F$1000, MATCH(A493&amp;"|"&amp;J493, 'Base Exámenes'!$I$5:$I$1000, 0))="", "", INDEX('Base Exámenes'!$F$5:$F$1000, MATCH(A493&amp;"|"&amp;J493, 'Base Exámenes'!$I$5:$I$1000, 0))), ""), "")</f>
        <v/>
      </c>
      <c r="J493" s="6" t="str">
        <f>IF(F493="Completado", IF(COUNTIFS('Base Exámenes'!$C$5:$C$1000, A493, 'Base Exámenes'!$G$5:$G$1000, "&lt;&gt;")=0, "", _xlfn.MAXIFS('Base Exámenes'!$G$5:$G$1000, 'Base Exámenes'!$C$5:$C$1000, A493)), "")</f>
        <v/>
      </c>
      <c r="K493" s="6" t="str">
        <f>IF(F493="Completado", IFERROR(IF(INDEX('Base Exámenes'!$H$5:$H$1000, MATCH(A493&amp;"|"&amp;J493, 'Base Exámenes'!$I$5:$I$1000, 0))="", "", INDEX('Base Exámenes'!$H$5:$H$1000, MATCH(A493&amp;"|"&amp;J493, 'Base Exámenes'!$I$5:$I$1000, 0))), ""), "")</f>
        <v/>
      </c>
      <c r="L493" s="22" t="str">
        <f>IF($A493="","",COUNTIF('Base Exámenes'!$C$5:$C$1000, A493))</f>
        <v/>
      </c>
      <c r="M493" s="6" t="str">
        <f>IF($A493="","",IF(COUNTIF('Base Exámenes'!$C$5:$C$1000, A493)&gt;0, "", TRIM('Base Oficial'!H493)))</f>
        <v/>
      </c>
    </row>
    <row r="494">
      <c r="A494" s="4" t="str">
        <f>IF('Base Oficial'!A494="","",TRIM('Base Oficial'!A494))</f>
        <v/>
      </c>
      <c r="B494" s="6" t="str">
        <f>IF($A494="","",TRIM('Base Oficial'!B494))</f>
        <v/>
      </c>
      <c r="C494" s="6" t="str">
        <f>IF($A494="","",TRIM('Base Oficial'!F494))</f>
        <v/>
      </c>
      <c r="D494" s="6" t="str">
        <f>IF($A494="","",TRIM('Base Oficial'!G494))</f>
        <v/>
      </c>
      <c r="E494" s="6" t="str">
        <f>IF($A494="","",TRIM('Base Oficial'!D494))</f>
        <v/>
      </c>
      <c r="F494" s="4" t="str">
        <f>IF($A494="","",IF(COUNTIF('Base Exámenes'!$C$5:$C$1000, A494)&gt;0, "Completado", IF(M494&lt;&gt;"", M494, "Pendiente")))</f>
        <v/>
      </c>
      <c r="G494" s="11" t="str">
        <f>IF(F494="Completado", IFERROR(IF(INDEX('Base Exámenes'!$D$5:$D$1000, MATCH(A494&amp;"|"&amp;J494, 'Base Exámenes'!$I$5:$I$1000, 0))="", "", INDEX('Base Exámenes'!$D$5:$D$1000, MATCH(A494&amp;"|"&amp;J494, 'Base Exámenes'!$I$5:$I$1000, 0))), ""), "")</f>
        <v/>
      </c>
      <c r="H494" s="11" t="str">
        <f>IF(F494="Completado", IFERROR(IF(INDEX('Base Exámenes'!$E$5:$E$1000, MATCH(A494&amp;"|"&amp;J494, 'Base Exámenes'!$I$5:$I$1000, 0))="", "", INDEX('Base Exámenes'!$E$5:$E$1000, MATCH(A494&amp;"|"&amp;J494, 'Base Exámenes'!$I$5:$I$1000, 0))), ""), "")</f>
        <v/>
      </c>
      <c r="I494" s="10" t="str">
        <f>IF(F494="Completado", IFERROR(IF(INDEX('Base Exámenes'!$F$5:$F$1000, MATCH(A494&amp;"|"&amp;J494, 'Base Exámenes'!$I$5:$I$1000, 0))="", "", INDEX('Base Exámenes'!$F$5:$F$1000, MATCH(A494&amp;"|"&amp;J494, 'Base Exámenes'!$I$5:$I$1000, 0))), ""), "")</f>
        <v/>
      </c>
      <c r="J494" s="6" t="str">
        <f>IF(F494="Completado", IF(COUNTIFS('Base Exámenes'!$C$5:$C$1000, A494, 'Base Exámenes'!$G$5:$G$1000, "&lt;&gt;")=0, "", _xlfn.MAXIFS('Base Exámenes'!$G$5:$G$1000, 'Base Exámenes'!$C$5:$C$1000, A494)), "")</f>
        <v/>
      </c>
      <c r="K494" s="6" t="str">
        <f>IF(F494="Completado", IFERROR(IF(INDEX('Base Exámenes'!$H$5:$H$1000, MATCH(A494&amp;"|"&amp;J494, 'Base Exámenes'!$I$5:$I$1000, 0))="", "", INDEX('Base Exámenes'!$H$5:$H$1000, MATCH(A494&amp;"|"&amp;J494, 'Base Exámenes'!$I$5:$I$1000, 0))), ""), "")</f>
        <v/>
      </c>
      <c r="L494" s="22" t="str">
        <f>IF($A494="","",COUNTIF('Base Exámenes'!$C$5:$C$1000, A494))</f>
        <v/>
      </c>
      <c r="M494" s="6" t="str">
        <f>IF($A494="","",IF(COUNTIF('Base Exámenes'!$C$5:$C$1000, A494)&gt;0, "", TRIM('Base Oficial'!H494)))</f>
        <v/>
      </c>
    </row>
    <row r="495">
      <c r="A495" s="4" t="str">
        <f>IF('Base Oficial'!A495="","",TRIM('Base Oficial'!A495))</f>
        <v/>
      </c>
      <c r="B495" s="6" t="str">
        <f>IF($A495="","",TRIM('Base Oficial'!B495))</f>
        <v/>
      </c>
      <c r="C495" s="6" t="str">
        <f>IF($A495="","",TRIM('Base Oficial'!F495))</f>
        <v/>
      </c>
      <c r="D495" s="6" t="str">
        <f>IF($A495="","",TRIM('Base Oficial'!G495))</f>
        <v/>
      </c>
      <c r="E495" s="6" t="str">
        <f>IF($A495="","",TRIM('Base Oficial'!D495))</f>
        <v/>
      </c>
      <c r="F495" s="4" t="str">
        <f>IF($A495="","",IF(COUNTIF('Base Exámenes'!$C$5:$C$1000, A495)&gt;0, "Completado", IF(M495&lt;&gt;"", M495, "Pendiente")))</f>
        <v/>
      </c>
      <c r="G495" s="11" t="str">
        <f>IF(F495="Completado", IFERROR(IF(INDEX('Base Exámenes'!$D$5:$D$1000, MATCH(A495&amp;"|"&amp;J495, 'Base Exámenes'!$I$5:$I$1000, 0))="", "", INDEX('Base Exámenes'!$D$5:$D$1000, MATCH(A495&amp;"|"&amp;J495, 'Base Exámenes'!$I$5:$I$1000, 0))), ""), "")</f>
        <v/>
      </c>
      <c r="H495" s="11" t="str">
        <f>IF(F495="Completado", IFERROR(IF(INDEX('Base Exámenes'!$E$5:$E$1000, MATCH(A495&amp;"|"&amp;J495, 'Base Exámenes'!$I$5:$I$1000, 0))="", "", INDEX('Base Exámenes'!$E$5:$E$1000, MATCH(A495&amp;"|"&amp;J495, 'Base Exámenes'!$I$5:$I$1000, 0))), ""), "")</f>
        <v/>
      </c>
      <c r="I495" s="10" t="str">
        <f>IF(F495="Completado", IFERROR(IF(INDEX('Base Exámenes'!$F$5:$F$1000, MATCH(A495&amp;"|"&amp;J495, 'Base Exámenes'!$I$5:$I$1000, 0))="", "", INDEX('Base Exámenes'!$F$5:$F$1000, MATCH(A495&amp;"|"&amp;J495, 'Base Exámenes'!$I$5:$I$1000, 0))), ""), "")</f>
        <v/>
      </c>
      <c r="J495" s="6" t="str">
        <f>IF(F495="Completado", IF(COUNTIFS('Base Exámenes'!$C$5:$C$1000, A495, 'Base Exámenes'!$G$5:$G$1000, "&lt;&gt;")=0, "", _xlfn.MAXIFS('Base Exámenes'!$G$5:$G$1000, 'Base Exámenes'!$C$5:$C$1000, A495)), "")</f>
        <v/>
      </c>
      <c r="K495" s="6" t="str">
        <f>IF(F495="Completado", IFERROR(IF(INDEX('Base Exámenes'!$H$5:$H$1000, MATCH(A495&amp;"|"&amp;J495, 'Base Exámenes'!$I$5:$I$1000, 0))="", "", INDEX('Base Exámenes'!$H$5:$H$1000, MATCH(A495&amp;"|"&amp;J495, 'Base Exámenes'!$I$5:$I$1000, 0))), ""), "")</f>
        <v/>
      </c>
      <c r="L495" s="22" t="str">
        <f>IF($A495="","",COUNTIF('Base Exámenes'!$C$5:$C$1000, A495))</f>
        <v/>
      </c>
      <c r="M495" s="6" t="str">
        <f>IF($A495="","",IF(COUNTIF('Base Exámenes'!$C$5:$C$1000, A495)&gt;0, "", TRIM('Base Oficial'!H495)))</f>
        <v/>
      </c>
    </row>
    <row r="496">
      <c r="A496" s="4" t="str">
        <f>IF('Base Oficial'!A496="","",TRIM('Base Oficial'!A496))</f>
        <v/>
      </c>
      <c r="B496" s="6" t="str">
        <f>IF($A496="","",TRIM('Base Oficial'!B496))</f>
        <v/>
      </c>
      <c r="C496" s="6" t="str">
        <f>IF($A496="","",TRIM('Base Oficial'!F496))</f>
        <v/>
      </c>
      <c r="D496" s="6" t="str">
        <f>IF($A496="","",TRIM('Base Oficial'!G496))</f>
        <v/>
      </c>
      <c r="E496" s="6" t="str">
        <f>IF($A496="","",TRIM('Base Oficial'!D496))</f>
        <v/>
      </c>
      <c r="F496" s="4" t="str">
        <f>IF($A496="","",IF(COUNTIF('Base Exámenes'!$C$5:$C$1000, A496)&gt;0, "Completado", IF(M496&lt;&gt;"", M496, "Pendiente")))</f>
        <v/>
      </c>
      <c r="G496" s="11" t="str">
        <f>IF(F496="Completado", IFERROR(IF(INDEX('Base Exámenes'!$D$5:$D$1000, MATCH(A496&amp;"|"&amp;J496, 'Base Exámenes'!$I$5:$I$1000, 0))="", "", INDEX('Base Exámenes'!$D$5:$D$1000, MATCH(A496&amp;"|"&amp;J496, 'Base Exámenes'!$I$5:$I$1000, 0))), ""), "")</f>
        <v/>
      </c>
      <c r="H496" s="11" t="str">
        <f>IF(F496="Completado", IFERROR(IF(INDEX('Base Exámenes'!$E$5:$E$1000, MATCH(A496&amp;"|"&amp;J496, 'Base Exámenes'!$I$5:$I$1000, 0))="", "", INDEX('Base Exámenes'!$E$5:$E$1000, MATCH(A496&amp;"|"&amp;J496, 'Base Exámenes'!$I$5:$I$1000, 0))), ""), "")</f>
        <v/>
      </c>
      <c r="I496" s="10" t="str">
        <f>IF(F496="Completado", IFERROR(IF(INDEX('Base Exámenes'!$F$5:$F$1000, MATCH(A496&amp;"|"&amp;J496, 'Base Exámenes'!$I$5:$I$1000, 0))="", "", INDEX('Base Exámenes'!$F$5:$F$1000, MATCH(A496&amp;"|"&amp;J496, 'Base Exámenes'!$I$5:$I$1000, 0))), ""), "")</f>
        <v/>
      </c>
      <c r="J496" s="6" t="str">
        <f>IF(F496="Completado", IF(COUNTIFS('Base Exámenes'!$C$5:$C$1000, A496, 'Base Exámenes'!$G$5:$G$1000, "&lt;&gt;")=0, "", _xlfn.MAXIFS('Base Exámenes'!$G$5:$G$1000, 'Base Exámenes'!$C$5:$C$1000, A496)), "")</f>
        <v/>
      </c>
      <c r="K496" s="6" t="str">
        <f>IF(F496="Completado", IFERROR(IF(INDEX('Base Exámenes'!$H$5:$H$1000, MATCH(A496&amp;"|"&amp;J496, 'Base Exámenes'!$I$5:$I$1000, 0))="", "", INDEX('Base Exámenes'!$H$5:$H$1000, MATCH(A496&amp;"|"&amp;J496, 'Base Exámenes'!$I$5:$I$1000, 0))), ""), "")</f>
        <v/>
      </c>
      <c r="L496" s="22" t="str">
        <f>IF($A496="","",COUNTIF('Base Exámenes'!$C$5:$C$1000, A496))</f>
        <v/>
      </c>
      <c r="M496" s="6" t="str">
        <f>IF($A496="","",IF(COUNTIF('Base Exámenes'!$C$5:$C$1000, A496)&gt;0, "", TRIM('Base Oficial'!H496)))</f>
        <v/>
      </c>
    </row>
    <row r="497">
      <c r="A497" s="4" t="str">
        <f>IF('Base Oficial'!A497="","",TRIM('Base Oficial'!A497))</f>
        <v/>
      </c>
      <c r="B497" s="6" t="str">
        <f>IF($A497="","",TRIM('Base Oficial'!B497))</f>
        <v/>
      </c>
      <c r="C497" s="6" t="str">
        <f>IF($A497="","",TRIM('Base Oficial'!F497))</f>
        <v/>
      </c>
      <c r="D497" s="6" t="str">
        <f>IF($A497="","",TRIM('Base Oficial'!G497))</f>
        <v/>
      </c>
      <c r="E497" s="6" t="str">
        <f>IF($A497="","",TRIM('Base Oficial'!D497))</f>
        <v/>
      </c>
      <c r="F497" s="4" t="str">
        <f>IF($A497="","",IF(COUNTIF('Base Exámenes'!$C$5:$C$1000, A497)&gt;0, "Completado", IF(M497&lt;&gt;"", M497, "Pendiente")))</f>
        <v/>
      </c>
      <c r="G497" s="11" t="str">
        <f>IF(F497="Completado", IFERROR(IF(INDEX('Base Exámenes'!$D$5:$D$1000, MATCH(A497&amp;"|"&amp;J497, 'Base Exámenes'!$I$5:$I$1000, 0))="", "", INDEX('Base Exámenes'!$D$5:$D$1000, MATCH(A497&amp;"|"&amp;J497, 'Base Exámenes'!$I$5:$I$1000, 0))), ""), "")</f>
        <v/>
      </c>
      <c r="H497" s="11" t="str">
        <f>IF(F497="Completado", IFERROR(IF(INDEX('Base Exámenes'!$E$5:$E$1000, MATCH(A497&amp;"|"&amp;J497, 'Base Exámenes'!$I$5:$I$1000, 0))="", "", INDEX('Base Exámenes'!$E$5:$E$1000, MATCH(A497&amp;"|"&amp;J497, 'Base Exámenes'!$I$5:$I$1000, 0))), ""), "")</f>
        <v/>
      </c>
      <c r="I497" s="10" t="str">
        <f>IF(F497="Completado", IFERROR(IF(INDEX('Base Exámenes'!$F$5:$F$1000, MATCH(A497&amp;"|"&amp;J497, 'Base Exámenes'!$I$5:$I$1000, 0))="", "", INDEX('Base Exámenes'!$F$5:$F$1000, MATCH(A497&amp;"|"&amp;J497, 'Base Exámenes'!$I$5:$I$1000, 0))), ""), "")</f>
        <v/>
      </c>
      <c r="J497" s="6" t="str">
        <f>IF(F497="Completado", IF(COUNTIFS('Base Exámenes'!$C$5:$C$1000, A497, 'Base Exámenes'!$G$5:$G$1000, "&lt;&gt;")=0, "", _xlfn.MAXIFS('Base Exámenes'!$G$5:$G$1000, 'Base Exámenes'!$C$5:$C$1000, A497)), "")</f>
        <v/>
      </c>
      <c r="K497" s="6" t="str">
        <f>IF(F497="Completado", IFERROR(IF(INDEX('Base Exámenes'!$H$5:$H$1000, MATCH(A497&amp;"|"&amp;J497, 'Base Exámenes'!$I$5:$I$1000, 0))="", "", INDEX('Base Exámenes'!$H$5:$H$1000, MATCH(A497&amp;"|"&amp;J497, 'Base Exámenes'!$I$5:$I$1000, 0))), ""), "")</f>
        <v/>
      </c>
      <c r="L497" s="22" t="str">
        <f>IF($A497="","",COUNTIF('Base Exámenes'!$C$5:$C$1000, A497))</f>
        <v/>
      </c>
      <c r="M497" s="6" t="str">
        <f>IF($A497="","",IF(COUNTIF('Base Exámenes'!$C$5:$C$1000, A497)&gt;0, "", TRIM('Base Oficial'!H497)))</f>
        <v/>
      </c>
    </row>
    <row r="498">
      <c r="A498" s="4" t="str">
        <f>IF('Base Oficial'!A498="","",TRIM('Base Oficial'!A498))</f>
        <v/>
      </c>
      <c r="B498" s="6" t="str">
        <f>IF($A498="","",TRIM('Base Oficial'!B498))</f>
        <v/>
      </c>
      <c r="C498" s="6" t="str">
        <f>IF($A498="","",TRIM('Base Oficial'!F498))</f>
        <v/>
      </c>
      <c r="D498" s="6" t="str">
        <f>IF($A498="","",TRIM('Base Oficial'!G498))</f>
        <v/>
      </c>
      <c r="E498" s="6" t="str">
        <f>IF($A498="","",TRIM('Base Oficial'!D498))</f>
        <v/>
      </c>
      <c r="F498" s="4" t="str">
        <f>IF($A498="","",IF(COUNTIF('Base Exámenes'!$C$5:$C$1000, A498)&gt;0, "Completado", IF(M498&lt;&gt;"", M498, "Pendiente")))</f>
        <v/>
      </c>
      <c r="G498" s="11" t="str">
        <f>IF(F498="Completado", IFERROR(IF(INDEX('Base Exámenes'!$D$5:$D$1000, MATCH(A498&amp;"|"&amp;J498, 'Base Exámenes'!$I$5:$I$1000, 0))="", "", INDEX('Base Exámenes'!$D$5:$D$1000, MATCH(A498&amp;"|"&amp;J498, 'Base Exámenes'!$I$5:$I$1000, 0))), ""), "")</f>
        <v/>
      </c>
      <c r="H498" s="11" t="str">
        <f>IF(F498="Completado", IFERROR(IF(INDEX('Base Exámenes'!$E$5:$E$1000, MATCH(A498&amp;"|"&amp;J498, 'Base Exámenes'!$I$5:$I$1000, 0))="", "", INDEX('Base Exámenes'!$E$5:$E$1000, MATCH(A498&amp;"|"&amp;J498, 'Base Exámenes'!$I$5:$I$1000, 0))), ""), "")</f>
        <v/>
      </c>
      <c r="I498" s="10" t="str">
        <f>IF(F498="Completado", IFERROR(IF(INDEX('Base Exámenes'!$F$5:$F$1000, MATCH(A498&amp;"|"&amp;J498, 'Base Exámenes'!$I$5:$I$1000, 0))="", "", INDEX('Base Exámenes'!$F$5:$F$1000, MATCH(A498&amp;"|"&amp;J498, 'Base Exámenes'!$I$5:$I$1000, 0))), ""), "")</f>
        <v/>
      </c>
      <c r="J498" s="6" t="str">
        <f>IF(F498="Completado", IF(COUNTIFS('Base Exámenes'!$C$5:$C$1000, A498, 'Base Exámenes'!$G$5:$G$1000, "&lt;&gt;")=0, "", _xlfn.MAXIFS('Base Exámenes'!$G$5:$G$1000, 'Base Exámenes'!$C$5:$C$1000, A498)), "")</f>
        <v/>
      </c>
      <c r="K498" s="6" t="str">
        <f>IF(F498="Completado", IFERROR(IF(INDEX('Base Exámenes'!$H$5:$H$1000, MATCH(A498&amp;"|"&amp;J498, 'Base Exámenes'!$I$5:$I$1000, 0))="", "", INDEX('Base Exámenes'!$H$5:$H$1000, MATCH(A498&amp;"|"&amp;J498, 'Base Exámenes'!$I$5:$I$1000, 0))), ""), "")</f>
        <v/>
      </c>
      <c r="L498" s="22" t="str">
        <f>IF($A498="","",COUNTIF('Base Exámenes'!$C$5:$C$1000, A498))</f>
        <v/>
      </c>
      <c r="M498" s="6" t="str">
        <f>IF($A498="","",IF(COUNTIF('Base Exámenes'!$C$5:$C$1000, A498)&gt;0, "", TRIM('Base Oficial'!H498)))</f>
        <v/>
      </c>
    </row>
    <row r="499">
      <c r="A499" s="4" t="str">
        <f>IF('Base Oficial'!A499="","",TRIM('Base Oficial'!A499))</f>
        <v/>
      </c>
      <c r="B499" s="6" t="str">
        <f>IF($A499="","",TRIM('Base Oficial'!B499))</f>
        <v/>
      </c>
      <c r="C499" s="6" t="str">
        <f>IF($A499="","",TRIM('Base Oficial'!F499))</f>
        <v/>
      </c>
      <c r="D499" s="6" t="str">
        <f>IF($A499="","",TRIM('Base Oficial'!G499))</f>
        <v/>
      </c>
      <c r="E499" s="6" t="str">
        <f>IF($A499="","",TRIM('Base Oficial'!D499))</f>
        <v/>
      </c>
      <c r="F499" s="4" t="str">
        <f>IF($A499="","",IF(COUNTIF('Base Exámenes'!$C$5:$C$1000, A499)&gt;0, "Completado", IF(M499&lt;&gt;"", M499, "Pendiente")))</f>
        <v/>
      </c>
      <c r="G499" s="11" t="str">
        <f>IF(F499="Completado", IFERROR(IF(INDEX('Base Exámenes'!$D$5:$D$1000, MATCH(A499&amp;"|"&amp;J499, 'Base Exámenes'!$I$5:$I$1000, 0))="", "", INDEX('Base Exámenes'!$D$5:$D$1000, MATCH(A499&amp;"|"&amp;J499, 'Base Exámenes'!$I$5:$I$1000, 0))), ""), "")</f>
        <v/>
      </c>
      <c r="H499" s="11" t="str">
        <f>IF(F499="Completado", IFERROR(IF(INDEX('Base Exámenes'!$E$5:$E$1000, MATCH(A499&amp;"|"&amp;J499, 'Base Exámenes'!$I$5:$I$1000, 0))="", "", INDEX('Base Exámenes'!$E$5:$E$1000, MATCH(A499&amp;"|"&amp;J499, 'Base Exámenes'!$I$5:$I$1000, 0))), ""), "")</f>
        <v/>
      </c>
      <c r="I499" s="10" t="str">
        <f>IF(F499="Completado", IFERROR(IF(INDEX('Base Exámenes'!$F$5:$F$1000, MATCH(A499&amp;"|"&amp;J499, 'Base Exámenes'!$I$5:$I$1000, 0))="", "", INDEX('Base Exámenes'!$F$5:$F$1000, MATCH(A499&amp;"|"&amp;J499, 'Base Exámenes'!$I$5:$I$1000, 0))), ""), "")</f>
        <v/>
      </c>
      <c r="J499" s="6" t="str">
        <f>IF(F499="Completado", IF(COUNTIFS('Base Exámenes'!$C$5:$C$1000, A499, 'Base Exámenes'!$G$5:$G$1000, "&lt;&gt;")=0, "", _xlfn.MAXIFS('Base Exámenes'!$G$5:$G$1000, 'Base Exámenes'!$C$5:$C$1000, A499)), "")</f>
        <v/>
      </c>
      <c r="K499" s="6" t="str">
        <f>IF(F499="Completado", IFERROR(IF(INDEX('Base Exámenes'!$H$5:$H$1000, MATCH(A499&amp;"|"&amp;J499, 'Base Exámenes'!$I$5:$I$1000, 0))="", "", INDEX('Base Exámenes'!$H$5:$H$1000, MATCH(A499&amp;"|"&amp;J499, 'Base Exámenes'!$I$5:$I$1000, 0))), ""), "")</f>
        <v/>
      </c>
      <c r="L499" s="22" t="str">
        <f>IF($A499="","",COUNTIF('Base Exámenes'!$C$5:$C$1000, A499))</f>
        <v/>
      </c>
      <c r="M499" s="6" t="str">
        <f>IF($A499="","",IF(COUNTIF('Base Exámenes'!$C$5:$C$1000, A499)&gt;0, "", TRIM('Base Oficial'!H499)))</f>
        <v/>
      </c>
    </row>
    <row r="500">
      <c r="A500" s="4" t="str">
        <f>IF('Base Oficial'!A500="","",TRIM('Base Oficial'!A500))</f>
        <v/>
      </c>
      <c r="B500" s="6" t="str">
        <f>IF($A500="","",TRIM('Base Oficial'!B500))</f>
        <v/>
      </c>
      <c r="C500" s="6" t="str">
        <f>IF($A500="","",TRIM('Base Oficial'!F500))</f>
        <v/>
      </c>
      <c r="D500" s="6" t="str">
        <f>IF($A500="","",TRIM('Base Oficial'!G500))</f>
        <v/>
      </c>
      <c r="E500" s="6" t="str">
        <f>IF($A500="","",TRIM('Base Oficial'!D500))</f>
        <v/>
      </c>
      <c r="F500" s="4" t="str">
        <f>IF($A500="","",IF(COUNTIF('Base Exámenes'!$C$5:$C$1000, A500)&gt;0, "Completado", IF(M500&lt;&gt;"", M500, "Pendiente")))</f>
        <v/>
      </c>
      <c r="G500" s="11" t="str">
        <f>IF(F500="Completado", IFERROR(IF(INDEX('Base Exámenes'!$D$5:$D$1000, MATCH(A500&amp;"|"&amp;J500, 'Base Exámenes'!$I$5:$I$1000, 0))="", "", INDEX('Base Exámenes'!$D$5:$D$1000, MATCH(A500&amp;"|"&amp;J500, 'Base Exámenes'!$I$5:$I$1000, 0))), ""), "")</f>
        <v/>
      </c>
      <c r="H500" s="11" t="str">
        <f>IF(F500="Completado", IFERROR(IF(INDEX('Base Exámenes'!$E$5:$E$1000, MATCH(A500&amp;"|"&amp;J500, 'Base Exámenes'!$I$5:$I$1000, 0))="", "", INDEX('Base Exámenes'!$E$5:$E$1000, MATCH(A500&amp;"|"&amp;J500, 'Base Exámenes'!$I$5:$I$1000, 0))), ""), "")</f>
        <v/>
      </c>
      <c r="I500" s="10" t="str">
        <f>IF(F500="Completado", IFERROR(IF(INDEX('Base Exámenes'!$F$5:$F$1000, MATCH(A500&amp;"|"&amp;J500, 'Base Exámenes'!$I$5:$I$1000, 0))="", "", INDEX('Base Exámenes'!$F$5:$F$1000, MATCH(A500&amp;"|"&amp;J500, 'Base Exámenes'!$I$5:$I$1000, 0))), ""), "")</f>
        <v/>
      </c>
      <c r="J500" s="6" t="str">
        <f>IF(F500="Completado", IF(COUNTIFS('Base Exámenes'!$C$5:$C$1000, A500, 'Base Exámenes'!$G$5:$G$1000, "&lt;&gt;")=0, "", _xlfn.MAXIFS('Base Exámenes'!$G$5:$G$1000, 'Base Exámenes'!$C$5:$C$1000, A500)), "")</f>
        <v/>
      </c>
      <c r="K500" s="6" t="str">
        <f>IF(F500="Completado", IFERROR(IF(INDEX('Base Exámenes'!$H$5:$H$1000, MATCH(A500&amp;"|"&amp;J500, 'Base Exámenes'!$I$5:$I$1000, 0))="", "", INDEX('Base Exámenes'!$H$5:$H$1000, MATCH(A500&amp;"|"&amp;J500, 'Base Exámenes'!$I$5:$I$1000, 0))), ""), "")</f>
        <v/>
      </c>
      <c r="L500" s="22" t="str">
        <f>IF($A500="","",COUNTIF('Base Exámenes'!$C$5:$C$1000, A500))</f>
        <v/>
      </c>
      <c r="M500" s="6" t="str">
        <f>IF($A500="","",IF(COUNTIF('Base Exámenes'!$C$5:$C$1000, A500)&gt;0, "", TRIM('Base Oficial'!H500)))</f>
        <v/>
      </c>
    </row>
    <row r="501">
      <c r="A501" s="4" t="str">
        <f>IF('Base Oficial'!A501="","",TRIM('Base Oficial'!A501))</f>
        <v/>
      </c>
      <c r="B501" s="6" t="str">
        <f>IF($A501="","",TRIM('Base Oficial'!B501))</f>
        <v/>
      </c>
      <c r="C501" s="6" t="str">
        <f>IF($A501="","",TRIM('Base Oficial'!F501))</f>
        <v/>
      </c>
      <c r="D501" s="6" t="str">
        <f>IF($A501="","",TRIM('Base Oficial'!G501))</f>
        <v/>
      </c>
      <c r="E501" s="6" t="str">
        <f>IF($A501="","",TRIM('Base Oficial'!D501))</f>
        <v/>
      </c>
      <c r="F501" s="4" t="str">
        <f>IF($A501="","",IF(COUNTIF('Base Exámenes'!$C$5:$C$1000, A501)&gt;0, "Completado", IF(M501&lt;&gt;"", M501, "Pendiente")))</f>
        <v/>
      </c>
      <c r="G501" s="11" t="str">
        <f>IF(F501="Completado", IFERROR(IF(INDEX('Base Exámenes'!$D$5:$D$1000, MATCH(A501&amp;"|"&amp;J501, 'Base Exámenes'!$I$5:$I$1000, 0))="", "", INDEX('Base Exámenes'!$D$5:$D$1000, MATCH(A501&amp;"|"&amp;J501, 'Base Exámenes'!$I$5:$I$1000, 0))), ""), "")</f>
        <v/>
      </c>
      <c r="H501" s="11" t="str">
        <f>IF(F501="Completado", IFERROR(IF(INDEX('Base Exámenes'!$E$5:$E$1000, MATCH(A501&amp;"|"&amp;J501, 'Base Exámenes'!$I$5:$I$1000, 0))="", "", INDEX('Base Exámenes'!$E$5:$E$1000, MATCH(A501&amp;"|"&amp;J501, 'Base Exámenes'!$I$5:$I$1000, 0))), ""), "")</f>
        <v/>
      </c>
      <c r="I501" s="10" t="str">
        <f>IF(F501="Completado", IFERROR(IF(INDEX('Base Exámenes'!$F$5:$F$1000, MATCH(A501&amp;"|"&amp;J501, 'Base Exámenes'!$I$5:$I$1000, 0))="", "", INDEX('Base Exámenes'!$F$5:$F$1000, MATCH(A501&amp;"|"&amp;J501, 'Base Exámenes'!$I$5:$I$1000, 0))), ""), "")</f>
        <v/>
      </c>
      <c r="J501" s="6" t="str">
        <f>IF(F501="Completado", IF(COUNTIFS('Base Exámenes'!$C$5:$C$1000, A501, 'Base Exámenes'!$G$5:$G$1000, "&lt;&gt;")=0, "", _xlfn.MAXIFS('Base Exámenes'!$G$5:$G$1000, 'Base Exámenes'!$C$5:$C$1000, A501)), "")</f>
        <v/>
      </c>
      <c r="K501" s="6" t="str">
        <f>IF(F501="Completado", IFERROR(IF(INDEX('Base Exámenes'!$H$5:$H$1000, MATCH(A501&amp;"|"&amp;J501, 'Base Exámenes'!$I$5:$I$1000, 0))="", "", INDEX('Base Exámenes'!$H$5:$H$1000, MATCH(A501&amp;"|"&amp;J501, 'Base Exámenes'!$I$5:$I$1000, 0))), ""), "")</f>
        <v/>
      </c>
      <c r="L501" s="22" t="str">
        <f>IF($A501="","",COUNTIF('Base Exámenes'!$C$5:$C$1000, A501))</f>
        <v/>
      </c>
      <c r="M501" s="6" t="str">
        <f>IF($A501="","",IF(COUNTIF('Base Exámenes'!$C$5:$C$1000, A501)&gt;0, "", TRIM('Base Oficial'!H501)))</f>
        <v/>
      </c>
    </row>
    <row r="502">
      <c r="A502" s="4" t="str">
        <f>IF('Base Oficial'!A502="","",TRIM('Base Oficial'!A502))</f>
        <v/>
      </c>
      <c r="B502" s="6" t="str">
        <f>IF($A502="","",TRIM('Base Oficial'!B502))</f>
        <v/>
      </c>
      <c r="C502" s="6" t="str">
        <f>IF($A502="","",TRIM('Base Oficial'!F502))</f>
        <v/>
      </c>
      <c r="D502" s="6" t="str">
        <f>IF($A502="","",TRIM('Base Oficial'!G502))</f>
        <v/>
      </c>
      <c r="E502" s="6" t="str">
        <f>IF($A502="","",TRIM('Base Oficial'!D502))</f>
        <v/>
      </c>
      <c r="F502" s="4" t="str">
        <f>IF($A502="","",IF(COUNTIF('Base Exámenes'!$C$5:$C$1000, A502)&gt;0, "Completado", IF(M502&lt;&gt;"", M502, "Pendiente")))</f>
        <v/>
      </c>
      <c r="G502" s="11" t="str">
        <f>IF(F502="Completado", IFERROR(IF(INDEX('Base Exámenes'!$D$5:$D$1000, MATCH(A502&amp;"|"&amp;J502, 'Base Exámenes'!$I$5:$I$1000, 0))="", "", INDEX('Base Exámenes'!$D$5:$D$1000, MATCH(A502&amp;"|"&amp;J502, 'Base Exámenes'!$I$5:$I$1000, 0))), ""), "")</f>
        <v/>
      </c>
      <c r="H502" s="11" t="str">
        <f>IF(F502="Completado", IFERROR(IF(INDEX('Base Exámenes'!$E$5:$E$1000, MATCH(A502&amp;"|"&amp;J502, 'Base Exámenes'!$I$5:$I$1000, 0))="", "", INDEX('Base Exámenes'!$E$5:$E$1000, MATCH(A502&amp;"|"&amp;J502, 'Base Exámenes'!$I$5:$I$1000, 0))), ""), "")</f>
        <v/>
      </c>
      <c r="I502" s="10" t="str">
        <f>IF(F502="Completado", IFERROR(IF(INDEX('Base Exámenes'!$F$5:$F$1000, MATCH(A502&amp;"|"&amp;J502, 'Base Exámenes'!$I$5:$I$1000, 0))="", "", INDEX('Base Exámenes'!$F$5:$F$1000, MATCH(A502&amp;"|"&amp;J502, 'Base Exámenes'!$I$5:$I$1000, 0))), ""), "")</f>
        <v/>
      </c>
      <c r="J502" s="6" t="str">
        <f>IF(F502="Completado", IF(COUNTIFS('Base Exámenes'!$C$5:$C$1000, A502, 'Base Exámenes'!$G$5:$G$1000, "&lt;&gt;")=0, "", _xlfn.MAXIFS('Base Exámenes'!$G$5:$G$1000, 'Base Exámenes'!$C$5:$C$1000, A502)), "")</f>
        <v/>
      </c>
      <c r="K502" s="6" t="str">
        <f>IF(F502="Completado", IFERROR(IF(INDEX('Base Exámenes'!$H$5:$H$1000, MATCH(A502&amp;"|"&amp;J502, 'Base Exámenes'!$I$5:$I$1000, 0))="", "", INDEX('Base Exámenes'!$H$5:$H$1000, MATCH(A502&amp;"|"&amp;J502, 'Base Exámenes'!$I$5:$I$1000, 0))), ""), "")</f>
        <v/>
      </c>
      <c r="L502" s="22" t="str">
        <f>IF($A502="","",COUNTIF('Base Exámenes'!$C$5:$C$1000, A502))</f>
        <v/>
      </c>
      <c r="M502" s="6" t="str">
        <f>IF($A502="","",IF(COUNTIF('Base Exámenes'!$C$5:$C$1000, A502)&gt;0, "", TRIM('Base Oficial'!H502)))</f>
        <v/>
      </c>
    </row>
    <row r="503">
      <c r="A503" s="4" t="str">
        <f>IF('Base Oficial'!A503="","",TRIM('Base Oficial'!A503))</f>
        <v/>
      </c>
      <c r="B503" s="6" t="str">
        <f>IF($A503="","",TRIM('Base Oficial'!B503))</f>
        <v/>
      </c>
      <c r="C503" s="6" t="str">
        <f>IF($A503="","",TRIM('Base Oficial'!F503))</f>
        <v/>
      </c>
      <c r="D503" s="6" t="str">
        <f>IF($A503="","",TRIM('Base Oficial'!G503))</f>
        <v/>
      </c>
      <c r="E503" s="6" t="str">
        <f>IF($A503="","",TRIM('Base Oficial'!D503))</f>
        <v/>
      </c>
      <c r="F503" s="4" t="str">
        <f>IF($A503="","",IF(COUNTIF('Base Exámenes'!$C$5:$C$1000, A503)&gt;0, "Completado", IF(M503&lt;&gt;"", M503, "Pendiente")))</f>
        <v/>
      </c>
      <c r="G503" s="11" t="str">
        <f>IF(F503="Completado", IFERROR(IF(INDEX('Base Exámenes'!$D$5:$D$1000, MATCH(A503&amp;"|"&amp;J503, 'Base Exámenes'!$I$5:$I$1000, 0))="", "", INDEX('Base Exámenes'!$D$5:$D$1000, MATCH(A503&amp;"|"&amp;J503, 'Base Exámenes'!$I$5:$I$1000, 0))), ""), "")</f>
        <v/>
      </c>
      <c r="H503" s="11" t="str">
        <f>IF(F503="Completado", IFERROR(IF(INDEX('Base Exámenes'!$E$5:$E$1000, MATCH(A503&amp;"|"&amp;J503, 'Base Exámenes'!$I$5:$I$1000, 0))="", "", INDEX('Base Exámenes'!$E$5:$E$1000, MATCH(A503&amp;"|"&amp;J503, 'Base Exámenes'!$I$5:$I$1000, 0))), ""), "")</f>
        <v/>
      </c>
      <c r="I503" s="10" t="str">
        <f>IF(F503="Completado", IFERROR(IF(INDEX('Base Exámenes'!$F$5:$F$1000, MATCH(A503&amp;"|"&amp;J503, 'Base Exámenes'!$I$5:$I$1000, 0))="", "", INDEX('Base Exámenes'!$F$5:$F$1000, MATCH(A503&amp;"|"&amp;J503, 'Base Exámenes'!$I$5:$I$1000, 0))), ""), "")</f>
        <v/>
      </c>
      <c r="J503" s="6" t="str">
        <f>IF(F503="Completado", IF(COUNTIFS('Base Exámenes'!$C$5:$C$1000, A503, 'Base Exámenes'!$G$5:$G$1000, "&lt;&gt;")=0, "", _xlfn.MAXIFS('Base Exámenes'!$G$5:$G$1000, 'Base Exámenes'!$C$5:$C$1000, A503)), "")</f>
        <v/>
      </c>
      <c r="K503" s="6" t="str">
        <f>IF(F503="Completado", IFERROR(IF(INDEX('Base Exámenes'!$H$5:$H$1000, MATCH(A503&amp;"|"&amp;J503, 'Base Exámenes'!$I$5:$I$1000, 0))="", "", INDEX('Base Exámenes'!$H$5:$H$1000, MATCH(A503&amp;"|"&amp;J503, 'Base Exámenes'!$I$5:$I$1000, 0))), ""), "")</f>
        <v/>
      </c>
      <c r="L503" s="22" t="str">
        <f>IF($A503="","",COUNTIF('Base Exámenes'!$C$5:$C$1000, A503))</f>
        <v/>
      </c>
      <c r="M503" s="6" t="str">
        <f>IF($A503="","",IF(COUNTIF('Base Exámenes'!$C$5:$C$1000, A503)&gt;0, "", TRIM('Base Oficial'!H503)))</f>
        <v/>
      </c>
    </row>
    <row r="504">
      <c r="A504" s="4" t="str">
        <f>IF('Base Oficial'!A504="","",TRIM('Base Oficial'!A504))</f>
        <v/>
      </c>
      <c r="B504" s="6" t="str">
        <f>IF($A504="","",TRIM('Base Oficial'!B504))</f>
        <v/>
      </c>
      <c r="C504" s="6" t="str">
        <f>IF($A504="","",TRIM('Base Oficial'!F504))</f>
        <v/>
      </c>
      <c r="D504" s="6" t="str">
        <f>IF($A504="","",TRIM('Base Oficial'!G504))</f>
        <v/>
      </c>
      <c r="E504" s="6" t="str">
        <f>IF($A504="","",TRIM('Base Oficial'!D504))</f>
        <v/>
      </c>
      <c r="F504" s="4" t="str">
        <f>IF($A504="","",IF(COUNTIF('Base Exámenes'!$C$5:$C$1000, A504)&gt;0, "Completado", IF(M504&lt;&gt;"", M504, "Pendiente")))</f>
        <v/>
      </c>
      <c r="G504" s="11" t="str">
        <f>IF(F504="Completado", IFERROR(IF(INDEX('Base Exámenes'!$D$5:$D$1000, MATCH(A504&amp;"|"&amp;J504, 'Base Exámenes'!$I$5:$I$1000, 0))="", "", INDEX('Base Exámenes'!$D$5:$D$1000, MATCH(A504&amp;"|"&amp;J504, 'Base Exámenes'!$I$5:$I$1000, 0))), ""), "")</f>
        <v/>
      </c>
      <c r="H504" s="11" t="str">
        <f>IF(F504="Completado", IFERROR(IF(INDEX('Base Exámenes'!$E$5:$E$1000, MATCH(A504&amp;"|"&amp;J504, 'Base Exámenes'!$I$5:$I$1000, 0))="", "", INDEX('Base Exámenes'!$E$5:$E$1000, MATCH(A504&amp;"|"&amp;J504, 'Base Exámenes'!$I$5:$I$1000, 0))), ""), "")</f>
        <v/>
      </c>
      <c r="I504" s="10" t="str">
        <f>IF(F504="Completado", IFERROR(IF(INDEX('Base Exámenes'!$F$5:$F$1000, MATCH(A504&amp;"|"&amp;J504, 'Base Exámenes'!$I$5:$I$1000, 0))="", "", INDEX('Base Exámenes'!$F$5:$F$1000, MATCH(A504&amp;"|"&amp;J504, 'Base Exámenes'!$I$5:$I$1000, 0))), ""), "")</f>
        <v/>
      </c>
      <c r="J504" s="6" t="str">
        <f>IF(F504="Completado", IF(COUNTIFS('Base Exámenes'!$C$5:$C$1000, A504, 'Base Exámenes'!$G$5:$G$1000, "&lt;&gt;")=0, "", _xlfn.MAXIFS('Base Exámenes'!$G$5:$G$1000, 'Base Exámenes'!$C$5:$C$1000, A504)), "")</f>
        <v/>
      </c>
      <c r="K504" s="6" t="str">
        <f>IF(F504="Completado", IFERROR(IF(INDEX('Base Exámenes'!$H$5:$H$1000, MATCH(A504&amp;"|"&amp;J504, 'Base Exámenes'!$I$5:$I$1000, 0))="", "", INDEX('Base Exámenes'!$H$5:$H$1000, MATCH(A504&amp;"|"&amp;J504, 'Base Exámenes'!$I$5:$I$1000, 0))), ""), "")</f>
        <v/>
      </c>
      <c r="L504" s="22" t="str">
        <f>IF($A504="","",COUNTIF('Base Exámenes'!$C$5:$C$1000, A504))</f>
        <v/>
      </c>
      <c r="M504" s="6" t="str">
        <f>IF($A504="","",IF(COUNTIF('Base Exámenes'!$C$5:$C$1000, A504)&gt;0, "", TRIM('Base Oficial'!H504)))</f>
        <v/>
      </c>
    </row>
    <row r="505">
      <c r="A505" s="4" t="str">
        <f>IF('Base Oficial'!A505="","",TRIM('Base Oficial'!A505))</f>
        <v/>
      </c>
      <c r="B505" s="6" t="str">
        <f>IF($A505="","",TRIM('Base Oficial'!B505))</f>
        <v/>
      </c>
      <c r="C505" s="6" t="str">
        <f>IF($A505="","",TRIM('Base Oficial'!F505))</f>
        <v/>
      </c>
      <c r="D505" s="6" t="str">
        <f>IF($A505="","",TRIM('Base Oficial'!G505))</f>
        <v/>
      </c>
      <c r="E505" s="6" t="str">
        <f>IF($A505="","",TRIM('Base Oficial'!D505))</f>
        <v/>
      </c>
      <c r="F505" s="4" t="str">
        <f>IF($A505="","",IF(COUNTIF('Base Exámenes'!$C$5:$C$1000, A505)&gt;0, "Completado", IF(M505&lt;&gt;"", M505, "Pendiente")))</f>
        <v/>
      </c>
      <c r="G505" s="11" t="str">
        <f>IF(F505="Completado", IFERROR(IF(INDEX('Base Exámenes'!$D$5:$D$1000, MATCH(A505&amp;"|"&amp;J505, 'Base Exámenes'!$I$5:$I$1000, 0))="", "", INDEX('Base Exámenes'!$D$5:$D$1000, MATCH(A505&amp;"|"&amp;J505, 'Base Exámenes'!$I$5:$I$1000, 0))), ""), "")</f>
        <v/>
      </c>
      <c r="H505" s="11" t="str">
        <f>IF(F505="Completado", IFERROR(IF(INDEX('Base Exámenes'!$E$5:$E$1000, MATCH(A505&amp;"|"&amp;J505, 'Base Exámenes'!$I$5:$I$1000, 0))="", "", INDEX('Base Exámenes'!$E$5:$E$1000, MATCH(A505&amp;"|"&amp;J505, 'Base Exámenes'!$I$5:$I$1000, 0))), ""), "")</f>
        <v/>
      </c>
      <c r="I505" s="10" t="str">
        <f>IF(F505="Completado", IFERROR(IF(INDEX('Base Exámenes'!$F$5:$F$1000, MATCH(A505&amp;"|"&amp;J505, 'Base Exámenes'!$I$5:$I$1000, 0))="", "", INDEX('Base Exámenes'!$F$5:$F$1000, MATCH(A505&amp;"|"&amp;J505, 'Base Exámenes'!$I$5:$I$1000, 0))), ""), "")</f>
        <v/>
      </c>
      <c r="J505" s="6" t="str">
        <f>IF(F505="Completado", IF(COUNTIFS('Base Exámenes'!$C$5:$C$1000, A505, 'Base Exámenes'!$G$5:$G$1000, "&lt;&gt;")=0, "", _xlfn.MAXIFS('Base Exámenes'!$G$5:$G$1000, 'Base Exámenes'!$C$5:$C$1000, A505)), "")</f>
        <v/>
      </c>
      <c r="K505" s="6" t="str">
        <f>IF(F505="Completado", IFERROR(IF(INDEX('Base Exámenes'!$H$5:$H$1000, MATCH(A505&amp;"|"&amp;J505, 'Base Exámenes'!$I$5:$I$1000, 0))="", "", INDEX('Base Exámenes'!$H$5:$H$1000, MATCH(A505&amp;"|"&amp;J505, 'Base Exámenes'!$I$5:$I$1000, 0))), ""), "")</f>
        <v/>
      </c>
      <c r="L505" s="22" t="str">
        <f>IF($A505="","",COUNTIF('Base Exámenes'!$C$5:$C$1000, A505))</f>
        <v/>
      </c>
      <c r="M505" s="6" t="str">
        <f>IF($A505="","",IF(COUNTIF('Base Exámenes'!$C$5:$C$1000, A505)&gt;0, "", TRIM('Base Oficial'!H505)))</f>
        <v/>
      </c>
    </row>
    <row r="506">
      <c r="A506" s="4" t="str">
        <f>IF('Base Oficial'!A506="","",TRIM('Base Oficial'!A506))</f>
        <v/>
      </c>
      <c r="B506" s="6" t="str">
        <f>IF($A506="","",TRIM('Base Oficial'!B506))</f>
        <v/>
      </c>
      <c r="C506" s="6" t="str">
        <f>IF($A506="","",TRIM('Base Oficial'!F506))</f>
        <v/>
      </c>
      <c r="D506" s="6" t="str">
        <f>IF($A506="","",TRIM('Base Oficial'!G506))</f>
        <v/>
      </c>
      <c r="E506" s="6" t="str">
        <f>IF($A506="","",TRIM('Base Oficial'!D506))</f>
        <v/>
      </c>
      <c r="F506" s="4" t="str">
        <f>IF($A506="","",IF(COUNTIF('Base Exámenes'!$C$5:$C$1000, A506)&gt;0, "Completado", IF(M506&lt;&gt;"", M506, "Pendiente")))</f>
        <v/>
      </c>
      <c r="G506" s="11" t="str">
        <f>IF(F506="Completado", IFERROR(IF(INDEX('Base Exámenes'!$D$5:$D$1000, MATCH(A506&amp;"|"&amp;J506, 'Base Exámenes'!$I$5:$I$1000, 0))="", "", INDEX('Base Exámenes'!$D$5:$D$1000, MATCH(A506&amp;"|"&amp;J506, 'Base Exámenes'!$I$5:$I$1000, 0))), ""), "")</f>
        <v/>
      </c>
      <c r="H506" s="11" t="str">
        <f>IF(F506="Completado", IFERROR(IF(INDEX('Base Exámenes'!$E$5:$E$1000, MATCH(A506&amp;"|"&amp;J506, 'Base Exámenes'!$I$5:$I$1000, 0))="", "", INDEX('Base Exámenes'!$E$5:$E$1000, MATCH(A506&amp;"|"&amp;J506, 'Base Exámenes'!$I$5:$I$1000, 0))), ""), "")</f>
        <v/>
      </c>
      <c r="I506" s="10" t="str">
        <f>IF(F506="Completado", IFERROR(IF(INDEX('Base Exámenes'!$F$5:$F$1000, MATCH(A506&amp;"|"&amp;J506, 'Base Exámenes'!$I$5:$I$1000, 0))="", "", INDEX('Base Exámenes'!$F$5:$F$1000, MATCH(A506&amp;"|"&amp;J506, 'Base Exámenes'!$I$5:$I$1000, 0))), ""), "")</f>
        <v/>
      </c>
      <c r="J506" s="6" t="str">
        <f>IF(F506="Completado", IF(COUNTIFS('Base Exámenes'!$C$5:$C$1000, A506, 'Base Exámenes'!$G$5:$G$1000, "&lt;&gt;")=0, "", _xlfn.MAXIFS('Base Exámenes'!$G$5:$G$1000, 'Base Exámenes'!$C$5:$C$1000, A506)), "")</f>
        <v/>
      </c>
      <c r="K506" s="6" t="str">
        <f>IF(F506="Completado", IFERROR(IF(INDEX('Base Exámenes'!$H$5:$H$1000, MATCH(A506&amp;"|"&amp;J506, 'Base Exámenes'!$I$5:$I$1000, 0))="", "", INDEX('Base Exámenes'!$H$5:$H$1000, MATCH(A506&amp;"|"&amp;J506, 'Base Exámenes'!$I$5:$I$1000, 0))), ""), "")</f>
        <v/>
      </c>
      <c r="L506" s="22" t="str">
        <f>IF($A506="","",COUNTIF('Base Exámenes'!$C$5:$C$1000, A506))</f>
        <v/>
      </c>
      <c r="M506" s="6" t="str">
        <f>IF($A506="","",IF(COUNTIF('Base Exámenes'!$C$5:$C$1000, A506)&gt;0, "", TRIM('Base Oficial'!H506)))</f>
        <v/>
      </c>
    </row>
    <row r="507">
      <c r="A507" s="4" t="str">
        <f>IF('Base Oficial'!A507="","",TRIM('Base Oficial'!A507))</f>
        <v/>
      </c>
      <c r="B507" s="6" t="str">
        <f>IF($A507="","",TRIM('Base Oficial'!B507))</f>
        <v/>
      </c>
      <c r="C507" s="6" t="str">
        <f>IF($A507="","",TRIM('Base Oficial'!F507))</f>
        <v/>
      </c>
      <c r="D507" s="6" t="str">
        <f>IF($A507="","",TRIM('Base Oficial'!G507))</f>
        <v/>
      </c>
      <c r="E507" s="6" t="str">
        <f>IF($A507="","",TRIM('Base Oficial'!D507))</f>
        <v/>
      </c>
      <c r="F507" s="4" t="str">
        <f>IF($A507="","",IF(COUNTIF('Base Exámenes'!$C$5:$C$1000, A507)&gt;0, "Completado", IF(M507&lt;&gt;"", M507, "Pendiente")))</f>
        <v/>
      </c>
      <c r="G507" s="11" t="str">
        <f>IF(F507="Completado", IFERROR(IF(INDEX('Base Exámenes'!$D$5:$D$1000, MATCH(A507&amp;"|"&amp;J507, 'Base Exámenes'!$I$5:$I$1000, 0))="", "", INDEX('Base Exámenes'!$D$5:$D$1000, MATCH(A507&amp;"|"&amp;J507, 'Base Exámenes'!$I$5:$I$1000, 0))), ""), "")</f>
        <v/>
      </c>
      <c r="H507" s="11" t="str">
        <f>IF(F507="Completado", IFERROR(IF(INDEX('Base Exámenes'!$E$5:$E$1000, MATCH(A507&amp;"|"&amp;J507, 'Base Exámenes'!$I$5:$I$1000, 0))="", "", INDEX('Base Exámenes'!$E$5:$E$1000, MATCH(A507&amp;"|"&amp;J507, 'Base Exámenes'!$I$5:$I$1000, 0))), ""), "")</f>
        <v/>
      </c>
      <c r="I507" s="10" t="str">
        <f>IF(F507="Completado", IFERROR(IF(INDEX('Base Exámenes'!$F$5:$F$1000, MATCH(A507&amp;"|"&amp;J507, 'Base Exámenes'!$I$5:$I$1000, 0))="", "", INDEX('Base Exámenes'!$F$5:$F$1000, MATCH(A507&amp;"|"&amp;J507, 'Base Exámenes'!$I$5:$I$1000, 0))), ""), "")</f>
        <v/>
      </c>
      <c r="J507" s="6" t="str">
        <f>IF(F507="Completado", IF(COUNTIFS('Base Exámenes'!$C$5:$C$1000, A507, 'Base Exámenes'!$G$5:$G$1000, "&lt;&gt;")=0, "", _xlfn.MAXIFS('Base Exámenes'!$G$5:$G$1000, 'Base Exámenes'!$C$5:$C$1000, A507)), "")</f>
        <v/>
      </c>
      <c r="K507" s="6" t="str">
        <f>IF(F507="Completado", IFERROR(IF(INDEX('Base Exámenes'!$H$5:$H$1000, MATCH(A507&amp;"|"&amp;J507, 'Base Exámenes'!$I$5:$I$1000, 0))="", "", INDEX('Base Exámenes'!$H$5:$H$1000, MATCH(A507&amp;"|"&amp;J507, 'Base Exámenes'!$I$5:$I$1000, 0))), ""), "")</f>
        <v/>
      </c>
      <c r="L507" s="22" t="str">
        <f>IF($A507="","",COUNTIF('Base Exámenes'!$C$5:$C$1000, A507))</f>
        <v/>
      </c>
      <c r="M507" s="6" t="str">
        <f>IF($A507="","",IF(COUNTIF('Base Exámenes'!$C$5:$C$1000, A507)&gt;0, "", TRIM('Base Oficial'!H507)))</f>
        <v/>
      </c>
    </row>
    <row r="508">
      <c r="A508" s="4" t="str">
        <f>IF('Base Oficial'!A508="","",TRIM('Base Oficial'!A508))</f>
        <v/>
      </c>
      <c r="B508" s="6" t="str">
        <f>IF($A508="","",TRIM('Base Oficial'!B508))</f>
        <v/>
      </c>
      <c r="C508" s="6" t="str">
        <f>IF($A508="","",TRIM('Base Oficial'!F508))</f>
        <v/>
      </c>
      <c r="D508" s="6" t="str">
        <f>IF($A508="","",TRIM('Base Oficial'!G508))</f>
        <v/>
      </c>
      <c r="E508" s="6" t="str">
        <f>IF($A508="","",TRIM('Base Oficial'!D508))</f>
        <v/>
      </c>
      <c r="F508" s="4" t="str">
        <f>IF($A508="","",IF(COUNTIF('Base Exámenes'!$C$5:$C$1000, A508)&gt;0, "Completado", IF(M508&lt;&gt;"", M508, "Pendiente")))</f>
        <v/>
      </c>
      <c r="G508" s="11" t="str">
        <f>IF(F508="Completado", IFERROR(IF(INDEX('Base Exámenes'!$D$5:$D$1000, MATCH(A508&amp;"|"&amp;J508, 'Base Exámenes'!$I$5:$I$1000, 0))="", "", INDEX('Base Exámenes'!$D$5:$D$1000, MATCH(A508&amp;"|"&amp;J508, 'Base Exámenes'!$I$5:$I$1000, 0))), ""), "")</f>
        <v/>
      </c>
      <c r="H508" s="11" t="str">
        <f>IF(F508="Completado", IFERROR(IF(INDEX('Base Exámenes'!$E$5:$E$1000, MATCH(A508&amp;"|"&amp;J508, 'Base Exámenes'!$I$5:$I$1000, 0))="", "", INDEX('Base Exámenes'!$E$5:$E$1000, MATCH(A508&amp;"|"&amp;J508, 'Base Exámenes'!$I$5:$I$1000, 0))), ""), "")</f>
        <v/>
      </c>
      <c r="I508" s="10" t="str">
        <f>IF(F508="Completado", IFERROR(IF(INDEX('Base Exámenes'!$F$5:$F$1000, MATCH(A508&amp;"|"&amp;J508, 'Base Exámenes'!$I$5:$I$1000, 0))="", "", INDEX('Base Exámenes'!$F$5:$F$1000, MATCH(A508&amp;"|"&amp;J508, 'Base Exámenes'!$I$5:$I$1000, 0))), ""), "")</f>
        <v/>
      </c>
      <c r="J508" s="6" t="str">
        <f>IF(F508="Completado", IF(COUNTIFS('Base Exámenes'!$C$5:$C$1000, A508, 'Base Exámenes'!$G$5:$G$1000, "&lt;&gt;")=0, "", _xlfn.MAXIFS('Base Exámenes'!$G$5:$G$1000, 'Base Exámenes'!$C$5:$C$1000, A508)), "")</f>
        <v/>
      </c>
      <c r="K508" s="6" t="str">
        <f>IF(F508="Completado", IFERROR(IF(INDEX('Base Exámenes'!$H$5:$H$1000, MATCH(A508&amp;"|"&amp;J508, 'Base Exámenes'!$I$5:$I$1000, 0))="", "", INDEX('Base Exámenes'!$H$5:$H$1000, MATCH(A508&amp;"|"&amp;J508, 'Base Exámenes'!$I$5:$I$1000, 0))), ""), "")</f>
        <v/>
      </c>
      <c r="L508" s="22" t="str">
        <f>IF($A508="","",COUNTIF('Base Exámenes'!$C$5:$C$1000, A508))</f>
        <v/>
      </c>
      <c r="M508" s="6" t="str">
        <f>IF($A508="","",IF(COUNTIF('Base Exámenes'!$C$5:$C$1000, A508)&gt;0, "", TRIM('Base Oficial'!H508)))</f>
        <v/>
      </c>
    </row>
    <row r="509">
      <c r="A509" s="4" t="str">
        <f>IF('Base Oficial'!A509="","",TRIM('Base Oficial'!A509))</f>
        <v/>
      </c>
      <c r="B509" s="6" t="str">
        <f>IF($A509="","",TRIM('Base Oficial'!B509))</f>
        <v/>
      </c>
      <c r="C509" s="6" t="str">
        <f>IF($A509="","",TRIM('Base Oficial'!F509))</f>
        <v/>
      </c>
      <c r="D509" s="6" t="str">
        <f>IF($A509="","",TRIM('Base Oficial'!G509))</f>
        <v/>
      </c>
      <c r="E509" s="6" t="str">
        <f>IF($A509="","",TRIM('Base Oficial'!D509))</f>
        <v/>
      </c>
      <c r="F509" s="4" t="str">
        <f>IF($A509="","",IF(COUNTIF('Base Exámenes'!$C$5:$C$1000, A509)&gt;0, "Completado", IF(M509&lt;&gt;"", M509, "Pendiente")))</f>
        <v/>
      </c>
      <c r="G509" s="11" t="str">
        <f>IF(F509="Completado", IFERROR(IF(INDEX('Base Exámenes'!$D$5:$D$1000, MATCH(A509&amp;"|"&amp;J509, 'Base Exámenes'!$I$5:$I$1000, 0))="", "", INDEX('Base Exámenes'!$D$5:$D$1000, MATCH(A509&amp;"|"&amp;J509, 'Base Exámenes'!$I$5:$I$1000, 0))), ""), "")</f>
        <v/>
      </c>
      <c r="H509" s="11" t="str">
        <f>IF(F509="Completado", IFERROR(IF(INDEX('Base Exámenes'!$E$5:$E$1000, MATCH(A509&amp;"|"&amp;J509, 'Base Exámenes'!$I$5:$I$1000, 0))="", "", INDEX('Base Exámenes'!$E$5:$E$1000, MATCH(A509&amp;"|"&amp;J509, 'Base Exámenes'!$I$5:$I$1000, 0))), ""), "")</f>
        <v/>
      </c>
      <c r="I509" s="10" t="str">
        <f>IF(F509="Completado", IFERROR(IF(INDEX('Base Exámenes'!$F$5:$F$1000, MATCH(A509&amp;"|"&amp;J509, 'Base Exámenes'!$I$5:$I$1000, 0))="", "", INDEX('Base Exámenes'!$F$5:$F$1000, MATCH(A509&amp;"|"&amp;J509, 'Base Exámenes'!$I$5:$I$1000, 0))), ""), "")</f>
        <v/>
      </c>
      <c r="J509" s="6" t="str">
        <f>IF(F509="Completado", IF(COUNTIFS('Base Exámenes'!$C$5:$C$1000, A509, 'Base Exámenes'!$G$5:$G$1000, "&lt;&gt;")=0, "", _xlfn.MAXIFS('Base Exámenes'!$G$5:$G$1000, 'Base Exámenes'!$C$5:$C$1000, A509)), "")</f>
        <v/>
      </c>
      <c r="K509" s="6" t="str">
        <f>IF(F509="Completado", IFERROR(IF(INDEX('Base Exámenes'!$H$5:$H$1000, MATCH(A509&amp;"|"&amp;J509, 'Base Exámenes'!$I$5:$I$1000, 0))="", "", INDEX('Base Exámenes'!$H$5:$H$1000, MATCH(A509&amp;"|"&amp;J509, 'Base Exámenes'!$I$5:$I$1000, 0))), ""), "")</f>
        <v/>
      </c>
      <c r="L509" s="22" t="str">
        <f>IF($A509="","",COUNTIF('Base Exámenes'!$C$5:$C$1000, A509))</f>
        <v/>
      </c>
      <c r="M509" s="6" t="str">
        <f>IF($A509="","",IF(COUNTIF('Base Exámenes'!$C$5:$C$1000, A509)&gt;0, "", TRIM('Base Oficial'!H509)))</f>
        <v/>
      </c>
    </row>
    <row r="510">
      <c r="A510" s="4" t="str">
        <f>IF('Base Oficial'!A510="","",TRIM('Base Oficial'!A510))</f>
        <v/>
      </c>
      <c r="B510" s="6" t="str">
        <f>IF($A510="","",TRIM('Base Oficial'!B510))</f>
        <v/>
      </c>
      <c r="C510" s="6" t="str">
        <f>IF($A510="","",TRIM('Base Oficial'!F510))</f>
        <v/>
      </c>
      <c r="D510" s="6" t="str">
        <f>IF($A510="","",TRIM('Base Oficial'!G510))</f>
        <v/>
      </c>
      <c r="E510" s="6" t="str">
        <f>IF($A510="","",TRIM('Base Oficial'!D510))</f>
        <v/>
      </c>
      <c r="F510" s="4" t="str">
        <f>IF($A510="","",IF(COUNTIF('Base Exámenes'!$C$5:$C$1000, A510)&gt;0, "Completado", IF(M510&lt;&gt;"", M510, "Pendiente")))</f>
        <v/>
      </c>
      <c r="G510" s="11" t="str">
        <f>IF(F510="Completado", IFERROR(IF(INDEX('Base Exámenes'!$D$5:$D$1000, MATCH(A510&amp;"|"&amp;J510, 'Base Exámenes'!$I$5:$I$1000, 0))="", "", INDEX('Base Exámenes'!$D$5:$D$1000, MATCH(A510&amp;"|"&amp;J510, 'Base Exámenes'!$I$5:$I$1000, 0))), ""), "")</f>
        <v/>
      </c>
      <c r="H510" s="11" t="str">
        <f>IF(F510="Completado", IFERROR(IF(INDEX('Base Exámenes'!$E$5:$E$1000, MATCH(A510&amp;"|"&amp;J510, 'Base Exámenes'!$I$5:$I$1000, 0))="", "", INDEX('Base Exámenes'!$E$5:$E$1000, MATCH(A510&amp;"|"&amp;J510, 'Base Exámenes'!$I$5:$I$1000, 0))), ""), "")</f>
        <v/>
      </c>
      <c r="I510" s="10" t="str">
        <f>IF(F510="Completado", IFERROR(IF(INDEX('Base Exámenes'!$F$5:$F$1000, MATCH(A510&amp;"|"&amp;J510, 'Base Exámenes'!$I$5:$I$1000, 0))="", "", INDEX('Base Exámenes'!$F$5:$F$1000, MATCH(A510&amp;"|"&amp;J510, 'Base Exámenes'!$I$5:$I$1000, 0))), ""), "")</f>
        <v/>
      </c>
      <c r="J510" s="6" t="str">
        <f>IF(F510="Completado", IF(COUNTIFS('Base Exámenes'!$C$5:$C$1000, A510, 'Base Exámenes'!$G$5:$G$1000, "&lt;&gt;")=0, "", _xlfn.MAXIFS('Base Exámenes'!$G$5:$G$1000, 'Base Exámenes'!$C$5:$C$1000, A510)), "")</f>
        <v/>
      </c>
      <c r="K510" s="6" t="str">
        <f>IF(F510="Completado", IFERROR(IF(INDEX('Base Exámenes'!$H$5:$H$1000, MATCH(A510&amp;"|"&amp;J510, 'Base Exámenes'!$I$5:$I$1000, 0))="", "", INDEX('Base Exámenes'!$H$5:$H$1000, MATCH(A510&amp;"|"&amp;J510, 'Base Exámenes'!$I$5:$I$1000, 0))), ""), "")</f>
        <v/>
      </c>
      <c r="L510" s="22" t="str">
        <f>IF($A510="","",COUNTIF('Base Exámenes'!$C$5:$C$1000, A510))</f>
        <v/>
      </c>
      <c r="M510" s="6" t="str">
        <f>IF($A510="","",IF(COUNTIF('Base Exámenes'!$C$5:$C$1000, A510)&gt;0, "", TRIM('Base Oficial'!H510)))</f>
        <v/>
      </c>
    </row>
    <row r="511">
      <c r="A511" s="4" t="str">
        <f>IF('Base Oficial'!A511="","",TRIM('Base Oficial'!A511))</f>
        <v/>
      </c>
      <c r="B511" s="6" t="str">
        <f>IF($A511="","",TRIM('Base Oficial'!B511))</f>
        <v/>
      </c>
      <c r="C511" s="6" t="str">
        <f>IF($A511="","",TRIM('Base Oficial'!F511))</f>
        <v/>
      </c>
      <c r="D511" s="6" t="str">
        <f>IF($A511="","",TRIM('Base Oficial'!G511))</f>
        <v/>
      </c>
      <c r="E511" s="6" t="str">
        <f>IF($A511="","",TRIM('Base Oficial'!D511))</f>
        <v/>
      </c>
      <c r="F511" s="4" t="str">
        <f>IF($A511="","",IF(COUNTIF('Base Exámenes'!$C$5:$C$1000, A511)&gt;0, "Completado", IF(M511&lt;&gt;"", M511, "Pendiente")))</f>
        <v/>
      </c>
      <c r="G511" s="11" t="str">
        <f>IF(F511="Completado", IFERROR(IF(INDEX('Base Exámenes'!$D$5:$D$1000, MATCH(A511&amp;"|"&amp;J511, 'Base Exámenes'!$I$5:$I$1000, 0))="", "", INDEX('Base Exámenes'!$D$5:$D$1000, MATCH(A511&amp;"|"&amp;J511, 'Base Exámenes'!$I$5:$I$1000, 0))), ""), "")</f>
        <v/>
      </c>
      <c r="H511" s="11" t="str">
        <f>IF(F511="Completado", IFERROR(IF(INDEX('Base Exámenes'!$E$5:$E$1000, MATCH(A511&amp;"|"&amp;J511, 'Base Exámenes'!$I$5:$I$1000, 0))="", "", INDEX('Base Exámenes'!$E$5:$E$1000, MATCH(A511&amp;"|"&amp;J511, 'Base Exámenes'!$I$5:$I$1000, 0))), ""), "")</f>
        <v/>
      </c>
      <c r="I511" s="10" t="str">
        <f>IF(F511="Completado", IFERROR(IF(INDEX('Base Exámenes'!$F$5:$F$1000, MATCH(A511&amp;"|"&amp;J511, 'Base Exámenes'!$I$5:$I$1000, 0))="", "", INDEX('Base Exámenes'!$F$5:$F$1000, MATCH(A511&amp;"|"&amp;J511, 'Base Exámenes'!$I$5:$I$1000, 0))), ""), "")</f>
        <v/>
      </c>
      <c r="J511" s="6" t="str">
        <f>IF(F511="Completado", IF(COUNTIFS('Base Exámenes'!$C$5:$C$1000, A511, 'Base Exámenes'!$G$5:$G$1000, "&lt;&gt;")=0, "", _xlfn.MAXIFS('Base Exámenes'!$G$5:$G$1000, 'Base Exámenes'!$C$5:$C$1000, A511)), "")</f>
        <v/>
      </c>
      <c r="K511" s="6" t="str">
        <f>IF(F511="Completado", IFERROR(IF(INDEX('Base Exámenes'!$H$5:$H$1000, MATCH(A511&amp;"|"&amp;J511, 'Base Exámenes'!$I$5:$I$1000, 0))="", "", INDEX('Base Exámenes'!$H$5:$H$1000, MATCH(A511&amp;"|"&amp;J511, 'Base Exámenes'!$I$5:$I$1000, 0))), ""), "")</f>
        <v/>
      </c>
      <c r="L511" s="22" t="str">
        <f>IF($A511="","",COUNTIF('Base Exámenes'!$C$5:$C$1000, A511))</f>
        <v/>
      </c>
      <c r="M511" s="6" t="str">
        <f>IF($A511="","",IF(COUNTIF('Base Exámenes'!$C$5:$C$1000, A511)&gt;0, "", TRIM('Base Oficial'!H511)))</f>
        <v/>
      </c>
    </row>
    <row r="512">
      <c r="A512" s="4" t="str">
        <f>IF('Base Oficial'!A512="","",TRIM('Base Oficial'!A512))</f>
        <v/>
      </c>
      <c r="B512" s="6" t="str">
        <f>IF($A512="","",TRIM('Base Oficial'!B512))</f>
        <v/>
      </c>
      <c r="C512" s="6" t="str">
        <f>IF($A512="","",TRIM('Base Oficial'!F512))</f>
        <v/>
      </c>
      <c r="D512" s="6" t="str">
        <f>IF($A512="","",TRIM('Base Oficial'!G512))</f>
        <v/>
      </c>
      <c r="E512" s="6" t="str">
        <f>IF($A512="","",TRIM('Base Oficial'!D512))</f>
        <v/>
      </c>
      <c r="F512" s="4" t="str">
        <f>IF($A512="","",IF(COUNTIF('Base Exámenes'!$C$5:$C$1000, A512)&gt;0, "Completado", IF(M512&lt;&gt;"", M512, "Pendiente")))</f>
        <v/>
      </c>
      <c r="G512" s="11" t="str">
        <f>IF(F512="Completado", IFERROR(IF(INDEX('Base Exámenes'!$D$5:$D$1000, MATCH(A512&amp;"|"&amp;J512, 'Base Exámenes'!$I$5:$I$1000, 0))="", "", INDEX('Base Exámenes'!$D$5:$D$1000, MATCH(A512&amp;"|"&amp;J512, 'Base Exámenes'!$I$5:$I$1000, 0))), ""), "")</f>
        <v/>
      </c>
      <c r="H512" s="11" t="str">
        <f>IF(F512="Completado", IFERROR(IF(INDEX('Base Exámenes'!$E$5:$E$1000, MATCH(A512&amp;"|"&amp;J512, 'Base Exámenes'!$I$5:$I$1000, 0))="", "", INDEX('Base Exámenes'!$E$5:$E$1000, MATCH(A512&amp;"|"&amp;J512, 'Base Exámenes'!$I$5:$I$1000, 0))), ""), "")</f>
        <v/>
      </c>
      <c r="I512" s="10" t="str">
        <f>IF(F512="Completado", IFERROR(IF(INDEX('Base Exámenes'!$F$5:$F$1000, MATCH(A512&amp;"|"&amp;J512, 'Base Exámenes'!$I$5:$I$1000, 0))="", "", INDEX('Base Exámenes'!$F$5:$F$1000, MATCH(A512&amp;"|"&amp;J512, 'Base Exámenes'!$I$5:$I$1000, 0))), ""), "")</f>
        <v/>
      </c>
      <c r="J512" s="6" t="str">
        <f>IF(F512="Completado", IF(COUNTIFS('Base Exámenes'!$C$5:$C$1000, A512, 'Base Exámenes'!$G$5:$G$1000, "&lt;&gt;")=0, "", _xlfn.MAXIFS('Base Exámenes'!$G$5:$G$1000, 'Base Exámenes'!$C$5:$C$1000, A512)), "")</f>
        <v/>
      </c>
      <c r="K512" s="6" t="str">
        <f>IF(F512="Completado", IFERROR(IF(INDEX('Base Exámenes'!$H$5:$H$1000, MATCH(A512&amp;"|"&amp;J512, 'Base Exámenes'!$I$5:$I$1000, 0))="", "", INDEX('Base Exámenes'!$H$5:$H$1000, MATCH(A512&amp;"|"&amp;J512, 'Base Exámenes'!$I$5:$I$1000, 0))), ""), "")</f>
        <v/>
      </c>
      <c r="L512" s="22" t="str">
        <f>IF($A512="","",COUNTIF('Base Exámenes'!$C$5:$C$1000, A512))</f>
        <v/>
      </c>
      <c r="M512" s="6" t="str">
        <f>IF($A512="","",IF(COUNTIF('Base Exámenes'!$C$5:$C$1000, A512)&gt;0, "", TRIM('Base Oficial'!H512)))</f>
        <v/>
      </c>
    </row>
    <row r="513">
      <c r="A513" s="4" t="str">
        <f>IF('Base Oficial'!A513="","",TRIM('Base Oficial'!A513))</f>
        <v/>
      </c>
      <c r="B513" s="6" t="str">
        <f>IF($A513="","",TRIM('Base Oficial'!B513))</f>
        <v/>
      </c>
      <c r="C513" s="6" t="str">
        <f>IF($A513="","",TRIM('Base Oficial'!F513))</f>
        <v/>
      </c>
      <c r="D513" s="6" t="str">
        <f>IF($A513="","",TRIM('Base Oficial'!G513))</f>
        <v/>
      </c>
      <c r="E513" s="6" t="str">
        <f>IF($A513="","",TRIM('Base Oficial'!D513))</f>
        <v/>
      </c>
      <c r="F513" s="4" t="str">
        <f>IF($A513="","",IF(COUNTIF('Base Exámenes'!$C$5:$C$1000, A513)&gt;0, "Completado", IF(M513&lt;&gt;"", M513, "Pendiente")))</f>
        <v/>
      </c>
      <c r="G513" s="11" t="str">
        <f>IF(F513="Completado", IFERROR(IF(INDEX('Base Exámenes'!$D$5:$D$1000, MATCH(A513&amp;"|"&amp;J513, 'Base Exámenes'!$I$5:$I$1000, 0))="", "", INDEX('Base Exámenes'!$D$5:$D$1000, MATCH(A513&amp;"|"&amp;J513, 'Base Exámenes'!$I$5:$I$1000, 0))), ""), "")</f>
        <v/>
      </c>
      <c r="H513" s="11" t="str">
        <f>IF(F513="Completado", IFERROR(IF(INDEX('Base Exámenes'!$E$5:$E$1000, MATCH(A513&amp;"|"&amp;J513, 'Base Exámenes'!$I$5:$I$1000, 0))="", "", INDEX('Base Exámenes'!$E$5:$E$1000, MATCH(A513&amp;"|"&amp;J513, 'Base Exámenes'!$I$5:$I$1000, 0))), ""), "")</f>
        <v/>
      </c>
      <c r="I513" s="10" t="str">
        <f>IF(F513="Completado", IFERROR(IF(INDEX('Base Exámenes'!$F$5:$F$1000, MATCH(A513&amp;"|"&amp;J513, 'Base Exámenes'!$I$5:$I$1000, 0))="", "", INDEX('Base Exámenes'!$F$5:$F$1000, MATCH(A513&amp;"|"&amp;J513, 'Base Exámenes'!$I$5:$I$1000, 0))), ""), "")</f>
        <v/>
      </c>
      <c r="J513" s="6" t="str">
        <f>IF(F513="Completado", IF(COUNTIFS('Base Exámenes'!$C$5:$C$1000, A513, 'Base Exámenes'!$G$5:$G$1000, "&lt;&gt;")=0, "", _xlfn.MAXIFS('Base Exámenes'!$G$5:$G$1000, 'Base Exámenes'!$C$5:$C$1000, A513)), "")</f>
        <v/>
      </c>
      <c r="K513" s="6" t="str">
        <f>IF(F513="Completado", IFERROR(IF(INDEX('Base Exámenes'!$H$5:$H$1000, MATCH(A513&amp;"|"&amp;J513, 'Base Exámenes'!$I$5:$I$1000, 0))="", "", INDEX('Base Exámenes'!$H$5:$H$1000, MATCH(A513&amp;"|"&amp;J513, 'Base Exámenes'!$I$5:$I$1000, 0))), ""), "")</f>
        <v/>
      </c>
      <c r="L513" s="22" t="str">
        <f>IF($A513="","",COUNTIF('Base Exámenes'!$C$5:$C$1000, A513))</f>
        <v/>
      </c>
      <c r="M513" s="6" t="str">
        <f>IF($A513="","",IF(COUNTIF('Base Exámenes'!$C$5:$C$1000, A513)&gt;0, "", TRIM('Base Oficial'!H513)))</f>
        <v/>
      </c>
    </row>
    <row r="514">
      <c r="A514" s="4" t="str">
        <f>IF('Base Oficial'!A514="","",TRIM('Base Oficial'!A514))</f>
        <v/>
      </c>
      <c r="B514" s="6" t="str">
        <f>IF($A514="","",TRIM('Base Oficial'!B514))</f>
        <v/>
      </c>
      <c r="C514" s="6" t="str">
        <f>IF($A514="","",TRIM('Base Oficial'!F514))</f>
        <v/>
      </c>
      <c r="D514" s="6" t="str">
        <f>IF($A514="","",TRIM('Base Oficial'!G514))</f>
        <v/>
      </c>
      <c r="E514" s="6" t="str">
        <f>IF($A514="","",TRIM('Base Oficial'!D514))</f>
        <v/>
      </c>
      <c r="F514" s="4" t="str">
        <f>IF($A514="","",IF(COUNTIF('Base Exámenes'!$C$5:$C$1000, A514)&gt;0, "Completado", IF(M514&lt;&gt;"", M514, "Pendiente")))</f>
        <v/>
      </c>
      <c r="G514" s="11" t="str">
        <f>IF(F514="Completado", IFERROR(IF(INDEX('Base Exámenes'!$D$5:$D$1000, MATCH(A514&amp;"|"&amp;J514, 'Base Exámenes'!$I$5:$I$1000, 0))="", "", INDEX('Base Exámenes'!$D$5:$D$1000, MATCH(A514&amp;"|"&amp;J514, 'Base Exámenes'!$I$5:$I$1000, 0))), ""), "")</f>
        <v/>
      </c>
      <c r="H514" s="11" t="str">
        <f>IF(F514="Completado", IFERROR(IF(INDEX('Base Exámenes'!$E$5:$E$1000, MATCH(A514&amp;"|"&amp;J514, 'Base Exámenes'!$I$5:$I$1000, 0))="", "", INDEX('Base Exámenes'!$E$5:$E$1000, MATCH(A514&amp;"|"&amp;J514, 'Base Exámenes'!$I$5:$I$1000, 0))), ""), "")</f>
        <v/>
      </c>
      <c r="I514" s="10" t="str">
        <f>IF(F514="Completado", IFERROR(IF(INDEX('Base Exámenes'!$F$5:$F$1000, MATCH(A514&amp;"|"&amp;J514, 'Base Exámenes'!$I$5:$I$1000, 0))="", "", INDEX('Base Exámenes'!$F$5:$F$1000, MATCH(A514&amp;"|"&amp;J514, 'Base Exámenes'!$I$5:$I$1000, 0))), ""), "")</f>
        <v/>
      </c>
      <c r="J514" s="6" t="str">
        <f>IF(F514="Completado", IF(COUNTIFS('Base Exámenes'!$C$5:$C$1000, A514, 'Base Exámenes'!$G$5:$G$1000, "&lt;&gt;")=0, "", _xlfn.MAXIFS('Base Exámenes'!$G$5:$G$1000, 'Base Exámenes'!$C$5:$C$1000, A514)), "")</f>
        <v/>
      </c>
      <c r="K514" s="6" t="str">
        <f>IF(F514="Completado", IFERROR(IF(INDEX('Base Exámenes'!$H$5:$H$1000, MATCH(A514&amp;"|"&amp;J514, 'Base Exámenes'!$I$5:$I$1000, 0))="", "", INDEX('Base Exámenes'!$H$5:$H$1000, MATCH(A514&amp;"|"&amp;J514, 'Base Exámenes'!$I$5:$I$1000, 0))), ""), "")</f>
        <v/>
      </c>
      <c r="L514" s="22" t="str">
        <f>IF($A514="","",COUNTIF('Base Exámenes'!$C$5:$C$1000, A514))</f>
        <v/>
      </c>
      <c r="M514" s="6" t="str">
        <f>IF($A514="","",IF(COUNTIF('Base Exámenes'!$C$5:$C$1000, A514)&gt;0, "", TRIM('Base Oficial'!H514)))</f>
        <v/>
      </c>
    </row>
    <row r="515">
      <c r="A515" s="4" t="str">
        <f>IF('Base Oficial'!A515="","",TRIM('Base Oficial'!A515))</f>
        <v/>
      </c>
      <c r="B515" s="6" t="str">
        <f>IF($A515="","",TRIM('Base Oficial'!B515))</f>
        <v/>
      </c>
      <c r="C515" s="6" t="str">
        <f>IF($A515="","",TRIM('Base Oficial'!F515))</f>
        <v/>
      </c>
      <c r="D515" s="6" t="str">
        <f>IF($A515="","",TRIM('Base Oficial'!G515))</f>
        <v/>
      </c>
      <c r="E515" s="6" t="str">
        <f>IF($A515="","",TRIM('Base Oficial'!D515))</f>
        <v/>
      </c>
      <c r="F515" s="4" t="str">
        <f>IF($A515="","",IF(COUNTIF('Base Exámenes'!$C$5:$C$1000, A515)&gt;0, "Completado", IF(M515&lt;&gt;"", M515, "Pendiente")))</f>
        <v/>
      </c>
      <c r="G515" s="11" t="str">
        <f>IF(F515="Completado", IFERROR(IF(INDEX('Base Exámenes'!$D$5:$D$1000, MATCH(A515&amp;"|"&amp;J515, 'Base Exámenes'!$I$5:$I$1000, 0))="", "", INDEX('Base Exámenes'!$D$5:$D$1000, MATCH(A515&amp;"|"&amp;J515, 'Base Exámenes'!$I$5:$I$1000, 0))), ""), "")</f>
        <v/>
      </c>
      <c r="H515" s="11" t="str">
        <f>IF(F515="Completado", IFERROR(IF(INDEX('Base Exámenes'!$E$5:$E$1000, MATCH(A515&amp;"|"&amp;J515, 'Base Exámenes'!$I$5:$I$1000, 0))="", "", INDEX('Base Exámenes'!$E$5:$E$1000, MATCH(A515&amp;"|"&amp;J515, 'Base Exámenes'!$I$5:$I$1000, 0))), ""), "")</f>
        <v/>
      </c>
      <c r="I515" s="10" t="str">
        <f>IF(F515="Completado", IFERROR(IF(INDEX('Base Exámenes'!$F$5:$F$1000, MATCH(A515&amp;"|"&amp;J515, 'Base Exámenes'!$I$5:$I$1000, 0))="", "", INDEX('Base Exámenes'!$F$5:$F$1000, MATCH(A515&amp;"|"&amp;J515, 'Base Exámenes'!$I$5:$I$1000, 0))), ""), "")</f>
        <v/>
      </c>
      <c r="J515" s="6" t="str">
        <f>IF(F515="Completado", IF(COUNTIFS('Base Exámenes'!$C$5:$C$1000, A515, 'Base Exámenes'!$G$5:$G$1000, "&lt;&gt;")=0, "", _xlfn.MAXIFS('Base Exámenes'!$G$5:$G$1000, 'Base Exámenes'!$C$5:$C$1000, A515)), "")</f>
        <v/>
      </c>
      <c r="K515" s="6" t="str">
        <f>IF(F515="Completado", IFERROR(IF(INDEX('Base Exámenes'!$H$5:$H$1000, MATCH(A515&amp;"|"&amp;J515, 'Base Exámenes'!$I$5:$I$1000, 0))="", "", INDEX('Base Exámenes'!$H$5:$H$1000, MATCH(A515&amp;"|"&amp;J515, 'Base Exámenes'!$I$5:$I$1000, 0))), ""), "")</f>
        <v/>
      </c>
      <c r="L515" s="22" t="str">
        <f>IF($A515="","",COUNTIF('Base Exámenes'!$C$5:$C$1000, A515))</f>
        <v/>
      </c>
      <c r="M515" s="6" t="str">
        <f>IF($A515="","",IF(COUNTIF('Base Exámenes'!$C$5:$C$1000, A515)&gt;0, "", TRIM('Base Oficial'!H515)))</f>
        <v/>
      </c>
    </row>
    <row r="516">
      <c r="A516" s="4" t="str">
        <f>IF('Base Oficial'!A516="","",TRIM('Base Oficial'!A516))</f>
        <v/>
      </c>
      <c r="B516" s="6" t="str">
        <f>IF($A516="","",TRIM('Base Oficial'!B516))</f>
        <v/>
      </c>
      <c r="C516" s="6" t="str">
        <f>IF($A516="","",TRIM('Base Oficial'!F516))</f>
        <v/>
      </c>
      <c r="D516" s="6" t="str">
        <f>IF($A516="","",TRIM('Base Oficial'!G516))</f>
        <v/>
      </c>
      <c r="E516" s="6" t="str">
        <f>IF($A516="","",TRIM('Base Oficial'!D516))</f>
        <v/>
      </c>
      <c r="F516" s="4" t="str">
        <f>IF($A516="","",IF(COUNTIF('Base Exámenes'!$C$5:$C$1000, A516)&gt;0, "Completado", IF(M516&lt;&gt;"", M516, "Pendiente")))</f>
        <v/>
      </c>
      <c r="G516" s="11" t="str">
        <f>IF(F516="Completado", IFERROR(IF(INDEX('Base Exámenes'!$D$5:$D$1000, MATCH(A516&amp;"|"&amp;J516, 'Base Exámenes'!$I$5:$I$1000, 0))="", "", INDEX('Base Exámenes'!$D$5:$D$1000, MATCH(A516&amp;"|"&amp;J516, 'Base Exámenes'!$I$5:$I$1000, 0))), ""), "")</f>
        <v/>
      </c>
      <c r="H516" s="11" t="str">
        <f>IF(F516="Completado", IFERROR(IF(INDEX('Base Exámenes'!$E$5:$E$1000, MATCH(A516&amp;"|"&amp;J516, 'Base Exámenes'!$I$5:$I$1000, 0))="", "", INDEX('Base Exámenes'!$E$5:$E$1000, MATCH(A516&amp;"|"&amp;J516, 'Base Exámenes'!$I$5:$I$1000, 0))), ""), "")</f>
        <v/>
      </c>
      <c r="I516" s="10" t="str">
        <f>IF(F516="Completado", IFERROR(IF(INDEX('Base Exámenes'!$F$5:$F$1000, MATCH(A516&amp;"|"&amp;J516, 'Base Exámenes'!$I$5:$I$1000, 0))="", "", INDEX('Base Exámenes'!$F$5:$F$1000, MATCH(A516&amp;"|"&amp;J516, 'Base Exámenes'!$I$5:$I$1000, 0))), ""), "")</f>
        <v/>
      </c>
      <c r="J516" s="6" t="str">
        <f>IF(F516="Completado", IF(COUNTIFS('Base Exámenes'!$C$5:$C$1000, A516, 'Base Exámenes'!$G$5:$G$1000, "&lt;&gt;")=0, "", _xlfn.MAXIFS('Base Exámenes'!$G$5:$G$1000, 'Base Exámenes'!$C$5:$C$1000, A516)), "")</f>
        <v/>
      </c>
      <c r="K516" s="6" t="str">
        <f>IF(F516="Completado", IFERROR(IF(INDEX('Base Exámenes'!$H$5:$H$1000, MATCH(A516&amp;"|"&amp;J516, 'Base Exámenes'!$I$5:$I$1000, 0))="", "", INDEX('Base Exámenes'!$H$5:$H$1000, MATCH(A516&amp;"|"&amp;J516, 'Base Exámenes'!$I$5:$I$1000, 0))), ""), "")</f>
        <v/>
      </c>
      <c r="L516" s="22" t="str">
        <f>IF($A516="","",COUNTIF('Base Exámenes'!$C$5:$C$1000, A516))</f>
        <v/>
      </c>
      <c r="M516" s="6" t="str">
        <f>IF($A516="","",IF(COUNTIF('Base Exámenes'!$C$5:$C$1000, A516)&gt;0, "", TRIM('Base Oficial'!H516)))</f>
        <v/>
      </c>
    </row>
    <row r="517">
      <c r="A517" s="4" t="str">
        <f>IF('Base Oficial'!A517="","",TRIM('Base Oficial'!A517))</f>
        <v/>
      </c>
      <c r="B517" s="6" t="str">
        <f>IF($A517="","",TRIM('Base Oficial'!B517))</f>
        <v/>
      </c>
      <c r="C517" s="6" t="str">
        <f>IF($A517="","",TRIM('Base Oficial'!F517))</f>
        <v/>
      </c>
      <c r="D517" s="6" t="str">
        <f>IF($A517="","",TRIM('Base Oficial'!G517))</f>
        <v/>
      </c>
      <c r="E517" s="6" t="str">
        <f>IF($A517="","",TRIM('Base Oficial'!D517))</f>
        <v/>
      </c>
      <c r="F517" s="4" t="str">
        <f>IF($A517="","",IF(COUNTIF('Base Exámenes'!$C$5:$C$1000, A517)&gt;0, "Completado", IF(M517&lt;&gt;"", M517, "Pendiente")))</f>
        <v/>
      </c>
      <c r="G517" s="11" t="str">
        <f>IF(F517="Completado", IFERROR(IF(INDEX('Base Exámenes'!$D$5:$D$1000, MATCH(A517&amp;"|"&amp;J517, 'Base Exámenes'!$I$5:$I$1000, 0))="", "", INDEX('Base Exámenes'!$D$5:$D$1000, MATCH(A517&amp;"|"&amp;J517, 'Base Exámenes'!$I$5:$I$1000, 0))), ""), "")</f>
        <v/>
      </c>
      <c r="H517" s="11" t="str">
        <f>IF(F517="Completado", IFERROR(IF(INDEX('Base Exámenes'!$E$5:$E$1000, MATCH(A517&amp;"|"&amp;J517, 'Base Exámenes'!$I$5:$I$1000, 0))="", "", INDEX('Base Exámenes'!$E$5:$E$1000, MATCH(A517&amp;"|"&amp;J517, 'Base Exámenes'!$I$5:$I$1000, 0))), ""), "")</f>
        <v/>
      </c>
      <c r="I517" s="10" t="str">
        <f>IF(F517="Completado", IFERROR(IF(INDEX('Base Exámenes'!$F$5:$F$1000, MATCH(A517&amp;"|"&amp;J517, 'Base Exámenes'!$I$5:$I$1000, 0))="", "", INDEX('Base Exámenes'!$F$5:$F$1000, MATCH(A517&amp;"|"&amp;J517, 'Base Exámenes'!$I$5:$I$1000, 0))), ""), "")</f>
        <v/>
      </c>
      <c r="J517" s="6" t="str">
        <f>IF(F517="Completado", IF(COUNTIFS('Base Exámenes'!$C$5:$C$1000, A517, 'Base Exámenes'!$G$5:$G$1000, "&lt;&gt;")=0, "", _xlfn.MAXIFS('Base Exámenes'!$G$5:$G$1000, 'Base Exámenes'!$C$5:$C$1000, A517)), "")</f>
        <v/>
      </c>
      <c r="K517" s="6" t="str">
        <f>IF(F517="Completado", IFERROR(IF(INDEX('Base Exámenes'!$H$5:$H$1000, MATCH(A517&amp;"|"&amp;J517, 'Base Exámenes'!$I$5:$I$1000, 0))="", "", INDEX('Base Exámenes'!$H$5:$H$1000, MATCH(A517&amp;"|"&amp;J517, 'Base Exámenes'!$I$5:$I$1000, 0))), ""), "")</f>
        <v/>
      </c>
      <c r="L517" s="22" t="str">
        <f>IF($A517="","",COUNTIF('Base Exámenes'!$C$5:$C$1000, A517))</f>
        <v/>
      </c>
      <c r="M517" s="6" t="str">
        <f>IF($A517="","",IF(COUNTIF('Base Exámenes'!$C$5:$C$1000, A517)&gt;0, "", TRIM('Base Oficial'!H517)))</f>
        <v/>
      </c>
    </row>
    <row r="518">
      <c r="A518" s="4" t="str">
        <f>IF('Base Oficial'!A518="","",TRIM('Base Oficial'!A518))</f>
        <v/>
      </c>
      <c r="B518" s="6" t="str">
        <f>IF($A518="","",TRIM('Base Oficial'!B518))</f>
        <v/>
      </c>
      <c r="C518" s="6" t="str">
        <f>IF($A518="","",TRIM('Base Oficial'!F518))</f>
        <v/>
      </c>
      <c r="D518" s="6" t="str">
        <f>IF($A518="","",TRIM('Base Oficial'!G518))</f>
        <v/>
      </c>
      <c r="E518" s="6" t="str">
        <f>IF($A518="","",TRIM('Base Oficial'!D518))</f>
        <v/>
      </c>
      <c r="F518" s="4" t="str">
        <f>IF($A518="","",IF(COUNTIF('Base Exámenes'!$C$5:$C$1000, A518)&gt;0, "Completado", IF(M518&lt;&gt;"", M518, "Pendiente")))</f>
        <v/>
      </c>
      <c r="G518" s="11" t="str">
        <f>IF(F518="Completado", IFERROR(IF(INDEX('Base Exámenes'!$D$5:$D$1000, MATCH(A518&amp;"|"&amp;J518, 'Base Exámenes'!$I$5:$I$1000, 0))="", "", INDEX('Base Exámenes'!$D$5:$D$1000, MATCH(A518&amp;"|"&amp;J518, 'Base Exámenes'!$I$5:$I$1000, 0))), ""), "")</f>
        <v/>
      </c>
      <c r="H518" s="11" t="str">
        <f>IF(F518="Completado", IFERROR(IF(INDEX('Base Exámenes'!$E$5:$E$1000, MATCH(A518&amp;"|"&amp;J518, 'Base Exámenes'!$I$5:$I$1000, 0))="", "", INDEX('Base Exámenes'!$E$5:$E$1000, MATCH(A518&amp;"|"&amp;J518, 'Base Exámenes'!$I$5:$I$1000, 0))), ""), "")</f>
        <v/>
      </c>
      <c r="I518" s="10" t="str">
        <f>IF(F518="Completado", IFERROR(IF(INDEX('Base Exámenes'!$F$5:$F$1000, MATCH(A518&amp;"|"&amp;J518, 'Base Exámenes'!$I$5:$I$1000, 0))="", "", INDEX('Base Exámenes'!$F$5:$F$1000, MATCH(A518&amp;"|"&amp;J518, 'Base Exámenes'!$I$5:$I$1000, 0))), ""), "")</f>
        <v/>
      </c>
      <c r="J518" s="6" t="str">
        <f>IF(F518="Completado", IF(COUNTIFS('Base Exámenes'!$C$5:$C$1000, A518, 'Base Exámenes'!$G$5:$G$1000, "&lt;&gt;")=0, "", _xlfn.MAXIFS('Base Exámenes'!$G$5:$G$1000, 'Base Exámenes'!$C$5:$C$1000, A518)), "")</f>
        <v/>
      </c>
      <c r="K518" s="6" t="str">
        <f>IF(F518="Completado", IFERROR(IF(INDEX('Base Exámenes'!$H$5:$H$1000, MATCH(A518&amp;"|"&amp;J518, 'Base Exámenes'!$I$5:$I$1000, 0))="", "", INDEX('Base Exámenes'!$H$5:$H$1000, MATCH(A518&amp;"|"&amp;J518, 'Base Exámenes'!$I$5:$I$1000, 0))), ""), "")</f>
        <v/>
      </c>
      <c r="L518" s="22" t="str">
        <f>IF($A518="","",COUNTIF('Base Exámenes'!$C$5:$C$1000, A518))</f>
        <v/>
      </c>
      <c r="M518" s="6" t="str">
        <f>IF($A518="","",IF(COUNTIF('Base Exámenes'!$C$5:$C$1000, A518)&gt;0, "", TRIM('Base Oficial'!H518)))</f>
        <v/>
      </c>
    </row>
    <row r="519">
      <c r="A519" s="4" t="str">
        <f>IF('Base Oficial'!A519="","",TRIM('Base Oficial'!A519))</f>
        <v/>
      </c>
      <c r="B519" s="6" t="str">
        <f>IF($A519="","",TRIM('Base Oficial'!B519))</f>
        <v/>
      </c>
      <c r="C519" s="6" t="str">
        <f>IF($A519="","",TRIM('Base Oficial'!F519))</f>
        <v/>
      </c>
      <c r="D519" s="6" t="str">
        <f>IF($A519="","",TRIM('Base Oficial'!G519))</f>
        <v/>
      </c>
      <c r="E519" s="6" t="str">
        <f>IF($A519="","",TRIM('Base Oficial'!D519))</f>
        <v/>
      </c>
      <c r="F519" s="4" t="str">
        <f>IF($A519="","",IF(COUNTIF('Base Exámenes'!$C$5:$C$1000, A519)&gt;0, "Completado", IF(M519&lt;&gt;"", M519, "Pendiente")))</f>
        <v/>
      </c>
      <c r="G519" s="11" t="str">
        <f>IF(F519="Completado", IFERROR(IF(INDEX('Base Exámenes'!$D$5:$D$1000, MATCH(A519&amp;"|"&amp;J519, 'Base Exámenes'!$I$5:$I$1000, 0))="", "", INDEX('Base Exámenes'!$D$5:$D$1000, MATCH(A519&amp;"|"&amp;J519, 'Base Exámenes'!$I$5:$I$1000, 0))), ""), "")</f>
        <v/>
      </c>
      <c r="H519" s="11" t="str">
        <f>IF(F519="Completado", IFERROR(IF(INDEX('Base Exámenes'!$E$5:$E$1000, MATCH(A519&amp;"|"&amp;J519, 'Base Exámenes'!$I$5:$I$1000, 0))="", "", INDEX('Base Exámenes'!$E$5:$E$1000, MATCH(A519&amp;"|"&amp;J519, 'Base Exámenes'!$I$5:$I$1000, 0))), ""), "")</f>
        <v/>
      </c>
      <c r="I519" s="10" t="str">
        <f>IF(F519="Completado", IFERROR(IF(INDEX('Base Exámenes'!$F$5:$F$1000, MATCH(A519&amp;"|"&amp;J519, 'Base Exámenes'!$I$5:$I$1000, 0))="", "", INDEX('Base Exámenes'!$F$5:$F$1000, MATCH(A519&amp;"|"&amp;J519, 'Base Exámenes'!$I$5:$I$1000, 0))), ""), "")</f>
        <v/>
      </c>
      <c r="J519" s="6" t="str">
        <f>IF(F519="Completado", IF(COUNTIFS('Base Exámenes'!$C$5:$C$1000, A519, 'Base Exámenes'!$G$5:$G$1000, "&lt;&gt;")=0, "", _xlfn.MAXIFS('Base Exámenes'!$G$5:$G$1000, 'Base Exámenes'!$C$5:$C$1000, A519)), "")</f>
        <v/>
      </c>
      <c r="K519" s="6" t="str">
        <f>IF(F519="Completado", IFERROR(IF(INDEX('Base Exámenes'!$H$5:$H$1000, MATCH(A519&amp;"|"&amp;J519, 'Base Exámenes'!$I$5:$I$1000, 0))="", "", INDEX('Base Exámenes'!$H$5:$H$1000, MATCH(A519&amp;"|"&amp;J519, 'Base Exámenes'!$I$5:$I$1000, 0))), ""), "")</f>
        <v/>
      </c>
      <c r="L519" s="22" t="str">
        <f>IF($A519="","",COUNTIF('Base Exámenes'!$C$5:$C$1000, A519))</f>
        <v/>
      </c>
      <c r="M519" s="6" t="str">
        <f>IF($A519="","",IF(COUNTIF('Base Exámenes'!$C$5:$C$1000, A519)&gt;0, "", TRIM('Base Oficial'!H519)))</f>
        <v/>
      </c>
    </row>
    <row r="520">
      <c r="A520" s="4" t="str">
        <f>IF('Base Oficial'!A520="","",TRIM('Base Oficial'!A520))</f>
        <v/>
      </c>
      <c r="B520" s="6" t="str">
        <f>IF($A520="","",TRIM('Base Oficial'!B520))</f>
        <v/>
      </c>
      <c r="C520" s="6" t="str">
        <f>IF($A520="","",TRIM('Base Oficial'!F520))</f>
        <v/>
      </c>
      <c r="D520" s="6" t="str">
        <f>IF($A520="","",TRIM('Base Oficial'!G520))</f>
        <v/>
      </c>
      <c r="E520" s="6" t="str">
        <f>IF($A520="","",TRIM('Base Oficial'!D520))</f>
        <v/>
      </c>
      <c r="F520" s="4" t="str">
        <f>IF($A520="","",IF(COUNTIF('Base Exámenes'!$C$5:$C$1000, A520)&gt;0, "Completado", IF(M520&lt;&gt;"", M520, "Pendiente")))</f>
        <v/>
      </c>
      <c r="G520" s="11" t="str">
        <f>IF(F520="Completado", IFERROR(IF(INDEX('Base Exámenes'!$D$5:$D$1000, MATCH(A520&amp;"|"&amp;J520, 'Base Exámenes'!$I$5:$I$1000, 0))="", "", INDEX('Base Exámenes'!$D$5:$D$1000, MATCH(A520&amp;"|"&amp;J520, 'Base Exámenes'!$I$5:$I$1000, 0))), ""), "")</f>
        <v/>
      </c>
      <c r="H520" s="11" t="str">
        <f>IF(F520="Completado", IFERROR(IF(INDEX('Base Exámenes'!$E$5:$E$1000, MATCH(A520&amp;"|"&amp;J520, 'Base Exámenes'!$I$5:$I$1000, 0))="", "", INDEX('Base Exámenes'!$E$5:$E$1000, MATCH(A520&amp;"|"&amp;J520, 'Base Exámenes'!$I$5:$I$1000, 0))), ""), "")</f>
        <v/>
      </c>
      <c r="I520" s="10" t="str">
        <f>IF(F520="Completado", IFERROR(IF(INDEX('Base Exámenes'!$F$5:$F$1000, MATCH(A520&amp;"|"&amp;J520, 'Base Exámenes'!$I$5:$I$1000, 0))="", "", INDEX('Base Exámenes'!$F$5:$F$1000, MATCH(A520&amp;"|"&amp;J520, 'Base Exámenes'!$I$5:$I$1000, 0))), ""), "")</f>
        <v/>
      </c>
      <c r="J520" s="6" t="str">
        <f>IF(F520="Completado", IF(COUNTIFS('Base Exámenes'!$C$5:$C$1000, A520, 'Base Exámenes'!$G$5:$G$1000, "&lt;&gt;")=0, "", _xlfn.MAXIFS('Base Exámenes'!$G$5:$G$1000, 'Base Exámenes'!$C$5:$C$1000, A520)), "")</f>
        <v/>
      </c>
      <c r="K520" s="6" t="str">
        <f>IF(F520="Completado", IFERROR(IF(INDEX('Base Exámenes'!$H$5:$H$1000, MATCH(A520&amp;"|"&amp;J520, 'Base Exámenes'!$I$5:$I$1000, 0))="", "", INDEX('Base Exámenes'!$H$5:$H$1000, MATCH(A520&amp;"|"&amp;J520, 'Base Exámenes'!$I$5:$I$1000, 0))), ""), "")</f>
        <v/>
      </c>
      <c r="L520" s="22" t="str">
        <f>IF($A520="","",COUNTIF('Base Exámenes'!$C$5:$C$1000, A520))</f>
        <v/>
      </c>
      <c r="M520" s="6" t="str">
        <f>IF($A520="","",IF(COUNTIF('Base Exámenes'!$C$5:$C$1000, A520)&gt;0, "", TRIM('Base Oficial'!H520)))</f>
        <v/>
      </c>
    </row>
    <row r="521">
      <c r="A521" s="4" t="str">
        <f>IF('Base Oficial'!A521="","",TRIM('Base Oficial'!A521))</f>
        <v/>
      </c>
      <c r="B521" s="6" t="str">
        <f>IF($A521="","",TRIM('Base Oficial'!B521))</f>
        <v/>
      </c>
      <c r="C521" s="6" t="str">
        <f>IF($A521="","",TRIM('Base Oficial'!F521))</f>
        <v/>
      </c>
      <c r="D521" s="6" t="str">
        <f>IF($A521="","",TRIM('Base Oficial'!G521))</f>
        <v/>
      </c>
      <c r="E521" s="6" t="str">
        <f>IF($A521="","",TRIM('Base Oficial'!D521))</f>
        <v/>
      </c>
      <c r="F521" s="4" t="str">
        <f>IF($A521="","",IF(COUNTIF('Base Exámenes'!$C$5:$C$1000, A521)&gt;0, "Completado", IF(M521&lt;&gt;"", M521, "Pendiente")))</f>
        <v/>
      </c>
      <c r="G521" s="11" t="str">
        <f>IF(F521="Completado", IFERROR(IF(INDEX('Base Exámenes'!$D$5:$D$1000, MATCH(A521&amp;"|"&amp;J521, 'Base Exámenes'!$I$5:$I$1000, 0))="", "", INDEX('Base Exámenes'!$D$5:$D$1000, MATCH(A521&amp;"|"&amp;J521, 'Base Exámenes'!$I$5:$I$1000, 0))), ""), "")</f>
        <v/>
      </c>
      <c r="H521" s="11" t="str">
        <f>IF(F521="Completado", IFERROR(IF(INDEX('Base Exámenes'!$E$5:$E$1000, MATCH(A521&amp;"|"&amp;J521, 'Base Exámenes'!$I$5:$I$1000, 0))="", "", INDEX('Base Exámenes'!$E$5:$E$1000, MATCH(A521&amp;"|"&amp;J521, 'Base Exámenes'!$I$5:$I$1000, 0))), ""), "")</f>
        <v/>
      </c>
      <c r="I521" s="10" t="str">
        <f>IF(F521="Completado", IFERROR(IF(INDEX('Base Exámenes'!$F$5:$F$1000, MATCH(A521&amp;"|"&amp;J521, 'Base Exámenes'!$I$5:$I$1000, 0))="", "", INDEX('Base Exámenes'!$F$5:$F$1000, MATCH(A521&amp;"|"&amp;J521, 'Base Exámenes'!$I$5:$I$1000, 0))), ""), "")</f>
        <v/>
      </c>
      <c r="J521" s="6" t="str">
        <f>IF(F521="Completado", IF(COUNTIFS('Base Exámenes'!$C$5:$C$1000, A521, 'Base Exámenes'!$G$5:$G$1000, "&lt;&gt;")=0, "", _xlfn.MAXIFS('Base Exámenes'!$G$5:$G$1000, 'Base Exámenes'!$C$5:$C$1000, A521)), "")</f>
        <v/>
      </c>
      <c r="K521" s="6" t="str">
        <f>IF(F521="Completado", IFERROR(IF(INDEX('Base Exámenes'!$H$5:$H$1000, MATCH(A521&amp;"|"&amp;J521, 'Base Exámenes'!$I$5:$I$1000, 0))="", "", INDEX('Base Exámenes'!$H$5:$H$1000, MATCH(A521&amp;"|"&amp;J521, 'Base Exámenes'!$I$5:$I$1000, 0))), ""), "")</f>
        <v/>
      </c>
      <c r="L521" s="22" t="str">
        <f>IF($A521="","",COUNTIF('Base Exámenes'!$C$5:$C$1000, A521))</f>
        <v/>
      </c>
      <c r="M521" s="6" t="str">
        <f>IF($A521="","",IF(COUNTIF('Base Exámenes'!$C$5:$C$1000, A521)&gt;0, "", TRIM('Base Oficial'!H521)))</f>
        <v/>
      </c>
    </row>
    <row r="522">
      <c r="A522" s="4" t="str">
        <f>IF('Base Oficial'!A522="","",TRIM('Base Oficial'!A522))</f>
        <v/>
      </c>
      <c r="B522" s="6" t="str">
        <f>IF($A522="","",TRIM('Base Oficial'!B522))</f>
        <v/>
      </c>
      <c r="C522" s="6" t="str">
        <f>IF($A522="","",TRIM('Base Oficial'!F522))</f>
        <v/>
      </c>
      <c r="D522" s="6" t="str">
        <f>IF($A522="","",TRIM('Base Oficial'!G522))</f>
        <v/>
      </c>
      <c r="E522" s="6" t="str">
        <f>IF($A522="","",TRIM('Base Oficial'!D522))</f>
        <v/>
      </c>
      <c r="F522" s="4" t="str">
        <f>IF($A522="","",IF(COUNTIF('Base Exámenes'!$C$5:$C$1000, A522)&gt;0, "Completado", IF(M522&lt;&gt;"", M522, "Pendiente")))</f>
        <v/>
      </c>
      <c r="G522" s="11" t="str">
        <f>IF(F522="Completado", IFERROR(IF(INDEX('Base Exámenes'!$D$5:$D$1000, MATCH(A522&amp;"|"&amp;J522, 'Base Exámenes'!$I$5:$I$1000, 0))="", "", INDEX('Base Exámenes'!$D$5:$D$1000, MATCH(A522&amp;"|"&amp;J522, 'Base Exámenes'!$I$5:$I$1000, 0))), ""), "")</f>
        <v/>
      </c>
      <c r="H522" s="11" t="str">
        <f>IF(F522="Completado", IFERROR(IF(INDEX('Base Exámenes'!$E$5:$E$1000, MATCH(A522&amp;"|"&amp;J522, 'Base Exámenes'!$I$5:$I$1000, 0))="", "", INDEX('Base Exámenes'!$E$5:$E$1000, MATCH(A522&amp;"|"&amp;J522, 'Base Exámenes'!$I$5:$I$1000, 0))), ""), "")</f>
        <v/>
      </c>
      <c r="I522" s="10" t="str">
        <f>IF(F522="Completado", IFERROR(IF(INDEX('Base Exámenes'!$F$5:$F$1000, MATCH(A522&amp;"|"&amp;J522, 'Base Exámenes'!$I$5:$I$1000, 0))="", "", INDEX('Base Exámenes'!$F$5:$F$1000, MATCH(A522&amp;"|"&amp;J522, 'Base Exámenes'!$I$5:$I$1000, 0))), ""), "")</f>
        <v/>
      </c>
      <c r="J522" s="6" t="str">
        <f>IF(F522="Completado", IF(COUNTIFS('Base Exámenes'!$C$5:$C$1000, A522, 'Base Exámenes'!$G$5:$G$1000, "&lt;&gt;")=0, "", _xlfn.MAXIFS('Base Exámenes'!$G$5:$G$1000, 'Base Exámenes'!$C$5:$C$1000, A522)), "")</f>
        <v/>
      </c>
      <c r="K522" s="6" t="str">
        <f>IF(F522="Completado", IFERROR(IF(INDEX('Base Exámenes'!$H$5:$H$1000, MATCH(A522&amp;"|"&amp;J522, 'Base Exámenes'!$I$5:$I$1000, 0))="", "", INDEX('Base Exámenes'!$H$5:$H$1000, MATCH(A522&amp;"|"&amp;J522, 'Base Exámenes'!$I$5:$I$1000, 0))), ""), "")</f>
        <v/>
      </c>
      <c r="L522" s="22" t="str">
        <f>IF($A522="","",COUNTIF('Base Exámenes'!$C$5:$C$1000, A522))</f>
        <v/>
      </c>
      <c r="M522" s="6" t="str">
        <f>IF($A522="","",IF(COUNTIF('Base Exámenes'!$C$5:$C$1000, A522)&gt;0, "", TRIM('Base Oficial'!H522)))</f>
        <v/>
      </c>
    </row>
    <row r="523">
      <c r="A523" s="4" t="str">
        <f>IF('Base Oficial'!A523="","",TRIM('Base Oficial'!A523))</f>
        <v/>
      </c>
      <c r="B523" s="6" t="str">
        <f>IF($A523="","",TRIM('Base Oficial'!B523))</f>
        <v/>
      </c>
      <c r="C523" s="6" t="str">
        <f>IF($A523="","",TRIM('Base Oficial'!F523))</f>
        <v/>
      </c>
      <c r="D523" s="6" t="str">
        <f>IF($A523="","",TRIM('Base Oficial'!G523))</f>
        <v/>
      </c>
      <c r="E523" s="6" t="str">
        <f>IF($A523="","",TRIM('Base Oficial'!D523))</f>
        <v/>
      </c>
      <c r="F523" s="4" t="str">
        <f>IF($A523="","",IF(COUNTIF('Base Exámenes'!$C$5:$C$1000, A523)&gt;0, "Completado", IF(M523&lt;&gt;"", M523, "Pendiente")))</f>
        <v/>
      </c>
      <c r="G523" s="11" t="str">
        <f>IF(F523="Completado", IFERROR(IF(INDEX('Base Exámenes'!$D$5:$D$1000, MATCH(A523&amp;"|"&amp;J523, 'Base Exámenes'!$I$5:$I$1000, 0))="", "", INDEX('Base Exámenes'!$D$5:$D$1000, MATCH(A523&amp;"|"&amp;J523, 'Base Exámenes'!$I$5:$I$1000, 0))), ""), "")</f>
        <v/>
      </c>
      <c r="H523" s="11" t="str">
        <f>IF(F523="Completado", IFERROR(IF(INDEX('Base Exámenes'!$E$5:$E$1000, MATCH(A523&amp;"|"&amp;J523, 'Base Exámenes'!$I$5:$I$1000, 0))="", "", INDEX('Base Exámenes'!$E$5:$E$1000, MATCH(A523&amp;"|"&amp;J523, 'Base Exámenes'!$I$5:$I$1000, 0))), ""), "")</f>
        <v/>
      </c>
      <c r="I523" s="10" t="str">
        <f>IF(F523="Completado", IFERROR(IF(INDEX('Base Exámenes'!$F$5:$F$1000, MATCH(A523&amp;"|"&amp;J523, 'Base Exámenes'!$I$5:$I$1000, 0))="", "", INDEX('Base Exámenes'!$F$5:$F$1000, MATCH(A523&amp;"|"&amp;J523, 'Base Exámenes'!$I$5:$I$1000, 0))), ""), "")</f>
        <v/>
      </c>
      <c r="J523" s="6" t="str">
        <f>IF(F523="Completado", IF(COUNTIFS('Base Exámenes'!$C$5:$C$1000, A523, 'Base Exámenes'!$G$5:$G$1000, "&lt;&gt;")=0, "", _xlfn.MAXIFS('Base Exámenes'!$G$5:$G$1000, 'Base Exámenes'!$C$5:$C$1000, A523)), "")</f>
        <v/>
      </c>
      <c r="K523" s="6" t="str">
        <f>IF(F523="Completado", IFERROR(IF(INDEX('Base Exámenes'!$H$5:$H$1000, MATCH(A523&amp;"|"&amp;J523, 'Base Exámenes'!$I$5:$I$1000, 0))="", "", INDEX('Base Exámenes'!$H$5:$H$1000, MATCH(A523&amp;"|"&amp;J523, 'Base Exámenes'!$I$5:$I$1000, 0))), ""), "")</f>
        <v/>
      </c>
      <c r="L523" s="22" t="str">
        <f>IF($A523="","",COUNTIF('Base Exámenes'!$C$5:$C$1000, A523))</f>
        <v/>
      </c>
      <c r="M523" s="6" t="str">
        <f>IF($A523="","",IF(COUNTIF('Base Exámenes'!$C$5:$C$1000, A523)&gt;0, "", TRIM('Base Oficial'!H523)))</f>
        <v/>
      </c>
    </row>
    <row r="524">
      <c r="A524" s="4" t="str">
        <f>IF('Base Oficial'!A524="","",TRIM('Base Oficial'!A524))</f>
        <v/>
      </c>
      <c r="B524" s="6" t="str">
        <f>IF($A524="","",TRIM('Base Oficial'!B524))</f>
        <v/>
      </c>
      <c r="C524" s="6" t="str">
        <f>IF($A524="","",TRIM('Base Oficial'!F524))</f>
        <v/>
      </c>
      <c r="D524" s="6" t="str">
        <f>IF($A524="","",TRIM('Base Oficial'!G524))</f>
        <v/>
      </c>
      <c r="E524" s="6" t="str">
        <f>IF($A524="","",TRIM('Base Oficial'!D524))</f>
        <v/>
      </c>
      <c r="F524" s="4" t="str">
        <f>IF($A524="","",IF(COUNTIF('Base Exámenes'!$C$5:$C$1000, A524)&gt;0, "Completado", IF(M524&lt;&gt;"", M524, "Pendiente")))</f>
        <v/>
      </c>
      <c r="G524" s="11" t="str">
        <f>IF(F524="Completado", IFERROR(IF(INDEX('Base Exámenes'!$D$5:$D$1000, MATCH(A524&amp;"|"&amp;J524, 'Base Exámenes'!$I$5:$I$1000, 0))="", "", INDEX('Base Exámenes'!$D$5:$D$1000, MATCH(A524&amp;"|"&amp;J524, 'Base Exámenes'!$I$5:$I$1000, 0))), ""), "")</f>
        <v/>
      </c>
      <c r="H524" s="11" t="str">
        <f>IF(F524="Completado", IFERROR(IF(INDEX('Base Exámenes'!$E$5:$E$1000, MATCH(A524&amp;"|"&amp;J524, 'Base Exámenes'!$I$5:$I$1000, 0))="", "", INDEX('Base Exámenes'!$E$5:$E$1000, MATCH(A524&amp;"|"&amp;J524, 'Base Exámenes'!$I$5:$I$1000, 0))), ""), "")</f>
        <v/>
      </c>
      <c r="I524" s="10" t="str">
        <f>IF(F524="Completado", IFERROR(IF(INDEX('Base Exámenes'!$F$5:$F$1000, MATCH(A524&amp;"|"&amp;J524, 'Base Exámenes'!$I$5:$I$1000, 0))="", "", INDEX('Base Exámenes'!$F$5:$F$1000, MATCH(A524&amp;"|"&amp;J524, 'Base Exámenes'!$I$5:$I$1000, 0))), ""), "")</f>
        <v/>
      </c>
      <c r="J524" s="6" t="str">
        <f>IF(F524="Completado", IF(COUNTIFS('Base Exámenes'!$C$5:$C$1000, A524, 'Base Exámenes'!$G$5:$G$1000, "&lt;&gt;")=0, "", _xlfn.MAXIFS('Base Exámenes'!$G$5:$G$1000, 'Base Exámenes'!$C$5:$C$1000, A524)), "")</f>
        <v/>
      </c>
      <c r="K524" s="6" t="str">
        <f>IF(F524="Completado", IFERROR(IF(INDEX('Base Exámenes'!$H$5:$H$1000, MATCH(A524&amp;"|"&amp;J524, 'Base Exámenes'!$I$5:$I$1000, 0))="", "", INDEX('Base Exámenes'!$H$5:$H$1000, MATCH(A524&amp;"|"&amp;J524, 'Base Exámenes'!$I$5:$I$1000, 0))), ""), "")</f>
        <v/>
      </c>
      <c r="L524" s="22" t="str">
        <f>IF($A524="","",COUNTIF('Base Exámenes'!$C$5:$C$1000, A524))</f>
        <v/>
      </c>
      <c r="M524" s="6" t="str">
        <f>IF($A524="","",IF(COUNTIF('Base Exámenes'!$C$5:$C$1000, A524)&gt;0, "", TRIM('Base Oficial'!H524)))</f>
        <v/>
      </c>
    </row>
    <row r="525">
      <c r="A525" s="4" t="str">
        <f>IF('Base Oficial'!A525="","",TRIM('Base Oficial'!A525))</f>
        <v/>
      </c>
      <c r="B525" s="6" t="str">
        <f>IF($A525="","",TRIM('Base Oficial'!B525))</f>
        <v/>
      </c>
      <c r="C525" s="6" t="str">
        <f>IF($A525="","",TRIM('Base Oficial'!F525))</f>
        <v/>
      </c>
      <c r="D525" s="6" t="str">
        <f>IF($A525="","",TRIM('Base Oficial'!G525))</f>
        <v/>
      </c>
      <c r="E525" s="6" t="str">
        <f>IF($A525="","",TRIM('Base Oficial'!D525))</f>
        <v/>
      </c>
      <c r="F525" s="4" t="str">
        <f>IF($A525="","",IF(COUNTIF('Base Exámenes'!$C$5:$C$1000, A525)&gt;0, "Completado", IF(M525&lt;&gt;"", M525, "Pendiente")))</f>
        <v/>
      </c>
      <c r="G525" s="11" t="str">
        <f>IF(F525="Completado", IFERROR(IF(INDEX('Base Exámenes'!$D$5:$D$1000, MATCH(A525&amp;"|"&amp;J525, 'Base Exámenes'!$I$5:$I$1000, 0))="", "", INDEX('Base Exámenes'!$D$5:$D$1000, MATCH(A525&amp;"|"&amp;J525, 'Base Exámenes'!$I$5:$I$1000, 0))), ""), "")</f>
        <v/>
      </c>
      <c r="H525" s="11" t="str">
        <f>IF(F525="Completado", IFERROR(IF(INDEX('Base Exámenes'!$E$5:$E$1000, MATCH(A525&amp;"|"&amp;J525, 'Base Exámenes'!$I$5:$I$1000, 0))="", "", INDEX('Base Exámenes'!$E$5:$E$1000, MATCH(A525&amp;"|"&amp;J525, 'Base Exámenes'!$I$5:$I$1000, 0))), ""), "")</f>
        <v/>
      </c>
      <c r="I525" s="10" t="str">
        <f>IF(F525="Completado", IFERROR(IF(INDEX('Base Exámenes'!$F$5:$F$1000, MATCH(A525&amp;"|"&amp;J525, 'Base Exámenes'!$I$5:$I$1000, 0))="", "", INDEX('Base Exámenes'!$F$5:$F$1000, MATCH(A525&amp;"|"&amp;J525, 'Base Exámenes'!$I$5:$I$1000, 0))), ""), "")</f>
        <v/>
      </c>
      <c r="J525" s="6" t="str">
        <f>IF(F525="Completado", IF(COUNTIFS('Base Exámenes'!$C$5:$C$1000, A525, 'Base Exámenes'!$G$5:$G$1000, "&lt;&gt;")=0, "", _xlfn.MAXIFS('Base Exámenes'!$G$5:$G$1000, 'Base Exámenes'!$C$5:$C$1000, A525)), "")</f>
        <v/>
      </c>
      <c r="K525" s="6" t="str">
        <f>IF(F525="Completado", IFERROR(IF(INDEX('Base Exámenes'!$H$5:$H$1000, MATCH(A525&amp;"|"&amp;J525, 'Base Exámenes'!$I$5:$I$1000, 0))="", "", INDEX('Base Exámenes'!$H$5:$H$1000, MATCH(A525&amp;"|"&amp;J525, 'Base Exámenes'!$I$5:$I$1000, 0))), ""), "")</f>
        <v/>
      </c>
      <c r="L525" s="22" t="str">
        <f>IF($A525="","",COUNTIF('Base Exámenes'!$C$5:$C$1000, A525))</f>
        <v/>
      </c>
      <c r="M525" s="6" t="str">
        <f>IF($A525="","",IF(COUNTIF('Base Exámenes'!$C$5:$C$1000, A525)&gt;0, "", TRIM('Base Oficial'!H525)))</f>
        <v/>
      </c>
    </row>
    <row r="526">
      <c r="A526" s="4" t="str">
        <f>IF('Base Oficial'!A526="","",TRIM('Base Oficial'!A526))</f>
        <v/>
      </c>
      <c r="B526" s="6" t="str">
        <f>IF($A526="","",TRIM('Base Oficial'!B526))</f>
        <v/>
      </c>
      <c r="C526" s="6" t="str">
        <f>IF($A526="","",TRIM('Base Oficial'!F526))</f>
        <v/>
      </c>
      <c r="D526" s="6" t="str">
        <f>IF($A526="","",TRIM('Base Oficial'!G526))</f>
        <v/>
      </c>
      <c r="E526" s="6" t="str">
        <f>IF($A526="","",TRIM('Base Oficial'!D526))</f>
        <v/>
      </c>
      <c r="F526" s="4" t="str">
        <f>IF($A526="","",IF(COUNTIF('Base Exámenes'!$C$5:$C$1000, A526)&gt;0, "Completado", IF(M526&lt;&gt;"", M526, "Pendiente")))</f>
        <v/>
      </c>
      <c r="G526" s="11" t="str">
        <f>IF(F526="Completado", IFERROR(IF(INDEX('Base Exámenes'!$D$5:$D$1000, MATCH(A526&amp;"|"&amp;J526, 'Base Exámenes'!$I$5:$I$1000, 0))="", "", INDEX('Base Exámenes'!$D$5:$D$1000, MATCH(A526&amp;"|"&amp;J526, 'Base Exámenes'!$I$5:$I$1000, 0))), ""), "")</f>
        <v/>
      </c>
      <c r="H526" s="11" t="str">
        <f>IF(F526="Completado", IFERROR(IF(INDEX('Base Exámenes'!$E$5:$E$1000, MATCH(A526&amp;"|"&amp;J526, 'Base Exámenes'!$I$5:$I$1000, 0))="", "", INDEX('Base Exámenes'!$E$5:$E$1000, MATCH(A526&amp;"|"&amp;J526, 'Base Exámenes'!$I$5:$I$1000, 0))), ""), "")</f>
        <v/>
      </c>
      <c r="I526" s="10" t="str">
        <f>IF(F526="Completado", IFERROR(IF(INDEX('Base Exámenes'!$F$5:$F$1000, MATCH(A526&amp;"|"&amp;J526, 'Base Exámenes'!$I$5:$I$1000, 0))="", "", INDEX('Base Exámenes'!$F$5:$F$1000, MATCH(A526&amp;"|"&amp;J526, 'Base Exámenes'!$I$5:$I$1000, 0))), ""), "")</f>
        <v/>
      </c>
      <c r="J526" s="6" t="str">
        <f>IF(F526="Completado", IF(COUNTIFS('Base Exámenes'!$C$5:$C$1000, A526, 'Base Exámenes'!$G$5:$G$1000, "&lt;&gt;")=0, "", _xlfn.MAXIFS('Base Exámenes'!$G$5:$G$1000, 'Base Exámenes'!$C$5:$C$1000, A526)), "")</f>
        <v/>
      </c>
      <c r="K526" s="6" t="str">
        <f>IF(F526="Completado", IFERROR(IF(INDEX('Base Exámenes'!$H$5:$H$1000, MATCH(A526&amp;"|"&amp;J526, 'Base Exámenes'!$I$5:$I$1000, 0))="", "", INDEX('Base Exámenes'!$H$5:$H$1000, MATCH(A526&amp;"|"&amp;J526, 'Base Exámenes'!$I$5:$I$1000, 0))), ""), "")</f>
        <v/>
      </c>
      <c r="L526" s="22" t="str">
        <f>IF($A526="","",COUNTIF('Base Exámenes'!$C$5:$C$1000, A526))</f>
        <v/>
      </c>
      <c r="M526" s="6" t="str">
        <f>IF($A526="","",IF(COUNTIF('Base Exámenes'!$C$5:$C$1000, A526)&gt;0, "", TRIM('Base Oficial'!H526)))</f>
        <v/>
      </c>
    </row>
    <row r="527">
      <c r="A527" s="4" t="str">
        <f>IF('Base Oficial'!A527="","",TRIM('Base Oficial'!A527))</f>
        <v/>
      </c>
      <c r="B527" s="6" t="str">
        <f>IF($A527="","",TRIM('Base Oficial'!B527))</f>
        <v/>
      </c>
      <c r="C527" s="6" t="str">
        <f>IF($A527="","",TRIM('Base Oficial'!F527))</f>
        <v/>
      </c>
      <c r="D527" s="6" t="str">
        <f>IF($A527="","",TRIM('Base Oficial'!G527))</f>
        <v/>
      </c>
      <c r="E527" s="6" t="str">
        <f>IF($A527="","",TRIM('Base Oficial'!D527))</f>
        <v/>
      </c>
      <c r="F527" s="4" t="str">
        <f>IF($A527="","",IF(COUNTIF('Base Exámenes'!$C$5:$C$1000, A527)&gt;0, "Completado", IF(M527&lt;&gt;"", M527, "Pendiente")))</f>
        <v/>
      </c>
      <c r="G527" s="11" t="str">
        <f>IF(F527="Completado", IFERROR(IF(INDEX('Base Exámenes'!$D$5:$D$1000, MATCH(A527&amp;"|"&amp;J527, 'Base Exámenes'!$I$5:$I$1000, 0))="", "", INDEX('Base Exámenes'!$D$5:$D$1000, MATCH(A527&amp;"|"&amp;J527, 'Base Exámenes'!$I$5:$I$1000, 0))), ""), "")</f>
        <v/>
      </c>
      <c r="H527" s="11" t="str">
        <f>IF(F527="Completado", IFERROR(IF(INDEX('Base Exámenes'!$E$5:$E$1000, MATCH(A527&amp;"|"&amp;J527, 'Base Exámenes'!$I$5:$I$1000, 0))="", "", INDEX('Base Exámenes'!$E$5:$E$1000, MATCH(A527&amp;"|"&amp;J527, 'Base Exámenes'!$I$5:$I$1000, 0))), ""), "")</f>
        <v/>
      </c>
      <c r="I527" s="10" t="str">
        <f>IF(F527="Completado", IFERROR(IF(INDEX('Base Exámenes'!$F$5:$F$1000, MATCH(A527&amp;"|"&amp;J527, 'Base Exámenes'!$I$5:$I$1000, 0))="", "", INDEX('Base Exámenes'!$F$5:$F$1000, MATCH(A527&amp;"|"&amp;J527, 'Base Exámenes'!$I$5:$I$1000, 0))), ""), "")</f>
        <v/>
      </c>
      <c r="J527" s="6" t="str">
        <f>IF(F527="Completado", IF(COUNTIFS('Base Exámenes'!$C$5:$C$1000, A527, 'Base Exámenes'!$G$5:$G$1000, "&lt;&gt;")=0, "", _xlfn.MAXIFS('Base Exámenes'!$G$5:$G$1000, 'Base Exámenes'!$C$5:$C$1000, A527)), "")</f>
        <v/>
      </c>
      <c r="K527" s="6" t="str">
        <f>IF(F527="Completado", IFERROR(IF(INDEX('Base Exámenes'!$H$5:$H$1000, MATCH(A527&amp;"|"&amp;J527, 'Base Exámenes'!$I$5:$I$1000, 0))="", "", INDEX('Base Exámenes'!$H$5:$H$1000, MATCH(A527&amp;"|"&amp;J527, 'Base Exámenes'!$I$5:$I$1000, 0))), ""), "")</f>
        <v/>
      </c>
      <c r="L527" s="22" t="str">
        <f>IF($A527="","",COUNTIF('Base Exámenes'!$C$5:$C$1000, A527))</f>
        <v/>
      </c>
      <c r="M527" s="6" t="str">
        <f>IF($A527="","",IF(COUNTIF('Base Exámenes'!$C$5:$C$1000, A527)&gt;0, "", TRIM('Base Oficial'!H527)))</f>
        <v/>
      </c>
    </row>
    <row r="528">
      <c r="A528" s="4" t="str">
        <f>IF('Base Oficial'!A528="","",TRIM('Base Oficial'!A528))</f>
        <v/>
      </c>
      <c r="B528" s="6" t="str">
        <f>IF($A528="","",TRIM('Base Oficial'!B528))</f>
        <v/>
      </c>
      <c r="C528" s="6" t="str">
        <f>IF($A528="","",TRIM('Base Oficial'!F528))</f>
        <v/>
      </c>
      <c r="D528" s="6" t="str">
        <f>IF($A528="","",TRIM('Base Oficial'!G528))</f>
        <v/>
      </c>
      <c r="E528" s="6" t="str">
        <f>IF($A528="","",TRIM('Base Oficial'!D528))</f>
        <v/>
      </c>
      <c r="F528" s="4" t="str">
        <f>IF($A528="","",IF(COUNTIF('Base Exámenes'!$C$5:$C$1000, A528)&gt;0, "Completado", IF(M528&lt;&gt;"", M528, "Pendiente")))</f>
        <v/>
      </c>
      <c r="G528" s="11" t="str">
        <f>IF(F528="Completado", IFERROR(IF(INDEX('Base Exámenes'!$D$5:$D$1000, MATCH(A528&amp;"|"&amp;J528, 'Base Exámenes'!$I$5:$I$1000, 0))="", "", INDEX('Base Exámenes'!$D$5:$D$1000, MATCH(A528&amp;"|"&amp;J528, 'Base Exámenes'!$I$5:$I$1000, 0))), ""), "")</f>
        <v/>
      </c>
      <c r="H528" s="11" t="str">
        <f>IF(F528="Completado", IFERROR(IF(INDEX('Base Exámenes'!$E$5:$E$1000, MATCH(A528&amp;"|"&amp;J528, 'Base Exámenes'!$I$5:$I$1000, 0))="", "", INDEX('Base Exámenes'!$E$5:$E$1000, MATCH(A528&amp;"|"&amp;J528, 'Base Exámenes'!$I$5:$I$1000, 0))), ""), "")</f>
        <v/>
      </c>
      <c r="I528" s="10" t="str">
        <f>IF(F528="Completado", IFERROR(IF(INDEX('Base Exámenes'!$F$5:$F$1000, MATCH(A528&amp;"|"&amp;J528, 'Base Exámenes'!$I$5:$I$1000, 0))="", "", INDEX('Base Exámenes'!$F$5:$F$1000, MATCH(A528&amp;"|"&amp;J528, 'Base Exámenes'!$I$5:$I$1000, 0))), ""), "")</f>
        <v/>
      </c>
      <c r="J528" s="6" t="str">
        <f>IF(F528="Completado", IF(COUNTIFS('Base Exámenes'!$C$5:$C$1000, A528, 'Base Exámenes'!$G$5:$G$1000, "&lt;&gt;")=0, "", _xlfn.MAXIFS('Base Exámenes'!$G$5:$G$1000, 'Base Exámenes'!$C$5:$C$1000, A528)), "")</f>
        <v/>
      </c>
      <c r="K528" s="6" t="str">
        <f>IF(F528="Completado", IFERROR(IF(INDEX('Base Exámenes'!$H$5:$H$1000, MATCH(A528&amp;"|"&amp;J528, 'Base Exámenes'!$I$5:$I$1000, 0))="", "", INDEX('Base Exámenes'!$H$5:$H$1000, MATCH(A528&amp;"|"&amp;J528, 'Base Exámenes'!$I$5:$I$1000, 0))), ""), "")</f>
        <v/>
      </c>
      <c r="L528" s="22" t="str">
        <f>IF($A528="","",COUNTIF('Base Exámenes'!$C$5:$C$1000, A528))</f>
        <v/>
      </c>
      <c r="M528" s="6" t="str">
        <f>IF($A528="","",IF(COUNTIF('Base Exámenes'!$C$5:$C$1000, A528)&gt;0, "", TRIM('Base Oficial'!H528)))</f>
        <v/>
      </c>
    </row>
    <row r="529">
      <c r="A529" s="4" t="str">
        <f>IF('Base Oficial'!A529="","",TRIM('Base Oficial'!A529))</f>
        <v/>
      </c>
      <c r="B529" s="6" t="str">
        <f>IF($A529="","",TRIM('Base Oficial'!B529))</f>
        <v/>
      </c>
      <c r="C529" s="6" t="str">
        <f>IF($A529="","",TRIM('Base Oficial'!F529))</f>
        <v/>
      </c>
      <c r="D529" s="6" t="str">
        <f>IF($A529="","",TRIM('Base Oficial'!G529))</f>
        <v/>
      </c>
      <c r="E529" s="6" t="str">
        <f>IF($A529="","",TRIM('Base Oficial'!D529))</f>
        <v/>
      </c>
      <c r="F529" s="4" t="str">
        <f>IF($A529="","",IF(COUNTIF('Base Exámenes'!$C$5:$C$1000, A529)&gt;0, "Completado", IF(M529&lt;&gt;"", M529, "Pendiente")))</f>
        <v/>
      </c>
      <c r="G529" s="11" t="str">
        <f>IF(F529="Completado", IFERROR(IF(INDEX('Base Exámenes'!$D$5:$D$1000, MATCH(A529&amp;"|"&amp;J529, 'Base Exámenes'!$I$5:$I$1000, 0))="", "", INDEX('Base Exámenes'!$D$5:$D$1000, MATCH(A529&amp;"|"&amp;J529, 'Base Exámenes'!$I$5:$I$1000, 0))), ""), "")</f>
        <v/>
      </c>
      <c r="H529" s="11" t="str">
        <f>IF(F529="Completado", IFERROR(IF(INDEX('Base Exámenes'!$E$5:$E$1000, MATCH(A529&amp;"|"&amp;J529, 'Base Exámenes'!$I$5:$I$1000, 0))="", "", INDEX('Base Exámenes'!$E$5:$E$1000, MATCH(A529&amp;"|"&amp;J529, 'Base Exámenes'!$I$5:$I$1000, 0))), ""), "")</f>
        <v/>
      </c>
      <c r="I529" s="10" t="str">
        <f>IF(F529="Completado", IFERROR(IF(INDEX('Base Exámenes'!$F$5:$F$1000, MATCH(A529&amp;"|"&amp;J529, 'Base Exámenes'!$I$5:$I$1000, 0))="", "", INDEX('Base Exámenes'!$F$5:$F$1000, MATCH(A529&amp;"|"&amp;J529, 'Base Exámenes'!$I$5:$I$1000, 0))), ""), "")</f>
        <v/>
      </c>
      <c r="J529" s="6" t="str">
        <f>IF(F529="Completado", IF(COUNTIFS('Base Exámenes'!$C$5:$C$1000, A529, 'Base Exámenes'!$G$5:$G$1000, "&lt;&gt;")=0, "", _xlfn.MAXIFS('Base Exámenes'!$G$5:$G$1000, 'Base Exámenes'!$C$5:$C$1000, A529)), "")</f>
        <v/>
      </c>
      <c r="K529" s="6" t="str">
        <f>IF(F529="Completado", IFERROR(IF(INDEX('Base Exámenes'!$H$5:$H$1000, MATCH(A529&amp;"|"&amp;J529, 'Base Exámenes'!$I$5:$I$1000, 0))="", "", INDEX('Base Exámenes'!$H$5:$H$1000, MATCH(A529&amp;"|"&amp;J529, 'Base Exámenes'!$I$5:$I$1000, 0))), ""), "")</f>
        <v/>
      </c>
      <c r="L529" s="22" t="str">
        <f>IF($A529="","",COUNTIF('Base Exámenes'!$C$5:$C$1000, A529))</f>
        <v/>
      </c>
      <c r="M529" s="6" t="str">
        <f>IF($A529="","",IF(COUNTIF('Base Exámenes'!$C$5:$C$1000, A529)&gt;0, "", TRIM('Base Oficial'!H529)))</f>
        <v/>
      </c>
    </row>
    <row r="530">
      <c r="A530" s="4" t="str">
        <f>IF('Base Oficial'!A530="","",TRIM('Base Oficial'!A530))</f>
        <v/>
      </c>
      <c r="B530" s="6" t="str">
        <f>IF($A530="","",TRIM('Base Oficial'!B530))</f>
        <v/>
      </c>
      <c r="C530" s="6" t="str">
        <f>IF($A530="","",TRIM('Base Oficial'!F530))</f>
        <v/>
      </c>
      <c r="D530" s="6" t="str">
        <f>IF($A530="","",TRIM('Base Oficial'!G530))</f>
        <v/>
      </c>
      <c r="E530" s="6" t="str">
        <f>IF($A530="","",TRIM('Base Oficial'!D530))</f>
        <v/>
      </c>
      <c r="F530" s="4" t="str">
        <f>IF($A530="","",IF(COUNTIF('Base Exámenes'!$C$5:$C$1000, A530)&gt;0, "Completado", IF(M530&lt;&gt;"", M530, "Pendiente")))</f>
        <v/>
      </c>
      <c r="G530" s="11" t="str">
        <f>IF(F530="Completado", IFERROR(IF(INDEX('Base Exámenes'!$D$5:$D$1000, MATCH(A530&amp;"|"&amp;J530, 'Base Exámenes'!$I$5:$I$1000, 0))="", "", INDEX('Base Exámenes'!$D$5:$D$1000, MATCH(A530&amp;"|"&amp;J530, 'Base Exámenes'!$I$5:$I$1000, 0))), ""), "")</f>
        <v/>
      </c>
      <c r="H530" s="11" t="str">
        <f>IF(F530="Completado", IFERROR(IF(INDEX('Base Exámenes'!$E$5:$E$1000, MATCH(A530&amp;"|"&amp;J530, 'Base Exámenes'!$I$5:$I$1000, 0))="", "", INDEX('Base Exámenes'!$E$5:$E$1000, MATCH(A530&amp;"|"&amp;J530, 'Base Exámenes'!$I$5:$I$1000, 0))), ""), "")</f>
        <v/>
      </c>
      <c r="I530" s="10" t="str">
        <f>IF(F530="Completado", IFERROR(IF(INDEX('Base Exámenes'!$F$5:$F$1000, MATCH(A530&amp;"|"&amp;J530, 'Base Exámenes'!$I$5:$I$1000, 0))="", "", INDEX('Base Exámenes'!$F$5:$F$1000, MATCH(A530&amp;"|"&amp;J530, 'Base Exámenes'!$I$5:$I$1000, 0))), ""), "")</f>
        <v/>
      </c>
      <c r="J530" s="6" t="str">
        <f>IF(F530="Completado", IF(COUNTIFS('Base Exámenes'!$C$5:$C$1000, A530, 'Base Exámenes'!$G$5:$G$1000, "&lt;&gt;")=0, "", _xlfn.MAXIFS('Base Exámenes'!$G$5:$G$1000, 'Base Exámenes'!$C$5:$C$1000, A530)), "")</f>
        <v/>
      </c>
      <c r="K530" s="6" t="str">
        <f>IF(F530="Completado", IFERROR(IF(INDEX('Base Exámenes'!$H$5:$H$1000, MATCH(A530&amp;"|"&amp;J530, 'Base Exámenes'!$I$5:$I$1000, 0))="", "", INDEX('Base Exámenes'!$H$5:$H$1000, MATCH(A530&amp;"|"&amp;J530, 'Base Exámenes'!$I$5:$I$1000, 0))), ""), "")</f>
        <v/>
      </c>
      <c r="L530" s="22" t="str">
        <f>IF($A530="","",COUNTIF('Base Exámenes'!$C$5:$C$1000, A530))</f>
        <v/>
      </c>
      <c r="M530" s="6" t="str">
        <f>IF($A530="","",IF(COUNTIF('Base Exámenes'!$C$5:$C$1000, A530)&gt;0, "", TRIM('Base Oficial'!H530)))</f>
        <v/>
      </c>
    </row>
    <row r="531">
      <c r="A531" s="4" t="str">
        <f>IF('Base Oficial'!A531="","",TRIM('Base Oficial'!A531))</f>
        <v/>
      </c>
      <c r="B531" s="6" t="str">
        <f>IF($A531="","",TRIM('Base Oficial'!B531))</f>
        <v/>
      </c>
      <c r="C531" s="6" t="str">
        <f>IF($A531="","",TRIM('Base Oficial'!F531))</f>
        <v/>
      </c>
      <c r="D531" s="6" t="str">
        <f>IF($A531="","",TRIM('Base Oficial'!G531))</f>
        <v/>
      </c>
      <c r="E531" s="6" t="str">
        <f>IF($A531="","",TRIM('Base Oficial'!D531))</f>
        <v/>
      </c>
      <c r="F531" s="4" t="str">
        <f>IF($A531="","",IF(COUNTIF('Base Exámenes'!$C$5:$C$1000, A531)&gt;0, "Completado", IF(M531&lt;&gt;"", M531, "Pendiente")))</f>
        <v/>
      </c>
      <c r="G531" s="11" t="str">
        <f>IF(F531="Completado", IFERROR(IF(INDEX('Base Exámenes'!$D$5:$D$1000, MATCH(A531&amp;"|"&amp;J531, 'Base Exámenes'!$I$5:$I$1000, 0))="", "", INDEX('Base Exámenes'!$D$5:$D$1000, MATCH(A531&amp;"|"&amp;J531, 'Base Exámenes'!$I$5:$I$1000, 0))), ""), "")</f>
        <v/>
      </c>
      <c r="H531" s="11" t="str">
        <f>IF(F531="Completado", IFERROR(IF(INDEX('Base Exámenes'!$E$5:$E$1000, MATCH(A531&amp;"|"&amp;J531, 'Base Exámenes'!$I$5:$I$1000, 0))="", "", INDEX('Base Exámenes'!$E$5:$E$1000, MATCH(A531&amp;"|"&amp;J531, 'Base Exámenes'!$I$5:$I$1000, 0))), ""), "")</f>
        <v/>
      </c>
      <c r="I531" s="10" t="str">
        <f>IF(F531="Completado", IFERROR(IF(INDEX('Base Exámenes'!$F$5:$F$1000, MATCH(A531&amp;"|"&amp;J531, 'Base Exámenes'!$I$5:$I$1000, 0))="", "", INDEX('Base Exámenes'!$F$5:$F$1000, MATCH(A531&amp;"|"&amp;J531, 'Base Exámenes'!$I$5:$I$1000, 0))), ""), "")</f>
        <v/>
      </c>
      <c r="J531" s="6" t="str">
        <f>IF(F531="Completado", IF(COUNTIFS('Base Exámenes'!$C$5:$C$1000, A531, 'Base Exámenes'!$G$5:$G$1000, "&lt;&gt;")=0, "", _xlfn.MAXIFS('Base Exámenes'!$G$5:$G$1000, 'Base Exámenes'!$C$5:$C$1000, A531)), "")</f>
        <v/>
      </c>
      <c r="K531" s="6" t="str">
        <f>IF(F531="Completado", IFERROR(IF(INDEX('Base Exámenes'!$H$5:$H$1000, MATCH(A531&amp;"|"&amp;J531, 'Base Exámenes'!$I$5:$I$1000, 0))="", "", INDEX('Base Exámenes'!$H$5:$H$1000, MATCH(A531&amp;"|"&amp;J531, 'Base Exámenes'!$I$5:$I$1000, 0))), ""), "")</f>
        <v/>
      </c>
      <c r="L531" s="22" t="str">
        <f>IF($A531="","",COUNTIF('Base Exámenes'!$C$5:$C$1000, A531))</f>
        <v/>
      </c>
      <c r="M531" s="6" t="str">
        <f>IF($A531="","",IF(COUNTIF('Base Exámenes'!$C$5:$C$1000, A531)&gt;0, "", TRIM('Base Oficial'!H531)))</f>
        <v/>
      </c>
    </row>
    <row r="532">
      <c r="A532" s="4" t="str">
        <f>IF('Base Oficial'!A532="","",TRIM('Base Oficial'!A532))</f>
        <v/>
      </c>
      <c r="B532" s="6" t="str">
        <f>IF($A532="","",TRIM('Base Oficial'!B532))</f>
        <v/>
      </c>
      <c r="C532" s="6" t="str">
        <f>IF($A532="","",TRIM('Base Oficial'!F532))</f>
        <v/>
      </c>
      <c r="D532" s="6" t="str">
        <f>IF($A532="","",TRIM('Base Oficial'!G532))</f>
        <v/>
      </c>
      <c r="E532" s="6" t="str">
        <f>IF($A532="","",TRIM('Base Oficial'!D532))</f>
        <v/>
      </c>
      <c r="F532" s="4" t="str">
        <f>IF($A532="","",IF(COUNTIF('Base Exámenes'!$C$5:$C$1000, A532)&gt;0, "Completado", IF(M532&lt;&gt;"", M532, "Pendiente")))</f>
        <v/>
      </c>
      <c r="G532" s="11" t="str">
        <f>IF(F532="Completado", IFERROR(IF(INDEX('Base Exámenes'!$D$5:$D$1000, MATCH(A532&amp;"|"&amp;J532, 'Base Exámenes'!$I$5:$I$1000, 0))="", "", INDEX('Base Exámenes'!$D$5:$D$1000, MATCH(A532&amp;"|"&amp;J532, 'Base Exámenes'!$I$5:$I$1000, 0))), ""), "")</f>
        <v/>
      </c>
      <c r="H532" s="11" t="str">
        <f>IF(F532="Completado", IFERROR(IF(INDEX('Base Exámenes'!$E$5:$E$1000, MATCH(A532&amp;"|"&amp;J532, 'Base Exámenes'!$I$5:$I$1000, 0))="", "", INDEX('Base Exámenes'!$E$5:$E$1000, MATCH(A532&amp;"|"&amp;J532, 'Base Exámenes'!$I$5:$I$1000, 0))), ""), "")</f>
        <v/>
      </c>
      <c r="I532" s="10" t="str">
        <f>IF(F532="Completado", IFERROR(IF(INDEX('Base Exámenes'!$F$5:$F$1000, MATCH(A532&amp;"|"&amp;J532, 'Base Exámenes'!$I$5:$I$1000, 0))="", "", INDEX('Base Exámenes'!$F$5:$F$1000, MATCH(A532&amp;"|"&amp;J532, 'Base Exámenes'!$I$5:$I$1000, 0))), ""), "")</f>
        <v/>
      </c>
      <c r="J532" s="6" t="str">
        <f>IF(F532="Completado", IF(COUNTIFS('Base Exámenes'!$C$5:$C$1000, A532, 'Base Exámenes'!$G$5:$G$1000, "&lt;&gt;")=0, "", _xlfn.MAXIFS('Base Exámenes'!$G$5:$G$1000, 'Base Exámenes'!$C$5:$C$1000, A532)), "")</f>
        <v/>
      </c>
      <c r="K532" s="6" t="str">
        <f>IF(F532="Completado", IFERROR(IF(INDEX('Base Exámenes'!$H$5:$H$1000, MATCH(A532&amp;"|"&amp;J532, 'Base Exámenes'!$I$5:$I$1000, 0))="", "", INDEX('Base Exámenes'!$H$5:$H$1000, MATCH(A532&amp;"|"&amp;J532, 'Base Exámenes'!$I$5:$I$1000, 0))), ""), "")</f>
        <v/>
      </c>
      <c r="L532" s="22" t="str">
        <f>IF($A532="","",COUNTIF('Base Exámenes'!$C$5:$C$1000, A532))</f>
        <v/>
      </c>
      <c r="M532" s="6" t="str">
        <f>IF($A532="","",IF(COUNTIF('Base Exámenes'!$C$5:$C$1000, A532)&gt;0, "", TRIM('Base Oficial'!H532)))</f>
        <v/>
      </c>
    </row>
    <row r="533">
      <c r="A533" s="4" t="str">
        <f>IF('Base Oficial'!A533="","",TRIM('Base Oficial'!A533))</f>
        <v/>
      </c>
      <c r="B533" s="6" t="str">
        <f>IF($A533="","",TRIM('Base Oficial'!B533))</f>
        <v/>
      </c>
      <c r="C533" s="6" t="str">
        <f>IF($A533="","",TRIM('Base Oficial'!F533))</f>
        <v/>
      </c>
      <c r="D533" s="6" t="str">
        <f>IF($A533="","",TRIM('Base Oficial'!G533))</f>
        <v/>
      </c>
      <c r="E533" s="6" t="str">
        <f>IF($A533="","",TRIM('Base Oficial'!D533))</f>
        <v/>
      </c>
      <c r="F533" s="4" t="str">
        <f>IF($A533="","",IF(COUNTIF('Base Exámenes'!$C$5:$C$1000, A533)&gt;0, "Completado", IF(M533&lt;&gt;"", M533, "Pendiente")))</f>
        <v/>
      </c>
      <c r="G533" s="11" t="str">
        <f>IF(F533="Completado", IFERROR(IF(INDEX('Base Exámenes'!$D$5:$D$1000, MATCH(A533&amp;"|"&amp;J533, 'Base Exámenes'!$I$5:$I$1000, 0))="", "", INDEX('Base Exámenes'!$D$5:$D$1000, MATCH(A533&amp;"|"&amp;J533, 'Base Exámenes'!$I$5:$I$1000, 0))), ""), "")</f>
        <v/>
      </c>
      <c r="H533" s="11" t="str">
        <f>IF(F533="Completado", IFERROR(IF(INDEX('Base Exámenes'!$E$5:$E$1000, MATCH(A533&amp;"|"&amp;J533, 'Base Exámenes'!$I$5:$I$1000, 0))="", "", INDEX('Base Exámenes'!$E$5:$E$1000, MATCH(A533&amp;"|"&amp;J533, 'Base Exámenes'!$I$5:$I$1000, 0))), ""), "")</f>
        <v/>
      </c>
      <c r="I533" s="10" t="str">
        <f>IF(F533="Completado", IFERROR(IF(INDEX('Base Exámenes'!$F$5:$F$1000, MATCH(A533&amp;"|"&amp;J533, 'Base Exámenes'!$I$5:$I$1000, 0))="", "", INDEX('Base Exámenes'!$F$5:$F$1000, MATCH(A533&amp;"|"&amp;J533, 'Base Exámenes'!$I$5:$I$1000, 0))), ""), "")</f>
        <v/>
      </c>
      <c r="J533" s="6" t="str">
        <f>IF(F533="Completado", IF(COUNTIFS('Base Exámenes'!$C$5:$C$1000, A533, 'Base Exámenes'!$G$5:$G$1000, "&lt;&gt;")=0, "", _xlfn.MAXIFS('Base Exámenes'!$G$5:$G$1000, 'Base Exámenes'!$C$5:$C$1000, A533)), "")</f>
        <v/>
      </c>
      <c r="K533" s="6" t="str">
        <f>IF(F533="Completado", IFERROR(IF(INDEX('Base Exámenes'!$H$5:$H$1000, MATCH(A533&amp;"|"&amp;J533, 'Base Exámenes'!$I$5:$I$1000, 0))="", "", INDEX('Base Exámenes'!$H$5:$H$1000, MATCH(A533&amp;"|"&amp;J533, 'Base Exámenes'!$I$5:$I$1000, 0))), ""), "")</f>
        <v/>
      </c>
      <c r="L533" s="22" t="str">
        <f>IF($A533="","",COUNTIF('Base Exámenes'!$C$5:$C$1000, A533))</f>
        <v/>
      </c>
      <c r="M533" s="6" t="str">
        <f>IF($A533="","",IF(COUNTIF('Base Exámenes'!$C$5:$C$1000, A533)&gt;0, "", TRIM('Base Oficial'!H533)))</f>
        <v/>
      </c>
    </row>
    <row r="534">
      <c r="A534" s="4" t="str">
        <f>IF('Base Oficial'!A534="","",TRIM('Base Oficial'!A534))</f>
        <v/>
      </c>
      <c r="B534" s="6" t="str">
        <f>IF($A534="","",TRIM('Base Oficial'!B534))</f>
        <v/>
      </c>
      <c r="C534" s="6" t="str">
        <f>IF($A534="","",TRIM('Base Oficial'!F534))</f>
        <v/>
      </c>
      <c r="D534" s="6" t="str">
        <f>IF($A534="","",TRIM('Base Oficial'!G534))</f>
        <v/>
      </c>
      <c r="E534" s="6" t="str">
        <f>IF($A534="","",TRIM('Base Oficial'!D534))</f>
        <v/>
      </c>
      <c r="F534" s="4" t="str">
        <f>IF($A534="","",IF(COUNTIF('Base Exámenes'!$C$5:$C$1000, A534)&gt;0, "Completado", IF(M534&lt;&gt;"", M534, "Pendiente")))</f>
        <v/>
      </c>
      <c r="G534" s="11" t="str">
        <f>IF(F534="Completado", IFERROR(IF(INDEX('Base Exámenes'!$D$5:$D$1000, MATCH(A534&amp;"|"&amp;J534, 'Base Exámenes'!$I$5:$I$1000, 0))="", "", INDEX('Base Exámenes'!$D$5:$D$1000, MATCH(A534&amp;"|"&amp;J534, 'Base Exámenes'!$I$5:$I$1000, 0))), ""), "")</f>
        <v/>
      </c>
      <c r="H534" s="11" t="str">
        <f>IF(F534="Completado", IFERROR(IF(INDEX('Base Exámenes'!$E$5:$E$1000, MATCH(A534&amp;"|"&amp;J534, 'Base Exámenes'!$I$5:$I$1000, 0))="", "", INDEX('Base Exámenes'!$E$5:$E$1000, MATCH(A534&amp;"|"&amp;J534, 'Base Exámenes'!$I$5:$I$1000, 0))), ""), "")</f>
        <v/>
      </c>
      <c r="I534" s="10" t="str">
        <f>IF(F534="Completado", IFERROR(IF(INDEX('Base Exámenes'!$F$5:$F$1000, MATCH(A534&amp;"|"&amp;J534, 'Base Exámenes'!$I$5:$I$1000, 0))="", "", INDEX('Base Exámenes'!$F$5:$F$1000, MATCH(A534&amp;"|"&amp;J534, 'Base Exámenes'!$I$5:$I$1000, 0))), ""), "")</f>
        <v/>
      </c>
      <c r="J534" s="6" t="str">
        <f>IF(F534="Completado", IF(COUNTIFS('Base Exámenes'!$C$5:$C$1000, A534, 'Base Exámenes'!$G$5:$G$1000, "&lt;&gt;")=0, "", _xlfn.MAXIFS('Base Exámenes'!$G$5:$G$1000, 'Base Exámenes'!$C$5:$C$1000, A534)), "")</f>
        <v/>
      </c>
      <c r="K534" s="6" t="str">
        <f>IF(F534="Completado", IFERROR(IF(INDEX('Base Exámenes'!$H$5:$H$1000, MATCH(A534&amp;"|"&amp;J534, 'Base Exámenes'!$I$5:$I$1000, 0))="", "", INDEX('Base Exámenes'!$H$5:$H$1000, MATCH(A534&amp;"|"&amp;J534, 'Base Exámenes'!$I$5:$I$1000, 0))), ""), "")</f>
        <v/>
      </c>
      <c r="L534" s="22" t="str">
        <f>IF($A534="","",COUNTIF('Base Exámenes'!$C$5:$C$1000, A534))</f>
        <v/>
      </c>
      <c r="M534" s="6" t="str">
        <f>IF($A534="","",IF(COUNTIF('Base Exámenes'!$C$5:$C$1000, A534)&gt;0, "", TRIM('Base Oficial'!H534)))</f>
        <v/>
      </c>
    </row>
    <row r="535">
      <c r="A535" s="4" t="str">
        <f>IF('Base Oficial'!A535="","",TRIM('Base Oficial'!A535))</f>
        <v/>
      </c>
      <c r="B535" s="6" t="str">
        <f>IF($A535="","",TRIM('Base Oficial'!B535))</f>
        <v/>
      </c>
      <c r="C535" s="6" t="str">
        <f>IF($A535="","",TRIM('Base Oficial'!F535))</f>
        <v/>
      </c>
      <c r="D535" s="6" t="str">
        <f>IF($A535="","",TRIM('Base Oficial'!G535))</f>
        <v/>
      </c>
      <c r="E535" s="6" t="str">
        <f>IF($A535="","",TRIM('Base Oficial'!D535))</f>
        <v/>
      </c>
      <c r="F535" s="4" t="str">
        <f>IF($A535="","",IF(COUNTIF('Base Exámenes'!$C$5:$C$1000, A535)&gt;0, "Completado", IF(M535&lt;&gt;"", M535, "Pendiente")))</f>
        <v/>
      </c>
      <c r="G535" s="11" t="str">
        <f>IF(F535="Completado", IFERROR(IF(INDEX('Base Exámenes'!$D$5:$D$1000, MATCH(A535&amp;"|"&amp;J535, 'Base Exámenes'!$I$5:$I$1000, 0))="", "", INDEX('Base Exámenes'!$D$5:$D$1000, MATCH(A535&amp;"|"&amp;J535, 'Base Exámenes'!$I$5:$I$1000, 0))), ""), "")</f>
        <v/>
      </c>
      <c r="H535" s="11" t="str">
        <f>IF(F535="Completado", IFERROR(IF(INDEX('Base Exámenes'!$E$5:$E$1000, MATCH(A535&amp;"|"&amp;J535, 'Base Exámenes'!$I$5:$I$1000, 0))="", "", INDEX('Base Exámenes'!$E$5:$E$1000, MATCH(A535&amp;"|"&amp;J535, 'Base Exámenes'!$I$5:$I$1000, 0))), ""), "")</f>
        <v/>
      </c>
      <c r="I535" s="10" t="str">
        <f>IF(F535="Completado", IFERROR(IF(INDEX('Base Exámenes'!$F$5:$F$1000, MATCH(A535&amp;"|"&amp;J535, 'Base Exámenes'!$I$5:$I$1000, 0))="", "", INDEX('Base Exámenes'!$F$5:$F$1000, MATCH(A535&amp;"|"&amp;J535, 'Base Exámenes'!$I$5:$I$1000, 0))), ""), "")</f>
        <v/>
      </c>
      <c r="J535" s="6" t="str">
        <f>IF(F535="Completado", IF(COUNTIFS('Base Exámenes'!$C$5:$C$1000, A535, 'Base Exámenes'!$G$5:$G$1000, "&lt;&gt;")=0, "", _xlfn.MAXIFS('Base Exámenes'!$G$5:$G$1000, 'Base Exámenes'!$C$5:$C$1000, A535)), "")</f>
        <v/>
      </c>
      <c r="K535" s="6" t="str">
        <f>IF(F535="Completado", IFERROR(IF(INDEX('Base Exámenes'!$H$5:$H$1000, MATCH(A535&amp;"|"&amp;J535, 'Base Exámenes'!$I$5:$I$1000, 0))="", "", INDEX('Base Exámenes'!$H$5:$H$1000, MATCH(A535&amp;"|"&amp;J535, 'Base Exámenes'!$I$5:$I$1000, 0))), ""), "")</f>
        <v/>
      </c>
      <c r="L535" s="22" t="str">
        <f>IF($A535="","",COUNTIF('Base Exámenes'!$C$5:$C$1000, A535))</f>
        <v/>
      </c>
      <c r="M535" s="6" t="str">
        <f>IF($A535="","",IF(COUNTIF('Base Exámenes'!$C$5:$C$1000, A535)&gt;0, "", TRIM('Base Oficial'!H535)))</f>
        <v/>
      </c>
    </row>
    <row r="536">
      <c r="A536" s="4" t="str">
        <f>IF('Base Oficial'!A536="","",TRIM('Base Oficial'!A536))</f>
        <v/>
      </c>
      <c r="B536" s="6" t="str">
        <f>IF($A536="","",TRIM('Base Oficial'!B536))</f>
        <v/>
      </c>
      <c r="C536" s="6" t="str">
        <f>IF($A536="","",TRIM('Base Oficial'!F536))</f>
        <v/>
      </c>
      <c r="D536" s="6" t="str">
        <f>IF($A536="","",TRIM('Base Oficial'!G536))</f>
        <v/>
      </c>
      <c r="E536" s="6" t="str">
        <f>IF($A536="","",TRIM('Base Oficial'!D536))</f>
        <v/>
      </c>
      <c r="F536" s="4" t="str">
        <f>IF($A536="","",IF(COUNTIF('Base Exámenes'!$C$5:$C$1000, A536)&gt;0, "Completado", IF(M536&lt;&gt;"", M536, "Pendiente")))</f>
        <v/>
      </c>
      <c r="G536" s="11" t="str">
        <f>IF(F536="Completado", IFERROR(IF(INDEX('Base Exámenes'!$D$5:$D$1000, MATCH(A536&amp;"|"&amp;J536, 'Base Exámenes'!$I$5:$I$1000, 0))="", "", INDEX('Base Exámenes'!$D$5:$D$1000, MATCH(A536&amp;"|"&amp;J536, 'Base Exámenes'!$I$5:$I$1000, 0))), ""), "")</f>
        <v/>
      </c>
      <c r="H536" s="11" t="str">
        <f>IF(F536="Completado", IFERROR(IF(INDEX('Base Exámenes'!$E$5:$E$1000, MATCH(A536&amp;"|"&amp;J536, 'Base Exámenes'!$I$5:$I$1000, 0))="", "", INDEX('Base Exámenes'!$E$5:$E$1000, MATCH(A536&amp;"|"&amp;J536, 'Base Exámenes'!$I$5:$I$1000, 0))), ""), "")</f>
        <v/>
      </c>
      <c r="I536" s="10" t="str">
        <f>IF(F536="Completado", IFERROR(IF(INDEX('Base Exámenes'!$F$5:$F$1000, MATCH(A536&amp;"|"&amp;J536, 'Base Exámenes'!$I$5:$I$1000, 0))="", "", INDEX('Base Exámenes'!$F$5:$F$1000, MATCH(A536&amp;"|"&amp;J536, 'Base Exámenes'!$I$5:$I$1000, 0))), ""), "")</f>
        <v/>
      </c>
      <c r="J536" s="6" t="str">
        <f>IF(F536="Completado", IF(COUNTIFS('Base Exámenes'!$C$5:$C$1000, A536, 'Base Exámenes'!$G$5:$G$1000, "&lt;&gt;")=0, "", _xlfn.MAXIFS('Base Exámenes'!$G$5:$G$1000, 'Base Exámenes'!$C$5:$C$1000, A536)), "")</f>
        <v/>
      </c>
      <c r="K536" s="6" t="str">
        <f>IF(F536="Completado", IFERROR(IF(INDEX('Base Exámenes'!$H$5:$H$1000, MATCH(A536&amp;"|"&amp;J536, 'Base Exámenes'!$I$5:$I$1000, 0))="", "", INDEX('Base Exámenes'!$H$5:$H$1000, MATCH(A536&amp;"|"&amp;J536, 'Base Exámenes'!$I$5:$I$1000, 0))), ""), "")</f>
        <v/>
      </c>
      <c r="L536" s="22" t="str">
        <f>IF($A536="","",COUNTIF('Base Exámenes'!$C$5:$C$1000, A536))</f>
        <v/>
      </c>
      <c r="M536" s="6" t="str">
        <f>IF($A536="","",IF(COUNTIF('Base Exámenes'!$C$5:$C$1000, A536)&gt;0, "", TRIM('Base Oficial'!H536)))</f>
        <v/>
      </c>
    </row>
    <row r="537">
      <c r="A537" s="4" t="str">
        <f>IF('Base Oficial'!A537="","",TRIM('Base Oficial'!A537))</f>
        <v/>
      </c>
      <c r="B537" s="6" t="str">
        <f>IF($A537="","",TRIM('Base Oficial'!B537))</f>
        <v/>
      </c>
      <c r="C537" s="6" t="str">
        <f>IF($A537="","",TRIM('Base Oficial'!F537))</f>
        <v/>
      </c>
      <c r="D537" s="6" t="str">
        <f>IF($A537="","",TRIM('Base Oficial'!G537))</f>
        <v/>
      </c>
      <c r="E537" s="6" t="str">
        <f>IF($A537="","",TRIM('Base Oficial'!D537))</f>
        <v/>
      </c>
      <c r="F537" s="4" t="str">
        <f>IF($A537="","",IF(COUNTIF('Base Exámenes'!$C$5:$C$1000, A537)&gt;0, "Completado", IF(M537&lt;&gt;"", M537, "Pendiente")))</f>
        <v/>
      </c>
      <c r="G537" s="11" t="str">
        <f>IF(F537="Completado", IFERROR(IF(INDEX('Base Exámenes'!$D$5:$D$1000, MATCH(A537&amp;"|"&amp;J537, 'Base Exámenes'!$I$5:$I$1000, 0))="", "", INDEX('Base Exámenes'!$D$5:$D$1000, MATCH(A537&amp;"|"&amp;J537, 'Base Exámenes'!$I$5:$I$1000, 0))), ""), "")</f>
        <v/>
      </c>
      <c r="H537" s="11" t="str">
        <f>IF(F537="Completado", IFERROR(IF(INDEX('Base Exámenes'!$E$5:$E$1000, MATCH(A537&amp;"|"&amp;J537, 'Base Exámenes'!$I$5:$I$1000, 0))="", "", INDEX('Base Exámenes'!$E$5:$E$1000, MATCH(A537&amp;"|"&amp;J537, 'Base Exámenes'!$I$5:$I$1000, 0))), ""), "")</f>
        <v/>
      </c>
      <c r="I537" s="10" t="str">
        <f>IF(F537="Completado", IFERROR(IF(INDEX('Base Exámenes'!$F$5:$F$1000, MATCH(A537&amp;"|"&amp;J537, 'Base Exámenes'!$I$5:$I$1000, 0))="", "", INDEX('Base Exámenes'!$F$5:$F$1000, MATCH(A537&amp;"|"&amp;J537, 'Base Exámenes'!$I$5:$I$1000, 0))), ""), "")</f>
        <v/>
      </c>
      <c r="J537" s="6" t="str">
        <f>IF(F537="Completado", IF(COUNTIFS('Base Exámenes'!$C$5:$C$1000, A537, 'Base Exámenes'!$G$5:$G$1000, "&lt;&gt;")=0, "", _xlfn.MAXIFS('Base Exámenes'!$G$5:$G$1000, 'Base Exámenes'!$C$5:$C$1000, A537)), "")</f>
        <v/>
      </c>
      <c r="K537" s="6" t="str">
        <f>IF(F537="Completado", IFERROR(IF(INDEX('Base Exámenes'!$H$5:$H$1000, MATCH(A537&amp;"|"&amp;J537, 'Base Exámenes'!$I$5:$I$1000, 0))="", "", INDEX('Base Exámenes'!$H$5:$H$1000, MATCH(A537&amp;"|"&amp;J537, 'Base Exámenes'!$I$5:$I$1000, 0))), ""), "")</f>
        <v/>
      </c>
      <c r="L537" s="22" t="str">
        <f>IF($A537="","",COUNTIF('Base Exámenes'!$C$5:$C$1000, A537))</f>
        <v/>
      </c>
      <c r="M537" s="6" t="str">
        <f>IF($A537="","",IF(COUNTIF('Base Exámenes'!$C$5:$C$1000, A537)&gt;0, "", TRIM('Base Oficial'!H537)))</f>
        <v/>
      </c>
    </row>
    <row r="538">
      <c r="A538" s="4" t="str">
        <f>IF('Base Oficial'!A538="","",TRIM('Base Oficial'!A538))</f>
        <v/>
      </c>
      <c r="B538" s="6" t="str">
        <f>IF($A538="","",TRIM('Base Oficial'!B538))</f>
        <v/>
      </c>
      <c r="C538" s="6" t="str">
        <f>IF($A538="","",TRIM('Base Oficial'!F538))</f>
        <v/>
      </c>
      <c r="D538" s="6" t="str">
        <f>IF($A538="","",TRIM('Base Oficial'!G538))</f>
        <v/>
      </c>
      <c r="E538" s="6" t="str">
        <f>IF($A538="","",TRIM('Base Oficial'!D538))</f>
        <v/>
      </c>
      <c r="F538" s="4" t="str">
        <f>IF($A538="","",IF(COUNTIF('Base Exámenes'!$C$5:$C$1000, A538)&gt;0, "Completado", IF(M538&lt;&gt;"", M538, "Pendiente")))</f>
        <v/>
      </c>
      <c r="G538" s="11" t="str">
        <f>IF(F538="Completado", IFERROR(IF(INDEX('Base Exámenes'!$D$5:$D$1000, MATCH(A538&amp;"|"&amp;J538, 'Base Exámenes'!$I$5:$I$1000, 0))="", "", INDEX('Base Exámenes'!$D$5:$D$1000, MATCH(A538&amp;"|"&amp;J538, 'Base Exámenes'!$I$5:$I$1000, 0))), ""), "")</f>
        <v/>
      </c>
      <c r="H538" s="11" t="str">
        <f>IF(F538="Completado", IFERROR(IF(INDEX('Base Exámenes'!$E$5:$E$1000, MATCH(A538&amp;"|"&amp;J538, 'Base Exámenes'!$I$5:$I$1000, 0))="", "", INDEX('Base Exámenes'!$E$5:$E$1000, MATCH(A538&amp;"|"&amp;J538, 'Base Exámenes'!$I$5:$I$1000, 0))), ""), "")</f>
        <v/>
      </c>
      <c r="I538" s="10" t="str">
        <f>IF(F538="Completado", IFERROR(IF(INDEX('Base Exámenes'!$F$5:$F$1000, MATCH(A538&amp;"|"&amp;J538, 'Base Exámenes'!$I$5:$I$1000, 0))="", "", INDEX('Base Exámenes'!$F$5:$F$1000, MATCH(A538&amp;"|"&amp;J538, 'Base Exámenes'!$I$5:$I$1000, 0))), ""), "")</f>
        <v/>
      </c>
      <c r="J538" s="6" t="str">
        <f>IF(F538="Completado", IF(COUNTIFS('Base Exámenes'!$C$5:$C$1000, A538, 'Base Exámenes'!$G$5:$G$1000, "&lt;&gt;")=0, "", _xlfn.MAXIFS('Base Exámenes'!$G$5:$G$1000, 'Base Exámenes'!$C$5:$C$1000, A538)), "")</f>
        <v/>
      </c>
      <c r="K538" s="6" t="str">
        <f>IF(F538="Completado", IFERROR(IF(INDEX('Base Exámenes'!$H$5:$H$1000, MATCH(A538&amp;"|"&amp;J538, 'Base Exámenes'!$I$5:$I$1000, 0))="", "", INDEX('Base Exámenes'!$H$5:$H$1000, MATCH(A538&amp;"|"&amp;J538, 'Base Exámenes'!$I$5:$I$1000, 0))), ""), "")</f>
        <v/>
      </c>
      <c r="L538" s="22" t="str">
        <f>IF($A538="","",COUNTIF('Base Exámenes'!$C$5:$C$1000, A538))</f>
        <v/>
      </c>
      <c r="M538" s="6" t="str">
        <f>IF($A538="","",IF(COUNTIF('Base Exámenes'!$C$5:$C$1000, A538)&gt;0, "", TRIM('Base Oficial'!H538)))</f>
        <v/>
      </c>
    </row>
    <row r="539">
      <c r="A539" s="4" t="str">
        <f>IF('Base Oficial'!A539="","",TRIM('Base Oficial'!A539))</f>
        <v/>
      </c>
      <c r="B539" s="6" t="str">
        <f>IF($A539="","",TRIM('Base Oficial'!B539))</f>
        <v/>
      </c>
      <c r="C539" s="6" t="str">
        <f>IF($A539="","",TRIM('Base Oficial'!F539))</f>
        <v/>
      </c>
      <c r="D539" s="6" t="str">
        <f>IF($A539="","",TRIM('Base Oficial'!G539))</f>
        <v/>
      </c>
      <c r="E539" s="6" t="str">
        <f>IF($A539="","",TRIM('Base Oficial'!D539))</f>
        <v/>
      </c>
      <c r="F539" s="4" t="str">
        <f>IF($A539="","",IF(COUNTIF('Base Exámenes'!$C$5:$C$1000, A539)&gt;0, "Completado", IF(M539&lt;&gt;"", M539, "Pendiente")))</f>
        <v/>
      </c>
      <c r="G539" s="11" t="str">
        <f>IF(F539="Completado", IFERROR(IF(INDEX('Base Exámenes'!$D$5:$D$1000, MATCH(A539&amp;"|"&amp;J539, 'Base Exámenes'!$I$5:$I$1000, 0))="", "", INDEX('Base Exámenes'!$D$5:$D$1000, MATCH(A539&amp;"|"&amp;J539, 'Base Exámenes'!$I$5:$I$1000, 0))), ""), "")</f>
        <v/>
      </c>
      <c r="H539" s="11" t="str">
        <f>IF(F539="Completado", IFERROR(IF(INDEX('Base Exámenes'!$E$5:$E$1000, MATCH(A539&amp;"|"&amp;J539, 'Base Exámenes'!$I$5:$I$1000, 0))="", "", INDEX('Base Exámenes'!$E$5:$E$1000, MATCH(A539&amp;"|"&amp;J539, 'Base Exámenes'!$I$5:$I$1000, 0))), ""), "")</f>
        <v/>
      </c>
      <c r="I539" s="10" t="str">
        <f>IF(F539="Completado", IFERROR(IF(INDEX('Base Exámenes'!$F$5:$F$1000, MATCH(A539&amp;"|"&amp;J539, 'Base Exámenes'!$I$5:$I$1000, 0))="", "", INDEX('Base Exámenes'!$F$5:$F$1000, MATCH(A539&amp;"|"&amp;J539, 'Base Exámenes'!$I$5:$I$1000, 0))), ""), "")</f>
        <v/>
      </c>
      <c r="J539" s="6" t="str">
        <f>IF(F539="Completado", IF(COUNTIFS('Base Exámenes'!$C$5:$C$1000, A539, 'Base Exámenes'!$G$5:$G$1000, "&lt;&gt;")=0, "", _xlfn.MAXIFS('Base Exámenes'!$G$5:$G$1000, 'Base Exámenes'!$C$5:$C$1000, A539)), "")</f>
        <v/>
      </c>
      <c r="K539" s="6" t="str">
        <f>IF(F539="Completado", IFERROR(IF(INDEX('Base Exámenes'!$H$5:$H$1000, MATCH(A539&amp;"|"&amp;J539, 'Base Exámenes'!$I$5:$I$1000, 0))="", "", INDEX('Base Exámenes'!$H$5:$H$1000, MATCH(A539&amp;"|"&amp;J539, 'Base Exámenes'!$I$5:$I$1000, 0))), ""), "")</f>
        <v/>
      </c>
      <c r="L539" s="22" t="str">
        <f>IF($A539="","",COUNTIF('Base Exámenes'!$C$5:$C$1000, A539))</f>
        <v/>
      </c>
      <c r="M539" s="6" t="str">
        <f>IF($A539="","",IF(COUNTIF('Base Exámenes'!$C$5:$C$1000, A539)&gt;0, "", TRIM('Base Oficial'!H539)))</f>
        <v/>
      </c>
    </row>
    <row r="540">
      <c r="A540" s="4" t="str">
        <f>IF('Base Oficial'!A540="","",TRIM('Base Oficial'!A540))</f>
        <v/>
      </c>
      <c r="B540" s="6" t="str">
        <f>IF($A540="","",TRIM('Base Oficial'!B540))</f>
        <v/>
      </c>
      <c r="C540" s="6" t="str">
        <f>IF($A540="","",TRIM('Base Oficial'!F540))</f>
        <v/>
      </c>
      <c r="D540" s="6" t="str">
        <f>IF($A540="","",TRIM('Base Oficial'!G540))</f>
        <v/>
      </c>
      <c r="E540" s="6" t="str">
        <f>IF($A540="","",TRIM('Base Oficial'!D540))</f>
        <v/>
      </c>
      <c r="F540" s="4" t="str">
        <f>IF($A540="","",IF(COUNTIF('Base Exámenes'!$C$5:$C$1000, A540)&gt;0, "Completado", IF(M540&lt;&gt;"", M540, "Pendiente")))</f>
        <v/>
      </c>
      <c r="G540" s="11" t="str">
        <f>IF(F540="Completado", IFERROR(IF(INDEX('Base Exámenes'!$D$5:$D$1000, MATCH(A540&amp;"|"&amp;J540, 'Base Exámenes'!$I$5:$I$1000, 0))="", "", INDEX('Base Exámenes'!$D$5:$D$1000, MATCH(A540&amp;"|"&amp;J540, 'Base Exámenes'!$I$5:$I$1000, 0))), ""), "")</f>
        <v/>
      </c>
      <c r="H540" s="11" t="str">
        <f>IF(F540="Completado", IFERROR(IF(INDEX('Base Exámenes'!$E$5:$E$1000, MATCH(A540&amp;"|"&amp;J540, 'Base Exámenes'!$I$5:$I$1000, 0))="", "", INDEX('Base Exámenes'!$E$5:$E$1000, MATCH(A540&amp;"|"&amp;J540, 'Base Exámenes'!$I$5:$I$1000, 0))), ""), "")</f>
        <v/>
      </c>
      <c r="I540" s="10" t="str">
        <f>IF(F540="Completado", IFERROR(IF(INDEX('Base Exámenes'!$F$5:$F$1000, MATCH(A540&amp;"|"&amp;J540, 'Base Exámenes'!$I$5:$I$1000, 0))="", "", INDEX('Base Exámenes'!$F$5:$F$1000, MATCH(A540&amp;"|"&amp;J540, 'Base Exámenes'!$I$5:$I$1000, 0))), ""), "")</f>
        <v/>
      </c>
      <c r="J540" s="6" t="str">
        <f>IF(F540="Completado", IF(COUNTIFS('Base Exámenes'!$C$5:$C$1000, A540, 'Base Exámenes'!$G$5:$G$1000, "&lt;&gt;")=0, "", _xlfn.MAXIFS('Base Exámenes'!$G$5:$G$1000, 'Base Exámenes'!$C$5:$C$1000, A540)), "")</f>
        <v/>
      </c>
      <c r="K540" s="6" t="str">
        <f>IF(F540="Completado", IFERROR(IF(INDEX('Base Exámenes'!$H$5:$H$1000, MATCH(A540&amp;"|"&amp;J540, 'Base Exámenes'!$I$5:$I$1000, 0))="", "", INDEX('Base Exámenes'!$H$5:$H$1000, MATCH(A540&amp;"|"&amp;J540, 'Base Exámenes'!$I$5:$I$1000, 0))), ""), "")</f>
        <v/>
      </c>
      <c r="L540" s="22" t="str">
        <f>IF($A540="","",COUNTIF('Base Exámenes'!$C$5:$C$1000, A540))</f>
        <v/>
      </c>
      <c r="M540" s="6" t="str">
        <f>IF($A540="","",IF(COUNTIF('Base Exámenes'!$C$5:$C$1000, A540)&gt;0, "", TRIM('Base Oficial'!H540)))</f>
        <v/>
      </c>
    </row>
    <row r="541">
      <c r="A541" s="4" t="str">
        <f>IF('Base Oficial'!A541="","",TRIM('Base Oficial'!A541))</f>
        <v/>
      </c>
      <c r="B541" s="6" t="str">
        <f>IF($A541="","",TRIM('Base Oficial'!B541))</f>
        <v/>
      </c>
      <c r="C541" s="6" t="str">
        <f>IF($A541="","",TRIM('Base Oficial'!F541))</f>
        <v/>
      </c>
      <c r="D541" s="6" t="str">
        <f>IF($A541="","",TRIM('Base Oficial'!G541))</f>
        <v/>
      </c>
      <c r="E541" s="6" t="str">
        <f>IF($A541="","",TRIM('Base Oficial'!D541))</f>
        <v/>
      </c>
      <c r="F541" s="4" t="str">
        <f>IF($A541="","",IF(COUNTIF('Base Exámenes'!$C$5:$C$1000, A541)&gt;0, "Completado", IF(M541&lt;&gt;"", M541, "Pendiente")))</f>
        <v/>
      </c>
      <c r="G541" s="11" t="str">
        <f>IF(F541="Completado", IFERROR(IF(INDEX('Base Exámenes'!$D$5:$D$1000, MATCH(A541&amp;"|"&amp;J541, 'Base Exámenes'!$I$5:$I$1000, 0))="", "", INDEX('Base Exámenes'!$D$5:$D$1000, MATCH(A541&amp;"|"&amp;J541, 'Base Exámenes'!$I$5:$I$1000, 0))), ""), "")</f>
        <v/>
      </c>
      <c r="H541" s="11" t="str">
        <f>IF(F541="Completado", IFERROR(IF(INDEX('Base Exámenes'!$E$5:$E$1000, MATCH(A541&amp;"|"&amp;J541, 'Base Exámenes'!$I$5:$I$1000, 0))="", "", INDEX('Base Exámenes'!$E$5:$E$1000, MATCH(A541&amp;"|"&amp;J541, 'Base Exámenes'!$I$5:$I$1000, 0))), ""), "")</f>
        <v/>
      </c>
      <c r="I541" s="10" t="str">
        <f>IF(F541="Completado", IFERROR(IF(INDEX('Base Exámenes'!$F$5:$F$1000, MATCH(A541&amp;"|"&amp;J541, 'Base Exámenes'!$I$5:$I$1000, 0))="", "", INDEX('Base Exámenes'!$F$5:$F$1000, MATCH(A541&amp;"|"&amp;J541, 'Base Exámenes'!$I$5:$I$1000, 0))), ""), "")</f>
        <v/>
      </c>
      <c r="J541" s="6" t="str">
        <f>IF(F541="Completado", IF(COUNTIFS('Base Exámenes'!$C$5:$C$1000, A541, 'Base Exámenes'!$G$5:$G$1000, "&lt;&gt;")=0, "", _xlfn.MAXIFS('Base Exámenes'!$G$5:$G$1000, 'Base Exámenes'!$C$5:$C$1000, A541)), "")</f>
        <v/>
      </c>
      <c r="K541" s="6" t="str">
        <f>IF(F541="Completado", IFERROR(IF(INDEX('Base Exámenes'!$H$5:$H$1000, MATCH(A541&amp;"|"&amp;J541, 'Base Exámenes'!$I$5:$I$1000, 0))="", "", INDEX('Base Exámenes'!$H$5:$H$1000, MATCH(A541&amp;"|"&amp;J541, 'Base Exámenes'!$I$5:$I$1000, 0))), ""), "")</f>
        <v/>
      </c>
      <c r="L541" s="22" t="str">
        <f>IF($A541="","",COUNTIF('Base Exámenes'!$C$5:$C$1000, A541))</f>
        <v/>
      </c>
      <c r="M541" s="6" t="str">
        <f>IF($A541="","",IF(COUNTIF('Base Exámenes'!$C$5:$C$1000, A541)&gt;0, "", TRIM('Base Oficial'!H541)))</f>
        <v/>
      </c>
    </row>
    <row r="542">
      <c r="A542" s="4" t="str">
        <f>IF('Base Oficial'!A542="","",TRIM('Base Oficial'!A542))</f>
        <v/>
      </c>
      <c r="B542" s="6" t="str">
        <f>IF($A542="","",TRIM('Base Oficial'!B542))</f>
        <v/>
      </c>
      <c r="C542" s="6" t="str">
        <f>IF($A542="","",TRIM('Base Oficial'!F542))</f>
        <v/>
      </c>
      <c r="D542" s="6" t="str">
        <f>IF($A542="","",TRIM('Base Oficial'!G542))</f>
        <v/>
      </c>
      <c r="E542" s="6" t="str">
        <f>IF($A542="","",TRIM('Base Oficial'!D542))</f>
        <v/>
      </c>
      <c r="F542" s="4" t="str">
        <f>IF($A542="","",IF(COUNTIF('Base Exámenes'!$C$5:$C$1000, A542)&gt;0, "Completado", IF(M542&lt;&gt;"", M542, "Pendiente")))</f>
        <v/>
      </c>
      <c r="G542" s="11" t="str">
        <f>IF(F542="Completado", IFERROR(IF(INDEX('Base Exámenes'!$D$5:$D$1000, MATCH(A542&amp;"|"&amp;J542, 'Base Exámenes'!$I$5:$I$1000, 0))="", "", INDEX('Base Exámenes'!$D$5:$D$1000, MATCH(A542&amp;"|"&amp;J542, 'Base Exámenes'!$I$5:$I$1000, 0))), ""), "")</f>
        <v/>
      </c>
      <c r="H542" s="11" t="str">
        <f>IF(F542="Completado", IFERROR(IF(INDEX('Base Exámenes'!$E$5:$E$1000, MATCH(A542&amp;"|"&amp;J542, 'Base Exámenes'!$I$5:$I$1000, 0))="", "", INDEX('Base Exámenes'!$E$5:$E$1000, MATCH(A542&amp;"|"&amp;J542, 'Base Exámenes'!$I$5:$I$1000, 0))), ""), "")</f>
        <v/>
      </c>
      <c r="I542" s="10" t="str">
        <f>IF(F542="Completado", IFERROR(IF(INDEX('Base Exámenes'!$F$5:$F$1000, MATCH(A542&amp;"|"&amp;J542, 'Base Exámenes'!$I$5:$I$1000, 0))="", "", INDEX('Base Exámenes'!$F$5:$F$1000, MATCH(A542&amp;"|"&amp;J542, 'Base Exámenes'!$I$5:$I$1000, 0))), ""), "")</f>
        <v/>
      </c>
      <c r="J542" s="6" t="str">
        <f>IF(F542="Completado", IF(COUNTIFS('Base Exámenes'!$C$5:$C$1000, A542, 'Base Exámenes'!$G$5:$G$1000, "&lt;&gt;")=0, "", _xlfn.MAXIFS('Base Exámenes'!$G$5:$G$1000, 'Base Exámenes'!$C$5:$C$1000, A542)), "")</f>
        <v/>
      </c>
      <c r="K542" s="6" t="str">
        <f>IF(F542="Completado", IFERROR(IF(INDEX('Base Exámenes'!$H$5:$H$1000, MATCH(A542&amp;"|"&amp;J542, 'Base Exámenes'!$I$5:$I$1000, 0))="", "", INDEX('Base Exámenes'!$H$5:$H$1000, MATCH(A542&amp;"|"&amp;J542, 'Base Exámenes'!$I$5:$I$1000, 0))), ""), "")</f>
        <v/>
      </c>
      <c r="L542" s="22" t="str">
        <f>IF($A542="","",COUNTIF('Base Exámenes'!$C$5:$C$1000, A542))</f>
        <v/>
      </c>
      <c r="M542" s="6" t="str">
        <f>IF($A542="","",IF(COUNTIF('Base Exámenes'!$C$5:$C$1000, A542)&gt;0, "", TRIM('Base Oficial'!H542)))</f>
        <v/>
      </c>
    </row>
    <row r="543">
      <c r="A543" s="4" t="str">
        <f>IF('Base Oficial'!A543="","",TRIM('Base Oficial'!A543))</f>
        <v/>
      </c>
      <c r="B543" s="6" t="str">
        <f>IF($A543="","",TRIM('Base Oficial'!B543))</f>
        <v/>
      </c>
      <c r="C543" s="6" t="str">
        <f>IF($A543="","",TRIM('Base Oficial'!F543))</f>
        <v/>
      </c>
      <c r="D543" s="6" t="str">
        <f>IF($A543="","",TRIM('Base Oficial'!G543))</f>
        <v/>
      </c>
      <c r="E543" s="6" t="str">
        <f>IF($A543="","",TRIM('Base Oficial'!D543))</f>
        <v/>
      </c>
      <c r="F543" s="4" t="str">
        <f>IF($A543="","",IF(COUNTIF('Base Exámenes'!$C$5:$C$1000, A543)&gt;0, "Completado", IF(M543&lt;&gt;"", M543, "Pendiente")))</f>
        <v/>
      </c>
      <c r="G543" s="11" t="str">
        <f>IF(F543="Completado", IFERROR(IF(INDEX('Base Exámenes'!$D$5:$D$1000, MATCH(A543&amp;"|"&amp;J543, 'Base Exámenes'!$I$5:$I$1000, 0))="", "", INDEX('Base Exámenes'!$D$5:$D$1000, MATCH(A543&amp;"|"&amp;J543, 'Base Exámenes'!$I$5:$I$1000, 0))), ""), "")</f>
        <v/>
      </c>
      <c r="H543" s="11" t="str">
        <f>IF(F543="Completado", IFERROR(IF(INDEX('Base Exámenes'!$E$5:$E$1000, MATCH(A543&amp;"|"&amp;J543, 'Base Exámenes'!$I$5:$I$1000, 0))="", "", INDEX('Base Exámenes'!$E$5:$E$1000, MATCH(A543&amp;"|"&amp;J543, 'Base Exámenes'!$I$5:$I$1000, 0))), ""), "")</f>
        <v/>
      </c>
      <c r="I543" s="10" t="str">
        <f>IF(F543="Completado", IFERROR(IF(INDEX('Base Exámenes'!$F$5:$F$1000, MATCH(A543&amp;"|"&amp;J543, 'Base Exámenes'!$I$5:$I$1000, 0))="", "", INDEX('Base Exámenes'!$F$5:$F$1000, MATCH(A543&amp;"|"&amp;J543, 'Base Exámenes'!$I$5:$I$1000, 0))), ""), "")</f>
        <v/>
      </c>
      <c r="J543" s="6" t="str">
        <f>IF(F543="Completado", IF(COUNTIFS('Base Exámenes'!$C$5:$C$1000, A543, 'Base Exámenes'!$G$5:$G$1000, "&lt;&gt;")=0, "", _xlfn.MAXIFS('Base Exámenes'!$G$5:$G$1000, 'Base Exámenes'!$C$5:$C$1000, A543)), "")</f>
        <v/>
      </c>
      <c r="K543" s="6" t="str">
        <f>IF(F543="Completado", IFERROR(IF(INDEX('Base Exámenes'!$H$5:$H$1000, MATCH(A543&amp;"|"&amp;J543, 'Base Exámenes'!$I$5:$I$1000, 0))="", "", INDEX('Base Exámenes'!$H$5:$H$1000, MATCH(A543&amp;"|"&amp;J543, 'Base Exámenes'!$I$5:$I$1000, 0))), ""), "")</f>
        <v/>
      </c>
      <c r="L543" s="22" t="str">
        <f>IF($A543="","",COUNTIF('Base Exámenes'!$C$5:$C$1000, A543))</f>
        <v/>
      </c>
      <c r="M543" s="6" t="str">
        <f>IF($A543="","",IF(COUNTIF('Base Exámenes'!$C$5:$C$1000, A543)&gt;0, "", TRIM('Base Oficial'!H543)))</f>
        <v/>
      </c>
    </row>
    <row r="544">
      <c r="A544" s="4" t="str">
        <f>IF('Base Oficial'!A544="","",TRIM('Base Oficial'!A544))</f>
        <v/>
      </c>
      <c r="B544" s="6" t="str">
        <f>IF($A544="","",TRIM('Base Oficial'!B544))</f>
        <v/>
      </c>
      <c r="C544" s="6" t="str">
        <f>IF($A544="","",TRIM('Base Oficial'!F544))</f>
        <v/>
      </c>
      <c r="D544" s="6" t="str">
        <f>IF($A544="","",TRIM('Base Oficial'!G544))</f>
        <v/>
      </c>
      <c r="E544" s="6" t="str">
        <f>IF($A544="","",TRIM('Base Oficial'!D544))</f>
        <v/>
      </c>
      <c r="F544" s="4" t="str">
        <f>IF($A544="","",IF(COUNTIF('Base Exámenes'!$C$5:$C$1000, A544)&gt;0, "Completado", IF(M544&lt;&gt;"", M544, "Pendiente")))</f>
        <v/>
      </c>
      <c r="G544" s="11" t="str">
        <f>IF(F544="Completado", IFERROR(IF(INDEX('Base Exámenes'!$D$5:$D$1000, MATCH(A544&amp;"|"&amp;J544, 'Base Exámenes'!$I$5:$I$1000, 0))="", "", INDEX('Base Exámenes'!$D$5:$D$1000, MATCH(A544&amp;"|"&amp;J544, 'Base Exámenes'!$I$5:$I$1000, 0))), ""), "")</f>
        <v/>
      </c>
      <c r="H544" s="11" t="str">
        <f>IF(F544="Completado", IFERROR(IF(INDEX('Base Exámenes'!$E$5:$E$1000, MATCH(A544&amp;"|"&amp;J544, 'Base Exámenes'!$I$5:$I$1000, 0))="", "", INDEX('Base Exámenes'!$E$5:$E$1000, MATCH(A544&amp;"|"&amp;J544, 'Base Exámenes'!$I$5:$I$1000, 0))), ""), "")</f>
        <v/>
      </c>
      <c r="I544" s="10" t="str">
        <f>IF(F544="Completado", IFERROR(IF(INDEX('Base Exámenes'!$F$5:$F$1000, MATCH(A544&amp;"|"&amp;J544, 'Base Exámenes'!$I$5:$I$1000, 0))="", "", INDEX('Base Exámenes'!$F$5:$F$1000, MATCH(A544&amp;"|"&amp;J544, 'Base Exámenes'!$I$5:$I$1000, 0))), ""), "")</f>
        <v/>
      </c>
      <c r="J544" s="6" t="str">
        <f>IF(F544="Completado", IF(COUNTIFS('Base Exámenes'!$C$5:$C$1000, A544, 'Base Exámenes'!$G$5:$G$1000, "&lt;&gt;")=0, "", _xlfn.MAXIFS('Base Exámenes'!$G$5:$G$1000, 'Base Exámenes'!$C$5:$C$1000, A544)), "")</f>
        <v/>
      </c>
      <c r="K544" s="6" t="str">
        <f>IF(F544="Completado", IFERROR(IF(INDEX('Base Exámenes'!$H$5:$H$1000, MATCH(A544&amp;"|"&amp;J544, 'Base Exámenes'!$I$5:$I$1000, 0))="", "", INDEX('Base Exámenes'!$H$5:$H$1000, MATCH(A544&amp;"|"&amp;J544, 'Base Exámenes'!$I$5:$I$1000, 0))), ""), "")</f>
        <v/>
      </c>
      <c r="L544" s="22" t="str">
        <f>IF($A544="","",COUNTIF('Base Exámenes'!$C$5:$C$1000, A544))</f>
        <v/>
      </c>
      <c r="M544" s="6" t="str">
        <f>IF($A544="","",IF(COUNTIF('Base Exámenes'!$C$5:$C$1000, A544)&gt;0, "", TRIM('Base Oficial'!H544)))</f>
        <v/>
      </c>
    </row>
    <row r="545">
      <c r="A545" s="4" t="str">
        <f>IF('Base Oficial'!A545="","",TRIM('Base Oficial'!A545))</f>
        <v/>
      </c>
      <c r="B545" s="6" t="str">
        <f>IF($A545="","",TRIM('Base Oficial'!B545))</f>
        <v/>
      </c>
      <c r="C545" s="6" t="str">
        <f>IF($A545="","",TRIM('Base Oficial'!F545))</f>
        <v/>
      </c>
      <c r="D545" s="6" t="str">
        <f>IF($A545="","",TRIM('Base Oficial'!G545))</f>
        <v/>
      </c>
      <c r="E545" s="6" t="str">
        <f>IF($A545="","",TRIM('Base Oficial'!D545))</f>
        <v/>
      </c>
      <c r="F545" s="4" t="str">
        <f>IF($A545="","",IF(COUNTIF('Base Exámenes'!$C$5:$C$1000, A545)&gt;0, "Completado", IF(M545&lt;&gt;"", M545, "Pendiente")))</f>
        <v/>
      </c>
      <c r="G545" s="11" t="str">
        <f>IF(F545="Completado", IFERROR(IF(INDEX('Base Exámenes'!$D$5:$D$1000, MATCH(A545&amp;"|"&amp;J545, 'Base Exámenes'!$I$5:$I$1000, 0))="", "", INDEX('Base Exámenes'!$D$5:$D$1000, MATCH(A545&amp;"|"&amp;J545, 'Base Exámenes'!$I$5:$I$1000, 0))), ""), "")</f>
        <v/>
      </c>
      <c r="H545" s="11" t="str">
        <f>IF(F545="Completado", IFERROR(IF(INDEX('Base Exámenes'!$E$5:$E$1000, MATCH(A545&amp;"|"&amp;J545, 'Base Exámenes'!$I$5:$I$1000, 0))="", "", INDEX('Base Exámenes'!$E$5:$E$1000, MATCH(A545&amp;"|"&amp;J545, 'Base Exámenes'!$I$5:$I$1000, 0))), ""), "")</f>
        <v/>
      </c>
      <c r="I545" s="10" t="str">
        <f>IF(F545="Completado", IFERROR(IF(INDEX('Base Exámenes'!$F$5:$F$1000, MATCH(A545&amp;"|"&amp;J545, 'Base Exámenes'!$I$5:$I$1000, 0))="", "", INDEX('Base Exámenes'!$F$5:$F$1000, MATCH(A545&amp;"|"&amp;J545, 'Base Exámenes'!$I$5:$I$1000, 0))), ""), "")</f>
        <v/>
      </c>
      <c r="J545" s="6" t="str">
        <f>IF(F545="Completado", IF(COUNTIFS('Base Exámenes'!$C$5:$C$1000, A545, 'Base Exámenes'!$G$5:$G$1000, "&lt;&gt;")=0, "", _xlfn.MAXIFS('Base Exámenes'!$G$5:$G$1000, 'Base Exámenes'!$C$5:$C$1000, A545)), "")</f>
        <v/>
      </c>
      <c r="K545" s="6" t="str">
        <f>IF(F545="Completado", IFERROR(IF(INDEX('Base Exámenes'!$H$5:$H$1000, MATCH(A545&amp;"|"&amp;J545, 'Base Exámenes'!$I$5:$I$1000, 0))="", "", INDEX('Base Exámenes'!$H$5:$H$1000, MATCH(A545&amp;"|"&amp;J545, 'Base Exámenes'!$I$5:$I$1000, 0))), ""), "")</f>
        <v/>
      </c>
      <c r="L545" s="22" t="str">
        <f>IF($A545="","",COUNTIF('Base Exámenes'!$C$5:$C$1000, A545))</f>
        <v/>
      </c>
      <c r="M545" s="6" t="str">
        <f>IF($A545="","",IF(COUNTIF('Base Exámenes'!$C$5:$C$1000, A545)&gt;0, "", TRIM('Base Oficial'!H545)))</f>
        <v/>
      </c>
    </row>
    <row r="546">
      <c r="A546" s="4" t="str">
        <f>IF('Base Oficial'!A546="","",TRIM('Base Oficial'!A546))</f>
        <v/>
      </c>
      <c r="B546" s="6" t="str">
        <f>IF($A546="","",TRIM('Base Oficial'!B546))</f>
        <v/>
      </c>
      <c r="C546" s="6" t="str">
        <f>IF($A546="","",TRIM('Base Oficial'!F546))</f>
        <v/>
      </c>
      <c r="D546" s="6" t="str">
        <f>IF($A546="","",TRIM('Base Oficial'!G546))</f>
        <v/>
      </c>
      <c r="E546" s="6" t="str">
        <f>IF($A546="","",TRIM('Base Oficial'!D546))</f>
        <v/>
      </c>
      <c r="F546" s="4" t="str">
        <f>IF($A546="","",IF(COUNTIF('Base Exámenes'!$C$5:$C$1000, A546)&gt;0, "Completado", IF(M546&lt;&gt;"", M546, "Pendiente")))</f>
        <v/>
      </c>
      <c r="G546" s="11" t="str">
        <f>IF(F546="Completado", IFERROR(IF(INDEX('Base Exámenes'!$D$5:$D$1000, MATCH(A546&amp;"|"&amp;J546, 'Base Exámenes'!$I$5:$I$1000, 0))="", "", INDEX('Base Exámenes'!$D$5:$D$1000, MATCH(A546&amp;"|"&amp;J546, 'Base Exámenes'!$I$5:$I$1000, 0))), ""), "")</f>
        <v/>
      </c>
      <c r="H546" s="11" t="str">
        <f>IF(F546="Completado", IFERROR(IF(INDEX('Base Exámenes'!$E$5:$E$1000, MATCH(A546&amp;"|"&amp;J546, 'Base Exámenes'!$I$5:$I$1000, 0))="", "", INDEX('Base Exámenes'!$E$5:$E$1000, MATCH(A546&amp;"|"&amp;J546, 'Base Exámenes'!$I$5:$I$1000, 0))), ""), "")</f>
        <v/>
      </c>
      <c r="I546" s="10" t="str">
        <f>IF(F546="Completado", IFERROR(IF(INDEX('Base Exámenes'!$F$5:$F$1000, MATCH(A546&amp;"|"&amp;J546, 'Base Exámenes'!$I$5:$I$1000, 0))="", "", INDEX('Base Exámenes'!$F$5:$F$1000, MATCH(A546&amp;"|"&amp;J546, 'Base Exámenes'!$I$5:$I$1000, 0))), ""), "")</f>
        <v/>
      </c>
      <c r="J546" s="6" t="str">
        <f>IF(F546="Completado", IF(COUNTIFS('Base Exámenes'!$C$5:$C$1000, A546, 'Base Exámenes'!$G$5:$G$1000, "&lt;&gt;")=0, "", _xlfn.MAXIFS('Base Exámenes'!$G$5:$G$1000, 'Base Exámenes'!$C$5:$C$1000, A546)), "")</f>
        <v/>
      </c>
      <c r="K546" s="6" t="str">
        <f>IF(F546="Completado", IFERROR(IF(INDEX('Base Exámenes'!$H$5:$H$1000, MATCH(A546&amp;"|"&amp;J546, 'Base Exámenes'!$I$5:$I$1000, 0))="", "", INDEX('Base Exámenes'!$H$5:$H$1000, MATCH(A546&amp;"|"&amp;J546, 'Base Exámenes'!$I$5:$I$1000, 0))), ""), "")</f>
        <v/>
      </c>
      <c r="L546" s="22" t="str">
        <f>IF($A546="","",COUNTIF('Base Exámenes'!$C$5:$C$1000, A546))</f>
        <v/>
      </c>
      <c r="M546" s="6" t="str">
        <f>IF($A546="","",IF(COUNTIF('Base Exámenes'!$C$5:$C$1000, A546)&gt;0, "", TRIM('Base Oficial'!H546)))</f>
        <v/>
      </c>
    </row>
    <row r="547">
      <c r="A547" s="4" t="str">
        <f>IF('Base Oficial'!A547="","",TRIM('Base Oficial'!A547))</f>
        <v/>
      </c>
      <c r="B547" s="6" t="str">
        <f>IF($A547="","",TRIM('Base Oficial'!B547))</f>
        <v/>
      </c>
      <c r="C547" s="6" t="str">
        <f>IF($A547="","",TRIM('Base Oficial'!F547))</f>
        <v/>
      </c>
      <c r="D547" s="6" t="str">
        <f>IF($A547="","",TRIM('Base Oficial'!G547))</f>
        <v/>
      </c>
      <c r="E547" s="6" t="str">
        <f>IF($A547="","",TRIM('Base Oficial'!D547))</f>
        <v/>
      </c>
      <c r="F547" s="4" t="str">
        <f>IF($A547="","",IF(COUNTIF('Base Exámenes'!$C$5:$C$1000, A547)&gt;0, "Completado", IF(M547&lt;&gt;"", M547, "Pendiente")))</f>
        <v/>
      </c>
      <c r="G547" s="11" t="str">
        <f>IF(F547="Completado", IFERROR(IF(INDEX('Base Exámenes'!$D$5:$D$1000, MATCH(A547&amp;"|"&amp;J547, 'Base Exámenes'!$I$5:$I$1000, 0))="", "", INDEX('Base Exámenes'!$D$5:$D$1000, MATCH(A547&amp;"|"&amp;J547, 'Base Exámenes'!$I$5:$I$1000, 0))), ""), "")</f>
        <v/>
      </c>
      <c r="H547" s="11" t="str">
        <f>IF(F547="Completado", IFERROR(IF(INDEX('Base Exámenes'!$E$5:$E$1000, MATCH(A547&amp;"|"&amp;J547, 'Base Exámenes'!$I$5:$I$1000, 0))="", "", INDEX('Base Exámenes'!$E$5:$E$1000, MATCH(A547&amp;"|"&amp;J547, 'Base Exámenes'!$I$5:$I$1000, 0))), ""), "")</f>
        <v/>
      </c>
      <c r="I547" s="10" t="str">
        <f>IF(F547="Completado", IFERROR(IF(INDEX('Base Exámenes'!$F$5:$F$1000, MATCH(A547&amp;"|"&amp;J547, 'Base Exámenes'!$I$5:$I$1000, 0))="", "", INDEX('Base Exámenes'!$F$5:$F$1000, MATCH(A547&amp;"|"&amp;J547, 'Base Exámenes'!$I$5:$I$1000, 0))), ""), "")</f>
        <v/>
      </c>
      <c r="J547" s="6" t="str">
        <f>IF(F547="Completado", IF(COUNTIFS('Base Exámenes'!$C$5:$C$1000, A547, 'Base Exámenes'!$G$5:$G$1000, "&lt;&gt;")=0, "", _xlfn.MAXIFS('Base Exámenes'!$G$5:$G$1000, 'Base Exámenes'!$C$5:$C$1000, A547)), "")</f>
        <v/>
      </c>
      <c r="K547" s="6" t="str">
        <f>IF(F547="Completado", IFERROR(IF(INDEX('Base Exámenes'!$H$5:$H$1000, MATCH(A547&amp;"|"&amp;J547, 'Base Exámenes'!$I$5:$I$1000, 0))="", "", INDEX('Base Exámenes'!$H$5:$H$1000, MATCH(A547&amp;"|"&amp;J547, 'Base Exámenes'!$I$5:$I$1000, 0))), ""), "")</f>
        <v/>
      </c>
      <c r="L547" s="22" t="str">
        <f>IF($A547="","",COUNTIF('Base Exámenes'!$C$5:$C$1000, A547))</f>
        <v/>
      </c>
      <c r="M547" s="6" t="str">
        <f>IF($A547="","",IF(COUNTIF('Base Exámenes'!$C$5:$C$1000, A547)&gt;0, "", TRIM('Base Oficial'!H547)))</f>
        <v/>
      </c>
    </row>
    <row r="548">
      <c r="A548" s="4" t="str">
        <f>IF('Base Oficial'!A548="","",TRIM('Base Oficial'!A548))</f>
        <v/>
      </c>
      <c r="B548" s="6" t="str">
        <f>IF($A548="","",TRIM('Base Oficial'!B548))</f>
        <v/>
      </c>
      <c r="C548" s="6" t="str">
        <f>IF($A548="","",TRIM('Base Oficial'!F548))</f>
        <v/>
      </c>
      <c r="D548" s="6" t="str">
        <f>IF($A548="","",TRIM('Base Oficial'!G548))</f>
        <v/>
      </c>
      <c r="E548" s="6" t="str">
        <f>IF($A548="","",TRIM('Base Oficial'!D548))</f>
        <v/>
      </c>
      <c r="F548" s="4" t="str">
        <f>IF($A548="","",IF(COUNTIF('Base Exámenes'!$C$5:$C$1000, A548)&gt;0, "Completado", IF(M548&lt;&gt;"", M548, "Pendiente")))</f>
        <v/>
      </c>
      <c r="G548" s="11" t="str">
        <f>IF(F548="Completado", IFERROR(IF(INDEX('Base Exámenes'!$D$5:$D$1000, MATCH(A548&amp;"|"&amp;J548, 'Base Exámenes'!$I$5:$I$1000, 0))="", "", INDEX('Base Exámenes'!$D$5:$D$1000, MATCH(A548&amp;"|"&amp;J548, 'Base Exámenes'!$I$5:$I$1000, 0))), ""), "")</f>
        <v/>
      </c>
      <c r="H548" s="11" t="str">
        <f>IF(F548="Completado", IFERROR(IF(INDEX('Base Exámenes'!$E$5:$E$1000, MATCH(A548&amp;"|"&amp;J548, 'Base Exámenes'!$I$5:$I$1000, 0))="", "", INDEX('Base Exámenes'!$E$5:$E$1000, MATCH(A548&amp;"|"&amp;J548, 'Base Exámenes'!$I$5:$I$1000, 0))), ""), "")</f>
        <v/>
      </c>
      <c r="I548" s="10" t="str">
        <f>IF(F548="Completado", IFERROR(IF(INDEX('Base Exámenes'!$F$5:$F$1000, MATCH(A548&amp;"|"&amp;J548, 'Base Exámenes'!$I$5:$I$1000, 0))="", "", INDEX('Base Exámenes'!$F$5:$F$1000, MATCH(A548&amp;"|"&amp;J548, 'Base Exámenes'!$I$5:$I$1000, 0))), ""), "")</f>
        <v/>
      </c>
      <c r="J548" s="6" t="str">
        <f>IF(F548="Completado", IF(COUNTIFS('Base Exámenes'!$C$5:$C$1000, A548, 'Base Exámenes'!$G$5:$G$1000, "&lt;&gt;")=0, "", _xlfn.MAXIFS('Base Exámenes'!$G$5:$G$1000, 'Base Exámenes'!$C$5:$C$1000, A548)), "")</f>
        <v/>
      </c>
      <c r="K548" s="6" t="str">
        <f>IF(F548="Completado", IFERROR(IF(INDEX('Base Exámenes'!$H$5:$H$1000, MATCH(A548&amp;"|"&amp;J548, 'Base Exámenes'!$I$5:$I$1000, 0))="", "", INDEX('Base Exámenes'!$H$5:$H$1000, MATCH(A548&amp;"|"&amp;J548, 'Base Exámenes'!$I$5:$I$1000, 0))), ""), "")</f>
        <v/>
      </c>
      <c r="L548" s="22" t="str">
        <f>IF($A548="","",COUNTIF('Base Exámenes'!$C$5:$C$1000, A548))</f>
        <v/>
      </c>
      <c r="M548" s="6" t="str">
        <f>IF($A548="","",IF(COUNTIF('Base Exámenes'!$C$5:$C$1000, A548)&gt;0, "", TRIM('Base Oficial'!H548)))</f>
        <v/>
      </c>
    </row>
    <row r="549">
      <c r="A549" s="4" t="str">
        <f>IF('Base Oficial'!A549="","",TRIM('Base Oficial'!A549))</f>
        <v/>
      </c>
      <c r="B549" s="6" t="str">
        <f>IF($A549="","",TRIM('Base Oficial'!B549))</f>
        <v/>
      </c>
      <c r="C549" s="6" t="str">
        <f>IF($A549="","",TRIM('Base Oficial'!F549))</f>
        <v/>
      </c>
      <c r="D549" s="6" t="str">
        <f>IF($A549="","",TRIM('Base Oficial'!G549))</f>
        <v/>
      </c>
      <c r="E549" s="6" t="str">
        <f>IF($A549="","",TRIM('Base Oficial'!D549))</f>
        <v/>
      </c>
      <c r="F549" s="4" t="str">
        <f>IF($A549="","",IF(COUNTIF('Base Exámenes'!$C$5:$C$1000, A549)&gt;0, "Completado", IF(M549&lt;&gt;"", M549, "Pendiente")))</f>
        <v/>
      </c>
      <c r="G549" s="11" t="str">
        <f>IF(F549="Completado", IFERROR(IF(INDEX('Base Exámenes'!$D$5:$D$1000, MATCH(A549&amp;"|"&amp;J549, 'Base Exámenes'!$I$5:$I$1000, 0))="", "", INDEX('Base Exámenes'!$D$5:$D$1000, MATCH(A549&amp;"|"&amp;J549, 'Base Exámenes'!$I$5:$I$1000, 0))), ""), "")</f>
        <v/>
      </c>
      <c r="H549" s="11" t="str">
        <f>IF(F549="Completado", IFERROR(IF(INDEX('Base Exámenes'!$E$5:$E$1000, MATCH(A549&amp;"|"&amp;J549, 'Base Exámenes'!$I$5:$I$1000, 0))="", "", INDEX('Base Exámenes'!$E$5:$E$1000, MATCH(A549&amp;"|"&amp;J549, 'Base Exámenes'!$I$5:$I$1000, 0))), ""), "")</f>
        <v/>
      </c>
      <c r="I549" s="10" t="str">
        <f>IF(F549="Completado", IFERROR(IF(INDEX('Base Exámenes'!$F$5:$F$1000, MATCH(A549&amp;"|"&amp;J549, 'Base Exámenes'!$I$5:$I$1000, 0))="", "", INDEX('Base Exámenes'!$F$5:$F$1000, MATCH(A549&amp;"|"&amp;J549, 'Base Exámenes'!$I$5:$I$1000, 0))), ""), "")</f>
        <v/>
      </c>
      <c r="J549" s="6" t="str">
        <f>IF(F549="Completado", IF(COUNTIFS('Base Exámenes'!$C$5:$C$1000, A549, 'Base Exámenes'!$G$5:$G$1000, "&lt;&gt;")=0, "", _xlfn.MAXIFS('Base Exámenes'!$G$5:$G$1000, 'Base Exámenes'!$C$5:$C$1000, A549)), "")</f>
        <v/>
      </c>
      <c r="K549" s="6" t="str">
        <f>IF(F549="Completado", IFERROR(IF(INDEX('Base Exámenes'!$H$5:$H$1000, MATCH(A549&amp;"|"&amp;J549, 'Base Exámenes'!$I$5:$I$1000, 0))="", "", INDEX('Base Exámenes'!$H$5:$H$1000, MATCH(A549&amp;"|"&amp;J549, 'Base Exámenes'!$I$5:$I$1000, 0))), ""), "")</f>
        <v/>
      </c>
      <c r="L549" s="22" t="str">
        <f>IF($A549="","",COUNTIF('Base Exámenes'!$C$5:$C$1000, A549))</f>
        <v/>
      </c>
      <c r="M549" s="6" t="str">
        <f>IF($A549="","",IF(COUNTIF('Base Exámenes'!$C$5:$C$1000, A549)&gt;0, "", TRIM('Base Oficial'!H549)))</f>
        <v/>
      </c>
    </row>
    <row r="550">
      <c r="A550" s="4" t="str">
        <f>IF('Base Oficial'!A550="","",TRIM('Base Oficial'!A550))</f>
        <v/>
      </c>
      <c r="B550" s="6" t="str">
        <f>IF($A550="","",TRIM('Base Oficial'!B550))</f>
        <v/>
      </c>
      <c r="C550" s="6" t="str">
        <f>IF($A550="","",TRIM('Base Oficial'!F550))</f>
        <v/>
      </c>
      <c r="D550" s="6" t="str">
        <f>IF($A550="","",TRIM('Base Oficial'!G550))</f>
        <v/>
      </c>
      <c r="E550" s="6" t="str">
        <f>IF($A550="","",TRIM('Base Oficial'!D550))</f>
        <v/>
      </c>
      <c r="F550" s="4" t="str">
        <f>IF($A550="","",IF(COUNTIF('Base Exámenes'!$C$5:$C$1000, A550)&gt;0, "Completado", IF(M550&lt;&gt;"", M550, "Pendiente")))</f>
        <v/>
      </c>
      <c r="G550" s="11" t="str">
        <f>IF(F550="Completado", IFERROR(IF(INDEX('Base Exámenes'!$D$5:$D$1000, MATCH(A550&amp;"|"&amp;J550, 'Base Exámenes'!$I$5:$I$1000, 0))="", "", INDEX('Base Exámenes'!$D$5:$D$1000, MATCH(A550&amp;"|"&amp;J550, 'Base Exámenes'!$I$5:$I$1000, 0))), ""), "")</f>
        <v/>
      </c>
      <c r="H550" s="11" t="str">
        <f>IF(F550="Completado", IFERROR(IF(INDEX('Base Exámenes'!$E$5:$E$1000, MATCH(A550&amp;"|"&amp;J550, 'Base Exámenes'!$I$5:$I$1000, 0))="", "", INDEX('Base Exámenes'!$E$5:$E$1000, MATCH(A550&amp;"|"&amp;J550, 'Base Exámenes'!$I$5:$I$1000, 0))), ""), "")</f>
        <v/>
      </c>
      <c r="I550" s="10" t="str">
        <f>IF(F550="Completado", IFERROR(IF(INDEX('Base Exámenes'!$F$5:$F$1000, MATCH(A550&amp;"|"&amp;J550, 'Base Exámenes'!$I$5:$I$1000, 0))="", "", INDEX('Base Exámenes'!$F$5:$F$1000, MATCH(A550&amp;"|"&amp;J550, 'Base Exámenes'!$I$5:$I$1000, 0))), ""), "")</f>
        <v/>
      </c>
      <c r="J550" s="6" t="str">
        <f>IF(F550="Completado", IF(COUNTIFS('Base Exámenes'!$C$5:$C$1000, A550, 'Base Exámenes'!$G$5:$G$1000, "&lt;&gt;")=0, "", _xlfn.MAXIFS('Base Exámenes'!$G$5:$G$1000, 'Base Exámenes'!$C$5:$C$1000, A550)), "")</f>
        <v/>
      </c>
      <c r="K550" s="6" t="str">
        <f>IF(F550="Completado", IFERROR(IF(INDEX('Base Exámenes'!$H$5:$H$1000, MATCH(A550&amp;"|"&amp;J550, 'Base Exámenes'!$I$5:$I$1000, 0))="", "", INDEX('Base Exámenes'!$H$5:$H$1000, MATCH(A550&amp;"|"&amp;J550, 'Base Exámenes'!$I$5:$I$1000, 0))), ""), "")</f>
        <v/>
      </c>
      <c r="L550" s="22" t="str">
        <f>IF($A550="","",COUNTIF('Base Exámenes'!$C$5:$C$1000, A550))</f>
        <v/>
      </c>
      <c r="M550" s="6" t="str">
        <f>IF($A550="","",IF(COUNTIF('Base Exámenes'!$C$5:$C$1000, A550)&gt;0, "", TRIM('Base Oficial'!H550)))</f>
        <v/>
      </c>
    </row>
    <row r="551">
      <c r="A551" s="4" t="str">
        <f>IF('Base Oficial'!A551="","",TRIM('Base Oficial'!A551))</f>
        <v/>
      </c>
      <c r="B551" s="6" t="str">
        <f>IF($A551="","",TRIM('Base Oficial'!B551))</f>
        <v/>
      </c>
      <c r="C551" s="6" t="str">
        <f>IF($A551="","",TRIM('Base Oficial'!F551))</f>
        <v/>
      </c>
      <c r="D551" s="6" t="str">
        <f>IF($A551="","",TRIM('Base Oficial'!G551))</f>
        <v/>
      </c>
      <c r="E551" s="6" t="str">
        <f>IF($A551="","",TRIM('Base Oficial'!D551))</f>
        <v/>
      </c>
      <c r="F551" s="4" t="str">
        <f>IF($A551="","",IF(COUNTIF('Base Exámenes'!$C$5:$C$1000, A551)&gt;0, "Completado", IF(M551&lt;&gt;"", M551, "Pendiente")))</f>
        <v/>
      </c>
      <c r="G551" s="11" t="str">
        <f>IF(F551="Completado", IFERROR(IF(INDEX('Base Exámenes'!$D$5:$D$1000, MATCH(A551&amp;"|"&amp;J551, 'Base Exámenes'!$I$5:$I$1000, 0))="", "", INDEX('Base Exámenes'!$D$5:$D$1000, MATCH(A551&amp;"|"&amp;J551, 'Base Exámenes'!$I$5:$I$1000, 0))), ""), "")</f>
        <v/>
      </c>
      <c r="H551" s="11" t="str">
        <f>IF(F551="Completado", IFERROR(IF(INDEX('Base Exámenes'!$E$5:$E$1000, MATCH(A551&amp;"|"&amp;J551, 'Base Exámenes'!$I$5:$I$1000, 0))="", "", INDEX('Base Exámenes'!$E$5:$E$1000, MATCH(A551&amp;"|"&amp;J551, 'Base Exámenes'!$I$5:$I$1000, 0))), ""), "")</f>
        <v/>
      </c>
      <c r="I551" s="10" t="str">
        <f>IF(F551="Completado", IFERROR(IF(INDEX('Base Exámenes'!$F$5:$F$1000, MATCH(A551&amp;"|"&amp;J551, 'Base Exámenes'!$I$5:$I$1000, 0))="", "", INDEX('Base Exámenes'!$F$5:$F$1000, MATCH(A551&amp;"|"&amp;J551, 'Base Exámenes'!$I$5:$I$1000, 0))), ""), "")</f>
        <v/>
      </c>
      <c r="J551" s="6" t="str">
        <f>IF(F551="Completado", IF(COUNTIFS('Base Exámenes'!$C$5:$C$1000, A551, 'Base Exámenes'!$G$5:$G$1000, "&lt;&gt;")=0, "", _xlfn.MAXIFS('Base Exámenes'!$G$5:$G$1000, 'Base Exámenes'!$C$5:$C$1000, A551)), "")</f>
        <v/>
      </c>
      <c r="K551" s="6" t="str">
        <f>IF(F551="Completado", IFERROR(IF(INDEX('Base Exámenes'!$H$5:$H$1000, MATCH(A551&amp;"|"&amp;J551, 'Base Exámenes'!$I$5:$I$1000, 0))="", "", INDEX('Base Exámenes'!$H$5:$H$1000, MATCH(A551&amp;"|"&amp;J551, 'Base Exámenes'!$I$5:$I$1000, 0))), ""), "")</f>
        <v/>
      </c>
      <c r="L551" s="22" t="str">
        <f>IF($A551="","",COUNTIF('Base Exámenes'!$C$5:$C$1000, A551))</f>
        <v/>
      </c>
      <c r="M551" s="6" t="str">
        <f>IF($A551="","",IF(COUNTIF('Base Exámenes'!$C$5:$C$1000, A551)&gt;0, "", TRIM('Base Oficial'!H551)))</f>
        <v/>
      </c>
    </row>
    <row r="552">
      <c r="A552" s="4" t="str">
        <f>IF('Base Oficial'!A552="","",TRIM('Base Oficial'!A552))</f>
        <v/>
      </c>
      <c r="B552" s="6" t="str">
        <f>IF($A552="","",TRIM('Base Oficial'!B552))</f>
        <v/>
      </c>
      <c r="C552" s="6" t="str">
        <f>IF($A552="","",TRIM('Base Oficial'!F552))</f>
        <v/>
      </c>
      <c r="D552" s="6" t="str">
        <f>IF($A552="","",TRIM('Base Oficial'!G552))</f>
        <v/>
      </c>
      <c r="E552" s="6" t="str">
        <f>IF($A552="","",TRIM('Base Oficial'!D552))</f>
        <v/>
      </c>
      <c r="F552" s="4" t="str">
        <f>IF($A552="","",IF(COUNTIF('Base Exámenes'!$C$5:$C$1000, A552)&gt;0, "Completado", IF(M552&lt;&gt;"", M552, "Pendiente")))</f>
        <v/>
      </c>
      <c r="G552" s="11" t="str">
        <f>IF(F552="Completado", IFERROR(IF(INDEX('Base Exámenes'!$D$5:$D$1000, MATCH(A552&amp;"|"&amp;J552, 'Base Exámenes'!$I$5:$I$1000, 0))="", "", INDEX('Base Exámenes'!$D$5:$D$1000, MATCH(A552&amp;"|"&amp;J552, 'Base Exámenes'!$I$5:$I$1000, 0))), ""), "")</f>
        <v/>
      </c>
      <c r="H552" s="11" t="str">
        <f>IF(F552="Completado", IFERROR(IF(INDEX('Base Exámenes'!$E$5:$E$1000, MATCH(A552&amp;"|"&amp;J552, 'Base Exámenes'!$I$5:$I$1000, 0))="", "", INDEX('Base Exámenes'!$E$5:$E$1000, MATCH(A552&amp;"|"&amp;J552, 'Base Exámenes'!$I$5:$I$1000, 0))), ""), "")</f>
        <v/>
      </c>
      <c r="I552" s="10" t="str">
        <f>IF(F552="Completado", IFERROR(IF(INDEX('Base Exámenes'!$F$5:$F$1000, MATCH(A552&amp;"|"&amp;J552, 'Base Exámenes'!$I$5:$I$1000, 0))="", "", INDEX('Base Exámenes'!$F$5:$F$1000, MATCH(A552&amp;"|"&amp;J552, 'Base Exámenes'!$I$5:$I$1000, 0))), ""), "")</f>
        <v/>
      </c>
      <c r="J552" s="6" t="str">
        <f>IF(F552="Completado", IF(COUNTIFS('Base Exámenes'!$C$5:$C$1000, A552, 'Base Exámenes'!$G$5:$G$1000, "&lt;&gt;")=0, "", _xlfn.MAXIFS('Base Exámenes'!$G$5:$G$1000, 'Base Exámenes'!$C$5:$C$1000, A552)), "")</f>
        <v/>
      </c>
      <c r="K552" s="6" t="str">
        <f>IF(F552="Completado", IFERROR(IF(INDEX('Base Exámenes'!$H$5:$H$1000, MATCH(A552&amp;"|"&amp;J552, 'Base Exámenes'!$I$5:$I$1000, 0))="", "", INDEX('Base Exámenes'!$H$5:$H$1000, MATCH(A552&amp;"|"&amp;J552, 'Base Exámenes'!$I$5:$I$1000, 0))), ""), "")</f>
        <v/>
      </c>
      <c r="L552" s="22" t="str">
        <f>IF($A552="","",COUNTIF('Base Exámenes'!$C$5:$C$1000, A552))</f>
        <v/>
      </c>
      <c r="M552" s="6" t="str">
        <f>IF($A552="","",IF(COUNTIF('Base Exámenes'!$C$5:$C$1000, A552)&gt;0, "", TRIM('Base Oficial'!H552)))</f>
        <v/>
      </c>
    </row>
    <row r="553">
      <c r="A553" s="4" t="str">
        <f>IF('Base Oficial'!A553="","",TRIM('Base Oficial'!A553))</f>
        <v/>
      </c>
      <c r="B553" s="6" t="str">
        <f>IF($A553="","",TRIM('Base Oficial'!B553))</f>
        <v/>
      </c>
      <c r="C553" s="6" t="str">
        <f>IF($A553="","",TRIM('Base Oficial'!F553))</f>
        <v/>
      </c>
      <c r="D553" s="6" t="str">
        <f>IF($A553="","",TRIM('Base Oficial'!G553))</f>
        <v/>
      </c>
      <c r="E553" s="6" t="str">
        <f>IF($A553="","",TRIM('Base Oficial'!D553))</f>
        <v/>
      </c>
      <c r="F553" s="4" t="str">
        <f>IF($A553="","",IF(COUNTIF('Base Exámenes'!$C$5:$C$1000, A553)&gt;0, "Completado", IF(M553&lt;&gt;"", M553, "Pendiente")))</f>
        <v/>
      </c>
      <c r="G553" s="11" t="str">
        <f>IF(F553="Completado", IFERROR(IF(INDEX('Base Exámenes'!$D$5:$D$1000, MATCH(A553&amp;"|"&amp;J553, 'Base Exámenes'!$I$5:$I$1000, 0))="", "", INDEX('Base Exámenes'!$D$5:$D$1000, MATCH(A553&amp;"|"&amp;J553, 'Base Exámenes'!$I$5:$I$1000, 0))), ""), "")</f>
        <v/>
      </c>
      <c r="H553" s="11" t="str">
        <f>IF(F553="Completado", IFERROR(IF(INDEX('Base Exámenes'!$E$5:$E$1000, MATCH(A553&amp;"|"&amp;J553, 'Base Exámenes'!$I$5:$I$1000, 0))="", "", INDEX('Base Exámenes'!$E$5:$E$1000, MATCH(A553&amp;"|"&amp;J553, 'Base Exámenes'!$I$5:$I$1000, 0))), ""), "")</f>
        <v/>
      </c>
      <c r="I553" s="10" t="str">
        <f>IF(F553="Completado", IFERROR(IF(INDEX('Base Exámenes'!$F$5:$F$1000, MATCH(A553&amp;"|"&amp;J553, 'Base Exámenes'!$I$5:$I$1000, 0))="", "", INDEX('Base Exámenes'!$F$5:$F$1000, MATCH(A553&amp;"|"&amp;J553, 'Base Exámenes'!$I$5:$I$1000, 0))), ""), "")</f>
        <v/>
      </c>
      <c r="J553" s="6" t="str">
        <f>IF(F553="Completado", IF(COUNTIFS('Base Exámenes'!$C$5:$C$1000, A553, 'Base Exámenes'!$G$5:$G$1000, "&lt;&gt;")=0, "", _xlfn.MAXIFS('Base Exámenes'!$G$5:$G$1000, 'Base Exámenes'!$C$5:$C$1000, A553)), "")</f>
        <v/>
      </c>
      <c r="K553" s="6" t="str">
        <f>IF(F553="Completado", IFERROR(IF(INDEX('Base Exámenes'!$H$5:$H$1000, MATCH(A553&amp;"|"&amp;J553, 'Base Exámenes'!$I$5:$I$1000, 0))="", "", INDEX('Base Exámenes'!$H$5:$H$1000, MATCH(A553&amp;"|"&amp;J553, 'Base Exámenes'!$I$5:$I$1000, 0))), ""), "")</f>
        <v/>
      </c>
      <c r="L553" s="22" t="str">
        <f>IF($A553="","",COUNTIF('Base Exámenes'!$C$5:$C$1000, A553))</f>
        <v/>
      </c>
      <c r="M553" s="6" t="str">
        <f>IF($A553="","",IF(COUNTIF('Base Exámenes'!$C$5:$C$1000, A553)&gt;0, "", TRIM('Base Oficial'!H553)))</f>
        <v/>
      </c>
    </row>
    <row r="554">
      <c r="A554" s="4" t="str">
        <f>IF('Base Oficial'!A554="","",TRIM('Base Oficial'!A554))</f>
        <v/>
      </c>
      <c r="B554" s="6" t="str">
        <f>IF($A554="","",TRIM('Base Oficial'!B554))</f>
        <v/>
      </c>
      <c r="C554" s="6" t="str">
        <f>IF($A554="","",TRIM('Base Oficial'!F554))</f>
        <v/>
      </c>
      <c r="D554" s="6" t="str">
        <f>IF($A554="","",TRIM('Base Oficial'!G554))</f>
        <v/>
      </c>
      <c r="E554" s="6" t="str">
        <f>IF($A554="","",TRIM('Base Oficial'!D554))</f>
        <v/>
      </c>
      <c r="F554" s="4" t="str">
        <f>IF($A554="","",IF(COUNTIF('Base Exámenes'!$C$5:$C$1000, A554)&gt;0, "Completado", IF(M554&lt;&gt;"", M554, "Pendiente")))</f>
        <v/>
      </c>
      <c r="G554" s="11" t="str">
        <f>IF(F554="Completado", IFERROR(IF(INDEX('Base Exámenes'!$D$5:$D$1000, MATCH(A554&amp;"|"&amp;J554, 'Base Exámenes'!$I$5:$I$1000, 0))="", "", INDEX('Base Exámenes'!$D$5:$D$1000, MATCH(A554&amp;"|"&amp;J554, 'Base Exámenes'!$I$5:$I$1000, 0))), ""), "")</f>
        <v/>
      </c>
      <c r="H554" s="11" t="str">
        <f>IF(F554="Completado", IFERROR(IF(INDEX('Base Exámenes'!$E$5:$E$1000, MATCH(A554&amp;"|"&amp;J554, 'Base Exámenes'!$I$5:$I$1000, 0))="", "", INDEX('Base Exámenes'!$E$5:$E$1000, MATCH(A554&amp;"|"&amp;J554, 'Base Exámenes'!$I$5:$I$1000, 0))), ""), "")</f>
        <v/>
      </c>
      <c r="I554" s="10" t="str">
        <f>IF(F554="Completado", IFERROR(IF(INDEX('Base Exámenes'!$F$5:$F$1000, MATCH(A554&amp;"|"&amp;J554, 'Base Exámenes'!$I$5:$I$1000, 0))="", "", INDEX('Base Exámenes'!$F$5:$F$1000, MATCH(A554&amp;"|"&amp;J554, 'Base Exámenes'!$I$5:$I$1000, 0))), ""), "")</f>
        <v/>
      </c>
      <c r="J554" s="6" t="str">
        <f>IF(F554="Completado", IF(COUNTIFS('Base Exámenes'!$C$5:$C$1000, A554, 'Base Exámenes'!$G$5:$G$1000, "&lt;&gt;")=0, "", _xlfn.MAXIFS('Base Exámenes'!$G$5:$G$1000, 'Base Exámenes'!$C$5:$C$1000, A554)), "")</f>
        <v/>
      </c>
      <c r="K554" s="6" t="str">
        <f>IF(F554="Completado", IFERROR(IF(INDEX('Base Exámenes'!$H$5:$H$1000, MATCH(A554&amp;"|"&amp;J554, 'Base Exámenes'!$I$5:$I$1000, 0))="", "", INDEX('Base Exámenes'!$H$5:$H$1000, MATCH(A554&amp;"|"&amp;J554, 'Base Exámenes'!$I$5:$I$1000, 0))), ""), "")</f>
        <v/>
      </c>
      <c r="L554" s="22" t="str">
        <f>IF($A554="","",COUNTIF('Base Exámenes'!$C$5:$C$1000, A554))</f>
        <v/>
      </c>
      <c r="M554" s="6" t="str">
        <f>IF($A554="","",IF(COUNTIF('Base Exámenes'!$C$5:$C$1000, A554)&gt;0, "", TRIM('Base Oficial'!H554)))</f>
        <v/>
      </c>
    </row>
    <row r="555">
      <c r="A555" s="4" t="str">
        <f>IF('Base Oficial'!A555="","",TRIM('Base Oficial'!A555))</f>
        <v/>
      </c>
      <c r="B555" s="6" t="str">
        <f>IF($A555="","",TRIM('Base Oficial'!B555))</f>
        <v/>
      </c>
      <c r="C555" s="6" t="str">
        <f>IF($A555="","",TRIM('Base Oficial'!F555))</f>
        <v/>
      </c>
      <c r="D555" s="6" t="str">
        <f>IF($A555="","",TRIM('Base Oficial'!G555))</f>
        <v/>
      </c>
      <c r="E555" s="6" t="str">
        <f>IF($A555="","",TRIM('Base Oficial'!D555))</f>
        <v/>
      </c>
      <c r="F555" s="4" t="str">
        <f>IF($A555="","",IF(COUNTIF('Base Exámenes'!$C$5:$C$1000, A555)&gt;0, "Completado", IF(M555&lt;&gt;"", M555, "Pendiente")))</f>
        <v/>
      </c>
      <c r="G555" s="11" t="str">
        <f>IF(F555="Completado", IFERROR(IF(INDEX('Base Exámenes'!$D$5:$D$1000, MATCH(A555&amp;"|"&amp;J555, 'Base Exámenes'!$I$5:$I$1000, 0))="", "", INDEX('Base Exámenes'!$D$5:$D$1000, MATCH(A555&amp;"|"&amp;J555, 'Base Exámenes'!$I$5:$I$1000, 0))), ""), "")</f>
        <v/>
      </c>
      <c r="H555" s="11" t="str">
        <f>IF(F555="Completado", IFERROR(IF(INDEX('Base Exámenes'!$E$5:$E$1000, MATCH(A555&amp;"|"&amp;J555, 'Base Exámenes'!$I$5:$I$1000, 0))="", "", INDEX('Base Exámenes'!$E$5:$E$1000, MATCH(A555&amp;"|"&amp;J555, 'Base Exámenes'!$I$5:$I$1000, 0))), ""), "")</f>
        <v/>
      </c>
      <c r="I555" s="10" t="str">
        <f>IF(F555="Completado", IFERROR(IF(INDEX('Base Exámenes'!$F$5:$F$1000, MATCH(A555&amp;"|"&amp;J555, 'Base Exámenes'!$I$5:$I$1000, 0))="", "", INDEX('Base Exámenes'!$F$5:$F$1000, MATCH(A555&amp;"|"&amp;J555, 'Base Exámenes'!$I$5:$I$1000, 0))), ""), "")</f>
        <v/>
      </c>
      <c r="J555" s="6" t="str">
        <f>IF(F555="Completado", IF(COUNTIFS('Base Exámenes'!$C$5:$C$1000, A555, 'Base Exámenes'!$G$5:$G$1000, "&lt;&gt;")=0, "", _xlfn.MAXIFS('Base Exámenes'!$G$5:$G$1000, 'Base Exámenes'!$C$5:$C$1000, A555)), "")</f>
        <v/>
      </c>
      <c r="K555" s="6" t="str">
        <f>IF(F555="Completado", IFERROR(IF(INDEX('Base Exámenes'!$H$5:$H$1000, MATCH(A555&amp;"|"&amp;J555, 'Base Exámenes'!$I$5:$I$1000, 0))="", "", INDEX('Base Exámenes'!$H$5:$H$1000, MATCH(A555&amp;"|"&amp;J555, 'Base Exámenes'!$I$5:$I$1000, 0))), ""), "")</f>
        <v/>
      </c>
      <c r="L555" s="22" t="str">
        <f>IF($A555="","",COUNTIF('Base Exámenes'!$C$5:$C$1000, A555))</f>
        <v/>
      </c>
      <c r="M555" s="6" t="str">
        <f>IF($A555="","",IF(COUNTIF('Base Exámenes'!$C$5:$C$1000, A555)&gt;0, "", TRIM('Base Oficial'!H555)))</f>
        <v/>
      </c>
    </row>
    <row r="556">
      <c r="A556" s="4" t="str">
        <f>IF('Base Oficial'!A556="","",TRIM('Base Oficial'!A556))</f>
        <v/>
      </c>
      <c r="B556" s="6" t="str">
        <f>IF($A556="","",TRIM('Base Oficial'!B556))</f>
        <v/>
      </c>
      <c r="C556" s="6" t="str">
        <f>IF($A556="","",TRIM('Base Oficial'!F556))</f>
        <v/>
      </c>
      <c r="D556" s="6" t="str">
        <f>IF($A556="","",TRIM('Base Oficial'!G556))</f>
        <v/>
      </c>
      <c r="E556" s="6" t="str">
        <f>IF($A556="","",TRIM('Base Oficial'!D556))</f>
        <v/>
      </c>
      <c r="F556" s="4" t="str">
        <f>IF($A556="","",IF(COUNTIF('Base Exámenes'!$C$5:$C$1000, A556)&gt;0, "Completado", IF(M556&lt;&gt;"", M556, "Pendiente")))</f>
        <v/>
      </c>
      <c r="G556" s="11" t="str">
        <f>IF(F556="Completado", IFERROR(IF(INDEX('Base Exámenes'!$D$5:$D$1000, MATCH(A556&amp;"|"&amp;J556, 'Base Exámenes'!$I$5:$I$1000, 0))="", "", INDEX('Base Exámenes'!$D$5:$D$1000, MATCH(A556&amp;"|"&amp;J556, 'Base Exámenes'!$I$5:$I$1000, 0))), ""), "")</f>
        <v/>
      </c>
      <c r="H556" s="11" t="str">
        <f>IF(F556="Completado", IFERROR(IF(INDEX('Base Exámenes'!$E$5:$E$1000, MATCH(A556&amp;"|"&amp;J556, 'Base Exámenes'!$I$5:$I$1000, 0))="", "", INDEX('Base Exámenes'!$E$5:$E$1000, MATCH(A556&amp;"|"&amp;J556, 'Base Exámenes'!$I$5:$I$1000, 0))), ""), "")</f>
        <v/>
      </c>
      <c r="I556" s="10" t="str">
        <f>IF(F556="Completado", IFERROR(IF(INDEX('Base Exámenes'!$F$5:$F$1000, MATCH(A556&amp;"|"&amp;J556, 'Base Exámenes'!$I$5:$I$1000, 0))="", "", INDEX('Base Exámenes'!$F$5:$F$1000, MATCH(A556&amp;"|"&amp;J556, 'Base Exámenes'!$I$5:$I$1000, 0))), ""), "")</f>
        <v/>
      </c>
      <c r="J556" s="6" t="str">
        <f>IF(F556="Completado", IF(COUNTIFS('Base Exámenes'!$C$5:$C$1000, A556, 'Base Exámenes'!$G$5:$G$1000, "&lt;&gt;")=0, "", _xlfn.MAXIFS('Base Exámenes'!$G$5:$G$1000, 'Base Exámenes'!$C$5:$C$1000, A556)), "")</f>
        <v/>
      </c>
      <c r="K556" s="6" t="str">
        <f>IF(F556="Completado", IFERROR(IF(INDEX('Base Exámenes'!$H$5:$H$1000, MATCH(A556&amp;"|"&amp;J556, 'Base Exámenes'!$I$5:$I$1000, 0))="", "", INDEX('Base Exámenes'!$H$5:$H$1000, MATCH(A556&amp;"|"&amp;J556, 'Base Exámenes'!$I$5:$I$1000, 0))), ""), "")</f>
        <v/>
      </c>
      <c r="L556" s="22" t="str">
        <f>IF($A556="","",COUNTIF('Base Exámenes'!$C$5:$C$1000, A556))</f>
        <v/>
      </c>
      <c r="M556" s="6" t="str">
        <f>IF($A556="","",IF(COUNTIF('Base Exámenes'!$C$5:$C$1000, A556)&gt;0, "", TRIM('Base Oficial'!H556)))</f>
        <v/>
      </c>
    </row>
    <row r="557">
      <c r="A557" s="4" t="str">
        <f>IF('Base Oficial'!A557="","",TRIM('Base Oficial'!A557))</f>
        <v/>
      </c>
      <c r="B557" s="6" t="str">
        <f>IF($A557="","",TRIM('Base Oficial'!B557))</f>
        <v/>
      </c>
      <c r="C557" s="6" t="str">
        <f>IF($A557="","",TRIM('Base Oficial'!F557))</f>
        <v/>
      </c>
      <c r="D557" s="6" t="str">
        <f>IF($A557="","",TRIM('Base Oficial'!G557))</f>
        <v/>
      </c>
      <c r="E557" s="6" t="str">
        <f>IF($A557="","",TRIM('Base Oficial'!D557))</f>
        <v/>
      </c>
      <c r="F557" s="4" t="str">
        <f>IF($A557="","",IF(COUNTIF('Base Exámenes'!$C$5:$C$1000, A557)&gt;0, "Completado", IF(M557&lt;&gt;"", M557, "Pendiente")))</f>
        <v/>
      </c>
      <c r="G557" s="11" t="str">
        <f>IF(F557="Completado", IFERROR(IF(INDEX('Base Exámenes'!$D$5:$D$1000, MATCH(A557&amp;"|"&amp;J557, 'Base Exámenes'!$I$5:$I$1000, 0))="", "", INDEX('Base Exámenes'!$D$5:$D$1000, MATCH(A557&amp;"|"&amp;J557, 'Base Exámenes'!$I$5:$I$1000, 0))), ""), "")</f>
        <v/>
      </c>
      <c r="H557" s="11" t="str">
        <f>IF(F557="Completado", IFERROR(IF(INDEX('Base Exámenes'!$E$5:$E$1000, MATCH(A557&amp;"|"&amp;J557, 'Base Exámenes'!$I$5:$I$1000, 0))="", "", INDEX('Base Exámenes'!$E$5:$E$1000, MATCH(A557&amp;"|"&amp;J557, 'Base Exámenes'!$I$5:$I$1000, 0))), ""), "")</f>
        <v/>
      </c>
      <c r="I557" s="10" t="str">
        <f>IF(F557="Completado", IFERROR(IF(INDEX('Base Exámenes'!$F$5:$F$1000, MATCH(A557&amp;"|"&amp;J557, 'Base Exámenes'!$I$5:$I$1000, 0))="", "", INDEX('Base Exámenes'!$F$5:$F$1000, MATCH(A557&amp;"|"&amp;J557, 'Base Exámenes'!$I$5:$I$1000, 0))), ""), "")</f>
        <v/>
      </c>
      <c r="J557" s="6" t="str">
        <f>IF(F557="Completado", IF(COUNTIFS('Base Exámenes'!$C$5:$C$1000, A557, 'Base Exámenes'!$G$5:$G$1000, "&lt;&gt;")=0, "", _xlfn.MAXIFS('Base Exámenes'!$G$5:$G$1000, 'Base Exámenes'!$C$5:$C$1000, A557)), "")</f>
        <v/>
      </c>
      <c r="K557" s="6" t="str">
        <f>IF(F557="Completado", IFERROR(IF(INDEX('Base Exámenes'!$H$5:$H$1000, MATCH(A557&amp;"|"&amp;J557, 'Base Exámenes'!$I$5:$I$1000, 0))="", "", INDEX('Base Exámenes'!$H$5:$H$1000, MATCH(A557&amp;"|"&amp;J557, 'Base Exámenes'!$I$5:$I$1000, 0))), ""), "")</f>
        <v/>
      </c>
      <c r="L557" s="22" t="str">
        <f>IF($A557="","",COUNTIF('Base Exámenes'!$C$5:$C$1000, A557))</f>
        <v/>
      </c>
      <c r="M557" s="6" t="str">
        <f>IF($A557="","",IF(COUNTIF('Base Exámenes'!$C$5:$C$1000, A557)&gt;0, "", TRIM('Base Oficial'!H557)))</f>
        <v/>
      </c>
    </row>
    <row r="558">
      <c r="A558" s="4" t="str">
        <f>IF('Base Oficial'!A558="","",TRIM('Base Oficial'!A558))</f>
        <v/>
      </c>
      <c r="B558" s="6" t="str">
        <f>IF($A558="","",TRIM('Base Oficial'!B558))</f>
        <v/>
      </c>
      <c r="C558" s="6" t="str">
        <f>IF($A558="","",TRIM('Base Oficial'!F558))</f>
        <v/>
      </c>
      <c r="D558" s="6" t="str">
        <f>IF($A558="","",TRIM('Base Oficial'!G558))</f>
        <v/>
      </c>
      <c r="E558" s="6" t="str">
        <f>IF($A558="","",TRIM('Base Oficial'!D558))</f>
        <v/>
      </c>
      <c r="F558" s="4" t="str">
        <f>IF($A558="","",IF(COUNTIF('Base Exámenes'!$C$5:$C$1000, A558)&gt;0, "Completado", IF(M558&lt;&gt;"", M558, "Pendiente")))</f>
        <v/>
      </c>
      <c r="G558" s="11" t="str">
        <f>IF(F558="Completado", IFERROR(IF(INDEX('Base Exámenes'!$D$5:$D$1000, MATCH(A558&amp;"|"&amp;J558, 'Base Exámenes'!$I$5:$I$1000, 0))="", "", INDEX('Base Exámenes'!$D$5:$D$1000, MATCH(A558&amp;"|"&amp;J558, 'Base Exámenes'!$I$5:$I$1000, 0))), ""), "")</f>
        <v/>
      </c>
      <c r="H558" s="11" t="str">
        <f>IF(F558="Completado", IFERROR(IF(INDEX('Base Exámenes'!$E$5:$E$1000, MATCH(A558&amp;"|"&amp;J558, 'Base Exámenes'!$I$5:$I$1000, 0))="", "", INDEX('Base Exámenes'!$E$5:$E$1000, MATCH(A558&amp;"|"&amp;J558, 'Base Exámenes'!$I$5:$I$1000, 0))), ""), "")</f>
        <v/>
      </c>
      <c r="I558" s="10" t="str">
        <f>IF(F558="Completado", IFERROR(IF(INDEX('Base Exámenes'!$F$5:$F$1000, MATCH(A558&amp;"|"&amp;J558, 'Base Exámenes'!$I$5:$I$1000, 0))="", "", INDEX('Base Exámenes'!$F$5:$F$1000, MATCH(A558&amp;"|"&amp;J558, 'Base Exámenes'!$I$5:$I$1000, 0))), ""), "")</f>
        <v/>
      </c>
      <c r="J558" s="6" t="str">
        <f>IF(F558="Completado", IF(COUNTIFS('Base Exámenes'!$C$5:$C$1000, A558, 'Base Exámenes'!$G$5:$G$1000, "&lt;&gt;")=0, "", _xlfn.MAXIFS('Base Exámenes'!$G$5:$G$1000, 'Base Exámenes'!$C$5:$C$1000, A558)), "")</f>
        <v/>
      </c>
      <c r="K558" s="6" t="str">
        <f>IF(F558="Completado", IFERROR(IF(INDEX('Base Exámenes'!$H$5:$H$1000, MATCH(A558&amp;"|"&amp;J558, 'Base Exámenes'!$I$5:$I$1000, 0))="", "", INDEX('Base Exámenes'!$H$5:$H$1000, MATCH(A558&amp;"|"&amp;J558, 'Base Exámenes'!$I$5:$I$1000, 0))), ""), "")</f>
        <v/>
      </c>
      <c r="L558" s="22" t="str">
        <f>IF($A558="","",COUNTIF('Base Exámenes'!$C$5:$C$1000, A558))</f>
        <v/>
      </c>
      <c r="M558" s="6" t="str">
        <f>IF($A558="","",IF(COUNTIF('Base Exámenes'!$C$5:$C$1000, A558)&gt;0, "", TRIM('Base Oficial'!H558)))</f>
        <v/>
      </c>
    </row>
    <row r="559">
      <c r="A559" s="4" t="str">
        <f>IF('Base Oficial'!A559="","",TRIM('Base Oficial'!A559))</f>
        <v/>
      </c>
      <c r="B559" s="6" t="str">
        <f>IF($A559="","",TRIM('Base Oficial'!B559))</f>
        <v/>
      </c>
      <c r="C559" s="6" t="str">
        <f>IF($A559="","",TRIM('Base Oficial'!F559))</f>
        <v/>
      </c>
      <c r="D559" s="6" t="str">
        <f>IF($A559="","",TRIM('Base Oficial'!G559))</f>
        <v/>
      </c>
      <c r="E559" s="6" t="str">
        <f>IF($A559="","",TRIM('Base Oficial'!D559))</f>
        <v/>
      </c>
      <c r="F559" s="4" t="str">
        <f>IF($A559="","",IF(COUNTIF('Base Exámenes'!$C$5:$C$1000, A559)&gt;0, "Completado", IF(M559&lt;&gt;"", M559, "Pendiente")))</f>
        <v/>
      </c>
      <c r="G559" s="11" t="str">
        <f>IF(F559="Completado", IFERROR(IF(INDEX('Base Exámenes'!$D$5:$D$1000, MATCH(A559&amp;"|"&amp;J559, 'Base Exámenes'!$I$5:$I$1000, 0))="", "", INDEX('Base Exámenes'!$D$5:$D$1000, MATCH(A559&amp;"|"&amp;J559, 'Base Exámenes'!$I$5:$I$1000, 0))), ""), "")</f>
        <v/>
      </c>
      <c r="H559" s="11" t="str">
        <f>IF(F559="Completado", IFERROR(IF(INDEX('Base Exámenes'!$E$5:$E$1000, MATCH(A559&amp;"|"&amp;J559, 'Base Exámenes'!$I$5:$I$1000, 0))="", "", INDEX('Base Exámenes'!$E$5:$E$1000, MATCH(A559&amp;"|"&amp;J559, 'Base Exámenes'!$I$5:$I$1000, 0))), ""), "")</f>
        <v/>
      </c>
      <c r="I559" s="10" t="str">
        <f>IF(F559="Completado", IFERROR(IF(INDEX('Base Exámenes'!$F$5:$F$1000, MATCH(A559&amp;"|"&amp;J559, 'Base Exámenes'!$I$5:$I$1000, 0))="", "", INDEX('Base Exámenes'!$F$5:$F$1000, MATCH(A559&amp;"|"&amp;J559, 'Base Exámenes'!$I$5:$I$1000, 0))), ""), "")</f>
        <v/>
      </c>
      <c r="J559" s="6" t="str">
        <f>IF(F559="Completado", IF(COUNTIFS('Base Exámenes'!$C$5:$C$1000, A559, 'Base Exámenes'!$G$5:$G$1000, "&lt;&gt;")=0, "", _xlfn.MAXIFS('Base Exámenes'!$G$5:$G$1000, 'Base Exámenes'!$C$5:$C$1000, A559)), "")</f>
        <v/>
      </c>
      <c r="K559" s="6" t="str">
        <f>IF(F559="Completado", IFERROR(IF(INDEX('Base Exámenes'!$H$5:$H$1000, MATCH(A559&amp;"|"&amp;J559, 'Base Exámenes'!$I$5:$I$1000, 0))="", "", INDEX('Base Exámenes'!$H$5:$H$1000, MATCH(A559&amp;"|"&amp;J559, 'Base Exámenes'!$I$5:$I$1000, 0))), ""), "")</f>
        <v/>
      </c>
      <c r="L559" s="22" t="str">
        <f>IF($A559="","",COUNTIF('Base Exámenes'!$C$5:$C$1000, A559))</f>
        <v/>
      </c>
      <c r="M559" s="6" t="str">
        <f>IF($A559="","",IF(COUNTIF('Base Exámenes'!$C$5:$C$1000, A559)&gt;0, "", TRIM('Base Oficial'!H559)))</f>
        <v/>
      </c>
    </row>
    <row r="560">
      <c r="A560" s="4" t="str">
        <f>IF('Base Oficial'!A560="","",TRIM('Base Oficial'!A560))</f>
        <v/>
      </c>
      <c r="B560" s="6" t="str">
        <f>IF($A560="","",TRIM('Base Oficial'!B560))</f>
        <v/>
      </c>
      <c r="C560" s="6" t="str">
        <f>IF($A560="","",TRIM('Base Oficial'!F560))</f>
        <v/>
      </c>
      <c r="D560" s="6" t="str">
        <f>IF($A560="","",TRIM('Base Oficial'!G560))</f>
        <v/>
      </c>
      <c r="E560" s="6" t="str">
        <f>IF($A560="","",TRIM('Base Oficial'!D560))</f>
        <v/>
      </c>
      <c r="F560" s="4" t="str">
        <f>IF($A560="","",IF(COUNTIF('Base Exámenes'!$C$5:$C$1000, A560)&gt;0, "Completado", IF(M560&lt;&gt;"", M560, "Pendiente")))</f>
        <v/>
      </c>
      <c r="G560" s="11" t="str">
        <f>IF(F560="Completado", IFERROR(IF(INDEX('Base Exámenes'!$D$5:$D$1000, MATCH(A560&amp;"|"&amp;J560, 'Base Exámenes'!$I$5:$I$1000, 0))="", "", INDEX('Base Exámenes'!$D$5:$D$1000, MATCH(A560&amp;"|"&amp;J560, 'Base Exámenes'!$I$5:$I$1000, 0))), ""), "")</f>
        <v/>
      </c>
      <c r="H560" s="11" t="str">
        <f>IF(F560="Completado", IFERROR(IF(INDEX('Base Exámenes'!$E$5:$E$1000, MATCH(A560&amp;"|"&amp;J560, 'Base Exámenes'!$I$5:$I$1000, 0))="", "", INDEX('Base Exámenes'!$E$5:$E$1000, MATCH(A560&amp;"|"&amp;J560, 'Base Exámenes'!$I$5:$I$1000, 0))), ""), "")</f>
        <v/>
      </c>
      <c r="I560" s="10" t="str">
        <f>IF(F560="Completado", IFERROR(IF(INDEX('Base Exámenes'!$F$5:$F$1000, MATCH(A560&amp;"|"&amp;J560, 'Base Exámenes'!$I$5:$I$1000, 0))="", "", INDEX('Base Exámenes'!$F$5:$F$1000, MATCH(A560&amp;"|"&amp;J560, 'Base Exámenes'!$I$5:$I$1000, 0))), ""), "")</f>
        <v/>
      </c>
      <c r="J560" s="6" t="str">
        <f>IF(F560="Completado", IF(COUNTIFS('Base Exámenes'!$C$5:$C$1000, A560, 'Base Exámenes'!$G$5:$G$1000, "&lt;&gt;")=0, "", _xlfn.MAXIFS('Base Exámenes'!$G$5:$G$1000, 'Base Exámenes'!$C$5:$C$1000, A560)), "")</f>
        <v/>
      </c>
      <c r="K560" s="6" t="str">
        <f>IF(F560="Completado", IFERROR(IF(INDEX('Base Exámenes'!$H$5:$H$1000, MATCH(A560&amp;"|"&amp;J560, 'Base Exámenes'!$I$5:$I$1000, 0))="", "", INDEX('Base Exámenes'!$H$5:$H$1000, MATCH(A560&amp;"|"&amp;J560, 'Base Exámenes'!$I$5:$I$1000, 0))), ""), "")</f>
        <v/>
      </c>
      <c r="L560" s="22" t="str">
        <f>IF($A560="","",COUNTIF('Base Exámenes'!$C$5:$C$1000, A560))</f>
        <v/>
      </c>
      <c r="M560" s="6" t="str">
        <f>IF($A560="","",IF(COUNTIF('Base Exámenes'!$C$5:$C$1000, A560)&gt;0, "", TRIM('Base Oficial'!H560)))</f>
        <v/>
      </c>
    </row>
    <row r="561">
      <c r="A561" s="4" t="str">
        <f>IF('Base Oficial'!A561="","",TRIM('Base Oficial'!A561))</f>
        <v/>
      </c>
      <c r="B561" s="6" t="str">
        <f>IF($A561="","",TRIM('Base Oficial'!B561))</f>
        <v/>
      </c>
      <c r="C561" s="6" t="str">
        <f>IF($A561="","",TRIM('Base Oficial'!F561))</f>
        <v/>
      </c>
      <c r="D561" s="6" t="str">
        <f>IF($A561="","",TRIM('Base Oficial'!G561))</f>
        <v/>
      </c>
      <c r="E561" s="6" t="str">
        <f>IF($A561="","",TRIM('Base Oficial'!D561))</f>
        <v/>
      </c>
      <c r="F561" s="4" t="str">
        <f>IF($A561="","",IF(COUNTIF('Base Exámenes'!$C$5:$C$1000, A561)&gt;0, "Completado", IF(M561&lt;&gt;"", M561, "Pendiente")))</f>
        <v/>
      </c>
      <c r="G561" s="11" t="str">
        <f>IF(F561="Completado", IFERROR(IF(INDEX('Base Exámenes'!$D$5:$D$1000, MATCH(A561&amp;"|"&amp;J561, 'Base Exámenes'!$I$5:$I$1000, 0))="", "", INDEX('Base Exámenes'!$D$5:$D$1000, MATCH(A561&amp;"|"&amp;J561, 'Base Exámenes'!$I$5:$I$1000, 0))), ""), "")</f>
        <v/>
      </c>
      <c r="H561" s="11" t="str">
        <f>IF(F561="Completado", IFERROR(IF(INDEX('Base Exámenes'!$E$5:$E$1000, MATCH(A561&amp;"|"&amp;J561, 'Base Exámenes'!$I$5:$I$1000, 0))="", "", INDEX('Base Exámenes'!$E$5:$E$1000, MATCH(A561&amp;"|"&amp;J561, 'Base Exámenes'!$I$5:$I$1000, 0))), ""), "")</f>
        <v/>
      </c>
      <c r="I561" s="10" t="str">
        <f>IF(F561="Completado", IFERROR(IF(INDEX('Base Exámenes'!$F$5:$F$1000, MATCH(A561&amp;"|"&amp;J561, 'Base Exámenes'!$I$5:$I$1000, 0))="", "", INDEX('Base Exámenes'!$F$5:$F$1000, MATCH(A561&amp;"|"&amp;J561, 'Base Exámenes'!$I$5:$I$1000, 0))), ""), "")</f>
        <v/>
      </c>
      <c r="J561" s="6" t="str">
        <f>IF(F561="Completado", IF(COUNTIFS('Base Exámenes'!$C$5:$C$1000, A561, 'Base Exámenes'!$G$5:$G$1000, "&lt;&gt;")=0, "", _xlfn.MAXIFS('Base Exámenes'!$G$5:$G$1000, 'Base Exámenes'!$C$5:$C$1000, A561)), "")</f>
        <v/>
      </c>
      <c r="K561" s="6" t="str">
        <f>IF(F561="Completado", IFERROR(IF(INDEX('Base Exámenes'!$H$5:$H$1000, MATCH(A561&amp;"|"&amp;J561, 'Base Exámenes'!$I$5:$I$1000, 0))="", "", INDEX('Base Exámenes'!$H$5:$H$1000, MATCH(A561&amp;"|"&amp;J561, 'Base Exámenes'!$I$5:$I$1000, 0))), ""), "")</f>
        <v/>
      </c>
      <c r="L561" s="22" t="str">
        <f>IF($A561="","",COUNTIF('Base Exámenes'!$C$5:$C$1000, A561))</f>
        <v/>
      </c>
      <c r="M561" s="6" t="str">
        <f>IF($A561="","",IF(COUNTIF('Base Exámenes'!$C$5:$C$1000, A561)&gt;0, "", TRIM('Base Oficial'!H561)))</f>
        <v/>
      </c>
    </row>
    <row r="562">
      <c r="A562" s="4" t="str">
        <f>IF('Base Oficial'!A562="","",TRIM('Base Oficial'!A562))</f>
        <v/>
      </c>
      <c r="B562" s="6" t="str">
        <f>IF($A562="","",TRIM('Base Oficial'!B562))</f>
        <v/>
      </c>
      <c r="C562" s="6" t="str">
        <f>IF($A562="","",TRIM('Base Oficial'!F562))</f>
        <v/>
      </c>
      <c r="D562" s="6" t="str">
        <f>IF($A562="","",TRIM('Base Oficial'!G562))</f>
        <v/>
      </c>
      <c r="E562" s="6" t="str">
        <f>IF($A562="","",TRIM('Base Oficial'!D562))</f>
        <v/>
      </c>
      <c r="F562" s="4" t="str">
        <f>IF($A562="","",IF(COUNTIF('Base Exámenes'!$C$5:$C$1000, A562)&gt;0, "Completado", IF(M562&lt;&gt;"", M562, "Pendiente")))</f>
        <v/>
      </c>
      <c r="G562" s="11" t="str">
        <f>IF(F562="Completado", IFERROR(IF(INDEX('Base Exámenes'!$D$5:$D$1000, MATCH(A562&amp;"|"&amp;J562, 'Base Exámenes'!$I$5:$I$1000, 0))="", "", INDEX('Base Exámenes'!$D$5:$D$1000, MATCH(A562&amp;"|"&amp;J562, 'Base Exámenes'!$I$5:$I$1000, 0))), ""), "")</f>
        <v/>
      </c>
      <c r="H562" s="11" t="str">
        <f>IF(F562="Completado", IFERROR(IF(INDEX('Base Exámenes'!$E$5:$E$1000, MATCH(A562&amp;"|"&amp;J562, 'Base Exámenes'!$I$5:$I$1000, 0))="", "", INDEX('Base Exámenes'!$E$5:$E$1000, MATCH(A562&amp;"|"&amp;J562, 'Base Exámenes'!$I$5:$I$1000, 0))), ""), "")</f>
        <v/>
      </c>
      <c r="I562" s="10" t="str">
        <f>IF(F562="Completado", IFERROR(IF(INDEX('Base Exámenes'!$F$5:$F$1000, MATCH(A562&amp;"|"&amp;J562, 'Base Exámenes'!$I$5:$I$1000, 0))="", "", INDEX('Base Exámenes'!$F$5:$F$1000, MATCH(A562&amp;"|"&amp;J562, 'Base Exámenes'!$I$5:$I$1000, 0))), ""), "")</f>
        <v/>
      </c>
      <c r="J562" s="6" t="str">
        <f>IF(F562="Completado", IF(COUNTIFS('Base Exámenes'!$C$5:$C$1000, A562, 'Base Exámenes'!$G$5:$G$1000, "&lt;&gt;")=0, "", _xlfn.MAXIFS('Base Exámenes'!$G$5:$G$1000, 'Base Exámenes'!$C$5:$C$1000, A562)), "")</f>
        <v/>
      </c>
      <c r="K562" s="6" t="str">
        <f>IF(F562="Completado", IFERROR(IF(INDEX('Base Exámenes'!$H$5:$H$1000, MATCH(A562&amp;"|"&amp;J562, 'Base Exámenes'!$I$5:$I$1000, 0))="", "", INDEX('Base Exámenes'!$H$5:$H$1000, MATCH(A562&amp;"|"&amp;J562, 'Base Exámenes'!$I$5:$I$1000, 0))), ""), "")</f>
        <v/>
      </c>
      <c r="L562" s="22" t="str">
        <f>IF($A562="","",COUNTIF('Base Exámenes'!$C$5:$C$1000, A562))</f>
        <v/>
      </c>
      <c r="M562" s="6" t="str">
        <f>IF($A562="","",IF(COUNTIF('Base Exámenes'!$C$5:$C$1000, A562)&gt;0, "", TRIM('Base Oficial'!H562)))</f>
        <v/>
      </c>
    </row>
    <row r="563">
      <c r="A563" s="4" t="str">
        <f>IF('Base Oficial'!A563="","",TRIM('Base Oficial'!A563))</f>
        <v/>
      </c>
      <c r="B563" s="6" t="str">
        <f>IF($A563="","",TRIM('Base Oficial'!B563))</f>
        <v/>
      </c>
      <c r="C563" s="6" t="str">
        <f>IF($A563="","",TRIM('Base Oficial'!F563))</f>
        <v/>
      </c>
      <c r="D563" s="6" t="str">
        <f>IF($A563="","",TRIM('Base Oficial'!G563))</f>
        <v/>
      </c>
      <c r="E563" s="6" t="str">
        <f>IF($A563="","",TRIM('Base Oficial'!D563))</f>
        <v/>
      </c>
      <c r="F563" s="4" t="str">
        <f>IF($A563="","",IF(COUNTIF('Base Exámenes'!$C$5:$C$1000, A563)&gt;0, "Completado", IF(M563&lt;&gt;"", M563, "Pendiente")))</f>
        <v/>
      </c>
      <c r="G563" s="11" t="str">
        <f>IF(F563="Completado", IFERROR(IF(INDEX('Base Exámenes'!$D$5:$D$1000, MATCH(A563&amp;"|"&amp;J563, 'Base Exámenes'!$I$5:$I$1000, 0))="", "", INDEX('Base Exámenes'!$D$5:$D$1000, MATCH(A563&amp;"|"&amp;J563, 'Base Exámenes'!$I$5:$I$1000, 0))), ""), "")</f>
        <v/>
      </c>
      <c r="H563" s="11" t="str">
        <f>IF(F563="Completado", IFERROR(IF(INDEX('Base Exámenes'!$E$5:$E$1000, MATCH(A563&amp;"|"&amp;J563, 'Base Exámenes'!$I$5:$I$1000, 0))="", "", INDEX('Base Exámenes'!$E$5:$E$1000, MATCH(A563&amp;"|"&amp;J563, 'Base Exámenes'!$I$5:$I$1000, 0))), ""), "")</f>
        <v/>
      </c>
      <c r="I563" s="10" t="str">
        <f>IF(F563="Completado", IFERROR(IF(INDEX('Base Exámenes'!$F$5:$F$1000, MATCH(A563&amp;"|"&amp;J563, 'Base Exámenes'!$I$5:$I$1000, 0))="", "", INDEX('Base Exámenes'!$F$5:$F$1000, MATCH(A563&amp;"|"&amp;J563, 'Base Exámenes'!$I$5:$I$1000, 0))), ""), "")</f>
        <v/>
      </c>
      <c r="J563" s="6" t="str">
        <f>IF(F563="Completado", IF(COUNTIFS('Base Exámenes'!$C$5:$C$1000, A563, 'Base Exámenes'!$G$5:$G$1000, "&lt;&gt;")=0, "", _xlfn.MAXIFS('Base Exámenes'!$G$5:$G$1000, 'Base Exámenes'!$C$5:$C$1000, A563)), "")</f>
        <v/>
      </c>
      <c r="K563" s="6" t="str">
        <f>IF(F563="Completado", IFERROR(IF(INDEX('Base Exámenes'!$H$5:$H$1000, MATCH(A563&amp;"|"&amp;J563, 'Base Exámenes'!$I$5:$I$1000, 0))="", "", INDEX('Base Exámenes'!$H$5:$H$1000, MATCH(A563&amp;"|"&amp;J563, 'Base Exámenes'!$I$5:$I$1000, 0))), ""), "")</f>
        <v/>
      </c>
      <c r="L563" s="22" t="str">
        <f>IF($A563="","",COUNTIF('Base Exámenes'!$C$5:$C$1000, A563))</f>
        <v/>
      </c>
      <c r="M563" s="6" t="str">
        <f>IF($A563="","",IF(COUNTIF('Base Exámenes'!$C$5:$C$1000, A563)&gt;0, "", TRIM('Base Oficial'!H563)))</f>
        <v/>
      </c>
    </row>
    <row r="564">
      <c r="A564" s="4" t="str">
        <f>IF('Base Oficial'!A564="","",TRIM('Base Oficial'!A564))</f>
        <v/>
      </c>
      <c r="B564" s="6" t="str">
        <f>IF($A564="","",TRIM('Base Oficial'!B564))</f>
        <v/>
      </c>
      <c r="C564" s="6" t="str">
        <f>IF($A564="","",TRIM('Base Oficial'!F564))</f>
        <v/>
      </c>
      <c r="D564" s="6" t="str">
        <f>IF($A564="","",TRIM('Base Oficial'!G564))</f>
        <v/>
      </c>
      <c r="E564" s="6" t="str">
        <f>IF($A564="","",TRIM('Base Oficial'!D564))</f>
        <v/>
      </c>
      <c r="F564" s="4" t="str">
        <f>IF($A564="","",IF(COUNTIF('Base Exámenes'!$C$5:$C$1000, A564)&gt;0, "Completado", IF(M564&lt;&gt;"", M564, "Pendiente")))</f>
        <v/>
      </c>
      <c r="G564" s="11" t="str">
        <f>IF(F564="Completado", IFERROR(IF(INDEX('Base Exámenes'!$D$5:$D$1000, MATCH(A564&amp;"|"&amp;J564, 'Base Exámenes'!$I$5:$I$1000, 0))="", "", INDEX('Base Exámenes'!$D$5:$D$1000, MATCH(A564&amp;"|"&amp;J564, 'Base Exámenes'!$I$5:$I$1000, 0))), ""), "")</f>
        <v/>
      </c>
      <c r="H564" s="11" t="str">
        <f>IF(F564="Completado", IFERROR(IF(INDEX('Base Exámenes'!$E$5:$E$1000, MATCH(A564&amp;"|"&amp;J564, 'Base Exámenes'!$I$5:$I$1000, 0))="", "", INDEX('Base Exámenes'!$E$5:$E$1000, MATCH(A564&amp;"|"&amp;J564, 'Base Exámenes'!$I$5:$I$1000, 0))), ""), "")</f>
        <v/>
      </c>
      <c r="I564" s="10" t="str">
        <f>IF(F564="Completado", IFERROR(IF(INDEX('Base Exámenes'!$F$5:$F$1000, MATCH(A564&amp;"|"&amp;J564, 'Base Exámenes'!$I$5:$I$1000, 0))="", "", INDEX('Base Exámenes'!$F$5:$F$1000, MATCH(A564&amp;"|"&amp;J564, 'Base Exámenes'!$I$5:$I$1000, 0))), ""), "")</f>
        <v/>
      </c>
      <c r="J564" s="6" t="str">
        <f>IF(F564="Completado", IF(COUNTIFS('Base Exámenes'!$C$5:$C$1000, A564, 'Base Exámenes'!$G$5:$G$1000, "&lt;&gt;")=0, "", _xlfn.MAXIFS('Base Exámenes'!$G$5:$G$1000, 'Base Exámenes'!$C$5:$C$1000, A564)), "")</f>
        <v/>
      </c>
      <c r="K564" s="6" t="str">
        <f>IF(F564="Completado", IFERROR(IF(INDEX('Base Exámenes'!$H$5:$H$1000, MATCH(A564&amp;"|"&amp;J564, 'Base Exámenes'!$I$5:$I$1000, 0))="", "", INDEX('Base Exámenes'!$H$5:$H$1000, MATCH(A564&amp;"|"&amp;J564, 'Base Exámenes'!$I$5:$I$1000, 0))), ""), "")</f>
        <v/>
      </c>
      <c r="L564" s="22" t="str">
        <f>IF($A564="","",COUNTIF('Base Exámenes'!$C$5:$C$1000, A564))</f>
        <v/>
      </c>
      <c r="M564" s="6" t="str">
        <f>IF($A564="","",IF(COUNTIF('Base Exámenes'!$C$5:$C$1000, A564)&gt;0, "", TRIM('Base Oficial'!H564)))</f>
        <v/>
      </c>
    </row>
    <row r="565">
      <c r="A565" s="4" t="str">
        <f>IF('Base Oficial'!A565="","",TRIM('Base Oficial'!A565))</f>
        <v/>
      </c>
      <c r="B565" s="6" t="str">
        <f>IF($A565="","",TRIM('Base Oficial'!B565))</f>
        <v/>
      </c>
      <c r="C565" s="6" t="str">
        <f>IF($A565="","",TRIM('Base Oficial'!F565))</f>
        <v/>
      </c>
      <c r="D565" s="6" t="str">
        <f>IF($A565="","",TRIM('Base Oficial'!G565))</f>
        <v/>
      </c>
      <c r="E565" s="6" t="str">
        <f>IF($A565="","",TRIM('Base Oficial'!D565))</f>
        <v/>
      </c>
      <c r="F565" s="4" t="str">
        <f>IF($A565="","",IF(COUNTIF('Base Exámenes'!$C$5:$C$1000, A565)&gt;0, "Completado", IF(M565&lt;&gt;"", M565, "Pendiente")))</f>
        <v/>
      </c>
      <c r="G565" s="11" t="str">
        <f>IF(F565="Completado", IFERROR(IF(INDEX('Base Exámenes'!$D$5:$D$1000, MATCH(A565&amp;"|"&amp;J565, 'Base Exámenes'!$I$5:$I$1000, 0))="", "", INDEX('Base Exámenes'!$D$5:$D$1000, MATCH(A565&amp;"|"&amp;J565, 'Base Exámenes'!$I$5:$I$1000, 0))), ""), "")</f>
        <v/>
      </c>
      <c r="H565" s="11" t="str">
        <f>IF(F565="Completado", IFERROR(IF(INDEX('Base Exámenes'!$E$5:$E$1000, MATCH(A565&amp;"|"&amp;J565, 'Base Exámenes'!$I$5:$I$1000, 0))="", "", INDEX('Base Exámenes'!$E$5:$E$1000, MATCH(A565&amp;"|"&amp;J565, 'Base Exámenes'!$I$5:$I$1000, 0))), ""), "")</f>
        <v/>
      </c>
      <c r="I565" s="10" t="str">
        <f>IF(F565="Completado", IFERROR(IF(INDEX('Base Exámenes'!$F$5:$F$1000, MATCH(A565&amp;"|"&amp;J565, 'Base Exámenes'!$I$5:$I$1000, 0))="", "", INDEX('Base Exámenes'!$F$5:$F$1000, MATCH(A565&amp;"|"&amp;J565, 'Base Exámenes'!$I$5:$I$1000, 0))), ""), "")</f>
        <v/>
      </c>
      <c r="J565" s="6" t="str">
        <f>IF(F565="Completado", IF(COUNTIFS('Base Exámenes'!$C$5:$C$1000, A565, 'Base Exámenes'!$G$5:$G$1000, "&lt;&gt;")=0, "", _xlfn.MAXIFS('Base Exámenes'!$G$5:$G$1000, 'Base Exámenes'!$C$5:$C$1000, A565)), "")</f>
        <v/>
      </c>
      <c r="K565" s="6" t="str">
        <f>IF(F565="Completado", IFERROR(IF(INDEX('Base Exámenes'!$H$5:$H$1000, MATCH(A565&amp;"|"&amp;J565, 'Base Exámenes'!$I$5:$I$1000, 0))="", "", INDEX('Base Exámenes'!$H$5:$H$1000, MATCH(A565&amp;"|"&amp;J565, 'Base Exámenes'!$I$5:$I$1000, 0))), ""), "")</f>
        <v/>
      </c>
      <c r="L565" s="22" t="str">
        <f>IF($A565="","",COUNTIF('Base Exámenes'!$C$5:$C$1000, A565))</f>
        <v/>
      </c>
      <c r="M565" s="6" t="str">
        <f>IF($A565="","",IF(COUNTIF('Base Exámenes'!$C$5:$C$1000, A565)&gt;0, "", TRIM('Base Oficial'!H565)))</f>
        <v/>
      </c>
    </row>
    <row r="566">
      <c r="A566" s="4" t="str">
        <f>IF('Base Oficial'!A566="","",TRIM('Base Oficial'!A566))</f>
        <v/>
      </c>
      <c r="B566" s="6" t="str">
        <f>IF($A566="","",TRIM('Base Oficial'!B566))</f>
        <v/>
      </c>
      <c r="C566" s="6" t="str">
        <f>IF($A566="","",TRIM('Base Oficial'!F566))</f>
        <v/>
      </c>
      <c r="D566" s="6" t="str">
        <f>IF($A566="","",TRIM('Base Oficial'!G566))</f>
        <v/>
      </c>
      <c r="E566" s="6" t="str">
        <f>IF($A566="","",TRIM('Base Oficial'!D566))</f>
        <v/>
      </c>
      <c r="F566" s="4" t="str">
        <f>IF($A566="","",IF(COUNTIF('Base Exámenes'!$C$5:$C$1000, A566)&gt;0, "Completado", IF(M566&lt;&gt;"", M566, "Pendiente")))</f>
        <v/>
      </c>
      <c r="G566" s="11" t="str">
        <f>IF(F566="Completado", IFERROR(IF(INDEX('Base Exámenes'!$D$5:$D$1000, MATCH(A566&amp;"|"&amp;J566, 'Base Exámenes'!$I$5:$I$1000, 0))="", "", INDEX('Base Exámenes'!$D$5:$D$1000, MATCH(A566&amp;"|"&amp;J566, 'Base Exámenes'!$I$5:$I$1000, 0))), ""), "")</f>
        <v/>
      </c>
      <c r="H566" s="11" t="str">
        <f>IF(F566="Completado", IFERROR(IF(INDEX('Base Exámenes'!$E$5:$E$1000, MATCH(A566&amp;"|"&amp;J566, 'Base Exámenes'!$I$5:$I$1000, 0))="", "", INDEX('Base Exámenes'!$E$5:$E$1000, MATCH(A566&amp;"|"&amp;J566, 'Base Exámenes'!$I$5:$I$1000, 0))), ""), "")</f>
        <v/>
      </c>
      <c r="I566" s="10" t="str">
        <f>IF(F566="Completado", IFERROR(IF(INDEX('Base Exámenes'!$F$5:$F$1000, MATCH(A566&amp;"|"&amp;J566, 'Base Exámenes'!$I$5:$I$1000, 0))="", "", INDEX('Base Exámenes'!$F$5:$F$1000, MATCH(A566&amp;"|"&amp;J566, 'Base Exámenes'!$I$5:$I$1000, 0))), ""), "")</f>
        <v/>
      </c>
      <c r="J566" s="6" t="str">
        <f>IF(F566="Completado", IF(COUNTIFS('Base Exámenes'!$C$5:$C$1000, A566, 'Base Exámenes'!$G$5:$G$1000, "&lt;&gt;")=0, "", _xlfn.MAXIFS('Base Exámenes'!$G$5:$G$1000, 'Base Exámenes'!$C$5:$C$1000, A566)), "")</f>
        <v/>
      </c>
      <c r="K566" s="6" t="str">
        <f>IF(F566="Completado", IFERROR(IF(INDEX('Base Exámenes'!$H$5:$H$1000, MATCH(A566&amp;"|"&amp;J566, 'Base Exámenes'!$I$5:$I$1000, 0))="", "", INDEX('Base Exámenes'!$H$5:$H$1000, MATCH(A566&amp;"|"&amp;J566, 'Base Exámenes'!$I$5:$I$1000, 0))), ""), "")</f>
        <v/>
      </c>
      <c r="L566" s="22" t="str">
        <f>IF($A566="","",COUNTIF('Base Exámenes'!$C$5:$C$1000, A566))</f>
        <v/>
      </c>
      <c r="M566" s="6" t="str">
        <f>IF($A566="","",IF(COUNTIF('Base Exámenes'!$C$5:$C$1000, A566)&gt;0, "", TRIM('Base Oficial'!H566)))</f>
        <v/>
      </c>
    </row>
    <row r="567">
      <c r="A567" s="4" t="str">
        <f>IF('Base Oficial'!A567="","",TRIM('Base Oficial'!A567))</f>
        <v/>
      </c>
      <c r="B567" s="6" t="str">
        <f>IF($A567="","",TRIM('Base Oficial'!B567))</f>
        <v/>
      </c>
      <c r="C567" s="6" t="str">
        <f>IF($A567="","",TRIM('Base Oficial'!F567))</f>
        <v/>
      </c>
      <c r="D567" s="6" t="str">
        <f>IF($A567="","",TRIM('Base Oficial'!G567))</f>
        <v/>
      </c>
      <c r="E567" s="6" t="str">
        <f>IF($A567="","",TRIM('Base Oficial'!D567))</f>
        <v/>
      </c>
      <c r="F567" s="4" t="str">
        <f>IF($A567="","",IF(COUNTIF('Base Exámenes'!$C$5:$C$1000, A567)&gt;0, "Completado", IF(M567&lt;&gt;"", M567, "Pendiente")))</f>
        <v/>
      </c>
      <c r="G567" s="11" t="str">
        <f>IF(F567="Completado", IFERROR(IF(INDEX('Base Exámenes'!$D$5:$D$1000, MATCH(A567&amp;"|"&amp;J567, 'Base Exámenes'!$I$5:$I$1000, 0))="", "", INDEX('Base Exámenes'!$D$5:$D$1000, MATCH(A567&amp;"|"&amp;J567, 'Base Exámenes'!$I$5:$I$1000, 0))), ""), "")</f>
        <v/>
      </c>
      <c r="H567" s="11" t="str">
        <f>IF(F567="Completado", IFERROR(IF(INDEX('Base Exámenes'!$E$5:$E$1000, MATCH(A567&amp;"|"&amp;J567, 'Base Exámenes'!$I$5:$I$1000, 0))="", "", INDEX('Base Exámenes'!$E$5:$E$1000, MATCH(A567&amp;"|"&amp;J567, 'Base Exámenes'!$I$5:$I$1000, 0))), ""), "")</f>
        <v/>
      </c>
      <c r="I567" s="10" t="str">
        <f>IF(F567="Completado", IFERROR(IF(INDEX('Base Exámenes'!$F$5:$F$1000, MATCH(A567&amp;"|"&amp;J567, 'Base Exámenes'!$I$5:$I$1000, 0))="", "", INDEX('Base Exámenes'!$F$5:$F$1000, MATCH(A567&amp;"|"&amp;J567, 'Base Exámenes'!$I$5:$I$1000, 0))), ""), "")</f>
        <v/>
      </c>
      <c r="J567" s="6" t="str">
        <f>IF(F567="Completado", IF(COUNTIFS('Base Exámenes'!$C$5:$C$1000, A567, 'Base Exámenes'!$G$5:$G$1000, "&lt;&gt;")=0, "", _xlfn.MAXIFS('Base Exámenes'!$G$5:$G$1000, 'Base Exámenes'!$C$5:$C$1000, A567)), "")</f>
        <v/>
      </c>
      <c r="K567" s="6" t="str">
        <f>IF(F567="Completado", IFERROR(IF(INDEX('Base Exámenes'!$H$5:$H$1000, MATCH(A567&amp;"|"&amp;J567, 'Base Exámenes'!$I$5:$I$1000, 0))="", "", INDEX('Base Exámenes'!$H$5:$H$1000, MATCH(A567&amp;"|"&amp;J567, 'Base Exámenes'!$I$5:$I$1000, 0))), ""), "")</f>
        <v/>
      </c>
      <c r="L567" s="22" t="str">
        <f>IF($A567="","",COUNTIF('Base Exámenes'!$C$5:$C$1000, A567))</f>
        <v/>
      </c>
      <c r="M567" s="6" t="str">
        <f>IF($A567="","",IF(COUNTIF('Base Exámenes'!$C$5:$C$1000, A567)&gt;0, "", TRIM('Base Oficial'!H567)))</f>
        <v/>
      </c>
    </row>
    <row r="568">
      <c r="A568" s="4" t="str">
        <f>IF('Base Oficial'!A568="","",TRIM('Base Oficial'!A568))</f>
        <v/>
      </c>
      <c r="B568" s="6" t="str">
        <f>IF($A568="","",TRIM('Base Oficial'!B568))</f>
        <v/>
      </c>
      <c r="C568" s="6" t="str">
        <f>IF($A568="","",TRIM('Base Oficial'!F568))</f>
        <v/>
      </c>
      <c r="D568" s="6" t="str">
        <f>IF($A568="","",TRIM('Base Oficial'!G568))</f>
        <v/>
      </c>
      <c r="E568" s="6" t="str">
        <f>IF($A568="","",TRIM('Base Oficial'!D568))</f>
        <v/>
      </c>
      <c r="F568" s="4" t="str">
        <f>IF($A568="","",IF(COUNTIF('Base Exámenes'!$C$5:$C$1000, A568)&gt;0, "Completado", IF(M568&lt;&gt;"", M568, "Pendiente")))</f>
        <v/>
      </c>
      <c r="G568" s="11" t="str">
        <f>IF(F568="Completado", IFERROR(IF(INDEX('Base Exámenes'!$D$5:$D$1000, MATCH(A568&amp;"|"&amp;J568, 'Base Exámenes'!$I$5:$I$1000, 0))="", "", INDEX('Base Exámenes'!$D$5:$D$1000, MATCH(A568&amp;"|"&amp;J568, 'Base Exámenes'!$I$5:$I$1000, 0))), ""), "")</f>
        <v/>
      </c>
      <c r="H568" s="11" t="str">
        <f>IF(F568="Completado", IFERROR(IF(INDEX('Base Exámenes'!$E$5:$E$1000, MATCH(A568&amp;"|"&amp;J568, 'Base Exámenes'!$I$5:$I$1000, 0))="", "", INDEX('Base Exámenes'!$E$5:$E$1000, MATCH(A568&amp;"|"&amp;J568, 'Base Exámenes'!$I$5:$I$1000, 0))), ""), "")</f>
        <v/>
      </c>
      <c r="I568" s="10" t="str">
        <f>IF(F568="Completado", IFERROR(IF(INDEX('Base Exámenes'!$F$5:$F$1000, MATCH(A568&amp;"|"&amp;J568, 'Base Exámenes'!$I$5:$I$1000, 0))="", "", INDEX('Base Exámenes'!$F$5:$F$1000, MATCH(A568&amp;"|"&amp;J568, 'Base Exámenes'!$I$5:$I$1000, 0))), ""), "")</f>
        <v/>
      </c>
      <c r="J568" s="6" t="str">
        <f>IF(F568="Completado", IF(COUNTIFS('Base Exámenes'!$C$5:$C$1000, A568, 'Base Exámenes'!$G$5:$G$1000, "&lt;&gt;")=0, "", _xlfn.MAXIFS('Base Exámenes'!$G$5:$G$1000, 'Base Exámenes'!$C$5:$C$1000, A568)), "")</f>
        <v/>
      </c>
      <c r="K568" s="6" t="str">
        <f>IF(F568="Completado", IFERROR(IF(INDEX('Base Exámenes'!$H$5:$H$1000, MATCH(A568&amp;"|"&amp;J568, 'Base Exámenes'!$I$5:$I$1000, 0))="", "", INDEX('Base Exámenes'!$H$5:$H$1000, MATCH(A568&amp;"|"&amp;J568, 'Base Exámenes'!$I$5:$I$1000, 0))), ""), "")</f>
        <v/>
      </c>
      <c r="L568" s="22" t="str">
        <f>IF($A568="","",COUNTIF('Base Exámenes'!$C$5:$C$1000, A568))</f>
        <v/>
      </c>
      <c r="M568" s="6" t="str">
        <f>IF($A568="","",IF(COUNTIF('Base Exámenes'!$C$5:$C$1000, A568)&gt;0, "", TRIM('Base Oficial'!H568)))</f>
        <v/>
      </c>
    </row>
    <row r="569">
      <c r="A569" s="4" t="str">
        <f>IF('Base Oficial'!A569="","",TRIM('Base Oficial'!A569))</f>
        <v/>
      </c>
      <c r="B569" s="6" t="str">
        <f>IF($A569="","",TRIM('Base Oficial'!B569))</f>
        <v/>
      </c>
      <c r="C569" s="6" t="str">
        <f>IF($A569="","",TRIM('Base Oficial'!F569))</f>
        <v/>
      </c>
      <c r="D569" s="6" t="str">
        <f>IF($A569="","",TRIM('Base Oficial'!G569))</f>
        <v/>
      </c>
      <c r="E569" s="6" t="str">
        <f>IF($A569="","",TRIM('Base Oficial'!D569))</f>
        <v/>
      </c>
      <c r="F569" s="4" t="str">
        <f>IF($A569="","",IF(COUNTIF('Base Exámenes'!$C$5:$C$1000, A569)&gt;0, "Completado", IF(M569&lt;&gt;"", M569, "Pendiente")))</f>
        <v/>
      </c>
      <c r="G569" s="11" t="str">
        <f>IF(F569="Completado", IFERROR(IF(INDEX('Base Exámenes'!$D$5:$D$1000, MATCH(A569&amp;"|"&amp;J569, 'Base Exámenes'!$I$5:$I$1000, 0))="", "", INDEX('Base Exámenes'!$D$5:$D$1000, MATCH(A569&amp;"|"&amp;J569, 'Base Exámenes'!$I$5:$I$1000, 0))), ""), "")</f>
        <v/>
      </c>
      <c r="H569" s="11" t="str">
        <f>IF(F569="Completado", IFERROR(IF(INDEX('Base Exámenes'!$E$5:$E$1000, MATCH(A569&amp;"|"&amp;J569, 'Base Exámenes'!$I$5:$I$1000, 0))="", "", INDEX('Base Exámenes'!$E$5:$E$1000, MATCH(A569&amp;"|"&amp;J569, 'Base Exámenes'!$I$5:$I$1000, 0))), ""), "")</f>
        <v/>
      </c>
      <c r="I569" s="10" t="str">
        <f>IF(F569="Completado", IFERROR(IF(INDEX('Base Exámenes'!$F$5:$F$1000, MATCH(A569&amp;"|"&amp;J569, 'Base Exámenes'!$I$5:$I$1000, 0))="", "", INDEX('Base Exámenes'!$F$5:$F$1000, MATCH(A569&amp;"|"&amp;J569, 'Base Exámenes'!$I$5:$I$1000, 0))), ""), "")</f>
        <v/>
      </c>
      <c r="J569" s="6" t="str">
        <f>IF(F569="Completado", IF(COUNTIFS('Base Exámenes'!$C$5:$C$1000, A569, 'Base Exámenes'!$G$5:$G$1000, "&lt;&gt;")=0, "", _xlfn.MAXIFS('Base Exámenes'!$G$5:$G$1000, 'Base Exámenes'!$C$5:$C$1000, A569)), "")</f>
        <v/>
      </c>
      <c r="K569" s="6" t="str">
        <f>IF(F569="Completado", IFERROR(IF(INDEX('Base Exámenes'!$H$5:$H$1000, MATCH(A569&amp;"|"&amp;J569, 'Base Exámenes'!$I$5:$I$1000, 0))="", "", INDEX('Base Exámenes'!$H$5:$H$1000, MATCH(A569&amp;"|"&amp;J569, 'Base Exámenes'!$I$5:$I$1000, 0))), ""), "")</f>
        <v/>
      </c>
      <c r="L569" s="22" t="str">
        <f>IF($A569="","",COUNTIF('Base Exámenes'!$C$5:$C$1000, A569))</f>
        <v/>
      </c>
      <c r="M569" s="6" t="str">
        <f>IF($A569="","",IF(COUNTIF('Base Exámenes'!$C$5:$C$1000, A569)&gt;0, "", TRIM('Base Oficial'!H569)))</f>
        <v/>
      </c>
    </row>
    <row r="570">
      <c r="A570" s="4" t="str">
        <f>IF('Base Oficial'!A570="","",TRIM('Base Oficial'!A570))</f>
        <v/>
      </c>
      <c r="B570" s="6" t="str">
        <f>IF($A570="","",TRIM('Base Oficial'!B570))</f>
        <v/>
      </c>
      <c r="C570" s="6" t="str">
        <f>IF($A570="","",TRIM('Base Oficial'!F570))</f>
        <v/>
      </c>
      <c r="D570" s="6" t="str">
        <f>IF($A570="","",TRIM('Base Oficial'!G570))</f>
        <v/>
      </c>
      <c r="E570" s="6" t="str">
        <f>IF($A570="","",TRIM('Base Oficial'!D570))</f>
        <v/>
      </c>
      <c r="F570" s="4" t="str">
        <f>IF($A570="","",IF(COUNTIF('Base Exámenes'!$C$5:$C$1000, A570)&gt;0, "Completado", IF(M570&lt;&gt;"", M570, "Pendiente")))</f>
        <v/>
      </c>
      <c r="G570" s="11" t="str">
        <f>IF(F570="Completado", IFERROR(IF(INDEX('Base Exámenes'!$D$5:$D$1000, MATCH(A570&amp;"|"&amp;J570, 'Base Exámenes'!$I$5:$I$1000, 0))="", "", INDEX('Base Exámenes'!$D$5:$D$1000, MATCH(A570&amp;"|"&amp;J570, 'Base Exámenes'!$I$5:$I$1000, 0))), ""), "")</f>
        <v/>
      </c>
      <c r="H570" s="11" t="str">
        <f>IF(F570="Completado", IFERROR(IF(INDEX('Base Exámenes'!$E$5:$E$1000, MATCH(A570&amp;"|"&amp;J570, 'Base Exámenes'!$I$5:$I$1000, 0))="", "", INDEX('Base Exámenes'!$E$5:$E$1000, MATCH(A570&amp;"|"&amp;J570, 'Base Exámenes'!$I$5:$I$1000, 0))), ""), "")</f>
        <v/>
      </c>
      <c r="I570" s="10" t="str">
        <f>IF(F570="Completado", IFERROR(IF(INDEX('Base Exámenes'!$F$5:$F$1000, MATCH(A570&amp;"|"&amp;J570, 'Base Exámenes'!$I$5:$I$1000, 0))="", "", INDEX('Base Exámenes'!$F$5:$F$1000, MATCH(A570&amp;"|"&amp;J570, 'Base Exámenes'!$I$5:$I$1000, 0))), ""), "")</f>
        <v/>
      </c>
      <c r="J570" s="6" t="str">
        <f>IF(F570="Completado", IF(COUNTIFS('Base Exámenes'!$C$5:$C$1000, A570, 'Base Exámenes'!$G$5:$G$1000, "&lt;&gt;")=0, "", _xlfn.MAXIFS('Base Exámenes'!$G$5:$G$1000, 'Base Exámenes'!$C$5:$C$1000, A570)), "")</f>
        <v/>
      </c>
      <c r="K570" s="6" t="str">
        <f>IF(F570="Completado", IFERROR(IF(INDEX('Base Exámenes'!$H$5:$H$1000, MATCH(A570&amp;"|"&amp;J570, 'Base Exámenes'!$I$5:$I$1000, 0))="", "", INDEX('Base Exámenes'!$H$5:$H$1000, MATCH(A570&amp;"|"&amp;J570, 'Base Exámenes'!$I$5:$I$1000, 0))), ""), "")</f>
        <v/>
      </c>
      <c r="L570" s="22" t="str">
        <f>IF($A570="","",COUNTIF('Base Exámenes'!$C$5:$C$1000, A570))</f>
        <v/>
      </c>
      <c r="M570" s="6" t="str">
        <f>IF($A570="","",IF(COUNTIF('Base Exámenes'!$C$5:$C$1000, A570)&gt;0, "", TRIM('Base Oficial'!H570)))</f>
        <v/>
      </c>
    </row>
    <row r="571">
      <c r="A571" s="4" t="str">
        <f>IF('Base Oficial'!A571="","",TRIM('Base Oficial'!A571))</f>
        <v/>
      </c>
      <c r="B571" s="6" t="str">
        <f>IF($A571="","",TRIM('Base Oficial'!B571))</f>
        <v/>
      </c>
      <c r="C571" s="6" t="str">
        <f>IF($A571="","",TRIM('Base Oficial'!F571))</f>
        <v/>
      </c>
      <c r="D571" s="6" t="str">
        <f>IF($A571="","",TRIM('Base Oficial'!G571))</f>
        <v/>
      </c>
      <c r="E571" s="6" t="str">
        <f>IF($A571="","",TRIM('Base Oficial'!D571))</f>
        <v/>
      </c>
      <c r="F571" s="4" t="str">
        <f>IF($A571="","",IF(COUNTIF('Base Exámenes'!$C$5:$C$1000, A571)&gt;0, "Completado", IF(M571&lt;&gt;"", M571, "Pendiente")))</f>
        <v/>
      </c>
      <c r="G571" s="11" t="str">
        <f>IF(F571="Completado", IFERROR(IF(INDEX('Base Exámenes'!$D$5:$D$1000, MATCH(A571&amp;"|"&amp;J571, 'Base Exámenes'!$I$5:$I$1000, 0))="", "", INDEX('Base Exámenes'!$D$5:$D$1000, MATCH(A571&amp;"|"&amp;J571, 'Base Exámenes'!$I$5:$I$1000, 0))), ""), "")</f>
        <v/>
      </c>
      <c r="H571" s="11" t="str">
        <f>IF(F571="Completado", IFERROR(IF(INDEX('Base Exámenes'!$E$5:$E$1000, MATCH(A571&amp;"|"&amp;J571, 'Base Exámenes'!$I$5:$I$1000, 0))="", "", INDEX('Base Exámenes'!$E$5:$E$1000, MATCH(A571&amp;"|"&amp;J571, 'Base Exámenes'!$I$5:$I$1000, 0))), ""), "")</f>
        <v/>
      </c>
      <c r="I571" s="10" t="str">
        <f>IF(F571="Completado", IFERROR(IF(INDEX('Base Exámenes'!$F$5:$F$1000, MATCH(A571&amp;"|"&amp;J571, 'Base Exámenes'!$I$5:$I$1000, 0))="", "", INDEX('Base Exámenes'!$F$5:$F$1000, MATCH(A571&amp;"|"&amp;J571, 'Base Exámenes'!$I$5:$I$1000, 0))), ""), "")</f>
        <v/>
      </c>
      <c r="J571" s="6" t="str">
        <f>IF(F571="Completado", IF(COUNTIFS('Base Exámenes'!$C$5:$C$1000, A571, 'Base Exámenes'!$G$5:$G$1000, "&lt;&gt;")=0, "", _xlfn.MAXIFS('Base Exámenes'!$G$5:$G$1000, 'Base Exámenes'!$C$5:$C$1000, A571)), "")</f>
        <v/>
      </c>
      <c r="K571" s="6" t="str">
        <f>IF(F571="Completado", IFERROR(IF(INDEX('Base Exámenes'!$H$5:$H$1000, MATCH(A571&amp;"|"&amp;J571, 'Base Exámenes'!$I$5:$I$1000, 0))="", "", INDEX('Base Exámenes'!$H$5:$H$1000, MATCH(A571&amp;"|"&amp;J571, 'Base Exámenes'!$I$5:$I$1000, 0))), ""), "")</f>
        <v/>
      </c>
      <c r="L571" s="22" t="str">
        <f>IF($A571="","",COUNTIF('Base Exámenes'!$C$5:$C$1000, A571))</f>
        <v/>
      </c>
      <c r="M571" s="6" t="str">
        <f>IF($A571="","",IF(COUNTIF('Base Exámenes'!$C$5:$C$1000, A571)&gt;0, "", TRIM('Base Oficial'!H571)))</f>
        <v/>
      </c>
    </row>
    <row r="572">
      <c r="A572" s="4" t="str">
        <f>IF('Base Oficial'!A572="","",TRIM('Base Oficial'!A572))</f>
        <v/>
      </c>
      <c r="B572" s="6" t="str">
        <f>IF($A572="","",TRIM('Base Oficial'!B572))</f>
        <v/>
      </c>
      <c r="C572" s="6" t="str">
        <f>IF($A572="","",TRIM('Base Oficial'!F572))</f>
        <v/>
      </c>
      <c r="D572" s="6" t="str">
        <f>IF($A572="","",TRIM('Base Oficial'!G572))</f>
        <v/>
      </c>
      <c r="E572" s="6" t="str">
        <f>IF($A572="","",TRIM('Base Oficial'!D572))</f>
        <v/>
      </c>
      <c r="F572" s="4" t="str">
        <f>IF($A572="","",IF(COUNTIF('Base Exámenes'!$C$5:$C$1000, A572)&gt;0, "Completado", IF(M572&lt;&gt;"", M572, "Pendiente")))</f>
        <v/>
      </c>
      <c r="G572" s="11" t="str">
        <f>IF(F572="Completado", IFERROR(IF(INDEX('Base Exámenes'!$D$5:$D$1000, MATCH(A572&amp;"|"&amp;J572, 'Base Exámenes'!$I$5:$I$1000, 0))="", "", INDEX('Base Exámenes'!$D$5:$D$1000, MATCH(A572&amp;"|"&amp;J572, 'Base Exámenes'!$I$5:$I$1000, 0))), ""), "")</f>
        <v/>
      </c>
      <c r="H572" s="11" t="str">
        <f>IF(F572="Completado", IFERROR(IF(INDEX('Base Exámenes'!$E$5:$E$1000, MATCH(A572&amp;"|"&amp;J572, 'Base Exámenes'!$I$5:$I$1000, 0))="", "", INDEX('Base Exámenes'!$E$5:$E$1000, MATCH(A572&amp;"|"&amp;J572, 'Base Exámenes'!$I$5:$I$1000, 0))), ""), "")</f>
        <v/>
      </c>
      <c r="I572" s="10" t="str">
        <f>IF(F572="Completado", IFERROR(IF(INDEX('Base Exámenes'!$F$5:$F$1000, MATCH(A572&amp;"|"&amp;J572, 'Base Exámenes'!$I$5:$I$1000, 0))="", "", INDEX('Base Exámenes'!$F$5:$F$1000, MATCH(A572&amp;"|"&amp;J572, 'Base Exámenes'!$I$5:$I$1000, 0))), ""), "")</f>
        <v/>
      </c>
      <c r="J572" s="6" t="str">
        <f>IF(F572="Completado", IF(COUNTIFS('Base Exámenes'!$C$5:$C$1000, A572, 'Base Exámenes'!$G$5:$G$1000, "&lt;&gt;")=0, "", _xlfn.MAXIFS('Base Exámenes'!$G$5:$G$1000, 'Base Exámenes'!$C$5:$C$1000, A572)), "")</f>
        <v/>
      </c>
      <c r="K572" s="6" t="str">
        <f>IF(F572="Completado", IFERROR(IF(INDEX('Base Exámenes'!$H$5:$H$1000, MATCH(A572&amp;"|"&amp;J572, 'Base Exámenes'!$I$5:$I$1000, 0))="", "", INDEX('Base Exámenes'!$H$5:$H$1000, MATCH(A572&amp;"|"&amp;J572, 'Base Exámenes'!$I$5:$I$1000, 0))), ""), "")</f>
        <v/>
      </c>
      <c r="L572" s="22" t="str">
        <f>IF($A572="","",COUNTIF('Base Exámenes'!$C$5:$C$1000, A572))</f>
        <v/>
      </c>
      <c r="M572" s="6" t="str">
        <f>IF($A572="","",IF(COUNTIF('Base Exámenes'!$C$5:$C$1000, A572)&gt;0, "", TRIM('Base Oficial'!H572)))</f>
        <v/>
      </c>
    </row>
    <row r="573">
      <c r="A573" s="4" t="str">
        <f>IF('Base Oficial'!A573="","",TRIM('Base Oficial'!A573))</f>
        <v/>
      </c>
      <c r="B573" s="6" t="str">
        <f>IF($A573="","",TRIM('Base Oficial'!B573))</f>
        <v/>
      </c>
      <c r="C573" s="6" t="str">
        <f>IF($A573="","",TRIM('Base Oficial'!F573))</f>
        <v/>
      </c>
      <c r="D573" s="6" t="str">
        <f>IF($A573="","",TRIM('Base Oficial'!G573))</f>
        <v/>
      </c>
      <c r="E573" s="6" t="str">
        <f>IF($A573="","",TRIM('Base Oficial'!D573))</f>
        <v/>
      </c>
      <c r="F573" s="4" t="str">
        <f>IF($A573="","",IF(COUNTIF('Base Exámenes'!$C$5:$C$1000, A573)&gt;0, "Completado", IF(M573&lt;&gt;"", M573, "Pendiente")))</f>
        <v/>
      </c>
      <c r="G573" s="11" t="str">
        <f>IF(F573="Completado", IFERROR(IF(INDEX('Base Exámenes'!$D$5:$D$1000, MATCH(A573&amp;"|"&amp;J573, 'Base Exámenes'!$I$5:$I$1000, 0))="", "", INDEX('Base Exámenes'!$D$5:$D$1000, MATCH(A573&amp;"|"&amp;J573, 'Base Exámenes'!$I$5:$I$1000, 0))), ""), "")</f>
        <v/>
      </c>
      <c r="H573" s="11" t="str">
        <f>IF(F573="Completado", IFERROR(IF(INDEX('Base Exámenes'!$E$5:$E$1000, MATCH(A573&amp;"|"&amp;J573, 'Base Exámenes'!$I$5:$I$1000, 0))="", "", INDEX('Base Exámenes'!$E$5:$E$1000, MATCH(A573&amp;"|"&amp;J573, 'Base Exámenes'!$I$5:$I$1000, 0))), ""), "")</f>
        <v/>
      </c>
      <c r="I573" s="10" t="str">
        <f>IF(F573="Completado", IFERROR(IF(INDEX('Base Exámenes'!$F$5:$F$1000, MATCH(A573&amp;"|"&amp;J573, 'Base Exámenes'!$I$5:$I$1000, 0))="", "", INDEX('Base Exámenes'!$F$5:$F$1000, MATCH(A573&amp;"|"&amp;J573, 'Base Exámenes'!$I$5:$I$1000, 0))), ""), "")</f>
        <v/>
      </c>
      <c r="J573" s="6" t="str">
        <f>IF(F573="Completado", IF(COUNTIFS('Base Exámenes'!$C$5:$C$1000, A573, 'Base Exámenes'!$G$5:$G$1000, "&lt;&gt;")=0, "", _xlfn.MAXIFS('Base Exámenes'!$G$5:$G$1000, 'Base Exámenes'!$C$5:$C$1000, A573)), "")</f>
        <v/>
      </c>
      <c r="K573" s="6" t="str">
        <f>IF(F573="Completado", IFERROR(IF(INDEX('Base Exámenes'!$H$5:$H$1000, MATCH(A573&amp;"|"&amp;J573, 'Base Exámenes'!$I$5:$I$1000, 0))="", "", INDEX('Base Exámenes'!$H$5:$H$1000, MATCH(A573&amp;"|"&amp;J573, 'Base Exámenes'!$I$5:$I$1000, 0))), ""), "")</f>
        <v/>
      </c>
      <c r="L573" s="22" t="str">
        <f>IF($A573="","",COUNTIF('Base Exámenes'!$C$5:$C$1000, A573))</f>
        <v/>
      </c>
      <c r="M573" s="6" t="str">
        <f>IF($A573="","",IF(COUNTIF('Base Exámenes'!$C$5:$C$1000, A573)&gt;0, "", TRIM('Base Oficial'!H573)))</f>
        <v/>
      </c>
    </row>
    <row r="574">
      <c r="A574" s="4" t="str">
        <f>IF('Base Oficial'!A574="","",TRIM('Base Oficial'!A574))</f>
        <v/>
      </c>
      <c r="B574" s="6" t="str">
        <f>IF($A574="","",TRIM('Base Oficial'!B574))</f>
        <v/>
      </c>
      <c r="C574" s="6" t="str">
        <f>IF($A574="","",TRIM('Base Oficial'!F574))</f>
        <v/>
      </c>
      <c r="D574" s="6" t="str">
        <f>IF($A574="","",TRIM('Base Oficial'!G574))</f>
        <v/>
      </c>
      <c r="E574" s="6" t="str">
        <f>IF($A574="","",TRIM('Base Oficial'!D574))</f>
        <v/>
      </c>
      <c r="F574" s="4" t="str">
        <f>IF($A574="","",IF(COUNTIF('Base Exámenes'!$C$5:$C$1000, A574)&gt;0, "Completado", IF(M574&lt;&gt;"", M574, "Pendiente")))</f>
        <v/>
      </c>
      <c r="G574" s="11" t="str">
        <f>IF(F574="Completado", IFERROR(IF(INDEX('Base Exámenes'!$D$5:$D$1000, MATCH(A574&amp;"|"&amp;J574, 'Base Exámenes'!$I$5:$I$1000, 0))="", "", INDEX('Base Exámenes'!$D$5:$D$1000, MATCH(A574&amp;"|"&amp;J574, 'Base Exámenes'!$I$5:$I$1000, 0))), ""), "")</f>
        <v/>
      </c>
      <c r="H574" s="11" t="str">
        <f>IF(F574="Completado", IFERROR(IF(INDEX('Base Exámenes'!$E$5:$E$1000, MATCH(A574&amp;"|"&amp;J574, 'Base Exámenes'!$I$5:$I$1000, 0))="", "", INDEX('Base Exámenes'!$E$5:$E$1000, MATCH(A574&amp;"|"&amp;J574, 'Base Exámenes'!$I$5:$I$1000, 0))), ""), "")</f>
        <v/>
      </c>
      <c r="I574" s="10" t="str">
        <f>IF(F574="Completado", IFERROR(IF(INDEX('Base Exámenes'!$F$5:$F$1000, MATCH(A574&amp;"|"&amp;J574, 'Base Exámenes'!$I$5:$I$1000, 0))="", "", INDEX('Base Exámenes'!$F$5:$F$1000, MATCH(A574&amp;"|"&amp;J574, 'Base Exámenes'!$I$5:$I$1000, 0))), ""), "")</f>
        <v/>
      </c>
      <c r="J574" s="6" t="str">
        <f>IF(F574="Completado", IF(COUNTIFS('Base Exámenes'!$C$5:$C$1000, A574, 'Base Exámenes'!$G$5:$G$1000, "&lt;&gt;")=0, "", _xlfn.MAXIFS('Base Exámenes'!$G$5:$G$1000, 'Base Exámenes'!$C$5:$C$1000, A574)), "")</f>
        <v/>
      </c>
      <c r="K574" s="6" t="str">
        <f>IF(F574="Completado", IFERROR(IF(INDEX('Base Exámenes'!$H$5:$H$1000, MATCH(A574&amp;"|"&amp;J574, 'Base Exámenes'!$I$5:$I$1000, 0))="", "", INDEX('Base Exámenes'!$H$5:$H$1000, MATCH(A574&amp;"|"&amp;J574, 'Base Exámenes'!$I$5:$I$1000, 0))), ""), "")</f>
        <v/>
      </c>
      <c r="L574" s="22" t="str">
        <f>IF($A574="","",COUNTIF('Base Exámenes'!$C$5:$C$1000, A574))</f>
        <v/>
      </c>
      <c r="M574" s="6" t="str">
        <f>IF($A574="","",IF(COUNTIF('Base Exámenes'!$C$5:$C$1000, A574)&gt;0, "", TRIM('Base Oficial'!H574)))</f>
        <v/>
      </c>
    </row>
    <row r="575">
      <c r="A575" s="4" t="str">
        <f>IF('Base Oficial'!A575="","",TRIM('Base Oficial'!A575))</f>
        <v/>
      </c>
      <c r="B575" s="6" t="str">
        <f>IF($A575="","",TRIM('Base Oficial'!B575))</f>
        <v/>
      </c>
      <c r="C575" s="6" t="str">
        <f>IF($A575="","",TRIM('Base Oficial'!F575))</f>
        <v/>
      </c>
      <c r="D575" s="6" t="str">
        <f>IF($A575="","",TRIM('Base Oficial'!G575))</f>
        <v/>
      </c>
      <c r="E575" s="6" t="str">
        <f>IF($A575="","",TRIM('Base Oficial'!D575))</f>
        <v/>
      </c>
      <c r="F575" s="4" t="str">
        <f>IF($A575="","",IF(COUNTIF('Base Exámenes'!$C$5:$C$1000, A575)&gt;0, "Completado", IF(M575&lt;&gt;"", M575, "Pendiente")))</f>
        <v/>
      </c>
      <c r="G575" s="11" t="str">
        <f>IF(F575="Completado", IFERROR(IF(INDEX('Base Exámenes'!$D$5:$D$1000, MATCH(A575&amp;"|"&amp;J575, 'Base Exámenes'!$I$5:$I$1000, 0))="", "", INDEX('Base Exámenes'!$D$5:$D$1000, MATCH(A575&amp;"|"&amp;J575, 'Base Exámenes'!$I$5:$I$1000, 0))), ""), "")</f>
        <v/>
      </c>
      <c r="H575" s="11" t="str">
        <f>IF(F575="Completado", IFERROR(IF(INDEX('Base Exámenes'!$E$5:$E$1000, MATCH(A575&amp;"|"&amp;J575, 'Base Exámenes'!$I$5:$I$1000, 0))="", "", INDEX('Base Exámenes'!$E$5:$E$1000, MATCH(A575&amp;"|"&amp;J575, 'Base Exámenes'!$I$5:$I$1000, 0))), ""), "")</f>
        <v/>
      </c>
      <c r="I575" s="10" t="str">
        <f>IF(F575="Completado", IFERROR(IF(INDEX('Base Exámenes'!$F$5:$F$1000, MATCH(A575&amp;"|"&amp;J575, 'Base Exámenes'!$I$5:$I$1000, 0))="", "", INDEX('Base Exámenes'!$F$5:$F$1000, MATCH(A575&amp;"|"&amp;J575, 'Base Exámenes'!$I$5:$I$1000, 0))), ""), "")</f>
        <v/>
      </c>
      <c r="J575" s="6" t="str">
        <f>IF(F575="Completado", IF(COUNTIFS('Base Exámenes'!$C$5:$C$1000, A575, 'Base Exámenes'!$G$5:$G$1000, "&lt;&gt;")=0, "", _xlfn.MAXIFS('Base Exámenes'!$G$5:$G$1000, 'Base Exámenes'!$C$5:$C$1000, A575)), "")</f>
        <v/>
      </c>
      <c r="K575" s="6" t="str">
        <f>IF(F575="Completado", IFERROR(IF(INDEX('Base Exámenes'!$H$5:$H$1000, MATCH(A575&amp;"|"&amp;J575, 'Base Exámenes'!$I$5:$I$1000, 0))="", "", INDEX('Base Exámenes'!$H$5:$H$1000, MATCH(A575&amp;"|"&amp;J575, 'Base Exámenes'!$I$5:$I$1000, 0))), ""), "")</f>
        <v/>
      </c>
      <c r="L575" s="22" t="str">
        <f>IF($A575="","",COUNTIF('Base Exámenes'!$C$5:$C$1000, A575))</f>
        <v/>
      </c>
      <c r="M575" s="6" t="str">
        <f>IF($A575="","",IF(COUNTIF('Base Exámenes'!$C$5:$C$1000, A575)&gt;0, "", TRIM('Base Oficial'!H575)))</f>
        <v/>
      </c>
    </row>
    <row r="576">
      <c r="A576" s="4" t="str">
        <f>IF('Base Oficial'!A576="","",TRIM('Base Oficial'!A576))</f>
        <v/>
      </c>
      <c r="B576" s="6" t="str">
        <f>IF($A576="","",TRIM('Base Oficial'!B576))</f>
        <v/>
      </c>
      <c r="C576" s="6" t="str">
        <f>IF($A576="","",TRIM('Base Oficial'!F576))</f>
        <v/>
      </c>
      <c r="D576" s="6" t="str">
        <f>IF($A576="","",TRIM('Base Oficial'!G576))</f>
        <v/>
      </c>
      <c r="E576" s="6" t="str">
        <f>IF($A576="","",TRIM('Base Oficial'!D576))</f>
        <v/>
      </c>
      <c r="F576" s="4" t="str">
        <f>IF($A576="","",IF(COUNTIF('Base Exámenes'!$C$5:$C$1000, A576)&gt;0, "Completado", IF(M576&lt;&gt;"", M576, "Pendiente")))</f>
        <v/>
      </c>
      <c r="G576" s="11" t="str">
        <f>IF(F576="Completado", IFERROR(IF(INDEX('Base Exámenes'!$D$5:$D$1000, MATCH(A576&amp;"|"&amp;J576, 'Base Exámenes'!$I$5:$I$1000, 0))="", "", INDEX('Base Exámenes'!$D$5:$D$1000, MATCH(A576&amp;"|"&amp;J576, 'Base Exámenes'!$I$5:$I$1000, 0))), ""), "")</f>
        <v/>
      </c>
      <c r="H576" s="11" t="str">
        <f>IF(F576="Completado", IFERROR(IF(INDEX('Base Exámenes'!$E$5:$E$1000, MATCH(A576&amp;"|"&amp;J576, 'Base Exámenes'!$I$5:$I$1000, 0))="", "", INDEX('Base Exámenes'!$E$5:$E$1000, MATCH(A576&amp;"|"&amp;J576, 'Base Exámenes'!$I$5:$I$1000, 0))), ""), "")</f>
        <v/>
      </c>
      <c r="I576" s="10" t="str">
        <f>IF(F576="Completado", IFERROR(IF(INDEX('Base Exámenes'!$F$5:$F$1000, MATCH(A576&amp;"|"&amp;J576, 'Base Exámenes'!$I$5:$I$1000, 0))="", "", INDEX('Base Exámenes'!$F$5:$F$1000, MATCH(A576&amp;"|"&amp;J576, 'Base Exámenes'!$I$5:$I$1000, 0))), ""), "")</f>
        <v/>
      </c>
      <c r="J576" s="6" t="str">
        <f>IF(F576="Completado", IF(COUNTIFS('Base Exámenes'!$C$5:$C$1000, A576, 'Base Exámenes'!$G$5:$G$1000, "&lt;&gt;")=0, "", _xlfn.MAXIFS('Base Exámenes'!$G$5:$G$1000, 'Base Exámenes'!$C$5:$C$1000, A576)), "")</f>
        <v/>
      </c>
      <c r="K576" s="6" t="str">
        <f>IF(F576="Completado", IFERROR(IF(INDEX('Base Exámenes'!$H$5:$H$1000, MATCH(A576&amp;"|"&amp;J576, 'Base Exámenes'!$I$5:$I$1000, 0))="", "", INDEX('Base Exámenes'!$H$5:$H$1000, MATCH(A576&amp;"|"&amp;J576, 'Base Exámenes'!$I$5:$I$1000, 0))), ""), "")</f>
        <v/>
      </c>
      <c r="L576" s="22" t="str">
        <f>IF($A576="","",COUNTIF('Base Exámenes'!$C$5:$C$1000, A576))</f>
        <v/>
      </c>
      <c r="M576" s="6" t="str">
        <f>IF($A576="","",IF(COUNTIF('Base Exámenes'!$C$5:$C$1000, A576)&gt;0, "", TRIM('Base Oficial'!H576)))</f>
        <v/>
      </c>
    </row>
    <row r="577">
      <c r="A577" s="4" t="str">
        <f>IF('Base Oficial'!A577="","",TRIM('Base Oficial'!A577))</f>
        <v/>
      </c>
      <c r="B577" s="6" t="str">
        <f>IF($A577="","",TRIM('Base Oficial'!B577))</f>
        <v/>
      </c>
      <c r="C577" s="6" t="str">
        <f>IF($A577="","",TRIM('Base Oficial'!F577))</f>
        <v/>
      </c>
      <c r="D577" s="6" t="str">
        <f>IF($A577="","",TRIM('Base Oficial'!G577))</f>
        <v/>
      </c>
      <c r="E577" s="6" t="str">
        <f>IF($A577="","",TRIM('Base Oficial'!D577))</f>
        <v/>
      </c>
      <c r="F577" s="4" t="str">
        <f>IF($A577="","",IF(COUNTIF('Base Exámenes'!$C$5:$C$1000, A577)&gt;0, "Completado", IF(M577&lt;&gt;"", M577, "Pendiente")))</f>
        <v/>
      </c>
      <c r="G577" s="11" t="str">
        <f>IF(F577="Completado", IFERROR(IF(INDEX('Base Exámenes'!$D$5:$D$1000, MATCH(A577&amp;"|"&amp;J577, 'Base Exámenes'!$I$5:$I$1000, 0))="", "", INDEX('Base Exámenes'!$D$5:$D$1000, MATCH(A577&amp;"|"&amp;J577, 'Base Exámenes'!$I$5:$I$1000, 0))), ""), "")</f>
        <v/>
      </c>
      <c r="H577" s="11" t="str">
        <f>IF(F577="Completado", IFERROR(IF(INDEX('Base Exámenes'!$E$5:$E$1000, MATCH(A577&amp;"|"&amp;J577, 'Base Exámenes'!$I$5:$I$1000, 0))="", "", INDEX('Base Exámenes'!$E$5:$E$1000, MATCH(A577&amp;"|"&amp;J577, 'Base Exámenes'!$I$5:$I$1000, 0))), ""), "")</f>
        <v/>
      </c>
      <c r="I577" s="10" t="str">
        <f>IF(F577="Completado", IFERROR(IF(INDEX('Base Exámenes'!$F$5:$F$1000, MATCH(A577&amp;"|"&amp;J577, 'Base Exámenes'!$I$5:$I$1000, 0))="", "", INDEX('Base Exámenes'!$F$5:$F$1000, MATCH(A577&amp;"|"&amp;J577, 'Base Exámenes'!$I$5:$I$1000, 0))), ""), "")</f>
        <v/>
      </c>
      <c r="J577" s="6" t="str">
        <f>IF(F577="Completado", IF(COUNTIFS('Base Exámenes'!$C$5:$C$1000, A577, 'Base Exámenes'!$G$5:$G$1000, "&lt;&gt;")=0, "", _xlfn.MAXIFS('Base Exámenes'!$G$5:$G$1000, 'Base Exámenes'!$C$5:$C$1000, A577)), "")</f>
        <v/>
      </c>
      <c r="K577" s="6" t="str">
        <f>IF(F577="Completado", IFERROR(IF(INDEX('Base Exámenes'!$H$5:$H$1000, MATCH(A577&amp;"|"&amp;J577, 'Base Exámenes'!$I$5:$I$1000, 0))="", "", INDEX('Base Exámenes'!$H$5:$H$1000, MATCH(A577&amp;"|"&amp;J577, 'Base Exámenes'!$I$5:$I$1000, 0))), ""), "")</f>
        <v/>
      </c>
      <c r="L577" s="22" t="str">
        <f>IF($A577="","",COUNTIF('Base Exámenes'!$C$5:$C$1000, A577))</f>
        <v/>
      </c>
      <c r="M577" s="6" t="str">
        <f>IF($A577="","",IF(COUNTIF('Base Exámenes'!$C$5:$C$1000, A577)&gt;0, "", TRIM('Base Oficial'!H577)))</f>
        <v/>
      </c>
    </row>
    <row r="578">
      <c r="A578" s="4" t="str">
        <f>IF('Base Oficial'!A578="","",TRIM('Base Oficial'!A578))</f>
        <v/>
      </c>
      <c r="B578" s="6" t="str">
        <f>IF($A578="","",TRIM('Base Oficial'!B578))</f>
        <v/>
      </c>
      <c r="C578" s="6" t="str">
        <f>IF($A578="","",TRIM('Base Oficial'!F578))</f>
        <v/>
      </c>
      <c r="D578" s="6" t="str">
        <f>IF($A578="","",TRIM('Base Oficial'!G578))</f>
        <v/>
      </c>
      <c r="E578" s="6" t="str">
        <f>IF($A578="","",TRIM('Base Oficial'!D578))</f>
        <v/>
      </c>
      <c r="F578" s="4" t="str">
        <f>IF($A578="","",IF(COUNTIF('Base Exámenes'!$C$5:$C$1000, A578)&gt;0, "Completado", IF(M578&lt;&gt;"", M578, "Pendiente")))</f>
        <v/>
      </c>
      <c r="G578" s="11" t="str">
        <f>IF(F578="Completado", IFERROR(IF(INDEX('Base Exámenes'!$D$5:$D$1000, MATCH(A578&amp;"|"&amp;J578, 'Base Exámenes'!$I$5:$I$1000, 0))="", "", INDEX('Base Exámenes'!$D$5:$D$1000, MATCH(A578&amp;"|"&amp;J578, 'Base Exámenes'!$I$5:$I$1000, 0))), ""), "")</f>
        <v/>
      </c>
      <c r="H578" s="11" t="str">
        <f>IF(F578="Completado", IFERROR(IF(INDEX('Base Exámenes'!$E$5:$E$1000, MATCH(A578&amp;"|"&amp;J578, 'Base Exámenes'!$I$5:$I$1000, 0))="", "", INDEX('Base Exámenes'!$E$5:$E$1000, MATCH(A578&amp;"|"&amp;J578, 'Base Exámenes'!$I$5:$I$1000, 0))), ""), "")</f>
        <v/>
      </c>
      <c r="I578" s="10" t="str">
        <f>IF(F578="Completado", IFERROR(IF(INDEX('Base Exámenes'!$F$5:$F$1000, MATCH(A578&amp;"|"&amp;J578, 'Base Exámenes'!$I$5:$I$1000, 0))="", "", INDEX('Base Exámenes'!$F$5:$F$1000, MATCH(A578&amp;"|"&amp;J578, 'Base Exámenes'!$I$5:$I$1000, 0))), ""), "")</f>
        <v/>
      </c>
      <c r="J578" s="6" t="str">
        <f>IF(F578="Completado", IF(COUNTIFS('Base Exámenes'!$C$5:$C$1000, A578, 'Base Exámenes'!$G$5:$G$1000, "&lt;&gt;")=0, "", _xlfn.MAXIFS('Base Exámenes'!$G$5:$G$1000, 'Base Exámenes'!$C$5:$C$1000, A578)), "")</f>
        <v/>
      </c>
      <c r="K578" s="6" t="str">
        <f>IF(F578="Completado", IFERROR(IF(INDEX('Base Exámenes'!$H$5:$H$1000, MATCH(A578&amp;"|"&amp;J578, 'Base Exámenes'!$I$5:$I$1000, 0))="", "", INDEX('Base Exámenes'!$H$5:$H$1000, MATCH(A578&amp;"|"&amp;J578, 'Base Exámenes'!$I$5:$I$1000, 0))), ""), "")</f>
        <v/>
      </c>
      <c r="L578" s="22" t="str">
        <f>IF($A578="","",COUNTIF('Base Exámenes'!$C$5:$C$1000, A578))</f>
        <v/>
      </c>
      <c r="M578" s="6" t="str">
        <f>IF($A578="","",IF(COUNTIF('Base Exámenes'!$C$5:$C$1000, A578)&gt;0, "", TRIM('Base Oficial'!H578)))</f>
        <v/>
      </c>
    </row>
    <row r="579">
      <c r="A579" s="4" t="str">
        <f>IF('Base Oficial'!A579="","",TRIM('Base Oficial'!A579))</f>
        <v/>
      </c>
      <c r="B579" s="6" t="str">
        <f>IF($A579="","",TRIM('Base Oficial'!B579))</f>
        <v/>
      </c>
      <c r="C579" s="6" t="str">
        <f>IF($A579="","",TRIM('Base Oficial'!F579))</f>
        <v/>
      </c>
      <c r="D579" s="6" t="str">
        <f>IF($A579="","",TRIM('Base Oficial'!G579))</f>
        <v/>
      </c>
      <c r="E579" s="6" t="str">
        <f>IF($A579="","",TRIM('Base Oficial'!D579))</f>
        <v/>
      </c>
      <c r="F579" s="4" t="str">
        <f>IF($A579="","",IF(COUNTIF('Base Exámenes'!$C$5:$C$1000, A579)&gt;0, "Completado", IF(M579&lt;&gt;"", M579, "Pendiente")))</f>
        <v/>
      </c>
      <c r="G579" s="11" t="str">
        <f>IF(F579="Completado", IFERROR(IF(INDEX('Base Exámenes'!$D$5:$D$1000, MATCH(A579&amp;"|"&amp;J579, 'Base Exámenes'!$I$5:$I$1000, 0))="", "", INDEX('Base Exámenes'!$D$5:$D$1000, MATCH(A579&amp;"|"&amp;J579, 'Base Exámenes'!$I$5:$I$1000, 0))), ""), "")</f>
        <v/>
      </c>
      <c r="H579" s="11" t="str">
        <f>IF(F579="Completado", IFERROR(IF(INDEX('Base Exámenes'!$E$5:$E$1000, MATCH(A579&amp;"|"&amp;J579, 'Base Exámenes'!$I$5:$I$1000, 0))="", "", INDEX('Base Exámenes'!$E$5:$E$1000, MATCH(A579&amp;"|"&amp;J579, 'Base Exámenes'!$I$5:$I$1000, 0))), ""), "")</f>
        <v/>
      </c>
      <c r="I579" s="10" t="str">
        <f>IF(F579="Completado", IFERROR(IF(INDEX('Base Exámenes'!$F$5:$F$1000, MATCH(A579&amp;"|"&amp;J579, 'Base Exámenes'!$I$5:$I$1000, 0))="", "", INDEX('Base Exámenes'!$F$5:$F$1000, MATCH(A579&amp;"|"&amp;J579, 'Base Exámenes'!$I$5:$I$1000, 0))), ""), "")</f>
        <v/>
      </c>
      <c r="J579" s="6" t="str">
        <f>IF(F579="Completado", IF(COUNTIFS('Base Exámenes'!$C$5:$C$1000, A579, 'Base Exámenes'!$G$5:$G$1000, "&lt;&gt;")=0, "", _xlfn.MAXIFS('Base Exámenes'!$G$5:$G$1000, 'Base Exámenes'!$C$5:$C$1000, A579)), "")</f>
        <v/>
      </c>
      <c r="K579" s="6" t="str">
        <f>IF(F579="Completado", IFERROR(IF(INDEX('Base Exámenes'!$H$5:$H$1000, MATCH(A579&amp;"|"&amp;J579, 'Base Exámenes'!$I$5:$I$1000, 0))="", "", INDEX('Base Exámenes'!$H$5:$H$1000, MATCH(A579&amp;"|"&amp;J579, 'Base Exámenes'!$I$5:$I$1000, 0))), ""), "")</f>
        <v/>
      </c>
      <c r="L579" s="22" t="str">
        <f>IF($A579="","",COUNTIF('Base Exámenes'!$C$5:$C$1000, A579))</f>
        <v/>
      </c>
      <c r="M579" s="6" t="str">
        <f>IF($A579="","",IF(COUNTIF('Base Exámenes'!$C$5:$C$1000, A579)&gt;0, "", TRIM('Base Oficial'!H579)))</f>
        <v/>
      </c>
    </row>
    <row r="580">
      <c r="A580" s="4" t="str">
        <f>IF('Base Oficial'!A580="","",TRIM('Base Oficial'!A580))</f>
        <v/>
      </c>
      <c r="B580" s="6" t="str">
        <f>IF($A580="","",TRIM('Base Oficial'!B580))</f>
        <v/>
      </c>
      <c r="C580" s="6" t="str">
        <f>IF($A580="","",TRIM('Base Oficial'!F580))</f>
        <v/>
      </c>
      <c r="D580" s="6" t="str">
        <f>IF($A580="","",TRIM('Base Oficial'!G580))</f>
        <v/>
      </c>
      <c r="E580" s="6" t="str">
        <f>IF($A580="","",TRIM('Base Oficial'!D580))</f>
        <v/>
      </c>
      <c r="F580" s="4" t="str">
        <f>IF($A580="","",IF(COUNTIF('Base Exámenes'!$C$5:$C$1000, A580)&gt;0, "Completado", IF(M580&lt;&gt;"", M580, "Pendiente")))</f>
        <v/>
      </c>
      <c r="G580" s="11" t="str">
        <f>IF(F580="Completado", IFERROR(IF(INDEX('Base Exámenes'!$D$5:$D$1000, MATCH(A580&amp;"|"&amp;J580, 'Base Exámenes'!$I$5:$I$1000, 0))="", "", INDEX('Base Exámenes'!$D$5:$D$1000, MATCH(A580&amp;"|"&amp;J580, 'Base Exámenes'!$I$5:$I$1000, 0))), ""), "")</f>
        <v/>
      </c>
      <c r="H580" s="11" t="str">
        <f>IF(F580="Completado", IFERROR(IF(INDEX('Base Exámenes'!$E$5:$E$1000, MATCH(A580&amp;"|"&amp;J580, 'Base Exámenes'!$I$5:$I$1000, 0))="", "", INDEX('Base Exámenes'!$E$5:$E$1000, MATCH(A580&amp;"|"&amp;J580, 'Base Exámenes'!$I$5:$I$1000, 0))), ""), "")</f>
        <v/>
      </c>
      <c r="I580" s="10" t="str">
        <f>IF(F580="Completado", IFERROR(IF(INDEX('Base Exámenes'!$F$5:$F$1000, MATCH(A580&amp;"|"&amp;J580, 'Base Exámenes'!$I$5:$I$1000, 0))="", "", INDEX('Base Exámenes'!$F$5:$F$1000, MATCH(A580&amp;"|"&amp;J580, 'Base Exámenes'!$I$5:$I$1000, 0))), ""), "")</f>
        <v/>
      </c>
      <c r="J580" s="6" t="str">
        <f>IF(F580="Completado", IF(COUNTIFS('Base Exámenes'!$C$5:$C$1000, A580, 'Base Exámenes'!$G$5:$G$1000, "&lt;&gt;")=0, "", _xlfn.MAXIFS('Base Exámenes'!$G$5:$G$1000, 'Base Exámenes'!$C$5:$C$1000, A580)), "")</f>
        <v/>
      </c>
      <c r="K580" s="6" t="str">
        <f>IF(F580="Completado", IFERROR(IF(INDEX('Base Exámenes'!$H$5:$H$1000, MATCH(A580&amp;"|"&amp;J580, 'Base Exámenes'!$I$5:$I$1000, 0))="", "", INDEX('Base Exámenes'!$H$5:$H$1000, MATCH(A580&amp;"|"&amp;J580, 'Base Exámenes'!$I$5:$I$1000, 0))), ""), "")</f>
        <v/>
      </c>
      <c r="L580" s="22" t="str">
        <f>IF($A580="","",COUNTIF('Base Exámenes'!$C$5:$C$1000, A580))</f>
        <v/>
      </c>
      <c r="M580" s="6" t="str">
        <f>IF($A580="","",IF(COUNTIF('Base Exámenes'!$C$5:$C$1000, A580)&gt;0, "", TRIM('Base Oficial'!H580)))</f>
        <v/>
      </c>
    </row>
    <row r="581">
      <c r="A581" s="4" t="str">
        <f>IF('Base Oficial'!A581="","",TRIM('Base Oficial'!A581))</f>
        <v/>
      </c>
      <c r="B581" s="6" t="str">
        <f>IF($A581="","",TRIM('Base Oficial'!B581))</f>
        <v/>
      </c>
      <c r="C581" s="6" t="str">
        <f>IF($A581="","",TRIM('Base Oficial'!F581))</f>
        <v/>
      </c>
      <c r="D581" s="6" t="str">
        <f>IF($A581="","",TRIM('Base Oficial'!G581))</f>
        <v/>
      </c>
      <c r="E581" s="6" t="str">
        <f>IF($A581="","",TRIM('Base Oficial'!D581))</f>
        <v/>
      </c>
      <c r="F581" s="4" t="str">
        <f>IF($A581="","",IF(COUNTIF('Base Exámenes'!$C$5:$C$1000, A581)&gt;0, "Completado", IF(M581&lt;&gt;"", M581, "Pendiente")))</f>
        <v/>
      </c>
      <c r="G581" s="11" t="str">
        <f>IF(F581="Completado", IFERROR(IF(INDEX('Base Exámenes'!$D$5:$D$1000, MATCH(A581&amp;"|"&amp;J581, 'Base Exámenes'!$I$5:$I$1000, 0))="", "", INDEX('Base Exámenes'!$D$5:$D$1000, MATCH(A581&amp;"|"&amp;J581, 'Base Exámenes'!$I$5:$I$1000, 0))), ""), "")</f>
        <v/>
      </c>
      <c r="H581" s="11" t="str">
        <f>IF(F581="Completado", IFERROR(IF(INDEX('Base Exámenes'!$E$5:$E$1000, MATCH(A581&amp;"|"&amp;J581, 'Base Exámenes'!$I$5:$I$1000, 0))="", "", INDEX('Base Exámenes'!$E$5:$E$1000, MATCH(A581&amp;"|"&amp;J581, 'Base Exámenes'!$I$5:$I$1000, 0))), ""), "")</f>
        <v/>
      </c>
      <c r="I581" s="10" t="str">
        <f>IF(F581="Completado", IFERROR(IF(INDEX('Base Exámenes'!$F$5:$F$1000, MATCH(A581&amp;"|"&amp;J581, 'Base Exámenes'!$I$5:$I$1000, 0))="", "", INDEX('Base Exámenes'!$F$5:$F$1000, MATCH(A581&amp;"|"&amp;J581, 'Base Exámenes'!$I$5:$I$1000, 0))), ""), "")</f>
        <v/>
      </c>
      <c r="J581" s="6" t="str">
        <f>IF(F581="Completado", IF(COUNTIFS('Base Exámenes'!$C$5:$C$1000, A581, 'Base Exámenes'!$G$5:$G$1000, "&lt;&gt;")=0, "", _xlfn.MAXIFS('Base Exámenes'!$G$5:$G$1000, 'Base Exámenes'!$C$5:$C$1000, A581)), "")</f>
        <v/>
      </c>
      <c r="K581" s="6" t="str">
        <f>IF(F581="Completado", IFERROR(IF(INDEX('Base Exámenes'!$H$5:$H$1000, MATCH(A581&amp;"|"&amp;J581, 'Base Exámenes'!$I$5:$I$1000, 0))="", "", INDEX('Base Exámenes'!$H$5:$H$1000, MATCH(A581&amp;"|"&amp;J581, 'Base Exámenes'!$I$5:$I$1000, 0))), ""), "")</f>
        <v/>
      </c>
      <c r="L581" s="22" t="str">
        <f>IF($A581="","",COUNTIF('Base Exámenes'!$C$5:$C$1000, A581))</f>
        <v/>
      </c>
      <c r="M581" s="6" t="str">
        <f>IF($A581="","",IF(COUNTIF('Base Exámenes'!$C$5:$C$1000, A581)&gt;0, "", TRIM('Base Oficial'!H581)))</f>
        <v/>
      </c>
    </row>
    <row r="582">
      <c r="A582" s="4" t="str">
        <f>IF('Base Oficial'!A582="","",TRIM('Base Oficial'!A582))</f>
        <v/>
      </c>
      <c r="B582" s="6" t="str">
        <f>IF($A582="","",TRIM('Base Oficial'!B582))</f>
        <v/>
      </c>
      <c r="C582" s="6" t="str">
        <f>IF($A582="","",TRIM('Base Oficial'!F582))</f>
        <v/>
      </c>
      <c r="D582" s="6" t="str">
        <f>IF($A582="","",TRIM('Base Oficial'!G582))</f>
        <v/>
      </c>
      <c r="E582" s="6" t="str">
        <f>IF($A582="","",TRIM('Base Oficial'!D582))</f>
        <v/>
      </c>
      <c r="F582" s="4" t="str">
        <f>IF($A582="","",IF(COUNTIF('Base Exámenes'!$C$5:$C$1000, A582)&gt;0, "Completado", IF(M582&lt;&gt;"", M582, "Pendiente")))</f>
        <v/>
      </c>
      <c r="G582" s="11" t="str">
        <f>IF(F582="Completado", IFERROR(IF(INDEX('Base Exámenes'!$D$5:$D$1000, MATCH(A582&amp;"|"&amp;J582, 'Base Exámenes'!$I$5:$I$1000, 0))="", "", INDEX('Base Exámenes'!$D$5:$D$1000, MATCH(A582&amp;"|"&amp;J582, 'Base Exámenes'!$I$5:$I$1000, 0))), ""), "")</f>
        <v/>
      </c>
      <c r="H582" s="11" t="str">
        <f>IF(F582="Completado", IFERROR(IF(INDEX('Base Exámenes'!$E$5:$E$1000, MATCH(A582&amp;"|"&amp;J582, 'Base Exámenes'!$I$5:$I$1000, 0))="", "", INDEX('Base Exámenes'!$E$5:$E$1000, MATCH(A582&amp;"|"&amp;J582, 'Base Exámenes'!$I$5:$I$1000, 0))), ""), "")</f>
        <v/>
      </c>
      <c r="I582" s="10" t="str">
        <f>IF(F582="Completado", IFERROR(IF(INDEX('Base Exámenes'!$F$5:$F$1000, MATCH(A582&amp;"|"&amp;J582, 'Base Exámenes'!$I$5:$I$1000, 0))="", "", INDEX('Base Exámenes'!$F$5:$F$1000, MATCH(A582&amp;"|"&amp;J582, 'Base Exámenes'!$I$5:$I$1000, 0))), ""), "")</f>
        <v/>
      </c>
      <c r="J582" s="6" t="str">
        <f>IF(F582="Completado", IF(COUNTIFS('Base Exámenes'!$C$5:$C$1000, A582, 'Base Exámenes'!$G$5:$G$1000, "&lt;&gt;")=0, "", _xlfn.MAXIFS('Base Exámenes'!$G$5:$G$1000, 'Base Exámenes'!$C$5:$C$1000, A582)), "")</f>
        <v/>
      </c>
      <c r="K582" s="6" t="str">
        <f>IF(F582="Completado", IFERROR(IF(INDEX('Base Exámenes'!$H$5:$H$1000, MATCH(A582&amp;"|"&amp;J582, 'Base Exámenes'!$I$5:$I$1000, 0))="", "", INDEX('Base Exámenes'!$H$5:$H$1000, MATCH(A582&amp;"|"&amp;J582, 'Base Exámenes'!$I$5:$I$1000, 0))), ""), "")</f>
        <v/>
      </c>
      <c r="L582" s="22" t="str">
        <f>IF($A582="","",COUNTIF('Base Exámenes'!$C$5:$C$1000, A582))</f>
        <v/>
      </c>
      <c r="M582" s="6" t="str">
        <f>IF($A582="","",IF(COUNTIF('Base Exámenes'!$C$5:$C$1000, A582)&gt;0, "", TRIM('Base Oficial'!H582)))</f>
        <v/>
      </c>
    </row>
    <row r="583">
      <c r="A583" s="4" t="str">
        <f>IF('Base Oficial'!A583="","",TRIM('Base Oficial'!A583))</f>
        <v/>
      </c>
      <c r="B583" s="6" t="str">
        <f>IF($A583="","",TRIM('Base Oficial'!B583))</f>
        <v/>
      </c>
      <c r="C583" s="6" t="str">
        <f>IF($A583="","",TRIM('Base Oficial'!F583))</f>
        <v/>
      </c>
      <c r="D583" s="6" t="str">
        <f>IF($A583="","",TRIM('Base Oficial'!G583))</f>
        <v/>
      </c>
      <c r="E583" s="6" t="str">
        <f>IF($A583="","",TRIM('Base Oficial'!D583))</f>
        <v/>
      </c>
      <c r="F583" s="4" t="str">
        <f>IF($A583="","",IF(COUNTIF('Base Exámenes'!$C$5:$C$1000, A583)&gt;0, "Completado", IF(M583&lt;&gt;"", M583, "Pendiente")))</f>
        <v/>
      </c>
      <c r="G583" s="11" t="str">
        <f>IF(F583="Completado", IFERROR(IF(INDEX('Base Exámenes'!$D$5:$D$1000, MATCH(A583&amp;"|"&amp;J583, 'Base Exámenes'!$I$5:$I$1000, 0))="", "", INDEX('Base Exámenes'!$D$5:$D$1000, MATCH(A583&amp;"|"&amp;J583, 'Base Exámenes'!$I$5:$I$1000, 0))), ""), "")</f>
        <v/>
      </c>
      <c r="H583" s="11" t="str">
        <f>IF(F583="Completado", IFERROR(IF(INDEX('Base Exámenes'!$E$5:$E$1000, MATCH(A583&amp;"|"&amp;J583, 'Base Exámenes'!$I$5:$I$1000, 0))="", "", INDEX('Base Exámenes'!$E$5:$E$1000, MATCH(A583&amp;"|"&amp;J583, 'Base Exámenes'!$I$5:$I$1000, 0))), ""), "")</f>
        <v/>
      </c>
      <c r="I583" s="10" t="str">
        <f>IF(F583="Completado", IFERROR(IF(INDEX('Base Exámenes'!$F$5:$F$1000, MATCH(A583&amp;"|"&amp;J583, 'Base Exámenes'!$I$5:$I$1000, 0))="", "", INDEX('Base Exámenes'!$F$5:$F$1000, MATCH(A583&amp;"|"&amp;J583, 'Base Exámenes'!$I$5:$I$1000, 0))), ""), "")</f>
        <v/>
      </c>
      <c r="J583" s="6" t="str">
        <f>IF(F583="Completado", IF(COUNTIFS('Base Exámenes'!$C$5:$C$1000, A583, 'Base Exámenes'!$G$5:$G$1000, "&lt;&gt;")=0, "", _xlfn.MAXIFS('Base Exámenes'!$G$5:$G$1000, 'Base Exámenes'!$C$5:$C$1000, A583)), "")</f>
        <v/>
      </c>
      <c r="K583" s="6" t="str">
        <f>IF(F583="Completado", IFERROR(IF(INDEX('Base Exámenes'!$H$5:$H$1000, MATCH(A583&amp;"|"&amp;J583, 'Base Exámenes'!$I$5:$I$1000, 0))="", "", INDEX('Base Exámenes'!$H$5:$H$1000, MATCH(A583&amp;"|"&amp;J583, 'Base Exámenes'!$I$5:$I$1000, 0))), ""), "")</f>
        <v/>
      </c>
      <c r="L583" s="22" t="str">
        <f>IF($A583="","",COUNTIF('Base Exámenes'!$C$5:$C$1000, A583))</f>
        <v/>
      </c>
      <c r="M583" s="6" t="str">
        <f>IF($A583="","",IF(COUNTIF('Base Exámenes'!$C$5:$C$1000, A583)&gt;0, "", TRIM('Base Oficial'!H583)))</f>
        <v/>
      </c>
    </row>
    <row r="584">
      <c r="A584" s="4" t="str">
        <f>IF('Base Oficial'!A584="","",TRIM('Base Oficial'!A584))</f>
        <v/>
      </c>
      <c r="B584" s="6" t="str">
        <f>IF($A584="","",TRIM('Base Oficial'!B584))</f>
        <v/>
      </c>
      <c r="C584" s="6" t="str">
        <f>IF($A584="","",TRIM('Base Oficial'!F584))</f>
        <v/>
      </c>
      <c r="D584" s="6" t="str">
        <f>IF($A584="","",TRIM('Base Oficial'!G584))</f>
        <v/>
      </c>
      <c r="E584" s="6" t="str">
        <f>IF($A584="","",TRIM('Base Oficial'!D584))</f>
        <v/>
      </c>
      <c r="F584" s="4" t="str">
        <f>IF($A584="","",IF(COUNTIF('Base Exámenes'!$C$5:$C$1000, A584)&gt;0, "Completado", IF(M584&lt;&gt;"", M584, "Pendiente")))</f>
        <v/>
      </c>
      <c r="G584" s="11" t="str">
        <f>IF(F584="Completado", IFERROR(IF(INDEX('Base Exámenes'!$D$5:$D$1000, MATCH(A584&amp;"|"&amp;J584, 'Base Exámenes'!$I$5:$I$1000, 0))="", "", INDEX('Base Exámenes'!$D$5:$D$1000, MATCH(A584&amp;"|"&amp;J584, 'Base Exámenes'!$I$5:$I$1000, 0))), ""), "")</f>
        <v/>
      </c>
      <c r="H584" s="11" t="str">
        <f>IF(F584="Completado", IFERROR(IF(INDEX('Base Exámenes'!$E$5:$E$1000, MATCH(A584&amp;"|"&amp;J584, 'Base Exámenes'!$I$5:$I$1000, 0))="", "", INDEX('Base Exámenes'!$E$5:$E$1000, MATCH(A584&amp;"|"&amp;J584, 'Base Exámenes'!$I$5:$I$1000, 0))), ""), "")</f>
        <v/>
      </c>
      <c r="I584" s="10" t="str">
        <f>IF(F584="Completado", IFERROR(IF(INDEX('Base Exámenes'!$F$5:$F$1000, MATCH(A584&amp;"|"&amp;J584, 'Base Exámenes'!$I$5:$I$1000, 0))="", "", INDEX('Base Exámenes'!$F$5:$F$1000, MATCH(A584&amp;"|"&amp;J584, 'Base Exámenes'!$I$5:$I$1000, 0))), ""), "")</f>
        <v/>
      </c>
      <c r="J584" s="6" t="str">
        <f>IF(F584="Completado", IF(COUNTIFS('Base Exámenes'!$C$5:$C$1000, A584, 'Base Exámenes'!$G$5:$G$1000, "&lt;&gt;")=0, "", _xlfn.MAXIFS('Base Exámenes'!$G$5:$G$1000, 'Base Exámenes'!$C$5:$C$1000, A584)), "")</f>
        <v/>
      </c>
      <c r="K584" s="6" t="str">
        <f>IF(F584="Completado", IFERROR(IF(INDEX('Base Exámenes'!$H$5:$H$1000, MATCH(A584&amp;"|"&amp;J584, 'Base Exámenes'!$I$5:$I$1000, 0))="", "", INDEX('Base Exámenes'!$H$5:$H$1000, MATCH(A584&amp;"|"&amp;J584, 'Base Exámenes'!$I$5:$I$1000, 0))), ""), "")</f>
        <v/>
      </c>
      <c r="L584" s="22" t="str">
        <f>IF($A584="","",COUNTIF('Base Exámenes'!$C$5:$C$1000, A584))</f>
        <v/>
      </c>
      <c r="M584" s="6" t="str">
        <f>IF($A584="","",IF(COUNTIF('Base Exámenes'!$C$5:$C$1000, A584)&gt;0, "", TRIM('Base Oficial'!H584)))</f>
        <v/>
      </c>
    </row>
    <row r="585">
      <c r="A585" s="4" t="str">
        <f>IF('Base Oficial'!A585="","",TRIM('Base Oficial'!A585))</f>
        <v/>
      </c>
      <c r="B585" s="6" t="str">
        <f>IF($A585="","",TRIM('Base Oficial'!B585))</f>
        <v/>
      </c>
      <c r="C585" s="6" t="str">
        <f>IF($A585="","",TRIM('Base Oficial'!F585))</f>
        <v/>
      </c>
      <c r="D585" s="6" t="str">
        <f>IF($A585="","",TRIM('Base Oficial'!G585))</f>
        <v/>
      </c>
      <c r="E585" s="6" t="str">
        <f>IF($A585="","",TRIM('Base Oficial'!D585))</f>
        <v/>
      </c>
      <c r="F585" s="4" t="str">
        <f>IF($A585="","",IF(COUNTIF('Base Exámenes'!$C$5:$C$1000, A585)&gt;0, "Completado", IF(M585&lt;&gt;"", M585, "Pendiente")))</f>
        <v/>
      </c>
      <c r="G585" s="11" t="str">
        <f>IF(F585="Completado", IFERROR(IF(INDEX('Base Exámenes'!$D$5:$D$1000, MATCH(A585&amp;"|"&amp;J585, 'Base Exámenes'!$I$5:$I$1000, 0))="", "", INDEX('Base Exámenes'!$D$5:$D$1000, MATCH(A585&amp;"|"&amp;J585, 'Base Exámenes'!$I$5:$I$1000, 0))), ""), "")</f>
        <v/>
      </c>
      <c r="H585" s="11" t="str">
        <f>IF(F585="Completado", IFERROR(IF(INDEX('Base Exámenes'!$E$5:$E$1000, MATCH(A585&amp;"|"&amp;J585, 'Base Exámenes'!$I$5:$I$1000, 0))="", "", INDEX('Base Exámenes'!$E$5:$E$1000, MATCH(A585&amp;"|"&amp;J585, 'Base Exámenes'!$I$5:$I$1000, 0))), ""), "")</f>
        <v/>
      </c>
      <c r="I585" s="10" t="str">
        <f>IF(F585="Completado", IFERROR(IF(INDEX('Base Exámenes'!$F$5:$F$1000, MATCH(A585&amp;"|"&amp;J585, 'Base Exámenes'!$I$5:$I$1000, 0))="", "", INDEX('Base Exámenes'!$F$5:$F$1000, MATCH(A585&amp;"|"&amp;J585, 'Base Exámenes'!$I$5:$I$1000, 0))), ""), "")</f>
        <v/>
      </c>
      <c r="J585" s="6" t="str">
        <f>IF(F585="Completado", IF(COUNTIFS('Base Exámenes'!$C$5:$C$1000, A585, 'Base Exámenes'!$G$5:$G$1000, "&lt;&gt;")=0, "", _xlfn.MAXIFS('Base Exámenes'!$G$5:$G$1000, 'Base Exámenes'!$C$5:$C$1000, A585)), "")</f>
        <v/>
      </c>
      <c r="K585" s="6" t="str">
        <f>IF(F585="Completado", IFERROR(IF(INDEX('Base Exámenes'!$H$5:$H$1000, MATCH(A585&amp;"|"&amp;J585, 'Base Exámenes'!$I$5:$I$1000, 0))="", "", INDEX('Base Exámenes'!$H$5:$H$1000, MATCH(A585&amp;"|"&amp;J585, 'Base Exámenes'!$I$5:$I$1000, 0))), ""), "")</f>
        <v/>
      </c>
      <c r="L585" s="22" t="str">
        <f>IF($A585="","",COUNTIF('Base Exámenes'!$C$5:$C$1000, A585))</f>
        <v/>
      </c>
      <c r="M585" s="6" t="str">
        <f>IF($A585="","",IF(COUNTIF('Base Exámenes'!$C$5:$C$1000, A585)&gt;0, "", TRIM('Base Oficial'!H585)))</f>
        <v/>
      </c>
    </row>
    <row r="586">
      <c r="A586" s="4" t="str">
        <f>IF('Base Oficial'!A586="","",TRIM('Base Oficial'!A586))</f>
        <v/>
      </c>
      <c r="B586" s="6" t="str">
        <f>IF($A586="","",TRIM('Base Oficial'!B586))</f>
        <v/>
      </c>
      <c r="C586" s="6" t="str">
        <f>IF($A586="","",TRIM('Base Oficial'!F586))</f>
        <v/>
      </c>
      <c r="D586" s="6" t="str">
        <f>IF($A586="","",TRIM('Base Oficial'!G586))</f>
        <v/>
      </c>
      <c r="E586" s="6" t="str">
        <f>IF($A586="","",TRIM('Base Oficial'!D586))</f>
        <v/>
      </c>
      <c r="F586" s="4" t="str">
        <f>IF($A586="","",IF(COUNTIF('Base Exámenes'!$C$5:$C$1000, A586)&gt;0, "Completado", IF(M586&lt;&gt;"", M586, "Pendiente")))</f>
        <v/>
      </c>
      <c r="G586" s="11" t="str">
        <f>IF(F586="Completado", IFERROR(IF(INDEX('Base Exámenes'!$D$5:$D$1000, MATCH(A586&amp;"|"&amp;J586, 'Base Exámenes'!$I$5:$I$1000, 0))="", "", INDEX('Base Exámenes'!$D$5:$D$1000, MATCH(A586&amp;"|"&amp;J586, 'Base Exámenes'!$I$5:$I$1000, 0))), ""), "")</f>
        <v/>
      </c>
      <c r="H586" s="11" t="str">
        <f>IF(F586="Completado", IFERROR(IF(INDEX('Base Exámenes'!$E$5:$E$1000, MATCH(A586&amp;"|"&amp;J586, 'Base Exámenes'!$I$5:$I$1000, 0))="", "", INDEX('Base Exámenes'!$E$5:$E$1000, MATCH(A586&amp;"|"&amp;J586, 'Base Exámenes'!$I$5:$I$1000, 0))), ""), "")</f>
        <v/>
      </c>
      <c r="I586" s="10" t="str">
        <f>IF(F586="Completado", IFERROR(IF(INDEX('Base Exámenes'!$F$5:$F$1000, MATCH(A586&amp;"|"&amp;J586, 'Base Exámenes'!$I$5:$I$1000, 0))="", "", INDEX('Base Exámenes'!$F$5:$F$1000, MATCH(A586&amp;"|"&amp;J586, 'Base Exámenes'!$I$5:$I$1000, 0))), ""), "")</f>
        <v/>
      </c>
      <c r="J586" s="6" t="str">
        <f>IF(F586="Completado", IF(COUNTIFS('Base Exámenes'!$C$5:$C$1000, A586, 'Base Exámenes'!$G$5:$G$1000, "&lt;&gt;")=0, "", _xlfn.MAXIFS('Base Exámenes'!$G$5:$G$1000, 'Base Exámenes'!$C$5:$C$1000, A586)), "")</f>
        <v/>
      </c>
      <c r="K586" s="6" t="str">
        <f>IF(F586="Completado", IFERROR(IF(INDEX('Base Exámenes'!$H$5:$H$1000, MATCH(A586&amp;"|"&amp;J586, 'Base Exámenes'!$I$5:$I$1000, 0))="", "", INDEX('Base Exámenes'!$H$5:$H$1000, MATCH(A586&amp;"|"&amp;J586, 'Base Exámenes'!$I$5:$I$1000, 0))), ""), "")</f>
        <v/>
      </c>
      <c r="L586" s="22" t="str">
        <f>IF($A586="","",COUNTIF('Base Exámenes'!$C$5:$C$1000, A586))</f>
        <v/>
      </c>
      <c r="M586" s="6" t="str">
        <f>IF($A586="","",IF(COUNTIF('Base Exámenes'!$C$5:$C$1000, A586)&gt;0, "", TRIM('Base Oficial'!H586)))</f>
        <v/>
      </c>
    </row>
    <row r="587">
      <c r="A587" s="4" t="str">
        <f>IF('Base Oficial'!A587="","",TRIM('Base Oficial'!A587))</f>
        <v/>
      </c>
      <c r="B587" s="6" t="str">
        <f>IF($A587="","",TRIM('Base Oficial'!B587))</f>
        <v/>
      </c>
      <c r="C587" s="6" t="str">
        <f>IF($A587="","",TRIM('Base Oficial'!F587))</f>
        <v/>
      </c>
      <c r="D587" s="6" t="str">
        <f>IF($A587="","",TRIM('Base Oficial'!G587))</f>
        <v/>
      </c>
      <c r="E587" s="6" t="str">
        <f>IF($A587="","",TRIM('Base Oficial'!D587))</f>
        <v/>
      </c>
      <c r="F587" s="4" t="str">
        <f>IF($A587="","",IF(COUNTIF('Base Exámenes'!$C$5:$C$1000, A587)&gt;0, "Completado", IF(M587&lt;&gt;"", M587, "Pendiente")))</f>
        <v/>
      </c>
      <c r="G587" s="11" t="str">
        <f>IF(F587="Completado", IFERROR(IF(INDEX('Base Exámenes'!$D$5:$D$1000, MATCH(A587&amp;"|"&amp;J587, 'Base Exámenes'!$I$5:$I$1000, 0))="", "", INDEX('Base Exámenes'!$D$5:$D$1000, MATCH(A587&amp;"|"&amp;J587, 'Base Exámenes'!$I$5:$I$1000, 0))), ""), "")</f>
        <v/>
      </c>
      <c r="H587" s="11" t="str">
        <f>IF(F587="Completado", IFERROR(IF(INDEX('Base Exámenes'!$E$5:$E$1000, MATCH(A587&amp;"|"&amp;J587, 'Base Exámenes'!$I$5:$I$1000, 0))="", "", INDEX('Base Exámenes'!$E$5:$E$1000, MATCH(A587&amp;"|"&amp;J587, 'Base Exámenes'!$I$5:$I$1000, 0))), ""), "")</f>
        <v/>
      </c>
      <c r="I587" s="10" t="str">
        <f>IF(F587="Completado", IFERROR(IF(INDEX('Base Exámenes'!$F$5:$F$1000, MATCH(A587&amp;"|"&amp;J587, 'Base Exámenes'!$I$5:$I$1000, 0))="", "", INDEX('Base Exámenes'!$F$5:$F$1000, MATCH(A587&amp;"|"&amp;J587, 'Base Exámenes'!$I$5:$I$1000, 0))), ""), "")</f>
        <v/>
      </c>
      <c r="J587" s="6" t="str">
        <f>IF(F587="Completado", IF(COUNTIFS('Base Exámenes'!$C$5:$C$1000, A587, 'Base Exámenes'!$G$5:$G$1000, "&lt;&gt;")=0, "", _xlfn.MAXIFS('Base Exámenes'!$G$5:$G$1000, 'Base Exámenes'!$C$5:$C$1000, A587)), "")</f>
        <v/>
      </c>
      <c r="K587" s="6" t="str">
        <f>IF(F587="Completado", IFERROR(IF(INDEX('Base Exámenes'!$H$5:$H$1000, MATCH(A587&amp;"|"&amp;J587, 'Base Exámenes'!$I$5:$I$1000, 0))="", "", INDEX('Base Exámenes'!$H$5:$H$1000, MATCH(A587&amp;"|"&amp;J587, 'Base Exámenes'!$I$5:$I$1000, 0))), ""), "")</f>
        <v/>
      </c>
      <c r="L587" s="22" t="str">
        <f>IF($A587="","",COUNTIF('Base Exámenes'!$C$5:$C$1000, A587))</f>
        <v/>
      </c>
      <c r="M587" s="6" t="str">
        <f>IF($A587="","",IF(COUNTIF('Base Exámenes'!$C$5:$C$1000, A587)&gt;0, "", TRIM('Base Oficial'!H587)))</f>
        <v/>
      </c>
    </row>
    <row r="588">
      <c r="A588" s="4" t="str">
        <f>IF('Base Oficial'!A588="","",TRIM('Base Oficial'!A588))</f>
        <v/>
      </c>
      <c r="B588" s="6" t="str">
        <f>IF($A588="","",TRIM('Base Oficial'!B588))</f>
        <v/>
      </c>
      <c r="C588" s="6" t="str">
        <f>IF($A588="","",TRIM('Base Oficial'!F588))</f>
        <v/>
      </c>
      <c r="D588" s="6" t="str">
        <f>IF($A588="","",TRIM('Base Oficial'!G588))</f>
        <v/>
      </c>
      <c r="E588" s="6" t="str">
        <f>IF($A588="","",TRIM('Base Oficial'!D588))</f>
        <v/>
      </c>
      <c r="F588" s="4" t="str">
        <f>IF($A588="","",IF(COUNTIF('Base Exámenes'!$C$5:$C$1000, A588)&gt;0, "Completado", IF(M588&lt;&gt;"", M588, "Pendiente")))</f>
        <v/>
      </c>
      <c r="G588" s="11" t="str">
        <f>IF(F588="Completado", IFERROR(IF(INDEX('Base Exámenes'!$D$5:$D$1000, MATCH(A588&amp;"|"&amp;J588, 'Base Exámenes'!$I$5:$I$1000, 0))="", "", INDEX('Base Exámenes'!$D$5:$D$1000, MATCH(A588&amp;"|"&amp;J588, 'Base Exámenes'!$I$5:$I$1000, 0))), ""), "")</f>
        <v/>
      </c>
      <c r="H588" s="11" t="str">
        <f>IF(F588="Completado", IFERROR(IF(INDEX('Base Exámenes'!$E$5:$E$1000, MATCH(A588&amp;"|"&amp;J588, 'Base Exámenes'!$I$5:$I$1000, 0))="", "", INDEX('Base Exámenes'!$E$5:$E$1000, MATCH(A588&amp;"|"&amp;J588, 'Base Exámenes'!$I$5:$I$1000, 0))), ""), "")</f>
        <v/>
      </c>
      <c r="I588" s="10" t="str">
        <f>IF(F588="Completado", IFERROR(IF(INDEX('Base Exámenes'!$F$5:$F$1000, MATCH(A588&amp;"|"&amp;J588, 'Base Exámenes'!$I$5:$I$1000, 0))="", "", INDEX('Base Exámenes'!$F$5:$F$1000, MATCH(A588&amp;"|"&amp;J588, 'Base Exámenes'!$I$5:$I$1000, 0))), ""), "")</f>
        <v/>
      </c>
      <c r="J588" s="6" t="str">
        <f>IF(F588="Completado", IF(COUNTIFS('Base Exámenes'!$C$5:$C$1000, A588, 'Base Exámenes'!$G$5:$G$1000, "&lt;&gt;")=0, "", _xlfn.MAXIFS('Base Exámenes'!$G$5:$G$1000, 'Base Exámenes'!$C$5:$C$1000, A588)), "")</f>
        <v/>
      </c>
      <c r="K588" s="6" t="str">
        <f>IF(F588="Completado", IFERROR(IF(INDEX('Base Exámenes'!$H$5:$H$1000, MATCH(A588&amp;"|"&amp;J588, 'Base Exámenes'!$I$5:$I$1000, 0))="", "", INDEX('Base Exámenes'!$H$5:$H$1000, MATCH(A588&amp;"|"&amp;J588, 'Base Exámenes'!$I$5:$I$1000, 0))), ""), "")</f>
        <v/>
      </c>
      <c r="L588" s="22" t="str">
        <f>IF($A588="","",COUNTIF('Base Exámenes'!$C$5:$C$1000, A588))</f>
        <v/>
      </c>
      <c r="M588" s="6" t="str">
        <f>IF($A588="","",IF(COUNTIF('Base Exámenes'!$C$5:$C$1000, A588)&gt;0, "", TRIM('Base Oficial'!H588)))</f>
        <v/>
      </c>
    </row>
    <row r="589">
      <c r="A589" s="4" t="str">
        <f>IF('Base Oficial'!A589="","",TRIM('Base Oficial'!A589))</f>
        <v/>
      </c>
      <c r="B589" s="6" t="str">
        <f>IF($A589="","",TRIM('Base Oficial'!B589))</f>
        <v/>
      </c>
      <c r="C589" s="6" t="str">
        <f>IF($A589="","",TRIM('Base Oficial'!F589))</f>
        <v/>
      </c>
      <c r="D589" s="6" t="str">
        <f>IF($A589="","",TRIM('Base Oficial'!G589))</f>
        <v/>
      </c>
      <c r="E589" s="6" t="str">
        <f>IF($A589="","",TRIM('Base Oficial'!D589))</f>
        <v/>
      </c>
      <c r="F589" s="4" t="str">
        <f>IF($A589="","",IF(COUNTIF('Base Exámenes'!$C$5:$C$1000, A589)&gt;0, "Completado", IF(M589&lt;&gt;"", M589, "Pendiente")))</f>
        <v/>
      </c>
      <c r="G589" s="11" t="str">
        <f>IF(F589="Completado", IFERROR(IF(INDEX('Base Exámenes'!$D$5:$D$1000, MATCH(A589&amp;"|"&amp;J589, 'Base Exámenes'!$I$5:$I$1000, 0))="", "", INDEX('Base Exámenes'!$D$5:$D$1000, MATCH(A589&amp;"|"&amp;J589, 'Base Exámenes'!$I$5:$I$1000, 0))), ""), "")</f>
        <v/>
      </c>
      <c r="H589" s="11" t="str">
        <f>IF(F589="Completado", IFERROR(IF(INDEX('Base Exámenes'!$E$5:$E$1000, MATCH(A589&amp;"|"&amp;J589, 'Base Exámenes'!$I$5:$I$1000, 0))="", "", INDEX('Base Exámenes'!$E$5:$E$1000, MATCH(A589&amp;"|"&amp;J589, 'Base Exámenes'!$I$5:$I$1000, 0))), ""), "")</f>
        <v/>
      </c>
      <c r="I589" s="10" t="str">
        <f>IF(F589="Completado", IFERROR(IF(INDEX('Base Exámenes'!$F$5:$F$1000, MATCH(A589&amp;"|"&amp;J589, 'Base Exámenes'!$I$5:$I$1000, 0))="", "", INDEX('Base Exámenes'!$F$5:$F$1000, MATCH(A589&amp;"|"&amp;J589, 'Base Exámenes'!$I$5:$I$1000, 0))), ""), "")</f>
        <v/>
      </c>
      <c r="J589" s="6" t="str">
        <f>IF(F589="Completado", IF(COUNTIFS('Base Exámenes'!$C$5:$C$1000, A589, 'Base Exámenes'!$G$5:$G$1000, "&lt;&gt;")=0, "", _xlfn.MAXIFS('Base Exámenes'!$G$5:$G$1000, 'Base Exámenes'!$C$5:$C$1000, A589)), "")</f>
        <v/>
      </c>
      <c r="K589" s="6" t="str">
        <f>IF(F589="Completado", IFERROR(IF(INDEX('Base Exámenes'!$H$5:$H$1000, MATCH(A589&amp;"|"&amp;J589, 'Base Exámenes'!$I$5:$I$1000, 0))="", "", INDEX('Base Exámenes'!$H$5:$H$1000, MATCH(A589&amp;"|"&amp;J589, 'Base Exámenes'!$I$5:$I$1000, 0))), ""), "")</f>
        <v/>
      </c>
      <c r="L589" s="22" t="str">
        <f>IF($A589="","",COUNTIF('Base Exámenes'!$C$5:$C$1000, A589))</f>
        <v/>
      </c>
      <c r="M589" s="6" t="str">
        <f>IF($A589="","",IF(COUNTIF('Base Exámenes'!$C$5:$C$1000, A589)&gt;0, "", TRIM('Base Oficial'!H589)))</f>
        <v/>
      </c>
    </row>
    <row r="590">
      <c r="A590" s="4" t="str">
        <f>IF('Base Oficial'!A590="","",TRIM('Base Oficial'!A590))</f>
        <v/>
      </c>
      <c r="B590" s="6" t="str">
        <f>IF($A590="","",TRIM('Base Oficial'!B590))</f>
        <v/>
      </c>
      <c r="C590" s="6" t="str">
        <f>IF($A590="","",TRIM('Base Oficial'!F590))</f>
        <v/>
      </c>
      <c r="D590" s="6" t="str">
        <f>IF($A590="","",TRIM('Base Oficial'!G590))</f>
        <v/>
      </c>
      <c r="E590" s="6" t="str">
        <f>IF($A590="","",TRIM('Base Oficial'!D590))</f>
        <v/>
      </c>
      <c r="F590" s="4" t="str">
        <f>IF($A590="","",IF(COUNTIF('Base Exámenes'!$C$5:$C$1000, A590)&gt;0, "Completado", IF(M590&lt;&gt;"", M590, "Pendiente")))</f>
        <v/>
      </c>
      <c r="G590" s="11" t="str">
        <f>IF(F590="Completado", IFERROR(IF(INDEX('Base Exámenes'!$D$5:$D$1000, MATCH(A590&amp;"|"&amp;J590, 'Base Exámenes'!$I$5:$I$1000, 0))="", "", INDEX('Base Exámenes'!$D$5:$D$1000, MATCH(A590&amp;"|"&amp;J590, 'Base Exámenes'!$I$5:$I$1000, 0))), ""), "")</f>
        <v/>
      </c>
      <c r="H590" s="11" t="str">
        <f>IF(F590="Completado", IFERROR(IF(INDEX('Base Exámenes'!$E$5:$E$1000, MATCH(A590&amp;"|"&amp;J590, 'Base Exámenes'!$I$5:$I$1000, 0))="", "", INDEX('Base Exámenes'!$E$5:$E$1000, MATCH(A590&amp;"|"&amp;J590, 'Base Exámenes'!$I$5:$I$1000, 0))), ""), "")</f>
        <v/>
      </c>
      <c r="I590" s="10" t="str">
        <f>IF(F590="Completado", IFERROR(IF(INDEX('Base Exámenes'!$F$5:$F$1000, MATCH(A590&amp;"|"&amp;J590, 'Base Exámenes'!$I$5:$I$1000, 0))="", "", INDEX('Base Exámenes'!$F$5:$F$1000, MATCH(A590&amp;"|"&amp;J590, 'Base Exámenes'!$I$5:$I$1000, 0))), ""), "")</f>
        <v/>
      </c>
      <c r="J590" s="6" t="str">
        <f>IF(F590="Completado", IF(COUNTIFS('Base Exámenes'!$C$5:$C$1000, A590, 'Base Exámenes'!$G$5:$G$1000, "&lt;&gt;")=0, "", _xlfn.MAXIFS('Base Exámenes'!$G$5:$G$1000, 'Base Exámenes'!$C$5:$C$1000, A590)), "")</f>
        <v/>
      </c>
      <c r="K590" s="6" t="str">
        <f>IF(F590="Completado", IFERROR(IF(INDEX('Base Exámenes'!$H$5:$H$1000, MATCH(A590&amp;"|"&amp;J590, 'Base Exámenes'!$I$5:$I$1000, 0))="", "", INDEX('Base Exámenes'!$H$5:$H$1000, MATCH(A590&amp;"|"&amp;J590, 'Base Exámenes'!$I$5:$I$1000, 0))), ""), "")</f>
        <v/>
      </c>
      <c r="L590" s="22" t="str">
        <f>IF($A590="","",COUNTIF('Base Exámenes'!$C$5:$C$1000, A590))</f>
        <v/>
      </c>
      <c r="M590" s="6" t="str">
        <f>IF($A590="","",IF(COUNTIF('Base Exámenes'!$C$5:$C$1000, A590)&gt;0, "", TRIM('Base Oficial'!H590)))</f>
        <v/>
      </c>
    </row>
    <row r="591">
      <c r="A591" s="4" t="str">
        <f>IF('Base Oficial'!A591="","",TRIM('Base Oficial'!A591))</f>
        <v/>
      </c>
      <c r="B591" s="6" t="str">
        <f>IF($A591="","",TRIM('Base Oficial'!B591))</f>
        <v/>
      </c>
      <c r="C591" s="6" t="str">
        <f>IF($A591="","",TRIM('Base Oficial'!F591))</f>
        <v/>
      </c>
      <c r="D591" s="6" t="str">
        <f>IF($A591="","",TRIM('Base Oficial'!G591))</f>
        <v/>
      </c>
      <c r="E591" s="6" t="str">
        <f>IF($A591="","",TRIM('Base Oficial'!D591))</f>
        <v/>
      </c>
      <c r="F591" s="4" t="str">
        <f>IF($A591="","",IF(COUNTIF('Base Exámenes'!$C$5:$C$1000, A591)&gt;0, "Completado", IF(M591&lt;&gt;"", M591, "Pendiente")))</f>
        <v/>
      </c>
      <c r="G591" s="11" t="str">
        <f>IF(F591="Completado", IFERROR(IF(INDEX('Base Exámenes'!$D$5:$D$1000, MATCH(A591&amp;"|"&amp;J591, 'Base Exámenes'!$I$5:$I$1000, 0))="", "", INDEX('Base Exámenes'!$D$5:$D$1000, MATCH(A591&amp;"|"&amp;J591, 'Base Exámenes'!$I$5:$I$1000, 0))), ""), "")</f>
        <v/>
      </c>
      <c r="H591" s="11" t="str">
        <f>IF(F591="Completado", IFERROR(IF(INDEX('Base Exámenes'!$E$5:$E$1000, MATCH(A591&amp;"|"&amp;J591, 'Base Exámenes'!$I$5:$I$1000, 0))="", "", INDEX('Base Exámenes'!$E$5:$E$1000, MATCH(A591&amp;"|"&amp;J591, 'Base Exámenes'!$I$5:$I$1000, 0))), ""), "")</f>
        <v/>
      </c>
      <c r="I591" s="10" t="str">
        <f>IF(F591="Completado", IFERROR(IF(INDEX('Base Exámenes'!$F$5:$F$1000, MATCH(A591&amp;"|"&amp;J591, 'Base Exámenes'!$I$5:$I$1000, 0))="", "", INDEX('Base Exámenes'!$F$5:$F$1000, MATCH(A591&amp;"|"&amp;J591, 'Base Exámenes'!$I$5:$I$1000, 0))), ""), "")</f>
        <v/>
      </c>
      <c r="J591" s="6" t="str">
        <f>IF(F591="Completado", IF(COUNTIFS('Base Exámenes'!$C$5:$C$1000, A591, 'Base Exámenes'!$G$5:$G$1000, "&lt;&gt;")=0, "", _xlfn.MAXIFS('Base Exámenes'!$G$5:$G$1000, 'Base Exámenes'!$C$5:$C$1000, A591)), "")</f>
        <v/>
      </c>
      <c r="K591" s="6" t="str">
        <f>IF(F591="Completado", IFERROR(IF(INDEX('Base Exámenes'!$H$5:$H$1000, MATCH(A591&amp;"|"&amp;J591, 'Base Exámenes'!$I$5:$I$1000, 0))="", "", INDEX('Base Exámenes'!$H$5:$H$1000, MATCH(A591&amp;"|"&amp;J591, 'Base Exámenes'!$I$5:$I$1000, 0))), ""), "")</f>
        <v/>
      </c>
      <c r="L591" s="22" t="str">
        <f>IF($A591="","",COUNTIF('Base Exámenes'!$C$5:$C$1000, A591))</f>
        <v/>
      </c>
      <c r="M591" s="6" t="str">
        <f>IF($A591="","",IF(COUNTIF('Base Exámenes'!$C$5:$C$1000, A591)&gt;0, "", TRIM('Base Oficial'!H591)))</f>
        <v/>
      </c>
    </row>
    <row r="592">
      <c r="A592" s="4" t="str">
        <f>IF('Base Oficial'!A592="","",TRIM('Base Oficial'!A592))</f>
        <v/>
      </c>
      <c r="B592" s="6" t="str">
        <f>IF($A592="","",TRIM('Base Oficial'!B592))</f>
        <v/>
      </c>
      <c r="C592" s="6" t="str">
        <f>IF($A592="","",TRIM('Base Oficial'!F592))</f>
        <v/>
      </c>
      <c r="D592" s="6" t="str">
        <f>IF($A592="","",TRIM('Base Oficial'!G592))</f>
        <v/>
      </c>
      <c r="E592" s="6" t="str">
        <f>IF($A592="","",TRIM('Base Oficial'!D592))</f>
        <v/>
      </c>
      <c r="F592" s="4" t="str">
        <f>IF($A592="","",IF(COUNTIF('Base Exámenes'!$C$5:$C$1000, A592)&gt;0, "Completado", IF(M592&lt;&gt;"", M592, "Pendiente")))</f>
        <v/>
      </c>
      <c r="G592" s="11" t="str">
        <f>IF(F592="Completado", IFERROR(IF(INDEX('Base Exámenes'!$D$5:$D$1000, MATCH(A592&amp;"|"&amp;J592, 'Base Exámenes'!$I$5:$I$1000, 0))="", "", INDEX('Base Exámenes'!$D$5:$D$1000, MATCH(A592&amp;"|"&amp;J592, 'Base Exámenes'!$I$5:$I$1000, 0))), ""), "")</f>
        <v/>
      </c>
      <c r="H592" s="11" t="str">
        <f>IF(F592="Completado", IFERROR(IF(INDEX('Base Exámenes'!$E$5:$E$1000, MATCH(A592&amp;"|"&amp;J592, 'Base Exámenes'!$I$5:$I$1000, 0))="", "", INDEX('Base Exámenes'!$E$5:$E$1000, MATCH(A592&amp;"|"&amp;J592, 'Base Exámenes'!$I$5:$I$1000, 0))), ""), "")</f>
        <v/>
      </c>
      <c r="I592" s="10" t="str">
        <f>IF(F592="Completado", IFERROR(IF(INDEX('Base Exámenes'!$F$5:$F$1000, MATCH(A592&amp;"|"&amp;J592, 'Base Exámenes'!$I$5:$I$1000, 0))="", "", INDEX('Base Exámenes'!$F$5:$F$1000, MATCH(A592&amp;"|"&amp;J592, 'Base Exámenes'!$I$5:$I$1000, 0))), ""), "")</f>
        <v/>
      </c>
      <c r="J592" s="6" t="str">
        <f>IF(F592="Completado", IF(COUNTIFS('Base Exámenes'!$C$5:$C$1000, A592, 'Base Exámenes'!$G$5:$G$1000, "&lt;&gt;")=0, "", _xlfn.MAXIFS('Base Exámenes'!$G$5:$G$1000, 'Base Exámenes'!$C$5:$C$1000, A592)), "")</f>
        <v/>
      </c>
      <c r="K592" s="6" t="str">
        <f>IF(F592="Completado", IFERROR(IF(INDEX('Base Exámenes'!$H$5:$H$1000, MATCH(A592&amp;"|"&amp;J592, 'Base Exámenes'!$I$5:$I$1000, 0))="", "", INDEX('Base Exámenes'!$H$5:$H$1000, MATCH(A592&amp;"|"&amp;J592, 'Base Exámenes'!$I$5:$I$1000, 0))), ""), "")</f>
        <v/>
      </c>
      <c r="L592" s="22" t="str">
        <f>IF($A592="","",COUNTIF('Base Exámenes'!$C$5:$C$1000, A592))</f>
        <v/>
      </c>
      <c r="M592" s="6" t="str">
        <f>IF($A592="","",IF(COUNTIF('Base Exámenes'!$C$5:$C$1000, A592)&gt;0, "", TRIM('Base Oficial'!H592)))</f>
        <v/>
      </c>
    </row>
    <row r="593">
      <c r="A593" s="4" t="str">
        <f>IF('Base Oficial'!A593="","",TRIM('Base Oficial'!A593))</f>
        <v/>
      </c>
      <c r="B593" s="6" t="str">
        <f>IF($A593="","",TRIM('Base Oficial'!B593))</f>
        <v/>
      </c>
      <c r="C593" s="6" t="str">
        <f>IF($A593="","",TRIM('Base Oficial'!F593))</f>
        <v/>
      </c>
      <c r="D593" s="6" t="str">
        <f>IF($A593="","",TRIM('Base Oficial'!G593))</f>
        <v/>
      </c>
      <c r="E593" s="6" t="str">
        <f>IF($A593="","",TRIM('Base Oficial'!D593))</f>
        <v/>
      </c>
      <c r="F593" s="4" t="str">
        <f>IF($A593="","",IF(COUNTIF('Base Exámenes'!$C$5:$C$1000, A593)&gt;0, "Completado", IF(M593&lt;&gt;"", M593, "Pendiente")))</f>
        <v/>
      </c>
      <c r="G593" s="11" t="str">
        <f>IF(F593="Completado", IFERROR(IF(INDEX('Base Exámenes'!$D$5:$D$1000, MATCH(A593&amp;"|"&amp;J593, 'Base Exámenes'!$I$5:$I$1000, 0))="", "", INDEX('Base Exámenes'!$D$5:$D$1000, MATCH(A593&amp;"|"&amp;J593, 'Base Exámenes'!$I$5:$I$1000, 0))), ""), "")</f>
        <v/>
      </c>
      <c r="H593" s="11" t="str">
        <f>IF(F593="Completado", IFERROR(IF(INDEX('Base Exámenes'!$E$5:$E$1000, MATCH(A593&amp;"|"&amp;J593, 'Base Exámenes'!$I$5:$I$1000, 0))="", "", INDEX('Base Exámenes'!$E$5:$E$1000, MATCH(A593&amp;"|"&amp;J593, 'Base Exámenes'!$I$5:$I$1000, 0))), ""), "")</f>
        <v/>
      </c>
      <c r="I593" s="10" t="str">
        <f>IF(F593="Completado", IFERROR(IF(INDEX('Base Exámenes'!$F$5:$F$1000, MATCH(A593&amp;"|"&amp;J593, 'Base Exámenes'!$I$5:$I$1000, 0))="", "", INDEX('Base Exámenes'!$F$5:$F$1000, MATCH(A593&amp;"|"&amp;J593, 'Base Exámenes'!$I$5:$I$1000, 0))), ""), "")</f>
        <v/>
      </c>
      <c r="J593" s="6" t="str">
        <f>IF(F593="Completado", IF(COUNTIFS('Base Exámenes'!$C$5:$C$1000, A593, 'Base Exámenes'!$G$5:$G$1000, "&lt;&gt;")=0, "", _xlfn.MAXIFS('Base Exámenes'!$G$5:$G$1000, 'Base Exámenes'!$C$5:$C$1000, A593)), "")</f>
        <v/>
      </c>
      <c r="K593" s="6" t="str">
        <f>IF(F593="Completado", IFERROR(IF(INDEX('Base Exámenes'!$H$5:$H$1000, MATCH(A593&amp;"|"&amp;J593, 'Base Exámenes'!$I$5:$I$1000, 0))="", "", INDEX('Base Exámenes'!$H$5:$H$1000, MATCH(A593&amp;"|"&amp;J593, 'Base Exámenes'!$I$5:$I$1000, 0))), ""), "")</f>
        <v/>
      </c>
      <c r="L593" s="22" t="str">
        <f>IF($A593="","",COUNTIF('Base Exámenes'!$C$5:$C$1000, A593))</f>
        <v/>
      </c>
      <c r="M593" s="6" t="str">
        <f>IF($A593="","",IF(COUNTIF('Base Exámenes'!$C$5:$C$1000, A593)&gt;0, "", TRIM('Base Oficial'!H593)))</f>
        <v/>
      </c>
    </row>
    <row r="594">
      <c r="A594" s="4" t="str">
        <f>IF('Base Oficial'!A594="","",TRIM('Base Oficial'!A594))</f>
        <v/>
      </c>
      <c r="B594" s="6" t="str">
        <f>IF($A594="","",TRIM('Base Oficial'!B594))</f>
        <v/>
      </c>
      <c r="C594" s="6" t="str">
        <f>IF($A594="","",TRIM('Base Oficial'!F594))</f>
        <v/>
      </c>
      <c r="D594" s="6" t="str">
        <f>IF($A594="","",TRIM('Base Oficial'!G594))</f>
        <v/>
      </c>
      <c r="E594" s="6" t="str">
        <f>IF($A594="","",TRIM('Base Oficial'!D594))</f>
        <v/>
      </c>
      <c r="F594" s="4" t="str">
        <f>IF($A594="","",IF(COUNTIF('Base Exámenes'!$C$5:$C$1000, A594)&gt;0, "Completado", IF(M594&lt;&gt;"", M594, "Pendiente")))</f>
        <v/>
      </c>
      <c r="G594" s="11" t="str">
        <f>IF(F594="Completado", IFERROR(IF(INDEX('Base Exámenes'!$D$5:$D$1000, MATCH(A594&amp;"|"&amp;J594, 'Base Exámenes'!$I$5:$I$1000, 0))="", "", INDEX('Base Exámenes'!$D$5:$D$1000, MATCH(A594&amp;"|"&amp;J594, 'Base Exámenes'!$I$5:$I$1000, 0))), ""), "")</f>
        <v/>
      </c>
      <c r="H594" s="11" t="str">
        <f>IF(F594="Completado", IFERROR(IF(INDEX('Base Exámenes'!$E$5:$E$1000, MATCH(A594&amp;"|"&amp;J594, 'Base Exámenes'!$I$5:$I$1000, 0))="", "", INDEX('Base Exámenes'!$E$5:$E$1000, MATCH(A594&amp;"|"&amp;J594, 'Base Exámenes'!$I$5:$I$1000, 0))), ""), "")</f>
        <v/>
      </c>
      <c r="I594" s="10" t="str">
        <f>IF(F594="Completado", IFERROR(IF(INDEX('Base Exámenes'!$F$5:$F$1000, MATCH(A594&amp;"|"&amp;J594, 'Base Exámenes'!$I$5:$I$1000, 0))="", "", INDEX('Base Exámenes'!$F$5:$F$1000, MATCH(A594&amp;"|"&amp;J594, 'Base Exámenes'!$I$5:$I$1000, 0))), ""), "")</f>
        <v/>
      </c>
      <c r="J594" s="6" t="str">
        <f>IF(F594="Completado", IF(COUNTIFS('Base Exámenes'!$C$5:$C$1000, A594, 'Base Exámenes'!$G$5:$G$1000, "&lt;&gt;")=0, "", _xlfn.MAXIFS('Base Exámenes'!$G$5:$G$1000, 'Base Exámenes'!$C$5:$C$1000, A594)), "")</f>
        <v/>
      </c>
      <c r="K594" s="6" t="str">
        <f>IF(F594="Completado", IFERROR(IF(INDEX('Base Exámenes'!$H$5:$H$1000, MATCH(A594&amp;"|"&amp;J594, 'Base Exámenes'!$I$5:$I$1000, 0))="", "", INDEX('Base Exámenes'!$H$5:$H$1000, MATCH(A594&amp;"|"&amp;J594, 'Base Exámenes'!$I$5:$I$1000, 0))), ""), "")</f>
        <v/>
      </c>
      <c r="L594" s="22" t="str">
        <f>IF($A594="","",COUNTIF('Base Exámenes'!$C$5:$C$1000, A594))</f>
        <v/>
      </c>
      <c r="M594" s="6" t="str">
        <f>IF($A594="","",IF(COUNTIF('Base Exámenes'!$C$5:$C$1000, A594)&gt;0, "", TRIM('Base Oficial'!H594)))</f>
        <v/>
      </c>
    </row>
    <row r="595">
      <c r="A595" s="4" t="str">
        <f>IF('Base Oficial'!A595="","",TRIM('Base Oficial'!A595))</f>
        <v/>
      </c>
      <c r="B595" s="6" t="str">
        <f>IF($A595="","",TRIM('Base Oficial'!B595))</f>
        <v/>
      </c>
      <c r="C595" s="6" t="str">
        <f>IF($A595="","",TRIM('Base Oficial'!F595))</f>
        <v/>
      </c>
      <c r="D595" s="6" t="str">
        <f>IF($A595="","",TRIM('Base Oficial'!G595))</f>
        <v/>
      </c>
      <c r="E595" s="6" t="str">
        <f>IF($A595="","",TRIM('Base Oficial'!D595))</f>
        <v/>
      </c>
      <c r="F595" s="4" t="str">
        <f>IF($A595="","",IF(COUNTIF('Base Exámenes'!$C$5:$C$1000, A595)&gt;0, "Completado", IF(M595&lt;&gt;"", M595, "Pendiente")))</f>
        <v/>
      </c>
      <c r="G595" s="11" t="str">
        <f>IF(F595="Completado", IFERROR(IF(INDEX('Base Exámenes'!$D$5:$D$1000, MATCH(A595&amp;"|"&amp;J595, 'Base Exámenes'!$I$5:$I$1000, 0))="", "", INDEX('Base Exámenes'!$D$5:$D$1000, MATCH(A595&amp;"|"&amp;J595, 'Base Exámenes'!$I$5:$I$1000, 0))), ""), "")</f>
        <v/>
      </c>
      <c r="H595" s="11" t="str">
        <f>IF(F595="Completado", IFERROR(IF(INDEX('Base Exámenes'!$E$5:$E$1000, MATCH(A595&amp;"|"&amp;J595, 'Base Exámenes'!$I$5:$I$1000, 0))="", "", INDEX('Base Exámenes'!$E$5:$E$1000, MATCH(A595&amp;"|"&amp;J595, 'Base Exámenes'!$I$5:$I$1000, 0))), ""), "")</f>
        <v/>
      </c>
      <c r="I595" s="10" t="str">
        <f>IF(F595="Completado", IFERROR(IF(INDEX('Base Exámenes'!$F$5:$F$1000, MATCH(A595&amp;"|"&amp;J595, 'Base Exámenes'!$I$5:$I$1000, 0))="", "", INDEX('Base Exámenes'!$F$5:$F$1000, MATCH(A595&amp;"|"&amp;J595, 'Base Exámenes'!$I$5:$I$1000, 0))), ""), "")</f>
        <v/>
      </c>
      <c r="J595" s="6" t="str">
        <f>IF(F595="Completado", IF(COUNTIFS('Base Exámenes'!$C$5:$C$1000, A595, 'Base Exámenes'!$G$5:$G$1000, "&lt;&gt;")=0, "", _xlfn.MAXIFS('Base Exámenes'!$G$5:$G$1000, 'Base Exámenes'!$C$5:$C$1000, A595)), "")</f>
        <v/>
      </c>
      <c r="K595" s="6" t="str">
        <f>IF(F595="Completado", IFERROR(IF(INDEX('Base Exámenes'!$H$5:$H$1000, MATCH(A595&amp;"|"&amp;J595, 'Base Exámenes'!$I$5:$I$1000, 0))="", "", INDEX('Base Exámenes'!$H$5:$H$1000, MATCH(A595&amp;"|"&amp;J595, 'Base Exámenes'!$I$5:$I$1000, 0))), ""), "")</f>
        <v/>
      </c>
      <c r="L595" s="22" t="str">
        <f>IF($A595="","",COUNTIF('Base Exámenes'!$C$5:$C$1000, A595))</f>
        <v/>
      </c>
      <c r="M595" s="6" t="str">
        <f>IF($A595="","",IF(COUNTIF('Base Exámenes'!$C$5:$C$1000, A595)&gt;0, "", TRIM('Base Oficial'!H595)))</f>
        <v/>
      </c>
    </row>
    <row r="596">
      <c r="A596" s="4" t="str">
        <f>IF('Base Oficial'!A596="","",TRIM('Base Oficial'!A596))</f>
        <v/>
      </c>
      <c r="B596" s="6" t="str">
        <f>IF($A596="","",TRIM('Base Oficial'!B596))</f>
        <v/>
      </c>
      <c r="C596" s="6" t="str">
        <f>IF($A596="","",TRIM('Base Oficial'!F596))</f>
        <v/>
      </c>
      <c r="D596" s="6" t="str">
        <f>IF($A596="","",TRIM('Base Oficial'!G596))</f>
        <v/>
      </c>
      <c r="E596" s="6" t="str">
        <f>IF($A596="","",TRIM('Base Oficial'!D596))</f>
        <v/>
      </c>
      <c r="F596" s="4" t="str">
        <f>IF($A596="","",IF(COUNTIF('Base Exámenes'!$C$5:$C$1000, A596)&gt;0, "Completado", IF(M596&lt;&gt;"", M596, "Pendiente")))</f>
        <v/>
      </c>
      <c r="G596" s="11" t="str">
        <f>IF(F596="Completado", IFERROR(IF(INDEX('Base Exámenes'!$D$5:$D$1000, MATCH(A596&amp;"|"&amp;J596, 'Base Exámenes'!$I$5:$I$1000, 0))="", "", INDEX('Base Exámenes'!$D$5:$D$1000, MATCH(A596&amp;"|"&amp;J596, 'Base Exámenes'!$I$5:$I$1000, 0))), ""), "")</f>
        <v/>
      </c>
      <c r="H596" s="11" t="str">
        <f>IF(F596="Completado", IFERROR(IF(INDEX('Base Exámenes'!$E$5:$E$1000, MATCH(A596&amp;"|"&amp;J596, 'Base Exámenes'!$I$5:$I$1000, 0))="", "", INDEX('Base Exámenes'!$E$5:$E$1000, MATCH(A596&amp;"|"&amp;J596, 'Base Exámenes'!$I$5:$I$1000, 0))), ""), "")</f>
        <v/>
      </c>
      <c r="I596" s="10" t="str">
        <f>IF(F596="Completado", IFERROR(IF(INDEX('Base Exámenes'!$F$5:$F$1000, MATCH(A596&amp;"|"&amp;J596, 'Base Exámenes'!$I$5:$I$1000, 0))="", "", INDEX('Base Exámenes'!$F$5:$F$1000, MATCH(A596&amp;"|"&amp;J596, 'Base Exámenes'!$I$5:$I$1000, 0))), ""), "")</f>
        <v/>
      </c>
      <c r="J596" s="6" t="str">
        <f>IF(F596="Completado", IF(COUNTIFS('Base Exámenes'!$C$5:$C$1000, A596, 'Base Exámenes'!$G$5:$G$1000, "&lt;&gt;")=0, "", _xlfn.MAXIFS('Base Exámenes'!$G$5:$G$1000, 'Base Exámenes'!$C$5:$C$1000, A596)), "")</f>
        <v/>
      </c>
      <c r="K596" s="6" t="str">
        <f>IF(F596="Completado", IFERROR(IF(INDEX('Base Exámenes'!$H$5:$H$1000, MATCH(A596&amp;"|"&amp;J596, 'Base Exámenes'!$I$5:$I$1000, 0))="", "", INDEX('Base Exámenes'!$H$5:$H$1000, MATCH(A596&amp;"|"&amp;J596, 'Base Exámenes'!$I$5:$I$1000, 0))), ""), "")</f>
        <v/>
      </c>
      <c r="L596" s="22" t="str">
        <f>IF($A596="","",COUNTIF('Base Exámenes'!$C$5:$C$1000, A596))</f>
        <v/>
      </c>
      <c r="M596" s="6" t="str">
        <f>IF($A596="","",IF(COUNTIF('Base Exámenes'!$C$5:$C$1000, A596)&gt;0, "", TRIM('Base Oficial'!H596)))</f>
        <v/>
      </c>
    </row>
    <row r="597">
      <c r="A597" s="4" t="str">
        <f>IF('Base Oficial'!A597="","",TRIM('Base Oficial'!A597))</f>
        <v/>
      </c>
      <c r="B597" s="6" t="str">
        <f>IF($A597="","",TRIM('Base Oficial'!B597))</f>
        <v/>
      </c>
      <c r="C597" s="6" t="str">
        <f>IF($A597="","",TRIM('Base Oficial'!F597))</f>
        <v/>
      </c>
      <c r="D597" s="6" t="str">
        <f>IF($A597="","",TRIM('Base Oficial'!G597))</f>
        <v/>
      </c>
      <c r="E597" s="6" t="str">
        <f>IF($A597="","",TRIM('Base Oficial'!D597))</f>
        <v/>
      </c>
      <c r="F597" s="4" t="str">
        <f>IF($A597="","",IF(COUNTIF('Base Exámenes'!$C$5:$C$1000, A597)&gt;0, "Completado", IF(M597&lt;&gt;"", M597, "Pendiente")))</f>
        <v/>
      </c>
      <c r="G597" s="11" t="str">
        <f>IF(F597="Completado", IFERROR(IF(INDEX('Base Exámenes'!$D$5:$D$1000, MATCH(A597&amp;"|"&amp;J597, 'Base Exámenes'!$I$5:$I$1000, 0))="", "", INDEX('Base Exámenes'!$D$5:$D$1000, MATCH(A597&amp;"|"&amp;J597, 'Base Exámenes'!$I$5:$I$1000, 0))), ""), "")</f>
        <v/>
      </c>
      <c r="H597" s="11" t="str">
        <f>IF(F597="Completado", IFERROR(IF(INDEX('Base Exámenes'!$E$5:$E$1000, MATCH(A597&amp;"|"&amp;J597, 'Base Exámenes'!$I$5:$I$1000, 0))="", "", INDEX('Base Exámenes'!$E$5:$E$1000, MATCH(A597&amp;"|"&amp;J597, 'Base Exámenes'!$I$5:$I$1000, 0))), ""), "")</f>
        <v/>
      </c>
      <c r="I597" s="10" t="str">
        <f>IF(F597="Completado", IFERROR(IF(INDEX('Base Exámenes'!$F$5:$F$1000, MATCH(A597&amp;"|"&amp;J597, 'Base Exámenes'!$I$5:$I$1000, 0))="", "", INDEX('Base Exámenes'!$F$5:$F$1000, MATCH(A597&amp;"|"&amp;J597, 'Base Exámenes'!$I$5:$I$1000, 0))), ""), "")</f>
        <v/>
      </c>
      <c r="J597" s="6" t="str">
        <f>IF(F597="Completado", IF(COUNTIFS('Base Exámenes'!$C$5:$C$1000, A597, 'Base Exámenes'!$G$5:$G$1000, "&lt;&gt;")=0, "", _xlfn.MAXIFS('Base Exámenes'!$G$5:$G$1000, 'Base Exámenes'!$C$5:$C$1000, A597)), "")</f>
        <v/>
      </c>
      <c r="K597" s="6" t="str">
        <f>IF(F597="Completado", IFERROR(IF(INDEX('Base Exámenes'!$H$5:$H$1000, MATCH(A597&amp;"|"&amp;J597, 'Base Exámenes'!$I$5:$I$1000, 0))="", "", INDEX('Base Exámenes'!$H$5:$H$1000, MATCH(A597&amp;"|"&amp;J597, 'Base Exámenes'!$I$5:$I$1000, 0))), ""), "")</f>
        <v/>
      </c>
      <c r="L597" s="22" t="str">
        <f>IF($A597="","",COUNTIF('Base Exámenes'!$C$5:$C$1000, A597))</f>
        <v/>
      </c>
      <c r="M597" s="6" t="str">
        <f>IF($A597="","",IF(COUNTIF('Base Exámenes'!$C$5:$C$1000, A597)&gt;0, "", TRIM('Base Oficial'!H597)))</f>
        <v/>
      </c>
    </row>
    <row r="598">
      <c r="A598" s="4" t="str">
        <f>IF('Base Oficial'!A598="","",TRIM('Base Oficial'!A598))</f>
        <v/>
      </c>
      <c r="B598" s="6" t="str">
        <f>IF($A598="","",TRIM('Base Oficial'!B598))</f>
        <v/>
      </c>
      <c r="C598" s="6" t="str">
        <f>IF($A598="","",TRIM('Base Oficial'!F598))</f>
        <v/>
      </c>
      <c r="D598" s="6" t="str">
        <f>IF($A598="","",TRIM('Base Oficial'!G598))</f>
        <v/>
      </c>
      <c r="E598" s="6" t="str">
        <f>IF($A598="","",TRIM('Base Oficial'!D598))</f>
        <v/>
      </c>
      <c r="F598" s="4" t="str">
        <f>IF($A598="","",IF(COUNTIF('Base Exámenes'!$C$5:$C$1000, A598)&gt;0, "Completado", IF(M598&lt;&gt;"", M598, "Pendiente")))</f>
        <v/>
      </c>
      <c r="G598" s="11" t="str">
        <f>IF(F598="Completado", IFERROR(IF(INDEX('Base Exámenes'!$D$5:$D$1000, MATCH(A598&amp;"|"&amp;J598, 'Base Exámenes'!$I$5:$I$1000, 0))="", "", INDEX('Base Exámenes'!$D$5:$D$1000, MATCH(A598&amp;"|"&amp;J598, 'Base Exámenes'!$I$5:$I$1000, 0))), ""), "")</f>
        <v/>
      </c>
      <c r="H598" s="11" t="str">
        <f>IF(F598="Completado", IFERROR(IF(INDEX('Base Exámenes'!$E$5:$E$1000, MATCH(A598&amp;"|"&amp;J598, 'Base Exámenes'!$I$5:$I$1000, 0))="", "", INDEX('Base Exámenes'!$E$5:$E$1000, MATCH(A598&amp;"|"&amp;J598, 'Base Exámenes'!$I$5:$I$1000, 0))), ""), "")</f>
        <v/>
      </c>
      <c r="I598" s="10" t="str">
        <f>IF(F598="Completado", IFERROR(IF(INDEX('Base Exámenes'!$F$5:$F$1000, MATCH(A598&amp;"|"&amp;J598, 'Base Exámenes'!$I$5:$I$1000, 0))="", "", INDEX('Base Exámenes'!$F$5:$F$1000, MATCH(A598&amp;"|"&amp;J598, 'Base Exámenes'!$I$5:$I$1000, 0))), ""), "")</f>
        <v/>
      </c>
      <c r="J598" s="6" t="str">
        <f>IF(F598="Completado", IF(COUNTIFS('Base Exámenes'!$C$5:$C$1000, A598, 'Base Exámenes'!$G$5:$G$1000, "&lt;&gt;")=0, "", _xlfn.MAXIFS('Base Exámenes'!$G$5:$G$1000, 'Base Exámenes'!$C$5:$C$1000, A598)), "")</f>
        <v/>
      </c>
      <c r="K598" s="6" t="str">
        <f>IF(F598="Completado", IFERROR(IF(INDEX('Base Exámenes'!$H$5:$H$1000, MATCH(A598&amp;"|"&amp;J598, 'Base Exámenes'!$I$5:$I$1000, 0))="", "", INDEX('Base Exámenes'!$H$5:$H$1000, MATCH(A598&amp;"|"&amp;J598, 'Base Exámenes'!$I$5:$I$1000, 0))), ""), "")</f>
        <v/>
      </c>
      <c r="L598" s="22" t="str">
        <f>IF($A598="","",COUNTIF('Base Exámenes'!$C$5:$C$1000, A598))</f>
        <v/>
      </c>
      <c r="M598" s="6" t="str">
        <f>IF($A598="","",IF(COUNTIF('Base Exámenes'!$C$5:$C$1000, A598)&gt;0, "", TRIM('Base Oficial'!H598)))</f>
        <v/>
      </c>
    </row>
    <row r="599">
      <c r="A599" s="4" t="str">
        <f>IF('Base Oficial'!A599="","",TRIM('Base Oficial'!A599))</f>
        <v/>
      </c>
      <c r="B599" s="6" t="str">
        <f>IF($A599="","",TRIM('Base Oficial'!B599))</f>
        <v/>
      </c>
      <c r="C599" s="6" t="str">
        <f>IF($A599="","",TRIM('Base Oficial'!F599))</f>
        <v/>
      </c>
      <c r="D599" s="6" t="str">
        <f>IF($A599="","",TRIM('Base Oficial'!G599))</f>
        <v/>
      </c>
      <c r="E599" s="6" t="str">
        <f>IF($A599="","",TRIM('Base Oficial'!D599))</f>
        <v/>
      </c>
      <c r="F599" s="4" t="str">
        <f>IF($A599="","",IF(COUNTIF('Base Exámenes'!$C$5:$C$1000, A599)&gt;0, "Completado", IF(M599&lt;&gt;"", M599, "Pendiente")))</f>
        <v/>
      </c>
      <c r="G599" s="11" t="str">
        <f>IF(F599="Completado", IFERROR(IF(INDEX('Base Exámenes'!$D$5:$D$1000, MATCH(A599&amp;"|"&amp;J599, 'Base Exámenes'!$I$5:$I$1000, 0))="", "", INDEX('Base Exámenes'!$D$5:$D$1000, MATCH(A599&amp;"|"&amp;J599, 'Base Exámenes'!$I$5:$I$1000, 0))), ""), "")</f>
        <v/>
      </c>
      <c r="H599" s="11" t="str">
        <f>IF(F599="Completado", IFERROR(IF(INDEX('Base Exámenes'!$E$5:$E$1000, MATCH(A599&amp;"|"&amp;J599, 'Base Exámenes'!$I$5:$I$1000, 0))="", "", INDEX('Base Exámenes'!$E$5:$E$1000, MATCH(A599&amp;"|"&amp;J599, 'Base Exámenes'!$I$5:$I$1000, 0))), ""), "")</f>
        <v/>
      </c>
      <c r="I599" s="10" t="str">
        <f>IF(F599="Completado", IFERROR(IF(INDEX('Base Exámenes'!$F$5:$F$1000, MATCH(A599&amp;"|"&amp;J599, 'Base Exámenes'!$I$5:$I$1000, 0))="", "", INDEX('Base Exámenes'!$F$5:$F$1000, MATCH(A599&amp;"|"&amp;J599, 'Base Exámenes'!$I$5:$I$1000, 0))), ""), "")</f>
        <v/>
      </c>
      <c r="J599" s="6" t="str">
        <f>IF(F599="Completado", IF(COUNTIFS('Base Exámenes'!$C$5:$C$1000, A599, 'Base Exámenes'!$G$5:$G$1000, "&lt;&gt;")=0, "", _xlfn.MAXIFS('Base Exámenes'!$G$5:$G$1000, 'Base Exámenes'!$C$5:$C$1000, A599)), "")</f>
        <v/>
      </c>
      <c r="K599" s="6" t="str">
        <f>IF(F599="Completado", IFERROR(IF(INDEX('Base Exámenes'!$H$5:$H$1000, MATCH(A599&amp;"|"&amp;J599, 'Base Exámenes'!$I$5:$I$1000, 0))="", "", INDEX('Base Exámenes'!$H$5:$H$1000, MATCH(A599&amp;"|"&amp;J599, 'Base Exámenes'!$I$5:$I$1000, 0))), ""), "")</f>
        <v/>
      </c>
      <c r="L599" s="22" t="str">
        <f>IF($A599="","",COUNTIF('Base Exámenes'!$C$5:$C$1000, A599))</f>
        <v/>
      </c>
      <c r="M599" s="6" t="str">
        <f>IF($A599="","",IF(COUNTIF('Base Exámenes'!$C$5:$C$1000, A599)&gt;0, "", TRIM('Base Oficial'!H599)))</f>
        <v/>
      </c>
    </row>
    <row r="600">
      <c r="A600" s="4" t="str">
        <f>IF('Base Oficial'!A600="","",TRIM('Base Oficial'!A600))</f>
        <v/>
      </c>
      <c r="B600" s="6" t="str">
        <f>IF($A600="","",TRIM('Base Oficial'!B600))</f>
        <v/>
      </c>
      <c r="C600" s="6" t="str">
        <f>IF($A600="","",TRIM('Base Oficial'!F600))</f>
        <v/>
      </c>
      <c r="D600" s="6" t="str">
        <f>IF($A600="","",TRIM('Base Oficial'!G600))</f>
        <v/>
      </c>
      <c r="E600" s="6" t="str">
        <f>IF($A600="","",TRIM('Base Oficial'!D600))</f>
        <v/>
      </c>
      <c r="F600" s="4" t="str">
        <f>IF($A600="","",IF(COUNTIF('Base Exámenes'!$C$5:$C$1000, A600)&gt;0, "Completado", IF(M600&lt;&gt;"", M600, "Pendiente")))</f>
        <v/>
      </c>
      <c r="G600" s="11" t="str">
        <f>IF(F600="Completado", IFERROR(IF(INDEX('Base Exámenes'!$D$5:$D$1000, MATCH(A600&amp;"|"&amp;J600, 'Base Exámenes'!$I$5:$I$1000, 0))="", "", INDEX('Base Exámenes'!$D$5:$D$1000, MATCH(A600&amp;"|"&amp;J600, 'Base Exámenes'!$I$5:$I$1000, 0))), ""), "")</f>
        <v/>
      </c>
      <c r="H600" s="11" t="str">
        <f>IF(F600="Completado", IFERROR(IF(INDEX('Base Exámenes'!$E$5:$E$1000, MATCH(A600&amp;"|"&amp;J600, 'Base Exámenes'!$I$5:$I$1000, 0))="", "", INDEX('Base Exámenes'!$E$5:$E$1000, MATCH(A600&amp;"|"&amp;J600, 'Base Exámenes'!$I$5:$I$1000, 0))), ""), "")</f>
        <v/>
      </c>
      <c r="I600" s="10" t="str">
        <f>IF(F600="Completado", IFERROR(IF(INDEX('Base Exámenes'!$F$5:$F$1000, MATCH(A600&amp;"|"&amp;J600, 'Base Exámenes'!$I$5:$I$1000, 0))="", "", INDEX('Base Exámenes'!$F$5:$F$1000, MATCH(A600&amp;"|"&amp;J600, 'Base Exámenes'!$I$5:$I$1000, 0))), ""), "")</f>
        <v/>
      </c>
      <c r="J600" s="6" t="str">
        <f>IF(F600="Completado", IF(COUNTIFS('Base Exámenes'!$C$5:$C$1000, A600, 'Base Exámenes'!$G$5:$G$1000, "&lt;&gt;")=0, "", _xlfn.MAXIFS('Base Exámenes'!$G$5:$G$1000, 'Base Exámenes'!$C$5:$C$1000, A600)), "")</f>
        <v/>
      </c>
      <c r="K600" s="6" t="str">
        <f>IF(F600="Completado", IFERROR(IF(INDEX('Base Exámenes'!$H$5:$H$1000, MATCH(A600&amp;"|"&amp;J600, 'Base Exámenes'!$I$5:$I$1000, 0))="", "", INDEX('Base Exámenes'!$H$5:$H$1000, MATCH(A600&amp;"|"&amp;J600, 'Base Exámenes'!$I$5:$I$1000, 0))), ""), "")</f>
        <v/>
      </c>
      <c r="L600" s="22" t="str">
        <f>IF($A600="","",COUNTIF('Base Exámenes'!$C$5:$C$1000, A600))</f>
        <v/>
      </c>
      <c r="M600" s="6" t="str">
        <f>IF($A600="","",IF(COUNTIF('Base Exámenes'!$C$5:$C$1000, A600)&gt;0, "", TRIM('Base Oficial'!H600)))</f>
        <v/>
      </c>
    </row>
    <row r="601">
      <c r="A601" s="4" t="str">
        <f>IF('Base Oficial'!A601="","",TRIM('Base Oficial'!A601))</f>
        <v/>
      </c>
      <c r="B601" s="6" t="str">
        <f>IF($A601="","",TRIM('Base Oficial'!B601))</f>
        <v/>
      </c>
      <c r="C601" s="6" t="str">
        <f>IF($A601="","",TRIM('Base Oficial'!F601))</f>
        <v/>
      </c>
      <c r="D601" s="6" t="str">
        <f>IF($A601="","",TRIM('Base Oficial'!G601))</f>
        <v/>
      </c>
      <c r="E601" s="6" t="str">
        <f>IF($A601="","",TRIM('Base Oficial'!D601))</f>
        <v/>
      </c>
      <c r="F601" s="4" t="str">
        <f>IF($A601="","",IF(COUNTIF('Base Exámenes'!$C$5:$C$1000, A601)&gt;0, "Completado", IF(M601&lt;&gt;"", M601, "Pendiente")))</f>
        <v/>
      </c>
      <c r="G601" s="11" t="str">
        <f>IF(F601="Completado", IFERROR(IF(INDEX('Base Exámenes'!$D$5:$D$1000, MATCH(A601&amp;"|"&amp;J601, 'Base Exámenes'!$I$5:$I$1000, 0))="", "", INDEX('Base Exámenes'!$D$5:$D$1000, MATCH(A601&amp;"|"&amp;J601, 'Base Exámenes'!$I$5:$I$1000, 0))), ""), "")</f>
        <v/>
      </c>
      <c r="H601" s="11" t="str">
        <f>IF(F601="Completado", IFERROR(IF(INDEX('Base Exámenes'!$E$5:$E$1000, MATCH(A601&amp;"|"&amp;J601, 'Base Exámenes'!$I$5:$I$1000, 0))="", "", INDEX('Base Exámenes'!$E$5:$E$1000, MATCH(A601&amp;"|"&amp;J601, 'Base Exámenes'!$I$5:$I$1000, 0))), ""), "")</f>
        <v/>
      </c>
      <c r="I601" s="10" t="str">
        <f>IF(F601="Completado", IFERROR(IF(INDEX('Base Exámenes'!$F$5:$F$1000, MATCH(A601&amp;"|"&amp;J601, 'Base Exámenes'!$I$5:$I$1000, 0))="", "", INDEX('Base Exámenes'!$F$5:$F$1000, MATCH(A601&amp;"|"&amp;J601, 'Base Exámenes'!$I$5:$I$1000, 0))), ""), "")</f>
        <v/>
      </c>
      <c r="J601" s="6" t="str">
        <f>IF(F601="Completado", IF(COUNTIFS('Base Exámenes'!$C$5:$C$1000, A601, 'Base Exámenes'!$G$5:$G$1000, "&lt;&gt;")=0, "", _xlfn.MAXIFS('Base Exámenes'!$G$5:$G$1000, 'Base Exámenes'!$C$5:$C$1000, A601)), "")</f>
        <v/>
      </c>
      <c r="K601" s="6" t="str">
        <f>IF(F601="Completado", IFERROR(IF(INDEX('Base Exámenes'!$H$5:$H$1000, MATCH(A601&amp;"|"&amp;J601, 'Base Exámenes'!$I$5:$I$1000, 0))="", "", INDEX('Base Exámenes'!$H$5:$H$1000, MATCH(A601&amp;"|"&amp;J601, 'Base Exámenes'!$I$5:$I$1000, 0))), ""), "")</f>
        <v/>
      </c>
      <c r="L601" s="22" t="str">
        <f>IF($A601="","",COUNTIF('Base Exámenes'!$C$5:$C$1000, A601))</f>
        <v/>
      </c>
      <c r="M601" s="6" t="str">
        <f>IF($A601="","",IF(COUNTIF('Base Exámenes'!$C$5:$C$1000, A601)&gt;0, "", TRIM('Base Oficial'!H601)))</f>
        <v/>
      </c>
    </row>
    <row r="602">
      <c r="A602" s="4" t="str">
        <f>IF('Base Oficial'!A602="","",TRIM('Base Oficial'!A602))</f>
        <v/>
      </c>
      <c r="B602" s="6" t="str">
        <f>IF($A602="","",TRIM('Base Oficial'!B602))</f>
        <v/>
      </c>
      <c r="C602" s="6" t="str">
        <f>IF($A602="","",TRIM('Base Oficial'!F602))</f>
        <v/>
      </c>
      <c r="D602" s="6" t="str">
        <f>IF($A602="","",TRIM('Base Oficial'!G602))</f>
        <v/>
      </c>
      <c r="E602" s="6" t="str">
        <f>IF($A602="","",TRIM('Base Oficial'!D602))</f>
        <v/>
      </c>
      <c r="F602" s="4" t="str">
        <f>IF($A602="","",IF(COUNTIF('Base Exámenes'!$C$5:$C$1000, A602)&gt;0, "Completado", IF(M602&lt;&gt;"", M602, "Pendiente")))</f>
        <v/>
      </c>
      <c r="G602" s="11" t="str">
        <f>IF(F602="Completado", IFERROR(IF(INDEX('Base Exámenes'!$D$5:$D$1000, MATCH(A602&amp;"|"&amp;J602, 'Base Exámenes'!$I$5:$I$1000, 0))="", "", INDEX('Base Exámenes'!$D$5:$D$1000, MATCH(A602&amp;"|"&amp;J602, 'Base Exámenes'!$I$5:$I$1000, 0))), ""), "")</f>
        <v/>
      </c>
      <c r="H602" s="11" t="str">
        <f>IF(F602="Completado", IFERROR(IF(INDEX('Base Exámenes'!$E$5:$E$1000, MATCH(A602&amp;"|"&amp;J602, 'Base Exámenes'!$I$5:$I$1000, 0))="", "", INDEX('Base Exámenes'!$E$5:$E$1000, MATCH(A602&amp;"|"&amp;J602, 'Base Exámenes'!$I$5:$I$1000, 0))), ""), "")</f>
        <v/>
      </c>
      <c r="I602" s="10" t="str">
        <f>IF(F602="Completado", IFERROR(IF(INDEX('Base Exámenes'!$F$5:$F$1000, MATCH(A602&amp;"|"&amp;J602, 'Base Exámenes'!$I$5:$I$1000, 0))="", "", INDEX('Base Exámenes'!$F$5:$F$1000, MATCH(A602&amp;"|"&amp;J602, 'Base Exámenes'!$I$5:$I$1000, 0))), ""), "")</f>
        <v/>
      </c>
      <c r="J602" s="6" t="str">
        <f>IF(F602="Completado", IF(COUNTIFS('Base Exámenes'!$C$5:$C$1000, A602, 'Base Exámenes'!$G$5:$G$1000, "&lt;&gt;")=0, "", _xlfn.MAXIFS('Base Exámenes'!$G$5:$G$1000, 'Base Exámenes'!$C$5:$C$1000, A602)), "")</f>
        <v/>
      </c>
      <c r="K602" s="6" t="str">
        <f>IF(F602="Completado", IFERROR(IF(INDEX('Base Exámenes'!$H$5:$H$1000, MATCH(A602&amp;"|"&amp;J602, 'Base Exámenes'!$I$5:$I$1000, 0))="", "", INDEX('Base Exámenes'!$H$5:$H$1000, MATCH(A602&amp;"|"&amp;J602, 'Base Exámenes'!$I$5:$I$1000, 0))), ""), "")</f>
        <v/>
      </c>
      <c r="L602" s="22" t="str">
        <f>IF($A602="","",COUNTIF('Base Exámenes'!$C$5:$C$1000, A602))</f>
        <v/>
      </c>
      <c r="M602" s="6" t="str">
        <f>IF($A602="","",IF(COUNTIF('Base Exámenes'!$C$5:$C$1000, A602)&gt;0, "", TRIM('Base Oficial'!H602)))</f>
        <v/>
      </c>
    </row>
    <row r="603">
      <c r="A603" s="4" t="str">
        <f>IF('Base Oficial'!A603="","",TRIM('Base Oficial'!A603))</f>
        <v/>
      </c>
      <c r="B603" s="6" t="str">
        <f>IF($A603="","",TRIM('Base Oficial'!B603))</f>
        <v/>
      </c>
      <c r="C603" s="6" t="str">
        <f>IF($A603="","",TRIM('Base Oficial'!F603))</f>
        <v/>
      </c>
      <c r="D603" s="6" t="str">
        <f>IF($A603="","",TRIM('Base Oficial'!G603))</f>
        <v/>
      </c>
      <c r="E603" s="6" t="str">
        <f>IF($A603="","",TRIM('Base Oficial'!D603))</f>
        <v/>
      </c>
      <c r="F603" s="4" t="str">
        <f>IF($A603="","",IF(COUNTIF('Base Exámenes'!$C$5:$C$1000, A603)&gt;0, "Completado", IF(M603&lt;&gt;"", M603, "Pendiente")))</f>
        <v/>
      </c>
      <c r="G603" s="11" t="str">
        <f>IF(F603="Completado", IFERROR(IF(INDEX('Base Exámenes'!$D$5:$D$1000, MATCH(A603&amp;"|"&amp;J603, 'Base Exámenes'!$I$5:$I$1000, 0))="", "", INDEX('Base Exámenes'!$D$5:$D$1000, MATCH(A603&amp;"|"&amp;J603, 'Base Exámenes'!$I$5:$I$1000, 0))), ""), "")</f>
        <v/>
      </c>
      <c r="H603" s="11" t="str">
        <f>IF(F603="Completado", IFERROR(IF(INDEX('Base Exámenes'!$E$5:$E$1000, MATCH(A603&amp;"|"&amp;J603, 'Base Exámenes'!$I$5:$I$1000, 0))="", "", INDEX('Base Exámenes'!$E$5:$E$1000, MATCH(A603&amp;"|"&amp;J603, 'Base Exámenes'!$I$5:$I$1000, 0))), ""), "")</f>
        <v/>
      </c>
      <c r="I603" s="10" t="str">
        <f>IF(F603="Completado", IFERROR(IF(INDEX('Base Exámenes'!$F$5:$F$1000, MATCH(A603&amp;"|"&amp;J603, 'Base Exámenes'!$I$5:$I$1000, 0))="", "", INDEX('Base Exámenes'!$F$5:$F$1000, MATCH(A603&amp;"|"&amp;J603, 'Base Exámenes'!$I$5:$I$1000, 0))), ""), "")</f>
        <v/>
      </c>
      <c r="J603" s="6" t="str">
        <f>IF(F603="Completado", IF(COUNTIFS('Base Exámenes'!$C$5:$C$1000, A603, 'Base Exámenes'!$G$5:$G$1000, "&lt;&gt;")=0, "", _xlfn.MAXIFS('Base Exámenes'!$G$5:$G$1000, 'Base Exámenes'!$C$5:$C$1000, A603)), "")</f>
        <v/>
      </c>
      <c r="K603" s="6" t="str">
        <f>IF(F603="Completado", IFERROR(IF(INDEX('Base Exámenes'!$H$5:$H$1000, MATCH(A603&amp;"|"&amp;J603, 'Base Exámenes'!$I$5:$I$1000, 0))="", "", INDEX('Base Exámenes'!$H$5:$H$1000, MATCH(A603&amp;"|"&amp;J603, 'Base Exámenes'!$I$5:$I$1000, 0))), ""), "")</f>
        <v/>
      </c>
      <c r="L603" s="22" t="str">
        <f>IF($A603="","",COUNTIF('Base Exámenes'!$C$5:$C$1000, A603))</f>
        <v/>
      </c>
      <c r="M603" s="6" t="str">
        <f>IF($A603="","",IF(COUNTIF('Base Exámenes'!$C$5:$C$1000, A603)&gt;0, "", TRIM('Base Oficial'!H603)))</f>
        <v/>
      </c>
    </row>
    <row r="604">
      <c r="A604" s="4" t="str">
        <f>IF('Base Oficial'!A604="","",TRIM('Base Oficial'!A604))</f>
        <v/>
      </c>
      <c r="B604" s="6" t="str">
        <f>IF($A604="","",TRIM('Base Oficial'!B604))</f>
        <v/>
      </c>
      <c r="C604" s="6" t="str">
        <f>IF($A604="","",TRIM('Base Oficial'!F604))</f>
        <v/>
      </c>
      <c r="D604" s="6" t="str">
        <f>IF($A604="","",TRIM('Base Oficial'!G604))</f>
        <v/>
      </c>
      <c r="E604" s="6" t="str">
        <f>IF($A604="","",TRIM('Base Oficial'!D604))</f>
        <v/>
      </c>
      <c r="F604" s="4" t="str">
        <f>IF($A604="","",IF(COUNTIF('Base Exámenes'!$C$5:$C$1000, A604)&gt;0, "Completado", IF(M604&lt;&gt;"", M604, "Pendiente")))</f>
        <v/>
      </c>
      <c r="G604" s="11" t="str">
        <f>IF(F604="Completado", IFERROR(IF(INDEX('Base Exámenes'!$D$5:$D$1000, MATCH(A604&amp;"|"&amp;J604, 'Base Exámenes'!$I$5:$I$1000, 0))="", "", INDEX('Base Exámenes'!$D$5:$D$1000, MATCH(A604&amp;"|"&amp;J604, 'Base Exámenes'!$I$5:$I$1000, 0))), ""), "")</f>
        <v/>
      </c>
      <c r="H604" s="11" t="str">
        <f>IF(F604="Completado", IFERROR(IF(INDEX('Base Exámenes'!$E$5:$E$1000, MATCH(A604&amp;"|"&amp;J604, 'Base Exámenes'!$I$5:$I$1000, 0))="", "", INDEX('Base Exámenes'!$E$5:$E$1000, MATCH(A604&amp;"|"&amp;J604, 'Base Exámenes'!$I$5:$I$1000, 0))), ""), "")</f>
        <v/>
      </c>
      <c r="I604" s="10" t="str">
        <f>IF(F604="Completado", IFERROR(IF(INDEX('Base Exámenes'!$F$5:$F$1000, MATCH(A604&amp;"|"&amp;J604, 'Base Exámenes'!$I$5:$I$1000, 0))="", "", INDEX('Base Exámenes'!$F$5:$F$1000, MATCH(A604&amp;"|"&amp;J604, 'Base Exámenes'!$I$5:$I$1000, 0))), ""), "")</f>
        <v/>
      </c>
      <c r="J604" s="6" t="str">
        <f>IF(F604="Completado", IF(COUNTIFS('Base Exámenes'!$C$5:$C$1000, A604, 'Base Exámenes'!$G$5:$G$1000, "&lt;&gt;")=0, "", _xlfn.MAXIFS('Base Exámenes'!$G$5:$G$1000, 'Base Exámenes'!$C$5:$C$1000, A604)), "")</f>
        <v/>
      </c>
      <c r="K604" s="6" t="str">
        <f>IF(F604="Completado", IFERROR(IF(INDEX('Base Exámenes'!$H$5:$H$1000, MATCH(A604&amp;"|"&amp;J604, 'Base Exámenes'!$I$5:$I$1000, 0))="", "", INDEX('Base Exámenes'!$H$5:$H$1000, MATCH(A604&amp;"|"&amp;J604, 'Base Exámenes'!$I$5:$I$1000, 0))), ""), "")</f>
        <v/>
      </c>
      <c r="L604" s="22" t="str">
        <f>IF($A604="","",COUNTIF('Base Exámenes'!$C$5:$C$1000, A604))</f>
        <v/>
      </c>
      <c r="M604" s="6" t="str">
        <f>IF($A604="","",IF(COUNTIF('Base Exámenes'!$C$5:$C$1000, A604)&gt;0, "", TRIM('Base Oficial'!H604)))</f>
        <v/>
      </c>
    </row>
    <row r="605">
      <c r="A605" s="4" t="str">
        <f>IF('Base Oficial'!A605="","",TRIM('Base Oficial'!A605))</f>
        <v/>
      </c>
      <c r="B605" s="6" t="str">
        <f>IF($A605="","",TRIM('Base Oficial'!B605))</f>
        <v/>
      </c>
      <c r="C605" s="6" t="str">
        <f>IF($A605="","",TRIM('Base Oficial'!F605))</f>
        <v/>
      </c>
      <c r="D605" s="6" t="str">
        <f>IF($A605="","",TRIM('Base Oficial'!G605))</f>
        <v/>
      </c>
      <c r="E605" s="6" t="str">
        <f>IF($A605="","",TRIM('Base Oficial'!D605))</f>
        <v/>
      </c>
      <c r="F605" s="4" t="str">
        <f>IF($A605="","",IF(COUNTIF('Base Exámenes'!$C$5:$C$1000, A605)&gt;0, "Completado", IF(M605&lt;&gt;"", M605, "Pendiente")))</f>
        <v/>
      </c>
      <c r="G605" s="11" t="str">
        <f>IF(F605="Completado", IFERROR(IF(INDEX('Base Exámenes'!$D$5:$D$1000, MATCH(A605&amp;"|"&amp;J605, 'Base Exámenes'!$I$5:$I$1000, 0))="", "", INDEX('Base Exámenes'!$D$5:$D$1000, MATCH(A605&amp;"|"&amp;J605, 'Base Exámenes'!$I$5:$I$1000, 0))), ""), "")</f>
        <v/>
      </c>
      <c r="H605" s="11" t="str">
        <f>IF(F605="Completado", IFERROR(IF(INDEX('Base Exámenes'!$E$5:$E$1000, MATCH(A605&amp;"|"&amp;J605, 'Base Exámenes'!$I$5:$I$1000, 0))="", "", INDEX('Base Exámenes'!$E$5:$E$1000, MATCH(A605&amp;"|"&amp;J605, 'Base Exámenes'!$I$5:$I$1000, 0))), ""), "")</f>
        <v/>
      </c>
      <c r="I605" s="10" t="str">
        <f>IF(F605="Completado", IFERROR(IF(INDEX('Base Exámenes'!$F$5:$F$1000, MATCH(A605&amp;"|"&amp;J605, 'Base Exámenes'!$I$5:$I$1000, 0))="", "", INDEX('Base Exámenes'!$F$5:$F$1000, MATCH(A605&amp;"|"&amp;J605, 'Base Exámenes'!$I$5:$I$1000, 0))), ""), "")</f>
        <v/>
      </c>
      <c r="J605" s="6" t="str">
        <f>IF(F605="Completado", IF(COUNTIFS('Base Exámenes'!$C$5:$C$1000, A605, 'Base Exámenes'!$G$5:$G$1000, "&lt;&gt;")=0, "", _xlfn.MAXIFS('Base Exámenes'!$G$5:$G$1000, 'Base Exámenes'!$C$5:$C$1000, A605)), "")</f>
        <v/>
      </c>
      <c r="K605" s="6" t="str">
        <f>IF(F605="Completado", IFERROR(IF(INDEX('Base Exámenes'!$H$5:$H$1000, MATCH(A605&amp;"|"&amp;J605, 'Base Exámenes'!$I$5:$I$1000, 0))="", "", INDEX('Base Exámenes'!$H$5:$H$1000, MATCH(A605&amp;"|"&amp;J605, 'Base Exámenes'!$I$5:$I$1000, 0))), ""), "")</f>
        <v/>
      </c>
      <c r="L605" s="22" t="str">
        <f>IF($A605="","",COUNTIF('Base Exámenes'!$C$5:$C$1000, A605))</f>
        <v/>
      </c>
      <c r="M605" s="6" t="str">
        <f>IF($A605="","",IF(COUNTIF('Base Exámenes'!$C$5:$C$1000, A605)&gt;0, "", TRIM('Base Oficial'!H605)))</f>
        <v/>
      </c>
    </row>
    <row r="606">
      <c r="A606" s="4" t="str">
        <f>IF('Base Oficial'!A606="","",TRIM('Base Oficial'!A606))</f>
        <v/>
      </c>
      <c r="B606" s="6" t="str">
        <f>IF($A606="","",TRIM('Base Oficial'!B606))</f>
        <v/>
      </c>
      <c r="C606" s="6" t="str">
        <f>IF($A606="","",TRIM('Base Oficial'!F606))</f>
        <v/>
      </c>
      <c r="D606" s="6" t="str">
        <f>IF($A606="","",TRIM('Base Oficial'!G606))</f>
        <v/>
      </c>
      <c r="E606" s="6" t="str">
        <f>IF($A606="","",TRIM('Base Oficial'!D606))</f>
        <v/>
      </c>
      <c r="F606" s="4" t="str">
        <f>IF($A606="","",IF(COUNTIF('Base Exámenes'!$C$5:$C$1000, A606)&gt;0, "Completado", IF(M606&lt;&gt;"", M606, "Pendiente")))</f>
        <v/>
      </c>
      <c r="G606" s="11" t="str">
        <f>IF(F606="Completado", IFERROR(IF(INDEX('Base Exámenes'!$D$5:$D$1000, MATCH(A606&amp;"|"&amp;J606, 'Base Exámenes'!$I$5:$I$1000, 0))="", "", INDEX('Base Exámenes'!$D$5:$D$1000, MATCH(A606&amp;"|"&amp;J606, 'Base Exámenes'!$I$5:$I$1000, 0))), ""), "")</f>
        <v/>
      </c>
      <c r="H606" s="11" t="str">
        <f>IF(F606="Completado", IFERROR(IF(INDEX('Base Exámenes'!$E$5:$E$1000, MATCH(A606&amp;"|"&amp;J606, 'Base Exámenes'!$I$5:$I$1000, 0))="", "", INDEX('Base Exámenes'!$E$5:$E$1000, MATCH(A606&amp;"|"&amp;J606, 'Base Exámenes'!$I$5:$I$1000, 0))), ""), "")</f>
        <v/>
      </c>
      <c r="I606" s="10" t="str">
        <f>IF(F606="Completado", IFERROR(IF(INDEX('Base Exámenes'!$F$5:$F$1000, MATCH(A606&amp;"|"&amp;J606, 'Base Exámenes'!$I$5:$I$1000, 0))="", "", INDEX('Base Exámenes'!$F$5:$F$1000, MATCH(A606&amp;"|"&amp;J606, 'Base Exámenes'!$I$5:$I$1000, 0))), ""), "")</f>
        <v/>
      </c>
      <c r="J606" s="6" t="str">
        <f>IF(F606="Completado", IF(COUNTIFS('Base Exámenes'!$C$5:$C$1000, A606, 'Base Exámenes'!$G$5:$G$1000, "&lt;&gt;")=0, "", _xlfn.MAXIFS('Base Exámenes'!$G$5:$G$1000, 'Base Exámenes'!$C$5:$C$1000, A606)), "")</f>
        <v/>
      </c>
      <c r="K606" s="6" t="str">
        <f>IF(F606="Completado", IFERROR(IF(INDEX('Base Exámenes'!$H$5:$H$1000, MATCH(A606&amp;"|"&amp;J606, 'Base Exámenes'!$I$5:$I$1000, 0))="", "", INDEX('Base Exámenes'!$H$5:$H$1000, MATCH(A606&amp;"|"&amp;J606, 'Base Exámenes'!$I$5:$I$1000, 0))), ""), "")</f>
        <v/>
      </c>
      <c r="L606" s="22" t="str">
        <f>IF($A606="","",COUNTIF('Base Exámenes'!$C$5:$C$1000, A606))</f>
        <v/>
      </c>
      <c r="M606" s="6" t="str">
        <f>IF($A606="","",IF(COUNTIF('Base Exámenes'!$C$5:$C$1000, A606)&gt;0, "", TRIM('Base Oficial'!H606)))</f>
        <v/>
      </c>
    </row>
    <row r="607">
      <c r="A607" s="4" t="str">
        <f>IF('Base Oficial'!A607="","",TRIM('Base Oficial'!A607))</f>
        <v/>
      </c>
      <c r="B607" s="6" t="str">
        <f>IF($A607="","",TRIM('Base Oficial'!B607))</f>
        <v/>
      </c>
      <c r="C607" s="6" t="str">
        <f>IF($A607="","",TRIM('Base Oficial'!F607))</f>
        <v/>
      </c>
      <c r="D607" s="6" t="str">
        <f>IF($A607="","",TRIM('Base Oficial'!G607))</f>
        <v/>
      </c>
      <c r="E607" s="6" t="str">
        <f>IF($A607="","",TRIM('Base Oficial'!D607))</f>
        <v/>
      </c>
      <c r="F607" s="4" t="str">
        <f>IF($A607="","",IF(COUNTIF('Base Exámenes'!$C$5:$C$1000, A607)&gt;0, "Completado", IF(M607&lt;&gt;"", M607, "Pendiente")))</f>
        <v/>
      </c>
      <c r="G607" s="11" t="str">
        <f>IF(F607="Completado", IFERROR(IF(INDEX('Base Exámenes'!$D$5:$D$1000, MATCH(A607&amp;"|"&amp;J607, 'Base Exámenes'!$I$5:$I$1000, 0))="", "", INDEX('Base Exámenes'!$D$5:$D$1000, MATCH(A607&amp;"|"&amp;J607, 'Base Exámenes'!$I$5:$I$1000, 0))), ""), "")</f>
        <v/>
      </c>
      <c r="H607" s="11" t="str">
        <f>IF(F607="Completado", IFERROR(IF(INDEX('Base Exámenes'!$E$5:$E$1000, MATCH(A607&amp;"|"&amp;J607, 'Base Exámenes'!$I$5:$I$1000, 0))="", "", INDEX('Base Exámenes'!$E$5:$E$1000, MATCH(A607&amp;"|"&amp;J607, 'Base Exámenes'!$I$5:$I$1000, 0))), ""), "")</f>
        <v/>
      </c>
      <c r="I607" s="10" t="str">
        <f>IF(F607="Completado", IFERROR(IF(INDEX('Base Exámenes'!$F$5:$F$1000, MATCH(A607&amp;"|"&amp;J607, 'Base Exámenes'!$I$5:$I$1000, 0))="", "", INDEX('Base Exámenes'!$F$5:$F$1000, MATCH(A607&amp;"|"&amp;J607, 'Base Exámenes'!$I$5:$I$1000, 0))), ""), "")</f>
        <v/>
      </c>
      <c r="J607" s="6" t="str">
        <f>IF(F607="Completado", IF(COUNTIFS('Base Exámenes'!$C$5:$C$1000, A607, 'Base Exámenes'!$G$5:$G$1000, "&lt;&gt;")=0, "", _xlfn.MAXIFS('Base Exámenes'!$G$5:$G$1000, 'Base Exámenes'!$C$5:$C$1000, A607)), "")</f>
        <v/>
      </c>
      <c r="K607" s="6" t="str">
        <f>IF(F607="Completado", IFERROR(IF(INDEX('Base Exámenes'!$H$5:$H$1000, MATCH(A607&amp;"|"&amp;J607, 'Base Exámenes'!$I$5:$I$1000, 0))="", "", INDEX('Base Exámenes'!$H$5:$H$1000, MATCH(A607&amp;"|"&amp;J607, 'Base Exámenes'!$I$5:$I$1000, 0))), ""), "")</f>
        <v/>
      </c>
      <c r="L607" s="22" t="str">
        <f>IF($A607="","",COUNTIF('Base Exámenes'!$C$5:$C$1000, A607))</f>
        <v/>
      </c>
      <c r="M607" s="6" t="str">
        <f>IF($A607="","",IF(COUNTIF('Base Exámenes'!$C$5:$C$1000, A607)&gt;0, "", TRIM('Base Oficial'!H607)))</f>
        <v/>
      </c>
    </row>
    <row r="608">
      <c r="A608" s="4" t="str">
        <f>IF('Base Oficial'!A608="","",TRIM('Base Oficial'!A608))</f>
        <v/>
      </c>
      <c r="B608" s="6" t="str">
        <f>IF($A608="","",TRIM('Base Oficial'!B608))</f>
        <v/>
      </c>
      <c r="C608" s="6" t="str">
        <f>IF($A608="","",TRIM('Base Oficial'!F608))</f>
        <v/>
      </c>
      <c r="D608" s="6" t="str">
        <f>IF($A608="","",TRIM('Base Oficial'!G608))</f>
        <v/>
      </c>
      <c r="E608" s="6" t="str">
        <f>IF($A608="","",TRIM('Base Oficial'!D608))</f>
        <v/>
      </c>
      <c r="F608" s="4" t="str">
        <f>IF($A608="","",IF(COUNTIF('Base Exámenes'!$C$5:$C$1000, A608)&gt;0, "Completado", IF(M608&lt;&gt;"", M608, "Pendiente")))</f>
        <v/>
      </c>
      <c r="G608" s="11" t="str">
        <f>IF(F608="Completado", IFERROR(IF(INDEX('Base Exámenes'!$D$5:$D$1000, MATCH(A608&amp;"|"&amp;J608, 'Base Exámenes'!$I$5:$I$1000, 0))="", "", INDEX('Base Exámenes'!$D$5:$D$1000, MATCH(A608&amp;"|"&amp;J608, 'Base Exámenes'!$I$5:$I$1000, 0))), ""), "")</f>
        <v/>
      </c>
      <c r="H608" s="11" t="str">
        <f>IF(F608="Completado", IFERROR(IF(INDEX('Base Exámenes'!$E$5:$E$1000, MATCH(A608&amp;"|"&amp;J608, 'Base Exámenes'!$I$5:$I$1000, 0))="", "", INDEX('Base Exámenes'!$E$5:$E$1000, MATCH(A608&amp;"|"&amp;J608, 'Base Exámenes'!$I$5:$I$1000, 0))), ""), "")</f>
        <v/>
      </c>
      <c r="I608" s="10" t="str">
        <f>IF(F608="Completado", IFERROR(IF(INDEX('Base Exámenes'!$F$5:$F$1000, MATCH(A608&amp;"|"&amp;J608, 'Base Exámenes'!$I$5:$I$1000, 0))="", "", INDEX('Base Exámenes'!$F$5:$F$1000, MATCH(A608&amp;"|"&amp;J608, 'Base Exámenes'!$I$5:$I$1000, 0))), ""), "")</f>
        <v/>
      </c>
      <c r="J608" s="6" t="str">
        <f>IF(F608="Completado", IF(COUNTIFS('Base Exámenes'!$C$5:$C$1000, A608, 'Base Exámenes'!$G$5:$G$1000, "&lt;&gt;")=0, "", _xlfn.MAXIFS('Base Exámenes'!$G$5:$G$1000, 'Base Exámenes'!$C$5:$C$1000, A608)), "")</f>
        <v/>
      </c>
      <c r="K608" s="6" t="str">
        <f>IF(F608="Completado", IFERROR(IF(INDEX('Base Exámenes'!$H$5:$H$1000, MATCH(A608&amp;"|"&amp;J608, 'Base Exámenes'!$I$5:$I$1000, 0))="", "", INDEX('Base Exámenes'!$H$5:$H$1000, MATCH(A608&amp;"|"&amp;J608, 'Base Exámenes'!$I$5:$I$1000, 0))), ""), "")</f>
        <v/>
      </c>
      <c r="L608" s="22" t="str">
        <f>IF($A608="","",COUNTIF('Base Exámenes'!$C$5:$C$1000, A608))</f>
        <v/>
      </c>
      <c r="M608" s="6" t="str">
        <f>IF($A608="","",IF(COUNTIF('Base Exámenes'!$C$5:$C$1000, A608)&gt;0, "", TRIM('Base Oficial'!H608)))</f>
        <v/>
      </c>
    </row>
    <row r="609">
      <c r="A609" s="4" t="str">
        <f>IF('Base Oficial'!A609="","",TRIM('Base Oficial'!A609))</f>
        <v/>
      </c>
      <c r="B609" s="6" t="str">
        <f>IF($A609="","",TRIM('Base Oficial'!B609))</f>
        <v/>
      </c>
      <c r="C609" s="6" t="str">
        <f>IF($A609="","",TRIM('Base Oficial'!F609))</f>
        <v/>
      </c>
      <c r="D609" s="6" t="str">
        <f>IF($A609="","",TRIM('Base Oficial'!G609))</f>
        <v/>
      </c>
      <c r="E609" s="6" t="str">
        <f>IF($A609="","",TRIM('Base Oficial'!D609))</f>
        <v/>
      </c>
      <c r="F609" s="4" t="str">
        <f>IF($A609="","",IF(COUNTIF('Base Exámenes'!$C$5:$C$1000, A609)&gt;0, "Completado", IF(M609&lt;&gt;"", M609, "Pendiente")))</f>
        <v/>
      </c>
      <c r="G609" s="11" t="str">
        <f>IF(F609="Completado", IFERROR(IF(INDEX('Base Exámenes'!$D$5:$D$1000, MATCH(A609&amp;"|"&amp;J609, 'Base Exámenes'!$I$5:$I$1000, 0))="", "", INDEX('Base Exámenes'!$D$5:$D$1000, MATCH(A609&amp;"|"&amp;J609, 'Base Exámenes'!$I$5:$I$1000, 0))), ""), "")</f>
        <v/>
      </c>
      <c r="H609" s="11" t="str">
        <f>IF(F609="Completado", IFERROR(IF(INDEX('Base Exámenes'!$E$5:$E$1000, MATCH(A609&amp;"|"&amp;J609, 'Base Exámenes'!$I$5:$I$1000, 0))="", "", INDEX('Base Exámenes'!$E$5:$E$1000, MATCH(A609&amp;"|"&amp;J609, 'Base Exámenes'!$I$5:$I$1000, 0))), ""), "")</f>
        <v/>
      </c>
      <c r="I609" s="10" t="str">
        <f>IF(F609="Completado", IFERROR(IF(INDEX('Base Exámenes'!$F$5:$F$1000, MATCH(A609&amp;"|"&amp;J609, 'Base Exámenes'!$I$5:$I$1000, 0))="", "", INDEX('Base Exámenes'!$F$5:$F$1000, MATCH(A609&amp;"|"&amp;J609, 'Base Exámenes'!$I$5:$I$1000, 0))), ""), "")</f>
        <v/>
      </c>
      <c r="J609" s="6" t="str">
        <f>IF(F609="Completado", IF(COUNTIFS('Base Exámenes'!$C$5:$C$1000, A609, 'Base Exámenes'!$G$5:$G$1000, "&lt;&gt;")=0, "", _xlfn.MAXIFS('Base Exámenes'!$G$5:$G$1000, 'Base Exámenes'!$C$5:$C$1000, A609)), "")</f>
        <v/>
      </c>
      <c r="K609" s="6" t="str">
        <f>IF(F609="Completado", IFERROR(IF(INDEX('Base Exámenes'!$H$5:$H$1000, MATCH(A609&amp;"|"&amp;J609, 'Base Exámenes'!$I$5:$I$1000, 0))="", "", INDEX('Base Exámenes'!$H$5:$H$1000, MATCH(A609&amp;"|"&amp;J609, 'Base Exámenes'!$I$5:$I$1000, 0))), ""), "")</f>
        <v/>
      </c>
      <c r="L609" s="22" t="str">
        <f>IF($A609="","",COUNTIF('Base Exámenes'!$C$5:$C$1000, A609))</f>
        <v/>
      </c>
      <c r="M609" s="6" t="str">
        <f>IF($A609="","",IF(COUNTIF('Base Exámenes'!$C$5:$C$1000, A609)&gt;0, "", TRIM('Base Oficial'!H609)))</f>
        <v/>
      </c>
    </row>
    <row r="610">
      <c r="A610" s="4" t="str">
        <f>IF('Base Oficial'!A610="","",TRIM('Base Oficial'!A610))</f>
        <v/>
      </c>
      <c r="B610" s="6" t="str">
        <f>IF($A610="","",TRIM('Base Oficial'!B610))</f>
        <v/>
      </c>
      <c r="C610" s="6" t="str">
        <f>IF($A610="","",TRIM('Base Oficial'!F610))</f>
        <v/>
      </c>
      <c r="D610" s="6" t="str">
        <f>IF($A610="","",TRIM('Base Oficial'!G610))</f>
        <v/>
      </c>
      <c r="E610" s="6" t="str">
        <f>IF($A610="","",TRIM('Base Oficial'!D610))</f>
        <v/>
      </c>
      <c r="F610" s="4" t="str">
        <f>IF($A610="","",IF(COUNTIF('Base Exámenes'!$C$5:$C$1000, A610)&gt;0, "Completado", IF(M610&lt;&gt;"", M610, "Pendiente")))</f>
        <v/>
      </c>
      <c r="G610" s="11" t="str">
        <f>IF(F610="Completado", IFERROR(IF(INDEX('Base Exámenes'!$D$5:$D$1000, MATCH(A610&amp;"|"&amp;J610, 'Base Exámenes'!$I$5:$I$1000, 0))="", "", INDEX('Base Exámenes'!$D$5:$D$1000, MATCH(A610&amp;"|"&amp;J610, 'Base Exámenes'!$I$5:$I$1000, 0))), ""), "")</f>
        <v/>
      </c>
      <c r="H610" s="11" t="str">
        <f>IF(F610="Completado", IFERROR(IF(INDEX('Base Exámenes'!$E$5:$E$1000, MATCH(A610&amp;"|"&amp;J610, 'Base Exámenes'!$I$5:$I$1000, 0))="", "", INDEX('Base Exámenes'!$E$5:$E$1000, MATCH(A610&amp;"|"&amp;J610, 'Base Exámenes'!$I$5:$I$1000, 0))), ""), "")</f>
        <v/>
      </c>
      <c r="I610" s="10" t="str">
        <f>IF(F610="Completado", IFERROR(IF(INDEX('Base Exámenes'!$F$5:$F$1000, MATCH(A610&amp;"|"&amp;J610, 'Base Exámenes'!$I$5:$I$1000, 0))="", "", INDEX('Base Exámenes'!$F$5:$F$1000, MATCH(A610&amp;"|"&amp;J610, 'Base Exámenes'!$I$5:$I$1000, 0))), ""), "")</f>
        <v/>
      </c>
      <c r="J610" s="6" t="str">
        <f>IF(F610="Completado", IF(COUNTIFS('Base Exámenes'!$C$5:$C$1000, A610, 'Base Exámenes'!$G$5:$G$1000, "&lt;&gt;")=0, "", _xlfn.MAXIFS('Base Exámenes'!$G$5:$G$1000, 'Base Exámenes'!$C$5:$C$1000, A610)), "")</f>
        <v/>
      </c>
      <c r="K610" s="6" t="str">
        <f>IF(F610="Completado", IFERROR(IF(INDEX('Base Exámenes'!$H$5:$H$1000, MATCH(A610&amp;"|"&amp;J610, 'Base Exámenes'!$I$5:$I$1000, 0))="", "", INDEX('Base Exámenes'!$H$5:$H$1000, MATCH(A610&amp;"|"&amp;J610, 'Base Exámenes'!$I$5:$I$1000, 0))), ""), "")</f>
        <v/>
      </c>
      <c r="L610" s="22" t="str">
        <f>IF($A610="","",COUNTIF('Base Exámenes'!$C$5:$C$1000, A610))</f>
        <v/>
      </c>
      <c r="M610" s="6" t="str">
        <f>IF($A610="","",IF(COUNTIF('Base Exámenes'!$C$5:$C$1000, A610)&gt;0, "", TRIM('Base Oficial'!H610)))</f>
        <v/>
      </c>
    </row>
    <row r="611">
      <c r="A611" s="4" t="str">
        <f>IF('Base Oficial'!A611="","",TRIM('Base Oficial'!A611))</f>
        <v/>
      </c>
      <c r="B611" s="6" t="str">
        <f>IF($A611="","",TRIM('Base Oficial'!B611))</f>
        <v/>
      </c>
      <c r="C611" s="6" t="str">
        <f>IF($A611="","",TRIM('Base Oficial'!F611))</f>
        <v/>
      </c>
      <c r="D611" s="6" t="str">
        <f>IF($A611="","",TRIM('Base Oficial'!G611))</f>
        <v/>
      </c>
      <c r="E611" s="6" t="str">
        <f>IF($A611="","",TRIM('Base Oficial'!D611))</f>
        <v/>
      </c>
      <c r="F611" s="4" t="str">
        <f>IF($A611="","",IF(COUNTIF('Base Exámenes'!$C$5:$C$1000, A611)&gt;0, "Completado", IF(M611&lt;&gt;"", M611, "Pendiente")))</f>
        <v/>
      </c>
      <c r="G611" s="11" t="str">
        <f>IF(F611="Completado", IFERROR(IF(INDEX('Base Exámenes'!$D$5:$D$1000, MATCH(A611&amp;"|"&amp;J611, 'Base Exámenes'!$I$5:$I$1000, 0))="", "", INDEX('Base Exámenes'!$D$5:$D$1000, MATCH(A611&amp;"|"&amp;J611, 'Base Exámenes'!$I$5:$I$1000, 0))), ""), "")</f>
        <v/>
      </c>
      <c r="H611" s="11" t="str">
        <f>IF(F611="Completado", IFERROR(IF(INDEX('Base Exámenes'!$E$5:$E$1000, MATCH(A611&amp;"|"&amp;J611, 'Base Exámenes'!$I$5:$I$1000, 0))="", "", INDEX('Base Exámenes'!$E$5:$E$1000, MATCH(A611&amp;"|"&amp;J611, 'Base Exámenes'!$I$5:$I$1000, 0))), ""), "")</f>
        <v/>
      </c>
      <c r="I611" s="10" t="str">
        <f>IF(F611="Completado", IFERROR(IF(INDEX('Base Exámenes'!$F$5:$F$1000, MATCH(A611&amp;"|"&amp;J611, 'Base Exámenes'!$I$5:$I$1000, 0))="", "", INDEX('Base Exámenes'!$F$5:$F$1000, MATCH(A611&amp;"|"&amp;J611, 'Base Exámenes'!$I$5:$I$1000, 0))), ""), "")</f>
        <v/>
      </c>
      <c r="J611" s="6" t="str">
        <f>IF(F611="Completado", IF(COUNTIFS('Base Exámenes'!$C$5:$C$1000, A611, 'Base Exámenes'!$G$5:$G$1000, "&lt;&gt;")=0, "", _xlfn.MAXIFS('Base Exámenes'!$G$5:$G$1000, 'Base Exámenes'!$C$5:$C$1000, A611)), "")</f>
        <v/>
      </c>
      <c r="K611" s="6" t="str">
        <f>IF(F611="Completado", IFERROR(IF(INDEX('Base Exámenes'!$H$5:$H$1000, MATCH(A611&amp;"|"&amp;J611, 'Base Exámenes'!$I$5:$I$1000, 0))="", "", INDEX('Base Exámenes'!$H$5:$H$1000, MATCH(A611&amp;"|"&amp;J611, 'Base Exámenes'!$I$5:$I$1000, 0))), ""), "")</f>
        <v/>
      </c>
      <c r="L611" s="22" t="str">
        <f>IF($A611="","",COUNTIF('Base Exámenes'!$C$5:$C$1000, A611))</f>
        <v/>
      </c>
      <c r="M611" s="6" t="str">
        <f>IF($A611="","",IF(COUNTIF('Base Exámenes'!$C$5:$C$1000, A611)&gt;0, "", TRIM('Base Oficial'!H611)))</f>
        <v/>
      </c>
    </row>
    <row r="612">
      <c r="A612" s="4" t="str">
        <f>IF('Base Oficial'!A612="","",TRIM('Base Oficial'!A612))</f>
        <v/>
      </c>
      <c r="B612" s="6" t="str">
        <f>IF($A612="","",TRIM('Base Oficial'!B612))</f>
        <v/>
      </c>
      <c r="C612" s="6" t="str">
        <f>IF($A612="","",TRIM('Base Oficial'!F612))</f>
        <v/>
      </c>
      <c r="D612" s="6" t="str">
        <f>IF($A612="","",TRIM('Base Oficial'!G612))</f>
        <v/>
      </c>
      <c r="E612" s="6" t="str">
        <f>IF($A612="","",TRIM('Base Oficial'!D612))</f>
        <v/>
      </c>
      <c r="F612" s="4" t="str">
        <f>IF($A612="","",IF(COUNTIF('Base Exámenes'!$C$5:$C$1000, A612)&gt;0, "Completado", IF(M612&lt;&gt;"", M612, "Pendiente")))</f>
        <v/>
      </c>
      <c r="G612" s="11" t="str">
        <f>IF(F612="Completado", IFERROR(IF(INDEX('Base Exámenes'!$D$5:$D$1000, MATCH(A612&amp;"|"&amp;J612, 'Base Exámenes'!$I$5:$I$1000, 0))="", "", INDEX('Base Exámenes'!$D$5:$D$1000, MATCH(A612&amp;"|"&amp;J612, 'Base Exámenes'!$I$5:$I$1000, 0))), ""), "")</f>
        <v/>
      </c>
      <c r="H612" s="11" t="str">
        <f>IF(F612="Completado", IFERROR(IF(INDEX('Base Exámenes'!$E$5:$E$1000, MATCH(A612&amp;"|"&amp;J612, 'Base Exámenes'!$I$5:$I$1000, 0))="", "", INDEX('Base Exámenes'!$E$5:$E$1000, MATCH(A612&amp;"|"&amp;J612, 'Base Exámenes'!$I$5:$I$1000, 0))), ""), "")</f>
        <v/>
      </c>
      <c r="I612" s="10" t="str">
        <f>IF(F612="Completado", IFERROR(IF(INDEX('Base Exámenes'!$F$5:$F$1000, MATCH(A612&amp;"|"&amp;J612, 'Base Exámenes'!$I$5:$I$1000, 0))="", "", INDEX('Base Exámenes'!$F$5:$F$1000, MATCH(A612&amp;"|"&amp;J612, 'Base Exámenes'!$I$5:$I$1000, 0))), ""), "")</f>
        <v/>
      </c>
      <c r="J612" s="6" t="str">
        <f>IF(F612="Completado", IF(COUNTIFS('Base Exámenes'!$C$5:$C$1000, A612, 'Base Exámenes'!$G$5:$G$1000, "&lt;&gt;")=0, "", _xlfn.MAXIFS('Base Exámenes'!$G$5:$G$1000, 'Base Exámenes'!$C$5:$C$1000, A612)), "")</f>
        <v/>
      </c>
      <c r="K612" s="6" t="str">
        <f>IF(F612="Completado", IFERROR(IF(INDEX('Base Exámenes'!$H$5:$H$1000, MATCH(A612&amp;"|"&amp;J612, 'Base Exámenes'!$I$5:$I$1000, 0))="", "", INDEX('Base Exámenes'!$H$5:$H$1000, MATCH(A612&amp;"|"&amp;J612, 'Base Exámenes'!$I$5:$I$1000, 0))), ""), "")</f>
        <v/>
      </c>
      <c r="L612" s="22" t="str">
        <f>IF($A612="","",COUNTIF('Base Exámenes'!$C$5:$C$1000, A612))</f>
        <v/>
      </c>
      <c r="M612" s="6" t="str">
        <f>IF($A612="","",IF(COUNTIF('Base Exámenes'!$C$5:$C$1000, A612)&gt;0, "", TRIM('Base Oficial'!H612)))</f>
        <v/>
      </c>
    </row>
    <row r="613">
      <c r="A613" s="4" t="str">
        <f>IF('Base Oficial'!A613="","",TRIM('Base Oficial'!A613))</f>
        <v/>
      </c>
      <c r="B613" s="6" t="str">
        <f>IF($A613="","",TRIM('Base Oficial'!B613))</f>
        <v/>
      </c>
      <c r="C613" s="6" t="str">
        <f>IF($A613="","",TRIM('Base Oficial'!F613))</f>
        <v/>
      </c>
      <c r="D613" s="6" t="str">
        <f>IF($A613="","",TRIM('Base Oficial'!G613))</f>
        <v/>
      </c>
      <c r="E613" s="6" t="str">
        <f>IF($A613="","",TRIM('Base Oficial'!D613))</f>
        <v/>
      </c>
      <c r="F613" s="4" t="str">
        <f>IF($A613="","",IF(COUNTIF('Base Exámenes'!$C$5:$C$1000, A613)&gt;0, "Completado", IF(M613&lt;&gt;"", M613, "Pendiente")))</f>
        <v/>
      </c>
      <c r="G613" s="11" t="str">
        <f>IF(F613="Completado", IFERROR(IF(INDEX('Base Exámenes'!$D$5:$D$1000, MATCH(A613&amp;"|"&amp;J613, 'Base Exámenes'!$I$5:$I$1000, 0))="", "", INDEX('Base Exámenes'!$D$5:$D$1000, MATCH(A613&amp;"|"&amp;J613, 'Base Exámenes'!$I$5:$I$1000, 0))), ""), "")</f>
        <v/>
      </c>
      <c r="H613" s="11" t="str">
        <f>IF(F613="Completado", IFERROR(IF(INDEX('Base Exámenes'!$E$5:$E$1000, MATCH(A613&amp;"|"&amp;J613, 'Base Exámenes'!$I$5:$I$1000, 0))="", "", INDEX('Base Exámenes'!$E$5:$E$1000, MATCH(A613&amp;"|"&amp;J613, 'Base Exámenes'!$I$5:$I$1000, 0))), ""), "")</f>
        <v/>
      </c>
      <c r="I613" s="10" t="str">
        <f>IF(F613="Completado", IFERROR(IF(INDEX('Base Exámenes'!$F$5:$F$1000, MATCH(A613&amp;"|"&amp;J613, 'Base Exámenes'!$I$5:$I$1000, 0))="", "", INDEX('Base Exámenes'!$F$5:$F$1000, MATCH(A613&amp;"|"&amp;J613, 'Base Exámenes'!$I$5:$I$1000, 0))), ""), "")</f>
        <v/>
      </c>
      <c r="J613" s="6" t="str">
        <f>IF(F613="Completado", IF(COUNTIFS('Base Exámenes'!$C$5:$C$1000, A613, 'Base Exámenes'!$G$5:$G$1000, "&lt;&gt;")=0, "", _xlfn.MAXIFS('Base Exámenes'!$G$5:$G$1000, 'Base Exámenes'!$C$5:$C$1000, A613)), "")</f>
        <v/>
      </c>
      <c r="K613" s="6" t="str">
        <f>IF(F613="Completado", IFERROR(IF(INDEX('Base Exámenes'!$H$5:$H$1000, MATCH(A613&amp;"|"&amp;J613, 'Base Exámenes'!$I$5:$I$1000, 0))="", "", INDEX('Base Exámenes'!$H$5:$H$1000, MATCH(A613&amp;"|"&amp;J613, 'Base Exámenes'!$I$5:$I$1000, 0))), ""), "")</f>
        <v/>
      </c>
      <c r="L613" s="22" t="str">
        <f>IF($A613="","",COUNTIF('Base Exámenes'!$C$5:$C$1000, A613))</f>
        <v/>
      </c>
      <c r="M613" s="6" t="str">
        <f>IF($A613="","",IF(COUNTIF('Base Exámenes'!$C$5:$C$1000, A613)&gt;0, "", TRIM('Base Oficial'!H613)))</f>
        <v/>
      </c>
    </row>
    <row r="614">
      <c r="A614" s="4" t="str">
        <f>IF('Base Oficial'!A614="","",TRIM('Base Oficial'!A614))</f>
        <v/>
      </c>
      <c r="B614" s="6" t="str">
        <f>IF($A614="","",TRIM('Base Oficial'!B614))</f>
        <v/>
      </c>
      <c r="C614" s="6" t="str">
        <f>IF($A614="","",TRIM('Base Oficial'!F614))</f>
        <v/>
      </c>
      <c r="D614" s="6" t="str">
        <f>IF($A614="","",TRIM('Base Oficial'!G614))</f>
        <v/>
      </c>
      <c r="E614" s="6" t="str">
        <f>IF($A614="","",TRIM('Base Oficial'!D614))</f>
        <v/>
      </c>
      <c r="F614" s="4" t="str">
        <f>IF($A614="","",IF(COUNTIF('Base Exámenes'!$C$5:$C$1000, A614)&gt;0, "Completado", IF(M614&lt;&gt;"", M614, "Pendiente")))</f>
        <v/>
      </c>
      <c r="G614" s="11" t="str">
        <f>IF(F614="Completado", IFERROR(IF(INDEX('Base Exámenes'!$D$5:$D$1000, MATCH(A614&amp;"|"&amp;J614, 'Base Exámenes'!$I$5:$I$1000, 0))="", "", INDEX('Base Exámenes'!$D$5:$D$1000, MATCH(A614&amp;"|"&amp;J614, 'Base Exámenes'!$I$5:$I$1000, 0))), ""), "")</f>
        <v/>
      </c>
      <c r="H614" s="11" t="str">
        <f>IF(F614="Completado", IFERROR(IF(INDEX('Base Exámenes'!$E$5:$E$1000, MATCH(A614&amp;"|"&amp;J614, 'Base Exámenes'!$I$5:$I$1000, 0))="", "", INDEX('Base Exámenes'!$E$5:$E$1000, MATCH(A614&amp;"|"&amp;J614, 'Base Exámenes'!$I$5:$I$1000, 0))), ""), "")</f>
        <v/>
      </c>
      <c r="I614" s="10" t="str">
        <f>IF(F614="Completado", IFERROR(IF(INDEX('Base Exámenes'!$F$5:$F$1000, MATCH(A614&amp;"|"&amp;J614, 'Base Exámenes'!$I$5:$I$1000, 0))="", "", INDEX('Base Exámenes'!$F$5:$F$1000, MATCH(A614&amp;"|"&amp;J614, 'Base Exámenes'!$I$5:$I$1000, 0))), ""), "")</f>
        <v/>
      </c>
      <c r="J614" s="6" t="str">
        <f>IF(F614="Completado", IF(COUNTIFS('Base Exámenes'!$C$5:$C$1000, A614, 'Base Exámenes'!$G$5:$G$1000, "&lt;&gt;")=0, "", _xlfn.MAXIFS('Base Exámenes'!$G$5:$G$1000, 'Base Exámenes'!$C$5:$C$1000, A614)), "")</f>
        <v/>
      </c>
      <c r="K614" s="6" t="str">
        <f>IF(F614="Completado", IFERROR(IF(INDEX('Base Exámenes'!$H$5:$H$1000, MATCH(A614&amp;"|"&amp;J614, 'Base Exámenes'!$I$5:$I$1000, 0))="", "", INDEX('Base Exámenes'!$H$5:$H$1000, MATCH(A614&amp;"|"&amp;J614, 'Base Exámenes'!$I$5:$I$1000, 0))), ""), "")</f>
        <v/>
      </c>
      <c r="L614" s="22" t="str">
        <f>IF($A614="","",COUNTIF('Base Exámenes'!$C$5:$C$1000, A614))</f>
        <v/>
      </c>
      <c r="M614" s="6" t="str">
        <f>IF($A614="","",IF(COUNTIF('Base Exámenes'!$C$5:$C$1000, A614)&gt;0, "", TRIM('Base Oficial'!H614)))</f>
        <v/>
      </c>
    </row>
    <row r="615">
      <c r="A615" s="4" t="str">
        <f>IF('Base Oficial'!A615="","",TRIM('Base Oficial'!A615))</f>
        <v/>
      </c>
      <c r="B615" s="6" t="str">
        <f>IF($A615="","",TRIM('Base Oficial'!B615))</f>
        <v/>
      </c>
      <c r="C615" s="6" t="str">
        <f>IF($A615="","",TRIM('Base Oficial'!F615))</f>
        <v/>
      </c>
      <c r="D615" s="6" t="str">
        <f>IF($A615="","",TRIM('Base Oficial'!G615))</f>
        <v/>
      </c>
      <c r="E615" s="6" t="str">
        <f>IF($A615="","",TRIM('Base Oficial'!D615))</f>
        <v/>
      </c>
      <c r="F615" s="4" t="str">
        <f>IF($A615="","",IF(COUNTIF('Base Exámenes'!$C$5:$C$1000, A615)&gt;0, "Completado", IF(M615&lt;&gt;"", M615, "Pendiente")))</f>
        <v/>
      </c>
      <c r="G615" s="11" t="str">
        <f>IF(F615="Completado", IFERROR(IF(INDEX('Base Exámenes'!$D$5:$D$1000, MATCH(A615&amp;"|"&amp;J615, 'Base Exámenes'!$I$5:$I$1000, 0))="", "", INDEX('Base Exámenes'!$D$5:$D$1000, MATCH(A615&amp;"|"&amp;J615, 'Base Exámenes'!$I$5:$I$1000, 0))), ""), "")</f>
        <v/>
      </c>
      <c r="H615" s="11" t="str">
        <f>IF(F615="Completado", IFERROR(IF(INDEX('Base Exámenes'!$E$5:$E$1000, MATCH(A615&amp;"|"&amp;J615, 'Base Exámenes'!$I$5:$I$1000, 0))="", "", INDEX('Base Exámenes'!$E$5:$E$1000, MATCH(A615&amp;"|"&amp;J615, 'Base Exámenes'!$I$5:$I$1000, 0))), ""), "")</f>
        <v/>
      </c>
      <c r="I615" s="10" t="str">
        <f>IF(F615="Completado", IFERROR(IF(INDEX('Base Exámenes'!$F$5:$F$1000, MATCH(A615&amp;"|"&amp;J615, 'Base Exámenes'!$I$5:$I$1000, 0))="", "", INDEX('Base Exámenes'!$F$5:$F$1000, MATCH(A615&amp;"|"&amp;J615, 'Base Exámenes'!$I$5:$I$1000, 0))), ""), "")</f>
        <v/>
      </c>
      <c r="J615" s="6" t="str">
        <f>IF(F615="Completado", IF(COUNTIFS('Base Exámenes'!$C$5:$C$1000, A615, 'Base Exámenes'!$G$5:$G$1000, "&lt;&gt;")=0, "", _xlfn.MAXIFS('Base Exámenes'!$G$5:$G$1000, 'Base Exámenes'!$C$5:$C$1000, A615)), "")</f>
        <v/>
      </c>
      <c r="K615" s="6" t="str">
        <f>IF(F615="Completado", IFERROR(IF(INDEX('Base Exámenes'!$H$5:$H$1000, MATCH(A615&amp;"|"&amp;J615, 'Base Exámenes'!$I$5:$I$1000, 0))="", "", INDEX('Base Exámenes'!$H$5:$H$1000, MATCH(A615&amp;"|"&amp;J615, 'Base Exámenes'!$I$5:$I$1000, 0))), ""), "")</f>
        <v/>
      </c>
      <c r="L615" s="22" t="str">
        <f>IF($A615="","",COUNTIF('Base Exámenes'!$C$5:$C$1000, A615))</f>
        <v/>
      </c>
      <c r="M615" s="6" t="str">
        <f>IF($A615="","",IF(COUNTIF('Base Exámenes'!$C$5:$C$1000, A615)&gt;0, "", TRIM('Base Oficial'!H615)))</f>
        <v/>
      </c>
    </row>
    <row r="616">
      <c r="A616" s="4" t="str">
        <f>IF('Base Oficial'!A616="","",TRIM('Base Oficial'!A616))</f>
        <v/>
      </c>
      <c r="B616" s="6" t="str">
        <f>IF($A616="","",TRIM('Base Oficial'!B616))</f>
        <v/>
      </c>
      <c r="C616" s="6" t="str">
        <f>IF($A616="","",TRIM('Base Oficial'!F616))</f>
        <v/>
      </c>
      <c r="D616" s="6" t="str">
        <f>IF($A616="","",TRIM('Base Oficial'!G616))</f>
        <v/>
      </c>
      <c r="E616" s="6" t="str">
        <f>IF($A616="","",TRIM('Base Oficial'!D616))</f>
        <v/>
      </c>
      <c r="F616" s="4" t="str">
        <f>IF($A616="","",IF(COUNTIF('Base Exámenes'!$C$5:$C$1000, A616)&gt;0, "Completado", IF(M616&lt;&gt;"", M616, "Pendiente")))</f>
        <v/>
      </c>
      <c r="G616" s="11" t="str">
        <f>IF(F616="Completado", IFERROR(IF(INDEX('Base Exámenes'!$D$5:$D$1000, MATCH(A616&amp;"|"&amp;J616, 'Base Exámenes'!$I$5:$I$1000, 0))="", "", INDEX('Base Exámenes'!$D$5:$D$1000, MATCH(A616&amp;"|"&amp;J616, 'Base Exámenes'!$I$5:$I$1000, 0))), ""), "")</f>
        <v/>
      </c>
      <c r="H616" s="11" t="str">
        <f>IF(F616="Completado", IFERROR(IF(INDEX('Base Exámenes'!$E$5:$E$1000, MATCH(A616&amp;"|"&amp;J616, 'Base Exámenes'!$I$5:$I$1000, 0))="", "", INDEX('Base Exámenes'!$E$5:$E$1000, MATCH(A616&amp;"|"&amp;J616, 'Base Exámenes'!$I$5:$I$1000, 0))), ""), "")</f>
        <v/>
      </c>
      <c r="I616" s="10" t="str">
        <f>IF(F616="Completado", IFERROR(IF(INDEX('Base Exámenes'!$F$5:$F$1000, MATCH(A616&amp;"|"&amp;J616, 'Base Exámenes'!$I$5:$I$1000, 0))="", "", INDEX('Base Exámenes'!$F$5:$F$1000, MATCH(A616&amp;"|"&amp;J616, 'Base Exámenes'!$I$5:$I$1000, 0))), ""), "")</f>
        <v/>
      </c>
      <c r="J616" s="6" t="str">
        <f>IF(F616="Completado", IF(COUNTIFS('Base Exámenes'!$C$5:$C$1000, A616, 'Base Exámenes'!$G$5:$G$1000, "&lt;&gt;")=0, "", _xlfn.MAXIFS('Base Exámenes'!$G$5:$G$1000, 'Base Exámenes'!$C$5:$C$1000, A616)), "")</f>
        <v/>
      </c>
      <c r="K616" s="6" t="str">
        <f>IF(F616="Completado", IFERROR(IF(INDEX('Base Exámenes'!$H$5:$H$1000, MATCH(A616&amp;"|"&amp;J616, 'Base Exámenes'!$I$5:$I$1000, 0))="", "", INDEX('Base Exámenes'!$H$5:$H$1000, MATCH(A616&amp;"|"&amp;J616, 'Base Exámenes'!$I$5:$I$1000, 0))), ""), "")</f>
        <v/>
      </c>
      <c r="L616" s="22" t="str">
        <f>IF($A616="","",COUNTIF('Base Exámenes'!$C$5:$C$1000, A616))</f>
        <v/>
      </c>
      <c r="M616" s="6" t="str">
        <f>IF($A616="","",IF(COUNTIF('Base Exámenes'!$C$5:$C$1000, A616)&gt;0, "", TRIM('Base Oficial'!H616)))</f>
        <v/>
      </c>
    </row>
    <row r="617">
      <c r="A617" s="4" t="str">
        <f>IF('Base Oficial'!A617="","",TRIM('Base Oficial'!A617))</f>
        <v/>
      </c>
      <c r="B617" s="6" t="str">
        <f>IF($A617="","",TRIM('Base Oficial'!B617))</f>
        <v/>
      </c>
      <c r="C617" s="6" t="str">
        <f>IF($A617="","",TRIM('Base Oficial'!F617))</f>
        <v/>
      </c>
      <c r="D617" s="6" t="str">
        <f>IF($A617="","",TRIM('Base Oficial'!G617))</f>
        <v/>
      </c>
      <c r="E617" s="6" t="str">
        <f>IF($A617="","",TRIM('Base Oficial'!D617))</f>
        <v/>
      </c>
      <c r="F617" s="4" t="str">
        <f>IF($A617="","",IF(COUNTIF('Base Exámenes'!$C$5:$C$1000, A617)&gt;0, "Completado", IF(M617&lt;&gt;"", M617, "Pendiente")))</f>
        <v/>
      </c>
      <c r="G617" s="11" t="str">
        <f>IF(F617="Completado", IFERROR(IF(INDEX('Base Exámenes'!$D$5:$D$1000, MATCH(A617&amp;"|"&amp;J617, 'Base Exámenes'!$I$5:$I$1000, 0))="", "", INDEX('Base Exámenes'!$D$5:$D$1000, MATCH(A617&amp;"|"&amp;J617, 'Base Exámenes'!$I$5:$I$1000, 0))), ""), "")</f>
        <v/>
      </c>
      <c r="H617" s="11" t="str">
        <f>IF(F617="Completado", IFERROR(IF(INDEX('Base Exámenes'!$E$5:$E$1000, MATCH(A617&amp;"|"&amp;J617, 'Base Exámenes'!$I$5:$I$1000, 0))="", "", INDEX('Base Exámenes'!$E$5:$E$1000, MATCH(A617&amp;"|"&amp;J617, 'Base Exámenes'!$I$5:$I$1000, 0))), ""), "")</f>
        <v/>
      </c>
      <c r="I617" s="10" t="str">
        <f>IF(F617="Completado", IFERROR(IF(INDEX('Base Exámenes'!$F$5:$F$1000, MATCH(A617&amp;"|"&amp;J617, 'Base Exámenes'!$I$5:$I$1000, 0))="", "", INDEX('Base Exámenes'!$F$5:$F$1000, MATCH(A617&amp;"|"&amp;J617, 'Base Exámenes'!$I$5:$I$1000, 0))), ""), "")</f>
        <v/>
      </c>
      <c r="J617" s="6" t="str">
        <f>IF(F617="Completado", IF(COUNTIFS('Base Exámenes'!$C$5:$C$1000, A617, 'Base Exámenes'!$G$5:$G$1000, "&lt;&gt;")=0, "", _xlfn.MAXIFS('Base Exámenes'!$G$5:$G$1000, 'Base Exámenes'!$C$5:$C$1000, A617)), "")</f>
        <v/>
      </c>
      <c r="K617" s="6" t="str">
        <f>IF(F617="Completado", IFERROR(IF(INDEX('Base Exámenes'!$H$5:$H$1000, MATCH(A617&amp;"|"&amp;J617, 'Base Exámenes'!$I$5:$I$1000, 0))="", "", INDEX('Base Exámenes'!$H$5:$H$1000, MATCH(A617&amp;"|"&amp;J617, 'Base Exámenes'!$I$5:$I$1000, 0))), ""), "")</f>
        <v/>
      </c>
      <c r="L617" s="22" t="str">
        <f>IF($A617="","",COUNTIF('Base Exámenes'!$C$5:$C$1000, A617))</f>
        <v/>
      </c>
      <c r="M617" s="6" t="str">
        <f>IF($A617="","",IF(COUNTIF('Base Exámenes'!$C$5:$C$1000, A617)&gt;0, "", TRIM('Base Oficial'!H617)))</f>
        <v/>
      </c>
    </row>
    <row r="618">
      <c r="A618" s="4" t="str">
        <f>IF('Base Oficial'!A618="","",TRIM('Base Oficial'!A618))</f>
        <v/>
      </c>
      <c r="B618" s="6" t="str">
        <f>IF($A618="","",TRIM('Base Oficial'!B618))</f>
        <v/>
      </c>
      <c r="C618" s="6" t="str">
        <f>IF($A618="","",TRIM('Base Oficial'!F618))</f>
        <v/>
      </c>
      <c r="D618" s="6" t="str">
        <f>IF($A618="","",TRIM('Base Oficial'!G618))</f>
        <v/>
      </c>
      <c r="E618" s="6" t="str">
        <f>IF($A618="","",TRIM('Base Oficial'!D618))</f>
        <v/>
      </c>
      <c r="F618" s="4" t="str">
        <f>IF($A618="","",IF(COUNTIF('Base Exámenes'!$C$5:$C$1000, A618)&gt;0, "Completado", IF(M618&lt;&gt;"", M618, "Pendiente")))</f>
        <v/>
      </c>
      <c r="G618" s="11" t="str">
        <f>IF(F618="Completado", IFERROR(IF(INDEX('Base Exámenes'!$D$5:$D$1000, MATCH(A618&amp;"|"&amp;J618, 'Base Exámenes'!$I$5:$I$1000, 0))="", "", INDEX('Base Exámenes'!$D$5:$D$1000, MATCH(A618&amp;"|"&amp;J618, 'Base Exámenes'!$I$5:$I$1000, 0))), ""), "")</f>
        <v/>
      </c>
      <c r="H618" s="11" t="str">
        <f>IF(F618="Completado", IFERROR(IF(INDEX('Base Exámenes'!$E$5:$E$1000, MATCH(A618&amp;"|"&amp;J618, 'Base Exámenes'!$I$5:$I$1000, 0))="", "", INDEX('Base Exámenes'!$E$5:$E$1000, MATCH(A618&amp;"|"&amp;J618, 'Base Exámenes'!$I$5:$I$1000, 0))), ""), "")</f>
        <v/>
      </c>
      <c r="I618" s="10" t="str">
        <f>IF(F618="Completado", IFERROR(IF(INDEX('Base Exámenes'!$F$5:$F$1000, MATCH(A618&amp;"|"&amp;J618, 'Base Exámenes'!$I$5:$I$1000, 0))="", "", INDEX('Base Exámenes'!$F$5:$F$1000, MATCH(A618&amp;"|"&amp;J618, 'Base Exámenes'!$I$5:$I$1000, 0))), ""), "")</f>
        <v/>
      </c>
      <c r="J618" s="6" t="str">
        <f>IF(F618="Completado", IF(COUNTIFS('Base Exámenes'!$C$5:$C$1000, A618, 'Base Exámenes'!$G$5:$G$1000, "&lt;&gt;")=0, "", _xlfn.MAXIFS('Base Exámenes'!$G$5:$G$1000, 'Base Exámenes'!$C$5:$C$1000, A618)), "")</f>
        <v/>
      </c>
      <c r="K618" s="6" t="str">
        <f>IF(F618="Completado", IFERROR(IF(INDEX('Base Exámenes'!$H$5:$H$1000, MATCH(A618&amp;"|"&amp;J618, 'Base Exámenes'!$I$5:$I$1000, 0))="", "", INDEX('Base Exámenes'!$H$5:$H$1000, MATCH(A618&amp;"|"&amp;J618, 'Base Exámenes'!$I$5:$I$1000, 0))), ""), "")</f>
        <v/>
      </c>
      <c r="L618" s="22" t="str">
        <f>IF($A618="","",COUNTIF('Base Exámenes'!$C$5:$C$1000, A618))</f>
        <v/>
      </c>
      <c r="M618" s="6" t="str">
        <f>IF($A618="","",IF(COUNTIF('Base Exámenes'!$C$5:$C$1000, A618)&gt;0, "", TRIM('Base Oficial'!H618)))</f>
        <v/>
      </c>
    </row>
    <row r="619">
      <c r="A619" s="4" t="str">
        <f>IF('Base Oficial'!A619="","",TRIM('Base Oficial'!A619))</f>
        <v/>
      </c>
      <c r="B619" s="6" t="str">
        <f>IF($A619="","",TRIM('Base Oficial'!B619))</f>
        <v/>
      </c>
      <c r="C619" s="6" t="str">
        <f>IF($A619="","",TRIM('Base Oficial'!F619))</f>
        <v/>
      </c>
      <c r="D619" s="6" t="str">
        <f>IF($A619="","",TRIM('Base Oficial'!G619))</f>
        <v/>
      </c>
      <c r="E619" s="6" t="str">
        <f>IF($A619="","",TRIM('Base Oficial'!D619))</f>
        <v/>
      </c>
      <c r="F619" s="4" t="str">
        <f>IF($A619="","",IF(COUNTIF('Base Exámenes'!$C$5:$C$1000, A619)&gt;0, "Completado", IF(M619&lt;&gt;"", M619, "Pendiente")))</f>
        <v/>
      </c>
      <c r="G619" s="11" t="str">
        <f>IF(F619="Completado", IFERROR(IF(INDEX('Base Exámenes'!$D$5:$D$1000, MATCH(A619&amp;"|"&amp;J619, 'Base Exámenes'!$I$5:$I$1000, 0))="", "", INDEX('Base Exámenes'!$D$5:$D$1000, MATCH(A619&amp;"|"&amp;J619, 'Base Exámenes'!$I$5:$I$1000, 0))), ""), "")</f>
        <v/>
      </c>
      <c r="H619" s="11" t="str">
        <f>IF(F619="Completado", IFERROR(IF(INDEX('Base Exámenes'!$E$5:$E$1000, MATCH(A619&amp;"|"&amp;J619, 'Base Exámenes'!$I$5:$I$1000, 0))="", "", INDEX('Base Exámenes'!$E$5:$E$1000, MATCH(A619&amp;"|"&amp;J619, 'Base Exámenes'!$I$5:$I$1000, 0))), ""), "")</f>
        <v/>
      </c>
      <c r="I619" s="10" t="str">
        <f>IF(F619="Completado", IFERROR(IF(INDEX('Base Exámenes'!$F$5:$F$1000, MATCH(A619&amp;"|"&amp;J619, 'Base Exámenes'!$I$5:$I$1000, 0))="", "", INDEX('Base Exámenes'!$F$5:$F$1000, MATCH(A619&amp;"|"&amp;J619, 'Base Exámenes'!$I$5:$I$1000, 0))), ""), "")</f>
        <v/>
      </c>
      <c r="J619" s="6" t="str">
        <f>IF(F619="Completado", IF(COUNTIFS('Base Exámenes'!$C$5:$C$1000, A619, 'Base Exámenes'!$G$5:$G$1000, "&lt;&gt;")=0, "", _xlfn.MAXIFS('Base Exámenes'!$G$5:$G$1000, 'Base Exámenes'!$C$5:$C$1000, A619)), "")</f>
        <v/>
      </c>
      <c r="K619" s="6" t="str">
        <f>IF(F619="Completado", IFERROR(IF(INDEX('Base Exámenes'!$H$5:$H$1000, MATCH(A619&amp;"|"&amp;J619, 'Base Exámenes'!$I$5:$I$1000, 0))="", "", INDEX('Base Exámenes'!$H$5:$H$1000, MATCH(A619&amp;"|"&amp;J619, 'Base Exámenes'!$I$5:$I$1000, 0))), ""), "")</f>
        <v/>
      </c>
      <c r="L619" s="22" t="str">
        <f>IF($A619="","",COUNTIF('Base Exámenes'!$C$5:$C$1000, A619))</f>
        <v/>
      </c>
      <c r="M619" s="6" t="str">
        <f>IF($A619="","",IF(COUNTIF('Base Exámenes'!$C$5:$C$1000, A619)&gt;0, "", TRIM('Base Oficial'!H619)))</f>
        <v/>
      </c>
    </row>
    <row r="620">
      <c r="A620" s="4" t="str">
        <f>IF('Base Oficial'!A620="","",TRIM('Base Oficial'!A620))</f>
        <v/>
      </c>
      <c r="B620" s="6" t="str">
        <f>IF($A620="","",TRIM('Base Oficial'!B620))</f>
        <v/>
      </c>
      <c r="C620" s="6" t="str">
        <f>IF($A620="","",TRIM('Base Oficial'!F620))</f>
        <v/>
      </c>
      <c r="D620" s="6" t="str">
        <f>IF($A620="","",TRIM('Base Oficial'!G620))</f>
        <v/>
      </c>
      <c r="E620" s="6" t="str">
        <f>IF($A620="","",TRIM('Base Oficial'!D620))</f>
        <v/>
      </c>
      <c r="F620" s="4" t="str">
        <f>IF($A620="","",IF(COUNTIF('Base Exámenes'!$C$5:$C$1000, A620)&gt;0, "Completado", IF(M620&lt;&gt;"", M620, "Pendiente")))</f>
        <v/>
      </c>
      <c r="G620" s="11" t="str">
        <f>IF(F620="Completado", IFERROR(IF(INDEX('Base Exámenes'!$D$5:$D$1000, MATCH(A620&amp;"|"&amp;J620, 'Base Exámenes'!$I$5:$I$1000, 0))="", "", INDEX('Base Exámenes'!$D$5:$D$1000, MATCH(A620&amp;"|"&amp;J620, 'Base Exámenes'!$I$5:$I$1000, 0))), ""), "")</f>
        <v/>
      </c>
      <c r="H620" s="11" t="str">
        <f>IF(F620="Completado", IFERROR(IF(INDEX('Base Exámenes'!$E$5:$E$1000, MATCH(A620&amp;"|"&amp;J620, 'Base Exámenes'!$I$5:$I$1000, 0))="", "", INDEX('Base Exámenes'!$E$5:$E$1000, MATCH(A620&amp;"|"&amp;J620, 'Base Exámenes'!$I$5:$I$1000, 0))), ""), "")</f>
        <v/>
      </c>
      <c r="I620" s="10" t="str">
        <f>IF(F620="Completado", IFERROR(IF(INDEX('Base Exámenes'!$F$5:$F$1000, MATCH(A620&amp;"|"&amp;J620, 'Base Exámenes'!$I$5:$I$1000, 0))="", "", INDEX('Base Exámenes'!$F$5:$F$1000, MATCH(A620&amp;"|"&amp;J620, 'Base Exámenes'!$I$5:$I$1000, 0))), ""), "")</f>
        <v/>
      </c>
      <c r="J620" s="6" t="str">
        <f>IF(F620="Completado", IF(COUNTIFS('Base Exámenes'!$C$5:$C$1000, A620, 'Base Exámenes'!$G$5:$G$1000, "&lt;&gt;")=0, "", _xlfn.MAXIFS('Base Exámenes'!$G$5:$G$1000, 'Base Exámenes'!$C$5:$C$1000, A620)), "")</f>
        <v/>
      </c>
      <c r="K620" s="6" t="str">
        <f>IF(F620="Completado", IFERROR(IF(INDEX('Base Exámenes'!$H$5:$H$1000, MATCH(A620&amp;"|"&amp;J620, 'Base Exámenes'!$I$5:$I$1000, 0))="", "", INDEX('Base Exámenes'!$H$5:$H$1000, MATCH(A620&amp;"|"&amp;J620, 'Base Exámenes'!$I$5:$I$1000, 0))), ""), "")</f>
        <v/>
      </c>
      <c r="L620" s="22" t="str">
        <f>IF($A620="","",COUNTIF('Base Exámenes'!$C$5:$C$1000, A620))</f>
        <v/>
      </c>
      <c r="M620" s="6" t="str">
        <f>IF($A620="","",IF(COUNTIF('Base Exámenes'!$C$5:$C$1000, A620)&gt;0, "", TRIM('Base Oficial'!H620)))</f>
        <v/>
      </c>
    </row>
    <row r="621">
      <c r="A621" s="4" t="str">
        <f>IF('Base Oficial'!A621="","",TRIM('Base Oficial'!A621))</f>
        <v/>
      </c>
      <c r="B621" s="6" t="str">
        <f>IF($A621="","",TRIM('Base Oficial'!B621))</f>
        <v/>
      </c>
      <c r="C621" s="6" t="str">
        <f>IF($A621="","",TRIM('Base Oficial'!F621))</f>
        <v/>
      </c>
      <c r="D621" s="6" t="str">
        <f>IF($A621="","",TRIM('Base Oficial'!G621))</f>
        <v/>
      </c>
      <c r="E621" s="6" t="str">
        <f>IF($A621="","",TRIM('Base Oficial'!D621))</f>
        <v/>
      </c>
      <c r="F621" s="4" t="str">
        <f>IF($A621="","",IF(COUNTIF('Base Exámenes'!$C$5:$C$1000, A621)&gt;0, "Completado", IF(M621&lt;&gt;"", M621, "Pendiente")))</f>
        <v/>
      </c>
      <c r="G621" s="11" t="str">
        <f>IF(F621="Completado", IFERROR(IF(INDEX('Base Exámenes'!$D$5:$D$1000, MATCH(A621&amp;"|"&amp;J621, 'Base Exámenes'!$I$5:$I$1000, 0))="", "", INDEX('Base Exámenes'!$D$5:$D$1000, MATCH(A621&amp;"|"&amp;J621, 'Base Exámenes'!$I$5:$I$1000, 0))), ""), "")</f>
        <v/>
      </c>
      <c r="H621" s="11" t="str">
        <f>IF(F621="Completado", IFERROR(IF(INDEX('Base Exámenes'!$E$5:$E$1000, MATCH(A621&amp;"|"&amp;J621, 'Base Exámenes'!$I$5:$I$1000, 0))="", "", INDEX('Base Exámenes'!$E$5:$E$1000, MATCH(A621&amp;"|"&amp;J621, 'Base Exámenes'!$I$5:$I$1000, 0))), ""), "")</f>
        <v/>
      </c>
      <c r="I621" s="10" t="str">
        <f>IF(F621="Completado", IFERROR(IF(INDEX('Base Exámenes'!$F$5:$F$1000, MATCH(A621&amp;"|"&amp;J621, 'Base Exámenes'!$I$5:$I$1000, 0))="", "", INDEX('Base Exámenes'!$F$5:$F$1000, MATCH(A621&amp;"|"&amp;J621, 'Base Exámenes'!$I$5:$I$1000, 0))), ""), "")</f>
        <v/>
      </c>
      <c r="J621" s="6" t="str">
        <f>IF(F621="Completado", IF(COUNTIFS('Base Exámenes'!$C$5:$C$1000, A621, 'Base Exámenes'!$G$5:$G$1000, "&lt;&gt;")=0, "", _xlfn.MAXIFS('Base Exámenes'!$G$5:$G$1000, 'Base Exámenes'!$C$5:$C$1000, A621)), "")</f>
        <v/>
      </c>
      <c r="K621" s="6" t="str">
        <f>IF(F621="Completado", IFERROR(IF(INDEX('Base Exámenes'!$H$5:$H$1000, MATCH(A621&amp;"|"&amp;J621, 'Base Exámenes'!$I$5:$I$1000, 0))="", "", INDEX('Base Exámenes'!$H$5:$H$1000, MATCH(A621&amp;"|"&amp;J621, 'Base Exámenes'!$I$5:$I$1000, 0))), ""), "")</f>
        <v/>
      </c>
      <c r="L621" s="22" t="str">
        <f>IF($A621="","",COUNTIF('Base Exámenes'!$C$5:$C$1000, A621))</f>
        <v/>
      </c>
      <c r="M621" s="6" t="str">
        <f>IF($A621="","",IF(COUNTIF('Base Exámenes'!$C$5:$C$1000, A621)&gt;0, "", TRIM('Base Oficial'!H621)))</f>
        <v/>
      </c>
    </row>
    <row r="622">
      <c r="A622" s="4" t="str">
        <f>IF('Base Oficial'!A622="","",TRIM('Base Oficial'!A622))</f>
        <v/>
      </c>
      <c r="B622" s="6" t="str">
        <f>IF($A622="","",TRIM('Base Oficial'!B622))</f>
        <v/>
      </c>
      <c r="C622" s="6" t="str">
        <f>IF($A622="","",TRIM('Base Oficial'!F622))</f>
        <v/>
      </c>
      <c r="D622" s="6" t="str">
        <f>IF($A622="","",TRIM('Base Oficial'!G622))</f>
        <v/>
      </c>
      <c r="E622" s="6" t="str">
        <f>IF($A622="","",TRIM('Base Oficial'!D622))</f>
        <v/>
      </c>
      <c r="F622" s="4" t="str">
        <f>IF($A622="","",IF(COUNTIF('Base Exámenes'!$C$5:$C$1000, A622)&gt;0, "Completado", IF(M622&lt;&gt;"", M622, "Pendiente")))</f>
        <v/>
      </c>
      <c r="G622" s="11" t="str">
        <f>IF(F622="Completado", IFERROR(IF(INDEX('Base Exámenes'!$D$5:$D$1000, MATCH(A622&amp;"|"&amp;J622, 'Base Exámenes'!$I$5:$I$1000, 0))="", "", INDEX('Base Exámenes'!$D$5:$D$1000, MATCH(A622&amp;"|"&amp;J622, 'Base Exámenes'!$I$5:$I$1000, 0))), ""), "")</f>
        <v/>
      </c>
      <c r="H622" s="11" t="str">
        <f>IF(F622="Completado", IFERROR(IF(INDEX('Base Exámenes'!$E$5:$E$1000, MATCH(A622&amp;"|"&amp;J622, 'Base Exámenes'!$I$5:$I$1000, 0))="", "", INDEX('Base Exámenes'!$E$5:$E$1000, MATCH(A622&amp;"|"&amp;J622, 'Base Exámenes'!$I$5:$I$1000, 0))), ""), "")</f>
        <v/>
      </c>
      <c r="I622" s="10" t="str">
        <f>IF(F622="Completado", IFERROR(IF(INDEX('Base Exámenes'!$F$5:$F$1000, MATCH(A622&amp;"|"&amp;J622, 'Base Exámenes'!$I$5:$I$1000, 0))="", "", INDEX('Base Exámenes'!$F$5:$F$1000, MATCH(A622&amp;"|"&amp;J622, 'Base Exámenes'!$I$5:$I$1000, 0))), ""), "")</f>
        <v/>
      </c>
      <c r="J622" s="6" t="str">
        <f>IF(F622="Completado", IF(COUNTIFS('Base Exámenes'!$C$5:$C$1000, A622, 'Base Exámenes'!$G$5:$G$1000, "&lt;&gt;")=0, "", _xlfn.MAXIFS('Base Exámenes'!$G$5:$G$1000, 'Base Exámenes'!$C$5:$C$1000, A622)), "")</f>
        <v/>
      </c>
      <c r="K622" s="6" t="str">
        <f>IF(F622="Completado", IFERROR(IF(INDEX('Base Exámenes'!$H$5:$H$1000, MATCH(A622&amp;"|"&amp;J622, 'Base Exámenes'!$I$5:$I$1000, 0))="", "", INDEX('Base Exámenes'!$H$5:$H$1000, MATCH(A622&amp;"|"&amp;J622, 'Base Exámenes'!$I$5:$I$1000, 0))), ""), "")</f>
        <v/>
      </c>
      <c r="L622" s="22" t="str">
        <f>IF($A622="","",COUNTIF('Base Exámenes'!$C$5:$C$1000, A622))</f>
        <v/>
      </c>
      <c r="M622" s="6" t="str">
        <f>IF($A622="","",IF(COUNTIF('Base Exámenes'!$C$5:$C$1000, A622)&gt;0, "", TRIM('Base Oficial'!H622)))</f>
        <v/>
      </c>
    </row>
    <row r="623">
      <c r="A623" s="4" t="str">
        <f>IF('Base Oficial'!A623="","",TRIM('Base Oficial'!A623))</f>
        <v/>
      </c>
      <c r="B623" s="6" t="str">
        <f>IF($A623="","",TRIM('Base Oficial'!B623))</f>
        <v/>
      </c>
      <c r="C623" s="6" t="str">
        <f>IF($A623="","",TRIM('Base Oficial'!F623))</f>
        <v/>
      </c>
      <c r="D623" s="6" t="str">
        <f>IF($A623="","",TRIM('Base Oficial'!G623))</f>
        <v/>
      </c>
      <c r="E623" s="6" t="str">
        <f>IF($A623="","",TRIM('Base Oficial'!D623))</f>
        <v/>
      </c>
      <c r="F623" s="4" t="str">
        <f>IF($A623="","",IF(COUNTIF('Base Exámenes'!$C$5:$C$1000, A623)&gt;0, "Completado", IF(M623&lt;&gt;"", M623, "Pendiente")))</f>
        <v/>
      </c>
      <c r="G623" s="11" t="str">
        <f>IF(F623="Completado", IFERROR(IF(INDEX('Base Exámenes'!$D$5:$D$1000, MATCH(A623&amp;"|"&amp;J623, 'Base Exámenes'!$I$5:$I$1000, 0))="", "", INDEX('Base Exámenes'!$D$5:$D$1000, MATCH(A623&amp;"|"&amp;J623, 'Base Exámenes'!$I$5:$I$1000, 0))), ""), "")</f>
        <v/>
      </c>
      <c r="H623" s="11" t="str">
        <f>IF(F623="Completado", IFERROR(IF(INDEX('Base Exámenes'!$E$5:$E$1000, MATCH(A623&amp;"|"&amp;J623, 'Base Exámenes'!$I$5:$I$1000, 0))="", "", INDEX('Base Exámenes'!$E$5:$E$1000, MATCH(A623&amp;"|"&amp;J623, 'Base Exámenes'!$I$5:$I$1000, 0))), ""), "")</f>
        <v/>
      </c>
      <c r="I623" s="10" t="str">
        <f>IF(F623="Completado", IFERROR(IF(INDEX('Base Exámenes'!$F$5:$F$1000, MATCH(A623&amp;"|"&amp;J623, 'Base Exámenes'!$I$5:$I$1000, 0))="", "", INDEX('Base Exámenes'!$F$5:$F$1000, MATCH(A623&amp;"|"&amp;J623, 'Base Exámenes'!$I$5:$I$1000, 0))), ""), "")</f>
        <v/>
      </c>
      <c r="J623" s="6" t="str">
        <f>IF(F623="Completado", IF(COUNTIFS('Base Exámenes'!$C$5:$C$1000, A623, 'Base Exámenes'!$G$5:$G$1000, "&lt;&gt;")=0, "", _xlfn.MAXIFS('Base Exámenes'!$G$5:$G$1000, 'Base Exámenes'!$C$5:$C$1000, A623)), "")</f>
        <v/>
      </c>
      <c r="K623" s="6" t="str">
        <f>IF(F623="Completado", IFERROR(IF(INDEX('Base Exámenes'!$H$5:$H$1000, MATCH(A623&amp;"|"&amp;J623, 'Base Exámenes'!$I$5:$I$1000, 0))="", "", INDEX('Base Exámenes'!$H$5:$H$1000, MATCH(A623&amp;"|"&amp;J623, 'Base Exámenes'!$I$5:$I$1000, 0))), ""), "")</f>
        <v/>
      </c>
      <c r="L623" s="22" t="str">
        <f>IF($A623="","",COUNTIF('Base Exámenes'!$C$5:$C$1000, A623))</f>
        <v/>
      </c>
      <c r="M623" s="6" t="str">
        <f>IF($A623="","",IF(COUNTIF('Base Exámenes'!$C$5:$C$1000, A623)&gt;0, "", TRIM('Base Oficial'!H623)))</f>
        <v/>
      </c>
    </row>
    <row r="624">
      <c r="A624" s="4" t="str">
        <f>IF('Base Oficial'!A624="","",TRIM('Base Oficial'!A624))</f>
        <v/>
      </c>
      <c r="B624" s="6" t="str">
        <f>IF($A624="","",TRIM('Base Oficial'!B624))</f>
        <v/>
      </c>
      <c r="C624" s="6" t="str">
        <f>IF($A624="","",TRIM('Base Oficial'!F624))</f>
        <v/>
      </c>
      <c r="D624" s="6" t="str">
        <f>IF($A624="","",TRIM('Base Oficial'!G624))</f>
        <v/>
      </c>
      <c r="E624" s="6" t="str">
        <f>IF($A624="","",TRIM('Base Oficial'!D624))</f>
        <v/>
      </c>
      <c r="F624" s="4" t="str">
        <f>IF($A624="","",IF(COUNTIF('Base Exámenes'!$C$5:$C$1000, A624)&gt;0, "Completado", IF(M624&lt;&gt;"", M624, "Pendiente")))</f>
        <v/>
      </c>
      <c r="G624" s="11" t="str">
        <f>IF(F624="Completado", IFERROR(IF(INDEX('Base Exámenes'!$D$5:$D$1000, MATCH(A624&amp;"|"&amp;J624, 'Base Exámenes'!$I$5:$I$1000, 0))="", "", INDEX('Base Exámenes'!$D$5:$D$1000, MATCH(A624&amp;"|"&amp;J624, 'Base Exámenes'!$I$5:$I$1000, 0))), ""), "")</f>
        <v/>
      </c>
      <c r="H624" s="11" t="str">
        <f>IF(F624="Completado", IFERROR(IF(INDEX('Base Exámenes'!$E$5:$E$1000, MATCH(A624&amp;"|"&amp;J624, 'Base Exámenes'!$I$5:$I$1000, 0))="", "", INDEX('Base Exámenes'!$E$5:$E$1000, MATCH(A624&amp;"|"&amp;J624, 'Base Exámenes'!$I$5:$I$1000, 0))), ""), "")</f>
        <v/>
      </c>
      <c r="I624" s="10" t="str">
        <f>IF(F624="Completado", IFERROR(IF(INDEX('Base Exámenes'!$F$5:$F$1000, MATCH(A624&amp;"|"&amp;J624, 'Base Exámenes'!$I$5:$I$1000, 0))="", "", INDEX('Base Exámenes'!$F$5:$F$1000, MATCH(A624&amp;"|"&amp;J624, 'Base Exámenes'!$I$5:$I$1000, 0))), ""), "")</f>
        <v/>
      </c>
      <c r="J624" s="6" t="str">
        <f>IF(F624="Completado", IF(COUNTIFS('Base Exámenes'!$C$5:$C$1000, A624, 'Base Exámenes'!$G$5:$G$1000, "&lt;&gt;")=0, "", _xlfn.MAXIFS('Base Exámenes'!$G$5:$G$1000, 'Base Exámenes'!$C$5:$C$1000, A624)), "")</f>
        <v/>
      </c>
      <c r="K624" s="6" t="str">
        <f>IF(F624="Completado", IFERROR(IF(INDEX('Base Exámenes'!$H$5:$H$1000, MATCH(A624&amp;"|"&amp;J624, 'Base Exámenes'!$I$5:$I$1000, 0))="", "", INDEX('Base Exámenes'!$H$5:$H$1000, MATCH(A624&amp;"|"&amp;J624, 'Base Exámenes'!$I$5:$I$1000, 0))), ""), "")</f>
        <v/>
      </c>
      <c r="L624" s="22" t="str">
        <f>IF($A624="","",COUNTIF('Base Exámenes'!$C$5:$C$1000, A624))</f>
        <v/>
      </c>
      <c r="M624" s="6" t="str">
        <f>IF($A624="","",IF(COUNTIF('Base Exámenes'!$C$5:$C$1000, A624)&gt;0, "", TRIM('Base Oficial'!H624)))</f>
        <v/>
      </c>
    </row>
    <row r="625">
      <c r="A625" s="4" t="str">
        <f>IF('Base Oficial'!A625="","",TRIM('Base Oficial'!A625))</f>
        <v/>
      </c>
      <c r="B625" s="6" t="str">
        <f>IF($A625="","",TRIM('Base Oficial'!B625))</f>
        <v/>
      </c>
      <c r="C625" s="6" t="str">
        <f>IF($A625="","",TRIM('Base Oficial'!F625))</f>
        <v/>
      </c>
      <c r="D625" s="6" t="str">
        <f>IF($A625="","",TRIM('Base Oficial'!G625))</f>
        <v/>
      </c>
      <c r="E625" s="6" t="str">
        <f>IF($A625="","",TRIM('Base Oficial'!D625))</f>
        <v/>
      </c>
      <c r="F625" s="4" t="str">
        <f>IF($A625="","",IF(COUNTIF('Base Exámenes'!$C$5:$C$1000, A625)&gt;0, "Completado", IF(M625&lt;&gt;"", M625, "Pendiente")))</f>
        <v/>
      </c>
      <c r="G625" s="11" t="str">
        <f>IF(F625="Completado", IFERROR(IF(INDEX('Base Exámenes'!$D$5:$D$1000, MATCH(A625&amp;"|"&amp;J625, 'Base Exámenes'!$I$5:$I$1000, 0))="", "", INDEX('Base Exámenes'!$D$5:$D$1000, MATCH(A625&amp;"|"&amp;J625, 'Base Exámenes'!$I$5:$I$1000, 0))), ""), "")</f>
        <v/>
      </c>
      <c r="H625" s="11" t="str">
        <f>IF(F625="Completado", IFERROR(IF(INDEX('Base Exámenes'!$E$5:$E$1000, MATCH(A625&amp;"|"&amp;J625, 'Base Exámenes'!$I$5:$I$1000, 0))="", "", INDEX('Base Exámenes'!$E$5:$E$1000, MATCH(A625&amp;"|"&amp;J625, 'Base Exámenes'!$I$5:$I$1000, 0))), ""), "")</f>
        <v/>
      </c>
      <c r="I625" s="10" t="str">
        <f>IF(F625="Completado", IFERROR(IF(INDEX('Base Exámenes'!$F$5:$F$1000, MATCH(A625&amp;"|"&amp;J625, 'Base Exámenes'!$I$5:$I$1000, 0))="", "", INDEX('Base Exámenes'!$F$5:$F$1000, MATCH(A625&amp;"|"&amp;J625, 'Base Exámenes'!$I$5:$I$1000, 0))), ""), "")</f>
        <v/>
      </c>
      <c r="J625" s="6" t="str">
        <f>IF(F625="Completado", IF(COUNTIFS('Base Exámenes'!$C$5:$C$1000, A625, 'Base Exámenes'!$G$5:$G$1000, "&lt;&gt;")=0, "", _xlfn.MAXIFS('Base Exámenes'!$G$5:$G$1000, 'Base Exámenes'!$C$5:$C$1000, A625)), "")</f>
        <v/>
      </c>
      <c r="K625" s="6" t="str">
        <f>IF(F625="Completado", IFERROR(IF(INDEX('Base Exámenes'!$H$5:$H$1000, MATCH(A625&amp;"|"&amp;J625, 'Base Exámenes'!$I$5:$I$1000, 0))="", "", INDEX('Base Exámenes'!$H$5:$H$1000, MATCH(A625&amp;"|"&amp;J625, 'Base Exámenes'!$I$5:$I$1000, 0))), ""), "")</f>
        <v/>
      </c>
      <c r="L625" s="22" t="str">
        <f>IF($A625="","",COUNTIF('Base Exámenes'!$C$5:$C$1000, A625))</f>
        <v/>
      </c>
      <c r="M625" s="6" t="str">
        <f>IF($A625="","",IF(COUNTIF('Base Exámenes'!$C$5:$C$1000, A625)&gt;0, "", TRIM('Base Oficial'!H625)))</f>
        <v/>
      </c>
    </row>
    <row r="626">
      <c r="A626" s="4" t="str">
        <f>IF('Base Oficial'!A626="","",TRIM('Base Oficial'!A626))</f>
        <v/>
      </c>
      <c r="B626" s="6" t="str">
        <f>IF($A626="","",TRIM('Base Oficial'!B626))</f>
        <v/>
      </c>
      <c r="C626" s="6" t="str">
        <f>IF($A626="","",TRIM('Base Oficial'!F626))</f>
        <v/>
      </c>
      <c r="D626" s="6" t="str">
        <f>IF($A626="","",TRIM('Base Oficial'!G626))</f>
        <v/>
      </c>
      <c r="E626" s="6" t="str">
        <f>IF($A626="","",TRIM('Base Oficial'!D626))</f>
        <v/>
      </c>
      <c r="F626" s="4" t="str">
        <f>IF($A626="","",IF(COUNTIF('Base Exámenes'!$C$5:$C$1000, A626)&gt;0, "Completado", IF(M626&lt;&gt;"", M626, "Pendiente")))</f>
        <v/>
      </c>
      <c r="G626" s="11" t="str">
        <f>IF(F626="Completado", IFERROR(IF(INDEX('Base Exámenes'!$D$5:$D$1000, MATCH(A626&amp;"|"&amp;J626, 'Base Exámenes'!$I$5:$I$1000, 0))="", "", INDEX('Base Exámenes'!$D$5:$D$1000, MATCH(A626&amp;"|"&amp;J626, 'Base Exámenes'!$I$5:$I$1000, 0))), ""), "")</f>
        <v/>
      </c>
      <c r="H626" s="11" t="str">
        <f>IF(F626="Completado", IFERROR(IF(INDEX('Base Exámenes'!$E$5:$E$1000, MATCH(A626&amp;"|"&amp;J626, 'Base Exámenes'!$I$5:$I$1000, 0))="", "", INDEX('Base Exámenes'!$E$5:$E$1000, MATCH(A626&amp;"|"&amp;J626, 'Base Exámenes'!$I$5:$I$1000, 0))), ""), "")</f>
        <v/>
      </c>
      <c r="I626" s="10" t="str">
        <f>IF(F626="Completado", IFERROR(IF(INDEX('Base Exámenes'!$F$5:$F$1000, MATCH(A626&amp;"|"&amp;J626, 'Base Exámenes'!$I$5:$I$1000, 0))="", "", INDEX('Base Exámenes'!$F$5:$F$1000, MATCH(A626&amp;"|"&amp;J626, 'Base Exámenes'!$I$5:$I$1000, 0))), ""), "")</f>
        <v/>
      </c>
      <c r="J626" s="6" t="str">
        <f>IF(F626="Completado", IF(COUNTIFS('Base Exámenes'!$C$5:$C$1000, A626, 'Base Exámenes'!$G$5:$G$1000, "&lt;&gt;")=0, "", _xlfn.MAXIFS('Base Exámenes'!$G$5:$G$1000, 'Base Exámenes'!$C$5:$C$1000, A626)), "")</f>
        <v/>
      </c>
      <c r="K626" s="6" t="str">
        <f>IF(F626="Completado", IFERROR(IF(INDEX('Base Exámenes'!$H$5:$H$1000, MATCH(A626&amp;"|"&amp;J626, 'Base Exámenes'!$I$5:$I$1000, 0))="", "", INDEX('Base Exámenes'!$H$5:$H$1000, MATCH(A626&amp;"|"&amp;J626, 'Base Exámenes'!$I$5:$I$1000, 0))), ""), "")</f>
        <v/>
      </c>
      <c r="L626" s="22" t="str">
        <f>IF($A626="","",COUNTIF('Base Exámenes'!$C$5:$C$1000, A626))</f>
        <v/>
      </c>
      <c r="M626" s="6" t="str">
        <f>IF($A626="","",IF(COUNTIF('Base Exámenes'!$C$5:$C$1000, A626)&gt;0, "", TRIM('Base Oficial'!H626)))</f>
        <v/>
      </c>
    </row>
    <row r="627">
      <c r="A627" s="4" t="str">
        <f>IF('Base Oficial'!A627="","",TRIM('Base Oficial'!A627))</f>
        <v/>
      </c>
      <c r="B627" s="6" t="str">
        <f>IF($A627="","",TRIM('Base Oficial'!B627))</f>
        <v/>
      </c>
      <c r="C627" s="6" t="str">
        <f>IF($A627="","",TRIM('Base Oficial'!F627))</f>
        <v/>
      </c>
      <c r="D627" s="6" t="str">
        <f>IF($A627="","",TRIM('Base Oficial'!G627))</f>
        <v/>
      </c>
      <c r="E627" s="6" t="str">
        <f>IF($A627="","",TRIM('Base Oficial'!D627))</f>
        <v/>
      </c>
      <c r="F627" s="4" t="str">
        <f>IF($A627="","",IF(COUNTIF('Base Exámenes'!$C$5:$C$1000, A627)&gt;0, "Completado", IF(M627&lt;&gt;"", M627, "Pendiente")))</f>
        <v/>
      </c>
      <c r="G627" s="11" t="str">
        <f>IF(F627="Completado", IFERROR(IF(INDEX('Base Exámenes'!$D$5:$D$1000, MATCH(A627&amp;"|"&amp;J627, 'Base Exámenes'!$I$5:$I$1000, 0))="", "", INDEX('Base Exámenes'!$D$5:$D$1000, MATCH(A627&amp;"|"&amp;J627, 'Base Exámenes'!$I$5:$I$1000, 0))), ""), "")</f>
        <v/>
      </c>
      <c r="H627" s="11" t="str">
        <f>IF(F627="Completado", IFERROR(IF(INDEX('Base Exámenes'!$E$5:$E$1000, MATCH(A627&amp;"|"&amp;J627, 'Base Exámenes'!$I$5:$I$1000, 0))="", "", INDEX('Base Exámenes'!$E$5:$E$1000, MATCH(A627&amp;"|"&amp;J627, 'Base Exámenes'!$I$5:$I$1000, 0))), ""), "")</f>
        <v/>
      </c>
      <c r="I627" s="10" t="str">
        <f>IF(F627="Completado", IFERROR(IF(INDEX('Base Exámenes'!$F$5:$F$1000, MATCH(A627&amp;"|"&amp;J627, 'Base Exámenes'!$I$5:$I$1000, 0))="", "", INDEX('Base Exámenes'!$F$5:$F$1000, MATCH(A627&amp;"|"&amp;J627, 'Base Exámenes'!$I$5:$I$1000, 0))), ""), "")</f>
        <v/>
      </c>
      <c r="J627" s="6" t="str">
        <f>IF(F627="Completado", IF(COUNTIFS('Base Exámenes'!$C$5:$C$1000, A627, 'Base Exámenes'!$G$5:$G$1000, "&lt;&gt;")=0, "", _xlfn.MAXIFS('Base Exámenes'!$G$5:$G$1000, 'Base Exámenes'!$C$5:$C$1000, A627)), "")</f>
        <v/>
      </c>
      <c r="K627" s="6" t="str">
        <f>IF(F627="Completado", IFERROR(IF(INDEX('Base Exámenes'!$H$5:$H$1000, MATCH(A627&amp;"|"&amp;J627, 'Base Exámenes'!$I$5:$I$1000, 0))="", "", INDEX('Base Exámenes'!$H$5:$H$1000, MATCH(A627&amp;"|"&amp;J627, 'Base Exámenes'!$I$5:$I$1000, 0))), ""), "")</f>
        <v/>
      </c>
      <c r="L627" s="22" t="str">
        <f>IF($A627="","",COUNTIF('Base Exámenes'!$C$5:$C$1000, A627))</f>
        <v/>
      </c>
      <c r="M627" s="6" t="str">
        <f>IF($A627="","",IF(COUNTIF('Base Exámenes'!$C$5:$C$1000, A627)&gt;0, "", TRIM('Base Oficial'!H627)))</f>
        <v/>
      </c>
    </row>
    <row r="628">
      <c r="A628" s="4" t="str">
        <f>IF('Base Oficial'!A628="","",TRIM('Base Oficial'!A628))</f>
        <v/>
      </c>
      <c r="B628" s="6" t="str">
        <f>IF($A628="","",TRIM('Base Oficial'!B628))</f>
        <v/>
      </c>
      <c r="C628" s="6" t="str">
        <f>IF($A628="","",TRIM('Base Oficial'!F628))</f>
        <v/>
      </c>
      <c r="D628" s="6" t="str">
        <f>IF($A628="","",TRIM('Base Oficial'!G628))</f>
        <v/>
      </c>
      <c r="E628" s="6" t="str">
        <f>IF($A628="","",TRIM('Base Oficial'!D628))</f>
        <v/>
      </c>
      <c r="F628" s="4" t="str">
        <f>IF($A628="","",IF(COUNTIF('Base Exámenes'!$C$5:$C$1000, A628)&gt;0, "Completado", IF(M628&lt;&gt;"", M628, "Pendiente")))</f>
        <v/>
      </c>
      <c r="G628" s="11" t="str">
        <f>IF(F628="Completado", IFERROR(IF(INDEX('Base Exámenes'!$D$5:$D$1000, MATCH(A628&amp;"|"&amp;J628, 'Base Exámenes'!$I$5:$I$1000, 0))="", "", INDEX('Base Exámenes'!$D$5:$D$1000, MATCH(A628&amp;"|"&amp;J628, 'Base Exámenes'!$I$5:$I$1000, 0))), ""), "")</f>
        <v/>
      </c>
      <c r="H628" s="11" t="str">
        <f>IF(F628="Completado", IFERROR(IF(INDEX('Base Exámenes'!$E$5:$E$1000, MATCH(A628&amp;"|"&amp;J628, 'Base Exámenes'!$I$5:$I$1000, 0))="", "", INDEX('Base Exámenes'!$E$5:$E$1000, MATCH(A628&amp;"|"&amp;J628, 'Base Exámenes'!$I$5:$I$1000, 0))), ""), "")</f>
        <v/>
      </c>
      <c r="I628" s="10" t="str">
        <f>IF(F628="Completado", IFERROR(IF(INDEX('Base Exámenes'!$F$5:$F$1000, MATCH(A628&amp;"|"&amp;J628, 'Base Exámenes'!$I$5:$I$1000, 0))="", "", INDEX('Base Exámenes'!$F$5:$F$1000, MATCH(A628&amp;"|"&amp;J628, 'Base Exámenes'!$I$5:$I$1000, 0))), ""), "")</f>
        <v/>
      </c>
      <c r="J628" s="6" t="str">
        <f>IF(F628="Completado", IF(COUNTIFS('Base Exámenes'!$C$5:$C$1000, A628, 'Base Exámenes'!$G$5:$G$1000, "&lt;&gt;")=0, "", _xlfn.MAXIFS('Base Exámenes'!$G$5:$G$1000, 'Base Exámenes'!$C$5:$C$1000, A628)), "")</f>
        <v/>
      </c>
      <c r="K628" s="6" t="str">
        <f>IF(F628="Completado", IFERROR(IF(INDEX('Base Exámenes'!$H$5:$H$1000, MATCH(A628&amp;"|"&amp;J628, 'Base Exámenes'!$I$5:$I$1000, 0))="", "", INDEX('Base Exámenes'!$H$5:$H$1000, MATCH(A628&amp;"|"&amp;J628, 'Base Exámenes'!$I$5:$I$1000, 0))), ""), "")</f>
        <v/>
      </c>
      <c r="L628" s="22" t="str">
        <f>IF($A628="","",COUNTIF('Base Exámenes'!$C$5:$C$1000, A628))</f>
        <v/>
      </c>
      <c r="M628" s="6" t="str">
        <f>IF($A628="","",IF(COUNTIF('Base Exámenes'!$C$5:$C$1000, A628)&gt;0, "", TRIM('Base Oficial'!H628)))</f>
        <v/>
      </c>
    </row>
    <row r="629">
      <c r="A629" s="4" t="str">
        <f>IF('Base Oficial'!A629="","",TRIM('Base Oficial'!A629))</f>
        <v/>
      </c>
      <c r="B629" s="6" t="str">
        <f>IF($A629="","",TRIM('Base Oficial'!B629))</f>
        <v/>
      </c>
      <c r="C629" s="6" t="str">
        <f>IF($A629="","",TRIM('Base Oficial'!F629))</f>
        <v/>
      </c>
      <c r="D629" s="6" t="str">
        <f>IF($A629="","",TRIM('Base Oficial'!G629))</f>
        <v/>
      </c>
      <c r="E629" s="6" t="str">
        <f>IF($A629="","",TRIM('Base Oficial'!D629))</f>
        <v/>
      </c>
      <c r="F629" s="4" t="str">
        <f>IF($A629="","",IF(COUNTIF('Base Exámenes'!$C$5:$C$1000, A629)&gt;0, "Completado", IF(M629&lt;&gt;"", M629, "Pendiente")))</f>
        <v/>
      </c>
      <c r="G629" s="11" t="str">
        <f>IF(F629="Completado", IFERROR(IF(INDEX('Base Exámenes'!$D$5:$D$1000, MATCH(A629&amp;"|"&amp;J629, 'Base Exámenes'!$I$5:$I$1000, 0))="", "", INDEX('Base Exámenes'!$D$5:$D$1000, MATCH(A629&amp;"|"&amp;J629, 'Base Exámenes'!$I$5:$I$1000, 0))), ""), "")</f>
        <v/>
      </c>
      <c r="H629" s="11" t="str">
        <f>IF(F629="Completado", IFERROR(IF(INDEX('Base Exámenes'!$E$5:$E$1000, MATCH(A629&amp;"|"&amp;J629, 'Base Exámenes'!$I$5:$I$1000, 0))="", "", INDEX('Base Exámenes'!$E$5:$E$1000, MATCH(A629&amp;"|"&amp;J629, 'Base Exámenes'!$I$5:$I$1000, 0))), ""), "")</f>
        <v/>
      </c>
      <c r="I629" s="10" t="str">
        <f>IF(F629="Completado", IFERROR(IF(INDEX('Base Exámenes'!$F$5:$F$1000, MATCH(A629&amp;"|"&amp;J629, 'Base Exámenes'!$I$5:$I$1000, 0))="", "", INDEX('Base Exámenes'!$F$5:$F$1000, MATCH(A629&amp;"|"&amp;J629, 'Base Exámenes'!$I$5:$I$1000, 0))), ""), "")</f>
        <v/>
      </c>
      <c r="J629" s="6" t="str">
        <f>IF(F629="Completado", IF(COUNTIFS('Base Exámenes'!$C$5:$C$1000, A629, 'Base Exámenes'!$G$5:$G$1000, "&lt;&gt;")=0, "", _xlfn.MAXIFS('Base Exámenes'!$G$5:$G$1000, 'Base Exámenes'!$C$5:$C$1000, A629)), "")</f>
        <v/>
      </c>
      <c r="K629" s="6" t="str">
        <f>IF(F629="Completado", IFERROR(IF(INDEX('Base Exámenes'!$H$5:$H$1000, MATCH(A629&amp;"|"&amp;J629, 'Base Exámenes'!$I$5:$I$1000, 0))="", "", INDEX('Base Exámenes'!$H$5:$H$1000, MATCH(A629&amp;"|"&amp;J629, 'Base Exámenes'!$I$5:$I$1000, 0))), ""), "")</f>
        <v/>
      </c>
      <c r="L629" s="22" t="str">
        <f>IF($A629="","",COUNTIF('Base Exámenes'!$C$5:$C$1000, A629))</f>
        <v/>
      </c>
      <c r="M629" s="6" t="str">
        <f>IF($A629="","",IF(COUNTIF('Base Exámenes'!$C$5:$C$1000, A629)&gt;0, "", TRIM('Base Oficial'!H629)))</f>
        <v/>
      </c>
    </row>
    <row r="630">
      <c r="A630" s="4" t="str">
        <f>IF('Base Oficial'!A630="","",TRIM('Base Oficial'!A630))</f>
        <v/>
      </c>
      <c r="B630" s="6" t="str">
        <f>IF($A630="","",TRIM('Base Oficial'!B630))</f>
        <v/>
      </c>
      <c r="C630" s="6" t="str">
        <f>IF($A630="","",TRIM('Base Oficial'!F630))</f>
        <v/>
      </c>
      <c r="D630" s="6" t="str">
        <f>IF($A630="","",TRIM('Base Oficial'!G630))</f>
        <v/>
      </c>
      <c r="E630" s="6" t="str">
        <f>IF($A630="","",TRIM('Base Oficial'!D630))</f>
        <v/>
      </c>
      <c r="F630" s="4" t="str">
        <f>IF($A630="","",IF(COUNTIF('Base Exámenes'!$C$5:$C$1000, A630)&gt;0, "Completado", IF(M630&lt;&gt;"", M630, "Pendiente")))</f>
        <v/>
      </c>
      <c r="G630" s="11" t="str">
        <f>IF(F630="Completado", IFERROR(IF(INDEX('Base Exámenes'!$D$5:$D$1000, MATCH(A630&amp;"|"&amp;J630, 'Base Exámenes'!$I$5:$I$1000, 0))="", "", INDEX('Base Exámenes'!$D$5:$D$1000, MATCH(A630&amp;"|"&amp;J630, 'Base Exámenes'!$I$5:$I$1000, 0))), ""), "")</f>
        <v/>
      </c>
      <c r="H630" s="11" t="str">
        <f>IF(F630="Completado", IFERROR(IF(INDEX('Base Exámenes'!$E$5:$E$1000, MATCH(A630&amp;"|"&amp;J630, 'Base Exámenes'!$I$5:$I$1000, 0))="", "", INDEX('Base Exámenes'!$E$5:$E$1000, MATCH(A630&amp;"|"&amp;J630, 'Base Exámenes'!$I$5:$I$1000, 0))), ""), "")</f>
        <v/>
      </c>
      <c r="I630" s="10" t="str">
        <f>IF(F630="Completado", IFERROR(IF(INDEX('Base Exámenes'!$F$5:$F$1000, MATCH(A630&amp;"|"&amp;J630, 'Base Exámenes'!$I$5:$I$1000, 0))="", "", INDEX('Base Exámenes'!$F$5:$F$1000, MATCH(A630&amp;"|"&amp;J630, 'Base Exámenes'!$I$5:$I$1000, 0))), ""), "")</f>
        <v/>
      </c>
      <c r="J630" s="6" t="str">
        <f>IF(F630="Completado", IF(COUNTIFS('Base Exámenes'!$C$5:$C$1000, A630, 'Base Exámenes'!$G$5:$G$1000, "&lt;&gt;")=0, "", _xlfn.MAXIFS('Base Exámenes'!$G$5:$G$1000, 'Base Exámenes'!$C$5:$C$1000, A630)), "")</f>
        <v/>
      </c>
      <c r="K630" s="6" t="str">
        <f>IF(F630="Completado", IFERROR(IF(INDEX('Base Exámenes'!$H$5:$H$1000, MATCH(A630&amp;"|"&amp;J630, 'Base Exámenes'!$I$5:$I$1000, 0))="", "", INDEX('Base Exámenes'!$H$5:$H$1000, MATCH(A630&amp;"|"&amp;J630, 'Base Exámenes'!$I$5:$I$1000, 0))), ""), "")</f>
        <v/>
      </c>
      <c r="L630" s="22" t="str">
        <f>IF($A630="","",COUNTIF('Base Exámenes'!$C$5:$C$1000, A630))</f>
        <v/>
      </c>
      <c r="M630" s="6" t="str">
        <f>IF($A630="","",IF(COUNTIF('Base Exámenes'!$C$5:$C$1000, A630)&gt;0, "", TRIM('Base Oficial'!H630)))</f>
        <v/>
      </c>
    </row>
    <row r="631">
      <c r="A631" s="4" t="str">
        <f>IF('Base Oficial'!A631="","",TRIM('Base Oficial'!A631))</f>
        <v/>
      </c>
      <c r="B631" s="6" t="str">
        <f>IF($A631="","",TRIM('Base Oficial'!B631))</f>
        <v/>
      </c>
      <c r="C631" s="6" t="str">
        <f>IF($A631="","",TRIM('Base Oficial'!F631))</f>
        <v/>
      </c>
      <c r="D631" s="6" t="str">
        <f>IF($A631="","",TRIM('Base Oficial'!G631))</f>
        <v/>
      </c>
      <c r="E631" s="6" t="str">
        <f>IF($A631="","",TRIM('Base Oficial'!D631))</f>
        <v/>
      </c>
      <c r="F631" s="4" t="str">
        <f>IF($A631="","",IF(COUNTIF('Base Exámenes'!$C$5:$C$1000, A631)&gt;0, "Completado", IF(M631&lt;&gt;"", M631, "Pendiente")))</f>
        <v/>
      </c>
      <c r="G631" s="11" t="str">
        <f>IF(F631="Completado", IFERROR(IF(INDEX('Base Exámenes'!$D$5:$D$1000, MATCH(A631&amp;"|"&amp;J631, 'Base Exámenes'!$I$5:$I$1000, 0))="", "", INDEX('Base Exámenes'!$D$5:$D$1000, MATCH(A631&amp;"|"&amp;J631, 'Base Exámenes'!$I$5:$I$1000, 0))), ""), "")</f>
        <v/>
      </c>
      <c r="H631" s="11" t="str">
        <f>IF(F631="Completado", IFERROR(IF(INDEX('Base Exámenes'!$E$5:$E$1000, MATCH(A631&amp;"|"&amp;J631, 'Base Exámenes'!$I$5:$I$1000, 0))="", "", INDEX('Base Exámenes'!$E$5:$E$1000, MATCH(A631&amp;"|"&amp;J631, 'Base Exámenes'!$I$5:$I$1000, 0))), ""), "")</f>
        <v/>
      </c>
      <c r="I631" s="10" t="str">
        <f>IF(F631="Completado", IFERROR(IF(INDEX('Base Exámenes'!$F$5:$F$1000, MATCH(A631&amp;"|"&amp;J631, 'Base Exámenes'!$I$5:$I$1000, 0))="", "", INDEX('Base Exámenes'!$F$5:$F$1000, MATCH(A631&amp;"|"&amp;J631, 'Base Exámenes'!$I$5:$I$1000, 0))), ""), "")</f>
        <v/>
      </c>
      <c r="J631" s="6" t="str">
        <f>IF(F631="Completado", IF(COUNTIFS('Base Exámenes'!$C$5:$C$1000, A631, 'Base Exámenes'!$G$5:$G$1000, "&lt;&gt;")=0, "", _xlfn.MAXIFS('Base Exámenes'!$G$5:$G$1000, 'Base Exámenes'!$C$5:$C$1000, A631)), "")</f>
        <v/>
      </c>
      <c r="K631" s="6" t="str">
        <f>IF(F631="Completado", IFERROR(IF(INDEX('Base Exámenes'!$H$5:$H$1000, MATCH(A631&amp;"|"&amp;J631, 'Base Exámenes'!$I$5:$I$1000, 0))="", "", INDEX('Base Exámenes'!$H$5:$H$1000, MATCH(A631&amp;"|"&amp;J631, 'Base Exámenes'!$I$5:$I$1000, 0))), ""), "")</f>
        <v/>
      </c>
      <c r="L631" s="22" t="str">
        <f>IF($A631="","",COUNTIF('Base Exámenes'!$C$5:$C$1000, A631))</f>
        <v/>
      </c>
      <c r="M631" s="6" t="str">
        <f>IF($A631="","",IF(COUNTIF('Base Exámenes'!$C$5:$C$1000, A631)&gt;0, "", TRIM('Base Oficial'!H631)))</f>
        <v/>
      </c>
    </row>
    <row r="632">
      <c r="A632" s="4" t="str">
        <f>IF('Base Oficial'!A632="","",TRIM('Base Oficial'!A632))</f>
        <v/>
      </c>
      <c r="B632" s="6" t="str">
        <f>IF($A632="","",TRIM('Base Oficial'!B632))</f>
        <v/>
      </c>
      <c r="C632" s="6" t="str">
        <f>IF($A632="","",TRIM('Base Oficial'!F632))</f>
        <v/>
      </c>
      <c r="D632" s="6" t="str">
        <f>IF($A632="","",TRIM('Base Oficial'!G632))</f>
        <v/>
      </c>
      <c r="E632" s="6" t="str">
        <f>IF($A632="","",TRIM('Base Oficial'!D632))</f>
        <v/>
      </c>
      <c r="F632" s="4" t="str">
        <f>IF($A632="","",IF(COUNTIF('Base Exámenes'!$C$5:$C$1000, A632)&gt;0, "Completado", IF(M632&lt;&gt;"", M632, "Pendiente")))</f>
        <v/>
      </c>
      <c r="G632" s="11" t="str">
        <f>IF(F632="Completado", IFERROR(IF(INDEX('Base Exámenes'!$D$5:$D$1000, MATCH(A632&amp;"|"&amp;J632, 'Base Exámenes'!$I$5:$I$1000, 0))="", "", INDEX('Base Exámenes'!$D$5:$D$1000, MATCH(A632&amp;"|"&amp;J632, 'Base Exámenes'!$I$5:$I$1000, 0))), ""), "")</f>
        <v/>
      </c>
      <c r="H632" s="11" t="str">
        <f>IF(F632="Completado", IFERROR(IF(INDEX('Base Exámenes'!$E$5:$E$1000, MATCH(A632&amp;"|"&amp;J632, 'Base Exámenes'!$I$5:$I$1000, 0))="", "", INDEX('Base Exámenes'!$E$5:$E$1000, MATCH(A632&amp;"|"&amp;J632, 'Base Exámenes'!$I$5:$I$1000, 0))), ""), "")</f>
        <v/>
      </c>
      <c r="I632" s="10" t="str">
        <f>IF(F632="Completado", IFERROR(IF(INDEX('Base Exámenes'!$F$5:$F$1000, MATCH(A632&amp;"|"&amp;J632, 'Base Exámenes'!$I$5:$I$1000, 0))="", "", INDEX('Base Exámenes'!$F$5:$F$1000, MATCH(A632&amp;"|"&amp;J632, 'Base Exámenes'!$I$5:$I$1000, 0))), ""), "")</f>
        <v/>
      </c>
      <c r="J632" s="6" t="str">
        <f>IF(F632="Completado", IF(COUNTIFS('Base Exámenes'!$C$5:$C$1000, A632, 'Base Exámenes'!$G$5:$G$1000, "&lt;&gt;")=0, "", _xlfn.MAXIFS('Base Exámenes'!$G$5:$G$1000, 'Base Exámenes'!$C$5:$C$1000, A632)), "")</f>
        <v/>
      </c>
      <c r="K632" s="6" t="str">
        <f>IF(F632="Completado", IFERROR(IF(INDEX('Base Exámenes'!$H$5:$H$1000, MATCH(A632&amp;"|"&amp;J632, 'Base Exámenes'!$I$5:$I$1000, 0))="", "", INDEX('Base Exámenes'!$H$5:$H$1000, MATCH(A632&amp;"|"&amp;J632, 'Base Exámenes'!$I$5:$I$1000, 0))), ""), "")</f>
        <v/>
      </c>
      <c r="L632" s="22" t="str">
        <f>IF($A632="","",COUNTIF('Base Exámenes'!$C$5:$C$1000, A632))</f>
        <v/>
      </c>
      <c r="M632" s="6" t="str">
        <f>IF($A632="","",IF(COUNTIF('Base Exámenes'!$C$5:$C$1000, A632)&gt;0, "", TRIM('Base Oficial'!H632)))</f>
        <v/>
      </c>
    </row>
    <row r="633">
      <c r="A633" s="4" t="str">
        <f>IF('Base Oficial'!A633="","",TRIM('Base Oficial'!A633))</f>
        <v/>
      </c>
      <c r="B633" s="6" t="str">
        <f>IF($A633="","",TRIM('Base Oficial'!B633))</f>
        <v/>
      </c>
      <c r="C633" s="6" t="str">
        <f>IF($A633="","",TRIM('Base Oficial'!F633))</f>
        <v/>
      </c>
      <c r="D633" s="6" t="str">
        <f>IF($A633="","",TRIM('Base Oficial'!G633))</f>
        <v/>
      </c>
      <c r="E633" s="6" t="str">
        <f>IF($A633="","",TRIM('Base Oficial'!D633))</f>
        <v/>
      </c>
      <c r="F633" s="4" t="str">
        <f>IF($A633="","",IF(COUNTIF('Base Exámenes'!$C$5:$C$1000, A633)&gt;0, "Completado", IF(M633&lt;&gt;"", M633, "Pendiente")))</f>
        <v/>
      </c>
      <c r="G633" s="11" t="str">
        <f>IF(F633="Completado", IFERROR(IF(INDEX('Base Exámenes'!$D$5:$D$1000, MATCH(A633&amp;"|"&amp;J633, 'Base Exámenes'!$I$5:$I$1000, 0))="", "", INDEX('Base Exámenes'!$D$5:$D$1000, MATCH(A633&amp;"|"&amp;J633, 'Base Exámenes'!$I$5:$I$1000, 0))), ""), "")</f>
        <v/>
      </c>
      <c r="H633" s="11" t="str">
        <f>IF(F633="Completado", IFERROR(IF(INDEX('Base Exámenes'!$E$5:$E$1000, MATCH(A633&amp;"|"&amp;J633, 'Base Exámenes'!$I$5:$I$1000, 0))="", "", INDEX('Base Exámenes'!$E$5:$E$1000, MATCH(A633&amp;"|"&amp;J633, 'Base Exámenes'!$I$5:$I$1000, 0))), ""), "")</f>
        <v/>
      </c>
      <c r="I633" s="10" t="str">
        <f>IF(F633="Completado", IFERROR(IF(INDEX('Base Exámenes'!$F$5:$F$1000, MATCH(A633&amp;"|"&amp;J633, 'Base Exámenes'!$I$5:$I$1000, 0))="", "", INDEX('Base Exámenes'!$F$5:$F$1000, MATCH(A633&amp;"|"&amp;J633, 'Base Exámenes'!$I$5:$I$1000, 0))), ""), "")</f>
        <v/>
      </c>
      <c r="J633" s="6" t="str">
        <f>IF(F633="Completado", IF(COUNTIFS('Base Exámenes'!$C$5:$C$1000, A633, 'Base Exámenes'!$G$5:$G$1000, "&lt;&gt;")=0, "", _xlfn.MAXIFS('Base Exámenes'!$G$5:$G$1000, 'Base Exámenes'!$C$5:$C$1000, A633)), "")</f>
        <v/>
      </c>
      <c r="K633" s="6" t="str">
        <f>IF(F633="Completado", IFERROR(IF(INDEX('Base Exámenes'!$H$5:$H$1000, MATCH(A633&amp;"|"&amp;J633, 'Base Exámenes'!$I$5:$I$1000, 0))="", "", INDEX('Base Exámenes'!$H$5:$H$1000, MATCH(A633&amp;"|"&amp;J633, 'Base Exámenes'!$I$5:$I$1000, 0))), ""), "")</f>
        <v/>
      </c>
      <c r="L633" s="22" t="str">
        <f>IF($A633="","",COUNTIF('Base Exámenes'!$C$5:$C$1000, A633))</f>
        <v/>
      </c>
      <c r="M633" s="6" t="str">
        <f>IF($A633="","",IF(COUNTIF('Base Exámenes'!$C$5:$C$1000, A633)&gt;0, "", TRIM('Base Oficial'!H633)))</f>
        <v/>
      </c>
    </row>
    <row r="634">
      <c r="A634" s="4" t="str">
        <f>IF('Base Oficial'!A634="","",TRIM('Base Oficial'!A634))</f>
        <v/>
      </c>
      <c r="B634" s="6" t="str">
        <f>IF($A634="","",TRIM('Base Oficial'!B634))</f>
        <v/>
      </c>
      <c r="C634" s="6" t="str">
        <f>IF($A634="","",TRIM('Base Oficial'!F634))</f>
        <v/>
      </c>
      <c r="D634" s="6" t="str">
        <f>IF($A634="","",TRIM('Base Oficial'!G634))</f>
        <v/>
      </c>
      <c r="E634" s="6" t="str">
        <f>IF($A634="","",TRIM('Base Oficial'!D634))</f>
        <v/>
      </c>
      <c r="F634" s="4" t="str">
        <f>IF($A634="","",IF(COUNTIF('Base Exámenes'!$C$5:$C$1000, A634)&gt;0, "Completado", IF(M634&lt;&gt;"", M634, "Pendiente")))</f>
        <v/>
      </c>
      <c r="G634" s="11" t="str">
        <f>IF(F634="Completado", IFERROR(IF(INDEX('Base Exámenes'!$D$5:$D$1000, MATCH(A634&amp;"|"&amp;J634, 'Base Exámenes'!$I$5:$I$1000, 0))="", "", INDEX('Base Exámenes'!$D$5:$D$1000, MATCH(A634&amp;"|"&amp;J634, 'Base Exámenes'!$I$5:$I$1000, 0))), ""), "")</f>
        <v/>
      </c>
      <c r="H634" s="11" t="str">
        <f>IF(F634="Completado", IFERROR(IF(INDEX('Base Exámenes'!$E$5:$E$1000, MATCH(A634&amp;"|"&amp;J634, 'Base Exámenes'!$I$5:$I$1000, 0))="", "", INDEX('Base Exámenes'!$E$5:$E$1000, MATCH(A634&amp;"|"&amp;J634, 'Base Exámenes'!$I$5:$I$1000, 0))), ""), "")</f>
        <v/>
      </c>
      <c r="I634" s="10" t="str">
        <f>IF(F634="Completado", IFERROR(IF(INDEX('Base Exámenes'!$F$5:$F$1000, MATCH(A634&amp;"|"&amp;J634, 'Base Exámenes'!$I$5:$I$1000, 0))="", "", INDEX('Base Exámenes'!$F$5:$F$1000, MATCH(A634&amp;"|"&amp;J634, 'Base Exámenes'!$I$5:$I$1000, 0))), ""), "")</f>
        <v/>
      </c>
      <c r="J634" s="6" t="str">
        <f>IF(F634="Completado", IF(COUNTIFS('Base Exámenes'!$C$5:$C$1000, A634, 'Base Exámenes'!$G$5:$G$1000, "&lt;&gt;")=0, "", _xlfn.MAXIFS('Base Exámenes'!$G$5:$G$1000, 'Base Exámenes'!$C$5:$C$1000, A634)), "")</f>
        <v/>
      </c>
      <c r="K634" s="6" t="str">
        <f>IF(F634="Completado", IFERROR(IF(INDEX('Base Exámenes'!$H$5:$H$1000, MATCH(A634&amp;"|"&amp;J634, 'Base Exámenes'!$I$5:$I$1000, 0))="", "", INDEX('Base Exámenes'!$H$5:$H$1000, MATCH(A634&amp;"|"&amp;J634, 'Base Exámenes'!$I$5:$I$1000, 0))), ""), "")</f>
        <v/>
      </c>
      <c r="L634" s="22" t="str">
        <f>IF($A634="","",COUNTIF('Base Exámenes'!$C$5:$C$1000, A634))</f>
        <v/>
      </c>
      <c r="M634" s="6" t="str">
        <f>IF($A634="","",IF(COUNTIF('Base Exámenes'!$C$5:$C$1000, A634)&gt;0, "", TRIM('Base Oficial'!H634)))</f>
        <v/>
      </c>
    </row>
    <row r="635">
      <c r="A635" s="4" t="str">
        <f>IF('Base Oficial'!A635="","",TRIM('Base Oficial'!A635))</f>
        <v/>
      </c>
      <c r="B635" s="6" t="str">
        <f>IF($A635="","",TRIM('Base Oficial'!B635))</f>
        <v/>
      </c>
      <c r="C635" s="6" t="str">
        <f>IF($A635="","",TRIM('Base Oficial'!F635))</f>
        <v/>
      </c>
      <c r="D635" s="6" t="str">
        <f>IF($A635="","",TRIM('Base Oficial'!G635))</f>
        <v/>
      </c>
      <c r="E635" s="6" t="str">
        <f>IF($A635="","",TRIM('Base Oficial'!D635))</f>
        <v/>
      </c>
      <c r="F635" s="4" t="str">
        <f>IF($A635="","",IF(COUNTIF('Base Exámenes'!$C$5:$C$1000, A635)&gt;0, "Completado", IF(M635&lt;&gt;"", M635, "Pendiente")))</f>
        <v/>
      </c>
      <c r="G635" s="11" t="str">
        <f>IF(F635="Completado", IFERROR(IF(INDEX('Base Exámenes'!$D$5:$D$1000, MATCH(A635&amp;"|"&amp;J635, 'Base Exámenes'!$I$5:$I$1000, 0))="", "", INDEX('Base Exámenes'!$D$5:$D$1000, MATCH(A635&amp;"|"&amp;J635, 'Base Exámenes'!$I$5:$I$1000, 0))), ""), "")</f>
        <v/>
      </c>
      <c r="H635" s="11" t="str">
        <f>IF(F635="Completado", IFERROR(IF(INDEX('Base Exámenes'!$E$5:$E$1000, MATCH(A635&amp;"|"&amp;J635, 'Base Exámenes'!$I$5:$I$1000, 0))="", "", INDEX('Base Exámenes'!$E$5:$E$1000, MATCH(A635&amp;"|"&amp;J635, 'Base Exámenes'!$I$5:$I$1000, 0))), ""), "")</f>
        <v/>
      </c>
      <c r="I635" s="10" t="str">
        <f>IF(F635="Completado", IFERROR(IF(INDEX('Base Exámenes'!$F$5:$F$1000, MATCH(A635&amp;"|"&amp;J635, 'Base Exámenes'!$I$5:$I$1000, 0))="", "", INDEX('Base Exámenes'!$F$5:$F$1000, MATCH(A635&amp;"|"&amp;J635, 'Base Exámenes'!$I$5:$I$1000, 0))), ""), "")</f>
        <v/>
      </c>
      <c r="J635" s="6" t="str">
        <f>IF(F635="Completado", IF(COUNTIFS('Base Exámenes'!$C$5:$C$1000, A635, 'Base Exámenes'!$G$5:$G$1000, "&lt;&gt;")=0, "", _xlfn.MAXIFS('Base Exámenes'!$G$5:$G$1000, 'Base Exámenes'!$C$5:$C$1000, A635)), "")</f>
        <v/>
      </c>
      <c r="K635" s="6" t="str">
        <f>IF(F635="Completado", IFERROR(IF(INDEX('Base Exámenes'!$H$5:$H$1000, MATCH(A635&amp;"|"&amp;J635, 'Base Exámenes'!$I$5:$I$1000, 0))="", "", INDEX('Base Exámenes'!$H$5:$H$1000, MATCH(A635&amp;"|"&amp;J635, 'Base Exámenes'!$I$5:$I$1000, 0))), ""), "")</f>
        <v/>
      </c>
      <c r="L635" s="22" t="str">
        <f>IF($A635="","",COUNTIF('Base Exámenes'!$C$5:$C$1000, A635))</f>
        <v/>
      </c>
      <c r="M635" s="6" t="str">
        <f>IF($A635="","",IF(COUNTIF('Base Exámenes'!$C$5:$C$1000, A635)&gt;0, "", TRIM('Base Oficial'!H635)))</f>
        <v/>
      </c>
    </row>
    <row r="636">
      <c r="A636" s="4" t="str">
        <f>IF('Base Oficial'!A636="","",TRIM('Base Oficial'!A636))</f>
        <v/>
      </c>
      <c r="B636" s="6" t="str">
        <f>IF($A636="","",TRIM('Base Oficial'!B636))</f>
        <v/>
      </c>
      <c r="C636" s="6" t="str">
        <f>IF($A636="","",TRIM('Base Oficial'!F636))</f>
        <v/>
      </c>
      <c r="D636" s="6" t="str">
        <f>IF($A636="","",TRIM('Base Oficial'!G636))</f>
        <v/>
      </c>
      <c r="E636" s="6" t="str">
        <f>IF($A636="","",TRIM('Base Oficial'!D636))</f>
        <v/>
      </c>
      <c r="F636" s="4" t="str">
        <f>IF($A636="","",IF(COUNTIF('Base Exámenes'!$C$5:$C$1000, A636)&gt;0, "Completado", IF(M636&lt;&gt;"", M636, "Pendiente")))</f>
        <v/>
      </c>
      <c r="G636" s="11" t="str">
        <f>IF(F636="Completado", IFERROR(IF(INDEX('Base Exámenes'!$D$5:$D$1000, MATCH(A636&amp;"|"&amp;J636, 'Base Exámenes'!$I$5:$I$1000, 0))="", "", INDEX('Base Exámenes'!$D$5:$D$1000, MATCH(A636&amp;"|"&amp;J636, 'Base Exámenes'!$I$5:$I$1000, 0))), ""), "")</f>
        <v/>
      </c>
      <c r="H636" s="11" t="str">
        <f>IF(F636="Completado", IFERROR(IF(INDEX('Base Exámenes'!$E$5:$E$1000, MATCH(A636&amp;"|"&amp;J636, 'Base Exámenes'!$I$5:$I$1000, 0))="", "", INDEX('Base Exámenes'!$E$5:$E$1000, MATCH(A636&amp;"|"&amp;J636, 'Base Exámenes'!$I$5:$I$1000, 0))), ""), "")</f>
        <v/>
      </c>
      <c r="I636" s="10" t="str">
        <f>IF(F636="Completado", IFERROR(IF(INDEX('Base Exámenes'!$F$5:$F$1000, MATCH(A636&amp;"|"&amp;J636, 'Base Exámenes'!$I$5:$I$1000, 0))="", "", INDEX('Base Exámenes'!$F$5:$F$1000, MATCH(A636&amp;"|"&amp;J636, 'Base Exámenes'!$I$5:$I$1000, 0))), ""), "")</f>
        <v/>
      </c>
      <c r="J636" s="6" t="str">
        <f>IF(F636="Completado", IF(COUNTIFS('Base Exámenes'!$C$5:$C$1000, A636, 'Base Exámenes'!$G$5:$G$1000, "&lt;&gt;")=0, "", _xlfn.MAXIFS('Base Exámenes'!$G$5:$G$1000, 'Base Exámenes'!$C$5:$C$1000, A636)), "")</f>
        <v/>
      </c>
      <c r="K636" s="6" t="str">
        <f>IF(F636="Completado", IFERROR(IF(INDEX('Base Exámenes'!$H$5:$H$1000, MATCH(A636&amp;"|"&amp;J636, 'Base Exámenes'!$I$5:$I$1000, 0))="", "", INDEX('Base Exámenes'!$H$5:$H$1000, MATCH(A636&amp;"|"&amp;J636, 'Base Exámenes'!$I$5:$I$1000, 0))), ""), "")</f>
        <v/>
      </c>
      <c r="L636" s="22" t="str">
        <f>IF($A636="","",COUNTIF('Base Exámenes'!$C$5:$C$1000, A636))</f>
        <v/>
      </c>
      <c r="M636" s="6" t="str">
        <f>IF($A636="","",IF(COUNTIF('Base Exámenes'!$C$5:$C$1000, A636)&gt;0, "", TRIM('Base Oficial'!H636)))</f>
        <v/>
      </c>
    </row>
    <row r="637">
      <c r="A637" s="4" t="str">
        <f>IF('Base Oficial'!A637="","",TRIM('Base Oficial'!A637))</f>
        <v/>
      </c>
      <c r="B637" s="6" t="str">
        <f>IF($A637="","",TRIM('Base Oficial'!B637))</f>
        <v/>
      </c>
      <c r="C637" s="6" t="str">
        <f>IF($A637="","",TRIM('Base Oficial'!F637))</f>
        <v/>
      </c>
      <c r="D637" s="6" t="str">
        <f>IF($A637="","",TRIM('Base Oficial'!G637))</f>
        <v/>
      </c>
      <c r="E637" s="6" t="str">
        <f>IF($A637="","",TRIM('Base Oficial'!D637))</f>
        <v/>
      </c>
      <c r="F637" s="4" t="str">
        <f>IF($A637="","",IF(COUNTIF('Base Exámenes'!$C$5:$C$1000, A637)&gt;0, "Completado", IF(M637&lt;&gt;"", M637, "Pendiente")))</f>
        <v/>
      </c>
      <c r="G637" s="11" t="str">
        <f>IF(F637="Completado", IFERROR(IF(INDEX('Base Exámenes'!$D$5:$D$1000, MATCH(A637&amp;"|"&amp;J637, 'Base Exámenes'!$I$5:$I$1000, 0))="", "", INDEX('Base Exámenes'!$D$5:$D$1000, MATCH(A637&amp;"|"&amp;J637, 'Base Exámenes'!$I$5:$I$1000, 0))), ""), "")</f>
        <v/>
      </c>
      <c r="H637" s="11" t="str">
        <f>IF(F637="Completado", IFERROR(IF(INDEX('Base Exámenes'!$E$5:$E$1000, MATCH(A637&amp;"|"&amp;J637, 'Base Exámenes'!$I$5:$I$1000, 0))="", "", INDEX('Base Exámenes'!$E$5:$E$1000, MATCH(A637&amp;"|"&amp;J637, 'Base Exámenes'!$I$5:$I$1000, 0))), ""), "")</f>
        <v/>
      </c>
      <c r="I637" s="10" t="str">
        <f>IF(F637="Completado", IFERROR(IF(INDEX('Base Exámenes'!$F$5:$F$1000, MATCH(A637&amp;"|"&amp;J637, 'Base Exámenes'!$I$5:$I$1000, 0))="", "", INDEX('Base Exámenes'!$F$5:$F$1000, MATCH(A637&amp;"|"&amp;J637, 'Base Exámenes'!$I$5:$I$1000, 0))), ""), "")</f>
        <v/>
      </c>
      <c r="J637" s="6" t="str">
        <f>IF(F637="Completado", IF(COUNTIFS('Base Exámenes'!$C$5:$C$1000, A637, 'Base Exámenes'!$G$5:$G$1000, "&lt;&gt;")=0, "", _xlfn.MAXIFS('Base Exámenes'!$G$5:$G$1000, 'Base Exámenes'!$C$5:$C$1000, A637)), "")</f>
        <v/>
      </c>
      <c r="K637" s="6" t="str">
        <f>IF(F637="Completado", IFERROR(IF(INDEX('Base Exámenes'!$H$5:$H$1000, MATCH(A637&amp;"|"&amp;J637, 'Base Exámenes'!$I$5:$I$1000, 0))="", "", INDEX('Base Exámenes'!$H$5:$H$1000, MATCH(A637&amp;"|"&amp;J637, 'Base Exámenes'!$I$5:$I$1000, 0))), ""), "")</f>
        <v/>
      </c>
      <c r="L637" s="22" t="str">
        <f>IF($A637="","",COUNTIF('Base Exámenes'!$C$5:$C$1000, A637))</f>
        <v/>
      </c>
      <c r="M637" s="6" t="str">
        <f>IF($A637="","",IF(COUNTIF('Base Exámenes'!$C$5:$C$1000, A637)&gt;0, "", TRIM('Base Oficial'!H637)))</f>
        <v/>
      </c>
    </row>
    <row r="638">
      <c r="A638" s="4" t="str">
        <f>IF('Base Oficial'!A638="","",TRIM('Base Oficial'!A638))</f>
        <v/>
      </c>
      <c r="B638" s="6" t="str">
        <f>IF($A638="","",TRIM('Base Oficial'!B638))</f>
        <v/>
      </c>
      <c r="C638" s="6" t="str">
        <f>IF($A638="","",TRIM('Base Oficial'!F638))</f>
        <v/>
      </c>
      <c r="D638" s="6" t="str">
        <f>IF($A638="","",TRIM('Base Oficial'!G638))</f>
        <v/>
      </c>
      <c r="E638" s="6" t="str">
        <f>IF($A638="","",TRIM('Base Oficial'!D638))</f>
        <v/>
      </c>
      <c r="F638" s="4" t="str">
        <f>IF($A638="","",IF(COUNTIF('Base Exámenes'!$C$5:$C$1000, A638)&gt;0, "Completado", IF(M638&lt;&gt;"", M638, "Pendiente")))</f>
        <v/>
      </c>
      <c r="G638" s="11" t="str">
        <f>IF(F638="Completado", IFERROR(IF(INDEX('Base Exámenes'!$D$5:$D$1000, MATCH(A638&amp;"|"&amp;J638, 'Base Exámenes'!$I$5:$I$1000, 0))="", "", INDEX('Base Exámenes'!$D$5:$D$1000, MATCH(A638&amp;"|"&amp;J638, 'Base Exámenes'!$I$5:$I$1000, 0))), ""), "")</f>
        <v/>
      </c>
      <c r="H638" s="11" t="str">
        <f>IF(F638="Completado", IFERROR(IF(INDEX('Base Exámenes'!$E$5:$E$1000, MATCH(A638&amp;"|"&amp;J638, 'Base Exámenes'!$I$5:$I$1000, 0))="", "", INDEX('Base Exámenes'!$E$5:$E$1000, MATCH(A638&amp;"|"&amp;J638, 'Base Exámenes'!$I$5:$I$1000, 0))), ""), "")</f>
        <v/>
      </c>
      <c r="I638" s="10" t="str">
        <f>IF(F638="Completado", IFERROR(IF(INDEX('Base Exámenes'!$F$5:$F$1000, MATCH(A638&amp;"|"&amp;J638, 'Base Exámenes'!$I$5:$I$1000, 0))="", "", INDEX('Base Exámenes'!$F$5:$F$1000, MATCH(A638&amp;"|"&amp;J638, 'Base Exámenes'!$I$5:$I$1000, 0))), ""), "")</f>
        <v/>
      </c>
      <c r="J638" s="6" t="str">
        <f>IF(F638="Completado", IF(COUNTIFS('Base Exámenes'!$C$5:$C$1000, A638, 'Base Exámenes'!$G$5:$G$1000, "&lt;&gt;")=0, "", _xlfn.MAXIFS('Base Exámenes'!$G$5:$G$1000, 'Base Exámenes'!$C$5:$C$1000, A638)), "")</f>
        <v/>
      </c>
      <c r="K638" s="6" t="str">
        <f>IF(F638="Completado", IFERROR(IF(INDEX('Base Exámenes'!$H$5:$H$1000, MATCH(A638&amp;"|"&amp;J638, 'Base Exámenes'!$I$5:$I$1000, 0))="", "", INDEX('Base Exámenes'!$H$5:$H$1000, MATCH(A638&amp;"|"&amp;J638, 'Base Exámenes'!$I$5:$I$1000, 0))), ""), "")</f>
        <v/>
      </c>
      <c r="L638" s="22" t="str">
        <f>IF($A638="","",COUNTIF('Base Exámenes'!$C$5:$C$1000, A638))</f>
        <v/>
      </c>
      <c r="M638" s="6" t="str">
        <f>IF($A638="","",IF(COUNTIF('Base Exámenes'!$C$5:$C$1000, A638)&gt;0, "", TRIM('Base Oficial'!H638)))</f>
        <v/>
      </c>
    </row>
    <row r="639">
      <c r="A639" s="4" t="str">
        <f>IF('Base Oficial'!A639="","",TRIM('Base Oficial'!A639))</f>
        <v/>
      </c>
      <c r="B639" s="6" t="str">
        <f>IF($A639="","",TRIM('Base Oficial'!B639))</f>
        <v/>
      </c>
      <c r="C639" s="6" t="str">
        <f>IF($A639="","",TRIM('Base Oficial'!F639))</f>
        <v/>
      </c>
      <c r="D639" s="6" t="str">
        <f>IF($A639="","",TRIM('Base Oficial'!G639))</f>
        <v/>
      </c>
      <c r="E639" s="6" t="str">
        <f>IF($A639="","",TRIM('Base Oficial'!D639))</f>
        <v/>
      </c>
      <c r="F639" s="4" t="str">
        <f>IF($A639="","",IF(COUNTIF('Base Exámenes'!$C$5:$C$1000, A639)&gt;0, "Completado", IF(M639&lt;&gt;"", M639, "Pendiente")))</f>
        <v/>
      </c>
      <c r="G639" s="11" t="str">
        <f>IF(F639="Completado", IFERROR(IF(INDEX('Base Exámenes'!$D$5:$D$1000, MATCH(A639&amp;"|"&amp;J639, 'Base Exámenes'!$I$5:$I$1000, 0))="", "", INDEX('Base Exámenes'!$D$5:$D$1000, MATCH(A639&amp;"|"&amp;J639, 'Base Exámenes'!$I$5:$I$1000, 0))), ""), "")</f>
        <v/>
      </c>
      <c r="H639" s="11" t="str">
        <f>IF(F639="Completado", IFERROR(IF(INDEX('Base Exámenes'!$E$5:$E$1000, MATCH(A639&amp;"|"&amp;J639, 'Base Exámenes'!$I$5:$I$1000, 0))="", "", INDEX('Base Exámenes'!$E$5:$E$1000, MATCH(A639&amp;"|"&amp;J639, 'Base Exámenes'!$I$5:$I$1000, 0))), ""), "")</f>
        <v/>
      </c>
      <c r="I639" s="10" t="str">
        <f>IF(F639="Completado", IFERROR(IF(INDEX('Base Exámenes'!$F$5:$F$1000, MATCH(A639&amp;"|"&amp;J639, 'Base Exámenes'!$I$5:$I$1000, 0))="", "", INDEX('Base Exámenes'!$F$5:$F$1000, MATCH(A639&amp;"|"&amp;J639, 'Base Exámenes'!$I$5:$I$1000, 0))), ""), "")</f>
        <v/>
      </c>
      <c r="J639" s="6" t="str">
        <f>IF(F639="Completado", IF(COUNTIFS('Base Exámenes'!$C$5:$C$1000, A639, 'Base Exámenes'!$G$5:$G$1000, "&lt;&gt;")=0, "", _xlfn.MAXIFS('Base Exámenes'!$G$5:$G$1000, 'Base Exámenes'!$C$5:$C$1000, A639)), "")</f>
        <v/>
      </c>
      <c r="K639" s="6" t="str">
        <f>IF(F639="Completado", IFERROR(IF(INDEX('Base Exámenes'!$H$5:$H$1000, MATCH(A639&amp;"|"&amp;J639, 'Base Exámenes'!$I$5:$I$1000, 0))="", "", INDEX('Base Exámenes'!$H$5:$H$1000, MATCH(A639&amp;"|"&amp;J639, 'Base Exámenes'!$I$5:$I$1000, 0))), ""), "")</f>
        <v/>
      </c>
      <c r="L639" s="22" t="str">
        <f>IF($A639="","",COUNTIF('Base Exámenes'!$C$5:$C$1000, A639))</f>
        <v/>
      </c>
      <c r="M639" s="6" t="str">
        <f>IF($A639="","",IF(COUNTIF('Base Exámenes'!$C$5:$C$1000, A639)&gt;0, "", TRIM('Base Oficial'!H639)))</f>
        <v/>
      </c>
    </row>
    <row r="640">
      <c r="A640" s="4" t="str">
        <f>IF('Base Oficial'!A640="","",TRIM('Base Oficial'!A640))</f>
        <v/>
      </c>
      <c r="B640" s="6" t="str">
        <f>IF($A640="","",TRIM('Base Oficial'!B640))</f>
        <v/>
      </c>
      <c r="C640" s="6" t="str">
        <f>IF($A640="","",TRIM('Base Oficial'!F640))</f>
        <v/>
      </c>
      <c r="D640" s="6" t="str">
        <f>IF($A640="","",TRIM('Base Oficial'!G640))</f>
        <v/>
      </c>
      <c r="E640" s="6" t="str">
        <f>IF($A640="","",TRIM('Base Oficial'!D640))</f>
        <v/>
      </c>
      <c r="F640" s="4" t="str">
        <f>IF($A640="","",IF(COUNTIF('Base Exámenes'!$C$5:$C$1000, A640)&gt;0, "Completado", IF(M640&lt;&gt;"", M640, "Pendiente")))</f>
        <v/>
      </c>
      <c r="G640" s="11" t="str">
        <f>IF(F640="Completado", IFERROR(IF(INDEX('Base Exámenes'!$D$5:$D$1000, MATCH(A640&amp;"|"&amp;J640, 'Base Exámenes'!$I$5:$I$1000, 0))="", "", INDEX('Base Exámenes'!$D$5:$D$1000, MATCH(A640&amp;"|"&amp;J640, 'Base Exámenes'!$I$5:$I$1000, 0))), ""), "")</f>
        <v/>
      </c>
      <c r="H640" s="11" t="str">
        <f>IF(F640="Completado", IFERROR(IF(INDEX('Base Exámenes'!$E$5:$E$1000, MATCH(A640&amp;"|"&amp;J640, 'Base Exámenes'!$I$5:$I$1000, 0))="", "", INDEX('Base Exámenes'!$E$5:$E$1000, MATCH(A640&amp;"|"&amp;J640, 'Base Exámenes'!$I$5:$I$1000, 0))), ""), "")</f>
        <v/>
      </c>
      <c r="I640" s="10" t="str">
        <f>IF(F640="Completado", IFERROR(IF(INDEX('Base Exámenes'!$F$5:$F$1000, MATCH(A640&amp;"|"&amp;J640, 'Base Exámenes'!$I$5:$I$1000, 0))="", "", INDEX('Base Exámenes'!$F$5:$F$1000, MATCH(A640&amp;"|"&amp;J640, 'Base Exámenes'!$I$5:$I$1000, 0))), ""), "")</f>
        <v/>
      </c>
      <c r="J640" s="6" t="str">
        <f>IF(F640="Completado", IF(COUNTIFS('Base Exámenes'!$C$5:$C$1000, A640, 'Base Exámenes'!$G$5:$G$1000, "&lt;&gt;")=0, "", _xlfn.MAXIFS('Base Exámenes'!$G$5:$G$1000, 'Base Exámenes'!$C$5:$C$1000, A640)), "")</f>
        <v/>
      </c>
      <c r="K640" s="6" t="str">
        <f>IF(F640="Completado", IFERROR(IF(INDEX('Base Exámenes'!$H$5:$H$1000, MATCH(A640&amp;"|"&amp;J640, 'Base Exámenes'!$I$5:$I$1000, 0))="", "", INDEX('Base Exámenes'!$H$5:$H$1000, MATCH(A640&amp;"|"&amp;J640, 'Base Exámenes'!$I$5:$I$1000, 0))), ""), "")</f>
        <v/>
      </c>
      <c r="L640" s="22" t="str">
        <f>IF($A640="","",COUNTIF('Base Exámenes'!$C$5:$C$1000, A640))</f>
        <v/>
      </c>
      <c r="M640" s="6" t="str">
        <f>IF($A640="","",IF(COUNTIF('Base Exámenes'!$C$5:$C$1000, A640)&gt;0, "", TRIM('Base Oficial'!H640)))</f>
        <v/>
      </c>
    </row>
    <row r="641">
      <c r="A641" s="4" t="str">
        <f>IF('Base Oficial'!A641="","",TRIM('Base Oficial'!A641))</f>
        <v/>
      </c>
      <c r="B641" s="6" t="str">
        <f>IF($A641="","",TRIM('Base Oficial'!B641))</f>
        <v/>
      </c>
      <c r="C641" s="6" t="str">
        <f>IF($A641="","",TRIM('Base Oficial'!F641))</f>
        <v/>
      </c>
      <c r="D641" s="6" t="str">
        <f>IF($A641="","",TRIM('Base Oficial'!G641))</f>
        <v/>
      </c>
      <c r="E641" s="6" t="str">
        <f>IF($A641="","",TRIM('Base Oficial'!D641))</f>
        <v/>
      </c>
      <c r="F641" s="4" t="str">
        <f>IF($A641="","",IF(COUNTIF('Base Exámenes'!$C$5:$C$1000, A641)&gt;0, "Completado", IF(M641&lt;&gt;"", M641, "Pendiente")))</f>
        <v/>
      </c>
      <c r="G641" s="11" t="str">
        <f>IF(F641="Completado", IFERROR(IF(INDEX('Base Exámenes'!$D$5:$D$1000, MATCH(A641&amp;"|"&amp;J641, 'Base Exámenes'!$I$5:$I$1000, 0))="", "", INDEX('Base Exámenes'!$D$5:$D$1000, MATCH(A641&amp;"|"&amp;J641, 'Base Exámenes'!$I$5:$I$1000, 0))), ""), "")</f>
        <v/>
      </c>
      <c r="H641" s="11" t="str">
        <f>IF(F641="Completado", IFERROR(IF(INDEX('Base Exámenes'!$E$5:$E$1000, MATCH(A641&amp;"|"&amp;J641, 'Base Exámenes'!$I$5:$I$1000, 0))="", "", INDEX('Base Exámenes'!$E$5:$E$1000, MATCH(A641&amp;"|"&amp;J641, 'Base Exámenes'!$I$5:$I$1000, 0))), ""), "")</f>
        <v/>
      </c>
      <c r="I641" s="10" t="str">
        <f>IF(F641="Completado", IFERROR(IF(INDEX('Base Exámenes'!$F$5:$F$1000, MATCH(A641&amp;"|"&amp;J641, 'Base Exámenes'!$I$5:$I$1000, 0))="", "", INDEX('Base Exámenes'!$F$5:$F$1000, MATCH(A641&amp;"|"&amp;J641, 'Base Exámenes'!$I$5:$I$1000, 0))), ""), "")</f>
        <v/>
      </c>
      <c r="J641" s="6" t="str">
        <f>IF(F641="Completado", IF(COUNTIFS('Base Exámenes'!$C$5:$C$1000, A641, 'Base Exámenes'!$G$5:$G$1000, "&lt;&gt;")=0, "", _xlfn.MAXIFS('Base Exámenes'!$G$5:$G$1000, 'Base Exámenes'!$C$5:$C$1000, A641)), "")</f>
        <v/>
      </c>
      <c r="K641" s="6" t="str">
        <f>IF(F641="Completado", IFERROR(IF(INDEX('Base Exámenes'!$H$5:$H$1000, MATCH(A641&amp;"|"&amp;J641, 'Base Exámenes'!$I$5:$I$1000, 0))="", "", INDEX('Base Exámenes'!$H$5:$H$1000, MATCH(A641&amp;"|"&amp;J641, 'Base Exámenes'!$I$5:$I$1000, 0))), ""), "")</f>
        <v/>
      </c>
      <c r="L641" s="22" t="str">
        <f>IF($A641="","",COUNTIF('Base Exámenes'!$C$5:$C$1000, A641))</f>
        <v/>
      </c>
      <c r="M641" s="6" t="str">
        <f>IF($A641="","",IF(COUNTIF('Base Exámenes'!$C$5:$C$1000, A641)&gt;0, "", TRIM('Base Oficial'!H641)))</f>
        <v/>
      </c>
    </row>
    <row r="642">
      <c r="A642" s="4" t="str">
        <f>IF('Base Oficial'!A642="","",TRIM('Base Oficial'!A642))</f>
        <v/>
      </c>
      <c r="B642" s="6" t="str">
        <f>IF($A642="","",TRIM('Base Oficial'!B642))</f>
        <v/>
      </c>
      <c r="C642" s="6" t="str">
        <f>IF($A642="","",TRIM('Base Oficial'!F642))</f>
        <v/>
      </c>
      <c r="D642" s="6" t="str">
        <f>IF($A642="","",TRIM('Base Oficial'!G642))</f>
        <v/>
      </c>
      <c r="E642" s="6" t="str">
        <f>IF($A642="","",TRIM('Base Oficial'!D642))</f>
        <v/>
      </c>
      <c r="F642" s="4" t="str">
        <f>IF($A642="","",IF(COUNTIF('Base Exámenes'!$C$5:$C$1000, A642)&gt;0, "Completado", IF(M642&lt;&gt;"", M642, "Pendiente")))</f>
        <v/>
      </c>
      <c r="G642" s="11" t="str">
        <f>IF(F642="Completado", IFERROR(IF(INDEX('Base Exámenes'!$D$5:$D$1000, MATCH(A642&amp;"|"&amp;J642, 'Base Exámenes'!$I$5:$I$1000, 0))="", "", INDEX('Base Exámenes'!$D$5:$D$1000, MATCH(A642&amp;"|"&amp;J642, 'Base Exámenes'!$I$5:$I$1000, 0))), ""), "")</f>
        <v/>
      </c>
      <c r="H642" s="11" t="str">
        <f>IF(F642="Completado", IFERROR(IF(INDEX('Base Exámenes'!$E$5:$E$1000, MATCH(A642&amp;"|"&amp;J642, 'Base Exámenes'!$I$5:$I$1000, 0))="", "", INDEX('Base Exámenes'!$E$5:$E$1000, MATCH(A642&amp;"|"&amp;J642, 'Base Exámenes'!$I$5:$I$1000, 0))), ""), "")</f>
        <v/>
      </c>
      <c r="I642" s="10" t="str">
        <f>IF(F642="Completado", IFERROR(IF(INDEX('Base Exámenes'!$F$5:$F$1000, MATCH(A642&amp;"|"&amp;J642, 'Base Exámenes'!$I$5:$I$1000, 0))="", "", INDEX('Base Exámenes'!$F$5:$F$1000, MATCH(A642&amp;"|"&amp;J642, 'Base Exámenes'!$I$5:$I$1000, 0))), ""), "")</f>
        <v/>
      </c>
      <c r="J642" s="6" t="str">
        <f>IF(F642="Completado", IF(COUNTIFS('Base Exámenes'!$C$5:$C$1000, A642, 'Base Exámenes'!$G$5:$G$1000, "&lt;&gt;")=0, "", _xlfn.MAXIFS('Base Exámenes'!$G$5:$G$1000, 'Base Exámenes'!$C$5:$C$1000, A642)), "")</f>
        <v/>
      </c>
      <c r="K642" s="6" t="str">
        <f>IF(F642="Completado", IFERROR(IF(INDEX('Base Exámenes'!$H$5:$H$1000, MATCH(A642&amp;"|"&amp;J642, 'Base Exámenes'!$I$5:$I$1000, 0))="", "", INDEX('Base Exámenes'!$H$5:$H$1000, MATCH(A642&amp;"|"&amp;J642, 'Base Exámenes'!$I$5:$I$1000, 0))), ""), "")</f>
        <v/>
      </c>
      <c r="L642" s="22" t="str">
        <f>IF($A642="","",COUNTIF('Base Exámenes'!$C$5:$C$1000, A642))</f>
        <v/>
      </c>
      <c r="M642" s="6" t="str">
        <f>IF($A642="","",IF(COUNTIF('Base Exámenes'!$C$5:$C$1000, A642)&gt;0, "", TRIM('Base Oficial'!H642)))</f>
        <v/>
      </c>
    </row>
    <row r="643">
      <c r="A643" s="4" t="str">
        <f>IF('Base Oficial'!A643="","",TRIM('Base Oficial'!A643))</f>
        <v/>
      </c>
      <c r="B643" s="6" t="str">
        <f>IF($A643="","",TRIM('Base Oficial'!B643))</f>
        <v/>
      </c>
      <c r="C643" s="6" t="str">
        <f>IF($A643="","",TRIM('Base Oficial'!F643))</f>
        <v/>
      </c>
      <c r="D643" s="6" t="str">
        <f>IF($A643="","",TRIM('Base Oficial'!G643))</f>
        <v/>
      </c>
      <c r="E643" s="6" t="str">
        <f>IF($A643="","",TRIM('Base Oficial'!D643))</f>
        <v/>
      </c>
      <c r="F643" s="4" t="str">
        <f>IF($A643="","",IF(COUNTIF('Base Exámenes'!$C$5:$C$1000, A643)&gt;0, "Completado", IF(M643&lt;&gt;"", M643, "Pendiente")))</f>
        <v/>
      </c>
      <c r="G643" s="11" t="str">
        <f>IF(F643="Completado", IFERROR(IF(INDEX('Base Exámenes'!$D$5:$D$1000, MATCH(A643&amp;"|"&amp;J643, 'Base Exámenes'!$I$5:$I$1000, 0))="", "", INDEX('Base Exámenes'!$D$5:$D$1000, MATCH(A643&amp;"|"&amp;J643, 'Base Exámenes'!$I$5:$I$1000, 0))), ""), "")</f>
        <v/>
      </c>
      <c r="H643" s="11" t="str">
        <f>IF(F643="Completado", IFERROR(IF(INDEX('Base Exámenes'!$E$5:$E$1000, MATCH(A643&amp;"|"&amp;J643, 'Base Exámenes'!$I$5:$I$1000, 0))="", "", INDEX('Base Exámenes'!$E$5:$E$1000, MATCH(A643&amp;"|"&amp;J643, 'Base Exámenes'!$I$5:$I$1000, 0))), ""), "")</f>
        <v/>
      </c>
      <c r="I643" s="10" t="str">
        <f>IF(F643="Completado", IFERROR(IF(INDEX('Base Exámenes'!$F$5:$F$1000, MATCH(A643&amp;"|"&amp;J643, 'Base Exámenes'!$I$5:$I$1000, 0))="", "", INDEX('Base Exámenes'!$F$5:$F$1000, MATCH(A643&amp;"|"&amp;J643, 'Base Exámenes'!$I$5:$I$1000, 0))), ""), "")</f>
        <v/>
      </c>
      <c r="J643" s="6" t="str">
        <f>IF(F643="Completado", IF(COUNTIFS('Base Exámenes'!$C$5:$C$1000, A643, 'Base Exámenes'!$G$5:$G$1000, "&lt;&gt;")=0, "", _xlfn.MAXIFS('Base Exámenes'!$G$5:$G$1000, 'Base Exámenes'!$C$5:$C$1000, A643)), "")</f>
        <v/>
      </c>
      <c r="K643" s="6" t="str">
        <f>IF(F643="Completado", IFERROR(IF(INDEX('Base Exámenes'!$H$5:$H$1000, MATCH(A643&amp;"|"&amp;J643, 'Base Exámenes'!$I$5:$I$1000, 0))="", "", INDEX('Base Exámenes'!$H$5:$H$1000, MATCH(A643&amp;"|"&amp;J643, 'Base Exámenes'!$I$5:$I$1000, 0))), ""), "")</f>
        <v/>
      </c>
      <c r="L643" s="22" t="str">
        <f>IF($A643="","",COUNTIF('Base Exámenes'!$C$5:$C$1000, A643))</f>
        <v/>
      </c>
      <c r="M643" s="6" t="str">
        <f>IF($A643="","",IF(COUNTIF('Base Exámenes'!$C$5:$C$1000, A643)&gt;0, "", TRIM('Base Oficial'!H643)))</f>
        <v/>
      </c>
    </row>
    <row r="644">
      <c r="A644" s="4" t="str">
        <f>IF('Base Oficial'!A644="","",TRIM('Base Oficial'!A644))</f>
        <v/>
      </c>
      <c r="B644" s="6" t="str">
        <f>IF($A644="","",TRIM('Base Oficial'!B644))</f>
        <v/>
      </c>
      <c r="C644" s="6" t="str">
        <f>IF($A644="","",TRIM('Base Oficial'!F644))</f>
        <v/>
      </c>
      <c r="D644" s="6" t="str">
        <f>IF($A644="","",TRIM('Base Oficial'!G644))</f>
        <v/>
      </c>
      <c r="E644" s="6" t="str">
        <f>IF($A644="","",TRIM('Base Oficial'!D644))</f>
        <v/>
      </c>
      <c r="F644" s="4" t="str">
        <f>IF($A644="","",IF(COUNTIF('Base Exámenes'!$C$5:$C$1000, A644)&gt;0, "Completado", IF(M644&lt;&gt;"", M644, "Pendiente")))</f>
        <v/>
      </c>
      <c r="G644" s="11" t="str">
        <f>IF(F644="Completado", IFERROR(IF(INDEX('Base Exámenes'!$D$5:$D$1000, MATCH(A644&amp;"|"&amp;J644, 'Base Exámenes'!$I$5:$I$1000, 0))="", "", INDEX('Base Exámenes'!$D$5:$D$1000, MATCH(A644&amp;"|"&amp;J644, 'Base Exámenes'!$I$5:$I$1000, 0))), ""), "")</f>
        <v/>
      </c>
      <c r="H644" s="11" t="str">
        <f>IF(F644="Completado", IFERROR(IF(INDEX('Base Exámenes'!$E$5:$E$1000, MATCH(A644&amp;"|"&amp;J644, 'Base Exámenes'!$I$5:$I$1000, 0))="", "", INDEX('Base Exámenes'!$E$5:$E$1000, MATCH(A644&amp;"|"&amp;J644, 'Base Exámenes'!$I$5:$I$1000, 0))), ""), "")</f>
        <v/>
      </c>
      <c r="I644" s="10" t="str">
        <f>IF(F644="Completado", IFERROR(IF(INDEX('Base Exámenes'!$F$5:$F$1000, MATCH(A644&amp;"|"&amp;J644, 'Base Exámenes'!$I$5:$I$1000, 0))="", "", INDEX('Base Exámenes'!$F$5:$F$1000, MATCH(A644&amp;"|"&amp;J644, 'Base Exámenes'!$I$5:$I$1000, 0))), ""), "")</f>
        <v/>
      </c>
      <c r="J644" s="6" t="str">
        <f>IF(F644="Completado", IF(COUNTIFS('Base Exámenes'!$C$5:$C$1000, A644, 'Base Exámenes'!$G$5:$G$1000, "&lt;&gt;")=0, "", _xlfn.MAXIFS('Base Exámenes'!$G$5:$G$1000, 'Base Exámenes'!$C$5:$C$1000, A644)), "")</f>
        <v/>
      </c>
      <c r="K644" s="6" t="str">
        <f>IF(F644="Completado", IFERROR(IF(INDEX('Base Exámenes'!$H$5:$H$1000, MATCH(A644&amp;"|"&amp;J644, 'Base Exámenes'!$I$5:$I$1000, 0))="", "", INDEX('Base Exámenes'!$H$5:$H$1000, MATCH(A644&amp;"|"&amp;J644, 'Base Exámenes'!$I$5:$I$1000, 0))), ""), "")</f>
        <v/>
      </c>
      <c r="L644" s="22" t="str">
        <f>IF($A644="","",COUNTIF('Base Exámenes'!$C$5:$C$1000, A644))</f>
        <v/>
      </c>
      <c r="M644" s="6" t="str">
        <f>IF($A644="","",IF(COUNTIF('Base Exámenes'!$C$5:$C$1000, A644)&gt;0, "", TRIM('Base Oficial'!H644)))</f>
        <v/>
      </c>
    </row>
    <row r="645">
      <c r="A645" s="4" t="str">
        <f>IF('Base Oficial'!A645="","",TRIM('Base Oficial'!A645))</f>
        <v/>
      </c>
      <c r="B645" s="6" t="str">
        <f>IF($A645="","",TRIM('Base Oficial'!B645))</f>
        <v/>
      </c>
      <c r="C645" s="6" t="str">
        <f>IF($A645="","",TRIM('Base Oficial'!F645))</f>
        <v/>
      </c>
      <c r="D645" s="6" t="str">
        <f>IF($A645="","",TRIM('Base Oficial'!G645))</f>
        <v/>
      </c>
      <c r="E645" s="6" t="str">
        <f>IF($A645="","",TRIM('Base Oficial'!D645))</f>
        <v/>
      </c>
      <c r="F645" s="4" t="str">
        <f>IF($A645="","",IF(COUNTIF('Base Exámenes'!$C$5:$C$1000, A645)&gt;0, "Completado", IF(M645&lt;&gt;"", M645, "Pendiente")))</f>
        <v/>
      </c>
      <c r="G645" s="11" t="str">
        <f>IF(F645="Completado", IFERROR(IF(INDEX('Base Exámenes'!$D$5:$D$1000, MATCH(A645&amp;"|"&amp;J645, 'Base Exámenes'!$I$5:$I$1000, 0))="", "", INDEX('Base Exámenes'!$D$5:$D$1000, MATCH(A645&amp;"|"&amp;J645, 'Base Exámenes'!$I$5:$I$1000, 0))), ""), "")</f>
        <v/>
      </c>
      <c r="H645" s="11" t="str">
        <f>IF(F645="Completado", IFERROR(IF(INDEX('Base Exámenes'!$E$5:$E$1000, MATCH(A645&amp;"|"&amp;J645, 'Base Exámenes'!$I$5:$I$1000, 0))="", "", INDEX('Base Exámenes'!$E$5:$E$1000, MATCH(A645&amp;"|"&amp;J645, 'Base Exámenes'!$I$5:$I$1000, 0))), ""), "")</f>
        <v/>
      </c>
      <c r="I645" s="10" t="str">
        <f>IF(F645="Completado", IFERROR(IF(INDEX('Base Exámenes'!$F$5:$F$1000, MATCH(A645&amp;"|"&amp;J645, 'Base Exámenes'!$I$5:$I$1000, 0))="", "", INDEX('Base Exámenes'!$F$5:$F$1000, MATCH(A645&amp;"|"&amp;J645, 'Base Exámenes'!$I$5:$I$1000, 0))), ""), "")</f>
        <v/>
      </c>
      <c r="J645" s="6" t="str">
        <f>IF(F645="Completado", IF(COUNTIFS('Base Exámenes'!$C$5:$C$1000, A645, 'Base Exámenes'!$G$5:$G$1000, "&lt;&gt;")=0, "", _xlfn.MAXIFS('Base Exámenes'!$G$5:$G$1000, 'Base Exámenes'!$C$5:$C$1000, A645)), "")</f>
        <v/>
      </c>
      <c r="K645" s="6" t="str">
        <f>IF(F645="Completado", IFERROR(IF(INDEX('Base Exámenes'!$H$5:$H$1000, MATCH(A645&amp;"|"&amp;J645, 'Base Exámenes'!$I$5:$I$1000, 0))="", "", INDEX('Base Exámenes'!$H$5:$H$1000, MATCH(A645&amp;"|"&amp;J645, 'Base Exámenes'!$I$5:$I$1000, 0))), ""), "")</f>
        <v/>
      </c>
      <c r="L645" s="22" t="str">
        <f>IF($A645="","",COUNTIF('Base Exámenes'!$C$5:$C$1000, A645))</f>
        <v/>
      </c>
      <c r="M645" s="6" t="str">
        <f>IF($A645="","",IF(COUNTIF('Base Exámenes'!$C$5:$C$1000, A645)&gt;0, "", TRIM('Base Oficial'!H645)))</f>
        <v/>
      </c>
    </row>
    <row r="646">
      <c r="A646" s="4" t="str">
        <f>IF('Base Oficial'!A646="","",TRIM('Base Oficial'!A646))</f>
        <v/>
      </c>
      <c r="B646" s="6" t="str">
        <f>IF($A646="","",TRIM('Base Oficial'!B646))</f>
        <v/>
      </c>
      <c r="C646" s="6" t="str">
        <f>IF($A646="","",TRIM('Base Oficial'!F646))</f>
        <v/>
      </c>
      <c r="D646" s="6" t="str">
        <f>IF($A646="","",TRIM('Base Oficial'!G646))</f>
        <v/>
      </c>
      <c r="E646" s="6" t="str">
        <f>IF($A646="","",TRIM('Base Oficial'!D646))</f>
        <v/>
      </c>
      <c r="F646" s="4" t="str">
        <f>IF($A646="","",IF(COUNTIF('Base Exámenes'!$C$5:$C$1000, A646)&gt;0, "Completado", IF(M646&lt;&gt;"", M646, "Pendiente")))</f>
        <v/>
      </c>
      <c r="G646" s="11" t="str">
        <f>IF(F646="Completado", IFERROR(IF(INDEX('Base Exámenes'!$D$5:$D$1000, MATCH(A646&amp;"|"&amp;J646, 'Base Exámenes'!$I$5:$I$1000, 0))="", "", INDEX('Base Exámenes'!$D$5:$D$1000, MATCH(A646&amp;"|"&amp;J646, 'Base Exámenes'!$I$5:$I$1000, 0))), ""), "")</f>
        <v/>
      </c>
      <c r="H646" s="11" t="str">
        <f>IF(F646="Completado", IFERROR(IF(INDEX('Base Exámenes'!$E$5:$E$1000, MATCH(A646&amp;"|"&amp;J646, 'Base Exámenes'!$I$5:$I$1000, 0))="", "", INDEX('Base Exámenes'!$E$5:$E$1000, MATCH(A646&amp;"|"&amp;J646, 'Base Exámenes'!$I$5:$I$1000, 0))), ""), "")</f>
        <v/>
      </c>
      <c r="I646" s="10" t="str">
        <f>IF(F646="Completado", IFERROR(IF(INDEX('Base Exámenes'!$F$5:$F$1000, MATCH(A646&amp;"|"&amp;J646, 'Base Exámenes'!$I$5:$I$1000, 0))="", "", INDEX('Base Exámenes'!$F$5:$F$1000, MATCH(A646&amp;"|"&amp;J646, 'Base Exámenes'!$I$5:$I$1000, 0))), ""), "")</f>
        <v/>
      </c>
      <c r="J646" s="6" t="str">
        <f>IF(F646="Completado", IF(COUNTIFS('Base Exámenes'!$C$5:$C$1000, A646, 'Base Exámenes'!$G$5:$G$1000, "&lt;&gt;")=0, "", _xlfn.MAXIFS('Base Exámenes'!$G$5:$G$1000, 'Base Exámenes'!$C$5:$C$1000, A646)), "")</f>
        <v/>
      </c>
      <c r="K646" s="6" t="str">
        <f>IF(F646="Completado", IFERROR(IF(INDEX('Base Exámenes'!$H$5:$H$1000, MATCH(A646&amp;"|"&amp;J646, 'Base Exámenes'!$I$5:$I$1000, 0))="", "", INDEX('Base Exámenes'!$H$5:$H$1000, MATCH(A646&amp;"|"&amp;J646, 'Base Exámenes'!$I$5:$I$1000, 0))), ""), "")</f>
        <v/>
      </c>
      <c r="L646" s="22" t="str">
        <f>IF($A646="","",COUNTIF('Base Exámenes'!$C$5:$C$1000, A646))</f>
        <v/>
      </c>
      <c r="M646" s="6" t="str">
        <f>IF($A646="","",IF(COUNTIF('Base Exámenes'!$C$5:$C$1000, A646)&gt;0, "", TRIM('Base Oficial'!H646)))</f>
        <v/>
      </c>
    </row>
    <row r="647">
      <c r="A647" s="4" t="str">
        <f>IF('Base Oficial'!A647="","",TRIM('Base Oficial'!A647))</f>
        <v/>
      </c>
      <c r="B647" s="6" t="str">
        <f>IF($A647="","",TRIM('Base Oficial'!B647))</f>
        <v/>
      </c>
      <c r="C647" s="6" t="str">
        <f>IF($A647="","",TRIM('Base Oficial'!F647))</f>
        <v/>
      </c>
      <c r="D647" s="6" t="str">
        <f>IF($A647="","",TRIM('Base Oficial'!G647))</f>
        <v/>
      </c>
      <c r="E647" s="6" t="str">
        <f>IF($A647="","",TRIM('Base Oficial'!D647))</f>
        <v/>
      </c>
      <c r="F647" s="4" t="str">
        <f>IF($A647="","",IF(COUNTIF('Base Exámenes'!$C$5:$C$1000, A647)&gt;0, "Completado", IF(M647&lt;&gt;"", M647, "Pendiente")))</f>
        <v/>
      </c>
      <c r="G647" s="11" t="str">
        <f>IF(F647="Completado", IFERROR(IF(INDEX('Base Exámenes'!$D$5:$D$1000, MATCH(A647&amp;"|"&amp;J647, 'Base Exámenes'!$I$5:$I$1000, 0))="", "", INDEX('Base Exámenes'!$D$5:$D$1000, MATCH(A647&amp;"|"&amp;J647, 'Base Exámenes'!$I$5:$I$1000, 0))), ""), "")</f>
        <v/>
      </c>
      <c r="H647" s="11" t="str">
        <f>IF(F647="Completado", IFERROR(IF(INDEX('Base Exámenes'!$E$5:$E$1000, MATCH(A647&amp;"|"&amp;J647, 'Base Exámenes'!$I$5:$I$1000, 0))="", "", INDEX('Base Exámenes'!$E$5:$E$1000, MATCH(A647&amp;"|"&amp;J647, 'Base Exámenes'!$I$5:$I$1000, 0))), ""), "")</f>
        <v/>
      </c>
      <c r="I647" s="10" t="str">
        <f>IF(F647="Completado", IFERROR(IF(INDEX('Base Exámenes'!$F$5:$F$1000, MATCH(A647&amp;"|"&amp;J647, 'Base Exámenes'!$I$5:$I$1000, 0))="", "", INDEX('Base Exámenes'!$F$5:$F$1000, MATCH(A647&amp;"|"&amp;J647, 'Base Exámenes'!$I$5:$I$1000, 0))), ""), "")</f>
        <v/>
      </c>
      <c r="J647" s="6" t="str">
        <f>IF(F647="Completado", IF(COUNTIFS('Base Exámenes'!$C$5:$C$1000, A647, 'Base Exámenes'!$G$5:$G$1000, "&lt;&gt;")=0, "", _xlfn.MAXIFS('Base Exámenes'!$G$5:$G$1000, 'Base Exámenes'!$C$5:$C$1000, A647)), "")</f>
        <v/>
      </c>
      <c r="K647" s="6" t="str">
        <f>IF(F647="Completado", IFERROR(IF(INDEX('Base Exámenes'!$H$5:$H$1000, MATCH(A647&amp;"|"&amp;J647, 'Base Exámenes'!$I$5:$I$1000, 0))="", "", INDEX('Base Exámenes'!$H$5:$H$1000, MATCH(A647&amp;"|"&amp;J647, 'Base Exámenes'!$I$5:$I$1000, 0))), ""), "")</f>
        <v/>
      </c>
      <c r="L647" s="22" t="str">
        <f>IF($A647="","",COUNTIF('Base Exámenes'!$C$5:$C$1000, A647))</f>
        <v/>
      </c>
      <c r="M647" s="6" t="str">
        <f>IF($A647="","",IF(COUNTIF('Base Exámenes'!$C$5:$C$1000, A647)&gt;0, "", TRIM('Base Oficial'!H647)))</f>
        <v/>
      </c>
    </row>
    <row r="648">
      <c r="A648" s="4" t="str">
        <f>IF('Base Oficial'!A648="","",TRIM('Base Oficial'!A648))</f>
        <v/>
      </c>
      <c r="B648" s="6" t="str">
        <f>IF($A648="","",TRIM('Base Oficial'!B648))</f>
        <v/>
      </c>
      <c r="C648" s="6" t="str">
        <f>IF($A648="","",TRIM('Base Oficial'!F648))</f>
        <v/>
      </c>
      <c r="D648" s="6" t="str">
        <f>IF($A648="","",TRIM('Base Oficial'!G648))</f>
        <v/>
      </c>
      <c r="E648" s="6" t="str">
        <f>IF($A648="","",TRIM('Base Oficial'!D648))</f>
        <v/>
      </c>
      <c r="F648" s="4" t="str">
        <f>IF($A648="","",IF(COUNTIF('Base Exámenes'!$C$5:$C$1000, A648)&gt;0, "Completado", IF(M648&lt;&gt;"", M648, "Pendiente")))</f>
        <v/>
      </c>
      <c r="G648" s="11" t="str">
        <f>IF(F648="Completado", IFERROR(IF(INDEX('Base Exámenes'!$D$5:$D$1000, MATCH(A648&amp;"|"&amp;J648, 'Base Exámenes'!$I$5:$I$1000, 0))="", "", INDEX('Base Exámenes'!$D$5:$D$1000, MATCH(A648&amp;"|"&amp;J648, 'Base Exámenes'!$I$5:$I$1000, 0))), ""), "")</f>
        <v/>
      </c>
      <c r="H648" s="11" t="str">
        <f>IF(F648="Completado", IFERROR(IF(INDEX('Base Exámenes'!$E$5:$E$1000, MATCH(A648&amp;"|"&amp;J648, 'Base Exámenes'!$I$5:$I$1000, 0))="", "", INDEX('Base Exámenes'!$E$5:$E$1000, MATCH(A648&amp;"|"&amp;J648, 'Base Exámenes'!$I$5:$I$1000, 0))), ""), "")</f>
        <v/>
      </c>
      <c r="I648" s="10" t="str">
        <f>IF(F648="Completado", IFERROR(IF(INDEX('Base Exámenes'!$F$5:$F$1000, MATCH(A648&amp;"|"&amp;J648, 'Base Exámenes'!$I$5:$I$1000, 0))="", "", INDEX('Base Exámenes'!$F$5:$F$1000, MATCH(A648&amp;"|"&amp;J648, 'Base Exámenes'!$I$5:$I$1000, 0))), ""), "")</f>
        <v/>
      </c>
      <c r="J648" s="6" t="str">
        <f>IF(F648="Completado", IF(COUNTIFS('Base Exámenes'!$C$5:$C$1000, A648, 'Base Exámenes'!$G$5:$G$1000, "&lt;&gt;")=0, "", _xlfn.MAXIFS('Base Exámenes'!$G$5:$G$1000, 'Base Exámenes'!$C$5:$C$1000, A648)), "")</f>
        <v/>
      </c>
      <c r="K648" s="6" t="str">
        <f>IF(F648="Completado", IFERROR(IF(INDEX('Base Exámenes'!$H$5:$H$1000, MATCH(A648&amp;"|"&amp;J648, 'Base Exámenes'!$I$5:$I$1000, 0))="", "", INDEX('Base Exámenes'!$H$5:$H$1000, MATCH(A648&amp;"|"&amp;J648, 'Base Exámenes'!$I$5:$I$1000, 0))), ""), "")</f>
        <v/>
      </c>
      <c r="L648" s="22" t="str">
        <f>IF($A648="","",COUNTIF('Base Exámenes'!$C$5:$C$1000, A648))</f>
        <v/>
      </c>
      <c r="M648" s="6" t="str">
        <f>IF($A648="","",IF(COUNTIF('Base Exámenes'!$C$5:$C$1000, A648)&gt;0, "", TRIM('Base Oficial'!H648)))</f>
        <v/>
      </c>
    </row>
    <row r="649">
      <c r="A649" s="4" t="str">
        <f>IF('Base Oficial'!A649="","",TRIM('Base Oficial'!A649))</f>
        <v/>
      </c>
      <c r="B649" s="6" t="str">
        <f>IF($A649="","",TRIM('Base Oficial'!B649))</f>
        <v/>
      </c>
      <c r="C649" s="6" t="str">
        <f>IF($A649="","",TRIM('Base Oficial'!F649))</f>
        <v/>
      </c>
      <c r="D649" s="6" t="str">
        <f>IF($A649="","",TRIM('Base Oficial'!G649))</f>
        <v/>
      </c>
      <c r="E649" s="6" t="str">
        <f>IF($A649="","",TRIM('Base Oficial'!D649))</f>
        <v/>
      </c>
      <c r="F649" s="4" t="str">
        <f>IF($A649="","",IF(COUNTIF('Base Exámenes'!$C$5:$C$1000, A649)&gt;0, "Completado", IF(M649&lt;&gt;"", M649, "Pendiente")))</f>
        <v/>
      </c>
      <c r="G649" s="11" t="str">
        <f>IF(F649="Completado", IFERROR(IF(INDEX('Base Exámenes'!$D$5:$D$1000, MATCH(A649&amp;"|"&amp;J649, 'Base Exámenes'!$I$5:$I$1000, 0))="", "", INDEX('Base Exámenes'!$D$5:$D$1000, MATCH(A649&amp;"|"&amp;J649, 'Base Exámenes'!$I$5:$I$1000, 0))), ""), "")</f>
        <v/>
      </c>
      <c r="H649" s="11" t="str">
        <f>IF(F649="Completado", IFERROR(IF(INDEX('Base Exámenes'!$E$5:$E$1000, MATCH(A649&amp;"|"&amp;J649, 'Base Exámenes'!$I$5:$I$1000, 0))="", "", INDEX('Base Exámenes'!$E$5:$E$1000, MATCH(A649&amp;"|"&amp;J649, 'Base Exámenes'!$I$5:$I$1000, 0))), ""), "")</f>
        <v/>
      </c>
      <c r="I649" s="10" t="str">
        <f>IF(F649="Completado", IFERROR(IF(INDEX('Base Exámenes'!$F$5:$F$1000, MATCH(A649&amp;"|"&amp;J649, 'Base Exámenes'!$I$5:$I$1000, 0))="", "", INDEX('Base Exámenes'!$F$5:$F$1000, MATCH(A649&amp;"|"&amp;J649, 'Base Exámenes'!$I$5:$I$1000, 0))), ""), "")</f>
        <v/>
      </c>
      <c r="J649" s="6" t="str">
        <f>IF(F649="Completado", IF(COUNTIFS('Base Exámenes'!$C$5:$C$1000, A649, 'Base Exámenes'!$G$5:$G$1000, "&lt;&gt;")=0, "", _xlfn.MAXIFS('Base Exámenes'!$G$5:$G$1000, 'Base Exámenes'!$C$5:$C$1000, A649)), "")</f>
        <v/>
      </c>
      <c r="K649" s="6" t="str">
        <f>IF(F649="Completado", IFERROR(IF(INDEX('Base Exámenes'!$H$5:$H$1000, MATCH(A649&amp;"|"&amp;J649, 'Base Exámenes'!$I$5:$I$1000, 0))="", "", INDEX('Base Exámenes'!$H$5:$H$1000, MATCH(A649&amp;"|"&amp;J649, 'Base Exámenes'!$I$5:$I$1000, 0))), ""), "")</f>
        <v/>
      </c>
      <c r="L649" s="22" t="str">
        <f>IF($A649="","",COUNTIF('Base Exámenes'!$C$5:$C$1000, A649))</f>
        <v/>
      </c>
      <c r="M649" s="6" t="str">
        <f>IF($A649="","",IF(COUNTIF('Base Exámenes'!$C$5:$C$1000, A649)&gt;0, "", TRIM('Base Oficial'!H649)))</f>
        <v/>
      </c>
    </row>
    <row r="650">
      <c r="A650" s="4" t="str">
        <f>IF('Base Oficial'!A650="","",TRIM('Base Oficial'!A650))</f>
        <v/>
      </c>
      <c r="B650" s="6" t="str">
        <f>IF($A650="","",TRIM('Base Oficial'!B650))</f>
        <v/>
      </c>
      <c r="C650" s="6" t="str">
        <f>IF($A650="","",TRIM('Base Oficial'!F650))</f>
        <v/>
      </c>
      <c r="D650" s="6" t="str">
        <f>IF($A650="","",TRIM('Base Oficial'!G650))</f>
        <v/>
      </c>
      <c r="E650" s="6" t="str">
        <f>IF($A650="","",TRIM('Base Oficial'!D650))</f>
        <v/>
      </c>
      <c r="F650" s="4" t="str">
        <f>IF($A650="","",IF(COUNTIF('Base Exámenes'!$C$5:$C$1000, A650)&gt;0, "Completado", IF(M650&lt;&gt;"", M650, "Pendiente")))</f>
        <v/>
      </c>
      <c r="G650" s="11" t="str">
        <f>IF(F650="Completado", IFERROR(IF(INDEX('Base Exámenes'!$D$5:$D$1000, MATCH(A650&amp;"|"&amp;J650, 'Base Exámenes'!$I$5:$I$1000, 0))="", "", INDEX('Base Exámenes'!$D$5:$D$1000, MATCH(A650&amp;"|"&amp;J650, 'Base Exámenes'!$I$5:$I$1000, 0))), ""), "")</f>
        <v/>
      </c>
      <c r="H650" s="11" t="str">
        <f>IF(F650="Completado", IFERROR(IF(INDEX('Base Exámenes'!$E$5:$E$1000, MATCH(A650&amp;"|"&amp;J650, 'Base Exámenes'!$I$5:$I$1000, 0))="", "", INDEX('Base Exámenes'!$E$5:$E$1000, MATCH(A650&amp;"|"&amp;J650, 'Base Exámenes'!$I$5:$I$1000, 0))), ""), "")</f>
        <v/>
      </c>
      <c r="I650" s="10" t="str">
        <f>IF(F650="Completado", IFERROR(IF(INDEX('Base Exámenes'!$F$5:$F$1000, MATCH(A650&amp;"|"&amp;J650, 'Base Exámenes'!$I$5:$I$1000, 0))="", "", INDEX('Base Exámenes'!$F$5:$F$1000, MATCH(A650&amp;"|"&amp;J650, 'Base Exámenes'!$I$5:$I$1000, 0))), ""), "")</f>
        <v/>
      </c>
      <c r="J650" s="6" t="str">
        <f>IF(F650="Completado", IF(COUNTIFS('Base Exámenes'!$C$5:$C$1000, A650, 'Base Exámenes'!$G$5:$G$1000, "&lt;&gt;")=0, "", _xlfn.MAXIFS('Base Exámenes'!$G$5:$G$1000, 'Base Exámenes'!$C$5:$C$1000, A650)), "")</f>
        <v/>
      </c>
      <c r="K650" s="6" t="str">
        <f>IF(F650="Completado", IFERROR(IF(INDEX('Base Exámenes'!$H$5:$H$1000, MATCH(A650&amp;"|"&amp;J650, 'Base Exámenes'!$I$5:$I$1000, 0))="", "", INDEX('Base Exámenes'!$H$5:$H$1000, MATCH(A650&amp;"|"&amp;J650, 'Base Exámenes'!$I$5:$I$1000, 0))), ""), "")</f>
        <v/>
      </c>
      <c r="L650" s="22" t="str">
        <f>IF($A650="","",COUNTIF('Base Exámenes'!$C$5:$C$1000, A650))</f>
        <v/>
      </c>
      <c r="M650" s="6" t="str">
        <f>IF($A650="","",IF(COUNTIF('Base Exámenes'!$C$5:$C$1000, A650)&gt;0, "", TRIM('Base Oficial'!H650)))</f>
        <v/>
      </c>
    </row>
    <row r="651">
      <c r="A651" s="4" t="str">
        <f>IF('Base Oficial'!A651="","",TRIM('Base Oficial'!A651))</f>
        <v/>
      </c>
      <c r="B651" s="6" t="str">
        <f>IF($A651="","",TRIM('Base Oficial'!B651))</f>
        <v/>
      </c>
      <c r="C651" s="6" t="str">
        <f>IF($A651="","",TRIM('Base Oficial'!F651))</f>
        <v/>
      </c>
      <c r="D651" s="6" t="str">
        <f>IF($A651="","",TRIM('Base Oficial'!G651))</f>
        <v/>
      </c>
      <c r="E651" s="6" t="str">
        <f>IF($A651="","",TRIM('Base Oficial'!D651))</f>
        <v/>
      </c>
      <c r="F651" s="4" t="str">
        <f>IF($A651="","",IF(COUNTIF('Base Exámenes'!$C$5:$C$1000, A651)&gt;0, "Completado", IF(M651&lt;&gt;"", M651, "Pendiente")))</f>
        <v/>
      </c>
      <c r="G651" s="11" t="str">
        <f>IF(F651="Completado", IFERROR(IF(INDEX('Base Exámenes'!$D$5:$D$1000, MATCH(A651&amp;"|"&amp;J651, 'Base Exámenes'!$I$5:$I$1000, 0))="", "", INDEX('Base Exámenes'!$D$5:$D$1000, MATCH(A651&amp;"|"&amp;J651, 'Base Exámenes'!$I$5:$I$1000, 0))), ""), "")</f>
        <v/>
      </c>
      <c r="H651" s="11" t="str">
        <f>IF(F651="Completado", IFERROR(IF(INDEX('Base Exámenes'!$E$5:$E$1000, MATCH(A651&amp;"|"&amp;J651, 'Base Exámenes'!$I$5:$I$1000, 0))="", "", INDEX('Base Exámenes'!$E$5:$E$1000, MATCH(A651&amp;"|"&amp;J651, 'Base Exámenes'!$I$5:$I$1000, 0))), ""), "")</f>
        <v/>
      </c>
      <c r="I651" s="10" t="str">
        <f>IF(F651="Completado", IFERROR(IF(INDEX('Base Exámenes'!$F$5:$F$1000, MATCH(A651&amp;"|"&amp;J651, 'Base Exámenes'!$I$5:$I$1000, 0))="", "", INDEX('Base Exámenes'!$F$5:$F$1000, MATCH(A651&amp;"|"&amp;J651, 'Base Exámenes'!$I$5:$I$1000, 0))), ""), "")</f>
        <v/>
      </c>
      <c r="J651" s="6" t="str">
        <f>IF(F651="Completado", IF(COUNTIFS('Base Exámenes'!$C$5:$C$1000, A651, 'Base Exámenes'!$G$5:$G$1000, "&lt;&gt;")=0, "", _xlfn.MAXIFS('Base Exámenes'!$G$5:$G$1000, 'Base Exámenes'!$C$5:$C$1000, A651)), "")</f>
        <v/>
      </c>
      <c r="K651" s="6" t="str">
        <f>IF(F651="Completado", IFERROR(IF(INDEX('Base Exámenes'!$H$5:$H$1000, MATCH(A651&amp;"|"&amp;J651, 'Base Exámenes'!$I$5:$I$1000, 0))="", "", INDEX('Base Exámenes'!$H$5:$H$1000, MATCH(A651&amp;"|"&amp;J651, 'Base Exámenes'!$I$5:$I$1000, 0))), ""), "")</f>
        <v/>
      </c>
      <c r="L651" s="22" t="str">
        <f>IF($A651="","",COUNTIF('Base Exámenes'!$C$5:$C$1000, A651))</f>
        <v/>
      </c>
      <c r="M651" s="6" t="str">
        <f>IF($A651="","",IF(COUNTIF('Base Exámenes'!$C$5:$C$1000, A651)&gt;0, "", TRIM('Base Oficial'!H651)))</f>
        <v/>
      </c>
    </row>
    <row r="652">
      <c r="A652" s="4" t="str">
        <f>IF('Base Oficial'!A652="","",TRIM('Base Oficial'!A652))</f>
        <v/>
      </c>
      <c r="B652" s="6" t="str">
        <f>IF($A652="","",TRIM('Base Oficial'!B652))</f>
        <v/>
      </c>
      <c r="C652" s="6" t="str">
        <f>IF($A652="","",TRIM('Base Oficial'!F652))</f>
        <v/>
      </c>
      <c r="D652" s="6" t="str">
        <f>IF($A652="","",TRIM('Base Oficial'!G652))</f>
        <v/>
      </c>
      <c r="E652" s="6" t="str">
        <f>IF($A652="","",TRIM('Base Oficial'!D652))</f>
        <v/>
      </c>
      <c r="F652" s="4" t="str">
        <f>IF($A652="","",IF(COUNTIF('Base Exámenes'!$C$5:$C$1000, A652)&gt;0, "Completado", IF(M652&lt;&gt;"", M652, "Pendiente")))</f>
        <v/>
      </c>
      <c r="G652" s="11" t="str">
        <f>IF(F652="Completado", IFERROR(IF(INDEX('Base Exámenes'!$D$5:$D$1000, MATCH(A652&amp;"|"&amp;J652, 'Base Exámenes'!$I$5:$I$1000, 0))="", "", INDEX('Base Exámenes'!$D$5:$D$1000, MATCH(A652&amp;"|"&amp;J652, 'Base Exámenes'!$I$5:$I$1000, 0))), ""), "")</f>
        <v/>
      </c>
      <c r="H652" s="11" t="str">
        <f>IF(F652="Completado", IFERROR(IF(INDEX('Base Exámenes'!$E$5:$E$1000, MATCH(A652&amp;"|"&amp;J652, 'Base Exámenes'!$I$5:$I$1000, 0))="", "", INDEX('Base Exámenes'!$E$5:$E$1000, MATCH(A652&amp;"|"&amp;J652, 'Base Exámenes'!$I$5:$I$1000, 0))), ""), "")</f>
        <v/>
      </c>
      <c r="I652" s="10" t="str">
        <f>IF(F652="Completado", IFERROR(IF(INDEX('Base Exámenes'!$F$5:$F$1000, MATCH(A652&amp;"|"&amp;J652, 'Base Exámenes'!$I$5:$I$1000, 0))="", "", INDEX('Base Exámenes'!$F$5:$F$1000, MATCH(A652&amp;"|"&amp;J652, 'Base Exámenes'!$I$5:$I$1000, 0))), ""), "")</f>
        <v/>
      </c>
      <c r="J652" s="6" t="str">
        <f>IF(F652="Completado", IF(COUNTIFS('Base Exámenes'!$C$5:$C$1000, A652, 'Base Exámenes'!$G$5:$G$1000, "&lt;&gt;")=0, "", _xlfn.MAXIFS('Base Exámenes'!$G$5:$G$1000, 'Base Exámenes'!$C$5:$C$1000, A652)), "")</f>
        <v/>
      </c>
      <c r="K652" s="6" t="str">
        <f>IF(F652="Completado", IFERROR(IF(INDEX('Base Exámenes'!$H$5:$H$1000, MATCH(A652&amp;"|"&amp;J652, 'Base Exámenes'!$I$5:$I$1000, 0))="", "", INDEX('Base Exámenes'!$H$5:$H$1000, MATCH(A652&amp;"|"&amp;J652, 'Base Exámenes'!$I$5:$I$1000, 0))), ""), "")</f>
        <v/>
      </c>
      <c r="L652" s="22" t="str">
        <f>IF($A652="","",COUNTIF('Base Exámenes'!$C$5:$C$1000, A652))</f>
        <v/>
      </c>
      <c r="M652" s="6" t="str">
        <f>IF($A652="","",IF(COUNTIF('Base Exámenes'!$C$5:$C$1000, A652)&gt;0, "", TRIM('Base Oficial'!H652)))</f>
        <v/>
      </c>
    </row>
    <row r="653">
      <c r="A653" s="4" t="str">
        <f>IF('Base Oficial'!A653="","",TRIM('Base Oficial'!A653))</f>
        <v/>
      </c>
      <c r="B653" s="6" t="str">
        <f>IF($A653="","",TRIM('Base Oficial'!B653))</f>
        <v/>
      </c>
      <c r="C653" s="6" t="str">
        <f>IF($A653="","",TRIM('Base Oficial'!F653))</f>
        <v/>
      </c>
      <c r="D653" s="6" t="str">
        <f>IF($A653="","",TRIM('Base Oficial'!G653))</f>
        <v/>
      </c>
      <c r="E653" s="6" t="str">
        <f>IF($A653="","",TRIM('Base Oficial'!D653))</f>
        <v/>
      </c>
      <c r="F653" s="4" t="str">
        <f>IF($A653="","",IF(COUNTIF('Base Exámenes'!$C$5:$C$1000, A653)&gt;0, "Completado", IF(M653&lt;&gt;"", M653, "Pendiente")))</f>
        <v/>
      </c>
      <c r="G653" s="11" t="str">
        <f>IF(F653="Completado", IFERROR(IF(INDEX('Base Exámenes'!$D$5:$D$1000, MATCH(A653&amp;"|"&amp;J653, 'Base Exámenes'!$I$5:$I$1000, 0))="", "", INDEX('Base Exámenes'!$D$5:$D$1000, MATCH(A653&amp;"|"&amp;J653, 'Base Exámenes'!$I$5:$I$1000, 0))), ""), "")</f>
        <v/>
      </c>
      <c r="H653" s="11" t="str">
        <f>IF(F653="Completado", IFERROR(IF(INDEX('Base Exámenes'!$E$5:$E$1000, MATCH(A653&amp;"|"&amp;J653, 'Base Exámenes'!$I$5:$I$1000, 0))="", "", INDEX('Base Exámenes'!$E$5:$E$1000, MATCH(A653&amp;"|"&amp;J653, 'Base Exámenes'!$I$5:$I$1000, 0))), ""), "")</f>
        <v/>
      </c>
      <c r="I653" s="10" t="str">
        <f>IF(F653="Completado", IFERROR(IF(INDEX('Base Exámenes'!$F$5:$F$1000, MATCH(A653&amp;"|"&amp;J653, 'Base Exámenes'!$I$5:$I$1000, 0))="", "", INDEX('Base Exámenes'!$F$5:$F$1000, MATCH(A653&amp;"|"&amp;J653, 'Base Exámenes'!$I$5:$I$1000, 0))), ""), "")</f>
        <v/>
      </c>
      <c r="J653" s="6" t="str">
        <f>IF(F653="Completado", IF(COUNTIFS('Base Exámenes'!$C$5:$C$1000, A653, 'Base Exámenes'!$G$5:$G$1000, "&lt;&gt;")=0, "", _xlfn.MAXIFS('Base Exámenes'!$G$5:$G$1000, 'Base Exámenes'!$C$5:$C$1000, A653)), "")</f>
        <v/>
      </c>
      <c r="K653" s="6" t="str">
        <f>IF(F653="Completado", IFERROR(IF(INDEX('Base Exámenes'!$H$5:$H$1000, MATCH(A653&amp;"|"&amp;J653, 'Base Exámenes'!$I$5:$I$1000, 0))="", "", INDEX('Base Exámenes'!$H$5:$H$1000, MATCH(A653&amp;"|"&amp;J653, 'Base Exámenes'!$I$5:$I$1000, 0))), ""), "")</f>
        <v/>
      </c>
      <c r="L653" s="22" t="str">
        <f>IF($A653="","",COUNTIF('Base Exámenes'!$C$5:$C$1000, A653))</f>
        <v/>
      </c>
      <c r="M653" s="6" t="str">
        <f>IF($A653="","",IF(COUNTIF('Base Exámenes'!$C$5:$C$1000, A653)&gt;0, "", TRIM('Base Oficial'!H653)))</f>
        <v/>
      </c>
    </row>
    <row r="654">
      <c r="A654" s="4" t="str">
        <f>IF('Base Oficial'!A654="","",TRIM('Base Oficial'!A654))</f>
        <v/>
      </c>
      <c r="B654" s="6" t="str">
        <f>IF($A654="","",TRIM('Base Oficial'!B654))</f>
        <v/>
      </c>
      <c r="C654" s="6" t="str">
        <f>IF($A654="","",TRIM('Base Oficial'!F654))</f>
        <v/>
      </c>
      <c r="D654" s="6" t="str">
        <f>IF($A654="","",TRIM('Base Oficial'!G654))</f>
        <v/>
      </c>
      <c r="E654" s="6" t="str">
        <f>IF($A654="","",TRIM('Base Oficial'!D654))</f>
        <v/>
      </c>
      <c r="F654" s="4" t="str">
        <f>IF($A654="","",IF(COUNTIF('Base Exámenes'!$C$5:$C$1000, A654)&gt;0, "Completado", IF(M654&lt;&gt;"", M654, "Pendiente")))</f>
        <v/>
      </c>
      <c r="G654" s="11" t="str">
        <f>IF(F654="Completado", IFERROR(IF(INDEX('Base Exámenes'!$D$5:$D$1000, MATCH(A654&amp;"|"&amp;J654, 'Base Exámenes'!$I$5:$I$1000, 0))="", "", INDEX('Base Exámenes'!$D$5:$D$1000, MATCH(A654&amp;"|"&amp;J654, 'Base Exámenes'!$I$5:$I$1000, 0))), ""), "")</f>
        <v/>
      </c>
      <c r="H654" s="11" t="str">
        <f>IF(F654="Completado", IFERROR(IF(INDEX('Base Exámenes'!$E$5:$E$1000, MATCH(A654&amp;"|"&amp;J654, 'Base Exámenes'!$I$5:$I$1000, 0))="", "", INDEX('Base Exámenes'!$E$5:$E$1000, MATCH(A654&amp;"|"&amp;J654, 'Base Exámenes'!$I$5:$I$1000, 0))), ""), "")</f>
        <v/>
      </c>
      <c r="I654" s="10" t="str">
        <f>IF(F654="Completado", IFERROR(IF(INDEX('Base Exámenes'!$F$5:$F$1000, MATCH(A654&amp;"|"&amp;J654, 'Base Exámenes'!$I$5:$I$1000, 0))="", "", INDEX('Base Exámenes'!$F$5:$F$1000, MATCH(A654&amp;"|"&amp;J654, 'Base Exámenes'!$I$5:$I$1000, 0))), ""), "")</f>
        <v/>
      </c>
      <c r="J654" s="6" t="str">
        <f>IF(F654="Completado", IF(COUNTIFS('Base Exámenes'!$C$5:$C$1000, A654, 'Base Exámenes'!$G$5:$G$1000, "&lt;&gt;")=0, "", _xlfn.MAXIFS('Base Exámenes'!$G$5:$G$1000, 'Base Exámenes'!$C$5:$C$1000, A654)), "")</f>
        <v/>
      </c>
      <c r="K654" s="6" t="str">
        <f>IF(F654="Completado", IFERROR(IF(INDEX('Base Exámenes'!$H$5:$H$1000, MATCH(A654&amp;"|"&amp;J654, 'Base Exámenes'!$I$5:$I$1000, 0))="", "", INDEX('Base Exámenes'!$H$5:$H$1000, MATCH(A654&amp;"|"&amp;J654, 'Base Exámenes'!$I$5:$I$1000, 0))), ""), "")</f>
        <v/>
      </c>
      <c r="L654" s="22" t="str">
        <f>IF($A654="","",COUNTIF('Base Exámenes'!$C$5:$C$1000, A654))</f>
        <v/>
      </c>
      <c r="M654" s="6" t="str">
        <f>IF($A654="","",IF(COUNTIF('Base Exámenes'!$C$5:$C$1000, A654)&gt;0, "", TRIM('Base Oficial'!H654)))</f>
        <v/>
      </c>
    </row>
    <row r="655">
      <c r="A655" s="4" t="str">
        <f>IF('Base Oficial'!A655="","",TRIM('Base Oficial'!A655))</f>
        <v/>
      </c>
      <c r="B655" s="6" t="str">
        <f>IF($A655="","",TRIM('Base Oficial'!B655))</f>
        <v/>
      </c>
      <c r="C655" s="6" t="str">
        <f>IF($A655="","",TRIM('Base Oficial'!F655))</f>
        <v/>
      </c>
      <c r="D655" s="6" t="str">
        <f>IF($A655="","",TRIM('Base Oficial'!G655))</f>
        <v/>
      </c>
      <c r="E655" s="6" t="str">
        <f>IF($A655="","",TRIM('Base Oficial'!D655))</f>
        <v/>
      </c>
      <c r="F655" s="4" t="str">
        <f>IF($A655="","",IF(COUNTIF('Base Exámenes'!$C$5:$C$1000, A655)&gt;0, "Completado", IF(M655&lt;&gt;"", M655, "Pendiente")))</f>
        <v/>
      </c>
      <c r="G655" s="11" t="str">
        <f>IF(F655="Completado", IFERROR(IF(INDEX('Base Exámenes'!$D$5:$D$1000, MATCH(A655&amp;"|"&amp;J655, 'Base Exámenes'!$I$5:$I$1000, 0))="", "", INDEX('Base Exámenes'!$D$5:$D$1000, MATCH(A655&amp;"|"&amp;J655, 'Base Exámenes'!$I$5:$I$1000, 0))), ""), "")</f>
        <v/>
      </c>
      <c r="H655" s="11" t="str">
        <f>IF(F655="Completado", IFERROR(IF(INDEX('Base Exámenes'!$E$5:$E$1000, MATCH(A655&amp;"|"&amp;J655, 'Base Exámenes'!$I$5:$I$1000, 0))="", "", INDEX('Base Exámenes'!$E$5:$E$1000, MATCH(A655&amp;"|"&amp;J655, 'Base Exámenes'!$I$5:$I$1000, 0))), ""), "")</f>
        <v/>
      </c>
      <c r="I655" s="10" t="str">
        <f>IF(F655="Completado", IFERROR(IF(INDEX('Base Exámenes'!$F$5:$F$1000, MATCH(A655&amp;"|"&amp;J655, 'Base Exámenes'!$I$5:$I$1000, 0))="", "", INDEX('Base Exámenes'!$F$5:$F$1000, MATCH(A655&amp;"|"&amp;J655, 'Base Exámenes'!$I$5:$I$1000, 0))), ""), "")</f>
        <v/>
      </c>
      <c r="J655" s="6" t="str">
        <f>IF(F655="Completado", IF(COUNTIFS('Base Exámenes'!$C$5:$C$1000, A655, 'Base Exámenes'!$G$5:$G$1000, "&lt;&gt;")=0, "", _xlfn.MAXIFS('Base Exámenes'!$G$5:$G$1000, 'Base Exámenes'!$C$5:$C$1000, A655)), "")</f>
        <v/>
      </c>
      <c r="K655" s="6" t="str">
        <f>IF(F655="Completado", IFERROR(IF(INDEX('Base Exámenes'!$H$5:$H$1000, MATCH(A655&amp;"|"&amp;J655, 'Base Exámenes'!$I$5:$I$1000, 0))="", "", INDEX('Base Exámenes'!$H$5:$H$1000, MATCH(A655&amp;"|"&amp;J655, 'Base Exámenes'!$I$5:$I$1000, 0))), ""), "")</f>
        <v/>
      </c>
      <c r="L655" s="22" t="str">
        <f>IF($A655="","",COUNTIF('Base Exámenes'!$C$5:$C$1000, A655))</f>
        <v/>
      </c>
      <c r="M655" s="6" t="str">
        <f>IF($A655="","",IF(COUNTIF('Base Exámenes'!$C$5:$C$1000, A655)&gt;0, "", TRIM('Base Oficial'!H655)))</f>
        <v/>
      </c>
    </row>
    <row r="656">
      <c r="A656" s="4" t="str">
        <f>IF('Base Oficial'!A656="","",TRIM('Base Oficial'!A656))</f>
        <v/>
      </c>
      <c r="B656" s="6" t="str">
        <f>IF($A656="","",TRIM('Base Oficial'!B656))</f>
        <v/>
      </c>
      <c r="C656" s="6" t="str">
        <f>IF($A656="","",TRIM('Base Oficial'!F656))</f>
        <v/>
      </c>
      <c r="D656" s="6" t="str">
        <f>IF($A656="","",TRIM('Base Oficial'!G656))</f>
        <v/>
      </c>
      <c r="E656" s="6" t="str">
        <f>IF($A656="","",TRIM('Base Oficial'!D656))</f>
        <v/>
      </c>
      <c r="F656" s="4" t="str">
        <f>IF($A656="","",IF(COUNTIF('Base Exámenes'!$C$5:$C$1000, A656)&gt;0, "Completado", IF(M656&lt;&gt;"", M656, "Pendiente")))</f>
        <v/>
      </c>
      <c r="G656" s="11" t="str">
        <f>IF(F656="Completado", IFERROR(IF(INDEX('Base Exámenes'!$D$5:$D$1000, MATCH(A656&amp;"|"&amp;J656, 'Base Exámenes'!$I$5:$I$1000, 0))="", "", INDEX('Base Exámenes'!$D$5:$D$1000, MATCH(A656&amp;"|"&amp;J656, 'Base Exámenes'!$I$5:$I$1000, 0))), ""), "")</f>
        <v/>
      </c>
      <c r="H656" s="11" t="str">
        <f>IF(F656="Completado", IFERROR(IF(INDEX('Base Exámenes'!$E$5:$E$1000, MATCH(A656&amp;"|"&amp;J656, 'Base Exámenes'!$I$5:$I$1000, 0))="", "", INDEX('Base Exámenes'!$E$5:$E$1000, MATCH(A656&amp;"|"&amp;J656, 'Base Exámenes'!$I$5:$I$1000, 0))), ""), "")</f>
        <v/>
      </c>
      <c r="I656" s="10" t="str">
        <f>IF(F656="Completado", IFERROR(IF(INDEX('Base Exámenes'!$F$5:$F$1000, MATCH(A656&amp;"|"&amp;J656, 'Base Exámenes'!$I$5:$I$1000, 0))="", "", INDEX('Base Exámenes'!$F$5:$F$1000, MATCH(A656&amp;"|"&amp;J656, 'Base Exámenes'!$I$5:$I$1000, 0))), ""), "")</f>
        <v/>
      </c>
      <c r="J656" s="6" t="str">
        <f>IF(F656="Completado", IF(COUNTIFS('Base Exámenes'!$C$5:$C$1000, A656, 'Base Exámenes'!$G$5:$G$1000, "&lt;&gt;")=0, "", _xlfn.MAXIFS('Base Exámenes'!$G$5:$G$1000, 'Base Exámenes'!$C$5:$C$1000, A656)), "")</f>
        <v/>
      </c>
      <c r="K656" s="6" t="str">
        <f>IF(F656="Completado", IFERROR(IF(INDEX('Base Exámenes'!$H$5:$H$1000, MATCH(A656&amp;"|"&amp;J656, 'Base Exámenes'!$I$5:$I$1000, 0))="", "", INDEX('Base Exámenes'!$H$5:$H$1000, MATCH(A656&amp;"|"&amp;J656, 'Base Exámenes'!$I$5:$I$1000, 0))), ""), "")</f>
        <v/>
      </c>
      <c r="L656" s="22" t="str">
        <f>IF($A656="","",COUNTIF('Base Exámenes'!$C$5:$C$1000, A656))</f>
        <v/>
      </c>
      <c r="M656" s="6" t="str">
        <f>IF($A656="","",IF(COUNTIF('Base Exámenes'!$C$5:$C$1000, A656)&gt;0, "", TRIM('Base Oficial'!H656)))</f>
        <v/>
      </c>
    </row>
    <row r="657">
      <c r="A657" s="4" t="str">
        <f>IF('Base Oficial'!A657="","",TRIM('Base Oficial'!A657))</f>
        <v/>
      </c>
      <c r="B657" s="6" t="str">
        <f>IF($A657="","",TRIM('Base Oficial'!B657))</f>
        <v/>
      </c>
      <c r="C657" s="6" t="str">
        <f>IF($A657="","",TRIM('Base Oficial'!F657))</f>
        <v/>
      </c>
      <c r="D657" s="6" t="str">
        <f>IF($A657="","",TRIM('Base Oficial'!G657))</f>
        <v/>
      </c>
      <c r="E657" s="6" t="str">
        <f>IF($A657="","",TRIM('Base Oficial'!D657))</f>
        <v/>
      </c>
      <c r="F657" s="4" t="str">
        <f>IF($A657="","",IF(COUNTIF('Base Exámenes'!$C$5:$C$1000, A657)&gt;0, "Completado", IF(M657&lt;&gt;"", M657, "Pendiente")))</f>
        <v/>
      </c>
      <c r="G657" s="11" t="str">
        <f>IF(F657="Completado", IFERROR(IF(INDEX('Base Exámenes'!$D$5:$D$1000, MATCH(A657&amp;"|"&amp;J657, 'Base Exámenes'!$I$5:$I$1000, 0))="", "", INDEX('Base Exámenes'!$D$5:$D$1000, MATCH(A657&amp;"|"&amp;J657, 'Base Exámenes'!$I$5:$I$1000, 0))), ""), "")</f>
        <v/>
      </c>
      <c r="H657" s="11" t="str">
        <f>IF(F657="Completado", IFERROR(IF(INDEX('Base Exámenes'!$E$5:$E$1000, MATCH(A657&amp;"|"&amp;J657, 'Base Exámenes'!$I$5:$I$1000, 0))="", "", INDEX('Base Exámenes'!$E$5:$E$1000, MATCH(A657&amp;"|"&amp;J657, 'Base Exámenes'!$I$5:$I$1000, 0))), ""), "")</f>
        <v/>
      </c>
      <c r="I657" s="10" t="str">
        <f>IF(F657="Completado", IFERROR(IF(INDEX('Base Exámenes'!$F$5:$F$1000, MATCH(A657&amp;"|"&amp;J657, 'Base Exámenes'!$I$5:$I$1000, 0))="", "", INDEX('Base Exámenes'!$F$5:$F$1000, MATCH(A657&amp;"|"&amp;J657, 'Base Exámenes'!$I$5:$I$1000, 0))), ""), "")</f>
        <v/>
      </c>
      <c r="J657" s="6" t="str">
        <f>IF(F657="Completado", IF(COUNTIFS('Base Exámenes'!$C$5:$C$1000, A657, 'Base Exámenes'!$G$5:$G$1000, "&lt;&gt;")=0, "", _xlfn.MAXIFS('Base Exámenes'!$G$5:$G$1000, 'Base Exámenes'!$C$5:$C$1000, A657)), "")</f>
        <v/>
      </c>
      <c r="K657" s="6" t="str">
        <f>IF(F657="Completado", IFERROR(IF(INDEX('Base Exámenes'!$H$5:$H$1000, MATCH(A657&amp;"|"&amp;J657, 'Base Exámenes'!$I$5:$I$1000, 0))="", "", INDEX('Base Exámenes'!$H$5:$H$1000, MATCH(A657&amp;"|"&amp;J657, 'Base Exámenes'!$I$5:$I$1000, 0))), ""), "")</f>
        <v/>
      </c>
      <c r="L657" s="22" t="str">
        <f>IF($A657="","",COUNTIF('Base Exámenes'!$C$5:$C$1000, A657))</f>
        <v/>
      </c>
      <c r="M657" s="6" t="str">
        <f>IF($A657="","",IF(COUNTIF('Base Exámenes'!$C$5:$C$1000, A657)&gt;0, "", TRIM('Base Oficial'!H657)))</f>
        <v/>
      </c>
    </row>
    <row r="658">
      <c r="A658" s="4" t="str">
        <f>IF('Base Oficial'!A658="","",TRIM('Base Oficial'!A658))</f>
        <v/>
      </c>
      <c r="B658" s="6" t="str">
        <f>IF($A658="","",TRIM('Base Oficial'!B658))</f>
        <v/>
      </c>
      <c r="C658" s="6" t="str">
        <f>IF($A658="","",TRIM('Base Oficial'!F658))</f>
        <v/>
      </c>
      <c r="D658" s="6" t="str">
        <f>IF($A658="","",TRIM('Base Oficial'!G658))</f>
        <v/>
      </c>
      <c r="E658" s="6" t="str">
        <f>IF($A658="","",TRIM('Base Oficial'!D658))</f>
        <v/>
      </c>
      <c r="F658" s="4" t="str">
        <f>IF($A658="","",IF(COUNTIF('Base Exámenes'!$C$5:$C$1000, A658)&gt;0, "Completado", IF(M658&lt;&gt;"", M658, "Pendiente")))</f>
        <v/>
      </c>
      <c r="G658" s="11" t="str">
        <f>IF(F658="Completado", IFERROR(IF(INDEX('Base Exámenes'!$D$5:$D$1000, MATCH(A658&amp;"|"&amp;J658, 'Base Exámenes'!$I$5:$I$1000, 0))="", "", INDEX('Base Exámenes'!$D$5:$D$1000, MATCH(A658&amp;"|"&amp;J658, 'Base Exámenes'!$I$5:$I$1000, 0))), ""), "")</f>
        <v/>
      </c>
      <c r="H658" s="11" t="str">
        <f>IF(F658="Completado", IFERROR(IF(INDEX('Base Exámenes'!$E$5:$E$1000, MATCH(A658&amp;"|"&amp;J658, 'Base Exámenes'!$I$5:$I$1000, 0))="", "", INDEX('Base Exámenes'!$E$5:$E$1000, MATCH(A658&amp;"|"&amp;J658, 'Base Exámenes'!$I$5:$I$1000, 0))), ""), "")</f>
        <v/>
      </c>
      <c r="I658" s="10" t="str">
        <f>IF(F658="Completado", IFERROR(IF(INDEX('Base Exámenes'!$F$5:$F$1000, MATCH(A658&amp;"|"&amp;J658, 'Base Exámenes'!$I$5:$I$1000, 0))="", "", INDEX('Base Exámenes'!$F$5:$F$1000, MATCH(A658&amp;"|"&amp;J658, 'Base Exámenes'!$I$5:$I$1000, 0))), ""), "")</f>
        <v/>
      </c>
      <c r="J658" s="6" t="str">
        <f>IF(F658="Completado", IF(COUNTIFS('Base Exámenes'!$C$5:$C$1000, A658, 'Base Exámenes'!$G$5:$G$1000, "&lt;&gt;")=0, "", _xlfn.MAXIFS('Base Exámenes'!$G$5:$G$1000, 'Base Exámenes'!$C$5:$C$1000, A658)), "")</f>
        <v/>
      </c>
      <c r="K658" s="6" t="str">
        <f>IF(F658="Completado", IFERROR(IF(INDEX('Base Exámenes'!$H$5:$H$1000, MATCH(A658&amp;"|"&amp;J658, 'Base Exámenes'!$I$5:$I$1000, 0))="", "", INDEX('Base Exámenes'!$H$5:$H$1000, MATCH(A658&amp;"|"&amp;J658, 'Base Exámenes'!$I$5:$I$1000, 0))), ""), "")</f>
        <v/>
      </c>
      <c r="L658" s="22" t="str">
        <f>IF($A658="","",COUNTIF('Base Exámenes'!$C$5:$C$1000, A658))</f>
        <v/>
      </c>
      <c r="M658" s="6" t="str">
        <f>IF($A658="","",IF(COUNTIF('Base Exámenes'!$C$5:$C$1000, A658)&gt;0, "", TRIM('Base Oficial'!H658)))</f>
        <v/>
      </c>
    </row>
    <row r="659">
      <c r="A659" s="4" t="str">
        <f>IF('Base Oficial'!A659="","",TRIM('Base Oficial'!A659))</f>
        <v/>
      </c>
      <c r="B659" s="6" t="str">
        <f>IF($A659="","",TRIM('Base Oficial'!B659))</f>
        <v/>
      </c>
      <c r="C659" s="6" t="str">
        <f>IF($A659="","",TRIM('Base Oficial'!F659))</f>
        <v/>
      </c>
      <c r="D659" s="6" t="str">
        <f>IF($A659="","",TRIM('Base Oficial'!G659))</f>
        <v/>
      </c>
      <c r="E659" s="6" t="str">
        <f>IF($A659="","",TRIM('Base Oficial'!D659))</f>
        <v/>
      </c>
      <c r="F659" s="4" t="str">
        <f>IF($A659="","",IF(COUNTIF('Base Exámenes'!$C$5:$C$1000, A659)&gt;0, "Completado", IF(M659&lt;&gt;"", M659, "Pendiente")))</f>
        <v/>
      </c>
      <c r="G659" s="11" t="str">
        <f>IF(F659="Completado", IFERROR(IF(INDEX('Base Exámenes'!$D$5:$D$1000, MATCH(A659&amp;"|"&amp;J659, 'Base Exámenes'!$I$5:$I$1000, 0))="", "", INDEX('Base Exámenes'!$D$5:$D$1000, MATCH(A659&amp;"|"&amp;J659, 'Base Exámenes'!$I$5:$I$1000, 0))), ""), "")</f>
        <v/>
      </c>
      <c r="H659" s="11" t="str">
        <f>IF(F659="Completado", IFERROR(IF(INDEX('Base Exámenes'!$E$5:$E$1000, MATCH(A659&amp;"|"&amp;J659, 'Base Exámenes'!$I$5:$I$1000, 0))="", "", INDEX('Base Exámenes'!$E$5:$E$1000, MATCH(A659&amp;"|"&amp;J659, 'Base Exámenes'!$I$5:$I$1000, 0))), ""), "")</f>
        <v/>
      </c>
      <c r="I659" s="10" t="str">
        <f>IF(F659="Completado", IFERROR(IF(INDEX('Base Exámenes'!$F$5:$F$1000, MATCH(A659&amp;"|"&amp;J659, 'Base Exámenes'!$I$5:$I$1000, 0))="", "", INDEX('Base Exámenes'!$F$5:$F$1000, MATCH(A659&amp;"|"&amp;J659, 'Base Exámenes'!$I$5:$I$1000, 0))), ""), "")</f>
        <v/>
      </c>
      <c r="J659" s="6" t="str">
        <f>IF(F659="Completado", IF(COUNTIFS('Base Exámenes'!$C$5:$C$1000, A659, 'Base Exámenes'!$G$5:$G$1000, "&lt;&gt;")=0, "", _xlfn.MAXIFS('Base Exámenes'!$G$5:$G$1000, 'Base Exámenes'!$C$5:$C$1000, A659)), "")</f>
        <v/>
      </c>
      <c r="K659" s="6" t="str">
        <f>IF(F659="Completado", IFERROR(IF(INDEX('Base Exámenes'!$H$5:$H$1000, MATCH(A659&amp;"|"&amp;J659, 'Base Exámenes'!$I$5:$I$1000, 0))="", "", INDEX('Base Exámenes'!$H$5:$H$1000, MATCH(A659&amp;"|"&amp;J659, 'Base Exámenes'!$I$5:$I$1000, 0))), ""), "")</f>
        <v/>
      </c>
      <c r="L659" s="22" t="str">
        <f>IF($A659="","",COUNTIF('Base Exámenes'!$C$5:$C$1000, A659))</f>
        <v/>
      </c>
      <c r="M659" s="6" t="str">
        <f>IF($A659="","",IF(COUNTIF('Base Exámenes'!$C$5:$C$1000, A659)&gt;0, "", TRIM('Base Oficial'!H659)))</f>
        <v/>
      </c>
    </row>
    <row r="660">
      <c r="A660" s="4" t="str">
        <f>IF('Base Oficial'!A660="","",TRIM('Base Oficial'!A660))</f>
        <v/>
      </c>
      <c r="B660" s="6" t="str">
        <f>IF($A660="","",TRIM('Base Oficial'!B660))</f>
        <v/>
      </c>
      <c r="C660" s="6" t="str">
        <f>IF($A660="","",TRIM('Base Oficial'!F660))</f>
        <v/>
      </c>
      <c r="D660" s="6" t="str">
        <f>IF($A660="","",TRIM('Base Oficial'!G660))</f>
        <v/>
      </c>
      <c r="E660" s="6" t="str">
        <f>IF($A660="","",TRIM('Base Oficial'!D660))</f>
        <v/>
      </c>
      <c r="F660" s="4" t="str">
        <f>IF($A660="","",IF(COUNTIF('Base Exámenes'!$C$5:$C$1000, A660)&gt;0, "Completado", IF(M660&lt;&gt;"", M660, "Pendiente")))</f>
        <v/>
      </c>
      <c r="G660" s="11" t="str">
        <f>IF(F660="Completado", IFERROR(IF(INDEX('Base Exámenes'!$D$5:$D$1000, MATCH(A660&amp;"|"&amp;J660, 'Base Exámenes'!$I$5:$I$1000, 0))="", "", INDEX('Base Exámenes'!$D$5:$D$1000, MATCH(A660&amp;"|"&amp;J660, 'Base Exámenes'!$I$5:$I$1000, 0))), ""), "")</f>
        <v/>
      </c>
      <c r="H660" s="11" t="str">
        <f>IF(F660="Completado", IFERROR(IF(INDEX('Base Exámenes'!$E$5:$E$1000, MATCH(A660&amp;"|"&amp;J660, 'Base Exámenes'!$I$5:$I$1000, 0))="", "", INDEX('Base Exámenes'!$E$5:$E$1000, MATCH(A660&amp;"|"&amp;J660, 'Base Exámenes'!$I$5:$I$1000, 0))), ""), "")</f>
        <v/>
      </c>
      <c r="I660" s="10" t="str">
        <f>IF(F660="Completado", IFERROR(IF(INDEX('Base Exámenes'!$F$5:$F$1000, MATCH(A660&amp;"|"&amp;J660, 'Base Exámenes'!$I$5:$I$1000, 0))="", "", INDEX('Base Exámenes'!$F$5:$F$1000, MATCH(A660&amp;"|"&amp;J660, 'Base Exámenes'!$I$5:$I$1000, 0))), ""), "")</f>
        <v/>
      </c>
      <c r="J660" s="6" t="str">
        <f>IF(F660="Completado", IF(COUNTIFS('Base Exámenes'!$C$5:$C$1000, A660, 'Base Exámenes'!$G$5:$G$1000, "&lt;&gt;")=0, "", _xlfn.MAXIFS('Base Exámenes'!$G$5:$G$1000, 'Base Exámenes'!$C$5:$C$1000, A660)), "")</f>
        <v/>
      </c>
      <c r="K660" s="6" t="str">
        <f>IF(F660="Completado", IFERROR(IF(INDEX('Base Exámenes'!$H$5:$H$1000, MATCH(A660&amp;"|"&amp;J660, 'Base Exámenes'!$I$5:$I$1000, 0))="", "", INDEX('Base Exámenes'!$H$5:$H$1000, MATCH(A660&amp;"|"&amp;J660, 'Base Exámenes'!$I$5:$I$1000, 0))), ""), "")</f>
        <v/>
      </c>
      <c r="L660" s="22" t="str">
        <f>IF($A660="","",COUNTIF('Base Exámenes'!$C$5:$C$1000, A660))</f>
        <v/>
      </c>
      <c r="M660" s="6" t="str">
        <f>IF($A660="","",IF(COUNTIF('Base Exámenes'!$C$5:$C$1000, A660)&gt;0, "", TRIM('Base Oficial'!H660)))</f>
        <v/>
      </c>
    </row>
    <row r="661">
      <c r="A661" s="4" t="str">
        <f>IF('Base Oficial'!A661="","",TRIM('Base Oficial'!A661))</f>
        <v/>
      </c>
      <c r="B661" s="6" t="str">
        <f>IF($A661="","",TRIM('Base Oficial'!B661))</f>
        <v/>
      </c>
      <c r="C661" s="6" t="str">
        <f>IF($A661="","",TRIM('Base Oficial'!F661))</f>
        <v/>
      </c>
      <c r="D661" s="6" t="str">
        <f>IF($A661="","",TRIM('Base Oficial'!G661))</f>
        <v/>
      </c>
      <c r="E661" s="6" t="str">
        <f>IF($A661="","",TRIM('Base Oficial'!D661))</f>
        <v/>
      </c>
      <c r="F661" s="4" t="str">
        <f>IF($A661="","",IF(COUNTIF('Base Exámenes'!$C$5:$C$1000, A661)&gt;0, "Completado", IF(M661&lt;&gt;"", M661, "Pendiente")))</f>
        <v/>
      </c>
      <c r="G661" s="11" t="str">
        <f>IF(F661="Completado", IFERROR(IF(INDEX('Base Exámenes'!$D$5:$D$1000, MATCH(A661&amp;"|"&amp;J661, 'Base Exámenes'!$I$5:$I$1000, 0))="", "", INDEX('Base Exámenes'!$D$5:$D$1000, MATCH(A661&amp;"|"&amp;J661, 'Base Exámenes'!$I$5:$I$1000, 0))), ""), "")</f>
        <v/>
      </c>
      <c r="H661" s="11" t="str">
        <f>IF(F661="Completado", IFERROR(IF(INDEX('Base Exámenes'!$E$5:$E$1000, MATCH(A661&amp;"|"&amp;J661, 'Base Exámenes'!$I$5:$I$1000, 0))="", "", INDEX('Base Exámenes'!$E$5:$E$1000, MATCH(A661&amp;"|"&amp;J661, 'Base Exámenes'!$I$5:$I$1000, 0))), ""), "")</f>
        <v/>
      </c>
      <c r="I661" s="10" t="str">
        <f>IF(F661="Completado", IFERROR(IF(INDEX('Base Exámenes'!$F$5:$F$1000, MATCH(A661&amp;"|"&amp;J661, 'Base Exámenes'!$I$5:$I$1000, 0))="", "", INDEX('Base Exámenes'!$F$5:$F$1000, MATCH(A661&amp;"|"&amp;J661, 'Base Exámenes'!$I$5:$I$1000, 0))), ""), "")</f>
        <v/>
      </c>
      <c r="J661" s="6" t="str">
        <f>IF(F661="Completado", IF(COUNTIFS('Base Exámenes'!$C$5:$C$1000, A661, 'Base Exámenes'!$G$5:$G$1000, "&lt;&gt;")=0, "", _xlfn.MAXIFS('Base Exámenes'!$G$5:$G$1000, 'Base Exámenes'!$C$5:$C$1000, A661)), "")</f>
        <v/>
      </c>
      <c r="K661" s="6" t="str">
        <f>IF(F661="Completado", IFERROR(IF(INDEX('Base Exámenes'!$H$5:$H$1000, MATCH(A661&amp;"|"&amp;J661, 'Base Exámenes'!$I$5:$I$1000, 0))="", "", INDEX('Base Exámenes'!$H$5:$H$1000, MATCH(A661&amp;"|"&amp;J661, 'Base Exámenes'!$I$5:$I$1000, 0))), ""), "")</f>
        <v/>
      </c>
      <c r="L661" s="22" t="str">
        <f>IF($A661="","",COUNTIF('Base Exámenes'!$C$5:$C$1000, A661))</f>
        <v/>
      </c>
      <c r="M661" s="6" t="str">
        <f>IF($A661="","",IF(COUNTIF('Base Exámenes'!$C$5:$C$1000, A661)&gt;0, "", TRIM('Base Oficial'!H661)))</f>
        <v/>
      </c>
    </row>
    <row r="662">
      <c r="A662" s="4" t="str">
        <f>IF('Base Oficial'!A662="","",TRIM('Base Oficial'!A662))</f>
        <v/>
      </c>
      <c r="B662" s="6" t="str">
        <f>IF($A662="","",TRIM('Base Oficial'!B662))</f>
        <v/>
      </c>
      <c r="C662" s="6" t="str">
        <f>IF($A662="","",TRIM('Base Oficial'!F662))</f>
        <v/>
      </c>
      <c r="D662" s="6" t="str">
        <f>IF($A662="","",TRIM('Base Oficial'!G662))</f>
        <v/>
      </c>
      <c r="E662" s="6" t="str">
        <f>IF($A662="","",TRIM('Base Oficial'!D662))</f>
        <v/>
      </c>
      <c r="F662" s="4" t="str">
        <f>IF($A662="","",IF(COUNTIF('Base Exámenes'!$C$5:$C$1000, A662)&gt;0, "Completado", IF(M662&lt;&gt;"", M662, "Pendiente")))</f>
        <v/>
      </c>
      <c r="G662" s="11" t="str">
        <f>IF(F662="Completado", IFERROR(IF(INDEX('Base Exámenes'!$D$5:$D$1000, MATCH(A662&amp;"|"&amp;J662, 'Base Exámenes'!$I$5:$I$1000, 0))="", "", INDEX('Base Exámenes'!$D$5:$D$1000, MATCH(A662&amp;"|"&amp;J662, 'Base Exámenes'!$I$5:$I$1000, 0))), ""), "")</f>
        <v/>
      </c>
      <c r="H662" s="11" t="str">
        <f>IF(F662="Completado", IFERROR(IF(INDEX('Base Exámenes'!$E$5:$E$1000, MATCH(A662&amp;"|"&amp;J662, 'Base Exámenes'!$I$5:$I$1000, 0))="", "", INDEX('Base Exámenes'!$E$5:$E$1000, MATCH(A662&amp;"|"&amp;J662, 'Base Exámenes'!$I$5:$I$1000, 0))), ""), "")</f>
        <v/>
      </c>
      <c r="I662" s="10" t="str">
        <f>IF(F662="Completado", IFERROR(IF(INDEX('Base Exámenes'!$F$5:$F$1000, MATCH(A662&amp;"|"&amp;J662, 'Base Exámenes'!$I$5:$I$1000, 0))="", "", INDEX('Base Exámenes'!$F$5:$F$1000, MATCH(A662&amp;"|"&amp;J662, 'Base Exámenes'!$I$5:$I$1000, 0))), ""), "")</f>
        <v/>
      </c>
      <c r="J662" s="6" t="str">
        <f>IF(F662="Completado", IF(COUNTIFS('Base Exámenes'!$C$5:$C$1000, A662, 'Base Exámenes'!$G$5:$G$1000, "&lt;&gt;")=0, "", _xlfn.MAXIFS('Base Exámenes'!$G$5:$G$1000, 'Base Exámenes'!$C$5:$C$1000, A662)), "")</f>
        <v/>
      </c>
      <c r="K662" s="6" t="str">
        <f>IF(F662="Completado", IFERROR(IF(INDEX('Base Exámenes'!$H$5:$H$1000, MATCH(A662&amp;"|"&amp;J662, 'Base Exámenes'!$I$5:$I$1000, 0))="", "", INDEX('Base Exámenes'!$H$5:$H$1000, MATCH(A662&amp;"|"&amp;J662, 'Base Exámenes'!$I$5:$I$1000, 0))), ""), "")</f>
        <v/>
      </c>
      <c r="L662" s="22" t="str">
        <f>IF($A662="","",COUNTIF('Base Exámenes'!$C$5:$C$1000, A662))</f>
        <v/>
      </c>
      <c r="M662" s="6" t="str">
        <f>IF($A662="","",IF(COUNTIF('Base Exámenes'!$C$5:$C$1000, A662)&gt;0, "", TRIM('Base Oficial'!H662)))</f>
        <v/>
      </c>
    </row>
    <row r="663">
      <c r="A663" s="4" t="str">
        <f>IF('Base Oficial'!A663="","",TRIM('Base Oficial'!A663))</f>
        <v/>
      </c>
      <c r="B663" s="6" t="str">
        <f>IF($A663="","",TRIM('Base Oficial'!B663))</f>
        <v/>
      </c>
      <c r="C663" s="6" t="str">
        <f>IF($A663="","",TRIM('Base Oficial'!F663))</f>
        <v/>
      </c>
      <c r="D663" s="6" t="str">
        <f>IF($A663="","",TRIM('Base Oficial'!G663))</f>
        <v/>
      </c>
      <c r="E663" s="6" t="str">
        <f>IF($A663="","",TRIM('Base Oficial'!D663))</f>
        <v/>
      </c>
      <c r="F663" s="4" t="str">
        <f>IF($A663="","",IF(COUNTIF('Base Exámenes'!$C$5:$C$1000, A663)&gt;0, "Completado", IF(M663&lt;&gt;"", M663, "Pendiente")))</f>
        <v/>
      </c>
      <c r="G663" s="11" t="str">
        <f>IF(F663="Completado", IFERROR(IF(INDEX('Base Exámenes'!$D$5:$D$1000, MATCH(A663&amp;"|"&amp;J663, 'Base Exámenes'!$I$5:$I$1000, 0))="", "", INDEX('Base Exámenes'!$D$5:$D$1000, MATCH(A663&amp;"|"&amp;J663, 'Base Exámenes'!$I$5:$I$1000, 0))), ""), "")</f>
        <v/>
      </c>
      <c r="H663" s="11" t="str">
        <f>IF(F663="Completado", IFERROR(IF(INDEX('Base Exámenes'!$E$5:$E$1000, MATCH(A663&amp;"|"&amp;J663, 'Base Exámenes'!$I$5:$I$1000, 0))="", "", INDEX('Base Exámenes'!$E$5:$E$1000, MATCH(A663&amp;"|"&amp;J663, 'Base Exámenes'!$I$5:$I$1000, 0))), ""), "")</f>
        <v/>
      </c>
      <c r="I663" s="10" t="str">
        <f>IF(F663="Completado", IFERROR(IF(INDEX('Base Exámenes'!$F$5:$F$1000, MATCH(A663&amp;"|"&amp;J663, 'Base Exámenes'!$I$5:$I$1000, 0))="", "", INDEX('Base Exámenes'!$F$5:$F$1000, MATCH(A663&amp;"|"&amp;J663, 'Base Exámenes'!$I$5:$I$1000, 0))), ""), "")</f>
        <v/>
      </c>
      <c r="J663" s="6" t="str">
        <f>IF(F663="Completado", IF(COUNTIFS('Base Exámenes'!$C$5:$C$1000, A663, 'Base Exámenes'!$G$5:$G$1000, "&lt;&gt;")=0, "", _xlfn.MAXIFS('Base Exámenes'!$G$5:$G$1000, 'Base Exámenes'!$C$5:$C$1000, A663)), "")</f>
        <v/>
      </c>
      <c r="K663" s="6" t="str">
        <f>IF(F663="Completado", IFERROR(IF(INDEX('Base Exámenes'!$H$5:$H$1000, MATCH(A663&amp;"|"&amp;J663, 'Base Exámenes'!$I$5:$I$1000, 0))="", "", INDEX('Base Exámenes'!$H$5:$H$1000, MATCH(A663&amp;"|"&amp;J663, 'Base Exámenes'!$I$5:$I$1000, 0))), ""), "")</f>
        <v/>
      </c>
      <c r="L663" s="22" t="str">
        <f>IF($A663="","",COUNTIF('Base Exámenes'!$C$5:$C$1000, A663))</f>
        <v/>
      </c>
      <c r="M663" s="6" t="str">
        <f>IF($A663="","",IF(COUNTIF('Base Exámenes'!$C$5:$C$1000, A663)&gt;0, "", TRIM('Base Oficial'!H663)))</f>
        <v/>
      </c>
    </row>
    <row r="664">
      <c r="A664" s="4" t="str">
        <f>IF('Base Oficial'!A664="","",TRIM('Base Oficial'!A664))</f>
        <v/>
      </c>
      <c r="B664" s="6" t="str">
        <f>IF($A664="","",TRIM('Base Oficial'!B664))</f>
        <v/>
      </c>
      <c r="C664" s="6" t="str">
        <f>IF($A664="","",TRIM('Base Oficial'!F664))</f>
        <v/>
      </c>
      <c r="D664" s="6" t="str">
        <f>IF($A664="","",TRIM('Base Oficial'!G664))</f>
        <v/>
      </c>
      <c r="E664" s="6" t="str">
        <f>IF($A664="","",TRIM('Base Oficial'!D664))</f>
        <v/>
      </c>
      <c r="F664" s="4" t="str">
        <f>IF($A664="","",IF(COUNTIF('Base Exámenes'!$C$5:$C$1000, A664)&gt;0, "Completado", IF(M664&lt;&gt;"", M664, "Pendiente")))</f>
        <v/>
      </c>
      <c r="G664" s="11" t="str">
        <f>IF(F664="Completado", IFERROR(IF(INDEX('Base Exámenes'!$D$5:$D$1000, MATCH(A664&amp;"|"&amp;J664, 'Base Exámenes'!$I$5:$I$1000, 0))="", "", INDEX('Base Exámenes'!$D$5:$D$1000, MATCH(A664&amp;"|"&amp;J664, 'Base Exámenes'!$I$5:$I$1000, 0))), ""), "")</f>
        <v/>
      </c>
      <c r="H664" s="11" t="str">
        <f>IF(F664="Completado", IFERROR(IF(INDEX('Base Exámenes'!$E$5:$E$1000, MATCH(A664&amp;"|"&amp;J664, 'Base Exámenes'!$I$5:$I$1000, 0))="", "", INDEX('Base Exámenes'!$E$5:$E$1000, MATCH(A664&amp;"|"&amp;J664, 'Base Exámenes'!$I$5:$I$1000, 0))), ""), "")</f>
        <v/>
      </c>
      <c r="I664" s="10" t="str">
        <f>IF(F664="Completado", IFERROR(IF(INDEX('Base Exámenes'!$F$5:$F$1000, MATCH(A664&amp;"|"&amp;J664, 'Base Exámenes'!$I$5:$I$1000, 0))="", "", INDEX('Base Exámenes'!$F$5:$F$1000, MATCH(A664&amp;"|"&amp;J664, 'Base Exámenes'!$I$5:$I$1000, 0))), ""), "")</f>
        <v/>
      </c>
      <c r="J664" s="6" t="str">
        <f>IF(F664="Completado", IF(COUNTIFS('Base Exámenes'!$C$5:$C$1000, A664, 'Base Exámenes'!$G$5:$G$1000, "&lt;&gt;")=0, "", _xlfn.MAXIFS('Base Exámenes'!$G$5:$G$1000, 'Base Exámenes'!$C$5:$C$1000, A664)), "")</f>
        <v/>
      </c>
      <c r="K664" s="6" t="str">
        <f>IF(F664="Completado", IFERROR(IF(INDEX('Base Exámenes'!$H$5:$H$1000, MATCH(A664&amp;"|"&amp;J664, 'Base Exámenes'!$I$5:$I$1000, 0))="", "", INDEX('Base Exámenes'!$H$5:$H$1000, MATCH(A664&amp;"|"&amp;J664, 'Base Exámenes'!$I$5:$I$1000, 0))), ""), "")</f>
        <v/>
      </c>
      <c r="L664" s="22" t="str">
        <f>IF($A664="","",COUNTIF('Base Exámenes'!$C$5:$C$1000, A664))</f>
        <v/>
      </c>
      <c r="M664" s="6" t="str">
        <f>IF($A664="","",IF(COUNTIF('Base Exámenes'!$C$5:$C$1000, A664)&gt;0, "", TRIM('Base Oficial'!H664)))</f>
        <v/>
      </c>
    </row>
    <row r="665">
      <c r="A665" s="4" t="str">
        <f>IF('Base Oficial'!A665="","",TRIM('Base Oficial'!A665))</f>
        <v/>
      </c>
      <c r="B665" s="6" t="str">
        <f>IF($A665="","",TRIM('Base Oficial'!B665))</f>
        <v/>
      </c>
      <c r="C665" s="6" t="str">
        <f>IF($A665="","",TRIM('Base Oficial'!F665))</f>
        <v/>
      </c>
      <c r="D665" s="6" t="str">
        <f>IF($A665="","",TRIM('Base Oficial'!G665))</f>
        <v/>
      </c>
      <c r="E665" s="6" t="str">
        <f>IF($A665="","",TRIM('Base Oficial'!D665))</f>
        <v/>
      </c>
      <c r="F665" s="4" t="str">
        <f>IF($A665="","",IF(COUNTIF('Base Exámenes'!$C$5:$C$1000, A665)&gt;0, "Completado", IF(M665&lt;&gt;"", M665, "Pendiente")))</f>
        <v/>
      </c>
      <c r="G665" s="11" t="str">
        <f>IF(F665="Completado", IFERROR(IF(INDEX('Base Exámenes'!$D$5:$D$1000, MATCH(A665&amp;"|"&amp;J665, 'Base Exámenes'!$I$5:$I$1000, 0))="", "", INDEX('Base Exámenes'!$D$5:$D$1000, MATCH(A665&amp;"|"&amp;J665, 'Base Exámenes'!$I$5:$I$1000, 0))), ""), "")</f>
        <v/>
      </c>
      <c r="H665" s="11" t="str">
        <f>IF(F665="Completado", IFERROR(IF(INDEX('Base Exámenes'!$E$5:$E$1000, MATCH(A665&amp;"|"&amp;J665, 'Base Exámenes'!$I$5:$I$1000, 0))="", "", INDEX('Base Exámenes'!$E$5:$E$1000, MATCH(A665&amp;"|"&amp;J665, 'Base Exámenes'!$I$5:$I$1000, 0))), ""), "")</f>
        <v/>
      </c>
      <c r="I665" s="10" t="str">
        <f>IF(F665="Completado", IFERROR(IF(INDEX('Base Exámenes'!$F$5:$F$1000, MATCH(A665&amp;"|"&amp;J665, 'Base Exámenes'!$I$5:$I$1000, 0))="", "", INDEX('Base Exámenes'!$F$5:$F$1000, MATCH(A665&amp;"|"&amp;J665, 'Base Exámenes'!$I$5:$I$1000, 0))), ""), "")</f>
        <v/>
      </c>
      <c r="J665" s="6" t="str">
        <f>IF(F665="Completado", IF(COUNTIFS('Base Exámenes'!$C$5:$C$1000, A665, 'Base Exámenes'!$G$5:$G$1000, "&lt;&gt;")=0, "", _xlfn.MAXIFS('Base Exámenes'!$G$5:$G$1000, 'Base Exámenes'!$C$5:$C$1000, A665)), "")</f>
        <v/>
      </c>
      <c r="K665" s="6" t="str">
        <f>IF(F665="Completado", IFERROR(IF(INDEX('Base Exámenes'!$H$5:$H$1000, MATCH(A665&amp;"|"&amp;J665, 'Base Exámenes'!$I$5:$I$1000, 0))="", "", INDEX('Base Exámenes'!$H$5:$H$1000, MATCH(A665&amp;"|"&amp;J665, 'Base Exámenes'!$I$5:$I$1000, 0))), ""), "")</f>
        <v/>
      </c>
      <c r="L665" s="22" t="str">
        <f>IF($A665="","",COUNTIF('Base Exámenes'!$C$5:$C$1000, A665))</f>
        <v/>
      </c>
      <c r="M665" s="6" t="str">
        <f>IF($A665="","",IF(COUNTIF('Base Exámenes'!$C$5:$C$1000, A665)&gt;0, "", TRIM('Base Oficial'!H665)))</f>
        <v/>
      </c>
    </row>
    <row r="666">
      <c r="A666" s="4" t="str">
        <f>IF('Base Oficial'!A666="","",TRIM('Base Oficial'!A666))</f>
        <v/>
      </c>
      <c r="B666" s="6" t="str">
        <f>IF($A666="","",TRIM('Base Oficial'!B666))</f>
        <v/>
      </c>
      <c r="C666" s="6" t="str">
        <f>IF($A666="","",TRIM('Base Oficial'!F666))</f>
        <v/>
      </c>
      <c r="D666" s="6" t="str">
        <f>IF($A666="","",TRIM('Base Oficial'!G666))</f>
        <v/>
      </c>
      <c r="E666" s="6" t="str">
        <f>IF($A666="","",TRIM('Base Oficial'!D666))</f>
        <v/>
      </c>
      <c r="F666" s="4" t="str">
        <f>IF($A666="","",IF(COUNTIF('Base Exámenes'!$C$5:$C$1000, A666)&gt;0, "Completado", IF(M666&lt;&gt;"", M666, "Pendiente")))</f>
        <v/>
      </c>
      <c r="G666" s="11" t="str">
        <f>IF(F666="Completado", IFERROR(IF(INDEX('Base Exámenes'!$D$5:$D$1000, MATCH(A666&amp;"|"&amp;J666, 'Base Exámenes'!$I$5:$I$1000, 0))="", "", INDEX('Base Exámenes'!$D$5:$D$1000, MATCH(A666&amp;"|"&amp;J666, 'Base Exámenes'!$I$5:$I$1000, 0))), ""), "")</f>
        <v/>
      </c>
      <c r="H666" s="11" t="str">
        <f>IF(F666="Completado", IFERROR(IF(INDEX('Base Exámenes'!$E$5:$E$1000, MATCH(A666&amp;"|"&amp;J666, 'Base Exámenes'!$I$5:$I$1000, 0))="", "", INDEX('Base Exámenes'!$E$5:$E$1000, MATCH(A666&amp;"|"&amp;J666, 'Base Exámenes'!$I$5:$I$1000, 0))), ""), "")</f>
        <v/>
      </c>
      <c r="I666" s="10" t="str">
        <f>IF(F666="Completado", IFERROR(IF(INDEX('Base Exámenes'!$F$5:$F$1000, MATCH(A666&amp;"|"&amp;J666, 'Base Exámenes'!$I$5:$I$1000, 0))="", "", INDEX('Base Exámenes'!$F$5:$F$1000, MATCH(A666&amp;"|"&amp;J666, 'Base Exámenes'!$I$5:$I$1000, 0))), ""), "")</f>
        <v/>
      </c>
      <c r="J666" s="6" t="str">
        <f>IF(F666="Completado", IF(COUNTIFS('Base Exámenes'!$C$5:$C$1000, A666, 'Base Exámenes'!$G$5:$G$1000, "&lt;&gt;")=0, "", _xlfn.MAXIFS('Base Exámenes'!$G$5:$G$1000, 'Base Exámenes'!$C$5:$C$1000, A666)), "")</f>
        <v/>
      </c>
      <c r="K666" s="6" t="str">
        <f>IF(F666="Completado", IFERROR(IF(INDEX('Base Exámenes'!$H$5:$H$1000, MATCH(A666&amp;"|"&amp;J666, 'Base Exámenes'!$I$5:$I$1000, 0))="", "", INDEX('Base Exámenes'!$H$5:$H$1000, MATCH(A666&amp;"|"&amp;J666, 'Base Exámenes'!$I$5:$I$1000, 0))), ""), "")</f>
        <v/>
      </c>
      <c r="L666" s="22" t="str">
        <f>IF($A666="","",COUNTIF('Base Exámenes'!$C$5:$C$1000, A666))</f>
        <v/>
      </c>
      <c r="M666" s="6" t="str">
        <f>IF($A666="","",IF(COUNTIF('Base Exámenes'!$C$5:$C$1000, A666)&gt;0, "", TRIM('Base Oficial'!H666)))</f>
        <v/>
      </c>
    </row>
    <row r="667">
      <c r="A667" s="4" t="str">
        <f>IF('Base Oficial'!A667="","",TRIM('Base Oficial'!A667))</f>
        <v/>
      </c>
      <c r="B667" s="6" t="str">
        <f>IF($A667="","",TRIM('Base Oficial'!B667))</f>
        <v/>
      </c>
      <c r="C667" s="6" t="str">
        <f>IF($A667="","",TRIM('Base Oficial'!F667))</f>
        <v/>
      </c>
      <c r="D667" s="6" t="str">
        <f>IF($A667="","",TRIM('Base Oficial'!G667))</f>
        <v/>
      </c>
      <c r="E667" s="6" t="str">
        <f>IF($A667="","",TRIM('Base Oficial'!D667))</f>
        <v/>
      </c>
      <c r="F667" s="4" t="str">
        <f>IF($A667="","",IF(COUNTIF('Base Exámenes'!$C$5:$C$1000, A667)&gt;0, "Completado", IF(M667&lt;&gt;"", M667, "Pendiente")))</f>
        <v/>
      </c>
      <c r="G667" s="11" t="str">
        <f>IF(F667="Completado", IFERROR(IF(INDEX('Base Exámenes'!$D$5:$D$1000, MATCH(A667&amp;"|"&amp;J667, 'Base Exámenes'!$I$5:$I$1000, 0))="", "", INDEX('Base Exámenes'!$D$5:$D$1000, MATCH(A667&amp;"|"&amp;J667, 'Base Exámenes'!$I$5:$I$1000, 0))), ""), "")</f>
        <v/>
      </c>
      <c r="H667" s="11" t="str">
        <f>IF(F667="Completado", IFERROR(IF(INDEX('Base Exámenes'!$E$5:$E$1000, MATCH(A667&amp;"|"&amp;J667, 'Base Exámenes'!$I$5:$I$1000, 0))="", "", INDEX('Base Exámenes'!$E$5:$E$1000, MATCH(A667&amp;"|"&amp;J667, 'Base Exámenes'!$I$5:$I$1000, 0))), ""), "")</f>
        <v/>
      </c>
      <c r="I667" s="10" t="str">
        <f>IF(F667="Completado", IFERROR(IF(INDEX('Base Exámenes'!$F$5:$F$1000, MATCH(A667&amp;"|"&amp;J667, 'Base Exámenes'!$I$5:$I$1000, 0))="", "", INDEX('Base Exámenes'!$F$5:$F$1000, MATCH(A667&amp;"|"&amp;J667, 'Base Exámenes'!$I$5:$I$1000, 0))), ""), "")</f>
        <v/>
      </c>
      <c r="J667" s="6" t="str">
        <f>IF(F667="Completado", IF(COUNTIFS('Base Exámenes'!$C$5:$C$1000, A667, 'Base Exámenes'!$G$5:$G$1000, "&lt;&gt;")=0, "", _xlfn.MAXIFS('Base Exámenes'!$G$5:$G$1000, 'Base Exámenes'!$C$5:$C$1000, A667)), "")</f>
        <v/>
      </c>
      <c r="K667" s="6" t="str">
        <f>IF(F667="Completado", IFERROR(IF(INDEX('Base Exámenes'!$H$5:$H$1000, MATCH(A667&amp;"|"&amp;J667, 'Base Exámenes'!$I$5:$I$1000, 0))="", "", INDEX('Base Exámenes'!$H$5:$H$1000, MATCH(A667&amp;"|"&amp;J667, 'Base Exámenes'!$I$5:$I$1000, 0))), ""), "")</f>
        <v/>
      </c>
      <c r="L667" s="22" t="str">
        <f>IF($A667="","",COUNTIF('Base Exámenes'!$C$5:$C$1000, A667))</f>
        <v/>
      </c>
      <c r="M667" s="6" t="str">
        <f>IF($A667="","",IF(COUNTIF('Base Exámenes'!$C$5:$C$1000, A667)&gt;0, "", TRIM('Base Oficial'!H667)))</f>
        <v/>
      </c>
    </row>
    <row r="668">
      <c r="A668" s="4" t="str">
        <f>IF('Base Oficial'!A668="","",TRIM('Base Oficial'!A668))</f>
        <v/>
      </c>
      <c r="B668" s="6" t="str">
        <f>IF($A668="","",TRIM('Base Oficial'!B668))</f>
        <v/>
      </c>
      <c r="C668" s="6" t="str">
        <f>IF($A668="","",TRIM('Base Oficial'!F668))</f>
        <v/>
      </c>
      <c r="D668" s="6" t="str">
        <f>IF($A668="","",TRIM('Base Oficial'!G668))</f>
        <v/>
      </c>
      <c r="E668" s="6" t="str">
        <f>IF($A668="","",TRIM('Base Oficial'!D668))</f>
        <v/>
      </c>
      <c r="F668" s="4" t="str">
        <f>IF($A668="","",IF(COUNTIF('Base Exámenes'!$C$5:$C$1000, A668)&gt;0, "Completado", IF(M668&lt;&gt;"", M668, "Pendiente")))</f>
        <v/>
      </c>
      <c r="G668" s="11" t="str">
        <f>IF(F668="Completado", IFERROR(IF(INDEX('Base Exámenes'!$D$5:$D$1000, MATCH(A668&amp;"|"&amp;J668, 'Base Exámenes'!$I$5:$I$1000, 0))="", "", INDEX('Base Exámenes'!$D$5:$D$1000, MATCH(A668&amp;"|"&amp;J668, 'Base Exámenes'!$I$5:$I$1000, 0))), ""), "")</f>
        <v/>
      </c>
      <c r="H668" s="11" t="str">
        <f>IF(F668="Completado", IFERROR(IF(INDEX('Base Exámenes'!$E$5:$E$1000, MATCH(A668&amp;"|"&amp;J668, 'Base Exámenes'!$I$5:$I$1000, 0))="", "", INDEX('Base Exámenes'!$E$5:$E$1000, MATCH(A668&amp;"|"&amp;J668, 'Base Exámenes'!$I$5:$I$1000, 0))), ""), "")</f>
        <v/>
      </c>
      <c r="I668" s="10" t="str">
        <f>IF(F668="Completado", IFERROR(IF(INDEX('Base Exámenes'!$F$5:$F$1000, MATCH(A668&amp;"|"&amp;J668, 'Base Exámenes'!$I$5:$I$1000, 0))="", "", INDEX('Base Exámenes'!$F$5:$F$1000, MATCH(A668&amp;"|"&amp;J668, 'Base Exámenes'!$I$5:$I$1000, 0))), ""), "")</f>
        <v/>
      </c>
      <c r="J668" s="6" t="str">
        <f>IF(F668="Completado", IF(COUNTIFS('Base Exámenes'!$C$5:$C$1000, A668, 'Base Exámenes'!$G$5:$G$1000, "&lt;&gt;")=0, "", _xlfn.MAXIFS('Base Exámenes'!$G$5:$G$1000, 'Base Exámenes'!$C$5:$C$1000, A668)), "")</f>
        <v/>
      </c>
      <c r="K668" s="6" t="str">
        <f>IF(F668="Completado", IFERROR(IF(INDEX('Base Exámenes'!$H$5:$H$1000, MATCH(A668&amp;"|"&amp;J668, 'Base Exámenes'!$I$5:$I$1000, 0))="", "", INDEX('Base Exámenes'!$H$5:$H$1000, MATCH(A668&amp;"|"&amp;J668, 'Base Exámenes'!$I$5:$I$1000, 0))), ""), "")</f>
        <v/>
      </c>
      <c r="L668" s="22" t="str">
        <f>IF($A668="","",COUNTIF('Base Exámenes'!$C$5:$C$1000, A668))</f>
        <v/>
      </c>
      <c r="M668" s="6" t="str">
        <f>IF($A668="","",IF(COUNTIF('Base Exámenes'!$C$5:$C$1000, A668)&gt;0, "", TRIM('Base Oficial'!H668)))</f>
        <v/>
      </c>
    </row>
    <row r="669">
      <c r="A669" s="4" t="str">
        <f>IF('Base Oficial'!A669="","",TRIM('Base Oficial'!A669))</f>
        <v/>
      </c>
      <c r="B669" s="6" t="str">
        <f>IF($A669="","",TRIM('Base Oficial'!B669))</f>
        <v/>
      </c>
      <c r="C669" s="6" t="str">
        <f>IF($A669="","",TRIM('Base Oficial'!F669))</f>
        <v/>
      </c>
      <c r="D669" s="6" t="str">
        <f>IF($A669="","",TRIM('Base Oficial'!G669))</f>
        <v/>
      </c>
      <c r="E669" s="6" t="str">
        <f>IF($A669="","",TRIM('Base Oficial'!D669))</f>
        <v/>
      </c>
      <c r="F669" s="4" t="str">
        <f>IF($A669="","",IF(COUNTIF('Base Exámenes'!$C$5:$C$1000, A669)&gt;0, "Completado", IF(M669&lt;&gt;"", M669, "Pendiente")))</f>
        <v/>
      </c>
      <c r="G669" s="11" t="str">
        <f>IF(F669="Completado", IFERROR(IF(INDEX('Base Exámenes'!$D$5:$D$1000, MATCH(A669&amp;"|"&amp;J669, 'Base Exámenes'!$I$5:$I$1000, 0))="", "", INDEX('Base Exámenes'!$D$5:$D$1000, MATCH(A669&amp;"|"&amp;J669, 'Base Exámenes'!$I$5:$I$1000, 0))), ""), "")</f>
        <v/>
      </c>
      <c r="H669" s="11" t="str">
        <f>IF(F669="Completado", IFERROR(IF(INDEX('Base Exámenes'!$E$5:$E$1000, MATCH(A669&amp;"|"&amp;J669, 'Base Exámenes'!$I$5:$I$1000, 0))="", "", INDEX('Base Exámenes'!$E$5:$E$1000, MATCH(A669&amp;"|"&amp;J669, 'Base Exámenes'!$I$5:$I$1000, 0))), ""), "")</f>
        <v/>
      </c>
      <c r="I669" s="10" t="str">
        <f>IF(F669="Completado", IFERROR(IF(INDEX('Base Exámenes'!$F$5:$F$1000, MATCH(A669&amp;"|"&amp;J669, 'Base Exámenes'!$I$5:$I$1000, 0))="", "", INDEX('Base Exámenes'!$F$5:$F$1000, MATCH(A669&amp;"|"&amp;J669, 'Base Exámenes'!$I$5:$I$1000, 0))), ""), "")</f>
        <v/>
      </c>
      <c r="J669" s="6" t="str">
        <f>IF(F669="Completado", IF(COUNTIFS('Base Exámenes'!$C$5:$C$1000, A669, 'Base Exámenes'!$G$5:$G$1000, "&lt;&gt;")=0, "", _xlfn.MAXIFS('Base Exámenes'!$G$5:$G$1000, 'Base Exámenes'!$C$5:$C$1000, A669)), "")</f>
        <v/>
      </c>
      <c r="K669" s="6" t="str">
        <f>IF(F669="Completado", IFERROR(IF(INDEX('Base Exámenes'!$H$5:$H$1000, MATCH(A669&amp;"|"&amp;J669, 'Base Exámenes'!$I$5:$I$1000, 0))="", "", INDEX('Base Exámenes'!$H$5:$H$1000, MATCH(A669&amp;"|"&amp;J669, 'Base Exámenes'!$I$5:$I$1000, 0))), ""), "")</f>
        <v/>
      </c>
      <c r="L669" s="22" t="str">
        <f>IF($A669="","",COUNTIF('Base Exámenes'!$C$5:$C$1000, A669))</f>
        <v/>
      </c>
      <c r="M669" s="6" t="str">
        <f>IF($A669="","",IF(COUNTIF('Base Exámenes'!$C$5:$C$1000, A669)&gt;0, "", TRIM('Base Oficial'!H669)))</f>
        <v/>
      </c>
    </row>
    <row r="670">
      <c r="A670" s="4" t="str">
        <f>IF('Base Oficial'!A670="","",TRIM('Base Oficial'!A670))</f>
        <v/>
      </c>
      <c r="B670" s="6" t="str">
        <f>IF($A670="","",TRIM('Base Oficial'!B670))</f>
        <v/>
      </c>
      <c r="C670" s="6" t="str">
        <f>IF($A670="","",TRIM('Base Oficial'!F670))</f>
        <v/>
      </c>
      <c r="D670" s="6" t="str">
        <f>IF($A670="","",TRIM('Base Oficial'!G670))</f>
        <v/>
      </c>
      <c r="E670" s="6" t="str">
        <f>IF($A670="","",TRIM('Base Oficial'!D670))</f>
        <v/>
      </c>
      <c r="F670" s="4" t="str">
        <f>IF($A670="","",IF(COUNTIF('Base Exámenes'!$C$5:$C$1000, A670)&gt;0, "Completado", IF(M670&lt;&gt;"", M670, "Pendiente")))</f>
        <v/>
      </c>
      <c r="G670" s="11" t="str">
        <f>IF(F670="Completado", IFERROR(IF(INDEX('Base Exámenes'!$D$5:$D$1000, MATCH(A670&amp;"|"&amp;J670, 'Base Exámenes'!$I$5:$I$1000, 0))="", "", INDEX('Base Exámenes'!$D$5:$D$1000, MATCH(A670&amp;"|"&amp;J670, 'Base Exámenes'!$I$5:$I$1000, 0))), ""), "")</f>
        <v/>
      </c>
      <c r="H670" s="11" t="str">
        <f>IF(F670="Completado", IFERROR(IF(INDEX('Base Exámenes'!$E$5:$E$1000, MATCH(A670&amp;"|"&amp;J670, 'Base Exámenes'!$I$5:$I$1000, 0))="", "", INDEX('Base Exámenes'!$E$5:$E$1000, MATCH(A670&amp;"|"&amp;J670, 'Base Exámenes'!$I$5:$I$1000, 0))), ""), "")</f>
        <v/>
      </c>
      <c r="I670" s="10" t="str">
        <f>IF(F670="Completado", IFERROR(IF(INDEX('Base Exámenes'!$F$5:$F$1000, MATCH(A670&amp;"|"&amp;J670, 'Base Exámenes'!$I$5:$I$1000, 0))="", "", INDEX('Base Exámenes'!$F$5:$F$1000, MATCH(A670&amp;"|"&amp;J670, 'Base Exámenes'!$I$5:$I$1000, 0))), ""), "")</f>
        <v/>
      </c>
      <c r="J670" s="6" t="str">
        <f>IF(F670="Completado", IF(COUNTIFS('Base Exámenes'!$C$5:$C$1000, A670, 'Base Exámenes'!$G$5:$G$1000, "&lt;&gt;")=0, "", _xlfn.MAXIFS('Base Exámenes'!$G$5:$G$1000, 'Base Exámenes'!$C$5:$C$1000, A670)), "")</f>
        <v/>
      </c>
      <c r="K670" s="6" t="str">
        <f>IF(F670="Completado", IFERROR(IF(INDEX('Base Exámenes'!$H$5:$H$1000, MATCH(A670&amp;"|"&amp;J670, 'Base Exámenes'!$I$5:$I$1000, 0))="", "", INDEX('Base Exámenes'!$H$5:$H$1000, MATCH(A670&amp;"|"&amp;J670, 'Base Exámenes'!$I$5:$I$1000, 0))), ""), "")</f>
        <v/>
      </c>
      <c r="L670" s="22" t="str">
        <f>IF($A670="","",COUNTIF('Base Exámenes'!$C$5:$C$1000, A670))</f>
        <v/>
      </c>
      <c r="M670" s="6" t="str">
        <f>IF($A670="","",IF(COUNTIF('Base Exámenes'!$C$5:$C$1000, A670)&gt;0, "", TRIM('Base Oficial'!H670)))</f>
        <v/>
      </c>
    </row>
    <row r="671">
      <c r="A671" s="4" t="str">
        <f>IF('Base Oficial'!A671="","",TRIM('Base Oficial'!A671))</f>
        <v/>
      </c>
      <c r="B671" s="6" t="str">
        <f>IF($A671="","",TRIM('Base Oficial'!B671))</f>
        <v/>
      </c>
      <c r="C671" s="6" t="str">
        <f>IF($A671="","",TRIM('Base Oficial'!F671))</f>
        <v/>
      </c>
      <c r="D671" s="6" t="str">
        <f>IF($A671="","",TRIM('Base Oficial'!G671))</f>
        <v/>
      </c>
      <c r="E671" s="6" t="str">
        <f>IF($A671="","",TRIM('Base Oficial'!D671))</f>
        <v/>
      </c>
      <c r="F671" s="4" t="str">
        <f>IF($A671="","",IF(COUNTIF('Base Exámenes'!$C$5:$C$1000, A671)&gt;0, "Completado", IF(M671&lt;&gt;"", M671, "Pendiente")))</f>
        <v/>
      </c>
      <c r="G671" s="11" t="str">
        <f>IF(F671="Completado", IFERROR(IF(INDEX('Base Exámenes'!$D$5:$D$1000, MATCH(A671&amp;"|"&amp;J671, 'Base Exámenes'!$I$5:$I$1000, 0))="", "", INDEX('Base Exámenes'!$D$5:$D$1000, MATCH(A671&amp;"|"&amp;J671, 'Base Exámenes'!$I$5:$I$1000, 0))), ""), "")</f>
        <v/>
      </c>
      <c r="H671" s="11" t="str">
        <f>IF(F671="Completado", IFERROR(IF(INDEX('Base Exámenes'!$E$5:$E$1000, MATCH(A671&amp;"|"&amp;J671, 'Base Exámenes'!$I$5:$I$1000, 0))="", "", INDEX('Base Exámenes'!$E$5:$E$1000, MATCH(A671&amp;"|"&amp;J671, 'Base Exámenes'!$I$5:$I$1000, 0))), ""), "")</f>
        <v/>
      </c>
      <c r="I671" s="10" t="str">
        <f>IF(F671="Completado", IFERROR(IF(INDEX('Base Exámenes'!$F$5:$F$1000, MATCH(A671&amp;"|"&amp;J671, 'Base Exámenes'!$I$5:$I$1000, 0))="", "", INDEX('Base Exámenes'!$F$5:$F$1000, MATCH(A671&amp;"|"&amp;J671, 'Base Exámenes'!$I$5:$I$1000, 0))), ""), "")</f>
        <v/>
      </c>
      <c r="J671" s="6" t="str">
        <f>IF(F671="Completado", IF(COUNTIFS('Base Exámenes'!$C$5:$C$1000, A671, 'Base Exámenes'!$G$5:$G$1000, "&lt;&gt;")=0, "", _xlfn.MAXIFS('Base Exámenes'!$G$5:$G$1000, 'Base Exámenes'!$C$5:$C$1000, A671)), "")</f>
        <v/>
      </c>
      <c r="K671" s="6" t="str">
        <f>IF(F671="Completado", IFERROR(IF(INDEX('Base Exámenes'!$H$5:$H$1000, MATCH(A671&amp;"|"&amp;J671, 'Base Exámenes'!$I$5:$I$1000, 0))="", "", INDEX('Base Exámenes'!$H$5:$H$1000, MATCH(A671&amp;"|"&amp;J671, 'Base Exámenes'!$I$5:$I$1000, 0))), ""), "")</f>
        <v/>
      </c>
      <c r="L671" s="22" t="str">
        <f>IF($A671="","",COUNTIF('Base Exámenes'!$C$5:$C$1000, A671))</f>
        <v/>
      </c>
      <c r="M671" s="6" t="str">
        <f>IF($A671="","",IF(COUNTIF('Base Exámenes'!$C$5:$C$1000, A671)&gt;0, "", TRIM('Base Oficial'!H671)))</f>
        <v/>
      </c>
    </row>
    <row r="672">
      <c r="A672" s="4" t="str">
        <f>IF('Base Oficial'!A672="","",TRIM('Base Oficial'!A672))</f>
        <v/>
      </c>
      <c r="B672" s="6" t="str">
        <f>IF($A672="","",TRIM('Base Oficial'!B672))</f>
        <v/>
      </c>
      <c r="C672" s="6" t="str">
        <f>IF($A672="","",TRIM('Base Oficial'!F672))</f>
        <v/>
      </c>
      <c r="D672" s="6" t="str">
        <f>IF($A672="","",TRIM('Base Oficial'!G672))</f>
        <v/>
      </c>
      <c r="E672" s="6" t="str">
        <f>IF($A672="","",TRIM('Base Oficial'!D672))</f>
        <v/>
      </c>
      <c r="F672" s="4" t="str">
        <f>IF($A672="","",IF(COUNTIF('Base Exámenes'!$C$5:$C$1000, A672)&gt;0, "Completado", IF(M672&lt;&gt;"", M672, "Pendiente")))</f>
        <v/>
      </c>
      <c r="G672" s="11" t="str">
        <f>IF(F672="Completado", IFERROR(IF(INDEX('Base Exámenes'!$D$5:$D$1000, MATCH(A672&amp;"|"&amp;J672, 'Base Exámenes'!$I$5:$I$1000, 0))="", "", INDEX('Base Exámenes'!$D$5:$D$1000, MATCH(A672&amp;"|"&amp;J672, 'Base Exámenes'!$I$5:$I$1000, 0))), ""), "")</f>
        <v/>
      </c>
      <c r="H672" s="11" t="str">
        <f>IF(F672="Completado", IFERROR(IF(INDEX('Base Exámenes'!$E$5:$E$1000, MATCH(A672&amp;"|"&amp;J672, 'Base Exámenes'!$I$5:$I$1000, 0))="", "", INDEX('Base Exámenes'!$E$5:$E$1000, MATCH(A672&amp;"|"&amp;J672, 'Base Exámenes'!$I$5:$I$1000, 0))), ""), "")</f>
        <v/>
      </c>
      <c r="I672" s="10" t="str">
        <f>IF(F672="Completado", IFERROR(IF(INDEX('Base Exámenes'!$F$5:$F$1000, MATCH(A672&amp;"|"&amp;J672, 'Base Exámenes'!$I$5:$I$1000, 0))="", "", INDEX('Base Exámenes'!$F$5:$F$1000, MATCH(A672&amp;"|"&amp;J672, 'Base Exámenes'!$I$5:$I$1000, 0))), ""), "")</f>
        <v/>
      </c>
      <c r="J672" s="6" t="str">
        <f>IF(F672="Completado", IF(COUNTIFS('Base Exámenes'!$C$5:$C$1000, A672, 'Base Exámenes'!$G$5:$G$1000, "&lt;&gt;")=0, "", _xlfn.MAXIFS('Base Exámenes'!$G$5:$G$1000, 'Base Exámenes'!$C$5:$C$1000, A672)), "")</f>
        <v/>
      </c>
      <c r="K672" s="6" t="str">
        <f>IF(F672="Completado", IFERROR(IF(INDEX('Base Exámenes'!$H$5:$H$1000, MATCH(A672&amp;"|"&amp;J672, 'Base Exámenes'!$I$5:$I$1000, 0))="", "", INDEX('Base Exámenes'!$H$5:$H$1000, MATCH(A672&amp;"|"&amp;J672, 'Base Exámenes'!$I$5:$I$1000, 0))), ""), "")</f>
        <v/>
      </c>
      <c r="L672" s="22" t="str">
        <f>IF($A672="","",COUNTIF('Base Exámenes'!$C$5:$C$1000, A672))</f>
        <v/>
      </c>
      <c r="M672" s="6" t="str">
        <f>IF($A672="","",IF(COUNTIF('Base Exámenes'!$C$5:$C$1000, A672)&gt;0, "", TRIM('Base Oficial'!H672)))</f>
        <v/>
      </c>
    </row>
    <row r="673">
      <c r="A673" s="4" t="str">
        <f>IF('Base Oficial'!A673="","",TRIM('Base Oficial'!A673))</f>
        <v/>
      </c>
      <c r="B673" s="6" t="str">
        <f>IF($A673="","",TRIM('Base Oficial'!B673))</f>
        <v/>
      </c>
      <c r="C673" s="6" t="str">
        <f>IF($A673="","",TRIM('Base Oficial'!F673))</f>
        <v/>
      </c>
      <c r="D673" s="6" t="str">
        <f>IF($A673="","",TRIM('Base Oficial'!G673))</f>
        <v/>
      </c>
      <c r="E673" s="6" t="str">
        <f>IF($A673="","",TRIM('Base Oficial'!D673))</f>
        <v/>
      </c>
      <c r="F673" s="4" t="str">
        <f>IF($A673="","",IF(COUNTIF('Base Exámenes'!$C$5:$C$1000, A673)&gt;0, "Completado", IF(M673&lt;&gt;"", M673, "Pendiente")))</f>
        <v/>
      </c>
      <c r="G673" s="11" t="str">
        <f>IF(F673="Completado", IFERROR(IF(INDEX('Base Exámenes'!$D$5:$D$1000, MATCH(A673&amp;"|"&amp;J673, 'Base Exámenes'!$I$5:$I$1000, 0))="", "", INDEX('Base Exámenes'!$D$5:$D$1000, MATCH(A673&amp;"|"&amp;J673, 'Base Exámenes'!$I$5:$I$1000, 0))), ""), "")</f>
        <v/>
      </c>
      <c r="H673" s="11" t="str">
        <f>IF(F673="Completado", IFERROR(IF(INDEX('Base Exámenes'!$E$5:$E$1000, MATCH(A673&amp;"|"&amp;J673, 'Base Exámenes'!$I$5:$I$1000, 0))="", "", INDEX('Base Exámenes'!$E$5:$E$1000, MATCH(A673&amp;"|"&amp;J673, 'Base Exámenes'!$I$5:$I$1000, 0))), ""), "")</f>
        <v/>
      </c>
      <c r="I673" s="10" t="str">
        <f>IF(F673="Completado", IFERROR(IF(INDEX('Base Exámenes'!$F$5:$F$1000, MATCH(A673&amp;"|"&amp;J673, 'Base Exámenes'!$I$5:$I$1000, 0))="", "", INDEX('Base Exámenes'!$F$5:$F$1000, MATCH(A673&amp;"|"&amp;J673, 'Base Exámenes'!$I$5:$I$1000, 0))), ""), "")</f>
        <v/>
      </c>
      <c r="J673" s="6" t="str">
        <f>IF(F673="Completado", IF(COUNTIFS('Base Exámenes'!$C$5:$C$1000, A673, 'Base Exámenes'!$G$5:$G$1000, "&lt;&gt;")=0, "", _xlfn.MAXIFS('Base Exámenes'!$G$5:$G$1000, 'Base Exámenes'!$C$5:$C$1000, A673)), "")</f>
        <v/>
      </c>
      <c r="K673" s="6" t="str">
        <f>IF(F673="Completado", IFERROR(IF(INDEX('Base Exámenes'!$H$5:$H$1000, MATCH(A673&amp;"|"&amp;J673, 'Base Exámenes'!$I$5:$I$1000, 0))="", "", INDEX('Base Exámenes'!$H$5:$H$1000, MATCH(A673&amp;"|"&amp;J673, 'Base Exámenes'!$I$5:$I$1000, 0))), ""), "")</f>
        <v/>
      </c>
      <c r="L673" s="22" t="str">
        <f>IF($A673="","",COUNTIF('Base Exámenes'!$C$5:$C$1000, A673))</f>
        <v/>
      </c>
      <c r="M673" s="6" t="str">
        <f>IF($A673="","",IF(COUNTIF('Base Exámenes'!$C$5:$C$1000, A673)&gt;0, "", TRIM('Base Oficial'!H673)))</f>
        <v/>
      </c>
    </row>
    <row r="674">
      <c r="A674" s="4" t="str">
        <f>IF('Base Oficial'!A674="","",TRIM('Base Oficial'!A674))</f>
        <v/>
      </c>
      <c r="B674" s="6" t="str">
        <f>IF($A674="","",TRIM('Base Oficial'!B674))</f>
        <v/>
      </c>
      <c r="C674" s="6" t="str">
        <f>IF($A674="","",TRIM('Base Oficial'!F674))</f>
        <v/>
      </c>
      <c r="D674" s="6" t="str">
        <f>IF($A674="","",TRIM('Base Oficial'!G674))</f>
        <v/>
      </c>
      <c r="E674" s="6" t="str">
        <f>IF($A674="","",TRIM('Base Oficial'!D674))</f>
        <v/>
      </c>
      <c r="F674" s="4" t="str">
        <f>IF($A674="","",IF(COUNTIF('Base Exámenes'!$C$5:$C$1000, A674)&gt;0, "Completado", IF(M674&lt;&gt;"", M674, "Pendiente")))</f>
        <v/>
      </c>
      <c r="G674" s="11" t="str">
        <f>IF(F674="Completado", IFERROR(IF(INDEX('Base Exámenes'!$D$5:$D$1000, MATCH(A674&amp;"|"&amp;J674, 'Base Exámenes'!$I$5:$I$1000, 0))="", "", INDEX('Base Exámenes'!$D$5:$D$1000, MATCH(A674&amp;"|"&amp;J674, 'Base Exámenes'!$I$5:$I$1000, 0))), ""), "")</f>
        <v/>
      </c>
      <c r="H674" s="11" t="str">
        <f>IF(F674="Completado", IFERROR(IF(INDEX('Base Exámenes'!$E$5:$E$1000, MATCH(A674&amp;"|"&amp;J674, 'Base Exámenes'!$I$5:$I$1000, 0))="", "", INDEX('Base Exámenes'!$E$5:$E$1000, MATCH(A674&amp;"|"&amp;J674, 'Base Exámenes'!$I$5:$I$1000, 0))), ""), "")</f>
        <v/>
      </c>
      <c r="I674" s="10" t="str">
        <f>IF(F674="Completado", IFERROR(IF(INDEX('Base Exámenes'!$F$5:$F$1000, MATCH(A674&amp;"|"&amp;J674, 'Base Exámenes'!$I$5:$I$1000, 0))="", "", INDEX('Base Exámenes'!$F$5:$F$1000, MATCH(A674&amp;"|"&amp;J674, 'Base Exámenes'!$I$5:$I$1000, 0))), ""), "")</f>
        <v/>
      </c>
      <c r="J674" s="6" t="str">
        <f>IF(F674="Completado", IF(COUNTIFS('Base Exámenes'!$C$5:$C$1000, A674, 'Base Exámenes'!$G$5:$G$1000, "&lt;&gt;")=0, "", _xlfn.MAXIFS('Base Exámenes'!$G$5:$G$1000, 'Base Exámenes'!$C$5:$C$1000, A674)), "")</f>
        <v/>
      </c>
      <c r="K674" s="6" t="str">
        <f>IF(F674="Completado", IFERROR(IF(INDEX('Base Exámenes'!$H$5:$H$1000, MATCH(A674&amp;"|"&amp;J674, 'Base Exámenes'!$I$5:$I$1000, 0))="", "", INDEX('Base Exámenes'!$H$5:$H$1000, MATCH(A674&amp;"|"&amp;J674, 'Base Exámenes'!$I$5:$I$1000, 0))), ""), "")</f>
        <v/>
      </c>
      <c r="L674" s="22" t="str">
        <f>IF($A674="","",COUNTIF('Base Exámenes'!$C$5:$C$1000, A674))</f>
        <v/>
      </c>
      <c r="M674" s="6" t="str">
        <f>IF($A674="","",IF(COUNTIF('Base Exámenes'!$C$5:$C$1000, A674)&gt;0, "", TRIM('Base Oficial'!H674)))</f>
        <v/>
      </c>
    </row>
    <row r="675">
      <c r="A675" s="4" t="str">
        <f>IF('Base Oficial'!A675="","",TRIM('Base Oficial'!A675))</f>
        <v/>
      </c>
      <c r="B675" s="6" t="str">
        <f>IF($A675="","",TRIM('Base Oficial'!B675))</f>
        <v/>
      </c>
      <c r="C675" s="6" t="str">
        <f>IF($A675="","",TRIM('Base Oficial'!F675))</f>
        <v/>
      </c>
      <c r="D675" s="6" t="str">
        <f>IF($A675="","",TRIM('Base Oficial'!G675))</f>
        <v/>
      </c>
      <c r="E675" s="6" t="str">
        <f>IF($A675="","",TRIM('Base Oficial'!D675))</f>
        <v/>
      </c>
      <c r="F675" s="4" t="str">
        <f>IF($A675="","",IF(COUNTIF('Base Exámenes'!$C$5:$C$1000, A675)&gt;0, "Completado", IF(M675&lt;&gt;"", M675, "Pendiente")))</f>
        <v/>
      </c>
      <c r="G675" s="11" t="str">
        <f>IF(F675="Completado", IFERROR(IF(INDEX('Base Exámenes'!$D$5:$D$1000, MATCH(A675&amp;"|"&amp;J675, 'Base Exámenes'!$I$5:$I$1000, 0))="", "", INDEX('Base Exámenes'!$D$5:$D$1000, MATCH(A675&amp;"|"&amp;J675, 'Base Exámenes'!$I$5:$I$1000, 0))), ""), "")</f>
        <v/>
      </c>
      <c r="H675" s="11" t="str">
        <f>IF(F675="Completado", IFERROR(IF(INDEX('Base Exámenes'!$E$5:$E$1000, MATCH(A675&amp;"|"&amp;J675, 'Base Exámenes'!$I$5:$I$1000, 0))="", "", INDEX('Base Exámenes'!$E$5:$E$1000, MATCH(A675&amp;"|"&amp;J675, 'Base Exámenes'!$I$5:$I$1000, 0))), ""), "")</f>
        <v/>
      </c>
      <c r="I675" s="10" t="str">
        <f>IF(F675="Completado", IFERROR(IF(INDEX('Base Exámenes'!$F$5:$F$1000, MATCH(A675&amp;"|"&amp;J675, 'Base Exámenes'!$I$5:$I$1000, 0))="", "", INDEX('Base Exámenes'!$F$5:$F$1000, MATCH(A675&amp;"|"&amp;J675, 'Base Exámenes'!$I$5:$I$1000, 0))), ""), "")</f>
        <v/>
      </c>
      <c r="J675" s="6" t="str">
        <f>IF(F675="Completado", IF(COUNTIFS('Base Exámenes'!$C$5:$C$1000, A675, 'Base Exámenes'!$G$5:$G$1000, "&lt;&gt;")=0, "", _xlfn.MAXIFS('Base Exámenes'!$G$5:$G$1000, 'Base Exámenes'!$C$5:$C$1000, A675)), "")</f>
        <v/>
      </c>
      <c r="K675" s="6" t="str">
        <f>IF(F675="Completado", IFERROR(IF(INDEX('Base Exámenes'!$H$5:$H$1000, MATCH(A675&amp;"|"&amp;J675, 'Base Exámenes'!$I$5:$I$1000, 0))="", "", INDEX('Base Exámenes'!$H$5:$H$1000, MATCH(A675&amp;"|"&amp;J675, 'Base Exámenes'!$I$5:$I$1000, 0))), ""), "")</f>
        <v/>
      </c>
      <c r="L675" s="22" t="str">
        <f>IF($A675="","",COUNTIF('Base Exámenes'!$C$5:$C$1000, A675))</f>
        <v/>
      </c>
      <c r="M675" s="6" t="str">
        <f>IF($A675="","",IF(COUNTIF('Base Exámenes'!$C$5:$C$1000, A675)&gt;0, "", TRIM('Base Oficial'!H675)))</f>
        <v/>
      </c>
    </row>
    <row r="676">
      <c r="A676" s="4" t="str">
        <f>IF('Base Oficial'!A676="","",TRIM('Base Oficial'!A676))</f>
        <v/>
      </c>
      <c r="B676" s="6" t="str">
        <f>IF($A676="","",TRIM('Base Oficial'!B676))</f>
        <v/>
      </c>
      <c r="C676" s="6" t="str">
        <f>IF($A676="","",TRIM('Base Oficial'!F676))</f>
        <v/>
      </c>
      <c r="D676" s="6" t="str">
        <f>IF($A676="","",TRIM('Base Oficial'!G676))</f>
        <v/>
      </c>
      <c r="E676" s="6" t="str">
        <f>IF($A676="","",TRIM('Base Oficial'!D676))</f>
        <v/>
      </c>
      <c r="F676" s="4" t="str">
        <f>IF($A676="","",IF(COUNTIF('Base Exámenes'!$C$5:$C$1000, A676)&gt;0, "Completado", IF(M676&lt;&gt;"", M676, "Pendiente")))</f>
        <v/>
      </c>
      <c r="G676" s="11" t="str">
        <f>IF(F676="Completado", IFERROR(IF(INDEX('Base Exámenes'!$D$5:$D$1000, MATCH(A676&amp;"|"&amp;J676, 'Base Exámenes'!$I$5:$I$1000, 0))="", "", INDEX('Base Exámenes'!$D$5:$D$1000, MATCH(A676&amp;"|"&amp;J676, 'Base Exámenes'!$I$5:$I$1000, 0))), ""), "")</f>
        <v/>
      </c>
      <c r="H676" s="11" t="str">
        <f>IF(F676="Completado", IFERROR(IF(INDEX('Base Exámenes'!$E$5:$E$1000, MATCH(A676&amp;"|"&amp;J676, 'Base Exámenes'!$I$5:$I$1000, 0))="", "", INDEX('Base Exámenes'!$E$5:$E$1000, MATCH(A676&amp;"|"&amp;J676, 'Base Exámenes'!$I$5:$I$1000, 0))), ""), "")</f>
        <v/>
      </c>
      <c r="I676" s="10" t="str">
        <f>IF(F676="Completado", IFERROR(IF(INDEX('Base Exámenes'!$F$5:$F$1000, MATCH(A676&amp;"|"&amp;J676, 'Base Exámenes'!$I$5:$I$1000, 0))="", "", INDEX('Base Exámenes'!$F$5:$F$1000, MATCH(A676&amp;"|"&amp;J676, 'Base Exámenes'!$I$5:$I$1000, 0))), ""), "")</f>
        <v/>
      </c>
      <c r="J676" s="6" t="str">
        <f>IF(F676="Completado", IF(COUNTIFS('Base Exámenes'!$C$5:$C$1000, A676, 'Base Exámenes'!$G$5:$G$1000, "&lt;&gt;")=0, "", _xlfn.MAXIFS('Base Exámenes'!$G$5:$G$1000, 'Base Exámenes'!$C$5:$C$1000, A676)), "")</f>
        <v/>
      </c>
      <c r="K676" s="6" t="str">
        <f>IF(F676="Completado", IFERROR(IF(INDEX('Base Exámenes'!$H$5:$H$1000, MATCH(A676&amp;"|"&amp;J676, 'Base Exámenes'!$I$5:$I$1000, 0))="", "", INDEX('Base Exámenes'!$H$5:$H$1000, MATCH(A676&amp;"|"&amp;J676, 'Base Exámenes'!$I$5:$I$1000, 0))), ""), "")</f>
        <v/>
      </c>
      <c r="L676" s="22" t="str">
        <f>IF($A676="","",COUNTIF('Base Exámenes'!$C$5:$C$1000, A676))</f>
        <v/>
      </c>
      <c r="M676" s="6" t="str">
        <f>IF($A676="","",IF(COUNTIF('Base Exámenes'!$C$5:$C$1000, A676)&gt;0, "", TRIM('Base Oficial'!H676)))</f>
        <v/>
      </c>
    </row>
    <row r="677">
      <c r="A677" s="4" t="str">
        <f>IF('Base Oficial'!A677="","",TRIM('Base Oficial'!A677))</f>
        <v/>
      </c>
      <c r="B677" s="6" t="str">
        <f>IF($A677="","",TRIM('Base Oficial'!B677))</f>
        <v/>
      </c>
      <c r="C677" s="6" t="str">
        <f>IF($A677="","",TRIM('Base Oficial'!F677))</f>
        <v/>
      </c>
      <c r="D677" s="6" t="str">
        <f>IF($A677="","",TRIM('Base Oficial'!G677))</f>
        <v/>
      </c>
      <c r="E677" s="6" t="str">
        <f>IF($A677="","",TRIM('Base Oficial'!D677))</f>
        <v/>
      </c>
      <c r="F677" s="4" t="str">
        <f>IF($A677="","",IF(COUNTIF('Base Exámenes'!$C$5:$C$1000, A677)&gt;0, "Completado", IF(M677&lt;&gt;"", M677, "Pendiente")))</f>
        <v/>
      </c>
      <c r="G677" s="11" t="str">
        <f>IF(F677="Completado", IFERROR(IF(INDEX('Base Exámenes'!$D$5:$D$1000, MATCH(A677&amp;"|"&amp;J677, 'Base Exámenes'!$I$5:$I$1000, 0))="", "", INDEX('Base Exámenes'!$D$5:$D$1000, MATCH(A677&amp;"|"&amp;J677, 'Base Exámenes'!$I$5:$I$1000, 0))), ""), "")</f>
        <v/>
      </c>
      <c r="H677" s="11" t="str">
        <f>IF(F677="Completado", IFERROR(IF(INDEX('Base Exámenes'!$E$5:$E$1000, MATCH(A677&amp;"|"&amp;J677, 'Base Exámenes'!$I$5:$I$1000, 0))="", "", INDEX('Base Exámenes'!$E$5:$E$1000, MATCH(A677&amp;"|"&amp;J677, 'Base Exámenes'!$I$5:$I$1000, 0))), ""), "")</f>
        <v/>
      </c>
      <c r="I677" s="10" t="str">
        <f>IF(F677="Completado", IFERROR(IF(INDEX('Base Exámenes'!$F$5:$F$1000, MATCH(A677&amp;"|"&amp;J677, 'Base Exámenes'!$I$5:$I$1000, 0))="", "", INDEX('Base Exámenes'!$F$5:$F$1000, MATCH(A677&amp;"|"&amp;J677, 'Base Exámenes'!$I$5:$I$1000, 0))), ""), "")</f>
        <v/>
      </c>
      <c r="J677" s="6" t="str">
        <f>IF(F677="Completado", IF(COUNTIFS('Base Exámenes'!$C$5:$C$1000, A677, 'Base Exámenes'!$G$5:$G$1000, "&lt;&gt;")=0, "", _xlfn.MAXIFS('Base Exámenes'!$G$5:$G$1000, 'Base Exámenes'!$C$5:$C$1000, A677)), "")</f>
        <v/>
      </c>
      <c r="K677" s="6" t="str">
        <f>IF(F677="Completado", IFERROR(IF(INDEX('Base Exámenes'!$H$5:$H$1000, MATCH(A677&amp;"|"&amp;J677, 'Base Exámenes'!$I$5:$I$1000, 0))="", "", INDEX('Base Exámenes'!$H$5:$H$1000, MATCH(A677&amp;"|"&amp;J677, 'Base Exámenes'!$I$5:$I$1000, 0))), ""), "")</f>
        <v/>
      </c>
      <c r="L677" s="22" t="str">
        <f>IF($A677="","",COUNTIF('Base Exámenes'!$C$5:$C$1000, A677))</f>
        <v/>
      </c>
      <c r="M677" s="6" t="str">
        <f>IF($A677="","",IF(COUNTIF('Base Exámenes'!$C$5:$C$1000, A677)&gt;0, "", TRIM('Base Oficial'!H677)))</f>
        <v/>
      </c>
    </row>
    <row r="678">
      <c r="A678" s="4" t="str">
        <f>IF('Base Oficial'!A678="","",TRIM('Base Oficial'!A678))</f>
        <v/>
      </c>
      <c r="B678" s="6" t="str">
        <f>IF($A678="","",TRIM('Base Oficial'!B678))</f>
        <v/>
      </c>
      <c r="C678" s="6" t="str">
        <f>IF($A678="","",TRIM('Base Oficial'!F678))</f>
        <v/>
      </c>
      <c r="D678" s="6" t="str">
        <f>IF($A678="","",TRIM('Base Oficial'!G678))</f>
        <v/>
      </c>
      <c r="E678" s="6" t="str">
        <f>IF($A678="","",TRIM('Base Oficial'!D678))</f>
        <v/>
      </c>
      <c r="F678" s="4" t="str">
        <f>IF($A678="","",IF(COUNTIF('Base Exámenes'!$C$5:$C$1000, A678)&gt;0, "Completado", IF(M678&lt;&gt;"", M678, "Pendiente")))</f>
        <v/>
      </c>
      <c r="G678" s="11" t="str">
        <f>IF(F678="Completado", IFERROR(IF(INDEX('Base Exámenes'!$D$5:$D$1000, MATCH(A678&amp;"|"&amp;J678, 'Base Exámenes'!$I$5:$I$1000, 0))="", "", INDEX('Base Exámenes'!$D$5:$D$1000, MATCH(A678&amp;"|"&amp;J678, 'Base Exámenes'!$I$5:$I$1000, 0))), ""), "")</f>
        <v/>
      </c>
      <c r="H678" s="11" t="str">
        <f>IF(F678="Completado", IFERROR(IF(INDEX('Base Exámenes'!$E$5:$E$1000, MATCH(A678&amp;"|"&amp;J678, 'Base Exámenes'!$I$5:$I$1000, 0))="", "", INDEX('Base Exámenes'!$E$5:$E$1000, MATCH(A678&amp;"|"&amp;J678, 'Base Exámenes'!$I$5:$I$1000, 0))), ""), "")</f>
        <v/>
      </c>
      <c r="I678" s="10" t="str">
        <f>IF(F678="Completado", IFERROR(IF(INDEX('Base Exámenes'!$F$5:$F$1000, MATCH(A678&amp;"|"&amp;J678, 'Base Exámenes'!$I$5:$I$1000, 0))="", "", INDEX('Base Exámenes'!$F$5:$F$1000, MATCH(A678&amp;"|"&amp;J678, 'Base Exámenes'!$I$5:$I$1000, 0))), ""), "")</f>
        <v/>
      </c>
      <c r="J678" s="6" t="str">
        <f>IF(F678="Completado", IF(COUNTIFS('Base Exámenes'!$C$5:$C$1000, A678, 'Base Exámenes'!$G$5:$G$1000, "&lt;&gt;")=0, "", _xlfn.MAXIFS('Base Exámenes'!$G$5:$G$1000, 'Base Exámenes'!$C$5:$C$1000, A678)), "")</f>
        <v/>
      </c>
      <c r="K678" s="6" t="str">
        <f>IF(F678="Completado", IFERROR(IF(INDEX('Base Exámenes'!$H$5:$H$1000, MATCH(A678&amp;"|"&amp;J678, 'Base Exámenes'!$I$5:$I$1000, 0))="", "", INDEX('Base Exámenes'!$H$5:$H$1000, MATCH(A678&amp;"|"&amp;J678, 'Base Exámenes'!$I$5:$I$1000, 0))), ""), "")</f>
        <v/>
      </c>
      <c r="L678" s="22" t="str">
        <f>IF($A678="","",COUNTIF('Base Exámenes'!$C$5:$C$1000, A678))</f>
        <v/>
      </c>
      <c r="M678" s="6" t="str">
        <f>IF($A678="","",IF(COUNTIF('Base Exámenes'!$C$5:$C$1000, A678)&gt;0, "", TRIM('Base Oficial'!H678)))</f>
        <v/>
      </c>
    </row>
    <row r="679">
      <c r="A679" s="4" t="str">
        <f>IF('Base Oficial'!A679="","",TRIM('Base Oficial'!A679))</f>
        <v/>
      </c>
      <c r="B679" s="6" t="str">
        <f>IF($A679="","",TRIM('Base Oficial'!B679))</f>
        <v/>
      </c>
      <c r="C679" s="6" t="str">
        <f>IF($A679="","",TRIM('Base Oficial'!F679))</f>
        <v/>
      </c>
      <c r="D679" s="6" t="str">
        <f>IF($A679="","",TRIM('Base Oficial'!G679))</f>
        <v/>
      </c>
      <c r="E679" s="6" t="str">
        <f>IF($A679="","",TRIM('Base Oficial'!D679))</f>
        <v/>
      </c>
      <c r="F679" s="4" t="str">
        <f>IF($A679="","",IF(COUNTIF('Base Exámenes'!$C$5:$C$1000, A679)&gt;0, "Completado", IF(M679&lt;&gt;"", M679, "Pendiente")))</f>
        <v/>
      </c>
      <c r="G679" s="11" t="str">
        <f>IF(F679="Completado", IFERROR(IF(INDEX('Base Exámenes'!$D$5:$D$1000, MATCH(A679&amp;"|"&amp;J679, 'Base Exámenes'!$I$5:$I$1000, 0))="", "", INDEX('Base Exámenes'!$D$5:$D$1000, MATCH(A679&amp;"|"&amp;J679, 'Base Exámenes'!$I$5:$I$1000, 0))), ""), "")</f>
        <v/>
      </c>
      <c r="H679" s="11" t="str">
        <f>IF(F679="Completado", IFERROR(IF(INDEX('Base Exámenes'!$E$5:$E$1000, MATCH(A679&amp;"|"&amp;J679, 'Base Exámenes'!$I$5:$I$1000, 0))="", "", INDEX('Base Exámenes'!$E$5:$E$1000, MATCH(A679&amp;"|"&amp;J679, 'Base Exámenes'!$I$5:$I$1000, 0))), ""), "")</f>
        <v/>
      </c>
      <c r="I679" s="10" t="str">
        <f>IF(F679="Completado", IFERROR(IF(INDEX('Base Exámenes'!$F$5:$F$1000, MATCH(A679&amp;"|"&amp;J679, 'Base Exámenes'!$I$5:$I$1000, 0))="", "", INDEX('Base Exámenes'!$F$5:$F$1000, MATCH(A679&amp;"|"&amp;J679, 'Base Exámenes'!$I$5:$I$1000, 0))), ""), "")</f>
        <v/>
      </c>
      <c r="J679" s="6" t="str">
        <f>IF(F679="Completado", IF(COUNTIFS('Base Exámenes'!$C$5:$C$1000, A679, 'Base Exámenes'!$G$5:$G$1000, "&lt;&gt;")=0, "", _xlfn.MAXIFS('Base Exámenes'!$G$5:$G$1000, 'Base Exámenes'!$C$5:$C$1000, A679)), "")</f>
        <v/>
      </c>
      <c r="K679" s="6" t="str">
        <f>IF(F679="Completado", IFERROR(IF(INDEX('Base Exámenes'!$H$5:$H$1000, MATCH(A679&amp;"|"&amp;J679, 'Base Exámenes'!$I$5:$I$1000, 0))="", "", INDEX('Base Exámenes'!$H$5:$H$1000, MATCH(A679&amp;"|"&amp;J679, 'Base Exámenes'!$I$5:$I$1000, 0))), ""), "")</f>
        <v/>
      </c>
      <c r="L679" s="22" t="str">
        <f>IF($A679="","",COUNTIF('Base Exámenes'!$C$5:$C$1000, A679))</f>
        <v/>
      </c>
      <c r="M679" s="6" t="str">
        <f>IF($A679="","",IF(COUNTIF('Base Exámenes'!$C$5:$C$1000, A679)&gt;0, "", TRIM('Base Oficial'!H679)))</f>
        <v/>
      </c>
    </row>
    <row r="680">
      <c r="A680" s="4" t="str">
        <f>IF('Base Oficial'!A680="","",TRIM('Base Oficial'!A680))</f>
        <v/>
      </c>
      <c r="B680" s="6" t="str">
        <f>IF($A680="","",TRIM('Base Oficial'!B680))</f>
        <v/>
      </c>
      <c r="C680" s="6" t="str">
        <f>IF($A680="","",TRIM('Base Oficial'!F680))</f>
        <v/>
      </c>
      <c r="D680" s="6" t="str">
        <f>IF($A680="","",TRIM('Base Oficial'!G680))</f>
        <v/>
      </c>
      <c r="E680" s="6" t="str">
        <f>IF($A680="","",TRIM('Base Oficial'!D680))</f>
        <v/>
      </c>
      <c r="F680" s="4" t="str">
        <f>IF($A680="","",IF(COUNTIF('Base Exámenes'!$C$5:$C$1000, A680)&gt;0, "Completado", IF(M680&lt;&gt;"", M680, "Pendiente")))</f>
        <v/>
      </c>
      <c r="G680" s="11" t="str">
        <f>IF(F680="Completado", IFERROR(IF(INDEX('Base Exámenes'!$D$5:$D$1000, MATCH(A680&amp;"|"&amp;J680, 'Base Exámenes'!$I$5:$I$1000, 0))="", "", INDEX('Base Exámenes'!$D$5:$D$1000, MATCH(A680&amp;"|"&amp;J680, 'Base Exámenes'!$I$5:$I$1000, 0))), ""), "")</f>
        <v/>
      </c>
      <c r="H680" s="11" t="str">
        <f>IF(F680="Completado", IFERROR(IF(INDEX('Base Exámenes'!$E$5:$E$1000, MATCH(A680&amp;"|"&amp;J680, 'Base Exámenes'!$I$5:$I$1000, 0))="", "", INDEX('Base Exámenes'!$E$5:$E$1000, MATCH(A680&amp;"|"&amp;J680, 'Base Exámenes'!$I$5:$I$1000, 0))), ""), "")</f>
        <v/>
      </c>
      <c r="I680" s="10" t="str">
        <f>IF(F680="Completado", IFERROR(IF(INDEX('Base Exámenes'!$F$5:$F$1000, MATCH(A680&amp;"|"&amp;J680, 'Base Exámenes'!$I$5:$I$1000, 0))="", "", INDEX('Base Exámenes'!$F$5:$F$1000, MATCH(A680&amp;"|"&amp;J680, 'Base Exámenes'!$I$5:$I$1000, 0))), ""), "")</f>
        <v/>
      </c>
      <c r="J680" s="6" t="str">
        <f>IF(F680="Completado", IF(COUNTIFS('Base Exámenes'!$C$5:$C$1000, A680, 'Base Exámenes'!$G$5:$G$1000, "&lt;&gt;")=0, "", _xlfn.MAXIFS('Base Exámenes'!$G$5:$G$1000, 'Base Exámenes'!$C$5:$C$1000, A680)), "")</f>
        <v/>
      </c>
      <c r="K680" s="6" t="str">
        <f>IF(F680="Completado", IFERROR(IF(INDEX('Base Exámenes'!$H$5:$H$1000, MATCH(A680&amp;"|"&amp;J680, 'Base Exámenes'!$I$5:$I$1000, 0))="", "", INDEX('Base Exámenes'!$H$5:$H$1000, MATCH(A680&amp;"|"&amp;J680, 'Base Exámenes'!$I$5:$I$1000, 0))), ""), "")</f>
        <v/>
      </c>
      <c r="L680" s="22" t="str">
        <f>IF($A680="","",COUNTIF('Base Exámenes'!$C$5:$C$1000, A680))</f>
        <v/>
      </c>
      <c r="M680" s="6" t="str">
        <f>IF($A680="","",IF(COUNTIF('Base Exámenes'!$C$5:$C$1000, A680)&gt;0, "", TRIM('Base Oficial'!H680)))</f>
        <v/>
      </c>
    </row>
    <row r="681">
      <c r="A681" s="4" t="str">
        <f>IF('Base Oficial'!A681="","",TRIM('Base Oficial'!A681))</f>
        <v/>
      </c>
      <c r="B681" s="6" t="str">
        <f>IF($A681="","",TRIM('Base Oficial'!B681))</f>
        <v/>
      </c>
      <c r="C681" s="6" t="str">
        <f>IF($A681="","",TRIM('Base Oficial'!F681))</f>
        <v/>
      </c>
      <c r="D681" s="6" t="str">
        <f>IF($A681="","",TRIM('Base Oficial'!G681))</f>
        <v/>
      </c>
      <c r="E681" s="6" t="str">
        <f>IF($A681="","",TRIM('Base Oficial'!D681))</f>
        <v/>
      </c>
      <c r="F681" s="4" t="str">
        <f>IF($A681="","",IF(COUNTIF('Base Exámenes'!$C$5:$C$1000, A681)&gt;0, "Completado", IF(M681&lt;&gt;"", M681, "Pendiente")))</f>
        <v/>
      </c>
      <c r="G681" s="11" t="str">
        <f>IF(F681="Completado", IFERROR(IF(INDEX('Base Exámenes'!$D$5:$D$1000, MATCH(A681&amp;"|"&amp;J681, 'Base Exámenes'!$I$5:$I$1000, 0))="", "", INDEX('Base Exámenes'!$D$5:$D$1000, MATCH(A681&amp;"|"&amp;J681, 'Base Exámenes'!$I$5:$I$1000, 0))), ""), "")</f>
        <v/>
      </c>
      <c r="H681" s="11" t="str">
        <f>IF(F681="Completado", IFERROR(IF(INDEX('Base Exámenes'!$E$5:$E$1000, MATCH(A681&amp;"|"&amp;J681, 'Base Exámenes'!$I$5:$I$1000, 0))="", "", INDEX('Base Exámenes'!$E$5:$E$1000, MATCH(A681&amp;"|"&amp;J681, 'Base Exámenes'!$I$5:$I$1000, 0))), ""), "")</f>
        <v/>
      </c>
      <c r="I681" s="10" t="str">
        <f>IF(F681="Completado", IFERROR(IF(INDEX('Base Exámenes'!$F$5:$F$1000, MATCH(A681&amp;"|"&amp;J681, 'Base Exámenes'!$I$5:$I$1000, 0))="", "", INDEX('Base Exámenes'!$F$5:$F$1000, MATCH(A681&amp;"|"&amp;J681, 'Base Exámenes'!$I$5:$I$1000, 0))), ""), "")</f>
        <v/>
      </c>
      <c r="J681" s="6" t="str">
        <f>IF(F681="Completado", IF(COUNTIFS('Base Exámenes'!$C$5:$C$1000, A681, 'Base Exámenes'!$G$5:$G$1000, "&lt;&gt;")=0, "", _xlfn.MAXIFS('Base Exámenes'!$G$5:$G$1000, 'Base Exámenes'!$C$5:$C$1000, A681)), "")</f>
        <v/>
      </c>
      <c r="K681" s="6" t="str">
        <f>IF(F681="Completado", IFERROR(IF(INDEX('Base Exámenes'!$H$5:$H$1000, MATCH(A681&amp;"|"&amp;J681, 'Base Exámenes'!$I$5:$I$1000, 0))="", "", INDEX('Base Exámenes'!$H$5:$H$1000, MATCH(A681&amp;"|"&amp;J681, 'Base Exámenes'!$I$5:$I$1000, 0))), ""), "")</f>
        <v/>
      </c>
      <c r="L681" s="22" t="str">
        <f>IF($A681="","",COUNTIF('Base Exámenes'!$C$5:$C$1000, A681))</f>
        <v/>
      </c>
      <c r="M681" s="6" t="str">
        <f>IF($A681="","",IF(COUNTIF('Base Exámenes'!$C$5:$C$1000, A681)&gt;0, "", TRIM('Base Oficial'!H681)))</f>
        <v/>
      </c>
    </row>
    <row r="682">
      <c r="A682" s="4" t="str">
        <f>IF('Base Oficial'!A682="","",TRIM('Base Oficial'!A682))</f>
        <v/>
      </c>
      <c r="B682" s="6" t="str">
        <f>IF($A682="","",TRIM('Base Oficial'!B682))</f>
        <v/>
      </c>
      <c r="C682" s="6" t="str">
        <f>IF($A682="","",TRIM('Base Oficial'!F682))</f>
        <v/>
      </c>
      <c r="D682" s="6" t="str">
        <f>IF($A682="","",TRIM('Base Oficial'!G682))</f>
        <v/>
      </c>
      <c r="E682" s="6" t="str">
        <f>IF($A682="","",TRIM('Base Oficial'!D682))</f>
        <v/>
      </c>
      <c r="F682" s="4" t="str">
        <f>IF($A682="","",IF(COUNTIF('Base Exámenes'!$C$5:$C$1000, A682)&gt;0, "Completado", IF(M682&lt;&gt;"", M682, "Pendiente")))</f>
        <v/>
      </c>
      <c r="G682" s="11" t="str">
        <f>IF(F682="Completado", IFERROR(IF(INDEX('Base Exámenes'!$D$5:$D$1000, MATCH(A682&amp;"|"&amp;J682, 'Base Exámenes'!$I$5:$I$1000, 0))="", "", INDEX('Base Exámenes'!$D$5:$D$1000, MATCH(A682&amp;"|"&amp;J682, 'Base Exámenes'!$I$5:$I$1000, 0))), ""), "")</f>
        <v/>
      </c>
      <c r="H682" s="11" t="str">
        <f>IF(F682="Completado", IFERROR(IF(INDEX('Base Exámenes'!$E$5:$E$1000, MATCH(A682&amp;"|"&amp;J682, 'Base Exámenes'!$I$5:$I$1000, 0))="", "", INDEX('Base Exámenes'!$E$5:$E$1000, MATCH(A682&amp;"|"&amp;J682, 'Base Exámenes'!$I$5:$I$1000, 0))), ""), "")</f>
        <v/>
      </c>
      <c r="I682" s="10" t="str">
        <f>IF(F682="Completado", IFERROR(IF(INDEX('Base Exámenes'!$F$5:$F$1000, MATCH(A682&amp;"|"&amp;J682, 'Base Exámenes'!$I$5:$I$1000, 0))="", "", INDEX('Base Exámenes'!$F$5:$F$1000, MATCH(A682&amp;"|"&amp;J682, 'Base Exámenes'!$I$5:$I$1000, 0))), ""), "")</f>
        <v/>
      </c>
      <c r="J682" s="6" t="str">
        <f>IF(F682="Completado", IF(COUNTIFS('Base Exámenes'!$C$5:$C$1000, A682, 'Base Exámenes'!$G$5:$G$1000, "&lt;&gt;")=0, "", _xlfn.MAXIFS('Base Exámenes'!$G$5:$G$1000, 'Base Exámenes'!$C$5:$C$1000, A682)), "")</f>
        <v/>
      </c>
      <c r="K682" s="6" t="str">
        <f>IF(F682="Completado", IFERROR(IF(INDEX('Base Exámenes'!$H$5:$H$1000, MATCH(A682&amp;"|"&amp;J682, 'Base Exámenes'!$I$5:$I$1000, 0))="", "", INDEX('Base Exámenes'!$H$5:$H$1000, MATCH(A682&amp;"|"&amp;J682, 'Base Exámenes'!$I$5:$I$1000, 0))), ""), "")</f>
        <v/>
      </c>
      <c r="L682" s="22" t="str">
        <f>IF($A682="","",COUNTIF('Base Exámenes'!$C$5:$C$1000, A682))</f>
        <v/>
      </c>
      <c r="M682" s="6" t="str">
        <f>IF($A682="","",IF(COUNTIF('Base Exámenes'!$C$5:$C$1000, A682)&gt;0, "", TRIM('Base Oficial'!H682)))</f>
        <v/>
      </c>
    </row>
    <row r="683">
      <c r="A683" s="4" t="str">
        <f>IF('Base Oficial'!A683="","",TRIM('Base Oficial'!A683))</f>
        <v/>
      </c>
      <c r="B683" s="6" t="str">
        <f>IF($A683="","",TRIM('Base Oficial'!B683))</f>
        <v/>
      </c>
      <c r="C683" s="6" t="str">
        <f>IF($A683="","",TRIM('Base Oficial'!F683))</f>
        <v/>
      </c>
      <c r="D683" s="6" t="str">
        <f>IF($A683="","",TRIM('Base Oficial'!G683))</f>
        <v/>
      </c>
      <c r="E683" s="6" t="str">
        <f>IF($A683="","",TRIM('Base Oficial'!D683))</f>
        <v/>
      </c>
      <c r="F683" s="4" t="str">
        <f>IF($A683="","",IF(COUNTIF('Base Exámenes'!$C$5:$C$1000, A683)&gt;0, "Completado", IF(M683&lt;&gt;"", M683, "Pendiente")))</f>
        <v/>
      </c>
      <c r="G683" s="11" t="str">
        <f>IF(F683="Completado", IFERROR(IF(INDEX('Base Exámenes'!$D$5:$D$1000, MATCH(A683&amp;"|"&amp;J683, 'Base Exámenes'!$I$5:$I$1000, 0))="", "", INDEX('Base Exámenes'!$D$5:$D$1000, MATCH(A683&amp;"|"&amp;J683, 'Base Exámenes'!$I$5:$I$1000, 0))), ""), "")</f>
        <v/>
      </c>
      <c r="H683" s="11" t="str">
        <f>IF(F683="Completado", IFERROR(IF(INDEX('Base Exámenes'!$E$5:$E$1000, MATCH(A683&amp;"|"&amp;J683, 'Base Exámenes'!$I$5:$I$1000, 0))="", "", INDEX('Base Exámenes'!$E$5:$E$1000, MATCH(A683&amp;"|"&amp;J683, 'Base Exámenes'!$I$5:$I$1000, 0))), ""), "")</f>
        <v/>
      </c>
      <c r="I683" s="10" t="str">
        <f>IF(F683="Completado", IFERROR(IF(INDEX('Base Exámenes'!$F$5:$F$1000, MATCH(A683&amp;"|"&amp;J683, 'Base Exámenes'!$I$5:$I$1000, 0))="", "", INDEX('Base Exámenes'!$F$5:$F$1000, MATCH(A683&amp;"|"&amp;J683, 'Base Exámenes'!$I$5:$I$1000, 0))), ""), "")</f>
        <v/>
      </c>
      <c r="J683" s="6" t="str">
        <f>IF(F683="Completado", IF(COUNTIFS('Base Exámenes'!$C$5:$C$1000, A683, 'Base Exámenes'!$G$5:$G$1000, "&lt;&gt;")=0, "", _xlfn.MAXIFS('Base Exámenes'!$G$5:$G$1000, 'Base Exámenes'!$C$5:$C$1000, A683)), "")</f>
        <v/>
      </c>
      <c r="K683" s="6" t="str">
        <f>IF(F683="Completado", IFERROR(IF(INDEX('Base Exámenes'!$H$5:$H$1000, MATCH(A683&amp;"|"&amp;J683, 'Base Exámenes'!$I$5:$I$1000, 0))="", "", INDEX('Base Exámenes'!$H$5:$H$1000, MATCH(A683&amp;"|"&amp;J683, 'Base Exámenes'!$I$5:$I$1000, 0))), ""), "")</f>
        <v/>
      </c>
      <c r="L683" s="22" t="str">
        <f>IF($A683="","",COUNTIF('Base Exámenes'!$C$5:$C$1000, A683))</f>
        <v/>
      </c>
      <c r="M683" s="6" t="str">
        <f>IF($A683="","",IF(COUNTIF('Base Exámenes'!$C$5:$C$1000, A683)&gt;0, "", TRIM('Base Oficial'!H683)))</f>
        <v/>
      </c>
    </row>
    <row r="684">
      <c r="A684" s="4" t="str">
        <f>IF('Base Oficial'!A684="","",TRIM('Base Oficial'!A684))</f>
        <v/>
      </c>
      <c r="B684" s="6" t="str">
        <f>IF($A684="","",TRIM('Base Oficial'!B684))</f>
        <v/>
      </c>
      <c r="C684" s="6" t="str">
        <f>IF($A684="","",TRIM('Base Oficial'!F684))</f>
        <v/>
      </c>
      <c r="D684" s="6" t="str">
        <f>IF($A684="","",TRIM('Base Oficial'!G684))</f>
        <v/>
      </c>
      <c r="E684" s="6" t="str">
        <f>IF($A684="","",TRIM('Base Oficial'!D684))</f>
        <v/>
      </c>
      <c r="F684" s="4" t="str">
        <f>IF($A684="","",IF(COUNTIF('Base Exámenes'!$C$5:$C$1000, A684)&gt;0, "Completado", IF(M684&lt;&gt;"", M684, "Pendiente")))</f>
        <v/>
      </c>
      <c r="G684" s="11" t="str">
        <f>IF(F684="Completado", IFERROR(IF(INDEX('Base Exámenes'!$D$5:$D$1000, MATCH(A684&amp;"|"&amp;J684, 'Base Exámenes'!$I$5:$I$1000, 0))="", "", INDEX('Base Exámenes'!$D$5:$D$1000, MATCH(A684&amp;"|"&amp;J684, 'Base Exámenes'!$I$5:$I$1000, 0))), ""), "")</f>
        <v/>
      </c>
      <c r="H684" s="11" t="str">
        <f>IF(F684="Completado", IFERROR(IF(INDEX('Base Exámenes'!$E$5:$E$1000, MATCH(A684&amp;"|"&amp;J684, 'Base Exámenes'!$I$5:$I$1000, 0))="", "", INDEX('Base Exámenes'!$E$5:$E$1000, MATCH(A684&amp;"|"&amp;J684, 'Base Exámenes'!$I$5:$I$1000, 0))), ""), "")</f>
        <v/>
      </c>
      <c r="I684" s="10" t="str">
        <f>IF(F684="Completado", IFERROR(IF(INDEX('Base Exámenes'!$F$5:$F$1000, MATCH(A684&amp;"|"&amp;J684, 'Base Exámenes'!$I$5:$I$1000, 0))="", "", INDEX('Base Exámenes'!$F$5:$F$1000, MATCH(A684&amp;"|"&amp;J684, 'Base Exámenes'!$I$5:$I$1000, 0))), ""), "")</f>
        <v/>
      </c>
      <c r="J684" s="6" t="str">
        <f>IF(F684="Completado", IF(COUNTIFS('Base Exámenes'!$C$5:$C$1000, A684, 'Base Exámenes'!$G$5:$G$1000, "&lt;&gt;")=0, "", _xlfn.MAXIFS('Base Exámenes'!$G$5:$G$1000, 'Base Exámenes'!$C$5:$C$1000, A684)), "")</f>
        <v/>
      </c>
      <c r="K684" s="6" t="str">
        <f>IF(F684="Completado", IFERROR(IF(INDEX('Base Exámenes'!$H$5:$H$1000, MATCH(A684&amp;"|"&amp;J684, 'Base Exámenes'!$I$5:$I$1000, 0))="", "", INDEX('Base Exámenes'!$H$5:$H$1000, MATCH(A684&amp;"|"&amp;J684, 'Base Exámenes'!$I$5:$I$1000, 0))), ""), "")</f>
        <v/>
      </c>
      <c r="L684" s="22" t="str">
        <f>IF($A684="","",COUNTIF('Base Exámenes'!$C$5:$C$1000, A684))</f>
        <v/>
      </c>
      <c r="M684" s="6" t="str">
        <f>IF($A684="","",IF(COUNTIF('Base Exámenes'!$C$5:$C$1000, A684)&gt;0, "", TRIM('Base Oficial'!H684)))</f>
        <v/>
      </c>
    </row>
    <row r="685">
      <c r="A685" s="4" t="str">
        <f>IF('Base Oficial'!A685="","",TRIM('Base Oficial'!A685))</f>
        <v/>
      </c>
      <c r="B685" s="6" t="str">
        <f>IF($A685="","",TRIM('Base Oficial'!B685))</f>
        <v/>
      </c>
      <c r="C685" s="6" t="str">
        <f>IF($A685="","",TRIM('Base Oficial'!F685))</f>
        <v/>
      </c>
      <c r="D685" s="6" t="str">
        <f>IF($A685="","",TRIM('Base Oficial'!G685))</f>
        <v/>
      </c>
      <c r="E685" s="6" t="str">
        <f>IF($A685="","",TRIM('Base Oficial'!D685))</f>
        <v/>
      </c>
      <c r="F685" s="4" t="str">
        <f>IF($A685="","",IF(COUNTIF('Base Exámenes'!$C$5:$C$1000, A685)&gt;0, "Completado", IF(M685&lt;&gt;"", M685, "Pendiente")))</f>
        <v/>
      </c>
      <c r="G685" s="11" t="str">
        <f>IF(F685="Completado", IFERROR(IF(INDEX('Base Exámenes'!$D$5:$D$1000, MATCH(A685&amp;"|"&amp;J685, 'Base Exámenes'!$I$5:$I$1000, 0))="", "", INDEX('Base Exámenes'!$D$5:$D$1000, MATCH(A685&amp;"|"&amp;J685, 'Base Exámenes'!$I$5:$I$1000, 0))), ""), "")</f>
        <v/>
      </c>
      <c r="H685" s="11" t="str">
        <f>IF(F685="Completado", IFERROR(IF(INDEX('Base Exámenes'!$E$5:$E$1000, MATCH(A685&amp;"|"&amp;J685, 'Base Exámenes'!$I$5:$I$1000, 0))="", "", INDEX('Base Exámenes'!$E$5:$E$1000, MATCH(A685&amp;"|"&amp;J685, 'Base Exámenes'!$I$5:$I$1000, 0))), ""), "")</f>
        <v/>
      </c>
      <c r="I685" s="10" t="str">
        <f>IF(F685="Completado", IFERROR(IF(INDEX('Base Exámenes'!$F$5:$F$1000, MATCH(A685&amp;"|"&amp;J685, 'Base Exámenes'!$I$5:$I$1000, 0))="", "", INDEX('Base Exámenes'!$F$5:$F$1000, MATCH(A685&amp;"|"&amp;J685, 'Base Exámenes'!$I$5:$I$1000, 0))), ""), "")</f>
        <v/>
      </c>
      <c r="J685" s="6" t="str">
        <f>IF(F685="Completado", IF(COUNTIFS('Base Exámenes'!$C$5:$C$1000, A685, 'Base Exámenes'!$G$5:$G$1000, "&lt;&gt;")=0, "", _xlfn.MAXIFS('Base Exámenes'!$G$5:$G$1000, 'Base Exámenes'!$C$5:$C$1000, A685)), "")</f>
        <v/>
      </c>
      <c r="K685" s="6" t="str">
        <f>IF(F685="Completado", IFERROR(IF(INDEX('Base Exámenes'!$H$5:$H$1000, MATCH(A685&amp;"|"&amp;J685, 'Base Exámenes'!$I$5:$I$1000, 0))="", "", INDEX('Base Exámenes'!$H$5:$H$1000, MATCH(A685&amp;"|"&amp;J685, 'Base Exámenes'!$I$5:$I$1000, 0))), ""), "")</f>
        <v/>
      </c>
      <c r="L685" s="22" t="str">
        <f>IF($A685="","",COUNTIF('Base Exámenes'!$C$5:$C$1000, A685))</f>
        <v/>
      </c>
      <c r="M685" s="6" t="str">
        <f>IF($A685="","",IF(COUNTIF('Base Exámenes'!$C$5:$C$1000, A685)&gt;0, "", TRIM('Base Oficial'!H685)))</f>
        <v/>
      </c>
    </row>
    <row r="686">
      <c r="A686" s="4" t="str">
        <f>IF('Base Oficial'!A686="","",TRIM('Base Oficial'!A686))</f>
        <v/>
      </c>
      <c r="B686" s="6" t="str">
        <f>IF($A686="","",TRIM('Base Oficial'!B686))</f>
        <v/>
      </c>
      <c r="C686" s="6" t="str">
        <f>IF($A686="","",TRIM('Base Oficial'!F686))</f>
        <v/>
      </c>
      <c r="D686" s="6" t="str">
        <f>IF($A686="","",TRIM('Base Oficial'!G686))</f>
        <v/>
      </c>
      <c r="E686" s="6" t="str">
        <f>IF($A686="","",TRIM('Base Oficial'!D686))</f>
        <v/>
      </c>
      <c r="F686" s="4" t="str">
        <f>IF($A686="","",IF(COUNTIF('Base Exámenes'!$C$5:$C$1000, A686)&gt;0, "Completado", IF(M686&lt;&gt;"", M686, "Pendiente")))</f>
        <v/>
      </c>
      <c r="G686" s="11" t="str">
        <f>IF(F686="Completado", IFERROR(IF(INDEX('Base Exámenes'!$D$5:$D$1000, MATCH(A686&amp;"|"&amp;J686, 'Base Exámenes'!$I$5:$I$1000, 0))="", "", INDEX('Base Exámenes'!$D$5:$D$1000, MATCH(A686&amp;"|"&amp;J686, 'Base Exámenes'!$I$5:$I$1000, 0))), ""), "")</f>
        <v/>
      </c>
      <c r="H686" s="11" t="str">
        <f>IF(F686="Completado", IFERROR(IF(INDEX('Base Exámenes'!$E$5:$E$1000, MATCH(A686&amp;"|"&amp;J686, 'Base Exámenes'!$I$5:$I$1000, 0))="", "", INDEX('Base Exámenes'!$E$5:$E$1000, MATCH(A686&amp;"|"&amp;J686, 'Base Exámenes'!$I$5:$I$1000, 0))), ""), "")</f>
        <v/>
      </c>
      <c r="I686" s="10" t="str">
        <f>IF(F686="Completado", IFERROR(IF(INDEX('Base Exámenes'!$F$5:$F$1000, MATCH(A686&amp;"|"&amp;J686, 'Base Exámenes'!$I$5:$I$1000, 0))="", "", INDEX('Base Exámenes'!$F$5:$F$1000, MATCH(A686&amp;"|"&amp;J686, 'Base Exámenes'!$I$5:$I$1000, 0))), ""), "")</f>
        <v/>
      </c>
      <c r="J686" s="6" t="str">
        <f>IF(F686="Completado", IF(COUNTIFS('Base Exámenes'!$C$5:$C$1000, A686, 'Base Exámenes'!$G$5:$G$1000, "&lt;&gt;")=0, "", _xlfn.MAXIFS('Base Exámenes'!$G$5:$G$1000, 'Base Exámenes'!$C$5:$C$1000, A686)), "")</f>
        <v/>
      </c>
      <c r="K686" s="6" t="str">
        <f>IF(F686="Completado", IFERROR(IF(INDEX('Base Exámenes'!$H$5:$H$1000, MATCH(A686&amp;"|"&amp;J686, 'Base Exámenes'!$I$5:$I$1000, 0))="", "", INDEX('Base Exámenes'!$H$5:$H$1000, MATCH(A686&amp;"|"&amp;J686, 'Base Exámenes'!$I$5:$I$1000, 0))), ""), "")</f>
        <v/>
      </c>
      <c r="L686" s="22" t="str">
        <f>IF($A686="","",COUNTIF('Base Exámenes'!$C$5:$C$1000, A686))</f>
        <v/>
      </c>
      <c r="M686" s="6" t="str">
        <f>IF($A686="","",IF(COUNTIF('Base Exámenes'!$C$5:$C$1000, A686)&gt;0, "", TRIM('Base Oficial'!H686)))</f>
        <v/>
      </c>
    </row>
    <row r="687">
      <c r="A687" s="4" t="str">
        <f>IF('Base Oficial'!A687="","",TRIM('Base Oficial'!A687))</f>
        <v/>
      </c>
      <c r="B687" s="6" t="str">
        <f>IF($A687="","",TRIM('Base Oficial'!B687))</f>
        <v/>
      </c>
      <c r="C687" s="6" t="str">
        <f>IF($A687="","",TRIM('Base Oficial'!F687))</f>
        <v/>
      </c>
      <c r="D687" s="6" t="str">
        <f>IF($A687="","",TRIM('Base Oficial'!G687))</f>
        <v/>
      </c>
      <c r="E687" s="6" t="str">
        <f>IF($A687="","",TRIM('Base Oficial'!D687))</f>
        <v/>
      </c>
      <c r="F687" s="4" t="str">
        <f>IF($A687="","",IF(COUNTIF('Base Exámenes'!$C$5:$C$1000, A687)&gt;0, "Completado", IF(M687&lt;&gt;"", M687, "Pendiente")))</f>
        <v/>
      </c>
      <c r="G687" s="11" t="str">
        <f>IF(F687="Completado", IFERROR(IF(INDEX('Base Exámenes'!$D$5:$D$1000, MATCH(A687&amp;"|"&amp;J687, 'Base Exámenes'!$I$5:$I$1000, 0))="", "", INDEX('Base Exámenes'!$D$5:$D$1000, MATCH(A687&amp;"|"&amp;J687, 'Base Exámenes'!$I$5:$I$1000, 0))), ""), "")</f>
        <v/>
      </c>
      <c r="H687" s="11" t="str">
        <f>IF(F687="Completado", IFERROR(IF(INDEX('Base Exámenes'!$E$5:$E$1000, MATCH(A687&amp;"|"&amp;J687, 'Base Exámenes'!$I$5:$I$1000, 0))="", "", INDEX('Base Exámenes'!$E$5:$E$1000, MATCH(A687&amp;"|"&amp;J687, 'Base Exámenes'!$I$5:$I$1000, 0))), ""), "")</f>
        <v/>
      </c>
      <c r="I687" s="10" t="str">
        <f>IF(F687="Completado", IFERROR(IF(INDEX('Base Exámenes'!$F$5:$F$1000, MATCH(A687&amp;"|"&amp;J687, 'Base Exámenes'!$I$5:$I$1000, 0))="", "", INDEX('Base Exámenes'!$F$5:$F$1000, MATCH(A687&amp;"|"&amp;J687, 'Base Exámenes'!$I$5:$I$1000, 0))), ""), "")</f>
        <v/>
      </c>
      <c r="J687" s="6" t="str">
        <f>IF(F687="Completado", IF(COUNTIFS('Base Exámenes'!$C$5:$C$1000, A687, 'Base Exámenes'!$G$5:$G$1000, "&lt;&gt;")=0, "", _xlfn.MAXIFS('Base Exámenes'!$G$5:$G$1000, 'Base Exámenes'!$C$5:$C$1000, A687)), "")</f>
        <v/>
      </c>
      <c r="K687" s="6" t="str">
        <f>IF(F687="Completado", IFERROR(IF(INDEX('Base Exámenes'!$H$5:$H$1000, MATCH(A687&amp;"|"&amp;J687, 'Base Exámenes'!$I$5:$I$1000, 0))="", "", INDEX('Base Exámenes'!$H$5:$H$1000, MATCH(A687&amp;"|"&amp;J687, 'Base Exámenes'!$I$5:$I$1000, 0))), ""), "")</f>
        <v/>
      </c>
      <c r="L687" s="22" t="str">
        <f>IF($A687="","",COUNTIF('Base Exámenes'!$C$5:$C$1000, A687))</f>
        <v/>
      </c>
      <c r="M687" s="6" t="str">
        <f>IF($A687="","",IF(COUNTIF('Base Exámenes'!$C$5:$C$1000, A687)&gt;0, "", TRIM('Base Oficial'!H687)))</f>
        <v/>
      </c>
    </row>
    <row r="688">
      <c r="A688" s="4" t="str">
        <f>IF('Base Oficial'!A688="","",TRIM('Base Oficial'!A688))</f>
        <v/>
      </c>
      <c r="B688" s="6" t="str">
        <f>IF($A688="","",TRIM('Base Oficial'!B688))</f>
        <v/>
      </c>
      <c r="C688" s="6" t="str">
        <f>IF($A688="","",TRIM('Base Oficial'!F688))</f>
        <v/>
      </c>
      <c r="D688" s="6" t="str">
        <f>IF($A688="","",TRIM('Base Oficial'!G688))</f>
        <v/>
      </c>
      <c r="E688" s="6" t="str">
        <f>IF($A688="","",TRIM('Base Oficial'!D688))</f>
        <v/>
      </c>
      <c r="F688" s="4" t="str">
        <f>IF($A688="","",IF(COUNTIF('Base Exámenes'!$C$5:$C$1000, A688)&gt;0, "Completado", IF(M688&lt;&gt;"", M688, "Pendiente")))</f>
        <v/>
      </c>
      <c r="G688" s="11" t="str">
        <f>IF(F688="Completado", IFERROR(IF(INDEX('Base Exámenes'!$D$5:$D$1000, MATCH(A688&amp;"|"&amp;J688, 'Base Exámenes'!$I$5:$I$1000, 0))="", "", INDEX('Base Exámenes'!$D$5:$D$1000, MATCH(A688&amp;"|"&amp;J688, 'Base Exámenes'!$I$5:$I$1000, 0))), ""), "")</f>
        <v/>
      </c>
      <c r="H688" s="11" t="str">
        <f>IF(F688="Completado", IFERROR(IF(INDEX('Base Exámenes'!$E$5:$E$1000, MATCH(A688&amp;"|"&amp;J688, 'Base Exámenes'!$I$5:$I$1000, 0))="", "", INDEX('Base Exámenes'!$E$5:$E$1000, MATCH(A688&amp;"|"&amp;J688, 'Base Exámenes'!$I$5:$I$1000, 0))), ""), "")</f>
        <v/>
      </c>
      <c r="I688" s="10" t="str">
        <f>IF(F688="Completado", IFERROR(IF(INDEX('Base Exámenes'!$F$5:$F$1000, MATCH(A688&amp;"|"&amp;J688, 'Base Exámenes'!$I$5:$I$1000, 0))="", "", INDEX('Base Exámenes'!$F$5:$F$1000, MATCH(A688&amp;"|"&amp;J688, 'Base Exámenes'!$I$5:$I$1000, 0))), ""), "")</f>
        <v/>
      </c>
      <c r="J688" s="6" t="str">
        <f>IF(F688="Completado", IF(COUNTIFS('Base Exámenes'!$C$5:$C$1000, A688, 'Base Exámenes'!$G$5:$G$1000, "&lt;&gt;")=0, "", _xlfn.MAXIFS('Base Exámenes'!$G$5:$G$1000, 'Base Exámenes'!$C$5:$C$1000, A688)), "")</f>
        <v/>
      </c>
      <c r="K688" s="6" t="str">
        <f>IF(F688="Completado", IFERROR(IF(INDEX('Base Exámenes'!$H$5:$H$1000, MATCH(A688&amp;"|"&amp;J688, 'Base Exámenes'!$I$5:$I$1000, 0))="", "", INDEX('Base Exámenes'!$H$5:$H$1000, MATCH(A688&amp;"|"&amp;J688, 'Base Exámenes'!$I$5:$I$1000, 0))), ""), "")</f>
        <v/>
      </c>
      <c r="L688" s="22" t="str">
        <f>IF($A688="","",COUNTIF('Base Exámenes'!$C$5:$C$1000, A688))</f>
        <v/>
      </c>
      <c r="M688" s="6" t="str">
        <f>IF($A688="","",IF(COUNTIF('Base Exámenes'!$C$5:$C$1000, A688)&gt;0, "", TRIM('Base Oficial'!H688)))</f>
        <v/>
      </c>
    </row>
    <row r="689">
      <c r="A689" s="4" t="str">
        <f>IF('Base Oficial'!A689="","",TRIM('Base Oficial'!A689))</f>
        <v/>
      </c>
      <c r="B689" s="6" t="str">
        <f>IF($A689="","",TRIM('Base Oficial'!B689))</f>
        <v/>
      </c>
      <c r="C689" s="6" t="str">
        <f>IF($A689="","",TRIM('Base Oficial'!F689))</f>
        <v/>
      </c>
      <c r="D689" s="6" t="str">
        <f>IF($A689="","",TRIM('Base Oficial'!G689))</f>
        <v/>
      </c>
      <c r="E689" s="6" t="str">
        <f>IF($A689="","",TRIM('Base Oficial'!D689))</f>
        <v/>
      </c>
      <c r="F689" s="4" t="str">
        <f>IF($A689="","",IF(COUNTIF('Base Exámenes'!$C$5:$C$1000, A689)&gt;0, "Completado", IF(M689&lt;&gt;"", M689, "Pendiente")))</f>
        <v/>
      </c>
      <c r="G689" s="11" t="str">
        <f>IF(F689="Completado", IFERROR(IF(INDEX('Base Exámenes'!$D$5:$D$1000, MATCH(A689&amp;"|"&amp;J689, 'Base Exámenes'!$I$5:$I$1000, 0))="", "", INDEX('Base Exámenes'!$D$5:$D$1000, MATCH(A689&amp;"|"&amp;J689, 'Base Exámenes'!$I$5:$I$1000, 0))), ""), "")</f>
        <v/>
      </c>
      <c r="H689" s="11" t="str">
        <f>IF(F689="Completado", IFERROR(IF(INDEX('Base Exámenes'!$E$5:$E$1000, MATCH(A689&amp;"|"&amp;J689, 'Base Exámenes'!$I$5:$I$1000, 0))="", "", INDEX('Base Exámenes'!$E$5:$E$1000, MATCH(A689&amp;"|"&amp;J689, 'Base Exámenes'!$I$5:$I$1000, 0))), ""), "")</f>
        <v/>
      </c>
      <c r="I689" s="10" t="str">
        <f>IF(F689="Completado", IFERROR(IF(INDEX('Base Exámenes'!$F$5:$F$1000, MATCH(A689&amp;"|"&amp;J689, 'Base Exámenes'!$I$5:$I$1000, 0))="", "", INDEX('Base Exámenes'!$F$5:$F$1000, MATCH(A689&amp;"|"&amp;J689, 'Base Exámenes'!$I$5:$I$1000, 0))), ""), "")</f>
        <v/>
      </c>
      <c r="J689" s="6" t="str">
        <f>IF(F689="Completado", IF(COUNTIFS('Base Exámenes'!$C$5:$C$1000, A689, 'Base Exámenes'!$G$5:$G$1000, "&lt;&gt;")=0, "", _xlfn.MAXIFS('Base Exámenes'!$G$5:$G$1000, 'Base Exámenes'!$C$5:$C$1000, A689)), "")</f>
        <v/>
      </c>
      <c r="K689" s="6" t="str">
        <f>IF(F689="Completado", IFERROR(IF(INDEX('Base Exámenes'!$H$5:$H$1000, MATCH(A689&amp;"|"&amp;J689, 'Base Exámenes'!$I$5:$I$1000, 0))="", "", INDEX('Base Exámenes'!$H$5:$H$1000, MATCH(A689&amp;"|"&amp;J689, 'Base Exámenes'!$I$5:$I$1000, 0))), ""), "")</f>
        <v/>
      </c>
      <c r="L689" s="22" t="str">
        <f>IF($A689="","",COUNTIF('Base Exámenes'!$C$5:$C$1000, A689))</f>
        <v/>
      </c>
      <c r="M689" s="6" t="str">
        <f>IF($A689="","",IF(COUNTIF('Base Exámenes'!$C$5:$C$1000, A689)&gt;0, "", TRIM('Base Oficial'!H689)))</f>
        <v/>
      </c>
    </row>
    <row r="690">
      <c r="A690" s="4" t="str">
        <f>IF('Base Oficial'!A690="","",TRIM('Base Oficial'!A690))</f>
        <v/>
      </c>
      <c r="B690" s="6" t="str">
        <f>IF($A690="","",TRIM('Base Oficial'!B690))</f>
        <v/>
      </c>
      <c r="C690" s="6" t="str">
        <f>IF($A690="","",TRIM('Base Oficial'!F690))</f>
        <v/>
      </c>
      <c r="D690" s="6" t="str">
        <f>IF($A690="","",TRIM('Base Oficial'!G690))</f>
        <v/>
      </c>
      <c r="E690" s="6" t="str">
        <f>IF($A690="","",TRIM('Base Oficial'!D690))</f>
        <v/>
      </c>
      <c r="F690" s="4" t="str">
        <f>IF($A690="","",IF(COUNTIF('Base Exámenes'!$C$5:$C$1000, A690)&gt;0, "Completado", IF(M690&lt;&gt;"", M690, "Pendiente")))</f>
        <v/>
      </c>
      <c r="G690" s="11" t="str">
        <f>IF(F690="Completado", IFERROR(IF(INDEX('Base Exámenes'!$D$5:$D$1000, MATCH(A690&amp;"|"&amp;J690, 'Base Exámenes'!$I$5:$I$1000, 0))="", "", INDEX('Base Exámenes'!$D$5:$D$1000, MATCH(A690&amp;"|"&amp;J690, 'Base Exámenes'!$I$5:$I$1000, 0))), ""), "")</f>
        <v/>
      </c>
      <c r="H690" s="11" t="str">
        <f>IF(F690="Completado", IFERROR(IF(INDEX('Base Exámenes'!$E$5:$E$1000, MATCH(A690&amp;"|"&amp;J690, 'Base Exámenes'!$I$5:$I$1000, 0))="", "", INDEX('Base Exámenes'!$E$5:$E$1000, MATCH(A690&amp;"|"&amp;J690, 'Base Exámenes'!$I$5:$I$1000, 0))), ""), "")</f>
        <v/>
      </c>
      <c r="I690" s="10" t="str">
        <f>IF(F690="Completado", IFERROR(IF(INDEX('Base Exámenes'!$F$5:$F$1000, MATCH(A690&amp;"|"&amp;J690, 'Base Exámenes'!$I$5:$I$1000, 0))="", "", INDEX('Base Exámenes'!$F$5:$F$1000, MATCH(A690&amp;"|"&amp;J690, 'Base Exámenes'!$I$5:$I$1000, 0))), ""), "")</f>
        <v/>
      </c>
      <c r="J690" s="6" t="str">
        <f>IF(F690="Completado", IF(COUNTIFS('Base Exámenes'!$C$5:$C$1000, A690, 'Base Exámenes'!$G$5:$G$1000, "&lt;&gt;")=0, "", _xlfn.MAXIFS('Base Exámenes'!$G$5:$G$1000, 'Base Exámenes'!$C$5:$C$1000, A690)), "")</f>
        <v/>
      </c>
      <c r="K690" s="6" t="str">
        <f>IF(F690="Completado", IFERROR(IF(INDEX('Base Exámenes'!$H$5:$H$1000, MATCH(A690&amp;"|"&amp;J690, 'Base Exámenes'!$I$5:$I$1000, 0))="", "", INDEX('Base Exámenes'!$H$5:$H$1000, MATCH(A690&amp;"|"&amp;J690, 'Base Exámenes'!$I$5:$I$1000, 0))), ""), "")</f>
        <v/>
      </c>
      <c r="L690" s="22" t="str">
        <f>IF($A690="","",COUNTIF('Base Exámenes'!$C$5:$C$1000, A690))</f>
        <v/>
      </c>
      <c r="M690" s="6" t="str">
        <f>IF($A690="","",IF(COUNTIF('Base Exámenes'!$C$5:$C$1000, A690)&gt;0, "", TRIM('Base Oficial'!H690)))</f>
        <v/>
      </c>
    </row>
    <row r="691">
      <c r="A691" s="4" t="str">
        <f>IF('Base Oficial'!A691="","",TRIM('Base Oficial'!A691))</f>
        <v/>
      </c>
      <c r="B691" s="6" t="str">
        <f>IF($A691="","",TRIM('Base Oficial'!B691))</f>
        <v/>
      </c>
      <c r="C691" s="6" t="str">
        <f>IF($A691="","",TRIM('Base Oficial'!F691))</f>
        <v/>
      </c>
      <c r="D691" s="6" t="str">
        <f>IF($A691="","",TRIM('Base Oficial'!G691))</f>
        <v/>
      </c>
      <c r="E691" s="6" t="str">
        <f>IF($A691="","",TRIM('Base Oficial'!D691))</f>
        <v/>
      </c>
      <c r="F691" s="4" t="str">
        <f>IF($A691="","",IF(COUNTIF('Base Exámenes'!$C$5:$C$1000, A691)&gt;0, "Completado", IF(M691&lt;&gt;"", M691, "Pendiente")))</f>
        <v/>
      </c>
      <c r="G691" s="11" t="str">
        <f>IF(F691="Completado", IFERROR(IF(INDEX('Base Exámenes'!$D$5:$D$1000, MATCH(A691&amp;"|"&amp;J691, 'Base Exámenes'!$I$5:$I$1000, 0))="", "", INDEX('Base Exámenes'!$D$5:$D$1000, MATCH(A691&amp;"|"&amp;J691, 'Base Exámenes'!$I$5:$I$1000, 0))), ""), "")</f>
        <v/>
      </c>
      <c r="H691" s="11" t="str">
        <f>IF(F691="Completado", IFERROR(IF(INDEX('Base Exámenes'!$E$5:$E$1000, MATCH(A691&amp;"|"&amp;J691, 'Base Exámenes'!$I$5:$I$1000, 0))="", "", INDEX('Base Exámenes'!$E$5:$E$1000, MATCH(A691&amp;"|"&amp;J691, 'Base Exámenes'!$I$5:$I$1000, 0))), ""), "")</f>
        <v/>
      </c>
      <c r="I691" s="10" t="str">
        <f>IF(F691="Completado", IFERROR(IF(INDEX('Base Exámenes'!$F$5:$F$1000, MATCH(A691&amp;"|"&amp;J691, 'Base Exámenes'!$I$5:$I$1000, 0))="", "", INDEX('Base Exámenes'!$F$5:$F$1000, MATCH(A691&amp;"|"&amp;J691, 'Base Exámenes'!$I$5:$I$1000, 0))), ""), "")</f>
        <v/>
      </c>
      <c r="J691" s="6" t="str">
        <f>IF(F691="Completado", IF(COUNTIFS('Base Exámenes'!$C$5:$C$1000, A691, 'Base Exámenes'!$G$5:$G$1000, "&lt;&gt;")=0, "", _xlfn.MAXIFS('Base Exámenes'!$G$5:$G$1000, 'Base Exámenes'!$C$5:$C$1000, A691)), "")</f>
        <v/>
      </c>
      <c r="K691" s="6" t="str">
        <f>IF(F691="Completado", IFERROR(IF(INDEX('Base Exámenes'!$H$5:$H$1000, MATCH(A691&amp;"|"&amp;J691, 'Base Exámenes'!$I$5:$I$1000, 0))="", "", INDEX('Base Exámenes'!$H$5:$H$1000, MATCH(A691&amp;"|"&amp;J691, 'Base Exámenes'!$I$5:$I$1000, 0))), ""), "")</f>
        <v/>
      </c>
      <c r="L691" s="22" t="str">
        <f>IF($A691="","",COUNTIF('Base Exámenes'!$C$5:$C$1000, A691))</f>
        <v/>
      </c>
      <c r="M691" s="6" t="str">
        <f>IF($A691="","",IF(COUNTIF('Base Exámenes'!$C$5:$C$1000, A691)&gt;0, "", TRIM('Base Oficial'!H691)))</f>
        <v/>
      </c>
    </row>
    <row r="692">
      <c r="A692" s="4" t="str">
        <f>IF('Base Oficial'!A692="","",TRIM('Base Oficial'!A692))</f>
        <v/>
      </c>
      <c r="B692" s="6" t="str">
        <f>IF($A692="","",TRIM('Base Oficial'!B692))</f>
        <v/>
      </c>
      <c r="C692" s="6" t="str">
        <f>IF($A692="","",TRIM('Base Oficial'!F692))</f>
        <v/>
      </c>
      <c r="D692" s="6" t="str">
        <f>IF($A692="","",TRIM('Base Oficial'!G692))</f>
        <v/>
      </c>
      <c r="E692" s="6" t="str">
        <f>IF($A692="","",TRIM('Base Oficial'!D692))</f>
        <v/>
      </c>
      <c r="F692" s="4" t="str">
        <f>IF($A692="","",IF(COUNTIF('Base Exámenes'!$C$5:$C$1000, A692)&gt;0, "Completado", IF(M692&lt;&gt;"", M692, "Pendiente")))</f>
        <v/>
      </c>
      <c r="G692" s="11" t="str">
        <f>IF(F692="Completado", IFERROR(IF(INDEX('Base Exámenes'!$D$5:$D$1000, MATCH(A692&amp;"|"&amp;J692, 'Base Exámenes'!$I$5:$I$1000, 0))="", "", INDEX('Base Exámenes'!$D$5:$D$1000, MATCH(A692&amp;"|"&amp;J692, 'Base Exámenes'!$I$5:$I$1000, 0))), ""), "")</f>
        <v/>
      </c>
      <c r="H692" s="11" t="str">
        <f>IF(F692="Completado", IFERROR(IF(INDEX('Base Exámenes'!$E$5:$E$1000, MATCH(A692&amp;"|"&amp;J692, 'Base Exámenes'!$I$5:$I$1000, 0))="", "", INDEX('Base Exámenes'!$E$5:$E$1000, MATCH(A692&amp;"|"&amp;J692, 'Base Exámenes'!$I$5:$I$1000, 0))), ""), "")</f>
        <v/>
      </c>
      <c r="I692" s="10" t="str">
        <f>IF(F692="Completado", IFERROR(IF(INDEX('Base Exámenes'!$F$5:$F$1000, MATCH(A692&amp;"|"&amp;J692, 'Base Exámenes'!$I$5:$I$1000, 0))="", "", INDEX('Base Exámenes'!$F$5:$F$1000, MATCH(A692&amp;"|"&amp;J692, 'Base Exámenes'!$I$5:$I$1000, 0))), ""), "")</f>
        <v/>
      </c>
      <c r="J692" s="6" t="str">
        <f>IF(F692="Completado", IF(COUNTIFS('Base Exámenes'!$C$5:$C$1000, A692, 'Base Exámenes'!$G$5:$G$1000, "&lt;&gt;")=0, "", _xlfn.MAXIFS('Base Exámenes'!$G$5:$G$1000, 'Base Exámenes'!$C$5:$C$1000, A692)), "")</f>
        <v/>
      </c>
      <c r="K692" s="6" t="str">
        <f>IF(F692="Completado", IFERROR(IF(INDEX('Base Exámenes'!$H$5:$H$1000, MATCH(A692&amp;"|"&amp;J692, 'Base Exámenes'!$I$5:$I$1000, 0))="", "", INDEX('Base Exámenes'!$H$5:$H$1000, MATCH(A692&amp;"|"&amp;J692, 'Base Exámenes'!$I$5:$I$1000, 0))), ""), "")</f>
        <v/>
      </c>
      <c r="L692" s="22" t="str">
        <f>IF($A692="","",COUNTIF('Base Exámenes'!$C$5:$C$1000, A692))</f>
        <v/>
      </c>
      <c r="M692" s="6" t="str">
        <f>IF($A692="","",IF(COUNTIF('Base Exámenes'!$C$5:$C$1000, A692)&gt;0, "", TRIM('Base Oficial'!H692)))</f>
        <v/>
      </c>
    </row>
    <row r="693">
      <c r="A693" s="4" t="str">
        <f>IF('Base Oficial'!A693="","",TRIM('Base Oficial'!A693))</f>
        <v/>
      </c>
      <c r="B693" s="6" t="str">
        <f>IF($A693="","",TRIM('Base Oficial'!B693))</f>
        <v/>
      </c>
      <c r="C693" s="6" t="str">
        <f>IF($A693="","",TRIM('Base Oficial'!F693))</f>
        <v/>
      </c>
      <c r="D693" s="6" t="str">
        <f>IF($A693="","",TRIM('Base Oficial'!G693))</f>
        <v/>
      </c>
      <c r="E693" s="6" t="str">
        <f>IF($A693="","",TRIM('Base Oficial'!D693))</f>
        <v/>
      </c>
      <c r="F693" s="4" t="str">
        <f>IF($A693="","",IF(COUNTIF('Base Exámenes'!$C$5:$C$1000, A693)&gt;0, "Completado", IF(M693&lt;&gt;"", M693, "Pendiente")))</f>
        <v/>
      </c>
      <c r="G693" s="11" t="str">
        <f>IF(F693="Completado", IFERROR(IF(INDEX('Base Exámenes'!$D$5:$D$1000, MATCH(A693&amp;"|"&amp;J693, 'Base Exámenes'!$I$5:$I$1000, 0))="", "", INDEX('Base Exámenes'!$D$5:$D$1000, MATCH(A693&amp;"|"&amp;J693, 'Base Exámenes'!$I$5:$I$1000, 0))), ""), "")</f>
        <v/>
      </c>
      <c r="H693" s="11" t="str">
        <f>IF(F693="Completado", IFERROR(IF(INDEX('Base Exámenes'!$E$5:$E$1000, MATCH(A693&amp;"|"&amp;J693, 'Base Exámenes'!$I$5:$I$1000, 0))="", "", INDEX('Base Exámenes'!$E$5:$E$1000, MATCH(A693&amp;"|"&amp;J693, 'Base Exámenes'!$I$5:$I$1000, 0))), ""), "")</f>
        <v/>
      </c>
      <c r="I693" s="10" t="str">
        <f>IF(F693="Completado", IFERROR(IF(INDEX('Base Exámenes'!$F$5:$F$1000, MATCH(A693&amp;"|"&amp;J693, 'Base Exámenes'!$I$5:$I$1000, 0))="", "", INDEX('Base Exámenes'!$F$5:$F$1000, MATCH(A693&amp;"|"&amp;J693, 'Base Exámenes'!$I$5:$I$1000, 0))), ""), "")</f>
        <v/>
      </c>
      <c r="J693" s="6" t="str">
        <f>IF(F693="Completado", IF(COUNTIFS('Base Exámenes'!$C$5:$C$1000, A693, 'Base Exámenes'!$G$5:$G$1000, "&lt;&gt;")=0, "", _xlfn.MAXIFS('Base Exámenes'!$G$5:$G$1000, 'Base Exámenes'!$C$5:$C$1000, A693)), "")</f>
        <v/>
      </c>
      <c r="K693" s="6" t="str">
        <f>IF(F693="Completado", IFERROR(IF(INDEX('Base Exámenes'!$H$5:$H$1000, MATCH(A693&amp;"|"&amp;J693, 'Base Exámenes'!$I$5:$I$1000, 0))="", "", INDEX('Base Exámenes'!$H$5:$H$1000, MATCH(A693&amp;"|"&amp;J693, 'Base Exámenes'!$I$5:$I$1000, 0))), ""), "")</f>
        <v/>
      </c>
      <c r="L693" s="22" t="str">
        <f>IF($A693="","",COUNTIF('Base Exámenes'!$C$5:$C$1000, A693))</f>
        <v/>
      </c>
      <c r="M693" s="6" t="str">
        <f>IF($A693="","",IF(COUNTIF('Base Exámenes'!$C$5:$C$1000, A693)&gt;0, "", TRIM('Base Oficial'!H693)))</f>
        <v/>
      </c>
    </row>
    <row r="694">
      <c r="A694" s="4" t="str">
        <f>IF('Base Oficial'!A694="","",TRIM('Base Oficial'!A694))</f>
        <v/>
      </c>
      <c r="B694" s="6" t="str">
        <f>IF($A694="","",TRIM('Base Oficial'!B694))</f>
        <v/>
      </c>
      <c r="C694" s="6" t="str">
        <f>IF($A694="","",TRIM('Base Oficial'!F694))</f>
        <v/>
      </c>
      <c r="D694" s="6" t="str">
        <f>IF($A694="","",TRIM('Base Oficial'!G694))</f>
        <v/>
      </c>
      <c r="E694" s="6" t="str">
        <f>IF($A694="","",TRIM('Base Oficial'!D694))</f>
        <v/>
      </c>
      <c r="F694" s="4" t="str">
        <f>IF($A694="","",IF(COUNTIF('Base Exámenes'!$C$5:$C$1000, A694)&gt;0, "Completado", IF(M694&lt;&gt;"", M694, "Pendiente")))</f>
        <v/>
      </c>
      <c r="G694" s="11" t="str">
        <f>IF(F694="Completado", IFERROR(IF(INDEX('Base Exámenes'!$D$5:$D$1000, MATCH(A694&amp;"|"&amp;J694, 'Base Exámenes'!$I$5:$I$1000, 0))="", "", INDEX('Base Exámenes'!$D$5:$D$1000, MATCH(A694&amp;"|"&amp;J694, 'Base Exámenes'!$I$5:$I$1000, 0))), ""), "")</f>
        <v/>
      </c>
      <c r="H694" s="11" t="str">
        <f>IF(F694="Completado", IFERROR(IF(INDEX('Base Exámenes'!$E$5:$E$1000, MATCH(A694&amp;"|"&amp;J694, 'Base Exámenes'!$I$5:$I$1000, 0))="", "", INDEX('Base Exámenes'!$E$5:$E$1000, MATCH(A694&amp;"|"&amp;J694, 'Base Exámenes'!$I$5:$I$1000, 0))), ""), "")</f>
        <v/>
      </c>
      <c r="I694" s="10" t="str">
        <f>IF(F694="Completado", IFERROR(IF(INDEX('Base Exámenes'!$F$5:$F$1000, MATCH(A694&amp;"|"&amp;J694, 'Base Exámenes'!$I$5:$I$1000, 0))="", "", INDEX('Base Exámenes'!$F$5:$F$1000, MATCH(A694&amp;"|"&amp;J694, 'Base Exámenes'!$I$5:$I$1000, 0))), ""), "")</f>
        <v/>
      </c>
      <c r="J694" s="6" t="str">
        <f>IF(F694="Completado", IF(COUNTIFS('Base Exámenes'!$C$5:$C$1000, A694, 'Base Exámenes'!$G$5:$G$1000, "&lt;&gt;")=0, "", _xlfn.MAXIFS('Base Exámenes'!$G$5:$G$1000, 'Base Exámenes'!$C$5:$C$1000, A694)), "")</f>
        <v/>
      </c>
      <c r="K694" s="6" t="str">
        <f>IF(F694="Completado", IFERROR(IF(INDEX('Base Exámenes'!$H$5:$H$1000, MATCH(A694&amp;"|"&amp;J694, 'Base Exámenes'!$I$5:$I$1000, 0))="", "", INDEX('Base Exámenes'!$H$5:$H$1000, MATCH(A694&amp;"|"&amp;J694, 'Base Exámenes'!$I$5:$I$1000, 0))), ""), "")</f>
        <v/>
      </c>
      <c r="L694" s="22" t="str">
        <f>IF($A694="","",COUNTIF('Base Exámenes'!$C$5:$C$1000, A694))</f>
        <v/>
      </c>
      <c r="M694" s="6" t="str">
        <f>IF($A694="","",IF(COUNTIF('Base Exámenes'!$C$5:$C$1000, A694)&gt;0, "", TRIM('Base Oficial'!H694)))</f>
        <v/>
      </c>
    </row>
    <row r="695">
      <c r="A695" s="4" t="str">
        <f>IF('Base Oficial'!A695="","",TRIM('Base Oficial'!A695))</f>
        <v/>
      </c>
      <c r="B695" s="6" t="str">
        <f>IF($A695="","",TRIM('Base Oficial'!B695))</f>
        <v/>
      </c>
      <c r="C695" s="6" t="str">
        <f>IF($A695="","",TRIM('Base Oficial'!F695))</f>
        <v/>
      </c>
      <c r="D695" s="6" t="str">
        <f>IF($A695="","",TRIM('Base Oficial'!G695))</f>
        <v/>
      </c>
      <c r="E695" s="6" t="str">
        <f>IF($A695="","",TRIM('Base Oficial'!D695))</f>
        <v/>
      </c>
      <c r="F695" s="4" t="str">
        <f>IF($A695="","",IF(COUNTIF('Base Exámenes'!$C$5:$C$1000, A695)&gt;0, "Completado", IF(M695&lt;&gt;"", M695, "Pendiente")))</f>
        <v/>
      </c>
      <c r="G695" s="11" t="str">
        <f>IF(F695="Completado", IFERROR(IF(INDEX('Base Exámenes'!$D$5:$D$1000, MATCH(A695&amp;"|"&amp;J695, 'Base Exámenes'!$I$5:$I$1000, 0))="", "", INDEX('Base Exámenes'!$D$5:$D$1000, MATCH(A695&amp;"|"&amp;J695, 'Base Exámenes'!$I$5:$I$1000, 0))), ""), "")</f>
        <v/>
      </c>
      <c r="H695" s="11" t="str">
        <f>IF(F695="Completado", IFERROR(IF(INDEX('Base Exámenes'!$E$5:$E$1000, MATCH(A695&amp;"|"&amp;J695, 'Base Exámenes'!$I$5:$I$1000, 0))="", "", INDEX('Base Exámenes'!$E$5:$E$1000, MATCH(A695&amp;"|"&amp;J695, 'Base Exámenes'!$I$5:$I$1000, 0))), ""), "")</f>
        <v/>
      </c>
      <c r="I695" s="10" t="str">
        <f>IF(F695="Completado", IFERROR(IF(INDEX('Base Exámenes'!$F$5:$F$1000, MATCH(A695&amp;"|"&amp;J695, 'Base Exámenes'!$I$5:$I$1000, 0))="", "", INDEX('Base Exámenes'!$F$5:$F$1000, MATCH(A695&amp;"|"&amp;J695, 'Base Exámenes'!$I$5:$I$1000, 0))), ""), "")</f>
        <v/>
      </c>
      <c r="J695" s="6" t="str">
        <f>IF(F695="Completado", IF(COUNTIFS('Base Exámenes'!$C$5:$C$1000, A695, 'Base Exámenes'!$G$5:$G$1000, "&lt;&gt;")=0, "", _xlfn.MAXIFS('Base Exámenes'!$G$5:$G$1000, 'Base Exámenes'!$C$5:$C$1000, A695)), "")</f>
        <v/>
      </c>
      <c r="K695" s="6" t="str">
        <f>IF(F695="Completado", IFERROR(IF(INDEX('Base Exámenes'!$H$5:$H$1000, MATCH(A695&amp;"|"&amp;J695, 'Base Exámenes'!$I$5:$I$1000, 0))="", "", INDEX('Base Exámenes'!$H$5:$H$1000, MATCH(A695&amp;"|"&amp;J695, 'Base Exámenes'!$I$5:$I$1000, 0))), ""), "")</f>
        <v/>
      </c>
      <c r="L695" s="22" t="str">
        <f>IF($A695="","",COUNTIF('Base Exámenes'!$C$5:$C$1000, A695))</f>
        <v/>
      </c>
      <c r="M695" s="6" t="str">
        <f>IF($A695="","",IF(COUNTIF('Base Exámenes'!$C$5:$C$1000, A695)&gt;0, "", TRIM('Base Oficial'!H695)))</f>
        <v/>
      </c>
    </row>
    <row r="696">
      <c r="A696" s="4" t="str">
        <f>IF('Base Oficial'!A696="","",TRIM('Base Oficial'!A696))</f>
        <v/>
      </c>
      <c r="B696" s="6" t="str">
        <f>IF($A696="","",TRIM('Base Oficial'!B696))</f>
        <v/>
      </c>
      <c r="C696" s="6" t="str">
        <f>IF($A696="","",TRIM('Base Oficial'!F696))</f>
        <v/>
      </c>
      <c r="D696" s="6" t="str">
        <f>IF($A696="","",TRIM('Base Oficial'!G696))</f>
        <v/>
      </c>
      <c r="E696" s="6" t="str">
        <f>IF($A696="","",TRIM('Base Oficial'!D696))</f>
        <v/>
      </c>
      <c r="F696" s="4" t="str">
        <f>IF($A696="","",IF(COUNTIF('Base Exámenes'!$C$5:$C$1000, A696)&gt;0, "Completado", IF(M696&lt;&gt;"", M696, "Pendiente")))</f>
        <v/>
      </c>
      <c r="G696" s="11" t="str">
        <f>IF(F696="Completado", IFERROR(IF(INDEX('Base Exámenes'!$D$5:$D$1000, MATCH(A696&amp;"|"&amp;J696, 'Base Exámenes'!$I$5:$I$1000, 0))="", "", INDEX('Base Exámenes'!$D$5:$D$1000, MATCH(A696&amp;"|"&amp;J696, 'Base Exámenes'!$I$5:$I$1000, 0))), ""), "")</f>
        <v/>
      </c>
      <c r="H696" s="11" t="str">
        <f>IF(F696="Completado", IFERROR(IF(INDEX('Base Exámenes'!$E$5:$E$1000, MATCH(A696&amp;"|"&amp;J696, 'Base Exámenes'!$I$5:$I$1000, 0))="", "", INDEX('Base Exámenes'!$E$5:$E$1000, MATCH(A696&amp;"|"&amp;J696, 'Base Exámenes'!$I$5:$I$1000, 0))), ""), "")</f>
        <v/>
      </c>
      <c r="I696" s="10" t="str">
        <f>IF(F696="Completado", IFERROR(IF(INDEX('Base Exámenes'!$F$5:$F$1000, MATCH(A696&amp;"|"&amp;J696, 'Base Exámenes'!$I$5:$I$1000, 0))="", "", INDEX('Base Exámenes'!$F$5:$F$1000, MATCH(A696&amp;"|"&amp;J696, 'Base Exámenes'!$I$5:$I$1000, 0))), ""), "")</f>
        <v/>
      </c>
      <c r="J696" s="6" t="str">
        <f>IF(F696="Completado", IF(COUNTIFS('Base Exámenes'!$C$5:$C$1000, A696, 'Base Exámenes'!$G$5:$G$1000, "&lt;&gt;")=0, "", _xlfn.MAXIFS('Base Exámenes'!$G$5:$G$1000, 'Base Exámenes'!$C$5:$C$1000, A696)), "")</f>
        <v/>
      </c>
      <c r="K696" s="6" t="str">
        <f>IF(F696="Completado", IFERROR(IF(INDEX('Base Exámenes'!$H$5:$H$1000, MATCH(A696&amp;"|"&amp;J696, 'Base Exámenes'!$I$5:$I$1000, 0))="", "", INDEX('Base Exámenes'!$H$5:$H$1000, MATCH(A696&amp;"|"&amp;J696, 'Base Exámenes'!$I$5:$I$1000, 0))), ""), "")</f>
        <v/>
      </c>
      <c r="L696" s="22" t="str">
        <f>IF($A696="","",COUNTIF('Base Exámenes'!$C$5:$C$1000, A696))</f>
        <v/>
      </c>
      <c r="M696" s="6" t="str">
        <f>IF($A696="","",IF(COUNTIF('Base Exámenes'!$C$5:$C$1000, A696)&gt;0, "", TRIM('Base Oficial'!H696)))</f>
        <v/>
      </c>
    </row>
    <row r="697">
      <c r="A697" s="4" t="str">
        <f>IF('Base Oficial'!A697="","",TRIM('Base Oficial'!A697))</f>
        <v/>
      </c>
      <c r="B697" s="6" t="str">
        <f>IF($A697="","",TRIM('Base Oficial'!B697))</f>
        <v/>
      </c>
      <c r="C697" s="6" t="str">
        <f>IF($A697="","",TRIM('Base Oficial'!F697))</f>
        <v/>
      </c>
      <c r="D697" s="6" t="str">
        <f>IF($A697="","",TRIM('Base Oficial'!G697))</f>
        <v/>
      </c>
      <c r="E697" s="6" t="str">
        <f>IF($A697="","",TRIM('Base Oficial'!D697))</f>
        <v/>
      </c>
      <c r="F697" s="4" t="str">
        <f>IF($A697="","",IF(COUNTIF('Base Exámenes'!$C$5:$C$1000, A697)&gt;0, "Completado", IF(M697&lt;&gt;"", M697, "Pendiente")))</f>
        <v/>
      </c>
      <c r="G697" s="11" t="str">
        <f>IF(F697="Completado", IFERROR(IF(INDEX('Base Exámenes'!$D$5:$D$1000, MATCH(A697&amp;"|"&amp;J697, 'Base Exámenes'!$I$5:$I$1000, 0))="", "", INDEX('Base Exámenes'!$D$5:$D$1000, MATCH(A697&amp;"|"&amp;J697, 'Base Exámenes'!$I$5:$I$1000, 0))), ""), "")</f>
        <v/>
      </c>
      <c r="H697" s="11" t="str">
        <f>IF(F697="Completado", IFERROR(IF(INDEX('Base Exámenes'!$E$5:$E$1000, MATCH(A697&amp;"|"&amp;J697, 'Base Exámenes'!$I$5:$I$1000, 0))="", "", INDEX('Base Exámenes'!$E$5:$E$1000, MATCH(A697&amp;"|"&amp;J697, 'Base Exámenes'!$I$5:$I$1000, 0))), ""), "")</f>
        <v/>
      </c>
      <c r="I697" s="10" t="str">
        <f>IF(F697="Completado", IFERROR(IF(INDEX('Base Exámenes'!$F$5:$F$1000, MATCH(A697&amp;"|"&amp;J697, 'Base Exámenes'!$I$5:$I$1000, 0))="", "", INDEX('Base Exámenes'!$F$5:$F$1000, MATCH(A697&amp;"|"&amp;J697, 'Base Exámenes'!$I$5:$I$1000, 0))), ""), "")</f>
        <v/>
      </c>
      <c r="J697" s="6" t="str">
        <f>IF(F697="Completado", IF(COUNTIFS('Base Exámenes'!$C$5:$C$1000, A697, 'Base Exámenes'!$G$5:$G$1000, "&lt;&gt;")=0, "", _xlfn.MAXIFS('Base Exámenes'!$G$5:$G$1000, 'Base Exámenes'!$C$5:$C$1000, A697)), "")</f>
        <v/>
      </c>
      <c r="K697" s="6" t="str">
        <f>IF(F697="Completado", IFERROR(IF(INDEX('Base Exámenes'!$H$5:$H$1000, MATCH(A697&amp;"|"&amp;J697, 'Base Exámenes'!$I$5:$I$1000, 0))="", "", INDEX('Base Exámenes'!$H$5:$H$1000, MATCH(A697&amp;"|"&amp;J697, 'Base Exámenes'!$I$5:$I$1000, 0))), ""), "")</f>
        <v/>
      </c>
      <c r="L697" s="22" t="str">
        <f>IF($A697="","",COUNTIF('Base Exámenes'!$C$5:$C$1000, A697))</f>
        <v/>
      </c>
      <c r="M697" s="6" t="str">
        <f>IF($A697="","",IF(COUNTIF('Base Exámenes'!$C$5:$C$1000, A697)&gt;0, "", TRIM('Base Oficial'!H697)))</f>
        <v/>
      </c>
    </row>
    <row r="698">
      <c r="A698" s="4" t="str">
        <f>IF('Base Oficial'!A698="","",TRIM('Base Oficial'!A698))</f>
        <v/>
      </c>
      <c r="B698" s="6" t="str">
        <f>IF($A698="","",TRIM('Base Oficial'!B698))</f>
        <v/>
      </c>
      <c r="C698" s="6" t="str">
        <f>IF($A698="","",TRIM('Base Oficial'!F698))</f>
        <v/>
      </c>
      <c r="D698" s="6" t="str">
        <f>IF($A698="","",TRIM('Base Oficial'!G698))</f>
        <v/>
      </c>
      <c r="E698" s="6" t="str">
        <f>IF($A698="","",TRIM('Base Oficial'!D698))</f>
        <v/>
      </c>
      <c r="F698" s="4" t="str">
        <f>IF($A698="","",IF(COUNTIF('Base Exámenes'!$C$5:$C$1000, A698)&gt;0, "Completado", IF(M698&lt;&gt;"", M698, "Pendiente")))</f>
        <v/>
      </c>
      <c r="G698" s="11" t="str">
        <f>IF(F698="Completado", IFERROR(IF(INDEX('Base Exámenes'!$D$5:$D$1000, MATCH(A698&amp;"|"&amp;J698, 'Base Exámenes'!$I$5:$I$1000, 0))="", "", INDEX('Base Exámenes'!$D$5:$D$1000, MATCH(A698&amp;"|"&amp;J698, 'Base Exámenes'!$I$5:$I$1000, 0))), ""), "")</f>
        <v/>
      </c>
      <c r="H698" s="11" t="str">
        <f>IF(F698="Completado", IFERROR(IF(INDEX('Base Exámenes'!$E$5:$E$1000, MATCH(A698&amp;"|"&amp;J698, 'Base Exámenes'!$I$5:$I$1000, 0))="", "", INDEX('Base Exámenes'!$E$5:$E$1000, MATCH(A698&amp;"|"&amp;J698, 'Base Exámenes'!$I$5:$I$1000, 0))), ""), "")</f>
        <v/>
      </c>
      <c r="I698" s="10" t="str">
        <f>IF(F698="Completado", IFERROR(IF(INDEX('Base Exámenes'!$F$5:$F$1000, MATCH(A698&amp;"|"&amp;J698, 'Base Exámenes'!$I$5:$I$1000, 0))="", "", INDEX('Base Exámenes'!$F$5:$F$1000, MATCH(A698&amp;"|"&amp;J698, 'Base Exámenes'!$I$5:$I$1000, 0))), ""), "")</f>
        <v/>
      </c>
      <c r="J698" s="6" t="str">
        <f>IF(F698="Completado", IF(COUNTIFS('Base Exámenes'!$C$5:$C$1000, A698, 'Base Exámenes'!$G$5:$G$1000, "&lt;&gt;")=0, "", _xlfn.MAXIFS('Base Exámenes'!$G$5:$G$1000, 'Base Exámenes'!$C$5:$C$1000, A698)), "")</f>
        <v/>
      </c>
      <c r="K698" s="6" t="str">
        <f>IF(F698="Completado", IFERROR(IF(INDEX('Base Exámenes'!$H$5:$H$1000, MATCH(A698&amp;"|"&amp;J698, 'Base Exámenes'!$I$5:$I$1000, 0))="", "", INDEX('Base Exámenes'!$H$5:$H$1000, MATCH(A698&amp;"|"&amp;J698, 'Base Exámenes'!$I$5:$I$1000, 0))), ""), "")</f>
        <v/>
      </c>
      <c r="L698" s="22" t="str">
        <f>IF($A698="","",COUNTIF('Base Exámenes'!$C$5:$C$1000, A698))</f>
        <v/>
      </c>
      <c r="M698" s="6" t="str">
        <f>IF($A698="","",IF(COUNTIF('Base Exámenes'!$C$5:$C$1000, A698)&gt;0, "", TRIM('Base Oficial'!H698)))</f>
        <v/>
      </c>
    </row>
    <row r="699">
      <c r="A699" s="4" t="str">
        <f>IF('Base Oficial'!A699="","",TRIM('Base Oficial'!A699))</f>
        <v/>
      </c>
      <c r="B699" s="6" t="str">
        <f>IF($A699="","",TRIM('Base Oficial'!B699))</f>
        <v/>
      </c>
      <c r="C699" s="6" t="str">
        <f>IF($A699="","",TRIM('Base Oficial'!F699))</f>
        <v/>
      </c>
      <c r="D699" s="6" t="str">
        <f>IF($A699="","",TRIM('Base Oficial'!G699))</f>
        <v/>
      </c>
      <c r="E699" s="6" t="str">
        <f>IF($A699="","",TRIM('Base Oficial'!D699))</f>
        <v/>
      </c>
      <c r="F699" s="4" t="str">
        <f>IF($A699="","",IF(COUNTIF('Base Exámenes'!$C$5:$C$1000, A699)&gt;0, "Completado", IF(M699&lt;&gt;"", M699, "Pendiente")))</f>
        <v/>
      </c>
      <c r="G699" s="11" t="str">
        <f>IF(F699="Completado", IFERROR(IF(INDEX('Base Exámenes'!$D$5:$D$1000, MATCH(A699&amp;"|"&amp;J699, 'Base Exámenes'!$I$5:$I$1000, 0))="", "", INDEX('Base Exámenes'!$D$5:$D$1000, MATCH(A699&amp;"|"&amp;J699, 'Base Exámenes'!$I$5:$I$1000, 0))), ""), "")</f>
        <v/>
      </c>
      <c r="H699" s="11" t="str">
        <f>IF(F699="Completado", IFERROR(IF(INDEX('Base Exámenes'!$E$5:$E$1000, MATCH(A699&amp;"|"&amp;J699, 'Base Exámenes'!$I$5:$I$1000, 0))="", "", INDEX('Base Exámenes'!$E$5:$E$1000, MATCH(A699&amp;"|"&amp;J699, 'Base Exámenes'!$I$5:$I$1000, 0))), ""), "")</f>
        <v/>
      </c>
      <c r="I699" s="10" t="str">
        <f>IF(F699="Completado", IFERROR(IF(INDEX('Base Exámenes'!$F$5:$F$1000, MATCH(A699&amp;"|"&amp;J699, 'Base Exámenes'!$I$5:$I$1000, 0))="", "", INDEX('Base Exámenes'!$F$5:$F$1000, MATCH(A699&amp;"|"&amp;J699, 'Base Exámenes'!$I$5:$I$1000, 0))), ""), "")</f>
        <v/>
      </c>
      <c r="J699" s="6" t="str">
        <f>IF(F699="Completado", IF(COUNTIFS('Base Exámenes'!$C$5:$C$1000, A699, 'Base Exámenes'!$G$5:$G$1000, "&lt;&gt;")=0, "", _xlfn.MAXIFS('Base Exámenes'!$G$5:$G$1000, 'Base Exámenes'!$C$5:$C$1000, A699)), "")</f>
        <v/>
      </c>
      <c r="K699" s="6" t="str">
        <f>IF(F699="Completado", IFERROR(IF(INDEX('Base Exámenes'!$H$5:$H$1000, MATCH(A699&amp;"|"&amp;J699, 'Base Exámenes'!$I$5:$I$1000, 0))="", "", INDEX('Base Exámenes'!$H$5:$H$1000, MATCH(A699&amp;"|"&amp;J699, 'Base Exámenes'!$I$5:$I$1000, 0))), ""), "")</f>
        <v/>
      </c>
      <c r="L699" s="22" t="str">
        <f>IF($A699="","",COUNTIF('Base Exámenes'!$C$5:$C$1000, A699))</f>
        <v/>
      </c>
      <c r="M699" s="6" t="str">
        <f>IF($A699="","",IF(COUNTIF('Base Exámenes'!$C$5:$C$1000, A699)&gt;0, "", TRIM('Base Oficial'!H699)))</f>
        <v/>
      </c>
    </row>
    <row r="700">
      <c r="A700" s="4" t="str">
        <f>IF('Base Oficial'!A700="","",TRIM('Base Oficial'!A700))</f>
        <v/>
      </c>
      <c r="B700" s="6" t="str">
        <f>IF($A700="","",TRIM('Base Oficial'!B700))</f>
        <v/>
      </c>
      <c r="C700" s="6" t="str">
        <f>IF($A700="","",TRIM('Base Oficial'!F700))</f>
        <v/>
      </c>
      <c r="D700" s="6" t="str">
        <f>IF($A700="","",TRIM('Base Oficial'!G700))</f>
        <v/>
      </c>
      <c r="E700" s="6" t="str">
        <f>IF($A700="","",TRIM('Base Oficial'!D700))</f>
        <v/>
      </c>
      <c r="F700" s="4" t="str">
        <f>IF($A700="","",IF(COUNTIF('Base Exámenes'!$C$5:$C$1000, A700)&gt;0, "Completado", IF(M700&lt;&gt;"", M700, "Pendiente")))</f>
        <v/>
      </c>
      <c r="G700" s="11" t="str">
        <f>IF(F700="Completado", IFERROR(IF(INDEX('Base Exámenes'!$D$5:$D$1000, MATCH(A700&amp;"|"&amp;J700, 'Base Exámenes'!$I$5:$I$1000, 0))="", "", INDEX('Base Exámenes'!$D$5:$D$1000, MATCH(A700&amp;"|"&amp;J700, 'Base Exámenes'!$I$5:$I$1000, 0))), ""), "")</f>
        <v/>
      </c>
      <c r="H700" s="11" t="str">
        <f>IF(F700="Completado", IFERROR(IF(INDEX('Base Exámenes'!$E$5:$E$1000, MATCH(A700&amp;"|"&amp;J700, 'Base Exámenes'!$I$5:$I$1000, 0))="", "", INDEX('Base Exámenes'!$E$5:$E$1000, MATCH(A700&amp;"|"&amp;J700, 'Base Exámenes'!$I$5:$I$1000, 0))), ""), "")</f>
        <v/>
      </c>
      <c r="I700" s="10" t="str">
        <f>IF(F700="Completado", IFERROR(IF(INDEX('Base Exámenes'!$F$5:$F$1000, MATCH(A700&amp;"|"&amp;J700, 'Base Exámenes'!$I$5:$I$1000, 0))="", "", INDEX('Base Exámenes'!$F$5:$F$1000, MATCH(A700&amp;"|"&amp;J700, 'Base Exámenes'!$I$5:$I$1000, 0))), ""), "")</f>
        <v/>
      </c>
      <c r="J700" s="6" t="str">
        <f>IF(F700="Completado", IF(COUNTIFS('Base Exámenes'!$C$5:$C$1000, A700, 'Base Exámenes'!$G$5:$G$1000, "&lt;&gt;")=0, "", _xlfn.MAXIFS('Base Exámenes'!$G$5:$G$1000, 'Base Exámenes'!$C$5:$C$1000, A700)), "")</f>
        <v/>
      </c>
      <c r="K700" s="6" t="str">
        <f>IF(F700="Completado", IFERROR(IF(INDEX('Base Exámenes'!$H$5:$H$1000, MATCH(A700&amp;"|"&amp;J700, 'Base Exámenes'!$I$5:$I$1000, 0))="", "", INDEX('Base Exámenes'!$H$5:$H$1000, MATCH(A700&amp;"|"&amp;J700, 'Base Exámenes'!$I$5:$I$1000, 0))), ""), "")</f>
        <v/>
      </c>
      <c r="L700" s="22" t="str">
        <f>IF($A700="","",COUNTIF('Base Exámenes'!$C$5:$C$1000, A700))</f>
        <v/>
      </c>
      <c r="M700" s="6" t="str">
        <f>IF($A700="","",IF(COUNTIF('Base Exámenes'!$C$5:$C$1000, A700)&gt;0, "", TRIM('Base Oficial'!H700)))</f>
        <v/>
      </c>
    </row>
    <row r="701">
      <c r="A701" s="4" t="str">
        <f>IF('Base Oficial'!A701="","",TRIM('Base Oficial'!A701))</f>
        <v/>
      </c>
      <c r="B701" s="6" t="str">
        <f>IF($A701="","",TRIM('Base Oficial'!B701))</f>
        <v/>
      </c>
      <c r="C701" s="6" t="str">
        <f>IF($A701="","",TRIM('Base Oficial'!F701))</f>
        <v/>
      </c>
      <c r="D701" s="6" t="str">
        <f>IF($A701="","",TRIM('Base Oficial'!G701))</f>
        <v/>
      </c>
      <c r="E701" s="6" t="str">
        <f>IF($A701="","",TRIM('Base Oficial'!D701))</f>
        <v/>
      </c>
      <c r="F701" s="4" t="str">
        <f>IF($A701="","",IF(COUNTIF('Base Exámenes'!$C$5:$C$1000, A701)&gt;0, "Completado", IF(M701&lt;&gt;"", M701, "Pendiente")))</f>
        <v/>
      </c>
      <c r="G701" s="11" t="str">
        <f>IF(F701="Completado", IFERROR(IF(INDEX('Base Exámenes'!$D$5:$D$1000, MATCH(A701&amp;"|"&amp;J701, 'Base Exámenes'!$I$5:$I$1000, 0))="", "", INDEX('Base Exámenes'!$D$5:$D$1000, MATCH(A701&amp;"|"&amp;J701, 'Base Exámenes'!$I$5:$I$1000, 0))), ""), "")</f>
        <v/>
      </c>
      <c r="H701" s="11" t="str">
        <f>IF(F701="Completado", IFERROR(IF(INDEX('Base Exámenes'!$E$5:$E$1000, MATCH(A701&amp;"|"&amp;J701, 'Base Exámenes'!$I$5:$I$1000, 0))="", "", INDEX('Base Exámenes'!$E$5:$E$1000, MATCH(A701&amp;"|"&amp;J701, 'Base Exámenes'!$I$5:$I$1000, 0))), ""), "")</f>
        <v/>
      </c>
      <c r="I701" s="10" t="str">
        <f>IF(F701="Completado", IFERROR(IF(INDEX('Base Exámenes'!$F$5:$F$1000, MATCH(A701&amp;"|"&amp;J701, 'Base Exámenes'!$I$5:$I$1000, 0))="", "", INDEX('Base Exámenes'!$F$5:$F$1000, MATCH(A701&amp;"|"&amp;J701, 'Base Exámenes'!$I$5:$I$1000, 0))), ""), "")</f>
        <v/>
      </c>
      <c r="J701" s="6" t="str">
        <f>IF(F701="Completado", IF(COUNTIFS('Base Exámenes'!$C$5:$C$1000, A701, 'Base Exámenes'!$G$5:$G$1000, "&lt;&gt;")=0, "", _xlfn.MAXIFS('Base Exámenes'!$G$5:$G$1000, 'Base Exámenes'!$C$5:$C$1000, A701)), "")</f>
        <v/>
      </c>
      <c r="K701" s="6" t="str">
        <f>IF(F701="Completado", IFERROR(IF(INDEX('Base Exámenes'!$H$5:$H$1000, MATCH(A701&amp;"|"&amp;J701, 'Base Exámenes'!$I$5:$I$1000, 0))="", "", INDEX('Base Exámenes'!$H$5:$H$1000, MATCH(A701&amp;"|"&amp;J701, 'Base Exámenes'!$I$5:$I$1000, 0))), ""), "")</f>
        <v/>
      </c>
      <c r="L701" s="22" t="str">
        <f>IF($A701="","",COUNTIF('Base Exámenes'!$C$5:$C$1000, A701))</f>
        <v/>
      </c>
      <c r="M701" s="6" t="str">
        <f>IF($A701="","",IF(COUNTIF('Base Exámenes'!$C$5:$C$1000, A701)&gt;0, "", TRIM('Base Oficial'!H701)))</f>
        <v/>
      </c>
    </row>
    <row r="702">
      <c r="A702" s="4" t="str">
        <f>IF('Base Oficial'!A702="","",TRIM('Base Oficial'!A702))</f>
        <v/>
      </c>
      <c r="B702" s="6" t="str">
        <f>IF($A702="","",TRIM('Base Oficial'!B702))</f>
        <v/>
      </c>
      <c r="C702" s="6" t="str">
        <f>IF($A702="","",TRIM('Base Oficial'!F702))</f>
        <v/>
      </c>
      <c r="D702" s="6" t="str">
        <f>IF($A702="","",TRIM('Base Oficial'!G702))</f>
        <v/>
      </c>
      <c r="E702" s="6" t="str">
        <f>IF($A702="","",TRIM('Base Oficial'!D702))</f>
        <v/>
      </c>
      <c r="F702" s="4" t="str">
        <f>IF($A702="","",IF(COUNTIF('Base Exámenes'!$C$5:$C$1000, A702)&gt;0, "Completado", IF(M702&lt;&gt;"", M702, "Pendiente")))</f>
        <v/>
      </c>
      <c r="G702" s="11" t="str">
        <f>IF(F702="Completado", IFERROR(IF(INDEX('Base Exámenes'!$D$5:$D$1000, MATCH(A702&amp;"|"&amp;J702, 'Base Exámenes'!$I$5:$I$1000, 0))="", "", INDEX('Base Exámenes'!$D$5:$D$1000, MATCH(A702&amp;"|"&amp;J702, 'Base Exámenes'!$I$5:$I$1000, 0))), ""), "")</f>
        <v/>
      </c>
      <c r="H702" s="11" t="str">
        <f>IF(F702="Completado", IFERROR(IF(INDEX('Base Exámenes'!$E$5:$E$1000, MATCH(A702&amp;"|"&amp;J702, 'Base Exámenes'!$I$5:$I$1000, 0))="", "", INDEX('Base Exámenes'!$E$5:$E$1000, MATCH(A702&amp;"|"&amp;J702, 'Base Exámenes'!$I$5:$I$1000, 0))), ""), "")</f>
        <v/>
      </c>
      <c r="I702" s="10" t="str">
        <f>IF(F702="Completado", IFERROR(IF(INDEX('Base Exámenes'!$F$5:$F$1000, MATCH(A702&amp;"|"&amp;J702, 'Base Exámenes'!$I$5:$I$1000, 0))="", "", INDEX('Base Exámenes'!$F$5:$F$1000, MATCH(A702&amp;"|"&amp;J702, 'Base Exámenes'!$I$5:$I$1000, 0))), ""), "")</f>
        <v/>
      </c>
      <c r="J702" s="6" t="str">
        <f>IF(F702="Completado", IF(COUNTIFS('Base Exámenes'!$C$5:$C$1000, A702, 'Base Exámenes'!$G$5:$G$1000, "&lt;&gt;")=0, "", _xlfn.MAXIFS('Base Exámenes'!$G$5:$G$1000, 'Base Exámenes'!$C$5:$C$1000, A702)), "")</f>
        <v/>
      </c>
      <c r="K702" s="6" t="str">
        <f>IF(F702="Completado", IFERROR(IF(INDEX('Base Exámenes'!$H$5:$H$1000, MATCH(A702&amp;"|"&amp;J702, 'Base Exámenes'!$I$5:$I$1000, 0))="", "", INDEX('Base Exámenes'!$H$5:$H$1000, MATCH(A702&amp;"|"&amp;J702, 'Base Exámenes'!$I$5:$I$1000, 0))), ""), "")</f>
        <v/>
      </c>
      <c r="L702" s="22" t="str">
        <f>IF($A702="","",COUNTIF('Base Exámenes'!$C$5:$C$1000, A702))</f>
        <v/>
      </c>
      <c r="M702" s="6" t="str">
        <f>IF($A702="","",IF(COUNTIF('Base Exámenes'!$C$5:$C$1000, A702)&gt;0, "", TRIM('Base Oficial'!H702)))</f>
        <v/>
      </c>
    </row>
    <row r="703">
      <c r="A703" s="4" t="str">
        <f>IF('Base Oficial'!A703="","",TRIM('Base Oficial'!A703))</f>
        <v/>
      </c>
      <c r="B703" s="6" t="str">
        <f>IF($A703="","",TRIM('Base Oficial'!B703))</f>
        <v/>
      </c>
      <c r="C703" s="6" t="str">
        <f>IF($A703="","",TRIM('Base Oficial'!F703))</f>
        <v/>
      </c>
      <c r="D703" s="6" t="str">
        <f>IF($A703="","",TRIM('Base Oficial'!G703))</f>
        <v/>
      </c>
      <c r="E703" s="6" t="str">
        <f>IF($A703="","",TRIM('Base Oficial'!D703))</f>
        <v/>
      </c>
      <c r="F703" s="4" t="str">
        <f>IF($A703="","",IF(COUNTIF('Base Exámenes'!$C$5:$C$1000, A703)&gt;0, "Completado", IF(M703&lt;&gt;"", M703, "Pendiente")))</f>
        <v/>
      </c>
      <c r="G703" s="11" t="str">
        <f>IF(F703="Completado", IFERROR(IF(INDEX('Base Exámenes'!$D$5:$D$1000, MATCH(A703&amp;"|"&amp;J703, 'Base Exámenes'!$I$5:$I$1000, 0))="", "", INDEX('Base Exámenes'!$D$5:$D$1000, MATCH(A703&amp;"|"&amp;J703, 'Base Exámenes'!$I$5:$I$1000, 0))), ""), "")</f>
        <v/>
      </c>
      <c r="H703" s="11" t="str">
        <f>IF(F703="Completado", IFERROR(IF(INDEX('Base Exámenes'!$E$5:$E$1000, MATCH(A703&amp;"|"&amp;J703, 'Base Exámenes'!$I$5:$I$1000, 0))="", "", INDEX('Base Exámenes'!$E$5:$E$1000, MATCH(A703&amp;"|"&amp;J703, 'Base Exámenes'!$I$5:$I$1000, 0))), ""), "")</f>
        <v/>
      </c>
      <c r="I703" s="10" t="str">
        <f>IF(F703="Completado", IFERROR(IF(INDEX('Base Exámenes'!$F$5:$F$1000, MATCH(A703&amp;"|"&amp;J703, 'Base Exámenes'!$I$5:$I$1000, 0))="", "", INDEX('Base Exámenes'!$F$5:$F$1000, MATCH(A703&amp;"|"&amp;J703, 'Base Exámenes'!$I$5:$I$1000, 0))), ""), "")</f>
        <v/>
      </c>
      <c r="J703" s="6" t="str">
        <f>IF(F703="Completado", IF(COUNTIFS('Base Exámenes'!$C$5:$C$1000, A703, 'Base Exámenes'!$G$5:$G$1000, "&lt;&gt;")=0, "", _xlfn.MAXIFS('Base Exámenes'!$G$5:$G$1000, 'Base Exámenes'!$C$5:$C$1000, A703)), "")</f>
        <v/>
      </c>
      <c r="K703" s="6" t="str">
        <f>IF(F703="Completado", IFERROR(IF(INDEX('Base Exámenes'!$H$5:$H$1000, MATCH(A703&amp;"|"&amp;J703, 'Base Exámenes'!$I$5:$I$1000, 0))="", "", INDEX('Base Exámenes'!$H$5:$H$1000, MATCH(A703&amp;"|"&amp;J703, 'Base Exámenes'!$I$5:$I$1000, 0))), ""), "")</f>
        <v/>
      </c>
      <c r="L703" s="22" t="str">
        <f>IF($A703="","",COUNTIF('Base Exámenes'!$C$5:$C$1000, A703))</f>
        <v/>
      </c>
      <c r="M703" s="6" t="str">
        <f>IF($A703="","",IF(COUNTIF('Base Exámenes'!$C$5:$C$1000, A703)&gt;0, "", TRIM('Base Oficial'!H703)))</f>
        <v/>
      </c>
    </row>
    <row r="704">
      <c r="A704" s="4" t="str">
        <f>IF('Base Oficial'!A704="","",TRIM('Base Oficial'!A704))</f>
        <v/>
      </c>
      <c r="B704" s="6" t="str">
        <f>IF($A704="","",TRIM('Base Oficial'!B704))</f>
        <v/>
      </c>
      <c r="C704" s="6" t="str">
        <f>IF($A704="","",TRIM('Base Oficial'!F704))</f>
        <v/>
      </c>
      <c r="D704" s="6" t="str">
        <f>IF($A704="","",TRIM('Base Oficial'!G704))</f>
        <v/>
      </c>
      <c r="E704" s="6" t="str">
        <f>IF($A704="","",TRIM('Base Oficial'!D704))</f>
        <v/>
      </c>
      <c r="F704" s="4" t="str">
        <f>IF($A704="","",IF(COUNTIF('Base Exámenes'!$C$5:$C$1000, A704)&gt;0, "Completado", IF(M704&lt;&gt;"", M704, "Pendiente")))</f>
        <v/>
      </c>
      <c r="G704" s="11" t="str">
        <f>IF(F704="Completado", IFERROR(IF(INDEX('Base Exámenes'!$D$5:$D$1000, MATCH(A704&amp;"|"&amp;J704, 'Base Exámenes'!$I$5:$I$1000, 0))="", "", INDEX('Base Exámenes'!$D$5:$D$1000, MATCH(A704&amp;"|"&amp;J704, 'Base Exámenes'!$I$5:$I$1000, 0))), ""), "")</f>
        <v/>
      </c>
      <c r="H704" s="11" t="str">
        <f>IF(F704="Completado", IFERROR(IF(INDEX('Base Exámenes'!$E$5:$E$1000, MATCH(A704&amp;"|"&amp;J704, 'Base Exámenes'!$I$5:$I$1000, 0))="", "", INDEX('Base Exámenes'!$E$5:$E$1000, MATCH(A704&amp;"|"&amp;J704, 'Base Exámenes'!$I$5:$I$1000, 0))), ""), "")</f>
        <v/>
      </c>
      <c r="I704" s="10" t="str">
        <f>IF(F704="Completado", IFERROR(IF(INDEX('Base Exámenes'!$F$5:$F$1000, MATCH(A704&amp;"|"&amp;J704, 'Base Exámenes'!$I$5:$I$1000, 0))="", "", INDEX('Base Exámenes'!$F$5:$F$1000, MATCH(A704&amp;"|"&amp;J704, 'Base Exámenes'!$I$5:$I$1000, 0))), ""), "")</f>
        <v/>
      </c>
      <c r="J704" s="6" t="str">
        <f>IF(F704="Completado", IF(COUNTIFS('Base Exámenes'!$C$5:$C$1000, A704, 'Base Exámenes'!$G$5:$G$1000, "&lt;&gt;")=0, "", _xlfn.MAXIFS('Base Exámenes'!$G$5:$G$1000, 'Base Exámenes'!$C$5:$C$1000, A704)), "")</f>
        <v/>
      </c>
      <c r="K704" s="6" t="str">
        <f>IF(F704="Completado", IFERROR(IF(INDEX('Base Exámenes'!$H$5:$H$1000, MATCH(A704&amp;"|"&amp;J704, 'Base Exámenes'!$I$5:$I$1000, 0))="", "", INDEX('Base Exámenes'!$H$5:$H$1000, MATCH(A704&amp;"|"&amp;J704, 'Base Exámenes'!$I$5:$I$1000, 0))), ""), "")</f>
        <v/>
      </c>
      <c r="L704" s="22" t="str">
        <f>IF($A704="","",COUNTIF('Base Exámenes'!$C$5:$C$1000, A704))</f>
        <v/>
      </c>
      <c r="M704" s="6" t="str">
        <f>IF($A704="","",IF(COUNTIF('Base Exámenes'!$C$5:$C$1000, A704)&gt;0, "", TRIM('Base Oficial'!H704)))</f>
        <v/>
      </c>
    </row>
    <row r="705">
      <c r="A705" s="4" t="str">
        <f>IF('Base Oficial'!A705="","",TRIM('Base Oficial'!A705))</f>
        <v/>
      </c>
      <c r="B705" s="6" t="str">
        <f>IF($A705="","",TRIM('Base Oficial'!B705))</f>
        <v/>
      </c>
      <c r="C705" s="6" t="str">
        <f>IF($A705="","",TRIM('Base Oficial'!F705))</f>
        <v/>
      </c>
      <c r="D705" s="6" t="str">
        <f>IF($A705="","",TRIM('Base Oficial'!G705))</f>
        <v/>
      </c>
      <c r="E705" s="6" t="str">
        <f>IF($A705="","",TRIM('Base Oficial'!D705))</f>
        <v/>
      </c>
      <c r="F705" s="4" t="str">
        <f>IF($A705="","",IF(COUNTIF('Base Exámenes'!$C$5:$C$1000, A705)&gt;0, "Completado", IF(M705&lt;&gt;"", M705, "Pendiente")))</f>
        <v/>
      </c>
      <c r="G705" s="11" t="str">
        <f>IF(F705="Completado", IFERROR(IF(INDEX('Base Exámenes'!$D$5:$D$1000, MATCH(A705&amp;"|"&amp;J705, 'Base Exámenes'!$I$5:$I$1000, 0))="", "", INDEX('Base Exámenes'!$D$5:$D$1000, MATCH(A705&amp;"|"&amp;J705, 'Base Exámenes'!$I$5:$I$1000, 0))), ""), "")</f>
        <v/>
      </c>
      <c r="H705" s="11" t="str">
        <f>IF(F705="Completado", IFERROR(IF(INDEX('Base Exámenes'!$E$5:$E$1000, MATCH(A705&amp;"|"&amp;J705, 'Base Exámenes'!$I$5:$I$1000, 0))="", "", INDEX('Base Exámenes'!$E$5:$E$1000, MATCH(A705&amp;"|"&amp;J705, 'Base Exámenes'!$I$5:$I$1000, 0))), ""), "")</f>
        <v/>
      </c>
      <c r="I705" s="10" t="str">
        <f>IF(F705="Completado", IFERROR(IF(INDEX('Base Exámenes'!$F$5:$F$1000, MATCH(A705&amp;"|"&amp;J705, 'Base Exámenes'!$I$5:$I$1000, 0))="", "", INDEX('Base Exámenes'!$F$5:$F$1000, MATCH(A705&amp;"|"&amp;J705, 'Base Exámenes'!$I$5:$I$1000, 0))), ""), "")</f>
        <v/>
      </c>
      <c r="J705" s="6" t="str">
        <f>IF(F705="Completado", IF(COUNTIFS('Base Exámenes'!$C$5:$C$1000, A705, 'Base Exámenes'!$G$5:$G$1000, "&lt;&gt;")=0, "", _xlfn.MAXIFS('Base Exámenes'!$G$5:$G$1000, 'Base Exámenes'!$C$5:$C$1000, A705)), "")</f>
        <v/>
      </c>
      <c r="K705" s="6" t="str">
        <f>IF(F705="Completado", IFERROR(IF(INDEX('Base Exámenes'!$H$5:$H$1000, MATCH(A705&amp;"|"&amp;J705, 'Base Exámenes'!$I$5:$I$1000, 0))="", "", INDEX('Base Exámenes'!$H$5:$H$1000, MATCH(A705&amp;"|"&amp;J705, 'Base Exámenes'!$I$5:$I$1000, 0))), ""), "")</f>
        <v/>
      </c>
      <c r="L705" s="22" t="str">
        <f>IF($A705="","",COUNTIF('Base Exámenes'!$C$5:$C$1000, A705))</f>
        <v/>
      </c>
      <c r="M705" s="6" t="str">
        <f>IF($A705="","",IF(COUNTIF('Base Exámenes'!$C$5:$C$1000, A705)&gt;0, "", TRIM('Base Oficial'!H705)))</f>
        <v/>
      </c>
    </row>
    <row r="706">
      <c r="A706" s="4" t="str">
        <f>IF('Base Oficial'!A706="","",TRIM('Base Oficial'!A706))</f>
        <v/>
      </c>
      <c r="B706" s="6" t="str">
        <f>IF($A706="","",TRIM('Base Oficial'!B706))</f>
        <v/>
      </c>
      <c r="C706" s="6" t="str">
        <f>IF($A706="","",TRIM('Base Oficial'!F706))</f>
        <v/>
      </c>
      <c r="D706" s="6" t="str">
        <f>IF($A706="","",TRIM('Base Oficial'!G706))</f>
        <v/>
      </c>
      <c r="E706" s="6" t="str">
        <f>IF($A706="","",TRIM('Base Oficial'!D706))</f>
        <v/>
      </c>
      <c r="F706" s="4" t="str">
        <f>IF($A706="","",IF(COUNTIF('Base Exámenes'!$C$5:$C$1000, A706)&gt;0, "Completado", IF(M706&lt;&gt;"", M706, "Pendiente")))</f>
        <v/>
      </c>
      <c r="G706" s="11" t="str">
        <f>IF(F706="Completado", IFERROR(IF(INDEX('Base Exámenes'!$D$5:$D$1000, MATCH(A706&amp;"|"&amp;J706, 'Base Exámenes'!$I$5:$I$1000, 0))="", "", INDEX('Base Exámenes'!$D$5:$D$1000, MATCH(A706&amp;"|"&amp;J706, 'Base Exámenes'!$I$5:$I$1000, 0))), ""), "")</f>
        <v/>
      </c>
      <c r="H706" s="11" t="str">
        <f>IF(F706="Completado", IFERROR(IF(INDEX('Base Exámenes'!$E$5:$E$1000, MATCH(A706&amp;"|"&amp;J706, 'Base Exámenes'!$I$5:$I$1000, 0))="", "", INDEX('Base Exámenes'!$E$5:$E$1000, MATCH(A706&amp;"|"&amp;J706, 'Base Exámenes'!$I$5:$I$1000, 0))), ""), "")</f>
        <v/>
      </c>
      <c r="I706" s="10" t="str">
        <f>IF(F706="Completado", IFERROR(IF(INDEX('Base Exámenes'!$F$5:$F$1000, MATCH(A706&amp;"|"&amp;J706, 'Base Exámenes'!$I$5:$I$1000, 0))="", "", INDEX('Base Exámenes'!$F$5:$F$1000, MATCH(A706&amp;"|"&amp;J706, 'Base Exámenes'!$I$5:$I$1000, 0))), ""), "")</f>
        <v/>
      </c>
      <c r="J706" s="6" t="str">
        <f>IF(F706="Completado", IF(COUNTIFS('Base Exámenes'!$C$5:$C$1000, A706, 'Base Exámenes'!$G$5:$G$1000, "&lt;&gt;")=0, "", _xlfn.MAXIFS('Base Exámenes'!$G$5:$G$1000, 'Base Exámenes'!$C$5:$C$1000, A706)), "")</f>
        <v/>
      </c>
      <c r="K706" s="6" t="str">
        <f>IF(F706="Completado", IFERROR(IF(INDEX('Base Exámenes'!$H$5:$H$1000, MATCH(A706&amp;"|"&amp;J706, 'Base Exámenes'!$I$5:$I$1000, 0))="", "", INDEX('Base Exámenes'!$H$5:$H$1000, MATCH(A706&amp;"|"&amp;J706, 'Base Exámenes'!$I$5:$I$1000, 0))), ""), "")</f>
        <v/>
      </c>
      <c r="L706" s="22" t="str">
        <f>IF($A706="","",COUNTIF('Base Exámenes'!$C$5:$C$1000, A706))</f>
        <v/>
      </c>
      <c r="M706" s="6" t="str">
        <f>IF($A706="","",IF(COUNTIF('Base Exámenes'!$C$5:$C$1000, A706)&gt;0, "", TRIM('Base Oficial'!H706)))</f>
        <v/>
      </c>
    </row>
    <row r="707">
      <c r="A707" s="4" t="str">
        <f>IF('Base Oficial'!A707="","",TRIM('Base Oficial'!A707))</f>
        <v/>
      </c>
      <c r="B707" s="6" t="str">
        <f>IF($A707="","",TRIM('Base Oficial'!B707))</f>
        <v/>
      </c>
      <c r="C707" s="6" t="str">
        <f>IF($A707="","",TRIM('Base Oficial'!F707))</f>
        <v/>
      </c>
      <c r="D707" s="6" t="str">
        <f>IF($A707="","",TRIM('Base Oficial'!G707))</f>
        <v/>
      </c>
      <c r="E707" s="6" t="str">
        <f>IF($A707="","",TRIM('Base Oficial'!D707))</f>
        <v/>
      </c>
      <c r="F707" s="4" t="str">
        <f>IF($A707="","",IF(COUNTIF('Base Exámenes'!$C$5:$C$1000, A707)&gt;0, "Completado", IF(M707&lt;&gt;"", M707, "Pendiente")))</f>
        <v/>
      </c>
      <c r="G707" s="11" t="str">
        <f>IF(F707="Completado", IFERROR(IF(INDEX('Base Exámenes'!$D$5:$D$1000, MATCH(A707&amp;"|"&amp;J707, 'Base Exámenes'!$I$5:$I$1000, 0))="", "", INDEX('Base Exámenes'!$D$5:$D$1000, MATCH(A707&amp;"|"&amp;J707, 'Base Exámenes'!$I$5:$I$1000, 0))), ""), "")</f>
        <v/>
      </c>
      <c r="H707" s="11" t="str">
        <f>IF(F707="Completado", IFERROR(IF(INDEX('Base Exámenes'!$E$5:$E$1000, MATCH(A707&amp;"|"&amp;J707, 'Base Exámenes'!$I$5:$I$1000, 0))="", "", INDEX('Base Exámenes'!$E$5:$E$1000, MATCH(A707&amp;"|"&amp;J707, 'Base Exámenes'!$I$5:$I$1000, 0))), ""), "")</f>
        <v/>
      </c>
      <c r="I707" s="10" t="str">
        <f>IF(F707="Completado", IFERROR(IF(INDEX('Base Exámenes'!$F$5:$F$1000, MATCH(A707&amp;"|"&amp;J707, 'Base Exámenes'!$I$5:$I$1000, 0))="", "", INDEX('Base Exámenes'!$F$5:$F$1000, MATCH(A707&amp;"|"&amp;J707, 'Base Exámenes'!$I$5:$I$1000, 0))), ""), "")</f>
        <v/>
      </c>
      <c r="J707" s="6" t="str">
        <f>IF(F707="Completado", IF(COUNTIFS('Base Exámenes'!$C$5:$C$1000, A707, 'Base Exámenes'!$G$5:$G$1000, "&lt;&gt;")=0, "", _xlfn.MAXIFS('Base Exámenes'!$G$5:$G$1000, 'Base Exámenes'!$C$5:$C$1000, A707)), "")</f>
        <v/>
      </c>
      <c r="K707" s="6" t="str">
        <f>IF(F707="Completado", IFERROR(IF(INDEX('Base Exámenes'!$H$5:$H$1000, MATCH(A707&amp;"|"&amp;J707, 'Base Exámenes'!$I$5:$I$1000, 0))="", "", INDEX('Base Exámenes'!$H$5:$H$1000, MATCH(A707&amp;"|"&amp;J707, 'Base Exámenes'!$I$5:$I$1000, 0))), ""), "")</f>
        <v/>
      </c>
      <c r="L707" s="22" t="str">
        <f>IF($A707="","",COUNTIF('Base Exámenes'!$C$5:$C$1000, A707))</f>
        <v/>
      </c>
      <c r="M707" s="6" t="str">
        <f>IF($A707="","",IF(COUNTIF('Base Exámenes'!$C$5:$C$1000, A707)&gt;0, "", TRIM('Base Oficial'!H707)))</f>
        <v/>
      </c>
    </row>
    <row r="708">
      <c r="A708" s="4" t="str">
        <f>IF('Base Oficial'!A708="","",TRIM('Base Oficial'!A708))</f>
        <v/>
      </c>
      <c r="B708" s="6" t="str">
        <f>IF($A708="","",TRIM('Base Oficial'!B708))</f>
        <v/>
      </c>
      <c r="C708" s="6" t="str">
        <f>IF($A708="","",TRIM('Base Oficial'!F708))</f>
        <v/>
      </c>
      <c r="D708" s="6" t="str">
        <f>IF($A708="","",TRIM('Base Oficial'!G708))</f>
        <v/>
      </c>
      <c r="E708" s="6" t="str">
        <f>IF($A708="","",TRIM('Base Oficial'!D708))</f>
        <v/>
      </c>
      <c r="F708" s="4" t="str">
        <f>IF($A708="","",IF(COUNTIF('Base Exámenes'!$C$5:$C$1000, A708)&gt;0, "Completado", IF(M708&lt;&gt;"", M708, "Pendiente")))</f>
        <v/>
      </c>
      <c r="G708" s="11" t="str">
        <f>IF(F708="Completado", IFERROR(IF(INDEX('Base Exámenes'!$D$5:$D$1000, MATCH(A708&amp;"|"&amp;J708, 'Base Exámenes'!$I$5:$I$1000, 0))="", "", INDEX('Base Exámenes'!$D$5:$D$1000, MATCH(A708&amp;"|"&amp;J708, 'Base Exámenes'!$I$5:$I$1000, 0))), ""), "")</f>
        <v/>
      </c>
      <c r="H708" s="11" t="str">
        <f>IF(F708="Completado", IFERROR(IF(INDEX('Base Exámenes'!$E$5:$E$1000, MATCH(A708&amp;"|"&amp;J708, 'Base Exámenes'!$I$5:$I$1000, 0))="", "", INDEX('Base Exámenes'!$E$5:$E$1000, MATCH(A708&amp;"|"&amp;J708, 'Base Exámenes'!$I$5:$I$1000, 0))), ""), "")</f>
        <v/>
      </c>
      <c r="I708" s="10" t="str">
        <f>IF(F708="Completado", IFERROR(IF(INDEX('Base Exámenes'!$F$5:$F$1000, MATCH(A708&amp;"|"&amp;J708, 'Base Exámenes'!$I$5:$I$1000, 0))="", "", INDEX('Base Exámenes'!$F$5:$F$1000, MATCH(A708&amp;"|"&amp;J708, 'Base Exámenes'!$I$5:$I$1000, 0))), ""), "")</f>
        <v/>
      </c>
      <c r="J708" s="6" t="str">
        <f>IF(F708="Completado", IF(COUNTIFS('Base Exámenes'!$C$5:$C$1000, A708, 'Base Exámenes'!$G$5:$G$1000, "&lt;&gt;")=0, "", _xlfn.MAXIFS('Base Exámenes'!$G$5:$G$1000, 'Base Exámenes'!$C$5:$C$1000, A708)), "")</f>
        <v/>
      </c>
      <c r="K708" s="6" t="str">
        <f>IF(F708="Completado", IFERROR(IF(INDEX('Base Exámenes'!$H$5:$H$1000, MATCH(A708&amp;"|"&amp;J708, 'Base Exámenes'!$I$5:$I$1000, 0))="", "", INDEX('Base Exámenes'!$H$5:$H$1000, MATCH(A708&amp;"|"&amp;J708, 'Base Exámenes'!$I$5:$I$1000, 0))), ""), "")</f>
        <v/>
      </c>
      <c r="L708" s="22" t="str">
        <f>IF($A708="","",COUNTIF('Base Exámenes'!$C$5:$C$1000, A708))</f>
        <v/>
      </c>
      <c r="M708" s="6" t="str">
        <f>IF($A708="","",IF(COUNTIF('Base Exámenes'!$C$5:$C$1000, A708)&gt;0, "", TRIM('Base Oficial'!H708)))</f>
        <v/>
      </c>
    </row>
    <row r="709">
      <c r="A709" s="4" t="str">
        <f>IF('Base Oficial'!A709="","",TRIM('Base Oficial'!A709))</f>
        <v/>
      </c>
      <c r="B709" s="6" t="str">
        <f>IF($A709="","",TRIM('Base Oficial'!B709))</f>
        <v/>
      </c>
      <c r="C709" s="6" t="str">
        <f>IF($A709="","",TRIM('Base Oficial'!F709))</f>
        <v/>
      </c>
      <c r="D709" s="6" t="str">
        <f>IF($A709="","",TRIM('Base Oficial'!G709))</f>
        <v/>
      </c>
      <c r="E709" s="6" t="str">
        <f>IF($A709="","",TRIM('Base Oficial'!D709))</f>
        <v/>
      </c>
      <c r="F709" s="4" t="str">
        <f>IF($A709="","",IF(COUNTIF('Base Exámenes'!$C$5:$C$1000, A709)&gt;0, "Completado", IF(M709&lt;&gt;"", M709, "Pendiente")))</f>
        <v/>
      </c>
      <c r="G709" s="11" t="str">
        <f>IF(F709="Completado", IFERROR(IF(INDEX('Base Exámenes'!$D$5:$D$1000, MATCH(A709&amp;"|"&amp;J709, 'Base Exámenes'!$I$5:$I$1000, 0))="", "", INDEX('Base Exámenes'!$D$5:$D$1000, MATCH(A709&amp;"|"&amp;J709, 'Base Exámenes'!$I$5:$I$1000, 0))), ""), "")</f>
        <v/>
      </c>
      <c r="H709" s="11" t="str">
        <f>IF(F709="Completado", IFERROR(IF(INDEX('Base Exámenes'!$E$5:$E$1000, MATCH(A709&amp;"|"&amp;J709, 'Base Exámenes'!$I$5:$I$1000, 0))="", "", INDEX('Base Exámenes'!$E$5:$E$1000, MATCH(A709&amp;"|"&amp;J709, 'Base Exámenes'!$I$5:$I$1000, 0))), ""), "")</f>
        <v/>
      </c>
      <c r="I709" s="10" t="str">
        <f>IF(F709="Completado", IFERROR(IF(INDEX('Base Exámenes'!$F$5:$F$1000, MATCH(A709&amp;"|"&amp;J709, 'Base Exámenes'!$I$5:$I$1000, 0))="", "", INDEX('Base Exámenes'!$F$5:$F$1000, MATCH(A709&amp;"|"&amp;J709, 'Base Exámenes'!$I$5:$I$1000, 0))), ""), "")</f>
        <v/>
      </c>
      <c r="J709" s="6" t="str">
        <f>IF(F709="Completado", IF(COUNTIFS('Base Exámenes'!$C$5:$C$1000, A709, 'Base Exámenes'!$G$5:$G$1000, "&lt;&gt;")=0, "", _xlfn.MAXIFS('Base Exámenes'!$G$5:$G$1000, 'Base Exámenes'!$C$5:$C$1000, A709)), "")</f>
        <v/>
      </c>
      <c r="K709" s="6" t="str">
        <f>IF(F709="Completado", IFERROR(IF(INDEX('Base Exámenes'!$H$5:$H$1000, MATCH(A709&amp;"|"&amp;J709, 'Base Exámenes'!$I$5:$I$1000, 0))="", "", INDEX('Base Exámenes'!$H$5:$H$1000, MATCH(A709&amp;"|"&amp;J709, 'Base Exámenes'!$I$5:$I$1000, 0))), ""), "")</f>
        <v/>
      </c>
      <c r="L709" s="22" t="str">
        <f>IF($A709="","",COUNTIF('Base Exámenes'!$C$5:$C$1000, A709))</f>
        <v/>
      </c>
      <c r="M709" s="6" t="str">
        <f>IF($A709="","",IF(COUNTIF('Base Exámenes'!$C$5:$C$1000, A709)&gt;0, "", TRIM('Base Oficial'!H709)))</f>
        <v/>
      </c>
    </row>
    <row r="710">
      <c r="A710" s="4" t="str">
        <f>IF('Base Oficial'!A710="","",TRIM('Base Oficial'!A710))</f>
        <v/>
      </c>
      <c r="B710" s="6" t="str">
        <f>IF($A710="","",TRIM('Base Oficial'!B710))</f>
        <v/>
      </c>
      <c r="C710" s="6" t="str">
        <f>IF($A710="","",TRIM('Base Oficial'!F710))</f>
        <v/>
      </c>
      <c r="D710" s="6" t="str">
        <f>IF($A710="","",TRIM('Base Oficial'!G710))</f>
        <v/>
      </c>
      <c r="E710" s="6" t="str">
        <f>IF($A710="","",TRIM('Base Oficial'!D710))</f>
        <v/>
      </c>
      <c r="F710" s="4" t="str">
        <f>IF($A710="","",IF(COUNTIF('Base Exámenes'!$C$5:$C$1000, A710)&gt;0, "Completado", IF(M710&lt;&gt;"", M710, "Pendiente")))</f>
        <v/>
      </c>
      <c r="G710" s="11" t="str">
        <f>IF(F710="Completado", IFERROR(IF(INDEX('Base Exámenes'!$D$5:$D$1000, MATCH(A710&amp;"|"&amp;J710, 'Base Exámenes'!$I$5:$I$1000, 0))="", "", INDEX('Base Exámenes'!$D$5:$D$1000, MATCH(A710&amp;"|"&amp;J710, 'Base Exámenes'!$I$5:$I$1000, 0))), ""), "")</f>
        <v/>
      </c>
      <c r="H710" s="11" t="str">
        <f>IF(F710="Completado", IFERROR(IF(INDEX('Base Exámenes'!$E$5:$E$1000, MATCH(A710&amp;"|"&amp;J710, 'Base Exámenes'!$I$5:$I$1000, 0))="", "", INDEX('Base Exámenes'!$E$5:$E$1000, MATCH(A710&amp;"|"&amp;J710, 'Base Exámenes'!$I$5:$I$1000, 0))), ""), "")</f>
        <v/>
      </c>
      <c r="I710" s="10" t="str">
        <f>IF(F710="Completado", IFERROR(IF(INDEX('Base Exámenes'!$F$5:$F$1000, MATCH(A710&amp;"|"&amp;J710, 'Base Exámenes'!$I$5:$I$1000, 0))="", "", INDEX('Base Exámenes'!$F$5:$F$1000, MATCH(A710&amp;"|"&amp;J710, 'Base Exámenes'!$I$5:$I$1000, 0))), ""), "")</f>
        <v/>
      </c>
      <c r="J710" s="6" t="str">
        <f>IF(F710="Completado", IF(COUNTIFS('Base Exámenes'!$C$5:$C$1000, A710, 'Base Exámenes'!$G$5:$G$1000, "&lt;&gt;")=0, "", _xlfn.MAXIFS('Base Exámenes'!$G$5:$G$1000, 'Base Exámenes'!$C$5:$C$1000, A710)), "")</f>
        <v/>
      </c>
      <c r="K710" s="6" t="str">
        <f>IF(F710="Completado", IFERROR(IF(INDEX('Base Exámenes'!$H$5:$H$1000, MATCH(A710&amp;"|"&amp;J710, 'Base Exámenes'!$I$5:$I$1000, 0))="", "", INDEX('Base Exámenes'!$H$5:$H$1000, MATCH(A710&amp;"|"&amp;J710, 'Base Exámenes'!$I$5:$I$1000, 0))), ""), "")</f>
        <v/>
      </c>
      <c r="L710" s="22" t="str">
        <f>IF($A710="","",COUNTIF('Base Exámenes'!$C$5:$C$1000, A710))</f>
        <v/>
      </c>
      <c r="M710" s="6" t="str">
        <f>IF($A710="","",IF(COUNTIF('Base Exámenes'!$C$5:$C$1000, A710)&gt;0, "", TRIM('Base Oficial'!H710)))</f>
        <v/>
      </c>
    </row>
    <row r="711">
      <c r="A711" s="4" t="str">
        <f>IF('Base Oficial'!A711="","",TRIM('Base Oficial'!A711))</f>
        <v/>
      </c>
      <c r="B711" s="6" t="str">
        <f>IF($A711="","",TRIM('Base Oficial'!B711))</f>
        <v/>
      </c>
      <c r="C711" s="6" t="str">
        <f>IF($A711="","",TRIM('Base Oficial'!F711))</f>
        <v/>
      </c>
      <c r="D711" s="6" t="str">
        <f>IF($A711="","",TRIM('Base Oficial'!G711))</f>
        <v/>
      </c>
      <c r="E711" s="6" t="str">
        <f>IF($A711="","",TRIM('Base Oficial'!D711))</f>
        <v/>
      </c>
      <c r="F711" s="4" t="str">
        <f>IF($A711="","",IF(COUNTIF('Base Exámenes'!$C$5:$C$1000, A711)&gt;0, "Completado", IF(M711&lt;&gt;"", M711, "Pendiente")))</f>
        <v/>
      </c>
      <c r="G711" s="11" t="str">
        <f>IF(F711="Completado", IFERROR(IF(INDEX('Base Exámenes'!$D$5:$D$1000, MATCH(A711&amp;"|"&amp;J711, 'Base Exámenes'!$I$5:$I$1000, 0))="", "", INDEX('Base Exámenes'!$D$5:$D$1000, MATCH(A711&amp;"|"&amp;J711, 'Base Exámenes'!$I$5:$I$1000, 0))), ""), "")</f>
        <v/>
      </c>
      <c r="H711" s="11" t="str">
        <f>IF(F711="Completado", IFERROR(IF(INDEX('Base Exámenes'!$E$5:$E$1000, MATCH(A711&amp;"|"&amp;J711, 'Base Exámenes'!$I$5:$I$1000, 0))="", "", INDEX('Base Exámenes'!$E$5:$E$1000, MATCH(A711&amp;"|"&amp;J711, 'Base Exámenes'!$I$5:$I$1000, 0))), ""), "")</f>
        <v/>
      </c>
      <c r="I711" s="10" t="str">
        <f>IF(F711="Completado", IFERROR(IF(INDEX('Base Exámenes'!$F$5:$F$1000, MATCH(A711&amp;"|"&amp;J711, 'Base Exámenes'!$I$5:$I$1000, 0))="", "", INDEX('Base Exámenes'!$F$5:$F$1000, MATCH(A711&amp;"|"&amp;J711, 'Base Exámenes'!$I$5:$I$1000, 0))), ""), "")</f>
        <v/>
      </c>
      <c r="J711" s="6" t="str">
        <f>IF(F711="Completado", IF(COUNTIFS('Base Exámenes'!$C$5:$C$1000, A711, 'Base Exámenes'!$G$5:$G$1000, "&lt;&gt;")=0, "", _xlfn.MAXIFS('Base Exámenes'!$G$5:$G$1000, 'Base Exámenes'!$C$5:$C$1000, A711)), "")</f>
        <v/>
      </c>
      <c r="K711" s="6" t="str">
        <f>IF(F711="Completado", IFERROR(IF(INDEX('Base Exámenes'!$H$5:$H$1000, MATCH(A711&amp;"|"&amp;J711, 'Base Exámenes'!$I$5:$I$1000, 0))="", "", INDEX('Base Exámenes'!$H$5:$H$1000, MATCH(A711&amp;"|"&amp;J711, 'Base Exámenes'!$I$5:$I$1000, 0))), ""), "")</f>
        <v/>
      </c>
      <c r="L711" s="22" t="str">
        <f>IF($A711="","",COUNTIF('Base Exámenes'!$C$5:$C$1000, A711))</f>
        <v/>
      </c>
      <c r="M711" s="6" t="str">
        <f>IF($A711="","",IF(COUNTIF('Base Exámenes'!$C$5:$C$1000, A711)&gt;0, "", TRIM('Base Oficial'!H711)))</f>
        <v/>
      </c>
    </row>
    <row r="712">
      <c r="A712" s="4" t="str">
        <f>IF('Base Oficial'!A712="","",TRIM('Base Oficial'!A712))</f>
        <v/>
      </c>
      <c r="B712" s="6" t="str">
        <f>IF($A712="","",TRIM('Base Oficial'!B712))</f>
        <v/>
      </c>
      <c r="C712" s="6" t="str">
        <f>IF($A712="","",TRIM('Base Oficial'!F712))</f>
        <v/>
      </c>
      <c r="D712" s="6" t="str">
        <f>IF($A712="","",TRIM('Base Oficial'!G712))</f>
        <v/>
      </c>
      <c r="E712" s="6" t="str">
        <f>IF($A712="","",TRIM('Base Oficial'!D712))</f>
        <v/>
      </c>
      <c r="F712" s="4" t="str">
        <f>IF($A712="","",IF(COUNTIF('Base Exámenes'!$C$5:$C$1000, A712)&gt;0, "Completado", IF(M712&lt;&gt;"", M712, "Pendiente")))</f>
        <v/>
      </c>
      <c r="G712" s="11" t="str">
        <f>IF(F712="Completado", IFERROR(IF(INDEX('Base Exámenes'!$D$5:$D$1000, MATCH(A712&amp;"|"&amp;J712, 'Base Exámenes'!$I$5:$I$1000, 0))="", "", INDEX('Base Exámenes'!$D$5:$D$1000, MATCH(A712&amp;"|"&amp;J712, 'Base Exámenes'!$I$5:$I$1000, 0))), ""), "")</f>
        <v/>
      </c>
      <c r="H712" s="11" t="str">
        <f>IF(F712="Completado", IFERROR(IF(INDEX('Base Exámenes'!$E$5:$E$1000, MATCH(A712&amp;"|"&amp;J712, 'Base Exámenes'!$I$5:$I$1000, 0))="", "", INDEX('Base Exámenes'!$E$5:$E$1000, MATCH(A712&amp;"|"&amp;J712, 'Base Exámenes'!$I$5:$I$1000, 0))), ""), "")</f>
        <v/>
      </c>
      <c r="I712" s="10" t="str">
        <f>IF(F712="Completado", IFERROR(IF(INDEX('Base Exámenes'!$F$5:$F$1000, MATCH(A712&amp;"|"&amp;J712, 'Base Exámenes'!$I$5:$I$1000, 0))="", "", INDEX('Base Exámenes'!$F$5:$F$1000, MATCH(A712&amp;"|"&amp;J712, 'Base Exámenes'!$I$5:$I$1000, 0))), ""), "")</f>
        <v/>
      </c>
      <c r="J712" s="6" t="str">
        <f>IF(F712="Completado", IF(COUNTIFS('Base Exámenes'!$C$5:$C$1000, A712, 'Base Exámenes'!$G$5:$G$1000, "&lt;&gt;")=0, "", _xlfn.MAXIFS('Base Exámenes'!$G$5:$G$1000, 'Base Exámenes'!$C$5:$C$1000, A712)), "")</f>
        <v/>
      </c>
      <c r="K712" s="6" t="str">
        <f>IF(F712="Completado", IFERROR(IF(INDEX('Base Exámenes'!$H$5:$H$1000, MATCH(A712&amp;"|"&amp;J712, 'Base Exámenes'!$I$5:$I$1000, 0))="", "", INDEX('Base Exámenes'!$H$5:$H$1000, MATCH(A712&amp;"|"&amp;J712, 'Base Exámenes'!$I$5:$I$1000, 0))), ""), "")</f>
        <v/>
      </c>
      <c r="L712" s="22" t="str">
        <f>IF($A712="","",COUNTIF('Base Exámenes'!$C$5:$C$1000, A712))</f>
        <v/>
      </c>
      <c r="M712" s="6" t="str">
        <f>IF($A712="","",IF(COUNTIF('Base Exámenes'!$C$5:$C$1000, A712)&gt;0, "", TRIM('Base Oficial'!H712)))</f>
        <v/>
      </c>
    </row>
    <row r="713">
      <c r="A713" s="4" t="str">
        <f>IF('Base Oficial'!A713="","",TRIM('Base Oficial'!A713))</f>
        <v/>
      </c>
      <c r="B713" s="6" t="str">
        <f>IF($A713="","",TRIM('Base Oficial'!B713))</f>
        <v/>
      </c>
      <c r="C713" s="6" t="str">
        <f>IF($A713="","",TRIM('Base Oficial'!F713))</f>
        <v/>
      </c>
      <c r="D713" s="6" t="str">
        <f>IF($A713="","",TRIM('Base Oficial'!G713))</f>
        <v/>
      </c>
      <c r="E713" s="6" t="str">
        <f>IF($A713="","",TRIM('Base Oficial'!D713))</f>
        <v/>
      </c>
      <c r="F713" s="4" t="str">
        <f>IF($A713="","",IF(COUNTIF('Base Exámenes'!$C$5:$C$1000, A713)&gt;0, "Completado", IF(M713&lt;&gt;"", M713, "Pendiente")))</f>
        <v/>
      </c>
      <c r="G713" s="11" t="str">
        <f>IF(F713="Completado", IFERROR(IF(INDEX('Base Exámenes'!$D$5:$D$1000, MATCH(A713&amp;"|"&amp;J713, 'Base Exámenes'!$I$5:$I$1000, 0))="", "", INDEX('Base Exámenes'!$D$5:$D$1000, MATCH(A713&amp;"|"&amp;J713, 'Base Exámenes'!$I$5:$I$1000, 0))), ""), "")</f>
        <v/>
      </c>
      <c r="H713" s="11" t="str">
        <f>IF(F713="Completado", IFERROR(IF(INDEX('Base Exámenes'!$E$5:$E$1000, MATCH(A713&amp;"|"&amp;J713, 'Base Exámenes'!$I$5:$I$1000, 0))="", "", INDEX('Base Exámenes'!$E$5:$E$1000, MATCH(A713&amp;"|"&amp;J713, 'Base Exámenes'!$I$5:$I$1000, 0))), ""), "")</f>
        <v/>
      </c>
      <c r="I713" s="10" t="str">
        <f>IF(F713="Completado", IFERROR(IF(INDEX('Base Exámenes'!$F$5:$F$1000, MATCH(A713&amp;"|"&amp;J713, 'Base Exámenes'!$I$5:$I$1000, 0))="", "", INDEX('Base Exámenes'!$F$5:$F$1000, MATCH(A713&amp;"|"&amp;J713, 'Base Exámenes'!$I$5:$I$1000, 0))), ""), "")</f>
        <v/>
      </c>
      <c r="J713" s="6" t="str">
        <f>IF(F713="Completado", IF(COUNTIFS('Base Exámenes'!$C$5:$C$1000, A713, 'Base Exámenes'!$G$5:$G$1000, "&lt;&gt;")=0, "", _xlfn.MAXIFS('Base Exámenes'!$G$5:$G$1000, 'Base Exámenes'!$C$5:$C$1000, A713)), "")</f>
        <v/>
      </c>
      <c r="K713" s="6" t="str">
        <f>IF(F713="Completado", IFERROR(IF(INDEX('Base Exámenes'!$H$5:$H$1000, MATCH(A713&amp;"|"&amp;J713, 'Base Exámenes'!$I$5:$I$1000, 0))="", "", INDEX('Base Exámenes'!$H$5:$H$1000, MATCH(A713&amp;"|"&amp;J713, 'Base Exámenes'!$I$5:$I$1000, 0))), ""), "")</f>
        <v/>
      </c>
      <c r="L713" s="22" t="str">
        <f>IF($A713="","",COUNTIF('Base Exámenes'!$C$5:$C$1000, A713))</f>
        <v/>
      </c>
      <c r="M713" s="6" t="str">
        <f>IF($A713="","",IF(COUNTIF('Base Exámenes'!$C$5:$C$1000, A713)&gt;0, "", TRIM('Base Oficial'!H713)))</f>
        <v/>
      </c>
    </row>
    <row r="714">
      <c r="A714" s="4" t="str">
        <f>IF('Base Oficial'!A714="","",TRIM('Base Oficial'!A714))</f>
        <v/>
      </c>
      <c r="B714" s="6" t="str">
        <f>IF($A714="","",TRIM('Base Oficial'!B714))</f>
        <v/>
      </c>
      <c r="C714" s="6" t="str">
        <f>IF($A714="","",TRIM('Base Oficial'!F714))</f>
        <v/>
      </c>
      <c r="D714" s="6" t="str">
        <f>IF($A714="","",TRIM('Base Oficial'!G714))</f>
        <v/>
      </c>
      <c r="E714" s="6" t="str">
        <f>IF($A714="","",TRIM('Base Oficial'!D714))</f>
        <v/>
      </c>
      <c r="F714" s="4" t="str">
        <f>IF($A714="","",IF(COUNTIF('Base Exámenes'!$C$5:$C$1000, A714)&gt;0, "Completado", IF(M714&lt;&gt;"", M714, "Pendiente")))</f>
        <v/>
      </c>
      <c r="G714" s="11" t="str">
        <f>IF(F714="Completado", IFERROR(IF(INDEX('Base Exámenes'!$D$5:$D$1000, MATCH(A714&amp;"|"&amp;J714, 'Base Exámenes'!$I$5:$I$1000, 0))="", "", INDEX('Base Exámenes'!$D$5:$D$1000, MATCH(A714&amp;"|"&amp;J714, 'Base Exámenes'!$I$5:$I$1000, 0))), ""), "")</f>
        <v/>
      </c>
      <c r="H714" s="11" t="str">
        <f>IF(F714="Completado", IFERROR(IF(INDEX('Base Exámenes'!$E$5:$E$1000, MATCH(A714&amp;"|"&amp;J714, 'Base Exámenes'!$I$5:$I$1000, 0))="", "", INDEX('Base Exámenes'!$E$5:$E$1000, MATCH(A714&amp;"|"&amp;J714, 'Base Exámenes'!$I$5:$I$1000, 0))), ""), "")</f>
        <v/>
      </c>
      <c r="I714" s="10" t="str">
        <f>IF(F714="Completado", IFERROR(IF(INDEX('Base Exámenes'!$F$5:$F$1000, MATCH(A714&amp;"|"&amp;J714, 'Base Exámenes'!$I$5:$I$1000, 0))="", "", INDEX('Base Exámenes'!$F$5:$F$1000, MATCH(A714&amp;"|"&amp;J714, 'Base Exámenes'!$I$5:$I$1000, 0))), ""), "")</f>
        <v/>
      </c>
      <c r="J714" s="6" t="str">
        <f>IF(F714="Completado", IF(COUNTIFS('Base Exámenes'!$C$5:$C$1000, A714, 'Base Exámenes'!$G$5:$G$1000, "&lt;&gt;")=0, "", _xlfn.MAXIFS('Base Exámenes'!$G$5:$G$1000, 'Base Exámenes'!$C$5:$C$1000, A714)), "")</f>
        <v/>
      </c>
      <c r="K714" s="6" t="str">
        <f>IF(F714="Completado", IFERROR(IF(INDEX('Base Exámenes'!$H$5:$H$1000, MATCH(A714&amp;"|"&amp;J714, 'Base Exámenes'!$I$5:$I$1000, 0))="", "", INDEX('Base Exámenes'!$H$5:$H$1000, MATCH(A714&amp;"|"&amp;J714, 'Base Exámenes'!$I$5:$I$1000, 0))), ""), "")</f>
        <v/>
      </c>
      <c r="L714" s="22" t="str">
        <f>IF($A714="","",COUNTIF('Base Exámenes'!$C$5:$C$1000, A714))</f>
        <v/>
      </c>
      <c r="M714" s="6" t="str">
        <f>IF($A714="","",IF(COUNTIF('Base Exámenes'!$C$5:$C$1000, A714)&gt;0, "", TRIM('Base Oficial'!H714)))</f>
        <v/>
      </c>
    </row>
    <row r="715">
      <c r="A715" s="4" t="str">
        <f>IF('Base Oficial'!A715="","",TRIM('Base Oficial'!A715))</f>
        <v/>
      </c>
      <c r="B715" s="6" t="str">
        <f>IF($A715="","",TRIM('Base Oficial'!B715))</f>
        <v/>
      </c>
      <c r="C715" s="6" t="str">
        <f>IF($A715="","",TRIM('Base Oficial'!F715))</f>
        <v/>
      </c>
      <c r="D715" s="6" t="str">
        <f>IF($A715="","",TRIM('Base Oficial'!G715))</f>
        <v/>
      </c>
      <c r="E715" s="6" t="str">
        <f>IF($A715="","",TRIM('Base Oficial'!D715))</f>
        <v/>
      </c>
      <c r="F715" s="4" t="str">
        <f>IF($A715="","",IF(COUNTIF('Base Exámenes'!$C$5:$C$1000, A715)&gt;0, "Completado", IF(M715&lt;&gt;"", M715, "Pendiente")))</f>
        <v/>
      </c>
      <c r="G715" s="11" t="str">
        <f>IF(F715="Completado", IFERROR(IF(INDEX('Base Exámenes'!$D$5:$D$1000, MATCH(A715&amp;"|"&amp;J715, 'Base Exámenes'!$I$5:$I$1000, 0))="", "", INDEX('Base Exámenes'!$D$5:$D$1000, MATCH(A715&amp;"|"&amp;J715, 'Base Exámenes'!$I$5:$I$1000, 0))), ""), "")</f>
        <v/>
      </c>
      <c r="H715" s="11" t="str">
        <f>IF(F715="Completado", IFERROR(IF(INDEX('Base Exámenes'!$E$5:$E$1000, MATCH(A715&amp;"|"&amp;J715, 'Base Exámenes'!$I$5:$I$1000, 0))="", "", INDEX('Base Exámenes'!$E$5:$E$1000, MATCH(A715&amp;"|"&amp;J715, 'Base Exámenes'!$I$5:$I$1000, 0))), ""), "")</f>
        <v/>
      </c>
      <c r="I715" s="10" t="str">
        <f>IF(F715="Completado", IFERROR(IF(INDEX('Base Exámenes'!$F$5:$F$1000, MATCH(A715&amp;"|"&amp;J715, 'Base Exámenes'!$I$5:$I$1000, 0))="", "", INDEX('Base Exámenes'!$F$5:$F$1000, MATCH(A715&amp;"|"&amp;J715, 'Base Exámenes'!$I$5:$I$1000, 0))), ""), "")</f>
        <v/>
      </c>
      <c r="J715" s="6" t="str">
        <f>IF(F715="Completado", IF(COUNTIFS('Base Exámenes'!$C$5:$C$1000, A715, 'Base Exámenes'!$G$5:$G$1000, "&lt;&gt;")=0, "", _xlfn.MAXIFS('Base Exámenes'!$G$5:$G$1000, 'Base Exámenes'!$C$5:$C$1000, A715)), "")</f>
        <v/>
      </c>
      <c r="K715" s="6" t="str">
        <f>IF(F715="Completado", IFERROR(IF(INDEX('Base Exámenes'!$H$5:$H$1000, MATCH(A715&amp;"|"&amp;J715, 'Base Exámenes'!$I$5:$I$1000, 0))="", "", INDEX('Base Exámenes'!$H$5:$H$1000, MATCH(A715&amp;"|"&amp;J715, 'Base Exámenes'!$I$5:$I$1000, 0))), ""), "")</f>
        <v/>
      </c>
      <c r="L715" s="22" t="str">
        <f>IF($A715="","",COUNTIF('Base Exámenes'!$C$5:$C$1000, A715))</f>
        <v/>
      </c>
      <c r="M715" s="6" t="str">
        <f>IF($A715="","",IF(COUNTIF('Base Exámenes'!$C$5:$C$1000, A715)&gt;0, "", TRIM('Base Oficial'!H715)))</f>
        <v/>
      </c>
    </row>
    <row r="716">
      <c r="A716" s="4" t="str">
        <f>IF('Base Oficial'!A716="","",TRIM('Base Oficial'!A716))</f>
        <v/>
      </c>
      <c r="B716" s="6" t="str">
        <f>IF($A716="","",TRIM('Base Oficial'!B716))</f>
        <v/>
      </c>
      <c r="C716" s="6" t="str">
        <f>IF($A716="","",TRIM('Base Oficial'!F716))</f>
        <v/>
      </c>
      <c r="D716" s="6" t="str">
        <f>IF($A716="","",TRIM('Base Oficial'!G716))</f>
        <v/>
      </c>
      <c r="E716" s="6" t="str">
        <f>IF($A716="","",TRIM('Base Oficial'!D716))</f>
        <v/>
      </c>
      <c r="F716" s="4" t="str">
        <f>IF($A716="","",IF(COUNTIF('Base Exámenes'!$C$5:$C$1000, A716)&gt;0, "Completado", IF(M716&lt;&gt;"", M716, "Pendiente")))</f>
        <v/>
      </c>
      <c r="G716" s="11" t="str">
        <f>IF(F716="Completado", IFERROR(IF(INDEX('Base Exámenes'!$D$5:$D$1000, MATCH(A716&amp;"|"&amp;J716, 'Base Exámenes'!$I$5:$I$1000, 0))="", "", INDEX('Base Exámenes'!$D$5:$D$1000, MATCH(A716&amp;"|"&amp;J716, 'Base Exámenes'!$I$5:$I$1000, 0))), ""), "")</f>
        <v/>
      </c>
      <c r="H716" s="11" t="str">
        <f>IF(F716="Completado", IFERROR(IF(INDEX('Base Exámenes'!$E$5:$E$1000, MATCH(A716&amp;"|"&amp;J716, 'Base Exámenes'!$I$5:$I$1000, 0))="", "", INDEX('Base Exámenes'!$E$5:$E$1000, MATCH(A716&amp;"|"&amp;J716, 'Base Exámenes'!$I$5:$I$1000, 0))), ""), "")</f>
        <v/>
      </c>
      <c r="I716" s="10" t="str">
        <f>IF(F716="Completado", IFERROR(IF(INDEX('Base Exámenes'!$F$5:$F$1000, MATCH(A716&amp;"|"&amp;J716, 'Base Exámenes'!$I$5:$I$1000, 0))="", "", INDEX('Base Exámenes'!$F$5:$F$1000, MATCH(A716&amp;"|"&amp;J716, 'Base Exámenes'!$I$5:$I$1000, 0))), ""), "")</f>
        <v/>
      </c>
      <c r="J716" s="6" t="str">
        <f>IF(F716="Completado", IF(COUNTIFS('Base Exámenes'!$C$5:$C$1000, A716, 'Base Exámenes'!$G$5:$G$1000, "&lt;&gt;")=0, "", _xlfn.MAXIFS('Base Exámenes'!$G$5:$G$1000, 'Base Exámenes'!$C$5:$C$1000, A716)), "")</f>
        <v/>
      </c>
      <c r="K716" s="6" t="str">
        <f>IF(F716="Completado", IFERROR(IF(INDEX('Base Exámenes'!$H$5:$H$1000, MATCH(A716&amp;"|"&amp;J716, 'Base Exámenes'!$I$5:$I$1000, 0))="", "", INDEX('Base Exámenes'!$H$5:$H$1000, MATCH(A716&amp;"|"&amp;J716, 'Base Exámenes'!$I$5:$I$1000, 0))), ""), "")</f>
        <v/>
      </c>
      <c r="L716" s="22" t="str">
        <f>IF($A716="","",COUNTIF('Base Exámenes'!$C$5:$C$1000, A716))</f>
        <v/>
      </c>
      <c r="M716" s="6" t="str">
        <f>IF($A716="","",IF(COUNTIF('Base Exámenes'!$C$5:$C$1000, A716)&gt;0, "", TRIM('Base Oficial'!H716)))</f>
        <v/>
      </c>
    </row>
    <row r="717">
      <c r="A717" s="4" t="str">
        <f>IF('Base Oficial'!A717="","",TRIM('Base Oficial'!A717))</f>
        <v/>
      </c>
      <c r="B717" s="6" t="str">
        <f>IF($A717="","",TRIM('Base Oficial'!B717))</f>
        <v/>
      </c>
      <c r="C717" s="6" t="str">
        <f>IF($A717="","",TRIM('Base Oficial'!F717))</f>
        <v/>
      </c>
      <c r="D717" s="6" t="str">
        <f>IF($A717="","",TRIM('Base Oficial'!G717))</f>
        <v/>
      </c>
      <c r="E717" s="6" t="str">
        <f>IF($A717="","",TRIM('Base Oficial'!D717))</f>
        <v/>
      </c>
      <c r="F717" s="4" t="str">
        <f>IF($A717="","",IF(COUNTIF('Base Exámenes'!$C$5:$C$1000, A717)&gt;0, "Completado", IF(M717&lt;&gt;"", M717, "Pendiente")))</f>
        <v/>
      </c>
      <c r="G717" s="11" t="str">
        <f>IF(F717="Completado", IFERROR(IF(INDEX('Base Exámenes'!$D$5:$D$1000, MATCH(A717&amp;"|"&amp;J717, 'Base Exámenes'!$I$5:$I$1000, 0))="", "", INDEX('Base Exámenes'!$D$5:$D$1000, MATCH(A717&amp;"|"&amp;J717, 'Base Exámenes'!$I$5:$I$1000, 0))), ""), "")</f>
        <v/>
      </c>
      <c r="H717" s="11" t="str">
        <f>IF(F717="Completado", IFERROR(IF(INDEX('Base Exámenes'!$E$5:$E$1000, MATCH(A717&amp;"|"&amp;J717, 'Base Exámenes'!$I$5:$I$1000, 0))="", "", INDEX('Base Exámenes'!$E$5:$E$1000, MATCH(A717&amp;"|"&amp;J717, 'Base Exámenes'!$I$5:$I$1000, 0))), ""), "")</f>
        <v/>
      </c>
      <c r="I717" s="10" t="str">
        <f>IF(F717="Completado", IFERROR(IF(INDEX('Base Exámenes'!$F$5:$F$1000, MATCH(A717&amp;"|"&amp;J717, 'Base Exámenes'!$I$5:$I$1000, 0))="", "", INDEX('Base Exámenes'!$F$5:$F$1000, MATCH(A717&amp;"|"&amp;J717, 'Base Exámenes'!$I$5:$I$1000, 0))), ""), "")</f>
        <v/>
      </c>
      <c r="J717" s="6" t="str">
        <f>IF(F717="Completado", IF(COUNTIFS('Base Exámenes'!$C$5:$C$1000, A717, 'Base Exámenes'!$G$5:$G$1000, "&lt;&gt;")=0, "", _xlfn.MAXIFS('Base Exámenes'!$G$5:$G$1000, 'Base Exámenes'!$C$5:$C$1000, A717)), "")</f>
        <v/>
      </c>
      <c r="K717" s="6" t="str">
        <f>IF(F717="Completado", IFERROR(IF(INDEX('Base Exámenes'!$H$5:$H$1000, MATCH(A717&amp;"|"&amp;J717, 'Base Exámenes'!$I$5:$I$1000, 0))="", "", INDEX('Base Exámenes'!$H$5:$H$1000, MATCH(A717&amp;"|"&amp;J717, 'Base Exámenes'!$I$5:$I$1000, 0))), ""), "")</f>
        <v/>
      </c>
      <c r="L717" s="22" t="str">
        <f>IF($A717="","",COUNTIF('Base Exámenes'!$C$5:$C$1000, A717))</f>
        <v/>
      </c>
      <c r="M717" s="6" t="str">
        <f>IF($A717="","",IF(COUNTIF('Base Exámenes'!$C$5:$C$1000, A717)&gt;0, "", TRIM('Base Oficial'!H717)))</f>
        <v/>
      </c>
    </row>
    <row r="718">
      <c r="A718" s="4" t="str">
        <f>IF('Base Oficial'!A718="","",TRIM('Base Oficial'!A718))</f>
        <v/>
      </c>
      <c r="B718" s="6" t="str">
        <f>IF($A718="","",TRIM('Base Oficial'!B718))</f>
        <v/>
      </c>
      <c r="C718" s="6" t="str">
        <f>IF($A718="","",TRIM('Base Oficial'!F718))</f>
        <v/>
      </c>
      <c r="D718" s="6" t="str">
        <f>IF($A718="","",TRIM('Base Oficial'!G718))</f>
        <v/>
      </c>
      <c r="E718" s="6" t="str">
        <f>IF($A718="","",TRIM('Base Oficial'!D718))</f>
        <v/>
      </c>
      <c r="F718" s="4" t="str">
        <f>IF($A718="","",IF(COUNTIF('Base Exámenes'!$C$5:$C$1000, A718)&gt;0, "Completado", IF(M718&lt;&gt;"", M718, "Pendiente")))</f>
        <v/>
      </c>
      <c r="G718" s="11" t="str">
        <f>IF(F718="Completado", IFERROR(IF(INDEX('Base Exámenes'!$D$5:$D$1000, MATCH(A718&amp;"|"&amp;J718, 'Base Exámenes'!$I$5:$I$1000, 0))="", "", INDEX('Base Exámenes'!$D$5:$D$1000, MATCH(A718&amp;"|"&amp;J718, 'Base Exámenes'!$I$5:$I$1000, 0))), ""), "")</f>
        <v/>
      </c>
      <c r="H718" s="11" t="str">
        <f>IF(F718="Completado", IFERROR(IF(INDEX('Base Exámenes'!$E$5:$E$1000, MATCH(A718&amp;"|"&amp;J718, 'Base Exámenes'!$I$5:$I$1000, 0))="", "", INDEX('Base Exámenes'!$E$5:$E$1000, MATCH(A718&amp;"|"&amp;J718, 'Base Exámenes'!$I$5:$I$1000, 0))), ""), "")</f>
        <v/>
      </c>
      <c r="I718" s="10" t="str">
        <f>IF(F718="Completado", IFERROR(IF(INDEX('Base Exámenes'!$F$5:$F$1000, MATCH(A718&amp;"|"&amp;J718, 'Base Exámenes'!$I$5:$I$1000, 0))="", "", INDEX('Base Exámenes'!$F$5:$F$1000, MATCH(A718&amp;"|"&amp;J718, 'Base Exámenes'!$I$5:$I$1000, 0))), ""), "")</f>
        <v/>
      </c>
      <c r="J718" s="6" t="str">
        <f>IF(F718="Completado", IF(COUNTIFS('Base Exámenes'!$C$5:$C$1000, A718, 'Base Exámenes'!$G$5:$G$1000, "&lt;&gt;")=0, "", _xlfn.MAXIFS('Base Exámenes'!$G$5:$G$1000, 'Base Exámenes'!$C$5:$C$1000, A718)), "")</f>
        <v/>
      </c>
      <c r="K718" s="6" t="str">
        <f>IF(F718="Completado", IFERROR(IF(INDEX('Base Exámenes'!$H$5:$H$1000, MATCH(A718&amp;"|"&amp;J718, 'Base Exámenes'!$I$5:$I$1000, 0))="", "", INDEX('Base Exámenes'!$H$5:$H$1000, MATCH(A718&amp;"|"&amp;J718, 'Base Exámenes'!$I$5:$I$1000, 0))), ""), "")</f>
        <v/>
      </c>
      <c r="L718" s="22" t="str">
        <f>IF($A718="","",COUNTIF('Base Exámenes'!$C$5:$C$1000, A718))</f>
        <v/>
      </c>
      <c r="M718" s="6" t="str">
        <f>IF($A718="","",IF(COUNTIF('Base Exámenes'!$C$5:$C$1000, A718)&gt;0, "", TRIM('Base Oficial'!H718)))</f>
        <v/>
      </c>
    </row>
    <row r="719">
      <c r="A719" s="4" t="str">
        <f>IF('Base Oficial'!A719="","",TRIM('Base Oficial'!A719))</f>
        <v/>
      </c>
      <c r="B719" s="6" t="str">
        <f>IF($A719="","",TRIM('Base Oficial'!B719))</f>
        <v/>
      </c>
      <c r="C719" s="6" t="str">
        <f>IF($A719="","",TRIM('Base Oficial'!F719))</f>
        <v/>
      </c>
      <c r="D719" s="6" t="str">
        <f>IF($A719="","",TRIM('Base Oficial'!G719))</f>
        <v/>
      </c>
      <c r="E719" s="6" t="str">
        <f>IF($A719="","",TRIM('Base Oficial'!D719))</f>
        <v/>
      </c>
      <c r="F719" s="4" t="str">
        <f>IF($A719="","",IF(COUNTIF('Base Exámenes'!$C$5:$C$1000, A719)&gt;0, "Completado", IF(M719&lt;&gt;"", M719, "Pendiente")))</f>
        <v/>
      </c>
      <c r="G719" s="11" t="str">
        <f>IF(F719="Completado", IFERROR(IF(INDEX('Base Exámenes'!$D$5:$D$1000, MATCH(A719&amp;"|"&amp;J719, 'Base Exámenes'!$I$5:$I$1000, 0))="", "", INDEX('Base Exámenes'!$D$5:$D$1000, MATCH(A719&amp;"|"&amp;J719, 'Base Exámenes'!$I$5:$I$1000, 0))), ""), "")</f>
        <v/>
      </c>
      <c r="H719" s="11" t="str">
        <f>IF(F719="Completado", IFERROR(IF(INDEX('Base Exámenes'!$E$5:$E$1000, MATCH(A719&amp;"|"&amp;J719, 'Base Exámenes'!$I$5:$I$1000, 0))="", "", INDEX('Base Exámenes'!$E$5:$E$1000, MATCH(A719&amp;"|"&amp;J719, 'Base Exámenes'!$I$5:$I$1000, 0))), ""), "")</f>
        <v/>
      </c>
      <c r="I719" s="10" t="str">
        <f>IF(F719="Completado", IFERROR(IF(INDEX('Base Exámenes'!$F$5:$F$1000, MATCH(A719&amp;"|"&amp;J719, 'Base Exámenes'!$I$5:$I$1000, 0))="", "", INDEX('Base Exámenes'!$F$5:$F$1000, MATCH(A719&amp;"|"&amp;J719, 'Base Exámenes'!$I$5:$I$1000, 0))), ""), "")</f>
        <v/>
      </c>
      <c r="J719" s="6" t="str">
        <f>IF(F719="Completado", IF(COUNTIFS('Base Exámenes'!$C$5:$C$1000, A719, 'Base Exámenes'!$G$5:$G$1000, "&lt;&gt;")=0, "", _xlfn.MAXIFS('Base Exámenes'!$G$5:$G$1000, 'Base Exámenes'!$C$5:$C$1000, A719)), "")</f>
        <v/>
      </c>
      <c r="K719" s="6" t="str">
        <f>IF(F719="Completado", IFERROR(IF(INDEX('Base Exámenes'!$H$5:$H$1000, MATCH(A719&amp;"|"&amp;J719, 'Base Exámenes'!$I$5:$I$1000, 0))="", "", INDEX('Base Exámenes'!$H$5:$H$1000, MATCH(A719&amp;"|"&amp;J719, 'Base Exámenes'!$I$5:$I$1000, 0))), ""), "")</f>
        <v/>
      </c>
      <c r="L719" s="22" t="str">
        <f>IF($A719="","",COUNTIF('Base Exámenes'!$C$5:$C$1000, A719))</f>
        <v/>
      </c>
      <c r="M719" s="6" t="str">
        <f>IF($A719="","",IF(COUNTIF('Base Exámenes'!$C$5:$C$1000, A719)&gt;0, "", TRIM('Base Oficial'!H719)))</f>
        <v/>
      </c>
    </row>
    <row r="720">
      <c r="A720" s="4" t="str">
        <f>IF('Base Oficial'!A720="","",TRIM('Base Oficial'!A720))</f>
        <v/>
      </c>
      <c r="B720" s="6" t="str">
        <f>IF($A720="","",TRIM('Base Oficial'!B720))</f>
        <v/>
      </c>
      <c r="C720" s="6" t="str">
        <f>IF($A720="","",TRIM('Base Oficial'!F720))</f>
        <v/>
      </c>
      <c r="D720" s="6" t="str">
        <f>IF($A720="","",TRIM('Base Oficial'!G720))</f>
        <v/>
      </c>
      <c r="E720" s="6" t="str">
        <f>IF($A720="","",TRIM('Base Oficial'!D720))</f>
        <v/>
      </c>
      <c r="F720" s="4" t="str">
        <f>IF($A720="","",IF(COUNTIF('Base Exámenes'!$C$5:$C$1000, A720)&gt;0, "Completado", IF(M720&lt;&gt;"", M720, "Pendiente")))</f>
        <v/>
      </c>
      <c r="G720" s="11" t="str">
        <f>IF(F720="Completado", IFERROR(IF(INDEX('Base Exámenes'!$D$5:$D$1000, MATCH(A720&amp;"|"&amp;J720, 'Base Exámenes'!$I$5:$I$1000, 0))="", "", INDEX('Base Exámenes'!$D$5:$D$1000, MATCH(A720&amp;"|"&amp;J720, 'Base Exámenes'!$I$5:$I$1000, 0))), ""), "")</f>
        <v/>
      </c>
      <c r="H720" s="11" t="str">
        <f>IF(F720="Completado", IFERROR(IF(INDEX('Base Exámenes'!$E$5:$E$1000, MATCH(A720&amp;"|"&amp;J720, 'Base Exámenes'!$I$5:$I$1000, 0))="", "", INDEX('Base Exámenes'!$E$5:$E$1000, MATCH(A720&amp;"|"&amp;J720, 'Base Exámenes'!$I$5:$I$1000, 0))), ""), "")</f>
        <v/>
      </c>
      <c r="I720" s="10" t="str">
        <f>IF(F720="Completado", IFERROR(IF(INDEX('Base Exámenes'!$F$5:$F$1000, MATCH(A720&amp;"|"&amp;J720, 'Base Exámenes'!$I$5:$I$1000, 0))="", "", INDEX('Base Exámenes'!$F$5:$F$1000, MATCH(A720&amp;"|"&amp;J720, 'Base Exámenes'!$I$5:$I$1000, 0))), ""), "")</f>
        <v/>
      </c>
      <c r="J720" s="6" t="str">
        <f>IF(F720="Completado", IF(COUNTIFS('Base Exámenes'!$C$5:$C$1000, A720, 'Base Exámenes'!$G$5:$G$1000, "&lt;&gt;")=0, "", _xlfn.MAXIFS('Base Exámenes'!$G$5:$G$1000, 'Base Exámenes'!$C$5:$C$1000, A720)), "")</f>
        <v/>
      </c>
      <c r="K720" s="6" t="str">
        <f>IF(F720="Completado", IFERROR(IF(INDEX('Base Exámenes'!$H$5:$H$1000, MATCH(A720&amp;"|"&amp;J720, 'Base Exámenes'!$I$5:$I$1000, 0))="", "", INDEX('Base Exámenes'!$H$5:$H$1000, MATCH(A720&amp;"|"&amp;J720, 'Base Exámenes'!$I$5:$I$1000, 0))), ""), "")</f>
        <v/>
      </c>
      <c r="L720" s="22" t="str">
        <f>IF($A720="","",COUNTIF('Base Exámenes'!$C$5:$C$1000, A720))</f>
        <v/>
      </c>
      <c r="M720" s="6" t="str">
        <f>IF($A720="","",IF(COUNTIF('Base Exámenes'!$C$5:$C$1000, A720)&gt;0, "", TRIM('Base Oficial'!H720)))</f>
        <v/>
      </c>
    </row>
    <row r="721">
      <c r="A721" s="4" t="str">
        <f>IF('Base Oficial'!A721="","",TRIM('Base Oficial'!A721))</f>
        <v/>
      </c>
      <c r="B721" s="6" t="str">
        <f>IF($A721="","",TRIM('Base Oficial'!B721))</f>
        <v/>
      </c>
      <c r="C721" s="6" t="str">
        <f>IF($A721="","",TRIM('Base Oficial'!F721))</f>
        <v/>
      </c>
      <c r="D721" s="6" t="str">
        <f>IF($A721="","",TRIM('Base Oficial'!G721))</f>
        <v/>
      </c>
      <c r="E721" s="6" t="str">
        <f>IF($A721="","",TRIM('Base Oficial'!D721))</f>
        <v/>
      </c>
      <c r="F721" s="4" t="str">
        <f>IF($A721="","",IF(COUNTIF('Base Exámenes'!$C$5:$C$1000, A721)&gt;0, "Completado", IF(M721&lt;&gt;"", M721, "Pendiente")))</f>
        <v/>
      </c>
      <c r="G721" s="11" t="str">
        <f>IF(F721="Completado", IFERROR(IF(INDEX('Base Exámenes'!$D$5:$D$1000, MATCH(A721&amp;"|"&amp;J721, 'Base Exámenes'!$I$5:$I$1000, 0))="", "", INDEX('Base Exámenes'!$D$5:$D$1000, MATCH(A721&amp;"|"&amp;J721, 'Base Exámenes'!$I$5:$I$1000, 0))), ""), "")</f>
        <v/>
      </c>
      <c r="H721" s="11" t="str">
        <f>IF(F721="Completado", IFERROR(IF(INDEX('Base Exámenes'!$E$5:$E$1000, MATCH(A721&amp;"|"&amp;J721, 'Base Exámenes'!$I$5:$I$1000, 0))="", "", INDEX('Base Exámenes'!$E$5:$E$1000, MATCH(A721&amp;"|"&amp;J721, 'Base Exámenes'!$I$5:$I$1000, 0))), ""), "")</f>
        <v/>
      </c>
      <c r="I721" s="10" t="str">
        <f>IF(F721="Completado", IFERROR(IF(INDEX('Base Exámenes'!$F$5:$F$1000, MATCH(A721&amp;"|"&amp;J721, 'Base Exámenes'!$I$5:$I$1000, 0))="", "", INDEX('Base Exámenes'!$F$5:$F$1000, MATCH(A721&amp;"|"&amp;J721, 'Base Exámenes'!$I$5:$I$1000, 0))), ""), "")</f>
        <v/>
      </c>
      <c r="J721" s="6" t="str">
        <f>IF(F721="Completado", IF(COUNTIFS('Base Exámenes'!$C$5:$C$1000, A721, 'Base Exámenes'!$G$5:$G$1000, "&lt;&gt;")=0, "", _xlfn.MAXIFS('Base Exámenes'!$G$5:$G$1000, 'Base Exámenes'!$C$5:$C$1000, A721)), "")</f>
        <v/>
      </c>
      <c r="K721" s="6" t="str">
        <f>IF(F721="Completado", IFERROR(IF(INDEX('Base Exámenes'!$H$5:$H$1000, MATCH(A721&amp;"|"&amp;J721, 'Base Exámenes'!$I$5:$I$1000, 0))="", "", INDEX('Base Exámenes'!$H$5:$H$1000, MATCH(A721&amp;"|"&amp;J721, 'Base Exámenes'!$I$5:$I$1000, 0))), ""), "")</f>
        <v/>
      </c>
      <c r="L721" s="22" t="str">
        <f>IF($A721="","",COUNTIF('Base Exámenes'!$C$5:$C$1000, A721))</f>
        <v/>
      </c>
      <c r="M721" s="6" t="str">
        <f>IF($A721="","",IF(COUNTIF('Base Exámenes'!$C$5:$C$1000, A721)&gt;0, "", TRIM('Base Oficial'!H721)))</f>
        <v/>
      </c>
    </row>
    <row r="722">
      <c r="A722" s="4" t="str">
        <f>IF('Base Oficial'!A722="","",TRIM('Base Oficial'!A722))</f>
        <v/>
      </c>
      <c r="B722" s="6" t="str">
        <f>IF($A722="","",TRIM('Base Oficial'!B722))</f>
        <v/>
      </c>
      <c r="C722" s="6" t="str">
        <f>IF($A722="","",TRIM('Base Oficial'!F722))</f>
        <v/>
      </c>
      <c r="D722" s="6" t="str">
        <f>IF($A722="","",TRIM('Base Oficial'!G722))</f>
        <v/>
      </c>
      <c r="E722" s="6" t="str">
        <f>IF($A722="","",TRIM('Base Oficial'!D722))</f>
        <v/>
      </c>
      <c r="F722" s="4" t="str">
        <f>IF($A722="","",IF(COUNTIF('Base Exámenes'!$C$5:$C$1000, A722)&gt;0, "Completado", IF(M722&lt;&gt;"", M722, "Pendiente")))</f>
        <v/>
      </c>
      <c r="G722" s="11" t="str">
        <f>IF(F722="Completado", IFERROR(IF(INDEX('Base Exámenes'!$D$5:$D$1000, MATCH(A722&amp;"|"&amp;J722, 'Base Exámenes'!$I$5:$I$1000, 0))="", "", INDEX('Base Exámenes'!$D$5:$D$1000, MATCH(A722&amp;"|"&amp;J722, 'Base Exámenes'!$I$5:$I$1000, 0))), ""), "")</f>
        <v/>
      </c>
      <c r="H722" s="11" t="str">
        <f>IF(F722="Completado", IFERROR(IF(INDEX('Base Exámenes'!$E$5:$E$1000, MATCH(A722&amp;"|"&amp;J722, 'Base Exámenes'!$I$5:$I$1000, 0))="", "", INDEX('Base Exámenes'!$E$5:$E$1000, MATCH(A722&amp;"|"&amp;J722, 'Base Exámenes'!$I$5:$I$1000, 0))), ""), "")</f>
        <v/>
      </c>
      <c r="I722" s="10" t="str">
        <f>IF(F722="Completado", IFERROR(IF(INDEX('Base Exámenes'!$F$5:$F$1000, MATCH(A722&amp;"|"&amp;J722, 'Base Exámenes'!$I$5:$I$1000, 0))="", "", INDEX('Base Exámenes'!$F$5:$F$1000, MATCH(A722&amp;"|"&amp;J722, 'Base Exámenes'!$I$5:$I$1000, 0))), ""), "")</f>
        <v/>
      </c>
      <c r="J722" s="6" t="str">
        <f>IF(F722="Completado", IF(COUNTIFS('Base Exámenes'!$C$5:$C$1000, A722, 'Base Exámenes'!$G$5:$G$1000, "&lt;&gt;")=0, "", _xlfn.MAXIFS('Base Exámenes'!$G$5:$G$1000, 'Base Exámenes'!$C$5:$C$1000, A722)), "")</f>
        <v/>
      </c>
      <c r="K722" s="6" t="str">
        <f>IF(F722="Completado", IFERROR(IF(INDEX('Base Exámenes'!$H$5:$H$1000, MATCH(A722&amp;"|"&amp;J722, 'Base Exámenes'!$I$5:$I$1000, 0))="", "", INDEX('Base Exámenes'!$H$5:$H$1000, MATCH(A722&amp;"|"&amp;J722, 'Base Exámenes'!$I$5:$I$1000, 0))), ""), "")</f>
        <v/>
      </c>
      <c r="L722" s="22" t="str">
        <f>IF($A722="","",COUNTIF('Base Exámenes'!$C$5:$C$1000, A722))</f>
        <v/>
      </c>
      <c r="M722" s="6" t="str">
        <f>IF($A722="","",IF(COUNTIF('Base Exámenes'!$C$5:$C$1000, A722)&gt;0, "", TRIM('Base Oficial'!H722)))</f>
        <v/>
      </c>
    </row>
    <row r="723">
      <c r="A723" s="4" t="str">
        <f>IF('Base Oficial'!A723="","",TRIM('Base Oficial'!A723))</f>
        <v/>
      </c>
      <c r="B723" s="6" t="str">
        <f>IF($A723="","",TRIM('Base Oficial'!B723))</f>
        <v/>
      </c>
      <c r="C723" s="6" t="str">
        <f>IF($A723="","",TRIM('Base Oficial'!F723))</f>
        <v/>
      </c>
      <c r="D723" s="6" t="str">
        <f>IF($A723="","",TRIM('Base Oficial'!G723))</f>
        <v/>
      </c>
      <c r="E723" s="6" t="str">
        <f>IF($A723="","",TRIM('Base Oficial'!D723))</f>
        <v/>
      </c>
      <c r="F723" s="4" t="str">
        <f>IF($A723="","",IF(COUNTIF('Base Exámenes'!$C$5:$C$1000, A723)&gt;0, "Completado", IF(M723&lt;&gt;"", M723, "Pendiente")))</f>
        <v/>
      </c>
      <c r="G723" s="11" t="str">
        <f>IF(F723="Completado", IFERROR(IF(INDEX('Base Exámenes'!$D$5:$D$1000, MATCH(A723&amp;"|"&amp;J723, 'Base Exámenes'!$I$5:$I$1000, 0))="", "", INDEX('Base Exámenes'!$D$5:$D$1000, MATCH(A723&amp;"|"&amp;J723, 'Base Exámenes'!$I$5:$I$1000, 0))), ""), "")</f>
        <v/>
      </c>
      <c r="H723" s="11" t="str">
        <f>IF(F723="Completado", IFERROR(IF(INDEX('Base Exámenes'!$E$5:$E$1000, MATCH(A723&amp;"|"&amp;J723, 'Base Exámenes'!$I$5:$I$1000, 0))="", "", INDEX('Base Exámenes'!$E$5:$E$1000, MATCH(A723&amp;"|"&amp;J723, 'Base Exámenes'!$I$5:$I$1000, 0))), ""), "")</f>
        <v/>
      </c>
      <c r="I723" s="10" t="str">
        <f>IF(F723="Completado", IFERROR(IF(INDEX('Base Exámenes'!$F$5:$F$1000, MATCH(A723&amp;"|"&amp;J723, 'Base Exámenes'!$I$5:$I$1000, 0))="", "", INDEX('Base Exámenes'!$F$5:$F$1000, MATCH(A723&amp;"|"&amp;J723, 'Base Exámenes'!$I$5:$I$1000, 0))), ""), "")</f>
        <v/>
      </c>
      <c r="J723" s="6" t="str">
        <f>IF(F723="Completado", IF(COUNTIFS('Base Exámenes'!$C$5:$C$1000, A723, 'Base Exámenes'!$G$5:$G$1000, "&lt;&gt;")=0, "", _xlfn.MAXIFS('Base Exámenes'!$G$5:$G$1000, 'Base Exámenes'!$C$5:$C$1000, A723)), "")</f>
        <v/>
      </c>
      <c r="K723" s="6" t="str">
        <f>IF(F723="Completado", IFERROR(IF(INDEX('Base Exámenes'!$H$5:$H$1000, MATCH(A723&amp;"|"&amp;J723, 'Base Exámenes'!$I$5:$I$1000, 0))="", "", INDEX('Base Exámenes'!$H$5:$H$1000, MATCH(A723&amp;"|"&amp;J723, 'Base Exámenes'!$I$5:$I$1000, 0))), ""), "")</f>
        <v/>
      </c>
      <c r="L723" s="22" t="str">
        <f>IF($A723="","",COUNTIF('Base Exámenes'!$C$5:$C$1000, A723))</f>
        <v/>
      </c>
      <c r="M723" s="6" t="str">
        <f>IF($A723="","",IF(COUNTIF('Base Exámenes'!$C$5:$C$1000, A723)&gt;0, "", TRIM('Base Oficial'!H723)))</f>
        <v/>
      </c>
    </row>
    <row r="724">
      <c r="A724" s="4" t="str">
        <f>IF('Base Oficial'!A724="","",TRIM('Base Oficial'!A724))</f>
        <v/>
      </c>
      <c r="B724" s="6" t="str">
        <f>IF($A724="","",TRIM('Base Oficial'!B724))</f>
        <v/>
      </c>
      <c r="C724" s="6" t="str">
        <f>IF($A724="","",TRIM('Base Oficial'!F724))</f>
        <v/>
      </c>
      <c r="D724" s="6" t="str">
        <f>IF($A724="","",TRIM('Base Oficial'!G724))</f>
        <v/>
      </c>
      <c r="E724" s="6" t="str">
        <f>IF($A724="","",TRIM('Base Oficial'!D724))</f>
        <v/>
      </c>
      <c r="F724" s="4" t="str">
        <f>IF($A724="","",IF(COUNTIF('Base Exámenes'!$C$5:$C$1000, A724)&gt;0, "Completado", IF(M724&lt;&gt;"", M724, "Pendiente")))</f>
        <v/>
      </c>
      <c r="G724" s="11" t="str">
        <f>IF(F724="Completado", IFERROR(IF(INDEX('Base Exámenes'!$D$5:$D$1000, MATCH(A724&amp;"|"&amp;J724, 'Base Exámenes'!$I$5:$I$1000, 0))="", "", INDEX('Base Exámenes'!$D$5:$D$1000, MATCH(A724&amp;"|"&amp;J724, 'Base Exámenes'!$I$5:$I$1000, 0))), ""), "")</f>
        <v/>
      </c>
      <c r="H724" s="11" t="str">
        <f>IF(F724="Completado", IFERROR(IF(INDEX('Base Exámenes'!$E$5:$E$1000, MATCH(A724&amp;"|"&amp;J724, 'Base Exámenes'!$I$5:$I$1000, 0))="", "", INDEX('Base Exámenes'!$E$5:$E$1000, MATCH(A724&amp;"|"&amp;J724, 'Base Exámenes'!$I$5:$I$1000, 0))), ""), "")</f>
        <v/>
      </c>
      <c r="I724" s="10" t="str">
        <f>IF(F724="Completado", IFERROR(IF(INDEX('Base Exámenes'!$F$5:$F$1000, MATCH(A724&amp;"|"&amp;J724, 'Base Exámenes'!$I$5:$I$1000, 0))="", "", INDEX('Base Exámenes'!$F$5:$F$1000, MATCH(A724&amp;"|"&amp;J724, 'Base Exámenes'!$I$5:$I$1000, 0))), ""), "")</f>
        <v/>
      </c>
      <c r="J724" s="6" t="str">
        <f>IF(F724="Completado", IF(COUNTIFS('Base Exámenes'!$C$5:$C$1000, A724, 'Base Exámenes'!$G$5:$G$1000, "&lt;&gt;")=0, "", _xlfn.MAXIFS('Base Exámenes'!$G$5:$G$1000, 'Base Exámenes'!$C$5:$C$1000, A724)), "")</f>
        <v/>
      </c>
      <c r="K724" s="6" t="str">
        <f>IF(F724="Completado", IFERROR(IF(INDEX('Base Exámenes'!$H$5:$H$1000, MATCH(A724&amp;"|"&amp;J724, 'Base Exámenes'!$I$5:$I$1000, 0))="", "", INDEX('Base Exámenes'!$H$5:$H$1000, MATCH(A724&amp;"|"&amp;J724, 'Base Exámenes'!$I$5:$I$1000, 0))), ""), "")</f>
        <v/>
      </c>
      <c r="L724" s="22" t="str">
        <f>IF($A724="","",COUNTIF('Base Exámenes'!$C$5:$C$1000, A724))</f>
        <v/>
      </c>
      <c r="M724" s="6" t="str">
        <f>IF($A724="","",IF(COUNTIF('Base Exámenes'!$C$5:$C$1000, A724)&gt;0, "", TRIM('Base Oficial'!H724)))</f>
        <v/>
      </c>
    </row>
    <row r="725">
      <c r="A725" s="4" t="str">
        <f>IF('Base Oficial'!A725="","",TRIM('Base Oficial'!A725))</f>
        <v/>
      </c>
      <c r="B725" s="6" t="str">
        <f>IF($A725="","",TRIM('Base Oficial'!B725))</f>
        <v/>
      </c>
      <c r="C725" s="6" t="str">
        <f>IF($A725="","",TRIM('Base Oficial'!F725))</f>
        <v/>
      </c>
      <c r="D725" s="6" t="str">
        <f>IF($A725="","",TRIM('Base Oficial'!G725))</f>
        <v/>
      </c>
      <c r="E725" s="6" t="str">
        <f>IF($A725="","",TRIM('Base Oficial'!D725))</f>
        <v/>
      </c>
      <c r="F725" s="4" t="str">
        <f>IF($A725="","",IF(COUNTIF('Base Exámenes'!$C$5:$C$1000, A725)&gt;0, "Completado", IF(M725&lt;&gt;"", M725, "Pendiente")))</f>
        <v/>
      </c>
      <c r="G725" s="11" t="str">
        <f>IF(F725="Completado", IFERROR(IF(INDEX('Base Exámenes'!$D$5:$D$1000, MATCH(A725&amp;"|"&amp;J725, 'Base Exámenes'!$I$5:$I$1000, 0))="", "", INDEX('Base Exámenes'!$D$5:$D$1000, MATCH(A725&amp;"|"&amp;J725, 'Base Exámenes'!$I$5:$I$1000, 0))), ""), "")</f>
        <v/>
      </c>
      <c r="H725" s="11" t="str">
        <f>IF(F725="Completado", IFERROR(IF(INDEX('Base Exámenes'!$E$5:$E$1000, MATCH(A725&amp;"|"&amp;J725, 'Base Exámenes'!$I$5:$I$1000, 0))="", "", INDEX('Base Exámenes'!$E$5:$E$1000, MATCH(A725&amp;"|"&amp;J725, 'Base Exámenes'!$I$5:$I$1000, 0))), ""), "")</f>
        <v/>
      </c>
      <c r="I725" s="10" t="str">
        <f>IF(F725="Completado", IFERROR(IF(INDEX('Base Exámenes'!$F$5:$F$1000, MATCH(A725&amp;"|"&amp;J725, 'Base Exámenes'!$I$5:$I$1000, 0))="", "", INDEX('Base Exámenes'!$F$5:$F$1000, MATCH(A725&amp;"|"&amp;J725, 'Base Exámenes'!$I$5:$I$1000, 0))), ""), "")</f>
        <v/>
      </c>
      <c r="J725" s="6" t="str">
        <f>IF(F725="Completado", IF(COUNTIFS('Base Exámenes'!$C$5:$C$1000, A725, 'Base Exámenes'!$G$5:$G$1000, "&lt;&gt;")=0, "", _xlfn.MAXIFS('Base Exámenes'!$G$5:$G$1000, 'Base Exámenes'!$C$5:$C$1000, A725)), "")</f>
        <v/>
      </c>
      <c r="K725" s="6" t="str">
        <f>IF(F725="Completado", IFERROR(IF(INDEX('Base Exámenes'!$H$5:$H$1000, MATCH(A725&amp;"|"&amp;J725, 'Base Exámenes'!$I$5:$I$1000, 0))="", "", INDEX('Base Exámenes'!$H$5:$H$1000, MATCH(A725&amp;"|"&amp;J725, 'Base Exámenes'!$I$5:$I$1000, 0))), ""), "")</f>
        <v/>
      </c>
      <c r="L725" s="22" t="str">
        <f>IF($A725="","",COUNTIF('Base Exámenes'!$C$5:$C$1000, A725))</f>
        <v/>
      </c>
      <c r="M725" s="6" t="str">
        <f>IF($A725="","",IF(COUNTIF('Base Exámenes'!$C$5:$C$1000, A725)&gt;0, "", TRIM('Base Oficial'!H725)))</f>
        <v/>
      </c>
    </row>
    <row r="726">
      <c r="A726" s="4" t="str">
        <f>IF('Base Oficial'!A726="","",TRIM('Base Oficial'!A726))</f>
        <v/>
      </c>
      <c r="B726" s="6" t="str">
        <f>IF($A726="","",TRIM('Base Oficial'!B726))</f>
        <v/>
      </c>
      <c r="C726" s="6" t="str">
        <f>IF($A726="","",TRIM('Base Oficial'!F726))</f>
        <v/>
      </c>
      <c r="D726" s="6" t="str">
        <f>IF($A726="","",TRIM('Base Oficial'!G726))</f>
        <v/>
      </c>
      <c r="E726" s="6" t="str">
        <f>IF($A726="","",TRIM('Base Oficial'!D726))</f>
        <v/>
      </c>
      <c r="F726" s="4" t="str">
        <f>IF($A726="","",IF(COUNTIF('Base Exámenes'!$C$5:$C$1000, A726)&gt;0, "Completado", IF(M726&lt;&gt;"", M726, "Pendiente")))</f>
        <v/>
      </c>
      <c r="G726" s="11" t="str">
        <f>IF(F726="Completado", IFERROR(IF(INDEX('Base Exámenes'!$D$5:$D$1000, MATCH(A726&amp;"|"&amp;J726, 'Base Exámenes'!$I$5:$I$1000, 0))="", "", INDEX('Base Exámenes'!$D$5:$D$1000, MATCH(A726&amp;"|"&amp;J726, 'Base Exámenes'!$I$5:$I$1000, 0))), ""), "")</f>
        <v/>
      </c>
      <c r="H726" s="11" t="str">
        <f>IF(F726="Completado", IFERROR(IF(INDEX('Base Exámenes'!$E$5:$E$1000, MATCH(A726&amp;"|"&amp;J726, 'Base Exámenes'!$I$5:$I$1000, 0))="", "", INDEX('Base Exámenes'!$E$5:$E$1000, MATCH(A726&amp;"|"&amp;J726, 'Base Exámenes'!$I$5:$I$1000, 0))), ""), "")</f>
        <v/>
      </c>
      <c r="I726" s="10" t="str">
        <f>IF(F726="Completado", IFERROR(IF(INDEX('Base Exámenes'!$F$5:$F$1000, MATCH(A726&amp;"|"&amp;J726, 'Base Exámenes'!$I$5:$I$1000, 0))="", "", INDEX('Base Exámenes'!$F$5:$F$1000, MATCH(A726&amp;"|"&amp;J726, 'Base Exámenes'!$I$5:$I$1000, 0))), ""), "")</f>
        <v/>
      </c>
      <c r="J726" s="6" t="str">
        <f>IF(F726="Completado", IF(COUNTIFS('Base Exámenes'!$C$5:$C$1000, A726, 'Base Exámenes'!$G$5:$G$1000, "&lt;&gt;")=0, "", _xlfn.MAXIFS('Base Exámenes'!$G$5:$G$1000, 'Base Exámenes'!$C$5:$C$1000, A726)), "")</f>
        <v/>
      </c>
      <c r="K726" s="6" t="str">
        <f>IF(F726="Completado", IFERROR(IF(INDEX('Base Exámenes'!$H$5:$H$1000, MATCH(A726&amp;"|"&amp;J726, 'Base Exámenes'!$I$5:$I$1000, 0))="", "", INDEX('Base Exámenes'!$H$5:$H$1000, MATCH(A726&amp;"|"&amp;J726, 'Base Exámenes'!$I$5:$I$1000, 0))), ""), "")</f>
        <v/>
      </c>
      <c r="L726" s="22" t="str">
        <f>IF($A726="","",COUNTIF('Base Exámenes'!$C$5:$C$1000, A726))</f>
        <v/>
      </c>
      <c r="M726" s="6" t="str">
        <f>IF($A726="","",IF(COUNTIF('Base Exámenes'!$C$5:$C$1000, A726)&gt;0, "", TRIM('Base Oficial'!H726)))</f>
        <v/>
      </c>
    </row>
    <row r="727">
      <c r="A727" s="4" t="str">
        <f>IF('Base Oficial'!A727="","",TRIM('Base Oficial'!A727))</f>
        <v/>
      </c>
      <c r="B727" s="6" t="str">
        <f>IF($A727="","",TRIM('Base Oficial'!B727))</f>
        <v/>
      </c>
      <c r="C727" s="6" t="str">
        <f>IF($A727="","",TRIM('Base Oficial'!F727))</f>
        <v/>
      </c>
      <c r="D727" s="6" t="str">
        <f>IF($A727="","",TRIM('Base Oficial'!G727))</f>
        <v/>
      </c>
      <c r="E727" s="6" t="str">
        <f>IF($A727="","",TRIM('Base Oficial'!D727))</f>
        <v/>
      </c>
      <c r="F727" s="4" t="str">
        <f>IF($A727="","",IF(COUNTIF('Base Exámenes'!$C$5:$C$1000, A727)&gt;0, "Completado", IF(M727&lt;&gt;"", M727, "Pendiente")))</f>
        <v/>
      </c>
      <c r="G727" s="11" t="str">
        <f>IF(F727="Completado", IFERROR(IF(INDEX('Base Exámenes'!$D$5:$D$1000, MATCH(A727&amp;"|"&amp;J727, 'Base Exámenes'!$I$5:$I$1000, 0))="", "", INDEX('Base Exámenes'!$D$5:$D$1000, MATCH(A727&amp;"|"&amp;J727, 'Base Exámenes'!$I$5:$I$1000, 0))), ""), "")</f>
        <v/>
      </c>
      <c r="H727" s="11" t="str">
        <f>IF(F727="Completado", IFERROR(IF(INDEX('Base Exámenes'!$E$5:$E$1000, MATCH(A727&amp;"|"&amp;J727, 'Base Exámenes'!$I$5:$I$1000, 0))="", "", INDEX('Base Exámenes'!$E$5:$E$1000, MATCH(A727&amp;"|"&amp;J727, 'Base Exámenes'!$I$5:$I$1000, 0))), ""), "")</f>
        <v/>
      </c>
      <c r="I727" s="10" t="str">
        <f>IF(F727="Completado", IFERROR(IF(INDEX('Base Exámenes'!$F$5:$F$1000, MATCH(A727&amp;"|"&amp;J727, 'Base Exámenes'!$I$5:$I$1000, 0))="", "", INDEX('Base Exámenes'!$F$5:$F$1000, MATCH(A727&amp;"|"&amp;J727, 'Base Exámenes'!$I$5:$I$1000, 0))), ""), "")</f>
        <v/>
      </c>
      <c r="J727" s="6" t="str">
        <f>IF(F727="Completado", IF(COUNTIFS('Base Exámenes'!$C$5:$C$1000, A727, 'Base Exámenes'!$G$5:$G$1000, "&lt;&gt;")=0, "", _xlfn.MAXIFS('Base Exámenes'!$G$5:$G$1000, 'Base Exámenes'!$C$5:$C$1000, A727)), "")</f>
        <v/>
      </c>
      <c r="K727" s="6" t="str">
        <f>IF(F727="Completado", IFERROR(IF(INDEX('Base Exámenes'!$H$5:$H$1000, MATCH(A727&amp;"|"&amp;J727, 'Base Exámenes'!$I$5:$I$1000, 0))="", "", INDEX('Base Exámenes'!$H$5:$H$1000, MATCH(A727&amp;"|"&amp;J727, 'Base Exámenes'!$I$5:$I$1000, 0))), ""), "")</f>
        <v/>
      </c>
      <c r="L727" s="22" t="str">
        <f>IF($A727="","",COUNTIF('Base Exámenes'!$C$5:$C$1000, A727))</f>
        <v/>
      </c>
      <c r="M727" s="6" t="str">
        <f>IF($A727="","",IF(COUNTIF('Base Exámenes'!$C$5:$C$1000, A727)&gt;0, "", TRIM('Base Oficial'!H727)))</f>
        <v/>
      </c>
    </row>
    <row r="728">
      <c r="A728" s="4" t="str">
        <f>IF('Base Oficial'!A728="","",TRIM('Base Oficial'!A728))</f>
        <v/>
      </c>
      <c r="B728" s="6" t="str">
        <f>IF($A728="","",TRIM('Base Oficial'!B728))</f>
        <v/>
      </c>
      <c r="C728" s="6" t="str">
        <f>IF($A728="","",TRIM('Base Oficial'!F728))</f>
        <v/>
      </c>
      <c r="D728" s="6" t="str">
        <f>IF($A728="","",TRIM('Base Oficial'!G728))</f>
        <v/>
      </c>
      <c r="E728" s="6" t="str">
        <f>IF($A728="","",TRIM('Base Oficial'!D728))</f>
        <v/>
      </c>
      <c r="F728" s="4" t="str">
        <f>IF($A728="","",IF(COUNTIF('Base Exámenes'!$C$5:$C$1000, A728)&gt;0, "Completado", IF(M728&lt;&gt;"", M728, "Pendiente")))</f>
        <v/>
      </c>
      <c r="G728" s="11" t="str">
        <f>IF(F728="Completado", IFERROR(IF(INDEX('Base Exámenes'!$D$5:$D$1000, MATCH(A728&amp;"|"&amp;J728, 'Base Exámenes'!$I$5:$I$1000, 0))="", "", INDEX('Base Exámenes'!$D$5:$D$1000, MATCH(A728&amp;"|"&amp;J728, 'Base Exámenes'!$I$5:$I$1000, 0))), ""), "")</f>
        <v/>
      </c>
      <c r="H728" s="11" t="str">
        <f>IF(F728="Completado", IFERROR(IF(INDEX('Base Exámenes'!$E$5:$E$1000, MATCH(A728&amp;"|"&amp;J728, 'Base Exámenes'!$I$5:$I$1000, 0))="", "", INDEX('Base Exámenes'!$E$5:$E$1000, MATCH(A728&amp;"|"&amp;J728, 'Base Exámenes'!$I$5:$I$1000, 0))), ""), "")</f>
        <v/>
      </c>
      <c r="I728" s="10" t="str">
        <f>IF(F728="Completado", IFERROR(IF(INDEX('Base Exámenes'!$F$5:$F$1000, MATCH(A728&amp;"|"&amp;J728, 'Base Exámenes'!$I$5:$I$1000, 0))="", "", INDEX('Base Exámenes'!$F$5:$F$1000, MATCH(A728&amp;"|"&amp;J728, 'Base Exámenes'!$I$5:$I$1000, 0))), ""), "")</f>
        <v/>
      </c>
      <c r="J728" s="6" t="str">
        <f>IF(F728="Completado", IF(COUNTIFS('Base Exámenes'!$C$5:$C$1000, A728, 'Base Exámenes'!$G$5:$G$1000, "&lt;&gt;")=0, "", _xlfn.MAXIFS('Base Exámenes'!$G$5:$G$1000, 'Base Exámenes'!$C$5:$C$1000, A728)), "")</f>
        <v/>
      </c>
      <c r="K728" s="6" t="str">
        <f>IF(F728="Completado", IFERROR(IF(INDEX('Base Exámenes'!$H$5:$H$1000, MATCH(A728&amp;"|"&amp;J728, 'Base Exámenes'!$I$5:$I$1000, 0))="", "", INDEX('Base Exámenes'!$H$5:$H$1000, MATCH(A728&amp;"|"&amp;J728, 'Base Exámenes'!$I$5:$I$1000, 0))), ""), "")</f>
        <v/>
      </c>
      <c r="L728" s="22" t="str">
        <f>IF($A728="","",COUNTIF('Base Exámenes'!$C$5:$C$1000, A728))</f>
        <v/>
      </c>
      <c r="M728" s="6" t="str">
        <f>IF($A728="","",IF(COUNTIF('Base Exámenes'!$C$5:$C$1000, A728)&gt;0, "", TRIM('Base Oficial'!H728)))</f>
        <v/>
      </c>
    </row>
    <row r="729">
      <c r="A729" s="4" t="str">
        <f>IF('Base Oficial'!A729="","",TRIM('Base Oficial'!A729))</f>
        <v/>
      </c>
      <c r="B729" s="6" t="str">
        <f>IF($A729="","",TRIM('Base Oficial'!B729))</f>
        <v/>
      </c>
      <c r="C729" s="6" t="str">
        <f>IF($A729="","",TRIM('Base Oficial'!F729))</f>
        <v/>
      </c>
      <c r="D729" s="6" t="str">
        <f>IF($A729="","",TRIM('Base Oficial'!G729))</f>
        <v/>
      </c>
      <c r="E729" s="6" t="str">
        <f>IF($A729="","",TRIM('Base Oficial'!D729))</f>
        <v/>
      </c>
      <c r="F729" s="4" t="str">
        <f>IF($A729="","",IF(COUNTIF('Base Exámenes'!$C$5:$C$1000, A729)&gt;0, "Completado", IF(M729&lt;&gt;"", M729, "Pendiente")))</f>
        <v/>
      </c>
      <c r="G729" s="11" t="str">
        <f>IF(F729="Completado", IFERROR(IF(INDEX('Base Exámenes'!$D$5:$D$1000, MATCH(A729&amp;"|"&amp;J729, 'Base Exámenes'!$I$5:$I$1000, 0))="", "", INDEX('Base Exámenes'!$D$5:$D$1000, MATCH(A729&amp;"|"&amp;J729, 'Base Exámenes'!$I$5:$I$1000, 0))), ""), "")</f>
        <v/>
      </c>
      <c r="H729" s="11" t="str">
        <f>IF(F729="Completado", IFERROR(IF(INDEX('Base Exámenes'!$E$5:$E$1000, MATCH(A729&amp;"|"&amp;J729, 'Base Exámenes'!$I$5:$I$1000, 0))="", "", INDEX('Base Exámenes'!$E$5:$E$1000, MATCH(A729&amp;"|"&amp;J729, 'Base Exámenes'!$I$5:$I$1000, 0))), ""), "")</f>
        <v/>
      </c>
      <c r="I729" s="10" t="str">
        <f>IF(F729="Completado", IFERROR(IF(INDEX('Base Exámenes'!$F$5:$F$1000, MATCH(A729&amp;"|"&amp;J729, 'Base Exámenes'!$I$5:$I$1000, 0))="", "", INDEX('Base Exámenes'!$F$5:$F$1000, MATCH(A729&amp;"|"&amp;J729, 'Base Exámenes'!$I$5:$I$1000, 0))), ""), "")</f>
        <v/>
      </c>
      <c r="J729" s="6" t="str">
        <f>IF(F729="Completado", IF(COUNTIFS('Base Exámenes'!$C$5:$C$1000, A729, 'Base Exámenes'!$G$5:$G$1000, "&lt;&gt;")=0, "", _xlfn.MAXIFS('Base Exámenes'!$G$5:$G$1000, 'Base Exámenes'!$C$5:$C$1000, A729)), "")</f>
        <v/>
      </c>
      <c r="K729" s="6" t="str">
        <f>IF(F729="Completado", IFERROR(IF(INDEX('Base Exámenes'!$H$5:$H$1000, MATCH(A729&amp;"|"&amp;J729, 'Base Exámenes'!$I$5:$I$1000, 0))="", "", INDEX('Base Exámenes'!$H$5:$H$1000, MATCH(A729&amp;"|"&amp;J729, 'Base Exámenes'!$I$5:$I$1000, 0))), ""), "")</f>
        <v/>
      </c>
      <c r="L729" s="22" t="str">
        <f>IF($A729="","",COUNTIF('Base Exámenes'!$C$5:$C$1000, A729))</f>
        <v/>
      </c>
      <c r="M729" s="6" t="str">
        <f>IF($A729="","",IF(COUNTIF('Base Exámenes'!$C$5:$C$1000, A729)&gt;0, "", TRIM('Base Oficial'!H729)))</f>
        <v/>
      </c>
    </row>
    <row r="730">
      <c r="A730" s="4" t="str">
        <f>IF('Base Oficial'!A730="","",TRIM('Base Oficial'!A730))</f>
        <v/>
      </c>
      <c r="B730" s="6" t="str">
        <f>IF($A730="","",TRIM('Base Oficial'!B730))</f>
        <v/>
      </c>
      <c r="C730" s="6" t="str">
        <f>IF($A730="","",TRIM('Base Oficial'!F730))</f>
        <v/>
      </c>
      <c r="D730" s="6" t="str">
        <f>IF($A730="","",TRIM('Base Oficial'!G730))</f>
        <v/>
      </c>
      <c r="E730" s="6" t="str">
        <f>IF($A730="","",TRIM('Base Oficial'!D730))</f>
        <v/>
      </c>
      <c r="F730" s="4" t="str">
        <f>IF($A730="","",IF(COUNTIF('Base Exámenes'!$C$5:$C$1000, A730)&gt;0, "Completado", IF(M730&lt;&gt;"", M730, "Pendiente")))</f>
        <v/>
      </c>
      <c r="G730" s="11" t="str">
        <f>IF(F730="Completado", IFERROR(IF(INDEX('Base Exámenes'!$D$5:$D$1000, MATCH(A730&amp;"|"&amp;J730, 'Base Exámenes'!$I$5:$I$1000, 0))="", "", INDEX('Base Exámenes'!$D$5:$D$1000, MATCH(A730&amp;"|"&amp;J730, 'Base Exámenes'!$I$5:$I$1000, 0))), ""), "")</f>
        <v/>
      </c>
      <c r="H730" s="11" t="str">
        <f>IF(F730="Completado", IFERROR(IF(INDEX('Base Exámenes'!$E$5:$E$1000, MATCH(A730&amp;"|"&amp;J730, 'Base Exámenes'!$I$5:$I$1000, 0))="", "", INDEX('Base Exámenes'!$E$5:$E$1000, MATCH(A730&amp;"|"&amp;J730, 'Base Exámenes'!$I$5:$I$1000, 0))), ""), "")</f>
        <v/>
      </c>
      <c r="I730" s="10" t="str">
        <f>IF(F730="Completado", IFERROR(IF(INDEX('Base Exámenes'!$F$5:$F$1000, MATCH(A730&amp;"|"&amp;J730, 'Base Exámenes'!$I$5:$I$1000, 0))="", "", INDEX('Base Exámenes'!$F$5:$F$1000, MATCH(A730&amp;"|"&amp;J730, 'Base Exámenes'!$I$5:$I$1000, 0))), ""), "")</f>
        <v/>
      </c>
      <c r="J730" s="6" t="str">
        <f>IF(F730="Completado", IF(COUNTIFS('Base Exámenes'!$C$5:$C$1000, A730, 'Base Exámenes'!$G$5:$G$1000, "&lt;&gt;")=0, "", _xlfn.MAXIFS('Base Exámenes'!$G$5:$G$1000, 'Base Exámenes'!$C$5:$C$1000, A730)), "")</f>
        <v/>
      </c>
      <c r="K730" s="6" t="str">
        <f>IF(F730="Completado", IFERROR(IF(INDEX('Base Exámenes'!$H$5:$H$1000, MATCH(A730&amp;"|"&amp;J730, 'Base Exámenes'!$I$5:$I$1000, 0))="", "", INDEX('Base Exámenes'!$H$5:$H$1000, MATCH(A730&amp;"|"&amp;J730, 'Base Exámenes'!$I$5:$I$1000, 0))), ""), "")</f>
        <v/>
      </c>
      <c r="L730" s="22" t="str">
        <f>IF($A730="","",COUNTIF('Base Exámenes'!$C$5:$C$1000, A730))</f>
        <v/>
      </c>
      <c r="M730" s="6" t="str">
        <f>IF($A730="","",IF(COUNTIF('Base Exámenes'!$C$5:$C$1000, A730)&gt;0, "", TRIM('Base Oficial'!H730)))</f>
        <v/>
      </c>
    </row>
    <row r="731">
      <c r="A731" s="4" t="str">
        <f>IF('Base Oficial'!A731="","",TRIM('Base Oficial'!A731))</f>
        <v/>
      </c>
      <c r="B731" s="6" t="str">
        <f>IF($A731="","",TRIM('Base Oficial'!B731))</f>
        <v/>
      </c>
      <c r="C731" s="6" t="str">
        <f>IF($A731="","",TRIM('Base Oficial'!F731))</f>
        <v/>
      </c>
      <c r="D731" s="6" t="str">
        <f>IF($A731="","",TRIM('Base Oficial'!G731))</f>
        <v/>
      </c>
      <c r="E731" s="6" t="str">
        <f>IF($A731="","",TRIM('Base Oficial'!D731))</f>
        <v/>
      </c>
      <c r="F731" s="4" t="str">
        <f>IF($A731="","",IF(COUNTIF('Base Exámenes'!$C$5:$C$1000, A731)&gt;0, "Completado", IF(M731&lt;&gt;"", M731, "Pendiente")))</f>
        <v/>
      </c>
      <c r="G731" s="11" t="str">
        <f>IF(F731="Completado", IFERROR(IF(INDEX('Base Exámenes'!$D$5:$D$1000, MATCH(A731&amp;"|"&amp;J731, 'Base Exámenes'!$I$5:$I$1000, 0))="", "", INDEX('Base Exámenes'!$D$5:$D$1000, MATCH(A731&amp;"|"&amp;J731, 'Base Exámenes'!$I$5:$I$1000, 0))), ""), "")</f>
        <v/>
      </c>
      <c r="H731" s="11" t="str">
        <f>IF(F731="Completado", IFERROR(IF(INDEX('Base Exámenes'!$E$5:$E$1000, MATCH(A731&amp;"|"&amp;J731, 'Base Exámenes'!$I$5:$I$1000, 0))="", "", INDEX('Base Exámenes'!$E$5:$E$1000, MATCH(A731&amp;"|"&amp;J731, 'Base Exámenes'!$I$5:$I$1000, 0))), ""), "")</f>
        <v/>
      </c>
      <c r="I731" s="10" t="str">
        <f>IF(F731="Completado", IFERROR(IF(INDEX('Base Exámenes'!$F$5:$F$1000, MATCH(A731&amp;"|"&amp;J731, 'Base Exámenes'!$I$5:$I$1000, 0))="", "", INDEX('Base Exámenes'!$F$5:$F$1000, MATCH(A731&amp;"|"&amp;J731, 'Base Exámenes'!$I$5:$I$1000, 0))), ""), "")</f>
        <v/>
      </c>
      <c r="J731" s="6" t="str">
        <f>IF(F731="Completado", IF(COUNTIFS('Base Exámenes'!$C$5:$C$1000, A731, 'Base Exámenes'!$G$5:$G$1000, "&lt;&gt;")=0, "", _xlfn.MAXIFS('Base Exámenes'!$G$5:$G$1000, 'Base Exámenes'!$C$5:$C$1000, A731)), "")</f>
        <v/>
      </c>
      <c r="K731" s="6" t="str">
        <f>IF(F731="Completado", IFERROR(IF(INDEX('Base Exámenes'!$H$5:$H$1000, MATCH(A731&amp;"|"&amp;J731, 'Base Exámenes'!$I$5:$I$1000, 0))="", "", INDEX('Base Exámenes'!$H$5:$H$1000, MATCH(A731&amp;"|"&amp;J731, 'Base Exámenes'!$I$5:$I$1000, 0))), ""), "")</f>
        <v/>
      </c>
      <c r="L731" s="22" t="str">
        <f>IF($A731="","",COUNTIF('Base Exámenes'!$C$5:$C$1000, A731))</f>
        <v/>
      </c>
      <c r="M731" s="6" t="str">
        <f>IF($A731="","",IF(COUNTIF('Base Exámenes'!$C$5:$C$1000, A731)&gt;0, "", TRIM('Base Oficial'!H731)))</f>
        <v/>
      </c>
    </row>
    <row r="732">
      <c r="A732" s="4" t="str">
        <f>IF('Base Oficial'!A732="","",TRIM('Base Oficial'!A732))</f>
        <v/>
      </c>
      <c r="B732" s="6" t="str">
        <f>IF($A732="","",TRIM('Base Oficial'!B732))</f>
        <v/>
      </c>
      <c r="C732" s="6" t="str">
        <f>IF($A732="","",TRIM('Base Oficial'!F732))</f>
        <v/>
      </c>
      <c r="D732" s="6" t="str">
        <f>IF($A732="","",TRIM('Base Oficial'!G732))</f>
        <v/>
      </c>
      <c r="E732" s="6" t="str">
        <f>IF($A732="","",TRIM('Base Oficial'!D732))</f>
        <v/>
      </c>
      <c r="F732" s="4" t="str">
        <f>IF($A732="","",IF(COUNTIF('Base Exámenes'!$C$5:$C$1000, A732)&gt;0, "Completado", IF(M732&lt;&gt;"", M732, "Pendiente")))</f>
        <v/>
      </c>
      <c r="G732" s="11" t="str">
        <f>IF(F732="Completado", IFERROR(IF(INDEX('Base Exámenes'!$D$5:$D$1000, MATCH(A732&amp;"|"&amp;J732, 'Base Exámenes'!$I$5:$I$1000, 0))="", "", INDEX('Base Exámenes'!$D$5:$D$1000, MATCH(A732&amp;"|"&amp;J732, 'Base Exámenes'!$I$5:$I$1000, 0))), ""), "")</f>
        <v/>
      </c>
      <c r="H732" s="11" t="str">
        <f>IF(F732="Completado", IFERROR(IF(INDEX('Base Exámenes'!$E$5:$E$1000, MATCH(A732&amp;"|"&amp;J732, 'Base Exámenes'!$I$5:$I$1000, 0))="", "", INDEX('Base Exámenes'!$E$5:$E$1000, MATCH(A732&amp;"|"&amp;J732, 'Base Exámenes'!$I$5:$I$1000, 0))), ""), "")</f>
        <v/>
      </c>
      <c r="I732" s="10" t="str">
        <f>IF(F732="Completado", IFERROR(IF(INDEX('Base Exámenes'!$F$5:$F$1000, MATCH(A732&amp;"|"&amp;J732, 'Base Exámenes'!$I$5:$I$1000, 0))="", "", INDEX('Base Exámenes'!$F$5:$F$1000, MATCH(A732&amp;"|"&amp;J732, 'Base Exámenes'!$I$5:$I$1000, 0))), ""), "")</f>
        <v/>
      </c>
      <c r="J732" s="6" t="str">
        <f>IF(F732="Completado", IF(COUNTIFS('Base Exámenes'!$C$5:$C$1000, A732, 'Base Exámenes'!$G$5:$G$1000, "&lt;&gt;")=0, "", _xlfn.MAXIFS('Base Exámenes'!$G$5:$G$1000, 'Base Exámenes'!$C$5:$C$1000, A732)), "")</f>
        <v/>
      </c>
      <c r="K732" s="6" t="str">
        <f>IF(F732="Completado", IFERROR(IF(INDEX('Base Exámenes'!$H$5:$H$1000, MATCH(A732&amp;"|"&amp;J732, 'Base Exámenes'!$I$5:$I$1000, 0))="", "", INDEX('Base Exámenes'!$H$5:$H$1000, MATCH(A732&amp;"|"&amp;J732, 'Base Exámenes'!$I$5:$I$1000, 0))), ""), "")</f>
        <v/>
      </c>
      <c r="L732" s="22" t="str">
        <f>IF($A732="","",COUNTIF('Base Exámenes'!$C$5:$C$1000, A732))</f>
        <v/>
      </c>
      <c r="M732" s="6" t="str">
        <f>IF($A732="","",IF(COUNTIF('Base Exámenes'!$C$5:$C$1000, A732)&gt;0, "", TRIM('Base Oficial'!H732)))</f>
        <v/>
      </c>
    </row>
    <row r="733">
      <c r="A733" s="4" t="str">
        <f>IF('Base Oficial'!A733="","",TRIM('Base Oficial'!A733))</f>
        <v/>
      </c>
      <c r="B733" s="6" t="str">
        <f>IF($A733="","",TRIM('Base Oficial'!B733))</f>
        <v/>
      </c>
      <c r="C733" s="6" t="str">
        <f>IF($A733="","",TRIM('Base Oficial'!F733))</f>
        <v/>
      </c>
      <c r="D733" s="6" t="str">
        <f>IF($A733="","",TRIM('Base Oficial'!G733))</f>
        <v/>
      </c>
      <c r="E733" s="6" t="str">
        <f>IF($A733="","",TRIM('Base Oficial'!D733))</f>
        <v/>
      </c>
      <c r="F733" s="4" t="str">
        <f>IF($A733="","",IF(COUNTIF('Base Exámenes'!$C$5:$C$1000, A733)&gt;0, "Completado", IF(M733&lt;&gt;"", M733, "Pendiente")))</f>
        <v/>
      </c>
      <c r="G733" s="11" t="str">
        <f>IF(F733="Completado", IFERROR(IF(INDEX('Base Exámenes'!$D$5:$D$1000, MATCH(A733&amp;"|"&amp;J733, 'Base Exámenes'!$I$5:$I$1000, 0))="", "", INDEX('Base Exámenes'!$D$5:$D$1000, MATCH(A733&amp;"|"&amp;J733, 'Base Exámenes'!$I$5:$I$1000, 0))), ""), "")</f>
        <v/>
      </c>
      <c r="H733" s="11" t="str">
        <f>IF(F733="Completado", IFERROR(IF(INDEX('Base Exámenes'!$E$5:$E$1000, MATCH(A733&amp;"|"&amp;J733, 'Base Exámenes'!$I$5:$I$1000, 0))="", "", INDEX('Base Exámenes'!$E$5:$E$1000, MATCH(A733&amp;"|"&amp;J733, 'Base Exámenes'!$I$5:$I$1000, 0))), ""), "")</f>
        <v/>
      </c>
      <c r="I733" s="10" t="str">
        <f>IF(F733="Completado", IFERROR(IF(INDEX('Base Exámenes'!$F$5:$F$1000, MATCH(A733&amp;"|"&amp;J733, 'Base Exámenes'!$I$5:$I$1000, 0))="", "", INDEX('Base Exámenes'!$F$5:$F$1000, MATCH(A733&amp;"|"&amp;J733, 'Base Exámenes'!$I$5:$I$1000, 0))), ""), "")</f>
        <v/>
      </c>
      <c r="J733" s="6" t="str">
        <f>IF(F733="Completado", IF(COUNTIFS('Base Exámenes'!$C$5:$C$1000, A733, 'Base Exámenes'!$G$5:$G$1000, "&lt;&gt;")=0, "", _xlfn.MAXIFS('Base Exámenes'!$G$5:$G$1000, 'Base Exámenes'!$C$5:$C$1000, A733)), "")</f>
        <v/>
      </c>
      <c r="K733" s="6" t="str">
        <f>IF(F733="Completado", IFERROR(IF(INDEX('Base Exámenes'!$H$5:$H$1000, MATCH(A733&amp;"|"&amp;J733, 'Base Exámenes'!$I$5:$I$1000, 0))="", "", INDEX('Base Exámenes'!$H$5:$H$1000, MATCH(A733&amp;"|"&amp;J733, 'Base Exámenes'!$I$5:$I$1000, 0))), ""), "")</f>
        <v/>
      </c>
      <c r="L733" s="22" t="str">
        <f>IF($A733="","",COUNTIF('Base Exámenes'!$C$5:$C$1000, A733))</f>
        <v/>
      </c>
      <c r="M733" s="6" t="str">
        <f>IF($A733="","",IF(COUNTIF('Base Exámenes'!$C$5:$C$1000, A733)&gt;0, "", TRIM('Base Oficial'!H733)))</f>
        <v/>
      </c>
    </row>
    <row r="734">
      <c r="A734" s="4" t="str">
        <f>IF('Base Oficial'!A734="","",TRIM('Base Oficial'!A734))</f>
        <v/>
      </c>
      <c r="B734" s="6" t="str">
        <f>IF($A734="","",TRIM('Base Oficial'!B734))</f>
        <v/>
      </c>
      <c r="C734" s="6" t="str">
        <f>IF($A734="","",TRIM('Base Oficial'!F734))</f>
        <v/>
      </c>
      <c r="D734" s="6" t="str">
        <f>IF($A734="","",TRIM('Base Oficial'!G734))</f>
        <v/>
      </c>
      <c r="E734" s="6" t="str">
        <f>IF($A734="","",TRIM('Base Oficial'!D734))</f>
        <v/>
      </c>
      <c r="F734" s="4" t="str">
        <f>IF($A734="","",IF(COUNTIF('Base Exámenes'!$C$5:$C$1000, A734)&gt;0, "Completado", IF(M734&lt;&gt;"", M734, "Pendiente")))</f>
        <v/>
      </c>
      <c r="G734" s="11" t="str">
        <f>IF(F734="Completado", IFERROR(IF(INDEX('Base Exámenes'!$D$5:$D$1000, MATCH(A734&amp;"|"&amp;J734, 'Base Exámenes'!$I$5:$I$1000, 0))="", "", INDEX('Base Exámenes'!$D$5:$D$1000, MATCH(A734&amp;"|"&amp;J734, 'Base Exámenes'!$I$5:$I$1000, 0))), ""), "")</f>
        <v/>
      </c>
      <c r="H734" s="11" t="str">
        <f>IF(F734="Completado", IFERROR(IF(INDEX('Base Exámenes'!$E$5:$E$1000, MATCH(A734&amp;"|"&amp;J734, 'Base Exámenes'!$I$5:$I$1000, 0))="", "", INDEX('Base Exámenes'!$E$5:$E$1000, MATCH(A734&amp;"|"&amp;J734, 'Base Exámenes'!$I$5:$I$1000, 0))), ""), "")</f>
        <v/>
      </c>
      <c r="I734" s="10" t="str">
        <f>IF(F734="Completado", IFERROR(IF(INDEX('Base Exámenes'!$F$5:$F$1000, MATCH(A734&amp;"|"&amp;J734, 'Base Exámenes'!$I$5:$I$1000, 0))="", "", INDEX('Base Exámenes'!$F$5:$F$1000, MATCH(A734&amp;"|"&amp;J734, 'Base Exámenes'!$I$5:$I$1000, 0))), ""), "")</f>
        <v/>
      </c>
      <c r="J734" s="6" t="str">
        <f>IF(F734="Completado", IF(COUNTIFS('Base Exámenes'!$C$5:$C$1000, A734, 'Base Exámenes'!$G$5:$G$1000, "&lt;&gt;")=0, "", _xlfn.MAXIFS('Base Exámenes'!$G$5:$G$1000, 'Base Exámenes'!$C$5:$C$1000, A734)), "")</f>
        <v/>
      </c>
      <c r="K734" s="6" t="str">
        <f>IF(F734="Completado", IFERROR(IF(INDEX('Base Exámenes'!$H$5:$H$1000, MATCH(A734&amp;"|"&amp;J734, 'Base Exámenes'!$I$5:$I$1000, 0))="", "", INDEX('Base Exámenes'!$H$5:$H$1000, MATCH(A734&amp;"|"&amp;J734, 'Base Exámenes'!$I$5:$I$1000, 0))), ""), "")</f>
        <v/>
      </c>
      <c r="L734" s="22" t="str">
        <f>IF($A734="","",COUNTIF('Base Exámenes'!$C$5:$C$1000, A734))</f>
        <v/>
      </c>
      <c r="M734" s="6" t="str">
        <f>IF($A734="","",IF(COUNTIF('Base Exámenes'!$C$5:$C$1000, A734)&gt;0, "", TRIM('Base Oficial'!H734)))</f>
        <v/>
      </c>
    </row>
    <row r="735">
      <c r="A735" s="4" t="str">
        <f>IF('Base Oficial'!A735="","",TRIM('Base Oficial'!A735))</f>
        <v/>
      </c>
      <c r="B735" s="6" t="str">
        <f>IF($A735="","",TRIM('Base Oficial'!B735))</f>
        <v/>
      </c>
      <c r="C735" s="6" t="str">
        <f>IF($A735="","",TRIM('Base Oficial'!F735))</f>
        <v/>
      </c>
      <c r="D735" s="6" t="str">
        <f>IF($A735="","",TRIM('Base Oficial'!G735))</f>
        <v/>
      </c>
      <c r="E735" s="6" t="str">
        <f>IF($A735="","",TRIM('Base Oficial'!D735))</f>
        <v/>
      </c>
      <c r="F735" s="4" t="str">
        <f>IF($A735="","",IF(COUNTIF('Base Exámenes'!$C$5:$C$1000, A735)&gt;0, "Completado", IF(M735&lt;&gt;"", M735, "Pendiente")))</f>
        <v/>
      </c>
      <c r="G735" s="11" t="str">
        <f>IF(F735="Completado", IFERROR(IF(INDEX('Base Exámenes'!$D$5:$D$1000, MATCH(A735&amp;"|"&amp;J735, 'Base Exámenes'!$I$5:$I$1000, 0))="", "", INDEX('Base Exámenes'!$D$5:$D$1000, MATCH(A735&amp;"|"&amp;J735, 'Base Exámenes'!$I$5:$I$1000, 0))), ""), "")</f>
        <v/>
      </c>
      <c r="H735" s="11" t="str">
        <f>IF(F735="Completado", IFERROR(IF(INDEX('Base Exámenes'!$E$5:$E$1000, MATCH(A735&amp;"|"&amp;J735, 'Base Exámenes'!$I$5:$I$1000, 0))="", "", INDEX('Base Exámenes'!$E$5:$E$1000, MATCH(A735&amp;"|"&amp;J735, 'Base Exámenes'!$I$5:$I$1000, 0))), ""), "")</f>
        <v/>
      </c>
      <c r="I735" s="10" t="str">
        <f>IF(F735="Completado", IFERROR(IF(INDEX('Base Exámenes'!$F$5:$F$1000, MATCH(A735&amp;"|"&amp;J735, 'Base Exámenes'!$I$5:$I$1000, 0))="", "", INDEX('Base Exámenes'!$F$5:$F$1000, MATCH(A735&amp;"|"&amp;J735, 'Base Exámenes'!$I$5:$I$1000, 0))), ""), "")</f>
        <v/>
      </c>
      <c r="J735" s="6" t="str">
        <f>IF(F735="Completado", IF(COUNTIFS('Base Exámenes'!$C$5:$C$1000, A735, 'Base Exámenes'!$G$5:$G$1000, "&lt;&gt;")=0, "", _xlfn.MAXIFS('Base Exámenes'!$G$5:$G$1000, 'Base Exámenes'!$C$5:$C$1000, A735)), "")</f>
        <v/>
      </c>
      <c r="K735" s="6" t="str">
        <f>IF(F735="Completado", IFERROR(IF(INDEX('Base Exámenes'!$H$5:$H$1000, MATCH(A735&amp;"|"&amp;J735, 'Base Exámenes'!$I$5:$I$1000, 0))="", "", INDEX('Base Exámenes'!$H$5:$H$1000, MATCH(A735&amp;"|"&amp;J735, 'Base Exámenes'!$I$5:$I$1000, 0))), ""), "")</f>
        <v/>
      </c>
      <c r="L735" s="22" t="str">
        <f>IF($A735="","",COUNTIF('Base Exámenes'!$C$5:$C$1000, A735))</f>
        <v/>
      </c>
      <c r="M735" s="6" t="str">
        <f>IF($A735="","",IF(COUNTIF('Base Exámenes'!$C$5:$C$1000, A735)&gt;0, "", TRIM('Base Oficial'!H735)))</f>
        <v/>
      </c>
    </row>
    <row r="736">
      <c r="A736" s="4" t="str">
        <f>IF('Base Oficial'!A736="","",TRIM('Base Oficial'!A736))</f>
        <v/>
      </c>
      <c r="B736" s="6" t="str">
        <f>IF($A736="","",TRIM('Base Oficial'!B736))</f>
        <v/>
      </c>
      <c r="C736" s="6" t="str">
        <f>IF($A736="","",TRIM('Base Oficial'!F736))</f>
        <v/>
      </c>
      <c r="D736" s="6" t="str">
        <f>IF($A736="","",TRIM('Base Oficial'!G736))</f>
        <v/>
      </c>
      <c r="E736" s="6" t="str">
        <f>IF($A736="","",TRIM('Base Oficial'!D736))</f>
        <v/>
      </c>
      <c r="F736" s="4" t="str">
        <f>IF($A736="","",IF(COUNTIF('Base Exámenes'!$C$5:$C$1000, A736)&gt;0, "Completado", IF(M736&lt;&gt;"", M736, "Pendiente")))</f>
        <v/>
      </c>
      <c r="G736" s="11" t="str">
        <f>IF(F736="Completado", IFERROR(IF(INDEX('Base Exámenes'!$D$5:$D$1000, MATCH(A736&amp;"|"&amp;J736, 'Base Exámenes'!$I$5:$I$1000, 0))="", "", INDEX('Base Exámenes'!$D$5:$D$1000, MATCH(A736&amp;"|"&amp;J736, 'Base Exámenes'!$I$5:$I$1000, 0))), ""), "")</f>
        <v/>
      </c>
      <c r="H736" s="11" t="str">
        <f>IF(F736="Completado", IFERROR(IF(INDEX('Base Exámenes'!$E$5:$E$1000, MATCH(A736&amp;"|"&amp;J736, 'Base Exámenes'!$I$5:$I$1000, 0))="", "", INDEX('Base Exámenes'!$E$5:$E$1000, MATCH(A736&amp;"|"&amp;J736, 'Base Exámenes'!$I$5:$I$1000, 0))), ""), "")</f>
        <v/>
      </c>
      <c r="I736" s="10" t="str">
        <f>IF(F736="Completado", IFERROR(IF(INDEX('Base Exámenes'!$F$5:$F$1000, MATCH(A736&amp;"|"&amp;J736, 'Base Exámenes'!$I$5:$I$1000, 0))="", "", INDEX('Base Exámenes'!$F$5:$F$1000, MATCH(A736&amp;"|"&amp;J736, 'Base Exámenes'!$I$5:$I$1000, 0))), ""), "")</f>
        <v/>
      </c>
      <c r="J736" s="6" t="str">
        <f>IF(F736="Completado", IF(COUNTIFS('Base Exámenes'!$C$5:$C$1000, A736, 'Base Exámenes'!$G$5:$G$1000, "&lt;&gt;")=0, "", _xlfn.MAXIFS('Base Exámenes'!$G$5:$G$1000, 'Base Exámenes'!$C$5:$C$1000, A736)), "")</f>
        <v/>
      </c>
      <c r="K736" s="6" t="str">
        <f>IF(F736="Completado", IFERROR(IF(INDEX('Base Exámenes'!$H$5:$H$1000, MATCH(A736&amp;"|"&amp;J736, 'Base Exámenes'!$I$5:$I$1000, 0))="", "", INDEX('Base Exámenes'!$H$5:$H$1000, MATCH(A736&amp;"|"&amp;J736, 'Base Exámenes'!$I$5:$I$1000, 0))), ""), "")</f>
        <v/>
      </c>
      <c r="L736" s="22" t="str">
        <f>IF($A736="","",COUNTIF('Base Exámenes'!$C$5:$C$1000, A736))</f>
        <v/>
      </c>
      <c r="M736" s="6" t="str">
        <f>IF($A736="","",IF(COUNTIF('Base Exámenes'!$C$5:$C$1000, A736)&gt;0, "", TRIM('Base Oficial'!H736)))</f>
        <v/>
      </c>
    </row>
    <row r="737">
      <c r="A737" s="4" t="str">
        <f>IF('Base Oficial'!A737="","",TRIM('Base Oficial'!A737))</f>
        <v/>
      </c>
      <c r="B737" s="6" t="str">
        <f>IF($A737="","",TRIM('Base Oficial'!B737))</f>
        <v/>
      </c>
      <c r="C737" s="6" t="str">
        <f>IF($A737="","",TRIM('Base Oficial'!F737))</f>
        <v/>
      </c>
      <c r="D737" s="6" t="str">
        <f>IF($A737="","",TRIM('Base Oficial'!G737))</f>
        <v/>
      </c>
      <c r="E737" s="6" t="str">
        <f>IF($A737="","",TRIM('Base Oficial'!D737))</f>
        <v/>
      </c>
      <c r="F737" s="4" t="str">
        <f>IF($A737="","",IF(COUNTIF('Base Exámenes'!$C$5:$C$1000, A737)&gt;0, "Completado", IF(M737&lt;&gt;"", M737, "Pendiente")))</f>
        <v/>
      </c>
      <c r="G737" s="11" t="str">
        <f>IF(F737="Completado", IFERROR(IF(INDEX('Base Exámenes'!$D$5:$D$1000, MATCH(A737&amp;"|"&amp;J737, 'Base Exámenes'!$I$5:$I$1000, 0))="", "", INDEX('Base Exámenes'!$D$5:$D$1000, MATCH(A737&amp;"|"&amp;J737, 'Base Exámenes'!$I$5:$I$1000, 0))), ""), "")</f>
        <v/>
      </c>
      <c r="H737" s="11" t="str">
        <f>IF(F737="Completado", IFERROR(IF(INDEX('Base Exámenes'!$E$5:$E$1000, MATCH(A737&amp;"|"&amp;J737, 'Base Exámenes'!$I$5:$I$1000, 0))="", "", INDEX('Base Exámenes'!$E$5:$E$1000, MATCH(A737&amp;"|"&amp;J737, 'Base Exámenes'!$I$5:$I$1000, 0))), ""), "")</f>
        <v/>
      </c>
      <c r="I737" s="10" t="str">
        <f>IF(F737="Completado", IFERROR(IF(INDEX('Base Exámenes'!$F$5:$F$1000, MATCH(A737&amp;"|"&amp;J737, 'Base Exámenes'!$I$5:$I$1000, 0))="", "", INDEX('Base Exámenes'!$F$5:$F$1000, MATCH(A737&amp;"|"&amp;J737, 'Base Exámenes'!$I$5:$I$1000, 0))), ""), "")</f>
        <v/>
      </c>
      <c r="J737" s="6" t="str">
        <f>IF(F737="Completado", IF(COUNTIFS('Base Exámenes'!$C$5:$C$1000, A737, 'Base Exámenes'!$G$5:$G$1000, "&lt;&gt;")=0, "", _xlfn.MAXIFS('Base Exámenes'!$G$5:$G$1000, 'Base Exámenes'!$C$5:$C$1000, A737)), "")</f>
        <v/>
      </c>
      <c r="K737" s="6" t="str">
        <f>IF(F737="Completado", IFERROR(IF(INDEX('Base Exámenes'!$H$5:$H$1000, MATCH(A737&amp;"|"&amp;J737, 'Base Exámenes'!$I$5:$I$1000, 0))="", "", INDEX('Base Exámenes'!$H$5:$H$1000, MATCH(A737&amp;"|"&amp;J737, 'Base Exámenes'!$I$5:$I$1000, 0))), ""), "")</f>
        <v/>
      </c>
      <c r="L737" s="22" t="str">
        <f>IF($A737="","",COUNTIF('Base Exámenes'!$C$5:$C$1000, A737))</f>
        <v/>
      </c>
      <c r="M737" s="6" t="str">
        <f>IF($A737="","",IF(COUNTIF('Base Exámenes'!$C$5:$C$1000, A737)&gt;0, "", TRIM('Base Oficial'!H737)))</f>
        <v/>
      </c>
    </row>
    <row r="738">
      <c r="A738" s="4" t="str">
        <f>IF('Base Oficial'!A738="","",TRIM('Base Oficial'!A738))</f>
        <v/>
      </c>
      <c r="B738" s="6" t="str">
        <f>IF($A738="","",TRIM('Base Oficial'!B738))</f>
        <v/>
      </c>
      <c r="C738" s="6" t="str">
        <f>IF($A738="","",TRIM('Base Oficial'!F738))</f>
        <v/>
      </c>
      <c r="D738" s="6" t="str">
        <f>IF($A738="","",TRIM('Base Oficial'!G738))</f>
        <v/>
      </c>
      <c r="E738" s="6" t="str">
        <f>IF($A738="","",TRIM('Base Oficial'!D738))</f>
        <v/>
      </c>
      <c r="F738" s="4" t="str">
        <f>IF($A738="","",IF(COUNTIF('Base Exámenes'!$C$5:$C$1000, A738)&gt;0, "Completado", IF(M738&lt;&gt;"", M738, "Pendiente")))</f>
        <v/>
      </c>
      <c r="G738" s="11" t="str">
        <f>IF(F738="Completado", IFERROR(IF(INDEX('Base Exámenes'!$D$5:$D$1000, MATCH(A738&amp;"|"&amp;J738, 'Base Exámenes'!$I$5:$I$1000, 0))="", "", INDEX('Base Exámenes'!$D$5:$D$1000, MATCH(A738&amp;"|"&amp;J738, 'Base Exámenes'!$I$5:$I$1000, 0))), ""), "")</f>
        <v/>
      </c>
      <c r="H738" s="11" t="str">
        <f>IF(F738="Completado", IFERROR(IF(INDEX('Base Exámenes'!$E$5:$E$1000, MATCH(A738&amp;"|"&amp;J738, 'Base Exámenes'!$I$5:$I$1000, 0))="", "", INDEX('Base Exámenes'!$E$5:$E$1000, MATCH(A738&amp;"|"&amp;J738, 'Base Exámenes'!$I$5:$I$1000, 0))), ""), "")</f>
        <v/>
      </c>
      <c r="I738" s="10" t="str">
        <f>IF(F738="Completado", IFERROR(IF(INDEX('Base Exámenes'!$F$5:$F$1000, MATCH(A738&amp;"|"&amp;J738, 'Base Exámenes'!$I$5:$I$1000, 0))="", "", INDEX('Base Exámenes'!$F$5:$F$1000, MATCH(A738&amp;"|"&amp;J738, 'Base Exámenes'!$I$5:$I$1000, 0))), ""), "")</f>
        <v/>
      </c>
      <c r="J738" s="6" t="str">
        <f>IF(F738="Completado", IF(COUNTIFS('Base Exámenes'!$C$5:$C$1000, A738, 'Base Exámenes'!$G$5:$G$1000, "&lt;&gt;")=0, "", _xlfn.MAXIFS('Base Exámenes'!$G$5:$G$1000, 'Base Exámenes'!$C$5:$C$1000, A738)), "")</f>
        <v/>
      </c>
      <c r="K738" s="6" t="str">
        <f>IF(F738="Completado", IFERROR(IF(INDEX('Base Exámenes'!$H$5:$H$1000, MATCH(A738&amp;"|"&amp;J738, 'Base Exámenes'!$I$5:$I$1000, 0))="", "", INDEX('Base Exámenes'!$H$5:$H$1000, MATCH(A738&amp;"|"&amp;J738, 'Base Exámenes'!$I$5:$I$1000, 0))), ""), "")</f>
        <v/>
      </c>
      <c r="L738" s="22" t="str">
        <f>IF($A738="","",COUNTIF('Base Exámenes'!$C$5:$C$1000, A738))</f>
        <v/>
      </c>
      <c r="M738" s="6" t="str">
        <f>IF($A738="","",IF(COUNTIF('Base Exámenes'!$C$5:$C$1000, A738)&gt;0, "", TRIM('Base Oficial'!H738)))</f>
        <v/>
      </c>
    </row>
    <row r="739">
      <c r="A739" s="4" t="str">
        <f>IF('Base Oficial'!A739="","",TRIM('Base Oficial'!A739))</f>
        <v/>
      </c>
      <c r="B739" s="6" t="str">
        <f>IF($A739="","",TRIM('Base Oficial'!B739))</f>
        <v/>
      </c>
      <c r="C739" s="6" t="str">
        <f>IF($A739="","",TRIM('Base Oficial'!F739))</f>
        <v/>
      </c>
      <c r="D739" s="6" t="str">
        <f>IF($A739="","",TRIM('Base Oficial'!G739))</f>
        <v/>
      </c>
      <c r="E739" s="6" t="str">
        <f>IF($A739="","",TRIM('Base Oficial'!D739))</f>
        <v/>
      </c>
      <c r="F739" s="4" t="str">
        <f>IF($A739="","",IF(COUNTIF('Base Exámenes'!$C$5:$C$1000, A739)&gt;0, "Completado", IF(M739&lt;&gt;"", M739, "Pendiente")))</f>
        <v/>
      </c>
      <c r="G739" s="11" t="str">
        <f>IF(F739="Completado", IFERROR(IF(INDEX('Base Exámenes'!$D$5:$D$1000, MATCH(A739&amp;"|"&amp;J739, 'Base Exámenes'!$I$5:$I$1000, 0))="", "", INDEX('Base Exámenes'!$D$5:$D$1000, MATCH(A739&amp;"|"&amp;J739, 'Base Exámenes'!$I$5:$I$1000, 0))), ""), "")</f>
        <v/>
      </c>
      <c r="H739" s="11" t="str">
        <f>IF(F739="Completado", IFERROR(IF(INDEX('Base Exámenes'!$E$5:$E$1000, MATCH(A739&amp;"|"&amp;J739, 'Base Exámenes'!$I$5:$I$1000, 0))="", "", INDEX('Base Exámenes'!$E$5:$E$1000, MATCH(A739&amp;"|"&amp;J739, 'Base Exámenes'!$I$5:$I$1000, 0))), ""), "")</f>
        <v/>
      </c>
      <c r="I739" s="10" t="str">
        <f>IF(F739="Completado", IFERROR(IF(INDEX('Base Exámenes'!$F$5:$F$1000, MATCH(A739&amp;"|"&amp;J739, 'Base Exámenes'!$I$5:$I$1000, 0))="", "", INDEX('Base Exámenes'!$F$5:$F$1000, MATCH(A739&amp;"|"&amp;J739, 'Base Exámenes'!$I$5:$I$1000, 0))), ""), "")</f>
        <v/>
      </c>
      <c r="J739" s="6" t="str">
        <f>IF(F739="Completado", IF(COUNTIFS('Base Exámenes'!$C$5:$C$1000, A739, 'Base Exámenes'!$G$5:$G$1000, "&lt;&gt;")=0, "", _xlfn.MAXIFS('Base Exámenes'!$G$5:$G$1000, 'Base Exámenes'!$C$5:$C$1000, A739)), "")</f>
        <v/>
      </c>
      <c r="K739" s="6" t="str">
        <f>IF(F739="Completado", IFERROR(IF(INDEX('Base Exámenes'!$H$5:$H$1000, MATCH(A739&amp;"|"&amp;J739, 'Base Exámenes'!$I$5:$I$1000, 0))="", "", INDEX('Base Exámenes'!$H$5:$H$1000, MATCH(A739&amp;"|"&amp;J739, 'Base Exámenes'!$I$5:$I$1000, 0))), ""), "")</f>
        <v/>
      </c>
      <c r="L739" s="22" t="str">
        <f>IF($A739="","",COUNTIF('Base Exámenes'!$C$5:$C$1000, A739))</f>
        <v/>
      </c>
      <c r="M739" s="6" t="str">
        <f>IF($A739="","",IF(COUNTIF('Base Exámenes'!$C$5:$C$1000, A739)&gt;0, "", TRIM('Base Oficial'!H739)))</f>
        <v/>
      </c>
    </row>
    <row r="740">
      <c r="A740" s="4" t="str">
        <f>IF('Base Oficial'!A740="","",TRIM('Base Oficial'!A740))</f>
        <v/>
      </c>
      <c r="B740" s="6" t="str">
        <f>IF($A740="","",TRIM('Base Oficial'!B740))</f>
        <v/>
      </c>
      <c r="C740" s="6" t="str">
        <f>IF($A740="","",TRIM('Base Oficial'!F740))</f>
        <v/>
      </c>
      <c r="D740" s="6" t="str">
        <f>IF($A740="","",TRIM('Base Oficial'!G740))</f>
        <v/>
      </c>
      <c r="E740" s="6" t="str">
        <f>IF($A740="","",TRIM('Base Oficial'!D740))</f>
        <v/>
      </c>
      <c r="F740" s="4" t="str">
        <f>IF($A740="","",IF(COUNTIF('Base Exámenes'!$C$5:$C$1000, A740)&gt;0, "Completado", IF(M740&lt;&gt;"", M740, "Pendiente")))</f>
        <v/>
      </c>
      <c r="G740" s="11" t="str">
        <f>IF(F740="Completado", IFERROR(IF(INDEX('Base Exámenes'!$D$5:$D$1000, MATCH(A740&amp;"|"&amp;J740, 'Base Exámenes'!$I$5:$I$1000, 0))="", "", INDEX('Base Exámenes'!$D$5:$D$1000, MATCH(A740&amp;"|"&amp;J740, 'Base Exámenes'!$I$5:$I$1000, 0))), ""), "")</f>
        <v/>
      </c>
      <c r="H740" s="11" t="str">
        <f>IF(F740="Completado", IFERROR(IF(INDEX('Base Exámenes'!$E$5:$E$1000, MATCH(A740&amp;"|"&amp;J740, 'Base Exámenes'!$I$5:$I$1000, 0))="", "", INDEX('Base Exámenes'!$E$5:$E$1000, MATCH(A740&amp;"|"&amp;J740, 'Base Exámenes'!$I$5:$I$1000, 0))), ""), "")</f>
        <v/>
      </c>
      <c r="I740" s="10" t="str">
        <f>IF(F740="Completado", IFERROR(IF(INDEX('Base Exámenes'!$F$5:$F$1000, MATCH(A740&amp;"|"&amp;J740, 'Base Exámenes'!$I$5:$I$1000, 0))="", "", INDEX('Base Exámenes'!$F$5:$F$1000, MATCH(A740&amp;"|"&amp;J740, 'Base Exámenes'!$I$5:$I$1000, 0))), ""), "")</f>
        <v/>
      </c>
      <c r="J740" s="6" t="str">
        <f>IF(F740="Completado", IF(COUNTIFS('Base Exámenes'!$C$5:$C$1000, A740, 'Base Exámenes'!$G$5:$G$1000, "&lt;&gt;")=0, "", _xlfn.MAXIFS('Base Exámenes'!$G$5:$G$1000, 'Base Exámenes'!$C$5:$C$1000, A740)), "")</f>
        <v/>
      </c>
      <c r="K740" s="6" t="str">
        <f>IF(F740="Completado", IFERROR(IF(INDEX('Base Exámenes'!$H$5:$H$1000, MATCH(A740&amp;"|"&amp;J740, 'Base Exámenes'!$I$5:$I$1000, 0))="", "", INDEX('Base Exámenes'!$H$5:$H$1000, MATCH(A740&amp;"|"&amp;J740, 'Base Exámenes'!$I$5:$I$1000, 0))), ""), "")</f>
        <v/>
      </c>
      <c r="L740" s="22" t="str">
        <f>IF($A740="","",COUNTIF('Base Exámenes'!$C$5:$C$1000, A740))</f>
        <v/>
      </c>
      <c r="M740" s="6" t="str">
        <f>IF($A740="","",IF(COUNTIF('Base Exámenes'!$C$5:$C$1000, A740)&gt;0, "", TRIM('Base Oficial'!H740)))</f>
        <v/>
      </c>
    </row>
    <row r="741">
      <c r="A741" s="4" t="str">
        <f>IF('Base Oficial'!A741="","",TRIM('Base Oficial'!A741))</f>
        <v/>
      </c>
      <c r="B741" s="6" t="str">
        <f>IF($A741="","",TRIM('Base Oficial'!B741))</f>
        <v/>
      </c>
      <c r="C741" s="6" t="str">
        <f>IF($A741="","",TRIM('Base Oficial'!F741))</f>
        <v/>
      </c>
      <c r="D741" s="6" t="str">
        <f>IF($A741="","",TRIM('Base Oficial'!G741))</f>
        <v/>
      </c>
      <c r="E741" s="6" t="str">
        <f>IF($A741="","",TRIM('Base Oficial'!D741))</f>
        <v/>
      </c>
      <c r="F741" s="4" t="str">
        <f>IF($A741="","",IF(COUNTIF('Base Exámenes'!$C$5:$C$1000, A741)&gt;0, "Completado", IF(M741&lt;&gt;"", M741, "Pendiente")))</f>
        <v/>
      </c>
      <c r="G741" s="11" t="str">
        <f>IF(F741="Completado", IFERROR(IF(INDEX('Base Exámenes'!$D$5:$D$1000, MATCH(A741&amp;"|"&amp;J741, 'Base Exámenes'!$I$5:$I$1000, 0))="", "", INDEX('Base Exámenes'!$D$5:$D$1000, MATCH(A741&amp;"|"&amp;J741, 'Base Exámenes'!$I$5:$I$1000, 0))), ""), "")</f>
        <v/>
      </c>
      <c r="H741" s="11" t="str">
        <f>IF(F741="Completado", IFERROR(IF(INDEX('Base Exámenes'!$E$5:$E$1000, MATCH(A741&amp;"|"&amp;J741, 'Base Exámenes'!$I$5:$I$1000, 0))="", "", INDEX('Base Exámenes'!$E$5:$E$1000, MATCH(A741&amp;"|"&amp;J741, 'Base Exámenes'!$I$5:$I$1000, 0))), ""), "")</f>
        <v/>
      </c>
      <c r="I741" s="10" t="str">
        <f>IF(F741="Completado", IFERROR(IF(INDEX('Base Exámenes'!$F$5:$F$1000, MATCH(A741&amp;"|"&amp;J741, 'Base Exámenes'!$I$5:$I$1000, 0))="", "", INDEX('Base Exámenes'!$F$5:$F$1000, MATCH(A741&amp;"|"&amp;J741, 'Base Exámenes'!$I$5:$I$1000, 0))), ""), "")</f>
        <v/>
      </c>
      <c r="J741" s="6" t="str">
        <f>IF(F741="Completado", IF(COUNTIFS('Base Exámenes'!$C$5:$C$1000, A741, 'Base Exámenes'!$G$5:$G$1000, "&lt;&gt;")=0, "", _xlfn.MAXIFS('Base Exámenes'!$G$5:$G$1000, 'Base Exámenes'!$C$5:$C$1000, A741)), "")</f>
        <v/>
      </c>
      <c r="K741" s="6" t="str">
        <f>IF(F741="Completado", IFERROR(IF(INDEX('Base Exámenes'!$H$5:$H$1000, MATCH(A741&amp;"|"&amp;J741, 'Base Exámenes'!$I$5:$I$1000, 0))="", "", INDEX('Base Exámenes'!$H$5:$H$1000, MATCH(A741&amp;"|"&amp;J741, 'Base Exámenes'!$I$5:$I$1000, 0))), ""), "")</f>
        <v/>
      </c>
      <c r="L741" s="22" t="str">
        <f>IF($A741="","",COUNTIF('Base Exámenes'!$C$5:$C$1000, A741))</f>
        <v/>
      </c>
      <c r="M741" s="6" t="str">
        <f>IF($A741="","",IF(COUNTIF('Base Exámenes'!$C$5:$C$1000, A741)&gt;0, "", TRIM('Base Oficial'!H741)))</f>
        <v/>
      </c>
    </row>
    <row r="742">
      <c r="A742" s="4" t="str">
        <f>IF('Base Oficial'!A742="","",TRIM('Base Oficial'!A742))</f>
        <v/>
      </c>
      <c r="B742" s="6" t="str">
        <f>IF($A742="","",TRIM('Base Oficial'!B742))</f>
        <v/>
      </c>
      <c r="C742" s="6" t="str">
        <f>IF($A742="","",TRIM('Base Oficial'!F742))</f>
        <v/>
      </c>
      <c r="D742" s="6" t="str">
        <f>IF($A742="","",TRIM('Base Oficial'!G742))</f>
        <v/>
      </c>
      <c r="E742" s="6" t="str">
        <f>IF($A742="","",TRIM('Base Oficial'!D742))</f>
        <v/>
      </c>
      <c r="F742" s="4" t="str">
        <f>IF($A742="","",IF(COUNTIF('Base Exámenes'!$C$5:$C$1000, A742)&gt;0, "Completado", IF(M742&lt;&gt;"", M742, "Pendiente")))</f>
        <v/>
      </c>
      <c r="G742" s="11" t="str">
        <f>IF(F742="Completado", IFERROR(IF(INDEX('Base Exámenes'!$D$5:$D$1000, MATCH(A742&amp;"|"&amp;J742, 'Base Exámenes'!$I$5:$I$1000, 0))="", "", INDEX('Base Exámenes'!$D$5:$D$1000, MATCH(A742&amp;"|"&amp;J742, 'Base Exámenes'!$I$5:$I$1000, 0))), ""), "")</f>
        <v/>
      </c>
      <c r="H742" s="11" t="str">
        <f>IF(F742="Completado", IFERROR(IF(INDEX('Base Exámenes'!$E$5:$E$1000, MATCH(A742&amp;"|"&amp;J742, 'Base Exámenes'!$I$5:$I$1000, 0))="", "", INDEX('Base Exámenes'!$E$5:$E$1000, MATCH(A742&amp;"|"&amp;J742, 'Base Exámenes'!$I$5:$I$1000, 0))), ""), "")</f>
        <v/>
      </c>
      <c r="I742" s="10" t="str">
        <f>IF(F742="Completado", IFERROR(IF(INDEX('Base Exámenes'!$F$5:$F$1000, MATCH(A742&amp;"|"&amp;J742, 'Base Exámenes'!$I$5:$I$1000, 0))="", "", INDEX('Base Exámenes'!$F$5:$F$1000, MATCH(A742&amp;"|"&amp;J742, 'Base Exámenes'!$I$5:$I$1000, 0))), ""), "")</f>
        <v/>
      </c>
      <c r="J742" s="6" t="str">
        <f>IF(F742="Completado", IF(COUNTIFS('Base Exámenes'!$C$5:$C$1000, A742, 'Base Exámenes'!$G$5:$G$1000, "&lt;&gt;")=0, "", _xlfn.MAXIFS('Base Exámenes'!$G$5:$G$1000, 'Base Exámenes'!$C$5:$C$1000, A742)), "")</f>
        <v/>
      </c>
      <c r="K742" s="6" t="str">
        <f>IF(F742="Completado", IFERROR(IF(INDEX('Base Exámenes'!$H$5:$H$1000, MATCH(A742&amp;"|"&amp;J742, 'Base Exámenes'!$I$5:$I$1000, 0))="", "", INDEX('Base Exámenes'!$H$5:$H$1000, MATCH(A742&amp;"|"&amp;J742, 'Base Exámenes'!$I$5:$I$1000, 0))), ""), "")</f>
        <v/>
      </c>
      <c r="L742" s="22" t="str">
        <f>IF($A742="","",COUNTIF('Base Exámenes'!$C$5:$C$1000, A742))</f>
        <v/>
      </c>
      <c r="M742" s="6" t="str">
        <f>IF($A742="","",IF(COUNTIF('Base Exámenes'!$C$5:$C$1000, A742)&gt;0, "", TRIM('Base Oficial'!H742)))</f>
        <v/>
      </c>
    </row>
    <row r="743">
      <c r="A743" s="4" t="str">
        <f>IF('Base Oficial'!A743="","",TRIM('Base Oficial'!A743))</f>
        <v/>
      </c>
      <c r="B743" s="6" t="str">
        <f>IF($A743="","",TRIM('Base Oficial'!B743))</f>
        <v/>
      </c>
      <c r="C743" s="6" t="str">
        <f>IF($A743="","",TRIM('Base Oficial'!F743))</f>
        <v/>
      </c>
      <c r="D743" s="6" t="str">
        <f>IF($A743="","",TRIM('Base Oficial'!G743))</f>
        <v/>
      </c>
      <c r="E743" s="6" t="str">
        <f>IF($A743="","",TRIM('Base Oficial'!D743))</f>
        <v/>
      </c>
      <c r="F743" s="4" t="str">
        <f>IF($A743="","",IF(COUNTIF('Base Exámenes'!$C$5:$C$1000, A743)&gt;0, "Completado", IF(M743&lt;&gt;"", M743, "Pendiente")))</f>
        <v/>
      </c>
      <c r="G743" s="11" t="str">
        <f>IF(F743="Completado", IFERROR(IF(INDEX('Base Exámenes'!$D$5:$D$1000, MATCH(A743&amp;"|"&amp;J743, 'Base Exámenes'!$I$5:$I$1000, 0))="", "", INDEX('Base Exámenes'!$D$5:$D$1000, MATCH(A743&amp;"|"&amp;J743, 'Base Exámenes'!$I$5:$I$1000, 0))), ""), "")</f>
        <v/>
      </c>
      <c r="H743" s="11" t="str">
        <f>IF(F743="Completado", IFERROR(IF(INDEX('Base Exámenes'!$E$5:$E$1000, MATCH(A743&amp;"|"&amp;J743, 'Base Exámenes'!$I$5:$I$1000, 0))="", "", INDEX('Base Exámenes'!$E$5:$E$1000, MATCH(A743&amp;"|"&amp;J743, 'Base Exámenes'!$I$5:$I$1000, 0))), ""), "")</f>
        <v/>
      </c>
      <c r="I743" s="10" t="str">
        <f>IF(F743="Completado", IFERROR(IF(INDEX('Base Exámenes'!$F$5:$F$1000, MATCH(A743&amp;"|"&amp;J743, 'Base Exámenes'!$I$5:$I$1000, 0))="", "", INDEX('Base Exámenes'!$F$5:$F$1000, MATCH(A743&amp;"|"&amp;J743, 'Base Exámenes'!$I$5:$I$1000, 0))), ""), "")</f>
        <v/>
      </c>
      <c r="J743" s="6" t="str">
        <f>IF(F743="Completado", IF(COUNTIFS('Base Exámenes'!$C$5:$C$1000, A743, 'Base Exámenes'!$G$5:$G$1000, "&lt;&gt;")=0, "", _xlfn.MAXIFS('Base Exámenes'!$G$5:$G$1000, 'Base Exámenes'!$C$5:$C$1000, A743)), "")</f>
        <v/>
      </c>
      <c r="K743" s="6" t="str">
        <f>IF(F743="Completado", IFERROR(IF(INDEX('Base Exámenes'!$H$5:$H$1000, MATCH(A743&amp;"|"&amp;J743, 'Base Exámenes'!$I$5:$I$1000, 0))="", "", INDEX('Base Exámenes'!$H$5:$H$1000, MATCH(A743&amp;"|"&amp;J743, 'Base Exámenes'!$I$5:$I$1000, 0))), ""), "")</f>
        <v/>
      </c>
      <c r="L743" s="22" t="str">
        <f>IF($A743="","",COUNTIF('Base Exámenes'!$C$5:$C$1000, A743))</f>
        <v/>
      </c>
      <c r="M743" s="6" t="str">
        <f>IF($A743="","",IF(COUNTIF('Base Exámenes'!$C$5:$C$1000, A743)&gt;0, "", TRIM('Base Oficial'!H743)))</f>
        <v/>
      </c>
    </row>
    <row r="744">
      <c r="A744" s="4" t="str">
        <f>IF('Base Oficial'!A744="","",TRIM('Base Oficial'!A744))</f>
        <v/>
      </c>
      <c r="B744" s="6" t="str">
        <f>IF($A744="","",TRIM('Base Oficial'!B744))</f>
        <v/>
      </c>
      <c r="C744" s="6" t="str">
        <f>IF($A744="","",TRIM('Base Oficial'!F744))</f>
        <v/>
      </c>
      <c r="D744" s="6" t="str">
        <f>IF($A744="","",TRIM('Base Oficial'!G744))</f>
        <v/>
      </c>
      <c r="E744" s="6" t="str">
        <f>IF($A744="","",TRIM('Base Oficial'!D744))</f>
        <v/>
      </c>
      <c r="F744" s="4" t="str">
        <f>IF($A744="","",IF(COUNTIF('Base Exámenes'!$C$5:$C$1000, A744)&gt;0, "Completado", IF(M744&lt;&gt;"", M744, "Pendiente")))</f>
        <v/>
      </c>
      <c r="G744" s="11" t="str">
        <f>IF(F744="Completado", IFERROR(IF(INDEX('Base Exámenes'!$D$5:$D$1000, MATCH(A744&amp;"|"&amp;J744, 'Base Exámenes'!$I$5:$I$1000, 0))="", "", INDEX('Base Exámenes'!$D$5:$D$1000, MATCH(A744&amp;"|"&amp;J744, 'Base Exámenes'!$I$5:$I$1000, 0))), ""), "")</f>
        <v/>
      </c>
      <c r="H744" s="11" t="str">
        <f>IF(F744="Completado", IFERROR(IF(INDEX('Base Exámenes'!$E$5:$E$1000, MATCH(A744&amp;"|"&amp;J744, 'Base Exámenes'!$I$5:$I$1000, 0))="", "", INDEX('Base Exámenes'!$E$5:$E$1000, MATCH(A744&amp;"|"&amp;J744, 'Base Exámenes'!$I$5:$I$1000, 0))), ""), "")</f>
        <v/>
      </c>
      <c r="I744" s="10" t="str">
        <f>IF(F744="Completado", IFERROR(IF(INDEX('Base Exámenes'!$F$5:$F$1000, MATCH(A744&amp;"|"&amp;J744, 'Base Exámenes'!$I$5:$I$1000, 0))="", "", INDEX('Base Exámenes'!$F$5:$F$1000, MATCH(A744&amp;"|"&amp;J744, 'Base Exámenes'!$I$5:$I$1000, 0))), ""), "")</f>
        <v/>
      </c>
      <c r="J744" s="6" t="str">
        <f>IF(F744="Completado", IF(COUNTIFS('Base Exámenes'!$C$5:$C$1000, A744, 'Base Exámenes'!$G$5:$G$1000, "&lt;&gt;")=0, "", _xlfn.MAXIFS('Base Exámenes'!$G$5:$G$1000, 'Base Exámenes'!$C$5:$C$1000, A744)), "")</f>
        <v/>
      </c>
      <c r="K744" s="6" t="str">
        <f>IF(F744="Completado", IFERROR(IF(INDEX('Base Exámenes'!$H$5:$H$1000, MATCH(A744&amp;"|"&amp;J744, 'Base Exámenes'!$I$5:$I$1000, 0))="", "", INDEX('Base Exámenes'!$H$5:$H$1000, MATCH(A744&amp;"|"&amp;J744, 'Base Exámenes'!$I$5:$I$1000, 0))), ""), "")</f>
        <v/>
      </c>
      <c r="L744" s="22" t="str">
        <f>IF($A744="","",COUNTIF('Base Exámenes'!$C$5:$C$1000, A744))</f>
        <v/>
      </c>
      <c r="M744" s="6" t="str">
        <f>IF($A744="","",IF(COUNTIF('Base Exámenes'!$C$5:$C$1000, A744)&gt;0, "", TRIM('Base Oficial'!H744)))</f>
        <v/>
      </c>
    </row>
    <row r="745">
      <c r="A745" s="4" t="str">
        <f>IF('Base Oficial'!A745="","",TRIM('Base Oficial'!A745))</f>
        <v/>
      </c>
      <c r="B745" s="6" t="str">
        <f>IF($A745="","",TRIM('Base Oficial'!B745))</f>
        <v/>
      </c>
      <c r="C745" s="6" t="str">
        <f>IF($A745="","",TRIM('Base Oficial'!F745))</f>
        <v/>
      </c>
      <c r="D745" s="6" t="str">
        <f>IF($A745="","",TRIM('Base Oficial'!G745))</f>
        <v/>
      </c>
      <c r="E745" s="6" t="str">
        <f>IF($A745="","",TRIM('Base Oficial'!D745))</f>
        <v/>
      </c>
      <c r="F745" s="4" t="str">
        <f>IF($A745="","",IF(COUNTIF('Base Exámenes'!$C$5:$C$1000, A745)&gt;0, "Completado", IF(M745&lt;&gt;"", M745, "Pendiente")))</f>
        <v/>
      </c>
      <c r="G745" s="11" t="str">
        <f>IF(F745="Completado", IFERROR(IF(INDEX('Base Exámenes'!$D$5:$D$1000, MATCH(A745&amp;"|"&amp;J745, 'Base Exámenes'!$I$5:$I$1000, 0))="", "", INDEX('Base Exámenes'!$D$5:$D$1000, MATCH(A745&amp;"|"&amp;J745, 'Base Exámenes'!$I$5:$I$1000, 0))), ""), "")</f>
        <v/>
      </c>
      <c r="H745" s="11" t="str">
        <f>IF(F745="Completado", IFERROR(IF(INDEX('Base Exámenes'!$E$5:$E$1000, MATCH(A745&amp;"|"&amp;J745, 'Base Exámenes'!$I$5:$I$1000, 0))="", "", INDEX('Base Exámenes'!$E$5:$E$1000, MATCH(A745&amp;"|"&amp;J745, 'Base Exámenes'!$I$5:$I$1000, 0))), ""), "")</f>
        <v/>
      </c>
      <c r="I745" s="10" t="str">
        <f>IF(F745="Completado", IFERROR(IF(INDEX('Base Exámenes'!$F$5:$F$1000, MATCH(A745&amp;"|"&amp;J745, 'Base Exámenes'!$I$5:$I$1000, 0))="", "", INDEX('Base Exámenes'!$F$5:$F$1000, MATCH(A745&amp;"|"&amp;J745, 'Base Exámenes'!$I$5:$I$1000, 0))), ""), "")</f>
        <v/>
      </c>
      <c r="J745" s="6" t="str">
        <f>IF(F745="Completado", IF(COUNTIFS('Base Exámenes'!$C$5:$C$1000, A745, 'Base Exámenes'!$G$5:$G$1000, "&lt;&gt;")=0, "", _xlfn.MAXIFS('Base Exámenes'!$G$5:$G$1000, 'Base Exámenes'!$C$5:$C$1000, A745)), "")</f>
        <v/>
      </c>
      <c r="K745" s="6" t="str">
        <f>IF(F745="Completado", IFERROR(IF(INDEX('Base Exámenes'!$H$5:$H$1000, MATCH(A745&amp;"|"&amp;J745, 'Base Exámenes'!$I$5:$I$1000, 0))="", "", INDEX('Base Exámenes'!$H$5:$H$1000, MATCH(A745&amp;"|"&amp;J745, 'Base Exámenes'!$I$5:$I$1000, 0))), ""), "")</f>
        <v/>
      </c>
      <c r="L745" s="22" t="str">
        <f>IF($A745="","",COUNTIF('Base Exámenes'!$C$5:$C$1000, A745))</f>
        <v/>
      </c>
      <c r="M745" s="6" t="str">
        <f>IF($A745="","",IF(COUNTIF('Base Exámenes'!$C$5:$C$1000, A745)&gt;0, "", TRIM('Base Oficial'!H745)))</f>
        <v/>
      </c>
    </row>
    <row r="746">
      <c r="A746" s="4" t="str">
        <f>IF('Base Oficial'!A746="","",TRIM('Base Oficial'!A746))</f>
        <v/>
      </c>
      <c r="B746" s="6" t="str">
        <f>IF($A746="","",TRIM('Base Oficial'!B746))</f>
        <v/>
      </c>
      <c r="C746" s="6" t="str">
        <f>IF($A746="","",TRIM('Base Oficial'!F746))</f>
        <v/>
      </c>
      <c r="D746" s="6" t="str">
        <f>IF($A746="","",TRIM('Base Oficial'!G746))</f>
        <v/>
      </c>
      <c r="E746" s="6" t="str">
        <f>IF($A746="","",TRIM('Base Oficial'!D746))</f>
        <v/>
      </c>
      <c r="F746" s="4" t="str">
        <f>IF($A746="","",IF(COUNTIF('Base Exámenes'!$C$5:$C$1000, A746)&gt;0, "Completado", IF(M746&lt;&gt;"", M746, "Pendiente")))</f>
        <v/>
      </c>
      <c r="G746" s="11" t="str">
        <f>IF(F746="Completado", IFERROR(IF(INDEX('Base Exámenes'!$D$5:$D$1000, MATCH(A746&amp;"|"&amp;J746, 'Base Exámenes'!$I$5:$I$1000, 0))="", "", INDEX('Base Exámenes'!$D$5:$D$1000, MATCH(A746&amp;"|"&amp;J746, 'Base Exámenes'!$I$5:$I$1000, 0))), ""), "")</f>
        <v/>
      </c>
      <c r="H746" s="11" t="str">
        <f>IF(F746="Completado", IFERROR(IF(INDEX('Base Exámenes'!$E$5:$E$1000, MATCH(A746&amp;"|"&amp;J746, 'Base Exámenes'!$I$5:$I$1000, 0))="", "", INDEX('Base Exámenes'!$E$5:$E$1000, MATCH(A746&amp;"|"&amp;J746, 'Base Exámenes'!$I$5:$I$1000, 0))), ""), "")</f>
        <v/>
      </c>
      <c r="I746" s="10" t="str">
        <f>IF(F746="Completado", IFERROR(IF(INDEX('Base Exámenes'!$F$5:$F$1000, MATCH(A746&amp;"|"&amp;J746, 'Base Exámenes'!$I$5:$I$1000, 0))="", "", INDEX('Base Exámenes'!$F$5:$F$1000, MATCH(A746&amp;"|"&amp;J746, 'Base Exámenes'!$I$5:$I$1000, 0))), ""), "")</f>
        <v/>
      </c>
      <c r="J746" s="6" t="str">
        <f>IF(F746="Completado", IF(COUNTIFS('Base Exámenes'!$C$5:$C$1000, A746, 'Base Exámenes'!$G$5:$G$1000, "&lt;&gt;")=0, "", _xlfn.MAXIFS('Base Exámenes'!$G$5:$G$1000, 'Base Exámenes'!$C$5:$C$1000, A746)), "")</f>
        <v/>
      </c>
      <c r="K746" s="6" t="str">
        <f>IF(F746="Completado", IFERROR(IF(INDEX('Base Exámenes'!$H$5:$H$1000, MATCH(A746&amp;"|"&amp;J746, 'Base Exámenes'!$I$5:$I$1000, 0))="", "", INDEX('Base Exámenes'!$H$5:$H$1000, MATCH(A746&amp;"|"&amp;J746, 'Base Exámenes'!$I$5:$I$1000, 0))), ""), "")</f>
        <v/>
      </c>
      <c r="L746" s="22" t="str">
        <f>IF($A746="","",COUNTIF('Base Exámenes'!$C$5:$C$1000, A746))</f>
        <v/>
      </c>
      <c r="M746" s="6" t="str">
        <f>IF($A746="","",IF(COUNTIF('Base Exámenes'!$C$5:$C$1000, A746)&gt;0, "", TRIM('Base Oficial'!H746)))</f>
        <v/>
      </c>
    </row>
    <row r="747">
      <c r="A747" s="4" t="str">
        <f>IF('Base Oficial'!A747="","",TRIM('Base Oficial'!A747))</f>
        <v/>
      </c>
      <c r="B747" s="6" t="str">
        <f>IF($A747="","",TRIM('Base Oficial'!B747))</f>
        <v/>
      </c>
      <c r="C747" s="6" t="str">
        <f>IF($A747="","",TRIM('Base Oficial'!F747))</f>
        <v/>
      </c>
      <c r="D747" s="6" t="str">
        <f>IF($A747="","",TRIM('Base Oficial'!G747))</f>
        <v/>
      </c>
      <c r="E747" s="6" t="str">
        <f>IF($A747="","",TRIM('Base Oficial'!D747))</f>
        <v/>
      </c>
      <c r="F747" s="4" t="str">
        <f>IF($A747="","",IF(COUNTIF('Base Exámenes'!$C$5:$C$1000, A747)&gt;0, "Completado", IF(M747&lt;&gt;"", M747, "Pendiente")))</f>
        <v/>
      </c>
      <c r="G747" s="11" t="str">
        <f>IF(F747="Completado", IFERROR(IF(INDEX('Base Exámenes'!$D$5:$D$1000, MATCH(A747&amp;"|"&amp;J747, 'Base Exámenes'!$I$5:$I$1000, 0))="", "", INDEX('Base Exámenes'!$D$5:$D$1000, MATCH(A747&amp;"|"&amp;J747, 'Base Exámenes'!$I$5:$I$1000, 0))), ""), "")</f>
        <v/>
      </c>
      <c r="H747" s="11" t="str">
        <f>IF(F747="Completado", IFERROR(IF(INDEX('Base Exámenes'!$E$5:$E$1000, MATCH(A747&amp;"|"&amp;J747, 'Base Exámenes'!$I$5:$I$1000, 0))="", "", INDEX('Base Exámenes'!$E$5:$E$1000, MATCH(A747&amp;"|"&amp;J747, 'Base Exámenes'!$I$5:$I$1000, 0))), ""), "")</f>
        <v/>
      </c>
      <c r="I747" s="10" t="str">
        <f>IF(F747="Completado", IFERROR(IF(INDEX('Base Exámenes'!$F$5:$F$1000, MATCH(A747&amp;"|"&amp;J747, 'Base Exámenes'!$I$5:$I$1000, 0))="", "", INDEX('Base Exámenes'!$F$5:$F$1000, MATCH(A747&amp;"|"&amp;J747, 'Base Exámenes'!$I$5:$I$1000, 0))), ""), "")</f>
        <v/>
      </c>
      <c r="J747" s="6" t="str">
        <f>IF(F747="Completado", IF(COUNTIFS('Base Exámenes'!$C$5:$C$1000, A747, 'Base Exámenes'!$G$5:$G$1000, "&lt;&gt;")=0, "", _xlfn.MAXIFS('Base Exámenes'!$G$5:$G$1000, 'Base Exámenes'!$C$5:$C$1000, A747)), "")</f>
        <v/>
      </c>
      <c r="K747" s="6" t="str">
        <f>IF(F747="Completado", IFERROR(IF(INDEX('Base Exámenes'!$H$5:$H$1000, MATCH(A747&amp;"|"&amp;J747, 'Base Exámenes'!$I$5:$I$1000, 0))="", "", INDEX('Base Exámenes'!$H$5:$H$1000, MATCH(A747&amp;"|"&amp;J747, 'Base Exámenes'!$I$5:$I$1000, 0))), ""), "")</f>
        <v/>
      </c>
      <c r="L747" s="22" t="str">
        <f>IF($A747="","",COUNTIF('Base Exámenes'!$C$5:$C$1000, A747))</f>
        <v/>
      </c>
      <c r="M747" s="6" t="str">
        <f>IF($A747="","",IF(COUNTIF('Base Exámenes'!$C$5:$C$1000, A747)&gt;0, "", TRIM('Base Oficial'!H747)))</f>
        <v/>
      </c>
    </row>
    <row r="748">
      <c r="A748" s="4" t="str">
        <f>IF('Base Oficial'!A748="","",TRIM('Base Oficial'!A748))</f>
        <v/>
      </c>
      <c r="B748" s="6" t="str">
        <f>IF($A748="","",TRIM('Base Oficial'!B748))</f>
        <v/>
      </c>
      <c r="C748" s="6" t="str">
        <f>IF($A748="","",TRIM('Base Oficial'!F748))</f>
        <v/>
      </c>
      <c r="D748" s="6" t="str">
        <f>IF($A748="","",TRIM('Base Oficial'!G748))</f>
        <v/>
      </c>
      <c r="E748" s="6" t="str">
        <f>IF($A748="","",TRIM('Base Oficial'!D748))</f>
        <v/>
      </c>
      <c r="F748" s="4" t="str">
        <f>IF($A748="","",IF(COUNTIF('Base Exámenes'!$C$5:$C$1000, A748)&gt;0, "Completado", IF(M748&lt;&gt;"", M748, "Pendiente")))</f>
        <v/>
      </c>
      <c r="G748" s="11" t="str">
        <f>IF(F748="Completado", IFERROR(IF(INDEX('Base Exámenes'!$D$5:$D$1000, MATCH(A748&amp;"|"&amp;J748, 'Base Exámenes'!$I$5:$I$1000, 0))="", "", INDEX('Base Exámenes'!$D$5:$D$1000, MATCH(A748&amp;"|"&amp;J748, 'Base Exámenes'!$I$5:$I$1000, 0))), ""), "")</f>
        <v/>
      </c>
      <c r="H748" s="11" t="str">
        <f>IF(F748="Completado", IFERROR(IF(INDEX('Base Exámenes'!$E$5:$E$1000, MATCH(A748&amp;"|"&amp;J748, 'Base Exámenes'!$I$5:$I$1000, 0))="", "", INDEX('Base Exámenes'!$E$5:$E$1000, MATCH(A748&amp;"|"&amp;J748, 'Base Exámenes'!$I$5:$I$1000, 0))), ""), "")</f>
        <v/>
      </c>
      <c r="I748" s="10" t="str">
        <f>IF(F748="Completado", IFERROR(IF(INDEX('Base Exámenes'!$F$5:$F$1000, MATCH(A748&amp;"|"&amp;J748, 'Base Exámenes'!$I$5:$I$1000, 0))="", "", INDEX('Base Exámenes'!$F$5:$F$1000, MATCH(A748&amp;"|"&amp;J748, 'Base Exámenes'!$I$5:$I$1000, 0))), ""), "")</f>
        <v/>
      </c>
      <c r="J748" s="6" t="str">
        <f>IF(F748="Completado", IF(COUNTIFS('Base Exámenes'!$C$5:$C$1000, A748, 'Base Exámenes'!$G$5:$G$1000, "&lt;&gt;")=0, "", _xlfn.MAXIFS('Base Exámenes'!$G$5:$G$1000, 'Base Exámenes'!$C$5:$C$1000, A748)), "")</f>
        <v/>
      </c>
      <c r="K748" s="6" t="str">
        <f>IF(F748="Completado", IFERROR(IF(INDEX('Base Exámenes'!$H$5:$H$1000, MATCH(A748&amp;"|"&amp;J748, 'Base Exámenes'!$I$5:$I$1000, 0))="", "", INDEX('Base Exámenes'!$H$5:$H$1000, MATCH(A748&amp;"|"&amp;J748, 'Base Exámenes'!$I$5:$I$1000, 0))), ""), "")</f>
        <v/>
      </c>
      <c r="L748" s="22" t="str">
        <f>IF($A748="","",COUNTIF('Base Exámenes'!$C$5:$C$1000, A748))</f>
        <v/>
      </c>
      <c r="M748" s="6" t="str">
        <f>IF($A748="","",IF(COUNTIF('Base Exámenes'!$C$5:$C$1000, A748)&gt;0, "", TRIM('Base Oficial'!H748)))</f>
        <v/>
      </c>
    </row>
    <row r="749">
      <c r="A749" s="4" t="str">
        <f>IF('Base Oficial'!A749="","",TRIM('Base Oficial'!A749))</f>
        <v/>
      </c>
      <c r="B749" s="6" t="str">
        <f>IF($A749="","",TRIM('Base Oficial'!B749))</f>
        <v/>
      </c>
      <c r="C749" s="6" t="str">
        <f>IF($A749="","",TRIM('Base Oficial'!F749))</f>
        <v/>
      </c>
      <c r="D749" s="6" t="str">
        <f>IF($A749="","",TRIM('Base Oficial'!G749))</f>
        <v/>
      </c>
      <c r="E749" s="6" t="str">
        <f>IF($A749="","",TRIM('Base Oficial'!D749))</f>
        <v/>
      </c>
      <c r="F749" s="4" t="str">
        <f>IF($A749="","",IF(COUNTIF('Base Exámenes'!$C$5:$C$1000, A749)&gt;0, "Completado", IF(M749&lt;&gt;"", M749, "Pendiente")))</f>
        <v/>
      </c>
      <c r="G749" s="11" t="str">
        <f>IF(F749="Completado", IFERROR(IF(INDEX('Base Exámenes'!$D$5:$D$1000, MATCH(A749&amp;"|"&amp;J749, 'Base Exámenes'!$I$5:$I$1000, 0))="", "", INDEX('Base Exámenes'!$D$5:$D$1000, MATCH(A749&amp;"|"&amp;J749, 'Base Exámenes'!$I$5:$I$1000, 0))), ""), "")</f>
        <v/>
      </c>
      <c r="H749" s="11" t="str">
        <f>IF(F749="Completado", IFERROR(IF(INDEX('Base Exámenes'!$E$5:$E$1000, MATCH(A749&amp;"|"&amp;J749, 'Base Exámenes'!$I$5:$I$1000, 0))="", "", INDEX('Base Exámenes'!$E$5:$E$1000, MATCH(A749&amp;"|"&amp;J749, 'Base Exámenes'!$I$5:$I$1000, 0))), ""), "")</f>
        <v/>
      </c>
      <c r="I749" s="10" t="str">
        <f>IF(F749="Completado", IFERROR(IF(INDEX('Base Exámenes'!$F$5:$F$1000, MATCH(A749&amp;"|"&amp;J749, 'Base Exámenes'!$I$5:$I$1000, 0))="", "", INDEX('Base Exámenes'!$F$5:$F$1000, MATCH(A749&amp;"|"&amp;J749, 'Base Exámenes'!$I$5:$I$1000, 0))), ""), "")</f>
        <v/>
      </c>
      <c r="J749" s="6" t="str">
        <f>IF(F749="Completado", IF(COUNTIFS('Base Exámenes'!$C$5:$C$1000, A749, 'Base Exámenes'!$G$5:$G$1000, "&lt;&gt;")=0, "", _xlfn.MAXIFS('Base Exámenes'!$G$5:$G$1000, 'Base Exámenes'!$C$5:$C$1000, A749)), "")</f>
        <v/>
      </c>
      <c r="K749" s="6" t="str">
        <f>IF(F749="Completado", IFERROR(IF(INDEX('Base Exámenes'!$H$5:$H$1000, MATCH(A749&amp;"|"&amp;J749, 'Base Exámenes'!$I$5:$I$1000, 0))="", "", INDEX('Base Exámenes'!$H$5:$H$1000, MATCH(A749&amp;"|"&amp;J749, 'Base Exámenes'!$I$5:$I$1000, 0))), ""), "")</f>
        <v/>
      </c>
      <c r="L749" s="22" t="str">
        <f>IF($A749="","",COUNTIF('Base Exámenes'!$C$5:$C$1000, A749))</f>
        <v/>
      </c>
      <c r="M749" s="6" t="str">
        <f>IF($A749="","",IF(COUNTIF('Base Exámenes'!$C$5:$C$1000, A749)&gt;0, "", TRIM('Base Oficial'!H749)))</f>
        <v/>
      </c>
    </row>
    <row r="750">
      <c r="A750" s="4" t="str">
        <f>IF('Base Oficial'!A750="","",TRIM('Base Oficial'!A750))</f>
        <v/>
      </c>
      <c r="B750" s="6" t="str">
        <f>IF($A750="","",TRIM('Base Oficial'!B750))</f>
        <v/>
      </c>
      <c r="C750" s="6" t="str">
        <f>IF($A750="","",TRIM('Base Oficial'!F750))</f>
        <v/>
      </c>
      <c r="D750" s="6" t="str">
        <f>IF($A750="","",TRIM('Base Oficial'!G750))</f>
        <v/>
      </c>
      <c r="E750" s="6" t="str">
        <f>IF($A750="","",TRIM('Base Oficial'!D750))</f>
        <v/>
      </c>
      <c r="F750" s="4" t="str">
        <f>IF($A750="","",IF(COUNTIF('Base Exámenes'!$C$5:$C$1000, A750)&gt;0, "Completado", IF(M750&lt;&gt;"", M750, "Pendiente")))</f>
        <v/>
      </c>
      <c r="G750" s="11" t="str">
        <f>IF(F750="Completado", IFERROR(IF(INDEX('Base Exámenes'!$D$5:$D$1000, MATCH(A750&amp;"|"&amp;J750, 'Base Exámenes'!$I$5:$I$1000, 0))="", "", INDEX('Base Exámenes'!$D$5:$D$1000, MATCH(A750&amp;"|"&amp;J750, 'Base Exámenes'!$I$5:$I$1000, 0))), ""), "")</f>
        <v/>
      </c>
      <c r="H750" s="11" t="str">
        <f>IF(F750="Completado", IFERROR(IF(INDEX('Base Exámenes'!$E$5:$E$1000, MATCH(A750&amp;"|"&amp;J750, 'Base Exámenes'!$I$5:$I$1000, 0))="", "", INDEX('Base Exámenes'!$E$5:$E$1000, MATCH(A750&amp;"|"&amp;J750, 'Base Exámenes'!$I$5:$I$1000, 0))), ""), "")</f>
        <v/>
      </c>
      <c r="I750" s="10" t="str">
        <f>IF(F750="Completado", IFERROR(IF(INDEX('Base Exámenes'!$F$5:$F$1000, MATCH(A750&amp;"|"&amp;J750, 'Base Exámenes'!$I$5:$I$1000, 0))="", "", INDEX('Base Exámenes'!$F$5:$F$1000, MATCH(A750&amp;"|"&amp;J750, 'Base Exámenes'!$I$5:$I$1000, 0))), ""), "")</f>
        <v/>
      </c>
      <c r="J750" s="6" t="str">
        <f>IF(F750="Completado", IF(COUNTIFS('Base Exámenes'!$C$5:$C$1000, A750, 'Base Exámenes'!$G$5:$G$1000, "&lt;&gt;")=0, "", _xlfn.MAXIFS('Base Exámenes'!$G$5:$G$1000, 'Base Exámenes'!$C$5:$C$1000, A750)), "")</f>
        <v/>
      </c>
      <c r="K750" s="6" t="str">
        <f>IF(F750="Completado", IFERROR(IF(INDEX('Base Exámenes'!$H$5:$H$1000, MATCH(A750&amp;"|"&amp;J750, 'Base Exámenes'!$I$5:$I$1000, 0))="", "", INDEX('Base Exámenes'!$H$5:$H$1000, MATCH(A750&amp;"|"&amp;J750, 'Base Exámenes'!$I$5:$I$1000, 0))), ""), "")</f>
        <v/>
      </c>
      <c r="L750" s="22" t="str">
        <f>IF($A750="","",COUNTIF('Base Exámenes'!$C$5:$C$1000, A750))</f>
        <v/>
      </c>
      <c r="M750" s="6" t="str">
        <f>IF($A750="","",IF(COUNTIF('Base Exámenes'!$C$5:$C$1000, A750)&gt;0, "", TRIM('Base Oficial'!H750)))</f>
        <v/>
      </c>
    </row>
    <row r="751">
      <c r="A751" s="4" t="str">
        <f>IF('Base Oficial'!A751="","",TRIM('Base Oficial'!A751))</f>
        <v/>
      </c>
      <c r="B751" s="6" t="str">
        <f>IF($A751="","",TRIM('Base Oficial'!B751))</f>
        <v/>
      </c>
      <c r="C751" s="6" t="str">
        <f>IF($A751="","",TRIM('Base Oficial'!F751))</f>
        <v/>
      </c>
      <c r="D751" s="6" t="str">
        <f>IF($A751="","",TRIM('Base Oficial'!G751))</f>
        <v/>
      </c>
      <c r="E751" s="6" t="str">
        <f>IF($A751="","",TRIM('Base Oficial'!D751))</f>
        <v/>
      </c>
      <c r="F751" s="4" t="str">
        <f>IF($A751="","",IF(COUNTIF('Base Exámenes'!$C$5:$C$1000, A751)&gt;0, "Completado", IF(M751&lt;&gt;"", M751, "Pendiente")))</f>
        <v/>
      </c>
      <c r="G751" s="11" t="str">
        <f>IF(F751="Completado", IFERROR(IF(INDEX('Base Exámenes'!$D$5:$D$1000, MATCH(A751&amp;"|"&amp;J751, 'Base Exámenes'!$I$5:$I$1000, 0))="", "", INDEX('Base Exámenes'!$D$5:$D$1000, MATCH(A751&amp;"|"&amp;J751, 'Base Exámenes'!$I$5:$I$1000, 0))), ""), "")</f>
        <v/>
      </c>
      <c r="H751" s="11" t="str">
        <f>IF(F751="Completado", IFERROR(IF(INDEX('Base Exámenes'!$E$5:$E$1000, MATCH(A751&amp;"|"&amp;J751, 'Base Exámenes'!$I$5:$I$1000, 0))="", "", INDEX('Base Exámenes'!$E$5:$E$1000, MATCH(A751&amp;"|"&amp;J751, 'Base Exámenes'!$I$5:$I$1000, 0))), ""), "")</f>
        <v/>
      </c>
      <c r="I751" s="10" t="str">
        <f>IF(F751="Completado", IFERROR(IF(INDEX('Base Exámenes'!$F$5:$F$1000, MATCH(A751&amp;"|"&amp;J751, 'Base Exámenes'!$I$5:$I$1000, 0))="", "", INDEX('Base Exámenes'!$F$5:$F$1000, MATCH(A751&amp;"|"&amp;J751, 'Base Exámenes'!$I$5:$I$1000, 0))), ""), "")</f>
        <v/>
      </c>
      <c r="J751" s="6" t="str">
        <f>IF(F751="Completado", IF(COUNTIFS('Base Exámenes'!$C$5:$C$1000, A751, 'Base Exámenes'!$G$5:$G$1000, "&lt;&gt;")=0, "", _xlfn.MAXIFS('Base Exámenes'!$G$5:$G$1000, 'Base Exámenes'!$C$5:$C$1000, A751)), "")</f>
        <v/>
      </c>
      <c r="K751" s="6" t="str">
        <f>IF(F751="Completado", IFERROR(IF(INDEX('Base Exámenes'!$H$5:$H$1000, MATCH(A751&amp;"|"&amp;J751, 'Base Exámenes'!$I$5:$I$1000, 0))="", "", INDEX('Base Exámenes'!$H$5:$H$1000, MATCH(A751&amp;"|"&amp;J751, 'Base Exámenes'!$I$5:$I$1000, 0))), ""), "")</f>
        <v/>
      </c>
      <c r="L751" s="22" t="str">
        <f>IF($A751="","",COUNTIF('Base Exámenes'!$C$5:$C$1000, A751))</f>
        <v/>
      </c>
      <c r="M751" s="6" t="str">
        <f>IF($A751="","",IF(COUNTIF('Base Exámenes'!$C$5:$C$1000, A751)&gt;0, "", TRIM('Base Oficial'!H751)))</f>
        <v/>
      </c>
    </row>
    <row r="752">
      <c r="A752" s="4" t="str">
        <f>IF('Base Oficial'!A752="","",TRIM('Base Oficial'!A752))</f>
        <v/>
      </c>
      <c r="B752" s="6" t="str">
        <f>IF($A752="","",TRIM('Base Oficial'!B752))</f>
        <v/>
      </c>
      <c r="C752" s="6" t="str">
        <f>IF($A752="","",TRIM('Base Oficial'!F752))</f>
        <v/>
      </c>
      <c r="D752" s="6" t="str">
        <f>IF($A752="","",TRIM('Base Oficial'!G752))</f>
        <v/>
      </c>
      <c r="E752" s="6" t="str">
        <f>IF($A752="","",TRIM('Base Oficial'!D752))</f>
        <v/>
      </c>
      <c r="F752" s="4" t="str">
        <f>IF($A752="","",IF(COUNTIF('Base Exámenes'!$C$5:$C$1000, A752)&gt;0, "Completado", IF(M752&lt;&gt;"", M752, "Pendiente")))</f>
        <v/>
      </c>
      <c r="G752" s="11" t="str">
        <f>IF(F752="Completado", IFERROR(IF(INDEX('Base Exámenes'!$D$5:$D$1000, MATCH(A752&amp;"|"&amp;J752, 'Base Exámenes'!$I$5:$I$1000, 0))="", "", INDEX('Base Exámenes'!$D$5:$D$1000, MATCH(A752&amp;"|"&amp;J752, 'Base Exámenes'!$I$5:$I$1000, 0))), ""), "")</f>
        <v/>
      </c>
      <c r="H752" s="11" t="str">
        <f>IF(F752="Completado", IFERROR(IF(INDEX('Base Exámenes'!$E$5:$E$1000, MATCH(A752&amp;"|"&amp;J752, 'Base Exámenes'!$I$5:$I$1000, 0))="", "", INDEX('Base Exámenes'!$E$5:$E$1000, MATCH(A752&amp;"|"&amp;J752, 'Base Exámenes'!$I$5:$I$1000, 0))), ""), "")</f>
        <v/>
      </c>
      <c r="I752" s="10" t="str">
        <f>IF(F752="Completado", IFERROR(IF(INDEX('Base Exámenes'!$F$5:$F$1000, MATCH(A752&amp;"|"&amp;J752, 'Base Exámenes'!$I$5:$I$1000, 0))="", "", INDEX('Base Exámenes'!$F$5:$F$1000, MATCH(A752&amp;"|"&amp;J752, 'Base Exámenes'!$I$5:$I$1000, 0))), ""), "")</f>
        <v/>
      </c>
      <c r="J752" s="6" t="str">
        <f>IF(F752="Completado", IF(COUNTIFS('Base Exámenes'!$C$5:$C$1000, A752, 'Base Exámenes'!$G$5:$G$1000, "&lt;&gt;")=0, "", _xlfn.MAXIFS('Base Exámenes'!$G$5:$G$1000, 'Base Exámenes'!$C$5:$C$1000, A752)), "")</f>
        <v/>
      </c>
      <c r="K752" s="6" t="str">
        <f>IF(F752="Completado", IFERROR(IF(INDEX('Base Exámenes'!$H$5:$H$1000, MATCH(A752&amp;"|"&amp;J752, 'Base Exámenes'!$I$5:$I$1000, 0))="", "", INDEX('Base Exámenes'!$H$5:$H$1000, MATCH(A752&amp;"|"&amp;J752, 'Base Exámenes'!$I$5:$I$1000, 0))), ""), "")</f>
        <v/>
      </c>
      <c r="L752" s="22" t="str">
        <f>IF($A752="","",COUNTIF('Base Exámenes'!$C$5:$C$1000, A752))</f>
        <v/>
      </c>
      <c r="M752" s="6" t="str">
        <f>IF($A752="","",IF(COUNTIF('Base Exámenes'!$C$5:$C$1000, A752)&gt;0, "", TRIM('Base Oficial'!H752)))</f>
        <v/>
      </c>
    </row>
    <row r="753">
      <c r="A753" s="4" t="str">
        <f>IF('Base Oficial'!A753="","",TRIM('Base Oficial'!A753))</f>
        <v/>
      </c>
      <c r="B753" s="6" t="str">
        <f>IF($A753="","",TRIM('Base Oficial'!B753))</f>
        <v/>
      </c>
      <c r="C753" s="6" t="str">
        <f>IF($A753="","",TRIM('Base Oficial'!F753))</f>
        <v/>
      </c>
      <c r="D753" s="6" t="str">
        <f>IF($A753="","",TRIM('Base Oficial'!G753))</f>
        <v/>
      </c>
      <c r="E753" s="6" t="str">
        <f>IF($A753="","",TRIM('Base Oficial'!D753))</f>
        <v/>
      </c>
      <c r="F753" s="4" t="str">
        <f>IF($A753="","",IF(COUNTIF('Base Exámenes'!$C$5:$C$1000, A753)&gt;0, "Completado", IF(M753&lt;&gt;"", M753, "Pendiente")))</f>
        <v/>
      </c>
      <c r="G753" s="11" t="str">
        <f>IF(F753="Completado", IFERROR(IF(INDEX('Base Exámenes'!$D$5:$D$1000, MATCH(A753&amp;"|"&amp;J753, 'Base Exámenes'!$I$5:$I$1000, 0))="", "", INDEX('Base Exámenes'!$D$5:$D$1000, MATCH(A753&amp;"|"&amp;J753, 'Base Exámenes'!$I$5:$I$1000, 0))), ""), "")</f>
        <v/>
      </c>
      <c r="H753" s="11" t="str">
        <f>IF(F753="Completado", IFERROR(IF(INDEX('Base Exámenes'!$E$5:$E$1000, MATCH(A753&amp;"|"&amp;J753, 'Base Exámenes'!$I$5:$I$1000, 0))="", "", INDEX('Base Exámenes'!$E$5:$E$1000, MATCH(A753&amp;"|"&amp;J753, 'Base Exámenes'!$I$5:$I$1000, 0))), ""), "")</f>
        <v/>
      </c>
      <c r="I753" s="10" t="str">
        <f>IF(F753="Completado", IFERROR(IF(INDEX('Base Exámenes'!$F$5:$F$1000, MATCH(A753&amp;"|"&amp;J753, 'Base Exámenes'!$I$5:$I$1000, 0))="", "", INDEX('Base Exámenes'!$F$5:$F$1000, MATCH(A753&amp;"|"&amp;J753, 'Base Exámenes'!$I$5:$I$1000, 0))), ""), "")</f>
        <v/>
      </c>
      <c r="J753" s="6" t="str">
        <f>IF(F753="Completado", IF(COUNTIFS('Base Exámenes'!$C$5:$C$1000, A753, 'Base Exámenes'!$G$5:$G$1000, "&lt;&gt;")=0, "", _xlfn.MAXIFS('Base Exámenes'!$G$5:$G$1000, 'Base Exámenes'!$C$5:$C$1000, A753)), "")</f>
        <v/>
      </c>
      <c r="K753" s="6" t="str">
        <f>IF(F753="Completado", IFERROR(IF(INDEX('Base Exámenes'!$H$5:$H$1000, MATCH(A753&amp;"|"&amp;J753, 'Base Exámenes'!$I$5:$I$1000, 0))="", "", INDEX('Base Exámenes'!$H$5:$H$1000, MATCH(A753&amp;"|"&amp;J753, 'Base Exámenes'!$I$5:$I$1000, 0))), ""), "")</f>
        <v/>
      </c>
      <c r="L753" s="22" t="str">
        <f>IF($A753="","",COUNTIF('Base Exámenes'!$C$5:$C$1000, A753))</f>
        <v/>
      </c>
      <c r="M753" s="6" t="str">
        <f>IF($A753="","",IF(COUNTIF('Base Exámenes'!$C$5:$C$1000, A753)&gt;0, "", TRIM('Base Oficial'!H753)))</f>
        <v/>
      </c>
    </row>
    <row r="754">
      <c r="A754" s="4" t="str">
        <f>IF('Base Oficial'!A754="","",TRIM('Base Oficial'!A754))</f>
        <v/>
      </c>
      <c r="B754" s="6" t="str">
        <f>IF($A754="","",TRIM('Base Oficial'!B754))</f>
        <v/>
      </c>
      <c r="C754" s="6" t="str">
        <f>IF($A754="","",TRIM('Base Oficial'!F754))</f>
        <v/>
      </c>
      <c r="D754" s="6" t="str">
        <f>IF($A754="","",TRIM('Base Oficial'!G754))</f>
        <v/>
      </c>
      <c r="E754" s="6" t="str">
        <f>IF($A754="","",TRIM('Base Oficial'!D754))</f>
        <v/>
      </c>
      <c r="F754" s="4" t="str">
        <f>IF($A754="","",IF(COUNTIF('Base Exámenes'!$C$5:$C$1000, A754)&gt;0, "Completado", IF(M754&lt;&gt;"", M754, "Pendiente")))</f>
        <v/>
      </c>
      <c r="G754" s="11" t="str">
        <f>IF(F754="Completado", IFERROR(IF(INDEX('Base Exámenes'!$D$5:$D$1000, MATCH(A754&amp;"|"&amp;J754, 'Base Exámenes'!$I$5:$I$1000, 0))="", "", INDEX('Base Exámenes'!$D$5:$D$1000, MATCH(A754&amp;"|"&amp;J754, 'Base Exámenes'!$I$5:$I$1000, 0))), ""), "")</f>
        <v/>
      </c>
      <c r="H754" s="11" t="str">
        <f>IF(F754="Completado", IFERROR(IF(INDEX('Base Exámenes'!$E$5:$E$1000, MATCH(A754&amp;"|"&amp;J754, 'Base Exámenes'!$I$5:$I$1000, 0))="", "", INDEX('Base Exámenes'!$E$5:$E$1000, MATCH(A754&amp;"|"&amp;J754, 'Base Exámenes'!$I$5:$I$1000, 0))), ""), "")</f>
        <v/>
      </c>
      <c r="I754" s="10" t="str">
        <f>IF(F754="Completado", IFERROR(IF(INDEX('Base Exámenes'!$F$5:$F$1000, MATCH(A754&amp;"|"&amp;J754, 'Base Exámenes'!$I$5:$I$1000, 0))="", "", INDEX('Base Exámenes'!$F$5:$F$1000, MATCH(A754&amp;"|"&amp;J754, 'Base Exámenes'!$I$5:$I$1000, 0))), ""), "")</f>
        <v/>
      </c>
      <c r="J754" s="6" t="str">
        <f>IF(F754="Completado", IF(COUNTIFS('Base Exámenes'!$C$5:$C$1000, A754, 'Base Exámenes'!$G$5:$G$1000, "&lt;&gt;")=0, "", _xlfn.MAXIFS('Base Exámenes'!$G$5:$G$1000, 'Base Exámenes'!$C$5:$C$1000, A754)), "")</f>
        <v/>
      </c>
      <c r="K754" s="6" t="str">
        <f>IF(F754="Completado", IFERROR(IF(INDEX('Base Exámenes'!$H$5:$H$1000, MATCH(A754&amp;"|"&amp;J754, 'Base Exámenes'!$I$5:$I$1000, 0))="", "", INDEX('Base Exámenes'!$H$5:$H$1000, MATCH(A754&amp;"|"&amp;J754, 'Base Exámenes'!$I$5:$I$1000, 0))), ""), "")</f>
        <v/>
      </c>
      <c r="L754" s="22" t="str">
        <f>IF($A754="","",COUNTIF('Base Exámenes'!$C$5:$C$1000, A754))</f>
        <v/>
      </c>
      <c r="M754" s="6" t="str">
        <f>IF($A754="","",IF(COUNTIF('Base Exámenes'!$C$5:$C$1000, A754)&gt;0, "", TRIM('Base Oficial'!H754)))</f>
        <v/>
      </c>
    </row>
    <row r="755">
      <c r="A755" s="4" t="str">
        <f>IF('Base Oficial'!A755="","",TRIM('Base Oficial'!A755))</f>
        <v/>
      </c>
      <c r="B755" s="6" t="str">
        <f>IF($A755="","",TRIM('Base Oficial'!B755))</f>
        <v/>
      </c>
      <c r="C755" s="6" t="str">
        <f>IF($A755="","",TRIM('Base Oficial'!F755))</f>
        <v/>
      </c>
      <c r="D755" s="6" t="str">
        <f>IF($A755="","",TRIM('Base Oficial'!G755))</f>
        <v/>
      </c>
      <c r="E755" s="6" t="str">
        <f>IF($A755="","",TRIM('Base Oficial'!D755))</f>
        <v/>
      </c>
      <c r="F755" s="4" t="str">
        <f>IF($A755="","",IF(COUNTIF('Base Exámenes'!$C$5:$C$1000, A755)&gt;0, "Completado", IF(M755&lt;&gt;"", M755, "Pendiente")))</f>
        <v/>
      </c>
      <c r="G755" s="11" t="str">
        <f>IF(F755="Completado", IFERROR(IF(INDEX('Base Exámenes'!$D$5:$D$1000, MATCH(A755&amp;"|"&amp;J755, 'Base Exámenes'!$I$5:$I$1000, 0))="", "", INDEX('Base Exámenes'!$D$5:$D$1000, MATCH(A755&amp;"|"&amp;J755, 'Base Exámenes'!$I$5:$I$1000, 0))), ""), "")</f>
        <v/>
      </c>
      <c r="H755" s="11" t="str">
        <f>IF(F755="Completado", IFERROR(IF(INDEX('Base Exámenes'!$E$5:$E$1000, MATCH(A755&amp;"|"&amp;J755, 'Base Exámenes'!$I$5:$I$1000, 0))="", "", INDEX('Base Exámenes'!$E$5:$E$1000, MATCH(A755&amp;"|"&amp;J755, 'Base Exámenes'!$I$5:$I$1000, 0))), ""), "")</f>
        <v/>
      </c>
      <c r="I755" s="10" t="str">
        <f>IF(F755="Completado", IFERROR(IF(INDEX('Base Exámenes'!$F$5:$F$1000, MATCH(A755&amp;"|"&amp;J755, 'Base Exámenes'!$I$5:$I$1000, 0))="", "", INDEX('Base Exámenes'!$F$5:$F$1000, MATCH(A755&amp;"|"&amp;J755, 'Base Exámenes'!$I$5:$I$1000, 0))), ""), "")</f>
        <v/>
      </c>
      <c r="J755" s="6" t="str">
        <f>IF(F755="Completado", IF(COUNTIFS('Base Exámenes'!$C$5:$C$1000, A755, 'Base Exámenes'!$G$5:$G$1000, "&lt;&gt;")=0, "", _xlfn.MAXIFS('Base Exámenes'!$G$5:$G$1000, 'Base Exámenes'!$C$5:$C$1000, A755)), "")</f>
        <v/>
      </c>
      <c r="K755" s="6" t="str">
        <f>IF(F755="Completado", IFERROR(IF(INDEX('Base Exámenes'!$H$5:$H$1000, MATCH(A755&amp;"|"&amp;J755, 'Base Exámenes'!$I$5:$I$1000, 0))="", "", INDEX('Base Exámenes'!$H$5:$H$1000, MATCH(A755&amp;"|"&amp;J755, 'Base Exámenes'!$I$5:$I$1000, 0))), ""), "")</f>
        <v/>
      </c>
      <c r="L755" s="22" t="str">
        <f>IF($A755="","",COUNTIF('Base Exámenes'!$C$5:$C$1000, A755))</f>
        <v/>
      </c>
      <c r="M755" s="6" t="str">
        <f>IF($A755="","",IF(COUNTIF('Base Exámenes'!$C$5:$C$1000, A755)&gt;0, "", TRIM('Base Oficial'!H755)))</f>
        <v/>
      </c>
    </row>
    <row r="756">
      <c r="A756" s="4" t="str">
        <f>IF('Base Oficial'!A756="","",TRIM('Base Oficial'!A756))</f>
        <v/>
      </c>
      <c r="B756" s="6" t="str">
        <f>IF($A756="","",TRIM('Base Oficial'!B756))</f>
        <v/>
      </c>
      <c r="C756" s="6" t="str">
        <f>IF($A756="","",TRIM('Base Oficial'!F756))</f>
        <v/>
      </c>
      <c r="D756" s="6" t="str">
        <f>IF($A756="","",TRIM('Base Oficial'!G756))</f>
        <v/>
      </c>
      <c r="E756" s="6" t="str">
        <f>IF($A756="","",TRIM('Base Oficial'!D756))</f>
        <v/>
      </c>
      <c r="F756" s="4" t="str">
        <f>IF($A756="","",IF(COUNTIF('Base Exámenes'!$C$5:$C$1000, A756)&gt;0, "Completado", IF(M756&lt;&gt;"", M756, "Pendiente")))</f>
        <v/>
      </c>
      <c r="G756" s="11" t="str">
        <f>IF(F756="Completado", IFERROR(IF(INDEX('Base Exámenes'!$D$5:$D$1000, MATCH(A756&amp;"|"&amp;J756, 'Base Exámenes'!$I$5:$I$1000, 0))="", "", INDEX('Base Exámenes'!$D$5:$D$1000, MATCH(A756&amp;"|"&amp;J756, 'Base Exámenes'!$I$5:$I$1000, 0))), ""), "")</f>
        <v/>
      </c>
      <c r="H756" s="11" t="str">
        <f>IF(F756="Completado", IFERROR(IF(INDEX('Base Exámenes'!$E$5:$E$1000, MATCH(A756&amp;"|"&amp;J756, 'Base Exámenes'!$I$5:$I$1000, 0))="", "", INDEX('Base Exámenes'!$E$5:$E$1000, MATCH(A756&amp;"|"&amp;J756, 'Base Exámenes'!$I$5:$I$1000, 0))), ""), "")</f>
        <v/>
      </c>
      <c r="I756" s="10" t="str">
        <f>IF(F756="Completado", IFERROR(IF(INDEX('Base Exámenes'!$F$5:$F$1000, MATCH(A756&amp;"|"&amp;J756, 'Base Exámenes'!$I$5:$I$1000, 0))="", "", INDEX('Base Exámenes'!$F$5:$F$1000, MATCH(A756&amp;"|"&amp;J756, 'Base Exámenes'!$I$5:$I$1000, 0))), ""), "")</f>
        <v/>
      </c>
      <c r="J756" s="6" t="str">
        <f>IF(F756="Completado", IF(COUNTIFS('Base Exámenes'!$C$5:$C$1000, A756, 'Base Exámenes'!$G$5:$G$1000, "&lt;&gt;")=0, "", _xlfn.MAXIFS('Base Exámenes'!$G$5:$G$1000, 'Base Exámenes'!$C$5:$C$1000, A756)), "")</f>
        <v/>
      </c>
      <c r="K756" s="6" t="str">
        <f>IF(F756="Completado", IFERROR(IF(INDEX('Base Exámenes'!$H$5:$H$1000, MATCH(A756&amp;"|"&amp;J756, 'Base Exámenes'!$I$5:$I$1000, 0))="", "", INDEX('Base Exámenes'!$H$5:$H$1000, MATCH(A756&amp;"|"&amp;J756, 'Base Exámenes'!$I$5:$I$1000, 0))), ""), "")</f>
        <v/>
      </c>
      <c r="L756" s="22" t="str">
        <f>IF($A756="","",COUNTIF('Base Exámenes'!$C$5:$C$1000, A756))</f>
        <v/>
      </c>
      <c r="M756" s="6" t="str">
        <f>IF($A756="","",IF(COUNTIF('Base Exámenes'!$C$5:$C$1000, A756)&gt;0, "", TRIM('Base Oficial'!H756)))</f>
        <v/>
      </c>
    </row>
    <row r="757">
      <c r="A757" s="4" t="str">
        <f>IF('Base Oficial'!A757="","",TRIM('Base Oficial'!A757))</f>
        <v/>
      </c>
      <c r="B757" s="6" t="str">
        <f>IF($A757="","",TRIM('Base Oficial'!B757))</f>
        <v/>
      </c>
      <c r="C757" s="6" t="str">
        <f>IF($A757="","",TRIM('Base Oficial'!F757))</f>
        <v/>
      </c>
      <c r="D757" s="6" t="str">
        <f>IF($A757="","",TRIM('Base Oficial'!G757))</f>
        <v/>
      </c>
      <c r="E757" s="6" t="str">
        <f>IF($A757="","",TRIM('Base Oficial'!D757))</f>
        <v/>
      </c>
      <c r="F757" s="4" t="str">
        <f>IF($A757="","",IF(COUNTIF('Base Exámenes'!$C$5:$C$1000, A757)&gt;0, "Completado", IF(M757&lt;&gt;"", M757, "Pendiente")))</f>
        <v/>
      </c>
      <c r="G757" s="11" t="str">
        <f>IF(F757="Completado", IFERROR(IF(INDEX('Base Exámenes'!$D$5:$D$1000, MATCH(A757&amp;"|"&amp;J757, 'Base Exámenes'!$I$5:$I$1000, 0))="", "", INDEX('Base Exámenes'!$D$5:$D$1000, MATCH(A757&amp;"|"&amp;J757, 'Base Exámenes'!$I$5:$I$1000, 0))), ""), "")</f>
        <v/>
      </c>
      <c r="H757" s="11" t="str">
        <f>IF(F757="Completado", IFERROR(IF(INDEX('Base Exámenes'!$E$5:$E$1000, MATCH(A757&amp;"|"&amp;J757, 'Base Exámenes'!$I$5:$I$1000, 0))="", "", INDEX('Base Exámenes'!$E$5:$E$1000, MATCH(A757&amp;"|"&amp;J757, 'Base Exámenes'!$I$5:$I$1000, 0))), ""), "")</f>
        <v/>
      </c>
      <c r="I757" s="10" t="str">
        <f>IF(F757="Completado", IFERROR(IF(INDEX('Base Exámenes'!$F$5:$F$1000, MATCH(A757&amp;"|"&amp;J757, 'Base Exámenes'!$I$5:$I$1000, 0))="", "", INDEX('Base Exámenes'!$F$5:$F$1000, MATCH(A757&amp;"|"&amp;J757, 'Base Exámenes'!$I$5:$I$1000, 0))), ""), "")</f>
        <v/>
      </c>
      <c r="J757" s="6" t="str">
        <f>IF(F757="Completado", IF(COUNTIFS('Base Exámenes'!$C$5:$C$1000, A757, 'Base Exámenes'!$G$5:$G$1000, "&lt;&gt;")=0, "", _xlfn.MAXIFS('Base Exámenes'!$G$5:$G$1000, 'Base Exámenes'!$C$5:$C$1000, A757)), "")</f>
        <v/>
      </c>
      <c r="K757" s="6" t="str">
        <f>IF(F757="Completado", IFERROR(IF(INDEX('Base Exámenes'!$H$5:$H$1000, MATCH(A757&amp;"|"&amp;J757, 'Base Exámenes'!$I$5:$I$1000, 0))="", "", INDEX('Base Exámenes'!$H$5:$H$1000, MATCH(A757&amp;"|"&amp;J757, 'Base Exámenes'!$I$5:$I$1000, 0))), ""), "")</f>
        <v/>
      </c>
      <c r="L757" s="22" t="str">
        <f>IF($A757="","",COUNTIF('Base Exámenes'!$C$5:$C$1000, A757))</f>
        <v/>
      </c>
      <c r="M757" s="6" t="str">
        <f>IF($A757="","",IF(COUNTIF('Base Exámenes'!$C$5:$C$1000, A757)&gt;0, "", TRIM('Base Oficial'!H757)))</f>
        <v/>
      </c>
    </row>
    <row r="758">
      <c r="A758" s="4" t="str">
        <f>IF('Base Oficial'!A758="","",TRIM('Base Oficial'!A758))</f>
        <v/>
      </c>
      <c r="B758" s="6" t="str">
        <f>IF($A758="","",TRIM('Base Oficial'!B758))</f>
        <v/>
      </c>
      <c r="C758" s="6" t="str">
        <f>IF($A758="","",TRIM('Base Oficial'!F758))</f>
        <v/>
      </c>
      <c r="D758" s="6" t="str">
        <f>IF($A758="","",TRIM('Base Oficial'!G758))</f>
        <v/>
      </c>
      <c r="E758" s="6" t="str">
        <f>IF($A758="","",TRIM('Base Oficial'!D758))</f>
        <v/>
      </c>
      <c r="F758" s="4" t="str">
        <f>IF($A758="","",IF(COUNTIF('Base Exámenes'!$C$5:$C$1000, A758)&gt;0, "Completado", IF(M758&lt;&gt;"", M758, "Pendiente")))</f>
        <v/>
      </c>
      <c r="G758" s="11" t="str">
        <f>IF(F758="Completado", IFERROR(IF(INDEX('Base Exámenes'!$D$5:$D$1000, MATCH(A758&amp;"|"&amp;J758, 'Base Exámenes'!$I$5:$I$1000, 0))="", "", INDEX('Base Exámenes'!$D$5:$D$1000, MATCH(A758&amp;"|"&amp;J758, 'Base Exámenes'!$I$5:$I$1000, 0))), ""), "")</f>
        <v/>
      </c>
      <c r="H758" s="11" t="str">
        <f>IF(F758="Completado", IFERROR(IF(INDEX('Base Exámenes'!$E$5:$E$1000, MATCH(A758&amp;"|"&amp;J758, 'Base Exámenes'!$I$5:$I$1000, 0))="", "", INDEX('Base Exámenes'!$E$5:$E$1000, MATCH(A758&amp;"|"&amp;J758, 'Base Exámenes'!$I$5:$I$1000, 0))), ""), "")</f>
        <v/>
      </c>
      <c r="I758" s="10" t="str">
        <f>IF(F758="Completado", IFERROR(IF(INDEX('Base Exámenes'!$F$5:$F$1000, MATCH(A758&amp;"|"&amp;J758, 'Base Exámenes'!$I$5:$I$1000, 0))="", "", INDEX('Base Exámenes'!$F$5:$F$1000, MATCH(A758&amp;"|"&amp;J758, 'Base Exámenes'!$I$5:$I$1000, 0))), ""), "")</f>
        <v/>
      </c>
      <c r="J758" s="6" t="str">
        <f>IF(F758="Completado", IF(COUNTIFS('Base Exámenes'!$C$5:$C$1000, A758, 'Base Exámenes'!$G$5:$G$1000, "&lt;&gt;")=0, "", _xlfn.MAXIFS('Base Exámenes'!$G$5:$G$1000, 'Base Exámenes'!$C$5:$C$1000, A758)), "")</f>
        <v/>
      </c>
      <c r="K758" s="6" t="str">
        <f>IF(F758="Completado", IFERROR(IF(INDEX('Base Exámenes'!$H$5:$H$1000, MATCH(A758&amp;"|"&amp;J758, 'Base Exámenes'!$I$5:$I$1000, 0))="", "", INDEX('Base Exámenes'!$H$5:$H$1000, MATCH(A758&amp;"|"&amp;J758, 'Base Exámenes'!$I$5:$I$1000, 0))), ""), "")</f>
        <v/>
      </c>
      <c r="L758" s="22" t="str">
        <f>IF($A758="","",COUNTIF('Base Exámenes'!$C$5:$C$1000, A758))</f>
        <v/>
      </c>
      <c r="M758" s="6" t="str">
        <f>IF($A758="","",IF(COUNTIF('Base Exámenes'!$C$5:$C$1000, A758)&gt;0, "", TRIM('Base Oficial'!H758)))</f>
        <v/>
      </c>
    </row>
    <row r="759">
      <c r="A759" s="4" t="str">
        <f>IF('Base Oficial'!A759="","",TRIM('Base Oficial'!A759))</f>
        <v/>
      </c>
      <c r="B759" s="6" t="str">
        <f>IF($A759="","",TRIM('Base Oficial'!B759))</f>
        <v/>
      </c>
      <c r="C759" s="6" t="str">
        <f>IF($A759="","",TRIM('Base Oficial'!F759))</f>
        <v/>
      </c>
      <c r="D759" s="6" t="str">
        <f>IF($A759="","",TRIM('Base Oficial'!G759))</f>
        <v/>
      </c>
      <c r="E759" s="6" t="str">
        <f>IF($A759="","",TRIM('Base Oficial'!D759))</f>
        <v/>
      </c>
      <c r="F759" s="4" t="str">
        <f>IF($A759="","",IF(COUNTIF('Base Exámenes'!$C$5:$C$1000, A759)&gt;0, "Completado", IF(M759&lt;&gt;"", M759, "Pendiente")))</f>
        <v/>
      </c>
      <c r="G759" s="11" t="str">
        <f>IF(F759="Completado", IFERROR(IF(INDEX('Base Exámenes'!$D$5:$D$1000, MATCH(A759&amp;"|"&amp;J759, 'Base Exámenes'!$I$5:$I$1000, 0))="", "", INDEX('Base Exámenes'!$D$5:$D$1000, MATCH(A759&amp;"|"&amp;J759, 'Base Exámenes'!$I$5:$I$1000, 0))), ""), "")</f>
        <v/>
      </c>
      <c r="H759" s="11" t="str">
        <f>IF(F759="Completado", IFERROR(IF(INDEX('Base Exámenes'!$E$5:$E$1000, MATCH(A759&amp;"|"&amp;J759, 'Base Exámenes'!$I$5:$I$1000, 0))="", "", INDEX('Base Exámenes'!$E$5:$E$1000, MATCH(A759&amp;"|"&amp;J759, 'Base Exámenes'!$I$5:$I$1000, 0))), ""), "")</f>
        <v/>
      </c>
      <c r="I759" s="10" t="str">
        <f>IF(F759="Completado", IFERROR(IF(INDEX('Base Exámenes'!$F$5:$F$1000, MATCH(A759&amp;"|"&amp;J759, 'Base Exámenes'!$I$5:$I$1000, 0))="", "", INDEX('Base Exámenes'!$F$5:$F$1000, MATCH(A759&amp;"|"&amp;J759, 'Base Exámenes'!$I$5:$I$1000, 0))), ""), "")</f>
        <v/>
      </c>
      <c r="J759" s="6" t="str">
        <f>IF(F759="Completado", IF(COUNTIFS('Base Exámenes'!$C$5:$C$1000, A759, 'Base Exámenes'!$G$5:$G$1000, "&lt;&gt;")=0, "", _xlfn.MAXIFS('Base Exámenes'!$G$5:$G$1000, 'Base Exámenes'!$C$5:$C$1000, A759)), "")</f>
        <v/>
      </c>
      <c r="K759" s="6" t="str">
        <f>IF(F759="Completado", IFERROR(IF(INDEX('Base Exámenes'!$H$5:$H$1000, MATCH(A759&amp;"|"&amp;J759, 'Base Exámenes'!$I$5:$I$1000, 0))="", "", INDEX('Base Exámenes'!$H$5:$H$1000, MATCH(A759&amp;"|"&amp;J759, 'Base Exámenes'!$I$5:$I$1000, 0))), ""), "")</f>
        <v/>
      </c>
      <c r="L759" s="22" t="str">
        <f>IF($A759="","",COUNTIF('Base Exámenes'!$C$5:$C$1000, A759))</f>
        <v/>
      </c>
      <c r="M759" s="6" t="str">
        <f>IF($A759="","",IF(COUNTIF('Base Exámenes'!$C$5:$C$1000, A759)&gt;0, "", TRIM('Base Oficial'!H759)))</f>
        <v/>
      </c>
    </row>
    <row r="760">
      <c r="A760" s="4" t="str">
        <f>IF('Base Oficial'!A760="","",TRIM('Base Oficial'!A760))</f>
        <v/>
      </c>
      <c r="B760" s="6" t="str">
        <f>IF($A760="","",TRIM('Base Oficial'!B760))</f>
        <v/>
      </c>
      <c r="C760" s="6" t="str">
        <f>IF($A760="","",TRIM('Base Oficial'!F760))</f>
        <v/>
      </c>
      <c r="D760" s="6" t="str">
        <f>IF($A760="","",TRIM('Base Oficial'!G760))</f>
        <v/>
      </c>
      <c r="E760" s="6" t="str">
        <f>IF($A760="","",TRIM('Base Oficial'!D760))</f>
        <v/>
      </c>
      <c r="F760" s="4" t="str">
        <f>IF($A760="","",IF(COUNTIF('Base Exámenes'!$C$5:$C$1000, A760)&gt;0, "Completado", IF(M760&lt;&gt;"", M760, "Pendiente")))</f>
        <v/>
      </c>
      <c r="G760" s="11" t="str">
        <f>IF(F760="Completado", IFERROR(IF(INDEX('Base Exámenes'!$D$5:$D$1000, MATCH(A760&amp;"|"&amp;J760, 'Base Exámenes'!$I$5:$I$1000, 0))="", "", INDEX('Base Exámenes'!$D$5:$D$1000, MATCH(A760&amp;"|"&amp;J760, 'Base Exámenes'!$I$5:$I$1000, 0))), ""), "")</f>
        <v/>
      </c>
      <c r="H760" s="11" t="str">
        <f>IF(F760="Completado", IFERROR(IF(INDEX('Base Exámenes'!$E$5:$E$1000, MATCH(A760&amp;"|"&amp;J760, 'Base Exámenes'!$I$5:$I$1000, 0))="", "", INDEX('Base Exámenes'!$E$5:$E$1000, MATCH(A760&amp;"|"&amp;J760, 'Base Exámenes'!$I$5:$I$1000, 0))), ""), "")</f>
        <v/>
      </c>
      <c r="I760" s="10" t="str">
        <f>IF(F760="Completado", IFERROR(IF(INDEX('Base Exámenes'!$F$5:$F$1000, MATCH(A760&amp;"|"&amp;J760, 'Base Exámenes'!$I$5:$I$1000, 0))="", "", INDEX('Base Exámenes'!$F$5:$F$1000, MATCH(A760&amp;"|"&amp;J760, 'Base Exámenes'!$I$5:$I$1000, 0))), ""), "")</f>
        <v/>
      </c>
      <c r="J760" s="6" t="str">
        <f>IF(F760="Completado", IF(COUNTIFS('Base Exámenes'!$C$5:$C$1000, A760, 'Base Exámenes'!$G$5:$G$1000, "&lt;&gt;")=0, "", _xlfn.MAXIFS('Base Exámenes'!$G$5:$G$1000, 'Base Exámenes'!$C$5:$C$1000, A760)), "")</f>
        <v/>
      </c>
      <c r="K760" s="6" t="str">
        <f>IF(F760="Completado", IFERROR(IF(INDEX('Base Exámenes'!$H$5:$H$1000, MATCH(A760&amp;"|"&amp;J760, 'Base Exámenes'!$I$5:$I$1000, 0))="", "", INDEX('Base Exámenes'!$H$5:$H$1000, MATCH(A760&amp;"|"&amp;J760, 'Base Exámenes'!$I$5:$I$1000, 0))), ""), "")</f>
        <v/>
      </c>
      <c r="L760" s="22" t="str">
        <f>IF($A760="","",COUNTIF('Base Exámenes'!$C$5:$C$1000, A760))</f>
        <v/>
      </c>
      <c r="M760" s="6" t="str">
        <f>IF($A760="","",IF(COUNTIF('Base Exámenes'!$C$5:$C$1000, A760)&gt;0, "", TRIM('Base Oficial'!H760)))</f>
        <v/>
      </c>
    </row>
    <row r="761">
      <c r="A761" s="4" t="str">
        <f>IF('Base Oficial'!A761="","",TRIM('Base Oficial'!A761))</f>
        <v/>
      </c>
      <c r="B761" s="6" t="str">
        <f>IF($A761="","",TRIM('Base Oficial'!B761))</f>
        <v/>
      </c>
      <c r="C761" s="6" t="str">
        <f>IF($A761="","",TRIM('Base Oficial'!F761))</f>
        <v/>
      </c>
      <c r="D761" s="6" t="str">
        <f>IF($A761="","",TRIM('Base Oficial'!G761))</f>
        <v/>
      </c>
      <c r="E761" s="6" t="str">
        <f>IF($A761="","",TRIM('Base Oficial'!D761))</f>
        <v/>
      </c>
      <c r="F761" s="4" t="str">
        <f>IF($A761="","",IF(COUNTIF('Base Exámenes'!$C$5:$C$1000, A761)&gt;0, "Completado", IF(M761&lt;&gt;"", M761, "Pendiente")))</f>
        <v/>
      </c>
      <c r="G761" s="11" t="str">
        <f>IF(F761="Completado", IFERROR(IF(INDEX('Base Exámenes'!$D$5:$D$1000, MATCH(A761&amp;"|"&amp;J761, 'Base Exámenes'!$I$5:$I$1000, 0))="", "", INDEX('Base Exámenes'!$D$5:$D$1000, MATCH(A761&amp;"|"&amp;J761, 'Base Exámenes'!$I$5:$I$1000, 0))), ""), "")</f>
        <v/>
      </c>
      <c r="H761" s="11" t="str">
        <f>IF(F761="Completado", IFERROR(IF(INDEX('Base Exámenes'!$E$5:$E$1000, MATCH(A761&amp;"|"&amp;J761, 'Base Exámenes'!$I$5:$I$1000, 0))="", "", INDEX('Base Exámenes'!$E$5:$E$1000, MATCH(A761&amp;"|"&amp;J761, 'Base Exámenes'!$I$5:$I$1000, 0))), ""), "")</f>
        <v/>
      </c>
      <c r="I761" s="10" t="str">
        <f>IF(F761="Completado", IFERROR(IF(INDEX('Base Exámenes'!$F$5:$F$1000, MATCH(A761&amp;"|"&amp;J761, 'Base Exámenes'!$I$5:$I$1000, 0))="", "", INDEX('Base Exámenes'!$F$5:$F$1000, MATCH(A761&amp;"|"&amp;J761, 'Base Exámenes'!$I$5:$I$1000, 0))), ""), "")</f>
        <v/>
      </c>
      <c r="J761" s="6" t="str">
        <f>IF(F761="Completado", IF(COUNTIFS('Base Exámenes'!$C$5:$C$1000, A761, 'Base Exámenes'!$G$5:$G$1000, "&lt;&gt;")=0, "", _xlfn.MAXIFS('Base Exámenes'!$G$5:$G$1000, 'Base Exámenes'!$C$5:$C$1000, A761)), "")</f>
        <v/>
      </c>
      <c r="K761" s="6" t="str">
        <f>IF(F761="Completado", IFERROR(IF(INDEX('Base Exámenes'!$H$5:$H$1000, MATCH(A761&amp;"|"&amp;J761, 'Base Exámenes'!$I$5:$I$1000, 0))="", "", INDEX('Base Exámenes'!$H$5:$H$1000, MATCH(A761&amp;"|"&amp;J761, 'Base Exámenes'!$I$5:$I$1000, 0))), ""), "")</f>
        <v/>
      </c>
      <c r="L761" s="22" t="str">
        <f>IF($A761="","",COUNTIF('Base Exámenes'!$C$5:$C$1000, A761))</f>
        <v/>
      </c>
      <c r="M761" s="6" t="str">
        <f>IF($A761="","",IF(COUNTIF('Base Exámenes'!$C$5:$C$1000, A761)&gt;0, "", TRIM('Base Oficial'!H761)))</f>
        <v/>
      </c>
    </row>
    <row r="762">
      <c r="A762" s="4" t="str">
        <f>IF('Base Oficial'!A762="","",TRIM('Base Oficial'!A762))</f>
        <v/>
      </c>
      <c r="B762" s="6" t="str">
        <f>IF($A762="","",TRIM('Base Oficial'!B762))</f>
        <v/>
      </c>
      <c r="C762" s="6" t="str">
        <f>IF($A762="","",TRIM('Base Oficial'!F762))</f>
        <v/>
      </c>
      <c r="D762" s="6" t="str">
        <f>IF($A762="","",TRIM('Base Oficial'!G762))</f>
        <v/>
      </c>
      <c r="E762" s="6" t="str">
        <f>IF($A762="","",TRIM('Base Oficial'!D762))</f>
        <v/>
      </c>
      <c r="F762" s="4" t="str">
        <f>IF($A762="","",IF(COUNTIF('Base Exámenes'!$C$5:$C$1000, A762)&gt;0, "Completado", IF(M762&lt;&gt;"", M762, "Pendiente")))</f>
        <v/>
      </c>
      <c r="G762" s="11" t="str">
        <f>IF(F762="Completado", IFERROR(IF(INDEX('Base Exámenes'!$D$5:$D$1000, MATCH(A762&amp;"|"&amp;J762, 'Base Exámenes'!$I$5:$I$1000, 0))="", "", INDEX('Base Exámenes'!$D$5:$D$1000, MATCH(A762&amp;"|"&amp;J762, 'Base Exámenes'!$I$5:$I$1000, 0))), ""), "")</f>
        <v/>
      </c>
      <c r="H762" s="11" t="str">
        <f>IF(F762="Completado", IFERROR(IF(INDEX('Base Exámenes'!$E$5:$E$1000, MATCH(A762&amp;"|"&amp;J762, 'Base Exámenes'!$I$5:$I$1000, 0))="", "", INDEX('Base Exámenes'!$E$5:$E$1000, MATCH(A762&amp;"|"&amp;J762, 'Base Exámenes'!$I$5:$I$1000, 0))), ""), "")</f>
        <v/>
      </c>
      <c r="I762" s="10" t="str">
        <f>IF(F762="Completado", IFERROR(IF(INDEX('Base Exámenes'!$F$5:$F$1000, MATCH(A762&amp;"|"&amp;J762, 'Base Exámenes'!$I$5:$I$1000, 0))="", "", INDEX('Base Exámenes'!$F$5:$F$1000, MATCH(A762&amp;"|"&amp;J762, 'Base Exámenes'!$I$5:$I$1000, 0))), ""), "")</f>
        <v/>
      </c>
      <c r="J762" s="6" t="str">
        <f>IF(F762="Completado", IF(COUNTIFS('Base Exámenes'!$C$5:$C$1000, A762, 'Base Exámenes'!$G$5:$G$1000, "&lt;&gt;")=0, "", _xlfn.MAXIFS('Base Exámenes'!$G$5:$G$1000, 'Base Exámenes'!$C$5:$C$1000, A762)), "")</f>
        <v/>
      </c>
      <c r="K762" s="6" t="str">
        <f>IF(F762="Completado", IFERROR(IF(INDEX('Base Exámenes'!$H$5:$H$1000, MATCH(A762&amp;"|"&amp;J762, 'Base Exámenes'!$I$5:$I$1000, 0))="", "", INDEX('Base Exámenes'!$H$5:$H$1000, MATCH(A762&amp;"|"&amp;J762, 'Base Exámenes'!$I$5:$I$1000, 0))), ""), "")</f>
        <v/>
      </c>
      <c r="L762" s="22" t="str">
        <f>IF($A762="","",COUNTIF('Base Exámenes'!$C$5:$C$1000, A762))</f>
        <v/>
      </c>
      <c r="M762" s="6" t="str">
        <f>IF($A762="","",IF(COUNTIF('Base Exámenes'!$C$5:$C$1000, A762)&gt;0, "", TRIM('Base Oficial'!H762)))</f>
        <v/>
      </c>
    </row>
    <row r="763">
      <c r="A763" s="4" t="str">
        <f>IF('Base Oficial'!A763="","",TRIM('Base Oficial'!A763))</f>
        <v/>
      </c>
      <c r="B763" s="6" t="str">
        <f>IF($A763="","",TRIM('Base Oficial'!B763))</f>
        <v/>
      </c>
      <c r="C763" s="6" t="str">
        <f>IF($A763="","",TRIM('Base Oficial'!F763))</f>
        <v/>
      </c>
      <c r="D763" s="6" t="str">
        <f>IF($A763="","",TRIM('Base Oficial'!G763))</f>
        <v/>
      </c>
      <c r="E763" s="6" t="str">
        <f>IF($A763="","",TRIM('Base Oficial'!D763))</f>
        <v/>
      </c>
      <c r="F763" s="4" t="str">
        <f>IF($A763="","",IF(COUNTIF('Base Exámenes'!$C$5:$C$1000, A763)&gt;0, "Completado", IF(M763&lt;&gt;"", M763, "Pendiente")))</f>
        <v/>
      </c>
      <c r="G763" s="11" t="str">
        <f>IF(F763="Completado", IFERROR(IF(INDEX('Base Exámenes'!$D$5:$D$1000, MATCH(A763&amp;"|"&amp;J763, 'Base Exámenes'!$I$5:$I$1000, 0))="", "", INDEX('Base Exámenes'!$D$5:$D$1000, MATCH(A763&amp;"|"&amp;J763, 'Base Exámenes'!$I$5:$I$1000, 0))), ""), "")</f>
        <v/>
      </c>
      <c r="H763" s="11" t="str">
        <f>IF(F763="Completado", IFERROR(IF(INDEX('Base Exámenes'!$E$5:$E$1000, MATCH(A763&amp;"|"&amp;J763, 'Base Exámenes'!$I$5:$I$1000, 0))="", "", INDEX('Base Exámenes'!$E$5:$E$1000, MATCH(A763&amp;"|"&amp;J763, 'Base Exámenes'!$I$5:$I$1000, 0))), ""), "")</f>
        <v/>
      </c>
      <c r="I763" s="10" t="str">
        <f>IF(F763="Completado", IFERROR(IF(INDEX('Base Exámenes'!$F$5:$F$1000, MATCH(A763&amp;"|"&amp;J763, 'Base Exámenes'!$I$5:$I$1000, 0))="", "", INDEX('Base Exámenes'!$F$5:$F$1000, MATCH(A763&amp;"|"&amp;J763, 'Base Exámenes'!$I$5:$I$1000, 0))), ""), "")</f>
        <v/>
      </c>
      <c r="J763" s="6" t="str">
        <f>IF(F763="Completado", IF(COUNTIFS('Base Exámenes'!$C$5:$C$1000, A763, 'Base Exámenes'!$G$5:$G$1000, "&lt;&gt;")=0, "", _xlfn.MAXIFS('Base Exámenes'!$G$5:$G$1000, 'Base Exámenes'!$C$5:$C$1000, A763)), "")</f>
        <v/>
      </c>
      <c r="K763" s="6" t="str">
        <f>IF(F763="Completado", IFERROR(IF(INDEX('Base Exámenes'!$H$5:$H$1000, MATCH(A763&amp;"|"&amp;J763, 'Base Exámenes'!$I$5:$I$1000, 0))="", "", INDEX('Base Exámenes'!$H$5:$H$1000, MATCH(A763&amp;"|"&amp;J763, 'Base Exámenes'!$I$5:$I$1000, 0))), ""), "")</f>
        <v/>
      </c>
      <c r="L763" s="22" t="str">
        <f>IF($A763="","",COUNTIF('Base Exámenes'!$C$5:$C$1000, A763))</f>
        <v/>
      </c>
      <c r="M763" s="6" t="str">
        <f>IF($A763="","",IF(COUNTIF('Base Exámenes'!$C$5:$C$1000, A763)&gt;0, "", TRIM('Base Oficial'!H763)))</f>
        <v/>
      </c>
    </row>
    <row r="764">
      <c r="A764" s="4" t="str">
        <f>IF('Base Oficial'!A764="","",TRIM('Base Oficial'!A764))</f>
        <v/>
      </c>
      <c r="B764" s="6" t="str">
        <f>IF($A764="","",TRIM('Base Oficial'!B764))</f>
        <v/>
      </c>
      <c r="C764" s="6" t="str">
        <f>IF($A764="","",TRIM('Base Oficial'!F764))</f>
        <v/>
      </c>
      <c r="D764" s="6" t="str">
        <f>IF($A764="","",TRIM('Base Oficial'!G764))</f>
        <v/>
      </c>
      <c r="E764" s="6" t="str">
        <f>IF($A764="","",TRIM('Base Oficial'!D764))</f>
        <v/>
      </c>
      <c r="F764" s="4" t="str">
        <f>IF($A764="","",IF(COUNTIF('Base Exámenes'!$C$5:$C$1000, A764)&gt;0, "Completado", IF(M764&lt;&gt;"", M764, "Pendiente")))</f>
        <v/>
      </c>
      <c r="G764" s="11" t="str">
        <f>IF(F764="Completado", IFERROR(IF(INDEX('Base Exámenes'!$D$5:$D$1000, MATCH(A764&amp;"|"&amp;J764, 'Base Exámenes'!$I$5:$I$1000, 0))="", "", INDEX('Base Exámenes'!$D$5:$D$1000, MATCH(A764&amp;"|"&amp;J764, 'Base Exámenes'!$I$5:$I$1000, 0))), ""), "")</f>
        <v/>
      </c>
      <c r="H764" s="11" t="str">
        <f>IF(F764="Completado", IFERROR(IF(INDEX('Base Exámenes'!$E$5:$E$1000, MATCH(A764&amp;"|"&amp;J764, 'Base Exámenes'!$I$5:$I$1000, 0))="", "", INDEX('Base Exámenes'!$E$5:$E$1000, MATCH(A764&amp;"|"&amp;J764, 'Base Exámenes'!$I$5:$I$1000, 0))), ""), "")</f>
        <v/>
      </c>
      <c r="I764" s="10" t="str">
        <f>IF(F764="Completado", IFERROR(IF(INDEX('Base Exámenes'!$F$5:$F$1000, MATCH(A764&amp;"|"&amp;J764, 'Base Exámenes'!$I$5:$I$1000, 0))="", "", INDEX('Base Exámenes'!$F$5:$F$1000, MATCH(A764&amp;"|"&amp;J764, 'Base Exámenes'!$I$5:$I$1000, 0))), ""), "")</f>
        <v/>
      </c>
      <c r="J764" s="6" t="str">
        <f>IF(F764="Completado", IF(COUNTIFS('Base Exámenes'!$C$5:$C$1000, A764, 'Base Exámenes'!$G$5:$G$1000, "&lt;&gt;")=0, "", _xlfn.MAXIFS('Base Exámenes'!$G$5:$G$1000, 'Base Exámenes'!$C$5:$C$1000, A764)), "")</f>
        <v/>
      </c>
      <c r="K764" s="6" t="str">
        <f>IF(F764="Completado", IFERROR(IF(INDEX('Base Exámenes'!$H$5:$H$1000, MATCH(A764&amp;"|"&amp;J764, 'Base Exámenes'!$I$5:$I$1000, 0))="", "", INDEX('Base Exámenes'!$H$5:$H$1000, MATCH(A764&amp;"|"&amp;J764, 'Base Exámenes'!$I$5:$I$1000, 0))), ""), "")</f>
        <v/>
      </c>
      <c r="L764" s="22" t="str">
        <f>IF($A764="","",COUNTIF('Base Exámenes'!$C$5:$C$1000, A764))</f>
        <v/>
      </c>
      <c r="M764" s="6" t="str">
        <f>IF($A764="","",IF(COUNTIF('Base Exámenes'!$C$5:$C$1000, A764)&gt;0, "", TRIM('Base Oficial'!H764)))</f>
        <v/>
      </c>
    </row>
    <row r="765">
      <c r="A765" s="4" t="str">
        <f>IF('Base Oficial'!A765="","",TRIM('Base Oficial'!A765))</f>
        <v/>
      </c>
      <c r="B765" s="6" t="str">
        <f>IF($A765="","",TRIM('Base Oficial'!B765))</f>
        <v/>
      </c>
      <c r="C765" s="6" t="str">
        <f>IF($A765="","",TRIM('Base Oficial'!F765))</f>
        <v/>
      </c>
      <c r="D765" s="6" t="str">
        <f>IF($A765="","",TRIM('Base Oficial'!G765))</f>
        <v/>
      </c>
      <c r="E765" s="6" t="str">
        <f>IF($A765="","",TRIM('Base Oficial'!D765))</f>
        <v/>
      </c>
      <c r="F765" s="4" t="str">
        <f>IF($A765="","",IF(COUNTIF('Base Exámenes'!$C$5:$C$1000, A765)&gt;0, "Completado", IF(M765&lt;&gt;"", M765, "Pendiente")))</f>
        <v/>
      </c>
      <c r="G765" s="11" t="str">
        <f>IF(F765="Completado", IFERROR(IF(INDEX('Base Exámenes'!$D$5:$D$1000, MATCH(A765&amp;"|"&amp;J765, 'Base Exámenes'!$I$5:$I$1000, 0))="", "", INDEX('Base Exámenes'!$D$5:$D$1000, MATCH(A765&amp;"|"&amp;J765, 'Base Exámenes'!$I$5:$I$1000, 0))), ""), "")</f>
        <v/>
      </c>
      <c r="H765" s="11" t="str">
        <f>IF(F765="Completado", IFERROR(IF(INDEX('Base Exámenes'!$E$5:$E$1000, MATCH(A765&amp;"|"&amp;J765, 'Base Exámenes'!$I$5:$I$1000, 0))="", "", INDEX('Base Exámenes'!$E$5:$E$1000, MATCH(A765&amp;"|"&amp;J765, 'Base Exámenes'!$I$5:$I$1000, 0))), ""), "")</f>
        <v/>
      </c>
      <c r="I765" s="10" t="str">
        <f>IF(F765="Completado", IFERROR(IF(INDEX('Base Exámenes'!$F$5:$F$1000, MATCH(A765&amp;"|"&amp;J765, 'Base Exámenes'!$I$5:$I$1000, 0))="", "", INDEX('Base Exámenes'!$F$5:$F$1000, MATCH(A765&amp;"|"&amp;J765, 'Base Exámenes'!$I$5:$I$1000, 0))), ""), "")</f>
        <v/>
      </c>
      <c r="J765" s="6" t="str">
        <f>IF(F765="Completado", IF(COUNTIFS('Base Exámenes'!$C$5:$C$1000, A765, 'Base Exámenes'!$G$5:$G$1000, "&lt;&gt;")=0, "", _xlfn.MAXIFS('Base Exámenes'!$G$5:$G$1000, 'Base Exámenes'!$C$5:$C$1000, A765)), "")</f>
        <v/>
      </c>
      <c r="K765" s="6" t="str">
        <f>IF(F765="Completado", IFERROR(IF(INDEX('Base Exámenes'!$H$5:$H$1000, MATCH(A765&amp;"|"&amp;J765, 'Base Exámenes'!$I$5:$I$1000, 0))="", "", INDEX('Base Exámenes'!$H$5:$H$1000, MATCH(A765&amp;"|"&amp;J765, 'Base Exámenes'!$I$5:$I$1000, 0))), ""), "")</f>
        <v/>
      </c>
      <c r="L765" s="22" t="str">
        <f>IF($A765="","",COUNTIF('Base Exámenes'!$C$5:$C$1000, A765))</f>
        <v/>
      </c>
      <c r="M765" s="6" t="str">
        <f>IF($A765="","",IF(COUNTIF('Base Exámenes'!$C$5:$C$1000, A765)&gt;0, "", TRIM('Base Oficial'!H765)))</f>
        <v/>
      </c>
    </row>
    <row r="766">
      <c r="A766" s="4" t="str">
        <f>IF('Base Oficial'!A766="","",TRIM('Base Oficial'!A766))</f>
        <v/>
      </c>
      <c r="B766" s="6" t="str">
        <f>IF($A766="","",TRIM('Base Oficial'!B766))</f>
        <v/>
      </c>
      <c r="C766" s="6" t="str">
        <f>IF($A766="","",TRIM('Base Oficial'!F766))</f>
        <v/>
      </c>
      <c r="D766" s="6" t="str">
        <f>IF($A766="","",TRIM('Base Oficial'!G766))</f>
        <v/>
      </c>
      <c r="E766" s="6" t="str">
        <f>IF($A766="","",TRIM('Base Oficial'!D766))</f>
        <v/>
      </c>
      <c r="F766" s="4" t="str">
        <f>IF($A766="","",IF(COUNTIF('Base Exámenes'!$C$5:$C$1000, A766)&gt;0, "Completado", IF(M766&lt;&gt;"", M766, "Pendiente")))</f>
        <v/>
      </c>
      <c r="G766" s="11" t="str">
        <f>IF(F766="Completado", IFERROR(IF(INDEX('Base Exámenes'!$D$5:$D$1000, MATCH(A766&amp;"|"&amp;J766, 'Base Exámenes'!$I$5:$I$1000, 0))="", "", INDEX('Base Exámenes'!$D$5:$D$1000, MATCH(A766&amp;"|"&amp;J766, 'Base Exámenes'!$I$5:$I$1000, 0))), ""), "")</f>
        <v/>
      </c>
      <c r="H766" s="11" t="str">
        <f>IF(F766="Completado", IFERROR(IF(INDEX('Base Exámenes'!$E$5:$E$1000, MATCH(A766&amp;"|"&amp;J766, 'Base Exámenes'!$I$5:$I$1000, 0))="", "", INDEX('Base Exámenes'!$E$5:$E$1000, MATCH(A766&amp;"|"&amp;J766, 'Base Exámenes'!$I$5:$I$1000, 0))), ""), "")</f>
        <v/>
      </c>
      <c r="I766" s="10" t="str">
        <f>IF(F766="Completado", IFERROR(IF(INDEX('Base Exámenes'!$F$5:$F$1000, MATCH(A766&amp;"|"&amp;J766, 'Base Exámenes'!$I$5:$I$1000, 0))="", "", INDEX('Base Exámenes'!$F$5:$F$1000, MATCH(A766&amp;"|"&amp;J766, 'Base Exámenes'!$I$5:$I$1000, 0))), ""), "")</f>
        <v/>
      </c>
      <c r="J766" s="6" t="str">
        <f>IF(F766="Completado", IF(COUNTIFS('Base Exámenes'!$C$5:$C$1000, A766, 'Base Exámenes'!$G$5:$G$1000, "&lt;&gt;")=0, "", _xlfn.MAXIFS('Base Exámenes'!$G$5:$G$1000, 'Base Exámenes'!$C$5:$C$1000, A766)), "")</f>
        <v/>
      </c>
      <c r="K766" s="6" t="str">
        <f>IF(F766="Completado", IFERROR(IF(INDEX('Base Exámenes'!$H$5:$H$1000, MATCH(A766&amp;"|"&amp;J766, 'Base Exámenes'!$I$5:$I$1000, 0))="", "", INDEX('Base Exámenes'!$H$5:$H$1000, MATCH(A766&amp;"|"&amp;J766, 'Base Exámenes'!$I$5:$I$1000, 0))), ""), "")</f>
        <v/>
      </c>
      <c r="L766" s="22" t="str">
        <f>IF($A766="","",COUNTIF('Base Exámenes'!$C$5:$C$1000, A766))</f>
        <v/>
      </c>
      <c r="M766" s="6" t="str">
        <f>IF($A766="","",IF(COUNTIF('Base Exámenes'!$C$5:$C$1000, A766)&gt;0, "", TRIM('Base Oficial'!H766)))</f>
        <v/>
      </c>
    </row>
    <row r="767">
      <c r="A767" s="4" t="str">
        <f>IF('Base Oficial'!A767="","",TRIM('Base Oficial'!A767))</f>
        <v/>
      </c>
      <c r="B767" s="6" t="str">
        <f>IF($A767="","",TRIM('Base Oficial'!B767))</f>
        <v/>
      </c>
      <c r="C767" s="6" t="str">
        <f>IF($A767="","",TRIM('Base Oficial'!F767))</f>
        <v/>
      </c>
      <c r="D767" s="6" t="str">
        <f>IF($A767="","",TRIM('Base Oficial'!G767))</f>
        <v/>
      </c>
      <c r="E767" s="6" t="str">
        <f>IF($A767="","",TRIM('Base Oficial'!D767))</f>
        <v/>
      </c>
      <c r="F767" s="4" t="str">
        <f>IF($A767="","",IF(COUNTIF('Base Exámenes'!$C$5:$C$1000, A767)&gt;0, "Completado", IF(M767&lt;&gt;"", M767, "Pendiente")))</f>
        <v/>
      </c>
      <c r="G767" s="11" t="str">
        <f>IF(F767="Completado", IFERROR(IF(INDEX('Base Exámenes'!$D$5:$D$1000, MATCH(A767&amp;"|"&amp;J767, 'Base Exámenes'!$I$5:$I$1000, 0))="", "", INDEX('Base Exámenes'!$D$5:$D$1000, MATCH(A767&amp;"|"&amp;J767, 'Base Exámenes'!$I$5:$I$1000, 0))), ""), "")</f>
        <v/>
      </c>
      <c r="H767" s="11" t="str">
        <f>IF(F767="Completado", IFERROR(IF(INDEX('Base Exámenes'!$E$5:$E$1000, MATCH(A767&amp;"|"&amp;J767, 'Base Exámenes'!$I$5:$I$1000, 0))="", "", INDEX('Base Exámenes'!$E$5:$E$1000, MATCH(A767&amp;"|"&amp;J767, 'Base Exámenes'!$I$5:$I$1000, 0))), ""), "")</f>
        <v/>
      </c>
      <c r="I767" s="10" t="str">
        <f>IF(F767="Completado", IFERROR(IF(INDEX('Base Exámenes'!$F$5:$F$1000, MATCH(A767&amp;"|"&amp;J767, 'Base Exámenes'!$I$5:$I$1000, 0))="", "", INDEX('Base Exámenes'!$F$5:$F$1000, MATCH(A767&amp;"|"&amp;J767, 'Base Exámenes'!$I$5:$I$1000, 0))), ""), "")</f>
        <v/>
      </c>
      <c r="J767" s="6" t="str">
        <f>IF(F767="Completado", IF(COUNTIFS('Base Exámenes'!$C$5:$C$1000, A767, 'Base Exámenes'!$G$5:$G$1000, "&lt;&gt;")=0, "", _xlfn.MAXIFS('Base Exámenes'!$G$5:$G$1000, 'Base Exámenes'!$C$5:$C$1000, A767)), "")</f>
        <v/>
      </c>
      <c r="K767" s="6" t="str">
        <f>IF(F767="Completado", IFERROR(IF(INDEX('Base Exámenes'!$H$5:$H$1000, MATCH(A767&amp;"|"&amp;J767, 'Base Exámenes'!$I$5:$I$1000, 0))="", "", INDEX('Base Exámenes'!$H$5:$H$1000, MATCH(A767&amp;"|"&amp;J767, 'Base Exámenes'!$I$5:$I$1000, 0))), ""), "")</f>
        <v/>
      </c>
      <c r="L767" s="22" t="str">
        <f>IF($A767="","",COUNTIF('Base Exámenes'!$C$5:$C$1000, A767))</f>
        <v/>
      </c>
      <c r="M767" s="6" t="str">
        <f>IF($A767="","",IF(COUNTIF('Base Exámenes'!$C$5:$C$1000, A767)&gt;0, "", TRIM('Base Oficial'!H767)))</f>
        <v/>
      </c>
    </row>
    <row r="768">
      <c r="A768" s="4" t="str">
        <f>IF('Base Oficial'!A768="","",TRIM('Base Oficial'!A768))</f>
        <v/>
      </c>
      <c r="B768" s="6" t="str">
        <f>IF($A768="","",TRIM('Base Oficial'!B768))</f>
        <v/>
      </c>
      <c r="C768" s="6" t="str">
        <f>IF($A768="","",TRIM('Base Oficial'!F768))</f>
        <v/>
      </c>
      <c r="D768" s="6" t="str">
        <f>IF($A768="","",TRIM('Base Oficial'!G768))</f>
        <v/>
      </c>
      <c r="E768" s="6" t="str">
        <f>IF($A768="","",TRIM('Base Oficial'!D768))</f>
        <v/>
      </c>
      <c r="F768" s="4" t="str">
        <f>IF($A768="","",IF(COUNTIF('Base Exámenes'!$C$5:$C$1000, A768)&gt;0, "Completado", IF(M768&lt;&gt;"", M768, "Pendiente")))</f>
        <v/>
      </c>
      <c r="G768" s="11" t="str">
        <f>IF(F768="Completado", IFERROR(IF(INDEX('Base Exámenes'!$D$5:$D$1000, MATCH(A768&amp;"|"&amp;J768, 'Base Exámenes'!$I$5:$I$1000, 0))="", "", INDEX('Base Exámenes'!$D$5:$D$1000, MATCH(A768&amp;"|"&amp;J768, 'Base Exámenes'!$I$5:$I$1000, 0))), ""), "")</f>
        <v/>
      </c>
      <c r="H768" s="11" t="str">
        <f>IF(F768="Completado", IFERROR(IF(INDEX('Base Exámenes'!$E$5:$E$1000, MATCH(A768&amp;"|"&amp;J768, 'Base Exámenes'!$I$5:$I$1000, 0))="", "", INDEX('Base Exámenes'!$E$5:$E$1000, MATCH(A768&amp;"|"&amp;J768, 'Base Exámenes'!$I$5:$I$1000, 0))), ""), "")</f>
        <v/>
      </c>
      <c r="I768" s="10" t="str">
        <f>IF(F768="Completado", IFERROR(IF(INDEX('Base Exámenes'!$F$5:$F$1000, MATCH(A768&amp;"|"&amp;J768, 'Base Exámenes'!$I$5:$I$1000, 0))="", "", INDEX('Base Exámenes'!$F$5:$F$1000, MATCH(A768&amp;"|"&amp;J768, 'Base Exámenes'!$I$5:$I$1000, 0))), ""), "")</f>
        <v/>
      </c>
      <c r="J768" s="6" t="str">
        <f>IF(F768="Completado", IF(COUNTIFS('Base Exámenes'!$C$5:$C$1000, A768, 'Base Exámenes'!$G$5:$G$1000, "&lt;&gt;")=0, "", _xlfn.MAXIFS('Base Exámenes'!$G$5:$G$1000, 'Base Exámenes'!$C$5:$C$1000, A768)), "")</f>
        <v/>
      </c>
      <c r="K768" s="6" t="str">
        <f>IF(F768="Completado", IFERROR(IF(INDEX('Base Exámenes'!$H$5:$H$1000, MATCH(A768&amp;"|"&amp;J768, 'Base Exámenes'!$I$5:$I$1000, 0))="", "", INDEX('Base Exámenes'!$H$5:$H$1000, MATCH(A768&amp;"|"&amp;J768, 'Base Exámenes'!$I$5:$I$1000, 0))), ""), "")</f>
        <v/>
      </c>
      <c r="L768" s="22" t="str">
        <f>IF($A768="","",COUNTIF('Base Exámenes'!$C$5:$C$1000, A768))</f>
        <v/>
      </c>
      <c r="M768" s="6" t="str">
        <f>IF($A768="","",IF(COUNTIF('Base Exámenes'!$C$5:$C$1000, A768)&gt;0, "", TRIM('Base Oficial'!H768)))</f>
        <v/>
      </c>
    </row>
    <row r="769">
      <c r="A769" s="4" t="str">
        <f>IF('Base Oficial'!A769="","",TRIM('Base Oficial'!A769))</f>
        <v/>
      </c>
      <c r="B769" s="6" t="str">
        <f>IF($A769="","",TRIM('Base Oficial'!B769))</f>
        <v/>
      </c>
      <c r="C769" s="6" t="str">
        <f>IF($A769="","",TRIM('Base Oficial'!F769))</f>
        <v/>
      </c>
      <c r="D769" s="6" t="str">
        <f>IF($A769="","",TRIM('Base Oficial'!G769))</f>
        <v/>
      </c>
      <c r="E769" s="6" t="str">
        <f>IF($A769="","",TRIM('Base Oficial'!D769))</f>
        <v/>
      </c>
      <c r="F769" s="4" t="str">
        <f>IF($A769="","",IF(COUNTIF('Base Exámenes'!$C$5:$C$1000, A769)&gt;0, "Completado", IF(M769&lt;&gt;"", M769, "Pendiente")))</f>
        <v/>
      </c>
      <c r="G769" s="11" t="str">
        <f>IF(F769="Completado", IFERROR(IF(INDEX('Base Exámenes'!$D$5:$D$1000, MATCH(A769&amp;"|"&amp;J769, 'Base Exámenes'!$I$5:$I$1000, 0))="", "", INDEX('Base Exámenes'!$D$5:$D$1000, MATCH(A769&amp;"|"&amp;J769, 'Base Exámenes'!$I$5:$I$1000, 0))), ""), "")</f>
        <v/>
      </c>
      <c r="H769" s="11" t="str">
        <f>IF(F769="Completado", IFERROR(IF(INDEX('Base Exámenes'!$E$5:$E$1000, MATCH(A769&amp;"|"&amp;J769, 'Base Exámenes'!$I$5:$I$1000, 0))="", "", INDEX('Base Exámenes'!$E$5:$E$1000, MATCH(A769&amp;"|"&amp;J769, 'Base Exámenes'!$I$5:$I$1000, 0))), ""), "")</f>
        <v/>
      </c>
      <c r="I769" s="10" t="str">
        <f>IF(F769="Completado", IFERROR(IF(INDEX('Base Exámenes'!$F$5:$F$1000, MATCH(A769&amp;"|"&amp;J769, 'Base Exámenes'!$I$5:$I$1000, 0))="", "", INDEX('Base Exámenes'!$F$5:$F$1000, MATCH(A769&amp;"|"&amp;J769, 'Base Exámenes'!$I$5:$I$1000, 0))), ""), "")</f>
        <v/>
      </c>
      <c r="J769" s="6" t="str">
        <f>IF(F769="Completado", IF(COUNTIFS('Base Exámenes'!$C$5:$C$1000, A769, 'Base Exámenes'!$G$5:$G$1000, "&lt;&gt;")=0, "", _xlfn.MAXIFS('Base Exámenes'!$G$5:$G$1000, 'Base Exámenes'!$C$5:$C$1000, A769)), "")</f>
        <v/>
      </c>
      <c r="K769" s="6" t="str">
        <f>IF(F769="Completado", IFERROR(IF(INDEX('Base Exámenes'!$H$5:$H$1000, MATCH(A769&amp;"|"&amp;J769, 'Base Exámenes'!$I$5:$I$1000, 0))="", "", INDEX('Base Exámenes'!$H$5:$H$1000, MATCH(A769&amp;"|"&amp;J769, 'Base Exámenes'!$I$5:$I$1000, 0))), ""), "")</f>
        <v/>
      </c>
      <c r="L769" s="22" t="str">
        <f>IF($A769="","",COUNTIF('Base Exámenes'!$C$5:$C$1000, A769))</f>
        <v/>
      </c>
      <c r="M769" s="6" t="str">
        <f>IF($A769="","",IF(COUNTIF('Base Exámenes'!$C$5:$C$1000, A769)&gt;0, "", TRIM('Base Oficial'!H769)))</f>
        <v/>
      </c>
    </row>
    <row r="770">
      <c r="A770" s="4" t="str">
        <f>IF('Base Oficial'!A770="","",TRIM('Base Oficial'!A770))</f>
        <v/>
      </c>
      <c r="B770" s="6" t="str">
        <f>IF($A770="","",TRIM('Base Oficial'!B770))</f>
        <v/>
      </c>
      <c r="C770" s="6" t="str">
        <f>IF($A770="","",TRIM('Base Oficial'!F770))</f>
        <v/>
      </c>
      <c r="D770" s="6" t="str">
        <f>IF($A770="","",TRIM('Base Oficial'!G770))</f>
        <v/>
      </c>
      <c r="E770" s="6" t="str">
        <f>IF($A770="","",TRIM('Base Oficial'!D770))</f>
        <v/>
      </c>
      <c r="F770" s="4" t="str">
        <f>IF($A770="","",IF(COUNTIF('Base Exámenes'!$C$5:$C$1000, A770)&gt;0, "Completado", IF(M770&lt;&gt;"", M770, "Pendiente")))</f>
        <v/>
      </c>
      <c r="G770" s="11" t="str">
        <f>IF(F770="Completado", IFERROR(IF(INDEX('Base Exámenes'!$D$5:$D$1000, MATCH(A770&amp;"|"&amp;J770, 'Base Exámenes'!$I$5:$I$1000, 0))="", "", INDEX('Base Exámenes'!$D$5:$D$1000, MATCH(A770&amp;"|"&amp;J770, 'Base Exámenes'!$I$5:$I$1000, 0))), ""), "")</f>
        <v/>
      </c>
      <c r="H770" s="11" t="str">
        <f>IF(F770="Completado", IFERROR(IF(INDEX('Base Exámenes'!$E$5:$E$1000, MATCH(A770&amp;"|"&amp;J770, 'Base Exámenes'!$I$5:$I$1000, 0))="", "", INDEX('Base Exámenes'!$E$5:$E$1000, MATCH(A770&amp;"|"&amp;J770, 'Base Exámenes'!$I$5:$I$1000, 0))), ""), "")</f>
        <v/>
      </c>
      <c r="I770" s="10" t="str">
        <f>IF(F770="Completado", IFERROR(IF(INDEX('Base Exámenes'!$F$5:$F$1000, MATCH(A770&amp;"|"&amp;J770, 'Base Exámenes'!$I$5:$I$1000, 0))="", "", INDEX('Base Exámenes'!$F$5:$F$1000, MATCH(A770&amp;"|"&amp;J770, 'Base Exámenes'!$I$5:$I$1000, 0))), ""), "")</f>
        <v/>
      </c>
      <c r="J770" s="6" t="str">
        <f>IF(F770="Completado", IF(COUNTIFS('Base Exámenes'!$C$5:$C$1000, A770, 'Base Exámenes'!$G$5:$G$1000, "&lt;&gt;")=0, "", _xlfn.MAXIFS('Base Exámenes'!$G$5:$G$1000, 'Base Exámenes'!$C$5:$C$1000, A770)), "")</f>
        <v/>
      </c>
      <c r="K770" s="6" t="str">
        <f>IF(F770="Completado", IFERROR(IF(INDEX('Base Exámenes'!$H$5:$H$1000, MATCH(A770&amp;"|"&amp;J770, 'Base Exámenes'!$I$5:$I$1000, 0))="", "", INDEX('Base Exámenes'!$H$5:$H$1000, MATCH(A770&amp;"|"&amp;J770, 'Base Exámenes'!$I$5:$I$1000, 0))), ""), "")</f>
        <v/>
      </c>
      <c r="L770" s="22" t="str">
        <f>IF($A770="","",COUNTIF('Base Exámenes'!$C$5:$C$1000, A770))</f>
        <v/>
      </c>
      <c r="M770" s="6" t="str">
        <f>IF($A770="","",IF(COUNTIF('Base Exámenes'!$C$5:$C$1000, A770)&gt;0, "", TRIM('Base Oficial'!H770)))</f>
        <v/>
      </c>
    </row>
    <row r="771">
      <c r="A771" s="4" t="str">
        <f>IF('Base Oficial'!A771="","",TRIM('Base Oficial'!A771))</f>
        <v/>
      </c>
      <c r="B771" s="6" t="str">
        <f>IF($A771="","",TRIM('Base Oficial'!B771))</f>
        <v/>
      </c>
      <c r="C771" s="6" t="str">
        <f>IF($A771="","",TRIM('Base Oficial'!F771))</f>
        <v/>
      </c>
      <c r="D771" s="6" t="str">
        <f>IF($A771="","",TRIM('Base Oficial'!G771))</f>
        <v/>
      </c>
      <c r="E771" s="6" t="str">
        <f>IF($A771="","",TRIM('Base Oficial'!D771))</f>
        <v/>
      </c>
      <c r="F771" s="4" t="str">
        <f>IF($A771="","",IF(COUNTIF('Base Exámenes'!$C$5:$C$1000, A771)&gt;0, "Completado", IF(M771&lt;&gt;"", M771, "Pendiente")))</f>
        <v/>
      </c>
      <c r="G771" s="11" t="str">
        <f>IF(F771="Completado", IFERROR(IF(INDEX('Base Exámenes'!$D$5:$D$1000, MATCH(A771&amp;"|"&amp;J771, 'Base Exámenes'!$I$5:$I$1000, 0))="", "", INDEX('Base Exámenes'!$D$5:$D$1000, MATCH(A771&amp;"|"&amp;J771, 'Base Exámenes'!$I$5:$I$1000, 0))), ""), "")</f>
        <v/>
      </c>
      <c r="H771" s="11" t="str">
        <f>IF(F771="Completado", IFERROR(IF(INDEX('Base Exámenes'!$E$5:$E$1000, MATCH(A771&amp;"|"&amp;J771, 'Base Exámenes'!$I$5:$I$1000, 0))="", "", INDEX('Base Exámenes'!$E$5:$E$1000, MATCH(A771&amp;"|"&amp;J771, 'Base Exámenes'!$I$5:$I$1000, 0))), ""), "")</f>
        <v/>
      </c>
      <c r="I771" s="10" t="str">
        <f>IF(F771="Completado", IFERROR(IF(INDEX('Base Exámenes'!$F$5:$F$1000, MATCH(A771&amp;"|"&amp;J771, 'Base Exámenes'!$I$5:$I$1000, 0))="", "", INDEX('Base Exámenes'!$F$5:$F$1000, MATCH(A771&amp;"|"&amp;J771, 'Base Exámenes'!$I$5:$I$1000, 0))), ""), "")</f>
        <v/>
      </c>
      <c r="J771" s="6" t="str">
        <f>IF(F771="Completado", IF(COUNTIFS('Base Exámenes'!$C$5:$C$1000, A771, 'Base Exámenes'!$G$5:$G$1000, "&lt;&gt;")=0, "", _xlfn.MAXIFS('Base Exámenes'!$G$5:$G$1000, 'Base Exámenes'!$C$5:$C$1000, A771)), "")</f>
        <v/>
      </c>
      <c r="K771" s="6" t="str">
        <f>IF(F771="Completado", IFERROR(IF(INDEX('Base Exámenes'!$H$5:$H$1000, MATCH(A771&amp;"|"&amp;J771, 'Base Exámenes'!$I$5:$I$1000, 0))="", "", INDEX('Base Exámenes'!$H$5:$H$1000, MATCH(A771&amp;"|"&amp;J771, 'Base Exámenes'!$I$5:$I$1000, 0))), ""), "")</f>
        <v/>
      </c>
      <c r="L771" s="22" t="str">
        <f>IF($A771="","",COUNTIF('Base Exámenes'!$C$5:$C$1000, A771))</f>
        <v/>
      </c>
      <c r="M771" s="6" t="str">
        <f>IF($A771="","",IF(COUNTIF('Base Exámenes'!$C$5:$C$1000, A771)&gt;0, "", TRIM('Base Oficial'!H771)))</f>
        <v/>
      </c>
    </row>
    <row r="772">
      <c r="A772" s="4" t="str">
        <f>IF('Base Oficial'!A772="","",TRIM('Base Oficial'!A772))</f>
        <v/>
      </c>
      <c r="B772" s="6" t="str">
        <f>IF($A772="","",TRIM('Base Oficial'!B772))</f>
        <v/>
      </c>
      <c r="C772" s="6" t="str">
        <f>IF($A772="","",TRIM('Base Oficial'!F772))</f>
        <v/>
      </c>
      <c r="D772" s="6" t="str">
        <f>IF($A772="","",TRIM('Base Oficial'!G772))</f>
        <v/>
      </c>
      <c r="E772" s="6" t="str">
        <f>IF($A772="","",TRIM('Base Oficial'!D772))</f>
        <v/>
      </c>
      <c r="F772" s="4" t="str">
        <f>IF($A772="","",IF(COUNTIF('Base Exámenes'!$C$5:$C$1000, A772)&gt;0, "Completado", IF(M772&lt;&gt;"", M772, "Pendiente")))</f>
        <v/>
      </c>
      <c r="G772" s="11" t="str">
        <f>IF(F772="Completado", IFERROR(IF(INDEX('Base Exámenes'!$D$5:$D$1000, MATCH(A772&amp;"|"&amp;J772, 'Base Exámenes'!$I$5:$I$1000, 0))="", "", INDEX('Base Exámenes'!$D$5:$D$1000, MATCH(A772&amp;"|"&amp;J772, 'Base Exámenes'!$I$5:$I$1000, 0))), ""), "")</f>
        <v/>
      </c>
      <c r="H772" s="11" t="str">
        <f>IF(F772="Completado", IFERROR(IF(INDEX('Base Exámenes'!$E$5:$E$1000, MATCH(A772&amp;"|"&amp;J772, 'Base Exámenes'!$I$5:$I$1000, 0))="", "", INDEX('Base Exámenes'!$E$5:$E$1000, MATCH(A772&amp;"|"&amp;J772, 'Base Exámenes'!$I$5:$I$1000, 0))), ""), "")</f>
        <v/>
      </c>
      <c r="I772" s="10" t="str">
        <f>IF(F772="Completado", IFERROR(IF(INDEX('Base Exámenes'!$F$5:$F$1000, MATCH(A772&amp;"|"&amp;J772, 'Base Exámenes'!$I$5:$I$1000, 0))="", "", INDEX('Base Exámenes'!$F$5:$F$1000, MATCH(A772&amp;"|"&amp;J772, 'Base Exámenes'!$I$5:$I$1000, 0))), ""), "")</f>
        <v/>
      </c>
      <c r="J772" s="6" t="str">
        <f>IF(F772="Completado", IF(COUNTIFS('Base Exámenes'!$C$5:$C$1000, A772, 'Base Exámenes'!$G$5:$G$1000, "&lt;&gt;")=0, "", _xlfn.MAXIFS('Base Exámenes'!$G$5:$G$1000, 'Base Exámenes'!$C$5:$C$1000, A772)), "")</f>
        <v/>
      </c>
      <c r="K772" s="6" t="str">
        <f>IF(F772="Completado", IFERROR(IF(INDEX('Base Exámenes'!$H$5:$H$1000, MATCH(A772&amp;"|"&amp;J772, 'Base Exámenes'!$I$5:$I$1000, 0))="", "", INDEX('Base Exámenes'!$H$5:$H$1000, MATCH(A772&amp;"|"&amp;J772, 'Base Exámenes'!$I$5:$I$1000, 0))), ""), "")</f>
        <v/>
      </c>
      <c r="L772" s="22" t="str">
        <f>IF($A772="","",COUNTIF('Base Exámenes'!$C$5:$C$1000, A772))</f>
        <v/>
      </c>
      <c r="M772" s="6" t="str">
        <f>IF($A772="","",IF(COUNTIF('Base Exámenes'!$C$5:$C$1000, A772)&gt;0, "", TRIM('Base Oficial'!H772)))</f>
        <v/>
      </c>
    </row>
    <row r="773">
      <c r="A773" s="4" t="str">
        <f>IF('Base Oficial'!A773="","",TRIM('Base Oficial'!A773))</f>
        <v/>
      </c>
      <c r="B773" s="6" t="str">
        <f>IF($A773="","",TRIM('Base Oficial'!B773))</f>
        <v/>
      </c>
      <c r="C773" s="6" t="str">
        <f>IF($A773="","",TRIM('Base Oficial'!F773))</f>
        <v/>
      </c>
      <c r="D773" s="6" t="str">
        <f>IF($A773="","",TRIM('Base Oficial'!G773))</f>
        <v/>
      </c>
      <c r="E773" s="6" t="str">
        <f>IF($A773="","",TRIM('Base Oficial'!D773))</f>
        <v/>
      </c>
      <c r="F773" s="4" t="str">
        <f>IF($A773="","",IF(COUNTIF('Base Exámenes'!$C$5:$C$1000, A773)&gt;0, "Completado", IF(M773&lt;&gt;"", M773, "Pendiente")))</f>
        <v/>
      </c>
      <c r="G773" s="11" t="str">
        <f>IF(F773="Completado", IFERROR(IF(INDEX('Base Exámenes'!$D$5:$D$1000, MATCH(A773&amp;"|"&amp;J773, 'Base Exámenes'!$I$5:$I$1000, 0))="", "", INDEX('Base Exámenes'!$D$5:$D$1000, MATCH(A773&amp;"|"&amp;J773, 'Base Exámenes'!$I$5:$I$1000, 0))), ""), "")</f>
        <v/>
      </c>
      <c r="H773" s="11" t="str">
        <f>IF(F773="Completado", IFERROR(IF(INDEX('Base Exámenes'!$E$5:$E$1000, MATCH(A773&amp;"|"&amp;J773, 'Base Exámenes'!$I$5:$I$1000, 0))="", "", INDEX('Base Exámenes'!$E$5:$E$1000, MATCH(A773&amp;"|"&amp;J773, 'Base Exámenes'!$I$5:$I$1000, 0))), ""), "")</f>
        <v/>
      </c>
      <c r="I773" s="10" t="str">
        <f>IF(F773="Completado", IFERROR(IF(INDEX('Base Exámenes'!$F$5:$F$1000, MATCH(A773&amp;"|"&amp;J773, 'Base Exámenes'!$I$5:$I$1000, 0))="", "", INDEX('Base Exámenes'!$F$5:$F$1000, MATCH(A773&amp;"|"&amp;J773, 'Base Exámenes'!$I$5:$I$1000, 0))), ""), "")</f>
        <v/>
      </c>
      <c r="J773" s="6" t="str">
        <f>IF(F773="Completado", IF(COUNTIFS('Base Exámenes'!$C$5:$C$1000, A773, 'Base Exámenes'!$G$5:$G$1000, "&lt;&gt;")=0, "", _xlfn.MAXIFS('Base Exámenes'!$G$5:$G$1000, 'Base Exámenes'!$C$5:$C$1000, A773)), "")</f>
        <v/>
      </c>
      <c r="K773" s="6" t="str">
        <f>IF(F773="Completado", IFERROR(IF(INDEX('Base Exámenes'!$H$5:$H$1000, MATCH(A773&amp;"|"&amp;J773, 'Base Exámenes'!$I$5:$I$1000, 0))="", "", INDEX('Base Exámenes'!$H$5:$H$1000, MATCH(A773&amp;"|"&amp;J773, 'Base Exámenes'!$I$5:$I$1000, 0))), ""), "")</f>
        <v/>
      </c>
      <c r="L773" s="22" t="str">
        <f>IF($A773="","",COUNTIF('Base Exámenes'!$C$5:$C$1000, A773))</f>
        <v/>
      </c>
      <c r="M773" s="6" t="str">
        <f>IF($A773="","",IF(COUNTIF('Base Exámenes'!$C$5:$C$1000, A773)&gt;0, "", TRIM('Base Oficial'!H773)))</f>
        <v/>
      </c>
    </row>
    <row r="774">
      <c r="A774" s="4" t="str">
        <f>IF('Base Oficial'!A774="","",TRIM('Base Oficial'!A774))</f>
        <v/>
      </c>
      <c r="B774" s="6" t="str">
        <f>IF($A774="","",TRIM('Base Oficial'!B774))</f>
        <v/>
      </c>
      <c r="C774" s="6" t="str">
        <f>IF($A774="","",TRIM('Base Oficial'!F774))</f>
        <v/>
      </c>
      <c r="D774" s="6" t="str">
        <f>IF($A774="","",TRIM('Base Oficial'!G774))</f>
        <v/>
      </c>
      <c r="E774" s="6" t="str">
        <f>IF($A774="","",TRIM('Base Oficial'!D774))</f>
        <v/>
      </c>
      <c r="F774" s="4" t="str">
        <f>IF($A774="","",IF(COUNTIF('Base Exámenes'!$C$5:$C$1000, A774)&gt;0, "Completado", IF(M774&lt;&gt;"", M774, "Pendiente")))</f>
        <v/>
      </c>
      <c r="G774" s="11" t="str">
        <f>IF(F774="Completado", IFERROR(IF(INDEX('Base Exámenes'!$D$5:$D$1000, MATCH(A774&amp;"|"&amp;J774, 'Base Exámenes'!$I$5:$I$1000, 0))="", "", INDEX('Base Exámenes'!$D$5:$D$1000, MATCH(A774&amp;"|"&amp;J774, 'Base Exámenes'!$I$5:$I$1000, 0))), ""), "")</f>
        <v/>
      </c>
      <c r="H774" s="11" t="str">
        <f>IF(F774="Completado", IFERROR(IF(INDEX('Base Exámenes'!$E$5:$E$1000, MATCH(A774&amp;"|"&amp;J774, 'Base Exámenes'!$I$5:$I$1000, 0))="", "", INDEX('Base Exámenes'!$E$5:$E$1000, MATCH(A774&amp;"|"&amp;J774, 'Base Exámenes'!$I$5:$I$1000, 0))), ""), "")</f>
        <v/>
      </c>
      <c r="I774" s="10" t="str">
        <f>IF(F774="Completado", IFERROR(IF(INDEX('Base Exámenes'!$F$5:$F$1000, MATCH(A774&amp;"|"&amp;J774, 'Base Exámenes'!$I$5:$I$1000, 0))="", "", INDEX('Base Exámenes'!$F$5:$F$1000, MATCH(A774&amp;"|"&amp;J774, 'Base Exámenes'!$I$5:$I$1000, 0))), ""), "")</f>
        <v/>
      </c>
      <c r="J774" s="6" t="str">
        <f>IF(F774="Completado", IF(COUNTIFS('Base Exámenes'!$C$5:$C$1000, A774, 'Base Exámenes'!$G$5:$G$1000, "&lt;&gt;")=0, "", _xlfn.MAXIFS('Base Exámenes'!$G$5:$G$1000, 'Base Exámenes'!$C$5:$C$1000, A774)), "")</f>
        <v/>
      </c>
      <c r="K774" s="6" t="str">
        <f>IF(F774="Completado", IFERROR(IF(INDEX('Base Exámenes'!$H$5:$H$1000, MATCH(A774&amp;"|"&amp;J774, 'Base Exámenes'!$I$5:$I$1000, 0))="", "", INDEX('Base Exámenes'!$H$5:$H$1000, MATCH(A774&amp;"|"&amp;J774, 'Base Exámenes'!$I$5:$I$1000, 0))), ""), "")</f>
        <v/>
      </c>
      <c r="L774" s="22" t="str">
        <f>IF($A774="","",COUNTIF('Base Exámenes'!$C$5:$C$1000, A774))</f>
        <v/>
      </c>
      <c r="M774" s="6" t="str">
        <f>IF($A774="","",IF(COUNTIF('Base Exámenes'!$C$5:$C$1000, A774)&gt;0, "", TRIM('Base Oficial'!H774)))</f>
        <v/>
      </c>
    </row>
    <row r="775">
      <c r="A775" s="4" t="str">
        <f>IF('Base Oficial'!A775="","",TRIM('Base Oficial'!A775))</f>
        <v/>
      </c>
      <c r="B775" s="6" t="str">
        <f>IF($A775="","",TRIM('Base Oficial'!B775))</f>
        <v/>
      </c>
      <c r="C775" s="6" t="str">
        <f>IF($A775="","",TRIM('Base Oficial'!F775))</f>
        <v/>
      </c>
      <c r="D775" s="6" t="str">
        <f>IF($A775="","",TRIM('Base Oficial'!G775))</f>
        <v/>
      </c>
      <c r="E775" s="6" t="str">
        <f>IF($A775="","",TRIM('Base Oficial'!D775))</f>
        <v/>
      </c>
      <c r="F775" s="4" t="str">
        <f>IF($A775="","",IF(COUNTIF('Base Exámenes'!$C$5:$C$1000, A775)&gt;0, "Completado", IF(M775&lt;&gt;"", M775, "Pendiente")))</f>
        <v/>
      </c>
      <c r="G775" s="11" t="str">
        <f>IF(F775="Completado", IFERROR(IF(INDEX('Base Exámenes'!$D$5:$D$1000, MATCH(A775&amp;"|"&amp;J775, 'Base Exámenes'!$I$5:$I$1000, 0))="", "", INDEX('Base Exámenes'!$D$5:$D$1000, MATCH(A775&amp;"|"&amp;J775, 'Base Exámenes'!$I$5:$I$1000, 0))), ""), "")</f>
        <v/>
      </c>
      <c r="H775" s="11" t="str">
        <f>IF(F775="Completado", IFERROR(IF(INDEX('Base Exámenes'!$E$5:$E$1000, MATCH(A775&amp;"|"&amp;J775, 'Base Exámenes'!$I$5:$I$1000, 0))="", "", INDEX('Base Exámenes'!$E$5:$E$1000, MATCH(A775&amp;"|"&amp;J775, 'Base Exámenes'!$I$5:$I$1000, 0))), ""), "")</f>
        <v/>
      </c>
      <c r="I775" s="10" t="str">
        <f>IF(F775="Completado", IFERROR(IF(INDEX('Base Exámenes'!$F$5:$F$1000, MATCH(A775&amp;"|"&amp;J775, 'Base Exámenes'!$I$5:$I$1000, 0))="", "", INDEX('Base Exámenes'!$F$5:$F$1000, MATCH(A775&amp;"|"&amp;J775, 'Base Exámenes'!$I$5:$I$1000, 0))), ""), "")</f>
        <v/>
      </c>
      <c r="J775" s="6" t="str">
        <f>IF(F775="Completado", IF(COUNTIFS('Base Exámenes'!$C$5:$C$1000, A775, 'Base Exámenes'!$G$5:$G$1000, "&lt;&gt;")=0, "", _xlfn.MAXIFS('Base Exámenes'!$G$5:$G$1000, 'Base Exámenes'!$C$5:$C$1000, A775)), "")</f>
        <v/>
      </c>
      <c r="K775" s="6" t="str">
        <f>IF(F775="Completado", IFERROR(IF(INDEX('Base Exámenes'!$H$5:$H$1000, MATCH(A775&amp;"|"&amp;J775, 'Base Exámenes'!$I$5:$I$1000, 0))="", "", INDEX('Base Exámenes'!$H$5:$H$1000, MATCH(A775&amp;"|"&amp;J775, 'Base Exámenes'!$I$5:$I$1000, 0))), ""), "")</f>
        <v/>
      </c>
      <c r="L775" s="22" t="str">
        <f>IF($A775="","",COUNTIF('Base Exámenes'!$C$5:$C$1000, A775))</f>
        <v/>
      </c>
      <c r="M775" s="6" t="str">
        <f>IF($A775="","",IF(COUNTIF('Base Exámenes'!$C$5:$C$1000, A775)&gt;0, "", TRIM('Base Oficial'!H775)))</f>
        <v/>
      </c>
    </row>
    <row r="776">
      <c r="A776" s="4" t="str">
        <f>IF('Base Oficial'!A776="","",TRIM('Base Oficial'!A776))</f>
        <v/>
      </c>
      <c r="B776" s="6" t="str">
        <f>IF($A776="","",TRIM('Base Oficial'!B776))</f>
        <v/>
      </c>
      <c r="C776" s="6" t="str">
        <f>IF($A776="","",TRIM('Base Oficial'!F776))</f>
        <v/>
      </c>
      <c r="D776" s="6" t="str">
        <f>IF($A776="","",TRIM('Base Oficial'!G776))</f>
        <v/>
      </c>
      <c r="E776" s="6" t="str">
        <f>IF($A776="","",TRIM('Base Oficial'!D776))</f>
        <v/>
      </c>
      <c r="F776" s="4" t="str">
        <f>IF($A776="","",IF(COUNTIF('Base Exámenes'!$C$5:$C$1000, A776)&gt;0, "Completado", IF(M776&lt;&gt;"", M776, "Pendiente")))</f>
        <v/>
      </c>
      <c r="G776" s="11" t="str">
        <f>IF(F776="Completado", IFERROR(IF(INDEX('Base Exámenes'!$D$5:$D$1000, MATCH(A776&amp;"|"&amp;J776, 'Base Exámenes'!$I$5:$I$1000, 0))="", "", INDEX('Base Exámenes'!$D$5:$D$1000, MATCH(A776&amp;"|"&amp;J776, 'Base Exámenes'!$I$5:$I$1000, 0))), ""), "")</f>
        <v/>
      </c>
      <c r="H776" s="11" t="str">
        <f>IF(F776="Completado", IFERROR(IF(INDEX('Base Exámenes'!$E$5:$E$1000, MATCH(A776&amp;"|"&amp;J776, 'Base Exámenes'!$I$5:$I$1000, 0))="", "", INDEX('Base Exámenes'!$E$5:$E$1000, MATCH(A776&amp;"|"&amp;J776, 'Base Exámenes'!$I$5:$I$1000, 0))), ""), "")</f>
        <v/>
      </c>
      <c r="I776" s="10" t="str">
        <f>IF(F776="Completado", IFERROR(IF(INDEX('Base Exámenes'!$F$5:$F$1000, MATCH(A776&amp;"|"&amp;J776, 'Base Exámenes'!$I$5:$I$1000, 0))="", "", INDEX('Base Exámenes'!$F$5:$F$1000, MATCH(A776&amp;"|"&amp;J776, 'Base Exámenes'!$I$5:$I$1000, 0))), ""), "")</f>
        <v/>
      </c>
      <c r="J776" s="6" t="str">
        <f>IF(F776="Completado", IF(COUNTIFS('Base Exámenes'!$C$5:$C$1000, A776, 'Base Exámenes'!$G$5:$G$1000, "&lt;&gt;")=0, "", _xlfn.MAXIFS('Base Exámenes'!$G$5:$G$1000, 'Base Exámenes'!$C$5:$C$1000, A776)), "")</f>
        <v/>
      </c>
      <c r="K776" s="6" t="str">
        <f>IF(F776="Completado", IFERROR(IF(INDEX('Base Exámenes'!$H$5:$H$1000, MATCH(A776&amp;"|"&amp;J776, 'Base Exámenes'!$I$5:$I$1000, 0))="", "", INDEX('Base Exámenes'!$H$5:$H$1000, MATCH(A776&amp;"|"&amp;J776, 'Base Exámenes'!$I$5:$I$1000, 0))), ""), "")</f>
        <v/>
      </c>
      <c r="L776" s="22" t="str">
        <f>IF($A776="","",COUNTIF('Base Exámenes'!$C$5:$C$1000, A776))</f>
        <v/>
      </c>
      <c r="M776" s="6" t="str">
        <f>IF($A776="","",IF(COUNTIF('Base Exámenes'!$C$5:$C$1000, A776)&gt;0, "", TRIM('Base Oficial'!H776)))</f>
        <v/>
      </c>
    </row>
    <row r="777">
      <c r="A777" s="4" t="str">
        <f>IF('Base Oficial'!A777="","",TRIM('Base Oficial'!A777))</f>
        <v/>
      </c>
      <c r="B777" s="6" t="str">
        <f>IF($A777="","",TRIM('Base Oficial'!B777))</f>
        <v/>
      </c>
      <c r="C777" s="6" t="str">
        <f>IF($A777="","",TRIM('Base Oficial'!F777))</f>
        <v/>
      </c>
      <c r="D777" s="6" t="str">
        <f>IF($A777="","",TRIM('Base Oficial'!G777))</f>
        <v/>
      </c>
      <c r="E777" s="6" t="str">
        <f>IF($A777="","",TRIM('Base Oficial'!D777))</f>
        <v/>
      </c>
      <c r="F777" s="4" t="str">
        <f>IF($A777="","",IF(COUNTIF('Base Exámenes'!$C$5:$C$1000, A777)&gt;0, "Completado", IF(M777&lt;&gt;"", M777, "Pendiente")))</f>
        <v/>
      </c>
      <c r="G777" s="11" t="str">
        <f>IF(F777="Completado", IFERROR(IF(INDEX('Base Exámenes'!$D$5:$D$1000, MATCH(A777&amp;"|"&amp;J777, 'Base Exámenes'!$I$5:$I$1000, 0))="", "", INDEX('Base Exámenes'!$D$5:$D$1000, MATCH(A777&amp;"|"&amp;J777, 'Base Exámenes'!$I$5:$I$1000, 0))), ""), "")</f>
        <v/>
      </c>
      <c r="H777" s="11" t="str">
        <f>IF(F777="Completado", IFERROR(IF(INDEX('Base Exámenes'!$E$5:$E$1000, MATCH(A777&amp;"|"&amp;J777, 'Base Exámenes'!$I$5:$I$1000, 0))="", "", INDEX('Base Exámenes'!$E$5:$E$1000, MATCH(A777&amp;"|"&amp;J777, 'Base Exámenes'!$I$5:$I$1000, 0))), ""), "")</f>
        <v/>
      </c>
      <c r="I777" s="10" t="str">
        <f>IF(F777="Completado", IFERROR(IF(INDEX('Base Exámenes'!$F$5:$F$1000, MATCH(A777&amp;"|"&amp;J777, 'Base Exámenes'!$I$5:$I$1000, 0))="", "", INDEX('Base Exámenes'!$F$5:$F$1000, MATCH(A777&amp;"|"&amp;J777, 'Base Exámenes'!$I$5:$I$1000, 0))), ""), "")</f>
        <v/>
      </c>
      <c r="J777" s="6" t="str">
        <f>IF(F777="Completado", IF(COUNTIFS('Base Exámenes'!$C$5:$C$1000, A777, 'Base Exámenes'!$G$5:$G$1000, "&lt;&gt;")=0, "", _xlfn.MAXIFS('Base Exámenes'!$G$5:$G$1000, 'Base Exámenes'!$C$5:$C$1000, A777)), "")</f>
        <v/>
      </c>
      <c r="K777" s="6" t="str">
        <f>IF(F777="Completado", IFERROR(IF(INDEX('Base Exámenes'!$H$5:$H$1000, MATCH(A777&amp;"|"&amp;J777, 'Base Exámenes'!$I$5:$I$1000, 0))="", "", INDEX('Base Exámenes'!$H$5:$H$1000, MATCH(A777&amp;"|"&amp;J777, 'Base Exámenes'!$I$5:$I$1000, 0))), ""), "")</f>
        <v/>
      </c>
      <c r="L777" s="22" t="str">
        <f>IF($A777="","",COUNTIF('Base Exámenes'!$C$5:$C$1000, A777))</f>
        <v/>
      </c>
      <c r="M777" s="6" t="str">
        <f>IF($A777="","",IF(COUNTIF('Base Exámenes'!$C$5:$C$1000, A777)&gt;0, "", TRIM('Base Oficial'!H777)))</f>
        <v/>
      </c>
    </row>
    <row r="778">
      <c r="A778" s="4" t="str">
        <f>IF('Base Oficial'!A778="","",TRIM('Base Oficial'!A778))</f>
        <v/>
      </c>
      <c r="B778" s="6" t="str">
        <f>IF($A778="","",TRIM('Base Oficial'!B778))</f>
        <v/>
      </c>
      <c r="C778" s="6" t="str">
        <f>IF($A778="","",TRIM('Base Oficial'!F778))</f>
        <v/>
      </c>
      <c r="D778" s="6" t="str">
        <f>IF($A778="","",TRIM('Base Oficial'!G778))</f>
        <v/>
      </c>
      <c r="E778" s="6" t="str">
        <f>IF($A778="","",TRIM('Base Oficial'!D778))</f>
        <v/>
      </c>
      <c r="F778" s="4" t="str">
        <f>IF($A778="","",IF(COUNTIF('Base Exámenes'!$C$5:$C$1000, A778)&gt;0, "Completado", IF(M778&lt;&gt;"", M778, "Pendiente")))</f>
        <v/>
      </c>
      <c r="G778" s="11" t="str">
        <f>IF(F778="Completado", IFERROR(IF(INDEX('Base Exámenes'!$D$5:$D$1000, MATCH(A778&amp;"|"&amp;J778, 'Base Exámenes'!$I$5:$I$1000, 0))="", "", INDEX('Base Exámenes'!$D$5:$D$1000, MATCH(A778&amp;"|"&amp;J778, 'Base Exámenes'!$I$5:$I$1000, 0))), ""), "")</f>
        <v/>
      </c>
      <c r="H778" s="11" t="str">
        <f>IF(F778="Completado", IFERROR(IF(INDEX('Base Exámenes'!$E$5:$E$1000, MATCH(A778&amp;"|"&amp;J778, 'Base Exámenes'!$I$5:$I$1000, 0))="", "", INDEX('Base Exámenes'!$E$5:$E$1000, MATCH(A778&amp;"|"&amp;J778, 'Base Exámenes'!$I$5:$I$1000, 0))), ""), "")</f>
        <v/>
      </c>
      <c r="I778" s="10" t="str">
        <f>IF(F778="Completado", IFERROR(IF(INDEX('Base Exámenes'!$F$5:$F$1000, MATCH(A778&amp;"|"&amp;J778, 'Base Exámenes'!$I$5:$I$1000, 0))="", "", INDEX('Base Exámenes'!$F$5:$F$1000, MATCH(A778&amp;"|"&amp;J778, 'Base Exámenes'!$I$5:$I$1000, 0))), ""), "")</f>
        <v/>
      </c>
      <c r="J778" s="6" t="str">
        <f>IF(F778="Completado", IF(COUNTIFS('Base Exámenes'!$C$5:$C$1000, A778, 'Base Exámenes'!$G$5:$G$1000, "&lt;&gt;")=0, "", _xlfn.MAXIFS('Base Exámenes'!$G$5:$G$1000, 'Base Exámenes'!$C$5:$C$1000, A778)), "")</f>
        <v/>
      </c>
      <c r="K778" s="6" t="str">
        <f>IF(F778="Completado", IFERROR(IF(INDEX('Base Exámenes'!$H$5:$H$1000, MATCH(A778&amp;"|"&amp;J778, 'Base Exámenes'!$I$5:$I$1000, 0))="", "", INDEX('Base Exámenes'!$H$5:$H$1000, MATCH(A778&amp;"|"&amp;J778, 'Base Exámenes'!$I$5:$I$1000, 0))), ""), "")</f>
        <v/>
      </c>
      <c r="L778" s="22" t="str">
        <f>IF($A778="","",COUNTIF('Base Exámenes'!$C$5:$C$1000, A778))</f>
        <v/>
      </c>
      <c r="M778" s="6" t="str">
        <f>IF($A778="","",IF(COUNTIF('Base Exámenes'!$C$5:$C$1000, A778)&gt;0, "", TRIM('Base Oficial'!H778)))</f>
        <v/>
      </c>
    </row>
    <row r="779">
      <c r="A779" s="4" t="str">
        <f>IF('Base Oficial'!A779="","",TRIM('Base Oficial'!A779))</f>
        <v/>
      </c>
      <c r="B779" s="6" t="str">
        <f>IF($A779="","",TRIM('Base Oficial'!B779))</f>
        <v/>
      </c>
      <c r="C779" s="6" t="str">
        <f>IF($A779="","",TRIM('Base Oficial'!F779))</f>
        <v/>
      </c>
      <c r="D779" s="6" t="str">
        <f>IF($A779="","",TRIM('Base Oficial'!G779))</f>
        <v/>
      </c>
      <c r="E779" s="6" t="str">
        <f>IF($A779="","",TRIM('Base Oficial'!D779))</f>
        <v/>
      </c>
      <c r="F779" s="4" t="str">
        <f>IF($A779="","",IF(COUNTIF('Base Exámenes'!$C$5:$C$1000, A779)&gt;0, "Completado", IF(M779&lt;&gt;"", M779, "Pendiente")))</f>
        <v/>
      </c>
      <c r="G779" s="11" t="str">
        <f>IF(F779="Completado", IFERROR(IF(INDEX('Base Exámenes'!$D$5:$D$1000, MATCH(A779&amp;"|"&amp;J779, 'Base Exámenes'!$I$5:$I$1000, 0))="", "", INDEX('Base Exámenes'!$D$5:$D$1000, MATCH(A779&amp;"|"&amp;J779, 'Base Exámenes'!$I$5:$I$1000, 0))), ""), "")</f>
        <v/>
      </c>
      <c r="H779" s="11" t="str">
        <f>IF(F779="Completado", IFERROR(IF(INDEX('Base Exámenes'!$E$5:$E$1000, MATCH(A779&amp;"|"&amp;J779, 'Base Exámenes'!$I$5:$I$1000, 0))="", "", INDEX('Base Exámenes'!$E$5:$E$1000, MATCH(A779&amp;"|"&amp;J779, 'Base Exámenes'!$I$5:$I$1000, 0))), ""), "")</f>
        <v/>
      </c>
      <c r="I779" s="10" t="str">
        <f>IF(F779="Completado", IFERROR(IF(INDEX('Base Exámenes'!$F$5:$F$1000, MATCH(A779&amp;"|"&amp;J779, 'Base Exámenes'!$I$5:$I$1000, 0))="", "", INDEX('Base Exámenes'!$F$5:$F$1000, MATCH(A779&amp;"|"&amp;J779, 'Base Exámenes'!$I$5:$I$1000, 0))), ""), "")</f>
        <v/>
      </c>
      <c r="J779" s="6" t="str">
        <f>IF(F779="Completado", IF(COUNTIFS('Base Exámenes'!$C$5:$C$1000, A779, 'Base Exámenes'!$G$5:$G$1000, "&lt;&gt;")=0, "", _xlfn.MAXIFS('Base Exámenes'!$G$5:$G$1000, 'Base Exámenes'!$C$5:$C$1000, A779)), "")</f>
        <v/>
      </c>
      <c r="K779" s="6" t="str">
        <f>IF(F779="Completado", IFERROR(IF(INDEX('Base Exámenes'!$H$5:$H$1000, MATCH(A779&amp;"|"&amp;J779, 'Base Exámenes'!$I$5:$I$1000, 0))="", "", INDEX('Base Exámenes'!$H$5:$H$1000, MATCH(A779&amp;"|"&amp;J779, 'Base Exámenes'!$I$5:$I$1000, 0))), ""), "")</f>
        <v/>
      </c>
      <c r="L779" s="22" t="str">
        <f>IF($A779="","",COUNTIF('Base Exámenes'!$C$5:$C$1000, A779))</f>
        <v/>
      </c>
      <c r="M779" s="6" t="str">
        <f>IF($A779="","",IF(COUNTIF('Base Exámenes'!$C$5:$C$1000, A779)&gt;0, "", TRIM('Base Oficial'!H779)))</f>
        <v/>
      </c>
    </row>
    <row r="780">
      <c r="A780" s="4" t="str">
        <f>IF('Base Oficial'!A780="","",TRIM('Base Oficial'!A780))</f>
        <v/>
      </c>
      <c r="B780" s="6" t="str">
        <f>IF($A780="","",TRIM('Base Oficial'!B780))</f>
        <v/>
      </c>
      <c r="C780" s="6" t="str">
        <f>IF($A780="","",TRIM('Base Oficial'!F780))</f>
        <v/>
      </c>
      <c r="D780" s="6" t="str">
        <f>IF($A780="","",TRIM('Base Oficial'!G780))</f>
        <v/>
      </c>
      <c r="E780" s="6" t="str">
        <f>IF($A780="","",TRIM('Base Oficial'!D780))</f>
        <v/>
      </c>
      <c r="F780" s="4" t="str">
        <f>IF($A780="","",IF(COUNTIF('Base Exámenes'!$C$5:$C$1000, A780)&gt;0, "Completado", IF(M780&lt;&gt;"", M780, "Pendiente")))</f>
        <v/>
      </c>
      <c r="G780" s="11" t="str">
        <f>IF(F780="Completado", IFERROR(IF(INDEX('Base Exámenes'!$D$5:$D$1000, MATCH(A780&amp;"|"&amp;J780, 'Base Exámenes'!$I$5:$I$1000, 0))="", "", INDEX('Base Exámenes'!$D$5:$D$1000, MATCH(A780&amp;"|"&amp;J780, 'Base Exámenes'!$I$5:$I$1000, 0))), ""), "")</f>
        <v/>
      </c>
      <c r="H780" s="11" t="str">
        <f>IF(F780="Completado", IFERROR(IF(INDEX('Base Exámenes'!$E$5:$E$1000, MATCH(A780&amp;"|"&amp;J780, 'Base Exámenes'!$I$5:$I$1000, 0))="", "", INDEX('Base Exámenes'!$E$5:$E$1000, MATCH(A780&amp;"|"&amp;J780, 'Base Exámenes'!$I$5:$I$1000, 0))), ""), "")</f>
        <v/>
      </c>
      <c r="I780" s="10" t="str">
        <f>IF(F780="Completado", IFERROR(IF(INDEX('Base Exámenes'!$F$5:$F$1000, MATCH(A780&amp;"|"&amp;J780, 'Base Exámenes'!$I$5:$I$1000, 0))="", "", INDEX('Base Exámenes'!$F$5:$F$1000, MATCH(A780&amp;"|"&amp;J780, 'Base Exámenes'!$I$5:$I$1000, 0))), ""), "")</f>
        <v/>
      </c>
      <c r="J780" s="6" t="str">
        <f>IF(F780="Completado", IF(COUNTIFS('Base Exámenes'!$C$5:$C$1000, A780, 'Base Exámenes'!$G$5:$G$1000, "&lt;&gt;")=0, "", _xlfn.MAXIFS('Base Exámenes'!$G$5:$G$1000, 'Base Exámenes'!$C$5:$C$1000, A780)), "")</f>
        <v/>
      </c>
      <c r="K780" s="6" t="str">
        <f>IF(F780="Completado", IFERROR(IF(INDEX('Base Exámenes'!$H$5:$H$1000, MATCH(A780&amp;"|"&amp;J780, 'Base Exámenes'!$I$5:$I$1000, 0))="", "", INDEX('Base Exámenes'!$H$5:$H$1000, MATCH(A780&amp;"|"&amp;J780, 'Base Exámenes'!$I$5:$I$1000, 0))), ""), "")</f>
        <v/>
      </c>
      <c r="L780" s="22" t="str">
        <f>IF($A780="","",COUNTIF('Base Exámenes'!$C$5:$C$1000, A780))</f>
        <v/>
      </c>
      <c r="M780" s="6" t="str">
        <f>IF($A780="","",IF(COUNTIF('Base Exámenes'!$C$5:$C$1000, A780)&gt;0, "", TRIM('Base Oficial'!H780)))</f>
        <v/>
      </c>
    </row>
    <row r="781">
      <c r="A781" s="4" t="str">
        <f>IF('Base Oficial'!A781="","",TRIM('Base Oficial'!A781))</f>
        <v/>
      </c>
      <c r="B781" s="6" t="str">
        <f>IF($A781="","",TRIM('Base Oficial'!B781))</f>
        <v/>
      </c>
      <c r="C781" s="6" t="str">
        <f>IF($A781="","",TRIM('Base Oficial'!F781))</f>
        <v/>
      </c>
      <c r="D781" s="6" t="str">
        <f>IF($A781="","",TRIM('Base Oficial'!G781))</f>
        <v/>
      </c>
      <c r="E781" s="6" t="str">
        <f>IF($A781="","",TRIM('Base Oficial'!D781))</f>
        <v/>
      </c>
      <c r="F781" s="4" t="str">
        <f>IF($A781="","",IF(COUNTIF('Base Exámenes'!$C$5:$C$1000, A781)&gt;0, "Completado", IF(M781&lt;&gt;"", M781, "Pendiente")))</f>
        <v/>
      </c>
      <c r="G781" s="11" t="str">
        <f>IF(F781="Completado", IFERROR(IF(INDEX('Base Exámenes'!$D$5:$D$1000, MATCH(A781&amp;"|"&amp;J781, 'Base Exámenes'!$I$5:$I$1000, 0))="", "", INDEX('Base Exámenes'!$D$5:$D$1000, MATCH(A781&amp;"|"&amp;J781, 'Base Exámenes'!$I$5:$I$1000, 0))), ""), "")</f>
        <v/>
      </c>
      <c r="H781" s="11" t="str">
        <f>IF(F781="Completado", IFERROR(IF(INDEX('Base Exámenes'!$E$5:$E$1000, MATCH(A781&amp;"|"&amp;J781, 'Base Exámenes'!$I$5:$I$1000, 0))="", "", INDEX('Base Exámenes'!$E$5:$E$1000, MATCH(A781&amp;"|"&amp;J781, 'Base Exámenes'!$I$5:$I$1000, 0))), ""), "")</f>
        <v/>
      </c>
      <c r="I781" s="10" t="str">
        <f>IF(F781="Completado", IFERROR(IF(INDEX('Base Exámenes'!$F$5:$F$1000, MATCH(A781&amp;"|"&amp;J781, 'Base Exámenes'!$I$5:$I$1000, 0))="", "", INDEX('Base Exámenes'!$F$5:$F$1000, MATCH(A781&amp;"|"&amp;J781, 'Base Exámenes'!$I$5:$I$1000, 0))), ""), "")</f>
        <v/>
      </c>
      <c r="J781" s="6" t="str">
        <f>IF(F781="Completado", IF(COUNTIFS('Base Exámenes'!$C$5:$C$1000, A781, 'Base Exámenes'!$G$5:$G$1000, "&lt;&gt;")=0, "", _xlfn.MAXIFS('Base Exámenes'!$G$5:$G$1000, 'Base Exámenes'!$C$5:$C$1000, A781)), "")</f>
        <v/>
      </c>
      <c r="K781" s="6" t="str">
        <f>IF(F781="Completado", IFERROR(IF(INDEX('Base Exámenes'!$H$5:$H$1000, MATCH(A781&amp;"|"&amp;J781, 'Base Exámenes'!$I$5:$I$1000, 0))="", "", INDEX('Base Exámenes'!$H$5:$H$1000, MATCH(A781&amp;"|"&amp;J781, 'Base Exámenes'!$I$5:$I$1000, 0))), ""), "")</f>
        <v/>
      </c>
      <c r="L781" s="22" t="str">
        <f>IF($A781="","",COUNTIF('Base Exámenes'!$C$5:$C$1000, A781))</f>
        <v/>
      </c>
      <c r="M781" s="6" t="str">
        <f>IF($A781="","",IF(COUNTIF('Base Exámenes'!$C$5:$C$1000, A781)&gt;0, "", TRIM('Base Oficial'!H781)))</f>
        <v/>
      </c>
    </row>
    <row r="782">
      <c r="A782" s="4" t="str">
        <f>IF('Base Oficial'!A782="","",TRIM('Base Oficial'!A782))</f>
        <v/>
      </c>
      <c r="B782" s="6" t="str">
        <f>IF($A782="","",TRIM('Base Oficial'!B782))</f>
        <v/>
      </c>
      <c r="C782" s="6" t="str">
        <f>IF($A782="","",TRIM('Base Oficial'!F782))</f>
        <v/>
      </c>
      <c r="D782" s="6" t="str">
        <f>IF($A782="","",TRIM('Base Oficial'!G782))</f>
        <v/>
      </c>
      <c r="E782" s="6" t="str">
        <f>IF($A782="","",TRIM('Base Oficial'!D782))</f>
        <v/>
      </c>
      <c r="F782" s="4" t="str">
        <f>IF($A782="","",IF(COUNTIF('Base Exámenes'!$C$5:$C$1000, A782)&gt;0, "Completado", IF(M782&lt;&gt;"", M782, "Pendiente")))</f>
        <v/>
      </c>
      <c r="G782" s="11" t="str">
        <f>IF(F782="Completado", IFERROR(IF(INDEX('Base Exámenes'!$D$5:$D$1000, MATCH(A782&amp;"|"&amp;J782, 'Base Exámenes'!$I$5:$I$1000, 0))="", "", INDEX('Base Exámenes'!$D$5:$D$1000, MATCH(A782&amp;"|"&amp;J782, 'Base Exámenes'!$I$5:$I$1000, 0))), ""), "")</f>
        <v/>
      </c>
      <c r="H782" s="11" t="str">
        <f>IF(F782="Completado", IFERROR(IF(INDEX('Base Exámenes'!$E$5:$E$1000, MATCH(A782&amp;"|"&amp;J782, 'Base Exámenes'!$I$5:$I$1000, 0))="", "", INDEX('Base Exámenes'!$E$5:$E$1000, MATCH(A782&amp;"|"&amp;J782, 'Base Exámenes'!$I$5:$I$1000, 0))), ""), "")</f>
        <v/>
      </c>
      <c r="I782" s="10" t="str">
        <f>IF(F782="Completado", IFERROR(IF(INDEX('Base Exámenes'!$F$5:$F$1000, MATCH(A782&amp;"|"&amp;J782, 'Base Exámenes'!$I$5:$I$1000, 0))="", "", INDEX('Base Exámenes'!$F$5:$F$1000, MATCH(A782&amp;"|"&amp;J782, 'Base Exámenes'!$I$5:$I$1000, 0))), ""), "")</f>
        <v/>
      </c>
      <c r="J782" s="6" t="str">
        <f>IF(F782="Completado", IF(COUNTIFS('Base Exámenes'!$C$5:$C$1000, A782, 'Base Exámenes'!$G$5:$G$1000, "&lt;&gt;")=0, "", _xlfn.MAXIFS('Base Exámenes'!$G$5:$G$1000, 'Base Exámenes'!$C$5:$C$1000, A782)), "")</f>
        <v/>
      </c>
      <c r="K782" s="6" t="str">
        <f>IF(F782="Completado", IFERROR(IF(INDEX('Base Exámenes'!$H$5:$H$1000, MATCH(A782&amp;"|"&amp;J782, 'Base Exámenes'!$I$5:$I$1000, 0))="", "", INDEX('Base Exámenes'!$H$5:$H$1000, MATCH(A782&amp;"|"&amp;J782, 'Base Exámenes'!$I$5:$I$1000, 0))), ""), "")</f>
        <v/>
      </c>
      <c r="L782" s="22" t="str">
        <f>IF($A782="","",COUNTIF('Base Exámenes'!$C$5:$C$1000, A782))</f>
        <v/>
      </c>
      <c r="M782" s="6" t="str">
        <f>IF($A782="","",IF(COUNTIF('Base Exámenes'!$C$5:$C$1000, A782)&gt;0, "", TRIM('Base Oficial'!H782)))</f>
        <v/>
      </c>
    </row>
    <row r="783">
      <c r="A783" s="4" t="str">
        <f>IF('Base Oficial'!A783="","",TRIM('Base Oficial'!A783))</f>
        <v/>
      </c>
      <c r="B783" s="6" t="str">
        <f>IF($A783="","",TRIM('Base Oficial'!B783))</f>
        <v/>
      </c>
      <c r="C783" s="6" t="str">
        <f>IF($A783="","",TRIM('Base Oficial'!F783))</f>
        <v/>
      </c>
      <c r="D783" s="6" t="str">
        <f>IF($A783="","",TRIM('Base Oficial'!G783))</f>
        <v/>
      </c>
      <c r="E783" s="6" t="str">
        <f>IF($A783="","",TRIM('Base Oficial'!D783))</f>
        <v/>
      </c>
      <c r="F783" s="4" t="str">
        <f>IF($A783="","",IF(COUNTIF('Base Exámenes'!$C$5:$C$1000, A783)&gt;0, "Completado", IF(M783&lt;&gt;"", M783, "Pendiente")))</f>
        <v/>
      </c>
      <c r="G783" s="11" t="str">
        <f>IF(F783="Completado", IFERROR(IF(INDEX('Base Exámenes'!$D$5:$D$1000, MATCH(A783&amp;"|"&amp;J783, 'Base Exámenes'!$I$5:$I$1000, 0))="", "", INDEX('Base Exámenes'!$D$5:$D$1000, MATCH(A783&amp;"|"&amp;J783, 'Base Exámenes'!$I$5:$I$1000, 0))), ""), "")</f>
        <v/>
      </c>
      <c r="H783" s="11" t="str">
        <f>IF(F783="Completado", IFERROR(IF(INDEX('Base Exámenes'!$E$5:$E$1000, MATCH(A783&amp;"|"&amp;J783, 'Base Exámenes'!$I$5:$I$1000, 0))="", "", INDEX('Base Exámenes'!$E$5:$E$1000, MATCH(A783&amp;"|"&amp;J783, 'Base Exámenes'!$I$5:$I$1000, 0))), ""), "")</f>
        <v/>
      </c>
      <c r="I783" s="10" t="str">
        <f>IF(F783="Completado", IFERROR(IF(INDEX('Base Exámenes'!$F$5:$F$1000, MATCH(A783&amp;"|"&amp;J783, 'Base Exámenes'!$I$5:$I$1000, 0))="", "", INDEX('Base Exámenes'!$F$5:$F$1000, MATCH(A783&amp;"|"&amp;J783, 'Base Exámenes'!$I$5:$I$1000, 0))), ""), "")</f>
        <v/>
      </c>
      <c r="J783" s="6" t="str">
        <f>IF(F783="Completado", IF(COUNTIFS('Base Exámenes'!$C$5:$C$1000, A783, 'Base Exámenes'!$G$5:$G$1000, "&lt;&gt;")=0, "", _xlfn.MAXIFS('Base Exámenes'!$G$5:$G$1000, 'Base Exámenes'!$C$5:$C$1000, A783)), "")</f>
        <v/>
      </c>
      <c r="K783" s="6" t="str">
        <f>IF(F783="Completado", IFERROR(IF(INDEX('Base Exámenes'!$H$5:$H$1000, MATCH(A783&amp;"|"&amp;J783, 'Base Exámenes'!$I$5:$I$1000, 0))="", "", INDEX('Base Exámenes'!$H$5:$H$1000, MATCH(A783&amp;"|"&amp;J783, 'Base Exámenes'!$I$5:$I$1000, 0))), ""), "")</f>
        <v/>
      </c>
      <c r="L783" s="22" t="str">
        <f>IF($A783="","",COUNTIF('Base Exámenes'!$C$5:$C$1000, A783))</f>
        <v/>
      </c>
      <c r="M783" s="6" t="str">
        <f>IF($A783="","",IF(COUNTIF('Base Exámenes'!$C$5:$C$1000, A783)&gt;0, "", TRIM('Base Oficial'!H783)))</f>
        <v/>
      </c>
    </row>
    <row r="784">
      <c r="A784" s="4" t="str">
        <f>IF('Base Oficial'!A784="","",TRIM('Base Oficial'!A784))</f>
        <v/>
      </c>
      <c r="B784" s="6" t="str">
        <f>IF($A784="","",TRIM('Base Oficial'!B784))</f>
        <v/>
      </c>
      <c r="C784" s="6" t="str">
        <f>IF($A784="","",TRIM('Base Oficial'!F784))</f>
        <v/>
      </c>
      <c r="D784" s="6" t="str">
        <f>IF($A784="","",TRIM('Base Oficial'!G784))</f>
        <v/>
      </c>
      <c r="E784" s="6" t="str">
        <f>IF($A784="","",TRIM('Base Oficial'!D784))</f>
        <v/>
      </c>
      <c r="F784" s="4" t="str">
        <f>IF($A784="","",IF(COUNTIF('Base Exámenes'!$C$5:$C$1000, A784)&gt;0, "Completado", IF(M784&lt;&gt;"", M784, "Pendiente")))</f>
        <v/>
      </c>
      <c r="G784" s="11" t="str">
        <f>IF(F784="Completado", IFERROR(IF(INDEX('Base Exámenes'!$D$5:$D$1000, MATCH(A784&amp;"|"&amp;J784, 'Base Exámenes'!$I$5:$I$1000, 0))="", "", INDEX('Base Exámenes'!$D$5:$D$1000, MATCH(A784&amp;"|"&amp;J784, 'Base Exámenes'!$I$5:$I$1000, 0))), ""), "")</f>
        <v/>
      </c>
      <c r="H784" s="11" t="str">
        <f>IF(F784="Completado", IFERROR(IF(INDEX('Base Exámenes'!$E$5:$E$1000, MATCH(A784&amp;"|"&amp;J784, 'Base Exámenes'!$I$5:$I$1000, 0))="", "", INDEX('Base Exámenes'!$E$5:$E$1000, MATCH(A784&amp;"|"&amp;J784, 'Base Exámenes'!$I$5:$I$1000, 0))), ""), "")</f>
        <v/>
      </c>
      <c r="I784" s="10" t="str">
        <f>IF(F784="Completado", IFERROR(IF(INDEX('Base Exámenes'!$F$5:$F$1000, MATCH(A784&amp;"|"&amp;J784, 'Base Exámenes'!$I$5:$I$1000, 0))="", "", INDEX('Base Exámenes'!$F$5:$F$1000, MATCH(A784&amp;"|"&amp;J784, 'Base Exámenes'!$I$5:$I$1000, 0))), ""), "")</f>
        <v/>
      </c>
      <c r="J784" s="6" t="str">
        <f>IF(F784="Completado", IF(COUNTIFS('Base Exámenes'!$C$5:$C$1000, A784, 'Base Exámenes'!$G$5:$G$1000, "&lt;&gt;")=0, "", _xlfn.MAXIFS('Base Exámenes'!$G$5:$G$1000, 'Base Exámenes'!$C$5:$C$1000, A784)), "")</f>
        <v/>
      </c>
      <c r="K784" s="6" t="str">
        <f>IF(F784="Completado", IFERROR(IF(INDEX('Base Exámenes'!$H$5:$H$1000, MATCH(A784&amp;"|"&amp;J784, 'Base Exámenes'!$I$5:$I$1000, 0))="", "", INDEX('Base Exámenes'!$H$5:$H$1000, MATCH(A784&amp;"|"&amp;J784, 'Base Exámenes'!$I$5:$I$1000, 0))), ""), "")</f>
        <v/>
      </c>
      <c r="L784" s="22" t="str">
        <f>IF($A784="","",COUNTIF('Base Exámenes'!$C$5:$C$1000, A784))</f>
        <v/>
      </c>
      <c r="M784" s="6" t="str">
        <f>IF($A784="","",IF(COUNTIF('Base Exámenes'!$C$5:$C$1000, A784)&gt;0, "", TRIM('Base Oficial'!H784)))</f>
        <v/>
      </c>
    </row>
    <row r="785">
      <c r="A785" s="4" t="str">
        <f>IF('Base Oficial'!A785="","",TRIM('Base Oficial'!A785))</f>
        <v/>
      </c>
      <c r="B785" s="6" t="str">
        <f>IF($A785="","",TRIM('Base Oficial'!B785))</f>
        <v/>
      </c>
      <c r="C785" s="6" t="str">
        <f>IF($A785="","",TRIM('Base Oficial'!F785))</f>
        <v/>
      </c>
      <c r="D785" s="6" t="str">
        <f>IF($A785="","",TRIM('Base Oficial'!G785))</f>
        <v/>
      </c>
      <c r="E785" s="6" t="str">
        <f>IF($A785="","",TRIM('Base Oficial'!D785))</f>
        <v/>
      </c>
      <c r="F785" s="4" t="str">
        <f>IF($A785="","",IF(COUNTIF('Base Exámenes'!$C$5:$C$1000, A785)&gt;0, "Completado", IF(M785&lt;&gt;"", M785, "Pendiente")))</f>
        <v/>
      </c>
      <c r="G785" s="11" t="str">
        <f>IF(F785="Completado", IFERROR(IF(INDEX('Base Exámenes'!$D$5:$D$1000, MATCH(A785&amp;"|"&amp;J785, 'Base Exámenes'!$I$5:$I$1000, 0))="", "", INDEX('Base Exámenes'!$D$5:$D$1000, MATCH(A785&amp;"|"&amp;J785, 'Base Exámenes'!$I$5:$I$1000, 0))), ""), "")</f>
        <v/>
      </c>
      <c r="H785" s="11" t="str">
        <f>IF(F785="Completado", IFERROR(IF(INDEX('Base Exámenes'!$E$5:$E$1000, MATCH(A785&amp;"|"&amp;J785, 'Base Exámenes'!$I$5:$I$1000, 0))="", "", INDEX('Base Exámenes'!$E$5:$E$1000, MATCH(A785&amp;"|"&amp;J785, 'Base Exámenes'!$I$5:$I$1000, 0))), ""), "")</f>
        <v/>
      </c>
      <c r="I785" s="10" t="str">
        <f>IF(F785="Completado", IFERROR(IF(INDEX('Base Exámenes'!$F$5:$F$1000, MATCH(A785&amp;"|"&amp;J785, 'Base Exámenes'!$I$5:$I$1000, 0))="", "", INDEX('Base Exámenes'!$F$5:$F$1000, MATCH(A785&amp;"|"&amp;J785, 'Base Exámenes'!$I$5:$I$1000, 0))), ""), "")</f>
        <v/>
      </c>
      <c r="J785" s="6" t="str">
        <f>IF(F785="Completado", IF(COUNTIFS('Base Exámenes'!$C$5:$C$1000, A785, 'Base Exámenes'!$G$5:$G$1000, "&lt;&gt;")=0, "", _xlfn.MAXIFS('Base Exámenes'!$G$5:$G$1000, 'Base Exámenes'!$C$5:$C$1000, A785)), "")</f>
        <v/>
      </c>
      <c r="K785" s="6" t="str">
        <f>IF(F785="Completado", IFERROR(IF(INDEX('Base Exámenes'!$H$5:$H$1000, MATCH(A785&amp;"|"&amp;J785, 'Base Exámenes'!$I$5:$I$1000, 0))="", "", INDEX('Base Exámenes'!$H$5:$H$1000, MATCH(A785&amp;"|"&amp;J785, 'Base Exámenes'!$I$5:$I$1000, 0))), ""), "")</f>
        <v/>
      </c>
      <c r="L785" s="22" t="str">
        <f>IF($A785="","",COUNTIF('Base Exámenes'!$C$5:$C$1000, A785))</f>
        <v/>
      </c>
      <c r="M785" s="6" t="str">
        <f>IF($A785="","",IF(COUNTIF('Base Exámenes'!$C$5:$C$1000, A785)&gt;0, "", TRIM('Base Oficial'!H785)))</f>
        <v/>
      </c>
    </row>
    <row r="786">
      <c r="A786" s="4" t="str">
        <f>IF('Base Oficial'!A786="","",TRIM('Base Oficial'!A786))</f>
        <v/>
      </c>
      <c r="B786" s="6" t="str">
        <f>IF($A786="","",TRIM('Base Oficial'!B786))</f>
        <v/>
      </c>
      <c r="C786" s="6" t="str">
        <f>IF($A786="","",TRIM('Base Oficial'!F786))</f>
        <v/>
      </c>
      <c r="D786" s="6" t="str">
        <f>IF($A786="","",TRIM('Base Oficial'!G786))</f>
        <v/>
      </c>
      <c r="E786" s="6" t="str">
        <f>IF($A786="","",TRIM('Base Oficial'!D786))</f>
        <v/>
      </c>
      <c r="F786" s="4" t="str">
        <f>IF($A786="","",IF(COUNTIF('Base Exámenes'!$C$5:$C$1000, A786)&gt;0, "Completado", IF(M786&lt;&gt;"", M786, "Pendiente")))</f>
        <v/>
      </c>
      <c r="G786" s="11" t="str">
        <f>IF(F786="Completado", IFERROR(IF(INDEX('Base Exámenes'!$D$5:$D$1000, MATCH(A786&amp;"|"&amp;J786, 'Base Exámenes'!$I$5:$I$1000, 0))="", "", INDEX('Base Exámenes'!$D$5:$D$1000, MATCH(A786&amp;"|"&amp;J786, 'Base Exámenes'!$I$5:$I$1000, 0))), ""), "")</f>
        <v/>
      </c>
      <c r="H786" s="11" t="str">
        <f>IF(F786="Completado", IFERROR(IF(INDEX('Base Exámenes'!$E$5:$E$1000, MATCH(A786&amp;"|"&amp;J786, 'Base Exámenes'!$I$5:$I$1000, 0))="", "", INDEX('Base Exámenes'!$E$5:$E$1000, MATCH(A786&amp;"|"&amp;J786, 'Base Exámenes'!$I$5:$I$1000, 0))), ""), "")</f>
        <v/>
      </c>
      <c r="I786" s="10" t="str">
        <f>IF(F786="Completado", IFERROR(IF(INDEX('Base Exámenes'!$F$5:$F$1000, MATCH(A786&amp;"|"&amp;J786, 'Base Exámenes'!$I$5:$I$1000, 0))="", "", INDEX('Base Exámenes'!$F$5:$F$1000, MATCH(A786&amp;"|"&amp;J786, 'Base Exámenes'!$I$5:$I$1000, 0))), ""), "")</f>
        <v/>
      </c>
      <c r="J786" s="6" t="str">
        <f>IF(F786="Completado", IF(COUNTIFS('Base Exámenes'!$C$5:$C$1000, A786, 'Base Exámenes'!$G$5:$G$1000, "&lt;&gt;")=0, "", _xlfn.MAXIFS('Base Exámenes'!$G$5:$G$1000, 'Base Exámenes'!$C$5:$C$1000, A786)), "")</f>
        <v/>
      </c>
      <c r="K786" s="6" t="str">
        <f>IF(F786="Completado", IFERROR(IF(INDEX('Base Exámenes'!$H$5:$H$1000, MATCH(A786&amp;"|"&amp;J786, 'Base Exámenes'!$I$5:$I$1000, 0))="", "", INDEX('Base Exámenes'!$H$5:$H$1000, MATCH(A786&amp;"|"&amp;J786, 'Base Exámenes'!$I$5:$I$1000, 0))), ""), "")</f>
        <v/>
      </c>
      <c r="L786" s="22" t="str">
        <f>IF($A786="","",COUNTIF('Base Exámenes'!$C$5:$C$1000, A786))</f>
        <v/>
      </c>
      <c r="M786" s="6" t="str">
        <f>IF($A786="","",IF(COUNTIF('Base Exámenes'!$C$5:$C$1000, A786)&gt;0, "", TRIM('Base Oficial'!H786)))</f>
        <v/>
      </c>
    </row>
    <row r="787">
      <c r="A787" s="4" t="str">
        <f>IF('Base Oficial'!A787="","",TRIM('Base Oficial'!A787))</f>
        <v/>
      </c>
      <c r="B787" s="6" t="str">
        <f>IF($A787="","",TRIM('Base Oficial'!B787))</f>
        <v/>
      </c>
      <c r="C787" s="6" t="str">
        <f>IF($A787="","",TRIM('Base Oficial'!F787))</f>
        <v/>
      </c>
      <c r="D787" s="6" t="str">
        <f>IF($A787="","",TRIM('Base Oficial'!G787))</f>
        <v/>
      </c>
      <c r="E787" s="6" t="str">
        <f>IF($A787="","",TRIM('Base Oficial'!D787))</f>
        <v/>
      </c>
      <c r="F787" s="4" t="str">
        <f>IF($A787="","",IF(COUNTIF('Base Exámenes'!$C$5:$C$1000, A787)&gt;0, "Completado", IF(M787&lt;&gt;"", M787, "Pendiente")))</f>
        <v/>
      </c>
      <c r="G787" s="11" t="str">
        <f>IF(F787="Completado", IFERROR(IF(INDEX('Base Exámenes'!$D$5:$D$1000, MATCH(A787&amp;"|"&amp;J787, 'Base Exámenes'!$I$5:$I$1000, 0))="", "", INDEX('Base Exámenes'!$D$5:$D$1000, MATCH(A787&amp;"|"&amp;J787, 'Base Exámenes'!$I$5:$I$1000, 0))), ""), "")</f>
        <v/>
      </c>
      <c r="H787" s="11" t="str">
        <f>IF(F787="Completado", IFERROR(IF(INDEX('Base Exámenes'!$E$5:$E$1000, MATCH(A787&amp;"|"&amp;J787, 'Base Exámenes'!$I$5:$I$1000, 0))="", "", INDEX('Base Exámenes'!$E$5:$E$1000, MATCH(A787&amp;"|"&amp;J787, 'Base Exámenes'!$I$5:$I$1000, 0))), ""), "")</f>
        <v/>
      </c>
      <c r="I787" s="10" t="str">
        <f>IF(F787="Completado", IFERROR(IF(INDEX('Base Exámenes'!$F$5:$F$1000, MATCH(A787&amp;"|"&amp;J787, 'Base Exámenes'!$I$5:$I$1000, 0))="", "", INDEX('Base Exámenes'!$F$5:$F$1000, MATCH(A787&amp;"|"&amp;J787, 'Base Exámenes'!$I$5:$I$1000, 0))), ""), "")</f>
        <v/>
      </c>
      <c r="J787" s="6" t="str">
        <f>IF(F787="Completado", IF(COUNTIFS('Base Exámenes'!$C$5:$C$1000, A787, 'Base Exámenes'!$G$5:$G$1000, "&lt;&gt;")=0, "", _xlfn.MAXIFS('Base Exámenes'!$G$5:$G$1000, 'Base Exámenes'!$C$5:$C$1000, A787)), "")</f>
        <v/>
      </c>
      <c r="K787" s="6" t="str">
        <f>IF(F787="Completado", IFERROR(IF(INDEX('Base Exámenes'!$H$5:$H$1000, MATCH(A787&amp;"|"&amp;J787, 'Base Exámenes'!$I$5:$I$1000, 0))="", "", INDEX('Base Exámenes'!$H$5:$H$1000, MATCH(A787&amp;"|"&amp;J787, 'Base Exámenes'!$I$5:$I$1000, 0))), ""), "")</f>
        <v/>
      </c>
      <c r="L787" s="22" t="str">
        <f>IF($A787="","",COUNTIF('Base Exámenes'!$C$5:$C$1000, A787))</f>
        <v/>
      </c>
      <c r="M787" s="6" t="str">
        <f>IF($A787="","",IF(COUNTIF('Base Exámenes'!$C$5:$C$1000, A787)&gt;0, "", TRIM('Base Oficial'!H787)))</f>
        <v/>
      </c>
    </row>
    <row r="788">
      <c r="A788" s="4" t="str">
        <f>IF('Base Oficial'!A788="","",TRIM('Base Oficial'!A788))</f>
        <v/>
      </c>
      <c r="B788" s="6" t="str">
        <f>IF($A788="","",TRIM('Base Oficial'!B788))</f>
        <v/>
      </c>
      <c r="C788" s="6" t="str">
        <f>IF($A788="","",TRIM('Base Oficial'!F788))</f>
        <v/>
      </c>
      <c r="D788" s="6" t="str">
        <f>IF($A788="","",TRIM('Base Oficial'!G788))</f>
        <v/>
      </c>
      <c r="E788" s="6" t="str">
        <f>IF($A788="","",TRIM('Base Oficial'!D788))</f>
        <v/>
      </c>
      <c r="F788" s="4" t="str">
        <f>IF($A788="","",IF(COUNTIF('Base Exámenes'!$C$5:$C$1000, A788)&gt;0, "Completado", IF(M788&lt;&gt;"", M788, "Pendiente")))</f>
        <v/>
      </c>
      <c r="G788" s="11" t="str">
        <f>IF(F788="Completado", IFERROR(IF(INDEX('Base Exámenes'!$D$5:$D$1000, MATCH(A788&amp;"|"&amp;J788, 'Base Exámenes'!$I$5:$I$1000, 0))="", "", INDEX('Base Exámenes'!$D$5:$D$1000, MATCH(A788&amp;"|"&amp;J788, 'Base Exámenes'!$I$5:$I$1000, 0))), ""), "")</f>
        <v/>
      </c>
      <c r="H788" s="11" t="str">
        <f>IF(F788="Completado", IFERROR(IF(INDEX('Base Exámenes'!$E$5:$E$1000, MATCH(A788&amp;"|"&amp;J788, 'Base Exámenes'!$I$5:$I$1000, 0))="", "", INDEX('Base Exámenes'!$E$5:$E$1000, MATCH(A788&amp;"|"&amp;J788, 'Base Exámenes'!$I$5:$I$1000, 0))), ""), "")</f>
        <v/>
      </c>
      <c r="I788" s="10" t="str">
        <f>IF(F788="Completado", IFERROR(IF(INDEX('Base Exámenes'!$F$5:$F$1000, MATCH(A788&amp;"|"&amp;J788, 'Base Exámenes'!$I$5:$I$1000, 0))="", "", INDEX('Base Exámenes'!$F$5:$F$1000, MATCH(A788&amp;"|"&amp;J788, 'Base Exámenes'!$I$5:$I$1000, 0))), ""), "")</f>
        <v/>
      </c>
      <c r="J788" s="6" t="str">
        <f>IF(F788="Completado", IF(COUNTIFS('Base Exámenes'!$C$5:$C$1000, A788, 'Base Exámenes'!$G$5:$G$1000, "&lt;&gt;")=0, "", _xlfn.MAXIFS('Base Exámenes'!$G$5:$G$1000, 'Base Exámenes'!$C$5:$C$1000, A788)), "")</f>
        <v/>
      </c>
      <c r="K788" s="6" t="str">
        <f>IF(F788="Completado", IFERROR(IF(INDEX('Base Exámenes'!$H$5:$H$1000, MATCH(A788&amp;"|"&amp;J788, 'Base Exámenes'!$I$5:$I$1000, 0))="", "", INDEX('Base Exámenes'!$H$5:$H$1000, MATCH(A788&amp;"|"&amp;J788, 'Base Exámenes'!$I$5:$I$1000, 0))), ""), "")</f>
        <v/>
      </c>
      <c r="L788" s="22" t="str">
        <f>IF($A788="","",COUNTIF('Base Exámenes'!$C$5:$C$1000, A788))</f>
        <v/>
      </c>
      <c r="M788" s="6" t="str">
        <f>IF($A788="","",IF(COUNTIF('Base Exámenes'!$C$5:$C$1000, A788)&gt;0, "", TRIM('Base Oficial'!H788)))</f>
        <v/>
      </c>
    </row>
    <row r="789">
      <c r="A789" s="4" t="str">
        <f>IF('Base Oficial'!A789="","",TRIM('Base Oficial'!A789))</f>
        <v/>
      </c>
      <c r="B789" s="6" t="str">
        <f>IF($A789="","",TRIM('Base Oficial'!B789))</f>
        <v/>
      </c>
      <c r="C789" s="6" t="str">
        <f>IF($A789="","",TRIM('Base Oficial'!F789))</f>
        <v/>
      </c>
      <c r="D789" s="6" t="str">
        <f>IF($A789="","",TRIM('Base Oficial'!G789))</f>
        <v/>
      </c>
      <c r="E789" s="6" t="str">
        <f>IF($A789="","",TRIM('Base Oficial'!D789))</f>
        <v/>
      </c>
      <c r="F789" s="4" t="str">
        <f>IF($A789="","",IF(COUNTIF('Base Exámenes'!$C$5:$C$1000, A789)&gt;0, "Completado", IF(M789&lt;&gt;"", M789, "Pendiente")))</f>
        <v/>
      </c>
      <c r="G789" s="11" t="str">
        <f>IF(F789="Completado", IFERROR(IF(INDEX('Base Exámenes'!$D$5:$D$1000, MATCH(A789&amp;"|"&amp;J789, 'Base Exámenes'!$I$5:$I$1000, 0))="", "", INDEX('Base Exámenes'!$D$5:$D$1000, MATCH(A789&amp;"|"&amp;J789, 'Base Exámenes'!$I$5:$I$1000, 0))), ""), "")</f>
        <v/>
      </c>
      <c r="H789" s="11" t="str">
        <f>IF(F789="Completado", IFERROR(IF(INDEX('Base Exámenes'!$E$5:$E$1000, MATCH(A789&amp;"|"&amp;J789, 'Base Exámenes'!$I$5:$I$1000, 0))="", "", INDEX('Base Exámenes'!$E$5:$E$1000, MATCH(A789&amp;"|"&amp;J789, 'Base Exámenes'!$I$5:$I$1000, 0))), ""), "")</f>
        <v/>
      </c>
      <c r="I789" s="10" t="str">
        <f>IF(F789="Completado", IFERROR(IF(INDEX('Base Exámenes'!$F$5:$F$1000, MATCH(A789&amp;"|"&amp;J789, 'Base Exámenes'!$I$5:$I$1000, 0))="", "", INDEX('Base Exámenes'!$F$5:$F$1000, MATCH(A789&amp;"|"&amp;J789, 'Base Exámenes'!$I$5:$I$1000, 0))), ""), "")</f>
        <v/>
      </c>
      <c r="J789" s="6" t="str">
        <f>IF(F789="Completado", IF(COUNTIFS('Base Exámenes'!$C$5:$C$1000, A789, 'Base Exámenes'!$G$5:$G$1000, "&lt;&gt;")=0, "", _xlfn.MAXIFS('Base Exámenes'!$G$5:$G$1000, 'Base Exámenes'!$C$5:$C$1000, A789)), "")</f>
        <v/>
      </c>
      <c r="K789" s="6" t="str">
        <f>IF(F789="Completado", IFERROR(IF(INDEX('Base Exámenes'!$H$5:$H$1000, MATCH(A789&amp;"|"&amp;J789, 'Base Exámenes'!$I$5:$I$1000, 0))="", "", INDEX('Base Exámenes'!$H$5:$H$1000, MATCH(A789&amp;"|"&amp;J789, 'Base Exámenes'!$I$5:$I$1000, 0))), ""), "")</f>
        <v/>
      </c>
      <c r="L789" s="22" t="str">
        <f>IF($A789="","",COUNTIF('Base Exámenes'!$C$5:$C$1000, A789))</f>
        <v/>
      </c>
      <c r="M789" s="6" t="str">
        <f>IF($A789="","",IF(COUNTIF('Base Exámenes'!$C$5:$C$1000, A789)&gt;0, "", TRIM('Base Oficial'!H789)))</f>
        <v/>
      </c>
    </row>
    <row r="790">
      <c r="A790" s="4" t="str">
        <f>IF('Base Oficial'!A790="","",TRIM('Base Oficial'!A790))</f>
        <v/>
      </c>
      <c r="B790" s="6" t="str">
        <f>IF($A790="","",TRIM('Base Oficial'!B790))</f>
        <v/>
      </c>
      <c r="C790" s="6" t="str">
        <f>IF($A790="","",TRIM('Base Oficial'!F790))</f>
        <v/>
      </c>
      <c r="D790" s="6" t="str">
        <f>IF($A790="","",TRIM('Base Oficial'!G790))</f>
        <v/>
      </c>
      <c r="E790" s="6" t="str">
        <f>IF($A790="","",TRIM('Base Oficial'!D790))</f>
        <v/>
      </c>
      <c r="F790" s="4" t="str">
        <f>IF($A790="","",IF(COUNTIF('Base Exámenes'!$C$5:$C$1000, A790)&gt;0, "Completado", IF(M790&lt;&gt;"", M790, "Pendiente")))</f>
        <v/>
      </c>
      <c r="G790" s="11" t="str">
        <f>IF(F790="Completado", IFERROR(IF(INDEX('Base Exámenes'!$D$5:$D$1000, MATCH(A790&amp;"|"&amp;J790, 'Base Exámenes'!$I$5:$I$1000, 0))="", "", INDEX('Base Exámenes'!$D$5:$D$1000, MATCH(A790&amp;"|"&amp;J790, 'Base Exámenes'!$I$5:$I$1000, 0))), ""), "")</f>
        <v/>
      </c>
      <c r="H790" s="11" t="str">
        <f>IF(F790="Completado", IFERROR(IF(INDEX('Base Exámenes'!$E$5:$E$1000, MATCH(A790&amp;"|"&amp;J790, 'Base Exámenes'!$I$5:$I$1000, 0))="", "", INDEX('Base Exámenes'!$E$5:$E$1000, MATCH(A790&amp;"|"&amp;J790, 'Base Exámenes'!$I$5:$I$1000, 0))), ""), "")</f>
        <v/>
      </c>
      <c r="I790" s="10" t="str">
        <f>IF(F790="Completado", IFERROR(IF(INDEX('Base Exámenes'!$F$5:$F$1000, MATCH(A790&amp;"|"&amp;J790, 'Base Exámenes'!$I$5:$I$1000, 0))="", "", INDEX('Base Exámenes'!$F$5:$F$1000, MATCH(A790&amp;"|"&amp;J790, 'Base Exámenes'!$I$5:$I$1000, 0))), ""), "")</f>
        <v/>
      </c>
      <c r="J790" s="6" t="str">
        <f>IF(F790="Completado", IF(COUNTIFS('Base Exámenes'!$C$5:$C$1000, A790, 'Base Exámenes'!$G$5:$G$1000, "&lt;&gt;")=0, "", _xlfn.MAXIFS('Base Exámenes'!$G$5:$G$1000, 'Base Exámenes'!$C$5:$C$1000, A790)), "")</f>
        <v/>
      </c>
      <c r="K790" s="6" t="str">
        <f>IF(F790="Completado", IFERROR(IF(INDEX('Base Exámenes'!$H$5:$H$1000, MATCH(A790&amp;"|"&amp;J790, 'Base Exámenes'!$I$5:$I$1000, 0))="", "", INDEX('Base Exámenes'!$H$5:$H$1000, MATCH(A790&amp;"|"&amp;J790, 'Base Exámenes'!$I$5:$I$1000, 0))), ""), "")</f>
        <v/>
      </c>
      <c r="L790" s="22" t="str">
        <f>IF($A790="","",COUNTIF('Base Exámenes'!$C$5:$C$1000, A790))</f>
        <v/>
      </c>
      <c r="M790" s="6" t="str">
        <f>IF($A790="","",IF(COUNTIF('Base Exámenes'!$C$5:$C$1000, A790)&gt;0, "", TRIM('Base Oficial'!H790)))</f>
        <v/>
      </c>
    </row>
    <row r="791">
      <c r="A791" s="4" t="str">
        <f>IF('Base Oficial'!A791="","",TRIM('Base Oficial'!A791))</f>
        <v/>
      </c>
      <c r="B791" s="6" t="str">
        <f>IF($A791="","",TRIM('Base Oficial'!B791))</f>
        <v/>
      </c>
      <c r="C791" s="6" t="str">
        <f>IF($A791="","",TRIM('Base Oficial'!F791))</f>
        <v/>
      </c>
      <c r="D791" s="6" t="str">
        <f>IF($A791="","",TRIM('Base Oficial'!G791))</f>
        <v/>
      </c>
      <c r="E791" s="6" t="str">
        <f>IF($A791="","",TRIM('Base Oficial'!D791))</f>
        <v/>
      </c>
      <c r="F791" s="4" t="str">
        <f>IF($A791="","",IF(COUNTIF('Base Exámenes'!$C$5:$C$1000, A791)&gt;0, "Completado", IF(M791&lt;&gt;"", M791, "Pendiente")))</f>
        <v/>
      </c>
      <c r="G791" s="11" t="str">
        <f>IF(F791="Completado", IFERROR(IF(INDEX('Base Exámenes'!$D$5:$D$1000, MATCH(A791&amp;"|"&amp;J791, 'Base Exámenes'!$I$5:$I$1000, 0))="", "", INDEX('Base Exámenes'!$D$5:$D$1000, MATCH(A791&amp;"|"&amp;J791, 'Base Exámenes'!$I$5:$I$1000, 0))), ""), "")</f>
        <v/>
      </c>
      <c r="H791" s="11" t="str">
        <f>IF(F791="Completado", IFERROR(IF(INDEX('Base Exámenes'!$E$5:$E$1000, MATCH(A791&amp;"|"&amp;J791, 'Base Exámenes'!$I$5:$I$1000, 0))="", "", INDEX('Base Exámenes'!$E$5:$E$1000, MATCH(A791&amp;"|"&amp;J791, 'Base Exámenes'!$I$5:$I$1000, 0))), ""), "")</f>
        <v/>
      </c>
      <c r="I791" s="10" t="str">
        <f>IF(F791="Completado", IFERROR(IF(INDEX('Base Exámenes'!$F$5:$F$1000, MATCH(A791&amp;"|"&amp;J791, 'Base Exámenes'!$I$5:$I$1000, 0))="", "", INDEX('Base Exámenes'!$F$5:$F$1000, MATCH(A791&amp;"|"&amp;J791, 'Base Exámenes'!$I$5:$I$1000, 0))), ""), "")</f>
        <v/>
      </c>
      <c r="J791" s="6" t="str">
        <f>IF(F791="Completado", IF(COUNTIFS('Base Exámenes'!$C$5:$C$1000, A791, 'Base Exámenes'!$G$5:$G$1000, "&lt;&gt;")=0, "", _xlfn.MAXIFS('Base Exámenes'!$G$5:$G$1000, 'Base Exámenes'!$C$5:$C$1000, A791)), "")</f>
        <v/>
      </c>
      <c r="K791" s="6" t="str">
        <f>IF(F791="Completado", IFERROR(IF(INDEX('Base Exámenes'!$H$5:$H$1000, MATCH(A791&amp;"|"&amp;J791, 'Base Exámenes'!$I$5:$I$1000, 0))="", "", INDEX('Base Exámenes'!$H$5:$H$1000, MATCH(A791&amp;"|"&amp;J791, 'Base Exámenes'!$I$5:$I$1000, 0))), ""), "")</f>
        <v/>
      </c>
      <c r="L791" s="22" t="str">
        <f>IF($A791="","",COUNTIF('Base Exámenes'!$C$5:$C$1000, A791))</f>
        <v/>
      </c>
      <c r="M791" s="6" t="str">
        <f>IF($A791="","",IF(COUNTIF('Base Exámenes'!$C$5:$C$1000, A791)&gt;0, "", TRIM('Base Oficial'!H791)))</f>
        <v/>
      </c>
    </row>
    <row r="792">
      <c r="A792" s="4" t="str">
        <f>IF('Base Oficial'!A792="","",TRIM('Base Oficial'!A792))</f>
        <v/>
      </c>
      <c r="B792" s="6" t="str">
        <f>IF($A792="","",TRIM('Base Oficial'!B792))</f>
        <v/>
      </c>
      <c r="C792" s="6" t="str">
        <f>IF($A792="","",TRIM('Base Oficial'!F792))</f>
        <v/>
      </c>
      <c r="D792" s="6" t="str">
        <f>IF($A792="","",TRIM('Base Oficial'!G792))</f>
        <v/>
      </c>
      <c r="E792" s="6" t="str">
        <f>IF($A792="","",TRIM('Base Oficial'!D792))</f>
        <v/>
      </c>
      <c r="F792" s="4" t="str">
        <f>IF($A792="","",IF(COUNTIF('Base Exámenes'!$C$5:$C$1000, A792)&gt;0, "Completado", IF(M792&lt;&gt;"", M792, "Pendiente")))</f>
        <v/>
      </c>
      <c r="G792" s="11" t="str">
        <f>IF(F792="Completado", IFERROR(IF(INDEX('Base Exámenes'!$D$5:$D$1000, MATCH(A792&amp;"|"&amp;J792, 'Base Exámenes'!$I$5:$I$1000, 0))="", "", INDEX('Base Exámenes'!$D$5:$D$1000, MATCH(A792&amp;"|"&amp;J792, 'Base Exámenes'!$I$5:$I$1000, 0))), ""), "")</f>
        <v/>
      </c>
      <c r="H792" s="11" t="str">
        <f>IF(F792="Completado", IFERROR(IF(INDEX('Base Exámenes'!$E$5:$E$1000, MATCH(A792&amp;"|"&amp;J792, 'Base Exámenes'!$I$5:$I$1000, 0))="", "", INDEX('Base Exámenes'!$E$5:$E$1000, MATCH(A792&amp;"|"&amp;J792, 'Base Exámenes'!$I$5:$I$1000, 0))), ""), "")</f>
        <v/>
      </c>
      <c r="I792" s="10" t="str">
        <f>IF(F792="Completado", IFERROR(IF(INDEX('Base Exámenes'!$F$5:$F$1000, MATCH(A792&amp;"|"&amp;J792, 'Base Exámenes'!$I$5:$I$1000, 0))="", "", INDEX('Base Exámenes'!$F$5:$F$1000, MATCH(A792&amp;"|"&amp;J792, 'Base Exámenes'!$I$5:$I$1000, 0))), ""), "")</f>
        <v/>
      </c>
      <c r="J792" s="6" t="str">
        <f>IF(F792="Completado", IF(COUNTIFS('Base Exámenes'!$C$5:$C$1000, A792, 'Base Exámenes'!$G$5:$G$1000, "&lt;&gt;")=0, "", _xlfn.MAXIFS('Base Exámenes'!$G$5:$G$1000, 'Base Exámenes'!$C$5:$C$1000, A792)), "")</f>
        <v/>
      </c>
      <c r="K792" s="6" t="str">
        <f>IF(F792="Completado", IFERROR(IF(INDEX('Base Exámenes'!$H$5:$H$1000, MATCH(A792&amp;"|"&amp;J792, 'Base Exámenes'!$I$5:$I$1000, 0))="", "", INDEX('Base Exámenes'!$H$5:$H$1000, MATCH(A792&amp;"|"&amp;J792, 'Base Exámenes'!$I$5:$I$1000, 0))), ""), "")</f>
        <v/>
      </c>
      <c r="L792" s="22" t="str">
        <f>IF($A792="","",COUNTIF('Base Exámenes'!$C$5:$C$1000, A792))</f>
        <v/>
      </c>
      <c r="M792" s="6" t="str">
        <f>IF($A792="","",IF(COUNTIF('Base Exámenes'!$C$5:$C$1000, A792)&gt;0, "", TRIM('Base Oficial'!H792)))</f>
        <v/>
      </c>
    </row>
    <row r="793">
      <c r="A793" s="4" t="str">
        <f>IF('Base Oficial'!A793="","",TRIM('Base Oficial'!A793))</f>
        <v/>
      </c>
      <c r="B793" s="6" t="str">
        <f>IF($A793="","",TRIM('Base Oficial'!B793))</f>
        <v/>
      </c>
      <c r="C793" s="6" t="str">
        <f>IF($A793="","",TRIM('Base Oficial'!F793))</f>
        <v/>
      </c>
      <c r="D793" s="6" t="str">
        <f>IF($A793="","",TRIM('Base Oficial'!G793))</f>
        <v/>
      </c>
      <c r="E793" s="6" t="str">
        <f>IF($A793="","",TRIM('Base Oficial'!D793))</f>
        <v/>
      </c>
      <c r="F793" s="4" t="str">
        <f>IF($A793="","",IF(COUNTIF('Base Exámenes'!$C$5:$C$1000, A793)&gt;0, "Completado", IF(M793&lt;&gt;"", M793, "Pendiente")))</f>
        <v/>
      </c>
      <c r="G793" s="11" t="str">
        <f>IF(F793="Completado", IFERROR(IF(INDEX('Base Exámenes'!$D$5:$D$1000, MATCH(A793&amp;"|"&amp;J793, 'Base Exámenes'!$I$5:$I$1000, 0))="", "", INDEX('Base Exámenes'!$D$5:$D$1000, MATCH(A793&amp;"|"&amp;J793, 'Base Exámenes'!$I$5:$I$1000, 0))), ""), "")</f>
        <v/>
      </c>
      <c r="H793" s="11" t="str">
        <f>IF(F793="Completado", IFERROR(IF(INDEX('Base Exámenes'!$E$5:$E$1000, MATCH(A793&amp;"|"&amp;J793, 'Base Exámenes'!$I$5:$I$1000, 0))="", "", INDEX('Base Exámenes'!$E$5:$E$1000, MATCH(A793&amp;"|"&amp;J793, 'Base Exámenes'!$I$5:$I$1000, 0))), ""), "")</f>
        <v/>
      </c>
      <c r="I793" s="10" t="str">
        <f>IF(F793="Completado", IFERROR(IF(INDEX('Base Exámenes'!$F$5:$F$1000, MATCH(A793&amp;"|"&amp;J793, 'Base Exámenes'!$I$5:$I$1000, 0))="", "", INDEX('Base Exámenes'!$F$5:$F$1000, MATCH(A793&amp;"|"&amp;J793, 'Base Exámenes'!$I$5:$I$1000, 0))), ""), "")</f>
        <v/>
      </c>
      <c r="J793" s="6" t="str">
        <f>IF(F793="Completado", IF(COUNTIFS('Base Exámenes'!$C$5:$C$1000, A793, 'Base Exámenes'!$G$5:$G$1000, "&lt;&gt;")=0, "", _xlfn.MAXIFS('Base Exámenes'!$G$5:$G$1000, 'Base Exámenes'!$C$5:$C$1000, A793)), "")</f>
        <v/>
      </c>
      <c r="K793" s="6" t="str">
        <f>IF(F793="Completado", IFERROR(IF(INDEX('Base Exámenes'!$H$5:$H$1000, MATCH(A793&amp;"|"&amp;J793, 'Base Exámenes'!$I$5:$I$1000, 0))="", "", INDEX('Base Exámenes'!$H$5:$H$1000, MATCH(A793&amp;"|"&amp;J793, 'Base Exámenes'!$I$5:$I$1000, 0))), ""), "")</f>
        <v/>
      </c>
      <c r="L793" s="22" t="str">
        <f>IF($A793="","",COUNTIF('Base Exámenes'!$C$5:$C$1000, A793))</f>
        <v/>
      </c>
      <c r="M793" s="6" t="str">
        <f>IF($A793="","",IF(COUNTIF('Base Exámenes'!$C$5:$C$1000, A793)&gt;0, "", TRIM('Base Oficial'!H793)))</f>
        <v/>
      </c>
    </row>
    <row r="794">
      <c r="A794" s="4" t="str">
        <f>IF('Base Oficial'!A794="","",TRIM('Base Oficial'!A794))</f>
        <v/>
      </c>
      <c r="B794" s="6" t="str">
        <f>IF($A794="","",TRIM('Base Oficial'!B794))</f>
        <v/>
      </c>
      <c r="C794" s="6" t="str">
        <f>IF($A794="","",TRIM('Base Oficial'!F794))</f>
        <v/>
      </c>
      <c r="D794" s="6" t="str">
        <f>IF($A794="","",TRIM('Base Oficial'!G794))</f>
        <v/>
      </c>
      <c r="E794" s="6" t="str">
        <f>IF($A794="","",TRIM('Base Oficial'!D794))</f>
        <v/>
      </c>
      <c r="F794" s="4" t="str">
        <f>IF($A794="","",IF(COUNTIF('Base Exámenes'!$C$5:$C$1000, A794)&gt;0, "Completado", IF(M794&lt;&gt;"", M794, "Pendiente")))</f>
        <v/>
      </c>
      <c r="G794" s="11" t="str">
        <f>IF(F794="Completado", IFERROR(IF(INDEX('Base Exámenes'!$D$5:$D$1000, MATCH(A794&amp;"|"&amp;J794, 'Base Exámenes'!$I$5:$I$1000, 0))="", "", INDEX('Base Exámenes'!$D$5:$D$1000, MATCH(A794&amp;"|"&amp;J794, 'Base Exámenes'!$I$5:$I$1000, 0))), ""), "")</f>
        <v/>
      </c>
      <c r="H794" s="11" t="str">
        <f>IF(F794="Completado", IFERROR(IF(INDEX('Base Exámenes'!$E$5:$E$1000, MATCH(A794&amp;"|"&amp;J794, 'Base Exámenes'!$I$5:$I$1000, 0))="", "", INDEX('Base Exámenes'!$E$5:$E$1000, MATCH(A794&amp;"|"&amp;J794, 'Base Exámenes'!$I$5:$I$1000, 0))), ""), "")</f>
        <v/>
      </c>
      <c r="I794" s="10" t="str">
        <f>IF(F794="Completado", IFERROR(IF(INDEX('Base Exámenes'!$F$5:$F$1000, MATCH(A794&amp;"|"&amp;J794, 'Base Exámenes'!$I$5:$I$1000, 0))="", "", INDEX('Base Exámenes'!$F$5:$F$1000, MATCH(A794&amp;"|"&amp;J794, 'Base Exámenes'!$I$5:$I$1000, 0))), ""), "")</f>
        <v/>
      </c>
      <c r="J794" s="6" t="str">
        <f>IF(F794="Completado", IF(COUNTIFS('Base Exámenes'!$C$5:$C$1000, A794, 'Base Exámenes'!$G$5:$G$1000, "&lt;&gt;")=0, "", _xlfn.MAXIFS('Base Exámenes'!$G$5:$G$1000, 'Base Exámenes'!$C$5:$C$1000, A794)), "")</f>
        <v/>
      </c>
      <c r="K794" s="6" t="str">
        <f>IF(F794="Completado", IFERROR(IF(INDEX('Base Exámenes'!$H$5:$H$1000, MATCH(A794&amp;"|"&amp;J794, 'Base Exámenes'!$I$5:$I$1000, 0))="", "", INDEX('Base Exámenes'!$H$5:$H$1000, MATCH(A794&amp;"|"&amp;J794, 'Base Exámenes'!$I$5:$I$1000, 0))), ""), "")</f>
        <v/>
      </c>
      <c r="L794" s="22" t="str">
        <f>IF($A794="","",COUNTIF('Base Exámenes'!$C$5:$C$1000, A794))</f>
        <v/>
      </c>
      <c r="M794" s="6" t="str">
        <f>IF($A794="","",IF(COUNTIF('Base Exámenes'!$C$5:$C$1000, A794)&gt;0, "", TRIM('Base Oficial'!H794)))</f>
        <v/>
      </c>
    </row>
    <row r="795">
      <c r="A795" s="4" t="str">
        <f>IF('Base Oficial'!A795="","",TRIM('Base Oficial'!A795))</f>
        <v/>
      </c>
      <c r="B795" s="6" t="str">
        <f>IF($A795="","",TRIM('Base Oficial'!B795))</f>
        <v/>
      </c>
      <c r="C795" s="6" t="str">
        <f>IF($A795="","",TRIM('Base Oficial'!F795))</f>
        <v/>
      </c>
      <c r="D795" s="6" t="str">
        <f>IF($A795="","",TRIM('Base Oficial'!G795))</f>
        <v/>
      </c>
      <c r="E795" s="6" t="str">
        <f>IF($A795="","",TRIM('Base Oficial'!D795))</f>
        <v/>
      </c>
      <c r="F795" s="4" t="str">
        <f>IF($A795="","",IF(COUNTIF('Base Exámenes'!$C$5:$C$1000, A795)&gt;0, "Completado", IF(M795&lt;&gt;"", M795, "Pendiente")))</f>
        <v/>
      </c>
      <c r="G795" s="11" t="str">
        <f>IF(F795="Completado", IFERROR(IF(INDEX('Base Exámenes'!$D$5:$D$1000, MATCH(A795&amp;"|"&amp;J795, 'Base Exámenes'!$I$5:$I$1000, 0))="", "", INDEX('Base Exámenes'!$D$5:$D$1000, MATCH(A795&amp;"|"&amp;J795, 'Base Exámenes'!$I$5:$I$1000, 0))), ""), "")</f>
        <v/>
      </c>
      <c r="H795" s="11" t="str">
        <f>IF(F795="Completado", IFERROR(IF(INDEX('Base Exámenes'!$E$5:$E$1000, MATCH(A795&amp;"|"&amp;J795, 'Base Exámenes'!$I$5:$I$1000, 0))="", "", INDEX('Base Exámenes'!$E$5:$E$1000, MATCH(A795&amp;"|"&amp;J795, 'Base Exámenes'!$I$5:$I$1000, 0))), ""), "")</f>
        <v/>
      </c>
      <c r="I795" s="10" t="str">
        <f>IF(F795="Completado", IFERROR(IF(INDEX('Base Exámenes'!$F$5:$F$1000, MATCH(A795&amp;"|"&amp;J795, 'Base Exámenes'!$I$5:$I$1000, 0))="", "", INDEX('Base Exámenes'!$F$5:$F$1000, MATCH(A795&amp;"|"&amp;J795, 'Base Exámenes'!$I$5:$I$1000, 0))), ""), "")</f>
        <v/>
      </c>
      <c r="J795" s="6" t="str">
        <f>IF(F795="Completado", IF(COUNTIFS('Base Exámenes'!$C$5:$C$1000, A795, 'Base Exámenes'!$G$5:$G$1000, "&lt;&gt;")=0, "", _xlfn.MAXIFS('Base Exámenes'!$G$5:$G$1000, 'Base Exámenes'!$C$5:$C$1000, A795)), "")</f>
        <v/>
      </c>
      <c r="K795" s="6" t="str">
        <f>IF(F795="Completado", IFERROR(IF(INDEX('Base Exámenes'!$H$5:$H$1000, MATCH(A795&amp;"|"&amp;J795, 'Base Exámenes'!$I$5:$I$1000, 0))="", "", INDEX('Base Exámenes'!$H$5:$H$1000, MATCH(A795&amp;"|"&amp;J795, 'Base Exámenes'!$I$5:$I$1000, 0))), ""), "")</f>
        <v/>
      </c>
      <c r="L795" s="22" t="str">
        <f>IF($A795="","",COUNTIF('Base Exámenes'!$C$5:$C$1000, A795))</f>
        <v/>
      </c>
      <c r="M795" s="6" t="str">
        <f>IF($A795="","",IF(COUNTIF('Base Exámenes'!$C$5:$C$1000, A795)&gt;0, "", TRIM('Base Oficial'!H795)))</f>
        <v/>
      </c>
    </row>
    <row r="796">
      <c r="A796" s="4" t="str">
        <f>IF('Base Oficial'!A796="","",TRIM('Base Oficial'!A796))</f>
        <v/>
      </c>
      <c r="B796" s="6" t="str">
        <f>IF($A796="","",TRIM('Base Oficial'!B796))</f>
        <v/>
      </c>
      <c r="C796" s="6" t="str">
        <f>IF($A796="","",TRIM('Base Oficial'!F796))</f>
        <v/>
      </c>
      <c r="D796" s="6" t="str">
        <f>IF($A796="","",TRIM('Base Oficial'!G796))</f>
        <v/>
      </c>
      <c r="E796" s="6" t="str">
        <f>IF($A796="","",TRIM('Base Oficial'!D796))</f>
        <v/>
      </c>
      <c r="F796" s="4" t="str">
        <f>IF($A796="","",IF(COUNTIF('Base Exámenes'!$C$5:$C$1000, A796)&gt;0, "Completado", IF(M796&lt;&gt;"", M796, "Pendiente")))</f>
        <v/>
      </c>
      <c r="G796" s="11" t="str">
        <f>IF(F796="Completado", IFERROR(IF(INDEX('Base Exámenes'!$D$5:$D$1000, MATCH(A796&amp;"|"&amp;J796, 'Base Exámenes'!$I$5:$I$1000, 0))="", "", INDEX('Base Exámenes'!$D$5:$D$1000, MATCH(A796&amp;"|"&amp;J796, 'Base Exámenes'!$I$5:$I$1000, 0))), ""), "")</f>
        <v/>
      </c>
      <c r="H796" s="11" t="str">
        <f>IF(F796="Completado", IFERROR(IF(INDEX('Base Exámenes'!$E$5:$E$1000, MATCH(A796&amp;"|"&amp;J796, 'Base Exámenes'!$I$5:$I$1000, 0))="", "", INDEX('Base Exámenes'!$E$5:$E$1000, MATCH(A796&amp;"|"&amp;J796, 'Base Exámenes'!$I$5:$I$1000, 0))), ""), "")</f>
        <v/>
      </c>
      <c r="I796" s="10" t="str">
        <f>IF(F796="Completado", IFERROR(IF(INDEX('Base Exámenes'!$F$5:$F$1000, MATCH(A796&amp;"|"&amp;J796, 'Base Exámenes'!$I$5:$I$1000, 0))="", "", INDEX('Base Exámenes'!$F$5:$F$1000, MATCH(A796&amp;"|"&amp;J796, 'Base Exámenes'!$I$5:$I$1000, 0))), ""), "")</f>
        <v/>
      </c>
      <c r="J796" s="6" t="str">
        <f>IF(F796="Completado", IF(COUNTIFS('Base Exámenes'!$C$5:$C$1000, A796, 'Base Exámenes'!$G$5:$G$1000, "&lt;&gt;")=0, "", _xlfn.MAXIFS('Base Exámenes'!$G$5:$G$1000, 'Base Exámenes'!$C$5:$C$1000, A796)), "")</f>
        <v/>
      </c>
      <c r="K796" s="6" t="str">
        <f>IF(F796="Completado", IFERROR(IF(INDEX('Base Exámenes'!$H$5:$H$1000, MATCH(A796&amp;"|"&amp;J796, 'Base Exámenes'!$I$5:$I$1000, 0))="", "", INDEX('Base Exámenes'!$H$5:$H$1000, MATCH(A796&amp;"|"&amp;J796, 'Base Exámenes'!$I$5:$I$1000, 0))), ""), "")</f>
        <v/>
      </c>
      <c r="L796" s="22" t="str">
        <f>IF($A796="","",COUNTIF('Base Exámenes'!$C$5:$C$1000, A796))</f>
        <v/>
      </c>
      <c r="M796" s="6" t="str">
        <f>IF($A796="","",IF(COUNTIF('Base Exámenes'!$C$5:$C$1000, A796)&gt;0, "", TRIM('Base Oficial'!H796)))</f>
        <v/>
      </c>
    </row>
    <row r="797">
      <c r="A797" s="4" t="str">
        <f>IF('Base Oficial'!A797="","",TRIM('Base Oficial'!A797))</f>
        <v/>
      </c>
      <c r="B797" s="6" t="str">
        <f>IF($A797="","",TRIM('Base Oficial'!B797))</f>
        <v/>
      </c>
      <c r="C797" s="6" t="str">
        <f>IF($A797="","",TRIM('Base Oficial'!F797))</f>
        <v/>
      </c>
      <c r="D797" s="6" t="str">
        <f>IF($A797="","",TRIM('Base Oficial'!G797))</f>
        <v/>
      </c>
      <c r="E797" s="6" t="str">
        <f>IF($A797="","",TRIM('Base Oficial'!D797))</f>
        <v/>
      </c>
      <c r="F797" s="4" t="str">
        <f>IF($A797="","",IF(COUNTIF('Base Exámenes'!$C$5:$C$1000, A797)&gt;0, "Completado", IF(M797&lt;&gt;"", M797, "Pendiente")))</f>
        <v/>
      </c>
      <c r="G797" s="11" t="str">
        <f>IF(F797="Completado", IFERROR(IF(INDEX('Base Exámenes'!$D$5:$D$1000, MATCH(A797&amp;"|"&amp;J797, 'Base Exámenes'!$I$5:$I$1000, 0))="", "", INDEX('Base Exámenes'!$D$5:$D$1000, MATCH(A797&amp;"|"&amp;J797, 'Base Exámenes'!$I$5:$I$1000, 0))), ""), "")</f>
        <v/>
      </c>
      <c r="H797" s="11" t="str">
        <f>IF(F797="Completado", IFERROR(IF(INDEX('Base Exámenes'!$E$5:$E$1000, MATCH(A797&amp;"|"&amp;J797, 'Base Exámenes'!$I$5:$I$1000, 0))="", "", INDEX('Base Exámenes'!$E$5:$E$1000, MATCH(A797&amp;"|"&amp;J797, 'Base Exámenes'!$I$5:$I$1000, 0))), ""), "")</f>
        <v/>
      </c>
      <c r="I797" s="10" t="str">
        <f>IF(F797="Completado", IFERROR(IF(INDEX('Base Exámenes'!$F$5:$F$1000, MATCH(A797&amp;"|"&amp;J797, 'Base Exámenes'!$I$5:$I$1000, 0))="", "", INDEX('Base Exámenes'!$F$5:$F$1000, MATCH(A797&amp;"|"&amp;J797, 'Base Exámenes'!$I$5:$I$1000, 0))), ""), "")</f>
        <v/>
      </c>
      <c r="J797" s="6" t="str">
        <f>IF(F797="Completado", IF(COUNTIFS('Base Exámenes'!$C$5:$C$1000, A797, 'Base Exámenes'!$G$5:$G$1000, "&lt;&gt;")=0, "", _xlfn.MAXIFS('Base Exámenes'!$G$5:$G$1000, 'Base Exámenes'!$C$5:$C$1000, A797)), "")</f>
        <v/>
      </c>
      <c r="K797" s="6" t="str">
        <f>IF(F797="Completado", IFERROR(IF(INDEX('Base Exámenes'!$H$5:$H$1000, MATCH(A797&amp;"|"&amp;J797, 'Base Exámenes'!$I$5:$I$1000, 0))="", "", INDEX('Base Exámenes'!$H$5:$H$1000, MATCH(A797&amp;"|"&amp;J797, 'Base Exámenes'!$I$5:$I$1000, 0))), ""), "")</f>
        <v/>
      </c>
      <c r="L797" s="22" t="str">
        <f>IF($A797="","",COUNTIF('Base Exámenes'!$C$5:$C$1000, A797))</f>
        <v/>
      </c>
      <c r="M797" s="6" t="str">
        <f>IF($A797="","",IF(COUNTIF('Base Exámenes'!$C$5:$C$1000, A797)&gt;0, "", TRIM('Base Oficial'!H797)))</f>
        <v/>
      </c>
    </row>
    <row r="798">
      <c r="A798" s="4" t="str">
        <f>IF('Base Oficial'!A798="","",TRIM('Base Oficial'!A798))</f>
        <v/>
      </c>
      <c r="B798" s="6" t="str">
        <f>IF($A798="","",TRIM('Base Oficial'!B798))</f>
        <v/>
      </c>
      <c r="C798" s="6" t="str">
        <f>IF($A798="","",TRIM('Base Oficial'!F798))</f>
        <v/>
      </c>
      <c r="D798" s="6" t="str">
        <f>IF($A798="","",TRIM('Base Oficial'!G798))</f>
        <v/>
      </c>
      <c r="E798" s="6" t="str">
        <f>IF($A798="","",TRIM('Base Oficial'!D798))</f>
        <v/>
      </c>
      <c r="F798" s="4" t="str">
        <f>IF($A798="","",IF(COUNTIF('Base Exámenes'!$C$5:$C$1000, A798)&gt;0, "Completado", IF(M798&lt;&gt;"", M798, "Pendiente")))</f>
        <v/>
      </c>
      <c r="G798" s="11" t="str">
        <f>IF(F798="Completado", IFERROR(IF(INDEX('Base Exámenes'!$D$5:$D$1000, MATCH(A798&amp;"|"&amp;J798, 'Base Exámenes'!$I$5:$I$1000, 0))="", "", INDEX('Base Exámenes'!$D$5:$D$1000, MATCH(A798&amp;"|"&amp;J798, 'Base Exámenes'!$I$5:$I$1000, 0))), ""), "")</f>
        <v/>
      </c>
      <c r="H798" s="11" t="str">
        <f>IF(F798="Completado", IFERROR(IF(INDEX('Base Exámenes'!$E$5:$E$1000, MATCH(A798&amp;"|"&amp;J798, 'Base Exámenes'!$I$5:$I$1000, 0))="", "", INDEX('Base Exámenes'!$E$5:$E$1000, MATCH(A798&amp;"|"&amp;J798, 'Base Exámenes'!$I$5:$I$1000, 0))), ""), "")</f>
        <v/>
      </c>
      <c r="I798" s="10" t="str">
        <f>IF(F798="Completado", IFERROR(IF(INDEX('Base Exámenes'!$F$5:$F$1000, MATCH(A798&amp;"|"&amp;J798, 'Base Exámenes'!$I$5:$I$1000, 0))="", "", INDEX('Base Exámenes'!$F$5:$F$1000, MATCH(A798&amp;"|"&amp;J798, 'Base Exámenes'!$I$5:$I$1000, 0))), ""), "")</f>
        <v/>
      </c>
      <c r="J798" s="6" t="str">
        <f>IF(F798="Completado", IF(COUNTIFS('Base Exámenes'!$C$5:$C$1000, A798, 'Base Exámenes'!$G$5:$G$1000, "&lt;&gt;")=0, "", _xlfn.MAXIFS('Base Exámenes'!$G$5:$G$1000, 'Base Exámenes'!$C$5:$C$1000, A798)), "")</f>
        <v/>
      </c>
      <c r="K798" s="6" t="str">
        <f>IF(F798="Completado", IFERROR(IF(INDEX('Base Exámenes'!$H$5:$H$1000, MATCH(A798&amp;"|"&amp;J798, 'Base Exámenes'!$I$5:$I$1000, 0))="", "", INDEX('Base Exámenes'!$H$5:$H$1000, MATCH(A798&amp;"|"&amp;J798, 'Base Exámenes'!$I$5:$I$1000, 0))), ""), "")</f>
        <v/>
      </c>
      <c r="L798" s="22" t="str">
        <f>IF($A798="","",COUNTIF('Base Exámenes'!$C$5:$C$1000, A798))</f>
        <v/>
      </c>
      <c r="M798" s="6" t="str">
        <f>IF($A798="","",IF(COUNTIF('Base Exámenes'!$C$5:$C$1000, A798)&gt;0, "", TRIM('Base Oficial'!H798)))</f>
        <v/>
      </c>
    </row>
    <row r="799">
      <c r="A799" s="4" t="str">
        <f>IF('Base Oficial'!A799="","",TRIM('Base Oficial'!A799))</f>
        <v/>
      </c>
      <c r="B799" s="6" t="str">
        <f>IF($A799="","",TRIM('Base Oficial'!B799))</f>
        <v/>
      </c>
      <c r="C799" s="6" t="str">
        <f>IF($A799="","",TRIM('Base Oficial'!F799))</f>
        <v/>
      </c>
      <c r="D799" s="6" t="str">
        <f>IF($A799="","",TRIM('Base Oficial'!G799))</f>
        <v/>
      </c>
      <c r="E799" s="6" t="str">
        <f>IF($A799="","",TRIM('Base Oficial'!D799))</f>
        <v/>
      </c>
      <c r="F799" s="4" t="str">
        <f>IF($A799="","",IF(COUNTIF('Base Exámenes'!$C$5:$C$1000, A799)&gt;0, "Completado", IF(M799&lt;&gt;"", M799, "Pendiente")))</f>
        <v/>
      </c>
      <c r="G799" s="11" t="str">
        <f>IF(F799="Completado", IFERROR(IF(INDEX('Base Exámenes'!$D$5:$D$1000, MATCH(A799&amp;"|"&amp;J799, 'Base Exámenes'!$I$5:$I$1000, 0))="", "", INDEX('Base Exámenes'!$D$5:$D$1000, MATCH(A799&amp;"|"&amp;J799, 'Base Exámenes'!$I$5:$I$1000, 0))), ""), "")</f>
        <v/>
      </c>
      <c r="H799" s="11" t="str">
        <f>IF(F799="Completado", IFERROR(IF(INDEX('Base Exámenes'!$E$5:$E$1000, MATCH(A799&amp;"|"&amp;J799, 'Base Exámenes'!$I$5:$I$1000, 0))="", "", INDEX('Base Exámenes'!$E$5:$E$1000, MATCH(A799&amp;"|"&amp;J799, 'Base Exámenes'!$I$5:$I$1000, 0))), ""), "")</f>
        <v/>
      </c>
      <c r="I799" s="10" t="str">
        <f>IF(F799="Completado", IFERROR(IF(INDEX('Base Exámenes'!$F$5:$F$1000, MATCH(A799&amp;"|"&amp;J799, 'Base Exámenes'!$I$5:$I$1000, 0))="", "", INDEX('Base Exámenes'!$F$5:$F$1000, MATCH(A799&amp;"|"&amp;J799, 'Base Exámenes'!$I$5:$I$1000, 0))), ""), "")</f>
        <v/>
      </c>
      <c r="J799" s="6" t="str">
        <f>IF(F799="Completado", IF(COUNTIFS('Base Exámenes'!$C$5:$C$1000, A799, 'Base Exámenes'!$G$5:$G$1000, "&lt;&gt;")=0, "", _xlfn.MAXIFS('Base Exámenes'!$G$5:$G$1000, 'Base Exámenes'!$C$5:$C$1000, A799)), "")</f>
        <v/>
      </c>
      <c r="K799" s="6" t="str">
        <f>IF(F799="Completado", IFERROR(IF(INDEX('Base Exámenes'!$H$5:$H$1000, MATCH(A799&amp;"|"&amp;J799, 'Base Exámenes'!$I$5:$I$1000, 0))="", "", INDEX('Base Exámenes'!$H$5:$H$1000, MATCH(A799&amp;"|"&amp;J799, 'Base Exámenes'!$I$5:$I$1000, 0))), ""), "")</f>
        <v/>
      </c>
      <c r="L799" s="22" t="str">
        <f>IF($A799="","",COUNTIF('Base Exámenes'!$C$5:$C$1000, A799))</f>
        <v/>
      </c>
      <c r="M799" s="6" t="str">
        <f>IF($A799="","",IF(COUNTIF('Base Exámenes'!$C$5:$C$1000, A799)&gt;0, "", TRIM('Base Oficial'!H799)))</f>
        <v/>
      </c>
    </row>
    <row r="800">
      <c r="A800" s="4" t="str">
        <f>IF('Base Oficial'!A800="","",TRIM('Base Oficial'!A800))</f>
        <v/>
      </c>
      <c r="B800" s="6" t="str">
        <f>IF($A800="","",TRIM('Base Oficial'!B800))</f>
        <v/>
      </c>
      <c r="C800" s="6" t="str">
        <f>IF($A800="","",TRIM('Base Oficial'!F800))</f>
        <v/>
      </c>
      <c r="D800" s="6" t="str">
        <f>IF($A800="","",TRIM('Base Oficial'!G800))</f>
        <v/>
      </c>
      <c r="E800" s="6" t="str">
        <f>IF($A800="","",TRIM('Base Oficial'!D800))</f>
        <v/>
      </c>
      <c r="F800" s="4" t="str">
        <f>IF($A800="","",IF(COUNTIF('Base Exámenes'!$C$5:$C$1000, A800)&gt;0, "Completado", IF(M800&lt;&gt;"", M800, "Pendiente")))</f>
        <v/>
      </c>
      <c r="G800" s="11" t="str">
        <f>IF(F800="Completado", IFERROR(IF(INDEX('Base Exámenes'!$D$5:$D$1000, MATCH(A800&amp;"|"&amp;J800, 'Base Exámenes'!$I$5:$I$1000, 0))="", "", INDEX('Base Exámenes'!$D$5:$D$1000, MATCH(A800&amp;"|"&amp;J800, 'Base Exámenes'!$I$5:$I$1000, 0))), ""), "")</f>
        <v/>
      </c>
      <c r="H800" s="11" t="str">
        <f>IF(F800="Completado", IFERROR(IF(INDEX('Base Exámenes'!$E$5:$E$1000, MATCH(A800&amp;"|"&amp;J800, 'Base Exámenes'!$I$5:$I$1000, 0))="", "", INDEX('Base Exámenes'!$E$5:$E$1000, MATCH(A800&amp;"|"&amp;J800, 'Base Exámenes'!$I$5:$I$1000, 0))), ""), "")</f>
        <v/>
      </c>
      <c r="I800" s="10" t="str">
        <f>IF(F800="Completado", IFERROR(IF(INDEX('Base Exámenes'!$F$5:$F$1000, MATCH(A800&amp;"|"&amp;J800, 'Base Exámenes'!$I$5:$I$1000, 0))="", "", INDEX('Base Exámenes'!$F$5:$F$1000, MATCH(A800&amp;"|"&amp;J800, 'Base Exámenes'!$I$5:$I$1000, 0))), ""), "")</f>
        <v/>
      </c>
      <c r="J800" s="6" t="str">
        <f>IF(F800="Completado", IF(COUNTIFS('Base Exámenes'!$C$5:$C$1000, A800, 'Base Exámenes'!$G$5:$G$1000, "&lt;&gt;")=0, "", _xlfn.MAXIFS('Base Exámenes'!$G$5:$G$1000, 'Base Exámenes'!$C$5:$C$1000, A800)), "")</f>
        <v/>
      </c>
      <c r="K800" s="6" t="str">
        <f>IF(F800="Completado", IFERROR(IF(INDEX('Base Exámenes'!$H$5:$H$1000, MATCH(A800&amp;"|"&amp;J800, 'Base Exámenes'!$I$5:$I$1000, 0))="", "", INDEX('Base Exámenes'!$H$5:$H$1000, MATCH(A800&amp;"|"&amp;J800, 'Base Exámenes'!$I$5:$I$1000, 0))), ""), "")</f>
        <v/>
      </c>
      <c r="L800" s="22" t="str">
        <f>IF($A800="","",COUNTIF('Base Exámenes'!$C$5:$C$1000, A800))</f>
        <v/>
      </c>
      <c r="M800" s="6" t="str">
        <f>IF($A800="","",IF(COUNTIF('Base Exámenes'!$C$5:$C$1000, A800)&gt;0, "", TRIM('Base Oficial'!H800)))</f>
        <v/>
      </c>
    </row>
    <row r="801">
      <c r="A801" s="4" t="str">
        <f>IF('Base Oficial'!A801="","",TRIM('Base Oficial'!A801))</f>
        <v/>
      </c>
      <c r="B801" s="6" t="str">
        <f>IF($A801="","",TRIM('Base Oficial'!B801))</f>
        <v/>
      </c>
      <c r="C801" s="6" t="str">
        <f>IF($A801="","",TRIM('Base Oficial'!F801))</f>
        <v/>
      </c>
      <c r="D801" s="6" t="str">
        <f>IF($A801="","",TRIM('Base Oficial'!G801))</f>
        <v/>
      </c>
      <c r="E801" s="6" t="str">
        <f>IF($A801="","",TRIM('Base Oficial'!D801))</f>
        <v/>
      </c>
      <c r="F801" s="4" t="str">
        <f>IF($A801="","",IF(COUNTIF('Base Exámenes'!$C$5:$C$1000, A801)&gt;0, "Completado", IF(M801&lt;&gt;"", M801, "Pendiente")))</f>
        <v/>
      </c>
      <c r="G801" s="11" t="str">
        <f>IF(F801="Completado", IFERROR(IF(INDEX('Base Exámenes'!$D$5:$D$1000, MATCH(A801&amp;"|"&amp;J801, 'Base Exámenes'!$I$5:$I$1000, 0))="", "", INDEX('Base Exámenes'!$D$5:$D$1000, MATCH(A801&amp;"|"&amp;J801, 'Base Exámenes'!$I$5:$I$1000, 0))), ""), "")</f>
        <v/>
      </c>
      <c r="H801" s="11" t="str">
        <f>IF(F801="Completado", IFERROR(IF(INDEX('Base Exámenes'!$E$5:$E$1000, MATCH(A801&amp;"|"&amp;J801, 'Base Exámenes'!$I$5:$I$1000, 0))="", "", INDEX('Base Exámenes'!$E$5:$E$1000, MATCH(A801&amp;"|"&amp;J801, 'Base Exámenes'!$I$5:$I$1000, 0))), ""), "")</f>
        <v/>
      </c>
      <c r="I801" s="10" t="str">
        <f>IF(F801="Completado", IFERROR(IF(INDEX('Base Exámenes'!$F$5:$F$1000, MATCH(A801&amp;"|"&amp;J801, 'Base Exámenes'!$I$5:$I$1000, 0))="", "", INDEX('Base Exámenes'!$F$5:$F$1000, MATCH(A801&amp;"|"&amp;J801, 'Base Exámenes'!$I$5:$I$1000, 0))), ""), "")</f>
        <v/>
      </c>
      <c r="J801" s="6" t="str">
        <f>IF(F801="Completado", IF(COUNTIFS('Base Exámenes'!$C$5:$C$1000, A801, 'Base Exámenes'!$G$5:$G$1000, "&lt;&gt;")=0, "", _xlfn.MAXIFS('Base Exámenes'!$G$5:$G$1000, 'Base Exámenes'!$C$5:$C$1000, A801)), "")</f>
        <v/>
      </c>
      <c r="K801" s="6" t="str">
        <f>IF(F801="Completado", IFERROR(IF(INDEX('Base Exámenes'!$H$5:$H$1000, MATCH(A801&amp;"|"&amp;J801, 'Base Exámenes'!$I$5:$I$1000, 0))="", "", INDEX('Base Exámenes'!$H$5:$H$1000, MATCH(A801&amp;"|"&amp;J801, 'Base Exámenes'!$I$5:$I$1000, 0))), ""), "")</f>
        <v/>
      </c>
      <c r="L801" s="22" t="str">
        <f>IF($A801="","",COUNTIF('Base Exámenes'!$C$5:$C$1000, A801))</f>
        <v/>
      </c>
      <c r="M801" s="6" t="str">
        <f>IF($A801="","",IF(COUNTIF('Base Exámenes'!$C$5:$C$1000, A801)&gt;0, "", TRIM('Base Oficial'!H801)))</f>
        <v/>
      </c>
    </row>
    <row r="802">
      <c r="A802" s="4" t="str">
        <f>IF('Base Oficial'!A802="","",TRIM('Base Oficial'!A802))</f>
        <v/>
      </c>
      <c r="B802" s="6" t="str">
        <f>IF($A802="","",TRIM('Base Oficial'!B802))</f>
        <v/>
      </c>
      <c r="C802" s="6" t="str">
        <f>IF($A802="","",TRIM('Base Oficial'!F802))</f>
        <v/>
      </c>
      <c r="D802" s="6" t="str">
        <f>IF($A802="","",TRIM('Base Oficial'!G802))</f>
        <v/>
      </c>
      <c r="E802" s="6" t="str">
        <f>IF($A802="","",TRIM('Base Oficial'!D802))</f>
        <v/>
      </c>
      <c r="F802" s="4" t="str">
        <f>IF($A802="","",IF(COUNTIF('Base Exámenes'!$C$5:$C$1000, A802)&gt;0, "Completado", IF(M802&lt;&gt;"", M802, "Pendiente")))</f>
        <v/>
      </c>
      <c r="G802" s="11" t="str">
        <f>IF(F802="Completado", IFERROR(IF(INDEX('Base Exámenes'!$D$5:$D$1000, MATCH(A802&amp;"|"&amp;J802, 'Base Exámenes'!$I$5:$I$1000, 0))="", "", INDEX('Base Exámenes'!$D$5:$D$1000, MATCH(A802&amp;"|"&amp;J802, 'Base Exámenes'!$I$5:$I$1000, 0))), ""), "")</f>
        <v/>
      </c>
      <c r="H802" s="11" t="str">
        <f>IF(F802="Completado", IFERROR(IF(INDEX('Base Exámenes'!$E$5:$E$1000, MATCH(A802&amp;"|"&amp;J802, 'Base Exámenes'!$I$5:$I$1000, 0))="", "", INDEX('Base Exámenes'!$E$5:$E$1000, MATCH(A802&amp;"|"&amp;J802, 'Base Exámenes'!$I$5:$I$1000, 0))), ""), "")</f>
        <v/>
      </c>
      <c r="I802" s="10" t="str">
        <f>IF(F802="Completado", IFERROR(IF(INDEX('Base Exámenes'!$F$5:$F$1000, MATCH(A802&amp;"|"&amp;J802, 'Base Exámenes'!$I$5:$I$1000, 0))="", "", INDEX('Base Exámenes'!$F$5:$F$1000, MATCH(A802&amp;"|"&amp;J802, 'Base Exámenes'!$I$5:$I$1000, 0))), ""), "")</f>
        <v/>
      </c>
      <c r="J802" s="6" t="str">
        <f>IF(F802="Completado", IF(COUNTIFS('Base Exámenes'!$C$5:$C$1000, A802, 'Base Exámenes'!$G$5:$G$1000, "&lt;&gt;")=0, "", _xlfn.MAXIFS('Base Exámenes'!$G$5:$G$1000, 'Base Exámenes'!$C$5:$C$1000, A802)), "")</f>
        <v/>
      </c>
      <c r="K802" s="6" t="str">
        <f>IF(F802="Completado", IFERROR(IF(INDEX('Base Exámenes'!$H$5:$H$1000, MATCH(A802&amp;"|"&amp;J802, 'Base Exámenes'!$I$5:$I$1000, 0))="", "", INDEX('Base Exámenes'!$H$5:$H$1000, MATCH(A802&amp;"|"&amp;J802, 'Base Exámenes'!$I$5:$I$1000, 0))), ""), "")</f>
        <v/>
      </c>
      <c r="L802" s="22" t="str">
        <f>IF($A802="","",COUNTIF('Base Exámenes'!$C$5:$C$1000, A802))</f>
        <v/>
      </c>
      <c r="M802" s="6" t="str">
        <f>IF($A802="","",IF(COUNTIF('Base Exámenes'!$C$5:$C$1000, A802)&gt;0, "", TRIM('Base Oficial'!H802)))</f>
        <v/>
      </c>
    </row>
    <row r="803">
      <c r="A803" s="4" t="str">
        <f>IF('Base Oficial'!A803="","",TRIM('Base Oficial'!A803))</f>
        <v/>
      </c>
      <c r="B803" s="6" t="str">
        <f>IF($A803="","",TRIM('Base Oficial'!B803))</f>
        <v/>
      </c>
      <c r="C803" s="6" t="str">
        <f>IF($A803="","",TRIM('Base Oficial'!F803))</f>
        <v/>
      </c>
      <c r="D803" s="6" t="str">
        <f>IF($A803="","",TRIM('Base Oficial'!G803))</f>
        <v/>
      </c>
      <c r="E803" s="6" t="str">
        <f>IF($A803="","",TRIM('Base Oficial'!D803))</f>
        <v/>
      </c>
      <c r="F803" s="4" t="str">
        <f>IF($A803="","",IF(COUNTIF('Base Exámenes'!$C$5:$C$1000, A803)&gt;0, "Completado", IF(M803&lt;&gt;"", M803, "Pendiente")))</f>
        <v/>
      </c>
      <c r="G803" s="11" t="str">
        <f>IF(F803="Completado", IFERROR(IF(INDEX('Base Exámenes'!$D$5:$D$1000, MATCH(A803&amp;"|"&amp;J803, 'Base Exámenes'!$I$5:$I$1000, 0))="", "", INDEX('Base Exámenes'!$D$5:$D$1000, MATCH(A803&amp;"|"&amp;J803, 'Base Exámenes'!$I$5:$I$1000, 0))), ""), "")</f>
        <v/>
      </c>
      <c r="H803" s="11" t="str">
        <f>IF(F803="Completado", IFERROR(IF(INDEX('Base Exámenes'!$E$5:$E$1000, MATCH(A803&amp;"|"&amp;J803, 'Base Exámenes'!$I$5:$I$1000, 0))="", "", INDEX('Base Exámenes'!$E$5:$E$1000, MATCH(A803&amp;"|"&amp;J803, 'Base Exámenes'!$I$5:$I$1000, 0))), ""), "")</f>
        <v/>
      </c>
      <c r="I803" s="10" t="str">
        <f>IF(F803="Completado", IFERROR(IF(INDEX('Base Exámenes'!$F$5:$F$1000, MATCH(A803&amp;"|"&amp;J803, 'Base Exámenes'!$I$5:$I$1000, 0))="", "", INDEX('Base Exámenes'!$F$5:$F$1000, MATCH(A803&amp;"|"&amp;J803, 'Base Exámenes'!$I$5:$I$1000, 0))), ""), "")</f>
        <v/>
      </c>
      <c r="J803" s="6" t="str">
        <f>IF(F803="Completado", IF(COUNTIFS('Base Exámenes'!$C$5:$C$1000, A803, 'Base Exámenes'!$G$5:$G$1000, "&lt;&gt;")=0, "", _xlfn.MAXIFS('Base Exámenes'!$G$5:$G$1000, 'Base Exámenes'!$C$5:$C$1000, A803)), "")</f>
        <v/>
      </c>
      <c r="K803" s="6" t="str">
        <f>IF(F803="Completado", IFERROR(IF(INDEX('Base Exámenes'!$H$5:$H$1000, MATCH(A803&amp;"|"&amp;J803, 'Base Exámenes'!$I$5:$I$1000, 0))="", "", INDEX('Base Exámenes'!$H$5:$H$1000, MATCH(A803&amp;"|"&amp;J803, 'Base Exámenes'!$I$5:$I$1000, 0))), ""), "")</f>
        <v/>
      </c>
      <c r="L803" s="22" t="str">
        <f>IF($A803="","",COUNTIF('Base Exámenes'!$C$5:$C$1000, A803))</f>
        <v/>
      </c>
      <c r="M803" s="6" t="str">
        <f>IF($A803="","",IF(COUNTIF('Base Exámenes'!$C$5:$C$1000, A803)&gt;0, "", TRIM('Base Oficial'!H803)))</f>
        <v/>
      </c>
    </row>
    <row r="804">
      <c r="A804" s="4" t="str">
        <f>IF('Base Oficial'!A804="","",TRIM('Base Oficial'!A804))</f>
        <v/>
      </c>
      <c r="B804" s="6" t="str">
        <f>IF($A804="","",TRIM('Base Oficial'!B804))</f>
        <v/>
      </c>
      <c r="C804" s="6" t="str">
        <f>IF($A804="","",TRIM('Base Oficial'!F804))</f>
        <v/>
      </c>
      <c r="D804" s="6" t="str">
        <f>IF($A804="","",TRIM('Base Oficial'!G804))</f>
        <v/>
      </c>
      <c r="E804" s="6" t="str">
        <f>IF($A804="","",TRIM('Base Oficial'!D804))</f>
        <v/>
      </c>
      <c r="F804" s="4" t="str">
        <f>IF($A804="","",IF(COUNTIF('Base Exámenes'!$C$5:$C$1000, A804)&gt;0, "Completado", IF(M804&lt;&gt;"", M804, "Pendiente")))</f>
        <v/>
      </c>
      <c r="G804" s="11" t="str">
        <f>IF(F804="Completado", IFERROR(IF(INDEX('Base Exámenes'!$D$5:$D$1000, MATCH(A804&amp;"|"&amp;J804, 'Base Exámenes'!$I$5:$I$1000, 0))="", "", INDEX('Base Exámenes'!$D$5:$D$1000, MATCH(A804&amp;"|"&amp;J804, 'Base Exámenes'!$I$5:$I$1000, 0))), ""), "")</f>
        <v/>
      </c>
      <c r="H804" s="11" t="str">
        <f>IF(F804="Completado", IFERROR(IF(INDEX('Base Exámenes'!$E$5:$E$1000, MATCH(A804&amp;"|"&amp;J804, 'Base Exámenes'!$I$5:$I$1000, 0))="", "", INDEX('Base Exámenes'!$E$5:$E$1000, MATCH(A804&amp;"|"&amp;J804, 'Base Exámenes'!$I$5:$I$1000, 0))), ""), "")</f>
        <v/>
      </c>
      <c r="I804" s="10" t="str">
        <f>IF(F804="Completado", IFERROR(IF(INDEX('Base Exámenes'!$F$5:$F$1000, MATCH(A804&amp;"|"&amp;J804, 'Base Exámenes'!$I$5:$I$1000, 0))="", "", INDEX('Base Exámenes'!$F$5:$F$1000, MATCH(A804&amp;"|"&amp;J804, 'Base Exámenes'!$I$5:$I$1000, 0))), ""), "")</f>
        <v/>
      </c>
      <c r="J804" s="6" t="str">
        <f>IF(F804="Completado", IF(COUNTIFS('Base Exámenes'!$C$5:$C$1000, A804, 'Base Exámenes'!$G$5:$G$1000, "&lt;&gt;")=0, "", _xlfn.MAXIFS('Base Exámenes'!$G$5:$G$1000, 'Base Exámenes'!$C$5:$C$1000, A804)), "")</f>
        <v/>
      </c>
      <c r="K804" s="6" t="str">
        <f>IF(F804="Completado", IFERROR(IF(INDEX('Base Exámenes'!$H$5:$H$1000, MATCH(A804&amp;"|"&amp;J804, 'Base Exámenes'!$I$5:$I$1000, 0))="", "", INDEX('Base Exámenes'!$H$5:$H$1000, MATCH(A804&amp;"|"&amp;J804, 'Base Exámenes'!$I$5:$I$1000, 0))), ""), "")</f>
        <v/>
      </c>
      <c r="L804" s="22" t="str">
        <f>IF($A804="","",COUNTIF('Base Exámenes'!$C$5:$C$1000, A804))</f>
        <v/>
      </c>
      <c r="M804" s="6" t="str">
        <f>IF($A804="","",IF(COUNTIF('Base Exámenes'!$C$5:$C$1000, A804)&gt;0, "", TRIM('Base Oficial'!H804)))</f>
        <v/>
      </c>
    </row>
    <row r="805">
      <c r="A805" s="4" t="str">
        <f>IF('Base Oficial'!A805="","",TRIM('Base Oficial'!A805))</f>
        <v/>
      </c>
      <c r="B805" s="6" t="str">
        <f>IF($A805="","",TRIM('Base Oficial'!B805))</f>
        <v/>
      </c>
      <c r="C805" s="6" t="str">
        <f>IF($A805="","",TRIM('Base Oficial'!F805))</f>
        <v/>
      </c>
      <c r="D805" s="6" t="str">
        <f>IF($A805="","",TRIM('Base Oficial'!G805))</f>
        <v/>
      </c>
      <c r="E805" s="6" t="str">
        <f>IF($A805="","",TRIM('Base Oficial'!D805))</f>
        <v/>
      </c>
      <c r="F805" s="4" t="str">
        <f>IF($A805="","",IF(COUNTIF('Base Exámenes'!$C$5:$C$1000, A805)&gt;0, "Completado", IF(M805&lt;&gt;"", M805, "Pendiente")))</f>
        <v/>
      </c>
      <c r="G805" s="11" t="str">
        <f>IF(F805="Completado", IFERROR(IF(INDEX('Base Exámenes'!$D$5:$D$1000, MATCH(A805&amp;"|"&amp;J805, 'Base Exámenes'!$I$5:$I$1000, 0))="", "", INDEX('Base Exámenes'!$D$5:$D$1000, MATCH(A805&amp;"|"&amp;J805, 'Base Exámenes'!$I$5:$I$1000, 0))), ""), "")</f>
        <v/>
      </c>
      <c r="H805" s="11" t="str">
        <f>IF(F805="Completado", IFERROR(IF(INDEX('Base Exámenes'!$E$5:$E$1000, MATCH(A805&amp;"|"&amp;J805, 'Base Exámenes'!$I$5:$I$1000, 0))="", "", INDEX('Base Exámenes'!$E$5:$E$1000, MATCH(A805&amp;"|"&amp;J805, 'Base Exámenes'!$I$5:$I$1000, 0))), ""), "")</f>
        <v/>
      </c>
      <c r="I805" s="10" t="str">
        <f>IF(F805="Completado", IFERROR(IF(INDEX('Base Exámenes'!$F$5:$F$1000, MATCH(A805&amp;"|"&amp;J805, 'Base Exámenes'!$I$5:$I$1000, 0))="", "", INDEX('Base Exámenes'!$F$5:$F$1000, MATCH(A805&amp;"|"&amp;J805, 'Base Exámenes'!$I$5:$I$1000, 0))), ""), "")</f>
        <v/>
      </c>
      <c r="J805" s="6" t="str">
        <f>IF(F805="Completado", IF(COUNTIFS('Base Exámenes'!$C$5:$C$1000, A805, 'Base Exámenes'!$G$5:$G$1000, "&lt;&gt;")=0, "", _xlfn.MAXIFS('Base Exámenes'!$G$5:$G$1000, 'Base Exámenes'!$C$5:$C$1000, A805)), "")</f>
        <v/>
      </c>
      <c r="K805" s="6" t="str">
        <f>IF(F805="Completado", IFERROR(IF(INDEX('Base Exámenes'!$H$5:$H$1000, MATCH(A805&amp;"|"&amp;J805, 'Base Exámenes'!$I$5:$I$1000, 0))="", "", INDEX('Base Exámenes'!$H$5:$H$1000, MATCH(A805&amp;"|"&amp;J805, 'Base Exámenes'!$I$5:$I$1000, 0))), ""), "")</f>
        <v/>
      </c>
      <c r="L805" s="22" t="str">
        <f>IF($A805="","",COUNTIF('Base Exámenes'!$C$5:$C$1000, A805))</f>
        <v/>
      </c>
      <c r="M805" s="6" t="str">
        <f>IF($A805="","",IF(COUNTIF('Base Exámenes'!$C$5:$C$1000, A805)&gt;0, "", TRIM('Base Oficial'!H805)))</f>
        <v/>
      </c>
    </row>
    <row r="806">
      <c r="A806" s="4" t="str">
        <f>IF('Base Oficial'!A806="","",TRIM('Base Oficial'!A806))</f>
        <v/>
      </c>
      <c r="B806" s="6" t="str">
        <f>IF($A806="","",TRIM('Base Oficial'!B806))</f>
        <v/>
      </c>
      <c r="C806" s="6" t="str">
        <f>IF($A806="","",TRIM('Base Oficial'!F806))</f>
        <v/>
      </c>
      <c r="D806" s="6" t="str">
        <f>IF($A806="","",TRIM('Base Oficial'!G806))</f>
        <v/>
      </c>
      <c r="E806" s="6" t="str">
        <f>IF($A806="","",TRIM('Base Oficial'!D806))</f>
        <v/>
      </c>
      <c r="F806" s="4" t="str">
        <f>IF($A806="","",IF(COUNTIF('Base Exámenes'!$C$5:$C$1000, A806)&gt;0, "Completado", IF(M806&lt;&gt;"", M806, "Pendiente")))</f>
        <v/>
      </c>
      <c r="G806" s="11" t="str">
        <f>IF(F806="Completado", IFERROR(IF(INDEX('Base Exámenes'!$D$5:$D$1000, MATCH(A806&amp;"|"&amp;J806, 'Base Exámenes'!$I$5:$I$1000, 0))="", "", INDEX('Base Exámenes'!$D$5:$D$1000, MATCH(A806&amp;"|"&amp;J806, 'Base Exámenes'!$I$5:$I$1000, 0))), ""), "")</f>
        <v/>
      </c>
      <c r="H806" s="11" t="str">
        <f>IF(F806="Completado", IFERROR(IF(INDEX('Base Exámenes'!$E$5:$E$1000, MATCH(A806&amp;"|"&amp;J806, 'Base Exámenes'!$I$5:$I$1000, 0))="", "", INDEX('Base Exámenes'!$E$5:$E$1000, MATCH(A806&amp;"|"&amp;J806, 'Base Exámenes'!$I$5:$I$1000, 0))), ""), "")</f>
        <v/>
      </c>
      <c r="I806" s="10" t="str">
        <f>IF(F806="Completado", IFERROR(IF(INDEX('Base Exámenes'!$F$5:$F$1000, MATCH(A806&amp;"|"&amp;J806, 'Base Exámenes'!$I$5:$I$1000, 0))="", "", INDEX('Base Exámenes'!$F$5:$F$1000, MATCH(A806&amp;"|"&amp;J806, 'Base Exámenes'!$I$5:$I$1000, 0))), ""), "")</f>
        <v/>
      </c>
      <c r="J806" s="6" t="str">
        <f>IF(F806="Completado", IF(COUNTIFS('Base Exámenes'!$C$5:$C$1000, A806, 'Base Exámenes'!$G$5:$G$1000, "&lt;&gt;")=0, "", _xlfn.MAXIFS('Base Exámenes'!$G$5:$G$1000, 'Base Exámenes'!$C$5:$C$1000, A806)), "")</f>
        <v/>
      </c>
      <c r="K806" s="6" t="str">
        <f>IF(F806="Completado", IFERROR(IF(INDEX('Base Exámenes'!$H$5:$H$1000, MATCH(A806&amp;"|"&amp;J806, 'Base Exámenes'!$I$5:$I$1000, 0))="", "", INDEX('Base Exámenes'!$H$5:$H$1000, MATCH(A806&amp;"|"&amp;J806, 'Base Exámenes'!$I$5:$I$1000, 0))), ""), "")</f>
        <v/>
      </c>
      <c r="L806" s="22" t="str">
        <f>IF($A806="","",COUNTIF('Base Exámenes'!$C$5:$C$1000, A806))</f>
        <v/>
      </c>
      <c r="M806" s="6" t="str">
        <f>IF($A806="","",IF(COUNTIF('Base Exámenes'!$C$5:$C$1000, A806)&gt;0, "", TRIM('Base Oficial'!H806)))</f>
        <v/>
      </c>
    </row>
    <row r="807">
      <c r="A807" s="4" t="str">
        <f>IF('Base Oficial'!A807="","",TRIM('Base Oficial'!A807))</f>
        <v/>
      </c>
      <c r="B807" s="6" t="str">
        <f>IF($A807="","",TRIM('Base Oficial'!B807))</f>
        <v/>
      </c>
      <c r="C807" s="6" t="str">
        <f>IF($A807="","",TRIM('Base Oficial'!F807))</f>
        <v/>
      </c>
      <c r="D807" s="6" t="str">
        <f>IF($A807="","",TRIM('Base Oficial'!G807))</f>
        <v/>
      </c>
      <c r="E807" s="6" t="str">
        <f>IF($A807="","",TRIM('Base Oficial'!D807))</f>
        <v/>
      </c>
      <c r="F807" s="4" t="str">
        <f>IF($A807="","",IF(COUNTIF('Base Exámenes'!$C$5:$C$1000, A807)&gt;0, "Completado", IF(M807&lt;&gt;"", M807, "Pendiente")))</f>
        <v/>
      </c>
      <c r="G807" s="11" t="str">
        <f>IF(F807="Completado", IFERROR(IF(INDEX('Base Exámenes'!$D$5:$D$1000, MATCH(A807&amp;"|"&amp;J807, 'Base Exámenes'!$I$5:$I$1000, 0))="", "", INDEX('Base Exámenes'!$D$5:$D$1000, MATCH(A807&amp;"|"&amp;J807, 'Base Exámenes'!$I$5:$I$1000, 0))), ""), "")</f>
        <v/>
      </c>
      <c r="H807" s="11" t="str">
        <f>IF(F807="Completado", IFERROR(IF(INDEX('Base Exámenes'!$E$5:$E$1000, MATCH(A807&amp;"|"&amp;J807, 'Base Exámenes'!$I$5:$I$1000, 0))="", "", INDEX('Base Exámenes'!$E$5:$E$1000, MATCH(A807&amp;"|"&amp;J807, 'Base Exámenes'!$I$5:$I$1000, 0))), ""), "")</f>
        <v/>
      </c>
      <c r="I807" s="10" t="str">
        <f>IF(F807="Completado", IFERROR(IF(INDEX('Base Exámenes'!$F$5:$F$1000, MATCH(A807&amp;"|"&amp;J807, 'Base Exámenes'!$I$5:$I$1000, 0))="", "", INDEX('Base Exámenes'!$F$5:$F$1000, MATCH(A807&amp;"|"&amp;J807, 'Base Exámenes'!$I$5:$I$1000, 0))), ""), "")</f>
        <v/>
      </c>
      <c r="J807" s="6" t="str">
        <f>IF(F807="Completado", IF(COUNTIFS('Base Exámenes'!$C$5:$C$1000, A807, 'Base Exámenes'!$G$5:$G$1000, "&lt;&gt;")=0, "", _xlfn.MAXIFS('Base Exámenes'!$G$5:$G$1000, 'Base Exámenes'!$C$5:$C$1000, A807)), "")</f>
        <v/>
      </c>
      <c r="K807" s="6" t="str">
        <f>IF(F807="Completado", IFERROR(IF(INDEX('Base Exámenes'!$H$5:$H$1000, MATCH(A807&amp;"|"&amp;J807, 'Base Exámenes'!$I$5:$I$1000, 0))="", "", INDEX('Base Exámenes'!$H$5:$H$1000, MATCH(A807&amp;"|"&amp;J807, 'Base Exámenes'!$I$5:$I$1000, 0))), ""), "")</f>
        <v/>
      </c>
      <c r="L807" s="22" t="str">
        <f>IF($A807="","",COUNTIF('Base Exámenes'!$C$5:$C$1000, A807))</f>
        <v/>
      </c>
      <c r="M807" s="6" t="str">
        <f>IF($A807="","",IF(COUNTIF('Base Exámenes'!$C$5:$C$1000, A807)&gt;0, "", TRIM('Base Oficial'!H807)))</f>
        <v/>
      </c>
    </row>
    <row r="808">
      <c r="A808" s="4" t="str">
        <f>IF('Base Oficial'!A808="","",TRIM('Base Oficial'!A808))</f>
        <v/>
      </c>
      <c r="B808" s="6" t="str">
        <f>IF($A808="","",TRIM('Base Oficial'!B808))</f>
        <v/>
      </c>
      <c r="C808" s="6" t="str">
        <f>IF($A808="","",TRIM('Base Oficial'!F808))</f>
        <v/>
      </c>
      <c r="D808" s="6" t="str">
        <f>IF($A808="","",TRIM('Base Oficial'!G808))</f>
        <v/>
      </c>
      <c r="E808" s="6" t="str">
        <f>IF($A808="","",TRIM('Base Oficial'!D808))</f>
        <v/>
      </c>
      <c r="F808" s="4" t="str">
        <f>IF($A808="","",IF(COUNTIF('Base Exámenes'!$C$5:$C$1000, A808)&gt;0, "Completado", IF(M808&lt;&gt;"", M808, "Pendiente")))</f>
        <v/>
      </c>
      <c r="G808" s="11" t="str">
        <f>IF(F808="Completado", IFERROR(IF(INDEX('Base Exámenes'!$D$5:$D$1000, MATCH(A808&amp;"|"&amp;J808, 'Base Exámenes'!$I$5:$I$1000, 0))="", "", INDEX('Base Exámenes'!$D$5:$D$1000, MATCH(A808&amp;"|"&amp;J808, 'Base Exámenes'!$I$5:$I$1000, 0))), ""), "")</f>
        <v/>
      </c>
      <c r="H808" s="11" t="str">
        <f>IF(F808="Completado", IFERROR(IF(INDEX('Base Exámenes'!$E$5:$E$1000, MATCH(A808&amp;"|"&amp;J808, 'Base Exámenes'!$I$5:$I$1000, 0))="", "", INDEX('Base Exámenes'!$E$5:$E$1000, MATCH(A808&amp;"|"&amp;J808, 'Base Exámenes'!$I$5:$I$1000, 0))), ""), "")</f>
        <v/>
      </c>
      <c r="I808" s="10" t="str">
        <f>IF(F808="Completado", IFERROR(IF(INDEX('Base Exámenes'!$F$5:$F$1000, MATCH(A808&amp;"|"&amp;J808, 'Base Exámenes'!$I$5:$I$1000, 0))="", "", INDEX('Base Exámenes'!$F$5:$F$1000, MATCH(A808&amp;"|"&amp;J808, 'Base Exámenes'!$I$5:$I$1000, 0))), ""), "")</f>
        <v/>
      </c>
      <c r="J808" s="6" t="str">
        <f>IF(F808="Completado", IF(COUNTIFS('Base Exámenes'!$C$5:$C$1000, A808, 'Base Exámenes'!$G$5:$G$1000, "&lt;&gt;")=0, "", _xlfn.MAXIFS('Base Exámenes'!$G$5:$G$1000, 'Base Exámenes'!$C$5:$C$1000, A808)), "")</f>
        <v/>
      </c>
      <c r="K808" s="6" t="str">
        <f>IF(F808="Completado", IFERROR(IF(INDEX('Base Exámenes'!$H$5:$H$1000, MATCH(A808&amp;"|"&amp;J808, 'Base Exámenes'!$I$5:$I$1000, 0))="", "", INDEX('Base Exámenes'!$H$5:$H$1000, MATCH(A808&amp;"|"&amp;J808, 'Base Exámenes'!$I$5:$I$1000, 0))), ""), "")</f>
        <v/>
      </c>
      <c r="L808" s="22" t="str">
        <f>IF($A808="","",COUNTIF('Base Exámenes'!$C$5:$C$1000, A808))</f>
        <v/>
      </c>
      <c r="M808" s="6" t="str">
        <f>IF($A808="","",IF(COUNTIF('Base Exámenes'!$C$5:$C$1000, A808)&gt;0, "", TRIM('Base Oficial'!H808)))</f>
        <v/>
      </c>
    </row>
    <row r="809">
      <c r="A809" s="4" t="str">
        <f>IF('Base Oficial'!A809="","",TRIM('Base Oficial'!A809))</f>
        <v/>
      </c>
      <c r="B809" s="6" t="str">
        <f>IF($A809="","",TRIM('Base Oficial'!B809))</f>
        <v/>
      </c>
      <c r="C809" s="6" t="str">
        <f>IF($A809="","",TRIM('Base Oficial'!F809))</f>
        <v/>
      </c>
      <c r="D809" s="6" t="str">
        <f>IF($A809="","",TRIM('Base Oficial'!G809))</f>
        <v/>
      </c>
      <c r="E809" s="6" t="str">
        <f>IF($A809="","",TRIM('Base Oficial'!D809))</f>
        <v/>
      </c>
      <c r="F809" s="4" t="str">
        <f>IF($A809="","",IF(COUNTIF('Base Exámenes'!$C$5:$C$1000, A809)&gt;0, "Completado", IF(M809&lt;&gt;"", M809, "Pendiente")))</f>
        <v/>
      </c>
      <c r="G809" s="11" t="str">
        <f>IF(F809="Completado", IFERROR(IF(INDEX('Base Exámenes'!$D$5:$D$1000, MATCH(A809&amp;"|"&amp;J809, 'Base Exámenes'!$I$5:$I$1000, 0))="", "", INDEX('Base Exámenes'!$D$5:$D$1000, MATCH(A809&amp;"|"&amp;J809, 'Base Exámenes'!$I$5:$I$1000, 0))), ""), "")</f>
        <v/>
      </c>
      <c r="H809" s="11" t="str">
        <f>IF(F809="Completado", IFERROR(IF(INDEX('Base Exámenes'!$E$5:$E$1000, MATCH(A809&amp;"|"&amp;J809, 'Base Exámenes'!$I$5:$I$1000, 0))="", "", INDEX('Base Exámenes'!$E$5:$E$1000, MATCH(A809&amp;"|"&amp;J809, 'Base Exámenes'!$I$5:$I$1000, 0))), ""), "")</f>
        <v/>
      </c>
      <c r="I809" s="10" t="str">
        <f>IF(F809="Completado", IFERROR(IF(INDEX('Base Exámenes'!$F$5:$F$1000, MATCH(A809&amp;"|"&amp;J809, 'Base Exámenes'!$I$5:$I$1000, 0))="", "", INDEX('Base Exámenes'!$F$5:$F$1000, MATCH(A809&amp;"|"&amp;J809, 'Base Exámenes'!$I$5:$I$1000, 0))), ""), "")</f>
        <v/>
      </c>
      <c r="J809" s="6" t="str">
        <f>IF(F809="Completado", IF(COUNTIFS('Base Exámenes'!$C$5:$C$1000, A809, 'Base Exámenes'!$G$5:$G$1000, "&lt;&gt;")=0, "", _xlfn.MAXIFS('Base Exámenes'!$G$5:$G$1000, 'Base Exámenes'!$C$5:$C$1000, A809)), "")</f>
        <v/>
      </c>
      <c r="K809" s="6" t="str">
        <f>IF(F809="Completado", IFERROR(IF(INDEX('Base Exámenes'!$H$5:$H$1000, MATCH(A809&amp;"|"&amp;J809, 'Base Exámenes'!$I$5:$I$1000, 0))="", "", INDEX('Base Exámenes'!$H$5:$H$1000, MATCH(A809&amp;"|"&amp;J809, 'Base Exámenes'!$I$5:$I$1000, 0))), ""), "")</f>
        <v/>
      </c>
      <c r="L809" s="22" t="str">
        <f>IF($A809="","",COUNTIF('Base Exámenes'!$C$5:$C$1000, A809))</f>
        <v/>
      </c>
      <c r="M809" s="6" t="str">
        <f>IF($A809="","",IF(COUNTIF('Base Exámenes'!$C$5:$C$1000, A809)&gt;0, "", TRIM('Base Oficial'!H809)))</f>
        <v/>
      </c>
    </row>
    <row r="810">
      <c r="A810" s="4" t="str">
        <f>IF('Base Oficial'!A810="","",TRIM('Base Oficial'!A810))</f>
        <v/>
      </c>
      <c r="B810" s="6" t="str">
        <f>IF($A810="","",TRIM('Base Oficial'!B810))</f>
        <v/>
      </c>
      <c r="C810" s="6" t="str">
        <f>IF($A810="","",TRIM('Base Oficial'!F810))</f>
        <v/>
      </c>
      <c r="D810" s="6" t="str">
        <f>IF($A810="","",TRIM('Base Oficial'!G810))</f>
        <v/>
      </c>
      <c r="E810" s="6" t="str">
        <f>IF($A810="","",TRIM('Base Oficial'!D810))</f>
        <v/>
      </c>
      <c r="F810" s="4" t="str">
        <f>IF($A810="","",IF(COUNTIF('Base Exámenes'!$C$5:$C$1000, A810)&gt;0, "Completado", IF(M810&lt;&gt;"", M810, "Pendiente")))</f>
        <v/>
      </c>
      <c r="G810" s="11" t="str">
        <f>IF(F810="Completado", IFERROR(IF(INDEX('Base Exámenes'!$D$5:$D$1000, MATCH(A810&amp;"|"&amp;J810, 'Base Exámenes'!$I$5:$I$1000, 0))="", "", INDEX('Base Exámenes'!$D$5:$D$1000, MATCH(A810&amp;"|"&amp;J810, 'Base Exámenes'!$I$5:$I$1000, 0))), ""), "")</f>
        <v/>
      </c>
      <c r="H810" s="11" t="str">
        <f>IF(F810="Completado", IFERROR(IF(INDEX('Base Exámenes'!$E$5:$E$1000, MATCH(A810&amp;"|"&amp;J810, 'Base Exámenes'!$I$5:$I$1000, 0))="", "", INDEX('Base Exámenes'!$E$5:$E$1000, MATCH(A810&amp;"|"&amp;J810, 'Base Exámenes'!$I$5:$I$1000, 0))), ""), "")</f>
        <v/>
      </c>
      <c r="I810" s="10" t="str">
        <f>IF(F810="Completado", IFERROR(IF(INDEX('Base Exámenes'!$F$5:$F$1000, MATCH(A810&amp;"|"&amp;J810, 'Base Exámenes'!$I$5:$I$1000, 0))="", "", INDEX('Base Exámenes'!$F$5:$F$1000, MATCH(A810&amp;"|"&amp;J810, 'Base Exámenes'!$I$5:$I$1000, 0))), ""), "")</f>
        <v/>
      </c>
      <c r="J810" s="6" t="str">
        <f>IF(F810="Completado", IF(COUNTIFS('Base Exámenes'!$C$5:$C$1000, A810, 'Base Exámenes'!$G$5:$G$1000, "&lt;&gt;")=0, "", _xlfn.MAXIFS('Base Exámenes'!$G$5:$G$1000, 'Base Exámenes'!$C$5:$C$1000, A810)), "")</f>
        <v/>
      </c>
      <c r="K810" s="6" t="str">
        <f>IF(F810="Completado", IFERROR(IF(INDEX('Base Exámenes'!$H$5:$H$1000, MATCH(A810&amp;"|"&amp;J810, 'Base Exámenes'!$I$5:$I$1000, 0))="", "", INDEX('Base Exámenes'!$H$5:$H$1000, MATCH(A810&amp;"|"&amp;J810, 'Base Exámenes'!$I$5:$I$1000, 0))), ""), "")</f>
        <v/>
      </c>
      <c r="L810" s="22" t="str">
        <f>IF($A810="","",COUNTIF('Base Exámenes'!$C$5:$C$1000, A810))</f>
        <v/>
      </c>
      <c r="M810" s="6" t="str">
        <f>IF($A810="","",IF(COUNTIF('Base Exámenes'!$C$5:$C$1000, A810)&gt;0, "", TRIM('Base Oficial'!H810)))</f>
        <v/>
      </c>
    </row>
    <row r="811">
      <c r="A811" s="4" t="str">
        <f>IF('Base Oficial'!A811="","",TRIM('Base Oficial'!A811))</f>
        <v/>
      </c>
      <c r="B811" s="6" t="str">
        <f>IF($A811="","",TRIM('Base Oficial'!B811))</f>
        <v/>
      </c>
      <c r="C811" s="6" t="str">
        <f>IF($A811="","",TRIM('Base Oficial'!F811))</f>
        <v/>
      </c>
      <c r="D811" s="6" t="str">
        <f>IF($A811="","",TRIM('Base Oficial'!G811))</f>
        <v/>
      </c>
      <c r="E811" s="6" t="str">
        <f>IF($A811="","",TRIM('Base Oficial'!D811))</f>
        <v/>
      </c>
      <c r="F811" s="4" t="str">
        <f>IF($A811="","",IF(COUNTIF('Base Exámenes'!$C$5:$C$1000, A811)&gt;0, "Completado", IF(M811&lt;&gt;"", M811, "Pendiente")))</f>
        <v/>
      </c>
      <c r="G811" s="11" t="str">
        <f>IF(F811="Completado", IFERROR(IF(INDEX('Base Exámenes'!$D$5:$D$1000, MATCH(A811&amp;"|"&amp;J811, 'Base Exámenes'!$I$5:$I$1000, 0))="", "", INDEX('Base Exámenes'!$D$5:$D$1000, MATCH(A811&amp;"|"&amp;J811, 'Base Exámenes'!$I$5:$I$1000, 0))), ""), "")</f>
        <v/>
      </c>
      <c r="H811" s="11" t="str">
        <f>IF(F811="Completado", IFERROR(IF(INDEX('Base Exámenes'!$E$5:$E$1000, MATCH(A811&amp;"|"&amp;J811, 'Base Exámenes'!$I$5:$I$1000, 0))="", "", INDEX('Base Exámenes'!$E$5:$E$1000, MATCH(A811&amp;"|"&amp;J811, 'Base Exámenes'!$I$5:$I$1000, 0))), ""), "")</f>
        <v/>
      </c>
      <c r="I811" s="10" t="str">
        <f>IF(F811="Completado", IFERROR(IF(INDEX('Base Exámenes'!$F$5:$F$1000, MATCH(A811&amp;"|"&amp;J811, 'Base Exámenes'!$I$5:$I$1000, 0))="", "", INDEX('Base Exámenes'!$F$5:$F$1000, MATCH(A811&amp;"|"&amp;J811, 'Base Exámenes'!$I$5:$I$1000, 0))), ""), "")</f>
        <v/>
      </c>
      <c r="J811" s="6" t="str">
        <f>IF(F811="Completado", IF(COUNTIFS('Base Exámenes'!$C$5:$C$1000, A811, 'Base Exámenes'!$G$5:$G$1000, "&lt;&gt;")=0, "", _xlfn.MAXIFS('Base Exámenes'!$G$5:$G$1000, 'Base Exámenes'!$C$5:$C$1000, A811)), "")</f>
        <v/>
      </c>
      <c r="K811" s="6" t="str">
        <f>IF(F811="Completado", IFERROR(IF(INDEX('Base Exámenes'!$H$5:$H$1000, MATCH(A811&amp;"|"&amp;J811, 'Base Exámenes'!$I$5:$I$1000, 0))="", "", INDEX('Base Exámenes'!$H$5:$H$1000, MATCH(A811&amp;"|"&amp;J811, 'Base Exámenes'!$I$5:$I$1000, 0))), ""), "")</f>
        <v/>
      </c>
      <c r="L811" s="22" t="str">
        <f>IF($A811="","",COUNTIF('Base Exámenes'!$C$5:$C$1000, A811))</f>
        <v/>
      </c>
      <c r="M811" s="6" t="str">
        <f>IF($A811="","",IF(COUNTIF('Base Exámenes'!$C$5:$C$1000, A811)&gt;0, "", TRIM('Base Oficial'!H811)))</f>
        <v/>
      </c>
    </row>
    <row r="812">
      <c r="A812" s="4" t="str">
        <f>IF('Base Oficial'!A812="","",TRIM('Base Oficial'!A812))</f>
        <v/>
      </c>
      <c r="B812" s="6" t="str">
        <f>IF($A812="","",TRIM('Base Oficial'!B812))</f>
        <v/>
      </c>
      <c r="C812" s="6" t="str">
        <f>IF($A812="","",TRIM('Base Oficial'!F812))</f>
        <v/>
      </c>
      <c r="D812" s="6" t="str">
        <f>IF($A812="","",TRIM('Base Oficial'!G812))</f>
        <v/>
      </c>
      <c r="E812" s="6" t="str">
        <f>IF($A812="","",TRIM('Base Oficial'!D812))</f>
        <v/>
      </c>
      <c r="F812" s="4" t="str">
        <f>IF($A812="","",IF(COUNTIF('Base Exámenes'!$C$5:$C$1000, A812)&gt;0, "Completado", IF(M812&lt;&gt;"", M812, "Pendiente")))</f>
        <v/>
      </c>
      <c r="G812" s="11" t="str">
        <f>IF(F812="Completado", IFERROR(IF(INDEX('Base Exámenes'!$D$5:$D$1000, MATCH(A812&amp;"|"&amp;J812, 'Base Exámenes'!$I$5:$I$1000, 0))="", "", INDEX('Base Exámenes'!$D$5:$D$1000, MATCH(A812&amp;"|"&amp;J812, 'Base Exámenes'!$I$5:$I$1000, 0))), ""), "")</f>
        <v/>
      </c>
      <c r="H812" s="11" t="str">
        <f>IF(F812="Completado", IFERROR(IF(INDEX('Base Exámenes'!$E$5:$E$1000, MATCH(A812&amp;"|"&amp;J812, 'Base Exámenes'!$I$5:$I$1000, 0))="", "", INDEX('Base Exámenes'!$E$5:$E$1000, MATCH(A812&amp;"|"&amp;J812, 'Base Exámenes'!$I$5:$I$1000, 0))), ""), "")</f>
        <v/>
      </c>
      <c r="I812" s="10" t="str">
        <f>IF(F812="Completado", IFERROR(IF(INDEX('Base Exámenes'!$F$5:$F$1000, MATCH(A812&amp;"|"&amp;J812, 'Base Exámenes'!$I$5:$I$1000, 0))="", "", INDEX('Base Exámenes'!$F$5:$F$1000, MATCH(A812&amp;"|"&amp;J812, 'Base Exámenes'!$I$5:$I$1000, 0))), ""), "")</f>
        <v/>
      </c>
      <c r="J812" s="6" t="str">
        <f>IF(F812="Completado", IF(COUNTIFS('Base Exámenes'!$C$5:$C$1000, A812, 'Base Exámenes'!$G$5:$G$1000, "&lt;&gt;")=0, "", _xlfn.MAXIFS('Base Exámenes'!$G$5:$G$1000, 'Base Exámenes'!$C$5:$C$1000, A812)), "")</f>
        <v/>
      </c>
      <c r="K812" s="6" t="str">
        <f>IF(F812="Completado", IFERROR(IF(INDEX('Base Exámenes'!$H$5:$H$1000, MATCH(A812&amp;"|"&amp;J812, 'Base Exámenes'!$I$5:$I$1000, 0))="", "", INDEX('Base Exámenes'!$H$5:$H$1000, MATCH(A812&amp;"|"&amp;J812, 'Base Exámenes'!$I$5:$I$1000, 0))), ""), "")</f>
        <v/>
      </c>
      <c r="L812" s="22" t="str">
        <f>IF($A812="","",COUNTIF('Base Exámenes'!$C$5:$C$1000, A812))</f>
        <v/>
      </c>
      <c r="M812" s="6" t="str">
        <f>IF($A812="","",IF(COUNTIF('Base Exámenes'!$C$5:$C$1000, A812)&gt;0, "", TRIM('Base Oficial'!H812)))</f>
        <v/>
      </c>
    </row>
    <row r="813">
      <c r="A813" s="4" t="str">
        <f>IF('Base Oficial'!A813="","",TRIM('Base Oficial'!A813))</f>
        <v/>
      </c>
      <c r="B813" s="6" t="str">
        <f>IF($A813="","",TRIM('Base Oficial'!B813))</f>
        <v/>
      </c>
      <c r="C813" s="6" t="str">
        <f>IF($A813="","",TRIM('Base Oficial'!F813))</f>
        <v/>
      </c>
      <c r="D813" s="6" t="str">
        <f>IF($A813="","",TRIM('Base Oficial'!G813))</f>
        <v/>
      </c>
      <c r="E813" s="6" t="str">
        <f>IF($A813="","",TRIM('Base Oficial'!D813))</f>
        <v/>
      </c>
      <c r="F813" s="4" t="str">
        <f>IF($A813="","",IF(COUNTIF('Base Exámenes'!$C$5:$C$1000, A813)&gt;0, "Completado", IF(M813&lt;&gt;"", M813, "Pendiente")))</f>
        <v/>
      </c>
      <c r="G813" s="11" t="str">
        <f>IF(F813="Completado", IFERROR(IF(INDEX('Base Exámenes'!$D$5:$D$1000, MATCH(A813&amp;"|"&amp;J813, 'Base Exámenes'!$I$5:$I$1000, 0))="", "", INDEX('Base Exámenes'!$D$5:$D$1000, MATCH(A813&amp;"|"&amp;J813, 'Base Exámenes'!$I$5:$I$1000, 0))), ""), "")</f>
        <v/>
      </c>
      <c r="H813" s="11" t="str">
        <f>IF(F813="Completado", IFERROR(IF(INDEX('Base Exámenes'!$E$5:$E$1000, MATCH(A813&amp;"|"&amp;J813, 'Base Exámenes'!$I$5:$I$1000, 0))="", "", INDEX('Base Exámenes'!$E$5:$E$1000, MATCH(A813&amp;"|"&amp;J813, 'Base Exámenes'!$I$5:$I$1000, 0))), ""), "")</f>
        <v/>
      </c>
      <c r="I813" s="10" t="str">
        <f>IF(F813="Completado", IFERROR(IF(INDEX('Base Exámenes'!$F$5:$F$1000, MATCH(A813&amp;"|"&amp;J813, 'Base Exámenes'!$I$5:$I$1000, 0))="", "", INDEX('Base Exámenes'!$F$5:$F$1000, MATCH(A813&amp;"|"&amp;J813, 'Base Exámenes'!$I$5:$I$1000, 0))), ""), "")</f>
        <v/>
      </c>
      <c r="J813" s="6" t="str">
        <f>IF(F813="Completado", IF(COUNTIFS('Base Exámenes'!$C$5:$C$1000, A813, 'Base Exámenes'!$G$5:$G$1000, "&lt;&gt;")=0, "", _xlfn.MAXIFS('Base Exámenes'!$G$5:$G$1000, 'Base Exámenes'!$C$5:$C$1000, A813)), "")</f>
        <v/>
      </c>
      <c r="K813" s="6" t="str">
        <f>IF(F813="Completado", IFERROR(IF(INDEX('Base Exámenes'!$H$5:$H$1000, MATCH(A813&amp;"|"&amp;J813, 'Base Exámenes'!$I$5:$I$1000, 0))="", "", INDEX('Base Exámenes'!$H$5:$H$1000, MATCH(A813&amp;"|"&amp;J813, 'Base Exámenes'!$I$5:$I$1000, 0))), ""), "")</f>
        <v/>
      </c>
      <c r="L813" s="22" t="str">
        <f>IF($A813="","",COUNTIF('Base Exámenes'!$C$5:$C$1000, A813))</f>
        <v/>
      </c>
      <c r="M813" s="6" t="str">
        <f>IF($A813="","",IF(COUNTIF('Base Exámenes'!$C$5:$C$1000, A813)&gt;0, "", TRIM('Base Oficial'!H813)))</f>
        <v/>
      </c>
    </row>
    <row r="814">
      <c r="A814" s="4" t="str">
        <f>IF('Base Oficial'!A814="","",TRIM('Base Oficial'!A814))</f>
        <v/>
      </c>
      <c r="B814" s="6" t="str">
        <f>IF($A814="","",TRIM('Base Oficial'!B814))</f>
        <v/>
      </c>
      <c r="C814" s="6" t="str">
        <f>IF($A814="","",TRIM('Base Oficial'!F814))</f>
        <v/>
      </c>
      <c r="D814" s="6" t="str">
        <f>IF($A814="","",TRIM('Base Oficial'!G814))</f>
        <v/>
      </c>
      <c r="E814" s="6" t="str">
        <f>IF($A814="","",TRIM('Base Oficial'!D814))</f>
        <v/>
      </c>
      <c r="F814" s="4" t="str">
        <f>IF($A814="","",IF(COUNTIF('Base Exámenes'!$C$5:$C$1000, A814)&gt;0, "Completado", IF(M814&lt;&gt;"", M814, "Pendiente")))</f>
        <v/>
      </c>
      <c r="G814" s="11" t="str">
        <f>IF(F814="Completado", IFERROR(IF(INDEX('Base Exámenes'!$D$5:$D$1000, MATCH(A814&amp;"|"&amp;J814, 'Base Exámenes'!$I$5:$I$1000, 0))="", "", INDEX('Base Exámenes'!$D$5:$D$1000, MATCH(A814&amp;"|"&amp;J814, 'Base Exámenes'!$I$5:$I$1000, 0))), ""), "")</f>
        <v/>
      </c>
      <c r="H814" s="11" t="str">
        <f>IF(F814="Completado", IFERROR(IF(INDEX('Base Exámenes'!$E$5:$E$1000, MATCH(A814&amp;"|"&amp;J814, 'Base Exámenes'!$I$5:$I$1000, 0))="", "", INDEX('Base Exámenes'!$E$5:$E$1000, MATCH(A814&amp;"|"&amp;J814, 'Base Exámenes'!$I$5:$I$1000, 0))), ""), "")</f>
        <v/>
      </c>
      <c r="I814" s="10" t="str">
        <f>IF(F814="Completado", IFERROR(IF(INDEX('Base Exámenes'!$F$5:$F$1000, MATCH(A814&amp;"|"&amp;J814, 'Base Exámenes'!$I$5:$I$1000, 0))="", "", INDEX('Base Exámenes'!$F$5:$F$1000, MATCH(A814&amp;"|"&amp;J814, 'Base Exámenes'!$I$5:$I$1000, 0))), ""), "")</f>
        <v/>
      </c>
      <c r="J814" s="6" t="str">
        <f>IF(F814="Completado", IF(COUNTIFS('Base Exámenes'!$C$5:$C$1000, A814, 'Base Exámenes'!$G$5:$G$1000, "&lt;&gt;")=0, "", _xlfn.MAXIFS('Base Exámenes'!$G$5:$G$1000, 'Base Exámenes'!$C$5:$C$1000, A814)), "")</f>
        <v/>
      </c>
      <c r="K814" s="6" t="str">
        <f>IF(F814="Completado", IFERROR(IF(INDEX('Base Exámenes'!$H$5:$H$1000, MATCH(A814&amp;"|"&amp;J814, 'Base Exámenes'!$I$5:$I$1000, 0))="", "", INDEX('Base Exámenes'!$H$5:$H$1000, MATCH(A814&amp;"|"&amp;J814, 'Base Exámenes'!$I$5:$I$1000, 0))), ""), "")</f>
        <v/>
      </c>
      <c r="L814" s="22" t="str">
        <f>IF($A814="","",COUNTIF('Base Exámenes'!$C$5:$C$1000, A814))</f>
        <v/>
      </c>
      <c r="M814" s="6" t="str">
        <f>IF($A814="","",IF(COUNTIF('Base Exámenes'!$C$5:$C$1000, A814)&gt;0, "", TRIM('Base Oficial'!H814)))</f>
        <v/>
      </c>
    </row>
    <row r="815">
      <c r="A815" s="4" t="str">
        <f>IF('Base Oficial'!A815="","",TRIM('Base Oficial'!A815))</f>
        <v/>
      </c>
      <c r="B815" s="6" t="str">
        <f>IF($A815="","",TRIM('Base Oficial'!B815))</f>
        <v/>
      </c>
      <c r="C815" s="6" t="str">
        <f>IF($A815="","",TRIM('Base Oficial'!F815))</f>
        <v/>
      </c>
      <c r="D815" s="6" t="str">
        <f>IF($A815="","",TRIM('Base Oficial'!G815))</f>
        <v/>
      </c>
      <c r="E815" s="6" t="str">
        <f>IF($A815="","",TRIM('Base Oficial'!D815))</f>
        <v/>
      </c>
      <c r="F815" s="4" t="str">
        <f>IF($A815="","",IF(COUNTIF('Base Exámenes'!$C$5:$C$1000, A815)&gt;0, "Completado", IF(M815&lt;&gt;"", M815, "Pendiente")))</f>
        <v/>
      </c>
      <c r="G815" s="11" t="str">
        <f>IF(F815="Completado", IFERROR(IF(INDEX('Base Exámenes'!$D$5:$D$1000, MATCH(A815&amp;"|"&amp;J815, 'Base Exámenes'!$I$5:$I$1000, 0))="", "", INDEX('Base Exámenes'!$D$5:$D$1000, MATCH(A815&amp;"|"&amp;J815, 'Base Exámenes'!$I$5:$I$1000, 0))), ""), "")</f>
        <v/>
      </c>
      <c r="H815" s="11" t="str">
        <f>IF(F815="Completado", IFERROR(IF(INDEX('Base Exámenes'!$E$5:$E$1000, MATCH(A815&amp;"|"&amp;J815, 'Base Exámenes'!$I$5:$I$1000, 0))="", "", INDEX('Base Exámenes'!$E$5:$E$1000, MATCH(A815&amp;"|"&amp;J815, 'Base Exámenes'!$I$5:$I$1000, 0))), ""), "")</f>
        <v/>
      </c>
      <c r="I815" s="10" t="str">
        <f>IF(F815="Completado", IFERROR(IF(INDEX('Base Exámenes'!$F$5:$F$1000, MATCH(A815&amp;"|"&amp;J815, 'Base Exámenes'!$I$5:$I$1000, 0))="", "", INDEX('Base Exámenes'!$F$5:$F$1000, MATCH(A815&amp;"|"&amp;J815, 'Base Exámenes'!$I$5:$I$1000, 0))), ""), "")</f>
        <v/>
      </c>
      <c r="J815" s="6" t="str">
        <f>IF(F815="Completado", IF(COUNTIFS('Base Exámenes'!$C$5:$C$1000, A815, 'Base Exámenes'!$G$5:$G$1000, "&lt;&gt;")=0, "", _xlfn.MAXIFS('Base Exámenes'!$G$5:$G$1000, 'Base Exámenes'!$C$5:$C$1000, A815)), "")</f>
        <v/>
      </c>
      <c r="K815" s="6" t="str">
        <f>IF(F815="Completado", IFERROR(IF(INDEX('Base Exámenes'!$H$5:$H$1000, MATCH(A815&amp;"|"&amp;J815, 'Base Exámenes'!$I$5:$I$1000, 0))="", "", INDEX('Base Exámenes'!$H$5:$H$1000, MATCH(A815&amp;"|"&amp;J815, 'Base Exámenes'!$I$5:$I$1000, 0))), ""), "")</f>
        <v/>
      </c>
      <c r="L815" s="22" t="str">
        <f>IF($A815="","",COUNTIF('Base Exámenes'!$C$5:$C$1000, A815))</f>
        <v/>
      </c>
      <c r="M815" s="6" t="str">
        <f>IF($A815="","",IF(COUNTIF('Base Exámenes'!$C$5:$C$1000, A815)&gt;0, "", TRIM('Base Oficial'!H815)))</f>
        <v/>
      </c>
    </row>
    <row r="816">
      <c r="A816" s="4" t="str">
        <f>IF('Base Oficial'!A816="","",TRIM('Base Oficial'!A816))</f>
        <v/>
      </c>
      <c r="B816" s="6" t="str">
        <f>IF($A816="","",TRIM('Base Oficial'!B816))</f>
        <v/>
      </c>
      <c r="C816" s="6" t="str">
        <f>IF($A816="","",TRIM('Base Oficial'!F816))</f>
        <v/>
      </c>
      <c r="D816" s="6" t="str">
        <f>IF($A816="","",TRIM('Base Oficial'!G816))</f>
        <v/>
      </c>
      <c r="E816" s="6" t="str">
        <f>IF($A816="","",TRIM('Base Oficial'!D816))</f>
        <v/>
      </c>
      <c r="F816" s="4" t="str">
        <f>IF($A816="","",IF(COUNTIF('Base Exámenes'!$C$5:$C$1000, A816)&gt;0, "Completado", IF(M816&lt;&gt;"", M816, "Pendiente")))</f>
        <v/>
      </c>
      <c r="G816" s="11" t="str">
        <f>IF(F816="Completado", IFERROR(IF(INDEX('Base Exámenes'!$D$5:$D$1000, MATCH(A816&amp;"|"&amp;J816, 'Base Exámenes'!$I$5:$I$1000, 0))="", "", INDEX('Base Exámenes'!$D$5:$D$1000, MATCH(A816&amp;"|"&amp;J816, 'Base Exámenes'!$I$5:$I$1000, 0))), ""), "")</f>
        <v/>
      </c>
      <c r="H816" s="11" t="str">
        <f>IF(F816="Completado", IFERROR(IF(INDEX('Base Exámenes'!$E$5:$E$1000, MATCH(A816&amp;"|"&amp;J816, 'Base Exámenes'!$I$5:$I$1000, 0))="", "", INDEX('Base Exámenes'!$E$5:$E$1000, MATCH(A816&amp;"|"&amp;J816, 'Base Exámenes'!$I$5:$I$1000, 0))), ""), "")</f>
        <v/>
      </c>
      <c r="I816" s="10" t="str">
        <f>IF(F816="Completado", IFERROR(IF(INDEX('Base Exámenes'!$F$5:$F$1000, MATCH(A816&amp;"|"&amp;J816, 'Base Exámenes'!$I$5:$I$1000, 0))="", "", INDEX('Base Exámenes'!$F$5:$F$1000, MATCH(A816&amp;"|"&amp;J816, 'Base Exámenes'!$I$5:$I$1000, 0))), ""), "")</f>
        <v/>
      </c>
      <c r="J816" s="6" t="str">
        <f>IF(F816="Completado", IF(COUNTIFS('Base Exámenes'!$C$5:$C$1000, A816, 'Base Exámenes'!$G$5:$G$1000, "&lt;&gt;")=0, "", _xlfn.MAXIFS('Base Exámenes'!$G$5:$G$1000, 'Base Exámenes'!$C$5:$C$1000, A816)), "")</f>
        <v/>
      </c>
      <c r="K816" s="6" t="str">
        <f>IF(F816="Completado", IFERROR(IF(INDEX('Base Exámenes'!$H$5:$H$1000, MATCH(A816&amp;"|"&amp;J816, 'Base Exámenes'!$I$5:$I$1000, 0))="", "", INDEX('Base Exámenes'!$H$5:$H$1000, MATCH(A816&amp;"|"&amp;J816, 'Base Exámenes'!$I$5:$I$1000, 0))), ""), "")</f>
        <v/>
      </c>
      <c r="L816" s="22" t="str">
        <f>IF($A816="","",COUNTIF('Base Exámenes'!$C$5:$C$1000, A816))</f>
        <v/>
      </c>
      <c r="M816" s="6" t="str">
        <f>IF($A816="","",IF(COUNTIF('Base Exámenes'!$C$5:$C$1000, A816)&gt;0, "", TRIM('Base Oficial'!H816)))</f>
        <v/>
      </c>
    </row>
    <row r="817">
      <c r="A817" s="4" t="str">
        <f>IF('Base Oficial'!A817="","",TRIM('Base Oficial'!A817))</f>
        <v/>
      </c>
      <c r="B817" s="6" t="str">
        <f>IF($A817="","",TRIM('Base Oficial'!B817))</f>
        <v/>
      </c>
      <c r="C817" s="6" t="str">
        <f>IF($A817="","",TRIM('Base Oficial'!F817))</f>
        <v/>
      </c>
      <c r="D817" s="6" t="str">
        <f>IF($A817="","",TRIM('Base Oficial'!G817))</f>
        <v/>
      </c>
      <c r="E817" s="6" t="str">
        <f>IF($A817="","",TRIM('Base Oficial'!D817))</f>
        <v/>
      </c>
      <c r="F817" s="4" t="str">
        <f>IF($A817="","",IF(COUNTIF('Base Exámenes'!$C$5:$C$1000, A817)&gt;0, "Completado", IF(M817&lt;&gt;"", M817, "Pendiente")))</f>
        <v/>
      </c>
      <c r="G817" s="11" t="str">
        <f>IF(F817="Completado", IFERROR(IF(INDEX('Base Exámenes'!$D$5:$D$1000, MATCH(A817&amp;"|"&amp;J817, 'Base Exámenes'!$I$5:$I$1000, 0))="", "", INDEX('Base Exámenes'!$D$5:$D$1000, MATCH(A817&amp;"|"&amp;J817, 'Base Exámenes'!$I$5:$I$1000, 0))), ""), "")</f>
        <v/>
      </c>
      <c r="H817" s="11" t="str">
        <f>IF(F817="Completado", IFERROR(IF(INDEX('Base Exámenes'!$E$5:$E$1000, MATCH(A817&amp;"|"&amp;J817, 'Base Exámenes'!$I$5:$I$1000, 0))="", "", INDEX('Base Exámenes'!$E$5:$E$1000, MATCH(A817&amp;"|"&amp;J817, 'Base Exámenes'!$I$5:$I$1000, 0))), ""), "")</f>
        <v/>
      </c>
      <c r="I817" s="10" t="str">
        <f>IF(F817="Completado", IFERROR(IF(INDEX('Base Exámenes'!$F$5:$F$1000, MATCH(A817&amp;"|"&amp;J817, 'Base Exámenes'!$I$5:$I$1000, 0))="", "", INDEX('Base Exámenes'!$F$5:$F$1000, MATCH(A817&amp;"|"&amp;J817, 'Base Exámenes'!$I$5:$I$1000, 0))), ""), "")</f>
        <v/>
      </c>
      <c r="J817" s="6" t="str">
        <f>IF(F817="Completado", IF(COUNTIFS('Base Exámenes'!$C$5:$C$1000, A817, 'Base Exámenes'!$G$5:$G$1000, "&lt;&gt;")=0, "", _xlfn.MAXIFS('Base Exámenes'!$G$5:$G$1000, 'Base Exámenes'!$C$5:$C$1000, A817)), "")</f>
        <v/>
      </c>
      <c r="K817" s="6" t="str">
        <f>IF(F817="Completado", IFERROR(IF(INDEX('Base Exámenes'!$H$5:$H$1000, MATCH(A817&amp;"|"&amp;J817, 'Base Exámenes'!$I$5:$I$1000, 0))="", "", INDEX('Base Exámenes'!$H$5:$H$1000, MATCH(A817&amp;"|"&amp;J817, 'Base Exámenes'!$I$5:$I$1000, 0))), ""), "")</f>
        <v/>
      </c>
      <c r="L817" s="22" t="str">
        <f>IF($A817="","",COUNTIF('Base Exámenes'!$C$5:$C$1000, A817))</f>
        <v/>
      </c>
      <c r="M817" s="6" t="str">
        <f>IF($A817="","",IF(COUNTIF('Base Exámenes'!$C$5:$C$1000, A817)&gt;0, "", TRIM('Base Oficial'!H817)))</f>
        <v/>
      </c>
    </row>
    <row r="818">
      <c r="A818" s="4" t="str">
        <f>IF('Base Oficial'!A818="","",TRIM('Base Oficial'!A818))</f>
        <v/>
      </c>
      <c r="B818" s="6" t="str">
        <f>IF($A818="","",TRIM('Base Oficial'!B818))</f>
        <v/>
      </c>
      <c r="C818" s="6" t="str">
        <f>IF($A818="","",TRIM('Base Oficial'!F818))</f>
        <v/>
      </c>
      <c r="D818" s="6" t="str">
        <f>IF($A818="","",TRIM('Base Oficial'!G818))</f>
        <v/>
      </c>
      <c r="E818" s="6" t="str">
        <f>IF($A818="","",TRIM('Base Oficial'!D818))</f>
        <v/>
      </c>
      <c r="F818" s="4" t="str">
        <f>IF($A818="","",IF(COUNTIF('Base Exámenes'!$C$5:$C$1000, A818)&gt;0, "Completado", IF(M818&lt;&gt;"", M818, "Pendiente")))</f>
        <v/>
      </c>
      <c r="G818" s="11" t="str">
        <f>IF(F818="Completado", IFERROR(IF(INDEX('Base Exámenes'!$D$5:$D$1000, MATCH(A818&amp;"|"&amp;J818, 'Base Exámenes'!$I$5:$I$1000, 0))="", "", INDEX('Base Exámenes'!$D$5:$D$1000, MATCH(A818&amp;"|"&amp;J818, 'Base Exámenes'!$I$5:$I$1000, 0))), ""), "")</f>
        <v/>
      </c>
      <c r="H818" s="11" t="str">
        <f>IF(F818="Completado", IFERROR(IF(INDEX('Base Exámenes'!$E$5:$E$1000, MATCH(A818&amp;"|"&amp;J818, 'Base Exámenes'!$I$5:$I$1000, 0))="", "", INDEX('Base Exámenes'!$E$5:$E$1000, MATCH(A818&amp;"|"&amp;J818, 'Base Exámenes'!$I$5:$I$1000, 0))), ""), "")</f>
        <v/>
      </c>
      <c r="I818" s="10" t="str">
        <f>IF(F818="Completado", IFERROR(IF(INDEX('Base Exámenes'!$F$5:$F$1000, MATCH(A818&amp;"|"&amp;J818, 'Base Exámenes'!$I$5:$I$1000, 0))="", "", INDEX('Base Exámenes'!$F$5:$F$1000, MATCH(A818&amp;"|"&amp;J818, 'Base Exámenes'!$I$5:$I$1000, 0))), ""), "")</f>
        <v/>
      </c>
      <c r="J818" s="6" t="str">
        <f>IF(F818="Completado", IF(COUNTIFS('Base Exámenes'!$C$5:$C$1000, A818, 'Base Exámenes'!$G$5:$G$1000, "&lt;&gt;")=0, "", _xlfn.MAXIFS('Base Exámenes'!$G$5:$G$1000, 'Base Exámenes'!$C$5:$C$1000, A818)), "")</f>
        <v/>
      </c>
      <c r="K818" s="6" t="str">
        <f>IF(F818="Completado", IFERROR(IF(INDEX('Base Exámenes'!$H$5:$H$1000, MATCH(A818&amp;"|"&amp;J818, 'Base Exámenes'!$I$5:$I$1000, 0))="", "", INDEX('Base Exámenes'!$H$5:$H$1000, MATCH(A818&amp;"|"&amp;J818, 'Base Exámenes'!$I$5:$I$1000, 0))), ""), "")</f>
        <v/>
      </c>
      <c r="L818" s="22" t="str">
        <f>IF($A818="","",COUNTIF('Base Exámenes'!$C$5:$C$1000, A818))</f>
        <v/>
      </c>
      <c r="M818" s="6" t="str">
        <f>IF($A818="","",IF(COUNTIF('Base Exámenes'!$C$5:$C$1000, A818)&gt;0, "", TRIM('Base Oficial'!H818)))</f>
        <v/>
      </c>
    </row>
    <row r="819">
      <c r="A819" s="4" t="str">
        <f>IF('Base Oficial'!A819="","",TRIM('Base Oficial'!A819))</f>
        <v/>
      </c>
      <c r="B819" s="6" t="str">
        <f>IF($A819="","",TRIM('Base Oficial'!B819))</f>
        <v/>
      </c>
      <c r="C819" s="6" t="str">
        <f>IF($A819="","",TRIM('Base Oficial'!F819))</f>
        <v/>
      </c>
      <c r="D819" s="6" t="str">
        <f>IF($A819="","",TRIM('Base Oficial'!G819))</f>
        <v/>
      </c>
      <c r="E819" s="6" t="str">
        <f>IF($A819="","",TRIM('Base Oficial'!D819))</f>
        <v/>
      </c>
      <c r="F819" s="4" t="str">
        <f>IF($A819="","",IF(COUNTIF('Base Exámenes'!$C$5:$C$1000, A819)&gt;0, "Completado", IF(M819&lt;&gt;"", M819, "Pendiente")))</f>
        <v/>
      </c>
      <c r="G819" s="11" t="str">
        <f>IF(F819="Completado", IFERROR(IF(INDEX('Base Exámenes'!$D$5:$D$1000, MATCH(A819&amp;"|"&amp;J819, 'Base Exámenes'!$I$5:$I$1000, 0))="", "", INDEX('Base Exámenes'!$D$5:$D$1000, MATCH(A819&amp;"|"&amp;J819, 'Base Exámenes'!$I$5:$I$1000, 0))), ""), "")</f>
        <v/>
      </c>
      <c r="H819" s="11" t="str">
        <f>IF(F819="Completado", IFERROR(IF(INDEX('Base Exámenes'!$E$5:$E$1000, MATCH(A819&amp;"|"&amp;J819, 'Base Exámenes'!$I$5:$I$1000, 0))="", "", INDEX('Base Exámenes'!$E$5:$E$1000, MATCH(A819&amp;"|"&amp;J819, 'Base Exámenes'!$I$5:$I$1000, 0))), ""), "")</f>
        <v/>
      </c>
      <c r="I819" s="10" t="str">
        <f>IF(F819="Completado", IFERROR(IF(INDEX('Base Exámenes'!$F$5:$F$1000, MATCH(A819&amp;"|"&amp;J819, 'Base Exámenes'!$I$5:$I$1000, 0))="", "", INDEX('Base Exámenes'!$F$5:$F$1000, MATCH(A819&amp;"|"&amp;J819, 'Base Exámenes'!$I$5:$I$1000, 0))), ""), "")</f>
        <v/>
      </c>
      <c r="J819" s="6" t="str">
        <f>IF(F819="Completado", IF(COUNTIFS('Base Exámenes'!$C$5:$C$1000, A819, 'Base Exámenes'!$G$5:$G$1000, "&lt;&gt;")=0, "", _xlfn.MAXIFS('Base Exámenes'!$G$5:$G$1000, 'Base Exámenes'!$C$5:$C$1000, A819)), "")</f>
        <v/>
      </c>
      <c r="K819" s="6" t="str">
        <f>IF(F819="Completado", IFERROR(IF(INDEX('Base Exámenes'!$H$5:$H$1000, MATCH(A819&amp;"|"&amp;J819, 'Base Exámenes'!$I$5:$I$1000, 0))="", "", INDEX('Base Exámenes'!$H$5:$H$1000, MATCH(A819&amp;"|"&amp;J819, 'Base Exámenes'!$I$5:$I$1000, 0))), ""), "")</f>
        <v/>
      </c>
      <c r="L819" s="22" t="str">
        <f>IF($A819="","",COUNTIF('Base Exámenes'!$C$5:$C$1000, A819))</f>
        <v/>
      </c>
      <c r="M819" s="6" t="str">
        <f>IF($A819="","",IF(COUNTIF('Base Exámenes'!$C$5:$C$1000, A819)&gt;0, "", TRIM('Base Oficial'!H819)))</f>
        <v/>
      </c>
    </row>
    <row r="820">
      <c r="A820" s="4" t="str">
        <f>IF('Base Oficial'!A820="","",TRIM('Base Oficial'!A820))</f>
        <v/>
      </c>
      <c r="B820" s="6" t="str">
        <f>IF($A820="","",TRIM('Base Oficial'!B820))</f>
        <v/>
      </c>
      <c r="C820" s="6" t="str">
        <f>IF($A820="","",TRIM('Base Oficial'!F820))</f>
        <v/>
      </c>
      <c r="D820" s="6" t="str">
        <f>IF($A820="","",TRIM('Base Oficial'!G820))</f>
        <v/>
      </c>
      <c r="E820" s="6" t="str">
        <f>IF($A820="","",TRIM('Base Oficial'!D820))</f>
        <v/>
      </c>
      <c r="F820" s="4" t="str">
        <f>IF($A820="","",IF(COUNTIF('Base Exámenes'!$C$5:$C$1000, A820)&gt;0, "Completado", IF(M820&lt;&gt;"", M820, "Pendiente")))</f>
        <v/>
      </c>
      <c r="G820" s="11" t="str">
        <f>IF(F820="Completado", IFERROR(IF(INDEX('Base Exámenes'!$D$5:$D$1000, MATCH(A820&amp;"|"&amp;J820, 'Base Exámenes'!$I$5:$I$1000, 0))="", "", INDEX('Base Exámenes'!$D$5:$D$1000, MATCH(A820&amp;"|"&amp;J820, 'Base Exámenes'!$I$5:$I$1000, 0))), ""), "")</f>
        <v/>
      </c>
      <c r="H820" s="11" t="str">
        <f>IF(F820="Completado", IFERROR(IF(INDEX('Base Exámenes'!$E$5:$E$1000, MATCH(A820&amp;"|"&amp;J820, 'Base Exámenes'!$I$5:$I$1000, 0))="", "", INDEX('Base Exámenes'!$E$5:$E$1000, MATCH(A820&amp;"|"&amp;J820, 'Base Exámenes'!$I$5:$I$1000, 0))), ""), "")</f>
        <v/>
      </c>
      <c r="I820" s="10" t="str">
        <f>IF(F820="Completado", IFERROR(IF(INDEX('Base Exámenes'!$F$5:$F$1000, MATCH(A820&amp;"|"&amp;J820, 'Base Exámenes'!$I$5:$I$1000, 0))="", "", INDEX('Base Exámenes'!$F$5:$F$1000, MATCH(A820&amp;"|"&amp;J820, 'Base Exámenes'!$I$5:$I$1000, 0))), ""), "")</f>
        <v/>
      </c>
      <c r="J820" s="6" t="str">
        <f>IF(F820="Completado", IF(COUNTIFS('Base Exámenes'!$C$5:$C$1000, A820, 'Base Exámenes'!$G$5:$G$1000, "&lt;&gt;")=0, "", _xlfn.MAXIFS('Base Exámenes'!$G$5:$G$1000, 'Base Exámenes'!$C$5:$C$1000, A820)), "")</f>
        <v/>
      </c>
      <c r="K820" s="6" t="str">
        <f>IF(F820="Completado", IFERROR(IF(INDEX('Base Exámenes'!$H$5:$H$1000, MATCH(A820&amp;"|"&amp;J820, 'Base Exámenes'!$I$5:$I$1000, 0))="", "", INDEX('Base Exámenes'!$H$5:$H$1000, MATCH(A820&amp;"|"&amp;J820, 'Base Exámenes'!$I$5:$I$1000, 0))), ""), "")</f>
        <v/>
      </c>
      <c r="L820" s="22" t="str">
        <f>IF($A820="","",COUNTIF('Base Exámenes'!$C$5:$C$1000, A820))</f>
        <v/>
      </c>
      <c r="M820" s="6" t="str">
        <f>IF($A820="","",IF(COUNTIF('Base Exámenes'!$C$5:$C$1000, A820)&gt;0, "", TRIM('Base Oficial'!H820)))</f>
        <v/>
      </c>
    </row>
    <row r="821">
      <c r="A821" s="4" t="str">
        <f>IF('Base Oficial'!A821="","",TRIM('Base Oficial'!A821))</f>
        <v/>
      </c>
      <c r="B821" s="6" t="str">
        <f>IF($A821="","",TRIM('Base Oficial'!B821))</f>
        <v/>
      </c>
      <c r="C821" s="6" t="str">
        <f>IF($A821="","",TRIM('Base Oficial'!F821))</f>
        <v/>
      </c>
      <c r="D821" s="6" t="str">
        <f>IF($A821="","",TRIM('Base Oficial'!G821))</f>
        <v/>
      </c>
      <c r="E821" s="6" t="str">
        <f>IF($A821="","",TRIM('Base Oficial'!D821))</f>
        <v/>
      </c>
      <c r="F821" s="4" t="str">
        <f>IF($A821="","",IF(COUNTIF('Base Exámenes'!$C$5:$C$1000, A821)&gt;0, "Completado", IF(M821&lt;&gt;"", M821, "Pendiente")))</f>
        <v/>
      </c>
      <c r="G821" s="11" t="str">
        <f>IF(F821="Completado", IFERROR(IF(INDEX('Base Exámenes'!$D$5:$D$1000, MATCH(A821&amp;"|"&amp;J821, 'Base Exámenes'!$I$5:$I$1000, 0))="", "", INDEX('Base Exámenes'!$D$5:$D$1000, MATCH(A821&amp;"|"&amp;J821, 'Base Exámenes'!$I$5:$I$1000, 0))), ""), "")</f>
        <v/>
      </c>
      <c r="H821" s="11" t="str">
        <f>IF(F821="Completado", IFERROR(IF(INDEX('Base Exámenes'!$E$5:$E$1000, MATCH(A821&amp;"|"&amp;J821, 'Base Exámenes'!$I$5:$I$1000, 0))="", "", INDEX('Base Exámenes'!$E$5:$E$1000, MATCH(A821&amp;"|"&amp;J821, 'Base Exámenes'!$I$5:$I$1000, 0))), ""), "")</f>
        <v/>
      </c>
      <c r="I821" s="10" t="str">
        <f>IF(F821="Completado", IFERROR(IF(INDEX('Base Exámenes'!$F$5:$F$1000, MATCH(A821&amp;"|"&amp;J821, 'Base Exámenes'!$I$5:$I$1000, 0))="", "", INDEX('Base Exámenes'!$F$5:$F$1000, MATCH(A821&amp;"|"&amp;J821, 'Base Exámenes'!$I$5:$I$1000, 0))), ""), "")</f>
        <v/>
      </c>
      <c r="J821" s="6" t="str">
        <f>IF(F821="Completado", IF(COUNTIFS('Base Exámenes'!$C$5:$C$1000, A821, 'Base Exámenes'!$G$5:$G$1000, "&lt;&gt;")=0, "", _xlfn.MAXIFS('Base Exámenes'!$G$5:$G$1000, 'Base Exámenes'!$C$5:$C$1000, A821)), "")</f>
        <v/>
      </c>
      <c r="K821" s="6" t="str">
        <f>IF(F821="Completado", IFERROR(IF(INDEX('Base Exámenes'!$H$5:$H$1000, MATCH(A821&amp;"|"&amp;J821, 'Base Exámenes'!$I$5:$I$1000, 0))="", "", INDEX('Base Exámenes'!$H$5:$H$1000, MATCH(A821&amp;"|"&amp;J821, 'Base Exámenes'!$I$5:$I$1000, 0))), ""), "")</f>
        <v/>
      </c>
      <c r="L821" s="22" t="str">
        <f>IF($A821="","",COUNTIF('Base Exámenes'!$C$5:$C$1000, A821))</f>
        <v/>
      </c>
      <c r="M821" s="6" t="str">
        <f>IF($A821="","",IF(COUNTIF('Base Exámenes'!$C$5:$C$1000, A821)&gt;0, "", TRIM('Base Oficial'!H821)))</f>
        <v/>
      </c>
    </row>
    <row r="822">
      <c r="A822" s="4" t="str">
        <f>IF('Base Oficial'!A822="","",TRIM('Base Oficial'!A822))</f>
        <v/>
      </c>
      <c r="B822" s="6" t="str">
        <f>IF($A822="","",TRIM('Base Oficial'!B822))</f>
        <v/>
      </c>
      <c r="C822" s="6" t="str">
        <f>IF($A822="","",TRIM('Base Oficial'!F822))</f>
        <v/>
      </c>
      <c r="D822" s="6" t="str">
        <f>IF($A822="","",TRIM('Base Oficial'!G822))</f>
        <v/>
      </c>
      <c r="E822" s="6" t="str">
        <f>IF($A822="","",TRIM('Base Oficial'!D822))</f>
        <v/>
      </c>
      <c r="F822" s="4" t="str">
        <f>IF($A822="","",IF(COUNTIF('Base Exámenes'!$C$5:$C$1000, A822)&gt;0, "Completado", IF(M822&lt;&gt;"", M822, "Pendiente")))</f>
        <v/>
      </c>
      <c r="G822" s="11" t="str">
        <f>IF(F822="Completado", IFERROR(IF(INDEX('Base Exámenes'!$D$5:$D$1000, MATCH(A822&amp;"|"&amp;J822, 'Base Exámenes'!$I$5:$I$1000, 0))="", "", INDEX('Base Exámenes'!$D$5:$D$1000, MATCH(A822&amp;"|"&amp;J822, 'Base Exámenes'!$I$5:$I$1000, 0))), ""), "")</f>
        <v/>
      </c>
      <c r="H822" s="11" t="str">
        <f>IF(F822="Completado", IFERROR(IF(INDEX('Base Exámenes'!$E$5:$E$1000, MATCH(A822&amp;"|"&amp;J822, 'Base Exámenes'!$I$5:$I$1000, 0))="", "", INDEX('Base Exámenes'!$E$5:$E$1000, MATCH(A822&amp;"|"&amp;J822, 'Base Exámenes'!$I$5:$I$1000, 0))), ""), "")</f>
        <v/>
      </c>
      <c r="I822" s="10" t="str">
        <f>IF(F822="Completado", IFERROR(IF(INDEX('Base Exámenes'!$F$5:$F$1000, MATCH(A822&amp;"|"&amp;J822, 'Base Exámenes'!$I$5:$I$1000, 0))="", "", INDEX('Base Exámenes'!$F$5:$F$1000, MATCH(A822&amp;"|"&amp;J822, 'Base Exámenes'!$I$5:$I$1000, 0))), ""), "")</f>
        <v/>
      </c>
      <c r="J822" s="6" t="str">
        <f>IF(F822="Completado", IF(COUNTIFS('Base Exámenes'!$C$5:$C$1000, A822, 'Base Exámenes'!$G$5:$G$1000, "&lt;&gt;")=0, "", _xlfn.MAXIFS('Base Exámenes'!$G$5:$G$1000, 'Base Exámenes'!$C$5:$C$1000, A822)), "")</f>
        <v/>
      </c>
      <c r="K822" s="6" t="str">
        <f>IF(F822="Completado", IFERROR(IF(INDEX('Base Exámenes'!$H$5:$H$1000, MATCH(A822&amp;"|"&amp;J822, 'Base Exámenes'!$I$5:$I$1000, 0))="", "", INDEX('Base Exámenes'!$H$5:$H$1000, MATCH(A822&amp;"|"&amp;J822, 'Base Exámenes'!$I$5:$I$1000, 0))), ""), "")</f>
        <v/>
      </c>
      <c r="L822" s="22" t="str">
        <f>IF($A822="","",COUNTIF('Base Exámenes'!$C$5:$C$1000, A822))</f>
        <v/>
      </c>
      <c r="M822" s="6" t="str">
        <f>IF($A822="","",IF(COUNTIF('Base Exámenes'!$C$5:$C$1000, A822)&gt;0, "", TRIM('Base Oficial'!H822)))</f>
        <v/>
      </c>
    </row>
    <row r="823">
      <c r="A823" s="4" t="str">
        <f>IF('Base Oficial'!A823="","",TRIM('Base Oficial'!A823))</f>
        <v/>
      </c>
      <c r="B823" s="6" t="str">
        <f>IF($A823="","",TRIM('Base Oficial'!B823))</f>
        <v/>
      </c>
      <c r="C823" s="6" t="str">
        <f>IF($A823="","",TRIM('Base Oficial'!F823))</f>
        <v/>
      </c>
      <c r="D823" s="6" t="str">
        <f>IF($A823="","",TRIM('Base Oficial'!G823))</f>
        <v/>
      </c>
      <c r="E823" s="6" t="str">
        <f>IF($A823="","",TRIM('Base Oficial'!D823))</f>
        <v/>
      </c>
      <c r="F823" s="4" t="str">
        <f>IF($A823="","",IF(COUNTIF('Base Exámenes'!$C$5:$C$1000, A823)&gt;0, "Completado", IF(M823&lt;&gt;"", M823, "Pendiente")))</f>
        <v/>
      </c>
      <c r="G823" s="11" t="str">
        <f>IF(F823="Completado", IFERROR(IF(INDEX('Base Exámenes'!$D$5:$D$1000, MATCH(A823&amp;"|"&amp;J823, 'Base Exámenes'!$I$5:$I$1000, 0))="", "", INDEX('Base Exámenes'!$D$5:$D$1000, MATCH(A823&amp;"|"&amp;J823, 'Base Exámenes'!$I$5:$I$1000, 0))), ""), "")</f>
        <v/>
      </c>
      <c r="H823" s="11" t="str">
        <f>IF(F823="Completado", IFERROR(IF(INDEX('Base Exámenes'!$E$5:$E$1000, MATCH(A823&amp;"|"&amp;J823, 'Base Exámenes'!$I$5:$I$1000, 0))="", "", INDEX('Base Exámenes'!$E$5:$E$1000, MATCH(A823&amp;"|"&amp;J823, 'Base Exámenes'!$I$5:$I$1000, 0))), ""), "")</f>
        <v/>
      </c>
      <c r="I823" s="10" t="str">
        <f>IF(F823="Completado", IFERROR(IF(INDEX('Base Exámenes'!$F$5:$F$1000, MATCH(A823&amp;"|"&amp;J823, 'Base Exámenes'!$I$5:$I$1000, 0))="", "", INDEX('Base Exámenes'!$F$5:$F$1000, MATCH(A823&amp;"|"&amp;J823, 'Base Exámenes'!$I$5:$I$1000, 0))), ""), "")</f>
        <v/>
      </c>
      <c r="J823" s="6" t="str">
        <f>IF(F823="Completado", IF(COUNTIFS('Base Exámenes'!$C$5:$C$1000, A823, 'Base Exámenes'!$G$5:$G$1000, "&lt;&gt;")=0, "", _xlfn.MAXIFS('Base Exámenes'!$G$5:$G$1000, 'Base Exámenes'!$C$5:$C$1000, A823)), "")</f>
        <v/>
      </c>
      <c r="K823" s="6" t="str">
        <f>IF(F823="Completado", IFERROR(IF(INDEX('Base Exámenes'!$H$5:$H$1000, MATCH(A823&amp;"|"&amp;J823, 'Base Exámenes'!$I$5:$I$1000, 0))="", "", INDEX('Base Exámenes'!$H$5:$H$1000, MATCH(A823&amp;"|"&amp;J823, 'Base Exámenes'!$I$5:$I$1000, 0))), ""), "")</f>
        <v/>
      </c>
      <c r="L823" s="22" t="str">
        <f>IF($A823="","",COUNTIF('Base Exámenes'!$C$5:$C$1000, A823))</f>
        <v/>
      </c>
      <c r="M823" s="6" t="str">
        <f>IF($A823="","",IF(COUNTIF('Base Exámenes'!$C$5:$C$1000, A823)&gt;0, "", TRIM('Base Oficial'!H823)))</f>
        <v/>
      </c>
    </row>
    <row r="824">
      <c r="A824" s="4" t="str">
        <f>IF('Base Oficial'!A824="","",TRIM('Base Oficial'!A824))</f>
        <v/>
      </c>
      <c r="B824" s="6" t="str">
        <f>IF($A824="","",TRIM('Base Oficial'!B824))</f>
        <v/>
      </c>
      <c r="C824" s="6" t="str">
        <f>IF($A824="","",TRIM('Base Oficial'!F824))</f>
        <v/>
      </c>
      <c r="D824" s="6" t="str">
        <f>IF($A824="","",TRIM('Base Oficial'!G824))</f>
        <v/>
      </c>
      <c r="E824" s="6" t="str">
        <f>IF($A824="","",TRIM('Base Oficial'!D824))</f>
        <v/>
      </c>
      <c r="F824" s="4" t="str">
        <f>IF($A824="","",IF(COUNTIF('Base Exámenes'!$C$5:$C$1000, A824)&gt;0, "Completado", IF(M824&lt;&gt;"", M824, "Pendiente")))</f>
        <v/>
      </c>
      <c r="G824" s="11" t="str">
        <f>IF(F824="Completado", IFERROR(IF(INDEX('Base Exámenes'!$D$5:$D$1000, MATCH(A824&amp;"|"&amp;J824, 'Base Exámenes'!$I$5:$I$1000, 0))="", "", INDEX('Base Exámenes'!$D$5:$D$1000, MATCH(A824&amp;"|"&amp;J824, 'Base Exámenes'!$I$5:$I$1000, 0))), ""), "")</f>
        <v/>
      </c>
      <c r="H824" s="11" t="str">
        <f>IF(F824="Completado", IFERROR(IF(INDEX('Base Exámenes'!$E$5:$E$1000, MATCH(A824&amp;"|"&amp;J824, 'Base Exámenes'!$I$5:$I$1000, 0))="", "", INDEX('Base Exámenes'!$E$5:$E$1000, MATCH(A824&amp;"|"&amp;J824, 'Base Exámenes'!$I$5:$I$1000, 0))), ""), "")</f>
        <v/>
      </c>
      <c r="I824" s="10" t="str">
        <f>IF(F824="Completado", IFERROR(IF(INDEX('Base Exámenes'!$F$5:$F$1000, MATCH(A824&amp;"|"&amp;J824, 'Base Exámenes'!$I$5:$I$1000, 0))="", "", INDEX('Base Exámenes'!$F$5:$F$1000, MATCH(A824&amp;"|"&amp;J824, 'Base Exámenes'!$I$5:$I$1000, 0))), ""), "")</f>
        <v/>
      </c>
      <c r="J824" s="6" t="str">
        <f>IF(F824="Completado", IF(COUNTIFS('Base Exámenes'!$C$5:$C$1000, A824, 'Base Exámenes'!$G$5:$G$1000, "&lt;&gt;")=0, "", _xlfn.MAXIFS('Base Exámenes'!$G$5:$G$1000, 'Base Exámenes'!$C$5:$C$1000, A824)), "")</f>
        <v/>
      </c>
      <c r="K824" s="6" t="str">
        <f>IF(F824="Completado", IFERROR(IF(INDEX('Base Exámenes'!$H$5:$H$1000, MATCH(A824&amp;"|"&amp;J824, 'Base Exámenes'!$I$5:$I$1000, 0))="", "", INDEX('Base Exámenes'!$H$5:$H$1000, MATCH(A824&amp;"|"&amp;J824, 'Base Exámenes'!$I$5:$I$1000, 0))), ""), "")</f>
        <v/>
      </c>
      <c r="L824" s="22" t="str">
        <f>IF($A824="","",COUNTIF('Base Exámenes'!$C$5:$C$1000, A824))</f>
        <v/>
      </c>
      <c r="M824" s="6" t="str">
        <f>IF($A824="","",IF(COUNTIF('Base Exámenes'!$C$5:$C$1000, A824)&gt;0, "", TRIM('Base Oficial'!H824)))</f>
        <v/>
      </c>
    </row>
    <row r="825">
      <c r="A825" s="4" t="str">
        <f>IF('Base Oficial'!A825="","",TRIM('Base Oficial'!A825))</f>
        <v/>
      </c>
      <c r="B825" s="6" t="str">
        <f>IF($A825="","",TRIM('Base Oficial'!B825))</f>
        <v/>
      </c>
      <c r="C825" s="6" t="str">
        <f>IF($A825="","",TRIM('Base Oficial'!F825))</f>
        <v/>
      </c>
      <c r="D825" s="6" t="str">
        <f>IF($A825="","",TRIM('Base Oficial'!G825))</f>
        <v/>
      </c>
      <c r="E825" s="6" t="str">
        <f>IF($A825="","",TRIM('Base Oficial'!D825))</f>
        <v/>
      </c>
      <c r="F825" s="4" t="str">
        <f>IF($A825="","",IF(COUNTIF('Base Exámenes'!$C$5:$C$1000, A825)&gt;0, "Completado", IF(M825&lt;&gt;"", M825, "Pendiente")))</f>
        <v/>
      </c>
      <c r="G825" s="11" t="str">
        <f>IF(F825="Completado", IFERROR(IF(INDEX('Base Exámenes'!$D$5:$D$1000, MATCH(A825&amp;"|"&amp;J825, 'Base Exámenes'!$I$5:$I$1000, 0))="", "", INDEX('Base Exámenes'!$D$5:$D$1000, MATCH(A825&amp;"|"&amp;J825, 'Base Exámenes'!$I$5:$I$1000, 0))), ""), "")</f>
        <v/>
      </c>
      <c r="H825" s="11" t="str">
        <f>IF(F825="Completado", IFERROR(IF(INDEX('Base Exámenes'!$E$5:$E$1000, MATCH(A825&amp;"|"&amp;J825, 'Base Exámenes'!$I$5:$I$1000, 0))="", "", INDEX('Base Exámenes'!$E$5:$E$1000, MATCH(A825&amp;"|"&amp;J825, 'Base Exámenes'!$I$5:$I$1000, 0))), ""), "")</f>
        <v/>
      </c>
      <c r="I825" s="10" t="str">
        <f>IF(F825="Completado", IFERROR(IF(INDEX('Base Exámenes'!$F$5:$F$1000, MATCH(A825&amp;"|"&amp;J825, 'Base Exámenes'!$I$5:$I$1000, 0))="", "", INDEX('Base Exámenes'!$F$5:$F$1000, MATCH(A825&amp;"|"&amp;J825, 'Base Exámenes'!$I$5:$I$1000, 0))), ""), "")</f>
        <v/>
      </c>
      <c r="J825" s="6" t="str">
        <f>IF(F825="Completado", IF(COUNTIFS('Base Exámenes'!$C$5:$C$1000, A825, 'Base Exámenes'!$G$5:$G$1000, "&lt;&gt;")=0, "", _xlfn.MAXIFS('Base Exámenes'!$G$5:$G$1000, 'Base Exámenes'!$C$5:$C$1000, A825)), "")</f>
        <v/>
      </c>
      <c r="K825" s="6" t="str">
        <f>IF(F825="Completado", IFERROR(IF(INDEX('Base Exámenes'!$H$5:$H$1000, MATCH(A825&amp;"|"&amp;J825, 'Base Exámenes'!$I$5:$I$1000, 0))="", "", INDEX('Base Exámenes'!$H$5:$H$1000, MATCH(A825&amp;"|"&amp;J825, 'Base Exámenes'!$I$5:$I$1000, 0))), ""), "")</f>
        <v/>
      </c>
      <c r="L825" s="22" t="str">
        <f>IF($A825="","",COUNTIF('Base Exámenes'!$C$5:$C$1000, A825))</f>
        <v/>
      </c>
      <c r="M825" s="6" t="str">
        <f>IF($A825="","",IF(COUNTIF('Base Exámenes'!$C$5:$C$1000, A825)&gt;0, "", TRIM('Base Oficial'!H825)))</f>
        <v/>
      </c>
    </row>
    <row r="826">
      <c r="A826" s="4" t="str">
        <f>IF('Base Oficial'!A826="","",TRIM('Base Oficial'!A826))</f>
        <v/>
      </c>
      <c r="B826" s="6" t="str">
        <f>IF($A826="","",TRIM('Base Oficial'!B826))</f>
        <v/>
      </c>
      <c r="C826" s="6" t="str">
        <f>IF($A826="","",TRIM('Base Oficial'!F826))</f>
        <v/>
      </c>
      <c r="D826" s="6" t="str">
        <f>IF($A826="","",TRIM('Base Oficial'!G826))</f>
        <v/>
      </c>
      <c r="E826" s="6" t="str">
        <f>IF($A826="","",TRIM('Base Oficial'!D826))</f>
        <v/>
      </c>
      <c r="F826" s="4" t="str">
        <f>IF($A826="","",IF(COUNTIF('Base Exámenes'!$C$5:$C$1000, A826)&gt;0, "Completado", IF(M826&lt;&gt;"", M826, "Pendiente")))</f>
        <v/>
      </c>
      <c r="G826" s="11" t="str">
        <f>IF(F826="Completado", IFERROR(IF(INDEX('Base Exámenes'!$D$5:$D$1000, MATCH(A826&amp;"|"&amp;J826, 'Base Exámenes'!$I$5:$I$1000, 0))="", "", INDEX('Base Exámenes'!$D$5:$D$1000, MATCH(A826&amp;"|"&amp;J826, 'Base Exámenes'!$I$5:$I$1000, 0))), ""), "")</f>
        <v/>
      </c>
      <c r="H826" s="11" t="str">
        <f>IF(F826="Completado", IFERROR(IF(INDEX('Base Exámenes'!$E$5:$E$1000, MATCH(A826&amp;"|"&amp;J826, 'Base Exámenes'!$I$5:$I$1000, 0))="", "", INDEX('Base Exámenes'!$E$5:$E$1000, MATCH(A826&amp;"|"&amp;J826, 'Base Exámenes'!$I$5:$I$1000, 0))), ""), "")</f>
        <v/>
      </c>
      <c r="I826" s="10" t="str">
        <f>IF(F826="Completado", IFERROR(IF(INDEX('Base Exámenes'!$F$5:$F$1000, MATCH(A826&amp;"|"&amp;J826, 'Base Exámenes'!$I$5:$I$1000, 0))="", "", INDEX('Base Exámenes'!$F$5:$F$1000, MATCH(A826&amp;"|"&amp;J826, 'Base Exámenes'!$I$5:$I$1000, 0))), ""), "")</f>
        <v/>
      </c>
      <c r="J826" s="6" t="str">
        <f>IF(F826="Completado", IF(COUNTIFS('Base Exámenes'!$C$5:$C$1000, A826, 'Base Exámenes'!$G$5:$G$1000, "&lt;&gt;")=0, "", _xlfn.MAXIFS('Base Exámenes'!$G$5:$G$1000, 'Base Exámenes'!$C$5:$C$1000, A826)), "")</f>
        <v/>
      </c>
      <c r="K826" s="6" t="str">
        <f>IF(F826="Completado", IFERROR(IF(INDEX('Base Exámenes'!$H$5:$H$1000, MATCH(A826&amp;"|"&amp;J826, 'Base Exámenes'!$I$5:$I$1000, 0))="", "", INDEX('Base Exámenes'!$H$5:$H$1000, MATCH(A826&amp;"|"&amp;J826, 'Base Exámenes'!$I$5:$I$1000, 0))), ""), "")</f>
        <v/>
      </c>
      <c r="L826" s="22" t="str">
        <f>IF($A826="","",COUNTIF('Base Exámenes'!$C$5:$C$1000, A826))</f>
        <v/>
      </c>
      <c r="M826" s="6" t="str">
        <f>IF($A826="","",IF(COUNTIF('Base Exámenes'!$C$5:$C$1000, A826)&gt;0, "", TRIM('Base Oficial'!H826)))</f>
        <v/>
      </c>
    </row>
    <row r="827">
      <c r="A827" s="4" t="str">
        <f>IF('Base Oficial'!A827="","",TRIM('Base Oficial'!A827))</f>
        <v/>
      </c>
      <c r="B827" s="6" t="str">
        <f>IF($A827="","",TRIM('Base Oficial'!B827))</f>
        <v/>
      </c>
      <c r="C827" s="6" t="str">
        <f>IF($A827="","",TRIM('Base Oficial'!F827))</f>
        <v/>
      </c>
      <c r="D827" s="6" t="str">
        <f>IF($A827="","",TRIM('Base Oficial'!G827))</f>
        <v/>
      </c>
      <c r="E827" s="6" t="str">
        <f>IF($A827="","",TRIM('Base Oficial'!D827))</f>
        <v/>
      </c>
      <c r="F827" s="4" t="str">
        <f>IF($A827="","",IF(COUNTIF('Base Exámenes'!$C$5:$C$1000, A827)&gt;0, "Completado", IF(M827&lt;&gt;"", M827, "Pendiente")))</f>
        <v/>
      </c>
      <c r="G827" s="11" t="str">
        <f>IF(F827="Completado", IFERROR(IF(INDEX('Base Exámenes'!$D$5:$D$1000, MATCH(A827&amp;"|"&amp;J827, 'Base Exámenes'!$I$5:$I$1000, 0))="", "", INDEX('Base Exámenes'!$D$5:$D$1000, MATCH(A827&amp;"|"&amp;J827, 'Base Exámenes'!$I$5:$I$1000, 0))), ""), "")</f>
        <v/>
      </c>
      <c r="H827" s="11" t="str">
        <f>IF(F827="Completado", IFERROR(IF(INDEX('Base Exámenes'!$E$5:$E$1000, MATCH(A827&amp;"|"&amp;J827, 'Base Exámenes'!$I$5:$I$1000, 0))="", "", INDEX('Base Exámenes'!$E$5:$E$1000, MATCH(A827&amp;"|"&amp;J827, 'Base Exámenes'!$I$5:$I$1000, 0))), ""), "")</f>
        <v/>
      </c>
      <c r="I827" s="10" t="str">
        <f>IF(F827="Completado", IFERROR(IF(INDEX('Base Exámenes'!$F$5:$F$1000, MATCH(A827&amp;"|"&amp;J827, 'Base Exámenes'!$I$5:$I$1000, 0))="", "", INDEX('Base Exámenes'!$F$5:$F$1000, MATCH(A827&amp;"|"&amp;J827, 'Base Exámenes'!$I$5:$I$1000, 0))), ""), "")</f>
        <v/>
      </c>
      <c r="J827" s="6" t="str">
        <f>IF(F827="Completado", IF(COUNTIFS('Base Exámenes'!$C$5:$C$1000, A827, 'Base Exámenes'!$G$5:$G$1000, "&lt;&gt;")=0, "", _xlfn.MAXIFS('Base Exámenes'!$G$5:$G$1000, 'Base Exámenes'!$C$5:$C$1000, A827)), "")</f>
        <v/>
      </c>
      <c r="K827" s="6" t="str">
        <f>IF(F827="Completado", IFERROR(IF(INDEX('Base Exámenes'!$H$5:$H$1000, MATCH(A827&amp;"|"&amp;J827, 'Base Exámenes'!$I$5:$I$1000, 0))="", "", INDEX('Base Exámenes'!$H$5:$H$1000, MATCH(A827&amp;"|"&amp;J827, 'Base Exámenes'!$I$5:$I$1000, 0))), ""), "")</f>
        <v/>
      </c>
      <c r="L827" s="22" t="str">
        <f>IF($A827="","",COUNTIF('Base Exámenes'!$C$5:$C$1000, A827))</f>
        <v/>
      </c>
      <c r="M827" s="6" t="str">
        <f>IF($A827="","",IF(COUNTIF('Base Exámenes'!$C$5:$C$1000, A827)&gt;0, "", TRIM('Base Oficial'!H827)))</f>
        <v/>
      </c>
    </row>
    <row r="828">
      <c r="A828" s="4" t="str">
        <f>IF('Base Oficial'!A828="","",TRIM('Base Oficial'!A828))</f>
        <v/>
      </c>
      <c r="B828" s="6" t="str">
        <f>IF($A828="","",TRIM('Base Oficial'!B828))</f>
        <v/>
      </c>
      <c r="C828" s="6" t="str">
        <f>IF($A828="","",TRIM('Base Oficial'!F828))</f>
        <v/>
      </c>
      <c r="D828" s="6" t="str">
        <f>IF($A828="","",TRIM('Base Oficial'!G828))</f>
        <v/>
      </c>
      <c r="E828" s="6" t="str">
        <f>IF($A828="","",TRIM('Base Oficial'!D828))</f>
        <v/>
      </c>
      <c r="F828" s="4" t="str">
        <f>IF($A828="","",IF(COUNTIF('Base Exámenes'!$C$5:$C$1000, A828)&gt;0, "Completado", IF(M828&lt;&gt;"", M828, "Pendiente")))</f>
        <v/>
      </c>
      <c r="G828" s="11" t="str">
        <f>IF(F828="Completado", IFERROR(IF(INDEX('Base Exámenes'!$D$5:$D$1000, MATCH(A828&amp;"|"&amp;J828, 'Base Exámenes'!$I$5:$I$1000, 0))="", "", INDEX('Base Exámenes'!$D$5:$D$1000, MATCH(A828&amp;"|"&amp;J828, 'Base Exámenes'!$I$5:$I$1000, 0))), ""), "")</f>
        <v/>
      </c>
      <c r="H828" s="11" t="str">
        <f>IF(F828="Completado", IFERROR(IF(INDEX('Base Exámenes'!$E$5:$E$1000, MATCH(A828&amp;"|"&amp;J828, 'Base Exámenes'!$I$5:$I$1000, 0))="", "", INDEX('Base Exámenes'!$E$5:$E$1000, MATCH(A828&amp;"|"&amp;J828, 'Base Exámenes'!$I$5:$I$1000, 0))), ""), "")</f>
        <v/>
      </c>
      <c r="I828" s="10" t="str">
        <f>IF(F828="Completado", IFERROR(IF(INDEX('Base Exámenes'!$F$5:$F$1000, MATCH(A828&amp;"|"&amp;J828, 'Base Exámenes'!$I$5:$I$1000, 0))="", "", INDEX('Base Exámenes'!$F$5:$F$1000, MATCH(A828&amp;"|"&amp;J828, 'Base Exámenes'!$I$5:$I$1000, 0))), ""), "")</f>
        <v/>
      </c>
      <c r="J828" s="6" t="str">
        <f>IF(F828="Completado", IF(COUNTIFS('Base Exámenes'!$C$5:$C$1000, A828, 'Base Exámenes'!$G$5:$G$1000, "&lt;&gt;")=0, "", _xlfn.MAXIFS('Base Exámenes'!$G$5:$G$1000, 'Base Exámenes'!$C$5:$C$1000, A828)), "")</f>
        <v/>
      </c>
      <c r="K828" s="6" t="str">
        <f>IF(F828="Completado", IFERROR(IF(INDEX('Base Exámenes'!$H$5:$H$1000, MATCH(A828&amp;"|"&amp;J828, 'Base Exámenes'!$I$5:$I$1000, 0))="", "", INDEX('Base Exámenes'!$H$5:$H$1000, MATCH(A828&amp;"|"&amp;J828, 'Base Exámenes'!$I$5:$I$1000, 0))), ""), "")</f>
        <v/>
      </c>
      <c r="L828" s="22" t="str">
        <f>IF($A828="","",COUNTIF('Base Exámenes'!$C$5:$C$1000, A828))</f>
        <v/>
      </c>
      <c r="M828" s="6" t="str">
        <f>IF($A828="","",IF(COUNTIF('Base Exámenes'!$C$5:$C$1000, A828)&gt;0, "", TRIM('Base Oficial'!H828)))</f>
        <v/>
      </c>
    </row>
    <row r="829">
      <c r="A829" s="4" t="str">
        <f>IF('Base Oficial'!A829="","",TRIM('Base Oficial'!A829))</f>
        <v/>
      </c>
      <c r="B829" s="6" t="str">
        <f>IF($A829="","",TRIM('Base Oficial'!B829))</f>
        <v/>
      </c>
      <c r="C829" s="6" t="str">
        <f>IF($A829="","",TRIM('Base Oficial'!F829))</f>
        <v/>
      </c>
      <c r="D829" s="6" t="str">
        <f>IF($A829="","",TRIM('Base Oficial'!G829))</f>
        <v/>
      </c>
      <c r="E829" s="6" t="str">
        <f>IF($A829="","",TRIM('Base Oficial'!D829))</f>
        <v/>
      </c>
      <c r="F829" s="4" t="str">
        <f>IF($A829="","",IF(COUNTIF('Base Exámenes'!$C$5:$C$1000, A829)&gt;0, "Completado", IF(M829&lt;&gt;"", M829, "Pendiente")))</f>
        <v/>
      </c>
      <c r="G829" s="11" t="str">
        <f>IF(F829="Completado", IFERROR(IF(INDEX('Base Exámenes'!$D$5:$D$1000, MATCH(A829&amp;"|"&amp;J829, 'Base Exámenes'!$I$5:$I$1000, 0))="", "", INDEX('Base Exámenes'!$D$5:$D$1000, MATCH(A829&amp;"|"&amp;J829, 'Base Exámenes'!$I$5:$I$1000, 0))), ""), "")</f>
        <v/>
      </c>
      <c r="H829" s="11" t="str">
        <f>IF(F829="Completado", IFERROR(IF(INDEX('Base Exámenes'!$E$5:$E$1000, MATCH(A829&amp;"|"&amp;J829, 'Base Exámenes'!$I$5:$I$1000, 0))="", "", INDEX('Base Exámenes'!$E$5:$E$1000, MATCH(A829&amp;"|"&amp;J829, 'Base Exámenes'!$I$5:$I$1000, 0))), ""), "")</f>
        <v/>
      </c>
      <c r="I829" s="10" t="str">
        <f>IF(F829="Completado", IFERROR(IF(INDEX('Base Exámenes'!$F$5:$F$1000, MATCH(A829&amp;"|"&amp;J829, 'Base Exámenes'!$I$5:$I$1000, 0))="", "", INDEX('Base Exámenes'!$F$5:$F$1000, MATCH(A829&amp;"|"&amp;J829, 'Base Exámenes'!$I$5:$I$1000, 0))), ""), "")</f>
        <v/>
      </c>
      <c r="J829" s="6" t="str">
        <f>IF(F829="Completado", IF(COUNTIFS('Base Exámenes'!$C$5:$C$1000, A829, 'Base Exámenes'!$G$5:$G$1000, "&lt;&gt;")=0, "", _xlfn.MAXIFS('Base Exámenes'!$G$5:$G$1000, 'Base Exámenes'!$C$5:$C$1000, A829)), "")</f>
        <v/>
      </c>
      <c r="K829" s="6" t="str">
        <f>IF(F829="Completado", IFERROR(IF(INDEX('Base Exámenes'!$H$5:$H$1000, MATCH(A829&amp;"|"&amp;J829, 'Base Exámenes'!$I$5:$I$1000, 0))="", "", INDEX('Base Exámenes'!$H$5:$H$1000, MATCH(A829&amp;"|"&amp;J829, 'Base Exámenes'!$I$5:$I$1000, 0))), ""), "")</f>
        <v/>
      </c>
      <c r="L829" s="22" t="str">
        <f>IF($A829="","",COUNTIF('Base Exámenes'!$C$5:$C$1000, A829))</f>
        <v/>
      </c>
      <c r="M829" s="6" t="str">
        <f>IF($A829="","",IF(COUNTIF('Base Exámenes'!$C$5:$C$1000, A829)&gt;0, "", TRIM('Base Oficial'!H829)))</f>
        <v/>
      </c>
    </row>
    <row r="830">
      <c r="A830" s="4" t="str">
        <f>IF('Base Oficial'!A830="","",TRIM('Base Oficial'!A830))</f>
        <v/>
      </c>
      <c r="B830" s="6" t="str">
        <f>IF($A830="","",TRIM('Base Oficial'!B830))</f>
        <v/>
      </c>
      <c r="C830" s="6" t="str">
        <f>IF($A830="","",TRIM('Base Oficial'!F830))</f>
        <v/>
      </c>
      <c r="D830" s="6" t="str">
        <f>IF($A830="","",TRIM('Base Oficial'!G830))</f>
        <v/>
      </c>
      <c r="E830" s="6" t="str">
        <f>IF($A830="","",TRIM('Base Oficial'!D830))</f>
        <v/>
      </c>
      <c r="F830" s="4" t="str">
        <f>IF($A830="","",IF(COUNTIF('Base Exámenes'!$C$5:$C$1000, A830)&gt;0, "Completado", IF(M830&lt;&gt;"", M830, "Pendiente")))</f>
        <v/>
      </c>
      <c r="G830" s="11" t="str">
        <f>IF(F830="Completado", IFERROR(IF(INDEX('Base Exámenes'!$D$5:$D$1000, MATCH(A830&amp;"|"&amp;J830, 'Base Exámenes'!$I$5:$I$1000, 0))="", "", INDEX('Base Exámenes'!$D$5:$D$1000, MATCH(A830&amp;"|"&amp;J830, 'Base Exámenes'!$I$5:$I$1000, 0))), ""), "")</f>
        <v/>
      </c>
      <c r="H830" s="11" t="str">
        <f>IF(F830="Completado", IFERROR(IF(INDEX('Base Exámenes'!$E$5:$E$1000, MATCH(A830&amp;"|"&amp;J830, 'Base Exámenes'!$I$5:$I$1000, 0))="", "", INDEX('Base Exámenes'!$E$5:$E$1000, MATCH(A830&amp;"|"&amp;J830, 'Base Exámenes'!$I$5:$I$1000, 0))), ""), "")</f>
        <v/>
      </c>
      <c r="I830" s="10" t="str">
        <f>IF(F830="Completado", IFERROR(IF(INDEX('Base Exámenes'!$F$5:$F$1000, MATCH(A830&amp;"|"&amp;J830, 'Base Exámenes'!$I$5:$I$1000, 0))="", "", INDEX('Base Exámenes'!$F$5:$F$1000, MATCH(A830&amp;"|"&amp;J830, 'Base Exámenes'!$I$5:$I$1000, 0))), ""), "")</f>
        <v/>
      </c>
      <c r="J830" s="6" t="str">
        <f>IF(F830="Completado", IF(COUNTIFS('Base Exámenes'!$C$5:$C$1000, A830, 'Base Exámenes'!$G$5:$G$1000, "&lt;&gt;")=0, "", _xlfn.MAXIFS('Base Exámenes'!$G$5:$G$1000, 'Base Exámenes'!$C$5:$C$1000, A830)), "")</f>
        <v/>
      </c>
      <c r="K830" s="6" t="str">
        <f>IF(F830="Completado", IFERROR(IF(INDEX('Base Exámenes'!$H$5:$H$1000, MATCH(A830&amp;"|"&amp;J830, 'Base Exámenes'!$I$5:$I$1000, 0))="", "", INDEX('Base Exámenes'!$H$5:$H$1000, MATCH(A830&amp;"|"&amp;J830, 'Base Exámenes'!$I$5:$I$1000, 0))), ""), "")</f>
        <v/>
      </c>
      <c r="L830" s="22" t="str">
        <f>IF($A830="","",COUNTIF('Base Exámenes'!$C$5:$C$1000, A830))</f>
        <v/>
      </c>
      <c r="M830" s="6" t="str">
        <f>IF($A830="","",IF(COUNTIF('Base Exámenes'!$C$5:$C$1000, A830)&gt;0, "", TRIM('Base Oficial'!H830)))</f>
        <v/>
      </c>
    </row>
    <row r="831">
      <c r="A831" s="4" t="str">
        <f>IF('Base Oficial'!A831="","",TRIM('Base Oficial'!A831))</f>
        <v/>
      </c>
      <c r="B831" s="6" t="str">
        <f>IF($A831="","",TRIM('Base Oficial'!B831))</f>
        <v/>
      </c>
      <c r="C831" s="6" t="str">
        <f>IF($A831="","",TRIM('Base Oficial'!F831))</f>
        <v/>
      </c>
      <c r="D831" s="6" t="str">
        <f>IF($A831="","",TRIM('Base Oficial'!G831))</f>
        <v/>
      </c>
      <c r="E831" s="6" t="str">
        <f>IF($A831="","",TRIM('Base Oficial'!D831))</f>
        <v/>
      </c>
      <c r="F831" s="4" t="str">
        <f>IF($A831="","",IF(COUNTIF('Base Exámenes'!$C$5:$C$1000, A831)&gt;0, "Completado", IF(M831&lt;&gt;"", M831, "Pendiente")))</f>
        <v/>
      </c>
      <c r="G831" s="11" t="str">
        <f>IF(F831="Completado", IFERROR(IF(INDEX('Base Exámenes'!$D$5:$D$1000, MATCH(A831&amp;"|"&amp;J831, 'Base Exámenes'!$I$5:$I$1000, 0))="", "", INDEX('Base Exámenes'!$D$5:$D$1000, MATCH(A831&amp;"|"&amp;J831, 'Base Exámenes'!$I$5:$I$1000, 0))), ""), "")</f>
        <v/>
      </c>
      <c r="H831" s="11" t="str">
        <f>IF(F831="Completado", IFERROR(IF(INDEX('Base Exámenes'!$E$5:$E$1000, MATCH(A831&amp;"|"&amp;J831, 'Base Exámenes'!$I$5:$I$1000, 0))="", "", INDEX('Base Exámenes'!$E$5:$E$1000, MATCH(A831&amp;"|"&amp;J831, 'Base Exámenes'!$I$5:$I$1000, 0))), ""), "")</f>
        <v/>
      </c>
      <c r="I831" s="10" t="str">
        <f>IF(F831="Completado", IFERROR(IF(INDEX('Base Exámenes'!$F$5:$F$1000, MATCH(A831&amp;"|"&amp;J831, 'Base Exámenes'!$I$5:$I$1000, 0))="", "", INDEX('Base Exámenes'!$F$5:$F$1000, MATCH(A831&amp;"|"&amp;J831, 'Base Exámenes'!$I$5:$I$1000, 0))), ""), "")</f>
        <v/>
      </c>
      <c r="J831" s="6" t="str">
        <f>IF(F831="Completado", IF(COUNTIFS('Base Exámenes'!$C$5:$C$1000, A831, 'Base Exámenes'!$G$5:$G$1000, "&lt;&gt;")=0, "", _xlfn.MAXIFS('Base Exámenes'!$G$5:$G$1000, 'Base Exámenes'!$C$5:$C$1000, A831)), "")</f>
        <v/>
      </c>
      <c r="K831" s="6" t="str">
        <f>IF(F831="Completado", IFERROR(IF(INDEX('Base Exámenes'!$H$5:$H$1000, MATCH(A831&amp;"|"&amp;J831, 'Base Exámenes'!$I$5:$I$1000, 0))="", "", INDEX('Base Exámenes'!$H$5:$H$1000, MATCH(A831&amp;"|"&amp;J831, 'Base Exámenes'!$I$5:$I$1000, 0))), ""), "")</f>
        <v/>
      </c>
      <c r="L831" s="22" t="str">
        <f>IF($A831="","",COUNTIF('Base Exámenes'!$C$5:$C$1000, A831))</f>
        <v/>
      </c>
      <c r="M831" s="6" t="str">
        <f>IF($A831="","",IF(COUNTIF('Base Exámenes'!$C$5:$C$1000, A831)&gt;0, "", TRIM('Base Oficial'!H831)))</f>
        <v/>
      </c>
    </row>
    <row r="832">
      <c r="A832" s="4" t="str">
        <f>IF('Base Oficial'!A832="","",TRIM('Base Oficial'!A832))</f>
        <v/>
      </c>
      <c r="B832" s="6" t="str">
        <f>IF($A832="","",TRIM('Base Oficial'!B832))</f>
        <v/>
      </c>
      <c r="C832" s="6" t="str">
        <f>IF($A832="","",TRIM('Base Oficial'!F832))</f>
        <v/>
      </c>
      <c r="D832" s="6" t="str">
        <f>IF($A832="","",TRIM('Base Oficial'!G832))</f>
        <v/>
      </c>
      <c r="E832" s="6" t="str">
        <f>IF($A832="","",TRIM('Base Oficial'!D832))</f>
        <v/>
      </c>
      <c r="F832" s="4" t="str">
        <f>IF($A832="","",IF(COUNTIF('Base Exámenes'!$C$5:$C$1000, A832)&gt;0, "Completado", IF(M832&lt;&gt;"", M832, "Pendiente")))</f>
        <v/>
      </c>
      <c r="G832" s="11" t="str">
        <f>IF(F832="Completado", IFERROR(IF(INDEX('Base Exámenes'!$D$5:$D$1000, MATCH(A832&amp;"|"&amp;J832, 'Base Exámenes'!$I$5:$I$1000, 0))="", "", INDEX('Base Exámenes'!$D$5:$D$1000, MATCH(A832&amp;"|"&amp;J832, 'Base Exámenes'!$I$5:$I$1000, 0))), ""), "")</f>
        <v/>
      </c>
      <c r="H832" s="11" t="str">
        <f>IF(F832="Completado", IFERROR(IF(INDEX('Base Exámenes'!$E$5:$E$1000, MATCH(A832&amp;"|"&amp;J832, 'Base Exámenes'!$I$5:$I$1000, 0))="", "", INDEX('Base Exámenes'!$E$5:$E$1000, MATCH(A832&amp;"|"&amp;J832, 'Base Exámenes'!$I$5:$I$1000, 0))), ""), "")</f>
        <v/>
      </c>
      <c r="I832" s="10" t="str">
        <f>IF(F832="Completado", IFERROR(IF(INDEX('Base Exámenes'!$F$5:$F$1000, MATCH(A832&amp;"|"&amp;J832, 'Base Exámenes'!$I$5:$I$1000, 0))="", "", INDEX('Base Exámenes'!$F$5:$F$1000, MATCH(A832&amp;"|"&amp;J832, 'Base Exámenes'!$I$5:$I$1000, 0))), ""), "")</f>
        <v/>
      </c>
      <c r="J832" s="6" t="str">
        <f>IF(F832="Completado", IF(COUNTIFS('Base Exámenes'!$C$5:$C$1000, A832, 'Base Exámenes'!$G$5:$G$1000, "&lt;&gt;")=0, "", _xlfn.MAXIFS('Base Exámenes'!$G$5:$G$1000, 'Base Exámenes'!$C$5:$C$1000, A832)), "")</f>
        <v/>
      </c>
      <c r="K832" s="6" t="str">
        <f>IF(F832="Completado", IFERROR(IF(INDEX('Base Exámenes'!$H$5:$H$1000, MATCH(A832&amp;"|"&amp;J832, 'Base Exámenes'!$I$5:$I$1000, 0))="", "", INDEX('Base Exámenes'!$H$5:$H$1000, MATCH(A832&amp;"|"&amp;J832, 'Base Exámenes'!$I$5:$I$1000, 0))), ""), "")</f>
        <v/>
      </c>
      <c r="L832" s="22" t="str">
        <f>IF($A832="","",COUNTIF('Base Exámenes'!$C$5:$C$1000, A832))</f>
        <v/>
      </c>
      <c r="M832" s="6" t="str">
        <f>IF($A832="","",IF(COUNTIF('Base Exámenes'!$C$5:$C$1000, A832)&gt;0, "", TRIM('Base Oficial'!H832)))</f>
        <v/>
      </c>
    </row>
    <row r="833">
      <c r="A833" s="4" t="str">
        <f>IF('Base Oficial'!A833="","",TRIM('Base Oficial'!A833))</f>
        <v/>
      </c>
      <c r="B833" s="6" t="str">
        <f>IF($A833="","",TRIM('Base Oficial'!B833))</f>
        <v/>
      </c>
      <c r="C833" s="6" t="str">
        <f>IF($A833="","",TRIM('Base Oficial'!F833))</f>
        <v/>
      </c>
      <c r="D833" s="6" t="str">
        <f>IF($A833="","",TRIM('Base Oficial'!G833))</f>
        <v/>
      </c>
      <c r="E833" s="6" t="str">
        <f>IF($A833="","",TRIM('Base Oficial'!D833))</f>
        <v/>
      </c>
      <c r="F833" s="4" t="str">
        <f>IF($A833="","",IF(COUNTIF('Base Exámenes'!$C$5:$C$1000, A833)&gt;0, "Completado", IF(M833&lt;&gt;"", M833, "Pendiente")))</f>
        <v/>
      </c>
      <c r="G833" s="11" t="str">
        <f>IF(F833="Completado", IFERROR(IF(INDEX('Base Exámenes'!$D$5:$D$1000, MATCH(A833&amp;"|"&amp;J833, 'Base Exámenes'!$I$5:$I$1000, 0))="", "", INDEX('Base Exámenes'!$D$5:$D$1000, MATCH(A833&amp;"|"&amp;J833, 'Base Exámenes'!$I$5:$I$1000, 0))), ""), "")</f>
        <v/>
      </c>
      <c r="H833" s="11" t="str">
        <f>IF(F833="Completado", IFERROR(IF(INDEX('Base Exámenes'!$E$5:$E$1000, MATCH(A833&amp;"|"&amp;J833, 'Base Exámenes'!$I$5:$I$1000, 0))="", "", INDEX('Base Exámenes'!$E$5:$E$1000, MATCH(A833&amp;"|"&amp;J833, 'Base Exámenes'!$I$5:$I$1000, 0))), ""), "")</f>
        <v/>
      </c>
      <c r="I833" s="10" t="str">
        <f>IF(F833="Completado", IFERROR(IF(INDEX('Base Exámenes'!$F$5:$F$1000, MATCH(A833&amp;"|"&amp;J833, 'Base Exámenes'!$I$5:$I$1000, 0))="", "", INDEX('Base Exámenes'!$F$5:$F$1000, MATCH(A833&amp;"|"&amp;J833, 'Base Exámenes'!$I$5:$I$1000, 0))), ""), "")</f>
        <v/>
      </c>
      <c r="J833" s="6" t="str">
        <f>IF(F833="Completado", IF(COUNTIFS('Base Exámenes'!$C$5:$C$1000, A833, 'Base Exámenes'!$G$5:$G$1000, "&lt;&gt;")=0, "", _xlfn.MAXIFS('Base Exámenes'!$G$5:$G$1000, 'Base Exámenes'!$C$5:$C$1000, A833)), "")</f>
        <v/>
      </c>
      <c r="K833" s="6" t="str">
        <f>IF(F833="Completado", IFERROR(IF(INDEX('Base Exámenes'!$H$5:$H$1000, MATCH(A833&amp;"|"&amp;J833, 'Base Exámenes'!$I$5:$I$1000, 0))="", "", INDEX('Base Exámenes'!$H$5:$H$1000, MATCH(A833&amp;"|"&amp;J833, 'Base Exámenes'!$I$5:$I$1000, 0))), ""), "")</f>
        <v/>
      </c>
      <c r="L833" s="22" t="str">
        <f>IF($A833="","",COUNTIF('Base Exámenes'!$C$5:$C$1000, A833))</f>
        <v/>
      </c>
      <c r="M833" s="6" t="str">
        <f>IF($A833="","",IF(COUNTIF('Base Exámenes'!$C$5:$C$1000, A833)&gt;0, "", TRIM('Base Oficial'!H833)))</f>
        <v/>
      </c>
    </row>
    <row r="834">
      <c r="A834" s="4" t="str">
        <f>IF('Base Oficial'!A834="","",TRIM('Base Oficial'!A834))</f>
        <v/>
      </c>
      <c r="B834" s="6" t="str">
        <f>IF($A834="","",TRIM('Base Oficial'!B834))</f>
        <v/>
      </c>
      <c r="C834" s="6" t="str">
        <f>IF($A834="","",TRIM('Base Oficial'!F834))</f>
        <v/>
      </c>
      <c r="D834" s="6" t="str">
        <f>IF($A834="","",TRIM('Base Oficial'!G834))</f>
        <v/>
      </c>
      <c r="E834" s="6" t="str">
        <f>IF($A834="","",TRIM('Base Oficial'!D834))</f>
        <v/>
      </c>
      <c r="F834" s="4" t="str">
        <f>IF($A834="","",IF(COUNTIF('Base Exámenes'!$C$5:$C$1000, A834)&gt;0, "Completado", IF(M834&lt;&gt;"", M834, "Pendiente")))</f>
        <v/>
      </c>
      <c r="G834" s="11" t="str">
        <f>IF(F834="Completado", IFERROR(IF(INDEX('Base Exámenes'!$D$5:$D$1000, MATCH(A834&amp;"|"&amp;J834, 'Base Exámenes'!$I$5:$I$1000, 0))="", "", INDEX('Base Exámenes'!$D$5:$D$1000, MATCH(A834&amp;"|"&amp;J834, 'Base Exámenes'!$I$5:$I$1000, 0))), ""), "")</f>
        <v/>
      </c>
      <c r="H834" s="11" t="str">
        <f>IF(F834="Completado", IFERROR(IF(INDEX('Base Exámenes'!$E$5:$E$1000, MATCH(A834&amp;"|"&amp;J834, 'Base Exámenes'!$I$5:$I$1000, 0))="", "", INDEX('Base Exámenes'!$E$5:$E$1000, MATCH(A834&amp;"|"&amp;J834, 'Base Exámenes'!$I$5:$I$1000, 0))), ""), "")</f>
        <v/>
      </c>
      <c r="I834" s="10" t="str">
        <f>IF(F834="Completado", IFERROR(IF(INDEX('Base Exámenes'!$F$5:$F$1000, MATCH(A834&amp;"|"&amp;J834, 'Base Exámenes'!$I$5:$I$1000, 0))="", "", INDEX('Base Exámenes'!$F$5:$F$1000, MATCH(A834&amp;"|"&amp;J834, 'Base Exámenes'!$I$5:$I$1000, 0))), ""), "")</f>
        <v/>
      </c>
      <c r="J834" s="6" t="str">
        <f>IF(F834="Completado", IF(COUNTIFS('Base Exámenes'!$C$5:$C$1000, A834, 'Base Exámenes'!$G$5:$G$1000, "&lt;&gt;")=0, "", _xlfn.MAXIFS('Base Exámenes'!$G$5:$G$1000, 'Base Exámenes'!$C$5:$C$1000, A834)), "")</f>
        <v/>
      </c>
      <c r="K834" s="6" t="str">
        <f>IF(F834="Completado", IFERROR(IF(INDEX('Base Exámenes'!$H$5:$H$1000, MATCH(A834&amp;"|"&amp;J834, 'Base Exámenes'!$I$5:$I$1000, 0))="", "", INDEX('Base Exámenes'!$H$5:$H$1000, MATCH(A834&amp;"|"&amp;J834, 'Base Exámenes'!$I$5:$I$1000, 0))), ""), "")</f>
        <v/>
      </c>
      <c r="L834" s="22" t="str">
        <f>IF($A834="","",COUNTIF('Base Exámenes'!$C$5:$C$1000, A834))</f>
        <v/>
      </c>
      <c r="M834" s="6" t="str">
        <f>IF($A834="","",IF(COUNTIF('Base Exámenes'!$C$5:$C$1000, A834)&gt;0, "", TRIM('Base Oficial'!H834)))</f>
        <v/>
      </c>
    </row>
    <row r="835">
      <c r="A835" s="4" t="str">
        <f>IF('Base Oficial'!A835="","",TRIM('Base Oficial'!A835))</f>
        <v/>
      </c>
      <c r="B835" s="6" t="str">
        <f>IF($A835="","",TRIM('Base Oficial'!B835))</f>
        <v/>
      </c>
      <c r="C835" s="6" t="str">
        <f>IF($A835="","",TRIM('Base Oficial'!F835))</f>
        <v/>
      </c>
      <c r="D835" s="6" t="str">
        <f>IF($A835="","",TRIM('Base Oficial'!G835))</f>
        <v/>
      </c>
      <c r="E835" s="6" t="str">
        <f>IF($A835="","",TRIM('Base Oficial'!D835))</f>
        <v/>
      </c>
      <c r="F835" s="4" t="str">
        <f>IF($A835="","",IF(COUNTIF('Base Exámenes'!$C$5:$C$1000, A835)&gt;0, "Completado", IF(M835&lt;&gt;"", M835, "Pendiente")))</f>
        <v/>
      </c>
      <c r="G835" s="11" t="str">
        <f>IF(F835="Completado", IFERROR(IF(INDEX('Base Exámenes'!$D$5:$D$1000, MATCH(A835&amp;"|"&amp;J835, 'Base Exámenes'!$I$5:$I$1000, 0))="", "", INDEX('Base Exámenes'!$D$5:$D$1000, MATCH(A835&amp;"|"&amp;J835, 'Base Exámenes'!$I$5:$I$1000, 0))), ""), "")</f>
        <v/>
      </c>
      <c r="H835" s="11" t="str">
        <f>IF(F835="Completado", IFERROR(IF(INDEX('Base Exámenes'!$E$5:$E$1000, MATCH(A835&amp;"|"&amp;J835, 'Base Exámenes'!$I$5:$I$1000, 0))="", "", INDEX('Base Exámenes'!$E$5:$E$1000, MATCH(A835&amp;"|"&amp;J835, 'Base Exámenes'!$I$5:$I$1000, 0))), ""), "")</f>
        <v/>
      </c>
      <c r="I835" s="10" t="str">
        <f>IF(F835="Completado", IFERROR(IF(INDEX('Base Exámenes'!$F$5:$F$1000, MATCH(A835&amp;"|"&amp;J835, 'Base Exámenes'!$I$5:$I$1000, 0))="", "", INDEX('Base Exámenes'!$F$5:$F$1000, MATCH(A835&amp;"|"&amp;J835, 'Base Exámenes'!$I$5:$I$1000, 0))), ""), "")</f>
        <v/>
      </c>
      <c r="J835" s="6" t="str">
        <f>IF(F835="Completado", IF(COUNTIFS('Base Exámenes'!$C$5:$C$1000, A835, 'Base Exámenes'!$G$5:$G$1000, "&lt;&gt;")=0, "", _xlfn.MAXIFS('Base Exámenes'!$G$5:$G$1000, 'Base Exámenes'!$C$5:$C$1000, A835)), "")</f>
        <v/>
      </c>
      <c r="K835" s="6" t="str">
        <f>IF(F835="Completado", IFERROR(IF(INDEX('Base Exámenes'!$H$5:$H$1000, MATCH(A835&amp;"|"&amp;J835, 'Base Exámenes'!$I$5:$I$1000, 0))="", "", INDEX('Base Exámenes'!$H$5:$H$1000, MATCH(A835&amp;"|"&amp;J835, 'Base Exámenes'!$I$5:$I$1000, 0))), ""), "")</f>
        <v/>
      </c>
      <c r="L835" s="22" t="str">
        <f>IF($A835="","",COUNTIF('Base Exámenes'!$C$5:$C$1000, A835))</f>
        <v/>
      </c>
      <c r="M835" s="6" t="str">
        <f>IF($A835="","",IF(COUNTIF('Base Exámenes'!$C$5:$C$1000, A835)&gt;0, "", TRIM('Base Oficial'!H835)))</f>
        <v/>
      </c>
    </row>
    <row r="836">
      <c r="A836" s="4" t="str">
        <f>IF('Base Oficial'!A836="","",TRIM('Base Oficial'!A836))</f>
        <v/>
      </c>
      <c r="B836" s="6" t="str">
        <f>IF($A836="","",TRIM('Base Oficial'!B836))</f>
        <v/>
      </c>
      <c r="C836" s="6" t="str">
        <f>IF($A836="","",TRIM('Base Oficial'!F836))</f>
        <v/>
      </c>
      <c r="D836" s="6" t="str">
        <f>IF($A836="","",TRIM('Base Oficial'!G836))</f>
        <v/>
      </c>
      <c r="E836" s="6" t="str">
        <f>IF($A836="","",TRIM('Base Oficial'!D836))</f>
        <v/>
      </c>
      <c r="F836" s="4" t="str">
        <f>IF($A836="","",IF(COUNTIF('Base Exámenes'!$C$5:$C$1000, A836)&gt;0, "Completado", IF(M836&lt;&gt;"", M836, "Pendiente")))</f>
        <v/>
      </c>
      <c r="G836" s="11" t="str">
        <f>IF(F836="Completado", IFERROR(IF(INDEX('Base Exámenes'!$D$5:$D$1000, MATCH(A836&amp;"|"&amp;J836, 'Base Exámenes'!$I$5:$I$1000, 0))="", "", INDEX('Base Exámenes'!$D$5:$D$1000, MATCH(A836&amp;"|"&amp;J836, 'Base Exámenes'!$I$5:$I$1000, 0))), ""), "")</f>
        <v/>
      </c>
      <c r="H836" s="11" t="str">
        <f>IF(F836="Completado", IFERROR(IF(INDEX('Base Exámenes'!$E$5:$E$1000, MATCH(A836&amp;"|"&amp;J836, 'Base Exámenes'!$I$5:$I$1000, 0))="", "", INDEX('Base Exámenes'!$E$5:$E$1000, MATCH(A836&amp;"|"&amp;J836, 'Base Exámenes'!$I$5:$I$1000, 0))), ""), "")</f>
        <v/>
      </c>
      <c r="I836" s="10" t="str">
        <f>IF(F836="Completado", IFERROR(IF(INDEX('Base Exámenes'!$F$5:$F$1000, MATCH(A836&amp;"|"&amp;J836, 'Base Exámenes'!$I$5:$I$1000, 0))="", "", INDEX('Base Exámenes'!$F$5:$F$1000, MATCH(A836&amp;"|"&amp;J836, 'Base Exámenes'!$I$5:$I$1000, 0))), ""), "")</f>
        <v/>
      </c>
      <c r="J836" s="6" t="str">
        <f>IF(F836="Completado", IF(COUNTIFS('Base Exámenes'!$C$5:$C$1000, A836, 'Base Exámenes'!$G$5:$G$1000, "&lt;&gt;")=0, "", _xlfn.MAXIFS('Base Exámenes'!$G$5:$G$1000, 'Base Exámenes'!$C$5:$C$1000, A836)), "")</f>
        <v/>
      </c>
      <c r="K836" s="6" t="str">
        <f>IF(F836="Completado", IFERROR(IF(INDEX('Base Exámenes'!$H$5:$H$1000, MATCH(A836&amp;"|"&amp;J836, 'Base Exámenes'!$I$5:$I$1000, 0))="", "", INDEX('Base Exámenes'!$H$5:$H$1000, MATCH(A836&amp;"|"&amp;J836, 'Base Exámenes'!$I$5:$I$1000, 0))), ""), "")</f>
        <v/>
      </c>
      <c r="L836" s="22" t="str">
        <f>IF($A836="","",COUNTIF('Base Exámenes'!$C$5:$C$1000, A836))</f>
        <v/>
      </c>
      <c r="M836" s="6" t="str">
        <f>IF($A836="","",IF(COUNTIF('Base Exámenes'!$C$5:$C$1000, A836)&gt;0, "", TRIM('Base Oficial'!H836)))</f>
        <v/>
      </c>
    </row>
    <row r="837">
      <c r="A837" s="4" t="str">
        <f>IF('Base Oficial'!A837="","",TRIM('Base Oficial'!A837))</f>
        <v/>
      </c>
      <c r="B837" s="6" t="str">
        <f>IF($A837="","",TRIM('Base Oficial'!B837))</f>
        <v/>
      </c>
      <c r="C837" s="6" t="str">
        <f>IF($A837="","",TRIM('Base Oficial'!F837))</f>
        <v/>
      </c>
      <c r="D837" s="6" t="str">
        <f>IF($A837="","",TRIM('Base Oficial'!G837))</f>
        <v/>
      </c>
      <c r="E837" s="6" t="str">
        <f>IF($A837="","",TRIM('Base Oficial'!D837))</f>
        <v/>
      </c>
      <c r="F837" s="4" t="str">
        <f>IF($A837="","",IF(COUNTIF('Base Exámenes'!$C$5:$C$1000, A837)&gt;0, "Completado", IF(M837&lt;&gt;"", M837, "Pendiente")))</f>
        <v/>
      </c>
      <c r="G837" s="11" t="str">
        <f>IF(F837="Completado", IFERROR(IF(INDEX('Base Exámenes'!$D$5:$D$1000, MATCH(A837&amp;"|"&amp;J837, 'Base Exámenes'!$I$5:$I$1000, 0))="", "", INDEX('Base Exámenes'!$D$5:$D$1000, MATCH(A837&amp;"|"&amp;J837, 'Base Exámenes'!$I$5:$I$1000, 0))), ""), "")</f>
        <v/>
      </c>
      <c r="H837" s="11" t="str">
        <f>IF(F837="Completado", IFERROR(IF(INDEX('Base Exámenes'!$E$5:$E$1000, MATCH(A837&amp;"|"&amp;J837, 'Base Exámenes'!$I$5:$I$1000, 0))="", "", INDEX('Base Exámenes'!$E$5:$E$1000, MATCH(A837&amp;"|"&amp;J837, 'Base Exámenes'!$I$5:$I$1000, 0))), ""), "")</f>
        <v/>
      </c>
      <c r="I837" s="10" t="str">
        <f>IF(F837="Completado", IFERROR(IF(INDEX('Base Exámenes'!$F$5:$F$1000, MATCH(A837&amp;"|"&amp;J837, 'Base Exámenes'!$I$5:$I$1000, 0))="", "", INDEX('Base Exámenes'!$F$5:$F$1000, MATCH(A837&amp;"|"&amp;J837, 'Base Exámenes'!$I$5:$I$1000, 0))), ""), "")</f>
        <v/>
      </c>
      <c r="J837" s="6" t="str">
        <f>IF(F837="Completado", IF(COUNTIFS('Base Exámenes'!$C$5:$C$1000, A837, 'Base Exámenes'!$G$5:$G$1000, "&lt;&gt;")=0, "", _xlfn.MAXIFS('Base Exámenes'!$G$5:$G$1000, 'Base Exámenes'!$C$5:$C$1000, A837)), "")</f>
        <v/>
      </c>
      <c r="K837" s="6" t="str">
        <f>IF(F837="Completado", IFERROR(IF(INDEX('Base Exámenes'!$H$5:$H$1000, MATCH(A837&amp;"|"&amp;J837, 'Base Exámenes'!$I$5:$I$1000, 0))="", "", INDEX('Base Exámenes'!$H$5:$H$1000, MATCH(A837&amp;"|"&amp;J837, 'Base Exámenes'!$I$5:$I$1000, 0))), ""), "")</f>
        <v/>
      </c>
      <c r="L837" s="22" t="str">
        <f>IF($A837="","",COUNTIF('Base Exámenes'!$C$5:$C$1000, A837))</f>
        <v/>
      </c>
      <c r="M837" s="6" t="str">
        <f>IF($A837="","",IF(COUNTIF('Base Exámenes'!$C$5:$C$1000, A837)&gt;0, "", TRIM('Base Oficial'!H837)))</f>
        <v/>
      </c>
    </row>
    <row r="838">
      <c r="A838" s="4" t="str">
        <f>IF('Base Oficial'!A838="","",TRIM('Base Oficial'!A838))</f>
        <v/>
      </c>
      <c r="B838" s="6" t="str">
        <f>IF($A838="","",TRIM('Base Oficial'!B838))</f>
        <v/>
      </c>
      <c r="C838" s="6" t="str">
        <f>IF($A838="","",TRIM('Base Oficial'!F838))</f>
        <v/>
      </c>
      <c r="D838" s="6" t="str">
        <f>IF($A838="","",TRIM('Base Oficial'!G838))</f>
        <v/>
      </c>
      <c r="E838" s="6" t="str">
        <f>IF($A838="","",TRIM('Base Oficial'!D838))</f>
        <v/>
      </c>
      <c r="F838" s="4" t="str">
        <f>IF($A838="","",IF(COUNTIF('Base Exámenes'!$C$5:$C$1000, A838)&gt;0, "Completado", IF(M838&lt;&gt;"", M838, "Pendiente")))</f>
        <v/>
      </c>
      <c r="G838" s="11" t="str">
        <f>IF(F838="Completado", IFERROR(IF(INDEX('Base Exámenes'!$D$5:$D$1000, MATCH(A838&amp;"|"&amp;J838, 'Base Exámenes'!$I$5:$I$1000, 0))="", "", INDEX('Base Exámenes'!$D$5:$D$1000, MATCH(A838&amp;"|"&amp;J838, 'Base Exámenes'!$I$5:$I$1000, 0))), ""), "")</f>
        <v/>
      </c>
      <c r="H838" s="11" t="str">
        <f>IF(F838="Completado", IFERROR(IF(INDEX('Base Exámenes'!$E$5:$E$1000, MATCH(A838&amp;"|"&amp;J838, 'Base Exámenes'!$I$5:$I$1000, 0))="", "", INDEX('Base Exámenes'!$E$5:$E$1000, MATCH(A838&amp;"|"&amp;J838, 'Base Exámenes'!$I$5:$I$1000, 0))), ""), "")</f>
        <v/>
      </c>
      <c r="I838" s="10" t="str">
        <f>IF(F838="Completado", IFERROR(IF(INDEX('Base Exámenes'!$F$5:$F$1000, MATCH(A838&amp;"|"&amp;J838, 'Base Exámenes'!$I$5:$I$1000, 0))="", "", INDEX('Base Exámenes'!$F$5:$F$1000, MATCH(A838&amp;"|"&amp;J838, 'Base Exámenes'!$I$5:$I$1000, 0))), ""), "")</f>
        <v/>
      </c>
      <c r="J838" s="6" t="str">
        <f>IF(F838="Completado", IF(COUNTIFS('Base Exámenes'!$C$5:$C$1000, A838, 'Base Exámenes'!$G$5:$G$1000, "&lt;&gt;")=0, "", _xlfn.MAXIFS('Base Exámenes'!$G$5:$G$1000, 'Base Exámenes'!$C$5:$C$1000, A838)), "")</f>
        <v/>
      </c>
      <c r="K838" s="6" t="str">
        <f>IF(F838="Completado", IFERROR(IF(INDEX('Base Exámenes'!$H$5:$H$1000, MATCH(A838&amp;"|"&amp;J838, 'Base Exámenes'!$I$5:$I$1000, 0))="", "", INDEX('Base Exámenes'!$H$5:$H$1000, MATCH(A838&amp;"|"&amp;J838, 'Base Exámenes'!$I$5:$I$1000, 0))), ""), "")</f>
        <v/>
      </c>
      <c r="L838" s="22" t="str">
        <f>IF($A838="","",COUNTIF('Base Exámenes'!$C$5:$C$1000, A838))</f>
        <v/>
      </c>
      <c r="M838" s="6" t="str">
        <f>IF($A838="","",IF(COUNTIF('Base Exámenes'!$C$5:$C$1000, A838)&gt;0, "", TRIM('Base Oficial'!H838)))</f>
        <v/>
      </c>
    </row>
    <row r="839">
      <c r="A839" s="4" t="str">
        <f>IF('Base Oficial'!A839="","",TRIM('Base Oficial'!A839))</f>
        <v/>
      </c>
      <c r="B839" s="6" t="str">
        <f>IF($A839="","",TRIM('Base Oficial'!B839))</f>
        <v/>
      </c>
      <c r="C839" s="6" t="str">
        <f>IF($A839="","",TRIM('Base Oficial'!F839))</f>
        <v/>
      </c>
      <c r="D839" s="6" t="str">
        <f>IF($A839="","",TRIM('Base Oficial'!G839))</f>
        <v/>
      </c>
      <c r="E839" s="6" t="str">
        <f>IF($A839="","",TRIM('Base Oficial'!D839))</f>
        <v/>
      </c>
      <c r="F839" s="4" t="str">
        <f>IF($A839="","",IF(COUNTIF('Base Exámenes'!$C$5:$C$1000, A839)&gt;0, "Completado", IF(M839&lt;&gt;"", M839, "Pendiente")))</f>
        <v/>
      </c>
      <c r="G839" s="11" t="str">
        <f>IF(F839="Completado", IFERROR(IF(INDEX('Base Exámenes'!$D$5:$D$1000, MATCH(A839&amp;"|"&amp;J839, 'Base Exámenes'!$I$5:$I$1000, 0))="", "", INDEX('Base Exámenes'!$D$5:$D$1000, MATCH(A839&amp;"|"&amp;J839, 'Base Exámenes'!$I$5:$I$1000, 0))), ""), "")</f>
        <v/>
      </c>
      <c r="H839" s="11" t="str">
        <f>IF(F839="Completado", IFERROR(IF(INDEX('Base Exámenes'!$E$5:$E$1000, MATCH(A839&amp;"|"&amp;J839, 'Base Exámenes'!$I$5:$I$1000, 0))="", "", INDEX('Base Exámenes'!$E$5:$E$1000, MATCH(A839&amp;"|"&amp;J839, 'Base Exámenes'!$I$5:$I$1000, 0))), ""), "")</f>
        <v/>
      </c>
      <c r="I839" s="10" t="str">
        <f>IF(F839="Completado", IFERROR(IF(INDEX('Base Exámenes'!$F$5:$F$1000, MATCH(A839&amp;"|"&amp;J839, 'Base Exámenes'!$I$5:$I$1000, 0))="", "", INDEX('Base Exámenes'!$F$5:$F$1000, MATCH(A839&amp;"|"&amp;J839, 'Base Exámenes'!$I$5:$I$1000, 0))), ""), "")</f>
        <v/>
      </c>
      <c r="J839" s="6" t="str">
        <f>IF(F839="Completado", IF(COUNTIFS('Base Exámenes'!$C$5:$C$1000, A839, 'Base Exámenes'!$G$5:$G$1000, "&lt;&gt;")=0, "", _xlfn.MAXIFS('Base Exámenes'!$G$5:$G$1000, 'Base Exámenes'!$C$5:$C$1000, A839)), "")</f>
        <v/>
      </c>
      <c r="K839" s="6" t="str">
        <f>IF(F839="Completado", IFERROR(IF(INDEX('Base Exámenes'!$H$5:$H$1000, MATCH(A839&amp;"|"&amp;J839, 'Base Exámenes'!$I$5:$I$1000, 0))="", "", INDEX('Base Exámenes'!$H$5:$H$1000, MATCH(A839&amp;"|"&amp;J839, 'Base Exámenes'!$I$5:$I$1000, 0))), ""), "")</f>
        <v/>
      </c>
      <c r="L839" s="22" t="str">
        <f>IF($A839="","",COUNTIF('Base Exámenes'!$C$5:$C$1000, A839))</f>
        <v/>
      </c>
      <c r="M839" s="6" t="str">
        <f>IF($A839="","",IF(COUNTIF('Base Exámenes'!$C$5:$C$1000, A839)&gt;0, "", TRIM('Base Oficial'!H839)))</f>
        <v/>
      </c>
    </row>
    <row r="840">
      <c r="A840" s="4" t="str">
        <f>IF('Base Oficial'!A840="","",TRIM('Base Oficial'!A840))</f>
        <v/>
      </c>
      <c r="B840" s="6" t="str">
        <f>IF($A840="","",TRIM('Base Oficial'!B840))</f>
        <v/>
      </c>
      <c r="C840" s="6" t="str">
        <f>IF($A840="","",TRIM('Base Oficial'!F840))</f>
        <v/>
      </c>
      <c r="D840" s="6" t="str">
        <f>IF($A840="","",TRIM('Base Oficial'!G840))</f>
        <v/>
      </c>
      <c r="E840" s="6" t="str">
        <f>IF($A840="","",TRIM('Base Oficial'!D840))</f>
        <v/>
      </c>
      <c r="F840" s="4" t="str">
        <f>IF($A840="","",IF(COUNTIF('Base Exámenes'!$C$5:$C$1000, A840)&gt;0, "Completado", IF(M840&lt;&gt;"", M840, "Pendiente")))</f>
        <v/>
      </c>
      <c r="G840" s="11" t="str">
        <f>IF(F840="Completado", IFERROR(IF(INDEX('Base Exámenes'!$D$5:$D$1000, MATCH(A840&amp;"|"&amp;J840, 'Base Exámenes'!$I$5:$I$1000, 0))="", "", INDEX('Base Exámenes'!$D$5:$D$1000, MATCH(A840&amp;"|"&amp;J840, 'Base Exámenes'!$I$5:$I$1000, 0))), ""), "")</f>
        <v/>
      </c>
      <c r="H840" s="11" t="str">
        <f>IF(F840="Completado", IFERROR(IF(INDEX('Base Exámenes'!$E$5:$E$1000, MATCH(A840&amp;"|"&amp;J840, 'Base Exámenes'!$I$5:$I$1000, 0))="", "", INDEX('Base Exámenes'!$E$5:$E$1000, MATCH(A840&amp;"|"&amp;J840, 'Base Exámenes'!$I$5:$I$1000, 0))), ""), "")</f>
        <v/>
      </c>
      <c r="I840" s="10" t="str">
        <f>IF(F840="Completado", IFERROR(IF(INDEX('Base Exámenes'!$F$5:$F$1000, MATCH(A840&amp;"|"&amp;J840, 'Base Exámenes'!$I$5:$I$1000, 0))="", "", INDEX('Base Exámenes'!$F$5:$F$1000, MATCH(A840&amp;"|"&amp;J840, 'Base Exámenes'!$I$5:$I$1000, 0))), ""), "")</f>
        <v/>
      </c>
      <c r="J840" s="6" t="str">
        <f>IF(F840="Completado", IF(COUNTIFS('Base Exámenes'!$C$5:$C$1000, A840, 'Base Exámenes'!$G$5:$G$1000, "&lt;&gt;")=0, "", _xlfn.MAXIFS('Base Exámenes'!$G$5:$G$1000, 'Base Exámenes'!$C$5:$C$1000, A840)), "")</f>
        <v/>
      </c>
      <c r="K840" s="6" t="str">
        <f>IF(F840="Completado", IFERROR(IF(INDEX('Base Exámenes'!$H$5:$H$1000, MATCH(A840&amp;"|"&amp;J840, 'Base Exámenes'!$I$5:$I$1000, 0))="", "", INDEX('Base Exámenes'!$H$5:$H$1000, MATCH(A840&amp;"|"&amp;J840, 'Base Exámenes'!$I$5:$I$1000, 0))), ""), "")</f>
        <v/>
      </c>
      <c r="L840" s="22" t="str">
        <f>IF($A840="","",COUNTIF('Base Exámenes'!$C$5:$C$1000, A840))</f>
        <v/>
      </c>
      <c r="M840" s="6" t="str">
        <f>IF($A840="","",IF(COUNTIF('Base Exámenes'!$C$5:$C$1000, A840)&gt;0, "", TRIM('Base Oficial'!H840)))</f>
        <v/>
      </c>
    </row>
    <row r="841">
      <c r="A841" s="4" t="str">
        <f>IF('Base Oficial'!A841="","",TRIM('Base Oficial'!A841))</f>
        <v/>
      </c>
      <c r="B841" s="6" t="str">
        <f>IF($A841="","",TRIM('Base Oficial'!B841))</f>
        <v/>
      </c>
      <c r="C841" s="6" t="str">
        <f>IF($A841="","",TRIM('Base Oficial'!F841))</f>
        <v/>
      </c>
      <c r="D841" s="6" t="str">
        <f>IF($A841="","",TRIM('Base Oficial'!G841))</f>
        <v/>
      </c>
      <c r="E841" s="6" t="str">
        <f>IF($A841="","",TRIM('Base Oficial'!D841))</f>
        <v/>
      </c>
      <c r="F841" s="4" t="str">
        <f>IF($A841="","",IF(COUNTIF('Base Exámenes'!$C$5:$C$1000, A841)&gt;0, "Completado", IF(M841&lt;&gt;"", M841, "Pendiente")))</f>
        <v/>
      </c>
      <c r="G841" s="11" t="str">
        <f>IF(F841="Completado", IFERROR(IF(INDEX('Base Exámenes'!$D$5:$D$1000, MATCH(A841&amp;"|"&amp;J841, 'Base Exámenes'!$I$5:$I$1000, 0))="", "", INDEX('Base Exámenes'!$D$5:$D$1000, MATCH(A841&amp;"|"&amp;J841, 'Base Exámenes'!$I$5:$I$1000, 0))), ""), "")</f>
        <v/>
      </c>
      <c r="H841" s="11" t="str">
        <f>IF(F841="Completado", IFERROR(IF(INDEX('Base Exámenes'!$E$5:$E$1000, MATCH(A841&amp;"|"&amp;J841, 'Base Exámenes'!$I$5:$I$1000, 0))="", "", INDEX('Base Exámenes'!$E$5:$E$1000, MATCH(A841&amp;"|"&amp;J841, 'Base Exámenes'!$I$5:$I$1000, 0))), ""), "")</f>
        <v/>
      </c>
      <c r="I841" s="10" t="str">
        <f>IF(F841="Completado", IFERROR(IF(INDEX('Base Exámenes'!$F$5:$F$1000, MATCH(A841&amp;"|"&amp;J841, 'Base Exámenes'!$I$5:$I$1000, 0))="", "", INDEX('Base Exámenes'!$F$5:$F$1000, MATCH(A841&amp;"|"&amp;J841, 'Base Exámenes'!$I$5:$I$1000, 0))), ""), "")</f>
        <v/>
      </c>
      <c r="J841" s="6" t="str">
        <f>IF(F841="Completado", IF(COUNTIFS('Base Exámenes'!$C$5:$C$1000, A841, 'Base Exámenes'!$G$5:$G$1000, "&lt;&gt;")=0, "", _xlfn.MAXIFS('Base Exámenes'!$G$5:$G$1000, 'Base Exámenes'!$C$5:$C$1000, A841)), "")</f>
        <v/>
      </c>
      <c r="K841" s="6" t="str">
        <f>IF(F841="Completado", IFERROR(IF(INDEX('Base Exámenes'!$H$5:$H$1000, MATCH(A841&amp;"|"&amp;J841, 'Base Exámenes'!$I$5:$I$1000, 0))="", "", INDEX('Base Exámenes'!$H$5:$H$1000, MATCH(A841&amp;"|"&amp;J841, 'Base Exámenes'!$I$5:$I$1000, 0))), ""), "")</f>
        <v/>
      </c>
      <c r="L841" s="22" t="str">
        <f>IF($A841="","",COUNTIF('Base Exámenes'!$C$5:$C$1000, A841))</f>
        <v/>
      </c>
      <c r="M841" s="6" t="str">
        <f>IF($A841="","",IF(COUNTIF('Base Exámenes'!$C$5:$C$1000, A841)&gt;0, "", TRIM('Base Oficial'!H841)))</f>
        <v/>
      </c>
    </row>
    <row r="842">
      <c r="A842" s="4" t="str">
        <f>IF('Base Oficial'!A842="","",TRIM('Base Oficial'!A842))</f>
        <v/>
      </c>
      <c r="B842" s="6" t="str">
        <f>IF($A842="","",TRIM('Base Oficial'!B842))</f>
        <v/>
      </c>
      <c r="C842" s="6" t="str">
        <f>IF($A842="","",TRIM('Base Oficial'!F842))</f>
        <v/>
      </c>
      <c r="D842" s="6" t="str">
        <f>IF($A842="","",TRIM('Base Oficial'!G842))</f>
        <v/>
      </c>
      <c r="E842" s="6" t="str">
        <f>IF($A842="","",TRIM('Base Oficial'!D842))</f>
        <v/>
      </c>
      <c r="F842" s="4" t="str">
        <f>IF($A842="","",IF(COUNTIF('Base Exámenes'!$C$5:$C$1000, A842)&gt;0, "Completado", IF(M842&lt;&gt;"", M842, "Pendiente")))</f>
        <v/>
      </c>
      <c r="G842" s="11" t="str">
        <f>IF(F842="Completado", IFERROR(IF(INDEX('Base Exámenes'!$D$5:$D$1000, MATCH(A842&amp;"|"&amp;J842, 'Base Exámenes'!$I$5:$I$1000, 0))="", "", INDEX('Base Exámenes'!$D$5:$D$1000, MATCH(A842&amp;"|"&amp;J842, 'Base Exámenes'!$I$5:$I$1000, 0))), ""), "")</f>
        <v/>
      </c>
      <c r="H842" s="11" t="str">
        <f>IF(F842="Completado", IFERROR(IF(INDEX('Base Exámenes'!$E$5:$E$1000, MATCH(A842&amp;"|"&amp;J842, 'Base Exámenes'!$I$5:$I$1000, 0))="", "", INDEX('Base Exámenes'!$E$5:$E$1000, MATCH(A842&amp;"|"&amp;J842, 'Base Exámenes'!$I$5:$I$1000, 0))), ""), "")</f>
        <v/>
      </c>
      <c r="I842" s="10" t="str">
        <f>IF(F842="Completado", IFERROR(IF(INDEX('Base Exámenes'!$F$5:$F$1000, MATCH(A842&amp;"|"&amp;J842, 'Base Exámenes'!$I$5:$I$1000, 0))="", "", INDEX('Base Exámenes'!$F$5:$F$1000, MATCH(A842&amp;"|"&amp;J842, 'Base Exámenes'!$I$5:$I$1000, 0))), ""), "")</f>
        <v/>
      </c>
      <c r="J842" s="6" t="str">
        <f>IF(F842="Completado", IF(COUNTIFS('Base Exámenes'!$C$5:$C$1000, A842, 'Base Exámenes'!$G$5:$G$1000, "&lt;&gt;")=0, "", _xlfn.MAXIFS('Base Exámenes'!$G$5:$G$1000, 'Base Exámenes'!$C$5:$C$1000, A842)), "")</f>
        <v/>
      </c>
      <c r="K842" s="6" t="str">
        <f>IF(F842="Completado", IFERROR(IF(INDEX('Base Exámenes'!$H$5:$H$1000, MATCH(A842&amp;"|"&amp;J842, 'Base Exámenes'!$I$5:$I$1000, 0))="", "", INDEX('Base Exámenes'!$H$5:$H$1000, MATCH(A842&amp;"|"&amp;J842, 'Base Exámenes'!$I$5:$I$1000, 0))), ""), "")</f>
        <v/>
      </c>
      <c r="L842" s="22" t="str">
        <f>IF($A842="","",COUNTIF('Base Exámenes'!$C$5:$C$1000, A842))</f>
        <v/>
      </c>
      <c r="M842" s="6" t="str">
        <f>IF($A842="","",IF(COUNTIF('Base Exámenes'!$C$5:$C$1000, A842)&gt;0, "", TRIM('Base Oficial'!H842)))</f>
        <v/>
      </c>
    </row>
    <row r="843">
      <c r="A843" s="4" t="str">
        <f>IF('Base Oficial'!A843="","",TRIM('Base Oficial'!A843))</f>
        <v/>
      </c>
      <c r="B843" s="6" t="str">
        <f>IF($A843="","",TRIM('Base Oficial'!B843))</f>
        <v/>
      </c>
      <c r="C843" s="6" t="str">
        <f>IF($A843="","",TRIM('Base Oficial'!F843))</f>
        <v/>
      </c>
      <c r="D843" s="6" t="str">
        <f>IF($A843="","",TRIM('Base Oficial'!G843))</f>
        <v/>
      </c>
      <c r="E843" s="6" t="str">
        <f>IF($A843="","",TRIM('Base Oficial'!D843))</f>
        <v/>
      </c>
      <c r="F843" s="4" t="str">
        <f>IF($A843="","",IF(COUNTIF('Base Exámenes'!$C$5:$C$1000, A843)&gt;0, "Completado", IF(M843&lt;&gt;"", M843, "Pendiente")))</f>
        <v/>
      </c>
      <c r="G843" s="11" t="str">
        <f>IF(F843="Completado", IFERROR(IF(INDEX('Base Exámenes'!$D$5:$D$1000, MATCH(A843&amp;"|"&amp;J843, 'Base Exámenes'!$I$5:$I$1000, 0))="", "", INDEX('Base Exámenes'!$D$5:$D$1000, MATCH(A843&amp;"|"&amp;J843, 'Base Exámenes'!$I$5:$I$1000, 0))), ""), "")</f>
        <v/>
      </c>
      <c r="H843" s="11" t="str">
        <f>IF(F843="Completado", IFERROR(IF(INDEX('Base Exámenes'!$E$5:$E$1000, MATCH(A843&amp;"|"&amp;J843, 'Base Exámenes'!$I$5:$I$1000, 0))="", "", INDEX('Base Exámenes'!$E$5:$E$1000, MATCH(A843&amp;"|"&amp;J843, 'Base Exámenes'!$I$5:$I$1000, 0))), ""), "")</f>
        <v/>
      </c>
      <c r="I843" s="10" t="str">
        <f>IF(F843="Completado", IFERROR(IF(INDEX('Base Exámenes'!$F$5:$F$1000, MATCH(A843&amp;"|"&amp;J843, 'Base Exámenes'!$I$5:$I$1000, 0))="", "", INDEX('Base Exámenes'!$F$5:$F$1000, MATCH(A843&amp;"|"&amp;J843, 'Base Exámenes'!$I$5:$I$1000, 0))), ""), "")</f>
        <v/>
      </c>
      <c r="J843" s="6" t="str">
        <f>IF(F843="Completado", IF(COUNTIFS('Base Exámenes'!$C$5:$C$1000, A843, 'Base Exámenes'!$G$5:$G$1000, "&lt;&gt;")=0, "", _xlfn.MAXIFS('Base Exámenes'!$G$5:$G$1000, 'Base Exámenes'!$C$5:$C$1000, A843)), "")</f>
        <v/>
      </c>
      <c r="K843" s="6" t="str">
        <f>IF(F843="Completado", IFERROR(IF(INDEX('Base Exámenes'!$H$5:$H$1000, MATCH(A843&amp;"|"&amp;J843, 'Base Exámenes'!$I$5:$I$1000, 0))="", "", INDEX('Base Exámenes'!$H$5:$H$1000, MATCH(A843&amp;"|"&amp;J843, 'Base Exámenes'!$I$5:$I$1000, 0))), ""), "")</f>
        <v/>
      </c>
      <c r="L843" s="22" t="str">
        <f>IF($A843="","",COUNTIF('Base Exámenes'!$C$5:$C$1000, A843))</f>
        <v/>
      </c>
      <c r="M843" s="6" t="str">
        <f>IF($A843="","",IF(COUNTIF('Base Exámenes'!$C$5:$C$1000, A843)&gt;0, "", TRIM('Base Oficial'!H843)))</f>
        <v/>
      </c>
    </row>
    <row r="844">
      <c r="A844" s="4" t="str">
        <f>IF('Base Oficial'!A844="","",TRIM('Base Oficial'!A844))</f>
        <v/>
      </c>
      <c r="B844" s="6" t="str">
        <f>IF($A844="","",TRIM('Base Oficial'!B844))</f>
        <v/>
      </c>
      <c r="C844" s="6" t="str">
        <f>IF($A844="","",TRIM('Base Oficial'!F844))</f>
        <v/>
      </c>
      <c r="D844" s="6" t="str">
        <f>IF($A844="","",TRIM('Base Oficial'!G844))</f>
        <v/>
      </c>
      <c r="E844" s="6" t="str">
        <f>IF($A844="","",TRIM('Base Oficial'!D844))</f>
        <v/>
      </c>
      <c r="F844" s="4" t="str">
        <f>IF($A844="","",IF(COUNTIF('Base Exámenes'!$C$5:$C$1000, A844)&gt;0, "Completado", IF(M844&lt;&gt;"", M844, "Pendiente")))</f>
        <v/>
      </c>
      <c r="G844" s="11" t="str">
        <f>IF(F844="Completado", IFERROR(IF(INDEX('Base Exámenes'!$D$5:$D$1000, MATCH(A844&amp;"|"&amp;J844, 'Base Exámenes'!$I$5:$I$1000, 0))="", "", INDEX('Base Exámenes'!$D$5:$D$1000, MATCH(A844&amp;"|"&amp;J844, 'Base Exámenes'!$I$5:$I$1000, 0))), ""), "")</f>
        <v/>
      </c>
      <c r="H844" s="11" t="str">
        <f>IF(F844="Completado", IFERROR(IF(INDEX('Base Exámenes'!$E$5:$E$1000, MATCH(A844&amp;"|"&amp;J844, 'Base Exámenes'!$I$5:$I$1000, 0))="", "", INDEX('Base Exámenes'!$E$5:$E$1000, MATCH(A844&amp;"|"&amp;J844, 'Base Exámenes'!$I$5:$I$1000, 0))), ""), "")</f>
        <v/>
      </c>
      <c r="I844" s="10" t="str">
        <f>IF(F844="Completado", IFERROR(IF(INDEX('Base Exámenes'!$F$5:$F$1000, MATCH(A844&amp;"|"&amp;J844, 'Base Exámenes'!$I$5:$I$1000, 0))="", "", INDEX('Base Exámenes'!$F$5:$F$1000, MATCH(A844&amp;"|"&amp;J844, 'Base Exámenes'!$I$5:$I$1000, 0))), ""), "")</f>
        <v/>
      </c>
      <c r="J844" s="6" t="str">
        <f>IF(F844="Completado", IF(COUNTIFS('Base Exámenes'!$C$5:$C$1000, A844, 'Base Exámenes'!$G$5:$G$1000, "&lt;&gt;")=0, "", _xlfn.MAXIFS('Base Exámenes'!$G$5:$G$1000, 'Base Exámenes'!$C$5:$C$1000, A844)), "")</f>
        <v/>
      </c>
      <c r="K844" s="6" t="str">
        <f>IF(F844="Completado", IFERROR(IF(INDEX('Base Exámenes'!$H$5:$H$1000, MATCH(A844&amp;"|"&amp;J844, 'Base Exámenes'!$I$5:$I$1000, 0))="", "", INDEX('Base Exámenes'!$H$5:$H$1000, MATCH(A844&amp;"|"&amp;J844, 'Base Exámenes'!$I$5:$I$1000, 0))), ""), "")</f>
        <v/>
      </c>
      <c r="L844" s="22" t="str">
        <f>IF($A844="","",COUNTIF('Base Exámenes'!$C$5:$C$1000, A844))</f>
        <v/>
      </c>
      <c r="M844" s="6" t="str">
        <f>IF($A844="","",IF(COUNTIF('Base Exámenes'!$C$5:$C$1000, A844)&gt;0, "", TRIM('Base Oficial'!H844)))</f>
        <v/>
      </c>
    </row>
    <row r="845">
      <c r="A845" s="4" t="str">
        <f>IF('Base Oficial'!A845="","",TRIM('Base Oficial'!A845))</f>
        <v/>
      </c>
      <c r="B845" s="6" t="str">
        <f>IF($A845="","",TRIM('Base Oficial'!B845))</f>
        <v/>
      </c>
      <c r="C845" s="6" t="str">
        <f>IF($A845="","",TRIM('Base Oficial'!F845))</f>
        <v/>
      </c>
      <c r="D845" s="6" t="str">
        <f>IF($A845="","",TRIM('Base Oficial'!G845))</f>
        <v/>
      </c>
      <c r="E845" s="6" t="str">
        <f>IF($A845="","",TRIM('Base Oficial'!D845))</f>
        <v/>
      </c>
      <c r="F845" s="4" t="str">
        <f>IF($A845="","",IF(COUNTIF('Base Exámenes'!$C$5:$C$1000, A845)&gt;0, "Completado", IF(M845&lt;&gt;"", M845, "Pendiente")))</f>
        <v/>
      </c>
      <c r="G845" s="11" t="str">
        <f>IF(F845="Completado", IFERROR(IF(INDEX('Base Exámenes'!$D$5:$D$1000, MATCH(A845&amp;"|"&amp;J845, 'Base Exámenes'!$I$5:$I$1000, 0))="", "", INDEX('Base Exámenes'!$D$5:$D$1000, MATCH(A845&amp;"|"&amp;J845, 'Base Exámenes'!$I$5:$I$1000, 0))), ""), "")</f>
        <v/>
      </c>
      <c r="H845" s="11" t="str">
        <f>IF(F845="Completado", IFERROR(IF(INDEX('Base Exámenes'!$E$5:$E$1000, MATCH(A845&amp;"|"&amp;J845, 'Base Exámenes'!$I$5:$I$1000, 0))="", "", INDEX('Base Exámenes'!$E$5:$E$1000, MATCH(A845&amp;"|"&amp;J845, 'Base Exámenes'!$I$5:$I$1000, 0))), ""), "")</f>
        <v/>
      </c>
      <c r="I845" s="10" t="str">
        <f>IF(F845="Completado", IFERROR(IF(INDEX('Base Exámenes'!$F$5:$F$1000, MATCH(A845&amp;"|"&amp;J845, 'Base Exámenes'!$I$5:$I$1000, 0))="", "", INDEX('Base Exámenes'!$F$5:$F$1000, MATCH(A845&amp;"|"&amp;J845, 'Base Exámenes'!$I$5:$I$1000, 0))), ""), "")</f>
        <v/>
      </c>
      <c r="J845" s="6" t="str">
        <f>IF(F845="Completado", IF(COUNTIFS('Base Exámenes'!$C$5:$C$1000, A845, 'Base Exámenes'!$G$5:$G$1000, "&lt;&gt;")=0, "", _xlfn.MAXIFS('Base Exámenes'!$G$5:$G$1000, 'Base Exámenes'!$C$5:$C$1000, A845)), "")</f>
        <v/>
      </c>
      <c r="K845" s="6" t="str">
        <f>IF(F845="Completado", IFERROR(IF(INDEX('Base Exámenes'!$H$5:$H$1000, MATCH(A845&amp;"|"&amp;J845, 'Base Exámenes'!$I$5:$I$1000, 0))="", "", INDEX('Base Exámenes'!$H$5:$H$1000, MATCH(A845&amp;"|"&amp;J845, 'Base Exámenes'!$I$5:$I$1000, 0))), ""), "")</f>
        <v/>
      </c>
      <c r="L845" s="22" t="str">
        <f>IF($A845="","",COUNTIF('Base Exámenes'!$C$5:$C$1000, A845))</f>
        <v/>
      </c>
      <c r="M845" s="6" t="str">
        <f>IF($A845="","",IF(COUNTIF('Base Exámenes'!$C$5:$C$1000, A845)&gt;0, "", TRIM('Base Oficial'!H845)))</f>
        <v/>
      </c>
    </row>
    <row r="846">
      <c r="A846" s="4" t="str">
        <f>IF('Base Oficial'!A846="","",TRIM('Base Oficial'!A846))</f>
        <v/>
      </c>
      <c r="B846" s="6" t="str">
        <f>IF($A846="","",TRIM('Base Oficial'!B846))</f>
        <v/>
      </c>
      <c r="C846" s="6" t="str">
        <f>IF($A846="","",TRIM('Base Oficial'!F846))</f>
        <v/>
      </c>
      <c r="D846" s="6" t="str">
        <f>IF($A846="","",TRIM('Base Oficial'!G846))</f>
        <v/>
      </c>
      <c r="E846" s="6" t="str">
        <f>IF($A846="","",TRIM('Base Oficial'!D846))</f>
        <v/>
      </c>
      <c r="F846" s="4" t="str">
        <f>IF($A846="","",IF(COUNTIF('Base Exámenes'!$C$5:$C$1000, A846)&gt;0, "Completado", IF(M846&lt;&gt;"", M846, "Pendiente")))</f>
        <v/>
      </c>
      <c r="G846" s="11" t="str">
        <f>IF(F846="Completado", IFERROR(IF(INDEX('Base Exámenes'!$D$5:$D$1000, MATCH(A846&amp;"|"&amp;J846, 'Base Exámenes'!$I$5:$I$1000, 0))="", "", INDEX('Base Exámenes'!$D$5:$D$1000, MATCH(A846&amp;"|"&amp;J846, 'Base Exámenes'!$I$5:$I$1000, 0))), ""), "")</f>
        <v/>
      </c>
      <c r="H846" s="11" t="str">
        <f>IF(F846="Completado", IFERROR(IF(INDEX('Base Exámenes'!$E$5:$E$1000, MATCH(A846&amp;"|"&amp;J846, 'Base Exámenes'!$I$5:$I$1000, 0))="", "", INDEX('Base Exámenes'!$E$5:$E$1000, MATCH(A846&amp;"|"&amp;J846, 'Base Exámenes'!$I$5:$I$1000, 0))), ""), "")</f>
        <v/>
      </c>
      <c r="I846" s="10" t="str">
        <f>IF(F846="Completado", IFERROR(IF(INDEX('Base Exámenes'!$F$5:$F$1000, MATCH(A846&amp;"|"&amp;J846, 'Base Exámenes'!$I$5:$I$1000, 0))="", "", INDEX('Base Exámenes'!$F$5:$F$1000, MATCH(A846&amp;"|"&amp;J846, 'Base Exámenes'!$I$5:$I$1000, 0))), ""), "")</f>
        <v/>
      </c>
      <c r="J846" s="6" t="str">
        <f>IF(F846="Completado", IF(COUNTIFS('Base Exámenes'!$C$5:$C$1000, A846, 'Base Exámenes'!$G$5:$G$1000, "&lt;&gt;")=0, "", _xlfn.MAXIFS('Base Exámenes'!$G$5:$G$1000, 'Base Exámenes'!$C$5:$C$1000, A846)), "")</f>
        <v/>
      </c>
      <c r="K846" s="6" t="str">
        <f>IF(F846="Completado", IFERROR(IF(INDEX('Base Exámenes'!$H$5:$H$1000, MATCH(A846&amp;"|"&amp;J846, 'Base Exámenes'!$I$5:$I$1000, 0))="", "", INDEX('Base Exámenes'!$H$5:$H$1000, MATCH(A846&amp;"|"&amp;J846, 'Base Exámenes'!$I$5:$I$1000, 0))), ""), "")</f>
        <v/>
      </c>
      <c r="L846" s="22" t="str">
        <f>IF($A846="","",COUNTIF('Base Exámenes'!$C$5:$C$1000, A846))</f>
        <v/>
      </c>
      <c r="M846" s="6" t="str">
        <f>IF($A846="","",IF(COUNTIF('Base Exámenes'!$C$5:$C$1000, A846)&gt;0, "", TRIM('Base Oficial'!H846)))</f>
        <v/>
      </c>
    </row>
    <row r="847">
      <c r="A847" s="4" t="str">
        <f>IF('Base Oficial'!A847="","",TRIM('Base Oficial'!A847))</f>
        <v/>
      </c>
      <c r="B847" s="6" t="str">
        <f>IF($A847="","",TRIM('Base Oficial'!B847))</f>
        <v/>
      </c>
      <c r="C847" s="6" t="str">
        <f>IF($A847="","",TRIM('Base Oficial'!F847))</f>
        <v/>
      </c>
      <c r="D847" s="6" t="str">
        <f>IF($A847="","",TRIM('Base Oficial'!G847))</f>
        <v/>
      </c>
      <c r="E847" s="6" t="str">
        <f>IF($A847="","",TRIM('Base Oficial'!D847))</f>
        <v/>
      </c>
      <c r="F847" s="4" t="str">
        <f>IF($A847="","",IF(COUNTIF('Base Exámenes'!$C$5:$C$1000, A847)&gt;0, "Completado", IF(M847&lt;&gt;"", M847, "Pendiente")))</f>
        <v/>
      </c>
      <c r="G847" s="11" t="str">
        <f>IF(F847="Completado", IFERROR(IF(INDEX('Base Exámenes'!$D$5:$D$1000, MATCH(A847&amp;"|"&amp;J847, 'Base Exámenes'!$I$5:$I$1000, 0))="", "", INDEX('Base Exámenes'!$D$5:$D$1000, MATCH(A847&amp;"|"&amp;J847, 'Base Exámenes'!$I$5:$I$1000, 0))), ""), "")</f>
        <v/>
      </c>
      <c r="H847" s="11" t="str">
        <f>IF(F847="Completado", IFERROR(IF(INDEX('Base Exámenes'!$E$5:$E$1000, MATCH(A847&amp;"|"&amp;J847, 'Base Exámenes'!$I$5:$I$1000, 0))="", "", INDEX('Base Exámenes'!$E$5:$E$1000, MATCH(A847&amp;"|"&amp;J847, 'Base Exámenes'!$I$5:$I$1000, 0))), ""), "")</f>
        <v/>
      </c>
      <c r="I847" s="10" t="str">
        <f>IF(F847="Completado", IFERROR(IF(INDEX('Base Exámenes'!$F$5:$F$1000, MATCH(A847&amp;"|"&amp;J847, 'Base Exámenes'!$I$5:$I$1000, 0))="", "", INDEX('Base Exámenes'!$F$5:$F$1000, MATCH(A847&amp;"|"&amp;J847, 'Base Exámenes'!$I$5:$I$1000, 0))), ""), "")</f>
        <v/>
      </c>
      <c r="J847" s="6" t="str">
        <f>IF(F847="Completado", IF(COUNTIFS('Base Exámenes'!$C$5:$C$1000, A847, 'Base Exámenes'!$G$5:$G$1000, "&lt;&gt;")=0, "", _xlfn.MAXIFS('Base Exámenes'!$G$5:$G$1000, 'Base Exámenes'!$C$5:$C$1000, A847)), "")</f>
        <v/>
      </c>
      <c r="K847" s="6" t="str">
        <f>IF(F847="Completado", IFERROR(IF(INDEX('Base Exámenes'!$H$5:$H$1000, MATCH(A847&amp;"|"&amp;J847, 'Base Exámenes'!$I$5:$I$1000, 0))="", "", INDEX('Base Exámenes'!$H$5:$H$1000, MATCH(A847&amp;"|"&amp;J847, 'Base Exámenes'!$I$5:$I$1000, 0))), ""), "")</f>
        <v/>
      </c>
      <c r="L847" s="22" t="str">
        <f>IF($A847="","",COUNTIF('Base Exámenes'!$C$5:$C$1000, A847))</f>
        <v/>
      </c>
      <c r="M847" s="6" t="str">
        <f>IF($A847="","",IF(COUNTIF('Base Exámenes'!$C$5:$C$1000, A847)&gt;0, "", TRIM('Base Oficial'!H847)))</f>
        <v/>
      </c>
    </row>
    <row r="848">
      <c r="A848" s="4" t="str">
        <f>IF('Base Oficial'!A848="","",TRIM('Base Oficial'!A848))</f>
        <v/>
      </c>
      <c r="B848" s="6" t="str">
        <f>IF($A848="","",TRIM('Base Oficial'!B848))</f>
        <v/>
      </c>
      <c r="C848" s="6" t="str">
        <f>IF($A848="","",TRIM('Base Oficial'!F848))</f>
        <v/>
      </c>
      <c r="D848" s="6" t="str">
        <f>IF($A848="","",TRIM('Base Oficial'!G848))</f>
        <v/>
      </c>
      <c r="E848" s="6" t="str">
        <f>IF($A848="","",TRIM('Base Oficial'!D848))</f>
        <v/>
      </c>
      <c r="F848" s="4" t="str">
        <f>IF($A848="","",IF(COUNTIF('Base Exámenes'!$C$5:$C$1000, A848)&gt;0, "Completado", IF(M848&lt;&gt;"", M848, "Pendiente")))</f>
        <v/>
      </c>
      <c r="G848" s="11" t="str">
        <f>IF(F848="Completado", IFERROR(IF(INDEX('Base Exámenes'!$D$5:$D$1000, MATCH(A848&amp;"|"&amp;J848, 'Base Exámenes'!$I$5:$I$1000, 0))="", "", INDEX('Base Exámenes'!$D$5:$D$1000, MATCH(A848&amp;"|"&amp;J848, 'Base Exámenes'!$I$5:$I$1000, 0))), ""), "")</f>
        <v/>
      </c>
      <c r="H848" s="11" t="str">
        <f>IF(F848="Completado", IFERROR(IF(INDEX('Base Exámenes'!$E$5:$E$1000, MATCH(A848&amp;"|"&amp;J848, 'Base Exámenes'!$I$5:$I$1000, 0))="", "", INDEX('Base Exámenes'!$E$5:$E$1000, MATCH(A848&amp;"|"&amp;J848, 'Base Exámenes'!$I$5:$I$1000, 0))), ""), "")</f>
        <v/>
      </c>
      <c r="I848" s="10" t="str">
        <f>IF(F848="Completado", IFERROR(IF(INDEX('Base Exámenes'!$F$5:$F$1000, MATCH(A848&amp;"|"&amp;J848, 'Base Exámenes'!$I$5:$I$1000, 0))="", "", INDEX('Base Exámenes'!$F$5:$F$1000, MATCH(A848&amp;"|"&amp;J848, 'Base Exámenes'!$I$5:$I$1000, 0))), ""), "")</f>
        <v/>
      </c>
      <c r="J848" s="6" t="str">
        <f>IF(F848="Completado", IF(COUNTIFS('Base Exámenes'!$C$5:$C$1000, A848, 'Base Exámenes'!$G$5:$G$1000, "&lt;&gt;")=0, "", _xlfn.MAXIFS('Base Exámenes'!$G$5:$G$1000, 'Base Exámenes'!$C$5:$C$1000, A848)), "")</f>
        <v/>
      </c>
      <c r="K848" s="6" t="str">
        <f>IF(F848="Completado", IFERROR(IF(INDEX('Base Exámenes'!$H$5:$H$1000, MATCH(A848&amp;"|"&amp;J848, 'Base Exámenes'!$I$5:$I$1000, 0))="", "", INDEX('Base Exámenes'!$H$5:$H$1000, MATCH(A848&amp;"|"&amp;J848, 'Base Exámenes'!$I$5:$I$1000, 0))), ""), "")</f>
        <v/>
      </c>
      <c r="L848" s="22" t="str">
        <f>IF($A848="","",COUNTIF('Base Exámenes'!$C$5:$C$1000, A848))</f>
        <v/>
      </c>
      <c r="M848" s="6" t="str">
        <f>IF($A848="","",IF(COUNTIF('Base Exámenes'!$C$5:$C$1000, A848)&gt;0, "", TRIM('Base Oficial'!H848)))</f>
        <v/>
      </c>
    </row>
    <row r="849">
      <c r="A849" s="4" t="str">
        <f>IF('Base Oficial'!A849="","",TRIM('Base Oficial'!A849))</f>
        <v/>
      </c>
      <c r="B849" s="6" t="str">
        <f>IF($A849="","",TRIM('Base Oficial'!B849))</f>
        <v/>
      </c>
      <c r="C849" s="6" t="str">
        <f>IF($A849="","",TRIM('Base Oficial'!F849))</f>
        <v/>
      </c>
      <c r="D849" s="6" t="str">
        <f>IF($A849="","",TRIM('Base Oficial'!G849))</f>
        <v/>
      </c>
      <c r="E849" s="6" t="str">
        <f>IF($A849="","",TRIM('Base Oficial'!D849))</f>
        <v/>
      </c>
      <c r="F849" s="4" t="str">
        <f>IF($A849="","",IF(COUNTIF('Base Exámenes'!$C$5:$C$1000, A849)&gt;0, "Completado", IF(M849&lt;&gt;"", M849, "Pendiente")))</f>
        <v/>
      </c>
      <c r="G849" s="11" t="str">
        <f>IF(F849="Completado", IFERROR(IF(INDEX('Base Exámenes'!$D$5:$D$1000, MATCH(A849&amp;"|"&amp;J849, 'Base Exámenes'!$I$5:$I$1000, 0))="", "", INDEX('Base Exámenes'!$D$5:$D$1000, MATCH(A849&amp;"|"&amp;J849, 'Base Exámenes'!$I$5:$I$1000, 0))), ""), "")</f>
        <v/>
      </c>
      <c r="H849" s="11" t="str">
        <f>IF(F849="Completado", IFERROR(IF(INDEX('Base Exámenes'!$E$5:$E$1000, MATCH(A849&amp;"|"&amp;J849, 'Base Exámenes'!$I$5:$I$1000, 0))="", "", INDEX('Base Exámenes'!$E$5:$E$1000, MATCH(A849&amp;"|"&amp;J849, 'Base Exámenes'!$I$5:$I$1000, 0))), ""), "")</f>
        <v/>
      </c>
      <c r="I849" s="10" t="str">
        <f>IF(F849="Completado", IFERROR(IF(INDEX('Base Exámenes'!$F$5:$F$1000, MATCH(A849&amp;"|"&amp;J849, 'Base Exámenes'!$I$5:$I$1000, 0))="", "", INDEX('Base Exámenes'!$F$5:$F$1000, MATCH(A849&amp;"|"&amp;J849, 'Base Exámenes'!$I$5:$I$1000, 0))), ""), "")</f>
        <v/>
      </c>
      <c r="J849" s="6" t="str">
        <f>IF(F849="Completado", IF(COUNTIFS('Base Exámenes'!$C$5:$C$1000, A849, 'Base Exámenes'!$G$5:$G$1000, "&lt;&gt;")=0, "", _xlfn.MAXIFS('Base Exámenes'!$G$5:$G$1000, 'Base Exámenes'!$C$5:$C$1000, A849)), "")</f>
        <v/>
      </c>
      <c r="K849" s="6" t="str">
        <f>IF(F849="Completado", IFERROR(IF(INDEX('Base Exámenes'!$H$5:$H$1000, MATCH(A849&amp;"|"&amp;J849, 'Base Exámenes'!$I$5:$I$1000, 0))="", "", INDEX('Base Exámenes'!$H$5:$H$1000, MATCH(A849&amp;"|"&amp;J849, 'Base Exámenes'!$I$5:$I$1000, 0))), ""), "")</f>
        <v/>
      </c>
      <c r="L849" s="22" t="str">
        <f>IF($A849="","",COUNTIF('Base Exámenes'!$C$5:$C$1000, A849))</f>
        <v/>
      </c>
      <c r="M849" s="6" t="str">
        <f>IF($A849="","",IF(COUNTIF('Base Exámenes'!$C$5:$C$1000, A849)&gt;0, "", TRIM('Base Oficial'!H849)))</f>
        <v/>
      </c>
    </row>
    <row r="850">
      <c r="A850" s="4" t="str">
        <f>IF('Base Oficial'!A850="","",TRIM('Base Oficial'!A850))</f>
        <v/>
      </c>
      <c r="B850" s="6" t="str">
        <f>IF($A850="","",TRIM('Base Oficial'!B850))</f>
        <v/>
      </c>
      <c r="C850" s="6" t="str">
        <f>IF($A850="","",TRIM('Base Oficial'!F850))</f>
        <v/>
      </c>
      <c r="D850" s="6" t="str">
        <f>IF($A850="","",TRIM('Base Oficial'!G850))</f>
        <v/>
      </c>
      <c r="E850" s="6" t="str">
        <f>IF($A850="","",TRIM('Base Oficial'!D850))</f>
        <v/>
      </c>
      <c r="F850" s="4" t="str">
        <f>IF($A850="","",IF(COUNTIF('Base Exámenes'!$C$5:$C$1000, A850)&gt;0, "Completado", IF(M850&lt;&gt;"", M850, "Pendiente")))</f>
        <v/>
      </c>
      <c r="G850" s="11" t="str">
        <f>IF(F850="Completado", IFERROR(IF(INDEX('Base Exámenes'!$D$5:$D$1000, MATCH(A850&amp;"|"&amp;J850, 'Base Exámenes'!$I$5:$I$1000, 0))="", "", INDEX('Base Exámenes'!$D$5:$D$1000, MATCH(A850&amp;"|"&amp;J850, 'Base Exámenes'!$I$5:$I$1000, 0))), ""), "")</f>
        <v/>
      </c>
      <c r="H850" s="11" t="str">
        <f>IF(F850="Completado", IFERROR(IF(INDEX('Base Exámenes'!$E$5:$E$1000, MATCH(A850&amp;"|"&amp;J850, 'Base Exámenes'!$I$5:$I$1000, 0))="", "", INDEX('Base Exámenes'!$E$5:$E$1000, MATCH(A850&amp;"|"&amp;J850, 'Base Exámenes'!$I$5:$I$1000, 0))), ""), "")</f>
        <v/>
      </c>
      <c r="I850" s="10" t="str">
        <f>IF(F850="Completado", IFERROR(IF(INDEX('Base Exámenes'!$F$5:$F$1000, MATCH(A850&amp;"|"&amp;J850, 'Base Exámenes'!$I$5:$I$1000, 0))="", "", INDEX('Base Exámenes'!$F$5:$F$1000, MATCH(A850&amp;"|"&amp;J850, 'Base Exámenes'!$I$5:$I$1000, 0))), ""), "")</f>
        <v/>
      </c>
      <c r="J850" s="6" t="str">
        <f>IF(F850="Completado", IF(COUNTIFS('Base Exámenes'!$C$5:$C$1000, A850, 'Base Exámenes'!$G$5:$G$1000, "&lt;&gt;")=0, "", _xlfn.MAXIFS('Base Exámenes'!$G$5:$G$1000, 'Base Exámenes'!$C$5:$C$1000, A850)), "")</f>
        <v/>
      </c>
      <c r="K850" s="6" t="str">
        <f>IF(F850="Completado", IFERROR(IF(INDEX('Base Exámenes'!$H$5:$H$1000, MATCH(A850&amp;"|"&amp;J850, 'Base Exámenes'!$I$5:$I$1000, 0))="", "", INDEX('Base Exámenes'!$H$5:$H$1000, MATCH(A850&amp;"|"&amp;J850, 'Base Exámenes'!$I$5:$I$1000, 0))), ""), "")</f>
        <v/>
      </c>
      <c r="L850" s="22" t="str">
        <f>IF($A850="","",COUNTIF('Base Exámenes'!$C$5:$C$1000, A850))</f>
        <v/>
      </c>
      <c r="M850" s="6" t="str">
        <f>IF($A850="","",IF(COUNTIF('Base Exámenes'!$C$5:$C$1000, A850)&gt;0, "", TRIM('Base Oficial'!H850)))</f>
        <v/>
      </c>
    </row>
    <row r="851">
      <c r="A851" s="4" t="str">
        <f>IF('Base Oficial'!A851="","",TRIM('Base Oficial'!A851))</f>
        <v/>
      </c>
      <c r="B851" s="6" t="str">
        <f>IF($A851="","",TRIM('Base Oficial'!B851))</f>
        <v/>
      </c>
      <c r="C851" s="6" t="str">
        <f>IF($A851="","",TRIM('Base Oficial'!F851))</f>
        <v/>
      </c>
      <c r="D851" s="6" t="str">
        <f>IF($A851="","",TRIM('Base Oficial'!G851))</f>
        <v/>
      </c>
      <c r="E851" s="6" t="str">
        <f>IF($A851="","",TRIM('Base Oficial'!D851))</f>
        <v/>
      </c>
      <c r="F851" s="4" t="str">
        <f>IF($A851="","",IF(COUNTIF('Base Exámenes'!$C$5:$C$1000, A851)&gt;0, "Completado", IF(M851&lt;&gt;"", M851, "Pendiente")))</f>
        <v/>
      </c>
      <c r="G851" s="11" t="str">
        <f>IF(F851="Completado", IFERROR(IF(INDEX('Base Exámenes'!$D$5:$D$1000, MATCH(A851&amp;"|"&amp;J851, 'Base Exámenes'!$I$5:$I$1000, 0))="", "", INDEX('Base Exámenes'!$D$5:$D$1000, MATCH(A851&amp;"|"&amp;J851, 'Base Exámenes'!$I$5:$I$1000, 0))), ""), "")</f>
        <v/>
      </c>
      <c r="H851" s="11" t="str">
        <f>IF(F851="Completado", IFERROR(IF(INDEX('Base Exámenes'!$E$5:$E$1000, MATCH(A851&amp;"|"&amp;J851, 'Base Exámenes'!$I$5:$I$1000, 0))="", "", INDEX('Base Exámenes'!$E$5:$E$1000, MATCH(A851&amp;"|"&amp;J851, 'Base Exámenes'!$I$5:$I$1000, 0))), ""), "")</f>
        <v/>
      </c>
      <c r="I851" s="10" t="str">
        <f>IF(F851="Completado", IFERROR(IF(INDEX('Base Exámenes'!$F$5:$F$1000, MATCH(A851&amp;"|"&amp;J851, 'Base Exámenes'!$I$5:$I$1000, 0))="", "", INDEX('Base Exámenes'!$F$5:$F$1000, MATCH(A851&amp;"|"&amp;J851, 'Base Exámenes'!$I$5:$I$1000, 0))), ""), "")</f>
        <v/>
      </c>
      <c r="J851" s="6" t="str">
        <f>IF(F851="Completado", IF(COUNTIFS('Base Exámenes'!$C$5:$C$1000, A851, 'Base Exámenes'!$G$5:$G$1000, "&lt;&gt;")=0, "", _xlfn.MAXIFS('Base Exámenes'!$G$5:$G$1000, 'Base Exámenes'!$C$5:$C$1000, A851)), "")</f>
        <v/>
      </c>
      <c r="K851" s="6" t="str">
        <f>IF(F851="Completado", IFERROR(IF(INDEX('Base Exámenes'!$H$5:$H$1000, MATCH(A851&amp;"|"&amp;J851, 'Base Exámenes'!$I$5:$I$1000, 0))="", "", INDEX('Base Exámenes'!$H$5:$H$1000, MATCH(A851&amp;"|"&amp;J851, 'Base Exámenes'!$I$5:$I$1000, 0))), ""), "")</f>
        <v/>
      </c>
      <c r="L851" s="22" t="str">
        <f>IF($A851="","",COUNTIF('Base Exámenes'!$C$5:$C$1000, A851))</f>
        <v/>
      </c>
      <c r="M851" s="6" t="str">
        <f>IF($A851="","",IF(COUNTIF('Base Exámenes'!$C$5:$C$1000, A851)&gt;0, "", TRIM('Base Oficial'!H851)))</f>
        <v/>
      </c>
    </row>
    <row r="852">
      <c r="A852" s="4" t="str">
        <f>IF('Base Oficial'!A852="","",TRIM('Base Oficial'!A852))</f>
        <v/>
      </c>
      <c r="B852" s="6" t="str">
        <f>IF($A852="","",TRIM('Base Oficial'!B852))</f>
        <v/>
      </c>
      <c r="C852" s="6" t="str">
        <f>IF($A852="","",TRIM('Base Oficial'!F852))</f>
        <v/>
      </c>
      <c r="D852" s="6" t="str">
        <f>IF($A852="","",TRIM('Base Oficial'!G852))</f>
        <v/>
      </c>
      <c r="E852" s="6" t="str">
        <f>IF($A852="","",TRIM('Base Oficial'!D852))</f>
        <v/>
      </c>
      <c r="F852" s="4" t="str">
        <f>IF($A852="","",IF(COUNTIF('Base Exámenes'!$C$5:$C$1000, A852)&gt;0, "Completado", IF(M852&lt;&gt;"", M852, "Pendiente")))</f>
        <v/>
      </c>
      <c r="G852" s="11" t="str">
        <f>IF(F852="Completado", IFERROR(IF(INDEX('Base Exámenes'!$D$5:$D$1000, MATCH(A852&amp;"|"&amp;J852, 'Base Exámenes'!$I$5:$I$1000, 0))="", "", INDEX('Base Exámenes'!$D$5:$D$1000, MATCH(A852&amp;"|"&amp;J852, 'Base Exámenes'!$I$5:$I$1000, 0))), ""), "")</f>
        <v/>
      </c>
      <c r="H852" s="11" t="str">
        <f>IF(F852="Completado", IFERROR(IF(INDEX('Base Exámenes'!$E$5:$E$1000, MATCH(A852&amp;"|"&amp;J852, 'Base Exámenes'!$I$5:$I$1000, 0))="", "", INDEX('Base Exámenes'!$E$5:$E$1000, MATCH(A852&amp;"|"&amp;J852, 'Base Exámenes'!$I$5:$I$1000, 0))), ""), "")</f>
        <v/>
      </c>
      <c r="I852" s="10" t="str">
        <f>IF(F852="Completado", IFERROR(IF(INDEX('Base Exámenes'!$F$5:$F$1000, MATCH(A852&amp;"|"&amp;J852, 'Base Exámenes'!$I$5:$I$1000, 0))="", "", INDEX('Base Exámenes'!$F$5:$F$1000, MATCH(A852&amp;"|"&amp;J852, 'Base Exámenes'!$I$5:$I$1000, 0))), ""), "")</f>
        <v/>
      </c>
      <c r="J852" s="6" t="str">
        <f>IF(F852="Completado", IF(COUNTIFS('Base Exámenes'!$C$5:$C$1000, A852, 'Base Exámenes'!$G$5:$G$1000, "&lt;&gt;")=0, "", _xlfn.MAXIFS('Base Exámenes'!$G$5:$G$1000, 'Base Exámenes'!$C$5:$C$1000, A852)), "")</f>
        <v/>
      </c>
      <c r="K852" s="6" t="str">
        <f>IF(F852="Completado", IFERROR(IF(INDEX('Base Exámenes'!$H$5:$H$1000, MATCH(A852&amp;"|"&amp;J852, 'Base Exámenes'!$I$5:$I$1000, 0))="", "", INDEX('Base Exámenes'!$H$5:$H$1000, MATCH(A852&amp;"|"&amp;J852, 'Base Exámenes'!$I$5:$I$1000, 0))), ""), "")</f>
        <v/>
      </c>
      <c r="L852" s="22" t="str">
        <f>IF($A852="","",COUNTIF('Base Exámenes'!$C$5:$C$1000, A852))</f>
        <v/>
      </c>
      <c r="M852" s="6" t="str">
        <f>IF($A852="","",IF(COUNTIF('Base Exámenes'!$C$5:$C$1000, A852)&gt;0, "", TRIM('Base Oficial'!H852)))</f>
        <v/>
      </c>
    </row>
    <row r="853">
      <c r="A853" s="4" t="str">
        <f>IF('Base Oficial'!A853="","",TRIM('Base Oficial'!A853))</f>
        <v/>
      </c>
      <c r="B853" s="6" t="str">
        <f>IF($A853="","",TRIM('Base Oficial'!B853))</f>
        <v/>
      </c>
      <c r="C853" s="6" t="str">
        <f>IF($A853="","",TRIM('Base Oficial'!F853))</f>
        <v/>
      </c>
      <c r="D853" s="6" t="str">
        <f>IF($A853="","",TRIM('Base Oficial'!G853))</f>
        <v/>
      </c>
      <c r="E853" s="6" t="str">
        <f>IF($A853="","",TRIM('Base Oficial'!D853))</f>
        <v/>
      </c>
      <c r="F853" s="4" t="str">
        <f>IF($A853="","",IF(COUNTIF('Base Exámenes'!$C$5:$C$1000, A853)&gt;0, "Completado", IF(M853&lt;&gt;"", M853, "Pendiente")))</f>
        <v/>
      </c>
      <c r="G853" s="11" t="str">
        <f>IF(F853="Completado", IFERROR(IF(INDEX('Base Exámenes'!$D$5:$D$1000, MATCH(A853&amp;"|"&amp;J853, 'Base Exámenes'!$I$5:$I$1000, 0))="", "", INDEX('Base Exámenes'!$D$5:$D$1000, MATCH(A853&amp;"|"&amp;J853, 'Base Exámenes'!$I$5:$I$1000, 0))), ""), "")</f>
        <v/>
      </c>
      <c r="H853" s="11" t="str">
        <f>IF(F853="Completado", IFERROR(IF(INDEX('Base Exámenes'!$E$5:$E$1000, MATCH(A853&amp;"|"&amp;J853, 'Base Exámenes'!$I$5:$I$1000, 0))="", "", INDEX('Base Exámenes'!$E$5:$E$1000, MATCH(A853&amp;"|"&amp;J853, 'Base Exámenes'!$I$5:$I$1000, 0))), ""), "")</f>
        <v/>
      </c>
      <c r="I853" s="10" t="str">
        <f>IF(F853="Completado", IFERROR(IF(INDEX('Base Exámenes'!$F$5:$F$1000, MATCH(A853&amp;"|"&amp;J853, 'Base Exámenes'!$I$5:$I$1000, 0))="", "", INDEX('Base Exámenes'!$F$5:$F$1000, MATCH(A853&amp;"|"&amp;J853, 'Base Exámenes'!$I$5:$I$1000, 0))), ""), "")</f>
        <v/>
      </c>
      <c r="J853" s="6" t="str">
        <f>IF(F853="Completado", IF(COUNTIFS('Base Exámenes'!$C$5:$C$1000, A853, 'Base Exámenes'!$G$5:$G$1000, "&lt;&gt;")=0, "", _xlfn.MAXIFS('Base Exámenes'!$G$5:$G$1000, 'Base Exámenes'!$C$5:$C$1000, A853)), "")</f>
        <v/>
      </c>
      <c r="K853" s="6" t="str">
        <f>IF(F853="Completado", IFERROR(IF(INDEX('Base Exámenes'!$H$5:$H$1000, MATCH(A853&amp;"|"&amp;J853, 'Base Exámenes'!$I$5:$I$1000, 0))="", "", INDEX('Base Exámenes'!$H$5:$H$1000, MATCH(A853&amp;"|"&amp;J853, 'Base Exámenes'!$I$5:$I$1000, 0))), ""), "")</f>
        <v/>
      </c>
      <c r="L853" s="22" t="str">
        <f>IF($A853="","",COUNTIF('Base Exámenes'!$C$5:$C$1000, A853))</f>
        <v/>
      </c>
      <c r="M853" s="6" t="str">
        <f>IF($A853="","",IF(COUNTIF('Base Exámenes'!$C$5:$C$1000, A853)&gt;0, "", TRIM('Base Oficial'!H853)))</f>
        <v/>
      </c>
    </row>
    <row r="854">
      <c r="A854" s="4" t="str">
        <f>IF('Base Oficial'!A854="","",TRIM('Base Oficial'!A854))</f>
        <v/>
      </c>
      <c r="B854" s="6" t="str">
        <f>IF($A854="","",TRIM('Base Oficial'!B854))</f>
        <v/>
      </c>
      <c r="C854" s="6" t="str">
        <f>IF($A854="","",TRIM('Base Oficial'!F854))</f>
        <v/>
      </c>
      <c r="D854" s="6" t="str">
        <f>IF($A854="","",TRIM('Base Oficial'!G854))</f>
        <v/>
      </c>
      <c r="E854" s="6" t="str">
        <f>IF($A854="","",TRIM('Base Oficial'!D854))</f>
        <v/>
      </c>
      <c r="F854" s="4" t="str">
        <f>IF($A854="","",IF(COUNTIF('Base Exámenes'!$C$5:$C$1000, A854)&gt;0, "Completado", IF(M854&lt;&gt;"", M854, "Pendiente")))</f>
        <v/>
      </c>
      <c r="G854" s="11" t="str">
        <f>IF(F854="Completado", IFERROR(IF(INDEX('Base Exámenes'!$D$5:$D$1000, MATCH(A854&amp;"|"&amp;J854, 'Base Exámenes'!$I$5:$I$1000, 0))="", "", INDEX('Base Exámenes'!$D$5:$D$1000, MATCH(A854&amp;"|"&amp;J854, 'Base Exámenes'!$I$5:$I$1000, 0))), ""), "")</f>
        <v/>
      </c>
      <c r="H854" s="11" t="str">
        <f>IF(F854="Completado", IFERROR(IF(INDEX('Base Exámenes'!$E$5:$E$1000, MATCH(A854&amp;"|"&amp;J854, 'Base Exámenes'!$I$5:$I$1000, 0))="", "", INDEX('Base Exámenes'!$E$5:$E$1000, MATCH(A854&amp;"|"&amp;J854, 'Base Exámenes'!$I$5:$I$1000, 0))), ""), "")</f>
        <v/>
      </c>
      <c r="I854" s="10" t="str">
        <f>IF(F854="Completado", IFERROR(IF(INDEX('Base Exámenes'!$F$5:$F$1000, MATCH(A854&amp;"|"&amp;J854, 'Base Exámenes'!$I$5:$I$1000, 0))="", "", INDEX('Base Exámenes'!$F$5:$F$1000, MATCH(A854&amp;"|"&amp;J854, 'Base Exámenes'!$I$5:$I$1000, 0))), ""), "")</f>
        <v/>
      </c>
      <c r="J854" s="6" t="str">
        <f>IF(F854="Completado", IF(COUNTIFS('Base Exámenes'!$C$5:$C$1000, A854, 'Base Exámenes'!$G$5:$G$1000, "&lt;&gt;")=0, "", _xlfn.MAXIFS('Base Exámenes'!$G$5:$G$1000, 'Base Exámenes'!$C$5:$C$1000, A854)), "")</f>
        <v/>
      </c>
      <c r="K854" s="6" t="str">
        <f>IF(F854="Completado", IFERROR(IF(INDEX('Base Exámenes'!$H$5:$H$1000, MATCH(A854&amp;"|"&amp;J854, 'Base Exámenes'!$I$5:$I$1000, 0))="", "", INDEX('Base Exámenes'!$H$5:$H$1000, MATCH(A854&amp;"|"&amp;J854, 'Base Exámenes'!$I$5:$I$1000, 0))), ""), "")</f>
        <v/>
      </c>
      <c r="L854" s="22" t="str">
        <f>IF($A854="","",COUNTIF('Base Exámenes'!$C$5:$C$1000, A854))</f>
        <v/>
      </c>
      <c r="M854" s="6" t="str">
        <f>IF($A854="","",IF(COUNTIF('Base Exámenes'!$C$5:$C$1000, A854)&gt;0, "", TRIM('Base Oficial'!H854)))</f>
        <v/>
      </c>
    </row>
    <row r="855">
      <c r="A855" s="4" t="str">
        <f>IF('Base Oficial'!A855="","",TRIM('Base Oficial'!A855))</f>
        <v/>
      </c>
      <c r="B855" s="6" t="str">
        <f>IF($A855="","",TRIM('Base Oficial'!B855))</f>
        <v/>
      </c>
      <c r="C855" s="6" t="str">
        <f>IF($A855="","",TRIM('Base Oficial'!F855))</f>
        <v/>
      </c>
      <c r="D855" s="6" t="str">
        <f>IF($A855="","",TRIM('Base Oficial'!G855))</f>
        <v/>
      </c>
      <c r="E855" s="6" t="str">
        <f>IF($A855="","",TRIM('Base Oficial'!D855))</f>
        <v/>
      </c>
      <c r="F855" s="4" t="str">
        <f>IF($A855="","",IF(COUNTIF('Base Exámenes'!$C$5:$C$1000, A855)&gt;0, "Completado", IF(M855&lt;&gt;"", M855, "Pendiente")))</f>
        <v/>
      </c>
      <c r="G855" s="11" t="str">
        <f>IF(F855="Completado", IFERROR(IF(INDEX('Base Exámenes'!$D$5:$D$1000, MATCH(A855&amp;"|"&amp;J855, 'Base Exámenes'!$I$5:$I$1000, 0))="", "", INDEX('Base Exámenes'!$D$5:$D$1000, MATCH(A855&amp;"|"&amp;J855, 'Base Exámenes'!$I$5:$I$1000, 0))), ""), "")</f>
        <v/>
      </c>
      <c r="H855" s="11" t="str">
        <f>IF(F855="Completado", IFERROR(IF(INDEX('Base Exámenes'!$E$5:$E$1000, MATCH(A855&amp;"|"&amp;J855, 'Base Exámenes'!$I$5:$I$1000, 0))="", "", INDEX('Base Exámenes'!$E$5:$E$1000, MATCH(A855&amp;"|"&amp;J855, 'Base Exámenes'!$I$5:$I$1000, 0))), ""), "")</f>
        <v/>
      </c>
      <c r="I855" s="10" t="str">
        <f>IF(F855="Completado", IFERROR(IF(INDEX('Base Exámenes'!$F$5:$F$1000, MATCH(A855&amp;"|"&amp;J855, 'Base Exámenes'!$I$5:$I$1000, 0))="", "", INDEX('Base Exámenes'!$F$5:$F$1000, MATCH(A855&amp;"|"&amp;J855, 'Base Exámenes'!$I$5:$I$1000, 0))), ""), "")</f>
        <v/>
      </c>
      <c r="J855" s="6" t="str">
        <f>IF(F855="Completado", IF(COUNTIFS('Base Exámenes'!$C$5:$C$1000, A855, 'Base Exámenes'!$G$5:$G$1000, "&lt;&gt;")=0, "", _xlfn.MAXIFS('Base Exámenes'!$G$5:$G$1000, 'Base Exámenes'!$C$5:$C$1000, A855)), "")</f>
        <v/>
      </c>
      <c r="K855" s="6" t="str">
        <f>IF(F855="Completado", IFERROR(IF(INDEX('Base Exámenes'!$H$5:$H$1000, MATCH(A855&amp;"|"&amp;J855, 'Base Exámenes'!$I$5:$I$1000, 0))="", "", INDEX('Base Exámenes'!$H$5:$H$1000, MATCH(A855&amp;"|"&amp;J855, 'Base Exámenes'!$I$5:$I$1000, 0))), ""), "")</f>
        <v/>
      </c>
      <c r="L855" s="22" t="str">
        <f>IF($A855="","",COUNTIF('Base Exámenes'!$C$5:$C$1000, A855))</f>
        <v/>
      </c>
      <c r="M855" s="6" t="str">
        <f>IF($A855="","",IF(COUNTIF('Base Exámenes'!$C$5:$C$1000, A855)&gt;0, "", TRIM('Base Oficial'!H855)))</f>
        <v/>
      </c>
    </row>
    <row r="856">
      <c r="A856" s="4" t="str">
        <f>IF('Base Oficial'!A856="","",TRIM('Base Oficial'!A856))</f>
        <v/>
      </c>
      <c r="B856" s="6" t="str">
        <f>IF($A856="","",TRIM('Base Oficial'!B856))</f>
        <v/>
      </c>
      <c r="C856" s="6" t="str">
        <f>IF($A856="","",TRIM('Base Oficial'!F856))</f>
        <v/>
      </c>
      <c r="D856" s="6" t="str">
        <f>IF($A856="","",TRIM('Base Oficial'!G856))</f>
        <v/>
      </c>
      <c r="E856" s="6" t="str">
        <f>IF($A856="","",TRIM('Base Oficial'!D856))</f>
        <v/>
      </c>
      <c r="F856" s="4" t="str">
        <f>IF($A856="","",IF(COUNTIF('Base Exámenes'!$C$5:$C$1000, A856)&gt;0, "Completado", IF(M856&lt;&gt;"", M856, "Pendiente")))</f>
        <v/>
      </c>
      <c r="G856" s="11" t="str">
        <f>IF(F856="Completado", IFERROR(IF(INDEX('Base Exámenes'!$D$5:$D$1000, MATCH(A856&amp;"|"&amp;J856, 'Base Exámenes'!$I$5:$I$1000, 0))="", "", INDEX('Base Exámenes'!$D$5:$D$1000, MATCH(A856&amp;"|"&amp;J856, 'Base Exámenes'!$I$5:$I$1000, 0))), ""), "")</f>
        <v/>
      </c>
      <c r="H856" s="11" t="str">
        <f>IF(F856="Completado", IFERROR(IF(INDEX('Base Exámenes'!$E$5:$E$1000, MATCH(A856&amp;"|"&amp;J856, 'Base Exámenes'!$I$5:$I$1000, 0))="", "", INDEX('Base Exámenes'!$E$5:$E$1000, MATCH(A856&amp;"|"&amp;J856, 'Base Exámenes'!$I$5:$I$1000, 0))), ""), "")</f>
        <v/>
      </c>
      <c r="I856" s="10" t="str">
        <f>IF(F856="Completado", IFERROR(IF(INDEX('Base Exámenes'!$F$5:$F$1000, MATCH(A856&amp;"|"&amp;J856, 'Base Exámenes'!$I$5:$I$1000, 0))="", "", INDEX('Base Exámenes'!$F$5:$F$1000, MATCH(A856&amp;"|"&amp;J856, 'Base Exámenes'!$I$5:$I$1000, 0))), ""), "")</f>
        <v/>
      </c>
      <c r="J856" s="6" t="str">
        <f>IF(F856="Completado", IF(COUNTIFS('Base Exámenes'!$C$5:$C$1000, A856, 'Base Exámenes'!$G$5:$G$1000, "&lt;&gt;")=0, "", _xlfn.MAXIFS('Base Exámenes'!$G$5:$G$1000, 'Base Exámenes'!$C$5:$C$1000, A856)), "")</f>
        <v/>
      </c>
      <c r="K856" s="6" t="str">
        <f>IF(F856="Completado", IFERROR(IF(INDEX('Base Exámenes'!$H$5:$H$1000, MATCH(A856&amp;"|"&amp;J856, 'Base Exámenes'!$I$5:$I$1000, 0))="", "", INDEX('Base Exámenes'!$H$5:$H$1000, MATCH(A856&amp;"|"&amp;J856, 'Base Exámenes'!$I$5:$I$1000, 0))), ""), "")</f>
        <v/>
      </c>
      <c r="L856" s="22" t="str">
        <f>IF($A856="","",COUNTIF('Base Exámenes'!$C$5:$C$1000, A856))</f>
        <v/>
      </c>
      <c r="M856" s="6" t="str">
        <f>IF($A856="","",IF(COUNTIF('Base Exámenes'!$C$5:$C$1000, A856)&gt;0, "", TRIM('Base Oficial'!H856)))</f>
        <v/>
      </c>
    </row>
    <row r="857">
      <c r="A857" s="4" t="str">
        <f>IF('Base Oficial'!A857="","",TRIM('Base Oficial'!A857))</f>
        <v/>
      </c>
      <c r="B857" s="6" t="str">
        <f>IF($A857="","",TRIM('Base Oficial'!B857))</f>
        <v/>
      </c>
      <c r="C857" s="6" t="str">
        <f>IF($A857="","",TRIM('Base Oficial'!F857))</f>
        <v/>
      </c>
      <c r="D857" s="6" t="str">
        <f>IF($A857="","",TRIM('Base Oficial'!G857))</f>
        <v/>
      </c>
      <c r="E857" s="6" t="str">
        <f>IF($A857="","",TRIM('Base Oficial'!D857))</f>
        <v/>
      </c>
      <c r="F857" s="4" t="str">
        <f>IF($A857="","",IF(COUNTIF('Base Exámenes'!$C$5:$C$1000, A857)&gt;0, "Completado", IF(M857&lt;&gt;"", M857, "Pendiente")))</f>
        <v/>
      </c>
      <c r="G857" s="11" t="str">
        <f>IF(F857="Completado", IFERROR(IF(INDEX('Base Exámenes'!$D$5:$D$1000, MATCH(A857&amp;"|"&amp;J857, 'Base Exámenes'!$I$5:$I$1000, 0))="", "", INDEX('Base Exámenes'!$D$5:$D$1000, MATCH(A857&amp;"|"&amp;J857, 'Base Exámenes'!$I$5:$I$1000, 0))), ""), "")</f>
        <v/>
      </c>
      <c r="H857" s="11" t="str">
        <f>IF(F857="Completado", IFERROR(IF(INDEX('Base Exámenes'!$E$5:$E$1000, MATCH(A857&amp;"|"&amp;J857, 'Base Exámenes'!$I$5:$I$1000, 0))="", "", INDEX('Base Exámenes'!$E$5:$E$1000, MATCH(A857&amp;"|"&amp;J857, 'Base Exámenes'!$I$5:$I$1000, 0))), ""), "")</f>
        <v/>
      </c>
      <c r="I857" s="10" t="str">
        <f>IF(F857="Completado", IFERROR(IF(INDEX('Base Exámenes'!$F$5:$F$1000, MATCH(A857&amp;"|"&amp;J857, 'Base Exámenes'!$I$5:$I$1000, 0))="", "", INDEX('Base Exámenes'!$F$5:$F$1000, MATCH(A857&amp;"|"&amp;J857, 'Base Exámenes'!$I$5:$I$1000, 0))), ""), "")</f>
        <v/>
      </c>
      <c r="J857" s="6" t="str">
        <f>IF(F857="Completado", IF(COUNTIFS('Base Exámenes'!$C$5:$C$1000, A857, 'Base Exámenes'!$G$5:$G$1000, "&lt;&gt;")=0, "", _xlfn.MAXIFS('Base Exámenes'!$G$5:$G$1000, 'Base Exámenes'!$C$5:$C$1000, A857)), "")</f>
        <v/>
      </c>
      <c r="K857" s="6" t="str">
        <f>IF(F857="Completado", IFERROR(IF(INDEX('Base Exámenes'!$H$5:$H$1000, MATCH(A857&amp;"|"&amp;J857, 'Base Exámenes'!$I$5:$I$1000, 0))="", "", INDEX('Base Exámenes'!$H$5:$H$1000, MATCH(A857&amp;"|"&amp;J857, 'Base Exámenes'!$I$5:$I$1000, 0))), ""), "")</f>
        <v/>
      </c>
      <c r="L857" s="22" t="str">
        <f>IF($A857="","",COUNTIF('Base Exámenes'!$C$5:$C$1000, A857))</f>
        <v/>
      </c>
      <c r="M857" s="6" t="str">
        <f>IF($A857="","",IF(COUNTIF('Base Exámenes'!$C$5:$C$1000, A857)&gt;0, "", TRIM('Base Oficial'!H857)))</f>
        <v/>
      </c>
    </row>
    <row r="858">
      <c r="A858" s="4" t="str">
        <f>IF('Base Oficial'!A858="","",TRIM('Base Oficial'!A858))</f>
        <v/>
      </c>
      <c r="B858" s="6" t="str">
        <f>IF($A858="","",TRIM('Base Oficial'!B858))</f>
        <v/>
      </c>
      <c r="C858" s="6" t="str">
        <f>IF($A858="","",TRIM('Base Oficial'!F858))</f>
        <v/>
      </c>
      <c r="D858" s="6" t="str">
        <f>IF($A858="","",TRIM('Base Oficial'!G858))</f>
        <v/>
      </c>
      <c r="E858" s="6" t="str">
        <f>IF($A858="","",TRIM('Base Oficial'!D858))</f>
        <v/>
      </c>
      <c r="F858" s="4" t="str">
        <f>IF($A858="","",IF(COUNTIF('Base Exámenes'!$C$5:$C$1000, A858)&gt;0, "Completado", IF(M858&lt;&gt;"", M858, "Pendiente")))</f>
        <v/>
      </c>
      <c r="G858" s="11" t="str">
        <f>IF(F858="Completado", IFERROR(IF(INDEX('Base Exámenes'!$D$5:$D$1000, MATCH(A858&amp;"|"&amp;J858, 'Base Exámenes'!$I$5:$I$1000, 0))="", "", INDEX('Base Exámenes'!$D$5:$D$1000, MATCH(A858&amp;"|"&amp;J858, 'Base Exámenes'!$I$5:$I$1000, 0))), ""), "")</f>
        <v/>
      </c>
      <c r="H858" s="11" t="str">
        <f>IF(F858="Completado", IFERROR(IF(INDEX('Base Exámenes'!$E$5:$E$1000, MATCH(A858&amp;"|"&amp;J858, 'Base Exámenes'!$I$5:$I$1000, 0))="", "", INDEX('Base Exámenes'!$E$5:$E$1000, MATCH(A858&amp;"|"&amp;J858, 'Base Exámenes'!$I$5:$I$1000, 0))), ""), "")</f>
        <v/>
      </c>
      <c r="I858" s="10" t="str">
        <f>IF(F858="Completado", IFERROR(IF(INDEX('Base Exámenes'!$F$5:$F$1000, MATCH(A858&amp;"|"&amp;J858, 'Base Exámenes'!$I$5:$I$1000, 0))="", "", INDEX('Base Exámenes'!$F$5:$F$1000, MATCH(A858&amp;"|"&amp;J858, 'Base Exámenes'!$I$5:$I$1000, 0))), ""), "")</f>
        <v/>
      </c>
      <c r="J858" s="6" t="str">
        <f>IF(F858="Completado", IF(COUNTIFS('Base Exámenes'!$C$5:$C$1000, A858, 'Base Exámenes'!$G$5:$G$1000, "&lt;&gt;")=0, "", _xlfn.MAXIFS('Base Exámenes'!$G$5:$G$1000, 'Base Exámenes'!$C$5:$C$1000, A858)), "")</f>
        <v/>
      </c>
      <c r="K858" s="6" t="str">
        <f>IF(F858="Completado", IFERROR(IF(INDEX('Base Exámenes'!$H$5:$H$1000, MATCH(A858&amp;"|"&amp;J858, 'Base Exámenes'!$I$5:$I$1000, 0))="", "", INDEX('Base Exámenes'!$H$5:$H$1000, MATCH(A858&amp;"|"&amp;J858, 'Base Exámenes'!$I$5:$I$1000, 0))), ""), "")</f>
        <v/>
      </c>
      <c r="L858" s="22" t="str">
        <f>IF($A858="","",COUNTIF('Base Exámenes'!$C$5:$C$1000, A858))</f>
        <v/>
      </c>
      <c r="M858" s="6" t="str">
        <f>IF($A858="","",IF(COUNTIF('Base Exámenes'!$C$5:$C$1000, A858)&gt;0, "", TRIM('Base Oficial'!H858)))</f>
        <v/>
      </c>
    </row>
    <row r="859">
      <c r="A859" s="4" t="str">
        <f>IF('Base Oficial'!A859="","",TRIM('Base Oficial'!A859))</f>
        <v/>
      </c>
      <c r="B859" s="6" t="str">
        <f>IF($A859="","",TRIM('Base Oficial'!B859))</f>
        <v/>
      </c>
      <c r="C859" s="6" t="str">
        <f>IF($A859="","",TRIM('Base Oficial'!F859))</f>
        <v/>
      </c>
      <c r="D859" s="6" t="str">
        <f>IF($A859="","",TRIM('Base Oficial'!G859))</f>
        <v/>
      </c>
      <c r="E859" s="6" t="str">
        <f>IF($A859="","",TRIM('Base Oficial'!D859))</f>
        <v/>
      </c>
      <c r="F859" s="4" t="str">
        <f>IF($A859="","",IF(COUNTIF('Base Exámenes'!$C$5:$C$1000, A859)&gt;0, "Completado", IF(M859&lt;&gt;"", M859, "Pendiente")))</f>
        <v/>
      </c>
      <c r="G859" s="11" t="str">
        <f>IF(F859="Completado", IFERROR(IF(INDEX('Base Exámenes'!$D$5:$D$1000, MATCH(A859&amp;"|"&amp;J859, 'Base Exámenes'!$I$5:$I$1000, 0))="", "", INDEX('Base Exámenes'!$D$5:$D$1000, MATCH(A859&amp;"|"&amp;J859, 'Base Exámenes'!$I$5:$I$1000, 0))), ""), "")</f>
        <v/>
      </c>
      <c r="H859" s="11" t="str">
        <f>IF(F859="Completado", IFERROR(IF(INDEX('Base Exámenes'!$E$5:$E$1000, MATCH(A859&amp;"|"&amp;J859, 'Base Exámenes'!$I$5:$I$1000, 0))="", "", INDEX('Base Exámenes'!$E$5:$E$1000, MATCH(A859&amp;"|"&amp;J859, 'Base Exámenes'!$I$5:$I$1000, 0))), ""), "")</f>
        <v/>
      </c>
      <c r="I859" s="10" t="str">
        <f>IF(F859="Completado", IFERROR(IF(INDEX('Base Exámenes'!$F$5:$F$1000, MATCH(A859&amp;"|"&amp;J859, 'Base Exámenes'!$I$5:$I$1000, 0))="", "", INDEX('Base Exámenes'!$F$5:$F$1000, MATCH(A859&amp;"|"&amp;J859, 'Base Exámenes'!$I$5:$I$1000, 0))), ""), "")</f>
        <v/>
      </c>
      <c r="J859" s="6" t="str">
        <f>IF(F859="Completado", IF(COUNTIFS('Base Exámenes'!$C$5:$C$1000, A859, 'Base Exámenes'!$G$5:$G$1000, "&lt;&gt;")=0, "", _xlfn.MAXIFS('Base Exámenes'!$G$5:$G$1000, 'Base Exámenes'!$C$5:$C$1000, A859)), "")</f>
        <v/>
      </c>
      <c r="K859" s="6" t="str">
        <f>IF(F859="Completado", IFERROR(IF(INDEX('Base Exámenes'!$H$5:$H$1000, MATCH(A859&amp;"|"&amp;J859, 'Base Exámenes'!$I$5:$I$1000, 0))="", "", INDEX('Base Exámenes'!$H$5:$H$1000, MATCH(A859&amp;"|"&amp;J859, 'Base Exámenes'!$I$5:$I$1000, 0))), ""), "")</f>
        <v/>
      </c>
      <c r="L859" s="22" t="str">
        <f>IF($A859="","",COUNTIF('Base Exámenes'!$C$5:$C$1000, A859))</f>
        <v/>
      </c>
      <c r="M859" s="6" t="str">
        <f>IF($A859="","",IF(COUNTIF('Base Exámenes'!$C$5:$C$1000, A859)&gt;0, "", TRIM('Base Oficial'!H859)))</f>
        <v/>
      </c>
    </row>
    <row r="860">
      <c r="A860" s="4" t="str">
        <f>IF('Base Oficial'!A860="","",TRIM('Base Oficial'!A860))</f>
        <v/>
      </c>
      <c r="B860" s="6" t="str">
        <f>IF($A860="","",TRIM('Base Oficial'!B860))</f>
        <v/>
      </c>
      <c r="C860" s="6" t="str">
        <f>IF($A860="","",TRIM('Base Oficial'!F860))</f>
        <v/>
      </c>
      <c r="D860" s="6" t="str">
        <f>IF($A860="","",TRIM('Base Oficial'!G860))</f>
        <v/>
      </c>
      <c r="E860" s="6" t="str">
        <f>IF($A860="","",TRIM('Base Oficial'!D860))</f>
        <v/>
      </c>
      <c r="F860" s="4" t="str">
        <f>IF($A860="","",IF(COUNTIF('Base Exámenes'!$C$5:$C$1000, A860)&gt;0, "Completado", IF(M860&lt;&gt;"", M860, "Pendiente")))</f>
        <v/>
      </c>
      <c r="G860" s="11" t="str">
        <f>IF(F860="Completado", IFERROR(IF(INDEX('Base Exámenes'!$D$5:$D$1000, MATCH(A860&amp;"|"&amp;J860, 'Base Exámenes'!$I$5:$I$1000, 0))="", "", INDEX('Base Exámenes'!$D$5:$D$1000, MATCH(A860&amp;"|"&amp;J860, 'Base Exámenes'!$I$5:$I$1000, 0))), ""), "")</f>
        <v/>
      </c>
      <c r="H860" s="11" t="str">
        <f>IF(F860="Completado", IFERROR(IF(INDEX('Base Exámenes'!$E$5:$E$1000, MATCH(A860&amp;"|"&amp;J860, 'Base Exámenes'!$I$5:$I$1000, 0))="", "", INDEX('Base Exámenes'!$E$5:$E$1000, MATCH(A860&amp;"|"&amp;J860, 'Base Exámenes'!$I$5:$I$1000, 0))), ""), "")</f>
        <v/>
      </c>
      <c r="I860" s="10" t="str">
        <f>IF(F860="Completado", IFERROR(IF(INDEX('Base Exámenes'!$F$5:$F$1000, MATCH(A860&amp;"|"&amp;J860, 'Base Exámenes'!$I$5:$I$1000, 0))="", "", INDEX('Base Exámenes'!$F$5:$F$1000, MATCH(A860&amp;"|"&amp;J860, 'Base Exámenes'!$I$5:$I$1000, 0))), ""), "")</f>
        <v/>
      </c>
      <c r="J860" s="6" t="str">
        <f>IF(F860="Completado", IF(COUNTIFS('Base Exámenes'!$C$5:$C$1000, A860, 'Base Exámenes'!$G$5:$G$1000, "&lt;&gt;")=0, "", _xlfn.MAXIFS('Base Exámenes'!$G$5:$G$1000, 'Base Exámenes'!$C$5:$C$1000, A860)), "")</f>
        <v/>
      </c>
      <c r="K860" s="6" t="str">
        <f>IF(F860="Completado", IFERROR(IF(INDEX('Base Exámenes'!$H$5:$H$1000, MATCH(A860&amp;"|"&amp;J860, 'Base Exámenes'!$I$5:$I$1000, 0))="", "", INDEX('Base Exámenes'!$H$5:$H$1000, MATCH(A860&amp;"|"&amp;J860, 'Base Exámenes'!$I$5:$I$1000, 0))), ""), "")</f>
        <v/>
      </c>
      <c r="L860" s="22" t="str">
        <f>IF($A860="","",COUNTIF('Base Exámenes'!$C$5:$C$1000, A860))</f>
        <v/>
      </c>
      <c r="M860" s="6" t="str">
        <f>IF($A860="","",IF(COUNTIF('Base Exámenes'!$C$5:$C$1000, A860)&gt;0, "", TRIM('Base Oficial'!H860)))</f>
        <v/>
      </c>
    </row>
    <row r="861">
      <c r="A861" s="4" t="str">
        <f>IF('Base Oficial'!A861="","",TRIM('Base Oficial'!A861))</f>
        <v/>
      </c>
      <c r="B861" s="6" t="str">
        <f>IF($A861="","",TRIM('Base Oficial'!B861))</f>
        <v/>
      </c>
      <c r="C861" s="6" t="str">
        <f>IF($A861="","",TRIM('Base Oficial'!F861))</f>
        <v/>
      </c>
      <c r="D861" s="6" t="str">
        <f>IF($A861="","",TRIM('Base Oficial'!G861))</f>
        <v/>
      </c>
      <c r="E861" s="6" t="str">
        <f>IF($A861="","",TRIM('Base Oficial'!D861))</f>
        <v/>
      </c>
      <c r="F861" s="4" t="str">
        <f>IF($A861="","",IF(COUNTIF('Base Exámenes'!$C$5:$C$1000, A861)&gt;0, "Completado", IF(M861&lt;&gt;"", M861, "Pendiente")))</f>
        <v/>
      </c>
      <c r="G861" s="11" t="str">
        <f>IF(F861="Completado", IFERROR(IF(INDEX('Base Exámenes'!$D$5:$D$1000, MATCH(A861&amp;"|"&amp;J861, 'Base Exámenes'!$I$5:$I$1000, 0))="", "", INDEX('Base Exámenes'!$D$5:$D$1000, MATCH(A861&amp;"|"&amp;J861, 'Base Exámenes'!$I$5:$I$1000, 0))), ""), "")</f>
        <v/>
      </c>
      <c r="H861" s="11" t="str">
        <f>IF(F861="Completado", IFERROR(IF(INDEX('Base Exámenes'!$E$5:$E$1000, MATCH(A861&amp;"|"&amp;J861, 'Base Exámenes'!$I$5:$I$1000, 0))="", "", INDEX('Base Exámenes'!$E$5:$E$1000, MATCH(A861&amp;"|"&amp;J861, 'Base Exámenes'!$I$5:$I$1000, 0))), ""), "")</f>
        <v/>
      </c>
      <c r="I861" s="10" t="str">
        <f>IF(F861="Completado", IFERROR(IF(INDEX('Base Exámenes'!$F$5:$F$1000, MATCH(A861&amp;"|"&amp;J861, 'Base Exámenes'!$I$5:$I$1000, 0))="", "", INDEX('Base Exámenes'!$F$5:$F$1000, MATCH(A861&amp;"|"&amp;J861, 'Base Exámenes'!$I$5:$I$1000, 0))), ""), "")</f>
        <v/>
      </c>
      <c r="J861" s="6" t="str">
        <f>IF(F861="Completado", IF(COUNTIFS('Base Exámenes'!$C$5:$C$1000, A861, 'Base Exámenes'!$G$5:$G$1000, "&lt;&gt;")=0, "", _xlfn.MAXIFS('Base Exámenes'!$G$5:$G$1000, 'Base Exámenes'!$C$5:$C$1000, A861)), "")</f>
        <v/>
      </c>
      <c r="K861" s="6" t="str">
        <f>IF(F861="Completado", IFERROR(IF(INDEX('Base Exámenes'!$H$5:$H$1000, MATCH(A861&amp;"|"&amp;J861, 'Base Exámenes'!$I$5:$I$1000, 0))="", "", INDEX('Base Exámenes'!$H$5:$H$1000, MATCH(A861&amp;"|"&amp;J861, 'Base Exámenes'!$I$5:$I$1000, 0))), ""), "")</f>
        <v/>
      </c>
      <c r="L861" s="22" t="str">
        <f>IF($A861="","",COUNTIF('Base Exámenes'!$C$5:$C$1000, A861))</f>
        <v/>
      </c>
      <c r="M861" s="6" t="str">
        <f>IF($A861="","",IF(COUNTIF('Base Exámenes'!$C$5:$C$1000, A861)&gt;0, "", TRIM('Base Oficial'!H861)))</f>
        <v/>
      </c>
    </row>
    <row r="862">
      <c r="A862" s="4" t="str">
        <f>IF('Base Oficial'!A862="","",TRIM('Base Oficial'!A862))</f>
        <v/>
      </c>
      <c r="B862" s="6" t="str">
        <f>IF($A862="","",TRIM('Base Oficial'!B862))</f>
        <v/>
      </c>
      <c r="C862" s="6" t="str">
        <f>IF($A862="","",TRIM('Base Oficial'!F862))</f>
        <v/>
      </c>
      <c r="D862" s="6" t="str">
        <f>IF($A862="","",TRIM('Base Oficial'!G862))</f>
        <v/>
      </c>
      <c r="E862" s="6" t="str">
        <f>IF($A862="","",TRIM('Base Oficial'!D862))</f>
        <v/>
      </c>
      <c r="F862" s="4" t="str">
        <f>IF($A862="","",IF(COUNTIF('Base Exámenes'!$C$5:$C$1000, A862)&gt;0, "Completado", IF(M862&lt;&gt;"", M862, "Pendiente")))</f>
        <v/>
      </c>
      <c r="G862" s="11" t="str">
        <f>IF(F862="Completado", IFERROR(IF(INDEX('Base Exámenes'!$D$5:$D$1000, MATCH(A862&amp;"|"&amp;J862, 'Base Exámenes'!$I$5:$I$1000, 0))="", "", INDEX('Base Exámenes'!$D$5:$D$1000, MATCH(A862&amp;"|"&amp;J862, 'Base Exámenes'!$I$5:$I$1000, 0))), ""), "")</f>
        <v/>
      </c>
      <c r="H862" s="11" t="str">
        <f>IF(F862="Completado", IFERROR(IF(INDEX('Base Exámenes'!$E$5:$E$1000, MATCH(A862&amp;"|"&amp;J862, 'Base Exámenes'!$I$5:$I$1000, 0))="", "", INDEX('Base Exámenes'!$E$5:$E$1000, MATCH(A862&amp;"|"&amp;J862, 'Base Exámenes'!$I$5:$I$1000, 0))), ""), "")</f>
        <v/>
      </c>
      <c r="I862" s="10" t="str">
        <f>IF(F862="Completado", IFERROR(IF(INDEX('Base Exámenes'!$F$5:$F$1000, MATCH(A862&amp;"|"&amp;J862, 'Base Exámenes'!$I$5:$I$1000, 0))="", "", INDEX('Base Exámenes'!$F$5:$F$1000, MATCH(A862&amp;"|"&amp;J862, 'Base Exámenes'!$I$5:$I$1000, 0))), ""), "")</f>
        <v/>
      </c>
      <c r="J862" s="6" t="str">
        <f>IF(F862="Completado", IF(COUNTIFS('Base Exámenes'!$C$5:$C$1000, A862, 'Base Exámenes'!$G$5:$G$1000, "&lt;&gt;")=0, "", _xlfn.MAXIFS('Base Exámenes'!$G$5:$G$1000, 'Base Exámenes'!$C$5:$C$1000, A862)), "")</f>
        <v/>
      </c>
      <c r="K862" s="6" t="str">
        <f>IF(F862="Completado", IFERROR(IF(INDEX('Base Exámenes'!$H$5:$H$1000, MATCH(A862&amp;"|"&amp;J862, 'Base Exámenes'!$I$5:$I$1000, 0))="", "", INDEX('Base Exámenes'!$H$5:$H$1000, MATCH(A862&amp;"|"&amp;J862, 'Base Exámenes'!$I$5:$I$1000, 0))), ""), "")</f>
        <v/>
      </c>
      <c r="L862" s="22" t="str">
        <f>IF($A862="","",COUNTIF('Base Exámenes'!$C$5:$C$1000, A862))</f>
        <v/>
      </c>
      <c r="M862" s="6" t="str">
        <f>IF($A862="","",IF(COUNTIF('Base Exámenes'!$C$5:$C$1000, A862)&gt;0, "", TRIM('Base Oficial'!H862)))</f>
        <v/>
      </c>
    </row>
    <row r="863">
      <c r="A863" s="4" t="str">
        <f>IF('Base Oficial'!A863="","",TRIM('Base Oficial'!A863))</f>
        <v/>
      </c>
      <c r="B863" s="6" t="str">
        <f>IF($A863="","",TRIM('Base Oficial'!B863))</f>
        <v/>
      </c>
      <c r="C863" s="6" t="str">
        <f>IF($A863="","",TRIM('Base Oficial'!F863))</f>
        <v/>
      </c>
      <c r="D863" s="6" t="str">
        <f>IF($A863="","",TRIM('Base Oficial'!G863))</f>
        <v/>
      </c>
      <c r="E863" s="6" t="str">
        <f>IF($A863="","",TRIM('Base Oficial'!D863))</f>
        <v/>
      </c>
      <c r="F863" s="4" t="str">
        <f>IF($A863="","",IF(COUNTIF('Base Exámenes'!$C$5:$C$1000, A863)&gt;0, "Completado", IF(M863&lt;&gt;"", M863, "Pendiente")))</f>
        <v/>
      </c>
      <c r="G863" s="11" t="str">
        <f>IF(F863="Completado", IFERROR(IF(INDEX('Base Exámenes'!$D$5:$D$1000, MATCH(A863&amp;"|"&amp;J863, 'Base Exámenes'!$I$5:$I$1000, 0))="", "", INDEX('Base Exámenes'!$D$5:$D$1000, MATCH(A863&amp;"|"&amp;J863, 'Base Exámenes'!$I$5:$I$1000, 0))), ""), "")</f>
        <v/>
      </c>
      <c r="H863" s="11" t="str">
        <f>IF(F863="Completado", IFERROR(IF(INDEX('Base Exámenes'!$E$5:$E$1000, MATCH(A863&amp;"|"&amp;J863, 'Base Exámenes'!$I$5:$I$1000, 0))="", "", INDEX('Base Exámenes'!$E$5:$E$1000, MATCH(A863&amp;"|"&amp;J863, 'Base Exámenes'!$I$5:$I$1000, 0))), ""), "")</f>
        <v/>
      </c>
      <c r="I863" s="10" t="str">
        <f>IF(F863="Completado", IFERROR(IF(INDEX('Base Exámenes'!$F$5:$F$1000, MATCH(A863&amp;"|"&amp;J863, 'Base Exámenes'!$I$5:$I$1000, 0))="", "", INDEX('Base Exámenes'!$F$5:$F$1000, MATCH(A863&amp;"|"&amp;J863, 'Base Exámenes'!$I$5:$I$1000, 0))), ""), "")</f>
        <v/>
      </c>
      <c r="J863" s="6" t="str">
        <f>IF(F863="Completado", IF(COUNTIFS('Base Exámenes'!$C$5:$C$1000, A863, 'Base Exámenes'!$G$5:$G$1000, "&lt;&gt;")=0, "", _xlfn.MAXIFS('Base Exámenes'!$G$5:$G$1000, 'Base Exámenes'!$C$5:$C$1000, A863)), "")</f>
        <v/>
      </c>
      <c r="K863" s="6" t="str">
        <f>IF(F863="Completado", IFERROR(IF(INDEX('Base Exámenes'!$H$5:$H$1000, MATCH(A863&amp;"|"&amp;J863, 'Base Exámenes'!$I$5:$I$1000, 0))="", "", INDEX('Base Exámenes'!$H$5:$H$1000, MATCH(A863&amp;"|"&amp;J863, 'Base Exámenes'!$I$5:$I$1000, 0))), ""), "")</f>
        <v/>
      </c>
      <c r="L863" s="22" t="str">
        <f>IF($A863="","",COUNTIF('Base Exámenes'!$C$5:$C$1000, A863))</f>
        <v/>
      </c>
      <c r="M863" s="6" t="str">
        <f>IF($A863="","",IF(COUNTIF('Base Exámenes'!$C$5:$C$1000, A863)&gt;0, "", TRIM('Base Oficial'!H863)))</f>
        <v/>
      </c>
    </row>
    <row r="864">
      <c r="A864" s="4" t="str">
        <f>IF('Base Oficial'!A864="","",TRIM('Base Oficial'!A864))</f>
        <v/>
      </c>
      <c r="B864" s="6" t="str">
        <f>IF($A864="","",TRIM('Base Oficial'!B864))</f>
        <v/>
      </c>
      <c r="C864" s="6" t="str">
        <f>IF($A864="","",TRIM('Base Oficial'!F864))</f>
        <v/>
      </c>
      <c r="D864" s="6" t="str">
        <f>IF($A864="","",TRIM('Base Oficial'!G864))</f>
        <v/>
      </c>
      <c r="E864" s="6" t="str">
        <f>IF($A864="","",TRIM('Base Oficial'!D864))</f>
        <v/>
      </c>
      <c r="F864" s="4" t="str">
        <f>IF($A864="","",IF(COUNTIF('Base Exámenes'!$C$5:$C$1000, A864)&gt;0, "Completado", IF(M864&lt;&gt;"", M864, "Pendiente")))</f>
        <v/>
      </c>
      <c r="G864" s="11" t="str">
        <f>IF(F864="Completado", IFERROR(IF(INDEX('Base Exámenes'!$D$5:$D$1000, MATCH(A864&amp;"|"&amp;J864, 'Base Exámenes'!$I$5:$I$1000, 0))="", "", INDEX('Base Exámenes'!$D$5:$D$1000, MATCH(A864&amp;"|"&amp;J864, 'Base Exámenes'!$I$5:$I$1000, 0))), ""), "")</f>
        <v/>
      </c>
      <c r="H864" s="11" t="str">
        <f>IF(F864="Completado", IFERROR(IF(INDEX('Base Exámenes'!$E$5:$E$1000, MATCH(A864&amp;"|"&amp;J864, 'Base Exámenes'!$I$5:$I$1000, 0))="", "", INDEX('Base Exámenes'!$E$5:$E$1000, MATCH(A864&amp;"|"&amp;J864, 'Base Exámenes'!$I$5:$I$1000, 0))), ""), "")</f>
        <v/>
      </c>
      <c r="I864" s="10" t="str">
        <f>IF(F864="Completado", IFERROR(IF(INDEX('Base Exámenes'!$F$5:$F$1000, MATCH(A864&amp;"|"&amp;J864, 'Base Exámenes'!$I$5:$I$1000, 0))="", "", INDEX('Base Exámenes'!$F$5:$F$1000, MATCH(A864&amp;"|"&amp;J864, 'Base Exámenes'!$I$5:$I$1000, 0))), ""), "")</f>
        <v/>
      </c>
      <c r="J864" s="6" t="str">
        <f>IF(F864="Completado", IF(COUNTIFS('Base Exámenes'!$C$5:$C$1000, A864, 'Base Exámenes'!$G$5:$G$1000, "&lt;&gt;")=0, "", _xlfn.MAXIFS('Base Exámenes'!$G$5:$G$1000, 'Base Exámenes'!$C$5:$C$1000, A864)), "")</f>
        <v/>
      </c>
      <c r="K864" s="6" t="str">
        <f>IF(F864="Completado", IFERROR(IF(INDEX('Base Exámenes'!$H$5:$H$1000, MATCH(A864&amp;"|"&amp;J864, 'Base Exámenes'!$I$5:$I$1000, 0))="", "", INDEX('Base Exámenes'!$H$5:$H$1000, MATCH(A864&amp;"|"&amp;J864, 'Base Exámenes'!$I$5:$I$1000, 0))), ""), "")</f>
        <v/>
      </c>
      <c r="L864" s="22" t="str">
        <f>IF($A864="","",COUNTIF('Base Exámenes'!$C$5:$C$1000, A864))</f>
        <v/>
      </c>
      <c r="M864" s="6" t="str">
        <f>IF($A864="","",IF(COUNTIF('Base Exámenes'!$C$5:$C$1000, A864)&gt;0, "", TRIM('Base Oficial'!H864)))</f>
        <v/>
      </c>
    </row>
    <row r="865">
      <c r="A865" s="4" t="str">
        <f>IF('Base Oficial'!A865="","",TRIM('Base Oficial'!A865))</f>
        <v/>
      </c>
      <c r="B865" s="6" t="str">
        <f>IF($A865="","",TRIM('Base Oficial'!B865))</f>
        <v/>
      </c>
      <c r="C865" s="6" t="str">
        <f>IF($A865="","",TRIM('Base Oficial'!F865))</f>
        <v/>
      </c>
      <c r="D865" s="6" t="str">
        <f>IF($A865="","",TRIM('Base Oficial'!G865))</f>
        <v/>
      </c>
      <c r="E865" s="6" t="str">
        <f>IF($A865="","",TRIM('Base Oficial'!D865))</f>
        <v/>
      </c>
      <c r="F865" s="4" t="str">
        <f>IF($A865="","",IF(COUNTIF('Base Exámenes'!$C$5:$C$1000, A865)&gt;0, "Completado", IF(M865&lt;&gt;"", M865, "Pendiente")))</f>
        <v/>
      </c>
      <c r="G865" s="11" t="str">
        <f>IF(F865="Completado", IFERROR(IF(INDEX('Base Exámenes'!$D$5:$D$1000, MATCH(A865&amp;"|"&amp;J865, 'Base Exámenes'!$I$5:$I$1000, 0))="", "", INDEX('Base Exámenes'!$D$5:$D$1000, MATCH(A865&amp;"|"&amp;J865, 'Base Exámenes'!$I$5:$I$1000, 0))), ""), "")</f>
        <v/>
      </c>
      <c r="H865" s="11" t="str">
        <f>IF(F865="Completado", IFERROR(IF(INDEX('Base Exámenes'!$E$5:$E$1000, MATCH(A865&amp;"|"&amp;J865, 'Base Exámenes'!$I$5:$I$1000, 0))="", "", INDEX('Base Exámenes'!$E$5:$E$1000, MATCH(A865&amp;"|"&amp;J865, 'Base Exámenes'!$I$5:$I$1000, 0))), ""), "")</f>
        <v/>
      </c>
      <c r="I865" s="10" t="str">
        <f>IF(F865="Completado", IFERROR(IF(INDEX('Base Exámenes'!$F$5:$F$1000, MATCH(A865&amp;"|"&amp;J865, 'Base Exámenes'!$I$5:$I$1000, 0))="", "", INDEX('Base Exámenes'!$F$5:$F$1000, MATCH(A865&amp;"|"&amp;J865, 'Base Exámenes'!$I$5:$I$1000, 0))), ""), "")</f>
        <v/>
      </c>
      <c r="J865" s="6" t="str">
        <f>IF(F865="Completado", IF(COUNTIFS('Base Exámenes'!$C$5:$C$1000, A865, 'Base Exámenes'!$G$5:$G$1000, "&lt;&gt;")=0, "", _xlfn.MAXIFS('Base Exámenes'!$G$5:$G$1000, 'Base Exámenes'!$C$5:$C$1000, A865)), "")</f>
        <v/>
      </c>
      <c r="K865" s="6" t="str">
        <f>IF(F865="Completado", IFERROR(IF(INDEX('Base Exámenes'!$H$5:$H$1000, MATCH(A865&amp;"|"&amp;J865, 'Base Exámenes'!$I$5:$I$1000, 0))="", "", INDEX('Base Exámenes'!$H$5:$H$1000, MATCH(A865&amp;"|"&amp;J865, 'Base Exámenes'!$I$5:$I$1000, 0))), ""), "")</f>
        <v/>
      </c>
      <c r="L865" s="22" t="str">
        <f>IF($A865="","",COUNTIF('Base Exámenes'!$C$5:$C$1000, A865))</f>
        <v/>
      </c>
      <c r="M865" s="6" t="str">
        <f>IF($A865="","",IF(COUNTIF('Base Exámenes'!$C$5:$C$1000, A865)&gt;0, "", TRIM('Base Oficial'!H865)))</f>
        <v/>
      </c>
    </row>
    <row r="866">
      <c r="A866" s="4" t="str">
        <f>IF('Base Oficial'!A866="","",TRIM('Base Oficial'!A866))</f>
        <v/>
      </c>
      <c r="B866" s="6" t="str">
        <f>IF($A866="","",TRIM('Base Oficial'!B866))</f>
        <v/>
      </c>
      <c r="C866" s="6" t="str">
        <f>IF($A866="","",TRIM('Base Oficial'!F866))</f>
        <v/>
      </c>
      <c r="D866" s="6" t="str">
        <f>IF($A866="","",TRIM('Base Oficial'!G866))</f>
        <v/>
      </c>
      <c r="E866" s="6" t="str">
        <f>IF($A866="","",TRIM('Base Oficial'!D866))</f>
        <v/>
      </c>
      <c r="F866" s="4" t="str">
        <f>IF($A866="","",IF(COUNTIF('Base Exámenes'!$C$5:$C$1000, A866)&gt;0, "Completado", IF(M866&lt;&gt;"", M866, "Pendiente")))</f>
        <v/>
      </c>
      <c r="G866" s="11" t="str">
        <f>IF(F866="Completado", IFERROR(IF(INDEX('Base Exámenes'!$D$5:$D$1000, MATCH(A866&amp;"|"&amp;J866, 'Base Exámenes'!$I$5:$I$1000, 0))="", "", INDEX('Base Exámenes'!$D$5:$D$1000, MATCH(A866&amp;"|"&amp;J866, 'Base Exámenes'!$I$5:$I$1000, 0))), ""), "")</f>
        <v/>
      </c>
      <c r="H866" s="11" t="str">
        <f>IF(F866="Completado", IFERROR(IF(INDEX('Base Exámenes'!$E$5:$E$1000, MATCH(A866&amp;"|"&amp;J866, 'Base Exámenes'!$I$5:$I$1000, 0))="", "", INDEX('Base Exámenes'!$E$5:$E$1000, MATCH(A866&amp;"|"&amp;J866, 'Base Exámenes'!$I$5:$I$1000, 0))), ""), "")</f>
        <v/>
      </c>
      <c r="I866" s="10" t="str">
        <f>IF(F866="Completado", IFERROR(IF(INDEX('Base Exámenes'!$F$5:$F$1000, MATCH(A866&amp;"|"&amp;J866, 'Base Exámenes'!$I$5:$I$1000, 0))="", "", INDEX('Base Exámenes'!$F$5:$F$1000, MATCH(A866&amp;"|"&amp;J866, 'Base Exámenes'!$I$5:$I$1000, 0))), ""), "")</f>
        <v/>
      </c>
      <c r="J866" s="6" t="str">
        <f>IF(F866="Completado", IF(COUNTIFS('Base Exámenes'!$C$5:$C$1000, A866, 'Base Exámenes'!$G$5:$G$1000, "&lt;&gt;")=0, "", _xlfn.MAXIFS('Base Exámenes'!$G$5:$G$1000, 'Base Exámenes'!$C$5:$C$1000, A866)), "")</f>
        <v/>
      </c>
      <c r="K866" s="6" t="str">
        <f>IF(F866="Completado", IFERROR(IF(INDEX('Base Exámenes'!$H$5:$H$1000, MATCH(A866&amp;"|"&amp;J866, 'Base Exámenes'!$I$5:$I$1000, 0))="", "", INDEX('Base Exámenes'!$H$5:$H$1000, MATCH(A866&amp;"|"&amp;J866, 'Base Exámenes'!$I$5:$I$1000, 0))), ""), "")</f>
        <v/>
      </c>
      <c r="L866" s="22" t="str">
        <f>IF($A866="","",COUNTIF('Base Exámenes'!$C$5:$C$1000, A866))</f>
        <v/>
      </c>
      <c r="M866" s="6" t="str">
        <f>IF($A866="","",IF(COUNTIF('Base Exámenes'!$C$5:$C$1000, A866)&gt;0, "", TRIM('Base Oficial'!H866)))</f>
        <v/>
      </c>
    </row>
    <row r="867">
      <c r="A867" s="4" t="str">
        <f>IF('Base Oficial'!A867="","",TRIM('Base Oficial'!A867))</f>
        <v/>
      </c>
      <c r="B867" s="6" t="str">
        <f>IF($A867="","",TRIM('Base Oficial'!B867))</f>
        <v/>
      </c>
      <c r="C867" s="6" t="str">
        <f>IF($A867="","",TRIM('Base Oficial'!F867))</f>
        <v/>
      </c>
      <c r="D867" s="6" t="str">
        <f>IF($A867="","",TRIM('Base Oficial'!G867))</f>
        <v/>
      </c>
      <c r="E867" s="6" t="str">
        <f>IF($A867="","",TRIM('Base Oficial'!D867))</f>
        <v/>
      </c>
      <c r="F867" s="4" t="str">
        <f>IF($A867="","",IF(COUNTIF('Base Exámenes'!$C$5:$C$1000, A867)&gt;0, "Completado", IF(M867&lt;&gt;"", M867, "Pendiente")))</f>
        <v/>
      </c>
      <c r="G867" s="11" t="str">
        <f>IF(F867="Completado", IFERROR(IF(INDEX('Base Exámenes'!$D$5:$D$1000, MATCH(A867&amp;"|"&amp;J867, 'Base Exámenes'!$I$5:$I$1000, 0))="", "", INDEX('Base Exámenes'!$D$5:$D$1000, MATCH(A867&amp;"|"&amp;J867, 'Base Exámenes'!$I$5:$I$1000, 0))), ""), "")</f>
        <v/>
      </c>
      <c r="H867" s="11" t="str">
        <f>IF(F867="Completado", IFERROR(IF(INDEX('Base Exámenes'!$E$5:$E$1000, MATCH(A867&amp;"|"&amp;J867, 'Base Exámenes'!$I$5:$I$1000, 0))="", "", INDEX('Base Exámenes'!$E$5:$E$1000, MATCH(A867&amp;"|"&amp;J867, 'Base Exámenes'!$I$5:$I$1000, 0))), ""), "")</f>
        <v/>
      </c>
      <c r="I867" s="10" t="str">
        <f>IF(F867="Completado", IFERROR(IF(INDEX('Base Exámenes'!$F$5:$F$1000, MATCH(A867&amp;"|"&amp;J867, 'Base Exámenes'!$I$5:$I$1000, 0))="", "", INDEX('Base Exámenes'!$F$5:$F$1000, MATCH(A867&amp;"|"&amp;J867, 'Base Exámenes'!$I$5:$I$1000, 0))), ""), "")</f>
        <v/>
      </c>
      <c r="J867" s="6" t="str">
        <f>IF(F867="Completado", IF(COUNTIFS('Base Exámenes'!$C$5:$C$1000, A867, 'Base Exámenes'!$G$5:$G$1000, "&lt;&gt;")=0, "", _xlfn.MAXIFS('Base Exámenes'!$G$5:$G$1000, 'Base Exámenes'!$C$5:$C$1000, A867)), "")</f>
        <v/>
      </c>
      <c r="K867" s="6" t="str">
        <f>IF(F867="Completado", IFERROR(IF(INDEX('Base Exámenes'!$H$5:$H$1000, MATCH(A867&amp;"|"&amp;J867, 'Base Exámenes'!$I$5:$I$1000, 0))="", "", INDEX('Base Exámenes'!$H$5:$H$1000, MATCH(A867&amp;"|"&amp;J867, 'Base Exámenes'!$I$5:$I$1000, 0))), ""), "")</f>
        <v/>
      </c>
      <c r="L867" s="22" t="str">
        <f>IF($A867="","",COUNTIF('Base Exámenes'!$C$5:$C$1000, A867))</f>
        <v/>
      </c>
      <c r="M867" s="6" t="str">
        <f>IF($A867="","",IF(COUNTIF('Base Exámenes'!$C$5:$C$1000, A867)&gt;0, "", TRIM('Base Oficial'!H867)))</f>
        <v/>
      </c>
    </row>
    <row r="868">
      <c r="A868" s="4" t="str">
        <f>IF('Base Oficial'!A868="","",TRIM('Base Oficial'!A868))</f>
        <v/>
      </c>
      <c r="B868" s="6" t="str">
        <f>IF($A868="","",TRIM('Base Oficial'!B868))</f>
        <v/>
      </c>
      <c r="C868" s="6" t="str">
        <f>IF($A868="","",TRIM('Base Oficial'!F868))</f>
        <v/>
      </c>
      <c r="D868" s="6" t="str">
        <f>IF($A868="","",TRIM('Base Oficial'!G868))</f>
        <v/>
      </c>
      <c r="E868" s="6" t="str">
        <f>IF($A868="","",TRIM('Base Oficial'!D868))</f>
        <v/>
      </c>
      <c r="F868" s="4" t="str">
        <f>IF($A868="","",IF(COUNTIF('Base Exámenes'!$C$5:$C$1000, A868)&gt;0, "Completado", IF(M868&lt;&gt;"", M868, "Pendiente")))</f>
        <v/>
      </c>
      <c r="G868" s="11" t="str">
        <f>IF(F868="Completado", IFERROR(IF(INDEX('Base Exámenes'!$D$5:$D$1000, MATCH(A868&amp;"|"&amp;J868, 'Base Exámenes'!$I$5:$I$1000, 0))="", "", INDEX('Base Exámenes'!$D$5:$D$1000, MATCH(A868&amp;"|"&amp;J868, 'Base Exámenes'!$I$5:$I$1000, 0))), ""), "")</f>
        <v/>
      </c>
      <c r="H868" s="11" t="str">
        <f>IF(F868="Completado", IFERROR(IF(INDEX('Base Exámenes'!$E$5:$E$1000, MATCH(A868&amp;"|"&amp;J868, 'Base Exámenes'!$I$5:$I$1000, 0))="", "", INDEX('Base Exámenes'!$E$5:$E$1000, MATCH(A868&amp;"|"&amp;J868, 'Base Exámenes'!$I$5:$I$1000, 0))), ""), "")</f>
        <v/>
      </c>
      <c r="I868" s="10" t="str">
        <f>IF(F868="Completado", IFERROR(IF(INDEX('Base Exámenes'!$F$5:$F$1000, MATCH(A868&amp;"|"&amp;J868, 'Base Exámenes'!$I$5:$I$1000, 0))="", "", INDEX('Base Exámenes'!$F$5:$F$1000, MATCH(A868&amp;"|"&amp;J868, 'Base Exámenes'!$I$5:$I$1000, 0))), ""), "")</f>
        <v/>
      </c>
      <c r="J868" s="6" t="str">
        <f>IF(F868="Completado", IF(COUNTIFS('Base Exámenes'!$C$5:$C$1000, A868, 'Base Exámenes'!$G$5:$G$1000, "&lt;&gt;")=0, "", _xlfn.MAXIFS('Base Exámenes'!$G$5:$G$1000, 'Base Exámenes'!$C$5:$C$1000, A868)), "")</f>
        <v/>
      </c>
      <c r="K868" s="6" t="str">
        <f>IF(F868="Completado", IFERROR(IF(INDEX('Base Exámenes'!$H$5:$H$1000, MATCH(A868&amp;"|"&amp;J868, 'Base Exámenes'!$I$5:$I$1000, 0))="", "", INDEX('Base Exámenes'!$H$5:$H$1000, MATCH(A868&amp;"|"&amp;J868, 'Base Exámenes'!$I$5:$I$1000, 0))), ""), "")</f>
        <v/>
      </c>
      <c r="L868" s="22" t="str">
        <f>IF($A868="","",COUNTIF('Base Exámenes'!$C$5:$C$1000, A868))</f>
        <v/>
      </c>
      <c r="M868" s="6" t="str">
        <f>IF($A868="","",IF(COUNTIF('Base Exámenes'!$C$5:$C$1000, A868)&gt;0, "", TRIM('Base Oficial'!H868)))</f>
        <v/>
      </c>
    </row>
    <row r="869">
      <c r="A869" s="4" t="str">
        <f>IF('Base Oficial'!A869="","",TRIM('Base Oficial'!A869))</f>
        <v/>
      </c>
      <c r="B869" s="6" t="str">
        <f>IF($A869="","",TRIM('Base Oficial'!B869))</f>
        <v/>
      </c>
      <c r="C869" s="6" t="str">
        <f>IF($A869="","",TRIM('Base Oficial'!F869))</f>
        <v/>
      </c>
      <c r="D869" s="6" t="str">
        <f>IF($A869="","",TRIM('Base Oficial'!G869))</f>
        <v/>
      </c>
      <c r="E869" s="6" t="str">
        <f>IF($A869="","",TRIM('Base Oficial'!D869))</f>
        <v/>
      </c>
      <c r="F869" s="4" t="str">
        <f>IF($A869="","",IF(COUNTIF('Base Exámenes'!$C$5:$C$1000, A869)&gt;0, "Completado", IF(M869&lt;&gt;"", M869, "Pendiente")))</f>
        <v/>
      </c>
      <c r="G869" s="11" t="str">
        <f>IF(F869="Completado", IFERROR(IF(INDEX('Base Exámenes'!$D$5:$D$1000, MATCH(A869&amp;"|"&amp;J869, 'Base Exámenes'!$I$5:$I$1000, 0))="", "", INDEX('Base Exámenes'!$D$5:$D$1000, MATCH(A869&amp;"|"&amp;J869, 'Base Exámenes'!$I$5:$I$1000, 0))), ""), "")</f>
        <v/>
      </c>
      <c r="H869" s="11" t="str">
        <f>IF(F869="Completado", IFERROR(IF(INDEX('Base Exámenes'!$E$5:$E$1000, MATCH(A869&amp;"|"&amp;J869, 'Base Exámenes'!$I$5:$I$1000, 0))="", "", INDEX('Base Exámenes'!$E$5:$E$1000, MATCH(A869&amp;"|"&amp;J869, 'Base Exámenes'!$I$5:$I$1000, 0))), ""), "")</f>
        <v/>
      </c>
      <c r="I869" s="10" t="str">
        <f>IF(F869="Completado", IFERROR(IF(INDEX('Base Exámenes'!$F$5:$F$1000, MATCH(A869&amp;"|"&amp;J869, 'Base Exámenes'!$I$5:$I$1000, 0))="", "", INDEX('Base Exámenes'!$F$5:$F$1000, MATCH(A869&amp;"|"&amp;J869, 'Base Exámenes'!$I$5:$I$1000, 0))), ""), "")</f>
        <v/>
      </c>
      <c r="J869" s="6" t="str">
        <f>IF(F869="Completado", IF(COUNTIFS('Base Exámenes'!$C$5:$C$1000, A869, 'Base Exámenes'!$G$5:$G$1000, "&lt;&gt;")=0, "", _xlfn.MAXIFS('Base Exámenes'!$G$5:$G$1000, 'Base Exámenes'!$C$5:$C$1000, A869)), "")</f>
        <v/>
      </c>
      <c r="K869" s="6" t="str">
        <f>IF(F869="Completado", IFERROR(IF(INDEX('Base Exámenes'!$H$5:$H$1000, MATCH(A869&amp;"|"&amp;J869, 'Base Exámenes'!$I$5:$I$1000, 0))="", "", INDEX('Base Exámenes'!$H$5:$H$1000, MATCH(A869&amp;"|"&amp;J869, 'Base Exámenes'!$I$5:$I$1000, 0))), ""), "")</f>
        <v/>
      </c>
      <c r="L869" s="22" t="str">
        <f>IF($A869="","",COUNTIF('Base Exámenes'!$C$5:$C$1000, A869))</f>
        <v/>
      </c>
      <c r="M869" s="6" t="str">
        <f>IF($A869="","",IF(COUNTIF('Base Exámenes'!$C$5:$C$1000, A869)&gt;0, "", TRIM('Base Oficial'!H869)))</f>
        <v/>
      </c>
    </row>
    <row r="870">
      <c r="A870" s="4" t="str">
        <f>IF('Base Oficial'!A870="","",TRIM('Base Oficial'!A870))</f>
        <v/>
      </c>
      <c r="B870" s="6" t="str">
        <f>IF($A870="","",TRIM('Base Oficial'!B870))</f>
        <v/>
      </c>
      <c r="C870" s="6" t="str">
        <f>IF($A870="","",TRIM('Base Oficial'!F870))</f>
        <v/>
      </c>
      <c r="D870" s="6" t="str">
        <f>IF($A870="","",TRIM('Base Oficial'!G870))</f>
        <v/>
      </c>
      <c r="E870" s="6" t="str">
        <f>IF($A870="","",TRIM('Base Oficial'!D870))</f>
        <v/>
      </c>
      <c r="F870" s="4" t="str">
        <f>IF($A870="","",IF(COUNTIF('Base Exámenes'!$C$5:$C$1000, A870)&gt;0, "Completado", IF(M870&lt;&gt;"", M870, "Pendiente")))</f>
        <v/>
      </c>
      <c r="G870" s="11" t="str">
        <f>IF(F870="Completado", IFERROR(IF(INDEX('Base Exámenes'!$D$5:$D$1000, MATCH(A870&amp;"|"&amp;J870, 'Base Exámenes'!$I$5:$I$1000, 0))="", "", INDEX('Base Exámenes'!$D$5:$D$1000, MATCH(A870&amp;"|"&amp;J870, 'Base Exámenes'!$I$5:$I$1000, 0))), ""), "")</f>
        <v/>
      </c>
      <c r="H870" s="11" t="str">
        <f>IF(F870="Completado", IFERROR(IF(INDEX('Base Exámenes'!$E$5:$E$1000, MATCH(A870&amp;"|"&amp;J870, 'Base Exámenes'!$I$5:$I$1000, 0))="", "", INDEX('Base Exámenes'!$E$5:$E$1000, MATCH(A870&amp;"|"&amp;J870, 'Base Exámenes'!$I$5:$I$1000, 0))), ""), "")</f>
        <v/>
      </c>
      <c r="I870" s="10" t="str">
        <f>IF(F870="Completado", IFERROR(IF(INDEX('Base Exámenes'!$F$5:$F$1000, MATCH(A870&amp;"|"&amp;J870, 'Base Exámenes'!$I$5:$I$1000, 0))="", "", INDEX('Base Exámenes'!$F$5:$F$1000, MATCH(A870&amp;"|"&amp;J870, 'Base Exámenes'!$I$5:$I$1000, 0))), ""), "")</f>
        <v/>
      </c>
      <c r="J870" s="6" t="str">
        <f>IF(F870="Completado", IF(COUNTIFS('Base Exámenes'!$C$5:$C$1000, A870, 'Base Exámenes'!$G$5:$G$1000, "&lt;&gt;")=0, "", _xlfn.MAXIFS('Base Exámenes'!$G$5:$G$1000, 'Base Exámenes'!$C$5:$C$1000, A870)), "")</f>
        <v/>
      </c>
      <c r="K870" s="6" t="str">
        <f>IF(F870="Completado", IFERROR(IF(INDEX('Base Exámenes'!$H$5:$H$1000, MATCH(A870&amp;"|"&amp;J870, 'Base Exámenes'!$I$5:$I$1000, 0))="", "", INDEX('Base Exámenes'!$H$5:$H$1000, MATCH(A870&amp;"|"&amp;J870, 'Base Exámenes'!$I$5:$I$1000, 0))), ""), "")</f>
        <v/>
      </c>
      <c r="L870" s="22" t="str">
        <f>IF($A870="","",COUNTIF('Base Exámenes'!$C$5:$C$1000, A870))</f>
        <v/>
      </c>
      <c r="M870" s="6" t="str">
        <f>IF($A870="","",IF(COUNTIF('Base Exámenes'!$C$5:$C$1000, A870)&gt;0, "", TRIM('Base Oficial'!H870)))</f>
        <v/>
      </c>
    </row>
    <row r="871">
      <c r="A871" s="4" t="str">
        <f>IF('Base Oficial'!A871="","",TRIM('Base Oficial'!A871))</f>
        <v/>
      </c>
      <c r="B871" s="6" t="str">
        <f>IF($A871="","",TRIM('Base Oficial'!B871))</f>
        <v/>
      </c>
      <c r="C871" s="6" t="str">
        <f>IF($A871="","",TRIM('Base Oficial'!F871))</f>
        <v/>
      </c>
      <c r="D871" s="6" t="str">
        <f>IF($A871="","",TRIM('Base Oficial'!G871))</f>
        <v/>
      </c>
      <c r="E871" s="6" t="str">
        <f>IF($A871="","",TRIM('Base Oficial'!D871))</f>
        <v/>
      </c>
      <c r="F871" s="4" t="str">
        <f>IF($A871="","",IF(COUNTIF('Base Exámenes'!$C$5:$C$1000, A871)&gt;0, "Completado", IF(M871&lt;&gt;"", M871, "Pendiente")))</f>
        <v/>
      </c>
      <c r="G871" s="11" t="str">
        <f>IF(F871="Completado", IFERROR(IF(INDEX('Base Exámenes'!$D$5:$D$1000, MATCH(A871&amp;"|"&amp;J871, 'Base Exámenes'!$I$5:$I$1000, 0))="", "", INDEX('Base Exámenes'!$D$5:$D$1000, MATCH(A871&amp;"|"&amp;J871, 'Base Exámenes'!$I$5:$I$1000, 0))), ""), "")</f>
        <v/>
      </c>
      <c r="H871" s="11" t="str">
        <f>IF(F871="Completado", IFERROR(IF(INDEX('Base Exámenes'!$E$5:$E$1000, MATCH(A871&amp;"|"&amp;J871, 'Base Exámenes'!$I$5:$I$1000, 0))="", "", INDEX('Base Exámenes'!$E$5:$E$1000, MATCH(A871&amp;"|"&amp;J871, 'Base Exámenes'!$I$5:$I$1000, 0))), ""), "")</f>
        <v/>
      </c>
      <c r="I871" s="10" t="str">
        <f>IF(F871="Completado", IFERROR(IF(INDEX('Base Exámenes'!$F$5:$F$1000, MATCH(A871&amp;"|"&amp;J871, 'Base Exámenes'!$I$5:$I$1000, 0))="", "", INDEX('Base Exámenes'!$F$5:$F$1000, MATCH(A871&amp;"|"&amp;J871, 'Base Exámenes'!$I$5:$I$1000, 0))), ""), "")</f>
        <v/>
      </c>
      <c r="J871" s="6" t="str">
        <f>IF(F871="Completado", IF(COUNTIFS('Base Exámenes'!$C$5:$C$1000, A871, 'Base Exámenes'!$G$5:$G$1000, "&lt;&gt;")=0, "", _xlfn.MAXIFS('Base Exámenes'!$G$5:$G$1000, 'Base Exámenes'!$C$5:$C$1000, A871)), "")</f>
        <v/>
      </c>
      <c r="K871" s="6" t="str">
        <f>IF(F871="Completado", IFERROR(IF(INDEX('Base Exámenes'!$H$5:$H$1000, MATCH(A871&amp;"|"&amp;J871, 'Base Exámenes'!$I$5:$I$1000, 0))="", "", INDEX('Base Exámenes'!$H$5:$H$1000, MATCH(A871&amp;"|"&amp;J871, 'Base Exámenes'!$I$5:$I$1000, 0))), ""), "")</f>
        <v/>
      </c>
      <c r="L871" s="22" t="str">
        <f>IF($A871="","",COUNTIF('Base Exámenes'!$C$5:$C$1000, A871))</f>
        <v/>
      </c>
      <c r="M871" s="6" t="str">
        <f>IF($A871="","",IF(COUNTIF('Base Exámenes'!$C$5:$C$1000, A871)&gt;0, "", TRIM('Base Oficial'!H871)))</f>
        <v/>
      </c>
    </row>
    <row r="872">
      <c r="A872" s="4" t="str">
        <f>IF('Base Oficial'!A872="","",TRIM('Base Oficial'!A872))</f>
        <v/>
      </c>
      <c r="B872" s="6" t="str">
        <f>IF($A872="","",TRIM('Base Oficial'!B872))</f>
        <v/>
      </c>
      <c r="C872" s="6" t="str">
        <f>IF($A872="","",TRIM('Base Oficial'!F872))</f>
        <v/>
      </c>
      <c r="D872" s="6" t="str">
        <f>IF($A872="","",TRIM('Base Oficial'!G872))</f>
        <v/>
      </c>
      <c r="E872" s="6" t="str">
        <f>IF($A872="","",TRIM('Base Oficial'!D872))</f>
        <v/>
      </c>
      <c r="F872" s="4" t="str">
        <f>IF($A872="","",IF(COUNTIF('Base Exámenes'!$C$5:$C$1000, A872)&gt;0, "Completado", IF(M872&lt;&gt;"", M872, "Pendiente")))</f>
        <v/>
      </c>
      <c r="G872" s="11" t="str">
        <f>IF(F872="Completado", IFERROR(IF(INDEX('Base Exámenes'!$D$5:$D$1000, MATCH(A872&amp;"|"&amp;J872, 'Base Exámenes'!$I$5:$I$1000, 0))="", "", INDEX('Base Exámenes'!$D$5:$D$1000, MATCH(A872&amp;"|"&amp;J872, 'Base Exámenes'!$I$5:$I$1000, 0))), ""), "")</f>
        <v/>
      </c>
      <c r="H872" s="11" t="str">
        <f>IF(F872="Completado", IFERROR(IF(INDEX('Base Exámenes'!$E$5:$E$1000, MATCH(A872&amp;"|"&amp;J872, 'Base Exámenes'!$I$5:$I$1000, 0))="", "", INDEX('Base Exámenes'!$E$5:$E$1000, MATCH(A872&amp;"|"&amp;J872, 'Base Exámenes'!$I$5:$I$1000, 0))), ""), "")</f>
        <v/>
      </c>
      <c r="I872" s="10" t="str">
        <f>IF(F872="Completado", IFERROR(IF(INDEX('Base Exámenes'!$F$5:$F$1000, MATCH(A872&amp;"|"&amp;J872, 'Base Exámenes'!$I$5:$I$1000, 0))="", "", INDEX('Base Exámenes'!$F$5:$F$1000, MATCH(A872&amp;"|"&amp;J872, 'Base Exámenes'!$I$5:$I$1000, 0))), ""), "")</f>
        <v/>
      </c>
      <c r="J872" s="6" t="str">
        <f>IF(F872="Completado", IF(COUNTIFS('Base Exámenes'!$C$5:$C$1000, A872, 'Base Exámenes'!$G$5:$G$1000, "&lt;&gt;")=0, "", _xlfn.MAXIFS('Base Exámenes'!$G$5:$G$1000, 'Base Exámenes'!$C$5:$C$1000, A872)), "")</f>
        <v/>
      </c>
      <c r="K872" s="6" t="str">
        <f>IF(F872="Completado", IFERROR(IF(INDEX('Base Exámenes'!$H$5:$H$1000, MATCH(A872&amp;"|"&amp;J872, 'Base Exámenes'!$I$5:$I$1000, 0))="", "", INDEX('Base Exámenes'!$H$5:$H$1000, MATCH(A872&amp;"|"&amp;J872, 'Base Exámenes'!$I$5:$I$1000, 0))), ""), "")</f>
        <v/>
      </c>
      <c r="L872" s="22" t="str">
        <f>IF($A872="","",COUNTIF('Base Exámenes'!$C$5:$C$1000, A872))</f>
        <v/>
      </c>
      <c r="M872" s="6" t="str">
        <f>IF($A872="","",IF(COUNTIF('Base Exámenes'!$C$5:$C$1000, A872)&gt;0, "", TRIM('Base Oficial'!H872)))</f>
        <v/>
      </c>
    </row>
    <row r="873">
      <c r="A873" s="4" t="str">
        <f>IF('Base Oficial'!A873="","",TRIM('Base Oficial'!A873))</f>
        <v/>
      </c>
      <c r="B873" s="6" t="str">
        <f>IF($A873="","",TRIM('Base Oficial'!B873))</f>
        <v/>
      </c>
      <c r="C873" s="6" t="str">
        <f>IF($A873="","",TRIM('Base Oficial'!F873))</f>
        <v/>
      </c>
      <c r="D873" s="6" t="str">
        <f>IF($A873="","",TRIM('Base Oficial'!G873))</f>
        <v/>
      </c>
      <c r="E873" s="6" t="str">
        <f>IF($A873="","",TRIM('Base Oficial'!D873))</f>
        <v/>
      </c>
      <c r="F873" s="4" t="str">
        <f>IF($A873="","",IF(COUNTIF('Base Exámenes'!$C$5:$C$1000, A873)&gt;0, "Completado", IF(M873&lt;&gt;"", M873, "Pendiente")))</f>
        <v/>
      </c>
      <c r="G873" s="11" t="str">
        <f>IF(F873="Completado", IFERROR(IF(INDEX('Base Exámenes'!$D$5:$D$1000, MATCH(A873&amp;"|"&amp;J873, 'Base Exámenes'!$I$5:$I$1000, 0))="", "", INDEX('Base Exámenes'!$D$5:$D$1000, MATCH(A873&amp;"|"&amp;J873, 'Base Exámenes'!$I$5:$I$1000, 0))), ""), "")</f>
        <v/>
      </c>
      <c r="H873" s="11" t="str">
        <f>IF(F873="Completado", IFERROR(IF(INDEX('Base Exámenes'!$E$5:$E$1000, MATCH(A873&amp;"|"&amp;J873, 'Base Exámenes'!$I$5:$I$1000, 0))="", "", INDEX('Base Exámenes'!$E$5:$E$1000, MATCH(A873&amp;"|"&amp;J873, 'Base Exámenes'!$I$5:$I$1000, 0))), ""), "")</f>
        <v/>
      </c>
      <c r="I873" s="10" t="str">
        <f>IF(F873="Completado", IFERROR(IF(INDEX('Base Exámenes'!$F$5:$F$1000, MATCH(A873&amp;"|"&amp;J873, 'Base Exámenes'!$I$5:$I$1000, 0))="", "", INDEX('Base Exámenes'!$F$5:$F$1000, MATCH(A873&amp;"|"&amp;J873, 'Base Exámenes'!$I$5:$I$1000, 0))), ""), "")</f>
        <v/>
      </c>
      <c r="J873" s="6" t="str">
        <f>IF(F873="Completado", IF(COUNTIFS('Base Exámenes'!$C$5:$C$1000, A873, 'Base Exámenes'!$G$5:$G$1000, "&lt;&gt;")=0, "", _xlfn.MAXIFS('Base Exámenes'!$G$5:$G$1000, 'Base Exámenes'!$C$5:$C$1000, A873)), "")</f>
        <v/>
      </c>
      <c r="K873" s="6" t="str">
        <f>IF(F873="Completado", IFERROR(IF(INDEX('Base Exámenes'!$H$5:$H$1000, MATCH(A873&amp;"|"&amp;J873, 'Base Exámenes'!$I$5:$I$1000, 0))="", "", INDEX('Base Exámenes'!$H$5:$H$1000, MATCH(A873&amp;"|"&amp;J873, 'Base Exámenes'!$I$5:$I$1000, 0))), ""), "")</f>
        <v/>
      </c>
      <c r="L873" s="22" t="str">
        <f>IF($A873="","",COUNTIF('Base Exámenes'!$C$5:$C$1000, A873))</f>
        <v/>
      </c>
      <c r="M873" s="6" t="str">
        <f>IF($A873="","",IF(COUNTIF('Base Exámenes'!$C$5:$C$1000, A873)&gt;0, "", TRIM('Base Oficial'!H873)))</f>
        <v/>
      </c>
    </row>
    <row r="874">
      <c r="A874" s="4" t="str">
        <f>IF('Base Oficial'!A874="","",TRIM('Base Oficial'!A874))</f>
        <v/>
      </c>
      <c r="B874" s="6" t="str">
        <f>IF($A874="","",TRIM('Base Oficial'!B874))</f>
        <v/>
      </c>
      <c r="C874" s="6" t="str">
        <f>IF($A874="","",TRIM('Base Oficial'!F874))</f>
        <v/>
      </c>
      <c r="D874" s="6" t="str">
        <f>IF($A874="","",TRIM('Base Oficial'!G874))</f>
        <v/>
      </c>
      <c r="E874" s="6" t="str">
        <f>IF($A874="","",TRIM('Base Oficial'!D874))</f>
        <v/>
      </c>
      <c r="F874" s="4" t="str">
        <f>IF($A874="","",IF(COUNTIF('Base Exámenes'!$C$5:$C$1000, A874)&gt;0, "Completado", IF(M874&lt;&gt;"", M874, "Pendiente")))</f>
        <v/>
      </c>
      <c r="G874" s="11" t="str">
        <f>IF(F874="Completado", IFERROR(IF(INDEX('Base Exámenes'!$D$5:$D$1000, MATCH(A874&amp;"|"&amp;J874, 'Base Exámenes'!$I$5:$I$1000, 0))="", "", INDEX('Base Exámenes'!$D$5:$D$1000, MATCH(A874&amp;"|"&amp;J874, 'Base Exámenes'!$I$5:$I$1000, 0))), ""), "")</f>
        <v/>
      </c>
      <c r="H874" s="11" t="str">
        <f>IF(F874="Completado", IFERROR(IF(INDEX('Base Exámenes'!$E$5:$E$1000, MATCH(A874&amp;"|"&amp;J874, 'Base Exámenes'!$I$5:$I$1000, 0))="", "", INDEX('Base Exámenes'!$E$5:$E$1000, MATCH(A874&amp;"|"&amp;J874, 'Base Exámenes'!$I$5:$I$1000, 0))), ""), "")</f>
        <v/>
      </c>
      <c r="I874" s="10" t="str">
        <f>IF(F874="Completado", IFERROR(IF(INDEX('Base Exámenes'!$F$5:$F$1000, MATCH(A874&amp;"|"&amp;J874, 'Base Exámenes'!$I$5:$I$1000, 0))="", "", INDEX('Base Exámenes'!$F$5:$F$1000, MATCH(A874&amp;"|"&amp;J874, 'Base Exámenes'!$I$5:$I$1000, 0))), ""), "")</f>
        <v/>
      </c>
      <c r="J874" s="6" t="str">
        <f>IF(F874="Completado", IF(COUNTIFS('Base Exámenes'!$C$5:$C$1000, A874, 'Base Exámenes'!$G$5:$G$1000, "&lt;&gt;")=0, "", _xlfn.MAXIFS('Base Exámenes'!$G$5:$G$1000, 'Base Exámenes'!$C$5:$C$1000, A874)), "")</f>
        <v/>
      </c>
      <c r="K874" s="6" t="str">
        <f>IF(F874="Completado", IFERROR(IF(INDEX('Base Exámenes'!$H$5:$H$1000, MATCH(A874&amp;"|"&amp;J874, 'Base Exámenes'!$I$5:$I$1000, 0))="", "", INDEX('Base Exámenes'!$H$5:$H$1000, MATCH(A874&amp;"|"&amp;J874, 'Base Exámenes'!$I$5:$I$1000, 0))), ""), "")</f>
        <v/>
      </c>
      <c r="L874" s="22" t="str">
        <f>IF($A874="","",COUNTIF('Base Exámenes'!$C$5:$C$1000, A874))</f>
        <v/>
      </c>
      <c r="M874" s="6" t="str">
        <f>IF($A874="","",IF(COUNTIF('Base Exámenes'!$C$5:$C$1000, A874)&gt;0, "", TRIM('Base Oficial'!H874)))</f>
        <v/>
      </c>
    </row>
    <row r="875">
      <c r="A875" s="4" t="str">
        <f>IF('Base Oficial'!A875="","",TRIM('Base Oficial'!A875))</f>
        <v/>
      </c>
      <c r="B875" s="6" t="str">
        <f>IF($A875="","",TRIM('Base Oficial'!B875))</f>
        <v/>
      </c>
      <c r="C875" s="6" t="str">
        <f>IF($A875="","",TRIM('Base Oficial'!F875))</f>
        <v/>
      </c>
      <c r="D875" s="6" t="str">
        <f>IF($A875="","",TRIM('Base Oficial'!G875))</f>
        <v/>
      </c>
      <c r="E875" s="6" t="str">
        <f>IF($A875="","",TRIM('Base Oficial'!D875))</f>
        <v/>
      </c>
      <c r="F875" s="4" t="str">
        <f>IF($A875="","",IF(COUNTIF('Base Exámenes'!$C$5:$C$1000, A875)&gt;0, "Completado", IF(M875&lt;&gt;"", M875, "Pendiente")))</f>
        <v/>
      </c>
      <c r="G875" s="11" t="str">
        <f>IF(F875="Completado", IFERROR(IF(INDEX('Base Exámenes'!$D$5:$D$1000, MATCH(A875&amp;"|"&amp;J875, 'Base Exámenes'!$I$5:$I$1000, 0))="", "", INDEX('Base Exámenes'!$D$5:$D$1000, MATCH(A875&amp;"|"&amp;J875, 'Base Exámenes'!$I$5:$I$1000, 0))), ""), "")</f>
        <v/>
      </c>
      <c r="H875" s="11" t="str">
        <f>IF(F875="Completado", IFERROR(IF(INDEX('Base Exámenes'!$E$5:$E$1000, MATCH(A875&amp;"|"&amp;J875, 'Base Exámenes'!$I$5:$I$1000, 0))="", "", INDEX('Base Exámenes'!$E$5:$E$1000, MATCH(A875&amp;"|"&amp;J875, 'Base Exámenes'!$I$5:$I$1000, 0))), ""), "")</f>
        <v/>
      </c>
      <c r="I875" s="10" t="str">
        <f>IF(F875="Completado", IFERROR(IF(INDEX('Base Exámenes'!$F$5:$F$1000, MATCH(A875&amp;"|"&amp;J875, 'Base Exámenes'!$I$5:$I$1000, 0))="", "", INDEX('Base Exámenes'!$F$5:$F$1000, MATCH(A875&amp;"|"&amp;J875, 'Base Exámenes'!$I$5:$I$1000, 0))), ""), "")</f>
        <v/>
      </c>
      <c r="J875" s="6" t="str">
        <f>IF(F875="Completado", IF(COUNTIFS('Base Exámenes'!$C$5:$C$1000, A875, 'Base Exámenes'!$G$5:$G$1000, "&lt;&gt;")=0, "", _xlfn.MAXIFS('Base Exámenes'!$G$5:$G$1000, 'Base Exámenes'!$C$5:$C$1000, A875)), "")</f>
        <v/>
      </c>
      <c r="K875" s="6" t="str">
        <f>IF(F875="Completado", IFERROR(IF(INDEX('Base Exámenes'!$H$5:$H$1000, MATCH(A875&amp;"|"&amp;J875, 'Base Exámenes'!$I$5:$I$1000, 0))="", "", INDEX('Base Exámenes'!$H$5:$H$1000, MATCH(A875&amp;"|"&amp;J875, 'Base Exámenes'!$I$5:$I$1000, 0))), ""), "")</f>
        <v/>
      </c>
      <c r="L875" s="22" t="str">
        <f>IF($A875="","",COUNTIF('Base Exámenes'!$C$5:$C$1000, A875))</f>
        <v/>
      </c>
      <c r="M875" s="6" t="str">
        <f>IF($A875="","",IF(COUNTIF('Base Exámenes'!$C$5:$C$1000, A875)&gt;0, "", TRIM('Base Oficial'!H875)))</f>
        <v/>
      </c>
    </row>
    <row r="876">
      <c r="A876" s="4" t="str">
        <f>IF('Base Oficial'!A876="","",TRIM('Base Oficial'!A876))</f>
        <v/>
      </c>
      <c r="B876" s="6" t="str">
        <f>IF($A876="","",TRIM('Base Oficial'!B876))</f>
        <v/>
      </c>
      <c r="C876" s="6" t="str">
        <f>IF($A876="","",TRIM('Base Oficial'!F876))</f>
        <v/>
      </c>
      <c r="D876" s="6" t="str">
        <f>IF($A876="","",TRIM('Base Oficial'!G876))</f>
        <v/>
      </c>
      <c r="E876" s="6" t="str">
        <f>IF($A876="","",TRIM('Base Oficial'!D876))</f>
        <v/>
      </c>
      <c r="F876" s="4" t="str">
        <f>IF($A876="","",IF(COUNTIF('Base Exámenes'!$C$5:$C$1000, A876)&gt;0, "Completado", IF(M876&lt;&gt;"", M876, "Pendiente")))</f>
        <v/>
      </c>
      <c r="G876" s="11" t="str">
        <f>IF(F876="Completado", IFERROR(IF(INDEX('Base Exámenes'!$D$5:$D$1000, MATCH(A876&amp;"|"&amp;J876, 'Base Exámenes'!$I$5:$I$1000, 0))="", "", INDEX('Base Exámenes'!$D$5:$D$1000, MATCH(A876&amp;"|"&amp;J876, 'Base Exámenes'!$I$5:$I$1000, 0))), ""), "")</f>
        <v/>
      </c>
      <c r="H876" s="11" t="str">
        <f>IF(F876="Completado", IFERROR(IF(INDEX('Base Exámenes'!$E$5:$E$1000, MATCH(A876&amp;"|"&amp;J876, 'Base Exámenes'!$I$5:$I$1000, 0))="", "", INDEX('Base Exámenes'!$E$5:$E$1000, MATCH(A876&amp;"|"&amp;J876, 'Base Exámenes'!$I$5:$I$1000, 0))), ""), "")</f>
        <v/>
      </c>
      <c r="I876" s="10" t="str">
        <f>IF(F876="Completado", IFERROR(IF(INDEX('Base Exámenes'!$F$5:$F$1000, MATCH(A876&amp;"|"&amp;J876, 'Base Exámenes'!$I$5:$I$1000, 0))="", "", INDEX('Base Exámenes'!$F$5:$F$1000, MATCH(A876&amp;"|"&amp;J876, 'Base Exámenes'!$I$5:$I$1000, 0))), ""), "")</f>
        <v/>
      </c>
      <c r="J876" s="6" t="str">
        <f>IF(F876="Completado", IF(COUNTIFS('Base Exámenes'!$C$5:$C$1000, A876, 'Base Exámenes'!$G$5:$G$1000, "&lt;&gt;")=0, "", _xlfn.MAXIFS('Base Exámenes'!$G$5:$G$1000, 'Base Exámenes'!$C$5:$C$1000, A876)), "")</f>
        <v/>
      </c>
      <c r="K876" s="6" t="str">
        <f>IF(F876="Completado", IFERROR(IF(INDEX('Base Exámenes'!$H$5:$H$1000, MATCH(A876&amp;"|"&amp;J876, 'Base Exámenes'!$I$5:$I$1000, 0))="", "", INDEX('Base Exámenes'!$H$5:$H$1000, MATCH(A876&amp;"|"&amp;J876, 'Base Exámenes'!$I$5:$I$1000, 0))), ""), "")</f>
        <v/>
      </c>
      <c r="L876" s="22" t="str">
        <f>IF($A876="","",COUNTIF('Base Exámenes'!$C$5:$C$1000, A876))</f>
        <v/>
      </c>
      <c r="M876" s="6" t="str">
        <f>IF($A876="","",IF(COUNTIF('Base Exámenes'!$C$5:$C$1000, A876)&gt;0, "", TRIM('Base Oficial'!H876)))</f>
        <v/>
      </c>
    </row>
    <row r="877">
      <c r="A877" s="4" t="str">
        <f>IF('Base Oficial'!A877="","",TRIM('Base Oficial'!A877))</f>
        <v/>
      </c>
      <c r="B877" s="6" t="str">
        <f>IF($A877="","",TRIM('Base Oficial'!B877))</f>
        <v/>
      </c>
      <c r="C877" s="6" t="str">
        <f>IF($A877="","",TRIM('Base Oficial'!F877))</f>
        <v/>
      </c>
      <c r="D877" s="6" t="str">
        <f>IF($A877="","",TRIM('Base Oficial'!G877))</f>
        <v/>
      </c>
      <c r="E877" s="6" t="str">
        <f>IF($A877="","",TRIM('Base Oficial'!D877))</f>
        <v/>
      </c>
      <c r="F877" s="4" t="str">
        <f>IF($A877="","",IF(COUNTIF('Base Exámenes'!$C$5:$C$1000, A877)&gt;0, "Completado", IF(M877&lt;&gt;"", M877, "Pendiente")))</f>
        <v/>
      </c>
      <c r="G877" s="11" t="str">
        <f>IF(F877="Completado", IFERROR(IF(INDEX('Base Exámenes'!$D$5:$D$1000, MATCH(A877&amp;"|"&amp;J877, 'Base Exámenes'!$I$5:$I$1000, 0))="", "", INDEX('Base Exámenes'!$D$5:$D$1000, MATCH(A877&amp;"|"&amp;J877, 'Base Exámenes'!$I$5:$I$1000, 0))), ""), "")</f>
        <v/>
      </c>
      <c r="H877" s="11" t="str">
        <f>IF(F877="Completado", IFERROR(IF(INDEX('Base Exámenes'!$E$5:$E$1000, MATCH(A877&amp;"|"&amp;J877, 'Base Exámenes'!$I$5:$I$1000, 0))="", "", INDEX('Base Exámenes'!$E$5:$E$1000, MATCH(A877&amp;"|"&amp;J877, 'Base Exámenes'!$I$5:$I$1000, 0))), ""), "")</f>
        <v/>
      </c>
      <c r="I877" s="10" t="str">
        <f>IF(F877="Completado", IFERROR(IF(INDEX('Base Exámenes'!$F$5:$F$1000, MATCH(A877&amp;"|"&amp;J877, 'Base Exámenes'!$I$5:$I$1000, 0))="", "", INDEX('Base Exámenes'!$F$5:$F$1000, MATCH(A877&amp;"|"&amp;J877, 'Base Exámenes'!$I$5:$I$1000, 0))), ""), "")</f>
        <v/>
      </c>
      <c r="J877" s="6" t="str">
        <f>IF(F877="Completado", IF(COUNTIFS('Base Exámenes'!$C$5:$C$1000, A877, 'Base Exámenes'!$G$5:$G$1000, "&lt;&gt;")=0, "", _xlfn.MAXIFS('Base Exámenes'!$G$5:$G$1000, 'Base Exámenes'!$C$5:$C$1000, A877)), "")</f>
        <v/>
      </c>
      <c r="K877" s="6" t="str">
        <f>IF(F877="Completado", IFERROR(IF(INDEX('Base Exámenes'!$H$5:$H$1000, MATCH(A877&amp;"|"&amp;J877, 'Base Exámenes'!$I$5:$I$1000, 0))="", "", INDEX('Base Exámenes'!$H$5:$H$1000, MATCH(A877&amp;"|"&amp;J877, 'Base Exámenes'!$I$5:$I$1000, 0))), ""), "")</f>
        <v/>
      </c>
      <c r="L877" s="22" t="str">
        <f>IF($A877="","",COUNTIF('Base Exámenes'!$C$5:$C$1000, A877))</f>
        <v/>
      </c>
      <c r="M877" s="6" t="str">
        <f>IF($A877="","",IF(COUNTIF('Base Exámenes'!$C$5:$C$1000, A877)&gt;0, "", TRIM('Base Oficial'!H877)))</f>
        <v/>
      </c>
    </row>
    <row r="878">
      <c r="A878" s="4" t="str">
        <f>IF('Base Oficial'!A878="","",TRIM('Base Oficial'!A878))</f>
        <v/>
      </c>
      <c r="B878" s="6" t="str">
        <f>IF($A878="","",TRIM('Base Oficial'!B878))</f>
        <v/>
      </c>
      <c r="C878" s="6" t="str">
        <f>IF($A878="","",TRIM('Base Oficial'!F878))</f>
        <v/>
      </c>
      <c r="D878" s="6" t="str">
        <f>IF($A878="","",TRIM('Base Oficial'!G878))</f>
        <v/>
      </c>
      <c r="E878" s="6" t="str">
        <f>IF($A878="","",TRIM('Base Oficial'!D878))</f>
        <v/>
      </c>
      <c r="F878" s="4" t="str">
        <f>IF($A878="","",IF(COUNTIF('Base Exámenes'!$C$5:$C$1000, A878)&gt;0, "Completado", IF(M878&lt;&gt;"", M878, "Pendiente")))</f>
        <v/>
      </c>
      <c r="G878" s="11" t="str">
        <f>IF(F878="Completado", IFERROR(IF(INDEX('Base Exámenes'!$D$5:$D$1000, MATCH(A878&amp;"|"&amp;J878, 'Base Exámenes'!$I$5:$I$1000, 0))="", "", INDEX('Base Exámenes'!$D$5:$D$1000, MATCH(A878&amp;"|"&amp;J878, 'Base Exámenes'!$I$5:$I$1000, 0))), ""), "")</f>
        <v/>
      </c>
      <c r="H878" s="11" t="str">
        <f>IF(F878="Completado", IFERROR(IF(INDEX('Base Exámenes'!$E$5:$E$1000, MATCH(A878&amp;"|"&amp;J878, 'Base Exámenes'!$I$5:$I$1000, 0))="", "", INDEX('Base Exámenes'!$E$5:$E$1000, MATCH(A878&amp;"|"&amp;J878, 'Base Exámenes'!$I$5:$I$1000, 0))), ""), "")</f>
        <v/>
      </c>
      <c r="I878" s="10" t="str">
        <f>IF(F878="Completado", IFERROR(IF(INDEX('Base Exámenes'!$F$5:$F$1000, MATCH(A878&amp;"|"&amp;J878, 'Base Exámenes'!$I$5:$I$1000, 0))="", "", INDEX('Base Exámenes'!$F$5:$F$1000, MATCH(A878&amp;"|"&amp;J878, 'Base Exámenes'!$I$5:$I$1000, 0))), ""), "")</f>
        <v/>
      </c>
      <c r="J878" s="6" t="str">
        <f>IF(F878="Completado", IF(COUNTIFS('Base Exámenes'!$C$5:$C$1000, A878, 'Base Exámenes'!$G$5:$G$1000, "&lt;&gt;")=0, "", _xlfn.MAXIFS('Base Exámenes'!$G$5:$G$1000, 'Base Exámenes'!$C$5:$C$1000, A878)), "")</f>
        <v/>
      </c>
      <c r="K878" s="6" t="str">
        <f>IF(F878="Completado", IFERROR(IF(INDEX('Base Exámenes'!$H$5:$H$1000, MATCH(A878&amp;"|"&amp;J878, 'Base Exámenes'!$I$5:$I$1000, 0))="", "", INDEX('Base Exámenes'!$H$5:$H$1000, MATCH(A878&amp;"|"&amp;J878, 'Base Exámenes'!$I$5:$I$1000, 0))), ""), "")</f>
        <v/>
      </c>
      <c r="L878" s="22" t="str">
        <f>IF($A878="","",COUNTIF('Base Exámenes'!$C$5:$C$1000, A878))</f>
        <v/>
      </c>
      <c r="M878" s="6" t="str">
        <f>IF($A878="","",IF(COUNTIF('Base Exámenes'!$C$5:$C$1000, A878)&gt;0, "", TRIM('Base Oficial'!H878)))</f>
        <v/>
      </c>
    </row>
    <row r="879">
      <c r="A879" s="4" t="str">
        <f>IF('Base Oficial'!A879="","",TRIM('Base Oficial'!A879))</f>
        <v/>
      </c>
      <c r="B879" s="6" t="str">
        <f>IF($A879="","",TRIM('Base Oficial'!B879))</f>
        <v/>
      </c>
      <c r="C879" s="6" t="str">
        <f>IF($A879="","",TRIM('Base Oficial'!F879))</f>
        <v/>
      </c>
      <c r="D879" s="6" t="str">
        <f>IF($A879="","",TRIM('Base Oficial'!G879))</f>
        <v/>
      </c>
      <c r="E879" s="6" t="str">
        <f>IF($A879="","",TRIM('Base Oficial'!D879))</f>
        <v/>
      </c>
      <c r="F879" s="4" t="str">
        <f>IF($A879="","",IF(COUNTIF('Base Exámenes'!$C$5:$C$1000, A879)&gt;0, "Completado", IF(M879&lt;&gt;"", M879, "Pendiente")))</f>
        <v/>
      </c>
      <c r="G879" s="11" t="str">
        <f>IF(F879="Completado", IFERROR(IF(INDEX('Base Exámenes'!$D$5:$D$1000, MATCH(A879&amp;"|"&amp;J879, 'Base Exámenes'!$I$5:$I$1000, 0))="", "", INDEX('Base Exámenes'!$D$5:$D$1000, MATCH(A879&amp;"|"&amp;J879, 'Base Exámenes'!$I$5:$I$1000, 0))), ""), "")</f>
        <v/>
      </c>
      <c r="H879" s="11" t="str">
        <f>IF(F879="Completado", IFERROR(IF(INDEX('Base Exámenes'!$E$5:$E$1000, MATCH(A879&amp;"|"&amp;J879, 'Base Exámenes'!$I$5:$I$1000, 0))="", "", INDEX('Base Exámenes'!$E$5:$E$1000, MATCH(A879&amp;"|"&amp;J879, 'Base Exámenes'!$I$5:$I$1000, 0))), ""), "")</f>
        <v/>
      </c>
      <c r="I879" s="10" t="str">
        <f>IF(F879="Completado", IFERROR(IF(INDEX('Base Exámenes'!$F$5:$F$1000, MATCH(A879&amp;"|"&amp;J879, 'Base Exámenes'!$I$5:$I$1000, 0))="", "", INDEX('Base Exámenes'!$F$5:$F$1000, MATCH(A879&amp;"|"&amp;J879, 'Base Exámenes'!$I$5:$I$1000, 0))), ""), "")</f>
        <v/>
      </c>
      <c r="J879" s="6" t="str">
        <f>IF(F879="Completado", IF(COUNTIFS('Base Exámenes'!$C$5:$C$1000, A879, 'Base Exámenes'!$G$5:$G$1000, "&lt;&gt;")=0, "", _xlfn.MAXIFS('Base Exámenes'!$G$5:$G$1000, 'Base Exámenes'!$C$5:$C$1000, A879)), "")</f>
        <v/>
      </c>
      <c r="K879" s="6" t="str">
        <f>IF(F879="Completado", IFERROR(IF(INDEX('Base Exámenes'!$H$5:$H$1000, MATCH(A879&amp;"|"&amp;J879, 'Base Exámenes'!$I$5:$I$1000, 0))="", "", INDEX('Base Exámenes'!$H$5:$H$1000, MATCH(A879&amp;"|"&amp;J879, 'Base Exámenes'!$I$5:$I$1000, 0))), ""), "")</f>
        <v/>
      </c>
      <c r="L879" s="22" t="str">
        <f>IF($A879="","",COUNTIF('Base Exámenes'!$C$5:$C$1000, A879))</f>
        <v/>
      </c>
      <c r="M879" s="6" t="str">
        <f>IF($A879="","",IF(COUNTIF('Base Exámenes'!$C$5:$C$1000, A879)&gt;0, "", TRIM('Base Oficial'!H879)))</f>
        <v/>
      </c>
    </row>
    <row r="880">
      <c r="A880" s="4" t="str">
        <f>IF('Base Oficial'!A880="","",TRIM('Base Oficial'!A880))</f>
        <v/>
      </c>
      <c r="B880" s="6" t="str">
        <f>IF($A880="","",TRIM('Base Oficial'!B880))</f>
        <v/>
      </c>
      <c r="C880" s="6" t="str">
        <f>IF($A880="","",TRIM('Base Oficial'!F880))</f>
        <v/>
      </c>
      <c r="D880" s="6" t="str">
        <f>IF($A880="","",TRIM('Base Oficial'!G880))</f>
        <v/>
      </c>
      <c r="E880" s="6" t="str">
        <f>IF($A880="","",TRIM('Base Oficial'!D880))</f>
        <v/>
      </c>
      <c r="F880" s="4" t="str">
        <f>IF($A880="","",IF(COUNTIF('Base Exámenes'!$C$5:$C$1000, A880)&gt;0, "Completado", IF(M880&lt;&gt;"", M880, "Pendiente")))</f>
        <v/>
      </c>
      <c r="G880" s="11" t="str">
        <f>IF(F880="Completado", IFERROR(IF(INDEX('Base Exámenes'!$D$5:$D$1000, MATCH(A880&amp;"|"&amp;J880, 'Base Exámenes'!$I$5:$I$1000, 0))="", "", INDEX('Base Exámenes'!$D$5:$D$1000, MATCH(A880&amp;"|"&amp;J880, 'Base Exámenes'!$I$5:$I$1000, 0))), ""), "")</f>
        <v/>
      </c>
      <c r="H880" s="11" t="str">
        <f>IF(F880="Completado", IFERROR(IF(INDEX('Base Exámenes'!$E$5:$E$1000, MATCH(A880&amp;"|"&amp;J880, 'Base Exámenes'!$I$5:$I$1000, 0))="", "", INDEX('Base Exámenes'!$E$5:$E$1000, MATCH(A880&amp;"|"&amp;J880, 'Base Exámenes'!$I$5:$I$1000, 0))), ""), "")</f>
        <v/>
      </c>
      <c r="I880" s="10" t="str">
        <f>IF(F880="Completado", IFERROR(IF(INDEX('Base Exámenes'!$F$5:$F$1000, MATCH(A880&amp;"|"&amp;J880, 'Base Exámenes'!$I$5:$I$1000, 0))="", "", INDEX('Base Exámenes'!$F$5:$F$1000, MATCH(A880&amp;"|"&amp;J880, 'Base Exámenes'!$I$5:$I$1000, 0))), ""), "")</f>
        <v/>
      </c>
      <c r="J880" s="6" t="str">
        <f>IF(F880="Completado", IF(COUNTIFS('Base Exámenes'!$C$5:$C$1000, A880, 'Base Exámenes'!$G$5:$G$1000, "&lt;&gt;")=0, "", _xlfn.MAXIFS('Base Exámenes'!$G$5:$G$1000, 'Base Exámenes'!$C$5:$C$1000, A880)), "")</f>
        <v/>
      </c>
      <c r="K880" s="6" t="str">
        <f>IF(F880="Completado", IFERROR(IF(INDEX('Base Exámenes'!$H$5:$H$1000, MATCH(A880&amp;"|"&amp;J880, 'Base Exámenes'!$I$5:$I$1000, 0))="", "", INDEX('Base Exámenes'!$H$5:$H$1000, MATCH(A880&amp;"|"&amp;J880, 'Base Exámenes'!$I$5:$I$1000, 0))), ""), "")</f>
        <v/>
      </c>
      <c r="L880" s="22" t="str">
        <f>IF($A880="","",COUNTIF('Base Exámenes'!$C$5:$C$1000, A880))</f>
        <v/>
      </c>
      <c r="M880" s="6" t="str">
        <f>IF($A880="","",IF(COUNTIF('Base Exámenes'!$C$5:$C$1000, A880)&gt;0, "", TRIM('Base Oficial'!H880)))</f>
        <v/>
      </c>
    </row>
    <row r="881">
      <c r="A881" s="4" t="str">
        <f>IF('Base Oficial'!A881="","",TRIM('Base Oficial'!A881))</f>
        <v/>
      </c>
      <c r="B881" s="6" t="str">
        <f>IF($A881="","",TRIM('Base Oficial'!B881))</f>
        <v/>
      </c>
      <c r="C881" s="6" t="str">
        <f>IF($A881="","",TRIM('Base Oficial'!F881))</f>
        <v/>
      </c>
      <c r="D881" s="6" t="str">
        <f>IF($A881="","",TRIM('Base Oficial'!G881))</f>
        <v/>
      </c>
      <c r="E881" s="6" t="str">
        <f>IF($A881="","",TRIM('Base Oficial'!D881))</f>
        <v/>
      </c>
      <c r="F881" s="4" t="str">
        <f>IF($A881="","",IF(COUNTIF('Base Exámenes'!$C$5:$C$1000, A881)&gt;0, "Completado", IF(M881&lt;&gt;"", M881, "Pendiente")))</f>
        <v/>
      </c>
      <c r="G881" s="11" t="str">
        <f>IF(F881="Completado", IFERROR(IF(INDEX('Base Exámenes'!$D$5:$D$1000, MATCH(A881&amp;"|"&amp;J881, 'Base Exámenes'!$I$5:$I$1000, 0))="", "", INDEX('Base Exámenes'!$D$5:$D$1000, MATCH(A881&amp;"|"&amp;J881, 'Base Exámenes'!$I$5:$I$1000, 0))), ""), "")</f>
        <v/>
      </c>
      <c r="H881" s="11" t="str">
        <f>IF(F881="Completado", IFERROR(IF(INDEX('Base Exámenes'!$E$5:$E$1000, MATCH(A881&amp;"|"&amp;J881, 'Base Exámenes'!$I$5:$I$1000, 0))="", "", INDEX('Base Exámenes'!$E$5:$E$1000, MATCH(A881&amp;"|"&amp;J881, 'Base Exámenes'!$I$5:$I$1000, 0))), ""), "")</f>
        <v/>
      </c>
      <c r="I881" s="10" t="str">
        <f>IF(F881="Completado", IFERROR(IF(INDEX('Base Exámenes'!$F$5:$F$1000, MATCH(A881&amp;"|"&amp;J881, 'Base Exámenes'!$I$5:$I$1000, 0))="", "", INDEX('Base Exámenes'!$F$5:$F$1000, MATCH(A881&amp;"|"&amp;J881, 'Base Exámenes'!$I$5:$I$1000, 0))), ""), "")</f>
        <v/>
      </c>
      <c r="J881" s="6" t="str">
        <f>IF(F881="Completado", IF(COUNTIFS('Base Exámenes'!$C$5:$C$1000, A881, 'Base Exámenes'!$G$5:$G$1000, "&lt;&gt;")=0, "", _xlfn.MAXIFS('Base Exámenes'!$G$5:$G$1000, 'Base Exámenes'!$C$5:$C$1000, A881)), "")</f>
        <v/>
      </c>
      <c r="K881" s="6" t="str">
        <f>IF(F881="Completado", IFERROR(IF(INDEX('Base Exámenes'!$H$5:$H$1000, MATCH(A881&amp;"|"&amp;J881, 'Base Exámenes'!$I$5:$I$1000, 0))="", "", INDEX('Base Exámenes'!$H$5:$H$1000, MATCH(A881&amp;"|"&amp;J881, 'Base Exámenes'!$I$5:$I$1000, 0))), ""), "")</f>
        <v/>
      </c>
      <c r="L881" s="22" t="str">
        <f>IF($A881="","",COUNTIF('Base Exámenes'!$C$5:$C$1000, A881))</f>
        <v/>
      </c>
      <c r="M881" s="6" t="str">
        <f>IF($A881="","",IF(COUNTIF('Base Exámenes'!$C$5:$C$1000, A881)&gt;0, "", TRIM('Base Oficial'!H881)))</f>
        <v/>
      </c>
    </row>
    <row r="882">
      <c r="A882" s="4" t="str">
        <f>IF('Base Oficial'!A882="","",TRIM('Base Oficial'!A882))</f>
        <v/>
      </c>
      <c r="B882" s="6" t="str">
        <f>IF($A882="","",TRIM('Base Oficial'!B882))</f>
        <v/>
      </c>
      <c r="C882" s="6" t="str">
        <f>IF($A882="","",TRIM('Base Oficial'!F882))</f>
        <v/>
      </c>
      <c r="D882" s="6" t="str">
        <f>IF($A882="","",TRIM('Base Oficial'!G882))</f>
        <v/>
      </c>
      <c r="E882" s="6" t="str">
        <f>IF($A882="","",TRIM('Base Oficial'!D882))</f>
        <v/>
      </c>
      <c r="F882" s="4" t="str">
        <f>IF($A882="","",IF(COUNTIF('Base Exámenes'!$C$5:$C$1000, A882)&gt;0, "Completado", IF(M882&lt;&gt;"", M882, "Pendiente")))</f>
        <v/>
      </c>
      <c r="G882" s="11" t="str">
        <f>IF(F882="Completado", IFERROR(IF(INDEX('Base Exámenes'!$D$5:$D$1000, MATCH(A882&amp;"|"&amp;J882, 'Base Exámenes'!$I$5:$I$1000, 0))="", "", INDEX('Base Exámenes'!$D$5:$D$1000, MATCH(A882&amp;"|"&amp;J882, 'Base Exámenes'!$I$5:$I$1000, 0))), ""), "")</f>
        <v/>
      </c>
      <c r="H882" s="11" t="str">
        <f>IF(F882="Completado", IFERROR(IF(INDEX('Base Exámenes'!$E$5:$E$1000, MATCH(A882&amp;"|"&amp;J882, 'Base Exámenes'!$I$5:$I$1000, 0))="", "", INDEX('Base Exámenes'!$E$5:$E$1000, MATCH(A882&amp;"|"&amp;J882, 'Base Exámenes'!$I$5:$I$1000, 0))), ""), "")</f>
        <v/>
      </c>
      <c r="I882" s="10" t="str">
        <f>IF(F882="Completado", IFERROR(IF(INDEX('Base Exámenes'!$F$5:$F$1000, MATCH(A882&amp;"|"&amp;J882, 'Base Exámenes'!$I$5:$I$1000, 0))="", "", INDEX('Base Exámenes'!$F$5:$F$1000, MATCH(A882&amp;"|"&amp;J882, 'Base Exámenes'!$I$5:$I$1000, 0))), ""), "")</f>
        <v/>
      </c>
      <c r="J882" s="6" t="str">
        <f>IF(F882="Completado", IF(COUNTIFS('Base Exámenes'!$C$5:$C$1000, A882, 'Base Exámenes'!$G$5:$G$1000, "&lt;&gt;")=0, "", _xlfn.MAXIFS('Base Exámenes'!$G$5:$G$1000, 'Base Exámenes'!$C$5:$C$1000, A882)), "")</f>
        <v/>
      </c>
      <c r="K882" s="6" t="str">
        <f>IF(F882="Completado", IFERROR(IF(INDEX('Base Exámenes'!$H$5:$H$1000, MATCH(A882&amp;"|"&amp;J882, 'Base Exámenes'!$I$5:$I$1000, 0))="", "", INDEX('Base Exámenes'!$H$5:$H$1000, MATCH(A882&amp;"|"&amp;J882, 'Base Exámenes'!$I$5:$I$1000, 0))), ""), "")</f>
        <v/>
      </c>
      <c r="L882" s="22" t="str">
        <f>IF($A882="","",COUNTIF('Base Exámenes'!$C$5:$C$1000, A882))</f>
        <v/>
      </c>
      <c r="M882" s="6" t="str">
        <f>IF($A882="","",IF(COUNTIF('Base Exámenes'!$C$5:$C$1000, A882)&gt;0, "", TRIM('Base Oficial'!H882)))</f>
        <v/>
      </c>
    </row>
    <row r="883">
      <c r="A883" s="4" t="str">
        <f>IF('Base Oficial'!A883="","",TRIM('Base Oficial'!A883))</f>
        <v/>
      </c>
      <c r="B883" s="6" t="str">
        <f>IF($A883="","",TRIM('Base Oficial'!B883))</f>
        <v/>
      </c>
      <c r="C883" s="6" t="str">
        <f>IF($A883="","",TRIM('Base Oficial'!F883))</f>
        <v/>
      </c>
      <c r="D883" s="6" t="str">
        <f>IF($A883="","",TRIM('Base Oficial'!G883))</f>
        <v/>
      </c>
      <c r="E883" s="6" t="str">
        <f>IF($A883="","",TRIM('Base Oficial'!D883))</f>
        <v/>
      </c>
      <c r="F883" s="4" t="str">
        <f>IF($A883="","",IF(COUNTIF('Base Exámenes'!$C$5:$C$1000, A883)&gt;0, "Completado", IF(M883&lt;&gt;"", M883, "Pendiente")))</f>
        <v/>
      </c>
      <c r="G883" s="11" t="str">
        <f>IF(F883="Completado", IFERROR(IF(INDEX('Base Exámenes'!$D$5:$D$1000, MATCH(A883&amp;"|"&amp;J883, 'Base Exámenes'!$I$5:$I$1000, 0))="", "", INDEX('Base Exámenes'!$D$5:$D$1000, MATCH(A883&amp;"|"&amp;J883, 'Base Exámenes'!$I$5:$I$1000, 0))), ""), "")</f>
        <v/>
      </c>
      <c r="H883" s="11" t="str">
        <f>IF(F883="Completado", IFERROR(IF(INDEX('Base Exámenes'!$E$5:$E$1000, MATCH(A883&amp;"|"&amp;J883, 'Base Exámenes'!$I$5:$I$1000, 0))="", "", INDEX('Base Exámenes'!$E$5:$E$1000, MATCH(A883&amp;"|"&amp;J883, 'Base Exámenes'!$I$5:$I$1000, 0))), ""), "")</f>
        <v/>
      </c>
      <c r="I883" s="10" t="str">
        <f>IF(F883="Completado", IFERROR(IF(INDEX('Base Exámenes'!$F$5:$F$1000, MATCH(A883&amp;"|"&amp;J883, 'Base Exámenes'!$I$5:$I$1000, 0))="", "", INDEX('Base Exámenes'!$F$5:$F$1000, MATCH(A883&amp;"|"&amp;J883, 'Base Exámenes'!$I$5:$I$1000, 0))), ""), "")</f>
        <v/>
      </c>
      <c r="J883" s="6" t="str">
        <f>IF(F883="Completado", IF(COUNTIFS('Base Exámenes'!$C$5:$C$1000, A883, 'Base Exámenes'!$G$5:$G$1000, "&lt;&gt;")=0, "", _xlfn.MAXIFS('Base Exámenes'!$G$5:$G$1000, 'Base Exámenes'!$C$5:$C$1000, A883)), "")</f>
        <v/>
      </c>
      <c r="K883" s="6" t="str">
        <f>IF(F883="Completado", IFERROR(IF(INDEX('Base Exámenes'!$H$5:$H$1000, MATCH(A883&amp;"|"&amp;J883, 'Base Exámenes'!$I$5:$I$1000, 0))="", "", INDEX('Base Exámenes'!$H$5:$H$1000, MATCH(A883&amp;"|"&amp;J883, 'Base Exámenes'!$I$5:$I$1000, 0))), ""), "")</f>
        <v/>
      </c>
      <c r="L883" s="22" t="str">
        <f>IF($A883="","",COUNTIF('Base Exámenes'!$C$5:$C$1000, A883))</f>
        <v/>
      </c>
      <c r="M883" s="6" t="str">
        <f>IF($A883="","",IF(COUNTIF('Base Exámenes'!$C$5:$C$1000, A883)&gt;0, "", TRIM('Base Oficial'!H883)))</f>
        <v/>
      </c>
    </row>
    <row r="884">
      <c r="A884" s="4" t="str">
        <f>IF('Base Oficial'!A884="","",TRIM('Base Oficial'!A884))</f>
        <v/>
      </c>
      <c r="B884" s="6" t="str">
        <f>IF($A884="","",TRIM('Base Oficial'!B884))</f>
        <v/>
      </c>
      <c r="C884" s="6" t="str">
        <f>IF($A884="","",TRIM('Base Oficial'!F884))</f>
        <v/>
      </c>
      <c r="D884" s="6" t="str">
        <f>IF($A884="","",TRIM('Base Oficial'!G884))</f>
        <v/>
      </c>
      <c r="E884" s="6" t="str">
        <f>IF($A884="","",TRIM('Base Oficial'!D884))</f>
        <v/>
      </c>
      <c r="F884" s="4" t="str">
        <f>IF($A884="","",IF(COUNTIF('Base Exámenes'!$C$5:$C$1000, A884)&gt;0, "Completado", IF(M884&lt;&gt;"", M884, "Pendiente")))</f>
        <v/>
      </c>
      <c r="G884" s="11" t="str">
        <f>IF(F884="Completado", IFERROR(IF(INDEX('Base Exámenes'!$D$5:$D$1000, MATCH(A884&amp;"|"&amp;J884, 'Base Exámenes'!$I$5:$I$1000, 0))="", "", INDEX('Base Exámenes'!$D$5:$D$1000, MATCH(A884&amp;"|"&amp;J884, 'Base Exámenes'!$I$5:$I$1000, 0))), ""), "")</f>
        <v/>
      </c>
      <c r="H884" s="11" t="str">
        <f>IF(F884="Completado", IFERROR(IF(INDEX('Base Exámenes'!$E$5:$E$1000, MATCH(A884&amp;"|"&amp;J884, 'Base Exámenes'!$I$5:$I$1000, 0))="", "", INDEX('Base Exámenes'!$E$5:$E$1000, MATCH(A884&amp;"|"&amp;J884, 'Base Exámenes'!$I$5:$I$1000, 0))), ""), "")</f>
        <v/>
      </c>
      <c r="I884" s="10" t="str">
        <f>IF(F884="Completado", IFERROR(IF(INDEX('Base Exámenes'!$F$5:$F$1000, MATCH(A884&amp;"|"&amp;J884, 'Base Exámenes'!$I$5:$I$1000, 0))="", "", INDEX('Base Exámenes'!$F$5:$F$1000, MATCH(A884&amp;"|"&amp;J884, 'Base Exámenes'!$I$5:$I$1000, 0))), ""), "")</f>
        <v/>
      </c>
      <c r="J884" s="6" t="str">
        <f>IF(F884="Completado", IF(COUNTIFS('Base Exámenes'!$C$5:$C$1000, A884, 'Base Exámenes'!$G$5:$G$1000, "&lt;&gt;")=0, "", _xlfn.MAXIFS('Base Exámenes'!$G$5:$G$1000, 'Base Exámenes'!$C$5:$C$1000, A884)), "")</f>
        <v/>
      </c>
      <c r="K884" s="6" t="str">
        <f>IF(F884="Completado", IFERROR(IF(INDEX('Base Exámenes'!$H$5:$H$1000, MATCH(A884&amp;"|"&amp;J884, 'Base Exámenes'!$I$5:$I$1000, 0))="", "", INDEX('Base Exámenes'!$H$5:$H$1000, MATCH(A884&amp;"|"&amp;J884, 'Base Exámenes'!$I$5:$I$1000, 0))), ""), "")</f>
        <v/>
      </c>
      <c r="L884" s="22" t="str">
        <f>IF($A884="","",COUNTIF('Base Exámenes'!$C$5:$C$1000, A884))</f>
        <v/>
      </c>
      <c r="M884" s="6" t="str">
        <f>IF($A884="","",IF(COUNTIF('Base Exámenes'!$C$5:$C$1000, A884)&gt;0, "", TRIM('Base Oficial'!H884)))</f>
        <v/>
      </c>
    </row>
    <row r="885">
      <c r="A885" s="4" t="str">
        <f>IF('Base Oficial'!A885="","",TRIM('Base Oficial'!A885))</f>
        <v/>
      </c>
      <c r="B885" s="6" t="str">
        <f>IF($A885="","",TRIM('Base Oficial'!B885))</f>
        <v/>
      </c>
      <c r="C885" s="6" t="str">
        <f>IF($A885="","",TRIM('Base Oficial'!F885))</f>
        <v/>
      </c>
      <c r="D885" s="6" t="str">
        <f>IF($A885="","",TRIM('Base Oficial'!G885))</f>
        <v/>
      </c>
      <c r="E885" s="6" t="str">
        <f>IF($A885="","",TRIM('Base Oficial'!D885))</f>
        <v/>
      </c>
      <c r="F885" s="4" t="str">
        <f>IF($A885="","",IF(COUNTIF('Base Exámenes'!$C$5:$C$1000, A885)&gt;0, "Completado", IF(M885&lt;&gt;"", M885, "Pendiente")))</f>
        <v/>
      </c>
      <c r="G885" s="11" t="str">
        <f>IF(F885="Completado", IFERROR(IF(INDEX('Base Exámenes'!$D$5:$D$1000, MATCH(A885&amp;"|"&amp;J885, 'Base Exámenes'!$I$5:$I$1000, 0))="", "", INDEX('Base Exámenes'!$D$5:$D$1000, MATCH(A885&amp;"|"&amp;J885, 'Base Exámenes'!$I$5:$I$1000, 0))), ""), "")</f>
        <v/>
      </c>
      <c r="H885" s="11" t="str">
        <f>IF(F885="Completado", IFERROR(IF(INDEX('Base Exámenes'!$E$5:$E$1000, MATCH(A885&amp;"|"&amp;J885, 'Base Exámenes'!$I$5:$I$1000, 0))="", "", INDEX('Base Exámenes'!$E$5:$E$1000, MATCH(A885&amp;"|"&amp;J885, 'Base Exámenes'!$I$5:$I$1000, 0))), ""), "")</f>
        <v/>
      </c>
      <c r="I885" s="10" t="str">
        <f>IF(F885="Completado", IFERROR(IF(INDEX('Base Exámenes'!$F$5:$F$1000, MATCH(A885&amp;"|"&amp;J885, 'Base Exámenes'!$I$5:$I$1000, 0))="", "", INDEX('Base Exámenes'!$F$5:$F$1000, MATCH(A885&amp;"|"&amp;J885, 'Base Exámenes'!$I$5:$I$1000, 0))), ""), "")</f>
        <v/>
      </c>
      <c r="J885" s="6" t="str">
        <f>IF(F885="Completado", IF(COUNTIFS('Base Exámenes'!$C$5:$C$1000, A885, 'Base Exámenes'!$G$5:$G$1000, "&lt;&gt;")=0, "", _xlfn.MAXIFS('Base Exámenes'!$G$5:$G$1000, 'Base Exámenes'!$C$5:$C$1000, A885)), "")</f>
        <v/>
      </c>
      <c r="K885" s="6" t="str">
        <f>IF(F885="Completado", IFERROR(IF(INDEX('Base Exámenes'!$H$5:$H$1000, MATCH(A885&amp;"|"&amp;J885, 'Base Exámenes'!$I$5:$I$1000, 0))="", "", INDEX('Base Exámenes'!$H$5:$H$1000, MATCH(A885&amp;"|"&amp;J885, 'Base Exámenes'!$I$5:$I$1000, 0))), ""), "")</f>
        <v/>
      </c>
      <c r="L885" s="22" t="str">
        <f>IF($A885="","",COUNTIF('Base Exámenes'!$C$5:$C$1000, A885))</f>
        <v/>
      </c>
      <c r="M885" s="6" t="str">
        <f>IF($A885="","",IF(COUNTIF('Base Exámenes'!$C$5:$C$1000, A885)&gt;0, "", TRIM('Base Oficial'!H885)))</f>
        <v/>
      </c>
    </row>
    <row r="886">
      <c r="A886" s="4" t="str">
        <f>IF('Base Oficial'!A886="","",TRIM('Base Oficial'!A886))</f>
        <v/>
      </c>
      <c r="B886" s="6" t="str">
        <f>IF($A886="","",TRIM('Base Oficial'!B886))</f>
        <v/>
      </c>
      <c r="C886" s="6" t="str">
        <f>IF($A886="","",TRIM('Base Oficial'!F886))</f>
        <v/>
      </c>
      <c r="D886" s="6" t="str">
        <f>IF($A886="","",TRIM('Base Oficial'!G886))</f>
        <v/>
      </c>
      <c r="E886" s="6" t="str">
        <f>IF($A886="","",TRIM('Base Oficial'!D886))</f>
        <v/>
      </c>
      <c r="F886" s="4" t="str">
        <f>IF($A886="","",IF(COUNTIF('Base Exámenes'!$C$5:$C$1000, A886)&gt;0, "Completado", IF(M886&lt;&gt;"", M886, "Pendiente")))</f>
        <v/>
      </c>
      <c r="G886" s="11" t="str">
        <f>IF(F886="Completado", IFERROR(IF(INDEX('Base Exámenes'!$D$5:$D$1000, MATCH(A886&amp;"|"&amp;J886, 'Base Exámenes'!$I$5:$I$1000, 0))="", "", INDEX('Base Exámenes'!$D$5:$D$1000, MATCH(A886&amp;"|"&amp;J886, 'Base Exámenes'!$I$5:$I$1000, 0))), ""), "")</f>
        <v/>
      </c>
      <c r="H886" s="11" t="str">
        <f>IF(F886="Completado", IFERROR(IF(INDEX('Base Exámenes'!$E$5:$E$1000, MATCH(A886&amp;"|"&amp;J886, 'Base Exámenes'!$I$5:$I$1000, 0))="", "", INDEX('Base Exámenes'!$E$5:$E$1000, MATCH(A886&amp;"|"&amp;J886, 'Base Exámenes'!$I$5:$I$1000, 0))), ""), "")</f>
        <v/>
      </c>
      <c r="I886" s="10" t="str">
        <f>IF(F886="Completado", IFERROR(IF(INDEX('Base Exámenes'!$F$5:$F$1000, MATCH(A886&amp;"|"&amp;J886, 'Base Exámenes'!$I$5:$I$1000, 0))="", "", INDEX('Base Exámenes'!$F$5:$F$1000, MATCH(A886&amp;"|"&amp;J886, 'Base Exámenes'!$I$5:$I$1000, 0))), ""), "")</f>
        <v/>
      </c>
      <c r="J886" s="6" t="str">
        <f>IF(F886="Completado", IF(COUNTIFS('Base Exámenes'!$C$5:$C$1000, A886, 'Base Exámenes'!$G$5:$G$1000, "&lt;&gt;")=0, "", _xlfn.MAXIFS('Base Exámenes'!$G$5:$G$1000, 'Base Exámenes'!$C$5:$C$1000, A886)), "")</f>
        <v/>
      </c>
      <c r="K886" s="6" t="str">
        <f>IF(F886="Completado", IFERROR(IF(INDEX('Base Exámenes'!$H$5:$H$1000, MATCH(A886&amp;"|"&amp;J886, 'Base Exámenes'!$I$5:$I$1000, 0))="", "", INDEX('Base Exámenes'!$H$5:$H$1000, MATCH(A886&amp;"|"&amp;J886, 'Base Exámenes'!$I$5:$I$1000, 0))), ""), "")</f>
        <v/>
      </c>
      <c r="L886" s="22" t="str">
        <f>IF($A886="","",COUNTIF('Base Exámenes'!$C$5:$C$1000, A886))</f>
        <v/>
      </c>
      <c r="M886" s="6" t="str">
        <f>IF($A886="","",IF(COUNTIF('Base Exámenes'!$C$5:$C$1000, A886)&gt;0, "", TRIM('Base Oficial'!H886)))</f>
        <v/>
      </c>
    </row>
    <row r="887">
      <c r="A887" s="4" t="str">
        <f>IF('Base Oficial'!A887="","",TRIM('Base Oficial'!A887))</f>
        <v/>
      </c>
      <c r="B887" s="6" t="str">
        <f>IF($A887="","",TRIM('Base Oficial'!B887))</f>
        <v/>
      </c>
      <c r="C887" s="6" t="str">
        <f>IF($A887="","",TRIM('Base Oficial'!F887))</f>
        <v/>
      </c>
      <c r="D887" s="6" t="str">
        <f>IF($A887="","",TRIM('Base Oficial'!G887))</f>
        <v/>
      </c>
      <c r="E887" s="6" t="str">
        <f>IF($A887="","",TRIM('Base Oficial'!D887))</f>
        <v/>
      </c>
      <c r="F887" s="4" t="str">
        <f>IF($A887="","",IF(COUNTIF('Base Exámenes'!$C$5:$C$1000, A887)&gt;0, "Completado", IF(M887&lt;&gt;"", M887, "Pendiente")))</f>
        <v/>
      </c>
      <c r="G887" s="11" t="str">
        <f>IF(F887="Completado", IFERROR(IF(INDEX('Base Exámenes'!$D$5:$D$1000, MATCH(A887&amp;"|"&amp;J887, 'Base Exámenes'!$I$5:$I$1000, 0))="", "", INDEX('Base Exámenes'!$D$5:$D$1000, MATCH(A887&amp;"|"&amp;J887, 'Base Exámenes'!$I$5:$I$1000, 0))), ""), "")</f>
        <v/>
      </c>
      <c r="H887" s="11" t="str">
        <f>IF(F887="Completado", IFERROR(IF(INDEX('Base Exámenes'!$E$5:$E$1000, MATCH(A887&amp;"|"&amp;J887, 'Base Exámenes'!$I$5:$I$1000, 0))="", "", INDEX('Base Exámenes'!$E$5:$E$1000, MATCH(A887&amp;"|"&amp;J887, 'Base Exámenes'!$I$5:$I$1000, 0))), ""), "")</f>
        <v/>
      </c>
      <c r="I887" s="10" t="str">
        <f>IF(F887="Completado", IFERROR(IF(INDEX('Base Exámenes'!$F$5:$F$1000, MATCH(A887&amp;"|"&amp;J887, 'Base Exámenes'!$I$5:$I$1000, 0))="", "", INDEX('Base Exámenes'!$F$5:$F$1000, MATCH(A887&amp;"|"&amp;J887, 'Base Exámenes'!$I$5:$I$1000, 0))), ""), "")</f>
        <v/>
      </c>
      <c r="J887" s="6" t="str">
        <f>IF(F887="Completado", IF(COUNTIFS('Base Exámenes'!$C$5:$C$1000, A887, 'Base Exámenes'!$G$5:$G$1000, "&lt;&gt;")=0, "", _xlfn.MAXIFS('Base Exámenes'!$G$5:$G$1000, 'Base Exámenes'!$C$5:$C$1000, A887)), "")</f>
        <v/>
      </c>
      <c r="K887" s="6" t="str">
        <f>IF(F887="Completado", IFERROR(IF(INDEX('Base Exámenes'!$H$5:$H$1000, MATCH(A887&amp;"|"&amp;J887, 'Base Exámenes'!$I$5:$I$1000, 0))="", "", INDEX('Base Exámenes'!$H$5:$H$1000, MATCH(A887&amp;"|"&amp;J887, 'Base Exámenes'!$I$5:$I$1000, 0))), ""), "")</f>
        <v/>
      </c>
      <c r="L887" s="22" t="str">
        <f>IF($A887="","",COUNTIF('Base Exámenes'!$C$5:$C$1000, A887))</f>
        <v/>
      </c>
      <c r="M887" s="6" t="str">
        <f>IF($A887="","",IF(COUNTIF('Base Exámenes'!$C$5:$C$1000, A887)&gt;0, "", TRIM('Base Oficial'!H887)))</f>
        <v/>
      </c>
    </row>
    <row r="888">
      <c r="A888" s="4" t="str">
        <f>IF('Base Oficial'!A888="","",TRIM('Base Oficial'!A888))</f>
        <v/>
      </c>
      <c r="B888" s="6" t="str">
        <f>IF($A888="","",TRIM('Base Oficial'!B888))</f>
        <v/>
      </c>
      <c r="C888" s="6" t="str">
        <f>IF($A888="","",TRIM('Base Oficial'!F888))</f>
        <v/>
      </c>
      <c r="D888" s="6" t="str">
        <f>IF($A888="","",TRIM('Base Oficial'!G888))</f>
        <v/>
      </c>
      <c r="E888" s="6" t="str">
        <f>IF($A888="","",TRIM('Base Oficial'!D888))</f>
        <v/>
      </c>
      <c r="F888" s="4" t="str">
        <f>IF($A888="","",IF(COUNTIF('Base Exámenes'!$C$5:$C$1000, A888)&gt;0, "Completado", IF(M888&lt;&gt;"", M888, "Pendiente")))</f>
        <v/>
      </c>
      <c r="G888" s="11" t="str">
        <f>IF(F888="Completado", IFERROR(IF(INDEX('Base Exámenes'!$D$5:$D$1000, MATCH(A888&amp;"|"&amp;J888, 'Base Exámenes'!$I$5:$I$1000, 0))="", "", INDEX('Base Exámenes'!$D$5:$D$1000, MATCH(A888&amp;"|"&amp;J888, 'Base Exámenes'!$I$5:$I$1000, 0))), ""), "")</f>
        <v/>
      </c>
      <c r="H888" s="11" t="str">
        <f>IF(F888="Completado", IFERROR(IF(INDEX('Base Exámenes'!$E$5:$E$1000, MATCH(A888&amp;"|"&amp;J888, 'Base Exámenes'!$I$5:$I$1000, 0))="", "", INDEX('Base Exámenes'!$E$5:$E$1000, MATCH(A888&amp;"|"&amp;J888, 'Base Exámenes'!$I$5:$I$1000, 0))), ""), "")</f>
        <v/>
      </c>
      <c r="I888" s="10" t="str">
        <f>IF(F888="Completado", IFERROR(IF(INDEX('Base Exámenes'!$F$5:$F$1000, MATCH(A888&amp;"|"&amp;J888, 'Base Exámenes'!$I$5:$I$1000, 0))="", "", INDEX('Base Exámenes'!$F$5:$F$1000, MATCH(A888&amp;"|"&amp;J888, 'Base Exámenes'!$I$5:$I$1000, 0))), ""), "")</f>
        <v/>
      </c>
      <c r="J888" s="6" t="str">
        <f>IF(F888="Completado", IF(COUNTIFS('Base Exámenes'!$C$5:$C$1000, A888, 'Base Exámenes'!$G$5:$G$1000, "&lt;&gt;")=0, "", _xlfn.MAXIFS('Base Exámenes'!$G$5:$G$1000, 'Base Exámenes'!$C$5:$C$1000, A888)), "")</f>
        <v/>
      </c>
      <c r="K888" s="6" t="str">
        <f>IF(F888="Completado", IFERROR(IF(INDEX('Base Exámenes'!$H$5:$H$1000, MATCH(A888&amp;"|"&amp;J888, 'Base Exámenes'!$I$5:$I$1000, 0))="", "", INDEX('Base Exámenes'!$H$5:$H$1000, MATCH(A888&amp;"|"&amp;J888, 'Base Exámenes'!$I$5:$I$1000, 0))), ""), "")</f>
        <v/>
      </c>
      <c r="L888" s="22" t="str">
        <f>IF($A888="","",COUNTIF('Base Exámenes'!$C$5:$C$1000, A888))</f>
        <v/>
      </c>
      <c r="M888" s="6" t="str">
        <f>IF($A888="","",IF(COUNTIF('Base Exámenes'!$C$5:$C$1000, A888)&gt;0, "", TRIM('Base Oficial'!H888)))</f>
        <v/>
      </c>
    </row>
    <row r="889">
      <c r="A889" s="4" t="str">
        <f>IF('Base Oficial'!A889="","",TRIM('Base Oficial'!A889))</f>
        <v/>
      </c>
      <c r="B889" s="6" t="str">
        <f>IF($A889="","",TRIM('Base Oficial'!B889))</f>
        <v/>
      </c>
      <c r="C889" s="6" t="str">
        <f>IF($A889="","",TRIM('Base Oficial'!F889))</f>
        <v/>
      </c>
      <c r="D889" s="6" t="str">
        <f>IF($A889="","",TRIM('Base Oficial'!G889))</f>
        <v/>
      </c>
      <c r="E889" s="6" t="str">
        <f>IF($A889="","",TRIM('Base Oficial'!D889))</f>
        <v/>
      </c>
      <c r="F889" s="4" t="str">
        <f>IF($A889="","",IF(COUNTIF('Base Exámenes'!$C$5:$C$1000, A889)&gt;0, "Completado", IF(M889&lt;&gt;"", M889, "Pendiente")))</f>
        <v/>
      </c>
      <c r="G889" s="11" t="str">
        <f>IF(F889="Completado", IFERROR(IF(INDEX('Base Exámenes'!$D$5:$D$1000, MATCH(A889&amp;"|"&amp;J889, 'Base Exámenes'!$I$5:$I$1000, 0))="", "", INDEX('Base Exámenes'!$D$5:$D$1000, MATCH(A889&amp;"|"&amp;J889, 'Base Exámenes'!$I$5:$I$1000, 0))), ""), "")</f>
        <v/>
      </c>
      <c r="H889" s="11" t="str">
        <f>IF(F889="Completado", IFERROR(IF(INDEX('Base Exámenes'!$E$5:$E$1000, MATCH(A889&amp;"|"&amp;J889, 'Base Exámenes'!$I$5:$I$1000, 0))="", "", INDEX('Base Exámenes'!$E$5:$E$1000, MATCH(A889&amp;"|"&amp;J889, 'Base Exámenes'!$I$5:$I$1000, 0))), ""), "")</f>
        <v/>
      </c>
      <c r="I889" s="10" t="str">
        <f>IF(F889="Completado", IFERROR(IF(INDEX('Base Exámenes'!$F$5:$F$1000, MATCH(A889&amp;"|"&amp;J889, 'Base Exámenes'!$I$5:$I$1000, 0))="", "", INDEX('Base Exámenes'!$F$5:$F$1000, MATCH(A889&amp;"|"&amp;J889, 'Base Exámenes'!$I$5:$I$1000, 0))), ""), "")</f>
        <v/>
      </c>
      <c r="J889" s="6" t="str">
        <f>IF(F889="Completado", IF(COUNTIFS('Base Exámenes'!$C$5:$C$1000, A889, 'Base Exámenes'!$G$5:$G$1000, "&lt;&gt;")=0, "", _xlfn.MAXIFS('Base Exámenes'!$G$5:$G$1000, 'Base Exámenes'!$C$5:$C$1000, A889)), "")</f>
        <v/>
      </c>
      <c r="K889" s="6" t="str">
        <f>IF(F889="Completado", IFERROR(IF(INDEX('Base Exámenes'!$H$5:$H$1000, MATCH(A889&amp;"|"&amp;J889, 'Base Exámenes'!$I$5:$I$1000, 0))="", "", INDEX('Base Exámenes'!$H$5:$H$1000, MATCH(A889&amp;"|"&amp;J889, 'Base Exámenes'!$I$5:$I$1000, 0))), ""), "")</f>
        <v/>
      </c>
      <c r="L889" s="22" t="str">
        <f>IF($A889="","",COUNTIF('Base Exámenes'!$C$5:$C$1000, A889))</f>
        <v/>
      </c>
      <c r="M889" s="6" t="str">
        <f>IF($A889="","",IF(COUNTIF('Base Exámenes'!$C$5:$C$1000, A889)&gt;0, "", TRIM('Base Oficial'!H889)))</f>
        <v/>
      </c>
    </row>
    <row r="890">
      <c r="A890" s="4" t="str">
        <f>IF('Base Oficial'!A890="","",TRIM('Base Oficial'!A890))</f>
        <v/>
      </c>
      <c r="B890" s="6" t="str">
        <f>IF($A890="","",TRIM('Base Oficial'!B890))</f>
        <v/>
      </c>
      <c r="C890" s="6" t="str">
        <f>IF($A890="","",TRIM('Base Oficial'!F890))</f>
        <v/>
      </c>
      <c r="D890" s="6" t="str">
        <f>IF($A890="","",TRIM('Base Oficial'!G890))</f>
        <v/>
      </c>
      <c r="E890" s="6" t="str">
        <f>IF($A890="","",TRIM('Base Oficial'!D890))</f>
        <v/>
      </c>
      <c r="F890" s="4" t="str">
        <f>IF($A890="","",IF(COUNTIF('Base Exámenes'!$C$5:$C$1000, A890)&gt;0, "Completado", IF(M890&lt;&gt;"", M890, "Pendiente")))</f>
        <v/>
      </c>
      <c r="G890" s="11" t="str">
        <f>IF(F890="Completado", IFERROR(IF(INDEX('Base Exámenes'!$D$5:$D$1000, MATCH(A890&amp;"|"&amp;J890, 'Base Exámenes'!$I$5:$I$1000, 0))="", "", INDEX('Base Exámenes'!$D$5:$D$1000, MATCH(A890&amp;"|"&amp;J890, 'Base Exámenes'!$I$5:$I$1000, 0))), ""), "")</f>
        <v/>
      </c>
      <c r="H890" s="11" t="str">
        <f>IF(F890="Completado", IFERROR(IF(INDEX('Base Exámenes'!$E$5:$E$1000, MATCH(A890&amp;"|"&amp;J890, 'Base Exámenes'!$I$5:$I$1000, 0))="", "", INDEX('Base Exámenes'!$E$5:$E$1000, MATCH(A890&amp;"|"&amp;J890, 'Base Exámenes'!$I$5:$I$1000, 0))), ""), "")</f>
        <v/>
      </c>
      <c r="I890" s="10" t="str">
        <f>IF(F890="Completado", IFERROR(IF(INDEX('Base Exámenes'!$F$5:$F$1000, MATCH(A890&amp;"|"&amp;J890, 'Base Exámenes'!$I$5:$I$1000, 0))="", "", INDEX('Base Exámenes'!$F$5:$F$1000, MATCH(A890&amp;"|"&amp;J890, 'Base Exámenes'!$I$5:$I$1000, 0))), ""), "")</f>
        <v/>
      </c>
      <c r="J890" s="6" t="str">
        <f>IF(F890="Completado", IF(COUNTIFS('Base Exámenes'!$C$5:$C$1000, A890, 'Base Exámenes'!$G$5:$G$1000, "&lt;&gt;")=0, "", _xlfn.MAXIFS('Base Exámenes'!$G$5:$G$1000, 'Base Exámenes'!$C$5:$C$1000, A890)), "")</f>
        <v/>
      </c>
      <c r="K890" s="6" t="str">
        <f>IF(F890="Completado", IFERROR(IF(INDEX('Base Exámenes'!$H$5:$H$1000, MATCH(A890&amp;"|"&amp;J890, 'Base Exámenes'!$I$5:$I$1000, 0))="", "", INDEX('Base Exámenes'!$H$5:$H$1000, MATCH(A890&amp;"|"&amp;J890, 'Base Exámenes'!$I$5:$I$1000, 0))), ""), "")</f>
        <v/>
      </c>
      <c r="L890" s="22" t="str">
        <f>IF($A890="","",COUNTIF('Base Exámenes'!$C$5:$C$1000, A890))</f>
        <v/>
      </c>
      <c r="M890" s="6" t="str">
        <f>IF($A890="","",IF(COUNTIF('Base Exámenes'!$C$5:$C$1000, A890)&gt;0, "", TRIM('Base Oficial'!H890)))</f>
        <v/>
      </c>
    </row>
    <row r="891">
      <c r="A891" s="4" t="str">
        <f>IF('Base Oficial'!A891="","",TRIM('Base Oficial'!A891))</f>
        <v/>
      </c>
      <c r="B891" s="6" t="str">
        <f>IF($A891="","",TRIM('Base Oficial'!B891))</f>
        <v/>
      </c>
      <c r="C891" s="6" t="str">
        <f>IF($A891="","",TRIM('Base Oficial'!F891))</f>
        <v/>
      </c>
      <c r="D891" s="6" t="str">
        <f>IF($A891="","",TRIM('Base Oficial'!G891))</f>
        <v/>
      </c>
      <c r="E891" s="6" t="str">
        <f>IF($A891="","",TRIM('Base Oficial'!D891))</f>
        <v/>
      </c>
      <c r="F891" s="4" t="str">
        <f>IF($A891="","",IF(COUNTIF('Base Exámenes'!$C$5:$C$1000, A891)&gt;0, "Completado", IF(M891&lt;&gt;"", M891, "Pendiente")))</f>
        <v/>
      </c>
      <c r="G891" s="11" t="str">
        <f>IF(F891="Completado", IFERROR(IF(INDEX('Base Exámenes'!$D$5:$D$1000, MATCH(A891&amp;"|"&amp;J891, 'Base Exámenes'!$I$5:$I$1000, 0))="", "", INDEX('Base Exámenes'!$D$5:$D$1000, MATCH(A891&amp;"|"&amp;J891, 'Base Exámenes'!$I$5:$I$1000, 0))), ""), "")</f>
        <v/>
      </c>
      <c r="H891" s="11" t="str">
        <f>IF(F891="Completado", IFERROR(IF(INDEX('Base Exámenes'!$E$5:$E$1000, MATCH(A891&amp;"|"&amp;J891, 'Base Exámenes'!$I$5:$I$1000, 0))="", "", INDEX('Base Exámenes'!$E$5:$E$1000, MATCH(A891&amp;"|"&amp;J891, 'Base Exámenes'!$I$5:$I$1000, 0))), ""), "")</f>
        <v/>
      </c>
      <c r="I891" s="10" t="str">
        <f>IF(F891="Completado", IFERROR(IF(INDEX('Base Exámenes'!$F$5:$F$1000, MATCH(A891&amp;"|"&amp;J891, 'Base Exámenes'!$I$5:$I$1000, 0))="", "", INDEX('Base Exámenes'!$F$5:$F$1000, MATCH(A891&amp;"|"&amp;J891, 'Base Exámenes'!$I$5:$I$1000, 0))), ""), "")</f>
        <v/>
      </c>
      <c r="J891" s="6" t="str">
        <f>IF(F891="Completado", IF(COUNTIFS('Base Exámenes'!$C$5:$C$1000, A891, 'Base Exámenes'!$G$5:$G$1000, "&lt;&gt;")=0, "", _xlfn.MAXIFS('Base Exámenes'!$G$5:$G$1000, 'Base Exámenes'!$C$5:$C$1000, A891)), "")</f>
        <v/>
      </c>
      <c r="K891" s="6" t="str">
        <f>IF(F891="Completado", IFERROR(IF(INDEX('Base Exámenes'!$H$5:$H$1000, MATCH(A891&amp;"|"&amp;J891, 'Base Exámenes'!$I$5:$I$1000, 0))="", "", INDEX('Base Exámenes'!$H$5:$H$1000, MATCH(A891&amp;"|"&amp;J891, 'Base Exámenes'!$I$5:$I$1000, 0))), ""), "")</f>
        <v/>
      </c>
      <c r="L891" s="22" t="str">
        <f>IF($A891="","",COUNTIF('Base Exámenes'!$C$5:$C$1000, A891))</f>
        <v/>
      </c>
      <c r="M891" s="6" t="str">
        <f>IF($A891="","",IF(COUNTIF('Base Exámenes'!$C$5:$C$1000, A891)&gt;0, "", TRIM('Base Oficial'!H891)))</f>
        <v/>
      </c>
    </row>
    <row r="892">
      <c r="A892" s="4" t="str">
        <f>IF('Base Oficial'!A892="","",TRIM('Base Oficial'!A892))</f>
        <v/>
      </c>
      <c r="B892" s="6" t="str">
        <f>IF($A892="","",TRIM('Base Oficial'!B892))</f>
        <v/>
      </c>
      <c r="C892" s="6" t="str">
        <f>IF($A892="","",TRIM('Base Oficial'!F892))</f>
        <v/>
      </c>
      <c r="D892" s="6" t="str">
        <f>IF($A892="","",TRIM('Base Oficial'!G892))</f>
        <v/>
      </c>
      <c r="E892" s="6" t="str">
        <f>IF($A892="","",TRIM('Base Oficial'!D892))</f>
        <v/>
      </c>
      <c r="F892" s="4" t="str">
        <f>IF($A892="","",IF(COUNTIF('Base Exámenes'!$C$5:$C$1000, A892)&gt;0, "Completado", IF(M892&lt;&gt;"", M892, "Pendiente")))</f>
        <v/>
      </c>
      <c r="G892" s="11" t="str">
        <f>IF(F892="Completado", IFERROR(IF(INDEX('Base Exámenes'!$D$5:$D$1000, MATCH(A892&amp;"|"&amp;J892, 'Base Exámenes'!$I$5:$I$1000, 0))="", "", INDEX('Base Exámenes'!$D$5:$D$1000, MATCH(A892&amp;"|"&amp;J892, 'Base Exámenes'!$I$5:$I$1000, 0))), ""), "")</f>
        <v/>
      </c>
      <c r="H892" s="11" t="str">
        <f>IF(F892="Completado", IFERROR(IF(INDEX('Base Exámenes'!$E$5:$E$1000, MATCH(A892&amp;"|"&amp;J892, 'Base Exámenes'!$I$5:$I$1000, 0))="", "", INDEX('Base Exámenes'!$E$5:$E$1000, MATCH(A892&amp;"|"&amp;J892, 'Base Exámenes'!$I$5:$I$1000, 0))), ""), "")</f>
        <v/>
      </c>
      <c r="I892" s="10" t="str">
        <f>IF(F892="Completado", IFERROR(IF(INDEX('Base Exámenes'!$F$5:$F$1000, MATCH(A892&amp;"|"&amp;J892, 'Base Exámenes'!$I$5:$I$1000, 0))="", "", INDEX('Base Exámenes'!$F$5:$F$1000, MATCH(A892&amp;"|"&amp;J892, 'Base Exámenes'!$I$5:$I$1000, 0))), ""), "")</f>
        <v/>
      </c>
      <c r="J892" s="6" t="str">
        <f>IF(F892="Completado", IF(COUNTIFS('Base Exámenes'!$C$5:$C$1000, A892, 'Base Exámenes'!$G$5:$G$1000, "&lt;&gt;")=0, "", _xlfn.MAXIFS('Base Exámenes'!$G$5:$G$1000, 'Base Exámenes'!$C$5:$C$1000, A892)), "")</f>
        <v/>
      </c>
      <c r="K892" s="6" t="str">
        <f>IF(F892="Completado", IFERROR(IF(INDEX('Base Exámenes'!$H$5:$H$1000, MATCH(A892&amp;"|"&amp;J892, 'Base Exámenes'!$I$5:$I$1000, 0))="", "", INDEX('Base Exámenes'!$H$5:$H$1000, MATCH(A892&amp;"|"&amp;J892, 'Base Exámenes'!$I$5:$I$1000, 0))), ""), "")</f>
        <v/>
      </c>
      <c r="L892" s="22" t="str">
        <f>IF($A892="","",COUNTIF('Base Exámenes'!$C$5:$C$1000, A892))</f>
        <v/>
      </c>
      <c r="M892" s="6" t="str">
        <f>IF($A892="","",IF(COUNTIF('Base Exámenes'!$C$5:$C$1000, A892)&gt;0, "", TRIM('Base Oficial'!H892)))</f>
        <v/>
      </c>
    </row>
    <row r="893">
      <c r="A893" s="4" t="str">
        <f>IF('Base Oficial'!A893="","",TRIM('Base Oficial'!A893))</f>
        <v/>
      </c>
      <c r="B893" s="6" t="str">
        <f>IF($A893="","",TRIM('Base Oficial'!B893))</f>
        <v/>
      </c>
      <c r="C893" s="6" t="str">
        <f>IF($A893="","",TRIM('Base Oficial'!F893))</f>
        <v/>
      </c>
      <c r="D893" s="6" t="str">
        <f>IF($A893="","",TRIM('Base Oficial'!G893))</f>
        <v/>
      </c>
      <c r="E893" s="6" t="str">
        <f>IF($A893="","",TRIM('Base Oficial'!D893))</f>
        <v/>
      </c>
      <c r="F893" s="4" t="str">
        <f>IF($A893="","",IF(COUNTIF('Base Exámenes'!$C$5:$C$1000, A893)&gt;0, "Completado", IF(M893&lt;&gt;"", M893, "Pendiente")))</f>
        <v/>
      </c>
      <c r="G893" s="11" t="str">
        <f>IF(F893="Completado", IFERROR(IF(INDEX('Base Exámenes'!$D$5:$D$1000, MATCH(A893&amp;"|"&amp;J893, 'Base Exámenes'!$I$5:$I$1000, 0))="", "", INDEX('Base Exámenes'!$D$5:$D$1000, MATCH(A893&amp;"|"&amp;J893, 'Base Exámenes'!$I$5:$I$1000, 0))), ""), "")</f>
        <v/>
      </c>
      <c r="H893" s="11" t="str">
        <f>IF(F893="Completado", IFERROR(IF(INDEX('Base Exámenes'!$E$5:$E$1000, MATCH(A893&amp;"|"&amp;J893, 'Base Exámenes'!$I$5:$I$1000, 0))="", "", INDEX('Base Exámenes'!$E$5:$E$1000, MATCH(A893&amp;"|"&amp;J893, 'Base Exámenes'!$I$5:$I$1000, 0))), ""), "")</f>
        <v/>
      </c>
      <c r="I893" s="10" t="str">
        <f>IF(F893="Completado", IFERROR(IF(INDEX('Base Exámenes'!$F$5:$F$1000, MATCH(A893&amp;"|"&amp;J893, 'Base Exámenes'!$I$5:$I$1000, 0))="", "", INDEX('Base Exámenes'!$F$5:$F$1000, MATCH(A893&amp;"|"&amp;J893, 'Base Exámenes'!$I$5:$I$1000, 0))), ""), "")</f>
        <v/>
      </c>
      <c r="J893" s="6" t="str">
        <f>IF(F893="Completado", IF(COUNTIFS('Base Exámenes'!$C$5:$C$1000, A893, 'Base Exámenes'!$G$5:$G$1000, "&lt;&gt;")=0, "", _xlfn.MAXIFS('Base Exámenes'!$G$5:$G$1000, 'Base Exámenes'!$C$5:$C$1000, A893)), "")</f>
        <v/>
      </c>
      <c r="K893" s="6" t="str">
        <f>IF(F893="Completado", IFERROR(IF(INDEX('Base Exámenes'!$H$5:$H$1000, MATCH(A893&amp;"|"&amp;J893, 'Base Exámenes'!$I$5:$I$1000, 0))="", "", INDEX('Base Exámenes'!$H$5:$H$1000, MATCH(A893&amp;"|"&amp;J893, 'Base Exámenes'!$I$5:$I$1000, 0))), ""), "")</f>
        <v/>
      </c>
      <c r="L893" s="22" t="str">
        <f>IF($A893="","",COUNTIF('Base Exámenes'!$C$5:$C$1000, A893))</f>
        <v/>
      </c>
      <c r="M893" s="6" t="str">
        <f>IF($A893="","",IF(COUNTIF('Base Exámenes'!$C$5:$C$1000, A893)&gt;0, "", TRIM('Base Oficial'!H893)))</f>
        <v/>
      </c>
    </row>
    <row r="894">
      <c r="A894" s="4" t="str">
        <f>IF('Base Oficial'!A894="","",TRIM('Base Oficial'!A894))</f>
        <v/>
      </c>
      <c r="B894" s="6" t="str">
        <f>IF($A894="","",TRIM('Base Oficial'!B894))</f>
        <v/>
      </c>
      <c r="C894" s="6" t="str">
        <f>IF($A894="","",TRIM('Base Oficial'!F894))</f>
        <v/>
      </c>
      <c r="D894" s="6" t="str">
        <f>IF($A894="","",TRIM('Base Oficial'!G894))</f>
        <v/>
      </c>
      <c r="E894" s="6" t="str">
        <f>IF($A894="","",TRIM('Base Oficial'!D894))</f>
        <v/>
      </c>
      <c r="F894" s="4" t="str">
        <f>IF($A894="","",IF(COUNTIF('Base Exámenes'!$C$5:$C$1000, A894)&gt;0, "Completado", IF(M894&lt;&gt;"", M894, "Pendiente")))</f>
        <v/>
      </c>
      <c r="G894" s="11" t="str">
        <f>IF(F894="Completado", IFERROR(IF(INDEX('Base Exámenes'!$D$5:$D$1000, MATCH(A894&amp;"|"&amp;J894, 'Base Exámenes'!$I$5:$I$1000, 0))="", "", INDEX('Base Exámenes'!$D$5:$D$1000, MATCH(A894&amp;"|"&amp;J894, 'Base Exámenes'!$I$5:$I$1000, 0))), ""), "")</f>
        <v/>
      </c>
      <c r="H894" s="11" t="str">
        <f>IF(F894="Completado", IFERROR(IF(INDEX('Base Exámenes'!$E$5:$E$1000, MATCH(A894&amp;"|"&amp;J894, 'Base Exámenes'!$I$5:$I$1000, 0))="", "", INDEX('Base Exámenes'!$E$5:$E$1000, MATCH(A894&amp;"|"&amp;J894, 'Base Exámenes'!$I$5:$I$1000, 0))), ""), "")</f>
        <v/>
      </c>
      <c r="I894" s="10" t="str">
        <f>IF(F894="Completado", IFERROR(IF(INDEX('Base Exámenes'!$F$5:$F$1000, MATCH(A894&amp;"|"&amp;J894, 'Base Exámenes'!$I$5:$I$1000, 0))="", "", INDEX('Base Exámenes'!$F$5:$F$1000, MATCH(A894&amp;"|"&amp;J894, 'Base Exámenes'!$I$5:$I$1000, 0))), ""), "")</f>
        <v/>
      </c>
      <c r="J894" s="6" t="str">
        <f>IF(F894="Completado", IF(COUNTIFS('Base Exámenes'!$C$5:$C$1000, A894, 'Base Exámenes'!$G$5:$G$1000, "&lt;&gt;")=0, "", _xlfn.MAXIFS('Base Exámenes'!$G$5:$G$1000, 'Base Exámenes'!$C$5:$C$1000, A894)), "")</f>
        <v/>
      </c>
      <c r="K894" s="6" t="str">
        <f>IF(F894="Completado", IFERROR(IF(INDEX('Base Exámenes'!$H$5:$H$1000, MATCH(A894&amp;"|"&amp;J894, 'Base Exámenes'!$I$5:$I$1000, 0))="", "", INDEX('Base Exámenes'!$H$5:$H$1000, MATCH(A894&amp;"|"&amp;J894, 'Base Exámenes'!$I$5:$I$1000, 0))), ""), "")</f>
        <v/>
      </c>
      <c r="L894" s="22" t="str">
        <f>IF($A894="","",COUNTIF('Base Exámenes'!$C$5:$C$1000, A894))</f>
        <v/>
      </c>
      <c r="M894" s="6" t="str">
        <f>IF($A894="","",IF(COUNTIF('Base Exámenes'!$C$5:$C$1000, A894)&gt;0, "", TRIM('Base Oficial'!H894)))</f>
        <v/>
      </c>
    </row>
    <row r="895">
      <c r="A895" s="4" t="str">
        <f>IF('Base Oficial'!A895="","",TRIM('Base Oficial'!A895))</f>
        <v/>
      </c>
      <c r="B895" s="6" t="str">
        <f>IF($A895="","",TRIM('Base Oficial'!B895))</f>
        <v/>
      </c>
      <c r="C895" s="6" t="str">
        <f>IF($A895="","",TRIM('Base Oficial'!F895))</f>
        <v/>
      </c>
      <c r="D895" s="6" t="str">
        <f>IF($A895="","",TRIM('Base Oficial'!G895))</f>
        <v/>
      </c>
      <c r="E895" s="6" t="str">
        <f>IF($A895="","",TRIM('Base Oficial'!D895))</f>
        <v/>
      </c>
      <c r="F895" s="4" t="str">
        <f>IF($A895="","",IF(COUNTIF('Base Exámenes'!$C$5:$C$1000, A895)&gt;0, "Completado", IF(M895&lt;&gt;"", M895, "Pendiente")))</f>
        <v/>
      </c>
      <c r="G895" s="11" t="str">
        <f>IF(F895="Completado", IFERROR(IF(INDEX('Base Exámenes'!$D$5:$D$1000, MATCH(A895&amp;"|"&amp;J895, 'Base Exámenes'!$I$5:$I$1000, 0))="", "", INDEX('Base Exámenes'!$D$5:$D$1000, MATCH(A895&amp;"|"&amp;J895, 'Base Exámenes'!$I$5:$I$1000, 0))), ""), "")</f>
        <v/>
      </c>
      <c r="H895" s="11" t="str">
        <f>IF(F895="Completado", IFERROR(IF(INDEX('Base Exámenes'!$E$5:$E$1000, MATCH(A895&amp;"|"&amp;J895, 'Base Exámenes'!$I$5:$I$1000, 0))="", "", INDEX('Base Exámenes'!$E$5:$E$1000, MATCH(A895&amp;"|"&amp;J895, 'Base Exámenes'!$I$5:$I$1000, 0))), ""), "")</f>
        <v/>
      </c>
      <c r="I895" s="10" t="str">
        <f>IF(F895="Completado", IFERROR(IF(INDEX('Base Exámenes'!$F$5:$F$1000, MATCH(A895&amp;"|"&amp;J895, 'Base Exámenes'!$I$5:$I$1000, 0))="", "", INDEX('Base Exámenes'!$F$5:$F$1000, MATCH(A895&amp;"|"&amp;J895, 'Base Exámenes'!$I$5:$I$1000, 0))), ""), "")</f>
        <v/>
      </c>
      <c r="J895" s="6" t="str">
        <f>IF(F895="Completado", IF(COUNTIFS('Base Exámenes'!$C$5:$C$1000, A895, 'Base Exámenes'!$G$5:$G$1000, "&lt;&gt;")=0, "", _xlfn.MAXIFS('Base Exámenes'!$G$5:$G$1000, 'Base Exámenes'!$C$5:$C$1000, A895)), "")</f>
        <v/>
      </c>
      <c r="K895" s="6" t="str">
        <f>IF(F895="Completado", IFERROR(IF(INDEX('Base Exámenes'!$H$5:$H$1000, MATCH(A895&amp;"|"&amp;J895, 'Base Exámenes'!$I$5:$I$1000, 0))="", "", INDEX('Base Exámenes'!$H$5:$H$1000, MATCH(A895&amp;"|"&amp;J895, 'Base Exámenes'!$I$5:$I$1000, 0))), ""), "")</f>
        <v/>
      </c>
      <c r="L895" s="22" t="str">
        <f>IF($A895="","",COUNTIF('Base Exámenes'!$C$5:$C$1000, A895))</f>
        <v/>
      </c>
      <c r="M895" s="6" t="str">
        <f>IF($A895="","",IF(COUNTIF('Base Exámenes'!$C$5:$C$1000, A895)&gt;0, "", TRIM('Base Oficial'!H895)))</f>
        <v/>
      </c>
    </row>
    <row r="896">
      <c r="A896" s="4" t="str">
        <f>IF('Base Oficial'!A896="","",TRIM('Base Oficial'!A896))</f>
        <v/>
      </c>
      <c r="B896" s="6" t="str">
        <f>IF($A896="","",TRIM('Base Oficial'!B896))</f>
        <v/>
      </c>
      <c r="C896" s="6" t="str">
        <f>IF($A896="","",TRIM('Base Oficial'!F896))</f>
        <v/>
      </c>
      <c r="D896" s="6" t="str">
        <f>IF($A896="","",TRIM('Base Oficial'!G896))</f>
        <v/>
      </c>
      <c r="E896" s="6" t="str">
        <f>IF($A896="","",TRIM('Base Oficial'!D896))</f>
        <v/>
      </c>
      <c r="F896" s="4" t="str">
        <f>IF($A896="","",IF(COUNTIF('Base Exámenes'!$C$5:$C$1000, A896)&gt;0, "Completado", IF(M896&lt;&gt;"", M896, "Pendiente")))</f>
        <v/>
      </c>
      <c r="G896" s="11" t="str">
        <f>IF(F896="Completado", IFERROR(IF(INDEX('Base Exámenes'!$D$5:$D$1000, MATCH(A896&amp;"|"&amp;J896, 'Base Exámenes'!$I$5:$I$1000, 0))="", "", INDEX('Base Exámenes'!$D$5:$D$1000, MATCH(A896&amp;"|"&amp;J896, 'Base Exámenes'!$I$5:$I$1000, 0))), ""), "")</f>
        <v/>
      </c>
      <c r="H896" s="11" t="str">
        <f>IF(F896="Completado", IFERROR(IF(INDEX('Base Exámenes'!$E$5:$E$1000, MATCH(A896&amp;"|"&amp;J896, 'Base Exámenes'!$I$5:$I$1000, 0))="", "", INDEX('Base Exámenes'!$E$5:$E$1000, MATCH(A896&amp;"|"&amp;J896, 'Base Exámenes'!$I$5:$I$1000, 0))), ""), "")</f>
        <v/>
      </c>
      <c r="I896" s="10" t="str">
        <f>IF(F896="Completado", IFERROR(IF(INDEX('Base Exámenes'!$F$5:$F$1000, MATCH(A896&amp;"|"&amp;J896, 'Base Exámenes'!$I$5:$I$1000, 0))="", "", INDEX('Base Exámenes'!$F$5:$F$1000, MATCH(A896&amp;"|"&amp;J896, 'Base Exámenes'!$I$5:$I$1000, 0))), ""), "")</f>
        <v/>
      </c>
      <c r="J896" s="6" t="str">
        <f>IF(F896="Completado", IF(COUNTIFS('Base Exámenes'!$C$5:$C$1000, A896, 'Base Exámenes'!$G$5:$G$1000, "&lt;&gt;")=0, "", _xlfn.MAXIFS('Base Exámenes'!$G$5:$G$1000, 'Base Exámenes'!$C$5:$C$1000, A896)), "")</f>
        <v/>
      </c>
      <c r="K896" s="6" t="str">
        <f>IF(F896="Completado", IFERROR(IF(INDEX('Base Exámenes'!$H$5:$H$1000, MATCH(A896&amp;"|"&amp;J896, 'Base Exámenes'!$I$5:$I$1000, 0))="", "", INDEX('Base Exámenes'!$H$5:$H$1000, MATCH(A896&amp;"|"&amp;J896, 'Base Exámenes'!$I$5:$I$1000, 0))), ""), "")</f>
        <v/>
      </c>
      <c r="L896" s="22" t="str">
        <f>IF($A896="","",COUNTIF('Base Exámenes'!$C$5:$C$1000, A896))</f>
        <v/>
      </c>
      <c r="M896" s="6" t="str">
        <f>IF($A896="","",IF(COUNTIF('Base Exámenes'!$C$5:$C$1000, A896)&gt;0, "", TRIM('Base Oficial'!H896)))</f>
        <v/>
      </c>
    </row>
    <row r="897">
      <c r="A897" s="4" t="str">
        <f>IF('Base Oficial'!A897="","",TRIM('Base Oficial'!A897))</f>
        <v/>
      </c>
      <c r="B897" s="6" t="str">
        <f>IF($A897="","",TRIM('Base Oficial'!B897))</f>
        <v/>
      </c>
      <c r="C897" s="6" t="str">
        <f>IF($A897="","",TRIM('Base Oficial'!F897))</f>
        <v/>
      </c>
      <c r="D897" s="6" t="str">
        <f>IF($A897="","",TRIM('Base Oficial'!G897))</f>
        <v/>
      </c>
      <c r="E897" s="6" t="str">
        <f>IF($A897="","",TRIM('Base Oficial'!D897))</f>
        <v/>
      </c>
      <c r="F897" s="4" t="str">
        <f>IF($A897="","",IF(COUNTIF('Base Exámenes'!$C$5:$C$1000, A897)&gt;0, "Completado", IF(M897&lt;&gt;"", M897, "Pendiente")))</f>
        <v/>
      </c>
      <c r="G897" s="11" t="str">
        <f>IF(F897="Completado", IFERROR(IF(INDEX('Base Exámenes'!$D$5:$D$1000, MATCH(A897&amp;"|"&amp;J897, 'Base Exámenes'!$I$5:$I$1000, 0))="", "", INDEX('Base Exámenes'!$D$5:$D$1000, MATCH(A897&amp;"|"&amp;J897, 'Base Exámenes'!$I$5:$I$1000, 0))), ""), "")</f>
        <v/>
      </c>
      <c r="H897" s="11" t="str">
        <f>IF(F897="Completado", IFERROR(IF(INDEX('Base Exámenes'!$E$5:$E$1000, MATCH(A897&amp;"|"&amp;J897, 'Base Exámenes'!$I$5:$I$1000, 0))="", "", INDEX('Base Exámenes'!$E$5:$E$1000, MATCH(A897&amp;"|"&amp;J897, 'Base Exámenes'!$I$5:$I$1000, 0))), ""), "")</f>
        <v/>
      </c>
      <c r="I897" s="10" t="str">
        <f>IF(F897="Completado", IFERROR(IF(INDEX('Base Exámenes'!$F$5:$F$1000, MATCH(A897&amp;"|"&amp;J897, 'Base Exámenes'!$I$5:$I$1000, 0))="", "", INDEX('Base Exámenes'!$F$5:$F$1000, MATCH(A897&amp;"|"&amp;J897, 'Base Exámenes'!$I$5:$I$1000, 0))), ""), "")</f>
        <v/>
      </c>
      <c r="J897" s="6" t="str">
        <f>IF(F897="Completado", IF(COUNTIFS('Base Exámenes'!$C$5:$C$1000, A897, 'Base Exámenes'!$G$5:$G$1000, "&lt;&gt;")=0, "", _xlfn.MAXIFS('Base Exámenes'!$G$5:$G$1000, 'Base Exámenes'!$C$5:$C$1000, A897)), "")</f>
        <v/>
      </c>
      <c r="K897" s="6" t="str">
        <f>IF(F897="Completado", IFERROR(IF(INDEX('Base Exámenes'!$H$5:$H$1000, MATCH(A897&amp;"|"&amp;J897, 'Base Exámenes'!$I$5:$I$1000, 0))="", "", INDEX('Base Exámenes'!$H$5:$H$1000, MATCH(A897&amp;"|"&amp;J897, 'Base Exámenes'!$I$5:$I$1000, 0))), ""), "")</f>
        <v/>
      </c>
      <c r="L897" s="22" t="str">
        <f>IF($A897="","",COUNTIF('Base Exámenes'!$C$5:$C$1000, A897))</f>
        <v/>
      </c>
      <c r="M897" s="6" t="str">
        <f>IF($A897="","",IF(COUNTIF('Base Exámenes'!$C$5:$C$1000, A897)&gt;0, "", TRIM('Base Oficial'!H897)))</f>
        <v/>
      </c>
    </row>
    <row r="898">
      <c r="A898" s="4" t="str">
        <f>IF('Base Oficial'!A898="","",TRIM('Base Oficial'!A898))</f>
        <v/>
      </c>
      <c r="B898" s="6" t="str">
        <f>IF($A898="","",TRIM('Base Oficial'!B898))</f>
        <v/>
      </c>
      <c r="C898" s="6" t="str">
        <f>IF($A898="","",TRIM('Base Oficial'!F898))</f>
        <v/>
      </c>
      <c r="D898" s="6" t="str">
        <f>IF($A898="","",TRIM('Base Oficial'!G898))</f>
        <v/>
      </c>
      <c r="E898" s="6" t="str">
        <f>IF($A898="","",TRIM('Base Oficial'!D898))</f>
        <v/>
      </c>
      <c r="F898" s="4" t="str">
        <f>IF($A898="","",IF(COUNTIF('Base Exámenes'!$C$5:$C$1000, A898)&gt;0, "Completado", IF(M898&lt;&gt;"", M898, "Pendiente")))</f>
        <v/>
      </c>
      <c r="G898" s="11" t="str">
        <f>IF(F898="Completado", IFERROR(IF(INDEX('Base Exámenes'!$D$5:$D$1000, MATCH(A898&amp;"|"&amp;J898, 'Base Exámenes'!$I$5:$I$1000, 0))="", "", INDEX('Base Exámenes'!$D$5:$D$1000, MATCH(A898&amp;"|"&amp;J898, 'Base Exámenes'!$I$5:$I$1000, 0))), ""), "")</f>
        <v/>
      </c>
      <c r="H898" s="11" t="str">
        <f>IF(F898="Completado", IFERROR(IF(INDEX('Base Exámenes'!$E$5:$E$1000, MATCH(A898&amp;"|"&amp;J898, 'Base Exámenes'!$I$5:$I$1000, 0))="", "", INDEX('Base Exámenes'!$E$5:$E$1000, MATCH(A898&amp;"|"&amp;J898, 'Base Exámenes'!$I$5:$I$1000, 0))), ""), "")</f>
        <v/>
      </c>
      <c r="I898" s="10" t="str">
        <f>IF(F898="Completado", IFERROR(IF(INDEX('Base Exámenes'!$F$5:$F$1000, MATCH(A898&amp;"|"&amp;J898, 'Base Exámenes'!$I$5:$I$1000, 0))="", "", INDEX('Base Exámenes'!$F$5:$F$1000, MATCH(A898&amp;"|"&amp;J898, 'Base Exámenes'!$I$5:$I$1000, 0))), ""), "")</f>
        <v/>
      </c>
      <c r="J898" s="6" t="str">
        <f>IF(F898="Completado", IF(COUNTIFS('Base Exámenes'!$C$5:$C$1000, A898, 'Base Exámenes'!$G$5:$G$1000, "&lt;&gt;")=0, "", _xlfn.MAXIFS('Base Exámenes'!$G$5:$G$1000, 'Base Exámenes'!$C$5:$C$1000, A898)), "")</f>
        <v/>
      </c>
      <c r="K898" s="6" t="str">
        <f>IF(F898="Completado", IFERROR(IF(INDEX('Base Exámenes'!$H$5:$H$1000, MATCH(A898&amp;"|"&amp;J898, 'Base Exámenes'!$I$5:$I$1000, 0))="", "", INDEX('Base Exámenes'!$H$5:$H$1000, MATCH(A898&amp;"|"&amp;J898, 'Base Exámenes'!$I$5:$I$1000, 0))), ""), "")</f>
        <v/>
      </c>
      <c r="L898" s="22" t="str">
        <f>IF($A898="","",COUNTIF('Base Exámenes'!$C$5:$C$1000, A898))</f>
        <v/>
      </c>
      <c r="M898" s="6" t="str">
        <f>IF($A898="","",IF(COUNTIF('Base Exámenes'!$C$5:$C$1000, A898)&gt;0, "", TRIM('Base Oficial'!H898)))</f>
        <v/>
      </c>
    </row>
    <row r="899">
      <c r="A899" s="4" t="str">
        <f>IF('Base Oficial'!A899="","",TRIM('Base Oficial'!A899))</f>
        <v/>
      </c>
      <c r="B899" s="6" t="str">
        <f>IF($A899="","",TRIM('Base Oficial'!B899))</f>
        <v/>
      </c>
      <c r="C899" s="6" t="str">
        <f>IF($A899="","",TRIM('Base Oficial'!F899))</f>
        <v/>
      </c>
      <c r="D899" s="6" t="str">
        <f>IF($A899="","",TRIM('Base Oficial'!G899))</f>
        <v/>
      </c>
      <c r="E899" s="6" t="str">
        <f>IF($A899="","",TRIM('Base Oficial'!D899))</f>
        <v/>
      </c>
      <c r="F899" s="4" t="str">
        <f>IF($A899="","",IF(COUNTIF('Base Exámenes'!$C$5:$C$1000, A899)&gt;0, "Completado", IF(M899&lt;&gt;"", M899, "Pendiente")))</f>
        <v/>
      </c>
      <c r="G899" s="11" t="str">
        <f>IF(F899="Completado", IFERROR(IF(INDEX('Base Exámenes'!$D$5:$D$1000, MATCH(A899&amp;"|"&amp;J899, 'Base Exámenes'!$I$5:$I$1000, 0))="", "", INDEX('Base Exámenes'!$D$5:$D$1000, MATCH(A899&amp;"|"&amp;J899, 'Base Exámenes'!$I$5:$I$1000, 0))), ""), "")</f>
        <v/>
      </c>
      <c r="H899" s="11" t="str">
        <f>IF(F899="Completado", IFERROR(IF(INDEX('Base Exámenes'!$E$5:$E$1000, MATCH(A899&amp;"|"&amp;J899, 'Base Exámenes'!$I$5:$I$1000, 0))="", "", INDEX('Base Exámenes'!$E$5:$E$1000, MATCH(A899&amp;"|"&amp;J899, 'Base Exámenes'!$I$5:$I$1000, 0))), ""), "")</f>
        <v/>
      </c>
      <c r="I899" s="10" t="str">
        <f>IF(F899="Completado", IFERROR(IF(INDEX('Base Exámenes'!$F$5:$F$1000, MATCH(A899&amp;"|"&amp;J899, 'Base Exámenes'!$I$5:$I$1000, 0))="", "", INDEX('Base Exámenes'!$F$5:$F$1000, MATCH(A899&amp;"|"&amp;J899, 'Base Exámenes'!$I$5:$I$1000, 0))), ""), "")</f>
        <v/>
      </c>
      <c r="J899" s="6" t="str">
        <f>IF(F899="Completado", IF(COUNTIFS('Base Exámenes'!$C$5:$C$1000, A899, 'Base Exámenes'!$G$5:$G$1000, "&lt;&gt;")=0, "", _xlfn.MAXIFS('Base Exámenes'!$G$5:$G$1000, 'Base Exámenes'!$C$5:$C$1000, A899)), "")</f>
        <v/>
      </c>
      <c r="K899" s="6" t="str">
        <f>IF(F899="Completado", IFERROR(IF(INDEX('Base Exámenes'!$H$5:$H$1000, MATCH(A899&amp;"|"&amp;J899, 'Base Exámenes'!$I$5:$I$1000, 0))="", "", INDEX('Base Exámenes'!$H$5:$H$1000, MATCH(A899&amp;"|"&amp;J899, 'Base Exámenes'!$I$5:$I$1000, 0))), ""), "")</f>
        <v/>
      </c>
      <c r="L899" s="22" t="str">
        <f>IF($A899="","",COUNTIF('Base Exámenes'!$C$5:$C$1000, A899))</f>
        <v/>
      </c>
      <c r="M899" s="6" t="str">
        <f>IF($A899="","",IF(COUNTIF('Base Exámenes'!$C$5:$C$1000, A899)&gt;0, "", TRIM('Base Oficial'!H899)))</f>
        <v/>
      </c>
    </row>
    <row r="900">
      <c r="A900" s="4" t="str">
        <f>IF('Base Oficial'!A900="","",TRIM('Base Oficial'!A900))</f>
        <v/>
      </c>
      <c r="B900" s="6" t="str">
        <f>IF($A900="","",TRIM('Base Oficial'!B900))</f>
        <v/>
      </c>
      <c r="C900" s="6" t="str">
        <f>IF($A900="","",TRIM('Base Oficial'!F900))</f>
        <v/>
      </c>
      <c r="D900" s="6" t="str">
        <f>IF($A900="","",TRIM('Base Oficial'!G900))</f>
        <v/>
      </c>
      <c r="E900" s="6" t="str">
        <f>IF($A900="","",TRIM('Base Oficial'!D900))</f>
        <v/>
      </c>
      <c r="F900" s="4" t="str">
        <f>IF($A900="","",IF(COUNTIF('Base Exámenes'!$C$5:$C$1000, A900)&gt;0, "Completado", IF(M900&lt;&gt;"", M900, "Pendiente")))</f>
        <v/>
      </c>
      <c r="G900" s="11" t="str">
        <f>IF(F900="Completado", IFERROR(IF(INDEX('Base Exámenes'!$D$5:$D$1000, MATCH(A900&amp;"|"&amp;J900, 'Base Exámenes'!$I$5:$I$1000, 0))="", "", INDEX('Base Exámenes'!$D$5:$D$1000, MATCH(A900&amp;"|"&amp;J900, 'Base Exámenes'!$I$5:$I$1000, 0))), ""), "")</f>
        <v/>
      </c>
      <c r="H900" s="11" t="str">
        <f>IF(F900="Completado", IFERROR(IF(INDEX('Base Exámenes'!$E$5:$E$1000, MATCH(A900&amp;"|"&amp;J900, 'Base Exámenes'!$I$5:$I$1000, 0))="", "", INDEX('Base Exámenes'!$E$5:$E$1000, MATCH(A900&amp;"|"&amp;J900, 'Base Exámenes'!$I$5:$I$1000, 0))), ""), "")</f>
        <v/>
      </c>
      <c r="I900" s="10" t="str">
        <f>IF(F900="Completado", IFERROR(IF(INDEX('Base Exámenes'!$F$5:$F$1000, MATCH(A900&amp;"|"&amp;J900, 'Base Exámenes'!$I$5:$I$1000, 0))="", "", INDEX('Base Exámenes'!$F$5:$F$1000, MATCH(A900&amp;"|"&amp;J900, 'Base Exámenes'!$I$5:$I$1000, 0))), ""), "")</f>
        <v/>
      </c>
      <c r="J900" s="6" t="str">
        <f>IF(F900="Completado", IF(COUNTIFS('Base Exámenes'!$C$5:$C$1000, A900, 'Base Exámenes'!$G$5:$G$1000, "&lt;&gt;")=0, "", _xlfn.MAXIFS('Base Exámenes'!$G$5:$G$1000, 'Base Exámenes'!$C$5:$C$1000, A900)), "")</f>
        <v/>
      </c>
      <c r="K900" s="6" t="str">
        <f>IF(F900="Completado", IFERROR(IF(INDEX('Base Exámenes'!$H$5:$H$1000, MATCH(A900&amp;"|"&amp;J900, 'Base Exámenes'!$I$5:$I$1000, 0))="", "", INDEX('Base Exámenes'!$H$5:$H$1000, MATCH(A900&amp;"|"&amp;J900, 'Base Exámenes'!$I$5:$I$1000, 0))), ""), "")</f>
        <v/>
      </c>
      <c r="L900" s="22" t="str">
        <f>IF($A900="","",COUNTIF('Base Exámenes'!$C$5:$C$1000, A900))</f>
        <v/>
      </c>
      <c r="M900" s="6" t="str">
        <f>IF($A900="","",IF(COUNTIF('Base Exámenes'!$C$5:$C$1000, A900)&gt;0, "", TRIM('Base Oficial'!H900)))</f>
        <v/>
      </c>
    </row>
    <row r="901">
      <c r="A901" s="4" t="str">
        <f>IF('Base Oficial'!A901="","",TRIM('Base Oficial'!A901))</f>
        <v/>
      </c>
      <c r="B901" s="6" t="str">
        <f>IF($A901="","",TRIM('Base Oficial'!B901))</f>
        <v/>
      </c>
      <c r="C901" s="6" t="str">
        <f>IF($A901="","",TRIM('Base Oficial'!F901))</f>
        <v/>
      </c>
      <c r="D901" s="6" t="str">
        <f>IF($A901="","",TRIM('Base Oficial'!G901))</f>
        <v/>
      </c>
      <c r="E901" s="6" t="str">
        <f>IF($A901="","",TRIM('Base Oficial'!D901))</f>
        <v/>
      </c>
      <c r="F901" s="4" t="str">
        <f>IF($A901="","",IF(COUNTIF('Base Exámenes'!$C$5:$C$1000, A901)&gt;0, "Completado", IF(M901&lt;&gt;"", M901, "Pendiente")))</f>
        <v/>
      </c>
      <c r="G901" s="11" t="str">
        <f>IF(F901="Completado", IFERROR(IF(INDEX('Base Exámenes'!$D$5:$D$1000, MATCH(A901&amp;"|"&amp;J901, 'Base Exámenes'!$I$5:$I$1000, 0))="", "", INDEX('Base Exámenes'!$D$5:$D$1000, MATCH(A901&amp;"|"&amp;J901, 'Base Exámenes'!$I$5:$I$1000, 0))), ""), "")</f>
        <v/>
      </c>
      <c r="H901" s="11" t="str">
        <f>IF(F901="Completado", IFERROR(IF(INDEX('Base Exámenes'!$E$5:$E$1000, MATCH(A901&amp;"|"&amp;J901, 'Base Exámenes'!$I$5:$I$1000, 0))="", "", INDEX('Base Exámenes'!$E$5:$E$1000, MATCH(A901&amp;"|"&amp;J901, 'Base Exámenes'!$I$5:$I$1000, 0))), ""), "")</f>
        <v/>
      </c>
      <c r="I901" s="10" t="str">
        <f>IF(F901="Completado", IFERROR(IF(INDEX('Base Exámenes'!$F$5:$F$1000, MATCH(A901&amp;"|"&amp;J901, 'Base Exámenes'!$I$5:$I$1000, 0))="", "", INDEX('Base Exámenes'!$F$5:$F$1000, MATCH(A901&amp;"|"&amp;J901, 'Base Exámenes'!$I$5:$I$1000, 0))), ""), "")</f>
        <v/>
      </c>
      <c r="J901" s="6" t="str">
        <f>IF(F901="Completado", IF(COUNTIFS('Base Exámenes'!$C$5:$C$1000, A901, 'Base Exámenes'!$G$5:$G$1000, "&lt;&gt;")=0, "", _xlfn.MAXIFS('Base Exámenes'!$G$5:$G$1000, 'Base Exámenes'!$C$5:$C$1000, A901)), "")</f>
        <v/>
      </c>
      <c r="K901" s="6" t="str">
        <f>IF(F901="Completado", IFERROR(IF(INDEX('Base Exámenes'!$H$5:$H$1000, MATCH(A901&amp;"|"&amp;J901, 'Base Exámenes'!$I$5:$I$1000, 0))="", "", INDEX('Base Exámenes'!$H$5:$H$1000, MATCH(A901&amp;"|"&amp;J901, 'Base Exámenes'!$I$5:$I$1000, 0))), ""), "")</f>
        <v/>
      </c>
      <c r="L901" s="22" t="str">
        <f>IF($A901="","",COUNTIF('Base Exámenes'!$C$5:$C$1000, A901))</f>
        <v/>
      </c>
      <c r="M901" s="6" t="str">
        <f>IF($A901="","",IF(COUNTIF('Base Exámenes'!$C$5:$C$1000, A901)&gt;0, "", TRIM('Base Oficial'!H901)))</f>
        <v/>
      </c>
    </row>
    <row r="902">
      <c r="A902" s="4" t="str">
        <f>IF('Base Oficial'!A902="","",TRIM('Base Oficial'!A902))</f>
        <v/>
      </c>
      <c r="B902" s="6" t="str">
        <f>IF($A902="","",TRIM('Base Oficial'!B902))</f>
        <v/>
      </c>
      <c r="C902" s="6" t="str">
        <f>IF($A902="","",TRIM('Base Oficial'!F902))</f>
        <v/>
      </c>
      <c r="D902" s="6" t="str">
        <f>IF($A902="","",TRIM('Base Oficial'!G902))</f>
        <v/>
      </c>
      <c r="E902" s="6" t="str">
        <f>IF($A902="","",TRIM('Base Oficial'!D902))</f>
        <v/>
      </c>
      <c r="F902" s="4" t="str">
        <f>IF($A902="","",IF(COUNTIF('Base Exámenes'!$C$5:$C$1000, A902)&gt;0, "Completado", IF(M902&lt;&gt;"", M902, "Pendiente")))</f>
        <v/>
      </c>
      <c r="G902" s="11" t="str">
        <f>IF(F902="Completado", IFERROR(IF(INDEX('Base Exámenes'!$D$5:$D$1000, MATCH(A902&amp;"|"&amp;J902, 'Base Exámenes'!$I$5:$I$1000, 0))="", "", INDEX('Base Exámenes'!$D$5:$D$1000, MATCH(A902&amp;"|"&amp;J902, 'Base Exámenes'!$I$5:$I$1000, 0))), ""), "")</f>
        <v/>
      </c>
      <c r="H902" s="11" t="str">
        <f>IF(F902="Completado", IFERROR(IF(INDEX('Base Exámenes'!$E$5:$E$1000, MATCH(A902&amp;"|"&amp;J902, 'Base Exámenes'!$I$5:$I$1000, 0))="", "", INDEX('Base Exámenes'!$E$5:$E$1000, MATCH(A902&amp;"|"&amp;J902, 'Base Exámenes'!$I$5:$I$1000, 0))), ""), "")</f>
        <v/>
      </c>
      <c r="I902" s="10" t="str">
        <f>IF(F902="Completado", IFERROR(IF(INDEX('Base Exámenes'!$F$5:$F$1000, MATCH(A902&amp;"|"&amp;J902, 'Base Exámenes'!$I$5:$I$1000, 0))="", "", INDEX('Base Exámenes'!$F$5:$F$1000, MATCH(A902&amp;"|"&amp;J902, 'Base Exámenes'!$I$5:$I$1000, 0))), ""), "")</f>
        <v/>
      </c>
      <c r="J902" s="6" t="str">
        <f>IF(F902="Completado", IF(COUNTIFS('Base Exámenes'!$C$5:$C$1000, A902, 'Base Exámenes'!$G$5:$G$1000, "&lt;&gt;")=0, "", _xlfn.MAXIFS('Base Exámenes'!$G$5:$G$1000, 'Base Exámenes'!$C$5:$C$1000, A902)), "")</f>
        <v/>
      </c>
      <c r="K902" s="6" t="str">
        <f>IF(F902="Completado", IFERROR(IF(INDEX('Base Exámenes'!$H$5:$H$1000, MATCH(A902&amp;"|"&amp;J902, 'Base Exámenes'!$I$5:$I$1000, 0))="", "", INDEX('Base Exámenes'!$H$5:$H$1000, MATCH(A902&amp;"|"&amp;J902, 'Base Exámenes'!$I$5:$I$1000, 0))), ""), "")</f>
        <v/>
      </c>
      <c r="L902" s="22" t="str">
        <f>IF($A902="","",COUNTIF('Base Exámenes'!$C$5:$C$1000, A902))</f>
        <v/>
      </c>
      <c r="M902" s="6" t="str">
        <f>IF($A902="","",IF(COUNTIF('Base Exámenes'!$C$5:$C$1000, A902)&gt;0, "", TRIM('Base Oficial'!H902)))</f>
        <v/>
      </c>
    </row>
    <row r="903">
      <c r="A903" s="4" t="str">
        <f>IF('Base Oficial'!A903="","",TRIM('Base Oficial'!A903))</f>
        <v/>
      </c>
      <c r="B903" s="6" t="str">
        <f>IF($A903="","",TRIM('Base Oficial'!B903))</f>
        <v/>
      </c>
      <c r="C903" s="6" t="str">
        <f>IF($A903="","",TRIM('Base Oficial'!F903))</f>
        <v/>
      </c>
      <c r="D903" s="6" t="str">
        <f>IF($A903="","",TRIM('Base Oficial'!G903))</f>
        <v/>
      </c>
      <c r="E903" s="6" t="str">
        <f>IF($A903="","",TRIM('Base Oficial'!D903))</f>
        <v/>
      </c>
      <c r="F903" s="4" t="str">
        <f>IF($A903="","",IF(COUNTIF('Base Exámenes'!$C$5:$C$1000, A903)&gt;0, "Completado", IF(M903&lt;&gt;"", M903, "Pendiente")))</f>
        <v/>
      </c>
      <c r="G903" s="11" t="str">
        <f>IF(F903="Completado", IFERROR(IF(INDEX('Base Exámenes'!$D$5:$D$1000, MATCH(A903&amp;"|"&amp;J903, 'Base Exámenes'!$I$5:$I$1000, 0))="", "", INDEX('Base Exámenes'!$D$5:$D$1000, MATCH(A903&amp;"|"&amp;J903, 'Base Exámenes'!$I$5:$I$1000, 0))), ""), "")</f>
        <v/>
      </c>
      <c r="H903" s="11" t="str">
        <f>IF(F903="Completado", IFERROR(IF(INDEX('Base Exámenes'!$E$5:$E$1000, MATCH(A903&amp;"|"&amp;J903, 'Base Exámenes'!$I$5:$I$1000, 0))="", "", INDEX('Base Exámenes'!$E$5:$E$1000, MATCH(A903&amp;"|"&amp;J903, 'Base Exámenes'!$I$5:$I$1000, 0))), ""), "")</f>
        <v/>
      </c>
      <c r="I903" s="10" t="str">
        <f>IF(F903="Completado", IFERROR(IF(INDEX('Base Exámenes'!$F$5:$F$1000, MATCH(A903&amp;"|"&amp;J903, 'Base Exámenes'!$I$5:$I$1000, 0))="", "", INDEX('Base Exámenes'!$F$5:$F$1000, MATCH(A903&amp;"|"&amp;J903, 'Base Exámenes'!$I$5:$I$1000, 0))), ""), "")</f>
        <v/>
      </c>
      <c r="J903" s="6" t="str">
        <f>IF(F903="Completado", IF(COUNTIFS('Base Exámenes'!$C$5:$C$1000, A903, 'Base Exámenes'!$G$5:$G$1000, "&lt;&gt;")=0, "", _xlfn.MAXIFS('Base Exámenes'!$G$5:$G$1000, 'Base Exámenes'!$C$5:$C$1000, A903)), "")</f>
        <v/>
      </c>
      <c r="K903" s="6" t="str">
        <f>IF(F903="Completado", IFERROR(IF(INDEX('Base Exámenes'!$H$5:$H$1000, MATCH(A903&amp;"|"&amp;J903, 'Base Exámenes'!$I$5:$I$1000, 0))="", "", INDEX('Base Exámenes'!$H$5:$H$1000, MATCH(A903&amp;"|"&amp;J903, 'Base Exámenes'!$I$5:$I$1000, 0))), ""), "")</f>
        <v/>
      </c>
      <c r="L903" s="22" t="str">
        <f>IF($A903="","",COUNTIF('Base Exámenes'!$C$5:$C$1000, A903))</f>
        <v/>
      </c>
      <c r="M903" s="6" t="str">
        <f>IF($A903="","",IF(COUNTIF('Base Exámenes'!$C$5:$C$1000, A903)&gt;0, "", TRIM('Base Oficial'!H903)))</f>
        <v/>
      </c>
    </row>
    <row r="904">
      <c r="A904" s="4" t="str">
        <f>IF('Base Oficial'!A904="","",TRIM('Base Oficial'!A904))</f>
        <v/>
      </c>
      <c r="B904" s="6" t="str">
        <f>IF($A904="","",TRIM('Base Oficial'!B904))</f>
        <v/>
      </c>
      <c r="C904" s="6" t="str">
        <f>IF($A904="","",TRIM('Base Oficial'!F904))</f>
        <v/>
      </c>
      <c r="D904" s="6" t="str">
        <f>IF($A904="","",TRIM('Base Oficial'!G904))</f>
        <v/>
      </c>
      <c r="E904" s="6" t="str">
        <f>IF($A904="","",TRIM('Base Oficial'!D904))</f>
        <v/>
      </c>
      <c r="F904" s="4" t="str">
        <f>IF($A904="","",IF(COUNTIF('Base Exámenes'!$C$5:$C$1000, A904)&gt;0, "Completado", IF(M904&lt;&gt;"", M904, "Pendiente")))</f>
        <v/>
      </c>
      <c r="G904" s="11" t="str">
        <f>IF(F904="Completado", IFERROR(IF(INDEX('Base Exámenes'!$D$5:$D$1000, MATCH(A904&amp;"|"&amp;J904, 'Base Exámenes'!$I$5:$I$1000, 0))="", "", INDEX('Base Exámenes'!$D$5:$D$1000, MATCH(A904&amp;"|"&amp;J904, 'Base Exámenes'!$I$5:$I$1000, 0))), ""), "")</f>
        <v/>
      </c>
      <c r="H904" s="11" t="str">
        <f>IF(F904="Completado", IFERROR(IF(INDEX('Base Exámenes'!$E$5:$E$1000, MATCH(A904&amp;"|"&amp;J904, 'Base Exámenes'!$I$5:$I$1000, 0))="", "", INDEX('Base Exámenes'!$E$5:$E$1000, MATCH(A904&amp;"|"&amp;J904, 'Base Exámenes'!$I$5:$I$1000, 0))), ""), "")</f>
        <v/>
      </c>
      <c r="I904" s="10" t="str">
        <f>IF(F904="Completado", IFERROR(IF(INDEX('Base Exámenes'!$F$5:$F$1000, MATCH(A904&amp;"|"&amp;J904, 'Base Exámenes'!$I$5:$I$1000, 0))="", "", INDEX('Base Exámenes'!$F$5:$F$1000, MATCH(A904&amp;"|"&amp;J904, 'Base Exámenes'!$I$5:$I$1000, 0))), ""), "")</f>
        <v/>
      </c>
      <c r="J904" s="6" t="str">
        <f>IF(F904="Completado", IF(COUNTIFS('Base Exámenes'!$C$5:$C$1000, A904, 'Base Exámenes'!$G$5:$G$1000, "&lt;&gt;")=0, "", _xlfn.MAXIFS('Base Exámenes'!$G$5:$G$1000, 'Base Exámenes'!$C$5:$C$1000, A904)), "")</f>
        <v/>
      </c>
      <c r="K904" s="6" t="str">
        <f>IF(F904="Completado", IFERROR(IF(INDEX('Base Exámenes'!$H$5:$H$1000, MATCH(A904&amp;"|"&amp;J904, 'Base Exámenes'!$I$5:$I$1000, 0))="", "", INDEX('Base Exámenes'!$H$5:$H$1000, MATCH(A904&amp;"|"&amp;J904, 'Base Exámenes'!$I$5:$I$1000, 0))), ""), "")</f>
        <v/>
      </c>
      <c r="L904" s="22" t="str">
        <f>IF($A904="","",COUNTIF('Base Exámenes'!$C$5:$C$1000, A904))</f>
        <v/>
      </c>
      <c r="M904" s="6" t="str">
        <f>IF($A904="","",IF(COUNTIF('Base Exámenes'!$C$5:$C$1000, A904)&gt;0, "", TRIM('Base Oficial'!H904)))</f>
        <v/>
      </c>
    </row>
    <row r="905">
      <c r="A905" s="4" t="str">
        <f>IF('Base Oficial'!A905="","",TRIM('Base Oficial'!A905))</f>
        <v/>
      </c>
      <c r="B905" s="6" t="str">
        <f>IF($A905="","",TRIM('Base Oficial'!B905))</f>
        <v/>
      </c>
      <c r="C905" s="6" t="str">
        <f>IF($A905="","",TRIM('Base Oficial'!F905))</f>
        <v/>
      </c>
      <c r="D905" s="6" t="str">
        <f>IF($A905="","",TRIM('Base Oficial'!G905))</f>
        <v/>
      </c>
      <c r="E905" s="6" t="str">
        <f>IF($A905="","",TRIM('Base Oficial'!D905))</f>
        <v/>
      </c>
      <c r="F905" s="4" t="str">
        <f>IF($A905="","",IF(COUNTIF('Base Exámenes'!$C$5:$C$1000, A905)&gt;0, "Completado", IF(M905&lt;&gt;"", M905, "Pendiente")))</f>
        <v/>
      </c>
      <c r="G905" s="11" t="str">
        <f>IF(F905="Completado", IFERROR(IF(INDEX('Base Exámenes'!$D$5:$D$1000, MATCH(A905&amp;"|"&amp;J905, 'Base Exámenes'!$I$5:$I$1000, 0))="", "", INDEX('Base Exámenes'!$D$5:$D$1000, MATCH(A905&amp;"|"&amp;J905, 'Base Exámenes'!$I$5:$I$1000, 0))), ""), "")</f>
        <v/>
      </c>
      <c r="H905" s="11" t="str">
        <f>IF(F905="Completado", IFERROR(IF(INDEX('Base Exámenes'!$E$5:$E$1000, MATCH(A905&amp;"|"&amp;J905, 'Base Exámenes'!$I$5:$I$1000, 0))="", "", INDEX('Base Exámenes'!$E$5:$E$1000, MATCH(A905&amp;"|"&amp;J905, 'Base Exámenes'!$I$5:$I$1000, 0))), ""), "")</f>
        <v/>
      </c>
      <c r="I905" s="10" t="str">
        <f>IF(F905="Completado", IFERROR(IF(INDEX('Base Exámenes'!$F$5:$F$1000, MATCH(A905&amp;"|"&amp;J905, 'Base Exámenes'!$I$5:$I$1000, 0))="", "", INDEX('Base Exámenes'!$F$5:$F$1000, MATCH(A905&amp;"|"&amp;J905, 'Base Exámenes'!$I$5:$I$1000, 0))), ""), "")</f>
        <v/>
      </c>
      <c r="J905" s="6" t="str">
        <f>IF(F905="Completado", IF(COUNTIFS('Base Exámenes'!$C$5:$C$1000, A905, 'Base Exámenes'!$G$5:$G$1000, "&lt;&gt;")=0, "", _xlfn.MAXIFS('Base Exámenes'!$G$5:$G$1000, 'Base Exámenes'!$C$5:$C$1000, A905)), "")</f>
        <v/>
      </c>
      <c r="K905" s="6" t="str">
        <f>IF(F905="Completado", IFERROR(IF(INDEX('Base Exámenes'!$H$5:$H$1000, MATCH(A905&amp;"|"&amp;J905, 'Base Exámenes'!$I$5:$I$1000, 0))="", "", INDEX('Base Exámenes'!$H$5:$H$1000, MATCH(A905&amp;"|"&amp;J905, 'Base Exámenes'!$I$5:$I$1000, 0))), ""), "")</f>
        <v/>
      </c>
      <c r="L905" s="22" t="str">
        <f>IF($A905="","",COUNTIF('Base Exámenes'!$C$5:$C$1000, A905))</f>
        <v/>
      </c>
      <c r="M905" s="6" t="str">
        <f>IF($A905="","",IF(COUNTIF('Base Exámenes'!$C$5:$C$1000, A905)&gt;0, "", TRIM('Base Oficial'!H905)))</f>
        <v/>
      </c>
    </row>
    <row r="906">
      <c r="A906" s="4" t="str">
        <f>IF('Base Oficial'!A906="","",TRIM('Base Oficial'!A906))</f>
        <v/>
      </c>
      <c r="B906" s="6" t="str">
        <f>IF($A906="","",TRIM('Base Oficial'!B906))</f>
        <v/>
      </c>
      <c r="C906" s="6" t="str">
        <f>IF($A906="","",TRIM('Base Oficial'!F906))</f>
        <v/>
      </c>
      <c r="D906" s="6" t="str">
        <f>IF($A906="","",TRIM('Base Oficial'!G906))</f>
        <v/>
      </c>
      <c r="E906" s="6" t="str">
        <f>IF($A906="","",TRIM('Base Oficial'!D906))</f>
        <v/>
      </c>
      <c r="F906" s="4" t="str">
        <f>IF($A906="","",IF(COUNTIF('Base Exámenes'!$C$5:$C$1000, A906)&gt;0, "Completado", IF(M906&lt;&gt;"", M906, "Pendiente")))</f>
        <v/>
      </c>
      <c r="G906" s="11" t="str">
        <f>IF(F906="Completado", IFERROR(IF(INDEX('Base Exámenes'!$D$5:$D$1000, MATCH(A906&amp;"|"&amp;J906, 'Base Exámenes'!$I$5:$I$1000, 0))="", "", INDEX('Base Exámenes'!$D$5:$D$1000, MATCH(A906&amp;"|"&amp;J906, 'Base Exámenes'!$I$5:$I$1000, 0))), ""), "")</f>
        <v/>
      </c>
      <c r="H906" s="11" t="str">
        <f>IF(F906="Completado", IFERROR(IF(INDEX('Base Exámenes'!$E$5:$E$1000, MATCH(A906&amp;"|"&amp;J906, 'Base Exámenes'!$I$5:$I$1000, 0))="", "", INDEX('Base Exámenes'!$E$5:$E$1000, MATCH(A906&amp;"|"&amp;J906, 'Base Exámenes'!$I$5:$I$1000, 0))), ""), "")</f>
        <v/>
      </c>
      <c r="I906" s="10" t="str">
        <f>IF(F906="Completado", IFERROR(IF(INDEX('Base Exámenes'!$F$5:$F$1000, MATCH(A906&amp;"|"&amp;J906, 'Base Exámenes'!$I$5:$I$1000, 0))="", "", INDEX('Base Exámenes'!$F$5:$F$1000, MATCH(A906&amp;"|"&amp;J906, 'Base Exámenes'!$I$5:$I$1000, 0))), ""), "")</f>
        <v/>
      </c>
      <c r="J906" s="6" t="str">
        <f>IF(F906="Completado", IF(COUNTIFS('Base Exámenes'!$C$5:$C$1000, A906, 'Base Exámenes'!$G$5:$G$1000, "&lt;&gt;")=0, "", _xlfn.MAXIFS('Base Exámenes'!$G$5:$G$1000, 'Base Exámenes'!$C$5:$C$1000, A906)), "")</f>
        <v/>
      </c>
      <c r="K906" s="6" t="str">
        <f>IF(F906="Completado", IFERROR(IF(INDEX('Base Exámenes'!$H$5:$H$1000, MATCH(A906&amp;"|"&amp;J906, 'Base Exámenes'!$I$5:$I$1000, 0))="", "", INDEX('Base Exámenes'!$H$5:$H$1000, MATCH(A906&amp;"|"&amp;J906, 'Base Exámenes'!$I$5:$I$1000, 0))), ""), "")</f>
        <v/>
      </c>
      <c r="L906" s="22" t="str">
        <f>IF($A906="","",COUNTIF('Base Exámenes'!$C$5:$C$1000, A906))</f>
        <v/>
      </c>
      <c r="M906" s="6" t="str">
        <f>IF($A906="","",IF(COUNTIF('Base Exámenes'!$C$5:$C$1000, A906)&gt;0, "", TRIM('Base Oficial'!H906)))</f>
        <v/>
      </c>
    </row>
    <row r="907">
      <c r="A907" s="4" t="str">
        <f>IF('Base Oficial'!A907="","",TRIM('Base Oficial'!A907))</f>
        <v/>
      </c>
      <c r="B907" s="6" t="str">
        <f>IF($A907="","",TRIM('Base Oficial'!B907))</f>
        <v/>
      </c>
      <c r="C907" s="6" t="str">
        <f>IF($A907="","",TRIM('Base Oficial'!F907))</f>
        <v/>
      </c>
      <c r="D907" s="6" t="str">
        <f>IF($A907="","",TRIM('Base Oficial'!G907))</f>
        <v/>
      </c>
      <c r="E907" s="6" t="str">
        <f>IF($A907="","",TRIM('Base Oficial'!D907))</f>
        <v/>
      </c>
      <c r="F907" s="4" t="str">
        <f>IF($A907="","",IF(COUNTIF('Base Exámenes'!$C$5:$C$1000, A907)&gt;0, "Completado", IF(M907&lt;&gt;"", M907, "Pendiente")))</f>
        <v/>
      </c>
      <c r="G907" s="11" t="str">
        <f>IF(F907="Completado", IFERROR(IF(INDEX('Base Exámenes'!$D$5:$D$1000, MATCH(A907&amp;"|"&amp;J907, 'Base Exámenes'!$I$5:$I$1000, 0))="", "", INDEX('Base Exámenes'!$D$5:$D$1000, MATCH(A907&amp;"|"&amp;J907, 'Base Exámenes'!$I$5:$I$1000, 0))), ""), "")</f>
        <v/>
      </c>
      <c r="H907" s="11" t="str">
        <f>IF(F907="Completado", IFERROR(IF(INDEX('Base Exámenes'!$E$5:$E$1000, MATCH(A907&amp;"|"&amp;J907, 'Base Exámenes'!$I$5:$I$1000, 0))="", "", INDEX('Base Exámenes'!$E$5:$E$1000, MATCH(A907&amp;"|"&amp;J907, 'Base Exámenes'!$I$5:$I$1000, 0))), ""), "")</f>
        <v/>
      </c>
      <c r="I907" s="10" t="str">
        <f>IF(F907="Completado", IFERROR(IF(INDEX('Base Exámenes'!$F$5:$F$1000, MATCH(A907&amp;"|"&amp;J907, 'Base Exámenes'!$I$5:$I$1000, 0))="", "", INDEX('Base Exámenes'!$F$5:$F$1000, MATCH(A907&amp;"|"&amp;J907, 'Base Exámenes'!$I$5:$I$1000, 0))), ""), "")</f>
        <v/>
      </c>
      <c r="J907" s="6" t="str">
        <f>IF(F907="Completado", IF(COUNTIFS('Base Exámenes'!$C$5:$C$1000, A907, 'Base Exámenes'!$G$5:$G$1000, "&lt;&gt;")=0, "", _xlfn.MAXIFS('Base Exámenes'!$G$5:$G$1000, 'Base Exámenes'!$C$5:$C$1000, A907)), "")</f>
        <v/>
      </c>
      <c r="K907" s="6" t="str">
        <f>IF(F907="Completado", IFERROR(IF(INDEX('Base Exámenes'!$H$5:$H$1000, MATCH(A907&amp;"|"&amp;J907, 'Base Exámenes'!$I$5:$I$1000, 0))="", "", INDEX('Base Exámenes'!$H$5:$H$1000, MATCH(A907&amp;"|"&amp;J907, 'Base Exámenes'!$I$5:$I$1000, 0))), ""), "")</f>
        <v/>
      </c>
      <c r="L907" s="22" t="str">
        <f>IF($A907="","",COUNTIF('Base Exámenes'!$C$5:$C$1000, A907))</f>
        <v/>
      </c>
      <c r="M907" s="6" t="str">
        <f>IF($A907="","",IF(COUNTIF('Base Exámenes'!$C$5:$C$1000, A907)&gt;0, "", TRIM('Base Oficial'!H907)))</f>
        <v/>
      </c>
    </row>
    <row r="908">
      <c r="A908" s="4" t="str">
        <f>IF('Base Oficial'!A908="","",TRIM('Base Oficial'!A908))</f>
        <v/>
      </c>
      <c r="B908" s="6" t="str">
        <f>IF($A908="","",TRIM('Base Oficial'!B908))</f>
        <v/>
      </c>
      <c r="C908" s="6" t="str">
        <f>IF($A908="","",TRIM('Base Oficial'!F908))</f>
        <v/>
      </c>
      <c r="D908" s="6" t="str">
        <f>IF($A908="","",TRIM('Base Oficial'!G908))</f>
        <v/>
      </c>
      <c r="E908" s="6" t="str">
        <f>IF($A908="","",TRIM('Base Oficial'!D908))</f>
        <v/>
      </c>
      <c r="F908" s="4" t="str">
        <f>IF($A908="","",IF(COUNTIF('Base Exámenes'!$C$5:$C$1000, A908)&gt;0, "Completado", IF(M908&lt;&gt;"", M908, "Pendiente")))</f>
        <v/>
      </c>
      <c r="G908" s="11" t="str">
        <f>IF(F908="Completado", IFERROR(IF(INDEX('Base Exámenes'!$D$5:$D$1000, MATCH(A908&amp;"|"&amp;J908, 'Base Exámenes'!$I$5:$I$1000, 0))="", "", INDEX('Base Exámenes'!$D$5:$D$1000, MATCH(A908&amp;"|"&amp;J908, 'Base Exámenes'!$I$5:$I$1000, 0))), ""), "")</f>
        <v/>
      </c>
      <c r="H908" s="11" t="str">
        <f>IF(F908="Completado", IFERROR(IF(INDEX('Base Exámenes'!$E$5:$E$1000, MATCH(A908&amp;"|"&amp;J908, 'Base Exámenes'!$I$5:$I$1000, 0))="", "", INDEX('Base Exámenes'!$E$5:$E$1000, MATCH(A908&amp;"|"&amp;J908, 'Base Exámenes'!$I$5:$I$1000, 0))), ""), "")</f>
        <v/>
      </c>
      <c r="I908" s="10" t="str">
        <f>IF(F908="Completado", IFERROR(IF(INDEX('Base Exámenes'!$F$5:$F$1000, MATCH(A908&amp;"|"&amp;J908, 'Base Exámenes'!$I$5:$I$1000, 0))="", "", INDEX('Base Exámenes'!$F$5:$F$1000, MATCH(A908&amp;"|"&amp;J908, 'Base Exámenes'!$I$5:$I$1000, 0))), ""), "")</f>
        <v/>
      </c>
      <c r="J908" s="6" t="str">
        <f>IF(F908="Completado", IF(COUNTIFS('Base Exámenes'!$C$5:$C$1000, A908, 'Base Exámenes'!$G$5:$G$1000, "&lt;&gt;")=0, "", _xlfn.MAXIFS('Base Exámenes'!$G$5:$G$1000, 'Base Exámenes'!$C$5:$C$1000, A908)), "")</f>
        <v/>
      </c>
      <c r="K908" s="6" t="str">
        <f>IF(F908="Completado", IFERROR(IF(INDEX('Base Exámenes'!$H$5:$H$1000, MATCH(A908&amp;"|"&amp;J908, 'Base Exámenes'!$I$5:$I$1000, 0))="", "", INDEX('Base Exámenes'!$H$5:$H$1000, MATCH(A908&amp;"|"&amp;J908, 'Base Exámenes'!$I$5:$I$1000, 0))), ""), "")</f>
        <v/>
      </c>
      <c r="L908" s="22" t="str">
        <f>IF($A908="","",COUNTIF('Base Exámenes'!$C$5:$C$1000, A908))</f>
        <v/>
      </c>
      <c r="M908" s="6" t="str">
        <f>IF($A908="","",IF(COUNTIF('Base Exámenes'!$C$5:$C$1000, A908)&gt;0, "", TRIM('Base Oficial'!H908)))</f>
        <v/>
      </c>
    </row>
    <row r="909">
      <c r="A909" s="4" t="str">
        <f>IF('Base Oficial'!A909="","",TRIM('Base Oficial'!A909))</f>
        <v/>
      </c>
      <c r="B909" s="6" t="str">
        <f>IF($A909="","",TRIM('Base Oficial'!B909))</f>
        <v/>
      </c>
      <c r="C909" s="6" t="str">
        <f>IF($A909="","",TRIM('Base Oficial'!F909))</f>
        <v/>
      </c>
      <c r="D909" s="6" t="str">
        <f>IF($A909="","",TRIM('Base Oficial'!G909))</f>
        <v/>
      </c>
      <c r="E909" s="6" t="str">
        <f>IF($A909="","",TRIM('Base Oficial'!D909))</f>
        <v/>
      </c>
      <c r="F909" s="4" t="str">
        <f>IF($A909="","",IF(COUNTIF('Base Exámenes'!$C$5:$C$1000, A909)&gt;0, "Completado", IF(M909&lt;&gt;"", M909, "Pendiente")))</f>
        <v/>
      </c>
      <c r="G909" s="11" t="str">
        <f>IF(F909="Completado", IFERROR(IF(INDEX('Base Exámenes'!$D$5:$D$1000, MATCH(A909&amp;"|"&amp;J909, 'Base Exámenes'!$I$5:$I$1000, 0))="", "", INDEX('Base Exámenes'!$D$5:$D$1000, MATCH(A909&amp;"|"&amp;J909, 'Base Exámenes'!$I$5:$I$1000, 0))), ""), "")</f>
        <v/>
      </c>
      <c r="H909" s="11" t="str">
        <f>IF(F909="Completado", IFERROR(IF(INDEX('Base Exámenes'!$E$5:$E$1000, MATCH(A909&amp;"|"&amp;J909, 'Base Exámenes'!$I$5:$I$1000, 0))="", "", INDEX('Base Exámenes'!$E$5:$E$1000, MATCH(A909&amp;"|"&amp;J909, 'Base Exámenes'!$I$5:$I$1000, 0))), ""), "")</f>
        <v/>
      </c>
      <c r="I909" s="10" t="str">
        <f>IF(F909="Completado", IFERROR(IF(INDEX('Base Exámenes'!$F$5:$F$1000, MATCH(A909&amp;"|"&amp;J909, 'Base Exámenes'!$I$5:$I$1000, 0))="", "", INDEX('Base Exámenes'!$F$5:$F$1000, MATCH(A909&amp;"|"&amp;J909, 'Base Exámenes'!$I$5:$I$1000, 0))), ""), "")</f>
        <v/>
      </c>
      <c r="J909" s="6" t="str">
        <f>IF(F909="Completado", IF(COUNTIFS('Base Exámenes'!$C$5:$C$1000, A909, 'Base Exámenes'!$G$5:$G$1000, "&lt;&gt;")=0, "", _xlfn.MAXIFS('Base Exámenes'!$G$5:$G$1000, 'Base Exámenes'!$C$5:$C$1000, A909)), "")</f>
        <v/>
      </c>
      <c r="K909" s="6" t="str">
        <f>IF(F909="Completado", IFERROR(IF(INDEX('Base Exámenes'!$H$5:$H$1000, MATCH(A909&amp;"|"&amp;J909, 'Base Exámenes'!$I$5:$I$1000, 0))="", "", INDEX('Base Exámenes'!$H$5:$H$1000, MATCH(A909&amp;"|"&amp;J909, 'Base Exámenes'!$I$5:$I$1000, 0))), ""), "")</f>
        <v/>
      </c>
      <c r="L909" s="22" t="str">
        <f>IF($A909="","",COUNTIF('Base Exámenes'!$C$5:$C$1000, A909))</f>
        <v/>
      </c>
      <c r="M909" s="6" t="str">
        <f>IF($A909="","",IF(COUNTIF('Base Exámenes'!$C$5:$C$1000, A909)&gt;0, "", TRIM('Base Oficial'!H909)))</f>
        <v/>
      </c>
    </row>
    <row r="910">
      <c r="A910" s="4" t="str">
        <f>IF('Base Oficial'!A910="","",TRIM('Base Oficial'!A910))</f>
        <v/>
      </c>
      <c r="B910" s="6" t="str">
        <f>IF($A910="","",TRIM('Base Oficial'!B910))</f>
        <v/>
      </c>
      <c r="C910" s="6" t="str">
        <f>IF($A910="","",TRIM('Base Oficial'!F910))</f>
        <v/>
      </c>
      <c r="D910" s="6" t="str">
        <f>IF($A910="","",TRIM('Base Oficial'!G910))</f>
        <v/>
      </c>
      <c r="E910" s="6" t="str">
        <f>IF($A910="","",TRIM('Base Oficial'!D910))</f>
        <v/>
      </c>
      <c r="F910" s="4" t="str">
        <f>IF($A910="","",IF(COUNTIF('Base Exámenes'!$C$5:$C$1000, A910)&gt;0, "Completado", IF(M910&lt;&gt;"", M910, "Pendiente")))</f>
        <v/>
      </c>
      <c r="G910" s="11" t="str">
        <f>IF(F910="Completado", IFERROR(IF(INDEX('Base Exámenes'!$D$5:$D$1000, MATCH(A910&amp;"|"&amp;J910, 'Base Exámenes'!$I$5:$I$1000, 0))="", "", INDEX('Base Exámenes'!$D$5:$D$1000, MATCH(A910&amp;"|"&amp;J910, 'Base Exámenes'!$I$5:$I$1000, 0))), ""), "")</f>
        <v/>
      </c>
      <c r="H910" s="11" t="str">
        <f>IF(F910="Completado", IFERROR(IF(INDEX('Base Exámenes'!$E$5:$E$1000, MATCH(A910&amp;"|"&amp;J910, 'Base Exámenes'!$I$5:$I$1000, 0))="", "", INDEX('Base Exámenes'!$E$5:$E$1000, MATCH(A910&amp;"|"&amp;J910, 'Base Exámenes'!$I$5:$I$1000, 0))), ""), "")</f>
        <v/>
      </c>
      <c r="I910" s="10" t="str">
        <f>IF(F910="Completado", IFERROR(IF(INDEX('Base Exámenes'!$F$5:$F$1000, MATCH(A910&amp;"|"&amp;J910, 'Base Exámenes'!$I$5:$I$1000, 0))="", "", INDEX('Base Exámenes'!$F$5:$F$1000, MATCH(A910&amp;"|"&amp;J910, 'Base Exámenes'!$I$5:$I$1000, 0))), ""), "")</f>
        <v/>
      </c>
      <c r="J910" s="6" t="str">
        <f>IF(F910="Completado", IF(COUNTIFS('Base Exámenes'!$C$5:$C$1000, A910, 'Base Exámenes'!$G$5:$G$1000, "&lt;&gt;")=0, "", _xlfn.MAXIFS('Base Exámenes'!$G$5:$G$1000, 'Base Exámenes'!$C$5:$C$1000, A910)), "")</f>
        <v/>
      </c>
      <c r="K910" s="6" t="str">
        <f>IF(F910="Completado", IFERROR(IF(INDEX('Base Exámenes'!$H$5:$H$1000, MATCH(A910&amp;"|"&amp;J910, 'Base Exámenes'!$I$5:$I$1000, 0))="", "", INDEX('Base Exámenes'!$H$5:$H$1000, MATCH(A910&amp;"|"&amp;J910, 'Base Exámenes'!$I$5:$I$1000, 0))), ""), "")</f>
        <v/>
      </c>
      <c r="L910" s="22" t="str">
        <f>IF($A910="","",COUNTIF('Base Exámenes'!$C$5:$C$1000, A910))</f>
        <v/>
      </c>
      <c r="M910" s="6" t="str">
        <f>IF($A910="","",IF(COUNTIF('Base Exámenes'!$C$5:$C$1000, A910)&gt;0, "", TRIM('Base Oficial'!H910)))</f>
        <v/>
      </c>
    </row>
    <row r="911">
      <c r="A911" s="4" t="str">
        <f>IF('Base Oficial'!A911="","",TRIM('Base Oficial'!A911))</f>
        <v/>
      </c>
      <c r="B911" s="6" t="str">
        <f>IF($A911="","",TRIM('Base Oficial'!B911))</f>
        <v/>
      </c>
      <c r="C911" s="6" t="str">
        <f>IF($A911="","",TRIM('Base Oficial'!F911))</f>
        <v/>
      </c>
      <c r="D911" s="6" t="str">
        <f>IF($A911="","",TRIM('Base Oficial'!G911))</f>
        <v/>
      </c>
      <c r="E911" s="6" t="str">
        <f>IF($A911="","",TRIM('Base Oficial'!D911))</f>
        <v/>
      </c>
      <c r="F911" s="4" t="str">
        <f>IF($A911="","",IF(COUNTIF('Base Exámenes'!$C$5:$C$1000, A911)&gt;0, "Completado", IF(M911&lt;&gt;"", M911, "Pendiente")))</f>
        <v/>
      </c>
      <c r="G911" s="11" t="str">
        <f>IF(F911="Completado", IFERROR(IF(INDEX('Base Exámenes'!$D$5:$D$1000, MATCH(A911&amp;"|"&amp;J911, 'Base Exámenes'!$I$5:$I$1000, 0))="", "", INDEX('Base Exámenes'!$D$5:$D$1000, MATCH(A911&amp;"|"&amp;J911, 'Base Exámenes'!$I$5:$I$1000, 0))), ""), "")</f>
        <v/>
      </c>
      <c r="H911" s="11" t="str">
        <f>IF(F911="Completado", IFERROR(IF(INDEX('Base Exámenes'!$E$5:$E$1000, MATCH(A911&amp;"|"&amp;J911, 'Base Exámenes'!$I$5:$I$1000, 0))="", "", INDEX('Base Exámenes'!$E$5:$E$1000, MATCH(A911&amp;"|"&amp;J911, 'Base Exámenes'!$I$5:$I$1000, 0))), ""), "")</f>
        <v/>
      </c>
      <c r="I911" s="10" t="str">
        <f>IF(F911="Completado", IFERROR(IF(INDEX('Base Exámenes'!$F$5:$F$1000, MATCH(A911&amp;"|"&amp;J911, 'Base Exámenes'!$I$5:$I$1000, 0))="", "", INDEX('Base Exámenes'!$F$5:$F$1000, MATCH(A911&amp;"|"&amp;J911, 'Base Exámenes'!$I$5:$I$1000, 0))), ""), "")</f>
        <v/>
      </c>
      <c r="J911" s="6" t="str">
        <f>IF(F911="Completado", IF(COUNTIFS('Base Exámenes'!$C$5:$C$1000, A911, 'Base Exámenes'!$G$5:$G$1000, "&lt;&gt;")=0, "", _xlfn.MAXIFS('Base Exámenes'!$G$5:$G$1000, 'Base Exámenes'!$C$5:$C$1000, A911)), "")</f>
        <v/>
      </c>
      <c r="K911" s="6" t="str">
        <f>IF(F911="Completado", IFERROR(IF(INDEX('Base Exámenes'!$H$5:$H$1000, MATCH(A911&amp;"|"&amp;J911, 'Base Exámenes'!$I$5:$I$1000, 0))="", "", INDEX('Base Exámenes'!$H$5:$H$1000, MATCH(A911&amp;"|"&amp;J911, 'Base Exámenes'!$I$5:$I$1000, 0))), ""), "")</f>
        <v/>
      </c>
      <c r="L911" s="22" t="str">
        <f>IF($A911="","",COUNTIF('Base Exámenes'!$C$5:$C$1000, A911))</f>
        <v/>
      </c>
      <c r="M911" s="6" t="str">
        <f>IF($A911="","",IF(COUNTIF('Base Exámenes'!$C$5:$C$1000, A911)&gt;0, "", TRIM('Base Oficial'!H911)))</f>
        <v/>
      </c>
    </row>
    <row r="912">
      <c r="A912" s="4" t="str">
        <f>IF('Base Oficial'!A912="","",TRIM('Base Oficial'!A912))</f>
        <v/>
      </c>
      <c r="B912" s="6" t="str">
        <f>IF($A912="","",TRIM('Base Oficial'!B912))</f>
        <v/>
      </c>
      <c r="C912" s="6" t="str">
        <f>IF($A912="","",TRIM('Base Oficial'!F912))</f>
        <v/>
      </c>
      <c r="D912" s="6" t="str">
        <f>IF($A912="","",TRIM('Base Oficial'!G912))</f>
        <v/>
      </c>
      <c r="E912" s="6" t="str">
        <f>IF($A912="","",TRIM('Base Oficial'!D912))</f>
        <v/>
      </c>
      <c r="F912" s="4" t="str">
        <f>IF($A912="","",IF(COUNTIF('Base Exámenes'!$C$5:$C$1000, A912)&gt;0, "Completado", IF(M912&lt;&gt;"", M912, "Pendiente")))</f>
        <v/>
      </c>
      <c r="G912" s="11" t="str">
        <f>IF(F912="Completado", IFERROR(IF(INDEX('Base Exámenes'!$D$5:$D$1000, MATCH(A912&amp;"|"&amp;J912, 'Base Exámenes'!$I$5:$I$1000, 0))="", "", INDEX('Base Exámenes'!$D$5:$D$1000, MATCH(A912&amp;"|"&amp;J912, 'Base Exámenes'!$I$5:$I$1000, 0))), ""), "")</f>
        <v/>
      </c>
      <c r="H912" s="11" t="str">
        <f>IF(F912="Completado", IFERROR(IF(INDEX('Base Exámenes'!$E$5:$E$1000, MATCH(A912&amp;"|"&amp;J912, 'Base Exámenes'!$I$5:$I$1000, 0))="", "", INDEX('Base Exámenes'!$E$5:$E$1000, MATCH(A912&amp;"|"&amp;J912, 'Base Exámenes'!$I$5:$I$1000, 0))), ""), "")</f>
        <v/>
      </c>
      <c r="I912" s="10" t="str">
        <f>IF(F912="Completado", IFERROR(IF(INDEX('Base Exámenes'!$F$5:$F$1000, MATCH(A912&amp;"|"&amp;J912, 'Base Exámenes'!$I$5:$I$1000, 0))="", "", INDEX('Base Exámenes'!$F$5:$F$1000, MATCH(A912&amp;"|"&amp;J912, 'Base Exámenes'!$I$5:$I$1000, 0))), ""), "")</f>
        <v/>
      </c>
      <c r="J912" s="6" t="str">
        <f>IF(F912="Completado", IF(COUNTIFS('Base Exámenes'!$C$5:$C$1000, A912, 'Base Exámenes'!$G$5:$G$1000, "&lt;&gt;")=0, "", _xlfn.MAXIFS('Base Exámenes'!$G$5:$G$1000, 'Base Exámenes'!$C$5:$C$1000, A912)), "")</f>
        <v/>
      </c>
      <c r="K912" s="6" t="str">
        <f>IF(F912="Completado", IFERROR(IF(INDEX('Base Exámenes'!$H$5:$H$1000, MATCH(A912&amp;"|"&amp;J912, 'Base Exámenes'!$I$5:$I$1000, 0))="", "", INDEX('Base Exámenes'!$H$5:$H$1000, MATCH(A912&amp;"|"&amp;J912, 'Base Exámenes'!$I$5:$I$1000, 0))), ""), "")</f>
        <v/>
      </c>
      <c r="L912" s="22" t="str">
        <f>IF($A912="","",COUNTIF('Base Exámenes'!$C$5:$C$1000, A912))</f>
        <v/>
      </c>
      <c r="M912" s="6" t="str">
        <f>IF($A912="","",IF(COUNTIF('Base Exámenes'!$C$5:$C$1000, A912)&gt;0, "", TRIM('Base Oficial'!H912)))</f>
        <v/>
      </c>
    </row>
    <row r="913">
      <c r="A913" s="4" t="str">
        <f>IF('Base Oficial'!A913="","",TRIM('Base Oficial'!A913))</f>
        <v/>
      </c>
      <c r="B913" s="6" t="str">
        <f>IF($A913="","",TRIM('Base Oficial'!B913))</f>
        <v/>
      </c>
      <c r="C913" s="6" t="str">
        <f>IF($A913="","",TRIM('Base Oficial'!F913))</f>
        <v/>
      </c>
      <c r="D913" s="6" t="str">
        <f>IF($A913="","",TRIM('Base Oficial'!G913))</f>
        <v/>
      </c>
      <c r="E913" s="6" t="str">
        <f>IF($A913="","",TRIM('Base Oficial'!D913))</f>
        <v/>
      </c>
      <c r="F913" s="4" t="str">
        <f>IF($A913="","",IF(COUNTIF('Base Exámenes'!$C$5:$C$1000, A913)&gt;0, "Completado", IF(M913&lt;&gt;"", M913, "Pendiente")))</f>
        <v/>
      </c>
      <c r="G913" s="11" t="str">
        <f>IF(F913="Completado", IFERROR(IF(INDEX('Base Exámenes'!$D$5:$D$1000, MATCH(A913&amp;"|"&amp;J913, 'Base Exámenes'!$I$5:$I$1000, 0))="", "", INDEX('Base Exámenes'!$D$5:$D$1000, MATCH(A913&amp;"|"&amp;J913, 'Base Exámenes'!$I$5:$I$1000, 0))), ""), "")</f>
        <v/>
      </c>
      <c r="H913" s="11" t="str">
        <f>IF(F913="Completado", IFERROR(IF(INDEX('Base Exámenes'!$E$5:$E$1000, MATCH(A913&amp;"|"&amp;J913, 'Base Exámenes'!$I$5:$I$1000, 0))="", "", INDEX('Base Exámenes'!$E$5:$E$1000, MATCH(A913&amp;"|"&amp;J913, 'Base Exámenes'!$I$5:$I$1000, 0))), ""), "")</f>
        <v/>
      </c>
      <c r="I913" s="10" t="str">
        <f>IF(F913="Completado", IFERROR(IF(INDEX('Base Exámenes'!$F$5:$F$1000, MATCH(A913&amp;"|"&amp;J913, 'Base Exámenes'!$I$5:$I$1000, 0))="", "", INDEX('Base Exámenes'!$F$5:$F$1000, MATCH(A913&amp;"|"&amp;J913, 'Base Exámenes'!$I$5:$I$1000, 0))), ""), "")</f>
        <v/>
      </c>
      <c r="J913" s="6" t="str">
        <f>IF(F913="Completado", IF(COUNTIFS('Base Exámenes'!$C$5:$C$1000, A913, 'Base Exámenes'!$G$5:$G$1000, "&lt;&gt;")=0, "", _xlfn.MAXIFS('Base Exámenes'!$G$5:$G$1000, 'Base Exámenes'!$C$5:$C$1000, A913)), "")</f>
        <v/>
      </c>
      <c r="K913" s="6" t="str">
        <f>IF(F913="Completado", IFERROR(IF(INDEX('Base Exámenes'!$H$5:$H$1000, MATCH(A913&amp;"|"&amp;J913, 'Base Exámenes'!$I$5:$I$1000, 0))="", "", INDEX('Base Exámenes'!$H$5:$H$1000, MATCH(A913&amp;"|"&amp;J913, 'Base Exámenes'!$I$5:$I$1000, 0))), ""), "")</f>
        <v/>
      </c>
      <c r="L913" s="22" t="str">
        <f>IF($A913="","",COUNTIF('Base Exámenes'!$C$5:$C$1000, A913))</f>
        <v/>
      </c>
      <c r="M913" s="6" t="str">
        <f>IF($A913="","",IF(COUNTIF('Base Exámenes'!$C$5:$C$1000, A913)&gt;0, "", TRIM('Base Oficial'!H913)))</f>
        <v/>
      </c>
    </row>
    <row r="914">
      <c r="A914" s="4" t="str">
        <f>IF('Base Oficial'!A914="","",TRIM('Base Oficial'!A914))</f>
        <v/>
      </c>
      <c r="B914" s="6" t="str">
        <f>IF($A914="","",TRIM('Base Oficial'!B914))</f>
        <v/>
      </c>
      <c r="C914" s="6" t="str">
        <f>IF($A914="","",TRIM('Base Oficial'!F914))</f>
        <v/>
      </c>
      <c r="D914" s="6" t="str">
        <f>IF($A914="","",TRIM('Base Oficial'!G914))</f>
        <v/>
      </c>
      <c r="E914" s="6" t="str">
        <f>IF($A914="","",TRIM('Base Oficial'!D914))</f>
        <v/>
      </c>
      <c r="F914" s="4" t="str">
        <f>IF($A914="","",IF(COUNTIF('Base Exámenes'!$C$5:$C$1000, A914)&gt;0, "Completado", IF(M914&lt;&gt;"", M914, "Pendiente")))</f>
        <v/>
      </c>
      <c r="G914" s="11" t="str">
        <f>IF(F914="Completado", IFERROR(IF(INDEX('Base Exámenes'!$D$5:$D$1000, MATCH(A914&amp;"|"&amp;J914, 'Base Exámenes'!$I$5:$I$1000, 0))="", "", INDEX('Base Exámenes'!$D$5:$D$1000, MATCH(A914&amp;"|"&amp;J914, 'Base Exámenes'!$I$5:$I$1000, 0))), ""), "")</f>
        <v/>
      </c>
      <c r="H914" s="11" t="str">
        <f>IF(F914="Completado", IFERROR(IF(INDEX('Base Exámenes'!$E$5:$E$1000, MATCH(A914&amp;"|"&amp;J914, 'Base Exámenes'!$I$5:$I$1000, 0))="", "", INDEX('Base Exámenes'!$E$5:$E$1000, MATCH(A914&amp;"|"&amp;J914, 'Base Exámenes'!$I$5:$I$1000, 0))), ""), "")</f>
        <v/>
      </c>
      <c r="I914" s="10" t="str">
        <f>IF(F914="Completado", IFERROR(IF(INDEX('Base Exámenes'!$F$5:$F$1000, MATCH(A914&amp;"|"&amp;J914, 'Base Exámenes'!$I$5:$I$1000, 0))="", "", INDEX('Base Exámenes'!$F$5:$F$1000, MATCH(A914&amp;"|"&amp;J914, 'Base Exámenes'!$I$5:$I$1000, 0))), ""), "")</f>
        <v/>
      </c>
      <c r="J914" s="6" t="str">
        <f>IF(F914="Completado", IF(COUNTIFS('Base Exámenes'!$C$5:$C$1000, A914, 'Base Exámenes'!$G$5:$G$1000, "&lt;&gt;")=0, "", _xlfn.MAXIFS('Base Exámenes'!$G$5:$G$1000, 'Base Exámenes'!$C$5:$C$1000, A914)), "")</f>
        <v/>
      </c>
      <c r="K914" s="6" t="str">
        <f>IF(F914="Completado", IFERROR(IF(INDEX('Base Exámenes'!$H$5:$H$1000, MATCH(A914&amp;"|"&amp;J914, 'Base Exámenes'!$I$5:$I$1000, 0))="", "", INDEX('Base Exámenes'!$H$5:$H$1000, MATCH(A914&amp;"|"&amp;J914, 'Base Exámenes'!$I$5:$I$1000, 0))), ""), "")</f>
        <v/>
      </c>
      <c r="L914" s="22" t="str">
        <f>IF($A914="","",COUNTIF('Base Exámenes'!$C$5:$C$1000, A914))</f>
        <v/>
      </c>
      <c r="M914" s="6" t="str">
        <f>IF($A914="","",IF(COUNTIF('Base Exámenes'!$C$5:$C$1000, A914)&gt;0, "", TRIM('Base Oficial'!H914)))</f>
        <v/>
      </c>
    </row>
    <row r="915">
      <c r="A915" s="4" t="str">
        <f>IF('Base Oficial'!A915="","",TRIM('Base Oficial'!A915))</f>
        <v/>
      </c>
      <c r="B915" s="6" t="str">
        <f>IF($A915="","",TRIM('Base Oficial'!B915))</f>
        <v/>
      </c>
      <c r="C915" s="6" t="str">
        <f>IF($A915="","",TRIM('Base Oficial'!F915))</f>
        <v/>
      </c>
      <c r="D915" s="6" t="str">
        <f>IF($A915="","",TRIM('Base Oficial'!G915))</f>
        <v/>
      </c>
      <c r="E915" s="6" t="str">
        <f>IF($A915="","",TRIM('Base Oficial'!D915))</f>
        <v/>
      </c>
      <c r="F915" s="4" t="str">
        <f>IF($A915="","",IF(COUNTIF('Base Exámenes'!$C$5:$C$1000, A915)&gt;0, "Completado", IF(M915&lt;&gt;"", M915, "Pendiente")))</f>
        <v/>
      </c>
      <c r="G915" s="11" t="str">
        <f>IF(F915="Completado", IFERROR(IF(INDEX('Base Exámenes'!$D$5:$D$1000, MATCH(A915&amp;"|"&amp;J915, 'Base Exámenes'!$I$5:$I$1000, 0))="", "", INDEX('Base Exámenes'!$D$5:$D$1000, MATCH(A915&amp;"|"&amp;J915, 'Base Exámenes'!$I$5:$I$1000, 0))), ""), "")</f>
        <v/>
      </c>
      <c r="H915" s="11" t="str">
        <f>IF(F915="Completado", IFERROR(IF(INDEX('Base Exámenes'!$E$5:$E$1000, MATCH(A915&amp;"|"&amp;J915, 'Base Exámenes'!$I$5:$I$1000, 0))="", "", INDEX('Base Exámenes'!$E$5:$E$1000, MATCH(A915&amp;"|"&amp;J915, 'Base Exámenes'!$I$5:$I$1000, 0))), ""), "")</f>
        <v/>
      </c>
      <c r="I915" s="10" t="str">
        <f>IF(F915="Completado", IFERROR(IF(INDEX('Base Exámenes'!$F$5:$F$1000, MATCH(A915&amp;"|"&amp;J915, 'Base Exámenes'!$I$5:$I$1000, 0))="", "", INDEX('Base Exámenes'!$F$5:$F$1000, MATCH(A915&amp;"|"&amp;J915, 'Base Exámenes'!$I$5:$I$1000, 0))), ""), "")</f>
        <v/>
      </c>
      <c r="J915" s="6" t="str">
        <f>IF(F915="Completado", IF(COUNTIFS('Base Exámenes'!$C$5:$C$1000, A915, 'Base Exámenes'!$G$5:$G$1000, "&lt;&gt;")=0, "", _xlfn.MAXIFS('Base Exámenes'!$G$5:$G$1000, 'Base Exámenes'!$C$5:$C$1000, A915)), "")</f>
        <v/>
      </c>
      <c r="K915" s="6" t="str">
        <f>IF(F915="Completado", IFERROR(IF(INDEX('Base Exámenes'!$H$5:$H$1000, MATCH(A915&amp;"|"&amp;J915, 'Base Exámenes'!$I$5:$I$1000, 0))="", "", INDEX('Base Exámenes'!$H$5:$H$1000, MATCH(A915&amp;"|"&amp;J915, 'Base Exámenes'!$I$5:$I$1000, 0))), ""), "")</f>
        <v/>
      </c>
      <c r="L915" s="22" t="str">
        <f>IF($A915="","",COUNTIF('Base Exámenes'!$C$5:$C$1000, A915))</f>
        <v/>
      </c>
      <c r="M915" s="6" t="str">
        <f>IF($A915="","",IF(COUNTIF('Base Exámenes'!$C$5:$C$1000, A915)&gt;0, "", TRIM('Base Oficial'!H915)))</f>
        <v/>
      </c>
    </row>
    <row r="916">
      <c r="A916" s="4" t="str">
        <f>IF('Base Oficial'!A916="","",TRIM('Base Oficial'!A916))</f>
        <v/>
      </c>
      <c r="B916" s="6" t="str">
        <f>IF($A916="","",TRIM('Base Oficial'!B916))</f>
        <v/>
      </c>
      <c r="C916" s="6" t="str">
        <f>IF($A916="","",TRIM('Base Oficial'!F916))</f>
        <v/>
      </c>
      <c r="D916" s="6" t="str">
        <f>IF($A916="","",TRIM('Base Oficial'!G916))</f>
        <v/>
      </c>
      <c r="E916" s="6" t="str">
        <f>IF($A916="","",TRIM('Base Oficial'!D916))</f>
        <v/>
      </c>
      <c r="F916" s="4" t="str">
        <f>IF($A916="","",IF(COUNTIF('Base Exámenes'!$C$5:$C$1000, A916)&gt;0, "Completado", IF(M916&lt;&gt;"", M916, "Pendiente")))</f>
        <v/>
      </c>
      <c r="G916" s="11" t="str">
        <f>IF(F916="Completado", IFERROR(IF(INDEX('Base Exámenes'!$D$5:$D$1000, MATCH(A916&amp;"|"&amp;J916, 'Base Exámenes'!$I$5:$I$1000, 0))="", "", INDEX('Base Exámenes'!$D$5:$D$1000, MATCH(A916&amp;"|"&amp;J916, 'Base Exámenes'!$I$5:$I$1000, 0))), ""), "")</f>
        <v/>
      </c>
      <c r="H916" s="11" t="str">
        <f>IF(F916="Completado", IFERROR(IF(INDEX('Base Exámenes'!$E$5:$E$1000, MATCH(A916&amp;"|"&amp;J916, 'Base Exámenes'!$I$5:$I$1000, 0))="", "", INDEX('Base Exámenes'!$E$5:$E$1000, MATCH(A916&amp;"|"&amp;J916, 'Base Exámenes'!$I$5:$I$1000, 0))), ""), "")</f>
        <v/>
      </c>
      <c r="I916" s="10" t="str">
        <f>IF(F916="Completado", IFERROR(IF(INDEX('Base Exámenes'!$F$5:$F$1000, MATCH(A916&amp;"|"&amp;J916, 'Base Exámenes'!$I$5:$I$1000, 0))="", "", INDEX('Base Exámenes'!$F$5:$F$1000, MATCH(A916&amp;"|"&amp;J916, 'Base Exámenes'!$I$5:$I$1000, 0))), ""), "")</f>
        <v/>
      </c>
      <c r="J916" s="6" t="str">
        <f>IF(F916="Completado", IF(COUNTIFS('Base Exámenes'!$C$5:$C$1000, A916, 'Base Exámenes'!$G$5:$G$1000, "&lt;&gt;")=0, "", _xlfn.MAXIFS('Base Exámenes'!$G$5:$G$1000, 'Base Exámenes'!$C$5:$C$1000, A916)), "")</f>
        <v/>
      </c>
      <c r="K916" s="6" t="str">
        <f>IF(F916="Completado", IFERROR(IF(INDEX('Base Exámenes'!$H$5:$H$1000, MATCH(A916&amp;"|"&amp;J916, 'Base Exámenes'!$I$5:$I$1000, 0))="", "", INDEX('Base Exámenes'!$H$5:$H$1000, MATCH(A916&amp;"|"&amp;J916, 'Base Exámenes'!$I$5:$I$1000, 0))), ""), "")</f>
        <v/>
      </c>
      <c r="L916" s="22" t="str">
        <f>IF($A916="","",COUNTIF('Base Exámenes'!$C$5:$C$1000, A916))</f>
        <v/>
      </c>
      <c r="M916" s="6" t="str">
        <f>IF($A916="","",IF(COUNTIF('Base Exámenes'!$C$5:$C$1000, A916)&gt;0, "", TRIM('Base Oficial'!H916)))</f>
        <v/>
      </c>
    </row>
    <row r="917">
      <c r="A917" s="4" t="str">
        <f>IF('Base Oficial'!A917="","",TRIM('Base Oficial'!A917))</f>
        <v/>
      </c>
      <c r="B917" s="6" t="str">
        <f>IF($A917="","",TRIM('Base Oficial'!B917))</f>
        <v/>
      </c>
      <c r="C917" s="6" t="str">
        <f>IF($A917="","",TRIM('Base Oficial'!F917))</f>
        <v/>
      </c>
      <c r="D917" s="6" t="str">
        <f>IF($A917="","",TRIM('Base Oficial'!G917))</f>
        <v/>
      </c>
      <c r="E917" s="6" t="str">
        <f>IF($A917="","",TRIM('Base Oficial'!D917))</f>
        <v/>
      </c>
      <c r="F917" s="4" t="str">
        <f>IF($A917="","",IF(COUNTIF('Base Exámenes'!$C$5:$C$1000, A917)&gt;0, "Completado", IF(M917&lt;&gt;"", M917, "Pendiente")))</f>
        <v/>
      </c>
      <c r="G917" s="11" t="str">
        <f>IF(F917="Completado", IFERROR(IF(INDEX('Base Exámenes'!$D$5:$D$1000, MATCH(A917&amp;"|"&amp;J917, 'Base Exámenes'!$I$5:$I$1000, 0))="", "", INDEX('Base Exámenes'!$D$5:$D$1000, MATCH(A917&amp;"|"&amp;J917, 'Base Exámenes'!$I$5:$I$1000, 0))), ""), "")</f>
        <v/>
      </c>
      <c r="H917" s="11" t="str">
        <f>IF(F917="Completado", IFERROR(IF(INDEX('Base Exámenes'!$E$5:$E$1000, MATCH(A917&amp;"|"&amp;J917, 'Base Exámenes'!$I$5:$I$1000, 0))="", "", INDEX('Base Exámenes'!$E$5:$E$1000, MATCH(A917&amp;"|"&amp;J917, 'Base Exámenes'!$I$5:$I$1000, 0))), ""), "")</f>
        <v/>
      </c>
      <c r="I917" s="10" t="str">
        <f>IF(F917="Completado", IFERROR(IF(INDEX('Base Exámenes'!$F$5:$F$1000, MATCH(A917&amp;"|"&amp;J917, 'Base Exámenes'!$I$5:$I$1000, 0))="", "", INDEX('Base Exámenes'!$F$5:$F$1000, MATCH(A917&amp;"|"&amp;J917, 'Base Exámenes'!$I$5:$I$1000, 0))), ""), "")</f>
        <v/>
      </c>
      <c r="J917" s="6" t="str">
        <f>IF(F917="Completado", IF(COUNTIFS('Base Exámenes'!$C$5:$C$1000, A917, 'Base Exámenes'!$G$5:$G$1000, "&lt;&gt;")=0, "", _xlfn.MAXIFS('Base Exámenes'!$G$5:$G$1000, 'Base Exámenes'!$C$5:$C$1000, A917)), "")</f>
        <v/>
      </c>
      <c r="K917" s="6" t="str">
        <f>IF(F917="Completado", IFERROR(IF(INDEX('Base Exámenes'!$H$5:$H$1000, MATCH(A917&amp;"|"&amp;J917, 'Base Exámenes'!$I$5:$I$1000, 0))="", "", INDEX('Base Exámenes'!$H$5:$H$1000, MATCH(A917&amp;"|"&amp;J917, 'Base Exámenes'!$I$5:$I$1000, 0))), ""), "")</f>
        <v/>
      </c>
      <c r="L917" s="22" t="str">
        <f>IF($A917="","",COUNTIF('Base Exámenes'!$C$5:$C$1000, A917))</f>
        <v/>
      </c>
      <c r="M917" s="6" t="str">
        <f>IF($A917="","",IF(COUNTIF('Base Exámenes'!$C$5:$C$1000, A917)&gt;0, "", TRIM('Base Oficial'!H917)))</f>
        <v/>
      </c>
    </row>
    <row r="918">
      <c r="A918" s="4" t="str">
        <f>IF('Base Oficial'!A918="","",TRIM('Base Oficial'!A918))</f>
        <v/>
      </c>
      <c r="B918" s="6" t="str">
        <f>IF($A918="","",TRIM('Base Oficial'!B918))</f>
        <v/>
      </c>
      <c r="C918" s="6" t="str">
        <f>IF($A918="","",TRIM('Base Oficial'!F918))</f>
        <v/>
      </c>
      <c r="D918" s="6" t="str">
        <f>IF($A918="","",TRIM('Base Oficial'!G918))</f>
        <v/>
      </c>
      <c r="E918" s="6" t="str">
        <f>IF($A918="","",TRIM('Base Oficial'!D918))</f>
        <v/>
      </c>
      <c r="F918" s="4" t="str">
        <f>IF($A918="","",IF(COUNTIF('Base Exámenes'!$C$5:$C$1000, A918)&gt;0, "Completado", IF(M918&lt;&gt;"", M918, "Pendiente")))</f>
        <v/>
      </c>
      <c r="G918" s="11" t="str">
        <f>IF(F918="Completado", IFERROR(IF(INDEX('Base Exámenes'!$D$5:$D$1000, MATCH(A918&amp;"|"&amp;J918, 'Base Exámenes'!$I$5:$I$1000, 0))="", "", INDEX('Base Exámenes'!$D$5:$D$1000, MATCH(A918&amp;"|"&amp;J918, 'Base Exámenes'!$I$5:$I$1000, 0))), ""), "")</f>
        <v/>
      </c>
      <c r="H918" s="11" t="str">
        <f>IF(F918="Completado", IFERROR(IF(INDEX('Base Exámenes'!$E$5:$E$1000, MATCH(A918&amp;"|"&amp;J918, 'Base Exámenes'!$I$5:$I$1000, 0))="", "", INDEX('Base Exámenes'!$E$5:$E$1000, MATCH(A918&amp;"|"&amp;J918, 'Base Exámenes'!$I$5:$I$1000, 0))), ""), "")</f>
        <v/>
      </c>
      <c r="I918" s="10" t="str">
        <f>IF(F918="Completado", IFERROR(IF(INDEX('Base Exámenes'!$F$5:$F$1000, MATCH(A918&amp;"|"&amp;J918, 'Base Exámenes'!$I$5:$I$1000, 0))="", "", INDEX('Base Exámenes'!$F$5:$F$1000, MATCH(A918&amp;"|"&amp;J918, 'Base Exámenes'!$I$5:$I$1000, 0))), ""), "")</f>
        <v/>
      </c>
      <c r="J918" s="6" t="str">
        <f>IF(F918="Completado", IF(COUNTIFS('Base Exámenes'!$C$5:$C$1000, A918, 'Base Exámenes'!$G$5:$G$1000, "&lt;&gt;")=0, "", _xlfn.MAXIFS('Base Exámenes'!$G$5:$G$1000, 'Base Exámenes'!$C$5:$C$1000, A918)), "")</f>
        <v/>
      </c>
      <c r="K918" s="6" t="str">
        <f>IF(F918="Completado", IFERROR(IF(INDEX('Base Exámenes'!$H$5:$H$1000, MATCH(A918&amp;"|"&amp;J918, 'Base Exámenes'!$I$5:$I$1000, 0))="", "", INDEX('Base Exámenes'!$H$5:$H$1000, MATCH(A918&amp;"|"&amp;J918, 'Base Exámenes'!$I$5:$I$1000, 0))), ""), "")</f>
        <v/>
      </c>
      <c r="L918" s="22" t="str">
        <f>IF($A918="","",COUNTIF('Base Exámenes'!$C$5:$C$1000, A918))</f>
        <v/>
      </c>
      <c r="M918" s="6" t="str">
        <f>IF($A918="","",IF(COUNTIF('Base Exámenes'!$C$5:$C$1000, A918)&gt;0, "", TRIM('Base Oficial'!H918)))</f>
        <v/>
      </c>
    </row>
    <row r="919">
      <c r="A919" s="4" t="str">
        <f>IF('Base Oficial'!A919="","",TRIM('Base Oficial'!A919))</f>
        <v/>
      </c>
      <c r="B919" s="6" t="str">
        <f>IF($A919="","",TRIM('Base Oficial'!B919))</f>
        <v/>
      </c>
      <c r="C919" s="6" t="str">
        <f>IF($A919="","",TRIM('Base Oficial'!F919))</f>
        <v/>
      </c>
      <c r="D919" s="6" t="str">
        <f>IF($A919="","",TRIM('Base Oficial'!G919))</f>
        <v/>
      </c>
      <c r="E919" s="6" t="str">
        <f>IF($A919="","",TRIM('Base Oficial'!D919))</f>
        <v/>
      </c>
      <c r="F919" s="4" t="str">
        <f>IF($A919="","",IF(COUNTIF('Base Exámenes'!$C$5:$C$1000, A919)&gt;0, "Completado", IF(M919&lt;&gt;"", M919, "Pendiente")))</f>
        <v/>
      </c>
      <c r="G919" s="11" t="str">
        <f>IF(F919="Completado", IFERROR(IF(INDEX('Base Exámenes'!$D$5:$D$1000, MATCH(A919&amp;"|"&amp;J919, 'Base Exámenes'!$I$5:$I$1000, 0))="", "", INDEX('Base Exámenes'!$D$5:$D$1000, MATCH(A919&amp;"|"&amp;J919, 'Base Exámenes'!$I$5:$I$1000, 0))), ""), "")</f>
        <v/>
      </c>
      <c r="H919" s="11" t="str">
        <f>IF(F919="Completado", IFERROR(IF(INDEX('Base Exámenes'!$E$5:$E$1000, MATCH(A919&amp;"|"&amp;J919, 'Base Exámenes'!$I$5:$I$1000, 0))="", "", INDEX('Base Exámenes'!$E$5:$E$1000, MATCH(A919&amp;"|"&amp;J919, 'Base Exámenes'!$I$5:$I$1000, 0))), ""), "")</f>
        <v/>
      </c>
      <c r="I919" s="10" t="str">
        <f>IF(F919="Completado", IFERROR(IF(INDEX('Base Exámenes'!$F$5:$F$1000, MATCH(A919&amp;"|"&amp;J919, 'Base Exámenes'!$I$5:$I$1000, 0))="", "", INDEX('Base Exámenes'!$F$5:$F$1000, MATCH(A919&amp;"|"&amp;J919, 'Base Exámenes'!$I$5:$I$1000, 0))), ""), "")</f>
        <v/>
      </c>
      <c r="J919" s="6" t="str">
        <f>IF(F919="Completado", IF(COUNTIFS('Base Exámenes'!$C$5:$C$1000, A919, 'Base Exámenes'!$G$5:$G$1000, "&lt;&gt;")=0, "", _xlfn.MAXIFS('Base Exámenes'!$G$5:$G$1000, 'Base Exámenes'!$C$5:$C$1000, A919)), "")</f>
        <v/>
      </c>
      <c r="K919" s="6" t="str">
        <f>IF(F919="Completado", IFERROR(IF(INDEX('Base Exámenes'!$H$5:$H$1000, MATCH(A919&amp;"|"&amp;J919, 'Base Exámenes'!$I$5:$I$1000, 0))="", "", INDEX('Base Exámenes'!$H$5:$H$1000, MATCH(A919&amp;"|"&amp;J919, 'Base Exámenes'!$I$5:$I$1000, 0))), ""), "")</f>
        <v/>
      </c>
      <c r="L919" s="22" t="str">
        <f>IF($A919="","",COUNTIF('Base Exámenes'!$C$5:$C$1000, A919))</f>
        <v/>
      </c>
      <c r="M919" s="6" t="str">
        <f>IF($A919="","",IF(COUNTIF('Base Exámenes'!$C$5:$C$1000, A919)&gt;0, "", TRIM('Base Oficial'!H919)))</f>
        <v/>
      </c>
    </row>
    <row r="920">
      <c r="A920" s="4" t="str">
        <f>IF('Base Oficial'!A920="","",TRIM('Base Oficial'!A920))</f>
        <v/>
      </c>
      <c r="B920" s="6" t="str">
        <f>IF($A920="","",TRIM('Base Oficial'!B920))</f>
        <v/>
      </c>
      <c r="C920" s="6" t="str">
        <f>IF($A920="","",TRIM('Base Oficial'!F920))</f>
        <v/>
      </c>
      <c r="D920" s="6" t="str">
        <f>IF($A920="","",TRIM('Base Oficial'!G920))</f>
        <v/>
      </c>
      <c r="E920" s="6" t="str">
        <f>IF($A920="","",TRIM('Base Oficial'!D920))</f>
        <v/>
      </c>
      <c r="F920" s="4" t="str">
        <f>IF($A920="","",IF(COUNTIF('Base Exámenes'!$C$5:$C$1000, A920)&gt;0, "Completado", IF(M920&lt;&gt;"", M920, "Pendiente")))</f>
        <v/>
      </c>
      <c r="G920" s="11" t="str">
        <f>IF(F920="Completado", IFERROR(IF(INDEX('Base Exámenes'!$D$5:$D$1000, MATCH(A920&amp;"|"&amp;J920, 'Base Exámenes'!$I$5:$I$1000, 0))="", "", INDEX('Base Exámenes'!$D$5:$D$1000, MATCH(A920&amp;"|"&amp;J920, 'Base Exámenes'!$I$5:$I$1000, 0))), ""), "")</f>
        <v/>
      </c>
      <c r="H920" s="11" t="str">
        <f>IF(F920="Completado", IFERROR(IF(INDEX('Base Exámenes'!$E$5:$E$1000, MATCH(A920&amp;"|"&amp;J920, 'Base Exámenes'!$I$5:$I$1000, 0))="", "", INDEX('Base Exámenes'!$E$5:$E$1000, MATCH(A920&amp;"|"&amp;J920, 'Base Exámenes'!$I$5:$I$1000, 0))), ""), "")</f>
        <v/>
      </c>
      <c r="I920" s="10" t="str">
        <f>IF(F920="Completado", IFERROR(IF(INDEX('Base Exámenes'!$F$5:$F$1000, MATCH(A920&amp;"|"&amp;J920, 'Base Exámenes'!$I$5:$I$1000, 0))="", "", INDEX('Base Exámenes'!$F$5:$F$1000, MATCH(A920&amp;"|"&amp;J920, 'Base Exámenes'!$I$5:$I$1000, 0))), ""), "")</f>
        <v/>
      </c>
      <c r="J920" s="6" t="str">
        <f>IF(F920="Completado", IF(COUNTIFS('Base Exámenes'!$C$5:$C$1000, A920, 'Base Exámenes'!$G$5:$G$1000, "&lt;&gt;")=0, "", _xlfn.MAXIFS('Base Exámenes'!$G$5:$G$1000, 'Base Exámenes'!$C$5:$C$1000, A920)), "")</f>
        <v/>
      </c>
      <c r="K920" s="6" t="str">
        <f>IF(F920="Completado", IFERROR(IF(INDEX('Base Exámenes'!$H$5:$H$1000, MATCH(A920&amp;"|"&amp;J920, 'Base Exámenes'!$I$5:$I$1000, 0))="", "", INDEX('Base Exámenes'!$H$5:$H$1000, MATCH(A920&amp;"|"&amp;J920, 'Base Exámenes'!$I$5:$I$1000, 0))), ""), "")</f>
        <v/>
      </c>
      <c r="L920" s="22" t="str">
        <f>IF($A920="","",COUNTIF('Base Exámenes'!$C$5:$C$1000, A920))</f>
        <v/>
      </c>
      <c r="M920" s="6" t="str">
        <f>IF($A920="","",IF(COUNTIF('Base Exámenes'!$C$5:$C$1000, A920)&gt;0, "", TRIM('Base Oficial'!H920)))</f>
        <v/>
      </c>
    </row>
    <row r="921">
      <c r="A921" s="4" t="str">
        <f>IF('Base Oficial'!A921="","",TRIM('Base Oficial'!A921))</f>
        <v/>
      </c>
      <c r="B921" s="6" t="str">
        <f>IF($A921="","",TRIM('Base Oficial'!B921))</f>
        <v/>
      </c>
      <c r="C921" s="6" t="str">
        <f>IF($A921="","",TRIM('Base Oficial'!F921))</f>
        <v/>
      </c>
      <c r="D921" s="6" t="str">
        <f>IF($A921="","",TRIM('Base Oficial'!G921))</f>
        <v/>
      </c>
      <c r="E921" s="6" t="str">
        <f>IF($A921="","",TRIM('Base Oficial'!D921))</f>
        <v/>
      </c>
      <c r="F921" s="4" t="str">
        <f>IF($A921="","",IF(COUNTIF('Base Exámenes'!$C$5:$C$1000, A921)&gt;0, "Completado", IF(M921&lt;&gt;"", M921, "Pendiente")))</f>
        <v/>
      </c>
      <c r="G921" s="11" t="str">
        <f>IF(F921="Completado", IFERROR(IF(INDEX('Base Exámenes'!$D$5:$D$1000, MATCH(A921&amp;"|"&amp;J921, 'Base Exámenes'!$I$5:$I$1000, 0))="", "", INDEX('Base Exámenes'!$D$5:$D$1000, MATCH(A921&amp;"|"&amp;J921, 'Base Exámenes'!$I$5:$I$1000, 0))), ""), "")</f>
        <v/>
      </c>
      <c r="H921" s="11" t="str">
        <f>IF(F921="Completado", IFERROR(IF(INDEX('Base Exámenes'!$E$5:$E$1000, MATCH(A921&amp;"|"&amp;J921, 'Base Exámenes'!$I$5:$I$1000, 0))="", "", INDEX('Base Exámenes'!$E$5:$E$1000, MATCH(A921&amp;"|"&amp;J921, 'Base Exámenes'!$I$5:$I$1000, 0))), ""), "")</f>
        <v/>
      </c>
      <c r="I921" s="10" t="str">
        <f>IF(F921="Completado", IFERROR(IF(INDEX('Base Exámenes'!$F$5:$F$1000, MATCH(A921&amp;"|"&amp;J921, 'Base Exámenes'!$I$5:$I$1000, 0))="", "", INDEX('Base Exámenes'!$F$5:$F$1000, MATCH(A921&amp;"|"&amp;J921, 'Base Exámenes'!$I$5:$I$1000, 0))), ""), "")</f>
        <v/>
      </c>
      <c r="J921" s="6" t="str">
        <f>IF(F921="Completado", IF(COUNTIFS('Base Exámenes'!$C$5:$C$1000, A921, 'Base Exámenes'!$G$5:$G$1000, "&lt;&gt;")=0, "", _xlfn.MAXIFS('Base Exámenes'!$G$5:$G$1000, 'Base Exámenes'!$C$5:$C$1000, A921)), "")</f>
        <v/>
      </c>
      <c r="K921" s="6" t="str">
        <f>IF(F921="Completado", IFERROR(IF(INDEX('Base Exámenes'!$H$5:$H$1000, MATCH(A921&amp;"|"&amp;J921, 'Base Exámenes'!$I$5:$I$1000, 0))="", "", INDEX('Base Exámenes'!$H$5:$H$1000, MATCH(A921&amp;"|"&amp;J921, 'Base Exámenes'!$I$5:$I$1000, 0))), ""), "")</f>
        <v/>
      </c>
      <c r="L921" s="22" t="str">
        <f>IF($A921="","",COUNTIF('Base Exámenes'!$C$5:$C$1000, A921))</f>
        <v/>
      </c>
      <c r="M921" s="6" t="str">
        <f>IF($A921="","",IF(COUNTIF('Base Exámenes'!$C$5:$C$1000, A921)&gt;0, "", TRIM('Base Oficial'!H921)))</f>
        <v/>
      </c>
    </row>
    <row r="922">
      <c r="A922" s="4" t="str">
        <f>IF('Base Oficial'!A922="","",TRIM('Base Oficial'!A922))</f>
        <v/>
      </c>
      <c r="B922" s="6" t="str">
        <f>IF($A922="","",TRIM('Base Oficial'!B922))</f>
        <v/>
      </c>
      <c r="C922" s="6" t="str">
        <f>IF($A922="","",TRIM('Base Oficial'!F922))</f>
        <v/>
      </c>
      <c r="D922" s="6" t="str">
        <f>IF($A922="","",TRIM('Base Oficial'!G922))</f>
        <v/>
      </c>
      <c r="E922" s="6" t="str">
        <f>IF($A922="","",TRIM('Base Oficial'!D922))</f>
        <v/>
      </c>
      <c r="F922" s="4" t="str">
        <f>IF($A922="","",IF(COUNTIF('Base Exámenes'!$C$5:$C$1000, A922)&gt;0, "Completado", IF(M922&lt;&gt;"", M922, "Pendiente")))</f>
        <v/>
      </c>
      <c r="G922" s="11" t="str">
        <f>IF(F922="Completado", IFERROR(IF(INDEX('Base Exámenes'!$D$5:$D$1000, MATCH(A922&amp;"|"&amp;J922, 'Base Exámenes'!$I$5:$I$1000, 0))="", "", INDEX('Base Exámenes'!$D$5:$D$1000, MATCH(A922&amp;"|"&amp;J922, 'Base Exámenes'!$I$5:$I$1000, 0))), ""), "")</f>
        <v/>
      </c>
      <c r="H922" s="11" t="str">
        <f>IF(F922="Completado", IFERROR(IF(INDEX('Base Exámenes'!$E$5:$E$1000, MATCH(A922&amp;"|"&amp;J922, 'Base Exámenes'!$I$5:$I$1000, 0))="", "", INDEX('Base Exámenes'!$E$5:$E$1000, MATCH(A922&amp;"|"&amp;J922, 'Base Exámenes'!$I$5:$I$1000, 0))), ""), "")</f>
        <v/>
      </c>
      <c r="I922" s="10" t="str">
        <f>IF(F922="Completado", IFERROR(IF(INDEX('Base Exámenes'!$F$5:$F$1000, MATCH(A922&amp;"|"&amp;J922, 'Base Exámenes'!$I$5:$I$1000, 0))="", "", INDEX('Base Exámenes'!$F$5:$F$1000, MATCH(A922&amp;"|"&amp;J922, 'Base Exámenes'!$I$5:$I$1000, 0))), ""), "")</f>
        <v/>
      </c>
      <c r="J922" s="6" t="str">
        <f>IF(F922="Completado", IF(COUNTIFS('Base Exámenes'!$C$5:$C$1000, A922, 'Base Exámenes'!$G$5:$G$1000, "&lt;&gt;")=0, "", _xlfn.MAXIFS('Base Exámenes'!$G$5:$G$1000, 'Base Exámenes'!$C$5:$C$1000, A922)), "")</f>
        <v/>
      </c>
      <c r="K922" s="6" t="str">
        <f>IF(F922="Completado", IFERROR(IF(INDEX('Base Exámenes'!$H$5:$H$1000, MATCH(A922&amp;"|"&amp;J922, 'Base Exámenes'!$I$5:$I$1000, 0))="", "", INDEX('Base Exámenes'!$H$5:$H$1000, MATCH(A922&amp;"|"&amp;J922, 'Base Exámenes'!$I$5:$I$1000, 0))), ""), "")</f>
        <v/>
      </c>
      <c r="L922" s="22" t="str">
        <f>IF($A922="","",COUNTIF('Base Exámenes'!$C$5:$C$1000, A922))</f>
        <v/>
      </c>
      <c r="M922" s="6" t="str">
        <f>IF($A922="","",IF(COUNTIF('Base Exámenes'!$C$5:$C$1000, A922)&gt;0, "", TRIM('Base Oficial'!H922)))</f>
        <v/>
      </c>
    </row>
    <row r="923">
      <c r="A923" s="4" t="str">
        <f>IF('Base Oficial'!A923="","",TRIM('Base Oficial'!A923))</f>
        <v/>
      </c>
      <c r="B923" s="6" t="str">
        <f>IF($A923="","",TRIM('Base Oficial'!B923))</f>
        <v/>
      </c>
      <c r="C923" s="6" t="str">
        <f>IF($A923="","",TRIM('Base Oficial'!F923))</f>
        <v/>
      </c>
      <c r="D923" s="6" t="str">
        <f>IF($A923="","",TRIM('Base Oficial'!G923))</f>
        <v/>
      </c>
      <c r="E923" s="6" t="str">
        <f>IF($A923="","",TRIM('Base Oficial'!D923))</f>
        <v/>
      </c>
      <c r="F923" s="4" t="str">
        <f>IF($A923="","",IF(COUNTIF('Base Exámenes'!$C$5:$C$1000, A923)&gt;0, "Completado", IF(M923&lt;&gt;"", M923, "Pendiente")))</f>
        <v/>
      </c>
      <c r="G923" s="11" t="str">
        <f>IF(F923="Completado", IFERROR(IF(INDEX('Base Exámenes'!$D$5:$D$1000, MATCH(A923&amp;"|"&amp;J923, 'Base Exámenes'!$I$5:$I$1000, 0))="", "", INDEX('Base Exámenes'!$D$5:$D$1000, MATCH(A923&amp;"|"&amp;J923, 'Base Exámenes'!$I$5:$I$1000, 0))), ""), "")</f>
        <v/>
      </c>
      <c r="H923" s="11" t="str">
        <f>IF(F923="Completado", IFERROR(IF(INDEX('Base Exámenes'!$E$5:$E$1000, MATCH(A923&amp;"|"&amp;J923, 'Base Exámenes'!$I$5:$I$1000, 0))="", "", INDEX('Base Exámenes'!$E$5:$E$1000, MATCH(A923&amp;"|"&amp;J923, 'Base Exámenes'!$I$5:$I$1000, 0))), ""), "")</f>
        <v/>
      </c>
      <c r="I923" s="10" t="str">
        <f>IF(F923="Completado", IFERROR(IF(INDEX('Base Exámenes'!$F$5:$F$1000, MATCH(A923&amp;"|"&amp;J923, 'Base Exámenes'!$I$5:$I$1000, 0))="", "", INDEX('Base Exámenes'!$F$5:$F$1000, MATCH(A923&amp;"|"&amp;J923, 'Base Exámenes'!$I$5:$I$1000, 0))), ""), "")</f>
        <v/>
      </c>
      <c r="J923" s="6" t="str">
        <f>IF(F923="Completado", IF(COUNTIFS('Base Exámenes'!$C$5:$C$1000, A923, 'Base Exámenes'!$G$5:$G$1000, "&lt;&gt;")=0, "", _xlfn.MAXIFS('Base Exámenes'!$G$5:$G$1000, 'Base Exámenes'!$C$5:$C$1000, A923)), "")</f>
        <v/>
      </c>
      <c r="K923" s="6" t="str">
        <f>IF(F923="Completado", IFERROR(IF(INDEX('Base Exámenes'!$H$5:$H$1000, MATCH(A923&amp;"|"&amp;J923, 'Base Exámenes'!$I$5:$I$1000, 0))="", "", INDEX('Base Exámenes'!$H$5:$H$1000, MATCH(A923&amp;"|"&amp;J923, 'Base Exámenes'!$I$5:$I$1000, 0))), ""), "")</f>
        <v/>
      </c>
      <c r="L923" s="22" t="str">
        <f>IF($A923="","",COUNTIF('Base Exámenes'!$C$5:$C$1000, A923))</f>
        <v/>
      </c>
      <c r="M923" s="6" t="str">
        <f>IF($A923="","",IF(COUNTIF('Base Exámenes'!$C$5:$C$1000, A923)&gt;0, "", TRIM('Base Oficial'!H923)))</f>
        <v/>
      </c>
    </row>
    <row r="924">
      <c r="A924" s="4" t="str">
        <f>IF('Base Oficial'!A924="","",TRIM('Base Oficial'!A924))</f>
        <v/>
      </c>
      <c r="B924" s="6" t="str">
        <f>IF($A924="","",TRIM('Base Oficial'!B924))</f>
        <v/>
      </c>
      <c r="C924" s="6" t="str">
        <f>IF($A924="","",TRIM('Base Oficial'!F924))</f>
        <v/>
      </c>
      <c r="D924" s="6" t="str">
        <f>IF($A924="","",TRIM('Base Oficial'!G924))</f>
        <v/>
      </c>
      <c r="E924" s="6" t="str">
        <f>IF($A924="","",TRIM('Base Oficial'!D924))</f>
        <v/>
      </c>
      <c r="F924" s="4" t="str">
        <f>IF($A924="","",IF(COUNTIF('Base Exámenes'!$C$5:$C$1000, A924)&gt;0, "Completado", IF(M924&lt;&gt;"", M924, "Pendiente")))</f>
        <v/>
      </c>
      <c r="G924" s="11" t="str">
        <f>IF(F924="Completado", IFERROR(IF(INDEX('Base Exámenes'!$D$5:$D$1000, MATCH(A924&amp;"|"&amp;J924, 'Base Exámenes'!$I$5:$I$1000, 0))="", "", INDEX('Base Exámenes'!$D$5:$D$1000, MATCH(A924&amp;"|"&amp;J924, 'Base Exámenes'!$I$5:$I$1000, 0))), ""), "")</f>
        <v/>
      </c>
      <c r="H924" s="11" t="str">
        <f>IF(F924="Completado", IFERROR(IF(INDEX('Base Exámenes'!$E$5:$E$1000, MATCH(A924&amp;"|"&amp;J924, 'Base Exámenes'!$I$5:$I$1000, 0))="", "", INDEX('Base Exámenes'!$E$5:$E$1000, MATCH(A924&amp;"|"&amp;J924, 'Base Exámenes'!$I$5:$I$1000, 0))), ""), "")</f>
        <v/>
      </c>
      <c r="I924" s="10" t="str">
        <f>IF(F924="Completado", IFERROR(IF(INDEX('Base Exámenes'!$F$5:$F$1000, MATCH(A924&amp;"|"&amp;J924, 'Base Exámenes'!$I$5:$I$1000, 0))="", "", INDEX('Base Exámenes'!$F$5:$F$1000, MATCH(A924&amp;"|"&amp;J924, 'Base Exámenes'!$I$5:$I$1000, 0))), ""), "")</f>
        <v/>
      </c>
      <c r="J924" s="6" t="str">
        <f>IF(F924="Completado", IF(COUNTIFS('Base Exámenes'!$C$5:$C$1000, A924, 'Base Exámenes'!$G$5:$G$1000, "&lt;&gt;")=0, "", _xlfn.MAXIFS('Base Exámenes'!$G$5:$G$1000, 'Base Exámenes'!$C$5:$C$1000, A924)), "")</f>
        <v/>
      </c>
      <c r="K924" s="6" t="str">
        <f>IF(F924="Completado", IFERROR(IF(INDEX('Base Exámenes'!$H$5:$H$1000, MATCH(A924&amp;"|"&amp;J924, 'Base Exámenes'!$I$5:$I$1000, 0))="", "", INDEX('Base Exámenes'!$H$5:$H$1000, MATCH(A924&amp;"|"&amp;J924, 'Base Exámenes'!$I$5:$I$1000, 0))), ""), "")</f>
        <v/>
      </c>
      <c r="L924" s="22" t="str">
        <f>IF($A924="","",COUNTIF('Base Exámenes'!$C$5:$C$1000, A924))</f>
        <v/>
      </c>
      <c r="M924" s="6" t="str">
        <f>IF($A924="","",IF(COUNTIF('Base Exámenes'!$C$5:$C$1000, A924)&gt;0, "", TRIM('Base Oficial'!H924)))</f>
        <v/>
      </c>
    </row>
    <row r="925">
      <c r="A925" s="4" t="str">
        <f>IF('Base Oficial'!A925="","",TRIM('Base Oficial'!A925))</f>
        <v/>
      </c>
      <c r="B925" s="6" t="str">
        <f>IF($A925="","",TRIM('Base Oficial'!B925))</f>
        <v/>
      </c>
      <c r="C925" s="6" t="str">
        <f>IF($A925="","",TRIM('Base Oficial'!F925))</f>
        <v/>
      </c>
      <c r="D925" s="6" t="str">
        <f>IF($A925="","",TRIM('Base Oficial'!G925))</f>
        <v/>
      </c>
      <c r="E925" s="6" t="str">
        <f>IF($A925="","",TRIM('Base Oficial'!D925))</f>
        <v/>
      </c>
      <c r="F925" s="4" t="str">
        <f>IF($A925="","",IF(COUNTIF('Base Exámenes'!$C$5:$C$1000, A925)&gt;0, "Completado", IF(M925&lt;&gt;"", M925, "Pendiente")))</f>
        <v/>
      </c>
      <c r="G925" s="11" t="str">
        <f>IF(F925="Completado", IFERROR(IF(INDEX('Base Exámenes'!$D$5:$D$1000, MATCH(A925&amp;"|"&amp;J925, 'Base Exámenes'!$I$5:$I$1000, 0))="", "", INDEX('Base Exámenes'!$D$5:$D$1000, MATCH(A925&amp;"|"&amp;J925, 'Base Exámenes'!$I$5:$I$1000, 0))), ""), "")</f>
        <v/>
      </c>
      <c r="H925" s="11" t="str">
        <f>IF(F925="Completado", IFERROR(IF(INDEX('Base Exámenes'!$E$5:$E$1000, MATCH(A925&amp;"|"&amp;J925, 'Base Exámenes'!$I$5:$I$1000, 0))="", "", INDEX('Base Exámenes'!$E$5:$E$1000, MATCH(A925&amp;"|"&amp;J925, 'Base Exámenes'!$I$5:$I$1000, 0))), ""), "")</f>
        <v/>
      </c>
      <c r="I925" s="10" t="str">
        <f>IF(F925="Completado", IFERROR(IF(INDEX('Base Exámenes'!$F$5:$F$1000, MATCH(A925&amp;"|"&amp;J925, 'Base Exámenes'!$I$5:$I$1000, 0))="", "", INDEX('Base Exámenes'!$F$5:$F$1000, MATCH(A925&amp;"|"&amp;J925, 'Base Exámenes'!$I$5:$I$1000, 0))), ""), "")</f>
        <v/>
      </c>
      <c r="J925" s="6" t="str">
        <f>IF(F925="Completado", IF(COUNTIFS('Base Exámenes'!$C$5:$C$1000, A925, 'Base Exámenes'!$G$5:$G$1000, "&lt;&gt;")=0, "", _xlfn.MAXIFS('Base Exámenes'!$G$5:$G$1000, 'Base Exámenes'!$C$5:$C$1000, A925)), "")</f>
        <v/>
      </c>
      <c r="K925" s="6" t="str">
        <f>IF(F925="Completado", IFERROR(IF(INDEX('Base Exámenes'!$H$5:$H$1000, MATCH(A925&amp;"|"&amp;J925, 'Base Exámenes'!$I$5:$I$1000, 0))="", "", INDEX('Base Exámenes'!$H$5:$H$1000, MATCH(A925&amp;"|"&amp;J925, 'Base Exámenes'!$I$5:$I$1000, 0))), ""), "")</f>
        <v/>
      </c>
      <c r="L925" s="22" t="str">
        <f>IF($A925="","",COUNTIF('Base Exámenes'!$C$5:$C$1000, A925))</f>
        <v/>
      </c>
      <c r="M925" s="6" t="str">
        <f>IF($A925="","",IF(COUNTIF('Base Exámenes'!$C$5:$C$1000, A925)&gt;0, "", TRIM('Base Oficial'!H925)))</f>
        <v/>
      </c>
    </row>
    <row r="926">
      <c r="A926" s="4" t="str">
        <f>IF('Base Oficial'!A926="","",TRIM('Base Oficial'!A926))</f>
        <v/>
      </c>
      <c r="B926" s="6" t="str">
        <f>IF($A926="","",TRIM('Base Oficial'!B926))</f>
        <v/>
      </c>
      <c r="C926" s="6" t="str">
        <f>IF($A926="","",TRIM('Base Oficial'!F926))</f>
        <v/>
      </c>
      <c r="D926" s="6" t="str">
        <f>IF($A926="","",TRIM('Base Oficial'!G926))</f>
        <v/>
      </c>
      <c r="E926" s="6" t="str">
        <f>IF($A926="","",TRIM('Base Oficial'!D926))</f>
        <v/>
      </c>
      <c r="F926" s="4" t="str">
        <f>IF($A926="","",IF(COUNTIF('Base Exámenes'!$C$5:$C$1000, A926)&gt;0, "Completado", IF(M926&lt;&gt;"", M926, "Pendiente")))</f>
        <v/>
      </c>
      <c r="G926" s="11" t="str">
        <f>IF(F926="Completado", IFERROR(IF(INDEX('Base Exámenes'!$D$5:$D$1000, MATCH(A926&amp;"|"&amp;J926, 'Base Exámenes'!$I$5:$I$1000, 0))="", "", INDEX('Base Exámenes'!$D$5:$D$1000, MATCH(A926&amp;"|"&amp;J926, 'Base Exámenes'!$I$5:$I$1000, 0))), ""), "")</f>
        <v/>
      </c>
      <c r="H926" s="11" t="str">
        <f>IF(F926="Completado", IFERROR(IF(INDEX('Base Exámenes'!$E$5:$E$1000, MATCH(A926&amp;"|"&amp;J926, 'Base Exámenes'!$I$5:$I$1000, 0))="", "", INDEX('Base Exámenes'!$E$5:$E$1000, MATCH(A926&amp;"|"&amp;J926, 'Base Exámenes'!$I$5:$I$1000, 0))), ""), "")</f>
        <v/>
      </c>
      <c r="I926" s="10" t="str">
        <f>IF(F926="Completado", IFERROR(IF(INDEX('Base Exámenes'!$F$5:$F$1000, MATCH(A926&amp;"|"&amp;J926, 'Base Exámenes'!$I$5:$I$1000, 0))="", "", INDEX('Base Exámenes'!$F$5:$F$1000, MATCH(A926&amp;"|"&amp;J926, 'Base Exámenes'!$I$5:$I$1000, 0))), ""), "")</f>
        <v/>
      </c>
      <c r="J926" s="6" t="str">
        <f>IF(F926="Completado", IF(COUNTIFS('Base Exámenes'!$C$5:$C$1000, A926, 'Base Exámenes'!$G$5:$G$1000, "&lt;&gt;")=0, "", _xlfn.MAXIFS('Base Exámenes'!$G$5:$G$1000, 'Base Exámenes'!$C$5:$C$1000, A926)), "")</f>
        <v/>
      </c>
      <c r="K926" s="6" t="str">
        <f>IF(F926="Completado", IFERROR(IF(INDEX('Base Exámenes'!$H$5:$H$1000, MATCH(A926&amp;"|"&amp;J926, 'Base Exámenes'!$I$5:$I$1000, 0))="", "", INDEX('Base Exámenes'!$H$5:$H$1000, MATCH(A926&amp;"|"&amp;J926, 'Base Exámenes'!$I$5:$I$1000, 0))), ""), "")</f>
        <v/>
      </c>
      <c r="L926" s="22" t="str">
        <f>IF($A926="","",COUNTIF('Base Exámenes'!$C$5:$C$1000, A926))</f>
        <v/>
      </c>
      <c r="M926" s="6" t="str">
        <f>IF($A926="","",IF(COUNTIF('Base Exámenes'!$C$5:$C$1000, A926)&gt;0, "", TRIM('Base Oficial'!H926)))</f>
        <v/>
      </c>
    </row>
    <row r="927">
      <c r="A927" s="4" t="str">
        <f>IF('Base Oficial'!A927="","",TRIM('Base Oficial'!A927))</f>
        <v/>
      </c>
      <c r="B927" s="6" t="str">
        <f>IF($A927="","",TRIM('Base Oficial'!B927))</f>
        <v/>
      </c>
      <c r="C927" s="6" t="str">
        <f>IF($A927="","",TRIM('Base Oficial'!F927))</f>
        <v/>
      </c>
      <c r="D927" s="6" t="str">
        <f>IF($A927="","",TRIM('Base Oficial'!G927))</f>
        <v/>
      </c>
      <c r="E927" s="6" t="str">
        <f>IF($A927="","",TRIM('Base Oficial'!D927))</f>
        <v/>
      </c>
      <c r="F927" s="4" t="str">
        <f>IF($A927="","",IF(COUNTIF('Base Exámenes'!$C$5:$C$1000, A927)&gt;0, "Completado", IF(M927&lt;&gt;"", M927, "Pendiente")))</f>
        <v/>
      </c>
      <c r="G927" s="11" t="str">
        <f>IF(F927="Completado", IFERROR(IF(INDEX('Base Exámenes'!$D$5:$D$1000, MATCH(A927&amp;"|"&amp;J927, 'Base Exámenes'!$I$5:$I$1000, 0))="", "", INDEX('Base Exámenes'!$D$5:$D$1000, MATCH(A927&amp;"|"&amp;J927, 'Base Exámenes'!$I$5:$I$1000, 0))), ""), "")</f>
        <v/>
      </c>
      <c r="H927" s="11" t="str">
        <f>IF(F927="Completado", IFERROR(IF(INDEX('Base Exámenes'!$E$5:$E$1000, MATCH(A927&amp;"|"&amp;J927, 'Base Exámenes'!$I$5:$I$1000, 0))="", "", INDEX('Base Exámenes'!$E$5:$E$1000, MATCH(A927&amp;"|"&amp;J927, 'Base Exámenes'!$I$5:$I$1000, 0))), ""), "")</f>
        <v/>
      </c>
      <c r="I927" s="10" t="str">
        <f>IF(F927="Completado", IFERROR(IF(INDEX('Base Exámenes'!$F$5:$F$1000, MATCH(A927&amp;"|"&amp;J927, 'Base Exámenes'!$I$5:$I$1000, 0))="", "", INDEX('Base Exámenes'!$F$5:$F$1000, MATCH(A927&amp;"|"&amp;J927, 'Base Exámenes'!$I$5:$I$1000, 0))), ""), "")</f>
        <v/>
      </c>
      <c r="J927" s="6" t="str">
        <f>IF(F927="Completado", IF(COUNTIFS('Base Exámenes'!$C$5:$C$1000, A927, 'Base Exámenes'!$G$5:$G$1000, "&lt;&gt;")=0, "", _xlfn.MAXIFS('Base Exámenes'!$G$5:$G$1000, 'Base Exámenes'!$C$5:$C$1000, A927)), "")</f>
        <v/>
      </c>
      <c r="K927" s="6" t="str">
        <f>IF(F927="Completado", IFERROR(IF(INDEX('Base Exámenes'!$H$5:$H$1000, MATCH(A927&amp;"|"&amp;J927, 'Base Exámenes'!$I$5:$I$1000, 0))="", "", INDEX('Base Exámenes'!$H$5:$H$1000, MATCH(A927&amp;"|"&amp;J927, 'Base Exámenes'!$I$5:$I$1000, 0))), ""), "")</f>
        <v/>
      </c>
      <c r="L927" s="22" t="str">
        <f>IF($A927="","",COUNTIF('Base Exámenes'!$C$5:$C$1000, A927))</f>
        <v/>
      </c>
      <c r="M927" s="6" t="str">
        <f>IF($A927="","",IF(COUNTIF('Base Exámenes'!$C$5:$C$1000, A927)&gt;0, "", TRIM('Base Oficial'!H927)))</f>
        <v/>
      </c>
    </row>
    <row r="928">
      <c r="A928" s="4" t="str">
        <f>IF('Base Oficial'!A928="","",TRIM('Base Oficial'!A928))</f>
        <v/>
      </c>
      <c r="B928" s="6" t="str">
        <f>IF($A928="","",TRIM('Base Oficial'!B928))</f>
        <v/>
      </c>
      <c r="C928" s="6" t="str">
        <f>IF($A928="","",TRIM('Base Oficial'!F928))</f>
        <v/>
      </c>
      <c r="D928" s="6" t="str">
        <f>IF($A928="","",TRIM('Base Oficial'!G928))</f>
        <v/>
      </c>
      <c r="E928" s="6" t="str">
        <f>IF($A928="","",TRIM('Base Oficial'!D928))</f>
        <v/>
      </c>
      <c r="F928" s="4" t="str">
        <f>IF($A928="","",IF(COUNTIF('Base Exámenes'!$C$5:$C$1000, A928)&gt;0, "Completado", IF(M928&lt;&gt;"", M928, "Pendiente")))</f>
        <v/>
      </c>
      <c r="G928" s="11" t="str">
        <f>IF(F928="Completado", IFERROR(IF(INDEX('Base Exámenes'!$D$5:$D$1000, MATCH(A928&amp;"|"&amp;J928, 'Base Exámenes'!$I$5:$I$1000, 0))="", "", INDEX('Base Exámenes'!$D$5:$D$1000, MATCH(A928&amp;"|"&amp;J928, 'Base Exámenes'!$I$5:$I$1000, 0))), ""), "")</f>
        <v/>
      </c>
      <c r="H928" s="11" t="str">
        <f>IF(F928="Completado", IFERROR(IF(INDEX('Base Exámenes'!$E$5:$E$1000, MATCH(A928&amp;"|"&amp;J928, 'Base Exámenes'!$I$5:$I$1000, 0))="", "", INDEX('Base Exámenes'!$E$5:$E$1000, MATCH(A928&amp;"|"&amp;J928, 'Base Exámenes'!$I$5:$I$1000, 0))), ""), "")</f>
        <v/>
      </c>
      <c r="I928" s="10" t="str">
        <f>IF(F928="Completado", IFERROR(IF(INDEX('Base Exámenes'!$F$5:$F$1000, MATCH(A928&amp;"|"&amp;J928, 'Base Exámenes'!$I$5:$I$1000, 0))="", "", INDEX('Base Exámenes'!$F$5:$F$1000, MATCH(A928&amp;"|"&amp;J928, 'Base Exámenes'!$I$5:$I$1000, 0))), ""), "")</f>
        <v/>
      </c>
      <c r="J928" s="6" t="str">
        <f>IF(F928="Completado", IF(COUNTIFS('Base Exámenes'!$C$5:$C$1000, A928, 'Base Exámenes'!$G$5:$G$1000, "&lt;&gt;")=0, "", _xlfn.MAXIFS('Base Exámenes'!$G$5:$G$1000, 'Base Exámenes'!$C$5:$C$1000, A928)), "")</f>
        <v/>
      </c>
      <c r="K928" s="6" t="str">
        <f>IF(F928="Completado", IFERROR(IF(INDEX('Base Exámenes'!$H$5:$H$1000, MATCH(A928&amp;"|"&amp;J928, 'Base Exámenes'!$I$5:$I$1000, 0))="", "", INDEX('Base Exámenes'!$H$5:$H$1000, MATCH(A928&amp;"|"&amp;J928, 'Base Exámenes'!$I$5:$I$1000, 0))), ""), "")</f>
        <v/>
      </c>
      <c r="L928" s="22" t="str">
        <f>IF($A928="","",COUNTIF('Base Exámenes'!$C$5:$C$1000, A928))</f>
        <v/>
      </c>
      <c r="M928" s="6" t="str">
        <f>IF($A928="","",IF(COUNTIF('Base Exámenes'!$C$5:$C$1000, A928)&gt;0, "", TRIM('Base Oficial'!H928)))</f>
        <v/>
      </c>
    </row>
    <row r="929">
      <c r="A929" s="4" t="str">
        <f>IF('Base Oficial'!A929="","",TRIM('Base Oficial'!A929))</f>
        <v/>
      </c>
      <c r="B929" s="6" t="str">
        <f>IF($A929="","",TRIM('Base Oficial'!B929))</f>
        <v/>
      </c>
      <c r="C929" s="6" t="str">
        <f>IF($A929="","",TRIM('Base Oficial'!F929))</f>
        <v/>
      </c>
      <c r="D929" s="6" t="str">
        <f>IF($A929="","",TRIM('Base Oficial'!G929))</f>
        <v/>
      </c>
      <c r="E929" s="6" t="str">
        <f>IF($A929="","",TRIM('Base Oficial'!D929))</f>
        <v/>
      </c>
      <c r="F929" s="4" t="str">
        <f>IF($A929="","",IF(COUNTIF('Base Exámenes'!$C$5:$C$1000, A929)&gt;0, "Completado", IF(M929&lt;&gt;"", M929, "Pendiente")))</f>
        <v/>
      </c>
      <c r="G929" s="11" t="str">
        <f>IF(F929="Completado", IFERROR(IF(INDEX('Base Exámenes'!$D$5:$D$1000, MATCH(A929&amp;"|"&amp;J929, 'Base Exámenes'!$I$5:$I$1000, 0))="", "", INDEX('Base Exámenes'!$D$5:$D$1000, MATCH(A929&amp;"|"&amp;J929, 'Base Exámenes'!$I$5:$I$1000, 0))), ""), "")</f>
        <v/>
      </c>
      <c r="H929" s="11" t="str">
        <f>IF(F929="Completado", IFERROR(IF(INDEX('Base Exámenes'!$E$5:$E$1000, MATCH(A929&amp;"|"&amp;J929, 'Base Exámenes'!$I$5:$I$1000, 0))="", "", INDEX('Base Exámenes'!$E$5:$E$1000, MATCH(A929&amp;"|"&amp;J929, 'Base Exámenes'!$I$5:$I$1000, 0))), ""), "")</f>
        <v/>
      </c>
      <c r="I929" s="10" t="str">
        <f>IF(F929="Completado", IFERROR(IF(INDEX('Base Exámenes'!$F$5:$F$1000, MATCH(A929&amp;"|"&amp;J929, 'Base Exámenes'!$I$5:$I$1000, 0))="", "", INDEX('Base Exámenes'!$F$5:$F$1000, MATCH(A929&amp;"|"&amp;J929, 'Base Exámenes'!$I$5:$I$1000, 0))), ""), "")</f>
        <v/>
      </c>
      <c r="J929" s="6" t="str">
        <f>IF(F929="Completado", IF(COUNTIFS('Base Exámenes'!$C$5:$C$1000, A929, 'Base Exámenes'!$G$5:$G$1000, "&lt;&gt;")=0, "", _xlfn.MAXIFS('Base Exámenes'!$G$5:$G$1000, 'Base Exámenes'!$C$5:$C$1000, A929)), "")</f>
        <v/>
      </c>
      <c r="K929" s="6" t="str">
        <f>IF(F929="Completado", IFERROR(IF(INDEX('Base Exámenes'!$H$5:$H$1000, MATCH(A929&amp;"|"&amp;J929, 'Base Exámenes'!$I$5:$I$1000, 0))="", "", INDEX('Base Exámenes'!$H$5:$H$1000, MATCH(A929&amp;"|"&amp;J929, 'Base Exámenes'!$I$5:$I$1000, 0))), ""), "")</f>
        <v/>
      </c>
      <c r="L929" s="22" t="str">
        <f>IF($A929="","",COUNTIF('Base Exámenes'!$C$5:$C$1000, A929))</f>
        <v/>
      </c>
      <c r="M929" s="6" t="str">
        <f>IF($A929="","",IF(COUNTIF('Base Exámenes'!$C$5:$C$1000, A929)&gt;0, "", TRIM('Base Oficial'!H929)))</f>
        <v/>
      </c>
    </row>
    <row r="930">
      <c r="A930" s="4" t="str">
        <f>IF('Base Oficial'!A930="","",TRIM('Base Oficial'!A930))</f>
        <v/>
      </c>
      <c r="B930" s="6" t="str">
        <f>IF($A930="","",TRIM('Base Oficial'!B930))</f>
        <v/>
      </c>
      <c r="C930" s="6" t="str">
        <f>IF($A930="","",TRIM('Base Oficial'!F930))</f>
        <v/>
      </c>
      <c r="D930" s="6" t="str">
        <f>IF($A930="","",TRIM('Base Oficial'!G930))</f>
        <v/>
      </c>
      <c r="E930" s="6" t="str">
        <f>IF($A930="","",TRIM('Base Oficial'!D930))</f>
        <v/>
      </c>
      <c r="F930" s="4" t="str">
        <f>IF($A930="","",IF(COUNTIF('Base Exámenes'!$C$5:$C$1000, A930)&gt;0, "Completado", IF(M930&lt;&gt;"", M930, "Pendiente")))</f>
        <v/>
      </c>
      <c r="G930" s="11" t="str">
        <f>IF(F930="Completado", IFERROR(IF(INDEX('Base Exámenes'!$D$5:$D$1000, MATCH(A930&amp;"|"&amp;J930, 'Base Exámenes'!$I$5:$I$1000, 0))="", "", INDEX('Base Exámenes'!$D$5:$D$1000, MATCH(A930&amp;"|"&amp;J930, 'Base Exámenes'!$I$5:$I$1000, 0))), ""), "")</f>
        <v/>
      </c>
      <c r="H930" s="11" t="str">
        <f>IF(F930="Completado", IFERROR(IF(INDEX('Base Exámenes'!$E$5:$E$1000, MATCH(A930&amp;"|"&amp;J930, 'Base Exámenes'!$I$5:$I$1000, 0))="", "", INDEX('Base Exámenes'!$E$5:$E$1000, MATCH(A930&amp;"|"&amp;J930, 'Base Exámenes'!$I$5:$I$1000, 0))), ""), "")</f>
        <v/>
      </c>
      <c r="I930" s="10" t="str">
        <f>IF(F930="Completado", IFERROR(IF(INDEX('Base Exámenes'!$F$5:$F$1000, MATCH(A930&amp;"|"&amp;J930, 'Base Exámenes'!$I$5:$I$1000, 0))="", "", INDEX('Base Exámenes'!$F$5:$F$1000, MATCH(A930&amp;"|"&amp;J930, 'Base Exámenes'!$I$5:$I$1000, 0))), ""), "")</f>
        <v/>
      </c>
      <c r="J930" s="6" t="str">
        <f>IF(F930="Completado", IF(COUNTIFS('Base Exámenes'!$C$5:$C$1000, A930, 'Base Exámenes'!$G$5:$G$1000, "&lt;&gt;")=0, "", _xlfn.MAXIFS('Base Exámenes'!$G$5:$G$1000, 'Base Exámenes'!$C$5:$C$1000, A930)), "")</f>
        <v/>
      </c>
      <c r="K930" s="6" t="str">
        <f>IF(F930="Completado", IFERROR(IF(INDEX('Base Exámenes'!$H$5:$H$1000, MATCH(A930&amp;"|"&amp;J930, 'Base Exámenes'!$I$5:$I$1000, 0))="", "", INDEX('Base Exámenes'!$H$5:$H$1000, MATCH(A930&amp;"|"&amp;J930, 'Base Exámenes'!$I$5:$I$1000, 0))), ""), "")</f>
        <v/>
      </c>
      <c r="L930" s="22" t="str">
        <f>IF($A930="","",COUNTIF('Base Exámenes'!$C$5:$C$1000, A930))</f>
        <v/>
      </c>
      <c r="M930" s="6" t="str">
        <f>IF($A930="","",IF(COUNTIF('Base Exámenes'!$C$5:$C$1000, A930)&gt;0, "", TRIM('Base Oficial'!H930)))</f>
        <v/>
      </c>
    </row>
    <row r="931">
      <c r="A931" s="4" t="str">
        <f>IF('Base Oficial'!A931="","",TRIM('Base Oficial'!A931))</f>
        <v/>
      </c>
      <c r="B931" s="6" t="str">
        <f>IF($A931="","",TRIM('Base Oficial'!B931))</f>
        <v/>
      </c>
      <c r="C931" s="6" t="str">
        <f>IF($A931="","",TRIM('Base Oficial'!F931))</f>
        <v/>
      </c>
      <c r="D931" s="6" t="str">
        <f>IF($A931="","",TRIM('Base Oficial'!G931))</f>
        <v/>
      </c>
      <c r="E931" s="6" t="str">
        <f>IF($A931="","",TRIM('Base Oficial'!D931))</f>
        <v/>
      </c>
      <c r="F931" s="4" t="str">
        <f>IF($A931="","",IF(COUNTIF('Base Exámenes'!$C$5:$C$1000, A931)&gt;0, "Completado", IF(M931&lt;&gt;"", M931, "Pendiente")))</f>
        <v/>
      </c>
      <c r="G931" s="11" t="str">
        <f>IF(F931="Completado", IFERROR(IF(INDEX('Base Exámenes'!$D$5:$D$1000, MATCH(A931&amp;"|"&amp;J931, 'Base Exámenes'!$I$5:$I$1000, 0))="", "", INDEX('Base Exámenes'!$D$5:$D$1000, MATCH(A931&amp;"|"&amp;J931, 'Base Exámenes'!$I$5:$I$1000, 0))), ""), "")</f>
        <v/>
      </c>
      <c r="H931" s="11" t="str">
        <f>IF(F931="Completado", IFERROR(IF(INDEX('Base Exámenes'!$E$5:$E$1000, MATCH(A931&amp;"|"&amp;J931, 'Base Exámenes'!$I$5:$I$1000, 0))="", "", INDEX('Base Exámenes'!$E$5:$E$1000, MATCH(A931&amp;"|"&amp;J931, 'Base Exámenes'!$I$5:$I$1000, 0))), ""), "")</f>
        <v/>
      </c>
      <c r="I931" s="10" t="str">
        <f>IF(F931="Completado", IFERROR(IF(INDEX('Base Exámenes'!$F$5:$F$1000, MATCH(A931&amp;"|"&amp;J931, 'Base Exámenes'!$I$5:$I$1000, 0))="", "", INDEX('Base Exámenes'!$F$5:$F$1000, MATCH(A931&amp;"|"&amp;J931, 'Base Exámenes'!$I$5:$I$1000, 0))), ""), "")</f>
        <v/>
      </c>
      <c r="J931" s="6" t="str">
        <f>IF(F931="Completado", IF(COUNTIFS('Base Exámenes'!$C$5:$C$1000, A931, 'Base Exámenes'!$G$5:$G$1000, "&lt;&gt;")=0, "", _xlfn.MAXIFS('Base Exámenes'!$G$5:$G$1000, 'Base Exámenes'!$C$5:$C$1000, A931)), "")</f>
        <v/>
      </c>
      <c r="K931" s="6" t="str">
        <f>IF(F931="Completado", IFERROR(IF(INDEX('Base Exámenes'!$H$5:$H$1000, MATCH(A931&amp;"|"&amp;J931, 'Base Exámenes'!$I$5:$I$1000, 0))="", "", INDEX('Base Exámenes'!$H$5:$H$1000, MATCH(A931&amp;"|"&amp;J931, 'Base Exámenes'!$I$5:$I$1000, 0))), ""), "")</f>
        <v/>
      </c>
      <c r="L931" s="22" t="str">
        <f>IF($A931="","",COUNTIF('Base Exámenes'!$C$5:$C$1000, A931))</f>
        <v/>
      </c>
      <c r="M931" s="6" t="str">
        <f>IF($A931="","",IF(COUNTIF('Base Exámenes'!$C$5:$C$1000, A931)&gt;0, "", TRIM('Base Oficial'!H931)))</f>
        <v/>
      </c>
    </row>
    <row r="932">
      <c r="A932" s="4" t="str">
        <f>IF('Base Oficial'!A932="","",TRIM('Base Oficial'!A932))</f>
        <v/>
      </c>
      <c r="B932" s="6" t="str">
        <f>IF($A932="","",TRIM('Base Oficial'!B932))</f>
        <v/>
      </c>
      <c r="C932" s="6" t="str">
        <f>IF($A932="","",TRIM('Base Oficial'!F932))</f>
        <v/>
      </c>
      <c r="D932" s="6" t="str">
        <f>IF($A932="","",TRIM('Base Oficial'!G932))</f>
        <v/>
      </c>
      <c r="E932" s="6" t="str">
        <f>IF($A932="","",TRIM('Base Oficial'!D932))</f>
        <v/>
      </c>
      <c r="F932" s="4" t="str">
        <f>IF($A932="","",IF(COUNTIF('Base Exámenes'!$C$5:$C$1000, A932)&gt;0, "Completado", IF(M932&lt;&gt;"", M932, "Pendiente")))</f>
        <v/>
      </c>
      <c r="G932" s="11" t="str">
        <f>IF(F932="Completado", IFERROR(IF(INDEX('Base Exámenes'!$D$5:$D$1000, MATCH(A932&amp;"|"&amp;J932, 'Base Exámenes'!$I$5:$I$1000, 0))="", "", INDEX('Base Exámenes'!$D$5:$D$1000, MATCH(A932&amp;"|"&amp;J932, 'Base Exámenes'!$I$5:$I$1000, 0))), ""), "")</f>
        <v/>
      </c>
      <c r="H932" s="11" t="str">
        <f>IF(F932="Completado", IFERROR(IF(INDEX('Base Exámenes'!$E$5:$E$1000, MATCH(A932&amp;"|"&amp;J932, 'Base Exámenes'!$I$5:$I$1000, 0))="", "", INDEX('Base Exámenes'!$E$5:$E$1000, MATCH(A932&amp;"|"&amp;J932, 'Base Exámenes'!$I$5:$I$1000, 0))), ""), "")</f>
        <v/>
      </c>
      <c r="I932" s="10" t="str">
        <f>IF(F932="Completado", IFERROR(IF(INDEX('Base Exámenes'!$F$5:$F$1000, MATCH(A932&amp;"|"&amp;J932, 'Base Exámenes'!$I$5:$I$1000, 0))="", "", INDEX('Base Exámenes'!$F$5:$F$1000, MATCH(A932&amp;"|"&amp;J932, 'Base Exámenes'!$I$5:$I$1000, 0))), ""), "")</f>
        <v/>
      </c>
      <c r="J932" s="6" t="str">
        <f>IF(F932="Completado", IF(COUNTIFS('Base Exámenes'!$C$5:$C$1000, A932, 'Base Exámenes'!$G$5:$G$1000, "&lt;&gt;")=0, "", _xlfn.MAXIFS('Base Exámenes'!$G$5:$G$1000, 'Base Exámenes'!$C$5:$C$1000, A932)), "")</f>
        <v/>
      </c>
      <c r="K932" s="6" t="str">
        <f>IF(F932="Completado", IFERROR(IF(INDEX('Base Exámenes'!$H$5:$H$1000, MATCH(A932&amp;"|"&amp;J932, 'Base Exámenes'!$I$5:$I$1000, 0))="", "", INDEX('Base Exámenes'!$H$5:$H$1000, MATCH(A932&amp;"|"&amp;J932, 'Base Exámenes'!$I$5:$I$1000, 0))), ""), "")</f>
        <v/>
      </c>
      <c r="L932" s="22" t="str">
        <f>IF($A932="","",COUNTIF('Base Exámenes'!$C$5:$C$1000, A932))</f>
        <v/>
      </c>
      <c r="M932" s="6" t="str">
        <f>IF($A932="","",IF(COUNTIF('Base Exámenes'!$C$5:$C$1000, A932)&gt;0, "", TRIM('Base Oficial'!H932)))</f>
        <v/>
      </c>
    </row>
    <row r="933">
      <c r="A933" s="4" t="str">
        <f>IF('Base Oficial'!A933="","",TRIM('Base Oficial'!A933))</f>
        <v/>
      </c>
      <c r="B933" s="6" t="str">
        <f>IF($A933="","",TRIM('Base Oficial'!B933))</f>
        <v/>
      </c>
      <c r="C933" s="6" t="str">
        <f>IF($A933="","",TRIM('Base Oficial'!F933))</f>
        <v/>
      </c>
      <c r="D933" s="6" t="str">
        <f>IF($A933="","",TRIM('Base Oficial'!G933))</f>
        <v/>
      </c>
      <c r="E933" s="6" t="str">
        <f>IF($A933="","",TRIM('Base Oficial'!D933))</f>
        <v/>
      </c>
      <c r="F933" s="4" t="str">
        <f>IF($A933="","",IF(COUNTIF('Base Exámenes'!$C$5:$C$1000, A933)&gt;0, "Completado", IF(M933&lt;&gt;"", M933, "Pendiente")))</f>
        <v/>
      </c>
      <c r="G933" s="11" t="str">
        <f>IF(F933="Completado", IFERROR(IF(INDEX('Base Exámenes'!$D$5:$D$1000, MATCH(A933&amp;"|"&amp;J933, 'Base Exámenes'!$I$5:$I$1000, 0))="", "", INDEX('Base Exámenes'!$D$5:$D$1000, MATCH(A933&amp;"|"&amp;J933, 'Base Exámenes'!$I$5:$I$1000, 0))), ""), "")</f>
        <v/>
      </c>
      <c r="H933" s="11" t="str">
        <f>IF(F933="Completado", IFERROR(IF(INDEX('Base Exámenes'!$E$5:$E$1000, MATCH(A933&amp;"|"&amp;J933, 'Base Exámenes'!$I$5:$I$1000, 0))="", "", INDEX('Base Exámenes'!$E$5:$E$1000, MATCH(A933&amp;"|"&amp;J933, 'Base Exámenes'!$I$5:$I$1000, 0))), ""), "")</f>
        <v/>
      </c>
      <c r="I933" s="10" t="str">
        <f>IF(F933="Completado", IFERROR(IF(INDEX('Base Exámenes'!$F$5:$F$1000, MATCH(A933&amp;"|"&amp;J933, 'Base Exámenes'!$I$5:$I$1000, 0))="", "", INDEX('Base Exámenes'!$F$5:$F$1000, MATCH(A933&amp;"|"&amp;J933, 'Base Exámenes'!$I$5:$I$1000, 0))), ""), "")</f>
        <v/>
      </c>
      <c r="J933" s="6" t="str">
        <f>IF(F933="Completado", IF(COUNTIFS('Base Exámenes'!$C$5:$C$1000, A933, 'Base Exámenes'!$G$5:$G$1000, "&lt;&gt;")=0, "", _xlfn.MAXIFS('Base Exámenes'!$G$5:$G$1000, 'Base Exámenes'!$C$5:$C$1000, A933)), "")</f>
        <v/>
      </c>
      <c r="K933" s="6" t="str">
        <f>IF(F933="Completado", IFERROR(IF(INDEX('Base Exámenes'!$H$5:$H$1000, MATCH(A933&amp;"|"&amp;J933, 'Base Exámenes'!$I$5:$I$1000, 0))="", "", INDEX('Base Exámenes'!$H$5:$H$1000, MATCH(A933&amp;"|"&amp;J933, 'Base Exámenes'!$I$5:$I$1000, 0))), ""), "")</f>
        <v/>
      </c>
      <c r="L933" s="22" t="str">
        <f>IF($A933="","",COUNTIF('Base Exámenes'!$C$5:$C$1000, A933))</f>
        <v/>
      </c>
      <c r="M933" s="6" t="str">
        <f>IF($A933="","",IF(COUNTIF('Base Exámenes'!$C$5:$C$1000, A933)&gt;0, "", TRIM('Base Oficial'!H933)))</f>
        <v/>
      </c>
    </row>
    <row r="934">
      <c r="A934" s="4" t="str">
        <f>IF('Base Oficial'!A934="","",TRIM('Base Oficial'!A934))</f>
        <v/>
      </c>
      <c r="B934" s="6" t="str">
        <f>IF($A934="","",TRIM('Base Oficial'!B934))</f>
        <v/>
      </c>
      <c r="C934" s="6" t="str">
        <f>IF($A934="","",TRIM('Base Oficial'!F934))</f>
        <v/>
      </c>
      <c r="D934" s="6" t="str">
        <f>IF($A934="","",TRIM('Base Oficial'!G934))</f>
        <v/>
      </c>
      <c r="E934" s="6" t="str">
        <f>IF($A934="","",TRIM('Base Oficial'!D934))</f>
        <v/>
      </c>
      <c r="F934" s="4" t="str">
        <f>IF($A934="","",IF(COUNTIF('Base Exámenes'!$C$5:$C$1000, A934)&gt;0, "Completado", IF(M934&lt;&gt;"", M934, "Pendiente")))</f>
        <v/>
      </c>
      <c r="G934" s="11" t="str">
        <f>IF(F934="Completado", IFERROR(IF(INDEX('Base Exámenes'!$D$5:$D$1000, MATCH(A934&amp;"|"&amp;J934, 'Base Exámenes'!$I$5:$I$1000, 0))="", "", INDEX('Base Exámenes'!$D$5:$D$1000, MATCH(A934&amp;"|"&amp;J934, 'Base Exámenes'!$I$5:$I$1000, 0))), ""), "")</f>
        <v/>
      </c>
      <c r="H934" s="11" t="str">
        <f>IF(F934="Completado", IFERROR(IF(INDEX('Base Exámenes'!$E$5:$E$1000, MATCH(A934&amp;"|"&amp;J934, 'Base Exámenes'!$I$5:$I$1000, 0))="", "", INDEX('Base Exámenes'!$E$5:$E$1000, MATCH(A934&amp;"|"&amp;J934, 'Base Exámenes'!$I$5:$I$1000, 0))), ""), "")</f>
        <v/>
      </c>
      <c r="I934" s="10" t="str">
        <f>IF(F934="Completado", IFERROR(IF(INDEX('Base Exámenes'!$F$5:$F$1000, MATCH(A934&amp;"|"&amp;J934, 'Base Exámenes'!$I$5:$I$1000, 0))="", "", INDEX('Base Exámenes'!$F$5:$F$1000, MATCH(A934&amp;"|"&amp;J934, 'Base Exámenes'!$I$5:$I$1000, 0))), ""), "")</f>
        <v/>
      </c>
      <c r="J934" s="6" t="str">
        <f>IF(F934="Completado", IF(COUNTIFS('Base Exámenes'!$C$5:$C$1000, A934, 'Base Exámenes'!$G$5:$G$1000, "&lt;&gt;")=0, "", _xlfn.MAXIFS('Base Exámenes'!$G$5:$G$1000, 'Base Exámenes'!$C$5:$C$1000, A934)), "")</f>
        <v/>
      </c>
      <c r="K934" s="6" t="str">
        <f>IF(F934="Completado", IFERROR(IF(INDEX('Base Exámenes'!$H$5:$H$1000, MATCH(A934&amp;"|"&amp;J934, 'Base Exámenes'!$I$5:$I$1000, 0))="", "", INDEX('Base Exámenes'!$H$5:$H$1000, MATCH(A934&amp;"|"&amp;J934, 'Base Exámenes'!$I$5:$I$1000, 0))), ""), "")</f>
        <v/>
      </c>
      <c r="L934" s="22" t="str">
        <f>IF($A934="","",COUNTIF('Base Exámenes'!$C$5:$C$1000, A934))</f>
        <v/>
      </c>
      <c r="M934" s="6" t="str">
        <f>IF($A934="","",IF(COUNTIF('Base Exámenes'!$C$5:$C$1000, A934)&gt;0, "", TRIM('Base Oficial'!H934)))</f>
        <v/>
      </c>
    </row>
    <row r="935">
      <c r="A935" s="4" t="str">
        <f>IF('Base Oficial'!A935="","",TRIM('Base Oficial'!A935))</f>
        <v/>
      </c>
      <c r="B935" s="6" t="str">
        <f>IF($A935="","",TRIM('Base Oficial'!B935))</f>
        <v/>
      </c>
      <c r="C935" s="6" t="str">
        <f>IF($A935="","",TRIM('Base Oficial'!F935))</f>
        <v/>
      </c>
      <c r="D935" s="6" t="str">
        <f>IF($A935="","",TRIM('Base Oficial'!G935))</f>
        <v/>
      </c>
      <c r="E935" s="6" t="str">
        <f>IF($A935="","",TRIM('Base Oficial'!D935))</f>
        <v/>
      </c>
      <c r="F935" s="4" t="str">
        <f>IF($A935="","",IF(COUNTIF('Base Exámenes'!$C$5:$C$1000, A935)&gt;0, "Completado", IF(M935&lt;&gt;"", M935, "Pendiente")))</f>
        <v/>
      </c>
      <c r="G935" s="11" t="str">
        <f>IF(F935="Completado", IFERROR(IF(INDEX('Base Exámenes'!$D$5:$D$1000, MATCH(A935&amp;"|"&amp;J935, 'Base Exámenes'!$I$5:$I$1000, 0))="", "", INDEX('Base Exámenes'!$D$5:$D$1000, MATCH(A935&amp;"|"&amp;J935, 'Base Exámenes'!$I$5:$I$1000, 0))), ""), "")</f>
        <v/>
      </c>
      <c r="H935" s="11" t="str">
        <f>IF(F935="Completado", IFERROR(IF(INDEX('Base Exámenes'!$E$5:$E$1000, MATCH(A935&amp;"|"&amp;J935, 'Base Exámenes'!$I$5:$I$1000, 0))="", "", INDEX('Base Exámenes'!$E$5:$E$1000, MATCH(A935&amp;"|"&amp;J935, 'Base Exámenes'!$I$5:$I$1000, 0))), ""), "")</f>
        <v/>
      </c>
      <c r="I935" s="10" t="str">
        <f>IF(F935="Completado", IFERROR(IF(INDEX('Base Exámenes'!$F$5:$F$1000, MATCH(A935&amp;"|"&amp;J935, 'Base Exámenes'!$I$5:$I$1000, 0))="", "", INDEX('Base Exámenes'!$F$5:$F$1000, MATCH(A935&amp;"|"&amp;J935, 'Base Exámenes'!$I$5:$I$1000, 0))), ""), "")</f>
        <v/>
      </c>
      <c r="J935" s="6" t="str">
        <f>IF(F935="Completado", IF(COUNTIFS('Base Exámenes'!$C$5:$C$1000, A935, 'Base Exámenes'!$G$5:$G$1000, "&lt;&gt;")=0, "", _xlfn.MAXIFS('Base Exámenes'!$G$5:$G$1000, 'Base Exámenes'!$C$5:$C$1000, A935)), "")</f>
        <v/>
      </c>
      <c r="K935" s="6" t="str">
        <f>IF(F935="Completado", IFERROR(IF(INDEX('Base Exámenes'!$H$5:$H$1000, MATCH(A935&amp;"|"&amp;J935, 'Base Exámenes'!$I$5:$I$1000, 0))="", "", INDEX('Base Exámenes'!$H$5:$H$1000, MATCH(A935&amp;"|"&amp;J935, 'Base Exámenes'!$I$5:$I$1000, 0))), ""), "")</f>
        <v/>
      </c>
      <c r="L935" s="22" t="str">
        <f>IF($A935="","",COUNTIF('Base Exámenes'!$C$5:$C$1000, A935))</f>
        <v/>
      </c>
      <c r="M935" s="6" t="str">
        <f>IF($A935="","",IF(COUNTIF('Base Exámenes'!$C$5:$C$1000, A935)&gt;0, "", TRIM('Base Oficial'!H935)))</f>
        <v/>
      </c>
    </row>
    <row r="936">
      <c r="A936" s="4" t="str">
        <f>IF('Base Oficial'!A936="","",TRIM('Base Oficial'!A936))</f>
        <v/>
      </c>
      <c r="B936" s="6" t="str">
        <f>IF($A936="","",TRIM('Base Oficial'!B936))</f>
        <v/>
      </c>
      <c r="C936" s="6" t="str">
        <f>IF($A936="","",TRIM('Base Oficial'!F936))</f>
        <v/>
      </c>
      <c r="D936" s="6" t="str">
        <f>IF($A936="","",TRIM('Base Oficial'!G936))</f>
        <v/>
      </c>
      <c r="E936" s="6" t="str">
        <f>IF($A936="","",TRIM('Base Oficial'!D936))</f>
        <v/>
      </c>
      <c r="F936" s="4" t="str">
        <f>IF($A936="","",IF(COUNTIF('Base Exámenes'!$C$5:$C$1000, A936)&gt;0, "Completado", IF(M936&lt;&gt;"", M936, "Pendiente")))</f>
        <v/>
      </c>
      <c r="G936" s="11" t="str">
        <f>IF(F936="Completado", IFERROR(IF(INDEX('Base Exámenes'!$D$5:$D$1000, MATCH(A936&amp;"|"&amp;J936, 'Base Exámenes'!$I$5:$I$1000, 0))="", "", INDEX('Base Exámenes'!$D$5:$D$1000, MATCH(A936&amp;"|"&amp;J936, 'Base Exámenes'!$I$5:$I$1000, 0))), ""), "")</f>
        <v/>
      </c>
      <c r="H936" s="11" t="str">
        <f>IF(F936="Completado", IFERROR(IF(INDEX('Base Exámenes'!$E$5:$E$1000, MATCH(A936&amp;"|"&amp;J936, 'Base Exámenes'!$I$5:$I$1000, 0))="", "", INDEX('Base Exámenes'!$E$5:$E$1000, MATCH(A936&amp;"|"&amp;J936, 'Base Exámenes'!$I$5:$I$1000, 0))), ""), "")</f>
        <v/>
      </c>
      <c r="I936" s="10" t="str">
        <f>IF(F936="Completado", IFERROR(IF(INDEX('Base Exámenes'!$F$5:$F$1000, MATCH(A936&amp;"|"&amp;J936, 'Base Exámenes'!$I$5:$I$1000, 0))="", "", INDEX('Base Exámenes'!$F$5:$F$1000, MATCH(A936&amp;"|"&amp;J936, 'Base Exámenes'!$I$5:$I$1000, 0))), ""), "")</f>
        <v/>
      </c>
      <c r="J936" s="6" t="str">
        <f>IF(F936="Completado", IF(COUNTIFS('Base Exámenes'!$C$5:$C$1000, A936, 'Base Exámenes'!$G$5:$G$1000, "&lt;&gt;")=0, "", _xlfn.MAXIFS('Base Exámenes'!$G$5:$G$1000, 'Base Exámenes'!$C$5:$C$1000, A936)), "")</f>
        <v/>
      </c>
      <c r="K936" s="6" t="str">
        <f>IF(F936="Completado", IFERROR(IF(INDEX('Base Exámenes'!$H$5:$H$1000, MATCH(A936&amp;"|"&amp;J936, 'Base Exámenes'!$I$5:$I$1000, 0))="", "", INDEX('Base Exámenes'!$H$5:$H$1000, MATCH(A936&amp;"|"&amp;J936, 'Base Exámenes'!$I$5:$I$1000, 0))), ""), "")</f>
        <v/>
      </c>
      <c r="L936" s="22" t="str">
        <f>IF($A936="","",COUNTIF('Base Exámenes'!$C$5:$C$1000, A936))</f>
        <v/>
      </c>
      <c r="M936" s="6" t="str">
        <f>IF($A936="","",IF(COUNTIF('Base Exámenes'!$C$5:$C$1000, A936)&gt;0, "", TRIM('Base Oficial'!H936)))</f>
        <v/>
      </c>
    </row>
    <row r="937">
      <c r="A937" s="4" t="str">
        <f>IF('Base Oficial'!A937="","",TRIM('Base Oficial'!A937))</f>
        <v/>
      </c>
      <c r="B937" s="6" t="str">
        <f>IF($A937="","",TRIM('Base Oficial'!B937))</f>
        <v/>
      </c>
      <c r="C937" s="6" t="str">
        <f>IF($A937="","",TRIM('Base Oficial'!F937))</f>
        <v/>
      </c>
      <c r="D937" s="6" t="str">
        <f>IF($A937="","",TRIM('Base Oficial'!G937))</f>
        <v/>
      </c>
      <c r="E937" s="6" t="str">
        <f>IF($A937="","",TRIM('Base Oficial'!D937))</f>
        <v/>
      </c>
      <c r="F937" s="4" t="str">
        <f>IF($A937="","",IF(COUNTIF('Base Exámenes'!$C$5:$C$1000, A937)&gt;0, "Completado", IF(M937&lt;&gt;"", M937, "Pendiente")))</f>
        <v/>
      </c>
      <c r="G937" s="11" t="str">
        <f>IF(F937="Completado", IFERROR(IF(INDEX('Base Exámenes'!$D$5:$D$1000, MATCH(A937&amp;"|"&amp;J937, 'Base Exámenes'!$I$5:$I$1000, 0))="", "", INDEX('Base Exámenes'!$D$5:$D$1000, MATCH(A937&amp;"|"&amp;J937, 'Base Exámenes'!$I$5:$I$1000, 0))), ""), "")</f>
        <v/>
      </c>
      <c r="H937" s="11" t="str">
        <f>IF(F937="Completado", IFERROR(IF(INDEX('Base Exámenes'!$E$5:$E$1000, MATCH(A937&amp;"|"&amp;J937, 'Base Exámenes'!$I$5:$I$1000, 0))="", "", INDEX('Base Exámenes'!$E$5:$E$1000, MATCH(A937&amp;"|"&amp;J937, 'Base Exámenes'!$I$5:$I$1000, 0))), ""), "")</f>
        <v/>
      </c>
      <c r="I937" s="10" t="str">
        <f>IF(F937="Completado", IFERROR(IF(INDEX('Base Exámenes'!$F$5:$F$1000, MATCH(A937&amp;"|"&amp;J937, 'Base Exámenes'!$I$5:$I$1000, 0))="", "", INDEX('Base Exámenes'!$F$5:$F$1000, MATCH(A937&amp;"|"&amp;J937, 'Base Exámenes'!$I$5:$I$1000, 0))), ""), "")</f>
        <v/>
      </c>
      <c r="J937" s="6" t="str">
        <f>IF(F937="Completado", IF(COUNTIFS('Base Exámenes'!$C$5:$C$1000, A937, 'Base Exámenes'!$G$5:$G$1000, "&lt;&gt;")=0, "", _xlfn.MAXIFS('Base Exámenes'!$G$5:$G$1000, 'Base Exámenes'!$C$5:$C$1000, A937)), "")</f>
        <v/>
      </c>
      <c r="K937" s="6" t="str">
        <f>IF(F937="Completado", IFERROR(IF(INDEX('Base Exámenes'!$H$5:$H$1000, MATCH(A937&amp;"|"&amp;J937, 'Base Exámenes'!$I$5:$I$1000, 0))="", "", INDEX('Base Exámenes'!$H$5:$H$1000, MATCH(A937&amp;"|"&amp;J937, 'Base Exámenes'!$I$5:$I$1000, 0))), ""), "")</f>
        <v/>
      </c>
      <c r="L937" s="22" t="str">
        <f>IF($A937="","",COUNTIF('Base Exámenes'!$C$5:$C$1000, A937))</f>
        <v/>
      </c>
      <c r="M937" s="6" t="str">
        <f>IF($A937="","",IF(COUNTIF('Base Exámenes'!$C$5:$C$1000, A937)&gt;0, "", TRIM('Base Oficial'!H937)))</f>
        <v/>
      </c>
    </row>
    <row r="938">
      <c r="A938" s="4" t="str">
        <f>IF('Base Oficial'!A938="","",TRIM('Base Oficial'!A938))</f>
        <v/>
      </c>
      <c r="B938" s="6" t="str">
        <f>IF($A938="","",TRIM('Base Oficial'!B938))</f>
        <v/>
      </c>
      <c r="C938" s="6" t="str">
        <f>IF($A938="","",TRIM('Base Oficial'!F938))</f>
        <v/>
      </c>
      <c r="D938" s="6" t="str">
        <f>IF($A938="","",TRIM('Base Oficial'!G938))</f>
        <v/>
      </c>
      <c r="E938" s="6" t="str">
        <f>IF($A938="","",TRIM('Base Oficial'!D938))</f>
        <v/>
      </c>
      <c r="F938" s="4" t="str">
        <f>IF($A938="","",IF(COUNTIF('Base Exámenes'!$C$5:$C$1000, A938)&gt;0, "Completado", IF(M938&lt;&gt;"", M938, "Pendiente")))</f>
        <v/>
      </c>
      <c r="G938" s="11" t="str">
        <f>IF(F938="Completado", IFERROR(IF(INDEX('Base Exámenes'!$D$5:$D$1000, MATCH(A938&amp;"|"&amp;J938, 'Base Exámenes'!$I$5:$I$1000, 0))="", "", INDEX('Base Exámenes'!$D$5:$D$1000, MATCH(A938&amp;"|"&amp;J938, 'Base Exámenes'!$I$5:$I$1000, 0))), ""), "")</f>
        <v/>
      </c>
      <c r="H938" s="11" t="str">
        <f>IF(F938="Completado", IFERROR(IF(INDEX('Base Exámenes'!$E$5:$E$1000, MATCH(A938&amp;"|"&amp;J938, 'Base Exámenes'!$I$5:$I$1000, 0))="", "", INDEX('Base Exámenes'!$E$5:$E$1000, MATCH(A938&amp;"|"&amp;J938, 'Base Exámenes'!$I$5:$I$1000, 0))), ""), "")</f>
        <v/>
      </c>
      <c r="I938" s="10" t="str">
        <f>IF(F938="Completado", IFERROR(IF(INDEX('Base Exámenes'!$F$5:$F$1000, MATCH(A938&amp;"|"&amp;J938, 'Base Exámenes'!$I$5:$I$1000, 0))="", "", INDEX('Base Exámenes'!$F$5:$F$1000, MATCH(A938&amp;"|"&amp;J938, 'Base Exámenes'!$I$5:$I$1000, 0))), ""), "")</f>
        <v/>
      </c>
      <c r="J938" s="6" t="str">
        <f>IF(F938="Completado", IF(COUNTIFS('Base Exámenes'!$C$5:$C$1000, A938, 'Base Exámenes'!$G$5:$G$1000, "&lt;&gt;")=0, "", _xlfn.MAXIFS('Base Exámenes'!$G$5:$G$1000, 'Base Exámenes'!$C$5:$C$1000, A938)), "")</f>
        <v/>
      </c>
      <c r="K938" s="6" t="str">
        <f>IF(F938="Completado", IFERROR(IF(INDEX('Base Exámenes'!$H$5:$H$1000, MATCH(A938&amp;"|"&amp;J938, 'Base Exámenes'!$I$5:$I$1000, 0))="", "", INDEX('Base Exámenes'!$H$5:$H$1000, MATCH(A938&amp;"|"&amp;J938, 'Base Exámenes'!$I$5:$I$1000, 0))), ""), "")</f>
        <v/>
      </c>
      <c r="L938" s="22" t="str">
        <f>IF($A938="","",COUNTIF('Base Exámenes'!$C$5:$C$1000, A938))</f>
        <v/>
      </c>
      <c r="M938" s="6" t="str">
        <f>IF($A938="","",IF(COUNTIF('Base Exámenes'!$C$5:$C$1000, A938)&gt;0, "", TRIM('Base Oficial'!H938)))</f>
        <v/>
      </c>
    </row>
    <row r="939">
      <c r="A939" s="4" t="str">
        <f>IF('Base Oficial'!A939="","",TRIM('Base Oficial'!A939))</f>
        <v/>
      </c>
      <c r="B939" s="6" t="str">
        <f>IF($A939="","",TRIM('Base Oficial'!B939))</f>
        <v/>
      </c>
      <c r="C939" s="6" t="str">
        <f>IF($A939="","",TRIM('Base Oficial'!F939))</f>
        <v/>
      </c>
      <c r="D939" s="6" t="str">
        <f>IF($A939="","",TRIM('Base Oficial'!G939))</f>
        <v/>
      </c>
      <c r="E939" s="6" t="str">
        <f>IF($A939="","",TRIM('Base Oficial'!D939))</f>
        <v/>
      </c>
      <c r="F939" s="4" t="str">
        <f>IF($A939="","",IF(COUNTIF('Base Exámenes'!$C$5:$C$1000, A939)&gt;0, "Completado", IF(M939&lt;&gt;"", M939, "Pendiente")))</f>
        <v/>
      </c>
      <c r="G939" s="11" t="str">
        <f>IF(F939="Completado", IFERROR(IF(INDEX('Base Exámenes'!$D$5:$D$1000, MATCH(A939&amp;"|"&amp;J939, 'Base Exámenes'!$I$5:$I$1000, 0))="", "", INDEX('Base Exámenes'!$D$5:$D$1000, MATCH(A939&amp;"|"&amp;J939, 'Base Exámenes'!$I$5:$I$1000, 0))), ""), "")</f>
        <v/>
      </c>
      <c r="H939" s="11" t="str">
        <f>IF(F939="Completado", IFERROR(IF(INDEX('Base Exámenes'!$E$5:$E$1000, MATCH(A939&amp;"|"&amp;J939, 'Base Exámenes'!$I$5:$I$1000, 0))="", "", INDEX('Base Exámenes'!$E$5:$E$1000, MATCH(A939&amp;"|"&amp;J939, 'Base Exámenes'!$I$5:$I$1000, 0))), ""), "")</f>
        <v/>
      </c>
      <c r="I939" s="10" t="str">
        <f>IF(F939="Completado", IFERROR(IF(INDEX('Base Exámenes'!$F$5:$F$1000, MATCH(A939&amp;"|"&amp;J939, 'Base Exámenes'!$I$5:$I$1000, 0))="", "", INDEX('Base Exámenes'!$F$5:$F$1000, MATCH(A939&amp;"|"&amp;J939, 'Base Exámenes'!$I$5:$I$1000, 0))), ""), "")</f>
        <v/>
      </c>
      <c r="J939" s="6" t="str">
        <f>IF(F939="Completado", IF(COUNTIFS('Base Exámenes'!$C$5:$C$1000, A939, 'Base Exámenes'!$G$5:$G$1000, "&lt;&gt;")=0, "", _xlfn.MAXIFS('Base Exámenes'!$G$5:$G$1000, 'Base Exámenes'!$C$5:$C$1000, A939)), "")</f>
        <v/>
      </c>
      <c r="K939" s="6" t="str">
        <f>IF(F939="Completado", IFERROR(IF(INDEX('Base Exámenes'!$H$5:$H$1000, MATCH(A939&amp;"|"&amp;J939, 'Base Exámenes'!$I$5:$I$1000, 0))="", "", INDEX('Base Exámenes'!$H$5:$H$1000, MATCH(A939&amp;"|"&amp;J939, 'Base Exámenes'!$I$5:$I$1000, 0))), ""), "")</f>
        <v/>
      </c>
      <c r="L939" s="22" t="str">
        <f>IF($A939="","",COUNTIF('Base Exámenes'!$C$5:$C$1000, A939))</f>
        <v/>
      </c>
      <c r="M939" s="6" t="str">
        <f>IF($A939="","",IF(COUNTIF('Base Exámenes'!$C$5:$C$1000, A939)&gt;0, "", TRIM('Base Oficial'!H939)))</f>
        <v/>
      </c>
    </row>
    <row r="940">
      <c r="A940" s="4" t="str">
        <f>IF('Base Oficial'!A940="","",TRIM('Base Oficial'!A940))</f>
        <v/>
      </c>
      <c r="B940" s="6" t="str">
        <f>IF($A940="","",TRIM('Base Oficial'!B940))</f>
        <v/>
      </c>
      <c r="C940" s="6" t="str">
        <f>IF($A940="","",TRIM('Base Oficial'!F940))</f>
        <v/>
      </c>
      <c r="D940" s="6" t="str">
        <f>IF($A940="","",TRIM('Base Oficial'!G940))</f>
        <v/>
      </c>
      <c r="E940" s="6" t="str">
        <f>IF($A940="","",TRIM('Base Oficial'!D940))</f>
        <v/>
      </c>
      <c r="F940" s="4" t="str">
        <f>IF($A940="","",IF(COUNTIF('Base Exámenes'!$C$5:$C$1000, A940)&gt;0, "Completado", IF(M940&lt;&gt;"", M940, "Pendiente")))</f>
        <v/>
      </c>
      <c r="G940" s="11" t="str">
        <f>IF(F940="Completado", IFERROR(IF(INDEX('Base Exámenes'!$D$5:$D$1000, MATCH(A940&amp;"|"&amp;J940, 'Base Exámenes'!$I$5:$I$1000, 0))="", "", INDEX('Base Exámenes'!$D$5:$D$1000, MATCH(A940&amp;"|"&amp;J940, 'Base Exámenes'!$I$5:$I$1000, 0))), ""), "")</f>
        <v/>
      </c>
      <c r="H940" s="11" t="str">
        <f>IF(F940="Completado", IFERROR(IF(INDEX('Base Exámenes'!$E$5:$E$1000, MATCH(A940&amp;"|"&amp;J940, 'Base Exámenes'!$I$5:$I$1000, 0))="", "", INDEX('Base Exámenes'!$E$5:$E$1000, MATCH(A940&amp;"|"&amp;J940, 'Base Exámenes'!$I$5:$I$1000, 0))), ""), "")</f>
        <v/>
      </c>
      <c r="I940" s="10" t="str">
        <f>IF(F940="Completado", IFERROR(IF(INDEX('Base Exámenes'!$F$5:$F$1000, MATCH(A940&amp;"|"&amp;J940, 'Base Exámenes'!$I$5:$I$1000, 0))="", "", INDEX('Base Exámenes'!$F$5:$F$1000, MATCH(A940&amp;"|"&amp;J940, 'Base Exámenes'!$I$5:$I$1000, 0))), ""), "")</f>
        <v/>
      </c>
      <c r="J940" s="6" t="str">
        <f>IF(F940="Completado", IF(COUNTIFS('Base Exámenes'!$C$5:$C$1000, A940, 'Base Exámenes'!$G$5:$G$1000, "&lt;&gt;")=0, "", _xlfn.MAXIFS('Base Exámenes'!$G$5:$G$1000, 'Base Exámenes'!$C$5:$C$1000, A940)), "")</f>
        <v/>
      </c>
      <c r="K940" s="6" t="str">
        <f>IF(F940="Completado", IFERROR(IF(INDEX('Base Exámenes'!$H$5:$H$1000, MATCH(A940&amp;"|"&amp;J940, 'Base Exámenes'!$I$5:$I$1000, 0))="", "", INDEX('Base Exámenes'!$H$5:$H$1000, MATCH(A940&amp;"|"&amp;J940, 'Base Exámenes'!$I$5:$I$1000, 0))), ""), "")</f>
        <v/>
      </c>
      <c r="L940" s="22" t="str">
        <f>IF($A940="","",COUNTIF('Base Exámenes'!$C$5:$C$1000, A940))</f>
        <v/>
      </c>
      <c r="M940" s="6" t="str">
        <f>IF($A940="","",IF(COUNTIF('Base Exámenes'!$C$5:$C$1000, A940)&gt;0, "", TRIM('Base Oficial'!H940)))</f>
        <v/>
      </c>
    </row>
    <row r="941">
      <c r="A941" s="4" t="str">
        <f>IF('Base Oficial'!A941="","",TRIM('Base Oficial'!A941))</f>
        <v/>
      </c>
      <c r="B941" s="6" t="str">
        <f>IF($A941="","",TRIM('Base Oficial'!B941))</f>
        <v/>
      </c>
      <c r="C941" s="6" t="str">
        <f>IF($A941="","",TRIM('Base Oficial'!F941))</f>
        <v/>
      </c>
      <c r="D941" s="6" t="str">
        <f>IF($A941="","",TRIM('Base Oficial'!G941))</f>
        <v/>
      </c>
      <c r="E941" s="6" t="str">
        <f>IF($A941="","",TRIM('Base Oficial'!D941))</f>
        <v/>
      </c>
      <c r="F941" s="4" t="str">
        <f>IF($A941="","",IF(COUNTIF('Base Exámenes'!$C$5:$C$1000, A941)&gt;0, "Completado", IF(M941&lt;&gt;"", M941, "Pendiente")))</f>
        <v/>
      </c>
      <c r="G941" s="11" t="str">
        <f>IF(F941="Completado", IFERROR(IF(INDEX('Base Exámenes'!$D$5:$D$1000, MATCH(A941&amp;"|"&amp;J941, 'Base Exámenes'!$I$5:$I$1000, 0))="", "", INDEX('Base Exámenes'!$D$5:$D$1000, MATCH(A941&amp;"|"&amp;J941, 'Base Exámenes'!$I$5:$I$1000, 0))), ""), "")</f>
        <v/>
      </c>
      <c r="H941" s="11" t="str">
        <f>IF(F941="Completado", IFERROR(IF(INDEX('Base Exámenes'!$E$5:$E$1000, MATCH(A941&amp;"|"&amp;J941, 'Base Exámenes'!$I$5:$I$1000, 0))="", "", INDEX('Base Exámenes'!$E$5:$E$1000, MATCH(A941&amp;"|"&amp;J941, 'Base Exámenes'!$I$5:$I$1000, 0))), ""), "")</f>
        <v/>
      </c>
      <c r="I941" s="10" t="str">
        <f>IF(F941="Completado", IFERROR(IF(INDEX('Base Exámenes'!$F$5:$F$1000, MATCH(A941&amp;"|"&amp;J941, 'Base Exámenes'!$I$5:$I$1000, 0))="", "", INDEX('Base Exámenes'!$F$5:$F$1000, MATCH(A941&amp;"|"&amp;J941, 'Base Exámenes'!$I$5:$I$1000, 0))), ""), "")</f>
        <v/>
      </c>
      <c r="J941" s="6" t="str">
        <f>IF(F941="Completado", IF(COUNTIFS('Base Exámenes'!$C$5:$C$1000, A941, 'Base Exámenes'!$G$5:$G$1000, "&lt;&gt;")=0, "", _xlfn.MAXIFS('Base Exámenes'!$G$5:$G$1000, 'Base Exámenes'!$C$5:$C$1000, A941)), "")</f>
        <v/>
      </c>
      <c r="K941" s="6" t="str">
        <f>IF(F941="Completado", IFERROR(IF(INDEX('Base Exámenes'!$H$5:$H$1000, MATCH(A941&amp;"|"&amp;J941, 'Base Exámenes'!$I$5:$I$1000, 0))="", "", INDEX('Base Exámenes'!$H$5:$H$1000, MATCH(A941&amp;"|"&amp;J941, 'Base Exámenes'!$I$5:$I$1000, 0))), ""), "")</f>
        <v/>
      </c>
      <c r="L941" s="22" t="str">
        <f>IF($A941="","",COUNTIF('Base Exámenes'!$C$5:$C$1000, A941))</f>
        <v/>
      </c>
      <c r="M941" s="6" t="str">
        <f>IF($A941="","",IF(COUNTIF('Base Exámenes'!$C$5:$C$1000, A941)&gt;0, "", TRIM('Base Oficial'!H941)))</f>
        <v/>
      </c>
    </row>
    <row r="942">
      <c r="A942" s="4" t="str">
        <f>IF('Base Oficial'!A942="","",TRIM('Base Oficial'!A942))</f>
        <v/>
      </c>
      <c r="B942" s="6" t="str">
        <f>IF($A942="","",TRIM('Base Oficial'!B942))</f>
        <v/>
      </c>
      <c r="C942" s="6" t="str">
        <f>IF($A942="","",TRIM('Base Oficial'!F942))</f>
        <v/>
      </c>
      <c r="D942" s="6" t="str">
        <f>IF($A942="","",TRIM('Base Oficial'!G942))</f>
        <v/>
      </c>
      <c r="E942" s="6" t="str">
        <f>IF($A942="","",TRIM('Base Oficial'!D942))</f>
        <v/>
      </c>
      <c r="F942" s="4" t="str">
        <f>IF($A942="","",IF(COUNTIF('Base Exámenes'!$C$5:$C$1000, A942)&gt;0, "Completado", IF(M942&lt;&gt;"", M942, "Pendiente")))</f>
        <v/>
      </c>
      <c r="G942" s="11" t="str">
        <f>IF(F942="Completado", IFERROR(IF(INDEX('Base Exámenes'!$D$5:$D$1000, MATCH(A942&amp;"|"&amp;J942, 'Base Exámenes'!$I$5:$I$1000, 0))="", "", INDEX('Base Exámenes'!$D$5:$D$1000, MATCH(A942&amp;"|"&amp;J942, 'Base Exámenes'!$I$5:$I$1000, 0))), ""), "")</f>
        <v/>
      </c>
      <c r="H942" s="11" t="str">
        <f>IF(F942="Completado", IFERROR(IF(INDEX('Base Exámenes'!$E$5:$E$1000, MATCH(A942&amp;"|"&amp;J942, 'Base Exámenes'!$I$5:$I$1000, 0))="", "", INDEX('Base Exámenes'!$E$5:$E$1000, MATCH(A942&amp;"|"&amp;J942, 'Base Exámenes'!$I$5:$I$1000, 0))), ""), "")</f>
        <v/>
      </c>
      <c r="I942" s="10" t="str">
        <f>IF(F942="Completado", IFERROR(IF(INDEX('Base Exámenes'!$F$5:$F$1000, MATCH(A942&amp;"|"&amp;J942, 'Base Exámenes'!$I$5:$I$1000, 0))="", "", INDEX('Base Exámenes'!$F$5:$F$1000, MATCH(A942&amp;"|"&amp;J942, 'Base Exámenes'!$I$5:$I$1000, 0))), ""), "")</f>
        <v/>
      </c>
      <c r="J942" s="6" t="str">
        <f>IF(F942="Completado", IF(COUNTIFS('Base Exámenes'!$C$5:$C$1000, A942, 'Base Exámenes'!$G$5:$G$1000, "&lt;&gt;")=0, "", _xlfn.MAXIFS('Base Exámenes'!$G$5:$G$1000, 'Base Exámenes'!$C$5:$C$1000, A942)), "")</f>
        <v/>
      </c>
      <c r="K942" s="6" t="str">
        <f>IF(F942="Completado", IFERROR(IF(INDEX('Base Exámenes'!$H$5:$H$1000, MATCH(A942&amp;"|"&amp;J942, 'Base Exámenes'!$I$5:$I$1000, 0))="", "", INDEX('Base Exámenes'!$H$5:$H$1000, MATCH(A942&amp;"|"&amp;J942, 'Base Exámenes'!$I$5:$I$1000, 0))), ""), "")</f>
        <v/>
      </c>
      <c r="L942" s="22" t="str">
        <f>IF($A942="","",COUNTIF('Base Exámenes'!$C$5:$C$1000, A942))</f>
        <v/>
      </c>
      <c r="M942" s="6" t="str">
        <f>IF($A942="","",IF(COUNTIF('Base Exámenes'!$C$5:$C$1000, A942)&gt;0, "", TRIM('Base Oficial'!H942)))</f>
        <v/>
      </c>
    </row>
    <row r="943">
      <c r="A943" s="4" t="str">
        <f>IF('Base Oficial'!A943="","",TRIM('Base Oficial'!A943))</f>
        <v/>
      </c>
      <c r="B943" s="6" t="str">
        <f>IF($A943="","",TRIM('Base Oficial'!B943))</f>
        <v/>
      </c>
      <c r="C943" s="6" t="str">
        <f>IF($A943="","",TRIM('Base Oficial'!F943))</f>
        <v/>
      </c>
      <c r="D943" s="6" t="str">
        <f>IF($A943="","",TRIM('Base Oficial'!G943))</f>
        <v/>
      </c>
      <c r="E943" s="6" t="str">
        <f>IF($A943="","",TRIM('Base Oficial'!D943))</f>
        <v/>
      </c>
      <c r="F943" s="4" t="str">
        <f>IF($A943="","",IF(COUNTIF('Base Exámenes'!$C$5:$C$1000, A943)&gt;0, "Completado", IF(M943&lt;&gt;"", M943, "Pendiente")))</f>
        <v/>
      </c>
      <c r="G943" s="11" t="str">
        <f>IF(F943="Completado", IFERROR(IF(INDEX('Base Exámenes'!$D$5:$D$1000, MATCH(A943&amp;"|"&amp;J943, 'Base Exámenes'!$I$5:$I$1000, 0))="", "", INDEX('Base Exámenes'!$D$5:$D$1000, MATCH(A943&amp;"|"&amp;J943, 'Base Exámenes'!$I$5:$I$1000, 0))), ""), "")</f>
        <v/>
      </c>
      <c r="H943" s="11" t="str">
        <f>IF(F943="Completado", IFERROR(IF(INDEX('Base Exámenes'!$E$5:$E$1000, MATCH(A943&amp;"|"&amp;J943, 'Base Exámenes'!$I$5:$I$1000, 0))="", "", INDEX('Base Exámenes'!$E$5:$E$1000, MATCH(A943&amp;"|"&amp;J943, 'Base Exámenes'!$I$5:$I$1000, 0))), ""), "")</f>
        <v/>
      </c>
      <c r="I943" s="10" t="str">
        <f>IF(F943="Completado", IFERROR(IF(INDEX('Base Exámenes'!$F$5:$F$1000, MATCH(A943&amp;"|"&amp;J943, 'Base Exámenes'!$I$5:$I$1000, 0))="", "", INDEX('Base Exámenes'!$F$5:$F$1000, MATCH(A943&amp;"|"&amp;J943, 'Base Exámenes'!$I$5:$I$1000, 0))), ""), "")</f>
        <v/>
      </c>
      <c r="J943" s="6" t="str">
        <f>IF(F943="Completado", IF(COUNTIFS('Base Exámenes'!$C$5:$C$1000, A943, 'Base Exámenes'!$G$5:$G$1000, "&lt;&gt;")=0, "", _xlfn.MAXIFS('Base Exámenes'!$G$5:$G$1000, 'Base Exámenes'!$C$5:$C$1000, A943)), "")</f>
        <v/>
      </c>
      <c r="K943" s="6" t="str">
        <f>IF(F943="Completado", IFERROR(IF(INDEX('Base Exámenes'!$H$5:$H$1000, MATCH(A943&amp;"|"&amp;J943, 'Base Exámenes'!$I$5:$I$1000, 0))="", "", INDEX('Base Exámenes'!$H$5:$H$1000, MATCH(A943&amp;"|"&amp;J943, 'Base Exámenes'!$I$5:$I$1000, 0))), ""), "")</f>
        <v/>
      </c>
      <c r="L943" s="22" t="str">
        <f>IF($A943="","",COUNTIF('Base Exámenes'!$C$5:$C$1000, A943))</f>
        <v/>
      </c>
      <c r="M943" s="6" t="str">
        <f>IF($A943="","",IF(COUNTIF('Base Exámenes'!$C$5:$C$1000, A943)&gt;0, "", TRIM('Base Oficial'!H943)))</f>
        <v/>
      </c>
    </row>
    <row r="944">
      <c r="A944" s="4" t="str">
        <f>IF('Base Oficial'!A944="","",TRIM('Base Oficial'!A944))</f>
        <v/>
      </c>
      <c r="B944" s="6" t="str">
        <f>IF($A944="","",TRIM('Base Oficial'!B944))</f>
        <v/>
      </c>
      <c r="C944" s="6" t="str">
        <f>IF($A944="","",TRIM('Base Oficial'!F944))</f>
        <v/>
      </c>
      <c r="D944" s="6" t="str">
        <f>IF($A944="","",TRIM('Base Oficial'!G944))</f>
        <v/>
      </c>
      <c r="E944" s="6" t="str">
        <f>IF($A944="","",TRIM('Base Oficial'!D944))</f>
        <v/>
      </c>
      <c r="F944" s="4" t="str">
        <f>IF($A944="","",IF(COUNTIF('Base Exámenes'!$C$5:$C$1000, A944)&gt;0, "Completado", IF(M944&lt;&gt;"", M944, "Pendiente")))</f>
        <v/>
      </c>
      <c r="G944" s="11" t="str">
        <f>IF(F944="Completado", IFERROR(IF(INDEX('Base Exámenes'!$D$5:$D$1000, MATCH(A944&amp;"|"&amp;J944, 'Base Exámenes'!$I$5:$I$1000, 0))="", "", INDEX('Base Exámenes'!$D$5:$D$1000, MATCH(A944&amp;"|"&amp;J944, 'Base Exámenes'!$I$5:$I$1000, 0))), ""), "")</f>
        <v/>
      </c>
      <c r="H944" s="11" t="str">
        <f>IF(F944="Completado", IFERROR(IF(INDEX('Base Exámenes'!$E$5:$E$1000, MATCH(A944&amp;"|"&amp;J944, 'Base Exámenes'!$I$5:$I$1000, 0))="", "", INDEX('Base Exámenes'!$E$5:$E$1000, MATCH(A944&amp;"|"&amp;J944, 'Base Exámenes'!$I$5:$I$1000, 0))), ""), "")</f>
        <v/>
      </c>
      <c r="I944" s="10" t="str">
        <f>IF(F944="Completado", IFERROR(IF(INDEX('Base Exámenes'!$F$5:$F$1000, MATCH(A944&amp;"|"&amp;J944, 'Base Exámenes'!$I$5:$I$1000, 0))="", "", INDEX('Base Exámenes'!$F$5:$F$1000, MATCH(A944&amp;"|"&amp;J944, 'Base Exámenes'!$I$5:$I$1000, 0))), ""), "")</f>
        <v/>
      </c>
      <c r="J944" s="6" t="str">
        <f>IF(F944="Completado", IF(COUNTIFS('Base Exámenes'!$C$5:$C$1000, A944, 'Base Exámenes'!$G$5:$G$1000, "&lt;&gt;")=0, "", _xlfn.MAXIFS('Base Exámenes'!$G$5:$G$1000, 'Base Exámenes'!$C$5:$C$1000, A944)), "")</f>
        <v/>
      </c>
      <c r="K944" s="6" t="str">
        <f>IF(F944="Completado", IFERROR(IF(INDEX('Base Exámenes'!$H$5:$H$1000, MATCH(A944&amp;"|"&amp;J944, 'Base Exámenes'!$I$5:$I$1000, 0))="", "", INDEX('Base Exámenes'!$H$5:$H$1000, MATCH(A944&amp;"|"&amp;J944, 'Base Exámenes'!$I$5:$I$1000, 0))), ""), "")</f>
        <v/>
      </c>
      <c r="L944" s="22" t="str">
        <f>IF($A944="","",COUNTIF('Base Exámenes'!$C$5:$C$1000, A944))</f>
        <v/>
      </c>
      <c r="M944" s="6" t="str">
        <f>IF($A944="","",IF(COUNTIF('Base Exámenes'!$C$5:$C$1000, A944)&gt;0, "", TRIM('Base Oficial'!H944)))</f>
        <v/>
      </c>
    </row>
    <row r="945">
      <c r="A945" s="4" t="str">
        <f>IF('Base Oficial'!A945="","",TRIM('Base Oficial'!A945))</f>
        <v/>
      </c>
      <c r="B945" s="6" t="str">
        <f>IF($A945="","",TRIM('Base Oficial'!B945))</f>
        <v/>
      </c>
      <c r="C945" s="6" t="str">
        <f>IF($A945="","",TRIM('Base Oficial'!F945))</f>
        <v/>
      </c>
      <c r="D945" s="6" t="str">
        <f>IF($A945="","",TRIM('Base Oficial'!G945))</f>
        <v/>
      </c>
      <c r="E945" s="6" t="str">
        <f>IF($A945="","",TRIM('Base Oficial'!D945))</f>
        <v/>
      </c>
      <c r="F945" s="4" t="str">
        <f>IF($A945="","",IF(COUNTIF('Base Exámenes'!$C$5:$C$1000, A945)&gt;0, "Completado", IF(M945&lt;&gt;"", M945, "Pendiente")))</f>
        <v/>
      </c>
      <c r="G945" s="11" t="str">
        <f>IF(F945="Completado", IFERROR(IF(INDEX('Base Exámenes'!$D$5:$D$1000, MATCH(A945&amp;"|"&amp;J945, 'Base Exámenes'!$I$5:$I$1000, 0))="", "", INDEX('Base Exámenes'!$D$5:$D$1000, MATCH(A945&amp;"|"&amp;J945, 'Base Exámenes'!$I$5:$I$1000, 0))), ""), "")</f>
        <v/>
      </c>
      <c r="H945" s="11" t="str">
        <f>IF(F945="Completado", IFERROR(IF(INDEX('Base Exámenes'!$E$5:$E$1000, MATCH(A945&amp;"|"&amp;J945, 'Base Exámenes'!$I$5:$I$1000, 0))="", "", INDEX('Base Exámenes'!$E$5:$E$1000, MATCH(A945&amp;"|"&amp;J945, 'Base Exámenes'!$I$5:$I$1000, 0))), ""), "")</f>
        <v/>
      </c>
      <c r="I945" s="10" t="str">
        <f>IF(F945="Completado", IFERROR(IF(INDEX('Base Exámenes'!$F$5:$F$1000, MATCH(A945&amp;"|"&amp;J945, 'Base Exámenes'!$I$5:$I$1000, 0))="", "", INDEX('Base Exámenes'!$F$5:$F$1000, MATCH(A945&amp;"|"&amp;J945, 'Base Exámenes'!$I$5:$I$1000, 0))), ""), "")</f>
        <v/>
      </c>
      <c r="J945" s="6" t="str">
        <f>IF(F945="Completado", IF(COUNTIFS('Base Exámenes'!$C$5:$C$1000, A945, 'Base Exámenes'!$G$5:$G$1000, "&lt;&gt;")=0, "", _xlfn.MAXIFS('Base Exámenes'!$G$5:$G$1000, 'Base Exámenes'!$C$5:$C$1000, A945)), "")</f>
        <v/>
      </c>
      <c r="K945" s="6" t="str">
        <f>IF(F945="Completado", IFERROR(IF(INDEX('Base Exámenes'!$H$5:$H$1000, MATCH(A945&amp;"|"&amp;J945, 'Base Exámenes'!$I$5:$I$1000, 0))="", "", INDEX('Base Exámenes'!$H$5:$H$1000, MATCH(A945&amp;"|"&amp;J945, 'Base Exámenes'!$I$5:$I$1000, 0))), ""), "")</f>
        <v/>
      </c>
      <c r="L945" s="22" t="str">
        <f>IF($A945="","",COUNTIF('Base Exámenes'!$C$5:$C$1000, A945))</f>
        <v/>
      </c>
      <c r="M945" s="6" t="str">
        <f>IF($A945="","",IF(COUNTIF('Base Exámenes'!$C$5:$C$1000, A945)&gt;0, "", TRIM('Base Oficial'!H945)))</f>
        <v/>
      </c>
    </row>
    <row r="946">
      <c r="A946" s="4" t="str">
        <f>IF('Base Oficial'!A946="","",TRIM('Base Oficial'!A946))</f>
        <v/>
      </c>
      <c r="B946" s="6" t="str">
        <f>IF($A946="","",TRIM('Base Oficial'!B946))</f>
        <v/>
      </c>
      <c r="C946" s="6" t="str">
        <f>IF($A946="","",TRIM('Base Oficial'!F946))</f>
        <v/>
      </c>
      <c r="D946" s="6" t="str">
        <f>IF($A946="","",TRIM('Base Oficial'!G946))</f>
        <v/>
      </c>
      <c r="E946" s="6" t="str">
        <f>IF($A946="","",TRIM('Base Oficial'!D946))</f>
        <v/>
      </c>
      <c r="F946" s="4" t="str">
        <f>IF($A946="","",IF(COUNTIF('Base Exámenes'!$C$5:$C$1000, A946)&gt;0, "Completado", IF(M946&lt;&gt;"", M946, "Pendiente")))</f>
        <v/>
      </c>
      <c r="G946" s="11" t="str">
        <f>IF(F946="Completado", IFERROR(IF(INDEX('Base Exámenes'!$D$5:$D$1000, MATCH(A946&amp;"|"&amp;J946, 'Base Exámenes'!$I$5:$I$1000, 0))="", "", INDEX('Base Exámenes'!$D$5:$D$1000, MATCH(A946&amp;"|"&amp;J946, 'Base Exámenes'!$I$5:$I$1000, 0))), ""), "")</f>
        <v/>
      </c>
      <c r="H946" s="11" t="str">
        <f>IF(F946="Completado", IFERROR(IF(INDEX('Base Exámenes'!$E$5:$E$1000, MATCH(A946&amp;"|"&amp;J946, 'Base Exámenes'!$I$5:$I$1000, 0))="", "", INDEX('Base Exámenes'!$E$5:$E$1000, MATCH(A946&amp;"|"&amp;J946, 'Base Exámenes'!$I$5:$I$1000, 0))), ""), "")</f>
        <v/>
      </c>
      <c r="I946" s="10" t="str">
        <f>IF(F946="Completado", IFERROR(IF(INDEX('Base Exámenes'!$F$5:$F$1000, MATCH(A946&amp;"|"&amp;J946, 'Base Exámenes'!$I$5:$I$1000, 0))="", "", INDEX('Base Exámenes'!$F$5:$F$1000, MATCH(A946&amp;"|"&amp;J946, 'Base Exámenes'!$I$5:$I$1000, 0))), ""), "")</f>
        <v/>
      </c>
      <c r="J946" s="6" t="str">
        <f>IF(F946="Completado", IF(COUNTIFS('Base Exámenes'!$C$5:$C$1000, A946, 'Base Exámenes'!$G$5:$G$1000, "&lt;&gt;")=0, "", _xlfn.MAXIFS('Base Exámenes'!$G$5:$G$1000, 'Base Exámenes'!$C$5:$C$1000, A946)), "")</f>
        <v/>
      </c>
      <c r="K946" s="6" t="str">
        <f>IF(F946="Completado", IFERROR(IF(INDEX('Base Exámenes'!$H$5:$H$1000, MATCH(A946&amp;"|"&amp;J946, 'Base Exámenes'!$I$5:$I$1000, 0))="", "", INDEX('Base Exámenes'!$H$5:$H$1000, MATCH(A946&amp;"|"&amp;J946, 'Base Exámenes'!$I$5:$I$1000, 0))), ""), "")</f>
        <v/>
      </c>
      <c r="L946" s="22" t="str">
        <f>IF($A946="","",COUNTIF('Base Exámenes'!$C$5:$C$1000, A946))</f>
        <v/>
      </c>
      <c r="M946" s="6" t="str">
        <f>IF($A946="","",IF(COUNTIF('Base Exámenes'!$C$5:$C$1000, A946)&gt;0, "", TRIM('Base Oficial'!H946)))</f>
        <v/>
      </c>
    </row>
    <row r="947">
      <c r="A947" s="4" t="str">
        <f>IF('Base Oficial'!A947="","",TRIM('Base Oficial'!A947))</f>
        <v/>
      </c>
      <c r="B947" s="6" t="str">
        <f>IF($A947="","",TRIM('Base Oficial'!B947))</f>
        <v/>
      </c>
      <c r="C947" s="6" t="str">
        <f>IF($A947="","",TRIM('Base Oficial'!F947))</f>
        <v/>
      </c>
      <c r="D947" s="6" t="str">
        <f>IF($A947="","",TRIM('Base Oficial'!G947))</f>
        <v/>
      </c>
      <c r="E947" s="6" t="str">
        <f>IF($A947="","",TRIM('Base Oficial'!D947))</f>
        <v/>
      </c>
      <c r="F947" s="4" t="str">
        <f>IF($A947="","",IF(COUNTIF('Base Exámenes'!$C$5:$C$1000, A947)&gt;0, "Completado", IF(M947&lt;&gt;"", M947, "Pendiente")))</f>
        <v/>
      </c>
      <c r="G947" s="11" t="str">
        <f>IF(F947="Completado", IFERROR(IF(INDEX('Base Exámenes'!$D$5:$D$1000, MATCH(A947&amp;"|"&amp;J947, 'Base Exámenes'!$I$5:$I$1000, 0))="", "", INDEX('Base Exámenes'!$D$5:$D$1000, MATCH(A947&amp;"|"&amp;J947, 'Base Exámenes'!$I$5:$I$1000, 0))), ""), "")</f>
        <v/>
      </c>
      <c r="H947" s="11" t="str">
        <f>IF(F947="Completado", IFERROR(IF(INDEX('Base Exámenes'!$E$5:$E$1000, MATCH(A947&amp;"|"&amp;J947, 'Base Exámenes'!$I$5:$I$1000, 0))="", "", INDEX('Base Exámenes'!$E$5:$E$1000, MATCH(A947&amp;"|"&amp;J947, 'Base Exámenes'!$I$5:$I$1000, 0))), ""), "")</f>
        <v/>
      </c>
      <c r="I947" s="10" t="str">
        <f>IF(F947="Completado", IFERROR(IF(INDEX('Base Exámenes'!$F$5:$F$1000, MATCH(A947&amp;"|"&amp;J947, 'Base Exámenes'!$I$5:$I$1000, 0))="", "", INDEX('Base Exámenes'!$F$5:$F$1000, MATCH(A947&amp;"|"&amp;J947, 'Base Exámenes'!$I$5:$I$1000, 0))), ""), "")</f>
        <v/>
      </c>
      <c r="J947" s="6" t="str">
        <f>IF(F947="Completado", IF(COUNTIFS('Base Exámenes'!$C$5:$C$1000, A947, 'Base Exámenes'!$G$5:$G$1000, "&lt;&gt;")=0, "", _xlfn.MAXIFS('Base Exámenes'!$G$5:$G$1000, 'Base Exámenes'!$C$5:$C$1000, A947)), "")</f>
        <v/>
      </c>
      <c r="K947" s="6" t="str">
        <f>IF(F947="Completado", IFERROR(IF(INDEX('Base Exámenes'!$H$5:$H$1000, MATCH(A947&amp;"|"&amp;J947, 'Base Exámenes'!$I$5:$I$1000, 0))="", "", INDEX('Base Exámenes'!$H$5:$H$1000, MATCH(A947&amp;"|"&amp;J947, 'Base Exámenes'!$I$5:$I$1000, 0))), ""), "")</f>
        <v/>
      </c>
      <c r="L947" s="22" t="str">
        <f>IF($A947="","",COUNTIF('Base Exámenes'!$C$5:$C$1000, A947))</f>
        <v/>
      </c>
      <c r="M947" s="6" t="str">
        <f>IF($A947="","",IF(COUNTIF('Base Exámenes'!$C$5:$C$1000, A947)&gt;0, "", TRIM('Base Oficial'!H947)))</f>
        <v/>
      </c>
    </row>
    <row r="948">
      <c r="A948" s="4" t="str">
        <f>IF('Base Oficial'!A948="","",TRIM('Base Oficial'!A948))</f>
        <v/>
      </c>
      <c r="B948" s="6" t="str">
        <f>IF($A948="","",TRIM('Base Oficial'!B948))</f>
        <v/>
      </c>
      <c r="C948" s="6" t="str">
        <f>IF($A948="","",TRIM('Base Oficial'!F948))</f>
        <v/>
      </c>
      <c r="D948" s="6" t="str">
        <f>IF($A948="","",TRIM('Base Oficial'!G948))</f>
        <v/>
      </c>
      <c r="E948" s="6" t="str">
        <f>IF($A948="","",TRIM('Base Oficial'!D948))</f>
        <v/>
      </c>
      <c r="F948" s="4" t="str">
        <f>IF($A948="","",IF(COUNTIF('Base Exámenes'!$C$5:$C$1000, A948)&gt;0, "Completado", IF(M948&lt;&gt;"", M948, "Pendiente")))</f>
        <v/>
      </c>
      <c r="G948" s="11" t="str">
        <f>IF(F948="Completado", IFERROR(IF(INDEX('Base Exámenes'!$D$5:$D$1000, MATCH(A948&amp;"|"&amp;J948, 'Base Exámenes'!$I$5:$I$1000, 0))="", "", INDEX('Base Exámenes'!$D$5:$D$1000, MATCH(A948&amp;"|"&amp;J948, 'Base Exámenes'!$I$5:$I$1000, 0))), ""), "")</f>
        <v/>
      </c>
      <c r="H948" s="11" t="str">
        <f>IF(F948="Completado", IFERROR(IF(INDEX('Base Exámenes'!$E$5:$E$1000, MATCH(A948&amp;"|"&amp;J948, 'Base Exámenes'!$I$5:$I$1000, 0))="", "", INDEX('Base Exámenes'!$E$5:$E$1000, MATCH(A948&amp;"|"&amp;J948, 'Base Exámenes'!$I$5:$I$1000, 0))), ""), "")</f>
        <v/>
      </c>
      <c r="I948" s="10" t="str">
        <f>IF(F948="Completado", IFERROR(IF(INDEX('Base Exámenes'!$F$5:$F$1000, MATCH(A948&amp;"|"&amp;J948, 'Base Exámenes'!$I$5:$I$1000, 0))="", "", INDEX('Base Exámenes'!$F$5:$F$1000, MATCH(A948&amp;"|"&amp;J948, 'Base Exámenes'!$I$5:$I$1000, 0))), ""), "")</f>
        <v/>
      </c>
      <c r="J948" s="6" t="str">
        <f>IF(F948="Completado", IF(COUNTIFS('Base Exámenes'!$C$5:$C$1000, A948, 'Base Exámenes'!$G$5:$G$1000, "&lt;&gt;")=0, "", _xlfn.MAXIFS('Base Exámenes'!$G$5:$G$1000, 'Base Exámenes'!$C$5:$C$1000, A948)), "")</f>
        <v/>
      </c>
      <c r="K948" s="6" t="str">
        <f>IF(F948="Completado", IFERROR(IF(INDEX('Base Exámenes'!$H$5:$H$1000, MATCH(A948&amp;"|"&amp;J948, 'Base Exámenes'!$I$5:$I$1000, 0))="", "", INDEX('Base Exámenes'!$H$5:$H$1000, MATCH(A948&amp;"|"&amp;J948, 'Base Exámenes'!$I$5:$I$1000, 0))), ""), "")</f>
        <v/>
      </c>
      <c r="L948" s="22" t="str">
        <f>IF($A948="","",COUNTIF('Base Exámenes'!$C$5:$C$1000, A948))</f>
        <v/>
      </c>
      <c r="M948" s="6" t="str">
        <f>IF($A948="","",IF(COUNTIF('Base Exámenes'!$C$5:$C$1000, A948)&gt;0, "", TRIM('Base Oficial'!H948)))</f>
        <v/>
      </c>
    </row>
    <row r="949">
      <c r="A949" s="4" t="str">
        <f>IF('Base Oficial'!A949="","",TRIM('Base Oficial'!A949))</f>
        <v/>
      </c>
      <c r="B949" s="6" t="str">
        <f>IF($A949="","",TRIM('Base Oficial'!B949))</f>
        <v/>
      </c>
      <c r="C949" s="6" t="str">
        <f>IF($A949="","",TRIM('Base Oficial'!F949))</f>
        <v/>
      </c>
      <c r="D949" s="6" t="str">
        <f>IF($A949="","",TRIM('Base Oficial'!G949))</f>
        <v/>
      </c>
      <c r="E949" s="6" t="str">
        <f>IF($A949="","",TRIM('Base Oficial'!D949))</f>
        <v/>
      </c>
      <c r="F949" s="4" t="str">
        <f>IF($A949="","",IF(COUNTIF('Base Exámenes'!$C$5:$C$1000, A949)&gt;0, "Completado", IF(M949&lt;&gt;"", M949, "Pendiente")))</f>
        <v/>
      </c>
      <c r="G949" s="11" t="str">
        <f>IF(F949="Completado", IFERROR(IF(INDEX('Base Exámenes'!$D$5:$D$1000, MATCH(A949&amp;"|"&amp;J949, 'Base Exámenes'!$I$5:$I$1000, 0))="", "", INDEX('Base Exámenes'!$D$5:$D$1000, MATCH(A949&amp;"|"&amp;J949, 'Base Exámenes'!$I$5:$I$1000, 0))), ""), "")</f>
        <v/>
      </c>
      <c r="H949" s="11" t="str">
        <f>IF(F949="Completado", IFERROR(IF(INDEX('Base Exámenes'!$E$5:$E$1000, MATCH(A949&amp;"|"&amp;J949, 'Base Exámenes'!$I$5:$I$1000, 0))="", "", INDEX('Base Exámenes'!$E$5:$E$1000, MATCH(A949&amp;"|"&amp;J949, 'Base Exámenes'!$I$5:$I$1000, 0))), ""), "")</f>
        <v/>
      </c>
      <c r="I949" s="10" t="str">
        <f>IF(F949="Completado", IFERROR(IF(INDEX('Base Exámenes'!$F$5:$F$1000, MATCH(A949&amp;"|"&amp;J949, 'Base Exámenes'!$I$5:$I$1000, 0))="", "", INDEX('Base Exámenes'!$F$5:$F$1000, MATCH(A949&amp;"|"&amp;J949, 'Base Exámenes'!$I$5:$I$1000, 0))), ""), "")</f>
        <v/>
      </c>
      <c r="J949" s="6" t="str">
        <f>IF(F949="Completado", IF(COUNTIFS('Base Exámenes'!$C$5:$C$1000, A949, 'Base Exámenes'!$G$5:$G$1000, "&lt;&gt;")=0, "", _xlfn.MAXIFS('Base Exámenes'!$G$5:$G$1000, 'Base Exámenes'!$C$5:$C$1000, A949)), "")</f>
        <v/>
      </c>
      <c r="K949" s="6" t="str">
        <f>IF(F949="Completado", IFERROR(IF(INDEX('Base Exámenes'!$H$5:$H$1000, MATCH(A949&amp;"|"&amp;J949, 'Base Exámenes'!$I$5:$I$1000, 0))="", "", INDEX('Base Exámenes'!$H$5:$H$1000, MATCH(A949&amp;"|"&amp;J949, 'Base Exámenes'!$I$5:$I$1000, 0))), ""), "")</f>
        <v/>
      </c>
      <c r="L949" s="22" t="str">
        <f>IF($A949="","",COUNTIF('Base Exámenes'!$C$5:$C$1000, A949))</f>
        <v/>
      </c>
      <c r="M949" s="6" t="str">
        <f>IF($A949="","",IF(COUNTIF('Base Exámenes'!$C$5:$C$1000, A949)&gt;0, "", TRIM('Base Oficial'!H949)))</f>
        <v/>
      </c>
    </row>
    <row r="950">
      <c r="A950" s="4" t="str">
        <f>IF('Base Oficial'!A950="","",TRIM('Base Oficial'!A950))</f>
        <v/>
      </c>
      <c r="B950" s="6" t="str">
        <f>IF($A950="","",TRIM('Base Oficial'!B950))</f>
        <v/>
      </c>
      <c r="C950" s="6" t="str">
        <f>IF($A950="","",TRIM('Base Oficial'!F950))</f>
        <v/>
      </c>
      <c r="D950" s="6" t="str">
        <f>IF($A950="","",TRIM('Base Oficial'!G950))</f>
        <v/>
      </c>
      <c r="E950" s="6" t="str">
        <f>IF($A950="","",TRIM('Base Oficial'!D950))</f>
        <v/>
      </c>
      <c r="F950" s="4" t="str">
        <f>IF($A950="","",IF(COUNTIF('Base Exámenes'!$C$5:$C$1000, A950)&gt;0, "Completado", IF(M950&lt;&gt;"", M950, "Pendiente")))</f>
        <v/>
      </c>
      <c r="G950" s="11" t="str">
        <f>IF(F950="Completado", IFERROR(IF(INDEX('Base Exámenes'!$D$5:$D$1000, MATCH(A950&amp;"|"&amp;J950, 'Base Exámenes'!$I$5:$I$1000, 0))="", "", INDEX('Base Exámenes'!$D$5:$D$1000, MATCH(A950&amp;"|"&amp;J950, 'Base Exámenes'!$I$5:$I$1000, 0))), ""), "")</f>
        <v/>
      </c>
      <c r="H950" s="11" t="str">
        <f>IF(F950="Completado", IFERROR(IF(INDEX('Base Exámenes'!$E$5:$E$1000, MATCH(A950&amp;"|"&amp;J950, 'Base Exámenes'!$I$5:$I$1000, 0))="", "", INDEX('Base Exámenes'!$E$5:$E$1000, MATCH(A950&amp;"|"&amp;J950, 'Base Exámenes'!$I$5:$I$1000, 0))), ""), "")</f>
        <v/>
      </c>
      <c r="I950" s="10" t="str">
        <f>IF(F950="Completado", IFERROR(IF(INDEX('Base Exámenes'!$F$5:$F$1000, MATCH(A950&amp;"|"&amp;J950, 'Base Exámenes'!$I$5:$I$1000, 0))="", "", INDEX('Base Exámenes'!$F$5:$F$1000, MATCH(A950&amp;"|"&amp;J950, 'Base Exámenes'!$I$5:$I$1000, 0))), ""), "")</f>
        <v/>
      </c>
      <c r="J950" s="6" t="str">
        <f>IF(F950="Completado", IF(COUNTIFS('Base Exámenes'!$C$5:$C$1000, A950, 'Base Exámenes'!$G$5:$G$1000, "&lt;&gt;")=0, "", _xlfn.MAXIFS('Base Exámenes'!$G$5:$G$1000, 'Base Exámenes'!$C$5:$C$1000, A950)), "")</f>
        <v/>
      </c>
      <c r="K950" s="6" t="str">
        <f>IF(F950="Completado", IFERROR(IF(INDEX('Base Exámenes'!$H$5:$H$1000, MATCH(A950&amp;"|"&amp;J950, 'Base Exámenes'!$I$5:$I$1000, 0))="", "", INDEX('Base Exámenes'!$H$5:$H$1000, MATCH(A950&amp;"|"&amp;J950, 'Base Exámenes'!$I$5:$I$1000, 0))), ""), "")</f>
        <v/>
      </c>
      <c r="L950" s="22" t="str">
        <f>IF($A950="","",COUNTIF('Base Exámenes'!$C$5:$C$1000, A950))</f>
        <v/>
      </c>
      <c r="M950" s="6" t="str">
        <f>IF($A950="","",IF(COUNTIF('Base Exámenes'!$C$5:$C$1000, A950)&gt;0, "", TRIM('Base Oficial'!H950)))</f>
        <v/>
      </c>
    </row>
    <row r="951">
      <c r="A951" s="4" t="str">
        <f>IF('Base Oficial'!A951="","",TRIM('Base Oficial'!A951))</f>
        <v/>
      </c>
      <c r="B951" s="6" t="str">
        <f>IF($A951="","",TRIM('Base Oficial'!B951))</f>
        <v/>
      </c>
      <c r="C951" s="6" t="str">
        <f>IF($A951="","",TRIM('Base Oficial'!F951))</f>
        <v/>
      </c>
      <c r="D951" s="6" t="str">
        <f>IF($A951="","",TRIM('Base Oficial'!G951))</f>
        <v/>
      </c>
      <c r="E951" s="6" t="str">
        <f>IF($A951="","",TRIM('Base Oficial'!D951))</f>
        <v/>
      </c>
      <c r="F951" s="4" t="str">
        <f>IF($A951="","",IF(COUNTIF('Base Exámenes'!$C$5:$C$1000, A951)&gt;0, "Completado", IF(M951&lt;&gt;"", M951, "Pendiente")))</f>
        <v/>
      </c>
      <c r="G951" s="11" t="str">
        <f>IF(F951="Completado", IFERROR(IF(INDEX('Base Exámenes'!$D$5:$D$1000, MATCH(A951&amp;"|"&amp;J951, 'Base Exámenes'!$I$5:$I$1000, 0))="", "", INDEX('Base Exámenes'!$D$5:$D$1000, MATCH(A951&amp;"|"&amp;J951, 'Base Exámenes'!$I$5:$I$1000, 0))), ""), "")</f>
        <v/>
      </c>
      <c r="H951" s="11" t="str">
        <f>IF(F951="Completado", IFERROR(IF(INDEX('Base Exámenes'!$E$5:$E$1000, MATCH(A951&amp;"|"&amp;J951, 'Base Exámenes'!$I$5:$I$1000, 0))="", "", INDEX('Base Exámenes'!$E$5:$E$1000, MATCH(A951&amp;"|"&amp;J951, 'Base Exámenes'!$I$5:$I$1000, 0))), ""), "")</f>
        <v/>
      </c>
      <c r="I951" s="10" t="str">
        <f>IF(F951="Completado", IFERROR(IF(INDEX('Base Exámenes'!$F$5:$F$1000, MATCH(A951&amp;"|"&amp;J951, 'Base Exámenes'!$I$5:$I$1000, 0))="", "", INDEX('Base Exámenes'!$F$5:$F$1000, MATCH(A951&amp;"|"&amp;J951, 'Base Exámenes'!$I$5:$I$1000, 0))), ""), "")</f>
        <v/>
      </c>
      <c r="J951" s="6" t="str">
        <f>IF(F951="Completado", IF(COUNTIFS('Base Exámenes'!$C$5:$C$1000, A951, 'Base Exámenes'!$G$5:$G$1000, "&lt;&gt;")=0, "", _xlfn.MAXIFS('Base Exámenes'!$G$5:$G$1000, 'Base Exámenes'!$C$5:$C$1000, A951)), "")</f>
        <v/>
      </c>
      <c r="K951" s="6" t="str">
        <f>IF(F951="Completado", IFERROR(IF(INDEX('Base Exámenes'!$H$5:$H$1000, MATCH(A951&amp;"|"&amp;J951, 'Base Exámenes'!$I$5:$I$1000, 0))="", "", INDEX('Base Exámenes'!$H$5:$H$1000, MATCH(A951&amp;"|"&amp;J951, 'Base Exámenes'!$I$5:$I$1000, 0))), ""), "")</f>
        <v/>
      </c>
      <c r="L951" s="22" t="str">
        <f>IF($A951="","",COUNTIF('Base Exámenes'!$C$5:$C$1000, A951))</f>
        <v/>
      </c>
      <c r="M951" s="6" t="str">
        <f>IF($A951="","",IF(COUNTIF('Base Exámenes'!$C$5:$C$1000, A951)&gt;0, "", TRIM('Base Oficial'!H951)))</f>
        <v/>
      </c>
    </row>
    <row r="952">
      <c r="A952" s="4" t="str">
        <f>IF('Base Oficial'!A952="","",TRIM('Base Oficial'!A952))</f>
        <v/>
      </c>
      <c r="B952" s="6" t="str">
        <f>IF($A952="","",TRIM('Base Oficial'!B952))</f>
        <v/>
      </c>
      <c r="C952" s="6" t="str">
        <f>IF($A952="","",TRIM('Base Oficial'!F952))</f>
        <v/>
      </c>
      <c r="D952" s="6" t="str">
        <f>IF($A952="","",TRIM('Base Oficial'!G952))</f>
        <v/>
      </c>
      <c r="E952" s="6" t="str">
        <f>IF($A952="","",TRIM('Base Oficial'!D952))</f>
        <v/>
      </c>
      <c r="F952" s="4" t="str">
        <f>IF($A952="","",IF(COUNTIF('Base Exámenes'!$C$5:$C$1000, A952)&gt;0, "Completado", IF(M952&lt;&gt;"", M952, "Pendiente")))</f>
        <v/>
      </c>
      <c r="G952" s="11" t="str">
        <f>IF(F952="Completado", IFERROR(IF(INDEX('Base Exámenes'!$D$5:$D$1000, MATCH(A952&amp;"|"&amp;J952, 'Base Exámenes'!$I$5:$I$1000, 0))="", "", INDEX('Base Exámenes'!$D$5:$D$1000, MATCH(A952&amp;"|"&amp;J952, 'Base Exámenes'!$I$5:$I$1000, 0))), ""), "")</f>
        <v/>
      </c>
      <c r="H952" s="11" t="str">
        <f>IF(F952="Completado", IFERROR(IF(INDEX('Base Exámenes'!$E$5:$E$1000, MATCH(A952&amp;"|"&amp;J952, 'Base Exámenes'!$I$5:$I$1000, 0))="", "", INDEX('Base Exámenes'!$E$5:$E$1000, MATCH(A952&amp;"|"&amp;J952, 'Base Exámenes'!$I$5:$I$1000, 0))), ""), "")</f>
        <v/>
      </c>
      <c r="I952" s="10" t="str">
        <f>IF(F952="Completado", IFERROR(IF(INDEX('Base Exámenes'!$F$5:$F$1000, MATCH(A952&amp;"|"&amp;J952, 'Base Exámenes'!$I$5:$I$1000, 0))="", "", INDEX('Base Exámenes'!$F$5:$F$1000, MATCH(A952&amp;"|"&amp;J952, 'Base Exámenes'!$I$5:$I$1000, 0))), ""), "")</f>
        <v/>
      </c>
      <c r="J952" s="6" t="str">
        <f>IF(F952="Completado", IF(COUNTIFS('Base Exámenes'!$C$5:$C$1000, A952, 'Base Exámenes'!$G$5:$G$1000, "&lt;&gt;")=0, "", _xlfn.MAXIFS('Base Exámenes'!$G$5:$G$1000, 'Base Exámenes'!$C$5:$C$1000, A952)), "")</f>
        <v/>
      </c>
      <c r="K952" s="6" t="str">
        <f>IF(F952="Completado", IFERROR(IF(INDEX('Base Exámenes'!$H$5:$H$1000, MATCH(A952&amp;"|"&amp;J952, 'Base Exámenes'!$I$5:$I$1000, 0))="", "", INDEX('Base Exámenes'!$H$5:$H$1000, MATCH(A952&amp;"|"&amp;J952, 'Base Exámenes'!$I$5:$I$1000, 0))), ""), "")</f>
        <v/>
      </c>
      <c r="L952" s="22" t="str">
        <f>IF($A952="","",COUNTIF('Base Exámenes'!$C$5:$C$1000, A952))</f>
        <v/>
      </c>
      <c r="M952" s="6" t="str">
        <f>IF($A952="","",IF(COUNTIF('Base Exámenes'!$C$5:$C$1000, A952)&gt;0, "", TRIM('Base Oficial'!H952)))</f>
        <v/>
      </c>
    </row>
    <row r="953">
      <c r="A953" s="4" t="str">
        <f>IF('Base Oficial'!A953="","",TRIM('Base Oficial'!A953))</f>
        <v/>
      </c>
      <c r="B953" s="6" t="str">
        <f>IF($A953="","",TRIM('Base Oficial'!B953))</f>
        <v/>
      </c>
      <c r="C953" s="6" t="str">
        <f>IF($A953="","",TRIM('Base Oficial'!F953))</f>
        <v/>
      </c>
      <c r="D953" s="6" t="str">
        <f>IF($A953="","",TRIM('Base Oficial'!G953))</f>
        <v/>
      </c>
      <c r="E953" s="6" t="str">
        <f>IF($A953="","",TRIM('Base Oficial'!D953))</f>
        <v/>
      </c>
      <c r="F953" s="4" t="str">
        <f>IF($A953="","",IF(COUNTIF('Base Exámenes'!$C$5:$C$1000, A953)&gt;0, "Completado", IF(M953&lt;&gt;"", M953, "Pendiente")))</f>
        <v/>
      </c>
      <c r="G953" s="11" t="str">
        <f>IF(F953="Completado", IFERROR(IF(INDEX('Base Exámenes'!$D$5:$D$1000, MATCH(A953&amp;"|"&amp;J953, 'Base Exámenes'!$I$5:$I$1000, 0))="", "", INDEX('Base Exámenes'!$D$5:$D$1000, MATCH(A953&amp;"|"&amp;J953, 'Base Exámenes'!$I$5:$I$1000, 0))), ""), "")</f>
        <v/>
      </c>
      <c r="H953" s="11" t="str">
        <f>IF(F953="Completado", IFERROR(IF(INDEX('Base Exámenes'!$E$5:$E$1000, MATCH(A953&amp;"|"&amp;J953, 'Base Exámenes'!$I$5:$I$1000, 0))="", "", INDEX('Base Exámenes'!$E$5:$E$1000, MATCH(A953&amp;"|"&amp;J953, 'Base Exámenes'!$I$5:$I$1000, 0))), ""), "")</f>
        <v/>
      </c>
      <c r="I953" s="10" t="str">
        <f>IF(F953="Completado", IFERROR(IF(INDEX('Base Exámenes'!$F$5:$F$1000, MATCH(A953&amp;"|"&amp;J953, 'Base Exámenes'!$I$5:$I$1000, 0))="", "", INDEX('Base Exámenes'!$F$5:$F$1000, MATCH(A953&amp;"|"&amp;J953, 'Base Exámenes'!$I$5:$I$1000, 0))), ""), "")</f>
        <v/>
      </c>
      <c r="J953" s="6" t="str">
        <f>IF(F953="Completado", IF(COUNTIFS('Base Exámenes'!$C$5:$C$1000, A953, 'Base Exámenes'!$G$5:$G$1000, "&lt;&gt;")=0, "", _xlfn.MAXIFS('Base Exámenes'!$G$5:$G$1000, 'Base Exámenes'!$C$5:$C$1000, A953)), "")</f>
        <v/>
      </c>
      <c r="K953" s="6" t="str">
        <f>IF(F953="Completado", IFERROR(IF(INDEX('Base Exámenes'!$H$5:$H$1000, MATCH(A953&amp;"|"&amp;J953, 'Base Exámenes'!$I$5:$I$1000, 0))="", "", INDEX('Base Exámenes'!$H$5:$H$1000, MATCH(A953&amp;"|"&amp;J953, 'Base Exámenes'!$I$5:$I$1000, 0))), ""), "")</f>
        <v/>
      </c>
      <c r="L953" s="22" t="str">
        <f>IF($A953="","",COUNTIF('Base Exámenes'!$C$5:$C$1000, A953))</f>
        <v/>
      </c>
      <c r="M953" s="6" t="str">
        <f>IF($A953="","",IF(COUNTIF('Base Exámenes'!$C$5:$C$1000, A953)&gt;0, "", TRIM('Base Oficial'!H953)))</f>
        <v/>
      </c>
    </row>
    <row r="954">
      <c r="A954" s="4" t="str">
        <f>IF('Base Oficial'!A954="","",TRIM('Base Oficial'!A954))</f>
        <v/>
      </c>
      <c r="B954" s="6" t="str">
        <f>IF($A954="","",TRIM('Base Oficial'!B954))</f>
        <v/>
      </c>
      <c r="C954" s="6" t="str">
        <f>IF($A954="","",TRIM('Base Oficial'!F954))</f>
        <v/>
      </c>
      <c r="D954" s="6" t="str">
        <f>IF($A954="","",TRIM('Base Oficial'!G954))</f>
        <v/>
      </c>
      <c r="E954" s="6" t="str">
        <f>IF($A954="","",TRIM('Base Oficial'!D954))</f>
        <v/>
      </c>
      <c r="F954" s="4" t="str">
        <f>IF($A954="","",IF(COUNTIF('Base Exámenes'!$C$5:$C$1000, A954)&gt;0, "Completado", IF(M954&lt;&gt;"", M954, "Pendiente")))</f>
        <v/>
      </c>
      <c r="G954" s="11" t="str">
        <f>IF(F954="Completado", IFERROR(IF(INDEX('Base Exámenes'!$D$5:$D$1000, MATCH(A954&amp;"|"&amp;J954, 'Base Exámenes'!$I$5:$I$1000, 0))="", "", INDEX('Base Exámenes'!$D$5:$D$1000, MATCH(A954&amp;"|"&amp;J954, 'Base Exámenes'!$I$5:$I$1000, 0))), ""), "")</f>
        <v/>
      </c>
      <c r="H954" s="11" t="str">
        <f>IF(F954="Completado", IFERROR(IF(INDEX('Base Exámenes'!$E$5:$E$1000, MATCH(A954&amp;"|"&amp;J954, 'Base Exámenes'!$I$5:$I$1000, 0))="", "", INDEX('Base Exámenes'!$E$5:$E$1000, MATCH(A954&amp;"|"&amp;J954, 'Base Exámenes'!$I$5:$I$1000, 0))), ""), "")</f>
        <v/>
      </c>
      <c r="I954" s="10" t="str">
        <f>IF(F954="Completado", IFERROR(IF(INDEX('Base Exámenes'!$F$5:$F$1000, MATCH(A954&amp;"|"&amp;J954, 'Base Exámenes'!$I$5:$I$1000, 0))="", "", INDEX('Base Exámenes'!$F$5:$F$1000, MATCH(A954&amp;"|"&amp;J954, 'Base Exámenes'!$I$5:$I$1000, 0))), ""), "")</f>
        <v/>
      </c>
      <c r="J954" s="6" t="str">
        <f>IF(F954="Completado", IF(COUNTIFS('Base Exámenes'!$C$5:$C$1000, A954, 'Base Exámenes'!$G$5:$G$1000, "&lt;&gt;")=0, "", _xlfn.MAXIFS('Base Exámenes'!$G$5:$G$1000, 'Base Exámenes'!$C$5:$C$1000, A954)), "")</f>
        <v/>
      </c>
      <c r="K954" s="6" t="str">
        <f>IF(F954="Completado", IFERROR(IF(INDEX('Base Exámenes'!$H$5:$H$1000, MATCH(A954&amp;"|"&amp;J954, 'Base Exámenes'!$I$5:$I$1000, 0))="", "", INDEX('Base Exámenes'!$H$5:$H$1000, MATCH(A954&amp;"|"&amp;J954, 'Base Exámenes'!$I$5:$I$1000, 0))), ""), "")</f>
        <v/>
      </c>
      <c r="L954" s="22" t="str">
        <f>IF($A954="","",COUNTIF('Base Exámenes'!$C$5:$C$1000, A954))</f>
        <v/>
      </c>
      <c r="M954" s="6" t="str">
        <f>IF($A954="","",IF(COUNTIF('Base Exámenes'!$C$5:$C$1000, A954)&gt;0, "", TRIM('Base Oficial'!H954)))</f>
        <v/>
      </c>
    </row>
    <row r="955">
      <c r="A955" s="4" t="str">
        <f>IF('Base Oficial'!A955="","",TRIM('Base Oficial'!A955))</f>
        <v/>
      </c>
      <c r="B955" s="6" t="str">
        <f>IF($A955="","",TRIM('Base Oficial'!B955))</f>
        <v/>
      </c>
      <c r="C955" s="6" t="str">
        <f>IF($A955="","",TRIM('Base Oficial'!F955))</f>
        <v/>
      </c>
      <c r="D955" s="6" t="str">
        <f>IF($A955="","",TRIM('Base Oficial'!G955))</f>
        <v/>
      </c>
      <c r="E955" s="6" t="str">
        <f>IF($A955="","",TRIM('Base Oficial'!D955))</f>
        <v/>
      </c>
      <c r="F955" s="4" t="str">
        <f>IF($A955="","",IF(COUNTIF('Base Exámenes'!$C$5:$C$1000, A955)&gt;0, "Completado", IF(M955&lt;&gt;"", M955, "Pendiente")))</f>
        <v/>
      </c>
      <c r="G955" s="11" t="str">
        <f>IF(F955="Completado", IFERROR(IF(INDEX('Base Exámenes'!$D$5:$D$1000, MATCH(A955&amp;"|"&amp;J955, 'Base Exámenes'!$I$5:$I$1000, 0))="", "", INDEX('Base Exámenes'!$D$5:$D$1000, MATCH(A955&amp;"|"&amp;J955, 'Base Exámenes'!$I$5:$I$1000, 0))), ""), "")</f>
        <v/>
      </c>
      <c r="H955" s="11" t="str">
        <f>IF(F955="Completado", IFERROR(IF(INDEX('Base Exámenes'!$E$5:$E$1000, MATCH(A955&amp;"|"&amp;J955, 'Base Exámenes'!$I$5:$I$1000, 0))="", "", INDEX('Base Exámenes'!$E$5:$E$1000, MATCH(A955&amp;"|"&amp;J955, 'Base Exámenes'!$I$5:$I$1000, 0))), ""), "")</f>
        <v/>
      </c>
      <c r="I955" s="10" t="str">
        <f>IF(F955="Completado", IFERROR(IF(INDEX('Base Exámenes'!$F$5:$F$1000, MATCH(A955&amp;"|"&amp;J955, 'Base Exámenes'!$I$5:$I$1000, 0))="", "", INDEX('Base Exámenes'!$F$5:$F$1000, MATCH(A955&amp;"|"&amp;J955, 'Base Exámenes'!$I$5:$I$1000, 0))), ""), "")</f>
        <v/>
      </c>
      <c r="J955" s="6" t="str">
        <f>IF(F955="Completado", IF(COUNTIFS('Base Exámenes'!$C$5:$C$1000, A955, 'Base Exámenes'!$G$5:$G$1000, "&lt;&gt;")=0, "", _xlfn.MAXIFS('Base Exámenes'!$G$5:$G$1000, 'Base Exámenes'!$C$5:$C$1000, A955)), "")</f>
        <v/>
      </c>
      <c r="K955" s="6" t="str">
        <f>IF(F955="Completado", IFERROR(IF(INDEX('Base Exámenes'!$H$5:$H$1000, MATCH(A955&amp;"|"&amp;J955, 'Base Exámenes'!$I$5:$I$1000, 0))="", "", INDEX('Base Exámenes'!$H$5:$H$1000, MATCH(A955&amp;"|"&amp;J955, 'Base Exámenes'!$I$5:$I$1000, 0))), ""), "")</f>
        <v/>
      </c>
      <c r="L955" s="22" t="str">
        <f>IF($A955="","",COUNTIF('Base Exámenes'!$C$5:$C$1000, A955))</f>
        <v/>
      </c>
      <c r="M955" s="6" t="str">
        <f>IF($A955="","",IF(COUNTIF('Base Exámenes'!$C$5:$C$1000, A955)&gt;0, "", TRIM('Base Oficial'!H955)))</f>
        <v/>
      </c>
    </row>
    <row r="956">
      <c r="A956" s="4" t="str">
        <f>IF('Base Oficial'!A956="","",TRIM('Base Oficial'!A956))</f>
        <v/>
      </c>
      <c r="B956" s="6" t="str">
        <f>IF($A956="","",TRIM('Base Oficial'!B956))</f>
        <v/>
      </c>
      <c r="C956" s="6" t="str">
        <f>IF($A956="","",TRIM('Base Oficial'!F956))</f>
        <v/>
      </c>
      <c r="D956" s="6" t="str">
        <f>IF($A956="","",TRIM('Base Oficial'!G956))</f>
        <v/>
      </c>
      <c r="E956" s="6" t="str">
        <f>IF($A956="","",TRIM('Base Oficial'!D956))</f>
        <v/>
      </c>
      <c r="F956" s="4" t="str">
        <f>IF($A956="","",IF(COUNTIF('Base Exámenes'!$C$5:$C$1000, A956)&gt;0, "Completado", IF(M956&lt;&gt;"", M956, "Pendiente")))</f>
        <v/>
      </c>
      <c r="G956" s="11" t="str">
        <f>IF(F956="Completado", IFERROR(IF(INDEX('Base Exámenes'!$D$5:$D$1000, MATCH(A956&amp;"|"&amp;J956, 'Base Exámenes'!$I$5:$I$1000, 0))="", "", INDEX('Base Exámenes'!$D$5:$D$1000, MATCH(A956&amp;"|"&amp;J956, 'Base Exámenes'!$I$5:$I$1000, 0))), ""), "")</f>
        <v/>
      </c>
      <c r="H956" s="11" t="str">
        <f>IF(F956="Completado", IFERROR(IF(INDEX('Base Exámenes'!$E$5:$E$1000, MATCH(A956&amp;"|"&amp;J956, 'Base Exámenes'!$I$5:$I$1000, 0))="", "", INDEX('Base Exámenes'!$E$5:$E$1000, MATCH(A956&amp;"|"&amp;J956, 'Base Exámenes'!$I$5:$I$1000, 0))), ""), "")</f>
        <v/>
      </c>
      <c r="I956" s="10" t="str">
        <f>IF(F956="Completado", IFERROR(IF(INDEX('Base Exámenes'!$F$5:$F$1000, MATCH(A956&amp;"|"&amp;J956, 'Base Exámenes'!$I$5:$I$1000, 0))="", "", INDEX('Base Exámenes'!$F$5:$F$1000, MATCH(A956&amp;"|"&amp;J956, 'Base Exámenes'!$I$5:$I$1000, 0))), ""), "")</f>
        <v/>
      </c>
      <c r="J956" s="6" t="str">
        <f>IF(F956="Completado", IF(COUNTIFS('Base Exámenes'!$C$5:$C$1000, A956, 'Base Exámenes'!$G$5:$G$1000, "&lt;&gt;")=0, "", _xlfn.MAXIFS('Base Exámenes'!$G$5:$G$1000, 'Base Exámenes'!$C$5:$C$1000, A956)), "")</f>
        <v/>
      </c>
      <c r="K956" s="6" t="str">
        <f>IF(F956="Completado", IFERROR(IF(INDEX('Base Exámenes'!$H$5:$H$1000, MATCH(A956&amp;"|"&amp;J956, 'Base Exámenes'!$I$5:$I$1000, 0))="", "", INDEX('Base Exámenes'!$H$5:$H$1000, MATCH(A956&amp;"|"&amp;J956, 'Base Exámenes'!$I$5:$I$1000, 0))), ""), "")</f>
        <v/>
      </c>
      <c r="L956" s="22" t="str">
        <f>IF($A956="","",COUNTIF('Base Exámenes'!$C$5:$C$1000, A956))</f>
        <v/>
      </c>
      <c r="M956" s="6" t="str">
        <f>IF($A956="","",IF(COUNTIF('Base Exámenes'!$C$5:$C$1000, A956)&gt;0, "", TRIM('Base Oficial'!H956)))</f>
        <v/>
      </c>
    </row>
    <row r="957">
      <c r="A957" s="4" t="str">
        <f>IF('Base Oficial'!A957="","",TRIM('Base Oficial'!A957))</f>
        <v/>
      </c>
      <c r="B957" s="6" t="str">
        <f>IF($A957="","",TRIM('Base Oficial'!B957))</f>
        <v/>
      </c>
      <c r="C957" s="6" t="str">
        <f>IF($A957="","",TRIM('Base Oficial'!F957))</f>
        <v/>
      </c>
      <c r="D957" s="6" t="str">
        <f>IF($A957="","",TRIM('Base Oficial'!G957))</f>
        <v/>
      </c>
      <c r="E957" s="6" t="str">
        <f>IF($A957="","",TRIM('Base Oficial'!D957))</f>
        <v/>
      </c>
      <c r="F957" s="4" t="str">
        <f>IF($A957="","",IF(COUNTIF('Base Exámenes'!$C$5:$C$1000, A957)&gt;0, "Completado", IF(M957&lt;&gt;"", M957, "Pendiente")))</f>
        <v/>
      </c>
      <c r="G957" s="11" t="str">
        <f>IF(F957="Completado", IFERROR(IF(INDEX('Base Exámenes'!$D$5:$D$1000, MATCH(A957&amp;"|"&amp;J957, 'Base Exámenes'!$I$5:$I$1000, 0))="", "", INDEX('Base Exámenes'!$D$5:$D$1000, MATCH(A957&amp;"|"&amp;J957, 'Base Exámenes'!$I$5:$I$1000, 0))), ""), "")</f>
        <v/>
      </c>
      <c r="H957" s="11" t="str">
        <f>IF(F957="Completado", IFERROR(IF(INDEX('Base Exámenes'!$E$5:$E$1000, MATCH(A957&amp;"|"&amp;J957, 'Base Exámenes'!$I$5:$I$1000, 0))="", "", INDEX('Base Exámenes'!$E$5:$E$1000, MATCH(A957&amp;"|"&amp;J957, 'Base Exámenes'!$I$5:$I$1000, 0))), ""), "")</f>
        <v/>
      </c>
      <c r="I957" s="10" t="str">
        <f>IF(F957="Completado", IFERROR(IF(INDEX('Base Exámenes'!$F$5:$F$1000, MATCH(A957&amp;"|"&amp;J957, 'Base Exámenes'!$I$5:$I$1000, 0))="", "", INDEX('Base Exámenes'!$F$5:$F$1000, MATCH(A957&amp;"|"&amp;J957, 'Base Exámenes'!$I$5:$I$1000, 0))), ""), "")</f>
        <v/>
      </c>
      <c r="J957" s="6" t="str">
        <f>IF(F957="Completado", IF(COUNTIFS('Base Exámenes'!$C$5:$C$1000, A957, 'Base Exámenes'!$G$5:$G$1000, "&lt;&gt;")=0, "", _xlfn.MAXIFS('Base Exámenes'!$G$5:$G$1000, 'Base Exámenes'!$C$5:$C$1000, A957)), "")</f>
        <v/>
      </c>
      <c r="K957" s="6" t="str">
        <f>IF(F957="Completado", IFERROR(IF(INDEX('Base Exámenes'!$H$5:$H$1000, MATCH(A957&amp;"|"&amp;J957, 'Base Exámenes'!$I$5:$I$1000, 0))="", "", INDEX('Base Exámenes'!$H$5:$H$1000, MATCH(A957&amp;"|"&amp;J957, 'Base Exámenes'!$I$5:$I$1000, 0))), ""), "")</f>
        <v/>
      </c>
      <c r="L957" s="22" t="str">
        <f>IF($A957="","",COUNTIF('Base Exámenes'!$C$5:$C$1000, A957))</f>
        <v/>
      </c>
      <c r="M957" s="6" t="str">
        <f>IF($A957="","",IF(COUNTIF('Base Exámenes'!$C$5:$C$1000, A957)&gt;0, "", TRIM('Base Oficial'!H957)))</f>
        <v/>
      </c>
    </row>
    <row r="958">
      <c r="A958" s="4" t="str">
        <f>IF('Base Oficial'!A958="","",TRIM('Base Oficial'!A958))</f>
        <v/>
      </c>
      <c r="B958" s="6" t="str">
        <f>IF($A958="","",TRIM('Base Oficial'!B958))</f>
        <v/>
      </c>
      <c r="C958" s="6" t="str">
        <f>IF($A958="","",TRIM('Base Oficial'!F958))</f>
        <v/>
      </c>
      <c r="D958" s="6" t="str">
        <f>IF($A958="","",TRIM('Base Oficial'!G958))</f>
        <v/>
      </c>
      <c r="E958" s="6" t="str">
        <f>IF($A958="","",TRIM('Base Oficial'!D958))</f>
        <v/>
      </c>
      <c r="F958" s="4" t="str">
        <f>IF($A958="","",IF(COUNTIF('Base Exámenes'!$C$5:$C$1000, A958)&gt;0, "Completado", IF(M958&lt;&gt;"", M958, "Pendiente")))</f>
        <v/>
      </c>
      <c r="G958" s="11" t="str">
        <f>IF(F958="Completado", IFERROR(IF(INDEX('Base Exámenes'!$D$5:$D$1000, MATCH(A958&amp;"|"&amp;J958, 'Base Exámenes'!$I$5:$I$1000, 0))="", "", INDEX('Base Exámenes'!$D$5:$D$1000, MATCH(A958&amp;"|"&amp;J958, 'Base Exámenes'!$I$5:$I$1000, 0))), ""), "")</f>
        <v/>
      </c>
      <c r="H958" s="11" t="str">
        <f>IF(F958="Completado", IFERROR(IF(INDEX('Base Exámenes'!$E$5:$E$1000, MATCH(A958&amp;"|"&amp;J958, 'Base Exámenes'!$I$5:$I$1000, 0))="", "", INDEX('Base Exámenes'!$E$5:$E$1000, MATCH(A958&amp;"|"&amp;J958, 'Base Exámenes'!$I$5:$I$1000, 0))), ""), "")</f>
        <v/>
      </c>
      <c r="I958" s="10" t="str">
        <f>IF(F958="Completado", IFERROR(IF(INDEX('Base Exámenes'!$F$5:$F$1000, MATCH(A958&amp;"|"&amp;J958, 'Base Exámenes'!$I$5:$I$1000, 0))="", "", INDEX('Base Exámenes'!$F$5:$F$1000, MATCH(A958&amp;"|"&amp;J958, 'Base Exámenes'!$I$5:$I$1000, 0))), ""), "")</f>
        <v/>
      </c>
      <c r="J958" s="6" t="str">
        <f>IF(F958="Completado", IF(COUNTIFS('Base Exámenes'!$C$5:$C$1000, A958, 'Base Exámenes'!$G$5:$G$1000, "&lt;&gt;")=0, "", _xlfn.MAXIFS('Base Exámenes'!$G$5:$G$1000, 'Base Exámenes'!$C$5:$C$1000, A958)), "")</f>
        <v/>
      </c>
      <c r="K958" s="6" t="str">
        <f>IF(F958="Completado", IFERROR(IF(INDEX('Base Exámenes'!$H$5:$H$1000, MATCH(A958&amp;"|"&amp;J958, 'Base Exámenes'!$I$5:$I$1000, 0))="", "", INDEX('Base Exámenes'!$H$5:$H$1000, MATCH(A958&amp;"|"&amp;J958, 'Base Exámenes'!$I$5:$I$1000, 0))), ""), "")</f>
        <v/>
      </c>
      <c r="L958" s="22" t="str">
        <f>IF($A958="","",COUNTIF('Base Exámenes'!$C$5:$C$1000, A958))</f>
        <v/>
      </c>
      <c r="M958" s="6" t="str">
        <f>IF($A958="","",IF(COUNTIF('Base Exámenes'!$C$5:$C$1000, A958)&gt;0, "", TRIM('Base Oficial'!H958)))</f>
        <v/>
      </c>
    </row>
    <row r="959">
      <c r="A959" s="4" t="str">
        <f>IF('Base Oficial'!A959="","",TRIM('Base Oficial'!A959))</f>
        <v/>
      </c>
      <c r="B959" s="6" t="str">
        <f>IF($A959="","",TRIM('Base Oficial'!B959))</f>
        <v/>
      </c>
      <c r="C959" s="6" t="str">
        <f>IF($A959="","",TRIM('Base Oficial'!F959))</f>
        <v/>
      </c>
      <c r="D959" s="6" t="str">
        <f>IF($A959="","",TRIM('Base Oficial'!G959))</f>
        <v/>
      </c>
      <c r="E959" s="6" t="str">
        <f>IF($A959="","",TRIM('Base Oficial'!D959))</f>
        <v/>
      </c>
      <c r="F959" s="4" t="str">
        <f>IF($A959="","",IF(COUNTIF('Base Exámenes'!$C$5:$C$1000, A959)&gt;0, "Completado", IF(M959&lt;&gt;"", M959, "Pendiente")))</f>
        <v/>
      </c>
      <c r="G959" s="11" t="str">
        <f>IF(F959="Completado", IFERROR(IF(INDEX('Base Exámenes'!$D$5:$D$1000, MATCH(A959&amp;"|"&amp;J959, 'Base Exámenes'!$I$5:$I$1000, 0))="", "", INDEX('Base Exámenes'!$D$5:$D$1000, MATCH(A959&amp;"|"&amp;J959, 'Base Exámenes'!$I$5:$I$1000, 0))), ""), "")</f>
        <v/>
      </c>
      <c r="H959" s="11" t="str">
        <f>IF(F959="Completado", IFERROR(IF(INDEX('Base Exámenes'!$E$5:$E$1000, MATCH(A959&amp;"|"&amp;J959, 'Base Exámenes'!$I$5:$I$1000, 0))="", "", INDEX('Base Exámenes'!$E$5:$E$1000, MATCH(A959&amp;"|"&amp;J959, 'Base Exámenes'!$I$5:$I$1000, 0))), ""), "")</f>
        <v/>
      </c>
      <c r="I959" s="10" t="str">
        <f>IF(F959="Completado", IFERROR(IF(INDEX('Base Exámenes'!$F$5:$F$1000, MATCH(A959&amp;"|"&amp;J959, 'Base Exámenes'!$I$5:$I$1000, 0))="", "", INDEX('Base Exámenes'!$F$5:$F$1000, MATCH(A959&amp;"|"&amp;J959, 'Base Exámenes'!$I$5:$I$1000, 0))), ""), "")</f>
        <v/>
      </c>
      <c r="J959" s="6" t="str">
        <f>IF(F959="Completado", IF(COUNTIFS('Base Exámenes'!$C$5:$C$1000, A959, 'Base Exámenes'!$G$5:$G$1000, "&lt;&gt;")=0, "", _xlfn.MAXIFS('Base Exámenes'!$G$5:$G$1000, 'Base Exámenes'!$C$5:$C$1000, A959)), "")</f>
        <v/>
      </c>
      <c r="K959" s="6" t="str">
        <f>IF(F959="Completado", IFERROR(IF(INDEX('Base Exámenes'!$H$5:$H$1000, MATCH(A959&amp;"|"&amp;J959, 'Base Exámenes'!$I$5:$I$1000, 0))="", "", INDEX('Base Exámenes'!$H$5:$H$1000, MATCH(A959&amp;"|"&amp;J959, 'Base Exámenes'!$I$5:$I$1000, 0))), ""), "")</f>
        <v/>
      </c>
      <c r="L959" s="22" t="str">
        <f>IF($A959="","",COUNTIF('Base Exámenes'!$C$5:$C$1000, A959))</f>
        <v/>
      </c>
      <c r="M959" s="6" t="str">
        <f>IF($A959="","",IF(COUNTIF('Base Exámenes'!$C$5:$C$1000, A959)&gt;0, "", TRIM('Base Oficial'!H959)))</f>
        <v/>
      </c>
    </row>
    <row r="960">
      <c r="A960" s="4" t="str">
        <f>IF('Base Oficial'!A960="","",TRIM('Base Oficial'!A960))</f>
        <v/>
      </c>
      <c r="B960" s="6" t="str">
        <f>IF($A960="","",TRIM('Base Oficial'!B960))</f>
        <v/>
      </c>
      <c r="C960" s="6" t="str">
        <f>IF($A960="","",TRIM('Base Oficial'!F960))</f>
        <v/>
      </c>
      <c r="D960" s="6" t="str">
        <f>IF($A960="","",TRIM('Base Oficial'!G960))</f>
        <v/>
      </c>
      <c r="E960" s="6" t="str">
        <f>IF($A960="","",TRIM('Base Oficial'!D960))</f>
        <v/>
      </c>
      <c r="F960" s="4" t="str">
        <f>IF($A960="","",IF(COUNTIF('Base Exámenes'!$C$5:$C$1000, A960)&gt;0, "Completado", IF(M960&lt;&gt;"", M960, "Pendiente")))</f>
        <v/>
      </c>
      <c r="G960" s="11" t="str">
        <f>IF(F960="Completado", IFERROR(IF(INDEX('Base Exámenes'!$D$5:$D$1000, MATCH(A960&amp;"|"&amp;J960, 'Base Exámenes'!$I$5:$I$1000, 0))="", "", INDEX('Base Exámenes'!$D$5:$D$1000, MATCH(A960&amp;"|"&amp;J960, 'Base Exámenes'!$I$5:$I$1000, 0))), ""), "")</f>
        <v/>
      </c>
      <c r="H960" s="11" t="str">
        <f>IF(F960="Completado", IFERROR(IF(INDEX('Base Exámenes'!$E$5:$E$1000, MATCH(A960&amp;"|"&amp;J960, 'Base Exámenes'!$I$5:$I$1000, 0))="", "", INDEX('Base Exámenes'!$E$5:$E$1000, MATCH(A960&amp;"|"&amp;J960, 'Base Exámenes'!$I$5:$I$1000, 0))), ""), "")</f>
        <v/>
      </c>
      <c r="I960" s="10" t="str">
        <f>IF(F960="Completado", IFERROR(IF(INDEX('Base Exámenes'!$F$5:$F$1000, MATCH(A960&amp;"|"&amp;J960, 'Base Exámenes'!$I$5:$I$1000, 0))="", "", INDEX('Base Exámenes'!$F$5:$F$1000, MATCH(A960&amp;"|"&amp;J960, 'Base Exámenes'!$I$5:$I$1000, 0))), ""), "")</f>
        <v/>
      </c>
      <c r="J960" s="6" t="str">
        <f>IF(F960="Completado", IF(COUNTIFS('Base Exámenes'!$C$5:$C$1000, A960, 'Base Exámenes'!$G$5:$G$1000, "&lt;&gt;")=0, "", _xlfn.MAXIFS('Base Exámenes'!$G$5:$G$1000, 'Base Exámenes'!$C$5:$C$1000, A960)), "")</f>
        <v/>
      </c>
      <c r="K960" s="6" t="str">
        <f>IF(F960="Completado", IFERROR(IF(INDEX('Base Exámenes'!$H$5:$H$1000, MATCH(A960&amp;"|"&amp;J960, 'Base Exámenes'!$I$5:$I$1000, 0))="", "", INDEX('Base Exámenes'!$H$5:$H$1000, MATCH(A960&amp;"|"&amp;J960, 'Base Exámenes'!$I$5:$I$1000, 0))), ""), "")</f>
        <v/>
      </c>
      <c r="L960" s="22" t="str">
        <f>IF($A960="","",COUNTIF('Base Exámenes'!$C$5:$C$1000, A960))</f>
        <v/>
      </c>
      <c r="M960" s="6" t="str">
        <f>IF($A960="","",IF(COUNTIF('Base Exámenes'!$C$5:$C$1000, A960)&gt;0, "", TRIM('Base Oficial'!H960)))</f>
        <v/>
      </c>
    </row>
    <row r="961">
      <c r="A961" s="4" t="str">
        <f>IF('Base Oficial'!A961="","",TRIM('Base Oficial'!A961))</f>
        <v/>
      </c>
      <c r="B961" s="6" t="str">
        <f>IF($A961="","",TRIM('Base Oficial'!B961))</f>
        <v/>
      </c>
      <c r="C961" s="6" t="str">
        <f>IF($A961="","",TRIM('Base Oficial'!F961))</f>
        <v/>
      </c>
      <c r="D961" s="6" t="str">
        <f>IF($A961="","",TRIM('Base Oficial'!G961))</f>
        <v/>
      </c>
      <c r="E961" s="6" t="str">
        <f>IF($A961="","",TRIM('Base Oficial'!D961))</f>
        <v/>
      </c>
      <c r="F961" s="4" t="str">
        <f>IF($A961="","",IF(COUNTIF('Base Exámenes'!$C$5:$C$1000, A961)&gt;0, "Completado", IF(M961&lt;&gt;"", M961, "Pendiente")))</f>
        <v/>
      </c>
      <c r="G961" s="11" t="str">
        <f>IF(F961="Completado", IFERROR(IF(INDEX('Base Exámenes'!$D$5:$D$1000, MATCH(A961&amp;"|"&amp;J961, 'Base Exámenes'!$I$5:$I$1000, 0))="", "", INDEX('Base Exámenes'!$D$5:$D$1000, MATCH(A961&amp;"|"&amp;J961, 'Base Exámenes'!$I$5:$I$1000, 0))), ""), "")</f>
        <v/>
      </c>
      <c r="H961" s="11" t="str">
        <f>IF(F961="Completado", IFERROR(IF(INDEX('Base Exámenes'!$E$5:$E$1000, MATCH(A961&amp;"|"&amp;J961, 'Base Exámenes'!$I$5:$I$1000, 0))="", "", INDEX('Base Exámenes'!$E$5:$E$1000, MATCH(A961&amp;"|"&amp;J961, 'Base Exámenes'!$I$5:$I$1000, 0))), ""), "")</f>
        <v/>
      </c>
      <c r="I961" s="10" t="str">
        <f>IF(F961="Completado", IFERROR(IF(INDEX('Base Exámenes'!$F$5:$F$1000, MATCH(A961&amp;"|"&amp;J961, 'Base Exámenes'!$I$5:$I$1000, 0))="", "", INDEX('Base Exámenes'!$F$5:$F$1000, MATCH(A961&amp;"|"&amp;J961, 'Base Exámenes'!$I$5:$I$1000, 0))), ""), "")</f>
        <v/>
      </c>
      <c r="J961" s="6" t="str">
        <f>IF(F961="Completado", IF(COUNTIFS('Base Exámenes'!$C$5:$C$1000, A961, 'Base Exámenes'!$G$5:$G$1000, "&lt;&gt;")=0, "", _xlfn.MAXIFS('Base Exámenes'!$G$5:$G$1000, 'Base Exámenes'!$C$5:$C$1000, A961)), "")</f>
        <v/>
      </c>
      <c r="K961" s="6" t="str">
        <f>IF(F961="Completado", IFERROR(IF(INDEX('Base Exámenes'!$H$5:$H$1000, MATCH(A961&amp;"|"&amp;J961, 'Base Exámenes'!$I$5:$I$1000, 0))="", "", INDEX('Base Exámenes'!$H$5:$H$1000, MATCH(A961&amp;"|"&amp;J961, 'Base Exámenes'!$I$5:$I$1000, 0))), ""), "")</f>
        <v/>
      </c>
      <c r="L961" s="22" t="str">
        <f>IF($A961="","",COUNTIF('Base Exámenes'!$C$5:$C$1000, A961))</f>
        <v/>
      </c>
      <c r="M961" s="6" t="str">
        <f>IF($A961="","",IF(COUNTIF('Base Exámenes'!$C$5:$C$1000, A961)&gt;0, "", TRIM('Base Oficial'!H961)))</f>
        <v/>
      </c>
    </row>
    <row r="962">
      <c r="A962" s="4" t="str">
        <f>IF('Base Oficial'!A962="","",TRIM('Base Oficial'!A962))</f>
        <v/>
      </c>
      <c r="B962" s="6" t="str">
        <f>IF($A962="","",TRIM('Base Oficial'!B962))</f>
        <v/>
      </c>
      <c r="C962" s="6" t="str">
        <f>IF($A962="","",TRIM('Base Oficial'!F962))</f>
        <v/>
      </c>
      <c r="D962" s="6" t="str">
        <f>IF($A962="","",TRIM('Base Oficial'!G962))</f>
        <v/>
      </c>
      <c r="E962" s="6" t="str">
        <f>IF($A962="","",TRIM('Base Oficial'!D962))</f>
        <v/>
      </c>
      <c r="F962" s="4" t="str">
        <f>IF($A962="","",IF(COUNTIF('Base Exámenes'!$C$5:$C$1000, A962)&gt;0, "Completado", IF(M962&lt;&gt;"", M962, "Pendiente")))</f>
        <v/>
      </c>
      <c r="G962" s="11" t="str">
        <f>IF(F962="Completado", IFERROR(IF(INDEX('Base Exámenes'!$D$5:$D$1000, MATCH(A962&amp;"|"&amp;J962, 'Base Exámenes'!$I$5:$I$1000, 0))="", "", INDEX('Base Exámenes'!$D$5:$D$1000, MATCH(A962&amp;"|"&amp;J962, 'Base Exámenes'!$I$5:$I$1000, 0))), ""), "")</f>
        <v/>
      </c>
      <c r="H962" s="11" t="str">
        <f>IF(F962="Completado", IFERROR(IF(INDEX('Base Exámenes'!$E$5:$E$1000, MATCH(A962&amp;"|"&amp;J962, 'Base Exámenes'!$I$5:$I$1000, 0))="", "", INDEX('Base Exámenes'!$E$5:$E$1000, MATCH(A962&amp;"|"&amp;J962, 'Base Exámenes'!$I$5:$I$1000, 0))), ""), "")</f>
        <v/>
      </c>
      <c r="I962" s="10" t="str">
        <f>IF(F962="Completado", IFERROR(IF(INDEX('Base Exámenes'!$F$5:$F$1000, MATCH(A962&amp;"|"&amp;J962, 'Base Exámenes'!$I$5:$I$1000, 0))="", "", INDEX('Base Exámenes'!$F$5:$F$1000, MATCH(A962&amp;"|"&amp;J962, 'Base Exámenes'!$I$5:$I$1000, 0))), ""), "")</f>
        <v/>
      </c>
      <c r="J962" s="6" t="str">
        <f>IF(F962="Completado", IF(COUNTIFS('Base Exámenes'!$C$5:$C$1000, A962, 'Base Exámenes'!$G$5:$G$1000, "&lt;&gt;")=0, "", _xlfn.MAXIFS('Base Exámenes'!$G$5:$G$1000, 'Base Exámenes'!$C$5:$C$1000, A962)), "")</f>
        <v/>
      </c>
      <c r="K962" s="6" t="str">
        <f>IF(F962="Completado", IFERROR(IF(INDEX('Base Exámenes'!$H$5:$H$1000, MATCH(A962&amp;"|"&amp;J962, 'Base Exámenes'!$I$5:$I$1000, 0))="", "", INDEX('Base Exámenes'!$H$5:$H$1000, MATCH(A962&amp;"|"&amp;J962, 'Base Exámenes'!$I$5:$I$1000, 0))), ""), "")</f>
        <v/>
      </c>
      <c r="L962" s="22" t="str">
        <f>IF($A962="","",COUNTIF('Base Exámenes'!$C$5:$C$1000, A962))</f>
        <v/>
      </c>
      <c r="M962" s="6" t="str">
        <f>IF($A962="","",IF(COUNTIF('Base Exámenes'!$C$5:$C$1000, A962)&gt;0, "", TRIM('Base Oficial'!H962)))</f>
        <v/>
      </c>
    </row>
    <row r="963">
      <c r="A963" s="4" t="str">
        <f>IF('Base Oficial'!A963="","",TRIM('Base Oficial'!A963))</f>
        <v/>
      </c>
      <c r="B963" s="6" t="str">
        <f>IF($A963="","",TRIM('Base Oficial'!B963))</f>
        <v/>
      </c>
      <c r="C963" s="6" t="str">
        <f>IF($A963="","",TRIM('Base Oficial'!F963))</f>
        <v/>
      </c>
      <c r="D963" s="6" t="str">
        <f>IF($A963="","",TRIM('Base Oficial'!G963))</f>
        <v/>
      </c>
      <c r="E963" s="6" t="str">
        <f>IF($A963="","",TRIM('Base Oficial'!D963))</f>
        <v/>
      </c>
      <c r="F963" s="4" t="str">
        <f>IF($A963="","",IF(COUNTIF('Base Exámenes'!$C$5:$C$1000, A963)&gt;0, "Completado", IF(M963&lt;&gt;"", M963, "Pendiente")))</f>
        <v/>
      </c>
      <c r="G963" s="11" t="str">
        <f>IF(F963="Completado", IFERROR(IF(INDEX('Base Exámenes'!$D$5:$D$1000, MATCH(A963&amp;"|"&amp;J963, 'Base Exámenes'!$I$5:$I$1000, 0))="", "", INDEX('Base Exámenes'!$D$5:$D$1000, MATCH(A963&amp;"|"&amp;J963, 'Base Exámenes'!$I$5:$I$1000, 0))), ""), "")</f>
        <v/>
      </c>
      <c r="H963" s="11" t="str">
        <f>IF(F963="Completado", IFERROR(IF(INDEX('Base Exámenes'!$E$5:$E$1000, MATCH(A963&amp;"|"&amp;J963, 'Base Exámenes'!$I$5:$I$1000, 0))="", "", INDEX('Base Exámenes'!$E$5:$E$1000, MATCH(A963&amp;"|"&amp;J963, 'Base Exámenes'!$I$5:$I$1000, 0))), ""), "")</f>
        <v/>
      </c>
      <c r="I963" s="10" t="str">
        <f>IF(F963="Completado", IFERROR(IF(INDEX('Base Exámenes'!$F$5:$F$1000, MATCH(A963&amp;"|"&amp;J963, 'Base Exámenes'!$I$5:$I$1000, 0))="", "", INDEX('Base Exámenes'!$F$5:$F$1000, MATCH(A963&amp;"|"&amp;J963, 'Base Exámenes'!$I$5:$I$1000, 0))), ""), "")</f>
        <v/>
      </c>
      <c r="J963" s="6" t="str">
        <f>IF(F963="Completado", IF(COUNTIFS('Base Exámenes'!$C$5:$C$1000, A963, 'Base Exámenes'!$G$5:$G$1000, "&lt;&gt;")=0, "", _xlfn.MAXIFS('Base Exámenes'!$G$5:$G$1000, 'Base Exámenes'!$C$5:$C$1000, A963)), "")</f>
        <v/>
      </c>
      <c r="K963" s="6" t="str">
        <f>IF(F963="Completado", IFERROR(IF(INDEX('Base Exámenes'!$H$5:$H$1000, MATCH(A963&amp;"|"&amp;J963, 'Base Exámenes'!$I$5:$I$1000, 0))="", "", INDEX('Base Exámenes'!$H$5:$H$1000, MATCH(A963&amp;"|"&amp;J963, 'Base Exámenes'!$I$5:$I$1000, 0))), ""), "")</f>
        <v/>
      </c>
      <c r="L963" s="22" t="str">
        <f>IF($A963="","",COUNTIF('Base Exámenes'!$C$5:$C$1000, A963))</f>
        <v/>
      </c>
      <c r="M963" s="6" t="str">
        <f>IF($A963="","",IF(COUNTIF('Base Exámenes'!$C$5:$C$1000, A963)&gt;0, "", TRIM('Base Oficial'!H963)))</f>
        <v/>
      </c>
    </row>
    <row r="964">
      <c r="A964" s="4" t="str">
        <f>IF('Base Oficial'!A964="","",TRIM('Base Oficial'!A964))</f>
        <v/>
      </c>
      <c r="B964" s="6" t="str">
        <f>IF($A964="","",TRIM('Base Oficial'!B964))</f>
        <v/>
      </c>
      <c r="C964" s="6" t="str">
        <f>IF($A964="","",TRIM('Base Oficial'!F964))</f>
        <v/>
      </c>
      <c r="D964" s="6" t="str">
        <f>IF($A964="","",TRIM('Base Oficial'!G964))</f>
        <v/>
      </c>
      <c r="E964" s="6" t="str">
        <f>IF($A964="","",TRIM('Base Oficial'!D964))</f>
        <v/>
      </c>
      <c r="F964" s="4" t="str">
        <f>IF($A964="","",IF(COUNTIF('Base Exámenes'!$C$5:$C$1000, A964)&gt;0, "Completado", IF(M964&lt;&gt;"", M964, "Pendiente")))</f>
        <v/>
      </c>
      <c r="G964" s="11" t="str">
        <f>IF(F964="Completado", IFERROR(IF(INDEX('Base Exámenes'!$D$5:$D$1000, MATCH(A964&amp;"|"&amp;J964, 'Base Exámenes'!$I$5:$I$1000, 0))="", "", INDEX('Base Exámenes'!$D$5:$D$1000, MATCH(A964&amp;"|"&amp;J964, 'Base Exámenes'!$I$5:$I$1000, 0))), ""), "")</f>
        <v/>
      </c>
      <c r="H964" s="11" t="str">
        <f>IF(F964="Completado", IFERROR(IF(INDEX('Base Exámenes'!$E$5:$E$1000, MATCH(A964&amp;"|"&amp;J964, 'Base Exámenes'!$I$5:$I$1000, 0))="", "", INDEX('Base Exámenes'!$E$5:$E$1000, MATCH(A964&amp;"|"&amp;J964, 'Base Exámenes'!$I$5:$I$1000, 0))), ""), "")</f>
        <v/>
      </c>
      <c r="I964" s="10" t="str">
        <f>IF(F964="Completado", IFERROR(IF(INDEX('Base Exámenes'!$F$5:$F$1000, MATCH(A964&amp;"|"&amp;J964, 'Base Exámenes'!$I$5:$I$1000, 0))="", "", INDEX('Base Exámenes'!$F$5:$F$1000, MATCH(A964&amp;"|"&amp;J964, 'Base Exámenes'!$I$5:$I$1000, 0))), ""), "")</f>
        <v/>
      </c>
      <c r="J964" s="6" t="str">
        <f>IF(F964="Completado", IF(COUNTIFS('Base Exámenes'!$C$5:$C$1000, A964, 'Base Exámenes'!$G$5:$G$1000, "&lt;&gt;")=0, "", _xlfn.MAXIFS('Base Exámenes'!$G$5:$G$1000, 'Base Exámenes'!$C$5:$C$1000, A964)), "")</f>
        <v/>
      </c>
      <c r="K964" s="6" t="str">
        <f>IF(F964="Completado", IFERROR(IF(INDEX('Base Exámenes'!$H$5:$H$1000, MATCH(A964&amp;"|"&amp;J964, 'Base Exámenes'!$I$5:$I$1000, 0))="", "", INDEX('Base Exámenes'!$H$5:$H$1000, MATCH(A964&amp;"|"&amp;J964, 'Base Exámenes'!$I$5:$I$1000, 0))), ""), "")</f>
        <v/>
      </c>
      <c r="L964" s="22" t="str">
        <f>IF($A964="","",COUNTIF('Base Exámenes'!$C$5:$C$1000, A964))</f>
        <v/>
      </c>
      <c r="M964" s="6" t="str">
        <f>IF($A964="","",IF(COUNTIF('Base Exámenes'!$C$5:$C$1000, A964)&gt;0, "", TRIM('Base Oficial'!H964)))</f>
        <v/>
      </c>
    </row>
    <row r="965">
      <c r="A965" s="4" t="str">
        <f>IF('Base Oficial'!A965="","",TRIM('Base Oficial'!A965))</f>
        <v/>
      </c>
      <c r="B965" s="6" t="str">
        <f>IF($A965="","",TRIM('Base Oficial'!B965))</f>
        <v/>
      </c>
      <c r="C965" s="6" t="str">
        <f>IF($A965="","",TRIM('Base Oficial'!F965))</f>
        <v/>
      </c>
      <c r="D965" s="6" t="str">
        <f>IF($A965="","",TRIM('Base Oficial'!G965))</f>
        <v/>
      </c>
      <c r="E965" s="6" t="str">
        <f>IF($A965="","",TRIM('Base Oficial'!D965))</f>
        <v/>
      </c>
      <c r="F965" s="4" t="str">
        <f>IF($A965="","",IF(COUNTIF('Base Exámenes'!$C$5:$C$1000, A965)&gt;0, "Completado", IF(M965&lt;&gt;"", M965, "Pendiente")))</f>
        <v/>
      </c>
      <c r="G965" s="11" t="str">
        <f>IF(F965="Completado", IFERROR(IF(INDEX('Base Exámenes'!$D$5:$D$1000, MATCH(A965&amp;"|"&amp;J965, 'Base Exámenes'!$I$5:$I$1000, 0))="", "", INDEX('Base Exámenes'!$D$5:$D$1000, MATCH(A965&amp;"|"&amp;J965, 'Base Exámenes'!$I$5:$I$1000, 0))), ""), "")</f>
        <v/>
      </c>
      <c r="H965" s="11" t="str">
        <f>IF(F965="Completado", IFERROR(IF(INDEX('Base Exámenes'!$E$5:$E$1000, MATCH(A965&amp;"|"&amp;J965, 'Base Exámenes'!$I$5:$I$1000, 0))="", "", INDEX('Base Exámenes'!$E$5:$E$1000, MATCH(A965&amp;"|"&amp;J965, 'Base Exámenes'!$I$5:$I$1000, 0))), ""), "")</f>
        <v/>
      </c>
      <c r="I965" s="10" t="str">
        <f>IF(F965="Completado", IFERROR(IF(INDEX('Base Exámenes'!$F$5:$F$1000, MATCH(A965&amp;"|"&amp;J965, 'Base Exámenes'!$I$5:$I$1000, 0))="", "", INDEX('Base Exámenes'!$F$5:$F$1000, MATCH(A965&amp;"|"&amp;J965, 'Base Exámenes'!$I$5:$I$1000, 0))), ""), "")</f>
        <v/>
      </c>
      <c r="J965" s="6" t="str">
        <f>IF(F965="Completado", IF(COUNTIFS('Base Exámenes'!$C$5:$C$1000, A965, 'Base Exámenes'!$G$5:$G$1000, "&lt;&gt;")=0, "", _xlfn.MAXIFS('Base Exámenes'!$G$5:$G$1000, 'Base Exámenes'!$C$5:$C$1000, A965)), "")</f>
        <v/>
      </c>
      <c r="K965" s="6" t="str">
        <f>IF(F965="Completado", IFERROR(IF(INDEX('Base Exámenes'!$H$5:$H$1000, MATCH(A965&amp;"|"&amp;J965, 'Base Exámenes'!$I$5:$I$1000, 0))="", "", INDEX('Base Exámenes'!$H$5:$H$1000, MATCH(A965&amp;"|"&amp;J965, 'Base Exámenes'!$I$5:$I$1000, 0))), ""), "")</f>
        <v/>
      </c>
      <c r="L965" s="22" t="str">
        <f>IF($A965="","",COUNTIF('Base Exámenes'!$C$5:$C$1000, A965))</f>
        <v/>
      </c>
      <c r="M965" s="6" t="str">
        <f>IF($A965="","",IF(COUNTIF('Base Exámenes'!$C$5:$C$1000, A965)&gt;0, "", TRIM('Base Oficial'!H965)))</f>
        <v/>
      </c>
    </row>
    <row r="966">
      <c r="A966" s="4" t="str">
        <f>IF('Base Oficial'!A966="","",TRIM('Base Oficial'!A966))</f>
        <v/>
      </c>
      <c r="B966" s="6" t="str">
        <f>IF($A966="","",TRIM('Base Oficial'!B966))</f>
        <v/>
      </c>
      <c r="C966" s="6" t="str">
        <f>IF($A966="","",TRIM('Base Oficial'!F966))</f>
        <v/>
      </c>
      <c r="D966" s="6" t="str">
        <f>IF($A966="","",TRIM('Base Oficial'!G966))</f>
        <v/>
      </c>
      <c r="E966" s="6" t="str">
        <f>IF($A966="","",TRIM('Base Oficial'!D966))</f>
        <v/>
      </c>
      <c r="F966" s="4" t="str">
        <f>IF($A966="","",IF(COUNTIF('Base Exámenes'!$C$5:$C$1000, A966)&gt;0, "Completado", IF(M966&lt;&gt;"", M966, "Pendiente")))</f>
        <v/>
      </c>
      <c r="G966" s="11" t="str">
        <f>IF(F966="Completado", IFERROR(IF(INDEX('Base Exámenes'!$D$5:$D$1000, MATCH(A966&amp;"|"&amp;J966, 'Base Exámenes'!$I$5:$I$1000, 0))="", "", INDEX('Base Exámenes'!$D$5:$D$1000, MATCH(A966&amp;"|"&amp;J966, 'Base Exámenes'!$I$5:$I$1000, 0))), ""), "")</f>
        <v/>
      </c>
      <c r="H966" s="11" t="str">
        <f>IF(F966="Completado", IFERROR(IF(INDEX('Base Exámenes'!$E$5:$E$1000, MATCH(A966&amp;"|"&amp;J966, 'Base Exámenes'!$I$5:$I$1000, 0))="", "", INDEX('Base Exámenes'!$E$5:$E$1000, MATCH(A966&amp;"|"&amp;J966, 'Base Exámenes'!$I$5:$I$1000, 0))), ""), "")</f>
        <v/>
      </c>
      <c r="I966" s="10" t="str">
        <f>IF(F966="Completado", IFERROR(IF(INDEX('Base Exámenes'!$F$5:$F$1000, MATCH(A966&amp;"|"&amp;J966, 'Base Exámenes'!$I$5:$I$1000, 0))="", "", INDEX('Base Exámenes'!$F$5:$F$1000, MATCH(A966&amp;"|"&amp;J966, 'Base Exámenes'!$I$5:$I$1000, 0))), ""), "")</f>
        <v/>
      </c>
      <c r="J966" s="6" t="str">
        <f>IF(F966="Completado", IF(COUNTIFS('Base Exámenes'!$C$5:$C$1000, A966, 'Base Exámenes'!$G$5:$G$1000, "&lt;&gt;")=0, "", _xlfn.MAXIFS('Base Exámenes'!$G$5:$G$1000, 'Base Exámenes'!$C$5:$C$1000, A966)), "")</f>
        <v/>
      </c>
      <c r="K966" s="6" t="str">
        <f>IF(F966="Completado", IFERROR(IF(INDEX('Base Exámenes'!$H$5:$H$1000, MATCH(A966&amp;"|"&amp;J966, 'Base Exámenes'!$I$5:$I$1000, 0))="", "", INDEX('Base Exámenes'!$H$5:$H$1000, MATCH(A966&amp;"|"&amp;J966, 'Base Exámenes'!$I$5:$I$1000, 0))), ""), "")</f>
        <v/>
      </c>
      <c r="L966" s="22" t="str">
        <f>IF($A966="","",COUNTIF('Base Exámenes'!$C$5:$C$1000, A966))</f>
        <v/>
      </c>
      <c r="M966" s="6" t="str">
        <f>IF($A966="","",IF(COUNTIF('Base Exámenes'!$C$5:$C$1000, A966)&gt;0, "", TRIM('Base Oficial'!H966)))</f>
        <v/>
      </c>
    </row>
    <row r="967">
      <c r="A967" s="4" t="str">
        <f>IF('Base Oficial'!A967="","",TRIM('Base Oficial'!A967))</f>
        <v/>
      </c>
      <c r="B967" s="6" t="str">
        <f>IF($A967="","",TRIM('Base Oficial'!B967))</f>
        <v/>
      </c>
      <c r="C967" s="6" t="str">
        <f>IF($A967="","",TRIM('Base Oficial'!F967))</f>
        <v/>
      </c>
      <c r="D967" s="6" t="str">
        <f>IF($A967="","",TRIM('Base Oficial'!G967))</f>
        <v/>
      </c>
      <c r="E967" s="6" t="str">
        <f>IF($A967="","",TRIM('Base Oficial'!D967))</f>
        <v/>
      </c>
      <c r="F967" s="4" t="str">
        <f>IF($A967="","",IF(COUNTIF('Base Exámenes'!$C$5:$C$1000, A967)&gt;0, "Completado", IF(M967&lt;&gt;"", M967, "Pendiente")))</f>
        <v/>
      </c>
      <c r="G967" s="11" t="str">
        <f>IF(F967="Completado", IFERROR(IF(INDEX('Base Exámenes'!$D$5:$D$1000, MATCH(A967&amp;"|"&amp;J967, 'Base Exámenes'!$I$5:$I$1000, 0))="", "", INDEX('Base Exámenes'!$D$5:$D$1000, MATCH(A967&amp;"|"&amp;J967, 'Base Exámenes'!$I$5:$I$1000, 0))), ""), "")</f>
        <v/>
      </c>
      <c r="H967" s="11" t="str">
        <f>IF(F967="Completado", IFERROR(IF(INDEX('Base Exámenes'!$E$5:$E$1000, MATCH(A967&amp;"|"&amp;J967, 'Base Exámenes'!$I$5:$I$1000, 0))="", "", INDEX('Base Exámenes'!$E$5:$E$1000, MATCH(A967&amp;"|"&amp;J967, 'Base Exámenes'!$I$5:$I$1000, 0))), ""), "")</f>
        <v/>
      </c>
      <c r="I967" s="10" t="str">
        <f>IF(F967="Completado", IFERROR(IF(INDEX('Base Exámenes'!$F$5:$F$1000, MATCH(A967&amp;"|"&amp;J967, 'Base Exámenes'!$I$5:$I$1000, 0))="", "", INDEX('Base Exámenes'!$F$5:$F$1000, MATCH(A967&amp;"|"&amp;J967, 'Base Exámenes'!$I$5:$I$1000, 0))), ""), "")</f>
        <v/>
      </c>
      <c r="J967" s="6" t="str">
        <f>IF(F967="Completado", IF(COUNTIFS('Base Exámenes'!$C$5:$C$1000, A967, 'Base Exámenes'!$G$5:$G$1000, "&lt;&gt;")=0, "", _xlfn.MAXIFS('Base Exámenes'!$G$5:$G$1000, 'Base Exámenes'!$C$5:$C$1000, A967)), "")</f>
        <v/>
      </c>
      <c r="K967" s="6" t="str">
        <f>IF(F967="Completado", IFERROR(IF(INDEX('Base Exámenes'!$H$5:$H$1000, MATCH(A967&amp;"|"&amp;J967, 'Base Exámenes'!$I$5:$I$1000, 0))="", "", INDEX('Base Exámenes'!$H$5:$H$1000, MATCH(A967&amp;"|"&amp;J967, 'Base Exámenes'!$I$5:$I$1000, 0))), ""), "")</f>
        <v/>
      </c>
      <c r="L967" s="22" t="str">
        <f>IF($A967="","",COUNTIF('Base Exámenes'!$C$5:$C$1000, A967))</f>
        <v/>
      </c>
      <c r="M967" s="6" t="str">
        <f>IF($A967="","",IF(COUNTIF('Base Exámenes'!$C$5:$C$1000, A967)&gt;0, "", TRIM('Base Oficial'!H967)))</f>
        <v/>
      </c>
    </row>
    <row r="968">
      <c r="A968" s="4" t="str">
        <f>IF('Base Oficial'!A968="","",TRIM('Base Oficial'!A968))</f>
        <v/>
      </c>
      <c r="B968" s="6" t="str">
        <f>IF($A968="","",TRIM('Base Oficial'!B968))</f>
        <v/>
      </c>
      <c r="C968" s="6" t="str">
        <f>IF($A968="","",TRIM('Base Oficial'!F968))</f>
        <v/>
      </c>
      <c r="D968" s="6" t="str">
        <f>IF($A968="","",TRIM('Base Oficial'!G968))</f>
        <v/>
      </c>
      <c r="E968" s="6" t="str">
        <f>IF($A968="","",TRIM('Base Oficial'!D968))</f>
        <v/>
      </c>
      <c r="F968" s="4" t="str">
        <f>IF($A968="","",IF(COUNTIF('Base Exámenes'!$C$5:$C$1000, A968)&gt;0, "Completado", IF(M968&lt;&gt;"", M968, "Pendiente")))</f>
        <v/>
      </c>
      <c r="G968" s="11" t="str">
        <f>IF(F968="Completado", IFERROR(IF(INDEX('Base Exámenes'!$D$5:$D$1000, MATCH(A968&amp;"|"&amp;J968, 'Base Exámenes'!$I$5:$I$1000, 0))="", "", INDEX('Base Exámenes'!$D$5:$D$1000, MATCH(A968&amp;"|"&amp;J968, 'Base Exámenes'!$I$5:$I$1000, 0))), ""), "")</f>
        <v/>
      </c>
      <c r="H968" s="11" t="str">
        <f>IF(F968="Completado", IFERROR(IF(INDEX('Base Exámenes'!$E$5:$E$1000, MATCH(A968&amp;"|"&amp;J968, 'Base Exámenes'!$I$5:$I$1000, 0))="", "", INDEX('Base Exámenes'!$E$5:$E$1000, MATCH(A968&amp;"|"&amp;J968, 'Base Exámenes'!$I$5:$I$1000, 0))), ""), "")</f>
        <v/>
      </c>
      <c r="I968" s="10" t="str">
        <f>IF(F968="Completado", IFERROR(IF(INDEX('Base Exámenes'!$F$5:$F$1000, MATCH(A968&amp;"|"&amp;J968, 'Base Exámenes'!$I$5:$I$1000, 0))="", "", INDEX('Base Exámenes'!$F$5:$F$1000, MATCH(A968&amp;"|"&amp;J968, 'Base Exámenes'!$I$5:$I$1000, 0))), ""), "")</f>
        <v/>
      </c>
      <c r="J968" s="6" t="str">
        <f>IF(F968="Completado", IF(COUNTIFS('Base Exámenes'!$C$5:$C$1000, A968, 'Base Exámenes'!$G$5:$G$1000, "&lt;&gt;")=0, "", _xlfn.MAXIFS('Base Exámenes'!$G$5:$G$1000, 'Base Exámenes'!$C$5:$C$1000, A968)), "")</f>
        <v/>
      </c>
      <c r="K968" s="6" t="str">
        <f>IF(F968="Completado", IFERROR(IF(INDEX('Base Exámenes'!$H$5:$H$1000, MATCH(A968&amp;"|"&amp;J968, 'Base Exámenes'!$I$5:$I$1000, 0))="", "", INDEX('Base Exámenes'!$H$5:$H$1000, MATCH(A968&amp;"|"&amp;J968, 'Base Exámenes'!$I$5:$I$1000, 0))), ""), "")</f>
        <v/>
      </c>
      <c r="L968" s="22" t="str">
        <f>IF($A968="","",COUNTIF('Base Exámenes'!$C$5:$C$1000, A968))</f>
        <v/>
      </c>
      <c r="M968" s="6" t="str">
        <f>IF($A968="","",IF(COUNTIF('Base Exámenes'!$C$5:$C$1000, A968)&gt;0, "", TRIM('Base Oficial'!H968)))</f>
        <v/>
      </c>
    </row>
    <row r="969">
      <c r="A969" s="4" t="str">
        <f>IF('Base Oficial'!A969="","",TRIM('Base Oficial'!A969))</f>
        <v/>
      </c>
      <c r="B969" s="6" t="str">
        <f>IF($A969="","",TRIM('Base Oficial'!B969))</f>
        <v/>
      </c>
      <c r="C969" s="6" t="str">
        <f>IF($A969="","",TRIM('Base Oficial'!F969))</f>
        <v/>
      </c>
      <c r="D969" s="6" t="str">
        <f>IF($A969="","",TRIM('Base Oficial'!G969))</f>
        <v/>
      </c>
      <c r="E969" s="6" t="str">
        <f>IF($A969="","",TRIM('Base Oficial'!D969))</f>
        <v/>
      </c>
      <c r="F969" s="4" t="str">
        <f>IF($A969="","",IF(COUNTIF('Base Exámenes'!$C$5:$C$1000, A969)&gt;0, "Completado", IF(M969&lt;&gt;"", M969, "Pendiente")))</f>
        <v/>
      </c>
      <c r="G969" s="11" t="str">
        <f>IF(F969="Completado", IFERROR(IF(INDEX('Base Exámenes'!$D$5:$D$1000, MATCH(A969&amp;"|"&amp;J969, 'Base Exámenes'!$I$5:$I$1000, 0))="", "", INDEX('Base Exámenes'!$D$5:$D$1000, MATCH(A969&amp;"|"&amp;J969, 'Base Exámenes'!$I$5:$I$1000, 0))), ""), "")</f>
        <v/>
      </c>
      <c r="H969" s="11" t="str">
        <f>IF(F969="Completado", IFERROR(IF(INDEX('Base Exámenes'!$E$5:$E$1000, MATCH(A969&amp;"|"&amp;J969, 'Base Exámenes'!$I$5:$I$1000, 0))="", "", INDEX('Base Exámenes'!$E$5:$E$1000, MATCH(A969&amp;"|"&amp;J969, 'Base Exámenes'!$I$5:$I$1000, 0))), ""), "")</f>
        <v/>
      </c>
      <c r="I969" s="10" t="str">
        <f>IF(F969="Completado", IFERROR(IF(INDEX('Base Exámenes'!$F$5:$F$1000, MATCH(A969&amp;"|"&amp;J969, 'Base Exámenes'!$I$5:$I$1000, 0))="", "", INDEX('Base Exámenes'!$F$5:$F$1000, MATCH(A969&amp;"|"&amp;J969, 'Base Exámenes'!$I$5:$I$1000, 0))), ""), "")</f>
        <v/>
      </c>
      <c r="J969" s="6" t="str">
        <f>IF(F969="Completado", IF(COUNTIFS('Base Exámenes'!$C$5:$C$1000, A969, 'Base Exámenes'!$G$5:$G$1000, "&lt;&gt;")=0, "", _xlfn.MAXIFS('Base Exámenes'!$G$5:$G$1000, 'Base Exámenes'!$C$5:$C$1000, A969)), "")</f>
        <v/>
      </c>
      <c r="K969" s="6" t="str">
        <f>IF(F969="Completado", IFERROR(IF(INDEX('Base Exámenes'!$H$5:$H$1000, MATCH(A969&amp;"|"&amp;J969, 'Base Exámenes'!$I$5:$I$1000, 0))="", "", INDEX('Base Exámenes'!$H$5:$H$1000, MATCH(A969&amp;"|"&amp;J969, 'Base Exámenes'!$I$5:$I$1000, 0))), ""), "")</f>
        <v/>
      </c>
      <c r="L969" s="22" t="str">
        <f>IF($A969="","",COUNTIF('Base Exámenes'!$C$5:$C$1000, A969))</f>
        <v/>
      </c>
      <c r="M969" s="6" t="str">
        <f>IF($A969="","",IF(COUNTIF('Base Exámenes'!$C$5:$C$1000, A969)&gt;0, "", TRIM('Base Oficial'!H969)))</f>
        <v/>
      </c>
    </row>
    <row r="970">
      <c r="A970" s="4" t="str">
        <f>IF('Base Oficial'!A970="","",TRIM('Base Oficial'!A970))</f>
        <v/>
      </c>
      <c r="B970" s="6" t="str">
        <f>IF($A970="","",TRIM('Base Oficial'!B970))</f>
        <v/>
      </c>
      <c r="C970" s="6" t="str">
        <f>IF($A970="","",TRIM('Base Oficial'!F970))</f>
        <v/>
      </c>
      <c r="D970" s="6" t="str">
        <f>IF($A970="","",TRIM('Base Oficial'!G970))</f>
        <v/>
      </c>
      <c r="E970" s="6" t="str">
        <f>IF($A970="","",TRIM('Base Oficial'!D970))</f>
        <v/>
      </c>
      <c r="F970" s="4" t="str">
        <f>IF($A970="","",IF(COUNTIF('Base Exámenes'!$C$5:$C$1000, A970)&gt;0, "Completado", IF(M970&lt;&gt;"", M970, "Pendiente")))</f>
        <v/>
      </c>
      <c r="G970" s="11" t="str">
        <f>IF(F970="Completado", IFERROR(IF(INDEX('Base Exámenes'!$D$5:$D$1000, MATCH(A970&amp;"|"&amp;J970, 'Base Exámenes'!$I$5:$I$1000, 0))="", "", INDEX('Base Exámenes'!$D$5:$D$1000, MATCH(A970&amp;"|"&amp;J970, 'Base Exámenes'!$I$5:$I$1000, 0))), ""), "")</f>
        <v/>
      </c>
      <c r="H970" s="11" t="str">
        <f>IF(F970="Completado", IFERROR(IF(INDEX('Base Exámenes'!$E$5:$E$1000, MATCH(A970&amp;"|"&amp;J970, 'Base Exámenes'!$I$5:$I$1000, 0))="", "", INDEX('Base Exámenes'!$E$5:$E$1000, MATCH(A970&amp;"|"&amp;J970, 'Base Exámenes'!$I$5:$I$1000, 0))), ""), "")</f>
        <v/>
      </c>
      <c r="I970" s="10" t="str">
        <f>IF(F970="Completado", IFERROR(IF(INDEX('Base Exámenes'!$F$5:$F$1000, MATCH(A970&amp;"|"&amp;J970, 'Base Exámenes'!$I$5:$I$1000, 0))="", "", INDEX('Base Exámenes'!$F$5:$F$1000, MATCH(A970&amp;"|"&amp;J970, 'Base Exámenes'!$I$5:$I$1000, 0))), ""), "")</f>
        <v/>
      </c>
      <c r="J970" s="6" t="str">
        <f>IF(F970="Completado", IF(COUNTIFS('Base Exámenes'!$C$5:$C$1000, A970, 'Base Exámenes'!$G$5:$G$1000, "&lt;&gt;")=0, "", _xlfn.MAXIFS('Base Exámenes'!$G$5:$G$1000, 'Base Exámenes'!$C$5:$C$1000, A970)), "")</f>
        <v/>
      </c>
      <c r="K970" s="6" t="str">
        <f>IF(F970="Completado", IFERROR(IF(INDEX('Base Exámenes'!$H$5:$H$1000, MATCH(A970&amp;"|"&amp;J970, 'Base Exámenes'!$I$5:$I$1000, 0))="", "", INDEX('Base Exámenes'!$H$5:$H$1000, MATCH(A970&amp;"|"&amp;J970, 'Base Exámenes'!$I$5:$I$1000, 0))), ""), "")</f>
        <v/>
      </c>
      <c r="L970" s="22" t="str">
        <f>IF($A970="","",COUNTIF('Base Exámenes'!$C$5:$C$1000, A970))</f>
        <v/>
      </c>
      <c r="M970" s="6" t="str">
        <f>IF($A970="","",IF(COUNTIF('Base Exámenes'!$C$5:$C$1000, A970)&gt;0, "", TRIM('Base Oficial'!H970)))</f>
        <v/>
      </c>
    </row>
    <row r="971">
      <c r="A971" s="4" t="str">
        <f>IF('Base Oficial'!A971="","",TRIM('Base Oficial'!A971))</f>
        <v/>
      </c>
      <c r="B971" s="6" t="str">
        <f>IF($A971="","",TRIM('Base Oficial'!B971))</f>
        <v/>
      </c>
      <c r="C971" s="6" t="str">
        <f>IF($A971="","",TRIM('Base Oficial'!F971))</f>
        <v/>
      </c>
      <c r="D971" s="6" t="str">
        <f>IF($A971="","",TRIM('Base Oficial'!G971))</f>
        <v/>
      </c>
      <c r="E971" s="6" t="str">
        <f>IF($A971="","",TRIM('Base Oficial'!D971))</f>
        <v/>
      </c>
      <c r="F971" s="4" t="str">
        <f>IF($A971="","",IF(COUNTIF('Base Exámenes'!$C$5:$C$1000, A971)&gt;0, "Completado", IF(M971&lt;&gt;"", M971, "Pendiente")))</f>
        <v/>
      </c>
      <c r="G971" s="11" t="str">
        <f>IF(F971="Completado", IFERROR(IF(INDEX('Base Exámenes'!$D$5:$D$1000, MATCH(A971&amp;"|"&amp;J971, 'Base Exámenes'!$I$5:$I$1000, 0))="", "", INDEX('Base Exámenes'!$D$5:$D$1000, MATCH(A971&amp;"|"&amp;J971, 'Base Exámenes'!$I$5:$I$1000, 0))), ""), "")</f>
        <v/>
      </c>
      <c r="H971" s="11" t="str">
        <f>IF(F971="Completado", IFERROR(IF(INDEX('Base Exámenes'!$E$5:$E$1000, MATCH(A971&amp;"|"&amp;J971, 'Base Exámenes'!$I$5:$I$1000, 0))="", "", INDEX('Base Exámenes'!$E$5:$E$1000, MATCH(A971&amp;"|"&amp;J971, 'Base Exámenes'!$I$5:$I$1000, 0))), ""), "")</f>
        <v/>
      </c>
      <c r="I971" s="10" t="str">
        <f>IF(F971="Completado", IFERROR(IF(INDEX('Base Exámenes'!$F$5:$F$1000, MATCH(A971&amp;"|"&amp;J971, 'Base Exámenes'!$I$5:$I$1000, 0))="", "", INDEX('Base Exámenes'!$F$5:$F$1000, MATCH(A971&amp;"|"&amp;J971, 'Base Exámenes'!$I$5:$I$1000, 0))), ""), "")</f>
        <v/>
      </c>
      <c r="J971" s="6" t="str">
        <f>IF(F971="Completado", IF(COUNTIFS('Base Exámenes'!$C$5:$C$1000, A971, 'Base Exámenes'!$G$5:$G$1000, "&lt;&gt;")=0, "", _xlfn.MAXIFS('Base Exámenes'!$G$5:$G$1000, 'Base Exámenes'!$C$5:$C$1000, A971)), "")</f>
        <v/>
      </c>
      <c r="K971" s="6" t="str">
        <f>IF(F971="Completado", IFERROR(IF(INDEX('Base Exámenes'!$H$5:$H$1000, MATCH(A971&amp;"|"&amp;J971, 'Base Exámenes'!$I$5:$I$1000, 0))="", "", INDEX('Base Exámenes'!$H$5:$H$1000, MATCH(A971&amp;"|"&amp;J971, 'Base Exámenes'!$I$5:$I$1000, 0))), ""), "")</f>
        <v/>
      </c>
      <c r="L971" s="22" t="str">
        <f>IF($A971="","",COUNTIF('Base Exámenes'!$C$5:$C$1000, A971))</f>
        <v/>
      </c>
      <c r="M971" s="6" t="str">
        <f>IF($A971="","",IF(COUNTIF('Base Exámenes'!$C$5:$C$1000, A971)&gt;0, "", TRIM('Base Oficial'!H971)))</f>
        <v/>
      </c>
    </row>
    <row r="972">
      <c r="A972" s="4" t="str">
        <f>IF('Base Oficial'!A972="","",TRIM('Base Oficial'!A972))</f>
        <v/>
      </c>
      <c r="B972" s="6" t="str">
        <f>IF($A972="","",TRIM('Base Oficial'!B972))</f>
        <v/>
      </c>
      <c r="C972" s="6" t="str">
        <f>IF($A972="","",TRIM('Base Oficial'!F972))</f>
        <v/>
      </c>
      <c r="D972" s="6" t="str">
        <f>IF($A972="","",TRIM('Base Oficial'!G972))</f>
        <v/>
      </c>
      <c r="E972" s="6" t="str">
        <f>IF($A972="","",TRIM('Base Oficial'!D972))</f>
        <v/>
      </c>
      <c r="F972" s="4" t="str">
        <f>IF($A972="","",IF(COUNTIF('Base Exámenes'!$C$5:$C$1000, A972)&gt;0, "Completado", IF(M972&lt;&gt;"", M972, "Pendiente")))</f>
        <v/>
      </c>
      <c r="G972" s="11" t="str">
        <f>IF(F972="Completado", IFERROR(IF(INDEX('Base Exámenes'!$D$5:$D$1000, MATCH(A972&amp;"|"&amp;J972, 'Base Exámenes'!$I$5:$I$1000, 0))="", "", INDEX('Base Exámenes'!$D$5:$D$1000, MATCH(A972&amp;"|"&amp;J972, 'Base Exámenes'!$I$5:$I$1000, 0))), ""), "")</f>
        <v/>
      </c>
      <c r="H972" s="11" t="str">
        <f>IF(F972="Completado", IFERROR(IF(INDEX('Base Exámenes'!$E$5:$E$1000, MATCH(A972&amp;"|"&amp;J972, 'Base Exámenes'!$I$5:$I$1000, 0))="", "", INDEX('Base Exámenes'!$E$5:$E$1000, MATCH(A972&amp;"|"&amp;J972, 'Base Exámenes'!$I$5:$I$1000, 0))), ""), "")</f>
        <v/>
      </c>
      <c r="I972" s="10" t="str">
        <f>IF(F972="Completado", IFERROR(IF(INDEX('Base Exámenes'!$F$5:$F$1000, MATCH(A972&amp;"|"&amp;J972, 'Base Exámenes'!$I$5:$I$1000, 0))="", "", INDEX('Base Exámenes'!$F$5:$F$1000, MATCH(A972&amp;"|"&amp;J972, 'Base Exámenes'!$I$5:$I$1000, 0))), ""), "")</f>
        <v/>
      </c>
      <c r="J972" s="6" t="str">
        <f>IF(F972="Completado", IF(COUNTIFS('Base Exámenes'!$C$5:$C$1000, A972, 'Base Exámenes'!$G$5:$G$1000, "&lt;&gt;")=0, "", _xlfn.MAXIFS('Base Exámenes'!$G$5:$G$1000, 'Base Exámenes'!$C$5:$C$1000, A972)), "")</f>
        <v/>
      </c>
      <c r="K972" s="6" t="str">
        <f>IF(F972="Completado", IFERROR(IF(INDEX('Base Exámenes'!$H$5:$H$1000, MATCH(A972&amp;"|"&amp;J972, 'Base Exámenes'!$I$5:$I$1000, 0))="", "", INDEX('Base Exámenes'!$H$5:$H$1000, MATCH(A972&amp;"|"&amp;J972, 'Base Exámenes'!$I$5:$I$1000, 0))), ""), "")</f>
        <v/>
      </c>
      <c r="L972" s="22" t="str">
        <f>IF($A972="","",COUNTIF('Base Exámenes'!$C$5:$C$1000, A972))</f>
        <v/>
      </c>
      <c r="M972" s="6" t="str">
        <f>IF($A972="","",IF(COUNTIF('Base Exámenes'!$C$5:$C$1000, A972)&gt;0, "", TRIM('Base Oficial'!H972)))</f>
        <v/>
      </c>
    </row>
    <row r="973">
      <c r="A973" s="4" t="str">
        <f>IF('Base Oficial'!A973="","",TRIM('Base Oficial'!A973))</f>
        <v/>
      </c>
      <c r="B973" s="6" t="str">
        <f>IF($A973="","",TRIM('Base Oficial'!B973))</f>
        <v/>
      </c>
      <c r="C973" s="6" t="str">
        <f>IF($A973="","",TRIM('Base Oficial'!F973))</f>
        <v/>
      </c>
      <c r="D973" s="6" t="str">
        <f>IF($A973="","",TRIM('Base Oficial'!G973))</f>
        <v/>
      </c>
      <c r="E973" s="6" t="str">
        <f>IF($A973="","",TRIM('Base Oficial'!D973))</f>
        <v/>
      </c>
      <c r="F973" s="4" t="str">
        <f>IF($A973="","",IF(COUNTIF('Base Exámenes'!$C$5:$C$1000, A973)&gt;0, "Completado", IF(M973&lt;&gt;"", M973, "Pendiente")))</f>
        <v/>
      </c>
      <c r="G973" s="11" t="str">
        <f>IF(F973="Completado", IFERROR(IF(INDEX('Base Exámenes'!$D$5:$D$1000, MATCH(A973&amp;"|"&amp;J973, 'Base Exámenes'!$I$5:$I$1000, 0))="", "", INDEX('Base Exámenes'!$D$5:$D$1000, MATCH(A973&amp;"|"&amp;J973, 'Base Exámenes'!$I$5:$I$1000, 0))), ""), "")</f>
        <v/>
      </c>
      <c r="H973" s="11" t="str">
        <f>IF(F973="Completado", IFERROR(IF(INDEX('Base Exámenes'!$E$5:$E$1000, MATCH(A973&amp;"|"&amp;J973, 'Base Exámenes'!$I$5:$I$1000, 0))="", "", INDEX('Base Exámenes'!$E$5:$E$1000, MATCH(A973&amp;"|"&amp;J973, 'Base Exámenes'!$I$5:$I$1000, 0))), ""), "")</f>
        <v/>
      </c>
      <c r="I973" s="10" t="str">
        <f>IF(F973="Completado", IFERROR(IF(INDEX('Base Exámenes'!$F$5:$F$1000, MATCH(A973&amp;"|"&amp;J973, 'Base Exámenes'!$I$5:$I$1000, 0))="", "", INDEX('Base Exámenes'!$F$5:$F$1000, MATCH(A973&amp;"|"&amp;J973, 'Base Exámenes'!$I$5:$I$1000, 0))), ""), "")</f>
        <v/>
      </c>
      <c r="J973" s="6" t="str">
        <f>IF(F973="Completado", IF(COUNTIFS('Base Exámenes'!$C$5:$C$1000, A973, 'Base Exámenes'!$G$5:$G$1000, "&lt;&gt;")=0, "", _xlfn.MAXIFS('Base Exámenes'!$G$5:$G$1000, 'Base Exámenes'!$C$5:$C$1000, A973)), "")</f>
        <v/>
      </c>
      <c r="K973" s="6" t="str">
        <f>IF(F973="Completado", IFERROR(IF(INDEX('Base Exámenes'!$H$5:$H$1000, MATCH(A973&amp;"|"&amp;J973, 'Base Exámenes'!$I$5:$I$1000, 0))="", "", INDEX('Base Exámenes'!$H$5:$H$1000, MATCH(A973&amp;"|"&amp;J973, 'Base Exámenes'!$I$5:$I$1000, 0))), ""), "")</f>
        <v/>
      </c>
      <c r="L973" s="22" t="str">
        <f>IF($A973="","",COUNTIF('Base Exámenes'!$C$5:$C$1000, A973))</f>
        <v/>
      </c>
      <c r="M973" s="6" t="str">
        <f>IF($A973="","",IF(COUNTIF('Base Exámenes'!$C$5:$C$1000, A973)&gt;0, "", TRIM('Base Oficial'!H973)))</f>
        <v/>
      </c>
    </row>
    <row r="974">
      <c r="A974" s="4" t="str">
        <f>IF('Base Oficial'!A974="","",TRIM('Base Oficial'!A974))</f>
        <v/>
      </c>
      <c r="B974" s="6" t="str">
        <f>IF($A974="","",TRIM('Base Oficial'!B974))</f>
        <v/>
      </c>
      <c r="C974" s="6" t="str">
        <f>IF($A974="","",TRIM('Base Oficial'!F974))</f>
        <v/>
      </c>
      <c r="D974" s="6" t="str">
        <f>IF($A974="","",TRIM('Base Oficial'!G974))</f>
        <v/>
      </c>
      <c r="E974" s="6" t="str">
        <f>IF($A974="","",TRIM('Base Oficial'!D974))</f>
        <v/>
      </c>
      <c r="F974" s="4" t="str">
        <f>IF($A974="","",IF(COUNTIF('Base Exámenes'!$C$5:$C$1000, A974)&gt;0, "Completado", IF(M974&lt;&gt;"", M974, "Pendiente")))</f>
        <v/>
      </c>
      <c r="G974" s="11" t="str">
        <f>IF(F974="Completado", IFERROR(IF(INDEX('Base Exámenes'!$D$5:$D$1000, MATCH(A974&amp;"|"&amp;J974, 'Base Exámenes'!$I$5:$I$1000, 0))="", "", INDEX('Base Exámenes'!$D$5:$D$1000, MATCH(A974&amp;"|"&amp;J974, 'Base Exámenes'!$I$5:$I$1000, 0))), ""), "")</f>
        <v/>
      </c>
      <c r="H974" s="11" t="str">
        <f>IF(F974="Completado", IFERROR(IF(INDEX('Base Exámenes'!$E$5:$E$1000, MATCH(A974&amp;"|"&amp;J974, 'Base Exámenes'!$I$5:$I$1000, 0))="", "", INDEX('Base Exámenes'!$E$5:$E$1000, MATCH(A974&amp;"|"&amp;J974, 'Base Exámenes'!$I$5:$I$1000, 0))), ""), "")</f>
        <v/>
      </c>
      <c r="I974" s="10" t="str">
        <f>IF(F974="Completado", IFERROR(IF(INDEX('Base Exámenes'!$F$5:$F$1000, MATCH(A974&amp;"|"&amp;J974, 'Base Exámenes'!$I$5:$I$1000, 0))="", "", INDEX('Base Exámenes'!$F$5:$F$1000, MATCH(A974&amp;"|"&amp;J974, 'Base Exámenes'!$I$5:$I$1000, 0))), ""), "")</f>
        <v/>
      </c>
      <c r="J974" s="6" t="str">
        <f>IF(F974="Completado", IF(COUNTIFS('Base Exámenes'!$C$5:$C$1000, A974, 'Base Exámenes'!$G$5:$G$1000, "&lt;&gt;")=0, "", _xlfn.MAXIFS('Base Exámenes'!$G$5:$G$1000, 'Base Exámenes'!$C$5:$C$1000, A974)), "")</f>
        <v/>
      </c>
      <c r="K974" s="6" t="str">
        <f>IF(F974="Completado", IFERROR(IF(INDEX('Base Exámenes'!$H$5:$H$1000, MATCH(A974&amp;"|"&amp;J974, 'Base Exámenes'!$I$5:$I$1000, 0))="", "", INDEX('Base Exámenes'!$H$5:$H$1000, MATCH(A974&amp;"|"&amp;J974, 'Base Exámenes'!$I$5:$I$1000, 0))), ""), "")</f>
        <v/>
      </c>
      <c r="L974" s="22" t="str">
        <f>IF($A974="","",COUNTIF('Base Exámenes'!$C$5:$C$1000, A974))</f>
        <v/>
      </c>
      <c r="M974" s="6" t="str">
        <f>IF($A974="","",IF(COUNTIF('Base Exámenes'!$C$5:$C$1000, A974)&gt;0, "", TRIM('Base Oficial'!H974)))</f>
        <v/>
      </c>
    </row>
    <row r="975">
      <c r="A975" s="4" t="str">
        <f>IF('Base Oficial'!A975="","",TRIM('Base Oficial'!A975))</f>
        <v/>
      </c>
      <c r="B975" s="6" t="str">
        <f>IF($A975="","",TRIM('Base Oficial'!B975))</f>
        <v/>
      </c>
      <c r="C975" s="6" t="str">
        <f>IF($A975="","",TRIM('Base Oficial'!F975))</f>
        <v/>
      </c>
      <c r="D975" s="6" t="str">
        <f>IF($A975="","",TRIM('Base Oficial'!G975))</f>
        <v/>
      </c>
      <c r="E975" s="6" t="str">
        <f>IF($A975="","",TRIM('Base Oficial'!D975))</f>
        <v/>
      </c>
      <c r="F975" s="4" t="str">
        <f>IF($A975="","",IF(COUNTIF('Base Exámenes'!$C$5:$C$1000, A975)&gt;0, "Completado", IF(M975&lt;&gt;"", M975, "Pendiente")))</f>
        <v/>
      </c>
      <c r="G975" s="11" t="str">
        <f>IF(F975="Completado", IFERROR(IF(INDEX('Base Exámenes'!$D$5:$D$1000, MATCH(A975&amp;"|"&amp;J975, 'Base Exámenes'!$I$5:$I$1000, 0))="", "", INDEX('Base Exámenes'!$D$5:$D$1000, MATCH(A975&amp;"|"&amp;J975, 'Base Exámenes'!$I$5:$I$1000, 0))), ""), "")</f>
        <v/>
      </c>
      <c r="H975" s="11" t="str">
        <f>IF(F975="Completado", IFERROR(IF(INDEX('Base Exámenes'!$E$5:$E$1000, MATCH(A975&amp;"|"&amp;J975, 'Base Exámenes'!$I$5:$I$1000, 0))="", "", INDEX('Base Exámenes'!$E$5:$E$1000, MATCH(A975&amp;"|"&amp;J975, 'Base Exámenes'!$I$5:$I$1000, 0))), ""), "")</f>
        <v/>
      </c>
      <c r="I975" s="10" t="str">
        <f>IF(F975="Completado", IFERROR(IF(INDEX('Base Exámenes'!$F$5:$F$1000, MATCH(A975&amp;"|"&amp;J975, 'Base Exámenes'!$I$5:$I$1000, 0))="", "", INDEX('Base Exámenes'!$F$5:$F$1000, MATCH(A975&amp;"|"&amp;J975, 'Base Exámenes'!$I$5:$I$1000, 0))), ""), "")</f>
        <v/>
      </c>
      <c r="J975" s="6" t="str">
        <f>IF(F975="Completado", IF(COUNTIFS('Base Exámenes'!$C$5:$C$1000, A975, 'Base Exámenes'!$G$5:$G$1000, "&lt;&gt;")=0, "", _xlfn.MAXIFS('Base Exámenes'!$G$5:$G$1000, 'Base Exámenes'!$C$5:$C$1000, A975)), "")</f>
        <v/>
      </c>
      <c r="K975" s="6" t="str">
        <f>IF(F975="Completado", IFERROR(IF(INDEX('Base Exámenes'!$H$5:$H$1000, MATCH(A975&amp;"|"&amp;J975, 'Base Exámenes'!$I$5:$I$1000, 0))="", "", INDEX('Base Exámenes'!$H$5:$H$1000, MATCH(A975&amp;"|"&amp;J975, 'Base Exámenes'!$I$5:$I$1000, 0))), ""), "")</f>
        <v/>
      </c>
      <c r="L975" s="22" t="str">
        <f>IF($A975="","",COUNTIF('Base Exámenes'!$C$5:$C$1000, A975))</f>
        <v/>
      </c>
      <c r="M975" s="6" t="str">
        <f>IF($A975="","",IF(COUNTIF('Base Exámenes'!$C$5:$C$1000, A975)&gt;0, "", TRIM('Base Oficial'!H975)))</f>
        <v/>
      </c>
    </row>
    <row r="976">
      <c r="A976" s="4" t="str">
        <f>IF('Base Oficial'!A976="","",TRIM('Base Oficial'!A976))</f>
        <v/>
      </c>
      <c r="B976" s="6" t="str">
        <f>IF($A976="","",TRIM('Base Oficial'!B976))</f>
        <v/>
      </c>
      <c r="C976" s="6" t="str">
        <f>IF($A976="","",TRIM('Base Oficial'!F976))</f>
        <v/>
      </c>
      <c r="D976" s="6" t="str">
        <f>IF($A976="","",TRIM('Base Oficial'!G976))</f>
        <v/>
      </c>
      <c r="E976" s="6" t="str">
        <f>IF($A976="","",TRIM('Base Oficial'!D976))</f>
        <v/>
      </c>
      <c r="F976" s="4" t="str">
        <f>IF($A976="","",IF(COUNTIF('Base Exámenes'!$C$5:$C$1000, A976)&gt;0, "Completado", IF(M976&lt;&gt;"", M976, "Pendiente")))</f>
        <v/>
      </c>
      <c r="G976" s="11" t="str">
        <f>IF(F976="Completado", IFERROR(IF(INDEX('Base Exámenes'!$D$5:$D$1000, MATCH(A976&amp;"|"&amp;J976, 'Base Exámenes'!$I$5:$I$1000, 0))="", "", INDEX('Base Exámenes'!$D$5:$D$1000, MATCH(A976&amp;"|"&amp;J976, 'Base Exámenes'!$I$5:$I$1000, 0))), ""), "")</f>
        <v/>
      </c>
      <c r="H976" s="11" t="str">
        <f>IF(F976="Completado", IFERROR(IF(INDEX('Base Exámenes'!$E$5:$E$1000, MATCH(A976&amp;"|"&amp;J976, 'Base Exámenes'!$I$5:$I$1000, 0))="", "", INDEX('Base Exámenes'!$E$5:$E$1000, MATCH(A976&amp;"|"&amp;J976, 'Base Exámenes'!$I$5:$I$1000, 0))), ""), "")</f>
        <v/>
      </c>
      <c r="I976" s="10" t="str">
        <f>IF(F976="Completado", IFERROR(IF(INDEX('Base Exámenes'!$F$5:$F$1000, MATCH(A976&amp;"|"&amp;J976, 'Base Exámenes'!$I$5:$I$1000, 0))="", "", INDEX('Base Exámenes'!$F$5:$F$1000, MATCH(A976&amp;"|"&amp;J976, 'Base Exámenes'!$I$5:$I$1000, 0))), ""), "")</f>
        <v/>
      </c>
      <c r="J976" s="6" t="str">
        <f>IF(F976="Completado", IF(COUNTIFS('Base Exámenes'!$C$5:$C$1000, A976, 'Base Exámenes'!$G$5:$G$1000, "&lt;&gt;")=0, "", _xlfn.MAXIFS('Base Exámenes'!$G$5:$G$1000, 'Base Exámenes'!$C$5:$C$1000, A976)), "")</f>
        <v/>
      </c>
      <c r="K976" s="6" t="str">
        <f>IF(F976="Completado", IFERROR(IF(INDEX('Base Exámenes'!$H$5:$H$1000, MATCH(A976&amp;"|"&amp;J976, 'Base Exámenes'!$I$5:$I$1000, 0))="", "", INDEX('Base Exámenes'!$H$5:$H$1000, MATCH(A976&amp;"|"&amp;J976, 'Base Exámenes'!$I$5:$I$1000, 0))), ""), "")</f>
        <v/>
      </c>
      <c r="L976" s="22" t="str">
        <f>IF($A976="","",COUNTIF('Base Exámenes'!$C$5:$C$1000, A976))</f>
        <v/>
      </c>
      <c r="M976" s="6" t="str">
        <f>IF($A976="","",IF(COUNTIF('Base Exámenes'!$C$5:$C$1000, A976)&gt;0, "", TRIM('Base Oficial'!H976)))</f>
        <v/>
      </c>
    </row>
    <row r="977">
      <c r="A977" s="4" t="str">
        <f>IF('Base Oficial'!A977="","",TRIM('Base Oficial'!A977))</f>
        <v/>
      </c>
      <c r="B977" s="6" t="str">
        <f>IF($A977="","",TRIM('Base Oficial'!B977))</f>
        <v/>
      </c>
      <c r="C977" s="6" t="str">
        <f>IF($A977="","",TRIM('Base Oficial'!F977))</f>
        <v/>
      </c>
      <c r="D977" s="6" t="str">
        <f>IF($A977="","",TRIM('Base Oficial'!G977))</f>
        <v/>
      </c>
      <c r="E977" s="6" t="str">
        <f>IF($A977="","",TRIM('Base Oficial'!D977))</f>
        <v/>
      </c>
      <c r="F977" s="4" t="str">
        <f>IF($A977="","",IF(COUNTIF('Base Exámenes'!$C$5:$C$1000, A977)&gt;0, "Completado", IF(M977&lt;&gt;"", M977, "Pendiente")))</f>
        <v/>
      </c>
      <c r="G977" s="11" t="str">
        <f>IF(F977="Completado", IFERROR(IF(INDEX('Base Exámenes'!$D$5:$D$1000, MATCH(A977&amp;"|"&amp;J977, 'Base Exámenes'!$I$5:$I$1000, 0))="", "", INDEX('Base Exámenes'!$D$5:$D$1000, MATCH(A977&amp;"|"&amp;J977, 'Base Exámenes'!$I$5:$I$1000, 0))), ""), "")</f>
        <v/>
      </c>
      <c r="H977" s="11" t="str">
        <f>IF(F977="Completado", IFERROR(IF(INDEX('Base Exámenes'!$E$5:$E$1000, MATCH(A977&amp;"|"&amp;J977, 'Base Exámenes'!$I$5:$I$1000, 0))="", "", INDEX('Base Exámenes'!$E$5:$E$1000, MATCH(A977&amp;"|"&amp;J977, 'Base Exámenes'!$I$5:$I$1000, 0))), ""), "")</f>
        <v/>
      </c>
      <c r="I977" s="10" t="str">
        <f>IF(F977="Completado", IFERROR(IF(INDEX('Base Exámenes'!$F$5:$F$1000, MATCH(A977&amp;"|"&amp;J977, 'Base Exámenes'!$I$5:$I$1000, 0))="", "", INDEX('Base Exámenes'!$F$5:$F$1000, MATCH(A977&amp;"|"&amp;J977, 'Base Exámenes'!$I$5:$I$1000, 0))), ""), "")</f>
        <v/>
      </c>
      <c r="J977" s="6" t="str">
        <f>IF(F977="Completado", IF(COUNTIFS('Base Exámenes'!$C$5:$C$1000, A977, 'Base Exámenes'!$G$5:$G$1000, "&lt;&gt;")=0, "", _xlfn.MAXIFS('Base Exámenes'!$G$5:$G$1000, 'Base Exámenes'!$C$5:$C$1000, A977)), "")</f>
        <v/>
      </c>
      <c r="K977" s="6" t="str">
        <f>IF(F977="Completado", IFERROR(IF(INDEX('Base Exámenes'!$H$5:$H$1000, MATCH(A977&amp;"|"&amp;J977, 'Base Exámenes'!$I$5:$I$1000, 0))="", "", INDEX('Base Exámenes'!$H$5:$H$1000, MATCH(A977&amp;"|"&amp;J977, 'Base Exámenes'!$I$5:$I$1000, 0))), ""), "")</f>
        <v/>
      </c>
      <c r="L977" s="22" t="str">
        <f>IF($A977="","",COUNTIF('Base Exámenes'!$C$5:$C$1000, A977))</f>
        <v/>
      </c>
      <c r="M977" s="6" t="str">
        <f>IF($A977="","",IF(COUNTIF('Base Exámenes'!$C$5:$C$1000, A977)&gt;0, "", TRIM('Base Oficial'!H977)))</f>
        <v/>
      </c>
    </row>
    <row r="978">
      <c r="A978" s="4" t="str">
        <f>IF('Base Oficial'!A978="","",TRIM('Base Oficial'!A978))</f>
        <v/>
      </c>
      <c r="B978" s="6" t="str">
        <f>IF($A978="","",TRIM('Base Oficial'!B978))</f>
        <v/>
      </c>
      <c r="C978" s="6" t="str">
        <f>IF($A978="","",TRIM('Base Oficial'!F978))</f>
        <v/>
      </c>
      <c r="D978" s="6" t="str">
        <f>IF($A978="","",TRIM('Base Oficial'!G978))</f>
        <v/>
      </c>
      <c r="E978" s="6" t="str">
        <f>IF($A978="","",TRIM('Base Oficial'!D978))</f>
        <v/>
      </c>
      <c r="F978" s="4" t="str">
        <f>IF($A978="","",IF(COUNTIF('Base Exámenes'!$C$5:$C$1000, A978)&gt;0, "Completado", IF(M978&lt;&gt;"", M978, "Pendiente")))</f>
        <v/>
      </c>
      <c r="G978" s="11" t="str">
        <f>IF(F978="Completado", IFERROR(IF(INDEX('Base Exámenes'!$D$5:$D$1000, MATCH(A978&amp;"|"&amp;J978, 'Base Exámenes'!$I$5:$I$1000, 0))="", "", INDEX('Base Exámenes'!$D$5:$D$1000, MATCH(A978&amp;"|"&amp;J978, 'Base Exámenes'!$I$5:$I$1000, 0))), ""), "")</f>
        <v/>
      </c>
      <c r="H978" s="11" t="str">
        <f>IF(F978="Completado", IFERROR(IF(INDEX('Base Exámenes'!$E$5:$E$1000, MATCH(A978&amp;"|"&amp;J978, 'Base Exámenes'!$I$5:$I$1000, 0))="", "", INDEX('Base Exámenes'!$E$5:$E$1000, MATCH(A978&amp;"|"&amp;J978, 'Base Exámenes'!$I$5:$I$1000, 0))), ""), "")</f>
        <v/>
      </c>
      <c r="I978" s="10" t="str">
        <f>IF(F978="Completado", IFERROR(IF(INDEX('Base Exámenes'!$F$5:$F$1000, MATCH(A978&amp;"|"&amp;J978, 'Base Exámenes'!$I$5:$I$1000, 0))="", "", INDEX('Base Exámenes'!$F$5:$F$1000, MATCH(A978&amp;"|"&amp;J978, 'Base Exámenes'!$I$5:$I$1000, 0))), ""), "")</f>
        <v/>
      </c>
      <c r="J978" s="6" t="str">
        <f>IF(F978="Completado", IF(COUNTIFS('Base Exámenes'!$C$5:$C$1000, A978, 'Base Exámenes'!$G$5:$G$1000, "&lt;&gt;")=0, "", _xlfn.MAXIFS('Base Exámenes'!$G$5:$G$1000, 'Base Exámenes'!$C$5:$C$1000, A978)), "")</f>
        <v/>
      </c>
      <c r="K978" s="6" t="str">
        <f>IF(F978="Completado", IFERROR(IF(INDEX('Base Exámenes'!$H$5:$H$1000, MATCH(A978&amp;"|"&amp;J978, 'Base Exámenes'!$I$5:$I$1000, 0))="", "", INDEX('Base Exámenes'!$H$5:$H$1000, MATCH(A978&amp;"|"&amp;J978, 'Base Exámenes'!$I$5:$I$1000, 0))), ""), "")</f>
        <v/>
      </c>
      <c r="L978" s="22" t="str">
        <f>IF($A978="","",COUNTIF('Base Exámenes'!$C$5:$C$1000, A978))</f>
        <v/>
      </c>
      <c r="M978" s="6" t="str">
        <f>IF($A978="","",IF(COUNTIF('Base Exámenes'!$C$5:$C$1000, A978)&gt;0, "", TRIM('Base Oficial'!H978)))</f>
        <v/>
      </c>
    </row>
    <row r="979">
      <c r="A979" s="4" t="str">
        <f>IF('Base Oficial'!A979="","",TRIM('Base Oficial'!A979))</f>
        <v/>
      </c>
      <c r="B979" s="6" t="str">
        <f>IF($A979="","",TRIM('Base Oficial'!B979))</f>
        <v/>
      </c>
      <c r="C979" s="6" t="str">
        <f>IF($A979="","",TRIM('Base Oficial'!F979))</f>
        <v/>
      </c>
      <c r="D979" s="6" t="str">
        <f>IF($A979="","",TRIM('Base Oficial'!G979))</f>
        <v/>
      </c>
      <c r="E979" s="6" t="str">
        <f>IF($A979="","",TRIM('Base Oficial'!D979))</f>
        <v/>
      </c>
      <c r="F979" s="4" t="str">
        <f>IF($A979="","",IF(COUNTIF('Base Exámenes'!$C$5:$C$1000, A979)&gt;0, "Completado", IF(M979&lt;&gt;"", M979, "Pendiente")))</f>
        <v/>
      </c>
      <c r="G979" s="11" t="str">
        <f>IF(F979="Completado", IFERROR(IF(INDEX('Base Exámenes'!$D$5:$D$1000, MATCH(A979&amp;"|"&amp;J979, 'Base Exámenes'!$I$5:$I$1000, 0))="", "", INDEX('Base Exámenes'!$D$5:$D$1000, MATCH(A979&amp;"|"&amp;J979, 'Base Exámenes'!$I$5:$I$1000, 0))), ""), "")</f>
        <v/>
      </c>
      <c r="H979" s="11" t="str">
        <f>IF(F979="Completado", IFERROR(IF(INDEX('Base Exámenes'!$E$5:$E$1000, MATCH(A979&amp;"|"&amp;J979, 'Base Exámenes'!$I$5:$I$1000, 0))="", "", INDEX('Base Exámenes'!$E$5:$E$1000, MATCH(A979&amp;"|"&amp;J979, 'Base Exámenes'!$I$5:$I$1000, 0))), ""), "")</f>
        <v/>
      </c>
      <c r="I979" s="10" t="str">
        <f>IF(F979="Completado", IFERROR(IF(INDEX('Base Exámenes'!$F$5:$F$1000, MATCH(A979&amp;"|"&amp;J979, 'Base Exámenes'!$I$5:$I$1000, 0))="", "", INDEX('Base Exámenes'!$F$5:$F$1000, MATCH(A979&amp;"|"&amp;J979, 'Base Exámenes'!$I$5:$I$1000, 0))), ""), "")</f>
        <v/>
      </c>
      <c r="J979" s="6" t="str">
        <f>IF(F979="Completado", IF(COUNTIFS('Base Exámenes'!$C$5:$C$1000, A979, 'Base Exámenes'!$G$5:$G$1000, "&lt;&gt;")=0, "", _xlfn.MAXIFS('Base Exámenes'!$G$5:$G$1000, 'Base Exámenes'!$C$5:$C$1000, A979)), "")</f>
        <v/>
      </c>
      <c r="K979" s="6" t="str">
        <f>IF(F979="Completado", IFERROR(IF(INDEX('Base Exámenes'!$H$5:$H$1000, MATCH(A979&amp;"|"&amp;J979, 'Base Exámenes'!$I$5:$I$1000, 0))="", "", INDEX('Base Exámenes'!$H$5:$H$1000, MATCH(A979&amp;"|"&amp;J979, 'Base Exámenes'!$I$5:$I$1000, 0))), ""), "")</f>
        <v/>
      </c>
      <c r="L979" s="22" t="str">
        <f>IF($A979="","",COUNTIF('Base Exámenes'!$C$5:$C$1000, A979))</f>
        <v/>
      </c>
      <c r="M979" s="6" t="str">
        <f>IF($A979="","",IF(COUNTIF('Base Exámenes'!$C$5:$C$1000, A979)&gt;0, "", TRIM('Base Oficial'!H979)))</f>
        <v/>
      </c>
    </row>
    <row r="980">
      <c r="A980" s="4" t="str">
        <f>IF('Base Oficial'!A980="","",TRIM('Base Oficial'!A980))</f>
        <v/>
      </c>
      <c r="B980" s="6" t="str">
        <f>IF($A980="","",TRIM('Base Oficial'!B980))</f>
        <v/>
      </c>
      <c r="C980" s="6" t="str">
        <f>IF($A980="","",TRIM('Base Oficial'!F980))</f>
        <v/>
      </c>
      <c r="D980" s="6" t="str">
        <f>IF($A980="","",TRIM('Base Oficial'!G980))</f>
        <v/>
      </c>
      <c r="E980" s="6" t="str">
        <f>IF($A980="","",TRIM('Base Oficial'!D980))</f>
        <v/>
      </c>
      <c r="F980" s="4" t="str">
        <f>IF($A980="","",IF(COUNTIF('Base Exámenes'!$C$5:$C$1000, A980)&gt;0, "Completado", IF(M980&lt;&gt;"", M980, "Pendiente")))</f>
        <v/>
      </c>
      <c r="G980" s="11" t="str">
        <f>IF(F980="Completado", IFERROR(IF(INDEX('Base Exámenes'!$D$5:$D$1000, MATCH(A980&amp;"|"&amp;J980, 'Base Exámenes'!$I$5:$I$1000, 0))="", "", INDEX('Base Exámenes'!$D$5:$D$1000, MATCH(A980&amp;"|"&amp;J980, 'Base Exámenes'!$I$5:$I$1000, 0))), ""), "")</f>
        <v/>
      </c>
      <c r="H980" s="11" t="str">
        <f>IF(F980="Completado", IFERROR(IF(INDEX('Base Exámenes'!$E$5:$E$1000, MATCH(A980&amp;"|"&amp;J980, 'Base Exámenes'!$I$5:$I$1000, 0))="", "", INDEX('Base Exámenes'!$E$5:$E$1000, MATCH(A980&amp;"|"&amp;J980, 'Base Exámenes'!$I$5:$I$1000, 0))), ""), "")</f>
        <v/>
      </c>
      <c r="I980" s="10" t="str">
        <f>IF(F980="Completado", IFERROR(IF(INDEX('Base Exámenes'!$F$5:$F$1000, MATCH(A980&amp;"|"&amp;J980, 'Base Exámenes'!$I$5:$I$1000, 0))="", "", INDEX('Base Exámenes'!$F$5:$F$1000, MATCH(A980&amp;"|"&amp;J980, 'Base Exámenes'!$I$5:$I$1000, 0))), ""), "")</f>
        <v/>
      </c>
      <c r="J980" s="6" t="str">
        <f>IF(F980="Completado", IF(COUNTIFS('Base Exámenes'!$C$5:$C$1000, A980, 'Base Exámenes'!$G$5:$G$1000, "&lt;&gt;")=0, "", _xlfn.MAXIFS('Base Exámenes'!$G$5:$G$1000, 'Base Exámenes'!$C$5:$C$1000, A980)), "")</f>
        <v/>
      </c>
      <c r="K980" s="6" t="str">
        <f>IF(F980="Completado", IFERROR(IF(INDEX('Base Exámenes'!$H$5:$H$1000, MATCH(A980&amp;"|"&amp;J980, 'Base Exámenes'!$I$5:$I$1000, 0))="", "", INDEX('Base Exámenes'!$H$5:$H$1000, MATCH(A980&amp;"|"&amp;J980, 'Base Exámenes'!$I$5:$I$1000, 0))), ""), "")</f>
        <v/>
      </c>
      <c r="L980" s="22" t="str">
        <f>IF($A980="","",COUNTIF('Base Exámenes'!$C$5:$C$1000, A980))</f>
        <v/>
      </c>
      <c r="M980" s="6" t="str">
        <f>IF($A980="","",IF(COUNTIF('Base Exámenes'!$C$5:$C$1000, A980)&gt;0, "", TRIM('Base Oficial'!H980)))</f>
        <v/>
      </c>
    </row>
    <row r="981">
      <c r="A981" s="4" t="str">
        <f>IF('Base Oficial'!A981="","",TRIM('Base Oficial'!A981))</f>
        <v/>
      </c>
      <c r="B981" s="6" t="str">
        <f>IF($A981="","",TRIM('Base Oficial'!B981))</f>
        <v/>
      </c>
      <c r="C981" s="6" t="str">
        <f>IF($A981="","",TRIM('Base Oficial'!F981))</f>
        <v/>
      </c>
      <c r="D981" s="6" t="str">
        <f>IF($A981="","",TRIM('Base Oficial'!G981))</f>
        <v/>
      </c>
      <c r="E981" s="6" t="str">
        <f>IF($A981="","",TRIM('Base Oficial'!D981))</f>
        <v/>
      </c>
      <c r="F981" s="4" t="str">
        <f>IF($A981="","",IF(COUNTIF('Base Exámenes'!$C$5:$C$1000, A981)&gt;0, "Completado", IF(M981&lt;&gt;"", M981, "Pendiente")))</f>
        <v/>
      </c>
      <c r="G981" s="11" t="str">
        <f>IF(F981="Completado", IFERROR(IF(INDEX('Base Exámenes'!$D$5:$D$1000, MATCH(A981&amp;"|"&amp;J981, 'Base Exámenes'!$I$5:$I$1000, 0))="", "", INDEX('Base Exámenes'!$D$5:$D$1000, MATCH(A981&amp;"|"&amp;J981, 'Base Exámenes'!$I$5:$I$1000, 0))), ""), "")</f>
        <v/>
      </c>
      <c r="H981" s="11" t="str">
        <f>IF(F981="Completado", IFERROR(IF(INDEX('Base Exámenes'!$E$5:$E$1000, MATCH(A981&amp;"|"&amp;J981, 'Base Exámenes'!$I$5:$I$1000, 0))="", "", INDEX('Base Exámenes'!$E$5:$E$1000, MATCH(A981&amp;"|"&amp;J981, 'Base Exámenes'!$I$5:$I$1000, 0))), ""), "")</f>
        <v/>
      </c>
      <c r="I981" s="10" t="str">
        <f>IF(F981="Completado", IFERROR(IF(INDEX('Base Exámenes'!$F$5:$F$1000, MATCH(A981&amp;"|"&amp;J981, 'Base Exámenes'!$I$5:$I$1000, 0))="", "", INDEX('Base Exámenes'!$F$5:$F$1000, MATCH(A981&amp;"|"&amp;J981, 'Base Exámenes'!$I$5:$I$1000, 0))), ""), "")</f>
        <v/>
      </c>
      <c r="J981" s="6" t="str">
        <f>IF(F981="Completado", IF(COUNTIFS('Base Exámenes'!$C$5:$C$1000, A981, 'Base Exámenes'!$G$5:$G$1000, "&lt;&gt;")=0, "", _xlfn.MAXIFS('Base Exámenes'!$G$5:$G$1000, 'Base Exámenes'!$C$5:$C$1000, A981)), "")</f>
        <v/>
      </c>
      <c r="K981" s="6" t="str">
        <f>IF(F981="Completado", IFERROR(IF(INDEX('Base Exámenes'!$H$5:$H$1000, MATCH(A981&amp;"|"&amp;J981, 'Base Exámenes'!$I$5:$I$1000, 0))="", "", INDEX('Base Exámenes'!$H$5:$H$1000, MATCH(A981&amp;"|"&amp;J981, 'Base Exámenes'!$I$5:$I$1000, 0))), ""), "")</f>
        <v/>
      </c>
      <c r="L981" s="22" t="str">
        <f>IF($A981="","",COUNTIF('Base Exámenes'!$C$5:$C$1000, A981))</f>
        <v/>
      </c>
      <c r="M981" s="6" t="str">
        <f>IF($A981="","",IF(COUNTIF('Base Exámenes'!$C$5:$C$1000, A981)&gt;0, "", TRIM('Base Oficial'!H981)))</f>
        <v/>
      </c>
    </row>
    <row r="982">
      <c r="A982" s="4" t="str">
        <f>IF('Base Oficial'!A982="","",TRIM('Base Oficial'!A982))</f>
        <v/>
      </c>
      <c r="B982" s="6" t="str">
        <f>IF($A982="","",TRIM('Base Oficial'!B982))</f>
        <v/>
      </c>
      <c r="C982" s="6" t="str">
        <f>IF($A982="","",TRIM('Base Oficial'!F982))</f>
        <v/>
      </c>
      <c r="D982" s="6" t="str">
        <f>IF($A982="","",TRIM('Base Oficial'!G982))</f>
        <v/>
      </c>
      <c r="E982" s="6" t="str">
        <f>IF($A982="","",TRIM('Base Oficial'!D982))</f>
        <v/>
      </c>
      <c r="F982" s="4" t="str">
        <f>IF($A982="","",IF(COUNTIF('Base Exámenes'!$C$5:$C$1000, A982)&gt;0, "Completado", IF(M982&lt;&gt;"", M982, "Pendiente")))</f>
        <v/>
      </c>
      <c r="G982" s="11" t="str">
        <f>IF(F982="Completado", IFERROR(IF(INDEX('Base Exámenes'!$D$5:$D$1000, MATCH(A982&amp;"|"&amp;J982, 'Base Exámenes'!$I$5:$I$1000, 0))="", "", INDEX('Base Exámenes'!$D$5:$D$1000, MATCH(A982&amp;"|"&amp;J982, 'Base Exámenes'!$I$5:$I$1000, 0))), ""), "")</f>
        <v/>
      </c>
      <c r="H982" s="11" t="str">
        <f>IF(F982="Completado", IFERROR(IF(INDEX('Base Exámenes'!$E$5:$E$1000, MATCH(A982&amp;"|"&amp;J982, 'Base Exámenes'!$I$5:$I$1000, 0))="", "", INDEX('Base Exámenes'!$E$5:$E$1000, MATCH(A982&amp;"|"&amp;J982, 'Base Exámenes'!$I$5:$I$1000, 0))), ""), "")</f>
        <v/>
      </c>
      <c r="I982" s="10" t="str">
        <f>IF(F982="Completado", IFERROR(IF(INDEX('Base Exámenes'!$F$5:$F$1000, MATCH(A982&amp;"|"&amp;J982, 'Base Exámenes'!$I$5:$I$1000, 0))="", "", INDEX('Base Exámenes'!$F$5:$F$1000, MATCH(A982&amp;"|"&amp;J982, 'Base Exámenes'!$I$5:$I$1000, 0))), ""), "")</f>
        <v/>
      </c>
      <c r="J982" s="6" t="str">
        <f>IF(F982="Completado", IF(COUNTIFS('Base Exámenes'!$C$5:$C$1000, A982, 'Base Exámenes'!$G$5:$G$1000, "&lt;&gt;")=0, "", _xlfn.MAXIFS('Base Exámenes'!$G$5:$G$1000, 'Base Exámenes'!$C$5:$C$1000, A982)), "")</f>
        <v/>
      </c>
      <c r="K982" s="6" t="str">
        <f>IF(F982="Completado", IFERROR(IF(INDEX('Base Exámenes'!$H$5:$H$1000, MATCH(A982&amp;"|"&amp;J982, 'Base Exámenes'!$I$5:$I$1000, 0))="", "", INDEX('Base Exámenes'!$H$5:$H$1000, MATCH(A982&amp;"|"&amp;J982, 'Base Exámenes'!$I$5:$I$1000, 0))), ""), "")</f>
        <v/>
      </c>
      <c r="L982" s="22" t="str">
        <f>IF($A982="","",COUNTIF('Base Exámenes'!$C$5:$C$1000, A982))</f>
        <v/>
      </c>
      <c r="M982" s="6" t="str">
        <f>IF($A982="","",IF(COUNTIF('Base Exámenes'!$C$5:$C$1000, A982)&gt;0, "", TRIM('Base Oficial'!H982)))</f>
        <v/>
      </c>
    </row>
    <row r="983">
      <c r="A983" s="4" t="str">
        <f>IF('Base Oficial'!A983="","",TRIM('Base Oficial'!A983))</f>
        <v/>
      </c>
      <c r="B983" s="6" t="str">
        <f>IF($A983="","",TRIM('Base Oficial'!B983))</f>
        <v/>
      </c>
      <c r="C983" s="6" t="str">
        <f>IF($A983="","",TRIM('Base Oficial'!F983))</f>
        <v/>
      </c>
      <c r="D983" s="6" t="str">
        <f>IF($A983="","",TRIM('Base Oficial'!G983))</f>
        <v/>
      </c>
      <c r="E983" s="6" t="str">
        <f>IF($A983="","",TRIM('Base Oficial'!D983))</f>
        <v/>
      </c>
      <c r="F983" s="4" t="str">
        <f>IF($A983="","",IF(COUNTIF('Base Exámenes'!$C$5:$C$1000, A983)&gt;0, "Completado", IF(M983&lt;&gt;"", M983, "Pendiente")))</f>
        <v/>
      </c>
      <c r="G983" s="11" t="str">
        <f>IF(F983="Completado", IFERROR(IF(INDEX('Base Exámenes'!$D$5:$D$1000, MATCH(A983&amp;"|"&amp;J983, 'Base Exámenes'!$I$5:$I$1000, 0))="", "", INDEX('Base Exámenes'!$D$5:$D$1000, MATCH(A983&amp;"|"&amp;J983, 'Base Exámenes'!$I$5:$I$1000, 0))), ""), "")</f>
        <v/>
      </c>
      <c r="H983" s="11" t="str">
        <f>IF(F983="Completado", IFERROR(IF(INDEX('Base Exámenes'!$E$5:$E$1000, MATCH(A983&amp;"|"&amp;J983, 'Base Exámenes'!$I$5:$I$1000, 0))="", "", INDEX('Base Exámenes'!$E$5:$E$1000, MATCH(A983&amp;"|"&amp;J983, 'Base Exámenes'!$I$5:$I$1000, 0))), ""), "")</f>
        <v/>
      </c>
      <c r="I983" s="10" t="str">
        <f>IF(F983="Completado", IFERROR(IF(INDEX('Base Exámenes'!$F$5:$F$1000, MATCH(A983&amp;"|"&amp;J983, 'Base Exámenes'!$I$5:$I$1000, 0))="", "", INDEX('Base Exámenes'!$F$5:$F$1000, MATCH(A983&amp;"|"&amp;J983, 'Base Exámenes'!$I$5:$I$1000, 0))), ""), "")</f>
        <v/>
      </c>
      <c r="J983" s="6" t="str">
        <f>IF(F983="Completado", IF(COUNTIFS('Base Exámenes'!$C$5:$C$1000, A983, 'Base Exámenes'!$G$5:$G$1000, "&lt;&gt;")=0, "", _xlfn.MAXIFS('Base Exámenes'!$G$5:$G$1000, 'Base Exámenes'!$C$5:$C$1000, A983)), "")</f>
        <v/>
      </c>
      <c r="K983" s="6" t="str">
        <f>IF(F983="Completado", IFERROR(IF(INDEX('Base Exámenes'!$H$5:$H$1000, MATCH(A983&amp;"|"&amp;J983, 'Base Exámenes'!$I$5:$I$1000, 0))="", "", INDEX('Base Exámenes'!$H$5:$H$1000, MATCH(A983&amp;"|"&amp;J983, 'Base Exámenes'!$I$5:$I$1000, 0))), ""), "")</f>
        <v/>
      </c>
      <c r="L983" s="22" t="str">
        <f>IF($A983="","",COUNTIF('Base Exámenes'!$C$5:$C$1000, A983))</f>
        <v/>
      </c>
      <c r="M983" s="6" t="str">
        <f>IF($A983="","",IF(COUNTIF('Base Exámenes'!$C$5:$C$1000, A983)&gt;0, "", TRIM('Base Oficial'!H983)))</f>
        <v/>
      </c>
    </row>
    <row r="984">
      <c r="A984" s="4" t="str">
        <f>IF('Base Oficial'!A984="","",TRIM('Base Oficial'!A984))</f>
        <v/>
      </c>
      <c r="B984" s="6" t="str">
        <f>IF($A984="","",TRIM('Base Oficial'!B984))</f>
        <v/>
      </c>
      <c r="C984" s="6" t="str">
        <f>IF($A984="","",TRIM('Base Oficial'!F984))</f>
        <v/>
      </c>
      <c r="D984" s="6" t="str">
        <f>IF($A984="","",TRIM('Base Oficial'!G984))</f>
        <v/>
      </c>
      <c r="E984" s="6" t="str">
        <f>IF($A984="","",TRIM('Base Oficial'!D984))</f>
        <v/>
      </c>
      <c r="F984" s="4" t="str">
        <f>IF($A984="","",IF(COUNTIF('Base Exámenes'!$C$5:$C$1000, A984)&gt;0, "Completado", IF(M984&lt;&gt;"", M984, "Pendiente")))</f>
        <v/>
      </c>
      <c r="G984" s="11" t="str">
        <f>IF(F984="Completado", IFERROR(IF(INDEX('Base Exámenes'!$D$5:$D$1000, MATCH(A984&amp;"|"&amp;J984, 'Base Exámenes'!$I$5:$I$1000, 0))="", "", INDEX('Base Exámenes'!$D$5:$D$1000, MATCH(A984&amp;"|"&amp;J984, 'Base Exámenes'!$I$5:$I$1000, 0))), ""), "")</f>
        <v/>
      </c>
      <c r="H984" s="11" t="str">
        <f>IF(F984="Completado", IFERROR(IF(INDEX('Base Exámenes'!$E$5:$E$1000, MATCH(A984&amp;"|"&amp;J984, 'Base Exámenes'!$I$5:$I$1000, 0))="", "", INDEX('Base Exámenes'!$E$5:$E$1000, MATCH(A984&amp;"|"&amp;J984, 'Base Exámenes'!$I$5:$I$1000, 0))), ""), "")</f>
        <v/>
      </c>
      <c r="I984" s="10" t="str">
        <f>IF(F984="Completado", IFERROR(IF(INDEX('Base Exámenes'!$F$5:$F$1000, MATCH(A984&amp;"|"&amp;J984, 'Base Exámenes'!$I$5:$I$1000, 0))="", "", INDEX('Base Exámenes'!$F$5:$F$1000, MATCH(A984&amp;"|"&amp;J984, 'Base Exámenes'!$I$5:$I$1000, 0))), ""), "")</f>
        <v/>
      </c>
      <c r="J984" s="6" t="str">
        <f>IF(F984="Completado", IF(COUNTIFS('Base Exámenes'!$C$5:$C$1000, A984, 'Base Exámenes'!$G$5:$G$1000, "&lt;&gt;")=0, "", _xlfn.MAXIFS('Base Exámenes'!$G$5:$G$1000, 'Base Exámenes'!$C$5:$C$1000, A984)), "")</f>
        <v/>
      </c>
      <c r="K984" s="6" t="str">
        <f>IF(F984="Completado", IFERROR(IF(INDEX('Base Exámenes'!$H$5:$H$1000, MATCH(A984&amp;"|"&amp;J984, 'Base Exámenes'!$I$5:$I$1000, 0))="", "", INDEX('Base Exámenes'!$H$5:$H$1000, MATCH(A984&amp;"|"&amp;J984, 'Base Exámenes'!$I$5:$I$1000, 0))), ""), "")</f>
        <v/>
      </c>
      <c r="L984" s="22" t="str">
        <f>IF($A984="","",COUNTIF('Base Exámenes'!$C$5:$C$1000, A984))</f>
        <v/>
      </c>
      <c r="M984" s="6" t="str">
        <f>IF($A984="","",IF(COUNTIF('Base Exámenes'!$C$5:$C$1000, A984)&gt;0, "", TRIM('Base Oficial'!H984)))</f>
        <v/>
      </c>
    </row>
    <row r="985">
      <c r="A985" s="4" t="str">
        <f>IF('Base Oficial'!A985="","",TRIM('Base Oficial'!A985))</f>
        <v/>
      </c>
      <c r="B985" s="6" t="str">
        <f>IF($A985="","",TRIM('Base Oficial'!B985))</f>
        <v/>
      </c>
      <c r="C985" s="6" t="str">
        <f>IF($A985="","",TRIM('Base Oficial'!F985))</f>
        <v/>
      </c>
      <c r="D985" s="6" t="str">
        <f>IF($A985="","",TRIM('Base Oficial'!G985))</f>
        <v/>
      </c>
      <c r="E985" s="6" t="str">
        <f>IF($A985="","",TRIM('Base Oficial'!D985))</f>
        <v/>
      </c>
      <c r="F985" s="4" t="str">
        <f>IF($A985="","",IF(COUNTIF('Base Exámenes'!$C$5:$C$1000, A985)&gt;0, "Completado", IF(M985&lt;&gt;"", M985, "Pendiente")))</f>
        <v/>
      </c>
      <c r="G985" s="11" t="str">
        <f>IF(F985="Completado", IFERROR(IF(INDEX('Base Exámenes'!$D$5:$D$1000, MATCH(A985&amp;"|"&amp;J985, 'Base Exámenes'!$I$5:$I$1000, 0))="", "", INDEX('Base Exámenes'!$D$5:$D$1000, MATCH(A985&amp;"|"&amp;J985, 'Base Exámenes'!$I$5:$I$1000, 0))), ""), "")</f>
        <v/>
      </c>
      <c r="H985" s="11" t="str">
        <f>IF(F985="Completado", IFERROR(IF(INDEX('Base Exámenes'!$E$5:$E$1000, MATCH(A985&amp;"|"&amp;J985, 'Base Exámenes'!$I$5:$I$1000, 0))="", "", INDEX('Base Exámenes'!$E$5:$E$1000, MATCH(A985&amp;"|"&amp;J985, 'Base Exámenes'!$I$5:$I$1000, 0))), ""), "")</f>
        <v/>
      </c>
      <c r="I985" s="10" t="str">
        <f>IF(F985="Completado", IFERROR(IF(INDEX('Base Exámenes'!$F$5:$F$1000, MATCH(A985&amp;"|"&amp;J985, 'Base Exámenes'!$I$5:$I$1000, 0))="", "", INDEX('Base Exámenes'!$F$5:$F$1000, MATCH(A985&amp;"|"&amp;J985, 'Base Exámenes'!$I$5:$I$1000, 0))), ""), "")</f>
        <v/>
      </c>
      <c r="J985" s="6" t="str">
        <f>IF(F985="Completado", IF(COUNTIFS('Base Exámenes'!$C$5:$C$1000, A985, 'Base Exámenes'!$G$5:$G$1000, "&lt;&gt;")=0, "", _xlfn.MAXIFS('Base Exámenes'!$G$5:$G$1000, 'Base Exámenes'!$C$5:$C$1000, A985)), "")</f>
        <v/>
      </c>
      <c r="K985" s="6" t="str">
        <f>IF(F985="Completado", IFERROR(IF(INDEX('Base Exámenes'!$H$5:$H$1000, MATCH(A985&amp;"|"&amp;J985, 'Base Exámenes'!$I$5:$I$1000, 0))="", "", INDEX('Base Exámenes'!$H$5:$H$1000, MATCH(A985&amp;"|"&amp;J985, 'Base Exámenes'!$I$5:$I$1000, 0))), ""), "")</f>
        <v/>
      </c>
      <c r="L985" s="22" t="str">
        <f>IF($A985="","",COUNTIF('Base Exámenes'!$C$5:$C$1000, A985))</f>
        <v/>
      </c>
      <c r="M985" s="6" t="str">
        <f>IF($A985="","",IF(COUNTIF('Base Exámenes'!$C$5:$C$1000, A985)&gt;0, "", TRIM('Base Oficial'!H985)))</f>
        <v/>
      </c>
    </row>
    <row r="986">
      <c r="A986" s="4" t="str">
        <f>IF('Base Oficial'!A986="","",TRIM('Base Oficial'!A986))</f>
        <v/>
      </c>
      <c r="B986" s="6" t="str">
        <f>IF($A986="","",TRIM('Base Oficial'!B986))</f>
        <v/>
      </c>
      <c r="C986" s="6" t="str">
        <f>IF($A986="","",TRIM('Base Oficial'!F986))</f>
        <v/>
      </c>
      <c r="D986" s="6" t="str">
        <f>IF($A986="","",TRIM('Base Oficial'!G986))</f>
        <v/>
      </c>
      <c r="E986" s="6" t="str">
        <f>IF($A986="","",TRIM('Base Oficial'!D986))</f>
        <v/>
      </c>
      <c r="F986" s="4" t="str">
        <f>IF($A986="","",IF(COUNTIF('Base Exámenes'!$C$5:$C$1000, A986)&gt;0, "Completado", IF(M986&lt;&gt;"", M986, "Pendiente")))</f>
        <v/>
      </c>
      <c r="G986" s="11" t="str">
        <f>IF(F986="Completado", IFERROR(IF(INDEX('Base Exámenes'!$D$5:$D$1000, MATCH(A986&amp;"|"&amp;J986, 'Base Exámenes'!$I$5:$I$1000, 0))="", "", INDEX('Base Exámenes'!$D$5:$D$1000, MATCH(A986&amp;"|"&amp;J986, 'Base Exámenes'!$I$5:$I$1000, 0))), ""), "")</f>
        <v/>
      </c>
      <c r="H986" s="11" t="str">
        <f>IF(F986="Completado", IFERROR(IF(INDEX('Base Exámenes'!$E$5:$E$1000, MATCH(A986&amp;"|"&amp;J986, 'Base Exámenes'!$I$5:$I$1000, 0))="", "", INDEX('Base Exámenes'!$E$5:$E$1000, MATCH(A986&amp;"|"&amp;J986, 'Base Exámenes'!$I$5:$I$1000, 0))), ""), "")</f>
        <v/>
      </c>
      <c r="I986" s="10" t="str">
        <f>IF(F986="Completado", IFERROR(IF(INDEX('Base Exámenes'!$F$5:$F$1000, MATCH(A986&amp;"|"&amp;J986, 'Base Exámenes'!$I$5:$I$1000, 0))="", "", INDEX('Base Exámenes'!$F$5:$F$1000, MATCH(A986&amp;"|"&amp;J986, 'Base Exámenes'!$I$5:$I$1000, 0))), ""), "")</f>
        <v/>
      </c>
      <c r="J986" s="6" t="str">
        <f>IF(F986="Completado", IF(COUNTIFS('Base Exámenes'!$C$5:$C$1000, A986, 'Base Exámenes'!$G$5:$G$1000, "&lt;&gt;")=0, "", _xlfn.MAXIFS('Base Exámenes'!$G$5:$G$1000, 'Base Exámenes'!$C$5:$C$1000, A986)), "")</f>
        <v/>
      </c>
      <c r="K986" s="6" t="str">
        <f>IF(F986="Completado", IFERROR(IF(INDEX('Base Exámenes'!$H$5:$H$1000, MATCH(A986&amp;"|"&amp;J986, 'Base Exámenes'!$I$5:$I$1000, 0))="", "", INDEX('Base Exámenes'!$H$5:$H$1000, MATCH(A986&amp;"|"&amp;J986, 'Base Exámenes'!$I$5:$I$1000, 0))), ""), "")</f>
        <v/>
      </c>
      <c r="L986" s="22" t="str">
        <f>IF($A986="","",COUNTIF('Base Exámenes'!$C$5:$C$1000, A986))</f>
        <v/>
      </c>
      <c r="M986" s="6" t="str">
        <f>IF($A986="","",IF(COUNTIF('Base Exámenes'!$C$5:$C$1000, A986)&gt;0, "", TRIM('Base Oficial'!H986)))</f>
        <v/>
      </c>
    </row>
    <row r="987">
      <c r="A987" s="4" t="str">
        <f>IF('Base Oficial'!A987="","",TRIM('Base Oficial'!A987))</f>
        <v/>
      </c>
      <c r="B987" s="6" t="str">
        <f>IF($A987="","",TRIM('Base Oficial'!B987))</f>
        <v/>
      </c>
      <c r="C987" s="6" t="str">
        <f>IF($A987="","",TRIM('Base Oficial'!F987))</f>
        <v/>
      </c>
      <c r="D987" s="6" t="str">
        <f>IF($A987="","",TRIM('Base Oficial'!G987))</f>
        <v/>
      </c>
      <c r="E987" s="6" t="str">
        <f>IF($A987="","",TRIM('Base Oficial'!D987))</f>
        <v/>
      </c>
      <c r="F987" s="4" t="str">
        <f>IF($A987="","",IF(COUNTIF('Base Exámenes'!$C$5:$C$1000, A987)&gt;0, "Completado", IF(M987&lt;&gt;"", M987, "Pendiente")))</f>
        <v/>
      </c>
      <c r="G987" s="11" t="str">
        <f>IF(F987="Completado", IFERROR(IF(INDEX('Base Exámenes'!$D$5:$D$1000, MATCH(A987&amp;"|"&amp;J987, 'Base Exámenes'!$I$5:$I$1000, 0))="", "", INDEX('Base Exámenes'!$D$5:$D$1000, MATCH(A987&amp;"|"&amp;J987, 'Base Exámenes'!$I$5:$I$1000, 0))), ""), "")</f>
        <v/>
      </c>
      <c r="H987" s="11" t="str">
        <f>IF(F987="Completado", IFERROR(IF(INDEX('Base Exámenes'!$E$5:$E$1000, MATCH(A987&amp;"|"&amp;J987, 'Base Exámenes'!$I$5:$I$1000, 0))="", "", INDEX('Base Exámenes'!$E$5:$E$1000, MATCH(A987&amp;"|"&amp;J987, 'Base Exámenes'!$I$5:$I$1000, 0))), ""), "")</f>
        <v/>
      </c>
      <c r="I987" s="10" t="str">
        <f>IF(F987="Completado", IFERROR(IF(INDEX('Base Exámenes'!$F$5:$F$1000, MATCH(A987&amp;"|"&amp;J987, 'Base Exámenes'!$I$5:$I$1000, 0))="", "", INDEX('Base Exámenes'!$F$5:$F$1000, MATCH(A987&amp;"|"&amp;J987, 'Base Exámenes'!$I$5:$I$1000, 0))), ""), "")</f>
        <v/>
      </c>
      <c r="J987" s="6" t="str">
        <f>IF(F987="Completado", IF(COUNTIFS('Base Exámenes'!$C$5:$C$1000, A987, 'Base Exámenes'!$G$5:$G$1000, "&lt;&gt;")=0, "", _xlfn.MAXIFS('Base Exámenes'!$G$5:$G$1000, 'Base Exámenes'!$C$5:$C$1000, A987)), "")</f>
        <v/>
      </c>
      <c r="K987" s="6" t="str">
        <f>IF(F987="Completado", IFERROR(IF(INDEX('Base Exámenes'!$H$5:$H$1000, MATCH(A987&amp;"|"&amp;J987, 'Base Exámenes'!$I$5:$I$1000, 0))="", "", INDEX('Base Exámenes'!$H$5:$H$1000, MATCH(A987&amp;"|"&amp;J987, 'Base Exámenes'!$I$5:$I$1000, 0))), ""), "")</f>
        <v/>
      </c>
      <c r="L987" s="22" t="str">
        <f>IF($A987="","",COUNTIF('Base Exámenes'!$C$5:$C$1000, A987))</f>
        <v/>
      </c>
      <c r="M987" s="6" t="str">
        <f>IF($A987="","",IF(COUNTIF('Base Exámenes'!$C$5:$C$1000, A987)&gt;0, "", TRIM('Base Oficial'!H987)))</f>
        <v/>
      </c>
    </row>
    <row r="988">
      <c r="A988" s="4" t="str">
        <f>IF('Base Oficial'!A988="","",TRIM('Base Oficial'!A988))</f>
        <v/>
      </c>
      <c r="B988" s="6" t="str">
        <f>IF($A988="","",TRIM('Base Oficial'!B988))</f>
        <v/>
      </c>
      <c r="C988" s="6" t="str">
        <f>IF($A988="","",TRIM('Base Oficial'!F988))</f>
        <v/>
      </c>
      <c r="D988" s="6" t="str">
        <f>IF($A988="","",TRIM('Base Oficial'!G988))</f>
        <v/>
      </c>
      <c r="E988" s="6" t="str">
        <f>IF($A988="","",TRIM('Base Oficial'!D988))</f>
        <v/>
      </c>
      <c r="F988" s="4" t="str">
        <f>IF($A988="","",IF(COUNTIF('Base Exámenes'!$C$5:$C$1000, A988)&gt;0, "Completado", IF(M988&lt;&gt;"", M988, "Pendiente")))</f>
        <v/>
      </c>
      <c r="G988" s="11" t="str">
        <f>IF(F988="Completado", IFERROR(IF(INDEX('Base Exámenes'!$D$5:$D$1000, MATCH(A988&amp;"|"&amp;J988, 'Base Exámenes'!$I$5:$I$1000, 0))="", "", INDEX('Base Exámenes'!$D$5:$D$1000, MATCH(A988&amp;"|"&amp;J988, 'Base Exámenes'!$I$5:$I$1000, 0))), ""), "")</f>
        <v/>
      </c>
      <c r="H988" s="11" t="str">
        <f>IF(F988="Completado", IFERROR(IF(INDEX('Base Exámenes'!$E$5:$E$1000, MATCH(A988&amp;"|"&amp;J988, 'Base Exámenes'!$I$5:$I$1000, 0))="", "", INDEX('Base Exámenes'!$E$5:$E$1000, MATCH(A988&amp;"|"&amp;J988, 'Base Exámenes'!$I$5:$I$1000, 0))), ""), "")</f>
        <v/>
      </c>
      <c r="I988" s="10" t="str">
        <f>IF(F988="Completado", IFERROR(IF(INDEX('Base Exámenes'!$F$5:$F$1000, MATCH(A988&amp;"|"&amp;J988, 'Base Exámenes'!$I$5:$I$1000, 0))="", "", INDEX('Base Exámenes'!$F$5:$F$1000, MATCH(A988&amp;"|"&amp;J988, 'Base Exámenes'!$I$5:$I$1000, 0))), ""), "")</f>
        <v/>
      </c>
      <c r="J988" s="6" t="str">
        <f>IF(F988="Completado", IF(COUNTIFS('Base Exámenes'!$C$5:$C$1000, A988, 'Base Exámenes'!$G$5:$G$1000, "&lt;&gt;")=0, "", _xlfn.MAXIFS('Base Exámenes'!$G$5:$G$1000, 'Base Exámenes'!$C$5:$C$1000, A988)), "")</f>
        <v/>
      </c>
      <c r="K988" s="6" t="str">
        <f>IF(F988="Completado", IFERROR(IF(INDEX('Base Exámenes'!$H$5:$H$1000, MATCH(A988&amp;"|"&amp;J988, 'Base Exámenes'!$I$5:$I$1000, 0))="", "", INDEX('Base Exámenes'!$H$5:$H$1000, MATCH(A988&amp;"|"&amp;J988, 'Base Exámenes'!$I$5:$I$1000, 0))), ""), "")</f>
        <v/>
      </c>
      <c r="L988" s="22" t="str">
        <f>IF($A988="","",COUNTIF('Base Exámenes'!$C$5:$C$1000, A988))</f>
        <v/>
      </c>
      <c r="M988" s="6" t="str">
        <f>IF($A988="","",IF(COUNTIF('Base Exámenes'!$C$5:$C$1000, A988)&gt;0, "", TRIM('Base Oficial'!H988)))</f>
        <v/>
      </c>
    </row>
    <row r="989">
      <c r="A989" s="4" t="str">
        <f>IF('Base Oficial'!A989="","",TRIM('Base Oficial'!A989))</f>
        <v/>
      </c>
      <c r="B989" s="6" t="str">
        <f>IF($A989="","",TRIM('Base Oficial'!B989))</f>
        <v/>
      </c>
      <c r="C989" s="6" t="str">
        <f>IF($A989="","",TRIM('Base Oficial'!F989))</f>
        <v/>
      </c>
      <c r="D989" s="6" t="str">
        <f>IF($A989="","",TRIM('Base Oficial'!G989))</f>
        <v/>
      </c>
      <c r="E989" s="6" t="str">
        <f>IF($A989="","",TRIM('Base Oficial'!D989))</f>
        <v/>
      </c>
      <c r="F989" s="4" t="str">
        <f>IF($A989="","",IF(COUNTIF('Base Exámenes'!$C$5:$C$1000, A989)&gt;0, "Completado", IF(M989&lt;&gt;"", M989, "Pendiente")))</f>
        <v/>
      </c>
      <c r="G989" s="11" t="str">
        <f>IF(F989="Completado", IFERROR(IF(INDEX('Base Exámenes'!$D$5:$D$1000, MATCH(A989&amp;"|"&amp;J989, 'Base Exámenes'!$I$5:$I$1000, 0))="", "", INDEX('Base Exámenes'!$D$5:$D$1000, MATCH(A989&amp;"|"&amp;J989, 'Base Exámenes'!$I$5:$I$1000, 0))), ""), "")</f>
        <v/>
      </c>
      <c r="H989" s="11" t="str">
        <f>IF(F989="Completado", IFERROR(IF(INDEX('Base Exámenes'!$E$5:$E$1000, MATCH(A989&amp;"|"&amp;J989, 'Base Exámenes'!$I$5:$I$1000, 0))="", "", INDEX('Base Exámenes'!$E$5:$E$1000, MATCH(A989&amp;"|"&amp;J989, 'Base Exámenes'!$I$5:$I$1000, 0))), ""), "")</f>
        <v/>
      </c>
      <c r="I989" s="10" t="str">
        <f>IF(F989="Completado", IFERROR(IF(INDEX('Base Exámenes'!$F$5:$F$1000, MATCH(A989&amp;"|"&amp;J989, 'Base Exámenes'!$I$5:$I$1000, 0))="", "", INDEX('Base Exámenes'!$F$5:$F$1000, MATCH(A989&amp;"|"&amp;J989, 'Base Exámenes'!$I$5:$I$1000, 0))), ""), "")</f>
        <v/>
      </c>
      <c r="J989" s="6" t="str">
        <f>IF(F989="Completado", IF(COUNTIFS('Base Exámenes'!$C$5:$C$1000, A989, 'Base Exámenes'!$G$5:$G$1000, "&lt;&gt;")=0, "", _xlfn.MAXIFS('Base Exámenes'!$G$5:$G$1000, 'Base Exámenes'!$C$5:$C$1000, A989)), "")</f>
        <v/>
      </c>
      <c r="K989" s="6" t="str">
        <f>IF(F989="Completado", IFERROR(IF(INDEX('Base Exámenes'!$H$5:$H$1000, MATCH(A989&amp;"|"&amp;J989, 'Base Exámenes'!$I$5:$I$1000, 0))="", "", INDEX('Base Exámenes'!$H$5:$H$1000, MATCH(A989&amp;"|"&amp;J989, 'Base Exámenes'!$I$5:$I$1000, 0))), ""), "")</f>
        <v/>
      </c>
      <c r="L989" s="22" t="str">
        <f>IF($A989="","",COUNTIF('Base Exámenes'!$C$5:$C$1000, A989))</f>
        <v/>
      </c>
      <c r="M989" s="6" t="str">
        <f>IF($A989="","",IF(COUNTIF('Base Exámenes'!$C$5:$C$1000, A989)&gt;0, "", TRIM('Base Oficial'!H989)))</f>
        <v/>
      </c>
    </row>
    <row r="990">
      <c r="A990" s="4" t="str">
        <f>IF('Base Oficial'!A990="","",TRIM('Base Oficial'!A990))</f>
        <v/>
      </c>
      <c r="B990" s="6" t="str">
        <f>IF($A990="","",TRIM('Base Oficial'!B990))</f>
        <v/>
      </c>
      <c r="C990" s="6" t="str">
        <f>IF($A990="","",TRIM('Base Oficial'!F990))</f>
        <v/>
      </c>
      <c r="D990" s="6" t="str">
        <f>IF($A990="","",TRIM('Base Oficial'!G990))</f>
        <v/>
      </c>
      <c r="E990" s="6" t="str">
        <f>IF($A990="","",TRIM('Base Oficial'!D990))</f>
        <v/>
      </c>
      <c r="F990" s="4" t="str">
        <f>IF($A990="","",IF(COUNTIF('Base Exámenes'!$C$5:$C$1000, A990)&gt;0, "Completado", IF(M990&lt;&gt;"", M990, "Pendiente")))</f>
        <v/>
      </c>
      <c r="G990" s="11" t="str">
        <f>IF(F990="Completado", IFERROR(IF(INDEX('Base Exámenes'!$D$5:$D$1000, MATCH(A990&amp;"|"&amp;J990, 'Base Exámenes'!$I$5:$I$1000, 0))="", "", INDEX('Base Exámenes'!$D$5:$D$1000, MATCH(A990&amp;"|"&amp;J990, 'Base Exámenes'!$I$5:$I$1000, 0))), ""), "")</f>
        <v/>
      </c>
      <c r="H990" s="11" t="str">
        <f>IF(F990="Completado", IFERROR(IF(INDEX('Base Exámenes'!$E$5:$E$1000, MATCH(A990&amp;"|"&amp;J990, 'Base Exámenes'!$I$5:$I$1000, 0))="", "", INDEX('Base Exámenes'!$E$5:$E$1000, MATCH(A990&amp;"|"&amp;J990, 'Base Exámenes'!$I$5:$I$1000, 0))), ""), "")</f>
        <v/>
      </c>
      <c r="I990" s="10" t="str">
        <f>IF(F990="Completado", IFERROR(IF(INDEX('Base Exámenes'!$F$5:$F$1000, MATCH(A990&amp;"|"&amp;J990, 'Base Exámenes'!$I$5:$I$1000, 0))="", "", INDEX('Base Exámenes'!$F$5:$F$1000, MATCH(A990&amp;"|"&amp;J990, 'Base Exámenes'!$I$5:$I$1000, 0))), ""), "")</f>
        <v/>
      </c>
      <c r="J990" s="6" t="str">
        <f>IF(F990="Completado", IF(COUNTIFS('Base Exámenes'!$C$5:$C$1000, A990, 'Base Exámenes'!$G$5:$G$1000, "&lt;&gt;")=0, "", _xlfn.MAXIFS('Base Exámenes'!$G$5:$G$1000, 'Base Exámenes'!$C$5:$C$1000, A990)), "")</f>
        <v/>
      </c>
      <c r="K990" s="6" t="str">
        <f>IF(F990="Completado", IFERROR(IF(INDEX('Base Exámenes'!$H$5:$H$1000, MATCH(A990&amp;"|"&amp;J990, 'Base Exámenes'!$I$5:$I$1000, 0))="", "", INDEX('Base Exámenes'!$H$5:$H$1000, MATCH(A990&amp;"|"&amp;J990, 'Base Exámenes'!$I$5:$I$1000, 0))), ""), "")</f>
        <v/>
      </c>
      <c r="L990" s="22" t="str">
        <f>IF($A990="","",COUNTIF('Base Exámenes'!$C$5:$C$1000, A990))</f>
        <v/>
      </c>
      <c r="M990" s="6" t="str">
        <f>IF($A990="","",IF(COUNTIF('Base Exámenes'!$C$5:$C$1000, A990)&gt;0, "", TRIM('Base Oficial'!H990)))</f>
        <v/>
      </c>
    </row>
    <row r="991">
      <c r="A991" s="4" t="str">
        <f>IF('Base Oficial'!A991="","",TRIM('Base Oficial'!A991))</f>
        <v/>
      </c>
      <c r="B991" s="6" t="str">
        <f>IF($A991="","",TRIM('Base Oficial'!B991))</f>
        <v/>
      </c>
      <c r="C991" s="6" t="str">
        <f>IF($A991="","",TRIM('Base Oficial'!F991))</f>
        <v/>
      </c>
      <c r="D991" s="6" t="str">
        <f>IF($A991="","",TRIM('Base Oficial'!G991))</f>
        <v/>
      </c>
      <c r="E991" s="6" t="str">
        <f>IF($A991="","",TRIM('Base Oficial'!D991))</f>
        <v/>
      </c>
      <c r="F991" s="4" t="str">
        <f>IF($A991="","",IF(COUNTIF('Base Exámenes'!$C$5:$C$1000, A991)&gt;0, "Completado", IF(M991&lt;&gt;"", M991, "Pendiente")))</f>
        <v/>
      </c>
      <c r="G991" s="11" t="str">
        <f>IF(F991="Completado", IFERROR(IF(INDEX('Base Exámenes'!$D$5:$D$1000, MATCH(A991&amp;"|"&amp;J991, 'Base Exámenes'!$I$5:$I$1000, 0))="", "", INDEX('Base Exámenes'!$D$5:$D$1000, MATCH(A991&amp;"|"&amp;J991, 'Base Exámenes'!$I$5:$I$1000, 0))), ""), "")</f>
        <v/>
      </c>
      <c r="H991" s="11" t="str">
        <f>IF(F991="Completado", IFERROR(IF(INDEX('Base Exámenes'!$E$5:$E$1000, MATCH(A991&amp;"|"&amp;J991, 'Base Exámenes'!$I$5:$I$1000, 0))="", "", INDEX('Base Exámenes'!$E$5:$E$1000, MATCH(A991&amp;"|"&amp;J991, 'Base Exámenes'!$I$5:$I$1000, 0))), ""), "")</f>
        <v/>
      </c>
      <c r="I991" s="10" t="str">
        <f>IF(F991="Completado", IFERROR(IF(INDEX('Base Exámenes'!$F$5:$F$1000, MATCH(A991&amp;"|"&amp;J991, 'Base Exámenes'!$I$5:$I$1000, 0))="", "", INDEX('Base Exámenes'!$F$5:$F$1000, MATCH(A991&amp;"|"&amp;J991, 'Base Exámenes'!$I$5:$I$1000, 0))), ""), "")</f>
        <v/>
      </c>
      <c r="J991" s="6" t="str">
        <f>IF(F991="Completado", IF(COUNTIFS('Base Exámenes'!$C$5:$C$1000, A991, 'Base Exámenes'!$G$5:$G$1000, "&lt;&gt;")=0, "", _xlfn.MAXIFS('Base Exámenes'!$G$5:$G$1000, 'Base Exámenes'!$C$5:$C$1000, A991)), "")</f>
        <v/>
      </c>
      <c r="K991" s="6" t="str">
        <f>IF(F991="Completado", IFERROR(IF(INDEX('Base Exámenes'!$H$5:$H$1000, MATCH(A991&amp;"|"&amp;J991, 'Base Exámenes'!$I$5:$I$1000, 0))="", "", INDEX('Base Exámenes'!$H$5:$H$1000, MATCH(A991&amp;"|"&amp;J991, 'Base Exámenes'!$I$5:$I$1000, 0))), ""), "")</f>
        <v/>
      </c>
      <c r="L991" s="22" t="str">
        <f>IF($A991="","",COUNTIF('Base Exámenes'!$C$5:$C$1000, A991))</f>
        <v/>
      </c>
      <c r="M991" s="6" t="str">
        <f>IF($A991="","",IF(COUNTIF('Base Exámenes'!$C$5:$C$1000, A991)&gt;0, "", TRIM('Base Oficial'!H991)))</f>
        <v/>
      </c>
    </row>
    <row r="992">
      <c r="A992" s="4" t="str">
        <f>IF('Base Oficial'!A992="","",TRIM('Base Oficial'!A992))</f>
        <v/>
      </c>
      <c r="B992" s="6" t="str">
        <f>IF($A992="","",TRIM('Base Oficial'!B992))</f>
        <v/>
      </c>
      <c r="C992" s="6" t="str">
        <f>IF($A992="","",TRIM('Base Oficial'!F992))</f>
        <v/>
      </c>
      <c r="D992" s="6" t="str">
        <f>IF($A992="","",TRIM('Base Oficial'!G992))</f>
        <v/>
      </c>
      <c r="E992" s="6" t="str">
        <f>IF($A992="","",TRIM('Base Oficial'!D992))</f>
        <v/>
      </c>
      <c r="F992" s="4" t="str">
        <f>IF($A992="","",IF(COUNTIF('Base Exámenes'!$C$5:$C$1000, A992)&gt;0, "Completado", IF(M992&lt;&gt;"", M992, "Pendiente")))</f>
        <v/>
      </c>
      <c r="G992" s="11" t="str">
        <f>IF(F992="Completado", IFERROR(IF(INDEX('Base Exámenes'!$D$5:$D$1000, MATCH(A992&amp;"|"&amp;J992, 'Base Exámenes'!$I$5:$I$1000, 0))="", "", INDEX('Base Exámenes'!$D$5:$D$1000, MATCH(A992&amp;"|"&amp;J992, 'Base Exámenes'!$I$5:$I$1000, 0))), ""), "")</f>
        <v/>
      </c>
      <c r="H992" s="11" t="str">
        <f>IF(F992="Completado", IFERROR(IF(INDEX('Base Exámenes'!$E$5:$E$1000, MATCH(A992&amp;"|"&amp;J992, 'Base Exámenes'!$I$5:$I$1000, 0))="", "", INDEX('Base Exámenes'!$E$5:$E$1000, MATCH(A992&amp;"|"&amp;J992, 'Base Exámenes'!$I$5:$I$1000, 0))), ""), "")</f>
        <v/>
      </c>
      <c r="I992" s="10" t="str">
        <f>IF(F992="Completado", IFERROR(IF(INDEX('Base Exámenes'!$F$5:$F$1000, MATCH(A992&amp;"|"&amp;J992, 'Base Exámenes'!$I$5:$I$1000, 0))="", "", INDEX('Base Exámenes'!$F$5:$F$1000, MATCH(A992&amp;"|"&amp;J992, 'Base Exámenes'!$I$5:$I$1000, 0))), ""), "")</f>
        <v/>
      </c>
      <c r="J992" s="6" t="str">
        <f>IF(F992="Completado", IF(COUNTIFS('Base Exámenes'!$C$5:$C$1000, A992, 'Base Exámenes'!$G$5:$G$1000, "&lt;&gt;")=0, "", _xlfn.MAXIFS('Base Exámenes'!$G$5:$G$1000, 'Base Exámenes'!$C$5:$C$1000, A992)), "")</f>
        <v/>
      </c>
      <c r="K992" s="6" t="str">
        <f>IF(F992="Completado", IFERROR(IF(INDEX('Base Exámenes'!$H$5:$H$1000, MATCH(A992&amp;"|"&amp;J992, 'Base Exámenes'!$I$5:$I$1000, 0))="", "", INDEX('Base Exámenes'!$H$5:$H$1000, MATCH(A992&amp;"|"&amp;J992, 'Base Exámenes'!$I$5:$I$1000, 0))), ""), "")</f>
        <v/>
      </c>
      <c r="L992" s="22" t="str">
        <f>IF($A992="","",COUNTIF('Base Exámenes'!$C$5:$C$1000, A992))</f>
        <v/>
      </c>
      <c r="M992" s="6" t="str">
        <f>IF($A992="","",IF(COUNTIF('Base Exámenes'!$C$5:$C$1000, A992)&gt;0, "", TRIM('Base Oficial'!H992)))</f>
        <v/>
      </c>
    </row>
    <row r="993">
      <c r="A993" s="4" t="str">
        <f>IF('Base Oficial'!A993="","",TRIM('Base Oficial'!A993))</f>
        <v/>
      </c>
      <c r="B993" s="6" t="str">
        <f>IF($A993="","",TRIM('Base Oficial'!B993))</f>
        <v/>
      </c>
      <c r="C993" s="6" t="str">
        <f>IF($A993="","",TRIM('Base Oficial'!F993))</f>
        <v/>
      </c>
      <c r="D993" s="6" t="str">
        <f>IF($A993="","",TRIM('Base Oficial'!G993))</f>
        <v/>
      </c>
      <c r="E993" s="6" t="str">
        <f>IF($A993="","",TRIM('Base Oficial'!D993))</f>
        <v/>
      </c>
      <c r="F993" s="4" t="str">
        <f>IF($A993="","",IF(COUNTIF('Base Exámenes'!$C$5:$C$1000, A993)&gt;0, "Completado", IF(M993&lt;&gt;"", M993, "Pendiente")))</f>
        <v/>
      </c>
      <c r="G993" s="11" t="str">
        <f>IF(F993="Completado", IFERROR(IF(INDEX('Base Exámenes'!$D$5:$D$1000, MATCH(A993&amp;"|"&amp;J993, 'Base Exámenes'!$I$5:$I$1000, 0))="", "", INDEX('Base Exámenes'!$D$5:$D$1000, MATCH(A993&amp;"|"&amp;J993, 'Base Exámenes'!$I$5:$I$1000, 0))), ""), "")</f>
        <v/>
      </c>
      <c r="H993" s="11" t="str">
        <f>IF(F993="Completado", IFERROR(IF(INDEX('Base Exámenes'!$E$5:$E$1000, MATCH(A993&amp;"|"&amp;J993, 'Base Exámenes'!$I$5:$I$1000, 0))="", "", INDEX('Base Exámenes'!$E$5:$E$1000, MATCH(A993&amp;"|"&amp;J993, 'Base Exámenes'!$I$5:$I$1000, 0))), ""), "")</f>
        <v/>
      </c>
      <c r="I993" s="10" t="str">
        <f>IF(F993="Completado", IFERROR(IF(INDEX('Base Exámenes'!$F$5:$F$1000, MATCH(A993&amp;"|"&amp;J993, 'Base Exámenes'!$I$5:$I$1000, 0))="", "", INDEX('Base Exámenes'!$F$5:$F$1000, MATCH(A993&amp;"|"&amp;J993, 'Base Exámenes'!$I$5:$I$1000, 0))), ""), "")</f>
        <v/>
      </c>
      <c r="J993" s="6" t="str">
        <f>IF(F993="Completado", IF(COUNTIFS('Base Exámenes'!$C$5:$C$1000, A993, 'Base Exámenes'!$G$5:$G$1000, "&lt;&gt;")=0, "", _xlfn.MAXIFS('Base Exámenes'!$G$5:$G$1000, 'Base Exámenes'!$C$5:$C$1000, A993)), "")</f>
        <v/>
      </c>
      <c r="K993" s="6" t="str">
        <f>IF(F993="Completado", IFERROR(IF(INDEX('Base Exámenes'!$H$5:$H$1000, MATCH(A993&amp;"|"&amp;J993, 'Base Exámenes'!$I$5:$I$1000, 0))="", "", INDEX('Base Exámenes'!$H$5:$H$1000, MATCH(A993&amp;"|"&amp;J993, 'Base Exámenes'!$I$5:$I$1000, 0))), ""), "")</f>
        <v/>
      </c>
      <c r="L993" s="22" t="str">
        <f>IF($A993="","",COUNTIF('Base Exámenes'!$C$5:$C$1000, A993))</f>
        <v/>
      </c>
      <c r="M993" s="6" t="str">
        <f>IF($A993="","",IF(COUNTIF('Base Exámenes'!$C$5:$C$1000, A993)&gt;0, "", TRIM('Base Oficial'!H993)))</f>
        <v/>
      </c>
    </row>
    <row r="994">
      <c r="A994" s="4" t="str">
        <f>IF('Base Oficial'!A994="","",TRIM('Base Oficial'!A994))</f>
        <v/>
      </c>
      <c r="B994" s="6" t="str">
        <f>IF($A994="","",TRIM('Base Oficial'!B994))</f>
        <v/>
      </c>
      <c r="C994" s="6" t="str">
        <f>IF($A994="","",TRIM('Base Oficial'!F994))</f>
        <v/>
      </c>
      <c r="D994" s="6" t="str">
        <f>IF($A994="","",TRIM('Base Oficial'!G994))</f>
        <v/>
      </c>
      <c r="E994" s="6" t="str">
        <f>IF($A994="","",TRIM('Base Oficial'!D994))</f>
        <v/>
      </c>
      <c r="F994" s="4" t="str">
        <f>IF($A994="","",IF(COUNTIF('Base Exámenes'!$C$5:$C$1000, A994)&gt;0, "Completado", IF(M994&lt;&gt;"", M994, "Pendiente")))</f>
        <v/>
      </c>
      <c r="G994" s="11" t="str">
        <f>IF(F994="Completado", IFERROR(IF(INDEX('Base Exámenes'!$D$5:$D$1000, MATCH(A994&amp;"|"&amp;J994, 'Base Exámenes'!$I$5:$I$1000, 0))="", "", INDEX('Base Exámenes'!$D$5:$D$1000, MATCH(A994&amp;"|"&amp;J994, 'Base Exámenes'!$I$5:$I$1000, 0))), ""), "")</f>
        <v/>
      </c>
      <c r="H994" s="11" t="str">
        <f>IF(F994="Completado", IFERROR(IF(INDEX('Base Exámenes'!$E$5:$E$1000, MATCH(A994&amp;"|"&amp;J994, 'Base Exámenes'!$I$5:$I$1000, 0))="", "", INDEX('Base Exámenes'!$E$5:$E$1000, MATCH(A994&amp;"|"&amp;J994, 'Base Exámenes'!$I$5:$I$1000, 0))), ""), "")</f>
        <v/>
      </c>
      <c r="I994" s="10" t="str">
        <f>IF(F994="Completado", IFERROR(IF(INDEX('Base Exámenes'!$F$5:$F$1000, MATCH(A994&amp;"|"&amp;J994, 'Base Exámenes'!$I$5:$I$1000, 0))="", "", INDEX('Base Exámenes'!$F$5:$F$1000, MATCH(A994&amp;"|"&amp;J994, 'Base Exámenes'!$I$5:$I$1000, 0))), ""), "")</f>
        <v/>
      </c>
      <c r="J994" s="6" t="str">
        <f>IF(F994="Completado", IF(COUNTIFS('Base Exámenes'!$C$5:$C$1000, A994, 'Base Exámenes'!$G$5:$G$1000, "&lt;&gt;")=0, "", _xlfn.MAXIFS('Base Exámenes'!$G$5:$G$1000, 'Base Exámenes'!$C$5:$C$1000, A994)), "")</f>
        <v/>
      </c>
      <c r="K994" s="6" t="str">
        <f>IF(F994="Completado", IFERROR(IF(INDEX('Base Exámenes'!$H$5:$H$1000, MATCH(A994&amp;"|"&amp;J994, 'Base Exámenes'!$I$5:$I$1000, 0))="", "", INDEX('Base Exámenes'!$H$5:$H$1000, MATCH(A994&amp;"|"&amp;J994, 'Base Exámenes'!$I$5:$I$1000, 0))), ""), "")</f>
        <v/>
      </c>
      <c r="L994" s="22" t="str">
        <f>IF($A994="","",COUNTIF('Base Exámenes'!$C$5:$C$1000, A994))</f>
        <v/>
      </c>
      <c r="M994" s="6" t="str">
        <f>IF($A994="","",IF(COUNTIF('Base Exámenes'!$C$5:$C$1000, A994)&gt;0, "", TRIM('Base Oficial'!H994)))</f>
        <v/>
      </c>
    </row>
    <row r="995">
      <c r="A995" s="4" t="str">
        <f>IF('Base Oficial'!A995="","",TRIM('Base Oficial'!A995))</f>
        <v/>
      </c>
      <c r="B995" s="6" t="str">
        <f>IF($A995="","",TRIM('Base Oficial'!B995))</f>
        <v/>
      </c>
      <c r="C995" s="6" t="str">
        <f>IF($A995="","",TRIM('Base Oficial'!F995))</f>
        <v/>
      </c>
      <c r="D995" s="6" t="str">
        <f>IF($A995="","",TRIM('Base Oficial'!G995))</f>
        <v/>
      </c>
      <c r="E995" s="6" t="str">
        <f>IF($A995="","",TRIM('Base Oficial'!D995))</f>
        <v/>
      </c>
      <c r="F995" s="4" t="str">
        <f>IF($A995="","",IF(COUNTIF('Base Exámenes'!$C$5:$C$1000, A995)&gt;0, "Completado", IF(M995&lt;&gt;"", M995, "Pendiente")))</f>
        <v/>
      </c>
      <c r="G995" s="11" t="str">
        <f>IF(F995="Completado", IFERROR(IF(INDEX('Base Exámenes'!$D$5:$D$1000, MATCH(A995&amp;"|"&amp;J995, 'Base Exámenes'!$I$5:$I$1000, 0))="", "", INDEX('Base Exámenes'!$D$5:$D$1000, MATCH(A995&amp;"|"&amp;J995, 'Base Exámenes'!$I$5:$I$1000, 0))), ""), "")</f>
        <v/>
      </c>
      <c r="H995" s="11" t="str">
        <f>IF(F995="Completado", IFERROR(IF(INDEX('Base Exámenes'!$E$5:$E$1000, MATCH(A995&amp;"|"&amp;J995, 'Base Exámenes'!$I$5:$I$1000, 0))="", "", INDEX('Base Exámenes'!$E$5:$E$1000, MATCH(A995&amp;"|"&amp;J995, 'Base Exámenes'!$I$5:$I$1000, 0))), ""), "")</f>
        <v/>
      </c>
      <c r="I995" s="10" t="str">
        <f>IF(F995="Completado", IFERROR(IF(INDEX('Base Exámenes'!$F$5:$F$1000, MATCH(A995&amp;"|"&amp;J995, 'Base Exámenes'!$I$5:$I$1000, 0))="", "", INDEX('Base Exámenes'!$F$5:$F$1000, MATCH(A995&amp;"|"&amp;J995, 'Base Exámenes'!$I$5:$I$1000, 0))), ""), "")</f>
        <v/>
      </c>
      <c r="J995" s="6" t="str">
        <f>IF(F995="Completado", IF(COUNTIFS('Base Exámenes'!$C$5:$C$1000, A995, 'Base Exámenes'!$G$5:$G$1000, "&lt;&gt;")=0, "", _xlfn.MAXIFS('Base Exámenes'!$G$5:$G$1000, 'Base Exámenes'!$C$5:$C$1000, A995)), "")</f>
        <v/>
      </c>
      <c r="K995" s="6" t="str">
        <f>IF(F995="Completado", IFERROR(IF(INDEX('Base Exámenes'!$H$5:$H$1000, MATCH(A995&amp;"|"&amp;J995, 'Base Exámenes'!$I$5:$I$1000, 0))="", "", INDEX('Base Exámenes'!$H$5:$H$1000, MATCH(A995&amp;"|"&amp;J995, 'Base Exámenes'!$I$5:$I$1000, 0))), ""), "")</f>
        <v/>
      </c>
      <c r="L995" s="22" t="str">
        <f>IF($A995="","",COUNTIF('Base Exámenes'!$C$5:$C$1000, A995))</f>
        <v/>
      </c>
      <c r="M995" s="6" t="str">
        <f>IF($A995="","",IF(COUNTIF('Base Exámenes'!$C$5:$C$1000, A995)&gt;0, "", TRIM('Base Oficial'!H995)))</f>
        <v/>
      </c>
    </row>
    <row r="996">
      <c r="A996" s="4" t="str">
        <f>IF('Base Oficial'!A996="","",TRIM('Base Oficial'!A996))</f>
        <v/>
      </c>
      <c r="B996" s="6" t="str">
        <f>IF($A996="","",TRIM('Base Oficial'!B996))</f>
        <v/>
      </c>
      <c r="C996" s="6" t="str">
        <f>IF($A996="","",TRIM('Base Oficial'!F996))</f>
        <v/>
      </c>
      <c r="D996" s="6" t="str">
        <f>IF($A996="","",TRIM('Base Oficial'!G996))</f>
        <v/>
      </c>
      <c r="E996" s="6" t="str">
        <f>IF($A996="","",TRIM('Base Oficial'!D996))</f>
        <v/>
      </c>
      <c r="F996" s="4" t="str">
        <f>IF($A996="","",IF(COUNTIF('Base Exámenes'!$C$5:$C$1000, A996)&gt;0, "Completado", IF(M996&lt;&gt;"", M996, "Pendiente")))</f>
        <v/>
      </c>
      <c r="G996" s="11" t="str">
        <f>IF(F996="Completado", IFERROR(IF(INDEX('Base Exámenes'!$D$5:$D$1000, MATCH(A996&amp;"|"&amp;J996, 'Base Exámenes'!$I$5:$I$1000, 0))="", "", INDEX('Base Exámenes'!$D$5:$D$1000, MATCH(A996&amp;"|"&amp;J996, 'Base Exámenes'!$I$5:$I$1000, 0))), ""), "")</f>
        <v/>
      </c>
      <c r="H996" s="11" t="str">
        <f>IF(F996="Completado", IFERROR(IF(INDEX('Base Exámenes'!$E$5:$E$1000, MATCH(A996&amp;"|"&amp;J996, 'Base Exámenes'!$I$5:$I$1000, 0))="", "", INDEX('Base Exámenes'!$E$5:$E$1000, MATCH(A996&amp;"|"&amp;J996, 'Base Exámenes'!$I$5:$I$1000, 0))), ""), "")</f>
        <v/>
      </c>
      <c r="I996" s="10" t="str">
        <f>IF(F996="Completado", IFERROR(IF(INDEX('Base Exámenes'!$F$5:$F$1000, MATCH(A996&amp;"|"&amp;J996, 'Base Exámenes'!$I$5:$I$1000, 0))="", "", INDEX('Base Exámenes'!$F$5:$F$1000, MATCH(A996&amp;"|"&amp;J996, 'Base Exámenes'!$I$5:$I$1000, 0))), ""), "")</f>
        <v/>
      </c>
      <c r="J996" s="6" t="str">
        <f>IF(F996="Completado", IF(COUNTIFS('Base Exámenes'!$C$5:$C$1000, A996, 'Base Exámenes'!$G$5:$G$1000, "&lt;&gt;")=0, "", _xlfn.MAXIFS('Base Exámenes'!$G$5:$G$1000, 'Base Exámenes'!$C$5:$C$1000, A996)), "")</f>
        <v/>
      </c>
      <c r="K996" s="6" t="str">
        <f>IF(F996="Completado", IFERROR(IF(INDEX('Base Exámenes'!$H$5:$H$1000, MATCH(A996&amp;"|"&amp;J996, 'Base Exámenes'!$I$5:$I$1000, 0))="", "", INDEX('Base Exámenes'!$H$5:$H$1000, MATCH(A996&amp;"|"&amp;J996, 'Base Exámenes'!$I$5:$I$1000, 0))), ""), "")</f>
        <v/>
      </c>
      <c r="L996" s="22" t="str">
        <f>IF($A996="","",COUNTIF('Base Exámenes'!$C$5:$C$1000, A996))</f>
        <v/>
      </c>
      <c r="M996" s="6" t="str">
        <f>IF($A996="","",IF(COUNTIF('Base Exámenes'!$C$5:$C$1000, A996)&gt;0, "", TRIM('Base Oficial'!H996)))</f>
        <v/>
      </c>
    </row>
    <row r="997">
      <c r="A997" s="4" t="str">
        <f>IF('Base Oficial'!A997="","",TRIM('Base Oficial'!A997))</f>
        <v/>
      </c>
      <c r="B997" s="6" t="str">
        <f>IF($A997="","",TRIM('Base Oficial'!B997))</f>
        <v/>
      </c>
      <c r="C997" s="6" t="str">
        <f>IF($A997="","",TRIM('Base Oficial'!F997))</f>
        <v/>
      </c>
      <c r="D997" s="6" t="str">
        <f>IF($A997="","",TRIM('Base Oficial'!G997))</f>
        <v/>
      </c>
      <c r="E997" s="6" t="str">
        <f>IF($A997="","",TRIM('Base Oficial'!D997))</f>
        <v/>
      </c>
      <c r="F997" s="4" t="str">
        <f>IF($A997="","",IF(COUNTIF('Base Exámenes'!$C$5:$C$1000, A997)&gt;0, "Completado", IF(M997&lt;&gt;"", M997, "Pendiente")))</f>
        <v/>
      </c>
      <c r="G997" s="11" t="str">
        <f>IF(F997="Completado", IFERROR(IF(INDEX('Base Exámenes'!$D$5:$D$1000, MATCH(A997&amp;"|"&amp;J997, 'Base Exámenes'!$I$5:$I$1000, 0))="", "", INDEX('Base Exámenes'!$D$5:$D$1000, MATCH(A997&amp;"|"&amp;J997, 'Base Exámenes'!$I$5:$I$1000, 0))), ""), "")</f>
        <v/>
      </c>
      <c r="H997" s="11" t="str">
        <f>IF(F997="Completado", IFERROR(IF(INDEX('Base Exámenes'!$E$5:$E$1000, MATCH(A997&amp;"|"&amp;J997, 'Base Exámenes'!$I$5:$I$1000, 0))="", "", INDEX('Base Exámenes'!$E$5:$E$1000, MATCH(A997&amp;"|"&amp;J997, 'Base Exámenes'!$I$5:$I$1000, 0))), ""), "")</f>
        <v/>
      </c>
      <c r="I997" s="10" t="str">
        <f>IF(F997="Completado", IFERROR(IF(INDEX('Base Exámenes'!$F$5:$F$1000, MATCH(A997&amp;"|"&amp;J997, 'Base Exámenes'!$I$5:$I$1000, 0))="", "", INDEX('Base Exámenes'!$F$5:$F$1000, MATCH(A997&amp;"|"&amp;J997, 'Base Exámenes'!$I$5:$I$1000, 0))), ""), "")</f>
        <v/>
      </c>
      <c r="J997" s="6" t="str">
        <f>IF(F997="Completado", IF(COUNTIFS('Base Exámenes'!$C$5:$C$1000, A997, 'Base Exámenes'!$G$5:$G$1000, "&lt;&gt;")=0, "", _xlfn.MAXIFS('Base Exámenes'!$G$5:$G$1000, 'Base Exámenes'!$C$5:$C$1000, A997)), "")</f>
        <v/>
      </c>
      <c r="K997" s="6" t="str">
        <f>IF(F997="Completado", IFERROR(IF(INDEX('Base Exámenes'!$H$5:$H$1000, MATCH(A997&amp;"|"&amp;J997, 'Base Exámenes'!$I$5:$I$1000, 0))="", "", INDEX('Base Exámenes'!$H$5:$H$1000, MATCH(A997&amp;"|"&amp;J997, 'Base Exámenes'!$I$5:$I$1000, 0))), ""), "")</f>
        <v/>
      </c>
      <c r="L997" s="22" t="str">
        <f>IF($A997="","",COUNTIF('Base Exámenes'!$C$5:$C$1000, A997))</f>
        <v/>
      </c>
      <c r="M997" s="6" t="str">
        <f>IF($A997="","",IF(COUNTIF('Base Exámenes'!$C$5:$C$1000, A997)&gt;0, "", TRIM('Base Oficial'!H997)))</f>
        <v/>
      </c>
    </row>
    <row r="998">
      <c r="A998" s="4" t="str">
        <f>IF('Base Oficial'!A998="","",TRIM('Base Oficial'!A998))</f>
        <v/>
      </c>
      <c r="B998" s="6" t="str">
        <f>IF($A998="","",TRIM('Base Oficial'!B998))</f>
        <v/>
      </c>
      <c r="C998" s="6" t="str">
        <f>IF($A998="","",TRIM('Base Oficial'!F998))</f>
        <v/>
      </c>
      <c r="D998" s="6" t="str">
        <f>IF($A998="","",TRIM('Base Oficial'!G998))</f>
        <v/>
      </c>
      <c r="E998" s="6" t="str">
        <f>IF($A998="","",TRIM('Base Oficial'!D998))</f>
        <v/>
      </c>
      <c r="F998" s="4" t="str">
        <f>IF($A998="","",IF(COUNTIF('Base Exámenes'!$C$5:$C$1000, A998)&gt;0, "Completado", IF(M998&lt;&gt;"", M998, "Pendiente")))</f>
        <v/>
      </c>
      <c r="G998" s="11" t="str">
        <f>IF(F998="Completado", IFERROR(IF(INDEX('Base Exámenes'!$D$5:$D$1000, MATCH(A998&amp;"|"&amp;J998, 'Base Exámenes'!$I$5:$I$1000, 0))="", "", INDEX('Base Exámenes'!$D$5:$D$1000, MATCH(A998&amp;"|"&amp;J998, 'Base Exámenes'!$I$5:$I$1000, 0))), ""), "")</f>
        <v/>
      </c>
      <c r="H998" s="11" t="str">
        <f>IF(F998="Completado", IFERROR(IF(INDEX('Base Exámenes'!$E$5:$E$1000, MATCH(A998&amp;"|"&amp;J998, 'Base Exámenes'!$I$5:$I$1000, 0))="", "", INDEX('Base Exámenes'!$E$5:$E$1000, MATCH(A998&amp;"|"&amp;J998, 'Base Exámenes'!$I$5:$I$1000, 0))), ""), "")</f>
        <v/>
      </c>
      <c r="I998" s="10" t="str">
        <f>IF(F998="Completado", IFERROR(IF(INDEX('Base Exámenes'!$F$5:$F$1000, MATCH(A998&amp;"|"&amp;J998, 'Base Exámenes'!$I$5:$I$1000, 0))="", "", INDEX('Base Exámenes'!$F$5:$F$1000, MATCH(A998&amp;"|"&amp;J998, 'Base Exámenes'!$I$5:$I$1000, 0))), ""), "")</f>
        <v/>
      </c>
      <c r="J998" s="6" t="str">
        <f>IF(F998="Completado", IF(COUNTIFS('Base Exámenes'!$C$5:$C$1000, A998, 'Base Exámenes'!$G$5:$G$1000, "&lt;&gt;")=0, "", _xlfn.MAXIFS('Base Exámenes'!$G$5:$G$1000, 'Base Exámenes'!$C$5:$C$1000, A998)), "")</f>
        <v/>
      </c>
      <c r="K998" s="6" t="str">
        <f>IF(F998="Completado", IFERROR(IF(INDEX('Base Exámenes'!$H$5:$H$1000, MATCH(A998&amp;"|"&amp;J998, 'Base Exámenes'!$I$5:$I$1000, 0))="", "", INDEX('Base Exámenes'!$H$5:$H$1000, MATCH(A998&amp;"|"&amp;J998, 'Base Exámenes'!$I$5:$I$1000, 0))), ""), "")</f>
        <v/>
      </c>
      <c r="L998" s="22" t="str">
        <f>IF($A998="","",COUNTIF('Base Exámenes'!$C$5:$C$1000, A998))</f>
        <v/>
      </c>
      <c r="M998" s="6" t="str">
        <f>IF($A998="","",IF(COUNTIF('Base Exámenes'!$C$5:$C$1000, A998)&gt;0, "", TRIM('Base Oficial'!H998)))</f>
        <v/>
      </c>
    </row>
    <row r="999">
      <c r="A999" s="4" t="str">
        <f>IF('Base Oficial'!A999="","",TRIM('Base Oficial'!A999))</f>
        <v/>
      </c>
      <c r="B999" s="6" t="str">
        <f>IF($A999="","",TRIM('Base Oficial'!B999))</f>
        <v/>
      </c>
      <c r="C999" s="6" t="str">
        <f>IF($A999="","",TRIM('Base Oficial'!F999))</f>
        <v/>
      </c>
      <c r="D999" s="6" t="str">
        <f>IF($A999="","",TRIM('Base Oficial'!G999))</f>
        <v/>
      </c>
      <c r="E999" s="6" t="str">
        <f>IF($A999="","",TRIM('Base Oficial'!D999))</f>
        <v/>
      </c>
      <c r="F999" s="4" t="str">
        <f>IF($A999="","",IF(COUNTIF('Base Exámenes'!$C$5:$C$1000, A999)&gt;0, "Completado", IF(M999&lt;&gt;"", M999, "Pendiente")))</f>
        <v/>
      </c>
      <c r="G999" s="11" t="str">
        <f>IF(F999="Completado", IFERROR(IF(INDEX('Base Exámenes'!$D$5:$D$1000, MATCH(A999&amp;"|"&amp;J999, 'Base Exámenes'!$I$5:$I$1000, 0))="", "", INDEX('Base Exámenes'!$D$5:$D$1000, MATCH(A999&amp;"|"&amp;J999, 'Base Exámenes'!$I$5:$I$1000, 0))), ""), "")</f>
        <v/>
      </c>
      <c r="H999" s="11" t="str">
        <f>IF(F999="Completado", IFERROR(IF(INDEX('Base Exámenes'!$E$5:$E$1000, MATCH(A999&amp;"|"&amp;J999, 'Base Exámenes'!$I$5:$I$1000, 0))="", "", INDEX('Base Exámenes'!$E$5:$E$1000, MATCH(A999&amp;"|"&amp;J999, 'Base Exámenes'!$I$5:$I$1000, 0))), ""), "")</f>
        <v/>
      </c>
      <c r="I999" s="10" t="str">
        <f>IF(F999="Completado", IFERROR(IF(INDEX('Base Exámenes'!$F$5:$F$1000, MATCH(A999&amp;"|"&amp;J999, 'Base Exámenes'!$I$5:$I$1000, 0))="", "", INDEX('Base Exámenes'!$F$5:$F$1000, MATCH(A999&amp;"|"&amp;J999, 'Base Exámenes'!$I$5:$I$1000, 0))), ""), "")</f>
        <v/>
      </c>
      <c r="J999" s="6" t="str">
        <f>IF(F999="Completado", IF(COUNTIFS('Base Exámenes'!$C$5:$C$1000, A999, 'Base Exámenes'!$G$5:$G$1000, "&lt;&gt;")=0, "", _xlfn.MAXIFS('Base Exámenes'!$G$5:$G$1000, 'Base Exámenes'!$C$5:$C$1000, A999)), "")</f>
        <v/>
      </c>
      <c r="K999" s="6" t="str">
        <f>IF(F999="Completado", IFERROR(IF(INDEX('Base Exámenes'!$H$5:$H$1000, MATCH(A999&amp;"|"&amp;J999, 'Base Exámenes'!$I$5:$I$1000, 0))="", "", INDEX('Base Exámenes'!$H$5:$H$1000, MATCH(A999&amp;"|"&amp;J999, 'Base Exámenes'!$I$5:$I$1000, 0))), ""), "")</f>
        <v/>
      </c>
      <c r="L999" s="22" t="str">
        <f>IF($A999="","",COUNTIF('Base Exámenes'!$C$5:$C$1000, A999))</f>
        <v/>
      </c>
      <c r="M999" s="6" t="str">
        <f>IF($A999="","",IF(COUNTIF('Base Exámenes'!$C$5:$C$1000, A999)&gt;0, "", TRIM('Base Oficial'!H999)))</f>
        <v/>
      </c>
    </row>
    <row r="1000">
      <c r="A1000" s="4" t="str">
        <f>IF('Base Oficial'!A1000="","",TRIM('Base Oficial'!A1000))</f>
        <v/>
      </c>
      <c r="B1000" s="6" t="str">
        <f>IF($A1000="","",TRIM('Base Oficial'!B1000))</f>
        <v/>
      </c>
      <c r="C1000" s="6" t="str">
        <f>IF($A1000="","",TRIM('Base Oficial'!F1000))</f>
        <v/>
      </c>
      <c r="D1000" s="6" t="str">
        <f>IF($A1000="","",TRIM('Base Oficial'!G1000))</f>
        <v/>
      </c>
      <c r="E1000" s="6" t="str">
        <f>IF($A1000="","",TRIM('Base Oficial'!D1000))</f>
        <v/>
      </c>
      <c r="F1000" s="4" t="str">
        <f>IF($A1000="","",IF(COUNTIF('Base Exámenes'!$C$5:$C$1000, A1000)&gt;0, "Completado", IF(M1000&lt;&gt;"", M1000, "Pendiente")))</f>
        <v/>
      </c>
      <c r="G1000" s="11" t="str">
        <f>IF(F1000="Completado", IFERROR(IF(INDEX('Base Exámenes'!$D$5:$D$1000, MATCH(A1000&amp;"|"&amp;J1000, 'Base Exámenes'!$I$5:$I$1000, 0))="", "", INDEX('Base Exámenes'!$D$5:$D$1000, MATCH(A1000&amp;"|"&amp;J1000, 'Base Exámenes'!$I$5:$I$1000, 0))), ""), "")</f>
        <v/>
      </c>
      <c r="H1000" s="11" t="str">
        <f>IF(F1000="Completado", IFERROR(IF(INDEX('Base Exámenes'!$E$5:$E$1000, MATCH(A1000&amp;"|"&amp;J1000, 'Base Exámenes'!$I$5:$I$1000, 0))="", "", INDEX('Base Exámenes'!$E$5:$E$1000, MATCH(A1000&amp;"|"&amp;J1000, 'Base Exámenes'!$I$5:$I$1000, 0))), ""), "")</f>
        <v/>
      </c>
      <c r="I1000" s="10" t="str">
        <f>IF(F1000="Completado", IFERROR(IF(INDEX('Base Exámenes'!$F$5:$F$1000, MATCH(A1000&amp;"|"&amp;J1000, 'Base Exámenes'!$I$5:$I$1000, 0))="", "", INDEX('Base Exámenes'!$F$5:$F$1000, MATCH(A1000&amp;"|"&amp;J1000, 'Base Exámenes'!$I$5:$I$1000, 0))), ""), "")</f>
        <v/>
      </c>
      <c r="J1000" s="6" t="str">
        <f>IF(F1000="Completado", IF(COUNTIFS('Base Exámenes'!$C$5:$C$1000, A1000, 'Base Exámenes'!$G$5:$G$1000, "&lt;&gt;")=0, "", _xlfn.MAXIFS('Base Exámenes'!$G$5:$G$1000, 'Base Exámenes'!$C$5:$C$1000, A1000)), "")</f>
        <v/>
      </c>
      <c r="K1000" s="6" t="str">
        <f>IF(F1000="Completado", IFERROR(IF(INDEX('Base Exámenes'!$H$5:$H$1000, MATCH(A1000&amp;"|"&amp;J1000, 'Base Exámenes'!$I$5:$I$1000, 0))="", "", INDEX('Base Exámenes'!$H$5:$H$1000, MATCH(A1000&amp;"|"&amp;J1000, 'Base Exámenes'!$I$5:$I$1000, 0))), ""), "")</f>
        <v/>
      </c>
      <c r="L1000" s="22" t="str">
        <f>IF($A1000="","",COUNTIF('Base Exámenes'!$C$5:$C$1000, A1000))</f>
        <v/>
      </c>
      <c r="M1000" s="6" t="str">
        <f>IF($A1000="","",IF(COUNTIF('Base Exámenes'!$C$5:$C$1000, A1000)&gt;0, "", TRIM('Base Oficial'!H1000)))</f>
        <v/>
      </c>
    </row>
  </sheetData>
  <autoFilter ref="A4:M1000"/>
  <conditionalFormatting sqref="F5:F1000">
    <cfRule type="expression" priority="1" dxfId="0" stopIfTrue="1">
      <formula>$F5="Completado"</formula>
    </cfRule>
    <cfRule type="expression" priority="2" dxfId="0" stopIfTrue="1">
      <formula>$F5="Completo"</formula>
    </cfRule>
    <cfRule type="expression" priority="3" dxfId="2" stopIfTrue="1">
      <formula>$F5="Pendiente"</formula>
    </cfRule>
    <cfRule type="expression" priority="4" dxfId="1">
      <formula>AND($F5&lt;&gt;"",$F5&lt;&gt;"Completado",$F5&lt;&gt;"Pendiente")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52" customWidth="1" style="38" min="1" max="1"/>
    <col width="34" customWidth="1" style="38" min="2" max="2"/>
    <col width="12" customWidth="1" style="38" min="3" max="3"/>
    <col width="13" customWidth="1" style="38" min="4" max="4"/>
    <col width="12" customWidth="1" style="38" min="5" max="5"/>
    <col width="13" customWidth="1" style="38" min="6" max="6"/>
    <col width="12" customWidth="1" style="38" min="7" max="10"/>
    <col width="18" customWidth="1" style="38" min="11" max="12"/>
    <col width="13" customWidth="1" style="38" min="13" max="13"/>
    <col width="14" customWidth="1" style="38" min="14" max="15"/>
  </cols>
  <sheetData>
    <row r="1" ht="21" customHeight="1" s="38">
      <c r="A1" s="1" t="inlineStr">
        <is>
          <t>CONSOLIDADO DE EVALUACIÓN POR ÁREA / DEPARTAMENTO</t>
        </is>
      </c>
    </row>
    <row r="2">
      <c r="A2" s="2" t="inlineStr">
        <is>
          <t>Cálculos automáticos basados en la hoja 'Detalle individual'</t>
        </is>
      </c>
    </row>
    <row r="4" ht="43.2" customHeight="1" s="38">
      <c r="A4" s="3" t="inlineStr">
        <is>
          <t>Área / Departamento</t>
        </is>
      </c>
      <c r="B4" s="3" t="inlineStr">
        <is>
          <t>Gerencia Asignada</t>
        </is>
      </c>
      <c r="C4" s="3" t="inlineStr">
        <is>
          <t>Personal Esperado</t>
        </is>
      </c>
      <c r="D4" s="3" t="inlineStr">
        <is>
          <t>Personas Completadas</t>
        </is>
      </c>
      <c r="E4" s="3" t="inlineStr">
        <is>
          <t>Pendientes</t>
        </is>
      </c>
      <c r="F4" s="3" t="inlineStr">
        <is>
          <t>% Cumplimiento</t>
        </is>
      </c>
      <c r="G4" s="3" t="inlineStr">
        <is>
          <t>Estado</t>
        </is>
      </c>
      <c r="H4" s="3" t="inlineStr">
        <is>
          <t>Promedio Nota</t>
        </is>
      </c>
      <c r="I4" s="3" t="inlineStr">
        <is>
          <t>Nota Máxima</t>
        </is>
      </c>
      <c r="J4" s="3" t="inlineStr">
        <is>
          <t>Nota Mínima</t>
        </is>
      </c>
      <c r="K4" s="3" t="inlineStr">
        <is>
          <t>Primer Inicio</t>
        </is>
      </c>
      <c r="L4" s="3" t="inlineStr">
        <is>
          <t>Última Finalización</t>
        </is>
      </c>
      <c r="M4" s="3" t="inlineStr">
        <is>
          <t>Menor Duración (min)</t>
        </is>
      </c>
      <c r="N4" s="3" t="inlineStr">
        <is>
          <t>Promedio Duración (min)</t>
        </is>
      </c>
      <c r="O4" s="3" t="inlineStr">
        <is>
          <t>Justificados (no cuentan)</t>
        </is>
      </c>
    </row>
    <row r="5">
      <c r="A5" s="5" t="str">
        <f>IF(Cálculos!$AE5="","",INDEX('Detalle individual'!$C:$C,Cálculos!$AE5))</f>
        <v>ADMINISTRACION DE BASE DE DATOS</v>
      </c>
      <c r="B5" s="5" t="str">
        <f>IF($A5="","",INDEX('Detalle individual'!$D:$D,Cálculos!$AE5))</f>
        <v>Gerencia de Sistemas</v>
      </c>
      <c r="C5" s="8">
        <f>IF($A5="","",COUNTIFS('Detalle individual'!$C$5:$C$1000, A5, 'Detalle individual'!$F$5:$F$1000, "Completado")+COUNTIFS('Detalle individual'!$C$5:$C$1000, A5, 'Detalle individual'!$F$5:$F$1000, "Pendiente"))</f>
        <v>1</v>
      </c>
      <c r="D5" s="8">
        <f>IF($A5="","",COUNTIFS('Detalle individual'!$C$5:$C$1000, A5, 'Detalle individual'!$F$5:$F$1000, "Completado"))</f>
        <v>1</v>
      </c>
      <c r="E5" s="8">
        <f>IF($A5="","",C5-D5)</f>
        <v>0</v>
      </c>
      <c r="F5" s="26">
        <f>IF($A5="","",IF(C5&gt;0, D5/C5, 0))</f>
        <v>1</v>
      </c>
      <c r="G5" s="4" t="str">
        <f>IF($A5="","",IF(AND(C5&gt;0, D5=C5), "Completo", "Pendiente"))</f>
        <v>Completo</v>
      </c>
      <c r="H5" s="7">
        <f>IF($A5="","",IF(D5&gt;0, IFERROR(AVERAGEIFS('Detalle individual'!$J$5:$J$1000, 'Detalle individual'!$C$5:$C$1000, A5), ""), ""))</f>
        <v>95</v>
      </c>
      <c r="I5" s="6">
        <f>IF($A5="","",IF(D5&gt;0, IFERROR(_xlfn.MAXIFS('Detalle individual'!$J$5:$J$1000, 'Detalle individual'!$C$5:$C$1000, A5), ""), ""))</f>
        <v>95</v>
      </c>
      <c r="J5" s="6">
        <f>IF($A5="","",IF(D5&gt;0, IFERROR(_xlfn.MINIFS('Detalle individual'!$J$5:$J$1000, 'Detalle individual'!$C$5:$C$1000, A5), ""), ""))</f>
        <v>95</v>
      </c>
      <c r="K5" s="11">
        <f>IF($A5="","",IF(D5&gt;0, IFERROR(_xlfn.MINIFS('Detalle individual'!$G$5:$G$1000, 'Detalle individual'!$C$5:$C$1000, A5), ""), ""))</f>
        <v>46300.68533564815</v>
      </c>
      <c r="L5" s="11">
        <f>IF($A5="","",IF(D5&gt;0, IFERROR(_xlfn.MAXIFS('Detalle individual'!$H$5:$H$1000, 'Detalle individual'!$C$5:$C$1000, A5), ""), ""))</f>
        <v>46300.696018518516</v>
      </c>
      <c r="M5" s="7">
        <f>IF($A5="","",IF(D5&gt;0, IFERROR(_xlfn.MINIFS('Detalle individual'!$I$5:$I$1000, 'Detalle individual'!$C$5:$C$1000, A5), ""), ""))</f>
        <v>15.3833333333333</v>
      </c>
      <c r="N5" s="7">
        <f>IF($A5="","",IF(D5&gt;0, IFERROR(AVERAGEIFS('Detalle individual'!$I$5:$I$1000, 'Detalle individual'!$C$5:$C$1000, A5), ""), ""))</f>
        <v>15.3833333333333</v>
      </c>
      <c r="O5" s="22">
        <f>IF($A5="","",COUNTIF('Detalle individual'!$C$5:$C$1000, A5)-C5)</f>
        <v>0</v>
      </c>
    </row>
    <row r="6">
      <c r="A6" s="5" t="str">
        <f>IF(Cálculos!$AE6="","",INDEX('Detalle individual'!$C:$C,Cálculos!$AE6))</f>
        <v>ADMINISTRACIÓN DE CARTERAS</v>
      </c>
      <c r="B6" s="5" t="str">
        <f>IF($A6="","",INDEX('Detalle individual'!$D:$D,Cálculos!$AE6))</f>
        <v>Gerencia de Operaciones</v>
      </c>
      <c r="C6" s="8">
        <f>IF($A6="","",COUNTIFS('Detalle individual'!$C$5:$C$1000, A6, 'Detalle individual'!$F$5:$F$1000, "Completado")+COUNTIFS('Detalle individual'!$C$5:$C$1000, A6, 'Detalle individual'!$F$5:$F$1000, "Pendiente"))</f>
        <v>5</v>
      </c>
      <c r="D6" s="8">
        <f>IF($A6="","",COUNTIFS('Detalle individual'!$C$5:$C$1000, A6, 'Detalle individual'!$F$5:$F$1000, "Completado"))</f>
        <v>5</v>
      </c>
      <c r="E6" s="8">
        <f>IF($A6="","",C6-D6)</f>
        <v>0</v>
      </c>
      <c r="F6" s="26">
        <f>IF($A6="","",IF(C6&gt;0, D6/C6, 0))</f>
        <v>1</v>
      </c>
      <c r="G6" s="4" t="str">
        <f>IF($A6="","",IF(AND(C6&gt;0, D6=C6), "Completo", "Pendiente"))</f>
        <v>Completo</v>
      </c>
      <c r="H6" s="7">
        <f>IF($A6="","",IF(D6&gt;0, IFERROR(AVERAGEIFS('Detalle individual'!$J$5:$J$1000, 'Detalle individual'!$C$5:$C$1000, A6), ""), ""))</f>
        <v>100</v>
      </c>
      <c r="I6" s="6">
        <f>IF($A6="","",IF(D6&gt;0, IFERROR(_xlfn.MAXIFS('Detalle individual'!$J$5:$J$1000, 'Detalle individual'!$C$5:$C$1000, A6), ""), ""))</f>
        <v>100</v>
      </c>
      <c r="J6" s="6">
        <f>IF($A6="","",IF(D6&gt;0, IFERROR(_xlfn.MINIFS('Detalle individual'!$J$5:$J$1000, 'Detalle individual'!$C$5:$C$1000, A6), ""), ""))</f>
        <v>100</v>
      </c>
      <c r="K6" s="11">
        <f>IF($A6="","",IF(D6&gt;0, IFERROR(_xlfn.MINIFS('Detalle individual'!$G$5:$G$1000, 'Detalle individual'!$C$5:$C$1000, A6), ""), ""))</f>
        <v>46304.494108796294</v>
      </c>
      <c r="L6" s="11">
        <f>IF($A6="","",IF(D6&gt;0, IFERROR(_xlfn.MAXIFS('Detalle individual'!$H$5:$H$1000, 'Detalle individual'!$C$5:$C$1000, A6), ""), ""))</f>
        <v>46311.675671296296</v>
      </c>
      <c r="M6" s="7">
        <f>IF($A6="","",IF(D6&gt;0, IFERROR(_xlfn.MINIFS('Detalle individual'!$I$5:$I$1000, 'Detalle individual'!$C$5:$C$1000, A6), ""), ""))</f>
        <v>3.65</v>
      </c>
      <c r="N6" s="7">
        <f>IF($A6="","",IF(D6&gt;0, IFERROR(AVERAGEIFS('Detalle individual'!$I$5:$I$1000, 'Detalle individual'!$C$5:$C$1000, A6), ""), ""))</f>
        <v>9.52999999518</v>
      </c>
      <c r="O6" s="22">
        <f>IF($A6="","",COUNTIF('Detalle individual'!$C$5:$C$1000, A6)-C6)</f>
        <v>0</v>
      </c>
    </row>
    <row r="7">
      <c r="A7" s="5" t="str">
        <f>IF(Cálculos!$AE7="","",INDEX('Detalle individual'!$C:$C,Cálculos!$AE7))</f>
        <v>ADMINISTRACION DE RIESGOS</v>
      </c>
      <c r="B7" s="5" t="str">
        <f>IF($A7="","",INDEX('Detalle individual'!$D:$D,Cálculos!$AE7))</f>
        <v>Gerencia General</v>
      </c>
      <c r="C7" s="8">
        <f>IF($A7="","",COUNTIFS('Detalle individual'!$C$5:$C$1000, A7, 'Detalle individual'!$F$5:$F$1000, "Completado")+COUNTIFS('Detalle individual'!$C$5:$C$1000, A7, 'Detalle individual'!$F$5:$F$1000, "Pendiente"))</f>
        <v>4</v>
      </c>
      <c r="D7" s="8">
        <f>IF($A7="","",COUNTIFS('Detalle individual'!$C$5:$C$1000, A7, 'Detalle individual'!$F$5:$F$1000, "Completado"))</f>
        <v>4</v>
      </c>
      <c r="E7" s="8">
        <f>IF($A7="","",C7-D7)</f>
        <v>0</v>
      </c>
      <c r="F7" s="26">
        <f>IF($A7="","",IF(C7&gt;0, D7/C7, 0))</f>
        <v>1</v>
      </c>
      <c r="G7" s="4" t="str">
        <f>IF($A7="","",IF(AND(C7&gt;0, D7=C7), "Completo", "Pendiente"))</f>
        <v>Completo</v>
      </c>
      <c r="H7" s="7">
        <f>IF($A7="","",IF(D7&gt;0, IFERROR(AVERAGEIFS('Detalle individual'!$J$5:$J$1000, 'Detalle individual'!$C$5:$C$1000, A7), ""), ""))</f>
        <v>100</v>
      </c>
      <c r="I7" s="6">
        <f>IF($A7="","",IF(D7&gt;0, IFERROR(_xlfn.MAXIFS('Detalle individual'!$J$5:$J$1000, 'Detalle individual'!$C$5:$C$1000, A7), ""), ""))</f>
        <v>100</v>
      </c>
      <c r="J7" s="6">
        <f>IF($A7="","",IF(D7&gt;0, IFERROR(_xlfn.MINIFS('Detalle individual'!$J$5:$J$1000, 'Detalle individual'!$C$5:$C$1000, A7), ""), ""))</f>
        <v>100</v>
      </c>
      <c r="K7" s="11">
        <f>IF($A7="","",IF(D7&gt;0, IFERROR(_xlfn.MINIFS('Detalle individual'!$G$5:$G$1000, 'Detalle individual'!$C$5:$C$1000, A7), ""), ""))</f>
        <v>46296.43667824074</v>
      </c>
      <c r="L7" s="11">
        <f>IF($A7="","",IF(D7&gt;0, IFERROR(_xlfn.MAXIFS('Detalle individual'!$H$5:$H$1000, 'Detalle individual'!$C$5:$C$1000, A7), ""), ""))</f>
        <v>46305.39865740741</v>
      </c>
      <c r="M7" s="7">
        <f>IF($A7="","",IF(D7&gt;0, IFERROR(_xlfn.MINIFS('Detalle individual'!$I$5:$I$1000, 'Detalle individual'!$C$5:$C$1000, A7), ""), ""))</f>
        <v>3.05</v>
      </c>
      <c r="N7" s="7">
        <f>IF($A7="","",IF(D7&gt;0, IFERROR(AVERAGEIFS('Detalle individual'!$I$5:$I$1000, 'Detalle individual'!$C$5:$C$1000, A7), ""), ""))</f>
        <v>6.24583333333333</v>
      </c>
      <c r="O7" s="22">
        <f>IF($A7="","",COUNTIF('Detalle individual'!$C$5:$C$1000, A7)-C7)</f>
        <v>0</v>
      </c>
    </row>
    <row r="8">
      <c r="A8" s="5" t="str">
        <f>IF(Cálculos!$AE8="","",INDEX('Detalle individual'!$C:$C,Cálculos!$AE8))</f>
        <v>AGENCIA CENTRAL</v>
      </c>
      <c r="B8" s="5" t="str">
        <f>IF($A8="","",INDEX('Detalle individual'!$D:$D,Cálculos!$AE8))</f>
        <v>Gerencia de Negocios</v>
      </c>
      <c r="C8" s="8">
        <f>IF($A8="","",COUNTIFS('Detalle individual'!$C$5:$C$1000, A8, 'Detalle individual'!$F$5:$F$1000, "Completado")+COUNTIFS('Detalle individual'!$C$5:$C$1000, A8, 'Detalle individual'!$F$5:$F$1000, "Pendiente"))</f>
        <v>16</v>
      </c>
      <c r="D8" s="8">
        <f>IF($A8="","",COUNTIFS('Detalle individual'!$C$5:$C$1000, A8, 'Detalle individual'!$F$5:$F$1000, "Completado"))</f>
        <v>16</v>
      </c>
      <c r="E8" s="8">
        <f>IF($A8="","",C8-D8)</f>
        <v>0</v>
      </c>
      <c r="F8" s="26">
        <f>IF($A8="","",IF(C8&gt;0, D8/C8, 0))</f>
        <v>1</v>
      </c>
      <c r="G8" s="4" t="str">
        <f>IF($A8="","",IF(AND(C8&gt;0, D8=C8), "Completo", "Pendiente"))</f>
        <v>Completo</v>
      </c>
      <c r="H8" s="7">
        <f>IF($A8="","",IF(D8&gt;0, IFERROR(AVERAGEIFS('Detalle individual'!$J$5:$J$1000, 'Detalle individual'!$C$5:$C$1000, A8), ""), ""))</f>
        <v>96.25</v>
      </c>
      <c r="I8" s="6">
        <f>IF($A8="","",IF(D8&gt;0, IFERROR(_xlfn.MAXIFS('Detalle individual'!$J$5:$J$1000, 'Detalle individual'!$C$5:$C$1000, A8), ""), ""))</f>
        <v>100</v>
      </c>
      <c r="J8" s="6">
        <f>IF($A8="","",IF(D8&gt;0, IFERROR(_xlfn.MINIFS('Detalle individual'!$J$5:$J$1000, 'Detalle individual'!$C$5:$C$1000, A8), ""), ""))</f>
        <v>75</v>
      </c>
      <c r="K8" s="11">
        <f>IF($A8="","",IF(D8&gt;0, IFERROR(_xlfn.MINIFS('Detalle individual'!$G$5:$G$1000, 'Detalle individual'!$C$5:$C$1000, A8), ""), ""))</f>
        <v>46302.469988425924</v>
      </c>
      <c r="L8" s="11">
        <f>IF($A8="","",IF(D8&gt;0, IFERROR(_xlfn.MAXIFS('Detalle individual'!$H$5:$H$1000, 'Detalle individual'!$C$5:$C$1000, A8), ""), ""))</f>
        <v>46311.719502314816</v>
      </c>
      <c r="M8" s="7">
        <f>IF($A8="","",IF(D8&gt;0, IFERROR(_xlfn.MINIFS('Detalle individual'!$I$5:$I$1000, 'Detalle individual'!$C$5:$C$1000, A8), ""), ""))</f>
        <v>1.75</v>
      </c>
      <c r="N8" s="7">
        <f>IF($A8="","",IF(D8&gt;0, IFERROR(AVERAGEIFS('Detalle individual'!$I$5:$I$1000, 'Detalle individual'!$C$5:$C$1000, A8), ""), ""))</f>
        <v>16.2364583314667</v>
      </c>
      <c r="O8" s="22">
        <f>IF($A8="","",COUNTIF('Detalle individual'!$C$5:$C$1000, A8)-C8)</f>
        <v>2</v>
      </c>
    </row>
    <row r="9">
      <c r="A9" s="5" t="str">
        <f>IF(Cálculos!$AE9="","",INDEX('Detalle individual'!$C:$C,Cálculos!$AE9))</f>
        <v>AGENCIA COLEGIO MEDICO</v>
      </c>
      <c r="B9" s="5" t="str">
        <f>IF($A9="","",INDEX('Detalle individual'!$D:$D,Cálculos!$AE9))</f>
        <v>Gerencia de Negocios</v>
      </c>
      <c r="C9" s="8">
        <f>IF($A9="","",COUNTIFS('Detalle individual'!$C$5:$C$1000, A9, 'Detalle individual'!$F$5:$F$1000, "Completado")+COUNTIFS('Detalle individual'!$C$5:$C$1000, A9, 'Detalle individual'!$F$5:$F$1000, "Pendiente"))</f>
        <v>11</v>
      </c>
      <c r="D9" s="8">
        <f>IF($A9="","",COUNTIFS('Detalle individual'!$C$5:$C$1000, A9, 'Detalle individual'!$F$5:$F$1000, "Completado"))</f>
        <v>11</v>
      </c>
      <c r="E9" s="8">
        <f>IF($A9="","",C9-D9)</f>
        <v>0</v>
      </c>
      <c r="F9" s="26">
        <f>IF($A9="","",IF(C9&gt;0, D9/C9, 0))</f>
        <v>1</v>
      </c>
      <c r="G9" s="4" t="str">
        <f>IF($A9="","",IF(AND(C9&gt;0, D9=C9), "Completo", "Pendiente"))</f>
        <v>Completo</v>
      </c>
      <c r="H9" s="7">
        <f>IF($A9="","",IF(D9&gt;0, IFERROR(AVERAGEIFS('Detalle individual'!$J$5:$J$1000, 'Detalle individual'!$C$5:$C$1000, A9), ""), ""))</f>
        <v>97.2727272727273</v>
      </c>
      <c r="I9" s="6">
        <f>IF($A9="","",IF(D9&gt;0, IFERROR(_xlfn.MAXIFS('Detalle individual'!$J$5:$J$1000, 'Detalle individual'!$C$5:$C$1000, A9), ""), ""))</f>
        <v>100</v>
      </c>
      <c r="J9" s="6">
        <f>IF($A9="","",IF(D9&gt;0, IFERROR(_xlfn.MINIFS('Detalle individual'!$J$5:$J$1000, 'Detalle individual'!$C$5:$C$1000, A9), ""), ""))</f>
        <v>90</v>
      </c>
      <c r="K9" s="11">
        <f>IF($A9="","",IF(D9&gt;0, IFERROR(_xlfn.MINIFS('Detalle individual'!$G$5:$G$1000, 'Detalle individual'!$C$5:$C$1000, A9), ""), ""))</f>
        <v>46296.47090277778</v>
      </c>
      <c r="L9" s="11">
        <f>IF($A9="","",IF(D9&gt;0, IFERROR(_xlfn.MAXIFS('Detalle individual'!$H$5:$H$1000, 'Detalle individual'!$C$5:$C$1000, A9), ""), ""))</f>
        <v>46310.516377314816</v>
      </c>
      <c r="M9" s="7">
        <f>IF($A9="","",IF(D9&gt;0, IFERROR(_xlfn.MINIFS('Detalle individual'!$I$5:$I$1000, 'Detalle individual'!$C$5:$C$1000, A9), ""), ""))</f>
        <v>3.1</v>
      </c>
      <c r="N9" s="7">
        <f>IF($A9="","",IF(D9&gt;0, IFERROR(AVERAGEIFS('Detalle individual'!$I$5:$I$1000, 'Detalle individual'!$C$5:$C$1000, A9), ""), ""))</f>
        <v>9.56969696936667</v>
      </c>
      <c r="O9" s="22">
        <f>IF($A9="","",COUNTIF('Detalle individual'!$C$5:$C$1000, A9)-C9)</f>
        <v>1</v>
      </c>
    </row>
    <row r="10">
      <c r="A10" s="5" t="str">
        <f>IF(Cálculos!$AE10="","",INDEX('Detalle individual'!$C:$C,Cálculos!$AE10))</f>
        <v>AGENCIA COLONIA MEDICA</v>
      </c>
      <c r="B10" s="5" t="str">
        <f>IF($A10="","",INDEX('Detalle individual'!$D:$D,Cálculos!$AE10))</f>
        <v>Gerencia de Negocios</v>
      </c>
      <c r="C10" s="8">
        <f>IF($A10="","",COUNTIFS('Detalle individual'!$C$5:$C$1000, A10, 'Detalle individual'!$F$5:$F$1000, "Completado")+COUNTIFS('Detalle individual'!$C$5:$C$1000, A10, 'Detalle individual'!$F$5:$F$1000, "Pendiente"))</f>
        <v>16</v>
      </c>
      <c r="D10" s="8">
        <f>IF($A10="","",COUNTIFS('Detalle individual'!$C$5:$C$1000, A10, 'Detalle individual'!$F$5:$F$1000, "Completado"))</f>
        <v>16</v>
      </c>
      <c r="E10" s="8">
        <f>IF($A10="","",C10-D10)</f>
        <v>0</v>
      </c>
      <c r="F10" s="26">
        <f>IF($A10="","",IF(C10&gt;0, D10/C10, 0))</f>
        <v>1</v>
      </c>
      <c r="G10" s="4" t="str">
        <f>IF($A10="","",IF(AND(C10&gt;0, D10=C10), "Completo", "Pendiente"))</f>
        <v>Completo</v>
      </c>
      <c r="H10" s="7">
        <f>IF($A10="","",IF(D10&gt;0, IFERROR(AVERAGEIFS('Detalle individual'!$J$5:$J$1000, 'Detalle individual'!$C$5:$C$1000, A10), ""), ""))</f>
        <v>97.8125</v>
      </c>
      <c r="I10" s="6">
        <f>IF($A10="","",IF(D10&gt;0, IFERROR(_xlfn.MAXIFS('Detalle individual'!$J$5:$J$1000, 'Detalle individual'!$C$5:$C$1000, A10), ""), ""))</f>
        <v>100</v>
      </c>
      <c r="J10" s="6">
        <f>IF($A10="","",IF(D10&gt;0, IFERROR(_xlfn.MINIFS('Detalle individual'!$J$5:$J$1000, 'Detalle individual'!$C$5:$C$1000, A10), ""), ""))</f>
        <v>90</v>
      </c>
      <c r="K10" s="11">
        <f>IF($A10="","",IF(D10&gt;0, IFERROR(_xlfn.MINIFS('Detalle individual'!$G$5:$G$1000, 'Detalle individual'!$C$5:$C$1000, A10), ""), ""))</f>
        <v>46297.711550925924</v>
      </c>
      <c r="L10" s="11">
        <f>IF($A10="","",IF(D10&gt;0, IFERROR(_xlfn.MAXIFS('Detalle individual'!$H$5:$H$1000, 'Detalle individual'!$C$5:$C$1000, A10), ""), ""))</f>
        <v>46311.71008101852</v>
      </c>
      <c r="M10" s="7">
        <f>IF($A10="","",IF(D10&gt;0, IFERROR(_xlfn.MINIFS('Detalle individual'!$I$5:$I$1000, 'Detalle individual'!$C$5:$C$1000, A10), ""), ""))</f>
        <v>1.6</v>
      </c>
      <c r="N10" s="7">
        <f>IF($A10="","",IF(D10&gt;0, IFERROR(AVERAGEIFS('Detalle individual'!$I$5:$I$1000, 'Detalle individual'!$C$5:$C$1000, A10), ""), ""))</f>
        <v>17.9197916679615</v>
      </c>
      <c r="O10" s="22">
        <f>IF($A10="","",COUNTIF('Detalle individual'!$C$5:$C$1000, A10)-C10)</f>
        <v>0</v>
      </c>
    </row>
    <row r="11">
      <c r="A11" s="5" t="str">
        <f>IF(Cálculos!$AE11="","",INDEX('Detalle individual'!$C:$C,Cálculos!$AE11))</f>
        <v>AGENCIA MERLIOT</v>
      </c>
      <c r="B11" s="5" t="str">
        <f>IF($A11="","",INDEX('Detalle individual'!$D:$D,Cálculos!$AE11))</f>
        <v>Gerencia de Negocios</v>
      </c>
      <c r="C11" s="8">
        <f>IF($A11="","",COUNTIFS('Detalle individual'!$C$5:$C$1000, A11, 'Detalle individual'!$F$5:$F$1000, "Completado")+COUNTIFS('Detalle individual'!$C$5:$C$1000, A11, 'Detalle individual'!$F$5:$F$1000, "Pendiente"))</f>
        <v>13</v>
      </c>
      <c r="D11" s="8">
        <f>IF($A11="","",COUNTIFS('Detalle individual'!$C$5:$C$1000, A11, 'Detalle individual'!$F$5:$F$1000, "Completado"))</f>
        <v>13</v>
      </c>
      <c r="E11" s="8">
        <f>IF($A11="","",C11-D11)</f>
        <v>0</v>
      </c>
      <c r="F11" s="26">
        <f>IF($A11="","",IF(C11&gt;0, D11/C11, 0))</f>
        <v>1</v>
      </c>
      <c r="G11" s="4" t="str">
        <f>IF($A11="","",IF(AND(C11&gt;0, D11=C11), "Completo", "Pendiente"))</f>
        <v>Completo</v>
      </c>
      <c r="H11" s="7">
        <f>IF($A11="","",IF(D11&gt;0, IFERROR(AVERAGEIFS('Detalle individual'!$J$5:$J$1000, 'Detalle individual'!$C$5:$C$1000, A11), ""), ""))</f>
        <v>95.7692307692308</v>
      </c>
      <c r="I11" s="6">
        <f>IF($A11="","",IF(D11&gt;0, IFERROR(_xlfn.MAXIFS('Detalle individual'!$J$5:$J$1000, 'Detalle individual'!$C$5:$C$1000, A11), ""), ""))</f>
        <v>100</v>
      </c>
      <c r="J11" s="6">
        <f>IF($A11="","",IF(D11&gt;0, IFERROR(_xlfn.MINIFS('Detalle individual'!$J$5:$J$1000, 'Detalle individual'!$C$5:$C$1000, A11), ""), ""))</f>
        <v>70</v>
      </c>
      <c r="K11" s="11">
        <f>IF($A11="","",IF(D11&gt;0, IFERROR(_xlfn.MINIFS('Detalle individual'!$G$5:$G$1000, 'Detalle individual'!$C$5:$C$1000, A11), ""), ""))</f>
        <v>46296.54665509259</v>
      </c>
      <c r="L11" s="11">
        <f>IF($A11="","",IF(D11&gt;0, IFERROR(_xlfn.MAXIFS('Detalle individual'!$H$5:$H$1000, 'Detalle individual'!$C$5:$C$1000, A11), ""), ""))</f>
        <v>46310.52479166666</v>
      </c>
      <c r="M11" s="7">
        <f>IF($A11="","",IF(D11&gt;0, IFERROR(_xlfn.MINIFS('Detalle individual'!$I$5:$I$1000, 'Detalle individual'!$C$5:$C$1000, A11), ""), ""))</f>
        <v>1.78333333333333</v>
      </c>
      <c r="N11" s="7">
        <f>IF($A11="","",IF(D11&gt;0, IFERROR(AVERAGEIFS('Detalle individual'!$I$5:$I$1000, 'Detalle individual'!$C$5:$C$1000, A11), ""), ""))</f>
        <v>8.75641025641026</v>
      </c>
      <c r="O11" s="22">
        <f>IF($A11="","",COUNTIF('Detalle individual'!$C$5:$C$1000, A11)-C11)</f>
        <v>0</v>
      </c>
    </row>
    <row r="12">
      <c r="A12" s="5" t="str">
        <f>IF(Cálculos!$AE12="","",INDEX('Detalle individual'!$C:$C,Cálculos!$AE12))</f>
        <v>AGENCIA PLAZA MUNDO</v>
      </c>
      <c r="B12" s="5" t="str">
        <f>IF($A12="","",INDEX('Detalle individual'!$D:$D,Cálculos!$AE12))</f>
        <v>Gerencia de Negocios</v>
      </c>
      <c r="C12" s="8">
        <f>IF($A12="","",COUNTIFS('Detalle individual'!$C$5:$C$1000, A12, 'Detalle individual'!$F$5:$F$1000, "Completado")+COUNTIFS('Detalle individual'!$C$5:$C$1000, A12, 'Detalle individual'!$F$5:$F$1000, "Pendiente"))</f>
        <v>8</v>
      </c>
      <c r="D12" s="8">
        <f>IF($A12="","",COUNTIFS('Detalle individual'!$C$5:$C$1000, A12, 'Detalle individual'!$F$5:$F$1000, "Completado"))</f>
        <v>8</v>
      </c>
      <c r="E12" s="8">
        <f>IF($A12="","",C12-D12)</f>
        <v>0</v>
      </c>
      <c r="F12" s="26">
        <f>IF($A12="","",IF(C12&gt;0, D12/C12, 0))</f>
        <v>1</v>
      </c>
      <c r="G12" s="4" t="str">
        <f>IF($A12="","",IF(AND(C12&gt;0, D12=C12), "Completo", "Pendiente"))</f>
        <v>Completo</v>
      </c>
      <c r="H12" s="7">
        <f>IF($A12="","",IF(D12&gt;0, IFERROR(AVERAGEIFS('Detalle individual'!$J$5:$J$1000, 'Detalle individual'!$C$5:$C$1000, A12), ""), ""))</f>
        <v>98.75</v>
      </c>
      <c r="I12" s="6">
        <f>IF($A12="","",IF(D12&gt;0, IFERROR(_xlfn.MAXIFS('Detalle individual'!$J$5:$J$1000, 'Detalle individual'!$C$5:$C$1000, A12), ""), ""))</f>
        <v>100</v>
      </c>
      <c r="J12" s="6">
        <f>IF($A12="","",IF(D12&gt;0, IFERROR(_xlfn.MINIFS('Detalle individual'!$J$5:$J$1000, 'Detalle individual'!$C$5:$C$1000, A12), ""), ""))</f>
        <v>90</v>
      </c>
      <c r="K12" s="11">
        <f>IF($A12="","",IF(D12&gt;0, IFERROR(_xlfn.MINIFS('Detalle individual'!$G$5:$G$1000, 'Detalle individual'!$C$5:$C$1000, A12), ""), ""))</f>
        <v>46307.40015046296</v>
      </c>
      <c r="L12" s="11">
        <f>IF($A12="","",IF(D12&gt;0, IFERROR(_xlfn.MAXIFS('Detalle individual'!$H$5:$H$1000, 'Detalle individual'!$C$5:$C$1000, A12), ""), ""))</f>
        <v>46310.64591435185</v>
      </c>
      <c r="M12" s="7">
        <f>IF($A12="","",IF(D12&gt;0, IFERROR(_xlfn.MINIFS('Detalle individual'!$I$5:$I$1000, 'Detalle individual'!$C$5:$C$1000, A12), ""), ""))</f>
        <v>2.81666666666667</v>
      </c>
      <c r="N12" s="7">
        <f>IF($A12="","",IF(D12&gt;0, IFERROR(AVERAGEIFS('Detalle individual'!$I$5:$I$1000, 'Detalle individual'!$C$5:$C$1000, A12), ""), ""))</f>
        <v>6.27708333321042</v>
      </c>
      <c r="O12" s="22">
        <f>IF($A12="","",COUNTIF('Detalle individual'!$C$5:$C$1000, A12)-C12)</f>
        <v>0</v>
      </c>
    </row>
    <row r="13">
      <c r="A13" s="5" t="str">
        <f>IF(Cálculos!$AE13="","",INDEX('Detalle individual'!$C:$C,Cálculos!$AE13))</f>
        <v>AGENCIA SAN MIGUEL</v>
      </c>
      <c r="B13" s="5" t="str">
        <f>IF($A13="","",INDEX('Detalle individual'!$D:$D,Cálculos!$AE13))</f>
        <v>Gerencia de Negocios</v>
      </c>
      <c r="C13" s="8">
        <f>IF($A13="","",COUNTIFS('Detalle individual'!$C$5:$C$1000, A13, 'Detalle individual'!$F$5:$F$1000, "Completado")+COUNTIFS('Detalle individual'!$C$5:$C$1000, A13, 'Detalle individual'!$F$5:$F$1000, "Pendiente"))</f>
        <v>7</v>
      </c>
      <c r="D13" s="8">
        <f>IF($A13="","",COUNTIFS('Detalle individual'!$C$5:$C$1000, A13, 'Detalle individual'!$F$5:$F$1000, "Completado"))</f>
        <v>7</v>
      </c>
      <c r="E13" s="8">
        <f>IF($A13="","",C13-D13)</f>
        <v>0</v>
      </c>
      <c r="F13" s="26">
        <f>IF($A13="","",IF(C13&gt;0, D13/C13, 0))</f>
        <v>1</v>
      </c>
      <c r="G13" s="4" t="str">
        <f>IF($A13="","",IF(AND(C13&gt;0, D13=C13), "Completo", "Pendiente"))</f>
        <v>Completo</v>
      </c>
      <c r="H13" s="7">
        <f>IF($A13="","",IF(D13&gt;0, IFERROR(AVERAGEIFS('Detalle individual'!$J$5:$J$1000, 'Detalle individual'!$C$5:$C$1000, A13), ""), ""))</f>
        <v>98.5714285714286</v>
      </c>
      <c r="I13" s="6">
        <f>IF($A13="","",IF(D13&gt;0, IFERROR(_xlfn.MAXIFS('Detalle individual'!$J$5:$J$1000, 'Detalle individual'!$C$5:$C$1000, A13), ""), ""))</f>
        <v>100</v>
      </c>
      <c r="J13" s="6">
        <f>IF($A13="","",IF(D13&gt;0, IFERROR(_xlfn.MINIFS('Detalle individual'!$J$5:$J$1000, 'Detalle individual'!$C$5:$C$1000, A13), ""), ""))</f>
        <v>90</v>
      </c>
      <c r="K13" s="11">
        <f>IF($A13="","",IF(D13&gt;0, IFERROR(_xlfn.MINIFS('Detalle individual'!$G$5:$G$1000, 'Detalle individual'!$C$5:$C$1000, A13), ""), ""))</f>
        <v>46296.43491898148</v>
      </c>
      <c r="L13" s="11">
        <f>IF($A13="","",IF(D13&gt;0, IFERROR(_xlfn.MAXIFS('Detalle individual'!$H$5:$H$1000, 'Detalle individual'!$C$5:$C$1000, A13), ""), ""))</f>
        <v>46296.49199074074</v>
      </c>
      <c r="M13" s="7">
        <f>IF($A13="","",IF(D13&gt;0, IFERROR(_xlfn.MINIFS('Detalle individual'!$I$5:$I$1000, 'Detalle individual'!$C$5:$C$1000, A13), ""), ""))</f>
        <v>2.95</v>
      </c>
      <c r="N13" s="7">
        <f>IF($A13="","",IF(D13&gt;0, IFERROR(AVERAGEIFS('Detalle individual'!$I$5:$I$1000, 'Detalle individual'!$C$5:$C$1000, A13), ""), ""))</f>
        <v>5.16666666666667</v>
      </c>
      <c r="O13" s="22">
        <f>IF($A13="","",COUNTIF('Detalle individual'!$C$5:$C$1000, A13)-C13)</f>
        <v>1</v>
      </c>
    </row>
    <row r="14">
      <c r="A14" s="5" t="str">
        <f>IF(Cálculos!$AE14="","",INDEX('Detalle individual'!$C:$C,Cálculos!$AE14))</f>
        <v>AGENCIA SANTA ANA</v>
      </c>
      <c r="B14" s="5" t="str">
        <f>IF($A14="","",INDEX('Detalle individual'!$D:$D,Cálculos!$AE14))</f>
        <v>Gerencia de Negocios</v>
      </c>
      <c r="C14" s="8">
        <f>IF($A14="","",COUNTIFS('Detalle individual'!$C$5:$C$1000, A14, 'Detalle individual'!$F$5:$F$1000, "Completado")+COUNTIFS('Detalle individual'!$C$5:$C$1000, A14, 'Detalle individual'!$F$5:$F$1000, "Pendiente"))</f>
        <v>8</v>
      </c>
      <c r="D14" s="8">
        <f>IF($A14="","",COUNTIFS('Detalle individual'!$C$5:$C$1000, A14, 'Detalle individual'!$F$5:$F$1000, "Completado"))</f>
        <v>8</v>
      </c>
      <c r="E14" s="8">
        <f>IF($A14="","",C14-D14)</f>
        <v>0</v>
      </c>
      <c r="F14" s="26">
        <f>IF($A14="","",IF(C14&gt;0, D14/C14, 0))</f>
        <v>1</v>
      </c>
      <c r="G14" s="4" t="str">
        <f>IF($A14="","",IF(AND(C14&gt;0, D14=C14), "Completo", "Pendiente"))</f>
        <v>Completo</v>
      </c>
      <c r="H14" s="7">
        <f>IF($A14="","",IF(D14&gt;0, IFERROR(AVERAGEIFS('Detalle individual'!$J$5:$J$1000, 'Detalle individual'!$C$5:$C$1000, A14), ""), ""))</f>
        <v>97.5</v>
      </c>
      <c r="I14" s="6">
        <f>IF($A14="","",IF(D14&gt;0, IFERROR(_xlfn.MAXIFS('Detalle individual'!$J$5:$J$1000, 'Detalle individual'!$C$5:$C$1000, A14), ""), ""))</f>
        <v>100</v>
      </c>
      <c r="J14" s="6">
        <f>IF($A14="","",IF(D14&gt;0, IFERROR(_xlfn.MINIFS('Detalle individual'!$J$5:$J$1000, 'Detalle individual'!$C$5:$C$1000, A14), ""), ""))</f>
        <v>90</v>
      </c>
      <c r="K14" s="11">
        <f>IF($A14="","",IF(D14&gt;0, IFERROR(_xlfn.MINIFS('Detalle individual'!$G$5:$G$1000, 'Detalle individual'!$C$5:$C$1000, A14), ""), ""))</f>
        <v>46309.336597222224</v>
      </c>
      <c r="L14" s="11">
        <f>IF($A14="","",IF(D14&gt;0, IFERROR(_xlfn.MAXIFS('Detalle individual'!$H$5:$H$1000, 'Detalle individual'!$C$5:$C$1000, A14), ""), ""))</f>
        <v>46311.49398148148</v>
      </c>
      <c r="M14" s="7">
        <f>IF($A14="","",IF(D14&gt;0, IFERROR(_xlfn.MINIFS('Detalle individual'!$I$5:$I$1000, 'Detalle individual'!$C$5:$C$1000, A14), ""), ""))</f>
        <v>2.28333333333333</v>
      </c>
      <c r="N14" s="7">
        <f>IF($A14="","",IF(D14&gt;0, IFERROR(AVERAGEIFS('Detalle individual'!$I$5:$I$1000, 'Detalle individual'!$C$5:$C$1000, A14), ""), ""))</f>
        <v>7.99375</v>
      </c>
      <c r="O14" s="22">
        <f>IF($A14="","",COUNTIF('Detalle individual'!$C$5:$C$1000, A14)-C14)</f>
        <v>0</v>
      </c>
    </row>
    <row r="15">
      <c r="A15" s="5" t="str">
        <f>IF(Cálculos!$AE15="","",INDEX('Detalle individual'!$C:$C,Cálculos!$AE15))</f>
        <v>AGENCIA SONSONATE</v>
      </c>
      <c r="B15" s="5" t="str">
        <f>IF($A15="","",INDEX('Detalle individual'!$D:$D,Cálculos!$AE15))</f>
        <v>Gerencia de Negocios</v>
      </c>
      <c r="C15" s="8">
        <f>IF($A15="","",COUNTIFS('Detalle individual'!$C$5:$C$1000, A15, 'Detalle individual'!$F$5:$F$1000, "Completado")+COUNTIFS('Detalle individual'!$C$5:$C$1000, A15, 'Detalle individual'!$F$5:$F$1000, "Pendiente"))</f>
        <v>7</v>
      </c>
      <c r="D15" s="8">
        <f>IF($A15="","",COUNTIFS('Detalle individual'!$C$5:$C$1000, A15, 'Detalle individual'!$F$5:$F$1000, "Completado"))</f>
        <v>7</v>
      </c>
      <c r="E15" s="8">
        <f>IF($A15="","",C15-D15)</f>
        <v>0</v>
      </c>
      <c r="F15" s="26">
        <f>IF($A15="","",IF(C15&gt;0, D15/C15, 0))</f>
        <v>1</v>
      </c>
      <c r="G15" s="4" t="str">
        <f>IF($A15="","",IF(AND(C15&gt;0, D15=C15), "Completo", "Pendiente"))</f>
        <v>Completo</v>
      </c>
      <c r="H15" s="7">
        <f>IF($A15="","",IF(D15&gt;0, IFERROR(AVERAGEIFS('Detalle individual'!$J$5:$J$1000, 'Detalle individual'!$C$5:$C$1000, A15), ""), ""))</f>
        <v>97.1428571428571</v>
      </c>
      <c r="I15" s="6">
        <f>IF($A15="","",IF(D15&gt;0, IFERROR(_xlfn.MAXIFS('Detalle individual'!$J$5:$J$1000, 'Detalle individual'!$C$5:$C$1000, A15), ""), ""))</f>
        <v>100</v>
      </c>
      <c r="J15" s="6">
        <f>IF($A15="","",IF(D15&gt;0, IFERROR(_xlfn.MINIFS('Detalle individual'!$J$5:$J$1000, 'Detalle individual'!$C$5:$C$1000, A15), ""), ""))</f>
        <v>80</v>
      </c>
      <c r="K15" s="11">
        <f>IF($A15="","",IF(D15&gt;0, IFERROR(_xlfn.MINIFS('Detalle individual'!$G$5:$G$1000, 'Detalle individual'!$C$5:$C$1000, A15), ""), ""))</f>
        <v>46308.43619212963</v>
      </c>
      <c r="L15" s="11">
        <f>IF($A15="","",IF(D15&gt;0, IFERROR(_xlfn.MAXIFS('Detalle individual'!$H$5:$H$1000, 'Detalle individual'!$C$5:$C$1000, A15), ""), ""))</f>
        <v>46311.571493055555</v>
      </c>
      <c r="M15" s="7">
        <f>IF($A15="","",IF(D15&gt;0, IFERROR(_xlfn.MINIFS('Detalle individual'!$I$5:$I$1000, 'Detalle individual'!$C$5:$C$1000, A15), ""), ""))</f>
        <v>1.51666666666667</v>
      </c>
      <c r="N15" s="7">
        <f>IF($A15="","",IF(D15&gt;0, IFERROR(AVERAGEIFS('Detalle individual'!$I$5:$I$1000, 'Detalle individual'!$C$5:$C$1000, A15), ""), ""))</f>
        <v>9.95714285714286</v>
      </c>
      <c r="O15" s="22">
        <f>IF($A15="","",COUNTIF('Detalle individual'!$C$5:$C$1000, A15)-C15)</f>
        <v>0</v>
      </c>
    </row>
    <row r="16">
      <c r="A16" s="5" t="str">
        <f>IF(Cálculos!$AE16="","",INDEX('Detalle individual'!$C:$C,Cálculos!$AE16))</f>
        <v>AGENCIA USULUTAN</v>
      </c>
      <c r="B16" s="5" t="str">
        <f>IF($A16="","",INDEX('Detalle individual'!$D:$D,Cálculos!$AE16))</f>
        <v>Gerencia de Negocios</v>
      </c>
      <c r="C16" s="8">
        <f>IF($A16="","",COUNTIFS('Detalle individual'!$C$5:$C$1000, A16, 'Detalle individual'!$F$5:$F$1000, "Completado")+COUNTIFS('Detalle individual'!$C$5:$C$1000, A16, 'Detalle individual'!$F$5:$F$1000, "Pendiente"))</f>
        <v>7</v>
      </c>
      <c r="D16" s="8">
        <f>IF($A16="","",COUNTIFS('Detalle individual'!$C$5:$C$1000, A16, 'Detalle individual'!$F$5:$F$1000, "Completado"))</f>
        <v>7</v>
      </c>
      <c r="E16" s="8">
        <f>IF($A16="","",C16-D16)</f>
        <v>0</v>
      </c>
      <c r="F16" s="26">
        <f>IF($A16="","",IF(C16&gt;0, D16/C16, 0))</f>
        <v>1</v>
      </c>
      <c r="G16" s="4" t="str">
        <f>IF($A16="","",IF(AND(C16&gt;0, D16=C16), "Completo", "Pendiente"))</f>
        <v>Completo</v>
      </c>
      <c r="H16" s="7">
        <f>IF($A16="","",IF(D16&gt;0, IFERROR(AVERAGEIFS('Detalle individual'!$J$5:$J$1000, 'Detalle individual'!$C$5:$C$1000, A16), ""), ""))</f>
        <v>100</v>
      </c>
      <c r="I16" s="6">
        <f>IF($A16="","",IF(D16&gt;0, IFERROR(_xlfn.MAXIFS('Detalle individual'!$J$5:$J$1000, 'Detalle individual'!$C$5:$C$1000, A16), ""), ""))</f>
        <v>100</v>
      </c>
      <c r="J16" s="6">
        <f>IF($A16="","",IF(D16&gt;0, IFERROR(_xlfn.MINIFS('Detalle individual'!$J$5:$J$1000, 'Detalle individual'!$C$5:$C$1000, A16), ""), ""))</f>
        <v>100</v>
      </c>
      <c r="K16" s="11">
        <f>IF($A16="","",IF(D16&gt;0, IFERROR(_xlfn.MINIFS('Detalle individual'!$G$5:$G$1000, 'Detalle individual'!$C$5:$C$1000, A16), ""), ""))</f>
        <v>46301.42581018519</v>
      </c>
      <c r="L16" s="11">
        <f>IF($A16="","",IF(D16&gt;0, IFERROR(_xlfn.MAXIFS('Detalle individual'!$H$5:$H$1000, 'Detalle individual'!$C$5:$C$1000, A16), ""), ""))</f>
        <v>46309.4197337963</v>
      </c>
      <c r="M16" s="7">
        <f>IF($A16="","",IF(D16&gt;0, IFERROR(_xlfn.MINIFS('Detalle individual'!$I$5:$I$1000, 'Detalle individual'!$C$5:$C$1000, A16), ""), ""))</f>
        <v>2.98333333333333</v>
      </c>
      <c r="N16" s="7">
        <f>IF($A16="","",IF(D16&gt;0, IFERROR(AVERAGEIFS('Detalle individual'!$I$5:$I$1000, 'Detalle individual'!$C$5:$C$1000, A16), ""), ""))</f>
        <v>17.85</v>
      </c>
      <c r="O16" s="22">
        <f>IF($A16="","",COUNTIF('Detalle individual'!$C$5:$C$1000, A16)-C16)</f>
        <v>0</v>
      </c>
    </row>
    <row r="17">
      <c r="A17" s="5" t="str">
        <f>IF(Cálculos!$AE17="","",INDEX('Detalle individual'!$C:$C,Cálculos!$AE17))</f>
        <v>CLINICA EMPRESARIAL</v>
      </c>
      <c r="B17" s="5" t="str">
        <f>IF($A17="","",INDEX('Detalle individual'!$D:$D,Cálculos!$AE17))</f>
        <v>Gerencia Administrativa</v>
      </c>
      <c r="C17" s="8">
        <f>IF($A17="","",COUNTIFS('Detalle individual'!$C$5:$C$1000, A17, 'Detalle individual'!$F$5:$F$1000, "Completado")+COUNTIFS('Detalle individual'!$C$5:$C$1000, A17, 'Detalle individual'!$F$5:$F$1000, "Pendiente"))</f>
        <v>2</v>
      </c>
      <c r="D17" s="8">
        <f>IF($A17="","",COUNTIFS('Detalle individual'!$C$5:$C$1000, A17, 'Detalle individual'!$F$5:$F$1000, "Completado"))</f>
        <v>2</v>
      </c>
      <c r="E17" s="8">
        <f>IF($A17="","",C17-D17)</f>
        <v>0</v>
      </c>
      <c r="F17" s="26">
        <f>IF($A17="","",IF(C17&gt;0, D17/C17, 0))</f>
        <v>1</v>
      </c>
      <c r="G17" s="4" t="str">
        <f>IF($A17="","",IF(AND(C17&gt;0, D17=C17), "Completo", "Pendiente"))</f>
        <v>Completo</v>
      </c>
      <c r="H17" s="7">
        <f>IF($A17="","",IF(D17&gt;0, IFERROR(AVERAGEIFS('Detalle individual'!$J$5:$J$1000, 'Detalle individual'!$C$5:$C$1000, A17), ""), ""))</f>
        <v>100</v>
      </c>
      <c r="I17" s="6">
        <f>IF($A17="","",IF(D17&gt;0, IFERROR(_xlfn.MAXIFS('Detalle individual'!$J$5:$J$1000, 'Detalle individual'!$C$5:$C$1000, A17), ""), ""))</f>
        <v>100</v>
      </c>
      <c r="J17" s="6">
        <f>IF($A17="","",IF(D17&gt;0, IFERROR(_xlfn.MINIFS('Detalle individual'!$J$5:$J$1000, 'Detalle individual'!$C$5:$C$1000, A17), ""), ""))</f>
        <v>100</v>
      </c>
      <c r="K17" s="11">
        <f>IF($A17="","",IF(D17&gt;0, IFERROR(_xlfn.MINIFS('Detalle individual'!$G$5:$G$1000, 'Detalle individual'!$C$5:$C$1000, A17), ""), ""))</f>
        <v>46305.40681712963</v>
      </c>
      <c r="L17" s="11">
        <f>IF($A17="","",IF(D17&gt;0, IFERROR(_xlfn.MAXIFS('Detalle individual'!$H$5:$H$1000, 'Detalle individual'!$C$5:$C$1000, A17), ""), ""))</f>
        <v>46305.41128472222</v>
      </c>
      <c r="M17" s="7">
        <f>IF($A17="","",IF(D17&gt;0, IFERROR(_xlfn.MINIFS('Detalle individual'!$I$5:$I$1000, 'Detalle individual'!$C$5:$C$1000, A17), ""), ""))</f>
        <v>2.76666666666667</v>
      </c>
      <c r="N17" s="7">
        <f>IF($A17="","",IF(D17&gt;0, IFERROR(AVERAGEIFS('Detalle individual'!$I$5:$I$1000, 'Detalle individual'!$C$5:$C$1000, A17), ""), ""))</f>
        <v>3.89999999108333</v>
      </c>
      <c r="O17" s="22">
        <f>IF($A17="","",COUNTIF('Detalle individual'!$C$5:$C$1000, A17)-C17)</f>
        <v>0</v>
      </c>
    </row>
    <row r="18">
      <c r="A18" s="5" t="str">
        <f>IF(Cálculos!$AE18="","",INDEX('Detalle individual'!$C:$C,Cálculos!$AE18))</f>
        <v>CONSEJO DE ADMINISTRACION</v>
      </c>
      <c r="B18" s="5" t="str">
        <f>IF($A18="","",INDEX('Detalle individual'!$D:$D,Cálculos!$AE18))</f>
        <v>Consejo de Administración</v>
      </c>
      <c r="C18" s="8">
        <f>IF($A18="","",COUNTIFS('Detalle individual'!$C$5:$C$1000, A18, 'Detalle individual'!$F$5:$F$1000, "Completado")+COUNTIFS('Detalle individual'!$C$5:$C$1000, A18, 'Detalle individual'!$F$5:$F$1000, "Pendiente"))</f>
        <v>1</v>
      </c>
      <c r="D18" s="8">
        <f>IF($A18="","",COUNTIFS('Detalle individual'!$C$5:$C$1000, A18, 'Detalle individual'!$F$5:$F$1000, "Completado"))</f>
        <v>1</v>
      </c>
      <c r="E18" s="8">
        <f>IF($A18="","",C18-D18)</f>
        <v>0</v>
      </c>
      <c r="F18" s="26">
        <f>IF($A18="","",IF(C18&gt;0, D18/C18, 0))</f>
        <v>1</v>
      </c>
      <c r="G18" s="4" t="str">
        <f>IF($A18="","",IF(AND(C18&gt;0, D18=C18), "Completo", "Pendiente"))</f>
        <v>Completo</v>
      </c>
      <c r="H18" s="7">
        <f>IF($A18="","",IF(D18&gt;0, IFERROR(AVERAGEIFS('Detalle individual'!$J$5:$J$1000, 'Detalle individual'!$C$5:$C$1000, A18), ""), ""))</f>
        <v>90</v>
      </c>
      <c r="I18" s="6">
        <f>IF($A18="","",IF(D18&gt;0, IFERROR(_xlfn.MAXIFS('Detalle individual'!$J$5:$J$1000, 'Detalle individual'!$C$5:$C$1000, A18), ""), ""))</f>
        <v>90</v>
      </c>
      <c r="J18" s="6">
        <f>IF($A18="","",IF(D18&gt;0, IFERROR(_xlfn.MINIFS('Detalle individual'!$J$5:$J$1000, 'Detalle individual'!$C$5:$C$1000, A18), ""), ""))</f>
        <v>90</v>
      </c>
      <c r="K18" s="11">
        <f>IF($A18="","",IF(D18&gt;0, IFERROR(_xlfn.MINIFS('Detalle individual'!$G$5:$G$1000, 'Detalle individual'!$C$5:$C$1000, A18), ""), ""))</f>
        <v>46300.65247685185</v>
      </c>
      <c r="L18" s="11">
        <f>IF($A18="","",IF(D18&gt;0, IFERROR(_xlfn.MAXIFS('Detalle individual'!$H$5:$H$1000, 'Detalle individual'!$C$5:$C$1000, A18), ""), ""))</f>
        <v>46300.658009259256</v>
      </c>
      <c r="M18" s="7">
        <f>IF($A18="","",IF(D18&gt;0, IFERROR(_xlfn.MINIFS('Detalle individual'!$I$5:$I$1000, 'Detalle individual'!$C$5:$C$1000, A18), ""), ""))</f>
        <v>7.96666666666667</v>
      </c>
      <c r="N18" s="7">
        <f>IF($A18="","",IF(D18&gt;0, IFERROR(AVERAGEIFS('Detalle individual'!$I$5:$I$1000, 'Detalle individual'!$C$5:$C$1000, A18), ""), ""))</f>
        <v>7.96666666666667</v>
      </c>
      <c r="O18" s="22">
        <f>IF($A18="","",COUNTIF('Detalle individual'!$C$5:$C$1000, A18)-C18)</f>
        <v>0</v>
      </c>
    </row>
    <row r="19">
      <c r="A19" s="5" t="str">
        <f>IF(Cálculos!$AE19="","",INDEX('Detalle individual'!$C:$C,Cálculos!$AE19))</f>
        <v>DEPARTAMENTO COMERCIAL DE TARJETA DE CREDITO Y DEBITO</v>
      </c>
      <c r="B19" s="5" t="str">
        <f>IF($A19="","",INDEX('Detalle individual'!$D:$D,Cálculos!$AE19))</f>
        <v>Gerencia de Negocios</v>
      </c>
      <c r="C19" s="8">
        <f>IF($A19="","",COUNTIFS('Detalle individual'!$C$5:$C$1000, A19, 'Detalle individual'!$F$5:$F$1000, "Completado")+COUNTIFS('Detalle individual'!$C$5:$C$1000, A19, 'Detalle individual'!$F$5:$F$1000, "Pendiente"))</f>
        <v>7</v>
      </c>
      <c r="D19" s="8">
        <f>IF($A19="","",COUNTIFS('Detalle individual'!$C$5:$C$1000, A19, 'Detalle individual'!$F$5:$F$1000, "Completado"))</f>
        <v>7</v>
      </c>
      <c r="E19" s="8">
        <f>IF($A19="","",C19-D19)</f>
        <v>0</v>
      </c>
      <c r="F19" s="26">
        <f>IF($A19="","",IF(C19&gt;0, D19/C19, 0))</f>
        <v>1</v>
      </c>
      <c r="G19" s="4" t="str">
        <f>IF($A19="","",IF(AND(C19&gt;0, D19=C19), "Completo", "Pendiente"))</f>
        <v>Completo</v>
      </c>
      <c r="H19" s="7">
        <f>IF($A19="","",IF(D19&gt;0, IFERROR(AVERAGEIFS('Detalle individual'!$J$5:$J$1000, 'Detalle individual'!$C$5:$C$1000, A19), ""), ""))</f>
        <v>86.4285714285714</v>
      </c>
      <c r="I19" s="6">
        <f>IF($A19="","",IF(D19&gt;0, IFERROR(_xlfn.MAXIFS('Detalle individual'!$J$5:$J$1000, 'Detalle individual'!$C$5:$C$1000, A19), ""), ""))</f>
        <v>100</v>
      </c>
      <c r="J19" s="6">
        <f>IF($A19="","",IF(D19&gt;0, IFERROR(_xlfn.MINIFS('Detalle individual'!$J$5:$J$1000, 'Detalle individual'!$C$5:$C$1000, A19), ""), ""))</f>
        <v>65</v>
      </c>
      <c r="K19" s="11">
        <f>IF($A19="","",IF(D19&gt;0, IFERROR(_xlfn.MINIFS('Detalle individual'!$G$5:$G$1000, 'Detalle individual'!$C$5:$C$1000, A19), ""), ""))</f>
        <v>46297.7059375</v>
      </c>
      <c r="L19" s="11">
        <f>IF($A19="","",IF(D19&gt;0, IFERROR(_xlfn.MAXIFS('Detalle individual'!$H$5:$H$1000, 'Detalle individual'!$C$5:$C$1000, A19), ""), ""))</f>
        <v>46305.51431712963</v>
      </c>
      <c r="M19" s="7">
        <f>IF($A19="","",IF(D19&gt;0, IFERROR(_xlfn.MINIFS('Detalle individual'!$I$5:$I$1000, 'Detalle individual'!$C$5:$C$1000, A19), ""), ""))</f>
        <v>4.4</v>
      </c>
      <c r="N19" s="7">
        <f>IF($A19="","",IF(D19&gt;0, IFERROR(AVERAGEIFS('Detalle individual'!$I$5:$I$1000, 'Detalle individual'!$C$5:$C$1000, A19), ""), ""))</f>
        <v>11.7642857142857</v>
      </c>
      <c r="O19" s="22">
        <f>IF($A19="","",COUNTIF('Detalle individual'!$C$5:$C$1000, A19)-C19)</f>
        <v>1</v>
      </c>
    </row>
    <row r="20">
      <c r="A20" s="5" t="str">
        <f>IF(Cálculos!$AE20="","",INDEX('Detalle individual'!$C:$C,Cálculos!$AE20))</f>
        <v>DEPARTAMENTO DE ANALISIS Y PROGRAMACIÓN</v>
      </c>
      <c r="B20" s="5" t="str">
        <f>IF($A20="","",INDEX('Detalle individual'!$D:$D,Cálculos!$AE20))</f>
        <v>Gerencia de Sistemas</v>
      </c>
      <c r="C20" s="8">
        <f>IF($A20="","",COUNTIFS('Detalle individual'!$C$5:$C$1000, A20, 'Detalle individual'!$F$5:$F$1000, "Completado")+COUNTIFS('Detalle individual'!$C$5:$C$1000, A20, 'Detalle individual'!$F$5:$F$1000, "Pendiente"))</f>
        <v>11</v>
      </c>
      <c r="D20" s="8">
        <f>IF($A20="","",COUNTIFS('Detalle individual'!$C$5:$C$1000, A20, 'Detalle individual'!$F$5:$F$1000, "Completado"))</f>
        <v>11</v>
      </c>
      <c r="E20" s="8">
        <f>IF($A20="","",C20-D20)</f>
        <v>0</v>
      </c>
      <c r="F20" s="26">
        <f>IF($A20="","",IF(C20&gt;0, D20/C20, 0))</f>
        <v>1</v>
      </c>
      <c r="G20" s="4" t="str">
        <f>IF($A20="","",IF(AND(C20&gt;0, D20=C20), "Completo", "Pendiente"))</f>
        <v>Completo</v>
      </c>
      <c r="H20" s="7">
        <f>IF($A20="","",IF(D20&gt;0, IFERROR(AVERAGEIFS('Detalle individual'!$J$5:$J$1000, 'Detalle individual'!$C$5:$C$1000, A20), ""), ""))</f>
        <v>100</v>
      </c>
      <c r="I20" s="6">
        <f>IF($A20="","",IF(D20&gt;0, IFERROR(_xlfn.MAXIFS('Detalle individual'!$J$5:$J$1000, 'Detalle individual'!$C$5:$C$1000, A20), ""), ""))</f>
        <v>100</v>
      </c>
      <c r="J20" s="6">
        <f>IF($A20="","",IF(D20&gt;0, IFERROR(_xlfn.MINIFS('Detalle individual'!$J$5:$J$1000, 'Detalle individual'!$C$5:$C$1000, A20), ""), ""))</f>
        <v>100</v>
      </c>
      <c r="K20" s="11">
        <f>IF($A20="","",IF(D20&gt;0, IFERROR(_xlfn.MINIFS('Detalle individual'!$G$5:$G$1000, 'Detalle individual'!$C$5:$C$1000, A20), ""), ""))</f>
        <v>46296.56962962963</v>
      </c>
      <c r="L20" s="11">
        <f>IF($A20="","",IF(D20&gt;0, IFERROR(_xlfn.MAXIFS('Detalle individual'!$H$5:$H$1000, 'Detalle individual'!$C$5:$C$1000, A20), ""), ""))</f>
        <v>46310.69614583333</v>
      </c>
      <c r="M20" s="7">
        <f>IF($A20="","",IF(D20&gt;0, IFERROR(_xlfn.MINIFS('Detalle individual'!$I$5:$I$1000, 'Detalle individual'!$C$5:$C$1000, A20), ""), ""))</f>
        <v>4.36666666666667</v>
      </c>
      <c r="N20" s="7">
        <f>IF($A20="","",IF(D20&gt;0, IFERROR(AVERAGEIFS('Detalle individual'!$I$5:$I$1000, 'Detalle individual'!$C$5:$C$1000, A20), ""), ""))</f>
        <v>15.3106060606061</v>
      </c>
      <c r="O20" s="22">
        <f>IF($A20="","",COUNTIF('Detalle individual'!$C$5:$C$1000, A20)-C20)</f>
        <v>0</v>
      </c>
    </row>
    <row r="21">
      <c r="A21" s="5" t="str">
        <f>IF(Cálculos!$AE21="","",INDEX('Detalle individual'!$C:$C,Cálculos!$AE21))</f>
        <v>DEPARTAMENTO DE ATENCION A ASOCIADO Y CLIENTE</v>
      </c>
      <c r="B21" s="5" t="str">
        <f>IF($A21="","",INDEX('Detalle individual'!$D:$D,Cálculos!$AE21))</f>
        <v>Gerencia de Negocios</v>
      </c>
      <c r="C21" s="8">
        <f>IF($A21="","",COUNTIFS('Detalle individual'!$C$5:$C$1000, A21, 'Detalle individual'!$F$5:$F$1000, "Completado")+COUNTIFS('Detalle individual'!$C$5:$C$1000, A21, 'Detalle individual'!$F$5:$F$1000, "Pendiente"))</f>
        <v>7</v>
      </c>
      <c r="D21" s="8">
        <f>IF($A21="","",COUNTIFS('Detalle individual'!$C$5:$C$1000, A21, 'Detalle individual'!$F$5:$F$1000, "Completado"))</f>
        <v>7</v>
      </c>
      <c r="E21" s="8">
        <f>IF($A21="","",C21-D21)</f>
        <v>0</v>
      </c>
      <c r="F21" s="26">
        <f>IF($A21="","",IF(C21&gt;0, D21/C21, 0))</f>
        <v>1</v>
      </c>
      <c r="G21" s="4" t="str">
        <f>IF($A21="","",IF(AND(C21&gt;0, D21=C21), "Completo", "Pendiente"))</f>
        <v>Completo</v>
      </c>
      <c r="H21" s="7">
        <f>IF($A21="","",IF(D21&gt;0, IFERROR(AVERAGEIFS('Detalle individual'!$J$5:$J$1000, 'Detalle individual'!$C$5:$C$1000, A21), ""), ""))</f>
        <v>95.7142857142857</v>
      </c>
      <c r="I21" s="6">
        <f>IF($A21="","",IF(D21&gt;0, IFERROR(_xlfn.MAXIFS('Detalle individual'!$J$5:$J$1000, 'Detalle individual'!$C$5:$C$1000, A21), ""), ""))</f>
        <v>100</v>
      </c>
      <c r="J21" s="6">
        <f>IF($A21="","",IF(D21&gt;0, IFERROR(_xlfn.MINIFS('Detalle individual'!$J$5:$J$1000, 'Detalle individual'!$C$5:$C$1000, A21), ""), ""))</f>
        <v>80</v>
      </c>
      <c r="K21" s="11">
        <f>IF($A21="","",IF(D21&gt;0, IFERROR(_xlfn.MINIFS('Detalle individual'!$G$5:$G$1000, 'Detalle individual'!$C$5:$C$1000, A21), ""), ""))</f>
        <v>46301.48449074074</v>
      </c>
      <c r="L21" s="11">
        <f>IF($A21="","",IF(D21&gt;0, IFERROR(_xlfn.MAXIFS('Detalle individual'!$H$5:$H$1000, 'Detalle individual'!$C$5:$C$1000, A21), ""), ""))</f>
        <v>46310.70625</v>
      </c>
      <c r="M21" s="7">
        <f>IF($A21="","",IF(D21&gt;0, IFERROR(_xlfn.MINIFS('Detalle individual'!$I$5:$I$1000, 'Detalle individual'!$C$5:$C$1000, A21), ""), ""))</f>
        <v>2.64999998033333</v>
      </c>
      <c r="N21" s="7">
        <f>IF($A21="","",IF(D21&gt;0, IFERROR(AVERAGEIFS('Detalle individual'!$I$5:$I$1000, 'Detalle individual'!$C$5:$C$1000, A21), ""), ""))</f>
        <v>10.0047619019524</v>
      </c>
      <c r="O21" s="22">
        <f>IF($A21="","",COUNTIF('Detalle individual'!$C$5:$C$1000, A21)-C21)</f>
        <v>0</v>
      </c>
    </row>
    <row r="22">
      <c r="A22" s="5" t="str">
        <f>IF(Cálculos!$AE22="","",INDEX('Detalle individual'!$C:$C,Cálculos!$AE22))</f>
        <v>DEPARTAMENTO DE AUDITORIA INTERNA</v>
      </c>
      <c r="B22" s="5" t="str">
        <f>IF($A22="","",INDEX('Detalle individual'!$D:$D,Cálculos!$AE22))</f>
        <v>Auditoría Interna</v>
      </c>
      <c r="C22" s="8">
        <f>IF($A22="","",COUNTIFS('Detalle individual'!$C$5:$C$1000, A22, 'Detalle individual'!$F$5:$F$1000, "Completado")+COUNTIFS('Detalle individual'!$C$5:$C$1000, A22, 'Detalle individual'!$F$5:$F$1000, "Pendiente"))</f>
        <v>7</v>
      </c>
      <c r="D22" s="8">
        <f>IF($A22="","",COUNTIFS('Detalle individual'!$C$5:$C$1000, A22, 'Detalle individual'!$F$5:$F$1000, "Completado"))</f>
        <v>7</v>
      </c>
      <c r="E22" s="8">
        <f>IF($A22="","",C22-D22)</f>
        <v>0</v>
      </c>
      <c r="F22" s="26">
        <f>IF($A22="","",IF(C22&gt;0, D22/C22, 0))</f>
        <v>1</v>
      </c>
      <c r="G22" s="4" t="str">
        <f>IF($A22="","",IF(AND(C22&gt;0, D22=C22), "Completo", "Pendiente"))</f>
        <v>Completo</v>
      </c>
      <c r="H22" s="7">
        <f>IF($A22="","",IF(D22&gt;0, IFERROR(AVERAGEIFS('Detalle individual'!$J$5:$J$1000, 'Detalle individual'!$C$5:$C$1000, A22), ""), ""))</f>
        <v>97.1428571428571</v>
      </c>
      <c r="I22" s="6">
        <f>IF($A22="","",IF(D22&gt;0, IFERROR(_xlfn.MAXIFS('Detalle individual'!$J$5:$J$1000, 'Detalle individual'!$C$5:$C$1000, A22), ""), ""))</f>
        <v>100</v>
      </c>
      <c r="J22" s="6">
        <f>IF($A22="","",IF(D22&gt;0, IFERROR(_xlfn.MINIFS('Detalle individual'!$J$5:$J$1000, 'Detalle individual'!$C$5:$C$1000, A22), ""), ""))</f>
        <v>90</v>
      </c>
      <c r="K22" s="11">
        <f>IF($A22="","",IF(D22&gt;0, IFERROR(_xlfn.MINIFS('Detalle individual'!$G$5:$G$1000, 'Detalle individual'!$C$5:$C$1000, A22), ""), ""))</f>
        <v>46296.61756944445</v>
      </c>
      <c r="L22" s="11">
        <f>IF($A22="","",IF(D22&gt;0, IFERROR(_xlfn.MAXIFS('Detalle individual'!$H$5:$H$1000, 'Detalle individual'!$C$5:$C$1000, A22), ""), ""))</f>
        <v>46307.652766203704</v>
      </c>
      <c r="M22" s="7">
        <f>IF($A22="","",IF(D22&gt;0, IFERROR(_xlfn.MINIFS('Detalle individual'!$I$5:$I$1000, 'Detalle individual'!$C$5:$C$1000, A22), ""), ""))</f>
        <v>3.8</v>
      </c>
      <c r="N22" s="7">
        <f>IF($A22="","",IF(D22&gt;0, IFERROR(AVERAGEIFS('Detalle individual'!$I$5:$I$1000, 'Detalle individual'!$C$5:$C$1000, A22), ""), ""))</f>
        <v>6.54523809170238</v>
      </c>
      <c r="O22" s="22">
        <f>IF($A22="","",COUNTIF('Detalle individual'!$C$5:$C$1000, A22)-C22)</f>
        <v>0</v>
      </c>
    </row>
    <row r="23">
      <c r="A23" s="5" t="str">
        <f>IF(Cálculos!$AE23="","",INDEX('Detalle individual'!$C:$C,Cálculos!$AE23))</f>
        <v>DEPARTAMENTO DE CONTABILIDAD</v>
      </c>
      <c r="B23" s="5" t="str">
        <f>IF($A23="","",INDEX('Detalle individual'!$D:$D,Cálculos!$AE23))</f>
        <v>Gerencia de Finanzas y Planificación</v>
      </c>
      <c r="C23" s="8">
        <f>IF($A23="","",COUNTIFS('Detalle individual'!$C$5:$C$1000, A23, 'Detalle individual'!$F$5:$F$1000, "Completado")+COUNTIFS('Detalle individual'!$C$5:$C$1000, A23, 'Detalle individual'!$F$5:$F$1000, "Pendiente"))</f>
        <v>13</v>
      </c>
      <c r="D23" s="8">
        <f>IF($A23="","",COUNTIFS('Detalle individual'!$C$5:$C$1000, A23, 'Detalle individual'!$F$5:$F$1000, "Completado"))</f>
        <v>13</v>
      </c>
      <c r="E23" s="8">
        <f>IF($A23="","",C23-D23)</f>
        <v>0</v>
      </c>
      <c r="F23" s="26">
        <f>IF($A23="","",IF(C23&gt;0, D23/C23, 0))</f>
        <v>1</v>
      </c>
      <c r="G23" s="4" t="str">
        <f>IF($A23="","",IF(AND(C23&gt;0, D23=C23), "Completo", "Pendiente"))</f>
        <v>Completo</v>
      </c>
      <c r="H23" s="7">
        <f>IF($A23="","",IF(D23&gt;0, IFERROR(AVERAGEIFS('Detalle individual'!$J$5:$J$1000, 'Detalle individual'!$C$5:$C$1000, A23), ""), ""))</f>
        <v>98.0769230769231</v>
      </c>
      <c r="I23" s="6">
        <f>IF($A23="","",IF(D23&gt;0, IFERROR(_xlfn.MAXIFS('Detalle individual'!$J$5:$J$1000, 'Detalle individual'!$C$5:$C$1000, A23), ""), ""))</f>
        <v>100</v>
      </c>
      <c r="J23" s="6">
        <f>IF($A23="","",IF(D23&gt;0, IFERROR(_xlfn.MINIFS('Detalle individual'!$J$5:$J$1000, 'Detalle individual'!$C$5:$C$1000, A23), ""), ""))</f>
        <v>85</v>
      </c>
      <c r="K23" s="11">
        <f>IF($A23="","",IF(D23&gt;0, IFERROR(_xlfn.MINIFS('Detalle individual'!$G$5:$G$1000, 'Detalle individual'!$C$5:$C$1000, A23), ""), ""))</f>
        <v>46296.61537037037</v>
      </c>
      <c r="L23" s="11">
        <f>IF($A23="","",IF(D23&gt;0, IFERROR(_xlfn.MAXIFS('Detalle individual'!$H$5:$H$1000, 'Detalle individual'!$C$5:$C$1000, A23), ""), ""))</f>
        <v>46310.569606481484</v>
      </c>
      <c r="M23" s="7">
        <f>IF($A23="","",IF(D23&gt;0, IFERROR(_xlfn.MINIFS('Detalle individual'!$I$5:$I$1000, 'Detalle individual'!$C$5:$C$1000, A23), ""), ""))</f>
        <v>2.45</v>
      </c>
      <c r="N23" s="7">
        <f>IF($A23="","",IF(D23&gt;0, IFERROR(AVERAGEIFS('Detalle individual'!$I$5:$I$1000, 'Detalle individual'!$C$5:$C$1000, A23), ""), ""))</f>
        <v>8.13076923255897</v>
      </c>
      <c r="O23" s="22">
        <f>IF($A23="","",COUNTIF('Detalle individual'!$C$5:$C$1000, A23)-C23)</f>
        <v>0</v>
      </c>
    </row>
    <row r="24">
      <c r="A24" s="5" t="str">
        <f>IF(Cálculos!$AE24="","",INDEX('Detalle individual'!$C:$C,Cálculos!$AE24))</f>
        <v>DEPARTAMENTO DE CREDITOS</v>
      </c>
      <c r="B24" s="5" t="str">
        <f>IF($A24="","",INDEX('Detalle individual'!$D:$D,Cálculos!$AE24))</f>
        <v>Gerencia de Negocios</v>
      </c>
      <c r="C24" s="8">
        <f>IF($A24="","",COUNTIFS('Detalle individual'!$C$5:$C$1000, A24, 'Detalle individual'!$F$5:$F$1000, "Completado")+COUNTIFS('Detalle individual'!$C$5:$C$1000, A24, 'Detalle individual'!$F$5:$F$1000, "Pendiente"))</f>
        <v>13</v>
      </c>
      <c r="D24" s="8">
        <f>IF($A24="","",COUNTIFS('Detalle individual'!$C$5:$C$1000, A24, 'Detalle individual'!$F$5:$F$1000, "Completado"))</f>
        <v>13</v>
      </c>
      <c r="E24" s="8">
        <f>IF($A24="","",C24-D24)</f>
        <v>0</v>
      </c>
      <c r="F24" s="26">
        <f>IF($A24="","",IF(C24&gt;0, D24/C24, 0))</f>
        <v>1</v>
      </c>
      <c r="G24" s="4" t="str">
        <f>IF($A24="","",IF(AND(C24&gt;0, D24=C24), "Completo", "Pendiente"))</f>
        <v>Completo</v>
      </c>
      <c r="H24" s="7">
        <f>IF($A24="","",IF(D24&gt;0, IFERROR(AVERAGEIFS('Detalle individual'!$J$5:$J$1000, 'Detalle individual'!$C$5:$C$1000, A24), ""), ""))</f>
        <v>98.4615384615385</v>
      </c>
      <c r="I24" s="6">
        <f>IF($A24="","",IF(D24&gt;0, IFERROR(_xlfn.MAXIFS('Detalle individual'!$J$5:$J$1000, 'Detalle individual'!$C$5:$C$1000, A24), ""), ""))</f>
        <v>100</v>
      </c>
      <c r="J24" s="6">
        <f>IF($A24="","",IF(D24&gt;0, IFERROR(_xlfn.MINIFS('Detalle individual'!$J$5:$J$1000, 'Detalle individual'!$C$5:$C$1000, A24), ""), ""))</f>
        <v>90</v>
      </c>
      <c r="K24" s="11">
        <f>IF($A24="","",IF(D24&gt;0, IFERROR(_xlfn.MINIFS('Detalle individual'!$G$5:$G$1000, 'Detalle individual'!$C$5:$C$1000, A24), ""), ""))</f>
        <v>46297.64716435185</v>
      </c>
      <c r="L24" s="11">
        <f>IF($A24="","",IF(D24&gt;0, IFERROR(_xlfn.MAXIFS('Detalle individual'!$H$5:$H$1000, 'Detalle individual'!$C$5:$C$1000, A24), ""), ""))</f>
        <v>46309.40052083333</v>
      </c>
      <c r="M24" s="7">
        <f>IF($A24="","",IF(D24&gt;0, IFERROR(_xlfn.MINIFS('Detalle individual'!$I$5:$I$1000, 'Detalle individual'!$C$5:$C$1000, A24), ""), ""))</f>
        <v>4.8</v>
      </c>
      <c r="N24" s="7">
        <f>IF($A24="","",IF(D24&gt;0, IFERROR(AVERAGEIFS('Detalle individual'!$I$5:$I$1000, 'Detalle individual'!$C$5:$C$1000, A24), ""), ""))</f>
        <v>9.97435897435897</v>
      </c>
      <c r="O24" s="22">
        <f>IF($A24="","",COUNTIF('Detalle individual'!$C$5:$C$1000, A24)-C24)</f>
        <v>0</v>
      </c>
    </row>
    <row r="25">
      <c r="A25" s="5" t="str">
        <f>IF(Cálculos!$AE25="","",INDEX('Detalle individual'!$C:$C,Cálculos!$AE25))</f>
        <v>DEPARTAMENTO DE CUSTODIA DE GARANTÍA Y VALORES</v>
      </c>
      <c r="B25" s="5" t="str">
        <f>IF($A25="","",INDEX('Detalle individual'!$D:$D,Cálculos!$AE25))</f>
        <v>Gerencia Administrativa</v>
      </c>
      <c r="C25" s="8">
        <f>IF($A25="","",COUNTIFS('Detalle individual'!$C$5:$C$1000, A25, 'Detalle individual'!$F$5:$F$1000, "Completado")+COUNTIFS('Detalle individual'!$C$5:$C$1000, A25, 'Detalle individual'!$F$5:$F$1000, "Pendiente"))</f>
        <v>6</v>
      </c>
      <c r="D25" s="8">
        <f>IF($A25="","",COUNTIFS('Detalle individual'!$C$5:$C$1000, A25, 'Detalle individual'!$F$5:$F$1000, "Completado"))</f>
        <v>6</v>
      </c>
      <c r="E25" s="8">
        <f>IF($A25="","",C25-D25)</f>
        <v>0</v>
      </c>
      <c r="F25" s="26">
        <f>IF($A25="","",IF(C25&gt;0, D25/C25, 0))</f>
        <v>1</v>
      </c>
      <c r="G25" s="4" t="str">
        <f>IF($A25="","",IF(AND(C25&gt;0, D25=C25), "Completo", "Pendiente"))</f>
        <v>Completo</v>
      </c>
      <c r="H25" s="7">
        <f>IF($A25="","",IF(D25&gt;0, IFERROR(AVERAGEIFS('Detalle individual'!$J$5:$J$1000, 'Detalle individual'!$C$5:$C$1000, A25), ""), ""))</f>
        <v>100</v>
      </c>
      <c r="I25" s="6">
        <f>IF($A25="","",IF(D25&gt;0, IFERROR(_xlfn.MAXIFS('Detalle individual'!$J$5:$J$1000, 'Detalle individual'!$C$5:$C$1000, A25), ""), ""))</f>
        <v>100</v>
      </c>
      <c r="J25" s="6">
        <f>IF($A25="","",IF(D25&gt;0, IFERROR(_xlfn.MINIFS('Detalle individual'!$J$5:$J$1000, 'Detalle individual'!$C$5:$C$1000, A25), ""), ""))</f>
        <v>100</v>
      </c>
      <c r="K25" s="11">
        <f>IF($A25="","",IF(D25&gt;0, IFERROR(_xlfn.MINIFS('Detalle individual'!$G$5:$G$1000, 'Detalle individual'!$C$5:$C$1000, A25), ""), ""))</f>
        <v>46298.500914351855</v>
      </c>
      <c r="L25" s="11">
        <f>IF($A25="","",IF(D25&gt;0, IFERROR(_xlfn.MAXIFS('Detalle individual'!$H$5:$H$1000, 'Detalle individual'!$C$5:$C$1000, A25), ""), ""))</f>
        <v>46304.70379629629</v>
      </c>
      <c r="M25" s="7">
        <f>IF($A25="","",IF(D25&gt;0, IFERROR(_xlfn.MINIFS('Detalle individual'!$I$5:$I$1000, 'Detalle individual'!$C$5:$C$1000, A25), ""), ""))</f>
        <v>2.11666666666667</v>
      </c>
      <c r="N25" s="7">
        <f>IF($A25="","",IF(D25&gt;0, IFERROR(AVERAGEIFS('Detalle individual'!$I$5:$I$1000, 'Detalle individual'!$C$5:$C$1000, A25), ""), ""))</f>
        <v>9.34444444444445</v>
      </c>
      <c r="O25" s="22">
        <f>IF($A25="","",COUNTIF('Detalle individual'!$C$5:$C$1000, A25)-C25)</f>
        <v>0</v>
      </c>
    </row>
    <row r="26">
      <c r="A26" s="5" t="str">
        <f>IF(Cálculos!$AE26="","",INDEX('Detalle individual'!$C:$C,Cálculos!$AE26))</f>
        <v>DEPARTAMENTO DE DEPOSITOS</v>
      </c>
      <c r="B26" s="5" t="str">
        <f>IF($A26="","",INDEX('Detalle individual'!$D:$D,Cálculos!$AE26))</f>
        <v>Gerencia de Operaciones</v>
      </c>
      <c r="C26" s="8">
        <f>IF($A26="","",COUNTIFS('Detalle individual'!$C$5:$C$1000, A26, 'Detalle individual'!$F$5:$F$1000, "Completado")+COUNTIFS('Detalle individual'!$C$5:$C$1000, A26, 'Detalle individual'!$F$5:$F$1000, "Pendiente"))</f>
        <v>4</v>
      </c>
      <c r="D26" s="8">
        <f>IF($A26="","",COUNTIFS('Detalle individual'!$C$5:$C$1000, A26, 'Detalle individual'!$F$5:$F$1000, "Completado"))</f>
        <v>4</v>
      </c>
      <c r="E26" s="8">
        <f>IF($A26="","",C26-D26)</f>
        <v>0</v>
      </c>
      <c r="F26" s="26">
        <f>IF($A26="","",IF(C26&gt;0, D26/C26, 0))</f>
        <v>1</v>
      </c>
      <c r="G26" s="4" t="str">
        <f>IF($A26="","",IF(AND(C26&gt;0, D26=C26), "Completo", "Pendiente"))</f>
        <v>Completo</v>
      </c>
      <c r="H26" s="7">
        <f>IF($A26="","",IF(D26&gt;0, IFERROR(AVERAGEIFS('Detalle individual'!$J$5:$J$1000, 'Detalle individual'!$C$5:$C$1000, A26), ""), ""))</f>
        <v>98.75</v>
      </c>
      <c r="I26" s="6">
        <f>IF($A26="","",IF(D26&gt;0, IFERROR(_xlfn.MAXIFS('Detalle individual'!$J$5:$J$1000, 'Detalle individual'!$C$5:$C$1000, A26), ""), ""))</f>
        <v>100</v>
      </c>
      <c r="J26" s="6">
        <f>IF($A26="","",IF(D26&gt;0, IFERROR(_xlfn.MINIFS('Detalle individual'!$J$5:$J$1000, 'Detalle individual'!$C$5:$C$1000, A26), ""), ""))</f>
        <v>95</v>
      </c>
      <c r="K26" s="11">
        <f>IF($A26="","",IF(D26&gt;0, IFERROR(_xlfn.MINIFS('Detalle individual'!$G$5:$G$1000, 'Detalle individual'!$C$5:$C$1000, A26), ""), ""))</f>
        <v>46296.56951388889</v>
      </c>
      <c r="L26" s="11">
        <f>IF($A26="","",IF(D26&gt;0, IFERROR(_xlfn.MAXIFS('Detalle individual'!$H$5:$H$1000, 'Detalle individual'!$C$5:$C$1000, A26), ""), ""))</f>
        <v>46305.513344907406</v>
      </c>
      <c r="M26" s="7">
        <f>IF($A26="","",IF(D26&gt;0, IFERROR(_xlfn.MINIFS('Detalle individual'!$I$5:$I$1000, 'Detalle individual'!$C$5:$C$1000, A26), ""), ""))</f>
        <v>3.35</v>
      </c>
      <c r="N26" s="7">
        <f>IF($A26="","",IF(D26&gt;0, IFERROR(AVERAGEIFS('Detalle individual'!$I$5:$I$1000, 'Detalle individual'!$C$5:$C$1000, A26), ""), ""))</f>
        <v>8.05833333333333</v>
      </c>
      <c r="O26" s="22">
        <f>IF($A26="","",COUNTIF('Detalle individual'!$C$5:$C$1000, A26)-C26)</f>
        <v>0</v>
      </c>
    </row>
    <row r="27">
      <c r="A27" s="5" t="str">
        <f>IF(Cálculos!$AE27="","",INDEX('Detalle individual'!$C:$C,Cálculos!$AE27))</f>
        <v>DEPARTAMENTO DE EDUCACION Y RESPONSABILIDAD SOCIAL</v>
      </c>
      <c r="B27" s="5" t="str">
        <f>IF($A27="","",INDEX('Detalle individual'!$D:$D,Cálculos!$AE27))</f>
        <v>Gerencia Administrativa</v>
      </c>
      <c r="C27" s="8">
        <f>IF($A27="","",COUNTIFS('Detalle individual'!$C$5:$C$1000, A27, 'Detalle individual'!$F$5:$F$1000, "Completado")+COUNTIFS('Detalle individual'!$C$5:$C$1000, A27, 'Detalle individual'!$F$5:$F$1000, "Pendiente"))</f>
        <v>3</v>
      </c>
      <c r="D27" s="8">
        <f>IF($A27="","",COUNTIFS('Detalle individual'!$C$5:$C$1000, A27, 'Detalle individual'!$F$5:$F$1000, "Completado"))</f>
        <v>3</v>
      </c>
      <c r="E27" s="8">
        <f>IF($A27="","",C27-D27)</f>
        <v>0</v>
      </c>
      <c r="F27" s="26">
        <f>IF($A27="","",IF(C27&gt;0, D27/C27, 0))</f>
        <v>1</v>
      </c>
      <c r="G27" s="4" t="str">
        <f>IF($A27="","",IF(AND(C27&gt;0, D27=C27), "Completo", "Pendiente"))</f>
        <v>Completo</v>
      </c>
      <c r="H27" s="7">
        <f>IF($A27="","",IF(D27&gt;0, IFERROR(AVERAGEIFS('Detalle individual'!$J$5:$J$1000, 'Detalle individual'!$C$5:$C$1000, A27), ""), ""))</f>
        <v>100</v>
      </c>
      <c r="I27" s="6">
        <f>IF($A27="","",IF(D27&gt;0, IFERROR(_xlfn.MAXIFS('Detalle individual'!$J$5:$J$1000, 'Detalle individual'!$C$5:$C$1000, A27), ""), ""))</f>
        <v>100</v>
      </c>
      <c r="J27" s="6">
        <f>IF($A27="","",IF(D27&gt;0, IFERROR(_xlfn.MINIFS('Detalle individual'!$J$5:$J$1000, 'Detalle individual'!$C$5:$C$1000, A27), ""), ""))</f>
        <v>100</v>
      </c>
      <c r="K27" s="11">
        <f>IF($A27="","",IF(D27&gt;0, IFERROR(_xlfn.MINIFS('Detalle individual'!$G$5:$G$1000, 'Detalle individual'!$C$5:$C$1000, A27), ""), ""))</f>
        <v>46301.62170138889</v>
      </c>
      <c r="L27" s="11">
        <f>IF($A27="","",IF(D27&gt;0, IFERROR(_xlfn.MAXIFS('Detalle individual'!$H$5:$H$1000, 'Detalle individual'!$C$5:$C$1000, A27), ""), ""))</f>
        <v>46310.511469907404</v>
      </c>
      <c r="M27" s="7">
        <f>IF($A27="","",IF(D27&gt;0, IFERROR(_xlfn.MINIFS('Detalle individual'!$I$5:$I$1000, 'Detalle individual'!$C$5:$C$1000, A27), ""), ""))</f>
        <v>3.11666666666667</v>
      </c>
      <c r="N27" s="7">
        <f>IF($A27="","",IF(D27&gt;0, IFERROR(AVERAGEIFS('Detalle individual'!$I$5:$I$1000, 'Detalle individual'!$C$5:$C$1000, A27), ""), ""))</f>
        <v>14.1055555555556</v>
      </c>
      <c r="O27" s="22">
        <f>IF($A27="","",COUNTIF('Detalle individual'!$C$5:$C$1000, A27)-C27)</f>
        <v>0</v>
      </c>
    </row>
    <row r="28">
      <c r="A28" s="5" t="str">
        <f>IF(Cálculos!$AE28="","",INDEX('Detalle individual'!$C:$C,Cálculos!$AE28))</f>
        <v>DEPARTAMENTO DE MERCADEO</v>
      </c>
      <c r="B28" s="5" t="str">
        <f>IF($A28="","",INDEX('Detalle individual'!$D:$D,Cálculos!$AE28))</f>
        <v>Gerencia de Negocios</v>
      </c>
      <c r="C28" s="8">
        <f>IF($A28="","",COUNTIFS('Detalle individual'!$C$5:$C$1000, A28, 'Detalle individual'!$F$5:$F$1000, "Completado")+COUNTIFS('Detalle individual'!$C$5:$C$1000, A28, 'Detalle individual'!$F$5:$F$1000, "Pendiente"))</f>
        <v>7</v>
      </c>
      <c r="D28" s="8">
        <f>IF($A28="","",COUNTIFS('Detalle individual'!$C$5:$C$1000, A28, 'Detalle individual'!$F$5:$F$1000, "Completado"))</f>
        <v>7</v>
      </c>
      <c r="E28" s="8">
        <f>IF($A28="","",C28-D28)</f>
        <v>0</v>
      </c>
      <c r="F28" s="26">
        <f>IF($A28="","",IF(C28&gt;0, D28/C28, 0))</f>
        <v>1</v>
      </c>
      <c r="G28" s="4" t="str">
        <f>IF($A28="","",IF(AND(C28&gt;0, D28=C28), "Completo", "Pendiente"))</f>
        <v>Completo</v>
      </c>
      <c r="H28" s="7">
        <f>IF($A28="","",IF(D28&gt;0, IFERROR(AVERAGEIFS('Detalle individual'!$J$5:$J$1000, 'Detalle individual'!$C$5:$C$1000, A28), ""), ""))</f>
        <v>94.2857142857143</v>
      </c>
      <c r="I28" s="6">
        <f>IF($A28="","",IF(D28&gt;0, IFERROR(_xlfn.MAXIFS('Detalle individual'!$J$5:$J$1000, 'Detalle individual'!$C$5:$C$1000, A28), ""), ""))</f>
        <v>100</v>
      </c>
      <c r="J28" s="6">
        <f>IF($A28="","",IF(D28&gt;0, IFERROR(_xlfn.MINIFS('Detalle individual'!$J$5:$J$1000, 'Detalle individual'!$C$5:$C$1000, A28), ""), ""))</f>
        <v>80</v>
      </c>
      <c r="K28" s="11">
        <f>IF($A28="","",IF(D28&gt;0, IFERROR(_xlfn.MINIFS('Detalle individual'!$G$5:$G$1000, 'Detalle individual'!$C$5:$C$1000, A28), ""), ""))</f>
        <v>46301.61615740741</v>
      </c>
      <c r="L28" s="11">
        <f>IF($A28="","",IF(D28&gt;0, IFERROR(_xlfn.MAXIFS('Detalle individual'!$H$5:$H$1000, 'Detalle individual'!$C$5:$C$1000, A28), ""), ""))</f>
        <v>46311.71099537037</v>
      </c>
      <c r="M28" s="7">
        <f>IF($A28="","",IF(D28&gt;0, IFERROR(_xlfn.MINIFS('Detalle individual'!$I$5:$I$1000, 'Detalle individual'!$C$5:$C$1000, A28), ""), ""))</f>
        <v>3.41666666666667</v>
      </c>
      <c r="N28" s="7">
        <f>IF($A28="","",IF(D28&gt;0, IFERROR(AVERAGEIFS('Detalle individual'!$I$5:$I$1000, 'Detalle individual'!$C$5:$C$1000, A28), ""), ""))</f>
        <v>20.4476190476191</v>
      </c>
      <c r="O28" s="22">
        <f>IF($A28="","",COUNTIF('Detalle individual'!$C$5:$C$1000, A28)-C28)</f>
        <v>0</v>
      </c>
    </row>
    <row r="29">
      <c r="A29" s="5" t="str">
        <f>IF(Cálculos!$AE29="","",INDEX('Detalle individual'!$C:$C,Cálculos!$AE29))</f>
        <v>DEPARTAMENTO DE OPERACIONES Y SOPORTE TECNICO</v>
      </c>
      <c r="B29" s="5" t="str">
        <f>IF($A29="","",INDEX('Detalle individual'!$D:$D,Cálculos!$AE29))</f>
        <v>Gerencia de Sistemas</v>
      </c>
      <c r="C29" s="8">
        <f>IF($A29="","",COUNTIFS('Detalle individual'!$C$5:$C$1000, A29, 'Detalle individual'!$F$5:$F$1000, "Completado")+COUNTIFS('Detalle individual'!$C$5:$C$1000, A29, 'Detalle individual'!$F$5:$F$1000, "Pendiente"))</f>
        <v>6</v>
      </c>
      <c r="D29" s="8">
        <f>IF($A29="","",COUNTIFS('Detalle individual'!$C$5:$C$1000, A29, 'Detalle individual'!$F$5:$F$1000, "Completado"))</f>
        <v>6</v>
      </c>
      <c r="E29" s="8">
        <f>IF($A29="","",C29-D29)</f>
        <v>0</v>
      </c>
      <c r="F29" s="26">
        <f>IF($A29="","",IF(C29&gt;0, D29/C29, 0))</f>
        <v>1</v>
      </c>
      <c r="G29" s="4" t="str">
        <f>IF($A29="","",IF(AND(C29&gt;0, D29=C29), "Completo", "Pendiente"))</f>
        <v>Completo</v>
      </c>
      <c r="H29" s="7">
        <f>IF($A29="","",IF(D29&gt;0, IFERROR(AVERAGEIFS('Detalle individual'!$J$5:$J$1000, 'Detalle individual'!$C$5:$C$1000, A29), ""), ""))</f>
        <v>100</v>
      </c>
      <c r="I29" s="6">
        <f>IF($A29="","",IF(D29&gt;0, IFERROR(_xlfn.MAXIFS('Detalle individual'!$J$5:$J$1000, 'Detalle individual'!$C$5:$C$1000, A29), ""), ""))</f>
        <v>100</v>
      </c>
      <c r="J29" s="6">
        <f>IF($A29="","",IF(D29&gt;0, IFERROR(_xlfn.MINIFS('Detalle individual'!$J$5:$J$1000, 'Detalle individual'!$C$5:$C$1000, A29), ""), ""))</f>
        <v>100</v>
      </c>
      <c r="K29" s="11">
        <f>IF($A29="","",IF(D29&gt;0, IFERROR(_xlfn.MINIFS('Detalle individual'!$G$5:$G$1000, 'Detalle individual'!$C$5:$C$1000, A29), ""), ""))</f>
        <v>46300.46083333333</v>
      </c>
      <c r="L29" s="11">
        <f>IF($A29="","",IF(D29&gt;0, IFERROR(_xlfn.MAXIFS('Detalle individual'!$H$5:$H$1000, 'Detalle individual'!$C$5:$C$1000, A29), ""), ""))</f>
        <v>46302.441828703704</v>
      </c>
      <c r="M29" s="7">
        <f>IF($A29="","",IF(D29&gt;0, IFERROR(_xlfn.MINIFS('Detalle individual'!$I$5:$I$1000, 'Detalle individual'!$C$5:$C$1000, A29), ""), ""))</f>
        <v>3.16666666666667</v>
      </c>
      <c r="N29" s="7">
        <f>IF($A29="","",IF(D29&gt;0, IFERROR(AVERAGEIFS('Detalle individual'!$I$5:$I$1000, 'Detalle individual'!$C$5:$C$1000, A29), ""), ""))</f>
        <v>16.5583333333333</v>
      </c>
      <c r="O29" s="22">
        <f>IF($A29="","",COUNTIF('Detalle individual'!$C$5:$C$1000, A29)-C29)</f>
        <v>1</v>
      </c>
    </row>
    <row r="30">
      <c r="A30" s="5" t="str">
        <f>IF(Cálculos!$AE30="","",INDEX('Detalle individual'!$C:$C,Cálculos!$AE30))</f>
        <v>DEPARTAMENTO DE PLANIFICACIÓN Y ANALISIS</v>
      </c>
      <c r="B30" s="5" t="str">
        <f>IF($A30="","",INDEX('Detalle individual'!$D:$D,Cálculos!$AE30))</f>
        <v>Gerencia de Finanzas y Planificación</v>
      </c>
      <c r="C30" s="8">
        <f>IF($A30="","",COUNTIFS('Detalle individual'!$C$5:$C$1000, A30, 'Detalle individual'!$F$5:$F$1000, "Completado")+COUNTIFS('Detalle individual'!$C$5:$C$1000, A30, 'Detalle individual'!$F$5:$F$1000, "Pendiente"))</f>
        <v>3</v>
      </c>
      <c r="D30" s="8">
        <f>IF($A30="","",COUNTIFS('Detalle individual'!$C$5:$C$1000, A30, 'Detalle individual'!$F$5:$F$1000, "Completado"))</f>
        <v>3</v>
      </c>
      <c r="E30" s="8">
        <f>IF($A30="","",C30-D30)</f>
        <v>0</v>
      </c>
      <c r="F30" s="26">
        <f>IF($A30="","",IF(C30&gt;0, D30/C30, 0))</f>
        <v>1</v>
      </c>
      <c r="G30" s="4" t="str">
        <f>IF($A30="","",IF(AND(C30&gt;0, D30=C30), "Completo", "Pendiente"))</f>
        <v>Completo</v>
      </c>
      <c r="H30" s="7">
        <f>IF($A30="","",IF(D30&gt;0, IFERROR(AVERAGEIFS('Detalle individual'!$J$5:$J$1000, 'Detalle individual'!$C$5:$C$1000, A30), ""), ""))</f>
        <v>100</v>
      </c>
      <c r="I30" s="6">
        <f>IF($A30="","",IF(D30&gt;0, IFERROR(_xlfn.MAXIFS('Detalle individual'!$J$5:$J$1000, 'Detalle individual'!$C$5:$C$1000, A30), ""), ""))</f>
        <v>100</v>
      </c>
      <c r="J30" s="6">
        <f>IF($A30="","",IF(D30&gt;0, IFERROR(_xlfn.MINIFS('Detalle individual'!$J$5:$J$1000, 'Detalle individual'!$C$5:$C$1000, A30), ""), ""))</f>
        <v>100</v>
      </c>
      <c r="K30" s="11">
        <f>IF($A30="","",IF(D30&gt;0, IFERROR(_xlfn.MINIFS('Detalle individual'!$G$5:$G$1000, 'Detalle individual'!$C$5:$C$1000, A30), ""), ""))</f>
        <v>46305.5291087963</v>
      </c>
      <c r="L30" s="11">
        <f>IF($A30="","",IF(D30&gt;0, IFERROR(_xlfn.MAXIFS('Detalle individual'!$H$5:$H$1000, 'Detalle individual'!$C$5:$C$1000, A30), ""), ""))</f>
        <v>46311.627291666664</v>
      </c>
      <c r="M30" s="7">
        <f>IF($A30="","",IF(D30&gt;0, IFERROR(_xlfn.MINIFS('Detalle individual'!$I$5:$I$1000, 'Detalle individual'!$C$5:$C$1000, A30), ""), ""))</f>
        <v>3.85</v>
      </c>
      <c r="N30" s="7">
        <f>IF($A30="","",IF(D30&gt;0, IFERROR(AVERAGEIFS('Detalle individual'!$I$5:$I$1000, 'Detalle individual'!$C$5:$C$1000, A30), ""), ""))</f>
        <v>7.74999999359444</v>
      </c>
      <c r="O30" s="22">
        <f>IF($A30="","",COUNTIF('Detalle individual'!$C$5:$C$1000, A30)-C30)</f>
        <v>0</v>
      </c>
    </row>
    <row r="31">
      <c r="A31" s="5" t="str">
        <f>IF(Cálculos!$AE31="","",INDEX('Detalle individual'!$C:$C,Cálculos!$AE31))</f>
        <v>DEPARTAMENTO DE PROCESOS</v>
      </c>
      <c r="B31" s="5" t="str">
        <f>IF($A31="","",INDEX('Detalle individual'!$D:$D,Cálculos!$AE31))</f>
        <v>Gerencia General</v>
      </c>
      <c r="C31" s="8">
        <f>IF($A31="","",COUNTIFS('Detalle individual'!$C$5:$C$1000, A31, 'Detalle individual'!$F$5:$F$1000, "Completado")+COUNTIFS('Detalle individual'!$C$5:$C$1000, A31, 'Detalle individual'!$F$5:$F$1000, "Pendiente"))</f>
        <v>3</v>
      </c>
      <c r="D31" s="8">
        <f>IF($A31="","",COUNTIFS('Detalle individual'!$C$5:$C$1000, A31, 'Detalle individual'!$F$5:$F$1000, "Completado"))</f>
        <v>3</v>
      </c>
      <c r="E31" s="8">
        <f>IF($A31="","",C31-D31)</f>
        <v>0</v>
      </c>
      <c r="F31" s="26">
        <f>IF($A31="","",IF(C31&gt;0, D31/C31, 0))</f>
        <v>1</v>
      </c>
      <c r="G31" s="4" t="str">
        <f>IF($A31="","",IF(AND(C31&gt;0, D31=C31), "Completo", "Pendiente"))</f>
        <v>Completo</v>
      </c>
      <c r="H31" s="7">
        <f>IF($A31="","",IF(D31&gt;0, IFERROR(AVERAGEIFS('Detalle individual'!$J$5:$J$1000, 'Detalle individual'!$C$5:$C$1000, A31), ""), ""))</f>
        <v>100</v>
      </c>
      <c r="I31" s="6">
        <f>IF($A31="","",IF(D31&gt;0, IFERROR(_xlfn.MAXIFS('Detalle individual'!$J$5:$J$1000, 'Detalle individual'!$C$5:$C$1000, A31), ""), ""))</f>
        <v>100</v>
      </c>
      <c r="J31" s="6">
        <f>IF($A31="","",IF(D31&gt;0, IFERROR(_xlfn.MINIFS('Detalle individual'!$J$5:$J$1000, 'Detalle individual'!$C$5:$C$1000, A31), ""), ""))</f>
        <v>100</v>
      </c>
      <c r="K31" s="11">
        <f>IF($A31="","",IF(D31&gt;0, IFERROR(_xlfn.MINIFS('Detalle individual'!$G$5:$G$1000, 'Detalle individual'!$C$5:$C$1000, A31), ""), ""))</f>
        <v>46296.436574074076</v>
      </c>
      <c r="L31" s="11">
        <f>IF($A31="","",IF(D31&gt;0, IFERROR(_xlfn.MAXIFS('Detalle individual'!$H$5:$H$1000, 'Detalle individual'!$C$5:$C$1000, A31), ""), ""))</f>
        <v>46296.44149305556</v>
      </c>
      <c r="M31" s="7">
        <f>IF($A31="","",IF(D31&gt;0, IFERROR(_xlfn.MINIFS('Detalle individual'!$I$5:$I$1000, 'Detalle individual'!$C$5:$C$1000, A31), ""), ""))</f>
        <v>6.11666666666667</v>
      </c>
      <c r="N31" s="7">
        <f>IF($A31="","",IF(D31&gt;0, IFERROR(AVERAGEIFS('Detalle individual'!$I$5:$I$1000, 'Detalle individual'!$C$5:$C$1000, A31), ""), ""))</f>
        <v>6.66666666666667</v>
      </c>
      <c r="O31" s="22">
        <f>IF($A31="","",COUNTIF('Detalle individual'!$C$5:$C$1000, A31)-C31)</f>
        <v>0</v>
      </c>
    </row>
    <row r="32">
      <c r="A32" s="5" t="str">
        <f>IF(Cálculos!$AE32="","",INDEX('Detalle individual'!$C:$C,Cálculos!$AE32))</f>
        <v>DEPARTAMENTO DE SEGURIDAD</v>
      </c>
      <c r="B32" s="5" t="str">
        <f>IF($A32="","",INDEX('Detalle individual'!$D:$D,Cálculos!$AE32))</f>
        <v>Gerencia Administrativa</v>
      </c>
      <c r="C32" s="8">
        <f>IF($A32="","",COUNTIFS('Detalle individual'!$C$5:$C$1000, A32, 'Detalle individual'!$F$5:$F$1000, "Completado")+COUNTIFS('Detalle individual'!$C$5:$C$1000, A32, 'Detalle individual'!$F$5:$F$1000, "Pendiente"))</f>
        <v>2</v>
      </c>
      <c r="D32" s="8">
        <f>IF($A32="","",COUNTIFS('Detalle individual'!$C$5:$C$1000, A32, 'Detalle individual'!$F$5:$F$1000, "Completado"))</f>
        <v>2</v>
      </c>
      <c r="E32" s="8">
        <f>IF($A32="","",C32-D32)</f>
        <v>0</v>
      </c>
      <c r="F32" s="26">
        <f>IF($A32="","",IF(C32&gt;0, D32/C32, 0))</f>
        <v>1</v>
      </c>
      <c r="G32" s="4" t="str">
        <f>IF($A32="","",IF(AND(C32&gt;0, D32=C32), "Completo", "Pendiente"))</f>
        <v>Completo</v>
      </c>
      <c r="H32" s="7">
        <f>IF($A32="","",IF(D32&gt;0, IFERROR(AVERAGEIFS('Detalle individual'!$J$5:$J$1000, 'Detalle individual'!$C$5:$C$1000, A32), ""), ""))</f>
        <v>95</v>
      </c>
      <c r="I32" s="6">
        <f>IF($A32="","",IF(D32&gt;0, IFERROR(_xlfn.MAXIFS('Detalle individual'!$J$5:$J$1000, 'Detalle individual'!$C$5:$C$1000, A32), ""), ""))</f>
        <v>100</v>
      </c>
      <c r="J32" s="6">
        <f>IF($A32="","",IF(D32&gt;0, IFERROR(_xlfn.MINIFS('Detalle individual'!$J$5:$J$1000, 'Detalle individual'!$C$5:$C$1000, A32), ""), ""))</f>
        <v>90</v>
      </c>
      <c r="K32" s="11">
        <f>IF($A32="","",IF(D32&gt;0, IFERROR(_xlfn.MINIFS('Detalle individual'!$G$5:$G$1000, 'Detalle individual'!$C$5:$C$1000, A32), ""), ""))</f>
        <v>46296.454039351855</v>
      </c>
      <c r="L32" s="11">
        <f>IF($A32="","",IF(D32&gt;0, IFERROR(_xlfn.MAXIFS('Detalle individual'!$H$5:$H$1000, 'Detalle individual'!$C$5:$C$1000, A32), ""), ""))</f>
        <v>46296.46072916667</v>
      </c>
      <c r="M32" s="7">
        <f>IF($A32="","",IF(D32&gt;0, IFERROR(_xlfn.MINIFS('Detalle individual'!$I$5:$I$1000, 'Detalle individual'!$C$5:$C$1000, A32), ""), ""))</f>
        <v>3.3</v>
      </c>
      <c r="N32" s="7">
        <f>IF($A32="","",IF(D32&gt;0, IFERROR(AVERAGEIFS('Detalle individual'!$I$5:$I$1000, 'Detalle individual'!$C$5:$C$1000, A32), ""), ""))</f>
        <v>4.1</v>
      </c>
      <c r="O32" s="22">
        <f>IF($A32="","",COUNTIF('Detalle individual'!$C$5:$C$1000, A32)-C32)</f>
        <v>0</v>
      </c>
    </row>
    <row r="33">
      <c r="A33" s="5" t="str">
        <f>IF(Cálculos!$AE33="","",INDEX('Detalle individual'!$C:$C,Cálculos!$AE33))</f>
        <v>DEPARTAMENTO DE SEGUROS</v>
      </c>
      <c r="B33" s="5" t="str">
        <f>IF($A33="","",INDEX('Detalle individual'!$D:$D,Cálculos!$AE33))</f>
        <v>Gerencia de Negocios</v>
      </c>
      <c r="C33" s="8">
        <f>IF($A33="","",COUNTIFS('Detalle individual'!$C$5:$C$1000, A33, 'Detalle individual'!$F$5:$F$1000, "Completado")+COUNTIFS('Detalle individual'!$C$5:$C$1000, A33, 'Detalle individual'!$F$5:$F$1000, "Pendiente"))</f>
        <v>10</v>
      </c>
      <c r="D33" s="8">
        <f>IF($A33="","",COUNTIFS('Detalle individual'!$C$5:$C$1000, A33, 'Detalle individual'!$F$5:$F$1000, "Completado"))</f>
        <v>10</v>
      </c>
      <c r="E33" s="8">
        <f>IF($A33="","",C33-D33)</f>
        <v>0</v>
      </c>
      <c r="F33" s="26">
        <f>IF($A33="","",IF(C33&gt;0, D33/C33, 0))</f>
        <v>1</v>
      </c>
      <c r="G33" s="4" t="str">
        <f>IF($A33="","",IF(AND(C33&gt;0, D33=C33), "Completo", "Pendiente"))</f>
        <v>Completo</v>
      </c>
      <c r="H33" s="7">
        <f>IF($A33="","",IF(D33&gt;0, IFERROR(AVERAGEIFS('Detalle individual'!$J$5:$J$1000, 'Detalle individual'!$C$5:$C$1000, A33), ""), ""))</f>
        <v>97</v>
      </c>
      <c r="I33" s="6">
        <f>IF($A33="","",IF(D33&gt;0, IFERROR(_xlfn.MAXIFS('Detalle individual'!$J$5:$J$1000, 'Detalle individual'!$C$5:$C$1000, A33), ""), ""))</f>
        <v>100</v>
      </c>
      <c r="J33" s="6">
        <f>IF($A33="","",IF(D33&gt;0, IFERROR(_xlfn.MINIFS('Detalle individual'!$J$5:$J$1000, 'Detalle individual'!$C$5:$C$1000, A33), ""), ""))</f>
        <v>90</v>
      </c>
      <c r="K33" s="11">
        <f>IF($A33="","",IF(D33&gt;0, IFERROR(_xlfn.MINIFS('Detalle individual'!$G$5:$G$1000, 'Detalle individual'!$C$5:$C$1000, A33), ""), ""))</f>
        <v>46296.426412037035</v>
      </c>
      <c r="L33" s="11">
        <f>IF($A33="","",IF(D33&gt;0, IFERROR(_xlfn.MAXIFS('Detalle individual'!$H$5:$H$1000, 'Detalle individual'!$C$5:$C$1000, A33), ""), ""))</f>
        <v>46309.639328703706</v>
      </c>
      <c r="M33" s="7">
        <f>IF($A33="","",IF(D33&gt;0, IFERROR(_xlfn.MINIFS('Detalle individual'!$I$5:$I$1000, 'Detalle individual'!$C$5:$C$1000, A33), ""), ""))</f>
        <v>4.15</v>
      </c>
      <c r="N33" s="7">
        <f>IF($A33="","",IF(D33&gt;0, IFERROR(AVERAGEIFS('Detalle individual'!$I$5:$I$1000, 'Detalle individual'!$C$5:$C$1000, A33), ""), ""))</f>
        <v>15.0366666683583</v>
      </c>
      <c r="O33" s="22">
        <f>IF($A33="","",COUNTIF('Detalle individual'!$C$5:$C$1000, A33)-C33)</f>
        <v>1</v>
      </c>
    </row>
    <row r="34">
      <c r="A34" s="5" t="str">
        <f>IF(Cálculos!$AE34="","",INDEX('Detalle individual'!$C:$C,Cálculos!$AE34))</f>
        <v>DEPARTAMENTO DE SERVICIOS GENERALES</v>
      </c>
      <c r="B34" s="5" t="str">
        <f>IF($A34="","",INDEX('Detalle individual'!$D:$D,Cálculos!$AE34))</f>
        <v>Gerencia Administrativa</v>
      </c>
      <c r="C34" s="8">
        <f>IF($A34="","",COUNTIFS('Detalle individual'!$C$5:$C$1000, A34, 'Detalle individual'!$F$5:$F$1000, "Completado")+COUNTIFS('Detalle individual'!$C$5:$C$1000, A34, 'Detalle individual'!$F$5:$F$1000, "Pendiente"))</f>
        <v>17</v>
      </c>
      <c r="D34" s="8">
        <f>IF($A34="","",COUNTIFS('Detalle individual'!$C$5:$C$1000, A34, 'Detalle individual'!$F$5:$F$1000, "Completado"))</f>
        <v>17</v>
      </c>
      <c r="E34" s="8">
        <f>IF($A34="","",C34-D34)</f>
        <v>0</v>
      </c>
      <c r="F34" s="26">
        <f>IF($A34="","",IF(C34&gt;0, D34/C34, 0))</f>
        <v>1</v>
      </c>
      <c r="G34" s="4" t="str">
        <f>IF($A34="","",IF(AND(C34&gt;0, D34=C34), "Completo", "Pendiente"))</f>
        <v>Completo</v>
      </c>
      <c r="H34" s="7">
        <f>IF($A34="","",IF(D34&gt;0, IFERROR(AVERAGEIFS('Detalle individual'!$J$5:$J$1000, 'Detalle individual'!$C$5:$C$1000, A34), ""), ""))</f>
        <v>89.7058823529412</v>
      </c>
      <c r="I34" s="6">
        <f>IF($A34="","",IF(D34&gt;0, IFERROR(_xlfn.MAXIFS('Detalle individual'!$J$5:$J$1000, 'Detalle individual'!$C$5:$C$1000, A34), ""), ""))</f>
        <v>100</v>
      </c>
      <c r="J34" s="6">
        <f>IF($A34="","",IF(D34&gt;0, IFERROR(_xlfn.MINIFS('Detalle individual'!$J$5:$J$1000, 'Detalle individual'!$C$5:$C$1000, A34), ""), ""))</f>
        <v>60</v>
      </c>
      <c r="K34" s="11">
        <f>IF($A34="","",IF(D34&gt;0, IFERROR(_xlfn.MINIFS('Detalle individual'!$G$5:$G$1000, 'Detalle individual'!$C$5:$C$1000, A34), ""), ""))</f>
        <v>46297.771944444445</v>
      </c>
      <c r="L34" s="11">
        <f>IF($A34="","",IF(D34&gt;0, IFERROR(_xlfn.MAXIFS('Detalle individual'!$H$5:$H$1000, 'Detalle individual'!$C$5:$C$1000, A34), ""), ""))</f>
        <v>46307.402291666665</v>
      </c>
      <c r="M34" s="7">
        <f>IF($A34="","",IF(D34&gt;0, IFERROR(_xlfn.MINIFS('Detalle individual'!$I$5:$I$1000, 'Detalle individual'!$C$5:$C$1000, A34), ""), ""))</f>
        <v>2.38333333333333</v>
      </c>
      <c r="N34" s="7">
        <f>IF($A34="","",IF(D34&gt;0, IFERROR(AVERAGEIFS('Detalle individual'!$I$5:$I$1000, 'Detalle individual'!$C$5:$C$1000, A34), ""), ""))</f>
        <v>12.2882352941176</v>
      </c>
      <c r="O34" s="22">
        <f>IF($A34="","",COUNTIF('Detalle individual'!$C$5:$C$1000, A34)-C34)</f>
        <v>0</v>
      </c>
    </row>
    <row r="35">
      <c r="A35" s="5" t="str">
        <f>IF(Cálculos!$AE35="","",INDEX('Detalle individual'!$C:$C,Cálculos!$AE35))</f>
        <v>DEPARTAMENTO DE SOLUCIONES FINANCIERAS</v>
      </c>
      <c r="B35" s="5" t="str">
        <f>IF($A35="","",INDEX('Detalle individual'!$D:$D,Cálculos!$AE35))</f>
        <v>Gerencia de Operaciones</v>
      </c>
      <c r="C35" s="8">
        <f>IF($A35="","",COUNTIFS('Detalle individual'!$C$5:$C$1000, A35, 'Detalle individual'!$F$5:$F$1000, "Completado")+COUNTIFS('Detalle individual'!$C$5:$C$1000, A35, 'Detalle individual'!$F$5:$F$1000, "Pendiente"))</f>
        <v>9</v>
      </c>
      <c r="D35" s="8">
        <f>IF($A35="","",COUNTIFS('Detalle individual'!$C$5:$C$1000, A35, 'Detalle individual'!$F$5:$F$1000, "Completado"))</f>
        <v>9</v>
      </c>
      <c r="E35" s="8">
        <f>IF($A35="","",C35-D35)</f>
        <v>0</v>
      </c>
      <c r="F35" s="26">
        <f>IF($A35="","",IF(C35&gt;0, D35/C35, 0))</f>
        <v>1</v>
      </c>
      <c r="G35" s="4" t="str">
        <f>IF($A35="","",IF(AND(C35&gt;0, D35=C35), "Completo", "Pendiente"))</f>
        <v>Completo</v>
      </c>
      <c r="H35" s="7">
        <f>IF($A35="","",IF(D35&gt;0, IFERROR(AVERAGEIFS('Detalle individual'!$J$5:$J$1000, 'Detalle individual'!$C$5:$C$1000, A35), ""), ""))</f>
        <v>87.7777777777778</v>
      </c>
      <c r="I35" s="6">
        <f>IF($A35="","",IF(D35&gt;0, IFERROR(_xlfn.MAXIFS('Detalle individual'!$J$5:$J$1000, 'Detalle individual'!$C$5:$C$1000, A35), ""), ""))</f>
        <v>100</v>
      </c>
      <c r="J35" s="6">
        <f>IF($A35="","",IF(D35&gt;0, IFERROR(_xlfn.MINIFS('Detalle individual'!$J$5:$J$1000, 'Detalle individual'!$C$5:$C$1000, A35), ""), ""))</f>
        <v>70</v>
      </c>
      <c r="K35" s="11">
        <f>IF($A35="","",IF(D35&gt;0, IFERROR(_xlfn.MINIFS('Detalle individual'!$G$5:$G$1000, 'Detalle individual'!$C$5:$C$1000, A35), ""), ""))</f>
        <v>46304.373240740744</v>
      </c>
      <c r="L35" s="11">
        <f>IF($A35="","",IF(D35&gt;0, IFERROR(_xlfn.MAXIFS('Detalle individual'!$H$5:$H$1000, 'Detalle individual'!$C$5:$C$1000, A35), ""), ""))</f>
        <v>46309.38841435185</v>
      </c>
      <c r="M35" s="7">
        <f>IF($A35="","",IF(D35&gt;0, IFERROR(_xlfn.MINIFS('Detalle individual'!$I$5:$I$1000, 'Detalle individual'!$C$5:$C$1000, A35), ""), ""))</f>
        <v>3.03333333333333</v>
      </c>
      <c r="N35" s="7">
        <f>IF($A35="","",IF(D35&gt;0, IFERROR(AVERAGEIFS('Detalle individual'!$I$5:$I$1000, 'Detalle individual'!$C$5:$C$1000, A35), ""), ""))</f>
        <v>10.3925925925926</v>
      </c>
      <c r="O35" s="22">
        <f>IF($A35="","",COUNTIF('Detalle individual'!$C$5:$C$1000, A35)-C35)</f>
        <v>1</v>
      </c>
    </row>
    <row r="36">
      <c r="A36" s="5" t="str">
        <f>IF(Cálculos!$AE36="","",INDEX('Detalle individual'!$C:$C,Cálculos!$AE36))</f>
        <v>DEPARTAMENTO DE TALENTO HUMANO</v>
      </c>
      <c r="B36" s="5" t="str">
        <f>IF($A36="","",INDEX('Detalle individual'!$D:$D,Cálculos!$AE36))</f>
        <v>Gerencia Administrativa</v>
      </c>
      <c r="C36" s="8">
        <f>IF($A36="","",COUNTIFS('Detalle individual'!$C$5:$C$1000, A36, 'Detalle individual'!$F$5:$F$1000, "Completado")+COUNTIFS('Detalle individual'!$C$5:$C$1000, A36, 'Detalle individual'!$F$5:$F$1000, "Pendiente"))</f>
        <v>2</v>
      </c>
      <c r="D36" s="8">
        <f>IF($A36="","",COUNTIFS('Detalle individual'!$C$5:$C$1000, A36, 'Detalle individual'!$F$5:$F$1000, "Completado"))</f>
        <v>2</v>
      </c>
      <c r="E36" s="8">
        <f>IF($A36="","",C36-D36)</f>
        <v>0</v>
      </c>
      <c r="F36" s="26">
        <f>IF($A36="","",IF(C36&gt;0, D36/C36, 0))</f>
        <v>1</v>
      </c>
      <c r="G36" s="4" t="str">
        <f>IF($A36="","",IF(AND(C36&gt;0, D36=C36), "Completo", "Pendiente"))</f>
        <v>Completo</v>
      </c>
      <c r="H36" s="7">
        <f>IF($A36="","",IF(D36&gt;0, IFERROR(AVERAGEIFS('Detalle individual'!$J$5:$J$1000, 'Detalle individual'!$C$5:$C$1000, A36), ""), ""))</f>
        <v>95</v>
      </c>
      <c r="I36" s="6">
        <f>IF($A36="","",IF(D36&gt;0, IFERROR(_xlfn.MAXIFS('Detalle individual'!$J$5:$J$1000, 'Detalle individual'!$C$5:$C$1000, A36), ""), ""))</f>
        <v>100</v>
      </c>
      <c r="J36" s="6">
        <f>IF($A36="","",IF(D36&gt;0, IFERROR(_xlfn.MINIFS('Detalle individual'!$J$5:$J$1000, 'Detalle individual'!$C$5:$C$1000, A36), ""), ""))</f>
        <v>90</v>
      </c>
      <c r="K36" s="11">
        <f>IF($A36="","",IF(D36&gt;0, IFERROR(_xlfn.MINIFS('Detalle individual'!$G$5:$G$1000, 'Detalle individual'!$C$5:$C$1000, A36), ""), ""))</f>
        <v>46304.40207175926</v>
      </c>
      <c r="L36" s="11">
        <f>IF($A36="","",IF(D36&gt;0, IFERROR(_xlfn.MAXIFS('Detalle individual'!$H$5:$H$1000, 'Detalle individual'!$C$5:$C$1000, A36), ""), ""))</f>
        <v>46304.52142361111</v>
      </c>
      <c r="M36" s="7">
        <f>IF($A36="","",IF(D36&gt;0, IFERROR(_xlfn.MINIFS('Detalle individual'!$I$5:$I$1000, 'Detalle individual'!$C$5:$C$1000, A36), ""), ""))</f>
        <v>5.66666666666667</v>
      </c>
      <c r="N36" s="7">
        <f>IF($A36="","",IF(D36&gt;0, IFERROR(AVERAGEIFS('Detalle individual'!$I$5:$I$1000, 'Detalle individual'!$C$5:$C$1000, A36), ""), ""))</f>
        <v>10.725</v>
      </c>
      <c r="O36" s="22">
        <f>IF($A36="","",COUNTIF('Detalle individual'!$C$5:$C$1000, A36)-C36)</f>
        <v>1</v>
      </c>
    </row>
    <row r="37">
      <c r="A37" s="5" t="str">
        <f>IF(Cálculos!$AE37="","",INDEX('Detalle individual'!$C:$C,Cálculos!$AE37))</f>
        <v>DEPARTAMENTO DE TARJETA DE CREDITO Y DEBITO</v>
      </c>
      <c r="B37" s="5" t="str">
        <f>IF($A37="","",INDEX('Detalle individual'!$D:$D,Cálculos!$AE37))</f>
        <v>Gerencia de Operaciones</v>
      </c>
      <c r="C37" s="8">
        <f>IF($A37="","",COUNTIFS('Detalle individual'!$C$5:$C$1000, A37, 'Detalle individual'!$F$5:$F$1000, "Completado")+COUNTIFS('Detalle individual'!$C$5:$C$1000, A37, 'Detalle individual'!$F$5:$F$1000, "Pendiente"))</f>
        <v>5</v>
      </c>
      <c r="D37" s="8">
        <f>IF($A37="","",COUNTIFS('Detalle individual'!$C$5:$C$1000, A37, 'Detalle individual'!$F$5:$F$1000, "Completado"))</f>
        <v>5</v>
      </c>
      <c r="E37" s="8">
        <f>IF($A37="","",C37-D37)</f>
        <v>0</v>
      </c>
      <c r="F37" s="26">
        <f>IF($A37="","",IF(C37&gt;0, D37/C37, 0))</f>
        <v>1</v>
      </c>
      <c r="G37" s="4" t="str">
        <f>IF($A37="","",IF(AND(C37&gt;0, D37=C37), "Completo", "Pendiente"))</f>
        <v>Completo</v>
      </c>
      <c r="H37" s="7">
        <f>IF($A37="","",IF(D37&gt;0, IFERROR(AVERAGEIFS('Detalle individual'!$J$5:$J$1000, 'Detalle individual'!$C$5:$C$1000, A37), ""), ""))</f>
        <v>99</v>
      </c>
      <c r="I37" s="6">
        <f>IF($A37="","",IF(D37&gt;0, IFERROR(_xlfn.MAXIFS('Detalle individual'!$J$5:$J$1000, 'Detalle individual'!$C$5:$C$1000, A37), ""), ""))</f>
        <v>100</v>
      </c>
      <c r="J37" s="6">
        <f>IF($A37="","",IF(D37&gt;0, IFERROR(_xlfn.MINIFS('Detalle individual'!$J$5:$J$1000, 'Detalle individual'!$C$5:$C$1000, A37), ""), ""))</f>
        <v>95</v>
      </c>
      <c r="K37" s="11">
        <f>IF($A37="","",IF(D37&gt;0, IFERROR(_xlfn.MINIFS('Detalle individual'!$G$5:$G$1000, 'Detalle individual'!$C$5:$C$1000, A37), ""), ""))</f>
        <v>46296.646261574075</v>
      </c>
      <c r="L37" s="11">
        <f>IF($A37="","",IF(D37&gt;0, IFERROR(_xlfn.MAXIFS('Detalle individual'!$H$5:$H$1000, 'Detalle individual'!$C$5:$C$1000, A37), ""), ""))</f>
        <v>46311.516226851854</v>
      </c>
      <c r="M37" s="7">
        <f>IF($A37="","",IF(D37&gt;0, IFERROR(_xlfn.MINIFS('Detalle individual'!$I$5:$I$1000, 'Detalle individual'!$C$5:$C$1000, A37), ""), ""))</f>
        <v>1.68333333333333</v>
      </c>
      <c r="N37" s="7">
        <f>IF($A37="","",IF(D37&gt;0, IFERROR(AVERAGEIFS('Detalle individual'!$I$5:$I$1000, 'Detalle individual'!$C$5:$C$1000, A37), ""), ""))</f>
        <v>7.50666666666667</v>
      </c>
      <c r="O37" s="22">
        <f>IF($A37="","",COUNTIF('Detalle individual'!$C$5:$C$1000, A37)-C37)</f>
        <v>1</v>
      </c>
    </row>
    <row r="38">
      <c r="A38" s="5" t="str">
        <f>IF(Cálculos!$AE38="","",INDEX('Detalle individual'!$C:$C,Cálculos!$AE38))</f>
        <v>DEPARTAMENTO LEGAL</v>
      </c>
      <c r="B38" s="5" t="str">
        <f>IF($A38="","",INDEX('Detalle individual'!$D:$D,Cálculos!$AE38))</f>
        <v>Gerencia Legal y Cumplimiento Normativo</v>
      </c>
      <c r="C38" s="8">
        <f>IF($A38="","",COUNTIFS('Detalle individual'!$C$5:$C$1000, A38, 'Detalle individual'!$F$5:$F$1000, "Completado")+COUNTIFS('Detalle individual'!$C$5:$C$1000, A38, 'Detalle individual'!$F$5:$F$1000, "Pendiente"))</f>
        <v>8</v>
      </c>
      <c r="D38" s="8">
        <f>IF($A38="","",COUNTIFS('Detalle individual'!$C$5:$C$1000, A38, 'Detalle individual'!$F$5:$F$1000, "Completado"))</f>
        <v>8</v>
      </c>
      <c r="E38" s="8">
        <f>IF($A38="","",C38-D38)</f>
        <v>0</v>
      </c>
      <c r="F38" s="26">
        <f>IF($A38="","",IF(C38&gt;0, D38/C38, 0))</f>
        <v>1</v>
      </c>
      <c r="G38" s="4" t="str">
        <f>IF($A38="","",IF(AND(C38&gt;0, D38=C38), "Completo", "Pendiente"))</f>
        <v>Completo</v>
      </c>
      <c r="H38" s="7">
        <f>IF($A38="","",IF(D38&gt;0, IFERROR(AVERAGEIFS('Detalle individual'!$J$5:$J$1000, 'Detalle individual'!$C$5:$C$1000, A38), ""), ""))</f>
        <v>97.5</v>
      </c>
      <c r="I38" s="6">
        <f>IF($A38="","",IF(D38&gt;0, IFERROR(_xlfn.MAXIFS('Detalle individual'!$J$5:$J$1000, 'Detalle individual'!$C$5:$C$1000, A38), ""), ""))</f>
        <v>100</v>
      </c>
      <c r="J38" s="6">
        <f>IF($A38="","",IF(D38&gt;0, IFERROR(_xlfn.MINIFS('Detalle individual'!$J$5:$J$1000, 'Detalle individual'!$C$5:$C$1000, A38), ""), ""))</f>
        <v>90</v>
      </c>
      <c r="K38" s="11">
        <f>IF($A38="","",IF(D38&gt;0, IFERROR(_xlfn.MINIFS('Detalle individual'!$G$5:$G$1000, 'Detalle individual'!$C$5:$C$1000, A38), ""), ""))</f>
        <v>46300.62287037037</v>
      </c>
      <c r="L38" s="11">
        <f>IF($A38="","",IF(D38&gt;0, IFERROR(_xlfn.MAXIFS('Detalle individual'!$H$5:$H$1000, 'Detalle individual'!$C$5:$C$1000, A38), ""), ""))</f>
        <v>46308.62107638889</v>
      </c>
      <c r="M38" s="7">
        <f>IF($A38="","",IF(D38&gt;0, IFERROR(_xlfn.MINIFS('Detalle individual'!$I$5:$I$1000, 'Detalle individual'!$C$5:$C$1000, A38), ""), ""))</f>
        <v>3.75</v>
      </c>
      <c r="N38" s="7">
        <f>IF($A38="","",IF(D38&gt;0, IFERROR(AVERAGEIFS('Detalle individual'!$I$5:$I$1000, 'Detalle individual'!$C$5:$C$1000, A38), ""), ""))</f>
        <v>14.1520833333333</v>
      </c>
      <c r="O38" s="22">
        <f>IF($A38="","",COUNTIF('Detalle individual'!$C$5:$C$1000, A38)-C38)</f>
        <v>0</v>
      </c>
    </row>
    <row r="39">
      <c r="A39" s="5" t="str">
        <f>IF(Cálculos!$AE39="","",INDEX('Detalle individual'!$C:$C,Cálculos!$AE39))</f>
        <v>GERENCIA ADMINISTRATIVA</v>
      </c>
      <c r="B39" s="5" t="str">
        <f>IF($A39="","",INDEX('Detalle individual'!$D:$D,Cálculos!$AE39))</f>
        <v>Gerencia Administrativa</v>
      </c>
      <c r="C39" s="8">
        <f>IF($A39="","",COUNTIFS('Detalle individual'!$C$5:$C$1000, A39, 'Detalle individual'!$F$5:$F$1000, "Completado")+COUNTIFS('Detalle individual'!$C$5:$C$1000, A39, 'Detalle individual'!$F$5:$F$1000, "Pendiente"))</f>
        <v>2</v>
      </c>
      <c r="D39" s="8">
        <f>IF($A39="","",COUNTIFS('Detalle individual'!$C$5:$C$1000, A39, 'Detalle individual'!$F$5:$F$1000, "Completado"))</f>
        <v>2</v>
      </c>
      <c r="E39" s="8">
        <f>IF($A39="","",C39-D39)</f>
        <v>0</v>
      </c>
      <c r="F39" s="26">
        <f>IF($A39="","",IF(C39&gt;0, D39/C39, 0))</f>
        <v>1</v>
      </c>
      <c r="G39" s="4" t="str">
        <f>IF($A39="","",IF(AND(C39&gt;0, D39=C39), "Completo", "Pendiente"))</f>
        <v>Completo</v>
      </c>
      <c r="H39" s="7">
        <f>IF($A39="","",IF(D39&gt;0, IFERROR(AVERAGEIFS('Detalle individual'!$J$5:$J$1000, 'Detalle individual'!$C$5:$C$1000, A39), ""), ""))</f>
        <v>100</v>
      </c>
      <c r="I39" s="6">
        <f>IF($A39="","",IF(D39&gt;0, IFERROR(_xlfn.MAXIFS('Detalle individual'!$J$5:$J$1000, 'Detalle individual'!$C$5:$C$1000, A39), ""), ""))</f>
        <v>100</v>
      </c>
      <c r="J39" s="6">
        <f>IF($A39="","",IF(D39&gt;0, IFERROR(_xlfn.MINIFS('Detalle individual'!$J$5:$J$1000, 'Detalle individual'!$C$5:$C$1000, A39), ""), ""))</f>
        <v>100</v>
      </c>
      <c r="K39" s="11">
        <f>IF($A39="","",IF(D39&gt;0, IFERROR(_xlfn.MINIFS('Detalle individual'!$G$5:$G$1000, 'Detalle individual'!$C$5:$C$1000, A39), ""), ""))</f>
        <v>46297.636770833335</v>
      </c>
      <c r="L39" s="11">
        <f>IF($A39="","",IF(D39&gt;0, IFERROR(_xlfn.MAXIFS('Detalle individual'!$H$5:$H$1000, 'Detalle individual'!$C$5:$C$1000, A39), ""), ""))</f>
        <v>46307.43666666667</v>
      </c>
      <c r="M39" s="7">
        <f>IF($A39="","",IF(D39&gt;0, IFERROR(_xlfn.MINIFS('Detalle individual'!$I$5:$I$1000, 'Detalle individual'!$C$5:$C$1000, A39), ""), ""))</f>
        <v>2.3</v>
      </c>
      <c r="N39" s="7">
        <f>IF($A39="","",IF(D39&gt;0, IFERROR(AVERAGEIFS('Detalle individual'!$I$5:$I$1000, 'Detalle individual'!$C$5:$C$1000, A39), ""), ""))</f>
        <v>7.05833333333333</v>
      </c>
      <c r="O39" s="22">
        <f>IF($A39="","",COUNTIF('Detalle individual'!$C$5:$C$1000, A39)-C39)</f>
        <v>0</v>
      </c>
    </row>
    <row r="40">
      <c r="A40" s="5" t="str">
        <f>IF(Cálculos!$AE40="","",INDEX('Detalle individual'!$C:$C,Cálculos!$AE40))</f>
        <v>GERENCIA DE FINANZAS Y PLANIFICACIÓN</v>
      </c>
      <c r="B40" s="5" t="str">
        <f>IF($A40="","",INDEX('Detalle individual'!$D:$D,Cálculos!$AE40))</f>
        <v>Gerencia de Finanzas y Planificación</v>
      </c>
      <c r="C40" s="8">
        <f>IF($A40="","",COUNTIFS('Detalle individual'!$C$5:$C$1000, A40, 'Detalle individual'!$F$5:$F$1000, "Completado")+COUNTIFS('Detalle individual'!$C$5:$C$1000, A40, 'Detalle individual'!$F$5:$F$1000, "Pendiente"))</f>
        <v>2</v>
      </c>
      <c r="D40" s="8">
        <f>IF($A40="","",COUNTIFS('Detalle individual'!$C$5:$C$1000, A40, 'Detalle individual'!$F$5:$F$1000, "Completado"))</f>
        <v>2</v>
      </c>
      <c r="E40" s="8">
        <f>IF($A40="","",C40-D40)</f>
        <v>0</v>
      </c>
      <c r="F40" s="26">
        <f>IF($A40="","",IF(C40&gt;0, D40/C40, 0))</f>
        <v>1</v>
      </c>
      <c r="G40" s="4" t="str">
        <f>IF($A40="","",IF(AND(C40&gt;0, D40=C40), "Completo", "Pendiente"))</f>
        <v>Completo</v>
      </c>
      <c r="H40" s="7">
        <f>IF($A40="","",IF(D40&gt;0, IFERROR(AVERAGEIFS('Detalle individual'!$J$5:$J$1000, 'Detalle individual'!$C$5:$C$1000, A40), ""), ""))</f>
        <v>100</v>
      </c>
      <c r="I40" s="6">
        <f>IF($A40="","",IF(D40&gt;0, IFERROR(_xlfn.MAXIFS('Detalle individual'!$J$5:$J$1000, 'Detalle individual'!$C$5:$C$1000, A40), ""), ""))</f>
        <v>100</v>
      </c>
      <c r="J40" s="6">
        <f>IF($A40="","",IF(D40&gt;0, IFERROR(_xlfn.MINIFS('Detalle individual'!$J$5:$J$1000, 'Detalle individual'!$C$5:$C$1000, A40), ""), ""))</f>
        <v>100</v>
      </c>
      <c r="K40" s="11">
        <f>IF($A40="","",IF(D40&gt;0, IFERROR(_xlfn.MINIFS('Detalle individual'!$G$5:$G$1000, 'Detalle individual'!$C$5:$C$1000, A40), ""), ""))</f>
        <v>46296.42706018518</v>
      </c>
      <c r="L40" s="11">
        <f>IF($A40="","",IF(D40&gt;0, IFERROR(_xlfn.MAXIFS('Detalle individual'!$H$5:$H$1000, 'Detalle individual'!$C$5:$C$1000, A40), ""), ""))</f>
        <v>46305.470555555556</v>
      </c>
      <c r="M40" s="7">
        <f>IF($A40="","",IF(D40&gt;0, IFERROR(_xlfn.MINIFS('Detalle individual'!$I$5:$I$1000, 'Detalle individual'!$C$5:$C$1000, A40), ""), ""))</f>
        <v>3.6</v>
      </c>
      <c r="N40" s="7">
        <f>IF($A40="","",IF(D40&gt;0, IFERROR(AVERAGEIFS('Detalle individual'!$I$5:$I$1000, 'Detalle individual'!$C$5:$C$1000, A40), ""), ""))</f>
        <v>4.03333333333333</v>
      </c>
      <c r="O40" s="22">
        <f>IF($A40="","",COUNTIF('Detalle individual'!$C$5:$C$1000, A40)-C40)</f>
        <v>0</v>
      </c>
    </row>
    <row r="41">
      <c r="A41" s="5" t="str">
        <f>IF(Cálculos!$AE41="","",INDEX('Detalle individual'!$C:$C,Cálculos!$AE41))</f>
        <v>GERENCIA DE NEGOCIOS</v>
      </c>
      <c r="B41" s="5" t="str">
        <f>IF($A41="","",INDEX('Detalle individual'!$D:$D,Cálculos!$AE41))</f>
        <v>Gerencia de Negocios</v>
      </c>
      <c r="C41" s="8">
        <f>IF($A41="","",COUNTIFS('Detalle individual'!$C$5:$C$1000, A41, 'Detalle individual'!$F$5:$F$1000, "Completado")+COUNTIFS('Detalle individual'!$C$5:$C$1000, A41, 'Detalle individual'!$F$5:$F$1000, "Pendiente"))</f>
        <v>4</v>
      </c>
      <c r="D41" s="8">
        <f>IF($A41="","",COUNTIFS('Detalle individual'!$C$5:$C$1000, A41, 'Detalle individual'!$F$5:$F$1000, "Completado"))</f>
        <v>4</v>
      </c>
      <c r="E41" s="8">
        <f>IF($A41="","",C41-D41)</f>
        <v>0</v>
      </c>
      <c r="F41" s="26">
        <f>IF($A41="","",IF(C41&gt;0, D41/C41, 0))</f>
        <v>1</v>
      </c>
      <c r="G41" s="4" t="str">
        <f>IF($A41="","",IF(AND(C41&gt;0, D41=C41), "Completo", "Pendiente"))</f>
        <v>Completo</v>
      </c>
      <c r="H41" s="7">
        <f>IF($A41="","",IF(D41&gt;0, IFERROR(AVERAGEIFS('Detalle individual'!$J$5:$J$1000, 'Detalle individual'!$C$5:$C$1000, A41), ""), ""))</f>
        <v>100</v>
      </c>
      <c r="I41" s="6">
        <f>IF($A41="","",IF(D41&gt;0, IFERROR(_xlfn.MAXIFS('Detalle individual'!$J$5:$J$1000, 'Detalle individual'!$C$5:$C$1000, A41), ""), ""))</f>
        <v>100</v>
      </c>
      <c r="J41" s="6">
        <f>IF($A41="","",IF(D41&gt;0, IFERROR(_xlfn.MINIFS('Detalle individual'!$J$5:$J$1000, 'Detalle individual'!$C$5:$C$1000, A41), ""), ""))</f>
        <v>100</v>
      </c>
      <c r="K41" s="11">
        <f>IF($A41="","",IF(D41&gt;0, IFERROR(_xlfn.MINIFS('Detalle individual'!$G$5:$G$1000, 'Detalle individual'!$C$5:$C$1000, A41), ""), ""))</f>
        <v>46296.45108796296</v>
      </c>
      <c r="L41" s="11">
        <f>IF($A41="","",IF(D41&gt;0, IFERROR(_xlfn.MAXIFS('Detalle individual'!$H$5:$H$1000, 'Detalle individual'!$C$5:$C$1000, A41), ""), ""))</f>
        <v>46310.61981481482</v>
      </c>
      <c r="M41" s="7">
        <f>IF($A41="","",IF(D41&gt;0, IFERROR(_xlfn.MINIFS('Detalle individual'!$I$5:$I$1000, 'Detalle individual'!$C$5:$C$1000, A41), ""), ""))</f>
        <v>3.73333333333333</v>
      </c>
      <c r="N41" s="7">
        <f>IF($A41="","",IF(D41&gt;0, IFERROR(AVERAGEIFS('Detalle individual'!$I$5:$I$1000, 'Detalle individual'!$C$5:$C$1000, A41), ""), ""))</f>
        <v>7.79583333333333</v>
      </c>
      <c r="O41" s="22">
        <f>IF($A41="","",COUNTIF('Detalle individual'!$C$5:$C$1000, A41)-C41)</f>
        <v>0</v>
      </c>
    </row>
    <row r="42">
      <c r="A42" s="5" t="str">
        <f>IF(Cálculos!$AE42="","",INDEX('Detalle individual'!$C:$C,Cálculos!$AE42))</f>
        <v>GERENCIA DE OPERACIONES</v>
      </c>
      <c r="B42" s="5" t="str">
        <f>IF($A42="","",INDEX('Detalle individual'!$D:$D,Cálculos!$AE42))</f>
        <v>Gerencia de Operaciones</v>
      </c>
      <c r="C42" s="8">
        <f>IF($A42="","",COUNTIFS('Detalle individual'!$C$5:$C$1000, A42, 'Detalle individual'!$F$5:$F$1000, "Completado")+COUNTIFS('Detalle individual'!$C$5:$C$1000, A42, 'Detalle individual'!$F$5:$F$1000, "Pendiente"))</f>
        <v>1</v>
      </c>
      <c r="D42" s="8">
        <f>IF($A42="","",COUNTIFS('Detalle individual'!$C$5:$C$1000, A42, 'Detalle individual'!$F$5:$F$1000, "Completado"))</f>
        <v>1</v>
      </c>
      <c r="E42" s="8">
        <f>IF($A42="","",C42-D42)</f>
        <v>0</v>
      </c>
      <c r="F42" s="26">
        <f>IF($A42="","",IF(C42&gt;0, D42/C42, 0))</f>
        <v>1</v>
      </c>
      <c r="G42" s="4" t="str">
        <f>IF($A42="","",IF(AND(C42&gt;0, D42=C42), "Completo", "Pendiente"))</f>
        <v>Completo</v>
      </c>
      <c r="H42" s="7">
        <f>IF($A42="","",IF(D42&gt;0, IFERROR(AVERAGEIFS('Detalle individual'!$J$5:$J$1000, 'Detalle individual'!$C$5:$C$1000, A42), ""), ""))</f>
        <v>100</v>
      </c>
      <c r="I42" s="6">
        <f>IF($A42="","",IF(D42&gt;0, IFERROR(_xlfn.MAXIFS('Detalle individual'!$J$5:$J$1000, 'Detalle individual'!$C$5:$C$1000, A42), ""), ""))</f>
        <v>100</v>
      </c>
      <c r="J42" s="6">
        <f>IF($A42="","",IF(D42&gt;0, IFERROR(_xlfn.MINIFS('Detalle individual'!$J$5:$J$1000, 'Detalle individual'!$C$5:$C$1000, A42), ""), ""))</f>
        <v>100</v>
      </c>
      <c r="K42" s="11">
        <f>IF($A42="","",IF(D42&gt;0, IFERROR(_xlfn.MINIFS('Detalle individual'!$G$5:$G$1000, 'Detalle individual'!$C$5:$C$1000, A42), ""), ""))</f>
        <v>46311.80311342593</v>
      </c>
      <c r="L42" s="11">
        <f>IF($A42="","",IF(D42&gt;0, IFERROR(_xlfn.MAXIFS('Detalle individual'!$H$5:$H$1000, 'Detalle individual'!$C$5:$C$1000, A42), ""), ""))</f>
        <v>46311.81412037037</v>
      </c>
      <c r="M42" s="7">
        <f>IF($A42="","",IF(D42&gt;0, IFERROR(_xlfn.MINIFS('Detalle individual'!$I$5:$I$1000, 'Detalle individual'!$C$5:$C$1000, A42), ""), ""))</f>
        <v>15.85</v>
      </c>
      <c r="N42" s="7">
        <f>IF($A42="","",IF(D42&gt;0, IFERROR(AVERAGEIFS('Detalle individual'!$I$5:$I$1000, 'Detalle individual'!$C$5:$C$1000, A42), ""), ""))</f>
        <v>15.85</v>
      </c>
      <c r="O42" s="22">
        <f>IF($A42="","",COUNTIF('Detalle individual'!$C$5:$C$1000, A42)-C42)</f>
        <v>0</v>
      </c>
    </row>
    <row r="43">
      <c r="A43" s="5" t="str">
        <f>IF(Cálculos!$AE43="","",INDEX('Detalle individual'!$C:$C,Cálculos!$AE43))</f>
        <v>GERENCIA DE SISTEMAS</v>
      </c>
      <c r="B43" s="5" t="str">
        <f>IF($A43="","",INDEX('Detalle individual'!$D:$D,Cálculos!$AE43))</f>
        <v>Gerencia de Sistemas</v>
      </c>
      <c r="C43" s="8">
        <f>IF($A43="","",COUNTIFS('Detalle individual'!$C$5:$C$1000, A43, 'Detalle individual'!$F$5:$F$1000, "Completado")+COUNTIFS('Detalle individual'!$C$5:$C$1000, A43, 'Detalle individual'!$F$5:$F$1000, "Pendiente"))</f>
        <v>4</v>
      </c>
      <c r="D43" s="8">
        <f>IF($A43="","",COUNTIFS('Detalle individual'!$C$5:$C$1000, A43, 'Detalle individual'!$F$5:$F$1000, "Completado"))</f>
        <v>4</v>
      </c>
      <c r="E43" s="8">
        <f>IF($A43="","",C43-D43)</f>
        <v>0</v>
      </c>
      <c r="F43" s="26">
        <f>IF($A43="","",IF(C43&gt;0, D43/C43, 0))</f>
        <v>1</v>
      </c>
      <c r="G43" s="4" t="str">
        <f>IF($A43="","",IF(AND(C43&gt;0, D43=C43), "Completo", "Pendiente"))</f>
        <v>Completo</v>
      </c>
      <c r="H43" s="7">
        <f>IF($A43="","",IF(D43&gt;0, IFERROR(AVERAGEIFS('Detalle individual'!$J$5:$J$1000, 'Detalle individual'!$C$5:$C$1000, A43), ""), ""))</f>
        <v>98.75</v>
      </c>
      <c r="I43" s="6">
        <f>IF($A43="","",IF(D43&gt;0, IFERROR(_xlfn.MAXIFS('Detalle individual'!$J$5:$J$1000, 'Detalle individual'!$C$5:$C$1000, A43), ""), ""))</f>
        <v>100</v>
      </c>
      <c r="J43" s="6">
        <f>IF($A43="","",IF(D43&gt;0, IFERROR(_xlfn.MINIFS('Detalle individual'!$J$5:$J$1000, 'Detalle individual'!$C$5:$C$1000, A43), ""), ""))</f>
        <v>95</v>
      </c>
      <c r="K43" s="11">
        <f>IF($A43="","",IF(D43&gt;0, IFERROR(_xlfn.MINIFS('Detalle individual'!$G$5:$G$1000, 'Detalle individual'!$C$5:$C$1000, A43), ""), ""))</f>
        <v>46300.582349537035</v>
      </c>
      <c r="L43" s="11">
        <f>IF($A43="","",IF(D43&gt;0, IFERROR(_xlfn.MAXIFS('Detalle individual'!$H$5:$H$1000, 'Detalle individual'!$C$5:$C$1000, A43), ""), ""))</f>
        <v>46310.696747685186</v>
      </c>
      <c r="M43" s="7">
        <f>IF($A43="","",IF(D43&gt;0, IFERROR(_xlfn.MINIFS('Detalle individual'!$I$5:$I$1000, 'Detalle individual'!$C$5:$C$1000, A43), ""), ""))</f>
        <v>3.01666666666667</v>
      </c>
      <c r="N43" s="7">
        <f>IF($A43="","",IF(D43&gt;0, IFERROR(AVERAGEIFS('Detalle individual'!$I$5:$I$1000, 'Detalle individual'!$C$5:$C$1000, A43), ""), ""))</f>
        <v>4.99166666666667</v>
      </c>
      <c r="O43" s="22">
        <f>IF($A43="","",COUNTIF('Detalle individual'!$C$5:$C$1000, A43)-C43)</f>
        <v>0</v>
      </c>
    </row>
    <row r="44">
      <c r="A44" s="5" t="str">
        <f>IF(Cálculos!$AE44="","",INDEX('Detalle individual'!$C:$C,Cálculos!$AE44))</f>
        <v>GERENCIA GENERAL</v>
      </c>
      <c r="B44" s="5" t="str">
        <f>IF($A44="","",INDEX('Detalle individual'!$D:$D,Cálculos!$AE44))</f>
        <v>Gerencia General</v>
      </c>
      <c r="C44" s="8">
        <f>IF($A44="","",COUNTIFS('Detalle individual'!$C$5:$C$1000, A44, 'Detalle individual'!$F$5:$F$1000, "Completado")+COUNTIFS('Detalle individual'!$C$5:$C$1000, A44, 'Detalle individual'!$F$5:$F$1000, "Pendiente"))</f>
        <v>2</v>
      </c>
      <c r="D44" s="8">
        <f>IF($A44="","",COUNTIFS('Detalle individual'!$C$5:$C$1000, A44, 'Detalle individual'!$F$5:$F$1000, "Completado"))</f>
        <v>2</v>
      </c>
      <c r="E44" s="8">
        <f>IF($A44="","",C44-D44)</f>
        <v>0</v>
      </c>
      <c r="F44" s="26">
        <f>IF($A44="","",IF(C44&gt;0, D44/C44, 0))</f>
        <v>1</v>
      </c>
      <c r="G44" s="4" t="str">
        <f>IF($A44="","",IF(AND(C44&gt;0, D44=C44), "Completo", "Pendiente"))</f>
        <v>Completo</v>
      </c>
      <c r="H44" s="7">
        <f>IF($A44="","",IF(D44&gt;0, IFERROR(AVERAGEIFS('Detalle individual'!$J$5:$J$1000, 'Detalle individual'!$C$5:$C$1000, A44), ""), ""))</f>
        <v>100</v>
      </c>
      <c r="I44" s="6">
        <f>IF($A44="","",IF(D44&gt;0, IFERROR(_xlfn.MAXIFS('Detalle individual'!$J$5:$J$1000, 'Detalle individual'!$C$5:$C$1000, A44), ""), ""))</f>
        <v>100</v>
      </c>
      <c r="J44" s="6">
        <f>IF($A44="","",IF(D44&gt;0, IFERROR(_xlfn.MINIFS('Detalle individual'!$J$5:$J$1000, 'Detalle individual'!$C$5:$C$1000, A44), ""), ""))</f>
        <v>100</v>
      </c>
      <c r="K44" s="11">
        <f>IF($A44="","",IF(D44&gt;0, IFERROR(_xlfn.MINIFS('Detalle individual'!$G$5:$G$1000, 'Detalle individual'!$C$5:$C$1000, A44), ""), ""))</f>
        <v>46305.40667824074</v>
      </c>
      <c r="L44" s="11">
        <f>IF($A44="","",IF(D44&gt;0, IFERROR(_xlfn.MAXIFS('Detalle individual'!$H$5:$H$1000, 'Detalle individual'!$C$5:$C$1000, A44), ""), ""))</f>
        <v>46305.40980324074</v>
      </c>
      <c r="M44" s="7">
        <f>IF($A44="","",IF(D44&gt;0, IFERROR(_xlfn.MINIFS('Detalle individual'!$I$5:$I$1000, 'Detalle individual'!$C$5:$C$1000, A44), ""), ""))</f>
        <v>4.5</v>
      </c>
      <c r="N44" s="7">
        <f>IF($A44="","",IF(D44&gt;0, IFERROR(AVERAGEIFS('Detalle individual'!$I$5:$I$1000, 'Detalle individual'!$C$5:$C$1000, A44), ""), ""))</f>
        <v>4.5</v>
      </c>
      <c r="O44" s="22">
        <f>IF($A44="","",COUNTIF('Detalle individual'!$C$5:$C$1000, A44)-C44)</f>
        <v>0</v>
      </c>
    </row>
    <row r="45">
      <c r="A45" s="5" t="str">
        <f>IF(Cálculos!$AE45="","",INDEX('Detalle individual'!$C:$C,Cálculos!$AE45))</f>
        <v>GERENCIA LEGAL Y DE CUMPLIMIENTO NORMATIVO</v>
      </c>
      <c r="B45" s="5" t="str">
        <f>IF($A45="","",INDEX('Detalle individual'!$D:$D,Cálculos!$AE45))</f>
        <v>Gerencia Legal y Cumplimiento Normativo</v>
      </c>
      <c r="C45" s="8">
        <f>IF($A45="","",COUNTIFS('Detalle individual'!$C$5:$C$1000, A45, 'Detalle individual'!$F$5:$F$1000, "Completado")+COUNTIFS('Detalle individual'!$C$5:$C$1000, A45, 'Detalle individual'!$F$5:$F$1000, "Pendiente"))</f>
        <v>1</v>
      </c>
      <c r="D45" s="8">
        <f>IF($A45="","",COUNTIFS('Detalle individual'!$C$5:$C$1000, A45, 'Detalle individual'!$F$5:$F$1000, "Completado"))</f>
        <v>1</v>
      </c>
      <c r="E45" s="8">
        <f>IF($A45="","",C45-D45)</f>
        <v>0</v>
      </c>
      <c r="F45" s="26">
        <f>IF($A45="","",IF(C45&gt;0, D45/C45, 0))</f>
        <v>1</v>
      </c>
      <c r="G45" s="4" t="str">
        <f>IF($A45="","",IF(AND(C45&gt;0, D45=C45), "Completo", "Pendiente"))</f>
        <v>Completo</v>
      </c>
      <c r="H45" s="7">
        <f>IF($A45="","",IF(D45&gt;0, IFERROR(AVERAGEIFS('Detalle individual'!$J$5:$J$1000, 'Detalle individual'!$C$5:$C$1000, A45), ""), ""))</f>
        <v>100</v>
      </c>
      <c r="I45" s="6">
        <f>IF($A45="","",IF(D45&gt;0, IFERROR(_xlfn.MAXIFS('Detalle individual'!$J$5:$J$1000, 'Detalle individual'!$C$5:$C$1000, A45), ""), ""))</f>
        <v>100</v>
      </c>
      <c r="J45" s="6">
        <f>IF($A45="","",IF(D45&gt;0, IFERROR(_xlfn.MINIFS('Detalle individual'!$J$5:$J$1000, 'Detalle individual'!$C$5:$C$1000, A45), ""), ""))</f>
        <v>100</v>
      </c>
      <c r="K45" s="11">
        <f>IF($A45="","",IF(D45&gt;0, IFERROR(_xlfn.MINIFS('Detalle individual'!$G$5:$G$1000, 'Detalle individual'!$C$5:$C$1000, A45), ""), ""))</f>
        <v>46304.69274305556</v>
      </c>
      <c r="L45" s="11">
        <f>IF($A45="","",IF(D45&gt;0, IFERROR(_xlfn.MAXIFS('Detalle individual'!$H$5:$H$1000, 'Detalle individual'!$C$5:$C$1000, A45), ""), ""))</f>
        <v>46304.69452546296</v>
      </c>
      <c r="M45" s="7">
        <f>IF($A45="","",IF(D45&gt;0, IFERROR(_xlfn.MINIFS('Detalle individual'!$I$5:$I$1000, 'Detalle individual'!$C$5:$C$1000, A45), ""), ""))</f>
        <v>2.56666666666667</v>
      </c>
      <c r="N45" s="7">
        <f>IF($A45="","",IF(D45&gt;0, IFERROR(AVERAGEIFS('Detalle individual'!$I$5:$I$1000, 'Detalle individual'!$C$5:$C$1000, A45), ""), ""))</f>
        <v>2.56666666666667</v>
      </c>
      <c r="O45" s="22">
        <f>IF($A45="","",COUNTIF('Detalle individual'!$C$5:$C$1000, A45)-C45)</f>
        <v>0</v>
      </c>
    </row>
    <row r="46">
      <c r="A46" s="5" t="str">
        <f>IF(Cálculos!$AE46="","",INDEX('Detalle individual'!$C:$C,Cálculos!$AE46))</f>
        <v>OFICIALIA DE CUMPLIMIENTO</v>
      </c>
      <c r="B46" s="5" t="str">
        <f>IF($A46="","",INDEX('Detalle individual'!$D:$D,Cálculos!$AE46))</f>
        <v>Gerencia de Oficialía de Cumplimiento</v>
      </c>
      <c r="C46" s="8">
        <f>IF($A46="","",COUNTIFS('Detalle individual'!$C$5:$C$1000, A46, 'Detalle individual'!$F$5:$F$1000, "Completado")+COUNTIFS('Detalle individual'!$C$5:$C$1000, A46, 'Detalle individual'!$F$5:$F$1000, "Pendiente"))</f>
        <v>7</v>
      </c>
      <c r="D46" s="8">
        <f>IF($A46="","",COUNTIFS('Detalle individual'!$C$5:$C$1000, A46, 'Detalle individual'!$F$5:$F$1000, "Completado"))</f>
        <v>7</v>
      </c>
      <c r="E46" s="8">
        <f>IF($A46="","",C46-D46)</f>
        <v>0</v>
      </c>
      <c r="F46" s="26">
        <f>IF($A46="","",IF(C46&gt;0, D46/C46, 0))</f>
        <v>1</v>
      </c>
      <c r="G46" s="4" t="str">
        <f>IF($A46="","",IF(AND(C46&gt;0, D46=C46), "Completo", "Pendiente"))</f>
        <v>Completo</v>
      </c>
      <c r="H46" s="7">
        <f>IF($A46="","",IF(D46&gt;0, IFERROR(AVERAGEIFS('Detalle individual'!$J$5:$J$1000, 'Detalle individual'!$C$5:$C$1000, A46), ""), ""))</f>
        <v>100</v>
      </c>
      <c r="I46" s="6">
        <f>IF($A46="","",IF(D46&gt;0, IFERROR(_xlfn.MAXIFS('Detalle individual'!$J$5:$J$1000, 'Detalle individual'!$C$5:$C$1000, A46), ""), ""))</f>
        <v>100</v>
      </c>
      <c r="J46" s="6">
        <f>IF($A46="","",IF(D46&gt;0, IFERROR(_xlfn.MINIFS('Detalle individual'!$J$5:$J$1000, 'Detalle individual'!$C$5:$C$1000, A46), ""), ""))</f>
        <v>100</v>
      </c>
      <c r="K46" s="11">
        <f>IF($A46="","",IF(D46&gt;0, IFERROR(_xlfn.MINIFS('Detalle individual'!$G$5:$G$1000, 'Detalle individual'!$C$5:$C$1000, A46), ""), ""))</f>
        <v>46296.47011574074</v>
      </c>
      <c r="L46" s="11">
        <f>IF($A46="","",IF(D46&gt;0, IFERROR(_xlfn.MAXIFS('Detalle individual'!$H$5:$H$1000, 'Detalle individual'!$C$5:$C$1000, A46), ""), ""))</f>
        <v>46296.49747685185</v>
      </c>
      <c r="M46" s="7">
        <f>IF($A46="","",IF(D46&gt;0, IFERROR(_xlfn.MINIFS('Detalle individual'!$I$5:$I$1000, 'Detalle individual'!$C$5:$C$1000, A46), ""), ""))</f>
        <v>9.16666666666667</v>
      </c>
      <c r="N46" s="7">
        <f>IF($A46="","",IF(D46&gt;0, IFERROR(AVERAGEIFS('Detalle individual'!$I$5:$I$1000, 'Detalle individual'!$C$5:$C$1000, A46), ""), ""))</f>
        <v>11.9642857142857</v>
      </c>
      <c r="O46" s="22">
        <f>IF($A46="","",COUNTIF('Detalle individual'!$C$5:$C$1000, A46)-C46)</f>
        <v>0</v>
      </c>
    </row>
    <row r="47">
      <c r="A47" s="5" t="str">
        <f>IF(Cálculos!$AE47="","",INDEX('Detalle individual'!$C:$C,Cálculos!$AE47))</f>
        <v>OFICIALIA DE SEGURIDAD DE LA INFORMACION</v>
      </c>
      <c r="B47" s="5" t="str">
        <f>IF($A47="","",INDEX('Detalle individual'!$D:$D,Cálculos!$AE47))</f>
        <v>Gerencia General</v>
      </c>
      <c r="C47" s="8">
        <f>IF($A47="","",COUNTIFS('Detalle individual'!$C$5:$C$1000, A47, 'Detalle individual'!$F$5:$F$1000, "Completado")+COUNTIFS('Detalle individual'!$C$5:$C$1000, A47, 'Detalle individual'!$F$5:$F$1000, "Pendiente"))</f>
        <v>4</v>
      </c>
      <c r="D47" s="8">
        <f>IF($A47="","",COUNTIFS('Detalle individual'!$C$5:$C$1000, A47, 'Detalle individual'!$F$5:$F$1000, "Completado"))</f>
        <v>4</v>
      </c>
      <c r="E47" s="8">
        <f>IF($A47="","",C47-D47)</f>
        <v>0</v>
      </c>
      <c r="F47" s="26">
        <f>IF($A47="","",IF(C47&gt;0, D47/C47, 0))</f>
        <v>1</v>
      </c>
      <c r="G47" s="4" t="str">
        <f>IF($A47="","",IF(AND(C47&gt;0, D47=C47), "Completo", "Pendiente"))</f>
        <v>Completo</v>
      </c>
      <c r="H47" s="7">
        <f>IF($A47="","",IF(D47&gt;0, IFERROR(AVERAGEIFS('Detalle individual'!$J$5:$J$1000, 'Detalle individual'!$C$5:$C$1000, A47), ""), ""))</f>
        <v>96.25</v>
      </c>
      <c r="I47" s="6">
        <f>IF($A47="","",IF(D47&gt;0, IFERROR(_xlfn.MAXIFS('Detalle individual'!$J$5:$J$1000, 'Detalle individual'!$C$5:$C$1000, A47), ""), ""))</f>
        <v>100</v>
      </c>
      <c r="J47" s="6">
        <f>IF($A47="","",IF(D47&gt;0, IFERROR(_xlfn.MINIFS('Detalle individual'!$J$5:$J$1000, 'Detalle individual'!$C$5:$C$1000, A47), ""), ""))</f>
        <v>85</v>
      </c>
      <c r="K47" s="11">
        <f>IF($A47="","",IF(D47&gt;0, IFERROR(_xlfn.MINIFS('Detalle individual'!$G$5:$G$1000, 'Detalle individual'!$C$5:$C$1000, A47), ""), ""))</f>
        <v>46296.44081018519</v>
      </c>
      <c r="L47" s="11">
        <f>IF($A47="","",IF(D47&gt;0, IFERROR(_xlfn.MAXIFS('Detalle individual'!$H$5:$H$1000, 'Detalle individual'!$C$5:$C$1000, A47), ""), ""))</f>
        <v>46296.44909722222</v>
      </c>
      <c r="M47" s="7">
        <f>IF($A47="","",IF(D47&gt;0, IFERROR(_xlfn.MINIFS('Detalle individual'!$I$5:$I$1000, 'Detalle individual'!$C$5:$C$1000, A47), ""), ""))</f>
        <v>9.06666666666667</v>
      </c>
      <c r="N47" s="7">
        <f>IF($A47="","",IF(D47&gt;0, IFERROR(AVERAGEIFS('Detalle individual'!$I$5:$I$1000, 'Detalle individual'!$C$5:$C$1000, A47), ""), ""))</f>
        <v>10.5916666666667</v>
      </c>
      <c r="O47" s="22">
        <f>IF($A47="","",COUNTIF('Detalle individual'!$C$5:$C$1000, A47)-C47)</f>
        <v>0</v>
      </c>
    </row>
    <row r="48">
      <c r="A48" s="5" t="str">
        <f>IF(Cálculos!$AE48="","",INDEX('Detalle individual'!$C:$C,Cálculos!$AE48))</f>
        <v>SUB GERENCIA DE CANALES</v>
      </c>
      <c r="B48" s="5" t="str">
        <f>IF($A48="","",INDEX('Detalle individual'!$D:$D,Cálculos!$AE48))</f>
        <v>Gerencia de Negocios</v>
      </c>
      <c r="C48" s="8">
        <f>IF($A48="","",COUNTIFS('Detalle individual'!$C$5:$C$1000, A48, 'Detalle individual'!$F$5:$F$1000, "Completado")+COUNTIFS('Detalle individual'!$C$5:$C$1000, A48, 'Detalle individual'!$F$5:$F$1000, "Pendiente"))</f>
        <v>7</v>
      </c>
      <c r="D48" s="8">
        <f>IF($A48="","",COUNTIFS('Detalle individual'!$C$5:$C$1000, A48, 'Detalle individual'!$F$5:$F$1000, "Completado"))</f>
        <v>7</v>
      </c>
      <c r="E48" s="8">
        <f>IF($A48="","",C48-D48)</f>
        <v>0</v>
      </c>
      <c r="F48" s="26">
        <f>IF($A48="","",IF(C48&gt;0, D48/C48, 0))</f>
        <v>1</v>
      </c>
      <c r="G48" s="4" t="str">
        <f>IF($A48="","",IF(AND(C48&gt;0, D48=C48), "Completo", "Pendiente"))</f>
        <v>Completo</v>
      </c>
      <c r="H48" s="7">
        <f>IF($A48="","",IF(D48&gt;0, IFERROR(AVERAGEIFS('Detalle individual'!$J$5:$J$1000, 'Detalle individual'!$C$5:$C$1000, A48), ""), ""))</f>
        <v>98.5714285714286</v>
      </c>
      <c r="I48" s="6">
        <f>IF($A48="","",IF(D48&gt;0, IFERROR(_xlfn.MAXIFS('Detalle individual'!$J$5:$J$1000, 'Detalle individual'!$C$5:$C$1000, A48), ""), ""))</f>
        <v>100</v>
      </c>
      <c r="J48" s="6">
        <f>IF($A48="","",IF(D48&gt;0, IFERROR(_xlfn.MINIFS('Detalle individual'!$J$5:$J$1000, 'Detalle individual'!$C$5:$C$1000, A48), ""), ""))</f>
        <v>90</v>
      </c>
      <c r="K48" s="11">
        <f>IF($A48="","",IF(D48&gt;0, IFERROR(_xlfn.MINIFS('Detalle individual'!$G$5:$G$1000, 'Detalle individual'!$C$5:$C$1000, A48), ""), ""))</f>
        <v>46300.40697916667</v>
      </c>
      <c r="L48" s="11">
        <f>IF($A48="","",IF(D48&gt;0, IFERROR(_xlfn.MAXIFS('Detalle individual'!$H$5:$H$1000, 'Detalle individual'!$C$5:$C$1000, A48), ""), ""))</f>
        <v>46309.68292824074</v>
      </c>
      <c r="M48" s="7">
        <f>IF($A48="","",IF(D48&gt;0, IFERROR(_xlfn.MINIFS('Detalle individual'!$I$5:$I$1000, 'Detalle individual'!$C$5:$C$1000, A48), ""), ""))</f>
        <v>3.71666666666667</v>
      </c>
      <c r="N48" s="7">
        <f>IF($A48="","",IF(D48&gt;0, IFERROR(AVERAGEIFS('Detalle individual'!$I$5:$I$1000, 'Detalle individual'!$C$5:$C$1000, A48), ""), ""))</f>
        <v>10.7785714313524</v>
      </c>
      <c r="O48" s="22">
        <f>IF($A48="","",COUNTIF('Detalle individual'!$C$5:$C$1000, A48)-C48)</f>
        <v>0</v>
      </c>
    </row>
    <row r="49">
      <c r="A49" s="5" t="str">
        <f>IF(Cálculos!$AE49="","",INDEX('Detalle individual'!$C:$C,Cálculos!$AE49))</f>
        <v/>
      </c>
      <c r="B49" s="5" t="str">
        <f>IF($A49="","",INDEX('Detalle individual'!$D:$D,Cálculos!$AE49))</f>
        <v/>
      </c>
      <c r="C49" s="8" t="str">
        <f>IF($A49="","",COUNTIFS('Detalle individual'!$C$5:$C$1000, A49, 'Detalle individual'!$F$5:$F$1000, "Completado")+COUNTIFS('Detalle individual'!$C$5:$C$1000, A49, 'Detalle individual'!$F$5:$F$1000, "Pendiente"))</f>
        <v/>
      </c>
      <c r="D49" s="8" t="str">
        <f>IF($A49="","",COUNTIFS('Detalle individual'!$C$5:$C$1000, A49, 'Detalle individual'!$F$5:$F$1000, "Completado"))</f>
        <v/>
      </c>
      <c r="E49" s="8" t="str">
        <f>IF($A49="","",C49-D49)</f>
        <v/>
      </c>
      <c r="F49" s="26" t="str">
        <f>IF($A49="","",IF(C49&gt;0, D49/C49, 0))</f>
        <v/>
      </c>
      <c r="G49" s="4" t="str">
        <f>IF($A49="","",IF(AND(C49&gt;0, D49=C49), "Completo", "Pendiente"))</f>
        <v/>
      </c>
      <c r="H49" s="7" t="str">
        <f>IF($A49="","",IF(D49&gt;0, IFERROR(AVERAGEIFS('Detalle individual'!$J$5:$J$1000, 'Detalle individual'!$C$5:$C$1000, A49), ""), ""))</f>
        <v/>
      </c>
      <c r="I49" s="6" t="str">
        <f>IF($A49="","",IF(D49&gt;0, IFERROR(_xlfn.MAXIFS('Detalle individual'!$J$5:$J$1000, 'Detalle individual'!$C$5:$C$1000, A49), ""), ""))</f>
        <v/>
      </c>
      <c r="J49" s="6" t="str">
        <f>IF($A49="","",IF(D49&gt;0, IFERROR(_xlfn.MINIFS('Detalle individual'!$J$5:$J$1000, 'Detalle individual'!$C$5:$C$1000, A49), ""), ""))</f>
        <v/>
      </c>
      <c r="K49" s="11" t="str">
        <f>IF($A49="","",IF(D49&gt;0, IFERROR(_xlfn.MINIFS('Detalle individual'!$G$5:$G$1000, 'Detalle individual'!$C$5:$C$1000, A49), ""), ""))</f>
        <v/>
      </c>
      <c r="L49" s="11" t="str">
        <f>IF($A49="","",IF(D49&gt;0, IFERROR(_xlfn.MAXIFS('Detalle individual'!$H$5:$H$1000, 'Detalle individual'!$C$5:$C$1000, A49), ""), ""))</f>
        <v/>
      </c>
      <c r="M49" s="7" t="str">
        <f>IF($A49="","",IF(D49&gt;0, IFERROR(_xlfn.MINIFS('Detalle individual'!$I$5:$I$1000, 'Detalle individual'!$C$5:$C$1000, A49), ""), ""))</f>
        <v/>
      </c>
      <c r="N49" s="7" t="str">
        <f>IF($A49="","",IF(D49&gt;0, IFERROR(AVERAGEIFS('Detalle individual'!$I$5:$I$1000, 'Detalle individual'!$C$5:$C$1000, A49), ""), ""))</f>
        <v/>
      </c>
      <c r="O49" s="22" t="str">
        <f>IF($A49="","",COUNTIF('Detalle individual'!$C$5:$C$1000, A49)-C49)</f>
        <v/>
      </c>
    </row>
    <row r="50">
      <c r="A50" s="5" t="str">
        <f>IF(Cálculos!$AE50="","",INDEX('Detalle individual'!$C:$C,Cálculos!$AE50))</f>
        <v/>
      </c>
      <c r="B50" s="5" t="str">
        <f>IF($A50="","",INDEX('Detalle individual'!$D:$D,Cálculos!$AE50))</f>
        <v/>
      </c>
      <c r="C50" s="8" t="str">
        <f>IF($A50="","",COUNTIFS('Detalle individual'!$C$5:$C$1000, A50, 'Detalle individual'!$F$5:$F$1000, "Completado")+COUNTIFS('Detalle individual'!$C$5:$C$1000, A50, 'Detalle individual'!$F$5:$F$1000, "Pendiente"))</f>
        <v/>
      </c>
      <c r="D50" s="8" t="str">
        <f>IF($A50="","",COUNTIFS('Detalle individual'!$C$5:$C$1000, A50, 'Detalle individual'!$F$5:$F$1000, "Completado"))</f>
        <v/>
      </c>
      <c r="E50" s="8" t="str">
        <f>IF($A50="","",C50-D50)</f>
        <v/>
      </c>
      <c r="F50" s="26" t="str">
        <f>IF($A50="","",IF(C50&gt;0, D50/C50, 0))</f>
        <v/>
      </c>
      <c r="G50" s="4" t="str">
        <f>IF($A50="","",IF(AND(C50&gt;0, D50=C50), "Completo", "Pendiente"))</f>
        <v/>
      </c>
      <c r="H50" s="7" t="str">
        <f>IF($A50="","",IF(D50&gt;0, IFERROR(AVERAGEIFS('Detalle individual'!$J$5:$J$1000, 'Detalle individual'!$C$5:$C$1000, A50), ""), ""))</f>
        <v/>
      </c>
      <c r="I50" s="6" t="str">
        <f>IF($A50="","",IF(D50&gt;0, IFERROR(_xlfn.MAXIFS('Detalle individual'!$J$5:$J$1000, 'Detalle individual'!$C$5:$C$1000, A50), ""), ""))</f>
        <v/>
      </c>
      <c r="J50" s="6" t="str">
        <f>IF($A50="","",IF(D50&gt;0, IFERROR(_xlfn.MINIFS('Detalle individual'!$J$5:$J$1000, 'Detalle individual'!$C$5:$C$1000, A50), ""), ""))</f>
        <v/>
      </c>
      <c r="K50" s="11" t="str">
        <f>IF($A50="","",IF(D50&gt;0, IFERROR(_xlfn.MINIFS('Detalle individual'!$G$5:$G$1000, 'Detalle individual'!$C$5:$C$1000, A50), ""), ""))</f>
        <v/>
      </c>
      <c r="L50" s="11" t="str">
        <f>IF($A50="","",IF(D50&gt;0, IFERROR(_xlfn.MAXIFS('Detalle individual'!$H$5:$H$1000, 'Detalle individual'!$C$5:$C$1000, A50), ""), ""))</f>
        <v/>
      </c>
      <c r="M50" s="7" t="str">
        <f>IF($A50="","",IF(D50&gt;0, IFERROR(_xlfn.MINIFS('Detalle individual'!$I$5:$I$1000, 'Detalle individual'!$C$5:$C$1000, A50), ""), ""))</f>
        <v/>
      </c>
      <c r="N50" s="7" t="str">
        <f>IF($A50="","",IF(D50&gt;0, IFERROR(AVERAGEIFS('Detalle individual'!$I$5:$I$1000, 'Detalle individual'!$C$5:$C$1000, A50), ""), ""))</f>
        <v/>
      </c>
      <c r="O50" s="22" t="str">
        <f>IF($A50="","",COUNTIF('Detalle individual'!$C$5:$C$1000, A50)-C50)</f>
        <v/>
      </c>
    </row>
    <row r="51">
      <c r="A51" s="5" t="str">
        <f>IF(Cálculos!$AE51="","",INDEX('Detalle individual'!$C:$C,Cálculos!$AE51))</f>
        <v/>
      </c>
      <c r="B51" s="5" t="str">
        <f>IF($A51="","",INDEX('Detalle individual'!$D:$D,Cálculos!$AE51))</f>
        <v/>
      </c>
      <c r="C51" s="8" t="str">
        <f>IF($A51="","",COUNTIFS('Detalle individual'!$C$5:$C$1000, A51, 'Detalle individual'!$F$5:$F$1000, "Completado")+COUNTIFS('Detalle individual'!$C$5:$C$1000, A51, 'Detalle individual'!$F$5:$F$1000, "Pendiente"))</f>
        <v/>
      </c>
      <c r="D51" s="8" t="str">
        <f>IF($A51="","",COUNTIFS('Detalle individual'!$C$5:$C$1000, A51, 'Detalle individual'!$F$5:$F$1000, "Completado"))</f>
        <v/>
      </c>
      <c r="E51" s="8" t="str">
        <f>IF($A51="","",C51-D51)</f>
        <v/>
      </c>
      <c r="F51" s="26" t="str">
        <f>IF($A51="","",IF(C51&gt;0, D51/C51, 0))</f>
        <v/>
      </c>
      <c r="G51" s="4" t="str">
        <f>IF($A51="","",IF(AND(C51&gt;0, D51=C51), "Completo", "Pendiente"))</f>
        <v/>
      </c>
      <c r="H51" s="7" t="str">
        <f>IF($A51="","",IF(D51&gt;0, IFERROR(AVERAGEIFS('Detalle individual'!$J$5:$J$1000, 'Detalle individual'!$C$5:$C$1000, A51), ""), ""))</f>
        <v/>
      </c>
      <c r="I51" s="6" t="str">
        <f>IF($A51="","",IF(D51&gt;0, IFERROR(_xlfn.MAXIFS('Detalle individual'!$J$5:$J$1000, 'Detalle individual'!$C$5:$C$1000, A51), ""), ""))</f>
        <v/>
      </c>
      <c r="J51" s="6" t="str">
        <f>IF($A51="","",IF(D51&gt;0, IFERROR(_xlfn.MINIFS('Detalle individual'!$J$5:$J$1000, 'Detalle individual'!$C$5:$C$1000, A51), ""), ""))</f>
        <v/>
      </c>
      <c r="K51" s="11" t="str">
        <f>IF($A51="","",IF(D51&gt;0, IFERROR(_xlfn.MINIFS('Detalle individual'!$G$5:$G$1000, 'Detalle individual'!$C$5:$C$1000, A51), ""), ""))</f>
        <v/>
      </c>
      <c r="L51" s="11" t="str">
        <f>IF($A51="","",IF(D51&gt;0, IFERROR(_xlfn.MAXIFS('Detalle individual'!$H$5:$H$1000, 'Detalle individual'!$C$5:$C$1000, A51), ""), ""))</f>
        <v/>
      </c>
      <c r="M51" s="7" t="str">
        <f>IF($A51="","",IF(D51&gt;0, IFERROR(_xlfn.MINIFS('Detalle individual'!$I$5:$I$1000, 'Detalle individual'!$C$5:$C$1000, A51), ""), ""))</f>
        <v/>
      </c>
      <c r="N51" s="7" t="str">
        <f>IF($A51="","",IF(D51&gt;0, IFERROR(AVERAGEIFS('Detalle individual'!$I$5:$I$1000, 'Detalle individual'!$C$5:$C$1000, A51), ""), ""))</f>
        <v/>
      </c>
      <c r="O51" s="22" t="str">
        <f>IF($A51="","",COUNTIF('Detalle individual'!$C$5:$C$1000, A51)-C51)</f>
        <v/>
      </c>
    </row>
    <row r="52">
      <c r="A52" s="5" t="str">
        <f>IF(Cálculos!$AE52="","",INDEX('Detalle individual'!$C:$C,Cálculos!$AE52))</f>
        <v/>
      </c>
      <c r="B52" s="5" t="str">
        <f>IF($A52="","",INDEX('Detalle individual'!$D:$D,Cálculos!$AE52))</f>
        <v/>
      </c>
      <c r="C52" s="8" t="str">
        <f>IF($A52="","",COUNTIFS('Detalle individual'!$C$5:$C$1000, A52, 'Detalle individual'!$F$5:$F$1000, "Completado")+COUNTIFS('Detalle individual'!$C$5:$C$1000, A52, 'Detalle individual'!$F$5:$F$1000, "Pendiente"))</f>
        <v/>
      </c>
      <c r="D52" s="8" t="str">
        <f>IF($A52="","",COUNTIFS('Detalle individual'!$C$5:$C$1000, A52, 'Detalle individual'!$F$5:$F$1000, "Completado"))</f>
        <v/>
      </c>
      <c r="E52" s="8" t="str">
        <f>IF($A52="","",C52-D52)</f>
        <v/>
      </c>
      <c r="F52" s="26" t="str">
        <f>IF($A52="","",IF(C52&gt;0, D52/C52, 0))</f>
        <v/>
      </c>
      <c r="G52" s="4" t="str">
        <f>IF($A52="","",IF(AND(C52&gt;0, D52=C52), "Completo", "Pendiente"))</f>
        <v/>
      </c>
      <c r="H52" s="7" t="str">
        <f>IF($A52="","",IF(D52&gt;0, IFERROR(AVERAGEIFS('Detalle individual'!$J$5:$J$1000, 'Detalle individual'!$C$5:$C$1000, A52), ""), ""))</f>
        <v/>
      </c>
      <c r="I52" s="6" t="str">
        <f>IF($A52="","",IF(D52&gt;0, IFERROR(_xlfn.MAXIFS('Detalle individual'!$J$5:$J$1000, 'Detalle individual'!$C$5:$C$1000, A52), ""), ""))</f>
        <v/>
      </c>
      <c r="J52" s="6" t="str">
        <f>IF($A52="","",IF(D52&gt;0, IFERROR(_xlfn.MINIFS('Detalle individual'!$J$5:$J$1000, 'Detalle individual'!$C$5:$C$1000, A52), ""), ""))</f>
        <v/>
      </c>
      <c r="K52" s="11" t="str">
        <f>IF($A52="","",IF(D52&gt;0, IFERROR(_xlfn.MINIFS('Detalle individual'!$G$5:$G$1000, 'Detalle individual'!$C$5:$C$1000, A52), ""), ""))</f>
        <v/>
      </c>
      <c r="L52" s="11" t="str">
        <f>IF($A52="","",IF(D52&gt;0, IFERROR(_xlfn.MAXIFS('Detalle individual'!$H$5:$H$1000, 'Detalle individual'!$C$5:$C$1000, A52), ""), ""))</f>
        <v/>
      </c>
      <c r="M52" s="7" t="str">
        <f>IF($A52="","",IF(D52&gt;0, IFERROR(_xlfn.MINIFS('Detalle individual'!$I$5:$I$1000, 'Detalle individual'!$C$5:$C$1000, A52), ""), ""))</f>
        <v/>
      </c>
      <c r="N52" s="7" t="str">
        <f>IF($A52="","",IF(D52&gt;0, IFERROR(AVERAGEIFS('Detalle individual'!$I$5:$I$1000, 'Detalle individual'!$C$5:$C$1000, A52), ""), ""))</f>
        <v/>
      </c>
      <c r="O52" s="22" t="str">
        <f>IF($A52="","",COUNTIF('Detalle individual'!$C$5:$C$1000, A52)-C52)</f>
        <v/>
      </c>
    </row>
    <row r="53">
      <c r="A53" s="5" t="str">
        <f>IF(Cálculos!$AE53="","",INDEX('Detalle individual'!$C:$C,Cálculos!$AE53))</f>
        <v/>
      </c>
      <c r="B53" s="5" t="str">
        <f>IF($A53="","",INDEX('Detalle individual'!$D:$D,Cálculos!$AE53))</f>
        <v/>
      </c>
      <c r="C53" s="8" t="str">
        <f>IF($A53="","",COUNTIFS('Detalle individual'!$C$5:$C$1000, A53, 'Detalle individual'!$F$5:$F$1000, "Completado")+COUNTIFS('Detalle individual'!$C$5:$C$1000, A53, 'Detalle individual'!$F$5:$F$1000, "Pendiente"))</f>
        <v/>
      </c>
      <c r="D53" s="8" t="str">
        <f>IF($A53="","",COUNTIFS('Detalle individual'!$C$5:$C$1000, A53, 'Detalle individual'!$F$5:$F$1000, "Completado"))</f>
        <v/>
      </c>
      <c r="E53" s="8" t="str">
        <f>IF($A53="","",C53-D53)</f>
        <v/>
      </c>
      <c r="F53" s="26" t="str">
        <f>IF($A53="","",IF(C53&gt;0, D53/C53, 0))</f>
        <v/>
      </c>
      <c r="G53" s="4" t="str">
        <f>IF($A53="","",IF(AND(C53&gt;0, D53=C53), "Completo", "Pendiente"))</f>
        <v/>
      </c>
      <c r="H53" s="7" t="str">
        <f>IF($A53="","",IF(D53&gt;0, IFERROR(AVERAGEIFS('Detalle individual'!$J$5:$J$1000, 'Detalle individual'!$C$5:$C$1000, A53), ""), ""))</f>
        <v/>
      </c>
      <c r="I53" s="6" t="str">
        <f>IF($A53="","",IF(D53&gt;0, IFERROR(_xlfn.MAXIFS('Detalle individual'!$J$5:$J$1000, 'Detalle individual'!$C$5:$C$1000, A53), ""), ""))</f>
        <v/>
      </c>
      <c r="J53" s="6" t="str">
        <f>IF($A53="","",IF(D53&gt;0, IFERROR(_xlfn.MINIFS('Detalle individual'!$J$5:$J$1000, 'Detalle individual'!$C$5:$C$1000, A53), ""), ""))</f>
        <v/>
      </c>
      <c r="K53" s="11" t="str">
        <f>IF($A53="","",IF(D53&gt;0, IFERROR(_xlfn.MINIFS('Detalle individual'!$G$5:$G$1000, 'Detalle individual'!$C$5:$C$1000, A53), ""), ""))</f>
        <v/>
      </c>
      <c r="L53" s="11" t="str">
        <f>IF($A53="","",IF(D53&gt;0, IFERROR(_xlfn.MAXIFS('Detalle individual'!$H$5:$H$1000, 'Detalle individual'!$C$5:$C$1000, A53), ""), ""))</f>
        <v/>
      </c>
      <c r="M53" s="7" t="str">
        <f>IF($A53="","",IF(D53&gt;0, IFERROR(_xlfn.MINIFS('Detalle individual'!$I$5:$I$1000, 'Detalle individual'!$C$5:$C$1000, A53), ""), ""))</f>
        <v/>
      </c>
      <c r="N53" s="7" t="str">
        <f>IF($A53="","",IF(D53&gt;0, IFERROR(AVERAGEIFS('Detalle individual'!$I$5:$I$1000, 'Detalle individual'!$C$5:$C$1000, A53), ""), ""))</f>
        <v/>
      </c>
      <c r="O53" s="22" t="str">
        <f>IF($A53="","",COUNTIF('Detalle individual'!$C$5:$C$1000, A53)-C53)</f>
        <v/>
      </c>
    </row>
    <row r="54">
      <c r="A54" s="5" t="str">
        <f>IF(Cálculos!$AE54="","",INDEX('Detalle individual'!$C:$C,Cálculos!$AE54))</f>
        <v/>
      </c>
      <c r="B54" s="5" t="str">
        <f>IF($A54="","",INDEX('Detalle individual'!$D:$D,Cálculos!$AE54))</f>
        <v/>
      </c>
      <c r="C54" s="8" t="str">
        <f>IF($A54="","",COUNTIFS('Detalle individual'!$C$5:$C$1000, A54, 'Detalle individual'!$F$5:$F$1000, "Completado")+COUNTIFS('Detalle individual'!$C$5:$C$1000, A54, 'Detalle individual'!$F$5:$F$1000, "Pendiente"))</f>
        <v/>
      </c>
      <c r="D54" s="8" t="str">
        <f>IF($A54="","",COUNTIFS('Detalle individual'!$C$5:$C$1000, A54, 'Detalle individual'!$F$5:$F$1000, "Completado"))</f>
        <v/>
      </c>
      <c r="E54" s="8" t="str">
        <f>IF($A54="","",C54-D54)</f>
        <v/>
      </c>
      <c r="F54" s="26" t="str">
        <f>IF($A54="","",IF(C54&gt;0, D54/C54, 0))</f>
        <v/>
      </c>
      <c r="G54" s="4" t="str">
        <f>IF($A54="","",IF(AND(C54&gt;0, D54=C54), "Completo", "Pendiente"))</f>
        <v/>
      </c>
      <c r="H54" s="7" t="str">
        <f>IF($A54="","",IF(D54&gt;0, IFERROR(AVERAGEIFS('Detalle individual'!$J$5:$J$1000, 'Detalle individual'!$C$5:$C$1000, A54), ""), ""))</f>
        <v/>
      </c>
      <c r="I54" s="6" t="str">
        <f>IF($A54="","",IF(D54&gt;0, IFERROR(_xlfn.MAXIFS('Detalle individual'!$J$5:$J$1000, 'Detalle individual'!$C$5:$C$1000, A54), ""), ""))</f>
        <v/>
      </c>
      <c r="J54" s="6" t="str">
        <f>IF($A54="","",IF(D54&gt;0, IFERROR(_xlfn.MINIFS('Detalle individual'!$J$5:$J$1000, 'Detalle individual'!$C$5:$C$1000, A54), ""), ""))</f>
        <v/>
      </c>
      <c r="K54" s="11" t="str">
        <f>IF($A54="","",IF(D54&gt;0, IFERROR(_xlfn.MINIFS('Detalle individual'!$G$5:$G$1000, 'Detalle individual'!$C$5:$C$1000, A54), ""), ""))</f>
        <v/>
      </c>
      <c r="L54" s="11" t="str">
        <f>IF($A54="","",IF(D54&gt;0, IFERROR(_xlfn.MAXIFS('Detalle individual'!$H$5:$H$1000, 'Detalle individual'!$C$5:$C$1000, A54), ""), ""))</f>
        <v/>
      </c>
      <c r="M54" s="7" t="str">
        <f>IF($A54="","",IF(D54&gt;0, IFERROR(_xlfn.MINIFS('Detalle individual'!$I$5:$I$1000, 'Detalle individual'!$C$5:$C$1000, A54), ""), ""))</f>
        <v/>
      </c>
      <c r="N54" s="7" t="str">
        <f>IF($A54="","",IF(D54&gt;0, IFERROR(AVERAGEIFS('Detalle individual'!$I$5:$I$1000, 'Detalle individual'!$C$5:$C$1000, A54), ""), ""))</f>
        <v/>
      </c>
      <c r="O54" s="22" t="str">
        <f>IF($A54="","",COUNTIF('Detalle individual'!$C$5:$C$1000, A54)-C54)</f>
        <v/>
      </c>
    </row>
    <row r="55">
      <c r="A55" s="5" t="str">
        <f>IF(Cálculos!$AE55="","",INDEX('Detalle individual'!$C:$C,Cálculos!$AE55))</f>
        <v/>
      </c>
      <c r="B55" s="5" t="str">
        <f>IF($A55="","",INDEX('Detalle individual'!$D:$D,Cálculos!$AE55))</f>
        <v/>
      </c>
      <c r="C55" s="8" t="str">
        <f>IF($A55="","",COUNTIFS('Detalle individual'!$C$5:$C$1000, A55, 'Detalle individual'!$F$5:$F$1000, "Completado")+COUNTIFS('Detalle individual'!$C$5:$C$1000, A55, 'Detalle individual'!$F$5:$F$1000, "Pendiente"))</f>
        <v/>
      </c>
      <c r="D55" s="8" t="str">
        <f>IF($A55="","",COUNTIFS('Detalle individual'!$C$5:$C$1000, A55, 'Detalle individual'!$F$5:$F$1000, "Completado"))</f>
        <v/>
      </c>
      <c r="E55" s="8" t="str">
        <f>IF($A55="","",C55-D55)</f>
        <v/>
      </c>
      <c r="F55" s="26" t="str">
        <f>IF($A55="","",IF(C55&gt;0, D55/C55, 0))</f>
        <v/>
      </c>
      <c r="G55" s="4" t="str">
        <f>IF($A55="","",IF(AND(C55&gt;0, D55=C55), "Completo", "Pendiente"))</f>
        <v/>
      </c>
      <c r="H55" s="7" t="str">
        <f>IF($A55="","",IF(D55&gt;0, IFERROR(AVERAGEIFS('Detalle individual'!$J$5:$J$1000, 'Detalle individual'!$C$5:$C$1000, A55), ""), ""))</f>
        <v/>
      </c>
      <c r="I55" s="6" t="str">
        <f>IF($A55="","",IF(D55&gt;0, IFERROR(_xlfn.MAXIFS('Detalle individual'!$J$5:$J$1000, 'Detalle individual'!$C$5:$C$1000, A55), ""), ""))</f>
        <v/>
      </c>
      <c r="J55" s="6" t="str">
        <f>IF($A55="","",IF(D55&gt;0, IFERROR(_xlfn.MINIFS('Detalle individual'!$J$5:$J$1000, 'Detalle individual'!$C$5:$C$1000, A55), ""), ""))</f>
        <v/>
      </c>
      <c r="K55" s="11" t="str">
        <f>IF($A55="","",IF(D55&gt;0, IFERROR(_xlfn.MINIFS('Detalle individual'!$G$5:$G$1000, 'Detalle individual'!$C$5:$C$1000, A55), ""), ""))</f>
        <v/>
      </c>
      <c r="L55" s="11" t="str">
        <f>IF($A55="","",IF(D55&gt;0, IFERROR(_xlfn.MAXIFS('Detalle individual'!$H$5:$H$1000, 'Detalle individual'!$C$5:$C$1000, A55), ""), ""))</f>
        <v/>
      </c>
      <c r="M55" s="7" t="str">
        <f>IF($A55="","",IF(D55&gt;0, IFERROR(_xlfn.MINIFS('Detalle individual'!$I$5:$I$1000, 'Detalle individual'!$C$5:$C$1000, A55), ""), ""))</f>
        <v/>
      </c>
      <c r="N55" s="7" t="str">
        <f>IF($A55="","",IF(D55&gt;0, IFERROR(AVERAGEIFS('Detalle individual'!$I$5:$I$1000, 'Detalle individual'!$C$5:$C$1000, A55), ""), ""))</f>
        <v/>
      </c>
      <c r="O55" s="22" t="str">
        <f>IF($A55="","",COUNTIF('Detalle individual'!$C$5:$C$1000, A55)-C55)</f>
        <v/>
      </c>
    </row>
    <row r="56">
      <c r="A56" s="5" t="str">
        <f>IF(Cálculos!$AE56="","",INDEX('Detalle individual'!$C:$C,Cálculos!$AE56))</f>
        <v/>
      </c>
      <c r="B56" s="5" t="str">
        <f>IF($A56="","",INDEX('Detalle individual'!$D:$D,Cálculos!$AE56))</f>
        <v/>
      </c>
      <c r="C56" s="8" t="str">
        <f>IF($A56="","",COUNTIFS('Detalle individual'!$C$5:$C$1000, A56, 'Detalle individual'!$F$5:$F$1000, "Completado")+COUNTIFS('Detalle individual'!$C$5:$C$1000, A56, 'Detalle individual'!$F$5:$F$1000, "Pendiente"))</f>
        <v/>
      </c>
      <c r="D56" s="8" t="str">
        <f>IF($A56="","",COUNTIFS('Detalle individual'!$C$5:$C$1000, A56, 'Detalle individual'!$F$5:$F$1000, "Completado"))</f>
        <v/>
      </c>
      <c r="E56" s="8" t="str">
        <f>IF($A56="","",C56-D56)</f>
        <v/>
      </c>
      <c r="F56" s="26" t="str">
        <f>IF($A56="","",IF(C56&gt;0, D56/C56, 0))</f>
        <v/>
      </c>
      <c r="G56" s="4" t="str">
        <f>IF($A56="","",IF(AND(C56&gt;0, D56=C56), "Completo", "Pendiente"))</f>
        <v/>
      </c>
      <c r="H56" s="7" t="str">
        <f>IF($A56="","",IF(D56&gt;0, IFERROR(AVERAGEIFS('Detalle individual'!$J$5:$J$1000, 'Detalle individual'!$C$5:$C$1000, A56), ""), ""))</f>
        <v/>
      </c>
      <c r="I56" s="6" t="str">
        <f>IF($A56="","",IF(D56&gt;0, IFERROR(_xlfn.MAXIFS('Detalle individual'!$J$5:$J$1000, 'Detalle individual'!$C$5:$C$1000, A56), ""), ""))</f>
        <v/>
      </c>
      <c r="J56" s="6" t="str">
        <f>IF($A56="","",IF(D56&gt;0, IFERROR(_xlfn.MINIFS('Detalle individual'!$J$5:$J$1000, 'Detalle individual'!$C$5:$C$1000, A56), ""), ""))</f>
        <v/>
      </c>
      <c r="K56" s="11" t="str">
        <f>IF($A56="","",IF(D56&gt;0, IFERROR(_xlfn.MINIFS('Detalle individual'!$G$5:$G$1000, 'Detalle individual'!$C$5:$C$1000, A56), ""), ""))</f>
        <v/>
      </c>
      <c r="L56" s="11" t="str">
        <f>IF($A56="","",IF(D56&gt;0, IFERROR(_xlfn.MAXIFS('Detalle individual'!$H$5:$H$1000, 'Detalle individual'!$C$5:$C$1000, A56), ""), ""))</f>
        <v/>
      </c>
      <c r="M56" s="7" t="str">
        <f>IF($A56="","",IF(D56&gt;0, IFERROR(_xlfn.MINIFS('Detalle individual'!$I$5:$I$1000, 'Detalle individual'!$C$5:$C$1000, A56), ""), ""))</f>
        <v/>
      </c>
      <c r="N56" s="7" t="str">
        <f>IF($A56="","",IF(D56&gt;0, IFERROR(AVERAGEIFS('Detalle individual'!$I$5:$I$1000, 'Detalle individual'!$C$5:$C$1000, A56), ""), ""))</f>
        <v/>
      </c>
      <c r="O56" s="22" t="str">
        <f>IF($A56="","",COUNTIF('Detalle individual'!$C$5:$C$1000, A56)-C56)</f>
        <v/>
      </c>
    </row>
    <row r="57">
      <c r="A57" s="5" t="str">
        <f>IF(Cálculos!$AE57="","",INDEX('Detalle individual'!$C:$C,Cálculos!$AE57))</f>
        <v/>
      </c>
      <c r="B57" s="5" t="str">
        <f>IF($A57="","",INDEX('Detalle individual'!$D:$D,Cálculos!$AE57))</f>
        <v/>
      </c>
      <c r="C57" s="8" t="str">
        <f>IF($A57="","",COUNTIFS('Detalle individual'!$C$5:$C$1000, A57, 'Detalle individual'!$F$5:$F$1000, "Completado")+COUNTIFS('Detalle individual'!$C$5:$C$1000, A57, 'Detalle individual'!$F$5:$F$1000, "Pendiente"))</f>
        <v/>
      </c>
      <c r="D57" s="8" t="str">
        <f>IF($A57="","",COUNTIFS('Detalle individual'!$C$5:$C$1000, A57, 'Detalle individual'!$F$5:$F$1000, "Completado"))</f>
        <v/>
      </c>
      <c r="E57" s="8" t="str">
        <f>IF($A57="","",C57-D57)</f>
        <v/>
      </c>
      <c r="F57" s="26" t="str">
        <f>IF($A57="","",IF(C57&gt;0, D57/C57, 0))</f>
        <v/>
      </c>
      <c r="G57" s="4" t="str">
        <f>IF($A57="","",IF(AND(C57&gt;0, D57=C57), "Completo", "Pendiente"))</f>
        <v/>
      </c>
      <c r="H57" s="7" t="str">
        <f>IF($A57="","",IF(D57&gt;0, IFERROR(AVERAGEIFS('Detalle individual'!$J$5:$J$1000, 'Detalle individual'!$C$5:$C$1000, A57), ""), ""))</f>
        <v/>
      </c>
      <c r="I57" s="6" t="str">
        <f>IF($A57="","",IF(D57&gt;0, IFERROR(_xlfn.MAXIFS('Detalle individual'!$J$5:$J$1000, 'Detalle individual'!$C$5:$C$1000, A57), ""), ""))</f>
        <v/>
      </c>
      <c r="J57" s="6" t="str">
        <f>IF($A57="","",IF(D57&gt;0, IFERROR(_xlfn.MINIFS('Detalle individual'!$J$5:$J$1000, 'Detalle individual'!$C$5:$C$1000, A57), ""), ""))</f>
        <v/>
      </c>
      <c r="K57" s="11" t="str">
        <f>IF($A57="","",IF(D57&gt;0, IFERROR(_xlfn.MINIFS('Detalle individual'!$G$5:$G$1000, 'Detalle individual'!$C$5:$C$1000, A57), ""), ""))</f>
        <v/>
      </c>
      <c r="L57" s="11" t="str">
        <f>IF($A57="","",IF(D57&gt;0, IFERROR(_xlfn.MAXIFS('Detalle individual'!$H$5:$H$1000, 'Detalle individual'!$C$5:$C$1000, A57), ""), ""))</f>
        <v/>
      </c>
      <c r="M57" s="7" t="str">
        <f>IF($A57="","",IF(D57&gt;0, IFERROR(_xlfn.MINIFS('Detalle individual'!$I$5:$I$1000, 'Detalle individual'!$C$5:$C$1000, A57), ""), ""))</f>
        <v/>
      </c>
      <c r="N57" s="7" t="str">
        <f>IF($A57="","",IF(D57&gt;0, IFERROR(AVERAGEIFS('Detalle individual'!$I$5:$I$1000, 'Detalle individual'!$C$5:$C$1000, A57), ""), ""))</f>
        <v/>
      </c>
      <c r="O57" s="22" t="str">
        <f>IF($A57="","",COUNTIF('Detalle individual'!$C$5:$C$1000, A57)-C57)</f>
        <v/>
      </c>
    </row>
    <row r="58">
      <c r="A58" s="5" t="str">
        <f>IF(Cálculos!$AE58="","",INDEX('Detalle individual'!$C:$C,Cálculos!$AE58))</f>
        <v/>
      </c>
      <c r="B58" s="5" t="str">
        <f>IF($A58="","",INDEX('Detalle individual'!$D:$D,Cálculos!$AE58))</f>
        <v/>
      </c>
      <c r="C58" s="8" t="str">
        <f>IF($A58="","",COUNTIFS('Detalle individual'!$C$5:$C$1000, A58, 'Detalle individual'!$F$5:$F$1000, "Completado")+COUNTIFS('Detalle individual'!$C$5:$C$1000, A58, 'Detalle individual'!$F$5:$F$1000, "Pendiente"))</f>
        <v/>
      </c>
      <c r="D58" s="8" t="str">
        <f>IF($A58="","",COUNTIFS('Detalle individual'!$C$5:$C$1000, A58, 'Detalle individual'!$F$5:$F$1000, "Completado"))</f>
        <v/>
      </c>
      <c r="E58" s="8" t="str">
        <f>IF($A58="","",C58-D58)</f>
        <v/>
      </c>
      <c r="F58" s="26" t="str">
        <f>IF($A58="","",IF(C58&gt;0, D58/C58, 0))</f>
        <v/>
      </c>
      <c r="G58" s="4" t="str">
        <f>IF($A58="","",IF(AND(C58&gt;0, D58=C58), "Completo", "Pendiente"))</f>
        <v/>
      </c>
      <c r="H58" s="7" t="str">
        <f>IF($A58="","",IF(D58&gt;0, IFERROR(AVERAGEIFS('Detalle individual'!$J$5:$J$1000, 'Detalle individual'!$C$5:$C$1000, A58), ""), ""))</f>
        <v/>
      </c>
      <c r="I58" s="6" t="str">
        <f>IF($A58="","",IF(D58&gt;0, IFERROR(_xlfn.MAXIFS('Detalle individual'!$J$5:$J$1000, 'Detalle individual'!$C$5:$C$1000, A58), ""), ""))</f>
        <v/>
      </c>
      <c r="J58" s="6" t="str">
        <f>IF($A58="","",IF(D58&gt;0, IFERROR(_xlfn.MINIFS('Detalle individual'!$J$5:$J$1000, 'Detalle individual'!$C$5:$C$1000, A58), ""), ""))</f>
        <v/>
      </c>
      <c r="K58" s="11" t="str">
        <f>IF($A58="","",IF(D58&gt;0, IFERROR(_xlfn.MINIFS('Detalle individual'!$G$5:$G$1000, 'Detalle individual'!$C$5:$C$1000, A58), ""), ""))</f>
        <v/>
      </c>
      <c r="L58" s="11" t="str">
        <f>IF($A58="","",IF(D58&gt;0, IFERROR(_xlfn.MAXIFS('Detalle individual'!$H$5:$H$1000, 'Detalle individual'!$C$5:$C$1000, A58), ""), ""))</f>
        <v/>
      </c>
      <c r="M58" s="7" t="str">
        <f>IF($A58="","",IF(D58&gt;0, IFERROR(_xlfn.MINIFS('Detalle individual'!$I$5:$I$1000, 'Detalle individual'!$C$5:$C$1000, A58), ""), ""))</f>
        <v/>
      </c>
      <c r="N58" s="7" t="str">
        <f>IF($A58="","",IF(D58&gt;0, IFERROR(AVERAGEIFS('Detalle individual'!$I$5:$I$1000, 'Detalle individual'!$C$5:$C$1000, A58), ""), ""))</f>
        <v/>
      </c>
      <c r="O58" s="22" t="str">
        <f>IF($A58="","",COUNTIF('Detalle individual'!$C$5:$C$1000, A58)-C58)</f>
        <v/>
      </c>
    </row>
    <row r="59">
      <c r="A59" s="5" t="str">
        <f>IF(Cálculos!$AE59="","",INDEX('Detalle individual'!$C:$C,Cálculos!$AE59))</f>
        <v/>
      </c>
      <c r="B59" s="5" t="str">
        <f>IF($A59="","",INDEX('Detalle individual'!$D:$D,Cálculos!$AE59))</f>
        <v/>
      </c>
      <c r="C59" s="8" t="str">
        <f>IF($A59="","",COUNTIFS('Detalle individual'!$C$5:$C$1000, A59, 'Detalle individual'!$F$5:$F$1000, "Completado")+COUNTIFS('Detalle individual'!$C$5:$C$1000, A59, 'Detalle individual'!$F$5:$F$1000, "Pendiente"))</f>
        <v/>
      </c>
      <c r="D59" s="8" t="str">
        <f>IF($A59="","",COUNTIFS('Detalle individual'!$C$5:$C$1000, A59, 'Detalle individual'!$F$5:$F$1000, "Completado"))</f>
        <v/>
      </c>
      <c r="E59" s="8" t="str">
        <f>IF($A59="","",C59-D59)</f>
        <v/>
      </c>
      <c r="F59" s="26" t="str">
        <f>IF($A59="","",IF(C59&gt;0, D59/C59, 0))</f>
        <v/>
      </c>
      <c r="G59" s="4" t="str">
        <f>IF($A59="","",IF(AND(C59&gt;0, D59=C59), "Completo", "Pendiente"))</f>
        <v/>
      </c>
      <c r="H59" s="7" t="str">
        <f>IF($A59="","",IF(D59&gt;0, IFERROR(AVERAGEIFS('Detalle individual'!$J$5:$J$1000, 'Detalle individual'!$C$5:$C$1000, A59), ""), ""))</f>
        <v/>
      </c>
      <c r="I59" s="6" t="str">
        <f>IF($A59="","",IF(D59&gt;0, IFERROR(_xlfn.MAXIFS('Detalle individual'!$J$5:$J$1000, 'Detalle individual'!$C$5:$C$1000, A59), ""), ""))</f>
        <v/>
      </c>
      <c r="J59" s="6" t="str">
        <f>IF($A59="","",IF(D59&gt;0, IFERROR(_xlfn.MINIFS('Detalle individual'!$J$5:$J$1000, 'Detalle individual'!$C$5:$C$1000, A59), ""), ""))</f>
        <v/>
      </c>
      <c r="K59" s="11" t="str">
        <f>IF($A59="","",IF(D59&gt;0, IFERROR(_xlfn.MINIFS('Detalle individual'!$G$5:$G$1000, 'Detalle individual'!$C$5:$C$1000, A59), ""), ""))</f>
        <v/>
      </c>
      <c r="L59" s="11" t="str">
        <f>IF($A59="","",IF(D59&gt;0, IFERROR(_xlfn.MAXIFS('Detalle individual'!$H$5:$H$1000, 'Detalle individual'!$C$5:$C$1000, A59), ""), ""))</f>
        <v/>
      </c>
      <c r="M59" s="7" t="str">
        <f>IF($A59="","",IF(D59&gt;0, IFERROR(_xlfn.MINIFS('Detalle individual'!$I$5:$I$1000, 'Detalle individual'!$C$5:$C$1000, A59), ""), ""))</f>
        <v/>
      </c>
      <c r="N59" s="7" t="str">
        <f>IF($A59="","",IF(D59&gt;0, IFERROR(AVERAGEIFS('Detalle individual'!$I$5:$I$1000, 'Detalle individual'!$C$5:$C$1000, A59), ""), ""))</f>
        <v/>
      </c>
      <c r="O59" s="22" t="str">
        <f>IF($A59="","",COUNTIF('Detalle individual'!$C$5:$C$1000, A59)-C59)</f>
        <v/>
      </c>
    </row>
    <row r="60">
      <c r="A60" s="5" t="str">
        <f>IF(Cálculos!$AE60="","",INDEX('Detalle individual'!$C:$C,Cálculos!$AE60))</f>
        <v/>
      </c>
      <c r="B60" s="5" t="str">
        <f>IF($A60="","",INDEX('Detalle individual'!$D:$D,Cálculos!$AE60))</f>
        <v/>
      </c>
      <c r="C60" s="8" t="str">
        <f>IF($A60="","",COUNTIFS('Detalle individual'!$C$5:$C$1000, A60, 'Detalle individual'!$F$5:$F$1000, "Completado")+COUNTIFS('Detalle individual'!$C$5:$C$1000, A60, 'Detalle individual'!$F$5:$F$1000, "Pendiente"))</f>
        <v/>
      </c>
      <c r="D60" s="8" t="str">
        <f>IF($A60="","",COUNTIFS('Detalle individual'!$C$5:$C$1000, A60, 'Detalle individual'!$F$5:$F$1000, "Completado"))</f>
        <v/>
      </c>
      <c r="E60" s="8" t="str">
        <f>IF($A60="","",C60-D60)</f>
        <v/>
      </c>
      <c r="F60" s="26" t="str">
        <f>IF($A60="","",IF(C60&gt;0, D60/C60, 0))</f>
        <v/>
      </c>
      <c r="G60" s="4" t="str">
        <f>IF($A60="","",IF(AND(C60&gt;0, D60=C60), "Completo", "Pendiente"))</f>
        <v/>
      </c>
      <c r="H60" s="7" t="str">
        <f>IF($A60="","",IF(D60&gt;0, IFERROR(AVERAGEIFS('Detalle individual'!$J$5:$J$1000, 'Detalle individual'!$C$5:$C$1000, A60), ""), ""))</f>
        <v/>
      </c>
      <c r="I60" s="6" t="str">
        <f>IF($A60="","",IF(D60&gt;0, IFERROR(_xlfn.MAXIFS('Detalle individual'!$J$5:$J$1000, 'Detalle individual'!$C$5:$C$1000, A60), ""), ""))</f>
        <v/>
      </c>
      <c r="J60" s="6" t="str">
        <f>IF($A60="","",IF(D60&gt;0, IFERROR(_xlfn.MINIFS('Detalle individual'!$J$5:$J$1000, 'Detalle individual'!$C$5:$C$1000, A60), ""), ""))</f>
        <v/>
      </c>
      <c r="K60" s="11" t="str">
        <f>IF($A60="","",IF(D60&gt;0, IFERROR(_xlfn.MINIFS('Detalle individual'!$G$5:$G$1000, 'Detalle individual'!$C$5:$C$1000, A60), ""), ""))</f>
        <v/>
      </c>
      <c r="L60" s="11" t="str">
        <f>IF($A60="","",IF(D60&gt;0, IFERROR(_xlfn.MAXIFS('Detalle individual'!$H$5:$H$1000, 'Detalle individual'!$C$5:$C$1000, A60), ""), ""))</f>
        <v/>
      </c>
      <c r="M60" s="7" t="str">
        <f>IF($A60="","",IF(D60&gt;0, IFERROR(_xlfn.MINIFS('Detalle individual'!$I$5:$I$1000, 'Detalle individual'!$C$5:$C$1000, A60), ""), ""))</f>
        <v/>
      </c>
      <c r="N60" s="7" t="str">
        <f>IF($A60="","",IF(D60&gt;0, IFERROR(AVERAGEIFS('Detalle individual'!$I$5:$I$1000, 'Detalle individual'!$C$5:$C$1000, A60), ""), ""))</f>
        <v/>
      </c>
      <c r="O60" s="22" t="str">
        <f>IF($A60="","",COUNTIF('Detalle individual'!$C$5:$C$1000, A60)-C60)</f>
        <v/>
      </c>
    </row>
    <row r="61">
      <c r="A61" s="5" t="str">
        <f>IF(Cálculos!$AE61="","",INDEX('Detalle individual'!$C:$C,Cálculos!$AE61))</f>
        <v/>
      </c>
      <c r="B61" s="5" t="str">
        <f>IF($A61="","",INDEX('Detalle individual'!$D:$D,Cálculos!$AE61))</f>
        <v/>
      </c>
      <c r="C61" s="8" t="str">
        <f>IF($A61="","",COUNTIFS('Detalle individual'!$C$5:$C$1000, A61, 'Detalle individual'!$F$5:$F$1000, "Completado")+COUNTIFS('Detalle individual'!$C$5:$C$1000, A61, 'Detalle individual'!$F$5:$F$1000, "Pendiente"))</f>
        <v/>
      </c>
      <c r="D61" s="8" t="str">
        <f>IF($A61="","",COUNTIFS('Detalle individual'!$C$5:$C$1000, A61, 'Detalle individual'!$F$5:$F$1000, "Completado"))</f>
        <v/>
      </c>
      <c r="E61" s="8" t="str">
        <f>IF($A61="","",C61-D61)</f>
        <v/>
      </c>
      <c r="F61" s="26" t="str">
        <f>IF($A61="","",IF(C61&gt;0, D61/C61, 0))</f>
        <v/>
      </c>
      <c r="G61" s="4" t="str">
        <f>IF($A61="","",IF(AND(C61&gt;0, D61=C61), "Completo", "Pendiente"))</f>
        <v/>
      </c>
      <c r="H61" s="7" t="str">
        <f>IF($A61="","",IF(D61&gt;0, IFERROR(AVERAGEIFS('Detalle individual'!$J$5:$J$1000, 'Detalle individual'!$C$5:$C$1000, A61), ""), ""))</f>
        <v/>
      </c>
      <c r="I61" s="6" t="str">
        <f>IF($A61="","",IF(D61&gt;0, IFERROR(_xlfn.MAXIFS('Detalle individual'!$J$5:$J$1000, 'Detalle individual'!$C$5:$C$1000, A61), ""), ""))</f>
        <v/>
      </c>
      <c r="J61" s="6" t="str">
        <f>IF($A61="","",IF(D61&gt;0, IFERROR(_xlfn.MINIFS('Detalle individual'!$J$5:$J$1000, 'Detalle individual'!$C$5:$C$1000, A61), ""), ""))</f>
        <v/>
      </c>
      <c r="K61" s="11" t="str">
        <f>IF($A61="","",IF(D61&gt;0, IFERROR(_xlfn.MINIFS('Detalle individual'!$G$5:$G$1000, 'Detalle individual'!$C$5:$C$1000, A61), ""), ""))</f>
        <v/>
      </c>
      <c r="L61" s="11" t="str">
        <f>IF($A61="","",IF(D61&gt;0, IFERROR(_xlfn.MAXIFS('Detalle individual'!$H$5:$H$1000, 'Detalle individual'!$C$5:$C$1000, A61), ""), ""))</f>
        <v/>
      </c>
      <c r="M61" s="7" t="str">
        <f>IF($A61="","",IF(D61&gt;0, IFERROR(_xlfn.MINIFS('Detalle individual'!$I$5:$I$1000, 'Detalle individual'!$C$5:$C$1000, A61), ""), ""))</f>
        <v/>
      </c>
      <c r="N61" s="7" t="str">
        <f>IF($A61="","",IF(D61&gt;0, IFERROR(AVERAGEIFS('Detalle individual'!$I$5:$I$1000, 'Detalle individual'!$C$5:$C$1000, A61), ""), ""))</f>
        <v/>
      </c>
      <c r="O61" s="22" t="str">
        <f>IF($A61="","",COUNTIF('Detalle individual'!$C$5:$C$1000, A61)-C61)</f>
        <v/>
      </c>
    </row>
    <row r="62">
      <c r="A62" s="5" t="str">
        <f>IF(Cálculos!$AE62="","",INDEX('Detalle individual'!$C:$C,Cálculos!$AE62))</f>
        <v/>
      </c>
      <c r="B62" s="5" t="str">
        <f>IF($A62="","",INDEX('Detalle individual'!$D:$D,Cálculos!$AE62))</f>
        <v/>
      </c>
      <c r="C62" s="8" t="str">
        <f>IF($A62="","",COUNTIFS('Detalle individual'!$C$5:$C$1000, A62, 'Detalle individual'!$F$5:$F$1000, "Completado")+COUNTIFS('Detalle individual'!$C$5:$C$1000, A62, 'Detalle individual'!$F$5:$F$1000, "Pendiente"))</f>
        <v/>
      </c>
      <c r="D62" s="8" t="str">
        <f>IF($A62="","",COUNTIFS('Detalle individual'!$C$5:$C$1000, A62, 'Detalle individual'!$F$5:$F$1000, "Completado"))</f>
        <v/>
      </c>
      <c r="E62" s="8" t="str">
        <f>IF($A62="","",C62-D62)</f>
        <v/>
      </c>
      <c r="F62" s="26" t="str">
        <f>IF($A62="","",IF(C62&gt;0, D62/C62, 0))</f>
        <v/>
      </c>
      <c r="G62" s="4" t="str">
        <f>IF($A62="","",IF(AND(C62&gt;0, D62=C62), "Completo", "Pendiente"))</f>
        <v/>
      </c>
      <c r="H62" s="7" t="str">
        <f>IF($A62="","",IF(D62&gt;0, IFERROR(AVERAGEIFS('Detalle individual'!$J$5:$J$1000, 'Detalle individual'!$C$5:$C$1000, A62), ""), ""))</f>
        <v/>
      </c>
      <c r="I62" s="6" t="str">
        <f>IF($A62="","",IF(D62&gt;0, IFERROR(_xlfn.MAXIFS('Detalle individual'!$J$5:$J$1000, 'Detalle individual'!$C$5:$C$1000, A62), ""), ""))</f>
        <v/>
      </c>
      <c r="J62" s="6" t="str">
        <f>IF($A62="","",IF(D62&gt;0, IFERROR(_xlfn.MINIFS('Detalle individual'!$J$5:$J$1000, 'Detalle individual'!$C$5:$C$1000, A62), ""), ""))</f>
        <v/>
      </c>
      <c r="K62" s="11" t="str">
        <f>IF($A62="","",IF(D62&gt;0, IFERROR(_xlfn.MINIFS('Detalle individual'!$G$5:$G$1000, 'Detalle individual'!$C$5:$C$1000, A62), ""), ""))</f>
        <v/>
      </c>
      <c r="L62" s="11" t="str">
        <f>IF($A62="","",IF(D62&gt;0, IFERROR(_xlfn.MAXIFS('Detalle individual'!$H$5:$H$1000, 'Detalle individual'!$C$5:$C$1000, A62), ""), ""))</f>
        <v/>
      </c>
      <c r="M62" s="7" t="str">
        <f>IF($A62="","",IF(D62&gt;0, IFERROR(_xlfn.MINIFS('Detalle individual'!$I$5:$I$1000, 'Detalle individual'!$C$5:$C$1000, A62), ""), ""))</f>
        <v/>
      </c>
      <c r="N62" s="7" t="str">
        <f>IF($A62="","",IF(D62&gt;0, IFERROR(AVERAGEIFS('Detalle individual'!$I$5:$I$1000, 'Detalle individual'!$C$5:$C$1000, A62), ""), ""))</f>
        <v/>
      </c>
      <c r="O62" s="22" t="str">
        <f>IF($A62="","",COUNTIF('Detalle individual'!$C$5:$C$1000, A62)-C62)</f>
        <v/>
      </c>
    </row>
    <row r="63">
      <c r="A63" s="5" t="str">
        <f>IF(Cálculos!$AE63="","",INDEX('Detalle individual'!$C:$C,Cálculos!$AE63))</f>
        <v/>
      </c>
      <c r="B63" s="5" t="str">
        <f>IF($A63="","",INDEX('Detalle individual'!$D:$D,Cálculos!$AE63))</f>
        <v/>
      </c>
      <c r="C63" s="8" t="str">
        <f>IF($A63="","",COUNTIFS('Detalle individual'!$C$5:$C$1000, A63, 'Detalle individual'!$F$5:$F$1000, "Completado")+COUNTIFS('Detalle individual'!$C$5:$C$1000, A63, 'Detalle individual'!$F$5:$F$1000, "Pendiente"))</f>
        <v/>
      </c>
      <c r="D63" s="8" t="str">
        <f>IF($A63="","",COUNTIFS('Detalle individual'!$C$5:$C$1000, A63, 'Detalle individual'!$F$5:$F$1000, "Completado"))</f>
        <v/>
      </c>
      <c r="E63" s="8" t="str">
        <f>IF($A63="","",C63-D63)</f>
        <v/>
      </c>
      <c r="F63" s="26" t="str">
        <f>IF($A63="","",IF(C63&gt;0, D63/C63, 0))</f>
        <v/>
      </c>
      <c r="G63" s="4" t="str">
        <f>IF($A63="","",IF(AND(C63&gt;0, D63=C63), "Completo", "Pendiente"))</f>
        <v/>
      </c>
      <c r="H63" s="7" t="str">
        <f>IF($A63="","",IF(D63&gt;0, IFERROR(AVERAGEIFS('Detalle individual'!$J$5:$J$1000, 'Detalle individual'!$C$5:$C$1000, A63), ""), ""))</f>
        <v/>
      </c>
      <c r="I63" s="6" t="str">
        <f>IF($A63="","",IF(D63&gt;0, IFERROR(_xlfn.MAXIFS('Detalle individual'!$J$5:$J$1000, 'Detalle individual'!$C$5:$C$1000, A63), ""), ""))</f>
        <v/>
      </c>
      <c r="J63" s="6" t="str">
        <f>IF($A63="","",IF(D63&gt;0, IFERROR(_xlfn.MINIFS('Detalle individual'!$J$5:$J$1000, 'Detalle individual'!$C$5:$C$1000, A63), ""), ""))</f>
        <v/>
      </c>
      <c r="K63" s="11" t="str">
        <f>IF($A63="","",IF(D63&gt;0, IFERROR(_xlfn.MINIFS('Detalle individual'!$G$5:$G$1000, 'Detalle individual'!$C$5:$C$1000, A63), ""), ""))</f>
        <v/>
      </c>
      <c r="L63" s="11" t="str">
        <f>IF($A63="","",IF(D63&gt;0, IFERROR(_xlfn.MAXIFS('Detalle individual'!$H$5:$H$1000, 'Detalle individual'!$C$5:$C$1000, A63), ""), ""))</f>
        <v/>
      </c>
      <c r="M63" s="7" t="str">
        <f>IF($A63="","",IF(D63&gt;0, IFERROR(_xlfn.MINIFS('Detalle individual'!$I$5:$I$1000, 'Detalle individual'!$C$5:$C$1000, A63), ""), ""))</f>
        <v/>
      </c>
      <c r="N63" s="7" t="str">
        <f>IF($A63="","",IF(D63&gt;0, IFERROR(AVERAGEIFS('Detalle individual'!$I$5:$I$1000, 'Detalle individual'!$C$5:$C$1000, A63), ""), ""))</f>
        <v/>
      </c>
      <c r="O63" s="22" t="str">
        <f>IF($A63="","",COUNTIF('Detalle individual'!$C$5:$C$1000, A63)-C63)</f>
        <v/>
      </c>
    </row>
    <row r="64">
      <c r="A64" s="5" t="str">
        <f>IF(Cálculos!$AE64="","",INDEX('Detalle individual'!$C:$C,Cálculos!$AE64))</f>
        <v/>
      </c>
      <c r="B64" s="5" t="str">
        <f>IF($A64="","",INDEX('Detalle individual'!$D:$D,Cálculos!$AE64))</f>
        <v/>
      </c>
      <c r="C64" s="8" t="str">
        <f>IF($A64="","",COUNTIFS('Detalle individual'!$C$5:$C$1000, A64, 'Detalle individual'!$F$5:$F$1000, "Completado")+COUNTIFS('Detalle individual'!$C$5:$C$1000, A64, 'Detalle individual'!$F$5:$F$1000, "Pendiente"))</f>
        <v/>
      </c>
      <c r="D64" s="8" t="str">
        <f>IF($A64="","",COUNTIFS('Detalle individual'!$C$5:$C$1000, A64, 'Detalle individual'!$F$5:$F$1000, "Completado"))</f>
        <v/>
      </c>
      <c r="E64" s="8" t="str">
        <f>IF($A64="","",C64-D64)</f>
        <v/>
      </c>
      <c r="F64" s="26" t="str">
        <f>IF($A64="","",IF(C64&gt;0, D64/C64, 0))</f>
        <v/>
      </c>
      <c r="G64" s="4" t="str">
        <f>IF($A64="","",IF(AND(C64&gt;0, D64=C64), "Completo", "Pendiente"))</f>
        <v/>
      </c>
      <c r="H64" s="7" t="str">
        <f>IF($A64="","",IF(D64&gt;0, IFERROR(AVERAGEIFS('Detalle individual'!$J$5:$J$1000, 'Detalle individual'!$C$5:$C$1000, A64), ""), ""))</f>
        <v/>
      </c>
      <c r="I64" s="6" t="str">
        <f>IF($A64="","",IF(D64&gt;0, IFERROR(_xlfn.MAXIFS('Detalle individual'!$J$5:$J$1000, 'Detalle individual'!$C$5:$C$1000, A64), ""), ""))</f>
        <v/>
      </c>
      <c r="J64" s="6" t="str">
        <f>IF($A64="","",IF(D64&gt;0, IFERROR(_xlfn.MINIFS('Detalle individual'!$J$5:$J$1000, 'Detalle individual'!$C$5:$C$1000, A64), ""), ""))</f>
        <v/>
      </c>
      <c r="K64" s="11" t="str">
        <f>IF($A64="","",IF(D64&gt;0, IFERROR(_xlfn.MINIFS('Detalle individual'!$G$5:$G$1000, 'Detalle individual'!$C$5:$C$1000, A64), ""), ""))</f>
        <v/>
      </c>
      <c r="L64" s="11" t="str">
        <f>IF($A64="","",IF(D64&gt;0, IFERROR(_xlfn.MAXIFS('Detalle individual'!$H$5:$H$1000, 'Detalle individual'!$C$5:$C$1000, A64), ""), ""))</f>
        <v/>
      </c>
      <c r="M64" s="7" t="str">
        <f>IF($A64="","",IF(D64&gt;0, IFERROR(_xlfn.MINIFS('Detalle individual'!$I$5:$I$1000, 'Detalle individual'!$C$5:$C$1000, A64), ""), ""))</f>
        <v/>
      </c>
      <c r="N64" s="7" t="str">
        <f>IF($A64="","",IF(D64&gt;0, IFERROR(AVERAGEIFS('Detalle individual'!$I$5:$I$1000, 'Detalle individual'!$C$5:$C$1000, A64), ""), ""))</f>
        <v/>
      </c>
      <c r="O64" s="22" t="str">
        <f>IF($A64="","",COUNTIF('Detalle individual'!$C$5:$C$1000, A64)-C64)</f>
        <v/>
      </c>
    </row>
    <row r="65">
      <c r="A65" s="5" t="str">
        <f>IF(Cálculos!$AE65="","",INDEX('Detalle individual'!$C:$C,Cálculos!$AE65))</f>
        <v/>
      </c>
      <c r="B65" s="5" t="str">
        <f>IF($A65="","",INDEX('Detalle individual'!$D:$D,Cálculos!$AE65))</f>
        <v/>
      </c>
      <c r="C65" s="8" t="str">
        <f>IF($A65="","",COUNTIFS('Detalle individual'!$C$5:$C$1000, A65, 'Detalle individual'!$F$5:$F$1000, "Completado")+COUNTIFS('Detalle individual'!$C$5:$C$1000, A65, 'Detalle individual'!$F$5:$F$1000, "Pendiente"))</f>
        <v/>
      </c>
      <c r="D65" s="8" t="str">
        <f>IF($A65="","",COUNTIFS('Detalle individual'!$C$5:$C$1000, A65, 'Detalle individual'!$F$5:$F$1000, "Completado"))</f>
        <v/>
      </c>
      <c r="E65" s="8" t="str">
        <f>IF($A65="","",C65-D65)</f>
        <v/>
      </c>
      <c r="F65" s="26" t="str">
        <f>IF($A65="","",IF(C65&gt;0, D65/C65, 0))</f>
        <v/>
      </c>
      <c r="G65" s="4" t="str">
        <f>IF($A65="","",IF(AND(C65&gt;0, D65=C65), "Completo", "Pendiente"))</f>
        <v/>
      </c>
      <c r="H65" s="7" t="str">
        <f>IF($A65="","",IF(D65&gt;0, IFERROR(AVERAGEIFS('Detalle individual'!$J$5:$J$1000, 'Detalle individual'!$C$5:$C$1000, A65), ""), ""))</f>
        <v/>
      </c>
      <c r="I65" s="6" t="str">
        <f>IF($A65="","",IF(D65&gt;0, IFERROR(_xlfn.MAXIFS('Detalle individual'!$J$5:$J$1000, 'Detalle individual'!$C$5:$C$1000, A65), ""), ""))</f>
        <v/>
      </c>
      <c r="J65" s="6" t="str">
        <f>IF($A65="","",IF(D65&gt;0, IFERROR(_xlfn.MINIFS('Detalle individual'!$J$5:$J$1000, 'Detalle individual'!$C$5:$C$1000, A65), ""), ""))</f>
        <v/>
      </c>
      <c r="K65" s="11" t="str">
        <f>IF($A65="","",IF(D65&gt;0, IFERROR(_xlfn.MINIFS('Detalle individual'!$G$5:$G$1000, 'Detalle individual'!$C$5:$C$1000, A65), ""), ""))</f>
        <v/>
      </c>
      <c r="L65" s="11" t="str">
        <f>IF($A65="","",IF(D65&gt;0, IFERROR(_xlfn.MAXIFS('Detalle individual'!$H$5:$H$1000, 'Detalle individual'!$C$5:$C$1000, A65), ""), ""))</f>
        <v/>
      </c>
      <c r="M65" s="7" t="str">
        <f>IF($A65="","",IF(D65&gt;0, IFERROR(_xlfn.MINIFS('Detalle individual'!$I$5:$I$1000, 'Detalle individual'!$C$5:$C$1000, A65), ""), ""))</f>
        <v/>
      </c>
      <c r="N65" s="7" t="str">
        <f>IF($A65="","",IF(D65&gt;0, IFERROR(AVERAGEIFS('Detalle individual'!$I$5:$I$1000, 'Detalle individual'!$C$5:$C$1000, A65), ""), ""))</f>
        <v/>
      </c>
      <c r="O65" s="22" t="str">
        <f>IF($A65="","",COUNTIF('Detalle individual'!$C$5:$C$1000, A65)-C65)</f>
        <v/>
      </c>
    </row>
    <row r="66">
      <c r="A66" s="5" t="str">
        <f>IF(Cálculos!$AE66="","",INDEX('Detalle individual'!$C:$C,Cálculos!$AE66))</f>
        <v/>
      </c>
      <c r="B66" s="5" t="str">
        <f>IF($A66="","",INDEX('Detalle individual'!$D:$D,Cálculos!$AE66))</f>
        <v/>
      </c>
      <c r="C66" s="8" t="str">
        <f>IF($A66="","",COUNTIFS('Detalle individual'!$C$5:$C$1000, A66, 'Detalle individual'!$F$5:$F$1000, "Completado")+COUNTIFS('Detalle individual'!$C$5:$C$1000, A66, 'Detalle individual'!$F$5:$F$1000, "Pendiente"))</f>
        <v/>
      </c>
      <c r="D66" s="8" t="str">
        <f>IF($A66="","",COUNTIFS('Detalle individual'!$C$5:$C$1000, A66, 'Detalle individual'!$F$5:$F$1000, "Completado"))</f>
        <v/>
      </c>
      <c r="E66" s="8" t="str">
        <f>IF($A66="","",C66-D66)</f>
        <v/>
      </c>
      <c r="F66" s="26" t="str">
        <f>IF($A66="","",IF(C66&gt;0, D66/C66, 0))</f>
        <v/>
      </c>
      <c r="G66" s="4" t="str">
        <f>IF($A66="","",IF(AND(C66&gt;0, D66=C66), "Completo", "Pendiente"))</f>
        <v/>
      </c>
      <c r="H66" s="7" t="str">
        <f>IF($A66="","",IF(D66&gt;0, IFERROR(AVERAGEIFS('Detalle individual'!$J$5:$J$1000, 'Detalle individual'!$C$5:$C$1000, A66), ""), ""))</f>
        <v/>
      </c>
      <c r="I66" s="6" t="str">
        <f>IF($A66="","",IF(D66&gt;0, IFERROR(_xlfn.MAXIFS('Detalle individual'!$J$5:$J$1000, 'Detalle individual'!$C$5:$C$1000, A66), ""), ""))</f>
        <v/>
      </c>
      <c r="J66" s="6" t="str">
        <f>IF($A66="","",IF(D66&gt;0, IFERROR(_xlfn.MINIFS('Detalle individual'!$J$5:$J$1000, 'Detalle individual'!$C$5:$C$1000, A66), ""), ""))</f>
        <v/>
      </c>
      <c r="K66" s="11" t="str">
        <f>IF($A66="","",IF(D66&gt;0, IFERROR(_xlfn.MINIFS('Detalle individual'!$G$5:$G$1000, 'Detalle individual'!$C$5:$C$1000, A66), ""), ""))</f>
        <v/>
      </c>
      <c r="L66" s="11" t="str">
        <f>IF($A66="","",IF(D66&gt;0, IFERROR(_xlfn.MAXIFS('Detalle individual'!$H$5:$H$1000, 'Detalle individual'!$C$5:$C$1000, A66), ""), ""))</f>
        <v/>
      </c>
      <c r="M66" s="7" t="str">
        <f>IF($A66="","",IF(D66&gt;0, IFERROR(_xlfn.MINIFS('Detalle individual'!$I$5:$I$1000, 'Detalle individual'!$C$5:$C$1000, A66), ""), ""))</f>
        <v/>
      </c>
      <c r="N66" s="7" t="str">
        <f>IF($A66="","",IF(D66&gt;0, IFERROR(AVERAGEIFS('Detalle individual'!$I$5:$I$1000, 'Detalle individual'!$C$5:$C$1000, A66), ""), ""))</f>
        <v/>
      </c>
      <c r="O66" s="22" t="str">
        <f>IF($A66="","",COUNTIF('Detalle individual'!$C$5:$C$1000, A66)-C66)</f>
        <v/>
      </c>
    </row>
    <row r="67">
      <c r="A67" s="5" t="str">
        <f>IF(Cálculos!$AE67="","",INDEX('Detalle individual'!$C:$C,Cálculos!$AE67))</f>
        <v/>
      </c>
      <c r="B67" s="5" t="str">
        <f>IF($A67="","",INDEX('Detalle individual'!$D:$D,Cálculos!$AE67))</f>
        <v/>
      </c>
      <c r="C67" s="8" t="str">
        <f>IF($A67="","",COUNTIFS('Detalle individual'!$C$5:$C$1000, A67, 'Detalle individual'!$F$5:$F$1000, "Completado")+COUNTIFS('Detalle individual'!$C$5:$C$1000, A67, 'Detalle individual'!$F$5:$F$1000, "Pendiente"))</f>
        <v/>
      </c>
      <c r="D67" s="8" t="str">
        <f>IF($A67="","",COUNTIFS('Detalle individual'!$C$5:$C$1000, A67, 'Detalle individual'!$F$5:$F$1000, "Completado"))</f>
        <v/>
      </c>
      <c r="E67" s="8" t="str">
        <f>IF($A67="","",C67-D67)</f>
        <v/>
      </c>
      <c r="F67" s="26" t="str">
        <f>IF($A67="","",IF(C67&gt;0, D67/C67, 0))</f>
        <v/>
      </c>
      <c r="G67" s="4" t="str">
        <f>IF($A67="","",IF(AND(C67&gt;0, D67=C67), "Completo", "Pendiente"))</f>
        <v/>
      </c>
      <c r="H67" s="7" t="str">
        <f>IF($A67="","",IF(D67&gt;0, IFERROR(AVERAGEIFS('Detalle individual'!$J$5:$J$1000, 'Detalle individual'!$C$5:$C$1000, A67), ""), ""))</f>
        <v/>
      </c>
      <c r="I67" s="6" t="str">
        <f>IF($A67="","",IF(D67&gt;0, IFERROR(_xlfn.MAXIFS('Detalle individual'!$J$5:$J$1000, 'Detalle individual'!$C$5:$C$1000, A67), ""), ""))</f>
        <v/>
      </c>
      <c r="J67" s="6" t="str">
        <f>IF($A67="","",IF(D67&gt;0, IFERROR(_xlfn.MINIFS('Detalle individual'!$J$5:$J$1000, 'Detalle individual'!$C$5:$C$1000, A67), ""), ""))</f>
        <v/>
      </c>
      <c r="K67" s="11" t="str">
        <f>IF($A67="","",IF(D67&gt;0, IFERROR(_xlfn.MINIFS('Detalle individual'!$G$5:$G$1000, 'Detalle individual'!$C$5:$C$1000, A67), ""), ""))</f>
        <v/>
      </c>
      <c r="L67" s="11" t="str">
        <f>IF($A67="","",IF(D67&gt;0, IFERROR(_xlfn.MAXIFS('Detalle individual'!$H$5:$H$1000, 'Detalle individual'!$C$5:$C$1000, A67), ""), ""))</f>
        <v/>
      </c>
      <c r="M67" s="7" t="str">
        <f>IF($A67="","",IF(D67&gt;0, IFERROR(_xlfn.MINIFS('Detalle individual'!$I$5:$I$1000, 'Detalle individual'!$C$5:$C$1000, A67), ""), ""))</f>
        <v/>
      </c>
      <c r="N67" s="7" t="str">
        <f>IF($A67="","",IF(D67&gt;0, IFERROR(AVERAGEIFS('Detalle individual'!$I$5:$I$1000, 'Detalle individual'!$C$5:$C$1000, A67), ""), ""))</f>
        <v/>
      </c>
      <c r="O67" s="22" t="str">
        <f>IF($A67="","",COUNTIF('Detalle individual'!$C$5:$C$1000, A67)-C67)</f>
        <v/>
      </c>
    </row>
    <row r="68">
      <c r="A68" s="5" t="str">
        <f>IF(Cálculos!$AE68="","",INDEX('Detalle individual'!$C:$C,Cálculos!$AE68))</f>
        <v/>
      </c>
      <c r="B68" s="5" t="str">
        <f>IF($A68="","",INDEX('Detalle individual'!$D:$D,Cálculos!$AE68))</f>
        <v/>
      </c>
      <c r="C68" s="8" t="str">
        <f>IF($A68="","",COUNTIFS('Detalle individual'!$C$5:$C$1000, A68, 'Detalle individual'!$F$5:$F$1000, "Completado")+COUNTIFS('Detalle individual'!$C$5:$C$1000, A68, 'Detalle individual'!$F$5:$F$1000, "Pendiente"))</f>
        <v/>
      </c>
      <c r="D68" s="8" t="str">
        <f>IF($A68="","",COUNTIFS('Detalle individual'!$C$5:$C$1000, A68, 'Detalle individual'!$F$5:$F$1000, "Completado"))</f>
        <v/>
      </c>
      <c r="E68" s="8" t="str">
        <f>IF($A68="","",C68-D68)</f>
        <v/>
      </c>
      <c r="F68" s="26" t="str">
        <f>IF($A68="","",IF(C68&gt;0, D68/C68, 0))</f>
        <v/>
      </c>
      <c r="G68" s="4" t="str">
        <f>IF($A68="","",IF(AND(C68&gt;0, D68=C68), "Completo", "Pendiente"))</f>
        <v/>
      </c>
      <c r="H68" s="7" t="str">
        <f>IF($A68="","",IF(D68&gt;0, IFERROR(AVERAGEIFS('Detalle individual'!$J$5:$J$1000, 'Detalle individual'!$C$5:$C$1000, A68), ""), ""))</f>
        <v/>
      </c>
      <c r="I68" s="6" t="str">
        <f>IF($A68="","",IF(D68&gt;0, IFERROR(_xlfn.MAXIFS('Detalle individual'!$J$5:$J$1000, 'Detalle individual'!$C$5:$C$1000, A68), ""), ""))</f>
        <v/>
      </c>
      <c r="J68" s="6" t="str">
        <f>IF($A68="","",IF(D68&gt;0, IFERROR(_xlfn.MINIFS('Detalle individual'!$J$5:$J$1000, 'Detalle individual'!$C$5:$C$1000, A68), ""), ""))</f>
        <v/>
      </c>
      <c r="K68" s="11" t="str">
        <f>IF($A68="","",IF(D68&gt;0, IFERROR(_xlfn.MINIFS('Detalle individual'!$G$5:$G$1000, 'Detalle individual'!$C$5:$C$1000, A68), ""), ""))</f>
        <v/>
      </c>
      <c r="L68" s="11" t="str">
        <f>IF($A68="","",IF(D68&gt;0, IFERROR(_xlfn.MAXIFS('Detalle individual'!$H$5:$H$1000, 'Detalle individual'!$C$5:$C$1000, A68), ""), ""))</f>
        <v/>
      </c>
      <c r="M68" s="7" t="str">
        <f>IF($A68="","",IF(D68&gt;0, IFERROR(_xlfn.MINIFS('Detalle individual'!$I$5:$I$1000, 'Detalle individual'!$C$5:$C$1000, A68), ""), ""))</f>
        <v/>
      </c>
      <c r="N68" s="7" t="str">
        <f>IF($A68="","",IF(D68&gt;0, IFERROR(AVERAGEIFS('Detalle individual'!$I$5:$I$1000, 'Detalle individual'!$C$5:$C$1000, A68), ""), ""))</f>
        <v/>
      </c>
      <c r="O68" s="22" t="str">
        <f>IF($A68="","",COUNTIF('Detalle individual'!$C$5:$C$1000, A68)-C68)</f>
        <v/>
      </c>
    </row>
    <row r="69">
      <c r="A69" s="5" t="str">
        <f>IF(Cálculos!$AE69="","",INDEX('Detalle individual'!$C:$C,Cálculos!$AE69))</f>
        <v/>
      </c>
      <c r="B69" s="5" t="str">
        <f>IF($A69="","",INDEX('Detalle individual'!$D:$D,Cálculos!$AE69))</f>
        <v/>
      </c>
      <c r="C69" s="8" t="str">
        <f>IF($A69="","",COUNTIFS('Detalle individual'!$C$5:$C$1000, A69, 'Detalle individual'!$F$5:$F$1000, "Completado")+COUNTIFS('Detalle individual'!$C$5:$C$1000, A69, 'Detalle individual'!$F$5:$F$1000, "Pendiente"))</f>
        <v/>
      </c>
      <c r="D69" s="8" t="str">
        <f>IF($A69="","",COUNTIFS('Detalle individual'!$C$5:$C$1000, A69, 'Detalle individual'!$F$5:$F$1000, "Completado"))</f>
        <v/>
      </c>
      <c r="E69" s="8" t="str">
        <f>IF($A69="","",C69-D69)</f>
        <v/>
      </c>
      <c r="F69" s="26" t="str">
        <f>IF($A69="","",IF(C69&gt;0, D69/C69, 0))</f>
        <v/>
      </c>
      <c r="G69" s="4" t="str">
        <f>IF($A69="","",IF(AND(C69&gt;0, D69=C69), "Completo", "Pendiente"))</f>
        <v/>
      </c>
      <c r="H69" s="7" t="str">
        <f>IF($A69="","",IF(D69&gt;0, IFERROR(AVERAGEIFS('Detalle individual'!$J$5:$J$1000, 'Detalle individual'!$C$5:$C$1000, A69), ""), ""))</f>
        <v/>
      </c>
      <c r="I69" s="6" t="str">
        <f>IF($A69="","",IF(D69&gt;0, IFERROR(_xlfn.MAXIFS('Detalle individual'!$J$5:$J$1000, 'Detalle individual'!$C$5:$C$1000, A69), ""), ""))</f>
        <v/>
      </c>
      <c r="J69" s="6" t="str">
        <f>IF($A69="","",IF(D69&gt;0, IFERROR(_xlfn.MINIFS('Detalle individual'!$J$5:$J$1000, 'Detalle individual'!$C$5:$C$1000, A69), ""), ""))</f>
        <v/>
      </c>
      <c r="K69" s="11" t="str">
        <f>IF($A69="","",IF(D69&gt;0, IFERROR(_xlfn.MINIFS('Detalle individual'!$G$5:$G$1000, 'Detalle individual'!$C$5:$C$1000, A69), ""), ""))</f>
        <v/>
      </c>
      <c r="L69" s="11" t="str">
        <f>IF($A69="","",IF(D69&gt;0, IFERROR(_xlfn.MAXIFS('Detalle individual'!$H$5:$H$1000, 'Detalle individual'!$C$5:$C$1000, A69), ""), ""))</f>
        <v/>
      </c>
      <c r="M69" s="7" t="str">
        <f>IF($A69="","",IF(D69&gt;0, IFERROR(_xlfn.MINIFS('Detalle individual'!$I$5:$I$1000, 'Detalle individual'!$C$5:$C$1000, A69), ""), ""))</f>
        <v/>
      </c>
      <c r="N69" s="7" t="str">
        <f>IF($A69="","",IF(D69&gt;0, IFERROR(AVERAGEIFS('Detalle individual'!$I$5:$I$1000, 'Detalle individual'!$C$5:$C$1000, A69), ""), ""))</f>
        <v/>
      </c>
      <c r="O69" s="22" t="str">
        <f>IF($A69="","",COUNTIF('Detalle individual'!$C$5:$C$1000, A69)-C69)</f>
        <v/>
      </c>
    </row>
    <row r="70">
      <c r="A70" s="5" t="str">
        <f>IF(Cálculos!$AE70="","",INDEX('Detalle individual'!$C:$C,Cálculos!$AE70))</f>
        <v/>
      </c>
      <c r="B70" s="5" t="str">
        <f>IF($A70="","",INDEX('Detalle individual'!$D:$D,Cálculos!$AE70))</f>
        <v/>
      </c>
      <c r="C70" s="8" t="str">
        <f>IF($A70="","",COUNTIFS('Detalle individual'!$C$5:$C$1000, A70, 'Detalle individual'!$F$5:$F$1000, "Completado")+COUNTIFS('Detalle individual'!$C$5:$C$1000, A70, 'Detalle individual'!$F$5:$F$1000, "Pendiente"))</f>
        <v/>
      </c>
      <c r="D70" s="8" t="str">
        <f>IF($A70="","",COUNTIFS('Detalle individual'!$C$5:$C$1000, A70, 'Detalle individual'!$F$5:$F$1000, "Completado"))</f>
        <v/>
      </c>
      <c r="E70" s="8" t="str">
        <f>IF($A70="","",C70-D70)</f>
        <v/>
      </c>
      <c r="F70" s="26" t="str">
        <f>IF($A70="","",IF(C70&gt;0, D70/C70, 0))</f>
        <v/>
      </c>
      <c r="G70" s="4" t="str">
        <f>IF($A70="","",IF(AND(C70&gt;0, D70=C70), "Completo", "Pendiente"))</f>
        <v/>
      </c>
      <c r="H70" s="7" t="str">
        <f>IF($A70="","",IF(D70&gt;0, IFERROR(AVERAGEIFS('Detalle individual'!$J$5:$J$1000, 'Detalle individual'!$C$5:$C$1000, A70), ""), ""))</f>
        <v/>
      </c>
      <c r="I70" s="6" t="str">
        <f>IF($A70="","",IF(D70&gt;0, IFERROR(_xlfn.MAXIFS('Detalle individual'!$J$5:$J$1000, 'Detalle individual'!$C$5:$C$1000, A70), ""), ""))</f>
        <v/>
      </c>
      <c r="J70" s="6" t="str">
        <f>IF($A70="","",IF(D70&gt;0, IFERROR(_xlfn.MINIFS('Detalle individual'!$J$5:$J$1000, 'Detalle individual'!$C$5:$C$1000, A70), ""), ""))</f>
        <v/>
      </c>
      <c r="K70" s="11" t="str">
        <f>IF($A70="","",IF(D70&gt;0, IFERROR(_xlfn.MINIFS('Detalle individual'!$G$5:$G$1000, 'Detalle individual'!$C$5:$C$1000, A70), ""), ""))</f>
        <v/>
      </c>
      <c r="L70" s="11" t="str">
        <f>IF($A70="","",IF(D70&gt;0, IFERROR(_xlfn.MAXIFS('Detalle individual'!$H$5:$H$1000, 'Detalle individual'!$C$5:$C$1000, A70), ""), ""))</f>
        <v/>
      </c>
      <c r="M70" s="7" t="str">
        <f>IF($A70="","",IF(D70&gt;0, IFERROR(_xlfn.MINIFS('Detalle individual'!$I$5:$I$1000, 'Detalle individual'!$C$5:$C$1000, A70), ""), ""))</f>
        <v/>
      </c>
      <c r="N70" s="7" t="str">
        <f>IF($A70="","",IF(D70&gt;0, IFERROR(AVERAGEIFS('Detalle individual'!$I$5:$I$1000, 'Detalle individual'!$C$5:$C$1000, A70), ""), ""))</f>
        <v/>
      </c>
      <c r="O70" s="22" t="str">
        <f>IF($A70="","",COUNTIF('Detalle individual'!$C$5:$C$1000, A70)-C70)</f>
        <v/>
      </c>
    </row>
    <row r="71">
      <c r="A71" s="5" t="str">
        <f>IF(Cálculos!$AE71="","",INDEX('Detalle individual'!$C:$C,Cálculos!$AE71))</f>
        <v/>
      </c>
      <c r="B71" s="5" t="str">
        <f>IF($A71="","",INDEX('Detalle individual'!$D:$D,Cálculos!$AE71))</f>
        <v/>
      </c>
      <c r="C71" s="8" t="str">
        <f>IF($A71="","",COUNTIFS('Detalle individual'!$C$5:$C$1000, A71, 'Detalle individual'!$F$5:$F$1000, "Completado")+COUNTIFS('Detalle individual'!$C$5:$C$1000, A71, 'Detalle individual'!$F$5:$F$1000, "Pendiente"))</f>
        <v/>
      </c>
      <c r="D71" s="8" t="str">
        <f>IF($A71="","",COUNTIFS('Detalle individual'!$C$5:$C$1000, A71, 'Detalle individual'!$F$5:$F$1000, "Completado"))</f>
        <v/>
      </c>
      <c r="E71" s="8" t="str">
        <f>IF($A71="","",C71-D71)</f>
        <v/>
      </c>
      <c r="F71" s="26" t="str">
        <f>IF($A71="","",IF(C71&gt;0, D71/C71, 0))</f>
        <v/>
      </c>
      <c r="G71" s="4" t="str">
        <f>IF($A71="","",IF(AND(C71&gt;0, D71=C71), "Completo", "Pendiente"))</f>
        <v/>
      </c>
      <c r="H71" s="7" t="str">
        <f>IF($A71="","",IF(D71&gt;0, IFERROR(AVERAGEIFS('Detalle individual'!$J$5:$J$1000, 'Detalle individual'!$C$5:$C$1000, A71), ""), ""))</f>
        <v/>
      </c>
      <c r="I71" s="6" t="str">
        <f>IF($A71="","",IF(D71&gt;0, IFERROR(_xlfn.MAXIFS('Detalle individual'!$J$5:$J$1000, 'Detalle individual'!$C$5:$C$1000, A71), ""), ""))</f>
        <v/>
      </c>
      <c r="J71" s="6" t="str">
        <f>IF($A71="","",IF(D71&gt;0, IFERROR(_xlfn.MINIFS('Detalle individual'!$J$5:$J$1000, 'Detalle individual'!$C$5:$C$1000, A71), ""), ""))</f>
        <v/>
      </c>
      <c r="K71" s="11" t="str">
        <f>IF($A71="","",IF(D71&gt;0, IFERROR(_xlfn.MINIFS('Detalle individual'!$G$5:$G$1000, 'Detalle individual'!$C$5:$C$1000, A71), ""), ""))</f>
        <v/>
      </c>
      <c r="L71" s="11" t="str">
        <f>IF($A71="","",IF(D71&gt;0, IFERROR(_xlfn.MAXIFS('Detalle individual'!$H$5:$H$1000, 'Detalle individual'!$C$5:$C$1000, A71), ""), ""))</f>
        <v/>
      </c>
      <c r="M71" s="7" t="str">
        <f>IF($A71="","",IF(D71&gt;0, IFERROR(_xlfn.MINIFS('Detalle individual'!$I$5:$I$1000, 'Detalle individual'!$C$5:$C$1000, A71), ""), ""))</f>
        <v/>
      </c>
      <c r="N71" s="7" t="str">
        <f>IF($A71="","",IF(D71&gt;0, IFERROR(AVERAGEIFS('Detalle individual'!$I$5:$I$1000, 'Detalle individual'!$C$5:$C$1000, A71), ""), ""))</f>
        <v/>
      </c>
      <c r="O71" s="22" t="str">
        <f>IF($A71="","",COUNTIF('Detalle individual'!$C$5:$C$1000, A71)-C71)</f>
        <v/>
      </c>
    </row>
    <row r="72">
      <c r="A72" s="5" t="str">
        <f>IF(Cálculos!$AE72="","",INDEX('Detalle individual'!$C:$C,Cálculos!$AE72))</f>
        <v/>
      </c>
      <c r="B72" s="5" t="str">
        <f>IF($A72="","",INDEX('Detalle individual'!$D:$D,Cálculos!$AE72))</f>
        <v/>
      </c>
      <c r="C72" s="8" t="str">
        <f>IF($A72="","",COUNTIFS('Detalle individual'!$C$5:$C$1000, A72, 'Detalle individual'!$F$5:$F$1000, "Completado")+COUNTIFS('Detalle individual'!$C$5:$C$1000, A72, 'Detalle individual'!$F$5:$F$1000, "Pendiente"))</f>
        <v/>
      </c>
      <c r="D72" s="8" t="str">
        <f>IF($A72="","",COUNTIFS('Detalle individual'!$C$5:$C$1000, A72, 'Detalle individual'!$F$5:$F$1000, "Completado"))</f>
        <v/>
      </c>
      <c r="E72" s="8" t="str">
        <f>IF($A72="","",C72-D72)</f>
        <v/>
      </c>
      <c r="F72" s="26" t="str">
        <f>IF($A72="","",IF(C72&gt;0, D72/C72, 0))</f>
        <v/>
      </c>
      <c r="G72" s="4" t="str">
        <f>IF($A72="","",IF(AND(C72&gt;0, D72=C72), "Completo", "Pendiente"))</f>
        <v/>
      </c>
      <c r="H72" s="7" t="str">
        <f>IF($A72="","",IF(D72&gt;0, IFERROR(AVERAGEIFS('Detalle individual'!$J$5:$J$1000, 'Detalle individual'!$C$5:$C$1000, A72), ""), ""))</f>
        <v/>
      </c>
      <c r="I72" s="6" t="str">
        <f>IF($A72="","",IF(D72&gt;0, IFERROR(_xlfn.MAXIFS('Detalle individual'!$J$5:$J$1000, 'Detalle individual'!$C$5:$C$1000, A72), ""), ""))</f>
        <v/>
      </c>
      <c r="J72" s="6" t="str">
        <f>IF($A72="","",IF(D72&gt;0, IFERROR(_xlfn.MINIFS('Detalle individual'!$J$5:$J$1000, 'Detalle individual'!$C$5:$C$1000, A72), ""), ""))</f>
        <v/>
      </c>
      <c r="K72" s="11" t="str">
        <f>IF($A72="","",IF(D72&gt;0, IFERROR(_xlfn.MINIFS('Detalle individual'!$G$5:$G$1000, 'Detalle individual'!$C$5:$C$1000, A72), ""), ""))</f>
        <v/>
      </c>
      <c r="L72" s="11" t="str">
        <f>IF($A72="","",IF(D72&gt;0, IFERROR(_xlfn.MAXIFS('Detalle individual'!$H$5:$H$1000, 'Detalle individual'!$C$5:$C$1000, A72), ""), ""))</f>
        <v/>
      </c>
      <c r="M72" s="7" t="str">
        <f>IF($A72="","",IF(D72&gt;0, IFERROR(_xlfn.MINIFS('Detalle individual'!$I$5:$I$1000, 'Detalle individual'!$C$5:$C$1000, A72), ""), ""))</f>
        <v/>
      </c>
      <c r="N72" s="7" t="str">
        <f>IF($A72="","",IF(D72&gt;0, IFERROR(AVERAGEIFS('Detalle individual'!$I$5:$I$1000, 'Detalle individual'!$C$5:$C$1000, A72), ""), ""))</f>
        <v/>
      </c>
      <c r="O72" s="22" t="str">
        <f>IF($A72="","",COUNTIF('Detalle individual'!$C$5:$C$1000, A72)-C72)</f>
        <v/>
      </c>
    </row>
    <row r="73">
      <c r="A73" s="5" t="str">
        <f>IF(Cálculos!$AE73="","",INDEX('Detalle individual'!$C:$C,Cálculos!$AE73))</f>
        <v/>
      </c>
      <c r="B73" s="5" t="str">
        <f>IF($A73="","",INDEX('Detalle individual'!$D:$D,Cálculos!$AE73))</f>
        <v/>
      </c>
      <c r="C73" s="8" t="str">
        <f>IF($A73="","",COUNTIFS('Detalle individual'!$C$5:$C$1000, A73, 'Detalle individual'!$F$5:$F$1000, "Completado")+COUNTIFS('Detalle individual'!$C$5:$C$1000, A73, 'Detalle individual'!$F$5:$F$1000, "Pendiente"))</f>
        <v/>
      </c>
      <c r="D73" s="8" t="str">
        <f>IF($A73="","",COUNTIFS('Detalle individual'!$C$5:$C$1000, A73, 'Detalle individual'!$F$5:$F$1000, "Completado"))</f>
        <v/>
      </c>
      <c r="E73" s="8" t="str">
        <f>IF($A73="","",C73-D73)</f>
        <v/>
      </c>
      <c r="F73" s="26" t="str">
        <f>IF($A73="","",IF(C73&gt;0, D73/C73, 0))</f>
        <v/>
      </c>
      <c r="G73" s="4" t="str">
        <f>IF($A73="","",IF(AND(C73&gt;0, D73=C73), "Completo", "Pendiente"))</f>
        <v/>
      </c>
      <c r="H73" s="7" t="str">
        <f>IF($A73="","",IF(D73&gt;0, IFERROR(AVERAGEIFS('Detalle individual'!$J$5:$J$1000, 'Detalle individual'!$C$5:$C$1000, A73), ""), ""))</f>
        <v/>
      </c>
      <c r="I73" s="6" t="str">
        <f>IF($A73="","",IF(D73&gt;0, IFERROR(_xlfn.MAXIFS('Detalle individual'!$J$5:$J$1000, 'Detalle individual'!$C$5:$C$1000, A73), ""), ""))</f>
        <v/>
      </c>
      <c r="J73" s="6" t="str">
        <f>IF($A73="","",IF(D73&gt;0, IFERROR(_xlfn.MINIFS('Detalle individual'!$J$5:$J$1000, 'Detalle individual'!$C$5:$C$1000, A73), ""), ""))</f>
        <v/>
      </c>
      <c r="K73" s="11" t="str">
        <f>IF($A73="","",IF(D73&gt;0, IFERROR(_xlfn.MINIFS('Detalle individual'!$G$5:$G$1000, 'Detalle individual'!$C$5:$C$1000, A73), ""), ""))</f>
        <v/>
      </c>
      <c r="L73" s="11" t="str">
        <f>IF($A73="","",IF(D73&gt;0, IFERROR(_xlfn.MAXIFS('Detalle individual'!$H$5:$H$1000, 'Detalle individual'!$C$5:$C$1000, A73), ""), ""))</f>
        <v/>
      </c>
      <c r="M73" s="7" t="str">
        <f>IF($A73="","",IF(D73&gt;0, IFERROR(_xlfn.MINIFS('Detalle individual'!$I$5:$I$1000, 'Detalle individual'!$C$5:$C$1000, A73), ""), ""))</f>
        <v/>
      </c>
      <c r="N73" s="7" t="str">
        <f>IF($A73="","",IF(D73&gt;0, IFERROR(AVERAGEIFS('Detalle individual'!$I$5:$I$1000, 'Detalle individual'!$C$5:$C$1000, A73), ""), ""))</f>
        <v/>
      </c>
      <c r="O73" s="22" t="str">
        <f>IF($A73="","",COUNTIF('Detalle individual'!$C$5:$C$1000, A73)-C73)</f>
        <v/>
      </c>
    </row>
    <row r="74">
      <c r="A74" s="5" t="str">
        <f>IF(Cálculos!$AE74="","",INDEX('Detalle individual'!$C:$C,Cálculos!$AE74))</f>
        <v/>
      </c>
      <c r="B74" s="5" t="str">
        <f>IF($A74="","",INDEX('Detalle individual'!$D:$D,Cálculos!$AE74))</f>
        <v/>
      </c>
      <c r="C74" s="8" t="str">
        <f>IF($A74="","",COUNTIFS('Detalle individual'!$C$5:$C$1000, A74, 'Detalle individual'!$F$5:$F$1000, "Completado")+COUNTIFS('Detalle individual'!$C$5:$C$1000, A74, 'Detalle individual'!$F$5:$F$1000, "Pendiente"))</f>
        <v/>
      </c>
      <c r="D74" s="8" t="str">
        <f>IF($A74="","",COUNTIFS('Detalle individual'!$C$5:$C$1000, A74, 'Detalle individual'!$F$5:$F$1000, "Completado"))</f>
        <v/>
      </c>
      <c r="E74" s="8" t="str">
        <f>IF($A74="","",C74-D74)</f>
        <v/>
      </c>
      <c r="F74" s="26" t="str">
        <f>IF($A74="","",IF(C74&gt;0, D74/C74, 0))</f>
        <v/>
      </c>
      <c r="G74" s="4" t="str">
        <f>IF($A74="","",IF(AND(C74&gt;0, D74=C74), "Completo", "Pendiente"))</f>
        <v/>
      </c>
      <c r="H74" s="7" t="str">
        <f>IF($A74="","",IF(D74&gt;0, IFERROR(AVERAGEIFS('Detalle individual'!$J$5:$J$1000, 'Detalle individual'!$C$5:$C$1000, A74), ""), ""))</f>
        <v/>
      </c>
      <c r="I74" s="6" t="str">
        <f>IF($A74="","",IF(D74&gt;0, IFERROR(_xlfn.MAXIFS('Detalle individual'!$J$5:$J$1000, 'Detalle individual'!$C$5:$C$1000, A74), ""), ""))</f>
        <v/>
      </c>
      <c r="J74" s="6" t="str">
        <f>IF($A74="","",IF(D74&gt;0, IFERROR(_xlfn.MINIFS('Detalle individual'!$J$5:$J$1000, 'Detalle individual'!$C$5:$C$1000, A74), ""), ""))</f>
        <v/>
      </c>
      <c r="K74" s="11" t="str">
        <f>IF($A74="","",IF(D74&gt;0, IFERROR(_xlfn.MINIFS('Detalle individual'!$G$5:$G$1000, 'Detalle individual'!$C$5:$C$1000, A74), ""), ""))</f>
        <v/>
      </c>
      <c r="L74" s="11" t="str">
        <f>IF($A74="","",IF(D74&gt;0, IFERROR(_xlfn.MAXIFS('Detalle individual'!$H$5:$H$1000, 'Detalle individual'!$C$5:$C$1000, A74), ""), ""))</f>
        <v/>
      </c>
      <c r="M74" s="7" t="str">
        <f>IF($A74="","",IF(D74&gt;0, IFERROR(_xlfn.MINIFS('Detalle individual'!$I$5:$I$1000, 'Detalle individual'!$C$5:$C$1000, A74), ""), ""))</f>
        <v/>
      </c>
      <c r="N74" s="7" t="str">
        <f>IF($A74="","",IF(D74&gt;0, IFERROR(AVERAGEIFS('Detalle individual'!$I$5:$I$1000, 'Detalle individual'!$C$5:$C$1000, A74), ""), ""))</f>
        <v/>
      </c>
      <c r="O74" s="22" t="str">
        <f>IF($A74="","",COUNTIF('Detalle individual'!$C$5:$C$1000, A74)-C74)</f>
        <v/>
      </c>
    </row>
    <row r="75">
      <c r="A75" s="5" t="str">
        <f>IF(Cálculos!$AE75="","",INDEX('Detalle individual'!$C:$C,Cálculos!$AE75))</f>
        <v/>
      </c>
      <c r="B75" s="5" t="str">
        <f>IF($A75="","",INDEX('Detalle individual'!$D:$D,Cálculos!$AE75))</f>
        <v/>
      </c>
      <c r="C75" s="8" t="str">
        <f>IF($A75="","",COUNTIFS('Detalle individual'!$C$5:$C$1000, A75, 'Detalle individual'!$F$5:$F$1000, "Completado")+COUNTIFS('Detalle individual'!$C$5:$C$1000, A75, 'Detalle individual'!$F$5:$F$1000, "Pendiente"))</f>
        <v/>
      </c>
      <c r="D75" s="8" t="str">
        <f>IF($A75="","",COUNTIFS('Detalle individual'!$C$5:$C$1000, A75, 'Detalle individual'!$F$5:$F$1000, "Completado"))</f>
        <v/>
      </c>
      <c r="E75" s="8" t="str">
        <f>IF($A75="","",C75-D75)</f>
        <v/>
      </c>
      <c r="F75" s="26" t="str">
        <f>IF($A75="","",IF(C75&gt;0, D75/C75, 0))</f>
        <v/>
      </c>
      <c r="G75" s="4" t="str">
        <f>IF($A75="","",IF(AND(C75&gt;0, D75=C75), "Completo", "Pendiente"))</f>
        <v/>
      </c>
      <c r="H75" s="7" t="str">
        <f>IF($A75="","",IF(D75&gt;0, IFERROR(AVERAGEIFS('Detalle individual'!$J$5:$J$1000, 'Detalle individual'!$C$5:$C$1000, A75), ""), ""))</f>
        <v/>
      </c>
      <c r="I75" s="6" t="str">
        <f>IF($A75="","",IF(D75&gt;0, IFERROR(_xlfn.MAXIFS('Detalle individual'!$J$5:$J$1000, 'Detalle individual'!$C$5:$C$1000, A75), ""), ""))</f>
        <v/>
      </c>
      <c r="J75" s="6" t="str">
        <f>IF($A75="","",IF(D75&gt;0, IFERROR(_xlfn.MINIFS('Detalle individual'!$J$5:$J$1000, 'Detalle individual'!$C$5:$C$1000, A75), ""), ""))</f>
        <v/>
      </c>
      <c r="K75" s="11" t="str">
        <f>IF($A75="","",IF(D75&gt;0, IFERROR(_xlfn.MINIFS('Detalle individual'!$G$5:$G$1000, 'Detalle individual'!$C$5:$C$1000, A75), ""), ""))</f>
        <v/>
      </c>
      <c r="L75" s="11" t="str">
        <f>IF($A75="","",IF(D75&gt;0, IFERROR(_xlfn.MAXIFS('Detalle individual'!$H$5:$H$1000, 'Detalle individual'!$C$5:$C$1000, A75), ""), ""))</f>
        <v/>
      </c>
      <c r="M75" s="7" t="str">
        <f>IF($A75="","",IF(D75&gt;0, IFERROR(_xlfn.MINIFS('Detalle individual'!$I$5:$I$1000, 'Detalle individual'!$C$5:$C$1000, A75), ""), ""))</f>
        <v/>
      </c>
      <c r="N75" s="7" t="str">
        <f>IF($A75="","",IF(D75&gt;0, IFERROR(AVERAGEIFS('Detalle individual'!$I$5:$I$1000, 'Detalle individual'!$C$5:$C$1000, A75), ""), ""))</f>
        <v/>
      </c>
      <c r="O75" s="22" t="str">
        <f>IF($A75="","",COUNTIF('Detalle individual'!$C$5:$C$1000, A75)-C75)</f>
        <v/>
      </c>
    </row>
    <row r="76">
      <c r="A76" s="5" t="str">
        <f>IF(Cálculos!$AE76="","",INDEX('Detalle individual'!$C:$C,Cálculos!$AE76))</f>
        <v/>
      </c>
      <c r="B76" s="5" t="str">
        <f>IF($A76="","",INDEX('Detalle individual'!$D:$D,Cálculos!$AE76))</f>
        <v/>
      </c>
      <c r="C76" s="8" t="str">
        <f>IF($A76="","",COUNTIFS('Detalle individual'!$C$5:$C$1000, A76, 'Detalle individual'!$F$5:$F$1000, "Completado")+COUNTIFS('Detalle individual'!$C$5:$C$1000, A76, 'Detalle individual'!$F$5:$F$1000, "Pendiente"))</f>
        <v/>
      </c>
      <c r="D76" s="8" t="str">
        <f>IF($A76="","",COUNTIFS('Detalle individual'!$C$5:$C$1000, A76, 'Detalle individual'!$F$5:$F$1000, "Completado"))</f>
        <v/>
      </c>
      <c r="E76" s="8" t="str">
        <f>IF($A76="","",C76-D76)</f>
        <v/>
      </c>
      <c r="F76" s="26" t="str">
        <f>IF($A76="","",IF(C76&gt;0, D76/C76, 0))</f>
        <v/>
      </c>
      <c r="G76" s="4" t="str">
        <f>IF($A76="","",IF(AND(C76&gt;0, D76=C76), "Completo", "Pendiente"))</f>
        <v/>
      </c>
      <c r="H76" s="7" t="str">
        <f>IF($A76="","",IF(D76&gt;0, IFERROR(AVERAGEIFS('Detalle individual'!$J$5:$J$1000, 'Detalle individual'!$C$5:$C$1000, A76), ""), ""))</f>
        <v/>
      </c>
      <c r="I76" s="6" t="str">
        <f>IF($A76="","",IF(D76&gt;0, IFERROR(_xlfn.MAXIFS('Detalle individual'!$J$5:$J$1000, 'Detalle individual'!$C$5:$C$1000, A76), ""), ""))</f>
        <v/>
      </c>
      <c r="J76" s="6" t="str">
        <f>IF($A76="","",IF(D76&gt;0, IFERROR(_xlfn.MINIFS('Detalle individual'!$J$5:$J$1000, 'Detalle individual'!$C$5:$C$1000, A76), ""), ""))</f>
        <v/>
      </c>
      <c r="K76" s="11" t="str">
        <f>IF($A76="","",IF(D76&gt;0, IFERROR(_xlfn.MINIFS('Detalle individual'!$G$5:$G$1000, 'Detalle individual'!$C$5:$C$1000, A76), ""), ""))</f>
        <v/>
      </c>
      <c r="L76" s="11" t="str">
        <f>IF($A76="","",IF(D76&gt;0, IFERROR(_xlfn.MAXIFS('Detalle individual'!$H$5:$H$1000, 'Detalle individual'!$C$5:$C$1000, A76), ""), ""))</f>
        <v/>
      </c>
      <c r="M76" s="7" t="str">
        <f>IF($A76="","",IF(D76&gt;0, IFERROR(_xlfn.MINIFS('Detalle individual'!$I$5:$I$1000, 'Detalle individual'!$C$5:$C$1000, A76), ""), ""))</f>
        <v/>
      </c>
      <c r="N76" s="7" t="str">
        <f>IF($A76="","",IF(D76&gt;0, IFERROR(AVERAGEIFS('Detalle individual'!$I$5:$I$1000, 'Detalle individual'!$C$5:$C$1000, A76), ""), ""))</f>
        <v/>
      </c>
      <c r="O76" s="22" t="str">
        <f>IF($A76="","",COUNTIF('Detalle individual'!$C$5:$C$1000, A76)-C76)</f>
        <v/>
      </c>
    </row>
    <row r="77">
      <c r="A77" s="5" t="str">
        <f>IF(Cálculos!$AE77="","",INDEX('Detalle individual'!$C:$C,Cálculos!$AE77))</f>
        <v/>
      </c>
      <c r="B77" s="5" t="str">
        <f>IF($A77="","",INDEX('Detalle individual'!$D:$D,Cálculos!$AE77))</f>
        <v/>
      </c>
      <c r="C77" s="8" t="str">
        <f>IF($A77="","",COUNTIFS('Detalle individual'!$C$5:$C$1000, A77, 'Detalle individual'!$F$5:$F$1000, "Completado")+COUNTIFS('Detalle individual'!$C$5:$C$1000, A77, 'Detalle individual'!$F$5:$F$1000, "Pendiente"))</f>
        <v/>
      </c>
      <c r="D77" s="8" t="str">
        <f>IF($A77="","",COUNTIFS('Detalle individual'!$C$5:$C$1000, A77, 'Detalle individual'!$F$5:$F$1000, "Completado"))</f>
        <v/>
      </c>
      <c r="E77" s="8" t="str">
        <f>IF($A77="","",C77-D77)</f>
        <v/>
      </c>
      <c r="F77" s="26" t="str">
        <f>IF($A77="","",IF(C77&gt;0, D77/C77, 0))</f>
        <v/>
      </c>
      <c r="G77" s="4" t="str">
        <f>IF($A77="","",IF(AND(C77&gt;0, D77=C77), "Completo", "Pendiente"))</f>
        <v/>
      </c>
      <c r="H77" s="7" t="str">
        <f>IF($A77="","",IF(D77&gt;0, IFERROR(AVERAGEIFS('Detalle individual'!$J$5:$J$1000, 'Detalle individual'!$C$5:$C$1000, A77), ""), ""))</f>
        <v/>
      </c>
      <c r="I77" s="6" t="str">
        <f>IF($A77="","",IF(D77&gt;0, IFERROR(_xlfn.MAXIFS('Detalle individual'!$J$5:$J$1000, 'Detalle individual'!$C$5:$C$1000, A77), ""), ""))</f>
        <v/>
      </c>
      <c r="J77" s="6" t="str">
        <f>IF($A77="","",IF(D77&gt;0, IFERROR(_xlfn.MINIFS('Detalle individual'!$J$5:$J$1000, 'Detalle individual'!$C$5:$C$1000, A77), ""), ""))</f>
        <v/>
      </c>
      <c r="K77" s="11" t="str">
        <f>IF($A77="","",IF(D77&gt;0, IFERROR(_xlfn.MINIFS('Detalle individual'!$G$5:$G$1000, 'Detalle individual'!$C$5:$C$1000, A77), ""), ""))</f>
        <v/>
      </c>
      <c r="L77" s="11" t="str">
        <f>IF($A77="","",IF(D77&gt;0, IFERROR(_xlfn.MAXIFS('Detalle individual'!$H$5:$H$1000, 'Detalle individual'!$C$5:$C$1000, A77), ""), ""))</f>
        <v/>
      </c>
      <c r="M77" s="7" t="str">
        <f>IF($A77="","",IF(D77&gt;0, IFERROR(_xlfn.MINIFS('Detalle individual'!$I$5:$I$1000, 'Detalle individual'!$C$5:$C$1000, A77), ""), ""))</f>
        <v/>
      </c>
      <c r="N77" s="7" t="str">
        <f>IF($A77="","",IF(D77&gt;0, IFERROR(AVERAGEIFS('Detalle individual'!$I$5:$I$1000, 'Detalle individual'!$C$5:$C$1000, A77), ""), ""))</f>
        <v/>
      </c>
      <c r="O77" s="22" t="str">
        <f>IF($A77="","",COUNTIF('Detalle individual'!$C$5:$C$1000, A77)-C77)</f>
        <v/>
      </c>
    </row>
    <row r="78">
      <c r="A78" s="5" t="str">
        <f>IF(Cálculos!$AE78="","",INDEX('Detalle individual'!$C:$C,Cálculos!$AE78))</f>
        <v/>
      </c>
      <c r="B78" s="5" t="str">
        <f>IF($A78="","",INDEX('Detalle individual'!$D:$D,Cálculos!$AE78))</f>
        <v/>
      </c>
      <c r="C78" s="8" t="str">
        <f>IF($A78="","",COUNTIFS('Detalle individual'!$C$5:$C$1000, A78, 'Detalle individual'!$F$5:$F$1000, "Completado")+COUNTIFS('Detalle individual'!$C$5:$C$1000, A78, 'Detalle individual'!$F$5:$F$1000, "Pendiente"))</f>
        <v/>
      </c>
      <c r="D78" s="8" t="str">
        <f>IF($A78="","",COUNTIFS('Detalle individual'!$C$5:$C$1000, A78, 'Detalle individual'!$F$5:$F$1000, "Completado"))</f>
        <v/>
      </c>
      <c r="E78" s="8" t="str">
        <f>IF($A78="","",C78-D78)</f>
        <v/>
      </c>
      <c r="F78" s="26" t="str">
        <f>IF($A78="","",IF(C78&gt;0, D78/C78, 0))</f>
        <v/>
      </c>
      <c r="G78" s="4" t="str">
        <f>IF($A78="","",IF(AND(C78&gt;0, D78=C78), "Completo", "Pendiente"))</f>
        <v/>
      </c>
      <c r="H78" s="7" t="str">
        <f>IF($A78="","",IF(D78&gt;0, IFERROR(AVERAGEIFS('Detalle individual'!$J$5:$J$1000, 'Detalle individual'!$C$5:$C$1000, A78), ""), ""))</f>
        <v/>
      </c>
      <c r="I78" s="6" t="str">
        <f>IF($A78="","",IF(D78&gt;0, IFERROR(_xlfn.MAXIFS('Detalle individual'!$J$5:$J$1000, 'Detalle individual'!$C$5:$C$1000, A78), ""), ""))</f>
        <v/>
      </c>
      <c r="J78" s="6" t="str">
        <f>IF($A78="","",IF(D78&gt;0, IFERROR(_xlfn.MINIFS('Detalle individual'!$J$5:$J$1000, 'Detalle individual'!$C$5:$C$1000, A78), ""), ""))</f>
        <v/>
      </c>
      <c r="K78" s="11" t="str">
        <f>IF($A78="","",IF(D78&gt;0, IFERROR(_xlfn.MINIFS('Detalle individual'!$G$5:$G$1000, 'Detalle individual'!$C$5:$C$1000, A78), ""), ""))</f>
        <v/>
      </c>
      <c r="L78" s="11" t="str">
        <f>IF($A78="","",IF(D78&gt;0, IFERROR(_xlfn.MAXIFS('Detalle individual'!$H$5:$H$1000, 'Detalle individual'!$C$5:$C$1000, A78), ""), ""))</f>
        <v/>
      </c>
      <c r="M78" s="7" t="str">
        <f>IF($A78="","",IF(D78&gt;0, IFERROR(_xlfn.MINIFS('Detalle individual'!$I$5:$I$1000, 'Detalle individual'!$C$5:$C$1000, A78), ""), ""))</f>
        <v/>
      </c>
      <c r="N78" s="7" t="str">
        <f>IF($A78="","",IF(D78&gt;0, IFERROR(AVERAGEIFS('Detalle individual'!$I$5:$I$1000, 'Detalle individual'!$C$5:$C$1000, A78), ""), ""))</f>
        <v/>
      </c>
      <c r="O78" s="22" t="str">
        <f>IF($A78="","",COUNTIF('Detalle individual'!$C$5:$C$1000, A78)-C78)</f>
        <v/>
      </c>
    </row>
    <row r="79">
      <c r="A79" s="5" t="str">
        <f>IF(Cálculos!$AE79="","",INDEX('Detalle individual'!$C:$C,Cálculos!$AE79))</f>
        <v/>
      </c>
      <c r="B79" s="5" t="str">
        <f>IF($A79="","",INDEX('Detalle individual'!$D:$D,Cálculos!$AE79))</f>
        <v/>
      </c>
      <c r="C79" s="8" t="str">
        <f>IF($A79="","",COUNTIFS('Detalle individual'!$C$5:$C$1000, A79, 'Detalle individual'!$F$5:$F$1000, "Completado")+COUNTIFS('Detalle individual'!$C$5:$C$1000, A79, 'Detalle individual'!$F$5:$F$1000, "Pendiente"))</f>
        <v/>
      </c>
      <c r="D79" s="8" t="str">
        <f>IF($A79="","",COUNTIFS('Detalle individual'!$C$5:$C$1000, A79, 'Detalle individual'!$F$5:$F$1000, "Completado"))</f>
        <v/>
      </c>
      <c r="E79" s="8" t="str">
        <f>IF($A79="","",C79-D79)</f>
        <v/>
      </c>
      <c r="F79" s="26" t="str">
        <f>IF($A79="","",IF(C79&gt;0, D79/C79, 0))</f>
        <v/>
      </c>
      <c r="G79" s="4" t="str">
        <f>IF($A79="","",IF(AND(C79&gt;0, D79=C79), "Completo", "Pendiente"))</f>
        <v/>
      </c>
      <c r="H79" s="7" t="str">
        <f>IF($A79="","",IF(D79&gt;0, IFERROR(AVERAGEIFS('Detalle individual'!$J$5:$J$1000, 'Detalle individual'!$C$5:$C$1000, A79), ""), ""))</f>
        <v/>
      </c>
      <c r="I79" s="6" t="str">
        <f>IF($A79="","",IF(D79&gt;0, IFERROR(_xlfn.MAXIFS('Detalle individual'!$J$5:$J$1000, 'Detalle individual'!$C$5:$C$1000, A79), ""), ""))</f>
        <v/>
      </c>
      <c r="J79" s="6" t="str">
        <f>IF($A79="","",IF(D79&gt;0, IFERROR(_xlfn.MINIFS('Detalle individual'!$J$5:$J$1000, 'Detalle individual'!$C$5:$C$1000, A79), ""), ""))</f>
        <v/>
      </c>
      <c r="K79" s="11" t="str">
        <f>IF($A79="","",IF(D79&gt;0, IFERROR(_xlfn.MINIFS('Detalle individual'!$G$5:$G$1000, 'Detalle individual'!$C$5:$C$1000, A79), ""), ""))</f>
        <v/>
      </c>
      <c r="L79" s="11" t="str">
        <f>IF($A79="","",IF(D79&gt;0, IFERROR(_xlfn.MAXIFS('Detalle individual'!$H$5:$H$1000, 'Detalle individual'!$C$5:$C$1000, A79), ""), ""))</f>
        <v/>
      </c>
      <c r="M79" s="7" t="str">
        <f>IF($A79="","",IF(D79&gt;0, IFERROR(_xlfn.MINIFS('Detalle individual'!$I$5:$I$1000, 'Detalle individual'!$C$5:$C$1000, A79), ""), ""))</f>
        <v/>
      </c>
      <c r="N79" s="7" t="str">
        <f>IF($A79="","",IF(D79&gt;0, IFERROR(AVERAGEIFS('Detalle individual'!$I$5:$I$1000, 'Detalle individual'!$C$5:$C$1000, A79), ""), ""))</f>
        <v/>
      </c>
      <c r="O79" s="22" t="str">
        <f>IF($A79="","",COUNTIF('Detalle individual'!$C$5:$C$1000, A79)-C79)</f>
        <v/>
      </c>
    </row>
    <row r="80">
      <c r="A80" s="5" t="str">
        <f>IF(Cálculos!$AE80="","",INDEX('Detalle individual'!$C:$C,Cálculos!$AE80))</f>
        <v/>
      </c>
      <c r="B80" s="5" t="str">
        <f>IF($A80="","",INDEX('Detalle individual'!$D:$D,Cálculos!$AE80))</f>
        <v/>
      </c>
      <c r="C80" s="8" t="str">
        <f>IF($A80="","",COUNTIFS('Detalle individual'!$C$5:$C$1000, A80, 'Detalle individual'!$F$5:$F$1000, "Completado")+COUNTIFS('Detalle individual'!$C$5:$C$1000, A80, 'Detalle individual'!$F$5:$F$1000, "Pendiente"))</f>
        <v/>
      </c>
      <c r="D80" s="8" t="str">
        <f>IF($A80="","",COUNTIFS('Detalle individual'!$C$5:$C$1000, A80, 'Detalle individual'!$F$5:$F$1000, "Completado"))</f>
        <v/>
      </c>
      <c r="E80" s="8" t="str">
        <f>IF($A80="","",C80-D80)</f>
        <v/>
      </c>
      <c r="F80" s="26" t="str">
        <f>IF($A80="","",IF(C80&gt;0, D80/C80, 0))</f>
        <v/>
      </c>
      <c r="G80" s="4" t="str">
        <f>IF($A80="","",IF(AND(C80&gt;0, D80=C80), "Completo", "Pendiente"))</f>
        <v/>
      </c>
      <c r="H80" s="7" t="str">
        <f>IF($A80="","",IF(D80&gt;0, IFERROR(AVERAGEIFS('Detalle individual'!$J$5:$J$1000, 'Detalle individual'!$C$5:$C$1000, A80), ""), ""))</f>
        <v/>
      </c>
      <c r="I80" s="6" t="str">
        <f>IF($A80="","",IF(D80&gt;0, IFERROR(_xlfn.MAXIFS('Detalle individual'!$J$5:$J$1000, 'Detalle individual'!$C$5:$C$1000, A80), ""), ""))</f>
        <v/>
      </c>
      <c r="J80" s="6" t="str">
        <f>IF($A80="","",IF(D80&gt;0, IFERROR(_xlfn.MINIFS('Detalle individual'!$J$5:$J$1000, 'Detalle individual'!$C$5:$C$1000, A80), ""), ""))</f>
        <v/>
      </c>
      <c r="K80" s="11" t="str">
        <f>IF($A80="","",IF(D80&gt;0, IFERROR(_xlfn.MINIFS('Detalle individual'!$G$5:$G$1000, 'Detalle individual'!$C$5:$C$1000, A80), ""), ""))</f>
        <v/>
      </c>
      <c r="L80" s="11" t="str">
        <f>IF($A80="","",IF(D80&gt;0, IFERROR(_xlfn.MAXIFS('Detalle individual'!$H$5:$H$1000, 'Detalle individual'!$C$5:$C$1000, A80), ""), ""))</f>
        <v/>
      </c>
      <c r="M80" s="7" t="str">
        <f>IF($A80="","",IF(D80&gt;0, IFERROR(_xlfn.MINIFS('Detalle individual'!$I$5:$I$1000, 'Detalle individual'!$C$5:$C$1000, A80), ""), ""))</f>
        <v/>
      </c>
      <c r="N80" s="7" t="str">
        <f>IF($A80="","",IF(D80&gt;0, IFERROR(AVERAGEIFS('Detalle individual'!$I$5:$I$1000, 'Detalle individual'!$C$5:$C$1000, A80), ""), ""))</f>
        <v/>
      </c>
      <c r="O80" s="22" t="str">
        <f>IF($A80="","",COUNTIF('Detalle individual'!$C$5:$C$1000, A80)-C80)</f>
        <v/>
      </c>
    </row>
    <row r="81">
      <c r="A81" s="5" t="str">
        <f>IF(Cálculos!$AE81="","",INDEX('Detalle individual'!$C:$C,Cálculos!$AE81))</f>
        <v/>
      </c>
      <c r="B81" s="5" t="str">
        <f>IF($A81="","",INDEX('Detalle individual'!$D:$D,Cálculos!$AE81))</f>
        <v/>
      </c>
      <c r="C81" s="8" t="str">
        <f>IF($A81="","",COUNTIFS('Detalle individual'!$C$5:$C$1000, A81, 'Detalle individual'!$F$5:$F$1000, "Completado")+COUNTIFS('Detalle individual'!$C$5:$C$1000, A81, 'Detalle individual'!$F$5:$F$1000, "Pendiente"))</f>
        <v/>
      </c>
      <c r="D81" s="8" t="str">
        <f>IF($A81="","",COUNTIFS('Detalle individual'!$C$5:$C$1000, A81, 'Detalle individual'!$F$5:$F$1000, "Completado"))</f>
        <v/>
      </c>
      <c r="E81" s="8" t="str">
        <f>IF($A81="","",C81-D81)</f>
        <v/>
      </c>
      <c r="F81" s="26" t="str">
        <f>IF($A81="","",IF(C81&gt;0, D81/C81, 0))</f>
        <v/>
      </c>
      <c r="G81" s="4" t="str">
        <f>IF($A81="","",IF(AND(C81&gt;0, D81=C81), "Completo", "Pendiente"))</f>
        <v/>
      </c>
      <c r="H81" s="7" t="str">
        <f>IF($A81="","",IF(D81&gt;0, IFERROR(AVERAGEIFS('Detalle individual'!$J$5:$J$1000, 'Detalle individual'!$C$5:$C$1000, A81), ""), ""))</f>
        <v/>
      </c>
      <c r="I81" s="6" t="str">
        <f>IF($A81="","",IF(D81&gt;0, IFERROR(_xlfn.MAXIFS('Detalle individual'!$J$5:$J$1000, 'Detalle individual'!$C$5:$C$1000, A81), ""), ""))</f>
        <v/>
      </c>
      <c r="J81" s="6" t="str">
        <f>IF($A81="","",IF(D81&gt;0, IFERROR(_xlfn.MINIFS('Detalle individual'!$J$5:$J$1000, 'Detalle individual'!$C$5:$C$1000, A81), ""), ""))</f>
        <v/>
      </c>
      <c r="K81" s="11" t="str">
        <f>IF($A81="","",IF(D81&gt;0, IFERROR(_xlfn.MINIFS('Detalle individual'!$G$5:$G$1000, 'Detalle individual'!$C$5:$C$1000, A81), ""), ""))</f>
        <v/>
      </c>
      <c r="L81" s="11" t="str">
        <f>IF($A81="","",IF(D81&gt;0, IFERROR(_xlfn.MAXIFS('Detalle individual'!$H$5:$H$1000, 'Detalle individual'!$C$5:$C$1000, A81), ""), ""))</f>
        <v/>
      </c>
      <c r="M81" s="7" t="str">
        <f>IF($A81="","",IF(D81&gt;0, IFERROR(_xlfn.MINIFS('Detalle individual'!$I$5:$I$1000, 'Detalle individual'!$C$5:$C$1000, A81), ""), ""))</f>
        <v/>
      </c>
      <c r="N81" s="7" t="str">
        <f>IF($A81="","",IF(D81&gt;0, IFERROR(AVERAGEIFS('Detalle individual'!$I$5:$I$1000, 'Detalle individual'!$C$5:$C$1000, A81), ""), ""))</f>
        <v/>
      </c>
      <c r="O81" s="22" t="str">
        <f>IF($A81="","",COUNTIF('Detalle individual'!$C$5:$C$1000, A81)-C81)</f>
        <v/>
      </c>
    </row>
    <row r="82">
      <c r="A82" s="5" t="str">
        <f>IF(Cálculos!$AE82="","",INDEX('Detalle individual'!$C:$C,Cálculos!$AE82))</f>
        <v/>
      </c>
      <c r="B82" s="5" t="str">
        <f>IF($A82="","",INDEX('Detalle individual'!$D:$D,Cálculos!$AE82))</f>
        <v/>
      </c>
      <c r="C82" s="8" t="str">
        <f>IF($A82="","",COUNTIFS('Detalle individual'!$C$5:$C$1000, A82, 'Detalle individual'!$F$5:$F$1000, "Completado")+COUNTIFS('Detalle individual'!$C$5:$C$1000, A82, 'Detalle individual'!$F$5:$F$1000, "Pendiente"))</f>
        <v/>
      </c>
      <c r="D82" s="8" t="str">
        <f>IF($A82="","",COUNTIFS('Detalle individual'!$C$5:$C$1000, A82, 'Detalle individual'!$F$5:$F$1000, "Completado"))</f>
        <v/>
      </c>
      <c r="E82" s="8" t="str">
        <f>IF($A82="","",C82-D82)</f>
        <v/>
      </c>
      <c r="F82" s="26" t="str">
        <f>IF($A82="","",IF(C82&gt;0, D82/C82, 0))</f>
        <v/>
      </c>
      <c r="G82" s="4" t="str">
        <f>IF($A82="","",IF(AND(C82&gt;0, D82=C82), "Completo", "Pendiente"))</f>
        <v/>
      </c>
      <c r="H82" s="7" t="str">
        <f>IF($A82="","",IF(D82&gt;0, IFERROR(AVERAGEIFS('Detalle individual'!$J$5:$J$1000, 'Detalle individual'!$C$5:$C$1000, A82), ""), ""))</f>
        <v/>
      </c>
      <c r="I82" s="6" t="str">
        <f>IF($A82="","",IF(D82&gt;0, IFERROR(_xlfn.MAXIFS('Detalle individual'!$J$5:$J$1000, 'Detalle individual'!$C$5:$C$1000, A82), ""), ""))</f>
        <v/>
      </c>
      <c r="J82" s="6" t="str">
        <f>IF($A82="","",IF(D82&gt;0, IFERROR(_xlfn.MINIFS('Detalle individual'!$J$5:$J$1000, 'Detalle individual'!$C$5:$C$1000, A82), ""), ""))</f>
        <v/>
      </c>
      <c r="K82" s="11" t="str">
        <f>IF($A82="","",IF(D82&gt;0, IFERROR(_xlfn.MINIFS('Detalle individual'!$G$5:$G$1000, 'Detalle individual'!$C$5:$C$1000, A82), ""), ""))</f>
        <v/>
      </c>
      <c r="L82" s="11" t="str">
        <f>IF($A82="","",IF(D82&gt;0, IFERROR(_xlfn.MAXIFS('Detalle individual'!$H$5:$H$1000, 'Detalle individual'!$C$5:$C$1000, A82), ""), ""))</f>
        <v/>
      </c>
      <c r="M82" s="7" t="str">
        <f>IF($A82="","",IF(D82&gt;0, IFERROR(_xlfn.MINIFS('Detalle individual'!$I$5:$I$1000, 'Detalle individual'!$C$5:$C$1000, A82), ""), ""))</f>
        <v/>
      </c>
      <c r="N82" s="7" t="str">
        <f>IF($A82="","",IF(D82&gt;0, IFERROR(AVERAGEIFS('Detalle individual'!$I$5:$I$1000, 'Detalle individual'!$C$5:$C$1000, A82), ""), ""))</f>
        <v/>
      </c>
      <c r="O82" s="22" t="str">
        <f>IF($A82="","",COUNTIF('Detalle individual'!$C$5:$C$1000, A82)-C82)</f>
        <v/>
      </c>
    </row>
    <row r="83">
      <c r="A83" s="5" t="str">
        <f>IF(Cálculos!$AE83="","",INDEX('Detalle individual'!$C:$C,Cálculos!$AE83))</f>
        <v/>
      </c>
      <c r="B83" s="5" t="str">
        <f>IF($A83="","",INDEX('Detalle individual'!$D:$D,Cálculos!$AE83))</f>
        <v/>
      </c>
      <c r="C83" s="8" t="str">
        <f>IF($A83="","",COUNTIFS('Detalle individual'!$C$5:$C$1000, A83, 'Detalle individual'!$F$5:$F$1000, "Completado")+COUNTIFS('Detalle individual'!$C$5:$C$1000, A83, 'Detalle individual'!$F$5:$F$1000, "Pendiente"))</f>
        <v/>
      </c>
      <c r="D83" s="8" t="str">
        <f>IF($A83="","",COUNTIFS('Detalle individual'!$C$5:$C$1000, A83, 'Detalle individual'!$F$5:$F$1000, "Completado"))</f>
        <v/>
      </c>
      <c r="E83" s="8" t="str">
        <f>IF($A83="","",C83-D83)</f>
        <v/>
      </c>
      <c r="F83" s="26" t="str">
        <f>IF($A83="","",IF(C83&gt;0, D83/C83, 0))</f>
        <v/>
      </c>
      <c r="G83" s="4" t="str">
        <f>IF($A83="","",IF(AND(C83&gt;0, D83=C83), "Completo", "Pendiente"))</f>
        <v/>
      </c>
      <c r="H83" s="7" t="str">
        <f>IF($A83="","",IF(D83&gt;0, IFERROR(AVERAGEIFS('Detalle individual'!$J$5:$J$1000, 'Detalle individual'!$C$5:$C$1000, A83), ""), ""))</f>
        <v/>
      </c>
      <c r="I83" s="6" t="str">
        <f>IF($A83="","",IF(D83&gt;0, IFERROR(_xlfn.MAXIFS('Detalle individual'!$J$5:$J$1000, 'Detalle individual'!$C$5:$C$1000, A83), ""), ""))</f>
        <v/>
      </c>
      <c r="J83" s="6" t="str">
        <f>IF($A83="","",IF(D83&gt;0, IFERROR(_xlfn.MINIFS('Detalle individual'!$J$5:$J$1000, 'Detalle individual'!$C$5:$C$1000, A83), ""), ""))</f>
        <v/>
      </c>
      <c r="K83" s="11" t="str">
        <f>IF($A83="","",IF(D83&gt;0, IFERROR(_xlfn.MINIFS('Detalle individual'!$G$5:$G$1000, 'Detalle individual'!$C$5:$C$1000, A83), ""), ""))</f>
        <v/>
      </c>
      <c r="L83" s="11" t="str">
        <f>IF($A83="","",IF(D83&gt;0, IFERROR(_xlfn.MAXIFS('Detalle individual'!$H$5:$H$1000, 'Detalle individual'!$C$5:$C$1000, A83), ""), ""))</f>
        <v/>
      </c>
      <c r="M83" s="7" t="str">
        <f>IF($A83="","",IF(D83&gt;0, IFERROR(_xlfn.MINIFS('Detalle individual'!$I$5:$I$1000, 'Detalle individual'!$C$5:$C$1000, A83), ""), ""))</f>
        <v/>
      </c>
      <c r="N83" s="7" t="str">
        <f>IF($A83="","",IF(D83&gt;0, IFERROR(AVERAGEIFS('Detalle individual'!$I$5:$I$1000, 'Detalle individual'!$C$5:$C$1000, A83), ""), ""))</f>
        <v/>
      </c>
      <c r="O83" s="22" t="str">
        <f>IF($A83="","",COUNTIF('Detalle individual'!$C$5:$C$1000, A83)-C83)</f>
        <v/>
      </c>
    </row>
    <row r="84">
      <c r="A84" s="5" t="str">
        <f>IF(Cálculos!$AE84="","",INDEX('Detalle individual'!$C:$C,Cálculos!$AE84))</f>
        <v/>
      </c>
      <c r="B84" s="5" t="str">
        <f>IF($A84="","",INDEX('Detalle individual'!$D:$D,Cálculos!$AE84))</f>
        <v/>
      </c>
      <c r="C84" s="8" t="str">
        <f>IF($A84="","",COUNTIFS('Detalle individual'!$C$5:$C$1000, A84, 'Detalle individual'!$F$5:$F$1000, "Completado")+COUNTIFS('Detalle individual'!$C$5:$C$1000, A84, 'Detalle individual'!$F$5:$F$1000, "Pendiente"))</f>
        <v/>
      </c>
      <c r="D84" s="8" t="str">
        <f>IF($A84="","",COUNTIFS('Detalle individual'!$C$5:$C$1000, A84, 'Detalle individual'!$F$5:$F$1000, "Completado"))</f>
        <v/>
      </c>
      <c r="E84" s="8" t="str">
        <f>IF($A84="","",C84-D84)</f>
        <v/>
      </c>
      <c r="F84" s="26" t="str">
        <f>IF($A84="","",IF(C84&gt;0, D84/C84, 0))</f>
        <v/>
      </c>
      <c r="G84" s="4" t="str">
        <f>IF($A84="","",IF(AND(C84&gt;0, D84=C84), "Completo", "Pendiente"))</f>
        <v/>
      </c>
      <c r="H84" s="7" t="str">
        <f>IF($A84="","",IF(D84&gt;0, IFERROR(AVERAGEIFS('Detalle individual'!$J$5:$J$1000, 'Detalle individual'!$C$5:$C$1000, A84), ""), ""))</f>
        <v/>
      </c>
      <c r="I84" s="6" t="str">
        <f>IF($A84="","",IF(D84&gt;0, IFERROR(_xlfn.MAXIFS('Detalle individual'!$J$5:$J$1000, 'Detalle individual'!$C$5:$C$1000, A84), ""), ""))</f>
        <v/>
      </c>
      <c r="J84" s="6" t="str">
        <f>IF($A84="","",IF(D84&gt;0, IFERROR(_xlfn.MINIFS('Detalle individual'!$J$5:$J$1000, 'Detalle individual'!$C$5:$C$1000, A84), ""), ""))</f>
        <v/>
      </c>
      <c r="K84" s="11" t="str">
        <f>IF($A84="","",IF(D84&gt;0, IFERROR(_xlfn.MINIFS('Detalle individual'!$G$5:$G$1000, 'Detalle individual'!$C$5:$C$1000, A84), ""), ""))</f>
        <v/>
      </c>
      <c r="L84" s="11" t="str">
        <f>IF($A84="","",IF(D84&gt;0, IFERROR(_xlfn.MAXIFS('Detalle individual'!$H$5:$H$1000, 'Detalle individual'!$C$5:$C$1000, A84), ""), ""))</f>
        <v/>
      </c>
      <c r="M84" s="7" t="str">
        <f>IF($A84="","",IF(D84&gt;0, IFERROR(_xlfn.MINIFS('Detalle individual'!$I$5:$I$1000, 'Detalle individual'!$C$5:$C$1000, A84), ""), ""))</f>
        <v/>
      </c>
      <c r="N84" s="7" t="str">
        <f>IF($A84="","",IF(D84&gt;0, IFERROR(AVERAGEIFS('Detalle individual'!$I$5:$I$1000, 'Detalle individual'!$C$5:$C$1000, A84), ""), ""))</f>
        <v/>
      </c>
      <c r="O84" s="22" t="str">
        <f>IF($A84="","",COUNTIF('Detalle individual'!$C$5:$C$1000, A84)-C84)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42" customWidth="1" style="38" min="1" max="1"/>
    <col width="12" customWidth="1" style="38" min="2" max="2"/>
    <col width="13" customWidth="1" style="38" min="3" max="3"/>
    <col width="12" customWidth="1" style="38" min="4" max="4"/>
    <col width="13" customWidth="1" style="38" min="5" max="5"/>
    <col width="12" customWidth="1" style="38" min="6" max="9"/>
    <col width="18" customWidth="1" style="38" min="10" max="11"/>
    <col width="13" customWidth="1" style="38" min="12" max="12"/>
    <col width="14" customWidth="1" style="38" min="13" max="14"/>
  </cols>
  <sheetData>
    <row r="1" ht="21" customHeight="1" s="38">
      <c r="A1" s="1" t="inlineStr">
        <is>
          <t>CONSOLIDADO DE EVALUACIÓN POR GERENCIA</t>
        </is>
      </c>
    </row>
    <row r="2">
      <c r="A2" s="2" t="inlineStr">
        <is>
          <t>Cálculos automáticos basados en la hoja 'Detalle individual' agrupados por Gerencia Asignada</t>
        </is>
      </c>
    </row>
    <row r="4" ht="43.2" customHeight="1" s="38">
      <c r="A4" s="3" t="inlineStr">
        <is>
          <t>Gerencia / Área Superior</t>
        </is>
      </c>
      <c r="B4" s="3" t="inlineStr">
        <is>
          <t>Personal Esperado</t>
        </is>
      </c>
      <c r="C4" s="3" t="inlineStr">
        <is>
          <t>Personas Completadas</t>
        </is>
      </c>
      <c r="D4" s="3" t="inlineStr">
        <is>
          <t>Pendientes</t>
        </is>
      </c>
      <c r="E4" s="3" t="inlineStr">
        <is>
          <t>% Cumplimiento</t>
        </is>
      </c>
      <c r="F4" s="3" t="inlineStr">
        <is>
          <t>Estado</t>
        </is>
      </c>
      <c r="G4" s="3" t="inlineStr">
        <is>
          <t>Promedio Nota</t>
        </is>
      </c>
      <c r="H4" s="3" t="inlineStr">
        <is>
          <t>Nota Máxima</t>
        </is>
      </c>
      <c r="I4" s="3" t="inlineStr">
        <is>
          <t>Nota Mínima</t>
        </is>
      </c>
      <c r="J4" s="3" t="inlineStr">
        <is>
          <t>Primer Inicio</t>
        </is>
      </c>
      <c r="K4" s="3" t="inlineStr">
        <is>
          <t>Última Finalización</t>
        </is>
      </c>
      <c r="L4" s="3" t="inlineStr">
        <is>
          <t>Menor Duración (min)</t>
        </is>
      </c>
      <c r="M4" s="3" t="inlineStr">
        <is>
          <t>Promedio Duración (min)</t>
        </is>
      </c>
      <c r="N4" s="3" t="inlineStr">
        <is>
          <t>Justificados (no cuentan)</t>
        </is>
      </c>
    </row>
    <row r="5">
      <c r="A5" s="5" t="str">
        <f>IF(Cálculos!$AF5="","",INDEX('Detalle individual'!$D:$D,Cálculos!$AF5))</f>
        <v>Auditoría Interna</v>
      </c>
      <c r="B5" s="8">
        <f>IF($A5="","",COUNTIFS('Detalle individual'!$D$5:$D$1000, A5, 'Detalle individual'!$F$5:$F$1000, "Completado")+COUNTIFS('Detalle individual'!$D$5:$D$1000, A5, 'Detalle individual'!$F$5:$F$1000, "Pendiente"))</f>
        <v>7</v>
      </c>
      <c r="C5" s="8">
        <f>IF($A5="","",COUNTIFS('Detalle individual'!$D$5:$D$1000, A5, 'Detalle individual'!$F$5:$F$1000, "Completado"))</f>
        <v>7</v>
      </c>
      <c r="D5" s="8">
        <f>IF($A5="","",B5-C5)</f>
        <v>0</v>
      </c>
      <c r="E5" s="26">
        <f>IF($A5="","",IF(B5&gt;0, C5/B5, 0))</f>
        <v>1</v>
      </c>
      <c r="F5" s="4" t="str">
        <f>IF($A5="","",IF(AND(B5&gt;0, C5=B5), "Completo", "Pendiente"))</f>
        <v>Completo</v>
      </c>
      <c r="G5" s="7">
        <f>IF($A5="","",IF(C5&gt;0, IFERROR(AVERAGEIFS('Detalle individual'!$J$5:$J$1000, 'Detalle individual'!$D$5:$D$1000, A5), ""), ""))</f>
        <v>97.1428571428571</v>
      </c>
      <c r="H5" s="6">
        <f>IF($A5="","",IF(C5&gt;0, IFERROR(_xlfn.MAXIFS('Detalle individual'!$J$5:$J$1000, 'Detalle individual'!$D$5:$D$1000, A5), ""), ""))</f>
        <v>100</v>
      </c>
      <c r="I5" s="6">
        <f>IF($A5="","",IF(C5&gt;0, IFERROR(_xlfn.MINIFS('Detalle individual'!$J$5:$J$1000, 'Detalle individual'!$D$5:$D$1000, A5), ""), ""))</f>
        <v>90</v>
      </c>
      <c r="J5" s="11">
        <f>IF($A5="","",IF(C5&gt;0, IFERROR(_xlfn.MINIFS('Detalle individual'!$G$5:$G$1000, 'Detalle individual'!$D$5:$D$1000, A5), ""), ""))</f>
        <v>46296.61756944445</v>
      </c>
      <c r="K5" s="11">
        <f>IF($A5="","",IF(C5&gt;0, IFERROR(_xlfn.MAXIFS('Detalle individual'!$H$5:$H$1000, 'Detalle individual'!$D$5:$D$1000, A5), ""), ""))</f>
        <v>46307.652766203704</v>
      </c>
      <c r="L5" s="7">
        <f>IF($A5="","",IF(C5&gt;0, IFERROR(_xlfn.MINIFS('Detalle individual'!$I$5:$I$1000, 'Detalle individual'!$D$5:$D$1000, A5), ""), ""))</f>
        <v>3.8</v>
      </c>
      <c r="M5" s="7">
        <f>IF($A5="","",IF(C5&gt;0, IFERROR(AVERAGEIFS('Detalle individual'!$I$5:$I$1000, 'Detalle individual'!$D$5:$D$1000, A5), ""), ""))</f>
        <v>6.54523809170238</v>
      </c>
      <c r="N5" s="22">
        <f>IF($A5="","",COUNTIF('Detalle individual'!$D$5:$D$1000, A5)-B5)</f>
        <v>0</v>
      </c>
    </row>
    <row r="6">
      <c r="A6" s="5" t="str">
        <f>IF(Cálculos!$AF6="","",INDEX('Detalle individual'!$D:$D,Cálculos!$AF6))</f>
        <v>Consejo de Administración</v>
      </c>
      <c r="B6" s="8">
        <f>IF($A6="","",COUNTIFS('Detalle individual'!$D$5:$D$1000, A6, 'Detalle individual'!$F$5:$F$1000, "Completado")+COUNTIFS('Detalle individual'!$D$5:$D$1000, A6, 'Detalle individual'!$F$5:$F$1000, "Pendiente"))</f>
        <v>1</v>
      </c>
      <c r="C6" s="8">
        <f>IF($A6="","",COUNTIFS('Detalle individual'!$D$5:$D$1000, A6, 'Detalle individual'!$F$5:$F$1000, "Completado"))</f>
        <v>1</v>
      </c>
      <c r="D6" s="8">
        <f>IF($A6="","",B6-C6)</f>
        <v>0</v>
      </c>
      <c r="E6" s="26">
        <f>IF($A6="","",IF(B6&gt;0, C6/B6, 0))</f>
        <v>1</v>
      </c>
      <c r="F6" s="4" t="str">
        <f>IF($A6="","",IF(AND(B6&gt;0, C6=B6), "Completo", "Pendiente"))</f>
        <v>Completo</v>
      </c>
      <c r="G6" s="7">
        <f>IF($A6="","",IF(C6&gt;0, IFERROR(AVERAGEIFS('Detalle individual'!$J$5:$J$1000, 'Detalle individual'!$D$5:$D$1000, A6), ""), ""))</f>
        <v>90</v>
      </c>
      <c r="H6" s="6">
        <f>IF($A6="","",IF(C6&gt;0, IFERROR(_xlfn.MAXIFS('Detalle individual'!$J$5:$J$1000, 'Detalle individual'!$D$5:$D$1000, A6), ""), ""))</f>
        <v>90</v>
      </c>
      <c r="I6" s="6">
        <f>IF($A6="","",IF(C6&gt;0, IFERROR(_xlfn.MINIFS('Detalle individual'!$J$5:$J$1000, 'Detalle individual'!$D$5:$D$1000, A6), ""), ""))</f>
        <v>90</v>
      </c>
      <c r="J6" s="11">
        <f>IF($A6="","",IF(C6&gt;0, IFERROR(_xlfn.MINIFS('Detalle individual'!$G$5:$G$1000, 'Detalle individual'!$D$5:$D$1000, A6), ""), ""))</f>
        <v>46300.65247685185</v>
      </c>
      <c r="K6" s="11">
        <f>IF($A6="","",IF(C6&gt;0, IFERROR(_xlfn.MAXIFS('Detalle individual'!$H$5:$H$1000, 'Detalle individual'!$D$5:$D$1000, A6), ""), ""))</f>
        <v>46300.658009259256</v>
      </c>
      <c r="L6" s="7">
        <f>IF($A6="","",IF(C6&gt;0, IFERROR(_xlfn.MINIFS('Detalle individual'!$I$5:$I$1000, 'Detalle individual'!$D$5:$D$1000, A6), ""), ""))</f>
        <v>7.96666666666667</v>
      </c>
      <c r="M6" s="7">
        <f>IF($A6="","",IF(C6&gt;0, IFERROR(AVERAGEIFS('Detalle individual'!$I$5:$I$1000, 'Detalle individual'!$D$5:$D$1000, A6), ""), ""))</f>
        <v>7.96666666666667</v>
      </c>
      <c r="N6" s="22">
        <f>IF($A6="","",COUNTIF('Detalle individual'!$D$5:$D$1000, A6)-B6)</f>
        <v>0</v>
      </c>
    </row>
    <row r="7">
      <c r="A7" s="5" t="str">
        <f>IF(Cálculos!$AF7="","",INDEX('Detalle individual'!$D:$D,Cálculos!$AF7))</f>
        <v>Gerencia Administrativa</v>
      </c>
      <c r="B7" s="8">
        <f>IF($A7="","",COUNTIFS('Detalle individual'!$D$5:$D$1000, A7, 'Detalle individual'!$F$5:$F$1000, "Completado")+COUNTIFS('Detalle individual'!$D$5:$D$1000, A7, 'Detalle individual'!$F$5:$F$1000, "Pendiente"))</f>
        <v>34</v>
      </c>
      <c r="C7" s="8">
        <f>IF($A7="","",COUNTIFS('Detalle individual'!$D$5:$D$1000, A7, 'Detalle individual'!$F$5:$F$1000, "Completado"))</f>
        <v>34</v>
      </c>
      <c r="D7" s="8">
        <f>IF($A7="","",B7-C7)</f>
        <v>0</v>
      </c>
      <c r="E7" s="26">
        <f>IF($A7="","",IF(B7&gt;0, C7/B7, 0))</f>
        <v>1</v>
      </c>
      <c r="F7" s="4" t="str">
        <f>IF($A7="","",IF(AND(B7&gt;0, C7=B7), "Completo", "Pendiente"))</f>
        <v>Completo</v>
      </c>
      <c r="G7" s="7">
        <f>IF($A7="","",IF(C7&gt;0, IFERROR(AVERAGEIFS('Detalle individual'!$J$5:$J$1000, 'Detalle individual'!$D$5:$D$1000, A7), ""), ""))</f>
        <v>94.2647058823529</v>
      </c>
      <c r="H7" s="6">
        <f>IF($A7="","",IF(C7&gt;0, IFERROR(_xlfn.MAXIFS('Detalle individual'!$J$5:$J$1000, 'Detalle individual'!$D$5:$D$1000, A7), ""), ""))</f>
        <v>100</v>
      </c>
      <c r="I7" s="6">
        <f>IF($A7="","",IF(C7&gt;0, IFERROR(_xlfn.MINIFS('Detalle individual'!$J$5:$J$1000, 'Detalle individual'!$D$5:$D$1000, A7), ""), ""))</f>
        <v>60</v>
      </c>
      <c r="J7" s="11">
        <f>IF($A7="","",IF(C7&gt;0, IFERROR(_xlfn.MINIFS('Detalle individual'!$G$5:$G$1000, 'Detalle individual'!$D$5:$D$1000, A7), ""), ""))</f>
        <v>46296.454039351855</v>
      </c>
      <c r="K7" s="11">
        <f>IF($A7="","",IF(C7&gt;0, IFERROR(_xlfn.MAXIFS('Detalle individual'!$H$5:$H$1000, 'Detalle individual'!$D$5:$D$1000, A7), ""), ""))</f>
        <v>46310.511469907404</v>
      </c>
      <c r="L7" s="7">
        <f>IF($A7="","",IF(C7&gt;0, IFERROR(_xlfn.MINIFS('Detalle individual'!$I$5:$I$1000, 'Detalle individual'!$D$5:$D$1000, A7), ""), ""))</f>
        <v>2.11666666666667</v>
      </c>
      <c r="M7" s="7">
        <f>IF($A7="","",IF(C7&gt;0, IFERROR(AVERAGEIFS('Detalle individual'!$I$5:$I$1000, 'Detalle individual'!$D$5:$D$1000, A7), ""), ""))</f>
        <v>10.5544117641814</v>
      </c>
      <c r="N7" s="22">
        <f>IF($A7="","",COUNTIF('Detalle individual'!$D$5:$D$1000, A7)-B7)</f>
        <v>1</v>
      </c>
    </row>
    <row r="8">
      <c r="A8" s="5" t="str">
        <f>IF(Cálculos!$AF8="","",INDEX('Detalle individual'!$D:$D,Cálculos!$AF8))</f>
        <v>Gerencia de Finanzas y Planificación</v>
      </c>
      <c r="B8" s="8">
        <f>IF($A8="","",COUNTIFS('Detalle individual'!$D$5:$D$1000, A8, 'Detalle individual'!$F$5:$F$1000, "Completado")+COUNTIFS('Detalle individual'!$D$5:$D$1000, A8, 'Detalle individual'!$F$5:$F$1000, "Pendiente"))</f>
        <v>18</v>
      </c>
      <c r="C8" s="8">
        <f>IF($A8="","",COUNTIFS('Detalle individual'!$D$5:$D$1000, A8, 'Detalle individual'!$F$5:$F$1000, "Completado"))</f>
        <v>18</v>
      </c>
      <c r="D8" s="8">
        <f>IF($A8="","",B8-C8)</f>
        <v>0</v>
      </c>
      <c r="E8" s="26">
        <f>IF($A8="","",IF(B8&gt;0, C8/B8, 0))</f>
        <v>1</v>
      </c>
      <c r="F8" s="4" t="str">
        <f>IF($A8="","",IF(AND(B8&gt;0, C8=B8), "Completo", "Pendiente"))</f>
        <v>Completo</v>
      </c>
      <c r="G8" s="7">
        <f>IF($A8="","",IF(C8&gt;0, IFERROR(AVERAGEIFS('Detalle individual'!$J$5:$J$1000, 'Detalle individual'!$D$5:$D$1000, A8), ""), ""))</f>
        <v>98.6111111111111</v>
      </c>
      <c r="H8" s="6">
        <f>IF($A8="","",IF(C8&gt;0, IFERROR(_xlfn.MAXIFS('Detalle individual'!$J$5:$J$1000, 'Detalle individual'!$D$5:$D$1000, A8), ""), ""))</f>
        <v>100</v>
      </c>
      <c r="I8" s="6">
        <f>IF($A8="","",IF(C8&gt;0, IFERROR(_xlfn.MINIFS('Detalle individual'!$J$5:$J$1000, 'Detalle individual'!$D$5:$D$1000, A8), ""), ""))</f>
        <v>85</v>
      </c>
      <c r="J8" s="11">
        <f>IF($A8="","",IF(C8&gt;0, IFERROR(_xlfn.MINIFS('Detalle individual'!$G$5:$G$1000, 'Detalle individual'!$D$5:$D$1000, A8), ""), ""))</f>
        <v>46296.42706018518</v>
      </c>
      <c r="K8" s="11">
        <f>IF($A8="","",IF(C8&gt;0, IFERROR(_xlfn.MAXIFS('Detalle individual'!$H$5:$H$1000, 'Detalle individual'!$D$5:$D$1000, A8), ""), ""))</f>
        <v>46311.627291666664</v>
      </c>
      <c r="L8" s="7">
        <f>IF($A8="","",IF(C8&gt;0, IFERROR(_xlfn.MINIFS('Detalle individual'!$I$5:$I$1000, 'Detalle individual'!$D$5:$D$1000, A8), ""), ""))</f>
        <v>2.45</v>
      </c>
      <c r="M8" s="7">
        <f>IF($A8="","",IF(C8&gt;0, IFERROR(AVERAGEIFS('Detalle individual'!$I$5:$I$1000, 'Detalle individual'!$D$5:$D$1000, A8), ""), ""))</f>
        <v>7.61203703726204</v>
      </c>
      <c r="N8" s="22">
        <f>IF($A8="","",COUNTIF('Detalle individual'!$D$5:$D$1000, A8)-B8)</f>
        <v>0</v>
      </c>
    </row>
    <row r="9">
      <c r="A9" s="5" t="str">
        <f>IF(Cálculos!$AF9="","",INDEX('Detalle individual'!$D:$D,Cálculos!$AF9))</f>
        <v>Gerencia de Negocios</v>
      </c>
      <c r="B9" s="8">
        <f>IF($A9="","",COUNTIFS('Detalle individual'!$D$5:$D$1000, A9, 'Detalle individual'!$F$5:$F$1000, "Completado")+COUNTIFS('Detalle individual'!$D$5:$D$1000, A9, 'Detalle individual'!$F$5:$F$1000, "Pendiente"))</f>
        <v>148</v>
      </c>
      <c r="C9" s="8">
        <f>IF($A9="","",COUNTIFS('Detalle individual'!$D$5:$D$1000, A9, 'Detalle individual'!$F$5:$F$1000, "Completado"))</f>
        <v>148</v>
      </c>
      <c r="D9" s="8">
        <f>IF($A9="","",B9-C9)</f>
        <v>0</v>
      </c>
      <c r="E9" s="26">
        <f>IF($A9="","",IF(B9&gt;0, C9/B9, 0))</f>
        <v>1</v>
      </c>
      <c r="F9" s="4" t="str">
        <f>IF($A9="","",IF(AND(B9&gt;0, C9=B9), "Completo", "Pendiente"))</f>
        <v>Completo</v>
      </c>
      <c r="G9" s="7">
        <f>IF($A9="","",IF(C9&gt;0, IFERROR(AVERAGEIFS('Detalle individual'!$J$5:$J$1000, 'Detalle individual'!$D$5:$D$1000, A9), ""), ""))</f>
        <v>96.8581081081081</v>
      </c>
      <c r="H9" s="6">
        <f>IF($A9="","",IF(C9&gt;0, IFERROR(_xlfn.MAXIFS('Detalle individual'!$J$5:$J$1000, 'Detalle individual'!$D$5:$D$1000, A9), ""), ""))</f>
        <v>100</v>
      </c>
      <c r="I9" s="6">
        <f>IF($A9="","",IF(C9&gt;0, IFERROR(_xlfn.MINIFS('Detalle individual'!$J$5:$J$1000, 'Detalle individual'!$D$5:$D$1000, A9), ""), ""))</f>
        <v>65</v>
      </c>
      <c r="J9" s="11">
        <f>IF($A9="","",IF(C9&gt;0, IFERROR(_xlfn.MINIFS('Detalle individual'!$G$5:$G$1000, 'Detalle individual'!$D$5:$D$1000, A9), ""), ""))</f>
        <v>46296.426412037035</v>
      </c>
      <c r="K9" s="11">
        <f>IF($A9="","",IF(C9&gt;0, IFERROR(_xlfn.MAXIFS('Detalle individual'!$H$5:$H$1000, 'Detalle individual'!$D$5:$D$1000, A9), ""), ""))</f>
        <v>46311.719502314816</v>
      </c>
      <c r="L9" s="7">
        <f>IF($A9="","",IF(C9&gt;0, IFERROR(_xlfn.MINIFS('Detalle individual'!$I$5:$I$1000, 'Detalle individual'!$D$5:$D$1000, A9), ""), ""))</f>
        <v>1.51666666666667</v>
      </c>
      <c r="M9" s="7">
        <f>IF($A9="","",IF(C9&gt;0, IFERROR(AVERAGEIFS('Detalle individual'!$I$5:$I$1000, 'Detalle individual'!$D$5:$D$1000, A9), ""), ""))</f>
        <v>12.1132882883082</v>
      </c>
      <c r="N9" s="22">
        <f>IF($A9="","",COUNTIF('Detalle individual'!$D$5:$D$1000, A9)-B9)</f>
        <v>6</v>
      </c>
    </row>
    <row r="10">
      <c r="A10" s="5" t="str">
        <f>IF(Cálculos!$AF10="","",INDEX('Detalle individual'!$D:$D,Cálculos!$AF10))</f>
        <v>Gerencia de Oficialía de Cumplimiento</v>
      </c>
      <c r="B10" s="8">
        <f>IF($A10="","",COUNTIFS('Detalle individual'!$D$5:$D$1000, A10, 'Detalle individual'!$F$5:$F$1000, "Completado")+COUNTIFS('Detalle individual'!$D$5:$D$1000, A10, 'Detalle individual'!$F$5:$F$1000, "Pendiente"))</f>
        <v>7</v>
      </c>
      <c r="C10" s="8">
        <f>IF($A10="","",COUNTIFS('Detalle individual'!$D$5:$D$1000, A10, 'Detalle individual'!$F$5:$F$1000, "Completado"))</f>
        <v>7</v>
      </c>
      <c r="D10" s="8">
        <f>IF($A10="","",B10-C10)</f>
        <v>0</v>
      </c>
      <c r="E10" s="26">
        <f>IF($A10="","",IF(B10&gt;0, C10/B10, 0))</f>
        <v>1</v>
      </c>
      <c r="F10" s="4" t="str">
        <f>IF($A10="","",IF(AND(B10&gt;0, C10=B10), "Completo", "Pendiente"))</f>
        <v>Completo</v>
      </c>
      <c r="G10" s="7">
        <f>IF($A10="","",IF(C10&gt;0, IFERROR(AVERAGEIFS('Detalle individual'!$J$5:$J$1000, 'Detalle individual'!$D$5:$D$1000, A10), ""), ""))</f>
        <v>100</v>
      </c>
      <c r="H10" s="6">
        <f>IF($A10="","",IF(C10&gt;0, IFERROR(_xlfn.MAXIFS('Detalle individual'!$J$5:$J$1000, 'Detalle individual'!$D$5:$D$1000, A10), ""), ""))</f>
        <v>100</v>
      </c>
      <c r="I10" s="6">
        <f>IF($A10="","",IF(C10&gt;0, IFERROR(_xlfn.MINIFS('Detalle individual'!$J$5:$J$1000, 'Detalle individual'!$D$5:$D$1000, A10), ""), ""))</f>
        <v>100</v>
      </c>
      <c r="J10" s="11">
        <f>IF($A10="","",IF(C10&gt;0, IFERROR(_xlfn.MINIFS('Detalle individual'!$G$5:$G$1000, 'Detalle individual'!$D$5:$D$1000, A10), ""), ""))</f>
        <v>46296.47011574074</v>
      </c>
      <c r="K10" s="11">
        <f>IF($A10="","",IF(C10&gt;0, IFERROR(_xlfn.MAXIFS('Detalle individual'!$H$5:$H$1000, 'Detalle individual'!$D$5:$D$1000, A10), ""), ""))</f>
        <v>46296.49747685185</v>
      </c>
      <c r="L10" s="7">
        <f>IF($A10="","",IF(C10&gt;0, IFERROR(_xlfn.MINIFS('Detalle individual'!$I$5:$I$1000, 'Detalle individual'!$D$5:$D$1000, A10), ""), ""))</f>
        <v>9.16666666666667</v>
      </c>
      <c r="M10" s="7">
        <f>IF($A10="","",IF(C10&gt;0, IFERROR(AVERAGEIFS('Detalle individual'!$I$5:$I$1000, 'Detalle individual'!$D$5:$D$1000, A10), ""), ""))</f>
        <v>11.9642857142857</v>
      </c>
      <c r="N10" s="22">
        <f>IF($A10="","",COUNTIF('Detalle individual'!$D$5:$D$1000, A10)-B10)</f>
        <v>0</v>
      </c>
    </row>
    <row r="11">
      <c r="A11" s="5" t="str">
        <f>IF(Cálculos!$AF11="","",INDEX('Detalle individual'!$D:$D,Cálculos!$AF11))</f>
        <v>Gerencia de Operaciones</v>
      </c>
      <c r="B11" s="8">
        <f>IF($A11="","",COUNTIFS('Detalle individual'!$D$5:$D$1000, A11, 'Detalle individual'!$F$5:$F$1000, "Completado")+COUNTIFS('Detalle individual'!$D$5:$D$1000, A11, 'Detalle individual'!$F$5:$F$1000, "Pendiente"))</f>
        <v>24</v>
      </c>
      <c r="C11" s="8">
        <f>IF($A11="","",COUNTIFS('Detalle individual'!$D$5:$D$1000, A11, 'Detalle individual'!$F$5:$F$1000, "Completado"))</f>
        <v>24</v>
      </c>
      <c r="D11" s="8">
        <f>IF($A11="","",B11-C11)</f>
        <v>0</v>
      </c>
      <c r="E11" s="26">
        <f>IF($A11="","",IF(B11&gt;0, C11/B11, 0))</f>
        <v>1</v>
      </c>
      <c r="F11" s="4" t="str">
        <f>IF($A11="","",IF(AND(B11&gt;0, C11=B11), "Completo", "Pendiente"))</f>
        <v>Completo</v>
      </c>
      <c r="G11" s="7">
        <f>IF($A11="","",IF(C11&gt;0, IFERROR(AVERAGEIFS('Detalle individual'!$J$5:$J$1000, 'Detalle individual'!$D$5:$D$1000, A11), ""), ""))</f>
        <v>95</v>
      </c>
      <c r="H11" s="6">
        <f>IF($A11="","",IF(C11&gt;0, IFERROR(_xlfn.MAXIFS('Detalle individual'!$J$5:$J$1000, 'Detalle individual'!$D$5:$D$1000, A11), ""), ""))</f>
        <v>100</v>
      </c>
      <c r="I11" s="6">
        <f>IF($A11="","",IF(C11&gt;0, IFERROR(_xlfn.MINIFS('Detalle individual'!$J$5:$J$1000, 'Detalle individual'!$D$5:$D$1000, A11), ""), ""))</f>
        <v>70</v>
      </c>
      <c r="J11" s="11">
        <f>IF($A11="","",IF(C11&gt;0, IFERROR(_xlfn.MINIFS('Detalle individual'!$G$5:$G$1000, 'Detalle individual'!$D$5:$D$1000, A11), ""), ""))</f>
        <v>46296.56951388889</v>
      </c>
      <c r="K11" s="11">
        <f>IF($A11="","",IF(C11&gt;0, IFERROR(_xlfn.MAXIFS('Detalle individual'!$H$5:$H$1000, 'Detalle individual'!$D$5:$D$1000, A11), ""), ""))</f>
        <v>46311.81412037037</v>
      </c>
      <c r="L11" s="7">
        <f>IF($A11="","",IF(C11&gt;0, IFERROR(_xlfn.MINIFS('Detalle individual'!$I$5:$I$1000, 'Detalle individual'!$D$5:$D$1000, A11), ""), ""))</f>
        <v>1.68333333333333</v>
      </c>
      <c r="M11" s="7">
        <f>IF($A11="","",IF(C11&gt;0, IFERROR(AVERAGEIFS('Detalle individual'!$I$5:$I$1000, 'Detalle individual'!$D$5:$D$1000, A11), ""), ""))</f>
        <v>9.44999999899583</v>
      </c>
      <c r="N11" s="22">
        <f>IF($A11="","",COUNTIF('Detalle individual'!$D$5:$D$1000, A11)-B11)</f>
        <v>2</v>
      </c>
    </row>
    <row r="12">
      <c r="A12" s="5" t="str">
        <f>IF(Cálculos!$AF12="","",INDEX('Detalle individual'!$D:$D,Cálculos!$AF12))</f>
        <v>Gerencia de Sistemas</v>
      </c>
      <c r="B12" s="8">
        <f>IF($A12="","",COUNTIFS('Detalle individual'!$D$5:$D$1000, A12, 'Detalle individual'!$F$5:$F$1000, "Completado")+COUNTIFS('Detalle individual'!$D$5:$D$1000, A12, 'Detalle individual'!$F$5:$F$1000, "Pendiente"))</f>
        <v>22</v>
      </c>
      <c r="C12" s="8">
        <f>IF($A12="","",COUNTIFS('Detalle individual'!$D$5:$D$1000, A12, 'Detalle individual'!$F$5:$F$1000, "Completado"))</f>
        <v>22</v>
      </c>
      <c r="D12" s="8">
        <f>IF($A12="","",B12-C12)</f>
        <v>0</v>
      </c>
      <c r="E12" s="26">
        <f>IF($A12="","",IF(B12&gt;0, C12/B12, 0))</f>
        <v>1</v>
      </c>
      <c r="F12" s="4" t="str">
        <f>IF($A12="","",IF(AND(B12&gt;0, C12=B12), "Completo", "Pendiente"))</f>
        <v>Completo</v>
      </c>
      <c r="G12" s="7">
        <f>IF($A12="","",IF(C12&gt;0, IFERROR(AVERAGEIFS('Detalle individual'!$J$5:$J$1000, 'Detalle individual'!$D$5:$D$1000, A12), ""), ""))</f>
        <v>99.5454545454546</v>
      </c>
      <c r="H12" s="6">
        <f>IF($A12="","",IF(C12&gt;0, IFERROR(_xlfn.MAXIFS('Detalle individual'!$J$5:$J$1000, 'Detalle individual'!$D$5:$D$1000, A12), ""), ""))</f>
        <v>100</v>
      </c>
      <c r="I12" s="6">
        <f>IF($A12="","",IF(C12&gt;0, IFERROR(_xlfn.MINIFS('Detalle individual'!$J$5:$J$1000, 'Detalle individual'!$D$5:$D$1000, A12), ""), ""))</f>
        <v>95</v>
      </c>
      <c r="J12" s="11">
        <f>IF($A12="","",IF(C12&gt;0, IFERROR(_xlfn.MINIFS('Detalle individual'!$G$5:$G$1000, 'Detalle individual'!$D$5:$D$1000, A12), ""), ""))</f>
        <v>46296.56962962963</v>
      </c>
      <c r="K12" s="11">
        <f>IF($A12="","",IF(C12&gt;0, IFERROR(_xlfn.MAXIFS('Detalle individual'!$H$5:$H$1000, 'Detalle individual'!$D$5:$D$1000, A12), ""), ""))</f>
        <v>46310.696747685186</v>
      </c>
      <c r="L12" s="7">
        <f>IF($A12="","",IF(C12&gt;0, IFERROR(_xlfn.MINIFS('Detalle individual'!$I$5:$I$1000, 'Detalle individual'!$D$5:$D$1000, A12), ""), ""))</f>
        <v>3.01666666666667</v>
      </c>
      <c r="M12" s="7">
        <f>IF($A12="","",IF(C12&gt;0, IFERROR(AVERAGEIFS('Detalle individual'!$I$5:$I$1000, 'Detalle individual'!$D$5:$D$1000, A12), ""), ""))</f>
        <v>13.7780303030303</v>
      </c>
      <c r="N12" s="22">
        <f>IF($A12="","",COUNTIF('Detalle individual'!$D$5:$D$1000, A12)-B12)</f>
        <v>1</v>
      </c>
    </row>
    <row r="13">
      <c r="A13" s="5" t="str">
        <f>IF(Cálculos!$AF13="","",INDEX('Detalle individual'!$D:$D,Cálculos!$AF13))</f>
        <v>Gerencia General</v>
      </c>
      <c r="B13" s="8">
        <f>IF($A13="","",COUNTIFS('Detalle individual'!$D$5:$D$1000, A13, 'Detalle individual'!$F$5:$F$1000, "Completado")+COUNTIFS('Detalle individual'!$D$5:$D$1000, A13, 'Detalle individual'!$F$5:$F$1000, "Pendiente"))</f>
        <v>13</v>
      </c>
      <c r="C13" s="8">
        <f>IF($A13="","",COUNTIFS('Detalle individual'!$D$5:$D$1000, A13, 'Detalle individual'!$F$5:$F$1000, "Completado"))</f>
        <v>13</v>
      </c>
      <c r="D13" s="8">
        <f>IF($A13="","",B13-C13)</f>
        <v>0</v>
      </c>
      <c r="E13" s="26">
        <f>IF($A13="","",IF(B13&gt;0, C13/B13, 0))</f>
        <v>1</v>
      </c>
      <c r="F13" s="4" t="str">
        <f>IF($A13="","",IF(AND(B13&gt;0, C13=B13), "Completo", "Pendiente"))</f>
        <v>Completo</v>
      </c>
      <c r="G13" s="7">
        <f>IF($A13="","",IF(C13&gt;0, IFERROR(AVERAGEIFS('Detalle individual'!$J$5:$J$1000, 'Detalle individual'!$D$5:$D$1000, A13), ""), ""))</f>
        <v>98.75</v>
      </c>
      <c r="H13" s="6">
        <f>IF($A13="","",IF(C13&gt;0, IFERROR(_xlfn.MAXIFS('Detalle individual'!$J$5:$J$1000, 'Detalle individual'!$D$5:$D$1000, A13), ""), ""))</f>
        <v>100</v>
      </c>
      <c r="I13" s="6">
        <f>IF($A13="","",IF(C13&gt;0, IFERROR(_xlfn.MINIFS('Detalle individual'!$J$5:$J$1000, 'Detalle individual'!$D$5:$D$1000, A13), ""), ""))</f>
        <v>85</v>
      </c>
      <c r="J13" s="11">
        <f>IF($A13="","",IF(C13&gt;0, IFERROR(_xlfn.MINIFS('Detalle individual'!$G$5:$G$1000, 'Detalle individual'!$D$5:$D$1000, A13), ""), ""))</f>
        <v>46296.436574074076</v>
      </c>
      <c r="K13" s="11">
        <f>IF($A13="","",IF(C13&gt;0, IFERROR(_xlfn.MAXIFS('Detalle individual'!$H$5:$H$1000, 'Detalle individual'!$D$5:$D$1000, A13), ""), ""))</f>
        <v>46305.40980324074</v>
      </c>
      <c r="L13" s="7">
        <f>IF($A13="","",IF(C13&gt;0, IFERROR(_xlfn.MINIFS('Detalle individual'!$I$5:$I$1000, 'Detalle individual'!$D$5:$D$1000, A13), ""), ""))</f>
        <v>3.05</v>
      </c>
      <c r="M13" s="7">
        <f>IF($A13="","",IF(C13&gt;0, IFERROR(AVERAGEIFS('Detalle individual'!$I$5:$I$1000, 'Detalle individual'!$D$5:$D$1000, A13), ""), ""))</f>
        <v>7.65416666666667</v>
      </c>
      <c r="N13" s="22">
        <f>IF($A13="","",COUNTIF('Detalle individual'!$D$5:$D$1000, A13)-B13)</f>
        <v>0</v>
      </c>
    </row>
    <row r="14">
      <c r="A14" s="5" t="str">
        <f>IF(Cálculos!$AF14="","",INDEX('Detalle individual'!$D:$D,Cálculos!$AF14))</f>
        <v>Gerencia Legal y Cumplimiento Normativo</v>
      </c>
      <c r="B14" s="8">
        <f>IF($A14="","",COUNTIFS('Detalle individual'!$D$5:$D$1000, A14, 'Detalle individual'!$F$5:$F$1000, "Completado")+COUNTIFS('Detalle individual'!$D$5:$D$1000, A14, 'Detalle individual'!$F$5:$F$1000, "Pendiente"))</f>
        <v>9</v>
      </c>
      <c r="C14" s="8">
        <f>IF($A14="","",COUNTIFS('Detalle individual'!$D$5:$D$1000, A14, 'Detalle individual'!$F$5:$F$1000, "Completado"))</f>
        <v>9</v>
      </c>
      <c r="D14" s="8">
        <f>IF($A14="","",B14-C14)</f>
        <v>0</v>
      </c>
      <c r="E14" s="26">
        <f>IF($A14="","",IF(B14&gt;0, C14/B14, 0))</f>
        <v>1</v>
      </c>
      <c r="F14" s="4" t="str">
        <f>IF($A14="","",IF(AND(B14&gt;0, C14=B14), "Completo", "Pendiente"))</f>
        <v>Completo</v>
      </c>
      <c r="G14" s="7">
        <f>IF($A14="","",IF(C14&gt;0, IFERROR(AVERAGEIFS('Detalle individual'!$J$5:$J$1000, 'Detalle individual'!$D$5:$D$1000, A14), ""), ""))</f>
        <v>97.7777777777778</v>
      </c>
      <c r="H14" s="6">
        <f>IF($A14="","",IF(C14&gt;0, IFERROR(_xlfn.MAXIFS('Detalle individual'!$J$5:$J$1000, 'Detalle individual'!$D$5:$D$1000, A14), ""), ""))</f>
        <v>100</v>
      </c>
      <c r="I14" s="6">
        <f>IF($A14="","",IF(C14&gt;0, IFERROR(_xlfn.MINIFS('Detalle individual'!$J$5:$J$1000, 'Detalle individual'!$D$5:$D$1000, A14), ""), ""))</f>
        <v>90</v>
      </c>
      <c r="J14" s="11">
        <f>IF($A14="","",IF(C14&gt;0, IFERROR(_xlfn.MINIFS('Detalle individual'!$G$5:$G$1000, 'Detalle individual'!$D$5:$D$1000, A14), ""), ""))</f>
        <v>46300.62287037037</v>
      </c>
      <c r="K14" s="11">
        <f>IF($A14="","",IF(C14&gt;0, IFERROR(_xlfn.MAXIFS('Detalle individual'!$H$5:$H$1000, 'Detalle individual'!$D$5:$D$1000, A14), ""), ""))</f>
        <v>46308.62107638889</v>
      </c>
      <c r="L14" s="7">
        <f>IF($A14="","",IF(C14&gt;0, IFERROR(_xlfn.MINIFS('Detalle individual'!$I$5:$I$1000, 'Detalle individual'!$D$5:$D$1000, A14), ""), ""))</f>
        <v>2.56666666666667</v>
      </c>
      <c r="M14" s="7">
        <f>IF($A14="","",IF(C14&gt;0, IFERROR(AVERAGEIFS('Detalle individual'!$I$5:$I$1000, 'Detalle individual'!$D$5:$D$1000, A14), ""), ""))</f>
        <v>12.8648148148148</v>
      </c>
      <c r="N14" s="22">
        <f>IF($A14="","",COUNTIF('Detalle individual'!$D$5:$D$1000, A14)-B14)</f>
        <v>0</v>
      </c>
    </row>
    <row r="15">
      <c r="A15" s="5" t="str">
        <f>IF(Cálculos!$AF15="","",INDEX('Detalle individual'!$D:$D,Cálculos!$AF15))</f>
        <v/>
      </c>
      <c r="B15" s="8" t="str">
        <f>IF($A15="","",COUNTIFS('Detalle individual'!$D$5:$D$1000, A15, 'Detalle individual'!$F$5:$F$1000, "Completado")+COUNTIFS('Detalle individual'!$D$5:$D$1000, A15, 'Detalle individual'!$F$5:$F$1000, "Pendiente"))</f>
        <v/>
      </c>
      <c r="C15" s="8" t="str">
        <f>IF($A15="","",COUNTIFS('Detalle individual'!$D$5:$D$1000, A15, 'Detalle individual'!$F$5:$F$1000, "Completado"))</f>
        <v/>
      </c>
      <c r="D15" s="8" t="str">
        <f>IF($A15="","",B15-C15)</f>
        <v/>
      </c>
      <c r="E15" s="26" t="str">
        <f>IF($A15="","",IF(B15&gt;0, C15/B15, 0))</f>
        <v/>
      </c>
      <c r="F15" s="4" t="str">
        <f>IF($A15="","",IF(AND(B15&gt;0, C15=B15), "Completo", "Pendiente"))</f>
        <v/>
      </c>
      <c r="G15" s="7" t="str">
        <f>IF($A15="","",IF(C15&gt;0, IFERROR(AVERAGEIFS('Detalle individual'!$J$5:$J$1000, 'Detalle individual'!$D$5:$D$1000, A15), ""), ""))</f>
        <v/>
      </c>
      <c r="H15" s="6" t="str">
        <f>IF($A15="","",IF(C15&gt;0, IFERROR(_xlfn.MAXIFS('Detalle individual'!$J$5:$J$1000, 'Detalle individual'!$D$5:$D$1000, A15), ""), ""))</f>
        <v/>
      </c>
      <c r="I15" s="6" t="str">
        <f>IF($A15="","",IF(C15&gt;0, IFERROR(_xlfn.MINIFS('Detalle individual'!$J$5:$J$1000, 'Detalle individual'!$D$5:$D$1000, A15), ""), ""))</f>
        <v/>
      </c>
      <c r="J15" s="11" t="str">
        <f>IF($A15="","",IF(C15&gt;0, IFERROR(_xlfn.MINIFS('Detalle individual'!$G$5:$G$1000, 'Detalle individual'!$D$5:$D$1000, A15), ""), ""))</f>
        <v/>
      </c>
      <c r="K15" s="11" t="str">
        <f>IF($A15="","",IF(C15&gt;0, IFERROR(_xlfn.MAXIFS('Detalle individual'!$H$5:$H$1000, 'Detalle individual'!$D$5:$D$1000, A15), ""), ""))</f>
        <v/>
      </c>
      <c r="L15" s="7" t="str">
        <f>IF($A15="","",IF(C15&gt;0, IFERROR(_xlfn.MINIFS('Detalle individual'!$I$5:$I$1000, 'Detalle individual'!$D$5:$D$1000, A15), ""), ""))</f>
        <v/>
      </c>
      <c r="M15" s="7" t="str">
        <f>IF($A15="","",IF(C15&gt;0, IFERROR(AVERAGEIFS('Detalle individual'!$I$5:$I$1000, 'Detalle individual'!$D$5:$D$1000, A15), ""), ""))</f>
        <v/>
      </c>
      <c r="N15" s="22" t="str">
        <f>IF($A15="","",COUNTIF('Detalle individual'!$D$5:$D$1000, A15)-B15)</f>
        <v/>
      </c>
    </row>
    <row r="16">
      <c r="A16" s="5" t="str">
        <f>IF(Cálculos!$AF16="","",INDEX('Detalle individual'!$D:$D,Cálculos!$AF16))</f>
        <v/>
      </c>
      <c r="B16" s="8" t="str">
        <f>IF($A16="","",COUNTIFS('Detalle individual'!$D$5:$D$1000, A16, 'Detalle individual'!$F$5:$F$1000, "Completado")+COUNTIFS('Detalle individual'!$D$5:$D$1000, A16, 'Detalle individual'!$F$5:$F$1000, "Pendiente"))</f>
        <v/>
      </c>
      <c r="C16" s="8" t="str">
        <f>IF($A16="","",COUNTIFS('Detalle individual'!$D$5:$D$1000, A16, 'Detalle individual'!$F$5:$F$1000, "Completado"))</f>
        <v/>
      </c>
      <c r="D16" s="8" t="str">
        <f>IF($A16="","",B16-C16)</f>
        <v/>
      </c>
      <c r="E16" s="26" t="str">
        <f>IF($A16="","",IF(B16&gt;0, C16/B16, 0))</f>
        <v/>
      </c>
      <c r="F16" s="4" t="str">
        <f>IF($A16="","",IF(AND(B16&gt;0, C16=B16), "Completo", "Pendiente"))</f>
        <v/>
      </c>
      <c r="G16" s="7" t="str">
        <f>IF($A16="","",IF(C16&gt;0, IFERROR(AVERAGEIFS('Detalle individual'!$J$5:$J$1000, 'Detalle individual'!$D$5:$D$1000, A16), ""), ""))</f>
        <v/>
      </c>
      <c r="H16" s="6" t="str">
        <f>IF($A16="","",IF(C16&gt;0, IFERROR(_xlfn.MAXIFS('Detalle individual'!$J$5:$J$1000, 'Detalle individual'!$D$5:$D$1000, A16), ""), ""))</f>
        <v/>
      </c>
      <c r="I16" s="6" t="str">
        <f>IF($A16="","",IF(C16&gt;0, IFERROR(_xlfn.MINIFS('Detalle individual'!$J$5:$J$1000, 'Detalle individual'!$D$5:$D$1000, A16), ""), ""))</f>
        <v/>
      </c>
      <c r="J16" s="11" t="str">
        <f>IF($A16="","",IF(C16&gt;0, IFERROR(_xlfn.MINIFS('Detalle individual'!$G$5:$G$1000, 'Detalle individual'!$D$5:$D$1000, A16), ""), ""))</f>
        <v/>
      </c>
      <c r="K16" s="11" t="str">
        <f>IF($A16="","",IF(C16&gt;0, IFERROR(_xlfn.MAXIFS('Detalle individual'!$H$5:$H$1000, 'Detalle individual'!$D$5:$D$1000, A16), ""), ""))</f>
        <v/>
      </c>
      <c r="L16" s="7" t="str">
        <f>IF($A16="","",IF(C16&gt;0, IFERROR(_xlfn.MINIFS('Detalle individual'!$I$5:$I$1000, 'Detalle individual'!$D$5:$D$1000, A16), ""), ""))</f>
        <v/>
      </c>
      <c r="M16" s="7" t="str">
        <f>IF($A16="","",IF(C16&gt;0, IFERROR(AVERAGEIFS('Detalle individual'!$I$5:$I$1000, 'Detalle individual'!$D$5:$D$1000, A16), ""), ""))</f>
        <v/>
      </c>
      <c r="N16" s="22" t="str">
        <f>IF($A16="","",COUNTIF('Detalle individual'!$D$5:$D$1000, A16)-B16)</f>
        <v/>
      </c>
    </row>
    <row r="17">
      <c r="A17" s="5" t="str">
        <f>IF(Cálculos!$AF17="","",INDEX('Detalle individual'!$D:$D,Cálculos!$AF17))</f>
        <v/>
      </c>
      <c r="B17" s="8" t="str">
        <f>IF($A17="","",COUNTIFS('Detalle individual'!$D$5:$D$1000, A17, 'Detalle individual'!$F$5:$F$1000, "Completado")+COUNTIFS('Detalle individual'!$D$5:$D$1000, A17, 'Detalle individual'!$F$5:$F$1000, "Pendiente"))</f>
        <v/>
      </c>
      <c r="C17" s="8" t="str">
        <f>IF($A17="","",COUNTIFS('Detalle individual'!$D$5:$D$1000, A17, 'Detalle individual'!$F$5:$F$1000, "Completado"))</f>
        <v/>
      </c>
      <c r="D17" s="8" t="str">
        <f>IF($A17="","",B17-C17)</f>
        <v/>
      </c>
      <c r="E17" s="26" t="str">
        <f>IF($A17="","",IF(B17&gt;0, C17/B17, 0))</f>
        <v/>
      </c>
      <c r="F17" s="4" t="str">
        <f>IF($A17="","",IF(AND(B17&gt;0, C17=B17), "Completo", "Pendiente"))</f>
        <v/>
      </c>
      <c r="G17" s="7" t="str">
        <f>IF($A17="","",IF(C17&gt;0, IFERROR(AVERAGEIFS('Detalle individual'!$J$5:$J$1000, 'Detalle individual'!$D$5:$D$1000, A17), ""), ""))</f>
        <v/>
      </c>
      <c r="H17" s="6" t="str">
        <f>IF($A17="","",IF(C17&gt;0, IFERROR(_xlfn.MAXIFS('Detalle individual'!$J$5:$J$1000, 'Detalle individual'!$D$5:$D$1000, A17), ""), ""))</f>
        <v/>
      </c>
      <c r="I17" s="6" t="str">
        <f>IF($A17="","",IF(C17&gt;0, IFERROR(_xlfn.MINIFS('Detalle individual'!$J$5:$J$1000, 'Detalle individual'!$D$5:$D$1000, A17), ""), ""))</f>
        <v/>
      </c>
      <c r="J17" s="11" t="str">
        <f>IF($A17="","",IF(C17&gt;0, IFERROR(_xlfn.MINIFS('Detalle individual'!$G$5:$G$1000, 'Detalle individual'!$D$5:$D$1000, A17), ""), ""))</f>
        <v/>
      </c>
      <c r="K17" s="11" t="str">
        <f>IF($A17="","",IF(C17&gt;0, IFERROR(_xlfn.MAXIFS('Detalle individual'!$H$5:$H$1000, 'Detalle individual'!$D$5:$D$1000, A17), ""), ""))</f>
        <v/>
      </c>
      <c r="L17" s="7" t="str">
        <f>IF($A17="","",IF(C17&gt;0, IFERROR(_xlfn.MINIFS('Detalle individual'!$I$5:$I$1000, 'Detalle individual'!$D$5:$D$1000, A17), ""), ""))</f>
        <v/>
      </c>
      <c r="M17" s="7" t="str">
        <f>IF($A17="","",IF(C17&gt;0, IFERROR(AVERAGEIFS('Detalle individual'!$I$5:$I$1000, 'Detalle individual'!$D$5:$D$1000, A17), ""), ""))</f>
        <v/>
      </c>
      <c r="N17" s="22" t="str">
        <f>IF($A17="","",COUNTIF('Detalle individual'!$D$5:$D$1000, A17)-B17)</f>
        <v/>
      </c>
    </row>
    <row r="18">
      <c r="A18" s="5" t="str">
        <f>IF(Cálculos!$AF18="","",INDEX('Detalle individual'!$D:$D,Cálculos!$AF18))</f>
        <v/>
      </c>
      <c r="B18" s="8" t="str">
        <f>IF($A18="","",COUNTIFS('Detalle individual'!$D$5:$D$1000, A18, 'Detalle individual'!$F$5:$F$1000, "Completado")+COUNTIFS('Detalle individual'!$D$5:$D$1000, A18, 'Detalle individual'!$F$5:$F$1000, "Pendiente"))</f>
        <v/>
      </c>
      <c r="C18" s="8" t="str">
        <f>IF($A18="","",COUNTIFS('Detalle individual'!$D$5:$D$1000, A18, 'Detalle individual'!$F$5:$F$1000, "Completado"))</f>
        <v/>
      </c>
      <c r="D18" s="8" t="str">
        <f>IF($A18="","",B18-C18)</f>
        <v/>
      </c>
      <c r="E18" s="26" t="str">
        <f>IF($A18="","",IF(B18&gt;0, C18/B18, 0))</f>
        <v/>
      </c>
      <c r="F18" s="4" t="str">
        <f>IF($A18="","",IF(AND(B18&gt;0, C18=B18), "Completo", "Pendiente"))</f>
        <v/>
      </c>
      <c r="G18" s="7" t="str">
        <f>IF($A18="","",IF(C18&gt;0, IFERROR(AVERAGEIFS('Detalle individual'!$J$5:$J$1000, 'Detalle individual'!$D$5:$D$1000, A18), ""), ""))</f>
        <v/>
      </c>
      <c r="H18" s="6" t="str">
        <f>IF($A18="","",IF(C18&gt;0, IFERROR(_xlfn.MAXIFS('Detalle individual'!$J$5:$J$1000, 'Detalle individual'!$D$5:$D$1000, A18), ""), ""))</f>
        <v/>
      </c>
      <c r="I18" s="6" t="str">
        <f>IF($A18="","",IF(C18&gt;0, IFERROR(_xlfn.MINIFS('Detalle individual'!$J$5:$J$1000, 'Detalle individual'!$D$5:$D$1000, A18), ""), ""))</f>
        <v/>
      </c>
      <c r="J18" s="11" t="str">
        <f>IF($A18="","",IF(C18&gt;0, IFERROR(_xlfn.MINIFS('Detalle individual'!$G$5:$G$1000, 'Detalle individual'!$D$5:$D$1000, A18), ""), ""))</f>
        <v/>
      </c>
      <c r="K18" s="11" t="str">
        <f>IF($A18="","",IF(C18&gt;0, IFERROR(_xlfn.MAXIFS('Detalle individual'!$H$5:$H$1000, 'Detalle individual'!$D$5:$D$1000, A18), ""), ""))</f>
        <v/>
      </c>
      <c r="L18" s="7" t="str">
        <f>IF($A18="","",IF(C18&gt;0, IFERROR(_xlfn.MINIFS('Detalle individual'!$I$5:$I$1000, 'Detalle individual'!$D$5:$D$1000, A18), ""), ""))</f>
        <v/>
      </c>
      <c r="M18" s="7" t="str">
        <f>IF($A18="","",IF(C18&gt;0, IFERROR(AVERAGEIFS('Detalle individual'!$I$5:$I$1000, 'Detalle individual'!$D$5:$D$1000, A18), ""), ""))</f>
        <v/>
      </c>
      <c r="N18" s="22" t="str">
        <f>IF($A18="","",COUNTIF('Detalle individual'!$D$5:$D$1000, A18)-B18)</f>
        <v/>
      </c>
    </row>
    <row r="19">
      <c r="A19" s="5" t="str">
        <f>IF(Cálculos!$AF19="","",INDEX('Detalle individual'!$D:$D,Cálculos!$AF19))</f>
        <v/>
      </c>
      <c r="B19" s="8" t="str">
        <f>IF($A19="","",COUNTIFS('Detalle individual'!$D$5:$D$1000, A19, 'Detalle individual'!$F$5:$F$1000, "Completado")+COUNTIFS('Detalle individual'!$D$5:$D$1000, A19, 'Detalle individual'!$F$5:$F$1000, "Pendiente"))</f>
        <v/>
      </c>
      <c r="C19" s="8" t="str">
        <f>IF($A19="","",COUNTIFS('Detalle individual'!$D$5:$D$1000, A19, 'Detalle individual'!$F$5:$F$1000, "Completado"))</f>
        <v/>
      </c>
      <c r="D19" s="8" t="str">
        <f>IF($A19="","",B19-C19)</f>
        <v/>
      </c>
      <c r="E19" s="26" t="str">
        <f>IF($A19="","",IF(B19&gt;0, C19/B19, 0))</f>
        <v/>
      </c>
      <c r="F19" s="4" t="str">
        <f>IF($A19="","",IF(AND(B19&gt;0, C19=B19), "Completo", "Pendiente"))</f>
        <v/>
      </c>
      <c r="G19" s="7" t="str">
        <f>IF($A19="","",IF(C19&gt;0, IFERROR(AVERAGEIFS('Detalle individual'!$J$5:$J$1000, 'Detalle individual'!$D$5:$D$1000, A19), ""), ""))</f>
        <v/>
      </c>
      <c r="H19" s="6" t="str">
        <f>IF($A19="","",IF(C19&gt;0, IFERROR(_xlfn.MAXIFS('Detalle individual'!$J$5:$J$1000, 'Detalle individual'!$D$5:$D$1000, A19), ""), ""))</f>
        <v/>
      </c>
      <c r="I19" s="6" t="str">
        <f>IF($A19="","",IF(C19&gt;0, IFERROR(_xlfn.MINIFS('Detalle individual'!$J$5:$J$1000, 'Detalle individual'!$D$5:$D$1000, A19), ""), ""))</f>
        <v/>
      </c>
      <c r="J19" s="11" t="str">
        <f>IF($A19="","",IF(C19&gt;0, IFERROR(_xlfn.MINIFS('Detalle individual'!$G$5:$G$1000, 'Detalle individual'!$D$5:$D$1000, A19), ""), ""))</f>
        <v/>
      </c>
      <c r="K19" s="11" t="str">
        <f>IF($A19="","",IF(C19&gt;0, IFERROR(_xlfn.MAXIFS('Detalle individual'!$H$5:$H$1000, 'Detalle individual'!$D$5:$D$1000, A19), ""), ""))</f>
        <v/>
      </c>
      <c r="L19" s="7" t="str">
        <f>IF($A19="","",IF(C19&gt;0, IFERROR(_xlfn.MINIFS('Detalle individual'!$I$5:$I$1000, 'Detalle individual'!$D$5:$D$1000, A19), ""), ""))</f>
        <v/>
      </c>
      <c r="M19" s="7" t="str">
        <f>IF($A19="","",IF(C19&gt;0, IFERROR(AVERAGEIFS('Detalle individual'!$I$5:$I$1000, 'Detalle individual'!$D$5:$D$1000, A19), ""), ""))</f>
        <v/>
      </c>
      <c r="N19" s="22" t="str">
        <f>IF($A19="","",COUNTIF('Detalle individual'!$D$5:$D$1000, A19)-B19)</f>
        <v/>
      </c>
    </row>
    <row r="20">
      <c r="A20" s="5" t="str">
        <f>IF(Cálculos!$AF20="","",INDEX('Detalle individual'!$D:$D,Cálculos!$AF20))</f>
        <v/>
      </c>
      <c r="B20" s="8" t="str">
        <f>IF($A20="","",COUNTIFS('Detalle individual'!$D$5:$D$1000, A20, 'Detalle individual'!$F$5:$F$1000, "Completado")+COUNTIFS('Detalle individual'!$D$5:$D$1000, A20, 'Detalle individual'!$F$5:$F$1000, "Pendiente"))</f>
        <v/>
      </c>
      <c r="C20" s="8" t="str">
        <f>IF($A20="","",COUNTIFS('Detalle individual'!$D$5:$D$1000, A20, 'Detalle individual'!$F$5:$F$1000, "Completado"))</f>
        <v/>
      </c>
      <c r="D20" s="8" t="str">
        <f>IF($A20="","",B20-C20)</f>
        <v/>
      </c>
      <c r="E20" s="26" t="str">
        <f>IF($A20="","",IF(B20&gt;0, C20/B20, 0))</f>
        <v/>
      </c>
      <c r="F20" s="4" t="str">
        <f>IF($A20="","",IF(AND(B20&gt;0, C20=B20), "Completo", "Pendiente"))</f>
        <v/>
      </c>
      <c r="G20" s="7" t="str">
        <f>IF($A20="","",IF(C20&gt;0, IFERROR(AVERAGEIFS('Detalle individual'!$J$5:$J$1000, 'Detalle individual'!$D$5:$D$1000, A20), ""), ""))</f>
        <v/>
      </c>
      <c r="H20" s="6" t="str">
        <f>IF($A20="","",IF(C20&gt;0, IFERROR(_xlfn.MAXIFS('Detalle individual'!$J$5:$J$1000, 'Detalle individual'!$D$5:$D$1000, A20), ""), ""))</f>
        <v/>
      </c>
      <c r="I20" s="6" t="str">
        <f>IF($A20="","",IF(C20&gt;0, IFERROR(_xlfn.MINIFS('Detalle individual'!$J$5:$J$1000, 'Detalle individual'!$D$5:$D$1000, A20), ""), ""))</f>
        <v/>
      </c>
      <c r="J20" s="11" t="str">
        <f>IF($A20="","",IF(C20&gt;0, IFERROR(_xlfn.MINIFS('Detalle individual'!$G$5:$G$1000, 'Detalle individual'!$D$5:$D$1000, A20), ""), ""))</f>
        <v/>
      </c>
      <c r="K20" s="11" t="str">
        <f>IF($A20="","",IF(C20&gt;0, IFERROR(_xlfn.MAXIFS('Detalle individual'!$H$5:$H$1000, 'Detalle individual'!$D$5:$D$1000, A20), ""), ""))</f>
        <v/>
      </c>
      <c r="L20" s="7" t="str">
        <f>IF($A20="","",IF(C20&gt;0, IFERROR(_xlfn.MINIFS('Detalle individual'!$I$5:$I$1000, 'Detalle individual'!$D$5:$D$1000, A20), ""), ""))</f>
        <v/>
      </c>
      <c r="M20" s="7" t="str">
        <f>IF($A20="","",IF(C20&gt;0, IFERROR(AVERAGEIFS('Detalle individual'!$I$5:$I$1000, 'Detalle individual'!$D$5:$D$1000, A20), ""), ""))</f>
        <v/>
      </c>
      <c r="N20" s="22" t="str">
        <f>IF($A20="","",COUNTIF('Detalle individual'!$D$5:$D$1000, A20)-B20)</f>
        <v/>
      </c>
    </row>
    <row r="21">
      <c r="A21" s="5" t="str">
        <f>IF(Cálculos!$AF21="","",INDEX('Detalle individual'!$D:$D,Cálculos!$AF21))</f>
        <v/>
      </c>
      <c r="B21" s="8" t="str">
        <f>IF($A21="","",COUNTIFS('Detalle individual'!$D$5:$D$1000, A21, 'Detalle individual'!$F$5:$F$1000, "Completado")+COUNTIFS('Detalle individual'!$D$5:$D$1000, A21, 'Detalle individual'!$F$5:$F$1000, "Pendiente"))</f>
        <v/>
      </c>
      <c r="C21" s="8" t="str">
        <f>IF($A21="","",COUNTIFS('Detalle individual'!$D$5:$D$1000, A21, 'Detalle individual'!$F$5:$F$1000, "Completado"))</f>
        <v/>
      </c>
      <c r="D21" s="8" t="str">
        <f>IF($A21="","",B21-C21)</f>
        <v/>
      </c>
      <c r="E21" s="26" t="str">
        <f>IF($A21="","",IF(B21&gt;0, C21/B21, 0))</f>
        <v/>
      </c>
      <c r="F21" s="4" t="str">
        <f>IF($A21="","",IF(AND(B21&gt;0, C21=B21), "Completo", "Pendiente"))</f>
        <v/>
      </c>
      <c r="G21" s="7" t="str">
        <f>IF($A21="","",IF(C21&gt;0, IFERROR(AVERAGEIFS('Detalle individual'!$J$5:$J$1000, 'Detalle individual'!$D$5:$D$1000, A21), ""), ""))</f>
        <v/>
      </c>
      <c r="H21" s="6" t="str">
        <f>IF($A21="","",IF(C21&gt;0, IFERROR(_xlfn.MAXIFS('Detalle individual'!$J$5:$J$1000, 'Detalle individual'!$D$5:$D$1000, A21), ""), ""))</f>
        <v/>
      </c>
      <c r="I21" s="6" t="str">
        <f>IF($A21="","",IF(C21&gt;0, IFERROR(_xlfn.MINIFS('Detalle individual'!$J$5:$J$1000, 'Detalle individual'!$D$5:$D$1000, A21), ""), ""))</f>
        <v/>
      </c>
      <c r="J21" s="11" t="str">
        <f>IF($A21="","",IF(C21&gt;0, IFERROR(_xlfn.MINIFS('Detalle individual'!$G$5:$G$1000, 'Detalle individual'!$D$5:$D$1000, A21), ""), ""))</f>
        <v/>
      </c>
      <c r="K21" s="11" t="str">
        <f>IF($A21="","",IF(C21&gt;0, IFERROR(_xlfn.MAXIFS('Detalle individual'!$H$5:$H$1000, 'Detalle individual'!$D$5:$D$1000, A21), ""), ""))</f>
        <v/>
      </c>
      <c r="L21" s="7" t="str">
        <f>IF($A21="","",IF(C21&gt;0, IFERROR(_xlfn.MINIFS('Detalle individual'!$I$5:$I$1000, 'Detalle individual'!$D$5:$D$1000, A21), ""), ""))</f>
        <v/>
      </c>
      <c r="M21" s="7" t="str">
        <f>IF($A21="","",IF(C21&gt;0, IFERROR(AVERAGEIFS('Detalle individual'!$I$5:$I$1000, 'Detalle individual'!$D$5:$D$1000, A21), ""), ""))</f>
        <v/>
      </c>
      <c r="N21" s="22" t="str">
        <f>IF($A21="","",COUNTIF('Detalle individual'!$D$5:$D$1000, A21)-B21)</f>
        <v/>
      </c>
    </row>
    <row r="22">
      <c r="A22" s="5" t="str">
        <f>IF(Cálculos!$AF22="","",INDEX('Detalle individual'!$D:$D,Cálculos!$AF22))</f>
        <v/>
      </c>
      <c r="B22" s="8" t="str">
        <f>IF($A22="","",COUNTIFS('Detalle individual'!$D$5:$D$1000, A22, 'Detalle individual'!$F$5:$F$1000, "Completado")+COUNTIFS('Detalle individual'!$D$5:$D$1000, A22, 'Detalle individual'!$F$5:$F$1000, "Pendiente"))</f>
        <v/>
      </c>
      <c r="C22" s="8" t="str">
        <f>IF($A22="","",COUNTIFS('Detalle individual'!$D$5:$D$1000, A22, 'Detalle individual'!$F$5:$F$1000, "Completado"))</f>
        <v/>
      </c>
      <c r="D22" s="8" t="str">
        <f>IF($A22="","",B22-C22)</f>
        <v/>
      </c>
      <c r="E22" s="26" t="str">
        <f>IF($A22="","",IF(B22&gt;0, C22/B22, 0))</f>
        <v/>
      </c>
      <c r="F22" s="4" t="str">
        <f>IF($A22="","",IF(AND(B22&gt;0, C22=B22), "Completo", "Pendiente"))</f>
        <v/>
      </c>
      <c r="G22" s="7" t="str">
        <f>IF($A22="","",IF(C22&gt;0, IFERROR(AVERAGEIFS('Detalle individual'!$J$5:$J$1000, 'Detalle individual'!$D$5:$D$1000, A22), ""), ""))</f>
        <v/>
      </c>
      <c r="H22" s="6" t="str">
        <f>IF($A22="","",IF(C22&gt;0, IFERROR(_xlfn.MAXIFS('Detalle individual'!$J$5:$J$1000, 'Detalle individual'!$D$5:$D$1000, A22), ""), ""))</f>
        <v/>
      </c>
      <c r="I22" s="6" t="str">
        <f>IF($A22="","",IF(C22&gt;0, IFERROR(_xlfn.MINIFS('Detalle individual'!$J$5:$J$1000, 'Detalle individual'!$D$5:$D$1000, A22), ""), ""))</f>
        <v/>
      </c>
      <c r="J22" s="11" t="str">
        <f>IF($A22="","",IF(C22&gt;0, IFERROR(_xlfn.MINIFS('Detalle individual'!$G$5:$G$1000, 'Detalle individual'!$D$5:$D$1000, A22), ""), ""))</f>
        <v/>
      </c>
      <c r="K22" s="11" t="str">
        <f>IF($A22="","",IF(C22&gt;0, IFERROR(_xlfn.MAXIFS('Detalle individual'!$H$5:$H$1000, 'Detalle individual'!$D$5:$D$1000, A22), ""), ""))</f>
        <v/>
      </c>
      <c r="L22" s="7" t="str">
        <f>IF($A22="","",IF(C22&gt;0, IFERROR(_xlfn.MINIFS('Detalle individual'!$I$5:$I$1000, 'Detalle individual'!$D$5:$D$1000, A22), ""), ""))</f>
        <v/>
      </c>
      <c r="M22" s="7" t="str">
        <f>IF($A22="","",IF(C22&gt;0, IFERROR(AVERAGEIFS('Detalle individual'!$I$5:$I$1000, 'Detalle individual'!$D$5:$D$1000, A22), ""), ""))</f>
        <v/>
      </c>
      <c r="N22" s="22" t="str">
        <f>IF($A22="","",COUNTIF('Detalle individual'!$D$5:$D$1000, A22)-B22)</f>
        <v/>
      </c>
    </row>
    <row r="23">
      <c r="A23" s="5" t="str">
        <f>IF(Cálculos!$AF23="","",INDEX('Detalle individual'!$D:$D,Cálculos!$AF23))</f>
        <v/>
      </c>
      <c r="B23" s="8" t="str">
        <f>IF($A23="","",COUNTIFS('Detalle individual'!$D$5:$D$1000, A23, 'Detalle individual'!$F$5:$F$1000, "Completado")+COUNTIFS('Detalle individual'!$D$5:$D$1000, A23, 'Detalle individual'!$F$5:$F$1000, "Pendiente"))</f>
        <v/>
      </c>
      <c r="C23" s="8" t="str">
        <f>IF($A23="","",COUNTIFS('Detalle individual'!$D$5:$D$1000, A23, 'Detalle individual'!$F$5:$F$1000, "Completado"))</f>
        <v/>
      </c>
      <c r="D23" s="8" t="str">
        <f>IF($A23="","",B23-C23)</f>
        <v/>
      </c>
      <c r="E23" s="26" t="str">
        <f>IF($A23="","",IF(B23&gt;0, C23/B23, 0))</f>
        <v/>
      </c>
      <c r="F23" s="4" t="str">
        <f>IF($A23="","",IF(AND(B23&gt;0, C23=B23), "Completo", "Pendiente"))</f>
        <v/>
      </c>
      <c r="G23" s="7" t="str">
        <f>IF($A23="","",IF(C23&gt;0, IFERROR(AVERAGEIFS('Detalle individual'!$J$5:$J$1000, 'Detalle individual'!$D$5:$D$1000, A23), ""), ""))</f>
        <v/>
      </c>
      <c r="H23" s="6" t="str">
        <f>IF($A23="","",IF(C23&gt;0, IFERROR(_xlfn.MAXIFS('Detalle individual'!$J$5:$J$1000, 'Detalle individual'!$D$5:$D$1000, A23), ""), ""))</f>
        <v/>
      </c>
      <c r="I23" s="6" t="str">
        <f>IF($A23="","",IF(C23&gt;0, IFERROR(_xlfn.MINIFS('Detalle individual'!$J$5:$J$1000, 'Detalle individual'!$D$5:$D$1000, A23), ""), ""))</f>
        <v/>
      </c>
      <c r="J23" s="11" t="str">
        <f>IF($A23="","",IF(C23&gt;0, IFERROR(_xlfn.MINIFS('Detalle individual'!$G$5:$G$1000, 'Detalle individual'!$D$5:$D$1000, A23), ""), ""))</f>
        <v/>
      </c>
      <c r="K23" s="11" t="str">
        <f>IF($A23="","",IF(C23&gt;0, IFERROR(_xlfn.MAXIFS('Detalle individual'!$H$5:$H$1000, 'Detalle individual'!$D$5:$D$1000, A23), ""), ""))</f>
        <v/>
      </c>
      <c r="L23" s="7" t="str">
        <f>IF($A23="","",IF(C23&gt;0, IFERROR(_xlfn.MINIFS('Detalle individual'!$I$5:$I$1000, 'Detalle individual'!$D$5:$D$1000, A23), ""), ""))</f>
        <v/>
      </c>
      <c r="M23" s="7" t="str">
        <f>IF($A23="","",IF(C23&gt;0, IFERROR(AVERAGEIFS('Detalle individual'!$I$5:$I$1000, 'Detalle individual'!$D$5:$D$1000, A23), ""), ""))</f>
        <v/>
      </c>
      <c r="N23" s="22" t="str">
        <f>IF($A23="","",COUNTIF('Detalle individual'!$D$5:$D$1000, A23)-B23)</f>
        <v/>
      </c>
    </row>
    <row r="24">
      <c r="A24" s="5" t="str">
        <f>IF(Cálculos!$AF24="","",INDEX('Detalle individual'!$D:$D,Cálculos!$AF24))</f>
        <v/>
      </c>
      <c r="B24" s="8" t="str">
        <f>IF($A24="","",COUNTIFS('Detalle individual'!$D$5:$D$1000, A24, 'Detalle individual'!$F$5:$F$1000, "Completado")+COUNTIFS('Detalle individual'!$D$5:$D$1000, A24, 'Detalle individual'!$F$5:$F$1000, "Pendiente"))</f>
        <v/>
      </c>
      <c r="C24" s="8" t="str">
        <f>IF($A24="","",COUNTIFS('Detalle individual'!$D$5:$D$1000, A24, 'Detalle individual'!$F$5:$F$1000, "Completado"))</f>
        <v/>
      </c>
      <c r="D24" s="8" t="str">
        <f>IF($A24="","",B24-C24)</f>
        <v/>
      </c>
      <c r="E24" s="26" t="str">
        <f>IF($A24="","",IF(B24&gt;0, C24/B24, 0))</f>
        <v/>
      </c>
      <c r="F24" s="4" t="str">
        <f>IF($A24="","",IF(AND(B24&gt;0, C24=B24), "Completo", "Pendiente"))</f>
        <v/>
      </c>
      <c r="G24" s="7" t="str">
        <f>IF($A24="","",IF(C24&gt;0, IFERROR(AVERAGEIFS('Detalle individual'!$J$5:$J$1000, 'Detalle individual'!$D$5:$D$1000, A24), ""), ""))</f>
        <v/>
      </c>
      <c r="H24" s="6" t="str">
        <f>IF($A24="","",IF(C24&gt;0, IFERROR(_xlfn.MAXIFS('Detalle individual'!$J$5:$J$1000, 'Detalle individual'!$D$5:$D$1000, A24), ""), ""))</f>
        <v/>
      </c>
      <c r="I24" s="6" t="str">
        <f>IF($A24="","",IF(C24&gt;0, IFERROR(_xlfn.MINIFS('Detalle individual'!$J$5:$J$1000, 'Detalle individual'!$D$5:$D$1000, A24), ""), ""))</f>
        <v/>
      </c>
      <c r="J24" s="11" t="str">
        <f>IF($A24="","",IF(C24&gt;0, IFERROR(_xlfn.MINIFS('Detalle individual'!$G$5:$G$1000, 'Detalle individual'!$D$5:$D$1000, A24), ""), ""))</f>
        <v/>
      </c>
      <c r="K24" s="11" t="str">
        <f>IF($A24="","",IF(C24&gt;0, IFERROR(_xlfn.MAXIFS('Detalle individual'!$H$5:$H$1000, 'Detalle individual'!$D$5:$D$1000, A24), ""), ""))</f>
        <v/>
      </c>
      <c r="L24" s="7" t="str">
        <f>IF($A24="","",IF(C24&gt;0, IFERROR(_xlfn.MINIFS('Detalle individual'!$I$5:$I$1000, 'Detalle individual'!$D$5:$D$1000, A24), ""), ""))</f>
        <v/>
      </c>
      <c r="M24" s="7" t="str">
        <f>IF($A24="","",IF(C24&gt;0, IFERROR(AVERAGEIFS('Detalle individual'!$I$5:$I$1000, 'Detalle individual'!$D$5:$D$1000, A24), ""), ""))</f>
        <v/>
      </c>
      <c r="N24" s="22" t="str">
        <f>IF($A24="","",COUNTIF('Detalle individual'!$D$5:$D$1000, A24)-B24)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F4E78"/>
    <outlinePr summaryBelow="1" summaryRight="1"/>
    <pageSetUpPr/>
  </sheetPr>
  <dimension ref="B1:R93"/>
  <sheetViews>
    <sheetView showGridLines="0" zoomScale="90" workbookViewId="0">
      <pane ySplit="6" topLeftCell="A7" activePane="bottomLeft" state="frozen"/>
      <selection pane="bottomLeft" activeCell="T15" sqref="T15"/>
    </sheetView>
  </sheetViews>
  <sheetFormatPr baseColWidth="10" defaultColWidth="8.88671875" defaultRowHeight="14.4"/>
  <cols>
    <col width="2" customWidth="1" style="38" min="1" max="1"/>
    <col width="5" customWidth="1" style="38" min="2" max="2"/>
    <col width="14" customWidth="1" style="38" min="3" max="6"/>
    <col width="12" customWidth="1" style="38" min="7" max="9"/>
    <col width="11" customWidth="1" style="38" min="10" max="10"/>
    <col width="12" customWidth="1" style="38" min="11" max="11"/>
    <col width="11" customWidth="1" style="38" min="12" max="14"/>
    <col width="10" customWidth="1" style="38" min="15" max="15"/>
    <col width="13" customWidth="1" style="38" min="16" max="16"/>
    <col hidden="1" width="4" customWidth="1" style="38" min="18" max="18"/>
  </cols>
  <sheetData>
    <row r="1" ht="34.05" customHeight="1" s="38">
      <c r="B1" s="50" t="inlineStr">
        <is>
          <t>DASHBOARD GERENCIAL</t>
        </is>
      </c>
    </row>
    <row r="2" ht="22.05" customHeight="1" s="38">
      <c r="B2" s="41" t="inlineStr">
        <is>
          <t>Seleccione una gerencia en la celda amarilla para ver sus indicadores y el avance de cada departamento</t>
        </is>
      </c>
    </row>
    <row r="3" ht="7.95" customHeight="1" s="38"/>
    <row r="4">
      <c r="B4" s="63" t="inlineStr">
        <is>
          <t>GERENCIA SELECCIONADA</t>
        </is>
      </c>
    </row>
    <row r="5" ht="25.95" customHeight="1" s="38">
      <c r="B5" s="80" t="inlineStr">
        <is>
          <t>Todas las gerencias</t>
        </is>
      </c>
      <c r="C5" s="81" t="n"/>
      <c r="D5" s="81" t="n"/>
      <c r="E5" s="81" t="n"/>
      <c r="F5" s="82" t="n"/>
      <c r="H5" s="79" t="str">
        <f>HYPERLINK("#'Estado por Colaborador'!A1","Ver la lista de colaboradores pendientes y completados  →")</f>
        <v>Ver la lista de colaboradores pendientes y completados  →</v>
      </c>
    </row>
    <row r="6" ht="10.05" customHeight="1" s="38"/>
    <row r="7">
      <c r="C7" s="129" t="inlineStr">
        <is>
          <t>PERSONAL ESPERADO</t>
        </is>
      </c>
      <c r="D7" s="130" t="n"/>
      <c r="E7" s="131" t="n"/>
      <c r="F7" s="77" t="inlineStr">
        <is>
          <t>COMPLETADOS</t>
        </is>
      </c>
      <c r="G7" s="66" t="n"/>
      <c r="H7" s="67" t="n"/>
      <c r="I7" s="83" t="inlineStr">
        <is>
          <t>PENDIENTES</t>
        </is>
      </c>
      <c r="J7" s="58" t="n"/>
      <c r="K7" s="59" t="n"/>
      <c r="L7" s="129" t="inlineStr">
        <is>
          <t>% CUMPLIMIENTO</t>
        </is>
      </c>
      <c r="M7" s="130" t="n"/>
      <c r="N7" s="131" t="n"/>
      <c r="O7" s="129" t="inlineStr">
        <is>
          <t>NOTA PROMEDIO</t>
        </is>
      </c>
      <c r="P7" s="131" t="n"/>
    </row>
    <row r="8" ht="22.05" customHeight="1" s="38">
      <c r="C8" s="132">
        <f>IF($B$5="Todas las gerencias",SUM('Consolidado por Gerencia'!$B$5:$B$24),SUMIF('Consolidado por Gerencia'!$A$5:$A$24,$B$5,'Consolidado por Gerencia'!$B$5:$B$24))</f>
        <v>283</v>
      </c>
      <c r="E8" s="43" t="n"/>
      <c r="F8" s="133">
        <f>IF($B$5="Todas las gerencias",SUM('Consolidado por Gerencia'!$C$5:$C$24),SUMIF('Consolidado por Gerencia'!$A$5:$A$24,$B$5,'Consolidado por Gerencia'!$C$5:$C$24))</f>
        <v>283</v>
      </c>
      <c r="H8" s="43" t="n"/>
      <c r="I8" s="134">
        <f>C8-F8</f>
        <v>0</v>
      </c>
      <c r="K8" s="43" t="n"/>
      <c r="L8" s="135">
        <f>IF(C8&gt;0,F8/C8,0)</f>
        <v>1</v>
      </c>
      <c r="N8" s="43" t="n"/>
      <c r="O8" s="136">
        <f>IFERROR(IF($B$5="Todas las gerencias",AVERAGE('Detalle individual'!$J$5:$J$1000),AVERAGEIFS('Detalle individual'!$J$5:$J$1000,'Detalle individual'!$D$5:$D$1000,$B$5)),"-")</f>
        <v>96.8794326241135</v>
      </c>
      <c r="P8" s="43" t="n"/>
    </row>
    <row r="9" ht="22.05" customHeight="1" s="38">
      <c r="C9" s="44" t="n"/>
      <c r="E9" s="43" t="n"/>
      <c r="F9" s="44" t="n"/>
      <c r="H9" s="43" t="n"/>
      <c r="I9" s="44" t="n"/>
      <c r="K9" s="43" t="n"/>
      <c r="L9" s="44" t="n"/>
      <c r="N9" s="43" t="n"/>
      <c r="O9" s="44" t="n"/>
      <c r="P9" s="43" t="n"/>
    </row>
    <row r="10">
      <c r="C10" s="137" t="n"/>
      <c r="D10" s="138" t="n"/>
      <c r="E10" s="139" t="n"/>
      <c r="F10" s="137" t="n"/>
      <c r="G10" s="138" t="n"/>
      <c r="H10" s="139" t="n"/>
      <c r="I10" s="137" t="n"/>
      <c r="J10" s="138" t="n"/>
      <c r="K10" s="139" t="n"/>
      <c r="L10" s="137" t="n"/>
      <c r="M10" s="138" t="n"/>
      <c r="N10" s="139" t="n"/>
      <c r="O10" s="140" t="n"/>
      <c r="P10" s="139" t="n"/>
    </row>
    <row r="11" ht="12" customHeight="1" s="38"/>
    <row r="12">
      <c r="B12" s="78" t="inlineStr">
        <is>
          <t>AVANCE POR DEPARTAMENTO (ordenado de mayor a menor cumplimiento)</t>
        </is>
      </c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  <c r="P12" s="70" t="n"/>
    </row>
    <row r="13" ht="30" customHeight="1" s="38">
      <c r="B13" s="75" t="inlineStr">
        <is>
          <t>#</t>
        </is>
      </c>
      <c r="C13" s="75" t="inlineStr">
        <is>
          <t>Departamento / Agencia</t>
        </is>
      </c>
      <c r="G13" s="75" t="inlineStr">
        <is>
          <t>Gerencia</t>
        </is>
      </c>
      <c r="J13" s="75" t="inlineStr">
        <is>
          <t>Esperado</t>
        </is>
      </c>
      <c r="K13" s="75" t="inlineStr">
        <is>
          <t>Completados</t>
        </is>
      </c>
      <c r="L13" s="75" t="inlineStr">
        <is>
          <t>Pendientes</t>
        </is>
      </c>
      <c r="M13" s="75" t="inlineStr">
        <is>
          <t>% Cumplimiento</t>
        </is>
      </c>
      <c r="O13" s="75" t="inlineStr">
        <is>
          <t>Nota prom.</t>
        </is>
      </c>
      <c r="P13" s="75" t="inlineStr">
        <is>
          <t>Estado</t>
        </is>
      </c>
    </row>
    <row r="14" ht="18" customHeight="1" s="38">
      <c r="B14" s="13">
        <f>IF($R14="","",1)</f>
        <v>1</v>
      </c>
      <c r="C14" s="72" t="str">
        <f>IF($R14="","",INDEX(Cálculos!$O:$O,$R14))</f>
        <v>DEPARTAMENTO DE SERVICIOS GENERALES</v>
      </c>
      <c r="G14" s="72" t="str">
        <f>IF($R14="","",INDEX(Cálculos!$P:$P,$R14))</f>
        <v>Gerencia Administrativa</v>
      </c>
      <c r="J14" s="13">
        <f>IF($R14="","",INDEX(Cálculos!$Q:$Q,$R14))</f>
        <v>17</v>
      </c>
      <c r="K14" s="13">
        <f>IF($R14="","",INDEX(Cálculos!$M:$M,$R14))</f>
        <v>17</v>
      </c>
      <c r="L14" s="13">
        <f>IF($R14="","",INDEX(Cálculos!$N:$N,$R14))</f>
        <v>0</v>
      </c>
      <c r="M14" s="74">
        <f>IF($R14="","",INDEX(Cálculos!$R:$R,$R14))</f>
        <v>1</v>
      </c>
      <c r="O14" s="15">
        <f>IF($R14="","",INDEX(Cálculos!$S:$S,$R14))</f>
        <v>89.7058823529412</v>
      </c>
      <c r="P14" s="13" t="str">
        <f>IF($R14="","",IF(M14&gt;=1,"Completo","Pendiente"))</f>
        <v>Completo</v>
      </c>
      <c r="R14">
        <f>IFERROR(SMALL(Cálculos!$T$30:$T$109,1),"")</f>
        <v>30</v>
      </c>
    </row>
    <row r="15" ht="18" customHeight="1" s="38">
      <c r="B15" s="13">
        <f>IF($R15="","",2)</f>
        <v>2</v>
      </c>
      <c r="C15" s="72" t="str">
        <f>IF($R15="","",INDEX(Cálculos!$O:$O,$R15))</f>
        <v>AGENCIA CENTRAL</v>
      </c>
      <c r="G15" s="72" t="str">
        <f>IF($R15="","",INDEX(Cálculos!$P:$P,$R15))</f>
        <v>Gerencia de Negocios</v>
      </c>
      <c r="J15" s="13">
        <f>IF($R15="","",INDEX(Cálculos!$Q:$Q,$R15))</f>
        <v>16</v>
      </c>
      <c r="K15" s="13">
        <f>IF($R15="","",INDEX(Cálculos!$M:$M,$R15))</f>
        <v>16</v>
      </c>
      <c r="L15" s="13">
        <f>IF($R15="","",INDEX(Cálculos!$N:$N,$R15))</f>
        <v>0</v>
      </c>
      <c r="M15" s="74">
        <f>IF($R15="","",INDEX(Cálculos!$R:$R,$R15))</f>
        <v>1</v>
      </c>
      <c r="O15" s="15">
        <f>IF($R15="","",INDEX(Cálculos!$S:$S,$R15))</f>
        <v>96.25</v>
      </c>
      <c r="P15" s="13" t="str">
        <f>IF($R15="","",IF(M15&gt;=1,"Completo","Pendiente"))</f>
        <v>Completo</v>
      </c>
      <c r="R15">
        <f>IFERROR(SMALL(Cálculos!$T$30:$T$109,2),"")</f>
        <v>31</v>
      </c>
    </row>
    <row r="16" ht="18" customHeight="1" s="38">
      <c r="B16" s="13">
        <f>IF($R16="","",3)</f>
        <v>3</v>
      </c>
      <c r="C16" s="72" t="str">
        <f>IF($R16="","",INDEX(Cálculos!$O:$O,$R16))</f>
        <v>AGENCIA COLONIA MEDICA</v>
      </c>
      <c r="G16" s="72" t="str">
        <f>IF($R16="","",INDEX(Cálculos!$P:$P,$R16))</f>
        <v>Gerencia de Negocios</v>
      </c>
      <c r="J16" s="13">
        <f>IF($R16="","",INDEX(Cálculos!$Q:$Q,$R16))</f>
        <v>16</v>
      </c>
      <c r="K16" s="13">
        <f>IF($R16="","",INDEX(Cálculos!$M:$M,$R16))</f>
        <v>16</v>
      </c>
      <c r="L16" s="13">
        <f>IF($R16="","",INDEX(Cálculos!$N:$N,$R16))</f>
        <v>0</v>
      </c>
      <c r="M16" s="74">
        <f>IF($R16="","",INDEX(Cálculos!$R:$R,$R16))</f>
        <v>1</v>
      </c>
      <c r="O16" s="15">
        <f>IF($R16="","",INDEX(Cálculos!$S:$S,$R16))</f>
        <v>97.8125</v>
      </c>
      <c r="P16" s="13" t="str">
        <f>IF($R16="","",IF(M16&gt;=1,"Completo","Pendiente"))</f>
        <v>Completo</v>
      </c>
      <c r="R16">
        <f>IFERROR(SMALL(Cálculos!$T$30:$T$109,3),"")</f>
        <v>32</v>
      </c>
    </row>
    <row r="17" ht="18" customHeight="1" s="38">
      <c r="B17" s="13">
        <f>IF($R17="","",4)</f>
        <v>4</v>
      </c>
      <c r="C17" s="72" t="str">
        <f>IF($R17="","",INDEX(Cálculos!$O:$O,$R17))</f>
        <v>AGENCIA MERLIOT</v>
      </c>
      <c r="G17" s="72" t="str">
        <f>IF($R17="","",INDEX(Cálculos!$P:$P,$R17))</f>
        <v>Gerencia de Negocios</v>
      </c>
      <c r="J17" s="13">
        <f>IF($R17="","",INDEX(Cálculos!$Q:$Q,$R17))</f>
        <v>13</v>
      </c>
      <c r="K17" s="13">
        <f>IF($R17="","",INDEX(Cálculos!$M:$M,$R17))</f>
        <v>13</v>
      </c>
      <c r="L17" s="13">
        <f>IF($R17="","",INDEX(Cálculos!$N:$N,$R17))</f>
        <v>0</v>
      </c>
      <c r="M17" s="74">
        <f>IF($R17="","",INDEX(Cálculos!$R:$R,$R17))</f>
        <v>1</v>
      </c>
      <c r="O17" s="15">
        <f>IF($R17="","",INDEX(Cálculos!$S:$S,$R17))</f>
        <v>95.7692307692308</v>
      </c>
      <c r="P17" s="13" t="str">
        <f>IF($R17="","",IF(M17&gt;=1,"Completo","Pendiente"))</f>
        <v>Completo</v>
      </c>
      <c r="R17">
        <f>IFERROR(SMALL(Cálculos!$T$30:$T$109,4),"")</f>
        <v>33</v>
      </c>
    </row>
    <row r="18" ht="18" customHeight="1" s="38">
      <c r="B18" s="13">
        <f>IF($R18="","",5)</f>
        <v>5</v>
      </c>
      <c r="C18" s="72" t="str">
        <f>IF($R18="","",INDEX(Cálculos!$O:$O,$R18))</f>
        <v>DEPARTAMENTO DE CONTABILIDAD</v>
      </c>
      <c r="G18" s="72" t="str">
        <f>IF($R18="","",INDEX(Cálculos!$P:$P,$R18))</f>
        <v>Gerencia de Finanzas y Planificación</v>
      </c>
      <c r="J18" s="13">
        <f>IF($R18="","",INDEX(Cálculos!$Q:$Q,$R18))</f>
        <v>13</v>
      </c>
      <c r="K18" s="13">
        <f>IF($R18="","",INDEX(Cálculos!$M:$M,$R18))</f>
        <v>13</v>
      </c>
      <c r="L18" s="13">
        <f>IF($R18="","",INDEX(Cálculos!$N:$N,$R18))</f>
        <v>0</v>
      </c>
      <c r="M18" s="74">
        <f>IF($R18="","",INDEX(Cálculos!$R:$R,$R18))</f>
        <v>1</v>
      </c>
      <c r="O18" s="15">
        <f>IF($R18="","",INDEX(Cálculos!$S:$S,$R18))</f>
        <v>98.0769230769231</v>
      </c>
      <c r="P18" s="13" t="str">
        <f>IF($R18="","",IF(M18&gt;=1,"Completo","Pendiente"))</f>
        <v>Completo</v>
      </c>
      <c r="R18">
        <f>IFERROR(SMALL(Cálculos!$T$30:$T$109,5),"")</f>
        <v>34</v>
      </c>
    </row>
    <row r="19" ht="18" customHeight="1" s="38">
      <c r="B19" s="13">
        <f>IF($R19="","",6)</f>
        <v>6</v>
      </c>
      <c r="C19" s="72" t="str">
        <f>IF($R19="","",INDEX(Cálculos!$O:$O,$R19))</f>
        <v>DEPARTAMENTO DE CREDITOS</v>
      </c>
      <c r="G19" s="72" t="str">
        <f>IF($R19="","",INDEX(Cálculos!$P:$P,$R19))</f>
        <v>Gerencia de Negocios</v>
      </c>
      <c r="J19" s="13">
        <f>IF($R19="","",INDEX(Cálculos!$Q:$Q,$R19))</f>
        <v>13</v>
      </c>
      <c r="K19" s="13">
        <f>IF($R19="","",INDEX(Cálculos!$M:$M,$R19))</f>
        <v>13</v>
      </c>
      <c r="L19" s="13">
        <f>IF($R19="","",INDEX(Cálculos!$N:$N,$R19))</f>
        <v>0</v>
      </c>
      <c r="M19" s="74">
        <f>IF($R19="","",INDEX(Cálculos!$R:$R,$R19))</f>
        <v>1</v>
      </c>
      <c r="O19" s="15">
        <f>IF($R19="","",INDEX(Cálculos!$S:$S,$R19))</f>
        <v>98.4615384615385</v>
      </c>
      <c r="P19" s="13" t="str">
        <f>IF($R19="","",IF(M19&gt;=1,"Completo","Pendiente"))</f>
        <v>Completo</v>
      </c>
      <c r="R19">
        <f>IFERROR(SMALL(Cálculos!$T$30:$T$109,6),"")</f>
        <v>35</v>
      </c>
    </row>
    <row r="20" ht="18" customHeight="1" s="38">
      <c r="B20" s="13">
        <f>IF($R20="","",7)</f>
        <v>7</v>
      </c>
      <c r="C20" s="72" t="str">
        <f>IF($R20="","",INDEX(Cálculos!$O:$O,$R20))</f>
        <v>AGENCIA COLEGIO MEDICO</v>
      </c>
      <c r="G20" s="72" t="str">
        <f>IF($R20="","",INDEX(Cálculos!$P:$P,$R20))</f>
        <v>Gerencia de Negocios</v>
      </c>
      <c r="J20" s="13">
        <f>IF($R20="","",INDEX(Cálculos!$Q:$Q,$R20))</f>
        <v>11</v>
      </c>
      <c r="K20" s="13">
        <f>IF($R20="","",INDEX(Cálculos!$M:$M,$R20))</f>
        <v>11</v>
      </c>
      <c r="L20" s="13">
        <f>IF($R20="","",INDEX(Cálculos!$N:$N,$R20))</f>
        <v>0</v>
      </c>
      <c r="M20" s="74">
        <f>IF($R20="","",INDEX(Cálculos!$R:$R,$R20))</f>
        <v>1</v>
      </c>
      <c r="O20" s="15">
        <f>IF($R20="","",INDEX(Cálculos!$S:$S,$R20))</f>
        <v>97.2727272727273</v>
      </c>
      <c r="P20" s="13" t="str">
        <f>IF($R20="","",IF(M20&gt;=1,"Completo","Pendiente"))</f>
        <v>Completo</v>
      </c>
      <c r="R20">
        <f>IFERROR(SMALL(Cálculos!$T$30:$T$109,7),"")</f>
        <v>36</v>
      </c>
    </row>
    <row r="21" ht="18" customHeight="1" s="38">
      <c r="B21" s="13">
        <f>IF($R21="","",8)</f>
        <v>8</v>
      </c>
      <c r="C21" s="72" t="str">
        <f>IF($R21="","",INDEX(Cálculos!$O:$O,$R21))</f>
        <v>DEPARTAMENTO DE ANALISIS Y PROGRAMACIÓN</v>
      </c>
      <c r="G21" s="72" t="str">
        <f>IF($R21="","",INDEX(Cálculos!$P:$P,$R21))</f>
        <v>Gerencia de Sistemas</v>
      </c>
      <c r="J21" s="13">
        <f>IF($R21="","",INDEX(Cálculos!$Q:$Q,$R21))</f>
        <v>11</v>
      </c>
      <c r="K21" s="13">
        <f>IF($R21="","",INDEX(Cálculos!$M:$M,$R21))</f>
        <v>11</v>
      </c>
      <c r="L21" s="13">
        <f>IF($R21="","",INDEX(Cálculos!$N:$N,$R21))</f>
        <v>0</v>
      </c>
      <c r="M21" s="74">
        <f>IF($R21="","",INDEX(Cálculos!$R:$R,$R21))</f>
        <v>1</v>
      </c>
      <c r="O21" s="15">
        <f>IF($R21="","",INDEX(Cálculos!$S:$S,$R21))</f>
        <v>100</v>
      </c>
      <c r="P21" s="13" t="str">
        <f>IF($R21="","",IF(M21&gt;=1,"Completo","Pendiente"))</f>
        <v>Completo</v>
      </c>
      <c r="R21">
        <f>IFERROR(SMALL(Cálculos!$T$30:$T$109,8),"")</f>
        <v>37</v>
      </c>
    </row>
    <row r="22" ht="18" customHeight="1" s="38">
      <c r="B22" s="13">
        <f>IF($R22="","",9)</f>
        <v>9</v>
      </c>
      <c r="C22" s="72" t="str">
        <f>IF($R22="","",INDEX(Cálculos!$O:$O,$R22))</f>
        <v>DEPARTAMENTO DE SEGUROS</v>
      </c>
      <c r="G22" s="72" t="str">
        <f>IF($R22="","",INDEX(Cálculos!$P:$P,$R22))</f>
        <v>Gerencia de Negocios</v>
      </c>
      <c r="J22" s="13">
        <f>IF($R22="","",INDEX(Cálculos!$Q:$Q,$R22))</f>
        <v>10</v>
      </c>
      <c r="K22" s="13">
        <f>IF($R22="","",INDEX(Cálculos!$M:$M,$R22))</f>
        <v>10</v>
      </c>
      <c r="L22" s="13">
        <f>IF($R22="","",INDEX(Cálculos!$N:$N,$R22))</f>
        <v>0</v>
      </c>
      <c r="M22" s="74">
        <f>IF($R22="","",INDEX(Cálculos!$R:$R,$R22))</f>
        <v>1</v>
      </c>
      <c r="O22" s="15">
        <f>IF($R22="","",INDEX(Cálculos!$S:$S,$R22))</f>
        <v>97</v>
      </c>
      <c r="P22" s="13" t="str">
        <f>IF($R22="","",IF(M22&gt;=1,"Completo","Pendiente"))</f>
        <v>Completo</v>
      </c>
      <c r="R22">
        <f>IFERROR(SMALL(Cálculos!$T$30:$T$109,9),"")</f>
        <v>38</v>
      </c>
    </row>
    <row r="23" ht="18" customHeight="1" s="38">
      <c r="B23" s="13">
        <f>IF($R23="","",10)</f>
        <v>10</v>
      </c>
      <c r="C23" s="72" t="str">
        <f>IF($R23="","",INDEX(Cálculos!$O:$O,$R23))</f>
        <v>DEPARTAMENTO DE SOLUCIONES FINANCIERAS</v>
      </c>
      <c r="G23" s="72" t="str">
        <f>IF($R23="","",INDEX(Cálculos!$P:$P,$R23))</f>
        <v>Gerencia de Operaciones</v>
      </c>
      <c r="J23" s="13">
        <f>IF($R23="","",INDEX(Cálculos!$Q:$Q,$R23))</f>
        <v>9</v>
      </c>
      <c r="K23" s="13">
        <f>IF($R23="","",INDEX(Cálculos!$M:$M,$R23))</f>
        <v>9</v>
      </c>
      <c r="L23" s="13">
        <f>IF($R23="","",INDEX(Cálculos!$N:$N,$R23))</f>
        <v>0</v>
      </c>
      <c r="M23" s="74">
        <f>IF($R23="","",INDEX(Cálculos!$R:$R,$R23))</f>
        <v>1</v>
      </c>
      <c r="O23" s="15">
        <f>IF($R23="","",INDEX(Cálculos!$S:$S,$R23))</f>
        <v>87.7777777777778</v>
      </c>
      <c r="P23" s="13" t="str">
        <f>IF($R23="","",IF(M23&gt;=1,"Completo","Pendiente"))</f>
        <v>Completo</v>
      </c>
      <c r="R23">
        <f>IFERROR(SMALL(Cálculos!$T$30:$T$109,10),"")</f>
        <v>39</v>
      </c>
    </row>
    <row r="24" ht="18" customHeight="1" s="38">
      <c r="B24" s="13">
        <f>IF($R24="","",11)</f>
        <v>11</v>
      </c>
      <c r="C24" s="72" t="str">
        <f>IF($R24="","",INDEX(Cálculos!$O:$O,$R24))</f>
        <v>AGENCIA PLAZA MUNDO</v>
      </c>
      <c r="G24" s="72" t="str">
        <f>IF($R24="","",INDEX(Cálculos!$P:$P,$R24))</f>
        <v>Gerencia de Negocios</v>
      </c>
      <c r="J24" s="13">
        <f>IF($R24="","",INDEX(Cálculos!$Q:$Q,$R24))</f>
        <v>8</v>
      </c>
      <c r="K24" s="13">
        <f>IF($R24="","",INDEX(Cálculos!$M:$M,$R24))</f>
        <v>8</v>
      </c>
      <c r="L24" s="13">
        <f>IF($R24="","",INDEX(Cálculos!$N:$N,$R24))</f>
        <v>0</v>
      </c>
      <c r="M24" s="74">
        <f>IF($R24="","",INDEX(Cálculos!$R:$R,$R24))</f>
        <v>1</v>
      </c>
      <c r="O24" s="15">
        <f>IF($R24="","",INDEX(Cálculos!$S:$S,$R24))</f>
        <v>98.75</v>
      </c>
      <c r="P24" s="13" t="str">
        <f>IF($R24="","",IF(M24&gt;=1,"Completo","Pendiente"))</f>
        <v>Completo</v>
      </c>
      <c r="R24">
        <f>IFERROR(SMALL(Cálculos!$T$30:$T$109,11),"")</f>
        <v>40</v>
      </c>
    </row>
    <row r="25" ht="18" customHeight="1" s="38">
      <c r="B25" s="13">
        <f>IF($R25="","",12)</f>
        <v>12</v>
      </c>
      <c r="C25" s="72" t="str">
        <f>IF($R25="","",INDEX(Cálculos!$O:$O,$R25))</f>
        <v>AGENCIA SANTA ANA</v>
      </c>
      <c r="G25" s="72" t="str">
        <f>IF($R25="","",INDEX(Cálculos!$P:$P,$R25))</f>
        <v>Gerencia de Negocios</v>
      </c>
      <c r="J25" s="13">
        <f>IF($R25="","",INDEX(Cálculos!$Q:$Q,$R25))</f>
        <v>8</v>
      </c>
      <c r="K25" s="13">
        <f>IF($R25="","",INDEX(Cálculos!$M:$M,$R25))</f>
        <v>8</v>
      </c>
      <c r="L25" s="13">
        <f>IF($R25="","",INDEX(Cálculos!$N:$N,$R25))</f>
        <v>0</v>
      </c>
      <c r="M25" s="74">
        <f>IF($R25="","",INDEX(Cálculos!$R:$R,$R25))</f>
        <v>1</v>
      </c>
      <c r="O25" s="15">
        <f>IF($R25="","",INDEX(Cálculos!$S:$S,$R25))</f>
        <v>97.5</v>
      </c>
      <c r="P25" s="13" t="str">
        <f>IF($R25="","",IF(M25&gt;=1,"Completo","Pendiente"))</f>
        <v>Completo</v>
      </c>
      <c r="R25">
        <f>IFERROR(SMALL(Cálculos!$T$30:$T$109,12),"")</f>
        <v>41</v>
      </c>
    </row>
    <row r="26" ht="18" customHeight="1" s="38">
      <c r="B26" s="13">
        <f>IF($R26="","",13)</f>
        <v>13</v>
      </c>
      <c r="C26" s="72" t="str">
        <f>IF($R26="","",INDEX(Cálculos!$O:$O,$R26))</f>
        <v>DEPARTAMENTO LEGAL</v>
      </c>
      <c r="G26" s="72" t="str">
        <f>IF($R26="","",INDEX(Cálculos!$P:$P,$R26))</f>
        <v>Gerencia Legal y Cumplimiento Normativo</v>
      </c>
      <c r="J26" s="13">
        <f>IF($R26="","",INDEX(Cálculos!$Q:$Q,$R26))</f>
        <v>8</v>
      </c>
      <c r="K26" s="13">
        <f>IF($R26="","",INDEX(Cálculos!$M:$M,$R26))</f>
        <v>8</v>
      </c>
      <c r="L26" s="13">
        <f>IF($R26="","",INDEX(Cálculos!$N:$N,$R26))</f>
        <v>0</v>
      </c>
      <c r="M26" s="74">
        <f>IF($R26="","",INDEX(Cálculos!$R:$R,$R26))</f>
        <v>1</v>
      </c>
      <c r="O26" s="15">
        <f>IF($R26="","",INDEX(Cálculos!$S:$S,$R26))</f>
        <v>97.5</v>
      </c>
      <c r="P26" s="13" t="str">
        <f>IF($R26="","",IF(M26&gt;=1,"Completo","Pendiente"))</f>
        <v>Completo</v>
      </c>
      <c r="R26">
        <f>IFERROR(SMALL(Cálculos!$T$30:$T$109,13),"")</f>
        <v>42</v>
      </c>
    </row>
    <row r="27" ht="18" customHeight="1" s="38">
      <c r="B27" s="13">
        <f>IF($R27="","",14)</f>
        <v>14</v>
      </c>
      <c r="C27" s="72" t="str">
        <f>IF($R27="","",INDEX(Cálculos!$O:$O,$R27))</f>
        <v>AGENCIA SAN MIGUEL</v>
      </c>
      <c r="G27" s="72" t="str">
        <f>IF($R27="","",INDEX(Cálculos!$P:$P,$R27))</f>
        <v>Gerencia de Negocios</v>
      </c>
      <c r="J27" s="13">
        <f>IF($R27="","",INDEX(Cálculos!$Q:$Q,$R27))</f>
        <v>7</v>
      </c>
      <c r="K27" s="13">
        <f>IF($R27="","",INDEX(Cálculos!$M:$M,$R27))</f>
        <v>7</v>
      </c>
      <c r="L27" s="13">
        <f>IF($R27="","",INDEX(Cálculos!$N:$N,$R27))</f>
        <v>0</v>
      </c>
      <c r="M27" s="74">
        <f>IF($R27="","",INDEX(Cálculos!$R:$R,$R27))</f>
        <v>1</v>
      </c>
      <c r="O27" s="15">
        <f>IF($R27="","",INDEX(Cálculos!$S:$S,$R27))</f>
        <v>98.5714285714286</v>
      </c>
      <c r="P27" s="13" t="str">
        <f>IF($R27="","",IF(M27&gt;=1,"Completo","Pendiente"))</f>
        <v>Completo</v>
      </c>
      <c r="R27">
        <f>IFERROR(SMALL(Cálculos!$T$30:$T$109,14),"")</f>
        <v>43</v>
      </c>
    </row>
    <row r="28" ht="18" customHeight="1" s="38">
      <c r="B28" s="13">
        <f>IF($R28="","",15)</f>
        <v>15</v>
      </c>
      <c r="C28" s="72" t="str">
        <f>IF($R28="","",INDEX(Cálculos!$O:$O,$R28))</f>
        <v>AGENCIA SONSONATE</v>
      </c>
      <c r="G28" s="72" t="str">
        <f>IF($R28="","",INDEX(Cálculos!$P:$P,$R28))</f>
        <v>Gerencia de Negocios</v>
      </c>
      <c r="J28" s="13">
        <f>IF($R28="","",INDEX(Cálculos!$Q:$Q,$R28))</f>
        <v>7</v>
      </c>
      <c r="K28" s="13">
        <f>IF($R28="","",INDEX(Cálculos!$M:$M,$R28))</f>
        <v>7</v>
      </c>
      <c r="L28" s="13">
        <f>IF($R28="","",INDEX(Cálculos!$N:$N,$R28))</f>
        <v>0</v>
      </c>
      <c r="M28" s="74">
        <f>IF($R28="","",INDEX(Cálculos!$R:$R,$R28))</f>
        <v>1</v>
      </c>
      <c r="O28" s="15">
        <f>IF($R28="","",INDEX(Cálculos!$S:$S,$R28))</f>
        <v>97.1428571428571</v>
      </c>
      <c r="P28" s="13" t="str">
        <f>IF($R28="","",IF(M28&gt;=1,"Completo","Pendiente"))</f>
        <v>Completo</v>
      </c>
      <c r="R28">
        <f>IFERROR(SMALL(Cálculos!$T$30:$T$109,15),"")</f>
        <v>44</v>
      </c>
    </row>
    <row r="29" ht="18" customHeight="1" s="38">
      <c r="B29" s="13">
        <f>IF($R29="","",16)</f>
        <v>16</v>
      </c>
      <c r="C29" s="72" t="str">
        <f>IF($R29="","",INDEX(Cálculos!$O:$O,$R29))</f>
        <v>AGENCIA USULUTAN</v>
      </c>
      <c r="G29" s="72" t="str">
        <f>IF($R29="","",INDEX(Cálculos!$P:$P,$R29))</f>
        <v>Gerencia de Negocios</v>
      </c>
      <c r="J29" s="13">
        <f>IF($R29="","",INDEX(Cálculos!$Q:$Q,$R29))</f>
        <v>7</v>
      </c>
      <c r="K29" s="13">
        <f>IF($R29="","",INDEX(Cálculos!$M:$M,$R29))</f>
        <v>7</v>
      </c>
      <c r="L29" s="13">
        <f>IF($R29="","",INDEX(Cálculos!$N:$N,$R29))</f>
        <v>0</v>
      </c>
      <c r="M29" s="74">
        <f>IF($R29="","",INDEX(Cálculos!$R:$R,$R29))</f>
        <v>1</v>
      </c>
      <c r="O29" s="15">
        <f>IF($R29="","",INDEX(Cálculos!$S:$S,$R29))</f>
        <v>100</v>
      </c>
      <c r="P29" s="13" t="str">
        <f>IF($R29="","",IF(M29&gt;=1,"Completo","Pendiente"))</f>
        <v>Completo</v>
      </c>
      <c r="R29">
        <f>IFERROR(SMALL(Cálculos!$T$30:$T$109,16),"")</f>
        <v>45</v>
      </c>
    </row>
    <row r="30" ht="18" customHeight="1" s="38">
      <c r="B30" s="13">
        <f>IF($R30="","",17)</f>
        <v>17</v>
      </c>
      <c r="C30" s="72" t="str">
        <f>IF($R30="","",INDEX(Cálculos!$O:$O,$R30))</f>
        <v>DEPARTAMENTO COMERCIAL DE TARJETA DE CREDITO Y DEBITO</v>
      </c>
      <c r="G30" s="72" t="str">
        <f>IF($R30="","",INDEX(Cálculos!$P:$P,$R30))</f>
        <v>Gerencia de Negocios</v>
      </c>
      <c r="J30" s="13">
        <f>IF($R30="","",INDEX(Cálculos!$Q:$Q,$R30))</f>
        <v>7</v>
      </c>
      <c r="K30" s="13">
        <f>IF($R30="","",INDEX(Cálculos!$M:$M,$R30))</f>
        <v>7</v>
      </c>
      <c r="L30" s="13">
        <f>IF($R30="","",INDEX(Cálculos!$N:$N,$R30))</f>
        <v>0</v>
      </c>
      <c r="M30" s="74">
        <f>IF($R30="","",INDEX(Cálculos!$R:$R,$R30))</f>
        <v>1</v>
      </c>
      <c r="O30" s="15">
        <f>IF($R30="","",INDEX(Cálculos!$S:$S,$R30))</f>
        <v>86.4285714285714</v>
      </c>
      <c r="P30" s="13" t="str">
        <f>IF($R30="","",IF(M30&gt;=1,"Completo","Pendiente"))</f>
        <v>Completo</v>
      </c>
      <c r="R30">
        <f>IFERROR(SMALL(Cálculos!$T$30:$T$109,17),"")</f>
        <v>46</v>
      </c>
    </row>
    <row r="31" ht="18" customHeight="1" s="38">
      <c r="B31" s="13">
        <f>IF($R31="","",18)</f>
        <v>18</v>
      </c>
      <c r="C31" s="72" t="str">
        <f>IF($R31="","",INDEX(Cálculos!$O:$O,$R31))</f>
        <v>DEPARTAMENTO DE ATENCION A ASOCIADO Y CLIENTE</v>
      </c>
      <c r="G31" s="72" t="str">
        <f>IF($R31="","",INDEX(Cálculos!$P:$P,$R31))</f>
        <v>Gerencia de Negocios</v>
      </c>
      <c r="J31" s="13">
        <f>IF($R31="","",INDEX(Cálculos!$Q:$Q,$R31))</f>
        <v>7</v>
      </c>
      <c r="K31" s="13">
        <f>IF($R31="","",INDEX(Cálculos!$M:$M,$R31))</f>
        <v>7</v>
      </c>
      <c r="L31" s="13">
        <f>IF($R31="","",INDEX(Cálculos!$N:$N,$R31))</f>
        <v>0</v>
      </c>
      <c r="M31" s="74">
        <f>IF($R31="","",INDEX(Cálculos!$R:$R,$R31))</f>
        <v>1</v>
      </c>
      <c r="O31" s="15">
        <f>IF($R31="","",INDEX(Cálculos!$S:$S,$R31))</f>
        <v>95.7142857142857</v>
      </c>
      <c r="P31" s="13" t="str">
        <f>IF($R31="","",IF(M31&gt;=1,"Completo","Pendiente"))</f>
        <v>Completo</v>
      </c>
      <c r="R31">
        <f>IFERROR(SMALL(Cálculos!$T$30:$T$109,18),"")</f>
        <v>47</v>
      </c>
    </row>
    <row r="32" ht="18" customHeight="1" s="38">
      <c r="B32" s="13">
        <f>IF($R32="","",19)</f>
        <v>19</v>
      </c>
      <c r="C32" s="72" t="str">
        <f>IF($R32="","",INDEX(Cálculos!$O:$O,$R32))</f>
        <v>DEPARTAMENTO DE AUDITORIA INTERNA</v>
      </c>
      <c r="G32" s="72" t="str">
        <f>IF($R32="","",INDEX(Cálculos!$P:$P,$R32))</f>
        <v>Auditoría Interna</v>
      </c>
      <c r="J32" s="13">
        <f>IF($R32="","",INDEX(Cálculos!$Q:$Q,$R32))</f>
        <v>7</v>
      </c>
      <c r="K32" s="13">
        <f>IF($R32="","",INDEX(Cálculos!$M:$M,$R32))</f>
        <v>7</v>
      </c>
      <c r="L32" s="13">
        <f>IF($R32="","",INDEX(Cálculos!$N:$N,$R32))</f>
        <v>0</v>
      </c>
      <c r="M32" s="74">
        <f>IF($R32="","",INDEX(Cálculos!$R:$R,$R32))</f>
        <v>1</v>
      </c>
      <c r="O32" s="15">
        <f>IF($R32="","",INDEX(Cálculos!$S:$S,$R32))</f>
        <v>97.1428571428571</v>
      </c>
      <c r="P32" s="13" t="str">
        <f>IF($R32="","",IF(M32&gt;=1,"Completo","Pendiente"))</f>
        <v>Completo</v>
      </c>
      <c r="R32">
        <f>IFERROR(SMALL(Cálculos!$T$30:$T$109,19),"")</f>
        <v>48</v>
      </c>
    </row>
    <row r="33" ht="18" customHeight="1" s="38">
      <c r="B33" s="13">
        <f>IF($R33="","",20)</f>
        <v>20</v>
      </c>
      <c r="C33" s="72" t="str">
        <f>IF($R33="","",INDEX(Cálculos!$O:$O,$R33))</f>
        <v>DEPARTAMENTO DE MERCADEO</v>
      </c>
      <c r="G33" s="72" t="str">
        <f>IF($R33="","",INDEX(Cálculos!$P:$P,$R33))</f>
        <v>Gerencia de Negocios</v>
      </c>
      <c r="J33" s="13">
        <f>IF($R33="","",INDEX(Cálculos!$Q:$Q,$R33))</f>
        <v>7</v>
      </c>
      <c r="K33" s="13">
        <f>IF($R33="","",INDEX(Cálculos!$M:$M,$R33))</f>
        <v>7</v>
      </c>
      <c r="L33" s="13">
        <f>IF($R33="","",INDEX(Cálculos!$N:$N,$R33))</f>
        <v>0</v>
      </c>
      <c r="M33" s="74">
        <f>IF($R33="","",INDEX(Cálculos!$R:$R,$R33))</f>
        <v>1</v>
      </c>
      <c r="O33" s="15">
        <f>IF($R33="","",INDEX(Cálculos!$S:$S,$R33))</f>
        <v>94.2857142857143</v>
      </c>
      <c r="P33" s="13" t="str">
        <f>IF($R33="","",IF(M33&gt;=1,"Completo","Pendiente"))</f>
        <v>Completo</v>
      </c>
      <c r="R33">
        <f>IFERROR(SMALL(Cálculos!$T$30:$T$109,20),"")</f>
        <v>49</v>
      </c>
    </row>
    <row r="34" ht="18" customHeight="1" s="38">
      <c r="B34" s="13">
        <f>IF($R34="","",21)</f>
        <v>21</v>
      </c>
      <c r="C34" s="72" t="str">
        <f>IF($R34="","",INDEX(Cálculos!$O:$O,$R34))</f>
        <v>OFICIALIA DE CUMPLIMIENTO</v>
      </c>
      <c r="G34" s="72" t="str">
        <f>IF($R34="","",INDEX(Cálculos!$P:$P,$R34))</f>
        <v>Gerencia de Oficialía de Cumplimiento</v>
      </c>
      <c r="J34" s="13">
        <f>IF($R34="","",INDEX(Cálculos!$Q:$Q,$R34))</f>
        <v>7</v>
      </c>
      <c r="K34" s="13">
        <f>IF($R34="","",INDEX(Cálculos!$M:$M,$R34))</f>
        <v>7</v>
      </c>
      <c r="L34" s="13">
        <f>IF($R34="","",INDEX(Cálculos!$N:$N,$R34))</f>
        <v>0</v>
      </c>
      <c r="M34" s="74">
        <f>IF($R34="","",INDEX(Cálculos!$R:$R,$R34))</f>
        <v>1</v>
      </c>
      <c r="O34" s="15">
        <f>IF($R34="","",INDEX(Cálculos!$S:$S,$R34))</f>
        <v>100</v>
      </c>
      <c r="P34" s="13" t="str">
        <f>IF($R34="","",IF(M34&gt;=1,"Completo","Pendiente"))</f>
        <v>Completo</v>
      </c>
      <c r="R34">
        <f>IFERROR(SMALL(Cálculos!$T$30:$T$109,21),"")</f>
        <v>50</v>
      </c>
    </row>
    <row r="35" ht="18" customHeight="1" s="38">
      <c r="B35" s="13">
        <f>IF($R35="","",22)</f>
        <v>22</v>
      </c>
      <c r="C35" s="72" t="str">
        <f>IF($R35="","",INDEX(Cálculos!$O:$O,$R35))</f>
        <v>SUB GERENCIA DE CANALES</v>
      </c>
      <c r="G35" s="72" t="str">
        <f>IF($R35="","",INDEX(Cálculos!$P:$P,$R35))</f>
        <v>Gerencia de Negocios</v>
      </c>
      <c r="J35" s="13">
        <f>IF($R35="","",INDEX(Cálculos!$Q:$Q,$R35))</f>
        <v>7</v>
      </c>
      <c r="K35" s="13">
        <f>IF($R35="","",INDEX(Cálculos!$M:$M,$R35))</f>
        <v>7</v>
      </c>
      <c r="L35" s="13">
        <f>IF($R35="","",INDEX(Cálculos!$N:$N,$R35))</f>
        <v>0</v>
      </c>
      <c r="M35" s="74">
        <f>IF($R35="","",INDEX(Cálculos!$R:$R,$R35))</f>
        <v>1</v>
      </c>
      <c r="O35" s="15">
        <f>IF($R35="","",INDEX(Cálculos!$S:$S,$R35))</f>
        <v>98.5714285714286</v>
      </c>
      <c r="P35" s="13" t="str">
        <f>IF($R35="","",IF(M35&gt;=1,"Completo","Pendiente"))</f>
        <v>Completo</v>
      </c>
      <c r="R35">
        <f>IFERROR(SMALL(Cálculos!$T$30:$T$109,22),"")</f>
        <v>51</v>
      </c>
    </row>
    <row r="36" ht="18" customHeight="1" s="38">
      <c r="B36" s="13">
        <f>IF($R36="","",23)</f>
        <v>23</v>
      </c>
      <c r="C36" s="72" t="str">
        <f>IF($R36="","",INDEX(Cálculos!$O:$O,$R36))</f>
        <v>DEPARTAMENTO DE CUSTODIA DE GARANTÍA Y VALORES</v>
      </c>
      <c r="G36" s="72" t="str">
        <f>IF($R36="","",INDEX(Cálculos!$P:$P,$R36))</f>
        <v>Gerencia Administrativa</v>
      </c>
      <c r="J36" s="13">
        <f>IF($R36="","",INDEX(Cálculos!$Q:$Q,$R36))</f>
        <v>6</v>
      </c>
      <c r="K36" s="13">
        <f>IF($R36="","",INDEX(Cálculos!$M:$M,$R36))</f>
        <v>6</v>
      </c>
      <c r="L36" s="13">
        <f>IF($R36="","",INDEX(Cálculos!$N:$N,$R36))</f>
        <v>0</v>
      </c>
      <c r="M36" s="74">
        <f>IF($R36="","",INDEX(Cálculos!$R:$R,$R36))</f>
        <v>1</v>
      </c>
      <c r="O36" s="15">
        <f>IF($R36="","",INDEX(Cálculos!$S:$S,$R36))</f>
        <v>100</v>
      </c>
      <c r="P36" s="13" t="str">
        <f>IF($R36="","",IF(M36&gt;=1,"Completo","Pendiente"))</f>
        <v>Completo</v>
      </c>
      <c r="R36">
        <f>IFERROR(SMALL(Cálculos!$T$30:$T$109,23),"")</f>
        <v>52</v>
      </c>
    </row>
    <row r="37" ht="18" customHeight="1" s="38">
      <c r="B37" s="13">
        <f>IF($R37="","",24)</f>
        <v>24</v>
      </c>
      <c r="C37" s="72" t="str">
        <f>IF($R37="","",INDEX(Cálculos!$O:$O,$R37))</f>
        <v>DEPARTAMENTO DE OPERACIONES Y SOPORTE TECNICO</v>
      </c>
      <c r="G37" s="72" t="str">
        <f>IF($R37="","",INDEX(Cálculos!$P:$P,$R37))</f>
        <v>Gerencia de Sistemas</v>
      </c>
      <c r="J37" s="13">
        <f>IF($R37="","",INDEX(Cálculos!$Q:$Q,$R37))</f>
        <v>6</v>
      </c>
      <c r="K37" s="13">
        <f>IF($R37="","",INDEX(Cálculos!$M:$M,$R37))</f>
        <v>6</v>
      </c>
      <c r="L37" s="13">
        <f>IF($R37="","",INDEX(Cálculos!$N:$N,$R37))</f>
        <v>0</v>
      </c>
      <c r="M37" s="74">
        <f>IF($R37="","",INDEX(Cálculos!$R:$R,$R37))</f>
        <v>1</v>
      </c>
      <c r="O37" s="15">
        <f>IF($R37="","",INDEX(Cálculos!$S:$S,$R37))</f>
        <v>100</v>
      </c>
      <c r="P37" s="13" t="str">
        <f>IF($R37="","",IF(M37&gt;=1,"Completo","Pendiente"))</f>
        <v>Completo</v>
      </c>
      <c r="R37">
        <f>IFERROR(SMALL(Cálculos!$T$30:$T$109,24),"")</f>
        <v>53</v>
      </c>
    </row>
    <row r="38" ht="18" customHeight="1" s="38">
      <c r="B38" s="13">
        <f>IF($R38="","",25)</f>
        <v>25</v>
      </c>
      <c r="C38" s="72" t="str">
        <f>IF($R38="","",INDEX(Cálculos!$O:$O,$R38))</f>
        <v>ADMINISTRACIÓN DE CARTERAS</v>
      </c>
      <c r="G38" s="72" t="str">
        <f>IF($R38="","",INDEX(Cálculos!$P:$P,$R38))</f>
        <v>Gerencia de Operaciones</v>
      </c>
      <c r="J38" s="13">
        <f>IF($R38="","",INDEX(Cálculos!$Q:$Q,$R38))</f>
        <v>5</v>
      </c>
      <c r="K38" s="13">
        <f>IF($R38="","",INDEX(Cálculos!$M:$M,$R38))</f>
        <v>5</v>
      </c>
      <c r="L38" s="13">
        <f>IF($R38="","",INDEX(Cálculos!$N:$N,$R38))</f>
        <v>0</v>
      </c>
      <c r="M38" s="74">
        <f>IF($R38="","",INDEX(Cálculos!$R:$R,$R38))</f>
        <v>1</v>
      </c>
      <c r="O38" s="15">
        <f>IF($R38="","",INDEX(Cálculos!$S:$S,$R38))</f>
        <v>100</v>
      </c>
      <c r="P38" s="13" t="str">
        <f>IF($R38="","",IF(M38&gt;=1,"Completo","Pendiente"))</f>
        <v>Completo</v>
      </c>
      <c r="R38">
        <f>IFERROR(SMALL(Cálculos!$T$30:$T$109,25),"")</f>
        <v>54</v>
      </c>
    </row>
    <row r="39" ht="18" customHeight="1" s="38">
      <c r="B39" s="13">
        <f>IF($R39="","",26)</f>
        <v>26</v>
      </c>
      <c r="C39" s="72" t="str">
        <f>IF($R39="","",INDEX(Cálculos!$O:$O,$R39))</f>
        <v>DEPARTAMENTO DE TARJETA DE CREDITO Y DEBITO</v>
      </c>
      <c r="G39" s="72" t="str">
        <f>IF($R39="","",INDEX(Cálculos!$P:$P,$R39))</f>
        <v>Gerencia de Operaciones</v>
      </c>
      <c r="J39" s="13">
        <f>IF($R39="","",INDEX(Cálculos!$Q:$Q,$R39))</f>
        <v>5</v>
      </c>
      <c r="K39" s="13">
        <f>IF($R39="","",INDEX(Cálculos!$M:$M,$R39))</f>
        <v>5</v>
      </c>
      <c r="L39" s="13">
        <f>IF($R39="","",INDEX(Cálculos!$N:$N,$R39))</f>
        <v>0</v>
      </c>
      <c r="M39" s="74">
        <f>IF($R39="","",INDEX(Cálculos!$R:$R,$R39))</f>
        <v>1</v>
      </c>
      <c r="O39" s="15">
        <f>IF($R39="","",INDEX(Cálculos!$S:$S,$R39))</f>
        <v>99</v>
      </c>
      <c r="P39" s="13" t="str">
        <f>IF($R39="","",IF(M39&gt;=1,"Completo","Pendiente"))</f>
        <v>Completo</v>
      </c>
      <c r="R39">
        <f>IFERROR(SMALL(Cálculos!$T$30:$T$109,26),"")</f>
        <v>55</v>
      </c>
    </row>
    <row r="40" ht="18" customHeight="1" s="38">
      <c r="B40" s="13">
        <f>IF($R40="","",27)</f>
        <v>27</v>
      </c>
      <c r="C40" s="72" t="str">
        <f>IF($R40="","",INDEX(Cálculos!$O:$O,$R40))</f>
        <v>ADMINISTRACION DE RIESGOS</v>
      </c>
      <c r="G40" s="72" t="str">
        <f>IF($R40="","",INDEX(Cálculos!$P:$P,$R40))</f>
        <v>Gerencia General</v>
      </c>
      <c r="J40" s="13">
        <f>IF($R40="","",INDEX(Cálculos!$Q:$Q,$R40))</f>
        <v>4</v>
      </c>
      <c r="K40" s="13">
        <f>IF($R40="","",INDEX(Cálculos!$M:$M,$R40))</f>
        <v>4</v>
      </c>
      <c r="L40" s="13">
        <f>IF($R40="","",INDEX(Cálculos!$N:$N,$R40))</f>
        <v>0</v>
      </c>
      <c r="M40" s="74">
        <f>IF($R40="","",INDEX(Cálculos!$R:$R,$R40))</f>
        <v>1</v>
      </c>
      <c r="O40" s="15">
        <f>IF($R40="","",INDEX(Cálculos!$S:$S,$R40))</f>
        <v>100</v>
      </c>
      <c r="P40" s="13" t="str">
        <f>IF($R40="","",IF(M40&gt;=1,"Completo","Pendiente"))</f>
        <v>Completo</v>
      </c>
      <c r="R40">
        <f>IFERROR(SMALL(Cálculos!$T$30:$T$109,27),"")</f>
        <v>56</v>
      </c>
    </row>
    <row r="41" ht="18" customHeight="1" s="38">
      <c r="B41" s="13">
        <f>IF($R41="","",28)</f>
        <v>28</v>
      </c>
      <c r="C41" s="72" t="str">
        <f>IF($R41="","",INDEX(Cálculos!$O:$O,$R41))</f>
        <v>DEPARTAMENTO DE DEPOSITOS</v>
      </c>
      <c r="G41" s="72" t="str">
        <f>IF($R41="","",INDEX(Cálculos!$P:$P,$R41))</f>
        <v>Gerencia de Operaciones</v>
      </c>
      <c r="J41" s="13">
        <f>IF($R41="","",INDEX(Cálculos!$Q:$Q,$R41))</f>
        <v>4</v>
      </c>
      <c r="K41" s="13">
        <f>IF($R41="","",INDEX(Cálculos!$M:$M,$R41))</f>
        <v>4</v>
      </c>
      <c r="L41" s="13">
        <f>IF($R41="","",INDEX(Cálculos!$N:$N,$R41))</f>
        <v>0</v>
      </c>
      <c r="M41" s="74">
        <f>IF($R41="","",INDEX(Cálculos!$R:$R,$R41))</f>
        <v>1</v>
      </c>
      <c r="O41" s="15">
        <f>IF($R41="","",INDEX(Cálculos!$S:$S,$R41))</f>
        <v>98.75</v>
      </c>
      <c r="P41" s="13" t="str">
        <f>IF($R41="","",IF(M41&gt;=1,"Completo","Pendiente"))</f>
        <v>Completo</v>
      </c>
      <c r="R41">
        <f>IFERROR(SMALL(Cálculos!$T$30:$T$109,28),"")</f>
        <v>57</v>
      </c>
    </row>
    <row r="42" ht="18" customHeight="1" s="38">
      <c r="B42" s="13">
        <f>IF($R42="","",29)</f>
        <v>29</v>
      </c>
      <c r="C42" s="72" t="str">
        <f>IF($R42="","",INDEX(Cálculos!$O:$O,$R42))</f>
        <v>GERENCIA DE NEGOCIOS</v>
      </c>
      <c r="G42" s="72" t="str">
        <f>IF($R42="","",INDEX(Cálculos!$P:$P,$R42))</f>
        <v>Gerencia de Negocios</v>
      </c>
      <c r="J42" s="13">
        <f>IF($R42="","",INDEX(Cálculos!$Q:$Q,$R42))</f>
        <v>4</v>
      </c>
      <c r="K42" s="13">
        <f>IF($R42="","",INDEX(Cálculos!$M:$M,$R42))</f>
        <v>4</v>
      </c>
      <c r="L42" s="13">
        <f>IF($R42="","",INDEX(Cálculos!$N:$N,$R42))</f>
        <v>0</v>
      </c>
      <c r="M42" s="74">
        <f>IF($R42="","",INDEX(Cálculos!$R:$R,$R42))</f>
        <v>1</v>
      </c>
      <c r="O42" s="15">
        <f>IF($R42="","",INDEX(Cálculos!$S:$S,$R42))</f>
        <v>100</v>
      </c>
      <c r="P42" s="13" t="str">
        <f>IF($R42="","",IF(M42&gt;=1,"Completo","Pendiente"))</f>
        <v>Completo</v>
      </c>
      <c r="R42">
        <f>IFERROR(SMALL(Cálculos!$T$30:$T$109,29),"")</f>
        <v>58</v>
      </c>
    </row>
    <row r="43" ht="18" customHeight="1" s="38">
      <c r="B43" s="13">
        <f>IF($R43="","",30)</f>
        <v>30</v>
      </c>
      <c r="C43" s="72" t="str">
        <f>IF($R43="","",INDEX(Cálculos!$O:$O,$R43))</f>
        <v>GERENCIA DE SISTEMAS</v>
      </c>
      <c r="G43" s="72" t="str">
        <f>IF($R43="","",INDEX(Cálculos!$P:$P,$R43))</f>
        <v>Gerencia de Sistemas</v>
      </c>
      <c r="J43" s="13">
        <f>IF($R43="","",INDEX(Cálculos!$Q:$Q,$R43))</f>
        <v>4</v>
      </c>
      <c r="K43" s="13">
        <f>IF($R43="","",INDEX(Cálculos!$M:$M,$R43))</f>
        <v>4</v>
      </c>
      <c r="L43" s="13">
        <f>IF($R43="","",INDEX(Cálculos!$N:$N,$R43))</f>
        <v>0</v>
      </c>
      <c r="M43" s="74">
        <f>IF($R43="","",INDEX(Cálculos!$R:$R,$R43))</f>
        <v>1</v>
      </c>
      <c r="O43" s="15">
        <f>IF($R43="","",INDEX(Cálculos!$S:$S,$R43))</f>
        <v>98.75</v>
      </c>
      <c r="P43" s="13" t="str">
        <f>IF($R43="","",IF(M43&gt;=1,"Completo","Pendiente"))</f>
        <v>Completo</v>
      </c>
      <c r="R43">
        <f>IFERROR(SMALL(Cálculos!$T$30:$T$109,30),"")</f>
        <v>59</v>
      </c>
    </row>
    <row r="44" ht="18" customHeight="1" s="38">
      <c r="B44" s="13">
        <f>IF($R44="","",31)</f>
        <v>31</v>
      </c>
      <c r="C44" s="72" t="str">
        <f>IF($R44="","",INDEX(Cálculos!$O:$O,$R44))</f>
        <v>OFICIALIA DE SEGURIDAD DE LA INFORMACION</v>
      </c>
      <c r="G44" s="72" t="str">
        <f>IF($R44="","",INDEX(Cálculos!$P:$P,$R44))</f>
        <v>Gerencia General</v>
      </c>
      <c r="J44" s="13">
        <f>IF($R44="","",INDEX(Cálculos!$Q:$Q,$R44))</f>
        <v>4</v>
      </c>
      <c r="K44" s="13">
        <f>IF($R44="","",INDEX(Cálculos!$M:$M,$R44))</f>
        <v>4</v>
      </c>
      <c r="L44" s="13">
        <f>IF($R44="","",INDEX(Cálculos!$N:$N,$R44))</f>
        <v>0</v>
      </c>
      <c r="M44" s="74">
        <f>IF($R44="","",INDEX(Cálculos!$R:$R,$R44))</f>
        <v>1</v>
      </c>
      <c r="O44" s="15">
        <f>IF($R44="","",INDEX(Cálculos!$S:$S,$R44))</f>
        <v>96.25</v>
      </c>
      <c r="P44" s="13" t="str">
        <f>IF($R44="","",IF(M44&gt;=1,"Completo","Pendiente"))</f>
        <v>Completo</v>
      </c>
      <c r="R44">
        <f>IFERROR(SMALL(Cálculos!$T$30:$T$109,31),"")</f>
        <v>60</v>
      </c>
    </row>
    <row r="45" ht="18" customHeight="1" s="38">
      <c r="B45" s="13">
        <f>IF($R45="","",32)</f>
        <v>32</v>
      </c>
      <c r="C45" s="72" t="str">
        <f>IF($R45="","",INDEX(Cálculos!$O:$O,$R45))</f>
        <v>DEPARTAMENTO DE EDUCACION Y RESPONSABILIDAD SOCIAL</v>
      </c>
      <c r="G45" s="72" t="str">
        <f>IF($R45="","",INDEX(Cálculos!$P:$P,$R45))</f>
        <v>Gerencia Administrativa</v>
      </c>
      <c r="J45" s="13">
        <f>IF($R45="","",INDEX(Cálculos!$Q:$Q,$R45))</f>
        <v>3</v>
      </c>
      <c r="K45" s="13">
        <f>IF($R45="","",INDEX(Cálculos!$M:$M,$R45))</f>
        <v>3</v>
      </c>
      <c r="L45" s="13">
        <f>IF($R45="","",INDEX(Cálculos!$N:$N,$R45))</f>
        <v>0</v>
      </c>
      <c r="M45" s="74">
        <f>IF($R45="","",INDEX(Cálculos!$R:$R,$R45))</f>
        <v>1</v>
      </c>
      <c r="O45" s="15">
        <f>IF($R45="","",INDEX(Cálculos!$S:$S,$R45))</f>
        <v>100</v>
      </c>
      <c r="P45" s="13" t="str">
        <f>IF($R45="","",IF(M45&gt;=1,"Completo","Pendiente"))</f>
        <v>Completo</v>
      </c>
      <c r="R45">
        <f>IFERROR(SMALL(Cálculos!$T$30:$T$109,32),"")</f>
        <v>61</v>
      </c>
    </row>
    <row r="46" ht="18" customHeight="1" s="38">
      <c r="B46" s="13">
        <f>IF($R46="","",33)</f>
        <v>33</v>
      </c>
      <c r="C46" s="72" t="str">
        <f>IF($R46="","",INDEX(Cálculos!$O:$O,$R46))</f>
        <v>DEPARTAMENTO DE PLANIFICACIÓN Y ANALISIS</v>
      </c>
      <c r="G46" s="72" t="str">
        <f>IF($R46="","",INDEX(Cálculos!$P:$P,$R46))</f>
        <v>Gerencia de Finanzas y Planificación</v>
      </c>
      <c r="J46" s="13">
        <f>IF($R46="","",INDEX(Cálculos!$Q:$Q,$R46))</f>
        <v>3</v>
      </c>
      <c r="K46" s="13">
        <f>IF($R46="","",INDEX(Cálculos!$M:$M,$R46))</f>
        <v>3</v>
      </c>
      <c r="L46" s="13">
        <f>IF($R46="","",INDEX(Cálculos!$N:$N,$R46))</f>
        <v>0</v>
      </c>
      <c r="M46" s="74">
        <f>IF($R46="","",INDEX(Cálculos!$R:$R,$R46))</f>
        <v>1</v>
      </c>
      <c r="O46" s="15">
        <f>IF($R46="","",INDEX(Cálculos!$S:$S,$R46))</f>
        <v>100</v>
      </c>
      <c r="P46" s="13" t="str">
        <f>IF($R46="","",IF(M46&gt;=1,"Completo","Pendiente"))</f>
        <v>Completo</v>
      </c>
      <c r="R46">
        <f>IFERROR(SMALL(Cálculos!$T$30:$T$109,33),"")</f>
        <v>62</v>
      </c>
    </row>
    <row r="47" ht="18" customHeight="1" s="38">
      <c r="B47" s="13">
        <f>IF($R47="","",34)</f>
        <v>34</v>
      </c>
      <c r="C47" s="72" t="str">
        <f>IF($R47="","",INDEX(Cálculos!$O:$O,$R47))</f>
        <v>DEPARTAMENTO DE PROCESOS</v>
      </c>
      <c r="G47" s="72" t="str">
        <f>IF($R47="","",INDEX(Cálculos!$P:$P,$R47))</f>
        <v>Gerencia General</v>
      </c>
      <c r="J47" s="13">
        <f>IF($R47="","",INDEX(Cálculos!$Q:$Q,$R47))</f>
        <v>3</v>
      </c>
      <c r="K47" s="13">
        <f>IF($R47="","",INDEX(Cálculos!$M:$M,$R47))</f>
        <v>3</v>
      </c>
      <c r="L47" s="13">
        <f>IF($R47="","",INDEX(Cálculos!$N:$N,$R47))</f>
        <v>0</v>
      </c>
      <c r="M47" s="74">
        <f>IF($R47="","",INDEX(Cálculos!$R:$R,$R47))</f>
        <v>1</v>
      </c>
      <c r="O47" s="15">
        <f>IF($R47="","",INDEX(Cálculos!$S:$S,$R47))</f>
        <v>100</v>
      </c>
      <c r="P47" s="13" t="str">
        <f>IF($R47="","",IF(M47&gt;=1,"Completo","Pendiente"))</f>
        <v>Completo</v>
      </c>
      <c r="R47">
        <f>IFERROR(SMALL(Cálculos!$T$30:$T$109,34),"")</f>
        <v>63</v>
      </c>
    </row>
    <row r="48" ht="18" customHeight="1" s="38">
      <c r="B48" s="13">
        <f>IF($R48="","",35)</f>
        <v>35</v>
      </c>
      <c r="C48" s="72" t="str">
        <f>IF($R48="","",INDEX(Cálculos!$O:$O,$R48))</f>
        <v>CLINICA EMPRESARIAL</v>
      </c>
      <c r="G48" s="72" t="str">
        <f>IF($R48="","",INDEX(Cálculos!$P:$P,$R48))</f>
        <v>Gerencia Administrativa</v>
      </c>
      <c r="J48" s="13">
        <f>IF($R48="","",INDEX(Cálculos!$Q:$Q,$R48))</f>
        <v>2</v>
      </c>
      <c r="K48" s="13">
        <f>IF($R48="","",INDEX(Cálculos!$M:$M,$R48))</f>
        <v>2</v>
      </c>
      <c r="L48" s="13">
        <f>IF($R48="","",INDEX(Cálculos!$N:$N,$R48))</f>
        <v>0</v>
      </c>
      <c r="M48" s="74">
        <f>IF($R48="","",INDEX(Cálculos!$R:$R,$R48))</f>
        <v>1</v>
      </c>
      <c r="O48" s="15">
        <f>IF($R48="","",INDEX(Cálculos!$S:$S,$R48))</f>
        <v>100</v>
      </c>
      <c r="P48" s="13" t="str">
        <f>IF($R48="","",IF(M48&gt;=1,"Completo","Pendiente"))</f>
        <v>Completo</v>
      </c>
      <c r="R48">
        <f>IFERROR(SMALL(Cálculos!$T$30:$T$109,35),"")</f>
        <v>64</v>
      </c>
    </row>
    <row r="49" ht="18" customHeight="1" s="38">
      <c r="B49" s="13">
        <f>IF($R49="","",36)</f>
        <v>36</v>
      </c>
      <c r="C49" s="72" t="str">
        <f>IF($R49="","",INDEX(Cálculos!$O:$O,$R49))</f>
        <v>DEPARTAMENTO DE SEGURIDAD</v>
      </c>
      <c r="G49" s="72" t="str">
        <f>IF($R49="","",INDEX(Cálculos!$P:$P,$R49))</f>
        <v>Gerencia Administrativa</v>
      </c>
      <c r="J49" s="13">
        <f>IF($R49="","",INDEX(Cálculos!$Q:$Q,$R49))</f>
        <v>2</v>
      </c>
      <c r="K49" s="13">
        <f>IF($R49="","",INDEX(Cálculos!$M:$M,$R49))</f>
        <v>2</v>
      </c>
      <c r="L49" s="13">
        <f>IF($R49="","",INDEX(Cálculos!$N:$N,$R49))</f>
        <v>0</v>
      </c>
      <c r="M49" s="74">
        <f>IF($R49="","",INDEX(Cálculos!$R:$R,$R49))</f>
        <v>1</v>
      </c>
      <c r="O49" s="15">
        <f>IF($R49="","",INDEX(Cálculos!$S:$S,$R49))</f>
        <v>95</v>
      </c>
      <c r="P49" s="13" t="str">
        <f>IF($R49="","",IF(M49&gt;=1,"Completo","Pendiente"))</f>
        <v>Completo</v>
      </c>
      <c r="R49">
        <f>IFERROR(SMALL(Cálculos!$T$30:$T$109,36),"")</f>
        <v>65</v>
      </c>
    </row>
    <row r="50" ht="18" customHeight="1" s="38">
      <c r="B50" s="13">
        <f>IF($R50="","",37)</f>
        <v>37</v>
      </c>
      <c r="C50" s="72" t="str">
        <f>IF($R50="","",INDEX(Cálculos!$O:$O,$R50))</f>
        <v>DEPARTAMENTO DE TALENTO HUMANO</v>
      </c>
      <c r="G50" s="72" t="str">
        <f>IF($R50="","",INDEX(Cálculos!$P:$P,$R50))</f>
        <v>Gerencia Administrativa</v>
      </c>
      <c r="J50" s="13">
        <f>IF($R50="","",INDEX(Cálculos!$Q:$Q,$R50))</f>
        <v>2</v>
      </c>
      <c r="K50" s="13">
        <f>IF($R50="","",INDEX(Cálculos!$M:$M,$R50))</f>
        <v>2</v>
      </c>
      <c r="L50" s="13">
        <f>IF($R50="","",INDEX(Cálculos!$N:$N,$R50))</f>
        <v>0</v>
      </c>
      <c r="M50" s="74">
        <f>IF($R50="","",INDEX(Cálculos!$R:$R,$R50))</f>
        <v>1</v>
      </c>
      <c r="O50" s="15">
        <f>IF($R50="","",INDEX(Cálculos!$S:$S,$R50))</f>
        <v>95</v>
      </c>
      <c r="P50" s="13" t="str">
        <f>IF($R50="","",IF(M50&gt;=1,"Completo","Pendiente"))</f>
        <v>Completo</v>
      </c>
      <c r="R50">
        <f>IFERROR(SMALL(Cálculos!$T$30:$T$109,37),"")</f>
        <v>66</v>
      </c>
    </row>
    <row r="51" ht="18" customHeight="1" s="38">
      <c r="B51" s="13">
        <f>IF($R51="","",38)</f>
        <v>38</v>
      </c>
      <c r="C51" s="72" t="str">
        <f>IF($R51="","",INDEX(Cálculos!$O:$O,$R51))</f>
        <v>GERENCIA ADMINISTRATIVA</v>
      </c>
      <c r="G51" s="72" t="str">
        <f>IF($R51="","",INDEX(Cálculos!$P:$P,$R51))</f>
        <v>Gerencia Administrativa</v>
      </c>
      <c r="J51" s="13">
        <f>IF($R51="","",INDEX(Cálculos!$Q:$Q,$R51))</f>
        <v>2</v>
      </c>
      <c r="K51" s="13">
        <f>IF($R51="","",INDEX(Cálculos!$M:$M,$R51))</f>
        <v>2</v>
      </c>
      <c r="L51" s="13">
        <f>IF($R51="","",INDEX(Cálculos!$N:$N,$R51))</f>
        <v>0</v>
      </c>
      <c r="M51" s="74">
        <f>IF($R51="","",INDEX(Cálculos!$R:$R,$R51))</f>
        <v>1</v>
      </c>
      <c r="O51" s="15">
        <f>IF($R51="","",INDEX(Cálculos!$S:$S,$R51))</f>
        <v>100</v>
      </c>
      <c r="P51" s="13" t="str">
        <f>IF($R51="","",IF(M51&gt;=1,"Completo","Pendiente"))</f>
        <v>Completo</v>
      </c>
      <c r="R51">
        <f>IFERROR(SMALL(Cálculos!$T$30:$T$109,38),"")</f>
        <v>67</v>
      </c>
    </row>
    <row r="52" ht="18" customHeight="1" s="38">
      <c r="B52" s="13">
        <f>IF($R52="","",39)</f>
        <v>39</v>
      </c>
      <c r="C52" s="72" t="str">
        <f>IF($R52="","",INDEX(Cálculos!$O:$O,$R52))</f>
        <v>GERENCIA DE FINANZAS Y PLANIFICACIÓN</v>
      </c>
      <c r="G52" s="72" t="str">
        <f>IF($R52="","",INDEX(Cálculos!$P:$P,$R52))</f>
        <v>Gerencia de Finanzas y Planificación</v>
      </c>
      <c r="J52" s="13">
        <f>IF($R52="","",INDEX(Cálculos!$Q:$Q,$R52))</f>
        <v>2</v>
      </c>
      <c r="K52" s="13">
        <f>IF($R52="","",INDEX(Cálculos!$M:$M,$R52))</f>
        <v>2</v>
      </c>
      <c r="L52" s="13">
        <f>IF($R52="","",INDEX(Cálculos!$N:$N,$R52))</f>
        <v>0</v>
      </c>
      <c r="M52" s="74">
        <f>IF($R52="","",INDEX(Cálculos!$R:$R,$R52))</f>
        <v>1</v>
      </c>
      <c r="O52" s="15">
        <f>IF($R52="","",INDEX(Cálculos!$S:$S,$R52))</f>
        <v>100</v>
      </c>
      <c r="P52" s="13" t="str">
        <f>IF($R52="","",IF(M52&gt;=1,"Completo","Pendiente"))</f>
        <v>Completo</v>
      </c>
      <c r="R52">
        <f>IFERROR(SMALL(Cálculos!$T$30:$T$109,39),"")</f>
        <v>68</v>
      </c>
    </row>
    <row r="53" ht="18" customHeight="1" s="38">
      <c r="B53" s="13">
        <f>IF($R53="","",40)</f>
        <v>40</v>
      </c>
      <c r="C53" s="72" t="str">
        <f>IF($R53="","",INDEX(Cálculos!$O:$O,$R53))</f>
        <v>GERENCIA GENERAL</v>
      </c>
      <c r="G53" s="72" t="str">
        <f>IF($R53="","",INDEX(Cálculos!$P:$P,$R53))</f>
        <v>Gerencia General</v>
      </c>
      <c r="J53" s="13">
        <f>IF($R53="","",INDEX(Cálculos!$Q:$Q,$R53))</f>
        <v>2</v>
      </c>
      <c r="K53" s="13">
        <f>IF($R53="","",INDEX(Cálculos!$M:$M,$R53))</f>
        <v>2</v>
      </c>
      <c r="L53" s="13">
        <f>IF($R53="","",INDEX(Cálculos!$N:$N,$R53))</f>
        <v>0</v>
      </c>
      <c r="M53" s="74">
        <f>IF($R53="","",INDEX(Cálculos!$R:$R,$R53))</f>
        <v>1</v>
      </c>
      <c r="O53" s="15">
        <f>IF($R53="","",INDEX(Cálculos!$S:$S,$R53))</f>
        <v>100</v>
      </c>
      <c r="P53" s="13" t="str">
        <f>IF($R53="","",IF(M53&gt;=1,"Completo","Pendiente"))</f>
        <v>Completo</v>
      </c>
      <c r="R53">
        <f>IFERROR(SMALL(Cálculos!$T$30:$T$109,40),"")</f>
        <v>69</v>
      </c>
    </row>
    <row r="54" ht="18" customHeight="1" s="38">
      <c r="B54" s="13">
        <f>IF($R54="","",41)</f>
        <v>41</v>
      </c>
      <c r="C54" s="72" t="str">
        <f>IF($R54="","",INDEX(Cálculos!$O:$O,$R54))</f>
        <v>ADMINISTRACION DE BASE DE DATOS</v>
      </c>
      <c r="G54" s="72" t="str">
        <f>IF($R54="","",INDEX(Cálculos!$P:$P,$R54))</f>
        <v>Gerencia de Sistemas</v>
      </c>
      <c r="J54" s="13">
        <f>IF($R54="","",INDEX(Cálculos!$Q:$Q,$R54))</f>
        <v>1</v>
      </c>
      <c r="K54" s="13">
        <f>IF($R54="","",INDEX(Cálculos!$M:$M,$R54))</f>
        <v>1</v>
      </c>
      <c r="L54" s="13">
        <f>IF($R54="","",INDEX(Cálculos!$N:$N,$R54))</f>
        <v>0</v>
      </c>
      <c r="M54" s="74">
        <f>IF($R54="","",INDEX(Cálculos!$R:$R,$R54))</f>
        <v>1</v>
      </c>
      <c r="O54" s="15">
        <f>IF($R54="","",INDEX(Cálculos!$S:$S,$R54))</f>
        <v>95</v>
      </c>
      <c r="P54" s="13" t="str">
        <f>IF($R54="","",IF(M54&gt;=1,"Completo","Pendiente"))</f>
        <v>Completo</v>
      </c>
      <c r="R54">
        <f>IFERROR(SMALL(Cálculos!$T$30:$T$109,41),"")</f>
        <v>70</v>
      </c>
    </row>
    <row r="55" ht="18" customHeight="1" s="38">
      <c r="B55" s="13">
        <f>IF($R55="","",42)</f>
        <v>42</v>
      </c>
      <c r="C55" s="72" t="str">
        <f>IF($R55="","",INDEX(Cálculos!$O:$O,$R55))</f>
        <v>CONSEJO DE ADMINISTRACION</v>
      </c>
      <c r="G55" s="72" t="str">
        <f>IF($R55="","",INDEX(Cálculos!$P:$P,$R55))</f>
        <v>Consejo de Administración</v>
      </c>
      <c r="J55" s="13">
        <f>IF($R55="","",INDEX(Cálculos!$Q:$Q,$R55))</f>
        <v>1</v>
      </c>
      <c r="K55" s="13">
        <f>IF($R55="","",INDEX(Cálculos!$M:$M,$R55))</f>
        <v>1</v>
      </c>
      <c r="L55" s="13">
        <f>IF($R55="","",INDEX(Cálculos!$N:$N,$R55))</f>
        <v>0</v>
      </c>
      <c r="M55" s="74">
        <f>IF($R55="","",INDEX(Cálculos!$R:$R,$R55))</f>
        <v>1</v>
      </c>
      <c r="O55" s="15">
        <f>IF($R55="","",INDEX(Cálculos!$S:$S,$R55))</f>
        <v>90</v>
      </c>
      <c r="P55" s="13" t="str">
        <f>IF($R55="","",IF(M55&gt;=1,"Completo","Pendiente"))</f>
        <v>Completo</v>
      </c>
      <c r="R55">
        <f>IFERROR(SMALL(Cálculos!$T$30:$T$109,42),"")</f>
        <v>71</v>
      </c>
    </row>
    <row r="56" ht="18" customHeight="1" s="38">
      <c r="B56" s="13">
        <f>IF($R56="","",43)</f>
        <v>43</v>
      </c>
      <c r="C56" s="72" t="str">
        <f>IF($R56="","",INDEX(Cálculos!$O:$O,$R56))</f>
        <v>GERENCIA DE OPERACIONES</v>
      </c>
      <c r="G56" s="72" t="str">
        <f>IF($R56="","",INDEX(Cálculos!$P:$P,$R56))</f>
        <v>Gerencia de Operaciones</v>
      </c>
      <c r="J56" s="13">
        <f>IF($R56="","",INDEX(Cálculos!$Q:$Q,$R56))</f>
        <v>1</v>
      </c>
      <c r="K56" s="13">
        <f>IF($R56="","",INDEX(Cálculos!$M:$M,$R56))</f>
        <v>1</v>
      </c>
      <c r="L56" s="13">
        <f>IF($R56="","",INDEX(Cálculos!$N:$N,$R56))</f>
        <v>0</v>
      </c>
      <c r="M56" s="74">
        <f>IF($R56="","",INDEX(Cálculos!$R:$R,$R56))</f>
        <v>1</v>
      </c>
      <c r="O56" s="15">
        <f>IF($R56="","",INDEX(Cálculos!$S:$S,$R56))</f>
        <v>100</v>
      </c>
      <c r="P56" s="13" t="str">
        <f>IF($R56="","",IF(M56&gt;=1,"Completo","Pendiente"))</f>
        <v>Completo</v>
      </c>
      <c r="R56">
        <f>IFERROR(SMALL(Cálculos!$T$30:$T$109,43),"")</f>
        <v>72</v>
      </c>
    </row>
    <row r="57" ht="18" customHeight="1" s="38">
      <c r="B57" s="13">
        <f>IF($R57="","",44)</f>
        <v>44</v>
      </c>
      <c r="C57" s="72" t="str">
        <f>IF($R57="","",INDEX(Cálculos!$O:$O,$R57))</f>
        <v>GERENCIA LEGAL Y DE CUMPLIMIENTO NORMATIVO</v>
      </c>
      <c r="G57" s="72" t="str">
        <f>IF($R57="","",INDEX(Cálculos!$P:$P,$R57))</f>
        <v>Gerencia Legal y Cumplimiento Normativo</v>
      </c>
      <c r="J57" s="13">
        <f>IF($R57="","",INDEX(Cálculos!$Q:$Q,$R57))</f>
        <v>1</v>
      </c>
      <c r="K57" s="13">
        <f>IF($R57="","",INDEX(Cálculos!$M:$M,$R57))</f>
        <v>1</v>
      </c>
      <c r="L57" s="13">
        <f>IF($R57="","",INDEX(Cálculos!$N:$N,$R57))</f>
        <v>0</v>
      </c>
      <c r="M57" s="74">
        <f>IF($R57="","",INDEX(Cálculos!$R:$R,$R57))</f>
        <v>1</v>
      </c>
      <c r="O57" s="15">
        <f>IF($R57="","",INDEX(Cálculos!$S:$S,$R57))</f>
        <v>100</v>
      </c>
      <c r="P57" s="13" t="str">
        <f>IF($R57="","",IF(M57&gt;=1,"Completo","Pendiente"))</f>
        <v>Completo</v>
      </c>
      <c r="R57">
        <f>IFERROR(SMALL(Cálculos!$T$30:$T$109,44),"")</f>
        <v>73</v>
      </c>
    </row>
    <row r="58" ht="18" customHeight="1" s="38">
      <c r="B58" s="13" t="str">
        <f>IF($R58="","",45)</f>
        <v/>
      </c>
      <c r="C58" s="72" t="str">
        <f>IF($R58="","",INDEX(Cálculos!$O:$O,$R58))</f>
        <v/>
      </c>
      <c r="G58" s="72" t="str">
        <f>IF($R58="","",INDEX(Cálculos!$P:$P,$R58))</f>
        <v/>
      </c>
      <c r="J58" s="13" t="str">
        <f>IF($R58="","",INDEX(Cálculos!$Q:$Q,$R58))</f>
        <v/>
      </c>
      <c r="K58" s="13" t="str">
        <f>IF($R58="","",INDEX(Cálculos!$M:$M,$R58))</f>
        <v/>
      </c>
      <c r="L58" s="13" t="str">
        <f>IF($R58="","",INDEX(Cálculos!$N:$N,$R58))</f>
        <v/>
      </c>
      <c r="M58" s="74" t="str">
        <f>IF($R58="","",INDEX(Cálculos!$R:$R,$R58))</f>
        <v/>
      </c>
      <c r="O58" s="15" t="str">
        <f>IF($R58="","",INDEX(Cálculos!$S:$S,$R58))</f>
        <v/>
      </c>
      <c r="P58" s="13" t="str">
        <f>IF($R58="","",IF(M58&gt;=1,"Completo","Pendiente"))</f>
        <v/>
      </c>
      <c r="R58" t="str">
        <f>IFERROR(SMALL(Cálculos!$T$30:$T$109,45),"")</f>
        <v/>
      </c>
    </row>
    <row r="59" ht="18" customHeight="1" s="38">
      <c r="B59" s="13" t="str">
        <f>IF($R59="","",46)</f>
        <v/>
      </c>
      <c r="C59" s="72" t="str">
        <f>IF($R59="","",INDEX(Cálculos!$O:$O,$R59))</f>
        <v/>
      </c>
      <c r="G59" s="72" t="str">
        <f>IF($R59="","",INDEX(Cálculos!$P:$P,$R59))</f>
        <v/>
      </c>
      <c r="J59" s="13" t="str">
        <f>IF($R59="","",INDEX(Cálculos!$Q:$Q,$R59))</f>
        <v/>
      </c>
      <c r="K59" s="13" t="str">
        <f>IF($R59="","",INDEX(Cálculos!$M:$M,$R59))</f>
        <v/>
      </c>
      <c r="L59" s="13" t="str">
        <f>IF($R59="","",INDEX(Cálculos!$N:$N,$R59))</f>
        <v/>
      </c>
      <c r="M59" s="74" t="str">
        <f>IF($R59="","",INDEX(Cálculos!$R:$R,$R59))</f>
        <v/>
      </c>
      <c r="O59" s="15" t="str">
        <f>IF($R59="","",INDEX(Cálculos!$S:$S,$R59))</f>
        <v/>
      </c>
      <c r="P59" s="13" t="str">
        <f>IF($R59="","",IF(M59&gt;=1,"Completo","Pendiente"))</f>
        <v/>
      </c>
      <c r="R59" t="str">
        <f>IFERROR(SMALL(Cálculos!$T$30:$T$109,46),"")</f>
        <v/>
      </c>
    </row>
    <row r="60" ht="18" customHeight="1" s="38">
      <c r="B60" s="13" t="str">
        <f>IF($R60="","",47)</f>
        <v/>
      </c>
      <c r="C60" s="72" t="str">
        <f>IF($R60="","",INDEX(Cálculos!$O:$O,$R60))</f>
        <v/>
      </c>
      <c r="G60" s="72" t="str">
        <f>IF($R60="","",INDEX(Cálculos!$P:$P,$R60))</f>
        <v/>
      </c>
      <c r="J60" s="13" t="str">
        <f>IF($R60="","",INDEX(Cálculos!$Q:$Q,$R60))</f>
        <v/>
      </c>
      <c r="K60" s="13" t="str">
        <f>IF($R60="","",INDEX(Cálculos!$M:$M,$R60))</f>
        <v/>
      </c>
      <c r="L60" s="13" t="str">
        <f>IF($R60="","",INDEX(Cálculos!$N:$N,$R60))</f>
        <v/>
      </c>
      <c r="M60" s="74" t="str">
        <f>IF($R60="","",INDEX(Cálculos!$R:$R,$R60))</f>
        <v/>
      </c>
      <c r="O60" s="15" t="str">
        <f>IF($R60="","",INDEX(Cálculos!$S:$S,$R60))</f>
        <v/>
      </c>
      <c r="P60" s="13" t="str">
        <f>IF($R60="","",IF(M60&gt;=1,"Completo","Pendiente"))</f>
        <v/>
      </c>
      <c r="R60" t="str">
        <f>IFERROR(SMALL(Cálculos!$T$30:$T$109,47),"")</f>
        <v/>
      </c>
    </row>
    <row r="61" ht="18" customHeight="1" s="38">
      <c r="B61" s="13" t="str">
        <f>IF($R61="","",48)</f>
        <v/>
      </c>
      <c r="C61" s="72" t="str">
        <f>IF($R61="","",INDEX(Cálculos!$O:$O,$R61))</f>
        <v/>
      </c>
      <c r="G61" s="72" t="str">
        <f>IF($R61="","",INDEX(Cálculos!$P:$P,$R61))</f>
        <v/>
      </c>
      <c r="J61" s="13" t="str">
        <f>IF($R61="","",INDEX(Cálculos!$Q:$Q,$R61))</f>
        <v/>
      </c>
      <c r="K61" s="13" t="str">
        <f>IF($R61="","",INDEX(Cálculos!$M:$M,$R61))</f>
        <v/>
      </c>
      <c r="L61" s="13" t="str">
        <f>IF($R61="","",INDEX(Cálculos!$N:$N,$R61))</f>
        <v/>
      </c>
      <c r="M61" s="74" t="str">
        <f>IF($R61="","",INDEX(Cálculos!$R:$R,$R61))</f>
        <v/>
      </c>
      <c r="O61" s="15" t="str">
        <f>IF($R61="","",INDEX(Cálculos!$S:$S,$R61))</f>
        <v/>
      </c>
      <c r="P61" s="13" t="str">
        <f>IF($R61="","",IF(M61&gt;=1,"Completo","Pendiente"))</f>
        <v/>
      </c>
      <c r="R61" t="str">
        <f>IFERROR(SMALL(Cálculos!$T$30:$T$109,48),"")</f>
        <v/>
      </c>
    </row>
    <row r="62" ht="18" customHeight="1" s="38">
      <c r="B62" s="13" t="str">
        <f>IF($R62="","",49)</f>
        <v/>
      </c>
      <c r="C62" s="72" t="str">
        <f>IF($R62="","",INDEX(Cálculos!$O:$O,$R62))</f>
        <v/>
      </c>
      <c r="G62" s="72" t="str">
        <f>IF($R62="","",INDEX(Cálculos!$P:$P,$R62))</f>
        <v/>
      </c>
      <c r="J62" s="13" t="str">
        <f>IF($R62="","",INDEX(Cálculos!$Q:$Q,$R62))</f>
        <v/>
      </c>
      <c r="K62" s="13" t="str">
        <f>IF($R62="","",INDEX(Cálculos!$M:$M,$R62))</f>
        <v/>
      </c>
      <c r="L62" s="13" t="str">
        <f>IF($R62="","",INDEX(Cálculos!$N:$N,$R62))</f>
        <v/>
      </c>
      <c r="M62" s="74" t="str">
        <f>IF($R62="","",INDEX(Cálculos!$R:$R,$R62))</f>
        <v/>
      </c>
      <c r="O62" s="15" t="str">
        <f>IF($R62="","",INDEX(Cálculos!$S:$S,$R62))</f>
        <v/>
      </c>
      <c r="P62" s="13" t="str">
        <f>IF($R62="","",IF(M62&gt;=1,"Completo","Pendiente"))</f>
        <v/>
      </c>
      <c r="R62" t="str">
        <f>IFERROR(SMALL(Cálculos!$T$30:$T$109,49),"")</f>
        <v/>
      </c>
    </row>
    <row r="63" ht="18" customHeight="1" s="38">
      <c r="B63" s="13" t="str">
        <f>IF($R63="","",50)</f>
        <v/>
      </c>
      <c r="C63" s="72" t="str">
        <f>IF($R63="","",INDEX(Cálculos!$O:$O,$R63))</f>
        <v/>
      </c>
      <c r="G63" s="72" t="str">
        <f>IF($R63="","",INDEX(Cálculos!$P:$P,$R63))</f>
        <v/>
      </c>
      <c r="J63" s="13" t="str">
        <f>IF($R63="","",INDEX(Cálculos!$Q:$Q,$R63))</f>
        <v/>
      </c>
      <c r="K63" s="13" t="str">
        <f>IF($R63="","",INDEX(Cálculos!$M:$M,$R63))</f>
        <v/>
      </c>
      <c r="L63" s="13" t="str">
        <f>IF($R63="","",INDEX(Cálculos!$N:$N,$R63))</f>
        <v/>
      </c>
      <c r="M63" s="74" t="str">
        <f>IF($R63="","",INDEX(Cálculos!$R:$R,$R63))</f>
        <v/>
      </c>
      <c r="O63" s="15" t="str">
        <f>IF($R63="","",INDEX(Cálculos!$S:$S,$R63))</f>
        <v/>
      </c>
      <c r="P63" s="13" t="str">
        <f>IF($R63="","",IF(M63&gt;=1,"Completo","Pendiente"))</f>
        <v/>
      </c>
      <c r="R63" t="str">
        <f>IFERROR(SMALL(Cálculos!$T$30:$T$109,50),"")</f>
        <v/>
      </c>
    </row>
    <row r="64" ht="18" customHeight="1" s="38">
      <c r="B64" s="13" t="str">
        <f>IF($R64="","",51)</f>
        <v/>
      </c>
      <c r="C64" s="72" t="str">
        <f>IF($R64="","",INDEX(Cálculos!$O:$O,$R64))</f>
        <v/>
      </c>
      <c r="G64" s="72" t="str">
        <f>IF($R64="","",INDEX(Cálculos!$P:$P,$R64))</f>
        <v/>
      </c>
      <c r="J64" s="13" t="str">
        <f>IF($R64="","",INDEX(Cálculos!$Q:$Q,$R64))</f>
        <v/>
      </c>
      <c r="K64" s="13" t="str">
        <f>IF($R64="","",INDEX(Cálculos!$M:$M,$R64))</f>
        <v/>
      </c>
      <c r="L64" s="13" t="str">
        <f>IF($R64="","",INDEX(Cálculos!$N:$N,$R64))</f>
        <v/>
      </c>
      <c r="M64" s="74" t="str">
        <f>IF($R64="","",INDEX(Cálculos!$R:$R,$R64))</f>
        <v/>
      </c>
      <c r="O64" s="15" t="str">
        <f>IF($R64="","",INDEX(Cálculos!$S:$S,$R64))</f>
        <v/>
      </c>
      <c r="P64" s="13" t="str">
        <f>IF($R64="","",IF(M64&gt;=1,"Completo","Pendiente"))</f>
        <v/>
      </c>
      <c r="R64" t="str">
        <f>IFERROR(SMALL(Cálculos!$T$30:$T$109,51),"")</f>
        <v/>
      </c>
    </row>
    <row r="65" ht="18" customHeight="1" s="38">
      <c r="B65" s="13" t="str">
        <f>IF($R65="","",52)</f>
        <v/>
      </c>
      <c r="C65" s="72" t="str">
        <f>IF($R65="","",INDEX(Cálculos!$O:$O,$R65))</f>
        <v/>
      </c>
      <c r="G65" s="72" t="str">
        <f>IF($R65="","",INDEX(Cálculos!$P:$P,$R65))</f>
        <v/>
      </c>
      <c r="J65" s="13" t="str">
        <f>IF($R65="","",INDEX(Cálculos!$Q:$Q,$R65))</f>
        <v/>
      </c>
      <c r="K65" s="13" t="str">
        <f>IF($R65="","",INDEX(Cálculos!$M:$M,$R65))</f>
        <v/>
      </c>
      <c r="L65" s="13" t="str">
        <f>IF($R65="","",INDEX(Cálculos!$N:$N,$R65))</f>
        <v/>
      </c>
      <c r="M65" s="74" t="str">
        <f>IF($R65="","",INDEX(Cálculos!$R:$R,$R65))</f>
        <v/>
      </c>
      <c r="O65" s="15" t="str">
        <f>IF($R65="","",INDEX(Cálculos!$S:$S,$R65))</f>
        <v/>
      </c>
      <c r="P65" s="13" t="str">
        <f>IF($R65="","",IF(M65&gt;=1,"Completo","Pendiente"))</f>
        <v/>
      </c>
      <c r="R65" t="str">
        <f>IFERROR(SMALL(Cálculos!$T$30:$T$109,52),"")</f>
        <v/>
      </c>
    </row>
    <row r="66" ht="18" customHeight="1" s="38">
      <c r="B66" s="13" t="str">
        <f>IF($R66="","",53)</f>
        <v/>
      </c>
      <c r="C66" s="72" t="str">
        <f>IF($R66="","",INDEX(Cálculos!$O:$O,$R66))</f>
        <v/>
      </c>
      <c r="G66" s="72" t="str">
        <f>IF($R66="","",INDEX(Cálculos!$P:$P,$R66))</f>
        <v/>
      </c>
      <c r="J66" s="13" t="str">
        <f>IF($R66="","",INDEX(Cálculos!$Q:$Q,$R66))</f>
        <v/>
      </c>
      <c r="K66" s="13" t="str">
        <f>IF($R66="","",INDEX(Cálculos!$M:$M,$R66))</f>
        <v/>
      </c>
      <c r="L66" s="13" t="str">
        <f>IF($R66="","",INDEX(Cálculos!$N:$N,$R66))</f>
        <v/>
      </c>
      <c r="M66" s="74" t="str">
        <f>IF($R66="","",INDEX(Cálculos!$R:$R,$R66))</f>
        <v/>
      </c>
      <c r="O66" s="15" t="str">
        <f>IF($R66="","",INDEX(Cálculos!$S:$S,$R66))</f>
        <v/>
      </c>
      <c r="P66" s="13" t="str">
        <f>IF($R66="","",IF(M66&gt;=1,"Completo","Pendiente"))</f>
        <v/>
      </c>
      <c r="R66" t="str">
        <f>IFERROR(SMALL(Cálculos!$T$30:$T$109,53),"")</f>
        <v/>
      </c>
    </row>
    <row r="67" ht="18" customHeight="1" s="38">
      <c r="B67" s="13" t="str">
        <f>IF($R67="","",54)</f>
        <v/>
      </c>
      <c r="C67" s="72" t="str">
        <f>IF($R67="","",INDEX(Cálculos!$O:$O,$R67))</f>
        <v/>
      </c>
      <c r="G67" s="72" t="str">
        <f>IF($R67="","",INDEX(Cálculos!$P:$P,$R67))</f>
        <v/>
      </c>
      <c r="J67" s="13" t="str">
        <f>IF($R67="","",INDEX(Cálculos!$Q:$Q,$R67))</f>
        <v/>
      </c>
      <c r="K67" s="13" t="str">
        <f>IF($R67="","",INDEX(Cálculos!$M:$M,$R67))</f>
        <v/>
      </c>
      <c r="L67" s="13" t="str">
        <f>IF($R67="","",INDEX(Cálculos!$N:$N,$R67))</f>
        <v/>
      </c>
      <c r="M67" s="74" t="str">
        <f>IF($R67="","",INDEX(Cálculos!$R:$R,$R67))</f>
        <v/>
      </c>
      <c r="O67" s="15" t="str">
        <f>IF($R67="","",INDEX(Cálculos!$S:$S,$R67))</f>
        <v/>
      </c>
      <c r="P67" s="13" t="str">
        <f>IF($R67="","",IF(M67&gt;=1,"Completo","Pendiente"))</f>
        <v/>
      </c>
      <c r="R67" t="str">
        <f>IFERROR(SMALL(Cálculos!$T$30:$T$109,54),"")</f>
        <v/>
      </c>
    </row>
    <row r="68" ht="18" customHeight="1" s="38">
      <c r="B68" s="13" t="str">
        <f>IF($R68="","",55)</f>
        <v/>
      </c>
      <c r="C68" s="72" t="str">
        <f>IF($R68="","",INDEX(Cálculos!$O:$O,$R68))</f>
        <v/>
      </c>
      <c r="G68" s="72" t="str">
        <f>IF($R68="","",INDEX(Cálculos!$P:$P,$R68))</f>
        <v/>
      </c>
      <c r="J68" s="13" t="str">
        <f>IF($R68="","",INDEX(Cálculos!$Q:$Q,$R68))</f>
        <v/>
      </c>
      <c r="K68" s="13" t="str">
        <f>IF($R68="","",INDEX(Cálculos!$M:$M,$R68))</f>
        <v/>
      </c>
      <c r="L68" s="13" t="str">
        <f>IF($R68="","",INDEX(Cálculos!$N:$N,$R68))</f>
        <v/>
      </c>
      <c r="M68" s="74" t="str">
        <f>IF($R68="","",INDEX(Cálculos!$R:$R,$R68))</f>
        <v/>
      </c>
      <c r="O68" s="15" t="str">
        <f>IF($R68="","",INDEX(Cálculos!$S:$S,$R68))</f>
        <v/>
      </c>
      <c r="P68" s="13" t="str">
        <f>IF($R68="","",IF(M68&gt;=1,"Completo","Pendiente"))</f>
        <v/>
      </c>
      <c r="R68" t="str">
        <f>IFERROR(SMALL(Cálculos!$T$30:$T$109,55),"")</f>
        <v/>
      </c>
    </row>
    <row r="69" ht="18" customHeight="1" s="38">
      <c r="B69" s="13" t="str">
        <f>IF($R69="","",56)</f>
        <v/>
      </c>
      <c r="C69" s="72" t="str">
        <f>IF($R69="","",INDEX(Cálculos!$O:$O,$R69))</f>
        <v/>
      </c>
      <c r="G69" s="72" t="str">
        <f>IF($R69="","",INDEX(Cálculos!$P:$P,$R69))</f>
        <v/>
      </c>
      <c r="J69" s="13" t="str">
        <f>IF($R69="","",INDEX(Cálculos!$Q:$Q,$R69))</f>
        <v/>
      </c>
      <c r="K69" s="13" t="str">
        <f>IF($R69="","",INDEX(Cálculos!$M:$M,$R69))</f>
        <v/>
      </c>
      <c r="L69" s="13" t="str">
        <f>IF($R69="","",INDEX(Cálculos!$N:$N,$R69))</f>
        <v/>
      </c>
      <c r="M69" s="74" t="str">
        <f>IF($R69="","",INDEX(Cálculos!$R:$R,$R69))</f>
        <v/>
      </c>
      <c r="O69" s="15" t="str">
        <f>IF($R69="","",INDEX(Cálculos!$S:$S,$R69))</f>
        <v/>
      </c>
      <c r="P69" s="13" t="str">
        <f>IF($R69="","",IF(M69&gt;=1,"Completo","Pendiente"))</f>
        <v/>
      </c>
      <c r="R69" t="str">
        <f>IFERROR(SMALL(Cálculos!$T$30:$T$109,56),"")</f>
        <v/>
      </c>
    </row>
    <row r="70" ht="18" customHeight="1" s="38">
      <c r="B70" s="13" t="str">
        <f>IF($R70="","",57)</f>
        <v/>
      </c>
      <c r="C70" s="72" t="str">
        <f>IF($R70="","",INDEX(Cálculos!$O:$O,$R70))</f>
        <v/>
      </c>
      <c r="G70" s="72" t="str">
        <f>IF($R70="","",INDEX(Cálculos!$P:$P,$R70))</f>
        <v/>
      </c>
      <c r="J70" s="13" t="str">
        <f>IF($R70="","",INDEX(Cálculos!$Q:$Q,$R70))</f>
        <v/>
      </c>
      <c r="K70" s="13" t="str">
        <f>IF($R70="","",INDEX(Cálculos!$M:$M,$R70))</f>
        <v/>
      </c>
      <c r="L70" s="13" t="str">
        <f>IF($R70="","",INDEX(Cálculos!$N:$N,$R70))</f>
        <v/>
      </c>
      <c r="M70" s="74" t="str">
        <f>IF($R70="","",INDEX(Cálculos!$R:$R,$R70))</f>
        <v/>
      </c>
      <c r="O70" s="15" t="str">
        <f>IF($R70="","",INDEX(Cálculos!$S:$S,$R70))</f>
        <v/>
      </c>
      <c r="P70" s="13" t="str">
        <f>IF($R70="","",IF(M70&gt;=1,"Completo","Pendiente"))</f>
        <v/>
      </c>
      <c r="R70" t="str">
        <f>IFERROR(SMALL(Cálculos!$T$30:$T$109,57),"")</f>
        <v/>
      </c>
    </row>
    <row r="71" ht="18" customHeight="1" s="38">
      <c r="B71" s="13" t="str">
        <f>IF($R71="","",58)</f>
        <v/>
      </c>
      <c r="C71" s="72" t="str">
        <f>IF($R71="","",INDEX(Cálculos!$O:$O,$R71))</f>
        <v/>
      </c>
      <c r="G71" s="72" t="str">
        <f>IF($R71="","",INDEX(Cálculos!$P:$P,$R71))</f>
        <v/>
      </c>
      <c r="J71" s="13" t="str">
        <f>IF($R71="","",INDEX(Cálculos!$Q:$Q,$R71))</f>
        <v/>
      </c>
      <c r="K71" s="13" t="str">
        <f>IF($R71="","",INDEX(Cálculos!$M:$M,$R71))</f>
        <v/>
      </c>
      <c r="L71" s="13" t="str">
        <f>IF($R71="","",INDEX(Cálculos!$N:$N,$R71))</f>
        <v/>
      </c>
      <c r="M71" s="74" t="str">
        <f>IF($R71="","",INDEX(Cálculos!$R:$R,$R71))</f>
        <v/>
      </c>
      <c r="O71" s="15" t="str">
        <f>IF($R71="","",INDEX(Cálculos!$S:$S,$R71))</f>
        <v/>
      </c>
      <c r="P71" s="13" t="str">
        <f>IF($R71="","",IF(M71&gt;=1,"Completo","Pendiente"))</f>
        <v/>
      </c>
      <c r="R71" t="str">
        <f>IFERROR(SMALL(Cálculos!$T$30:$T$109,58),"")</f>
        <v/>
      </c>
    </row>
    <row r="72" ht="18" customHeight="1" s="38">
      <c r="B72" s="13" t="str">
        <f>IF($R72="","",59)</f>
        <v/>
      </c>
      <c r="C72" s="72" t="str">
        <f>IF($R72="","",INDEX(Cálculos!$O:$O,$R72))</f>
        <v/>
      </c>
      <c r="G72" s="72" t="str">
        <f>IF($R72="","",INDEX(Cálculos!$P:$P,$R72))</f>
        <v/>
      </c>
      <c r="J72" s="13" t="str">
        <f>IF($R72="","",INDEX(Cálculos!$Q:$Q,$R72))</f>
        <v/>
      </c>
      <c r="K72" s="13" t="str">
        <f>IF($R72="","",INDEX(Cálculos!$M:$M,$R72))</f>
        <v/>
      </c>
      <c r="L72" s="13" t="str">
        <f>IF($R72="","",INDEX(Cálculos!$N:$N,$R72))</f>
        <v/>
      </c>
      <c r="M72" s="74" t="str">
        <f>IF($R72="","",INDEX(Cálculos!$R:$R,$R72))</f>
        <v/>
      </c>
      <c r="O72" s="15" t="str">
        <f>IF($R72="","",INDEX(Cálculos!$S:$S,$R72))</f>
        <v/>
      </c>
      <c r="P72" s="13" t="str">
        <f>IF($R72="","",IF(M72&gt;=1,"Completo","Pendiente"))</f>
        <v/>
      </c>
      <c r="R72" t="str">
        <f>IFERROR(SMALL(Cálculos!$T$30:$T$109,59),"")</f>
        <v/>
      </c>
    </row>
    <row r="73" ht="18" customHeight="1" s="38">
      <c r="B73" s="13" t="str">
        <f>IF($R73="","",60)</f>
        <v/>
      </c>
      <c r="C73" s="72" t="str">
        <f>IF($R73="","",INDEX(Cálculos!$O:$O,$R73))</f>
        <v/>
      </c>
      <c r="G73" s="72" t="str">
        <f>IF($R73="","",INDEX(Cálculos!$P:$P,$R73))</f>
        <v/>
      </c>
      <c r="J73" s="13" t="str">
        <f>IF($R73="","",INDEX(Cálculos!$Q:$Q,$R73))</f>
        <v/>
      </c>
      <c r="K73" s="13" t="str">
        <f>IF($R73="","",INDEX(Cálculos!$M:$M,$R73))</f>
        <v/>
      </c>
      <c r="L73" s="13" t="str">
        <f>IF($R73="","",INDEX(Cálculos!$N:$N,$R73))</f>
        <v/>
      </c>
      <c r="M73" s="74" t="str">
        <f>IF($R73="","",INDEX(Cálculos!$R:$R,$R73))</f>
        <v/>
      </c>
      <c r="O73" s="15" t="str">
        <f>IF($R73="","",INDEX(Cálculos!$S:$S,$R73))</f>
        <v/>
      </c>
      <c r="P73" s="13" t="str">
        <f>IF($R73="","",IF(M73&gt;=1,"Completo","Pendiente"))</f>
        <v/>
      </c>
      <c r="R73" t="str">
        <f>IFERROR(SMALL(Cálculos!$T$30:$T$109,60),"")</f>
        <v/>
      </c>
    </row>
    <row r="74" ht="18" customHeight="1" s="38">
      <c r="B74" s="13" t="str">
        <f>IF($R74="","",61)</f>
        <v/>
      </c>
      <c r="C74" s="72" t="str">
        <f>IF($R74="","",INDEX(Cálculos!$O:$O,$R74))</f>
        <v/>
      </c>
      <c r="G74" s="72" t="str">
        <f>IF($R74="","",INDEX(Cálculos!$P:$P,$R74))</f>
        <v/>
      </c>
      <c r="J74" s="13" t="str">
        <f>IF($R74="","",INDEX(Cálculos!$Q:$Q,$R74))</f>
        <v/>
      </c>
      <c r="K74" s="13" t="str">
        <f>IF($R74="","",INDEX(Cálculos!$M:$M,$R74))</f>
        <v/>
      </c>
      <c r="L74" s="13" t="str">
        <f>IF($R74="","",INDEX(Cálculos!$N:$N,$R74))</f>
        <v/>
      </c>
      <c r="M74" s="74" t="str">
        <f>IF($R74="","",INDEX(Cálculos!$R:$R,$R74))</f>
        <v/>
      </c>
      <c r="O74" s="15" t="str">
        <f>IF($R74="","",INDEX(Cálculos!$S:$S,$R74))</f>
        <v/>
      </c>
      <c r="P74" s="13" t="str">
        <f>IF($R74="","",IF(M74&gt;=1,"Completo","Pendiente"))</f>
        <v/>
      </c>
      <c r="R74" t="str">
        <f>IFERROR(SMALL(Cálculos!$T$30:$T$109,61),"")</f>
        <v/>
      </c>
    </row>
    <row r="75" ht="18" customHeight="1" s="38">
      <c r="B75" s="13" t="str">
        <f>IF($R75="","",62)</f>
        <v/>
      </c>
      <c r="C75" s="72" t="str">
        <f>IF($R75="","",INDEX(Cálculos!$O:$O,$R75))</f>
        <v/>
      </c>
      <c r="G75" s="72" t="str">
        <f>IF($R75="","",INDEX(Cálculos!$P:$P,$R75))</f>
        <v/>
      </c>
      <c r="J75" s="13" t="str">
        <f>IF($R75="","",INDEX(Cálculos!$Q:$Q,$R75))</f>
        <v/>
      </c>
      <c r="K75" s="13" t="str">
        <f>IF($R75="","",INDEX(Cálculos!$M:$M,$R75))</f>
        <v/>
      </c>
      <c r="L75" s="13" t="str">
        <f>IF($R75="","",INDEX(Cálculos!$N:$N,$R75))</f>
        <v/>
      </c>
      <c r="M75" s="74" t="str">
        <f>IF($R75="","",INDEX(Cálculos!$R:$R,$R75))</f>
        <v/>
      </c>
      <c r="O75" s="15" t="str">
        <f>IF($R75="","",INDEX(Cálculos!$S:$S,$R75))</f>
        <v/>
      </c>
      <c r="P75" s="13" t="str">
        <f>IF($R75="","",IF(M75&gt;=1,"Completo","Pendiente"))</f>
        <v/>
      </c>
      <c r="R75" t="str">
        <f>IFERROR(SMALL(Cálculos!$T$30:$T$109,62),"")</f>
        <v/>
      </c>
    </row>
    <row r="76" ht="18" customHeight="1" s="38">
      <c r="B76" s="13" t="str">
        <f>IF($R76="","",63)</f>
        <v/>
      </c>
      <c r="C76" s="72" t="str">
        <f>IF($R76="","",INDEX(Cálculos!$O:$O,$R76))</f>
        <v/>
      </c>
      <c r="G76" s="72" t="str">
        <f>IF($R76="","",INDEX(Cálculos!$P:$P,$R76))</f>
        <v/>
      </c>
      <c r="J76" s="13" t="str">
        <f>IF($R76="","",INDEX(Cálculos!$Q:$Q,$R76))</f>
        <v/>
      </c>
      <c r="K76" s="13" t="str">
        <f>IF($R76="","",INDEX(Cálculos!$M:$M,$R76))</f>
        <v/>
      </c>
      <c r="L76" s="13" t="str">
        <f>IF($R76="","",INDEX(Cálculos!$N:$N,$R76))</f>
        <v/>
      </c>
      <c r="M76" s="74" t="str">
        <f>IF($R76="","",INDEX(Cálculos!$R:$R,$R76))</f>
        <v/>
      </c>
      <c r="O76" s="15" t="str">
        <f>IF($R76="","",INDEX(Cálculos!$S:$S,$R76))</f>
        <v/>
      </c>
      <c r="P76" s="13" t="str">
        <f>IF($R76="","",IF(M76&gt;=1,"Completo","Pendiente"))</f>
        <v/>
      </c>
      <c r="R76" t="str">
        <f>IFERROR(SMALL(Cálculos!$T$30:$T$109,63),"")</f>
        <v/>
      </c>
    </row>
    <row r="77" ht="18" customHeight="1" s="38">
      <c r="B77" s="13" t="str">
        <f>IF($R77="","",64)</f>
        <v/>
      </c>
      <c r="C77" s="72" t="str">
        <f>IF($R77="","",INDEX(Cálculos!$O:$O,$R77))</f>
        <v/>
      </c>
      <c r="G77" s="72" t="str">
        <f>IF($R77="","",INDEX(Cálculos!$P:$P,$R77))</f>
        <v/>
      </c>
      <c r="J77" s="13" t="str">
        <f>IF($R77="","",INDEX(Cálculos!$Q:$Q,$R77))</f>
        <v/>
      </c>
      <c r="K77" s="13" t="str">
        <f>IF($R77="","",INDEX(Cálculos!$M:$M,$R77))</f>
        <v/>
      </c>
      <c r="L77" s="13" t="str">
        <f>IF($R77="","",INDEX(Cálculos!$N:$N,$R77))</f>
        <v/>
      </c>
      <c r="M77" s="74" t="str">
        <f>IF($R77="","",INDEX(Cálculos!$R:$R,$R77))</f>
        <v/>
      </c>
      <c r="O77" s="15" t="str">
        <f>IF($R77="","",INDEX(Cálculos!$S:$S,$R77))</f>
        <v/>
      </c>
      <c r="P77" s="13" t="str">
        <f>IF($R77="","",IF(M77&gt;=1,"Completo","Pendiente"))</f>
        <v/>
      </c>
      <c r="R77" t="str">
        <f>IFERROR(SMALL(Cálculos!$T$30:$T$109,64),"")</f>
        <v/>
      </c>
    </row>
    <row r="78" ht="18" customHeight="1" s="38">
      <c r="B78" s="13" t="str">
        <f>IF($R78="","",65)</f>
        <v/>
      </c>
      <c r="C78" s="72" t="str">
        <f>IF($R78="","",INDEX(Cálculos!$O:$O,$R78))</f>
        <v/>
      </c>
      <c r="G78" s="72" t="str">
        <f>IF($R78="","",INDEX(Cálculos!$P:$P,$R78))</f>
        <v/>
      </c>
      <c r="J78" s="13" t="str">
        <f>IF($R78="","",INDEX(Cálculos!$Q:$Q,$R78))</f>
        <v/>
      </c>
      <c r="K78" s="13" t="str">
        <f>IF($R78="","",INDEX(Cálculos!$M:$M,$R78))</f>
        <v/>
      </c>
      <c r="L78" s="13" t="str">
        <f>IF($R78="","",INDEX(Cálculos!$N:$N,$R78))</f>
        <v/>
      </c>
      <c r="M78" s="74" t="str">
        <f>IF($R78="","",INDEX(Cálculos!$R:$R,$R78))</f>
        <v/>
      </c>
      <c r="O78" s="15" t="str">
        <f>IF($R78="","",INDEX(Cálculos!$S:$S,$R78))</f>
        <v/>
      </c>
      <c r="P78" s="13" t="str">
        <f>IF($R78="","",IF(M78&gt;=1,"Completo","Pendiente"))</f>
        <v/>
      </c>
      <c r="R78" t="str">
        <f>IFERROR(SMALL(Cálculos!$T$30:$T$109,65),"")</f>
        <v/>
      </c>
    </row>
    <row r="79" ht="18" customHeight="1" s="38">
      <c r="B79" s="13" t="str">
        <f>IF($R79="","",66)</f>
        <v/>
      </c>
      <c r="C79" s="72" t="str">
        <f>IF($R79="","",INDEX(Cálculos!$O:$O,$R79))</f>
        <v/>
      </c>
      <c r="G79" s="72" t="str">
        <f>IF($R79="","",INDEX(Cálculos!$P:$P,$R79))</f>
        <v/>
      </c>
      <c r="J79" s="13" t="str">
        <f>IF($R79="","",INDEX(Cálculos!$Q:$Q,$R79))</f>
        <v/>
      </c>
      <c r="K79" s="13" t="str">
        <f>IF($R79="","",INDEX(Cálculos!$M:$M,$R79))</f>
        <v/>
      </c>
      <c r="L79" s="13" t="str">
        <f>IF($R79="","",INDEX(Cálculos!$N:$N,$R79))</f>
        <v/>
      </c>
      <c r="M79" s="74" t="str">
        <f>IF($R79="","",INDEX(Cálculos!$R:$R,$R79))</f>
        <v/>
      </c>
      <c r="O79" s="15" t="str">
        <f>IF($R79="","",INDEX(Cálculos!$S:$S,$R79))</f>
        <v/>
      </c>
      <c r="P79" s="13" t="str">
        <f>IF($R79="","",IF(M79&gt;=1,"Completo","Pendiente"))</f>
        <v/>
      </c>
      <c r="R79" t="str">
        <f>IFERROR(SMALL(Cálculos!$T$30:$T$109,66),"")</f>
        <v/>
      </c>
    </row>
    <row r="80" ht="18" customHeight="1" s="38">
      <c r="B80" s="13" t="str">
        <f>IF($R80="","",67)</f>
        <v/>
      </c>
      <c r="C80" s="72" t="str">
        <f>IF($R80="","",INDEX(Cálculos!$O:$O,$R80))</f>
        <v/>
      </c>
      <c r="G80" s="72" t="str">
        <f>IF($R80="","",INDEX(Cálculos!$P:$P,$R80))</f>
        <v/>
      </c>
      <c r="J80" s="13" t="str">
        <f>IF($R80="","",INDEX(Cálculos!$Q:$Q,$R80))</f>
        <v/>
      </c>
      <c r="K80" s="13" t="str">
        <f>IF($R80="","",INDEX(Cálculos!$M:$M,$R80))</f>
        <v/>
      </c>
      <c r="L80" s="13" t="str">
        <f>IF($R80="","",INDEX(Cálculos!$N:$N,$R80))</f>
        <v/>
      </c>
      <c r="M80" s="74" t="str">
        <f>IF($R80="","",INDEX(Cálculos!$R:$R,$R80))</f>
        <v/>
      </c>
      <c r="O80" s="15" t="str">
        <f>IF($R80="","",INDEX(Cálculos!$S:$S,$R80))</f>
        <v/>
      </c>
      <c r="P80" s="13" t="str">
        <f>IF($R80="","",IF(M80&gt;=1,"Completo","Pendiente"))</f>
        <v/>
      </c>
      <c r="R80" t="str">
        <f>IFERROR(SMALL(Cálculos!$T$30:$T$109,67),"")</f>
        <v/>
      </c>
    </row>
    <row r="81" ht="18" customHeight="1" s="38">
      <c r="B81" s="13" t="str">
        <f>IF($R81="","",68)</f>
        <v/>
      </c>
      <c r="C81" s="72" t="str">
        <f>IF($R81="","",INDEX(Cálculos!$O:$O,$R81))</f>
        <v/>
      </c>
      <c r="G81" s="72" t="str">
        <f>IF($R81="","",INDEX(Cálculos!$P:$P,$R81))</f>
        <v/>
      </c>
      <c r="J81" s="13" t="str">
        <f>IF($R81="","",INDEX(Cálculos!$Q:$Q,$R81))</f>
        <v/>
      </c>
      <c r="K81" s="13" t="str">
        <f>IF($R81="","",INDEX(Cálculos!$M:$M,$R81))</f>
        <v/>
      </c>
      <c r="L81" s="13" t="str">
        <f>IF($R81="","",INDEX(Cálculos!$N:$N,$R81))</f>
        <v/>
      </c>
      <c r="M81" s="74" t="str">
        <f>IF($R81="","",INDEX(Cálculos!$R:$R,$R81))</f>
        <v/>
      </c>
      <c r="O81" s="15" t="str">
        <f>IF($R81="","",INDEX(Cálculos!$S:$S,$R81))</f>
        <v/>
      </c>
      <c r="P81" s="13" t="str">
        <f>IF($R81="","",IF(M81&gt;=1,"Completo","Pendiente"))</f>
        <v/>
      </c>
      <c r="R81" t="str">
        <f>IFERROR(SMALL(Cálculos!$T$30:$T$109,68),"")</f>
        <v/>
      </c>
    </row>
    <row r="82" ht="18" customHeight="1" s="38">
      <c r="B82" s="13" t="str">
        <f>IF($R82="","",69)</f>
        <v/>
      </c>
      <c r="C82" s="72" t="str">
        <f>IF($R82="","",INDEX(Cálculos!$O:$O,$R82))</f>
        <v/>
      </c>
      <c r="G82" s="72" t="str">
        <f>IF($R82="","",INDEX(Cálculos!$P:$P,$R82))</f>
        <v/>
      </c>
      <c r="J82" s="13" t="str">
        <f>IF($R82="","",INDEX(Cálculos!$Q:$Q,$R82))</f>
        <v/>
      </c>
      <c r="K82" s="13" t="str">
        <f>IF($R82="","",INDEX(Cálculos!$M:$M,$R82))</f>
        <v/>
      </c>
      <c r="L82" s="13" t="str">
        <f>IF($R82="","",INDEX(Cálculos!$N:$N,$R82))</f>
        <v/>
      </c>
      <c r="M82" s="74" t="str">
        <f>IF($R82="","",INDEX(Cálculos!$R:$R,$R82))</f>
        <v/>
      </c>
      <c r="O82" s="15" t="str">
        <f>IF($R82="","",INDEX(Cálculos!$S:$S,$R82))</f>
        <v/>
      </c>
      <c r="P82" s="13" t="str">
        <f>IF($R82="","",IF(M82&gt;=1,"Completo","Pendiente"))</f>
        <v/>
      </c>
      <c r="R82" t="str">
        <f>IFERROR(SMALL(Cálculos!$T$30:$T$109,69),"")</f>
        <v/>
      </c>
    </row>
    <row r="83" ht="18" customHeight="1" s="38">
      <c r="B83" s="13" t="str">
        <f>IF($R83="","",70)</f>
        <v/>
      </c>
      <c r="C83" s="72" t="str">
        <f>IF($R83="","",INDEX(Cálculos!$O:$O,$R83))</f>
        <v/>
      </c>
      <c r="G83" s="72" t="str">
        <f>IF($R83="","",INDEX(Cálculos!$P:$P,$R83))</f>
        <v/>
      </c>
      <c r="J83" s="13" t="str">
        <f>IF($R83="","",INDEX(Cálculos!$Q:$Q,$R83))</f>
        <v/>
      </c>
      <c r="K83" s="13" t="str">
        <f>IF($R83="","",INDEX(Cálculos!$M:$M,$R83))</f>
        <v/>
      </c>
      <c r="L83" s="13" t="str">
        <f>IF($R83="","",INDEX(Cálculos!$N:$N,$R83))</f>
        <v/>
      </c>
      <c r="M83" s="74" t="str">
        <f>IF($R83="","",INDEX(Cálculos!$R:$R,$R83))</f>
        <v/>
      </c>
      <c r="O83" s="15" t="str">
        <f>IF($R83="","",INDEX(Cálculos!$S:$S,$R83))</f>
        <v/>
      </c>
      <c r="P83" s="13" t="str">
        <f>IF($R83="","",IF(M83&gt;=1,"Completo","Pendiente"))</f>
        <v/>
      </c>
      <c r="R83" t="str">
        <f>IFERROR(SMALL(Cálculos!$T$30:$T$109,70),"")</f>
        <v/>
      </c>
    </row>
    <row r="84" ht="18" customHeight="1" s="38">
      <c r="B84" s="13" t="str">
        <f>IF($R84="","",71)</f>
        <v/>
      </c>
      <c r="C84" s="72" t="str">
        <f>IF($R84="","",INDEX(Cálculos!$O:$O,$R84))</f>
        <v/>
      </c>
      <c r="G84" s="72" t="str">
        <f>IF($R84="","",INDEX(Cálculos!$P:$P,$R84))</f>
        <v/>
      </c>
      <c r="J84" s="13" t="str">
        <f>IF($R84="","",INDEX(Cálculos!$Q:$Q,$R84))</f>
        <v/>
      </c>
      <c r="K84" s="13" t="str">
        <f>IF($R84="","",INDEX(Cálculos!$M:$M,$R84))</f>
        <v/>
      </c>
      <c r="L84" s="13" t="str">
        <f>IF($R84="","",INDEX(Cálculos!$N:$N,$R84))</f>
        <v/>
      </c>
      <c r="M84" s="74" t="str">
        <f>IF($R84="","",INDEX(Cálculos!$R:$R,$R84))</f>
        <v/>
      </c>
      <c r="O84" s="15" t="str">
        <f>IF($R84="","",INDEX(Cálculos!$S:$S,$R84))</f>
        <v/>
      </c>
      <c r="P84" s="13" t="str">
        <f>IF($R84="","",IF(M84&gt;=1,"Completo","Pendiente"))</f>
        <v/>
      </c>
      <c r="R84" t="str">
        <f>IFERROR(SMALL(Cálculos!$T$30:$T$109,71),"")</f>
        <v/>
      </c>
    </row>
    <row r="85" ht="18" customHeight="1" s="38">
      <c r="B85" s="13" t="str">
        <f>IF($R85="","",72)</f>
        <v/>
      </c>
      <c r="C85" s="72" t="str">
        <f>IF($R85="","",INDEX(Cálculos!$O:$O,$R85))</f>
        <v/>
      </c>
      <c r="G85" s="72" t="str">
        <f>IF($R85="","",INDEX(Cálculos!$P:$P,$R85))</f>
        <v/>
      </c>
      <c r="J85" s="13" t="str">
        <f>IF($R85="","",INDEX(Cálculos!$Q:$Q,$R85))</f>
        <v/>
      </c>
      <c r="K85" s="13" t="str">
        <f>IF($R85="","",INDEX(Cálculos!$M:$M,$R85))</f>
        <v/>
      </c>
      <c r="L85" s="13" t="str">
        <f>IF($R85="","",INDEX(Cálculos!$N:$N,$R85))</f>
        <v/>
      </c>
      <c r="M85" s="74" t="str">
        <f>IF($R85="","",INDEX(Cálculos!$R:$R,$R85))</f>
        <v/>
      </c>
      <c r="O85" s="15" t="str">
        <f>IF($R85="","",INDEX(Cálculos!$S:$S,$R85))</f>
        <v/>
      </c>
      <c r="P85" s="13" t="str">
        <f>IF($R85="","",IF(M85&gt;=1,"Completo","Pendiente"))</f>
        <v/>
      </c>
      <c r="R85" t="str">
        <f>IFERROR(SMALL(Cálculos!$T$30:$T$109,72),"")</f>
        <v/>
      </c>
    </row>
    <row r="86" ht="18" customHeight="1" s="38">
      <c r="B86" s="13" t="str">
        <f>IF($R86="","",73)</f>
        <v/>
      </c>
      <c r="C86" s="72" t="str">
        <f>IF($R86="","",INDEX(Cálculos!$O:$O,$R86))</f>
        <v/>
      </c>
      <c r="G86" s="72" t="str">
        <f>IF($R86="","",INDEX(Cálculos!$P:$P,$R86))</f>
        <v/>
      </c>
      <c r="J86" s="13" t="str">
        <f>IF($R86="","",INDEX(Cálculos!$Q:$Q,$R86))</f>
        <v/>
      </c>
      <c r="K86" s="13" t="str">
        <f>IF($R86="","",INDEX(Cálculos!$M:$M,$R86))</f>
        <v/>
      </c>
      <c r="L86" s="13" t="str">
        <f>IF($R86="","",INDEX(Cálculos!$N:$N,$R86))</f>
        <v/>
      </c>
      <c r="M86" s="74" t="str">
        <f>IF($R86="","",INDEX(Cálculos!$R:$R,$R86))</f>
        <v/>
      </c>
      <c r="O86" s="15" t="str">
        <f>IF($R86="","",INDEX(Cálculos!$S:$S,$R86))</f>
        <v/>
      </c>
      <c r="P86" s="13" t="str">
        <f>IF($R86="","",IF(M86&gt;=1,"Completo","Pendiente"))</f>
        <v/>
      </c>
      <c r="R86" t="str">
        <f>IFERROR(SMALL(Cálculos!$T$30:$T$109,73),"")</f>
        <v/>
      </c>
    </row>
    <row r="87" ht="18" customHeight="1" s="38">
      <c r="B87" s="13" t="str">
        <f>IF($R87="","",74)</f>
        <v/>
      </c>
      <c r="C87" s="72" t="str">
        <f>IF($R87="","",INDEX(Cálculos!$O:$O,$R87))</f>
        <v/>
      </c>
      <c r="G87" s="72" t="str">
        <f>IF($R87="","",INDEX(Cálculos!$P:$P,$R87))</f>
        <v/>
      </c>
      <c r="J87" s="13" t="str">
        <f>IF($R87="","",INDEX(Cálculos!$Q:$Q,$R87))</f>
        <v/>
      </c>
      <c r="K87" s="13" t="str">
        <f>IF($R87="","",INDEX(Cálculos!$M:$M,$R87))</f>
        <v/>
      </c>
      <c r="L87" s="13" t="str">
        <f>IF($R87="","",INDEX(Cálculos!$N:$N,$R87))</f>
        <v/>
      </c>
      <c r="M87" s="74" t="str">
        <f>IF($R87="","",INDEX(Cálculos!$R:$R,$R87))</f>
        <v/>
      </c>
      <c r="O87" s="15" t="str">
        <f>IF($R87="","",INDEX(Cálculos!$S:$S,$R87))</f>
        <v/>
      </c>
      <c r="P87" s="13" t="str">
        <f>IF($R87="","",IF(M87&gt;=1,"Completo","Pendiente"))</f>
        <v/>
      </c>
      <c r="R87" t="str">
        <f>IFERROR(SMALL(Cálculos!$T$30:$T$109,74),"")</f>
        <v/>
      </c>
    </row>
    <row r="88" ht="18" customHeight="1" s="38">
      <c r="B88" s="13" t="str">
        <f>IF($R88="","",75)</f>
        <v/>
      </c>
      <c r="C88" s="72" t="str">
        <f>IF($R88="","",INDEX(Cálculos!$O:$O,$R88))</f>
        <v/>
      </c>
      <c r="G88" s="72" t="str">
        <f>IF($R88="","",INDEX(Cálculos!$P:$P,$R88))</f>
        <v/>
      </c>
      <c r="J88" s="13" t="str">
        <f>IF($R88="","",INDEX(Cálculos!$Q:$Q,$R88))</f>
        <v/>
      </c>
      <c r="K88" s="13" t="str">
        <f>IF($R88="","",INDEX(Cálculos!$M:$M,$R88))</f>
        <v/>
      </c>
      <c r="L88" s="13" t="str">
        <f>IF($R88="","",INDEX(Cálculos!$N:$N,$R88))</f>
        <v/>
      </c>
      <c r="M88" s="74" t="str">
        <f>IF($R88="","",INDEX(Cálculos!$R:$R,$R88))</f>
        <v/>
      </c>
      <c r="O88" s="15" t="str">
        <f>IF($R88="","",INDEX(Cálculos!$S:$S,$R88))</f>
        <v/>
      </c>
      <c r="P88" s="13" t="str">
        <f>IF($R88="","",IF(M88&gt;=1,"Completo","Pendiente"))</f>
        <v/>
      </c>
      <c r="R88" t="str">
        <f>IFERROR(SMALL(Cálculos!$T$30:$T$109,75),"")</f>
        <v/>
      </c>
    </row>
    <row r="89" ht="18" customHeight="1" s="38">
      <c r="B89" s="13" t="str">
        <f>IF($R89="","",76)</f>
        <v/>
      </c>
      <c r="C89" s="72" t="str">
        <f>IF($R89="","",INDEX(Cálculos!$O:$O,$R89))</f>
        <v/>
      </c>
      <c r="G89" s="72" t="str">
        <f>IF($R89="","",INDEX(Cálculos!$P:$P,$R89))</f>
        <v/>
      </c>
      <c r="J89" s="13" t="str">
        <f>IF($R89="","",INDEX(Cálculos!$Q:$Q,$R89))</f>
        <v/>
      </c>
      <c r="K89" s="13" t="str">
        <f>IF($R89="","",INDEX(Cálculos!$M:$M,$R89))</f>
        <v/>
      </c>
      <c r="L89" s="13" t="str">
        <f>IF($R89="","",INDEX(Cálculos!$N:$N,$R89))</f>
        <v/>
      </c>
      <c r="M89" s="74" t="str">
        <f>IF($R89="","",INDEX(Cálculos!$R:$R,$R89))</f>
        <v/>
      </c>
      <c r="O89" s="15" t="str">
        <f>IF($R89="","",INDEX(Cálculos!$S:$S,$R89))</f>
        <v/>
      </c>
      <c r="P89" s="13" t="str">
        <f>IF($R89="","",IF(M89&gt;=1,"Completo","Pendiente"))</f>
        <v/>
      </c>
      <c r="R89" t="str">
        <f>IFERROR(SMALL(Cálculos!$T$30:$T$109,76),"")</f>
        <v/>
      </c>
    </row>
    <row r="90" ht="18" customHeight="1" s="38">
      <c r="B90" s="13" t="str">
        <f>IF($R90="","",77)</f>
        <v/>
      </c>
      <c r="C90" s="72" t="str">
        <f>IF($R90="","",INDEX(Cálculos!$O:$O,$R90))</f>
        <v/>
      </c>
      <c r="G90" s="72" t="str">
        <f>IF($R90="","",INDEX(Cálculos!$P:$P,$R90))</f>
        <v/>
      </c>
      <c r="J90" s="13" t="str">
        <f>IF($R90="","",INDEX(Cálculos!$Q:$Q,$R90))</f>
        <v/>
      </c>
      <c r="K90" s="13" t="str">
        <f>IF($R90="","",INDEX(Cálculos!$M:$M,$R90))</f>
        <v/>
      </c>
      <c r="L90" s="13" t="str">
        <f>IF($R90="","",INDEX(Cálculos!$N:$N,$R90))</f>
        <v/>
      </c>
      <c r="M90" s="74" t="str">
        <f>IF($R90="","",INDEX(Cálculos!$R:$R,$R90))</f>
        <v/>
      </c>
      <c r="O90" s="15" t="str">
        <f>IF($R90="","",INDEX(Cálculos!$S:$S,$R90))</f>
        <v/>
      </c>
      <c r="P90" s="13" t="str">
        <f>IF($R90="","",IF(M90&gt;=1,"Completo","Pendiente"))</f>
        <v/>
      </c>
      <c r="R90" t="str">
        <f>IFERROR(SMALL(Cálculos!$T$30:$T$109,77),"")</f>
        <v/>
      </c>
    </row>
    <row r="91" ht="18" customHeight="1" s="38">
      <c r="B91" s="13" t="str">
        <f>IF($R91="","",78)</f>
        <v/>
      </c>
      <c r="C91" s="72" t="str">
        <f>IF($R91="","",INDEX(Cálculos!$O:$O,$R91))</f>
        <v/>
      </c>
      <c r="G91" s="72" t="str">
        <f>IF($R91="","",INDEX(Cálculos!$P:$P,$R91))</f>
        <v/>
      </c>
      <c r="J91" s="13" t="str">
        <f>IF($R91="","",INDEX(Cálculos!$Q:$Q,$R91))</f>
        <v/>
      </c>
      <c r="K91" s="13" t="str">
        <f>IF($R91="","",INDEX(Cálculos!$M:$M,$R91))</f>
        <v/>
      </c>
      <c r="L91" s="13" t="str">
        <f>IF($R91="","",INDEX(Cálculos!$N:$N,$R91))</f>
        <v/>
      </c>
      <c r="M91" s="74" t="str">
        <f>IF($R91="","",INDEX(Cálculos!$R:$R,$R91))</f>
        <v/>
      </c>
      <c r="O91" s="15" t="str">
        <f>IF($R91="","",INDEX(Cálculos!$S:$S,$R91))</f>
        <v/>
      </c>
      <c r="P91" s="13" t="str">
        <f>IF($R91="","",IF(M91&gt;=1,"Completo","Pendiente"))</f>
        <v/>
      </c>
      <c r="R91" t="str">
        <f>IFERROR(SMALL(Cálculos!$T$30:$T$109,78),"")</f>
        <v/>
      </c>
    </row>
    <row r="92" ht="18" customHeight="1" s="38">
      <c r="B92" s="13" t="str">
        <f>IF($R92="","",79)</f>
        <v/>
      </c>
      <c r="C92" s="72" t="str">
        <f>IF($R92="","",INDEX(Cálculos!$O:$O,$R92))</f>
        <v/>
      </c>
      <c r="G92" s="72" t="str">
        <f>IF($R92="","",INDEX(Cálculos!$P:$P,$R92))</f>
        <v/>
      </c>
      <c r="J92" s="13" t="str">
        <f>IF($R92="","",INDEX(Cálculos!$Q:$Q,$R92))</f>
        <v/>
      </c>
      <c r="K92" s="13" t="str">
        <f>IF($R92="","",INDEX(Cálculos!$M:$M,$R92))</f>
        <v/>
      </c>
      <c r="L92" s="13" t="str">
        <f>IF($R92="","",INDEX(Cálculos!$N:$N,$R92))</f>
        <v/>
      </c>
      <c r="M92" s="74" t="str">
        <f>IF($R92="","",INDEX(Cálculos!$R:$R,$R92))</f>
        <v/>
      </c>
      <c r="O92" s="15" t="str">
        <f>IF($R92="","",INDEX(Cálculos!$S:$S,$R92))</f>
        <v/>
      </c>
      <c r="P92" s="13" t="str">
        <f>IF($R92="","",IF(M92&gt;=1,"Completo","Pendiente"))</f>
        <v/>
      </c>
      <c r="R92" t="str">
        <f>IFERROR(SMALL(Cálculos!$T$30:$T$109,79),"")</f>
        <v/>
      </c>
    </row>
    <row r="93" ht="18" customHeight="1" s="38">
      <c r="B93" s="13" t="str">
        <f>IF($R93="","",80)</f>
        <v/>
      </c>
      <c r="C93" s="72" t="str">
        <f>IF($R93="","",INDEX(Cálculos!$O:$O,$R93))</f>
        <v/>
      </c>
      <c r="G93" s="72" t="str">
        <f>IF($R93="","",INDEX(Cálculos!$P:$P,$R93))</f>
        <v/>
      </c>
      <c r="J93" s="13" t="str">
        <f>IF($R93="","",INDEX(Cálculos!$Q:$Q,$R93))</f>
        <v/>
      </c>
      <c r="K93" s="13" t="str">
        <f>IF($R93="","",INDEX(Cálculos!$M:$M,$R93))</f>
        <v/>
      </c>
      <c r="L93" s="13" t="str">
        <f>IF($R93="","",INDEX(Cálculos!$N:$N,$R93))</f>
        <v/>
      </c>
      <c r="M93" s="74" t="str">
        <f>IF($R93="","",INDEX(Cálculos!$R:$R,$R93))</f>
        <v/>
      </c>
      <c r="O93" s="15" t="str">
        <f>IF($R93="","",INDEX(Cálculos!$S:$S,$R93))</f>
        <v/>
      </c>
      <c r="P93" s="13" t="str">
        <f>IF($R93="","",IF(M93&gt;=1,"Completo","Pendiente"))</f>
        <v/>
      </c>
      <c r="R93" t="str">
        <f>IFERROR(SMALL(Cálculos!$T$30:$T$109,80),"")</f>
        <v/>
      </c>
    </row>
  </sheetData>
  <mergeCells count="264">
    <mergeCell ref="C52:F52"/>
    <mergeCell ref="G38:I38"/>
    <mergeCell ref="O7:P7"/>
    <mergeCell ref="M43:N43"/>
    <mergeCell ref="C61:F61"/>
    <mergeCell ref="C39:F39"/>
    <mergeCell ref="G13:I13"/>
    <mergeCell ref="M59:N59"/>
    <mergeCell ref="G62:I62"/>
    <mergeCell ref="G87:I87"/>
    <mergeCell ref="C72:F72"/>
    <mergeCell ref="C32:F32"/>
    <mergeCell ref="C81:F81"/>
    <mergeCell ref="C37:F37"/>
    <mergeCell ref="M79:N79"/>
    <mergeCell ref="G15:I15"/>
    <mergeCell ref="M88:N88"/>
    <mergeCell ref="C13:F13"/>
    <mergeCell ref="G24:I24"/>
    <mergeCell ref="M70:N70"/>
    <mergeCell ref="M82:N82"/>
    <mergeCell ref="M60:N60"/>
    <mergeCell ref="C78:F78"/>
    <mergeCell ref="G89:I89"/>
    <mergeCell ref="M35:N35"/>
    <mergeCell ref="C87:F87"/>
    <mergeCell ref="G65:I65"/>
    <mergeCell ref="M54:N54"/>
    <mergeCell ref="G79:I79"/>
    <mergeCell ref="C62:F62"/>
    <mergeCell ref="G73:I73"/>
    <mergeCell ref="M90:N90"/>
    <mergeCell ref="G88:I88"/>
    <mergeCell ref="C15:F15"/>
    <mergeCell ref="G26:I26"/>
    <mergeCell ref="C24:F24"/>
    <mergeCell ref="C7:E7"/>
    <mergeCell ref="C89:F89"/>
    <mergeCell ref="G63:I63"/>
    <mergeCell ref="M74:N74"/>
    <mergeCell ref="M16:N16"/>
    <mergeCell ref="G16:I16"/>
    <mergeCell ref="M25:N25"/>
    <mergeCell ref="I10:K10"/>
    <mergeCell ref="C64:F64"/>
    <mergeCell ref="C79:F79"/>
    <mergeCell ref="G90:I90"/>
    <mergeCell ref="G50:I50"/>
    <mergeCell ref="C73:F73"/>
    <mergeCell ref="C88:F88"/>
    <mergeCell ref="C26:F26"/>
    <mergeCell ref="M36:N36"/>
    <mergeCell ref="C54:F54"/>
    <mergeCell ref="M18:N18"/>
    <mergeCell ref="M33:N33"/>
    <mergeCell ref="M45:N45"/>
    <mergeCell ref="C63:F63"/>
    <mergeCell ref="M85:N85"/>
    <mergeCell ref="C41:F41"/>
    <mergeCell ref="G52:I52"/>
    <mergeCell ref="C93:F93"/>
    <mergeCell ref="C50:F50"/>
    <mergeCell ref="M17:N17"/>
    <mergeCell ref="G36:I36"/>
    <mergeCell ref="G42:I42"/>
    <mergeCell ref="C56:F56"/>
    <mergeCell ref="M47:N47"/>
    <mergeCell ref="M62:N62"/>
    <mergeCell ref="C43:F43"/>
    <mergeCell ref="M19:N19"/>
    <mergeCell ref="M50:N50"/>
    <mergeCell ref="F7:H7"/>
    <mergeCell ref="C27:F27"/>
    <mergeCell ref="B12:P12"/>
    <mergeCell ref="C36:F36"/>
    <mergeCell ref="M92:N92"/>
    <mergeCell ref="C17:F17"/>
    <mergeCell ref="G28:I28"/>
    <mergeCell ref="G37:I37"/>
    <mergeCell ref="M44:N44"/>
    <mergeCell ref="G69:I69"/>
    <mergeCell ref="B1:P1"/>
    <mergeCell ref="C67:F67"/>
    <mergeCell ref="G78:I78"/>
    <mergeCell ref="G92:I92"/>
    <mergeCell ref="C19:F19"/>
    <mergeCell ref="G30:I30"/>
    <mergeCell ref="C28:F28"/>
    <mergeCell ref="M64:N64"/>
    <mergeCell ref="M73:N73"/>
    <mergeCell ref="L10:N10"/>
    <mergeCell ref="G14:I14"/>
    <mergeCell ref="M51:N51"/>
    <mergeCell ref="C69:F69"/>
    <mergeCell ref="G80:I80"/>
    <mergeCell ref="C83:F83"/>
    <mergeCell ref="C92:F92"/>
    <mergeCell ref="C30:F30"/>
    <mergeCell ref="G55:I55"/>
    <mergeCell ref="G64:I64"/>
    <mergeCell ref="G51:I51"/>
    <mergeCell ref="C14:F14"/>
    <mergeCell ref="M13:N13"/>
    <mergeCell ref="G54:I54"/>
    <mergeCell ref="M65:N65"/>
    <mergeCell ref="G32:I32"/>
    <mergeCell ref="M21:N21"/>
    <mergeCell ref="G41:I41"/>
    <mergeCell ref="H5:P5"/>
    <mergeCell ref="M27:N27"/>
    <mergeCell ref="G81:I81"/>
    <mergeCell ref="G56:I56"/>
    <mergeCell ref="M41:N41"/>
    <mergeCell ref="G43:I43"/>
    <mergeCell ref="C40:F40"/>
    <mergeCell ref="M24:N24"/>
    <mergeCell ref="G71:I71"/>
    <mergeCell ref="M76:N76"/>
    <mergeCell ref="M91:N91"/>
    <mergeCell ref="G27:I27"/>
    <mergeCell ref="B5:F5"/>
    <mergeCell ref="C90:F90"/>
    <mergeCell ref="C8:E9"/>
    <mergeCell ref="M66:N66"/>
    <mergeCell ref="G17:I17"/>
    <mergeCell ref="M63:N63"/>
    <mergeCell ref="M53:N53"/>
    <mergeCell ref="C71:F71"/>
    <mergeCell ref="M93:N93"/>
    <mergeCell ref="G82:I82"/>
    <mergeCell ref="C10:E10"/>
    <mergeCell ref="B4:F4"/>
    <mergeCell ref="C76:F76"/>
    <mergeCell ref="G66:I66"/>
    <mergeCell ref="M34:N34"/>
    <mergeCell ref="M68:N68"/>
    <mergeCell ref="G19:I19"/>
    <mergeCell ref="M83:N83"/>
    <mergeCell ref="C91:F91"/>
    <mergeCell ref="G53:I53"/>
    <mergeCell ref="M55:N55"/>
    <mergeCell ref="G93:I93"/>
    <mergeCell ref="C82:F82"/>
    <mergeCell ref="M52:N52"/>
    <mergeCell ref="M67:N67"/>
    <mergeCell ref="G34:I34"/>
    <mergeCell ref="M49:N49"/>
    <mergeCell ref="G74:I74"/>
    <mergeCell ref="M39:N39"/>
    <mergeCell ref="C57:F57"/>
    <mergeCell ref="G68:I68"/>
    <mergeCell ref="G83:I83"/>
    <mergeCell ref="M48:N48"/>
    <mergeCell ref="C66:F66"/>
    <mergeCell ref="C18:F18"/>
    <mergeCell ref="C53:F53"/>
    <mergeCell ref="G58:I58"/>
    <mergeCell ref="M69:N69"/>
    <mergeCell ref="C77:F77"/>
    <mergeCell ref="M78:N78"/>
    <mergeCell ref="C34:F34"/>
    <mergeCell ref="G45:I45"/>
    <mergeCell ref="C86:F86"/>
    <mergeCell ref="C68:F68"/>
    <mergeCell ref="G20:I20"/>
    <mergeCell ref="M31:N31"/>
    <mergeCell ref="G29:I29"/>
    <mergeCell ref="C58:F58"/>
    <mergeCell ref="M75:N75"/>
    <mergeCell ref="M40:N40"/>
    <mergeCell ref="G47:I47"/>
    <mergeCell ref="C45:F45"/>
    <mergeCell ref="M15:N15"/>
    <mergeCell ref="G84:I84"/>
    <mergeCell ref="M81:N81"/>
    <mergeCell ref="G22:I22"/>
    <mergeCell ref="G44:I44"/>
    <mergeCell ref="M37:N37"/>
    <mergeCell ref="C20:F20"/>
    <mergeCell ref="G31:I31"/>
    <mergeCell ref="G46:I46"/>
    <mergeCell ref="M89:N89"/>
    <mergeCell ref="C29:F29"/>
    <mergeCell ref="G40:I40"/>
    <mergeCell ref="F8:H9"/>
    <mergeCell ref="C65:F65"/>
    <mergeCell ref="C47:F47"/>
    <mergeCell ref="G72:I72"/>
    <mergeCell ref="G21:I21"/>
    <mergeCell ref="G86:I86"/>
    <mergeCell ref="M26:N26"/>
    <mergeCell ref="C84:F84"/>
    <mergeCell ref="C44:F44"/>
    <mergeCell ref="C22:F22"/>
    <mergeCell ref="C31:F31"/>
    <mergeCell ref="C80:F80"/>
    <mergeCell ref="M29:N29"/>
    <mergeCell ref="G70:I70"/>
    <mergeCell ref="M23:N23"/>
    <mergeCell ref="M38:N38"/>
    <mergeCell ref="G23:I23"/>
    <mergeCell ref="C46:F46"/>
    <mergeCell ref="C21:F21"/>
    <mergeCell ref="I8:K9"/>
    <mergeCell ref="C51:F51"/>
    <mergeCell ref="M71:N71"/>
    <mergeCell ref="C60:F60"/>
    <mergeCell ref="I7:K7"/>
    <mergeCell ref="M58:N58"/>
    <mergeCell ref="C70:F70"/>
    <mergeCell ref="C48:F48"/>
    <mergeCell ref="C23:F23"/>
    <mergeCell ref="B2:P2"/>
    <mergeCell ref="G57:I57"/>
    <mergeCell ref="O10:P10"/>
    <mergeCell ref="C38:F38"/>
    <mergeCell ref="G18:I18"/>
    <mergeCell ref="G49:I49"/>
    <mergeCell ref="G33:I33"/>
    <mergeCell ref="O8:P9"/>
    <mergeCell ref="M56:N56"/>
    <mergeCell ref="M20:N20"/>
    <mergeCell ref="C49:F49"/>
    <mergeCell ref="G35:I35"/>
    <mergeCell ref="C33:F33"/>
    <mergeCell ref="C42:F42"/>
    <mergeCell ref="M84:N84"/>
    <mergeCell ref="M22:N22"/>
    <mergeCell ref="G76:I76"/>
    <mergeCell ref="G91:I91"/>
    <mergeCell ref="G25:I25"/>
    <mergeCell ref="C74:F74"/>
    <mergeCell ref="G85:I85"/>
    <mergeCell ref="M30:N30"/>
    <mergeCell ref="C35:F35"/>
    <mergeCell ref="G60:I60"/>
    <mergeCell ref="M77:N77"/>
    <mergeCell ref="M46:N46"/>
    <mergeCell ref="M28:N28"/>
    <mergeCell ref="G75:I75"/>
    <mergeCell ref="M86:N86"/>
    <mergeCell ref="M42:N42"/>
    <mergeCell ref="M80:N80"/>
    <mergeCell ref="C16:F16"/>
    <mergeCell ref="L8:N9"/>
    <mergeCell ref="C25:F25"/>
    <mergeCell ref="C85:F85"/>
    <mergeCell ref="G59:I59"/>
    <mergeCell ref="C55:F55"/>
    <mergeCell ref="M61:N61"/>
    <mergeCell ref="G77:I77"/>
    <mergeCell ref="L7:N7"/>
    <mergeCell ref="F10:H10"/>
    <mergeCell ref="M57:N57"/>
    <mergeCell ref="C75:F75"/>
    <mergeCell ref="G67:I67"/>
    <mergeCell ref="M32:N32"/>
    <mergeCell ref="M72:N72"/>
    <mergeCell ref="M14:N14"/>
    <mergeCell ref="G39:I39"/>
    <mergeCell ref="G61:I61"/>
    <mergeCell ref="C59:F59"/>
    <mergeCell ref="G48:I48"/>
    <mergeCell ref="M87:N87"/>
  </mergeCells>
  <conditionalFormatting sqref="B14:P93">
    <cfRule type="expression" priority="4" dxfId="6">
      <formula>AND($R14&lt;&gt;"",MOD(ROW(),2)=0)</formula>
    </cfRule>
    <cfRule type="expression" priority="5" dxfId="5">
      <formula>$R14&lt;&gt;""</formula>
    </cfRule>
  </conditionalFormatting>
  <conditionalFormatting sqref="M14:M93">
    <cfRule type="dataBar" priority="6">
      <dataBar>
        <cfvo type="num" val="0"/>
        <cfvo type="num" val="1"/>
        <color rgb="FF5B9BD5"/>
      </dataBar>
    </cfRule>
  </conditionalFormatting>
  <conditionalFormatting sqref="P14:P93">
    <cfRule type="expression" priority="1" dxfId="0" stopIfTrue="1">
      <formula>$P14="Completado"</formula>
    </cfRule>
    <cfRule type="expression" priority="2" dxfId="0" stopIfTrue="1">
      <formula>$P14="Completo"</formula>
    </cfRule>
    <cfRule type="expression" priority="3" dxfId="2" stopIfTrue="1">
      <formula>$P14="Pendiente"</formula>
    </cfRule>
  </conditionalFormatting>
  <dataValidations count="1">
    <dataValidation sqref="B5" showDropDown="0" showInputMessage="1" showErrorMessage="1" allowBlank="0" errorTitle="Valor no válido" error="Seleccione una gerencia de la lista." promptTitle="Gerencia" prompt="Elija una gerencia o 'Todas las gerencias'." type="list">
      <formula1>OFFSET(Cálculos!$V$5,0,0,COUNTIF(Cálculos!$V$5:$V$25,"?*"),1)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F4E78"/>
    <outlinePr summaryBelow="1" summaryRight="1"/>
    <pageSetUpPr/>
  </sheetPr>
  <dimension ref="B1:P13"/>
  <sheetViews>
    <sheetView showGridLines="0" topLeftCell="A3" zoomScale="90" workbookViewId="0">
      <selection activeCell="H11" sqref="H11:J12"/>
    </sheetView>
  </sheetViews>
  <sheetFormatPr baseColWidth="10" defaultColWidth="8.88671875" defaultRowHeight="14.4"/>
  <cols>
    <col width="2" customWidth="1" style="38" min="1" max="1"/>
    <col width="10.44140625" customWidth="1" style="38" min="2" max="16"/>
    <col width="2" customWidth="1" style="38" min="17" max="17"/>
  </cols>
  <sheetData>
    <row r="1" ht="34.05" customHeight="1" s="38">
      <c r="B1" s="50" t="inlineStr">
        <is>
          <t>DASHBOARD EJECUTIVO DE CUMPLIMIENTO</t>
        </is>
      </c>
    </row>
    <row r="2" ht="22.05" customHeight="1" s="38">
      <c r="B2" s="41" t="inlineStr">
        <is>
          <t>Evaluación de Gestión Integral de Riesgos · avance institucional y por gerencia</t>
        </is>
      </c>
    </row>
    <row r="3">
      <c r="B3" s="63" t="inlineStr">
        <is>
          <t>Datos actualizados al:</t>
        </is>
      </c>
      <c r="E3" s="61">
        <f>MAX('Detalle individual'!$H$5:$H$1000)</f>
        <v>46311.81412037037</v>
      </c>
      <c r="H3" s="52" t="str">
        <f>IF(COUNT(Cálculos!$AF$5:$AF$24)&gt;10,"⚠ Hay gerencias nuevas: pida actualizar los gráficos (las tablas ya están al día)",IF(COUNT(Cálculos!$AE$5:$AE$84)&gt;44,"⚠ Hay departamentos nuevos: pida actualizar los gráficos (las tablas ya están al día)",""))</f>
        <v/>
      </c>
    </row>
    <row r="4" ht="7.95" customHeight="1" s="38"/>
    <row r="5">
      <c r="B5" s="141" t="inlineStr">
        <is>
          <t>PERSONAL ESPERADO</t>
        </is>
      </c>
      <c r="C5" s="130" t="n"/>
      <c r="D5" s="131" t="n"/>
      <c r="E5" s="65" t="inlineStr">
        <is>
          <t>COMPLETADOS</t>
        </is>
      </c>
      <c r="F5" s="66" t="n"/>
      <c r="G5" s="67" t="n"/>
      <c r="H5" s="57" t="inlineStr">
        <is>
          <t>PENDIENTES</t>
        </is>
      </c>
      <c r="I5" s="58" t="n"/>
      <c r="J5" s="59" t="n"/>
      <c r="K5" s="141" t="inlineStr">
        <is>
          <t>% CUMPLIMIENTO</t>
        </is>
      </c>
      <c r="L5" s="130" t="n"/>
      <c r="M5" s="131" t="n"/>
      <c r="N5" s="141" t="inlineStr">
        <is>
          <t>NOTA PROMEDIO</t>
        </is>
      </c>
      <c r="O5" s="130" t="n"/>
      <c r="P5" s="131" t="n"/>
    </row>
    <row r="6" ht="22.05" customHeight="1" s="38">
      <c r="B6" s="132">
        <f>SUM('Consolidado por Gerencia'!$B$5:$B$24)</f>
        <v>283</v>
      </c>
      <c r="D6" s="43" t="n"/>
      <c r="E6" s="133">
        <f>SUM('Consolidado por Gerencia'!$C$5:$C$24)</f>
        <v>283</v>
      </c>
      <c r="G6" s="43" t="n"/>
      <c r="H6" s="134">
        <f>SUM('Consolidado por Gerencia'!$D$5:$D$24)</f>
        <v>0</v>
      </c>
      <c r="J6" s="43" t="n"/>
      <c r="K6" s="135">
        <f>IF(B6&gt;0,E6/B6,0)</f>
        <v>1</v>
      </c>
      <c r="M6" s="43" t="n"/>
      <c r="N6" s="136">
        <f>IFERROR(AVERAGE('Detalle individual'!$J$5:$J$1000),"-")</f>
        <v>96.8794326241135</v>
      </c>
      <c r="P6" s="43" t="n"/>
    </row>
    <row r="7" ht="22.05" customHeight="1" s="38">
      <c r="B7" s="44" t="n"/>
      <c r="D7" s="43" t="n"/>
      <c r="E7" s="44" t="n"/>
      <c r="G7" s="43" t="n"/>
      <c r="H7" s="44" t="n"/>
      <c r="J7" s="43" t="n"/>
      <c r="K7" s="44" t="n"/>
      <c r="M7" s="43" t="n"/>
      <c r="N7" s="44" t="n"/>
      <c r="P7" s="43" t="n"/>
    </row>
    <row r="8" customFormat="1" s="122">
      <c r="B8" s="142" t="str">
        <f>"Excluye "&amp;SUM('Consolidado por Gerencia'!$N$5:$N$24)&amp;" con situación especial"</f>
        <v>Excluye 10 con situación especial</v>
      </c>
      <c r="C8" s="138" t="n"/>
      <c r="D8" s="139" t="n"/>
      <c r="E8" s="142" t="inlineStr">
        <is>
          <t>Exámenes realizados</t>
        </is>
      </c>
      <c r="F8" s="138" t="n"/>
      <c r="G8" s="139" t="n"/>
      <c r="H8" s="142" t="inlineStr">
        <is>
          <t>Aún sin realizar</t>
        </is>
      </c>
      <c r="I8" s="138" t="n"/>
      <c r="J8" s="139" t="n"/>
      <c r="K8" s="142" t="inlineStr">
        <is>
          <t>Meta institucional: 100%</t>
        </is>
      </c>
      <c r="L8" s="138" t="n"/>
      <c r="M8" s="139" t="n"/>
      <c r="N8" s="142" t="inlineStr">
        <is>
          <t>Sobre 100 puntos</t>
        </is>
      </c>
      <c r="O8" s="138" t="n"/>
      <c r="P8" s="139" t="n"/>
    </row>
    <row r="9" ht="19.95" customHeight="1" s="38">
      <c r="B9" s="53" t="inlineStr">
        <is>
          <t>TOTAL DE LA BASE OFICIAL Y CASOS ESPECIALES (no cuentan en el % de cumplimiento)</t>
        </is>
      </c>
    </row>
    <row r="10" customFormat="1" s="122">
      <c r="B10" s="107" t="inlineStr">
        <is>
          <t>TOTAL BASE OFICIAL</t>
        </is>
      </c>
      <c r="C10" s="130" t="n"/>
      <c r="D10" s="131" t="n"/>
      <c r="E10" s="110" t="inlineStr">
        <is>
          <t>VACACIONES</t>
        </is>
      </c>
      <c r="F10" s="143" t="n"/>
      <c r="G10" s="144" t="n"/>
      <c r="H10" s="113" t="inlineStr">
        <is>
          <t>INCAPACIDAD</t>
        </is>
      </c>
      <c r="I10" s="145" t="n"/>
      <c r="J10" s="146" t="n"/>
      <c r="K10" s="116" t="inlineStr">
        <is>
          <t>INCAPACIDAD POR MATERNIDAD</t>
        </is>
      </c>
      <c r="L10" s="147" t="n"/>
      <c r="M10" s="148" t="n"/>
      <c r="N10" s="119" t="inlineStr">
        <is>
          <t>RENUNCIA</t>
        </is>
      </c>
      <c r="O10" s="149" t="n"/>
      <c r="P10" s="150" t="n"/>
    </row>
    <row r="11" ht="22.05" customHeight="1" s="38">
      <c r="B11" s="55">
        <f>COUNTIF('Detalle individual'!$A$5:$A$1000,"?*")</f>
        <v>293</v>
      </c>
      <c r="D11" s="43" t="n"/>
      <c r="E11" s="68">
        <f>Cálculos!AV7</f>
        <v>4</v>
      </c>
      <c r="G11" s="43" t="n"/>
      <c r="H11" s="56">
        <f>Cálculos!AV8</f>
        <v>1</v>
      </c>
      <c r="J11" s="43" t="n"/>
      <c r="K11" s="60">
        <f>Cálculos!AV9</f>
        <v>2</v>
      </c>
      <c r="M11" s="43" t="n"/>
      <c r="N11" s="42">
        <f>Cálculos!AV10</f>
        <v>3</v>
      </c>
      <c r="P11" s="43" t="n"/>
    </row>
    <row r="12" ht="22.05" customHeight="1" s="38">
      <c r="B12" s="44" t="n"/>
      <c r="D12" s="43" t="n"/>
      <c r="E12" s="44" t="n"/>
      <c r="G12" s="43" t="n"/>
      <c r="H12" s="44" t="n"/>
      <c r="J12" s="43" t="n"/>
      <c r="K12" s="44" t="n"/>
      <c r="M12" s="43" t="n"/>
      <c r="N12" s="44" t="n"/>
      <c r="P12" s="43" t="n"/>
    </row>
    <row r="13" customFormat="1" s="122">
      <c r="B13" s="123" t="str">
        <f>"Esperados "&amp;B6&amp;" + "&amp;SUM(Cálculos!$AV$7:$AV$10)&amp;" casos especiales"</f>
        <v>Esperados 283 + 10 casos especiales</v>
      </c>
      <c r="C13" s="138" t="n"/>
      <c r="D13" s="139" t="n"/>
      <c r="E13" s="123" t="inlineStr">
        <is>
          <t>No cuenta en el %</t>
        </is>
      </c>
      <c r="F13" s="138" t="n"/>
      <c r="G13" s="139" t="n"/>
      <c r="H13" s="123" t="inlineStr">
        <is>
          <t>No cuenta en el %</t>
        </is>
      </c>
      <c r="I13" s="138" t="n"/>
      <c r="J13" s="139" t="n"/>
      <c r="K13" s="123" t="inlineStr">
        <is>
          <t>No cuenta en el %</t>
        </is>
      </c>
      <c r="L13" s="138" t="n"/>
      <c r="M13" s="139" t="n"/>
      <c r="N13" s="123" t="inlineStr">
        <is>
          <t>No cuenta en el %</t>
        </is>
      </c>
      <c r="O13" s="138" t="n"/>
      <c r="P13" s="139" t="n"/>
    </row>
    <row r="14" ht="10.05" customHeight="1" s="38"/>
  </sheetData>
  <mergeCells count="36">
    <mergeCell ref="N6:P7"/>
    <mergeCell ref="E10:G10"/>
    <mergeCell ref="B2:P2"/>
    <mergeCell ref="E13:G13"/>
    <mergeCell ref="N11:P12"/>
    <mergeCell ref="B8:D8"/>
    <mergeCell ref="N5:P5"/>
    <mergeCell ref="B13:D13"/>
    <mergeCell ref="B1:P1"/>
    <mergeCell ref="N8:P8"/>
    <mergeCell ref="K6:M7"/>
    <mergeCell ref="B10:D10"/>
    <mergeCell ref="K8:M8"/>
    <mergeCell ref="N10:P10"/>
    <mergeCell ref="H13:J13"/>
    <mergeCell ref="N13:P13"/>
    <mergeCell ref="H3:P3"/>
    <mergeCell ref="B9:P9"/>
    <mergeCell ref="H6:J7"/>
    <mergeCell ref="B5:D5"/>
    <mergeCell ref="B11:D12"/>
    <mergeCell ref="H11:J12"/>
    <mergeCell ref="K10:M10"/>
    <mergeCell ref="K13:M13"/>
    <mergeCell ref="H5:J5"/>
    <mergeCell ref="H8:J8"/>
    <mergeCell ref="K11:M12"/>
    <mergeCell ref="E3:G3"/>
    <mergeCell ref="E6:G7"/>
    <mergeCell ref="B3:D3"/>
    <mergeCell ref="H10:J10"/>
    <mergeCell ref="B6:D7"/>
    <mergeCell ref="E5:G5"/>
    <mergeCell ref="K5:M5"/>
    <mergeCell ref="E11:G12"/>
    <mergeCell ref="E8:G8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1F4E78"/>
    <outlinePr summaryBelow="1" summaryRight="1"/>
    <pageSetUpPr/>
  </sheetPr>
  <dimension ref="B1:M77"/>
  <sheetViews>
    <sheetView showGridLines="0" topLeftCell="A2" zoomScale="90" workbookViewId="0">
      <selection activeCell="F52" sqref="F52"/>
    </sheetView>
  </sheetViews>
  <sheetFormatPr baseColWidth="10" defaultColWidth="8.88671875" defaultRowHeight="14.4"/>
  <cols>
    <col width="2" customWidth="1" style="38" min="1" max="1"/>
    <col width="12.44140625" customWidth="1" style="38" min="2" max="13"/>
  </cols>
  <sheetData>
    <row r="1" ht="34.05" customHeight="1" s="38">
      <c r="B1" s="50" t="inlineStr">
        <is>
          <t>DASHBOARD DE ESTADOS DEL PERSONAL</t>
        </is>
      </c>
    </row>
    <row r="2" ht="22.05" customHeight="1" s="38">
      <c r="B2" s="41" t="inlineStr">
        <is>
          <t>Completados, pendientes y personal con situación especial (vacaciones, incapacidad, maternidad, renuncia)</t>
        </is>
      </c>
    </row>
    <row r="3" ht="10.05" customHeight="1" s="38"/>
    <row r="4" ht="25.95" customHeight="1" s="38">
      <c r="B4" s="151" t="inlineStr">
        <is>
          <t>COMPLETADO</t>
        </is>
      </c>
      <c r="C4" s="131" t="n"/>
      <c r="D4" s="98" t="inlineStr">
        <is>
          <t>PENDIENTE</t>
        </is>
      </c>
      <c r="E4" s="59" t="n"/>
      <c r="F4" s="152" t="inlineStr">
        <is>
          <t>VACACIONES</t>
        </is>
      </c>
      <c r="G4" s="144" t="n"/>
      <c r="H4" s="88" t="inlineStr">
        <is>
          <t>INCAPACIDAD</t>
        </is>
      </c>
      <c r="I4" s="89" t="n"/>
      <c r="J4" s="153" t="inlineStr">
        <is>
          <t>INCAPACIDAD POR MATERNIDAD</t>
        </is>
      </c>
      <c r="K4" s="148" t="n"/>
      <c r="L4" s="154" t="inlineStr">
        <is>
          <t>RENUNCIA</t>
        </is>
      </c>
      <c r="M4" s="150" t="n"/>
    </row>
    <row r="5" ht="22.05" customHeight="1" s="38">
      <c r="B5" s="155">
        <f>Cálculos!AV5</f>
        <v>283</v>
      </c>
      <c r="C5" s="43" t="n"/>
      <c r="D5" s="156">
        <f>Cálculos!AV6</f>
        <v>0</v>
      </c>
      <c r="E5" s="43" t="n"/>
      <c r="F5" s="157">
        <f>Cálculos!AV7</f>
        <v>4</v>
      </c>
      <c r="G5" s="43" t="n"/>
      <c r="H5" s="158">
        <f>Cálculos!AV8</f>
        <v>1</v>
      </c>
      <c r="I5" s="43" t="n"/>
      <c r="J5" s="159">
        <f>Cálculos!AV9</f>
        <v>2</v>
      </c>
      <c r="K5" s="43" t="n"/>
      <c r="L5" s="160">
        <f>Cálculos!AV10</f>
        <v>3</v>
      </c>
      <c r="M5" s="43" t="n"/>
    </row>
    <row r="6" ht="22.05" customHeight="1" s="38">
      <c r="B6" s="44" t="n"/>
      <c r="C6" s="43" t="n"/>
      <c r="D6" s="44" t="n"/>
      <c r="E6" s="43" t="n"/>
      <c r="F6" s="44" t="n"/>
      <c r="G6" s="43" t="n"/>
      <c r="H6" s="44" t="n"/>
      <c r="I6" s="43" t="n"/>
      <c r="J6" s="44" t="n"/>
      <c r="K6" s="43" t="n"/>
      <c r="L6" s="44" t="n"/>
      <c r="M6" s="43" t="n"/>
    </row>
    <row r="7">
      <c r="B7" s="161">
        <f>IF(SUM(Cálculos!$AV$5:$AV$10)&gt;0,Cálculos!AV5/SUM(Cálculos!$AV$5:$AV$10),0)</f>
        <v>0.965870307167236</v>
      </c>
      <c r="C7" s="139" t="n"/>
      <c r="D7" s="161">
        <f>IF(SUM(Cálculos!$AV$5:$AV$10)&gt;0,Cálculos!AV6/SUM(Cálculos!$AV$5:$AV$10),0)</f>
        <v>0</v>
      </c>
      <c r="E7" s="139" t="n"/>
      <c r="F7" s="161">
        <f>IF(SUM(Cálculos!$AV$5:$AV$10)&gt;0,Cálculos!AV7/SUM(Cálculos!$AV$5:$AV$10),0)</f>
        <v>0.0136518771331058</v>
      </c>
      <c r="G7" s="139" t="n"/>
      <c r="H7" s="161">
        <f>IF(SUM(Cálculos!$AV$5:$AV$10)&gt;0,Cálculos!AV8/SUM(Cálculos!$AV$5:$AV$10),0)</f>
        <v>0.00341296928327645</v>
      </c>
      <c r="I7" s="139" t="n"/>
      <c r="J7" s="161">
        <f>IF(SUM(Cálculos!$AV$5:$AV$10)&gt;0,Cálculos!AV9/SUM(Cálculos!$AV$5:$AV$10),0)</f>
        <v>0.0068259385665529</v>
      </c>
      <c r="K7" s="139" t="n"/>
      <c r="L7" s="161">
        <f>IF(SUM(Cálculos!$AV$5:$AV$10)&gt;0,Cálculos!AV10/SUM(Cálculos!$AV$5:$AV$10),0)</f>
        <v>0.0102389078498294</v>
      </c>
      <c r="M7" s="139" t="n"/>
    </row>
    <row r="77">
      <c r="B77" s="102" t="inlineStr">
        <is>
          <t>Nota: el personal con situación especial que no ha realizado el examen no cuenta en el % de cumplimiento. La situación se asigna en 'Base Oficial', columna H.</t>
        </is>
      </c>
    </row>
  </sheetData>
  <mergeCells count="21">
    <mergeCell ref="F4:G4"/>
    <mergeCell ref="B2:M2"/>
    <mergeCell ref="L7:M7"/>
    <mergeCell ref="B7:C7"/>
    <mergeCell ref="H4:I4"/>
    <mergeCell ref="B1:M1"/>
    <mergeCell ref="F7:G7"/>
    <mergeCell ref="B5:C6"/>
    <mergeCell ref="D5:E6"/>
    <mergeCell ref="H5:I6"/>
    <mergeCell ref="J5:K6"/>
    <mergeCell ref="J4:K4"/>
    <mergeCell ref="D7:E7"/>
    <mergeCell ref="L4:M4"/>
    <mergeCell ref="H7:I7"/>
    <mergeCell ref="J7:K7"/>
    <mergeCell ref="D4:E4"/>
    <mergeCell ref="F5:G6"/>
    <mergeCell ref="L5:M6"/>
    <mergeCell ref="B4:C4"/>
    <mergeCell ref="B77:M7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1F4E78"/>
    <outlinePr summaryBelow="1" summaryRight="1"/>
    <pageSetUpPr/>
  </sheetPr>
  <dimension ref="B1:P3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2" customWidth="1" style="38" min="1" max="1"/>
    <col width="10.44140625" customWidth="1" style="38" min="2" max="16"/>
  </cols>
  <sheetData>
    <row r="1" ht="34.05" customHeight="1" s="38">
      <c r="B1" s="50" t="inlineStr">
        <is>
          <t>CUMPLIMIENTO POR DEPARTAMENTO / AGENCIA</t>
        </is>
      </c>
    </row>
    <row r="2" ht="22.05" customHeight="1" s="38">
      <c r="B2" s="41" t="inlineStr">
        <is>
          <t>Ordenado de mayor a menor % de cumplimiento · la barra muestra completados (azul) y pendientes (gris)</t>
        </is>
      </c>
    </row>
    <row r="3">
      <c r="B3" s="103" t="str">
        <f>IF(COUNT(Cálculos!$AE$5:$AE$84)&gt;44,"⚠ Hay departamentos nuevos que aún no aparecen en este gráfico: pida actualizarlo (las tablas ya están al día)","")</f>
        <v/>
      </c>
    </row>
  </sheetData>
  <mergeCells count="3">
    <mergeCell ref="B3:P3"/>
    <mergeCell ref="B1:P1"/>
    <mergeCell ref="B2:P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1F4E78"/>
    <outlinePr summaryBelow="1" summaryRight="1"/>
    <pageSetUpPr/>
  </sheetPr>
  <dimension ref="B1:K1004"/>
  <sheetViews>
    <sheetView showGridLines="0" zoomScale="90" workbookViewId="0">
      <pane ySplit="8" topLeftCell="A9" activePane="bottomLeft" state="frozen"/>
      <selection pane="bottomLeft" activeCell="A12" sqref="A12:XFD12"/>
    </sheetView>
  </sheetViews>
  <sheetFormatPr baseColWidth="10" defaultColWidth="8.88671875" defaultRowHeight="14.4"/>
  <cols>
    <col width="2" customWidth="1" style="38" min="1" max="1"/>
    <col width="6" customWidth="1" style="38" min="2" max="2"/>
    <col width="9" customWidth="1" style="38" min="3" max="3"/>
    <col width="38" customWidth="1" style="38" min="4" max="4"/>
    <col width="46" customWidth="1" style="38" min="5" max="5"/>
    <col width="42" customWidth="1" style="38" min="6" max="6"/>
    <col width="32" customWidth="1" style="38" min="7" max="7"/>
    <col width="14" customWidth="1" style="38" min="8" max="8"/>
    <col width="18" customWidth="1" style="38" min="9" max="9"/>
    <col width="9" customWidth="1" style="38" min="10" max="10"/>
    <col hidden="1" width="4" customWidth="1" style="38" min="11" max="11"/>
  </cols>
  <sheetData>
    <row r="1" ht="34.05" customHeight="1" s="38">
      <c r="B1" s="50" t="inlineStr">
        <is>
          <t>ESTADO DE LA EVALUACIÓN POR COLABORADOR</t>
        </is>
      </c>
    </row>
    <row r="2" ht="22.05" customHeight="1" s="38">
      <c r="B2" s="41" t="inlineStr">
        <is>
          <t>Use los filtros amarillos para ver quién completó y quién tiene pendiente el examen</t>
        </is>
      </c>
    </row>
    <row r="3" ht="7.95" customHeight="1" s="38"/>
    <row r="4" ht="22.05" customHeight="1" s="38">
      <c r="B4" s="106" t="inlineStr">
        <is>
          <t>Gerencia:</t>
        </is>
      </c>
      <c r="D4" s="104" t="inlineStr">
        <is>
          <t>Todas las gerencias</t>
        </is>
      </c>
      <c r="E4" s="105" t="n"/>
      <c r="G4" s="16" t="inlineStr">
        <is>
          <t>Colaboradores mostrados</t>
        </is>
      </c>
      <c r="H4" s="17">
        <f>COUNT(K9:K1004)</f>
        <v>293</v>
      </c>
    </row>
    <row r="5" ht="22.05" customHeight="1" s="38">
      <c r="B5" s="106" t="inlineStr">
        <is>
          <t>Departamento:</t>
        </is>
      </c>
      <c r="D5" s="104" t="inlineStr">
        <is>
          <t>Todos los departamentos</t>
        </is>
      </c>
      <c r="E5" s="105" t="n"/>
      <c r="G5" s="16" t="inlineStr">
        <is>
          <t>Completados</t>
        </is>
      </c>
      <c r="H5" s="18">
        <f>COUNTIF(H9:H1004,"Completado")</f>
        <v>283</v>
      </c>
    </row>
    <row r="6" ht="22.05" customHeight="1" s="38">
      <c r="B6" s="106" t="inlineStr">
        <is>
          <t>Estado:</t>
        </is>
      </c>
      <c r="D6" s="104" t="inlineStr">
        <is>
          <t>Todos</t>
        </is>
      </c>
      <c r="E6" s="105" t="n"/>
      <c r="G6" s="16" t="inlineStr">
        <is>
          <t>Pendientes</t>
        </is>
      </c>
      <c r="H6" s="19">
        <f>COUNTIF(H9:H1004,"Pendiente")</f>
        <v>0</v>
      </c>
    </row>
    <row r="7" ht="22.05" customHeight="1" s="38">
      <c r="G7" s="16" t="inlineStr">
        <is>
          <t>Con situación especial</t>
        </is>
      </c>
      <c r="H7" s="31">
        <f>H4-H5-H6</f>
        <v>10</v>
      </c>
    </row>
    <row r="8" ht="30" customHeight="1" s="38">
      <c r="B8" s="75" t="inlineStr">
        <is>
          <t>#</t>
        </is>
      </c>
      <c r="C8" s="75" t="inlineStr">
        <is>
          <t>Código</t>
        </is>
      </c>
      <c r="D8" s="75" t="inlineStr">
        <is>
          <t>Nombre del colaborador</t>
        </is>
      </c>
      <c r="E8" s="75" t="inlineStr">
        <is>
          <t>Cargo</t>
        </is>
      </c>
      <c r="F8" s="75" t="inlineStr">
        <is>
          <t>Departamento / Agencia</t>
        </is>
      </c>
      <c r="G8" s="75" t="inlineStr">
        <is>
          <t>Gerencia</t>
        </is>
      </c>
      <c r="H8" s="75" t="inlineStr">
        <is>
          <t>Estado</t>
        </is>
      </c>
      <c r="I8" s="75" t="inlineStr">
        <is>
          <t>Fecha de finalización</t>
        </is>
      </c>
      <c r="J8" s="75" t="inlineStr">
        <is>
          <t>Nota</t>
        </is>
      </c>
    </row>
    <row r="9">
      <c r="B9" s="13">
        <f>IF($K9="","",1)</f>
        <v>1</v>
      </c>
      <c r="C9" s="13" t="str">
        <f>IF($K9="","",INDEX('Detalle individual'!$A:$A,$K9))</f>
        <v>440</v>
      </c>
      <c r="D9" s="72" t="str">
        <f>IF($K9="","",TRIM(INDEX('Detalle individual'!$B:$B,$K9)))</f>
        <v>KARLA MERCEDES DELEON DELGADO</v>
      </c>
      <c r="E9" s="72" t="str">
        <f>IF($K9="","",TRIM(INDEX('Detalle individual'!$E:$E,$K9)))</f>
        <v>JEFE DE AGENCIA</v>
      </c>
      <c r="F9" s="72" t="str">
        <f>IF($K9="","",TRIM(INDEX('Detalle individual'!$C:$C,$K9)))</f>
        <v>AGENCIA CENTRAL</v>
      </c>
      <c r="G9" s="72" t="str">
        <f>IF($K9="","",INDEX('Detalle individual'!$D:$D,$K9))</f>
        <v>Gerencia de Negocios</v>
      </c>
      <c r="H9" s="13" t="str">
        <f>IF($K9="","",INDEX('Detalle individual'!$F:$F,$K9))</f>
        <v>Vacaciones</v>
      </c>
      <c r="I9" s="20" t="str">
        <f>IF($K9="","",IF(INDEX('Detalle individual'!$F:$F,$K9)="Completado",INDEX('Detalle individual'!$H:$H,$K9),""))</f>
        <v/>
      </c>
      <c r="J9" s="21" t="str">
        <f>IF($K9="","",IF(INDEX('Detalle individual'!$F:$F,$K9)="Completado",INDEX('Detalle individual'!$J:$J,$K9),""))</f>
        <v/>
      </c>
      <c r="K9">
        <f>IFERROR(MOD(SMALL(Cálculos!$Z$5:$Z$1000,1),10000),"")</f>
        <v>196</v>
      </c>
    </row>
    <row r="10">
      <c r="B10" s="13">
        <f>IF($K10="","",2)</f>
        <v>2</v>
      </c>
      <c r="C10" s="13" t="str">
        <f>IF($K10="","",INDEX('Detalle individual'!$A:$A,$K10))</f>
        <v>739</v>
      </c>
      <c r="D10" s="72" t="str">
        <f>IF($K10="","",TRIM(INDEX('Detalle individual'!$B:$B,$K10)))</f>
        <v>JOHANA PATRICIA LUNA RAMOS</v>
      </c>
      <c r="E10" s="72" t="str">
        <f>IF($K10="","",TRIM(INDEX('Detalle individual'!$E:$E,$K10)))</f>
        <v>CAJERO</v>
      </c>
      <c r="F10" s="72" t="str">
        <f>IF($K10="","",TRIM(INDEX('Detalle individual'!$C:$C,$K10)))</f>
        <v>AGENCIA CENTRAL</v>
      </c>
      <c r="G10" s="72" t="str">
        <f>IF($K10="","",INDEX('Detalle individual'!$D:$D,$K10))</f>
        <v>Gerencia de Negocios</v>
      </c>
      <c r="H10" s="13" t="str">
        <f>IF($K10="","",INDEX('Detalle individual'!$F:$F,$K10))</f>
        <v>Incapacidad por maternidad</v>
      </c>
      <c r="I10" s="20" t="str">
        <f>IF($K10="","",IF(INDEX('Detalle individual'!$F:$F,$K10)="Completado",INDEX('Detalle individual'!$H:$H,$K10),""))</f>
        <v/>
      </c>
      <c r="J10" s="21" t="str">
        <f>IF($K10="","",IF(INDEX('Detalle individual'!$F:$F,$K10)="Completado",INDEX('Detalle individual'!$J:$J,$K10),""))</f>
        <v/>
      </c>
      <c r="K10">
        <f>IFERROR(MOD(SMALL(Cálculos!$Z$5:$Z$1000,2),10000),"")</f>
        <v>198</v>
      </c>
    </row>
    <row r="11">
      <c r="B11" s="13">
        <f>IF($K11="","",3)</f>
        <v>3</v>
      </c>
      <c r="C11" s="13" t="str">
        <f>IF($K11="","",INDEX('Detalle individual'!$A:$A,$K11))</f>
        <v>466</v>
      </c>
      <c r="D11" s="72" t="str">
        <f>IF($K11="","",TRIM(INDEX('Detalle individual'!$B:$B,$K11)))</f>
        <v>DORIS ELISA HERNANDEZ</v>
      </c>
      <c r="E11" s="72" t="str">
        <f>IF($K11="","",TRIM(INDEX('Detalle individual'!$E:$E,$K11)))</f>
        <v>SERVICIOS VARIOS</v>
      </c>
      <c r="F11" s="72" t="str">
        <f>IF($K11="","",TRIM(INDEX('Detalle individual'!$C:$C,$K11)))</f>
        <v>AGENCIA COLEGIO MEDICO</v>
      </c>
      <c r="G11" s="72" t="str">
        <f>IF($K11="","",INDEX('Detalle individual'!$D:$D,$K11))</f>
        <v>Gerencia de Negocios</v>
      </c>
      <c r="H11" s="13" t="str">
        <f>IF($K11="","",INDEX('Detalle individual'!$F:$F,$K11))</f>
        <v>Vacaciones</v>
      </c>
      <c r="I11" s="20" t="str">
        <f>IF($K11="","",IF(INDEX('Detalle individual'!$F:$F,$K11)="Completado",INDEX('Detalle individual'!$H:$H,$K11),""))</f>
        <v/>
      </c>
      <c r="J11" s="21" t="str">
        <f>IF($K11="","",IF(INDEX('Detalle individual'!$F:$F,$K11)="Completado",INDEX('Detalle individual'!$J:$J,$K11),""))</f>
        <v/>
      </c>
      <c r="K11">
        <f>IFERROR(MOD(SMALL(Cálculos!$Z$5:$Z$1000,3),10000),"")</f>
        <v>213</v>
      </c>
    </row>
    <row r="12">
      <c r="B12" s="13">
        <f>IF($K12="","",4)</f>
        <v>4</v>
      </c>
      <c r="C12" s="13" t="str">
        <f>IF($K12="","",INDEX('Detalle individual'!$A:$A,$K12))</f>
        <v>861</v>
      </c>
      <c r="D12" s="72" t="str">
        <f>IF($K12="","",TRIM(INDEX('Detalle individual'!$B:$B,$K12)))</f>
        <v>SANDRA MARINA BERRIOS SANTOS</v>
      </c>
      <c r="E12" s="72" t="str">
        <f>IF($K12="","",TRIM(INDEX('Detalle individual'!$E:$E,$K12)))</f>
        <v>CAJERO</v>
      </c>
      <c r="F12" s="72" t="str">
        <f>IF($K12="","",TRIM(INDEX('Detalle individual'!$C:$C,$K12)))</f>
        <v>AGENCIA SAN MIGUEL</v>
      </c>
      <c r="G12" s="72" t="str">
        <f>IF($K12="","",INDEX('Detalle individual'!$D:$D,$K12))</f>
        <v>Gerencia de Negocios</v>
      </c>
      <c r="H12" s="13" t="str">
        <f>IF($K12="","",INDEX('Detalle individual'!$F:$F,$K12))</f>
        <v>Incapacidad por maternidad</v>
      </c>
      <c r="I12" s="20" t="str">
        <f>IF($K12="","",IF(INDEX('Detalle individual'!$F:$F,$K12)="Completado",INDEX('Detalle individual'!$H:$H,$K12),""))</f>
        <v/>
      </c>
      <c r="J12" s="21" t="str">
        <f>IF($K12="","",IF(INDEX('Detalle individual'!$F:$F,$K12)="Completado",INDEX('Detalle individual'!$J:$J,$K12),""))</f>
        <v/>
      </c>
      <c r="K12">
        <f>IFERROR(MOD(SMALL(Cálculos!$Z$5:$Z$1000,4),10000),"")</f>
        <v>228</v>
      </c>
    </row>
    <row r="13">
      <c r="B13" s="13">
        <f>IF($K13="","",5)</f>
        <v>5</v>
      </c>
      <c r="C13" s="13" t="str">
        <f>IF($K13="","",INDEX('Detalle individual'!$A:$A,$K13))</f>
        <v>835</v>
      </c>
      <c r="D13" s="72" t="str">
        <f>IF($K13="","",TRIM(INDEX('Detalle individual'!$B:$B,$K13)))</f>
        <v>LUIS ALBERTO MEJIA DELGADO</v>
      </c>
      <c r="E13" s="72" t="str">
        <f>IF($K13="","",TRIM(INDEX('Detalle individual'!$E:$E,$K13)))</f>
        <v>EJECUTIVO DE NEGOCIOS</v>
      </c>
      <c r="F13" s="72" t="str">
        <f>IF($K13="","",TRIM(INDEX('Detalle individual'!$C:$C,$K13)))</f>
        <v>DEPARTAMENTO COMERCIAL DE TARJETA DE CREDITO Y DEBITO</v>
      </c>
      <c r="G13" s="72" t="str">
        <f>IF($K13="","",INDEX('Detalle individual'!$D:$D,$K13))</f>
        <v>Gerencia de Negocios</v>
      </c>
      <c r="H13" s="13" t="str">
        <f>IF($K13="","",INDEX('Detalle individual'!$F:$F,$K13))</f>
        <v>Renuncia</v>
      </c>
      <c r="I13" s="20" t="str">
        <f>IF($K13="","",IF(INDEX('Detalle individual'!$F:$F,$K13)="Completado",INDEX('Detalle individual'!$H:$H,$K13),""))</f>
        <v/>
      </c>
      <c r="J13" s="21" t="str">
        <f>IF($K13="","",IF(INDEX('Detalle individual'!$F:$F,$K13)="Completado",INDEX('Detalle individual'!$J:$J,$K13),""))</f>
        <v/>
      </c>
      <c r="K13">
        <f>IFERROR(MOD(SMALL(Cálculos!$Z$5:$Z$1000,5),10000),"")</f>
        <v>182</v>
      </c>
    </row>
    <row r="14">
      <c r="B14" s="13">
        <f>IF($K14="","",6)</f>
        <v>6</v>
      </c>
      <c r="C14" s="13" t="str">
        <f>IF($K14="","",INDEX('Detalle individual'!$A:$A,$K14))</f>
        <v>90</v>
      </c>
      <c r="D14" s="72" t="str">
        <f>IF($K14="","",TRIM(INDEX('Detalle individual'!$B:$B,$K14)))</f>
        <v>HUGO MARVIN SERRANO SARAVIA</v>
      </c>
      <c r="E14" s="72" t="str">
        <f>IF($K14="","",TRIM(INDEX('Detalle individual'!$E:$E,$K14)))</f>
        <v>OPERADOR DE SISTEMAS</v>
      </c>
      <c r="F14" s="72" t="str">
        <f>IF($K14="","",TRIM(INDEX('Detalle individual'!$C:$C,$K14)))</f>
        <v>DEPARTAMENTO DE OPERACIONES Y SOPORTE TECNICO</v>
      </c>
      <c r="G14" s="72" t="str">
        <f>IF($K14="","",INDEX('Detalle individual'!$D:$D,$K14))</f>
        <v>Gerencia de Sistemas</v>
      </c>
      <c r="H14" s="13" t="str">
        <f>IF($K14="","",INDEX('Detalle individual'!$F:$F,$K14))</f>
        <v>Vacaciones</v>
      </c>
      <c r="I14" s="20" t="str">
        <f>IF($K14="","",IF(INDEX('Detalle individual'!$F:$F,$K14)="Completado",INDEX('Detalle individual'!$H:$H,$K14),""))</f>
        <v/>
      </c>
      <c r="J14" s="21" t="str">
        <f>IF($K14="","",IF(INDEX('Detalle individual'!$F:$F,$K14)="Completado",INDEX('Detalle individual'!$J:$J,$K14),""))</f>
        <v/>
      </c>
      <c r="K14">
        <f>IFERROR(MOD(SMALL(Cálculos!$Z$5:$Z$1000,6),10000),"")</f>
        <v>104</v>
      </c>
    </row>
    <row r="15">
      <c r="B15" s="13">
        <f>IF($K15="","",7)</f>
        <v>7</v>
      </c>
      <c r="C15" s="13" t="str">
        <f>IF($K15="","",INDEX('Detalle individual'!$A:$A,$K15))</f>
        <v>802</v>
      </c>
      <c r="D15" s="72" t="str">
        <f>IF($K15="","",TRIM(INDEX('Detalle individual'!$B:$B,$K15)))</f>
        <v>ERIKA VANESSA ALEMAN MIJANGO</v>
      </c>
      <c r="E15" s="72" t="str">
        <f>IF($K15="","",TRIM(INDEX('Detalle individual'!$E:$E,$K15)))</f>
        <v>EJECUTIVO DE VENTA DE SEGUROS</v>
      </c>
      <c r="F15" s="72" t="str">
        <f>IF($K15="","",TRIM(INDEX('Detalle individual'!$C:$C,$K15)))</f>
        <v>DEPARTAMENTO DE SEGUROS</v>
      </c>
      <c r="G15" s="72" t="str">
        <f>IF($K15="","",INDEX('Detalle individual'!$D:$D,$K15))</f>
        <v>Gerencia de Negocios</v>
      </c>
      <c r="H15" s="13" t="str">
        <f>IF($K15="","",INDEX('Detalle individual'!$F:$F,$K15))</f>
        <v>Renuncia</v>
      </c>
      <c r="I15" s="20" t="str">
        <f>IF($K15="","",IF(INDEX('Detalle individual'!$F:$F,$K15)="Completado",INDEX('Detalle individual'!$H:$H,$K15),""))</f>
        <v/>
      </c>
      <c r="J15" s="21" t="str">
        <f>IF($K15="","",IF(INDEX('Detalle individual'!$F:$F,$K15)="Completado",INDEX('Detalle individual'!$J:$J,$K15),""))</f>
        <v/>
      </c>
      <c r="K15">
        <f>IFERROR(MOD(SMALL(Cálculos!$Z$5:$Z$1000,7),10000),"")</f>
        <v>172</v>
      </c>
    </row>
    <row r="16">
      <c r="B16" s="13">
        <f>IF($K16="","",8)</f>
        <v>8</v>
      </c>
      <c r="C16" s="13" t="str">
        <f>IF($K16="","",INDEX('Detalle individual'!$A:$A,$K16))</f>
        <v>885</v>
      </c>
      <c r="D16" s="72" t="str">
        <f>IF($K16="","",TRIM(INDEX('Detalle individual'!$B:$B,$K16)))</f>
        <v>ALBA BEATRIZ MELENDEZ PRUDENCIO</v>
      </c>
      <c r="E16" s="72" t="str">
        <f>IF($K16="","",TRIM(INDEX('Detalle individual'!$E:$E,$K16)))</f>
        <v>ASISTENTE DE RECUPERACION JUDICIAL Y CARTERA CASTIGADA</v>
      </c>
      <c r="F16" s="72" t="str">
        <f>IF($K16="","",TRIM(INDEX('Detalle individual'!$C:$C,$K16)))</f>
        <v>DEPARTAMENTO DE SOLUCIONES FINANCIERAS</v>
      </c>
      <c r="G16" s="72" t="str">
        <f>IF($K16="","",INDEX('Detalle individual'!$D:$D,$K16))</f>
        <v>Gerencia de Operaciones</v>
      </c>
      <c r="H16" s="13" t="str">
        <f>IF($K16="","",INDEX('Detalle individual'!$F:$F,$K16))</f>
        <v>Renuncia</v>
      </c>
      <c r="I16" s="20" t="str">
        <f>IF($K16="","",IF(INDEX('Detalle individual'!$F:$F,$K16)="Completado",INDEX('Detalle individual'!$H:$H,$K16),""))</f>
        <v/>
      </c>
      <c r="J16" s="21" t="str">
        <f>IF($K16="","",IF(INDEX('Detalle individual'!$F:$F,$K16)="Completado",INDEX('Detalle individual'!$J:$J,$K16),""))</f>
        <v/>
      </c>
      <c r="K16">
        <f>IFERROR(MOD(SMALL(Cálculos!$Z$5:$Z$1000,8),10000),"")</f>
        <v>68</v>
      </c>
    </row>
    <row r="17">
      <c r="B17" s="13">
        <f>IF($K17="","",9)</f>
        <v>9</v>
      </c>
      <c r="C17" s="13" t="str">
        <f>IF($K17="","",INDEX('Detalle individual'!$A:$A,$K17))</f>
        <v>65</v>
      </c>
      <c r="D17" s="72" t="str">
        <f>IF($K17="","",TRIM(INDEX('Detalle individual'!$B:$B,$K17)))</f>
        <v>DORA ALICIA CASTILLO</v>
      </c>
      <c r="E17" s="72" t="str">
        <f>IF($K17="","",TRIM(INDEX('Detalle individual'!$E:$E,$K17)))</f>
        <v>JEFE DE TALENTO HUMANO</v>
      </c>
      <c r="F17" s="72" t="str">
        <f>IF($K17="","",TRIM(INDEX('Detalle individual'!$C:$C,$K17)))</f>
        <v>DEPARTAMENTO DE TALENTO HUMANO</v>
      </c>
      <c r="G17" s="72" t="str">
        <f>IF($K17="","",INDEX('Detalle individual'!$D:$D,$K17))</f>
        <v>Gerencia Administrativa</v>
      </c>
      <c r="H17" s="13" t="str">
        <f>IF($K17="","",INDEX('Detalle individual'!$F:$F,$K17))</f>
        <v>Vacaciones</v>
      </c>
      <c r="I17" s="20" t="str">
        <f>IF($K17="","",IF(INDEX('Detalle individual'!$F:$F,$K17)="Completado",INDEX('Detalle individual'!$H:$H,$K17),""))</f>
        <v/>
      </c>
      <c r="J17" s="21" t="str">
        <f>IF($K17="","",IF(INDEX('Detalle individual'!$F:$F,$K17)="Completado",INDEX('Detalle individual'!$J:$J,$K17),""))</f>
        <v/>
      </c>
      <c r="K17">
        <f>IFERROR(MOD(SMALL(Cálculos!$Z$5:$Z$1000,9),10000),"")</f>
        <v>49</v>
      </c>
    </row>
    <row r="18">
      <c r="B18" s="13">
        <f>IF($K18="","",10)</f>
        <v>10</v>
      </c>
      <c r="C18" s="13" t="str">
        <f>IF($K18="","",INDEX('Detalle individual'!$A:$A,$K18))</f>
        <v>399</v>
      </c>
      <c r="D18" s="72" t="str">
        <f>IF($K18="","",TRIM(INDEX('Detalle individual'!$B:$B,$K18)))</f>
        <v>GEOVANNI LIZAMA PORTILLO</v>
      </c>
      <c r="E18" s="72" t="str">
        <f>IF($K18="","",TRIM(INDEX('Detalle individual'!$E:$E,$K18)))</f>
        <v>JEFE DE TARJETA DE CREDITO Y DEBITO</v>
      </c>
      <c r="F18" s="72" t="str">
        <f>IF($K18="","",TRIM(INDEX('Detalle individual'!$C:$C,$K18)))</f>
        <v>DEPARTAMENTO DE TARJETA DE CREDITO Y DEBITO</v>
      </c>
      <c r="G18" s="72" t="str">
        <f>IF($K18="","",INDEX('Detalle individual'!$D:$D,$K18))</f>
        <v>Gerencia de Operaciones</v>
      </c>
      <c r="H18" s="13" t="str">
        <f>IF($K18="","",INDEX('Detalle individual'!$F:$F,$K18))</f>
        <v>Incapacidad</v>
      </c>
      <c r="I18" s="20" t="str">
        <f>IF($K18="","",IF(INDEX('Detalle individual'!$F:$F,$K18)="Completado",INDEX('Detalle individual'!$H:$H,$K18),""))</f>
        <v/>
      </c>
      <c r="J18" s="21" t="str">
        <f>IF($K18="","",IF(INDEX('Detalle individual'!$F:$F,$K18)="Completado",INDEX('Detalle individual'!$J:$J,$K18),""))</f>
        <v/>
      </c>
      <c r="K18">
        <f>IFERROR(MOD(SMALL(Cálculos!$Z$5:$Z$1000,10),10000),"")</f>
        <v>70</v>
      </c>
    </row>
    <row r="19">
      <c r="B19" s="13">
        <f>IF($K19="","",11)</f>
        <v>11</v>
      </c>
      <c r="C19" s="13" t="str">
        <f>IF($K19="","",INDEX('Detalle individual'!$A:$A,$K19))</f>
        <v>409</v>
      </c>
      <c r="D19" s="72" t="str">
        <f>IF($K19="","",TRIM(INDEX('Detalle individual'!$B:$B,$K19)))</f>
        <v>PEDRO ERNESTO MORÁN RAMÍREZ</v>
      </c>
      <c r="E19" s="72" t="str">
        <f>IF($K19="","",TRIM(INDEX('Detalle individual'!$E:$E,$K19)))</f>
        <v>ADMINISTRADOR DE BASE DE DATOS</v>
      </c>
      <c r="F19" s="72" t="str">
        <f>IF($K19="","",TRIM(INDEX('Detalle individual'!$C:$C,$K19)))</f>
        <v>ADMINISTRACION DE BASE DE DATOS</v>
      </c>
      <c r="G19" s="72" t="str">
        <f>IF($K19="","",INDEX('Detalle individual'!$D:$D,$K19))</f>
        <v>Gerencia de Sistemas</v>
      </c>
      <c r="H19" s="13" t="str">
        <f>IF($K19="","",INDEX('Detalle individual'!$F:$F,$K19))</f>
        <v>Completado</v>
      </c>
      <c r="I19" s="20">
        <f>IF($K19="","",IF(INDEX('Detalle individual'!$F:$F,$K19)="Completado",INDEX('Detalle individual'!$H:$H,$K19),""))</f>
        <v>46300.696018518516</v>
      </c>
      <c r="J19" s="21">
        <f>IF($K19="","",IF(INDEX('Detalle individual'!$F:$F,$K19)="Completado",INDEX('Detalle individual'!$J:$J,$K19),""))</f>
        <v>95</v>
      </c>
      <c r="K19">
        <f>IFERROR(MOD(SMALL(Cálculos!$Z$5:$Z$1000,11),10000),"")</f>
        <v>122</v>
      </c>
    </row>
    <row r="20">
      <c r="B20" s="13">
        <f>IF($K20="","",12)</f>
        <v>12</v>
      </c>
      <c r="C20" s="13" t="str">
        <f>IF($K20="","",INDEX('Detalle individual'!$A:$A,$K20))</f>
        <v>16</v>
      </c>
      <c r="D20" s="72" t="str">
        <f>IF($K20="","",TRIM(INDEX('Detalle individual'!$B:$B,$K20)))</f>
        <v>YANETH MARLENY LANDAVERDE MORALES</v>
      </c>
      <c r="E20" s="72" t="str">
        <f>IF($K20="","",TRIM(INDEX('Detalle individual'!$E:$E,$K20)))</f>
        <v>JEFE DE ADMINISTRACION DE CARTERA</v>
      </c>
      <c r="F20" s="72" t="str">
        <f>IF($K20="","",TRIM(INDEX('Detalle individual'!$C:$C,$K20)))</f>
        <v>ADMINISTRACIÓN DE CARTERAS</v>
      </c>
      <c r="G20" s="72" t="str">
        <f>IF($K20="","",INDEX('Detalle individual'!$D:$D,$K20))</f>
        <v>Gerencia de Operaciones</v>
      </c>
      <c r="H20" s="13" t="str">
        <f>IF($K20="","",INDEX('Detalle individual'!$F:$F,$K20))</f>
        <v>Completado</v>
      </c>
      <c r="I20" s="20">
        <f>IF($K20="","",IF(INDEX('Detalle individual'!$F:$F,$K20)="Completado",INDEX('Detalle individual'!$H:$H,$K20),""))</f>
        <v>46307.675532407404</v>
      </c>
      <c r="J20" s="21">
        <f>IF($K20="","",IF(INDEX('Detalle individual'!$F:$F,$K20)="Completado",INDEX('Detalle individual'!$J:$J,$K20),""))</f>
        <v>100</v>
      </c>
      <c r="K20">
        <f>IFERROR(MOD(SMALL(Cálculos!$Z$5:$Z$1000,12),10000),"")</f>
        <v>79</v>
      </c>
    </row>
    <row r="21">
      <c r="B21" s="13">
        <f>IF($K21="","",13)</f>
        <v>13</v>
      </c>
      <c r="C21" s="13" t="str">
        <f>IF($K21="","",INDEX('Detalle individual'!$A:$A,$K21))</f>
        <v>477</v>
      </c>
      <c r="D21" s="72" t="str">
        <f>IF($K21="","",TRIM(INDEX('Detalle individual'!$B:$B,$K21)))</f>
        <v>GEMA YESENIA VILLALOBOS HERNANDEZ</v>
      </c>
      <c r="E21" s="72" t="str">
        <f>IF($K21="","",TRIM(INDEX('Detalle individual'!$E:$E,$K21)))</f>
        <v>ANALISTA DE CARTERAS</v>
      </c>
      <c r="F21" s="72" t="str">
        <f>IF($K21="","",TRIM(INDEX('Detalle individual'!$C:$C,$K21)))</f>
        <v>ADMINISTRACIÓN DE CARTERAS</v>
      </c>
      <c r="G21" s="72" t="str">
        <f>IF($K21="","",INDEX('Detalle individual'!$D:$D,$K21))</f>
        <v>Gerencia de Operaciones</v>
      </c>
      <c r="H21" s="13" t="str">
        <f>IF($K21="","",INDEX('Detalle individual'!$F:$F,$K21))</f>
        <v>Completado</v>
      </c>
      <c r="I21" s="20">
        <f>IF($K21="","",IF(INDEX('Detalle individual'!$F:$F,$K21)="Completado",INDEX('Detalle individual'!$H:$H,$K21),""))</f>
        <v>46307.65584490741</v>
      </c>
      <c r="J21" s="21">
        <f>IF($K21="","",IF(INDEX('Detalle individual'!$F:$F,$K21)="Completado",INDEX('Detalle individual'!$J:$J,$K21),""))</f>
        <v>100</v>
      </c>
      <c r="K21">
        <f>IFERROR(MOD(SMALL(Cálculos!$Z$5:$Z$1000,13),10000),"")</f>
        <v>80</v>
      </c>
    </row>
    <row r="22">
      <c r="B22" s="13">
        <f>IF($K22="","",14)</f>
        <v>14</v>
      </c>
      <c r="C22" s="13" t="str">
        <f>IF($K22="","",INDEX('Detalle individual'!$A:$A,$K22))</f>
        <v>572</v>
      </c>
      <c r="D22" s="72" t="str">
        <f>IF($K22="","",TRIM(INDEX('Detalle individual'!$B:$B,$K22)))</f>
        <v>PAMELA GIOVANNA AGUILAR SERBELLON</v>
      </c>
      <c r="E22" s="72" t="str">
        <f>IF($K22="","",TRIM(INDEX('Detalle individual'!$E:$E,$K22)))</f>
        <v>GESTOR DE COBROS Y PAGOS DE SEGUROS</v>
      </c>
      <c r="F22" s="72" t="str">
        <f>IF($K22="","",TRIM(INDEX('Detalle individual'!$C:$C,$K22)))</f>
        <v>ADMINISTRACIÓN DE CARTERAS</v>
      </c>
      <c r="G22" s="72" t="str">
        <f>IF($K22="","",INDEX('Detalle individual'!$D:$D,$K22))</f>
        <v>Gerencia de Operaciones</v>
      </c>
      <c r="H22" s="13" t="str">
        <f>IF($K22="","",INDEX('Detalle individual'!$F:$F,$K22))</f>
        <v>Completado</v>
      </c>
      <c r="I22" s="20">
        <f>IF($K22="","",IF(INDEX('Detalle individual'!$F:$F,$K22)="Completado",INDEX('Detalle individual'!$H:$H,$K22),""))</f>
        <v>46304.51201388889</v>
      </c>
      <c r="J22" s="21">
        <f>IF($K22="","",IF(INDEX('Detalle individual'!$F:$F,$K22)="Completado",INDEX('Detalle individual'!$J:$J,$K22),""))</f>
        <v>100</v>
      </c>
      <c r="K22">
        <f>IFERROR(MOD(SMALL(Cálculos!$Z$5:$Z$1000,14),10000),"")</f>
        <v>81</v>
      </c>
    </row>
    <row r="23">
      <c r="B23" s="13">
        <f>IF($K23="","",15)</f>
        <v>15</v>
      </c>
      <c r="C23" s="13" t="str">
        <f>IF($K23="","",INDEX('Detalle individual'!$A:$A,$K23))</f>
        <v>732</v>
      </c>
      <c r="D23" s="72" t="str">
        <f>IF($K23="","",TRIM(INDEX('Detalle individual'!$B:$B,$K23)))</f>
        <v>RICARDO JOSUE CACAO ROVELO</v>
      </c>
      <c r="E23" s="72" t="str">
        <f>IF($K23="","",TRIM(INDEX('Detalle individual'!$E:$E,$K23)))</f>
        <v>ANALISTA DE CARTERAS</v>
      </c>
      <c r="F23" s="72" t="str">
        <f>IF($K23="","",TRIM(INDEX('Detalle individual'!$C:$C,$K23)))</f>
        <v>ADMINISTRACIÓN DE CARTERAS</v>
      </c>
      <c r="G23" s="72" t="str">
        <f>IF($K23="","",INDEX('Detalle individual'!$D:$D,$K23))</f>
        <v>Gerencia de Operaciones</v>
      </c>
      <c r="H23" s="13" t="str">
        <f>IF($K23="","",INDEX('Detalle individual'!$F:$F,$K23))</f>
        <v>Completado</v>
      </c>
      <c r="I23" s="20">
        <f>IF($K23="","",IF(INDEX('Detalle individual'!$F:$F,$K23)="Completado",INDEX('Detalle individual'!$H:$H,$K23),""))</f>
        <v>46311.675671296296</v>
      </c>
      <c r="J23" s="21">
        <f>IF($K23="","",IF(INDEX('Detalle individual'!$F:$F,$K23)="Completado",INDEX('Detalle individual'!$J:$J,$K23),""))</f>
        <v>100</v>
      </c>
      <c r="K23">
        <f>IFERROR(MOD(SMALL(Cálculos!$Z$5:$Z$1000,15),10000),"")</f>
        <v>82</v>
      </c>
    </row>
    <row r="24">
      <c r="B24" s="13">
        <f>IF($K24="","",16)</f>
        <v>16</v>
      </c>
      <c r="C24" s="13" t="str">
        <f>IF($K24="","",INDEX('Detalle individual'!$A:$A,$K24))</f>
        <v>931</v>
      </c>
      <c r="D24" s="72" t="str">
        <f>IF($K24="","",TRIM(INDEX('Detalle individual'!$B:$B,$K24)))</f>
        <v>LOYDA ARACELY RAMOS CAÑENGUEZ</v>
      </c>
      <c r="E24" s="72" t="str">
        <f>IF($K24="","",TRIM(INDEX('Detalle individual'!$E:$E,$K24)))</f>
        <v>ANALISTA DE PRESTAMOS</v>
      </c>
      <c r="F24" s="72" t="str">
        <f>IF($K24="","",TRIM(INDEX('Detalle individual'!$C:$C,$K24)))</f>
        <v>ADMINISTRACIÓN DE CARTERAS</v>
      </c>
      <c r="G24" s="72" t="str">
        <f>IF($K24="","",INDEX('Detalle individual'!$D:$D,$K24))</f>
        <v>Gerencia de Operaciones</v>
      </c>
      <c r="H24" s="13" t="str">
        <f>IF($K24="","",INDEX('Detalle individual'!$F:$F,$K24))</f>
        <v>Completado</v>
      </c>
      <c r="I24" s="20">
        <f>IF($K24="","",IF(INDEX('Detalle individual'!$F:$F,$K24)="Completado",INDEX('Detalle individual'!$H:$H,$K24),""))</f>
        <v>46304.56716435185</v>
      </c>
      <c r="J24" s="21">
        <f>IF($K24="","",IF(INDEX('Detalle individual'!$F:$F,$K24)="Completado",INDEX('Detalle individual'!$J:$J,$K24),""))</f>
        <v>100</v>
      </c>
      <c r="K24">
        <f>IFERROR(MOD(SMALL(Cálculos!$Z$5:$Z$1000,16),10000),"")</f>
        <v>83</v>
      </c>
    </row>
    <row r="25">
      <c r="B25" s="13">
        <f>IF($K25="","",17)</f>
        <v>17</v>
      </c>
      <c r="C25" s="13" t="str">
        <f>IF($K25="","",INDEX('Detalle individual'!$A:$A,$K25))</f>
        <v>290</v>
      </c>
      <c r="D25" s="72" t="str">
        <f>IF($K25="","",TRIM(INDEX('Detalle individual'!$B:$B,$K25)))</f>
        <v>MELVIN ENRIQUE PORTILLO VALLE</v>
      </c>
      <c r="E25" s="72" t="str">
        <f>IF($K25="","",TRIM(INDEX('Detalle individual'!$E:$E,$K25)))</f>
        <v>ANALISTA DE RIESGOS FINANCIEROS</v>
      </c>
      <c r="F25" s="72" t="str">
        <f>IF($K25="","",TRIM(INDEX('Detalle individual'!$C:$C,$K25)))</f>
        <v>ADMINISTRACION DE RIESGOS</v>
      </c>
      <c r="G25" s="72" t="str">
        <f>IF($K25="","",INDEX('Detalle individual'!$D:$D,$K25))</f>
        <v>Gerencia General</v>
      </c>
      <c r="H25" s="13" t="str">
        <f>IF($K25="","",INDEX('Detalle individual'!$F:$F,$K25))</f>
        <v>Completado</v>
      </c>
      <c r="I25" s="20">
        <f>IF($K25="","",IF(INDEX('Detalle individual'!$F:$F,$K25)="Completado",INDEX('Detalle individual'!$H:$H,$K25),""))</f>
        <v>46304.40962962963</v>
      </c>
      <c r="J25" s="21">
        <f>IF($K25="","",IF(INDEX('Detalle individual'!$F:$F,$K25)="Completado",INDEX('Detalle individual'!$J:$J,$K25),""))</f>
        <v>100</v>
      </c>
      <c r="K25">
        <f>IFERROR(MOD(SMALL(Cálculos!$Z$5:$Z$1000,17),10000),"")</f>
        <v>14</v>
      </c>
    </row>
    <row r="26">
      <c r="B26" s="13">
        <f>IF($K26="","",18)</f>
        <v>18</v>
      </c>
      <c r="C26" s="13" t="str">
        <f>IF($K26="","",INDEX('Detalle individual'!$A:$A,$K26))</f>
        <v>408</v>
      </c>
      <c r="D26" s="72" t="str">
        <f>IF($K26="","",TRIM(INDEX('Detalle individual'!$B:$B,$K26)))</f>
        <v>SARA PATRICIA GONZALEZ JIMENEZ</v>
      </c>
      <c r="E26" s="72" t="str">
        <f>IF($K26="","",TRIM(INDEX('Detalle individual'!$E:$E,$K26)))</f>
        <v>ASISTENTE TECNICO DE RIESGOS</v>
      </c>
      <c r="F26" s="72" t="str">
        <f>IF($K26="","",TRIM(INDEX('Detalle individual'!$C:$C,$K26)))</f>
        <v>ADMINISTRACION DE RIESGOS</v>
      </c>
      <c r="G26" s="72" t="str">
        <f>IF($K26="","",INDEX('Detalle individual'!$D:$D,$K26))</f>
        <v>Gerencia General</v>
      </c>
      <c r="H26" s="13" t="str">
        <f>IF($K26="","",INDEX('Detalle individual'!$F:$F,$K26))</f>
        <v>Completado</v>
      </c>
      <c r="I26" s="20">
        <f>IF($K26="","",IF(INDEX('Detalle individual'!$F:$F,$K26)="Completado",INDEX('Detalle individual'!$H:$H,$K26),""))</f>
        <v>46296.438796296294</v>
      </c>
      <c r="J26" s="21">
        <f>IF($K26="","",IF(INDEX('Detalle individual'!$F:$F,$K26)="Completado",INDEX('Detalle individual'!$J:$J,$K26),""))</f>
        <v>100</v>
      </c>
      <c r="K26">
        <f>IFERROR(MOD(SMALL(Cálculos!$Z$5:$Z$1000,18),10000),"")</f>
        <v>15</v>
      </c>
    </row>
    <row r="27">
      <c r="B27" s="13">
        <f>IF($K27="","",19)</f>
        <v>19</v>
      </c>
      <c r="C27" s="13" t="str">
        <f>IF($K27="","",INDEX('Detalle individual'!$A:$A,$K27))</f>
        <v>433</v>
      </c>
      <c r="D27" s="72" t="str">
        <f>IF($K27="","",TRIM(INDEX('Detalle individual'!$B:$B,$K27)))</f>
        <v>SILVIA IVETH MARTINEZ RAMIREZ</v>
      </c>
      <c r="E27" s="72" t="str">
        <f>IF($K27="","",TRIM(INDEX('Detalle individual'!$E:$E,$K27)))</f>
        <v>ANALISTA DE RIESGO OPERACIONAL</v>
      </c>
      <c r="F27" s="72" t="str">
        <f>IF($K27="","",TRIM(INDEX('Detalle individual'!$C:$C,$K27)))</f>
        <v>ADMINISTRACION DE RIESGOS</v>
      </c>
      <c r="G27" s="72" t="str">
        <f>IF($K27="","",INDEX('Detalle individual'!$D:$D,$K27))</f>
        <v>Gerencia General</v>
      </c>
      <c r="H27" s="13" t="str">
        <f>IF($K27="","",INDEX('Detalle individual'!$F:$F,$K27))</f>
        <v>Completado</v>
      </c>
      <c r="I27" s="20">
        <f>IF($K27="","",IF(INDEX('Detalle individual'!$F:$F,$K27)="Completado",INDEX('Detalle individual'!$H:$H,$K27),""))</f>
        <v>46300.6309837963</v>
      </c>
      <c r="J27" s="21">
        <f>IF($K27="","",IF(INDEX('Detalle individual'!$F:$F,$K27)="Completado",INDEX('Detalle individual'!$J:$J,$K27),""))</f>
        <v>100</v>
      </c>
      <c r="K27">
        <f>IFERROR(MOD(SMALL(Cálculos!$Z$5:$Z$1000,19),10000),"")</f>
        <v>16</v>
      </c>
    </row>
    <row r="28">
      <c r="B28" s="13">
        <f>IF($K28="","",20)</f>
        <v>20</v>
      </c>
      <c r="C28" s="13" t="str">
        <f>IF($K28="","",INDEX('Detalle individual'!$A:$A,$K28))</f>
        <v>928</v>
      </c>
      <c r="D28" s="72" t="str">
        <f>IF($K28="","",TRIM(INDEX('Detalle individual'!$B:$B,$K28)))</f>
        <v>HENRRY DANIEL ESCAMILLA ZALDAÑA</v>
      </c>
      <c r="E28" s="72" t="str">
        <f>IF($K28="","",TRIM(INDEX('Detalle individual'!$E:$E,$K28)))</f>
        <v>JEFE DE ADMINISTRACION DE RIESGOS</v>
      </c>
      <c r="F28" s="72" t="str">
        <f>IF($K28="","",TRIM(INDEX('Detalle individual'!$C:$C,$K28)))</f>
        <v>ADMINISTRACION DE RIESGOS</v>
      </c>
      <c r="G28" s="72" t="str">
        <f>IF($K28="","",INDEX('Detalle individual'!$D:$D,$K28))</f>
        <v>Gerencia General</v>
      </c>
      <c r="H28" s="13" t="str">
        <f>IF($K28="","",INDEX('Detalle individual'!$F:$F,$K28))</f>
        <v>Completado</v>
      </c>
      <c r="I28" s="20">
        <f>IF($K28="","",IF(INDEX('Detalle individual'!$F:$F,$K28)="Completado",INDEX('Detalle individual'!$H:$H,$K28),""))</f>
        <v>46305.39865740741</v>
      </c>
      <c r="J28" s="21">
        <f>IF($K28="","",IF(INDEX('Detalle individual'!$F:$F,$K28)="Completado",INDEX('Detalle individual'!$J:$J,$K28),""))</f>
        <v>100</v>
      </c>
      <c r="K28">
        <f>IFERROR(MOD(SMALL(Cálculos!$Z$5:$Z$1000,20),10000),"")</f>
        <v>17</v>
      </c>
    </row>
    <row r="29">
      <c r="B29" s="13">
        <f>IF($K29="","",21)</f>
        <v>21</v>
      </c>
      <c r="C29" s="13" t="str">
        <f>IF($K29="","",INDEX('Detalle individual'!$A:$A,$K29))</f>
        <v>33</v>
      </c>
      <c r="D29" s="72" t="str">
        <f>IF($K29="","",TRIM(INDEX('Detalle individual'!$B:$B,$K29)))</f>
        <v>CAROLINA ELIZABETH RAMIREZ PONCE</v>
      </c>
      <c r="E29" s="72" t="str">
        <f>IF($K29="","",TRIM(INDEX('Detalle individual'!$E:$E,$K29)))</f>
        <v>SUBJEFE DE AGENCIA</v>
      </c>
      <c r="F29" s="72" t="str">
        <f>IF($K29="","",TRIM(INDEX('Detalle individual'!$C:$C,$K29)))</f>
        <v>AGENCIA CENTRAL</v>
      </c>
      <c r="G29" s="72" t="str">
        <f>IF($K29="","",INDEX('Detalle individual'!$D:$D,$K29))</f>
        <v>Gerencia de Negocios</v>
      </c>
      <c r="H29" s="13" t="str">
        <f>IF($K29="","",INDEX('Detalle individual'!$F:$F,$K29))</f>
        <v>Completado</v>
      </c>
      <c r="I29" s="20">
        <f>IF($K29="","",IF(INDEX('Detalle individual'!$F:$F,$K29)="Completado",INDEX('Detalle individual'!$H:$H,$K29),""))</f>
        <v>46308.61247685185</v>
      </c>
      <c r="J29" s="21">
        <f>IF($K29="","",IF(INDEX('Detalle individual'!$F:$F,$K29)="Completado",INDEX('Detalle individual'!$J:$J,$K29),""))</f>
        <v>100</v>
      </c>
      <c r="K29">
        <f>IFERROR(MOD(SMALL(Cálculos!$Z$5:$Z$1000,21),10000),"")</f>
        <v>191</v>
      </c>
    </row>
    <row r="30">
      <c r="B30" s="13">
        <f>IF($K30="","",22)</f>
        <v>22</v>
      </c>
      <c r="C30" s="13" t="str">
        <f>IF($K30="","",INDEX('Detalle individual'!$A:$A,$K30))</f>
        <v>49</v>
      </c>
      <c r="D30" s="72" t="str">
        <f>IF($K30="","",TRIM(INDEX('Detalle individual'!$B:$B,$K30)))</f>
        <v>GRISELDA DEL CARMEN DOMINGUEZ MERINO</v>
      </c>
      <c r="E30" s="72" t="str">
        <f>IF($K30="","",TRIM(INDEX('Detalle individual'!$E:$E,$K30)))</f>
        <v>EJECUTIVO DE NEGOCIOS</v>
      </c>
      <c r="F30" s="72" t="str">
        <f>IF($K30="","",TRIM(INDEX('Detalle individual'!$C:$C,$K30)))</f>
        <v>AGENCIA CENTRAL</v>
      </c>
      <c r="G30" s="72" t="str">
        <f>IF($K30="","",INDEX('Detalle individual'!$D:$D,$K30))</f>
        <v>Gerencia de Negocios</v>
      </c>
      <c r="H30" s="13" t="str">
        <f>IF($K30="","",INDEX('Detalle individual'!$F:$F,$K30))</f>
        <v>Completado</v>
      </c>
      <c r="I30" s="20">
        <f>IF($K30="","",IF(INDEX('Detalle individual'!$F:$F,$K30)="Completado",INDEX('Detalle individual'!$H:$H,$K30),""))</f>
        <v>46310.66540509259</v>
      </c>
      <c r="J30" s="21">
        <f>IF($K30="","",IF(INDEX('Detalle individual'!$F:$F,$K30)="Completado",INDEX('Detalle individual'!$J:$J,$K30),""))</f>
        <v>100</v>
      </c>
      <c r="K30">
        <f>IFERROR(MOD(SMALL(Cálculos!$Z$5:$Z$1000,22),10000),"")</f>
        <v>192</v>
      </c>
    </row>
    <row r="31">
      <c r="B31" s="13">
        <f>IF($K31="","",23)</f>
        <v>23</v>
      </c>
      <c r="C31" s="13" t="str">
        <f>IF($K31="","",INDEX('Detalle individual'!$A:$A,$K31))</f>
        <v>234</v>
      </c>
      <c r="D31" s="72" t="str">
        <f>IF($K31="","",TRIM(INDEX('Detalle individual'!$B:$B,$K31)))</f>
        <v>LETICIA ESMERALDA ROSA</v>
      </c>
      <c r="E31" s="72" t="str">
        <f>IF($K31="","",TRIM(INDEX('Detalle individual'!$E:$E,$K31)))</f>
        <v>EJECUTIVO DE NEGOCIOS</v>
      </c>
      <c r="F31" s="72" t="str">
        <f>IF($K31="","",TRIM(INDEX('Detalle individual'!$C:$C,$K31)))</f>
        <v>AGENCIA CENTRAL</v>
      </c>
      <c r="G31" s="72" t="str">
        <f>IF($K31="","",INDEX('Detalle individual'!$D:$D,$K31))</f>
        <v>Gerencia de Negocios</v>
      </c>
      <c r="H31" s="13" t="str">
        <f>IF($K31="","",INDEX('Detalle individual'!$F:$F,$K31))</f>
        <v>Completado</v>
      </c>
      <c r="I31" s="20">
        <f>IF($K31="","",IF(INDEX('Detalle individual'!$F:$F,$K31)="Completado",INDEX('Detalle individual'!$H:$H,$K31),""))</f>
        <v>46311.71462962963</v>
      </c>
      <c r="J31" s="21">
        <f>IF($K31="","",IF(INDEX('Detalle individual'!$F:$F,$K31)="Completado",INDEX('Detalle individual'!$J:$J,$K31),""))</f>
        <v>90</v>
      </c>
      <c r="K31">
        <f>IFERROR(MOD(SMALL(Cálculos!$Z$5:$Z$1000,23),10000),"")</f>
        <v>193</v>
      </c>
    </row>
    <row r="32">
      <c r="B32" s="13">
        <f>IF($K32="","",24)</f>
        <v>24</v>
      </c>
      <c r="C32" s="13" t="str">
        <f>IF($K32="","",INDEX('Detalle individual'!$A:$A,$K32))</f>
        <v>253</v>
      </c>
      <c r="D32" s="72" t="str">
        <f>IF($K32="","",TRIM(INDEX('Detalle individual'!$B:$B,$K32)))</f>
        <v>ELSY GUADALUPE COREA AGUILUZ</v>
      </c>
      <c r="E32" s="72" t="str">
        <f>IF($K32="","",TRIM(INDEX('Detalle individual'!$E:$E,$K32)))</f>
        <v>EJECUTIVO DE NEGOCIOS</v>
      </c>
      <c r="F32" s="72" t="str">
        <f>IF($K32="","",TRIM(INDEX('Detalle individual'!$C:$C,$K32)))</f>
        <v>AGENCIA CENTRAL</v>
      </c>
      <c r="G32" s="72" t="str">
        <f>IF($K32="","",INDEX('Detalle individual'!$D:$D,$K32))</f>
        <v>Gerencia de Negocios</v>
      </c>
      <c r="H32" s="13" t="str">
        <f>IF($K32="","",INDEX('Detalle individual'!$F:$F,$K32))</f>
        <v>Completado</v>
      </c>
      <c r="I32" s="20">
        <f>IF($K32="","",IF(INDEX('Detalle individual'!$F:$F,$K32)="Completado",INDEX('Detalle individual'!$H:$H,$K32),""))</f>
        <v>46311.719502314816</v>
      </c>
      <c r="J32" s="21">
        <f>IF($K32="","",IF(INDEX('Detalle individual'!$F:$F,$K32)="Completado",INDEX('Detalle individual'!$J:$J,$K32),""))</f>
        <v>100</v>
      </c>
      <c r="K32">
        <f>IFERROR(MOD(SMALL(Cálculos!$Z$5:$Z$1000,24),10000),"")</f>
        <v>194</v>
      </c>
    </row>
    <row r="33">
      <c r="B33" s="13">
        <f>IF($K33="","",25)</f>
        <v>25</v>
      </c>
      <c r="C33" s="13" t="str">
        <f>IF($K33="","",INDEX('Detalle individual'!$A:$A,$K33))</f>
        <v>385</v>
      </c>
      <c r="D33" s="72" t="str">
        <f>IF($K33="","",TRIM(INDEX('Detalle individual'!$B:$B,$K33)))</f>
        <v>BLANCA ARACELY MORENO HERNANDEZ</v>
      </c>
      <c r="E33" s="72" t="str">
        <f>IF($K33="","",TRIM(INDEX('Detalle individual'!$E:$E,$K33)))</f>
        <v>AUXILIAR DE OPERACIONES Y ATENCION EN AGENCIA</v>
      </c>
      <c r="F33" s="72" t="str">
        <f>IF($K33="","",TRIM(INDEX('Detalle individual'!$C:$C,$K33)))</f>
        <v>AGENCIA CENTRAL</v>
      </c>
      <c r="G33" s="72" t="str">
        <f>IF($K33="","",INDEX('Detalle individual'!$D:$D,$K33))</f>
        <v>Gerencia de Negocios</v>
      </c>
      <c r="H33" s="13" t="str">
        <f>IF($K33="","",INDEX('Detalle individual'!$F:$F,$K33))</f>
        <v>Completado</v>
      </c>
      <c r="I33" s="20">
        <f>IF($K33="","",IF(INDEX('Detalle individual'!$F:$F,$K33)="Completado",INDEX('Detalle individual'!$H:$H,$K33),""))</f>
        <v>46311.50697916667</v>
      </c>
      <c r="J33" s="21">
        <f>IF($K33="","",IF(INDEX('Detalle individual'!$F:$F,$K33)="Completado",INDEX('Detalle individual'!$J:$J,$K33),""))</f>
        <v>100</v>
      </c>
      <c r="K33">
        <f>IFERROR(MOD(SMALL(Cálculos!$Z$5:$Z$1000,25),10000),"")</f>
        <v>195</v>
      </c>
    </row>
    <row r="34">
      <c r="B34" s="13">
        <f>IF($K34="","",26)</f>
        <v>26</v>
      </c>
      <c r="C34" s="13" t="str">
        <f>IF($K34="","",INDEX('Detalle individual'!$A:$A,$K34))</f>
        <v>542</v>
      </c>
      <c r="D34" s="72" t="str">
        <f>IF($K34="","",TRIM(INDEX('Detalle individual'!$B:$B,$K34)))</f>
        <v>ANA SILVIA ROQUE SANCHEZ</v>
      </c>
      <c r="E34" s="72" t="str">
        <f>IF($K34="","",TRIM(INDEX('Detalle individual'!$E:$E,$K34)))</f>
        <v>EJECUTIVA DE SEGUROS</v>
      </c>
      <c r="F34" s="72" t="str">
        <f>IF($K34="","",TRIM(INDEX('Detalle individual'!$C:$C,$K34)))</f>
        <v>AGENCIA CENTRAL</v>
      </c>
      <c r="G34" s="72" t="str">
        <f>IF($K34="","",INDEX('Detalle individual'!$D:$D,$K34))</f>
        <v>Gerencia de Negocios</v>
      </c>
      <c r="H34" s="13" t="str">
        <f>IF($K34="","",INDEX('Detalle individual'!$F:$F,$K34))</f>
        <v>Completado</v>
      </c>
      <c r="I34" s="20">
        <f>IF($K34="","",IF(INDEX('Detalle individual'!$F:$F,$K34)="Completado",INDEX('Detalle individual'!$H:$H,$K34),""))</f>
        <v>46302.67400462963</v>
      </c>
      <c r="J34" s="21">
        <f>IF($K34="","",IF(INDEX('Detalle individual'!$F:$F,$K34)="Completado",INDEX('Detalle individual'!$J:$J,$K34),""))</f>
        <v>95</v>
      </c>
      <c r="K34">
        <f>IFERROR(MOD(SMALL(Cálculos!$Z$5:$Z$1000,26),10000),"")</f>
        <v>197</v>
      </c>
    </row>
    <row r="35">
      <c r="B35" s="13">
        <f>IF($K35="","",27)</f>
        <v>27</v>
      </c>
      <c r="C35" s="13" t="str">
        <f>IF($K35="","",INDEX('Detalle individual'!$A:$A,$K35))</f>
        <v>757</v>
      </c>
      <c r="D35" s="72" t="str">
        <f>IF($K35="","",TRIM(INDEX('Detalle individual'!$B:$B,$K35)))</f>
        <v>MARIA DE LOS ANGELES OSORIO GIL</v>
      </c>
      <c r="E35" s="72" t="str">
        <f>IF($K35="","",TRIM(INDEX('Detalle individual'!$E:$E,$K35)))</f>
        <v>CAJERO</v>
      </c>
      <c r="F35" s="72" t="str">
        <f>IF($K35="","",TRIM(INDEX('Detalle individual'!$C:$C,$K35)))</f>
        <v>AGENCIA CENTRAL</v>
      </c>
      <c r="G35" s="72" t="str">
        <f>IF($K35="","",INDEX('Detalle individual'!$D:$D,$K35))</f>
        <v>Gerencia de Negocios</v>
      </c>
      <c r="H35" s="13" t="str">
        <f>IF($K35="","",INDEX('Detalle individual'!$F:$F,$K35))</f>
        <v>Completado</v>
      </c>
      <c r="I35" s="20">
        <f>IF($K35="","",IF(INDEX('Detalle individual'!$F:$F,$K35)="Completado",INDEX('Detalle individual'!$H:$H,$K35),""))</f>
        <v>46303.443460648145</v>
      </c>
      <c r="J35" s="21">
        <f>IF($K35="","",IF(INDEX('Detalle individual'!$F:$F,$K35)="Completado",INDEX('Detalle individual'!$J:$J,$K35),""))</f>
        <v>100</v>
      </c>
      <c r="K35">
        <f>IFERROR(MOD(SMALL(Cálculos!$Z$5:$Z$1000,27),10000),"")</f>
        <v>199</v>
      </c>
    </row>
    <row r="36">
      <c r="B36" s="13">
        <f>IF($K36="","",28)</f>
        <v>28</v>
      </c>
      <c r="C36" s="13" t="str">
        <f>IF($K36="","",INDEX('Detalle individual'!$A:$A,$K36))</f>
        <v>768</v>
      </c>
      <c r="D36" s="72" t="str">
        <f>IF($K36="","",TRIM(INDEX('Detalle individual'!$B:$B,$K36)))</f>
        <v>KATHERINE MICHELLE LOPEZ LOPEZ</v>
      </c>
      <c r="E36" s="72" t="str">
        <f>IF($K36="","",TRIM(INDEX('Detalle individual'!$E:$E,$K36)))</f>
        <v>AUXILIAR DE OPERACIONES Y ATENCION EN AGENCIA</v>
      </c>
      <c r="F36" s="72" t="str">
        <f>IF($K36="","",TRIM(INDEX('Detalle individual'!$C:$C,$K36)))</f>
        <v>AGENCIA CENTRAL</v>
      </c>
      <c r="G36" s="72" t="str">
        <f>IF($K36="","",INDEX('Detalle individual'!$D:$D,$K36))</f>
        <v>Gerencia de Negocios</v>
      </c>
      <c r="H36" s="13" t="str">
        <f>IF($K36="","",INDEX('Detalle individual'!$F:$F,$K36))</f>
        <v>Completado</v>
      </c>
      <c r="I36" s="20">
        <f>IF($K36="","",IF(INDEX('Detalle individual'!$F:$F,$K36)="Completado",INDEX('Detalle individual'!$H:$H,$K36),""))</f>
        <v>46310.65997685185</v>
      </c>
      <c r="J36" s="21">
        <f>IF($K36="","",IF(INDEX('Detalle individual'!$F:$F,$K36)="Completado",INDEX('Detalle individual'!$J:$J,$K36),""))</f>
        <v>100</v>
      </c>
      <c r="K36">
        <f>IFERROR(MOD(SMALL(Cálculos!$Z$5:$Z$1000,28),10000),"")</f>
        <v>200</v>
      </c>
    </row>
    <row r="37">
      <c r="B37" s="13">
        <f>IF($K37="","",29)</f>
        <v>29</v>
      </c>
      <c r="C37" s="13" t="str">
        <f>IF($K37="","",INDEX('Detalle individual'!$A:$A,$K37))</f>
        <v>848</v>
      </c>
      <c r="D37" s="72" t="str">
        <f>IF($K37="","",TRIM(INDEX('Detalle individual'!$B:$B,$K37)))</f>
        <v>JAZMIN ABIGAIL VASQUEZ AVELAR</v>
      </c>
      <c r="E37" s="72" t="str">
        <f>IF($K37="","",TRIM(INDEX('Detalle individual'!$E:$E,$K37)))</f>
        <v>CAJERO</v>
      </c>
      <c r="F37" s="72" t="str">
        <f>IF($K37="","",TRIM(INDEX('Detalle individual'!$C:$C,$K37)))</f>
        <v>AGENCIA CENTRAL</v>
      </c>
      <c r="G37" s="72" t="str">
        <f>IF($K37="","",INDEX('Detalle individual'!$D:$D,$K37))</f>
        <v>Gerencia de Negocios</v>
      </c>
      <c r="H37" s="13" t="str">
        <f>IF($K37="","",INDEX('Detalle individual'!$F:$F,$K37))</f>
        <v>Completado</v>
      </c>
      <c r="I37" s="20">
        <f>IF($K37="","",IF(INDEX('Detalle individual'!$F:$F,$K37)="Completado",INDEX('Detalle individual'!$H:$H,$K37),""))</f>
        <v>46311.484826388885</v>
      </c>
      <c r="J37" s="21">
        <f>IF($K37="","",IF(INDEX('Detalle individual'!$F:$F,$K37)="Completado",INDEX('Detalle individual'!$J:$J,$K37),""))</f>
        <v>100</v>
      </c>
      <c r="K37">
        <f>IFERROR(MOD(SMALL(Cálculos!$Z$5:$Z$1000,29),10000),"")</f>
        <v>201</v>
      </c>
    </row>
    <row r="38">
      <c r="B38" s="13">
        <f>IF($K38="","",30)</f>
        <v>30</v>
      </c>
      <c r="C38" s="13" t="str">
        <f>IF($K38="","",INDEX('Detalle individual'!$A:$A,$K38))</f>
        <v>857</v>
      </c>
      <c r="D38" s="72" t="str">
        <f>IF($K38="","",TRIM(INDEX('Detalle individual'!$B:$B,$K38)))</f>
        <v>ESTHER ABIGAIL FLORES GRANDE</v>
      </c>
      <c r="E38" s="72" t="str">
        <f>IF($K38="","",TRIM(INDEX('Detalle individual'!$E:$E,$K38)))</f>
        <v>AUXILIAR DE OPERACIONES Y ATENCION EN AGENCIA</v>
      </c>
      <c r="F38" s="72" t="str">
        <f>IF($K38="","",TRIM(INDEX('Detalle individual'!$C:$C,$K38)))</f>
        <v>AGENCIA CENTRAL</v>
      </c>
      <c r="G38" s="72" t="str">
        <f>IF($K38="","",INDEX('Detalle individual'!$D:$D,$K38))</f>
        <v>Gerencia de Negocios</v>
      </c>
      <c r="H38" s="13" t="str">
        <f>IF($K38="","",INDEX('Detalle individual'!$F:$F,$K38))</f>
        <v>Completado</v>
      </c>
      <c r="I38" s="20">
        <f>IF($K38="","",IF(INDEX('Detalle individual'!$F:$F,$K38)="Completado",INDEX('Detalle individual'!$H:$H,$K38),""))</f>
        <v>46310.55657407407</v>
      </c>
      <c r="J38" s="21">
        <f>IF($K38="","",IF(INDEX('Detalle individual'!$F:$F,$K38)="Completado",INDEX('Detalle individual'!$J:$J,$K38),""))</f>
        <v>100</v>
      </c>
      <c r="K38">
        <f>IFERROR(MOD(SMALL(Cálculos!$Z$5:$Z$1000,30),10000),"")</f>
        <v>202</v>
      </c>
    </row>
    <row r="39">
      <c r="B39" s="13">
        <f>IF($K39="","",31)</f>
        <v>31</v>
      </c>
      <c r="C39" s="13" t="str">
        <f>IF($K39="","",INDEX('Detalle individual'!$A:$A,$K39))</f>
        <v>953</v>
      </c>
      <c r="D39" s="72" t="str">
        <f>IF($K39="","",TRIM(INDEX('Detalle individual'!$B:$B,$K39)))</f>
        <v>JESUS ADRIAN MENA AVALOS</v>
      </c>
      <c r="E39" s="72" t="str">
        <f>IF($K39="","",TRIM(INDEX('Detalle individual'!$E:$E,$K39)))</f>
        <v>CAJERO</v>
      </c>
      <c r="F39" s="72" t="str">
        <f>IF($K39="","",TRIM(INDEX('Detalle individual'!$C:$C,$K39)))</f>
        <v>AGENCIA CENTRAL</v>
      </c>
      <c r="G39" s="72" t="str">
        <f>IF($K39="","",INDEX('Detalle individual'!$D:$D,$K39))</f>
        <v>Gerencia de Negocios</v>
      </c>
      <c r="H39" s="13" t="str">
        <f>IF($K39="","",INDEX('Detalle individual'!$F:$F,$K39))</f>
        <v>Completado</v>
      </c>
      <c r="I39" s="20">
        <f>IF($K39="","",IF(INDEX('Detalle individual'!$F:$F,$K39)="Completado",INDEX('Detalle individual'!$H:$H,$K39),""))</f>
        <v>46302.62670138889</v>
      </c>
      <c r="J39" s="21">
        <f>IF($K39="","",IF(INDEX('Detalle individual'!$F:$F,$K39)="Completado",INDEX('Detalle individual'!$J:$J,$K39),""))</f>
        <v>100</v>
      </c>
      <c r="K39">
        <f>IFERROR(MOD(SMALL(Cálculos!$Z$5:$Z$1000,31),10000),"")</f>
        <v>203</v>
      </c>
    </row>
    <row r="40">
      <c r="B40" s="13">
        <f>IF($K40="","",32)</f>
        <v>32</v>
      </c>
      <c r="C40" s="13" t="str">
        <f>IF($K40="","",INDEX('Detalle individual'!$A:$A,$K40))</f>
        <v>956</v>
      </c>
      <c r="D40" s="72" t="str">
        <f>IF($K40="","",TRIM(INDEX('Detalle individual'!$B:$B,$K40)))</f>
        <v>ANGELA GABRIELA REYES MOLINA</v>
      </c>
      <c r="E40" s="72" t="str">
        <f>IF($K40="","",TRIM(INDEX('Detalle individual'!$E:$E,$K40)))</f>
        <v>CAJERO</v>
      </c>
      <c r="F40" s="72" t="str">
        <f>IF($K40="","",TRIM(INDEX('Detalle individual'!$C:$C,$K40)))</f>
        <v>AGENCIA CENTRAL</v>
      </c>
      <c r="G40" s="72" t="str">
        <f>IF($K40="","",INDEX('Detalle individual'!$D:$D,$K40))</f>
        <v>Gerencia de Negocios</v>
      </c>
      <c r="H40" s="13" t="str">
        <f>IF($K40="","",INDEX('Detalle individual'!$F:$F,$K40))</f>
        <v>Completado</v>
      </c>
      <c r="I40" s="20">
        <f>IF($K40="","",IF(INDEX('Detalle individual'!$F:$F,$K40)="Completado",INDEX('Detalle individual'!$H:$H,$K40),""))</f>
        <v>46309.366736111115</v>
      </c>
      <c r="J40" s="21">
        <f>IF($K40="","",IF(INDEX('Detalle individual'!$F:$F,$K40)="Completado",INDEX('Detalle individual'!$J:$J,$K40),""))</f>
        <v>100</v>
      </c>
      <c r="K40">
        <f>IFERROR(MOD(SMALL(Cálculos!$Z$5:$Z$1000,32),10000),"")</f>
        <v>204</v>
      </c>
    </row>
    <row r="41">
      <c r="B41" s="13">
        <f>IF($K41="","",33)</f>
        <v>33</v>
      </c>
      <c r="C41" s="13" t="str">
        <f>IF($K41="","",INDEX('Detalle individual'!$A:$A,$K41))</f>
        <v>958</v>
      </c>
      <c r="D41" s="72" t="str">
        <f>IF($K41="","",TRIM(INDEX('Detalle individual'!$B:$B,$K41)))</f>
        <v>ALEXANDRA DANIELA PINEDA JIMENEZ</v>
      </c>
      <c r="E41" s="72" t="str">
        <f>IF($K41="","",TRIM(INDEX('Detalle individual'!$E:$E,$K41)))</f>
        <v>AUXILIAR DE ATENCION A ASOCIADOS</v>
      </c>
      <c r="F41" s="72" t="str">
        <f>IF($K41="","",TRIM(INDEX('Detalle individual'!$C:$C,$K41)))</f>
        <v>AGENCIA CENTRAL</v>
      </c>
      <c r="G41" s="72" t="str">
        <f>IF($K41="","",INDEX('Detalle individual'!$D:$D,$K41))</f>
        <v>Gerencia de Negocios</v>
      </c>
      <c r="H41" s="13" t="str">
        <f>IF($K41="","",INDEX('Detalle individual'!$F:$F,$K41))</f>
        <v>Completado</v>
      </c>
      <c r="I41" s="20">
        <f>IF($K41="","",IF(INDEX('Detalle individual'!$F:$F,$K41)="Completado",INDEX('Detalle individual'!$H:$H,$K41),""))</f>
        <v>46305.39554398148</v>
      </c>
      <c r="J41" s="21">
        <f>IF($K41="","",IF(INDEX('Detalle individual'!$F:$F,$K41)="Completado",INDEX('Detalle individual'!$J:$J,$K41),""))</f>
        <v>75</v>
      </c>
      <c r="K41">
        <f>IFERROR(MOD(SMALL(Cálculos!$Z$5:$Z$1000,33),10000),"")</f>
        <v>205</v>
      </c>
    </row>
    <row r="42">
      <c r="B42" s="13">
        <f>IF($K42="","",34)</f>
        <v>34</v>
      </c>
      <c r="C42" s="13" t="str">
        <f>IF($K42="","",INDEX('Detalle individual'!$A:$A,$K42))</f>
        <v>960</v>
      </c>
      <c r="D42" s="72" t="str">
        <f>IF($K42="","",TRIM(INDEX('Detalle individual'!$B:$B,$K42)))</f>
        <v>LORENA DEL CARMEN MEJIA HERRERA</v>
      </c>
      <c r="E42" s="72" t="str">
        <f>IF($K42="","",TRIM(INDEX('Detalle individual'!$E:$E,$K42)))</f>
        <v>CAJERO</v>
      </c>
      <c r="F42" s="72" t="str">
        <f>IF($K42="","",TRIM(INDEX('Detalle individual'!$C:$C,$K42)))</f>
        <v>AGENCIA CENTRAL</v>
      </c>
      <c r="G42" s="72" t="str">
        <f>IF($K42="","",INDEX('Detalle individual'!$D:$D,$K42))</f>
        <v>Gerencia de Negocios</v>
      </c>
      <c r="H42" s="13" t="str">
        <f>IF($K42="","",INDEX('Detalle individual'!$F:$F,$K42))</f>
        <v>Completado</v>
      </c>
      <c r="I42" s="20">
        <f>IF($K42="","",IF(INDEX('Detalle individual'!$F:$F,$K42)="Completado",INDEX('Detalle individual'!$H:$H,$K42),""))</f>
        <v>46302.48327546296</v>
      </c>
      <c r="J42" s="21">
        <f>IF($K42="","",IF(INDEX('Detalle individual'!$F:$F,$K42)="Completado",INDEX('Detalle individual'!$J:$J,$K42),""))</f>
        <v>100</v>
      </c>
      <c r="K42">
        <f>IFERROR(MOD(SMALL(Cálculos!$Z$5:$Z$1000,34),10000),"")</f>
        <v>206</v>
      </c>
    </row>
    <row r="43">
      <c r="B43" s="13">
        <f>IF($K43="","",35)</f>
        <v>35</v>
      </c>
      <c r="C43" s="13" t="str">
        <f>IF($K43="","",INDEX('Detalle individual'!$A:$A,$K43))</f>
        <v>974</v>
      </c>
      <c r="D43" s="72" t="str">
        <f>IF($K43="","",TRIM(INDEX('Detalle individual'!$B:$B,$K43)))</f>
        <v>LEIDY VANESSA GUZMAN SERVELLON</v>
      </c>
      <c r="E43" s="72" t="str">
        <f>IF($K43="","",TRIM(INDEX('Detalle individual'!$E:$E,$K43)))</f>
        <v>CAJERO</v>
      </c>
      <c r="F43" s="72" t="str">
        <f>IF($K43="","",TRIM(INDEX('Detalle individual'!$C:$C,$K43)))</f>
        <v>AGENCIA CENTRAL</v>
      </c>
      <c r="G43" s="72" t="str">
        <f>IF($K43="","",INDEX('Detalle individual'!$D:$D,$K43))</f>
        <v>Gerencia de Negocios</v>
      </c>
      <c r="H43" s="13" t="str">
        <f>IF($K43="","",INDEX('Detalle individual'!$F:$F,$K43))</f>
        <v>Completado</v>
      </c>
      <c r="I43" s="20">
        <f>IF($K43="","",IF(INDEX('Detalle individual'!$F:$F,$K43)="Completado",INDEX('Detalle individual'!$H:$H,$K43),""))</f>
        <v>46311.477488425924</v>
      </c>
      <c r="J43" s="21">
        <f>IF($K43="","",IF(INDEX('Detalle individual'!$F:$F,$K43)="Completado",INDEX('Detalle individual'!$J:$J,$K43),""))</f>
        <v>80</v>
      </c>
      <c r="K43">
        <f>IFERROR(MOD(SMALL(Cálculos!$Z$5:$Z$1000,35),10000),"")</f>
        <v>207</v>
      </c>
    </row>
    <row r="44">
      <c r="B44" s="13">
        <f>IF($K44="","",36)</f>
        <v>36</v>
      </c>
      <c r="C44" s="13" t="str">
        <f>IF($K44="","",INDEX('Detalle individual'!$A:$A,$K44))</f>
        <v>976</v>
      </c>
      <c r="D44" s="72" t="str">
        <f>IF($K44="","",TRIM(INDEX('Detalle individual'!$B:$B,$K44)))</f>
        <v>KEVIN ARTURO ANDRADE PALACIOS</v>
      </c>
      <c r="E44" s="72" t="str">
        <f>IF($K44="","",TRIM(INDEX('Detalle individual'!$E:$E,$K44)))</f>
        <v>CAJERO</v>
      </c>
      <c r="F44" s="72" t="str">
        <f>IF($K44="","",TRIM(INDEX('Detalle individual'!$C:$C,$K44)))</f>
        <v>AGENCIA CENTRAL</v>
      </c>
      <c r="G44" s="72" t="str">
        <f>IF($K44="","",INDEX('Detalle individual'!$D:$D,$K44))</f>
        <v>Gerencia de Negocios</v>
      </c>
      <c r="H44" s="13" t="str">
        <f>IF($K44="","",INDEX('Detalle individual'!$F:$F,$K44))</f>
        <v>Completado</v>
      </c>
      <c r="I44" s="20">
        <f>IF($K44="","",IF(INDEX('Detalle individual'!$F:$F,$K44)="Completado",INDEX('Detalle individual'!$H:$H,$K44),""))</f>
        <v>46302.59866898148</v>
      </c>
      <c r="J44" s="21">
        <f>IF($K44="","",IF(INDEX('Detalle individual'!$F:$F,$K44)="Completado",INDEX('Detalle individual'!$J:$J,$K44),""))</f>
        <v>100</v>
      </c>
      <c r="K44">
        <f>IFERROR(MOD(SMALL(Cálculos!$Z$5:$Z$1000,36),10000),"")</f>
        <v>208</v>
      </c>
    </row>
    <row r="45">
      <c r="B45" s="13">
        <f>IF($K45="","",37)</f>
        <v>37</v>
      </c>
      <c r="C45" s="13" t="str">
        <f>IF($K45="","",INDEX('Detalle individual'!$A:$A,$K45))</f>
        <v>26</v>
      </c>
      <c r="D45" s="72" t="str">
        <f>IF($K45="","",TRIM(INDEX('Detalle individual'!$B:$B,$K45)))</f>
        <v>FLOR IMELDA VILLALOBOS ARDON</v>
      </c>
      <c r="E45" s="72" t="str">
        <f>IF($K45="","",TRIM(INDEX('Detalle individual'!$E:$E,$K45)))</f>
        <v>EJECUTIVO DE NEGOCIOS</v>
      </c>
      <c r="F45" s="72" t="str">
        <f>IF($K45="","",TRIM(INDEX('Detalle individual'!$C:$C,$K45)))</f>
        <v>AGENCIA COLEGIO MEDICO</v>
      </c>
      <c r="G45" s="72" t="str">
        <f>IF($K45="","",INDEX('Detalle individual'!$D:$D,$K45))</f>
        <v>Gerencia de Negocios</v>
      </c>
      <c r="H45" s="13" t="str">
        <f>IF($K45="","",INDEX('Detalle individual'!$F:$F,$K45))</f>
        <v>Completado</v>
      </c>
      <c r="I45" s="20">
        <f>IF($K45="","",IF(INDEX('Detalle individual'!$F:$F,$K45)="Completado",INDEX('Detalle individual'!$H:$H,$K45),""))</f>
        <v>46310.516377314816</v>
      </c>
      <c r="J45" s="21">
        <f>IF($K45="","",IF(INDEX('Detalle individual'!$F:$F,$K45)="Completado",INDEX('Detalle individual'!$J:$J,$K45),""))</f>
        <v>100</v>
      </c>
      <c r="K45">
        <f>IFERROR(MOD(SMALL(Cálculos!$Z$5:$Z$1000,37),10000),"")</f>
        <v>209</v>
      </c>
    </row>
    <row r="46">
      <c r="B46" s="13">
        <f>IF($K46="","",38)</f>
        <v>38</v>
      </c>
      <c r="C46" s="13" t="str">
        <f>IF($K46="","",INDEX('Detalle individual'!$A:$A,$K46))</f>
        <v>29</v>
      </c>
      <c r="D46" s="72" t="str">
        <f>IF($K46="","",TRIM(INDEX('Detalle individual'!$B:$B,$K46)))</f>
        <v>YANIRA ELIZABETH ORTEGA MIRANDA</v>
      </c>
      <c r="E46" s="72" t="str">
        <f>IF($K46="","",TRIM(INDEX('Detalle individual'!$E:$E,$K46)))</f>
        <v>SUBJEFE DE AGENCIA</v>
      </c>
      <c r="F46" s="72" t="str">
        <f>IF($K46="","",TRIM(INDEX('Detalle individual'!$C:$C,$K46)))</f>
        <v>AGENCIA COLEGIO MEDICO</v>
      </c>
      <c r="G46" s="72" t="str">
        <f>IF($K46="","",INDEX('Detalle individual'!$D:$D,$K46))</f>
        <v>Gerencia de Negocios</v>
      </c>
      <c r="H46" s="13" t="str">
        <f>IF($K46="","",INDEX('Detalle individual'!$F:$F,$K46))</f>
        <v>Completado</v>
      </c>
      <c r="I46" s="20">
        <f>IF($K46="","",IF(INDEX('Detalle individual'!$F:$F,$K46)="Completado",INDEX('Detalle individual'!$H:$H,$K46),""))</f>
        <v>46305.43096064815</v>
      </c>
      <c r="J46" s="21">
        <f>IF($K46="","",IF(INDEX('Detalle individual'!$F:$F,$K46)="Completado",INDEX('Detalle individual'!$J:$J,$K46),""))</f>
        <v>100</v>
      </c>
      <c r="K46">
        <f>IFERROR(MOD(SMALL(Cálculos!$Z$5:$Z$1000,38),10000),"")</f>
        <v>210</v>
      </c>
    </row>
    <row r="47">
      <c r="B47" s="13">
        <f>IF($K47="","",39)</f>
        <v>39</v>
      </c>
      <c r="C47" s="13" t="str">
        <f>IF($K47="","",INDEX('Detalle individual'!$A:$A,$K47))</f>
        <v>190</v>
      </c>
      <c r="D47" s="72" t="str">
        <f>IF($K47="","",TRIM(INDEX('Detalle individual'!$B:$B,$K47)))</f>
        <v>MERCI ANTONIA CERON MEJIA</v>
      </c>
      <c r="E47" s="72" t="str">
        <f>IF($K47="","",TRIM(INDEX('Detalle individual'!$E:$E,$K47)))</f>
        <v>EJECUTIVO DE NEGOCIOS</v>
      </c>
      <c r="F47" s="72" t="str">
        <f>IF($K47="","",TRIM(INDEX('Detalle individual'!$C:$C,$K47)))</f>
        <v>AGENCIA COLEGIO MEDICO</v>
      </c>
      <c r="G47" s="72" t="str">
        <f>IF($K47="","",INDEX('Detalle individual'!$D:$D,$K47))</f>
        <v>Gerencia de Negocios</v>
      </c>
      <c r="H47" s="13" t="str">
        <f>IF($K47="","",INDEX('Detalle individual'!$F:$F,$K47))</f>
        <v>Completado</v>
      </c>
      <c r="I47" s="20">
        <f>IF($K47="","",IF(INDEX('Detalle individual'!$F:$F,$K47)="Completado",INDEX('Detalle individual'!$H:$H,$K47),""))</f>
        <v>46305.513344907406</v>
      </c>
      <c r="J47" s="21">
        <f>IF($K47="","",IF(INDEX('Detalle individual'!$F:$F,$K47)="Completado",INDEX('Detalle individual'!$J:$J,$K47),""))</f>
        <v>100</v>
      </c>
      <c r="K47">
        <f>IFERROR(MOD(SMALL(Cálculos!$Z$5:$Z$1000,39),10000),"")</f>
        <v>211</v>
      </c>
    </row>
    <row r="48">
      <c r="B48" s="13">
        <f>IF($K48="","",40)</f>
        <v>40</v>
      </c>
      <c r="C48" s="13" t="str">
        <f>IF($K48="","",INDEX('Detalle individual'!$A:$A,$K48))</f>
        <v>360</v>
      </c>
      <c r="D48" s="72" t="str">
        <f>IF($K48="","",TRIM(INDEX('Detalle individual'!$B:$B,$K48)))</f>
        <v>PATRICIA ESMERALDA PORTILLO CESPEDES</v>
      </c>
      <c r="E48" s="72" t="str">
        <f>IF($K48="","",TRIM(INDEX('Detalle individual'!$E:$E,$K48)))</f>
        <v>JEFE DE AGENCIA</v>
      </c>
      <c r="F48" s="72" t="str">
        <f>IF($K48="","",TRIM(INDEX('Detalle individual'!$C:$C,$K48)))</f>
        <v>AGENCIA COLEGIO MEDICO</v>
      </c>
      <c r="G48" s="72" t="str">
        <f>IF($K48="","",INDEX('Detalle individual'!$D:$D,$K48))</f>
        <v>Gerencia de Negocios</v>
      </c>
      <c r="H48" s="13" t="str">
        <f>IF($K48="","",INDEX('Detalle individual'!$F:$F,$K48))</f>
        <v>Completado</v>
      </c>
      <c r="I48" s="20">
        <f>IF($K48="","",IF(INDEX('Detalle individual'!$F:$F,$K48)="Completado",INDEX('Detalle individual'!$H:$H,$K48),""))</f>
        <v>46296.47634259259</v>
      </c>
      <c r="J48" s="21">
        <f>IF($K48="","",IF(INDEX('Detalle individual'!$F:$F,$K48)="Completado",INDEX('Detalle individual'!$J:$J,$K48),""))</f>
        <v>100</v>
      </c>
      <c r="K48">
        <f>IFERROR(MOD(SMALL(Cálculos!$Z$5:$Z$1000,40),10000),"")</f>
        <v>212</v>
      </c>
    </row>
    <row r="49">
      <c r="B49" s="13">
        <f>IF($K49="","",41)</f>
        <v>41</v>
      </c>
      <c r="C49" s="13" t="str">
        <f>IF($K49="","",INDEX('Detalle individual'!$A:$A,$K49))</f>
        <v>536</v>
      </c>
      <c r="D49" s="72" t="str">
        <f>IF($K49="","",TRIM(INDEX('Detalle individual'!$B:$B,$K49)))</f>
        <v>MARTHA ESPERANZA VALTEZ GARCIA</v>
      </c>
      <c r="E49" s="72" t="str">
        <f>IF($K49="","",TRIM(INDEX('Detalle individual'!$E:$E,$K49)))</f>
        <v>CAJERO</v>
      </c>
      <c r="F49" s="72" t="str">
        <f>IF($K49="","",TRIM(INDEX('Detalle individual'!$C:$C,$K49)))</f>
        <v>AGENCIA COLEGIO MEDICO</v>
      </c>
      <c r="G49" s="72" t="str">
        <f>IF($K49="","",INDEX('Detalle individual'!$D:$D,$K49))</f>
        <v>Gerencia de Negocios</v>
      </c>
      <c r="H49" s="13" t="str">
        <f>IF($K49="","",INDEX('Detalle individual'!$F:$F,$K49))</f>
        <v>Completado</v>
      </c>
      <c r="I49" s="20">
        <f>IF($K49="","",IF(INDEX('Detalle individual'!$F:$F,$K49)="Completado",INDEX('Detalle individual'!$H:$H,$K49),""))</f>
        <v>46305.51391203704</v>
      </c>
      <c r="J49" s="21">
        <f>IF($K49="","",IF(INDEX('Detalle individual'!$F:$F,$K49)="Completado",INDEX('Detalle individual'!$J:$J,$K49),""))</f>
        <v>100</v>
      </c>
      <c r="K49">
        <f>IFERROR(MOD(SMALL(Cálculos!$Z$5:$Z$1000,41),10000),"")</f>
        <v>214</v>
      </c>
    </row>
    <row r="50">
      <c r="B50" s="13">
        <f>IF($K50="","",42)</f>
        <v>42</v>
      </c>
      <c r="C50" s="13" t="str">
        <f>IF($K50="","",INDEX('Detalle individual'!$A:$A,$K50))</f>
        <v>543</v>
      </c>
      <c r="D50" s="72" t="str">
        <f>IF($K50="","",TRIM(INDEX('Detalle individual'!$B:$B,$K50)))</f>
        <v>CLAUDIA ELENA GUARDADO VARELA</v>
      </c>
      <c r="E50" s="72" t="str">
        <f>IF($K50="","",TRIM(INDEX('Detalle individual'!$E:$E,$K50)))</f>
        <v>EJECUTIVA DE SEGUROS</v>
      </c>
      <c r="F50" s="72" t="str">
        <f>IF($K50="","",TRIM(INDEX('Detalle individual'!$C:$C,$K50)))</f>
        <v>AGENCIA COLEGIO MEDICO</v>
      </c>
      <c r="G50" s="72" t="str">
        <f>IF($K50="","",INDEX('Detalle individual'!$D:$D,$K50))</f>
        <v>Gerencia de Negocios</v>
      </c>
      <c r="H50" s="13" t="str">
        <f>IF($K50="","",INDEX('Detalle individual'!$F:$F,$K50))</f>
        <v>Completado</v>
      </c>
      <c r="I50" s="20">
        <f>IF($K50="","",IF(INDEX('Detalle individual'!$F:$F,$K50)="Completado",INDEX('Detalle individual'!$H:$H,$K50),""))</f>
        <v>46305.407002314816</v>
      </c>
      <c r="J50" s="21">
        <f>IF($K50="","",IF(INDEX('Detalle individual'!$F:$F,$K50)="Completado",INDEX('Detalle individual'!$J:$J,$K50),""))</f>
        <v>100</v>
      </c>
      <c r="K50">
        <f>IFERROR(MOD(SMALL(Cálculos!$Z$5:$Z$1000,42),10000),"")</f>
        <v>215</v>
      </c>
    </row>
    <row r="51">
      <c r="B51" s="13">
        <f>IF($K51="","",43)</f>
        <v>43</v>
      </c>
      <c r="C51" s="13" t="str">
        <f>IF($K51="","",INDEX('Detalle individual'!$A:$A,$K51))</f>
        <v>811</v>
      </c>
      <c r="D51" s="72" t="str">
        <f>IF($K51="","",TRIM(INDEX('Detalle individual'!$B:$B,$K51)))</f>
        <v>JACQUELINE ADRIANA CHAVEZ SARAVIA</v>
      </c>
      <c r="E51" s="72" t="str">
        <f>IF($K51="","",TRIM(INDEX('Detalle individual'!$E:$E,$K51)))</f>
        <v>CAJERO</v>
      </c>
      <c r="F51" s="72" t="str">
        <f>IF($K51="","",TRIM(INDEX('Detalle individual'!$C:$C,$K51)))</f>
        <v>AGENCIA COLEGIO MEDICO</v>
      </c>
      <c r="G51" s="72" t="str">
        <f>IF($K51="","",INDEX('Detalle individual'!$D:$D,$K51))</f>
        <v>Gerencia de Negocios</v>
      </c>
      <c r="H51" s="13" t="str">
        <f>IF($K51="","",INDEX('Detalle individual'!$F:$F,$K51))</f>
        <v>Completado</v>
      </c>
      <c r="I51" s="20">
        <f>IF($K51="","",IF(INDEX('Detalle individual'!$F:$F,$K51)="Completado",INDEX('Detalle individual'!$H:$H,$K51),""))</f>
        <v>46305.465902777774</v>
      </c>
      <c r="J51" s="21">
        <f>IF($K51="","",IF(INDEX('Detalle individual'!$F:$F,$K51)="Completado",INDEX('Detalle individual'!$J:$J,$K51),""))</f>
        <v>90</v>
      </c>
      <c r="K51">
        <f>IFERROR(MOD(SMALL(Cálculos!$Z$5:$Z$1000,43),10000),"")</f>
        <v>216</v>
      </c>
    </row>
    <row r="52">
      <c r="B52" s="13">
        <f>IF($K52="","",44)</f>
        <v>44</v>
      </c>
      <c r="C52" s="13" t="str">
        <f>IF($K52="","",INDEX('Detalle individual'!$A:$A,$K52))</f>
        <v>841</v>
      </c>
      <c r="D52" s="72" t="str">
        <f>IF($K52="","",TRIM(INDEX('Detalle individual'!$B:$B,$K52)))</f>
        <v>KRISSIA ANDREA DOMINGUEZ OSORIO</v>
      </c>
      <c r="E52" s="72" t="str">
        <f>IF($K52="","",TRIM(INDEX('Detalle individual'!$E:$E,$K52)))</f>
        <v>CAJERO</v>
      </c>
      <c r="F52" s="72" t="str">
        <f>IF($K52="","",TRIM(INDEX('Detalle individual'!$C:$C,$K52)))</f>
        <v>AGENCIA COLEGIO MEDICO</v>
      </c>
      <c r="G52" s="72" t="str">
        <f>IF($K52="","",INDEX('Detalle individual'!$D:$D,$K52))</f>
        <v>Gerencia de Negocios</v>
      </c>
      <c r="H52" s="13" t="str">
        <f>IF($K52="","",INDEX('Detalle individual'!$F:$F,$K52))</f>
        <v>Completado</v>
      </c>
      <c r="I52" s="20">
        <f>IF($K52="","",IF(INDEX('Detalle individual'!$F:$F,$K52)="Completado",INDEX('Detalle individual'!$H:$H,$K52),""))</f>
        <v>46305.39891203704</v>
      </c>
      <c r="J52" s="21">
        <f>IF($K52="","",IF(INDEX('Detalle individual'!$F:$F,$K52)="Completado",INDEX('Detalle individual'!$J:$J,$K52),""))</f>
        <v>100</v>
      </c>
      <c r="K52">
        <f>IFERROR(MOD(SMALL(Cálculos!$Z$5:$Z$1000,44),10000),"")</f>
        <v>217</v>
      </c>
    </row>
    <row r="53">
      <c r="B53" s="13">
        <f>IF($K53="","",45)</f>
        <v>45</v>
      </c>
      <c r="C53" s="13" t="str">
        <f>IF($K53="","",INDEX('Detalle individual'!$A:$A,$K53))</f>
        <v>890</v>
      </c>
      <c r="D53" s="72" t="str">
        <f>IF($K53="","",TRIM(INDEX('Detalle individual'!$B:$B,$K53)))</f>
        <v>WILBER ERNESTO DIAZ GONZALEZ</v>
      </c>
      <c r="E53" s="72" t="str">
        <f>IF($K53="","",TRIM(INDEX('Detalle individual'!$E:$E,$K53)))</f>
        <v>CAJERO</v>
      </c>
      <c r="F53" s="72" t="str">
        <f>IF($K53="","",TRIM(INDEX('Detalle individual'!$C:$C,$K53)))</f>
        <v>AGENCIA COLEGIO MEDICO</v>
      </c>
      <c r="G53" s="72" t="str">
        <f>IF($K53="","",INDEX('Detalle individual'!$D:$D,$K53))</f>
        <v>Gerencia de Negocios</v>
      </c>
      <c r="H53" s="13" t="str">
        <f>IF($K53="","",INDEX('Detalle individual'!$F:$F,$K53))</f>
        <v>Completado</v>
      </c>
      <c r="I53" s="20">
        <f>IF($K53="","",IF(INDEX('Detalle individual'!$F:$F,$K53)="Completado",INDEX('Detalle individual'!$H:$H,$K53),""))</f>
        <v>46307.43005787037</v>
      </c>
      <c r="J53" s="21">
        <f>IF($K53="","",IF(INDEX('Detalle individual'!$F:$F,$K53)="Completado",INDEX('Detalle individual'!$J:$J,$K53),""))</f>
        <v>90</v>
      </c>
      <c r="K53">
        <f>IFERROR(MOD(SMALL(Cálculos!$Z$5:$Z$1000,45),10000),"")</f>
        <v>218</v>
      </c>
    </row>
    <row r="54">
      <c r="B54" s="13">
        <f>IF($K54="","",46)</f>
        <v>46</v>
      </c>
      <c r="C54" s="13" t="str">
        <f>IF($K54="","",INDEX('Detalle individual'!$A:$A,$K54))</f>
        <v>971</v>
      </c>
      <c r="D54" s="72" t="str">
        <f>IF($K54="","",TRIM(INDEX('Detalle individual'!$B:$B,$K54)))</f>
        <v>JAQUELIN JAZMIN ROMERO FLORES</v>
      </c>
      <c r="E54" s="72" t="str">
        <f>IF($K54="","",TRIM(INDEX('Detalle individual'!$E:$E,$K54)))</f>
        <v>CAJERO</v>
      </c>
      <c r="F54" s="72" t="str">
        <f>IF($K54="","",TRIM(INDEX('Detalle individual'!$C:$C,$K54)))</f>
        <v>AGENCIA COLEGIO MEDICO</v>
      </c>
      <c r="G54" s="72" t="str">
        <f>IF($K54="","",INDEX('Detalle individual'!$D:$D,$K54))</f>
        <v>Gerencia de Negocios</v>
      </c>
      <c r="H54" s="13" t="str">
        <f>IF($K54="","",INDEX('Detalle individual'!$F:$F,$K54))</f>
        <v>Completado</v>
      </c>
      <c r="I54" s="20">
        <f>IF($K54="","",IF(INDEX('Detalle individual'!$F:$F,$K54)="Completado",INDEX('Detalle individual'!$H:$H,$K54),""))</f>
        <v>46305.44142361111</v>
      </c>
      <c r="J54" s="21">
        <f>IF($K54="","",IF(INDEX('Detalle individual'!$F:$F,$K54)="Completado",INDEX('Detalle individual'!$J:$J,$K54),""))</f>
        <v>100</v>
      </c>
      <c r="K54">
        <f>IFERROR(MOD(SMALL(Cálculos!$Z$5:$Z$1000,46),10000),"")</f>
        <v>219</v>
      </c>
    </row>
    <row r="55">
      <c r="B55" s="13">
        <f>IF($K55="","",47)</f>
        <v>47</v>
      </c>
      <c r="C55" s="13" t="str">
        <f>IF($K55="","",INDEX('Detalle individual'!$A:$A,$K55))</f>
        <v>975</v>
      </c>
      <c r="D55" s="72" t="str">
        <f>IF($K55="","",TRIM(INDEX('Detalle individual'!$B:$B,$K55)))</f>
        <v>GABRIELA CONCEPCION GARCIA GUTIERREZ</v>
      </c>
      <c r="E55" s="72" t="str">
        <f>IF($K55="","",TRIM(INDEX('Detalle individual'!$E:$E,$K55)))</f>
        <v>AUXILIAR DE ATENCION AL ASOCIADO EN AGENCIA</v>
      </c>
      <c r="F55" s="72" t="str">
        <f>IF($K55="","",TRIM(INDEX('Detalle individual'!$C:$C,$K55)))</f>
        <v>AGENCIA COLEGIO MEDICO</v>
      </c>
      <c r="G55" s="72" t="str">
        <f>IF($K55="","",INDEX('Detalle individual'!$D:$D,$K55))</f>
        <v>Gerencia de Negocios</v>
      </c>
      <c r="H55" s="13" t="str">
        <f>IF($K55="","",INDEX('Detalle individual'!$F:$F,$K55))</f>
        <v>Completado</v>
      </c>
      <c r="I55" s="20">
        <f>IF($K55="","",IF(INDEX('Detalle individual'!$F:$F,$K55)="Completado",INDEX('Detalle individual'!$H:$H,$K55),""))</f>
        <v>46305.4796412037</v>
      </c>
      <c r="J55" s="21">
        <f>IF($K55="","",IF(INDEX('Detalle individual'!$F:$F,$K55)="Completado",INDEX('Detalle individual'!$J:$J,$K55),""))</f>
        <v>90</v>
      </c>
      <c r="K55">
        <f>IFERROR(MOD(SMALL(Cálculos!$Z$5:$Z$1000,47),10000),"")</f>
        <v>220</v>
      </c>
    </row>
    <row r="56">
      <c r="B56" s="13">
        <f>IF($K56="","",48)</f>
        <v>48</v>
      </c>
      <c r="C56" s="13" t="str">
        <f>IF($K56="","",INDEX('Detalle individual'!$A:$A,$K56))</f>
        <v>19</v>
      </c>
      <c r="D56" s="72" t="str">
        <f>IF($K56="","",TRIM(INDEX('Detalle individual'!$B:$B,$K56)))</f>
        <v>ANA MARGARITA SERRANO RUBIO</v>
      </c>
      <c r="E56" s="72" t="str">
        <f>IF($K56="","",TRIM(INDEX('Detalle individual'!$E:$E,$K56)))</f>
        <v>CAJERO</v>
      </c>
      <c r="F56" s="72" t="str">
        <f>IF($K56="","",TRIM(INDEX('Detalle individual'!$C:$C,$K56)))</f>
        <v>AGENCIA COLONIA MEDICA</v>
      </c>
      <c r="G56" s="72" t="str">
        <f>IF($K56="","",INDEX('Detalle individual'!$D:$D,$K56))</f>
        <v>Gerencia de Negocios</v>
      </c>
      <c r="H56" s="13" t="str">
        <f>IF($K56="","",INDEX('Detalle individual'!$F:$F,$K56))</f>
        <v>Completado</v>
      </c>
      <c r="I56" s="20">
        <f>IF($K56="","",IF(INDEX('Detalle individual'!$F:$F,$K56)="Completado",INDEX('Detalle individual'!$H:$H,$K56),""))</f>
        <v>46310.54141203704</v>
      </c>
      <c r="J56" s="21">
        <f>IF($K56="","",IF(INDEX('Detalle individual'!$F:$F,$K56)="Completado",INDEX('Detalle individual'!$J:$J,$K56),""))</f>
        <v>100</v>
      </c>
      <c r="K56">
        <f>IFERROR(MOD(SMALL(Cálculos!$Z$5:$Z$1000,48),10000),"")</f>
        <v>257</v>
      </c>
    </row>
    <row r="57">
      <c r="B57" s="13">
        <f>IF($K57="","",49)</f>
        <v>49</v>
      </c>
      <c r="C57" s="13" t="str">
        <f>IF($K57="","",INDEX('Detalle individual'!$A:$A,$K57))</f>
        <v>89</v>
      </c>
      <c r="D57" s="72" t="str">
        <f>IF($K57="","",TRIM(INDEX('Detalle individual'!$B:$B,$K57)))</f>
        <v>PATRICIA JEANNETTE FLORES MARTINEZ</v>
      </c>
      <c r="E57" s="72" t="str">
        <f>IF($K57="","",TRIM(INDEX('Detalle individual'!$E:$E,$K57)))</f>
        <v>AUXILIAR DE OPERACIONES Y ATENCION EN AGENCIA</v>
      </c>
      <c r="F57" s="72" t="str">
        <f>IF($K57="","",TRIM(INDEX('Detalle individual'!$C:$C,$K57)))</f>
        <v>AGENCIA COLONIA MEDICA</v>
      </c>
      <c r="G57" s="72" t="str">
        <f>IF($K57="","",INDEX('Detalle individual'!$D:$D,$K57))</f>
        <v>Gerencia de Negocios</v>
      </c>
      <c r="H57" s="13" t="str">
        <f>IF($K57="","",INDEX('Detalle individual'!$F:$F,$K57))</f>
        <v>Completado</v>
      </c>
      <c r="I57" s="20">
        <f>IF($K57="","",IF(INDEX('Detalle individual'!$F:$F,$K57)="Completado",INDEX('Detalle individual'!$H:$H,$K57),""))</f>
        <v>46302.64712962963</v>
      </c>
      <c r="J57" s="21">
        <f>IF($K57="","",IF(INDEX('Detalle individual'!$F:$F,$K57)="Completado",INDEX('Detalle individual'!$J:$J,$K57),""))</f>
        <v>100</v>
      </c>
      <c r="K57">
        <f>IFERROR(MOD(SMALL(Cálculos!$Z$5:$Z$1000,49),10000),"")</f>
        <v>258</v>
      </c>
    </row>
    <row r="58">
      <c r="B58" s="13">
        <f>IF($K58="","",50)</f>
        <v>50</v>
      </c>
      <c r="C58" s="13" t="str">
        <f>IF($K58="","",INDEX('Detalle individual'!$A:$A,$K58))</f>
        <v>179</v>
      </c>
      <c r="D58" s="72" t="str">
        <f>IF($K58="","",TRIM(INDEX('Detalle individual'!$B:$B,$K58)))</f>
        <v>JULIO RAFAEL FLORES HENRIQUEZ</v>
      </c>
      <c r="E58" s="72" t="str">
        <f>IF($K58="","",TRIM(INDEX('Detalle individual'!$E:$E,$K58)))</f>
        <v>JEFE DE AGENCIA</v>
      </c>
      <c r="F58" s="72" t="str">
        <f>IF($K58="","",TRIM(INDEX('Detalle individual'!$C:$C,$K58)))</f>
        <v>AGENCIA COLONIA MEDICA</v>
      </c>
      <c r="G58" s="72" t="str">
        <f>IF($K58="","",INDEX('Detalle individual'!$D:$D,$K58))</f>
        <v>Gerencia de Negocios</v>
      </c>
      <c r="H58" s="13" t="str">
        <f>IF($K58="","",INDEX('Detalle individual'!$F:$F,$K58))</f>
        <v>Completado</v>
      </c>
      <c r="I58" s="20">
        <f>IF($K58="","",IF(INDEX('Detalle individual'!$F:$F,$K58)="Completado",INDEX('Detalle individual'!$H:$H,$K58),""))</f>
        <v>46309.36565972222</v>
      </c>
      <c r="J58" s="21">
        <f>IF($K58="","",IF(INDEX('Detalle individual'!$F:$F,$K58)="Completado",INDEX('Detalle individual'!$J:$J,$K58),""))</f>
        <v>100</v>
      </c>
      <c r="K58">
        <f>IFERROR(MOD(SMALL(Cálculos!$Z$5:$Z$1000,50),10000),"")</f>
        <v>259</v>
      </c>
    </row>
    <row r="59">
      <c r="B59" s="13">
        <f>IF($K59="","",51)</f>
        <v>51</v>
      </c>
      <c r="C59" s="13" t="str">
        <f>IF($K59="","",INDEX('Detalle individual'!$A:$A,$K59))</f>
        <v>308</v>
      </c>
      <c r="D59" s="72" t="str">
        <f>IF($K59="","",TRIM(INDEX('Detalle individual'!$B:$B,$K59)))</f>
        <v>JENNIFFER IVETTE MORALES PEREZ</v>
      </c>
      <c r="E59" s="72" t="str">
        <f>IF($K59="","",TRIM(INDEX('Detalle individual'!$E:$E,$K59)))</f>
        <v>EJECUTIVO DE NEGOCIOS</v>
      </c>
      <c r="F59" s="72" t="str">
        <f>IF($K59="","",TRIM(INDEX('Detalle individual'!$C:$C,$K59)))</f>
        <v>AGENCIA COLONIA MEDICA</v>
      </c>
      <c r="G59" s="72" t="str">
        <f>IF($K59="","",INDEX('Detalle individual'!$D:$D,$K59))</f>
        <v>Gerencia de Negocios</v>
      </c>
      <c r="H59" s="13" t="str">
        <f>IF($K59="","",INDEX('Detalle individual'!$F:$F,$K59))</f>
        <v>Completado</v>
      </c>
      <c r="I59" s="20">
        <f>IF($K59="","",IF(INDEX('Detalle individual'!$F:$F,$K59)="Completado",INDEX('Detalle individual'!$H:$H,$K59),""))</f>
        <v>46297.714895833335</v>
      </c>
      <c r="J59" s="21">
        <f>IF($K59="","",IF(INDEX('Detalle individual'!$F:$F,$K59)="Completado",INDEX('Detalle individual'!$J:$J,$K59),""))</f>
        <v>95</v>
      </c>
      <c r="K59">
        <f>IFERROR(MOD(SMALL(Cálculos!$Z$5:$Z$1000,51),10000),"")</f>
        <v>260</v>
      </c>
    </row>
    <row r="60">
      <c r="B60" s="13">
        <f>IF($K60="","",52)</f>
        <v>52</v>
      </c>
      <c r="C60" s="13" t="str">
        <f>IF($K60="","",INDEX('Detalle individual'!$A:$A,$K60))</f>
        <v>412</v>
      </c>
      <c r="D60" s="72" t="str">
        <f>IF($K60="","",TRIM(INDEX('Detalle individual'!$B:$B,$K60)))</f>
        <v>CARMEN DE JESÚS GONZÁLEZ BLANCO</v>
      </c>
      <c r="E60" s="72" t="str">
        <f>IF($K60="","",TRIM(INDEX('Detalle individual'!$E:$E,$K60)))</f>
        <v>EJECUTIVA DE SEGUROS</v>
      </c>
      <c r="F60" s="72" t="str">
        <f>IF($K60="","",TRIM(INDEX('Detalle individual'!$C:$C,$K60)))</f>
        <v>AGENCIA COLONIA MEDICA</v>
      </c>
      <c r="G60" s="72" t="str">
        <f>IF($K60="","",INDEX('Detalle individual'!$D:$D,$K60))</f>
        <v>Gerencia de Negocios</v>
      </c>
      <c r="H60" s="13" t="str">
        <f>IF($K60="","",INDEX('Detalle individual'!$F:$F,$K60))</f>
        <v>Completado</v>
      </c>
      <c r="I60" s="20">
        <f>IF($K60="","",IF(INDEX('Detalle individual'!$F:$F,$K60)="Completado",INDEX('Detalle individual'!$H:$H,$K60),""))</f>
        <v>46302.63581018519</v>
      </c>
      <c r="J60" s="21">
        <f>IF($K60="","",IF(INDEX('Detalle individual'!$F:$F,$K60)="Completado",INDEX('Detalle individual'!$J:$J,$K60),""))</f>
        <v>100</v>
      </c>
      <c r="K60">
        <f>IFERROR(MOD(SMALL(Cálculos!$Z$5:$Z$1000,52),10000),"")</f>
        <v>261</v>
      </c>
    </row>
    <row r="61">
      <c r="B61" s="13">
        <f>IF($K61="","",53)</f>
        <v>53</v>
      </c>
      <c r="C61" s="13" t="str">
        <f>IF($K61="","",INDEX('Detalle individual'!$A:$A,$K61))</f>
        <v>624</v>
      </c>
      <c r="D61" s="72" t="str">
        <f>IF($K61="","",TRIM(INDEX('Detalle individual'!$B:$B,$K61)))</f>
        <v>JULIO ENRIQUE CAMPOS ANDRADE</v>
      </c>
      <c r="E61" s="72" t="str">
        <f>IF($K61="","",TRIM(INDEX('Detalle individual'!$E:$E,$K61)))</f>
        <v>EJECUTIVO DE NEGOCIOS</v>
      </c>
      <c r="F61" s="72" t="str">
        <f>IF($K61="","",TRIM(INDEX('Detalle individual'!$C:$C,$K61)))</f>
        <v>AGENCIA COLONIA MEDICA</v>
      </c>
      <c r="G61" s="72" t="str">
        <f>IF($K61="","",INDEX('Detalle individual'!$D:$D,$K61))</f>
        <v>Gerencia de Negocios</v>
      </c>
      <c r="H61" s="13" t="str">
        <f>IF($K61="","",INDEX('Detalle individual'!$F:$F,$K61))</f>
        <v>Completado</v>
      </c>
      <c r="I61" s="20">
        <f>IF($K61="","",IF(INDEX('Detalle individual'!$F:$F,$K61)="Completado",INDEX('Detalle individual'!$H:$H,$K61),""))</f>
        <v>46310.516701388886</v>
      </c>
      <c r="J61" s="21">
        <f>IF($K61="","",IF(INDEX('Detalle individual'!$F:$F,$K61)="Completado",INDEX('Detalle individual'!$J:$J,$K61),""))</f>
        <v>90</v>
      </c>
      <c r="K61">
        <f>IFERROR(MOD(SMALL(Cálculos!$Z$5:$Z$1000,53),10000),"")</f>
        <v>262</v>
      </c>
    </row>
    <row r="62">
      <c r="B62" s="13">
        <f>IF($K62="","",54)</f>
        <v>54</v>
      </c>
      <c r="C62" s="13" t="str">
        <f>IF($K62="","",INDEX('Detalle individual'!$A:$A,$K62))</f>
        <v>674</v>
      </c>
      <c r="D62" s="72" t="str">
        <f>IF($K62="","",TRIM(INDEX('Detalle individual'!$B:$B,$K62)))</f>
        <v>ALFREDO ARMANDO RAMOS ESCOBAR</v>
      </c>
      <c r="E62" s="72" t="str">
        <f>IF($K62="","",TRIM(INDEX('Detalle individual'!$E:$E,$K62)))</f>
        <v>CAJERO</v>
      </c>
      <c r="F62" s="72" t="str">
        <f>IF($K62="","",TRIM(INDEX('Detalle individual'!$C:$C,$K62)))</f>
        <v>AGENCIA COLONIA MEDICA</v>
      </c>
      <c r="G62" s="72" t="str">
        <f>IF($K62="","",INDEX('Detalle individual'!$D:$D,$K62))</f>
        <v>Gerencia de Negocios</v>
      </c>
      <c r="H62" s="13" t="str">
        <f>IF($K62="","",INDEX('Detalle individual'!$F:$F,$K62))</f>
        <v>Completado</v>
      </c>
      <c r="I62" s="20">
        <f>IF($K62="","",IF(INDEX('Detalle individual'!$F:$F,$K62)="Completado",INDEX('Detalle individual'!$H:$H,$K62),""))</f>
        <v>46310.535219907404</v>
      </c>
      <c r="J62" s="21">
        <f>IF($K62="","",IF(INDEX('Detalle individual'!$F:$F,$K62)="Completado",INDEX('Detalle individual'!$J:$J,$K62),""))</f>
        <v>100</v>
      </c>
      <c r="K62">
        <f>IFERROR(MOD(SMALL(Cálculos!$Z$5:$Z$1000,54),10000),"")</f>
        <v>263</v>
      </c>
    </row>
    <row r="63">
      <c r="B63" s="13">
        <f>IF($K63="","",55)</f>
        <v>55</v>
      </c>
      <c r="C63" s="13" t="str">
        <f>IF($K63="","",INDEX('Detalle individual'!$A:$A,$K63))</f>
        <v>722</v>
      </c>
      <c r="D63" s="72" t="str">
        <f>IF($K63="","",TRIM(INDEX('Detalle individual'!$B:$B,$K63)))</f>
        <v>INGRID PAOLA CORADO HERNANDEZ</v>
      </c>
      <c r="E63" s="72" t="str">
        <f>IF($K63="","",TRIM(INDEX('Detalle individual'!$E:$E,$K63)))</f>
        <v>CAJERO</v>
      </c>
      <c r="F63" s="72" t="str">
        <f>IF($K63="","",TRIM(INDEX('Detalle individual'!$C:$C,$K63)))</f>
        <v>AGENCIA COLONIA MEDICA</v>
      </c>
      <c r="G63" s="72" t="str">
        <f>IF($K63="","",INDEX('Detalle individual'!$D:$D,$K63))</f>
        <v>Gerencia de Negocios</v>
      </c>
      <c r="H63" s="13" t="str">
        <f>IF($K63="","",INDEX('Detalle individual'!$F:$F,$K63))</f>
        <v>Completado</v>
      </c>
      <c r="I63" s="20">
        <f>IF($K63="","",IF(INDEX('Detalle individual'!$F:$F,$K63)="Completado",INDEX('Detalle individual'!$H:$H,$K63),""))</f>
        <v>46308.57957175926</v>
      </c>
      <c r="J63" s="21">
        <f>IF($K63="","",IF(INDEX('Detalle individual'!$F:$F,$K63)="Completado",INDEX('Detalle individual'!$J:$J,$K63),""))</f>
        <v>90</v>
      </c>
      <c r="K63">
        <f>IFERROR(MOD(SMALL(Cálculos!$Z$5:$Z$1000,55),10000),"")</f>
        <v>264</v>
      </c>
    </row>
    <row r="64">
      <c r="B64" s="13">
        <f>IF($K64="","",56)</f>
        <v>56</v>
      </c>
      <c r="C64" s="13" t="str">
        <f>IF($K64="","",INDEX('Detalle individual'!$A:$A,$K64))</f>
        <v>728</v>
      </c>
      <c r="D64" s="72" t="str">
        <f>IF($K64="","",TRIM(INDEX('Detalle individual'!$B:$B,$K64)))</f>
        <v>DIANA MARISOL BATRES BARAHONA</v>
      </c>
      <c r="E64" s="72" t="str">
        <f>IF($K64="","",TRIM(INDEX('Detalle individual'!$E:$E,$K64)))</f>
        <v>SUBJEFE DE AGENCIA</v>
      </c>
      <c r="F64" s="72" t="str">
        <f>IF($K64="","",TRIM(INDEX('Detalle individual'!$C:$C,$K64)))</f>
        <v>AGENCIA COLONIA MEDICA</v>
      </c>
      <c r="G64" s="72" t="str">
        <f>IF($K64="","",INDEX('Detalle individual'!$D:$D,$K64))</f>
        <v>Gerencia de Negocios</v>
      </c>
      <c r="H64" s="13" t="str">
        <f>IF($K64="","",INDEX('Detalle individual'!$F:$F,$K64))</f>
        <v>Completado</v>
      </c>
      <c r="I64" s="20">
        <f>IF($K64="","",IF(INDEX('Detalle individual'!$F:$F,$K64)="Completado",INDEX('Detalle individual'!$H:$H,$K64),""))</f>
        <v>46300.68400462963</v>
      </c>
      <c r="J64" s="21">
        <f>IF($K64="","",IF(INDEX('Detalle individual'!$F:$F,$K64)="Completado",INDEX('Detalle individual'!$J:$J,$K64),""))</f>
        <v>100</v>
      </c>
      <c r="K64">
        <f>IFERROR(MOD(SMALL(Cálculos!$Z$5:$Z$1000,56),10000),"")</f>
        <v>265</v>
      </c>
    </row>
    <row r="65">
      <c r="B65" s="13">
        <f>IF($K65="","",57)</f>
        <v>57</v>
      </c>
      <c r="C65" s="13" t="str">
        <f>IF($K65="","",INDEX('Detalle individual'!$A:$A,$K65))</f>
        <v>735</v>
      </c>
      <c r="D65" s="72" t="str">
        <f>IF($K65="","",TRIM(INDEX('Detalle individual'!$B:$B,$K65)))</f>
        <v>YHANA MILET VALLE HERNANDEZ</v>
      </c>
      <c r="E65" s="72" t="str">
        <f>IF($K65="","",TRIM(INDEX('Detalle individual'!$E:$E,$K65)))</f>
        <v>CAJERO</v>
      </c>
      <c r="F65" s="72" t="str">
        <f>IF($K65="","",TRIM(INDEX('Detalle individual'!$C:$C,$K65)))</f>
        <v>AGENCIA COLONIA MEDICA</v>
      </c>
      <c r="G65" s="72" t="str">
        <f>IF($K65="","",INDEX('Detalle individual'!$D:$D,$K65))</f>
        <v>Gerencia de Negocios</v>
      </c>
      <c r="H65" s="13" t="str">
        <f>IF($K65="","",INDEX('Detalle individual'!$F:$F,$K65))</f>
        <v>Completado</v>
      </c>
      <c r="I65" s="20">
        <f>IF($K65="","",IF(INDEX('Detalle individual'!$F:$F,$K65)="Completado",INDEX('Detalle individual'!$H:$H,$K65),""))</f>
        <v>46310.531226851854</v>
      </c>
      <c r="J65" s="21">
        <f>IF($K65="","",IF(INDEX('Detalle individual'!$F:$F,$K65)="Completado",INDEX('Detalle individual'!$J:$J,$K65),""))</f>
        <v>100</v>
      </c>
      <c r="K65">
        <f>IFERROR(MOD(SMALL(Cálculos!$Z$5:$Z$1000,57),10000),"")</f>
        <v>266</v>
      </c>
    </row>
    <row r="66">
      <c r="B66" s="13">
        <f>IF($K66="","",58)</f>
        <v>58</v>
      </c>
      <c r="C66" s="13" t="str">
        <f>IF($K66="","",INDEX('Detalle individual'!$A:$A,$K66))</f>
        <v>801</v>
      </c>
      <c r="D66" s="72" t="str">
        <f>IF($K66="","",TRIM(INDEX('Detalle individual'!$B:$B,$K66)))</f>
        <v>ZULMA BEATRIZ RIVAS RIVERA</v>
      </c>
      <c r="E66" s="72" t="str">
        <f>IF($K66="","",TRIM(INDEX('Detalle individual'!$E:$E,$K66)))</f>
        <v>CAJERO</v>
      </c>
      <c r="F66" s="72" t="str">
        <f>IF($K66="","",TRIM(INDEX('Detalle individual'!$C:$C,$K66)))</f>
        <v>AGENCIA COLONIA MEDICA</v>
      </c>
      <c r="G66" s="72" t="str">
        <f>IF($K66="","",INDEX('Detalle individual'!$D:$D,$K66))</f>
        <v>Gerencia de Negocios</v>
      </c>
      <c r="H66" s="13" t="str">
        <f>IF($K66="","",INDEX('Detalle individual'!$F:$F,$K66))</f>
        <v>Completado</v>
      </c>
      <c r="I66" s="20">
        <f>IF($K66="","",IF(INDEX('Detalle individual'!$F:$F,$K66)="Completado",INDEX('Detalle individual'!$H:$H,$K66),""))</f>
        <v>46300.688368055555</v>
      </c>
      <c r="J66" s="21">
        <f>IF($K66="","",IF(INDEX('Detalle individual'!$F:$F,$K66)="Completado",INDEX('Detalle individual'!$J:$J,$K66),""))</f>
        <v>100</v>
      </c>
      <c r="K66">
        <f>IFERROR(MOD(SMALL(Cálculos!$Z$5:$Z$1000,58),10000),"")</f>
        <v>267</v>
      </c>
    </row>
    <row r="67">
      <c r="B67" s="13">
        <f>IF($K67="","",59)</f>
        <v>59</v>
      </c>
      <c r="C67" s="13" t="str">
        <f>IF($K67="","",INDEX('Detalle individual'!$A:$A,$K67))</f>
        <v>855</v>
      </c>
      <c r="D67" s="72" t="str">
        <f>IF($K67="","",TRIM(INDEX('Detalle individual'!$B:$B,$K67)))</f>
        <v>STEFFANY MARIELOS MIRO HERNANDEZ</v>
      </c>
      <c r="E67" s="72" t="str">
        <f>IF($K67="","",TRIM(INDEX('Detalle individual'!$E:$E,$K67)))</f>
        <v>CAJERO</v>
      </c>
      <c r="F67" s="72" t="str">
        <f>IF($K67="","",TRIM(INDEX('Detalle individual'!$C:$C,$K67)))</f>
        <v>AGENCIA COLONIA MEDICA</v>
      </c>
      <c r="G67" s="72" t="str">
        <f>IF($K67="","",INDEX('Detalle individual'!$D:$D,$K67))</f>
        <v>Gerencia de Negocios</v>
      </c>
      <c r="H67" s="13" t="str">
        <f>IF($K67="","",INDEX('Detalle individual'!$F:$F,$K67))</f>
        <v>Completado</v>
      </c>
      <c r="I67" s="20">
        <f>IF($K67="","",IF(INDEX('Detalle individual'!$F:$F,$K67)="Completado",INDEX('Detalle individual'!$H:$H,$K67),""))</f>
        <v>46310.52695601852</v>
      </c>
      <c r="J67" s="21">
        <f>IF($K67="","",IF(INDEX('Detalle individual'!$F:$F,$K67)="Completado",INDEX('Detalle individual'!$J:$J,$K67),""))</f>
        <v>100</v>
      </c>
      <c r="K67">
        <f>IFERROR(MOD(SMALL(Cálculos!$Z$5:$Z$1000,59),10000),"")</f>
        <v>268</v>
      </c>
    </row>
    <row r="68">
      <c r="B68" s="13">
        <f>IF($K68="","",60)</f>
        <v>60</v>
      </c>
      <c r="C68" s="13" t="str">
        <f>IF($K68="","",INDEX('Detalle individual'!$A:$A,$K68))</f>
        <v>873</v>
      </c>
      <c r="D68" s="72" t="str">
        <f>IF($K68="","",TRIM(INDEX('Detalle individual'!$B:$B,$K68)))</f>
        <v>FLOR DE MARIA ROSALES SORTO</v>
      </c>
      <c r="E68" s="72" t="str">
        <f>IF($K68="","",TRIM(INDEX('Detalle individual'!$E:$E,$K68)))</f>
        <v>CAJERO</v>
      </c>
      <c r="F68" s="72" t="str">
        <f>IF($K68="","",TRIM(INDEX('Detalle individual'!$C:$C,$K68)))</f>
        <v>AGENCIA COLONIA MEDICA</v>
      </c>
      <c r="G68" s="72" t="str">
        <f>IF($K68="","",INDEX('Detalle individual'!$D:$D,$K68))</f>
        <v>Gerencia de Negocios</v>
      </c>
      <c r="H68" s="13" t="str">
        <f>IF($K68="","",INDEX('Detalle individual'!$F:$F,$K68))</f>
        <v>Completado</v>
      </c>
      <c r="I68" s="20">
        <f>IF($K68="","",IF(INDEX('Detalle individual'!$F:$F,$K68)="Completado",INDEX('Detalle individual'!$H:$H,$K68),""))</f>
        <v>46310.52071759259</v>
      </c>
      <c r="J68" s="21">
        <f>IF($K68="","",IF(INDEX('Detalle individual'!$F:$F,$K68)="Completado",INDEX('Detalle individual'!$J:$J,$K68),""))</f>
        <v>100</v>
      </c>
      <c r="K68">
        <f>IFERROR(MOD(SMALL(Cálculos!$Z$5:$Z$1000,60),10000),"")</f>
        <v>269</v>
      </c>
    </row>
    <row r="69">
      <c r="B69" s="13">
        <f>IF($K69="","",61)</f>
        <v>61</v>
      </c>
      <c r="C69" s="13" t="str">
        <f>IF($K69="","",INDEX('Detalle individual'!$A:$A,$K69))</f>
        <v>891</v>
      </c>
      <c r="D69" s="72" t="str">
        <f>IF($K69="","",TRIM(INDEX('Detalle individual'!$B:$B,$K69)))</f>
        <v>YESENIA LISSETH BARAHONA VALLE</v>
      </c>
      <c r="E69" s="72" t="str">
        <f>IF($K69="","",TRIM(INDEX('Detalle individual'!$E:$E,$K69)))</f>
        <v>AUXILIAR DE ATENCION AL ASOCIADO EN AGENCIA</v>
      </c>
      <c r="F69" s="72" t="str">
        <f>IF($K69="","",TRIM(INDEX('Detalle individual'!$C:$C,$K69)))</f>
        <v>AGENCIA COLONIA MEDICA</v>
      </c>
      <c r="G69" s="72" t="str">
        <f>IF($K69="","",INDEX('Detalle individual'!$D:$D,$K69))</f>
        <v>Gerencia de Negocios</v>
      </c>
      <c r="H69" s="13" t="str">
        <f>IF($K69="","",INDEX('Detalle individual'!$F:$F,$K69))</f>
        <v>Completado</v>
      </c>
      <c r="I69" s="20">
        <f>IF($K69="","",IF(INDEX('Detalle individual'!$F:$F,$K69)="Completado",INDEX('Detalle individual'!$H:$H,$K69),""))</f>
        <v>46310.54554398148</v>
      </c>
      <c r="J69" s="21">
        <f>IF($K69="","",IF(INDEX('Detalle individual'!$F:$F,$K69)="Completado",INDEX('Detalle individual'!$J:$J,$K69),""))</f>
        <v>100</v>
      </c>
      <c r="K69">
        <f>IFERROR(MOD(SMALL(Cálculos!$Z$5:$Z$1000,61),10000),"")</f>
        <v>270</v>
      </c>
    </row>
    <row r="70">
      <c r="B70" s="13">
        <f>IF($K70="","",62)</f>
        <v>62</v>
      </c>
      <c r="C70" s="13" t="str">
        <f>IF($K70="","",INDEX('Detalle individual'!$A:$A,$K70))</f>
        <v>913</v>
      </c>
      <c r="D70" s="72" t="str">
        <f>IF($K70="","",TRIM(INDEX('Detalle individual'!$B:$B,$K70)))</f>
        <v>FLOR DEL CARMEN GONZALEZ HERNANDEZ</v>
      </c>
      <c r="E70" s="72" t="str">
        <f>IF($K70="","",TRIM(INDEX('Detalle individual'!$E:$E,$K70)))</f>
        <v>SERVICIOS VARIOS</v>
      </c>
      <c r="F70" s="72" t="str">
        <f>IF($K70="","",TRIM(INDEX('Detalle individual'!$C:$C,$K70)))</f>
        <v>AGENCIA COLONIA MEDICA</v>
      </c>
      <c r="G70" s="72" t="str">
        <f>IF($K70="","",INDEX('Detalle individual'!$D:$D,$K70))</f>
        <v>Gerencia de Negocios</v>
      </c>
      <c r="H70" s="13" t="str">
        <f>IF($K70="","",INDEX('Detalle individual'!$F:$F,$K70))</f>
        <v>Completado</v>
      </c>
      <c r="I70" s="20">
        <f>IF($K70="","",IF(INDEX('Detalle individual'!$F:$F,$K70)="Completado",INDEX('Detalle individual'!$H:$H,$K70),""))</f>
        <v>46310.53796296296</v>
      </c>
      <c r="J70" s="21">
        <f>IF($K70="","",IF(INDEX('Detalle individual'!$F:$F,$K70)="Completado",INDEX('Detalle individual'!$J:$J,$K70),""))</f>
        <v>100</v>
      </c>
      <c r="K70">
        <f>IFERROR(MOD(SMALL(Cálculos!$Z$5:$Z$1000,62),10000),"")</f>
        <v>271</v>
      </c>
    </row>
    <row r="71">
      <c r="B71" s="13">
        <f>IF($K71="","",63)</f>
        <v>63</v>
      </c>
      <c r="C71" s="13" t="str">
        <f>IF($K71="","",INDEX('Detalle individual'!$A:$A,$K71))</f>
        <v>933</v>
      </c>
      <c r="D71" s="72" t="str">
        <f>IF($K71="","",TRIM(INDEX('Detalle individual'!$B:$B,$K71)))</f>
        <v>JACQUELINE GUADALUPE CEA ALVARADO</v>
      </c>
      <c r="E71" s="72" t="str">
        <f>IF($K71="","",TRIM(INDEX('Detalle individual'!$E:$E,$K71)))</f>
        <v>EJECUTIVO DE NEGOCIOS</v>
      </c>
      <c r="F71" s="72" t="str">
        <f>IF($K71="","",TRIM(INDEX('Detalle individual'!$C:$C,$K71)))</f>
        <v>AGENCIA COLONIA MEDICA</v>
      </c>
      <c r="G71" s="72" t="str">
        <f>IF($K71="","",INDEX('Detalle individual'!$D:$D,$K71))</f>
        <v>Gerencia de Negocios</v>
      </c>
      <c r="H71" s="13" t="str">
        <f>IF($K71="","",INDEX('Detalle individual'!$F:$F,$K71))</f>
        <v>Completado</v>
      </c>
      <c r="I71" s="20">
        <f>IF($K71="","",IF(INDEX('Detalle individual'!$F:$F,$K71)="Completado",INDEX('Detalle individual'!$H:$H,$K71),""))</f>
        <v>46311.71008101852</v>
      </c>
      <c r="J71" s="21">
        <f>IF($K71="","",IF(INDEX('Detalle individual'!$F:$F,$K71)="Completado",INDEX('Detalle individual'!$J:$J,$K71),""))</f>
        <v>90</v>
      </c>
      <c r="K71">
        <f>IFERROR(MOD(SMALL(Cálculos!$Z$5:$Z$1000,63),10000),"")</f>
        <v>272</v>
      </c>
    </row>
    <row r="72">
      <c r="B72" s="13">
        <f>IF($K72="","",64)</f>
        <v>64</v>
      </c>
      <c r="C72" s="13" t="str">
        <f>IF($K72="","",INDEX('Detalle individual'!$A:$A,$K72))</f>
        <v>159</v>
      </c>
      <c r="D72" s="72" t="str">
        <f>IF($K72="","",TRIM(INDEX('Detalle individual'!$B:$B,$K72)))</f>
        <v>PATRICIA GUADALUPE GUARDADO OSEGUEDA</v>
      </c>
      <c r="E72" s="72" t="str">
        <f>IF($K72="","",TRIM(INDEX('Detalle individual'!$E:$E,$K72)))</f>
        <v>EJECUTIVO DE NEGOCIOS</v>
      </c>
      <c r="F72" s="72" t="str">
        <f>IF($K72="","",TRIM(INDEX('Detalle individual'!$C:$C,$K72)))</f>
        <v>AGENCIA MERLIOT</v>
      </c>
      <c r="G72" s="72" t="str">
        <f>IF($K72="","",INDEX('Detalle individual'!$D:$D,$K72))</f>
        <v>Gerencia de Negocios</v>
      </c>
      <c r="H72" s="13" t="str">
        <f>IF($K72="","",INDEX('Detalle individual'!$F:$F,$K72))</f>
        <v>Completado</v>
      </c>
      <c r="I72" s="20">
        <f>IF($K72="","",IF(INDEX('Detalle individual'!$F:$F,$K72)="Completado",INDEX('Detalle individual'!$H:$H,$K72),""))</f>
        <v>46303.39640046296</v>
      </c>
      <c r="J72" s="21">
        <f>IF($K72="","",IF(INDEX('Detalle individual'!$F:$F,$K72)="Completado",INDEX('Detalle individual'!$J:$J,$K72),""))</f>
        <v>100</v>
      </c>
      <c r="K72">
        <f>IFERROR(MOD(SMALL(Cálculos!$Z$5:$Z$1000,64),10000),"")</f>
        <v>244</v>
      </c>
    </row>
    <row r="73">
      <c r="B73" s="13">
        <f>IF($K73="","",65)</f>
        <v>65</v>
      </c>
      <c r="C73" s="13" t="str">
        <f>IF($K73="","",INDEX('Detalle individual'!$A:$A,$K73))</f>
        <v>251</v>
      </c>
      <c r="D73" s="72" t="str">
        <f>IF($K73="","",TRIM(INDEX('Detalle individual'!$B:$B,$K73)))</f>
        <v>NURIA LISSETH AGUILAR AGUILAR</v>
      </c>
      <c r="E73" s="72" t="str">
        <f>IF($K73="","",TRIM(INDEX('Detalle individual'!$E:$E,$K73)))</f>
        <v>EJECUTIVO DE NEGOCIOS</v>
      </c>
      <c r="F73" s="72" t="str">
        <f>IF($K73="","",TRIM(INDEX('Detalle individual'!$C:$C,$K73)))</f>
        <v>AGENCIA MERLIOT</v>
      </c>
      <c r="G73" s="72" t="str">
        <f>IF($K73="","",INDEX('Detalle individual'!$D:$D,$K73))</f>
        <v>Gerencia de Negocios</v>
      </c>
      <c r="H73" s="13" t="str">
        <f>IF($K73="","",INDEX('Detalle individual'!$F:$F,$K73))</f>
        <v>Completado</v>
      </c>
      <c r="I73" s="20">
        <f>IF($K73="","",IF(INDEX('Detalle individual'!$F:$F,$K73)="Completado",INDEX('Detalle individual'!$H:$H,$K73),""))</f>
        <v>46303.46199074074</v>
      </c>
      <c r="J73" s="21">
        <f>IF($K73="","",IF(INDEX('Detalle individual'!$F:$F,$K73)="Completado",INDEX('Detalle individual'!$J:$J,$K73),""))</f>
        <v>100</v>
      </c>
      <c r="K73">
        <f>IFERROR(MOD(SMALL(Cálculos!$Z$5:$Z$1000,65),10000),"")</f>
        <v>245</v>
      </c>
    </row>
    <row r="74">
      <c r="B74" s="13">
        <f>IF($K74="","",66)</f>
        <v>66</v>
      </c>
      <c r="C74" s="13" t="str">
        <f>IF($K74="","",INDEX('Detalle individual'!$A:$A,$K74))</f>
        <v>343</v>
      </c>
      <c r="D74" s="72" t="str">
        <f>IF($K74="","",TRIM(INDEX('Detalle individual'!$B:$B,$K74)))</f>
        <v>FATIMA BERENICE MEDINA ESCALANTE</v>
      </c>
      <c r="E74" s="72" t="str">
        <f>IF($K74="","",TRIM(INDEX('Detalle individual'!$E:$E,$K74)))</f>
        <v>JEFE DE AGENCIA</v>
      </c>
      <c r="F74" s="72" t="str">
        <f>IF($K74="","",TRIM(INDEX('Detalle individual'!$C:$C,$K74)))</f>
        <v>AGENCIA MERLIOT</v>
      </c>
      <c r="G74" s="72" t="str">
        <f>IF($K74="","",INDEX('Detalle individual'!$D:$D,$K74))</f>
        <v>Gerencia de Negocios</v>
      </c>
      <c r="H74" s="13" t="str">
        <f>IF($K74="","",INDEX('Detalle individual'!$F:$F,$K74))</f>
        <v>Completado</v>
      </c>
      <c r="I74" s="20">
        <f>IF($K74="","",IF(INDEX('Detalle individual'!$F:$F,$K74)="Completado",INDEX('Detalle individual'!$H:$H,$K74),""))</f>
        <v>46302.70259259259</v>
      </c>
      <c r="J74" s="21">
        <f>IF($K74="","",IF(INDEX('Detalle individual'!$F:$F,$K74)="Completado",INDEX('Detalle individual'!$J:$J,$K74),""))</f>
        <v>100</v>
      </c>
      <c r="K74">
        <f>IFERROR(MOD(SMALL(Cálculos!$Z$5:$Z$1000,66),10000),"")</f>
        <v>246</v>
      </c>
    </row>
    <row r="75">
      <c r="B75" s="13">
        <f>IF($K75="","",67)</f>
        <v>67</v>
      </c>
      <c r="C75" s="13" t="str">
        <f>IF($K75="","",INDEX('Detalle individual'!$A:$A,$K75))</f>
        <v>657</v>
      </c>
      <c r="D75" s="72" t="str">
        <f>IF($K75="","",TRIM(INDEX('Detalle individual'!$B:$B,$K75)))</f>
        <v>CLELIA DESIREE CAMPOS COSS</v>
      </c>
      <c r="E75" s="72" t="str">
        <f>IF($K75="","",TRIM(INDEX('Detalle individual'!$E:$E,$K75)))</f>
        <v>SERVICIOS VARIOS</v>
      </c>
      <c r="F75" s="72" t="str">
        <f>IF($K75="","",TRIM(INDEX('Detalle individual'!$C:$C,$K75)))</f>
        <v>AGENCIA MERLIOT</v>
      </c>
      <c r="G75" s="72" t="str">
        <f>IF($K75="","",INDEX('Detalle individual'!$D:$D,$K75))</f>
        <v>Gerencia de Negocios</v>
      </c>
      <c r="H75" s="13" t="str">
        <f>IF($K75="","",INDEX('Detalle individual'!$F:$F,$K75))</f>
        <v>Completado</v>
      </c>
      <c r="I75" s="20">
        <f>IF($K75="","",IF(INDEX('Detalle individual'!$F:$F,$K75)="Completado",INDEX('Detalle individual'!$H:$H,$K75),""))</f>
        <v>46310.52479166666</v>
      </c>
      <c r="J75" s="21">
        <f>IF($K75="","",IF(INDEX('Detalle individual'!$F:$F,$K75)="Completado",INDEX('Detalle individual'!$J:$J,$K75),""))</f>
        <v>100</v>
      </c>
      <c r="K75">
        <f>IFERROR(MOD(SMALL(Cálculos!$Z$5:$Z$1000,67),10000),"")</f>
        <v>247</v>
      </c>
    </row>
    <row r="76">
      <c r="B76" s="13">
        <f>IF($K76="","",68)</f>
        <v>68</v>
      </c>
      <c r="C76" s="13" t="str">
        <f>IF($K76="","",INDEX('Detalle individual'!$A:$A,$K76))</f>
        <v>671</v>
      </c>
      <c r="D76" s="72" t="str">
        <f>IF($K76="","",TRIM(INDEX('Detalle individual'!$B:$B,$K76)))</f>
        <v>MILTON ALEXANDER CUELLAR GARCIA</v>
      </c>
      <c r="E76" s="72" t="str">
        <f>IF($K76="","",TRIM(INDEX('Detalle individual'!$E:$E,$K76)))</f>
        <v>CAJERO</v>
      </c>
      <c r="F76" s="72" t="str">
        <f>IF($K76="","",TRIM(INDEX('Detalle individual'!$C:$C,$K76)))</f>
        <v>AGENCIA MERLIOT</v>
      </c>
      <c r="G76" s="72" t="str">
        <f>IF($K76="","",INDEX('Detalle individual'!$D:$D,$K76))</f>
        <v>Gerencia de Negocios</v>
      </c>
      <c r="H76" s="13" t="str">
        <f>IF($K76="","",INDEX('Detalle individual'!$F:$F,$K76))</f>
        <v>Completado</v>
      </c>
      <c r="I76" s="20">
        <f>IF($K76="","",IF(INDEX('Detalle individual'!$F:$F,$K76)="Completado",INDEX('Detalle individual'!$H:$H,$K76),""))</f>
        <v>46296.55247685185</v>
      </c>
      <c r="J76" s="21">
        <f>IF($K76="","",IF(INDEX('Detalle individual'!$F:$F,$K76)="Completado",INDEX('Detalle individual'!$J:$J,$K76),""))</f>
        <v>70</v>
      </c>
      <c r="K76">
        <f>IFERROR(MOD(SMALL(Cálculos!$Z$5:$Z$1000,68),10000),"")</f>
        <v>248</v>
      </c>
    </row>
    <row r="77">
      <c r="B77" s="13">
        <f>IF($K77="","",69)</f>
        <v>69</v>
      </c>
      <c r="C77" s="13" t="str">
        <f>IF($K77="","",INDEX('Detalle individual'!$A:$A,$K77))</f>
        <v>700</v>
      </c>
      <c r="D77" s="72" t="str">
        <f>IF($K77="","",TRIM(INDEX('Detalle individual'!$B:$B,$K77)))</f>
        <v>JENNIFFER MIREYA AYALA ZEPEDA</v>
      </c>
      <c r="E77" s="72" t="str">
        <f>IF($K77="","",TRIM(INDEX('Detalle individual'!$E:$E,$K77)))</f>
        <v>SUBJEFE DE AGENCIA</v>
      </c>
      <c r="F77" s="72" t="str">
        <f>IF($K77="","",TRIM(INDEX('Detalle individual'!$C:$C,$K77)))</f>
        <v>AGENCIA MERLIOT</v>
      </c>
      <c r="G77" s="72" t="str">
        <f>IF($K77="","",INDEX('Detalle individual'!$D:$D,$K77))</f>
        <v>Gerencia de Negocios</v>
      </c>
      <c r="H77" s="13" t="str">
        <f>IF($K77="","",INDEX('Detalle individual'!$F:$F,$K77))</f>
        <v>Completado</v>
      </c>
      <c r="I77" s="20">
        <f>IF($K77="","",IF(INDEX('Detalle individual'!$F:$F,$K77)="Completado",INDEX('Detalle individual'!$H:$H,$K77),""))</f>
        <v>46302.561886574076</v>
      </c>
      <c r="J77" s="21">
        <f>IF($K77="","",IF(INDEX('Detalle individual'!$F:$F,$K77)="Completado",INDEX('Detalle individual'!$J:$J,$K77),""))</f>
        <v>100</v>
      </c>
      <c r="K77">
        <f>IFERROR(MOD(SMALL(Cálculos!$Z$5:$Z$1000,69),10000),"")</f>
        <v>249</v>
      </c>
    </row>
    <row r="78">
      <c r="B78" s="13">
        <f>IF($K78="","",70)</f>
        <v>70</v>
      </c>
      <c r="C78" s="13" t="str">
        <f>IF($K78="","",INDEX('Detalle individual'!$A:$A,$K78))</f>
        <v>827</v>
      </c>
      <c r="D78" s="72" t="str">
        <f>IF($K78="","",TRIM(INDEX('Detalle individual'!$B:$B,$K78)))</f>
        <v>KELLY IDALIA CHAVEZ ABREGO</v>
      </c>
      <c r="E78" s="72" t="str">
        <f>IF($K78="","",TRIM(INDEX('Detalle individual'!$E:$E,$K78)))</f>
        <v>CAJERO</v>
      </c>
      <c r="F78" s="72" t="str">
        <f>IF($K78="","",TRIM(INDEX('Detalle individual'!$C:$C,$K78)))</f>
        <v>AGENCIA MERLIOT</v>
      </c>
      <c r="G78" s="72" t="str">
        <f>IF($K78="","",INDEX('Detalle individual'!$D:$D,$K78))</f>
        <v>Gerencia de Negocios</v>
      </c>
      <c r="H78" s="13" t="str">
        <f>IF($K78="","",INDEX('Detalle individual'!$F:$F,$K78))</f>
        <v>Completado</v>
      </c>
      <c r="I78" s="20">
        <f>IF($K78="","",IF(INDEX('Detalle individual'!$F:$F,$K78)="Completado",INDEX('Detalle individual'!$H:$H,$K78),""))</f>
        <v>46302.58609953704</v>
      </c>
      <c r="J78" s="21">
        <f>IF($K78="","",IF(INDEX('Detalle individual'!$F:$F,$K78)="Completado",INDEX('Detalle individual'!$J:$J,$K78),""))</f>
        <v>100</v>
      </c>
      <c r="K78">
        <f>IFERROR(MOD(SMALL(Cálculos!$Z$5:$Z$1000,70),10000),"")</f>
        <v>250</v>
      </c>
    </row>
    <row r="79">
      <c r="B79" s="13">
        <f>IF($K79="","",71)</f>
        <v>71</v>
      </c>
      <c r="C79" s="13" t="str">
        <f>IF($K79="","",INDEX('Detalle individual'!$A:$A,$K79))</f>
        <v>892</v>
      </c>
      <c r="D79" s="72" t="str">
        <f>IF($K79="","",TRIM(INDEX('Detalle individual'!$B:$B,$K79)))</f>
        <v>DIANA VANESSA RODRIGUEZ SORIANO</v>
      </c>
      <c r="E79" s="72" t="str">
        <f>IF($K79="","",TRIM(INDEX('Detalle individual'!$E:$E,$K79)))</f>
        <v>EJECUTIVA DE SEGUROS</v>
      </c>
      <c r="F79" s="72" t="str">
        <f>IF($K79="","",TRIM(INDEX('Detalle individual'!$C:$C,$K79)))</f>
        <v>AGENCIA MERLIOT</v>
      </c>
      <c r="G79" s="72" t="str">
        <f>IF($K79="","",INDEX('Detalle individual'!$D:$D,$K79))</f>
        <v>Gerencia de Negocios</v>
      </c>
      <c r="H79" s="13" t="str">
        <f>IF($K79="","",INDEX('Detalle individual'!$F:$F,$K79))</f>
        <v>Completado</v>
      </c>
      <c r="I79" s="20">
        <f>IF($K79="","",IF(INDEX('Detalle individual'!$F:$F,$K79)="Completado",INDEX('Detalle individual'!$H:$H,$K79),""))</f>
        <v>46303.39013888889</v>
      </c>
      <c r="J79" s="21">
        <f>IF($K79="","",IF(INDEX('Detalle individual'!$F:$F,$K79)="Completado",INDEX('Detalle individual'!$J:$J,$K79),""))</f>
        <v>100</v>
      </c>
      <c r="K79">
        <f>IFERROR(MOD(SMALL(Cálculos!$Z$5:$Z$1000,71),10000),"")</f>
        <v>251</v>
      </c>
    </row>
    <row r="80">
      <c r="B80" s="13">
        <f>IF($K80="","",72)</f>
        <v>72</v>
      </c>
      <c r="C80" s="13" t="str">
        <f>IF($K80="","",INDEX('Detalle individual'!$A:$A,$K80))</f>
        <v>909</v>
      </c>
      <c r="D80" s="72" t="str">
        <f>IF($K80="","",TRIM(INDEX('Detalle individual'!$B:$B,$K80)))</f>
        <v>GLADYS LISETH HERNANDEZ CRUZ</v>
      </c>
      <c r="E80" s="72" t="str">
        <f>IF($K80="","",TRIM(INDEX('Detalle individual'!$E:$E,$K80)))</f>
        <v>CAJERO</v>
      </c>
      <c r="F80" s="72" t="str">
        <f>IF($K80="","",TRIM(INDEX('Detalle individual'!$C:$C,$K80)))</f>
        <v>AGENCIA MERLIOT</v>
      </c>
      <c r="G80" s="72" t="str">
        <f>IF($K80="","",INDEX('Detalle individual'!$D:$D,$K80))</f>
        <v>Gerencia de Negocios</v>
      </c>
      <c r="H80" s="13" t="str">
        <f>IF($K80="","",INDEX('Detalle individual'!$F:$F,$K80))</f>
        <v>Completado</v>
      </c>
      <c r="I80" s="20">
        <f>IF($K80="","",IF(INDEX('Detalle individual'!$F:$F,$K80)="Completado",INDEX('Detalle individual'!$H:$H,$K80),""))</f>
        <v>46302.70457175926</v>
      </c>
      <c r="J80" s="21">
        <f>IF($K80="","",IF(INDEX('Detalle individual'!$F:$F,$K80)="Completado",INDEX('Detalle individual'!$J:$J,$K80),""))</f>
        <v>100</v>
      </c>
      <c r="K80">
        <f>IFERROR(MOD(SMALL(Cálculos!$Z$5:$Z$1000,72),10000),"")</f>
        <v>252</v>
      </c>
    </row>
    <row r="81">
      <c r="B81" s="13">
        <f>IF($K81="","",73)</f>
        <v>73</v>
      </c>
      <c r="C81" s="13" t="str">
        <f>IF($K81="","",INDEX('Detalle individual'!$A:$A,$K81))</f>
        <v>922</v>
      </c>
      <c r="D81" s="72" t="str">
        <f>IF($K81="","",TRIM(INDEX('Detalle individual'!$B:$B,$K81)))</f>
        <v>MADELINE ADRIANA GOMEZ GARCIA</v>
      </c>
      <c r="E81" s="72" t="str">
        <f>IF($K81="","",TRIM(INDEX('Detalle individual'!$E:$E,$K81)))</f>
        <v>CAJERO</v>
      </c>
      <c r="F81" s="72" t="str">
        <f>IF($K81="","",TRIM(INDEX('Detalle individual'!$C:$C,$K81)))</f>
        <v>AGENCIA MERLIOT</v>
      </c>
      <c r="G81" s="72" t="str">
        <f>IF($K81="","",INDEX('Detalle individual'!$D:$D,$K81))</f>
        <v>Gerencia de Negocios</v>
      </c>
      <c r="H81" s="13" t="str">
        <f>IF($K81="","",INDEX('Detalle individual'!$F:$F,$K81))</f>
        <v>Completado</v>
      </c>
      <c r="I81" s="20">
        <f>IF($K81="","",IF(INDEX('Detalle individual'!$F:$F,$K81)="Completado",INDEX('Detalle individual'!$H:$H,$K81),""))</f>
        <v>46302.57753472222</v>
      </c>
      <c r="J81" s="21">
        <f>IF($K81="","",IF(INDEX('Detalle individual'!$F:$F,$K81)="Completado",INDEX('Detalle individual'!$J:$J,$K81),""))</f>
        <v>100</v>
      </c>
      <c r="K81">
        <f>IFERROR(MOD(SMALL(Cálculos!$Z$5:$Z$1000,73),10000),"")</f>
        <v>253</v>
      </c>
    </row>
    <row r="82">
      <c r="B82" s="13">
        <f>IF($K82="","",74)</f>
        <v>74</v>
      </c>
      <c r="C82" s="13" t="str">
        <f>IF($K82="","",INDEX('Detalle individual'!$A:$A,$K82))</f>
        <v>936</v>
      </c>
      <c r="D82" s="72" t="str">
        <f>IF($K82="","",TRIM(INDEX('Detalle individual'!$B:$B,$K82)))</f>
        <v>MARISELA GUADALUPE MEJIA CRUZ</v>
      </c>
      <c r="E82" s="72" t="str">
        <f>IF($K82="","",TRIM(INDEX('Detalle individual'!$E:$E,$K82)))</f>
        <v>CAJERO</v>
      </c>
      <c r="F82" s="72" t="str">
        <f>IF($K82="","",TRIM(INDEX('Detalle individual'!$C:$C,$K82)))</f>
        <v>AGENCIA MERLIOT</v>
      </c>
      <c r="G82" s="72" t="str">
        <f>IF($K82="","",INDEX('Detalle individual'!$D:$D,$K82))</f>
        <v>Gerencia de Negocios</v>
      </c>
      <c r="H82" s="13" t="str">
        <f>IF($K82="","",INDEX('Detalle individual'!$F:$F,$K82))</f>
        <v>Completado</v>
      </c>
      <c r="I82" s="20">
        <f>IF($K82="","",IF(INDEX('Detalle individual'!$F:$F,$K82)="Completado",INDEX('Detalle individual'!$H:$H,$K82),""))</f>
        <v>46302.637037037035</v>
      </c>
      <c r="J82" s="21">
        <f>IF($K82="","",IF(INDEX('Detalle individual'!$F:$F,$K82)="Completado",INDEX('Detalle individual'!$J:$J,$K82),""))</f>
        <v>100</v>
      </c>
      <c r="K82">
        <f>IFERROR(MOD(SMALL(Cálculos!$Z$5:$Z$1000,74),10000),"")</f>
        <v>254</v>
      </c>
    </row>
    <row r="83">
      <c r="B83" s="13">
        <f>IF($K83="","",75)</f>
        <v>75</v>
      </c>
      <c r="C83" s="13" t="str">
        <f>IF($K83="","",INDEX('Detalle individual'!$A:$A,$K83))</f>
        <v>944</v>
      </c>
      <c r="D83" s="72" t="str">
        <f>IF($K83="","",TRIM(INDEX('Detalle individual'!$B:$B,$K83)))</f>
        <v>JOSSELYN IVONNE GARCIA HERNANDEZ</v>
      </c>
      <c r="E83" s="72" t="str">
        <f>IF($K83="","",TRIM(INDEX('Detalle individual'!$E:$E,$K83)))</f>
        <v>AUXILIAR DE ATENCION A ASOCIADOS</v>
      </c>
      <c r="F83" s="72" t="str">
        <f>IF($K83="","",TRIM(INDEX('Detalle individual'!$C:$C,$K83)))</f>
        <v>AGENCIA MERLIOT</v>
      </c>
      <c r="G83" s="72" t="str">
        <f>IF($K83="","",INDEX('Detalle individual'!$D:$D,$K83))</f>
        <v>Gerencia de Negocios</v>
      </c>
      <c r="H83" s="13" t="str">
        <f>IF($K83="","",INDEX('Detalle individual'!$F:$F,$K83))</f>
        <v>Completado</v>
      </c>
      <c r="I83" s="20">
        <f>IF($K83="","",IF(INDEX('Detalle individual'!$F:$F,$K83)="Completado",INDEX('Detalle individual'!$H:$H,$K83),""))</f>
        <v>46296.67511574074</v>
      </c>
      <c r="J83" s="21">
        <f>IF($K83="","",IF(INDEX('Detalle individual'!$F:$F,$K83)="Completado",INDEX('Detalle individual'!$J:$J,$K83),""))</f>
        <v>75</v>
      </c>
      <c r="K83">
        <f>IFERROR(MOD(SMALL(Cálculos!$Z$5:$Z$1000,75),10000),"")</f>
        <v>255</v>
      </c>
    </row>
    <row r="84">
      <c r="B84" s="13">
        <f>IF($K84="","",76)</f>
        <v>76</v>
      </c>
      <c r="C84" s="13" t="str">
        <f>IF($K84="","",INDEX('Detalle individual'!$A:$A,$K84))</f>
        <v>967</v>
      </c>
      <c r="D84" s="72" t="str">
        <f>IF($K84="","",TRIM(INDEX('Detalle individual'!$B:$B,$K84)))</f>
        <v>MAVERICK JOSSIMAR GONZALEZ MUÑOZ</v>
      </c>
      <c r="E84" s="72" t="str">
        <f>IF($K84="","",TRIM(INDEX('Detalle individual'!$E:$E,$K84)))</f>
        <v>CAJERO</v>
      </c>
      <c r="F84" s="72" t="str">
        <f>IF($K84="","",TRIM(INDEX('Detalle individual'!$C:$C,$K84)))</f>
        <v>AGENCIA MERLIOT</v>
      </c>
      <c r="G84" s="72" t="str">
        <f>IF($K84="","",INDEX('Detalle individual'!$D:$D,$K84))</f>
        <v>Gerencia de Negocios</v>
      </c>
      <c r="H84" s="13" t="str">
        <f>IF($K84="","",INDEX('Detalle individual'!$F:$F,$K84))</f>
        <v>Completado</v>
      </c>
      <c r="I84" s="20">
        <f>IF($K84="","",IF(INDEX('Detalle individual'!$F:$F,$K84)="Completado",INDEX('Detalle individual'!$H:$H,$K84),""))</f>
        <v>46302.58998842593</v>
      </c>
      <c r="J84" s="21">
        <f>IF($K84="","",IF(INDEX('Detalle individual'!$F:$F,$K84)="Completado",INDEX('Detalle individual'!$J:$J,$K84),""))</f>
        <v>100</v>
      </c>
      <c r="K84">
        <f>IFERROR(MOD(SMALL(Cálculos!$Z$5:$Z$1000,76),10000),"")</f>
        <v>256</v>
      </c>
    </row>
    <row r="85">
      <c r="B85" s="13">
        <f>IF($K85="","",77)</f>
        <v>77</v>
      </c>
      <c r="C85" s="13" t="str">
        <f>IF($K85="","",INDEX('Detalle individual'!$A:$A,$K85))</f>
        <v>59</v>
      </c>
      <c r="D85" s="72" t="str">
        <f>IF($K85="","",TRIM(INDEX('Detalle individual'!$B:$B,$K85)))</f>
        <v>ZOILA AYDEE LARIOS</v>
      </c>
      <c r="E85" s="72" t="str">
        <f>IF($K85="","",TRIM(INDEX('Detalle individual'!$E:$E,$K85)))</f>
        <v>SERVICIOS VARIOS</v>
      </c>
      <c r="F85" s="72" t="str">
        <f>IF($K85="","",TRIM(INDEX('Detalle individual'!$C:$C,$K85)))</f>
        <v>AGENCIA PLAZA MUNDO</v>
      </c>
      <c r="G85" s="72" t="str">
        <f>IF($K85="","",INDEX('Detalle individual'!$D:$D,$K85))</f>
        <v>Gerencia de Negocios</v>
      </c>
      <c r="H85" s="13" t="str">
        <f>IF($K85="","",INDEX('Detalle individual'!$F:$F,$K85))</f>
        <v>Completado</v>
      </c>
      <c r="I85" s="20">
        <f>IF($K85="","",IF(INDEX('Detalle individual'!$F:$F,$K85)="Completado",INDEX('Detalle individual'!$H:$H,$K85),""))</f>
        <v>46310.64591435185</v>
      </c>
      <c r="J85" s="21">
        <f>IF($K85="","",IF(INDEX('Detalle individual'!$F:$F,$K85)="Completado",INDEX('Detalle individual'!$J:$J,$K85),""))</f>
        <v>100</v>
      </c>
      <c r="K85">
        <f>IFERROR(MOD(SMALL(Cálculos!$Z$5:$Z$1000,77),10000),"")</f>
        <v>273</v>
      </c>
    </row>
    <row r="86">
      <c r="B86" s="13">
        <f>IF($K86="","",78)</f>
        <v>78</v>
      </c>
      <c r="C86" s="13" t="str">
        <f>IF($K86="","",INDEX('Detalle individual'!$A:$A,$K86))</f>
        <v>331</v>
      </c>
      <c r="D86" s="72" t="str">
        <f>IF($K86="","",TRIM(INDEX('Detalle individual'!$B:$B,$K86)))</f>
        <v>NORMA ARACELY GUILLEN</v>
      </c>
      <c r="E86" s="72" t="str">
        <f>IF($K86="","",TRIM(INDEX('Detalle individual'!$E:$E,$K86)))</f>
        <v>SUBJEFE DE AGENCIA</v>
      </c>
      <c r="F86" s="72" t="str">
        <f>IF($K86="","",TRIM(INDEX('Detalle individual'!$C:$C,$K86)))</f>
        <v>AGENCIA PLAZA MUNDO</v>
      </c>
      <c r="G86" s="72" t="str">
        <f>IF($K86="","",INDEX('Detalle individual'!$D:$D,$K86))</f>
        <v>Gerencia de Negocios</v>
      </c>
      <c r="H86" s="13" t="str">
        <f>IF($K86="","",INDEX('Detalle individual'!$F:$F,$K86))</f>
        <v>Completado</v>
      </c>
      <c r="I86" s="20">
        <f>IF($K86="","",IF(INDEX('Detalle individual'!$F:$F,$K86)="Completado",INDEX('Detalle individual'!$H:$H,$K86),""))</f>
        <v>46307.440046296295</v>
      </c>
      <c r="J86" s="21">
        <f>IF($K86="","",IF(INDEX('Detalle individual'!$F:$F,$K86)="Completado",INDEX('Detalle individual'!$J:$J,$K86),""))</f>
        <v>100</v>
      </c>
      <c r="K86">
        <f>IFERROR(MOD(SMALL(Cálculos!$Z$5:$Z$1000,78),10000),"")</f>
        <v>274</v>
      </c>
    </row>
    <row r="87">
      <c r="B87" s="13">
        <f>IF($K87="","",79)</f>
        <v>79</v>
      </c>
      <c r="C87" s="13" t="str">
        <f>IF($K87="","",INDEX('Detalle individual'!$A:$A,$K87))</f>
        <v>535</v>
      </c>
      <c r="D87" s="72" t="str">
        <f>IF($K87="","",TRIM(INDEX('Detalle individual'!$B:$B,$K87)))</f>
        <v>ROSARIO DEL CARMEN PEREZ LOPEZ</v>
      </c>
      <c r="E87" s="72" t="str">
        <f>IF($K87="","",TRIM(INDEX('Detalle individual'!$E:$E,$K87)))</f>
        <v>JEFE DE AGENCIA</v>
      </c>
      <c r="F87" s="72" t="str">
        <f>IF($K87="","",TRIM(INDEX('Detalle individual'!$C:$C,$K87)))</f>
        <v>AGENCIA PLAZA MUNDO</v>
      </c>
      <c r="G87" s="72" t="str">
        <f>IF($K87="","",INDEX('Detalle individual'!$D:$D,$K87))</f>
        <v>Gerencia de Negocios</v>
      </c>
      <c r="H87" s="13" t="str">
        <f>IF($K87="","",INDEX('Detalle individual'!$F:$F,$K87))</f>
        <v>Completado</v>
      </c>
      <c r="I87" s="20">
        <f>IF($K87="","",IF(INDEX('Detalle individual'!$F:$F,$K87)="Completado",INDEX('Detalle individual'!$H:$H,$K87),""))</f>
        <v>46307.40383101852</v>
      </c>
      <c r="J87" s="21">
        <f>IF($K87="","",IF(INDEX('Detalle individual'!$F:$F,$K87)="Completado",INDEX('Detalle individual'!$J:$J,$K87),""))</f>
        <v>100</v>
      </c>
      <c r="K87">
        <f>IFERROR(MOD(SMALL(Cálculos!$Z$5:$Z$1000,79),10000),"")</f>
        <v>275</v>
      </c>
    </row>
    <row r="88">
      <c r="B88" s="13">
        <f>IF($K88="","",80)</f>
        <v>80</v>
      </c>
      <c r="C88" s="13" t="str">
        <f>IF($K88="","",INDEX('Detalle individual'!$A:$A,$K88))</f>
        <v>616</v>
      </c>
      <c r="D88" s="72" t="str">
        <f>IF($K88="","",TRIM(INDEX('Detalle individual'!$B:$B,$K88)))</f>
        <v>GABRIELA JEANNETTE BOLAÑOS HERRERA</v>
      </c>
      <c r="E88" s="72" t="str">
        <f>IF($K88="","",TRIM(INDEX('Detalle individual'!$E:$E,$K88)))</f>
        <v>EJECUTIVA DE SEGUROS</v>
      </c>
      <c r="F88" s="72" t="str">
        <f>IF($K88="","",TRIM(INDEX('Detalle individual'!$C:$C,$K88)))</f>
        <v>AGENCIA PLAZA MUNDO</v>
      </c>
      <c r="G88" s="72" t="str">
        <f>IF($K88="","",INDEX('Detalle individual'!$D:$D,$K88))</f>
        <v>Gerencia de Negocios</v>
      </c>
      <c r="H88" s="13" t="str">
        <f>IF($K88="","",INDEX('Detalle individual'!$F:$F,$K88))</f>
        <v>Completado</v>
      </c>
      <c r="I88" s="20">
        <f>IF($K88="","",IF(INDEX('Detalle individual'!$F:$F,$K88)="Completado",INDEX('Detalle individual'!$H:$H,$K88),""))</f>
        <v>46308.41873842593</v>
      </c>
      <c r="J88" s="21">
        <f>IF($K88="","",IF(INDEX('Detalle individual'!$F:$F,$K88)="Completado",INDEX('Detalle individual'!$J:$J,$K88),""))</f>
        <v>100</v>
      </c>
      <c r="K88">
        <f>IFERROR(MOD(SMALL(Cálculos!$Z$5:$Z$1000,80),10000),"")</f>
        <v>276</v>
      </c>
    </row>
    <row r="89">
      <c r="B89" s="13">
        <f>IF($K89="","",81)</f>
        <v>81</v>
      </c>
      <c r="C89" s="13" t="str">
        <f>IF($K89="","",INDEX('Detalle individual'!$A:$A,$K89))</f>
        <v>675</v>
      </c>
      <c r="D89" s="72" t="str">
        <f>IF($K89="","",TRIM(INDEX('Detalle individual'!$B:$B,$K89)))</f>
        <v>NANCY CAROLINA FUENTES SORTO</v>
      </c>
      <c r="E89" s="72" t="str">
        <f>IF($K89="","",TRIM(INDEX('Detalle individual'!$E:$E,$K89)))</f>
        <v>CAJERO</v>
      </c>
      <c r="F89" s="72" t="str">
        <f>IF($K89="","",TRIM(INDEX('Detalle individual'!$C:$C,$K89)))</f>
        <v>AGENCIA PLAZA MUNDO</v>
      </c>
      <c r="G89" s="72" t="str">
        <f>IF($K89="","",INDEX('Detalle individual'!$D:$D,$K89))</f>
        <v>Gerencia de Negocios</v>
      </c>
      <c r="H89" s="13" t="str">
        <f>IF($K89="","",INDEX('Detalle individual'!$F:$F,$K89))</f>
        <v>Completado</v>
      </c>
      <c r="I89" s="20">
        <f>IF($K89="","",IF(INDEX('Detalle individual'!$F:$F,$K89)="Completado",INDEX('Detalle individual'!$H:$H,$K89),""))</f>
        <v>46309.394328703704</v>
      </c>
      <c r="J89" s="21">
        <f>IF($K89="","",IF(INDEX('Detalle individual'!$F:$F,$K89)="Completado",INDEX('Detalle individual'!$J:$J,$K89),""))</f>
        <v>90</v>
      </c>
      <c r="K89">
        <f>IFERROR(MOD(SMALL(Cálculos!$Z$5:$Z$1000,81),10000),"")</f>
        <v>277</v>
      </c>
    </row>
    <row r="90">
      <c r="B90" s="13">
        <f>IF($K90="","",82)</f>
        <v>82</v>
      </c>
      <c r="C90" s="13" t="str">
        <f>IF($K90="","",INDEX('Detalle individual'!$A:$A,$K90))</f>
        <v>748</v>
      </c>
      <c r="D90" s="72" t="str">
        <f>IF($K90="","",TRIM(INDEX('Detalle individual'!$B:$B,$K90)))</f>
        <v>WALTER ALBERTO BARAHONA DIAZ</v>
      </c>
      <c r="E90" s="72" t="str">
        <f>IF($K90="","",TRIM(INDEX('Detalle individual'!$E:$E,$K90)))</f>
        <v>CAJERO</v>
      </c>
      <c r="F90" s="72" t="str">
        <f>IF($K90="","",TRIM(INDEX('Detalle individual'!$C:$C,$K90)))</f>
        <v>AGENCIA PLAZA MUNDO</v>
      </c>
      <c r="G90" s="72" t="str">
        <f>IF($K90="","",INDEX('Detalle individual'!$D:$D,$K90))</f>
        <v>Gerencia de Negocios</v>
      </c>
      <c r="H90" s="13" t="str">
        <f>IF($K90="","",INDEX('Detalle individual'!$F:$F,$K90))</f>
        <v>Completado</v>
      </c>
      <c r="I90" s="20">
        <f>IF($K90="","",IF(INDEX('Detalle individual'!$F:$F,$K90)="Completado",INDEX('Detalle individual'!$H:$H,$K90),""))</f>
        <v>46309.40075231482</v>
      </c>
      <c r="J90" s="21">
        <f>IF($K90="","",IF(INDEX('Detalle individual'!$F:$F,$K90)="Completado",INDEX('Detalle individual'!$J:$J,$K90),""))</f>
        <v>100</v>
      </c>
      <c r="K90">
        <f>IFERROR(MOD(SMALL(Cálculos!$Z$5:$Z$1000,82),10000),"")</f>
        <v>278</v>
      </c>
    </row>
    <row r="91">
      <c r="B91" s="13">
        <f>IF($K91="","",83)</f>
        <v>83</v>
      </c>
      <c r="C91" s="13" t="str">
        <f>IF($K91="","",INDEX('Detalle individual'!$A:$A,$K91))</f>
        <v>876</v>
      </c>
      <c r="D91" s="72" t="str">
        <f>IF($K91="","",TRIM(INDEX('Detalle individual'!$B:$B,$K91)))</f>
        <v>PAOLA JEANNETTE ROMERO HERNANDEZ</v>
      </c>
      <c r="E91" s="72" t="str">
        <f>IF($K91="","",TRIM(INDEX('Detalle individual'!$E:$E,$K91)))</f>
        <v>CAJERO</v>
      </c>
      <c r="F91" s="72" t="str">
        <f>IF($K91="","",TRIM(INDEX('Detalle individual'!$C:$C,$K91)))</f>
        <v>AGENCIA PLAZA MUNDO</v>
      </c>
      <c r="G91" s="72" t="str">
        <f>IF($K91="","",INDEX('Detalle individual'!$D:$D,$K91))</f>
        <v>Gerencia de Negocios</v>
      </c>
      <c r="H91" s="13" t="str">
        <f>IF($K91="","",INDEX('Detalle individual'!$F:$F,$K91))</f>
        <v>Completado</v>
      </c>
      <c r="I91" s="20">
        <f>IF($K91="","",IF(INDEX('Detalle individual'!$F:$F,$K91)="Completado",INDEX('Detalle individual'!$H:$H,$K91),""))</f>
        <v>46309.408229166664</v>
      </c>
      <c r="J91" s="21">
        <f>IF($K91="","",IF(INDEX('Detalle individual'!$F:$F,$K91)="Completado",INDEX('Detalle individual'!$J:$J,$K91),""))</f>
        <v>100</v>
      </c>
      <c r="K91">
        <f>IFERROR(MOD(SMALL(Cálculos!$Z$5:$Z$1000,83),10000),"")</f>
        <v>279</v>
      </c>
    </row>
    <row r="92">
      <c r="B92" s="13">
        <f>IF($K92="","",84)</f>
        <v>84</v>
      </c>
      <c r="C92" s="13" t="str">
        <f>IF($K92="","",INDEX('Detalle individual'!$A:$A,$K92))</f>
        <v>955</v>
      </c>
      <c r="D92" s="72" t="str">
        <f>IF($K92="","",TRIM(INDEX('Detalle individual'!$B:$B,$K92)))</f>
        <v>ERIKA IVETH MANCIA HERNANDEZ</v>
      </c>
      <c r="E92" s="72" t="str">
        <f>IF($K92="","",TRIM(INDEX('Detalle individual'!$E:$E,$K92)))</f>
        <v>CAJERO</v>
      </c>
      <c r="F92" s="72" t="str">
        <f>IF($K92="","",TRIM(INDEX('Detalle individual'!$C:$C,$K92)))</f>
        <v>AGENCIA PLAZA MUNDO</v>
      </c>
      <c r="G92" s="72" t="str">
        <f>IF($K92="","",INDEX('Detalle individual'!$D:$D,$K92))</f>
        <v>Gerencia de Negocios</v>
      </c>
      <c r="H92" s="13" t="str">
        <f>IF($K92="","",INDEX('Detalle individual'!$F:$F,$K92))</f>
        <v>Completado</v>
      </c>
      <c r="I92" s="20">
        <f>IF($K92="","",IF(INDEX('Detalle individual'!$F:$F,$K92)="Completado",INDEX('Detalle individual'!$H:$H,$K92),""))</f>
        <v>46309.404699074075</v>
      </c>
      <c r="J92" s="21">
        <f>IF($K92="","",IF(INDEX('Detalle individual'!$F:$F,$K92)="Completado",INDEX('Detalle individual'!$J:$J,$K92),""))</f>
        <v>100</v>
      </c>
      <c r="K92">
        <f>IFERROR(MOD(SMALL(Cálculos!$Z$5:$Z$1000,84),10000),"")</f>
        <v>280</v>
      </c>
    </row>
    <row r="93">
      <c r="B93" s="13">
        <f>IF($K93="","",85)</f>
        <v>85</v>
      </c>
      <c r="C93" s="13" t="str">
        <f>IF($K93="","",INDEX('Detalle individual'!$A:$A,$K93))</f>
        <v>197</v>
      </c>
      <c r="D93" s="72" t="str">
        <f>IF($K93="","",TRIM(INDEX('Detalle individual'!$B:$B,$K93)))</f>
        <v>THELMA ESPERANZA FIGUEROA SORTO</v>
      </c>
      <c r="E93" s="72" t="str">
        <f>IF($K93="","",TRIM(INDEX('Detalle individual'!$E:$E,$K93)))</f>
        <v>EJECUTIVO DE NEGOCIOS</v>
      </c>
      <c r="F93" s="72" t="str">
        <f>IF($K93="","",TRIM(INDEX('Detalle individual'!$C:$C,$K93)))</f>
        <v>AGENCIA SAN MIGUEL</v>
      </c>
      <c r="G93" s="72" t="str">
        <f>IF($K93="","",INDEX('Detalle individual'!$D:$D,$K93))</f>
        <v>Gerencia de Negocios</v>
      </c>
      <c r="H93" s="13" t="str">
        <f>IF($K93="","",INDEX('Detalle individual'!$F:$F,$K93))</f>
        <v>Completado</v>
      </c>
      <c r="I93" s="20">
        <f>IF($K93="","",IF(INDEX('Detalle individual'!$F:$F,$K93)="Completado",INDEX('Detalle individual'!$H:$H,$K93),""))</f>
        <v>46296.44064814815</v>
      </c>
      <c r="J93" s="21">
        <f>IF($K93="","",IF(INDEX('Detalle individual'!$F:$F,$K93)="Completado",INDEX('Detalle individual'!$J:$J,$K93),""))</f>
        <v>100</v>
      </c>
      <c r="K93">
        <f>IFERROR(MOD(SMALL(Cálculos!$Z$5:$Z$1000,85),10000),"")</f>
        <v>221</v>
      </c>
    </row>
    <row r="94">
      <c r="B94" s="13">
        <f>IF($K94="","",86)</f>
        <v>86</v>
      </c>
      <c r="C94" s="13" t="str">
        <f>IF($K94="","",INDEX('Detalle individual'!$A:$A,$K94))</f>
        <v>200</v>
      </c>
      <c r="D94" s="72" t="str">
        <f>IF($K94="","",TRIM(INDEX('Detalle individual'!$B:$B,$K94)))</f>
        <v>JOSE MANUEL SERRANO ROVIRA</v>
      </c>
      <c r="E94" s="72" t="str">
        <f>IF($K94="","",TRIM(INDEX('Detalle individual'!$E:$E,$K94)))</f>
        <v>JEFE DE AGENCIA</v>
      </c>
      <c r="F94" s="72" t="str">
        <f>IF($K94="","",TRIM(INDEX('Detalle individual'!$C:$C,$K94)))</f>
        <v>AGENCIA SAN MIGUEL</v>
      </c>
      <c r="G94" s="72" t="str">
        <f>IF($K94="","",INDEX('Detalle individual'!$D:$D,$K94))</f>
        <v>Gerencia de Negocios</v>
      </c>
      <c r="H94" s="13" t="str">
        <f>IF($K94="","",INDEX('Detalle individual'!$F:$F,$K94))</f>
        <v>Completado</v>
      </c>
      <c r="I94" s="20">
        <f>IF($K94="","",IF(INDEX('Detalle individual'!$F:$F,$K94)="Completado",INDEX('Detalle individual'!$H:$H,$K94),""))</f>
        <v>46296.49199074074</v>
      </c>
      <c r="J94" s="21">
        <f>IF($K94="","",IF(INDEX('Detalle individual'!$F:$F,$K94)="Completado",INDEX('Detalle individual'!$J:$J,$K94),""))</f>
        <v>90</v>
      </c>
      <c r="K94">
        <f>IFERROR(MOD(SMALL(Cálculos!$Z$5:$Z$1000,86),10000),"")</f>
        <v>222</v>
      </c>
    </row>
    <row r="95">
      <c r="B95" s="13">
        <f>IF($K95="","",87)</f>
        <v>87</v>
      </c>
      <c r="C95" s="13" t="str">
        <f>IF($K95="","",INDEX('Detalle individual'!$A:$A,$K95))</f>
        <v>390</v>
      </c>
      <c r="D95" s="72" t="str">
        <f>IF($K95="","",TRIM(INDEX('Detalle individual'!$B:$B,$K95)))</f>
        <v>MARTHA LORENA GONZALEZ GONZALEZ</v>
      </c>
      <c r="E95" s="72" t="str">
        <f>IF($K95="","",TRIM(INDEX('Detalle individual'!$E:$E,$K95)))</f>
        <v>AUXILIAR DE OPERACIONES Y ATENCION EN AGENCIA</v>
      </c>
      <c r="F95" s="72" t="str">
        <f>IF($K95="","",TRIM(INDEX('Detalle individual'!$C:$C,$K95)))</f>
        <v>AGENCIA SAN MIGUEL</v>
      </c>
      <c r="G95" s="72" t="str">
        <f>IF($K95="","",INDEX('Detalle individual'!$D:$D,$K95))</f>
        <v>Gerencia de Negocios</v>
      </c>
      <c r="H95" s="13" t="str">
        <f>IF($K95="","",INDEX('Detalle individual'!$F:$F,$K95))</f>
        <v>Completado</v>
      </c>
      <c r="I95" s="20">
        <f>IF($K95="","",IF(INDEX('Detalle individual'!$F:$F,$K95)="Completado",INDEX('Detalle individual'!$H:$H,$K95),""))</f>
        <v>46296.44844907407</v>
      </c>
      <c r="J95" s="21">
        <f>IF($K95="","",IF(INDEX('Detalle individual'!$F:$F,$K95)="Completado",INDEX('Detalle individual'!$J:$J,$K95),""))</f>
        <v>100</v>
      </c>
      <c r="K95">
        <f>IFERROR(MOD(SMALL(Cálculos!$Z$5:$Z$1000,87),10000),"")</f>
        <v>223</v>
      </c>
    </row>
    <row r="96">
      <c r="B96" s="13">
        <f>IF($K96="","",88)</f>
        <v>88</v>
      </c>
      <c r="C96" s="13" t="str">
        <f>IF($K96="","",INDEX('Detalle individual'!$A:$A,$K96))</f>
        <v>545</v>
      </c>
      <c r="D96" s="72" t="str">
        <f>IF($K96="","",TRIM(INDEX('Detalle individual'!$B:$B,$K96)))</f>
        <v>LEIBY NATHALY ROMERO VANEGAS</v>
      </c>
      <c r="E96" s="72" t="str">
        <f>IF($K96="","",TRIM(INDEX('Detalle individual'!$E:$E,$K96)))</f>
        <v>SUBJEFE DE AGENCIA</v>
      </c>
      <c r="F96" s="72" t="str">
        <f>IF($K96="","",TRIM(INDEX('Detalle individual'!$C:$C,$K96)))</f>
        <v>AGENCIA SAN MIGUEL</v>
      </c>
      <c r="G96" s="72" t="str">
        <f>IF($K96="","",INDEX('Detalle individual'!$D:$D,$K96))</f>
        <v>Gerencia de Negocios</v>
      </c>
      <c r="H96" s="13" t="str">
        <f>IF($K96="","",INDEX('Detalle individual'!$F:$F,$K96))</f>
        <v>Completado</v>
      </c>
      <c r="I96" s="20">
        <f>IF($K96="","",IF(INDEX('Detalle individual'!$F:$F,$K96)="Completado",INDEX('Detalle individual'!$H:$H,$K96),""))</f>
        <v>46296.45449074074</v>
      </c>
      <c r="J96" s="21">
        <f>IF($K96="","",IF(INDEX('Detalle individual'!$F:$F,$K96)="Completado",INDEX('Detalle individual'!$J:$J,$K96),""))</f>
        <v>100</v>
      </c>
      <c r="K96">
        <f>IFERROR(MOD(SMALL(Cálculos!$Z$5:$Z$1000,88),10000),"")</f>
        <v>224</v>
      </c>
    </row>
    <row r="97">
      <c r="B97" s="13">
        <f>IF($K97="","",89)</f>
        <v>89</v>
      </c>
      <c r="C97" s="13" t="str">
        <f>IF($K97="","",INDEX('Detalle individual'!$A:$A,$K97))</f>
        <v>776</v>
      </c>
      <c r="D97" s="72" t="str">
        <f>IF($K97="","",TRIM(INDEX('Detalle individual'!$B:$B,$K97)))</f>
        <v>DIEGO GERARDO GUANDIQUE TORRES</v>
      </c>
      <c r="E97" s="72" t="str">
        <f>IF($K97="","",TRIM(INDEX('Detalle individual'!$E:$E,$K97)))</f>
        <v>CAJERO</v>
      </c>
      <c r="F97" s="72" t="str">
        <f>IF($K97="","",TRIM(INDEX('Detalle individual'!$C:$C,$K97)))</f>
        <v>AGENCIA SAN MIGUEL</v>
      </c>
      <c r="G97" s="72" t="str">
        <f>IF($K97="","",INDEX('Detalle individual'!$D:$D,$K97))</f>
        <v>Gerencia de Negocios</v>
      </c>
      <c r="H97" s="13" t="str">
        <f>IF($K97="","",INDEX('Detalle individual'!$F:$F,$K97))</f>
        <v>Completado</v>
      </c>
      <c r="I97" s="20">
        <f>IF($K97="","",IF(INDEX('Detalle individual'!$F:$F,$K97)="Completado",INDEX('Detalle individual'!$H:$H,$K97),""))</f>
        <v>46296.44540509259</v>
      </c>
      <c r="J97" s="21">
        <f>IF($K97="","",IF(INDEX('Detalle individual'!$F:$F,$K97)="Completado",INDEX('Detalle individual'!$J:$J,$K97),""))</f>
        <v>100</v>
      </c>
      <c r="K97">
        <f>IFERROR(MOD(SMALL(Cálculos!$Z$5:$Z$1000,89),10000),"")</f>
        <v>225</v>
      </c>
    </row>
    <row r="98">
      <c r="B98" s="13">
        <f>IF($K98="","",90)</f>
        <v>90</v>
      </c>
      <c r="C98" s="13" t="str">
        <f>IF($K98="","",INDEX('Detalle individual'!$A:$A,$K98))</f>
        <v>777</v>
      </c>
      <c r="D98" s="72" t="str">
        <f>IF($K98="","",TRIM(INDEX('Detalle individual'!$B:$B,$K98)))</f>
        <v>MARCELINA YAMILETH LOPEZ VASQUEZ</v>
      </c>
      <c r="E98" s="72" t="str">
        <f>IF($K98="","",TRIM(INDEX('Detalle individual'!$E:$E,$K98)))</f>
        <v>CAJERO</v>
      </c>
      <c r="F98" s="72" t="str">
        <f>IF($K98="","",TRIM(INDEX('Detalle individual'!$C:$C,$K98)))</f>
        <v>AGENCIA SAN MIGUEL</v>
      </c>
      <c r="G98" s="72" t="str">
        <f>IF($K98="","",INDEX('Detalle individual'!$D:$D,$K98))</f>
        <v>Gerencia de Negocios</v>
      </c>
      <c r="H98" s="13" t="str">
        <f>IF($K98="","",INDEX('Detalle individual'!$F:$F,$K98))</f>
        <v>Completado</v>
      </c>
      <c r="I98" s="20">
        <f>IF($K98="","",IF(INDEX('Detalle individual'!$F:$F,$K98)="Completado",INDEX('Detalle individual'!$H:$H,$K98),""))</f>
        <v>46296.45806712963</v>
      </c>
      <c r="J98" s="21">
        <f>IF($K98="","",IF(INDEX('Detalle individual'!$F:$F,$K98)="Completado",INDEX('Detalle individual'!$J:$J,$K98),""))</f>
        <v>100</v>
      </c>
      <c r="K98">
        <f>IFERROR(MOD(SMALL(Cálculos!$Z$5:$Z$1000,90),10000),"")</f>
        <v>226</v>
      </c>
    </row>
    <row r="99">
      <c r="B99" s="13">
        <f>IF($K99="","",91)</f>
        <v>91</v>
      </c>
      <c r="C99" s="13" t="str">
        <f>IF($K99="","",INDEX('Detalle individual'!$A:$A,$K99))</f>
        <v>807</v>
      </c>
      <c r="D99" s="72" t="str">
        <f>IF($K99="","",TRIM(INDEX('Detalle individual'!$B:$B,$K99)))</f>
        <v>MARCELA GUADALUPE CRESPO BENAVIDEZ</v>
      </c>
      <c r="E99" s="72" t="str">
        <f>IF($K99="","",TRIM(INDEX('Detalle individual'!$E:$E,$K99)))</f>
        <v>EJECUTIVA DE SEGUROS</v>
      </c>
      <c r="F99" s="72" t="str">
        <f>IF($K99="","",TRIM(INDEX('Detalle individual'!$C:$C,$K99)))</f>
        <v>AGENCIA SAN MIGUEL</v>
      </c>
      <c r="G99" s="72" t="str">
        <f>IF($K99="","",INDEX('Detalle individual'!$D:$D,$K99))</f>
        <v>Gerencia de Negocios</v>
      </c>
      <c r="H99" s="13" t="str">
        <f>IF($K99="","",INDEX('Detalle individual'!$F:$F,$K99))</f>
        <v>Completado</v>
      </c>
      <c r="I99" s="20">
        <f>IF($K99="","",IF(INDEX('Detalle individual'!$F:$F,$K99)="Completado",INDEX('Detalle individual'!$H:$H,$K99),""))</f>
        <v>46296.45224537037</v>
      </c>
      <c r="J99" s="21">
        <f>IF($K99="","",IF(INDEX('Detalle individual'!$F:$F,$K99)="Completado",INDEX('Detalle individual'!$J:$J,$K99),""))</f>
        <v>100</v>
      </c>
      <c r="K99">
        <f>IFERROR(MOD(SMALL(Cálculos!$Z$5:$Z$1000,91),10000),"")</f>
        <v>227</v>
      </c>
    </row>
    <row r="100">
      <c r="B100" s="13">
        <f>IF($K100="","",92)</f>
        <v>92</v>
      </c>
      <c r="C100" s="13" t="str">
        <f>IF($K100="","",INDEX('Detalle individual'!$A:$A,$K100))</f>
        <v>168</v>
      </c>
      <c r="D100" s="72" t="str">
        <f>IF($K100="","",TRIM(INDEX('Detalle individual'!$B:$B,$K100)))</f>
        <v>ANA MARIA GIRON</v>
      </c>
      <c r="E100" s="72" t="str">
        <f>IF($K100="","",TRIM(INDEX('Detalle individual'!$E:$E,$K100)))</f>
        <v>EJECUTIVO DE NEGOCIOS</v>
      </c>
      <c r="F100" s="72" t="str">
        <f>IF($K100="","",TRIM(INDEX('Detalle individual'!$C:$C,$K100)))</f>
        <v>AGENCIA SANTA ANA</v>
      </c>
      <c r="G100" s="72" t="str">
        <f>IF($K100="","",INDEX('Detalle individual'!$D:$D,$K100))</f>
        <v>Gerencia de Negocios</v>
      </c>
      <c r="H100" s="13" t="str">
        <f>IF($K100="","",INDEX('Detalle individual'!$F:$F,$K100))</f>
        <v>Completado</v>
      </c>
      <c r="I100" s="20">
        <f>IF($K100="","",IF(INDEX('Detalle individual'!$F:$F,$K100)="Completado",INDEX('Detalle individual'!$H:$H,$K100),""))</f>
        <v>46311.49398148148</v>
      </c>
      <c r="J100" s="21">
        <f>IF($K100="","",IF(INDEX('Detalle individual'!$F:$F,$K100)="Completado",INDEX('Detalle individual'!$J:$J,$K100),""))</f>
        <v>100</v>
      </c>
      <c r="K100">
        <f>IFERROR(MOD(SMALL(Cálculos!$Z$5:$Z$1000,92),10000),"")</f>
        <v>229</v>
      </c>
    </row>
    <row r="101">
      <c r="B101" s="13">
        <f>IF($K101="","",93)</f>
        <v>93</v>
      </c>
      <c r="C101" s="13" t="str">
        <f>IF($K101="","",INDEX('Detalle individual'!$A:$A,$K101))</f>
        <v>295</v>
      </c>
      <c r="D101" s="72" t="str">
        <f>IF($K101="","",TRIM(INDEX('Detalle individual'!$B:$B,$K101)))</f>
        <v>GLENDA MARAYA SALAZAR GONZALEZ</v>
      </c>
      <c r="E101" s="72" t="str">
        <f>IF($K101="","",TRIM(INDEX('Detalle individual'!$E:$E,$K101)))</f>
        <v>JEFE DE AGENCIA</v>
      </c>
      <c r="F101" s="72" t="str">
        <f>IF($K101="","",TRIM(INDEX('Detalle individual'!$C:$C,$K101)))</f>
        <v>AGENCIA SANTA ANA</v>
      </c>
      <c r="G101" s="72" t="str">
        <f>IF($K101="","",INDEX('Detalle individual'!$D:$D,$K101))</f>
        <v>Gerencia de Negocios</v>
      </c>
      <c r="H101" s="13" t="str">
        <f>IF($K101="","",INDEX('Detalle individual'!$F:$F,$K101))</f>
        <v>Completado</v>
      </c>
      <c r="I101" s="20">
        <f>IF($K101="","",IF(INDEX('Detalle individual'!$F:$F,$K101)="Completado",INDEX('Detalle individual'!$H:$H,$K101),""))</f>
        <v>46309.339270833334</v>
      </c>
      <c r="J101" s="21">
        <f>IF($K101="","",IF(INDEX('Detalle individual'!$F:$F,$K101)="Completado",INDEX('Detalle individual'!$J:$J,$K101),""))</f>
        <v>100</v>
      </c>
      <c r="K101">
        <f>IFERROR(MOD(SMALL(Cálculos!$Z$5:$Z$1000,93),10000),"")</f>
        <v>230</v>
      </c>
    </row>
    <row r="102">
      <c r="B102" s="13">
        <f>IF($K102="","",94)</f>
        <v>94</v>
      </c>
      <c r="C102" s="13" t="str">
        <f>IF($K102="","",INDEX('Detalle individual'!$A:$A,$K102))</f>
        <v>312</v>
      </c>
      <c r="D102" s="72" t="str">
        <f>IF($K102="","",TRIM(INDEX('Detalle individual'!$B:$B,$K102)))</f>
        <v>JEANNETTE ANGELINNE HERNANDEZ MEJIA</v>
      </c>
      <c r="E102" s="72" t="str">
        <f>IF($K102="","",TRIM(INDEX('Detalle individual'!$E:$E,$K102)))</f>
        <v>SUBJEFE DE AGENCIA</v>
      </c>
      <c r="F102" s="72" t="str">
        <f>IF($K102="","",TRIM(INDEX('Detalle individual'!$C:$C,$K102)))</f>
        <v>AGENCIA SANTA ANA</v>
      </c>
      <c r="G102" s="72" t="str">
        <f>IF($K102="","",INDEX('Detalle individual'!$D:$D,$K102))</f>
        <v>Gerencia de Negocios</v>
      </c>
      <c r="H102" s="13" t="str">
        <f>IF($K102="","",INDEX('Detalle individual'!$F:$F,$K102))</f>
        <v>Completado</v>
      </c>
      <c r="I102" s="20">
        <f>IF($K102="","",IF(INDEX('Detalle individual'!$F:$F,$K102)="Completado",INDEX('Detalle individual'!$H:$H,$K102),""))</f>
        <v>46309.46179398148</v>
      </c>
      <c r="J102" s="21">
        <f>IF($K102="","",IF(INDEX('Detalle individual'!$F:$F,$K102)="Completado",INDEX('Detalle individual'!$J:$J,$K102),""))</f>
        <v>100</v>
      </c>
      <c r="K102">
        <f>IFERROR(MOD(SMALL(Cálculos!$Z$5:$Z$1000,94),10000),"")</f>
        <v>231</v>
      </c>
    </row>
    <row r="103">
      <c r="B103" s="13">
        <f>IF($K103="","",95)</f>
        <v>95</v>
      </c>
      <c r="C103" s="13" t="str">
        <f>IF($K103="","",INDEX('Detalle individual'!$A:$A,$K103))</f>
        <v>747</v>
      </c>
      <c r="D103" s="72" t="str">
        <f>IF($K103="","",TRIM(INDEX('Detalle individual'!$B:$B,$K103)))</f>
        <v>IRVIN ADEMIR PERAZA MOLINA</v>
      </c>
      <c r="E103" s="72" t="str">
        <f>IF($K103="","",TRIM(INDEX('Detalle individual'!$E:$E,$K103)))</f>
        <v>EJECUTIVO DE SEGUROS</v>
      </c>
      <c r="F103" s="72" t="str">
        <f>IF($K103="","",TRIM(INDEX('Detalle individual'!$C:$C,$K103)))</f>
        <v>AGENCIA SANTA ANA</v>
      </c>
      <c r="G103" s="72" t="str">
        <f>IF($K103="","",INDEX('Detalle individual'!$D:$D,$K103))</f>
        <v>Gerencia de Negocios</v>
      </c>
      <c r="H103" s="13" t="str">
        <f>IF($K103="","",INDEX('Detalle individual'!$F:$F,$K103))</f>
        <v>Completado</v>
      </c>
      <c r="I103" s="20">
        <f>IF($K103="","",IF(INDEX('Detalle individual'!$F:$F,$K103)="Completado",INDEX('Detalle individual'!$H:$H,$K103),""))</f>
        <v>46311.456400462965</v>
      </c>
      <c r="J103" s="21">
        <f>IF($K103="","",IF(INDEX('Detalle individual'!$F:$F,$K103)="Completado",INDEX('Detalle individual'!$J:$J,$K103),""))</f>
        <v>100</v>
      </c>
      <c r="K103">
        <f>IFERROR(MOD(SMALL(Cálculos!$Z$5:$Z$1000,95),10000),"")</f>
        <v>232</v>
      </c>
    </row>
    <row r="104">
      <c r="B104" s="13">
        <f>IF($K104="","",96)</f>
        <v>96</v>
      </c>
      <c r="C104" s="13" t="str">
        <f>IF($K104="","",INDEX('Detalle individual'!$A:$A,$K104))</f>
        <v>818</v>
      </c>
      <c r="D104" s="72" t="str">
        <f>IF($K104="","",TRIM(INDEX('Detalle individual'!$B:$B,$K104)))</f>
        <v>ANDREA YAMILETH ESCOBAR CHICA</v>
      </c>
      <c r="E104" s="72" t="str">
        <f>IF($K104="","",TRIM(INDEX('Detalle individual'!$E:$E,$K104)))</f>
        <v>CAJERO</v>
      </c>
      <c r="F104" s="72" t="str">
        <f>IF($K104="","",TRIM(INDEX('Detalle individual'!$C:$C,$K104)))</f>
        <v>AGENCIA SANTA ANA</v>
      </c>
      <c r="G104" s="72" t="str">
        <f>IF($K104="","",INDEX('Detalle individual'!$D:$D,$K104))</f>
        <v>Gerencia de Negocios</v>
      </c>
      <c r="H104" s="13" t="str">
        <f>IF($K104="","",INDEX('Detalle individual'!$F:$F,$K104))</f>
        <v>Completado</v>
      </c>
      <c r="I104" s="20">
        <f>IF($K104="","",IF(INDEX('Detalle individual'!$F:$F,$K104)="Completado",INDEX('Detalle individual'!$H:$H,$K104),""))</f>
        <v>46309.62991898148</v>
      </c>
      <c r="J104" s="21">
        <f>IF($K104="","",IF(INDEX('Detalle individual'!$F:$F,$K104)="Completado",INDEX('Detalle individual'!$J:$J,$K104),""))</f>
        <v>90</v>
      </c>
      <c r="K104">
        <f>IFERROR(MOD(SMALL(Cálculos!$Z$5:$Z$1000,96),10000),"")</f>
        <v>233</v>
      </c>
    </row>
    <row r="105">
      <c r="B105" s="13">
        <f>IF($K105="","",97)</f>
        <v>97</v>
      </c>
      <c r="C105" s="13" t="str">
        <f>IF($K105="","",INDEX('Detalle individual'!$A:$A,$K105))</f>
        <v>840</v>
      </c>
      <c r="D105" s="72" t="str">
        <f>IF($K105="","",TRIM(INDEX('Detalle individual'!$B:$B,$K105)))</f>
        <v>SOFIA AZMINIA MENA ARGUETA</v>
      </c>
      <c r="E105" s="72" t="str">
        <f>IF($K105="","",TRIM(INDEX('Detalle individual'!$E:$E,$K105)))</f>
        <v>CAJERO</v>
      </c>
      <c r="F105" s="72" t="str">
        <f>IF($K105="","",TRIM(INDEX('Detalle individual'!$C:$C,$K105)))</f>
        <v>AGENCIA SANTA ANA</v>
      </c>
      <c r="G105" s="72" t="str">
        <f>IF($K105="","",INDEX('Detalle individual'!$D:$D,$K105))</f>
        <v>Gerencia de Negocios</v>
      </c>
      <c r="H105" s="13" t="str">
        <f>IF($K105="","",INDEX('Detalle individual'!$F:$F,$K105))</f>
        <v>Completado</v>
      </c>
      <c r="I105" s="20">
        <f>IF($K105="","",IF(INDEX('Detalle individual'!$F:$F,$K105)="Completado",INDEX('Detalle individual'!$H:$H,$K105),""))</f>
        <v>46311.4675</v>
      </c>
      <c r="J105" s="21">
        <f>IF($K105="","",IF(INDEX('Detalle individual'!$F:$F,$K105)="Completado",INDEX('Detalle individual'!$J:$J,$K105),""))</f>
        <v>100</v>
      </c>
      <c r="K105">
        <f>IFERROR(MOD(SMALL(Cálculos!$Z$5:$Z$1000,97),10000),"")</f>
        <v>234</v>
      </c>
    </row>
    <row r="106">
      <c r="B106" s="13">
        <f>IF($K106="","",98)</f>
        <v>98</v>
      </c>
      <c r="C106" s="13" t="str">
        <f>IF($K106="","",INDEX('Detalle individual'!$A:$A,$K106))</f>
        <v>910</v>
      </c>
      <c r="D106" s="72" t="str">
        <f>IF($K106="","",TRIM(INDEX('Detalle individual'!$B:$B,$K106)))</f>
        <v>JOSE CRISTOBAL LOPEZ ESQUIVEL</v>
      </c>
      <c r="E106" s="72" t="str">
        <f>IF($K106="","",TRIM(INDEX('Detalle individual'!$E:$E,$K106)))</f>
        <v>MENSAJERO</v>
      </c>
      <c r="F106" s="72" t="str">
        <f>IF($K106="","",TRIM(INDEX('Detalle individual'!$C:$C,$K106)))</f>
        <v>AGENCIA SANTA ANA</v>
      </c>
      <c r="G106" s="72" t="str">
        <f>IF($K106="","",INDEX('Detalle individual'!$D:$D,$K106))</f>
        <v>Gerencia de Negocios</v>
      </c>
      <c r="H106" s="13" t="str">
        <f>IF($K106="","",INDEX('Detalle individual'!$F:$F,$K106))</f>
        <v>Completado</v>
      </c>
      <c r="I106" s="20">
        <f>IF($K106="","",IF(INDEX('Detalle individual'!$F:$F,$K106)="Completado",INDEX('Detalle individual'!$H:$H,$K106),""))</f>
        <v>46311.47555555555</v>
      </c>
      <c r="J106" s="21">
        <f>IF($K106="","",IF(INDEX('Detalle individual'!$F:$F,$K106)="Completado",INDEX('Detalle individual'!$J:$J,$K106),""))</f>
        <v>100</v>
      </c>
      <c r="K106">
        <f>IFERROR(MOD(SMALL(Cálculos!$Z$5:$Z$1000,98),10000),"")</f>
        <v>235</v>
      </c>
    </row>
    <row r="107">
      <c r="B107" s="13">
        <f>IF($K107="","",99)</f>
        <v>99</v>
      </c>
      <c r="C107" s="13" t="str">
        <f>IF($K107="","",INDEX('Detalle individual'!$A:$A,$K107))</f>
        <v>954</v>
      </c>
      <c r="D107" s="72" t="str">
        <f>IF($K107="","",TRIM(INDEX('Detalle individual'!$B:$B,$K107)))</f>
        <v>LUIS GERARDO DUEÑAS VALLE</v>
      </c>
      <c r="E107" s="72" t="str">
        <f>IF($K107="","",TRIM(INDEX('Detalle individual'!$E:$E,$K107)))</f>
        <v>CAJERO</v>
      </c>
      <c r="F107" s="72" t="str">
        <f>IF($K107="","",TRIM(INDEX('Detalle individual'!$C:$C,$K107)))</f>
        <v>AGENCIA SANTA ANA</v>
      </c>
      <c r="G107" s="72" t="str">
        <f>IF($K107="","",INDEX('Detalle individual'!$D:$D,$K107))</f>
        <v>Gerencia de Negocios</v>
      </c>
      <c r="H107" s="13" t="str">
        <f>IF($K107="","",INDEX('Detalle individual'!$F:$F,$K107))</f>
        <v>Completado</v>
      </c>
      <c r="I107" s="20">
        <f>IF($K107="","",IF(INDEX('Detalle individual'!$F:$F,$K107)="Completado",INDEX('Detalle individual'!$H:$H,$K107),""))</f>
        <v>46309.63957175926</v>
      </c>
      <c r="J107" s="21">
        <f>IF($K107="","",IF(INDEX('Detalle individual'!$F:$F,$K107)="Completado",INDEX('Detalle individual'!$J:$J,$K107),""))</f>
        <v>90</v>
      </c>
      <c r="K107">
        <f>IFERROR(MOD(SMALL(Cálculos!$Z$5:$Z$1000,99),10000),"")</f>
        <v>236</v>
      </c>
    </row>
    <row r="108">
      <c r="B108" s="13">
        <f>IF($K108="","",100)</f>
        <v>100</v>
      </c>
      <c r="C108" s="13" t="str">
        <f>IF($K108="","",INDEX('Detalle individual'!$A:$A,$K108))</f>
        <v>287</v>
      </c>
      <c r="D108" s="72" t="str">
        <f>IF($K108="","",TRIM(INDEX('Detalle individual'!$B:$B,$K108)))</f>
        <v>MARIA ANGELICA ESCOBAR RENDEROS</v>
      </c>
      <c r="E108" s="72" t="str">
        <f>IF($K108="","",TRIM(INDEX('Detalle individual'!$E:$E,$K108)))</f>
        <v>JEFE DE AGENCIA</v>
      </c>
      <c r="F108" s="72" t="str">
        <f>IF($K108="","",TRIM(INDEX('Detalle individual'!$C:$C,$K108)))</f>
        <v>AGENCIA SONSONATE</v>
      </c>
      <c r="G108" s="72" t="str">
        <f>IF($K108="","",INDEX('Detalle individual'!$D:$D,$K108))</f>
        <v>Gerencia de Negocios</v>
      </c>
      <c r="H108" s="13" t="str">
        <f>IF($K108="","",INDEX('Detalle individual'!$F:$F,$K108))</f>
        <v>Completado</v>
      </c>
      <c r="I108" s="20">
        <f>IF($K108="","",IF(INDEX('Detalle individual'!$F:$F,$K108)="Completado",INDEX('Detalle individual'!$H:$H,$K108),""))</f>
        <v>46310.63381944445</v>
      </c>
      <c r="J108" s="21">
        <f>IF($K108="","",IF(INDEX('Detalle individual'!$F:$F,$K108)="Completado",INDEX('Detalle individual'!$J:$J,$K108),""))</f>
        <v>100</v>
      </c>
      <c r="K108">
        <f>IFERROR(MOD(SMALL(Cálculos!$Z$5:$Z$1000,100),10000),"")</f>
        <v>237</v>
      </c>
    </row>
    <row r="109">
      <c r="B109" s="13">
        <f>IF($K109="","",101)</f>
        <v>101</v>
      </c>
      <c r="C109" s="13" t="str">
        <f>IF($K109="","",INDEX('Detalle individual'!$A:$A,$K109))</f>
        <v>448</v>
      </c>
      <c r="D109" s="72" t="str">
        <f>IF($K109="","",TRIM(INDEX('Detalle individual'!$B:$B,$K109)))</f>
        <v>JOSE ALEXANDER TORRES PEREZ</v>
      </c>
      <c r="E109" s="72" t="str">
        <f>IF($K109="","",TRIM(INDEX('Detalle individual'!$E:$E,$K109)))</f>
        <v>MENSAJERO</v>
      </c>
      <c r="F109" s="72" t="str">
        <f>IF($K109="","",TRIM(INDEX('Detalle individual'!$C:$C,$K109)))</f>
        <v>AGENCIA SONSONATE</v>
      </c>
      <c r="G109" s="72" t="str">
        <f>IF($K109="","",INDEX('Detalle individual'!$D:$D,$K109))</f>
        <v>Gerencia de Negocios</v>
      </c>
      <c r="H109" s="13" t="str">
        <f>IF($K109="","",INDEX('Detalle individual'!$F:$F,$K109))</f>
        <v>Completado</v>
      </c>
      <c r="I109" s="20">
        <f>IF($K109="","",IF(INDEX('Detalle individual'!$F:$F,$K109)="Completado",INDEX('Detalle individual'!$H:$H,$K109),""))</f>
        <v>46311.41554398148</v>
      </c>
      <c r="J109" s="21">
        <f>IF($K109="","",IF(INDEX('Detalle individual'!$F:$F,$K109)="Completado",INDEX('Detalle individual'!$J:$J,$K109),""))</f>
        <v>100</v>
      </c>
      <c r="K109">
        <f>IFERROR(MOD(SMALL(Cálculos!$Z$5:$Z$1000,101),10000),"")</f>
        <v>238</v>
      </c>
    </row>
    <row r="110">
      <c r="B110" s="13">
        <f>IF($K110="","",102)</f>
        <v>102</v>
      </c>
      <c r="C110" s="13" t="str">
        <f>IF($K110="","",INDEX('Detalle individual'!$A:$A,$K110))</f>
        <v>526</v>
      </c>
      <c r="D110" s="72" t="str">
        <f>IF($K110="","",TRIM(INDEX('Detalle individual'!$B:$B,$K110)))</f>
        <v>XIOMARA BEATRIZ MARTINEZ SERMEÑO</v>
      </c>
      <c r="E110" s="72" t="str">
        <f>IF($K110="","",TRIM(INDEX('Detalle individual'!$E:$E,$K110)))</f>
        <v>SUBJEFE DE AGENCIA</v>
      </c>
      <c r="F110" s="72" t="str">
        <f>IF($K110="","",TRIM(INDEX('Detalle individual'!$C:$C,$K110)))</f>
        <v>AGENCIA SONSONATE</v>
      </c>
      <c r="G110" s="72" t="str">
        <f>IF($K110="","",INDEX('Detalle individual'!$D:$D,$K110))</f>
        <v>Gerencia de Negocios</v>
      </c>
      <c r="H110" s="13" t="str">
        <f>IF($K110="","",INDEX('Detalle individual'!$F:$F,$K110))</f>
        <v>Completado</v>
      </c>
      <c r="I110" s="20">
        <f>IF($K110="","",IF(INDEX('Detalle individual'!$F:$F,$K110)="Completado",INDEX('Detalle individual'!$H:$H,$K110),""))</f>
        <v>46310.63746527778</v>
      </c>
      <c r="J110" s="21">
        <f>IF($K110="","",IF(INDEX('Detalle individual'!$F:$F,$K110)="Completado",INDEX('Detalle individual'!$J:$J,$K110),""))</f>
        <v>100</v>
      </c>
      <c r="K110">
        <f>IFERROR(MOD(SMALL(Cálculos!$Z$5:$Z$1000,102),10000),"")</f>
        <v>239</v>
      </c>
    </row>
    <row r="111">
      <c r="B111" s="13">
        <f>IF($K111="","",103)</f>
        <v>103</v>
      </c>
      <c r="C111" s="13" t="str">
        <f>IF($K111="","",INDEX('Detalle individual'!$A:$A,$K111))</f>
        <v>559</v>
      </c>
      <c r="D111" s="72" t="str">
        <f>IF($K111="","",TRIM(INDEX('Detalle individual'!$B:$B,$K111)))</f>
        <v>JOSUE ALEXANDER PEREZ HENRIQUEZ</v>
      </c>
      <c r="E111" s="72" t="str">
        <f>IF($K111="","",TRIM(INDEX('Detalle individual'!$E:$E,$K111)))</f>
        <v>EJECUTIVO DE NEGOCIOS</v>
      </c>
      <c r="F111" s="72" t="str">
        <f>IF($K111="","",TRIM(INDEX('Detalle individual'!$C:$C,$K111)))</f>
        <v>AGENCIA SONSONATE</v>
      </c>
      <c r="G111" s="72" t="str">
        <f>IF($K111="","",INDEX('Detalle individual'!$D:$D,$K111))</f>
        <v>Gerencia de Negocios</v>
      </c>
      <c r="H111" s="13" t="str">
        <f>IF($K111="","",INDEX('Detalle individual'!$F:$F,$K111))</f>
        <v>Completado</v>
      </c>
      <c r="I111" s="20">
        <f>IF($K111="","",IF(INDEX('Detalle individual'!$F:$F,$K111)="Completado",INDEX('Detalle individual'!$H:$H,$K111),""))</f>
        <v>46310.63688657407</v>
      </c>
      <c r="J111" s="21">
        <f>IF($K111="","",IF(INDEX('Detalle individual'!$F:$F,$K111)="Completado",INDEX('Detalle individual'!$J:$J,$K111),""))</f>
        <v>100</v>
      </c>
      <c r="K111">
        <f>IFERROR(MOD(SMALL(Cálculos!$Z$5:$Z$1000,103),10000),"")</f>
        <v>240</v>
      </c>
    </row>
    <row r="112">
      <c r="B112" s="13">
        <f>IF($K112="","",104)</f>
        <v>104</v>
      </c>
      <c r="C112" s="13" t="str">
        <f>IF($K112="","",INDEX('Detalle individual'!$A:$A,$K112))</f>
        <v>575</v>
      </c>
      <c r="D112" s="72" t="str">
        <f>IF($K112="","",TRIM(INDEX('Detalle individual'!$B:$B,$K112)))</f>
        <v>JESSICA YAMILETH LEIVA VASQUEZ</v>
      </c>
      <c r="E112" s="72" t="str">
        <f>IF($K112="","",TRIM(INDEX('Detalle individual'!$E:$E,$K112)))</f>
        <v>EJECUTIVA DE SEGUROS</v>
      </c>
      <c r="F112" s="72" t="str">
        <f>IF($K112="","",TRIM(INDEX('Detalle individual'!$C:$C,$K112)))</f>
        <v>AGENCIA SONSONATE</v>
      </c>
      <c r="G112" s="72" t="str">
        <f>IF($K112="","",INDEX('Detalle individual'!$D:$D,$K112))</f>
        <v>Gerencia de Negocios</v>
      </c>
      <c r="H112" s="13" t="str">
        <f>IF($K112="","",INDEX('Detalle individual'!$F:$F,$K112))</f>
        <v>Completado</v>
      </c>
      <c r="I112" s="20">
        <f>IF($K112="","",IF(INDEX('Detalle individual'!$F:$F,$K112)="Completado",INDEX('Detalle individual'!$H:$H,$K112),""))</f>
        <v>46310.63890046296</v>
      </c>
      <c r="J112" s="21">
        <f>IF($K112="","",IF(INDEX('Detalle individual'!$F:$F,$K112)="Completado",INDEX('Detalle individual'!$J:$J,$K112),""))</f>
        <v>100</v>
      </c>
      <c r="K112">
        <f>IFERROR(MOD(SMALL(Cálculos!$Z$5:$Z$1000,104),10000),"")</f>
        <v>241</v>
      </c>
    </row>
    <row r="113">
      <c r="B113" s="13">
        <f>IF($K113="","",105)</f>
        <v>105</v>
      </c>
      <c r="C113" s="13" t="str">
        <f>IF($K113="","",INDEX('Detalle individual'!$A:$A,$K113))</f>
        <v>755</v>
      </c>
      <c r="D113" s="72" t="str">
        <f>IF($K113="","",TRIM(INDEX('Detalle individual'!$B:$B,$K113)))</f>
        <v>MIGUEL ANGEL LEON MENA</v>
      </c>
      <c r="E113" s="72" t="str">
        <f>IF($K113="","",TRIM(INDEX('Detalle individual'!$E:$E,$K113)))</f>
        <v>CAJERO</v>
      </c>
      <c r="F113" s="72" t="str">
        <f>IF($K113="","",TRIM(INDEX('Detalle individual'!$C:$C,$K113)))</f>
        <v>AGENCIA SONSONATE</v>
      </c>
      <c r="G113" s="72" t="str">
        <f>IF($K113="","",INDEX('Detalle individual'!$D:$D,$K113))</f>
        <v>Gerencia de Negocios</v>
      </c>
      <c r="H113" s="13" t="str">
        <f>IF($K113="","",INDEX('Detalle individual'!$F:$F,$K113))</f>
        <v>Completado</v>
      </c>
      <c r="I113" s="20">
        <f>IF($K113="","",IF(INDEX('Detalle individual'!$F:$F,$K113)="Completado",INDEX('Detalle individual'!$H:$H,$K113),""))</f>
        <v>46308.456412037034</v>
      </c>
      <c r="J113" s="21">
        <f>IF($K113="","",IF(INDEX('Detalle individual'!$F:$F,$K113)="Completado",INDEX('Detalle individual'!$J:$J,$K113),""))</f>
        <v>80</v>
      </c>
      <c r="K113">
        <f>IFERROR(MOD(SMALL(Cálculos!$Z$5:$Z$1000,105),10000),"")</f>
        <v>242</v>
      </c>
    </row>
    <row r="114">
      <c r="B114" s="13">
        <f>IF($K114="","",106)</f>
        <v>106</v>
      </c>
      <c r="C114" s="13" t="str">
        <f>IF($K114="","",INDEX('Detalle individual'!$A:$A,$K114))</f>
        <v>849</v>
      </c>
      <c r="D114" s="72" t="str">
        <f>IF($K114="","",TRIM(INDEX('Detalle individual'!$B:$B,$K114)))</f>
        <v>KARLA MARCELA ESCOBAR TRIGUEROS</v>
      </c>
      <c r="E114" s="72" t="str">
        <f>IF($K114="","",TRIM(INDEX('Detalle individual'!$E:$E,$K114)))</f>
        <v>CAJERO</v>
      </c>
      <c r="F114" s="72" t="str">
        <f>IF($K114="","",TRIM(INDEX('Detalle individual'!$C:$C,$K114)))</f>
        <v>AGENCIA SONSONATE</v>
      </c>
      <c r="G114" s="72" t="str">
        <f>IF($K114="","",INDEX('Detalle individual'!$D:$D,$K114))</f>
        <v>Gerencia de Negocios</v>
      </c>
      <c r="H114" s="13" t="str">
        <f>IF($K114="","",INDEX('Detalle individual'!$F:$F,$K114))</f>
        <v>Completado</v>
      </c>
      <c r="I114" s="20">
        <f>IF($K114="","",IF(INDEX('Detalle individual'!$F:$F,$K114)="Completado",INDEX('Detalle individual'!$H:$H,$K114),""))</f>
        <v>46311.571493055555</v>
      </c>
      <c r="J114" s="21">
        <f>IF($K114="","",IF(INDEX('Detalle individual'!$F:$F,$K114)="Completado",INDEX('Detalle individual'!$J:$J,$K114),""))</f>
        <v>100</v>
      </c>
      <c r="K114">
        <f>IFERROR(MOD(SMALL(Cálculos!$Z$5:$Z$1000,106),10000),"")</f>
        <v>243</v>
      </c>
    </row>
    <row r="115">
      <c r="B115" s="13">
        <f>IF($K115="","",107)</f>
        <v>107</v>
      </c>
      <c r="C115" s="13" t="str">
        <f>IF($K115="","",INDEX('Detalle individual'!$A:$A,$K115))</f>
        <v>456</v>
      </c>
      <c r="D115" s="72" t="str">
        <f>IF($K115="","",TRIM(INDEX('Detalle individual'!$B:$B,$K115)))</f>
        <v>LUCIANO DE JESUS SARAVIA BELTRAN</v>
      </c>
      <c r="E115" s="72" t="str">
        <f>IF($K115="","",TRIM(INDEX('Detalle individual'!$E:$E,$K115)))</f>
        <v>MENSAJERO</v>
      </c>
      <c r="F115" s="72" t="str">
        <f>IF($K115="","",TRIM(INDEX('Detalle individual'!$C:$C,$K115)))</f>
        <v>AGENCIA USULUTAN</v>
      </c>
      <c r="G115" s="72" t="str">
        <f>IF($K115="","",INDEX('Detalle individual'!$D:$D,$K115))</f>
        <v>Gerencia de Negocios</v>
      </c>
      <c r="H115" s="13" t="str">
        <f>IF($K115="","",INDEX('Detalle individual'!$F:$F,$K115))</f>
        <v>Completado</v>
      </c>
      <c r="I115" s="20">
        <f>IF($K115="","",IF(INDEX('Detalle individual'!$F:$F,$K115)="Completado",INDEX('Detalle individual'!$H:$H,$K115),""))</f>
        <v>46301.51369212963</v>
      </c>
      <c r="J115" s="21">
        <f>IF($K115="","",IF(INDEX('Detalle individual'!$F:$F,$K115)="Completado",INDEX('Detalle individual'!$J:$J,$K115),""))</f>
        <v>100</v>
      </c>
      <c r="K115">
        <f>IFERROR(MOD(SMALL(Cálculos!$Z$5:$Z$1000,107),10000),"")</f>
        <v>281</v>
      </c>
    </row>
    <row r="116">
      <c r="B116" s="13">
        <f>IF($K116="","",108)</f>
        <v>108</v>
      </c>
      <c r="C116" s="13" t="str">
        <f>IF($K116="","",INDEX('Detalle individual'!$A:$A,$K116))</f>
        <v>903</v>
      </c>
      <c r="D116" s="72" t="str">
        <f>IF($K116="","",TRIM(INDEX('Detalle individual'!$B:$B,$K116)))</f>
        <v>WENDY YAMILETH MARQUEZ VASQUEZ</v>
      </c>
      <c r="E116" s="72" t="str">
        <f>IF($K116="","",TRIM(INDEX('Detalle individual'!$E:$E,$K116)))</f>
        <v>JEFE DE AGENCIA</v>
      </c>
      <c r="F116" s="72" t="str">
        <f>IF($K116="","",TRIM(INDEX('Detalle individual'!$C:$C,$K116)))</f>
        <v>AGENCIA USULUTAN</v>
      </c>
      <c r="G116" s="72" t="str">
        <f>IF($K116="","",INDEX('Detalle individual'!$D:$D,$K116))</f>
        <v>Gerencia de Negocios</v>
      </c>
      <c r="H116" s="13" t="str">
        <f>IF($K116="","",INDEX('Detalle individual'!$F:$F,$K116))</f>
        <v>Completado</v>
      </c>
      <c r="I116" s="20">
        <f>IF($K116="","",IF(INDEX('Detalle individual'!$F:$F,$K116)="Completado",INDEX('Detalle individual'!$H:$H,$K116),""))</f>
        <v>46301.432337962964</v>
      </c>
      <c r="J116" s="21">
        <f>IF($K116="","",IF(INDEX('Detalle individual'!$F:$F,$K116)="Completado",INDEX('Detalle individual'!$J:$J,$K116),""))</f>
        <v>100</v>
      </c>
      <c r="K116">
        <f>IFERROR(MOD(SMALL(Cálculos!$Z$5:$Z$1000,108),10000),"")</f>
        <v>282</v>
      </c>
    </row>
    <row r="117">
      <c r="B117" s="13">
        <f>IF($K117="","",109)</f>
        <v>109</v>
      </c>
      <c r="C117" s="13" t="str">
        <f>IF($K117="","",INDEX('Detalle individual'!$A:$A,$K117))</f>
        <v>912</v>
      </c>
      <c r="D117" s="72" t="str">
        <f>IF($K117="","",TRIM(INDEX('Detalle individual'!$B:$B,$K117)))</f>
        <v>HECTOR MAURICIO GONZÁLEZ VÁSQUEZ</v>
      </c>
      <c r="E117" s="72" t="str">
        <f>IF($K117="","",TRIM(INDEX('Detalle individual'!$E:$E,$K117)))</f>
        <v>EJECUTIVO DE SEGUROS</v>
      </c>
      <c r="F117" s="72" t="str">
        <f>IF($K117="","",TRIM(INDEX('Detalle individual'!$C:$C,$K117)))</f>
        <v>AGENCIA USULUTAN</v>
      </c>
      <c r="G117" s="72" t="str">
        <f>IF($K117="","",INDEX('Detalle individual'!$D:$D,$K117))</f>
        <v>Gerencia de Negocios</v>
      </c>
      <c r="H117" s="13" t="str">
        <f>IF($K117="","",INDEX('Detalle individual'!$F:$F,$K117))</f>
        <v>Completado</v>
      </c>
      <c r="I117" s="20">
        <f>IF($K117="","",IF(INDEX('Detalle individual'!$F:$F,$K117)="Completado",INDEX('Detalle individual'!$H:$H,$K117),""))</f>
        <v>46303.45730324074</v>
      </c>
      <c r="J117" s="21">
        <f>IF($K117="","",IF(INDEX('Detalle individual'!$F:$F,$K117)="Completado",INDEX('Detalle individual'!$J:$J,$K117),""))</f>
        <v>100</v>
      </c>
      <c r="K117">
        <f>IFERROR(MOD(SMALL(Cálculos!$Z$5:$Z$1000,109),10000),"")</f>
        <v>283</v>
      </c>
    </row>
    <row r="118">
      <c r="B118" s="13">
        <f>IF($K118="","",110)</f>
        <v>110</v>
      </c>
      <c r="C118" s="13" t="str">
        <f>IF($K118="","",INDEX('Detalle individual'!$A:$A,$K118))</f>
        <v>917</v>
      </c>
      <c r="D118" s="72" t="str">
        <f>IF($K118="","",TRIM(INDEX('Detalle individual'!$B:$B,$K118)))</f>
        <v>LUIS MANUEL VALENCIA GUERRERO</v>
      </c>
      <c r="E118" s="72" t="str">
        <f>IF($K118="","",TRIM(INDEX('Detalle individual'!$E:$E,$K118)))</f>
        <v>SUBJEFE DE AGENCIA</v>
      </c>
      <c r="F118" s="72" t="str">
        <f>IF($K118="","",TRIM(INDEX('Detalle individual'!$C:$C,$K118)))</f>
        <v>AGENCIA USULUTAN</v>
      </c>
      <c r="G118" s="72" t="str">
        <f>IF($K118="","",INDEX('Detalle individual'!$D:$D,$K118))</f>
        <v>Gerencia de Negocios</v>
      </c>
      <c r="H118" s="13" t="str">
        <f>IF($K118="","",INDEX('Detalle individual'!$F:$F,$K118))</f>
        <v>Completado</v>
      </c>
      <c r="I118" s="20">
        <f>IF($K118="","",IF(INDEX('Detalle individual'!$F:$F,$K118)="Completado",INDEX('Detalle individual'!$H:$H,$K118),""))</f>
        <v>46309.4197337963</v>
      </c>
      <c r="J118" s="21">
        <f>IF($K118="","",IF(INDEX('Detalle individual'!$F:$F,$K118)="Completado",INDEX('Detalle individual'!$J:$J,$K118),""))</f>
        <v>100</v>
      </c>
      <c r="K118">
        <f>IFERROR(MOD(SMALL(Cálculos!$Z$5:$Z$1000,110),10000),"")</f>
        <v>284</v>
      </c>
    </row>
    <row r="119">
      <c r="B119" s="13">
        <f>IF($K119="","",111)</f>
        <v>111</v>
      </c>
      <c r="C119" s="13" t="str">
        <f>IF($K119="","",INDEX('Detalle individual'!$A:$A,$K119))</f>
        <v>951</v>
      </c>
      <c r="D119" s="72" t="str">
        <f>IF($K119="","",TRIM(INDEX('Detalle individual'!$B:$B,$K119)))</f>
        <v>MELVIN ELISEO HERNANDEZ MACHADO</v>
      </c>
      <c r="E119" s="72" t="str">
        <f>IF($K119="","",TRIM(INDEX('Detalle individual'!$E:$E,$K119)))</f>
        <v>EJECUTIVO DE NEGOCIOS</v>
      </c>
      <c r="F119" s="72" t="str">
        <f>IF($K119="","",TRIM(INDEX('Detalle individual'!$C:$C,$K119)))</f>
        <v>AGENCIA USULUTAN</v>
      </c>
      <c r="G119" s="72" t="str">
        <f>IF($K119="","",INDEX('Detalle individual'!$D:$D,$K119))</f>
        <v>Gerencia de Negocios</v>
      </c>
      <c r="H119" s="13" t="str">
        <f>IF($K119="","",INDEX('Detalle individual'!$F:$F,$K119))</f>
        <v>Completado</v>
      </c>
      <c r="I119" s="20">
        <f>IF($K119="","",IF(INDEX('Detalle individual'!$F:$F,$K119)="Completado",INDEX('Detalle individual'!$H:$H,$K119),""))</f>
        <v>46309.3825462963</v>
      </c>
      <c r="J119" s="21">
        <f>IF($K119="","",IF(INDEX('Detalle individual'!$F:$F,$K119)="Completado",INDEX('Detalle individual'!$J:$J,$K119),""))</f>
        <v>100</v>
      </c>
      <c r="K119">
        <f>IFERROR(MOD(SMALL(Cálculos!$Z$5:$Z$1000,111),10000),"")</f>
        <v>285</v>
      </c>
    </row>
    <row r="120">
      <c r="B120" s="13">
        <f>IF($K120="","",112)</f>
        <v>112</v>
      </c>
      <c r="C120" s="13" t="str">
        <f>IF($K120="","",INDEX('Detalle individual'!$A:$A,$K120))</f>
        <v>961</v>
      </c>
      <c r="D120" s="72" t="str">
        <f>IF($K120="","",TRIM(INDEX('Detalle individual'!$B:$B,$K120)))</f>
        <v>FATIMA LISSETTE HERNANDEZ MEJIA</v>
      </c>
      <c r="E120" s="72" t="str">
        <f>IF($K120="","",TRIM(INDEX('Detalle individual'!$E:$E,$K120)))</f>
        <v>CAJERO</v>
      </c>
      <c r="F120" s="72" t="str">
        <f>IF($K120="","",TRIM(INDEX('Detalle individual'!$C:$C,$K120)))</f>
        <v>AGENCIA USULUTAN</v>
      </c>
      <c r="G120" s="72" t="str">
        <f>IF($K120="","",INDEX('Detalle individual'!$D:$D,$K120))</f>
        <v>Gerencia de Negocios</v>
      </c>
      <c r="H120" s="13" t="str">
        <f>IF($K120="","",INDEX('Detalle individual'!$F:$F,$K120))</f>
        <v>Completado</v>
      </c>
      <c r="I120" s="20">
        <f>IF($K120="","",IF(INDEX('Detalle individual'!$F:$F,$K120)="Completado",INDEX('Detalle individual'!$H:$H,$K120),""))</f>
        <v>46303.544328703705</v>
      </c>
      <c r="J120" s="21">
        <f>IF($K120="","",IF(INDEX('Detalle individual'!$F:$F,$K120)="Completado",INDEX('Detalle individual'!$J:$J,$K120),""))</f>
        <v>100</v>
      </c>
      <c r="K120">
        <f>IFERROR(MOD(SMALL(Cálculos!$Z$5:$Z$1000,112),10000),"")</f>
        <v>286</v>
      </c>
    </row>
    <row r="121">
      <c r="B121" s="13">
        <f>IF($K121="","",113)</f>
        <v>113</v>
      </c>
      <c r="C121" s="13" t="str">
        <f>IF($K121="","",INDEX('Detalle individual'!$A:$A,$K121))</f>
        <v>970</v>
      </c>
      <c r="D121" s="72" t="str">
        <f>IF($K121="","",TRIM(INDEX('Detalle individual'!$B:$B,$K121)))</f>
        <v>EDUARDO JOSE GAMEZ VILLATORO</v>
      </c>
      <c r="E121" s="72" t="str">
        <f>IF($K121="","",TRIM(INDEX('Detalle individual'!$E:$E,$K121)))</f>
        <v>CAJERO</v>
      </c>
      <c r="F121" s="72" t="str">
        <f>IF($K121="","",TRIM(INDEX('Detalle individual'!$C:$C,$K121)))</f>
        <v>AGENCIA USULUTAN</v>
      </c>
      <c r="G121" s="72" t="str">
        <f>IF($K121="","",INDEX('Detalle individual'!$D:$D,$K121))</f>
        <v>Gerencia de Negocios</v>
      </c>
      <c r="H121" s="13" t="str">
        <f>IF($K121="","",INDEX('Detalle individual'!$F:$F,$K121))</f>
        <v>Completado</v>
      </c>
      <c r="I121" s="20">
        <f>IF($K121="","",IF(INDEX('Detalle individual'!$F:$F,$K121)="Completado",INDEX('Detalle individual'!$H:$H,$K121),""))</f>
        <v>46309.37625</v>
      </c>
      <c r="J121" s="21">
        <f>IF($K121="","",IF(INDEX('Detalle individual'!$F:$F,$K121)="Completado",INDEX('Detalle individual'!$J:$J,$K121),""))</f>
        <v>100</v>
      </c>
      <c r="K121">
        <f>IFERROR(MOD(SMALL(Cálculos!$Z$5:$Z$1000,113),10000),"")</f>
        <v>287</v>
      </c>
    </row>
    <row r="122">
      <c r="B122" s="13">
        <f>IF($K122="","",114)</f>
        <v>114</v>
      </c>
      <c r="C122" s="13" t="str">
        <f>IF($K122="","",INDEX('Detalle individual'!$A:$A,$K122))</f>
        <v>590</v>
      </c>
      <c r="D122" s="72" t="str">
        <f>IF($K122="","",TRIM(INDEX('Detalle individual'!$B:$B,$K122)))</f>
        <v>LORENA ELIZABETH GALDAMEZ NUÑEZ</v>
      </c>
      <c r="E122" s="72" t="str">
        <f>IF($K122="","",TRIM(INDEX('Detalle individual'!$E:$E,$K122)))</f>
        <v>MEDICO</v>
      </c>
      <c r="F122" s="72" t="str">
        <f>IF($K122="","",TRIM(INDEX('Detalle individual'!$C:$C,$K122)))</f>
        <v>CLINICA EMPRESARIAL</v>
      </c>
      <c r="G122" s="72" t="str">
        <f>IF($K122="","",INDEX('Detalle individual'!$D:$D,$K122))</f>
        <v>Gerencia Administrativa</v>
      </c>
      <c r="H122" s="13" t="str">
        <f>IF($K122="","",INDEX('Detalle individual'!$F:$F,$K122))</f>
        <v>Completado</v>
      </c>
      <c r="I122" s="20">
        <f>IF($K122="","",IF(INDEX('Detalle individual'!$F:$F,$K122)="Completado",INDEX('Detalle individual'!$H:$H,$K122),""))</f>
        <v>46305.408738425926</v>
      </c>
      <c r="J122" s="21">
        <f>IF($K122="","",IF(INDEX('Detalle individual'!$F:$F,$K122)="Completado",INDEX('Detalle individual'!$J:$J,$K122),""))</f>
        <v>100</v>
      </c>
      <c r="K122">
        <f>IFERROR(MOD(SMALL(Cálculos!$Z$5:$Z$1000,114),10000),"")</f>
        <v>54</v>
      </c>
    </row>
    <row r="123">
      <c r="B123" s="13">
        <f>IF($K123="","",115)</f>
        <v>115</v>
      </c>
      <c r="C123" s="13" t="str">
        <f>IF($K123="","",INDEX('Detalle individual'!$A:$A,$K123))</f>
        <v>609</v>
      </c>
      <c r="D123" s="72" t="str">
        <f>IF($K123="","",TRIM(INDEX('Detalle individual'!$B:$B,$K123)))</f>
        <v>GLADIS OSIRIS VALLE HERNANDEZ</v>
      </c>
      <c r="E123" s="72" t="str">
        <f>IF($K123="","",TRIM(INDEX('Detalle individual'!$E:$E,$K123)))</f>
        <v>ENFERMERA</v>
      </c>
      <c r="F123" s="72" t="str">
        <f>IF($K123="","",TRIM(INDEX('Detalle individual'!$C:$C,$K123)))</f>
        <v>CLINICA EMPRESARIAL</v>
      </c>
      <c r="G123" s="72" t="str">
        <f>IF($K123="","",INDEX('Detalle individual'!$D:$D,$K123))</f>
        <v>Gerencia Administrativa</v>
      </c>
      <c r="H123" s="13" t="str">
        <f>IF($K123="","",INDEX('Detalle individual'!$F:$F,$K123))</f>
        <v>Completado</v>
      </c>
      <c r="I123" s="20">
        <f>IF($K123="","",IF(INDEX('Detalle individual'!$F:$F,$K123)="Completado",INDEX('Detalle individual'!$H:$H,$K123),""))</f>
        <v>46305.41128472222</v>
      </c>
      <c r="J123" s="21">
        <f>IF($K123="","",IF(INDEX('Detalle individual'!$F:$F,$K123)="Completado",INDEX('Detalle individual'!$J:$J,$K123),""))</f>
        <v>100</v>
      </c>
      <c r="K123">
        <f>IFERROR(MOD(SMALL(Cálculos!$Z$5:$Z$1000,115),10000),"")</f>
        <v>55</v>
      </c>
    </row>
    <row r="124">
      <c r="B124" s="13">
        <f>IF($K124="","",116)</f>
        <v>116</v>
      </c>
      <c r="C124" s="13" t="str">
        <f>IF($K124="","",INDEX('Detalle individual'!$A:$A,$K124))</f>
        <v>53</v>
      </c>
      <c r="D124" s="72" t="str">
        <f>IF($K124="","",TRIM(INDEX('Detalle individual'!$B:$B,$K124)))</f>
        <v>CLAUDIA MARIA GIMENEZ PEREZ</v>
      </c>
      <c r="E124" s="72" t="str">
        <f>IF($K124="","",TRIM(INDEX('Detalle individual'!$E:$E,$K124)))</f>
        <v>ASISTENTE DEL CONSEJO DE ADMINISTRACION</v>
      </c>
      <c r="F124" s="72" t="str">
        <f>IF($K124="","",TRIM(INDEX('Detalle individual'!$C:$C,$K124)))</f>
        <v>CONSEJO DE ADMINISTRACION</v>
      </c>
      <c r="G124" s="72" t="str">
        <f>IF($K124="","",INDEX('Detalle individual'!$D:$D,$K124))</f>
        <v>Consejo de Administración</v>
      </c>
      <c r="H124" s="13" t="str">
        <f>IF($K124="","",INDEX('Detalle individual'!$F:$F,$K124))</f>
        <v>Completado</v>
      </c>
      <c r="I124" s="20">
        <f>IF($K124="","",IF(INDEX('Detalle individual'!$F:$F,$K124)="Completado",INDEX('Detalle individual'!$H:$H,$K124),""))</f>
        <v>46300.658009259256</v>
      </c>
      <c r="J124" s="21">
        <f>IF($K124="","",IF(INDEX('Detalle individual'!$F:$F,$K124)="Completado",INDEX('Detalle individual'!$J:$J,$K124),""))</f>
        <v>90</v>
      </c>
      <c r="K124">
        <f>IFERROR(MOD(SMALL(Cálculos!$Z$5:$Z$1000,116),10000),"")</f>
        <v>296</v>
      </c>
    </row>
    <row r="125">
      <c r="B125" s="13">
        <f>IF($K125="","",117)</f>
        <v>117</v>
      </c>
      <c r="C125" s="13" t="str">
        <f>IF($K125="","",INDEX('Detalle individual'!$A:$A,$K125))</f>
        <v>422</v>
      </c>
      <c r="D125" s="72" t="str">
        <f>IF($K125="","",TRIM(INDEX('Detalle individual'!$B:$B,$K125)))</f>
        <v>CLAUDIA VERONICA LARA RODAS</v>
      </c>
      <c r="E125" s="72" t="str">
        <f>IF($K125="","",TRIM(INDEX('Detalle individual'!$E:$E,$K125)))</f>
        <v>ASISTENTE COMERCIAL DE TARJETA DE CREDITO</v>
      </c>
      <c r="F125" s="72" t="str">
        <f>IF($K125="","",TRIM(INDEX('Detalle individual'!$C:$C,$K125)))</f>
        <v>DEPARTAMENTO COMERCIAL DE TARJETA DE CREDITO Y DEBITO</v>
      </c>
      <c r="G125" s="72" t="str">
        <f>IF($K125="","",INDEX('Detalle individual'!$D:$D,$K125))</f>
        <v>Gerencia de Negocios</v>
      </c>
      <c r="H125" s="13" t="str">
        <f>IF($K125="","",INDEX('Detalle individual'!$F:$F,$K125))</f>
        <v>Completado</v>
      </c>
      <c r="I125" s="20">
        <f>IF($K125="","",IF(INDEX('Detalle individual'!$F:$F,$K125)="Completado",INDEX('Detalle individual'!$H:$H,$K125),""))</f>
        <v>46304.41396990741</v>
      </c>
      <c r="J125" s="21">
        <f>IF($K125="","",IF(INDEX('Detalle individual'!$F:$F,$K125)="Completado",INDEX('Detalle individual'!$J:$J,$K125),""))</f>
        <v>100</v>
      </c>
      <c r="K125">
        <f>IFERROR(MOD(SMALL(Cálculos!$Z$5:$Z$1000,117),10000),"")</f>
        <v>176</v>
      </c>
    </row>
    <row r="126">
      <c r="B126" s="13">
        <f>IF($K126="","",118)</f>
        <v>118</v>
      </c>
      <c r="C126" s="13" t="str">
        <f>IF($K126="","",INDEX('Detalle individual'!$A:$A,$K126))</f>
        <v>533</v>
      </c>
      <c r="D126" s="72" t="str">
        <f>IF($K126="","",TRIM(INDEX('Detalle individual'!$B:$B,$K126)))</f>
        <v>LIDIA PATRICIA MORALES AVALOS</v>
      </c>
      <c r="E126" s="72" t="str">
        <f>IF($K126="","",TRIM(INDEX('Detalle individual'!$E:$E,$K126)))</f>
        <v>JEFE COMERCIAL DE TARJETA DE CREDITO</v>
      </c>
      <c r="F126" s="72" t="str">
        <f>IF($K126="","",TRIM(INDEX('Detalle individual'!$C:$C,$K126)))</f>
        <v>DEPARTAMENTO COMERCIAL DE TARJETA DE CREDITO Y DEBITO</v>
      </c>
      <c r="G126" s="72" t="str">
        <f>IF($K126="","",INDEX('Detalle individual'!$D:$D,$K126))</f>
        <v>Gerencia de Negocios</v>
      </c>
      <c r="H126" s="13" t="str">
        <f>IF($K126="","",INDEX('Detalle individual'!$F:$F,$K126))</f>
        <v>Completado</v>
      </c>
      <c r="I126" s="20">
        <f>IF($K126="","",IF(INDEX('Detalle individual'!$F:$F,$K126)="Completado",INDEX('Detalle individual'!$H:$H,$K126),""))</f>
        <v>46304.7809837963</v>
      </c>
      <c r="J126" s="21">
        <f>IF($K126="","",IF(INDEX('Detalle individual'!$F:$F,$K126)="Completado",INDEX('Detalle individual'!$J:$J,$K126),""))</f>
        <v>90</v>
      </c>
      <c r="K126">
        <f>IFERROR(MOD(SMALL(Cálculos!$Z$5:$Z$1000,118),10000),"")</f>
        <v>177</v>
      </c>
    </row>
    <row r="127">
      <c r="B127" s="13">
        <f>IF($K127="","",119)</f>
        <v>119</v>
      </c>
      <c r="C127" s="13" t="str">
        <f>IF($K127="","",INDEX('Detalle individual'!$A:$A,$K127))</f>
        <v>654</v>
      </c>
      <c r="D127" s="72" t="str">
        <f>IF($K127="","",TRIM(INDEX('Detalle individual'!$B:$B,$K127)))</f>
        <v>GABRIELA ALEJANDRA RODRIGUEZ ARIAS</v>
      </c>
      <c r="E127" s="72" t="str">
        <f>IF($K127="","",TRIM(INDEX('Detalle individual'!$E:$E,$K127)))</f>
        <v>AUXILIAR DE ATENCION AL CLIENTE</v>
      </c>
      <c r="F127" s="72" t="str">
        <f>IF($K127="","",TRIM(INDEX('Detalle individual'!$C:$C,$K127)))</f>
        <v>DEPARTAMENTO COMERCIAL DE TARJETA DE CREDITO Y DEBITO</v>
      </c>
      <c r="G127" s="72" t="str">
        <f>IF($K127="","",INDEX('Detalle individual'!$D:$D,$K127))</f>
        <v>Gerencia de Negocios</v>
      </c>
      <c r="H127" s="13" t="str">
        <f>IF($K127="","",INDEX('Detalle individual'!$F:$F,$K127))</f>
        <v>Completado</v>
      </c>
      <c r="I127" s="20">
        <f>IF($K127="","",IF(INDEX('Detalle individual'!$F:$F,$K127)="Completado",INDEX('Detalle individual'!$H:$H,$K127),""))</f>
        <v>46304.678506944445</v>
      </c>
      <c r="J127" s="21">
        <f>IF($K127="","",IF(INDEX('Detalle individual'!$F:$F,$K127)="Completado",INDEX('Detalle individual'!$J:$J,$K127),""))</f>
        <v>80</v>
      </c>
      <c r="K127">
        <f>IFERROR(MOD(SMALL(Cálculos!$Z$5:$Z$1000,119),10000),"")</f>
        <v>178</v>
      </c>
    </row>
    <row r="128">
      <c r="B128" s="13">
        <f>IF($K128="","",120)</f>
        <v>120</v>
      </c>
      <c r="C128" s="13" t="str">
        <f>IF($K128="","",INDEX('Detalle individual'!$A:$A,$K128))</f>
        <v>655</v>
      </c>
      <c r="D128" s="72" t="str">
        <f>IF($K128="","",TRIM(INDEX('Detalle individual'!$B:$B,$K128)))</f>
        <v>JOSE ALEXANDER ABREGO</v>
      </c>
      <c r="E128" s="72" t="str">
        <f>IF($K128="","",TRIM(INDEX('Detalle individual'!$E:$E,$K128)))</f>
        <v>EJECUTIVO DE NEGOCIOS</v>
      </c>
      <c r="F128" s="72" t="str">
        <f>IF($K128="","",TRIM(INDEX('Detalle individual'!$C:$C,$K128)))</f>
        <v>DEPARTAMENTO COMERCIAL DE TARJETA DE CREDITO Y DEBITO</v>
      </c>
      <c r="G128" s="72" t="str">
        <f>IF($K128="","",INDEX('Detalle individual'!$D:$D,$K128))</f>
        <v>Gerencia de Negocios</v>
      </c>
      <c r="H128" s="13" t="str">
        <f>IF($K128="","",INDEX('Detalle individual'!$F:$F,$K128))</f>
        <v>Completado</v>
      </c>
      <c r="I128" s="20">
        <f>IF($K128="","",IF(INDEX('Detalle individual'!$F:$F,$K128)="Completado",INDEX('Detalle individual'!$H:$H,$K128),""))</f>
        <v>46305.51431712963</v>
      </c>
      <c r="J128" s="21">
        <f>IF($K128="","",IF(INDEX('Detalle individual'!$F:$F,$K128)="Completado",INDEX('Detalle individual'!$J:$J,$K128),""))</f>
        <v>65</v>
      </c>
      <c r="K128">
        <f>IFERROR(MOD(SMALL(Cálculos!$Z$5:$Z$1000,120),10000),"")</f>
        <v>179</v>
      </c>
    </row>
    <row r="129">
      <c r="B129" s="13">
        <f>IF($K129="","",121)</f>
        <v>121</v>
      </c>
      <c r="C129" s="13" t="str">
        <f>IF($K129="","",INDEX('Detalle individual'!$A:$A,$K129))</f>
        <v>669</v>
      </c>
      <c r="D129" s="72" t="str">
        <f>IF($K129="","",TRIM(INDEX('Detalle individual'!$B:$B,$K129)))</f>
        <v>ANTONIO ALEXANDER ALFARO ARGUETA</v>
      </c>
      <c r="E129" s="72" t="str">
        <f>IF($K129="","",TRIM(INDEX('Detalle individual'!$E:$E,$K129)))</f>
        <v>EJECUTIVO DE NEGOCIOS</v>
      </c>
      <c r="F129" s="72" t="str">
        <f>IF($K129="","",TRIM(INDEX('Detalle individual'!$C:$C,$K129)))</f>
        <v>DEPARTAMENTO COMERCIAL DE TARJETA DE CREDITO Y DEBITO</v>
      </c>
      <c r="G129" s="72" t="str">
        <f>IF($K129="","",INDEX('Detalle individual'!$D:$D,$K129))</f>
        <v>Gerencia de Negocios</v>
      </c>
      <c r="H129" s="13" t="str">
        <f>IF($K129="","",INDEX('Detalle individual'!$F:$F,$K129))</f>
        <v>Completado</v>
      </c>
      <c r="I129" s="20">
        <f>IF($K129="","",IF(INDEX('Detalle individual'!$F:$F,$K129)="Completado",INDEX('Detalle individual'!$H:$H,$K129),""))</f>
        <v>46305.48725694444</v>
      </c>
      <c r="J129" s="21">
        <f>IF($K129="","",IF(INDEX('Detalle individual'!$F:$F,$K129)="Completado",INDEX('Detalle individual'!$J:$J,$K129),""))</f>
        <v>90</v>
      </c>
      <c r="K129">
        <f>IFERROR(MOD(SMALL(Cálculos!$Z$5:$Z$1000,121),10000),"")</f>
        <v>180</v>
      </c>
    </row>
    <row r="130">
      <c r="B130" s="13">
        <f>IF($K130="","",122)</f>
        <v>122</v>
      </c>
      <c r="C130" s="13" t="str">
        <f>IF($K130="","",INDEX('Detalle individual'!$A:$A,$K130))</f>
        <v>715</v>
      </c>
      <c r="D130" s="72" t="str">
        <f>IF($K130="","",TRIM(INDEX('Detalle individual'!$B:$B,$K130)))</f>
        <v>KAREN MARCELA BARILLAS MOLINA</v>
      </c>
      <c r="E130" s="72" t="str">
        <f>IF($K130="","",TRIM(INDEX('Detalle individual'!$E:$E,$K130)))</f>
        <v>AUXILIAR DE ATENCION AL TARJETAHABIENTE</v>
      </c>
      <c r="F130" s="72" t="str">
        <f>IF($K130="","",TRIM(INDEX('Detalle individual'!$C:$C,$K130)))</f>
        <v>DEPARTAMENTO COMERCIAL DE TARJETA DE CREDITO Y DEBITO</v>
      </c>
      <c r="G130" s="72" t="str">
        <f>IF($K130="","",INDEX('Detalle individual'!$D:$D,$K130))</f>
        <v>Gerencia de Negocios</v>
      </c>
      <c r="H130" s="13" t="str">
        <f>IF($K130="","",INDEX('Detalle individual'!$F:$F,$K130))</f>
        <v>Completado</v>
      </c>
      <c r="I130" s="20">
        <f>IF($K130="","",IF(INDEX('Detalle individual'!$F:$F,$K130)="Completado",INDEX('Detalle individual'!$H:$H,$K130),""))</f>
        <v>46297.71334490741</v>
      </c>
      <c r="J130" s="21">
        <f>IF($K130="","",IF(INDEX('Detalle individual'!$F:$F,$K130)="Completado",INDEX('Detalle individual'!$J:$J,$K130),""))</f>
        <v>85</v>
      </c>
      <c r="K130">
        <f>IFERROR(MOD(SMALL(Cálculos!$Z$5:$Z$1000,122),10000),"")</f>
        <v>181</v>
      </c>
    </row>
    <row r="131">
      <c r="B131" s="13">
        <f>IF($K131="","",123)</f>
        <v>123</v>
      </c>
      <c r="C131" s="13" t="str">
        <f>IF($K131="","",INDEX('Detalle individual'!$A:$A,$K131))</f>
        <v>858</v>
      </c>
      <c r="D131" s="72" t="str">
        <f>IF($K131="","",TRIM(INDEX('Detalle individual'!$B:$B,$K131)))</f>
        <v>GABRIEL FRANCISCO MOLINA DIAZ</v>
      </c>
      <c r="E131" s="72" t="str">
        <f>IF($K131="","",TRIM(INDEX('Detalle individual'!$E:$E,$K131)))</f>
        <v>EJECUTIVO DE NEGOCIOS</v>
      </c>
      <c r="F131" s="72" t="str">
        <f>IF($K131="","",TRIM(INDEX('Detalle individual'!$C:$C,$K131)))</f>
        <v>DEPARTAMENTO COMERCIAL DE TARJETA DE CREDITO Y DEBITO</v>
      </c>
      <c r="G131" s="72" t="str">
        <f>IF($K131="","",INDEX('Detalle individual'!$D:$D,$K131))</f>
        <v>Gerencia de Negocios</v>
      </c>
      <c r="H131" s="13" t="str">
        <f>IF($K131="","",INDEX('Detalle individual'!$F:$F,$K131))</f>
        <v>Completado</v>
      </c>
      <c r="I131" s="20">
        <f>IF($K131="","",IF(INDEX('Detalle individual'!$F:$F,$K131)="Completado",INDEX('Detalle individual'!$H:$H,$K131),""))</f>
        <v>46305.49159722222</v>
      </c>
      <c r="J131" s="21">
        <f>IF($K131="","",IF(INDEX('Detalle individual'!$F:$F,$K131)="Completado",INDEX('Detalle individual'!$J:$J,$K131),""))</f>
        <v>95</v>
      </c>
      <c r="K131">
        <f>IFERROR(MOD(SMALL(Cálculos!$Z$5:$Z$1000,123),10000),"")</f>
        <v>183</v>
      </c>
    </row>
    <row r="132">
      <c r="B132" s="13">
        <f>IF($K132="","",124)</f>
        <v>124</v>
      </c>
      <c r="C132" s="13" t="str">
        <f>IF($K132="","",INDEX('Detalle individual'!$A:$A,$K132))</f>
        <v>239</v>
      </c>
      <c r="D132" s="72" t="str">
        <f>IF($K132="","",TRIM(INDEX('Detalle individual'!$B:$B,$K132)))</f>
        <v>CELINA MARGARITA GUTIERREZ RODRIGUEZ</v>
      </c>
      <c r="E132" s="72" t="str">
        <f>IF($K132="","",TRIM(INDEX('Detalle individual'!$E:$E,$K132)))</f>
        <v>ANALISTA PROGRAMADOR SENIOR</v>
      </c>
      <c r="F132" s="72" t="str">
        <f>IF($K132="","",TRIM(INDEX('Detalle individual'!$C:$C,$K132)))</f>
        <v>DEPARTAMENTO DE ANALISIS Y PROGRAMACIÓN</v>
      </c>
      <c r="G132" s="72" t="str">
        <f>IF($K132="","",INDEX('Detalle individual'!$D:$D,$K132))</f>
        <v>Gerencia de Sistemas</v>
      </c>
      <c r="H132" s="13" t="str">
        <f>IF($K132="","",INDEX('Detalle individual'!$F:$F,$K132))</f>
        <v>Completado</v>
      </c>
      <c r="I132" s="20">
        <f>IF($K132="","",IF(INDEX('Detalle individual'!$F:$F,$K132)="Completado",INDEX('Detalle individual'!$H:$H,$K132),""))</f>
        <v>46296.65938657407</v>
      </c>
      <c r="J132" s="21">
        <f>IF($K132="","",IF(INDEX('Detalle individual'!$F:$F,$K132)="Completado",INDEX('Detalle individual'!$J:$J,$K132),""))</f>
        <v>100</v>
      </c>
      <c r="K132">
        <f>IFERROR(MOD(SMALL(Cálculos!$Z$5:$Z$1000,124),10000),"")</f>
        <v>111</v>
      </c>
    </row>
    <row r="133">
      <c r="B133" s="13">
        <f>IF($K133="","",125)</f>
        <v>125</v>
      </c>
      <c r="C133" s="13" t="str">
        <f>IF($K133="","",INDEX('Detalle individual'!$A:$A,$K133))</f>
        <v>320</v>
      </c>
      <c r="D133" s="72" t="str">
        <f>IF($K133="","",TRIM(INDEX('Detalle individual'!$B:$B,$K133)))</f>
        <v>HILDA MARGARITA ABREGO BRAN</v>
      </c>
      <c r="E133" s="72" t="str">
        <f>IF($K133="","",TRIM(INDEX('Detalle individual'!$E:$E,$K133)))</f>
        <v>ANALISTA QA</v>
      </c>
      <c r="F133" s="72" t="str">
        <f>IF($K133="","",TRIM(INDEX('Detalle individual'!$C:$C,$K133)))</f>
        <v>DEPARTAMENTO DE ANALISIS Y PROGRAMACIÓN</v>
      </c>
      <c r="G133" s="72" t="str">
        <f>IF($K133="","",INDEX('Detalle individual'!$D:$D,$K133))</f>
        <v>Gerencia de Sistemas</v>
      </c>
      <c r="H133" s="13" t="str">
        <f>IF($K133="","",INDEX('Detalle individual'!$F:$F,$K133))</f>
        <v>Completado</v>
      </c>
      <c r="I133" s="20">
        <f>IF($K133="","",IF(INDEX('Detalle individual'!$F:$F,$K133)="Completado",INDEX('Detalle individual'!$H:$H,$K133),""))</f>
        <v>46296.59023148148</v>
      </c>
      <c r="J133" s="21">
        <f>IF($K133="","",IF(INDEX('Detalle individual'!$F:$F,$K133)="Completado",INDEX('Detalle individual'!$J:$J,$K133),""))</f>
        <v>100</v>
      </c>
      <c r="K133">
        <f>IFERROR(MOD(SMALL(Cálculos!$Z$5:$Z$1000,125),10000),"")</f>
        <v>112</v>
      </c>
    </row>
    <row r="134">
      <c r="B134" s="13">
        <f>IF($K134="","",126)</f>
        <v>126</v>
      </c>
      <c r="C134" s="13" t="str">
        <f>IF($K134="","",INDEX('Detalle individual'!$A:$A,$K134))</f>
        <v>410</v>
      </c>
      <c r="D134" s="72" t="str">
        <f>IF($K134="","",TRIM(INDEX('Detalle individual'!$B:$B,$K134)))</f>
        <v>CLAUDIA MARGARITA CAMPOS GONZÁLEZ</v>
      </c>
      <c r="E134" s="72" t="str">
        <f>IF($K134="","",TRIM(INDEX('Detalle individual'!$E:$E,$K134)))</f>
        <v>JEFE DE ANALISIS Y PROGRAMACION</v>
      </c>
      <c r="F134" s="72" t="str">
        <f>IF($K134="","",TRIM(INDEX('Detalle individual'!$C:$C,$K134)))</f>
        <v>DEPARTAMENTO DE ANALISIS Y PROGRAMACIÓN</v>
      </c>
      <c r="G134" s="72" t="str">
        <f>IF($K134="","",INDEX('Detalle individual'!$D:$D,$K134))</f>
        <v>Gerencia de Sistemas</v>
      </c>
      <c r="H134" s="13" t="str">
        <f>IF($K134="","",INDEX('Detalle individual'!$F:$F,$K134))</f>
        <v>Completado</v>
      </c>
      <c r="I134" s="20">
        <f>IF($K134="","",IF(INDEX('Detalle individual'!$F:$F,$K134)="Completado",INDEX('Detalle individual'!$H:$H,$K134),""))</f>
        <v>46307.69321759259</v>
      </c>
      <c r="J134" s="21">
        <f>IF($K134="","",IF(INDEX('Detalle individual'!$F:$F,$K134)="Completado",INDEX('Detalle individual'!$J:$J,$K134),""))</f>
        <v>100</v>
      </c>
      <c r="K134">
        <f>IFERROR(MOD(SMALL(Cálculos!$Z$5:$Z$1000,126),10000),"")</f>
        <v>113</v>
      </c>
    </row>
    <row r="135">
      <c r="B135" s="13">
        <f>IF($K135="","",127)</f>
        <v>127</v>
      </c>
      <c r="C135" s="13" t="str">
        <f>IF($K135="","",INDEX('Detalle individual'!$A:$A,$K135))</f>
        <v>474</v>
      </c>
      <c r="D135" s="72" t="str">
        <f>IF($K135="","",TRIM(INDEX('Detalle individual'!$B:$B,$K135)))</f>
        <v>GLADIS EVELIN CASTILLO TORRES</v>
      </c>
      <c r="E135" s="72" t="str">
        <f>IF($K135="","",TRIM(INDEX('Detalle individual'!$E:$E,$K135)))</f>
        <v>ANALISTA PROGRAMADOR SENIOR</v>
      </c>
      <c r="F135" s="72" t="str">
        <f>IF($K135="","",TRIM(INDEX('Detalle individual'!$C:$C,$K135)))</f>
        <v>DEPARTAMENTO DE ANALISIS Y PROGRAMACIÓN</v>
      </c>
      <c r="G135" s="72" t="str">
        <f>IF($K135="","",INDEX('Detalle individual'!$D:$D,$K135))</f>
        <v>Gerencia de Sistemas</v>
      </c>
      <c r="H135" s="13" t="str">
        <f>IF($K135="","",INDEX('Detalle individual'!$F:$F,$K135))</f>
        <v>Completado</v>
      </c>
      <c r="I135" s="20">
        <f>IF($K135="","",IF(INDEX('Detalle individual'!$F:$F,$K135)="Completado",INDEX('Detalle individual'!$H:$H,$K135),""))</f>
        <v>46297.48825231481</v>
      </c>
      <c r="J135" s="21">
        <f>IF($K135="","",IF(INDEX('Detalle individual'!$F:$F,$K135)="Completado",INDEX('Detalle individual'!$J:$J,$K135),""))</f>
        <v>100</v>
      </c>
      <c r="K135">
        <f>IFERROR(MOD(SMALL(Cálculos!$Z$5:$Z$1000,127),10000),"")</f>
        <v>114</v>
      </c>
    </row>
    <row r="136">
      <c r="B136" s="13">
        <f>IF($K136="","",128)</f>
        <v>128</v>
      </c>
      <c r="C136" s="13" t="str">
        <f>IF($K136="","",INDEX('Detalle individual'!$A:$A,$K136))</f>
        <v>680</v>
      </c>
      <c r="D136" s="72" t="str">
        <f>IF($K136="","",TRIM(INDEX('Detalle individual'!$B:$B,$K136)))</f>
        <v>CARLOS FRANCISCO HERNANDEZ MUÑOZ</v>
      </c>
      <c r="E136" s="72" t="str">
        <f>IF($K136="","",TRIM(INDEX('Detalle individual'!$E:$E,$K136)))</f>
        <v>ANALISTA QA</v>
      </c>
      <c r="F136" s="72" t="str">
        <f>IF($K136="","",TRIM(INDEX('Detalle individual'!$C:$C,$K136)))</f>
        <v>DEPARTAMENTO DE ANALISIS Y PROGRAMACIÓN</v>
      </c>
      <c r="G136" s="72" t="str">
        <f>IF($K136="","",INDEX('Detalle individual'!$D:$D,$K136))</f>
        <v>Gerencia de Sistemas</v>
      </c>
      <c r="H136" s="13" t="str">
        <f>IF($K136="","",INDEX('Detalle individual'!$F:$F,$K136))</f>
        <v>Completado</v>
      </c>
      <c r="I136" s="20">
        <f>IF($K136="","",IF(INDEX('Detalle individual'!$F:$F,$K136)="Completado",INDEX('Detalle individual'!$H:$H,$K136),""))</f>
        <v>46300.39171296296</v>
      </c>
      <c r="J136" s="21">
        <f>IF($K136="","",IF(INDEX('Detalle individual'!$F:$F,$K136)="Completado",INDEX('Detalle individual'!$J:$J,$K136),""))</f>
        <v>100</v>
      </c>
      <c r="K136">
        <f>IFERROR(MOD(SMALL(Cálculos!$Z$5:$Z$1000,128),10000),"")</f>
        <v>115</v>
      </c>
    </row>
    <row r="137">
      <c r="B137" s="13">
        <f>IF($K137="","",129)</f>
        <v>129</v>
      </c>
      <c r="C137" s="13" t="str">
        <f>IF($K137="","",INDEX('Detalle individual'!$A:$A,$K137))</f>
        <v>752</v>
      </c>
      <c r="D137" s="72" t="str">
        <f>IF($K137="","",TRIM(INDEX('Detalle individual'!$B:$B,$K137)))</f>
        <v>JEAN HARRY MIRANDA ARAUJO</v>
      </c>
      <c r="E137" s="72" t="str">
        <f>IF($K137="","",TRIM(INDEX('Detalle individual'!$E:$E,$K137)))</f>
        <v>ANALISTA PROGRAMADOR</v>
      </c>
      <c r="F137" s="72" t="str">
        <f>IF($K137="","",TRIM(INDEX('Detalle individual'!$C:$C,$K137)))</f>
        <v>DEPARTAMENTO DE ANALISIS Y PROGRAMACIÓN</v>
      </c>
      <c r="G137" s="72" t="str">
        <f>IF($K137="","",INDEX('Detalle individual'!$D:$D,$K137))</f>
        <v>Gerencia de Sistemas</v>
      </c>
      <c r="H137" s="13" t="str">
        <f>IF($K137="","",INDEX('Detalle individual'!$F:$F,$K137))</f>
        <v>Completado</v>
      </c>
      <c r="I137" s="20">
        <f>IF($K137="","",IF(INDEX('Detalle individual'!$F:$F,$K137)="Completado",INDEX('Detalle individual'!$H:$H,$K137),""))</f>
        <v>46307.43311342593</v>
      </c>
      <c r="J137" s="21">
        <f>IF($K137="","",IF(INDEX('Detalle individual'!$F:$F,$K137)="Completado",INDEX('Detalle individual'!$J:$J,$K137),""))</f>
        <v>100</v>
      </c>
      <c r="K137">
        <f>IFERROR(MOD(SMALL(Cálculos!$Z$5:$Z$1000,129),10000),"")</f>
        <v>116</v>
      </c>
    </row>
    <row r="138">
      <c r="B138" s="13">
        <f>IF($K138="","",130)</f>
        <v>130</v>
      </c>
      <c r="C138" s="13" t="str">
        <f>IF($K138="","",INDEX('Detalle individual'!$A:$A,$K138))</f>
        <v>783</v>
      </c>
      <c r="D138" s="72" t="str">
        <f>IF($K138="","",TRIM(INDEX('Detalle individual'!$B:$B,$K138)))</f>
        <v>JONATHAN ALEXIS BERRIOS MENJIVAR</v>
      </c>
      <c r="E138" s="72" t="str">
        <f>IF($K138="","",TRIM(INDEX('Detalle individual'!$E:$E,$K138)))</f>
        <v>ANALISTA PROGRAMADOR</v>
      </c>
      <c r="F138" s="72" t="str">
        <f>IF($K138="","",TRIM(INDEX('Detalle individual'!$C:$C,$K138)))</f>
        <v>DEPARTAMENTO DE ANALISIS Y PROGRAMACIÓN</v>
      </c>
      <c r="G138" s="72" t="str">
        <f>IF($K138="","",INDEX('Detalle individual'!$D:$D,$K138))</f>
        <v>Gerencia de Sistemas</v>
      </c>
      <c r="H138" s="13" t="str">
        <f>IF($K138="","",INDEX('Detalle individual'!$F:$F,$K138))</f>
        <v>Completado</v>
      </c>
      <c r="I138" s="20">
        <f>IF($K138="","",IF(INDEX('Detalle individual'!$F:$F,$K138)="Completado",INDEX('Detalle individual'!$H:$H,$K138),""))</f>
        <v>46304.40027777778</v>
      </c>
      <c r="J138" s="21">
        <f>IF($K138="","",IF(INDEX('Detalle individual'!$F:$F,$K138)="Completado",INDEX('Detalle individual'!$J:$J,$K138),""))</f>
        <v>100</v>
      </c>
      <c r="K138">
        <f>IFERROR(MOD(SMALL(Cálculos!$Z$5:$Z$1000,130),10000),"")</f>
        <v>117</v>
      </c>
    </row>
    <row r="139">
      <c r="B139" s="13">
        <f>IF($K139="","",131)</f>
        <v>131</v>
      </c>
      <c r="C139" s="13" t="str">
        <f>IF($K139="","",INDEX('Detalle individual'!$A:$A,$K139))</f>
        <v>806</v>
      </c>
      <c r="D139" s="72" t="str">
        <f>IF($K139="","",TRIM(INDEX('Detalle individual'!$B:$B,$K139)))</f>
        <v>BYRON WILFREDO MENJIVAR MELENDEZ</v>
      </c>
      <c r="E139" s="72" t="str">
        <f>IF($K139="","",TRIM(INDEX('Detalle individual'!$E:$E,$K139)))</f>
        <v>ANALISTA PROGRAMADOR</v>
      </c>
      <c r="F139" s="72" t="str">
        <f>IF($K139="","",TRIM(INDEX('Detalle individual'!$C:$C,$K139)))</f>
        <v>DEPARTAMENTO DE ANALISIS Y PROGRAMACIÓN</v>
      </c>
      <c r="G139" s="72" t="str">
        <f>IF($K139="","",INDEX('Detalle individual'!$D:$D,$K139))</f>
        <v>Gerencia de Sistemas</v>
      </c>
      <c r="H139" s="13" t="str">
        <f>IF($K139="","",INDEX('Detalle individual'!$F:$F,$K139))</f>
        <v>Completado</v>
      </c>
      <c r="I139" s="20">
        <f>IF($K139="","",IF(INDEX('Detalle individual'!$F:$F,$K139)="Completado",INDEX('Detalle individual'!$H:$H,$K139),""))</f>
        <v>46304.384618055556</v>
      </c>
      <c r="J139" s="21">
        <f>IF($K139="","",IF(INDEX('Detalle individual'!$F:$F,$K139)="Completado",INDEX('Detalle individual'!$J:$J,$K139),""))</f>
        <v>100</v>
      </c>
      <c r="K139">
        <f>IFERROR(MOD(SMALL(Cálculos!$Z$5:$Z$1000,131),10000),"")</f>
        <v>118</v>
      </c>
    </row>
    <row r="140">
      <c r="B140" s="13">
        <f>IF($K140="","",132)</f>
        <v>132</v>
      </c>
      <c r="C140" s="13" t="str">
        <f>IF($K140="","",INDEX('Detalle individual'!$A:$A,$K140))</f>
        <v>824</v>
      </c>
      <c r="D140" s="72" t="str">
        <f>IF($K140="","",TRIM(INDEX('Detalle individual'!$B:$B,$K140)))</f>
        <v>RODRIGO FERNANDO FIGUEROA RIVAS</v>
      </c>
      <c r="E140" s="72" t="str">
        <f>IF($K140="","",TRIM(INDEX('Detalle individual'!$E:$E,$K140)))</f>
        <v>ANALISTA PROGRAMADOR JUNIOR</v>
      </c>
      <c r="F140" s="72" t="str">
        <f>IF($K140="","",TRIM(INDEX('Detalle individual'!$C:$C,$K140)))</f>
        <v>DEPARTAMENTO DE ANALISIS Y PROGRAMACIÓN</v>
      </c>
      <c r="G140" s="72" t="str">
        <f>IF($K140="","",INDEX('Detalle individual'!$D:$D,$K140))</f>
        <v>Gerencia de Sistemas</v>
      </c>
      <c r="H140" s="13" t="str">
        <f>IF($K140="","",INDEX('Detalle individual'!$F:$F,$K140))</f>
        <v>Completado</v>
      </c>
      <c r="I140" s="20">
        <f>IF($K140="","",IF(INDEX('Detalle individual'!$F:$F,$K140)="Completado",INDEX('Detalle individual'!$H:$H,$K140),""))</f>
        <v>46304.38784722222</v>
      </c>
      <c r="J140" s="21">
        <f>IF($K140="","",IF(INDEX('Detalle individual'!$F:$F,$K140)="Completado",INDEX('Detalle individual'!$J:$J,$K140),""))</f>
        <v>100</v>
      </c>
      <c r="K140">
        <f>IFERROR(MOD(SMALL(Cálculos!$Z$5:$Z$1000,132),10000),"")</f>
        <v>119</v>
      </c>
    </row>
    <row r="141">
      <c r="B141" s="13">
        <f>IF($K141="","",133)</f>
        <v>133</v>
      </c>
      <c r="C141" s="13" t="str">
        <f>IF($K141="","",INDEX('Detalle individual'!$A:$A,$K141))</f>
        <v>879</v>
      </c>
      <c r="D141" s="72" t="str">
        <f>IF($K141="","",TRIM(INDEX('Detalle individual'!$B:$B,$K141)))</f>
        <v>MILAGRO NATIVIDAD ESCOBAR MELENDEZ</v>
      </c>
      <c r="E141" s="72" t="str">
        <f>IF($K141="","",TRIM(INDEX('Detalle individual'!$E:$E,$K141)))</f>
        <v>ANALISTA PROGRAMADOR</v>
      </c>
      <c r="F141" s="72" t="str">
        <f>IF($K141="","",TRIM(INDEX('Detalle individual'!$C:$C,$K141)))</f>
        <v>DEPARTAMENTO DE ANALISIS Y PROGRAMACIÓN</v>
      </c>
      <c r="G141" s="72" t="str">
        <f>IF($K141="","",INDEX('Detalle individual'!$D:$D,$K141))</f>
        <v>Gerencia de Sistemas</v>
      </c>
      <c r="H141" s="13" t="str">
        <f>IF($K141="","",INDEX('Detalle individual'!$F:$F,$K141))</f>
        <v>Completado</v>
      </c>
      <c r="I141" s="20">
        <f>IF($K141="","",IF(INDEX('Detalle individual'!$F:$F,$K141)="Completado",INDEX('Detalle individual'!$H:$H,$K141),""))</f>
        <v>46304.394837962966</v>
      </c>
      <c r="J141" s="21">
        <f>IF($K141="","",IF(INDEX('Detalle individual'!$F:$F,$K141)="Completado",INDEX('Detalle individual'!$J:$J,$K141),""))</f>
        <v>100</v>
      </c>
      <c r="K141">
        <f>IFERROR(MOD(SMALL(Cálculos!$Z$5:$Z$1000,133),10000),"")</f>
        <v>120</v>
      </c>
    </row>
    <row r="142">
      <c r="B142" s="13">
        <f>IF($K142="","",134)</f>
        <v>134</v>
      </c>
      <c r="C142" s="13" t="str">
        <f>IF($K142="","",INDEX('Detalle individual'!$A:$A,$K142))</f>
        <v>899</v>
      </c>
      <c r="D142" s="72" t="str">
        <f>IF($K142="","",TRIM(INDEX('Detalle individual'!$B:$B,$K142)))</f>
        <v>ALEJANDRA VERONICA CENTENO LOPEZ</v>
      </c>
      <c r="E142" s="72" t="str">
        <f>IF($K142="","",TRIM(INDEX('Detalle individual'!$E:$E,$K142)))</f>
        <v>ANALISTA PROGRAMADOR</v>
      </c>
      <c r="F142" s="72" t="str">
        <f>IF($K142="","",TRIM(INDEX('Detalle individual'!$C:$C,$K142)))</f>
        <v>DEPARTAMENTO DE ANALISIS Y PROGRAMACIÓN</v>
      </c>
      <c r="G142" s="72" t="str">
        <f>IF($K142="","",INDEX('Detalle individual'!$D:$D,$K142))</f>
        <v>Gerencia de Sistemas</v>
      </c>
      <c r="H142" s="13" t="str">
        <f>IF($K142="","",INDEX('Detalle individual'!$F:$F,$K142))</f>
        <v>Completado</v>
      </c>
      <c r="I142" s="20">
        <f>IF($K142="","",IF(INDEX('Detalle individual'!$F:$F,$K142)="Completado",INDEX('Detalle individual'!$H:$H,$K142),""))</f>
        <v>46310.69614583333</v>
      </c>
      <c r="J142" s="21">
        <f>IF($K142="","",IF(INDEX('Detalle individual'!$F:$F,$K142)="Completado",INDEX('Detalle individual'!$J:$J,$K142),""))</f>
        <v>100</v>
      </c>
      <c r="K142">
        <f>IFERROR(MOD(SMALL(Cálculos!$Z$5:$Z$1000,134),10000),"")</f>
        <v>121</v>
      </c>
    </row>
    <row r="143">
      <c r="B143" s="13">
        <f>IF($K143="","",135)</f>
        <v>135</v>
      </c>
      <c r="C143" s="13" t="str">
        <f>IF($K143="","",INDEX('Detalle individual'!$A:$A,$K143))</f>
        <v>166</v>
      </c>
      <c r="D143" s="72" t="str">
        <f>IF($K143="","",TRIM(INDEX('Detalle individual'!$B:$B,$K143)))</f>
        <v>MARIA FRANCISCA DE LA LUZ HERNANDEZ HERNANDEZ</v>
      </c>
      <c r="E143" s="72" t="str">
        <f>IF($K143="","",TRIM(INDEX('Detalle individual'!$E:$E,$K143)))</f>
        <v>JEFE DE ATENCION A ASOCIADOS Y CLIENTES</v>
      </c>
      <c r="F143" s="72" t="str">
        <f>IF($K143="","",TRIM(INDEX('Detalle individual'!$C:$C,$K143)))</f>
        <v>DEPARTAMENTO DE ATENCION A ASOCIADO Y CLIENTE</v>
      </c>
      <c r="G143" s="72" t="str">
        <f>IF($K143="","",INDEX('Detalle individual'!$D:$D,$K143))</f>
        <v>Gerencia de Negocios</v>
      </c>
      <c r="H143" s="13" t="str">
        <f>IF($K143="","",INDEX('Detalle individual'!$F:$F,$K143))</f>
        <v>Completado</v>
      </c>
      <c r="I143" s="20">
        <f>IF($K143="","",IF(INDEX('Detalle individual'!$F:$F,$K143)="Completado",INDEX('Detalle individual'!$H:$H,$K143),""))</f>
        <v>46301.489282407405</v>
      </c>
      <c r="J143" s="21">
        <f>IF($K143="","",IF(INDEX('Detalle individual'!$F:$F,$K143)="Completado",INDEX('Detalle individual'!$J:$J,$K143),""))</f>
        <v>100</v>
      </c>
      <c r="K143">
        <f>IFERROR(MOD(SMALL(Cálculos!$Z$5:$Z$1000,135),10000),"")</f>
        <v>139</v>
      </c>
    </row>
    <row r="144">
      <c r="B144" s="13">
        <f>IF($K144="","",136)</f>
        <v>136</v>
      </c>
      <c r="C144" s="13" t="str">
        <f>IF($K144="","",INDEX('Detalle individual'!$A:$A,$K144))</f>
        <v>712</v>
      </c>
      <c r="D144" s="72" t="str">
        <f>IF($K144="","",TRIM(INDEX('Detalle individual'!$B:$B,$K144)))</f>
        <v>EDGARDO ISAIAS PEÑATE RIVAS</v>
      </c>
      <c r="E144" s="72" t="str">
        <f>IF($K144="","",TRIM(INDEX('Detalle individual'!$E:$E,$K144)))</f>
        <v>ASISTENTE TECNICO DEL FONDO DE SOLIDARIDAD</v>
      </c>
      <c r="F144" s="72" t="str">
        <f>IF($K144="","",TRIM(INDEX('Detalle individual'!$C:$C,$K144)))</f>
        <v>DEPARTAMENTO DE ATENCION A ASOCIADO Y CLIENTE</v>
      </c>
      <c r="G144" s="72" t="str">
        <f>IF($K144="","",INDEX('Detalle individual'!$D:$D,$K144))</f>
        <v>Gerencia de Negocios</v>
      </c>
      <c r="H144" s="13" t="str">
        <f>IF($K144="","",INDEX('Detalle individual'!$F:$F,$K144))</f>
        <v>Completado</v>
      </c>
      <c r="I144" s="20">
        <f>IF($K144="","",IF(INDEX('Detalle individual'!$F:$F,$K144)="Completado",INDEX('Detalle individual'!$H:$H,$K144),""))</f>
        <v>46304.37650462963</v>
      </c>
      <c r="J144" s="21">
        <f>IF($K144="","",IF(INDEX('Detalle individual'!$F:$F,$K144)="Completado",INDEX('Detalle individual'!$J:$J,$K144),""))</f>
        <v>100</v>
      </c>
      <c r="K144">
        <f>IFERROR(MOD(SMALL(Cálculos!$Z$5:$Z$1000,136),10000),"")</f>
        <v>140</v>
      </c>
    </row>
    <row r="145">
      <c r="B145" s="13">
        <f>IF($K145="","",137)</f>
        <v>137</v>
      </c>
      <c r="C145" s="13" t="str">
        <f>IF($K145="","",INDEX('Detalle individual'!$A:$A,$K145))</f>
        <v>744</v>
      </c>
      <c r="D145" s="72" t="str">
        <f>IF($K145="","",TRIM(INDEX('Detalle individual'!$B:$B,$K145)))</f>
        <v>KARLA PATRICIA ROBLES CORTEZ</v>
      </c>
      <c r="E145" s="72" t="str">
        <f>IF($K145="","",TRIM(INDEX('Detalle individual'!$E:$E,$K145)))</f>
        <v>ASISTENTE TECNICO DE AFILIACION</v>
      </c>
      <c r="F145" s="72" t="str">
        <f>IF($K145="","",TRIM(INDEX('Detalle individual'!$C:$C,$K145)))</f>
        <v>DEPARTAMENTO DE ATENCION A ASOCIADO Y CLIENTE</v>
      </c>
      <c r="G145" s="72" t="str">
        <f>IF($K145="","",INDEX('Detalle individual'!$D:$D,$K145))</f>
        <v>Gerencia de Negocios</v>
      </c>
      <c r="H145" s="13" t="str">
        <f>IF($K145="","",INDEX('Detalle individual'!$F:$F,$K145))</f>
        <v>Completado</v>
      </c>
      <c r="I145" s="20">
        <f>IF($K145="","",IF(INDEX('Detalle individual'!$F:$F,$K145)="Completado",INDEX('Detalle individual'!$H:$H,$K145),""))</f>
        <v>46308.622615740744</v>
      </c>
      <c r="J145" s="21">
        <f>IF($K145="","",IF(INDEX('Detalle individual'!$F:$F,$K145)="Completado",INDEX('Detalle individual'!$J:$J,$K145),""))</f>
        <v>90</v>
      </c>
      <c r="K145">
        <f>IFERROR(MOD(SMALL(Cálculos!$Z$5:$Z$1000,137),10000),"")</f>
        <v>141</v>
      </c>
    </row>
    <row r="146">
      <c r="B146" s="13">
        <f>IF($K146="","",138)</f>
        <v>138</v>
      </c>
      <c r="C146" s="13" t="str">
        <f>IF($K146="","",INDEX('Detalle individual'!$A:$A,$K146))</f>
        <v>887</v>
      </c>
      <c r="D146" s="72" t="str">
        <f>IF($K146="","",TRIM(INDEX('Detalle individual'!$B:$B,$K146)))</f>
        <v>EMERSON ULISES BELTRAN CORTEZ</v>
      </c>
      <c r="E146" s="72" t="str">
        <f>IF($K146="","",TRIM(INDEX('Detalle individual'!$E:$E,$K146)))</f>
        <v>AUXILIAR DE ATENCION A ASOCIADOS</v>
      </c>
      <c r="F146" s="72" t="str">
        <f>IF($K146="","",TRIM(INDEX('Detalle individual'!$C:$C,$K146)))</f>
        <v>DEPARTAMENTO DE ATENCION A ASOCIADO Y CLIENTE</v>
      </c>
      <c r="G146" s="72" t="str">
        <f>IF($K146="","",INDEX('Detalle individual'!$D:$D,$K146))</f>
        <v>Gerencia de Negocios</v>
      </c>
      <c r="H146" s="13" t="str">
        <f>IF($K146="","",INDEX('Detalle individual'!$F:$F,$K146))</f>
        <v>Completado</v>
      </c>
      <c r="I146" s="20">
        <f>IF($K146="","",IF(INDEX('Detalle individual'!$F:$F,$K146)="Completado",INDEX('Detalle individual'!$H:$H,$K146),""))</f>
        <v>46308.64163194445</v>
      </c>
      <c r="J146" s="21">
        <f>IF($K146="","",IF(INDEX('Detalle individual'!$F:$F,$K146)="Completado",INDEX('Detalle individual'!$J:$J,$K146),""))</f>
        <v>100</v>
      </c>
      <c r="K146">
        <f>IFERROR(MOD(SMALL(Cálculos!$Z$5:$Z$1000,138),10000),"")</f>
        <v>142</v>
      </c>
    </row>
    <row r="147">
      <c r="B147" s="13">
        <f>IF($K147="","",139)</f>
        <v>139</v>
      </c>
      <c r="C147" s="13" t="str">
        <f>IF($K147="","",INDEX('Detalle individual'!$A:$A,$K147))</f>
        <v>945</v>
      </c>
      <c r="D147" s="72" t="str">
        <f>IF($K147="","",TRIM(INDEX('Detalle individual'!$B:$B,$K147)))</f>
        <v>FABIOLA ELIZABETH TICAS GOMEZ</v>
      </c>
      <c r="E147" s="72" t="str">
        <f>IF($K147="","",TRIM(INDEX('Detalle individual'!$E:$E,$K147)))</f>
        <v>RECEPCIONISTA</v>
      </c>
      <c r="F147" s="72" t="str">
        <f>IF($K147="","",TRIM(INDEX('Detalle individual'!$C:$C,$K147)))</f>
        <v>DEPARTAMENTO DE ATENCION A ASOCIADO Y CLIENTE</v>
      </c>
      <c r="G147" s="72" t="str">
        <f>IF($K147="","",INDEX('Detalle individual'!$D:$D,$K147))</f>
        <v>Gerencia de Negocios</v>
      </c>
      <c r="H147" s="13" t="str">
        <f>IF($K147="","",INDEX('Detalle individual'!$F:$F,$K147))</f>
        <v>Completado</v>
      </c>
      <c r="I147" s="20">
        <f>IF($K147="","",IF(INDEX('Detalle individual'!$F:$F,$K147)="Completado",INDEX('Detalle individual'!$H:$H,$K147),""))</f>
        <v>46309.409166666665</v>
      </c>
      <c r="J147" s="21">
        <f>IF($K147="","",IF(INDEX('Detalle individual'!$F:$F,$K147)="Completado",INDEX('Detalle individual'!$J:$J,$K147),""))</f>
        <v>100</v>
      </c>
      <c r="K147">
        <f>IFERROR(MOD(SMALL(Cálculos!$Z$5:$Z$1000,139),10000),"")</f>
        <v>143</v>
      </c>
    </row>
    <row r="148">
      <c r="B148" s="13">
        <f>IF($K148="","",140)</f>
        <v>140</v>
      </c>
      <c r="C148" s="13" t="str">
        <f>IF($K148="","",INDEX('Detalle individual'!$A:$A,$K148))</f>
        <v>981</v>
      </c>
      <c r="D148" s="72" t="str">
        <f>IF($K148="","",TRIM(INDEX('Detalle individual'!$B:$B,$K148)))</f>
        <v>ALAN RODRIGO BENITEZ RODRIGUEZ</v>
      </c>
      <c r="E148" s="72" t="str">
        <f>IF($K148="","",TRIM(INDEX('Detalle individual'!$E:$E,$K148)))</f>
        <v>PASANTE</v>
      </c>
      <c r="F148" s="72" t="str">
        <f>IF($K148="","",TRIM(INDEX('Detalle individual'!$C:$C,$K148)))</f>
        <v>DEPARTAMENTO DE ATENCION A ASOCIADO Y CLIENTE</v>
      </c>
      <c r="G148" s="72" t="str">
        <f>IF($K148="","",INDEX('Detalle individual'!$D:$D,$K148))</f>
        <v>Gerencia de Negocios</v>
      </c>
      <c r="H148" s="13" t="str">
        <f>IF($K148="","",INDEX('Detalle individual'!$F:$F,$K148))</f>
        <v>Completado</v>
      </c>
      <c r="I148" s="20">
        <f>IF($K148="","",IF(INDEX('Detalle individual'!$F:$F,$K148)="Completado",INDEX('Detalle individual'!$H:$H,$K148),""))</f>
        <v>46310.70625</v>
      </c>
      <c r="J148" s="21">
        <f>IF($K148="","",IF(INDEX('Detalle individual'!$F:$F,$K148)="Completado",INDEX('Detalle individual'!$J:$J,$K148),""))</f>
        <v>100</v>
      </c>
      <c r="K148">
        <f>IFERROR(MOD(SMALL(Cálculos!$Z$5:$Z$1000,140),10000),"")</f>
        <v>144</v>
      </c>
    </row>
    <row r="149">
      <c r="B149" s="13">
        <f>IF($K149="","",141)</f>
        <v>141</v>
      </c>
      <c r="C149" s="13" t="str">
        <f>IF($K149="","",INDEX('Detalle individual'!$A:$A,$K149))</f>
        <v>986</v>
      </c>
      <c r="D149" s="72" t="str">
        <f>IF($K149="","",TRIM(INDEX('Detalle individual'!$B:$B,$K149)))</f>
        <v>JENNIFER ROXANA AYALA AYALA</v>
      </c>
      <c r="E149" s="72" t="str">
        <f>IF($K149="","",TRIM(INDEX('Detalle individual'!$E:$E,$K149)))</f>
        <v>ASISTENTE TECNICO DEL FONDO DE SOLIDARIDAD</v>
      </c>
      <c r="F149" s="72" t="str">
        <f>IF($K149="","",TRIM(INDEX('Detalle individual'!$C:$C,$K149)))</f>
        <v>DEPARTAMENTO DE ATENCION A ASOCIADO Y CLIENTE</v>
      </c>
      <c r="G149" s="72" t="str">
        <f>IF($K149="","",INDEX('Detalle individual'!$D:$D,$K149))</f>
        <v>Gerencia de Negocios</v>
      </c>
      <c r="H149" s="13" t="str">
        <f>IF($K149="","",INDEX('Detalle individual'!$F:$F,$K149))</f>
        <v>Completado</v>
      </c>
      <c r="I149" s="20">
        <f>IF($K149="","",IF(INDEX('Detalle individual'!$F:$F,$K149)="Completado",INDEX('Detalle individual'!$H:$H,$K149),""))</f>
        <v>46308.713692129626</v>
      </c>
      <c r="J149" s="21">
        <f>IF($K149="","",IF(INDEX('Detalle individual'!$F:$F,$K149)="Completado",INDEX('Detalle individual'!$J:$J,$K149),""))</f>
        <v>80</v>
      </c>
      <c r="K149">
        <f>IFERROR(MOD(SMALL(Cálculos!$Z$5:$Z$1000,141),10000),"")</f>
        <v>297</v>
      </c>
    </row>
    <row r="150">
      <c r="B150" s="13">
        <f>IF($K150="","",142)</f>
        <v>142</v>
      </c>
      <c r="C150" s="13" t="str">
        <f>IF($K150="","",INDEX('Detalle individual'!$A:$A,$K150))</f>
        <v>330</v>
      </c>
      <c r="D150" s="72" t="str">
        <f>IF($K150="","",TRIM(INDEX('Detalle individual'!$B:$B,$K150)))</f>
        <v>MERALYS CHAVEZ RODRIGUEZ</v>
      </c>
      <c r="E150" s="72" t="str">
        <f>IF($K150="","",TRIM(INDEX('Detalle individual'!$E:$E,$K150)))</f>
        <v>AUDITOR INTERNO</v>
      </c>
      <c r="F150" s="72" t="str">
        <f>IF($K150="","",TRIM(INDEX('Detalle individual'!$C:$C,$K150)))</f>
        <v>DEPARTAMENTO DE AUDITORIA INTERNA</v>
      </c>
      <c r="G150" s="72" t="str">
        <f>IF($K150="","",INDEX('Detalle individual'!$D:$D,$K150))</f>
        <v>Auditoría Interna</v>
      </c>
      <c r="H150" s="13" t="str">
        <f>IF($K150="","",INDEX('Detalle individual'!$F:$F,$K150))</f>
        <v>Completado</v>
      </c>
      <c r="I150" s="20">
        <f>IF($K150="","",IF(INDEX('Detalle individual'!$F:$F,$K150)="Completado",INDEX('Detalle individual'!$H:$H,$K150),""))</f>
        <v>46307.652766203704</v>
      </c>
      <c r="J150" s="21">
        <f>IF($K150="","",IF(INDEX('Detalle individual'!$F:$F,$K150)="Completado",INDEX('Detalle individual'!$J:$J,$K150),""))</f>
        <v>100</v>
      </c>
      <c r="K150">
        <f>IFERROR(MOD(SMALL(Cálculos!$Z$5:$Z$1000,142),10000),"")</f>
        <v>123</v>
      </c>
    </row>
    <row r="151">
      <c r="B151" s="13">
        <f>IF($K151="","",143)</f>
        <v>143</v>
      </c>
      <c r="C151" s="13" t="str">
        <f>IF($K151="","",INDEX('Detalle individual'!$A:$A,$K151))</f>
        <v>424</v>
      </c>
      <c r="D151" s="72" t="str">
        <f>IF($K151="","",TRIM(INDEX('Detalle individual'!$B:$B,$K151)))</f>
        <v>MAYRA LISSETTE LOPEZ SANCHEZ</v>
      </c>
      <c r="E151" s="72" t="str">
        <f>IF($K151="","",TRIM(INDEX('Detalle individual'!$E:$E,$K151)))</f>
        <v>SUPERVISOR DE AUDITORIA INTERNA</v>
      </c>
      <c r="F151" s="72" t="str">
        <f>IF($K151="","",TRIM(INDEX('Detalle individual'!$C:$C,$K151)))</f>
        <v>DEPARTAMENTO DE AUDITORIA INTERNA</v>
      </c>
      <c r="G151" s="72" t="str">
        <f>IF($K151="","",INDEX('Detalle individual'!$D:$D,$K151))</f>
        <v>Auditoría Interna</v>
      </c>
      <c r="H151" s="13" t="str">
        <f>IF($K151="","",INDEX('Detalle individual'!$F:$F,$K151))</f>
        <v>Completado</v>
      </c>
      <c r="I151" s="20">
        <f>IF($K151="","",IF(INDEX('Detalle individual'!$F:$F,$K151)="Completado",INDEX('Detalle individual'!$H:$H,$K151),""))</f>
        <v>46304.404328703706</v>
      </c>
      <c r="J151" s="21">
        <f>IF($K151="","",IF(INDEX('Detalle individual'!$F:$F,$K151)="Completado",INDEX('Detalle individual'!$J:$J,$K151),""))</f>
        <v>90</v>
      </c>
      <c r="K151">
        <f>IFERROR(MOD(SMALL(Cálculos!$Z$5:$Z$1000,143),10000),"")</f>
        <v>124</v>
      </c>
    </row>
    <row r="152">
      <c r="B152" s="13">
        <f>IF($K152="","",144)</f>
        <v>144</v>
      </c>
      <c r="C152" s="13" t="str">
        <f>IF($K152="","",INDEX('Detalle individual'!$A:$A,$K152))</f>
        <v>534</v>
      </c>
      <c r="D152" s="72" t="str">
        <f>IF($K152="","",TRIM(INDEX('Detalle individual'!$B:$B,$K152)))</f>
        <v>NELSON DANILO BENITEZ MENDEZ</v>
      </c>
      <c r="E152" s="72" t="str">
        <f>IF($K152="","",TRIM(INDEX('Detalle individual'!$E:$E,$K152)))</f>
        <v>AUDITOR DE SISTEMAS</v>
      </c>
      <c r="F152" s="72" t="str">
        <f>IF($K152="","",TRIM(INDEX('Detalle individual'!$C:$C,$K152)))</f>
        <v>DEPARTAMENTO DE AUDITORIA INTERNA</v>
      </c>
      <c r="G152" s="72" t="str">
        <f>IF($K152="","",INDEX('Detalle individual'!$D:$D,$K152))</f>
        <v>Auditoría Interna</v>
      </c>
      <c r="H152" s="13" t="str">
        <f>IF($K152="","",INDEX('Detalle individual'!$F:$F,$K152))</f>
        <v>Completado</v>
      </c>
      <c r="I152" s="20">
        <f>IF($K152="","",IF(INDEX('Detalle individual'!$F:$F,$K152)="Completado",INDEX('Detalle individual'!$H:$H,$K152),""))</f>
        <v>46307.43875</v>
      </c>
      <c r="J152" s="21">
        <f>IF($K152="","",IF(INDEX('Detalle individual'!$F:$F,$K152)="Completado",INDEX('Detalle individual'!$J:$J,$K152),""))</f>
        <v>100</v>
      </c>
      <c r="K152">
        <f>IFERROR(MOD(SMALL(Cálculos!$Z$5:$Z$1000,144),10000),"")</f>
        <v>125</v>
      </c>
    </row>
    <row r="153">
      <c r="B153" s="13">
        <f>IF($K153="","",145)</f>
        <v>145</v>
      </c>
      <c r="C153" s="13" t="str">
        <f>IF($K153="","",INDEX('Detalle individual'!$A:$A,$K153))</f>
        <v>548</v>
      </c>
      <c r="D153" s="72" t="str">
        <f>IF($K153="","",TRIM(INDEX('Detalle individual'!$B:$B,$K153)))</f>
        <v>ZORAIDA LORENA LOPEZ MEDINA</v>
      </c>
      <c r="E153" s="72" t="str">
        <f>IF($K153="","",TRIM(INDEX('Detalle individual'!$E:$E,$K153)))</f>
        <v>ASISTENTE DE AUDITORIA INTERNA</v>
      </c>
      <c r="F153" s="72" t="str">
        <f>IF($K153="","",TRIM(INDEX('Detalle individual'!$C:$C,$K153)))</f>
        <v>DEPARTAMENTO DE AUDITORIA INTERNA</v>
      </c>
      <c r="G153" s="72" t="str">
        <f>IF($K153="","",INDEX('Detalle individual'!$D:$D,$K153))</f>
        <v>Auditoría Interna</v>
      </c>
      <c r="H153" s="13" t="str">
        <f>IF($K153="","",INDEX('Detalle individual'!$F:$F,$K153))</f>
        <v>Completado</v>
      </c>
      <c r="I153" s="20">
        <f>IF($K153="","",IF(INDEX('Detalle individual'!$F:$F,$K153)="Completado",INDEX('Detalle individual'!$H:$H,$K153),""))</f>
        <v>46296.711550925924</v>
      </c>
      <c r="J153" s="21">
        <f>IF($K153="","",IF(INDEX('Detalle individual'!$F:$F,$K153)="Completado",INDEX('Detalle individual'!$J:$J,$K153),""))</f>
        <v>100</v>
      </c>
      <c r="K153">
        <f>IFERROR(MOD(SMALL(Cálculos!$Z$5:$Z$1000,145),10000),"")</f>
        <v>126</v>
      </c>
    </row>
    <row r="154">
      <c r="B154" s="13">
        <f>IF($K154="","",146)</f>
        <v>146</v>
      </c>
      <c r="C154" s="13" t="str">
        <f>IF($K154="","",INDEX('Detalle individual'!$A:$A,$K154))</f>
        <v>742</v>
      </c>
      <c r="D154" s="72" t="str">
        <f>IF($K154="","",TRIM(INDEX('Detalle individual'!$B:$B,$K154)))</f>
        <v>PATRICIA GUADALUPE SEGOVIA RAMIREZ</v>
      </c>
      <c r="E154" s="72" t="str">
        <f>IF($K154="","",TRIM(INDEX('Detalle individual'!$E:$E,$K154)))</f>
        <v>ASISTENTE DE AUDITORIA INTERNA</v>
      </c>
      <c r="F154" s="72" t="str">
        <f>IF($K154="","",TRIM(INDEX('Detalle individual'!$C:$C,$K154)))</f>
        <v>DEPARTAMENTO DE AUDITORIA INTERNA</v>
      </c>
      <c r="G154" s="72" t="str">
        <f>IF($K154="","",INDEX('Detalle individual'!$D:$D,$K154))</f>
        <v>Auditoría Interna</v>
      </c>
      <c r="H154" s="13" t="str">
        <f>IF($K154="","",INDEX('Detalle individual'!$F:$F,$K154))</f>
        <v>Completado</v>
      </c>
      <c r="I154" s="20">
        <f>IF($K154="","",IF(INDEX('Detalle individual'!$F:$F,$K154)="Completado",INDEX('Detalle individual'!$H:$H,$K154),""))</f>
        <v>46304.40319444444</v>
      </c>
      <c r="J154" s="21">
        <f>IF($K154="","",IF(INDEX('Detalle individual'!$F:$F,$K154)="Completado",INDEX('Detalle individual'!$J:$J,$K154),""))</f>
        <v>90</v>
      </c>
      <c r="K154">
        <f>IFERROR(MOD(SMALL(Cálculos!$Z$5:$Z$1000,146),10000),"")</f>
        <v>127</v>
      </c>
    </row>
    <row r="155">
      <c r="B155" s="13">
        <f>IF($K155="","",147)</f>
        <v>147</v>
      </c>
      <c r="C155" s="13" t="str">
        <f>IF($K155="","",INDEX('Detalle individual'!$A:$A,$K155))</f>
        <v>750</v>
      </c>
      <c r="D155" s="72" t="str">
        <f>IF($K155="","",TRIM(INDEX('Detalle individual'!$B:$B,$K155)))</f>
        <v>MARLON ANTONIO BONILLA GARCIA</v>
      </c>
      <c r="E155" s="72" t="str">
        <f>IF($K155="","",TRIM(INDEX('Detalle individual'!$E:$E,$K155)))</f>
        <v>ASISTENTE DE AUDITORIA INTERNA</v>
      </c>
      <c r="F155" s="72" t="str">
        <f>IF($K155="","",TRIM(INDEX('Detalle individual'!$C:$C,$K155)))</f>
        <v>DEPARTAMENTO DE AUDITORIA INTERNA</v>
      </c>
      <c r="G155" s="72" t="str">
        <f>IF($K155="","",INDEX('Detalle individual'!$D:$D,$K155))</f>
        <v>Auditoría Interna</v>
      </c>
      <c r="H155" s="13" t="str">
        <f>IF($K155="","",INDEX('Detalle individual'!$F:$F,$K155))</f>
        <v>Completado</v>
      </c>
      <c r="I155" s="20">
        <f>IF($K155="","",IF(INDEX('Detalle individual'!$F:$F,$K155)="Completado",INDEX('Detalle individual'!$H:$H,$K155),""))</f>
        <v>46296.62321759259</v>
      </c>
      <c r="J155" s="21">
        <f>IF($K155="","",IF(INDEX('Detalle individual'!$F:$F,$K155)="Completado",INDEX('Detalle individual'!$J:$J,$K155),""))</f>
        <v>100</v>
      </c>
      <c r="K155">
        <f>IFERROR(MOD(SMALL(Cálculos!$Z$5:$Z$1000,147),10000),"")</f>
        <v>128</v>
      </c>
    </row>
    <row r="156">
      <c r="B156" s="13">
        <f>IF($K156="","",148)</f>
        <v>148</v>
      </c>
      <c r="C156" s="13" t="str">
        <f>IF($K156="","",INDEX('Detalle individual'!$A:$A,$K156))</f>
        <v>865</v>
      </c>
      <c r="D156" s="72" t="str">
        <f>IF($K156="","",TRIM(INDEX('Detalle individual'!$B:$B,$K156)))</f>
        <v>MARIA ELENA VALLE BENAVIDES</v>
      </c>
      <c r="E156" s="72" t="str">
        <f>IF($K156="","",TRIM(INDEX('Detalle individual'!$E:$E,$K156)))</f>
        <v>ASISTENTE DE AUDITORIA INTERNA</v>
      </c>
      <c r="F156" s="72" t="str">
        <f>IF($K156="","",TRIM(INDEX('Detalle individual'!$C:$C,$K156)))</f>
        <v>DEPARTAMENTO DE AUDITORIA INTERNA</v>
      </c>
      <c r="G156" s="72" t="str">
        <f>IF($K156="","",INDEX('Detalle individual'!$D:$D,$K156))</f>
        <v>Auditoría Interna</v>
      </c>
      <c r="H156" s="13" t="str">
        <f>IF($K156="","",INDEX('Detalle individual'!$F:$F,$K156))</f>
        <v>Completado</v>
      </c>
      <c r="I156" s="20">
        <f>IF($K156="","",IF(INDEX('Detalle individual'!$F:$F,$K156)="Completado",INDEX('Detalle individual'!$H:$H,$K156),""))</f>
        <v>46296.68074074074</v>
      </c>
      <c r="J156" s="21">
        <f>IF($K156="","",IF(INDEX('Detalle individual'!$F:$F,$K156)="Completado",INDEX('Detalle individual'!$J:$J,$K156),""))</f>
        <v>100</v>
      </c>
      <c r="K156">
        <f>IFERROR(MOD(SMALL(Cálculos!$Z$5:$Z$1000,148),10000),"")</f>
        <v>129</v>
      </c>
    </row>
    <row r="157">
      <c r="B157" s="13">
        <f>IF($K157="","",149)</f>
        <v>149</v>
      </c>
      <c r="C157" s="13" t="str">
        <f>IF($K157="","",INDEX('Detalle individual'!$A:$A,$K157))</f>
        <v>70</v>
      </c>
      <c r="D157" s="72" t="str">
        <f>IF($K157="","",TRIM(INDEX('Detalle individual'!$B:$B,$K157)))</f>
        <v>RUBIA ESTELA LEIVA SIBRIAN</v>
      </c>
      <c r="E157" s="72" t="str">
        <f>IF($K157="","",TRIM(INDEX('Detalle individual'!$E:$E,$K157)))</f>
        <v>ASISTENTE TECNICO DE PAGOS</v>
      </c>
      <c r="F157" s="72" t="str">
        <f>IF($K157="","",TRIM(INDEX('Detalle individual'!$C:$C,$K157)))</f>
        <v>DEPARTAMENTO DE CONTABILIDAD</v>
      </c>
      <c r="G157" s="72" t="str">
        <f>IF($K157="","",INDEX('Detalle individual'!$D:$D,$K157))</f>
        <v>Gerencia de Finanzas y Planificación</v>
      </c>
      <c r="H157" s="13" t="str">
        <f>IF($K157="","",INDEX('Detalle individual'!$F:$F,$K157))</f>
        <v>Completado</v>
      </c>
      <c r="I157" s="20">
        <f>IF($K157="","",IF(INDEX('Detalle individual'!$F:$F,$K157)="Completado",INDEX('Detalle individual'!$H:$H,$K157),""))</f>
        <v>46309.709386574075</v>
      </c>
      <c r="J157" s="21">
        <f>IF($K157="","",IF(INDEX('Detalle individual'!$F:$F,$K157)="Completado",INDEX('Detalle individual'!$J:$J,$K157),""))</f>
        <v>100</v>
      </c>
      <c r="K157">
        <f>IFERROR(MOD(SMALL(Cálculos!$Z$5:$Z$1000,149),10000),"")</f>
        <v>85</v>
      </c>
    </row>
    <row r="158">
      <c r="B158" s="13">
        <f>IF($K158="","",150)</f>
        <v>150</v>
      </c>
      <c r="C158" s="13" t="str">
        <f>IF($K158="","",INDEX('Detalle individual'!$A:$A,$K158))</f>
        <v>235</v>
      </c>
      <c r="D158" s="72" t="str">
        <f>IF($K158="","",TRIM(INDEX('Detalle individual'!$B:$B,$K158)))</f>
        <v>CLAUDIA MARLENE CABRERA SANCHEZ</v>
      </c>
      <c r="E158" s="72" t="str">
        <f>IF($K158="","",TRIM(INDEX('Detalle individual'!$E:$E,$K158)))</f>
        <v>SUPERVISOR DE CONTABILIDAD</v>
      </c>
      <c r="F158" s="72" t="str">
        <f>IF($K158="","",TRIM(INDEX('Detalle individual'!$C:$C,$K158)))</f>
        <v>DEPARTAMENTO DE CONTABILIDAD</v>
      </c>
      <c r="G158" s="72" t="str">
        <f>IF($K158="","",INDEX('Detalle individual'!$D:$D,$K158))</f>
        <v>Gerencia de Finanzas y Planificación</v>
      </c>
      <c r="H158" s="13" t="str">
        <f>IF($K158="","",INDEX('Detalle individual'!$F:$F,$K158))</f>
        <v>Completado</v>
      </c>
      <c r="I158" s="20">
        <f>IF($K158="","",IF(INDEX('Detalle individual'!$F:$F,$K158)="Completado",INDEX('Detalle individual'!$H:$H,$K158),""))</f>
        <v>46310.569606481484</v>
      </c>
      <c r="J158" s="21">
        <f>IF($K158="","",IF(INDEX('Detalle individual'!$F:$F,$K158)="Completado",INDEX('Detalle individual'!$J:$J,$K158),""))</f>
        <v>100</v>
      </c>
      <c r="K158">
        <f>IFERROR(MOD(SMALL(Cálculos!$Z$5:$Z$1000,150),10000),"")</f>
        <v>86</v>
      </c>
    </row>
    <row r="159">
      <c r="B159" s="13">
        <f>IF($K159="","",151)</f>
        <v>151</v>
      </c>
      <c r="C159" s="13" t="str">
        <f>IF($K159="","",INDEX('Detalle individual'!$A:$A,$K159))</f>
        <v>373</v>
      </c>
      <c r="D159" s="72" t="str">
        <f>IF($K159="","",TRIM(INDEX('Detalle individual'!$B:$B,$K159)))</f>
        <v>MARTA ELIZABETH RODRIGUEZ INESTROZA</v>
      </c>
      <c r="E159" s="72" t="str">
        <f>IF($K159="","",TRIM(INDEX('Detalle individual'!$E:$E,$K159)))</f>
        <v>CONTADOR GENERAL</v>
      </c>
      <c r="F159" s="72" t="str">
        <f>IF($K159="","",TRIM(INDEX('Detalle individual'!$C:$C,$K159)))</f>
        <v>DEPARTAMENTO DE CONTABILIDAD</v>
      </c>
      <c r="G159" s="72" t="str">
        <f>IF($K159="","",INDEX('Detalle individual'!$D:$D,$K159))</f>
        <v>Gerencia de Finanzas y Planificación</v>
      </c>
      <c r="H159" s="13" t="str">
        <f>IF($K159="","",INDEX('Detalle individual'!$F:$F,$K159))</f>
        <v>Completado</v>
      </c>
      <c r="I159" s="20">
        <f>IF($K159="","",IF(INDEX('Detalle individual'!$F:$F,$K159)="Completado",INDEX('Detalle individual'!$H:$H,$K159),""))</f>
        <v>46296.82847222222</v>
      </c>
      <c r="J159" s="21">
        <f>IF($K159="","",IF(INDEX('Detalle individual'!$F:$F,$K159)="Completado",INDEX('Detalle individual'!$J:$J,$K159),""))</f>
        <v>100</v>
      </c>
      <c r="K159">
        <f>IFERROR(MOD(SMALL(Cálculos!$Z$5:$Z$1000,151),10000),"")</f>
        <v>87</v>
      </c>
    </row>
    <row r="160">
      <c r="B160" s="13">
        <f>IF($K160="","",152)</f>
        <v>152</v>
      </c>
      <c r="C160" s="13" t="str">
        <f>IF($K160="","",INDEX('Detalle individual'!$A:$A,$K160))</f>
        <v>374</v>
      </c>
      <c r="D160" s="72" t="str">
        <f>IF($K160="","",TRIM(INDEX('Detalle individual'!$B:$B,$K160)))</f>
        <v>THELMA JUDITH QUINTANILLA VALLE</v>
      </c>
      <c r="E160" s="72" t="str">
        <f>IF($K160="","",TRIM(INDEX('Detalle individual'!$E:$E,$K160)))</f>
        <v>AUXILIAR CONTABLE DE DIGITALIZACION</v>
      </c>
      <c r="F160" s="72" t="str">
        <f>IF($K160="","",TRIM(INDEX('Detalle individual'!$C:$C,$K160)))</f>
        <v>DEPARTAMENTO DE CONTABILIDAD</v>
      </c>
      <c r="G160" s="72" t="str">
        <f>IF($K160="","",INDEX('Detalle individual'!$D:$D,$K160))</f>
        <v>Gerencia de Finanzas y Planificación</v>
      </c>
      <c r="H160" s="13" t="str">
        <f>IF($K160="","",INDEX('Detalle individual'!$F:$F,$K160))</f>
        <v>Completado</v>
      </c>
      <c r="I160" s="20">
        <f>IF($K160="","",IF(INDEX('Detalle individual'!$F:$F,$K160)="Completado",INDEX('Detalle individual'!$H:$H,$K160),""))</f>
        <v>46309.386967592596</v>
      </c>
      <c r="J160" s="21">
        <f>IF($K160="","",IF(INDEX('Detalle individual'!$F:$F,$K160)="Completado",INDEX('Detalle individual'!$J:$J,$K160),""))</f>
        <v>85</v>
      </c>
      <c r="K160">
        <f>IFERROR(MOD(SMALL(Cálculos!$Z$5:$Z$1000,152),10000),"")</f>
        <v>88</v>
      </c>
    </row>
    <row r="161">
      <c r="B161" s="13">
        <f>IF($K161="","",153)</f>
        <v>153</v>
      </c>
      <c r="C161" s="13" t="str">
        <f>IF($K161="","",INDEX('Detalle individual'!$A:$A,$K161))</f>
        <v>571</v>
      </c>
      <c r="D161" s="72" t="str">
        <f>IF($K161="","",TRIM(INDEX('Detalle individual'!$B:$B,$K161)))</f>
        <v>MILAGRO TRINIDAD ROMERO MONTERROSA</v>
      </c>
      <c r="E161" s="72" t="str">
        <f>IF($K161="","",TRIM(INDEX('Detalle individual'!$E:$E,$K161)))</f>
        <v>ASISTENTE TECNICO DE IMPUESTOS</v>
      </c>
      <c r="F161" s="72" t="str">
        <f>IF($K161="","",TRIM(INDEX('Detalle individual'!$C:$C,$K161)))</f>
        <v>DEPARTAMENTO DE CONTABILIDAD</v>
      </c>
      <c r="G161" s="72" t="str">
        <f>IF($K161="","",INDEX('Detalle individual'!$D:$D,$K161))</f>
        <v>Gerencia de Finanzas y Planificación</v>
      </c>
      <c r="H161" s="13" t="str">
        <f>IF($K161="","",INDEX('Detalle individual'!$F:$F,$K161))</f>
        <v>Completado</v>
      </c>
      <c r="I161" s="20">
        <f>IF($K161="","",IF(INDEX('Detalle individual'!$F:$F,$K161)="Completado",INDEX('Detalle individual'!$H:$H,$K161),""))</f>
        <v>46310.56497685185</v>
      </c>
      <c r="J161" s="21">
        <f>IF($K161="","",IF(INDEX('Detalle individual'!$F:$F,$K161)="Completado",INDEX('Detalle individual'!$J:$J,$K161),""))</f>
        <v>100</v>
      </c>
      <c r="K161">
        <f>IFERROR(MOD(SMALL(Cálculos!$Z$5:$Z$1000,153),10000),"")</f>
        <v>89</v>
      </c>
    </row>
    <row r="162">
      <c r="B162" s="13">
        <f>IF($K162="","",154)</f>
        <v>154</v>
      </c>
      <c r="C162" s="13" t="str">
        <f>IF($K162="","",INDEX('Detalle individual'!$A:$A,$K162))</f>
        <v>676</v>
      </c>
      <c r="D162" s="72" t="str">
        <f>IF($K162="","",TRIM(INDEX('Detalle individual'!$B:$B,$K162)))</f>
        <v>DANIEL ENRIQUE FLORES RAMIREZ</v>
      </c>
      <c r="E162" s="72" t="str">
        <f>IF($K162="","",TRIM(INDEX('Detalle individual'!$E:$E,$K162)))</f>
        <v>ASISTENTE TECNICO DE TARJETA DE CREDITO Y DEBITO</v>
      </c>
      <c r="F162" s="72" t="str">
        <f>IF($K162="","",TRIM(INDEX('Detalle individual'!$C:$C,$K162)))</f>
        <v>DEPARTAMENTO DE CONTABILIDAD</v>
      </c>
      <c r="G162" s="72" t="str">
        <f>IF($K162="","",INDEX('Detalle individual'!$D:$D,$K162))</f>
        <v>Gerencia de Finanzas y Planificación</v>
      </c>
      <c r="H162" s="13" t="str">
        <f>IF($K162="","",INDEX('Detalle individual'!$F:$F,$K162))</f>
        <v>Completado</v>
      </c>
      <c r="I162" s="20">
        <f>IF($K162="","",IF(INDEX('Detalle individual'!$F:$F,$K162)="Completado",INDEX('Detalle individual'!$H:$H,$K162),""))</f>
        <v>46304.36083333333</v>
      </c>
      <c r="J162" s="21">
        <f>IF($K162="","",IF(INDEX('Detalle individual'!$F:$F,$K162)="Completado",INDEX('Detalle individual'!$J:$J,$K162),""))</f>
        <v>100</v>
      </c>
      <c r="K162">
        <f>IFERROR(MOD(SMALL(Cálculos!$Z$5:$Z$1000,154),10000),"")</f>
        <v>90</v>
      </c>
    </row>
    <row r="163">
      <c r="B163" s="13">
        <f>IF($K163="","",155)</f>
        <v>155</v>
      </c>
      <c r="C163" s="13" t="str">
        <f>IF($K163="","",INDEX('Detalle individual'!$A:$A,$K163))</f>
        <v>733</v>
      </c>
      <c r="D163" s="72" t="str">
        <f>IF($K163="","",TRIM(INDEX('Detalle individual'!$B:$B,$K163)))</f>
        <v>ROSSEMARY YAMILETH LOBATO MARTINEZ</v>
      </c>
      <c r="E163" s="72" t="str">
        <f>IF($K163="","",TRIM(INDEX('Detalle individual'!$E:$E,$K163)))</f>
        <v>ASISTENTE TECNICO DE PAGOS</v>
      </c>
      <c r="F163" s="72" t="str">
        <f>IF($K163="","",TRIM(INDEX('Detalle individual'!$C:$C,$K163)))</f>
        <v>DEPARTAMENTO DE CONTABILIDAD</v>
      </c>
      <c r="G163" s="72" t="str">
        <f>IF($K163="","",INDEX('Detalle individual'!$D:$D,$K163))</f>
        <v>Gerencia de Finanzas y Planificación</v>
      </c>
      <c r="H163" s="13" t="str">
        <f>IF($K163="","",INDEX('Detalle individual'!$F:$F,$K163))</f>
        <v>Completado</v>
      </c>
      <c r="I163" s="20">
        <f>IF($K163="","",IF(INDEX('Detalle individual'!$F:$F,$K163)="Completado",INDEX('Detalle individual'!$H:$H,$K163),""))</f>
        <v>46300.31707175926</v>
      </c>
      <c r="J163" s="21">
        <f>IF($K163="","",IF(INDEX('Detalle individual'!$F:$F,$K163)="Completado",INDEX('Detalle individual'!$J:$J,$K163),""))</f>
        <v>100</v>
      </c>
      <c r="K163">
        <f>IFERROR(MOD(SMALL(Cálculos!$Z$5:$Z$1000,155),10000),"")</f>
        <v>91</v>
      </c>
    </row>
    <row r="164">
      <c r="B164" s="13">
        <f>IF($K164="","",156)</f>
        <v>156</v>
      </c>
      <c r="C164" s="13" t="str">
        <f>IF($K164="","",INDEX('Detalle individual'!$A:$A,$K164))</f>
        <v>749</v>
      </c>
      <c r="D164" s="72" t="str">
        <f>IF($K164="","",TRIM(INDEX('Detalle individual'!$B:$B,$K164)))</f>
        <v>JENNIFER MARCELA MORALES TORRES</v>
      </c>
      <c r="E164" s="72" t="str">
        <f>IF($K164="","",TRIM(INDEX('Detalle individual'!$E:$E,$K164)))</f>
        <v>CONTADOR BANCARIO</v>
      </c>
      <c r="F164" s="72" t="str">
        <f>IF($K164="","",TRIM(INDEX('Detalle individual'!$C:$C,$K164)))</f>
        <v>DEPARTAMENTO DE CONTABILIDAD</v>
      </c>
      <c r="G164" s="72" t="str">
        <f>IF($K164="","",INDEX('Detalle individual'!$D:$D,$K164))</f>
        <v>Gerencia de Finanzas y Planificación</v>
      </c>
      <c r="H164" s="13" t="str">
        <f>IF($K164="","",INDEX('Detalle individual'!$F:$F,$K164))</f>
        <v>Completado</v>
      </c>
      <c r="I164" s="20">
        <f>IF($K164="","",IF(INDEX('Detalle individual'!$F:$F,$K164)="Completado",INDEX('Detalle individual'!$H:$H,$K164),""))</f>
        <v>46307.39042824074</v>
      </c>
      <c r="J164" s="21">
        <f>IF($K164="","",IF(INDEX('Detalle individual'!$F:$F,$K164)="Completado",INDEX('Detalle individual'!$J:$J,$K164),""))</f>
        <v>100</v>
      </c>
      <c r="K164">
        <f>IFERROR(MOD(SMALL(Cálculos!$Z$5:$Z$1000,156),10000),"")</f>
        <v>92</v>
      </c>
    </row>
    <row r="165">
      <c r="B165" s="13">
        <f>IF($K165="","",157)</f>
        <v>157</v>
      </c>
      <c r="C165" s="13" t="str">
        <f>IF($K165="","",INDEX('Detalle individual'!$A:$A,$K165))</f>
        <v>778</v>
      </c>
      <c r="D165" s="72" t="str">
        <f>IF($K165="","",TRIM(INDEX('Detalle individual'!$B:$B,$K165)))</f>
        <v>ERICK RODRIGO ORTIZ TURCIOS</v>
      </c>
      <c r="E165" s="72" t="str">
        <f>IF($K165="","",TRIM(INDEX('Detalle individual'!$E:$E,$K165)))</f>
        <v>ASISTENTE TECNICO DE AGENCIA CENTRAL</v>
      </c>
      <c r="F165" s="72" t="str">
        <f>IF($K165="","",TRIM(INDEX('Detalle individual'!$C:$C,$K165)))</f>
        <v>DEPARTAMENTO DE CONTABILIDAD</v>
      </c>
      <c r="G165" s="72" t="str">
        <f>IF($K165="","",INDEX('Detalle individual'!$D:$D,$K165))</f>
        <v>Gerencia de Finanzas y Planificación</v>
      </c>
      <c r="H165" s="13" t="str">
        <f>IF($K165="","",INDEX('Detalle individual'!$F:$F,$K165))</f>
        <v>Completado</v>
      </c>
      <c r="I165" s="20">
        <f>IF($K165="","",IF(INDEX('Detalle individual'!$F:$F,$K165)="Completado",INDEX('Detalle individual'!$H:$H,$K165),""))</f>
        <v>46304.33385416667</v>
      </c>
      <c r="J165" s="21">
        <f>IF($K165="","",IF(INDEX('Detalle individual'!$F:$F,$K165)="Completado",INDEX('Detalle individual'!$J:$J,$K165),""))</f>
        <v>100</v>
      </c>
      <c r="K165">
        <f>IFERROR(MOD(SMALL(Cálculos!$Z$5:$Z$1000,157),10000),"")</f>
        <v>93</v>
      </c>
    </row>
    <row r="166">
      <c r="B166" s="13">
        <f>IF($K166="","",158)</f>
        <v>158</v>
      </c>
      <c r="C166" s="13" t="str">
        <f>IF($K166="","",INDEX('Detalle individual'!$A:$A,$K166))</f>
        <v>784</v>
      </c>
      <c r="D166" s="72" t="str">
        <f>IF($K166="","",TRIM(INDEX('Detalle individual'!$B:$B,$K166)))</f>
        <v>BRIAN ADONAY BARRERA ALVARADO</v>
      </c>
      <c r="E166" s="72" t="str">
        <f>IF($K166="","",TRIM(INDEX('Detalle individual'!$E:$E,$K166)))</f>
        <v>CONTADOR DE AGENCIAS</v>
      </c>
      <c r="F166" s="72" t="str">
        <f>IF($K166="","",TRIM(INDEX('Detalle individual'!$C:$C,$K166)))</f>
        <v>DEPARTAMENTO DE CONTABILIDAD</v>
      </c>
      <c r="G166" s="72" t="str">
        <f>IF($K166="","",INDEX('Detalle individual'!$D:$D,$K166))</f>
        <v>Gerencia de Finanzas y Planificación</v>
      </c>
      <c r="H166" s="13" t="str">
        <f>IF($K166="","",INDEX('Detalle individual'!$F:$F,$K166))</f>
        <v>Completado</v>
      </c>
      <c r="I166" s="20">
        <f>IF($K166="","",IF(INDEX('Detalle individual'!$F:$F,$K166)="Completado",INDEX('Detalle individual'!$H:$H,$K166),""))</f>
        <v>46296.62540509259</v>
      </c>
      <c r="J166" s="21">
        <f>IF($K166="","",IF(INDEX('Detalle individual'!$F:$F,$K166)="Completado",INDEX('Detalle individual'!$J:$J,$K166),""))</f>
        <v>100</v>
      </c>
      <c r="K166">
        <f>IFERROR(MOD(SMALL(Cálculos!$Z$5:$Z$1000,158),10000),"")</f>
        <v>94</v>
      </c>
    </row>
    <row r="167">
      <c r="B167" s="13">
        <f>IF($K167="","",159)</f>
        <v>159</v>
      </c>
      <c r="C167" s="13" t="str">
        <f>IF($K167="","",INDEX('Detalle individual'!$A:$A,$K167))</f>
        <v>850</v>
      </c>
      <c r="D167" s="72" t="str">
        <f>IF($K167="","",TRIM(INDEX('Detalle individual'!$B:$B,$K167)))</f>
        <v>ALMA BEATRIZ RAMIREZ SANDOVAL</v>
      </c>
      <c r="E167" s="72" t="str">
        <f>IF($K167="","",TRIM(INDEX('Detalle individual'!$E:$E,$K167)))</f>
        <v>CONTADOR DE AGENCIA NO MONETARIA</v>
      </c>
      <c r="F167" s="72" t="str">
        <f>IF($K167="","",TRIM(INDEX('Detalle individual'!$C:$C,$K167)))</f>
        <v>DEPARTAMENTO DE CONTABILIDAD</v>
      </c>
      <c r="G167" s="72" t="str">
        <f>IF($K167="","",INDEX('Detalle individual'!$D:$D,$K167))</f>
        <v>Gerencia de Finanzas y Planificación</v>
      </c>
      <c r="H167" s="13" t="str">
        <f>IF($K167="","",INDEX('Detalle individual'!$F:$F,$K167))</f>
        <v>Completado</v>
      </c>
      <c r="I167" s="20">
        <f>IF($K167="","",IF(INDEX('Detalle individual'!$F:$F,$K167)="Completado",INDEX('Detalle individual'!$H:$H,$K167),""))</f>
        <v>46304.4002662037</v>
      </c>
      <c r="J167" s="21">
        <f>IF($K167="","",IF(INDEX('Detalle individual'!$F:$F,$K167)="Completado",INDEX('Detalle individual'!$J:$J,$K167),""))</f>
        <v>90</v>
      </c>
      <c r="K167">
        <f>IFERROR(MOD(SMALL(Cálculos!$Z$5:$Z$1000,159),10000),"")</f>
        <v>95</v>
      </c>
    </row>
    <row r="168">
      <c r="B168" s="13">
        <f>IF($K168="","",160)</f>
        <v>160</v>
      </c>
      <c r="C168" s="13" t="str">
        <f>IF($K168="","",INDEX('Detalle individual'!$A:$A,$K168))</f>
        <v>872</v>
      </c>
      <c r="D168" s="72" t="str">
        <f>IF($K168="","",TRIM(INDEX('Detalle individual'!$B:$B,$K168)))</f>
        <v>JOSUE ELIAZAR MARTINEZ RECINOS</v>
      </c>
      <c r="E168" s="72" t="str">
        <f>IF($K168="","",TRIM(INDEX('Detalle individual'!$E:$E,$K168)))</f>
        <v>CONTADOR DE AGENCIAS</v>
      </c>
      <c r="F168" s="72" t="str">
        <f>IF($K168="","",TRIM(INDEX('Detalle individual'!$C:$C,$K168)))</f>
        <v>DEPARTAMENTO DE CONTABILIDAD</v>
      </c>
      <c r="G168" s="72" t="str">
        <f>IF($K168="","",INDEX('Detalle individual'!$D:$D,$K168))</f>
        <v>Gerencia de Finanzas y Planificación</v>
      </c>
      <c r="H168" s="13" t="str">
        <f>IF($K168="","",INDEX('Detalle individual'!$F:$F,$K168))</f>
        <v>Completado</v>
      </c>
      <c r="I168" s="20">
        <f>IF($K168="","",IF(INDEX('Detalle individual'!$F:$F,$K168)="Completado",INDEX('Detalle individual'!$H:$H,$K168),""))</f>
        <v>46301.438738425924</v>
      </c>
      <c r="J168" s="21">
        <f>IF($K168="","",IF(INDEX('Detalle individual'!$F:$F,$K168)="Completado",INDEX('Detalle individual'!$J:$J,$K168),""))</f>
        <v>100</v>
      </c>
      <c r="K168">
        <f>IFERROR(MOD(SMALL(Cálculos!$Z$5:$Z$1000,160),10000),"")</f>
        <v>96</v>
      </c>
    </row>
    <row r="169">
      <c r="B169" s="13">
        <f>IF($K169="","",161)</f>
        <v>161</v>
      </c>
      <c r="C169" s="13" t="str">
        <f>IF($K169="","",INDEX('Detalle individual'!$A:$A,$K169))</f>
        <v>916</v>
      </c>
      <c r="D169" s="72" t="str">
        <f>IF($K169="","",TRIM(INDEX('Detalle individual'!$B:$B,$K169)))</f>
        <v>JORDAN ALEXANDER FLORES HERRERA</v>
      </c>
      <c r="E169" s="72" t="str">
        <f>IF($K169="","",TRIM(INDEX('Detalle individual'!$E:$E,$K169)))</f>
        <v>AUXILIAR CONTABLE DE DIGITALIZACION</v>
      </c>
      <c r="F169" s="72" t="str">
        <f>IF($K169="","",TRIM(INDEX('Detalle individual'!$C:$C,$K169)))</f>
        <v>DEPARTAMENTO DE CONTABILIDAD</v>
      </c>
      <c r="G169" s="72" t="str">
        <f>IF($K169="","",INDEX('Detalle individual'!$D:$D,$K169))</f>
        <v>Gerencia de Finanzas y Planificación</v>
      </c>
      <c r="H169" s="13" t="str">
        <f>IF($K169="","",INDEX('Detalle individual'!$F:$F,$K169))</f>
        <v>Completado</v>
      </c>
      <c r="I169" s="20">
        <f>IF($K169="","",IF(INDEX('Detalle individual'!$F:$F,$K169)="Completado",INDEX('Detalle individual'!$H:$H,$K169),""))</f>
        <v>46309.38695601852</v>
      </c>
      <c r="J169" s="21">
        <f>IF($K169="","",IF(INDEX('Detalle individual'!$F:$F,$K169)="Completado",INDEX('Detalle individual'!$J:$J,$K169),""))</f>
        <v>100</v>
      </c>
      <c r="K169">
        <f>IFERROR(MOD(SMALL(Cálculos!$Z$5:$Z$1000,161),10000),"")</f>
        <v>97</v>
      </c>
    </row>
    <row r="170">
      <c r="B170" s="13">
        <f>IF($K170="","",162)</f>
        <v>162</v>
      </c>
      <c r="C170" s="13" t="str">
        <f>IF($K170="","",INDEX('Detalle individual'!$A:$A,$K170))</f>
        <v>207</v>
      </c>
      <c r="D170" s="72" t="str">
        <f>IF($K170="","",TRIM(INDEX('Detalle individual'!$B:$B,$K170)))</f>
        <v>ANA ESTER ERAZO ORTIZ</v>
      </c>
      <c r="E170" s="72" t="str">
        <f>IF($K170="","",TRIM(INDEX('Detalle individual'!$E:$E,$K170)))</f>
        <v>ANALISTA DE CREDITOS</v>
      </c>
      <c r="F170" s="72" t="str">
        <f>IF($K170="","",TRIM(INDEX('Detalle individual'!$C:$C,$K170)))</f>
        <v>DEPARTAMENTO DE CREDITOS</v>
      </c>
      <c r="G170" s="72" t="str">
        <f>IF($K170="","",INDEX('Detalle individual'!$D:$D,$K170))</f>
        <v>Gerencia de Negocios</v>
      </c>
      <c r="H170" s="13" t="str">
        <f>IF($K170="","",INDEX('Detalle individual'!$F:$F,$K170))</f>
        <v>Completado</v>
      </c>
      <c r="I170" s="20">
        <f>IF($K170="","",IF(INDEX('Detalle individual'!$F:$F,$K170)="Completado",INDEX('Detalle individual'!$H:$H,$K170),""))</f>
        <v>46309.40052083333</v>
      </c>
      <c r="J170" s="21">
        <f>IF($K170="","",IF(INDEX('Detalle individual'!$F:$F,$K170)="Completado",INDEX('Detalle individual'!$J:$J,$K170),""))</f>
        <v>100</v>
      </c>
      <c r="K170">
        <f>IFERROR(MOD(SMALL(Cálculos!$Z$5:$Z$1000,162),10000),"")</f>
        <v>152</v>
      </c>
    </row>
    <row r="171">
      <c r="B171" s="13">
        <f>IF($K171="","",163)</f>
        <v>163</v>
      </c>
      <c r="C171" s="13" t="str">
        <f>IF($K171="","",INDEX('Detalle individual'!$A:$A,$K171))</f>
        <v>345</v>
      </c>
      <c r="D171" s="72" t="str">
        <f>IF($K171="","",TRIM(INDEX('Detalle individual'!$B:$B,$K171)))</f>
        <v>ANA EVELYN ROQUE GALEANO</v>
      </c>
      <c r="E171" s="72" t="str">
        <f>IF($K171="","",TRIM(INDEX('Detalle individual'!$E:$E,$K171)))</f>
        <v>AUXILIAR DE CREDITOS</v>
      </c>
      <c r="F171" s="72" t="str">
        <f>IF($K171="","",TRIM(INDEX('Detalle individual'!$C:$C,$K171)))</f>
        <v>DEPARTAMENTO DE CREDITOS</v>
      </c>
      <c r="G171" s="72" t="str">
        <f>IF($K171="","",INDEX('Detalle individual'!$D:$D,$K171))</f>
        <v>Gerencia de Negocios</v>
      </c>
      <c r="H171" s="13" t="str">
        <f>IF($K171="","",INDEX('Detalle individual'!$F:$F,$K171))</f>
        <v>Completado</v>
      </c>
      <c r="I171" s="20">
        <f>IF($K171="","",IF(INDEX('Detalle individual'!$F:$F,$K171)="Completado",INDEX('Detalle individual'!$H:$H,$K171),""))</f>
        <v>46297.65186342593</v>
      </c>
      <c r="J171" s="21">
        <f>IF($K171="","",IF(INDEX('Detalle individual'!$F:$F,$K171)="Completado",INDEX('Detalle individual'!$J:$J,$K171),""))</f>
        <v>90</v>
      </c>
      <c r="K171">
        <f>IFERROR(MOD(SMALL(Cálculos!$Z$5:$Z$1000,163),10000),"")</f>
        <v>153</v>
      </c>
    </row>
    <row r="172">
      <c r="B172" s="13">
        <f>IF($K172="","",164)</f>
        <v>164</v>
      </c>
      <c r="C172" s="13" t="str">
        <f>IF($K172="","",INDEX('Detalle individual'!$A:$A,$K172))</f>
        <v>377</v>
      </c>
      <c r="D172" s="72" t="str">
        <f>IF($K172="","",TRIM(INDEX('Detalle individual'!$B:$B,$K172)))</f>
        <v>MABEL GERALDINE RAMIREZ PORTILLO</v>
      </c>
      <c r="E172" s="72" t="str">
        <f>IF($K172="","",TRIM(INDEX('Detalle individual'!$E:$E,$K172)))</f>
        <v>SUPERVISOR DE ANALISTAS DE CREDITOS</v>
      </c>
      <c r="F172" s="72" t="str">
        <f>IF($K172="","",TRIM(INDEX('Detalle individual'!$C:$C,$K172)))</f>
        <v>DEPARTAMENTO DE CREDITOS</v>
      </c>
      <c r="G172" s="72" t="str">
        <f>IF($K172="","",INDEX('Detalle individual'!$D:$D,$K172))</f>
        <v>Gerencia de Negocios</v>
      </c>
      <c r="H172" s="13" t="str">
        <f>IF($K172="","",INDEX('Detalle individual'!$F:$F,$K172))</f>
        <v>Completado</v>
      </c>
      <c r="I172" s="20">
        <f>IF($K172="","",IF(INDEX('Detalle individual'!$F:$F,$K172)="Completado",INDEX('Detalle individual'!$H:$H,$K172),""))</f>
        <v>46308.57119212963</v>
      </c>
      <c r="J172" s="21">
        <f>IF($K172="","",IF(INDEX('Detalle individual'!$F:$F,$K172)="Completado",INDEX('Detalle individual'!$J:$J,$K172),""))</f>
        <v>100</v>
      </c>
      <c r="K172">
        <f>IFERROR(MOD(SMALL(Cálculos!$Z$5:$Z$1000,164),10000),"")</f>
        <v>154</v>
      </c>
    </row>
    <row r="173">
      <c r="B173" s="13">
        <f>IF($K173="","",165)</f>
        <v>165</v>
      </c>
      <c r="C173" s="13" t="str">
        <f>IF($K173="","",INDEX('Detalle individual'!$A:$A,$K173))</f>
        <v>470</v>
      </c>
      <c r="D173" s="72" t="str">
        <f>IF($K173="","",TRIM(INDEX('Detalle individual'!$B:$B,$K173)))</f>
        <v>ROSALBA RODRIGUEZ JIMENEZ</v>
      </c>
      <c r="E173" s="72" t="str">
        <f>IF($K173="","",TRIM(INDEX('Detalle individual'!$E:$E,$K173)))</f>
        <v>ANALISTA DE CREDITOS</v>
      </c>
      <c r="F173" s="72" t="str">
        <f>IF($K173="","",TRIM(INDEX('Detalle individual'!$C:$C,$K173)))</f>
        <v>DEPARTAMENTO DE CREDITOS</v>
      </c>
      <c r="G173" s="72" t="str">
        <f>IF($K173="","",INDEX('Detalle individual'!$D:$D,$K173))</f>
        <v>Gerencia de Negocios</v>
      </c>
      <c r="H173" s="13" t="str">
        <f>IF($K173="","",INDEX('Detalle individual'!$F:$F,$K173))</f>
        <v>Completado</v>
      </c>
      <c r="I173" s="20">
        <f>IF($K173="","",IF(INDEX('Detalle individual'!$F:$F,$K173)="Completado",INDEX('Detalle individual'!$H:$H,$K173),""))</f>
        <v>46304.409317129626</v>
      </c>
      <c r="J173" s="21">
        <f>IF($K173="","",IF(INDEX('Detalle individual'!$F:$F,$K173)="Completado",INDEX('Detalle individual'!$J:$J,$K173),""))</f>
        <v>100</v>
      </c>
      <c r="K173">
        <f>IFERROR(MOD(SMALL(Cálculos!$Z$5:$Z$1000,165),10000),"")</f>
        <v>155</v>
      </c>
    </row>
    <row r="174">
      <c r="B174" s="13">
        <f>IF($K174="","",166)</f>
        <v>166</v>
      </c>
      <c r="C174" s="13" t="str">
        <f>IF($K174="","",INDEX('Detalle individual'!$A:$A,$K174))</f>
        <v>492</v>
      </c>
      <c r="D174" s="72" t="str">
        <f>IF($K174="","",TRIM(INDEX('Detalle individual'!$B:$B,$K174)))</f>
        <v>CINDIA IVETTE ZEPEDA VASQUEZ</v>
      </c>
      <c r="E174" s="72" t="str">
        <f>IF($K174="","",TRIM(INDEX('Detalle individual'!$E:$E,$K174)))</f>
        <v>AUXILIAR DE CREDITOS</v>
      </c>
      <c r="F174" s="72" t="str">
        <f>IF($K174="","",TRIM(INDEX('Detalle individual'!$C:$C,$K174)))</f>
        <v>DEPARTAMENTO DE CREDITOS</v>
      </c>
      <c r="G174" s="72" t="str">
        <f>IF($K174="","",INDEX('Detalle individual'!$D:$D,$K174))</f>
        <v>Gerencia de Negocios</v>
      </c>
      <c r="H174" s="13" t="str">
        <f>IF($K174="","",INDEX('Detalle individual'!$F:$F,$K174))</f>
        <v>Completado</v>
      </c>
      <c r="I174" s="20">
        <f>IF($K174="","",IF(INDEX('Detalle individual'!$F:$F,$K174)="Completado",INDEX('Detalle individual'!$H:$H,$K174),""))</f>
        <v>46297.66012731481</v>
      </c>
      <c r="J174" s="21">
        <f>IF($K174="","",IF(INDEX('Detalle individual'!$F:$F,$K174)="Completado",INDEX('Detalle individual'!$J:$J,$K174),""))</f>
        <v>100</v>
      </c>
      <c r="K174">
        <f>IFERROR(MOD(SMALL(Cálculos!$Z$5:$Z$1000,166),10000),"")</f>
        <v>156</v>
      </c>
    </row>
    <row r="175">
      <c r="B175" s="13">
        <f>IF($K175="","",167)</f>
        <v>167</v>
      </c>
      <c r="C175" s="13" t="str">
        <f>IF($K175="","",INDEX('Detalle individual'!$A:$A,$K175))</f>
        <v>719</v>
      </c>
      <c r="D175" s="72" t="str">
        <f>IF($K175="","",TRIM(INDEX('Detalle individual'!$B:$B,$K175)))</f>
        <v>INGRID ALEJANDRINA LISSETH GUZMAN SANCHEZ</v>
      </c>
      <c r="E175" s="72" t="str">
        <f>IF($K175="","",TRIM(INDEX('Detalle individual'!$E:$E,$K175)))</f>
        <v>AUXILIAR DE CREDITOS</v>
      </c>
      <c r="F175" s="72" t="str">
        <f>IF($K175="","",TRIM(INDEX('Detalle individual'!$C:$C,$K175)))</f>
        <v>DEPARTAMENTO DE CREDITOS</v>
      </c>
      <c r="G175" s="72" t="str">
        <f>IF($K175="","",INDEX('Detalle individual'!$D:$D,$K175))</f>
        <v>Gerencia de Negocios</v>
      </c>
      <c r="H175" s="13" t="str">
        <f>IF($K175="","",INDEX('Detalle individual'!$F:$F,$K175))</f>
        <v>Completado</v>
      </c>
      <c r="I175" s="20">
        <f>IF($K175="","",IF(INDEX('Detalle individual'!$F:$F,$K175)="Completado",INDEX('Detalle individual'!$H:$H,$K175),""))</f>
        <v>46298.41878472222</v>
      </c>
      <c r="J175" s="21">
        <f>IF($K175="","",IF(INDEX('Detalle individual'!$F:$F,$K175)="Completado",INDEX('Detalle individual'!$J:$J,$K175),""))</f>
        <v>100</v>
      </c>
      <c r="K175">
        <f>IFERROR(MOD(SMALL(Cálculos!$Z$5:$Z$1000,167),10000),"")</f>
        <v>157</v>
      </c>
    </row>
    <row r="176">
      <c r="B176" s="13">
        <f>IF($K176="","",168)</f>
        <v>168</v>
      </c>
      <c r="C176" s="13" t="str">
        <f>IF($K176="","",INDEX('Detalle individual'!$A:$A,$K176))</f>
        <v>730</v>
      </c>
      <c r="D176" s="72" t="str">
        <f>IF($K176="","",TRIM(INDEX('Detalle individual'!$B:$B,$K176)))</f>
        <v>YANETH HERNANDEZ YANES</v>
      </c>
      <c r="E176" s="72" t="str">
        <f>IF($K176="","",TRIM(INDEX('Detalle individual'!$E:$E,$K176)))</f>
        <v>JEFE DE CREDITOS</v>
      </c>
      <c r="F176" s="72" t="str">
        <f>IF($K176="","",TRIM(INDEX('Detalle individual'!$C:$C,$K176)))</f>
        <v>DEPARTAMENTO DE CREDITOS</v>
      </c>
      <c r="G176" s="72" t="str">
        <f>IF($K176="","",INDEX('Detalle individual'!$D:$D,$K176))</f>
        <v>Gerencia de Negocios</v>
      </c>
      <c r="H176" s="13" t="str">
        <f>IF($K176="","",INDEX('Detalle individual'!$F:$F,$K176))</f>
        <v>Completado</v>
      </c>
      <c r="I176" s="20">
        <f>IF($K176="","",IF(INDEX('Detalle individual'!$F:$F,$K176)="Completado",INDEX('Detalle individual'!$H:$H,$K176),""))</f>
        <v>46305.56736111111</v>
      </c>
      <c r="J176" s="21">
        <f>IF($K176="","",IF(INDEX('Detalle individual'!$F:$F,$K176)="Completado",INDEX('Detalle individual'!$J:$J,$K176),""))</f>
        <v>100</v>
      </c>
      <c r="K176">
        <f>IFERROR(MOD(SMALL(Cálculos!$Z$5:$Z$1000,168),10000),"")</f>
        <v>158</v>
      </c>
    </row>
    <row r="177">
      <c r="B177" s="13">
        <f>IF($K177="","",169)</f>
        <v>169</v>
      </c>
      <c r="C177" s="13" t="str">
        <f>IF($K177="","",INDEX('Detalle individual'!$A:$A,$K177))</f>
        <v>780</v>
      </c>
      <c r="D177" s="72" t="str">
        <f>IF($K177="","",TRIM(INDEX('Detalle individual'!$B:$B,$K177)))</f>
        <v>JUAN ANTONIO DE JESUS NUNFIO</v>
      </c>
      <c r="E177" s="72" t="str">
        <f>IF($K177="","",TRIM(INDEX('Detalle individual'!$E:$E,$K177)))</f>
        <v>ANALISTA DE CREDITOS</v>
      </c>
      <c r="F177" s="72" t="str">
        <f>IF($K177="","",TRIM(INDEX('Detalle individual'!$C:$C,$K177)))</f>
        <v>DEPARTAMENTO DE CREDITOS</v>
      </c>
      <c r="G177" s="72" t="str">
        <f>IF($K177="","",INDEX('Detalle individual'!$D:$D,$K177))</f>
        <v>Gerencia de Negocios</v>
      </c>
      <c r="H177" s="13" t="str">
        <f>IF($K177="","",INDEX('Detalle individual'!$F:$F,$K177))</f>
        <v>Completado</v>
      </c>
      <c r="I177" s="20">
        <f>IF($K177="","",IF(INDEX('Detalle individual'!$F:$F,$K177)="Completado",INDEX('Detalle individual'!$H:$H,$K177),""))</f>
        <v>46301.65928240741</v>
      </c>
      <c r="J177" s="21">
        <f>IF($K177="","",IF(INDEX('Detalle individual'!$F:$F,$K177)="Completado",INDEX('Detalle individual'!$J:$J,$K177),""))</f>
        <v>100</v>
      </c>
      <c r="K177">
        <f>IFERROR(MOD(SMALL(Cálculos!$Z$5:$Z$1000,169),10000),"")</f>
        <v>159</v>
      </c>
    </row>
    <row r="178">
      <c r="B178" s="13">
        <f>IF($K178="","",170)</f>
        <v>170</v>
      </c>
      <c r="C178" s="13" t="str">
        <f>IF($K178="","",INDEX('Detalle individual'!$A:$A,$K178))</f>
        <v>781</v>
      </c>
      <c r="D178" s="72" t="str">
        <f>IF($K178="","",TRIM(INDEX('Detalle individual'!$B:$B,$K178)))</f>
        <v>SOFIA SOLEDAD CASTRO VALLE</v>
      </c>
      <c r="E178" s="72" t="str">
        <f>IF($K178="","",TRIM(INDEX('Detalle individual'!$E:$E,$K178)))</f>
        <v>AUXILIAR DE CREDITOS</v>
      </c>
      <c r="F178" s="72" t="str">
        <f>IF($K178="","",TRIM(INDEX('Detalle individual'!$C:$C,$K178)))</f>
        <v>DEPARTAMENTO DE CREDITOS</v>
      </c>
      <c r="G178" s="72" t="str">
        <f>IF($K178="","",INDEX('Detalle individual'!$D:$D,$K178))</f>
        <v>Gerencia de Negocios</v>
      </c>
      <c r="H178" s="13" t="str">
        <f>IF($K178="","",INDEX('Detalle individual'!$F:$F,$K178))</f>
        <v>Completado</v>
      </c>
      <c r="I178" s="20">
        <f>IF($K178="","",IF(INDEX('Detalle individual'!$F:$F,$K178)="Completado",INDEX('Detalle individual'!$H:$H,$K178),""))</f>
        <v>46304.444606481484</v>
      </c>
      <c r="J178" s="21">
        <f>IF($K178="","",IF(INDEX('Detalle individual'!$F:$F,$K178)="Completado",INDEX('Detalle individual'!$J:$J,$K178),""))</f>
        <v>90</v>
      </c>
      <c r="K178">
        <f>IFERROR(MOD(SMALL(Cálculos!$Z$5:$Z$1000,170),10000),"")</f>
        <v>160</v>
      </c>
    </row>
    <row r="179">
      <c r="B179" s="13">
        <f>IF($K179="","",171)</f>
        <v>171</v>
      </c>
      <c r="C179" s="13" t="str">
        <f>IF($K179="","",INDEX('Detalle individual'!$A:$A,$K179))</f>
        <v>809</v>
      </c>
      <c r="D179" s="72" t="str">
        <f>IF($K179="","",TRIM(INDEX('Detalle individual'!$B:$B,$K179)))</f>
        <v>KARLA VANESSA GARCIA OLIVA</v>
      </c>
      <c r="E179" s="72" t="str">
        <f>IF($K179="","",TRIM(INDEX('Detalle individual'!$E:$E,$K179)))</f>
        <v>ANALISTA DE CREDITOS</v>
      </c>
      <c r="F179" s="72" t="str">
        <f>IF($K179="","",TRIM(INDEX('Detalle individual'!$C:$C,$K179)))</f>
        <v>DEPARTAMENTO DE CREDITOS</v>
      </c>
      <c r="G179" s="72" t="str">
        <f>IF($K179="","",INDEX('Detalle individual'!$D:$D,$K179))</f>
        <v>Gerencia de Negocios</v>
      </c>
      <c r="H179" s="13" t="str">
        <f>IF($K179="","",INDEX('Detalle individual'!$F:$F,$K179))</f>
        <v>Completado</v>
      </c>
      <c r="I179" s="20">
        <f>IF($K179="","",IF(INDEX('Detalle individual'!$F:$F,$K179)="Completado",INDEX('Detalle individual'!$H:$H,$K179),""))</f>
        <v>46307.384097222224</v>
      </c>
      <c r="J179" s="21">
        <f>IF($K179="","",IF(INDEX('Detalle individual'!$F:$F,$K179)="Completado",INDEX('Detalle individual'!$J:$J,$K179),""))</f>
        <v>100</v>
      </c>
      <c r="K179">
        <f>IFERROR(MOD(SMALL(Cálculos!$Z$5:$Z$1000,171),10000),"")</f>
        <v>161</v>
      </c>
    </row>
    <row r="180">
      <c r="B180" s="13">
        <f>IF($K180="","",172)</f>
        <v>172</v>
      </c>
      <c r="C180" s="13" t="str">
        <f>IF($K180="","",INDEX('Detalle individual'!$A:$A,$K180))</f>
        <v>837</v>
      </c>
      <c r="D180" s="72" t="str">
        <f>IF($K180="","",TRIM(INDEX('Detalle individual'!$B:$B,$K180)))</f>
        <v>DAYANA ABIGAIL CHAVEZ CORDOVA</v>
      </c>
      <c r="E180" s="72" t="str">
        <f>IF($K180="","",TRIM(INDEX('Detalle individual'!$E:$E,$K180)))</f>
        <v>GESTOR DE EXPEDIENTES</v>
      </c>
      <c r="F180" s="72" t="str">
        <f>IF($K180="","",TRIM(INDEX('Detalle individual'!$C:$C,$K180)))</f>
        <v>DEPARTAMENTO DE CREDITOS</v>
      </c>
      <c r="G180" s="72" t="str">
        <f>IF($K180="","",INDEX('Detalle individual'!$D:$D,$K180))</f>
        <v>Gerencia de Negocios</v>
      </c>
      <c r="H180" s="13" t="str">
        <f>IF($K180="","",INDEX('Detalle individual'!$F:$F,$K180))</f>
        <v>Completado</v>
      </c>
      <c r="I180" s="20">
        <f>IF($K180="","",IF(INDEX('Detalle individual'!$F:$F,$K180)="Completado",INDEX('Detalle individual'!$H:$H,$K180),""))</f>
        <v>46302.48523148148</v>
      </c>
      <c r="J180" s="21">
        <f>IF($K180="","",IF(INDEX('Detalle individual'!$F:$F,$K180)="Completado",INDEX('Detalle individual'!$J:$J,$K180),""))</f>
        <v>100</v>
      </c>
      <c r="K180">
        <f>IFERROR(MOD(SMALL(Cálculos!$Z$5:$Z$1000,172),10000),"")</f>
        <v>162</v>
      </c>
    </row>
    <row r="181">
      <c r="B181" s="13">
        <f>IF($K181="","",173)</f>
        <v>173</v>
      </c>
      <c r="C181" s="13" t="str">
        <f>IF($K181="","",INDEX('Detalle individual'!$A:$A,$K181))</f>
        <v>939</v>
      </c>
      <c r="D181" s="72" t="str">
        <f>IF($K181="","",TRIM(INDEX('Detalle individual'!$B:$B,$K181)))</f>
        <v>MARIO LEONEL CANDRAY FLORES</v>
      </c>
      <c r="E181" s="72" t="str">
        <f>IF($K181="","",TRIM(INDEX('Detalle individual'!$E:$E,$K181)))</f>
        <v>ANALISTA DE CREDITOS</v>
      </c>
      <c r="F181" s="72" t="str">
        <f>IF($K181="","",TRIM(INDEX('Detalle individual'!$C:$C,$K181)))</f>
        <v>DEPARTAMENTO DE CREDITOS</v>
      </c>
      <c r="G181" s="72" t="str">
        <f>IF($K181="","",INDEX('Detalle individual'!$D:$D,$K181))</f>
        <v>Gerencia de Negocios</v>
      </c>
      <c r="H181" s="13" t="str">
        <f>IF($K181="","",INDEX('Detalle individual'!$F:$F,$K181))</f>
        <v>Completado</v>
      </c>
      <c r="I181" s="20">
        <f>IF($K181="","",IF(INDEX('Detalle individual'!$F:$F,$K181)="Completado",INDEX('Detalle individual'!$H:$H,$K181),""))</f>
        <v>46307.37395833333</v>
      </c>
      <c r="J181" s="21">
        <f>IF($K181="","",IF(INDEX('Detalle individual'!$F:$F,$K181)="Completado",INDEX('Detalle individual'!$J:$J,$K181),""))</f>
        <v>100</v>
      </c>
      <c r="K181">
        <f>IFERROR(MOD(SMALL(Cálculos!$Z$5:$Z$1000,173),10000),"")</f>
        <v>163</v>
      </c>
    </row>
    <row r="182">
      <c r="B182" s="13">
        <f>IF($K182="","",174)</f>
        <v>174</v>
      </c>
      <c r="C182" s="13" t="str">
        <f>IF($K182="","",INDEX('Detalle individual'!$A:$A,$K182))</f>
        <v>979</v>
      </c>
      <c r="D182" s="72" t="str">
        <f>IF($K182="","",TRIM(INDEX('Detalle individual'!$B:$B,$K182)))</f>
        <v>MARIA LILIAN MENJIVAR GUARDADO</v>
      </c>
      <c r="E182" s="72" t="str">
        <f>IF($K182="","",TRIM(INDEX('Detalle individual'!$E:$E,$K182)))</f>
        <v>ANALISTA DE CREDITOS</v>
      </c>
      <c r="F182" s="72" t="str">
        <f>IF($K182="","",TRIM(INDEX('Detalle individual'!$C:$C,$K182)))</f>
        <v>DEPARTAMENTO DE CREDITOS</v>
      </c>
      <c r="G182" s="72" t="str">
        <f>IF($K182="","",INDEX('Detalle individual'!$D:$D,$K182))</f>
        <v>Gerencia de Negocios</v>
      </c>
      <c r="H182" s="13" t="str">
        <f>IF($K182="","",INDEX('Detalle individual'!$F:$F,$K182))</f>
        <v>Completado</v>
      </c>
      <c r="I182" s="20">
        <f>IF($K182="","",IF(INDEX('Detalle individual'!$F:$F,$K182)="Completado",INDEX('Detalle individual'!$H:$H,$K182),""))</f>
        <v>46307.37511574074</v>
      </c>
      <c r="J182" s="21">
        <f>IF($K182="","",IF(INDEX('Detalle individual'!$F:$F,$K182)="Completado",INDEX('Detalle individual'!$J:$J,$K182),""))</f>
        <v>100</v>
      </c>
      <c r="K182">
        <f>IFERROR(MOD(SMALL(Cálculos!$Z$5:$Z$1000,174),10000),"")</f>
        <v>164</v>
      </c>
    </row>
    <row r="183">
      <c r="B183" s="13">
        <f>IF($K183="","",175)</f>
        <v>175</v>
      </c>
      <c r="C183" s="13" t="str">
        <f>IF($K183="","",INDEX('Detalle individual'!$A:$A,$K183))</f>
        <v>539</v>
      </c>
      <c r="D183" s="72" t="str">
        <f>IF($K183="","",TRIM(INDEX('Detalle individual'!$B:$B,$K183)))</f>
        <v>JESICA XIOMARA RAMOS PEÑA</v>
      </c>
      <c r="E183" s="72" t="str">
        <f>IF($K183="","",TRIM(INDEX('Detalle individual'!$E:$E,$K183)))</f>
        <v>JEFE DE CUSTODIA DE GARANTÍA Y VALORES</v>
      </c>
      <c r="F183" s="72" t="str">
        <f>IF($K183="","",TRIM(INDEX('Detalle individual'!$C:$C,$K183)))</f>
        <v>DEPARTAMENTO DE CUSTODIA DE GARANTÍA Y VALORES</v>
      </c>
      <c r="G183" s="72" t="str">
        <f>IF($K183="","",INDEX('Detalle individual'!$D:$D,$K183))</f>
        <v>Gerencia Administrativa</v>
      </c>
      <c r="H183" s="13" t="str">
        <f>IF($K183="","",INDEX('Detalle individual'!$F:$F,$K183))</f>
        <v>Completado</v>
      </c>
      <c r="I183" s="20">
        <f>IF($K183="","",IF(INDEX('Detalle individual'!$F:$F,$K183)="Completado",INDEX('Detalle individual'!$H:$H,$K183),""))</f>
        <v>46304.70379629629</v>
      </c>
      <c r="J183" s="21">
        <f>IF($K183="","",IF(INDEX('Detalle individual'!$F:$F,$K183)="Completado",INDEX('Detalle individual'!$J:$J,$K183),""))</f>
        <v>100</v>
      </c>
      <c r="K183">
        <f>IFERROR(MOD(SMALL(Cálculos!$Z$5:$Z$1000,175),10000),"")</f>
        <v>43</v>
      </c>
    </row>
    <row r="184">
      <c r="B184" s="13">
        <f>IF($K184="","",176)</f>
        <v>176</v>
      </c>
      <c r="C184" s="13" t="str">
        <f>IF($K184="","",INDEX('Detalle individual'!$A:$A,$K184))</f>
        <v>678</v>
      </c>
      <c r="D184" s="72" t="str">
        <f>IF($K184="","",TRIM(INDEX('Detalle individual'!$B:$B,$K184)))</f>
        <v>CARLOS ALBERTO VELASQUEZ ALVARADO</v>
      </c>
      <c r="E184" s="72" t="str">
        <f>IF($K184="","",TRIM(INDEX('Detalle individual'!$E:$E,$K184)))</f>
        <v>ANALISTA DE ARCHIVO CENTRAL</v>
      </c>
      <c r="F184" s="72" t="str">
        <f>IF($K184="","",TRIM(INDEX('Detalle individual'!$C:$C,$K184)))</f>
        <v>DEPARTAMENTO DE CUSTODIA DE GARANTÍA Y VALORES</v>
      </c>
      <c r="G184" s="72" t="str">
        <f>IF($K184="","",INDEX('Detalle individual'!$D:$D,$K184))</f>
        <v>Gerencia Administrativa</v>
      </c>
      <c r="H184" s="13" t="str">
        <f>IF($K184="","",INDEX('Detalle individual'!$F:$F,$K184))</f>
        <v>Completado</v>
      </c>
      <c r="I184" s="20">
        <f>IF($K184="","",IF(INDEX('Detalle individual'!$F:$F,$K184)="Completado",INDEX('Detalle individual'!$H:$H,$K184),""))</f>
        <v>46304.422789351855</v>
      </c>
      <c r="J184" s="21">
        <f>IF($K184="","",IF(INDEX('Detalle individual'!$F:$F,$K184)="Completado",INDEX('Detalle individual'!$J:$J,$K184),""))</f>
        <v>100</v>
      </c>
      <c r="K184">
        <f>IFERROR(MOD(SMALL(Cálculos!$Z$5:$Z$1000,176),10000),"")</f>
        <v>44</v>
      </c>
    </row>
    <row r="185">
      <c r="B185" s="13">
        <f>IF($K185="","",177)</f>
        <v>177</v>
      </c>
      <c r="C185" s="13" t="str">
        <f>IF($K185="","",INDEX('Detalle individual'!$A:$A,$K185))</f>
        <v>740</v>
      </c>
      <c r="D185" s="72" t="str">
        <f>IF($K185="","",TRIM(INDEX('Detalle individual'!$B:$B,$K185)))</f>
        <v>RAFAEL ERNESTO LOPEZ MARTINEZ</v>
      </c>
      <c r="E185" s="72" t="str">
        <f>IF($K185="","",TRIM(INDEX('Detalle individual'!$E:$E,$K185)))</f>
        <v>ASISTENTE ADMINISTRATIVO CUSTODIA DE GARANTIA Y VALORES</v>
      </c>
      <c r="F185" s="72" t="str">
        <f>IF($K185="","",TRIM(INDEX('Detalle individual'!$C:$C,$K185)))</f>
        <v>DEPARTAMENTO DE CUSTODIA DE GARANTÍA Y VALORES</v>
      </c>
      <c r="G185" s="72" t="str">
        <f>IF($K185="","",INDEX('Detalle individual'!$D:$D,$K185))</f>
        <v>Gerencia Administrativa</v>
      </c>
      <c r="H185" s="13" t="str">
        <f>IF($K185="","",INDEX('Detalle individual'!$F:$F,$K185))</f>
        <v>Completado</v>
      </c>
      <c r="I185" s="20">
        <f>IF($K185="","",IF(INDEX('Detalle individual'!$F:$F,$K185)="Completado",INDEX('Detalle individual'!$H:$H,$K185),""))</f>
        <v>46304.685949074075</v>
      </c>
      <c r="J185" s="21">
        <f>IF($K185="","",IF(INDEX('Detalle individual'!$F:$F,$K185)="Completado",INDEX('Detalle individual'!$J:$J,$K185),""))</f>
        <v>100</v>
      </c>
      <c r="K185">
        <f>IFERROR(MOD(SMALL(Cálculos!$Z$5:$Z$1000,177),10000),"")</f>
        <v>45</v>
      </c>
    </row>
    <row r="186">
      <c r="B186" s="13">
        <f>IF($K186="","",178)</f>
        <v>178</v>
      </c>
      <c r="C186" s="13" t="str">
        <f>IF($K186="","",INDEX('Detalle individual'!$A:$A,$K186))</f>
        <v>934</v>
      </c>
      <c r="D186" s="72" t="str">
        <f>IF($K186="","",TRIM(INDEX('Detalle individual'!$B:$B,$K186)))</f>
        <v>JOSE FRANCISCO ZECEÑA MUÑOZ</v>
      </c>
      <c r="E186" s="72" t="str">
        <f>IF($K186="","",TRIM(INDEX('Detalle individual'!$E:$E,$K186)))</f>
        <v>AUXILIAR DE CUSTODIA DE VALORES</v>
      </c>
      <c r="F186" s="72" t="str">
        <f>IF($K186="","",TRIM(INDEX('Detalle individual'!$C:$C,$K186)))</f>
        <v>DEPARTAMENTO DE CUSTODIA DE GARANTÍA Y VALORES</v>
      </c>
      <c r="G186" s="72" t="str">
        <f>IF($K186="","",INDEX('Detalle individual'!$D:$D,$K186))</f>
        <v>Gerencia Administrativa</v>
      </c>
      <c r="H186" s="13" t="str">
        <f>IF($K186="","",INDEX('Detalle individual'!$F:$F,$K186))</f>
        <v>Completado</v>
      </c>
      <c r="I186" s="20">
        <f>IF($K186="","",IF(INDEX('Detalle individual'!$F:$F,$K186)="Completado",INDEX('Detalle individual'!$H:$H,$K186),""))</f>
        <v>46304.67644675926</v>
      </c>
      <c r="J186" s="21">
        <f>IF($K186="","",IF(INDEX('Detalle individual'!$F:$F,$K186)="Completado",INDEX('Detalle individual'!$J:$J,$K186),""))</f>
        <v>100</v>
      </c>
      <c r="K186">
        <f>IFERROR(MOD(SMALL(Cálculos!$Z$5:$Z$1000,178),10000),"")</f>
        <v>46</v>
      </c>
    </row>
    <row r="187">
      <c r="B187" s="13">
        <f>IF($K187="","",179)</f>
        <v>179</v>
      </c>
      <c r="C187" s="13" t="str">
        <f>IF($K187="","",INDEX('Detalle individual'!$A:$A,$K187))</f>
        <v>949</v>
      </c>
      <c r="D187" s="72" t="str">
        <f>IF($K187="","",TRIM(INDEX('Detalle individual'!$B:$B,$K187)))</f>
        <v>ALEJANDRO JOSE ARGUETA CORTEZ</v>
      </c>
      <c r="E187" s="72" t="str">
        <f>IF($K187="","",TRIM(INDEX('Detalle individual'!$E:$E,$K187)))</f>
        <v>AUXILIAR DE CUSTODIA DE VALORES</v>
      </c>
      <c r="F187" s="72" t="str">
        <f>IF($K187="","",TRIM(INDEX('Detalle individual'!$C:$C,$K187)))</f>
        <v>DEPARTAMENTO DE CUSTODIA DE GARANTÍA Y VALORES</v>
      </c>
      <c r="G187" s="72" t="str">
        <f>IF($K187="","",INDEX('Detalle individual'!$D:$D,$K187))</f>
        <v>Gerencia Administrativa</v>
      </c>
      <c r="H187" s="13" t="str">
        <f>IF($K187="","",INDEX('Detalle individual'!$F:$F,$K187))</f>
        <v>Completado</v>
      </c>
      <c r="I187" s="20">
        <f>IF($K187="","",IF(INDEX('Detalle individual'!$F:$F,$K187)="Completado",INDEX('Detalle individual'!$H:$H,$K187),""))</f>
        <v>46304.682708333334</v>
      </c>
      <c r="J187" s="21">
        <f>IF($K187="","",IF(INDEX('Detalle individual'!$F:$F,$K187)="Completado",INDEX('Detalle individual'!$J:$J,$K187),""))</f>
        <v>100</v>
      </c>
      <c r="K187">
        <f>IFERROR(MOD(SMALL(Cálculos!$Z$5:$Z$1000,179),10000),"")</f>
        <v>47</v>
      </c>
    </row>
    <row r="188">
      <c r="B188" s="13">
        <f>IF($K188="","",180)</f>
        <v>180</v>
      </c>
      <c r="C188" s="13" t="str">
        <f>IF($K188="","",INDEX('Detalle individual'!$A:$A,$K188))</f>
        <v>973</v>
      </c>
      <c r="D188" s="72" t="str">
        <f>IF($K188="","",TRIM(INDEX('Detalle individual'!$B:$B,$K188)))</f>
        <v>HUGO ROLANDO VELASCO RIVERA</v>
      </c>
      <c r="E188" s="72" t="str">
        <f>IF($K188="","",TRIM(INDEX('Detalle individual'!$E:$E,$K188)))</f>
        <v>AUXILIAR DE CUSTODIA DE VALORES</v>
      </c>
      <c r="F188" s="72" t="str">
        <f>IF($K188="","",TRIM(INDEX('Detalle individual'!$C:$C,$K188)))</f>
        <v>DEPARTAMENTO DE CUSTODIA DE GARANTÍA Y VALORES</v>
      </c>
      <c r="G188" s="72" t="str">
        <f>IF($K188="","",INDEX('Detalle individual'!$D:$D,$K188))</f>
        <v>Gerencia Administrativa</v>
      </c>
      <c r="H188" s="13" t="str">
        <f>IF($K188="","",INDEX('Detalle individual'!$F:$F,$K188))</f>
        <v>Completado</v>
      </c>
      <c r="I188" s="20">
        <f>IF($K188="","",IF(INDEX('Detalle individual'!$F:$F,$K188)="Completado",INDEX('Detalle individual'!$H:$H,$K188),""))</f>
        <v>46298.51430555555</v>
      </c>
      <c r="J188" s="21">
        <f>IF($K188="","",IF(INDEX('Detalle individual'!$F:$F,$K188)="Completado",INDEX('Detalle individual'!$J:$J,$K188),""))</f>
        <v>100</v>
      </c>
      <c r="K188">
        <f>IFERROR(MOD(SMALL(Cálculos!$Z$5:$Z$1000,180),10000),"")</f>
        <v>48</v>
      </c>
    </row>
    <row r="189">
      <c r="B189" s="13">
        <f>IF($K189="","",181)</f>
        <v>181</v>
      </c>
      <c r="C189" s="13" t="str">
        <f>IF($K189="","",INDEX('Detalle individual'!$A:$A,$K189))</f>
        <v>284</v>
      </c>
      <c r="D189" s="72" t="str">
        <f>IF($K189="","",TRIM(INDEX('Detalle individual'!$B:$B,$K189)))</f>
        <v>MARIO ANTONIO NAVARRO PINEDA</v>
      </c>
      <c r="E189" s="72" t="str">
        <f>IF($K189="","",TRIM(INDEX('Detalle individual'!$E:$E,$K189)))</f>
        <v>JEFE DE DEPOSITOS</v>
      </c>
      <c r="F189" s="72" t="str">
        <f>IF($K189="","",TRIM(INDEX('Detalle individual'!$C:$C,$K189)))</f>
        <v>DEPARTAMENTO DE DEPOSITOS</v>
      </c>
      <c r="G189" s="72" t="str">
        <f>IF($K189="","",INDEX('Detalle individual'!$D:$D,$K189))</f>
        <v>Gerencia de Operaciones</v>
      </c>
      <c r="H189" s="13" t="str">
        <f>IF($K189="","",INDEX('Detalle individual'!$F:$F,$K189))</f>
        <v>Completado</v>
      </c>
      <c r="I189" s="20">
        <f>IF($K189="","",IF(INDEX('Detalle individual'!$F:$F,$K189)="Completado",INDEX('Detalle individual'!$H:$H,$K189),""))</f>
        <v>46305.513344907406</v>
      </c>
      <c r="J189" s="21">
        <f>IF($K189="","",IF(INDEX('Detalle individual'!$F:$F,$K189)="Completado",INDEX('Detalle individual'!$J:$J,$K189),""))</f>
        <v>100</v>
      </c>
      <c r="K189">
        <f>IFERROR(MOD(SMALL(Cálculos!$Z$5:$Z$1000,181),10000),"")</f>
        <v>75</v>
      </c>
    </row>
    <row r="190">
      <c r="B190" s="13">
        <f>IF($K190="","",182)</f>
        <v>182</v>
      </c>
      <c r="C190" s="13" t="str">
        <f>IF($K190="","",INDEX('Detalle individual'!$A:$A,$K190))</f>
        <v>632</v>
      </c>
      <c r="D190" s="72" t="str">
        <f>IF($K190="","",TRIM(INDEX('Detalle individual'!$B:$B,$K190)))</f>
        <v>LUCILA MARGARITA CORCIO QUINTANILLA</v>
      </c>
      <c r="E190" s="72" t="str">
        <f>IF($K190="","",TRIM(INDEX('Detalle individual'!$E:$E,$K190)))</f>
        <v>ASISTENTE COMPENSADOR DE CHEQUES</v>
      </c>
      <c r="F190" s="72" t="str">
        <f>IF($K190="","",TRIM(INDEX('Detalle individual'!$C:$C,$K190)))</f>
        <v>DEPARTAMENTO DE DEPOSITOS</v>
      </c>
      <c r="G190" s="72" t="str">
        <f>IF($K190="","",INDEX('Detalle individual'!$D:$D,$K190))</f>
        <v>Gerencia de Operaciones</v>
      </c>
      <c r="H190" s="13" t="str">
        <f>IF($K190="","",INDEX('Detalle individual'!$F:$F,$K190))</f>
        <v>Completado</v>
      </c>
      <c r="I190" s="20">
        <f>IF($K190="","",IF(INDEX('Detalle individual'!$F:$F,$K190)="Completado",INDEX('Detalle individual'!$H:$H,$K190),""))</f>
        <v>46296.57800925926</v>
      </c>
      <c r="J190" s="21">
        <f>IF($K190="","",IF(INDEX('Detalle individual'!$F:$F,$K190)="Completado",INDEX('Detalle individual'!$J:$J,$K190),""))</f>
        <v>100</v>
      </c>
      <c r="K190">
        <f>IFERROR(MOD(SMALL(Cálculos!$Z$5:$Z$1000,182),10000),"")</f>
        <v>76</v>
      </c>
    </row>
    <row r="191">
      <c r="B191" s="13">
        <f>IF($K191="","",183)</f>
        <v>183</v>
      </c>
      <c r="C191" s="13" t="str">
        <f>IF($K191="","",INDEX('Detalle individual'!$A:$A,$K191))</f>
        <v>773</v>
      </c>
      <c r="D191" s="72" t="str">
        <f>IF($K191="","",TRIM(INDEX('Detalle individual'!$B:$B,$K191)))</f>
        <v>HELLEN ESTEFANI RODRIGUEZ GARCIA</v>
      </c>
      <c r="E191" s="72" t="str">
        <f>IF($K191="","",TRIM(INDEX('Detalle individual'!$E:$E,$K191)))</f>
        <v>ASISTENTE COMPENSADOR DE CHEQUES</v>
      </c>
      <c r="F191" s="72" t="str">
        <f>IF($K191="","",TRIM(INDEX('Detalle individual'!$C:$C,$K191)))</f>
        <v>DEPARTAMENTO DE DEPOSITOS</v>
      </c>
      <c r="G191" s="72" t="str">
        <f>IF($K191="","",INDEX('Detalle individual'!$D:$D,$K191))</f>
        <v>Gerencia de Operaciones</v>
      </c>
      <c r="H191" s="13" t="str">
        <f>IF($K191="","",INDEX('Detalle individual'!$F:$F,$K191))</f>
        <v>Completado</v>
      </c>
      <c r="I191" s="20">
        <f>IF($K191="","",IF(INDEX('Detalle individual'!$F:$F,$K191)="Completado",INDEX('Detalle individual'!$H:$H,$K191),""))</f>
        <v>46297.47550925926</v>
      </c>
      <c r="J191" s="21">
        <f>IF($K191="","",IF(INDEX('Detalle individual'!$F:$F,$K191)="Completado",INDEX('Detalle individual'!$J:$J,$K191),""))</f>
        <v>95</v>
      </c>
      <c r="K191">
        <f>IFERROR(MOD(SMALL(Cálculos!$Z$5:$Z$1000,183),10000),"")</f>
        <v>77</v>
      </c>
    </row>
    <row r="192">
      <c r="B192" s="13">
        <f>IF($K192="","",184)</f>
        <v>184</v>
      </c>
      <c r="C192" s="13" t="str">
        <f>IF($K192="","",INDEX('Detalle individual'!$A:$A,$K192))</f>
        <v>787</v>
      </c>
      <c r="D192" s="72" t="str">
        <f>IF($K192="","",TRIM(INDEX('Detalle individual'!$B:$B,$K192)))</f>
        <v>WALTER OSWALDO SANCHEZ RIVAS</v>
      </c>
      <c r="E192" s="72" t="str">
        <f>IF($K192="","",TRIM(INDEX('Detalle individual'!$E:$E,$K192)))</f>
        <v>ASISTENTE COMPENSADOR DE CHEQUES</v>
      </c>
      <c r="F192" s="72" t="str">
        <f>IF($K192="","",TRIM(INDEX('Detalle individual'!$C:$C,$K192)))</f>
        <v>DEPARTAMENTO DE DEPOSITOS</v>
      </c>
      <c r="G192" s="72" t="str">
        <f>IF($K192="","",INDEX('Detalle individual'!$D:$D,$K192))</f>
        <v>Gerencia de Operaciones</v>
      </c>
      <c r="H192" s="13" t="str">
        <f>IF($K192="","",INDEX('Detalle individual'!$F:$F,$K192))</f>
        <v>Completado</v>
      </c>
      <c r="I192" s="20">
        <f>IF($K192="","",IF(INDEX('Detalle individual'!$F:$F,$K192)="Completado",INDEX('Detalle individual'!$H:$H,$K192),""))</f>
        <v>46304.692928240744</v>
      </c>
      <c r="J192" s="21">
        <f>IF($K192="","",IF(INDEX('Detalle individual'!$F:$F,$K192)="Completado",INDEX('Detalle individual'!$J:$J,$K192),""))</f>
        <v>100</v>
      </c>
      <c r="K192">
        <f>IFERROR(MOD(SMALL(Cálculos!$Z$5:$Z$1000,184),10000),"")</f>
        <v>78</v>
      </c>
    </row>
    <row r="193">
      <c r="B193" s="13">
        <f>IF($K193="","",185)</f>
        <v>185</v>
      </c>
      <c r="C193" s="13" t="str">
        <f>IF($K193="","",INDEX('Detalle individual'!$A:$A,$K193))</f>
        <v>847</v>
      </c>
      <c r="D193" s="72" t="str">
        <f>IF($K193="","",TRIM(INDEX('Detalle individual'!$B:$B,$K193)))</f>
        <v>ZULEYMA ALEJANDRA VASQUEZ MARIN</v>
      </c>
      <c r="E193" s="72" t="str">
        <f>IF($K193="","",TRIM(INDEX('Detalle individual'!$E:$E,$K193)))</f>
        <v>JEFE DE EDUCACION Y RESPONSABILIDAD SOCIAL</v>
      </c>
      <c r="F193" s="72" t="str">
        <f>IF($K193="","",TRIM(INDEX('Detalle individual'!$C:$C,$K193)))</f>
        <v>DEPARTAMENTO DE EDUCACION Y RESPONSABILIDAD SOCIAL</v>
      </c>
      <c r="G193" s="72" t="str">
        <f>IF($K193="","",INDEX('Detalle individual'!$D:$D,$K193))</f>
        <v>Gerencia Administrativa</v>
      </c>
      <c r="H193" s="13" t="str">
        <f>IF($K193="","",INDEX('Detalle individual'!$F:$F,$K193))</f>
        <v>Completado</v>
      </c>
      <c r="I193" s="20">
        <f>IF($K193="","",IF(INDEX('Detalle individual'!$F:$F,$K193)="Completado",INDEX('Detalle individual'!$H:$H,$K193),""))</f>
        <v>46309.741215277776</v>
      </c>
      <c r="J193" s="21">
        <f>IF($K193="","",IF(INDEX('Detalle individual'!$F:$F,$K193)="Completado",INDEX('Detalle individual'!$J:$J,$K193),""))</f>
        <v>100</v>
      </c>
      <c r="K193">
        <f>IFERROR(MOD(SMALL(Cálculos!$Z$5:$Z$1000,185),10000),"")</f>
        <v>56</v>
      </c>
    </row>
    <row r="194">
      <c r="B194" s="13">
        <f>IF($K194="","",186)</f>
        <v>186</v>
      </c>
      <c r="C194" s="13" t="str">
        <f>IF($K194="","",INDEX('Detalle individual'!$A:$A,$K194))</f>
        <v>853</v>
      </c>
      <c r="D194" s="72" t="str">
        <f>IF($K194="","",TRIM(INDEX('Detalle individual'!$B:$B,$K194)))</f>
        <v>STEPHANIE CAROLINA MALDONADO FLORES</v>
      </c>
      <c r="E194" s="72" t="str">
        <f>IF($K194="","",TRIM(INDEX('Detalle individual'!$E:$E,$K194)))</f>
        <v>ASISTENTE TECNICO DEPARTAMENTO DE EDUCACION Y RESPONSABILIDA</v>
      </c>
      <c r="F194" s="72" t="str">
        <f>IF($K194="","",TRIM(INDEX('Detalle individual'!$C:$C,$K194)))</f>
        <v>DEPARTAMENTO DE EDUCACION Y RESPONSABILIDAD SOCIAL</v>
      </c>
      <c r="G194" s="72" t="str">
        <f>IF($K194="","",INDEX('Detalle individual'!$D:$D,$K194))</f>
        <v>Gerencia Administrativa</v>
      </c>
      <c r="H194" s="13" t="str">
        <f>IF($K194="","",INDEX('Detalle individual'!$F:$F,$K194))</f>
        <v>Completado</v>
      </c>
      <c r="I194" s="20">
        <f>IF($K194="","",IF(INDEX('Detalle individual'!$F:$F,$K194)="Completado",INDEX('Detalle individual'!$H:$H,$K194),""))</f>
        <v>46301.64635416667</v>
      </c>
      <c r="J194" s="21">
        <f>IF($K194="","",IF(INDEX('Detalle individual'!$F:$F,$K194)="Completado",INDEX('Detalle individual'!$J:$J,$K194),""))</f>
        <v>100</v>
      </c>
      <c r="K194">
        <f>IFERROR(MOD(SMALL(Cálculos!$Z$5:$Z$1000,186),10000),"")</f>
        <v>57</v>
      </c>
    </row>
    <row r="195">
      <c r="B195" s="13">
        <f>IF($K195="","",187)</f>
        <v>187</v>
      </c>
      <c r="C195" s="13" t="str">
        <f>IF($K195="","",INDEX('Detalle individual'!$A:$A,$K195))</f>
        <v>919</v>
      </c>
      <c r="D195" s="72" t="str">
        <f>IF($K195="","",TRIM(INDEX('Detalle individual'!$B:$B,$K195)))</f>
        <v>CARLOS EDUARDO SERVELLON PEREZ</v>
      </c>
      <c r="E195" s="72" t="str">
        <f>IF($K195="","",TRIM(INDEX('Detalle individual'!$E:$E,$K195)))</f>
        <v>AUXILIAR DE EDUCACION Y RESPONSABILIDAD SOCIAL</v>
      </c>
      <c r="F195" s="72" t="str">
        <f>IF($K195="","",TRIM(INDEX('Detalle individual'!$C:$C,$K195)))</f>
        <v>DEPARTAMENTO DE EDUCACION Y RESPONSABILIDAD SOCIAL</v>
      </c>
      <c r="G195" s="72" t="str">
        <f>IF($K195="","",INDEX('Detalle individual'!$D:$D,$K195))</f>
        <v>Gerencia Administrativa</v>
      </c>
      <c r="H195" s="13" t="str">
        <f>IF($K195="","",INDEX('Detalle individual'!$F:$F,$K195))</f>
        <v>Completado</v>
      </c>
      <c r="I195" s="20">
        <f>IF($K195="","",IF(INDEX('Detalle individual'!$F:$F,$K195)="Completado",INDEX('Detalle individual'!$H:$H,$K195),""))</f>
        <v>46310.511469907404</v>
      </c>
      <c r="J195" s="21">
        <f>IF($K195="","",IF(INDEX('Detalle individual'!$F:$F,$K195)="Completado",INDEX('Detalle individual'!$J:$J,$K195),""))</f>
        <v>100</v>
      </c>
      <c r="K195">
        <f>IFERROR(MOD(SMALL(Cálculos!$Z$5:$Z$1000,187),10000),"")</f>
        <v>58</v>
      </c>
    </row>
    <row r="196">
      <c r="B196" s="13">
        <f>IF($K196="","",188)</f>
        <v>188</v>
      </c>
      <c r="C196" s="13" t="str">
        <f>IF($K196="","",INDEX('Detalle individual'!$A:$A,$K196))</f>
        <v>219</v>
      </c>
      <c r="D196" s="72" t="str">
        <f>IF($K196="","",TRIM(INDEX('Detalle individual'!$B:$B,$K196)))</f>
        <v>IVONNE LISSETH DE JESUS RODRIGUEZ FLORES</v>
      </c>
      <c r="E196" s="72" t="str">
        <f>IF($K196="","",TRIM(INDEX('Detalle individual'!$E:$E,$K196)))</f>
        <v>ASISTENTE TELEMARKETING</v>
      </c>
      <c r="F196" s="72" t="str">
        <f>IF($K196="","",TRIM(INDEX('Detalle individual'!$C:$C,$K196)))</f>
        <v>DEPARTAMENTO DE MERCADEO</v>
      </c>
      <c r="G196" s="72" t="str">
        <f>IF($K196="","",INDEX('Detalle individual'!$D:$D,$K196))</f>
        <v>Gerencia de Negocios</v>
      </c>
      <c r="H196" s="13" t="str">
        <f>IF($K196="","",INDEX('Detalle individual'!$F:$F,$K196))</f>
        <v>Completado</v>
      </c>
      <c r="I196" s="20">
        <f>IF($K196="","",IF(INDEX('Detalle individual'!$F:$F,$K196)="Completado",INDEX('Detalle individual'!$H:$H,$K196),""))</f>
        <v>46308.39677083334</v>
      </c>
      <c r="J196" s="21">
        <f>IF($K196="","",IF(INDEX('Detalle individual'!$F:$F,$K196)="Completado",INDEX('Detalle individual'!$J:$J,$K196),""))</f>
        <v>95</v>
      </c>
      <c r="K196">
        <f>IFERROR(MOD(SMALL(Cálculos!$Z$5:$Z$1000,188),10000),"")</f>
        <v>145</v>
      </c>
    </row>
    <row r="197">
      <c r="B197" s="13">
        <f>IF($K197="","",189)</f>
        <v>189</v>
      </c>
      <c r="C197" s="13" t="str">
        <f>IF($K197="","",INDEX('Detalle individual'!$A:$A,$K197))</f>
        <v>361</v>
      </c>
      <c r="D197" s="72" t="str">
        <f>IF($K197="","",TRIM(INDEX('Detalle individual'!$B:$B,$K197)))</f>
        <v>JOSE CARLOS IRENEO HERNANDEZ RODRIGUEZ</v>
      </c>
      <c r="E197" s="72" t="str">
        <f>IF($K197="","",TRIM(INDEX('Detalle individual'!$E:$E,$K197)))</f>
        <v>ASISTENTE TECNICO DE MERCADEO</v>
      </c>
      <c r="F197" s="72" t="str">
        <f>IF($K197="","",TRIM(INDEX('Detalle individual'!$C:$C,$K197)))</f>
        <v>DEPARTAMENTO DE MERCADEO</v>
      </c>
      <c r="G197" s="72" t="str">
        <f>IF($K197="","",INDEX('Detalle individual'!$D:$D,$K197))</f>
        <v>Gerencia de Negocios</v>
      </c>
      <c r="H197" s="13" t="str">
        <f>IF($K197="","",INDEX('Detalle individual'!$F:$F,$K197))</f>
        <v>Completado</v>
      </c>
      <c r="I197" s="20">
        <f>IF($K197="","",IF(INDEX('Detalle individual'!$F:$F,$K197)="Completado",INDEX('Detalle individual'!$H:$H,$K197),""))</f>
        <v>46311.418587962966</v>
      </c>
      <c r="J197" s="21">
        <f>IF($K197="","",IF(INDEX('Detalle individual'!$F:$F,$K197)="Completado",INDEX('Detalle individual'!$J:$J,$K197),""))</f>
        <v>95</v>
      </c>
      <c r="K197">
        <f>IFERROR(MOD(SMALL(Cálculos!$Z$5:$Z$1000,189),10000),"")</f>
        <v>146</v>
      </c>
    </row>
    <row r="198">
      <c r="B198" s="13">
        <f>IF($K198="","",190)</f>
        <v>190</v>
      </c>
      <c r="C198" s="13" t="str">
        <f>IF($K198="","",INDEX('Detalle individual'!$A:$A,$K198))</f>
        <v>591</v>
      </c>
      <c r="D198" s="72" t="str">
        <f>IF($K198="","",TRIM(INDEX('Detalle individual'!$B:$B,$K198)))</f>
        <v>CARMEN MARIA GUTIERREZ ESTRADA</v>
      </c>
      <c r="E198" s="72" t="str">
        <f>IF($K198="","",TRIM(INDEX('Detalle individual'!$E:$E,$K198)))</f>
        <v>JEFE DE MERCADEO</v>
      </c>
      <c r="F198" s="72" t="str">
        <f>IF($K198="","",TRIM(INDEX('Detalle individual'!$C:$C,$K198)))</f>
        <v>DEPARTAMENTO DE MERCADEO</v>
      </c>
      <c r="G198" s="72" t="str">
        <f>IF($K198="","",INDEX('Detalle individual'!$D:$D,$K198))</f>
        <v>Gerencia de Negocios</v>
      </c>
      <c r="H198" s="13" t="str">
        <f>IF($K198="","",INDEX('Detalle individual'!$F:$F,$K198))</f>
        <v>Completado</v>
      </c>
      <c r="I198" s="20">
        <f>IF($K198="","",IF(INDEX('Detalle individual'!$F:$F,$K198)="Completado",INDEX('Detalle individual'!$H:$H,$K198),""))</f>
        <v>46310.66862268518</v>
      </c>
      <c r="J198" s="21">
        <f>IF($K198="","",IF(INDEX('Detalle individual'!$F:$F,$K198)="Completado",INDEX('Detalle individual'!$J:$J,$K198),""))</f>
        <v>80</v>
      </c>
      <c r="K198">
        <f>IFERROR(MOD(SMALL(Cálculos!$Z$5:$Z$1000,190),10000),"")</f>
        <v>147</v>
      </c>
    </row>
    <row r="199">
      <c r="B199" s="13">
        <f>IF($K199="","",191)</f>
        <v>191</v>
      </c>
      <c r="C199" s="13" t="str">
        <f>IF($K199="","",INDEX('Detalle individual'!$A:$A,$K199))</f>
        <v>723</v>
      </c>
      <c r="D199" s="72" t="str">
        <f>IF($K199="","",TRIM(INDEX('Detalle individual'!$B:$B,$K199)))</f>
        <v>LUIS FAUSTONY VASQUEZ CIENFUEGOS</v>
      </c>
      <c r="E199" s="72" t="str">
        <f>IF($K199="","",TRIM(INDEX('Detalle individual'!$E:$E,$K199)))</f>
        <v>GESTOR DE DOCUMENTOS</v>
      </c>
      <c r="F199" s="72" t="str">
        <f>IF($K199="","",TRIM(INDEX('Detalle individual'!$C:$C,$K199)))</f>
        <v>DEPARTAMENTO DE MERCADEO</v>
      </c>
      <c r="G199" s="72" t="str">
        <f>IF($K199="","",INDEX('Detalle individual'!$D:$D,$K199))</f>
        <v>Gerencia de Negocios</v>
      </c>
      <c r="H199" s="13" t="str">
        <f>IF($K199="","",INDEX('Detalle individual'!$F:$F,$K199))</f>
        <v>Completado</v>
      </c>
      <c r="I199" s="20">
        <f>IF($K199="","",IF(INDEX('Detalle individual'!$F:$F,$K199)="Completado",INDEX('Detalle individual'!$H:$H,$K199),""))</f>
        <v>46311.71099537037</v>
      </c>
      <c r="J199" s="21">
        <f>IF($K199="","",IF(INDEX('Detalle individual'!$F:$F,$K199)="Completado",INDEX('Detalle individual'!$J:$J,$K199),""))</f>
        <v>90</v>
      </c>
      <c r="K199">
        <f>IFERROR(MOD(SMALL(Cálculos!$Z$5:$Z$1000,191),10000),"")</f>
        <v>148</v>
      </c>
    </row>
    <row r="200">
      <c r="B200" s="13">
        <f>IF($K200="","",192)</f>
        <v>192</v>
      </c>
      <c r="C200" s="13" t="str">
        <f>IF($K200="","",INDEX('Detalle individual'!$A:$A,$K200))</f>
        <v>895</v>
      </c>
      <c r="D200" s="72" t="str">
        <f>IF($K200="","",TRIM(INDEX('Detalle individual'!$B:$B,$K200)))</f>
        <v>MARIA ALEJANDRA BATRES ALVARADO</v>
      </c>
      <c r="E200" s="72" t="str">
        <f>IF($K200="","",TRIM(INDEX('Detalle individual'!$E:$E,$K200)))</f>
        <v>DISEÑADOR GRAFICO</v>
      </c>
      <c r="F200" s="72" t="str">
        <f>IF($K200="","",TRIM(INDEX('Detalle individual'!$C:$C,$K200)))</f>
        <v>DEPARTAMENTO DE MERCADEO</v>
      </c>
      <c r="G200" s="72" t="str">
        <f>IF($K200="","",INDEX('Detalle individual'!$D:$D,$K200))</f>
        <v>Gerencia de Negocios</v>
      </c>
      <c r="H200" s="13" t="str">
        <f>IF($K200="","",INDEX('Detalle individual'!$F:$F,$K200))</f>
        <v>Completado</v>
      </c>
      <c r="I200" s="20">
        <f>IF($K200="","",IF(INDEX('Detalle individual'!$F:$F,$K200)="Completado",INDEX('Detalle individual'!$H:$H,$K200),""))</f>
        <v>46311.42974537037</v>
      </c>
      <c r="J200" s="21">
        <f>IF($K200="","",IF(INDEX('Detalle individual'!$F:$F,$K200)="Completado",INDEX('Detalle individual'!$J:$J,$K200),""))</f>
        <v>100</v>
      </c>
      <c r="K200">
        <f>IFERROR(MOD(SMALL(Cálculos!$Z$5:$Z$1000,192),10000),"")</f>
        <v>149</v>
      </c>
    </row>
    <row r="201">
      <c r="B201" s="13">
        <f>IF($K201="","",193)</f>
        <v>193</v>
      </c>
      <c r="C201" s="13" t="str">
        <f>IF($K201="","",INDEX('Detalle individual'!$A:$A,$K201))</f>
        <v>897</v>
      </c>
      <c r="D201" s="72" t="str">
        <f>IF($K201="","",TRIM(INDEX('Detalle individual'!$B:$B,$K201)))</f>
        <v>GERARDO ALEXANDER MARTINEZ RIVERA</v>
      </c>
      <c r="E201" s="72" t="str">
        <f>IF($K201="","",TRIM(INDEX('Detalle individual'!$E:$E,$K201)))</f>
        <v>ANALISTA DE COMUNICACIONES</v>
      </c>
      <c r="F201" s="72" t="str">
        <f>IF($K201="","",TRIM(INDEX('Detalle individual'!$C:$C,$K201)))</f>
        <v>DEPARTAMENTO DE MERCADEO</v>
      </c>
      <c r="G201" s="72" t="str">
        <f>IF($K201="","",INDEX('Detalle individual'!$D:$D,$K201))</f>
        <v>Gerencia de Negocios</v>
      </c>
      <c r="H201" s="13" t="str">
        <f>IF($K201="","",INDEX('Detalle individual'!$F:$F,$K201))</f>
        <v>Completado</v>
      </c>
      <c r="I201" s="20">
        <f>IF($K201="","",IF(INDEX('Detalle individual'!$F:$F,$K201)="Completado",INDEX('Detalle individual'!$H:$H,$K201),""))</f>
        <v>46311.45481481482</v>
      </c>
      <c r="J201" s="21">
        <f>IF($K201="","",IF(INDEX('Detalle individual'!$F:$F,$K201)="Completado",INDEX('Detalle individual'!$J:$J,$K201),""))</f>
        <v>100</v>
      </c>
      <c r="K201">
        <f>IFERROR(MOD(SMALL(Cálculos!$Z$5:$Z$1000,193),10000),"")</f>
        <v>150</v>
      </c>
    </row>
    <row r="202">
      <c r="B202" s="13">
        <f>IF($K202="","",194)</f>
        <v>194</v>
      </c>
      <c r="C202" s="13" t="str">
        <f>IF($K202="","",INDEX('Detalle individual'!$A:$A,$K202))</f>
        <v>982</v>
      </c>
      <c r="D202" s="72" t="str">
        <f>IF($K202="","",TRIM(INDEX('Detalle individual'!$B:$B,$K202)))</f>
        <v>ALEJANDRA ABIGAIL RAMIREZ ROMERO</v>
      </c>
      <c r="E202" s="72" t="str">
        <f>IF($K202="","",TRIM(INDEX('Detalle individual'!$E:$E,$K202)))</f>
        <v>DISEÑADOR GRAFICO</v>
      </c>
      <c r="F202" s="72" t="str">
        <f>IF($K202="","",TRIM(INDEX('Detalle individual'!$C:$C,$K202)))</f>
        <v>DEPARTAMENTO DE MERCADEO</v>
      </c>
      <c r="G202" s="72" t="str">
        <f>IF($K202="","",INDEX('Detalle individual'!$D:$D,$K202))</f>
        <v>Gerencia de Negocios</v>
      </c>
      <c r="H202" s="13" t="str">
        <f>IF($K202="","",INDEX('Detalle individual'!$F:$F,$K202))</f>
        <v>Completado</v>
      </c>
      <c r="I202" s="20">
        <f>IF($K202="","",IF(INDEX('Detalle individual'!$F:$F,$K202)="Completado",INDEX('Detalle individual'!$H:$H,$K202),""))</f>
        <v>46301.64126157408</v>
      </c>
      <c r="J202" s="21">
        <f>IF($K202="","",IF(INDEX('Detalle individual'!$F:$F,$K202)="Completado",INDEX('Detalle individual'!$J:$J,$K202),""))</f>
        <v>100</v>
      </c>
      <c r="K202">
        <f>IFERROR(MOD(SMALL(Cálculos!$Z$5:$Z$1000,194),10000),"")</f>
        <v>151</v>
      </c>
    </row>
    <row r="203">
      <c r="B203" s="13">
        <f>IF($K203="","",195)</f>
        <v>195</v>
      </c>
      <c r="C203" s="13" t="str">
        <f>IF($K203="","",INDEX('Detalle individual'!$A:$A,$K203))</f>
        <v>119</v>
      </c>
      <c r="D203" s="72" t="str">
        <f>IF($K203="","",TRIM(INDEX('Detalle individual'!$B:$B,$K203)))</f>
        <v>JUAN JOSE LOPEZ ALFARO</v>
      </c>
      <c r="E203" s="72" t="str">
        <f>IF($K203="","",TRIM(INDEX('Detalle individual'!$E:$E,$K203)))</f>
        <v>OPERADOR DE SISTEMAS</v>
      </c>
      <c r="F203" s="72" t="str">
        <f>IF($K203="","",TRIM(INDEX('Detalle individual'!$C:$C,$K203)))</f>
        <v>DEPARTAMENTO DE OPERACIONES Y SOPORTE TECNICO</v>
      </c>
      <c r="G203" s="72" t="str">
        <f>IF($K203="","",INDEX('Detalle individual'!$D:$D,$K203))</f>
        <v>Gerencia de Sistemas</v>
      </c>
      <c r="H203" s="13" t="str">
        <f>IF($K203="","",INDEX('Detalle individual'!$F:$F,$K203))</f>
        <v>Completado</v>
      </c>
      <c r="I203" s="20">
        <f>IF($K203="","",IF(INDEX('Detalle individual'!$F:$F,$K203)="Completado",INDEX('Detalle individual'!$H:$H,$K203),""))</f>
        <v>46302.441828703704</v>
      </c>
      <c r="J203" s="21">
        <f>IF($K203="","",IF(INDEX('Detalle individual'!$F:$F,$K203)="Completado",INDEX('Detalle individual'!$J:$J,$K203),""))</f>
        <v>100</v>
      </c>
      <c r="K203">
        <f>IFERROR(MOD(SMALL(Cálculos!$Z$5:$Z$1000,195),10000),"")</f>
        <v>105</v>
      </c>
    </row>
    <row r="204">
      <c r="B204" s="13">
        <f>IF($K204="","",196)</f>
        <v>196</v>
      </c>
      <c r="C204" s="13" t="str">
        <f>IF($K204="","",INDEX('Detalle individual'!$A:$A,$K204))</f>
        <v>221</v>
      </c>
      <c r="D204" s="72" t="str">
        <f>IF($K204="","",TRIM(INDEX('Detalle individual'!$B:$B,$K204)))</f>
        <v>CARLOS ORLANDO GARCIA VELASQUEZ</v>
      </c>
      <c r="E204" s="72" t="str">
        <f>IF($K204="","",TRIM(INDEX('Detalle individual'!$E:$E,$K204)))</f>
        <v>TECNICO EN SOPORTE</v>
      </c>
      <c r="F204" s="72" t="str">
        <f>IF($K204="","",TRIM(INDEX('Detalle individual'!$C:$C,$K204)))</f>
        <v>DEPARTAMENTO DE OPERACIONES Y SOPORTE TECNICO</v>
      </c>
      <c r="G204" s="72" t="str">
        <f>IF($K204="","",INDEX('Detalle individual'!$D:$D,$K204))</f>
        <v>Gerencia de Sistemas</v>
      </c>
      <c r="H204" s="13" t="str">
        <f>IF($K204="","",INDEX('Detalle individual'!$F:$F,$K204))</f>
        <v>Completado</v>
      </c>
      <c r="I204" s="20">
        <f>IF($K204="","",IF(INDEX('Detalle individual'!$F:$F,$K204)="Completado",INDEX('Detalle individual'!$H:$H,$K204),""))</f>
        <v>46300.58950231481</v>
      </c>
      <c r="J204" s="21">
        <f>IF($K204="","",IF(INDEX('Detalle individual'!$F:$F,$K204)="Completado",INDEX('Detalle individual'!$J:$J,$K204),""))</f>
        <v>100</v>
      </c>
      <c r="K204">
        <f>IFERROR(MOD(SMALL(Cálculos!$Z$5:$Z$1000,196),10000),"")</f>
        <v>106</v>
      </c>
    </row>
    <row r="205">
      <c r="B205" s="13">
        <f>IF($K205="","",197)</f>
        <v>197</v>
      </c>
      <c r="C205" s="13" t="str">
        <f>IF($K205="","",INDEX('Detalle individual'!$A:$A,$K205))</f>
        <v>259</v>
      </c>
      <c r="D205" s="72" t="str">
        <f>IF($K205="","",TRIM(INDEX('Detalle individual'!$B:$B,$K205)))</f>
        <v>EDGAR MARGARITO POZO SHUPAN</v>
      </c>
      <c r="E205" s="72" t="str">
        <f>IF($K205="","",TRIM(INDEX('Detalle individual'!$E:$E,$K205)))</f>
        <v>TECNICO EN SOPORTE</v>
      </c>
      <c r="F205" s="72" t="str">
        <f>IF($K205="","",TRIM(INDEX('Detalle individual'!$C:$C,$K205)))</f>
        <v>DEPARTAMENTO DE OPERACIONES Y SOPORTE TECNICO</v>
      </c>
      <c r="G205" s="72" t="str">
        <f>IF($K205="","",INDEX('Detalle individual'!$D:$D,$K205))</f>
        <v>Gerencia de Sistemas</v>
      </c>
      <c r="H205" s="13" t="str">
        <f>IF($K205="","",INDEX('Detalle individual'!$F:$F,$K205))</f>
        <v>Completado</v>
      </c>
      <c r="I205" s="20">
        <f>IF($K205="","",IF(INDEX('Detalle individual'!$F:$F,$K205)="Completado",INDEX('Detalle individual'!$H:$H,$K205),""))</f>
        <v>46300.63810185185</v>
      </c>
      <c r="J205" s="21">
        <f>IF($K205="","",IF(INDEX('Detalle individual'!$F:$F,$K205)="Completado",INDEX('Detalle individual'!$J:$J,$K205),""))</f>
        <v>100</v>
      </c>
      <c r="K205">
        <f>IFERROR(MOD(SMALL(Cálculos!$Z$5:$Z$1000,197),10000),"")</f>
        <v>107</v>
      </c>
    </row>
    <row r="206">
      <c r="B206" s="13">
        <f>IF($K206="","",198)</f>
        <v>198</v>
      </c>
      <c r="C206" s="13" t="str">
        <f>IF($K206="","",INDEX('Detalle individual'!$A:$A,$K206))</f>
        <v>281</v>
      </c>
      <c r="D206" s="72" t="str">
        <f>IF($K206="","",TRIM(INDEX('Detalle individual'!$B:$B,$K206)))</f>
        <v>CARLOS ALFONSO MOLINA CARDONA</v>
      </c>
      <c r="E206" s="72" t="str">
        <f>IF($K206="","",TRIM(INDEX('Detalle individual'!$E:$E,$K206)))</f>
        <v>OPERADOR DE SISTEMAS</v>
      </c>
      <c r="F206" s="72" t="str">
        <f>IF($K206="","",TRIM(INDEX('Detalle individual'!$C:$C,$K206)))</f>
        <v>DEPARTAMENTO DE OPERACIONES Y SOPORTE TECNICO</v>
      </c>
      <c r="G206" s="72" t="str">
        <f>IF($K206="","",INDEX('Detalle individual'!$D:$D,$K206))</f>
        <v>Gerencia de Sistemas</v>
      </c>
      <c r="H206" s="13" t="str">
        <f>IF($K206="","",INDEX('Detalle individual'!$F:$F,$K206))</f>
        <v>Completado</v>
      </c>
      <c r="I206" s="20">
        <f>IF($K206="","",IF(INDEX('Detalle individual'!$F:$F,$K206)="Completado",INDEX('Detalle individual'!$H:$H,$K206),""))</f>
        <v>46300.48065972222</v>
      </c>
      <c r="J206" s="21">
        <f>IF($K206="","",IF(INDEX('Detalle individual'!$F:$F,$K206)="Completado",INDEX('Detalle individual'!$J:$J,$K206),""))</f>
        <v>100</v>
      </c>
      <c r="K206">
        <f>IFERROR(MOD(SMALL(Cálculos!$Z$5:$Z$1000,198),10000),"")</f>
        <v>108</v>
      </c>
    </row>
    <row r="207">
      <c r="B207" s="13">
        <f>IF($K207="","",199)</f>
        <v>199</v>
      </c>
      <c r="C207" s="13" t="str">
        <f>IF($K207="","",INDEX('Detalle individual'!$A:$A,$K207))</f>
        <v>490</v>
      </c>
      <c r="D207" s="72" t="str">
        <f>IF($K207="","",TRIM(INDEX('Detalle individual'!$B:$B,$K207)))</f>
        <v>JULIO ADOLFO MOLINA ARRIOLA</v>
      </c>
      <c r="E207" s="72" t="str">
        <f>IF($K207="","",TRIM(INDEX('Detalle individual'!$E:$E,$K207)))</f>
        <v>OPERADOR DE SISTEMAS</v>
      </c>
      <c r="F207" s="72" t="str">
        <f>IF($K207="","",TRIM(INDEX('Detalle individual'!$C:$C,$K207)))</f>
        <v>DEPARTAMENTO DE OPERACIONES Y SOPORTE TECNICO</v>
      </c>
      <c r="G207" s="72" t="str">
        <f>IF($K207="","",INDEX('Detalle individual'!$D:$D,$K207))</f>
        <v>Gerencia de Sistemas</v>
      </c>
      <c r="H207" s="13" t="str">
        <f>IF($K207="","",INDEX('Detalle individual'!$F:$F,$K207))</f>
        <v>Completado</v>
      </c>
      <c r="I207" s="20">
        <f>IF($K207="","",IF(INDEX('Detalle individual'!$F:$F,$K207)="Completado",INDEX('Detalle individual'!$H:$H,$K207),""))</f>
        <v>46301.436527777776</v>
      </c>
      <c r="J207" s="21">
        <f>IF($K207="","",IF(INDEX('Detalle individual'!$F:$F,$K207)="Completado",INDEX('Detalle individual'!$J:$J,$K207),""))</f>
        <v>100</v>
      </c>
      <c r="K207">
        <f>IFERROR(MOD(SMALL(Cálculos!$Z$5:$Z$1000,199),10000),"")</f>
        <v>109</v>
      </c>
    </row>
    <row r="208">
      <c r="B208" s="13">
        <f>IF($K208="","",200)</f>
        <v>200</v>
      </c>
      <c r="C208" s="13" t="str">
        <f>IF($K208="","",INDEX('Detalle individual'!$A:$A,$K208))</f>
        <v>880</v>
      </c>
      <c r="D208" s="72" t="str">
        <f>IF($K208="","",TRIM(INDEX('Detalle individual'!$B:$B,$K208)))</f>
        <v>JORGE ALBERTO BARRERA</v>
      </c>
      <c r="E208" s="72" t="str">
        <f>IF($K208="","",TRIM(INDEX('Detalle individual'!$E:$E,$K208)))</f>
        <v>JEFE DE OPERACIONES Y SOPORTE TECNICO</v>
      </c>
      <c r="F208" s="72" t="str">
        <f>IF($K208="","",TRIM(INDEX('Detalle individual'!$C:$C,$K208)))</f>
        <v>DEPARTAMENTO DE OPERACIONES Y SOPORTE TECNICO</v>
      </c>
      <c r="G208" s="72" t="str">
        <f>IF($K208="","",INDEX('Detalle individual'!$D:$D,$K208))</f>
        <v>Gerencia de Sistemas</v>
      </c>
      <c r="H208" s="13" t="str">
        <f>IF($K208="","",INDEX('Detalle individual'!$F:$F,$K208))</f>
        <v>Completado</v>
      </c>
      <c r="I208" s="20">
        <f>IF($K208="","",IF(INDEX('Detalle individual'!$F:$F,$K208)="Completado",INDEX('Detalle individual'!$H:$H,$K208),""))</f>
        <v>46300.5841087963</v>
      </c>
      <c r="J208" s="21">
        <f>IF($K208="","",IF(INDEX('Detalle individual'!$F:$F,$K208)="Completado",INDEX('Detalle individual'!$J:$J,$K208),""))</f>
        <v>100</v>
      </c>
      <c r="K208">
        <f>IFERROR(MOD(SMALL(Cálculos!$Z$5:$Z$1000,200),10000),"")</f>
        <v>110</v>
      </c>
    </row>
    <row r="209">
      <c r="B209" s="13">
        <f>IF($K209="","",201)</f>
        <v>201</v>
      </c>
      <c r="C209" s="13" t="str">
        <f>IF($K209="","",INDEX('Detalle individual'!$A:$A,$K209))</f>
        <v>191</v>
      </c>
      <c r="D209" s="72" t="str">
        <f>IF($K209="","",TRIM(INDEX('Detalle individual'!$B:$B,$K209)))</f>
        <v>ESTER ALEYDA GODOY CAMPOS</v>
      </c>
      <c r="E209" s="72" t="str">
        <f>IF($K209="","",TRIM(INDEX('Detalle individual'!$E:$E,$K209)))</f>
        <v>ASISTENTE TECNICO DE PLANIFICACION</v>
      </c>
      <c r="F209" s="72" t="str">
        <f>IF($K209="","",TRIM(INDEX('Detalle individual'!$C:$C,$K209)))</f>
        <v>DEPARTAMENTO DE PLANIFICACIÓN Y ANALISIS</v>
      </c>
      <c r="G209" s="72" t="str">
        <f>IF($K209="","",INDEX('Detalle individual'!$D:$D,$K209))</f>
        <v>Gerencia de Finanzas y Planificación</v>
      </c>
      <c r="H209" s="13" t="str">
        <f>IF($K209="","",INDEX('Detalle individual'!$F:$F,$K209))</f>
        <v>Completado</v>
      </c>
      <c r="I209" s="20">
        <f>IF($K209="","",IF(INDEX('Detalle individual'!$F:$F,$K209)="Completado",INDEX('Detalle individual'!$H:$H,$K209),""))</f>
        <v>46307.665983796294</v>
      </c>
      <c r="J209" s="21">
        <f>IF($K209="","",IF(INDEX('Detalle individual'!$F:$F,$K209)="Completado",INDEX('Detalle individual'!$J:$J,$K209),""))</f>
        <v>100</v>
      </c>
      <c r="K209">
        <f>IFERROR(MOD(SMALL(Cálculos!$Z$5:$Z$1000,201),10000),"")</f>
        <v>98</v>
      </c>
    </row>
    <row r="210">
      <c r="B210" s="13">
        <f>IF($K210="","",202)</f>
        <v>202</v>
      </c>
      <c r="C210" s="13" t="str">
        <f>IF($K210="","",INDEX('Detalle individual'!$A:$A,$K210))</f>
        <v>839</v>
      </c>
      <c r="D210" s="72" t="str">
        <f>IF($K210="","",TRIM(INDEX('Detalle individual'!$B:$B,$K210)))</f>
        <v>RAFAEL ANDRES MARAVILLA GUERRA</v>
      </c>
      <c r="E210" s="72" t="str">
        <f>IF($K210="","",TRIM(INDEX('Detalle individual'!$E:$E,$K210)))</f>
        <v>ASISTENTE DE ANALISIS Y NORMATIVAS</v>
      </c>
      <c r="F210" s="72" t="str">
        <f>IF($K210="","",TRIM(INDEX('Detalle individual'!$C:$C,$K210)))</f>
        <v>DEPARTAMENTO DE PLANIFICACIÓN Y ANALISIS</v>
      </c>
      <c r="G210" s="72" t="str">
        <f>IF($K210="","",INDEX('Detalle individual'!$D:$D,$K210))</f>
        <v>Gerencia de Finanzas y Planificación</v>
      </c>
      <c r="H210" s="13" t="str">
        <f>IF($K210="","",INDEX('Detalle individual'!$F:$F,$K210))</f>
        <v>Completado</v>
      </c>
      <c r="I210" s="20">
        <f>IF($K210="","",IF(INDEX('Detalle individual'!$F:$F,$K210)="Completado",INDEX('Detalle individual'!$H:$H,$K210),""))</f>
        <v>46311.627291666664</v>
      </c>
      <c r="J210" s="21">
        <f>IF($K210="","",IF(INDEX('Detalle individual'!$F:$F,$K210)="Completado",INDEX('Detalle individual'!$J:$J,$K210),""))</f>
        <v>100</v>
      </c>
      <c r="K210">
        <f>IFERROR(MOD(SMALL(Cálculos!$Z$5:$Z$1000,202),10000),"")</f>
        <v>99</v>
      </c>
    </row>
    <row r="211">
      <c r="B211" s="13">
        <f>IF($K211="","",203)</f>
        <v>203</v>
      </c>
      <c r="C211" s="13" t="str">
        <f>IF($K211="","",INDEX('Detalle individual'!$A:$A,$K211))</f>
        <v>946</v>
      </c>
      <c r="D211" s="72" t="str">
        <f>IF($K211="","",TRIM(INDEX('Detalle individual'!$B:$B,$K211)))</f>
        <v>EFRAIN ANTONIO AYALA LOPEZ</v>
      </c>
      <c r="E211" s="72" t="str">
        <f>IF($K211="","",TRIM(INDEX('Detalle individual'!$E:$E,$K211)))</f>
        <v>JEFE DE PLANIFICACION Y ANALISIS</v>
      </c>
      <c r="F211" s="72" t="str">
        <f>IF($K211="","",TRIM(INDEX('Detalle individual'!$C:$C,$K211)))</f>
        <v>DEPARTAMENTO DE PLANIFICACIÓN Y ANALISIS</v>
      </c>
      <c r="G211" s="72" t="str">
        <f>IF($K211="","",INDEX('Detalle individual'!$D:$D,$K211))</f>
        <v>Gerencia de Finanzas y Planificación</v>
      </c>
      <c r="H211" s="13" t="str">
        <f>IF($K211="","",INDEX('Detalle individual'!$F:$F,$K211))</f>
        <v>Completado</v>
      </c>
      <c r="I211" s="20">
        <f>IF($K211="","",IF(INDEX('Detalle individual'!$F:$F,$K211)="Completado",INDEX('Detalle individual'!$H:$H,$K211),""))</f>
        <v>46305.53491898148</v>
      </c>
      <c r="J211" s="21">
        <f>IF($K211="","",IF(INDEX('Detalle individual'!$F:$F,$K211)="Completado",INDEX('Detalle individual'!$J:$J,$K211),""))</f>
        <v>100</v>
      </c>
      <c r="K211">
        <f>IFERROR(MOD(SMALL(Cálculos!$Z$5:$Z$1000,203),10000),"")</f>
        <v>100</v>
      </c>
    </row>
    <row r="212">
      <c r="B212" s="13">
        <f>IF($K212="","",204)</f>
        <v>204</v>
      </c>
      <c r="C212" s="13" t="str">
        <f>IF($K212="","",INDEX('Detalle individual'!$A:$A,$K212))</f>
        <v>318</v>
      </c>
      <c r="D212" s="72" t="str">
        <f>IF($K212="","",TRIM(INDEX('Detalle individual'!$B:$B,$K212)))</f>
        <v>CLAUDIA CAROLINA HENRIQUEZ VELASCO</v>
      </c>
      <c r="E212" s="72" t="str">
        <f>IF($K212="","",TRIM(INDEX('Detalle individual'!$E:$E,$K212)))</f>
        <v>JEFE DE PROCESOS</v>
      </c>
      <c r="F212" s="72" t="str">
        <f>IF($K212="","",TRIM(INDEX('Detalle individual'!$C:$C,$K212)))</f>
        <v>DEPARTAMENTO DE PROCESOS</v>
      </c>
      <c r="G212" s="72" t="str">
        <f>IF($K212="","",INDEX('Detalle individual'!$D:$D,$K212))</f>
        <v>Gerencia General</v>
      </c>
      <c r="H212" s="13" t="str">
        <f>IF($K212="","",INDEX('Detalle individual'!$F:$F,$K212))</f>
        <v>Completado</v>
      </c>
      <c r="I212" s="20">
        <f>IF($K212="","",IF(INDEX('Detalle individual'!$F:$F,$K212)="Completado",INDEX('Detalle individual'!$H:$H,$K212),""))</f>
        <v>46296.44149305556</v>
      </c>
      <c r="J212" s="21">
        <f>IF($K212="","",IF(INDEX('Detalle individual'!$F:$F,$K212)="Completado",INDEX('Detalle individual'!$J:$J,$K212),""))</f>
        <v>100</v>
      </c>
      <c r="K212">
        <f>IFERROR(MOD(SMALL(Cálculos!$Z$5:$Z$1000,204),10000),"")</f>
        <v>18</v>
      </c>
    </row>
    <row r="213">
      <c r="B213" s="13">
        <f>IF($K213="","",205)</f>
        <v>205</v>
      </c>
      <c r="C213" s="13" t="str">
        <f>IF($K213="","",INDEX('Detalle individual'!$A:$A,$K213))</f>
        <v>817</v>
      </c>
      <c r="D213" s="72" t="str">
        <f>IF($K213="","",TRIM(INDEX('Detalle individual'!$B:$B,$K213)))</f>
        <v>MAURICIO EDGARDO MIRANDA CAMPOS</v>
      </c>
      <c r="E213" s="72" t="str">
        <f>IF($K213="","",TRIM(INDEX('Detalle individual'!$E:$E,$K213)))</f>
        <v>ANALISTA DE PROCESOS</v>
      </c>
      <c r="F213" s="72" t="str">
        <f>IF($K213="","",TRIM(INDEX('Detalle individual'!$C:$C,$K213)))</f>
        <v>DEPARTAMENTO DE PROCESOS</v>
      </c>
      <c r="G213" s="72" t="str">
        <f>IF($K213="","",INDEX('Detalle individual'!$D:$D,$K213))</f>
        <v>Gerencia General</v>
      </c>
      <c r="H213" s="13" t="str">
        <f>IF($K213="","",INDEX('Detalle individual'!$F:$F,$K213))</f>
        <v>Completado</v>
      </c>
      <c r="I213" s="20">
        <f>IF($K213="","",IF(INDEX('Detalle individual'!$F:$F,$K213)="Completado",INDEX('Detalle individual'!$H:$H,$K213),""))</f>
        <v>46296.44137731481</v>
      </c>
      <c r="J213" s="21">
        <f>IF($K213="","",IF(INDEX('Detalle individual'!$F:$F,$K213)="Completado",INDEX('Detalle individual'!$J:$J,$K213),""))</f>
        <v>100</v>
      </c>
      <c r="K213">
        <f>IFERROR(MOD(SMALL(Cálculos!$Z$5:$Z$1000,205),10000),"")</f>
        <v>19</v>
      </c>
    </row>
    <row r="214">
      <c r="B214" s="13">
        <f>IF($K214="","",206)</f>
        <v>206</v>
      </c>
      <c r="C214" s="13" t="str">
        <f>IF($K214="","",INDEX('Detalle individual'!$A:$A,$K214))</f>
        <v>932</v>
      </c>
      <c r="D214" s="72" t="str">
        <f>IF($K214="","",TRIM(INDEX('Detalle individual'!$B:$B,$K214)))</f>
        <v>HECTOR SEBASTIAN LOPEZ GRANADOS</v>
      </c>
      <c r="E214" s="72" t="str">
        <f>IF($K214="","",TRIM(INDEX('Detalle individual'!$E:$E,$K214)))</f>
        <v>ASISTENTE TECNICO DE PROCESOS</v>
      </c>
      <c r="F214" s="72" t="str">
        <f>IF($K214="","",TRIM(INDEX('Detalle individual'!$C:$C,$K214)))</f>
        <v>DEPARTAMENTO DE PROCESOS</v>
      </c>
      <c r="G214" s="72" t="str">
        <f>IF($K214="","",INDEX('Detalle individual'!$D:$D,$K214))</f>
        <v>Gerencia General</v>
      </c>
      <c r="H214" s="13" t="str">
        <f>IF($K214="","",INDEX('Detalle individual'!$F:$F,$K214))</f>
        <v>Completado</v>
      </c>
      <c r="I214" s="20">
        <f>IF($K214="","",IF(INDEX('Detalle individual'!$F:$F,$K214)="Completado",INDEX('Detalle individual'!$H:$H,$K214),""))</f>
        <v>46296.44143518519</v>
      </c>
      <c r="J214" s="21">
        <f>IF($K214="","",IF(INDEX('Detalle individual'!$F:$F,$K214)="Completado",INDEX('Detalle individual'!$J:$J,$K214),""))</f>
        <v>100</v>
      </c>
      <c r="K214">
        <f>IFERROR(MOD(SMALL(Cálculos!$Z$5:$Z$1000,206),10000),"")</f>
        <v>20</v>
      </c>
    </row>
    <row r="215">
      <c r="B215" s="13">
        <f>IF($K215="","",207)</f>
        <v>207</v>
      </c>
      <c r="C215" s="13" t="str">
        <f>IF($K215="","",INDEX('Detalle individual'!$A:$A,$K215))</f>
        <v>452</v>
      </c>
      <c r="D215" s="72" t="str">
        <f>IF($K215="","",TRIM(INDEX('Detalle individual'!$B:$B,$K215)))</f>
        <v>SERGIO ARTURO CALDERON SALAZAR</v>
      </c>
      <c r="E215" s="72" t="str">
        <f>IF($K215="","",TRIM(INDEX('Detalle individual'!$E:$E,$K215)))</f>
        <v>COORDINADOR DE SEGURIDAD</v>
      </c>
      <c r="F215" s="72" t="str">
        <f>IF($K215="","",TRIM(INDEX('Detalle individual'!$C:$C,$K215)))</f>
        <v>DEPARTAMENTO DE SEGURIDAD</v>
      </c>
      <c r="G215" s="72" t="str">
        <f>IF($K215="","",INDEX('Detalle individual'!$D:$D,$K215))</f>
        <v>Gerencia Administrativa</v>
      </c>
      <c r="H215" s="13" t="str">
        <f>IF($K215="","",INDEX('Detalle individual'!$F:$F,$K215))</f>
        <v>Completado</v>
      </c>
      <c r="I215" s="20">
        <f>IF($K215="","",IF(INDEX('Detalle individual'!$F:$F,$K215)="Completado",INDEX('Detalle individual'!$H:$H,$K215),""))</f>
        <v>46296.46072916667</v>
      </c>
      <c r="J215" s="21">
        <f>IF($K215="","",IF(INDEX('Detalle individual'!$F:$F,$K215)="Completado",INDEX('Detalle individual'!$J:$J,$K215),""))</f>
        <v>90</v>
      </c>
      <c r="K215">
        <f>IFERROR(MOD(SMALL(Cálculos!$Z$5:$Z$1000,207),10000),"")</f>
        <v>52</v>
      </c>
    </row>
    <row r="216">
      <c r="B216" s="13">
        <f>IF($K216="","",208)</f>
        <v>208</v>
      </c>
      <c r="C216" s="13" t="str">
        <f>IF($K216="","",INDEX('Detalle individual'!$A:$A,$K216))</f>
        <v>901</v>
      </c>
      <c r="D216" s="72" t="str">
        <f>IF($K216="","",TRIM(INDEX('Detalle individual'!$B:$B,$K216)))</f>
        <v>CARLOS ALEJANDRO MARAVILLA MENDEZ</v>
      </c>
      <c r="E216" s="72" t="str">
        <f>IF($K216="","",TRIM(INDEX('Detalle individual'!$E:$E,$K216)))</f>
        <v>OPERADOR DE MONITOREO DE LOS SISTEMAS DE SEGURIDAD</v>
      </c>
      <c r="F216" s="72" t="str">
        <f>IF($K216="","",TRIM(INDEX('Detalle individual'!$C:$C,$K216)))</f>
        <v>DEPARTAMENTO DE SEGURIDAD</v>
      </c>
      <c r="G216" s="72" t="str">
        <f>IF($K216="","",INDEX('Detalle individual'!$D:$D,$K216))</f>
        <v>Gerencia Administrativa</v>
      </c>
      <c r="H216" s="13" t="str">
        <f>IF($K216="","",INDEX('Detalle individual'!$F:$F,$K216))</f>
        <v>Completado</v>
      </c>
      <c r="I216" s="20">
        <f>IF($K216="","",IF(INDEX('Detalle individual'!$F:$F,$K216)="Completado",INDEX('Detalle individual'!$H:$H,$K216),""))</f>
        <v>46296.45633101852</v>
      </c>
      <c r="J216" s="21">
        <f>IF($K216="","",IF(INDEX('Detalle individual'!$F:$F,$K216)="Completado",INDEX('Detalle individual'!$J:$J,$K216),""))</f>
        <v>100</v>
      </c>
      <c r="K216">
        <f>IFERROR(MOD(SMALL(Cálculos!$Z$5:$Z$1000,208),10000),"")</f>
        <v>53</v>
      </c>
    </row>
    <row r="217">
      <c r="B217" s="13">
        <f>IF($K217="","",209)</f>
        <v>209</v>
      </c>
      <c r="C217" s="13" t="str">
        <f>IF($K217="","",INDEX('Detalle individual'!$A:$A,$K217))</f>
        <v>544</v>
      </c>
      <c r="D217" s="72" t="str">
        <f>IF($K217="","",TRIM(INDEX('Detalle individual'!$B:$B,$K217)))</f>
        <v>CLAUDIA MARISOL MADRID BARRIENTOS</v>
      </c>
      <c r="E217" s="72" t="str">
        <f>IF($K217="","",TRIM(INDEX('Detalle individual'!$E:$E,$K217)))</f>
        <v>GESTOR DE RECLAMOS Y SUSCRIPCIONES</v>
      </c>
      <c r="F217" s="72" t="str">
        <f>IF($K217="","",TRIM(INDEX('Detalle individual'!$C:$C,$K217)))</f>
        <v>DEPARTAMENTO DE SEGUROS</v>
      </c>
      <c r="G217" s="72" t="str">
        <f>IF($K217="","",INDEX('Detalle individual'!$D:$D,$K217))</f>
        <v>Gerencia de Negocios</v>
      </c>
      <c r="H217" s="13" t="str">
        <f>IF($K217="","",INDEX('Detalle individual'!$F:$F,$K217))</f>
        <v>Completado</v>
      </c>
      <c r="I217" s="20">
        <f>IF($K217="","",IF(INDEX('Detalle individual'!$F:$F,$K217)="Completado",INDEX('Detalle individual'!$H:$H,$K217),""))</f>
        <v>46309.43305555556</v>
      </c>
      <c r="J217" s="21">
        <f>IF($K217="","",IF(INDEX('Detalle individual'!$F:$F,$K217)="Completado",INDEX('Detalle individual'!$J:$J,$K217),""))</f>
        <v>90</v>
      </c>
      <c r="K217">
        <f>IFERROR(MOD(SMALL(Cálculos!$Z$5:$Z$1000,209),10000),"")</f>
        <v>165</v>
      </c>
    </row>
    <row r="218">
      <c r="B218" s="13">
        <f>IF($K218="","",210)</f>
        <v>210</v>
      </c>
      <c r="C218" s="13" t="str">
        <f>IF($K218="","",INDEX('Detalle individual'!$A:$A,$K218))</f>
        <v>589</v>
      </c>
      <c r="D218" s="72" t="str">
        <f>IF($K218="","",TRIM(INDEX('Detalle individual'!$B:$B,$K218)))</f>
        <v>CLELIA LIZETH ORTIZ GALDAMEZ</v>
      </c>
      <c r="E218" s="72" t="str">
        <f>IF($K218="","",TRIM(INDEX('Detalle individual'!$E:$E,$K218)))</f>
        <v>AUXILIAR DE ADMINISTRACION DE SEGUROS</v>
      </c>
      <c r="F218" s="72" t="str">
        <f>IF($K218="","",TRIM(INDEX('Detalle individual'!$C:$C,$K218)))</f>
        <v>DEPARTAMENTO DE SEGUROS</v>
      </c>
      <c r="G218" s="72" t="str">
        <f>IF($K218="","",INDEX('Detalle individual'!$D:$D,$K218))</f>
        <v>Gerencia de Negocios</v>
      </c>
      <c r="H218" s="13" t="str">
        <f>IF($K218="","",INDEX('Detalle individual'!$F:$F,$K218))</f>
        <v>Completado</v>
      </c>
      <c r="I218" s="20">
        <f>IF($K218="","",IF(INDEX('Detalle individual'!$F:$F,$K218)="Completado",INDEX('Detalle individual'!$H:$H,$K218),""))</f>
        <v>46301.68011574074</v>
      </c>
      <c r="J218" s="21">
        <f>IF($K218="","",IF(INDEX('Detalle individual'!$F:$F,$K218)="Completado",INDEX('Detalle individual'!$J:$J,$K218),""))</f>
        <v>90</v>
      </c>
      <c r="K218">
        <f>IFERROR(MOD(SMALL(Cálculos!$Z$5:$Z$1000,210),10000),"")</f>
        <v>166</v>
      </c>
    </row>
    <row r="219">
      <c r="B219" s="13">
        <f>IF($K219="","",211)</f>
        <v>211</v>
      </c>
      <c r="C219" s="13" t="str">
        <f>IF($K219="","",INDEX('Detalle individual'!$A:$A,$K219))</f>
        <v>639</v>
      </c>
      <c r="D219" s="72" t="str">
        <f>IF($K219="","",TRIM(INDEX('Detalle individual'!$B:$B,$K219)))</f>
        <v>CARLOS ALEXANDER ROMERO ROMERO</v>
      </c>
      <c r="E219" s="72" t="str">
        <f>IF($K219="","",TRIM(INDEX('Detalle individual'!$E:$E,$K219)))</f>
        <v>GESTOR DE CARTERA DE SEGUROS</v>
      </c>
      <c r="F219" s="72" t="str">
        <f>IF($K219="","",TRIM(INDEX('Detalle individual'!$C:$C,$K219)))</f>
        <v>DEPARTAMENTO DE SEGUROS</v>
      </c>
      <c r="G219" s="72" t="str">
        <f>IF($K219="","",INDEX('Detalle individual'!$D:$D,$K219))</f>
        <v>Gerencia de Negocios</v>
      </c>
      <c r="H219" s="13" t="str">
        <f>IF($K219="","",INDEX('Detalle individual'!$F:$F,$K219))</f>
        <v>Completado</v>
      </c>
      <c r="I219" s="20">
        <f>IF($K219="","",IF(INDEX('Detalle individual'!$F:$F,$K219)="Completado",INDEX('Detalle individual'!$H:$H,$K219),""))</f>
        <v>46305.51787037037</v>
      </c>
      <c r="J219" s="21">
        <f>IF($K219="","",IF(INDEX('Detalle individual'!$F:$F,$K219)="Completado",INDEX('Detalle individual'!$J:$J,$K219),""))</f>
        <v>100</v>
      </c>
      <c r="K219">
        <f>IFERROR(MOD(SMALL(Cálculos!$Z$5:$Z$1000,211),10000),"")</f>
        <v>167</v>
      </c>
    </row>
    <row r="220">
      <c r="B220" s="13">
        <f>IF($K220="","",212)</f>
        <v>212</v>
      </c>
      <c r="C220" s="13" t="str">
        <f>IF($K220="","",INDEX('Detalle individual'!$A:$A,$K220))</f>
        <v>643</v>
      </c>
      <c r="D220" s="72" t="str">
        <f>IF($K220="","",TRIM(INDEX('Detalle individual'!$B:$B,$K220)))</f>
        <v>LISSETTE MARICELA SANCHEZ MOLINA</v>
      </c>
      <c r="E220" s="72" t="str">
        <f>IF($K220="","",TRIM(INDEX('Detalle individual'!$E:$E,$K220)))</f>
        <v>ASISTENTE DE SEGUROS</v>
      </c>
      <c r="F220" s="72" t="str">
        <f>IF($K220="","",TRIM(INDEX('Detalle individual'!$C:$C,$K220)))</f>
        <v>DEPARTAMENTO DE SEGUROS</v>
      </c>
      <c r="G220" s="72" t="str">
        <f>IF($K220="","",INDEX('Detalle individual'!$D:$D,$K220))</f>
        <v>Gerencia de Negocios</v>
      </c>
      <c r="H220" s="13" t="str">
        <f>IF($K220="","",INDEX('Detalle individual'!$F:$F,$K220))</f>
        <v>Completado</v>
      </c>
      <c r="I220" s="20">
        <f>IF($K220="","",IF(INDEX('Detalle individual'!$F:$F,$K220)="Completado",INDEX('Detalle individual'!$H:$H,$K220),""))</f>
        <v>46309.639328703706</v>
      </c>
      <c r="J220" s="21">
        <f>IF($K220="","",IF(INDEX('Detalle individual'!$F:$F,$K220)="Completado",INDEX('Detalle individual'!$J:$J,$K220),""))</f>
        <v>100</v>
      </c>
      <c r="K220">
        <f>IFERROR(MOD(SMALL(Cálculos!$Z$5:$Z$1000,212),10000),"")</f>
        <v>168</v>
      </c>
    </row>
    <row r="221">
      <c r="B221" s="13">
        <f>IF($K221="","",213)</f>
        <v>213</v>
      </c>
      <c r="C221" s="13" t="str">
        <f>IF($K221="","",INDEX('Detalle individual'!$A:$A,$K221))</f>
        <v>689</v>
      </c>
      <c r="D221" s="72" t="str">
        <f>IF($K221="","",TRIM(INDEX('Detalle individual'!$B:$B,$K221)))</f>
        <v>RAUL ERNESTO PALACIOS LANDAVERDE</v>
      </c>
      <c r="E221" s="72" t="str">
        <f>IF($K221="","",TRIM(INDEX('Detalle individual'!$E:$E,$K221)))</f>
        <v>TECNICO DEL SEGURO DE SALUD</v>
      </c>
      <c r="F221" s="72" t="str">
        <f>IF($K221="","",TRIM(INDEX('Detalle individual'!$C:$C,$K221)))</f>
        <v>DEPARTAMENTO DE SEGUROS</v>
      </c>
      <c r="G221" s="72" t="str">
        <f>IF($K221="","",INDEX('Detalle individual'!$D:$D,$K221))</f>
        <v>Gerencia de Negocios</v>
      </c>
      <c r="H221" s="13" t="str">
        <f>IF($K221="","",INDEX('Detalle individual'!$F:$F,$K221))</f>
        <v>Completado</v>
      </c>
      <c r="I221" s="20">
        <f>IF($K221="","",IF(INDEX('Detalle individual'!$F:$F,$K221)="Completado",INDEX('Detalle individual'!$H:$H,$K221),""))</f>
        <v>46296.46570601852</v>
      </c>
      <c r="J221" s="21">
        <f>IF($K221="","",IF(INDEX('Detalle individual'!$F:$F,$K221)="Completado",INDEX('Detalle individual'!$J:$J,$K221),""))</f>
        <v>100</v>
      </c>
      <c r="K221">
        <f>IFERROR(MOD(SMALL(Cálculos!$Z$5:$Z$1000,213),10000),"")</f>
        <v>169</v>
      </c>
    </row>
    <row r="222">
      <c r="B222" s="13">
        <f>IF($K222="","",214)</f>
        <v>214</v>
      </c>
      <c r="C222" s="13" t="str">
        <f>IF($K222="","",INDEX('Detalle individual'!$A:$A,$K222))</f>
        <v>792</v>
      </c>
      <c r="D222" s="72" t="str">
        <f>IF($K222="","",TRIM(INDEX('Detalle individual'!$B:$B,$K222)))</f>
        <v>JENNYFER AYLIN ESCOBAR ZAMORA</v>
      </c>
      <c r="E222" s="72" t="str">
        <f>IF($K222="","",TRIM(INDEX('Detalle individual'!$E:$E,$K222)))</f>
        <v>COORDINADOR COMERCIAL DE SEGUROS</v>
      </c>
      <c r="F222" s="72" t="str">
        <f>IF($K222="","",TRIM(INDEX('Detalle individual'!$C:$C,$K222)))</f>
        <v>DEPARTAMENTO DE SEGUROS</v>
      </c>
      <c r="G222" s="72" t="str">
        <f>IF($K222="","",INDEX('Detalle individual'!$D:$D,$K222))</f>
        <v>Gerencia de Negocios</v>
      </c>
      <c r="H222" s="13" t="str">
        <f>IF($K222="","",INDEX('Detalle individual'!$F:$F,$K222))</f>
        <v>Completado</v>
      </c>
      <c r="I222" s="20">
        <f>IF($K222="","",IF(INDEX('Detalle individual'!$F:$F,$K222)="Completado",INDEX('Detalle individual'!$H:$H,$K222),""))</f>
        <v>46309.485625</v>
      </c>
      <c r="J222" s="21">
        <f>IF($K222="","",IF(INDEX('Detalle individual'!$F:$F,$K222)="Completado",INDEX('Detalle individual'!$J:$J,$K222),""))</f>
        <v>100</v>
      </c>
      <c r="K222">
        <f>IFERROR(MOD(SMALL(Cálculos!$Z$5:$Z$1000,214),10000),"")</f>
        <v>170</v>
      </c>
    </row>
    <row r="223">
      <c r="B223" s="13">
        <f>IF($K223="","",215)</f>
        <v>215</v>
      </c>
      <c r="C223" s="13" t="str">
        <f>IF($K223="","",INDEX('Detalle individual'!$A:$A,$K223))</f>
        <v>793</v>
      </c>
      <c r="D223" s="72" t="str">
        <f>IF($K223="","",TRIM(INDEX('Detalle individual'!$B:$B,$K223)))</f>
        <v>KRIZIA BETSABE FLORES MARTINEZ</v>
      </c>
      <c r="E223" s="72" t="str">
        <f>IF($K223="","",TRIM(INDEX('Detalle individual'!$E:$E,$K223)))</f>
        <v>JEFE DE SEGUROS</v>
      </c>
      <c r="F223" s="72" t="str">
        <f>IF($K223="","",TRIM(INDEX('Detalle individual'!$C:$C,$K223)))</f>
        <v>DEPARTAMENTO DE SEGUROS</v>
      </c>
      <c r="G223" s="72" t="str">
        <f>IF($K223="","",INDEX('Detalle individual'!$D:$D,$K223))</f>
        <v>Gerencia de Negocios</v>
      </c>
      <c r="H223" s="13" t="str">
        <f>IF($K223="","",INDEX('Detalle individual'!$F:$F,$K223))</f>
        <v>Completado</v>
      </c>
      <c r="I223" s="20">
        <f>IF($K223="","",IF(INDEX('Detalle individual'!$F:$F,$K223)="Completado",INDEX('Detalle individual'!$H:$H,$K223),""))</f>
        <v>46297.49109953704</v>
      </c>
      <c r="J223" s="21">
        <f>IF($K223="","",IF(INDEX('Detalle individual'!$F:$F,$K223)="Completado",INDEX('Detalle individual'!$J:$J,$K223),""))</f>
        <v>90</v>
      </c>
      <c r="K223">
        <f>IFERROR(MOD(SMALL(Cálculos!$Z$5:$Z$1000,215),10000),"")</f>
        <v>171</v>
      </c>
    </row>
    <row r="224">
      <c r="B224" s="13">
        <f>IF($K224="","",216)</f>
        <v>216</v>
      </c>
      <c r="C224" s="13" t="str">
        <f>IF($K224="","",INDEX('Detalle individual'!$A:$A,$K224))</f>
        <v>805</v>
      </c>
      <c r="D224" s="72" t="str">
        <f>IF($K224="","",TRIM(INDEX('Detalle individual'!$B:$B,$K224)))</f>
        <v>JUANA HAZEL GARCIA COREAS</v>
      </c>
      <c r="E224" s="72" t="str">
        <f>IF($K224="","",TRIM(INDEX('Detalle individual'!$E:$E,$K224)))</f>
        <v>EJECUTIVO DE VENTA DE SEGUROS</v>
      </c>
      <c r="F224" s="72" t="str">
        <f>IF($K224="","",TRIM(INDEX('Detalle individual'!$C:$C,$K224)))</f>
        <v>DEPARTAMENTO DE SEGUROS</v>
      </c>
      <c r="G224" s="72" t="str">
        <f>IF($K224="","",INDEX('Detalle individual'!$D:$D,$K224))</f>
        <v>Gerencia de Negocios</v>
      </c>
      <c r="H224" s="13" t="str">
        <f>IF($K224="","",INDEX('Detalle individual'!$F:$F,$K224))</f>
        <v>Completado</v>
      </c>
      <c r="I224" s="20">
        <f>IF($K224="","",IF(INDEX('Detalle individual'!$F:$F,$K224)="Completado",INDEX('Detalle individual'!$H:$H,$K224),""))</f>
        <v>46309.48584490741</v>
      </c>
      <c r="J224" s="21">
        <f>IF($K224="","",IF(INDEX('Detalle individual'!$F:$F,$K224)="Completado",INDEX('Detalle individual'!$J:$J,$K224),""))</f>
        <v>100</v>
      </c>
      <c r="K224">
        <f>IFERROR(MOD(SMALL(Cálculos!$Z$5:$Z$1000,216),10000),"")</f>
        <v>173</v>
      </c>
    </row>
    <row r="225">
      <c r="B225" s="13">
        <f>IF($K225="","",217)</f>
        <v>217</v>
      </c>
      <c r="C225" s="13" t="str">
        <f>IF($K225="","",INDEX('Detalle individual'!$A:$A,$K225))</f>
        <v>869</v>
      </c>
      <c r="D225" s="72" t="str">
        <f>IF($K225="","",TRIM(INDEX('Detalle individual'!$B:$B,$K225)))</f>
        <v>JENNIFER BETSABE MARAVILLA MORENO</v>
      </c>
      <c r="E225" s="72" t="str">
        <f>IF($K225="","",TRIM(INDEX('Detalle individual'!$E:$E,$K225)))</f>
        <v>EJECUTIVO DE VENTA DE SEGUROS</v>
      </c>
      <c r="F225" s="72" t="str">
        <f>IF($K225="","",TRIM(INDEX('Detalle individual'!$C:$C,$K225)))</f>
        <v>DEPARTAMENTO DE SEGUROS</v>
      </c>
      <c r="G225" s="72" t="str">
        <f>IF($K225="","",INDEX('Detalle individual'!$D:$D,$K225))</f>
        <v>Gerencia de Negocios</v>
      </c>
      <c r="H225" s="13" t="str">
        <f>IF($K225="","",INDEX('Detalle individual'!$F:$F,$K225))</f>
        <v>Completado</v>
      </c>
      <c r="I225" s="20">
        <f>IF($K225="","",IF(INDEX('Detalle individual'!$F:$F,$K225)="Completado",INDEX('Detalle individual'!$H:$H,$K225),""))</f>
        <v>46296.68630787037</v>
      </c>
      <c r="J225" s="21">
        <f>IF($K225="","",IF(INDEX('Detalle individual'!$F:$F,$K225)="Completado",INDEX('Detalle individual'!$J:$J,$K225),""))</f>
        <v>100</v>
      </c>
      <c r="K225">
        <f>IFERROR(MOD(SMALL(Cálculos!$Z$5:$Z$1000,217),10000),"")</f>
        <v>174</v>
      </c>
    </row>
    <row r="226">
      <c r="B226" s="13">
        <f>IF($K226="","",218)</f>
        <v>218</v>
      </c>
      <c r="C226" s="13" t="str">
        <f>IF($K226="","",INDEX('Detalle individual'!$A:$A,$K226))</f>
        <v>894</v>
      </c>
      <c r="D226" s="72" t="str">
        <f>IF($K226="","",TRIM(INDEX('Detalle individual'!$B:$B,$K226)))</f>
        <v>HENRY OSWALDO PINEDA GARCIA</v>
      </c>
      <c r="E226" s="72" t="str">
        <f>IF($K226="","",TRIM(INDEX('Detalle individual'!$E:$E,$K226)))</f>
        <v>EJECUTIVO MOVIL DE SEGUROS</v>
      </c>
      <c r="F226" s="72" t="str">
        <f>IF($K226="","",TRIM(INDEX('Detalle individual'!$C:$C,$K226)))</f>
        <v>DEPARTAMENTO DE SEGUROS</v>
      </c>
      <c r="G226" s="72" t="str">
        <f>IF($K226="","",INDEX('Detalle individual'!$D:$D,$K226))</f>
        <v>Gerencia de Negocios</v>
      </c>
      <c r="H226" s="13" t="str">
        <f>IF($K226="","",INDEX('Detalle individual'!$F:$F,$K226))</f>
        <v>Completado</v>
      </c>
      <c r="I226" s="20">
        <f>IF($K226="","",IF(INDEX('Detalle individual'!$F:$F,$K226)="Completado",INDEX('Detalle individual'!$H:$H,$K226),""))</f>
        <v>46296.431875</v>
      </c>
      <c r="J226" s="21">
        <f>IF($K226="","",IF(INDEX('Detalle individual'!$F:$F,$K226)="Completado",INDEX('Detalle individual'!$J:$J,$K226),""))</f>
        <v>100</v>
      </c>
      <c r="K226">
        <f>IFERROR(MOD(SMALL(Cálculos!$Z$5:$Z$1000,218),10000),"")</f>
        <v>175</v>
      </c>
    </row>
    <row r="227">
      <c r="B227" s="13">
        <f>IF($K227="","",219)</f>
        <v>219</v>
      </c>
      <c r="C227" s="13" t="str">
        <f>IF($K227="","",INDEX('Detalle individual'!$A:$A,$K227))</f>
        <v>55</v>
      </c>
      <c r="D227" s="72" t="str">
        <f>IF($K227="","",TRIM(INDEX('Detalle individual'!$B:$B,$K227)))</f>
        <v>LEONEL EDGARDO SALAZAR RAMIREZ</v>
      </c>
      <c r="E227" s="72" t="str">
        <f>IF($K227="","",TRIM(INDEX('Detalle individual'!$E:$E,$K227)))</f>
        <v>MENSAJERO</v>
      </c>
      <c r="F227" s="72" t="str">
        <f>IF($K227="","",TRIM(INDEX('Detalle individual'!$C:$C,$K227)))</f>
        <v>DEPARTAMENTO DE SERVICIOS GENERALES</v>
      </c>
      <c r="G227" s="72" t="str">
        <f>IF($K227="","",INDEX('Detalle individual'!$D:$D,$K227))</f>
        <v>Gerencia Administrativa</v>
      </c>
      <c r="H227" s="13" t="str">
        <f>IF($K227="","",INDEX('Detalle individual'!$F:$F,$K227))</f>
        <v>Completado</v>
      </c>
      <c r="I227" s="20">
        <f>IF($K227="","",IF(INDEX('Detalle individual'!$F:$F,$K227)="Completado",INDEX('Detalle individual'!$H:$H,$K227),""))</f>
        <v>46300.81421296296</v>
      </c>
      <c r="J227" s="21">
        <f>IF($K227="","",IF(INDEX('Detalle individual'!$F:$F,$K227)="Completado",INDEX('Detalle individual'!$J:$J,$K227),""))</f>
        <v>90</v>
      </c>
      <c r="K227">
        <f>IFERROR(MOD(SMALL(Cálculos!$Z$5:$Z$1000,219),10000),"")</f>
        <v>26</v>
      </c>
    </row>
    <row r="228">
      <c r="B228" s="13">
        <f>IF($K228="","",220)</f>
        <v>220</v>
      </c>
      <c r="C228" s="13" t="str">
        <f>IF($K228="","",INDEX('Detalle individual'!$A:$A,$K228))</f>
        <v>222</v>
      </c>
      <c r="D228" s="72" t="str">
        <f>IF($K228="","",TRIM(INDEX('Detalle individual'!$B:$B,$K228)))</f>
        <v>MARIA GUADALUPE MARTINEZ MURCIA</v>
      </c>
      <c r="E228" s="72" t="str">
        <f>IF($K228="","",TRIM(INDEX('Detalle individual'!$E:$E,$K228)))</f>
        <v>AUXILIAR DE COMPRAS</v>
      </c>
      <c r="F228" s="72" t="str">
        <f>IF($K228="","",TRIM(INDEX('Detalle individual'!$C:$C,$K228)))</f>
        <v>DEPARTAMENTO DE SERVICIOS GENERALES</v>
      </c>
      <c r="G228" s="72" t="str">
        <f>IF($K228="","",INDEX('Detalle individual'!$D:$D,$K228))</f>
        <v>Gerencia Administrativa</v>
      </c>
      <c r="H228" s="13" t="str">
        <f>IF($K228="","",INDEX('Detalle individual'!$F:$F,$K228))</f>
        <v>Completado</v>
      </c>
      <c r="I228" s="20">
        <f>IF($K228="","",IF(INDEX('Detalle individual'!$F:$F,$K228)="Completado",INDEX('Detalle individual'!$H:$H,$K228),""))</f>
        <v>46300.665671296294</v>
      </c>
      <c r="J228" s="21">
        <f>IF($K228="","",IF(INDEX('Detalle individual'!$F:$F,$K228)="Completado",INDEX('Detalle individual'!$J:$J,$K228),""))</f>
        <v>100</v>
      </c>
      <c r="K228">
        <f>IFERROR(MOD(SMALL(Cálculos!$Z$5:$Z$1000,220),10000),"")</f>
        <v>27</v>
      </c>
    </row>
    <row r="229">
      <c r="B229" s="13">
        <f>IF($K229="","",221)</f>
        <v>221</v>
      </c>
      <c r="C229" s="13" t="str">
        <f>IF($K229="","",INDEX('Detalle individual'!$A:$A,$K229))</f>
        <v>224</v>
      </c>
      <c r="D229" s="72" t="str">
        <f>IF($K229="","",TRIM(INDEX('Detalle individual'!$B:$B,$K229)))</f>
        <v>JESUS REYES GUZMAN FUENTES</v>
      </c>
      <c r="E229" s="72" t="str">
        <f>IF($K229="","",TRIM(INDEX('Detalle individual'!$E:$E,$K229)))</f>
        <v>MENSAJERO</v>
      </c>
      <c r="F229" s="72" t="str">
        <f>IF($K229="","",TRIM(INDEX('Detalle individual'!$C:$C,$K229)))</f>
        <v>DEPARTAMENTO DE SERVICIOS GENERALES</v>
      </c>
      <c r="G229" s="72" t="str">
        <f>IF($K229="","",INDEX('Detalle individual'!$D:$D,$K229))</f>
        <v>Gerencia Administrativa</v>
      </c>
      <c r="H229" s="13" t="str">
        <f>IF($K229="","",INDEX('Detalle individual'!$F:$F,$K229))</f>
        <v>Completado</v>
      </c>
      <c r="I229" s="20">
        <f>IF($K229="","",IF(INDEX('Detalle individual'!$F:$F,$K229)="Completado",INDEX('Detalle individual'!$H:$H,$K229),""))</f>
        <v>46297.84905092593</v>
      </c>
      <c r="J229" s="21">
        <f>IF($K229="","",IF(INDEX('Detalle individual'!$F:$F,$K229)="Completado",INDEX('Detalle individual'!$J:$J,$K229),""))</f>
        <v>80</v>
      </c>
      <c r="K229">
        <f>IFERROR(MOD(SMALL(Cálculos!$Z$5:$Z$1000,221),10000),"")</f>
        <v>28</v>
      </c>
    </row>
    <row r="230">
      <c r="B230" s="13">
        <f>IF($K230="","",222)</f>
        <v>222</v>
      </c>
      <c r="C230" s="13" t="str">
        <f>IF($K230="","",INDEX('Detalle individual'!$A:$A,$K230))</f>
        <v>387</v>
      </c>
      <c r="D230" s="72" t="str">
        <f>IF($K230="","",TRIM(INDEX('Detalle individual'!$B:$B,$K230)))</f>
        <v>CELINA CECILIA ANZORA BERNAL</v>
      </c>
      <c r="E230" s="72" t="str">
        <f>IF($K230="","",TRIM(INDEX('Detalle individual'!$E:$E,$K230)))</f>
        <v>SERVICIOS VARIOS</v>
      </c>
      <c r="F230" s="72" t="str">
        <f>IF($K230="","",TRIM(INDEX('Detalle individual'!$C:$C,$K230)))</f>
        <v>DEPARTAMENTO DE SERVICIOS GENERALES</v>
      </c>
      <c r="G230" s="72" t="str">
        <f>IF($K230="","",INDEX('Detalle individual'!$D:$D,$K230))</f>
        <v>Gerencia Administrativa</v>
      </c>
      <c r="H230" s="13" t="str">
        <f>IF($K230="","",INDEX('Detalle individual'!$F:$F,$K230))</f>
        <v>Completado</v>
      </c>
      <c r="I230" s="20">
        <f>IF($K230="","",IF(INDEX('Detalle individual'!$F:$F,$K230)="Completado",INDEX('Detalle individual'!$H:$H,$K230),""))</f>
        <v>46298.4184375</v>
      </c>
      <c r="J230" s="21">
        <f>IF($K230="","",IF(INDEX('Detalle individual'!$F:$F,$K230)="Completado",INDEX('Detalle individual'!$J:$J,$K230),""))</f>
        <v>90</v>
      </c>
      <c r="K230">
        <f>IFERROR(MOD(SMALL(Cálculos!$Z$5:$Z$1000,222),10000),"")</f>
        <v>29</v>
      </c>
    </row>
    <row r="231">
      <c r="B231" s="13">
        <f>IF($K231="","",223)</f>
        <v>223</v>
      </c>
      <c r="C231" s="13" t="str">
        <f>IF($K231="","",INDEX('Detalle individual'!$A:$A,$K231))</f>
        <v>430</v>
      </c>
      <c r="D231" s="72" t="str">
        <f>IF($K231="","",TRIM(INDEX('Detalle individual'!$B:$B,$K231)))</f>
        <v>MARIO ROSALES VASQUEZ</v>
      </c>
      <c r="E231" s="72" t="str">
        <f>IF($K231="","",TRIM(INDEX('Detalle individual'!$E:$E,$K231)))</f>
        <v>MENSAJERO</v>
      </c>
      <c r="F231" s="72" t="str">
        <f>IF($K231="","",TRIM(INDEX('Detalle individual'!$C:$C,$K231)))</f>
        <v>DEPARTAMENTO DE SERVICIOS GENERALES</v>
      </c>
      <c r="G231" s="72" t="str">
        <f>IF($K231="","",INDEX('Detalle individual'!$D:$D,$K231))</f>
        <v>Gerencia Administrativa</v>
      </c>
      <c r="H231" s="13" t="str">
        <f>IF($K231="","",INDEX('Detalle individual'!$F:$F,$K231))</f>
        <v>Completado</v>
      </c>
      <c r="I231" s="20">
        <f>IF($K231="","",IF(INDEX('Detalle individual'!$F:$F,$K231)="Completado",INDEX('Detalle individual'!$H:$H,$K231),""))</f>
        <v>46300.40560185185</v>
      </c>
      <c r="J231" s="21">
        <f>IF($K231="","",IF(INDEX('Detalle individual'!$F:$F,$K231)="Completado",INDEX('Detalle individual'!$J:$J,$K231),""))</f>
        <v>100</v>
      </c>
      <c r="K231">
        <f>IFERROR(MOD(SMALL(Cálculos!$Z$5:$Z$1000,223),10000),"")</f>
        <v>30</v>
      </c>
    </row>
    <row r="232">
      <c r="B232" s="13">
        <f>IF($K232="","",224)</f>
        <v>224</v>
      </c>
      <c r="C232" s="13" t="str">
        <f>IF($K232="","",INDEX('Detalle individual'!$A:$A,$K232))</f>
        <v>436</v>
      </c>
      <c r="D232" s="72" t="str">
        <f>IF($K232="","",TRIM(INDEX('Detalle individual'!$B:$B,$K232)))</f>
        <v>MAURICIO ANTONIO RAMIREZ PEREZ</v>
      </c>
      <c r="E232" s="72" t="str">
        <f>IF($K232="","",TRIM(INDEX('Detalle individual'!$E:$E,$K232)))</f>
        <v>AUXILIAR DE MANTENIMIENTO</v>
      </c>
      <c r="F232" s="72" t="str">
        <f>IF($K232="","",TRIM(INDEX('Detalle individual'!$C:$C,$K232)))</f>
        <v>DEPARTAMENTO DE SERVICIOS GENERALES</v>
      </c>
      <c r="G232" s="72" t="str">
        <f>IF($K232="","",INDEX('Detalle individual'!$D:$D,$K232))</f>
        <v>Gerencia Administrativa</v>
      </c>
      <c r="H232" s="13" t="str">
        <f>IF($K232="","",INDEX('Detalle individual'!$F:$F,$K232))</f>
        <v>Completado</v>
      </c>
      <c r="I232" s="20">
        <f>IF($K232="","",IF(INDEX('Detalle individual'!$F:$F,$K232)="Completado",INDEX('Detalle individual'!$H:$H,$K232),""))</f>
        <v>46306.43788194445</v>
      </c>
      <c r="J232" s="21">
        <f>IF($K232="","",IF(INDEX('Detalle individual'!$F:$F,$K232)="Completado",INDEX('Detalle individual'!$J:$J,$K232),""))</f>
        <v>90</v>
      </c>
      <c r="K232">
        <f>IFERROR(MOD(SMALL(Cálculos!$Z$5:$Z$1000,224),10000),"")</f>
        <v>31</v>
      </c>
    </row>
    <row r="233">
      <c r="B233" s="13">
        <f>IF($K233="","",225)</f>
        <v>225</v>
      </c>
      <c r="C233" s="13" t="str">
        <f>IF($K233="","",INDEX('Detalle individual'!$A:$A,$K233))</f>
        <v>522</v>
      </c>
      <c r="D233" s="72" t="str">
        <f>IF($K233="","",TRIM(INDEX('Detalle individual'!$B:$B,$K233)))</f>
        <v>MARGARITA GUADALUPE HENRIQUEZ ELIAS</v>
      </c>
      <c r="E233" s="72" t="str">
        <f>IF($K233="","",TRIM(INDEX('Detalle individual'!$E:$E,$K233)))</f>
        <v>SERVICIOS VARIOS</v>
      </c>
      <c r="F233" s="72" t="str">
        <f>IF($K233="","",TRIM(INDEX('Detalle individual'!$C:$C,$K233)))</f>
        <v>DEPARTAMENTO DE SERVICIOS GENERALES</v>
      </c>
      <c r="G233" s="72" t="str">
        <f>IF($K233="","",INDEX('Detalle individual'!$D:$D,$K233))</f>
        <v>Gerencia Administrativa</v>
      </c>
      <c r="H233" s="13" t="str">
        <f>IF($K233="","",INDEX('Detalle individual'!$F:$F,$K233))</f>
        <v>Completado</v>
      </c>
      <c r="I233" s="20">
        <f>IF($K233="","",IF(INDEX('Detalle individual'!$F:$F,$K233)="Completado",INDEX('Detalle individual'!$H:$H,$K233),""))</f>
        <v>46297.85355324074</v>
      </c>
      <c r="J233" s="21">
        <f>IF($K233="","",IF(INDEX('Detalle individual'!$F:$F,$K233)="Completado",INDEX('Detalle individual'!$J:$J,$K233),""))</f>
        <v>85</v>
      </c>
      <c r="K233">
        <f>IFERROR(MOD(SMALL(Cálculos!$Z$5:$Z$1000,225),10000),"")</f>
        <v>32</v>
      </c>
    </row>
    <row r="234">
      <c r="B234" s="13">
        <f>IF($K234="","",226)</f>
        <v>226</v>
      </c>
      <c r="C234" s="13" t="str">
        <f>IF($K234="","",INDEX('Detalle individual'!$A:$A,$K234))</f>
        <v>587</v>
      </c>
      <c r="D234" s="72" t="str">
        <f>IF($K234="","",TRIM(INDEX('Detalle individual'!$B:$B,$K234)))</f>
        <v>JOSE ROSALIO GARCIA SOTO</v>
      </c>
      <c r="E234" s="72" t="str">
        <f>IF($K234="","",TRIM(INDEX('Detalle individual'!$E:$E,$K234)))</f>
        <v>JARDINERO</v>
      </c>
      <c r="F234" s="72" t="str">
        <f>IF($K234="","",TRIM(INDEX('Detalle individual'!$C:$C,$K234)))</f>
        <v>DEPARTAMENTO DE SERVICIOS GENERALES</v>
      </c>
      <c r="G234" s="72" t="str">
        <f>IF($K234="","",INDEX('Detalle individual'!$D:$D,$K234))</f>
        <v>Gerencia Administrativa</v>
      </c>
      <c r="H234" s="13" t="str">
        <f>IF($K234="","",INDEX('Detalle individual'!$F:$F,$K234))</f>
        <v>Completado</v>
      </c>
      <c r="I234" s="20">
        <f>IF($K234="","",IF(INDEX('Detalle individual'!$F:$F,$K234)="Completado",INDEX('Detalle individual'!$H:$H,$K234),""))</f>
        <v>46298.41559027778</v>
      </c>
      <c r="J234" s="21">
        <f>IF($K234="","",IF(INDEX('Detalle individual'!$F:$F,$K234)="Completado",INDEX('Detalle individual'!$J:$J,$K234),""))</f>
        <v>90</v>
      </c>
      <c r="K234">
        <f>IFERROR(MOD(SMALL(Cálculos!$Z$5:$Z$1000,226),10000),"")</f>
        <v>33</v>
      </c>
    </row>
    <row r="235">
      <c r="B235" s="13">
        <f>IF($K235="","",227)</f>
        <v>227</v>
      </c>
      <c r="C235" s="13" t="str">
        <f>IF($K235="","",INDEX('Detalle individual'!$A:$A,$K235))</f>
        <v>599</v>
      </c>
      <c r="D235" s="72" t="str">
        <f>IF($K235="","",TRIM(INDEX('Detalle individual'!$B:$B,$K235)))</f>
        <v>MAIRA ELIZABETH PEREZ LEIVA</v>
      </c>
      <c r="E235" s="72" t="str">
        <f>IF($K235="","",TRIM(INDEX('Detalle individual'!$E:$E,$K235)))</f>
        <v>JEFE DE SERVICIOS GENERALES</v>
      </c>
      <c r="F235" s="72" t="str">
        <f>IF($K235="","",TRIM(INDEX('Detalle individual'!$C:$C,$K235)))</f>
        <v>DEPARTAMENTO DE SERVICIOS GENERALES</v>
      </c>
      <c r="G235" s="72" t="str">
        <f>IF($K235="","",INDEX('Detalle individual'!$D:$D,$K235))</f>
        <v>Gerencia Administrativa</v>
      </c>
      <c r="H235" s="13" t="str">
        <f>IF($K235="","",INDEX('Detalle individual'!$F:$F,$K235))</f>
        <v>Completado</v>
      </c>
      <c r="I235" s="20">
        <f>IF($K235="","",IF(INDEX('Detalle individual'!$F:$F,$K235)="Completado",INDEX('Detalle individual'!$H:$H,$K235),""))</f>
        <v>46300.748703703706</v>
      </c>
      <c r="J235" s="21">
        <f>IF($K235="","",IF(INDEX('Detalle individual'!$F:$F,$K235)="Completado",INDEX('Detalle individual'!$J:$J,$K235),""))</f>
        <v>100</v>
      </c>
      <c r="K235">
        <f>IFERROR(MOD(SMALL(Cálculos!$Z$5:$Z$1000,227),10000),"")</f>
        <v>34</v>
      </c>
    </row>
    <row r="236">
      <c r="B236" s="13">
        <f>IF($K236="","",228)</f>
        <v>228</v>
      </c>
      <c r="C236" s="13" t="str">
        <f>IF($K236="","",INDEX('Detalle individual'!$A:$A,$K236))</f>
        <v>684</v>
      </c>
      <c r="D236" s="72" t="str">
        <f>IF($K236="","",TRIM(INDEX('Detalle individual'!$B:$B,$K236)))</f>
        <v>ILIANA CAROLINA FLAMENCO FLORES</v>
      </c>
      <c r="E236" s="72" t="str">
        <f>IF($K236="","",TRIM(INDEX('Detalle individual'!$E:$E,$K236)))</f>
        <v>SERVICIOS VARIOS</v>
      </c>
      <c r="F236" s="72" t="str">
        <f>IF($K236="","",TRIM(INDEX('Detalle individual'!$C:$C,$K236)))</f>
        <v>DEPARTAMENTO DE SERVICIOS GENERALES</v>
      </c>
      <c r="G236" s="72" t="str">
        <f>IF($K236="","",INDEX('Detalle individual'!$D:$D,$K236))</f>
        <v>Gerencia Administrativa</v>
      </c>
      <c r="H236" s="13" t="str">
        <f>IF($K236="","",INDEX('Detalle individual'!$F:$F,$K236))</f>
        <v>Completado</v>
      </c>
      <c r="I236" s="20">
        <f>IF($K236="","",IF(INDEX('Detalle individual'!$F:$F,$K236)="Completado",INDEX('Detalle individual'!$H:$H,$K236),""))</f>
        <v>46298.300208333334</v>
      </c>
      <c r="J236" s="21">
        <f>IF($K236="","",IF(INDEX('Detalle individual'!$F:$F,$K236)="Completado",INDEX('Detalle individual'!$J:$J,$K236),""))</f>
        <v>80</v>
      </c>
      <c r="K236">
        <f>IFERROR(MOD(SMALL(Cálculos!$Z$5:$Z$1000,228),10000),"")</f>
        <v>35</v>
      </c>
    </row>
    <row r="237">
      <c r="B237" s="13">
        <f>IF($K237="","",229)</f>
        <v>229</v>
      </c>
      <c r="C237" s="13" t="str">
        <f>IF($K237="","",INDEX('Detalle individual'!$A:$A,$K237))</f>
        <v>803</v>
      </c>
      <c r="D237" s="72" t="str">
        <f>IF($K237="","",TRIM(INDEX('Detalle individual'!$B:$B,$K237)))</f>
        <v>CHRISTIAN GEORGE FIGUEROA BLANCO</v>
      </c>
      <c r="E237" s="72" t="str">
        <f>IF($K237="","",TRIM(INDEX('Detalle individual'!$E:$E,$K237)))</f>
        <v>MENSAJERO</v>
      </c>
      <c r="F237" s="72" t="str">
        <f>IF($K237="","",TRIM(INDEX('Detalle individual'!$C:$C,$K237)))</f>
        <v>DEPARTAMENTO DE SERVICIOS GENERALES</v>
      </c>
      <c r="G237" s="72" t="str">
        <f>IF($K237="","",INDEX('Detalle individual'!$D:$D,$K237))</f>
        <v>Gerencia Administrativa</v>
      </c>
      <c r="H237" s="13" t="str">
        <f>IF($K237="","",INDEX('Detalle individual'!$F:$F,$K237))</f>
        <v>Completado</v>
      </c>
      <c r="I237" s="20">
        <f>IF($K237="","",IF(INDEX('Detalle individual'!$F:$F,$K237)="Completado",INDEX('Detalle individual'!$H:$H,$K237),""))</f>
        <v>46300.70883101852</v>
      </c>
      <c r="J237" s="21">
        <f>IF($K237="","",IF(INDEX('Detalle individual'!$F:$F,$K237)="Completado",INDEX('Detalle individual'!$J:$J,$K237),""))</f>
        <v>60</v>
      </c>
      <c r="K237">
        <f>IFERROR(MOD(SMALL(Cálculos!$Z$5:$Z$1000,229),10000),"")</f>
        <v>36</v>
      </c>
    </row>
    <row r="238">
      <c r="B238" s="13">
        <f>IF($K238="","",230)</f>
        <v>230</v>
      </c>
      <c r="C238" s="13" t="str">
        <f>IF($K238="","",INDEX('Detalle individual'!$A:$A,$K238))</f>
        <v>830</v>
      </c>
      <c r="D238" s="72" t="str">
        <f>IF($K238="","",TRIM(INDEX('Detalle individual'!$B:$B,$K238)))</f>
        <v>GERMAN ALBERTO CAMPOS TORRES</v>
      </c>
      <c r="E238" s="72" t="str">
        <f>IF($K238="","",TRIM(INDEX('Detalle individual'!$E:$E,$K238)))</f>
        <v>TECNICO EN MANTENIMIENTO</v>
      </c>
      <c r="F238" s="72" t="str">
        <f>IF($K238="","",TRIM(INDEX('Detalle individual'!$C:$C,$K238)))</f>
        <v>DEPARTAMENTO DE SERVICIOS GENERALES</v>
      </c>
      <c r="G238" s="72" t="str">
        <f>IF($K238="","",INDEX('Detalle individual'!$D:$D,$K238))</f>
        <v>Gerencia Administrativa</v>
      </c>
      <c r="H238" s="13" t="str">
        <f>IF($K238="","",INDEX('Detalle individual'!$F:$F,$K238))</f>
        <v>Completado</v>
      </c>
      <c r="I238" s="20">
        <f>IF($K238="","",IF(INDEX('Detalle individual'!$F:$F,$K238)="Completado",INDEX('Detalle individual'!$H:$H,$K238),""))</f>
        <v>46307.402291666665</v>
      </c>
      <c r="J238" s="21">
        <f>IF($K238="","",IF(INDEX('Detalle individual'!$F:$F,$K238)="Completado",INDEX('Detalle individual'!$J:$J,$K238),""))</f>
        <v>100</v>
      </c>
      <c r="K238">
        <f>IFERROR(MOD(SMALL(Cálculos!$Z$5:$Z$1000,230),10000),"")</f>
        <v>37</v>
      </c>
    </row>
    <row r="239">
      <c r="B239" s="13">
        <f>IF($K239="","",231)</f>
        <v>231</v>
      </c>
      <c r="C239" s="13" t="str">
        <f>IF($K239="","",INDEX('Detalle individual'!$A:$A,$K239))</f>
        <v>852</v>
      </c>
      <c r="D239" s="72" t="str">
        <f>IF($K239="","",TRIM(INDEX('Detalle individual'!$B:$B,$K239)))</f>
        <v>JONATHAN ENRIQUE AQUINO SANCHEZ</v>
      </c>
      <c r="E239" s="72" t="str">
        <f>IF($K239="","",TRIM(INDEX('Detalle individual'!$E:$E,$K239)))</f>
        <v>SERVICIOS VARIOS</v>
      </c>
      <c r="F239" s="72" t="str">
        <f>IF($K239="","",TRIM(INDEX('Detalle individual'!$C:$C,$K239)))</f>
        <v>DEPARTAMENTO DE SERVICIOS GENERALES</v>
      </c>
      <c r="G239" s="72" t="str">
        <f>IF($K239="","",INDEX('Detalle individual'!$D:$D,$K239))</f>
        <v>Gerencia Administrativa</v>
      </c>
      <c r="H239" s="13" t="str">
        <f>IF($K239="","",INDEX('Detalle individual'!$F:$F,$K239))</f>
        <v>Completado</v>
      </c>
      <c r="I239" s="20">
        <f>IF($K239="","",IF(INDEX('Detalle individual'!$F:$F,$K239)="Completado",INDEX('Detalle individual'!$H:$H,$K239),""))</f>
        <v>46300.53921296296</v>
      </c>
      <c r="J239" s="21">
        <f>IF($K239="","",IF(INDEX('Detalle individual'!$F:$F,$K239)="Completado",INDEX('Detalle individual'!$J:$J,$K239),""))</f>
        <v>90</v>
      </c>
      <c r="K239">
        <f>IFERROR(MOD(SMALL(Cálculos!$Z$5:$Z$1000,231),10000),"")</f>
        <v>38</v>
      </c>
    </row>
    <row r="240">
      <c r="B240" s="13">
        <f>IF($K240="","",232)</f>
        <v>232</v>
      </c>
      <c r="C240" s="13" t="str">
        <f>IF($K240="","",INDEX('Detalle individual'!$A:$A,$K240))</f>
        <v>875</v>
      </c>
      <c r="D240" s="72" t="str">
        <f>IF($K240="","",TRIM(INDEX('Detalle individual'!$B:$B,$K240)))</f>
        <v>BELLY EMERSON RIVERA ASCENCIO</v>
      </c>
      <c r="E240" s="72" t="str">
        <f>IF($K240="","",TRIM(INDEX('Detalle individual'!$E:$E,$K240)))</f>
        <v>SERVICIOS VARIOS</v>
      </c>
      <c r="F240" s="72" t="str">
        <f>IF($K240="","",TRIM(INDEX('Detalle individual'!$C:$C,$K240)))</f>
        <v>DEPARTAMENTO DE SERVICIOS GENERALES</v>
      </c>
      <c r="G240" s="72" t="str">
        <f>IF($K240="","",INDEX('Detalle individual'!$D:$D,$K240))</f>
        <v>Gerencia Administrativa</v>
      </c>
      <c r="H240" s="13" t="str">
        <f>IF($K240="","",INDEX('Detalle individual'!$F:$F,$K240))</f>
        <v>Completado</v>
      </c>
      <c r="I240" s="20">
        <f>IF($K240="","",IF(INDEX('Detalle individual'!$F:$F,$K240)="Completado",INDEX('Detalle individual'!$H:$H,$K240),""))</f>
        <v>46298.41583333333</v>
      </c>
      <c r="J240" s="21">
        <f>IF($K240="","",IF(INDEX('Detalle individual'!$F:$F,$K240)="Completado",INDEX('Detalle individual'!$J:$J,$K240),""))</f>
        <v>100</v>
      </c>
      <c r="K240">
        <f>IFERROR(MOD(SMALL(Cálculos!$Z$5:$Z$1000,232),10000),"")</f>
        <v>39</v>
      </c>
    </row>
    <row r="241">
      <c r="B241" s="13">
        <f>IF($K241="","",233)</f>
        <v>233</v>
      </c>
      <c r="C241" s="13" t="str">
        <f>IF($K241="","",INDEX('Detalle individual'!$A:$A,$K241))</f>
        <v>926</v>
      </c>
      <c r="D241" s="72" t="str">
        <f>IF($K241="","",TRIM(INDEX('Detalle individual'!$B:$B,$K241)))</f>
        <v>ANDRES VLADIMIR LUNA GUEVARA</v>
      </c>
      <c r="E241" s="72" t="str">
        <f>IF($K241="","",TRIM(INDEX('Detalle individual'!$E:$E,$K241)))</f>
        <v>MENSAJERO</v>
      </c>
      <c r="F241" s="72" t="str">
        <f>IF($K241="","",TRIM(INDEX('Detalle individual'!$C:$C,$K241)))</f>
        <v>DEPARTAMENTO DE SERVICIOS GENERALES</v>
      </c>
      <c r="G241" s="72" t="str">
        <f>IF($K241="","",INDEX('Detalle individual'!$D:$D,$K241))</f>
        <v>Gerencia Administrativa</v>
      </c>
      <c r="H241" s="13" t="str">
        <f>IF($K241="","",INDEX('Detalle individual'!$F:$F,$K241))</f>
        <v>Completado</v>
      </c>
      <c r="I241" s="20">
        <f>IF($K241="","",IF(INDEX('Detalle individual'!$F:$F,$K241)="Completado",INDEX('Detalle individual'!$H:$H,$K241),""))</f>
        <v>46300.60789351852</v>
      </c>
      <c r="J241" s="21">
        <f>IF($K241="","",IF(INDEX('Detalle individual'!$F:$F,$K241)="Completado",INDEX('Detalle individual'!$J:$J,$K241),""))</f>
        <v>90</v>
      </c>
      <c r="K241">
        <f>IFERROR(MOD(SMALL(Cálculos!$Z$5:$Z$1000,233),10000),"")</f>
        <v>40</v>
      </c>
    </row>
    <row r="242">
      <c r="B242" s="13">
        <f>IF($K242="","",234)</f>
        <v>234</v>
      </c>
      <c r="C242" s="13" t="str">
        <f>IF($K242="","",INDEX('Detalle individual'!$A:$A,$K242))</f>
        <v>959</v>
      </c>
      <c r="D242" s="72" t="str">
        <f>IF($K242="","",TRIM(INDEX('Detalle individual'!$B:$B,$K242)))</f>
        <v>XIOMARA JEANNETTE ESCOBAR PORTILLO</v>
      </c>
      <c r="E242" s="72" t="str">
        <f>IF($K242="","",TRIM(INDEX('Detalle individual'!$E:$E,$K242)))</f>
        <v>SERVICIOS VARIOS</v>
      </c>
      <c r="F242" s="72" t="str">
        <f>IF($K242="","",TRIM(INDEX('Detalle individual'!$C:$C,$K242)))</f>
        <v>DEPARTAMENTO DE SERVICIOS GENERALES</v>
      </c>
      <c r="G242" s="72" t="str">
        <f>IF($K242="","",INDEX('Detalle individual'!$D:$D,$K242))</f>
        <v>Gerencia Administrativa</v>
      </c>
      <c r="H242" s="13" t="str">
        <f>IF($K242="","",INDEX('Detalle individual'!$F:$F,$K242))</f>
        <v>Completado</v>
      </c>
      <c r="I242" s="20">
        <f>IF($K242="","",IF(INDEX('Detalle individual'!$F:$F,$K242)="Completado",INDEX('Detalle individual'!$H:$H,$K242),""))</f>
        <v>46297.78946759259</v>
      </c>
      <c r="J242" s="21">
        <f>IF($K242="","",IF(INDEX('Detalle individual'!$F:$F,$K242)="Completado",INDEX('Detalle individual'!$J:$J,$K242),""))</f>
        <v>90</v>
      </c>
      <c r="K242">
        <f>IFERROR(MOD(SMALL(Cálculos!$Z$5:$Z$1000,234),10000),"")</f>
        <v>41</v>
      </c>
    </row>
    <row r="243">
      <c r="B243" s="13">
        <f>IF($K243="","",235)</f>
        <v>235</v>
      </c>
      <c r="C243" s="13" t="str">
        <f>IF($K243="","",INDEX('Detalle individual'!$A:$A,$K243))</f>
        <v>972</v>
      </c>
      <c r="D243" s="72" t="str">
        <f>IF($K243="","",TRIM(INDEX('Detalle individual'!$B:$B,$K243)))</f>
        <v>GEOVANNY GABRIEL RODRIGUEZ SOLORZANO</v>
      </c>
      <c r="E243" s="72" t="str">
        <f>IF($K243="","",TRIM(INDEX('Detalle individual'!$E:$E,$K243)))</f>
        <v>AUXILIAR DE ACTIVO FIJO Y ALMACEN</v>
      </c>
      <c r="F243" s="72" t="str">
        <f>IF($K243="","",TRIM(INDEX('Detalle individual'!$C:$C,$K243)))</f>
        <v>DEPARTAMENTO DE SERVICIOS GENERALES</v>
      </c>
      <c r="G243" s="72" t="str">
        <f>IF($K243="","",INDEX('Detalle individual'!$D:$D,$K243))</f>
        <v>Gerencia Administrativa</v>
      </c>
      <c r="H243" s="13" t="str">
        <f>IF($K243="","",INDEX('Detalle individual'!$F:$F,$K243))</f>
        <v>Completado</v>
      </c>
      <c r="I243" s="20">
        <f>IF($K243="","",IF(INDEX('Detalle individual'!$F:$F,$K243)="Completado",INDEX('Detalle individual'!$H:$H,$K243),""))</f>
        <v>46304.520787037036</v>
      </c>
      <c r="J243" s="21">
        <f>IF($K243="","",IF(INDEX('Detalle individual'!$F:$F,$K243)="Completado",INDEX('Detalle individual'!$J:$J,$K243),""))</f>
        <v>90</v>
      </c>
      <c r="K243">
        <f>IFERROR(MOD(SMALL(Cálculos!$Z$5:$Z$1000,235),10000),"")</f>
        <v>42</v>
      </c>
    </row>
    <row r="244">
      <c r="B244" s="13">
        <f>IF($K244="","",236)</f>
        <v>236</v>
      </c>
      <c r="C244" s="13" t="str">
        <f>IF($K244="","",INDEX('Detalle individual'!$A:$A,$K244))</f>
        <v>34</v>
      </c>
      <c r="D244" s="72" t="str">
        <f>IF($K244="","",TRIM(INDEX('Detalle individual'!$B:$B,$K244)))</f>
        <v>YENIS MARILU ESCOBAR SORTO</v>
      </c>
      <c r="E244" s="72" t="str">
        <f>IF($K244="","",TRIM(INDEX('Detalle individual'!$E:$E,$K244)))</f>
        <v>EJECUTIVO DE SOLUCIONES FINANCIERAS</v>
      </c>
      <c r="F244" s="72" t="str">
        <f>IF($K244="","",TRIM(INDEX('Detalle individual'!$C:$C,$K244)))</f>
        <v>DEPARTAMENTO DE SOLUCIONES FINANCIERAS</v>
      </c>
      <c r="G244" s="72" t="str">
        <f>IF($K244="","",INDEX('Detalle individual'!$D:$D,$K244))</f>
        <v>Gerencia de Operaciones</v>
      </c>
      <c r="H244" s="13" t="str">
        <f>IF($K244="","",INDEX('Detalle individual'!$F:$F,$K244))</f>
        <v>Completado</v>
      </c>
      <c r="I244" s="20">
        <f>IF($K244="","",IF(INDEX('Detalle individual'!$F:$F,$K244)="Completado",INDEX('Detalle individual'!$H:$H,$K244),""))</f>
        <v>46309.354155092595</v>
      </c>
      <c r="J244" s="21">
        <f>IF($K244="","",IF(INDEX('Detalle individual'!$F:$F,$K244)="Completado",INDEX('Detalle individual'!$J:$J,$K244),""))</f>
        <v>70</v>
      </c>
      <c r="K244">
        <f>IFERROR(MOD(SMALL(Cálculos!$Z$5:$Z$1000,236),10000),"")</f>
        <v>59</v>
      </c>
    </row>
    <row r="245">
      <c r="B245" s="13">
        <f>IF($K245="","",237)</f>
        <v>237</v>
      </c>
      <c r="C245" s="13" t="str">
        <f>IF($K245="","",INDEX('Detalle individual'!$A:$A,$K245))</f>
        <v>182</v>
      </c>
      <c r="D245" s="72" t="str">
        <f>IF($K245="","",TRIM(INDEX('Detalle individual'!$B:$B,$K245)))</f>
        <v>ROSA ELIZABETH RIVAS AGUILUZ</v>
      </c>
      <c r="E245" s="72" t="str">
        <f>IF($K245="","",TRIM(INDEX('Detalle individual'!$E:$E,$K245)))</f>
        <v>EJECUTIVO DE SOLUCIONES FINANCIERAS</v>
      </c>
      <c r="F245" s="72" t="str">
        <f>IF($K245="","",TRIM(INDEX('Detalle individual'!$C:$C,$K245)))</f>
        <v>DEPARTAMENTO DE SOLUCIONES FINANCIERAS</v>
      </c>
      <c r="G245" s="72" t="str">
        <f>IF($K245="","",INDEX('Detalle individual'!$D:$D,$K245))</f>
        <v>Gerencia de Operaciones</v>
      </c>
      <c r="H245" s="13" t="str">
        <f>IF($K245="","",INDEX('Detalle individual'!$F:$F,$K245))</f>
        <v>Completado</v>
      </c>
      <c r="I245" s="20">
        <f>IF($K245="","",IF(INDEX('Detalle individual'!$F:$F,$K245)="Completado",INDEX('Detalle individual'!$H:$H,$K245),""))</f>
        <v>46307.56962962963</v>
      </c>
      <c r="J245" s="21">
        <f>IF($K245="","",IF(INDEX('Detalle individual'!$F:$F,$K245)="Completado",INDEX('Detalle individual'!$J:$J,$K245),""))</f>
        <v>70</v>
      </c>
      <c r="K245">
        <f>IFERROR(MOD(SMALL(Cálculos!$Z$5:$Z$1000,237),10000),"")</f>
        <v>60</v>
      </c>
    </row>
    <row r="246">
      <c r="B246" s="13">
        <f>IF($K246="","",238)</f>
        <v>238</v>
      </c>
      <c r="C246" s="13" t="str">
        <f>IF($K246="","",INDEX('Detalle individual'!$A:$A,$K246))</f>
        <v>263</v>
      </c>
      <c r="D246" s="72" t="str">
        <f>IF($K246="","",TRIM(INDEX('Detalle individual'!$B:$B,$K246)))</f>
        <v>XOCHILT VERONICA NOUBLEAU</v>
      </c>
      <c r="E246" s="72" t="str">
        <f>IF($K246="","",TRIM(INDEX('Detalle individual'!$E:$E,$K246)))</f>
        <v>EJECUTIVO DE SOLUCIONES FINANCIERAS</v>
      </c>
      <c r="F246" s="72" t="str">
        <f>IF($K246="","",TRIM(INDEX('Detalle individual'!$C:$C,$K246)))</f>
        <v>DEPARTAMENTO DE SOLUCIONES FINANCIERAS</v>
      </c>
      <c r="G246" s="72" t="str">
        <f>IF($K246="","",INDEX('Detalle individual'!$D:$D,$K246))</f>
        <v>Gerencia de Operaciones</v>
      </c>
      <c r="H246" s="13" t="str">
        <f>IF($K246="","",INDEX('Detalle individual'!$F:$F,$K246))</f>
        <v>Completado</v>
      </c>
      <c r="I246" s="20">
        <f>IF($K246="","",IF(INDEX('Detalle individual'!$F:$F,$K246)="Completado",INDEX('Detalle individual'!$H:$H,$K246),""))</f>
        <v>46307.60011574074</v>
      </c>
      <c r="J246" s="21">
        <f>IF($K246="","",IF(INDEX('Detalle individual'!$F:$F,$K246)="Completado",INDEX('Detalle individual'!$J:$J,$K246),""))</f>
        <v>100</v>
      </c>
      <c r="K246">
        <f>IFERROR(MOD(SMALL(Cálculos!$Z$5:$Z$1000,238),10000),"")</f>
        <v>61</v>
      </c>
    </row>
    <row r="247">
      <c r="B247" s="13">
        <f>IF($K247="","",239)</f>
        <v>239</v>
      </c>
      <c r="C247" s="13" t="str">
        <f>IF($K247="","",INDEX('Detalle individual'!$A:$A,$K247))</f>
        <v>289</v>
      </c>
      <c r="D247" s="72" t="str">
        <f>IF($K247="","",TRIM(INDEX('Detalle individual'!$B:$B,$K247)))</f>
        <v>ANA SILVIA MARTINEZ RODRIGUEZ</v>
      </c>
      <c r="E247" s="72" t="str">
        <f>IF($K247="","",TRIM(INDEX('Detalle individual'!$E:$E,$K247)))</f>
        <v>EJECUTIVO DE SOLUCIONES FINANCIERAS</v>
      </c>
      <c r="F247" s="72" t="str">
        <f>IF($K247="","",TRIM(INDEX('Detalle individual'!$C:$C,$K247)))</f>
        <v>DEPARTAMENTO DE SOLUCIONES FINANCIERAS</v>
      </c>
      <c r="G247" s="72" t="str">
        <f>IF($K247="","",INDEX('Detalle individual'!$D:$D,$K247))</f>
        <v>Gerencia de Operaciones</v>
      </c>
      <c r="H247" s="13" t="str">
        <f>IF($K247="","",INDEX('Detalle individual'!$F:$F,$K247))</f>
        <v>Completado</v>
      </c>
      <c r="I247" s="20">
        <f>IF($K247="","",IF(INDEX('Detalle individual'!$F:$F,$K247)="Completado",INDEX('Detalle individual'!$H:$H,$K247),""))</f>
        <v>46305.41322916667</v>
      </c>
      <c r="J247" s="21">
        <f>IF($K247="","",IF(INDEX('Detalle individual'!$F:$F,$K247)="Completado",INDEX('Detalle individual'!$J:$J,$K247),""))</f>
        <v>100</v>
      </c>
      <c r="K247">
        <f>IFERROR(MOD(SMALL(Cálculos!$Z$5:$Z$1000,239),10000),"")</f>
        <v>62</v>
      </c>
    </row>
    <row r="248">
      <c r="B248" s="13">
        <f>IF($K248="","",240)</f>
        <v>240</v>
      </c>
      <c r="C248" s="13" t="str">
        <f>IF($K248="","",INDEX('Detalle individual'!$A:$A,$K248))</f>
        <v>298</v>
      </c>
      <c r="D248" s="72" t="str">
        <f>IF($K248="","",TRIM(INDEX('Detalle individual'!$B:$B,$K248)))</f>
        <v>SANDRA GUADALUPE ROQUE SANCHEZ</v>
      </c>
      <c r="E248" s="72" t="str">
        <f>IF($K248="","",TRIM(INDEX('Detalle individual'!$E:$E,$K248)))</f>
        <v>EJECUTIVO DE SOLUCIONES FINANCIERAS</v>
      </c>
      <c r="F248" s="72" t="str">
        <f>IF($K248="","",TRIM(INDEX('Detalle individual'!$C:$C,$K248)))</f>
        <v>DEPARTAMENTO DE SOLUCIONES FINANCIERAS</v>
      </c>
      <c r="G248" s="72" t="str">
        <f>IF($K248="","",INDEX('Detalle individual'!$D:$D,$K248))</f>
        <v>Gerencia de Operaciones</v>
      </c>
      <c r="H248" s="13" t="str">
        <f>IF($K248="","",INDEX('Detalle individual'!$F:$F,$K248))</f>
        <v>Completado</v>
      </c>
      <c r="I248" s="20">
        <f>IF($K248="","",IF(INDEX('Detalle individual'!$F:$F,$K248)="Completado",INDEX('Detalle individual'!$H:$H,$K248),""))</f>
        <v>46307.58479166667</v>
      </c>
      <c r="J248" s="21">
        <f>IF($K248="","",IF(INDEX('Detalle individual'!$F:$F,$K248)="Completado",INDEX('Detalle individual'!$J:$J,$K248),""))</f>
        <v>80</v>
      </c>
      <c r="K248">
        <f>IFERROR(MOD(SMALL(Cálculos!$Z$5:$Z$1000,240),10000),"")</f>
        <v>63</v>
      </c>
    </row>
    <row r="249">
      <c r="B249" s="13">
        <f>IF($K249="","",241)</f>
        <v>241</v>
      </c>
      <c r="C249" s="13" t="str">
        <f>IF($K249="","",INDEX('Detalle individual'!$A:$A,$K249))</f>
        <v>439</v>
      </c>
      <c r="D249" s="72" t="str">
        <f>IF($K249="","",TRIM(INDEX('Detalle individual'!$B:$B,$K249)))</f>
        <v>ILIANA DESIREE ALFARO</v>
      </c>
      <c r="E249" s="72" t="str">
        <f>IF($K249="","",TRIM(INDEX('Detalle individual'!$E:$E,$K249)))</f>
        <v>EJECUTIVO DE SOLUCIONES FINANCIERAS</v>
      </c>
      <c r="F249" s="72" t="str">
        <f>IF($K249="","",TRIM(INDEX('Detalle individual'!$C:$C,$K249)))</f>
        <v>DEPARTAMENTO DE SOLUCIONES FINANCIERAS</v>
      </c>
      <c r="G249" s="72" t="str">
        <f>IF($K249="","",INDEX('Detalle individual'!$D:$D,$K249))</f>
        <v>Gerencia de Operaciones</v>
      </c>
      <c r="H249" s="13" t="str">
        <f>IF($K249="","",INDEX('Detalle individual'!$F:$F,$K249))</f>
        <v>Completado</v>
      </c>
      <c r="I249" s="20">
        <f>IF($K249="","",IF(INDEX('Detalle individual'!$F:$F,$K249)="Completado",INDEX('Detalle individual'!$H:$H,$K249),""))</f>
        <v>46304.38547453703</v>
      </c>
      <c r="J249" s="21">
        <f>IF($K249="","",IF(INDEX('Detalle individual'!$F:$F,$K249)="Completado",INDEX('Detalle individual'!$J:$J,$K249),""))</f>
        <v>80</v>
      </c>
      <c r="K249">
        <f>IFERROR(MOD(SMALL(Cálculos!$Z$5:$Z$1000,241),10000),"")</f>
        <v>64</v>
      </c>
    </row>
    <row r="250">
      <c r="B250" s="13">
        <f>IF($K250="","",242)</f>
        <v>242</v>
      </c>
      <c r="C250" s="13" t="str">
        <f>IF($K250="","",INDEX('Detalle individual'!$A:$A,$K250))</f>
        <v>472</v>
      </c>
      <c r="D250" s="72" t="str">
        <f>IF($K250="","",TRIM(INDEX('Detalle individual'!$B:$B,$K250)))</f>
        <v>CARLOS ROBERTO AGUILAR SANTOS</v>
      </c>
      <c r="E250" s="72" t="str">
        <f>IF($K250="","",TRIM(INDEX('Detalle individual'!$E:$E,$K250)))</f>
        <v>JEFE DE SOLUCIONES FINANCIERAS</v>
      </c>
      <c r="F250" s="72" t="str">
        <f>IF($K250="","",TRIM(INDEX('Detalle individual'!$C:$C,$K250)))</f>
        <v>DEPARTAMENTO DE SOLUCIONES FINANCIERAS</v>
      </c>
      <c r="G250" s="72" t="str">
        <f>IF($K250="","",INDEX('Detalle individual'!$D:$D,$K250))</f>
        <v>Gerencia de Operaciones</v>
      </c>
      <c r="H250" s="13" t="str">
        <f>IF($K250="","",INDEX('Detalle individual'!$F:$F,$K250))</f>
        <v>Completado</v>
      </c>
      <c r="I250" s="20">
        <f>IF($K250="","",IF(INDEX('Detalle individual'!$F:$F,$K250)="Completado",INDEX('Detalle individual'!$H:$H,$K250),""))</f>
        <v>46304.37534722222</v>
      </c>
      <c r="J250" s="21">
        <f>IF($K250="","",IF(INDEX('Detalle individual'!$F:$F,$K250)="Completado",INDEX('Detalle individual'!$J:$J,$K250),""))</f>
        <v>100</v>
      </c>
      <c r="K250">
        <f>IFERROR(MOD(SMALL(Cálculos!$Z$5:$Z$1000,242),10000),"")</f>
        <v>65</v>
      </c>
    </row>
    <row r="251">
      <c r="B251" s="13">
        <f>IF($K251="","",243)</f>
        <v>243</v>
      </c>
      <c r="C251" s="13" t="str">
        <f>IF($K251="","",INDEX('Detalle individual'!$A:$A,$K251))</f>
        <v>528</v>
      </c>
      <c r="D251" s="72" t="str">
        <f>IF($K251="","",TRIM(INDEX('Detalle individual'!$B:$B,$K251)))</f>
        <v>ANA GRISELDA SIGÜENZA MARTINEZ</v>
      </c>
      <c r="E251" s="72" t="str">
        <f>IF($K251="","",TRIM(INDEX('Detalle individual'!$E:$E,$K251)))</f>
        <v>AUXILIAR DE DEPARTAMENTO DE SOLUCIONES FINANCIERAS</v>
      </c>
      <c r="F251" s="72" t="str">
        <f>IF($K251="","",TRIM(INDEX('Detalle individual'!$C:$C,$K251)))</f>
        <v>DEPARTAMENTO DE SOLUCIONES FINANCIERAS</v>
      </c>
      <c r="G251" s="72" t="str">
        <f>IF($K251="","",INDEX('Detalle individual'!$D:$D,$K251))</f>
        <v>Gerencia de Operaciones</v>
      </c>
      <c r="H251" s="13" t="str">
        <f>IF($K251="","",INDEX('Detalle individual'!$F:$F,$K251))</f>
        <v>Completado</v>
      </c>
      <c r="I251" s="20">
        <f>IF($K251="","",IF(INDEX('Detalle individual'!$F:$F,$K251)="Completado",INDEX('Detalle individual'!$H:$H,$K251),""))</f>
        <v>46305.54105324074</v>
      </c>
      <c r="J251" s="21">
        <f>IF($K251="","",IF(INDEX('Detalle individual'!$F:$F,$K251)="Completado",INDEX('Detalle individual'!$J:$J,$K251),""))</f>
        <v>100</v>
      </c>
      <c r="K251">
        <f>IFERROR(MOD(SMALL(Cálculos!$Z$5:$Z$1000,243),10000),"")</f>
        <v>66</v>
      </c>
    </row>
    <row r="252">
      <c r="B252" s="13">
        <f>IF($K252="","",244)</f>
        <v>244</v>
      </c>
      <c r="C252" s="13" t="str">
        <f>IF($K252="","",INDEX('Detalle individual'!$A:$A,$K252))</f>
        <v>573</v>
      </c>
      <c r="D252" s="72" t="str">
        <f>IF($K252="","",TRIM(INDEX('Detalle individual'!$B:$B,$K252)))</f>
        <v>JUAN PABLO HENRIQUEZ RAMIREZ</v>
      </c>
      <c r="E252" s="72" t="str">
        <f>IF($K252="","",TRIM(INDEX('Detalle individual'!$E:$E,$K252)))</f>
        <v>EJECUTIVO DE SOLUCIONES FINANCIERAS</v>
      </c>
      <c r="F252" s="72" t="str">
        <f>IF($K252="","",TRIM(INDEX('Detalle individual'!$C:$C,$K252)))</f>
        <v>DEPARTAMENTO DE SOLUCIONES FINANCIERAS</v>
      </c>
      <c r="G252" s="72" t="str">
        <f>IF($K252="","",INDEX('Detalle individual'!$D:$D,$K252))</f>
        <v>Gerencia de Operaciones</v>
      </c>
      <c r="H252" s="13" t="str">
        <f>IF($K252="","",INDEX('Detalle individual'!$F:$F,$K252))</f>
        <v>Completado</v>
      </c>
      <c r="I252" s="20">
        <f>IF($K252="","",IF(INDEX('Detalle individual'!$F:$F,$K252)="Completado",INDEX('Detalle individual'!$H:$H,$K252),""))</f>
        <v>46309.38841435185</v>
      </c>
      <c r="J252" s="21">
        <f>IF($K252="","",IF(INDEX('Detalle individual'!$F:$F,$K252)="Completado",INDEX('Detalle individual'!$J:$J,$K252),""))</f>
        <v>90</v>
      </c>
      <c r="K252">
        <f>IFERROR(MOD(SMALL(Cálculos!$Z$5:$Z$1000,244),10000),"")</f>
        <v>67</v>
      </c>
    </row>
    <row r="253">
      <c r="B253" s="13">
        <f>IF($K253="","",245)</f>
        <v>245</v>
      </c>
      <c r="C253" s="13" t="str">
        <f>IF($K253="","",INDEX('Detalle individual'!$A:$A,$K253))</f>
        <v>948</v>
      </c>
      <c r="D253" s="72" t="str">
        <f>IF($K253="","",TRIM(INDEX('Detalle individual'!$B:$B,$K253)))</f>
        <v>NELSON KILDER QUIJADA ECHEVERRIA</v>
      </c>
      <c r="E253" s="72" t="str">
        <f>IF($K253="","",TRIM(INDEX('Detalle individual'!$E:$E,$K253)))</f>
        <v>ASISTENTE TECNICO DE TALENTO HUMANO</v>
      </c>
      <c r="F253" s="72" t="str">
        <f>IF($K253="","",TRIM(INDEX('Detalle individual'!$C:$C,$K253)))</f>
        <v>DEPARTAMENTO DE TALENTO HUMANO</v>
      </c>
      <c r="G253" s="72" t="str">
        <f>IF($K253="","",INDEX('Detalle individual'!$D:$D,$K253))</f>
        <v>Gerencia Administrativa</v>
      </c>
      <c r="H253" s="13" t="str">
        <f>IF($K253="","",INDEX('Detalle individual'!$F:$F,$K253))</f>
        <v>Completado</v>
      </c>
      <c r="I253" s="20">
        <f>IF($K253="","",IF(INDEX('Detalle individual'!$F:$F,$K253)="Completado",INDEX('Detalle individual'!$H:$H,$K253),""))</f>
        <v>46304.406006944446</v>
      </c>
      <c r="J253" s="21">
        <f>IF($K253="","",IF(INDEX('Detalle individual'!$F:$F,$K253)="Completado",INDEX('Detalle individual'!$J:$J,$K253),""))</f>
        <v>100</v>
      </c>
      <c r="K253">
        <f>IFERROR(MOD(SMALL(Cálculos!$Z$5:$Z$1000,245),10000),"")</f>
        <v>50</v>
      </c>
    </row>
    <row r="254">
      <c r="B254" s="13">
        <f>IF($K254="","",246)</f>
        <v>246</v>
      </c>
      <c r="C254" s="13" t="str">
        <f>IF($K254="","",INDEX('Detalle individual'!$A:$A,$K254))</f>
        <v>962</v>
      </c>
      <c r="D254" s="72" t="str">
        <f>IF($K254="","",TRIM(INDEX('Detalle individual'!$B:$B,$K254)))</f>
        <v>HELEN GLORIBEL PLATERO SANCHEZ</v>
      </c>
      <c r="E254" s="72" t="str">
        <f>IF($K254="","",TRIM(INDEX('Detalle individual'!$E:$E,$K254)))</f>
        <v>ANALISTA DE DESARROLLO ORGANIZACIONAL</v>
      </c>
      <c r="F254" s="72" t="str">
        <f>IF($K254="","",TRIM(INDEX('Detalle individual'!$C:$C,$K254)))</f>
        <v>DEPARTAMENTO DE TALENTO HUMANO</v>
      </c>
      <c r="G254" s="72" t="str">
        <f>IF($K254="","",INDEX('Detalle individual'!$D:$D,$K254))</f>
        <v>Gerencia Administrativa</v>
      </c>
      <c r="H254" s="13" t="str">
        <f>IF($K254="","",INDEX('Detalle individual'!$F:$F,$K254))</f>
        <v>Completado</v>
      </c>
      <c r="I254" s="20">
        <f>IF($K254="","",IF(INDEX('Detalle individual'!$F:$F,$K254)="Completado",INDEX('Detalle individual'!$H:$H,$K254),""))</f>
        <v>46304.52142361111</v>
      </c>
      <c r="J254" s="21">
        <f>IF($K254="","",IF(INDEX('Detalle individual'!$F:$F,$K254)="Completado",INDEX('Detalle individual'!$J:$J,$K254),""))</f>
        <v>90</v>
      </c>
      <c r="K254">
        <f>IFERROR(MOD(SMALL(Cálculos!$Z$5:$Z$1000,246),10000),"")</f>
        <v>51</v>
      </c>
    </row>
    <row r="255">
      <c r="B255" s="13">
        <f>IF($K255="","",247)</f>
        <v>247</v>
      </c>
      <c r="C255" s="13" t="str">
        <f>IF($K255="","",INDEX('Detalle individual'!$A:$A,$K255))</f>
        <v>389</v>
      </c>
      <c r="D255" s="72" t="str">
        <f>IF($K255="","",TRIM(INDEX('Detalle individual'!$B:$B,$K255)))</f>
        <v>CLAUDIA CAROLINA HERNANDEZ DE PAZ</v>
      </c>
      <c r="E255" s="72" t="str">
        <f>IF($K255="","",TRIM(INDEX('Detalle individual'!$E:$E,$K255)))</f>
        <v>ASISTENTE TECNICO DE INTERCAMBIO DE TARJETAS</v>
      </c>
      <c r="F255" s="72" t="str">
        <f>IF($K255="","",TRIM(INDEX('Detalle individual'!$C:$C,$K255)))</f>
        <v>DEPARTAMENTO DE TARJETA DE CREDITO Y DEBITO</v>
      </c>
      <c r="G255" s="72" t="str">
        <f>IF($K255="","",INDEX('Detalle individual'!$D:$D,$K255))</f>
        <v>Gerencia de Operaciones</v>
      </c>
      <c r="H255" s="13" t="str">
        <f>IF($K255="","",INDEX('Detalle individual'!$F:$F,$K255))</f>
        <v>Completado</v>
      </c>
      <c r="I255" s="20">
        <f>IF($K255="","",IF(INDEX('Detalle individual'!$F:$F,$K255)="Completado",INDEX('Detalle individual'!$H:$H,$K255),""))</f>
        <v>46311.516226851854</v>
      </c>
      <c r="J255" s="21">
        <f>IF($K255="","",IF(INDEX('Detalle individual'!$F:$F,$K255)="Completado",INDEX('Detalle individual'!$J:$J,$K255),""))</f>
        <v>100</v>
      </c>
      <c r="K255">
        <f>IFERROR(MOD(SMALL(Cálculos!$Z$5:$Z$1000,247),10000),"")</f>
        <v>69</v>
      </c>
    </row>
    <row r="256">
      <c r="B256" s="13">
        <f>IF($K256="","",248)</f>
        <v>248</v>
      </c>
      <c r="C256" s="13" t="str">
        <f>IF($K256="","",INDEX('Detalle individual'!$A:$A,$K256))</f>
        <v>459</v>
      </c>
      <c r="D256" s="72" t="str">
        <f>IF($K256="","",TRIM(INDEX('Detalle individual'!$B:$B,$K256)))</f>
        <v>LUIS ALEXANDER RAMIREZ MONTALVO</v>
      </c>
      <c r="E256" s="72" t="str">
        <f>IF($K256="","",TRIM(INDEX('Detalle individual'!$E:$E,$K256)))</f>
        <v>ASISTENTE TECNICO DE EMISION DE TARJETA</v>
      </c>
      <c r="F256" s="72" t="str">
        <f>IF($K256="","",TRIM(INDEX('Detalle individual'!$C:$C,$K256)))</f>
        <v>DEPARTAMENTO DE TARJETA DE CREDITO Y DEBITO</v>
      </c>
      <c r="G256" s="72" t="str">
        <f>IF($K256="","",INDEX('Detalle individual'!$D:$D,$K256))</f>
        <v>Gerencia de Operaciones</v>
      </c>
      <c r="H256" s="13" t="str">
        <f>IF($K256="","",INDEX('Detalle individual'!$F:$F,$K256))</f>
        <v>Completado</v>
      </c>
      <c r="I256" s="20">
        <f>IF($K256="","",IF(INDEX('Detalle individual'!$F:$F,$K256)="Completado",INDEX('Detalle individual'!$H:$H,$K256),""))</f>
        <v>46304.57939814815</v>
      </c>
      <c r="J256" s="21">
        <f>IF($K256="","",IF(INDEX('Detalle individual'!$F:$F,$K256)="Completado",INDEX('Detalle individual'!$J:$J,$K256),""))</f>
        <v>95</v>
      </c>
      <c r="K256">
        <f>IFERROR(MOD(SMALL(Cálculos!$Z$5:$Z$1000,248),10000),"")</f>
        <v>71</v>
      </c>
    </row>
    <row r="257">
      <c r="B257" s="13">
        <f>IF($K257="","",249)</f>
        <v>249</v>
      </c>
      <c r="C257" s="13" t="str">
        <f>IF($K257="","",INDEX('Detalle individual'!$A:$A,$K257))</f>
        <v>725</v>
      </c>
      <c r="D257" s="72" t="str">
        <f>IF($K257="","",TRIM(INDEX('Detalle individual'!$B:$B,$K257)))</f>
        <v>ANA BEATRIZ QUINTEROS AVELAR</v>
      </c>
      <c r="E257" s="72" t="str">
        <f>IF($K257="","",TRIM(INDEX('Detalle individual'!$E:$E,$K257)))</f>
        <v>ASISTENTE TECNICO DE OPERACIONES DE TARJETAS</v>
      </c>
      <c r="F257" s="72" t="str">
        <f>IF($K257="","",TRIM(INDEX('Detalle individual'!$C:$C,$K257)))</f>
        <v>DEPARTAMENTO DE TARJETA DE CREDITO Y DEBITO</v>
      </c>
      <c r="G257" s="72" t="str">
        <f>IF($K257="","",INDEX('Detalle individual'!$D:$D,$K257))</f>
        <v>Gerencia de Operaciones</v>
      </c>
      <c r="H257" s="13" t="str">
        <f>IF($K257="","",INDEX('Detalle individual'!$F:$F,$K257))</f>
        <v>Completado</v>
      </c>
      <c r="I257" s="20">
        <f>IF($K257="","",IF(INDEX('Detalle individual'!$F:$F,$K257)="Completado",INDEX('Detalle individual'!$H:$H,$K257),""))</f>
        <v>46309.65164351852</v>
      </c>
      <c r="J257" s="21">
        <f>IF($K257="","",IF(INDEX('Detalle individual'!$F:$F,$K257)="Completado",INDEX('Detalle individual'!$J:$J,$K257),""))</f>
        <v>100</v>
      </c>
      <c r="K257">
        <f>IFERROR(MOD(SMALL(Cálculos!$Z$5:$Z$1000,249),10000),"")</f>
        <v>72</v>
      </c>
    </row>
    <row r="258">
      <c r="B258" s="13">
        <f>IF($K258="","",250)</f>
        <v>250</v>
      </c>
      <c r="C258" s="13" t="str">
        <f>IF($K258="","",INDEX('Detalle individual'!$A:$A,$K258))</f>
        <v>952</v>
      </c>
      <c r="D258" s="72" t="str">
        <f>IF($K258="","",TRIM(INDEX('Detalle individual'!$B:$B,$K258)))</f>
        <v>ANDREA CAROLINA RUMUALDO MARTINEZ</v>
      </c>
      <c r="E258" s="72" t="str">
        <f>IF($K258="","",TRIM(INDEX('Detalle individual'!$E:$E,$K258)))</f>
        <v>AUXILIAR DE CONTROL DE CALIDAD</v>
      </c>
      <c r="F258" s="72" t="str">
        <f>IF($K258="","",TRIM(INDEX('Detalle individual'!$C:$C,$K258)))</f>
        <v>DEPARTAMENTO DE TARJETA DE CREDITO Y DEBITO</v>
      </c>
      <c r="G258" s="72" t="str">
        <f>IF($K258="","",INDEX('Detalle individual'!$D:$D,$K258))</f>
        <v>Gerencia de Operaciones</v>
      </c>
      <c r="H258" s="13" t="str">
        <f>IF($K258="","",INDEX('Detalle individual'!$F:$F,$K258))</f>
        <v>Completado</v>
      </c>
      <c r="I258" s="20">
        <f>IF($K258="","",IF(INDEX('Detalle individual'!$F:$F,$K258)="Completado",INDEX('Detalle individual'!$H:$H,$K258),""))</f>
        <v>46296.65724537037</v>
      </c>
      <c r="J258" s="21">
        <f>IF($K258="","",IF(INDEX('Detalle individual'!$F:$F,$K258)="Completado",INDEX('Detalle individual'!$J:$J,$K258),""))</f>
        <v>100</v>
      </c>
      <c r="K258">
        <f>IFERROR(MOD(SMALL(Cálculos!$Z$5:$Z$1000,250),10000),"")</f>
        <v>73</v>
      </c>
    </row>
    <row r="259">
      <c r="B259" s="13">
        <f>IF($K259="","",251)</f>
        <v>251</v>
      </c>
      <c r="C259" s="13" t="str">
        <f>IF($K259="","",INDEX('Detalle individual'!$A:$A,$K259))</f>
        <v>980</v>
      </c>
      <c r="D259" s="72" t="str">
        <f>IF($K259="","",TRIM(INDEX('Detalle individual'!$B:$B,$K259)))</f>
        <v>FATIMA ELIZABETH LEMUS RODRIGUEZ</v>
      </c>
      <c r="E259" s="72" t="str">
        <f>IF($K259="","",TRIM(INDEX('Detalle individual'!$E:$E,$K259)))</f>
        <v>AUXILIAR DE EMISION DE TARJETA</v>
      </c>
      <c r="F259" s="72" t="str">
        <f>IF($K259="","",TRIM(INDEX('Detalle individual'!$C:$C,$K259)))</f>
        <v>DEPARTAMENTO DE TARJETA DE CREDITO Y DEBITO</v>
      </c>
      <c r="G259" s="72" t="str">
        <f>IF($K259="","",INDEX('Detalle individual'!$D:$D,$K259))</f>
        <v>Gerencia de Operaciones</v>
      </c>
      <c r="H259" s="13" t="str">
        <f>IF($K259="","",INDEX('Detalle individual'!$F:$F,$K259))</f>
        <v>Completado</v>
      </c>
      <c r="I259" s="20">
        <f>IF($K259="","",IF(INDEX('Detalle individual'!$F:$F,$K259)="Completado",INDEX('Detalle individual'!$H:$H,$K259),""))</f>
        <v>46296.71346064815</v>
      </c>
      <c r="J259" s="21">
        <f>IF($K259="","",IF(INDEX('Detalle individual'!$F:$F,$K259)="Completado",INDEX('Detalle individual'!$J:$J,$K259),""))</f>
        <v>100</v>
      </c>
      <c r="K259">
        <f>IFERROR(MOD(SMALL(Cálculos!$Z$5:$Z$1000,251),10000),"")</f>
        <v>74</v>
      </c>
    </row>
    <row r="260">
      <c r="B260" s="13">
        <f>IF($K260="","",252)</f>
        <v>252</v>
      </c>
      <c r="C260" s="13" t="str">
        <f>IF($K260="","",INDEX('Detalle individual'!$A:$A,$K260))</f>
        <v>442</v>
      </c>
      <c r="D260" s="72" t="str">
        <f>IF($K260="","",TRIM(INDEX('Detalle individual'!$B:$B,$K260)))</f>
        <v>JUAN JOSE CAÑAS COMAYAGUA</v>
      </c>
      <c r="E260" s="72" t="str">
        <f>IF($K260="","",TRIM(INDEX('Detalle individual'!$E:$E,$K260)))</f>
        <v>JEFE DE DEPARTAMENTO LEGAL</v>
      </c>
      <c r="F260" s="72" t="str">
        <f>IF($K260="","",TRIM(INDEX('Detalle individual'!$C:$C,$K260)))</f>
        <v>DEPARTAMENTO LEGAL</v>
      </c>
      <c r="G260" s="72" t="str">
        <f>IF($K260="","",INDEX('Detalle individual'!$D:$D,$K260))</f>
        <v>Gerencia Legal y Cumplimiento Normativo</v>
      </c>
      <c r="H260" s="13" t="str">
        <f>IF($K260="","",INDEX('Detalle individual'!$F:$F,$K260))</f>
        <v>Completado</v>
      </c>
      <c r="I260" s="20">
        <f>IF($K260="","",IF(INDEX('Detalle individual'!$F:$F,$K260)="Completado",INDEX('Detalle individual'!$H:$H,$K260),""))</f>
        <v>46306.60649305556</v>
      </c>
      <c r="J260" s="21">
        <f>IF($K260="","",IF(INDEX('Detalle individual'!$F:$F,$K260)="Completado",INDEX('Detalle individual'!$J:$J,$K260),""))</f>
        <v>100</v>
      </c>
      <c r="K260">
        <f>IFERROR(MOD(SMALL(Cálculos!$Z$5:$Z$1000,252),10000),"")</f>
        <v>288</v>
      </c>
    </row>
    <row r="261">
      <c r="B261" s="13">
        <f>IF($K261="","",253)</f>
        <v>253</v>
      </c>
      <c r="C261" s="13" t="str">
        <f>IF($K261="","",INDEX('Detalle individual'!$A:$A,$K261))</f>
        <v>592</v>
      </c>
      <c r="D261" s="72" t="str">
        <f>IF($K261="","",TRIM(INDEX('Detalle individual'!$B:$B,$K261)))</f>
        <v>CARLOS RENE CASTILLO GAMEZ</v>
      </c>
      <c r="E261" s="72" t="str">
        <f>IF($K261="","",TRIM(INDEX('Detalle individual'!$E:$E,$K261)))</f>
        <v>ASISTENTE TECNICO LEGAL</v>
      </c>
      <c r="F261" s="72" t="str">
        <f>IF($K261="","",TRIM(INDEX('Detalle individual'!$C:$C,$K261)))</f>
        <v>DEPARTAMENTO LEGAL</v>
      </c>
      <c r="G261" s="72" t="str">
        <f>IF($K261="","",INDEX('Detalle individual'!$D:$D,$K261))</f>
        <v>Gerencia Legal y Cumplimiento Normativo</v>
      </c>
      <c r="H261" s="13" t="str">
        <f>IF($K261="","",INDEX('Detalle individual'!$F:$F,$K261))</f>
        <v>Completado</v>
      </c>
      <c r="I261" s="20">
        <f>IF($K261="","",IF(INDEX('Detalle individual'!$F:$F,$K261)="Completado",INDEX('Detalle individual'!$H:$H,$K261),""))</f>
        <v>46308.62107638889</v>
      </c>
      <c r="J261" s="21">
        <f>IF($K261="","",IF(INDEX('Detalle individual'!$F:$F,$K261)="Completado",INDEX('Detalle individual'!$J:$J,$K261),""))</f>
        <v>100</v>
      </c>
      <c r="K261">
        <f>IFERROR(MOD(SMALL(Cálculos!$Z$5:$Z$1000,253),10000),"")</f>
        <v>289</v>
      </c>
    </row>
    <row r="262">
      <c r="B262" s="13">
        <f>IF($K262="","",254)</f>
        <v>254</v>
      </c>
      <c r="C262" s="13" t="str">
        <f>IF($K262="","",INDEX('Detalle individual'!$A:$A,$K262))</f>
        <v>814</v>
      </c>
      <c r="D262" s="72" t="str">
        <f>IF($K262="","",TRIM(INDEX('Detalle individual'!$B:$B,$K262)))</f>
        <v>ANDREA RAQUEL MONTOYA ALARCON</v>
      </c>
      <c r="E262" s="72" t="str">
        <f>IF($K262="","",TRIM(INDEX('Detalle individual'!$E:$E,$K262)))</f>
        <v>AUXILIAR JURIDICO DE ESCRITURACION</v>
      </c>
      <c r="F262" s="72" t="str">
        <f>IF($K262="","",TRIM(INDEX('Detalle individual'!$C:$C,$K262)))</f>
        <v>DEPARTAMENTO LEGAL</v>
      </c>
      <c r="G262" s="72" t="str">
        <f>IF($K262="","",INDEX('Detalle individual'!$D:$D,$K262))</f>
        <v>Gerencia Legal y Cumplimiento Normativo</v>
      </c>
      <c r="H262" s="13" t="str">
        <f>IF($K262="","",INDEX('Detalle individual'!$F:$F,$K262))</f>
        <v>Completado</v>
      </c>
      <c r="I262" s="20">
        <f>IF($K262="","",IF(INDEX('Detalle individual'!$F:$F,$K262)="Completado",INDEX('Detalle individual'!$H:$H,$K262),""))</f>
        <v>46307.421319444446</v>
      </c>
      <c r="J262" s="21">
        <f>IF($K262="","",IF(INDEX('Detalle individual'!$F:$F,$K262)="Completado",INDEX('Detalle individual'!$J:$J,$K262),""))</f>
        <v>100</v>
      </c>
      <c r="K262">
        <f>IFERROR(MOD(SMALL(Cálculos!$Z$5:$Z$1000,254),10000),"")</f>
        <v>290</v>
      </c>
    </row>
    <row r="263">
      <c r="B263" s="13">
        <f>IF($K263="","",255)</f>
        <v>255</v>
      </c>
      <c r="C263" s="13" t="str">
        <f>IF($K263="","",INDEX('Detalle individual'!$A:$A,$K263))</f>
        <v>831</v>
      </c>
      <c r="D263" s="72" t="str">
        <f>IF($K263="","",TRIM(INDEX('Detalle individual'!$B:$B,$K263)))</f>
        <v>NICOLLE ALEXANDRA MARINERO GALLARDO</v>
      </c>
      <c r="E263" s="72" t="str">
        <f>IF($K263="","",TRIM(INDEX('Detalle individual'!$E:$E,$K263)))</f>
        <v>AUXILIAR JURIDICO NOTARIAL</v>
      </c>
      <c r="F263" s="72" t="str">
        <f>IF($K263="","",TRIM(INDEX('Detalle individual'!$C:$C,$K263)))</f>
        <v>DEPARTAMENTO LEGAL</v>
      </c>
      <c r="G263" s="72" t="str">
        <f>IF($K263="","",INDEX('Detalle individual'!$D:$D,$K263))</f>
        <v>Gerencia Legal y Cumplimiento Normativo</v>
      </c>
      <c r="H263" s="13" t="str">
        <f>IF($K263="","",INDEX('Detalle individual'!$F:$F,$K263))</f>
        <v>Completado</v>
      </c>
      <c r="I263" s="20">
        <f>IF($K263="","",IF(INDEX('Detalle individual'!$F:$F,$K263)="Completado",INDEX('Detalle individual'!$H:$H,$K263),""))</f>
        <v>46307.4125462963</v>
      </c>
      <c r="J263" s="21">
        <f>IF($K263="","",IF(INDEX('Detalle individual'!$F:$F,$K263)="Completado",INDEX('Detalle individual'!$J:$J,$K263),""))</f>
        <v>90</v>
      </c>
      <c r="K263">
        <f>IFERROR(MOD(SMALL(Cálculos!$Z$5:$Z$1000,255),10000),"")</f>
        <v>291</v>
      </c>
    </row>
    <row r="264">
      <c r="B264" s="13">
        <f>IF($K264="","",256)</f>
        <v>256</v>
      </c>
      <c r="C264" s="13" t="str">
        <f>IF($K264="","",INDEX('Detalle individual'!$A:$A,$K264))</f>
        <v>843</v>
      </c>
      <c r="D264" s="72" t="str">
        <f>IF($K264="","",TRIM(INDEX('Detalle individual'!$B:$B,$K264)))</f>
        <v>DANIELA MARIA FUENTES MEDINA</v>
      </c>
      <c r="E264" s="72" t="str">
        <f>IF($K264="","",TRIM(INDEX('Detalle individual'!$E:$E,$K264)))</f>
        <v>AUXILIAR JURIDICO DE CONTRATACION</v>
      </c>
      <c r="F264" s="72" t="str">
        <f>IF($K264="","",TRIM(INDEX('Detalle individual'!$C:$C,$K264)))</f>
        <v>DEPARTAMENTO LEGAL</v>
      </c>
      <c r="G264" s="72" t="str">
        <f>IF($K264="","",INDEX('Detalle individual'!$D:$D,$K264))</f>
        <v>Gerencia Legal y Cumplimiento Normativo</v>
      </c>
      <c r="H264" s="13" t="str">
        <f>IF($K264="","",INDEX('Detalle individual'!$F:$F,$K264))</f>
        <v>Completado</v>
      </c>
      <c r="I264" s="20">
        <f>IF($K264="","",IF(INDEX('Detalle individual'!$F:$F,$K264)="Completado",INDEX('Detalle individual'!$H:$H,$K264),""))</f>
        <v>46307.39480324074</v>
      </c>
      <c r="J264" s="21">
        <f>IF($K264="","",IF(INDEX('Detalle individual'!$F:$F,$K264)="Completado",INDEX('Detalle individual'!$J:$J,$K264),""))</f>
        <v>100</v>
      </c>
      <c r="K264">
        <f>IFERROR(MOD(SMALL(Cálculos!$Z$5:$Z$1000,256),10000),"")</f>
        <v>292</v>
      </c>
    </row>
    <row r="265">
      <c r="B265" s="13">
        <f>IF($K265="","",257)</f>
        <v>257</v>
      </c>
      <c r="C265" s="13" t="str">
        <f>IF($K265="","",INDEX('Detalle individual'!$A:$A,$K265))</f>
        <v>893</v>
      </c>
      <c r="D265" s="72" t="str">
        <f>IF($K265="","",TRIM(INDEX('Detalle individual'!$B:$B,$K265)))</f>
        <v>ALEJANDRA MARIA GONZALEZ BENAVIDES</v>
      </c>
      <c r="E265" s="72" t="str">
        <f>IF($K265="","",TRIM(INDEX('Detalle individual'!$E:$E,$K265)))</f>
        <v>AUXILIAR JURIDICO JUDICIAL</v>
      </c>
      <c r="F265" s="72" t="str">
        <f>IF($K265="","",TRIM(INDEX('Detalle individual'!$C:$C,$K265)))</f>
        <v>DEPARTAMENTO LEGAL</v>
      </c>
      <c r="G265" s="72" t="str">
        <f>IF($K265="","",INDEX('Detalle individual'!$D:$D,$K265))</f>
        <v>Gerencia Legal y Cumplimiento Normativo</v>
      </c>
      <c r="H265" s="13" t="str">
        <f>IF($K265="","",INDEX('Detalle individual'!$F:$F,$K265))</f>
        <v>Completado</v>
      </c>
      <c r="I265" s="20">
        <f>IF($K265="","",IF(INDEX('Detalle individual'!$F:$F,$K265)="Completado",INDEX('Detalle individual'!$H:$H,$K265),""))</f>
        <v>46304.703680555554</v>
      </c>
      <c r="J265" s="21">
        <f>IF($K265="","",IF(INDEX('Detalle individual'!$F:$F,$K265)="Completado",INDEX('Detalle individual'!$J:$J,$K265),""))</f>
        <v>100</v>
      </c>
      <c r="K265">
        <f>IFERROR(MOD(SMALL(Cálculos!$Z$5:$Z$1000,257),10000),"")</f>
        <v>293</v>
      </c>
    </row>
    <row r="266">
      <c r="B266" s="13">
        <f>IF($K266="","",258)</f>
        <v>258</v>
      </c>
      <c r="C266" s="13" t="str">
        <f>IF($K266="","",INDEX('Detalle individual'!$A:$A,$K266))</f>
        <v>905</v>
      </c>
      <c r="D266" s="72" t="str">
        <f>IF($K266="","",TRIM(INDEX('Detalle individual'!$B:$B,$K266)))</f>
        <v>CHRISTIAN ENRIQUE CAMPOS PRIVADO</v>
      </c>
      <c r="E266" s="72" t="str">
        <f>IF($K266="","",TRIM(INDEX('Detalle individual'!$E:$E,$K266)))</f>
        <v>ASISTENTE TECNICO LEGAL</v>
      </c>
      <c r="F266" s="72" t="str">
        <f>IF($K266="","",TRIM(INDEX('Detalle individual'!$C:$C,$K266)))</f>
        <v>DEPARTAMENTO LEGAL</v>
      </c>
      <c r="G266" s="72" t="str">
        <f>IF($K266="","",INDEX('Detalle individual'!$D:$D,$K266))</f>
        <v>Gerencia Legal y Cumplimiento Normativo</v>
      </c>
      <c r="H266" s="13" t="str">
        <f>IF($K266="","",INDEX('Detalle individual'!$F:$F,$K266))</f>
        <v>Completado</v>
      </c>
      <c r="I266" s="20">
        <f>IF($K266="","",IF(INDEX('Detalle individual'!$F:$F,$K266)="Completado",INDEX('Detalle individual'!$H:$H,$K266),""))</f>
        <v>46307.645</v>
      </c>
      <c r="J266" s="21">
        <f>IF($K266="","",IF(INDEX('Detalle individual'!$F:$F,$K266)="Completado",INDEX('Detalle individual'!$J:$J,$K266),""))</f>
        <v>100</v>
      </c>
      <c r="K266">
        <f>IFERROR(MOD(SMALL(Cálculos!$Z$5:$Z$1000,258),10000),"")</f>
        <v>294</v>
      </c>
    </row>
    <row r="267">
      <c r="B267" s="13">
        <f>IF($K267="","",259)</f>
        <v>259</v>
      </c>
      <c r="C267" s="13" t="str">
        <f>IF($K267="","",INDEX('Detalle individual'!$A:$A,$K267))</f>
        <v>929</v>
      </c>
      <c r="D267" s="72" t="str">
        <f>IF($K267="","",TRIM(INDEX('Detalle individual'!$B:$B,$K267)))</f>
        <v>GABRIELA LOURDES AREVALO SANCHEZ</v>
      </c>
      <c r="E267" s="72" t="str">
        <f>IF($K267="","",TRIM(INDEX('Detalle individual'!$E:$E,$K267)))</f>
        <v>AUXILIAR JURIDICO DE CONTRATACION</v>
      </c>
      <c r="F267" s="72" t="str">
        <f>IF($K267="","",TRIM(INDEX('Detalle individual'!$C:$C,$K267)))</f>
        <v>DEPARTAMENTO LEGAL</v>
      </c>
      <c r="G267" s="72" t="str">
        <f>IF($K267="","",INDEX('Detalle individual'!$D:$D,$K267))</f>
        <v>Gerencia Legal y Cumplimiento Normativo</v>
      </c>
      <c r="H267" s="13" t="str">
        <f>IF($K267="","",INDEX('Detalle individual'!$F:$F,$K267))</f>
        <v>Completado</v>
      </c>
      <c r="I267" s="20">
        <f>IF($K267="","",IF(INDEX('Detalle individual'!$F:$F,$K267)="Completado",INDEX('Detalle individual'!$H:$H,$K267),""))</f>
        <v>46300.628483796296</v>
      </c>
      <c r="J267" s="21">
        <f>IF($K267="","",IF(INDEX('Detalle individual'!$F:$F,$K267)="Completado",INDEX('Detalle individual'!$J:$J,$K267),""))</f>
        <v>90</v>
      </c>
      <c r="K267">
        <f>IFERROR(MOD(SMALL(Cálculos!$Z$5:$Z$1000,259),10000),"")</f>
        <v>295</v>
      </c>
    </row>
    <row r="268">
      <c r="B268" s="13">
        <f>IF($K268="","",260)</f>
        <v>260</v>
      </c>
      <c r="C268" s="13" t="str">
        <f>IF($K268="","",INDEX('Detalle individual'!$A:$A,$K268))</f>
        <v>349</v>
      </c>
      <c r="D268" s="72" t="str">
        <f>IF($K268="","",TRIM(INDEX('Detalle individual'!$B:$B,$K268)))</f>
        <v>CARLA EUGENIA HERNANDEZ MENJIVAR</v>
      </c>
      <c r="E268" s="72" t="str">
        <f>IF($K268="","",TRIM(INDEX('Detalle individual'!$E:$E,$K268)))</f>
        <v>GERENTE ADMINISTRATIVA</v>
      </c>
      <c r="F268" s="72" t="str">
        <f>IF($K268="","",TRIM(INDEX('Detalle individual'!$C:$C,$K268)))</f>
        <v>GERENCIA ADMINISTRATIVA</v>
      </c>
      <c r="G268" s="72" t="str">
        <f>IF($K268="","",INDEX('Detalle individual'!$D:$D,$K268))</f>
        <v>Gerencia Administrativa</v>
      </c>
      <c r="H268" s="13" t="str">
        <f>IF($K268="","",INDEX('Detalle individual'!$F:$F,$K268))</f>
        <v>Completado</v>
      </c>
      <c r="I268" s="20">
        <f>IF($K268="","",IF(INDEX('Detalle individual'!$F:$F,$K268)="Completado",INDEX('Detalle individual'!$H:$H,$K268),""))</f>
        <v>46297.63836805556</v>
      </c>
      <c r="J268" s="21">
        <f>IF($K268="","",IF(INDEX('Detalle individual'!$F:$F,$K268)="Completado",INDEX('Detalle individual'!$J:$J,$K268),""))</f>
        <v>100</v>
      </c>
      <c r="K268">
        <f>IFERROR(MOD(SMALL(Cálculos!$Z$5:$Z$1000,260),10000),"")</f>
        <v>6</v>
      </c>
    </row>
    <row r="269">
      <c r="B269" s="13">
        <f>IF($K269="","",261)</f>
        <v>261</v>
      </c>
      <c r="C269" s="13" t="str">
        <f>IF($K269="","",INDEX('Detalle individual'!$A:$A,$K269))</f>
        <v>45</v>
      </c>
      <c r="D269" s="72" t="str">
        <f>IF($K269="","",TRIM(INDEX('Detalle individual'!$B:$B,$K269)))</f>
        <v>MARTA LILLIAN VIGIL QUIJANO</v>
      </c>
      <c r="E269" s="72" t="str">
        <f>IF($K269="","",TRIM(INDEX('Detalle individual'!$E:$E,$K269)))</f>
        <v>ASISTENTE ADMINISTRATIVO DE GERENCIA ADMINISTRATIVA</v>
      </c>
      <c r="F269" s="72" t="str">
        <f>IF($K269="","",TRIM(INDEX('Detalle individual'!$C:$C,$K269)))</f>
        <v>GERENCIA ADMINISTRATIVA</v>
      </c>
      <c r="G269" s="72" t="str">
        <f>IF($K269="","",INDEX('Detalle individual'!$D:$D,$K269))</f>
        <v>Gerencia Administrativa</v>
      </c>
      <c r="H269" s="13" t="str">
        <f>IF($K269="","",INDEX('Detalle individual'!$F:$F,$K269))</f>
        <v>Completado</v>
      </c>
      <c r="I269" s="20">
        <f>IF($K269="","",IF(INDEX('Detalle individual'!$F:$F,$K269)="Completado",INDEX('Detalle individual'!$H:$H,$K269),""))</f>
        <v>46307.43666666667</v>
      </c>
      <c r="J269" s="21">
        <f>IF($K269="","",IF(INDEX('Detalle individual'!$F:$F,$K269)="Completado",INDEX('Detalle individual'!$J:$J,$K269),""))</f>
        <v>100</v>
      </c>
      <c r="K269">
        <f>IFERROR(MOD(SMALL(Cálculos!$Z$5:$Z$1000,261),10000),"")</f>
        <v>25</v>
      </c>
    </row>
    <row r="270">
      <c r="B270" s="13">
        <f>IF($K270="","",262)</f>
        <v>262</v>
      </c>
      <c r="C270" s="13" t="str">
        <f>IF($K270="","",INDEX('Detalle individual'!$A:$A,$K270))</f>
        <v>524</v>
      </c>
      <c r="D270" s="72" t="str">
        <f>IF($K270="","",TRIM(INDEX('Detalle individual'!$B:$B,$K270)))</f>
        <v>JOSE AUGUSTO DE LA O GALLEGOS</v>
      </c>
      <c r="E270" s="72" t="str">
        <f>IF($K270="","",TRIM(INDEX('Detalle individual'!$E:$E,$K270)))</f>
        <v>GERENTE DE FINANZAS Y PLANIFICACION</v>
      </c>
      <c r="F270" s="72" t="str">
        <f>IF($K270="","",TRIM(INDEX('Detalle individual'!$C:$C,$K270)))</f>
        <v>GERENCIA DE FINANZAS Y PLANIFICACIÓN</v>
      </c>
      <c r="G270" s="72" t="str">
        <f>IF($K270="","",INDEX('Detalle individual'!$D:$D,$K270))</f>
        <v>Gerencia de Finanzas y Planificación</v>
      </c>
      <c r="H270" s="13" t="str">
        <f>IF($K270="","",INDEX('Detalle individual'!$F:$F,$K270))</f>
        <v>Completado</v>
      </c>
      <c r="I270" s="20">
        <f>IF($K270="","",IF(INDEX('Detalle individual'!$F:$F,$K270)="Completado",INDEX('Detalle individual'!$H:$H,$K270),""))</f>
        <v>46296.429560185185</v>
      </c>
      <c r="J270" s="21">
        <f>IF($K270="","",IF(INDEX('Detalle individual'!$F:$F,$K270)="Completado",INDEX('Detalle individual'!$J:$J,$K270),""))</f>
        <v>100</v>
      </c>
      <c r="K270">
        <f>IFERROR(MOD(SMALL(Cálculos!$Z$5:$Z$1000,262),10000),"")</f>
        <v>8</v>
      </c>
    </row>
    <row r="271">
      <c r="B271" s="13">
        <f>IF($K271="","",263)</f>
        <v>263</v>
      </c>
      <c r="C271" s="13" t="str">
        <f>IF($K271="","",INDEX('Detalle individual'!$A:$A,$K271))</f>
        <v>942</v>
      </c>
      <c r="D271" s="72" t="str">
        <f>IF($K271="","",TRIM(INDEX('Detalle individual'!$B:$B,$K271)))</f>
        <v>PAULA MARIA CALDERON PEREZ</v>
      </c>
      <c r="E271" s="72" t="str">
        <f>IF($K271="","",TRIM(INDEX('Detalle individual'!$E:$E,$K271)))</f>
        <v>ASISTENTE DE GERENCIA DE FINANZAS</v>
      </c>
      <c r="F271" s="72" t="str">
        <f>IF($K271="","",TRIM(INDEX('Detalle individual'!$C:$C,$K271)))</f>
        <v>GERENCIA DE FINANZAS Y PLANIFICACIÓN</v>
      </c>
      <c r="G271" s="72" t="str">
        <f>IF($K271="","",INDEX('Detalle individual'!$D:$D,$K271))</f>
        <v>Gerencia de Finanzas y Planificación</v>
      </c>
      <c r="H271" s="13" t="str">
        <f>IF($K271="","",INDEX('Detalle individual'!$F:$F,$K271))</f>
        <v>Completado</v>
      </c>
      <c r="I271" s="20">
        <f>IF($K271="","",IF(INDEX('Detalle individual'!$F:$F,$K271)="Completado",INDEX('Detalle individual'!$H:$H,$K271),""))</f>
        <v>46305.470555555556</v>
      </c>
      <c r="J271" s="21">
        <f>IF($K271="","",IF(INDEX('Detalle individual'!$F:$F,$K271)="Completado",INDEX('Detalle individual'!$J:$J,$K271),""))</f>
        <v>100</v>
      </c>
      <c r="K271">
        <f>IFERROR(MOD(SMALL(Cálculos!$Z$5:$Z$1000,263),10000),"")</f>
        <v>84</v>
      </c>
    </row>
    <row r="272">
      <c r="B272" s="13">
        <f>IF($K272="","",264)</f>
        <v>264</v>
      </c>
      <c r="C272" s="13" t="str">
        <f>IF($K272="","",INDEX('Detalle individual'!$A:$A,$K272))</f>
        <v>741</v>
      </c>
      <c r="D272" s="72" t="str">
        <f>IF($K272="","",TRIM(INDEX('Detalle individual'!$B:$B,$K272)))</f>
        <v>JOSE HUMBERTO BARILLAS BURGOS</v>
      </c>
      <c r="E272" s="72" t="str">
        <f>IF($K272="","",TRIM(INDEX('Detalle individual'!$E:$E,$K272)))</f>
        <v>GERENTE DE NEGOCIOS</v>
      </c>
      <c r="F272" s="72" t="str">
        <f>IF($K272="","",TRIM(INDEX('Detalle individual'!$C:$C,$K272)))</f>
        <v>GERENCIA DE NEGOCIOS</v>
      </c>
      <c r="G272" s="72" t="str">
        <f>IF($K272="","",INDEX('Detalle individual'!$D:$D,$K272))</f>
        <v>Gerencia de Negocios</v>
      </c>
      <c r="H272" s="13" t="str">
        <f>IF($K272="","",INDEX('Detalle individual'!$F:$F,$K272))</f>
        <v>Completado</v>
      </c>
      <c r="I272" s="20">
        <f>IF($K272="","",IF(INDEX('Detalle individual'!$F:$F,$K272)="Completado",INDEX('Detalle individual'!$H:$H,$K272),""))</f>
        <v>46310.61981481482</v>
      </c>
      <c r="J272" s="21">
        <f>IF($K272="","",IF(INDEX('Detalle individual'!$F:$F,$K272)="Completado",INDEX('Detalle individual'!$J:$J,$K272),""))</f>
        <v>100</v>
      </c>
      <c r="K272">
        <f>IFERROR(MOD(SMALL(Cálculos!$Z$5:$Z$1000,264),10000),"")</f>
        <v>11</v>
      </c>
    </row>
    <row r="273">
      <c r="B273" s="13">
        <f>IF($K273="","",265)</f>
        <v>265</v>
      </c>
      <c r="C273" s="13" t="str">
        <f>IF($K273="","",INDEX('Detalle individual'!$A:$A,$K273))</f>
        <v>583</v>
      </c>
      <c r="D273" s="72" t="str">
        <f>IF($K273="","",TRIM(INDEX('Detalle individual'!$B:$B,$K273)))</f>
        <v>HECTOR JOSE MENJIVAR SOMOZA</v>
      </c>
      <c r="E273" s="72" t="str">
        <f>IF($K273="","",TRIM(INDEX('Detalle individual'!$E:$E,$K273)))</f>
        <v>ANALISTA DE INTELIGENCIA DE NEGOCIOS</v>
      </c>
      <c r="F273" s="72" t="str">
        <f>IF($K273="","",TRIM(INDEX('Detalle individual'!$C:$C,$K273)))</f>
        <v>GERENCIA DE NEGOCIOS</v>
      </c>
      <c r="G273" s="72" t="str">
        <f>IF($K273="","",INDEX('Detalle individual'!$D:$D,$K273))</f>
        <v>Gerencia de Negocios</v>
      </c>
      <c r="H273" s="13" t="str">
        <f>IF($K273="","",INDEX('Detalle individual'!$F:$F,$K273))</f>
        <v>Completado</v>
      </c>
      <c r="I273" s="20">
        <f>IF($K273="","",IF(INDEX('Detalle individual'!$F:$F,$K273)="Completado",INDEX('Detalle individual'!$H:$H,$K273),""))</f>
        <v>46296.48710648148</v>
      </c>
      <c r="J273" s="21">
        <f>IF($K273="","",IF(INDEX('Detalle individual'!$F:$F,$K273)="Completado",INDEX('Detalle individual'!$J:$J,$K273),""))</f>
        <v>100</v>
      </c>
      <c r="K273">
        <f>IFERROR(MOD(SMALL(Cálculos!$Z$5:$Z$1000,265),10000),"")</f>
        <v>136</v>
      </c>
    </row>
    <row r="274">
      <c r="B274" s="13">
        <f>IF($K274="","",266)</f>
        <v>266</v>
      </c>
      <c r="C274" s="13" t="str">
        <f>IF($K274="","",INDEX('Detalle individual'!$A:$A,$K274))</f>
        <v>633</v>
      </c>
      <c r="D274" s="72" t="str">
        <f>IF($K274="","",TRIM(INDEX('Detalle individual'!$B:$B,$K274)))</f>
        <v>VICTOR ADONAY PEREZ CASTILLO</v>
      </c>
      <c r="E274" s="72" t="str">
        <f>IF($K274="","",TRIM(INDEX('Detalle individual'!$E:$E,$K274)))</f>
        <v>ASISTENTE PARA CANALES ELECTRONICOS Y OPERACIONES EN AGENCIA</v>
      </c>
      <c r="F274" s="72" t="str">
        <f>IF($K274="","",TRIM(INDEX('Detalle individual'!$C:$C,$K274)))</f>
        <v>GERENCIA DE NEGOCIOS</v>
      </c>
      <c r="G274" s="72" t="str">
        <f>IF($K274="","",INDEX('Detalle individual'!$D:$D,$K274))</f>
        <v>Gerencia de Negocios</v>
      </c>
      <c r="H274" s="13" t="str">
        <f>IF($K274="","",INDEX('Detalle individual'!$F:$F,$K274))</f>
        <v>Completado</v>
      </c>
      <c r="I274" s="20">
        <f>IF($K274="","",IF(INDEX('Detalle individual'!$F:$F,$K274)="Completado",INDEX('Detalle individual'!$H:$H,$K274),""))</f>
        <v>46296.453680555554</v>
      </c>
      <c r="J274" s="21">
        <f>IF($K274="","",IF(INDEX('Detalle individual'!$F:$F,$K274)="Completado",INDEX('Detalle individual'!$J:$J,$K274),""))</f>
        <v>100</v>
      </c>
      <c r="K274">
        <f>IFERROR(MOD(SMALL(Cálculos!$Z$5:$Z$1000,266),10000),"")</f>
        <v>137</v>
      </c>
    </row>
    <row r="275">
      <c r="B275" s="13">
        <f>IF($K275="","",267)</f>
        <v>267</v>
      </c>
      <c r="C275" s="13" t="str">
        <f>IF($K275="","",INDEX('Detalle individual'!$A:$A,$K275))</f>
        <v>782</v>
      </c>
      <c r="D275" s="72" t="str">
        <f>IF($K275="","",TRIM(INDEX('Detalle individual'!$B:$B,$K275)))</f>
        <v>WANDA ILIANA MORENO QUINTEROS</v>
      </c>
      <c r="E275" s="72" t="str">
        <f>IF($K275="","",TRIM(INDEX('Detalle individual'!$E:$E,$K275)))</f>
        <v>ADMINISTRADOR DE PLATAFORMAS Y TRANSFORMACION DIGITAL DE CRE</v>
      </c>
      <c r="F275" s="72" t="str">
        <f>IF($K275="","",TRIM(INDEX('Detalle individual'!$C:$C,$K275)))</f>
        <v>GERENCIA DE NEGOCIOS</v>
      </c>
      <c r="G275" s="72" t="str">
        <f>IF($K275="","",INDEX('Detalle individual'!$D:$D,$K275))</f>
        <v>Gerencia de Negocios</v>
      </c>
      <c r="H275" s="13" t="str">
        <f>IF($K275="","",INDEX('Detalle individual'!$F:$F,$K275))</f>
        <v>Completado</v>
      </c>
      <c r="I275" s="20">
        <f>IF($K275="","",IF(INDEX('Detalle individual'!$F:$F,$K275)="Completado",INDEX('Detalle individual'!$H:$H,$K275),""))</f>
        <v>46301.440300925926</v>
      </c>
      <c r="J275" s="21">
        <f>IF($K275="","",IF(INDEX('Detalle individual'!$F:$F,$K275)="Completado",INDEX('Detalle individual'!$J:$J,$K275),""))</f>
        <v>100</v>
      </c>
      <c r="K275">
        <f>IFERROR(MOD(SMALL(Cálculos!$Z$5:$Z$1000,267),10000),"")</f>
        <v>138</v>
      </c>
    </row>
    <row r="276">
      <c r="B276" s="13">
        <f>IF($K276="","",268)</f>
        <v>268</v>
      </c>
      <c r="C276" s="13" t="str">
        <f>IF($K276="","",INDEX('Detalle individual'!$A:$A,$K276))</f>
        <v>41</v>
      </c>
      <c r="D276" s="72" t="str">
        <f>IF($K276="","",TRIM(INDEX('Detalle individual'!$B:$B,$K276)))</f>
        <v>ROQUE RAFAEL REYES ESPINAL</v>
      </c>
      <c r="E276" s="72" t="str">
        <f>IF($K276="","",TRIM(INDEX('Detalle individual'!$E:$E,$K276)))</f>
        <v>GERENTE DE OPERACIONES</v>
      </c>
      <c r="F276" s="72" t="str">
        <f>IF($K276="","",TRIM(INDEX('Detalle individual'!$C:$C,$K276)))</f>
        <v>GERENCIA DE OPERACIONES</v>
      </c>
      <c r="G276" s="72" t="str">
        <f>IF($K276="","",INDEX('Detalle individual'!$D:$D,$K276))</f>
        <v>Gerencia de Operaciones</v>
      </c>
      <c r="H276" s="13" t="str">
        <f>IF($K276="","",INDEX('Detalle individual'!$F:$F,$K276))</f>
        <v>Completado</v>
      </c>
      <c r="I276" s="20">
        <f>IF($K276="","",IF(INDEX('Detalle individual'!$F:$F,$K276)="Completado",INDEX('Detalle individual'!$H:$H,$K276),""))</f>
        <v>46311.81412037037</v>
      </c>
      <c r="J276" s="21">
        <f>IF($K276="","",IF(INDEX('Detalle individual'!$F:$F,$K276)="Completado",INDEX('Detalle individual'!$J:$J,$K276),""))</f>
        <v>100</v>
      </c>
      <c r="K276">
        <f>IFERROR(MOD(SMALL(Cálculos!$Z$5:$Z$1000,268),10000),"")</f>
        <v>7</v>
      </c>
    </row>
    <row r="277">
      <c r="B277" s="13">
        <f>IF($K277="","",269)</f>
        <v>269</v>
      </c>
      <c r="C277" s="13" t="str">
        <f>IF($K277="","",INDEX('Detalle individual'!$A:$A,$K277))</f>
        <v>878</v>
      </c>
      <c r="D277" s="72" t="str">
        <f>IF($K277="","",TRIM(INDEX('Detalle individual'!$B:$B,$K277)))</f>
        <v>ALEX VIRGILIO AGUILAR ARIAS</v>
      </c>
      <c r="E277" s="72" t="str">
        <f>IF($K277="","",TRIM(INDEX('Detalle individual'!$E:$E,$K277)))</f>
        <v>GERENTE DE SISTEMAS</v>
      </c>
      <c r="F277" s="72" t="str">
        <f>IF($K277="","",TRIM(INDEX('Detalle individual'!$C:$C,$K277)))</f>
        <v>GERENCIA DE SISTEMAS</v>
      </c>
      <c r="G277" s="72" t="str">
        <f>IF($K277="","",INDEX('Detalle individual'!$D:$D,$K277))</f>
        <v>Gerencia de Sistemas</v>
      </c>
      <c r="H277" s="13" t="str">
        <f>IF($K277="","",INDEX('Detalle individual'!$F:$F,$K277))</f>
        <v>Completado</v>
      </c>
      <c r="I277" s="20">
        <f>IF($K277="","",IF(INDEX('Detalle individual'!$F:$F,$K277)="Completado",INDEX('Detalle individual'!$H:$H,$K277),""))</f>
        <v>46310.696747685186</v>
      </c>
      <c r="J277" s="21">
        <f>IF($K277="","",IF(INDEX('Detalle individual'!$F:$F,$K277)="Completado",INDEX('Detalle individual'!$J:$J,$K277),""))</f>
        <v>100</v>
      </c>
      <c r="K277">
        <f>IFERROR(MOD(SMALL(Cálculos!$Z$5:$Z$1000,269),10000),"")</f>
        <v>9</v>
      </c>
    </row>
    <row r="278">
      <c r="B278" s="13">
        <f>IF($K278="","",270)</f>
        <v>270</v>
      </c>
      <c r="C278" s="13" t="str">
        <f>IF($K278="","",INDEX('Detalle individual'!$A:$A,$K278))</f>
        <v>393</v>
      </c>
      <c r="D278" s="72" t="str">
        <f>IF($K278="","",TRIM(INDEX('Detalle individual'!$B:$B,$K278)))</f>
        <v>FLOR MARISELA TORRES VELASQUEZ</v>
      </c>
      <c r="E278" s="72" t="str">
        <f>IF($K278="","",TRIM(INDEX('Detalle individual'!$E:$E,$K278)))</f>
        <v>LIDER DE PROYECTOS TECNOLOGICOS</v>
      </c>
      <c r="F278" s="72" t="str">
        <f>IF($K278="","",TRIM(INDEX('Detalle individual'!$C:$C,$K278)))</f>
        <v>GERENCIA DE SISTEMAS</v>
      </c>
      <c r="G278" s="72" t="str">
        <f>IF($K278="","",INDEX('Detalle individual'!$D:$D,$K278))</f>
        <v>Gerencia de Sistemas</v>
      </c>
      <c r="H278" s="13" t="str">
        <f>IF($K278="","",INDEX('Detalle individual'!$F:$F,$K278))</f>
        <v>Completado</v>
      </c>
      <c r="I278" s="20">
        <f>IF($K278="","",IF(INDEX('Detalle individual'!$F:$F,$K278)="Completado",INDEX('Detalle individual'!$H:$H,$K278),""))</f>
        <v>46307.48341435185</v>
      </c>
      <c r="J278" s="21">
        <f>IF($K278="","",IF(INDEX('Detalle individual'!$F:$F,$K278)="Completado",INDEX('Detalle individual'!$J:$J,$K278),""))</f>
        <v>100</v>
      </c>
      <c r="K278">
        <f>IFERROR(MOD(SMALL(Cálculos!$Z$5:$Z$1000,270),10000),"")</f>
        <v>101</v>
      </c>
    </row>
    <row r="279">
      <c r="B279" s="13">
        <f>IF($K279="","",271)</f>
        <v>271</v>
      </c>
      <c r="C279" s="13" t="str">
        <f>IF($K279="","",INDEX('Detalle individual'!$A:$A,$K279))</f>
        <v>804</v>
      </c>
      <c r="D279" s="72" t="str">
        <f>IF($K279="","",TRIM(INDEX('Detalle individual'!$B:$B,$K279)))</f>
        <v>FERMIN ABIEL VIERA LINARES</v>
      </c>
      <c r="E279" s="72" t="str">
        <f>IF($K279="","",TRIM(INDEX('Detalle individual'!$E:$E,$K279)))</f>
        <v>ANALISTA DE CAMBIOS Y SEGURIDAD</v>
      </c>
      <c r="F279" s="72" t="str">
        <f>IF($K279="","",TRIM(INDEX('Detalle individual'!$C:$C,$K279)))</f>
        <v>GERENCIA DE SISTEMAS</v>
      </c>
      <c r="G279" s="72" t="str">
        <f>IF($K279="","",INDEX('Detalle individual'!$D:$D,$K279))</f>
        <v>Gerencia de Sistemas</v>
      </c>
      <c r="H279" s="13" t="str">
        <f>IF($K279="","",INDEX('Detalle individual'!$F:$F,$K279))</f>
        <v>Completado</v>
      </c>
      <c r="I279" s="20">
        <f>IF($K279="","",IF(INDEX('Detalle individual'!$F:$F,$K279)="Completado",INDEX('Detalle individual'!$H:$H,$K279),""))</f>
        <v>46304.407905092594</v>
      </c>
      <c r="J279" s="21">
        <f>IF($K279="","",IF(INDEX('Detalle individual'!$F:$F,$K279)="Completado",INDEX('Detalle individual'!$J:$J,$K279),""))</f>
        <v>100</v>
      </c>
      <c r="K279">
        <f>IFERROR(MOD(SMALL(Cálculos!$Z$5:$Z$1000,271),10000),"")</f>
        <v>102</v>
      </c>
    </row>
    <row r="280">
      <c r="B280" s="13">
        <f>IF($K280="","",272)</f>
        <v>272</v>
      </c>
      <c r="C280" s="13" t="str">
        <f>IF($K280="","",INDEX('Detalle individual'!$A:$A,$K280))</f>
        <v>883</v>
      </c>
      <c r="D280" s="72" t="str">
        <f>IF($K280="","",TRIM(INDEX('Detalle individual'!$B:$B,$K280)))</f>
        <v>ISMAEL HUMBERTO GUERRERO FLORES</v>
      </c>
      <c r="E280" s="72" t="str">
        <f>IF($K280="","",TRIM(INDEX('Detalle individual'!$E:$E,$K280)))</f>
        <v>ADMINISTRADOR DE SEGURIDAD INFORMATICA</v>
      </c>
      <c r="F280" s="72" t="str">
        <f>IF($K280="","",TRIM(INDEX('Detalle individual'!$C:$C,$K280)))</f>
        <v>GERENCIA DE SISTEMAS</v>
      </c>
      <c r="G280" s="72" t="str">
        <f>IF($K280="","",INDEX('Detalle individual'!$D:$D,$K280))</f>
        <v>Gerencia de Sistemas</v>
      </c>
      <c r="H280" s="13" t="str">
        <f>IF($K280="","",INDEX('Detalle individual'!$F:$F,$K280))</f>
        <v>Completado</v>
      </c>
      <c r="I280" s="20">
        <f>IF($K280="","",IF(INDEX('Detalle individual'!$F:$F,$K280)="Completado",INDEX('Detalle individual'!$H:$H,$K280),""))</f>
        <v>46300.58474537037</v>
      </c>
      <c r="J280" s="21">
        <f>IF($K280="","",IF(INDEX('Detalle individual'!$F:$F,$K280)="Completado",INDEX('Detalle individual'!$J:$J,$K280),""))</f>
        <v>95</v>
      </c>
      <c r="K280">
        <f>IFERROR(MOD(SMALL(Cálculos!$Z$5:$Z$1000,272),10000),"")</f>
        <v>103</v>
      </c>
    </row>
    <row r="281">
      <c r="B281" s="13">
        <f>IF($K281="","",273)</f>
        <v>273</v>
      </c>
      <c r="C281" s="13" t="str">
        <f>IF($K281="","",INDEX('Detalle individual'!$A:$A,$K281))</f>
        <v>977</v>
      </c>
      <c r="D281" s="72" t="str">
        <f>IF($K281="","",TRIM(INDEX('Detalle individual'!$B:$B,$K281)))</f>
        <v>NELSON ULISES CAMPOS FLORES</v>
      </c>
      <c r="E281" s="72" t="str">
        <f>IF($K281="","",TRIM(INDEX('Detalle individual'!$E:$E,$K281)))</f>
        <v>GERENTE GENERAL</v>
      </c>
      <c r="F281" s="72" t="str">
        <f>IF($K281="","",TRIM(INDEX('Detalle individual'!$C:$C,$K281)))</f>
        <v>GERENCIA GENERAL</v>
      </c>
      <c r="G281" s="72" t="str">
        <f>IF($K281="","",INDEX('Detalle individual'!$D:$D,$K281))</f>
        <v>Gerencia General</v>
      </c>
      <c r="H281" s="13" t="str">
        <f>IF($K281="","",INDEX('Detalle individual'!$F:$F,$K281))</f>
        <v>Completado</v>
      </c>
      <c r="I281" s="20" t="str">
        <f>IF($K281="","",IF(INDEX('Detalle individual'!$F:$F,$K281)="Completado",INDEX('Detalle individual'!$H:$H,$K281),""))</f>
        <v/>
      </c>
      <c r="J281" s="21" t="str">
        <f>IF($K281="","",IF(INDEX('Detalle individual'!$F:$F,$K281)="Completado",INDEX('Detalle individual'!$J:$J,$K281),""))</f>
        <v/>
      </c>
      <c r="K281">
        <f>IFERROR(MOD(SMALL(Cálculos!$Z$5:$Z$1000,273),10000),"")</f>
        <v>5</v>
      </c>
    </row>
    <row r="282">
      <c r="B282" s="13">
        <f>IF($K282="","",274)</f>
        <v>274</v>
      </c>
      <c r="C282" s="13" t="str">
        <f>IF($K282="","",INDEX('Detalle individual'!$A:$A,$K282))</f>
        <v>17</v>
      </c>
      <c r="D282" s="72" t="str">
        <f>IF($K282="","",TRIM(INDEX('Detalle individual'!$B:$B,$K282)))</f>
        <v>ANTONIA SARAI BELTRAN CARBALLO</v>
      </c>
      <c r="E282" s="72" t="str">
        <f>IF($K282="","",TRIM(INDEX('Detalle individual'!$E:$E,$K282)))</f>
        <v>ASISTENTE ADMINISTRATIVO DE GERENCIA GENERAL</v>
      </c>
      <c r="F282" s="72" t="str">
        <f>IF($K282="","",TRIM(INDEX('Detalle individual'!$C:$C,$K282)))</f>
        <v>GERENCIA GENERAL</v>
      </c>
      <c r="G282" s="72" t="str">
        <f>IF($K282="","",INDEX('Detalle individual'!$D:$D,$K282))</f>
        <v>Gerencia General</v>
      </c>
      <c r="H282" s="13" t="str">
        <f>IF($K282="","",INDEX('Detalle individual'!$F:$F,$K282))</f>
        <v>Completado</v>
      </c>
      <c r="I282" s="20">
        <f>IF($K282="","",IF(INDEX('Detalle individual'!$F:$F,$K282)="Completado",INDEX('Detalle individual'!$H:$H,$K282),""))</f>
        <v>46305.40980324074</v>
      </c>
      <c r="J282" s="21">
        <f>IF($K282="","",IF(INDEX('Detalle individual'!$F:$F,$K282)="Completado",INDEX('Detalle individual'!$J:$J,$K282),""))</f>
        <v>100</v>
      </c>
      <c r="K282">
        <f>IFERROR(MOD(SMALL(Cálculos!$Z$5:$Z$1000,274),10000),"")</f>
        <v>13</v>
      </c>
    </row>
    <row r="283">
      <c r="B283" s="13">
        <f>IF($K283="","",275)</f>
        <v>275</v>
      </c>
      <c r="C283" s="13" t="str">
        <f>IF($K283="","",INDEX('Detalle individual'!$A:$A,$K283))</f>
        <v>570</v>
      </c>
      <c r="D283" s="72" t="str">
        <f>IF($K283="","",TRIM(INDEX('Detalle individual'!$B:$B,$K283)))</f>
        <v>ANDREA VICTORIA MAYORGA RODRIGUEZ</v>
      </c>
      <c r="E283" s="72" t="str">
        <f>IF($K283="","",TRIM(INDEX('Detalle individual'!$E:$E,$K283)))</f>
        <v>GERENTE LEGAL Y DE CUMPLIMIENTO NORMATIVO</v>
      </c>
      <c r="F283" s="72" t="str">
        <f>IF($K283="","",TRIM(INDEX('Detalle individual'!$C:$C,$K283)))</f>
        <v>GERENCIA LEGAL Y DE CUMPLIMIENTO NORMATIVO</v>
      </c>
      <c r="G283" s="72" t="str">
        <f>IF($K283="","",INDEX('Detalle individual'!$D:$D,$K283))</f>
        <v>Gerencia Legal y Cumplimiento Normativo</v>
      </c>
      <c r="H283" s="13" t="str">
        <f>IF($K283="","",INDEX('Detalle individual'!$F:$F,$K283))</f>
        <v>Completado</v>
      </c>
      <c r="I283" s="20">
        <f>IF($K283="","",IF(INDEX('Detalle individual'!$F:$F,$K283)="Completado",INDEX('Detalle individual'!$H:$H,$K283),""))</f>
        <v>46304.69452546296</v>
      </c>
      <c r="J283" s="21">
        <f>IF($K283="","",IF(INDEX('Detalle individual'!$F:$F,$K283)="Completado",INDEX('Detalle individual'!$J:$J,$K283),""))</f>
        <v>100</v>
      </c>
      <c r="K283">
        <f>IFERROR(MOD(SMALL(Cálculos!$Z$5:$Z$1000,275),10000),"")</f>
        <v>12</v>
      </c>
    </row>
    <row r="284">
      <c r="B284" s="13">
        <f>IF($K284="","",276)</f>
        <v>276</v>
      </c>
      <c r="C284" s="13" t="str">
        <f>IF($K284="","",INDEX('Detalle individual'!$A:$A,$K284))</f>
        <v>862</v>
      </c>
      <c r="D284" s="72" t="str">
        <f>IF($K284="","",TRIM(INDEX('Detalle individual'!$B:$B,$K284)))</f>
        <v>GEORGI ROBERTO CASTILLO CHACON</v>
      </c>
      <c r="E284" s="72" t="str">
        <f>IF($K284="","",TRIM(INDEX('Detalle individual'!$E:$E,$K284)))</f>
        <v>GERENTE DE OFICIALIA DE CUMPLIMIENTO</v>
      </c>
      <c r="F284" s="72" t="str">
        <f>IF($K284="","",TRIM(INDEX('Detalle individual'!$C:$C,$K284)))</f>
        <v>OFICIALIA DE CUMPLIMIENTO</v>
      </c>
      <c r="G284" s="72" t="str">
        <f>IF($K284="","",INDEX('Detalle individual'!$D:$D,$K284))</f>
        <v>Gerencia de Oficialía de Cumplimiento</v>
      </c>
      <c r="H284" s="13" t="str">
        <f>IF($K284="","",INDEX('Detalle individual'!$F:$F,$K284))</f>
        <v>Completado</v>
      </c>
      <c r="I284" s="20">
        <f>IF($K284="","",IF(INDEX('Detalle individual'!$F:$F,$K284)="Completado",INDEX('Detalle individual'!$H:$H,$K284),""))</f>
        <v>46296.47738425926</v>
      </c>
      <c r="J284" s="21">
        <f>IF($K284="","",IF(INDEX('Detalle individual'!$F:$F,$K284)="Completado",INDEX('Detalle individual'!$J:$J,$K284),""))</f>
        <v>100</v>
      </c>
      <c r="K284">
        <f>IFERROR(MOD(SMALL(Cálculos!$Z$5:$Z$1000,276),10000),"")</f>
        <v>10</v>
      </c>
    </row>
    <row r="285">
      <c r="B285" s="13">
        <f>IF($K285="","",277)</f>
        <v>277</v>
      </c>
      <c r="C285" s="13" t="str">
        <f>IF($K285="","",INDEX('Detalle individual'!$A:$A,$K285))</f>
        <v>443</v>
      </c>
      <c r="D285" s="72" t="str">
        <f>IF($K285="","",TRIM(INDEX('Detalle individual'!$B:$B,$K285)))</f>
        <v>JOSSELINE LIZBETH VENTURA RIVAS</v>
      </c>
      <c r="E285" s="72" t="str">
        <f>IF($K285="","",TRIM(INDEX('Detalle individual'!$E:$E,$K285)))</f>
        <v>ANALISTA DE CUMPLIMIENTO</v>
      </c>
      <c r="F285" s="72" t="str">
        <f>IF($K285="","",TRIM(INDEX('Detalle individual'!$C:$C,$K285)))</f>
        <v>OFICIALIA DE CUMPLIMIENTO</v>
      </c>
      <c r="G285" s="72" t="str">
        <f>IF($K285="","",INDEX('Detalle individual'!$D:$D,$K285))</f>
        <v>Gerencia de Oficialía de Cumplimiento</v>
      </c>
      <c r="H285" s="13" t="str">
        <f>IF($K285="","",INDEX('Detalle individual'!$F:$F,$K285))</f>
        <v>Completado</v>
      </c>
      <c r="I285" s="20">
        <f>IF($K285="","",IF(INDEX('Detalle individual'!$F:$F,$K285)="Completado",INDEX('Detalle individual'!$H:$H,$K285),""))</f>
        <v>46296.491481481484</v>
      </c>
      <c r="J285" s="21">
        <f>IF($K285="","",IF(INDEX('Detalle individual'!$F:$F,$K285)="Completado",INDEX('Detalle individual'!$J:$J,$K285),""))</f>
        <v>100</v>
      </c>
      <c r="K285">
        <f>IFERROR(MOD(SMALL(Cálculos!$Z$5:$Z$1000,277),10000),"")</f>
        <v>130</v>
      </c>
    </row>
    <row r="286">
      <c r="B286" s="13">
        <f>IF($K286="","",278)</f>
        <v>278</v>
      </c>
      <c r="C286" s="13" t="str">
        <f>IF($K286="","",INDEX('Detalle individual'!$A:$A,$K286))</f>
        <v>860</v>
      </c>
      <c r="D286" s="72" t="str">
        <f>IF($K286="","",TRIM(INDEX('Detalle individual'!$B:$B,$K286)))</f>
        <v>JOHANNA LISSETH ROMERO RIVAS</v>
      </c>
      <c r="E286" s="72" t="str">
        <f>IF($K286="","",TRIM(INDEX('Detalle individual'!$E:$E,$K286)))</f>
        <v>ANALISTA DE OFICIALIA DE CUMPLIMIENTO Y OFICIAL DE CUMPLIMIE</v>
      </c>
      <c r="F286" s="72" t="str">
        <f>IF($K286="","",TRIM(INDEX('Detalle individual'!$C:$C,$K286)))</f>
        <v>OFICIALIA DE CUMPLIMIENTO</v>
      </c>
      <c r="G286" s="72" t="str">
        <f>IF($K286="","",INDEX('Detalle individual'!$D:$D,$K286))</f>
        <v>Gerencia de Oficialía de Cumplimiento</v>
      </c>
      <c r="H286" s="13" t="str">
        <f>IF($K286="","",INDEX('Detalle individual'!$F:$F,$K286))</f>
        <v>Completado</v>
      </c>
      <c r="I286" s="20">
        <f>IF($K286="","",IF(INDEX('Detalle individual'!$F:$F,$K286)="Completado",INDEX('Detalle individual'!$H:$H,$K286),""))</f>
        <v>46296.48637731482</v>
      </c>
      <c r="J286" s="21">
        <f>IF($K286="","",IF(INDEX('Detalle individual'!$F:$F,$K286)="Completado",INDEX('Detalle individual'!$J:$J,$K286),""))</f>
        <v>100</v>
      </c>
      <c r="K286">
        <f>IFERROR(MOD(SMALL(Cálculos!$Z$5:$Z$1000,278),10000),"")</f>
        <v>131</v>
      </c>
    </row>
    <row r="287">
      <c r="B287" s="13">
        <f>IF($K287="","",279)</f>
        <v>279</v>
      </c>
      <c r="C287" s="13" t="str">
        <f>IF($K287="","",INDEX('Detalle individual'!$A:$A,$K287))</f>
        <v>914</v>
      </c>
      <c r="D287" s="72" t="str">
        <f>IF($K287="","",TRIM(INDEX('Detalle individual'!$B:$B,$K287)))</f>
        <v>FIDEL ISAIAS CASTELLON CALVIO</v>
      </c>
      <c r="E287" s="72" t="str">
        <f>IF($K287="","",TRIM(INDEX('Detalle individual'!$E:$E,$K287)))</f>
        <v>ADMINISTRADOR DE MONITOR PLUS Y ANALISTA DE CUMPLIMIENTO</v>
      </c>
      <c r="F287" s="72" t="str">
        <f>IF($K287="","",TRIM(INDEX('Detalle individual'!$C:$C,$K287)))</f>
        <v>OFICIALIA DE CUMPLIMIENTO</v>
      </c>
      <c r="G287" s="72" t="str">
        <f>IF($K287="","",INDEX('Detalle individual'!$D:$D,$K287))</f>
        <v>Gerencia de Oficialía de Cumplimiento</v>
      </c>
      <c r="H287" s="13" t="str">
        <f>IF($K287="","",INDEX('Detalle individual'!$F:$F,$K287))</f>
        <v>Completado</v>
      </c>
      <c r="I287" s="20">
        <f>IF($K287="","",IF(INDEX('Detalle individual'!$F:$F,$K287)="Completado",INDEX('Detalle individual'!$H:$H,$K287),""))</f>
        <v>46296.47803240741</v>
      </c>
      <c r="J287" s="21">
        <f>IF($K287="","",IF(INDEX('Detalle individual'!$F:$F,$K287)="Completado",INDEX('Detalle individual'!$J:$J,$K287),""))</f>
        <v>100</v>
      </c>
      <c r="K287">
        <f>IFERROR(MOD(SMALL(Cálculos!$Z$5:$Z$1000,279),10000),"")</f>
        <v>132</v>
      </c>
    </row>
    <row r="288">
      <c r="B288" s="13">
        <f>IF($K288="","",280)</f>
        <v>280</v>
      </c>
      <c r="C288" s="13" t="str">
        <f>IF($K288="","",INDEX('Detalle individual'!$A:$A,$K288))</f>
        <v>983</v>
      </c>
      <c r="D288" s="72" t="str">
        <f>IF($K288="","",TRIM(INDEX('Detalle individual'!$B:$B,$K288)))</f>
        <v>LILIAN LISET MAGAÑA SANTOS</v>
      </c>
      <c r="E288" s="72" t="str">
        <f>IF($K288="","",TRIM(INDEX('Detalle individual'!$E:$E,$K288)))</f>
        <v>PASANTE</v>
      </c>
      <c r="F288" s="72" t="str">
        <f>IF($K288="","",TRIM(INDEX('Detalle individual'!$C:$C,$K288)))</f>
        <v>OFICIALIA DE CUMPLIMIENTO</v>
      </c>
      <c r="G288" s="72" t="str">
        <f>IF($K288="","",INDEX('Detalle individual'!$D:$D,$K288))</f>
        <v>Gerencia de Oficialía de Cumplimiento</v>
      </c>
      <c r="H288" s="13" t="str">
        <f>IF($K288="","",INDEX('Detalle individual'!$F:$F,$K288))</f>
        <v>Completado</v>
      </c>
      <c r="I288" s="20">
        <f>IF($K288="","",IF(INDEX('Detalle individual'!$F:$F,$K288)="Completado",INDEX('Detalle individual'!$H:$H,$K288),""))</f>
        <v>46296.49747685185</v>
      </c>
      <c r="J288" s="21">
        <f>IF($K288="","",IF(INDEX('Detalle individual'!$F:$F,$K288)="Completado",INDEX('Detalle individual'!$J:$J,$K288),""))</f>
        <v>100</v>
      </c>
      <c r="K288">
        <f>IFERROR(MOD(SMALL(Cálculos!$Z$5:$Z$1000,280),10000),"")</f>
        <v>133</v>
      </c>
    </row>
    <row r="289">
      <c r="B289" s="13">
        <f>IF($K289="","",281)</f>
        <v>281</v>
      </c>
      <c r="C289" s="13" t="str">
        <f>IF($K289="","",INDEX('Detalle individual'!$A:$A,$K289))</f>
        <v>984</v>
      </c>
      <c r="D289" s="72" t="str">
        <f>IF($K289="","",TRIM(INDEX('Detalle individual'!$B:$B,$K289)))</f>
        <v>NICO EDUARDO CIUDAD REAL MOOIJ</v>
      </c>
      <c r="E289" s="72" t="str">
        <f>IF($K289="","",TRIM(INDEX('Detalle individual'!$E:$E,$K289)))</f>
        <v>PASANTE</v>
      </c>
      <c r="F289" s="72" t="str">
        <f>IF($K289="","",TRIM(INDEX('Detalle individual'!$C:$C,$K289)))</f>
        <v>OFICIALIA DE CUMPLIMIENTO</v>
      </c>
      <c r="G289" s="72" t="str">
        <f>IF($K289="","",INDEX('Detalle individual'!$D:$D,$K289))</f>
        <v>Gerencia de Oficialía de Cumplimiento</v>
      </c>
      <c r="H289" s="13" t="str">
        <f>IF($K289="","",INDEX('Detalle individual'!$F:$F,$K289))</f>
        <v>Completado</v>
      </c>
      <c r="I289" s="20">
        <f>IF($K289="","",IF(INDEX('Detalle individual'!$F:$F,$K289)="Completado",INDEX('Detalle individual'!$H:$H,$K289),""))</f>
        <v>46296.48002314815</v>
      </c>
      <c r="J289" s="21">
        <f>IF($K289="","",IF(INDEX('Detalle individual'!$F:$F,$K289)="Completado",INDEX('Detalle individual'!$J:$J,$K289),""))</f>
        <v>100</v>
      </c>
      <c r="K289">
        <f>IFERROR(MOD(SMALL(Cálculos!$Z$5:$Z$1000,281),10000),"")</f>
        <v>134</v>
      </c>
    </row>
    <row r="290">
      <c r="B290" s="13">
        <f>IF($K290="","",282)</f>
        <v>282</v>
      </c>
      <c r="C290" s="13" t="str">
        <f>IF($K290="","",INDEX('Detalle individual'!$A:$A,$K290))</f>
        <v>985</v>
      </c>
      <c r="D290" s="72" t="str">
        <f>IF($K290="","",TRIM(INDEX('Detalle individual'!$B:$B,$K290)))</f>
        <v>JORGE MATEO GUTIERREZ FLORES</v>
      </c>
      <c r="E290" s="72" t="str">
        <f>IF($K290="","",TRIM(INDEX('Detalle individual'!$E:$E,$K290)))</f>
        <v>PASANTE</v>
      </c>
      <c r="F290" s="72" t="str">
        <f>IF($K290="","",TRIM(INDEX('Detalle individual'!$C:$C,$K290)))</f>
        <v>OFICIALIA DE CUMPLIMIENTO</v>
      </c>
      <c r="G290" s="72" t="str">
        <f>IF($K290="","",INDEX('Detalle individual'!$D:$D,$K290))</f>
        <v>Gerencia de Oficialía de Cumplimiento</v>
      </c>
      <c r="H290" s="13" t="str">
        <f>IF($K290="","",INDEX('Detalle individual'!$F:$F,$K290))</f>
        <v>Completado</v>
      </c>
      <c r="I290" s="20">
        <f>IF($K290="","",IF(INDEX('Detalle individual'!$F:$F,$K290)="Completado",INDEX('Detalle individual'!$H:$H,$K290),""))</f>
        <v>46296.4949537037</v>
      </c>
      <c r="J290" s="21">
        <f>IF($K290="","",IF(INDEX('Detalle individual'!$F:$F,$K290)="Completado",INDEX('Detalle individual'!$J:$J,$K290),""))</f>
        <v>100</v>
      </c>
      <c r="K290">
        <f>IFERROR(MOD(SMALL(Cálculos!$Z$5:$Z$1000,282),10000),"")</f>
        <v>135</v>
      </c>
    </row>
    <row r="291">
      <c r="B291" s="13">
        <f>IF($K291="","",283)</f>
        <v>283</v>
      </c>
      <c r="C291" s="13" t="str">
        <f>IF($K291="","",INDEX('Detalle individual'!$A:$A,$K291))</f>
        <v>710</v>
      </c>
      <c r="D291" s="72" t="str">
        <f>IF($K291="","",TRIM(INDEX('Detalle individual'!$B:$B,$K291)))</f>
        <v>MARIA AZUCENA BONILLA RIVERA</v>
      </c>
      <c r="E291" s="72" t="str">
        <f>IF($K291="","",TRIM(INDEX('Detalle individual'!$E:$E,$K291)))</f>
        <v>OFICIAL DE SEGURIDAD DE LA INFORMACION</v>
      </c>
      <c r="F291" s="72" t="str">
        <f>IF($K291="","",TRIM(INDEX('Detalle individual'!$C:$C,$K291)))</f>
        <v>OFICIALIA DE SEGURIDAD DE LA INFORMACION</v>
      </c>
      <c r="G291" s="72" t="str">
        <f>IF($K291="","",INDEX('Detalle individual'!$D:$D,$K291))</f>
        <v>Gerencia General</v>
      </c>
      <c r="H291" s="13" t="str">
        <f>IF($K291="","",INDEX('Detalle individual'!$F:$F,$K291))</f>
        <v>Completado</v>
      </c>
      <c r="I291" s="20">
        <f>IF($K291="","",IF(INDEX('Detalle individual'!$F:$F,$K291)="Completado",INDEX('Detalle individual'!$H:$H,$K291),""))</f>
        <v>46296.448969907404</v>
      </c>
      <c r="J291" s="21">
        <f>IF($K291="","",IF(INDEX('Detalle individual'!$F:$F,$K291)="Completado",INDEX('Detalle individual'!$J:$J,$K291),""))</f>
        <v>100</v>
      </c>
      <c r="K291">
        <f>IFERROR(MOD(SMALL(Cálculos!$Z$5:$Z$1000,283),10000),"")</f>
        <v>21</v>
      </c>
    </row>
    <row r="292">
      <c r="B292" s="13">
        <f>IF($K292="","",284)</f>
        <v>284</v>
      </c>
      <c r="C292" s="13" t="str">
        <f>IF($K292="","",INDEX('Detalle individual'!$A:$A,$K292))</f>
        <v>907</v>
      </c>
      <c r="D292" s="72" t="str">
        <f>IF($K292="","",TRIM(INDEX('Detalle individual'!$B:$B,$K292)))</f>
        <v>JENNIFER GEORGINA ALVARADO HERNANDEZ</v>
      </c>
      <c r="E292" s="72" t="str">
        <f>IF($K292="","",TRIM(INDEX('Detalle individual'!$E:$E,$K292)))</f>
        <v>ANALISTA DE MONITOREO DEL FRAUDE DIGITAL</v>
      </c>
      <c r="F292" s="72" t="str">
        <f>IF($K292="","",TRIM(INDEX('Detalle individual'!$C:$C,$K292)))</f>
        <v>OFICIALIA DE SEGURIDAD DE LA INFORMACION</v>
      </c>
      <c r="G292" s="72" t="str">
        <f>IF($K292="","",INDEX('Detalle individual'!$D:$D,$K292))</f>
        <v>Gerencia General</v>
      </c>
      <c r="H292" s="13" t="str">
        <f>IF($K292="","",INDEX('Detalle individual'!$F:$F,$K292))</f>
        <v>Completado</v>
      </c>
      <c r="I292" s="20">
        <f>IF($K292="","",IF(INDEX('Detalle individual'!$F:$F,$K292)="Completado",INDEX('Detalle individual'!$H:$H,$K292),""))</f>
        <v>46296.44850694444</v>
      </c>
      <c r="J292" s="21">
        <f>IF($K292="","",IF(INDEX('Detalle individual'!$F:$F,$K292)="Completado",INDEX('Detalle individual'!$J:$J,$K292),""))</f>
        <v>85</v>
      </c>
      <c r="K292">
        <f>IFERROR(MOD(SMALL(Cálculos!$Z$5:$Z$1000,284),10000),"")</f>
        <v>22</v>
      </c>
    </row>
    <row r="293">
      <c r="B293" s="13">
        <f>IF($K293="","",285)</f>
        <v>285</v>
      </c>
      <c r="C293" s="13" t="str">
        <f>IF($K293="","",INDEX('Detalle individual'!$A:$A,$K293))</f>
        <v>918</v>
      </c>
      <c r="D293" s="72" t="str">
        <f>IF($K293="","",TRIM(INDEX('Detalle individual'!$B:$B,$K293)))</f>
        <v>MARVIN ALONSO FRANCO RAMIREZ</v>
      </c>
      <c r="E293" s="72" t="str">
        <f>IF($K293="","",TRIM(INDEX('Detalle individual'!$E:$E,$K293)))</f>
        <v>ANALISTA DE SEGURIDAD DE LA INFORMACION</v>
      </c>
      <c r="F293" s="72" t="str">
        <f>IF($K293="","",TRIM(INDEX('Detalle individual'!$C:$C,$K293)))</f>
        <v>OFICIALIA DE SEGURIDAD DE LA INFORMACION</v>
      </c>
      <c r="G293" s="72" t="str">
        <f>IF($K293="","",INDEX('Detalle individual'!$D:$D,$K293))</f>
        <v>Gerencia General</v>
      </c>
      <c r="H293" s="13" t="str">
        <f>IF($K293="","",INDEX('Detalle individual'!$F:$F,$K293))</f>
        <v>Completado</v>
      </c>
      <c r="I293" s="20">
        <f>IF($K293="","",IF(INDEX('Detalle individual'!$F:$F,$K293)="Completado",INDEX('Detalle individual'!$H:$H,$K293),""))</f>
        <v>46296.44851851852</v>
      </c>
      <c r="J293" s="21">
        <f>IF($K293="","",IF(INDEX('Detalle individual'!$F:$F,$K293)="Completado",INDEX('Detalle individual'!$J:$J,$K293),""))</f>
        <v>100</v>
      </c>
      <c r="K293">
        <f>IFERROR(MOD(SMALL(Cálculos!$Z$5:$Z$1000,285),10000),"")</f>
        <v>23</v>
      </c>
    </row>
    <row r="294">
      <c r="B294" s="13">
        <f>IF($K294="","",286)</f>
        <v>286</v>
      </c>
      <c r="C294" s="13" t="str">
        <f>IF($K294="","",INDEX('Detalle individual'!$A:$A,$K294))</f>
        <v>950</v>
      </c>
      <c r="D294" s="72" t="str">
        <f>IF($K294="","",TRIM(INDEX('Detalle individual'!$B:$B,$K294)))</f>
        <v>VALERIA MICHELLE QUINTANILLA FLORES</v>
      </c>
      <c r="E294" s="72" t="str">
        <f>IF($K294="","",TRIM(INDEX('Detalle individual'!$E:$E,$K294)))</f>
        <v>ANALISTA TECNICO DE PROTECCION DE DATOS</v>
      </c>
      <c r="F294" s="72" t="str">
        <f>IF($K294="","",TRIM(INDEX('Detalle individual'!$C:$C,$K294)))</f>
        <v>OFICIALIA DE SEGURIDAD DE LA INFORMACION</v>
      </c>
      <c r="G294" s="72" t="str">
        <f>IF($K294="","",INDEX('Detalle individual'!$D:$D,$K294))</f>
        <v>Gerencia General</v>
      </c>
      <c r="H294" s="13" t="str">
        <f>IF($K294="","",INDEX('Detalle individual'!$F:$F,$K294))</f>
        <v>Completado</v>
      </c>
      <c r="I294" s="20">
        <f>IF($K294="","",IF(INDEX('Detalle individual'!$F:$F,$K294)="Completado",INDEX('Detalle individual'!$H:$H,$K294),""))</f>
        <v>46296.44909722222</v>
      </c>
      <c r="J294" s="21">
        <f>IF($K294="","",IF(INDEX('Detalle individual'!$F:$F,$K294)="Completado",INDEX('Detalle individual'!$J:$J,$K294),""))</f>
        <v>100</v>
      </c>
      <c r="K294">
        <f>IFERROR(MOD(SMALL(Cálculos!$Z$5:$Z$1000,286),10000),"")</f>
        <v>24</v>
      </c>
    </row>
    <row r="295">
      <c r="B295" s="13">
        <f>IF($K295="","",287)</f>
        <v>287</v>
      </c>
      <c r="C295" s="13" t="str">
        <f>IF($K295="","",INDEX('Detalle individual'!$A:$A,$K295))</f>
        <v>215</v>
      </c>
      <c r="D295" s="72" t="str">
        <f>IF($K295="","",TRIM(INDEX('Detalle individual'!$B:$B,$K295)))</f>
        <v>LUIS MARCELO CRUZ VIGIL</v>
      </c>
      <c r="E295" s="72" t="str">
        <f>IF($K295="","",TRIM(INDEX('Detalle individual'!$E:$E,$K295)))</f>
        <v>SUB GERENTE DE CANALES</v>
      </c>
      <c r="F295" s="72" t="str">
        <f>IF($K295="","",TRIM(INDEX('Detalle individual'!$C:$C,$K295)))</f>
        <v>SUB GERENCIA DE CANALES</v>
      </c>
      <c r="G295" s="72" t="str">
        <f>IF($K295="","",INDEX('Detalle individual'!$D:$D,$K295))</f>
        <v>Gerencia de Negocios</v>
      </c>
      <c r="H295" s="13" t="str">
        <f>IF($K295="","",INDEX('Detalle individual'!$F:$F,$K295))</f>
        <v>Completado</v>
      </c>
      <c r="I295" s="20">
        <f>IF($K295="","",IF(INDEX('Detalle individual'!$F:$F,$K295)="Completado",INDEX('Detalle individual'!$H:$H,$K295),""))</f>
        <v>46300.41096064815</v>
      </c>
      <c r="J295" s="21">
        <f>IF($K295="","",IF(INDEX('Detalle individual'!$F:$F,$K295)="Completado",INDEX('Detalle individual'!$J:$J,$K295),""))</f>
        <v>100</v>
      </c>
      <c r="K295">
        <f>IFERROR(MOD(SMALL(Cálculos!$Z$5:$Z$1000,287),10000),"")</f>
        <v>184</v>
      </c>
    </row>
    <row r="296">
      <c r="B296" s="13">
        <f>IF($K296="","",288)</f>
        <v>288</v>
      </c>
      <c r="C296" s="13" t="str">
        <f>IF($K296="","",INDEX('Detalle individual'!$A:$A,$K296))</f>
        <v>581</v>
      </c>
      <c r="D296" s="72" t="str">
        <f>IF($K296="","",TRIM(INDEX('Detalle individual'!$B:$B,$K296)))</f>
        <v>JUAN CARLOS AGUILAR ASCENCIO</v>
      </c>
      <c r="E296" s="72" t="str">
        <f>IF($K296="","",TRIM(INDEX('Detalle individual'!$E:$E,$K296)))</f>
        <v>CAJERO MOVIL</v>
      </c>
      <c r="F296" s="72" t="str">
        <f>IF($K296="","",TRIM(INDEX('Detalle individual'!$C:$C,$K296)))</f>
        <v>SUB GERENCIA DE CANALES</v>
      </c>
      <c r="G296" s="72" t="str">
        <f>IF($K296="","",INDEX('Detalle individual'!$D:$D,$K296))</f>
        <v>Gerencia de Negocios</v>
      </c>
      <c r="H296" s="13" t="str">
        <f>IF($K296="","",INDEX('Detalle individual'!$F:$F,$K296))</f>
        <v>Completado</v>
      </c>
      <c r="I296" s="20">
        <f>IF($K296="","",IF(INDEX('Detalle individual'!$F:$F,$K296)="Completado",INDEX('Detalle individual'!$H:$H,$K296),""))</f>
        <v>46309.67239583333</v>
      </c>
      <c r="J296" s="21">
        <f>IF($K296="","",IF(INDEX('Detalle individual'!$F:$F,$K296)="Completado",INDEX('Detalle individual'!$J:$J,$K296),""))</f>
        <v>100</v>
      </c>
      <c r="K296">
        <f>IFERROR(MOD(SMALL(Cálculos!$Z$5:$Z$1000,288),10000),"")</f>
        <v>185</v>
      </c>
    </row>
    <row r="297">
      <c r="B297" s="13">
        <f>IF($K297="","",289)</f>
        <v>289</v>
      </c>
      <c r="C297" s="13" t="str">
        <f>IF($K297="","",INDEX('Detalle individual'!$A:$A,$K297))</f>
        <v>585</v>
      </c>
      <c r="D297" s="72" t="str">
        <f>IF($K297="","",TRIM(INDEX('Detalle individual'!$B:$B,$K297)))</f>
        <v>NANCY ROCIO MENJIVAR RIVAS</v>
      </c>
      <c r="E297" s="72" t="str">
        <f>IF($K297="","",TRIM(INDEX('Detalle individual'!$E:$E,$K297)))</f>
        <v>EJECUTIVO MOVIL DE SEGUROS</v>
      </c>
      <c r="F297" s="72" t="str">
        <f>IF($K297="","",TRIM(INDEX('Detalle individual'!$C:$C,$K297)))</f>
        <v>SUB GERENCIA DE CANALES</v>
      </c>
      <c r="G297" s="72" t="str">
        <f>IF($K297="","",INDEX('Detalle individual'!$D:$D,$K297))</f>
        <v>Gerencia de Negocios</v>
      </c>
      <c r="H297" s="13" t="str">
        <f>IF($K297="","",INDEX('Detalle individual'!$F:$F,$K297))</f>
        <v>Completado</v>
      </c>
      <c r="I297" s="20">
        <f>IF($K297="","",IF(INDEX('Detalle individual'!$F:$F,$K297)="Completado",INDEX('Detalle individual'!$H:$H,$K297),""))</f>
        <v>46302.479097222225</v>
      </c>
      <c r="J297" s="21">
        <f>IF($K297="","",IF(INDEX('Detalle individual'!$F:$F,$K297)="Completado",INDEX('Detalle individual'!$J:$J,$K297),""))</f>
        <v>100</v>
      </c>
      <c r="K297">
        <f>IFERROR(MOD(SMALL(Cálculos!$Z$5:$Z$1000,289),10000),"")</f>
        <v>186</v>
      </c>
    </row>
    <row r="298">
      <c r="B298" s="13">
        <f>IF($K298="","",290)</f>
        <v>290</v>
      </c>
      <c r="C298" s="13" t="str">
        <f>IF($K298="","",INDEX('Detalle individual'!$A:$A,$K298))</f>
        <v>651</v>
      </c>
      <c r="D298" s="72" t="str">
        <f>IF($K298="","",TRIM(INDEX('Detalle individual'!$B:$B,$K298)))</f>
        <v>LUIS FERNANDO MORAN GARCIA</v>
      </c>
      <c r="E298" s="72" t="str">
        <f>IF($K298="","",TRIM(INDEX('Detalle individual'!$E:$E,$K298)))</f>
        <v>JEFE MOVIL DE AGENCIAS</v>
      </c>
      <c r="F298" s="72" t="str">
        <f>IF($K298="","",TRIM(INDEX('Detalle individual'!$C:$C,$K298)))</f>
        <v>SUB GERENCIA DE CANALES</v>
      </c>
      <c r="G298" s="72" t="str">
        <f>IF($K298="","",INDEX('Detalle individual'!$D:$D,$K298))</f>
        <v>Gerencia de Negocios</v>
      </c>
      <c r="H298" s="13" t="str">
        <f>IF($K298="","",INDEX('Detalle individual'!$F:$F,$K298))</f>
        <v>Completado</v>
      </c>
      <c r="I298" s="20">
        <f>IF($K298="","",IF(INDEX('Detalle individual'!$F:$F,$K298)="Completado",INDEX('Detalle individual'!$H:$H,$K298),""))</f>
        <v>46309.67240740741</v>
      </c>
      <c r="J298" s="21">
        <f>IF($K298="","",IF(INDEX('Detalle individual'!$F:$F,$K298)="Completado",INDEX('Detalle individual'!$J:$J,$K298),""))</f>
        <v>100</v>
      </c>
      <c r="K298">
        <f>IFERROR(MOD(SMALL(Cálculos!$Z$5:$Z$1000,290),10000),"")</f>
        <v>187</v>
      </c>
    </row>
    <row r="299">
      <c r="B299" s="13">
        <f>IF($K299="","",291)</f>
        <v>291</v>
      </c>
      <c r="C299" s="13" t="str">
        <f>IF($K299="","",INDEX('Detalle individual'!$A:$A,$K299))</f>
        <v>713</v>
      </c>
      <c r="D299" s="72" t="str">
        <f>IF($K299="","",TRIM(INDEX('Detalle individual'!$B:$B,$K299)))</f>
        <v>SANDRA VERONICA ACEVEDO BELTRAN</v>
      </c>
      <c r="E299" s="72" t="str">
        <f>IF($K299="","",TRIM(INDEX('Detalle individual'!$E:$E,$K299)))</f>
        <v>ASISTENTE PARA CORRESPONSALES FINANCIEROS</v>
      </c>
      <c r="F299" s="72" t="str">
        <f>IF($K299="","",TRIM(INDEX('Detalle individual'!$C:$C,$K299)))</f>
        <v>SUB GERENCIA DE CANALES</v>
      </c>
      <c r="G299" s="72" t="str">
        <f>IF($K299="","",INDEX('Detalle individual'!$D:$D,$K299))</f>
        <v>Gerencia de Negocios</v>
      </c>
      <c r="H299" s="13" t="str">
        <f>IF($K299="","",INDEX('Detalle individual'!$F:$F,$K299))</f>
        <v>Completado</v>
      </c>
      <c r="I299" s="20">
        <f>IF($K299="","",IF(INDEX('Detalle individual'!$F:$F,$K299)="Completado",INDEX('Detalle individual'!$H:$H,$K299),""))</f>
        <v>46309.68292824074</v>
      </c>
      <c r="J299" s="21">
        <f>IF($K299="","",IF(INDEX('Detalle individual'!$F:$F,$K299)="Completado",INDEX('Detalle individual'!$J:$J,$K299),""))</f>
        <v>100</v>
      </c>
      <c r="K299">
        <f>IFERROR(MOD(SMALL(Cálculos!$Z$5:$Z$1000,291),10000),"")</f>
        <v>188</v>
      </c>
    </row>
    <row r="300">
      <c r="B300" s="13">
        <f>IF($K300="","",292)</f>
        <v>292</v>
      </c>
      <c r="C300" s="13" t="str">
        <f>IF($K300="","",INDEX('Detalle individual'!$A:$A,$K300))</f>
        <v>854</v>
      </c>
      <c r="D300" s="72" t="str">
        <f>IF($K300="","",TRIM(INDEX('Detalle individual'!$B:$B,$K300)))</f>
        <v>REBECA ABIGAIL VEGA FLORES</v>
      </c>
      <c r="E300" s="72" t="str">
        <f>IF($K300="","",TRIM(INDEX('Detalle individual'!$E:$E,$K300)))</f>
        <v>CAJERO MOVIL</v>
      </c>
      <c r="F300" s="72" t="str">
        <f>IF($K300="","",TRIM(INDEX('Detalle individual'!$C:$C,$K300)))</f>
        <v>SUB GERENCIA DE CANALES</v>
      </c>
      <c r="G300" s="72" t="str">
        <f>IF($K300="","",INDEX('Detalle individual'!$D:$D,$K300))</f>
        <v>Gerencia de Negocios</v>
      </c>
      <c r="H300" s="13" t="str">
        <f>IF($K300="","",INDEX('Detalle individual'!$F:$F,$K300))</f>
        <v>Completado</v>
      </c>
      <c r="I300" s="20">
        <f>IF($K300="","",IF(INDEX('Detalle individual'!$F:$F,$K300)="Completado",INDEX('Detalle individual'!$H:$H,$K300),""))</f>
        <v>46309.67223379629</v>
      </c>
      <c r="J300" s="21">
        <f>IF($K300="","",IF(INDEX('Detalle individual'!$F:$F,$K300)="Completado",INDEX('Detalle individual'!$J:$J,$K300),""))</f>
        <v>100</v>
      </c>
      <c r="K300">
        <f>IFERROR(MOD(SMALL(Cálculos!$Z$5:$Z$1000,292),10000),"")</f>
        <v>189</v>
      </c>
    </row>
    <row r="301">
      <c r="B301" s="13">
        <f>IF($K301="","",293)</f>
        <v>293</v>
      </c>
      <c r="C301" s="13" t="str">
        <f>IF($K301="","",INDEX('Detalle individual'!$A:$A,$K301))</f>
        <v>968</v>
      </c>
      <c r="D301" s="72" t="str">
        <f>IF($K301="","",TRIM(INDEX('Detalle individual'!$B:$B,$K301)))</f>
        <v>SAMUEL ALBERTO SALGUERO RODRIGUEZ</v>
      </c>
      <c r="E301" s="72" t="str">
        <f>IF($K301="","",TRIM(INDEX('Detalle individual'!$E:$E,$K301)))</f>
        <v>CAJERO MOVIL</v>
      </c>
      <c r="F301" s="72" t="str">
        <f>IF($K301="","",TRIM(INDEX('Detalle individual'!$C:$C,$K301)))</f>
        <v>SUB GERENCIA DE CANALES</v>
      </c>
      <c r="G301" s="72" t="str">
        <f>IF($K301="","",INDEX('Detalle individual'!$D:$D,$K301))</f>
        <v>Gerencia de Negocios</v>
      </c>
      <c r="H301" s="13" t="str">
        <f>IF($K301="","",INDEX('Detalle individual'!$F:$F,$K301))</f>
        <v>Completado</v>
      </c>
      <c r="I301" s="20">
        <f>IF($K301="","",IF(INDEX('Detalle individual'!$F:$F,$K301)="Completado",INDEX('Detalle individual'!$H:$H,$K301),""))</f>
        <v>46309.38234953704</v>
      </c>
      <c r="J301" s="21">
        <f>IF($K301="","",IF(INDEX('Detalle individual'!$F:$F,$K301)="Completado",INDEX('Detalle individual'!$J:$J,$K301),""))</f>
        <v>90</v>
      </c>
      <c r="K301">
        <f>IFERROR(MOD(SMALL(Cálculos!$Z$5:$Z$1000,293),10000),"")</f>
        <v>190</v>
      </c>
    </row>
    <row r="302">
      <c r="B302" s="13" t="str">
        <f>IF($K302="","",294)</f>
        <v/>
      </c>
      <c r="C302" s="13" t="str">
        <f>IF($K302="","",INDEX('Detalle individual'!$A:$A,$K302))</f>
        <v/>
      </c>
      <c r="D302" s="72" t="str">
        <f>IF($K302="","",TRIM(INDEX('Detalle individual'!$B:$B,$K302)))</f>
        <v/>
      </c>
      <c r="E302" s="72" t="str">
        <f>IF($K302="","",TRIM(INDEX('Detalle individual'!$E:$E,$K302)))</f>
        <v/>
      </c>
      <c r="F302" s="72" t="str">
        <f>IF($K302="","",TRIM(INDEX('Detalle individual'!$C:$C,$K302)))</f>
        <v/>
      </c>
      <c r="G302" s="72" t="str">
        <f>IF($K302="","",INDEX('Detalle individual'!$D:$D,$K302))</f>
        <v/>
      </c>
      <c r="H302" s="13" t="str">
        <f>IF($K302="","",INDEX('Detalle individual'!$F:$F,$K302))</f>
        <v/>
      </c>
      <c r="I302" s="20" t="str">
        <f>IF($K302="","",IF(INDEX('Detalle individual'!$F:$F,$K302)="Completado",INDEX('Detalle individual'!$H:$H,$K302),""))</f>
        <v/>
      </c>
      <c r="J302" s="21" t="str">
        <f>IF($K302="","",IF(INDEX('Detalle individual'!$F:$F,$K302)="Completado",INDEX('Detalle individual'!$J:$J,$K302),""))</f>
        <v/>
      </c>
      <c r="K302" t="str">
        <f>IFERROR(MOD(SMALL(Cálculos!$Z$5:$Z$1000,294),10000),"")</f>
        <v/>
      </c>
    </row>
    <row r="303">
      <c r="B303" s="13" t="str">
        <f>IF($K303="","",295)</f>
        <v/>
      </c>
      <c r="C303" s="13" t="str">
        <f>IF($K303="","",INDEX('Detalle individual'!$A:$A,$K303))</f>
        <v/>
      </c>
      <c r="D303" s="72" t="str">
        <f>IF($K303="","",TRIM(INDEX('Detalle individual'!$B:$B,$K303)))</f>
        <v/>
      </c>
      <c r="E303" s="72" t="str">
        <f>IF($K303="","",TRIM(INDEX('Detalle individual'!$E:$E,$K303)))</f>
        <v/>
      </c>
      <c r="F303" s="72" t="str">
        <f>IF($K303="","",TRIM(INDEX('Detalle individual'!$C:$C,$K303)))</f>
        <v/>
      </c>
      <c r="G303" s="72" t="str">
        <f>IF($K303="","",INDEX('Detalle individual'!$D:$D,$K303))</f>
        <v/>
      </c>
      <c r="H303" s="13" t="str">
        <f>IF($K303="","",INDEX('Detalle individual'!$F:$F,$K303))</f>
        <v/>
      </c>
      <c r="I303" s="20" t="str">
        <f>IF($K303="","",IF(INDEX('Detalle individual'!$F:$F,$K303)="Completado",INDEX('Detalle individual'!$H:$H,$K303),""))</f>
        <v/>
      </c>
      <c r="J303" s="21" t="str">
        <f>IF($K303="","",IF(INDEX('Detalle individual'!$F:$F,$K303)="Completado",INDEX('Detalle individual'!$J:$J,$K303),""))</f>
        <v/>
      </c>
      <c r="K303" t="str">
        <f>IFERROR(MOD(SMALL(Cálculos!$Z$5:$Z$1000,295),10000),"")</f>
        <v/>
      </c>
    </row>
    <row r="304">
      <c r="B304" s="13" t="str">
        <f>IF($K304="","",296)</f>
        <v/>
      </c>
      <c r="C304" s="13" t="str">
        <f>IF($K304="","",INDEX('Detalle individual'!$A:$A,$K304))</f>
        <v/>
      </c>
      <c r="D304" s="72" t="str">
        <f>IF($K304="","",TRIM(INDEX('Detalle individual'!$B:$B,$K304)))</f>
        <v/>
      </c>
      <c r="E304" s="72" t="str">
        <f>IF($K304="","",TRIM(INDEX('Detalle individual'!$E:$E,$K304)))</f>
        <v/>
      </c>
      <c r="F304" s="72" t="str">
        <f>IF($K304="","",TRIM(INDEX('Detalle individual'!$C:$C,$K304)))</f>
        <v/>
      </c>
      <c r="G304" s="72" t="str">
        <f>IF($K304="","",INDEX('Detalle individual'!$D:$D,$K304))</f>
        <v/>
      </c>
      <c r="H304" s="13" t="str">
        <f>IF($K304="","",INDEX('Detalle individual'!$F:$F,$K304))</f>
        <v/>
      </c>
      <c r="I304" s="20" t="str">
        <f>IF($K304="","",IF(INDEX('Detalle individual'!$F:$F,$K304)="Completado",INDEX('Detalle individual'!$H:$H,$K304),""))</f>
        <v/>
      </c>
      <c r="J304" s="21" t="str">
        <f>IF($K304="","",IF(INDEX('Detalle individual'!$F:$F,$K304)="Completado",INDEX('Detalle individual'!$J:$J,$K304),""))</f>
        <v/>
      </c>
      <c r="K304" t="str">
        <f>IFERROR(MOD(SMALL(Cálculos!$Z$5:$Z$1000,296),10000),"")</f>
        <v/>
      </c>
    </row>
    <row r="305">
      <c r="B305" s="13" t="str">
        <f>IF($K305="","",297)</f>
        <v/>
      </c>
      <c r="C305" s="13" t="str">
        <f>IF($K305="","",INDEX('Detalle individual'!$A:$A,$K305))</f>
        <v/>
      </c>
      <c r="D305" s="72" t="str">
        <f>IF($K305="","",TRIM(INDEX('Detalle individual'!$B:$B,$K305)))</f>
        <v/>
      </c>
      <c r="E305" s="72" t="str">
        <f>IF($K305="","",TRIM(INDEX('Detalle individual'!$E:$E,$K305)))</f>
        <v/>
      </c>
      <c r="F305" s="72" t="str">
        <f>IF($K305="","",TRIM(INDEX('Detalle individual'!$C:$C,$K305)))</f>
        <v/>
      </c>
      <c r="G305" s="72" t="str">
        <f>IF($K305="","",INDEX('Detalle individual'!$D:$D,$K305))</f>
        <v/>
      </c>
      <c r="H305" s="13" t="str">
        <f>IF($K305="","",INDEX('Detalle individual'!$F:$F,$K305))</f>
        <v/>
      </c>
      <c r="I305" s="20" t="str">
        <f>IF($K305="","",IF(INDEX('Detalle individual'!$F:$F,$K305)="Completado",INDEX('Detalle individual'!$H:$H,$K305),""))</f>
        <v/>
      </c>
      <c r="J305" s="21" t="str">
        <f>IF($K305="","",IF(INDEX('Detalle individual'!$F:$F,$K305)="Completado",INDEX('Detalle individual'!$J:$J,$K305),""))</f>
        <v/>
      </c>
      <c r="K305" t="str">
        <f>IFERROR(MOD(SMALL(Cálculos!$Z$5:$Z$1000,297),10000),"")</f>
        <v/>
      </c>
    </row>
    <row r="306">
      <c r="B306" s="13" t="str">
        <f>IF($K306="","",298)</f>
        <v/>
      </c>
      <c r="C306" s="13" t="str">
        <f>IF($K306="","",INDEX('Detalle individual'!$A:$A,$K306))</f>
        <v/>
      </c>
      <c r="D306" s="72" t="str">
        <f>IF($K306="","",TRIM(INDEX('Detalle individual'!$B:$B,$K306)))</f>
        <v/>
      </c>
      <c r="E306" s="72" t="str">
        <f>IF($K306="","",TRIM(INDEX('Detalle individual'!$E:$E,$K306)))</f>
        <v/>
      </c>
      <c r="F306" s="72" t="str">
        <f>IF($K306="","",TRIM(INDEX('Detalle individual'!$C:$C,$K306)))</f>
        <v/>
      </c>
      <c r="G306" s="72" t="str">
        <f>IF($K306="","",INDEX('Detalle individual'!$D:$D,$K306))</f>
        <v/>
      </c>
      <c r="H306" s="13" t="str">
        <f>IF($K306="","",INDEX('Detalle individual'!$F:$F,$K306))</f>
        <v/>
      </c>
      <c r="I306" s="20" t="str">
        <f>IF($K306="","",IF(INDEX('Detalle individual'!$F:$F,$K306)="Completado",INDEX('Detalle individual'!$H:$H,$K306),""))</f>
        <v/>
      </c>
      <c r="J306" s="21" t="str">
        <f>IF($K306="","",IF(INDEX('Detalle individual'!$F:$F,$K306)="Completado",INDEX('Detalle individual'!$J:$J,$K306),""))</f>
        <v/>
      </c>
      <c r="K306" t="str">
        <f>IFERROR(MOD(SMALL(Cálculos!$Z$5:$Z$1000,298),10000),"")</f>
        <v/>
      </c>
    </row>
    <row r="307">
      <c r="B307" s="13" t="str">
        <f>IF($K307="","",299)</f>
        <v/>
      </c>
      <c r="C307" s="13" t="str">
        <f>IF($K307="","",INDEX('Detalle individual'!$A:$A,$K307))</f>
        <v/>
      </c>
      <c r="D307" s="72" t="str">
        <f>IF($K307="","",TRIM(INDEX('Detalle individual'!$B:$B,$K307)))</f>
        <v/>
      </c>
      <c r="E307" s="72" t="str">
        <f>IF($K307="","",TRIM(INDEX('Detalle individual'!$E:$E,$K307)))</f>
        <v/>
      </c>
      <c r="F307" s="72" t="str">
        <f>IF($K307="","",TRIM(INDEX('Detalle individual'!$C:$C,$K307)))</f>
        <v/>
      </c>
      <c r="G307" s="72" t="str">
        <f>IF($K307="","",INDEX('Detalle individual'!$D:$D,$K307))</f>
        <v/>
      </c>
      <c r="H307" s="13" t="str">
        <f>IF($K307="","",INDEX('Detalle individual'!$F:$F,$K307))</f>
        <v/>
      </c>
      <c r="I307" s="20" t="str">
        <f>IF($K307="","",IF(INDEX('Detalle individual'!$F:$F,$K307)="Completado",INDEX('Detalle individual'!$H:$H,$K307),""))</f>
        <v/>
      </c>
      <c r="J307" s="21" t="str">
        <f>IF($K307="","",IF(INDEX('Detalle individual'!$F:$F,$K307)="Completado",INDEX('Detalle individual'!$J:$J,$K307),""))</f>
        <v/>
      </c>
      <c r="K307" t="str">
        <f>IFERROR(MOD(SMALL(Cálculos!$Z$5:$Z$1000,299),10000),"")</f>
        <v/>
      </c>
    </row>
    <row r="308">
      <c r="B308" s="13" t="str">
        <f>IF($K308="","",300)</f>
        <v/>
      </c>
      <c r="C308" s="13" t="str">
        <f>IF($K308="","",INDEX('Detalle individual'!$A:$A,$K308))</f>
        <v/>
      </c>
      <c r="D308" s="72" t="str">
        <f>IF($K308="","",TRIM(INDEX('Detalle individual'!$B:$B,$K308)))</f>
        <v/>
      </c>
      <c r="E308" s="72" t="str">
        <f>IF($K308="","",TRIM(INDEX('Detalle individual'!$E:$E,$K308)))</f>
        <v/>
      </c>
      <c r="F308" s="72" t="str">
        <f>IF($K308="","",TRIM(INDEX('Detalle individual'!$C:$C,$K308)))</f>
        <v/>
      </c>
      <c r="G308" s="72" t="str">
        <f>IF($K308="","",INDEX('Detalle individual'!$D:$D,$K308))</f>
        <v/>
      </c>
      <c r="H308" s="13" t="str">
        <f>IF($K308="","",INDEX('Detalle individual'!$F:$F,$K308))</f>
        <v/>
      </c>
      <c r="I308" s="20" t="str">
        <f>IF($K308="","",IF(INDEX('Detalle individual'!$F:$F,$K308)="Completado",INDEX('Detalle individual'!$H:$H,$K308),""))</f>
        <v/>
      </c>
      <c r="J308" s="21" t="str">
        <f>IF($K308="","",IF(INDEX('Detalle individual'!$F:$F,$K308)="Completado",INDEX('Detalle individual'!$J:$J,$K308),""))</f>
        <v/>
      </c>
      <c r="K308" t="str">
        <f>IFERROR(MOD(SMALL(Cálculos!$Z$5:$Z$1000,300),10000),"")</f>
        <v/>
      </c>
    </row>
    <row r="309">
      <c r="B309" s="13" t="str">
        <f>IF($K309="","",301)</f>
        <v/>
      </c>
      <c r="C309" s="13" t="str">
        <f>IF($K309="","",INDEX('Detalle individual'!$A:$A,$K309))</f>
        <v/>
      </c>
      <c r="D309" s="72" t="str">
        <f>IF($K309="","",TRIM(INDEX('Detalle individual'!$B:$B,$K309)))</f>
        <v/>
      </c>
      <c r="E309" s="72" t="str">
        <f>IF($K309="","",TRIM(INDEX('Detalle individual'!$E:$E,$K309)))</f>
        <v/>
      </c>
      <c r="F309" s="72" t="str">
        <f>IF($K309="","",TRIM(INDEX('Detalle individual'!$C:$C,$K309)))</f>
        <v/>
      </c>
      <c r="G309" s="72" t="str">
        <f>IF($K309="","",INDEX('Detalle individual'!$D:$D,$K309))</f>
        <v/>
      </c>
      <c r="H309" s="13" t="str">
        <f>IF($K309="","",INDEX('Detalle individual'!$F:$F,$K309))</f>
        <v/>
      </c>
      <c r="I309" s="20" t="str">
        <f>IF($K309="","",IF(INDEX('Detalle individual'!$F:$F,$K309)="Completado",INDEX('Detalle individual'!$H:$H,$K309),""))</f>
        <v/>
      </c>
      <c r="J309" s="21" t="str">
        <f>IF($K309="","",IF(INDEX('Detalle individual'!$F:$F,$K309)="Completado",INDEX('Detalle individual'!$J:$J,$K309),""))</f>
        <v/>
      </c>
      <c r="K309" t="str">
        <f>IFERROR(MOD(SMALL(Cálculos!$Z$5:$Z$1000,301),10000),"")</f>
        <v/>
      </c>
    </row>
    <row r="310">
      <c r="B310" s="13" t="str">
        <f>IF($K310="","",302)</f>
        <v/>
      </c>
      <c r="C310" s="13" t="str">
        <f>IF($K310="","",INDEX('Detalle individual'!$A:$A,$K310))</f>
        <v/>
      </c>
      <c r="D310" s="72" t="str">
        <f>IF($K310="","",TRIM(INDEX('Detalle individual'!$B:$B,$K310)))</f>
        <v/>
      </c>
      <c r="E310" s="72" t="str">
        <f>IF($K310="","",TRIM(INDEX('Detalle individual'!$E:$E,$K310)))</f>
        <v/>
      </c>
      <c r="F310" s="72" t="str">
        <f>IF($K310="","",TRIM(INDEX('Detalle individual'!$C:$C,$K310)))</f>
        <v/>
      </c>
      <c r="G310" s="72" t="str">
        <f>IF($K310="","",INDEX('Detalle individual'!$D:$D,$K310))</f>
        <v/>
      </c>
      <c r="H310" s="13" t="str">
        <f>IF($K310="","",INDEX('Detalle individual'!$F:$F,$K310))</f>
        <v/>
      </c>
      <c r="I310" s="20" t="str">
        <f>IF($K310="","",IF(INDEX('Detalle individual'!$F:$F,$K310)="Completado",INDEX('Detalle individual'!$H:$H,$K310),""))</f>
        <v/>
      </c>
      <c r="J310" s="21" t="str">
        <f>IF($K310="","",IF(INDEX('Detalle individual'!$F:$F,$K310)="Completado",INDEX('Detalle individual'!$J:$J,$K310),""))</f>
        <v/>
      </c>
      <c r="K310" t="str">
        <f>IFERROR(MOD(SMALL(Cálculos!$Z$5:$Z$1000,302),10000),"")</f>
        <v/>
      </c>
    </row>
    <row r="311">
      <c r="B311" s="13" t="str">
        <f>IF($K311="","",303)</f>
        <v/>
      </c>
      <c r="C311" s="13" t="str">
        <f>IF($K311="","",INDEX('Detalle individual'!$A:$A,$K311))</f>
        <v/>
      </c>
      <c r="D311" s="72" t="str">
        <f>IF($K311="","",TRIM(INDEX('Detalle individual'!$B:$B,$K311)))</f>
        <v/>
      </c>
      <c r="E311" s="72" t="str">
        <f>IF($K311="","",TRIM(INDEX('Detalle individual'!$E:$E,$K311)))</f>
        <v/>
      </c>
      <c r="F311" s="72" t="str">
        <f>IF($K311="","",TRIM(INDEX('Detalle individual'!$C:$C,$K311)))</f>
        <v/>
      </c>
      <c r="G311" s="72" t="str">
        <f>IF($K311="","",INDEX('Detalle individual'!$D:$D,$K311))</f>
        <v/>
      </c>
      <c r="H311" s="13" t="str">
        <f>IF($K311="","",INDEX('Detalle individual'!$F:$F,$K311))</f>
        <v/>
      </c>
      <c r="I311" s="20" t="str">
        <f>IF($K311="","",IF(INDEX('Detalle individual'!$F:$F,$K311)="Completado",INDEX('Detalle individual'!$H:$H,$K311),""))</f>
        <v/>
      </c>
      <c r="J311" s="21" t="str">
        <f>IF($K311="","",IF(INDEX('Detalle individual'!$F:$F,$K311)="Completado",INDEX('Detalle individual'!$J:$J,$K311),""))</f>
        <v/>
      </c>
      <c r="K311" t="str">
        <f>IFERROR(MOD(SMALL(Cálculos!$Z$5:$Z$1000,303),10000),"")</f>
        <v/>
      </c>
    </row>
    <row r="312">
      <c r="B312" s="13" t="str">
        <f>IF($K312="","",304)</f>
        <v/>
      </c>
      <c r="C312" s="13" t="str">
        <f>IF($K312="","",INDEX('Detalle individual'!$A:$A,$K312))</f>
        <v/>
      </c>
      <c r="D312" s="72" t="str">
        <f>IF($K312="","",TRIM(INDEX('Detalle individual'!$B:$B,$K312)))</f>
        <v/>
      </c>
      <c r="E312" s="72" t="str">
        <f>IF($K312="","",TRIM(INDEX('Detalle individual'!$E:$E,$K312)))</f>
        <v/>
      </c>
      <c r="F312" s="72" t="str">
        <f>IF($K312="","",TRIM(INDEX('Detalle individual'!$C:$C,$K312)))</f>
        <v/>
      </c>
      <c r="G312" s="72" t="str">
        <f>IF($K312="","",INDEX('Detalle individual'!$D:$D,$K312))</f>
        <v/>
      </c>
      <c r="H312" s="13" t="str">
        <f>IF($K312="","",INDEX('Detalle individual'!$F:$F,$K312))</f>
        <v/>
      </c>
      <c r="I312" s="20" t="str">
        <f>IF($K312="","",IF(INDEX('Detalle individual'!$F:$F,$K312)="Completado",INDEX('Detalle individual'!$H:$H,$K312),""))</f>
        <v/>
      </c>
      <c r="J312" s="21" t="str">
        <f>IF($K312="","",IF(INDEX('Detalle individual'!$F:$F,$K312)="Completado",INDEX('Detalle individual'!$J:$J,$K312),""))</f>
        <v/>
      </c>
      <c r="K312" t="str">
        <f>IFERROR(MOD(SMALL(Cálculos!$Z$5:$Z$1000,304),10000),"")</f>
        <v/>
      </c>
    </row>
    <row r="313">
      <c r="B313" s="13" t="str">
        <f>IF($K313="","",305)</f>
        <v/>
      </c>
      <c r="C313" s="13" t="str">
        <f>IF($K313="","",INDEX('Detalle individual'!$A:$A,$K313))</f>
        <v/>
      </c>
      <c r="D313" s="72" t="str">
        <f>IF($K313="","",TRIM(INDEX('Detalle individual'!$B:$B,$K313)))</f>
        <v/>
      </c>
      <c r="E313" s="72" t="str">
        <f>IF($K313="","",TRIM(INDEX('Detalle individual'!$E:$E,$K313)))</f>
        <v/>
      </c>
      <c r="F313" s="72" t="str">
        <f>IF($K313="","",TRIM(INDEX('Detalle individual'!$C:$C,$K313)))</f>
        <v/>
      </c>
      <c r="G313" s="72" t="str">
        <f>IF($K313="","",INDEX('Detalle individual'!$D:$D,$K313))</f>
        <v/>
      </c>
      <c r="H313" s="13" t="str">
        <f>IF($K313="","",INDEX('Detalle individual'!$F:$F,$K313))</f>
        <v/>
      </c>
      <c r="I313" s="20" t="str">
        <f>IF($K313="","",IF(INDEX('Detalle individual'!$F:$F,$K313)="Completado",INDEX('Detalle individual'!$H:$H,$K313),""))</f>
        <v/>
      </c>
      <c r="J313" s="21" t="str">
        <f>IF($K313="","",IF(INDEX('Detalle individual'!$F:$F,$K313)="Completado",INDEX('Detalle individual'!$J:$J,$K313),""))</f>
        <v/>
      </c>
      <c r="K313" t="str">
        <f>IFERROR(MOD(SMALL(Cálculos!$Z$5:$Z$1000,305),10000),"")</f>
        <v/>
      </c>
    </row>
    <row r="314">
      <c r="B314" s="13" t="str">
        <f>IF($K314="","",306)</f>
        <v/>
      </c>
      <c r="C314" s="13" t="str">
        <f>IF($K314="","",INDEX('Detalle individual'!$A:$A,$K314))</f>
        <v/>
      </c>
      <c r="D314" s="72" t="str">
        <f>IF($K314="","",TRIM(INDEX('Detalle individual'!$B:$B,$K314)))</f>
        <v/>
      </c>
      <c r="E314" s="72" t="str">
        <f>IF($K314="","",TRIM(INDEX('Detalle individual'!$E:$E,$K314)))</f>
        <v/>
      </c>
      <c r="F314" s="72" t="str">
        <f>IF($K314="","",TRIM(INDEX('Detalle individual'!$C:$C,$K314)))</f>
        <v/>
      </c>
      <c r="G314" s="72" t="str">
        <f>IF($K314="","",INDEX('Detalle individual'!$D:$D,$K314))</f>
        <v/>
      </c>
      <c r="H314" s="13" t="str">
        <f>IF($K314="","",INDEX('Detalle individual'!$F:$F,$K314))</f>
        <v/>
      </c>
      <c r="I314" s="20" t="str">
        <f>IF($K314="","",IF(INDEX('Detalle individual'!$F:$F,$K314)="Completado",INDEX('Detalle individual'!$H:$H,$K314),""))</f>
        <v/>
      </c>
      <c r="J314" s="21" t="str">
        <f>IF($K314="","",IF(INDEX('Detalle individual'!$F:$F,$K314)="Completado",INDEX('Detalle individual'!$J:$J,$K314),""))</f>
        <v/>
      </c>
      <c r="K314" t="str">
        <f>IFERROR(MOD(SMALL(Cálculos!$Z$5:$Z$1000,306),10000),"")</f>
        <v/>
      </c>
    </row>
    <row r="315">
      <c r="B315" s="13" t="str">
        <f>IF($K315="","",307)</f>
        <v/>
      </c>
      <c r="C315" s="13" t="str">
        <f>IF($K315="","",INDEX('Detalle individual'!$A:$A,$K315))</f>
        <v/>
      </c>
      <c r="D315" s="72" t="str">
        <f>IF($K315="","",TRIM(INDEX('Detalle individual'!$B:$B,$K315)))</f>
        <v/>
      </c>
      <c r="E315" s="72" t="str">
        <f>IF($K315="","",TRIM(INDEX('Detalle individual'!$E:$E,$K315)))</f>
        <v/>
      </c>
      <c r="F315" s="72" t="str">
        <f>IF($K315="","",TRIM(INDEX('Detalle individual'!$C:$C,$K315)))</f>
        <v/>
      </c>
      <c r="G315" s="72" t="str">
        <f>IF($K315="","",INDEX('Detalle individual'!$D:$D,$K315))</f>
        <v/>
      </c>
      <c r="H315" s="13" t="str">
        <f>IF($K315="","",INDEX('Detalle individual'!$F:$F,$K315))</f>
        <v/>
      </c>
      <c r="I315" s="20" t="str">
        <f>IF($K315="","",IF(INDEX('Detalle individual'!$F:$F,$K315)="Completado",INDEX('Detalle individual'!$H:$H,$K315),""))</f>
        <v/>
      </c>
      <c r="J315" s="21" t="str">
        <f>IF($K315="","",IF(INDEX('Detalle individual'!$F:$F,$K315)="Completado",INDEX('Detalle individual'!$J:$J,$K315),""))</f>
        <v/>
      </c>
      <c r="K315" t="str">
        <f>IFERROR(MOD(SMALL(Cálculos!$Z$5:$Z$1000,307),10000),"")</f>
        <v/>
      </c>
    </row>
    <row r="316">
      <c r="B316" s="13" t="str">
        <f>IF($K316="","",308)</f>
        <v/>
      </c>
      <c r="C316" s="13" t="str">
        <f>IF($K316="","",INDEX('Detalle individual'!$A:$A,$K316))</f>
        <v/>
      </c>
      <c r="D316" s="72" t="str">
        <f>IF($K316="","",TRIM(INDEX('Detalle individual'!$B:$B,$K316)))</f>
        <v/>
      </c>
      <c r="E316" s="72" t="str">
        <f>IF($K316="","",TRIM(INDEX('Detalle individual'!$E:$E,$K316)))</f>
        <v/>
      </c>
      <c r="F316" s="72" t="str">
        <f>IF($K316="","",TRIM(INDEX('Detalle individual'!$C:$C,$K316)))</f>
        <v/>
      </c>
      <c r="G316" s="72" t="str">
        <f>IF($K316="","",INDEX('Detalle individual'!$D:$D,$K316))</f>
        <v/>
      </c>
      <c r="H316" s="13" t="str">
        <f>IF($K316="","",INDEX('Detalle individual'!$F:$F,$K316))</f>
        <v/>
      </c>
      <c r="I316" s="20" t="str">
        <f>IF($K316="","",IF(INDEX('Detalle individual'!$F:$F,$K316)="Completado",INDEX('Detalle individual'!$H:$H,$K316),""))</f>
        <v/>
      </c>
      <c r="J316" s="21" t="str">
        <f>IF($K316="","",IF(INDEX('Detalle individual'!$F:$F,$K316)="Completado",INDEX('Detalle individual'!$J:$J,$K316),""))</f>
        <v/>
      </c>
      <c r="K316" t="str">
        <f>IFERROR(MOD(SMALL(Cálculos!$Z$5:$Z$1000,308),10000),"")</f>
        <v/>
      </c>
    </row>
    <row r="317">
      <c r="B317" s="13" t="str">
        <f>IF($K317="","",309)</f>
        <v/>
      </c>
      <c r="C317" s="13" t="str">
        <f>IF($K317="","",INDEX('Detalle individual'!$A:$A,$K317))</f>
        <v/>
      </c>
      <c r="D317" s="72" t="str">
        <f>IF($K317="","",TRIM(INDEX('Detalle individual'!$B:$B,$K317)))</f>
        <v/>
      </c>
      <c r="E317" s="72" t="str">
        <f>IF($K317="","",TRIM(INDEX('Detalle individual'!$E:$E,$K317)))</f>
        <v/>
      </c>
      <c r="F317" s="72" t="str">
        <f>IF($K317="","",TRIM(INDEX('Detalle individual'!$C:$C,$K317)))</f>
        <v/>
      </c>
      <c r="G317" s="72" t="str">
        <f>IF($K317="","",INDEX('Detalle individual'!$D:$D,$K317))</f>
        <v/>
      </c>
      <c r="H317" s="13" t="str">
        <f>IF($K317="","",INDEX('Detalle individual'!$F:$F,$K317))</f>
        <v/>
      </c>
      <c r="I317" s="20" t="str">
        <f>IF($K317="","",IF(INDEX('Detalle individual'!$F:$F,$K317)="Completado",INDEX('Detalle individual'!$H:$H,$K317),""))</f>
        <v/>
      </c>
      <c r="J317" s="21" t="str">
        <f>IF($K317="","",IF(INDEX('Detalle individual'!$F:$F,$K317)="Completado",INDEX('Detalle individual'!$J:$J,$K317),""))</f>
        <v/>
      </c>
      <c r="K317" t="str">
        <f>IFERROR(MOD(SMALL(Cálculos!$Z$5:$Z$1000,309),10000),"")</f>
        <v/>
      </c>
    </row>
    <row r="318">
      <c r="B318" s="13" t="str">
        <f>IF($K318="","",310)</f>
        <v/>
      </c>
      <c r="C318" s="13" t="str">
        <f>IF($K318="","",INDEX('Detalle individual'!$A:$A,$K318))</f>
        <v/>
      </c>
      <c r="D318" s="72" t="str">
        <f>IF($K318="","",TRIM(INDEX('Detalle individual'!$B:$B,$K318)))</f>
        <v/>
      </c>
      <c r="E318" s="72" t="str">
        <f>IF($K318="","",TRIM(INDEX('Detalle individual'!$E:$E,$K318)))</f>
        <v/>
      </c>
      <c r="F318" s="72" t="str">
        <f>IF($K318="","",TRIM(INDEX('Detalle individual'!$C:$C,$K318)))</f>
        <v/>
      </c>
      <c r="G318" s="72" t="str">
        <f>IF($K318="","",INDEX('Detalle individual'!$D:$D,$K318))</f>
        <v/>
      </c>
      <c r="H318" s="13" t="str">
        <f>IF($K318="","",INDEX('Detalle individual'!$F:$F,$K318))</f>
        <v/>
      </c>
      <c r="I318" s="20" t="str">
        <f>IF($K318="","",IF(INDEX('Detalle individual'!$F:$F,$K318)="Completado",INDEX('Detalle individual'!$H:$H,$K318),""))</f>
        <v/>
      </c>
      <c r="J318" s="21" t="str">
        <f>IF($K318="","",IF(INDEX('Detalle individual'!$F:$F,$K318)="Completado",INDEX('Detalle individual'!$J:$J,$K318),""))</f>
        <v/>
      </c>
      <c r="K318" t="str">
        <f>IFERROR(MOD(SMALL(Cálculos!$Z$5:$Z$1000,310),10000),"")</f>
        <v/>
      </c>
    </row>
    <row r="319">
      <c r="B319" s="13" t="str">
        <f>IF($K319="","",311)</f>
        <v/>
      </c>
      <c r="C319" s="13" t="str">
        <f>IF($K319="","",INDEX('Detalle individual'!$A:$A,$K319))</f>
        <v/>
      </c>
      <c r="D319" s="72" t="str">
        <f>IF($K319="","",TRIM(INDEX('Detalle individual'!$B:$B,$K319)))</f>
        <v/>
      </c>
      <c r="E319" s="72" t="str">
        <f>IF($K319="","",TRIM(INDEX('Detalle individual'!$E:$E,$K319)))</f>
        <v/>
      </c>
      <c r="F319" s="72" t="str">
        <f>IF($K319="","",TRIM(INDEX('Detalle individual'!$C:$C,$K319)))</f>
        <v/>
      </c>
      <c r="G319" s="72" t="str">
        <f>IF($K319="","",INDEX('Detalle individual'!$D:$D,$K319))</f>
        <v/>
      </c>
      <c r="H319" s="13" t="str">
        <f>IF($K319="","",INDEX('Detalle individual'!$F:$F,$K319))</f>
        <v/>
      </c>
      <c r="I319" s="20" t="str">
        <f>IF($K319="","",IF(INDEX('Detalle individual'!$F:$F,$K319)="Completado",INDEX('Detalle individual'!$H:$H,$K319),""))</f>
        <v/>
      </c>
      <c r="J319" s="21" t="str">
        <f>IF($K319="","",IF(INDEX('Detalle individual'!$F:$F,$K319)="Completado",INDEX('Detalle individual'!$J:$J,$K319),""))</f>
        <v/>
      </c>
      <c r="K319" t="str">
        <f>IFERROR(MOD(SMALL(Cálculos!$Z$5:$Z$1000,311),10000),"")</f>
        <v/>
      </c>
    </row>
    <row r="320">
      <c r="B320" s="13" t="str">
        <f>IF($K320="","",312)</f>
        <v/>
      </c>
      <c r="C320" s="13" t="str">
        <f>IF($K320="","",INDEX('Detalle individual'!$A:$A,$K320))</f>
        <v/>
      </c>
      <c r="D320" s="72" t="str">
        <f>IF($K320="","",TRIM(INDEX('Detalle individual'!$B:$B,$K320)))</f>
        <v/>
      </c>
      <c r="E320" s="72" t="str">
        <f>IF($K320="","",TRIM(INDEX('Detalle individual'!$E:$E,$K320)))</f>
        <v/>
      </c>
      <c r="F320" s="72" t="str">
        <f>IF($K320="","",TRIM(INDEX('Detalle individual'!$C:$C,$K320)))</f>
        <v/>
      </c>
      <c r="G320" s="72" t="str">
        <f>IF($K320="","",INDEX('Detalle individual'!$D:$D,$K320))</f>
        <v/>
      </c>
      <c r="H320" s="13" t="str">
        <f>IF($K320="","",INDEX('Detalle individual'!$F:$F,$K320))</f>
        <v/>
      </c>
      <c r="I320" s="20" t="str">
        <f>IF($K320="","",IF(INDEX('Detalle individual'!$F:$F,$K320)="Completado",INDEX('Detalle individual'!$H:$H,$K320),""))</f>
        <v/>
      </c>
      <c r="J320" s="21" t="str">
        <f>IF($K320="","",IF(INDEX('Detalle individual'!$F:$F,$K320)="Completado",INDEX('Detalle individual'!$J:$J,$K320),""))</f>
        <v/>
      </c>
      <c r="K320" t="str">
        <f>IFERROR(MOD(SMALL(Cálculos!$Z$5:$Z$1000,312),10000),"")</f>
        <v/>
      </c>
    </row>
    <row r="321">
      <c r="B321" s="13" t="str">
        <f>IF($K321="","",313)</f>
        <v/>
      </c>
      <c r="C321" s="13" t="str">
        <f>IF($K321="","",INDEX('Detalle individual'!$A:$A,$K321))</f>
        <v/>
      </c>
      <c r="D321" s="72" t="str">
        <f>IF($K321="","",TRIM(INDEX('Detalle individual'!$B:$B,$K321)))</f>
        <v/>
      </c>
      <c r="E321" s="72" t="str">
        <f>IF($K321="","",TRIM(INDEX('Detalle individual'!$E:$E,$K321)))</f>
        <v/>
      </c>
      <c r="F321" s="72" t="str">
        <f>IF($K321="","",TRIM(INDEX('Detalle individual'!$C:$C,$K321)))</f>
        <v/>
      </c>
      <c r="G321" s="72" t="str">
        <f>IF($K321="","",INDEX('Detalle individual'!$D:$D,$K321))</f>
        <v/>
      </c>
      <c r="H321" s="13" t="str">
        <f>IF($K321="","",INDEX('Detalle individual'!$F:$F,$K321))</f>
        <v/>
      </c>
      <c r="I321" s="20" t="str">
        <f>IF($K321="","",IF(INDEX('Detalle individual'!$F:$F,$K321)="Completado",INDEX('Detalle individual'!$H:$H,$K321),""))</f>
        <v/>
      </c>
      <c r="J321" s="21" t="str">
        <f>IF($K321="","",IF(INDEX('Detalle individual'!$F:$F,$K321)="Completado",INDEX('Detalle individual'!$J:$J,$K321),""))</f>
        <v/>
      </c>
      <c r="K321" t="str">
        <f>IFERROR(MOD(SMALL(Cálculos!$Z$5:$Z$1000,313),10000),"")</f>
        <v/>
      </c>
    </row>
    <row r="322">
      <c r="B322" s="13" t="str">
        <f>IF($K322="","",314)</f>
        <v/>
      </c>
      <c r="C322" s="13" t="str">
        <f>IF($K322="","",INDEX('Detalle individual'!$A:$A,$K322))</f>
        <v/>
      </c>
      <c r="D322" s="72" t="str">
        <f>IF($K322="","",TRIM(INDEX('Detalle individual'!$B:$B,$K322)))</f>
        <v/>
      </c>
      <c r="E322" s="72" t="str">
        <f>IF($K322="","",TRIM(INDEX('Detalle individual'!$E:$E,$K322)))</f>
        <v/>
      </c>
      <c r="F322" s="72" t="str">
        <f>IF($K322="","",TRIM(INDEX('Detalle individual'!$C:$C,$K322)))</f>
        <v/>
      </c>
      <c r="G322" s="72" t="str">
        <f>IF($K322="","",INDEX('Detalle individual'!$D:$D,$K322))</f>
        <v/>
      </c>
      <c r="H322" s="13" t="str">
        <f>IF($K322="","",INDEX('Detalle individual'!$F:$F,$K322))</f>
        <v/>
      </c>
      <c r="I322" s="20" t="str">
        <f>IF($K322="","",IF(INDEX('Detalle individual'!$F:$F,$K322)="Completado",INDEX('Detalle individual'!$H:$H,$K322),""))</f>
        <v/>
      </c>
      <c r="J322" s="21" t="str">
        <f>IF($K322="","",IF(INDEX('Detalle individual'!$F:$F,$K322)="Completado",INDEX('Detalle individual'!$J:$J,$K322),""))</f>
        <v/>
      </c>
      <c r="K322" t="str">
        <f>IFERROR(MOD(SMALL(Cálculos!$Z$5:$Z$1000,314),10000),"")</f>
        <v/>
      </c>
    </row>
    <row r="323">
      <c r="B323" s="13" t="str">
        <f>IF($K323="","",315)</f>
        <v/>
      </c>
      <c r="C323" s="13" t="str">
        <f>IF($K323="","",INDEX('Detalle individual'!$A:$A,$K323))</f>
        <v/>
      </c>
      <c r="D323" s="72" t="str">
        <f>IF($K323="","",TRIM(INDEX('Detalle individual'!$B:$B,$K323)))</f>
        <v/>
      </c>
      <c r="E323" s="72" t="str">
        <f>IF($K323="","",TRIM(INDEX('Detalle individual'!$E:$E,$K323)))</f>
        <v/>
      </c>
      <c r="F323" s="72" t="str">
        <f>IF($K323="","",TRIM(INDEX('Detalle individual'!$C:$C,$K323)))</f>
        <v/>
      </c>
      <c r="G323" s="72" t="str">
        <f>IF($K323="","",INDEX('Detalle individual'!$D:$D,$K323))</f>
        <v/>
      </c>
      <c r="H323" s="13" t="str">
        <f>IF($K323="","",INDEX('Detalle individual'!$F:$F,$K323))</f>
        <v/>
      </c>
      <c r="I323" s="20" t="str">
        <f>IF($K323="","",IF(INDEX('Detalle individual'!$F:$F,$K323)="Completado",INDEX('Detalle individual'!$H:$H,$K323),""))</f>
        <v/>
      </c>
      <c r="J323" s="21" t="str">
        <f>IF($K323="","",IF(INDEX('Detalle individual'!$F:$F,$K323)="Completado",INDEX('Detalle individual'!$J:$J,$K323),""))</f>
        <v/>
      </c>
      <c r="K323" t="str">
        <f>IFERROR(MOD(SMALL(Cálculos!$Z$5:$Z$1000,315),10000),"")</f>
        <v/>
      </c>
    </row>
    <row r="324">
      <c r="B324" s="13" t="str">
        <f>IF($K324="","",316)</f>
        <v/>
      </c>
      <c r="C324" s="13" t="str">
        <f>IF($K324="","",INDEX('Detalle individual'!$A:$A,$K324))</f>
        <v/>
      </c>
      <c r="D324" s="72" t="str">
        <f>IF($K324="","",TRIM(INDEX('Detalle individual'!$B:$B,$K324)))</f>
        <v/>
      </c>
      <c r="E324" s="72" t="str">
        <f>IF($K324="","",TRIM(INDEX('Detalle individual'!$E:$E,$K324)))</f>
        <v/>
      </c>
      <c r="F324" s="72" t="str">
        <f>IF($K324="","",TRIM(INDEX('Detalle individual'!$C:$C,$K324)))</f>
        <v/>
      </c>
      <c r="G324" s="72" t="str">
        <f>IF($K324="","",INDEX('Detalle individual'!$D:$D,$K324))</f>
        <v/>
      </c>
      <c r="H324" s="13" t="str">
        <f>IF($K324="","",INDEX('Detalle individual'!$F:$F,$K324))</f>
        <v/>
      </c>
      <c r="I324" s="20" t="str">
        <f>IF($K324="","",IF(INDEX('Detalle individual'!$F:$F,$K324)="Completado",INDEX('Detalle individual'!$H:$H,$K324),""))</f>
        <v/>
      </c>
      <c r="J324" s="21" t="str">
        <f>IF($K324="","",IF(INDEX('Detalle individual'!$F:$F,$K324)="Completado",INDEX('Detalle individual'!$J:$J,$K324),""))</f>
        <v/>
      </c>
      <c r="K324" t="str">
        <f>IFERROR(MOD(SMALL(Cálculos!$Z$5:$Z$1000,316),10000),"")</f>
        <v/>
      </c>
    </row>
    <row r="325">
      <c r="B325" s="13" t="str">
        <f>IF($K325="","",317)</f>
        <v/>
      </c>
      <c r="C325" s="13" t="str">
        <f>IF($K325="","",INDEX('Detalle individual'!$A:$A,$K325))</f>
        <v/>
      </c>
      <c r="D325" s="72" t="str">
        <f>IF($K325="","",TRIM(INDEX('Detalle individual'!$B:$B,$K325)))</f>
        <v/>
      </c>
      <c r="E325" s="72" t="str">
        <f>IF($K325="","",TRIM(INDEX('Detalle individual'!$E:$E,$K325)))</f>
        <v/>
      </c>
      <c r="F325" s="72" t="str">
        <f>IF($K325="","",TRIM(INDEX('Detalle individual'!$C:$C,$K325)))</f>
        <v/>
      </c>
      <c r="G325" s="72" t="str">
        <f>IF($K325="","",INDEX('Detalle individual'!$D:$D,$K325))</f>
        <v/>
      </c>
      <c r="H325" s="13" t="str">
        <f>IF($K325="","",INDEX('Detalle individual'!$F:$F,$K325))</f>
        <v/>
      </c>
      <c r="I325" s="20" t="str">
        <f>IF($K325="","",IF(INDEX('Detalle individual'!$F:$F,$K325)="Completado",INDEX('Detalle individual'!$H:$H,$K325),""))</f>
        <v/>
      </c>
      <c r="J325" s="21" t="str">
        <f>IF($K325="","",IF(INDEX('Detalle individual'!$F:$F,$K325)="Completado",INDEX('Detalle individual'!$J:$J,$K325),""))</f>
        <v/>
      </c>
      <c r="K325" t="str">
        <f>IFERROR(MOD(SMALL(Cálculos!$Z$5:$Z$1000,317),10000),"")</f>
        <v/>
      </c>
    </row>
    <row r="326">
      <c r="B326" s="13" t="str">
        <f>IF($K326="","",318)</f>
        <v/>
      </c>
      <c r="C326" s="13" t="str">
        <f>IF($K326="","",INDEX('Detalle individual'!$A:$A,$K326))</f>
        <v/>
      </c>
      <c r="D326" s="72" t="str">
        <f>IF($K326="","",TRIM(INDEX('Detalle individual'!$B:$B,$K326)))</f>
        <v/>
      </c>
      <c r="E326" s="72" t="str">
        <f>IF($K326="","",TRIM(INDEX('Detalle individual'!$E:$E,$K326)))</f>
        <v/>
      </c>
      <c r="F326" s="72" t="str">
        <f>IF($K326="","",TRIM(INDEX('Detalle individual'!$C:$C,$K326)))</f>
        <v/>
      </c>
      <c r="G326" s="72" t="str">
        <f>IF($K326="","",INDEX('Detalle individual'!$D:$D,$K326))</f>
        <v/>
      </c>
      <c r="H326" s="13" t="str">
        <f>IF($K326="","",INDEX('Detalle individual'!$F:$F,$K326))</f>
        <v/>
      </c>
      <c r="I326" s="20" t="str">
        <f>IF($K326="","",IF(INDEX('Detalle individual'!$F:$F,$K326)="Completado",INDEX('Detalle individual'!$H:$H,$K326),""))</f>
        <v/>
      </c>
      <c r="J326" s="21" t="str">
        <f>IF($K326="","",IF(INDEX('Detalle individual'!$F:$F,$K326)="Completado",INDEX('Detalle individual'!$J:$J,$K326),""))</f>
        <v/>
      </c>
      <c r="K326" t="str">
        <f>IFERROR(MOD(SMALL(Cálculos!$Z$5:$Z$1000,318),10000),"")</f>
        <v/>
      </c>
    </row>
    <row r="327">
      <c r="B327" s="13" t="str">
        <f>IF($K327="","",319)</f>
        <v/>
      </c>
      <c r="C327" s="13" t="str">
        <f>IF($K327="","",INDEX('Detalle individual'!$A:$A,$K327))</f>
        <v/>
      </c>
      <c r="D327" s="72" t="str">
        <f>IF($K327="","",TRIM(INDEX('Detalle individual'!$B:$B,$K327)))</f>
        <v/>
      </c>
      <c r="E327" s="72" t="str">
        <f>IF($K327="","",TRIM(INDEX('Detalle individual'!$E:$E,$K327)))</f>
        <v/>
      </c>
      <c r="F327" s="72" t="str">
        <f>IF($K327="","",TRIM(INDEX('Detalle individual'!$C:$C,$K327)))</f>
        <v/>
      </c>
      <c r="G327" s="72" t="str">
        <f>IF($K327="","",INDEX('Detalle individual'!$D:$D,$K327))</f>
        <v/>
      </c>
      <c r="H327" s="13" t="str">
        <f>IF($K327="","",INDEX('Detalle individual'!$F:$F,$K327))</f>
        <v/>
      </c>
      <c r="I327" s="20" t="str">
        <f>IF($K327="","",IF(INDEX('Detalle individual'!$F:$F,$K327)="Completado",INDEX('Detalle individual'!$H:$H,$K327),""))</f>
        <v/>
      </c>
      <c r="J327" s="21" t="str">
        <f>IF($K327="","",IF(INDEX('Detalle individual'!$F:$F,$K327)="Completado",INDEX('Detalle individual'!$J:$J,$K327),""))</f>
        <v/>
      </c>
      <c r="K327" t="str">
        <f>IFERROR(MOD(SMALL(Cálculos!$Z$5:$Z$1000,319),10000),"")</f>
        <v/>
      </c>
    </row>
    <row r="328">
      <c r="B328" s="13" t="str">
        <f>IF($K328="","",320)</f>
        <v/>
      </c>
      <c r="C328" s="13" t="str">
        <f>IF($K328="","",INDEX('Detalle individual'!$A:$A,$K328))</f>
        <v/>
      </c>
      <c r="D328" s="72" t="str">
        <f>IF($K328="","",TRIM(INDEX('Detalle individual'!$B:$B,$K328)))</f>
        <v/>
      </c>
      <c r="E328" s="72" t="str">
        <f>IF($K328="","",TRIM(INDEX('Detalle individual'!$E:$E,$K328)))</f>
        <v/>
      </c>
      <c r="F328" s="72" t="str">
        <f>IF($K328="","",TRIM(INDEX('Detalle individual'!$C:$C,$K328)))</f>
        <v/>
      </c>
      <c r="G328" s="72" t="str">
        <f>IF($K328="","",INDEX('Detalle individual'!$D:$D,$K328))</f>
        <v/>
      </c>
      <c r="H328" s="13" t="str">
        <f>IF($K328="","",INDEX('Detalle individual'!$F:$F,$K328))</f>
        <v/>
      </c>
      <c r="I328" s="20" t="str">
        <f>IF($K328="","",IF(INDEX('Detalle individual'!$F:$F,$K328)="Completado",INDEX('Detalle individual'!$H:$H,$K328),""))</f>
        <v/>
      </c>
      <c r="J328" s="21" t="str">
        <f>IF($K328="","",IF(INDEX('Detalle individual'!$F:$F,$K328)="Completado",INDEX('Detalle individual'!$J:$J,$K328),""))</f>
        <v/>
      </c>
      <c r="K328" t="str">
        <f>IFERROR(MOD(SMALL(Cálculos!$Z$5:$Z$1000,320),10000),"")</f>
        <v/>
      </c>
    </row>
    <row r="329">
      <c r="B329" s="13" t="str">
        <f>IF($K329="","",321)</f>
        <v/>
      </c>
      <c r="C329" s="13" t="str">
        <f>IF($K329="","",INDEX('Detalle individual'!$A:$A,$K329))</f>
        <v/>
      </c>
      <c r="D329" s="72" t="str">
        <f>IF($K329="","",TRIM(INDEX('Detalle individual'!$B:$B,$K329)))</f>
        <v/>
      </c>
      <c r="E329" s="72" t="str">
        <f>IF($K329="","",TRIM(INDEX('Detalle individual'!$E:$E,$K329)))</f>
        <v/>
      </c>
      <c r="F329" s="72" t="str">
        <f>IF($K329="","",TRIM(INDEX('Detalle individual'!$C:$C,$K329)))</f>
        <v/>
      </c>
      <c r="G329" s="72" t="str">
        <f>IF($K329="","",INDEX('Detalle individual'!$D:$D,$K329))</f>
        <v/>
      </c>
      <c r="H329" s="13" t="str">
        <f>IF($K329="","",INDEX('Detalle individual'!$F:$F,$K329))</f>
        <v/>
      </c>
      <c r="I329" s="20" t="str">
        <f>IF($K329="","",IF(INDEX('Detalle individual'!$F:$F,$K329)="Completado",INDEX('Detalle individual'!$H:$H,$K329),""))</f>
        <v/>
      </c>
      <c r="J329" s="21" t="str">
        <f>IF($K329="","",IF(INDEX('Detalle individual'!$F:$F,$K329)="Completado",INDEX('Detalle individual'!$J:$J,$K329),""))</f>
        <v/>
      </c>
      <c r="K329" t="str">
        <f>IFERROR(MOD(SMALL(Cálculos!$Z$5:$Z$1000,321),10000),"")</f>
        <v/>
      </c>
    </row>
    <row r="330">
      <c r="B330" s="13" t="str">
        <f>IF($K330="","",322)</f>
        <v/>
      </c>
      <c r="C330" s="13" t="str">
        <f>IF($K330="","",INDEX('Detalle individual'!$A:$A,$K330))</f>
        <v/>
      </c>
      <c r="D330" s="72" t="str">
        <f>IF($K330="","",TRIM(INDEX('Detalle individual'!$B:$B,$K330)))</f>
        <v/>
      </c>
      <c r="E330" s="72" t="str">
        <f>IF($K330="","",TRIM(INDEX('Detalle individual'!$E:$E,$K330)))</f>
        <v/>
      </c>
      <c r="F330" s="72" t="str">
        <f>IF($K330="","",TRIM(INDEX('Detalle individual'!$C:$C,$K330)))</f>
        <v/>
      </c>
      <c r="G330" s="72" t="str">
        <f>IF($K330="","",INDEX('Detalle individual'!$D:$D,$K330))</f>
        <v/>
      </c>
      <c r="H330" s="13" t="str">
        <f>IF($K330="","",INDEX('Detalle individual'!$F:$F,$K330))</f>
        <v/>
      </c>
      <c r="I330" s="20" t="str">
        <f>IF($K330="","",IF(INDEX('Detalle individual'!$F:$F,$K330)="Completado",INDEX('Detalle individual'!$H:$H,$K330),""))</f>
        <v/>
      </c>
      <c r="J330" s="21" t="str">
        <f>IF($K330="","",IF(INDEX('Detalle individual'!$F:$F,$K330)="Completado",INDEX('Detalle individual'!$J:$J,$K330),""))</f>
        <v/>
      </c>
      <c r="K330" t="str">
        <f>IFERROR(MOD(SMALL(Cálculos!$Z$5:$Z$1000,322),10000),"")</f>
        <v/>
      </c>
    </row>
    <row r="331">
      <c r="B331" s="13" t="str">
        <f>IF($K331="","",323)</f>
        <v/>
      </c>
      <c r="C331" s="13" t="str">
        <f>IF($K331="","",INDEX('Detalle individual'!$A:$A,$K331))</f>
        <v/>
      </c>
      <c r="D331" s="72" t="str">
        <f>IF($K331="","",TRIM(INDEX('Detalle individual'!$B:$B,$K331)))</f>
        <v/>
      </c>
      <c r="E331" s="72" t="str">
        <f>IF($K331="","",TRIM(INDEX('Detalle individual'!$E:$E,$K331)))</f>
        <v/>
      </c>
      <c r="F331" s="72" t="str">
        <f>IF($K331="","",TRIM(INDEX('Detalle individual'!$C:$C,$K331)))</f>
        <v/>
      </c>
      <c r="G331" s="72" t="str">
        <f>IF($K331="","",INDEX('Detalle individual'!$D:$D,$K331))</f>
        <v/>
      </c>
      <c r="H331" s="13" t="str">
        <f>IF($K331="","",INDEX('Detalle individual'!$F:$F,$K331))</f>
        <v/>
      </c>
      <c r="I331" s="20" t="str">
        <f>IF($K331="","",IF(INDEX('Detalle individual'!$F:$F,$K331)="Completado",INDEX('Detalle individual'!$H:$H,$K331),""))</f>
        <v/>
      </c>
      <c r="J331" s="21" t="str">
        <f>IF($K331="","",IF(INDEX('Detalle individual'!$F:$F,$K331)="Completado",INDEX('Detalle individual'!$J:$J,$K331),""))</f>
        <v/>
      </c>
      <c r="K331" t="str">
        <f>IFERROR(MOD(SMALL(Cálculos!$Z$5:$Z$1000,323),10000),"")</f>
        <v/>
      </c>
    </row>
    <row r="332">
      <c r="B332" s="13" t="str">
        <f>IF($K332="","",324)</f>
        <v/>
      </c>
      <c r="C332" s="13" t="str">
        <f>IF($K332="","",INDEX('Detalle individual'!$A:$A,$K332))</f>
        <v/>
      </c>
      <c r="D332" s="72" t="str">
        <f>IF($K332="","",TRIM(INDEX('Detalle individual'!$B:$B,$K332)))</f>
        <v/>
      </c>
      <c r="E332" s="72" t="str">
        <f>IF($K332="","",TRIM(INDEX('Detalle individual'!$E:$E,$K332)))</f>
        <v/>
      </c>
      <c r="F332" s="72" t="str">
        <f>IF($K332="","",TRIM(INDEX('Detalle individual'!$C:$C,$K332)))</f>
        <v/>
      </c>
      <c r="G332" s="72" t="str">
        <f>IF($K332="","",INDEX('Detalle individual'!$D:$D,$K332))</f>
        <v/>
      </c>
      <c r="H332" s="13" t="str">
        <f>IF($K332="","",INDEX('Detalle individual'!$F:$F,$K332))</f>
        <v/>
      </c>
      <c r="I332" s="20" t="str">
        <f>IF($K332="","",IF(INDEX('Detalle individual'!$F:$F,$K332)="Completado",INDEX('Detalle individual'!$H:$H,$K332),""))</f>
        <v/>
      </c>
      <c r="J332" s="21" t="str">
        <f>IF($K332="","",IF(INDEX('Detalle individual'!$F:$F,$K332)="Completado",INDEX('Detalle individual'!$J:$J,$K332),""))</f>
        <v/>
      </c>
      <c r="K332" t="str">
        <f>IFERROR(MOD(SMALL(Cálculos!$Z$5:$Z$1000,324),10000),"")</f>
        <v/>
      </c>
    </row>
    <row r="333">
      <c r="B333" s="13" t="str">
        <f>IF($K333="","",325)</f>
        <v/>
      </c>
      <c r="C333" s="13" t="str">
        <f>IF($K333="","",INDEX('Detalle individual'!$A:$A,$K333))</f>
        <v/>
      </c>
      <c r="D333" s="72" t="str">
        <f>IF($K333="","",TRIM(INDEX('Detalle individual'!$B:$B,$K333)))</f>
        <v/>
      </c>
      <c r="E333" s="72" t="str">
        <f>IF($K333="","",TRIM(INDEX('Detalle individual'!$E:$E,$K333)))</f>
        <v/>
      </c>
      <c r="F333" s="72" t="str">
        <f>IF($K333="","",TRIM(INDEX('Detalle individual'!$C:$C,$K333)))</f>
        <v/>
      </c>
      <c r="G333" s="72" t="str">
        <f>IF($K333="","",INDEX('Detalle individual'!$D:$D,$K333))</f>
        <v/>
      </c>
      <c r="H333" s="13" t="str">
        <f>IF($K333="","",INDEX('Detalle individual'!$F:$F,$K333))</f>
        <v/>
      </c>
      <c r="I333" s="20" t="str">
        <f>IF($K333="","",IF(INDEX('Detalle individual'!$F:$F,$K333)="Completado",INDEX('Detalle individual'!$H:$H,$K333),""))</f>
        <v/>
      </c>
      <c r="J333" s="21" t="str">
        <f>IF($K333="","",IF(INDEX('Detalle individual'!$F:$F,$K333)="Completado",INDEX('Detalle individual'!$J:$J,$K333),""))</f>
        <v/>
      </c>
      <c r="K333" t="str">
        <f>IFERROR(MOD(SMALL(Cálculos!$Z$5:$Z$1000,325),10000),"")</f>
        <v/>
      </c>
    </row>
    <row r="334">
      <c r="B334" s="13" t="str">
        <f>IF($K334="","",326)</f>
        <v/>
      </c>
      <c r="C334" s="13" t="str">
        <f>IF($K334="","",INDEX('Detalle individual'!$A:$A,$K334))</f>
        <v/>
      </c>
      <c r="D334" s="72" t="str">
        <f>IF($K334="","",TRIM(INDEX('Detalle individual'!$B:$B,$K334)))</f>
        <v/>
      </c>
      <c r="E334" s="72" t="str">
        <f>IF($K334="","",TRIM(INDEX('Detalle individual'!$E:$E,$K334)))</f>
        <v/>
      </c>
      <c r="F334" s="72" t="str">
        <f>IF($K334="","",TRIM(INDEX('Detalle individual'!$C:$C,$K334)))</f>
        <v/>
      </c>
      <c r="G334" s="72" t="str">
        <f>IF($K334="","",INDEX('Detalle individual'!$D:$D,$K334))</f>
        <v/>
      </c>
      <c r="H334" s="13" t="str">
        <f>IF($K334="","",INDEX('Detalle individual'!$F:$F,$K334))</f>
        <v/>
      </c>
      <c r="I334" s="20" t="str">
        <f>IF($K334="","",IF(INDEX('Detalle individual'!$F:$F,$K334)="Completado",INDEX('Detalle individual'!$H:$H,$K334),""))</f>
        <v/>
      </c>
      <c r="J334" s="21" t="str">
        <f>IF($K334="","",IF(INDEX('Detalle individual'!$F:$F,$K334)="Completado",INDEX('Detalle individual'!$J:$J,$K334),""))</f>
        <v/>
      </c>
      <c r="K334" t="str">
        <f>IFERROR(MOD(SMALL(Cálculos!$Z$5:$Z$1000,326),10000),"")</f>
        <v/>
      </c>
    </row>
    <row r="335">
      <c r="B335" s="13" t="str">
        <f>IF($K335="","",327)</f>
        <v/>
      </c>
      <c r="C335" s="13" t="str">
        <f>IF($K335="","",INDEX('Detalle individual'!$A:$A,$K335))</f>
        <v/>
      </c>
      <c r="D335" s="72" t="str">
        <f>IF($K335="","",TRIM(INDEX('Detalle individual'!$B:$B,$K335)))</f>
        <v/>
      </c>
      <c r="E335" s="72" t="str">
        <f>IF($K335="","",TRIM(INDEX('Detalle individual'!$E:$E,$K335)))</f>
        <v/>
      </c>
      <c r="F335" s="72" t="str">
        <f>IF($K335="","",TRIM(INDEX('Detalle individual'!$C:$C,$K335)))</f>
        <v/>
      </c>
      <c r="G335" s="72" t="str">
        <f>IF($K335="","",INDEX('Detalle individual'!$D:$D,$K335))</f>
        <v/>
      </c>
      <c r="H335" s="13" t="str">
        <f>IF($K335="","",INDEX('Detalle individual'!$F:$F,$K335))</f>
        <v/>
      </c>
      <c r="I335" s="20" t="str">
        <f>IF($K335="","",IF(INDEX('Detalle individual'!$F:$F,$K335)="Completado",INDEX('Detalle individual'!$H:$H,$K335),""))</f>
        <v/>
      </c>
      <c r="J335" s="21" t="str">
        <f>IF($K335="","",IF(INDEX('Detalle individual'!$F:$F,$K335)="Completado",INDEX('Detalle individual'!$J:$J,$K335),""))</f>
        <v/>
      </c>
      <c r="K335" t="str">
        <f>IFERROR(MOD(SMALL(Cálculos!$Z$5:$Z$1000,327),10000),"")</f>
        <v/>
      </c>
    </row>
    <row r="336">
      <c r="B336" s="13" t="str">
        <f>IF($K336="","",328)</f>
        <v/>
      </c>
      <c r="C336" s="13" t="str">
        <f>IF($K336="","",INDEX('Detalle individual'!$A:$A,$K336))</f>
        <v/>
      </c>
      <c r="D336" s="72" t="str">
        <f>IF($K336="","",TRIM(INDEX('Detalle individual'!$B:$B,$K336)))</f>
        <v/>
      </c>
      <c r="E336" s="72" t="str">
        <f>IF($K336="","",TRIM(INDEX('Detalle individual'!$E:$E,$K336)))</f>
        <v/>
      </c>
      <c r="F336" s="72" t="str">
        <f>IF($K336="","",TRIM(INDEX('Detalle individual'!$C:$C,$K336)))</f>
        <v/>
      </c>
      <c r="G336" s="72" t="str">
        <f>IF($K336="","",INDEX('Detalle individual'!$D:$D,$K336))</f>
        <v/>
      </c>
      <c r="H336" s="13" t="str">
        <f>IF($K336="","",INDEX('Detalle individual'!$F:$F,$K336))</f>
        <v/>
      </c>
      <c r="I336" s="20" t="str">
        <f>IF($K336="","",IF(INDEX('Detalle individual'!$F:$F,$K336)="Completado",INDEX('Detalle individual'!$H:$H,$K336),""))</f>
        <v/>
      </c>
      <c r="J336" s="21" t="str">
        <f>IF($K336="","",IF(INDEX('Detalle individual'!$F:$F,$K336)="Completado",INDEX('Detalle individual'!$J:$J,$K336),""))</f>
        <v/>
      </c>
      <c r="K336" t="str">
        <f>IFERROR(MOD(SMALL(Cálculos!$Z$5:$Z$1000,328),10000),"")</f>
        <v/>
      </c>
    </row>
    <row r="337">
      <c r="B337" s="13" t="str">
        <f>IF($K337="","",329)</f>
        <v/>
      </c>
      <c r="C337" s="13" t="str">
        <f>IF($K337="","",INDEX('Detalle individual'!$A:$A,$K337))</f>
        <v/>
      </c>
      <c r="D337" s="72" t="str">
        <f>IF($K337="","",TRIM(INDEX('Detalle individual'!$B:$B,$K337)))</f>
        <v/>
      </c>
      <c r="E337" s="72" t="str">
        <f>IF($K337="","",TRIM(INDEX('Detalle individual'!$E:$E,$K337)))</f>
        <v/>
      </c>
      <c r="F337" s="72" t="str">
        <f>IF($K337="","",TRIM(INDEX('Detalle individual'!$C:$C,$K337)))</f>
        <v/>
      </c>
      <c r="G337" s="72" t="str">
        <f>IF($K337="","",INDEX('Detalle individual'!$D:$D,$K337))</f>
        <v/>
      </c>
      <c r="H337" s="13" t="str">
        <f>IF($K337="","",INDEX('Detalle individual'!$F:$F,$K337))</f>
        <v/>
      </c>
      <c r="I337" s="20" t="str">
        <f>IF($K337="","",IF(INDEX('Detalle individual'!$F:$F,$K337)="Completado",INDEX('Detalle individual'!$H:$H,$K337),""))</f>
        <v/>
      </c>
      <c r="J337" s="21" t="str">
        <f>IF($K337="","",IF(INDEX('Detalle individual'!$F:$F,$K337)="Completado",INDEX('Detalle individual'!$J:$J,$K337),""))</f>
        <v/>
      </c>
      <c r="K337" t="str">
        <f>IFERROR(MOD(SMALL(Cálculos!$Z$5:$Z$1000,329),10000),"")</f>
        <v/>
      </c>
    </row>
    <row r="338">
      <c r="B338" s="13" t="str">
        <f>IF($K338="","",330)</f>
        <v/>
      </c>
      <c r="C338" s="13" t="str">
        <f>IF($K338="","",INDEX('Detalle individual'!$A:$A,$K338))</f>
        <v/>
      </c>
      <c r="D338" s="72" t="str">
        <f>IF($K338="","",TRIM(INDEX('Detalle individual'!$B:$B,$K338)))</f>
        <v/>
      </c>
      <c r="E338" s="72" t="str">
        <f>IF($K338="","",TRIM(INDEX('Detalle individual'!$E:$E,$K338)))</f>
        <v/>
      </c>
      <c r="F338" s="72" t="str">
        <f>IF($K338="","",TRIM(INDEX('Detalle individual'!$C:$C,$K338)))</f>
        <v/>
      </c>
      <c r="G338" s="72" t="str">
        <f>IF($K338="","",INDEX('Detalle individual'!$D:$D,$K338))</f>
        <v/>
      </c>
      <c r="H338" s="13" t="str">
        <f>IF($K338="","",INDEX('Detalle individual'!$F:$F,$K338))</f>
        <v/>
      </c>
      <c r="I338" s="20" t="str">
        <f>IF($K338="","",IF(INDEX('Detalle individual'!$F:$F,$K338)="Completado",INDEX('Detalle individual'!$H:$H,$K338),""))</f>
        <v/>
      </c>
      <c r="J338" s="21" t="str">
        <f>IF($K338="","",IF(INDEX('Detalle individual'!$F:$F,$K338)="Completado",INDEX('Detalle individual'!$J:$J,$K338),""))</f>
        <v/>
      </c>
      <c r="K338" t="str">
        <f>IFERROR(MOD(SMALL(Cálculos!$Z$5:$Z$1000,330),10000),"")</f>
        <v/>
      </c>
    </row>
    <row r="339">
      <c r="B339" s="13" t="str">
        <f>IF($K339="","",331)</f>
        <v/>
      </c>
      <c r="C339" s="13" t="str">
        <f>IF($K339="","",INDEX('Detalle individual'!$A:$A,$K339))</f>
        <v/>
      </c>
      <c r="D339" s="72" t="str">
        <f>IF($K339="","",TRIM(INDEX('Detalle individual'!$B:$B,$K339)))</f>
        <v/>
      </c>
      <c r="E339" s="72" t="str">
        <f>IF($K339="","",TRIM(INDEX('Detalle individual'!$E:$E,$K339)))</f>
        <v/>
      </c>
      <c r="F339" s="72" t="str">
        <f>IF($K339="","",TRIM(INDEX('Detalle individual'!$C:$C,$K339)))</f>
        <v/>
      </c>
      <c r="G339" s="72" t="str">
        <f>IF($K339="","",INDEX('Detalle individual'!$D:$D,$K339))</f>
        <v/>
      </c>
      <c r="H339" s="13" t="str">
        <f>IF($K339="","",INDEX('Detalle individual'!$F:$F,$K339))</f>
        <v/>
      </c>
      <c r="I339" s="20" t="str">
        <f>IF($K339="","",IF(INDEX('Detalle individual'!$F:$F,$K339)="Completado",INDEX('Detalle individual'!$H:$H,$K339),""))</f>
        <v/>
      </c>
      <c r="J339" s="21" t="str">
        <f>IF($K339="","",IF(INDEX('Detalle individual'!$F:$F,$K339)="Completado",INDEX('Detalle individual'!$J:$J,$K339),""))</f>
        <v/>
      </c>
      <c r="K339" t="str">
        <f>IFERROR(MOD(SMALL(Cálculos!$Z$5:$Z$1000,331),10000),"")</f>
        <v/>
      </c>
    </row>
    <row r="340">
      <c r="B340" s="13" t="str">
        <f>IF($K340="","",332)</f>
        <v/>
      </c>
      <c r="C340" s="13" t="str">
        <f>IF($K340="","",INDEX('Detalle individual'!$A:$A,$K340))</f>
        <v/>
      </c>
      <c r="D340" s="72" t="str">
        <f>IF($K340="","",TRIM(INDEX('Detalle individual'!$B:$B,$K340)))</f>
        <v/>
      </c>
      <c r="E340" s="72" t="str">
        <f>IF($K340="","",TRIM(INDEX('Detalle individual'!$E:$E,$K340)))</f>
        <v/>
      </c>
      <c r="F340" s="72" t="str">
        <f>IF($K340="","",TRIM(INDEX('Detalle individual'!$C:$C,$K340)))</f>
        <v/>
      </c>
      <c r="G340" s="72" t="str">
        <f>IF($K340="","",INDEX('Detalle individual'!$D:$D,$K340))</f>
        <v/>
      </c>
      <c r="H340" s="13" t="str">
        <f>IF($K340="","",INDEX('Detalle individual'!$F:$F,$K340))</f>
        <v/>
      </c>
      <c r="I340" s="20" t="str">
        <f>IF($K340="","",IF(INDEX('Detalle individual'!$F:$F,$K340)="Completado",INDEX('Detalle individual'!$H:$H,$K340),""))</f>
        <v/>
      </c>
      <c r="J340" s="21" t="str">
        <f>IF($K340="","",IF(INDEX('Detalle individual'!$F:$F,$K340)="Completado",INDEX('Detalle individual'!$J:$J,$K340),""))</f>
        <v/>
      </c>
      <c r="K340" t="str">
        <f>IFERROR(MOD(SMALL(Cálculos!$Z$5:$Z$1000,332),10000),"")</f>
        <v/>
      </c>
    </row>
    <row r="341">
      <c r="B341" s="13" t="str">
        <f>IF($K341="","",333)</f>
        <v/>
      </c>
      <c r="C341" s="13" t="str">
        <f>IF($K341="","",INDEX('Detalle individual'!$A:$A,$K341))</f>
        <v/>
      </c>
      <c r="D341" s="72" t="str">
        <f>IF($K341="","",TRIM(INDEX('Detalle individual'!$B:$B,$K341)))</f>
        <v/>
      </c>
      <c r="E341" s="72" t="str">
        <f>IF($K341="","",TRIM(INDEX('Detalle individual'!$E:$E,$K341)))</f>
        <v/>
      </c>
      <c r="F341" s="72" t="str">
        <f>IF($K341="","",TRIM(INDEX('Detalle individual'!$C:$C,$K341)))</f>
        <v/>
      </c>
      <c r="G341" s="72" t="str">
        <f>IF($K341="","",INDEX('Detalle individual'!$D:$D,$K341))</f>
        <v/>
      </c>
      <c r="H341" s="13" t="str">
        <f>IF($K341="","",INDEX('Detalle individual'!$F:$F,$K341))</f>
        <v/>
      </c>
      <c r="I341" s="20" t="str">
        <f>IF($K341="","",IF(INDEX('Detalle individual'!$F:$F,$K341)="Completado",INDEX('Detalle individual'!$H:$H,$K341),""))</f>
        <v/>
      </c>
      <c r="J341" s="21" t="str">
        <f>IF($K341="","",IF(INDEX('Detalle individual'!$F:$F,$K341)="Completado",INDEX('Detalle individual'!$J:$J,$K341),""))</f>
        <v/>
      </c>
      <c r="K341" t="str">
        <f>IFERROR(MOD(SMALL(Cálculos!$Z$5:$Z$1000,333),10000),"")</f>
        <v/>
      </c>
    </row>
    <row r="342">
      <c r="B342" s="13" t="str">
        <f>IF($K342="","",334)</f>
        <v/>
      </c>
      <c r="C342" s="13" t="str">
        <f>IF($K342="","",INDEX('Detalle individual'!$A:$A,$K342))</f>
        <v/>
      </c>
      <c r="D342" s="72" t="str">
        <f>IF($K342="","",TRIM(INDEX('Detalle individual'!$B:$B,$K342)))</f>
        <v/>
      </c>
      <c r="E342" s="72" t="str">
        <f>IF($K342="","",TRIM(INDEX('Detalle individual'!$E:$E,$K342)))</f>
        <v/>
      </c>
      <c r="F342" s="72" t="str">
        <f>IF($K342="","",TRIM(INDEX('Detalle individual'!$C:$C,$K342)))</f>
        <v/>
      </c>
      <c r="G342" s="72" t="str">
        <f>IF($K342="","",INDEX('Detalle individual'!$D:$D,$K342))</f>
        <v/>
      </c>
      <c r="H342" s="13" t="str">
        <f>IF($K342="","",INDEX('Detalle individual'!$F:$F,$K342))</f>
        <v/>
      </c>
      <c r="I342" s="20" t="str">
        <f>IF($K342="","",IF(INDEX('Detalle individual'!$F:$F,$K342)="Completado",INDEX('Detalle individual'!$H:$H,$K342),""))</f>
        <v/>
      </c>
      <c r="J342" s="21" t="str">
        <f>IF($K342="","",IF(INDEX('Detalle individual'!$F:$F,$K342)="Completado",INDEX('Detalle individual'!$J:$J,$K342),""))</f>
        <v/>
      </c>
      <c r="K342" t="str">
        <f>IFERROR(MOD(SMALL(Cálculos!$Z$5:$Z$1000,334),10000),"")</f>
        <v/>
      </c>
    </row>
    <row r="343">
      <c r="B343" s="13" t="str">
        <f>IF($K343="","",335)</f>
        <v/>
      </c>
      <c r="C343" s="13" t="str">
        <f>IF($K343="","",INDEX('Detalle individual'!$A:$A,$K343))</f>
        <v/>
      </c>
      <c r="D343" s="72" t="str">
        <f>IF($K343="","",TRIM(INDEX('Detalle individual'!$B:$B,$K343)))</f>
        <v/>
      </c>
      <c r="E343" s="72" t="str">
        <f>IF($K343="","",TRIM(INDEX('Detalle individual'!$E:$E,$K343)))</f>
        <v/>
      </c>
      <c r="F343" s="72" t="str">
        <f>IF($K343="","",TRIM(INDEX('Detalle individual'!$C:$C,$K343)))</f>
        <v/>
      </c>
      <c r="G343" s="72" t="str">
        <f>IF($K343="","",INDEX('Detalle individual'!$D:$D,$K343))</f>
        <v/>
      </c>
      <c r="H343" s="13" t="str">
        <f>IF($K343="","",INDEX('Detalle individual'!$F:$F,$K343))</f>
        <v/>
      </c>
      <c r="I343" s="20" t="str">
        <f>IF($K343="","",IF(INDEX('Detalle individual'!$F:$F,$K343)="Completado",INDEX('Detalle individual'!$H:$H,$K343),""))</f>
        <v/>
      </c>
      <c r="J343" s="21" t="str">
        <f>IF($K343="","",IF(INDEX('Detalle individual'!$F:$F,$K343)="Completado",INDEX('Detalle individual'!$J:$J,$K343),""))</f>
        <v/>
      </c>
      <c r="K343" t="str">
        <f>IFERROR(MOD(SMALL(Cálculos!$Z$5:$Z$1000,335),10000),"")</f>
        <v/>
      </c>
    </row>
    <row r="344">
      <c r="B344" s="13" t="str">
        <f>IF($K344="","",336)</f>
        <v/>
      </c>
      <c r="C344" s="13" t="str">
        <f>IF($K344="","",INDEX('Detalle individual'!$A:$A,$K344))</f>
        <v/>
      </c>
      <c r="D344" s="72" t="str">
        <f>IF($K344="","",TRIM(INDEX('Detalle individual'!$B:$B,$K344)))</f>
        <v/>
      </c>
      <c r="E344" s="72" t="str">
        <f>IF($K344="","",TRIM(INDEX('Detalle individual'!$E:$E,$K344)))</f>
        <v/>
      </c>
      <c r="F344" s="72" t="str">
        <f>IF($K344="","",TRIM(INDEX('Detalle individual'!$C:$C,$K344)))</f>
        <v/>
      </c>
      <c r="G344" s="72" t="str">
        <f>IF($K344="","",INDEX('Detalle individual'!$D:$D,$K344))</f>
        <v/>
      </c>
      <c r="H344" s="13" t="str">
        <f>IF($K344="","",INDEX('Detalle individual'!$F:$F,$K344))</f>
        <v/>
      </c>
      <c r="I344" s="20" t="str">
        <f>IF($K344="","",IF(INDEX('Detalle individual'!$F:$F,$K344)="Completado",INDEX('Detalle individual'!$H:$H,$K344),""))</f>
        <v/>
      </c>
      <c r="J344" s="21" t="str">
        <f>IF($K344="","",IF(INDEX('Detalle individual'!$F:$F,$K344)="Completado",INDEX('Detalle individual'!$J:$J,$K344),""))</f>
        <v/>
      </c>
      <c r="K344" t="str">
        <f>IFERROR(MOD(SMALL(Cálculos!$Z$5:$Z$1000,336),10000),"")</f>
        <v/>
      </c>
    </row>
    <row r="345">
      <c r="B345" s="13" t="str">
        <f>IF($K345="","",337)</f>
        <v/>
      </c>
      <c r="C345" s="13" t="str">
        <f>IF($K345="","",INDEX('Detalle individual'!$A:$A,$K345))</f>
        <v/>
      </c>
      <c r="D345" s="72" t="str">
        <f>IF($K345="","",TRIM(INDEX('Detalle individual'!$B:$B,$K345)))</f>
        <v/>
      </c>
      <c r="E345" s="72" t="str">
        <f>IF($K345="","",TRIM(INDEX('Detalle individual'!$E:$E,$K345)))</f>
        <v/>
      </c>
      <c r="F345" s="72" t="str">
        <f>IF($K345="","",TRIM(INDEX('Detalle individual'!$C:$C,$K345)))</f>
        <v/>
      </c>
      <c r="G345" s="72" t="str">
        <f>IF($K345="","",INDEX('Detalle individual'!$D:$D,$K345))</f>
        <v/>
      </c>
      <c r="H345" s="13" t="str">
        <f>IF($K345="","",INDEX('Detalle individual'!$F:$F,$K345))</f>
        <v/>
      </c>
      <c r="I345" s="20" t="str">
        <f>IF($K345="","",IF(INDEX('Detalle individual'!$F:$F,$K345)="Completado",INDEX('Detalle individual'!$H:$H,$K345),""))</f>
        <v/>
      </c>
      <c r="J345" s="21" t="str">
        <f>IF($K345="","",IF(INDEX('Detalle individual'!$F:$F,$K345)="Completado",INDEX('Detalle individual'!$J:$J,$K345),""))</f>
        <v/>
      </c>
      <c r="K345" t="str">
        <f>IFERROR(MOD(SMALL(Cálculos!$Z$5:$Z$1000,337),10000),"")</f>
        <v/>
      </c>
    </row>
    <row r="346">
      <c r="B346" s="13" t="str">
        <f>IF($K346="","",338)</f>
        <v/>
      </c>
      <c r="C346" s="13" t="str">
        <f>IF($K346="","",INDEX('Detalle individual'!$A:$A,$K346))</f>
        <v/>
      </c>
      <c r="D346" s="72" t="str">
        <f>IF($K346="","",TRIM(INDEX('Detalle individual'!$B:$B,$K346)))</f>
        <v/>
      </c>
      <c r="E346" s="72" t="str">
        <f>IF($K346="","",TRIM(INDEX('Detalle individual'!$E:$E,$K346)))</f>
        <v/>
      </c>
      <c r="F346" s="72" t="str">
        <f>IF($K346="","",TRIM(INDEX('Detalle individual'!$C:$C,$K346)))</f>
        <v/>
      </c>
      <c r="G346" s="72" t="str">
        <f>IF($K346="","",INDEX('Detalle individual'!$D:$D,$K346))</f>
        <v/>
      </c>
      <c r="H346" s="13" t="str">
        <f>IF($K346="","",INDEX('Detalle individual'!$F:$F,$K346))</f>
        <v/>
      </c>
      <c r="I346" s="20" t="str">
        <f>IF($K346="","",IF(INDEX('Detalle individual'!$F:$F,$K346)="Completado",INDEX('Detalle individual'!$H:$H,$K346),""))</f>
        <v/>
      </c>
      <c r="J346" s="21" t="str">
        <f>IF($K346="","",IF(INDEX('Detalle individual'!$F:$F,$K346)="Completado",INDEX('Detalle individual'!$J:$J,$K346),""))</f>
        <v/>
      </c>
      <c r="K346" t="str">
        <f>IFERROR(MOD(SMALL(Cálculos!$Z$5:$Z$1000,338),10000),"")</f>
        <v/>
      </c>
    </row>
    <row r="347">
      <c r="B347" s="13" t="str">
        <f>IF($K347="","",339)</f>
        <v/>
      </c>
      <c r="C347" s="13" t="str">
        <f>IF($K347="","",INDEX('Detalle individual'!$A:$A,$K347))</f>
        <v/>
      </c>
      <c r="D347" s="72" t="str">
        <f>IF($K347="","",TRIM(INDEX('Detalle individual'!$B:$B,$K347)))</f>
        <v/>
      </c>
      <c r="E347" s="72" t="str">
        <f>IF($K347="","",TRIM(INDEX('Detalle individual'!$E:$E,$K347)))</f>
        <v/>
      </c>
      <c r="F347" s="72" t="str">
        <f>IF($K347="","",TRIM(INDEX('Detalle individual'!$C:$C,$K347)))</f>
        <v/>
      </c>
      <c r="G347" s="72" t="str">
        <f>IF($K347="","",INDEX('Detalle individual'!$D:$D,$K347))</f>
        <v/>
      </c>
      <c r="H347" s="13" t="str">
        <f>IF($K347="","",INDEX('Detalle individual'!$F:$F,$K347))</f>
        <v/>
      </c>
      <c r="I347" s="20" t="str">
        <f>IF($K347="","",IF(INDEX('Detalle individual'!$F:$F,$K347)="Completado",INDEX('Detalle individual'!$H:$H,$K347),""))</f>
        <v/>
      </c>
      <c r="J347" s="21" t="str">
        <f>IF($K347="","",IF(INDEX('Detalle individual'!$F:$F,$K347)="Completado",INDEX('Detalle individual'!$J:$J,$K347),""))</f>
        <v/>
      </c>
      <c r="K347" t="str">
        <f>IFERROR(MOD(SMALL(Cálculos!$Z$5:$Z$1000,339),10000),"")</f>
        <v/>
      </c>
    </row>
    <row r="348">
      <c r="B348" s="13" t="str">
        <f>IF($K348="","",340)</f>
        <v/>
      </c>
      <c r="C348" s="13" t="str">
        <f>IF($K348="","",INDEX('Detalle individual'!$A:$A,$K348))</f>
        <v/>
      </c>
      <c r="D348" s="72" t="str">
        <f>IF($K348="","",TRIM(INDEX('Detalle individual'!$B:$B,$K348)))</f>
        <v/>
      </c>
      <c r="E348" s="72" t="str">
        <f>IF($K348="","",TRIM(INDEX('Detalle individual'!$E:$E,$K348)))</f>
        <v/>
      </c>
      <c r="F348" s="72" t="str">
        <f>IF($K348="","",TRIM(INDEX('Detalle individual'!$C:$C,$K348)))</f>
        <v/>
      </c>
      <c r="G348" s="72" t="str">
        <f>IF($K348="","",INDEX('Detalle individual'!$D:$D,$K348))</f>
        <v/>
      </c>
      <c r="H348" s="13" t="str">
        <f>IF($K348="","",INDEX('Detalle individual'!$F:$F,$K348))</f>
        <v/>
      </c>
      <c r="I348" s="20" t="str">
        <f>IF($K348="","",IF(INDEX('Detalle individual'!$F:$F,$K348)="Completado",INDEX('Detalle individual'!$H:$H,$K348),""))</f>
        <v/>
      </c>
      <c r="J348" s="21" t="str">
        <f>IF($K348="","",IF(INDEX('Detalle individual'!$F:$F,$K348)="Completado",INDEX('Detalle individual'!$J:$J,$K348),""))</f>
        <v/>
      </c>
      <c r="K348" t="str">
        <f>IFERROR(MOD(SMALL(Cálculos!$Z$5:$Z$1000,340),10000),"")</f>
        <v/>
      </c>
    </row>
    <row r="349">
      <c r="B349" s="13" t="str">
        <f>IF($K349="","",341)</f>
        <v/>
      </c>
      <c r="C349" s="13" t="str">
        <f>IF($K349="","",INDEX('Detalle individual'!$A:$A,$K349))</f>
        <v/>
      </c>
      <c r="D349" s="72" t="str">
        <f>IF($K349="","",TRIM(INDEX('Detalle individual'!$B:$B,$K349)))</f>
        <v/>
      </c>
      <c r="E349" s="72" t="str">
        <f>IF($K349="","",TRIM(INDEX('Detalle individual'!$E:$E,$K349)))</f>
        <v/>
      </c>
      <c r="F349" s="72" t="str">
        <f>IF($K349="","",TRIM(INDEX('Detalle individual'!$C:$C,$K349)))</f>
        <v/>
      </c>
      <c r="G349" s="72" t="str">
        <f>IF($K349="","",INDEX('Detalle individual'!$D:$D,$K349))</f>
        <v/>
      </c>
      <c r="H349" s="13" t="str">
        <f>IF($K349="","",INDEX('Detalle individual'!$F:$F,$K349))</f>
        <v/>
      </c>
      <c r="I349" s="20" t="str">
        <f>IF($K349="","",IF(INDEX('Detalle individual'!$F:$F,$K349)="Completado",INDEX('Detalle individual'!$H:$H,$K349),""))</f>
        <v/>
      </c>
      <c r="J349" s="21" t="str">
        <f>IF($K349="","",IF(INDEX('Detalle individual'!$F:$F,$K349)="Completado",INDEX('Detalle individual'!$J:$J,$K349),""))</f>
        <v/>
      </c>
      <c r="K349" t="str">
        <f>IFERROR(MOD(SMALL(Cálculos!$Z$5:$Z$1000,341),10000),"")</f>
        <v/>
      </c>
    </row>
    <row r="350">
      <c r="B350" s="13" t="str">
        <f>IF($K350="","",342)</f>
        <v/>
      </c>
      <c r="C350" s="13" t="str">
        <f>IF($K350="","",INDEX('Detalle individual'!$A:$A,$K350))</f>
        <v/>
      </c>
      <c r="D350" s="72" t="str">
        <f>IF($K350="","",TRIM(INDEX('Detalle individual'!$B:$B,$K350)))</f>
        <v/>
      </c>
      <c r="E350" s="72" t="str">
        <f>IF($K350="","",TRIM(INDEX('Detalle individual'!$E:$E,$K350)))</f>
        <v/>
      </c>
      <c r="F350" s="72" t="str">
        <f>IF($K350="","",TRIM(INDEX('Detalle individual'!$C:$C,$K350)))</f>
        <v/>
      </c>
      <c r="G350" s="72" t="str">
        <f>IF($K350="","",INDEX('Detalle individual'!$D:$D,$K350))</f>
        <v/>
      </c>
      <c r="H350" s="13" t="str">
        <f>IF($K350="","",INDEX('Detalle individual'!$F:$F,$K350))</f>
        <v/>
      </c>
      <c r="I350" s="20" t="str">
        <f>IF($K350="","",IF(INDEX('Detalle individual'!$F:$F,$K350)="Completado",INDEX('Detalle individual'!$H:$H,$K350),""))</f>
        <v/>
      </c>
      <c r="J350" s="21" t="str">
        <f>IF($K350="","",IF(INDEX('Detalle individual'!$F:$F,$K350)="Completado",INDEX('Detalle individual'!$J:$J,$K350),""))</f>
        <v/>
      </c>
      <c r="K350" t="str">
        <f>IFERROR(MOD(SMALL(Cálculos!$Z$5:$Z$1000,342),10000),"")</f>
        <v/>
      </c>
    </row>
    <row r="351">
      <c r="B351" s="13" t="str">
        <f>IF($K351="","",343)</f>
        <v/>
      </c>
      <c r="C351" s="13" t="str">
        <f>IF($K351="","",INDEX('Detalle individual'!$A:$A,$K351))</f>
        <v/>
      </c>
      <c r="D351" s="72" t="str">
        <f>IF($K351="","",TRIM(INDEX('Detalle individual'!$B:$B,$K351)))</f>
        <v/>
      </c>
      <c r="E351" s="72" t="str">
        <f>IF($K351="","",TRIM(INDEX('Detalle individual'!$E:$E,$K351)))</f>
        <v/>
      </c>
      <c r="F351" s="72" t="str">
        <f>IF($K351="","",TRIM(INDEX('Detalle individual'!$C:$C,$K351)))</f>
        <v/>
      </c>
      <c r="G351" s="72" t="str">
        <f>IF($K351="","",INDEX('Detalle individual'!$D:$D,$K351))</f>
        <v/>
      </c>
      <c r="H351" s="13" t="str">
        <f>IF($K351="","",INDEX('Detalle individual'!$F:$F,$K351))</f>
        <v/>
      </c>
      <c r="I351" s="20" t="str">
        <f>IF($K351="","",IF(INDEX('Detalle individual'!$F:$F,$K351)="Completado",INDEX('Detalle individual'!$H:$H,$K351),""))</f>
        <v/>
      </c>
      <c r="J351" s="21" t="str">
        <f>IF($K351="","",IF(INDEX('Detalle individual'!$F:$F,$K351)="Completado",INDEX('Detalle individual'!$J:$J,$K351),""))</f>
        <v/>
      </c>
      <c r="K351" t="str">
        <f>IFERROR(MOD(SMALL(Cálculos!$Z$5:$Z$1000,343),10000),"")</f>
        <v/>
      </c>
    </row>
    <row r="352">
      <c r="B352" s="13" t="str">
        <f>IF($K352="","",344)</f>
        <v/>
      </c>
      <c r="C352" s="13" t="str">
        <f>IF($K352="","",INDEX('Detalle individual'!$A:$A,$K352))</f>
        <v/>
      </c>
      <c r="D352" s="72" t="str">
        <f>IF($K352="","",TRIM(INDEX('Detalle individual'!$B:$B,$K352)))</f>
        <v/>
      </c>
      <c r="E352" s="72" t="str">
        <f>IF($K352="","",TRIM(INDEX('Detalle individual'!$E:$E,$K352)))</f>
        <v/>
      </c>
      <c r="F352" s="72" t="str">
        <f>IF($K352="","",TRIM(INDEX('Detalle individual'!$C:$C,$K352)))</f>
        <v/>
      </c>
      <c r="G352" s="72" t="str">
        <f>IF($K352="","",INDEX('Detalle individual'!$D:$D,$K352))</f>
        <v/>
      </c>
      <c r="H352" s="13" t="str">
        <f>IF($K352="","",INDEX('Detalle individual'!$F:$F,$K352))</f>
        <v/>
      </c>
      <c r="I352" s="20" t="str">
        <f>IF($K352="","",IF(INDEX('Detalle individual'!$F:$F,$K352)="Completado",INDEX('Detalle individual'!$H:$H,$K352),""))</f>
        <v/>
      </c>
      <c r="J352" s="21" t="str">
        <f>IF($K352="","",IF(INDEX('Detalle individual'!$F:$F,$K352)="Completado",INDEX('Detalle individual'!$J:$J,$K352),""))</f>
        <v/>
      </c>
      <c r="K352" t="str">
        <f>IFERROR(MOD(SMALL(Cálculos!$Z$5:$Z$1000,344),10000),"")</f>
        <v/>
      </c>
    </row>
    <row r="353">
      <c r="B353" s="13" t="str">
        <f>IF($K353="","",345)</f>
        <v/>
      </c>
      <c r="C353" s="13" t="str">
        <f>IF($K353="","",INDEX('Detalle individual'!$A:$A,$K353))</f>
        <v/>
      </c>
      <c r="D353" s="72" t="str">
        <f>IF($K353="","",TRIM(INDEX('Detalle individual'!$B:$B,$K353)))</f>
        <v/>
      </c>
      <c r="E353" s="72" t="str">
        <f>IF($K353="","",TRIM(INDEX('Detalle individual'!$E:$E,$K353)))</f>
        <v/>
      </c>
      <c r="F353" s="72" t="str">
        <f>IF($K353="","",TRIM(INDEX('Detalle individual'!$C:$C,$K353)))</f>
        <v/>
      </c>
      <c r="G353" s="72" t="str">
        <f>IF($K353="","",INDEX('Detalle individual'!$D:$D,$K353))</f>
        <v/>
      </c>
      <c r="H353" s="13" t="str">
        <f>IF($K353="","",INDEX('Detalle individual'!$F:$F,$K353))</f>
        <v/>
      </c>
      <c r="I353" s="20" t="str">
        <f>IF($K353="","",IF(INDEX('Detalle individual'!$F:$F,$K353)="Completado",INDEX('Detalle individual'!$H:$H,$K353),""))</f>
        <v/>
      </c>
      <c r="J353" s="21" t="str">
        <f>IF($K353="","",IF(INDEX('Detalle individual'!$F:$F,$K353)="Completado",INDEX('Detalle individual'!$J:$J,$K353),""))</f>
        <v/>
      </c>
      <c r="K353" t="str">
        <f>IFERROR(MOD(SMALL(Cálculos!$Z$5:$Z$1000,345),10000),"")</f>
        <v/>
      </c>
    </row>
    <row r="354">
      <c r="B354" s="13" t="str">
        <f>IF($K354="","",346)</f>
        <v/>
      </c>
      <c r="C354" s="13" t="str">
        <f>IF($K354="","",INDEX('Detalle individual'!$A:$A,$K354))</f>
        <v/>
      </c>
      <c r="D354" s="72" t="str">
        <f>IF($K354="","",TRIM(INDEX('Detalle individual'!$B:$B,$K354)))</f>
        <v/>
      </c>
      <c r="E354" s="72" t="str">
        <f>IF($K354="","",TRIM(INDEX('Detalle individual'!$E:$E,$K354)))</f>
        <v/>
      </c>
      <c r="F354" s="72" t="str">
        <f>IF($K354="","",TRIM(INDEX('Detalle individual'!$C:$C,$K354)))</f>
        <v/>
      </c>
      <c r="G354" s="72" t="str">
        <f>IF($K354="","",INDEX('Detalle individual'!$D:$D,$K354))</f>
        <v/>
      </c>
      <c r="H354" s="13" t="str">
        <f>IF($K354="","",INDEX('Detalle individual'!$F:$F,$K354))</f>
        <v/>
      </c>
      <c r="I354" s="20" t="str">
        <f>IF($K354="","",IF(INDEX('Detalle individual'!$F:$F,$K354)="Completado",INDEX('Detalle individual'!$H:$H,$K354),""))</f>
        <v/>
      </c>
      <c r="J354" s="21" t="str">
        <f>IF($K354="","",IF(INDEX('Detalle individual'!$F:$F,$K354)="Completado",INDEX('Detalle individual'!$J:$J,$K354),""))</f>
        <v/>
      </c>
      <c r="K354" t="str">
        <f>IFERROR(MOD(SMALL(Cálculos!$Z$5:$Z$1000,346),10000),"")</f>
        <v/>
      </c>
    </row>
    <row r="355">
      <c r="B355" s="13" t="str">
        <f>IF($K355="","",347)</f>
        <v/>
      </c>
      <c r="C355" s="13" t="str">
        <f>IF($K355="","",INDEX('Detalle individual'!$A:$A,$K355))</f>
        <v/>
      </c>
      <c r="D355" s="72" t="str">
        <f>IF($K355="","",TRIM(INDEX('Detalle individual'!$B:$B,$K355)))</f>
        <v/>
      </c>
      <c r="E355" s="72" t="str">
        <f>IF($K355="","",TRIM(INDEX('Detalle individual'!$E:$E,$K355)))</f>
        <v/>
      </c>
      <c r="F355" s="72" t="str">
        <f>IF($K355="","",TRIM(INDEX('Detalle individual'!$C:$C,$K355)))</f>
        <v/>
      </c>
      <c r="G355" s="72" t="str">
        <f>IF($K355="","",INDEX('Detalle individual'!$D:$D,$K355))</f>
        <v/>
      </c>
      <c r="H355" s="13" t="str">
        <f>IF($K355="","",INDEX('Detalle individual'!$F:$F,$K355))</f>
        <v/>
      </c>
      <c r="I355" s="20" t="str">
        <f>IF($K355="","",IF(INDEX('Detalle individual'!$F:$F,$K355)="Completado",INDEX('Detalle individual'!$H:$H,$K355),""))</f>
        <v/>
      </c>
      <c r="J355" s="21" t="str">
        <f>IF($K355="","",IF(INDEX('Detalle individual'!$F:$F,$K355)="Completado",INDEX('Detalle individual'!$J:$J,$K355),""))</f>
        <v/>
      </c>
      <c r="K355" t="str">
        <f>IFERROR(MOD(SMALL(Cálculos!$Z$5:$Z$1000,347),10000),"")</f>
        <v/>
      </c>
    </row>
    <row r="356">
      <c r="B356" s="13" t="str">
        <f>IF($K356="","",348)</f>
        <v/>
      </c>
      <c r="C356" s="13" t="str">
        <f>IF($K356="","",INDEX('Detalle individual'!$A:$A,$K356))</f>
        <v/>
      </c>
      <c r="D356" s="72" t="str">
        <f>IF($K356="","",TRIM(INDEX('Detalle individual'!$B:$B,$K356)))</f>
        <v/>
      </c>
      <c r="E356" s="72" t="str">
        <f>IF($K356="","",TRIM(INDEX('Detalle individual'!$E:$E,$K356)))</f>
        <v/>
      </c>
      <c r="F356" s="72" t="str">
        <f>IF($K356="","",TRIM(INDEX('Detalle individual'!$C:$C,$K356)))</f>
        <v/>
      </c>
      <c r="G356" s="72" t="str">
        <f>IF($K356="","",INDEX('Detalle individual'!$D:$D,$K356))</f>
        <v/>
      </c>
      <c r="H356" s="13" t="str">
        <f>IF($K356="","",INDEX('Detalle individual'!$F:$F,$K356))</f>
        <v/>
      </c>
      <c r="I356" s="20" t="str">
        <f>IF($K356="","",IF(INDEX('Detalle individual'!$F:$F,$K356)="Completado",INDEX('Detalle individual'!$H:$H,$K356),""))</f>
        <v/>
      </c>
      <c r="J356" s="21" t="str">
        <f>IF($K356="","",IF(INDEX('Detalle individual'!$F:$F,$K356)="Completado",INDEX('Detalle individual'!$J:$J,$K356),""))</f>
        <v/>
      </c>
      <c r="K356" t="str">
        <f>IFERROR(MOD(SMALL(Cálculos!$Z$5:$Z$1000,348),10000),"")</f>
        <v/>
      </c>
    </row>
    <row r="357">
      <c r="B357" s="13" t="str">
        <f>IF($K357="","",349)</f>
        <v/>
      </c>
      <c r="C357" s="13" t="str">
        <f>IF($K357="","",INDEX('Detalle individual'!$A:$A,$K357))</f>
        <v/>
      </c>
      <c r="D357" s="72" t="str">
        <f>IF($K357="","",TRIM(INDEX('Detalle individual'!$B:$B,$K357)))</f>
        <v/>
      </c>
      <c r="E357" s="72" t="str">
        <f>IF($K357="","",TRIM(INDEX('Detalle individual'!$E:$E,$K357)))</f>
        <v/>
      </c>
      <c r="F357" s="72" t="str">
        <f>IF($K357="","",TRIM(INDEX('Detalle individual'!$C:$C,$K357)))</f>
        <v/>
      </c>
      <c r="G357" s="72" t="str">
        <f>IF($K357="","",INDEX('Detalle individual'!$D:$D,$K357))</f>
        <v/>
      </c>
      <c r="H357" s="13" t="str">
        <f>IF($K357="","",INDEX('Detalle individual'!$F:$F,$K357))</f>
        <v/>
      </c>
      <c r="I357" s="20" t="str">
        <f>IF($K357="","",IF(INDEX('Detalle individual'!$F:$F,$K357)="Completado",INDEX('Detalle individual'!$H:$H,$K357),""))</f>
        <v/>
      </c>
      <c r="J357" s="21" t="str">
        <f>IF($K357="","",IF(INDEX('Detalle individual'!$F:$F,$K357)="Completado",INDEX('Detalle individual'!$J:$J,$K357),""))</f>
        <v/>
      </c>
      <c r="K357" t="str">
        <f>IFERROR(MOD(SMALL(Cálculos!$Z$5:$Z$1000,349),10000),"")</f>
        <v/>
      </c>
    </row>
    <row r="358">
      <c r="B358" s="13" t="str">
        <f>IF($K358="","",350)</f>
        <v/>
      </c>
      <c r="C358" s="13" t="str">
        <f>IF($K358="","",INDEX('Detalle individual'!$A:$A,$K358))</f>
        <v/>
      </c>
      <c r="D358" s="72" t="str">
        <f>IF($K358="","",TRIM(INDEX('Detalle individual'!$B:$B,$K358)))</f>
        <v/>
      </c>
      <c r="E358" s="72" t="str">
        <f>IF($K358="","",TRIM(INDEX('Detalle individual'!$E:$E,$K358)))</f>
        <v/>
      </c>
      <c r="F358" s="72" t="str">
        <f>IF($K358="","",TRIM(INDEX('Detalle individual'!$C:$C,$K358)))</f>
        <v/>
      </c>
      <c r="G358" s="72" t="str">
        <f>IF($K358="","",INDEX('Detalle individual'!$D:$D,$K358))</f>
        <v/>
      </c>
      <c r="H358" s="13" t="str">
        <f>IF($K358="","",INDEX('Detalle individual'!$F:$F,$K358))</f>
        <v/>
      </c>
      <c r="I358" s="20" t="str">
        <f>IF($K358="","",IF(INDEX('Detalle individual'!$F:$F,$K358)="Completado",INDEX('Detalle individual'!$H:$H,$K358),""))</f>
        <v/>
      </c>
      <c r="J358" s="21" t="str">
        <f>IF($K358="","",IF(INDEX('Detalle individual'!$F:$F,$K358)="Completado",INDEX('Detalle individual'!$J:$J,$K358),""))</f>
        <v/>
      </c>
      <c r="K358" t="str">
        <f>IFERROR(MOD(SMALL(Cálculos!$Z$5:$Z$1000,350),10000),"")</f>
        <v/>
      </c>
    </row>
    <row r="359">
      <c r="B359" s="13" t="str">
        <f>IF($K359="","",351)</f>
        <v/>
      </c>
      <c r="C359" s="13" t="str">
        <f>IF($K359="","",INDEX('Detalle individual'!$A:$A,$K359))</f>
        <v/>
      </c>
      <c r="D359" s="72" t="str">
        <f>IF($K359="","",TRIM(INDEX('Detalle individual'!$B:$B,$K359)))</f>
        <v/>
      </c>
      <c r="E359" s="72" t="str">
        <f>IF($K359="","",TRIM(INDEX('Detalle individual'!$E:$E,$K359)))</f>
        <v/>
      </c>
      <c r="F359" s="72" t="str">
        <f>IF($K359="","",TRIM(INDEX('Detalle individual'!$C:$C,$K359)))</f>
        <v/>
      </c>
      <c r="G359" s="72" t="str">
        <f>IF($K359="","",INDEX('Detalle individual'!$D:$D,$K359))</f>
        <v/>
      </c>
      <c r="H359" s="13" t="str">
        <f>IF($K359="","",INDEX('Detalle individual'!$F:$F,$K359))</f>
        <v/>
      </c>
      <c r="I359" s="20" t="str">
        <f>IF($K359="","",IF(INDEX('Detalle individual'!$F:$F,$K359)="Completado",INDEX('Detalle individual'!$H:$H,$K359),""))</f>
        <v/>
      </c>
      <c r="J359" s="21" t="str">
        <f>IF($K359="","",IF(INDEX('Detalle individual'!$F:$F,$K359)="Completado",INDEX('Detalle individual'!$J:$J,$K359),""))</f>
        <v/>
      </c>
      <c r="K359" t="str">
        <f>IFERROR(MOD(SMALL(Cálculos!$Z$5:$Z$1000,351),10000),"")</f>
        <v/>
      </c>
    </row>
    <row r="360">
      <c r="B360" s="13" t="str">
        <f>IF($K360="","",352)</f>
        <v/>
      </c>
      <c r="C360" s="13" t="str">
        <f>IF($K360="","",INDEX('Detalle individual'!$A:$A,$K360))</f>
        <v/>
      </c>
      <c r="D360" s="72" t="str">
        <f>IF($K360="","",TRIM(INDEX('Detalle individual'!$B:$B,$K360)))</f>
        <v/>
      </c>
      <c r="E360" s="72" t="str">
        <f>IF($K360="","",TRIM(INDEX('Detalle individual'!$E:$E,$K360)))</f>
        <v/>
      </c>
      <c r="F360" s="72" t="str">
        <f>IF($K360="","",TRIM(INDEX('Detalle individual'!$C:$C,$K360)))</f>
        <v/>
      </c>
      <c r="G360" s="72" t="str">
        <f>IF($K360="","",INDEX('Detalle individual'!$D:$D,$K360))</f>
        <v/>
      </c>
      <c r="H360" s="13" t="str">
        <f>IF($K360="","",INDEX('Detalle individual'!$F:$F,$K360))</f>
        <v/>
      </c>
      <c r="I360" s="20" t="str">
        <f>IF($K360="","",IF(INDEX('Detalle individual'!$F:$F,$K360)="Completado",INDEX('Detalle individual'!$H:$H,$K360),""))</f>
        <v/>
      </c>
      <c r="J360" s="21" t="str">
        <f>IF($K360="","",IF(INDEX('Detalle individual'!$F:$F,$K360)="Completado",INDEX('Detalle individual'!$J:$J,$K360),""))</f>
        <v/>
      </c>
      <c r="K360" t="str">
        <f>IFERROR(MOD(SMALL(Cálculos!$Z$5:$Z$1000,352),10000),"")</f>
        <v/>
      </c>
    </row>
    <row r="361">
      <c r="B361" s="13" t="str">
        <f>IF($K361="","",353)</f>
        <v/>
      </c>
      <c r="C361" s="13" t="str">
        <f>IF($K361="","",INDEX('Detalle individual'!$A:$A,$K361))</f>
        <v/>
      </c>
      <c r="D361" s="72" t="str">
        <f>IF($K361="","",TRIM(INDEX('Detalle individual'!$B:$B,$K361)))</f>
        <v/>
      </c>
      <c r="E361" s="72" t="str">
        <f>IF($K361="","",TRIM(INDEX('Detalle individual'!$E:$E,$K361)))</f>
        <v/>
      </c>
      <c r="F361" s="72" t="str">
        <f>IF($K361="","",TRIM(INDEX('Detalle individual'!$C:$C,$K361)))</f>
        <v/>
      </c>
      <c r="G361" s="72" t="str">
        <f>IF($K361="","",INDEX('Detalle individual'!$D:$D,$K361))</f>
        <v/>
      </c>
      <c r="H361" s="13" t="str">
        <f>IF($K361="","",INDEX('Detalle individual'!$F:$F,$K361))</f>
        <v/>
      </c>
      <c r="I361" s="20" t="str">
        <f>IF($K361="","",IF(INDEX('Detalle individual'!$F:$F,$K361)="Completado",INDEX('Detalle individual'!$H:$H,$K361),""))</f>
        <v/>
      </c>
      <c r="J361" s="21" t="str">
        <f>IF($K361="","",IF(INDEX('Detalle individual'!$F:$F,$K361)="Completado",INDEX('Detalle individual'!$J:$J,$K361),""))</f>
        <v/>
      </c>
      <c r="K361" t="str">
        <f>IFERROR(MOD(SMALL(Cálculos!$Z$5:$Z$1000,353),10000),"")</f>
        <v/>
      </c>
    </row>
    <row r="362">
      <c r="B362" s="13" t="str">
        <f>IF($K362="","",354)</f>
        <v/>
      </c>
      <c r="C362" s="13" t="str">
        <f>IF($K362="","",INDEX('Detalle individual'!$A:$A,$K362))</f>
        <v/>
      </c>
      <c r="D362" s="72" t="str">
        <f>IF($K362="","",TRIM(INDEX('Detalle individual'!$B:$B,$K362)))</f>
        <v/>
      </c>
      <c r="E362" s="72" t="str">
        <f>IF($K362="","",TRIM(INDEX('Detalle individual'!$E:$E,$K362)))</f>
        <v/>
      </c>
      <c r="F362" s="72" t="str">
        <f>IF($K362="","",TRIM(INDEX('Detalle individual'!$C:$C,$K362)))</f>
        <v/>
      </c>
      <c r="G362" s="72" t="str">
        <f>IF($K362="","",INDEX('Detalle individual'!$D:$D,$K362))</f>
        <v/>
      </c>
      <c r="H362" s="13" t="str">
        <f>IF($K362="","",INDEX('Detalle individual'!$F:$F,$K362))</f>
        <v/>
      </c>
      <c r="I362" s="20" t="str">
        <f>IF($K362="","",IF(INDEX('Detalle individual'!$F:$F,$K362)="Completado",INDEX('Detalle individual'!$H:$H,$K362),""))</f>
        <v/>
      </c>
      <c r="J362" s="21" t="str">
        <f>IF($K362="","",IF(INDEX('Detalle individual'!$F:$F,$K362)="Completado",INDEX('Detalle individual'!$J:$J,$K362),""))</f>
        <v/>
      </c>
      <c r="K362" t="str">
        <f>IFERROR(MOD(SMALL(Cálculos!$Z$5:$Z$1000,354),10000),"")</f>
        <v/>
      </c>
    </row>
    <row r="363">
      <c r="B363" s="13" t="str">
        <f>IF($K363="","",355)</f>
        <v/>
      </c>
      <c r="C363" s="13" t="str">
        <f>IF($K363="","",INDEX('Detalle individual'!$A:$A,$K363))</f>
        <v/>
      </c>
      <c r="D363" s="72" t="str">
        <f>IF($K363="","",TRIM(INDEX('Detalle individual'!$B:$B,$K363)))</f>
        <v/>
      </c>
      <c r="E363" s="72" t="str">
        <f>IF($K363="","",TRIM(INDEX('Detalle individual'!$E:$E,$K363)))</f>
        <v/>
      </c>
      <c r="F363" s="72" t="str">
        <f>IF($K363="","",TRIM(INDEX('Detalle individual'!$C:$C,$K363)))</f>
        <v/>
      </c>
      <c r="G363" s="72" t="str">
        <f>IF($K363="","",INDEX('Detalle individual'!$D:$D,$K363))</f>
        <v/>
      </c>
      <c r="H363" s="13" t="str">
        <f>IF($K363="","",INDEX('Detalle individual'!$F:$F,$K363))</f>
        <v/>
      </c>
      <c r="I363" s="20" t="str">
        <f>IF($K363="","",IF(INDEX('Detalle individual'!$F:$F,$K363)="Completado",INDEX('Detalle individual'!$H:$H,$K363),""))</f>
        <v/>
      </c>
      <c r="J363" s="21" t="str">
        <f>IF($K363="","",IF(INDEX('Detalle individual'!$F:$F,$K363)="Completado",INDEX('Detalle individual'!$J:$J,$K363),""))</f>
        <v/>
      </c>
      <c r="K363" t="str">
        <f>IFERROR(MOD(SMALL(Cálculos!$Z$5:$Z$1000,355),10000),"")</f>
        <v/>
      </c>
    </row>
    <row r="364">
      <c r="B364" s="13" t="str">
        <f>IF($K364="","",356)</f>
        <v/>
      </c>
      <c r="C364" s="13" t="str">
        <f>IF($K364="","",INDEX('Detalle individual'!$A:$A,$K364))</f>
        <v/>
      </c>
      <c r="D364" s="72" t="str">
        <f>IF($K364="","",TRIM(INDEX('Detalle individual'!$B:$B,$K364)))</f>
        <v/>
      </c>
      <c r="E364" s="72" t="str">
        <f>IF($K364="","",TRIM(INDEX('Detalle individual'!$E:$E,$K364)))</f>
        <v/>
      </c>
      <c r="F364" s="72" t="str">
        <f>IF($K364="","",TRIM(INDEX('Detalle individual'!$C:$C,$K364)))</f>
        <v/>
      </c>
      <c r="G364" s="72" t="str">
        <f>IF($K364="","",INDEX('Detalle individual'!$D:$D,$K364))</f>
        <v/>
      </c>
      <c r="H364" s="13" t="str">
        <f>IF($K364="","",INDEX('Detalle individual'!$F:$F,$K364))</f>
        <v/>
      </c>
      <c r="I364" s="20" t="str">
        <f>IF($K364="","",IF(INDEX('Detalle individual'!$F:$F,$K364)="Completado",INDEX('Detalle individual'!$H:$H,$K364),""))</f>
        <v/>
      </c>
      <c r="J364" s="21" t="str">
        <f>IF($K364="","",IF(INDEX('Detalle individual'!$F:$F,$K364)="Completado",INDEX('Detalle individual'!$J:$J,$K364),""))</f>
        <v/>
      </c>
      <c r="K364" t="str">
        <f>IFERROR(MOD(SMALL(Cálculos!$Z$5:$Z$1000,356),10000),"")</f>
        <v/>
      </c>
    </row>
    <row r="365">
      <c r="B365" s="13" t="str">
        <f>IF($K365="","",357)</f>
        <v/>
      </c>
      <c r="C365" s="13" t="str">
        <f>IF($K365="","",INDEX('Detalle individual'!$A:$A,$K365))</f>
        <v/>
      </c>
      <c r="D365" s="72" t="str">
        <f>IF($K365="","",TRIM(INDEX('Detalle individual'!$B:$B,$K365)))</f>
        <v/>
      </c>
      <c r="E365" s="72" t="str">
        <f>IF($K365="","",TRIM(INDEX('Detalle individual'!$E:$E,$K365)))</f>
        <v/>
      </c>
      <c r="F365" s="72" t="str">
        <f>IF($K365="","",TRIM(INDEX('Detalle individual'!$C:$C,$K365)))</f>
        <v/>
      </c>
      <c r="G365" s="72" t="str">
        <f>IF($K365="","",INDEX('Detalle individual'!$D:$D,$K365))</f>
        <v/>
      </c>
      <c r="H365" s="13" t="str">
        <f>IF($K365="","",INDEX('Detalle individual'!$F:$F,$K365))</f>
        <v/>
      </c>
      <c r="I365" s="20" t="str">
        <f>IF($K365="","",IF(INDEX('Detalle individual'!$F:$F,$K365)="Completado",INDEX('Detalle individual'!$H:$H,$K365),""))</f>
        <v/>
      </c>
      <c r="J365" s="21" t="str">
        <f>IF($K365="","",IF(INDEX('Detalle individual'!$F:$F,$K365)="Completado",INDEX('Detalle individual'!$J:$J,$K365),""))</f>
        <v/>
      </c>
      <c r="K365" t="str">
        <f>IFERROR(MOD(SMALL(Cálculos!$Z$5:$Z$1000,357),10000),"")</f>
        <v/>
      </c>
    </row>
    <row r="366">
      <c r="B366" s="13" t="str">
        <f>IF($K366="","",358)</f>
        <v/>
      </c>
      <c r="C366" s="13" t="str">
        <f>IF($K366="","",INDEX('Detalle individual'!$A:$A,$K366))</f>
        <v/>
      </c>
      <c r="D366" s="72" t="str">
        <f>IF($K366="","",TRIM(INDEX('Detalle individual'!$B:$B,$K366)))</f>
        <v/>
      </c>
      <c r="E366" s="72" t="str">
        <f>IF($K366="","",TRIM(INDEX('Detalle individual'!$E:$E,$K366)))</f>
        <v/>
      </c>
      <c r="F366" s="72" t="str">
        <f>IF($K366="","",TRIM(INDEX('Detalle individual'!$C:$C,$K366)))</f>
        <v/>
      </c>
      <c r="G366" s="72" t="str">
        <f>IF($K366="","",INDEX('Detalle individual'!$D:$D,$K366))</f>
        <v/>
      </c>
      <c r="H366" s="13" t="str">
        <f>IF($K366="","",INDEX('Detalle individual'!$F:$F,$K366))</f>
        <v/>
      </c>
      <c r="I366" s="20" t="str">
        <f>IF($K366="","",IF(INDEX('Detalle individual'!$F:$F,$K366)="Completado",INDEX('Detalle individual'!$H:$H,$K366),""))</f>
        <v/>
      </c>
      <c r="J366" s="21" t="str">
        <f>IF($K366="","",IF(INDEX('Detalle individual'!$F:$F,$K366)="Completado",INDEX('Detalle individual'!$J:$J,$K366),""))</f>
        <v/>
      </c>
      <c r="K366" t="str">
        <f>IFERROR(MOD(SMALL(Cálculos!$Z$5:$Z$1000,358),10000),"")</f>
        <v/>
      </c>
    </row>
    <row r="367">
      <c r="B367" s="13" t="str">
        <f>IF($K367="","",359)</f>
        <v/>
      </c>
      <c r="C367" s="13" t="str">
        <f>IF($K367="","",INDEX('Detalle individual'!$A:$A,$K367))</f>
        <v/>
      </c>
      <c r="D367" s="72" t="str">
        <f>IF($K367="","",TRIM(INDEX('Detalle individual'!$B:$B,$K367)))</f>
        <v/>
      </c>
      <c r="E367" s="72" t="str">
        <f>IF($K367="","",TRIM(INDEX('Detalle individual'!$E:$E,$K367)))</f>
        <v/>
      </c>
      <c r="F367" s="72" t="str">
        <f>IF($K367="","",TRIM(INDEX('Detalle individual'!$C:$C,$K367)))</f>
        <v/>
      </c>
      <c r="G367" s="72" t="str">
        <f>IF($K367="","",INDEX('Detalle individual'!$D:$D,$K367))</f>
        <v/>
      </c>
      <c r="H367" s="13" t="str">
        <f>IF($K367="","",INDEX('Detalle individual'!$F:$F,$K367))</f>
        <v/>
      </c>
      <c r="I367" s="20" t="str">
        <f>IF($K367="","",IF(INDEX('Detalle individual'!$F:$F,$K367)="Completado",INDEX('Detalle individual'!$H:$H,$K367),""))</f>
        <v/>
      </c>
      <c r="J367" s="21" t="str">
        <f>IF($K367="","",IF(INDEX('Detalle individual'!$F:$F,$K367)="Completado",INDEX('Detalle individual'!$J:$J,$K367),""))</f>
        <v/>
      </c>
      <c r="K367" t="str">
        <f>IFERROR(MOD(SMALL(Cálculos!$Z$5:$Z$1000,359),10000),"")</f>
        <v/>
      </c>
    </row>
    <row r="368">
      <c r="B368" s="13" t="str">
        <f>IF($K368="","",360)</f>
        <v/>
      </c>
      <c r="C368" s="13" t="str">
        <f>IF($K368="","",INDEX('Detalle individual'!$A:$A,$K368))</f>
        <v/>
      </c>
      <c r="D368" s="72" t="str">
        <f>IF($K368="","",TRIM(INDEX('Detalle individual'!$B:$B,$K368)))</f>
        <v/>
      </c>
      <c r="E368" s="72" t="str">
        <f>IF($K368="","",TRIM(INDEX('Detalle individual'!$E:$E,$K368)))</f>
        <v/>
      </c>
      <c r="F368" s="72" t="str">
        <f>IF($K368="","",TRIM(INDEX('Detalle individual'!$C:$C,$K368)))</f>
        <v/>
      </c>
      <c r="G368" s="72" t="str">
        <f>IF($K368="","",INDEX('Detalle individual'!$D:$D,$K368))</f>
        <v/>
      </c>
      <c r="H368" s="13" t="str">
        <f>IF($K368="","",INDEX('Detalle individual'!$F:$F,$K368))</f>
        <v/>
      </c>
      <c r="I368" s="20" t="str">
        <f>IF($K368="","",IF(INDEX('Detalle individual'!$F:$F,$K368)="Completado",INDEX('Detalle individual'!$H:$H,$K368),""))</f>
        <v/>
      </c>
      <c r="J368" s="21" t="str">
        <f>IF($K368="","",IF(INDEX('Detalle individual'!$F:$F,$K368)="Completado",INDEX('Detalle individual'!$J:$J,$K368),""))</f>
        <v/>
      </c>
      <c r="K368" t="str">
        <f>IFERROR(MOD(SMALL(Cálculos!$Z$5:$Z$1000,360),10000),"")</f>
        <v/>
      </c>
    </row>
    <row r="369">
      <c r="B369" s="13" t="str">
        <f>IF($K369="","",361)</f>
        <v/>
      </c>
      <c r="C369" s="13" t="str">
        <f>IF($K369="","",INDEX('Detalle individual'!$A:$A,$K369))</f>
        <v/>
      </c>
      <c r="D369" s="72" t="str">
        <f>IF($K369="","",TRIM(INDEX('Detalle individual'!$B:$B,$K369)))</f>
        <v/>
      </c>
      <c r="E369" s="72" t="str">
        <f>IF($K369="","",TRIM(INDEX('Detalle individual'!$E:$E,$K369)))</f>
        <v/>
      </c>
      <c r="F369" s="72" t="str">
        <f>IF($K369="","",TRIM(INDEX('Detalle individual'!$C:$C,$K369)))</f>
        <v/>
      </c>
      <c r="G369" s="72" t="str">
        <f>IF($K369="","",INDEX('Detalle individual'!$D:$D,$K369))</f>
        <v/>
      </c>
      <c r="H369" s="13" t="str">
        <f>IF($K369="","",INDEX('Detalle individual'!$F:$F,$K369))</f>
        <v/>
      </c>
      <c r="I369" s="20" t="str">
        <f>IF($K369="","",IF(INDEX('Detalle individual'!$F:$F,$K369)="Completado",INDEX('Detalle individual'!$H:$H,$K369),""))</f>
        <v/>
      </c>
      <c r="J369" s="21" t="str">
        <f>IF($K369="","",IF(INDEX('Detalle individual'!$F:$F,$K369)="Completado",INDEX('Detalle individual'!$J:$J,$K369),""))</f>
        <v/>
      </c>
      <c r="K369" t="str">
        <f>IFERROR(MOD(SMALL(Cálculos!$Z$5:$Z$1000,361),10000),"")</f>
        <v/>
      </c>
    </row>
    <row r="370">
      <c r="B370" s="13" t="str">
        <f>IF($K370="","",362)</f>
        <v/>
      </c>
      <c r="C370" s="13" t="str">
        <f>IF($K370="","",INDEX('Detalle individual'!$A:$A,$K370))</f>
        <v/>
      </c>
      <c r="D370" s="72" t="str">
        <f>IF($K370="","",TRIM(INDEX('Detalle individual'!$B:$B,$K370)))</f>
        <v/>
      </c>
      <c r="E370" s="72" t="str">
        <f>IF($K370="","",TRIM(INDEX('Detalle individual'!$E:$E,$K370)))</f>
        <v/>
      </c>
      <c r="F370" s="72" t="str">
        <f>IF($K370="","",TRIM(INDEX('Detalle individual'!$C:$C,$K370)))</f>
        <v/>
      </c>
      <c r="G370" s="72" t="str">
        <f>IF($K370="","",INDEX('Detalle individual'!$D:$D,$K370))</f>
        <v/>
      </c>
      <c r="H370" s="13" t="str">
        <f>IF($K370="","",INDEX('Detalle individual'!$F:$F,$K370))</f>
        <v/>
      </c>
      <c r="I370" s="20" t="str">
        <f>IF($K370="","",IF(INDEX('Detalle individual'!$F:$F,$K370)="Completado",INDEX('Detalle individual'!$H:$H,$K370),""))</f>
        <v/>
      </c>
      <c r="J370" s="21" t="str">
        <f>IF($K370="","",IF(INDEX('Detalle individual'!$F:$F,$K370)="Completado",INDEX('Detalle individual'!$J:$J,$K370),""))</f>
        <v/>
      </c>
      <c r="K370" t="str">
        <f>IFERROR(MOD(SMALL(Cálculos!$Z$5:$Z$1000,362),10000),"")</f>
        <v/>
      </c>
    </row>
    <row r="371">
      <c r="B371" s="13" t="str">
        <f>IF($K371="","",363)</f>
        <v/>
      </c>
      <c r="C371" s="13" t="str">
        <f>IF($K371="","",INDEX('Detalle individual'!$A:$A,$K371))</f>
        <v/>
      </c>
      <c r="D371" s="72" t="str">
        <f>IF($K371="","",TRIM(INDEX('Detalle individual'!$B:$B,$K371)))</f>
        <v/>
      </c>
      <c r="E371" s="72" t="str">
        <f>IF($K371="","",TRIM(INDEX('Detalle individual'!$E:$E,$K371)))</f>
        <v/>
      </c>
      <c r="F371" s="72" t="str">
        <f>IF($K371="","",TRIM(INDEX('Detalle individual'!$C:$C,$K371)))</f>
        <v/>
      </c>
      <c r="G371" s="72" t="str">
        <f>IF($K371="","",INDEX('Detalle individual'!$D:$D,$K371))</f>
        <v/>
      </c>
      <c r="H371" s="13" t="str">
        <f>IF($K371="","",INDEX('Detalle individual'!$F:$F,$K371))</f>
        <v/>
      </c>
      <c r="I371" s="20" t="str">
        <f>IF($K371="","",IF(INDEX('Detalle individual'!$F:$F,$K371)="Completado",INDEX('Detalle individual'!$H:$H,$K371),""))</f>
        <v/>
      </c>
      <c r="J371" s="21" t="str">
        <f>IF($K371="","",IF(INDEX('Detalle individual'!$F:$F,$K371)="Completado",INDEX('Detalle individual'!$J:$J,$K371),""))</f>
        <v/>
      </c>
      <c r="K371" t="str">
        <f>IFERROR(MOD(SMALL(Cálculos!$Z$5:$Z$1000,363),10000),"")</f>
        <v/>
      </c>
    </row>
    <row r="372">
      <c r="B372" s="13" t="str">
        <f>IF($K372="","",364)</f>
        <v/>
      </c>
      <c r="C372" s="13" t="str">
        <f>IF($K372="","",INDEX('Detalle individual'!$A:$A,$K372))</f>
        <v/>
      </c>
      <c r="D372" s="72" t="str">
        <f>IF($K372="","",TRIM(INDEX('Detalle individual'!$B:$B,$K372)))</f>
        <v/>
      </c>
      <c r="E372" s="72" t="str">
        <f>IF($K372="","",TRIM(INDEX('Detalle individual'!$E:$E,$K372)))</f>
        <v/>
      </c>
      <c r="F372" s="72" t="str">
        <f>IF($K372="","",TRIM(INDEX('Detalle individual'!$C:$C,$K372)))</f>
        <v/>
      </c>
      <c r="G372" s="72" t="str">
        <f>IF($K372="","",INDEX('Detalle individual'!$D:$D,$K372))</f>
        <v/>
      </c>
      <c r="H372" s="13" t="str">
        <f>IF($K372="","",INDEX('Detalle individual'!$F:$F,$K372))</f>
        <v/>
      </c>
      <c r="I372" s="20" t="str">
        <f>IF($K372="","",IF(INDEX('Detalle individual'!$F:$F,$K372)="Completado",INDEX('Detalle individual'!$H:$H,$K372),""))</f>
        <v/>
      </c>
      <c r="J372" s="21" t="str">
        <f>IF($K372="","",IF(INDEX('Detalle individual'!$F:$F,$K372)="Completado",INDEX('Detalle individual'!$J:$J,$K372),""))</f>
        <v/>
      </c>
      <c r="K372" t="str">
        <f>IFERROR(MOD(SMALL(Cálculos!$Z$5:$Z$1000,364),10000),"")</f>
        <v/>
      </c>
    </row>
    <row r="373">
      <c r="B373" s="13" t="str">
        <f>IF($K373="","",365)</f>
        <v/>
      </c>
      <c r="C373" s="13" t="str">
        <f>IF($K373="","",INDEX('Detalle individual'!$A:$A,$K373))</f>
        <v/>
      </c>
      <c r="D373" s="72" t="str">
        <f>IF($K373="","",TRIM(INDEX('Detalle individual'!$B:$B,$K373)))</f>
        <v/>
      </c>
      <c r="E373" s="72" t="str">
        <f>IF($K373="","",TRIM(INDEX('Detalle individual'!$E:$E,$K373)))</f>
        <v/>
      </c>
      <c r="F373" s="72" t="str">
        <f>IF($K373="","",TRIM(INDEX('Detalle individual'!$C:$C,$K373)))</f>
        <v/>
      </c>
      <c r="G373" s="72" t="str">
        <f>IF($K373="","",INDEX('Detalle individual'!$D:$D,$K373))</f>
        <v/>
      </c>
      <c r="H373" s="13" t="str">
        <f>IF($K373="","",INDEX('Detalle individual'!$F:$F,$K373))</f>
        <v/>
      </c>
      <c r="I373" s="20" t="str">
        <f>IF($K373="","",IF(INDEX('Detalle individual'!$F:$F,$K373)="Completado",INDEX('Detalle individual'!$H:$H,$K373),""))</f>
        <v/>
      </c>
      <c r="J373" s="21" t="str">
        <f>IF($K373="","",IF(INDEX('Detalle individual'!$F:$F,$K373)="Completado",INDEX('Detalle individual'!$J:$J,$K373),""))</f>
        <v/>
      </c>
      <c r="K373" t="str">
        <f>IFERROR(MOD(SMALL(Cálculos!$Z$5:$Z$1000,365),10000),"")</f>
        <v/>
      </c>
    </row>
    <row r="374">
      <c r="B374" s="13" t="str">
        <f>IF($K374="","",366)</f>
        <v/>
      </c>
      <c r="C374" s="13" t="str">
        <f>IF($K374="","",INDEX('Detalle individual'!$A:$A,$K374))</f>
        <v/>
      </c>
      <c r="D374" s="72" t="str">
        <f>IF($K374="","",TRIM(INDEX('Detalle individual'!$B:$B,$K374)))</f>
        <v/>
      </c>
      <c r="E374" s="72" t="str">
        <f>IF($K374="","",TRIM(INDEX('Detalle individual'!$E:$E,$K374)))</f>
        <v/>
      </c>
      <c r="F374" s="72" t="str">
        <f>IF($K374="","",TRIM(INDEX('Detalle individual'!$C:$C,$K374)))</f>
        <v/>
      </c>
      <c r="G374" s="72" t="str">
        <f>IF($K374="","",INDEX('Detalle individual'!$D:$D,$K374))</f>
        <v/>
      </c>
      <c r="H374" s="13" t="str">
        <f>IF($K374="","",INDEX('Detalle individual'!$F:$F,$K374))</f>
        <v/>
      </c>
      <c r="I374" s="20" t="str">
        <f>IF($K374="","",IF(INDEX('Detalle individual'!$F:$F,$K374)="Completado",INDEX('Detalle individual'!$H:$H,$K374),""))</f>
        <v/>
      </c>
      <c r="J374" s="21" t="str">
        <f>IF($K374="","",IF(INDEX('Detalle individual'!$F:$F,$K374)="Completado",INDEX('Detalle individual'!$J:$J,$K374),""))</f>
        <v/>
      </c>
      <c r="K374" t="str">
        <f>IFERROR(MOD(SMALL(Cálculos!$Z$5:$Z$1000,366),10000),"")</f>
        <v/>
      </c>
    </row>
    <row r="375">
      <c r="B375" s="13" t="str">
        <f>IF($K375="","",367)</f>
        <v/>
      </c>
      <c r="C375" s="13" t="str">
        <f>IF($K375="","",INDEX('Detalle individual'!$A:$A,$K375))</f>
        <v/>
      </c>
      <c r="D375" s="72" t="str">
        <f>IF($K375="","",TRIM(INDEX('Detalle individual'!$B:$B,$K375)))</f>
        <v/>
      </c>
      <c r="E375" s="72" t="str">
        <f>IF($K375="","",TRIM(INDEX('Detalle individual'!$E:$E,$K375)))</f>
        <v/>
      </c>
      <c r="F375" s="72" t="str">
        <f>IF($K375="","",TRIM(INDEX('Detalle individual'!$C:$C,$K375)))</f>
        <v/>
      </c>
      <c r="G375" s="72" t="str">
        <f>IF($K375="","",INDEX('Detalle individual'!$D:$D,$K375))</f>
        <v/>
      </c>
      <c r="H375" s="13" t="str">
        <f>IF($K375="","",INDEX('Detalle individual'!$F:$F,$K375))</f>
        <v/>
      </c>
      <c r="I375" s="20" t="str">
        <f>IF($K375="","",IF(INDEX('Detalle individual'!$F:$F,$K375)="Completado",INDEX('Detalle individual'!$H:$H,$K375),""))</f>
        <v/>
      </c>
      <c r="J375" s="21" t="str">
        <f>IF($K375="","",IF(INDEX('Detalle individual'!$F:$F,$K375)="Completado",INDEX('Detalle individual'!$J:$J,$K375),""))</f>
        <v/>
      </c>
      <c r="K375" t="str">
        <f>IFERROR(MOD(SMALL(Cálculos!$Z$5:$Z$1000,367),10000),"")</f>
        <v/>
      </c>
    </row>
    <row r="376">
      <c r="B376" s="13" t="str">
        <f>IF($K376="","",368)</f>
        <v/>
      </c>
      <c r="C376" s="13" t="str">
        <f>IF($K376="","",INDEX('Detalle individual'!$A:$A,$K376))</f>
        <v/>
      </c>
      <c r="D376" s="72" t="str">
        <f>IF($K376="","",TRIM(INDEX('Detalle individual'!$B:$B,$K376)))</f>
        <v/>
      </c>
      <c r="E376" s="72" t="str">
        <f>IF($K376="","",TRIM(INDEX('Detalle individual'!$E:$E,$K376)))</f>
        <v/>
      </c>
      <c r="F376" s="72" t="str">
        <f>IF($K376="","",TRIM(INDEX('Detalle individual'!$C:$C,$K376)))</f>
        <v/>
      </c>
      <c r="G376" s="72" t="str">
        <f>IF($K376="","",INDEX('Detalle individual'!$D:$D,$K376))</f>
        <v/>
      </c>
      <c r="H376" s="13" t="str">
        <f>IF($K376="","",INDEX('Detalle individual'!$F:$F,$K376))</f>
        <v/>
      </c>
      <c r="I376" s="20" t="str">
        <f>IF($K376="","",IF(INDEX('Detalle individual'!$F:$F,$K376)="Completado",INDEX('Detalle individual'!$H:$H,$K376),""))</f>
        <v/>
      </c>
      <c r="J376" s="21" t="str">
        <f>IF($K376="","",IF(INDEX('Detalle individual'!$F:$F,$K376)="Completado",INDEX('Detalle individual'!$J:$J,$K376),""))</f>
        <v/>
      </c>
      <c r="K376" t="str">
        <f>IFERROR(MOD(SMALL(Cálculos!$Z$5:$Z$1000,368),10000),"")</f>
        <v/>
      </c>
    </row>
    <row r="377">
      <c r="B377" s="13" t="str">
        <f>IF($K377="","",369)</f>
        <v/>
      </c>
      <c r="C377" s="13" t="str">
        <f>IF($K377="","",INDEX('Detalle individual'!$A:$A,$K377))</f>
        <v/>
      </c>
      <c r="D377" s="72" t="str">
        <f>IF($K377="","",TRIM(INDEX('Detalle individual'!$B:$B,$K377)))</f>
        <v/>
      </c>
      <c r="E377" s="72" t="str">
        <f>IF($K377="","",TRIM(INDEX('Detalle individual'!$E:$E,$K377)))</f>
        <v/>
      </c>
      <c r="F377" s="72" t="str">
        <f>IF($K377="","",TRIM(INDEX('Detalle individual'!$C:$C,$K377)))</f>
        <v/>
      </c>
      <c r="G377" s="72" t="str">
        <f>IF($K377="","",INDEX('Detalle individual'!$D:$D,$K377))</f>
        <v/>
      </c>
      <c r="H377" s="13" t="str">
        <f>IF($K377="","",INDEX('Detalle individual'!$F:$F,$K377))</f>
        <v/>
      </c>
      <c r="I377" s="20" t="str">
        <f>IF($K377="","",IF(INDEX('Detalle individual'!$F:$F,$K377)="Completado",INDEX('Detalle individual'!$H:$H,$K377),""))</f>
        <v/>
      </c>
      <c r="J377" s="21" t="str">
        <f>IF($K377="","",IF(INDEX('Detalle individual'!$F:$F,$K377)="Completado",INDEX('Detalle individual'!$J:$J,$K377),""))</f>
        <v/>
      </c>
      <c r="K377" t="str">
        <f>IFERROR(MOD(SMALL(Cálculos!$Z$5:$Z$1000,369),10000),"")</f>
        <v/>
      </c>
    </row>
    <row r="378">
      <c r="B378" s="13" t="str">
        <f>IF($K378="","",370)</f>
        <v/>
      </c>
      <c r="C378" s="13" t="str">
        <f>IF($K378="","",INDEX('Detalle individual'!$A:$A,$K378))</f>
        <v/>
      </c>
      <c r="D378" s="72" t="str">
        <f>IF($K378="","",TRIM(INDEX('Detalle individual'!$B:$B,$K378)))</f>
        <v/>
      </c>
      <c r="E378" s="72" t="str">
        <f>IF($K378="","",TRIM(INDEX('Detalle individual'!$E:$E,$K378)))</f>
        <v/>
      </c>
      <c r="F378" s="72" t="str">
        <f>IF($K378="","",TRIM(INDEX('Detalle individual'!$C:$C,$K378)))</f>
        <v/>
      </c>
      <c r="G378" s="72" t="str">
        <f>IF($K378="","",INDEX('Detalle individual'!$D:$D,$K378))</f>
        <v/>
      </c>
      <c r="H378" s="13" t="str">
        <f>IF($K378="","",INDEX('Detalle individual'!$F:$F,$K378))</f>
        <v/>
      </c>
      <c r="I378" s="20" t="str">
        <f>IF($K378="","",IF(INDEX('Detalle individual'!$F:$F,$K378)="Completado",INDEX('Detalle individual'!$H:$H,$K378),""))</f>
        <v/>
      </c>
      <c r="J378" s="21" t="str">
        <f>IF($K378="","",IF(INDEX('Detalle individual'!$F:$F,$K378)="Completado",INDEX('Detalle individual'!$J:$J,$K378),""))</f>
        <v/>
      </c>
      <c r="K378" t="str">
        <f>IFERROR(MOD(SMALL(Cálculos!$Z$5:$Z$1000,370),10000),"")</f>
        <v/>
      </c>
    </row>
    <row r="379">
      <c r="B379" s="13" t="str">
        <f>IF($K379="","",371)</f>
        <v/>
      </c>
      <c r="C379" s="13" t="str">
        <f>IF($K379="","",INDEX('Detalle individual'!$A:$A,$K379))</f>
        <v/>
      </c>
      <c r="D379" s="72" t="str">
        <f>IF($K379="","",TRIM(INDEX('Detalle individual'!$B:$B,$K379)))</f>
        <v/>
      </c>
      <c r="E379" s="72" t="str">
        <f>IF($K379="","",TRIM(INDEX('Detalle individual'!$E:$E,$K379)))</f>
        <v/>
      </c>
      <c r="F379" s="72" t="str">
        <f>IF($K379="","",TRIM(INDEX('Detalle individual'!$C:$C,$K379)))</f>
        <v/>
      </c>
      <c r="G379" s="72" t="str">
        <f>IF($K379="","",INDEX('Detalle individual'!$D:$D,$K379))</f>
        <v/>
      </c>
      <c r="H379" s="13" t="str">
        <f>IF($K379="","",INDEX('Detalle individual'!$F:$F,$K379))</f>
        <v/>
      </c>
      <c r="I379" s="20" t="str">
        <f>IF($K379="","",IF(INDEX('Detalle individual'!$F:$F,$K379)="Completado",INDEX('Detalle individual'!$H:$H,$K379),""))</f>
        <v/>
      </c>
      <c r="J379" s="21" t="str">
        <f>IF($K379="","",IF(INDEX('Detalle individual'!$F:$F,$K379)="Completado",INDEX('Detalle individual'!$J:$J,$K379),""))</f>
        <v/>
      </c>
      <c r="K379" t="str">
        <f>IFERROR(MOD(SMALL(Cálculos!$Z$5:$Z$1000,371),10000),"")</f>
        <v/>
      </c>
    </row>
    <row r="380">
      <c r="B380" s="13" t="str">
        <f>IF($K380="","",372)</f>
        <v/>
      </c>
      <c r="C380" s="13" t="str">
        <f>IF($K380="","",INDEX('Detalle individual'!$A:$A,$K380))</f>
        <v/>
      </c>
      <c r="D380" s="72" t="str">
        <f>IF($K380="","",TRIM(INDEX('Detalle individual'!$B:$B,$K380)))</f>
        <v/>
      </c>
      <c r="E380" s="72" t="str">
        <f>IF($K380="","",TRIM(INDEX('Detalle individual'!$E:$E,$K380)))</f>
        <v/>
      </c>
      <c r="F380" s="72" t="str">
        <f>IF($K380="","",TRIM(INDEX('Detalle individual'!$C:$C,$K380)))</f>
        <v/>
      </c>
      <c r="G380" s="72" t="str">
        <f>IF($K380="","",INDEX('Detalle individual'!$D:$D,$K380))</f>
        <v/>
      </c>
      <c r="H380" s="13" t="str">
        <f>IF($K380="","",INDEX('Detalle individual'!$F:$F,$K380))</f>
        <v/>
      </c>
      <c r="I380" s="20" t="str">
        <f>IF($K380="","",IF(INDEX('Detalle individual'!$F:$F,$K380)="Completado",INDEX('Detalle individual'!$H:$H,$K380),""))</f>
        <v/>
      </c>
      <c r="J380" s="21" t="str">
        <f>IF($K380="","",IF(INDEX('Detalle individual'!$F:$F,$K380)="Completado",INDEX('Detalle individual'!$J:$J,$K380),""))</f>
        <v/>
      </c>
      <c r="K380" t="str">
        <f>IFERROR(MOD(SMALL(Cálculos!$Z$5:$Z$1000,372),10000),"")</f>
        <v/>
      </c>
    </row>
    <row r="381">
      <c r="B381" s="13" t="str">
        <f>IF($K381="","",373)</f>
        <v/>
      </c>
      <c r="C381" s="13" t="str">
        <f>IF($K381="","",INDEX('Detalle individual'!$A:$A,$K381))</f>
        <v/>
      </c>
      <c r="D381" s="72" t="str">
        <f>IF($K381="","",TRIM(INDEX('Detalle individual'!$B:$B,$K381)))</f>
        <v/>
      </c>
      <c r="E381" s="72" t="str">
        <f>IF($K381="","",TRIM(INDEX('Detalle individual'!$E:$E,$K381)))</f>
        <v/>
      </c>
      <c r="F381" s="72" t="str">
        <f>IF($K381="","",TRIM(INDEX('Detalle individual'!$C:$C,$K381)))</f>
        <v/>
      </c>
      <c r="G381" s="72" t="str">
        <f>IF($K381="","",INDEX('Detalle individual'!$D:$D,$K381))</f>
        <v/>
      </c>
      <c r="H381" s="13" t="str">
        <f>IF($K381="","",INDEX('Detalle individual'!$F:$F,$K381))</f>
        <v/>
      </c>
      <c r="I381" s="20" t="str">
        <f>IF($K381="","",IF(INDEX('Detalle individual'!$F:$F,$K381)="Completado",INDEX('Detalle individual'!$H:$H,$K381),""))</f>
        <v/>
      </c>
      <c r="J381" s="21" t="str">
        <f>IF($K381="","",IF(INDEX('Detalle individual'!$F:$F,$K381)="Completado",INDEX('Detalle individual'!$J:$J,$K381),""))</f>
        <v/>
      </c>
      <c r="K381" t="str">
        <f>IFERROR(MOD(SMALL(Cálculos!$Z$5:$Z$1000,373),10000),"")</f>
        <v/>
      </c>
    </row>
    <row r="382">
      <c r="B382" s="13" t="str">
        <f>IF($K382="","",374)</f>
        <v/>
      </c>
      <c r="C382" s="13" t="str">
        <f>IF($K382="","",INDEX('Detalle individual'!$A:$A,$K382))</f>
        <v/>
      </c>
      <c r="D382" s="72" t="str">
        <f>IF($K382="","",TRIM(INDEX('Detalle individual'!$B:$B,$K382)))</f>
        <v/>
      </c>
      <c r="E382" s="72" t="str">
        <f>IF($K382="","",TRIM(INDEX('Detalle individual'!$E:$E,$K382)))</f>
        <v/>
      </c>
      <c r="F382" s="72" t="str">
        <f>IF($K382="","",TRIM(INDEX('Detalle individual'!$C:$C,$K382)))</f>
        <v/>
      </c>
      <c r="G382" s="72" t="str">
        <f>IF($K382="","",INDEX('Detalle individual'!$D:$D,$K382))</f>
        <v/>
      </c>
      <c r="H382" s="13" t="str">
        <f>IF($K382="","",INDEX('Detalle individual'!$F:$F,$K382))</f>
        <v/>
      </c>
      <c r="I382" s="20" t="str">
        <f>IF($K382="","",IF(INDEX('Detalle individual'!$F:$F,$K382)="Completado",INDEX('Detalle individual'!$H:$H,$K382),""))</f>
        <v/>
      </c>
      <c r="J382" s="21" t="str">
        <f>IF($K382="","",IF(INDEX('Detalle individual'!$F:$F,$K382)="Completado",INDEX('Detalle individual'!$J:$J,$K382),""))</f>
        <v/>
      </c>
      <c r="K382" t="str">
        <f>IFERROR(MOD(SMALL(Cálculos!$Z$5:$Z$1000,374),10000),"")</f>
        <v/>
      </c>
    </row>
    <row r="383">
      <c r="B383" s="13" t="str">
        <f>IF($K383="","",375)</f>
        <v/>
      </c>
      <c r="C383" s="13" t="str">
        <f>IF($K383="","",INDEX('Detalle individual'!$A:$A,$K383))</f>
        <v/>
      </c>
      <c r="D383" s="72" t="str">
        <f>IF($K383="","",TRIM(INDEX('Detalle individual'!$B:$B,$K383)))</f>
        <v/>
      </c>
      <c r="E383" s="72" t="str">
        <f>IF($K383="","",TRIM(INDEX('Detalle individual'!$E:$E,$K383)))</f>
        <v/>
      </c>
      <c r="F383" s="72" t="str">
        <f>IF($K383="","",TRIM(INDEX('Detalle individual'!$C:$C,$K383)))</f>
        <v/>
      </c>
      <c r="G383" s="72" t="str">
        <f>IF($K383="","",INDEX('Detalle individual'!$D:$D,$K383))</f>
        <v/>
      </c>
      <c r="H383" s="13" t="str">
        <f>IF($K383="","",INDEX('Detalle individual'!$F:$F,$K383))</f>
        <v/>
      </c>
      <c r="I383" s="20" t="str">
        <f>IF($K383="","",IF(INDEX('Detalle individual'!$F:$F,$K383)="Completado",INDEX('Detalle individual'!$H:$H,$K383),""))</f>
        <v/>
      </c>
      <c r="J383" s="21" t="str">
        <f>IF($K383="","",IF(INDEX('Detalle individual'!$F:$F,$K383)="Completado",INDEX('Detalle individual'!$J:$J,$K383),""))</f>
        <v/>
      </c>
      <c r="K383" t="str">
        <f>IFERROR(MOD(SMALL(Cálculos!$Z$5:$Z$1000,375),10000),"")</f>
        <v/>
      </c>
    </row>
    <row r="384">
      <c r="B384" s="13" t="str">
        <f>IF($K384="","",376)</f>
        <v/>
      </c>
      <c r="C384" s="13" t="str">
        <f>IF($K384="","",INDEX('Detalle individual'!$A:$A,$K384))</f>
        <v/>
      </c>
      <c r="D384" s="72" t="str">
        <f>IF($K384="","",TRIM(INDEX('Detalle individual'!$B:$B,$K384)))</f>
        <v/>
      </c>
      <c r="E384" s="72" t="str">
        <f>IF($K384="","",TRIM(INDEX('Detalle individual'!$E:$E,$K384)))</f>
        <v/>
      </c>
      <c r="F384" s="72" t="str">
        <f>IF($K384="","",TRIM(INDEX('Detalle individual'!$C:$C,$K384)))</f>
        <v/>
      </c>
      <c r="G384" s="72" t="str">
        <f>IF($K384="","",INDEX('Detalle individual'!$D:$D,$K384))</f>
        <v/>
      </c>
      <c r="H384" s="13" t="str">
        <f>IF($K384="","",INDEX('Detalle individual'!$F:$F,$K384))</f>
        <v/>
      </c>
      <c r="I384" s="20" t="str">
        <f>IF($K384="","",IF(INDEX('Detalle individual'!$F:$F,$K384)="Completado",INDEX('Detalle individual'!$H:$H,$K384),""))</f>
        <v/>
      </c>
      <c r="J384" s="21" t="str">
        <f>IF($K384="","",IF(INDEX('Detalle individual'!$F:$F,$K384)="Completado",INDEX('Detalle individual'!$J:$J,$K384),""))</f>
        <v/>
      </c>
      <c r="K384" t="str">
        <f>IFERROR(MOD(SMALL(Cálculos!$Z$5:$Z$1000,376),10000),"")</f>
        <v/>
      </c>
    </row>
    <row r="385">
      <c r="B385" s="13" t="str">
        <f>IF($K385="","",377)</f>
        <v/>
      </c>
      <c r="C385" s="13" t="str">
        <f>IF($K385="","",INDEX('Detalle individual'!$A:$A,$K385))</f>
        <v/>
      </c>
      <c r="D385" s="72" t="str">
        <f>IF($K385="","",TRIM(INDEX('Detalle individual'!$B:$B,$K385)))</f>
        <v/>
      </c>
      <c r="E385" s="72" t="str">
        <f>IF($K385="","",TRIM(INDEX('Detalle individual'!$E:$E,$K385)))</f>
        <v/>
      </c>
      <c r="F385" s="72" t="str">
        <f>IF($K385="","",TRIM(INDEX('Detalle individual'!$C:$C,$K385)))</f>
        <v/>
      </c>
      <c r="G385" s="72" t="str">
        <f>IF($K385="","",INDEX('Detalle individual'!$D:$D,$K385))</f>
        <v/>
      </c>
      <c r="H385" s="13" t="str">
        <f>IF($K385="","",INDEX('Detalle individual'!$F:$F,$K385))</f>
        <v/>
      </c>
      <c r="I385" s="20" t="str">
        <f>IF($K385="","",IF(INDEX('Detalle individual'!$F:$F,$K385)="Completado",INDEX('Detalle individual'!$H:$H,$K385),""))</f>
        <v/>
      </c>
      <c r="J385" s="21" t="str">
        <f>IF($K385="","",IF(INDEX('Detalle individual'!$F:$F,$K385)="Completado",INDEX('Detalle individual'!$J:$J,$K385),""))</f>
        <v/>
      </c>
      <c r="K385" t="str">
        <f>IFERROR(MOD(SMALL(Cálculos!$Z$5:$Z$1000,377),10000),"")</f>
        <v/>
      </c>
    </row>
    <row r="386">
      <c r="B386" s="13" t="str">
        <f>IF($K386="","",378)</f>
        <v/>
      </c>
      <c r="C386" s="13" t="str">
        <f>IF($K386="","",INDEX('Detalle individual'!$A:$A,$K386))</f>
        <v/>
      </c>
      <c r="D386" s="72" t="str">
        <f>IF($K386="","",TRIM(INDEX('Detalle individual'!$B:$B,$K386)))</f>
        <v/>
      </c>
      <c r="E386" s="72" t="str">
        <f>IF($K386="","",TRIM(INDEX('Detalle individual'!$E:$E,$K386)))</f>
        <v/>
      </c>
      <c r="F386" s="72" t="str">
        <f>IF($K386="","",TRIM(INDEX('Detalle individual'!$C:$C,$K386)))</f>
        <v/>
      </c>
      <c r="G386" s="72" t="str">
        <f>IF($K386="","",INDEX('Detalle individual'!$D:$D,$K386))</f>
        <v/>
      </c>
      <c r="H386" s="13" t="str">
        <f>IF($K386="","",INDEX('Detalle individual'!$F:$F,$K386))</f>
        <v/>
      </c>
      <c r="I386" s="20" t="str">
        <f>IF($K386="","",IF(INDEX('Detalle individual'!$F:$F,$K386)="Completado",INDEX('Detalle individual'!$H:$H,$K386),""))</f>
        <v/>
      </c>
      <c r="J386" s="21" t="str">
        <f>IF($K386="","",IF(INDEX('Detalle individual'!$F:$F,$K386)="Completado",INDEX('Detalle individual'!$J:$J,$K386),""))</f>
        <v/>
      </c>
      <c r="K386" t="str">
        <f>IFERROR(MOD(SMALL(Cálculos!$Z$5:$Z$1000,378),10000),"")</f>
        <v/>
      </c>
    </row>
    <row r="387">
      <c r="B387" s="13" t="str">
        <f>IF($K387="","",379)</f>
        <v/>
      </c>
      <c r="C387" s="13" t="str">
        <f>IF($K387="","",INDEX('Detalle individual'!$A:$A,$K387))</f>
        <v/>
      </c>
      <c r="D387" s="72" t="str">
        <f>IF($K387="","",TRIM(INDEX('Detalle individual'!$B:$B,$K387)))</f>
        <v/>
      </c>
      <c r="E387" s="72" t="str">
        <f>IF($K387="","",TRIM(INDEX('Detalle individual'!$E:$E,$K387)))</f>
        <v/>
      </c>
      <c r="F387" s="72" t="str">
        <f>IF($K387="","",TRIM(INDEX('Detalle individual'!$C:$C,$K387)))</f>
        <v/>
      </c>
      <c r="G387" s="72" t="str">
        <f>IF($K387="","",INDEX('Detalle individual'!$D:$D,$K387))</f>
        <v/>
      </c>
      <c r="H387" s="13" t="str">
        <f>IF($K387="","",INDEX('Detalle individual'!$F:$F,$K387))</f>
        <v/>
      </c>
      <c r="I387" s="20" t="str">
        <f>IF($K387="","",IF(INDEX('Detalle individual'!$F:$F,$K387)="Completado",INDEX('Detalle individual'!$H:$H,$K387),""))</f>
        <v/>
      </c>
      <c r="J387" s="21" t="str">
        <f>IF($K387="","",IF(INDEX('Detalle individual'!$F:$F,$K387)="Completado",INDEX('Detalle individual'!$J:$J,$K387),""))</f>
        <v/>
      </c>
      <c r="K387" t="str">
        <f>IFERROR(MOD(SMALL(Cálculos!$Z$5:$Z$1000,379),10000),"")</f>
        <v/>
      </c>
    </row>
    <row r="388">
      <c r="B388" s="13" t="str">
        <f>IF($K388="","",380)</f>
        <v/>
      </c>
      <c r="C388" s="13" t="str">
        <f>IF($K388="","",INDEX('Detalle individual'!$A:$A,$K388))</f>
        <v/>
      </c>
      <c r="D388" s="72" t="str">
        <f>IF($K388="","",TRIM(INDEX('Detalle individual'!$B:$B,$K388)))</f>
        <v/>
      </c>
      <c r="E388" s="72" t="str">
        <f>IF($K388="","",TRIM(INDEX('Detalle individual'!$E:$E,$K388)))</f>
        <v/>
      </c>
      <c r="F388" s="72" t="str">
        <f>IF($K388="","",TRIM(INDEX('Detalle individual'!$C:$C,$K388)))</f>
        <v/>
      </c>
      <c r="G388" s="72" t="str">
        <f>IF($K388="","",INDEX('Detalle individual'!$D:$D,$K388))</f>
        <v/>
      </c>
      <c r="H388" s="13" t="str">
        <f>IF($K388="","",INDEX('Detalle individual'!$F:$F,$K388))</f>
        <v/>
      </c>
      <c r="I388" s="20" t="str">
        <f>IF($K388="","",IF(INDEX('Detalle individual'!$F:$F,$K388)="Completado",INDEX('Detalle individual'!$H:$H,$K388),""))</f>
        <v/>
      </c>
      <c r="J388" s="21" t="str">
        <f>IF($K388="","",IF(INDEX('Detalle individual'!$F:$F,$K388)="Completado",INDEX('Detalle individual'!$J:$J,$K388),""))</f>
        <v/>
      </c>
      <c r="K388" t="str">
        <f>IFERROR(MOD(SMALL(Cálculos!$Z$5:$Z$1000,380),10000),"")</f>
        <v/>
      </c>
    </row>
    <row r="389">
      <c r="B389" s="13" t="str">
        <f>IF($K389="","",381)</f>
        <v/>
      </c>
      <c r="C389" s="13" t="str">
        <f>IF($K389="","",INDEX('Detalle individual'!$A:$A,$K389))</f>
        <v/>
      </c>
      <c r="D389" s="72" t="str">
        <f>IF($K389="","",TRIM(INDEX('Detalle individual'!$B:$B,$K389)))</f>
        <v/>
      </c>
      <c r="E389" s="72" t="str">
        <f>IF($K389="","",TRIM(INDEX('Detalle individual'!$E:$E,$K389)))</f>
        <v/>
      </c>
      <c r="F389" s="72" t="str">
        <f>IF($K389="","",TRIM(INDEX('Detalle individual'!$C:$C,$K389)))</f>
        <v/>
      </c>
      <c r="G389" s="72" t="str">
        <f>IF($K389="","",INDEX('Detalle individual'!$D:$D,$K389))</f>
        <v/>
      </c>
      <c r="H389" s="13" t="str">
        <f>IF($K389="","",INDEX('Detalle individual'!$F:$F,$K389))</f>
        <v/>
      </c>
      <c r="I389" s="20" t="str">
        <f>IF($K389="","",IF(INDEX('Detalle individual'!$F:$F,$K389)="Completado",INDEX('Detalle individual'!$H:$H,$K389),""))</f>
        <v/>
      </c>
      <c r="J389" s="21" t="str">
        <f>IF($K389="","",IF(INDEX('Detalle individual'!$F:$F,$K389)="Completado",INDEX('Detalle individual'!$J:$J,$K389),""))</f>
        <v/>
      </c>
      <c r="K389" t="str">
        <f>IFERROR(MOD(SMALL(Cálculos!$Z$5:$Z$1000,381),10000),"")</f>
        <v/>
      </c>
    </row>
    <row r="390">
      <c r="B390" s="13" t="str">
        <f>IF($K390="","",382)</f>
        <v/>
      </c>
      <c r="C390" s="13" t="str">
        <f>IF($K390="","",INDEX('Detalle individual'!$A:$A,$K390))</f>
        <v/>
      </c>
      <c r="D390" s="72" t="str">
        <f>IF($K390="","",TRIM(INDEX('Detalle individual'!$B:$B,$K390)))</f>
        <v/>
      </c>
      <c r="E390" s="72" t="str">
        <f>IF($K390="","",TRIM(INDEX('Detalle individual'!$E:$E,$K390)))</f>
        <v/>
      </c>
      <c r="F390" s="72" t="str">
        <f>IF($K390="","",TRIM(INDEX('Detalle individual'!$C:$C,$K390)))</f>
        <v/>
      </c>
      <c r="G390" s="72" t="str">
        <f>IF($K390="","",INDEX('Detalle individual'!$D:$D,$K390))</f>
        <v/>
      </c>
      <c r="H390" s="13" t="str">
        <f>IF($K390="","",INDEX('Detalle individual'!$F:$F,$K390))</f>
        <v/>
      </c>
      <c r="I390" s="20" t="str">
        <f>IF($K390="","",IF(INDEX('Detalle individual'!$F:$F,$K390)="Completado",INDEX('Detalle individual'!$H:$H,$K390),""))</f>
        <v/>
      </c>
      <c r="J390" s="21" t="str">
        <f>IF($K390="","",IF(INDEX('Detalle individual'!$F:$F,$K390)="Completado",INDEX('Detalle individual'!$J:$J,$K390),""))</f>
        <v/>
      </c>
      <c r="K390" t="str">
        <f>IFERROR(MOD(SMALL(Cálculos!$Z$5:$Z$1000,382),10000),"")</f>
        <v/>
      </c>
    </row>
    <row r="391">
      <c r="B391" s="13" t="str">
        <f>IF($K391="","",383)</f>
        <v/>
      </c>
      <c r="C391" s="13" t="str">
        <f>IF($K391="","",INDEX('Detalle individual'!$A:$A,$K391))</f>
        <v/>
      </c>
      <c r="D391" s="72" t="str">
        <f>IF($K391="","",TRIM(INDEX('Detalle individual'!$B:$B,$K391)))</f>
        <v/>
      </c>
      <c r="E391" s="72" t="str">
        <f>IF($K391="","",TRIM(INDEX('Detalle individual'!$E:$E,$K391)))</f>
        <v/>
      </c>
      <c r="F391" s="72" t="str">
        <f>IF($K391="","",TRIM(INDEX('Detalle individual'!$C:$C,$K391)))</f>
        <v/>
      </c>
      <c r="G391" s="72" t="str">
        <f>IF($K391="","",INDEX('Detalle individual'!$D:$D,$K391))</f>
        <v/>
      </c>
      <c r="H391" s="13" t="str">
        <f>IF($K391="","",INDEX('Detalle individual'!$F:$F,$K391))</f>
        <v/>
      </c>
      <c r="I391" s="20" t="str">
        <f>IF($K391="","",IF(INDEX('Detalle individual'!$F:$F,$K391)="Completado",INDEX('Detalle individual'!$H:$H,$K391),""))</f>
        <v/>
      </c>
      <c r="J391" s="21" t="str">
        <f>IF($K391="","",IF(INDEX('Detalle individual'!$F:$F,$K391)="Completado",INDEX('Detalle individual'!$J:$J,$K391),""))</f>
        <v/>
      </c>
      <c r="K391" t="str">
        <f>IFERROR(MOD(SMALL(Cálculos!$Z$5:$Z$1000,383),10000),"")</f>
        <v/>
      </c>
    </row>
    <row r="392">
      <c r="B392" s="13" t="str">
        <f>IF($K392="","",384)</f>
        <v/>
      </c>
      <c r="C392" s="13" t="str">
        <f>IF($K392="","",INDEX('Detalle individual'!$A:$A,$K392))</f>
        <v/>
      </c>
      <c r="D392" s="72" t="str">
        <f>IF($K392="","",TRIM(INDEX('Detalle individual'!$B:$B,$K392)))</f>
        <v/>
      </c>
      <c r="E392" s="72" t="str">
        <f>IF($K392="","",TRIM(INDEX('Detalle individual'!$E:$E,$K392)))</f>
        <v/>
      </c>
      <c r="F392" s="72" t="str">
        <f>IF($K392="","",TRIM(INDEX('Detalle individual'!$C:$C,$K392)))</f>
        <v/>
      </c>
      <c r="G392" s="72" t="str">
        <f>IF($K392="","",INDEX('Detalle individual'!$D:$D,$K392))</f>
        <v/>
      </c>
      <c r="H392" s="13" t="str">
        <f>IF($K392="","",INDEX('Detalle individual'!$F:$F,$K392))</f>
        <v/>
      </c>
      <c r="I392" s="20" t="str">
        <f>IF($K392="","",IF(INDEX('Detalle individual'!$F:$F,$K392)="Completado",INDEX('Detalle individual'!$H:$H,$K392),""))</f>
        <v/>
      </c>
      <c r="J392" s="21" t="str">
        <f>IF($K392="","",IF(INDEX('Detalle individual'!$F:$F,$K392)="Completado",INDEX('Detalle individual'!$J:$J,$K392),""))</f>
        <v/>
      </c>
      <c r="K392" t="str">
        <f>IFERROR(MOD(SMALL(Cálculos!$Z$5:$Z$1000,384),10000),"")</f>
        <v/>
      </c>
    </row>
    <row r="393">
      <c r="B393" s="13" t="str">
        <f>IF($K393="","",385)</f>
        <v/>
      </c>
      <c r="C393" s="13" t="str">
        <f>IF($K393="","",INDEX('Detalle individual'!$A:$A,$K393))</f>
        <v/>
      </c>
      <c r="D393" s="72" t="str">
        <f>IF($K393="","",TRIM(INDEX('Detalle individual'!$B:$B,$K393)))</f>
        <v/>
      </c>
      <c r="E393" s="72" t="str">
        <f>IF($K393="","",TRIM(INDEX('Detalle individual'!$E:$E,$K393)))</f>
        <v/>
      </c>
      <c r="F393" s="72" t="str">
        <f>IF($K393="","",TRIM(INDEX('Detalle individual'!$C:$C,$K393)))</f>
        <v/>
      </c>
      <c r="G393" s="72" t="str">
        <f>IF($K393="","",INDEX('Detalle individual'!$D:$D,$K393))</f>
        <v/>
      </c>
      <c r="H393" s="13" t="str">
        <f>IF($K393="","",INDEX('Detalle individual'!$F:$F,$K393))</f>
        <v/>
      </c>
      <c r="I393" s="20" t="str">
        <f>IF($K393="","",IF(INDEX('Detalle individual'!$F:$F,$K393)="Completado",INDEX('Detalle individual'!$H:$H,$K393),""))</f>
        <v/>
      </c>
      <c r="J393" s="21" t="str">
        <f>IF($K393="","",IF(INDEX('Detalle individual'!$F:$F,$K393)="Completado",INDEX('Detalle individual'!$J:$J,$K393),""))</f>
        <v/>
      </c>
      <c r="K393" t="str">
        <f>IFERROR(MOD(SMALL(Cálculos!$Z$5:$Z$1000,385),10000),"")</f>
        <v/>
      </c>
    </row>
    <row r="394">
      <c r="B394" s="13" t="str">
        <f>IF($K394="","",386)</f>
        <v/>
      </c>
      <c r="C394" s="13" t="str">
        <f>IF($K394="","",INDEX('Detalle individual'!$A:$A,$K394))</f>
        <v/>
      </c>
      <c r="D394" s="72" t="str">
        <f>IF($K394="","",TRIM(INDEX('Detalle individual'!$B:$B,$K394)))</f>
        <v/>
      </c>
      <c r="E394" s="72" t="str">
        <f>IF($K394="","",TRIM(INDEX('Detalle individual'!$E:$E,$K394)))</f>
        <v/>
      </c>
      <c r="F394" s="72" t="str">
        <f>IF($K394="","",TRIM(INDEX('Detalle individual'!$C:$C,$K394)))</f>
        <v/>
      </c>
      <c r="G394" s="72" t="str">
        <f>IF($K394="","",INDEX('Detalle individual'!$D:$D,$K394))</f>
        <v/>
      </c>
      <c r="H394" s="13" t="str">
        <f>IF($K394="","",INDEX('Detalle individual'!$F:$F,$K394))</f>
        <v/>
      </c>
      <c r="I394" s="20" t="str">
        <f>IF($K394="","",IF(INDEX('Detalle individual'!$F:$F,$K394)="Completado",INDEX('Detalle individual'!$H:$H,$K394),""))</f>
        <v/>
      </c>
      <c r="J394" s="21" t="str">
        <f>IF($K394="","",IF(INDEX('Detalle individual'!$F:$F,$K394)="Completado",INDEX('Detalle individual'!$J:$J,$K394),""))</f>
        <v/>
      </c>
      <c r="K394" t="str">
        <f>IFERROR(MOD(SMALL(Cálculos!$Z$5:$Z$1000,386),10000),"")</f>
        <v/>
      </c>
    </row>
    <row r="395">
      <c r="B395" s="13" t="str">
        <f>IF($K395="","",387)</f>
        <v/>
      </c>
      <c r="C395" s="13" t="str">
        <f>IF($K395="","",INDEX('Detalle individual'!$A:$A,$K395))</f>
        <v/>
      </c>
      <c r="D395" s="72" t="str">
        <f>IF($K395="","",TRIM(INDEX('Detalle individual'!$B:$B,$K395)))</f>
        <v/>
      </c>
      <c r="E395" s="72" t="str">
        <f>IF($K395="","",TRIM(INDEX('Detalle individual'!$E:$E,$K395)))</f>
        <v/>
      </c>
      <c r="F395" s="72" t="str">
        <f>IF($K395="","",TRIM(INDEX('Detalle individual'!$C:$C,$K395)))</f>
        <v/>
      </c>
      <c r="G395" s="72" t="str">
        <f>IF($K395="","",INDEX('Detalle individual'!$D:$D,$K395))</f>
        <v/>
      </c>
      <c r="H395" s="13" t="str">
        <f>IF($K395="","",INDEX('Detalle individual'!$F:$F,$K395))</f>
        <v/>
      </c>
      <c r="I395" s="20" t="str">
        <f>IF($K395="","",IF(INDEX('Detalle individual'!$F:$F,$K395)="Completado",INDEX('Detalle individual'!$H:$H,$K395),""))</f>
        <v/>
      </c>
      <c r="J395" s="21" t="str">
        <f>IF($K395="","",IF(INDEX('Detalle individual'!$F:$F,$K395)="Completado",INDEX('Detalle individual'!$J:$J,$K395),""))</f>
        <v/>
      </c>
      <c r="K395" t="str">
        <f>IFERROR(MOD(SMALL(Cálculos!$Z$5:$Z$1000,387),10000),"")</f>
        <v/>
      </c>
    </row>
    <row r="396">
      <c r="B396" s="13" t="str">
        <f>IF($K396="","",388)</f>
        <v/>
      </c>
      <c r="C396" s="13" t="str">
        <f>IF($K396="","",INDEX('Detalle individual'!$A:$A,$K396))</f>
        <v/>
      </c>
      <c r="D396" s="72" t="str">
        <f>IF($K396="","",TRIM(INDEX('Detalle individual'!$B:$B,$K396)))</f>
        <v/>
      </c>
      <c r="E396" s="72" t="str">
        <f>IF($K396="","",TRIM(INDEX('Detalle individual'!$E:$E,$K396)))</f>
        <v/>
      </c>
      <c r="F396" s="72" t="str">
        <f>IF($K396="","",TRIM(INDEX('Detalle individual'!$C:$C,$K396)))</f>
        <v/>
      </c>
      <c r="G396" s="72" t="str">
        <f>IF($K396="","",INDEX('Detalle individual'!$D:$D,$K396))</f>
        <v/>
      </c>
      <c r="H396" s="13" t="str">
        <f>IF($K396="","",INDEX('Detalle individual'!$F:$F,$K396))</f>
        <v/>
      </c>
      <c r="I396" s="20" t="str">
        <f>IF($K396="","",IF(INDEX('Detalle individual'!$F:$F,$K396)="Completado",INDEX('Detalle individual'!$H:$H,$K396),""))</f>
        <v/>
      </c>
      <c r="J396" s="21" t="str">
        <f>IF($K396="","",IF(INDEX('Detalle individual'!$F:$F,$K396)="Completado",INDEX('Detalle individual'!$J:$J,$K396),""))</f>
        <v/>
      </c>
      <c r="K396" t="str">
        <f>IFERROR(MOD(SMALL(Cálculos!$Z$5:$Z$1000,388),10000),"")</f>
        <v/>
      </c>
    </row>
    <row r="397">
      <c r="B397" s="13" t="str">
        <f>IF($K397="","",389)</f>
        <v/>
      </c>
      <c r="C397" s="13" t="str">
        <f>IF($K397="","",INDEX('Detalle individual'!$A:$A,$K397))</f>
        <v/>
      </c>
      <c r="D397" s="72" t="str">
        <f>IF($K397="","",TRIM(INDEX('Detalle individual'!$B:$B,$K397)))</f>
        <v/>
      </c>
      <c r="E397" s="72" t="str">
        <f>IF($K397="","",TRIM(INDEX('Detalle individual'!$E:$E,$K397)))</f>
        <v/>
      </c>
      <c r="F397" s="72" t="str">
        <f>IF($K397="","",TRIM(INDEX('Detalle individual'!$C:$C,$K397)))</f>
        <v/>
      </c>
      <c r="G397" s="72" t="str">
        <f>IF($K397="","",INDEX('Detalle individual'!$D:$D,$K397))</f>
        <v/>
      </c>
      <c r="H397" s="13" t="str">
        <f>IF($K397="","",INDEX('Detalle individual'!$F:$F,$K397))</f>
        <v/>
      </c>
      <c r="I397" s="20" t="str">
        <f>IF($K397="","",IF(INDEX('Detalle individual'!$F:$F,$K397)="Completado",INDEX('Detalle individual'!$H:$H,$K397),""))</f>
        <v/>
      </c>
      <c r="J397" s="21" t="str">
        <f>IF($K397="","",IF(INDEX('Detalle individual'!$F:$F,$K397)="Completado",INDEX('Detalle individual'!$J:$J,$K397),""))</f>
        <v/>
      </c>
      <c r="K397" t="str">
        <f>IFERROR(MOD(SMALL(Cálculos!$Z$5:$Z$1000,389),10000),"")</f>
        <v/>
      </c>
    </row>
    <row r="398">
      <c r="B398" s="13" t="str">
        <f>IF($K398="","",390)</f>
        <v/>
      </c>
      <c r="C398" s="13" t="str">
        <f>IF($K398="","",INDEX('Detalle individual'!$A:$A,$K398))</f>
        <v/>
      </c>
      <c r="D398" s="72" t="str">
        <f>IF($K398="","",TRIM(INDEX('Detalle individual'!$B:$B,$K398)))</f>
        <v/>
      </c>
      <c r="E398" s="72" t="str">
        <f>IF($K398="","",TRIM(INDEX('Detalle individual'!$E:$E,$K398)))</f>
        <v/>
      </c>
      <c r="F398" s="72" t="str">
        <f>IF($K398="","",TRIM(INDEX('Detalle individual'!$C:$C,$K398)))</f>
        <v/>
      </c>
      <c r="G398" s="72" t="str">
        <f>IF($K398="","",INDEX('Detalle individual'!$D:$D,$K398))</f>
        <v/>
      </c>
      <c r="H398" s="13" t="str">
        <f>IF($K398="","",INDEX('Detalle individual'!$F:$F,$K398))</f>
        <v/>
      </c>
      <c r="I398" s="20" t="str">
        <f>IF($K398="","",IF(INDEX('Detalle individual'!$F:$F,$K398)="Completado",INDEX('Detalle individual'!$H:$H,$K398),""))</f>
        <v/>
      </c>
      <c r="J398" s="21" t="str">
        <f>IF($K398="","",IF(INDEX('Detalle individual'!$F:$F,$K398)="Completado",INDEX('Detalle individual'!$J:$J,$K398),""))</f>
        <v/>
      </c>
      <c r="K398" t="str">
        <f>IFERROR(MOD(SMALL(Cálculos!$Z$5:$Z$1000,390),10000),"")</f>
        <v/>
      </c>
    </row>
    <row r="399">
      <c r="B399" s="13" t="str">
        <f>IF($K399="","",391)</f>
        <v/>
      </c>
      <c r="C399" s="13" t="str">
        <f>IF($K399="","",INDEX('Detalle individual'!$A:$A,$K399))</f>
        <v/>
      </c>
      <c r="D399" s="72" t="str">
        <f>IF($K399="","",TRIM(INDEX('Detalle individual'!$B:$B,$K399)))</f>
        <v/>
      </c>
      <c r="E399" s="72" t="str">
        <f>IF($K399="","",TRIM(INDEX('Detalle individual'!$E:$E,$K399)))</f>
        <v/>
      </c>
      <c r="F399" s="72" t="str">
        <f>IF($K399="","",TRIM(INDEX('Detalle individual'!$C:$C,$K399)))</f>
        <v/>
      </c>
      <c r="G399" s="72" t="str">
        <f>IF($K399="","",INDEX('Detalle individual'!$D:$D,$K399))</f>
        <v/>
      </c>
      <c r="H399" s="13" t="str">
        <f>IF($K399="","",INDEX('Detalle individual'!$F:$F,$K399))</f>
        <v/>
      </c>
      <c r="I399" s="20" t="str">
        <f>IF($K399="","",IF(INDEX('Detalle individual'!$F:$F,$K399)="Completado",INDEX('Detalle individual'!$H:$H,$K399),""))</f>
        <v/>
      </c>
      <c r="J399" s="21" t="str">
        <f>IF($K399="","",IF(INDEX('Detalle individual'!$F:$F,$K399)="Completado",INDEX('Detalle individual'!$J:$J,$K399),""))</f>
        <v/>
      </c>
      <c r="K399" t="str">
        <f>IFERROR(MOD(SMALL(Cálculos!$Z$5:$Z$1000,391),10000),"")</f>
        <v/>
      </c>
    </row>
    <row r="400">
      <c r="B400" s="13" t="str">
        <f>IF($K400="","",392)</f>
        <v/>
      </c>
      <c r="C400" s="13" t="str">
        <f>IF($K400="","",INDEX('Detalle individual'!$A:$A,$K400))</f>
        <v/>
      </c>
      <c r="D400" s="72" t="str">
        <f>IF($K400="","",TRIM(INDEX('Detalle individual'!$B:$B,$K400)))</f>
        <v/>
      </c>
      <c r="E400" s="72" t="str">
        <f>IF($K400="","",TRIM(INDEX('Detalle individual'!$E:$E,$K400)))</f>
        <v/>
      </c>
      <c r="F400" s="72" t="str">
        <f>IF($K400="","",TRIM(INDEX('Detalle individual'!$C:$C,$K400)))</f>
        <v/>
      </c>
      <c r="G400" s="72" t="str">
        <f>IF($K400="","",INDEX('Detalle individual'!$D:$D,$K400))</f>
        <v/>
      </c>
      <c r="H400" s="13" t="str">
        <f>IF($K400="","",INDEX('Detalle individual'!$F:$F,$K400))</f>
        <v/>
      </c>
      <c r="I400" s="20" t="str">
        <f>IF($K400="","",IF(INDEX('Detalle individual'!$F:$F,$K400)="Completado",INDEX('Detalle individual'!$H:$H,$K400),""))</f>
        <v/>
      </c>
      <c r="J400" s="21" t="str">
        <f>IF($K400="","",IF(INDEX('Detalle individual'!$F:$F,$K400)="Completado",INDEX('Detalle individual'!$J:$J,$K400),""))</f>
        <v/>
      </c>
      <c r="K400" t="str">
        <f>IFERROR(MOD(SMALL(Cálculos!$Z$5:$Z$1000,392),10000),"")</f>
        <v/>
      </c>
    </row>
    <row r="401">
      <c r="B401" s="13" t="str">
        <f>IF($K401="","",393)</f>
        <v/>
      </c>
      <c r="C401" s="13" t="str">
        <f>IF($K401="","",INDEX('Detalle individual'!$A:$A,$K401))</f>
        <v/>
      </c>
      <c r="D401" s="72" t="str">
        <f>IF($K401="","",TRIM(INDEX('Detalle individual'!$B:$B,$K401)))</f>
        <v/>
      </c>
      <c r="E401" s="72" t="str">
        <f>IF($K401="","",TRIM(INDEX('Detalle individual'!$E:$E,$K401)))</f>
        <v/>
      </c>
      <c r="F401" s="72" t="str">
        <f>IF($K401="","",TRIM(INDEX('Detalle individual'!$C:$C,$K401)))</f>
        <v/>
      </c>
      <c r="G401" s="72" t="str">
        <f>IF($K401="","",INDEX('Detalle individual'!$D:$D,$K401))</f>
        <v/>
      </c>
      <c r="H401" s="13" t="str">
        <f>IF($K401="","",INDEX('Detalle individual'!$F:$F,$K401))</f>
        <v/>
      </c>
      <c r="I401" s="20" t="str">
        <f>IF($K401="","",IF(INDEX('Detalle individual'!$F:$F,$K401)="Completado",INDEX('Detalle individual'!$H:$H,$K401),""))</f>
        <v/>
      </c>
      <c r="J401" s="21" t="str">
        <f>IF($K401="","",IF(INDEX('Detalle individual'!$F:$F,$K401)="Completado",INDEX('Detalle individual'!$J:$J,$K401),""))</f>
        <v/>
      </c>
      <c r="K401" t="str">
        <f>IFERROR(MOD(SMALL(Cálculos!$Z$5:$Z$1000,393),10000),"")</f>
        <v/>
      </c>
    </row>
    <row r="402">
      <c r="B402" s="13" t="str">
        <f>IF($K402="","",394)</f>
        <v/>
      </c>
      <c r="C402" s="13" t="str">
        <f>IF($K402="","",INDEX('Detalle individual'!$A:$A,$K402))</f>
        <v/>
      </c>
      <c r="D402" s="72" t="str">
        <f>IF($K402="","",TRIM(INDEX('Detalle individual'!$B:$B,$K402)))</f>
        <v/>
      </c>
      <c r="E402" s="72" t="str">
        <f>IF($K402="","",TRIM(INDEX('Detalle individual'!$E:$E,$K402)))</f>
        <v/>
      </c>
      <c r="F402" s="72" t="str">
        <f>IF($K402="","",TRIM(INDEX('Detalle individual'!$C:$C,$K402)))</f>
        <v/>
      </c>
      <c r="G402" s="72" t="str">
        <f>IF($K402="","",INDEX('Detalle individual'!$D:$D,$K402))</f>
        <v/>
      </c>
      <c r="H402" s="13" t="str">
        <f>IF($K402="","",INDEX('Detalle individual'!$F:$F,$K402))</f>
        <v/>
      </c>
      <c r="I402" s="20" t="str">
        <f>IF($K402="","",IF(INDEX('Detalle individual'!$F:$F,$K402)="Completado",INDEX('Detalle individual'!$H:$H,$K402),""))</f>
        <v/>
      </c>
      <c r="J402" s="21" t="str">
        <f>IF($K402="","",IF(INDEX('Detalle individual'!$F:$F,$K402)="Completado",INDEX('Detalle individual'!$J:$J,$K402),""))</f>
        <v/>
      </c>
      <c r="K402" t="str">
        <f>IFERROR(MOD(SMALL(Cálculos!$Z$5:$Z$1000,394),10000),"")</f>
        <v/>
      </c>
    </row>
    <row r="403">
      <c r="B403" s="13" t="str">
        <f>IF($K403="","",395)</f>
        <v/>
      </c>
      <c r="C403" s="13" t="str">
        <f>IF($K403="","",INDEX('Detalle individual'!$A:$A,$K403))</f>
        <v/>
      </c>
      <c r="D403" s="72" t="str">
        <f>IF($K403="","",TRIM(INDEX('Detalle individual'!$B:$B,$K403)))</f>
        <v/>
      </c>
      <c r="E403" s="72" t="str">
        <f>IF($K403="","",TRIM(INDEX('Detalle individual'!$E:$E,$K403)))</f>
        <v/>
      </c>
      <c r="F403" s="72" t="str">
        <f>IF($K403="","",TRIM(INDEX('Detalle individual'!$C:$C,$K403)))</f>
        <v/>
      </c>
      <c r="G403" s="72" t="str">
        <f>IF($K403="","",INDEX('Detalle individual'!$D:$D,$K403))</f>
        <v/>
      </c>
      <c r="H403" s="13" t="str">
        <f>IF($K403="","",INDEX('Detalle individual'!$F:$F,$K403))</f>
        <v/>
      </c>
      <c r="I403" s="20" t="str">
        <f>IF($K403="","",IF(INDEX('Detalle individual'!$F:$F,$K403)="Completado",INDEX('Detalle individual'!$H:$H,$K403),""))</f>
        <v/>
      </c>
      <c r="J403" s="21" t="str">
        <f>IF($K403="","",IF(INDEX('Detalle individual'!$F:$F,$K403)="Completado",INDEX('Detalle individual'!$J:$J,$K403),""))</f>
        <v/>
      </c>
      <c r="K403" t="str">
        <f>IFERROR(MOD(SMALL(Cálculos!$Z$5:$Z$1000,395),10000),"")</f>
        <v/>
      </c>
    </row>
    <row r="404">
      <c r="B404" s="13" t="str">
        <f>IF($K404="","",396)</f>
        <v/>
      </c>
      <c r="C404" s="13" t="str">
        <f>IF($K404="","",INDEX('Detalle individual'!$A:$A,$K404))</f>
        <v/>
      </c>
      <c r="D404" s="72" t="str">
        <f>IF($K404="","",TRIM(INDEX('Detalle individual'!$B:$B,$K404)))</f>
        <v/>
      </c>
      <c r="E404" s="72" t="str">
        <f>IF($K404="","",TRIM(INDEX('Detalle individual'!$E:$E,$K404)))</f>
        <v/>
      </c>
      <c r="F404" s="72" t="str">
        <f>IF($K404="","",TRIM(INDEX('Detalle individual'!$C:$C,$K404)))</f>
        <v/>
      </c>
      <c r="G404" s="72" t="str">
        <f>IF($K404="","",INDEX('Detalle individual'!$D:$D,$K404))</f>
        <v/>
      </c>
      <c r="H404" s="13" t="str">
        <f>IF($K404="","",INDEX('Detalle individual'!$F:$F,$K404))</f>
        <v/>
      </c>
      <c r="I404" s="20" t="str">
        <f>IF($K404="","",IF(INDEX('Detalle individual'!$F:$F,$K404)="Completado",INDEX('Detalle individual'!$H:$H,$K404),""))</f>
        <v/>
      </c>
      <c r="J404" s="21" t="str">
        <f>IF($K404="","",IF(INDEX('Detalle individual'!$F:$F,$K404)="Completado",INDEX('Detalle individual'!$J:$J,$K404),""))</f>
        <v/>
      </c>
      <c r="K404" t="str">
        <f>IFERROR(MOD(SMALL(Cálculos!$Z$5:$Z$1000,396),10000),"")</f>
        <v/>
      </c>
    </row>
    <row r="405">
      <c r="B405" s="13" t="str">
        <f>IF($K405="","",397)</f>
        <v/>
      </c>
      <c r="C405" s="13" t="str">
        <f>IF($K405="","",INDEX('Detalle individual'!$A:$A,$K405))</f>
        <v/>
      </c>
      <c r="D405" s="72" t="str">
        <f>IF($K405="","",TRIM(INDEX('Detalle individual'!$B:$B,$K405)))</f>
        <v/>
      </c>
      <c r="E405" s="72" t="str">
        <f>IF($K405="","",TRIM(INDEX('Detalle individual'!$E:$E,$K405)))</f>
        <v/>
      </c>
      <c r="F405" s="72" t="str">
        <f>IF($K405="","",TRIM(INDEX('Detalle individual'!$C:$C,$K405)))</f>
        <v/>
      </c>
      <c r="G405" s="72" t="str">
        <f>IF($K405="","",INDEX('Detalle individual'!$D:$D,$K405))</f>
        <v/>
      </c>
      <c r="H405" s="13" t="str">
        <f>IF($K405="","",INDEX('Detalle individual'!$F:$F,$K405))</f>
        <v/>
      </c>
      <c r="I405" s="20" t="str">
        <f>IF($K405="","",IF(INDEX('Detalle individual'!$F:$F,$K405)="Completado",INDEX('Detalle individual'!$H:$H,$K405),""))</f>
        <v/>
      </c>
      <c r="J405" s="21" t="str">
        <f>IF($K405="","",IF(INDEX('Detalle individual'!$F:$F,$K405)="Completado",INDEX('Detalle individual'!$J:$J,$K405),""))</f>
        <v/>
      </c>
      <c r="K405" t="str">
        <f>IFERROR(MOD(SMALL(Cálculos!$Z$5:$Z$1000,397),10000),"")</f>
        <v/>
      </c>
    </row>
    <row r="406">
      <c r="B406" s="13" t="str">
        <f>IF($K406="","",398)</f>
        <v/>
      </c>
      <c r="C406" s="13" t="str">
        <f>IF($K406="","",INDEX('Detalle individual'!$A:$A,$K406))</f>
        <v/>
      </c>
      <c r="D406" s="72" t="str">
        <f>IF($K406="","",TRIM(INDEX('Detalle individual'!$B:$B,$K406)))</f>
        <v/>
      </c>
      <c r="E406" s="72" t="str">
        <f>IF($K406="","",TRIM(INDEX('Detalle individual'!$E:$E,$K406)))</f>
        <v/>
      </c>
      <c r="F406" s="72" t="str">
        <f>IF($K406="","",TRIM(INDEX('Detalle individual'!$C:$C,$K406)))</f>
        <v/>
      </c>
      <c r="G406" s="72" t="str">
        <f>IF($K406="","",INDEX('Detalle individual'!$D:$D,$K406))</f>
        <v/>
      </c>
      <c r="H406" s="13" t="str">
        <f>IF($K406="","",INDEX('Detalle individual'!$F:$F,$K406))</f>
        <v/>
      </c>
      <c r="I406" s="20" t="str">
        <f>IF($K406="","",IF(INDEX('Detalle individual'!$F:$F,$K406)="Completado",INDEX('Detalle individual'!$H:$H,$K406),""))</f>
        <v/>
      </c>
      <c r="J406" s="21" t="str">
        <f>IF($K406="","",IF(INDEX('Detalle individual'!$F:$F,$K406)="Completado",INDEX('Detalle individual'!$J:$J,$K406),""))</f>
        <v/>
      </c>
      <c r="K406" t="str">
        <f>IFERROR(MOD(SMALL(Cálculos!$Z$5:$Z$1000,398),10000),"")</f>
        <v/>
      </c>
    </row>
    <row r="407">
      <c r="B407" s="13" t="str">
        <f>IF($K407="","",399)</f>
        <v/>
      </c>
      <c r="C407" s="13" t="str">
        <f>IF($K407="","",INDEX('Detalle individual'!$A:$A,$K407))</f>
        <v/>
      </c>
      <c r="D407" s="72" t="str">
        <f>IF($K407="","",TRIM(INDEX('Detalle individual'!$B:$B,$K407)))</f>
        <v/>
      </c>
      <c r="E407" s="72" t="str">
        <f>IF($K407="","",TRIM(INDEX('Detalle individual'!$E:$E,$K407)))</f>
        <v/>
      </c>
      <c r="F407" s="72" t="str">
        <f>IF($K407="","",TRIM(INDEX('Detalle individual'!$C:$C,$K407)))</f>
        <v/>
      </c>
      <c r="G407" s="72" t="str">
        <f>IF($K407="","",INDEX('Detalle individual'!$D:$D,$K407))</f>
        <v/>
      </c>
      <c r="H407" s="13" t="str">
        <f>IF($K407="","",INDEX('Detalle individual'!$F:$F,$K407))</f>
        <v/>
      </c>
      <c r="I407" s="20" t="str">
        <f>IF($K407="","",IF(INDEX('Detalle individual'!$F:$F,$K407)="Completado",INDEX('Detalle individual'!$H:$H,$K407),""))</f>
        <v/>
      </c>
      <c r="J407" s="21" t="str">
        <f>IF($K407="","",IF(INDEX('Detalle individual'!$F:$F,$K407)="Completado",INDEX('Detalle individual'!$J:$J,$K407),""))</f>
        <v/>
      </c>
      <c r="K407" t="str">
        <f>IFERROR(MOD(SMALL(Cálculos!$Z$5:$Z$1000,399),10000),"")</f>
        <v/>
      </c>
    </row>
    <row r="408">
      <c r="B408" s="13" t="str">
        <f>IF($K408="","",400)</f>
        <v/>
      </c>
      <c r="C408" s="13" t="str">
        <f>IF($K408="","",INDEX('Detalle individual'!$A:$A,$K408))</f>
        <v/>
      </c>
      <c r="D408" s="72" t="str">
        <f>IF($K408="","",TRIM(INDEX('Detalle individual'!$B:$B,$K408)))</f>
        <v/>
      </c>
      <c r="E408" s="72" t="str">
        <f>IF($K408="","",TRIM(INDEX('Detalle individual'!$E:$E,$K408)))</f>
        <v/>
      </c>
      <c r="F408" s="72" t="str">
        <f>IF($K408="","",TRIM(INDEX('Detalle individual'!$C:$C,$K408)))</f>
        <v/>
      </c>
      <c r="G408" s="72" t="str">
        <f>IF($K408="","",INDEX('Detalle individual'!$D:$D,$K408))</f>
        <v/>
      </c>
      <c r="H408" s="13" t="str">
        <f>IF($K408="","",INDEX('Detalle individual'!$F:$F,$K408))</f>
        <v/>
      </c>
      <c r="I408" s="20" t="str">
        <f>IF($K408="","",IF(INDEX('Detalle individual'!$F:$F,$K408)="Completado",INDEX('Detalle individual'!$H:$H,$K408),""))</f>
        <v/>
      </c>
      <c r="J408" s="21" t="str">
        <f>IF($K408="","",IF(INDEX('Detalle individual'!$F:$F,$K408)="Completado",INDEX('Detalle individual'!$J:$J,$K408),""))</f>
        <v/>
      </c>
      <c r="K408" t="str">
        <f>IFERROR(MOD(SMALL(Cálculos!$Z$5:$Z$1000,400),10000),"")</f>
        <v/>
      </c>
    </row>
    <row r="409">
      <c r="B409" s="13" t="str">
        <f>IF($K409="","",401)</f>
        <v/>
      </c>
      <c r="C409" s="13" t="str">
        <f>IF($K409="","",INDEX('Detalle individual'!$A:$A,$K409))</f>
        <v/>
      </c>
      <c r="D409" s="72" t="str">
        <f>IF($K409="","",TRIM(INDEX('Detalle individual'!$B:$B,$K409)))</f>
        <v/>
      </c>
      <c r="E409" s="72" t="str">
        <f>IF($K409="","",TRIM(INDEX('Detalle individual'!$E:$E,$K409)))</f>
        <v/>
      </c>
      <c r="F409" s="72" t="str">
        <f>IF($K409="","",TRIM(INDEX('Detalle individual'!$C:$C,$K409)))</f>
        <v/>
      </c>
      <c r="G409" s="72" t="str">
        <f>IF($K409="","",INDEX('Detalle individual'!$D:$D,$K409))</f>
        <v/>
      </c>
      <c r="H409" s="13" t="str">
        <f>IF($K409="","",INDEX('Detalle individual'!$F:$F,$K409))</f>
        <v/>
      </c>
      <c r="I409" s="20" t="str">
        <f>IF($K409="","",IF(INDEX('Detalle individual'!$F:$F,$K409)="Completado",INDEX('Detalle individual'!$H:$H,$K409),""))</f>
        <v/>
      </c>
      <c r="J409" s="21" t="str">
        <f>IF($K409="","",IF(INDEX('Detalle individual'!$F:$F,$K409)="Completado",INDEX('Detalle individual'!$J:$J,$K409),""))</f>
        <v/>
      </c>
      <c r="K409" t="str">
        <f>IFERROR(MOD(SMALL(Cálculos!$Z$5:$Z$1000,401),10000),"")</f>
        <v/>
      </c>
    </row>
    <row r="410">
      <c r="B410" s="13" t="str">
        <f>IF($K410="","",402)</f>
        <v/>
      </c>
      <c r="C410" s="13" t="str">
        <f>IF($K410="","",INDEX('Detalle individual'!$A:$A,$K410))</f>
        <v/>
      </c>
      <c r="D410" s="72" t="str">
        <f>IF($K410="","",TRIM(INDEX('Detalle individual'!$B:$B,$K410)))</f>
        <v/>
      </c>
      <c r="E410" s="72" t="str">
        <f>IF($K410="","",TRIM(INDEX('Detalle individual'!$E:$E,$K410)))</f>
        <v/>
      </c>
      <c r="F410" s="72" t="str">
        <f>IF($K410="","",TRIM(INDEX('Detalle individual'!$C:$C,$K410)))</f>
        <v/>
      </c>
      <c r="G410" s="72" t="str">
        <f>IF($K410="","",INDEX('Detalle individual'!$D:$D,$K410))</f>
        <v/>
      </c>
      <c r="H410" s="13" t="str">
        <f>IF($K410="","",INDEX('Detalle individual'!$F:$F,$K410))</f>
        <v/>
      </c>
      <c r="I410" s="20" t="str">
        <f>IF($K410="","",IF(INDEX('Detalle individual'!$F:$F,$K410)="Completado",INDEX('Detalle individual'!$H:$H,$K410),""))</f>
        <v/>
      </c>
      <c r="J410" s="21" t="str">
        <f>IF($K410="","",IF(INDEX('Detalle individual'!$F:$F,$K410)="Completado",INDEX('Detalle individual'!$J:$J,$K410),""))</f>
        <v/>
      </c>
      <c r="K410" t="str">
        <f>IFERROR(MOD(SMALL(Cálculos!$Z$5:$Z$1000,402),10000),"")</f>
        <v/>
      </c>
    </row>
    <row r="411">
      <c r="B411" s="13" t="str">
        <f>IF($K411="","",403)</f>
        <v/>
      </c>
      <c r="C411" s="13" t="str">
        <f>IF($K411="","",INDEX('Detalle individual'!$A:$A,$K411))</f>
        <v/>
      </c>
      <c r="D411" s="72" t="str">
        <f>IF($K411="","",TRIM(INDEX('Detalle individual'!$B:$B,$K411)))</f>
        <v/>
      </c>
      <c r="E411" s="72" t="str">
        <f>IF($K411="","",TRIM(INDEX('Detalle individual'!$E:$E,$K411)))</f>
        <v/>
      </c>
      <c r="F411" s="72" t="str">
        <f>IF($K411="","",TRIM(INDEX('Detalle individual'!$C:$C,$K411)))</f>
        <v/>
      </c>
      <c r="G411" s="72" t="str">
        <f>IF($K411="","",INDEX('Detalle individual'!$D:$D,$K411))</f>
        <v/>
      </c>
      <c r="H411" s="13" t="str">
        <f>IF($K411="","",INDEX('Detalle individual'!$F:$F,$K411))</f>
        <v/>
      </c>
      <c r="I411" s="20" t="str">
        <f>IF($K411="","",IF(INDEX('Detalle individual'!$F:$F,$K411)="Completado",INDEX('Detalle individual'!$H:$H,$K411),""))</f>
        <v/>
      </c>
      <c r="J411" s="21" t="str">
        <f>IF($K411="","",IF(INDEX('Detalle individual'!$F:$F,$K411)="Completado",INDEX('Detalle individual'!$J:$J,$K411),""))</f>
        <v/>
      </c>
      <c r="K411" t="str">
        <f>IFERROR(MOD(SMALL(Cálculos!$Z$5:$Z$1000,403),10000),"")</f>
        <v/>
      </c>
    </row>
    <row r="412">
      <c r="B412" s="13" t="str">
        <f>IF($K412="","",404)</f>
        <v/>
      </c>
      <c r="C412" s="13" t="str">
        <f>IF($K412="","",INDEX('Detalle individual'!$A:$A,$K412))</f>
        <v/>
      </c>
      <c r="D412" s="72" t="str">
        <f>IF($K412="","",TRIM(INDEX('Detalle individual'!$B:$B,$K412)))</f>
        <v/>
      </c>
      <c r="E412" s="72" t="str">
        <f>IF($K412="","",TRIM(INDEX('Detalle individual'!$E:$E,$K412)))</f>
        <v/>
      </c>
      <c r="F412" s="72" t="str">
        <f>IF($K412="","",TRIM(INDEX('Detalle individual'!$C:$C,$K412)))</f>
        <v/>
      </c>
      <c r="G412" s="72" t="str">
        <f>IF($K412="","",INDEX('Detalle individual'!$D:$D,$K412))</f>
        <v/>
      </c>
      <c r="H412" s="13" t="str">
        <f>IF($K412="","",INDEX('Detalle individual'!$F:$F,$K412))</f>
        <v/>
      </c>
      <c r="I412" s="20" t="str">
        <f>IF($K412="","",IF(INDEX('Detalle individual'!$F:$F,$K412)="Completado",INDEX('Detalle individual'!$H:$H,$K412),""))</f>
        <v/>
      </c>
      <c r="J412" s="21" t="str">
        <f>IF($K412="","",IF(INDEX('Detalle individual'!$F:$F,$K412)="Completado",INDEX('Detalle individual'!$J:$J,$K412),""))</f>
        <v/>
      </c>
      <c r="K412" t="str">
        <f>IFERROR(MOD(SMALL(Cálculos!$Z$5:$Z$1000,404),10000),"")</f>
        <v/>
      </c>
    </row>
    <row r="413">
      <c r="B413" s="13" t="str">
        <f>IF($K413="","",405)</f>
        <v/>
      </c>
      <c r="C413" s="13" t="str">
        <f>IF($K413="","",INDEX('Detalle individual'!$A:$A,$K413))</f>
        <v/>
      </c>
      <c r="D413" s="72" t="str">
        <f>IF($K413="","",TRIM(INDEX('Detalle individual'!$B:$B,$K413)))</f>
        <v/>
      </c>
      <c r="E413" s="72" t="str">
        <f>IF($K413="","",TRIM(INDEX('Detalle individual'!$E:$E,$K413)))</f>
        <v/>
      </c>
      <c r="F413" s="72" t="str">
        <f>IF($K413="","",TRIM(INDEX('Detalle individual'!$C:$C,$K413)))</f>
        <v/>
      </c>
      <c r="G413" s="72" t="str">
        <f>IF($K413="","",INDEX('Detalle individual'!$D:$D,$K413))</f>
        <v/>
      </c>
      <c r="H413" s="13" t="str">
        <f>IF($K413="","",INDEX('Detalle individual'!$F:$F,$K413))</f>
        <v/>
      </c>
      <c r="I413" s="20" t="str">
        <f>IF($K413="","",IF(INDEX('Detalle individual'!$F:$F,$K413)="Completado",INDEX('Detalle individual'!$H:$H,$K413),""))</f>
        <v/>
      </c>
      <c r="J413" s="21" t="str">
        <f>IF($K413="","",IF(INDEX('Detalle individual'!$F:$F,$K413)="Completado",INDEX('Detalle individual'!$J:$J,$K413),""))</f>
        <v/>
      </c>
      <c r="K413" t="str">
        <f>IFERROR(MOD(SMALL(Cálculos!$Z$5:$Z$1000,405),10000),"")</f>
        <v/>
      </c>
    </row>
    <row r="414">
      <c r="B414" s="13" t="str">
        <f>IF($K414="","",406)</f>
        <v/>
      </c>
      <c r="C414" s="13" t="str">
        <f>IF($K414="","",INDEX('Detalle individual'!$A:$A,$K414))</f>
        <v/>
      </c>
      <c r="D414" s="72" t="str">
        <f>IF($K414="","",TRIM(INDEX('Detalle individual'!$B:$B,$K414)))</f>
        <v/>
      </c>
      <c r="E414" s="72" t="str">
        <f>IF($K414="","",TRIM(INDEX('Detalle individual'!$E:$E,$K414)))</f>
        <v/>
      </c>
      <c r="F414" s="72" t="str">
        <f>IF($K414="","",TRIM(INDEX('Detalle individual'!$C:$C,$K414)))</f>
        <v/>
      </c>
      <c r="G414" s="72" t="str">
        <f>IF($K414="","",INDEX('Detalle individual'!$D:$D,$K414))</f>
        <v/>
      </c>
      <c r="H414" s="13" t="str">
        <f>IF($K414="","",INDEX('Detalle individual'!$F:$F,$K414))</f>
        <v/>
      </c>
      <c r="I414" s="20" t="str">
        <f>IF($K414="","",IF(INDEX('Detalle individual'!$F:$F,$K414)="Completado",INDEX('Detalle individual'!$H:$H,$K414),""))</f>
        <v/>
      </c>
      <c r="J414" s="21" t="str">
        <f>IF($K414="","",IF(INDEX('Detalle individual'!$F:$F,$K414)="Completado",INDEX('Detalle individual'!$J:$J,$K414),""))</f>
        <v/>
      </c>
      <c r="K414" t="str">
        <f>IFERROR(MOD(SMALL(Cálculos!$Z$5:$Z$1000,406),10000),"")</f>
        <v/>
      </c>
    </row>
    <row r="415">
      <c r="B415" s="13" t="str">
        <f>IF($K415="","",407)</f>
        <v/>
      </c>
      <c r="C415" s="13" t="str">
        <f>IF($K415="","",INDEX('Detalle individual'!$A:$A,$K415))</f>
        <v/>
      </c>
      <c r="D415" s="72" t="str">
        <f>IF($K415="","",TRIM(INDEX('Detalle individual'!$B:$B,$K415)))</f>
        <v/>
      </c>
      <c r="E415" s="72" t="str">
        <f>IF($K415="","",TRIM(INDEX('Detalle individual'!$E:$E,$K415)))</f>
        <v/>
      </c>
      <c r="F415" s="72" t="str">
        <f>IF($K415="","",TRIM(INDEX('Detalle individual'!$C:$C,$K415)))</f>
        <v/>
      </c>
      <c r="G415" s="72" t="str">
        <f>IF($K415="","",INDEX('Detalle individual'!$D:$D,$K415))</f>
        <v/>
      </c>
      <c r="H415" s="13" t="str">
        <f>IF($K415="","",INDEX('Detalle individual'!$F:$F,$K415))</f>
        <v/>
      </c>
      <c r="I415" s="20" t="str">
        <f>IF($K415="","",IF(INDEX('Detalle individual'!$F:$F,$K415)="Completado",INDEX('Detalle individual'!$H:$H,$K415),""))</f>
        <v/>
      </c>
      <c r="J415" s="21" t="str">
        <f>IF($K415="","",IF(INDEX('Detalle individual'!$F:$F,$K415)="Completado",INDEX('Detalle individual'!$J:$J,$K415),""))</f>
        <v/>
      </c>
      <c r="K415" t="str">
        <f>IFERROR(MOD(SMALL(Cálculos!$Z$5:$Z$1000,407),10000),"")</f>
        <v/>
      </c>
    </row>
    <row r="416">
      <c r="B416" s="13" t="str">
        <f>IF($K416="","",408)</f>
        <v/>
      </c>
      <c r="C416" s="13" t="str">
        <f>IF($K416="","",INDEX('Detalle individual'!$A:$A,$K416))</f>
        <v/>
      </c>
      <c r="D416" s="72" t="str">
        <f>IF($K416="","",TRIM(INDEX('Detalle individual'!$B:$B,$K416)))</f>
        <v/>
      </c>
      <c r="E416" s="72" t="str">
        <f>IF($K416="","",TRIM(INDEX('Detalle individual'!$E:$E,$K416)))</f>
        <v/>
      </c>
      <c r="F416" s="72" t="str">
        <f>IF($K416="","",TRIM(INDEX('Detalle individual'!$C:$C,$K416)))</f>
        <v/>
      </c>
      <c r="G416" s="72" t="str">
        <f>IF($K416="","",INDEX('Detalle individual'!$D:$D,$K416))</f>
        <v/>
      </c>
      <c r="H416" s="13" t="str">
        <f>IF($K416="","",INDEX('Detalle individual'!$F:$F,$K416))</f>
        <v/>
      </c>
      <c r="I416" s="20" t="str">
        <f>IF($K416="","",IF(INDEX('Detalle individual'!$F:$F,$K416)="Completado",INDEX('Detalle individual'!$H:$H,$K416),""))</f>
        <v/>
      </c>
      <c r="J416" s="21" t="str">
        <f>IF($K416="","",IF(INDEX('Detalle individual'!$F:$F,$K416)="Completado",INDEX('Detalle individual'!$J:$J,$K416),""))</f>
        <v/>
      </c>
      <c r="K416" t="str">
        <f>IFERROR(MOD(SMALL(Cálculos!$Z$5:$Z$1000,408),10000),"")</f>
        <v/>
      </c>
    </row>
    <row r="417">
      <c r="B417" s="13" t="str">
        <f>IF($K417="","",409)</f>
        <v/>
      </c>
      <c r="C417" s="13" t="str">
        <f>IF($K417="","",INDEX('Detalle individual'!$A:$A,$K417))</f>
        <v/>
      </c>
      <c r="D417" s="72" t="str">
        <f>IF($K417="","",TRIM(INDEX('Detalle individual'!$B:$B,$K417)))</f>
        <v/>
      </c>
      <c r="E417" s="72" t="str">
        <f>IF($K417="","",TRIM(INDEX('Detalle individual'!$E:$E,$K417)))</f>
        <v/>
      </c>
      <c r="F417" s="72" t="str">
        <f>IF($K417="","",TRIM(INDEX('Detalle individual'!$C:$C,$K417)))</f>
        <v/>
      </c>
      <c r="G417" s="72" t="str">
        <f>IF($K417="","",INDEX('Detalle individual'!$D:$D,$K417))</f>
        <v/>
      </c>
      <c r="H417" s="13" t="str">
        <f>IF($K417="","",INDEX('Detalle individual'!$F:$F,$K417))</f>
        <v/>
      </c>
      <c r="I417" s="20" t="str">
        <f>IF($K417="","",IF(INDEX('Detalle individual'!$F:$F,$K417)="Completado",INDEX('Detalle individual'!$H:$H,$K417),""))</f>
        <v/>
      </c>
      <c r="J417" s="21" t="str">
        <f>IF($K417="","",IF(INDEX('Detalle individual'!$F:$F,$K417)="Completado",INDEX('Detalle individual'!$J:$J,$K417),""))</f>
        <v/>
      </c>
      <c r="K417" t="str">
        <f>IFERROR(MOD(SMALL(Cálculos!$Z$5:$Z$1000,409),10000),"")</f>
        <v/>
      </c>
    </row>
    <row r="418">
      <c r="B418" s="13" t="str">
        <f>IF($K418="","",410)</f>
        <v/>
      </c>
      <c r="C418" s="13" t="str">
        <f>IF($K418="","",INDEX('Detalle individual'!$A:$A,$K418))</f>
        <v/>
      </c>
      <c r="D418" s="72" t="str">
        <f>IF($K418="","",TRIM(INDEX('Detalle individual'!$B:$B,$K418)))</f>
        <v/>
      </c>
      <c r="E418" s="72" t="str">
        <f>IF($K418="","",TRIM(INDEX('Detalle individual'!$E:$E,$K418)))</f>
        <v/>
      </c>
      <c r="F418" s="72" t="str">
        <f>IF($K418="","",TRIM(INDEX('Detalle individual'!$C:$C,$K418)))</f>
        <v/>
      </c>
      <c r="G418" s="72" t="str">
        <f>IF($K418="","",INDEX('Detalle individual'!$D:$D,$K418))</f>
        <v/>
      </c>
      <c r="H418" s="13" t="str">
        <f>IF($K418="","",INDEX('Detalle individual'!$F:$F,$K418))</f>
        <v/>
      </c>
      <c r="I418" s="20" t="str">
        <f>IF($K418="","",IF(INDEX('Detalle individual'!$F:$F,$K418)="Completado",INDEX('Detalle individual'!$H:$H,$K418),""))</f>
        <v/>
      </c>
      <c r="J418" s="21" t="str">
        <f>IF($K418="","",IF(INDEX('Detalle individual'!$F:$F,$K418)="Completado",INDEX('Detalle individual'!$J:$J,$K418),""))</f>
        <v/>
      </c>
      <c r="K418" t="str">
        <f>IFERROR(MOD(SMALL(Cálculos!$Z$5:$Z$1000,410),10000),"")</f>
        <v/>
      </c>
    </row>
    <row r="419">
      <c r="B419" s="13" t="str">
        <f>IF($K419="","",411)</f>
        <v/>
      </c>
      <c r="C419" s="13" t="str">
        <f>IF($K419="","",INDEX('Detalle individual'!$A:$A,$K419))</f>
        <v/>
      </c>
      <c r="D419" s="72" t="str">
        <f>IF($K419="","",TRIM(INDEX('Detalle individual'!$B:$B,$K419)))</f>
        <v/>
      </c>
      <c r="E419" s="72" t="str">
        <f>IF($K419="","",TRIM(INDEX('Detalle individual'!$E:$E,$K419)))</f>
        <v/>
      </c>
      <c r="F419" s="72" t="str">
        <f>IF($K419="","",TRIM(INDEX('Detalle individual'!$C:$C,$K419)))</f>
        <v/>
      </c>
      <c r="G419" s="72" t="str">
        <f>IF($K419="","",INDEX('Detalle individual'!$D:$D,$K419))</f>
        <v/>
      </c>
      <c r="H419" s="13" t="str">
        <f>IF($K419="","",INDEX('Detalle individual'!$F:$F,$K419))</f>
        <v/>
      </c>
      <c r="I419" s="20" t="str">
        <f>IF($K419="","",IF(INDEX('Detalle individual'!$F:$F,$K419)="Completado",INDEX('Detalle individual'!$H:$H,$K419),""))</f>
        <v/>
      </c>
      <c r="J419" s="21" t="str">
        <f>IF($K419="","",IF(INDEX('Detalle individual'!$F:$F,$K419)="Completado",INDEX('Detalle individual'!$J:$J,$K419),""))</f>
        <v/>
      </c>
      <c r="K419" t="str">
        <f>IFERROR(MOD(SMALL(Cálculos!$Z$5:$Z$1000,411),10000),"")</f>
        <v/>
      </c>
    </row>
    <row r="420">
      <c r="B420" s="13" t="str">
        <f>IF($K420="","",412)</f>
        <v/>
      </c>
      <c r="C420" s="13" t="str">
        <f>IF($K420="","",INDEX('Detalle individual'!$A:$A,$K420))</f>
        <v/>
      </c>
      <c r="D420" s="72" t="str">
        <f>IF($K420="","",TRIM(INDEX('Detalle individual'!$B:$B,$K420)))</f>
        <v/>
      </c>
      <c r="E420" s="72" t="str">
        <f>IF($K420="","",TRIM(INDEX('Detalle individual'!$E:$E,$K420)))</f>
        <v/>
      </c>
      <c r="F420" s="72" t="str">
        <f>IF($K420="","",TRIM(INDEX('Detalle individual'!$C:$C,$K420)))</f>
        <v/>
      </c>
      <c r="G420" s="72" t="str">
        <f>IF($K420="","",INDEX('Detalle individual'!$D:$D,$K420))</f>
        <v/>
      </c>
      <c r="H420" s="13" t="str">
        <f>IF($K420="","",INDEX('Detalle individual'!$F:$F,$K420))</f>
        <v/>
      </c>
      <c r="I420" s="20" t="str">
        <f>IF($K420="","",IF(INDEX('Detalle individual'!$F:$F,$K420)="Completado",INDEX('Detalle individual'!$H:$H,$K420),""))</f>
        <v/>
      </c>
      <c r="J420" s="21" t="str">
        <f>IF($K420="","",IF(INDEX('Detalle individual'!$F:$F,$K420)="Completado",INDEX('Detalle individual'!$J:$J,$K420),""))</f>
        <v/>
      </c>
      <c r="K420" t="str">
        <f>IFERROR(MOD(SMALL(Cálculos!$Z$5:$Z$1000,412),10000),"")</f>
        <v/>
      </c>
    </row>
    <row r="421">
      <c r="B421" s="13" t="str">
        <f>IF($K421="","",413)</f>
        <v/>
      </c>
      <c r="C421" s="13" t="str">
        <f>IF($K421="","",INDEX('Detalle individual'!$A:$A,$K421))</f>
        <v/>
      </c>
      <c r="D421" s="72" t="str">
        <f>IF($K421="","",TRIM(INDEX('Detalle individual'!$B:$B,$K421)))</f>
        <v/>
      </c>
      <c r="E421" s="72" t="str">
        <f>IF($K421="","",TRIM(INDEX('Detalle individual'!$E:$E,$K421)))</f>
        <v/>
      </c>
      <c r="F421" s="72" t="str">
        <f>IF($K421="","",TRIM(INDEX('Detalle individual'!$C:$C,$K421)))</f>
        <v/>
      </c>
      <c r="G421" s="72" t="str">
        <f>IF($K421="","",INDEX('Detalle individual'!$D:$D,$K421))</f>
        <v/>
      </c>
      <c r="H421" s="13" t="str">
        <f>IF($K421="","",INDEX('Detalle individual'!$F:$F,$K421))</f>
        <v/>
      </c>
      <c r="I421" s="20" t="str">
        <f>IF($K421="","",IF(INDEX('Detalle individual'!$F:$F,$K421)="Completado",INDEX('Detalle individual'!$H:$H,$K421),""))</f>
        <v/>
      </c>
      <c r="J421" s="21" t="str">
        <f>IF($K421="","",IF(INDEX('Detalle individual'!$F:$F,$K421)="Completado",INDEX('Detalle individual'!$J:$J,$K421),""))</f>
        <v/>
      </c>
      <c r="K421" t="str">
        <f>IFERROR(MOD(SMALL(Cálculos!$Z$5:$Z$1000,413),10000),"")</f>
        <v/>
      </c>
    </row>
    <row r="422">
      <c r="B422" s="13" t="str">
        <f>IF($K422="","",414)</f>
        <v/>
      </c>
      <c r="C422" s="13" t="str">
        <f>IF($K422="","",INDEX('Detalle individual'!$A:$A,$K422))</f>
        <v/>
      </c>
      <c r="D422" s="72" t="str">
        <f>IF($K422="","",TRIM(INDEX('Detalle individual'!$B:$B,$K422)))</f>
        <v/>
      </c>
      <c r="E422" s="72" t="str">
        <f>IF($K422="","",TRIM(INDEX('Detalle individual'!$E:$E,$K422)))</f>
        <v/>
      </c>
      <c r="F422" s="72" t="str">
        <f>IF($K422="","",TRIM(INDEX('Detalle individual'!$C:$C,$K422)))</f>
        <v/>
      </c>
      <c r="G422" s="72" t="str">
        <f>IF($K422="","",INDEX('Detalle individual'!$D:$D,$K422))</f>
        <v/>
      </c>
      <c r="H422" s="13" t="str">
        <f>IF($K422="","",INDEX('Detalle individual'!$F:$F,$K422))</f>
        <v/>
      </c>
      <c r="I422" s="20" t="str">
        <f>IF($K422="","",IF(INDEX('Detalle individual'!$F:$F,$K422)="Completado",INDEX('Detalle individual'!$H:$H,$K422),""))</f>
        <v/>
      </c>
      <c r="J422" s="21" t="str">
        <f>IF($K422="","",IF(INDEX('Detalle individual'!$F:$F,$K422)="Completado",INDEX('Detalle individual'!$J:$J,$K422),""))</f>
        <v/>
      </c>
      <c r="K422" t="str">
        <f>IFERROR(MOD(SMALL(Cálculos!$Z$5:$Z$1000,414),10000),"")</f>
        <v/>
      </c>
    </row>
    <row r="423">
      <c r="B423" s="13" t="str">
        <f>IF($K423="","",415)</f>
        <v/>
      </c>
      <c r="C423" s="13" t="str">
        <f>IF($K423="","",INDEX('Detalle individual'!$A:$A,$K423))</f>
        <v/>
      </c>
      <c r="D423" s="72" t="str">
        <f>IF($K423="","",TRIM(INDEX('Detalle individual'!$B:$B,$K423)))</f>
        <v/>
      </c>
      <c r="E423" s="72" t="str">
        <f>IF($K423="","",TRIM(INDEX('Detalle individual'!$E:$E,$K423)))</f>
        <v/>
      </c>
      <c r="F423" s="72" t="str">
        <f>IF($K423="","",TRIM(INDEX('Detalle individual'!$C:$C,$K423)))</f>
        <v/>
      </c>
      <c r="G423" s="72" t="str">
        <f>IF($K423="","",INDEX('Detalle individual'!$D:$D,$K423))</f>
        <v/>
      </c>
      <c r="H423" s="13" t="str">
        <f>IF($K423="","",INDEX('Detalle individual'!$F:$F,$K423))</f>
        <v/>
      </c>
      <c r="I423" s="20" t="str">
        <f>IF($K423="","",IF(INDEX('Detalle individual'!$F:$F,$K423)="Completado",INDEX('Detalle individual'!$H:$H,$K423),""))</f>
        <v/>
      </c>
      <c r="J423" s="21" t="str">
        <f>IF($K423="","",IF(INDEX('Detalle individual'!$F:$F,$K423)="Completado",INDEX('Detalle individual'!$J:$J,$K423),""))</f>
        <v/>
      </c>
      <c r="K423" t="str">
        <f>IFERROR(MOD(SMALL(Cálculos!$Z$5:$Z$1000,415),10000),"")</f>
        <v/>
      </c>
    </row>
    <row r="424">
      <c r="B424" s="13" t="str">
        <f>IF($K424="","",416)</f>
        <v/>
      </c>
      <c r="C424" s="13" t="str">
        <f>IF($K424="","",INDEX('Detalle individual'!$A:$A,$K424))</f>
        <v/>
      </c>
      <c r="D424" s="72" t="str">
        <f>IF($K424="","",TRIM(INDEX('Detalle individual'!$B:$B,$K424)))</f>
        <v/>
      </c>
      <c r="E424" s="72" t="str">
        <f>IF($K424="","",TRIM(INDEX('Detalle individual'!$E:$E,$K424)))</f>
        <v/>
      </c>
      <c r="F424" s="72" t="str">
        <f>IF($K424="","",TRIM(INDEX('Detalle individual'!$C:$C,$K424)))</f>
        <v/>
      </c>
      <c r="G424" s="72" t="str">
        <f>IF($K424="","",INDEX('Detalle individual'!$D:$D,$K424))</f>
        <v/>
      </c>
      <c r="H424" s="13" t="str">
        <f>IF($K424="","",INDEX('Detalle individual'!$F:$F,$K424))</f>
        <v/>
      </c>
      <c r="I424" s="20" t="str">
        <f>IF($K424="","",IF(INDEX('Detalle individual'!$F:$F,$K424)="Completado",INDEX('Detalle individual'!$H:$H,$K424),""))</f>
        <v/>
      </c>
      <c r="J424" s="21" t="str">
        <f>IF($K424="","",IF(INDEX('Detalle individual'!$F:$F,$K424)="Completado",INDEX('Detalle individual'!$J:$J,$K424),""))</f>
        <v/>
      </c>
      <c r="K424" t="str">
        <f>IFERROR(MOD(SMALL(Cálculos!$Z$5:$Z$1000,416),10000),"")</f>
        <v/>
      </c>
    </row>
    <row r="425">
      <c r="B425" s="13" t="str">
        <f>IF($K425="","",417)</f>
        <v/>
      </c>
      <c r="C425" s="13" t="str">
        <f>IF($K425="","",INDEX('Detalle individual'!$A:$A,$K425))</f>
        <v/>
      </c>
      <c r="D425" s="72" t="str">
        <f>IF($K425="","",TRIM(INDEX('Detalle individual'!$B:$B,$K425)))</f>
        <v/>
      </c>
      <c r="E425" s="72" t="str">
        <f>IF($K425="","",TRIM(INDEX('Detalle individual'!$E:$E,$K425)))</f>
        <v/>
      </c>
      <c r="F425" s="72" t="str">
        <f>IF($K425="","",TRIM(INDEX('Detalle individual'!$C:$C,$K425)))</f>
        <v/>
      </c>
      <c r="G425" s="72" t="str">
        <f>IF($K425="","",INDEX('Detalle individual'!$D:$D,$K425))</f>
        <v/>
      </c>
      <c r="H425" s="13" t="str">
        <f>IF($K425="","",INDEX('Detalle individual'!$F:$F,$K425))</f>
        <v/>
      </c>
      <c r="I425" s="20" t="str">
        <f>IF($K425="","",IF(INDEX('Detalle individual'!$F:$F,$K425)="Completado",INDEX('Detalle individual'!$H:$H,$K425),""))</f>
        <v/>
      </c>
      <c r="J425" s="21" t="str">
        <f>IF($K425="","",IF(INDEX('Detalle individual'!$F:$F,$K425)="Completado",INDEX('Detalle individual'!$J:$J,$K425),""))</f>
        <v/>
      </c>
      <c r="K425" t="str">
        <f>IFERROR(MOD(SMALL(Cálculos!$Z$5:$Z$1000,417),10000),"")</f>
        <v/>
      </c>
    </row>
    <row r="426">
      <c r="B426" s="13" t="str">
        <f>IF($K426="","",418)</f>
        <v/>
      </c>
      <c r="C426" s="13" t="str">
        <f>IF($K426="","",INDEX('Detalle individual'!$A:$A,$K426))</f>
        <v/>
      </c>
      <c r="D426" s="72" t="str">
        <f>IF($K426="","",TRIM(INDEX('Detalle individual'!$B:$B,$K426)))</f>
        <v/>
      </c>
      <c r="E426" s="72" t="str">
        <f>IF($K426="","",TRIM(INDEX('Detalle individual'!$E:$E,$K426)))</f>
        <v/>
      </c>
      <c r="F426" s="72" t="str">
        <f>IF($K426="","",TRIM(INDEX('Detalle individual'!$C:$C,$K426)))</f>
        <v/>
      </c>
      <c r="G426" s="72" t="str">
        <f>IF($K426="","",INDEX('Detalle individual'!$D:$D,$K426))</f>
        <v/>
      </c>
      <c r="H426" s="13" t="str">
        <f>IF($K426="","",INDEX('Detalle individual'!$F:$F,$K426))</f>
        <v/>
      </c>
      <c r="I426" s="20" t="str">
        <f>IF($K426="","",IF(INDEX('Detalle individual'!$F:$F,$K426)="Completado",INDEX('Detalle individual'!$H:$H,$K426),""))</f>
        <v/>
      </c>
      <c r="J426" s="21" t="str">
        <f>IF($K426="","",IF(INDEX('Detalle individual'!$F:$F,$K426)="Completado",INDEX('Detalle individual'!$J:$J,$K426),""))</f>
        <v/>
      </c>
      <c r="K426" t="str">
        <f>IFERROR(MOD(SMALL(Cálculos!$Z$5:$Z$1000,418),10000),"")</f>
        <v/>
      </c>
    </row>
    <row r="427">
      <c r="B427" s="13" t="str">
        <f>IF($K427="","",419)</f>
        <v/>
      </c>
      <c r="C427" s="13" t="str">
        <f>IF($K427="","",INDEX('Detalle individual'!$A:$A,$K427))</f>
        <v/>
      </c>
      <c r="D427" s="72" t="str">
        <f>IF($K427="","",TRIM(INDEX('Detalle individual'!$B:$B,$K427)))</f>
        <v/>
      </c>
      <c r="E427" s="72" t="str">
        <f>IF($K427="","",TRIM(INDEX('Detalle individual'!$E:$E,$K427)))</f>
        <v/>
      </c>
      <c r="F427" s="72" t="str">
        <f>IF($K427="","",TRIM(INDEX('Detalle individual'!$C:$C,$K427)))</f>
        <v/>
      </c>
      <c r="G427" s="72" t="str">
        <f>IF($K427="","",INDEX('Detalle individual'!$D:$D,$K427))</f>
        <v/>
      </c>
      <c r="H427" s="13" t="str">
        <f>IF($K427="","",INDEX('Detalle individual'!$F:$F,$K427))</f>
        <v/>
      </c>
      <c r="I427" s="20" t="str">
        <f>IF($K427="","",IF(INDEX('Detalle individual'!$F:$F,$K427)="Completado",INDEX('Detalle individual'!$H:$H,$K427),""))</f>
        <v/>
      </c>
      <c r="J427" s="21" t="str">
        <f>IF($K427="","",IF(INDEX('Detalle individual'!$F:$F,$K427)="Completado",INDEX('Detalle individual'!$J:$J,$K427),""))</f>
        <v/>
      </c>
      <c r="K427" t="str">
        <f>IFERROR(MOD(SMALL(Cálculos!$Z$5:$Z$1000,419),10000),"")</f>
        <v/>
      </c>
    </row>
    <row r="428">
      <c r="B428" s="13" t="str">
        <f>IF($K428="","",420)</f>
        <v/>
      </c>
      <c r="C428" s="13" t="str">
        <f>IF($K428="","",INDEX('Detalle individual'!$A:$A,$K428))</f>
        <v/>
      </c>
      <c r="D428" s="72" t="str">
        <f>IF($K428="","",TRIM(INDEX('Detalle individual'!$B:$B,$K428)))</f>
        <v/>
      </c>
      <c r="E428" s="72" t="str">
        <f>IF($K428="","",TRIM(INDEX('Detalle individual'!$E:$E,$K428)))</f>
        <v/>
      </c>
      <c r="F428" s="72" t="str">
        <f>IF($K428="","",TRIM(INDEX('Detalle individual'!$C:$C,$K428)))</f>
        <v/>
      </c>
      <c r="G428" s="72" t="str">
        <f>IF($K428="","",INDEX('Detalle individual'!$D:$D,$K428))</f>
        <v/>
      </c>
      <c r="H428" s="13" t="str">
        <f>IF($K428="","",INDEX('Detalle individual'!$F:$F,$K428))</f>
        <v/>
      </c>
      <c r="I428" s="20" t="str">
        <f>IF($K428="","",IF(INDEX('Detalle individual'!$F:$F,$K428)="Completado",INDEX('Detalle individual'!$H:$H,$K428),""))</f>
        <v/>
      </c>
      <c r="J428" s="21" t="str">
        <f>IF($K428="","",IF(INDEX('Detalle individual'!$F:$F,$K428)="Completado",INDEX('Detalle individual'!$J:$J,$K428),""))</f>
        <v/>
      </c>
      <c r="K428" t="str">
        <f>IFERROR(MOD(SMALL(Cálculos!$Z$5:$Z$1000,420),10000),"")</f>
        <v/>
      </c>
    </row>
    <row r="429">
      <c r="B429" s="13" t="str">
        <f>IF($K429="","",421)</f>
        <v/>
      </c>
      <c r="C429" s="13" t="str">
        <f>IF($K429="","",INDEX('Detalle individual'!$A:$A,$K429))</f>
        <v/>
      </c>
      <c r="D429" s="72" t="str">
        <f>IF($K429="","",TRIM(INDEX('Detalle individual'!$B:$B,$K429)))</f>
        <v/>
      </c>
      <c r="E429" s="72" t="str">
        <f>IF($K429="","",TRIM(INDEX('Detalle individual'!$E:$E,$K429)))</f>
        <v/>
      </c>
      <c r="F429" s="72" t="str">
        <f>IF($K429="","",TRIM(INDEX('Detalle individual'!$C:$C,$K429)))</f>
        <v/>
      </c>
      <c r="G429" s="72" t="str">
        <f>IF($K429="","",INDEX('Detalle individual'!$D:$D,$K429))</f>
        <v/>
      </c>
      <c r="H429" s="13" t="str">
        <f>IF($K429="","",INDEX('Detalle individual'!$F:$F,$K429))</f>
        <v/>
      </c>
      <c r="I429" s="20" t="str">
        <f>IF($K429="","",IF(INDEX('Detalle individual'!$F:$F,$K429)="Completado",INDEX('Detalle individual'!$H:$H,$K429),""))</f>
        <v/>
      </c>
      <c r="J429" s="21" t="str">
        <f>IF($K429="","",IF(INDEX('Detalle individual'!$F:$F,$K429)="Completado",INDEX('Detalle individual'!$J:$J,$K429),""))</f>
        <v/>
      </c>
      <c r="K429" t="str">
        <f>IFERROR(MOD(SMALL(Cálculos!$Z$5:$Z$1000,421),10000),"")</f>
        <v/>
      </c>
    </row>
    <row r="430">
      <c r="B430" s="13" t="str">
        <f>IF($K430="","",422)</f>
        <v/>
      </c>
      <c r="C430" s="13" t="str">
        <f>IF($K430="","",INDEX('Detalle individual'!$A:$A,$K430))</f>
        <v/>
      </c>
      <c r="D430" s="72" t="str">
        <f>IF($K430="","",TRIM(INDEX('Detalle individual'!$B:$B,$K430)))</f>
        <v/>
      </c>
      <c r="E430" s="72" t="str">
        <f>IF($K430="","",TRIM(INDEX('Detalle individual'!$E:$E,$K430)))</f>
        <v/>
      </c>
      <c r="F430" s="72" t="str">
        <f>IF($K430="","",TRIM(INDEX('Detalle individual'!$C:$C,$K430)))</f>
        <v/>
      </c>
      <c r="G430" s="72" t="str">
        <f>IF($K430="","",INDEX('Detalle individual'!$D:$D,$K430))</f>
        <v/>
      </c>
      <c r="H430" s="13" t="str">
        <f>IF($K430="","",INDEX('Detalle individual'!$F:$F,$K430))</f>
        <v/>
      </c>
      <c r="I430" s="20" t="str">
        <f>IF($K430="","",IF(INDEX('Detalle individual'!$F:$F,$K430)="Completado",INDEX('Detalle individual'!$H:$H,$K430),""))</f>
        <v/>
      </c>
      <c r="J430" s="21" t="str">
        <f>IF($K430="","",IF(INDEX('Detalle individual'!$F:$F,$K430)="Completado",INDEX('Detalle individual'!$J:$J,$K430),""))</f>
        <v/>
      </c>
      <c r="K430" t="str">
        <f>IFERROR(MOD(SMALL(Cálculos!$Z$5:$Z$1000,422),10000),"")</f>
        <v/>
      </c>
    </row>
    <row r="431">
      <c r="B431" s="13" t="str">
        <f>IF($K431="","",423)</f>
        <v/>
      </c>
      <c r="C431" s="13" t="str">
        <f>IF($K431="","",INDEX('Detalle individual'!$A:$A,$K431))</f>
        <v/>
      </c>
      <c r="D431" s="72" t="str">
        <f>IF($K431="","",TRIM(INDEX('Detalle individual'!$B:$B,$K431)))</f>
        <v/>
      </c>
      <c r="E431" s="72" t="str">
        <f>IF($K431="","",TRIM(INDEX('Detalle individual'!$E:$E,$K431)))</f>
        <v/>
      </c>
      <c r="F431" s="72" t="str">
        <f>IF($K431="","",TRIM(INDEX('Detalle individual'!$C:$C,$K431)))</f>
        <v/>
      </c>
      <c r="G431" s="72" t="str">
        <f>IF($K431="","",INDEX('Detalle individual'!$D:$D,$K431))</f>
        <v/>
      </c>
      <c r="H431" s="13" t="str">
        <f>IF($K431="","",INDEX('Detalle individual'!$F:$F,$K431))</f>
        <v/>
      </c>
      <c r="I431" s="20" t="str">
        <f>IF($K431="","",IF(INDEX('Detalle individual'!$F:$F,$K431)="Completado",INDEX('Detalle individual'!$H:$H,$K431),""))</f>
        <v/>
      </c>
      <c r="J431" s="21" t="str">
        <f>IF($K431="","",IF(INDEX('Detalle individual'!$F:$F,$K431)="Completado",INDEX('Detalle individual'!$J:$J,$K431),""))</f>
        <v/>
      </c>
      <c r="K431" t="str">
        <f>IFERROR(MOD(SMALL(Cálculos!$Z$5:$Z$1000,423),10000),"")</f>
        <v/>
      </c>
    </row>
    <row r="432">
      <c r="B432" s="13" t="str">
        <f>IF($K432="","",424)</f>
        <v/>
      </c>
      <c r="C432" s="13" t="str">
        <f>IF($K432="","",INDEX('Detalle individual'!$A:$A,$K432))</f>
        <v/>
      </c>
      <c r="D432" s="72" t="str">
        <f>IF($K432="","",TRIM(INDEX('Detalle individual'!$B:$B,$K432)))</f>
        <v/>
      </c>
      <c r="E432" s="72" t="str">
        <f>IF($K432="","",TRIM(INDEX('Detalle individual'!$E:$E,$K432)))</f>
        <v/>
      </c>
      <c r="F432" s="72" t="str">
        <f>IF($K432="","",TRIM(INDEX('Detalle individual'!$C:$C,$K432)))</f>
        <v/>
      </c>
      <c r="G432" s="72" t="str">
        <f>IF($K432="","",INDEX('Detalle individual'!$D:$D,$K432))</f>
        <v/>
      </c>
      <c r="H432" s="13" t="str">
        <f>IF($K432="","",INDEX('Detalle individual'!$F:$F,$K432))</f>
        <v/>
      </c>
      <c r="I432" s="20" t="str">
        <f>IF($K432="","",IF(INDEX('Detalle individual'!$F:$F,$K432)="Completado",INDEX('Detalle individual'!$H:$H,$K432),""))</f>
        <v/>
      </c>
      <c r="J432" s="21" t="str">
        <f>IF($K432="","",IF(INDEX('Detalle individual'!$F:$F,$K432)="Completado",INDEX('Detalle individual'!$J:$J,$K432),""))</f>
        <v/>
      </c>
      <c r="K432" t="str">
        <f>IFERROR(MOD(SMALL(Cálculos!$Z$5:$Z$1000,424),10000),"")</f>
        <v/>
      </c>
    </row>
    <row r="433">
      <c r="B433" s="13" t="str">
        <f>IF($K433="","",425)</f>
        <v/>
      </c>
      <c r="C433" s="13" t="str">
        <f>IF($K433="","",INDEX('Detalle individual'!$A:$A,$K433))</f>
        <v/>
      </c>
      <c r="D433" s="72" t="str">
        <f>IF($K433="","",TRIM(INDEX('Detalle individual'!$B:$B,$K433)))</f>
        <v/>
      </c>
      <c r="E433" s="72" t="str">
        <f>IF($K433="","",TRIM(INDEX('Detalle individual'!$E:$E,$K433)))</f>
        <v/>
      </c>
      <c r="F433" s="72" t="str">
        <f>IF($K433="","",TRIM(INDEX('Detalle individual'!$C:$C,$K433)))</f>
        <v/>
      </c>
      <c r="G433" s="72" t="str">
        <f>IF($K433="","",INDEX('Detalle individual'!$D:$D,$K433))</f>
        <v/>
      </c>
      <c r="H433" s="13" t="str">
        <f>IF($K433="","",INDEX('Detalle individual'!$F:$F,$K433))</f>
        <v/>
      </c>
      <c r="I433" s="20" t="str">
        <f>IF($K433="","",IF(INDEX('Detalle individual'!$F:$F,$K433)="Completado",INDEX('Detalle individual'!$H:$H,$K433),""))</f>
        <v/>
      </c>
      <c r="J433" s="21" t="str">
        <f>IF($K433="","",IF(INDEX('Detalle individual'!$F:$F,$K433)="Completado",INDEX('Detalle individual'!$J:$J,$K433),""))</f>
        <v/>
      </c>
      <c r="K433" t="str">
        <f>IFERROR(MOD(SMALL(Cálculos!$Z$5:$Z$1000,425),10000),"")</f>
        <v/>
      </c>
    </row>
    <row r="434">
      <c r="B434" s="13" t="str">
        <f>IF($K434="","",426)</f>
        <v/>
      </c>
      <c r="C434" s="13" t="str">
        <f>IF($K434="","",INDEX('Detalle individual'!$A:$A,$K434))</f>
        <v/>
      </c>
      <c r="D434" s="72" t="str">
        <f>IF($K434="","",TRIM(INDEX('Detalle individual'!$B:$B,$K434)))</f>
        <v/>
      </c>
      <c r="E434" s="72" t="str">
        <f>IF($K434="","",TRIM(INDEX('Detalle individual'!$E:$E,$K434)))</f>
        <v/>
      </c>
      <c r="F434" s="72" t="str">
        <f>IF($K434="","",TRIM(INDEX('Detalle individual'!$C:$C,$K434)))</f>
        <v/>
      </c>
      <c r="G434" s="72" t="str">
        <f>IF($K434="","",INDEX('Detalle individual'!$D:$D,$K434))</f>
        <v/>
      </c>
      <c r="H434" s="13" t="str">
        <f>IF($K434="","",INDEX('Detalle individual'!$F:$F,$K434))</f>
        <v/>
      </c>
      <c r="I434" s="20" t="str">
        <f>IF($K434="","",IF(INDEX('Detalle individual'!$F:$F,$K434)="Completado",INDEX('Detalle individual'!$H:$H,$K434),""))</f>
        <v/>
      </c>
      <c r="J434" s="21" t="str">
        <f>IF($K434="","",IF(INDEX('Detalle individual'!$F:$F,$K434)="Completado",INDEX('Detalle individual'!$J:$J,$K434),""))</f>
        <v/>
      </c>
      <c r="K434" t="str">
        <f>IFERROR(MOD(SMALL(Cálculos!$Z$5:$Z$1000,426),10000),"")</f>
        <v/>
      </c>
    </row>
    <row r="435">
      <c r="B435" s="13" t="str">
        <f>IF($K435="","",427)</f>
        <v/>
      </c>
      <c r="C435" s="13" t="str">
        <f>IF($K435="","",INDEX('Detalle individual'!$A:$A,$K435))</f>
        <v/>
      </c>
      <c r="D435" s="72" t="str">
        <f>IF($K435="","",TRIM(INDEX('Detalle individual'!$B:$B,$K435)))</f>
        <v/>
      </c>
      <c r="E435" s="72" t="str">
        <f>IF($K435="","",TRIM(INDEX('Detalle individual'!$E:$E,$K435)))</f>
        <v/>
      </c>
      <c r="F435" s="72" t="str">
        <f>IF($K435="","",TRIM(INDEX('Detalle individual'!$C:$C,$K435)))</f>
        <v/>
      </c>
      <c r="G435" s="72" t="str">
        <f>IF($K435="","",INDEX('Detalle individual'!$D:$D,$K435))</f>
        <v/>
      </c>
      <c r="H435" s="13" t="str">
        <f>IF($K435="","",INDEX('Detalle individual'!$F:$F,$K435))</f>
        <v/>
      </c>
      <c r="I435" s="20" t="str">
        <f>IF($K435="","",IF(INDEX('Detalle individual'!$F:$F,$K435)="Completado",INDEX('Detalle individual'!$H:$H,$K435),""))</f>
        <v/>
      </c>
      <c r="J435" s="21" t="str">
        <f>IF($K435="","",IF(INDEX('Detalle individual'!$F:$F,$K435)="Completado",INDEX('Detalle individual'!$J:$J,$K435),""))</f>
        <v/>
      </c>
      <c r="K435" t="str">
        <f>IFERROR(MOD(SMALL(Cálculos!$Z$5:$Z$1000,427),10000),"")</f>
        <v/>
      </c>
    </row>
    <row r="436">
      <c r="B436" s="13" t="str">
        <f>IF($K436="","",428)</f>
        <v/>
      </c>
      <c r="C436" s="13" t="str">
        <f>IF($K436="","",INDEX('Detalle individual'!$A:$A,$K436))</f>
        <v/>
      </c>
      <c r="D436" s="72" t="str">
        <f>IF($K436="","",TRIM(INDEX('Detalle individual'!$B:$B,$K436)))</f>
        <v/>
      </c>
      <c r="E436" s="72" t="str">
        <f>IF($K436="","",TRIM(INDEX('Detalle individual'!$E:$E,$K436)))</f>
        <v/>
      </c>
      <c r="F436" s="72" t="str">
        <f>IF($K436="","",TRIM(INDEX('Detalle individual'!$C:$C,$K436)))</f>
        <v/>
      </c>
      <c r="G436" s="72" t="str">
        <f>IF($K436="","",INDEX('Detalle individual'!$D:$D,$K436))</f>
        <v/>
      </c>
      <c r="H436" s="13" t="str">
        <f>IF($K436="","",INDEX('Detalle individual'!$F:$F,$K436))</f>
        <v/>
      </c>
      <c r="I436" s="20" t="str">
        <f>IF($K436="","",IF(INDEX('Detalle individual'!$F:$F,$K436)="Completado",INDEX('Detalle individual'!$H:$H,$K436),""))</f>
        <v/>
      </c>
      <c r="J436" s="21" t="str">
        <f>IF($K436="","",IF(INDEX('Detalle individual'!$F:$F,$K436)="Completado",INDEX('Detalle individual'!$J:$J,$K436),""))</f>
        <v/>
      </c>
      <c r="K436" t="str">
        <f>IFERROR(MOD(SMALL(Cálculos!$Z$5:$Z$1000,428),10000),"")</f>
        <v/>
      </c>
    </row>
    <row r="437">
      <c r="B437" s="13" t="str">
        <f>IF($K437="","",429)</f>
        <v/>
      </c>
      <c r="C437" s="13" t="str">
        <f>IF($K437="","",INDEX('Detalle individual'!$A:$A,$K437))</f>
        <v/>
      </c>
      <c r="D437" s="72" t="str">
        <f>IF($K437="","",TRIM(INDEX('Detalle individual'!$B:$B,$K437)))</f>
        <v/>
      </c>
      <c r="E437" s="72" t="str">
        <f>IF($K437="","",TRIM(INDEX('Detalle individual'!$E:$E,$K437)))</f>
        <v/>
      </c>
      <c r="F437" s="72" t="str">
        <f>IF($K437="","",TRIM(INDEX('Detalle individual'!$C:$C,$K437)))</f>
        <v/>
      </c>
      <c r="G437" s="72" t="str">
        <f>IF($K437="","",INDEX('Detalle individual'!$D:$D,$K437))</f>
        <v/>
      </c>
      <c r="H437" s="13" t="str">
        <f>IF($K437="","",INDEX('Detalle individual'!$F:$F,$K437))</f>
        <v/>
      </c>
      <c r="I437" s="20" t="str">
        <f>IF($K437="","",IF(INDEX('Detalle individual'!$F:$F,$K437)="Completado",INDEX('Detalle individual'!$H:$H,$K437),""))</f>
        <v/>
      </c>
      <c r="J437" s="21" t="str">
        <f>IF($K437="","",IF(INDEX('Detalle individual'!$F:$F,$K437)="Completado",INDEX('Detalle individual'!$J:$J,$K437),""))</f>
        <v/>
      </c>
      <c r="K437" t="str">
        <f>IFERROR(MOD(SMALL(Cálculos!$Z$5:$Z$1000,429),10000),"")</f>
        <v/>
      </c>
    </row>
    <row r="438">
      <c r="B438" s="13" t="str">
        <f>IF($K438="","",430)</f>
        <v/>
      </c>
      <c r="C438" s="13" t="str">
        <f>IF($K438="","",INDEX('Detalle individual'!$A:$A,$K438))</f>
        <v/>
      </c>
      <c r="D438" s="72" t="str">
        <f>IF($K438="","",TRIM(INDEX('Detalle individual'!$B:$B,$K438)))</f>
        <v/>
      </c>
      <c r="E438" s="72" t="str">
        <f>IF($K438="","",TRIM(INDEX('Detalle individual'!$E:$E,$K438)))</f>
        <v/>
      </c>
      <c r="F438" s="72" t="str">
        <f>IF($K438="","",TRIM(INDEX('Detalle individual'!$C:$C,$K438)))</f>
        <v/>
      </c>
      <c r="G438" s="72" t="str">
        <f>IF($K438="","",INDEX('Detalle individual'!$D:$D,$K438))</f>
        <v/>
      </c>
      <c r="H438" s="13" t="str">
        <f>IF($K438="","",INDEX('Detalle individual'!$F:$F,$K438))</f>
        <v/>
      </c>
      <c r="I438" s="20" t="str">
        <f>IF($K438="","",IF(INDEX('Detalle individual'!$F:$F,$K438)="Completado",INDEX('Detalle individual'!$H:$H,$K438),""))</f>
        <v/>
      </c>
      <c r="J438" s="21" t="str">
        <f>IF($K438="","",IF(INDEX('Detalle individual'!$F:$F,$K438)="Completado",INDEX('Detalle individual'!$J:$J,$K438),""))</f>
        <v/>
      </c>
      <c r="K438" t="str">
        <f>IFERROR(MOD(SMALL(Cálculos!$Z$5:$Z$1000,430),10000),"")</f>
        <v/>
      </c>
    </row>
    <row r="439">
      <c r="B439" s="13" t="str">
        <f>IF($K439="","",431)</f>
        <v/>
      </c>
      <c r="C439" s="13" t="str">
        <f>IF($K439="","",INDEX('Detalle individual'!$A:$A,$K439))</f>
        <v/>
      </c>
      <c r="D439" s="72" t="str">
        <f>IF($K439="","",TRIM(INDEX('Detalle individual'!$B:$B,$K439)))</f>
        <v/>
      </c>
      <c r="E439" s="72" t="str">
        <f>IF($K439="","",TRIM(INDEX('Detalle individual'!$E:$E,$K439)))</f>
        <v/>
      </c>
      <c r="F439" s="72" t="str">
        <f>IF($K439="","",TRIM(INDEX('Detalle individual'!$C:$C,$K439)))</f>
        <v/>
      </c>
      <c r="G439" s="72" t="str">
        <f>IF($K439="","",INDEX('Detalle individual'!$D:$D,$K439))</f>
        <v/>
      </c>
      <c r="H439" s="13" t="str">
        <f>IF($K439="","",INDEX('Detalle individual'!$F:$F,$K439))</f>
        <v/>
      </c>
      <c r="I439" s="20" t="str">
        <f>IF($K439="","",IF(INDEX('Detalle individual'!$F:$F,$K439)="Completado",INDEX('Detalle individual'!$H:$H,$K439),""))</f>
        <v/>
      </c>
      <c r="J439" s="21" t="str">
        <f>IF($K439="","",IF(INDEX('Detalle individual'!$F:$F,$K439)="Completado",INDEX('Detalle individual'!$J:$J,$K439),""))</f>
        <v/>
      </c>
      <c r="K439" t="str">
        <f>IFERROR(MOD(SMALL(Cálculos!$Z$5:$Z$1000,431),10000),"")</f>
        <v/>
      </c>
    </row>
    <row r="440">
      <c r="B440" s="13" t="str">
        <f>IF($K440="","",432)</f>
        <v/>
      </c>
      <c r="C440" s="13" t="str">
        <f>IF($K440="","",INDEX('Detalle individual'!$A:$A,$K440))</f>
        <v/>
      </c>
      <c r="D440" s="72" t="str">
        <f>IF($K440="","",TRIM(INDEX('Detalle individual'!$B:$B,$K440)))</f>
        <v/>
      </c>
      <c r="E440" s="72" t="str">
        <f>IF($K440="","",TRIM(INDEX('Detalle individual'!$E:$E,$K440)))</f>
        <v/>
      </c>
      <c r="F440" s="72" t="str">
        <f>IF($K440="","",TRIM(INDEX('Detalle individual'!$C:$C,$K440)))</f>
        <v/>
      </c>
      <c r="G440" s="72" t="str">
        <f>IF($K440="","",INDEX('Detalle individual'!$D:$D,$K440))</f>
        <v/>
      </c>
      <c r="H440" s="13" t="str">
        <f>IF($K440="","",INDEX('Detalle individual'!$F:$F,$K440))</f>
        <v/>
      </c>
      <c r="I440" s="20" t="str">
        <f>IF($K440="","",IF(INDEX('Detalle individual'!$F:$F,$K440)="Completado",INDEX('Detalle individual'!$H:$H,$K440),""))</f>
        <v/>
      </c>
      <c r="J440" s="21" t="str">
        <f>IF($K440="","",IF(INDEX('Detalle individual'!$F:$F,$K440)="Completado",INDEX('Detalle individual'!$J:$J,$K440),""))</f>
        <v/>
      </c>
      <c r="K440" t="str">
        <f>IFERROR(MOD(SMALL(Cálculos!$Z$5:$Z$1000,432),10000),"")</f>
        <v/>
      </c>
    </row>
    <row r="441">
      <c r="B441" s="13" t="str">
        <f>IF($K441="","",433)</f>
        <v/>
      </c>
      <c r="C441" s="13" t="str">
        <f>IF($K441="","",INDEX('Detalle individual'!$A:$A,$K441))</f>
        <v/>
      </c>
      <c r="D441" s="72" t="str">
        <f>IF($K441="","",TRIM(INDEX('Detalle individual'!$B:$B,$K441)))</f>
        <v/>
      </c>
      <c r="E441" s="72" t="str">
        <f>IF($K441="","",TRIM(INDEX('Detalle individual'!$E:$E,$K441)))</f>
        <v/>
      </c>
      <c r="F441" s="72" t="str">
        <f>IF($K441="","",TRIM(INDEX('Detalle individual'!$C:$C,$K441)))</f>
        <v/>
      </c>
      <c r="G441" s="72" t="str">
        <f>IF($K441="","",INDEX('Detalle individual'!$D:$D,$K441))</f>
        <v/>
      </c>
      <c r="H441" s="13" t="str">
        <f>IF($K441="","",INDEX('Detalle individual'!$F:$F,$K441))</f>
        <v/>
      </c>
      <c r="I441" s="20" t="str">
        <f>IF($K441="","",IF(INDEX('Detalle individual'!$F:$F,$K441)="Completado",INDEX('Detalle individual'!$H:$H,$K441),""))</f>
        <v/>
      </c>
      <c r="J441" s="21" t="str">
        <f>IF($K441="","",IF(INDEX('Detalle individual'!$F:$F,$K441)="Completado",INDEX('Detalle individual'!$J:$J,$K441),""))</f>
        <v/>
      </c>
      <c r="K441" t="str">
        <f>IFERROR(MOD(SMALL(Cálculos!$Z$5:$Z$1000,433),10000),"")</f>
        <v/>
      </c>
    </row>
    <row r="442">
      <c r="B442" s="13" t="str">
        <f>IF($K442="","",434)</f>
        <v/>
      </c>
      <c r="C442" s="13" t="str">
        <f>IF($K442="","",INDEX('Detalle individual'!$A:$A,$K442))</f>
        <v/>
      </c>
      <c r="D442" s="72" t="str">
        <f>IF($K442="","",TRIM(INDEX('Detalle individual'!$B:$B,$K442)))</f>
        <v/>
      </c>
      <c r="E442" s="72" t="str">
        <f>IF($K442="","",TRIM(INDEX('Detalle individual'!$E:$E,$K442)))</f>
        <v/>
      </c>
      <c r="F442" s="72" t="str">
        <f>IF($K442="","",TRIM(INDEX('Detalle individual'!$C:$C,$K442)))</f>
        <v/>
      </c>
      <c r="G442" s="72" t="str">
        <f>IF($K442="","",INDEX('Detalle individual'!$D:$D,$K442))</f>
        <v/>
      </c>
      <c r="H442" s="13" t="str">
        <f>IF($K442="","",INDEX('Detalle individual'!$F:$F,$K442))</f>
        <v/>
      </c>
      <c r="I442" s="20" t="str">
        <f>IF($K442="","",IF(INDEX('Detalle individual'!$F:$F,$K442)="Completado",INDEX('Detalle individual'!$H:$H,$K442),""))</f>
        <v/>
      </c>
      <c r="J442" s="21" t="str">
        <f>IF($K442="","",IF(INDEX('Detalle individual'!$F:$F,$K442)="Completado",INDEX('Detalle individual'!$J:$J,$K442),""))</f>
        <v/>
      </c>
      <c r="K442" t="str">
        <f>IFERROR(MOD(SMALL(Cálculos!$Z$5:$Z$1000,434),10000),"")</f>
        <v/>
      </c>
    </row>
    <row r="443">
      <c r="B443" s="13" t="str">
        <f>IF($K443="","",435)</f>
        <v/>
      </c>
      <c r="C443" s="13" t="str">
        <f>IF($K443="","",INDEX('Detalle individual'!$A:$A,$K443))</f>
        <v/>
      </c>
      <c r="D443" s="72" t="str">
        <f>IF($K443="","",TRIM(INDEX('Detalle individual'!$B:$B,$K443)))</f>
        <v/>
      </c>
      <c r="E443" s="72" t="str">
        <f>IF($K443="","",TRIM(INDEX('Detalle individual'!$E:$E,$K443)))</f>
        <v/>
      </c>
      <c r="F443" s="72" t="str">
        <f>IF($K443="","",TRIM(INDEX('Detalle individual'!$C:$C,$K443)))</f>
        <v/>
      </c>
      <c r="G443" s="72" t="str">
        <f>IF($K443="","",INDEX('Detalle individual'!$D:$D,$K443))</f>
        <v/>
      </c>
      <c r="H443" s="13" t="str">
        <f>IF($K443="","",INDEX('Detalle individual'!$F:$F,$K443))</f>
        <v/>
      </c>
      <c r="I443" s="20" t="str">
        <f>IF($K443="","",IF(INDEX('Detalle individual'!$F:$F,$K443)="Completado",INDEX('Detalle individual'!$H:$H,$K443),""))</f>
        <v/>
      </c>
      <c r="J443" s="21" t="str">
        <f>IF($K443="","",IF(INDEX('Detalle individual'!$F:$F,$K443)="Completado",INDEX('Detalle individual'!$J:$J,$K443),""))</f>
        <v/>
      </c>
      <c r="K443" t="str">
        <f>IFERROR(MOD(SMALL(Cálculos!$Z$5:$Z$1000,435),10000),"")</f>
        <v/>
      </c>
    </row>
    <row r="444">
      <c r="B444" s="13" t="str">
        <f>IF($K444="","",436)</f>
        <v/>
      </c>
      <c r="C444" s="13" t="str">
        <f>IF($K444="","",INDEX('Detalle individual'!$A:$A,$K444))</f>
        <v/>
      </c>
      <c r="D444" s="72" t="str">
        <f>IF($K444="","",TRIM(INDEX('Detalle individual'!$B:$B,$K444)))</f>
        <v/>
      </c>
      <c r="E444" s="72" t="str">
        <f>IF($K444="","",TRIM(INDEX('Detalle individual'!$E:$E,$K444)))</f>
        <v/>
      </c>
      <c r="F444" s="72" t="str">
        <f>IF($K444="","",TRIM(INDEX('Detalle individual'!$C:$C,$K444)))</f>
        <v/>
      </c>
      <c r="G444" s="72" t="str">
        <f>IF($K444="","",INDEX('Detalle individual'!$D:$D,$K444))</f>
        <v/>
      </c>
      <c r="H444" s="13" t="str">
        <f>IF($K444="","",INDEX('Detalle individual'!$F:$F,$K444))</f>
        <v/>
      </c>
      <c r="I444" s="20" t="str">
        <f>IF($K444="","",IF(INDEX('Detalle individual'!$F:$F,$K444)="Completado",INDEX('Detalle individual'!$H:$H,$K444),""))</f>
        <v/>
      </c>
      <c r="J444" s="21" t="str">
        <f>IF($K444="","",IF(INDEX('Detalle individual'!$F:$F,$K444)="Completado",INDEX('Detalle individual'!$J:$J,$K444),""))</f>
        <v/>
      </c>
      <c r="K444" t="str">
        <f>IFERROR(MOD(SMALL(Cálculos!$Z$5:$Z$1000,436),10000),"")</f>
        <v/>
      </c>
    </row>
    <row r="445">
      <c r="B445" s="13" t="str">
        <f>IF($K445="","",437)</f>
        <v/>
      </c>
      <c r="C445" s="13" t="str">
        <f>IF($K445="","",INDEX('Detalle individual'!$A:$A,$K445))</f>
        <v/>
      </c>
      <c r="D445" s="72" t="str">
        <f>IF($K445="","",TRIM(INDEX('Detalle individual'!$B:$B,$K445)))</f>
        <v/>
      </c>
      <c r="E445" s="72" t="str">
        <f>IF($K445="","",TRIM(INDEX('Detalle individual'!$E:$E,$K445)))</f>
        <v/>
      </c>
      <c r="F445" s="72" t="str">
        <f>IF($K445="","",TRIM(INDEX('Detalle individual'!$C:$C,$K445)))</f>
        <v/>
      </c>
      <c r="G445" s="72" t="str">
        <f>IF($K445="","",INDEX('Detalle individual'!$D:$D,$K445))</f>
        <v/>
      </c>
      <c r="H445" s="13" t="str">
        <f>IF($K445="","",INDEX('Detalle individual'!$F:$F,$K445))</f>
        <v/>
      </c>
      <c r="I445" s="20" t="str">
        <f>IF($K445="","",IF(INDEX('Detalle individual'!$F:$F,$K445)="Completado",INDEX('Detalle individual'!$H:$H,$K445),""))</f>
        <v/>
      </c>
      <c r="J445" s="21" t="str">
        <f>IF($K445="","",IF(INDEX('Detalle individual'!$F:$F,$K445)="Completado",INDEX('Detalle individual'!$J:$J,$K445),""))</f>
        <v/>
      </c>
      <c r="K445" t="str">
        <f>IFERROR(MOD(SMALL(Cálculos!$Z$5:$Z$1000,437),10000),"")</f>
        <v/>
      </c>
    </row>
    <row r="446">
      <c r="B446" s="13" t="str">
        <f>IF($K446="","",438)</f>
        <v/>
      </c>
      <c r="C446" s="13" t="str">
        <f>IF($K446="","",INDEX('Detalle individual'!$A:$A,$K446))</f>
        <v/>
      </c>
      <c r="D446" s="72" t="str">
        <f>IF($K446="","",TRIM(INDEX('Detalle individual'!$B:$B,$K446)))</f>
        <v/>
      </c>
      <c r="E446" s="72" t="str">
        <f>IF($K446="","",TRIM(INDEX('Detalle individual'!$E:$E,$K446)))</f>
        <v/>
      </c>
      <c r="F446" s="72" t="str">
        <f>IF($K446="","",TRIM(INDEX('Detalle individual'!$C:$C,$K446)))</f>
        <v/>
      </c>
      <c r="G446" s="72" t="str">
        <f>IF($K446="","",INDEX('Detalle individual'!$D:$D,$K446))</f>
        <v/>
      </c>
      <c r="H446" s="13" t="str">
        <f>IF($K446="","",INDEX('Detalle individual'!$F:$F,$K446))</f>
        <v/>
      </c>
      <c r="I446" s="20" t="str">
        <f>IF($K446="","",IF(INDEX('Detalle individual'!$F:$F,$K446)="Completado",INDEX('Detalle individual'!$H:$H,$K446),""))</f>
        <v/>
      </c>
      <c r="J446" s="21" t="str">
        <f>IF($K446="","",IF(INDEX('Detalle individual'!$F:$F,$K446)="Completado",INDEX('Detalle individual'!$J:$J,$K446),""))</f>
        <v/>
      </c>
      <c r="K446" t="str">
        <f>IFERROR(MOD(SMALL(Cálculos!$Z$5:$Z$1000,438),10000),"")</f>
        <v/>
      </c>
    </row>
    <row r="447">
      <c r="B447" s="13" t="str">
        <f>IF($K447="","",439)</f>
        <v/>
      </c>
      <c r="C447" s="13" t="str">
        <f>IF($K447="","",INDEX('Detalle individual'!$A:$A,$K447))</f>
        <v/>
      </c>
      <c r="D447" s="72" t="str">
        <f>IF($K447="","",TRIM(INDEX('Detalle individual'!$B:$B,$K447)))</f>
        <v/>
      </c>
      <c r="E447" s="72" t="str">
        <f>IF($K447="","",TRIM(INDEX('Detalle individual'!$E:$E,$K447)))</f>
        <v/>
      </c>
      <c r="F447" s="72" t="str">
        <f>IF($K447="","",TRIM(INDEX('Detalle individual'!$C:$C,$K447)))</f>
        <v/>
      </c>
      <c r="G447" s="72" t="str">
        <f>IF($K447="","",INDEX('Detalle individual'!$D:$D,$K447))</f>
        <v/>
      </c>
      <c r="H447" s="13" t="str">
        <f>IF($K447="","",INDEX('Detalle individual'!$F:$F,$K447))</f>
        <v/>
      </c>
      <c r="I447" s="20" t="str">
        <f>IF($K447="","",IF(INDEX('Detalle individual'!$F:$F,$K447)="Completado",INDEX('Detalle individual'!$H:$H,$K447),""))</f>
        <v/>
      </c>
      <c r="J447" s="21" t="str">
        <f>IF($K447="","",IF(INDEX('Detalle individual'!$F:$F,$K447)="Completado",INDEX('Detalle individual'!$J:$J,$K447),""))</f>
        <v/>
      </c>
      <c r="K447" t="str">
        <f>IFERROR(MOD(SMALL(Cálculos!$Z$5:$Z$1000,439),10000),"")</f>
        <v/>
      </c>
    </row>
    <row r="448">
      <c r="B448" s="13" t="str">
        <f>IF($K448="","",440)</f>
        <v/>
      </c>
      <c r="C448" s="13" t="str">
        <f>IF($K448="","",INDEX('Detalle individual'!$A:$A,$K448))</f>
        <v/>
      </c>
      <c r="D448" s="72" t="str">
        <f>IF($K448="","",TRIM(INDEX('Detalle individual'!$B:$B,$K448)))</f>
        <v/>
      </c>
      <c r="E448" s="72" t="str">
        <f>IF($K448="","",TRIM(INDEX('Detalle individual'!$E:$E,$K448)))</f>
        <v/>
      </c>
      <c r="F448" s="72" t="str">
        <f>IF($K448="","",TRIM(INDEX('Detalle individual'!$C:$C,$K448)))</f>
        <v/>
      </c>
      <c r="G448" s="72" t="str">
        <f>IF($K448="","",INDEX('Detalle individual'!$D:$D,$K448))</f>
        <v/>
      </c>
      <c r="H448" s="13" t="str">
        <f>IF($K448="","",INDEX('Detalle individual'!$F:$F,$K448))</f>
        <v/>
      </c>
      <c r="I448" s="20" t="str">
        <f>IF($K448="","",IF(INDEX('Detalle individual'!$F:$F,$K448)="Completado",INDEX('Detalle individual'!$H:$H,$K448),""))</f>
        <v/>
      </c>
      <c r="J448" s="21" t="str">
        <f>IF($K448="","",IF(INDEX('Detalle individual'!$F:$F,$K448)="Completado",INDEX('Detalle individual'!$J:$J,$K448),""))</f>
        <v/>
      </c>
      <c r="K448" t="str">
        <f>IFERROR(MOD(SMALL(Cálculos!$Z$5:$Z$1000,440),10000),"")</f>
        <v/>
      </c>
    </row>
    <row r="449">
      <c r="B449" s="13" t="str">
        <f>IF($K449="","",441)</f>
        <v/>
      </c>
      <c r="C449" s="13" t="str">
        <f>IF($K449="","",INDEX('Detalle individual'!$A:$A,$K449))</f>
        <v/>
      </c>
      <c r="D449" s="72" t="str">
        <f>IF($K449="","",TRIM(INDEX('Detalle individual'!$B:$B,$K449)))</f>
        <v/>
      </c>
      <c r="E449" s="72" t="str">
        <f>IF($K449="","",TRIM(INDEX('Detalle individual'!$E:$E,$K449)))</f>
        <v/>
      </c>
      <c r="F449" s="72" t="str">
        <f>IF($K449="","",TRIM(INDEX('Detalle individual'!$C:$C,$K449)))</f>
        <v/>
      </c>
      <c r="G449" s="72" t="str">
        <f>IF($K449="","",INDEX('Detalle individual'!$D:$D,$K449))</f>
        <v/>
      </c>
      <c r="H449" s="13" t="str">
        <f>IF($K449="","",INDEX('Detalle individual'!$F:$F,$K449))</f>
        <v/>
      </c>
      <c r="I449" s="20" t="str">
        <f>IF($K449="","",IF(INDEX('Detalle individual'!$F:$F,$K449)="Completado",INDEX('Detalle individual'!$H:$H,$K449),""))</f>
        <v/>
      </c>
      <c r="J449" s="21" t="str">
        <f>IF($K449="","",IF(INDEX('Detalle individual'!$F:$F,$K449)="Completado",INDEX('Detalle individual'!$J:$J,$K449),""))</f>
        <v/>
      </c>
      <c r="K449" t="str">
        <f>IFERROR(MOD(SMALL(Cálculos!$Z$5:$Z$1000,441),10000),"")</f>
        <v/>
      </c>
    </row>
    <row r="450">
      <c r="B450" s="13" t="str">
        <f>IF($K450="","",442)</f>
        <v/>
      </c>
      <c r="C450" s="13" t="str">
        <f>IF($K450="","",INDEX('Detalle individual'!$A:$A,$K450))</f>
        <v/>
      </c>
      <c r="D450" s="72" t="str">
        <f>IF($K450="","",TRIM(INDEX('Detalle individual'!$B:$B,$K450)))</f>
        <v/>
      </c>
      <c r="E450" s="72" t="str">
        <f>IF($K450="","",TRIM(INDEX('Detalle individual'!$E:$E,$K450)))</f>
        <v/>
      </c>
      <c r="F450" s="72" t="str">
        <f>IF($K450="","",TRIM(INDEX('Detalle individual'!$C:$C,$K450)))</f>
        <v/>
      </c>
      <c r="G450" s="72" t="str">
        <f>IF($K450="","",INDEX('Detalle individual'!$D:$D,$K450))</f>
        <v/>
      </c>
      <c r="H450" s="13" t="str">
        <f>IF($K450="","",INDEX('Detalle individual'!$F:$F,$K450))</f>
        <v/>
      </c>
      <c r="I450" s="20" t="str">
        <f>IF($K450="","",IF(INDEX('Detalle individual'!$F:$F,$K450)="Completado",INDEX('Detalle individual'!$H:$H,$K450),""))</f>
        <v/>
      </c>
      <c r="J450" s="21" t="str">
        <f>IF($K450="","",IF(INDEX('Detalle individual'!$F:$F,$K450)="Completado",INDEX('Detalle individual'!$J:$J,$K450),""))</f>
        <v/>
      </c>
      <c r="K450" t="str">
        <f>IFERROR(MOD(SMALL(Cálculos!$Z$5:$Z$1000,442),10000),"")</f>
        <v/>
      </c>
    </row>
    <row r="451">
      <c r="B451" s="13" t="str">
        <f>IF($K451="","",443)</f>
        <v/>
      </c>
      <c r="C451" s="13" t="str">
        <f>IF($K451="","",INDEX('Detalle individual'!$A:$A,$K451))</f>
        <v/>
      </c>
      <c r="D451" s="72" t="str">
        <f>IF($K451="","",TRIM(INDEX('Detalle individual'!$B:$B,$K451)))</f>
        <v/>
      </c>
      <c r="E451" s="72" t="str">
        <f>IF($K451="","",TRIM(INDEX('Detalle individual'!$E:$E,$K451)))</f>
        <v/>
      </c>
      <c r="F451" s="72" t="str">
        <f>IF($K451="","",TRIM(INDEX('Detalle individual'!$C:$C,$K451)))</f>
        <v/>
      </c>
      <c r="G451" s="72" t="str">
        <f>IF($K451="","",INDEX('Detalle individual'!$D:$D,$K451))</f>
        <v/>
      </c>
      <c r="H451" s="13" t="str">
        <f>IF($K451="","",INDEX('Detalle individual'!$F:$F,$K451))</f>
        <v/>
      </c>
      <c r="I451" s="20" t="str">
        <f>IF($K451="","",IF(INDEX('Detalle individual'!$F:$F,$K451)="Completado",INDEX('Detalle individual'!$H:$H,$K451),""))</f>
        <v/>
      </c>
      <c r="J451" s="21" t="str">
        <f>IF($K451="","",IF(INDEX('Detalle individual'!$F:$F,$K451)="Completado",INDEX('Detalle individual'!$J:$J,$K451),""))</f>
        <v/>
      </c>
      <c r="K451" t="str">
        <f>IFERROR(MOD(SMALL(Cálculos!$Z$5:$Z$1000,443),10000),"")</f>
        <v/>
      </c>
    </row>
    <row r="452">
      <c r="B452" s="13" t="str">
        <f>IF($K452="","",444)</f>
        <v/>
      </c>
      <c r="C452" s="13" t="str">
        <f>IF($K452="","",INDEX('Detalle individual'!$A:$A,$K452))</f>
        <v/>
      </c>
      <c r="D452" s="72" t="str">
        <f>IF($K452="","",TRIM(INDEX('Detalle individual'!$B:$B,$K452)))</f>
        <v/>
      </c>
      <c r="E452" s="72" t="str">
        <f>IF($K452="","",TRIM(INDEX('Detalle individual'!$E:$E,$K452)))</f>
        <v/>
      </c>
      <c r="F452" s="72" t="str">
        <f>IF($K452="","",TRIM(INDEX('Detalle individual'!$C:$C,$K452)))</f>
        <v/>
      </c>
      <c r="G452" s="72" t="str">
        <f>IF($K452="","",INDEX('Detalle individual'!$D:$D,$K452))</f>
        <v/>
      </c>
      <c r="H452" s="13" t="str">
        <f>IF($K452="","",INDEX('Detalle individual'!$F:$F,$K452))</f>
        <v/>
      </c>
      <c r="I452" s="20" t="str">
        <f>IF($K452="","",IF(INDEX('Detalle individual'!$F:$F,$K452)="Completado",INDEX('Detalle individual'!$H:$H,$K452),""))</f>
        <v/>
      </c>
      <c r="J452" s="21" t="str">
        <f>IF($K452="","",IF(INDEX('Detalle individual'!$F:$F,$K452)="Completado",INDEX('Detalle individual'!$J:$J,$K452),""))</f>
        <v/>
      </c>
      <c r="K452" t="str">
        <f>IFERROR(MOD(SMALL(Cálculos!$Z$5:$Z$1000,444),10000),"")</f>
        <v/>
      </c>
    </row>
    <row r="453">
      <c r="B453" s="13" t="str">
        <f>IF($K453="","",445)</f>
        <v/>
      </c>
      <c r="C453" s="13" t="str">
        <f>IF($K453="","",INDEX('Detalle individual'!$A:$A,$K453))</f>
        <v/>
      </c>
      <c r="D453" s="72" t="str">
        <f>IF($K453="","",TRIM(INDEX('Detalle individual'!$B:$B,$K453)))</f>
        <v/>
      </c>
      <c r="E453" s="72" t="str">
        <f>IF($K453="","",TRIM(INDEX('Detalle individual'!$E:$E,$K453)))</f>
        <v/>
      </c>
      <c r="F453" s="72" t="str">
        <f>IF($K453="","",TRIM(INDEX('Detalle individual'!$C:$C,$K453)))</f>
        <v/>
      </c>
      <c r="G453" s="72" t="str">
        <f>IF($K453="","",INDEX('Detalle individual'!$D:$D,$K453))</f>
        <v/>
      </c>
      <c r="H453" s="13" t="str">
        <f>IF($K453="","",INDEX('Detalle individual'!$F:$F,$K453))</f>
        <v/>
      </c>
      <c r="I453" s="20" t="str">
        <f>IF($K453="","",IF(INDEX('Detalle individual'!$F:$F,$K453)="Completado",INDEX('Detalle individual'!$H:$H,$K453),""))</f>
        <v/>
      </c>
      <c r="J453" s="21" t="str">
        <f>IF($K453="","",IF(INDEX('Detalle individual'!$F:$F,$K453)="Completado",INDEX('Detalle individual'!$J:$J,$K453),""))</f>
        <v/>
      </c>
      <c r="K453" t="str">
        <f>IFERROR(MOD(SMALL(Cálculos!$Z$5:$Z$1000,445),10000),"")</f>
        <v/>
      </c>
    </row>
    <row r="454">
      <c r="B454" s="13" t="str">
        <f>IF($K454="","",446)</f>
        <v/>
      </c>
      <c r="C454" s="13" t="str">
        <f>IF($K454="","",INDEX('Detalle individual'!$A:$A,$K454))</f>
        <v/>
      </c>
      <c r="D454" s="72" t="str">
        <f>IF($K454="","",TRIM(INDEX('Detalle individual'!$B:$B,$K454)))</f>
        <v/>
      </c>
      <c r="E454" s="72" t="str">
        <f>IF($K454="","",TRIM(INDEX('Detalle individual'!$E:$E,$K454)))</f>
        <v/>
      </c>
      <c r="F454" s="72" t="str">
        <f>IF($K454="","",TRIM(INDEX('Detalle individual'!$C:$C,$K454)))</f>
        <v/>
      </c>
      <c r="G454" s="72" t="str">
        <f>IF($K454="","",INDEX('Detalle individual'!$D:$D,$K454))</f>
        <v/>
      </c>
      <c r="H454" s="13" t="str">
        <f>IF($K454="","",INDEX('Detalle individual'!$F:$F,$K454))</f>
        <v/>
      </c>
      <c r="I454" s="20" t="str">
        <f>IF($K454="","",IF(INDEX('Detalle individual'!$F:$F,$K454)="Completado",INDEX('Detalle individual'!$H:$H,$K454),""))</f>
        <v/>
      </c>
      <c r="J454" s="21" t="str">
        <f>IF($K454="","",IF(INDEX('Detalle individual'!$F:$F,$K454)="Completado",INDEX('Detalle individual'!$J:$J,$K454),""))</f>
        <v/>
      </c>
      <c r="K454" t="str">
        <f>IFERROR(MOD(SMALL(Cálculos!$Z$5:$Z$1000,446),10000),"")</f>
        <v/>
      </c>
    </row>
    <row r="455">
      <c r="B455" s="13" t="str">
        <f>IF($K455="","",447)</f>
        <v/>
      </c>
      <c r="C455" s="13" t="str">
        <f>IF($K455="","",INDEX('Detalle individual'!$A:$A,$K455))</f>
        <v/>
      </c>
      <c r="D455" s="72" t="str">
        <f>IF($K455="","",TRIM(INDEX('Detalle individual'!$B:$B,$K455)))</f>
        <v/>
      </c>
      <c r="E455" s="72" t="str">
        <f>IF($K455="","",TRIM(INDEX('Detalle individual'!$E:$E,$K455)))</f>
        <v/>
      </c>
      <c r="F455" s="72" t="str">
        <f>IF($K455="","",TRIM(INDEX('Detalle individual'!$C:$C,$K455)))</f>
        <v/>
      </c>
      <c r="G455" s="72" t="str">
        <f>IF($K455="","",INDEX('Detalle individual'!$D:$D,$K455))</f>
        <v/>
      </c>
      <c r="H455" s="13" t="str">
        <f>IF($K455="","",INDEX('Detalle individual'!$F:$F,$K455))</f>
        <v/>
      </c>
      <c r="I455" s="20" t="str">
        <f>IF($K455="","",IF(INDEX('Detalle individual'!$F:$F,$K455)="Completado",INDEX('Detalle individual'!$H:$H,$K455),""))</f>
        <v/>
      </c>
      <c r="J455" s="21" t="str">
        <f>IF($K455="","",IF(INDEX('Detalle individual'!$F:$F,$K455)="Completado",INDEX('Detalle individual'!$J:$J,$K455),""))</f>
        <v/>
      </c>
      <c r="K455" t="str">
        <f>IFERROR(MOD(SMALL(Cálculos!$Z$5:$Z$1000,447),10000),"")</f>
        <v/>
      </c>
    </row>
    <row r="456">
      <c r="B456" s="13" t="str">
        <f>IF($K456="","",448)</f>
        <v/>
      </c>
      <c r="C456" s="13" t="str">
        <f>IF($K456="","",INDEX('Detalle individual'!$A:$A,$K456))</f>
        <v/>
      </c>
      <c r="D456" s="72" t="str">
        <f>IF($K456="","",TRIM(INDEX('Detalle individual'!$B:$B,$K456)))</f>
        <v/>
      </c>
      <c r="E456" s="72" t="str">
        <f>IF($K456="","",TRIM(INDEX('Detalle individual'!$E:$E,$K456)))</f>
        <v/>
      </c>
      <c r="F456" s="72" t="str">
        <f>IF($K456="","",TRIM(INDEX('Detalle individual'!$C:$C,$K456)))</f>
        <v/>
      </c>
      <c r="G456" s="72" t="str">
        <f>IF($K456="","",INDEX('Detalle individual'!$D:$D,$K456))</f>
        <v/>
      </c>
      <c r="H456" s="13" t="str">
        <f>IF($K456="","",INDEX('Detalle individual'!$F:$F,$K456))</f>
        <v/>
      </c>
      <c r="I456" s="20" t="str">
        <f>IF($K456="","",IF(INDEX('Detalle individual'!$F:$F,$K456)="Completado",INDEX('Detalle individual'!$H:$H,$K456),""))</f>
        <v/>
      </c>
      <c r="J456" s="21" t="str">
        <f>IF($K456="","",IF(INDEX('Detalle individual'!$F:$F,$K456)="Completado",INDEX('Detalle individual'!$J:$J,$K456),""))</f>
        <v/>
      </c>
      <c r="K456" t="str">
        <f>IFERROR(MOD(SMALL(Cálculos!$Z$5:$Z$1000,448),10000),"")</f>
        <v/>
      </c>
    </row>
    <row r="457">
      <c r="B457" s="13" t="str">
        <f>IF($K457="","",449)</f>
        <v/>
      </c>
      <c r="C457" s="13" t="str">
        <f>IF($K457="","",INDEX('Detalle individual'!$A:$A,$K457))</f>
        <v/>
      </c>
      <c r="D457" s="72" t="str">
        <f>IF($K457="","",TRIM(INDEX('Detalle individual'!$B:$B,$K457)))</f>
        <v/>
      </c>
      <c r="E457" s="72" t="str">
        <f>IF($K457="","",TRIM(INDEX('Detalle individual'!$E:$E,$K457)))</f>
        <v/>
      </c>
      <c r="F457" s="72" t="str">
        <f>IF($K457="","",TRIM(INDEX('Detalle individual'!$C:$C,$K457)))</f>
        <v/>
      </c>
      <c r="G457" s="72" t="str">
        <f>IF($K457="","",INDEX('Detalle individual'!$D:$D,$K457))</f>
        <v/>
      </c>
      <c r="H457" s="13" t="str">
        <f>IF($K457="","",INDEX('Detalle individual'!$F:$F,$K457))</f>
        <v/>
      </c>
      <c r="I457" s="20" t="str">
        <f>IF($K457="","",IF(INDEX('Detalle individual'!$F:$F,$K457)="Completado",INDEX('Detalle individual'!$H:$H,$K457),""))</f>
        <v/>
      </c>
      <c r="J457" s="21" t="str">
        <f>IF($K457="","",IF(INDEX('Detalle individual'!$F:$F,$K457)="Completado",INDEX('Detalle individual'!$J:$J,$K457),""))</f>
        <v/>
      </c>
      <c r="K457" t="str">
        <f>IFERROR(MOD(SMALL(Cálculos!$Z$5:$Z$1000,449),10000),"")</f>
        <v/>
      </c>
    </row>
    <row r="458">
      <c r="B458" s="13" t="str">
        <f>IF($K458="","",450)</f>
        <v/>
      </c>
      <c r="C458" s="13" t="str">
        <f>IF($K458="","",INDEX('Detalle individual'!$A:$A,$K458))</f>
        <v/>
      </c>
      <c r="D458" s="72" t="str">
        <f>IF($K458="","",TRIM(INDEX('Detalle individual'!$B:$B,$K458)))</f>
        <v/>
      </c>
      <c r="E458" s="72" t="str">
        <f>IF($K458="","",TRIM(INDEX('Detalle individual'!$E:$E,$K458)))</f>
        <v/>
      </c>
      <c r="F458" s="72" t="str">
        <f>IF($K458="","",TRIM(INDEX('Detalle individual'!$C:$C,$K458)))</f>
        <v/>
      </c>
      <c r="G458" s="72" t="str">
        <f>IF($K458="","",INDEX('Detalle individual'!$D:$D,$K458))</f>
        <v/>
      </c>
      <c r="H458" s="13" t="str">
        <f>IF($K458="","",INDEX('Detalle individual'!$F:$F,$K458))</f>
        <v/>
      </c>
      <c r="I458" s="20" t="str">
        <f>IF($K458="","",IF(INDEX('Detalle individual'!$F:$F,$K458)="Completado",INDEX('Detalle individual'!$H:$H,$K458),""))</f>
        <v/>
      </c>
      <c r="J458" s="21" t="str">
        <f>IF($K458="","",IF(INDEX('Detalle individual'!$F:$F,$K458)="Completado",INDEX('Detalle individual'!$J:$J,$K458),""))</f>
        <v/>
      </c>
      <c r="K458" t="str">
        <f>IFERROR(MOD(SMALL(Cálculos!$Z$5:$Z$1000,450),10000),"")</f>
        <v/>
      </c>
    </row>
    <row r="459">
      <c r="B459" s="13" t="str">
        <f>IF($K459="","",451)</f>
        <v/>
      </c>
      <c r="C459" s="13" t="str">
        <f>IF($K459="","",INDEX('Detalle individual'!$A:$A,$K459))</f>
        <v/>
      </c>
      <c r="D459" s="72" t="str">
        <f>IF($K459="","",TRIM(INDEX('Detalle individual'!$B:$B,$K459)))</f>
        <v/>
      </c>
      <c r="E459" s="72" t="str">
        <f>IF($K459="","",TRIM(INDEX('Detalle individual'!$E:$E,$K459)))</f>
        <v/>
      </c>
      <c r="F459" s="72" t="str">
        <f>IF($K459="","",TRIM(INDEX('Detalle individual'!$C:$C,$K459)))</f>
        <v/>
      </c>
      <c r="G459" s="72" t="str">
        <f>IF($K459="","",INDEX('Detalle individual'!$D:$D,$K459))</f>
        <v/>
      </c>
      <c r="H459" s="13" t="str">
        <f>IF($K459="","",INDEX('Detalle individual'!$F:$F,$K459))</f>
        <v/>
      </c>
      <c r="I459" s="20" t="str">
        <f>IF($K459="","",IF(INDEX('Detalle individual'!$F:$F,$K459)="Completado",INDEX('Detalle individual'!$H:$H,$K459),""))</f>
        <v/>
      </c>
      <c r="J459" s="21" t="str">
        <f>IF($K459="","",IF(INDEX('Detalle individual'!$F:$F,$K459)="Completado",INDEX('Detalle individual'!$J:$J,$K459),""))</f>
        <v/>
      </c>
      <c r="K459" t="str">
        <f>IFERROR(MOD(SMALL(Cálculos!$Z$5:$Z$1000,451),10000),"")</f>
        <v/>
      </c>
    </row>
    <row r="460">
      <c r="B460" s="13" t="str">
        <f>IF($K460="","",452)</f>
        <v/>
      </c>
      <c r="C460" s="13" t="str">
        <f>IF($K460="","",INDEX('Detalle individual'!$A:$A,$K460))</f>
        <v/>
      </c>
      <c r="D460" s="72" t="str">
        <f>IF($K460="","",TRIM(INDEX('Detalle individual'!$B:$B,$K460)))</f>
        <v/>
      </c>
      <c r="E460" s="72" t="str">
        <f>IF($K460="","",TRIM(INDEX('Detalle individual'!$E:$E,$K460)))</f>
        <v/>
      </c>
      <c r="F460" s="72" t="str">
        <f>IF($K460="","",TRIM(INDEX('Detalle individual'!$C:$C,$K460)))</f>
        <v/>
      </c>
      <c r="G460" s="72" t="str">
        <f>IF($K460="","",INDEX('Detalle individual'!$D:$D,$K460))</f>
        <v/>
      </c>
      <c r="H460" s="13" t="str">
        <f>IF($K460="","",INDEX('Detalle individual'!$F:$F,$K460))</f>
        <v/>
      </c>
      <c r="I460" s="20" t="str">
        <f>IF($K460="","",IF(INDEX('Detalle individual'!$F:$F,$K460)="Completado",INDEX('Detalle individual'!$H:$H,$K460),""))</f>
        <v/>
      </c>
      <c r="J460" s="21" t="str">
        <f>IF($K460="","",IF(INDEX('Detalle individual'!$F:$F,$K460)="Completado",INDEX('Detalle individual'!$J:$J,$K460),""))</f>
        <v/>
      </c>
      <c r="K460" t="str">
        <f>IFERROR(MOD(SMALL(Cálculos!$Z$5:$Z$1000,452),10000),"")</f>
        <v/>
      </c>
    </row>
    <row r="461">
      <c r="B461" s="13" t="str">
        <f>IF($K461="","",453)</f>
        <v/>
      </c>
      <c r="C461" s="13" t="str">
        <f>IF($K461="","",INDEX('Detalle individual'!$A:$A,$K461))</f>
        <v/>
      </c>
      <c r="D461" s="72" t="str">
        <f>IF($K461="","",TRIM(INDEX('Detalle individual'!$B:$B,$K461)))</f>
        <v/>
      </c>
      <c r="E461" s="72" t="str">
        <f>IF($K461="","",TRIM(INDEX('Detalle individual'!$E:$E,$K461)))</f>
        <v/>
      </c>
      <c r="F461" s="72" t="str">
        <f>IF($K461="","",TRIM(INDEX('Detalle individual'!$C:$C,$K461)))</f>
        <v/>
      </c>
      <c r="G461" s="72" t="str">
        <f>IF($K461="","",INDEX('Detalle individual'!$D:$D,$K461))</f>
        <v/>
      </c>
      <c r="H461" s="13" t="str">
        <f>IF($K461="","",INDEX('Detalle individual'!$F:$F,$K461))</f>
        <v/>
      </c>
      <c r="I461" s="20" t="str">
        <f>IF($K461="","",IF(INDEX('Detalle individual'!$F:$F,$K461)="Completado",INDEX('Detalle individual'!$H:$H,$K461),""))</f>
        <v/>
      </c>
      <c r="J461" s="21" t="str">
        <f>IF($K461="","",IF(INDEX('Detalle individual'!$F:$F,$K461)="Completado",INDEX('Detalle individual'!$J:$J,$K461),""))</f>
        <v/>
      </c>
      <c r="K461" t="str">
        <f>IFERROR(MOD(SMALL(Cálculos!$Z$5:$Z$1000,453),10000),"")</f>
        <v/>
      </c>
    </row>
    <row r="462">
      <c r="B462" s="13" t="str">
        <f>IF($K462="","",454)</f>
        <v/>
      </c>
      <c r="C462" s="13" t="str">
        <f>IF($K462="","",INDEX('Detalle individual'!$A:$A,$K462))</f>
        <v/>
      </c>
      <c r="D462" s="72" t="str">
        <f>IF($K462="","",TRIM(INDEX('Detalle individual'!$B:$B,$K462)))</f>
        <v/>
      </c>
      <c r="E462" s="72" t="str">
        <f>IF($K462="","",TRIM(INDEX('Detalle individual'!$E:$E,$K462)))</f>
        <v/>
      </c>
      <c r="F462" s="72" t="str">
        <f>IF($K462="","",TRIM(INDEX('Detalle individual'!$C:$C,$K462)))</f>
        <v/>
      </c>
      <c r="G462" s="72" t="str">
        <f>IF($K462="","",INDEX('Detalle individual'!$D:$D,$K462))</f>
        <v/>
      </c>
      <c r="H462" s="13" t="str">
        <f>IF($K462="","",INDEX('Detalle individual'!$F:$F,$K462))</f>
        <v/>
      </c>
      <c r="I462" s="20" t="str">
        <f>IF($K462="","",IF(INDEX('Detalle individual'!$F:$F,$K462)="Completado",INDEX('Detalle individual'!$H:$H,$K462),""))</f>
        <v/>
      </c>
      <c r="J462" s="21" t="str">
        <f>IF($K462="","",IF(INDEX('Detalle individual'!$F:$F,$K462)="Completado",INDEX('Detalle individual'!$J:$J,$K462),""))</f>
        <v/>
      </c>
      <c r="K462" t="str">
        <f>IFERROR(MOD(SMALL(Cálculos!$Z$5:$Z$1000,454),10000),"")</f>
        <v/>
      </c>
    </row>
    <row r="463">
      <c r="B463" s="13" t="str">
        <f>IF($K463="","",455)</f>
        <v/>
      </c>
      <c r="C463" s="13" t="str">
        <f>IF($K463="","",INDEX('Detalle individual'!$A:$A,$K463))</f>
        <v/>
      </c>
      <c r="D463" s="72" t="str">
        <f>IF($K463="","",TRIM(INDEX('Detalle individual'!$B:$B,$K463)))</f>
        <v/>
      </c>
      <c r="E463" s="72" t="str">
        <f>IF($K463="","",TRIM(INDEX('Detalle individual'!$E:$E,$K463)))</f>
        <v/>
      </c>
      <c r="F463" s="72" t="str">
        <f>IF($K463="","",TRIM(INDEX('Detalle individual'!$C:$C,$K463)))</f>
        <v/>
      </c>
      <c r="G463" s="72" t="str">
        <f>IF($K463="","",INDEX('Detalle individual'!$D:$D,$K463))</f>
        <v/>
      </c>
      <c r="H463" s="13" t="str">
        <f>IF($K463="","",INDEX('Detalle individual'!$F:$F,$K463))</f>
        <v/>
      </c>
      <c r="I463" s="20" t="str">
        <f>IF($K463="","",IF(INDEX('Detalle individual'!$F:$F,$K463)="Completado",INDEX('Detalle individual'!$H:$H,$K463),""))</f>
        <v/>
      </c>
      <c r="J463" s="21" t="str">
        <f>IF($K463="","",IF(INDEX('Detalle individual'!$F:$F,$K463)="Completado",INDEX('Detalle individual'!$J:$J,$K463),""))</f>
        <v/>
      </c>
      <c r="K463" t="str">
        <f>IFERROR(MOD(SMALL(Cálculos!$Z$5:$Z$1000,455),10000),"")</f>
        <v/>
      </c>
    </row>
    <row r="464">
      <c r="B464" s="13" t="str">
        <f>IF($K464="","",456)</f>
        <v/>
      </c>
      <c r="C464" s="13" t="str">
        <f>IF($K464="","",INDEX('Detalle individual'!$A:$A,$K464))</f>
        <v/>
      </c>
      <c r="D464" s="72" t="str">
        <f>IF($K464="","",TRIM(INDEX('Detalle individual'!$B:$B,$K464)))</f>
        <v/>
      </c>
      <c r="E464" s="72" t="str">
        <f>IF($K464="","",TRIM(INDEX('Detalle individual'!$E:$E,$K464)))</f>
        <v/>
      </c>
      <c r="F464" s="72" t="str">
        <f>IF($K464="","",TRIM(INDEX('Detalle individual'!$C:$C,$K464)))</f>
        <v/>
      </c>
      <c r="G464" s="72" t="str">
        <f>IF($K464="","",INDEX('Detalle individual'!$D:$D,$K464))</f>
        <v/>
      </c>
      <c r="H464" s="13" t="str">
        <f>IF($K464="","",INDEX('Detalle individual'!$F:$F,$K464))</f>
        <v/>
      </c>
      <c r="I464" s="20" t="str">
        <f>IF($K464="","",IF(INDEX('Detalle individual'!$F:$F,$K464)="Completado",INDEX('Detalle individual'!$H:$H,$K464),""))</f>
        <v/>
      </c>
      <c r="J464" s="21" t="str">
        <f>IF($K464="","",IF(INDEX('Detalle individual'!$F:$F,$K464)="Completado",INDEX('Detalle individual'!$J:$J,$K464),""))</f>
        <v/>
      </c>
      <c r="K464" t="str">
        <f>IFERROR(MOD(SMALL(Cálculos!$Z$5:$Z$1000,456),10000),"")</f>
        <v/>
      </c>
    </row>
    <row r="465">
      <c r="B465" s="13" t="str">
        <f>IF($K465="","",457)</f>
        <v/>
      </c>
      <c r="C465" s="13" t="str">
        <f>IF($K465="","",INDEX('Detalle individual'!$A:$A,$K465))</f>
        <v/>
      </c>
      <c r="D465" s="72" t="str">
        <f>IF($K465="","",TRIM(INDEX('Detalle individual'!$B:$B,$K465)))</f>
        <v/>
      </c>
      <c r="E465" s="72" t="str">
        <f>IF($K465="","",TRIM(INDEX('Detalle individual'!$E:$E,$K465)))</f>
        <v/>
      </c>
      <c r="F465" s="72" t="str">
        <f>IF($K465="","",TRIM(INDEX('Detalle individual'!$C:$C,$K465)))</f>
        <v/>
      </c>
      <c r="G465" s="72" t="str">
        <f>IF($K465="","",INDEX('Detalle individual'!$D:$D,$K465))</f>
        <v/>
      </c>
      <c r="H465" s="13" t="str">
        <f>IF($K465="","",INDEX('Detalle individual'!$F:$F,$K465))</f>
        <v/>
      </c>
      <c r="I465" s="20" t="str">
        <f>IF($K465="","",IF(INDEX('Detalle individual'!$F:$F,$K465)="Completado",INDEX('Detalle individual'!$H:$H,$K465),""))</f>
        <v/>
      </c>
      <c r="J465" s="21" t="str">
        <f>IF($K465="","",IF(INDEX('Detalle individual'!$F:$F,$K465)="Completado",INDEX('Detalle individual'!$J:$J,$K465),""))</f>
        <v/>
      </c>
      <c r="K465" t="str">
        <f>IFERROR(MOD(SMALL(Cálculos!$Z$5:$Z$1000,457),10000),"")</f>
        <v/>
      </c>
    </row>
    <row r="466">
      <c r="B466" s="13" t="str">
        <f>IF($K466="","",458)</f>
        <v/>
      </c>
      <c r="C466" s="13" t="str">
        <f>IF($K466="","",INDEX('Detalle individual'!$A:$A,$K466))</f>
        <v/>
      </c>
      <c r="D466" s="72" t="str">
        <f>IF($K466="","",TRIM(INDEX('Detalle individual'!$B:$B,$K466)))</f>
        <v/>
      </c>
      <c r="E466" s="72" t="str">
        <f>IF($K466="","",TRIM(INDEX('Detalle individual'!$E:$E,$K466)))</f>
        <v/>
      </c>
      <c r="F466" s="72" t="str">
        <f>IF($K466="","",TRIM(INDEX('Detalle individual'!$C:$C,$K466)))</f>
        <v/>
      </c>
      <c r="G466" s="72" t="str">
        <f>IF($K466="","",INDEX('Detalle individual'!$D:$D,$K466))</f>
        <v/>
      </c>
      <c r="H466" s="13" t="str">
        <f>IF($K466="","",INDEX('Detalle individual'!$F:$F,$K466))</f>
        <v/>
      </c>
      <c r="I466" s="20" t="str">
        <f>IF($K466="","",IF(INDEX('Detalle individual'!$F:$F,$K466)="Completado",INDEX('Detalle individual'!$H:$H,$K466),""))</f>
        <v/>
      </c>
      <c r="J466" s="21" t="str">
        <f>IF($K466="","",IF(INDEX('Detalle individual'!$F:$F,$K466)="Completado",INDEX('Detalle individual'!$J:$J,$K466),""))</f>
        <v/>
      </c>
      <c r="K466" t="str">
        <f>IFERROR(MOD(SMALL(Cálculos!$Z$5:$Z$1000,458),10000),"")</f>
        <v/>
      </c>
    </row>
    <row r="467">
      <c r="B467" s="13" t="str">
        <f>IF($K467="","",459)</f>
        <v/>
      </c>
      <c r="C467" s="13" t="str">
        <f>IF($K467="","",INDEX('Detalle individual'!$A:$A,$K467))</f>
        <v/>
      </c>
      <c r="D467" s="72" t="str">
        <f>IF($K467="","",TRIM(INDEX('Detalle individual'!$B:$B,$K467)))</f>
        <v/>
      </c>
      <c r="E467" s="72" t="str">
        <f>IF($K467="","",TRIM(INDEX('Detalle individual'!$E:$E,$K467)))</f>
        <v/>
      </c>
      <c r="F467" s="72" t="str">
        <f>IF($K467="","",TRIM(INDEX('Detalle individual'!$C:$C,$K467)))</f>
        <v/>
      </c>
      <c r="G467" s="72" t="str">
        <f>IF($K467="","",INDEX('Detalle individual'!$D:$D,$K467))</f>
        <v/>
      </c>
      <c r="H467" s="13" t="str">
        <f>IF($K467="","",INDEX('Detalle individual'!$F:$F,$K467))</f>
        <v/>
      </c>
      <c r="I467" s="20" t="str">
        <f>IF($K467="","",IF(INDEX('Detalle individual'!$F:$F,$K467)="Completado",INDEX('Detalle individual'!$H:$H,$K467),""))</f>
        <v/>
      </c>
      <c r="J467" s="21" t="str">
        <f>IF($K467="","",IF(INDEX('Detalle individual'!$F:$F,$K467)="Completado",INDEX('Detalle individual'!$J:$J,$K467),""))</f>
        <v/>
      </c>
      <c r="K467" t="str">
        <f>IFERROR(MOD(SMALL(Cálculos!$Z$5:$Z$1000,459),10000),"")</f>
        <v/>
      </c>
    </row>
    <row r="468">
      <c r="B468" s="13" t="str">
        <f>IF($K468="","",460)</f>
        <v/>
      </c>
      <c r="C468" s="13" t="str">
        <f>IF($K468="","",INDEX('Detalle individual'!$A:$A,$K468))</f>
        <v/>
      </c>
      <c r="D468" s="72" t="str">
        <f>IF($K468="","",TRIM(INDEX('Detalle individual'!$B:$B,$K468)))</f>
        <v/>
      </c>
      <c r="E468" s="72" t="str">
        <f>IF($K468="","",TRIM(INDEX('Detalle individual'!$E:$E,$K468)))</f>
        <v/>
      </c>
      <c r="F468" s="72" t="str">
        <f>IF($K468="","",TRIM(INDEX('Detalle individual'!$C:$C,$K468)))</f>
        <v/>
      </c>
      <c r="G468" s="72" t="str">
        <f>IF($K468="","",INDEX('Detalle individual'!$D:$D,$K468))</f>
        <v/>
      </c>
      <c r="H468" s="13" t="str">
        <f>IF($K468="","",INDEX('Detalle individual'!$F:$F,$K468))</f>
        <v/>
      </c>
      <c r="I468" s="20" t="str">
        <f>IF($K468="","",IF(INDEX('Detalle individual'!$F:$F,$K468)="Completado",INDEX('Detalle individual'!$H:$H,$K468),""))</f>
        <v/>
      </c>
      <c r="J468" s="21" t="str">
        <f>IF($K468="","",IF(INDEX('Detalle individual'!$F:$F,$K468)="Completado",INDEX('Detalle individual'!$J:$J,$K468),""))</f>
        <v/>
      </c>
      <c r="K468" t="str">
        <f>IFERROR(MOD(SMALL(Cálculos!$Z$5:$Z$1000,460),10000),"")</f>
        <v/>
      </c>
    </row>
    <row r="469">
      <c r="B469" s="13" t="str">
        <f>IF($K469="","",461)</f>
        <v/>
      </c>
      <c r="C469" s="13" t="str">
        <f>IF($K469="","",INDEX('Detalle individual'!$A:$A,$K469))</f>
        <v/>
      </c>
      <c r="D469" s="72" t="str">
        <f>IF($K469="","",TRIM(INDEX('Detalle individual'!$B:$B,$K469)))</f>
        <v/>
      </c>
      <c r="E469" s="72" t="str">
        <f>IF($K469="","",TRIM(INDEX('Detalle individual'!$E:$E,$K469)))</f>
        <v/>
      </c>
      <c r="F469" s="72" t="str">
        <f>IF($K469="","",TRIM(INDEX('Detalle individual'!$C:$C,$K469)))</f>
        <v/>
      </c>
      <c r="G469" s="72" t="str">
        <f>IF($K469="","",INDEX('Detalle individual'!$D:$D,$K469))</f>
        <v/>
      </c>
      <c r="H469" s="13" t="str">
        <f>IF($K469="","",INDEX('Detalle individual'!$F:$F,$K469))</f>
        <v/>
      </c>
      <c r="I469" s="20" t="str">
        <f>IF($K469="","",IF(INDEX('Detalle individual'!$F:$F,$K469)="Completado",INDEX('Detalle individual'!$H:$H,$K469),""))</f>
        <v/>
      </c>
      <c r="J469" s="21" t="str">
        <f>IF($K469="","",IF(INDEX('Detalle individual'!$F:$F,$K469)="Completado",INDEX('Detalle individual'!$J:$J,$K469),""))</f>
        <v/>
      </c>
      <c r="K469" t="str">
        <f>IFERROR(MOD(SMALL(Cálculos!$Z$5:$Z$1000,461),10000),"")</f>
        <v/>
      </c>
    </row>
    <row r="470">
      <c r="B470" s="13" t="str">
        <f>IF($K470="","",462)</f>
        <v/>
      </c>
      <c r="C470" s="13" t="str">
        <f>IF($K470="","",INDEX('Detalle individual'!$A:$A,$K470))</f>
        <v/>
      </c>
      <c r="D470" s="72" t="str">
        <f>IF($K470="","",TRIM(INDEX('Detalle individual'!$B:$B,$K470)))</f>
        <v/>
      </c>
      <c r="E470" s="72" t="str">
        <f>IF($K470="","",TRIM(INDEX('Detalle individual'!$E:$E,$K470)))</f>
        <v/>
      </c>
      <c r="F470" s="72" t="str">
        <f>IF($K470="","",TRIM(INDEX('Detalle individual'!$C:$C,$K470)))</f>
        <v/>
      </c>
      <c r="G470" s="72" t="str">
        <f>IF($K470="","",INDEX('Detalle individual'!$D:$D,$K470))</f>
        <v/>
      </c>
      <c r="H470" s="13" t="str">
        <f>IF($K470="","",INDEX('Detalle individual'!$F:$F,$K470))</f>
        <v/>
      </c>
      <c r="I470" s="20" t="str">
        <f>IF($K470="","",IF(INDEX('Detalle individual'!$F:$F,$K470)="Completado",INDEX('Detalle individual'!$H:$H,$K470),""))</f>
        <v/>
      </c>
      <c r="J470" s="21" t="str">
        <f>IF($K470="","",IF(INDEX('Detalle individual'!$F:$F,$K470)="Completado",INDEX('Detalle individual'!$J:$J,$K470),""))</f>
        <v/>
      </c>
      <c r="K470" t="str">
        <f>IFERROR(MOD(SMALL(Cálculos!$Z$5:$Z$1000,462),10000),"")</f>
        <v/>
      </c>
    </row>
    <row r="471">
      <c r="B471" s="13" t="str">
        <f>IF($K471="","",463)</f>
        <v/>
      </c>
      <c r="C471" s="13" t="str">
        <f>IF($K471="","",INDEX('Detalle individual'!$A:$A,$K471))</f>
        <v/>
      </c>
      <c r="D471" s="72" t="str">
        <f>IF($K471="","",TRIM(INDEX('Detalle individual'!$B:$B,$K471)))</f>
        <v/>
      </c>
      <c r="E471" s="72" t="str">
        <f>IF($K471="","",TRIM(INDEX('Detalle individual'!$E:$E,$K471)))</f>
        <v/>
      </c>
      <c r="F471" s="72" t="str">
        <f>IF($K471="","",TRIM(INDEX('Detalle individual'!$C:$C,$K471)))</f>
        <v/>
      </c>
      <c r="G471" s="72" t="str">
        <f>IF($K471="","",INDEX('Detalle individual'!$D:$D,$K471))</f>
        <v/>
      </c>
      <c r="H471" s="13" t="str">
        <f>IF($K471="","",INDEX('Detalle individual'!$F:$F,$K471))</f>
        <v/>
      </c>
      <c r="I471" s="20" t="str">
        <f>IF($K471="","",IF(INDEX('Detalle individual'!$F:$F,$K471)="Completado",INDEX('Detalle individual'!$H:$H,$K471),""))</f>
        <v/>
      </c>
      <c r="J471" s="21" t="str">
        <f>IF($K471="","",IF(INDEX('Detalle individual'!$F:$F,$K471)="Completado",INDEX('Detalle individual'!$J:$J,$K471),""))</f>
        <v/>
      </c>
      <c r="K471" t="str">
        <f>IFERROR(MOD(SMALL(Cálculos!$Z$5:$Z$1000,463),10000),"")</f>
        <v/>
      </c>
    </row>
    <row r="472">
      <c r="B472" s="13" t="str">
        <f>IF($K472="","",464)</f>
        <v/>
      </c>
      <c r="C472" s="13" t="str">
        <f>IF($K472="","",INDEX('Detalle individual'!$A:$A,$K472))</f>
        <v/>
      </c>
      <c r="D472" s="72" t="str">
        <f>IF($K472="","",TRIM(INDEX('Detalle individual'!$B:$B,$K472)))</f>
        <v/>
      </c>
      <c r="E472" s="72" t="str">
        <f>IF($K472="","",TRIM(INDEX('Detalle individual'!$E:$E,$K472)))</f>
        <v/>
      </c>
      <c r="F472" s="72" t="str">
        <f>IF($K472="","",TRIM(INDEX('Detalle individual'!$C:$C,$K472)))</f>
        <v/>
      </c>
      <c r="G472" s="72" t="str">
        <f>IF($K472="","",INDEX('Detalle individual'!$D:$D,$K472))</f>
        <v/>
      </c>
      <c r="H472" s="13" t="str">
        <f>IF($K472="","",INDEX('Detalle individual'!$F:$F,$K472))</f>
        <v/>
      </c>
      <c r="I472" s="20" t="str">
        <f>IF($K472="","",IF(INDEX('Detalle individual'!$F:$F,$K472)="Completado",INDEX('Detalle individual'!$H:$H,$K472),""))</f>
        <v/>
      </c>
      <c r="J472" s="21" t="str">
        <f>IF($K472="","",IF(INDEX('Detalle individual'!$F:$F,$K472)="Completado",INDEX('Detalle individual'!$J:$J,$K472),""))</f>
        <v/>
      </c>
      <c r="K472" t="str">
        <f>IFERROR(MOD(SMALL(Cálculos!$Z$5:$Z$1000,464),10000),"")</f>
        <v/>
      </c>
    </row>
    <row r="473">
      <c r="B473" s="13" t="str">
        <f>IF($K473="","",465)</f>
        <v/>
      </c>
      <c r="C473" s="13" t="str">
        <f>IF($K473="","",INDEX('Detalle individual'!$A:$A,$K473))</f>
        <v/>
      </c>
      <c r="D473" s="72" t="str">
        <f>IF($K473="","",TRIM(INDEX('Detalle individual'!$B:$B,$K473)))</f>
        <v/>
      </c>
      <c r="E473" s="72" t="str">
        <f>IF($K473="","",TRIM(INDEX('Detalle individual'!$E:$E,$K473)))</f>
        <v/>
      </c>
      <c r="F473" s="72" t="str">
        <f>IF($K473="","",TRIM(INDEX('Detalle individual'!$C:$C,$K473)))</f>
        <v/>
      </c>
      <c r="G473" s="72" t="str">
        <f>IF($K473="","",INDEX('Detalle individual'!$D:$D,$K473))</f>
        <v/>
      </c>
      <c r="H473" s="13" t="str">
        <f>IF($K473="","",INDEX('Detalle individual'!$F:$F,$K473))</f>
        <v/>
      </c>
      <c r="I473" s="20" t="str">
        <f>IF($K473="","",IF(INDEX('Detalle individual'!$F:$F,$K473)="Completado",INDEX('Detalle individual'!$H:$H,$K473),""))</f>
        <v/>
      </c>
      <c r="J473" s="21" t="str">
        <f>IF($K473="","",IF(INDEX('Detalle individual'!$F:$F,$K473)="Completado",INDEX('Detalle individual'!$J:$J,$K473),""))</f>
        <v/>
      </c>
      <c r="K473" t="str">
        <f>IFERROR(MOD(SMALL(Cálculos!$Z$5:$Z$1000,465),10000),"")</f>
        <v/>
      </c>
    </row>
    <row r="474">
      <c r="B474" s="13" t="str">
        <f>IF($K474="","",466)</f>
        <v/>
      </c>
      <c r="C474" s="13" t="str">
        <f>IF($K474="","",INDEX('Detalle individual'!$A:$A,$K474))</f>
        <v/>
      </c>
      <c r="D474" s="72" t="str">
        <f>IF($K474="","",TRIM(INDEX('Detalle individual'!$B:$B,$K474)))</f>
        <v/>
      </c>
      <c r="E474" s="72" t="str">
        <f>IF($K474="","",TRIM(INDEX('Detalle individual'!$E:$E,$K474)))</f>
        <v/>
      </c>
      <c r="F474" s="72" t="str">
        <f>IF($K474="","",TRIM(INDEX('Detalle individual'!$C:$C,$K474)))</f>
        <v/>
      </c>
      <c r="G474" s="72" t="str">
        <f>IF($K474="","",INDEX('Detalle individual'!$D:$D,$K474))</f>
        <v/>
      </c>
      <c r="H474" s="13" t="str">
        <f>IF($K474="","",INDEX('Detalle individual'!$F:$F,$K474))</f>
        <v/>
      </c>
      <c r="I474" s="20" t="str">
        <f>IF($K474="","",IF(INDEX('Detalle individual'!$F:$F,$K474)="Completado",INDEX('Detalle individual'!$H:$H,$K474),""))</f>
        <v/>
      </c>
      <c r="J474" s="21" t="str">
        <f>IF($K474="","",IF(INDEX('Detalle individual'!$F:$F,$K474)="Completado",INDEX('Detalle individual'!$J:$J,$K474),""))</f>
        <v/>
      </c>
      <c r="K474" t="str">
        <f>IFERROR(MOD(SMALL(Cálculos!$Z$5:$Z$1000,466),10000),"")</f>
        <v/>
      </c>
    </row>
    <row r="475">
      <c r="B475" s="13" t="str">
        <f>IF($K475="","",467)</f>
        <v/>
      </c>
      <c r="C475" s="13" t="str">
        <f>IF($K475="","",INDEX('Detalle individual'!$A:$A,$K475))</f>
        <v/>
      </c>
      <c r="D475" s="72" t="str">
        <f>IF($K475="","",TRIM(INDEX('Detalle individual'!$B:$B,$K475)))</f>
        <v/>
      </c>
      <c r="E475" s="72" t="str">
        <f>IF($K475="","",TRIM(INDEX('Detalle individual'!$E:$E,$K475)))</f>
        <v/>
      </c>
      <c r="F475" s="72" t="str">
        <f>IF($K475="","",TRIM(INDEX('Detalle individual'!$C:$C,$K475)))</f>
        <v/>
      </c>
      <c r="G475" s="72" t="str">
        <f>IF($K475="","",INDEX('Detalle individual'!$D:$D,$K475))</f>
        <v/>
      </c>
      <c r="H475" s="13" t="str">
        <f>IF($K475="","",INDEX('Detalle individual'!$F:$F,$K475))</f>
        <v/>
      </c>
      <c r="I475" s="20" t="str">
        <f>IF($K475="","",IF(INDEX('Detalle individual'!$F:$F,$K475)="Completado",INDEX('Detalle individual'!$H:$H,$K475),""))</f>
        <v/>
      </c>
      <c r="J475" s="21" t="str">
        <f>IF($K475="","",IF(INDEX('Detalle individual'!$F:$F,$K475)="Completado",INDEX('Detalle individual'!$J:$J,$K475),""))</f>
        <v/>
      </c>
      <c r="K475" t="str">
        <f>IFERROR(MOD(SMALL(Cálculos!$Z$5:$Z$1000,467),10000),"")</f>
        <v/>
      </c>
    </row>
    <row r="476">
      <c r="B476" s="13" t="str">
        <f>IF($K476="","",468)</f>
        <v/>
      </c>
      <c r="C476" s="13" t="str">
        <f>IF($K476="","",INDEX('Detalle individual'!$A:$A,$K476))</f>
        <v/>
      </c>
      <c r="D476" s="72" t="str">
        <f>IF($K476="","",TRIM(INDEX('Detalle individual'!$B:$B,$K476)))</f>
        <v/>
      </c>
      <c r="E476" s="72" t="str">
        <f>IF($K476="","",TRIM(INDEX('Detalle individual'!$E:$E,$K476)))</f>
        <v/>
      </c>
      <c r="F476" s="72" t="str">
        <f>IF($K476="","",TRIM(INDEX('Detalle individual'!$C:$C,$K476)))</f>
        <v/>
      </c>
      <c r="G476" s="72" t="str">
        <f>IF($K476="","",INDEX('Detalle individual'!$D:$D,$K476))</f>
        <v/>
      </c>
      <c r="H476" s="13" t="str">
        <f>IF($K476="","",INDEX('Detalle individual'!$F:$F,$K476))</f>
        <v/>
      </c>
      <c r="I476" s="20" t="str">
        <f>IF($K476="","",IF(INDEX('Detalle individual'!$F:$F,$K476)="Completado",INDEX('Detalle individual'!$H:$H,$K476),""))</f>
        <v/>
      </c>
      <c r="J476" s="21" t="str">
        <f>IF($K476="","",IF(INDEX('Detalle individual'!$F:$F,$K476)="Completado",INDEX('Detalle individual'!$J:$J,$K476),""))</f>
        <v/>
      </c>
      <c r="K476" t="str">
        <f>IFERROR(MOD(SMALL(Cálculos!$Z$5:$Z$1000,468),10000),"")</f>
        <v/>
      </c>
    </row>
    <row r="477">
      <c r="B477" s="13" t="str">
        <f>IF($K477="","",469)</f>
        <v/>
      </c>
      <c r="C477" s="13" t="str">
        <f>IF($K477="","",INDEX('Detalle individual'!$A:$A,$K477))</f>
        <v/>
      </c>
      <c r="D477" s="72" t="str">
        <f>IF($K477="","",TRIM(INDEX('Detalle individual'!$B:$B,$K477)))</f>
        <v/>
      </c>
      <c r="E477" s="72" t="str">
        <f>IF($K477="","",TRIM(INDEX('Detalle individual'!$E:$E,$K477)))</f>
        <v/>
      </c>
      <c r="F477" s="72" t="str">
        <f>IF($K477="","",TRIM(INDEX('Detalle individual'!$C:$C,$K477)))</f>
        <v/>
      </c>
      <c r="G477" s="72" t="str">
        <f>IF($K477="","",INDEX('Detalle individual'!$D:$D,$K477))</f>
        <v/>
      </c>
      <c r="H477" s="13" t="str">
        <f>IF($K477="","",INDEX('Detalle individual'!$F:$F,$K477))</f>
        <v/>
      </c>
      <c r="I477" s="20" t="str">
        <f>IF($K477="","",IF(INDEX('Detalle individual'!$F:$F,$K477)="Completado",INDEX('Detalle individual'!$H:$H,$K477),""))</f>
        <v/>
      </c>
      <c r="J477" s="21" t="str">
        <f>IF($K477="","",IF(INDEX('Detalle individual'!$F:$F,$K477)="Completado",INDEX('Detalle individual'!$J:$J,$K477),""))</f>
        <v/>
      </c>
      <c r="K477" t="str">
        <f>IFERROR(MOD(SMALL(Cálculos!$Z$5:$Z$1000,469),10000),"")</f>
        <v/>
      </c>
    </row>
    <row r="478">
      <c r="B478" s="13" t="str">
        <f>IF($K478="","",470)</f>
        <v/>
      </c>
      <c r="C478" s="13" t="str">
        <f>IF($K478="","",INDEX('Detalle individual'!$A:$A,$K478))</f>
        <v/>
      </c>
      <c r="D478" s="72" t="str">
        <f>IF($K478="","",TRIM(INDEX('Detalle individual'!$B:$B,$K478)))</f>
        <v/>
      </c>
      <c r="E478" s="72" t="str">
        <f>IF($K478="","",TRIM(INDEX('Detalle individual'!$E:$E,$K478)))</f>
        <v/>
      </c>
      <c r="F478" s="72" t="str">
        <f>IF($K478="","",TRIM(INDEX('Detalle individual'!$C:$C,$K478)))</f>
        <v/>
      </c>
      <c r="G478" s="72" t="str">
        <f>IF($K478="","",INDEX('Detalle individual'!$D:$D,$K478))</f>
        <v/>
      </c>
      <c r="H478" s="13" t="str">
        <f>IF($K478="","",INDEX('Detalle individual'!$F:$F,$K478))</f>
        <v/>
      </c>
      <c r="I478" s="20" t="str">
        <f>IF($K478="","",IF(INDEX('Detalle individual'!$F:$F,$K478)="Completado",INDEX('Detalle individual'!$H:$H,$K478),""))</f>
        <v/>
      </c>
      <c r="J478" s="21" t="str">
        <f>IF($K478="","",IF(INDEX('Detalle individual'!$F:$F,$K478)="Completado",INDEX('Detalle individual'!$J:$J,$K478),""))</f>
        <v/>
      </c>
      <c r="K478" t="str">
        <f>IFERROR(MOD(SMALL(Cálculos!$Z$5:$Z$1000,470),10000),"")</f>
        <v/>
      </c>
    </row>
    <row r="479">
      <c r="B479" s="13" t="str">
        <f>IF($K479="","",471)</f>
        <v/>
      </c>
      <c r="C479" s="13" t="str">
        <f>IF($K479="","",INDEX('Detalle individual'!$A:$A,$K479))</f>
        <v/>
      </c>
      <c r="D479" s="72" t="str">
        <f>IF($K479="","",TRIM(INDEX('Detalle individual'!$B:$B,$K479)))</f>
        <v/>
      </c>
      <c r="E479" s="72" t="str">
        <f>IF($K479="","",TRIM(INDEX('Detalle individual'!$E:$E,$K479)))</f>
        <v/>
      </c>
      <c r="F479" s="72" t="str">
        <f>IF($K479="","",TRIM(INDEX('Detalle individual'!$C:$C,$K479)))</f>
        <v/>
      </c>
      <c r="G479" s="72" t="str">
        <f>IF($K479="","",INDEX('Detalle individual'!$D:$D,$K479))</f>
        <v/>
      </c>
      <c r="H479" s="13" t="str">
        <f>IF($K479="","",INDEX('Detalle individual'!$F:$F,$K479))</f>
        <v/>
      </c>
      <c r="I479" s="20" t="str">
        <f>IF($K479="","",IF(INDEX('Detalle individual'!$F:$F,$K479)="Completado",INDEX('Detalle individual'!$H:$H,$K479),""))</f>
        <v/>
      </c>
      <c r="J479" s="21" t="str">
        <f>IF($K479="","",IF(INDEX('Detalle individual'!$F:$F,$K479)="Completado",INDEX('Detalle individual'!$J:$J,$K479),""))</f>
        <v/>
      </c>
      <c r="K479" t="str">
        <f>IFERROR(MOD(SMALL(Cálculos!$Z$5:$Z$1000,471),10000),"")</f>
        <v/>
      </c>
    </row>
    <row r="480">
      <c r="B480" s="13" t="str">
        <f>IF($K480="","",472)</f>
        <v/>
      </c>
      <c r="C480" s="13" t="str">
        <f>IF($K480="","",INDEX('Detalle individual'!$A:$A,$K480))</f>
        <v/>
      </c>
      <c r="D480" s="72" t="str">
        <f>IF($K480="","",TRIM(INDEX('Detalle individual'!$B:$B,$K480)))</f>
        <v/>
      </c>
      <c r="E480" s="72" t="str">
        <f>IF($K480="","",TRIM(INDEX('Detalle individual'!$E:$E,$K480)))</f>
        <v/>
      </c>
      <c r="F480" s="72" t="str">
        <f>IF($K480="","",TRIM(INDEX('Detalle individual'!$C:$C,$K480)))</f>
        <v/>
      </c>
      <c r="G480" s="72" t="str">
        <f>IF($K480="","",INDEX('Detalle individual'!$D:$D,$K480))</f>
        <v/>
      </c>
      <c r="H480" s="13" t="str">
        <f>IF($K480="","",INDEX('Detalle individual'!$F:$F,$K480))</f>
        <v/>
      </c>
      <c r="I480" s="20" t="str">
        <f>IF($K480="","",IF(INDEX('Detalle individual'!$F:$F,$K480)="Completado",INDEX('Detalle individual'!$H:$H,$K480),""))</f>
        <v/>
      </c>
      <c r="J480" s="21" t="str">
        <f>IF($K480="","",IF(INDEX('Detalle individual'!$F:$F,$K480)="Completado",INDEX('Detalle individual'!$J:$J,$K480),""))</f>
        <v/>
      </c>
      <c r="K480" t="str">
        <f>IFERROR(MOD(SMALL(Cálculos!$Z$5:$Z$1000,472),10000),"")</f>
        <v/>
      </c>
    </row>
    <row r="481">
      <c r="B481" s="13" t="str">
        <f>IF($K481="","",473)</f>
        <v/>
      </c>
      <c r="C481" s="13" t="str">
        <f>IF($K481="","",INDEX('Detalle individual'!$A:$A,$K481))</f>
        <v/>
      </c>
      <c r="D481" s="72" t="str">
        <f>IF($K481="","",TRIM(INDEX('Detalle individual'!$B:$B,$K481)))</f>
        <v/>
      </c>
      <c r="E481" s="72" t="str">
        <f>IF($K481="","",TRIM(INDEX('Detalle individual'!$E:$E,$K481)))</f>
        <v/>
      </c>
      <c r="F481" s="72" t="str">
        <f>IF($K481="","",TRIM(INDEX('Detalle individual'!$C:$C,$K481)))</f>
        <v/>
      </c>
      <c r="G481" s="72" t="str">
        <f>IF($K481="","",INDEX('Detalle individual'!$D:$D,$K481))</f>
        <v/>
      </c>
      <c r="H481" s="13" t="str">
        <f>IF($K481="","",INDEX('Detalle individual'!$F:$F,$K481))</f>
        <v/>
      </c>
      <c r="I481" s="20" t="str">
        <f>IF($K481="","",IF(INDEX('Detalle individual'!$F:$F,$K481)="Completado",INDEX('Detalle individual'!$H:$H,$K481),""))</f>
        <v/>
      </c>
      <c r="J481" s="21" t="str">
        <f>IF($K481="","",IF(INDEX('Detalle individual'!$F:$F,$K481)="Completado",INDEX('Detalle individual'!$J:$J,$K481),""))</f>
        <v/>
      </c>
      <c r="K481" t="str">
        <f>IFERROR(MOD(SMALL(Cálculos!$Z$5:$Z$1000,473),10000),"")</f>
        <v/>
      </c>
    </row>
    <row r="482">
      <c r="B482" s="13" t="str">
        <f>IF($K482="","",474)</f>
        <v/>
      </c>
      <c r="C482" s="13" t="str">
        <f>IF($K482="","",INDEX('Detalle individual'!$A:$A,$K482))</f>
        <v/>
      </c>
      <c r="D482" s="72" t="str">
        <f>IF($K482="","",TRIM(INDEX('Detalle individual'!$B:$B,$K482)))</f>
        <v/>
      </c>
      <c r="E482" s="72" t="str">
        <f>IF($K482="","",TRIM(INDEX('Detalle individual'!$E:$E,$K482)))</f>
        <v/>
      </c>
      <c r="F482" s="72" t="str">
        <f>IF($K482="","",TRIM(INDEX('Detalle individual'!$C:$C,$K482)))</f>
        <v/>
      </c>
      <c r="G482" s="72" t="str">
        <f>IF($K482="","",INDEX('Detalle individual'!$D:$D,$K482))</f>
        <v/>
      </c>
      <c r="H482" s="13" t="str">
        <f>IF($K482="","",INDEX('Detalle individual'!$F:$F,$K482))</f>
        <v/>
      </c>
      <c r="I482" s="20" t="str">
        <f>IF($K482="","",IF(INDEX('Detalle individual'!$F:$F,$K482)="Completado",INDEX('Detalle individual'!$H:$H,$K482),""))</f>
        <v/>
      </c>
      <c r="J482" s="21" t="str">
        <f>IF($K482="","",IF(INDEX('Detalle individual'!$F:$F,$K482)="Completado",INDEX('Detalle individual'!$J:$J,$K482),""))</f>
        <v/>
      </c>
      <c r="K482" t="str">
        <f>IFERROR(MOD(SMALL(Cálculos!$Z$5:$Z$1000,474),10000),"")</f>
        <v/>
      </c>
    </row>
    <row r="483">
      <c r="B483" s="13" t="str">
        <f>IF($K483="","",475)</f>
        <v/>
      </c>
      <c r="C483" s="13" t="str">
        <f>IF($K483="","",INDEX('Detalle individual'!$A:$A,$K483))</f>
        <v/>
      </c>
      <c r="D483" s="72" t="str">
        <f>IF($K483="","",TRIM(INDEX('Detalle individual'!$B:$B,$K483)))</f>
        <v/>
      </c>
      <c r="E483" s="72" t="str">
        <f>IF($K483="","",TRIM(INDEX('Detalle individual'!$E:$E,$K483)))</f>
        <v/>
      </c>
      <c r="F483" s="72" t="str">
        <f>IF($K483="","",TRIM(INDEX('Detalle individual'!$C:$C,$K483)))</f>
        <v/>
      </c>
      <c r="G483" s="72" t="str">
        <f>IF($K483="","",INDEX('Detalle individual'!$D:$D,$K483))</f>
        <v/>
      </c>
      <c r="H483" s="13" t="str">
        <f>IF($K483="","",INDEX('Detalle individual'!$F:$F,$K483))</f>
        <v/>
      </c>
      <c r="I483" s="20" t="str">
        <f>IF($K483="","",IF(INDEX('Detalle individual'!$F:$F,$K483)="Completado",INDEX('Detalle individual'!$H:$H,$K483),""))</f>
        <v/>
      </c>
      <c r="J483" s="21" t="str">
        <f>IF($K483="","",IF(INDEX('Detalle individual'!$F:$F,$K483)="Completado",INDEX('Detalle individual'!$J:$J,$K483),""))</f>
        <v/>
      </c>
      <c r="K483" t="str">
        <f>IFERROR(MOD(SMALL(Cálculos!$Z$5:$Z$1000,475),10000),"")</f>
        <v/>
      </c>
    </row>
    <row r="484">
      <c r="B484" s="13" t="str">
        <f>IF($K484="","",476)</f>
        <v/>
      </c>
      <c r="C484" s="13" t="str">
        <f>IF($K484="","",INDEX('Detalle individual'!$A:$A,$K484))</f>
        <v/>
      </c>
      <c r="D484" s="72" t="str">
        <f>IF($K484="","",TRIM(INDEX('Detalle individual'!$B:$B,$K484)))</f>
        <v/>
      </c>
      <c r="E484" s="72" t="str">
        <f>IF($K484="","",TRIM(INDEX('Detalle individual'!$E:$E,$K484)))</f>
        <v/>
      </c>
      <c r="F484" s="72" t="str">
        <f>IF($K484="","",TRIM(INDEX('Detalle individual'!$C:$C,$K484)))</f>
        <v/>
      </c>
      <c r="G484" s="72" t="str">
        <f>IF($K484="","",INDEX('Detalle individual'!$D:$D,$K484))</f>
        <v/>
      </c>
      <c r="H484" s="13" t="str">
        <f>IF($K484="","",INDEX('Detalle individual'!$F:$F,$K484))</f>
        <v/>
      </c>
      <c r="I484" s="20" t="str">
        <f>IF($K484="","",IF(INDEX('Detalle individual'!$F:$F,$K484)="Completado",INDEX('Detalle individual'!$H:$H,$K484),""))</f>
        <v/>
      </c>
      <c r="J484" s="21" t="str">
        <f>IF($K484="","",IF(INDEX('Detalle individual'!$F:$F,$K484)="Completado",INDEX('Detalle individual'!$J:$J,$K484),""))</f>
        <v/>
      </c>
      <c r="K484" t="str">
        <f>IFERROR(MOD(SMALL(Cálculos!$Z$5:$Z$1000,476),10000),"")</f>
        <v/>
      </c>
    </row>
    <row r="485">
      <c r="B485" s="13" t="str">
        <f>IF($K485="","",477)</f>
        <v/>
      </c>
      <c r="C485" s="13" t="str">
        <f>IF($K485="","",INDEX('Detalle individual'!$A:$A,$K485))</f>
        <v/>
      </c>
      <c r="D485" s="72" t="str">
        <f>IF($K485="","",TRIM(INDEX('Detalle individual'!$B:$B,$K485)))</f>
        <v/>
      </c>
      <c r="E485" s="72" t="str">
        <f>IF($K485="","",TRIM(INDEX('Detalle individual'!$E:$E,$K485)))</f>
        <v/>
      </c>
      <c r="F485" s="72" t="str">
        <f>IF($K485="","",TRIM(INDEX('Detalle individual'!$C:$C,$K485)))</f>
        <v/>
      </c>
      <c r="G485" s="72" t="str">
        <f>IF($K485="","",INDEX('Detalle individual'!$D:$D,$K485))</f>
        <v/>
      </c>
      <c r="H485" s="13" t="str">
        <f>IF($K485="","",INDEX('Detalle individual'!$F:$F,$K485))</f>
        <v/>
      </c>
      <c r="I485" s="20" t="str">
        <f>IF($K485="","",IF(INDEX('Detalle individual'!$F:$F,$K485)="Completado",INDEX('Detalle individual'!$H:$H,$K485),""))</f>
        <v/>
      </c>
      <c r="J485" s="21" t="str">
        <f>IF($K485="","",IF(INDEX('Detalle individual'!$F:$F,$K485)="Completado",INDEX('Detalle individual'!$J:$J,$K485),""))</f>
        <v/>
      </c>
      <c r="K485" t="str">
        <f>IFERROR(MOD(SMALL(Cálculos!$Z$5:$Z$1000,477),10000),"")</f>
        <v/>
      </c>
    </row>
    <row r="486">
      <c r="B486" s="13" t="str">
        <f>IF($K486="","",478)</f>
        <v/>
      </c>
      <c r="C486" s="13" t="str">
        <f>IF($K486="","",INDEX('Detalle individual'!$A:$A,$K486))</f>
        <v/>
      </c>
      <c r="D486" s="72" t="str">
        <f>IF($K486="","",TRIM(INDEX('Detalle individual'!$B:$B,$K486)))</f>
        <v/>
      </c>
      <c r="E486" s="72" t="str">
        <f>IF($K486="","",TRIM(INDEX('Detalle individual'!$E:$E,$K486)))</f>
        <v/>
      </c>
      <c r="F486" s="72" t="str">
        <f>IF($K486="","",TRIM(INDEX('Detalle individual'!$C:$C,$K486)))</f>
        <v/>
      </c>
      <c r="G486" s="72" t="str">
        <f>IF($K486="","",INDEX('Detalle individual'!$D:$D,$K486))</f>
        <v/>
      </c>
      <c r="H486" s="13" t="str">
        <f>IF($K486="","",INDEX('Detalle individual'!$F:$F,$K486))</f>
        <v/>
      </c>
      <c r="I486" s="20" t="str">
        <f>IF($K486="","",IF(INDEX('Detalle individual'!$F:$F,$K486)="Completado",INDEX('Detalle individual'!$H:$H,$K486),""))</f>
        <v/>
      </c>
      <c r="J486" s="21" t="str">
        <f>IF($K486="","",IF(INDEX('Detalle individual'!$F:$F,$K486)="Completado",INDEX('Detalle individual'!$J:$J,$K486),""))</f>
        <v/>
      </c>
      <c r="K486" t="str">
        <f>IFERROR(MOD(SMALL(Cálculos!$Z$5:$Z$1000,478),10000),"")</f>
        <v/>
      </c>
    </row>
    <row r="487">
      <c r="B487" s="13" t="str">
        <f>IF($K487="","",479)</f>
        <v/>
      </c>
      <c r="C487" s="13" t="str">
        <f>IF($K487="","",INDEX('Detalle individual'!$A:$A,$K487))</f>
        <v/>
      </c>
      <c r="D487" s="72" t="str">
        <f>IF($K487="","",TRIM(INDEX('Detalle individual'!$B:$B,$K487)))</f>
        <v/>
      </c>
      <c r="E487" s="72" t="str">
        <f>IF($K487="","",TRIM(INDEX('Detalle individual'!$E:$E,$K487)))</f>
        <v/>
      </c>
      <c r="F487" s="72" t="str">
        <f>IF($K487="","",TRIM(INDEX('Detalle individual'!$C:$C,$K487)))</f>
        <v/>
      </c>
      <c r="G487" s="72" t="str">
        <f>IF($K487="","",INDEX('Detalle individual'!$D:$D,$K487))</f>
        <v/>
      </c>
      <c r="H487" s="13" t="str">
        <f>IF($K487="","",INDEX('Detalle individual'!$F:$F,$K487))</f>
        <v/>
      </c>
      <c r="I487" s="20" t="str">
        <f>IF($K487="","",IF(INDEX('Detalle individual'!$F:$F,$K487)="Completado",INDEX('Detalle individual'!$H:$H,$K487),""))</f>
        <v/>
      </c>
      <c r="J487" s="21" t="str">
        <f>IF($K487="","",IF(INDEX('Detalle individual'!$F:$F,$K487)="Completado",INDEX('Detalle individual'!$J:$J,$K487),""))</f>
        <v/>
      </c>
      <c r="K487" t="str">
        <f>IFERROR(MOD(SMALL(Cálculos!$Z$5:$Z$1000,479),10000),"")</f>
        <v/>
      </c>
    </row>
    <row r="488">
      <c r="B488" s="13" t="str">
        <f>IF($K488="","",480)</f>
        <v/>
      </c>
      <c r="C488" s="13" t="str">
        <f>IF($K488="","",INDEX('Detalle individual'!$A:$A,$K488))</f>
        <v/>
      </c>
      <c r="D488" s="72" t="str">
        <f>IF($K488="","",TRIM(INDEX('Detalle individual'!$B:$B,$K488)))</f>
        <v/>
      </c>
      <c r="E488" s="72" t="str">
        <f>IF($K488="","",TRIM(INDEX('Detalle individual'!$E:$E,$K488)))</f>
        <v/>
      </c>
      <c r="F488" s="72" t="str">
        <f>IF($K488="","",TRIM(INDEX('Detalle individual'!$C:$C,$K488)))</f>
        <v/>
      </c>
      <c r="G488" s="72" t="str">
        <f>IF($K488="","",INDEX('Detalle individual'!$D:$D,$K488))</f>
        <v/>
      </c>
      <c r="H488" s="13" t="str">
        <f>IF($K488="","",INDEX('Detalle individual'!$F:$F,$K488))</f>
        <v/>
      </c>
      <c r="I488" s="20" t="str">
        <f>IF($K488="","",IF(INDEX('Detalle individual'!$F:$F,$K488)="Completado",INDEX('Detalle individual'!$H:$H,$K488),""))</f>
        <v/>
      </c>
      <c r="J488" s="21" t="str">
        <f>IF($K488="","",IF(INDEX('Detalle individual'!$F:$F,$K488)="Completado",INDEX('Detalle individual'!$J:$J,$K488),""))</f>
        <v/>
      </c>
      <c r="K488" t="str">
        <f>IFERROR(MOD(SMALL(Cálculos!$Z$5:$Z$1000,480),10000),"")</f>
        <v/>
      </c>
    </row>
    <row r="489">
      <c r="B489" s="13" t="str">
        <f>IF($K489="","",481)</f>
        <v/>
      </c>
      <c r="C489" s="13" t="str">
        <f>IF($K489="","",INDEX('Detalle individual'!$A:$A,$K489))</f>
        <v/>
      </c>
      <c r="D489" s="72" t="str">
        <f>IF($K489="","",TRIM(INDEX('Detalle individual'!$B:$B,$K489)))</f>
        <v/>
      </c>
      <c r="E489" s="72" t="str">
        <f>IF($K489="","",TRIM(INDEX('Detalle individual'!$E:$E,$K489)))</f>
        <v/>
      </c>
      <c r="F489" s="72" t="str">
        <f>IF($K489="","",TRIM(INDEX('Detalle individual'!$C:$C,$K489)))</f>
        <v/>
      </c>
      <c r="G489" s="72" t="str">
        <f>IF($K489="","",INDEX('Detalle individual'!$D:$D,$K489))</f>
        <v/>
      </c>
      <c r="H489" s="13" t="str">
        <f>IF($K489="","",INDEX('Detalle individual'!$F:$F,$K489))</f>
        <v/>
      </c>
      <c r="I489" s="20" t="str">
        <f>IF($K489="","",IF(INDEX('Detalle individual'!$F:$F,$K489)="Completado",INDEX('Detalle individual'!$H:$H,$K489),""))</f>
        <v/>
      </c>
      <c r="J489" s="21" t="str">
        <f>IF($K489="","",IF(INDEX('Detalle individual'!$F:$F,$K489)="Completado",INDEX('Detalle individual'!$J:$J,$K489),""))</f>
        <v/>
      </c>
      <c r="K489" t="str">
        <f>IFERROR(MOD(SMALL(Cálculos!$Z$5:$Z$1000,481),10000),"")</f>
        <v/>
      </c>
    </row>
    <row r="490">
      <c r="B490" s="13" t="str">
        <f>IF($K490="","",482)</f>
        <v/>
      </c>
      <c r="C490" s="13" t="str">
        <f>IF($K490="","",INDEX('Detalle individual'!$A:$A,$K490))</f>
        <v/>
      </c>
      <c r="D490" s="72" t="str">
        <f>IF($K490="","",TRIM(INDEX('Detalle individual'!$B:$B,$K490)))</f>
        <v/>
      </c>
      <c r="E490" s="72" t="str">
        <f>IF($K490="","",TRIM(INDEX('Detalle individual'!$E:$E,$K490)))</f>
        <v/>
      </c>
      <c r="F490" s="72" t="str">
        <f>IF($K490="","",TRIM(INDEX('Detalle individual'!$C:$C,$K490)))</f>
        <v/>
      </c>
      <c r="G490" s="72" t="str">
        <f>IF($K490="","",INDEX('Detalle individual'!$D:$D,$K490))</f>
        <v/>
      </c>
      <c r="H490" s="13" t="str">
        <f>IF($K490="","",INDEX('Detalle individual'!$F:$F,$K490))</f>
        <v/>
      </c>
      <c r="I490" s="20" t="str">
        <f>IF($K490="","",IF(INDEX('Detalle individual'!$F:$F,$K490)="Completado",INDEX('Detalle individual'!$H:$H,$K490),""))</f>
        <v/>
      </c>
      <c r="J490" s="21" t="str">
        <f>IF($K490="","",IF(INDEX('Detalle individual'!$F:$F,$K490)="Completado",INDEX('Detalle individual'!$J:$J,$K490),""))</f>
        <v/>
      </c>
      <c r="K490" t="str">
        <f>IFERROR(MOD(SMALL(Cálculos!$Z$5:$Z$1000,482),10000),"")</f>
        <v/>
      </c>
    </row>
    <row r="491">
      <c r="B491" s="13" t="str">
        <f>IF($K491="","",483)</f>
        <v/>
      </c>
      <c r="C491" s="13" t="str">
        <f>IF($K491="","",INDEX('Detalle individual'!$A:$A,$K491))</f>
        <v/>
      </c>
      <c r="D491" s="72" t="str">
        <f>IF($K491="","",TRIM(INDEX('Detalle individual'!$B:$B,$K491)))</f>
        <v/>
      </c>
      <c r="E491" s="72" t="str">
        <f>IF($K491="","",TRIM(INDEX('Detalle individual'!$E:$E,$K491)))</f>
        <v/>
      </c>
      <c r="F491" s="72" t="str">
        <f>IF($K491="","",TRIM(INDEX('Detalle individual'!$C:$C,$K491)))</f>
        <v/>
      </c>
      <c r="G491" s="72" t="str">
        <f>IF($K491="","",INDEX('Detalle individual'!$D:$D,$K491))</f>
        <v/>
      </c>
      <c r="H491" s="13" t="str">
        <f>IF($K491="","",INDEX('Detalle individual'!$F:$F,$K491))</f>
        <v/>
      </c>
      <c r="I491" s="20" t="str">
        <f>IF($K491="","",IF(INDEX('Detalle individual'!$F:$F,$K491)="Completado",INDEX('Detalle individual'!$H:$H,$K491),""))</f>
        <v/>
      </c>
      <c r="J491" s="21" t="str">
        <f>IF($K491="","",IF(INDEX('Detalle individual'!$F:$F,$K491)="Completado",INDEX('Detalle individual'!$J:$J,$K491),""))</f>
        <v/>
      </c>
      <c r="K491" t="str">
        <f>IFERROR(MOD(SMALL(Cálculos!$Z$5:$Z$1000,483),10000),"")</f>
        <v/>
      </c>
    </row>
    <row r="492">
      <c r="B492" s="13" t="str">
        <f>IF($K492="","",484)</f>
        <v/>
      </c>
      <c r="C492" s="13" t="str">
        <f>IF($K492="","",INDEX('Detalle individual'!$A:$A,$K492))</f>
        <v/>
      </c>
      <c r="D492" s="72" t="str">
        <f>IF($K492="","",TRIM(INDEX('Detalle individual'!$B:$B,$K492)))</f>
        <v/>
      </c>
      <c r="E492" s="72" t="str">
        <f>IF($K492="","",TRIM(INDEX('Detalle individual'!$E:$E,$K492)))</f>
        <v/>
      </c>
      <c r="F492" s="72" t="str">
        <f>IF($K492="","",TRIM(INDEX('Detalle individual'!$C:$C,$K492)))</f>
        <v/>
      </c>
      <c r="G492" s="72" t="str">
        <f>IF($K492="","",INDEX('Detalle individual'!$D:$D,$K492))</f>
        <v/>
      </c>
      <c r="H492" s="13" t="str">
        <f>IF($K492="","",INDEX('Detalle individual'!$F:$F,$K492))</f>
        <v/>
      </c>
      <c r="I492" s="20" t="str">
        <f>IF($K492="","",IF(INDEX('Detalle individual'!$F:$F,$K492)="Completado",INDEX('Detalle individual'!$H:$H,$K492),""))</f>
        <v/>
      </c>
      <c r="J492" s="21" t="str">
        <f>IF($K492="","",IF(INDEX('Detalle individual'!$F:$F,$K492)="Completado",INDEX('Detalle individual'!$J:$J,$K492),""))</f>
        <v/>
      </c>
      <c r="K492" t="str">
        <f>IFERROR(MOD(SMALL(Cálculos!$Z$5:$Z$1000,484),10000),"")</f>
        <v/>
      </c>
    </row>
    <row r="493">
      <c r="B493" s="13" t="str">
        <f>IF($K493="","",485)</f>
        <v/>
      </c>
      <c r="C493" s="13" t="str">
        <f>IF($K493="","",INDEX('Detalle individual'!$A:$A,$K493))</f>
        <v/>
      </c>
      <c r="D493" s="72" t="str">
        <f>IF($K493="","",TRIM(INDEX('Detalle individual'!$B:$B,$K493)))</f>
        <v/>
      </c>
      <c r="E493" s="72" t="str">
        <f>IF($K493="","",TRIM(INDEX('Detalle individual'!$E:$E,$K493)))</f>
        <v/>
      </c>
      <c r="F493" s="72" t="str">
        <f>IF($K493="","",TRIM(INDEX('Detalle individual'!$C:$C,$K493)))</f>
        <v/>
      </c>
      <c r="G493" s="72" t="str">
        <f>IF($K493="","",INDEX('Detalle individual'!$D:$D,$K493))</f>
        <v/>
      </c>
      <c r="H493" s="13" t="str">
        <f>IF($K493="","",INDEX('Detalle individual'!$F:$F,$K493))</f>
        <v/>
      </c>
      <c r="I493" s="20" t="str">
        <f>IF($K493="","",IF(INDEX('Detalle individual'!$F:$F,$K493)="Completado",INDEX('Detalle individual'!$H:$H,$K493),""))</f>
        <v/>
      </c>
      <c r="J493" s="21" t="str">
        <f>IF($K493="","",IF(INDEX('Detalle individual'!$F:$F,$K493)="Completado",INDEX('Detalle individual'!$J:$J,$K493),""))</f>
        <v/>
      </c>
      <c r="K493" t="str">
        <f>IFERROR(MOD(SMALL(Cálculos!$Z$5:$Z$1000,485),10000),"")</f>
        <v/>
      </c>
    </row>
    <row r="494">
      <c r="B494" s="13" t="str">
        <f>IF($K494="","",486)</f>
        <v/>
      </c>
      <c r="C494" s="13" t="str">
        <f>IF($K494="","",INDEX('Detalle individual'!$A:$A,$K494))</f>
        <v/>
      </c>
      <c r="D494" s="72" t="str">
        <f>IF($K494="","",TRIM(INDEX('Detalle individual'!$B:$B,$K494)))</f>
        <v/>
      </c>
      <c r="E494" s="72" t="str">
        <f>IF($K494="","",TRIM(INDEX('Detalle individual'!$E:$E,$K494)))</f>
        <v/>
      </c>
      <c r="F494" s="72" t="str">
        <f>IF($K494="","",TRIM(INDEX('Detalle individual'!$C:$C,$K494)))</f>
        <v/>
      </c>
      <c r="G494" s="72" t="str">
        <f>IF($K494="","",INDEX('Detalle individual'!$D:$D,$K494))</f>
        <v/>
      </c>
      <c r="H494" s="13" t="str">
        <f>IF($K494="","",INDEX('Detalle individual'!$F:$F,$K494))</f>
        <v/>
      </c>
      <c r="I494" s="20" t="str">
        <f>IF($K494="","",IF(INDEX('Detalle individual'!$F:$F,$K494)="Completado",INDEX('Detalle individual'!$H:$H,$K494),""))</f>
        <v/>
      </c>
      <c r="J494" s="21" t="str">
        <f>IF($K494="","",IF(INDEX('Detalle individual'!$F:$F,$K494)="Completado",INDEX('Detalle individual'!$J:$J,$K494),""))</f>
        <v/>
      </c>
      <c r="K494" t="str">
        <f>IFERROR(MOD(SMALL(Cálculos!$Z$5:$Z$1000,486),10000),"")</f>
        <v/>
      </c>
    </row>
    <row r="495">
      <c r="B495" s="13" t="str">
        <f>IF($K495="","",487)</f>
        <v/>
      </c>
      <c r="C495" s="13" t="str">
        <f>IF($K495="","",INDEX('Detalle individual'!$A:$A,$K495))</f>
        <v/>
      </c>
      <c r="D495" s="72" t="str">
        <f>IF($K495="","",TRIM(INDEX('Detalle individual'!$B:$B,$K495)))</f>
        <v/>
      </c>
      <c r="E495" s="72" t="str">
        <f>IF($K495="","",TRIM(INDEX('Detalle individual'!$E:$E,$K495)))</f>
        <v/>
      </c>
      <c r="F495" s="72" t="str">
        <f>IF($K495="","",TRIM(INDEX('Detalle individual'!$C:$C,$K495)))</f>
        <v/>
      </c>
      <c r="G495" s="72" t="str">
        <f>IF($K495="","",INDEX('Detalle individual'!$D:$D,$K495))</f>
        <v/>
      </c>
      <c r="H495" s="13" t="str">
        <f>IF($K495="","",INDEX('Detalle individual'!$F:$F,$K495))</f>
        <v/>
      </c>
      <c r="I495" s="20" t="str">
        <f>IF($K495="","",IF(INDEX('Detalle individual'!$F:$F,$K495)="Completado",INDEX('Detalle individual'!$H:$H,$K495),""))</f>
        <v/>
      </c>
      <c r="J495" s="21" t="str">
        <f>IF($K495="","",IF(INDEX('Detalle individual'!$F:$F,$K495)="Completado",INDEX('Detalle individual'!$J:$J,$K495),""))</f>
        <v/>
      </c>
      <c r="K495" t="str">
        <f>IFERROR(MOD(SMALL(Cálculos!$Z$5:$Z$1000,487),10000),"")</f>
        <v/>
      </c>
    </row>
    <row r="496">
      <c r="B496" s="13" t="str">
        <f>IF($K496="","",488)</f>
        <v/>
      </c>
      <c r="C496" s="13" t="str">
        <f>IF($K496="","",INDEX('Detalle individual'!$A:$A,$K496))</f>
        <v/>
      </c>
      <c r="D496" s="72" t="str">
        <f>IF($K496="","",TRIM(INDEX('Detalle individual'!$B:$B,$K496)))</f>
        <v/>
      </c>
      <c r="E496" s="72" t="str">
        <f>IF($K496="","",TRIM(INDEX('Detalle individual'!$E:$E,$K496)))</f>
        <v/>
      </c>
      <c r="F496" s="72" t="str">
        <f>IF($K496="","",TRIM(INDEX('Detalle individual'!$C:$C,$K496)))</f>
        <v/>
      </c>
      <c r="G496" s="72" t="str">
        <f>IF($K496="","",INDEX('Detalle individual'!$D:$D,$K496))</f>
        <v/>
      </c>
      <c r="H496" s="13" t="str">
        <f>IF($K496="","",INDEX('Detalle individual'!$F:$F,$K496))</f>
        <v/>
      </c>
      <c r="I496" s="20" t="str">
        <f>IF($K496="","",IF(INDEX('Detalle individual'!$F:$F,$K496)="Completado",INDEX('Detalle individual'!$H:$H,$K496),""))</f>
        <v/>
      </c>
      <c r="J496" s="21" t="str">
        <f>IF($K496="","",IF(INDEX('Detalle individual'!$F:$F,$K496)="Completado",INDEX('Detalle individual'!$J:$J,$K496),""))</f>
        <v/>
      </c>
      <c r="K496" t="str">
        <f>IFERROR(MOD(SMALL(Cálculos!$Z$5:$Z$1000,488),10000),"")</f>
        <v/>
      </c>
    </row>
    <row r="497">
      <c r="B497" s="13" t="str">
        <f>IF($K497="","",489)</f>
        <v/>
      </c>
      <c r="C497" s="13" t="str">
        <f>IF($K497="","",INDEX('Detalle individual'!$A:$A,$K497))</f>
        <v/>
      </c>
      <c r="D497" s="72" t="str">
        <f>IF($K497="","",TRIM(INDEX('Detalle individual'!$B:$B,$K497)))</f>
        <v/>
      </c>
      <c r="E497" s="72" t="str">
        <f>IF($K497="","",TRIM(INDEX('Detalle individual'!$E:$E,$K497)))</f>
        <v/>
      </c>
      <c r="F497" s="72" t="str">
        <f>IF($K497="","",TRIM(INDEX('Detalle individual'!$C:$C,$K497)))</f>
        <v/>
      </c>
      <c r="G497" s="72" t="str">
        <f>IF($K497="","",INDEX('Detalle individual'!$D:$D,$K497))</f>
        <v/>
      </c>
      <c r="H497" s="13" t="str">
        <f>IF($K497="","",INDEX('Detalle individual'!$F:$F,$K497))</f>
        <v/>
      </c>
      <c r="I497" s="20" t="str">
        <f>IF($K497="","",IF(INDEX('Detalle individual'!$F:$F,$K497)="Completado",INDEX('Detalle individual'!$H:$H,$K497),""))</f>
        <v/>
      </c>
      <c r="J497" s="21" t="str">
        <f>IF($K497="","",IF(INDEX('Detalle individual'!$F:$F,$K497)="Completado",INDEX('Detalle individual'!$J:$J,$K497),""))</f>
        <v/>
      </c>
      <c r="K497" t="str">
        <f>IFERROR(MOD(SMALL(Cálculos!$Z$5:$Z$1000,489),10000),"")</f>
        <v/>
      </c>
    </row>
    <row r="498">
      <c r="B498" s="13" t="str">
        <f>IF($K498="","",490)</f>
        <v/>
      </c>
      <c r="C498" s="13" t="str">
        <f>IF($K498="","",INDEX('Detalle individual'!$A:$A,$K498))</f>
        <v/>
      </c>
      <c r="D498" s="72" t="str">
        <f>IF($K498="","",TRIM(INDEX('Detalle individual'!$B:$B,$K498)))</f>
        <v/>
      </c>
      <c r="E498" s="72" t="str">
        <f>IF($K498="","",TRIM(INDEX('Detalle individual'!$E:$E,$K498)))</f>
        <v/>
      </c>
      <c r="F498" s="72" t="str">
        <f>IF($K498="","",TRIM(INDEX('Detalle individual'!$C:$C,$K498)))</f>
        <v/>
      </c>
      <c r="G498" s="72" t="str">
        <f>IF($K498="","",INDEX('Detalle individual'!$D:$D,$K498))</f>
        <v/>
      </c>
      <c r="H498" s="13" t="str">
        <f>IF($K498="","",INDEX('Detalle individual'!$F:$F,$K498))</f>
        <v/>
      </c>
      <c r="I498" s="20" t="str">
        <f>IF($K498="","",IF(INDEX('Detalle individual'!$F:$F,$K498)="Completado",INDEX('Detalle individual'!$H:$H,$K498),""))</f>
        <v/>
      </c>
      <c r="J498" s="21" t="str">
        <f>IF($K498="","",IF(INDEX('Detalle individual'!$F:$F,$K498)="Completado",INDEX('Detalle individual'!$J:$J,$K498),""))</f>
        <v/>
      </c>
      <c r="K498" t="str">
        <f>IFERROR(MOD(SMALL(Cálculos!$Z$5:$Z$1000,490),10000),"")</f>
        <v/>
      </c>
    </row>
    <row r="499">
      <c r="B499" s="13" t="str">
        <f>IF($K499="","",491)</f>
        <v/>
      </c>
      <c r="C499" s="13" t="str">
        <f>IF($K499="","",INDEX('Detalle individual'!$A:$A,$K499))</f>
        <v/>
      </c>
      <c r="D499" s="72" t="str">
        <f>IF($K499="","",TRIM(INDEX('Detalle individual'!$B:$B,$K499)))</f>
        <v/>
      </c>
      <c r="E499" s="72" t="str">
        <f>IF($K499="","",TRIM(INDEX('Detalle individual'!$E:$E,$K499)))</f>
        <v/>
      </c>
      <c r="F499" s="72" t="str">
        <f>IF($K499="","",TRIM(INDEX('Detalle individual'!$C:$C,$K499)))</f>
        <v/>
      </c>
      <c r="G499" s="72" t="str">
        <f>IF($K499="","",INDEX('Detalle individual'!$D:$D,$K499))</f>
        <v/>
      </c>
      <c r="H499" s="13" t="str">
        <f>IF($K499="","",INDEX('Detalle individual'!$F:$F,$K499))</f>
        <v/>
      </c>
      <c r="I499" s="20" t="str">
        <f>IF($K499="","",IF(INDEX('Detalle individual'!$F:$F,$K499)="Completado",INDEX('Detalle individual'!$H:$H,$K499),""))</f>
        <v/>
      </c>
      <c r="J499" s="21" t="str">
        <f>IF($K499="","",IF(INDEX('Detalle individual'!$F:$F,$K499)="Completado",INDEX('Detalle individual'!$J:$J,$K499),""))</f>
        <v/>
      </c>
      <c r="K499" t="str">
        <f>IFERROR(MOD(SMALL(Cálculos!$Z$5:$Z$1000,491),10000),"")</f>
        <v/>
      </c>
    </row>
    <row r="500">
      <c r="B500" s="13" t="str">
        <f>IF($K500="","",492)</f>
        <v/>
      </c>
      <c r="C500" s="13" t="str">
        <f>IF($K500="","",INDEX('Detalle individual'!$A:$A,$K500))</f>
        <v/>
      </c>
      <c r="D500" s="72" t="str">
        <f>IF($K500="","",TRIM(INDEX('Detalle individual'!$B:$B,$K500)))</f>
        <v/>
      </c>
      <c r="E500" s="72" t="str">
        <f>IF($K500="","",TRIM(INDEX('Detalle individual'!$E:$E,$K500)))</f>
        <v/>
      </c>
      <c r="F500" s="72" t="str">
        <f>IF($K500="","",TRIM(INDEX('Detalle individual'!$C:$C,$K500)))</f>
        <v/>
      </c>
      <c r="G500" s="72" t="str">
        <f>IF($K500="","",INDEX('Detalle individual'!$D:$D,$K500))</f>
        <v/>
      </c>
      <c r="H500" s="13" t="str">
        <f>IF($K500="","",INDEX('Detalle individual'!$F:$F,$K500))</f>
        <v/>
      </c>
      <c r="I500" s="20" t="str">
        <f>IF($K500="","",IF(INDEX('Detalle individual'!$F:$F,$K500)="Completado",INDEX('Detalle individual'!$H:$H,$K500),""))</f>
        <v/>
      </c>
      <c r="J500" s="21" t="str">
        <f>IF($K500="","",IF(INDEX('Detalle individual'!$F:$F,$K500)="Completado",INDEX('Detalle individual'!$J:$J,$K500),""))</f>
        <v/>
      </c>
      <c r="K500" t="str">
        <f>IFERROR(MOD(SMALL(Cálculos!$Z$5:$Z$1000,492),10000),"")</f>
        <v/>
      </c>
    </row>
    <row r="501">
      <c r="B501" s="13" t="str">
        <f>IF($K501="","",493)</f>
        <v/>
      </c>
      <c r="C501" s="13" t="str">
        <f>IF($K501="","",INDEX('Detalle individual'!$A:$A,$K501))</f>
        <v/>
      </c>
      <c r="D501" s="72" t="str">
        <f>IF($K501="","",TRIM(INDEX('Detalle individual'!$B:$B,$K501)))</f>
        <v/>
      </c>
      <c r="E501" s="72" t="str">
        <f>IF($K501="","",TRIM(INDEX('Detalle individual'!$E:$E,$K501)))</f>
        <v/>
      </c>
      <c r="F501" s="72" t="str">
        <f>IF($K501="","",TRIM(INDEX('Detalle individual'!$C:$C,$K501)))</f>
        <v/>
      </c>
      <c r="G501" s="72" t="str">
        <f>IF($K501="","",INDEX('Detalle individual'!$D:$D,$K501))</f>
        <v/>
      </c>
      <c r="H501" s="13" t="str">
        <f>IF($K501="","",INDEX('Detalle individual'!$F:$F,$K501))</f>
        <v/>
      </c>
      <c r="I501" s="20" t="str">
        <f>IF($K501="","",IF(INDEX('Detalle individual'!$F:$F,$K501)="Completado",INDEX('Detalle individual'!$H:$H,$K501),""))</f>
        <v/>
      </c>
      <c r="J501" s="21" t="str">
        <f>IF($K501="","",IF(INDEX('Detalle individual'!$F:$F,$K501)="Completado",INDEX('Detalle individual'!$J:$J,$K501),""))</f>
        <v/>
      </c>
      <c r="K501" t="str">
        <f>IFERROR(MOD(SMALL(Cálculos!$Z$5:$Z$1000,493),10000),"")</f>
        <v/>
      </c>
    </row>
    <row r="502">
      <c r="B502" s="13" t="str">
        <f>IF($K502="","",494)</f>
        <v/>
      </c>
      <c r="C502" s="13" t="str">
        <f>IF($K502="","",INDEX('Detalle individual'!$A:$A,$K502))</f>
        <v/>
      </c>
      <c r="D502" s="72" t="str">
        <f>IF($K502="","",TRIM(INDEX('Detalle individual'!$B:$B,$K502)))</f>
        <v/>
      </c>
      <c r="E502" s="72" t="str">
        <f>IF($K502="","",TRIM(INDEX('Detalle individual'!$E:$E,$K502)))</f>
        <v/>
      </c>
      <c r="F502" s="72" t="str">
        <f>IF($K502="","",TRIM(INDEX('Detalle individual'!$C:$C,$K502)))</f>
        <v/>
      </c>
      <c r="G502" s="72" t="str">
        <f>IF($K502="","",INDEX('Detalle individual'!$D:$D,$K502))</f>
        <v/>
      </c>
      <c r="H502" s="13" t="str">
        <f>IF($K502="","",INDEX('Detalle individual'!$F:$F,$K502))</f>
        <v/>
      </c>
      <c r="I502" s="20" t="str">
        <f>IF($K502="","",IF(INDEX('Detalle individual'!$F:$F,$K502)="Completado",INDEX('Detalle individual'!$H:$H,$K502),""))</f>
        <v/>
      </c>
      <c r="J502" s="21" t="str">
        <f>IF($K502="","",IF(INDEX('Detalle individual'!$F:$F,$K502)="Completado",INDEX('Detalle individual'!$J:$J,$K502),""))</f>
        <v/>
      </c>
      <c r="K502" t="str">
        <f>IFERROR(MOD(SMALL(Cálculos!$Z$5:$Z$1000,494),10000),"")</f>
        <v/>
      </c>
    </row>
    <row r="503">
      <c r="B503" s="13" t="str">
        <f>IF($K503="","",495)</f>
        <v/>
      </c>
      <c r="C503" s="13" t="str">
        <f>IF($K503="","",INDEX('Detalle individual'!$A:$A,$K503))</f>
        <v/>
      </c>
      <c r="D503" s="72" t="str">
        <f>IF($K503="","",TRIM(INDEX('Detalle individual'!$B:$B,$K503)))</f>
        <v/>
      </c>
      <c r="E503" s="72" t="str">
        <f>IF($K503="","",TRIM(INDEX('Detalle individual'!$E:$E,$K503)))</f>
        <v/>
      </c>
      <c r="F503" s="72" t="str">
        <f>IF($K503="","",TRIM(INDEX('Detalle individual'!$C:$C,$K503)))</f>
        <v/>
      </c>
      <c r="G503" s="72" t="str">
        <f>IF($K503="","",INDEX('Detalle individual'!$D:$D,$K503))</f>
        <v/>
      </c>
      <c r="H503" s="13" t="str">
        <f>IF($K503="","",INDEX('Detalle individual'!$F:$F,$K503))</f>
        <v/>
      </c>
      <c r="I503" s="20" t="str">
        <f>IF($K503="","",IF(INDEX('Detalle individual'!$F:$F,$K503)="Completado",INDEX('Detalle individual'!$H:$H,$K503),""))</f>
        <v/>
      </c>
      <c r="J503" s="21" t="str">
        <f>IF($K503="","",IF(INDEX('Detalle individual'!$F:$F,$K503)="Completado",INDEX('Detalle individual'!$J:$J,$K503),""))</f>
        <v/>
      </c>
      <c r="K503" t="str">
        <f>IFERROR(MOD(SMALL(Cálculos!$Z$5:$Z$1000,495),10000),"")</f>
        <v/>
      </c>
    </row>
    <row r="504">
      <c r="B504" s="13" t="str">
        <f>IF($K504="","",496)</f>
        <v/>
      </c>
      <c r="C504" s="13" t="str">
        <f>IF($K504="","",INDEX('Detalle individual'!$A:$A,$K504))</f>
        <v/>
      </c>
      <c r="D504" s="72" t="str">
        <f>IF($K504="","",TRIM(INDEX('Detalle individual'!$B:$B,$K504)))</f>
        <v/>
      </c>
      <c r="E504" s="72" t="str">
        <f>IF($K504="","",TRIM(INDEX('Detalle individual'!$E:$E,$K504)))</f>
        <v/>
      </c>
      <c r="F504" s="72" t="str">
        <f>IF($K504="","",TRIM(INDEX('Detalle individual'!$C:$C,$K504)))</f>
        <v/>
      </c>
      <c r="G504" s="72" t="str">
        <f>IF($K504="","",INDEX('Detalle individual'!$D:$D,$K504))</f>
        <v/>
      </c>
      <c r="H504" s="13" t="str">
        <f>IF($K504="","",INDEX('Detalle individual'!$F:$F,$K504))</f>
        <v/>
      </c>
      <c r="I504" s="20" t="str">
        <f>IF($K504="","",IF(INDEX('Detalle individual'!$F:$F,$K504)="Completado",INDEX('Detalle individual'!$H:$H,$K504),""))</f>
        <v/>
      </c>
      <c r="J504" s="21" t="str">
        <f>IF($K504="","",IF(INDEX('Detalle individual'!$F:$F,$K504)="Completado",INDEX('Detalle individual'!$J:$J,$K504),""))</f>
        <v/>
      </c>
      <c r="K504" t="str">
        <f>IFERROR(MOD(SMALL(Cálculos!$Z$5:$Z$1000,496),10000),"")</f>
        <v/>
      </c>
    </row>
    <row r="505">
      <c r="B505" s="13" t="str">
        <f>IF($K505="","",497)</f>
        <v/>
      </c>
      <c r="C505" s="13" t="str">
        <f>IF($K505="","",INDEX('Detalle individual'!$A:$A,$K505))</f>
        <v/>
      </c>
      <c r="D505" s="72" t="str">
        <f>IF($K505="","",TRIM(INDEX('Detalle individual'!$B:$B,$K505)))</f>
        <v/>
      </c>
      <c r="E505" s="72" t="str">
        <f>IF($K505="","",TRIM(INDEX('Detalle individual'!$E:$E,$K505)))</f>
        <v/>
      </c>
      <c r="F505" s="72" t="str">
        <f>IF($K505="","",TRIM(INDEX('Detalle individual'!$C:$C,$K505)))</f>
        <v/>
      </c>
      <c r="G505" s="72" t="str">
        <f>IF($K505="","",INDEX('Detalle individual'!$D:$D,$K505))</f>
        <v/>
      </c>
      <c r="H505" s="13" t="str">
        <f>IF($K505="","",INDEX('Detalle individual'!$F:$F,$K505))</f>
        <v/>
      </c>
      <c r="I505" s="20" t="str">
        <f>IF($K505="","",IF(INDEX('Detalle individual'!$F:$F,$K505)="Completado",INDEX('Detalle individual'!$H:$H,$K505),""))</f>
        <v/>
      </c>
      <c r="J505" s="21" t="str">
        <f>IF($K505="","",IF(INDEX('Detalle individual'!$F:$F,$K505)="Completado",INDEX('Detalle individual'!$J:$J,$K505),""))</f>
        <v/>
      </c>
      <c r="K505" t="str">
        <f>IFERROR(MOD(SMALL(Cálculos!$Z$5:$Z$1000,497),10000),"")</f>
        <v/>
      </c>
    </row>
    <row r="506">
      <c r="B506" s="13" t="str">
        <f>IF($K506="","",498)</f>
        <v/>
      </c>
      <c r="C506" s="13" t="str">
        <f>IF($K506="","",INDEX('Detalle individual'!$A:$A,$K506))</f>
        <v/>
      </c>
      <c r="D506" s="72" t="str">
        <f>IF($K506="","",TRIM(INDEX('Detalle individual'!$B:$B,$K506)))</f>
        <v/>
      </c>
      <c r="E506" s="72" t="str">
        <f>IF($K506="","",TRIM(INDEX('Detalle individual'!$E:$E,$K506)))</f>
        <v/>
      </c>
      <c r="F506" s="72" t="str">
        <f>IF($K506="","",TRIM(INDEX('Detalle individual'!$C:$C,$K506)))</f>
        <v/>
      </c>
      <c r="G506" s="72" t="str">
        <f>IF($K506="","",INDEX('Detalle individual'!$D:$D,$K506))</f>
        <v/>
      </c>
      <c r="H506" s="13" t="str">
        <f>IF($K506="","",INDEX('Detalle individual'!$F:$F,$K506))</f>
        <v/>
      </c>
      <c r="I506" s="20" t="str">
        <f>IF($K506="","",IF(INDEX('Detalle individual'!$F:$F,$K506)="Completado",INDEX('Detalle individual'!$H:$H,$K506),""))</f>
        <v/>
      </c>
      <c r="J506" s="21" t="str">
        <f>IF($K506="","",IF(INDEX('Detalle individual'!$F:$F,$K506)="Completado",INDEX('Detalle individual'!$J:$J,$K506),""))</f>
        <v/>
      </c>
      <c r="K506" t="str">
        <f>IFERROR(MOD(SMALL(Cálculos!$Z$5:$Z$1000,498),10000),"")</f>
        <v/>
      </c>
    </row>
    <row r="507">
      <c r="B507" s="13" t="str">
        <f>IF($K507="","",499)</f>
        <v/>
      </c>
      <c r="C507" s="13" t="str">
        <f>IF($K507="","",INDEX('Detalle individual'!$A:$A,$K507))</f>
        <v/>
      </c>
      <c r="D507" s="72" t="str">
        <f>IF($K507="","",TRIM(INDEX('Detalle individual'!$B:$B,$K507)))</f>
        <v/>
      </c>
      <c r="E507" s="72" t="str">
        <f>IF($K507="","",TRIM(INDEX('Detalle individual'!$E:$E,$K507)))</f>
        <v/>
      </c>
      <c r="F507" s="72" t="str">
        <f>IF($K507="","",TRIM(INDEX('Detalle individual'!$C:$C,$K507)))</f>
        <v/>
      </c>
      <c r="G507" s="72" t="str">
        <f>IF($K507="","",INDEX('Detalle individual'!$D:$D,$K507))</f>
        <v/>
      </c>
      <c r="H507" s="13" t="str">
        <f>IF($K507="","",INDEX('Detalle individual'!$F:$F,$K507))</f>
        <v/>
      </c>
      <c r="I507" s="20" t="str">
        <f>IF($K507="","",IF(INDEX('Detalle individual'!$F:$F,$K507)="Completado",INDEX('Detalle individual'!$H:$H,$K507),""))</f>
        <v/>
      </c>
      <c r="J507" s="21" t="str">
        <f>IF($K507="","",IF(INDEX('Detalle individual'!$F:$F,$K507)="Completado",INDEX('Detalle individual'!$J:$J,$K507),""))</f>
        <v/>
      </c>
      <c r="K507" t="str">
        <f>IFERROR(MOD(SMALL(Cálculos!$Z$5:$Z$1000,499),10000),"")</f>
        <v/>
      </c>
    </row>
    <row r="508">
      <c r="B508" s="13" t="str">
        <f>IF($K508="","",500)</f>
        <v/>
      </c>
      <c r="C508" s="13" t="str">
        <f>IF($K508="","",INDEX('Detalle individual'!$A:$A,$K508))</f>
        <v/>
      </c>
      <c r="D508" s="72" t="str">
        <f>IF($K508="","",TRIM(INDEX('Detalle individual'!$B:$B,$K508)))</f>
        <v/>
      </c>
      <c r="E508" s="72" t="str">
        <f>IF($K508="","",TRIM(INDEX('Detalle individual'!$E:$E,$K508)))</f>
        <v/>
      </c>
      <c r="F508" s="72" t="str">
        <f>IF($K508="","",TRIM(INDEX('Detalle individual'!$C:$C,$K508)))</f>
        <v/>
      </c>
      <c r="G508" s="72" t="str">
        <f>IF($K508="","",INDEX('Detalle individual'!$D:$D,$K508))</f>
        <v/>
      </c>
      <c r="H508" s="13" t="str">
        <f>IF($K508="","",INDEX('Detalle individual'!$F:$F,$K508))</f>
        <v/>
      </c>
      <c r="I508" s="20" t="str">
        <f>IF($K508="","",IF(INDEX('Detalle individual'!$F:$F,$K508)="Completado",INDEX('Detalle individual'!$H:$H,$K508),""))</f>
        <v/>
      </c>
      <c r="J508" s="21" t="str">
        <f>IF($K508="","",IF(INDEX('Detalle individual'!$F:$F,$K508)="Completado",INDEX('Detalle individual'!$J:$J,$K508),""))</f>
        <v/>
      </c>
      <c r="K508" t="str">
        <f>IFERROR(MOD(SMALL(Cálculos!$Z$5:$Z$1000,500),10000),"")</f>
        <v/>
      </c>
    </row>
    <row r="509">
      <c r="B509" s="13" t="str">
        <f>IF($K509="","",501)</f>
        <v/>
      </c>
      <c r="C509" s="13" t="str">
        <f>IF($K509="","",INDEX('Detalle individual'!$A:$A,$K509))</f>
        <v/>
      </c>
      <c r="D509" s="72" t="str">
        <f>IF($K509="","",TRIM(INDEX('Detalle individual'!$B:$B,$K509)))</f>
        <v/>
      </c>
      <c r="E509" s="72" t="str">
        <f>IF($K509="","",TRIM(INDEX('Detalle individual'!$E:$E,$K509)))</f>
        <v/>
      </c>
      <c r="F509" s="72" t="str">
        <f>IF($K509="","",TRIM(INDEX('Detalle individual'!$C:$C,$K509)))</f>
        <v/>
      </c>
      <c r="G509" s="72" t="str">
        <f>IF($K509="","",INDEX('Detalle individual'!$D:$D,$K509))</f>
        <v/>
      </c>
      <c r="H509" s="13" t="str">
        <f>IF($K509="","",INDEX('Detalle individual'!$F:$F,$K509))</f>
        <v/>
      </c>
      <c r="I509" s="20" t="str">
        <f>IF($K509="","",IF(INDEX('Detalle individual'!$F:$F,$K509)="Completado",INDEX('Detalle individual'!$H:$H,$K509),""))</f>
        <v/>
      </c>
      <c r="J509" s="21" t="str">
        <f>IF($K509="","",IF(INDEX('Detalle individual'!$F:$F,$K509)="Completado",INDEX('Detalle individual'!$J:$J,$K509),""))</f>
        <v/>
      </c>
      <c r="K509" t="str">
        <f>IFERROR(MOD(SMALL(Cálculos!$Z$5:$Z$1000,501),10000),"")</f>
        <v/>
      </c>
    </row>
    <row r="510">
      <c r="B510" s="13" t="str">
        <f>IF($K510="","",502)</f>
        <v/>
      </c>
      <c r="C510" s="13" t="str">
        <f>IF($K510="","",INDEX('Detalle individual'!$A:$A,$K510))</f>
        <v/>
      </c>
      <c r="D510" s="72" t="str">
        <f>IF($K510="","",TRIM(INDEX('Detalle individual'!$B:$B,$K510)))</f>
        <v/>
      </c>
      <c r="E510" s="72" t="str">
        <f>IF($K510="","",TRIM(INDEX('Detalle individual'!$E:$E,$K510)))</f>
        <v/>
      </c>
      <c r="F510" s="72" t="str">
        <f>IF($K510="","",TRIM(INDEX('Detalle individual'!$C:$C,$K510)))</f>
        <v/>
      </c>
      <c r="G510" s="72" t="str">
        <f>IF($K510="","",INDEX('Detalle individual'!$D:$D,$K510))</f>
        <v/>
      </c>
      <c r="H510" s="13" t="str">
        <f>IF($K510="","",INDEX('Detalle individual'!$F:$F,$K510))</f>
        <v/>
      </c>
      <c r="I510" s="20" t="str">
        <f>IF($K510="","",IF(INDEX('Detalle individual'!$F:$F,$K510)="Completado",INDEX('Detalle individual'!$H:$H,$K510),""))</f>
        <v/>
      </c>
      <c r="J510" s="21" t="str">
        <f>IF($K510="","",IF(INDEX('Detalle individual'!$F:$F,$K510)="Completado",INDEX('Detalle individual'!$J:$J,$K510),""))</f>
        <v/>
      </c>
      <c r="K510" t="str">
        <f>IFERROR(MOD(SMALL(Cálculos!$Z$5:$Z$1000,502),10000),"")</f>
        <v/>
      </c>
    </row>
    <row r="511">
      <c r="B511" s="13" t="str">
        <f>IF($K511="","",503)</f>
        <v/>
      </c>
      <c r="C511" s="13" t="str">
        <f>IF($K511="","",INDEX('Detalle individual'!$A:$A,$K511))</f>
        <v/>
      </c>
      <c r="D511" s="72" t="str">
        <f>IF($K511="","",TRIM(INDEX('Detalle individual'!$B:$B,$K511)))</f>
        <v/>
      </c>
      <c r="E511" s="72" t="str">
        <f>IF($K511="","",TRIM(INDEX('Detalle individual'!$E:$E,$K511)))</f>
        <v/>
      </c>
      <c r="F511" s="72" t="str">
        <f>IF($K511="","",TRIM(INDEX('Detalle individual'!$C:$C,$K511)))</f>
        <v/>
      </c>
      <c r="G511" s="72" t="str">
        <f>IF($K511="","",INDEX('Detalle individual'!$D:$D,$K511))</f>
        <v/>
      </c>
      <c r="H511" s="13" t="str">
        <f>IF($K511="","",INDEX('Detalle individual'!$F:$F,$K511))</f>
        <v/>
      </c>
      <c r="I511" s="20" t="str">
        <f>IF($K511="","",IF(INDEX('Detalle individual'!$F:$F,$K511)="Completado",INDEX('Detalle individual'!$H:$H,$K511),""))</f>
        <v/>
      </c>
      <c r="J511" s="21" t="str">
        <f>IF($K511="","",IF(INDEX('Detalle individual'!$F:$F,$K511)="Completado",INDEX('Detalle individual'!$J:$J,$K511),""))</f>
        <v/>
      </c>
      <c r="K511" t="str">
        <f>IFERROR(MOD(SMALL(Cálculos!$Z$5:$Z$1000,503),10000),"")</f>
        <v/>
      </c>
    </row>
    <row r="512">
      <c r="B512" s="13" t="str">
        <f>IF($K512="","",504)</f>
        <v/>
      </c>
      <c r="C512" s="13" t="str">
        <f>IF($K512="","",INDEX('Detalle individual'!$A:$A,$K512))</f>
        <v/>
      </c>
      <c r="D512" s="72" t="str">
        <f>IF($K512="","",TRIM(INDEX('Detalle individual'!$B:$B,$K512)))</f>
        <v/>
      </c>
      <c r="E512" s="72" t="str">
        <f>IF($K512="","",TRIM(INDEX('Detalle individual'!$E:$E,$K512)))</f>
        <v/>
      </c>
      <c r="F512" s="72" t="str">
        <f>IF($K512="","",TRIM(INDEX('Detalle individual'!$C:$C,$K512)))</f>
        <v/>
      </c>
      <c r="G512" s="72" t="str">
        <f>IF($K512="","",INDEX('Detalle individual'!$D:$D,$K512))</f>
        <v/>
      </c>
      <c r="H512" s="13" t="str">
        <f>IF($K512="","",INDEX('Detalle individual'!$F:$F,$K512))</f>
        <v/>
      </c>
      <c r="I512" s="20" t="str">
        <f>IF($K512="","",IF(INDEX('Detalle individual'!$F:$F,$K512)="Completado",INDEX('Detalle individual'!$H:$H,$K512),""))</f>
        <v/>
      </c>
      <c r="J512" s="21" t="str">
        <f>IF($K512="","",IF(INDEX('Detalle individual'!$F:$F,$K512)="Completado",INDEX('Detalle individual'!$J:$J,$K512),""))</f>
        <v/>
      </c>
      <c r="K512" t="str">
        <f>IFERROR(MOD(SMALL(Cálculos!$Z$5:$Z$1000,504),10000),"")</f>
        <v/>
      </c>
    </row>
    <row r="513">
      <c r="B513" s="13" t="str">
        <f>IF($K513="","",505)</f>
        <v/>
      </c>
      <c r="C513" s="13" t="str">
        <f>IF($K513="","",INDEX('Detalle individual'!$A:$A,$K513))</f>
        <v/>
      </c>
      <c r="D513" s="72" t="str">
        <f>IF($K513="","",TRIM(INDEX('Detalle individual'!$B:$B,$K513)))</f>
        <v/>
      </c>
      <c r="E513" s="72" t="str">
        <f>IF($K513="","",TRIM(INDEX('Detalle individual'!$E:$E,$K513)))</f>
        <v/>
      </c>
      <c r="F513" s="72" t="str">
        <f>IF($K513="","",TRIM(INDEX('Detalle individual'!$C:$C,$K513)))</f>
        <v/>
      </c>
      <c r="G513" s="72" t="str">
        <f>IF($K513="","",INDEX('Detalle individual'!$D:$D,$K513))</f>
        <v/>
      </c>
      <c r="H513" s="13" t="str">
        <f>IF($K513="","",INDEX('Detalle individual'!$F:$F,$K513))</f>
        <v/>
      </c>
      <c r="I513" s="20" t="str">
        <f>IF($K513="","",IF(INDEX('Detalle individual'!$F:$F,$K513)="Completado",INDEX('Detalle individual'!$H:$H,$K513),""))</f>
        <v/>
      </c>
      <c r="J513" s="21" t="str">
        <f>IF($K513="","",IF(INDEX('Detalle individual'!$F:$F,$K513)="Completado",INDEX('Detalle individual'!$J:$J,$K513),""))</f>
        <v/>
      </c>
      <c r="K513" t="str">
        <f>IFERROR(MOD(SMALL(Cálculos!$Z$5:$Z$1000,505),10000),"")</f>
        <v/>
      </c>
    </row>
    <row r="514">
      <c r="B514" s="13" t="str">
        <f>IF($K514="","",506)</f>
        <v/>
      </c>
      <c r="C514" s="13" t="str">
        <f>IF($K514="","",INDEX('Detalle individual'!$A:$A,$K514))</f>
        <v/>
      </c>
      <c r="D514" s="72" t="str">
        <f>IF($K514="","",TRIM(INDEX('Detalle individual'!$B:$B,$K514)))</f>
        <v/>
      </c>
      <c r="E514" s="72" t="str">
        <f>IF($K514="","",TRIM(INDEX('Detalle individual'!$E:$E,$K514)))</f>
        <v/>
      </c>
      <c r="F514" s="72" t="str">
        <f>IF($K514="","",TRIM(INDEX('Detalle individual'!$C:$C,$K514)))</f>
        <v/>
      </c>
      <c r="G514" s="72" t="str">
        <f>IF($K514="","",INDEX('Detalle individual'!$D:$D,$K514))</f>
        <v/>
      </c>
      <c r="H514" s="13" t="str">
        <f>IF($K514="","",INDEX('Detalle individual'!$F:$F,$K514))</f>
        <v/>
      </c>
      <c r="I514" s="20" t="str">
        <f>IF($K514="","",IF(INDEX('Detalle individual'!$F:$F,$K514)="Completado",INDEX('Detalle individual'!$H:$H,$K514),""))</f>
        <v/>
      </c>
      <c r="J514" s="21" t="str">
        <f>IF($K514="","",IF(INDEX('Detalle individual'!$F:$F,$K514)="Completado",INDEX('Detalle individual'!$J:$J,$K514),""))</f>
        <v/>
      </c>
      <c r="K514" t="str">
        <f>IFERROR(MOD(SMALL(Cálculos!$Z$5:$Z$1000,506),10000),"")</f>
        <v/>
      </c>
    </row>
    <row r="515">
      <c r="B515" s="13" t="str">
        <f>IF($K515="","",507)</f>
        <v/>
      </c>
      <c r="C515" s="13" t="str">
        <f>IF($K515="","",INDEX('Detalle individual'!$A:$A,$K515))</f>
        <v/>
      </c>
      <c r="D515" s="72" t="str">
        <f>IF($K515="","",TRIM(INDEX('Detalle individual'!$B:$B,$K515)))</f>
        <v/>
      </c>
      <c r="E515" s="72" t="str">
        <f>IF($K515="","",TRIM(INDEX('Detalle individual'!$E:$E,$K515)))</f>
        <v/>
      </c>
      <c r="F515" s="72" t="str">
        <f>IF($K515="","",TRIM(INDEX('Detalle individual'!$C:$C,$K515)))</f>
        <v/>
      </c>
      <c r="G515" s="72" t="str">
        <f>IF($K515="","",INDEX('Detalle individual'!$D:$D,$K515))</f>
        <v/>
      </c>
      <c r="H515" s="13" t="str">
        <f>IF($K515="","",INDEX('Detalle individual'!$F:$F,$K515))</f>
        <v/>
      </c>
      <c r="I515" s="20" t="str">
        <f>IF($K515="","",IF(INDEX('Detalle individual'!$F:$F,$K515)="Completado",INDEX('Detalle individual'!$H:$H,$K515),""))</f>
        <v/>
      </c>
      <c r="J515" s="21" t="str">
        <f>IF($K515="","",IF(INDEX('Detalle individual'!$F:$F,$K515)="Completado",INDEX('Detalle individual'!$J:$J,$K515),""))</f>
        <v/>
      </c>
      <c r="K515" t="str">
        <f>IFERROR(MOD(SMALL(Cálculos!$Z$5:$Z$1000,507),10000),"")</f>
        <v/>
      </c>
    </row>
    <row r="516">
      <c r="B516" s="13" t="str">
        <f>IF($K516="","",508)</f>
        <v/>
      </c>
      <c r="C516" s="13" t="str">
        <f>IF($K516="","",INDEX('Detalle individual'!$A:$A,$K516))</f>
        <v/>
      </c>
      <c r="D516" s="72" t="str">
        <f>IF($K516="","",TRIM(INDEX('Detalle individual'!$B:$B,$K516)))</f>
        <v/>
      </c>
      <c r="E516" s="72" t="str">
        <f>IF($K516="","",TRIM(INDEX('Detalle individual'!$E:$E,$K516)))</f>
        <v/>
      </c>
      <c r="F516" s="72" t="str">
        <f>IF($K516="","",TRIM(INDEX('Detalle individual'!$C:$C,$K516)))</f>
        <v/>
      </c>
      <c r="G516" s="72" t="str">
        <f>IF($K516="","",INDEX('Detalle individual'!$D:$D,$K516))</f>
        <v/>
      </c>
      <c r="H516" s="13" t="str">
        <f>IF($K516="","",INDEX('Detalle individual'!$F:$F,$K516))</f>
        <v/>
      </c>
      <c r="I516" s="20" t="str">
        <f>IF($K516="","",IF(INDEX('Detalle individual'!$F:$F,$K516)="Completado",INDEX('Detalle individual'!$H:$H,$K516),""))</f>
        <v/>
      </c>
      <c r="J516" s="21" t="str">
        <f>IF($K516="","",IF(INDEX('Detalle individual'!$F:$F,$K516)="Completado",INDEX('Detalle individual'!$J:$J,$K516),""))</f>
        <v/>
      </c>
      <c r="K516" t="str">
        <f>IFERROR(MOD(SMALL(Cálculos!$Z$5:$Z$1000,508),10000),"")</f>
        <v/>
      </c>
    </row>
    <row r="517">
      <c r="B517" s="13" t="str">
        <f>IF($K517="","",509)</f>
        <v/>
      </c>
      <c r="C517" s="13" t="str">
        <f>IF($K517="","",INDEX('Detalle individual'!$A:$A,$K517))</f>
        <v/>
      </c>
      <c r="D517" s="72" t="str">
        <f>IF($K517="","",TRIM(INDEX('Detalle individual'!$B:$B,$K517)))</f>
        <v/>
      </c>
      <c r="E517" s="72" t="str">
        <f>IF($K517="","",TRIM(INDEX('Detalle individual'!$E:$E,$K517)))</f>
        <v/>
      </c>
      <c r="F517" s="72" t="str">
        <f>IF($K517="","",TRIM(INDEX('Detalle individual'!$C:$C,$K517)))</f>
        <v/>
      </c>
      <c r="G517" s="72" t="str">
        <f>IF($K517="","",INDEX('Detalle individual'!$D:$D,$K517))</f>
        <v/>
      </c>
      <c r="H517" s="13" t="str">
        <f>IF($K517="","",INDEX('Detalle individual'!$F:$F,$K517))</f>
        <v/>
      </c>
      <c r="I517" s="20" t="str">
        <f>IF($K517="","",IF(INDEX('Detalle individual'!$F:$F,$K517)="Completado",INDEX('Detalle individual'!$H:$H,$K517),""))</f>
        <v/>
      </c>
      <c r="J517" s="21" t="str">
        <f>IF($K517="","",IF(INDEX('Detalle individual'!$F:$F,$K517)="Completado",INDEX('Detalle individual'!$J:$J,$K517),""))</f>
        <v/>
      </c>
      <c r="K517" t="str">
        <f>IFERROR(MOD(SMALL(Cálculos!$Z$5:$Z$1000,509),10000),"")</f>
        <v/>
      </c>
    </row>
    <row r="518">
      <c r="B518" s="13" t="str">
        <f>IF($K518="","",510)</f>
        <v/>
      </c>
      <c r="C518" s="13" t="str">
        <f>IF($K518="","",INDEX('Detalle individual'!$A:$A,$K518))</f>
        <v/>
      </c>
      <c r="D518" s="72" t="str">
        <f>IF($K518="","",TRIM(INDEX('Detalle individual'!$B:$B,$K518)))</f>
        <v/>
      </c>
      <c r="E518" s="72" t="str">
        <f>IF($K518="","",TRIM(INDEX('Detalle individual'!$E:$E,$K518)))</f>
        <v/>
      </c>
      <c r="F518" s="72" t="str">
        <f>IF($K518="","",TRIM(INDEX('Detalle individual'!$C:$C,$K518)))</f>
        <v/>
      </c>
      <c r="G518" s="72" t="str">
        <f>IF($K518="","",INDEX('Detalle individual'!$D:$D,$K518))</f>
        <v/>
      </c>
      <c r="H518" s="13" t="str">
        <f>IF($K518="","",INDEX('Detalle individual'!$F:$F,$K518))</f>
        <v/>
      </c>
      <c r="I518" s="20" t="str">
        <f>IF($K518="","",IF(INDEX('Detalle individual'!$F:$F,$K518)="Completado",INDEX('Detalle individual'!$H:$H,$K518),""))</f>
        <v/>
      </c>
      <c r="J518" s="21" t="str">
        <f>IF($K518="","",IF(INDEX('Detalle individual'!$F:$F,$K518)="Completado",INDEX('Detalle individual'!$J:$J,$K518),""))</f>
        <v/>
      </c>
      <c r="K518" t="str">
        <f>IFERROR(MOD(SMALL(Cálculos!$Z$5:$Z$1000,510),10000),"")</f>
        <v/>
      </c>
    </row>
    <row r="519">
      <c r="B519" s="13" t="str">
        <f>IF($K519="","",511)</f>
        <v/>
      </c>
      <c r="C519" s="13" t="str">
        <f>IF($K519="","",INDEX('Detalle individual'!$A:$A,$K519))</f>
        <v/>
      </c>
      <c r="D519" s="72" t="str">
        <f>IF($K519="","",TRIM(INDEX('Detalle individual'!$B:$B,$K519)))</f>
        <v/>
      </c>
      <c r="E519" s="72" t="str">
        <f>IF($K519="","",TRIM(INDEX('Detalle individual'!$E:$E,$K519)))</f>
        <v/>
      </c>
      <c r="F519" s="72" t="str">
        <f>IF($K519="","",TRIM(INDEX('Detalle individual'!$C:$C,$K519)))</f>
        <v/>
      </c>
      <c r="G519" s="72" t="str">
        <f>IF($K519="","",INDEX('Detalle individual'!$D:$D,$K519))</f>
        <v/>
      </c>
      <c r="H519" s="13" t="str">
        <f>IF($K519="","",INDEX('Detalle individual'!$F:$F,$K519))</f>
        <v/>
      </c>
      <c r="I519" s="20" t="str">
        <f>IF($K519="","",IF(INDEX('Detalle individual'!$F:$F,$K519)="Completado",INDEX('Detalle individual'!$H:$H,$K519),""))</f>
        <v/>
      </c>
      <c r="J519" s="21" t="str">
        <f>IF($K519="","",IF(INDEX('Detalle individual'!$F:$F,$K519)="Completado",INDEX('Detalle individual'!$J:$J,$K519),""))</f>
        <v/>
      </c>
      <c r="K519" t="str">
        <f>IFERROR(MOD(SMALL(Cálculos!$Z$5:$Z$1000,511),10000),"")</f>
        <v/>
      </c>
    </row>
    <row r="520">
      <c r="B520" s="13" t="str">
        <f>IF($K520="","",512)</f>
        <v/>
      </c>
      <c r="C520" s="13" t="str">
        <f>IF($K520="","",INDEX('Detalle individual'!$A:$A,$K520))</f>
        <v/>
      </c>
      <c r="D520" s="72" t="str">
        <f>IF($K520="","",TRIM(INDEX('Detalle individual'!$B:$B,$K520)))</f>
        <v/>
      </c>
      <c r="E520" s="72" t="str">
        <f>IF($K520="","",TRIM(INDEX('Detalle individual'!$E:$E,$K520)))</f>
        <v/>
      </c>
      <c r="F520" s="72" t="str">
        <f>IF($K520="","",TRIM(INDEX('Detalle individual'!$C:$C,$K520)))</f>
        <v/>
      </c>
      <c r="G520" s="72" t="str">
        <f>IF($K520="","",INDEX('Detalle individual'!$D:$D,$K520))</f>
        <v/>
      </c>
      <c r="H520" s="13" t="str">
        <f>IF($K520="","",INDEX('Detalle individual'!$F:$F,$K520))</f>
        <v/>
      </c>
      <c r="I520" s="20" t="str">
        <f>IF($K520="","",IF(INDEX('Detalle individual'!$F:$F,$K520)="Completado",INDEX('Detalle individual'!$H:$H,$K520),""))</f>
        <v/>
      </c>
      <c r="J520" s="21" t="str">
        <f>IF($K520="","",IF(INDEX('Detalle individual'!$F:$F,$K520)="Completado",INDEX('Detalle individual'!$J:$J,$K520),""))</f>
        <v/>
      </c>
      <c r="K520" t="str">
        <f>IFERROR(MOD(SMALL(Cálculos!$Z$5:$Z$1000,512),10000),"")</f>
        <v/>
      </c>
    </row>
    <row r="521">
      <c r="B521" s="13" t="str">
        <f>IF($K521="","",513)</f>
        <v/>
      </c>
      <c r="C521" s="13" t="str">
        <f>IF($K521="","",INDEX('Detalle individual'!$A:$A,$K521))</f>
        <v/>
      </c>
      <c r="D521" s="72" t="str">
        <f>IF($K521="","",TRIM(INDEX('Detalle individual'!$B:$B,$K521)))</f>
        <v/>
      </c>
      <c r="E521" s="72" t="str">
        <f>IF($K521="","",TRIM(INDEX('Detalle individual'!$E:$E,$K521)))</f>
        <v/>
      </c>
      <c r="F521" s="72" t="str">
        <f>IF($K521="","",TRIM(INDEX('Detalle individual'!$C:$C,$K521)))</f>
        <v/>
      </c>
      <c r="G521" s="72" t="str">
        <f>IF($K521="","",INDEX('Detalle individual'!$D:$D,$K521))</f>
        <v/>
      </c>
      <c r="H521" s="13" t="str">
        <f>IF($K521="","",INDEX('Detalle individual'!$F:$F,$K521))</f>
        <v/>
      </c>
      <c r="I521" s="20" t="str">
        <f>IF($K521="","",IF(INDEX('Detalle individual'!$F:$F,$K521)="Completado",INDEX('Detalle individual'!$H:$H,$K521),""))</f>
        <v/>
      </c>
      <c r="J521" s="21" t="str">
        <f>IF($K521="","",IF(INDEX('Detalle individual'!$F:$F,$K521)="Completado",INDEX('Detalle individual'!$J:$J,$K521),""))</f>
        <v/>
      </c>
      <c r="K521" t="str">
        <f>IFERROR(MOD(SMALL(Cálculos!$Z$5:$Z$1000,513),10000),"")</f>
        <v/>
      </c>
    </row>
    <row r="522">
      <c r="B522" s="13" t="str">
        <f>IF($K522="","",514)</f>
        <v/>
      </c>
      <c r="C522" s="13" t="str">
        <f>IF($K522="","",INDEX('Detalle individual'!$A:$A,$K522))</f>
        <v/>
      </c>
      <c r="D522" s="72" t="str">
        <f>IF($K522="","",TRIM(INDEX('Detalle individual'!$B:$B,$K522)))</f>
        <v/>
      </c>
      <c r="E522" s="72" t="str">
        <f>IF($K522="","",TRIM(INDEX('Detalle individual'!$E:$E,$K522)))</f>
        <v/>
      </c>
      <c r="F522" s="72" t="str">
        <f>IF($K522="","",TRIM(INDEX('Detalle individual'!$C:$C,$K522)))</f>
        <v/>
      </c>
      <c r="G522" s="72" t="str">
        <f>IF($K522="","",INDEX('Detalle individual'!$D:$D,$K522))</f>
        <v/>
      </c>
      <c r="H522" s="13" t="str">
        <f>IF($K522="","",INDEX('Detalle individual'!$F:$F,$K522))</f>
        <v/>
      </c>
      <c r="I522" s="20" t="str">
        <f>IF($K522="","",IF(INDEX('Detalle individual'!$F:$F,$K522)="Completado",INDEX('Detalle individual'!$H:$H,$K522),""))</f>
        <v/>
      </c>
      <c r="J522" s="21" t="str">
        <f>IF($K522="","",IF(INDEX('Detalle individual'!$F:$F,$K522)="Completado",INDEX('Detalle individual'!$J:$J,$K522),""))</f>
        <v/>
      </c>
      <c r="K522" t="str">
        <f>IFERROR(MOD(SMALL(Cálculos!$Z$5:$Z$1000,514),10000),"")</f>
        <v/>
      </c>
    </row>
    <row r="523">
      <c r="B523" s="13" t="str">
        <f>IF($K523="","",515)</f>
        <v/>
      </c>
      <c r="C523" s="13" t="str">
        <f>IF($K523="","",INDEX('Detalle individual'!$A:$A,$K523))</f>
        <v/>
      </c>
      <c r="D523" s="72" t="str">
        <f>IF($K523="","",TRIM(INDEX('Detalle individual'!$B:$B,$K523)))</f>
        <v/>
      </c>
      <c r="E523" s="72" t="str">
        <f>IF($K523="","",TRIM(INDEX('Detalle individual'!$E:$E,$K523)))</f>
        <v/>
      </c>
      <c r="F523" s="72" t="str">
        <f>IF($K523="","",TRIM(INDEX('Detalle individual'!$C:$C,$K523)))</f>
        <v/>
      </c>
      <c r="G523" s="72" t="str">
        <f>IF($K523="","",INDEX('Detalle individual'!$D:$D,$K523))</f>
        <v/>
      </c>
      <c r="H523" s="13" t="str">
        <f>IF($K523="","",INDEX('Detalle individual'!$F:$F,$K523))</f>
        <v/>
      </c>
      <c r="I523" s="20" t="str">
        <f>IF($K523="","",IF(INDEX('Detalle individual'!$F:$F,$K523)="Completado",INDEX('Detalle individual'!$H:$H,$K523),""))</f>
        <v/>
      </c>
      <c r="J523" s="21" t="str">
        <f>IF($K523="","",IF(INDEX('Detalle individual'!$F:$F,$K523)="Completado",INDEX('Detalle individual'!$J:$J,$K523),""))</f>
        <v/>
      </c>
      <c r="K523" t="str">
        <f>IFERROR(MOD(SMALL(Cálculos!$Z$5:$Z$1000,515),10000),"")</f>
        <v/>
      </c>
    </row>
    <row r="524">
      <c r="B524" s="13" t="str">
        <f>IF($K524="","",516)</f>
        <v/>
      </c>
      <c r="C524" s="13" t="str">
        <f>IF($K524="","",INDEX('Detalle individual'!$A:$A,$K524))</f>
        <v/>
      </c>
      <c r="D524" s="72" t="str">
        <f>IF($K524="","",TRIM(INDEX('Detalle individual'!$B:$B,$K524)))</f>
        <v/>
      </c>
      <c r="E524" s="72" t="str">
        <f>IF($K524="","",TRIM(INDEX('Detalle individual'!$E:$E,$K524)))</f>
        <v/>
      </c>
      <c r="F524" s="72" t="str">
        <f>IF($K524="","",TRIM(INDEX('Detalle individual'!$C:$C,$K524)))</f>
        <v/>
      </c>
      <c r="G524" s="72" t="str">
        <f>IF($K524="","",INDEX('Detalle individual'!$D:$D,$K524))</f>
        <v/>
      </c>
      <c r="H524" s="13" t="str">
        <f>IF($K524="","",INDEX('Detalle individual'!$F:$F,$K524))</f>
        <v/>
      </c>
      <c r="I524" s="20" t="str">
        <f>IF($K524="","",IF(INDEX('Detalle individual'!$F:$F,$K524)="Completado",INDEX('Detalle individual'!$H:$H,$K524),""))</f>
        <v/>
      </c>
      <c r="J524" s="21" t="str">
        <f>IF($K524="","",IF(INDEX('Detalle individual'!$F:$F,$K524)="Completado",INDEX('Detalle individual'!$J:$J,$K524),""))</f>
        <v/>
      </c>
      <c r="K524" t="str">
        <f>IFERROR(MOD(SMALL(Cálculos!$Z$5:$Z$1000,516),10000),"")</f>
        <v/>
      </c>
    </row>
    <row r="525">
      <c r="B525" s="13" t="str">
        <f>IF($K525="","",517)</f>
        <v/>
      </c>
      <c r="C525" s="13" t="str">
        <f>IF($K525="","",INDEX('Detalle individual'!$A:$A,$K525))</f>
        <v/>
      </c>
      <c r="D525" s="72" t="str">
        <f>IF($K525="","",TRIM(INDEX('Detalle individual'!$B:$B,$K525)))</f>
        <v/>
      </c>
      <c r="E525" s="72" t="str">
        <f>IF($K525="","",TRIM(INDEX('Detalle individual'!$E:$E,$K525)))</f>
        <v/>
      </c>
      <c r="F525" s="72" t="str">
        <f>IF($K525="","",TRIM(INDEX('Detalle individual'!$C:$C,$K525)))</f>
        <v/>
      </c>
      <c r="G525" s="72" t="str">
        <f>IF($K525="","",INDEX('Detalle individual'!$D:$D,$K525))</f>
        <v/>
      </c>
      <c r="H525" s="13" t="str">
        <f>IF($K525="","",INDEX('Detalle individual'!$F:$F,$K525))</f>
        <v/>
      </c>
      <c r="I525" s="20" t="str">
        <f>IF($K525="","",IF(INDEX('Detalle individual'!$F:$F,$K525)="Completado",INDEX('Detalle individual'!$H:$H,$K525),""))</f>
        <v/>
      </c>
      <c r="J525" s="21" t="str">
        <f>IF($K525="","",IF(INDEX('Detalle individual'!$F:$F,$K525)="Completado",INDEX('Detalle individual'!$J:$J,$K525),""))</f>
        <v/>
      </c>
      <c r="K525" t="str">
        <f>IFERROR(MOD(SMALL(Cálculos!$Z$5:$Z$1000,517),10000),"")</f>
        <v/>
      </c>
    </row>
    <row r="526">
      <c r="B526" s="13" t="str">
        <f>IF($K526="","",518)</f>
        <v/>
      </c>
      <c r="C526" s="13" t="str">
        <f>IF($K526="","",INDEX('Detalle individual'!$A:$A,$K526))</f>
        <v/>
      </c>
      <c r="D526" s="72" t="str">
        <f>IF($K526="","",TRIM(INDEX('Detalle individual'!$B:$B,$K526)))</f>
        <v/>
      </c>
      <c r="E526" s="72" t="str">
        <f>IF($K526="","",TRIM(INDEX('Detalle individual'!$E:$E,$K526)))</f>
        <v/>
      </c>
      <c r="F526" s="72" t="str">
        <f>IF($K526="","",TRIM(INDEX('Detalle individual'!$C:$C,$K526)))</f>
        <v/>
      </c>
      <c r="G526" s="72" t="str">
        <f>IF($K526="","",INDEX('Detalle individual'!$D:$D,$K526))</f>
        <v/>
      </c>
      <c r="H526" s="13" t="str">
        <f>IF($K526="","",INDEX('Detalle individual'!$F:$F,$K526))</f>
        <v/>
      </c>
      <c r="I526" s="20" t="str">
        <f>IF($K526="","",IF(INDEX('Detalle individual'!$F:$F,$K526)="Completado",INDEX('Detalle individual'!$H:$H,$K526),""))</f>
        <v/>
      </c>
      <c r="J526" s="21" t="str">
        <f>IF($K526="","",IF(INDEX('Detalle individual'!$F:$F,$K526)="Completado",INDEX('Detalle individual'!$J:$J,$K526),""))</f>
        <v/>
      </c>
      <c r="K526" t="str">
        <f>IFERROR(MOD(SMALL(Cálculos!$Z$5:$Z$1000,518),10000),"")</f>
        <v/>
      </c>
    </row>
    <row r="527">
      <c r="B527" s="13" t="str">
        <f>IF($K527="","",519)</f>
        <v/>
      </c>
      <c r="C527" s="13" t="str">
        <f>IF($K527="","",INDEX('Detalle individual'!$A:$A,$K527))</f>
        <v/>
      </c>
      <c r="D527" s="72" t="str">
        <f>IF($K527="","",TRIM(INDEX('Detalle individual'!$B:$B,$K527)))</f>
        <v/>
      </c>
      <c r="E527" s="72" t="str">
        <f>IF($K527="","",TRIM(INDEX('Detalle individual'!$E:$E,$K527)))</f>
        <v/>
      </c>
      <c r="F527" s="72" t="str">
        <f>IF($K527="","",TRIM(INDEX('Detalle individual'!$C:$C,$K527)))</f>
        <v/>
      </c>
      <c r="G527" s="72" t="str">
        <f>IF($K527="","",INDEX('Detalle individual'!$D:$D,$K527))</f>
        <v/>
      </c>
      <c r="H527" s="13" t="str">
        <f>IF($K527="","",INDEX('Detalle individual'!$F:$F,$K527))</f>
        <v/>
      </c>
      <c r="I527" s="20" t="str">
        <f>IF($K527="","",IF(INDEX('Detalle individual'!$F:$F,$K527)="Completado",INDEX('Detalle individual'!$H:$H,$K527),""))</f>
        <v/>
      </c>
      <c r="J527" s="21" t="str">
        <f>IF($K527="","",IF(INDEX('Detalle individual'!$F:$F,$K527)="Completado",INDEX('Detalle individual'!$J:$J,$K527),""))</f>
        <v/>
      </c>
      <c r="K527" t="str">
        <f>IFERROR(MOD(SMALL(Cálculos!$Z$5:$Z$1000,519),10000),"")</f>
        <v/>
      </c>
    </row>
    <row r="528">
      <c r="B528" s="13" t="str">
        <f>IF($K528="","",520)</f>
        <v/>
      </c>
      <c r="C528" s="13" t="str">
        <f>IF($K528="","",INDEX('Detalle individual'!$A:$A,$K528))</f>
        <v/>
      </c>
      <c r="D528" s="72" t="str">
        <f>IF($K528="","",TRIM(INDEX('Detalle individual'!$B:$B,$K528)))</f>
        <v/>
      </c>
      <c r="E528" s="72" t="str">
        <f>IF($K528="","",TRIM(INDEX('Detalle individual'!$E:$E,$K528)))</f>
        <v/>
      </c>
      <c r="F528" s="72" t="str">
        <f>IF($K528="","",TRIM(INDEX('Detalle individual'!$C:$C,$K528)))</f>
        <v/>
      </c>
      <c r="G528" s="72" t="str">
        <f>IF($K528="","",INDEX('Detalle individual'!$D:$D,$K528))</f>
        <v/>
      </c>
      <c r="H528" s="13" t="str">
        <f>IF($K528="","",INDEX('Detalle individual'!$F:$F,$K528))</f>
        <v/>
      </c>
      <c r="I528" s="20" t="str">
        <f>IF($K528="","",IF(INDEX('Detalle individual'!$F:$F,$K528)="Completado",INDEX('Detalle individual'!$H:$H,$K528),""))</f>
        <v/>
      </c>
      <c r="J528" s="21" t="str">
        <f>IF($K528="","",IF(INDEX('Detalle individual'!$F:$F,$K528)="Completado",INDEX('Detalle individual'!$J:$J,$K528),""))</f>
        <v/>
      </c>
      <c r="K528" t="str">
        <f>IFERROR(MOD(SMALL(Cálculos!$Z$5:$Z$1000,520),10000),"")</f>
        <v/>
      </c>
    </row>
    <row r="529">
      <c r="B529" s="13" t="str">
        <f>IF($K529="","",521)</f>
        <v/>
      </c>
      <c r="C529" s="13" t="str">
        <f>IF($K529="","",INDEX('Detalle individual'!$A:$A,$K529))</f>
        <v/>
      </c>
      <c r="D529" s="72" t="str">
        <f>IF($K529="","",TRIM(INDEX('Detalle individual'!$B:$B,$K529)))</f>
        <v/>
      </c>
      <c r="E529" s="72" t="str">
        <f>IF($K529="","",TRIM(INDEX('Detalle individual'!$E:$E,$K529)))</f>
        <v/>
      </c>
      <c r="F529" s="72" t="str">
        <f>IF($K529="","",TRIM(INDEX('Detalle individual'!$C:$C,$K529)))</f>
        <v/>
      </c>
      <c r="G529" s="72" t="str">
        <f>IF($K529="","",INDEX('Detalle individual'!$D:$D,$K529))</f>
        <v/>
      </c>
      <c r="H529" s="13" t="str">
        <f>IF($K529="","",INDEX('Detalle individual'!$F:$F,$K529))</f>
        <v/>
      </c>
      <c r="I529" s="20" t="str">
        <f>IF($K529="","",IF(INDEX('Detalle individual'!$F:$F,$K529)="Completado",INDEX('Detalle individual'!$H:$H,$K529),""))</f>
        <v/>
      </c>
      <c r="J529" s="21" t="str">
        <f>IF($K529="","",IF(INDEX('Detalle individual'!$F:$F,$K529)="Completado",INDEX('Detalle individual'!$J:$J,$K529),""))</f>
        <v/>
      </c>
      <c r="K529" t="str">
        <f>IFERROR(MOD(SMALL(Cálculos!$Z$5:$Z$1000,521),10000),"")</f>
        <v/>
      </c>
    </row>
    <row r="530">
      <c r="B530" s="13" t="str">
        <f>IF($K530="","",522)</f>
        <v/>
      </c>
      <c r="C530" s="13" t="str">
        <f>IF($K530="","",INDEX('Detalle individual'!$A:$A,$K530))</f>
        <v/>
      </c>
      <c r="D530" s="72" t="str">
        <f>IF($K530="","",TRIM(INDEX('Detalle individual'!$B:$B,$K530)))</f>
        <v/>
      </c>
      <c r="E530" s="72" t="str">
        <f>IF($K530="","",TRIM(INDEX('Detalle individual'!$E:$E,$K530)))</f>
        <v/>
      </c>
      <c r="F530" s="72" t="str">
        <f>IF($K530="","",TRIM(INDEX('Detalle individual'!$C:$C,$K530)))</f>
        <v/>
      </c>
      <c r="G530" s="72" t="str">
        <f>IF($K530="","",INDEX('Detalle individual'!$D:$D,$K530))</f>
        <v/>
      </c>
      <c r="H530" s="13" t="str">
        <f>IF($K530="","",INDEX('Detalle individual'!$F:$F,$K530))</f>
        <v/>
      </c>
      <c r="I530" s="20" t="str">
        <f>IF($K530="","",IF(INDEX('Detalle individual'!$F:$F,$K530)="Completado",INDEX('Detalle individual'!$H:$H,$K530),""))</f>
        <v/>
      </c>
      <c r="J530" s="21" t="str">
        <f>IF($K530="","",IF(INDEX('Detalle individual'!$F:$F,$K530)="Completado",INDEX('Detalle individual'!$J:$J,$K530),""))</f>
        <v/>
      </c>
      <c r="K530" t="str">
        <f>IFERROR(MOD(SMALL(Cálculos!$Z$5:$Z$1000,522),10000),"")</f>
        <v/>
      </c>
    </row>
    <row r="531">
      <c r="B531" s="13" t="str">
        <f>IF($K531="","",523)</f>
        <v/>
      </c>
      <c r="C531" s="13" t="str">
        <f>IF($K531="","",INDEX('Detalle individual'!$A:$A,$K531))</f>
        <v/>
      </c>
      <c r="D531" s="72" t="str">
        <f>IF($K531="","",TRIM(INDEX('Detalle individual'!$B:$B,$K531)))</f>
        <v/>
      </c>
      <c r="E531" s="72" t="str">
        <f>IF($K531="","",TRIM(INDEX('Detalle individual'!$E:$E,$K531)))</f>
        <v/>
      </c>
      <c r="F531" s="72" t="str">
        <f>IF($K531="","",TRIM(INDEX('Detalle individual'!$C:$C,$K531)))</f>
        <v/>
      </c>
      <c r="G531" s="72" t="str">
        <f>IF($K531="","",INDEX('Detalle individual'!$D:$D,$K531))</f>
        <v/>
      </c>
      <c r="H531" s="13" t="str">
        <f>IF($K531="","",INDEX('Detalle individual'!$F:$F,$K531))</f>
        <v/>
      </c>
      <c r="I531" s="20" t="str">
        <f>IF($K531="","",IF(INDEX('Detalle individual'!$F:$F,$K531)="Completado",INDEX('Detalle individual'!$H:$H,$K531),""))</f>
        <v/>
      </c>
      <c r="J531" s="21" t="str">
        <f>IF($K531="","",IF(INDEX('Detalle individual'!$F:$F,$K531)="Completado",INDEX('Detalle individual'!$J:$J,$K531),""))</f>
        <v/>
      </c>
      <c r="K531" t="str">
        <f>IFERROR(MOD(SMALL(Cálculos!$Z$5:$Z$1000,523),10000),"")</f>
        <v/>
      </c>
    </row>
    <row r="532">
      <c r="B532" s="13" t="str">
        <f>IF($K532="","",524)</f>
        <v/>
      </c>
      <c r="C532" s="13" t="str">
        <f>IF($K532="","",INDEX('Detalle individual'!$A:$A,$K532))</f>
        <v/>
      </c>
      <c r="D532" s="72" t="str">
        <f>IF($K532="","",TRIM(INDEX('Detalle individual'!$B:$B,$K532)))</f>
        <v/>
      </c>
      <c r="E532" s="72" t="str">
        <f>IF($K532="","",TRIM(INDEX('Detalle individual'!$E:$E,$K532)))</f>
        <v/>
      </c>
      <c r="F532" s="72" t="str">
        <f>IF($K532="","",TRIM(INDEX('Detalle individual'!$C:$C,$K532)))</f>
        <v/>
      </c>
      <c r="G532" s="72" t="str">
        <f>IF($K532="","",INDEX('Detalle individual'!$D:$D,$K532))</f>
        <v/>
      </c>
      <c r="H532" s="13" t="str">
        <f>IF($K532="","",INDEX('Detalle individual'!$F:$F,$K532))</f>
        <v/>
      </c>
      <c r="I532" s="20" t="str">
        <f>IF($K532="","",IF(INDEX('Detalle individual'!$F:$F,$K532)="Completado",INDEX('Detalle individual'!$H:$H,$K532),""))</f>
        <v/>
      </c>
      <c r="J532" s="21" t="str">
        <f>IF($K532="","",IF(INDEX('Detalle individual'!$F:$F,$K532)="Completado",INDEX('Detalle individual'!$J:$J,$K532),""))</f>
        <v/>
      </c>
      <c r="K532" t="str">
        <f>IFERROR(MOD(SMALL(Cálculos!$Z$5:$Z$1000,524),10000),"")</f>
        <v/>
      </c>
    </row>
    <row r="533">
      <c r="B533" s="13" t="str">
        <f>IF($K533="","",525)</f>
        <v/>
      </c>
      <c r="C533" s="13" t="str">
        <f>IF($K533="","",INDEX('Detalle individual'!$A:$A,$K533))</f>
        <v/>
      </c>
      <c r="D533" s="72" t="str">
        <f>IF($K533="","",TRIM(INDEX('Detalle individual'!$B:$B,$K533)))</f>
        <v/>
      </c>
      <c r="E533" s="72" t="str">
        <f>IF($K533="","",TRIM(INDEX('Detalle individual'!$E:$E,$K533)))</f>
        <v/>
      </c>
      <c r="F533" s="72" t="str">
        <f>IF($K533="","",TRIM(INDEX('Detalle individual'!$C:$C,$K533)))</f>
        <v/>
      </c>
      <c r="G533" s="72" t="str">
        <f>IF($K533="","",INDEX('Detalle individual'!$D:$D,$K533))</f>
        <v/>
      </c>
      <c r="H533" s="13" t="str">
        <f>IF($K533="","",INDEX('Detalle individual'!$F:$F,$K533))</f>
        <v/>
      </c>
      <c r="I533" s="20" t="str">
        <f>IF($K533="","",IF(INDEX('Detalle individual'!$F:$F,$K533)="Completado",INDEX('Detalle individual'!$H:$H,$K533),""))</f>
        <v/>
      </c>
      <c r="J533" s="21" t="str">
        <f>IF($K533="","",IF(INDEX('Detalle individual'!$F:$F,$K533)="Completado",INDEX('Detalle individual'!$J:$J,$K533),""))</f>
        <v/>
      </c>
      <c r="K533" t="str">
        <f>IFERROR(MOD(SMALL(Cálculos!$Z$5:$Z$1000,525),10000),"")</f>
        <v/>
      </c>
    </row>
    <row r="534">
      <c r="B534" s="13" t="str">
        <f>IF($K534="","",526)</f>
        <v/>
      </c>
      <c r="C534" s="13" t="str">
        <f>IF($K534="","",INDEX('Detalle individual'!$A:$A,$K534))</f>
        <v/>
      </c>
      <c r="D534" s="72" t="str">
        <f>IF($K534="","",TRIM(INDEX('Detalle individual'!$B:$B,$K534)))</f>
        <v/>
      </c>
      <c r="E534" s="72" t="str">
        <f>IF($K534="","",TRIM(INDEX('Detalle individual'!$E:$E,$K534)))</f>
        <v/>
      </c>
      <c r="F534" s="72" t="str">
        <f>IF($K534="","",TRIM(INDEX('Detalle individual'!$C:$C,$K534)))</f>
        <v/>
      </c>
      <c r="G534" s="72" t="str">
        <f>IF($K534="","",INDEX('Detalle individual'!$D:$D,$K534))</f>
        <v/>
      </c>
      <c r="H534" s="13" t="str">
        <f>IF($K534="","",INDEX('Detalle individual'!$F:$F,$K534))</f>
        <v/>
      </c>
      <c r="I534" s="20" t="str">
        <f>IF($K534="","",IF(INDEX('Detalle individual'!$F:$F,$K534)="Completado",INDEX('Detalle individual'!$H:$H,$K534),""))</f>
        <v/>
      </c>
      <c r="J534" s="21" t="str">
        <f>IF($K534="","",IF(INDEX('Detalle individual'!$F:$F,$K534)="Completado",INDEX('Detalle individual'!$J:$J,$K534),""))</f>
        <v/>
      </c>
      <c r="K534" t="str">
        <f>IFERROR(MOD(SMALL(Cálculos!$Z$5:$Z$1000,526),10000),"")</f>
        <v/>
      </c>
    </row>
    <row r="535">
      <c r="B535" s="13" t="str">
        <f>IF($K535="","",527)</f>
        <v/>
      </c>
      <c r="C535" s="13" t="str">
        <f>IF($K535="","",INDEX('Detalle individual'!$A:$A,$K535))</f>
        <v/>
      </c>
      <c r="D535" s="72" t="str">
        <f>IF($K535="","",TRIM(INDEX('Detalle individual'!$B:$B,$K535)))</f>
        <v/>
      </c>
      <c r="E535" s="72" t="str">
        <f>IF($K535="","",TRIM(INDEX('Detalle individual'!$E:$E,$K535)))</f>
        <v/>
      </c>
      <c r="F535" s="72" t="str">
        <f>IF($K535="","",TRIM(INDEX('Detalle individual'!$C:$C,$K535)))</f>
        <v/>
      </c>
      <c r="G535" s="72" t="str">
        <f>IF($K535="","",INDEX('Detalle individual'!$D:$D,$K535))</f>
        <v/>
      </c>
      <c r="H535" s="13" t="str">
        <f>IF($K535="","",INDEX('Detalle individual'!$F:$F,$K535))</f>
        <v/>
      </c>
      <c r="I535" s="20" t="str">
        <f>IF($K535="","",IF(INDEX('Detalle individual'!$F:$F,$K535)="Completado",INDEX('Detalle individual'!$H:$H,$K535),""))</f>
        <v/>
      </c>
      <c r="J535" s="21" t="str">
        <f>IF($K535="","",IF(INDEX('Detalle individual'!$F:$F,$K535)="Completado",INDEX('Detalle individual'!$J:$J,$K535),""))</f>
        <v/>
      </c>
      <c r="K535" t="str">
        <f>IFERROR(MOD(SMALL(Cálculos!$Z$5:$Z$1000,527),10000),"")</f>
        <v/>
      </c>
    </row>
    <row r="536">
      <c r="B536" s="13" t="str">
        <f>IF($K536="","",528)</f>
        <v/>
      </c>
      <c r="C536" s="13" t="str">
        <f>IF($K536="","",INDEX('Detalle individual'!$A:$A,$K536))</f>
        <v/>
      </c>
      <c r="D536" s="72" t="str">
        <f>IF($K536="","",TRIM(INDEX('Detalle individual'!$B:$B,$K536)))</f>
        <v/>
      </c>
      <c r="E536" s="72" t="str">
        <f>IF($K536="","",TRIM(INDEX('Detalle individual'!$E:$E,$K536)))</f>
        <v/>
      </c>
      <c r="F536" s="72" t="str">
        <f>IF($K536="","",TRIM(INDEX('Detalle individual'!$C:$C,$K536)))</f>
        <v/>
      </c>
      <c r="G536" s="72" t="str">
        <f>IF($K536="","",INDEX('Detalle individual'!$D:$D,$K536))</f>
        <v/>
      </c>
      <c r="H536" s="13" t="str">
        <f>IF($K536="","",INDEX('Detalle individual'!$F:$F,$K536))</f>
        <v/>
      </c>
      <c r="I536" s="20" t="str">
        <f>IF($K536="","",IF(INDEX('Detalle individual'!$F:$F,$K536)="Completado",INDEX('Detalle individual'!$H:$H,$K536),""))</f>
        <v/>
      </c>
      <c r="J536" s="21" t="str">
        <f>IF($K536="","",IF(INDEX('Detalle individual'!$F:$F,$K536)="Completado",INDEX('Detalle individual'!$J:$J,$K536),""))</f>
        <v/>
      </c>
      <c r="K536" t="str">
        <f>IFERROR(MOD(SMALL(Cálculos!$Z$5:$Z$1000,528),10000),"")</f>
        <v/>
      </c>
    </row>
    <row r="537">
      <c r="B537" s="13" t="str">
        <f>IF($K537="","",529)</f>
        <v/>
      </c>
      <c r="C537" s="13" t="str">
        <f>IF($K537="","",INDEX('Detalle individual'!$A:$A,$K537))</f>
        <v/>
      </c>
      <c r="D537" s="72" t="str">
        <f>IF($K537="","",TRIM(INDEX('Detalle individual'!$B:$B,$K537)))</f>
        <v/>
      </c>
      <c r="E537" s="72" t="str">
        <f>IF($K537="","",TRIM(INDEX('Detalle individual'!$E:$E,$K537)))</f>
        <v/>
      </c>
      <c r="F537" s="72" t="str">
        <f>IF($K537="","",TRIM(INDEX('Detalle individual'!$C:$C,$K537)))</f>
        <v/>
      </c>
      <c r="G537" s="72" t="str">
        <f>IF($K537="","",INDEX('Detalle individual'!$D:$D,$K537))</f>
        <v/>
      </c>
      <c r="H537" s="13" t="str">
        <f>IF($K537="","",INDEX('Detalle individual'!$F:$F,$K537))</f>
        <v/>
      </c>
      <c r="I537" s="20" t="str">
        <f>IF($K537="","",IF(INDEX('Detalle individual'!$F:$F,$K537)="Completado",INDEX('Detalle individual'!$H:$H,$K537),""))</f>
        <v/>
      </c>
      <c r="J537" s="21" t="str">
        <f>IF($K537="","",IF(INDEX('Detalle individual'!$F:$F,$K537)="Completado",INDEX('Detalle individual'!$J:$J,$K537),""))</f>
        <v/>
      </c>
      <c r="K537" t="str">
        <f>IFERROR(MOD(SMALL(Cálculos!$Z$5:$Z$1000,529),10000),"")</f>
        <v/>
      </c>
    </row>
    <row r="538">
      <c r="B538" s="13" t="str">
        <f>IF($K538="","",530)</f>
        <v/>
      </c>
      <c r="C538" s="13" t="str">
        <f>IF($K538="","",INDEX('Detalle individual'!$A:$A,$K538))</f>
        <v/>
      </c>
      <c r="D538" s="72" t="str">
        <f>IF($K538="","",TRIM(INDEX('Detalle individual'!$B:$B,$K538)))</f>
        <v/>
      </c>
      <c r="E538" s="72" t="str">
        <f>IF($K538="","",TRIM(INDEX('Detalle individual'!$E:$E,$K538)))</f>
        <v/>
      </c>
      <c r="F538" s="72" t="str">
        <f>IF($K538="","",TRIM(INDEX('Detalle individual'!$C:$C,$K538)))</f>
        <v/>
      </c>
      <c r="G538" s="72" t="str">
        <f>IF($K538="","",INDEX('Detalle individual'!$D:$D,$K538))</f>
        <v/>
      </c>
      <c r="H538" s="13" t="str">
        <f>IF($K538="","",INDEX('Detalle individual'!$F:$F,$K538))</f>
        <v/>
      </c>
      <c r="I538" s="20" t="str">
        <f>IF($K538="","",IF(INDEX('Detalle individual'!$F:$F,$K538)="Completado",INDEX('Detalle individual'!$H:$H,$K538),""))</f>
        <v/>
      </c>
      <c r="J538" s="21" t="str">
        <f>IF($K538="","",IF(INDEX('Detalle individual'!$F:$F,$K538)="Completado",INDEX('Detalle individual'!$J:$J,$K538),""))</f>
        <v/>
      </c>
      <c r="K538" t="str">
        <f>IFERROR(MOD(SMALL(Cálculos!$Z$5:$Z$1000,530),10000),"")</f>
        <v/>
      </c>
    </row>
    <row r="539">
      <c r="B539" s="13" t="str">
        <f>IF($K539="","",531)</f>
        <v/>
      </c>
      <c r="C539" s="13" t="str">
        <f>IF($K539="","",INDEX('Detalle individual'!$A:$A,$K539))</f>
        <v/>
      </c>
      <c r="D539" s="72" t="str">
        <f>IF($K539="","",TRIM(INDEX('Detalle individual'!$B:$B,$K539)))</f>
        <v/>
      </c>
      <c r="E539" s="72" t="str">
        <f>IF($K539="","",TRIM(INDEX('Detalle individual'!$E:$E,$K539)))</f>
        <v/>
      </c>
      <c r="F539" s="72" t="str">
        <f>IF($K539="","",TRIM(INDEX('Detalle individual'!$C:$C,$K539)))</f>
        <v/>
      </c>
      <c r="G539" s="72" t="str">
        <f>IF($K539="","",INDEX('Detalle individual'!$D:$D,$K539))</f>
        <v/>
      </c>
      <c r="H539" s="13" t="str">
        <f>IF($K539="","",INDEX('Detalle individual'!$F:$F,$K539))</f>
        <v/>
      </c>
      <c r="I539" s="20" t="str">
        <f>IF($K539="","",IF(INDEX('Detalle individual'!$F:$F,$K539)="Completado",INDEX('Detalle individual'!$H:$H,$K539),""))</f>
        <v/>
      </c>
      <c r="J539" s="21" t="str">
        <f>IF($K539="","",IF(INDEX('Detalle individual'!$F:$F,$K539)="Completado",INDEX('Detalle individual'!$J:$J,$K539),""))</f>
        <v/>
      </c>
      <c r="K539" t="str">
        <f>IFERROR(MOD(SMALL(Cálculos!$Z$5:$Z$1000,531),10000),"")</f>
        <v/>
      </c>
    </row>
    <row r="540">
      <c r="B540" s="13" t="str">
        <f>IF($K540="","",532)</f>
        <v/>
      </c>
      <c r="C540" s="13" t="str">
        <f>IF($K540="","",INDEX('Detalle individual'!$A:$A,$K540))</f>
        <v/>
      </c>
      <c r="D540" s="72" t="str">
        <f>IF($K540="","",TRIM(INDEX('Detalle individual'!$B:$B,$K540)))</f>
        <v/>
      </c>
      <c r="E540" s="72" t="str">
        <f>IF($K540="","",TRIM(INDEX('Detalle individual'!$E:$E,$K540)))</f>
        <v/>
      </c>
      <c r="F540" s="72" t="str">
        <f>IF($K540="","",TRIM(INDEX('Detalle individual'!$C:$C,$K540)))</f>
        <v/>
      </c>
      <c r="G540" s="72" t="str">
        <f>IF($K540="","",INDEX('Detalle individual'!$D:$D,$K540))</f>
        <v/>
      </c>
      <c r="H540" s="13" t="str">
        <f>IF($K540="","",INDEX('Detalle individual'!$F:$F,$K540))</f>
        <v/>
      </c>
      <c r="I540" s="20" t="str">
        <f>IF($K540="","",IF(INDEX('Detalle individual'!$F:$F,$K540)="Completado",INDEX('Detalle individual'!$H:$H,$K540),""))</f>
        <v/>
      </c>
      <c r="J540" s="21" t="str">
        <f>IF($K540="","",IF(INDEX('Detalle individual'!$F:$F,$K540)="Completado",INDEX('Detalle individual'!$J:$J,$K540),""))</f>
        <v/>
      </c>
      <c r="K540" t="str">
        <f>IFERROR(MOD(SMALL(Cálculos!$Z$5:$Z$1000,532),10000),"")</f>
        <v/>
      </c>
    </row>
    <row r="541">
      <c r="B541" s="13" t="str">
        <f>IF($K541="","",533)</f>
        <v/>
      </c>
      <c r="C541" s="13" t="str">
        <f>IF($K541="","",INDEX('Detalle individual'!$A:$A,$K541))</f>
        <v/>
      </c>
      <c r="D541" s="72" t="str">
        <f>IF($K541="","",TRIM(INDEX('Detalle individual'!$B:$B,$K541)))</f>
        <v/>
      </c>
      <c r="E541" s="72" t="str">
        <f>IF($K541="","",TRIM(INDEX('Detalle individual'!$E:$E,$K541)))</f>
        <v/>
      </c>
      <c r="F541" s="72" t="str">
        <f>IF($K541="","",TRIM(INDEX('Detalle individual'!$C:$C,$K541)))</f>
        <v/>
      </c>
      <c r="G541" s="72" t="str">
        <f>IF($K541="","",INDEX('Detalle individual'!$D:$D,$K541))</f>
        <v/>
      </c>
      <c r="H541" s="13" t="str">
        <f>IF($K541="","",INDEX('Detalle individual'!$F:$F,$K541))</f>
        <v/>
      </c>
      <c r="I541" s="20" t="str">
        <f>IF($K541="","",IF(INDEX('Detalle individual'!$F:$F,$K541)="Completado",INDEX('Detalle individual'!$H:$H,$K541),""))</f>
        <v/>
      </c>
      <c r="J541" s="21" t="str">
        <f>IF($K541="","",IF(INDEX('Detalle individual'!$F:$F,$K541)="Completado",INDEX('Detalle individual'!$J:$J,$K541),""))</f>
        <v/>
      </c>
      <c r="K541" t="str">
        <f>IFERROR(MOD(SMALL(Cálculos!$Z$5:$Z$1000,533),10000),"")</f>
        <v/>
      </c>
    </row>
    <row r="542">
      <c r="B542" s="13" t="str">
        <f>IF($K542="","",534)</f>
        <v/>
      </c>
      <c r="C542" s="13" t="str">
        <f>IF($K542="","",INDEX('Detalle individual'!$A:$A,$K542))</f>
        <v/>
      </c>
      <c r="D542" s="72" t="str">
        <f>IF($K542="","",TRIM(INDEX('Detalle individual'!$B:$B,$K542)))</f>
        <v/>
      </c>
      <c r="E542" s="72" t="str">
        <f>IF($K542="","",TRIM(INDEX('Detalle individual'!$E:$E,$K542)))</f>
        <v/>
      </c>
      <c r="F542" s="72" t="str">
        <f>IF($K542="","",TRIM(INDEX('Detalle individual'!$C:$C,$K542)))</f>
        <v/>
      </c>
      <c r="G542" s="72" t="str">
        <f>IF($K542="","",INDEX('Detalle individual'!$D:$D,$K542))</f>
        <v/>
      </c>
      <c r="H542" s="13" t="str">
        <f>IF($K542="","",INDEX('Detalle individual'!$F:$F,$K542))</f>
        <v/>
      </c>
      <c r="I542" s="20" t="str">
        <f>IF($K542="","",IF(INDEX('Detalle individual'!$F:$F,$K542)="Completado",INDEX('Detalle individual'!$H:$H,$K542),""))</f>
        <v/>
      </c>
      <c r="J542" s="21" t="str">
        <f>IF($K542="","",IF(INDEX('Detalle individual'!$F:$F,$K542)="Completado",INDEX('Detalle individual'!$J:$J,$K542),""))</f>
        <v/>
      </c>
      <c r="K542" t="str">
        <f>IFERROR(MOD(SMALL(Cálculos!$Z$5:$Z$1000,534),10000),"")</f>
        <v/>
      </c>
    </row>
    <row r="543">
      <c r="B543" s="13" t="str">
        <f>IF($K543="","",535)</f>
        <v/>
      </c>
      <c r="C543" s="13" t="str">
        <f>IF($K543="","",INDEX('Detalle individual'!$A:$A,$K543))</f>
        <v/>
      </c>
      <c r="D543" s="72" t="str">
        <f>IF($K543="","",TRIM(INDEX('Detalle individual'!$B:$B,$K543)))</f>
        <v/>
      </c>
      <c r="E543" s="72" t="str">
        <f>IF($K543="","",TRIM(INDEX('Detalle individual'!$E:$E,$K543)))</f>
        <v/>
      </c>
      <c r="F543" s="72" t="str">
        <f>IF($K543="","",TRIM(INDEX('Detalle individual'!$C:$C,$K543)))</f>
        <v/>
      </c>
      <c r="G543" s="72" t="str">
        <f>IF($K543="","",INDEX('Detalle individual'!$D:$D,$K543))</f>
        <v/>
      </c>
      <c r="H543" s="13" t="str">
        <f>IF($K543="","",INDEX('Detalle individual'!$F:$F,$K543))</f>
        <v/>
      </c>
      <c r="I543" s="20" t="str">
        <f>IF($K543="","",IF(INDEX('Detalle individual'!$F:$F,$K543)="Completado",INDEX('Detalle individual'!$H:$H,$K543),""))</f>
        <v/>
      </c>
      <c r="J543" s="21" t="str">
        <f>IF($K543="","",IF(INDEX('Detalle individual'!$F:$F,$K543)="Completado",INDEX('Detalle individual'!$J:$J,$K543),""))</f>
        <v/>
      </c>
      <c r="K543" t="str">
        <f>IFERROR(MOD(SMALL(Cálculos!$Z$5:$Z$1000,535),10000),"")</f>
        <v/>
      </c>
    </row>
    <row r="544">
      <c r="B544" s="13" t="str">
        <f>IF($K544="","",536)</f>
        <v/>
      </c>
      <c r="C544" s="13" t="str">
        <f>IF($K544="","",INDEX('Detalle individual'!$A:$A,$K544))</f>
        <v/>
      </c>
      <c r="D544" s="72" t="str">
        <f>IF($K544="","",TRIM(INDEX('Detalle individual'!$B:$B,$K544)))</f>
        <v/>
      </c>
      <c r="E544" s="72" t="str">
        <f>IF($K544="","",TRIM(INDEX('Detalle individual'!$E:$E,$K544)))</f>
        <v/>
      </c>
      <c r="F544" s="72" t="str">
        <f>IF($K544="","",TRIM(INDEX('Detalle individual'!$C:$C,$K544)))</f>
        <v/>
      </c>
      <c r="G544" s="72" t="str">
        <f>IF($K544="","",INDEX('Detalle individual'!$D:$D,$K544))</f>
        <v/>
      </c>
      <c r="H544" s="13" t="str">
        <f>IF($K544="","",INDEX('Detalle individual'!$F:$F,$K544))</f>
        <v/>
      </c>
      <c r="I544" s="20" t="str">
        <f>IF($K544="","",IF(INDEX('Detalle individual'!$F:$F,$K544)="Completado",INDEX('Detalle individual'!$H:$H,$K544),""))</f>
        <v/>
      </c>
      <c r="J544" s="21" t="str">
        <f>IF($K544="","",IF(INDEX('Detalle individual'!$F:$F,$K544)="Completado",INDEX('Detalle individual'!$J:$J,$K544),""))</f>
        <v/>
      </c>
      <c r="K544" t="str">
        <f>IFERROR(MOD(SMALL(Cálculos!$Z$5:$Z$1000,536),10000),"")</f>
        <v/>
      </c>
    </row>
    <row r="545">
      <c r="B545" s="13" t="str">
        <f>IF($K545="","",537)</f>
        <v/>
      </c>
      <c r="C545" s="13" t="str">
        <f>IF($K545="","",INDEX('Detalle individual'!$A:$A,$K545))</f>
        <v/>
      </c>
      <c r="D545" s="72" t="str">
        <f>IF($K545="","",TRIM(INDEX('Detalle individual'!$B:$B,$K545)))</f>
        <v/>
      </c>
      <c r="E545" s="72" t="str">
        <f>IF($K545="","",TRIM(INDEX('Detalle individual'!$E:$E,$K545)))</f>
        <v/>
      </c>
      <c r="F545" s="72" t="str">
        <f>IF($K545="","",TRIM(INDEX('Detalle individual'!$C:$C,$K545)))</f>
        <v/>
      </c>
      <c r="G545" s="72" t="str">
        <f>IF($K545="","",INDEX('Detalle individual'!$D:$D,$K545))</f>
        <v/>
      </c>
      <c r="H545" s="13" t="str">
        <f>IF($K545="","",INDEX('Detalle individual'!$F:$F,$K545))</f>
        <v/>
      </c>
      <c r="I545" s="20" t="str">
        <f>IF($K545="","",IF(INDEX('Detalle individual'!$F:$F,$K545)="Completado",INDEX('Detalle individual'!$H:$H,$K545),""))</f>
        <v/>
      </c>
      <c r="J545" s="21" t="str">
        <f>IF($K545="","",IF(INDEX('Detalle individual'!$F:$F,$K545)="Completado",INDEX('Detalle individual'!$J:$J,$K545),""))</f>
        <v/>
      </c>
      <c r="K545" t="str">
        <f>IFERROR(MOD(SMALL(Cálculos!$Z$5:$Z$1000,537),10000),"")</f>
        <v/>
      </c>
    </row>
    <row r="546">
      <c r="B546" s="13" t="str">
        <f>IF($K546="","",538)</f>
        <v/>
      </c>
      <c r="C546" s="13" t="str">
        <f>IF($K546="","",INDEX('Detalle individual'!$A:$A,$K546))</f>
        <v/>
      </c>
      <c r="D546" s="72" t="str">
        <f>IF($K546="","",TRIM(INDEX('Detalle individual'!$B:$B,$K546)))</f>
        <v/>
      </c>
      <c r="E546" s="72" t="str">
        <f>IF($K546="","",TRIM(INDEX('Detalle individual'!$E:$E,$K546)))</f>
        <v/>
      </c>
      <c r="F546" s="72" t="str">
        <f>IF($K546="","",TRIM(INDEX('Detalle individual'!$C:$C,$K546)))</f>
        <v/>
      </c>
      <c r="G546" s="72" t="str">
        <f>IF($K546="","",INDEX('Detalle individual'!$D:$D,$K546))</f>
        <v/>
      </c>
      <c r="H546" s="13" t="str">
        <f>IF($K546="","",INDEX('Detalle individual'!$F:$F,$K546))</f>
        <v/>
      </c>
      <c r="I546" s="20" t="str">
        <f>IF($K546="","",IF(INDEX('Detalle individual'!$F:$F,$K546)="Completado",INDEX('Detalle individual'!$H:$H,$K546),""))</f>
        <v/>
      </c>
      <c r="J546" s="21" t="str">
        <f>IF($K546="","",IF(INDEX('Detalle individual'!$F:$F,$K546)="Completado",INDEX('Detalle individual'!$J:$J,$K546),""))</f>
        <v/>
      </c>
      <c r="K546" t="str">
        <f>IFERROR(MOD(SMALL(Cálculos!$Z$5:$Z$1000,538),10000),"")</f>
        <v/>
      </c>
    </row>
    <row r="547">
      <c r="B547" s="13" t="str">
        <f>IF($K547="","",539)</f>
        <v/>
      </c>
      <c r="C547" s="13" t="str">
        <f>IF($K547="","",INDEX('Detalle individual'!$A:$A,$K547))</f>
        <v/>
      </c>
      <c r="D547" s="72" t="str">
        <f>IF($K547="","",TRIM(INDEX('Detalle individual'!$B:$B,$K547)))</f>
        <v/>
      </c>
      <c r="E547" s="72" t="str">
        <f>IF($K547="","",TRIM(INDEX('Detalle individual'!$E:$E,$K547)))</f>
        <v/>
      </c>
      <c r="F547" s="72" t="str">
        <f>IF($K547="","",TRIM(INDEX('Detalle individual'!$C:$C,$K547)))</f>
        <v/>
      </c>
      <c r="G547" s="72" t="str">
        <f>IF($K547="","",INDEX('Detalle individual'!$D:$D,$K547))</f>
        <v/>
      </c>
      <c r="H547" s="13" t="str">
        <f>IF($K547="","",INDEX('Detalle individual'!$F:$F,$K547))</f>
        <v/>
      </c>
      <c r="I547" s="20" t="str">
        <f>IF($K547="","",IF(INDEX('Detalle individual'!$F:$F,$K547)="Completado",INDEX('Detalle individual'!$H:$H,$K547),""))</f>
        <v/>
      </c>
      <c r="J547" s="21" t="str">
        <f>IF($K547="","",IF(INDEX('Detalle individual'!$F:$F,$K547)="Completado",INDEX('Detalle individual'!$J:$J,$K547),""))</f>
        <v/>
      </c>
      <c r="K547" t="str">
        <f>IFERROR(MOD(SMALL(Cálculos!$Z$5:$Z$1000,539),10000),"")</f>
        <v/>
      </c>
    </row>
    <row r="548">
      <c r="B548" s="13" t="str">
        <f>IF($K548="","",540)</f>
        <v/>
      </c>
      <c r="C548" s="13" t="str">
        <f>IF($K548="","",INDEX('Detalle individual'!$A:$A,$K548))</f>
        <v/>
      </c>
      <c r="D548" s="72" t="str">
        <f>IF($K548="","",TRIM(INDEX('Detalle individual'!$B:$B,$K548)))</f>
        <v/>
      </c>
      <c r="E548" s="72" t="str">
        <f>IF($K548="","",TRIM(INDEX('Detalle individual'!$E:$E,$K548)))</f>
        <v/>
      </c>
      <c r="F548" s="72" t="str">
        <f>IF($K548="","",TRIM(INDEX('Detalle individual'!$C:$C,$K548)))</f>
        <v/>
      </c>
      <c r="G548" s="72" t="str">
        <f>IF($K548="","",INDEX('Detalle individual'!$D:$D,$K548))</f>
        <v/>
      </c>
      <c r="H548" s="13" t="str">
        <f>IF($K548="","",INDEX('Detalle individual'!$F:$F,$K548))</f>
        <v/>
      </c>
      <c r="I548" s="20" t="str">
        <f>IF($K548="","",IF(INDEX('Detalle individual'!$F:$F,$K548)="Completado",INDEX('Detalle individual'!$H:$H,$K548),""))</f>
        <v/>
      </c>
      <c r="J548" s="21" t="str">
        <f>IF($K548="","",IF(INDEX('Detalle individual'!$F:$F,$K548)="Completado",INDEX('Detalle individual'!$J:$J,$K548),""))</f>
        <v/>
      </c>
      <c r="K548" t="str">
        <f>IFERROR(MOD(SMALL(Cálculos!$Z$5:$Z$1000,540),10000),"")</f>
        <v/>
      </c>
    </row>
    <row r="549">
      <c r="B549" s="13" t="str">
        <f>IF($K549="","",541)</f>
        <v/>
      </c>
      <c r="C549" s="13" t="str">
        <f>IF($K549="","",INDEX('Detalle individual'!$A:$A,$K549))</f>
        <v/>
      </c>
      <c r="D549" s="72" t="str">
        <f>IF($K549="","",TRIM(INDEX('Detalle individual'!$B:$B,$K549)))</f>
        <v/>
      </c>
      <c r="E549" s="72" t="str">
        <f>IF($K549="","",TRIM(INDEX('Detalle individual'!$E:$E,$K549)))</f>
        <v/>
      </c>
      <c r="F549" s="72" t="str">
        <f>IF($K549="","",TRIM(INDEX('Detalle individual'!$C:$C,$K549)))</f>
        <v/>
      </c>
      <c r="G549" s="72" t="str">
        <f>IF($K549="","",INDEX('Detalle individual'!$D:$D,$K549))</f>
        <v/>
      </c>
      <c r="H549" s="13" t="str">
        <f>IF($K549="","",INDEX('Detalle individual'!$F:$F,$K549))</f>
        <v/>
      </c>
      <c r="I549" s="20" t="str">
        <f>IF($K549="","",IF(INDEX('Detalle individual'!$F:$F,$K549)="Completado",INDEX('Detalle individual'!$H:$H,$K549),""))</f>
        <v/>
      </c>
      <c r="J549" s="21" t="str">
        <f>IF($K549="","",IF(INDEX('Detalle individual'!$F:$F,$K549)="Completado",INDEX('Detalle individual'!$J:$J,$K549),""))</f>
        <v/>
      </c>
      <c r="K549" t="str">
        <f>IFERROR(MOD(SMALL(Cálculos!$Z$5:$Z$1000,541),10000),"")</f>
        <v/>
      </c>
    </row>
    <row r="550">
      <c r="B550" s="13" t="str">
        <f>IF($K550="","",542)</f>
        <v/>
      </c>
      <c r="C550" s="13" t="str">
        <f>IF($K550="","",INDEX('Detalle individual'!$A:$A,$K550))</f>
        <v/>
      </c>
      <c r="D550" s="72" t="str">
        <f>IF($K550="","",TRIM(INDEX('Detalle individual'!$B:$B,$K550)))</f>
        <v/>
      </c>
      <c r="E550" s="72" t="str">
        <f>IF($K550="","",TRIM(INDEX('Detalle individual'!$E:$E,$K550)))</f>
        <v/>
      </c>
      <c r="F550" s="72" t="str">
        <f>IF($K550="","",TRIM(INDEX('Detalle individual'!$C:$C,$K550)))</f>
        <v/>
      </c>
      <c r="G550" s="72" t="str">
        <f>IF($K550="","",INDEX('Detalle individual'!$D:$D,$K550))</f>
        <v/>
      </c>
      <c r="H550" s="13" t="str">
        <f>IF($K550="","",INDEX('Detalle individual'!$F:$F,$K550))</f>
        <v/>
      </c>
      <c r="I550" s="20" t="str">
        <f>IF($K550="","",IF(INDEX('Detalle individual'!$F:$F,$K550)="Completado",INDEX('Detalle individual'!$H:$H,$K550),""))</f>
        <v/>
      </c>
      <c r="J550" s="21" t="str">
        <f>IF($K550="","",IF(INDEX('Detalle individual'!$F:$F,$K550)="Completado",INDEX('Detalle individual'!$J:$J,$K550),""))</f>
        <v/>
      </c>
      <c r="K550" t="str">
        <f>IFERROR(MOD(SMALL(Cálculos!$Z$5:$Z$1000,542),10000),"")</f>
        <v/>
      </c>
    </row>
    <row r="551">
      <c r="B551" s="13" t="str">
        <f>IF($K551="","",543)</f>
        <v/>
      </c>
      <c r="C551" s="13" t="str">
        <f>IF($K551="","",INDEX('Detalle individual'!$A:$A,$K551))</f>
        <v/>
      </c>
      <c r="D551" s="72" t="str">
        <f>IF($K551="","",TRIM(INDEX('Detalle individual'!$B:$B,$K551)))</f>
        <v/>
      </c>
      <c r="E551" s="72" t="str">
        <f>IF($K551="","",TRIM(INDEX('Detalle individual'!$E:$E,$K551)))</f>
        <v/>
      </c>
      <c r="F551" s="72" t="str">
        <f>IF($K551="","",TRIM(INDEX('Detalle individual'!$C:$C,$K551)))</f>
        <v/>
      </c>
      <c r="G551" s="72" t="str">
        <f>IF($K551="","",INDEX('Detalle individual'!$D:$D,$K551))</f>
        <v/>
      </c>
      <c r="H551" s="13" t="str">
        <f>IF($K551="","",INDEX('Detalle individual'!$F:$F,$K551))</f>
        <v/>
      </c>
      <c r="I551" s="20" t="str">
        <f>IF($K551="","",IF(INDEX('Detalle individual'!$F:$F,$K551)="Completado",INDEX('Detalle individual'!$H:$H,$K551),""))</f>
        <v/>
      </c>
      <c r="J551" s="21" t="str">
        <f>IF($K551="","",IF(INDEX('Detalle individual'!$F:$F,$K551)="Completado",INDEX('Detalle individual'!$J:$J,$K551),""))</f>
        <v/>
      </c>
      <c r="K551" t="str">
        <f>IFERROR(MOD(SMALL(Cálculos!$Z$5:$Z$1000,543),10000),"")</f>
        <v/>
      </c>
    </row>
    <row r="552">
      <c r="B552" s="13" t="str">
        <f>IF($K552="","",544)</f>
        <v/>
      </c>
      <c r="C552" s="13" t="str">
        <f>IF($K552="","",INDEX('Detalle individual'!$A:$A,$K552))</f>
        <v/>
      </c>
      <c r="D552" s="72" t="str">
        <f>IF($K552="","",TRIM(INDEX('Detalle individual'!$B:$B,$K552)))</f>
        <v/>
      </c>
      <c r="E552" s="72" t="str">
        <f>IF($K552="","",TRIM(INDEX('Detalle individual'!$E:$E,$K552)))</f>
        <v/>
      </c>
      <c r="F552" s="72" t="str">
        <f>IF($K552="","",TRIM(INDEX('Detalle individual'!$C:$C,$K552)))</f>
        <v/>
      </c>
      <c r="G552" s="72" t="str">
        <f>IF($K552="","",INDEX('Detalle individual'!$D:$D,$K552))</f>
        <v/>
      </c>
      <c r="H552" s="13" t="str">
        <f>IF($K552="","",INDEX('Detalle individual'!$F:$F,$K552))</f>
        <v/>
      </c>
      <c r="I552" s="20" t="str">
        <f>IF($K552="","",IF(INDEX('Detalle individual'!$F:$F,$K552)="Completado",INDEX('Detalle individual'!$H:$H,$K552),""))</f>
        <v/>
      </c>
      <c r="J552" s="21" t="str">
        <f>IF($K552="","",IF(INDEX('Detalle individual'!$F:$F,$K552)="Completado",INDEX('Detalle individual'!$J:$J,$K552),""))</f>
        <v/>
      </c>
      <c r="K552" t="str">
        <f>IFERROR(MOD(SMALL(Cálculos!$Z$5:$Z$1000,544),10000),"")</f>
        <v/>
      </c>
    </row>
    <row r="553">
      <c r="B553" s="13" t="str">
        <f>IF($K553="","",545)</f>
        <v/>
      </c>
      <c r="C553" s="13" t="str">
        <f>IF($K553="","",INDEX('Detalle individual'!$A:$A,$K553))</f>
        <v/>
      </c>
      <c r="D553" s="72" t="str">
        <f>IF($K553="","",TRIM(INDEX('Detalle individual'!$B:$B,$K553)))</f>
        <v/>
      </c>
      <c r="E553" s="72" t="str">
        <f>IF($K553="","",TRIM(INDEX('Detalle individual'!$E:$E,$K553)))</f>
        <v/>
      </c>
      <c r="F553" s="72" t="str">
        <f>IF($K553="","",TRIM(INDEX('Detalle individual'!$C:$C,$K553)))</f>
        <v/>
      </c>
      <c r="G553" s="72" t="str">
        <f>IF($K553="","",INDEX('Detalle individual'!$D:$D,$K553))</f>
        <v/>
      </c>
      <c r="H553" s="13" t="str">
        <f>IF($K553="","",INDEX('Detalle individual'!$F:$F,$K553))</f>
        <v/>
      </c>
      <c r="I553" s="20" t="str">
        <f>IF($K553="","",IF(INDEX('Detalle individual'!$F:$F,$K553)="Completado",INDEX('Detalle individual'!$H:$H,$K553),""))</f>
        <v/>
      </c>
      <c r="J553" s="21" t="str">
        <f>IF($K553="","",IF(INDEX('Detalle individual'!$F:$F,$K553)="Completado",INDEX('Detalle individual'!$J:$J,$K553),""))</f>
        <v/>
      </c>
      <c r="K553" t="str">
        <f>IFERROR(MOD(SMALL(Cálculos!$Z$5:$Z$1000,545),10000),"")</f>
        <v/>
      </c>
    </row>
    <row r="554">
      <c r="B554" s="13" t="str">
        <f>IF($K554="","",546)</f>
        <v/>
      </c>
      <c r="C554" s="13" t="str">
        <f>IF($K554="","",INDEX('Detalle individual'!$A:$A,$K554))</f>
        <v/>
      </c>
      <c r="D554" s="72" t="str">
        <f>IF($K554="","",TRIM(INDEX('Detalle individual'!$B:$B,$K554)))</f>
        <v/>
      </c>
      <c r="E554" s="72" t="str">
        <f>IF($K554="","",TRIM(INDEX('Detalle individual'!$E:$E,$K554)))</f>
        <v/>
      </c>
      <c r="F554" s="72" t="str">
        <f>IF($K554="","",TRIM(INDEX('Detalle individual'!$C:$C,$K554)))</f>
        <v/>
      </c>
      <c r="G554" s="72" t="str">
        <f>IF($K554="","",INDEX('Detalle individual'!$D:$D,$K554))</f>
        <v/>
      </c>
      <c r="H554" s="13" t="str">
        <f>IF($K554="","",INDEX('Detalle individual'!$F:$F,$K554))</f>
        <v/>
      </c>
      <c r="I554" s="20" t="str">
        <f>IF($K554="","",IF(INDEX('Detalle individual'!$F:$F,$K554)="Completado",INDEX('Detalle individual'!$H:$H,$K554),""))</f>
        <v/>
      </c>
      <c r="J554" s="21" t="str">
        <f>IF($K554="","",IF(INDEX('Detalle individual'!$F:$F,$K554)="Completado",INDEX('Detalle individual'!$J:$J,$K554),""))</f>
        <v/>
      </c>
      <c r="K554" t="str">
        <f>IFERROR(MOD(SMALL(Cálculos!$Z$5:$Z$1000,546),10000),"")</f>
        <v/>
      </c>
    </row>
    <row r="555">
      <c r="B555" s="13" t="str">
        <f>IF($K555="","",547)</f>
        <v/>
      </c>
      <c r="C555" s="13" t="str">
        <f>IF($K555="","",INDEX('Detalle individual'!$A:$A,$K555))</f>
        <v/>
      </c>
      <c r="D555" s="72" t="str">
        <f>IF($K555="","",TRIM(INDEX('Detalle individual'!$B:$B,$K555)))</f>
        <v/>
      </c>
      <c r="E555" s="72" t="str">
        <f>IF($K555="","",TRIM(INDEX('Detalle individual'!$E:$E,$K555)))</f>
        <v/>
      </c>
      <c r="F555" s="72" t="str">
        <f>IF($K555="","",TRIM(INDEX('Detalle individual'!$C:$C,$K555)))</f>
        <v/>
      </c>
      <c r="G555" s="72" t="str">
        <f>IF($K555="","",INDEX('Detalle individual'!$D:$D,$K555))</f>
        <v/>
      </c>
      <c r="H555" s="13" t="str">
        <f>IF($K555="","",INDEX('Detalle individual'!$F:$F,$K555))</f>
        <v/>
      </c>
      <c r="I555" s="20" t="str">
        <f>IF($K555="","",IF(INDEX('Detalle individual'!$F:$F,$K555)="Completado",INDEX('Detalle individual'!$H:$H,$K555),""))</f>
        <v/>
      </c>
      <c r="J555" s="21" t="str">
        <f>IF($K555="","",IF(INDEX('Detalle individual'!$F:$F,$K555)="Completado",INDEX('Detalle individual'!$J:$J,$K555),""))</f>
        <v/>
      </c>
      <c r="K555" t="str">
        <f>IFERROR(MOD(SMALL(Cálculos!$Z$5:$Z$1000,547),10000),"")</f>
        <v/>
      </c>
    </row>
    <row r="556">
      <c r="B556" s="13" t="str">
        <f>IF($K556="","",548)</f>
        <v/>
      </c>
      <c r="C556" s="13" t="str">
        <f>IF($K556="","",INDEX('Detalle individual'!$A:$A,$K556))</f>
        <v/>
      </c>
      <c r="D556" s="72" t="str">
        <f>IF($K556="","",TRIM(INDEX('Detalle individual'!$B:$B,$K556)))</f>
        <v/>
      </c>
      <c r="E556" s="72" t="str">
        <f>IF($K556="","",TRIM(INDEX('Detalle individual'!$E:$E,$K556)))</f>
        <v/>
      </c>
      <c r="F556" s="72" t="str">
        <f>IF($K556="","",TRIM(INDEX('Detalle individual'!$C:$C,$K556)))</f>
        <v/>
      </c>
      <c r="G556" s="72" t="str">
        <f>IF($K556="","",INDEX('Detalle individual'!$D:$D,$K556))</f>
        <v/>
      </c>
      <c r="H556" s="13" t="str">
        <f>IF($K556="","",INDEX('Detalle individual'!$F:$F,$K556))</f>
        <v/>
      </c>
      <c r="I556" s="20" t="str">
        <f>IF($K556="","",IF(INDEX('Detalle individual'!$F:$F,$K556)="Completado",INDEX('Detalle individual'!$H:$H,$K556),""))</f>
        <v/>
      </c>
      <c r="J556" s="21" t="str">
        <f>IF($K556="","",IF(INDEX('Detalle individual'!$F:$F,$K556)="Completado",INDEX('Detalle individual'!$J:$J,$K556),""))</f>
        <v/>
      </c>
      <c r="K556" t="str">
        <f>IFERROR(MOD(SMALL(Cálculos!$Z$5:$Z$1000,548),10000),"")</f>
        <v/>
      </c>
    </row>
    <row r="557">
      <c r="B557" s="13" t="str">
        <f>IF($K557="","",549)</f>
        <v/>
      </c>
      <c r="C557" s="13" t="str">
        <f>IF($K557="","",INDEX('Detalle individual'!$A:$A,$K557))</f>
        <v/>
      </c>
      <c r="D557" s="72" t="str">
        <f>IF($K557="","",TRIM(INDEX('Detalle individual'!$B:$B,$K557)))</f>
        <v/>
      </c>
      <c r="E557" s="72" t="str">
        <f>IF($K557="","",TRIM(INDEX('Detalle individual'!$E:$E,$K557)))</f>
        <v/>
      </c>
      <c r="F557" s="72" t="str">
        <f>IF($K557="","",TRIM(INDEX('Detalle individual'!$C:$C,$K557)))</f>
        <v/>
      </c>
      <c r="G557" s="72" t="str">
        <f>IF($K557="","",INDEX('Detalle individual'!$D:$D,$K557))</f>
        <v/>
      </c>
      <c r="H557" s="13" t="str">
        <f>IF($K557="","",INDEX('Detalle individual'!$F:$F,$K557))</f>
        <v/>
      </c>
      <c r="I557" s="20" t="str">
        <f>IF($K557="","",IF(INDEX('Detalle individual'!$F:$F,$K557)="Completado",INDEX('Detalle individual'!$H:$H,$K557),""))</f>
        <v/>
      </c>
      <c r="J557" s="21" t="str">
        <f>IF($K557="","",IF(INDEX('Detalle individual'!$F:$F,$K557)="Completado",INDEX('Detalle individual'!$J:$J,$K557),""))</f>
        <v/>
      </c>
      <c r="K557" t="str">
        <f>IFERROR(MOD(SMALL(Cálculos!$Z$5:$Z$1000,549),10000),"")</f>
        <v/>
      </c>
    </row>
    <row r="558">
      <c r="B558" s="13" t="str">
        <f>IF($K558="","",550)</f>
        <v/>
      </c>
      <c r="C558" s="13" t="str">
        <f>IF($K558="","",INDEX('Detalle individual'!$A:$A,$K558))</f>
        <v/>
      </c>
      <c r="D558" s="72" t="str">
        <f>IF($K558="","",TRIM(INDEX('Detalle individual'!$B:$B,$K558)))</f>
        <v/>
      </c>
      <c r="E558" s="72" t="str">
        <f>IF($K558="","",TRIM(INDEX('Detalle individual'!$E:$E,$K558)))</f>
        <v/>
      </c>
      <c r="F558" s="72" t="str">
        <f>IF($K558="","",TRIM(INDEX('Detalle individual'!$C:$C,$K558)))</f>
        <v/>
      </c>
      <c r="G558" s="72" t="str">
        <f>IF($K558="","",INDEX('Detalle individual'!$D:$D,$K558))</f>
        <v/>
      </c>
      <c r="H558" s="13" t="str">
        <f>IF($K558="","",INDEX('Detalle individual'!$F:$F,$K558))</f>
        <v/>
      </c>
      <c r="I558" s="20" t="str">
        <f>IF($K558="","",IF(INDEX('Detalle individual'!$F:$F,$K558)="Completado",INDEX('Detalle individual'!$H:$H,$K558),""))</f>
        <v/>
      </c>
      <c r="J558" s="21" t="str">
        <f>IF($K558="","",IF(INDEX('Detalle individual'!$F:$F,$K558)="Completado",INDEX('Detalle individual'!$J:$J,$K558),""))</f>
        <v/>
      </c>
      <c r="K558" t="str">
        <f>IFERROR(MOD(SMALL(Cálculos!$Z$5:$Z$1000,550),10000),"")</f>
        <v/>
      </c>
    </row>
    <row r="559">
      <c r="B559" s="13" t="str">
        <f>IF($K559="","",551)</f>
        <v/>
      </c>
      <c r="C559" s="13" t="str">
        <f>IF($K559="","",INDEX('Detalle individual'!$A:$A,$K559))</f>
        <v/>
      </c>
      <c r="D559" s="72" t="str">
        <f>IF($K559="","",TRIM(INDEX('Detalle individual'!$B:$B,$K559)))</f>
        <v/>
      </c>
      <c r="E559" s="72" t="str">
        <f>IF($K559="","",TRIM(INDEX('Detalle individual'!$E:$E,$K559)))</f>
        <v/>
      </c>
      <c r="F559" s="72" t="str">
        <f>IF($K559="","",TRIM(INDEX('Detalle individual'!$C:$C,$K559)))</f>
        <v/>
      </c>
      <c r="G559" s="72" t="str">
        <f>IF($K559="","",INDEX('Detalle individual'!$D:$D,$K559))</f>
        <v/>
      </c>
      <c r="H559" s="13" t="str">
        <f>IF($K559="","",INDEX('Detalle individual'!$F:$F,$K559))</f>
        <v/>
      </c>
      <c r="I559" s="20" t="str">
        <f>IF($K559="","",IF(INDEX('Detalle individual'!$F:$F,$K559)="Completado",INDEX('Detalle individual'!$H:$H,$K559),""))</f>
        <v/>
      </c>
      <c r="J559" s="21" t="str">
        <f>IF($K559="","",IF(INDEX('Detalle individual'!$F:$F,$K559)="Completado",INDEX('Detalle individual'!$J:$J,$K559),""))</f>
        <v/>
      </c>
      <c r="K559" t="str">
        <f>IFERROR(MOD(SMALL(Cálculos!$Z$5:$Z$1000,551),10000),"")</f>
        <v/>
      </c>
    </row>
    <row r="560">
      <c r="B560" s="13" t="str">
        <f>IF($K560="","",552)</f>
        <v/>
      </c>
      <c r="C560" s="13" t="str">
        <f>IF($K560="","",INDEX('Detalle individual'!$A:$A,$K560))</f>
        <v/>
      </c>
      <c r="D560" s="72" t="str">
        <f>IF($K560="","",TRIM(INDEX('Detalle individual'!$B:$B,$K560)))</f>
        <v/>
      </c>
      <c r="E560" s="72" t="str">
        <f>IF($K560="","",TRIM(INDEX('Detalle individual'!$E:$E,$K560)))</f>
        <v/>
      </c>
      <c r="F560" s="72" t="str">
        <f>IF($K560="","",TRIM(INDEX('Detalle individual'!$C:$C,$K560)))</f>
        <v/>
      </c>
      <c r="G560" s="72" t="str">
        <f>IF($K560="","",INDEX('Detalle individual'!$D:$D,$K560))</f>
        <v/>
      </c>
      <c r="H560" s="13" t="str">
        <f>IF($K560="","",INDEX('Detalle individual'!$F:$F,$K560))</f>
        <v/>
      </c>
      <c r="I560" s="20" t="str">
        <f>IF($K560="","",IF(INDEX('Detalle individual'!$F:$F,$K560)="Completado",INDEX('Detalle individual'!$H:$H,$K560),""))</f>
        <v/>
      </c>
      <c r="J560" s="21" t="str">
        <f>IF($K560="","",IF(INDEX('Detalle individual'!$F:$F,$K560)="Completado",INDEX('Detalle individual'!$J:$J,$K560),""))</f>
        <v/>
      </c>
      <c r="K560" t="str">
        <f>IFERROR(MOD(SMALL(Cálculos!$Z$5:$Z$1000,552),10000),"")</f>
        <v/>
      </c>
    </row>
    <row r="561">
      <c r="B561" s="13" t="str">
        <f>IF($K561="","",553)</f>
        <v/>
      </c>
      <c r="C561" s="13" t="str">
        <f>IF($K561="","",INDEX('Detalle individual'!$A:$A,$K561))</f>
        <v/>
      </c>
      <c r="D561" s="72" t="str">
        <f>IF($K561="","",TRIM(INDEX('Detalle individual'!$B:$B,$K561)))</f>
        <v/>
      </c>
      <c r="E561" s="72" t="str">
        <f>IF($K561="","",TRIM(INDEX('Detalle individual'!$E:$E,$K561)))</f>
        <v/>
      </c>
      <c r="F561" s="72" t="str">
        <f>IF($K561="","",TRIM(INDEX('Detalle individual'!$C:$C,$K561)))</f>
        <v/>
      </c>
      <c r="G561" s="72" t="str">
        <f>IF($K561="","",INDEX('Detalle individual'!$D:$D,$K561))</f>
        <v/>
      </c>
      <c r="H561" s="13" t="str">
        <f>IF($K561="","",INDEX('Detalle individual'!$F:$F,$K561))</f>
        <v/>
      </c>
      <c r="I561" s="20" t="str">
        <f>IF($K561="","",IF(INDEX('Detalle individual'!$F:$F,$K561)="Completado",INDEX('Detalle individual'!$H:$H,$K561),""))</f>
        <v/>
      </c>
      <c r="J561" s="21" t="str">
        <f>IF($K561="","",IF(INDEX('Detalle individual'!$F:$F,$K561)="Completado",INDEX('Detalle individual'!$J:$J,$K561),""))</f>
        <v/>
      </c>
      <c r="K561" t="str">
        <f>IFERROR(MOD(SMALL(Cálculos!$Z$5:$Z$1000,553),10000),"")</f>
        <v/>
      </c>
    </row>
    <row r="562">
      <c r="B562" s="13" t="str">
        <f>IF($K562="","",554)</f>
        <v/>
      </c>
      <c r="C562" s="13" t="str">
        <f>IF($K562="","",INDEX('Detalle individual'!$A:$A,$K562))</f>
        <v/>
      </c>
      <c r="D562" s="72" t="str">
        <f>IF($K562="","",TRIM(INDEX('Detalle individual'!$B:$B,$K562)))</f>
        <v/>
      </c>
      <c r="E562" s="72" t="str">
        <f>IF($K562="","",TRIM(INDEX('Detalle individual'!$E:$E,$K562)))</f>
        <v/>
      </c>
      <c r="F562" s="72" t="str">
        <f>IF($K562="","",TRIM(INDEX('Detalle individual'!$C:$C,$K562)))</f>
        <v/>
      </c>
      <c r="G562" s="72" t="str">
        <f>IF($K562="","",INDEX('Detalle individual'!$D:$D,$K562))</f>
        <v/>
      </c>
      <c r="H562" s="13" t="str">
        <f>IF($K562="","",INDEX('Detalle individual'!$F:$F,$K562))</f>
        <v/>
      </c>
      <c r="I562" s="20" t="str">
        <f>IF($K562="","",IF(INDEX('Detalle individual'!$F:$F,$K562)="Completado",INDEX('Detalle individual'!$H:$H,$K562),""))</f>
        <v/>
      </c>
      <c r="J562" s="21" t="str">
        <f>IF($K562="","",IF(INDEX('Detalle individual'!$F:$F,$K562)="Completado",INDEX('Detalle individual'!$J:$J,$K562),""))</f>
        <v/>
      </c>
      <c r="K562" t="str">
        <f>IFERROR(MOD(SMALL(Cálculos!$Z$5:$Z$1000,554),10000),"")</f>
        <v/>
      </c>
    </row>
    <row r="563">
      <c r="B563" s="13" t="str">
        <f>IF($K563="","",555)</f>
        <v/>
      </c>
      <c r="C563" s="13" t="str">
        <f>IF($K563="","",INDEX('Detalle individual'!$A:$A,$K563))</f>
        <v/>
      </c>
      <c r="D563" s="72" t="str">
        <f>IF($K563="","",TRIM(INDEX('Detalle individual'!$B:$B,$K563)))</f>
        <v/>
      </c>
      <c r="E563" s="72" t="str">
        <f>IF($K563="","",TRIM(INDEX('Detalle individual'!$E:$E,$K563)))</f>
        <v/>
      </c>
      <c r="F563" s="72" t="str">
        <f>IF($K563="","",TRIM(INDEX('Detalle individual'!$C:$C,$K563)))</f>
        <v/>
      </c>
      <c r="G563" s="72" t="str">
        <f>IF($K563="","",INDEX('Detalle individual'!$D:$D,$K563))</f>
        <v/>
      </c>
      <c r="H563" s="13" t="str">
        <f>IF($K563="","",INDEX('Detalle individual'!$F:$F,$K563))</f>
        <v/>
      </c>
      <c r="I563" s="20" t="str">
        <f>IF($K563="","",IF(INDEX('Detalle individual'!$F:$F,$K563)="Completado",INDEX('Detalle individual'!$H:$H,$K563),""))</f>
        <v/>
      </c>
      <c r="J563" s="21" t="str">
        <f>IF($K563="","",IF(INDEX('Detalle individual'!$F:$F,$K563)="Completado",INDEX('Detalle individual'!$J:$J,$K563),""))</f>
        <v/>
      </c>
      <c r="K563" t="str">
        <f>IFERROR(MOD(SMALL(Cálculos!$Z$5:$Z$1000,555),10000),"")</f>
        <v/>
      </c>
    </row>
    <row r="564">
      <c r="B564" s="13" t="str">
        <f>IF($K564="","",556)</f>
        <v/>
      </c>
      <c r="C564" s="13" t="str">
        <f>IF($K564="","",INDEX('Detalle individual'!$A:$A,$K564))</f>
        <v/>
      </c>
      <c r="D564" s="72" t="str">
        <f>IF($K564="","",TRIM(INDEX('Detalle individual'!$B:$B,$K564)))</f>
        <v/>
      </c>
      <c r="E564" s="72" t="str">
        <f>IF($K564="","",TRIM(INDEX('Detalle individual'!$E:$E,$K564)))</f>
        <v/>
      </c>
      <c r="F564" s="72" t="str">
        <f>IF($K564="","",TRIM(INDEX('Detalle individual'!$C:$C,$K564)))</f>
        <v/>
      </c>
      <c r="G564" s="72" t="str">
        <f>IF($K564="","",INDEX('Detalle individual'!$D:$D,$K564))</f>
        <v/>
      </c>
      <c r="H564" s="13" t="str">
        <f>IF($K564="","",INDEX('Detalle individual'!$F:$F,$K564))</f>
        <v/>
      </c>
      <c r="I564" s="20" t="str">
        <f>IF($K564="","",IF(INDEX('Detalle individual'!$F:$F,$K564)="Completado",INDEX('Detalle individual'!$H:$H,$K564),""))</f>
        <v/>
      </c>
      <c r="J564" s="21" t="str">
        <f>IF($K564="","",IF(INDEX('Detalle individual'!$F:$F,$K564)="Completado",INDEX('Detalle individual'!$J:$J,$K564),""))</f>
        <v/>
      </c>
      <c r="K564" t="str">
        <f>IFERROR(MOD(SMALL(Cálculos!$Z$5:$Z$1000,556),10000),"")</f>
        <v/>
      </c>
    </row>
    <row r="565">
      <c r="B565" s="13" t="str">
        <f>IF($K565="","",557)</f>
        <v/>
      </c>
      <c r="C565" s="13" t="str">
        <f>IF($K565="","",INDEX('Detalle individual'!$A:$A,$K565))</f>
        <v/>
      </c>
      <c r="D565" s="72" t="str">
        <f>IF($K565="","",TRIM(INDEX('Detalle individual'!$B:$B,$K565)))</f>
        <v/>
      </c>
      <c r="E565" s="72" t="str">
        <f>IF($K565="","",TRIM(INDEX('Detalle individual'!$E:$E,$K565)))</f>
        <v/>
      </c>
      <c r="F565" s="72" t="str">
        <f>IF($K565="","",TRIM(INDEX('Detalle individual'!$C:$C,$K565)))</f>
        <v/>
      </c>
      <c r="G565" s="72" t="str">
        <f>IF($K565="","",INDEX('Detalle individual'!$D:$D,$K565))</f>
        <v/>
      </c>
      <c r="H565" s="13" t="str">
        <f>IF($K565="","",INDEX('Detalle individual'!$F:$F,$K565))</f>
        <v/>
      </c>
      <c r="I565" s="20" t="str">
        <f>IF($K565="","",IF(INDEX('Detalle individual'!$F:$F,$K565)="Completado",INDEX('Detalle individual'!$H:$H,$K565),""))</f>
        <v/>
      </c>
      <c r="J565" s="21" t="str">
        <f>IF($K565="","",IF(INDEX('Detalle individual'!$F:$F,$K565)="Completado",INDEX('Detalle individual'!$J:$J,$K565),""))</f>
        <v/>
      </c>
      <c r="K565" t="str">
        <f>IFERROR(MOD(SMALL(Cálculos!$Z$5:$Z$1000,557),10000),"")</f>
        <v/>
      </c>
    </row>
    <row r="566">
      <c r="B566" s="13" t="str">
        <f>IF($K566="","",558)</f>
        <v/>
      </c>
      <c r="C566" s="13" t="str">
        <f>IF($K566="","",INDEX('Detalle individual'!$A:$A,$K566))</f>
        <v/>
      </c>
      <c r="D566" s="72" t="str">
        <f>IF($K566="","",TRIM(INDEX('Detalle individual'!$B:$B,$K566)))</f>
        <v/>
      </c>
      <c r="E566" s="72" t="str">
        <f>IF($K566="","",TRIM(INDEX('Detalle individual'!$E:$E,$K566)))</f>
        <v/>
      </c>
      <c r="F566" s="72" t="str">
        <f>IF($K566="","",TRIM(INDEX('Detalle individual'!$C:$C,$K566)))</f>
        <v/>
      </c>
      <c r="G566" s="72" t="str">
        <f>IF($K566="","",INDEX('Detalle individual'!$D:$D,$K566))</f>
        <v/>
      </c>
      <c r="H566" s="13" t="str">
        <f>IF($K566="","",INDEX('Detalle individual'!$F:$F,$K566))</f>
        <v/>
      </c>
      <c r="I566" s="20" t="str">
        <f>IF($K566="","",IF(INDEX('Detalle individual'!$F:$F,$K566)="Completado",INDEX('Detalle individual'!$H:$H,$K566),""))</f>
        <v/>
      </c>
      <c r="J566" s="21" t="str">
        <f>IF($K566="","",IF(INDEX('Detalle individual'!$F:$F,$K566)="Completado",INDEX('Detalle individual'!$J:$J,$K566),""))</f>
        <v/>
      </c>
      <c r="K566" t="str">
        <f>IFERROR(MOD(SMALL(Cálculos!$Z$5:$Z$1000,558),10000),"")</f>
        <v/>
      </c>
    </row>
    <row r="567">
      <c r="B567" s="13" t="str">
        <f>IF($K567="","",559)</f>
        <v/>
      </c>
      <c r="C567" s="13" t="str">
        <f>IF($K567="","",INDEX('Detalle individual'!$A:$A,$K567))</f>
        <v/>
      </c>
      <c r="D567" s="72" t="str">
        <f>IF($K567="","",TRIM(INDEX('Detalle individual'!$B:$B,$K567)))</f>
        <v/>
      </c>
      <c r="E567" s="72" t="str">
        <f>IF($K567="","",TRIM(INDEX('Detalle individual'!$E:$E,$K567)))</f>
        <v/>
      </c>
      <c r="F567" s="72" t="str">
        <f>IF($K567="","",TRIM(INDEX('Detalle individual'!$C:$C,$K567)))</f>
        <v/>
      </c>
      <c r="G567" s="72" t="str">
        <f>IF($K567="","",INDEX('Detalle individual'!$D:$D,$K567))</f>
        <v/>
      </c>
      <c r="H567" s="13" t="str">
        <f>IF($K567="","",INDEX('Detalle individual'!$F:$F,$K567))</f>
        <v/>
      </c>
      <c r="I567" s="20" t="str">
        <f>IF($K567="","",IF(INDEX('Detalle individual'!$F:$F,$K567)="Completado",INDEX('Detalle individual'!$H:$H,$K567),""))</f>
        <v/>
      </c>
      <c r="J567" s="21" t="str">
        <f>IF($K567="","",IF(INDEX('Detalle individual'!$F:$F,$K567)="Completado",INDEX('Detalle individual'!$J:$J,$K567),""))</f>
        <v/>
      </c>
      <c r="K567" t="str">
        <f>IFERROR(MOD(SMALL(Cálculos!$Z$5:$Z$1000,559),10000),"")</f>
        <v/>
      </c>
    </row>
    <row r="568">
      <c r="B568" s="13" t="str">
        <f>IF($K568="","",560)</f>
        <v/>
      </c>
      <c r="C568" s="13" t="str">
        <f>IF($K568="","",INDEX('Detalle individual'!$A:$A,$K568))</f>
        <v/>
      </c>
      <c r="D568" s="72" t="str">
        <f>IF($K568="","",TRIM(INDEX('Detalle individual'!$B:$B,$K568)))</f>
        <v/>
      </c>
      <c r="E568" s="72" t="str">
        <f>IF($K568="","",TRIM(INDEX('Detalle individual'!$E:$E,$K568)))</f>
        <v/>
      </c>
      <c r="F568" s="72" t="str">
        <f>IF($K568="","",TRIM(INDEX('Detalle individual'!$C:$C,$K568)))</f>
        <v/>
      </c>
      <c r="G568" s="72" t="str">
        <f>IF($K568="","",INDEX('Detalle individual'!$D:$D,$K568))</f>
        <v/>
      </c>
      <c r="H568" s="13" t="str">
        <f>IF($K568="","",INDEX('Detalle individual'!$F:$F,$K568))</f>
        <v/>
      </c>
      <c r="I568" s="20" t="str">
        <f>IF($K568="","",IF(INDEX('Detalle individual'!$F:$F,$K568)="Completado",INDEX('Detalle individual'!$H:$H,$K568),""))</f>
        <v/>
      </c>
      <c r="J568" s="21" t="str">
        <f>IF($K568="","",IF(INDEX('Detalle individual'!$F:$F,$K568)="Completado",INDEX('Detalle individual'!$J:$J,$K568),""))</f>
        <v/>
      </c>
      <c r="K568" t="str">
        <f>IFERROR(MOD(SMALL(Cálculos!$Z$5:$Z$1000,560),10000),"")</f>
        <v/>
      </c>
    </row>
    <row r="569">
      <c r="B569" s="13" t="str">
        <f>IF($K569="","",561)</f>
        <v/>
      </c>
      <c r="C569" s="13" t="str">
        <f>IF($K569="","",INDEX('Detalle individual'!$A:$A,$K569))</f>
        <v/>
      </c>
      <c r="D569" s="72" t="str">
        <f>IF($K569="","",TRIM(INDEX('Detalle individual'!$B:$B,$K569)))</f>
        <v/>
      </c>
      <c r="E569" s="72" t="str">
        <f>IF($K569="","",TRIM(INDEX('Detalle individual'!$E:$E,$K569)))</f>
        <v/>
      </c>
      <c r="F569" s="72" t="str">
        <f>IF($K569="","",TRIM(INDEX('Detalle individual'!$C:$C,$K569)))</f>
        <v/>
      </c>
      <c r="G569" s="72" t="str">
        <f>IF($K569="","",INDEX('Detalle individual'!$D:$D,$K569))</f>
        <v/>
      </c>
      <c r="H569" s="13" t="str">
        <f>IF($K569="","",INDEX('Detalle individual'!$F:$F,$K569))</f>
        <v/>
      </c>
      <c r="I569" s="20" t="str">
        <f>IF($K569="","",IF(INDEX('Detalle individual'!$F:$F,$K569)="Completado",INDEX('Detalle individual'!$H:$H,$K569),""))</f>
        <v/>
      </c>
      <c r="J569" s="21" t="str">
        <f>IF($K569="","",IF(INDEX('Detalle individual'!$F:$F,$K569)="Completado",INDEX('Detalle individual'!$J:$J,$K569),""))</f>
        <v/>
      </c>
      <c r="K569" t="str">
        <f>IFERROR(MOD(SMALL(Cálculos!$Z$5:$Z$1000,561),10000),"")</f>
        <v/>
      </c>
    </row>
    <row r="570">
      <c r="B570" s="13" t="str">
        <f>IF($K570="","",562)</f>
        <v/>
      </c>
      <c r="C570" s="13" t="str">
        <f>IF($K570="","",INDEX('Detalle individual'!$A:$A,$K570))</f>
        <v/>
      </c>
      <c r="D570" s="72" t="str">
        <f>IF($K570="","",TRIM(INDEX('Detalle individual'!$B:$B,$K570)))</f>
        <v/>
      </c>
      <c r="E570" s="72" t="str">
        <f>IF($K570="","",TRIM(INDEX('Detalle individual'!$E:$E,$K570)))</f>
        <v/>
      </c>
      <c r="F570" s="72" t="str">
        <f>IF($K570="","",TRIM(INDEX('Detalle individual'!$C:$C,$K570)))</f>
        <v/>
      </c>
      <c r="G570" s="72" t="str">
        <f>IF($K570="","",INDEX('Detalle individual'!$D:$D,$K570))</f>
        <v/>
      </c>
      <c r="H570" s="13" t="str">
        <f>IF($K570="","",INDEX('Detalle individual'!$F:$F,$K570))</f>
        <v/>
      </c>
      <c r="I570" s="20" t="str">
        <f>IF($K570="","",IF(INDEX('Detalle individual'!$F:$F,$K570)="Completado",INDEX('Detalle individual'!$H:$H,$K570),""))</f>
        <v/>
      </c>
      <c r="J570" s="21" t="str">
        <f>IF($K570="","",IF(INDEX('Detalle individual'!$F:$F,$K570)="Completado",INDEX('Detalle individual'!$J:$J,$K570),""))</f>
        <v/>
      </c>
      <c r="K570" t="str">
        <f>IFERROR(MOD(SMALL(Cálculos!$Z$5:$Z$1000,562),10000),"")</f>
        <v/>
      </c>
    </row>
    <row r="571">
      <c r="B571" s="13" t="str">
        <f>IF($K571="","",563)</f>
        <v/>
      </c>
      <c r="C571" s="13" t="str">
        <f>IF($K571="","",INDEX('Detalle individual'!$A:$A,$K571))</f>
        <v/>
      </c>
      <c r="D571" s="72" t="str">
        <f>IF($K571="","",TRIM(INDEX('Detalle individual'!$B:$B,$K571)))</f>
        <v/>
      </c>
      <c r="E571" s="72" t="str">
        <f>IF($K571="","",TRIM(INDEX('Detalle individual'!$E:$E,$K571)))</f>
        <v/>
      </c>
      <c r="F571" s="72" t="str">
        <f>IF($K571="","",TRIM(INDEX('Detalle individual'!$C:$C,$K571)))</f>
        <v/>
      </c>
      <c r="G571" s="72" t="str">
        <f>IF($K571="","",INDEX('Detalle individual'!$D:$D,$K571))</f>
        <v/>
      </c>
      <c r="H571" s="13" t="str">
        <f>IF($K571="","",INDEX('Detalle individual'!$F:$F,$K571))</f>
        <v/>
      </c>
      <c r="I571" s="20" t="str">
        <f>IF($K571="","",IF(INDEX('Detalle individual'!$F:$F,$K571)="Completado",INDEX('Detalle individual'!$H:$H,$K571),""))</f>
        <v/>
      </c>
      <c r="J571" s="21" t="str">
        <f>IF($K571="","",IF(INDEX('Detalle individual'!$F:$F,$K571)="Completado",INDEX('Detalle individual'!$J:$J,$K571),""))</f>
        <v/>
      </c>
      <c r="K571" t="str">
        <f>IFERROR(MOD(SMALL(Cálculos!$Z$5:$Z$1000,563),10000),"")</f>
        <v/>
      </c>
    </row>
    <row r="572">
      <c r="B572" s="13" t="str">
        <f>IF($K572="","",564)</f>
        <v/>
      </c>
      <c r="C572" s="13" t="str">
        <f>IF($K572="","",INDEX('Detalle individual'!$A:$A,$K572))</f>
        <v/>
      </c>
      <c r="D572" s="72" t="str">
        <f>IF($K572="","",TRIM(INDEX('Detalle individual'!$B:$B,$K572)))</f>
        <v/>
      </c>
      <c r="E572" s="72" t="str">
        <f>IF($K572="","",TRIM(INDEX('Detalle individual'!$E:$E,$K572)))</f>
        <v/>
      </c>
      <c r="F572" s="72" t="str">
        <f>IF($K572="","",TRIM(INDEX('Detalle individual'!$C:$C,$K572)))</f>
        <v/>
      </c>
      <c r="G572" s="72" t="str">
        <f>IF($K572="","",INDEX('Detalle individual'!$D:$D,$K572))</f>
        <v/>
      </c>
      <c r="H572" s="13" t="str">
        <f>IF($K572="","",INDEX('Detalle individual'!$F:$F,$K572))</f>
        <v/>
      </c>
      <c r="I572" s="20" t="str">
        <f>IF($K572="","",IF(INDEX('Detalle individual'!$F:$F,$K572)="Completado",INDEX('Detalle individual'!$H:$H,$K572),""))</f>
        <v/>
      </c>
      <c r="J572" s="21" t="str">
        <f>IF($K572="","",IF(INDEX('Detalle individual'!$F:$F,$K572)="Completado",INDEX('Detalle individual'!$J:$J,$K572),""))</f>
        <v/>
      </c>
      <c r="K572" t="str">
        <f>IFERROR(MOD(SMALL(Cálculos!$Z$5:$Z$1000,564),10000),"")</f>
        <v/>
      </c>
    </row>
    <row r="573">
      <c r="B573" s="13" t="str">
        <f>IF($K573="","",565)</f>
        <v/>
      </c>
      <c r="C573" s="13" t="str">
        <f>IF($K573="","",INDEX('Detalle individual'!$A:$A,$K573))</f>
        <v/>
      </c>
      <c r="D573" s="72" t="str">
        <f>IF($K573="","",TRIM(INDEX('Detalle individual'!$B:$B,$K573)))</f>
        <v/>
      </c>
      <c r="E573" s="72" t="str">
        <f>IF($K573="","",TRIM(INDEX('Detalle individual'!$E:$E,$K573)))</f>
        <v/>
      </c>
      <c r="F573" s="72" t="str">
        <f>IF($K573="","",TRIM(INDEX('Detalle individual'!$C:$C,$K573)))</f>
        <v/>
      </c>
      <c r="G573" s="72" t="str">
        <f>IF($K573="","",INDEX('Detalle individual'!$D:$D,$K573))</f>
        <v/>
      </c>
      <c r="H573" s="13" t="str">
        <f>IF($K573="","",INDEX('Detalle individual'!$F:$F,$K573))</f>
        <v/>
      </c>
      <c r="I573" s="20" t="str">
        <f>IF($K573="","",IF(INDEX('Detalle individual'!$F:$F,$K573)="Completado",INDEX('Detalle individual'!$H:$H,$K573),""))</f>
        <v/>
      </c>
      <c r="J573" s="21" t="str">
        <f>IF($K573="","",IF(INDEX('Detalle individual'!$F:$F,$K573)="Completado",INDEX('Detalle individual'!$J:$J,$K573),""))</f>
        <v/>
      </c>
      <c r="K573" t="str">
        <f>IFERROR(MOD(SMALL(Cálculos!$Z$5:$Z$1000,565),10000),"")</f>
        <v/>
      </c>
    </row>
    <row r="574">
      <c r="B574" s="13" t="str">
        <f>IF($K574="","",566)</f>
        <v/>
      </c>
      <c r="C574" s="13" t="str">
        <f>IF($K574="","",INDEX('Detalle individual'!$A:$A,$K574))</f>
        <v/>
      </c>
      <c r="D574" s="72" t="str">
        <f>IF($K574="","",TRIM(INDEX('Detalle individual'!$B:$B,$K574)))</f>
        <v/>
      </c>
      <c r="E574" s="72" t="str">
        <f>IF($K574="","",TRIM(INDEX('Detalle individual'!$E:$E,$K574)))</f>
        <v/>
      </c>
      <c r="F574" s="72" t="str">
        <f>IF($K574="","",TRIM(INDEX('Detalle individual'!$C:$C,$K574)))</f>
        <v/>
      </c>
      <c r="G574" s="72" t="str">
        <f>IF($K574="","",INDEX('Detalle individual'!$D:$D,$K574))</f>
        <v/>
      </c>
      <c r="H574" s="13" t="str">
        <f>IF($K574="","",INDEX('Detalle individual'!$F:$F,$K574))</f>
        <v/>
      </c>
      <c r="I574" s="20" t="str">
        <f>IF($K574="","",IF(INDEX('Detalle individual'!$F:$F,$K574)="Completado",INDEX('Detalle individual'!$H:$H,$K574),""))</f>
        <v/>
      </c>
      <c r="J574" s="21" t="str">
        <f>IF($K574="","",IF(INDEX('Detalle individual'!$F:$F,$K574)="Completado",INDEX('Detalle individual'!$J:$J,$K574),""))</f>
        <v/>
      </c>
      <c r="K574" t="str">
        <f>IFERROR(MOD(SMALL(Cálculos!$Z$5:$Z$1000,566),10000),"")</f>
        <v/>
      </c>
    </row>
    <row r="575">
      <c r="B575" s="13" t="str">
        <f>IF($K575="","",567)</f>
        <v/>
      </c>
      <c r="C575" s="13" t="str">
        <f>IF($K575="","",INDEX('Detalle individual'!$A:$A,$K575))</f>
        <v/>
      </c>
      <c r="D575" s="72" t="str">
        <f>IF($K575="","",TRIM(INDEX('Detalle individual'!$B:$B,$K575)))</f>
        <v/>
      </c>
      <c r="E575" s="72" t="str">
        <f>IF($K575="","",TRIM(INDEX('Detalle individual'!$E:$E,$K575)))</f>
        <v/>
      </c>
      <c r="F575" s="72" t="str">
        <f>IF($K575="","",TRIM(INDEX('Detalle individual'!$C:$C,$K575)))</f>
        <v/>
      </c>
      <c r="G575" s="72" t="str">
        <f>IF($K575="","",INDEX('Detalle individual'!$D:$D,$K575))</f>
        <v/>
      </c>
      <c r="H575" s="13" t="str">
        <f>IF($K575="","",INDEX('Detalle individual'!$F:$F,$K575))</f>
        <v/>
      </c>
      <c r="I575" s="20" t="str">
        <f>IF($K575="","",IF(INDEX('Detalle individual'!$F:$F,$K575)="Completado",INDEX('Detalle individual'!$H:$H,$K575),""))</f>
        <v/>
      </c>
      <c r="J575" s="21" t="str">
        <f>IF($K575="","",IF(INDEX('Detalle individual'!$F:$F,$K575)="Completado",INDEX('Detalle individual'!$J:$J,$K575),""))</f>
        <v/>
      </c>
      <c r="K575" t="str">
        <f>IFERROR(MOD(SMALL(Cálculos!$Z$5:$Z$1000,567),10000),"")</f>
        <v/>
      </c>
    </row>
    <row r="576">
      <c r="B576" s="13" t="str">
        <f>IF($K576="","",568)</f>
        <v/>
      </c>
      <c r="C576" s="13" t="str">
        <f>IF($K576="","",INDEX('Detalle individual'!$A:$A,$K576))</f>
        <v/>
      </c>
      <c r="D576" s="72" t="str">
        <f>IF($K576="","",TRIM(INDEX('Detalle individual'!$B:$B,$K576)))</f>
        <v/>
      </c>
      <c r="E576" s="72" t="str">
        <f>IF($K576="","",TRIM(INDEX('Detalle individual'!$E:$E,$K576)))</f>
        <v/>
      </c>
      <c r="F576" s="72" t="str">
        <f>IF($K576="","",TRIM(INDEX('Detalle individual'!$C:$C,$K576)))</f>
        <v/>
      </c>
      <c r="G576" s="72" t="str">
        <f>IF($K576="","",INDEX('Detalle individual'!$D:$D,$K576))</f>
        <v/>
      </c>
      <c r="H576" s="13" t="str">
        <f>IF($K576="","",INDEX('Detalle individual'!$F:$F,$K576))</f>
        <v/>
      </c>
      <c r="I576" s="20" t="str">
        <f>IF($K576="","",IF(INDEX('Detalle individual'!$F:$F,$K576)="Completado",INDEX('Detalle individual'!$H:$H,$K576),""))</f>
        <v/>
      </c>
      <c r="J576" s="21" t="str">
        <f>IF($K576="","",IF(INDEX('Detalle individual'!$F:$F,$K576)="Completado",INDEX('Detalle individual'!$J:$J,$K576),""))</f>
        <v/>
      </c>
      <c r="K576" t="str">
        <f>IFERROR(MOD(SMALL(Cálculos!$Z$5:$Z$1000,568),10000),"")</f>
        <v/>
      </c>
    </row>
    <row r="577">
      <c r="B577" s="13" t="str">
        <f>IF($K577="","",569)</f>
        <v/>
      </c>
      <c r="C577" s="13" t="str">
        <f>IF($K577="","",INDEX('Detalle individual'!$A:$A,$K577))</f>
        <v/>
      </c>
      <c r="D577" s="72" t="str">
        <f>IF($K577="","",TRIM(INDEX('Detalle individual'!$B:$B,$K577)))</f>
        <v/>
      </c>
      <c r="E577" s="72" t="str">
        <f>IF($K577="","",TRIM(INDEX('Detalle individual'!$E:$E,$K577)))</f>
        <v/>
      </c>
      <c r="F577" s="72" t="str">
        <f>IF($K577="","",TRIM(INDEX('Detalle individual'!$C:$C,$K577)))</f>
        <v/>
      </c>
      <c r="G577" s="72" t="str">
        <f>IF($K577="","",INDEX('Detalle individual'!$D:$D,$K577))</f>
        <v/>
      </c>
      <c r="H577" s="13" t="str">
        <f>IF($K577="","",INDEX('Detalle individual'!$F:$F,$K577))</f>
        <v/>
      </c>
      <c r="I577" s="20" t="str">
        <f>IF($K577="","",IF(INDEX('Detalle individual'!$F:$F,$K577)="Completado",INDEX('Detalle individual'!$H:$H,$K577),""))</f>
        <v/>
      </c>
      <c r="J577" s="21" t="str">
        <f>IF($K577="","",IF(INDEX('Detalle individual'!$F:$F,$K577)="Completado",INDEX('Detalle individual'!$J:$J,$K577),""))</f>
        <v/>
      </c>
      <c r="K577" t="str">
        <f>IFERROR(MOD(SMALL(Cálculos!$Z$5:$Z$1000,569),10000),"")</f>
        <v/>
      </c>
    </row>
    <row r="578">
      <c r="B578" s="13" t="str">
        <f>IF($K578="","",570)</f>
        <v/>
      </c>
      <c r="C578" s="13" t="str">
        <f>IF($K578="","",INDEX('Detalle individual'!$A:$A,$K578))</f>
        <v/>
      </c>
      <c r="D578" s="72" t="str">
        <f>IF($K578="","",TRIM(INDEX('Detalle individual'!$B:$B,$K578)))</f>
        <v/>
      </c>
      <c r="E578" s="72" t="str">
        <f>IF($K578="","",TRIM(INDEX('Detalle individual'!$E:$E,$K578)))</f>
        <v/>
      </c>
      <c r="F578" s="72" t="str">
        <f>IF($K578="","",TRIM(INDEX('Detalle individual'!$C:$C,$K578)))</f>
        <v/>
      </c>
      <c r="G578" s="72" t="str">
        <f>IF($K578="","",INDEX('Detalle individual'!$D:$D,$K578))</f>
        <v/>
      </c>
      <c r="H578" s="13" t="str">
        <f>IF($K578="","",INDEX('Detalle individual'!$F:$F,$K578))</f>
        <v/>
      </c>
      <c r="I578" s="20" t="str">
        <f>IF($K578="","",IF(INDEX('Detalle individual'!$F:$F,$K578)="Completado",INDEX('Detalle individual'!$H:$H,$K578),""))</f>
        <v/>
      </c>
      <c r="J578" s="21" t="str">
        <f>IF($K578="","",IF(INDEX('Detalle individual'!$F:$F,$K578)="Completado",INDEX('Detalle individual'!$J:$J,$K578),""))</f>
        <v/>
      </c>
      <c r="K578" t="str">
        <f>IFERROR(MOD(SMALL(Cálculos!$Z$5:$Z$1000,570),10000),"")</f>
        <v/>
      </c>
    </row>
    <row r="579">
      <c r="B579" s="13" t="str">
        <f>IF($K579="","",571)</f>
        <v/>
      </c>
      <c r="C579" s="13" t="str">
        <f>IF($K579="","",INDEX('Detalle individual'!$A:$A,$K579))</f>
        <v/>
      </c>
      <c r="D579" s="72" t="str">
        <f>IF($K579="","",TRIM(INDEX('Detalle individual'!$B:$B,$K579)))</f>
        <v/>
      </c>
      <c r="E579" s="72" t="str">
        <f>IF($K579="","",TRIM(INDEX('Detalle individual'!$E:$E,$K579)))</f>
        <v/>
      </c>
      <c r="F579" s="72" t="str">
        <f>IF($K579="","",TRIM(INDEX('Detalle individual'!$C:$C,$K579)))</f>
        <v/>
      </c>
      <c r="G579" s="72" t="str">
        <f>IF($K579="","",INDEX('Detalle individual'!$D:$D,$K579))</f>
        <v/>
      </c>
      <c r="H579" s="13" t="str">
        <f>IF($K579="","",INDEX('Detalle individual'!$F:$F,$K579))</f>
        <v/>
      </c>
      <c r="I579" s="20" t="str">
        <f>IF($K579="","",IF(INDEX('Detalle individual'!$F:$F,$K579)="Completado",INDEX('Detalle individual'!$H:$H,$K579),""))</f>
        <v/>
      </c>
      <c r="J579" s="21" t="str">
        <f>IF($K579="","",IF(INDEX('Detalle individual'!$F:$F,$K579)="Completado",INDEX('Detalle individual'!$J:$J,$K579),""))</f>
        <v/>
      </c>
      <c r="K579" t="str">
        <f>IFERROR(MOD(SMALL(Cálculos!$Z$5:$Z$1000,571),10000),"")</f>
        <v/>
      </c>
    </row>
    <row r="580">
      <c r="B580" s="13" t="str">
        <f>IF($K580="","",572)</f>
        <v/>
      </c>
      <c r="C580" s="13" t="str">
        <f>IF($K580="","",INDEX('Detalle individual'!$A:$A,$K580))</f>
        <v/>
      </c>
      <c r="D580" s="72" t="str">
        <f>IF($K580="","",TRIM(INDEX('Detalle individual'!$B:$B,$K580)))</f>
        <v/>
      </c>
      <c r="E580" s="72" t="str">
        <f>IF($K580="","",TRIM(INDEX('Detalle individual'!$E:$E,$K580)))</f>
        <v/>
      </c>
      <c r="F580" s="72" t="str">
        <f>IF($K580="","",TRIM(INDEX('Detalle individual'!$C:$C,$K580)))</f>
        <v/>
      </c>
      <c r="G580" s="72" t="str">
        <f>IF($K580="","",INDEX('Detalle individual'!$D:$D,$K580))</f>
        <v/>
      </c>
      <c r="H580" s="13" t="str">
        <f>IF($K580="","",INDEX('Detalle individual'!$F:$F,$K580))</f>
        <v/>
      </c>
      <c r="I580" s="20" t="str">
        <f>IF($K580="","",IF(INDEX('Detalle individual'!$F:$F,$K580)="Completado",INDEX('Detalle individual'!$H:$H,$K580),""))</f>
        <v/>
      </c>
      <c r="J580" s="21" t="str">
        <f>IF($K580="","",IF(INDEX('Detalle individual'!$F:$F,$K580)="Completado",INDEX('Detalle individual'!$J:$J,$K580),""))</f>
        <v/>
      </c>
      <c r="K580" t="str">
        <f>IFERROR(MOD(SMALL(Cálculos!$Z$5:$Z$1000,572),10000),"")</f>
        <v/>
      </c>
    </row>
    <row r="581">
      <c r="B581" s="13" t="str">
        <f>IF($K581="","",573)</f>
        <v/>
      </c>
      <c r="C581" s="13" t="str">
        <f>IF($K581="","",INDEX('Detalle individual'!$A:$A,$K581))</f>
        <v/>
      </c>
      <c r="D581" s="72" t="str">
        <f>IF($K581="","",TRIM(INDEX('Detalle individual'!$B:$B,$K581)))</f>
        <v/>
      </c>
      <c r="E581" s="72" t="str">
        <f>IF($K581="","",TRIM(INDEX('Detalle individual'!$E:$E,$K581)))</f>
        <v/>
      </c>
      <c r="F581" s="72" t="str">
        <f>IF($K581="","",TRIM(INDEX('Detalle individual'!$C:$C,$K581)))</f>
        <v/>
      </c>
      <c r="G581" s="72" t="str">
        <f>IF($K581="","",INDEX('Detalle individual'!$D:$D,$K581))</f>
        <v/>
      </c>
      <c r="H581" s="13" t="str">
        <f>IF($K581="","",INDEX('Detalle individual'!$F:$F,$K581))</f>
        <v/>
      </c>
      <c r="I581" s="20" t="str">
        <f>IF($K581="","",IF(INDEX('Detalle individual'!$F:$F,$K581)="Completado",INDEX('Detalle individual'!$H:$H,$K581),""))</f>
        <v/>
      </c>
      <c r="J581" s="21" t="str">
        <f>IF($K581="","",IF(INDEX('Detalle individual'!$F:$F,$K581)="Completado",INDEX('Detalle individual'!$J:$J,$K581),""))</f>
        <v/>
      </c>
      <c r="K581" t="str">
        <f>IFERROR(MOD(SMALL(Cálculos!$Z$5:$Z$1000,573),10000),"")</f>
        <v/>
      </c>
    </row>
    <row r="582">
      <c r="B582" s="13" t="str">
        <f>IF($K582="","",574)</f>
        <v/>
      </c>
      <c r="C582" s="13" t="str">
        <f>IF($K582="","",INDEX('Detalle individual'!$A:$A,$K582))</f>
        <v/>
      </c>
      <c r="D582" s="72" t="str">
        <f>IF($K582="","",TRIM(INDEX('Detalle individual'!$B:$B,$K582)))</f>
        <v/>
      </c>
      <c r="E582" s="72" t="str">
        <f>IF($K582="","",TRIM(INDEX('Detalle individual'!$E:$E,$K582)))</f>
        <v/>
      </c>
      <c r="F582" s="72" t="str">
        <f>IF($K582="","",TRIM(INDEX('Detalle individual'!$C:$C,$K582)))</f>
        <v/>
      </c>
      <c r="G582" s="72" t="str">
        <f>IF($K582="","",INDEX('Detalle individual'!$D:$D,$K582))</f>
        <v/>
      </c>
      <c r="H582" s="13" t="str">
        <f>IF($K582="","",INDEX('Detalle individual'!$F:$F,$K582))</f>
        <v/>
      </c>
      <c r="I582" s="20" t="str">
        <f>IF($K582="","",IF(INDEX('Detalle individual'!$F:$F,$K582)="Completado",INDEX('Detalle individual'!$H:$H,$K582),""))</f>
        <v/>
      </c>
      <c r="J582" s="21" t="str">
        <f>IF($K582="","",IF(INDEX('Detalle individual'!$F:$F,$K582)="Completado",INDEX('Detalle individual'!$J:$J,$K582),""))</f>
        <v/>
      </c>
      <c r="K582" t="str">
        <f>IFERROR(MOD(SMALL(Cálculos!$Z$5:$Z$1000,574),10000),"")</f>
        <v/>
      </c>
    </row>
    <row r="583">
      <c r="B583" s="13" t="str">
        <f>IF($K583="","",575)</f>
        <v/>
      </c>
      <c r="C583" s="13" t="str">
        <f>IF($K583="","",INDEX('Detalle individual'!$A:$A,$K583))</f>
        <v/>
      </c>
      <c r="D583" s="72" t="str">
        <f>IF($K583="","",TRIM(INDEX('Detalle individual'!$B:$B,$K583)))</f>
        <v/>
      </c>
      <c r="E583" s="72" t="str">
        <f>IF($K583="","",TRIM(INDEX('Detalle individual'!$E:$E,$K583)))</f>
        <v/>
      </c>
      <c r="F583" s="72" t="str">
        <f>IF($K583="","",TRIM(INDEX('Detalle individual'!$C:$C,$K583)))</f>
        <v/>
      </c>
      <c r="G583" s="72" t="str">
        <f>IF($K583="","",INDEX('Detalle individual'!$D:$D,$K583))</f>
        <v/>
      </c>
      <c r="H583" s="13" t="str">
        <f>IF($K583="","",INDEX('Detalle individual'!$F:$F,$K583))</f>
        <v/>
      </c>
      <c r="I583" s="20" t="str">
        <f>IF($K583="","",IF(INDEX('Detalle individual'!$F:$F,$K583)="Completado",INDEX('Detalle individual'!$H:$H,$K583),""))</f>
        <v/>
      </c>
      <c r="J583" s="21" t="str">
        <f>IF($K583="","",IF(INDEX('Detalle individual'!$F:$F,$K583)="Completado",INDEX('Detalle individual'!$J:$J,$K583),""))</f>
        <v/>
      </c>
      <c r="K583" t="str">
        <f>IFERROR(MOD(SMALL(Cálculos!$Z$5:$Z$1000,575),10000),"")</f>
        <v/>
      </c>
    </row>
    <row r="584">
      <c r="B584" s="13" t="str">
        <f>IF($K584="","",576)</f>
        <v/>
      </c>
      <c r="C584" s="13" t="str">
        <f>IF($K584="","",INDEX('Detalle individual'!$A:$A,$K584))</f>
        <v/>
      </c>
      <c r="D584" s="72" t="str">
        <f>IF($K584="","",TRIM(INDEX('Detalle individual'!$B:$B,$K584)))</f>
        <v/>
      </c>
      <c r="E584" s="72" t="str">
        <f>IF($K584="","",TRIM(INDEX('Detalle individual'!$E:$E,$K584)))</f>
        <v/>
      </c>
      <c r="F584" s="72" t="str">
        <f>IF($K584="","",TRIM(INDEX('Detalle individual'!$C:$C,$K584)))</f>
        <v/>
      </c>
      <c r="G584" s="72" t="str">
        <f>IF($K584="","",INDEX('Detalle individual'!$D:$D,$K584))</f>
        <v/>
      </c>
      <c r="H584" s="13" t="str">
        <f>IF($K584="","",INDEX('Detalle individual'!$F:$F,$K584))</f>
        <v/>
      </c>
      <c r="I584" s="20" t="str">
        <f>IF($K584="","",IF(INDEX('Detalle individual'!$F:$F,$K584)="Completado",INDEX('Detalle individual'!$H:$H,$K584),""))</f>
        <v/>
      </c>
      <c r="J584" s="21" t="str">
        <f>IF($K584="","",IF(INDEX('Detalle individual'!$F:$F,$K584)="Completado",INDEX('Detalle individual'!$J:$J,$K584),""))</f>
        <v/>
      </c>
      <c r="K584" t="str">
        <f>IFERROR(MOD(SMALL(Cálculos!$Z$5:$Z$1000,576),10000),"")</f>
        <v/>
      </c>
    </row>
    <row r="585">
      <c r="B585" s="13" t="str">
        <f>IF($K585="","",577)</f>
        <v/>
      </c>
      <c r="C585" s="13" t="str">
        <f>IF($K585="","",INDEX('Detalle individual'!$A:$A,$K585))</f>
        <v/>
      </c>
      <c r="D585" s="72" t="str">
        <f>IF($K585="","",TRIM(INDEX('Detalle individual'!$B:$B,$K585)))</f>
        <v/>
      </c>
      <c r="E585" s="72" t="str">
        <f>IF($K585="","",TRIM(INDEX('Detalle individual'!$E:$E,$K585)))</f>
        <v/>
      </c>
      <c r="F585" s="72" t="str">
        <f>IF($K585="","",TRIM(INDEX('Detalle individual'!$C:$C,$K585)))</f>
        <v/>
      </c>
      <c r="G585" s="72" t="str">
        <f>IF($K585="","",INDEX('Detalle individual'!$D:$D,$K585))</f>
        <v/>
      </c>
      <c r="H585" s="13" t="str">
        <f>IF($K585="","",INDEX('Detalle individual'!$F:$F,$K585))</f>
        <v/>
      </c>
      <c r="I585" s="20" t="str">
        <f>IF($K585="","",IF(INDEX('Detalle individual'!$F:$F,$K585)="Completado",INDEX('Detalle individual'!$H:$H,$K585),""))</f>
        <v/>
      </c>
      <c r="J585" s="21" t="str">
        <f>IF($K585="","",IF(INDEX('Detalle individual'!$F:$F,$K585)="Completado",INDEX('Detalle individual'!$J:$J,$K585),""))</f>
        <v/>
      </c>
      <c r="K585" t="str">
        <f>IFERROR(MOD(SMALL(Cálculos!$Z$5:$Z$1000,577),10000),"")</f>
        <v/>
      </c>
    </row>
    <row r="586">
      <c r="B586" s="13" t="str">
        <f>IF($K586="","",578)</f>
        <v/>
      </c>
      <c r="C586" s="13" t="str">
        <f>IF($K586="","",INDEX('Detalle individual'!$A:$A,$K586))</f>
        <v/>
      </c>
      <c r="D586" s="72" t="str">
        <f>IF($K586="","",TRIM(INDEX('Detalle individual'!$B:$B,$K586)))</f>
        <v/>
      </c>
      <c r="E586" s="72" t="str">
        <f>IF($K586="","",TRIM(INDEX('Detalle individual'!$E:$E,$K586)))</f>
        <v/>
      </c>
      <c r="F586" s="72" t="str">
        <f>IF($K586="","",TRIM(INDEX('Detalle individual'!$C:$C,$K586)))</f>
        <v/>
      </c>
      <c r="G586" s="72" t="str">
        <f>IF($K586="","",INDEX('Detalle individual'!$D:$D,$K586))</f>
        <v/>
      </c>
      <c r="H586" s="13" t="str">
        <f>IF($K586="","",INDEX('Detalle individual'!$F:$F,$K586))</f>
        <v/>
      </c>
      <c r="I586" s="20" t="str">
        <f>IF($K586="","",IF(INDEX('Detalle individual'!$F:$F,$K586)="Completado",INDEX('Detalle individual'!$H:$H,$K586),""))</f>
        <v/>
      </c>
      <c r="J586" s="21" t="str">
        <f>IF($K586="","",IF(INDEX('Detalle individual'!$F:$F,$K586)="Completado",INDEX('Detalle individual'!$J:$J,$K586),""))</f>
        <v/>
      </c>
      <c r="K586" t="str">
        <f>IFERROR(MOD(SMALL(Cálculos!$Z$5:$Z$1000,578),10000),"")</f>
        <v/>
      </c>
    </row>
    <row r="587">
      <c r="B587" s="13" t="str">
        <f>IF($K587="","",579)</f>
        <v/>
      </c>
      <c r="C587" s="13" t="str">
        <f>IF($K587="","",INDEX('Detalle individual'!$A:$A,$K587))</f>
        <v/>
      </c>
      <c r="D587" s="72" t="str">
        <f>IF($K587="","",TRIM(INDEX('Detalle individual'!$B:$B,$K587)))</f>
        <v/>
      </c>
      <c r="E587" s="72" t="str">
        <f>IF($K587="","",TRIM(INDEX('Detalle individual'!$E:$E,$K587)))</f>
        <v/>
      </c>
      <c r="F587" s="72" t="str">
        <f>IF($K587="","",TRIM(INDEX('Detalle individual'!$C:$C,$K587)))</f>
        <v/>
      </c>
      <c r="G587" s="72" t="str">
        <f>IF($K587="","",INDEX('Detalle individual'!$D:$D,$K587))</f>
        <v/>
      </c>
      <c r="H587" s="13" t="str">
        <f>IF($K587="","",INDEX('Detalle individual'!$F:$F,$K587))</f>
        <v/>
      </c>
      <c r="I587" s="20" t="str">
        <f>IF($K587="","",IF(INDEX('Detalle individual'!$F:$F,$K587)="Completado",INDEX('Detalle individual'!$H:$H,$K587),""))</f>
        <v/>
      </c>
      <c r="J587" s="21" t="str">
        <f>IF($K587="","",IF(INDEX('Detalle individual'!$F:$F,$K587)="Completado",INDEX('Detalle individual'!$J:$J,$K587),""))</f>
        <v/>
      </c>
      <c r="K587" t="str">
        <f>IFERROR(MOD(SMALL(Cálculos!$Z$5:$Z$1000,579),10000),"")</f>
        <v/>
      </c>
    </row>
    <row r="588">
      <c r="B588" s="13" t="str">
        <f>IF($K588="","",580)</f>
        <v/>
      </c>
      <c r="C588" s="13" t="str">
        <f>IF($K588="","",INDEX('Detalle individual'!$A:$A,$K588))</f>
        <v/>
      </c>
      <c r="D588" s="72" t="str">
        <f>IF($K588="","",TRIM(INDEX('Detalle individual'!$B:$B,$K588)))</f>
        <v/>
      </c>
      <c r="E588" s="72" t="str">
        <f>IF($K588="","",TRIM(INDEX('Detalle individual'!$E:$E,$K588)))</f>
        <v/>
      </c>
      <c r="F588" s="72" t="str">
        <f>IF($K588="","",TRIM(INDEX('Detalle individual'!$C:$C,$K588)))</f>
        <v/>
      </c>
      <c r="G588" s="72" t="str">
        <f>IF($K588="","",INDEX('Detalle individual'!$D:$D,$K588))</f>
        <v/>
      </c>
      <c r="H588" s="13" t="str">
        <f>IF($K588="","",INDEX('Detalle individual'!$F:$F,$K588))</f>
        <v/>
      </c>
      <c r="I588" s="20" t="str">
        <f>IF($K588="","",IF(INDEX('Detalle individual'!$F:$F,$K588)="Completado",INDEX('Detalle individual'!$H:$H,$K588),""))</f>
        <v/>
      </c>
      <c r="J588" s="21" t="str">
        <f>IF($K588="","",IF(INDEX('Detalle individual'!$F:$F,$K588)="Completado",INDEX('Detalle individual'!$J:$J,$K588),""))</f>
        <v/>
      </c>
      <c r="K588" t="str">
        <f>IFERROR(MOD(SMALL(Cálculos!$Z$5:$Z$1000,580),10000),"")</f>
        <v/>
      </c>
    </row>
    <row r="589">
      <c r="B589" s="13" t="str">
        <f>IF($K589="","",581)</f>
        <v/>
      </c>
      <c r="C589" s="13" t="str">
        <f>IF($K589="","",INDEX('Detalle individual'!$A:$A,$K589))</f>
        <v/>
      </c>
      <c r="D589" s="72" t="str">
        <f>IF($K589="","",TRIM(INDEX('Detalle individual'!$B:$B,$K589)))</f>
        <v/>
      </c>
      <c r="E589" s="72" t="str">
        <f>IF($K589="","",TRIM(INDEX('Detalle individual'!$E:$E,$K589)))</f>
        <v/>
      </c>
      <c r="F589" s="72" t="str">
        <f>IF($K589="","",TRIM(INDEX('Detalle individual'!$C:$C,$K589)))</f>
        <v/>
      </c>
      <c r="G589" s="72" t="str">
        <f>IF($K589="","",INDEX('Detalle individual'!$D:$D,$K589))</f>
        <v/>
      </c>
      <c r="H589" s="13" t="str">
        <f>IF($K589="","",INDEX('Detalle individual'!$F:$F,$K589))</f>
        <v/>
      </c>
      <c r="I589" s="20" t="str">
        <f>IF($K589="","",IF(INDEX('Detalle individual'!$F:$F,$K589)="Completado",INDEX('Detalle individual'!$H:$H,$K589),""))</f>
        <v/>
      </c>
      <c r="J589" s="21" t="str">
        <f>IF($K589="","",IF(INDEX('Detalle individual'!$F:$F,$K589)="Completado",INDEX('Detalle individual'!$J:$J,$K589),""))</f>
        <v/>
      </c>
      <c r="K589" t="str">
        <f>IFERROR(MOD(SMALL(Cálculos!$Z$5:$Z$1000,581),10000),"")</f>
        <v/>
      </c>
    </row>
    <row r="590">
      <c r="B590" s="13" t="str">
        <f>IF($K590="","",582)</f>
        <v/>
      </c>
      <c r="C590" s="13" t="str">
        <f>IF($K590="","",INDEX('Detalle individual'!$A:$A,$K590))</f>
        <v/>
      </c>
      <c r="D590" s="72" t="str">
        <f>IF($K590="","",TRIM(INDEX('Detalle individual'!$B:$B,$K590)))</f>
        <v/>
      </c>
      <c r="E590" s="72" t="str">
        <f>IF($K590="","",TRIM(INDEX('Detalle individual'!$E:$E,$K590)))</f>
        <v/>
      </c>
      <c r="F590" s="72" t="str">
        <f>IF($K590="","",TRIM(INDEX('Detalle individual'!$C:$C,$K590)))</f>
        <v/>
      </c>
      <c r="G590" s="72" t="str">
        <f>IF($K590="","",INDEX('Detalle individual'!$D:$D,$K590))</f>
        <v/>
      </c>
      <c r="H590" s="13" t="str">
        <f>IF($K590="","",INDEX('Detalle individual'!$F:$F,$K590))</f>
        <v/>
      </c>
      <c r="I590" s="20" t="str">
        <f>IF($K590="","",IF(INDEX('Detalle individual'!$F:$F,$K590)="Completado",INDEX('Detalle individual'!$H:$H,$K590),""))</f>
        <v/>
      </c>
      <c r="J590" s="21" t="str">
        <f>IF($K590="","",IF(INDEX('Detalle individual'!$F:$F,$K590)="Completado",INDEX('Detalle individual'!$J:$J,$K590),""))</f>
        <v/>
      </c>
      <c r="K590" t="str">
        <f>IFERROR(MOD(SMALL(Cálculos!$Z$5:$Z$1000,582),10000),"")</f>
        <v/>
      </c>
    </row>
    <row r="591">
      <c r="B591" s="13" t="str">
        <f>IF($K591="","",583)</f>
        <v/>
      </c>
      <c r="C591" s="13" t="str">
        <f>IF($K591="","",INDEX('Detalle individual'!$A:$A,$K591))</f>
        <v/>
      </c>
      <c r="D591" s="72" t="str">
        <f>IF($K591="","",TRIM(INDEX('Detalle individual'!$B:$B,$K591)))</f>
        <v/>
      </c>
      <c r="E591" s="72" t="str">
        <f>IF($K591="","",TRIM(INDEX('Detalle individual'!$E:$E,$K591)))</f>
        <v/>
      </c>
      <c r="F591" s="72" t="str">
        <f>IF($K591="","",TRIM(INDEX('Detalle individual'!$C:$C,$K591)))</f>
        <v/>
      </c>
      <c r="G591" s="72" t="str">
        <f>IF($K591="","",INDEX('Detalle individual'!$D:$D,$K591))</f>
        <v/>
      </c>
      <c r="H591" s="13" t="str">
        <f>IF($K591="","",INDEX('Detalle individual'!$F:$F,$K591))</f>
        <v/>
      </c>
      <c r="I591" s="20" t="str">
        <f>IF($K591="","",IF(INDEX('Detalle individual'!$F:$F,$K591)="Completado",INDEX('Detalle individual'!$H:$H,$K591),""))</f>
        <v/>
      </c>
      <c r="J591" s="21" t="str">
        <f>IF($K591="","",IF(INDEX('Detalle individual'!$F:$F,$K591)="Completado",INDEX('Detalle individual'!$J:$J,$K591),""))</f>
        <v/>
      </c>
      <c r="K591" t="str">
        <f>IFERROR(MOD(SMALL(Cálculos!$Z$5:$Z$1000,583),10000),"")</f>
        <v/>
      </c>
    </row>
    <row r="592">
      <c r="B592" s="13" t="str">
        <f>IF($K592="","",584)</f>
        <v/>
      </c>
      <c r="C592" s="13" t="str">
        <f>IF($K592="","",INDEX('Detalle individual'!$A:$A,$K592))</f>
        <v/>
      </c>
      <c r="D592" s="72" t="str">
        <f>IF($K592="","",TRIM(INDEX('Detalle individual'!$B:$B,$K592)))</f>
        <v/>
      </c>
      <c r="E592" s="72" t="str">
        <f>IF($K592="","",TRIM(INDEX('Detalle individual'!$E:$E,$K592)))</f>
        <v/>
      </c>
      <c r="F592" s="72" t="str">
        <f>IF($K592="","",TRIM(INDEX('Detalle individual'!$C:$C,$K592)))</f>
        <v/>
      </c>
      <c r="G592" s="72" t="str">
        <f>IF($K592="","",INDEX('Detalle individual'!$D:$D,$K592))</f>
        <v/>
      </c>
      <c r="H592" s="13" t="str">
        <f>IF($K592="","",INDEX('Detalle individual'!$F:$F,$K592))</f>
        <v/>
      </c>
      <c r="I592" s="20" t="str">
        <f>IF($K592="","",IF(INDEX('Detalle individual'!$F:$F,$K592)="Completado",INDEX('Detalle individual'!$H:$H,$K592),""))</f>
        <v/>
      </c>
      <c r="J592" s="21" t="str">
        <f>IF($K592="","",IF(INDEX('Detalle individual'!$F:$F,$K592)="Completado",INDEX('Detalle individual'!$J:$J,$K592),""))</f>
        <v/>
      </c>
      <c r="K592" t="str">
        <f>IFERROR(MOD(SMALL(Cálculos!$Z$5:$Z$1000,584),10000),"")</f>
        <v/>
      </c>
    </row>
    <row r="593">
      <c r="B593" s="13" t="str">
        <f>IF($K593="","",585)</f>
        <v/>
      </c>
      <c r="C593" s="13" t="str">
        <f>IF($K593="","",INDEX('Detalle individual'!$A:$A,$K593))</f>
        <v/>
      </c>
      <c r="D593" s="72" t="str">
        <f>IF($K593="","",TRIM(INDEX('Detalle individual'!$B:$B,$K593)))</f>
        <v/>
      </c>
      <c r="E593" s="72" t="str">
        <f>IF($K593="","",TRIM(INDEX('Detalle individual'!$E:$E,$K593)))</f>
        <v/>
      </c>
      <c r="F593" s="72" t="str">
        <f>IF($K593="","",TRIM(INDEX('Detalle individual'!$C:$C,$K593)))</f>
        <v/>
      </c>
      <c r="G593" s="72" t="str">
        <f>IF($K593="","",INDEX('Detalle individual'!$D:$D,$K593))</f>
        <v/>
      </c>
      <c r="H593" s="13" t="str">
        <f>IF($K593="","",INDEX('Detalle individual'!$F:$F,$K593))</f>
        <v/>
      </c>
      <c r="I593" s="20" t="str">
        <f>IF($K593="","",IF(INDEX('Detalle individual'!$F:$F,$K593)="Completado",INDEX('Detalle individual'!$H:$H,$K593),""))</f>
        <v/>
      </c>
      <c r="J593" s="21" t="str">
        <f>IF($K593="","",IF(INDEX('Detalle individual'!$F:$F,$K593)="Completado",INDEX('Detalle individual'!$J:$J,$K593),""))</f>
        <v/>
      </c>
      <c r="K593" t="str">
        <f>IFERROR(MOD(SMALL(Cálculos!$Z$5:$Z$1000,585),10000),"")</f>
        <v/>
      </c>
    </row>
    <row r="594">
      <c r="B594" s="13" t="str">
        <f>IF($K594="","",586)</f>
        <v/>
      </c>
      <c r="C594" s="13" t="str">
        <f>IF($K594="","",INDEX('Detalle individual'!$A:$A,$K594))</f>
        <v/>
      </c>
      <c r="D594" s="72" t="str">
        <f>IF($K594="","",TRIM(INDEX('Detalle individual'!$B:$B,$K594)))</f>
        <v/>
      </c>
      <c r="E594" s="72" t="str">
        <f>IF($K594="","",TRIM(INDEX('Detalle individual'!$E:$E,$K594)))</f>
        <v/>
      </c>
      <c r="F594" s="72" t="str">
        <f>IF($K594="","",TRIM(INDEX('Detalle individual'!$C:$C,$K594)))</f>
        <v/>
      </c>
      <c r="G594" s="72" t="str">
        <f>IF($K594="","",INDEX('Detalle individual'!$D:$D,$K594))</f>
        <v/>
      </c>
      <c r="H594" s="13" t="str">
        <f>IF($K594="","",INDEX('Detalle individual'!$F:$F,$K594))</f>
        <v/>
      </c>
      <c r="I594" s="20" t="str">
        <f>IF($K594="","",IF(INDEX('Detalle individual'!$F:$F,$K594)="Completado",INDEX('Detalle individual'!$H:$H,$K594),""))</f>
        <v/>
      </c>
      <c r="J594" s="21" t="str">
        <f>IF($K594="","",IF(INDEX('Detalle individual'!$F:$F,$K594)="Completado",INDEX('Detalle individual'!$J:$J,$K594),""))</f>
        <v/>
      </c>
      <c r="K594" t="str">
        <f>IFERROR(MOD(SMALL(Cálculos!$Z$5:$Z$1000,586),10000),"")</f>
        <v/>
      </c>
    </row>
    <row r="595">
      <c r="B595" s="13" t="str">
        <f>IF($K595="","",587)</f>
        <v/>
      </c>
      <c r="C595" s="13" t="str">
        <f>IF($K595="","",INDEX('Detalle individual'!$A:$A,$K595))</f>
        <v/>
      </c>
      <c r="D595" s="72" t="str">
        <f>IF($K595="","",TRIM(INDEX('Detalle individual'!$B:$B,$K595)))</f>
        <v/>
      </c>
      <c r="E595" s="72" t="str">
        <f>IF($K595="","",TRIM(INDEX('Detalle individual'!$E:$E,$K595)))</f>
        <v/>
      </c>
      <c r="F595" s="72" t="str">
        <f>IF($K595="","",TRIM(INDEX('Detalle individual'!$C:$C,$K595)))</f>
        <v/>
      </c>
      <c r="G595" s="72" t="str">
        <f>IF($K595="","",INDEX('Detalle individual'!$D:$D,$K595))</f>
        <v/>
      </c>
      <c r="H595" s="13" t="str">
        <f>IF($K595="","",INDEX('Detalle individual'!$F:$F,$K595))</f>
        <v/>
      </c>
      <c r="I595" s="20" t="str">
        <f>IF($K595="","",IF(INDEX('Detalle individual'!$F:$F,$K595)="Completado",INDEX('Detalle individual'!$H:$H,$K595),""))</f>
        <v/>
      </c>
      <c r="J595" s="21" t="str">
        <f>IF($K595="","",IF(INDEX('Detalle individual'!$F:$F,$K595)="Completado",INDEX('Detalle individual'!$J:$J,$K595),""))</f>
        <v/>
      </c>
      <c r="K595" t="str">
        <f>IFERROR(MOD(SMALL(Cálculos!$Z$5:$Z$1000,587),10000),"")</f>
        <v/>
      </c>
    </row>
    <row r="596">
      <c r="B596" s="13" t="str">
        <f>IF($K596="","",588)</f>
        <v/>
      </c>
      <c r="C596" s="13" t="str">
        <f>IF($K596="","",INDEX('Detalle individual'!$A:$A,$K596))</f>
        <v/>
      </c>
      <c r="D596" s="72" t="str">
        <f>IF($K596="","",TRIM(INDEX('Detalle individual'!$B:$B,$K596)))</f>
        <v/>
      </c>
      <c r="E596" s="72" t="str">
        <f>IF($K596="","",TRIM(INDEX('Detalle individual'!$E:$E,$K596)))</f>
        <v/>
      </c>
      <c r="F596" s="72" t="str">
        <f>IF($K596="","",TRIM(INDEX('Detalle individual'!$C:$C,$K596)))</f>
        <v/>
      </c>
      <c r="G596" s="72" t="str">
        <f>IF($K596="","",INDEX('Detalle individual'!$D:$D,$K596))</f>
        <v/>
      </c>
      <c r="H596" s="13" t="str">
        <f>IF($K596="","",INDEX('Detalle individual'!$F:$F,$K596))</f>
        <v/>
      </c>
      <c r="I596" s="20" t="str">
        <f>IF($K596="","",IF(INDEX('Detalle individual'!$F:$F,$K596)="Completado",INDEX('Detalle individual'!$H:$H,$K596),""))</f>
        <v/>
      </c>
      <c r="J596" s="21" t="str">
        <f>IF($K596="","",IF(INDEX('Detalle individual'!$F:$F,$K596)="Completado",INDEX('Detalle individual'!$J:$J,$K596),""))</f>
        <v/>
      </c>
      <c r="K596" t="str">
        <f>IFERROR(MOD(SMALL(Cálculos!$Z$5:$Z$1000,588),10000),"")</f>
        <v/>
      </c>
    </row>
    <row r="597">
      <c r="B597" s="13" t="str">
        <f>IF($K597="","",589)</f>
        <v/>
      </c>
      <c r="C597" s="13" t="str">
        <f>IF($K597="","",INDEX('Detalle individual'!$A:$A,$K597))</f>
        <v/>
      </c>
      <c r="D597" s="72" t="str">
        <f>IF($K597="","",TRIM(INDEX('Detalle individual'!$B:$B,$K597)))</f>
        <v/>
      </c>
      <c r="E597" s="72" t="str">
        <f>IF($K597="","",TRIM(INDEX('Detalle individual'!$E:$E,$K597)))</f>
        <v/>
      </c>
      <c r="F597" s="72" t="str">
        <f>IF($K597="","",TRIM(INDEX('Detalle individual'!$C:$C,$K597)))</f>
        <v/>
      </c>
      <c r="G597" s="72" t="str">
        <f>IF($K597="","",INDEX('Detalle individual'!$D:$D,$K597))</f>
        <v/>
      </c>
      <c r="H597" s="13" t="str">
        <f>IF($K597="","",INDEX('Detalle individual'!$F:$F,$K597))</f>
        <v/>
      </c>
      <c r="I597" s="20" t="str">
        <f>IF($K597="","",IF(INDEX('Detalle individual'!$F:$F,$K597)="Completado",INDEX('Detalle individual'!$H:$H,$K597),""))</f>
        <v/>
      </c>
      <c r="J597" s="21" t="str">
        <f>IF($K597="","",IF(INDEX('Detalle individual'!$F:$F,$K597)="Completado",INDEX('Detalle individual'!$J:$J,$K597),""))</f>
        <v/>
      </c>
      <c r="K597" t="str">
        <f>IFERROR(MOD(SMALL(Cálculos!$Z$5:$Z$1000,589),10000),"")</f>
        <v/>
      </c>
    </row>
    <row r="598">
      <c r="B598" s="13" t="str">
        <f>IF($K598="","",590)</f>
        <v/>
      </c>
      <c r="C598" s="13" t="str">
        <f>IF($K598="","",INDEX('Detalle individual'!$A:$A,$K598))</f>
        <v/>
      </c>
      <c r="D598" s="72" t="str">
        <f>IF($K598="","",TRIM(INDEX('Detalle individual'!$B:$B,$K598)))</f>
        <v/>
      </c>
      <c r="E598" s="72" t="str">
        <f>IF($K598="","",TRIM(INDEX('Detalle individual'!$E:$E,$K598)))</f>
        <v/>
      </c>
      <c r="F598" s="72" t="str">
        <f>IF($K598="","",TRIM(INDEX('Detalle individual'!$C:$C,$K598)))</f>
        <v/>
      </c>
      <c r="G598" s="72" t="str">
        <f>IF($K598="","",INDEX('Detalle individual'!$D:$D,$K598))</f>
        <v/>
      </c>
      <c r="H598" s="13" t="str">
        <f>IF($K598="","",INDEX('Detalle individual'!$F:$F,$K598))</f>
        <v/>
      </c>
      <c r="I598" s="20" t="str">
        <f>IF($K598="","",IF(INDEX('Detalle individual'!$F:$F,$K598)="Completado",INDEX('Detalle individual'!$H:$H,$K598),""))</f>
        <v/>
      </c>
      <c r="J598" s="21" t="str">
        <f>IF($K598="","",IF(INDEX('Detalle individual'!$F:$F,$K598)="Completado",INDEX('Detalle individual'!$J:$J,$K598),""))</f>
        <v/>
      </c>
      <c r="K598" t="str">
        <f>IFERROR(MOD(SMALL(Cálculos!$Z$5:$Z$1000,590),10000),"")</f>
        <v/>
      </c>
    </row>
    <row r="599">
      <c r="B599" s="13" t="str">
        <f>IF($K599="","",591)</f>
        <v/>
      </c>
      <c r="C599" s="13" t="str">
        <f>IF($K599="","",INDEX('Detalle individual'!$A:$A,$K599))</f>
        <v/>
      </c>
      <c r="D599" s="72" t="str">
        <f>IF($K599="","",TRIM(INDEX('Detalle individual'!$B:$B,$K599)))</f>
        <v/>
      </c>
      <c r="E599" s="72" t="str">
        <f>IF($K599="","",TRIM(INDEX('Detalle individual'!$E:$E,$K599)))</f>
        <v/>
      </c>
      <c r="F599" s="72" t="str">
        <f>IF($K599="","",TRIM(INDEX('Detalle individual'!$C:$C,$K599)))</f>
        <v/>
      </c>
      <c r="G599" s="72" t="str">
        <f>IF($K599="","",INDEX('Detalle individual'!$D:$D,$K599))</f>
        <v/>
      </c>
      <c r="H599" s="13" t="str">
        <f>IF($K599="","",INDEX('Detalle individual'!$F:$F,$K599))</f>
        <v/>
      </c>
      <c r="I599" s="20" t="str">
        <f>IF($K599="","",IF(INDEX('Detalle individual'!$F:$F,$K599)="Completado",INDEX('Detalle individual'!$H:$H,$K599),""))</f>
        <v/>
      </c>
      <c r="J599" s="21" t="str">
        <f>IF($K599="","",IF(INDEX('Detalle individual'!$F:$F,$K599)="Completado",INDEX('Detalle individual'!$J:$J,$K599),""))</f>
        <v/>
      </c>
      <c r="K599" t="str">
        <f>IFERROR(MOD(SMALL(Cálculos!$Z$5:$Z$1000,591),10000),"")</f>
        <v/>
      </c>
    </row>
    <row r="600">
      <c r="B600" s="13" t="str">
        <f>IF($K600="","",592)</f>
        <v/>
      </c>
      <c r="C600" s="13" t="str">
        <f>IF($K600="","",INDEX('Detalle individual'!$A:$A,$K600))</f>
        <v/>
      </c>
      <c r="D600" s="72" t="str">
        <f>IF($K600="","",TRIM(INDEX('Detalle individual'!$B:$B,$K600)))</f>
        <v/>
      </c>
      <c r="E600" s="72" t="str">
        <f>IF($K600="","",TRIM(INDEX('Detalle individual'!$E:$E,$K600)))</f>
        <v/>
      </c>
      <c r="F600" s="72" t="str">
        <f>IF($K600="","",TRIM(INDEX('Detalle individual'!$C:$C,$K600)))</f>
        <v/>
      </c>
      <c r="G600" s="72" t="str">
        <f>IF($K600="","",INDEX('Detalle individual'!$D:$D,$K600))</f>
        <v/>
      </c>
      <c r="H600" s="13" t="str">
        <f>IF($K600="","",INDEX('Detalle individual'!$F:$F,$K600))</f>
        <v/>
      </c>
      <c r="I600" s="20" t="str">
        <f>IF($K600="","",IF(INDEX('Detalle individual'!$F:$F,$K600)="Completado",INDEX('Detalle individual'!$H:$H,$K600),""))</f>
        <v/>
      </c>
      <c r="J600" s="21" t="str">
        <f>IF($K600="","",IF(INDEX('Detalle individual'!$F:$F,$K600)="Completado",INDEX('Detalle individual'!$J:$J,$K600),""))</f>
        <v/>
      </c>
      <c r="K600" t="str">
        <f>IFERROR(MOD(SMALL(Cálculos!$Z$5:$Z$1000,592),10000),"")</f>
        <v/>
      </c>
    </row>
    <row r="601">
      <c r="B601" s="13" t="str">
        <f>IF($K601="","",593)</f>
        <v/>
      </c>
      <c r="C601" s="13" t="str">
        <f>IF($K601="","",INDEX('Detalle individual'!$A:$A,$K601))</f>
        <v/>
      </c>
      <c r="D601" s="72" t="str">
        <f>IF($K601="","",TRIM(INDEX('Detalle individual'!$B:$B,$K601)))</f>
        <v/>
      </c>
      <c r="E601" s="72" t="str">
        <f>IF($K601="","",TRIM(INDEX('Detalle individual'!$E:$E,$K601)))</f>
        <v/>
      </c>
      <c r="F601" s="72" t="str">
        <f>IF($K601="","",TRIM(INDEX('Detalle individual'!$C:$C,$K601)))</f>
        <v/>
      </c>
      <c r="G601" s="72" t="str">
        <f>IF($K601="","",INDEX('Detalle individual'!$D:$D,$K601))</f>
        <v/>
      </c>
      <c r="H601" s="13" t="str">
        <f>IF($K601="","",INDEX('Detalle individual'!$F:$F,$K601))</f>
        <v/>
      </c>
      <c r="I601" s="20" t="str">
        <f>IF($K601="","",IF(INDEX('Detalle individual'!$F:$F,$K601)="Completado",INDEX('Detalle individual'!$H:$H,$K601),""))</f>
        <v/>
      </c>
      <c r="J601" s="21" t="str">
        <f>IF($K601="","",IF(INDEX('Detalle individual'!$F:$F,$K601)="Completado",INDEX('Detalle individual'!$J:$J,$K601),""))</f>
        <v/>
      </c>
      <c r="K601" t="str">
        <f>IFERROR(MOD(SMALL(Cálculos!$Z$5:$Z$1000,593),10000),"")</f>
        <v/>
      </c>
    </row>
    <row r="602">
      <c r="B602" s="13" t="str">
        <f>IF($K602="","",594)</f>
        <v/>
      </c>
      <c r="C602" s="13" t="str">
        <f>IF($K602="","",INDEX('Detalle individual'!$A:$A,$K602))</f>
        <v/>
      </c>
      <c r="D602" s="72" t="str">
        <f>IF($K602="","",TRIM(INDEX('Detalle individual'!$B:$B,$K602)))</f>
        <v/>
      </c>
      <c r="E602" s="72" t="str">
        <f>IF($K602="","",TRIM(INDEX('Detalle individual'!$E:$E,$K602)))</f>
        <v/>
      </c>
      <c r="F602" s="72" t="str">
        <f>IF($K602="","",TRIM(INDEX('Detalle individual'!$C:$C,$K602)))</f>
        <v/>
      </c>
      <c r="G602" s="72" t="str">
        <f>IF($K602="","",INDEX('Detalle individual'!$D:$D,$K602))</f>
        <v/>
      </c>
      <c r="H602" s="13" t="str">
        <f>IF($K602="","",INDEX('Detalle individual'!$F:$F,$K602))</f>
        <v/>
      </c>
      <c r="I602" s="20" t="str">
        <f>IF($K602="","",IF(INDEX('Detalle individual'!$F:$F,$K602)="Completado",INDEX('Detalle individual'!$H:$H,$K602),""))</f>
        <v/>
      </c>
      <c r="J602" s="21" t="str">
        <f>IF($K602="","",IF(INDEX('Detalle individual'!$F:$F,$K602)="Completado",INDEX('Detalle individual'!$J:$J,$K602),""))</f>
        <v/>
      </c>
      <c r="K602" t="str">
        <f>IFERROR(MOD(SMALL(Cálculos!$Z$5:$Z$1000,594),10000),"")</f>
        <v/>
      </c>
    </row>
    <row r="603">
      <c r="B603" s="13" t="str">
        <f>IF($K603="","",595)</f>
        <v/>
      </c>
      <c r="C603" s="13" t="str">
        <f>IF($K603="","",INDEX('Detalle individual'!$A:$A,$K603))</f>
        <v/>
      </c>
      <c r="D603" s="72" t="str">
        <f>IF($K603="","",TRIM(INDEX('Detalle individual'!$B:$B,$K603)))</f>
        <v/>
      </c>
      <c r="E603" s="72" t="str">
        <f>IF($K603="","",TRIM(INDEX('Detalle individual'!$E:$E,$K603)))</f>
        <v/>
      </c>
      <c r="F603" s="72" t="str">
        <f>IF($K603="","",TRIM(INDEX('Detalle individual'!$C:$C,$K603)))</f>
        <v/>
      </c>
      <c r="G603" s="72" t="str">
        <f>IF($K603="","",INDEX('Detalle individual'!$D:$D,$K603))</f>
        <v/>
      </c>
      <c r="H603" s="13" t="str">
        <f>IF($K603="","",INDEX('Detalle individual'!$F:$F,$K603))</f>
        <v/>
      </c>
      <c r="I603" s="20" t="str">
        <f>IF($K603="","",IF(INDEX('Detalle individual'!$F:$F,$K603)="Completado",INDEX('Detalle individual'!$H:$H,$K603),""))</f>
        <v/>
      </c>
      <c r="J603" s="21" t="str">
        <f>IF($K603="","",IF(INDEX('Detalle individual'!$F:$F,$K603)="Completado",INDEX('Detalle individual'!$J:$J,$K603),""))</f>
        <v/>
      </c>
      <c r="K603" t="str">
        <f>IFERROR(MOD(SMALL(Cálculos!$Z$5:$Z$1000,595),10000),"")</f>
        <v/>
      </c>
    </row>
    <row r="604">
      <c r="B604" s="13" t="str">
        <f>IF($K604="","",596)</f>
        <v/>
      </c>
      <c r="C604" s="13" t="str">
        <f>IF($K604="","",INDEX('Detalle individual'!$A:$A,$K604))</f>
        <v/>
      </c>
      <c r="D604" s="72" t="str">
        <f>IF($K604="","",TRIM(INDEX('Detalle individual'!$B:$B,$K604)))</f>
        <v/>
      </c>
      <c r="E604" s="72" t="str">
        <f>IF($K604="","",TRIM(INDEX('Detalle individual'!$E:$E,$K604)))</f>
        <v/>
      </c>
      <c r="F604" s="72" t="str">
        <f>IF($K604="","",TRIM(INDEX('Detalle individual'!$C:$C,$K604)))</f>
        <v/>
      </c>
      <c r="G604" s="72" t="str">
        <f>IF($K604="","",INDEX('Detalle individual'!$D:$D,$K604))</f>
        <v/>
      </c>
      <c r="H604" s="13" t="str">
        <f>IF($K604="","",INDEX('Detalle individual'!$F:$F,$K604))</f>
        <v/>
      </c>
      <c r="I604" s="20" t="str">
        <f>IF($K604="","",IF(INDEX('Detalle individual'!$F:$F,$K604)="Completado",INDEX('Detalle individual'!$H:$H,$K604),""))</f>
        <v/>
      </c>
      <c r="J604" s="21" t="str">
        <f>IF($K604="","",IF(INDEX('Detalle individual'!$F:$F,$K604)="Completado",INDEX('Detalle individual'!$J:$J,$K604),""))</f>
        <v/>
      </c>
      <c r="K604" t="str">
        <f>IFERROR(MOD(SMALL(Cálculos!$Z$5:$Z$1000,596),10000),"")</f>
        <v/>
      </c>
    </row>
    <row r="605">
      <c r="B605" s="13" t="str">
        <f>IF($K605="","",597)</f>
        <v/>
      </c>
      <c r="C605" s="13" t="str">
        <f>IF($K605="","",INDEX('Detalle individual'!$A:$A,$K605))</f>
        <v/>
      </c>
      <c r="D605" s="72" t="str">
        <f>IF($K605="","",TRIM(INDEX('Detalle individual'!$B:$B,$K605)))</f>
        <v/>
      </c>
      <c r="E605" s="72" t="str">
        <f>IF($K605="","",TRIM(INDEX('Detalle individual'!$E:$E,$K605)))</f>
        <v/>
      </c>
      <c r="F605" s="72" t="str">
        <f>IF($K605="","",TRIM(INDEX('Detalle individual'!$C:$C,$K605)))</f>
        <v/>
      </c>
      <c r="G605" s="72" t="str">
        <f>IF($K605="","",INDEX('Detalle individual'!$D:$D,$K605))</f>
        <v/>
      </c>
      <c r="H605" s="13" t="str">
        <f>IF($K605="","",INDEX('Detalle individual'!$F:$F,$K605))</f>
        <v/>
      </c>
      <c r="I605" s="20" t="str">
        <f>IF($K605="","",IF(INDEX('Detalle individual'!$F:$F,$K605)="Completado",INDEX('Detalle individual'!$H:$H,$K605),""))</f>
        <v/>
      </c>
      <c r="J605" s="21" t="str">
        <f>IF($K605="","",IF(INDEX('Detalle individual'!$F:$F,$K605)="Completado",INDEX('Detalle individual'!$J:$J,$K605),""))</f>
        <v/>
      </c>
      <c r="K605" t="str">
        <f>IFERROR(MOD(SMALL(Cálculos!$Z$5:$Z$1000,597),10000),"")</f>
        <v/>
      </c>
    </row>
    <row r="606">
      <c r="B606" s="13" t="str">
        <f>IF($K606="","",598)</f>
        <v/>
      </c>
      <c r="C606" s="13" t="str">
        <f>IF($K606="","",INDEX('Detalle individual'!$A:$A,$K606))</f>
        <v/>
      </c>
      <c r="D606" s="72" t="str">
        <f>IF($K606="","",TRIM(INDEX('Detalle individual'!$B:$B,$K606)))</f>
        <v/>
      </c>
      <c r="E606" s="72" t="str">
        <f>IF($K606="","",TRIM(INDEX('Detalle individual'!$E:$E,$K606)))</f>
        <v/>
      </c>
      <c r="F606" s="72" t="str">
        <f>IF($K606="","",TRIM(INDEX('Detalle individual'!$C:$C,$K606)))</f>
        <v/>
      </c>
      <c r="G606" s="72" t="str">
        <f>IF($K606="","",INDEX('Detalle individual'!$D:$D,$K606))</f>
        <v/>
      </c>
      <c r="H606" s="13" t="str">
        <f>IF($K606="","",INDEX('Detalle individual'!$F:$F,$K606))</f>
        <v/>
      </c>
      <c r="I606" s="20" t="str">
        <f>IF($K606="","",IF(INDEX('Detalle individual'!$F:$F,$K606)="Completado",INDEX('Detalle individual'!$H:$H,$K606),""))</f>
        <v/>
      </c>
      <c r="J606" s="21" t="str">
        <f>IF($K606="","",IF(INDEX('Detalle individual'!$F:$F,$K606)="Completado",INDEX('Detalle individual'!$J:$J,$K606),""))</f>
        <v/>
      </c>
      <c r="K606" t="str">
        <f>IFERROR(MOD(SMALL(Cálculos!$Z$5:$Z$1000,598),10000),"")</f>
        <v/>
      </c>
    </row>
    <row r="607">
      <c r="B607" s="13" t="str">
        <f>IF($K607="","",599)</f>
        <v/>
      </c>
      <c r="C607" s="13" t="str">
        <f>IF($K607="","",INDEX('Detalle individual'!$A:$A,$K607))</f>
        <v/>
      </c>
      <c r="D607" s="72" t="str">
        <f>IF($K607="","",TRIM(INDEX('Detalle individual'!$B:$B,$K607)))</f>
        <v/>
      </c>
      <c r="E607" s="72" t="str">
        <f>IF($K607="","",TRIM(INDEX('Detalle individual'!$E:$E,$K607)))</f>
        <v/>
      </c>
      <c r="F607" s="72" t="str">
        <f>IF($K607="","",TRIM(INDEX('Detalle individual'!$C:$C,$K607)))</f>
        <v/>
      </c>
      <c r="G607" s="72" t="str">
        <f>IF($K607="","",INDEX('Detalle individual'!$D:$D,$K607))</f>
        <v/>
      </c>
      <c r="H607" s="13" t="str">
        <f>IF($K607="","",INDEX('Detalle individual'!$F:$F,$K607))</f>
        <v/>
      </c>
      <c r="I607" s="20" t="str">
        <f>IF($K607="","",IF(INDEX('Detalle individual'!$F:$F,$K607)="Completado",INDEX('Detalle individual'!$H:$H,$K607),""))</f>
        <v/>
      </c>
      <c r="J607" s="21" t="str">
        <f>IF($K607="","",IF(INDEX('Detalle individual'!$F:$F,$K607)="Completado",INDEX('Detalle individual'!$J:$J,$K607),""))</f>
        <v/>
      </c>
      <c r="K607" t="str">
        <f>IFERROR(MOD(SMALL(Cálculos!$Z$5:$Z$1000,599),10000),"")</f>
        <v/>
      </c>
    </row>
    <row r="608">
      <c r="B608" s="13" t="str">
        <f>IF($K608="","",600)</f>
        <v/>
      </c>
      <c r="C608" s="13" t="str">
        <f>IF($K608="","",INDEX('Detalle individual'!$A:$A,$K608))</f>
        <v/>
      </c>
      <c r="D608" s="72" t="str">
        <f>IF($K608="","",TRIM(INDEX('Detalle individual'!$B:$B,$K608)))</f>
        <v/>
      </c>
      <c r="E608" s="72" t="str">
        <f>IF($K608="","",TRIM(INDEX('Detalle individual'!$E:$E,$K608)))</f>
        <v/>
      </c>
      <c r="F608" s="72" t="str">
        <f>IF($K608="","",TRIM(INDEX('Detalle individual'!$C:$C,$K608)))</f>
        <v/>
      </c>
      <c r="G608" s="72" t="str">
        <f>IF($K608="","",INDEX('Detalle individual'!$D:$D,$K608))</f>
        <v/>
      </c>
      <c r="H608" s="13" t="str">
        <f>IF($K608="","",INDEX('Detalle individual'!$F:$F,$K608))</f>
        <v/>
      </c>
      <c r="I608" s="20" t="str">
        <f>IF($K608="","",IF(INDEX('Detalle individual'!$F:$F,$K608)="Completado",INDEX('Detalle individual'!$H:$H,$K608),""))</f>
        <v/>
      </c>
      <c r="J608" s="21" t="str">
        <f>IF($K608="","",IF(INDEX('Detalle individual'!$F:$F,$K608)="Completado",INDEX('Detalle individual'!$J:$J,$K608),""))</f>
        <v/>
      </c>
      <c r="K608" t="str">
        <f>IFERROR(MOD(SMALL(Cálculos!$Z$5:$Z$1000,600),10000),"")</f>
        <v/>
      </c>
    </row>
    <row r="609">
      <c r="B609" s="13" t="str">
        <f>IF($K609="","",601)</f>
        <v/>
      </c>
      <c r="C609" s="13" t="str">
        <f>IF($K609="","",INDEX('Detalle individual'!$A:$A,$K609))</f>
        <v/>
      </c>
      <c r="D609" s="72" t="str">
        <f>IF($K609="","",TRIM(INDEX('Detalle individual'!$B:$B,$K609)))</f>
        <v/>
      </c>
      <c r="E609" s="72" t="str">
        <f>IF($K609="","",TRIM(INDEX('Detalle individual'!$E:$E,$K609)))</f>
        <v/>
      </c>
      <c r="F609" s="72" t="str">
        <f>IF($K609="","",TRIM(INDEX('Detalle individual'!$C:$C,$K609)))</f>
        <v/>
      </c>
      <c r="G609" s="72" t="str">
        <f>IF($K609="","",INDEX('Detalle individual'!$D:$D,$K609))</f>
        <v/>
      </c>
      <c r="H609" s="13" t="str">
        <f>IF($K609="","",INDEX('Detalle individual'!$F:$F,$K609))</f>
        <v/>
      </c>
      <c r="I609" s="20" t="str">
        <f>IF($K609="","",IF(INDEX('Detalle individual'!$F:$F,$K609)="Completado",INDEX('Detalle individual'!$H:$H,$K609),""))</f>
        <v/>
      </c>
      <c r="J609" s="21" t="str">
        <f>IF($K609="","",IF(INDEX('Detalle individual'!$F:$F,$K609)="Completado",INDEX('Detalle individual'!$J:$J,$K609),""))</f>
        <v/>
      </c>
      <c r="K609" t="str">
        <f>IFERROR(MOD(SMALL(Cálculos!$Z$5:$Z$1000,601),10000),"")</f>
        <v/>
      </c>
    </row>
    <row r="610">
      <c r="B610" s="13" t="str">
        <f>IF($K610="","",602)</f>
        <v/>
      </c>
      <c r="C610" s="13" t="str">
        <f>IF($K610="","",INDEX('Detalle individual'!$A:$A,$K610))</f>
        <v/>
      </c>
      <c r="D610" s="72" t="str">
        <f>IF($K610="","",TRIM(INDEX('Detalle individual'!$B:$B,$K610)))</f>
        <v/>
      </c>
      <c r="E610" s="72" t="str">
        <f>IF($K610="","",TRIM(INDEX('Detalle individual'!$E:$E,$K610)))</f>
        <v/>
      </c>
      <c r="F610" s="72" t="str">
        <f>IF($K610="","",TRIM(INDEX('Detalle individual'!$C:$C,$K610)))</f>
        <v/>
      </c>
      <c r="G610" s="72" t="str">
        <f>IF($K610="","",INDEX('Detalle individual'!$D:$D,$K610))</f>
        <v/>
      </c>
      <c r="H610" s="13" t="str">
        <f>IF($K610="","",INDEX('Detalle individual'!$F:$F,$K610))</f>
        <v/>
      </c>
      <c r="I610" s="20" t="str">
        <f>IF($K610="","",IF(INDEX('Detalle individual'!$F:$F,$K610)="Completado",INDEX('Detalle individual'!$H:$H,$K610),""))</f>
        <v/>
      </c>
      <c r="J610" s="21" t="str">
        <f>IF($K610="","",IF(INDEX('Detalle individual'!$F:$F,$K610)="Completado",INDEX('Detalle individual'!$J:$J,$K610),""))</f>
        <v/>
      </c>
      <c r="K610" t="str">
        <f>IFERROR(MOD(SMALL(Cálculos!$Z$5:$Z$1000,602),10000),"")</f>
        <v/>
      </c>
    </row>
    <row r="611">
      <c r="B611" s="13" t="str">
        <f>IF($K611="","",603)</f>
        <v/>
      </c>
      <c r="C611" s="13" t="str">
        <f>IF($K611="","",INDEX('Detalle individual'!$A:$A,$K611))</f>
        <v/>
      </c>
      <c r="D611" s="72" t="str">
        <f>IF($K611="","",TRIM(INDEX('Detalle individual'!$B:$B,$K611)))</f>
        <v/>
      </c>
      <c r="E611" s="72" t="str">
        <f>IF($K611="","",TRIM(INDEX('Detalle individual'!$E:$E,$K611)))</f>
        <v/>
      </c>
      <c r="F611" s="72" t="str">
        <f>IF($K611="","",TRIM(INDEX('Detalle individual'!$C:$C,$K611)))</f>
        <v/>
      </c>
      <c r="G611" s="72" t="str">
        <f>IF($K611="","",INDEX('Detalle individual'!$D:$D,$K611))</f>
        <v/>
      </c>
      <c r="H611" s="13" t="str">
        <f>IF($K611="","",INDEX('Detalle individual'!$F:$F,$K611))</f>
        <v/>
      </c>
      <c r="I611" s="20" t="str">
        <f>IF($K611="","",IF(INDEX('Detalle individual'!$F:$F,$K611)="Completado",INDEX('Detalle individual'!$H:$H,$K611),""))</f>
        <v/>
      </c>
      <c r="J611" s="21" t="str">
        <f>IF($K611="","",IF(INDEX('Detalle individual'!$F:$F,$K611)="Completado",INDEX('Detalle individual'!$J:$J,$K611),""))</f>
        <v/>
      </c>
      <c r="K611" t="str">
        <f>IFERROR(MOD(SMALL(Cálculos!$Z$5:$Z$1000,603),10000),"")</f>
        <v/>
      </c>
    </row>
    <row r="612">
      <c r="B612" s="13" t="str">
        <f>IF($K612="","",604)</f>
        <v/>
      </c>
      <c r="C612" s="13" t="str">
        <f>IF($K612="","",INDEX('Detalle individual'!$A:$A,$K612))</f>
        <v/>
      </c>
      <c r="D612" s="72" t="str">
        <f>IF($K612="","",TRIM(INDEX('Detalle individual'!$B:$B,$K612)))</f>
        <v/>
      </c>
      <c r="E612" s="72" t="str">
        <f>IF($K612="","",TRIM(INDEX('Detalle individual'!$E:$E,$K612)))</f>
        <v/>
      </c>
      <c r="F612" s="72" t="str">
        <f>IF($K612="","",TRIM(INDEX('Detalle individual'!$C:$C,$K612)))</f>
        <v/>
      </c>
      <c r="G612" s="72" t="str">
        <f>IF($K612="","",INDEX('Detalle individual'!$D:$D,$K612))</f>
        <v/>
      </c>
      <c r="H612" s="13" t="str">
        <f>IF($K612="","",INDEX('Detalle individual'!$F:$F,$K612))</f>
        <v/>
      </c>
      <c r="I612" s="20" t="str">
        <f>IF($K612="","",IF(INDEX('Detalle individual'!$F:$F,$K612)="Completado",INDEX('Detalle individual'!$H:$H,$K612),""))</f>
        <v/>
      </c>
      <c r="J612" s="21" t="str">
        <f>IF($K612="","",IF(INDEX('Detalle individual'!$F:$F,$K612)="Completado",INDEX('Detalle individual'!$J:$J,$K612),""))</f>
        <v/>
      </c>
      <c r="K612" t="str">
        <f>IFERROR(MOD(SMALL(Cálculos!$Z$5:$Z$1000,604),10000),"")</f>
        <v/>
      </c>
    </row>
    <row r="613">
      <c r="B613" s="13" t="str">
        <f>IF($K613="","",605)</f>
        <v/>
      </c>
      <c r="C613" s="13" t="str">
        <f>IF($K613="","",INDEX('Detalle individual'!$A:$A,$K613))</f>
        <v/>
      </c>
      <c r="D613" s="72" t="str">
        <f>IF($K613="","",TRIM(INDEX('Detalle individual'!$B:$B,$K613)))</f>
        <v/>
      </c>
      <c r="E613" s="72" t="str">
        <f>IF($K613="","",TRIM(INDEX('Detalle individual'!$E:$E,$K613)))</f>
        <v/>
      </c>
      <c r="F613" s="72" t="str">
        <f>IF($K613="","",TRIM(INDEX('Detalle individual'!$C:$C,$K613)))</f>
        <v/>
      </c>
      <c r="G613" s="72" t="str">
        <f>IF($K613="","",INDEX('Detalle individual'!$D:$D,$K613))</f>
        <v/>
      </c>
      <c r="H613" s="13" t="str">
        <f>IF($K613="","",INDEX('Detalle individual'!$F:$F,$K613))</f>
        <v/>
      </c>
      <c r="I613" s="20" t="str">
        <f>IF($K613="","",IF(INDEX('Detalle individual'!$F:$F,$K613)="Completado",INDEX('Detalle individual'!$H:$H,$K613),""))</f>
        <v/>
      </c>
      <c r="J613" s="21" t="str">
        <f>IF($K613="","",IF(INDEX('Detalle individual'!$F:$F,$K613)="Completado",INDEX('Detalle individual'!$J:$J,$K613),""))</f>
        <v/>
      </c>
      <c r="K613" t="str">
        <f>IFERROR(MOD(SMALL(Cálculos!$Z$5:$Z$1000,605),10000),"")</f>
        <v/>
      </c>
    </row>
    <row r="614">
      <c r="B614" s="13" t="str">
        <f>IF($K614="","",606)</f>
        <v/>
      </c>
      <c r="C614" s="13" t="str">
        <f>IF($K614="","",INDEX('Detalle individual'!$A:$A,$K614))</f>
        <v/>
      </c>
      <c r="D614" s="72" t="str">
        <f>IF($K614="","",TRIM(INDEX('Detalle individual'!$B:$B,$K614)))</f>
        <v/>
      </c>
      <c r="E614" s="72" t="str">
        <f>IF($K614="","",TRIM(INDEX('Detalle individual'!$E:$E,$K614)))</f>
        <v/>
      </c>
      <c r="F614" s="72" t="str">
        <f>IF($K614="","",TRIM(INDEX('Detalle individual'!$C:$C,$K614)))</f>
        <v/>
      </c>
      <c r="G614" s="72" t="str">
        <f>IF($K614="","",INDEX('Detalle individual'!$D:$D,$K614))</f>
        <v/>
      </c>
      <c r="H614" s="13" t="str">
        <f>IF($K614="","",INDEX('Detalle individual'!$F:$F,$K614))</f>
        <v/>
      </c>
      <c r="I614" s="20" t="str">
        <f>IF($K614="","",IF(INDEX('Detalle individual'!$F:$F,$K614)="Completado",INDEX('Detalle individual'!$H:$H,$K614),""))</f>
        <v/>
      </c>
      <c r="J614" s="21" t="str">
        <f>IF($K614="","",IF(INDEX('Detalle individual'!$F:$F,$K614)="Completado",INDEX('Detalle individual'!$J:$J,$K614),""))</f>
        <v/>
      </c>
      <c r="K614" t="str">
        <f>IFERROR(MOD(SMALL(Cálculos!$Z$5:$Z$1000,606),10000),"")</f>
        <v/>
      </c>
    </row>
    <row r="615">
      <c r="B615" s="13" t="str">
        <f>IF($K615="","",607)</f>
        <v/>
      </c>
      <c r="C615" s="13" t="str">
        <f>IF($K615="","",INDEX('Detalle individual'!$A:$A,$K615))</f>
        <v/>
      </c>
      <c r="D615" s="72" t="str">
        <f>IF($K615="","",TRIM(INDEX('Detalle individual'!$B:$B,$K615)))</f>
        <v/>
      </c>
      <c r="E615" s="72" t="str">
        <f>IF($K615="","",TRIM(INDEX('Detalle individual'!$E:$E,$K615)))</f>
        <v/>
      </c>
      <c r="F615" s="72" t="str">
        <f>IF($K615="","",TRIM(INDEX('Detalle individual'!$C:$C,$K615)))</f>
        <v/>
      </c>
      <c r="G615" s="72" t="str">
        <f>IF($K615="","",INDEX('Detalle individual'!$D:$D,$K615))</f>
        <v/>
      </c>
      <c r="H615" s="13" t="str">
        <f>IF($K615="","",INDEX('Detalle individual'!$F:$F,$K615))</f>
        <v/>
      </c>
      <c r="I615" s="20" t="str">
        <f>IF($K615="","",IF(INDEX('Detalle individual'!$F:$F,$K615)="Completado",INDEX('Detalle individual'!$H:$H,$K615),""))</f>
        <v/>
      </c>
      <c r="J615" s="21" t="str">
        <f>IF($K615="","",IF(INDEX('Detalle individual'!$F:$F,$K615)="Completado",INDEX('Detalle individual'!$J:$J,$K615),""))</f>
        <v/>
      </c>
      <c r="K615" t="str">
        <f>IFERROR(MOD(SMALL(Cálculos!$Z$5:$Z$1000,607),10000),"")</f>
        <v/>
      </c>
    </row>
    <row r="616">
      <c r="B616" s="13" t="str">
        <f>IF($K616="","",608)</f>
        <v/>
      </c>
      <c r="C616" s="13" t="str">
        <f>IF($K616="","",INDEX('Detalle individual'!$A:$A,$K616))</f>
        <v/>
      </c>
      <c r="D616" s="72" t="str">
        <f>IF($K616="","",TRIM(INDEX('Detalle individual'!$B:$B,$K616)))</f>
        <v/>
      </c>
      <c r="E616" s="72" t="str">
        <f>IF($K616="","",TRIM(INDEX('Detalle individual'!$E:$E,$K616)))</f>
        <v/>
      </c>
      <c r="F616" s="72" t="str">
        <f>IF($K616="","",TRIM(INDEX('Detalle individual'!$C:$C,$K616)))</f>
        <v/>
      </c>
      <c r="G616" s="72" t="str">
        <f>IF($K616="","",INDEX('Detalle individual'!$D:$D,$K616))</f>
        <v/>
      </c>
      <c r="H616" s="13" t="str">
        <f>IF($K616="","",INDEX('Detalle individual'!$F:$F,$K616))</f>
        <v/>
      </c>
      <c r="I616" s="20" t="str">
        <f>IF($K616="","",IF(INDEX('Detalle individual'!$F:$F,$K616)="Completado",INDEX('Detalle individual'!$H:$H,$K616),""))</f>
        <v/>
      </c>
      <c r="J616" s="21" t="str">
        <f>IF($K616="","",IF(INDEX('Detalle individual'!$F:$F,$K616)="Completado",INDEX('Detalle individual'!$J:$J,$K616),""))</f>
        <v/>
      </c>
      <c r="K616" t="str">
        <f>IFERROR(MOD(SMALL(Cálculos!$Z$5:$Z$1000,608),10000),"")</f>
        <v/>
      </c>
    </row>
    <row r="617">
      <c r="B617" s="13" t="str">
        <f>IF($K617="","",609)</f>
        <v/>
      </c>
      <c r="C617" s="13" t="str">
        <f>IF($K617="","",INDEX('Detalle individual'!$A:$A,$K617))</f>
        <v/>
      </c>
      <c r="D617" s="72" t="str">
        <f>IF($K617="","",TRIM(INDEX('Detalle individual'!$B:$B,$K617)))</f>
        <v/>
      </c>
      <c r="E617" s="72" t="str">
        <f>IF($K617="","",TRIM(INDEX('Detalle individual'!$E:$E,$K617)))</f>
        <v/>
      </c>
      <c r="F617" s="72" t="str">
        <f>IF($K617="","",TRIM(INDEX('Detalle individual'!$C:$C,$K617)))</f>
        <v/>
      </c>
      <c r="G617" s="72" t="str">
        <f>IF($K617="","",INDEX('Detalle individual'!$D:$D,$K617))</f>
        <v/>
      </c>
      <c r="H617" s="13" t="str">
        <f>IF($K617="","",INDEX('Detalle individual'!$F:$F,$K617))</f>
        <v/>
      </c>
      <c r="I617" s="20" t="str">
        <f>IF($K617="","",IF(INDEX('Detalle individual'!$F:$F,$K617)="Completado",INDEX('Detalle individual'!$H:$H,$K617),""))</f>
        <v/>
      </c>
      <c r="J617" s="21" t="str">
        <f>IF($K617="","",IF(INDEX('Detalle individual'!$F:$F,$K617)="Completado",INDEX('Detalle individual'!$J:$J,$K617),""))</f>
        <v/>
      </c>
      <c r="K617" t="str">
        <f>IFERROR(MOD(SMALL(Cálculos!$Z$5:$Z$1000,609),10000),"")</f>
        <v/>
      </c>
    </row>
    <row r="618">
      <c r="B618" s="13" t="str">
        <f>IF($K618="","",610)</f>
        <v/>
      </c>
      <c r="C618" s="13" t="str">
        <f>IF($K618="","",INDEX('Detalle individual'!$A:$A,$K618))</f>
        <v/>
      </c>
      <c r="D618" s="72" t="str">
        <f>IF($K618="","",TRIM(INDEX('Detalle individual'!$B:$B,$K618)))</f>
        <v/>
      </c>
      <c r="E618" s="72" t="str">
        <f>IF($K618="","",TRIM(INDEX('Detalle individual'!$E:$E,$K618)))</f>
        <v/>
      </c>
      <c r="F618" s="72" t="str">
        <f>IF($K618="","",TRIM(INDEX('Detalle individual'!$C:$C,$K618)))</f>
        <v/>
      </c>
      <c r="G618" s="72" t="str">
        <f>IF($K618="","",INDEX('Detalle individual'!$D:$D,$K618))</f>
        <v/>
      </c>
      <c r="H618" s="13" t="str">
        <f>IF($K618="","",INDEX('Detalle individual'!$F:$F,$K618))</f>
        <v/>
      </c>
      <c r="I618" s="20" t="str">
        <f>IF($K618="","",IF(INDEX('Detalle individual'!$F:$F,$K618)="Completado",INDEX('Detalle individual'!$H:$H,$K618),""))</f>
        <v/>
      </c>
      <c r="J618" s="21" t="str">
        <f>IF($K618="","",IF(INDEX('Detalle individual'!$F:$F,$K618)="Completado",INDEX('Detalle individual'!$J:$J,$K618),""))</f>
        <v/>
      </c>
      <c r="K618" t="str">
        <f>IFERROR(MOD(SMALL(Cálculos!$Z$5:$Z$1000,610),10000),"")</f>
        <v/>
      </c>
    </row>
    <row r="619">
      <c r="B619" s="13" t="str">
        <f>IF($K619="","",611)</f>
        <v/>
      </c>
      <c r="C619" s="13" t="str">
        <f>IF($K619="","",INDEX('Detalle individual'!$A:$A,$K619))</f>
        <v/>
      </c>
      <c r="D619" s="72" t="str">
        <f>IF($K619="","",TRIM(INDEX('Detalle individual'!$B:$B,$K619)))</f>
        <v/>
      </c>
      <c r="E619" s="72" t="str">
        <f>IF($K619="","",TRIM(INDEX('Detalle individual'!$E:$E,$K619)))</f>
        <v/>
      </c>
      <c r="F619" s="72" t="str">
        <f>IF($K619="","",TRIM(INDEX('Detalle individual'!$C:$C,$K619)))</f>
        <v/>
      </c>
      <c r="G619" s="72" t="str">
        <f>IF($K619="","",INDEX('Detalle individual'!$D:$D,$K619))</f>
        <v/>
      </c>
      <c r="H619" s="13" t="str">
        <f>IF($K619="","",INDEX('Detalle individual'!$F:$F,$K619))</f>
        <v/>
      </c>
      <c r="I619" s="20" t="str">
        <f>IF($K619="","",IF(INDEX('Detalle individual'!$F:$F,$K619)="Completado",INDEX('Detalle individual'!$H:$H,$K619),""))</f>
        <v/>
      </c>
      <c r="J619" s="21" t="str">
        <f>IF($K619="","",IF(INDEX('Detalle individual'!$F:$F,$K619)="Completado",INDEX('Detalle individual'!$J:$J,$K619),""))</f>
        <v/>
      </c>
      <c r="K619" t="str">
        <f>IFERROR(MOD(SMALL(Cálculos!$Z$5:$Z$1000,611),10000),"")</f>
        <v/>
      </c>
    </row>
    <row r="620">
      <c r="B620" s="13" t="str">
        <f>IF($K620="","",612)</f>
        <v/>
      </c>
      <c r="C620" s="13" t="str">
        <f>IF($K620="","",INDEX('Detalle individual'!$A:$A,$K620))</f>
        <v/>
      </c>
      <c r="D620" s="72" t="str">
        <f>IF($K620="","",TRIM(INDEX('Detalle individual'!$B:$B,$K620)))</f>
        <v/>
      </c>
      <c r="E620" s="72" t="str">
        <f>IF($K620="","",TRIM(INDEX('Detalle individual'!$E:$E,$K620)))</f>
        <v/>
      </c>
      <c r="F620" s="72" t="str">
        <f>IF($K620="","",TRIM(INDEX('Detalle individual'!$C:$C,$K620)))</f>
        <v/>
      </c>
      <c r="G620" s="72" t="str">
        <f>IF($K620="","",INDEX('Detalle individual'!$D:$D,$K620))</f>
        <v/>
      </c>
      <c r="H620" s="13" t="str">
        <f>IF($K620="","",INDEX('Detalle individual'!$F:$F,$K620))</f>
        <v/>
      </c>
      <c r="I620" s="20" t="str">
        <f>IF($K620="","",IF(INDEX('Detalle individual'!$F:$F,$K620)="Completado",INDEX('Detalle individual'!$H:$H,$K620),""))</f>
        <v/>
      </c>
      <c r="J620" s="21" t="str">
        <f>IF($K620="","",IF(INDEX('Detalle individual'!$F:$F,$K620)="Completado",INDEX('Detalle individual'!$J:$J,$K620),""))</f>
        <v/>
      </c>
      <c r="K620" t="str">
        <f>IFERROR(MOD(SMALL(Cálculos!$Z$5:$Z$1000,612),10000),"")</f>
        <v/>
      </c>
    </row>
    <row r="621">
      <c r="B621" s="13" t="str">
        <f>IF($K621="","",613)</f>
        <v/>
      </c>
      <c r="C621" s="13" t="str">
        <f>IF($K621="","",INDEX('Detalle individual'!$A:$A,$K621))</f>
        <v/>
      </c>
      <c r="D621" s="72" t="str">
        <f>IF($K621="","",TRIM(INDEX('Detalle individual'!$B:$B,$K621)))</f>
        <v/>
      </c>
      <c r="E621" s="72" t="str">
        <f>IF($K621="","",TRIM(INDEX('Detalle individual'!$E:$E,$K621)))</f>
        <v/>
      </c>
      <c r="F621" s="72" t="str">
        <f>IF($K621="","",TRIM(INDEX('Detalle individual'!$C:$C,$K621)))</f>
        <v/>
      </c>
      <c r="G621" s="72" t="str">
        <f>IF($K621="","",INDEX('Detalle individual'!$D:$D,$K621))</f>
        <v/>
      </c>
      <c r="H621" s="13" t="str">
        <f>IF($K621="","",INDEX('Detalle individual'!$F:$F,$K621))</f>
        <v/>
      </c>
      <c r="I621" s="20" t="str">
        <f>IF($K621="","",IF(INDEX('Detalle individual'!$F:$F,$K621)="Completado",INDEX('Detalle individual'!$H:$H,$K621),""))</f>
        <v/>
      </c>
      <c r="J621" s="21" t="str">
        <f>IF($K621="","",IF(INDEX('Detalle individual'!$F:$F,$K621)="Completado",INDEX('Detalle individual'!$J:$J,$K621),""))</f>
        <v/>
      </c>
      <c r="K621" t="str">
        <f>IFERROR(MOD(SMALL(Cálculos!$Z$5:$Z$1000,613),10000),"")</f>
        <v/>
      </c>
    </row>
    <row r="622">
      <c r="B622" s="13" t="str">
        <f>IF($K622="","",614)</f>
        <v/>
      </c>
      <c r="C622" s="13" t="str">
        <f>IF($K622="","",INDEX('Detalle individual'!$A:$A,$K622))</f>
        <v/>
      </c>
      <c r="D622" s="72" t="str">
        <f>IF($K622="","",TRIM(INDEX('Detalle individual'!$B:$B,$K622)))</f>
        <v/>
      </c>
      <c r="E622" s="72" t="str">
        <f>IF($K622="","",TRIM(INDEX('Detalle individual'!$E:$E,$K622)))</f>
        <v/>
      </c>
      <c r="F622" s="72" t="str">
        <f>IF($K622="","",TRIM(INDEX('Detalle individual'!$C:$C,$K622)))</f>
        <v/>
      </c>
      <c r="G622" s="72" t="str">
        <f>IF($K622="","",INDEX('Detalle individual'!$D:$D,$K622))</f>
        <v/>
      </c>
      <c r="H622" s="13" t="str">
        <f>IF($K622="","",INDEX('Detalle individual'!$F:$F,$K622))</f>
        <v/>
      </c>
      <c r="I622" s="20" t="str">
        <f>IF($K622="","",IF(INDEX('Detalle individual'!$F:$F,$K622)="Completado",INDEX('Detalle individual'!$H:$H,$K622),""))</f>
        <v/>
      </c>
      <c r="J622" s="21" t="str">
        <f>IF($K622="","",IF(INDEX('Detalle individual'!$F:$F,$K622)="Completado",INDEX('Detalle individual'!$J:$J,$K622),""))</f>
        <v/>
      </c>
      <c r="K622" t="str">
        <f>IFERROR(MOD(SMALL(Cálculos!$Z$5:$Z$1000,614),10000),"")</f>
        <v/>
      </c>
    </row>
    <row r="623">
      <c r="B623" s="13" t="str">
        <f>IF($K623="","",615)</f>
        <v/>
      </c>
      <c r="C623" s="13" t="str">
        <f>IF($K623="","",INDEX('Detalle individual'!$A:$A,$K623))</f>
        <v/>
      </c>
      <c r="D623" s="72" t="str">
        <f>IF($K623="","",TRIM(INDEX('Detalle individual'!$B:$B,$K623)))</f>
        <v/>
      </c>
      <c r="E623" s="72" t="str">
        <f>IF($K623="","",TRIM(INDEX('Detalle individual'!$E:$E,$K623)))</f>
        <v/>
      </c>
      <c r="F623" s="72" t="str">
        <f>IF($K623="","",TRIM(INDEX('Detalle individual'!$C:$C,$K623)))</f>
        <v/>
      </c>
      <c r="G623" s="72" t="str">
        <f>IF($K623="","",INDEX('Detalle individual'!$D:$D,$K623))</f>
        <v/>
      </c>
      <c r="H623" s="13" t="str">
        <f>IF($K623="","",INDEX('Detalle individual'!$F:$F,$K623))</f>
        <v/>
      </c>
      <c r="I623" s="20" t="str">
        <f>IF($K623="","",IF(INDEX('Detalle individual'!$F:$F,$K623)="Completado",INDEX('Detalle individual'!$H:$H,$K623),""))</f>
        <v/>
      </c>
      <c r="J623" s="21" t="str">
        <f>IF($K623="","",IF(INDEX('Detalle individual'!$F:$F,$K623)="Completado",INDEX('Detalle individual'!$J:$J,$K623),""))</f>
        <v/>
      </c>
      <c r="K623" t="str">
        <f>IFERROR(MOD(SMALL(Cálculos!$Z$5:$Z$1000,615),10000),"")</f>
        <v/>
      </c>
    </row>
    <row r="624">
      <c r="B624" s="13" t="str">
        <f>IF($K624="","",616)</f>
        <v/>
      </c>
      <c r="C624" s="13" t="str">
        <f>IF($K624="","",INDEX('Detalle individual'!$A:$A,$K624))</f>
        <v/>
      </c>
      <c r="D624" s="72" t="str">
        <f>IF($K624="","",TRIM(INDEX('Detalle individual'!$B:$B,$K624)))</f>
        <v/>
      </c>
      <c r="E624" s="72" t="str">
        <f>IF($K624="","",TRIM(INDEX('Detalle individual'!$E:$E,$K624)))</f>
        <v/>
      </c>
      <c r="F624" s="72" t="str">
        <f>IF($K624="","",TRIM(INDEX('Detalle individual'!$C:$C,$K624)))</f>
        <v/>
      </c>
      <c r="G624" s="72" t="str">
        <f>IF($K624="","",INDEX('Detalle individual'!$D:$D,$K624))</f>
        <v/>
      </c>
      <c r="H624" s="13" t="str">
        <f>IF($K624="","",INDEX('Detalle individual'!$F:$F,$K624))</f>
        <v/>
      </c>
      <c r="I624" s="20" t="str">
        <f>IF($K624="","",IF(INDEX('Detalle individual'!$F:$F,$K624)="Completado",INDEX('Detalle individual'!$H:$H,$K624),""))</f>
        <v/>
      </c>
      <c r="J624" s="21" t="str">
        <f>IF($K624="","",IF(INDEX('Detalle individual'!$F:$F,$K624)="Completado",INDEX('Detalle individual'!$J:$J,$K624),""))</f>
        <v/>
      </c>
      <c r="K624" t="str">
        <f>IFERROR(MOD(SMALL(Cálculos!$Z$5:$Z$1000,616),10000),"")</f>
        <v/>
      </c>
    </row>
    <row r="625">
      <c r="B625" s="13" t="str">
        <f>IF($K625="","",617)</f>
        <v/>
      </c>
      <c r="C625" s="13" t="str">
        <f>IF($K625="","",INDEX('Detalle individual'!$A:$A,$K625))</f>
        <v/>
      </c>
      <c r="D625" s="72" t="str">
        <f>IF($K625="","",TRIM(INDEX('Detalle individual'!$B:$B,$K625)))</f>
        <v/>
      </c>
      <c r="E625" s="72" t="str">
        <f>IF($K625="","",TRIM(INDEX('Detalle individual'!$E:$E,$K625)))</f>
        <v/>
      </c>
      <c r="F625" s="72" t="str">
        <f>IF($K625="","",TRIM(INDEX('Detalle individual'!$C:$C,$K625)))</f>
        <v/>
      </c>
      <c r="G625" s="72" t="str">
        <f>IF($K625="","",INDEX('Detalle individual'!$D:$D,$K625))</f>
        <v/>
      </c>
      <c r="H625" s="13" t="str">
        <f>IF($K625="","",INDEX('Detalle individual'!$F:$F,$K625))</f>
        <v/>
      </c>
      <c r="I625" s="20" t="str">
        <f>IF($K625="","",IF(INDEX('Detalle individual'!$F:$F,$K625)="Completado",INDEX('Detalle individual'!$H:$H,$K625),""))</f>
        <v/>
      </c>
      <c r="J625" s="21" t="str">
        <f>IF($K625="","",IF(INDEX('Detalle individual'!$F:$F,$K625)="Completado",INDEX('Detalle individual'!$J:$J,$K625),""))</f>
        <v/>
      </c>
      <c r="K625" t="str">
        <f>IFERROR(MOD(SMALL(Cálculos!$Z$5:$Z$1000,617),10000),"")</f>
        <v/>
      </c>
    </row>
    <row r="626">
      <c r="B626" s="13" t="str">
        <f>IF($K626="","",618)</f>
        <v/>
      </c>
      <c r="C626" s="13" t="str">
        <f>IF($K626="","",INDEX('Detalle individual'!$A:$A,$K626))</f>
        <v/>
      </c>
      <c r="D626" s="72" t="str">
        <f>IF($K626="","",TRIM(INDEX('Detalle individual'!$B:$B,$K626)))</f>
        <v/>
      </c>
      <c r="E626" s="72" t="str">
        <f>IF($K626="","",TRIM(INDEX('Detalle individual'!$E:$E,$K626)))</f>
        <v/>
      </c>
      <c r="F626" s="72" t="str">
        <f>IF($K626="","",TRIM(INDEX('Detalle individual'!$C:$C,$K626)))</f>
        <v/>
      </c>
      <c r="G626" s="72" t="str">
        <f>IF($K626="","",INDEX('Detalle individual'!$D:$D,$K626))</f>
        <v/>
      </c>
      <c r="H626" s="13" t="str">
        <f>IF($K626="","",INDEX('Detalle individual'!$F:$F,$K626))</f>
        <v/>
      </c>
      <c r="I626" s="20" t="str">
        <f>IF($K626="","",IF(INDEX('Detalle individual'!$F:$F,$K626)="Completado",INDEX('Detalle individual'!$H:$H,$K626),""))</f>
        <v/>
      </c>
      <c r="J626" s="21" t="str">
        <f>IF($K626="","",IF(INDEX('Detalle individual'!$F:$F,$K626)="Completado",INDEX('Detalle individual'!$J:$J,$K626),""))</f>
        <v/>
      </c>
      <c r="K626" t="str">
        <f>IFERROR(MOD(SMALL(Cálculos!$Z$5:$Z$1000,618),10000),"")</f>
        <v/>
      </c>
    </row>
    <row r="627">
      <c r="B627" s="13" t="str">
        <f>IF($K627="","",619)</f>
        <v/>
      </c>
      <c r="C627" s="13" t="str">
        <f>IF($K627="","",INDEX('Detalle individual'!$A:$A,$K627))</f>
        <v/>
      </c>
      <c r="D627" s="72" t="str">
        <f>IF($K627="","",TRIM(INDEX('Detalle individual'!$B:$B,$K627)))</f>
        <v/>
      </c>
      <c r="E627" s="72" t="str">
        <f>IF($K627="","",TRIM(INDEX('Detalle individual'!$E:$E,$K627)))</f>
        <v/>
      </c>
      <c r="F627" s="72" t="str">
        <f>IF($K627="","",TRIM(INDEX('Detalle individual'!$C:$C,$K627)))</f>
        <v/>
      </c>
      <c r="G627" s="72" t="str">
        <f>IF($K627="","",INDEX('Detalle individual'!$D:$D,$K627))</f>
        <v/>
      </c>
      <c r="H627" s="13" t="str">
        <f>IF($K627="","",INDEX('Detalle individual'!$F:$F,$K627))</f>
        <v/>
      </c>
      <c r="I627" s="20" t="str">
        <f>IF($K627="","",IF(INDEX('Detalle individual'!$F:$F,$K627)="Completado",INDEX('Detalle individual'!$H:$H,$K627),""))</f>
        <v/>
      </c>
      <c r="J627" s="21" t="str">
        <f>IF($K627="","",IF(INDEX('Detalle individual'!$F:$F,$K627)="Completado",INDEX('Detalle individual'!$J:$J,$K627),""))</f>
        <v/>
      </c>
      <c r="K627" t="str">
        <f>IFERROR(MOD(SMALL(Cálculos!$Z$5:$Z$1000,619),10000),"")</f>
        <v/>
      </c>
    </row>
    <row r="628">
      <c r="B628" s="13" t="str">
        <f>IF($K628="","",620)</f>
        <v/>
      </c>
      <c r="C628" s="13" t="str">
        <f>IF($K628="","",INDEX('Detalle individual'!$A:$A,$K628))</f>
        <v/>
      </c>
      <c r="D628" s="72" t="str">
        <f>IF($K628="","",TRIM(INDEX('Detalle individual'!$B:$B,$K628)))</f>
        <v/>
      </c>
      <c r="E628" s="72" t="str">
        <f>IF($K628="","",TRIM(INDEX('Detalle individual'!$E:$E,$K628)))</f>
        <v/>
      </c>
      <c r="F628" s="72" t="str">
        <f>IF($K628="","",TRIM(INDEX('Detalle individual'!$C:$C,$K628)))</f>
        <v/>
      </c>
      <c r="G628" s="72" t="str">
        <f>IF($K628="","",INDEX('Detalle individual'!$D:$D,$K628))</f>
        <v/>
      </c>
      <c r="H628" s="13" t="str">
        <f>IF($K628="","",INDEX('Detalle individual'!$F:$F,$K628))</f>
        <v/>
      </c>
      <c r="I628" s="20" t="str">
        <f>IF($K628="","",IF(INDEX('Detalle individual'!$F:$F,$K628)="Completado",INDEX('Detalle individual'!$H:$H,$K628),""))</f>
        <v/>
      </c>
      <c r="J628" s="21" t="str">
        <f>IF($K628="","",IF(INDEX('Detalle individual'!$F:$F,$K628)="Completado",INDEX('Detalle individual'!$J:$J,$K628),""))</f>
        <v/>
      </c>
      <c r="K628" t="str">
        <f>IFERROR(MOD(SMALL(Cálculos!$Z$5:$Z$1000,620),10000),"")</f>
        <v/>
      </c>
    </row>
    <row r="629">
      <c r="B629" s="13" t="str">
        <f>IF($K629="","",621)</f>
        <v/>
      </c>
      <c r="C629" s="13" t="str">
        <f>IF($K629="","",INDEX('Detalle individual'!$A:$A,$K629))</f>
        <v/>
      </c>
      <c r="D629" s="72" t="str">
        <f>IF($K629="","",TRIM(INDEX('Detalle individual'!$B:$B,$K629)))</f>
        <v/>
      </c>
      <c r="E629" s="72" t="str">
        <f>IF($K629="","",TRIM(INDEX('Detalle individual'!$E:$E,$K629)))</f>
        <v/>
      </c>
      <c r="F629" s="72" t="str">
        <f>IF($K629="","",TRIM(INDEX('Detalle individual'!$C:$C,$K629)))</f>
        <v/>
      </c>
      <c r="G629" s="72" t="str">
        <f>IF($K629="","",INDEX('Detalle individual'!$D:$D,$K629))</f>
        <v/>
      </c>
      <c r="H629" s="13" t="str">
        <f>IF($K629="","",INDEX('Detalle individual'!$F:$F,$K629))</f>
        <v/>
      </c>
      <c r="I629" s="20" t="str">
        <f>IF($K629="","",IF(INDEX('Detalle individual'!$F:$F,$K629)="Completado",INDEX('Detalle individual'!$H:$H,$K629),""))</f>
        <v/>
      </c>
      <c r="J629" s="21" t="str">
        <f>IF($K629="","",IF(INDEX('Detalle individual'!$F:$F,$K629)="Completado",INDEX('Detalle individual'!$J:$J,$K629),""))</f>
        <v/>
      </c>
      <c r="K629" t="str">
        <f>IFERROR(MOD(SMALL(Cálculos!$Z$5:$Z$1000,621),10000),"")</f>
        <v/>
      </c>
    </row>
    <row r="630">
      <c r="B630" s="13" t="str">
        <f>IF($K630="","",622)</f>
        <v/>
      </c>
      <c r="C630" s="13" t="str">
        <f>IF($K630="","",INDEX('Detalle individual'!$A:$A,$K630))</f>
        <v/>
      </c>
      <c r="D630" s="72" t="str">
        <f>IF($K630="","",TRIM(INDEX('Detalle individual'!$B:$B,$K630)))</f>
        <v/>
      </c>
      <c r="E630" s="72" t="str">
        <f>IF($K630="","",TRIM(INDEX('Detalle individual'!$E:$E,$K630)))</f>
        <v/>
      </c>
      <c r="F630" s="72" t="str">
        <f>IF($K630="","",TRIM(INDEX('Detalle individual'!$C:$C,$K630)))</f>
        <v/>
      </c>
      <c r="G630" s="72" t="str">
        <f>IF($K630="","",INDEX('Detalle individual'!$D:$D,$K630))</f>
        <v/>
      </c>
      <c r="H630" s="13" t="str">
        <f>IF($K630="","",INDEX('Detalle individual'!$F:$F,$K630))</f>
        <v/>
      </c>
      <c r="I630" s="20" t="str">
        <f>IF($K630="","",IF(INDEX('Detalle individual'!$F:$F,$K630)="Completado",INDEX('Detalle individual'!$H:$H,$K630),""))</f>
        <v/>
      </c>
      <c r="J630" s="21" t="str">
        <f>IF($K630="","",IF(INDEX('Detalle individual'!$F:$F,$K630)="Completado",INDEX('Detalle individual'!$J:$J,$K630),""))</f>
        <v/>
      </c>
      <c r="K630" t="str">
        <f>IFERROR(MOD(SMALL(Cálculos!$Z$5:$Z$1000,622),10000),"")</f>
        <v/>
      </c>
    </row>
    <row r="631">
      <c r="B631" s="13" t="str">
        <f>IF($K631="","",623)</f>
        <v/>
      </c>
      <c r="C631" s="13" t="str">
        <f>IF($K631="","",INDEX('Detalle individual'!$A:$A,$K631))</f>
        <v/>
      </c>
      <c r="D631" s="72" t="str">
        <f>IF($K631="","",TRIM(INDEX('Detalle individual'!$B:$B,$K631)))</f>
        <v/>
      </c>
      <c r="E631" s="72" t="str">
        <f>IF($K631="","",TRIM(INDEX('Detalle individual'!$E:$E,$K631)))</f>
        <v/>
      </c>
      <c r="F631" s="72" t="str">
        <f>IF($K631="","",TRIM(INDEX('Detalle individual'!$C:$C,$K631)))</f>
        <v/>
      </c>
      <c r="G631" s="72" t="str">
        <f>IF($K631="","",INDEX('Detalle individual'!$D:$D,$K631))</f>
        <v/>
      </c>
      <c r="H631" s="13" t="str">
        <f>IF($K631="","",INDEX('Detalle individual'!$F:$F,$K631))</f>
        <v/>
      </c>
      <c r="I631" s="20" t="str">
        <f>IF($K631="","",IF(INDEX('Detalle individual'!$F:$F,$K631)="Completado",INDEX('Detalle individual'!$H:$H,$K631),""))</f>
        <v/>
      </c>
      <c r="J631" s="21" t="str">
        <f>IF($K631="","",IF(INDEX('Detalle individual'!$F:$F,$K631)="Completado",INDEX('Detalle individual'!$J:$J,$K631),""))</f>
        <v/>
      </c>
      <c r="K631" t="str">
        <f>IFERROR(MOD(SMALL(Cálculos!$Z$5:$Z$1000,623),10000),"")</f>
        <v/>
      </c>
    </row>
    <row r="632">
      <c r="B632" s="13" t="str">
        <f>IF($K632="","",624)</f>
        <v/>
      </c>
      <c r="C632" s="13" t="str">
        <f>IF($K632="","",INDEX('Detalle individual'!$A:$A,$K632))</f>
        <v/>
      </c>
      <c r="D632" s="72" t="str">
        <f>IF($K632="","",TRIM(INDEX('Detalle individual'!$B:$B,$K632)))</f>
        <v/>
      </c>
      <c r="E632" s="72" t="str">
        <f>IF($K632="","",TRIM(INDEX('Detalle individual'!$E:$E,$K632)))</f>
        <v/>
      </c>
      <c r="F632" s="72" t="str">
        <f>IF($K632="","",TRIM(INDEX('Detalle individual'!$C:$C,$K632)))</f>
        <v/>
      </c>
      <c r="G632" s="72" t="str">
        <f>IF($K632="","",INDEX('Detalle individual'!$D:$D,$K632))</f>
        <v/>
      </c>
      <c r="H632" s="13" t="str">
        <f>IF($K632="","",INDEX('Detalle individual'!$F:$F,$K632))</f>
        <v/>
      </c>
      <c r="I632" s="20" t="str">
        <f>IF($K632="","",IF(INDEX('Detalle individual'!$F:$F,$K632)="Completado",INDEX('Detalle individual'!$H:$H,$K632),""))</f>
        <v/>
      </c>
      <c r="J632" s="21" t="str">
        <f>IF($K632="","",IF(INDEX('Detalle individual'!$F:$F,$K632)="Completado",INDEX('Detalle individual'!$J:$J,$K632),""))</f>
        <v/>
      </c>
      <c r="K632" t="str">
        <f>IFERROR(MOD(SMALL(Cálculos!$Z$5:$Z$1000,624),10000),"")</f>
        <v/>
      </c>
    </row>
    <row r="633">
      <c r="B633" s="13" t="str">
        <f>IF($K633="","",625)</f>
        <v/>
      </c>
      <c r="C633" s="13" t="str">
        <f>IF($K633="","",INDEX('Detalle individual'!$A:$A,$K633))</f>
        <v/>
      </c>
      <c r="D633" s="72" t="str">
        <f>IF($K633="","",TRIM(INDEX('Detalle individual'!$B:$B,$K633)))</f>
        <v/>
      </c>
      <c r="E633" s="72" t="str">
        <f>IF($K633="","",TRIM(INDEX('Detalle individual'!$E:$E,$K633)))</f>
        <v/>
      </c>
      <c r="F633" s="72" t="str">
        <f>IF($K633="","",TRIM(INDEX('Detalle individual'!$C:$C,$K633)))</f>
        <v/>
      </c>
      <c r="G633" s="72" t="str">
        <f>IF($K633="","",INDEX('Detalle individual'!$D:$D,$K633))</f>
        <v/>
      </c>
      <c r="H633" s="13" t="str">
        <f>IF($K633="","",INDEX('Detalle individual'!$F:$F,$K633))</f>
        <v/>
      </c>
      <c r="I633" s="20" t="str">
        <f>IF($K633="","",IF(INDEX('Detalle individual'!$F:$F,$K633)="Completado",INDEX('Detalle individual'!$H:$H,$K633),""))</f>
        <v/>
      </c>
      <c r="J633" s="21" t="str">
        <f>IF($K633="","",IF(INDEX('Detalle individual'!$F:$F,$K633)="Completado",INDEX('Detalle individual'!$J:$J,$K633),""))</f>
        <v/>
      </c>
      <c r="K633" t="str">
        <f>IFERROR(MOD(SMALL(Cálculos!$Z$5:$Z$1000,625),10000),"")</f>
        <v/>
      </c>
    </row>
    <row r="634">
      <c r="B634" s="13" t="str">
        <f>IF($K634="","",626)</f>
        <v/>
      </c>
      <c r="C634" s="13" t="str">
        <f>IF($K634="","",INDEX('Detalle individual'!$A:$A,$K634))</f>
        <v/>
      </c>
      <c r="D634" s="72" t="str">
        <f>IF($K634="","",TRIM(INDEX('Detalle individual'!$B:$B,$K634)))</f>
        <v/>
      </c>
      <c r="E634" s="72" t="str">
        <f>IF($K634="","",TRIM(INDEX('Detalle individual'!$E:$E,$K634)))</f>
        <v/>
      </c>
      <c r="F634" s="72" t="str">
        <f>IF($K634="","",TRIM(INDEX('Detalle individual'!$C:$C,$K634)))</f>
        <v/>
      </c>
      <c r="G634" s="72" t="str">
        <f>IF($K634="","",INDEX('Detalle individual'!$D:$D,$K634))</f>
        <v/>
      </c>
      <c r="H634" s="13" t="str">
        <f>IF($K634="","",INDEX('Detalle individual'!$F:$F,$K634))</f>
        <v/>
      </c>
      <c r="I634" s="20" t="str">
        <f>IF($K634="","",IF(INDEX('Detalle individual'!$F:$F,$K634)="Completado",INDEX('Detalle individual'!$H:$H,$K634),""))</f>
        <v/>
      </c>
      <c r="J634" s="21" t="str">
        <f>IF($K634="","",IF(INDEX('Detalle individual'!$F:$F,$K634)="Completado",INDEX('Detalle individual'!$J:$J,$K634),""))</f>
        <v/>
      </c>
      <c r="K634" t="str">
        <f>IFERROR(MOD(SMALL(Cálculos!$Z$5:$Z$1000,626),10000),"")</f>
        <v/>
      </c>
    </row>
    <row r="635">
      <c r="B635" s="13" t="str">
        <f>IF($K635="","",627)</f>
        <v/>
      </c>
      <c r="C635" s="13" t="str">
        <f>IF($K635="","",INDEX('Detalle individual'!$A:$A,$K635))</f>
        <v/>
      </c>
      <c r="D635" s="72" t="str">
        <f>IF($K635="","",TRIM(INDEX('Detalle individual'!$B:$B,$K635)))</f>
        <v/>
      </c>
      <c r="E635" s="72" t="str">
        <f>IF($K635="","",TRIM(INDEX('Detalle individual'!$E:$E,$K635)))</f>
        <v/>
      </c>
      <c r="F635" s="72" t="str">
        <f>IF($K635="","",TRIM(INDEX('Detalle individual'!$C:$C,$K635)))</f>
        <v/>
      </c>
      <c r="G635" s="72" t="str">
        <f>IF($K635="","",INDEX('Detalle individual'!$D:$D,$K635))</f>
        <v/>
      </c>
      <c r="H635" s="13" t="str">
        <f>IF($K635="","",INDEX('Detalle individual'!$F:$F,$K635))</f>
        <v/>
      </c>
      <c r="I635" s="20" t="str">
        <f>IF($K635="","",IF(INDEX('Detalle individual'!$F:$F,$K635)="Completado",INDEX('Detalle individual'!$H:$H,$K635),""))</f>
        <v/>
      </c>
      <c r="J635" s="21" t="str">
        <f>IF($K635="","",IF(INDEX('Detalle individual'!$F:$F,$K635)="Completado",INDEX('Detalle individual'!$J:$J,$K635),""))</f>
        <v/>
      </c>
      <c r="K635" t="str">
        <f>IFERROR(MOD(SMALL(Cálculos!$Z$5:$Z$1000,627),10000),"")</f>
        <v/>
      </c>
    </row>
    <row r="636">
      <c r="B636" s="13" t="str">
        <f>IF($K636="","",628)</f>
        <v/>
      </c>
      <c r="C636" s="13" t="str">
        <f>IF($K636="","",INDEX('Detalle individual'!$A:$A,$K636))</f>
        <v/>
      </c>
      <c r="D636" s="72" t="str">
        <f>IF($K636="","",TRIM(INDEX('Detalle individual'!$B:$B,$K636)))</f>
        <v/>
      </c>
      <c r="E636" s="72" t="str">
        <f>IF($K636="","",TRIM(INDEX('Detalle individual'!$E:$E,$K636)))</f>
        <v/>
      </c>
      <c r="F636" s="72" t="str">
        <f>IF($K636="","",TRIM(INDEX('Detalle individual'!$C:$C,$K636)))</f>
        <v/>
      </c>
      <c r="G636" s="72" t="str">
        <f>IF($K636="","",INDEX('Detalle individual'!$D:$D,$K636))</f>
        <v/>
      </c>
      <c r="H636" s="13" t="str">
        <f>IF($K636="","",INDEX('Detalle individual'!$F:$F,$K636))</f>
        <v/>
      </c>
      <c r="I636" s="20" t="str">
        <f>IF($K636="","",IF(INDEX('Detalle individual'!$F:$F,$K636)="Completado",INDEX('Detalle individual'!$H:$H,$K636),""))</f>
        <v/>
      </c>
      <c r="J636" s="21" t="str">
        <f>IF($K636="","",IF(INDEX('Detalle individual'!$F:$F,$K636)="Completado",INDEX('Detalle individual'!$J:$J,$K636),""))</f>
        <v/>
      </c>
      <c r="K636" t="str">
        <f>IFERROR(MOD(SMALL(Cálculos!$Z$5:$Z$1000,628),10000),"")</f>
        <v/>
      </c>
    </row>
    <row r="637">
      <c r="B637" s="13" t="str">
        <f>IF($K637="","",629)</f>
        <v/>
      </c>
      <c r="C637" s="13" t="str">
        <f>IF($K637="","",INDEX('Detalle individual'!$A:$A,$K637))</f>
        <v/>
      </c>
      <c r="D637" s="72" t="str">
        <f>IF($K637="","",TRIM(INDEX('Detalle individual'!$B:$B,$K637)))</f>
        <v/>
      </c>
      <c r="E637" s="72" t="str">
        <f>IF($K637="","",TRIM(INDEX('Detalle individual'!$E:$E,$K637)))</f>
        <v/>
      </c>
      <c r="F637" s="72" t="str">
        <f>IF($K637="","",TRIM(INDEX('Detalle individual'!$C:$C,$K637)))</f>
        <v/>
      </c>
      <c r="G637" s="72" t="str">
        <f>IF($K637="","",INDEX('Detalle individual'!$D:$D,$K637))</f>
        <v/>
      </c>
      <c r="H637" s="13" t="str">
        <f>IF($K637="","",INDEX('Detalle individual'!$F:$F,$K637))</f>
        <v/>
      </c>
      <c r="I637" s="20" t="str">
        <f>IF($K637="","",IF(INDEX('Detalle individual'!$F:$F,$K637)="Completado",INDEX('Detalle individual'!$H:$H,$K637),""))</f>
        <v/>
      </c>
      <c r="J637" s="21" t="str">
        <f>IF($K637="","",IF(INDEX('Detalle individual'!$F:$F,$K637)="Completado",INDEX('Detalle individual'!$J:$J,$K637),""))</f>
        <v/>
      </c>
      <c r="K637" t="str">
        <f>IFERROR(MOD(SMALL(Cálculos!$Z$5:$Z$1000,629),10000),"")</f>
        <v/>
      </c>
    </row>
    <row r="638">
      <c r="B638" s="13" t="str">
        <f>IF($K638="","",630)</f>
        <v/>
      </c>
      <c r="C638" s="13" t="str">
        <f>IF($K638="","",INDEX('Detalle individual'!$A:$A,$K638))</f>
        <v/>
      </c>
      <c r="D638" s="72" t="str">
        <f>IF($K638="","",TRIM(INDEX('Detalle individual'!$B:$B,$K638)))</f>
        <v/>
      </c>
      <c r="E638" s="72" t="str">
        <f>IF($K638="","",TRIM(INDEX('Detalle individual'!$E:$E,$K638)))</f>
        <v/>
      </c>
      <c r="F638" s="72" t="str">
        <f>IF($K638="","",TRIM(INDEX('Detalle individual'!$C:$C,$K638)))</f>
        <v/>
      </c>
      <c r="G638" s="72" t="str">
        <f>IF($K638="","",INDEX('Detalle individual'!$D:$D,$K638))</f>
        <v/>
      </c>
      <c r="H638" s="13" t="str">
        <f>IF($K638="","",INDEX('Detalle individual'!$F:$F,$K638))</f>
        <v/>
      </c>
      <c r="I638" s="20" t="str">
        <f>IF($K638="","",IF(INDEX('Detalle individual'!$F:$F,$K638)="Completado",INDEX('Detalle individual'!$H:$H,$K638),""))</f>
        <v/>
      </c>
      <c r="J638" s="21" t="str">
        <f>IF($K638="","",IF(INDEX('Detalle individual'!$F:$F,$K638)="Completado",INDEX('Detalle individual'!$J:$J,$K638),""))</f>
        <v/>
      </c>
      <c r="K638" t="str">
        <f>IFERROR(MOD(SMALL(Cálculos!$Z$5:$Z$1000,630),10000),"")</f>
        <v/>
      </c>
    </row>
    <row r="639">
      <c r="B639" s="13" t="str">
        <f>IF($K639="","",631)</f>
        <v/>
      </c>
      <c r="C639" s="13" t="str">
        <f>IF($K639="","",INDEX('Detalle individual'!$A:$A,$K639))</f>
        <v/>
      </c>
      <c r="D639" s="72" t="str">
        <f>IF($K639="","",TRIM(INDEX('Detalle individual'!$B:$B,$K639)))</f>
        <v/>
      </c>
      <c r="E639" s="72" t="str">
        <f>IF($K639="","",TRIM(INDEX('Detalle individual'!$E:$E,$K639)))</f>
        <v/>
      </c>
      <c r="F639" s="72" t="str">
        <f>IF($K639="","",TRIM(INDEX('Detalle individual'!$C:$C,$K639)))</f>
        <v/>
      </c>
      <c r="G639" s="72" t="str">
        <f>IF($K639="","",INDEX('Detalle individual'!$D:$D,$K639))</f>
        <v/>
      </c>
      <c r="H639" s="13" t="str">
        <f>IF($K639="","",INDEX('Detalle individual'!$F:$F,$K639))</f>
        <v/>
      </c>
      <c r="I639" s="20" t="str">
        <f>IF($K639="","",IF(INDEX('Detalle individual'!$F:$F,$K639)="Completado",INDEX('Detalle individual'!$H:$H,$K639),""))</f>
        <v/>
      </c>
      <c r="J639" s="21" t="str">
        <f>IF($K639="","",IF(INDEX('Detalle individual'!$F:$F,$K639)="Completado",INDEX('Detalle individual'!$J:$J,$K639),""))</f>
        <v/>
      </c>
      <c r="K639" t="str">
        <f>IFERROR(MOD(SMALL(Cálculos!$Z$5:$Z$1000,631),10000),"")</f>
        <v/>
      </c>
    </row>
    <row r="640">
      <c r="B640" s="13" t="str">
        <f>IF($K640="","",632)</f>
        <v/>
      </c>
      <c r="C640" s="13" t="str">
        <f>IF($K640="","",INDEX('Detalle individual'!$A:$A,$K640))</f>
        <v/>
      </c>
      <c r="D640" s="72" t="str">
        <f>IF($K640="","",TRIM(INDEX('Detalle individual'!$B:$B,$K640)))</f>
        <v/>
      </c>
      <c r="E640" s="72" t="str">
        <f>IF($K640="","",TRIM(INDEX('Detalle individual'!$E:$E,$K640)))</f>
        <v/>
      </c>
      <c r="F640" s="72" t="str">
        <f>IF($K640="","",TRIM(INDEX('Detalle individual'!$C:$C,$K640)))</f>
        <v/>
      </c>
      <c r="G640" s="72" t="str">
        <f>IF($K640="","",INDEX('Detalle individual'!$D:$D,$K640))</f>
        <v/>
      </c>
      <c r="H640" s="13" t="str">
        <f>IF($K640="","",INDEX('Detalle individual'!$F:$F,$K640))</f>
        <v/>
      </c>
      <c r="I640" s="20" t="str">
        <f>IF($K640="","",IF(INDEX('Detalle individual'!$F:$F,$K640)="Completado",INDEX('Detalle individual'!$H:$H,$K640),""))</f>
        <v/>
      </c>
      <c r="J640" s="21" t="str">
        <f>IF($K640="","",IF(INDEX('Detalle individual'!$F:$F,$K640)="Completado",INDEX('Detalle individual'!$J:$J,$K640),""))</f>
        <v/>
      </c>
      <c r="K640" t="str">
        <f>IFERROR(MOD(SMALL(Cálculos!$Z$5:$Z$1000,632),10000),"")</f>
        <v/>
      </c>
    </row>
    <row r="641">
      <c r="B641" s="13" t="str">
        <f>IF($K641="","",633)</f>
        <v/>
      </c>
      <c r="C641" s="13" t="str">
        <f>IF($K641="","",INDEX('Detalle individual'!$A:$A,$K641))</f>
        <v/>
      </c>
      <c r="D641" s="72" t="str">
        <f>IF($K641="","",TRIM(INDEX('Detalle individual'!$B:$B,$K641)))</f>
        <v/>
      </c>
      <c r="E641" s="72" t="str">
        <f>IF($K641="","",TRIM(INDEX('Detalle individual'!$E:$E,$K641)))</f>
        <v/>
      </c>
      <c r="F641" s="72" t="str">
        <f>IF($K641="","",TRIM(INDEX('Detalle individual'!$C:$C,$K641)))</f>
        <v/>
      </c>
      <c r="G641" s="72" t="str">
        <f>IF($K641="","",INDEX('Detalle individual'!$D:$D,$K641))</f>
        <v/>
      </c>
      <c r="H641" s="13" t="str">
        <f>IF($K641="","",INDEX('Detalle individual'!$F:$F,$K641))</f>
        <v/>
      </c>
      <c r="I641" s="20" t="str">
        <f>IF($K641="","",IF(INDEX('Detalle individual'!$F:$F,$K641)="Completado",INDEX('Detalle individual'!$H:$H,$K641),""))</f>
        <v/>
      </c>
      <c r="J641" s="21" t="str">
        <f>IF($K641="","",IF(INDEX('Detalle individual'!$F:$F,$K641)="Completado",INDEX('Detalle individual'!$J:$J,$K641),""))</f>
        <v/>
      </c>
      <c r="K641" t="str">
        <f>IFERROR(MOD(SMALL(Cálculos!$Z$5:$Z$1000,633),10000),"")</f>
        <v/>
      </c>
    </row>
    <row r="642">
      <c r="B642" s="13" t="str">
        <f>IF($K642="","",634)</f>
        <v/>
      </c>
      <c r="C642" s="13" t="str">
        <f>IF($K642="","",INDEX('Detalle individual'!$A:$A,$K642))</f>
        <v/>
      </c>
      <c r="D642" s="72" t="str">
        <f>IF($K642="","",TRIM(INDEX('Detalle individual'!$B:$B,$K642)))</f>
        <v/>
      </c>
      <c r="E642" s="72" t="str">
        <f>IF($K642="","",TRIM(INDEX('Detalle individual'!$E:$E,$K642)))</f>
        <v/>
      </c>
      <c r="F642" s="72" t="str">
        <f>IF($K642="","",TRIM(INDEX('Detalle individual'!$C:$C,$K642)))</f>
        <v/>
      </c>
      <c r="G642" s="72" t="str">
        <f>IF($K642="","",INDEX('Detalle individual'!$D:$D,$K642))</f>
        <v/>
      </c>
      <c r="H642" s="13" t="str">
        <f>IF($K642="","",INDEX('Detalle individual'!$F:$F,$K642))</f>
        <v/>
      </c>
      <c r="I642" s="20" t="str">
        <f>IF($K642="","",IF(INDEX('Detalle individual'!$F:$F,$K642)="Completado",INDEX('Detalle individual'!$H:$H,$K642),""))</f>
        <v/>
      </c>
      <c r="J642" s="21" t="str">
        <f>IF($K642="","",IF(INDEX('Detalle individual'!$F:$F,$K642)="Completado",INDEX('Detalle individual'!$J:$J,$K642),""))</f>
        <v/>
      </c>
      <c r="K642" t="str">
        <f>IFERROR(MOD(SMALL(Cálculos!$Z$5:$Z$1000,634),10000),"")</f>
        <v/>
      </c>
    </row>
    <row r="643">
      <c r="B643" s="13" t="str">
        <f>IF($K643="","",635)</f>
        <v/>
      </c>
      <c r="C643" s="13" t="str">
        <f>IF($K643="","",INDEX('Detalle individual'!$A:$A,$K643))</f>
        <v/>
      </c>
      <c r="D643" s="72" t="str">
        <f>IF($K643="","",TRIM(INDEX('Detalle individual'!$B:$B,$K643)))</f>
        <v/>
      </c>
      <c r="E643" s="72" t="str">
        <f>IF($K643="","",TRIM(INDEX('Detalle individual'!$E:$E,$K643)))</f>
        <v/>
      </c>
      <c r="F643" s="72" t="str">
        <f>IF($K643="","",TRIM(INDEX('Detalle individual'!$C:$C,$K643)))</f>
        <v/>
      </c>
      <c r="G643" s="72" t="str">
        <f>IF($K643="","",INDEX('Detalle individual'!$D:$D,$K643))</f>
        <v/>
      </c>
      <c r="H643" s="13" t="str">
        <f>IF($K643="","",INDEX('Detalle individual'!$F:$F,$K643))</f>
        <v/>
      </c>
      <c r="I643" s="20" t="str">
        <f>IF($K643="","",IF(INDEX('Detalle individual'!$F:$F,$K643)="Completado",INDEX('Detalle individual'!$H:$H,$K643),""))</f>
        <v/>
      </c>
      <c r="J643" s="21" t="str">
        <f>IF($K643="","",IF(INDEX('Detalle individual'!$F:$F,$K643)="Completado",INDEX('Detalle individual'!$J:$J,$K643),""))</f>
        <v/>
      </c>
      <c r="K643" t="str">
        <f>IFERROR(MOD(SMALL(Cálculos!$Z$5:$Z$1000,635),10000),"")</f>
        <v/>
      </c>
    </row>
    <row r="644">
      <c r="B644" s="13" t="str">
        <f>IF($K644="","",636)</f>
        <v/>
      </c>
      <c r="C644" s="13" t="str">
        <f>IF($K644="","",INDEX('Detalle individual'!$A:$A,$K644))</f>
        <v/>
      </c>
      <c r="D644" s="72" t="str">
        <f>IF($K644="","",TRIM(INDEX('Detalle individual'!$B:$B,$K644)))</f>
        <v/>
      </c>
      <c r="E644" s="72" t="str">
        <f>IF($K644="","",TRIM(INDEX('Detalle individual'!$E:$E,$K644)))</f>
        <v/>
      </c>
      <c r="F644" s="72" t="str">
        <f>IF($K644="","",TRIM(INDEX('Detalle individual'!$C:$C,$K644)))</f>
        <v/>
      </c>
      <c r="G644" s="72" t="str">
        <f>IF($K644="","",INDEX('Detalle individual'!$D:$D,$K644))</f>
        <v/>
      </c>
      <c r="H644" s="13" t="str">
        <f>IF($K644="","",INDEX('Detalle individual'!$F:$F,$K644))</f>
        <v/>
      </c>
      <c r="I644" s="20" t="str">
        <f>IF($K644="","",IF(INDEX('Detalle individual'!$F:$F,$K644)="Completado",INDEX('Detalle individual'!$H:$H,$K644),""))</f>
        <v/>
      </c>
      <c r="J644" s="21" t="str">
        <f>IF($K644="","",IF(INDEX('Detalle individual'!$F:$F,$K644)="Completado",INDEX('Detalle individual'!$J:$J,$K644),""))</f>
        <v/>
      </c>
      <c r="K644" t="str">
        <f>IFERROR(MOD(SMALL(Cálculos!$Z$5:$Z$1000,636),10000),"")</f>
        <v/>
      </c>
    </row>
    <row r="645">
      <c r="B645" s="13" t="str">
        <f>IF($K645="","",637)</f>
        <v/>
      </c>
      <c r="C645" s="13" t="str">
        <f>IF($K645="","",INDEX('Detalle individual'!$A:$A,$K645))</f>
        <v/>
      </c>
      <c r="D645" s="72" t="str">
        <f>IF($K645="","",TRIM(INDEX('Detalle individual'!$B:$B,$K645)))</f>
        <v/>
      </c>
      <c r="E645" s="72" t="str">
        <f>IF($K645="","",TRIM(INDEX('Detalle individual'!$E:$E,$K645)))</f>
        <v/>
      </c>
      <c r="F645" s="72" t="str">
        <f>IF($K645="","",TRIM(INDEX('Detalle individual'!$C:$C,$K645)))</f>
        <v/>
      </c>
      <c r="G645" s="72" t="str">
        <f>IF($K645="","",INDEX('Detalle individual'!$D:$D,$K645))</f>
        <v/>
      </c>
      <c r="H645" s="13" t="str">
        <f>IF($K645="","",INDEX('Detalle individual'!$F:$F,$K645))</f>
        <v/>
      </c>
      <c r="I645" s="20" t="str">
        <f>IF($K645="","",IF(INDEX('Detalle individual'!$F:$F,$K645)="Completado",INDEX('Detalle individual'!$H:$H,$K645),""))</f>
        <v/>
      </c>
      <c r="J645" s="21" t="str">
        <f>IF($K645="","",IF(INDEX('Detalle individual'!$F:$F,$K645)="Completado",INDEX('Detalle individual'!$J:$J,$K645),""))</f>
        <v/>
      </c>
      <c r="K645" t="str">
        <f>IFERROR(MOD(SMALL(Cálculos!$Z$5:$Z$1000,637),10000),"")</f>
        <v/>
      </c>
    </row>
    <row r="646">
      <c r="B646" s="13" t="str">
        <f>IF($K646="","",638)</f>
        <v/>
      </c>
      <c r="C646" s="13" t="str">
        <f>IF($K646="","",INDEX('Detalle individual'!$A:$A,$K646))</f>
        <v/>
      </c>
      <c r="D646" s="72" t="str">
        <f>IF($K646="","",TRIM(INDEX('Detalle individual'!$B:$B,$K646)))</f>
        <v/>
      </c>
      <c r="E646" s="72" t="str">
        <f>IF($K646="","",TRIM(INDEX('Detalle individual'!$E:$E,$K646)))</f>
        <v/>
      </c>
      <c r="F646" s="72" t="str">
        <f>IF($K646="","",TRIM(INDEX('Detalle individual'!$C:$C,$K646)))</f>
        <v/>
      </c>
      <c r="G646" s="72" t="str">
        <f>IF($K646="","",INDEX('Detalle individual'!$D:$D,$K646))</f>
        <v/>
      </c>
      <c r="H646" s="13" t="str">
        <f>IF($K646="","",INDEX('Detalle individual'!$F:$F,$K646))</f>
        <v/>
      </c>
      <c r="I646" s="20" t="str">
        <f>IF($K646="","",IF(INDEX('Detalle individual'!$F:$F,$K646)="Completado",INDEX('Detalle individual'!$H:$H,$K646),""))</f>
        <v/>
      </c>
      <c r="J646" s="21" t="str">
        <f>IF($K646="","",IF(INDEX('Detalle individual'!$F:$F,$K646)="Completado",INDEX('Detalle individual'!$J:$J,$K646),""))</f>
        <v/>
      </c>
      <c r="K646" t="str">
        <f>IFERROR(MOD(SMALL(Cálculos!$Z$5:$Z$1000,638),10000),"")</f>
        <v/>
      </c>
    </row>
    <row r="647">
      <c r="B647" s="13" t="str">
        <f>IF($K647="","",639)</f>
        <v/>
      </c>
      <c r="C647" s="13" t="str">
        <f>IF($K647="","",INDEX('Detalle individual'!$A:$A,$K647))</f>
        <v/>
      </c>
      <c r="D647" s="72" t="str">
        <f>IF($K647="","",TRIM(INDEX('Detalle individual'!$B:$B,$K647)))</f>
        <v/>
      </c>
      <c r="E647" s="72" t="str">
        <f>IF($K647="","",TRIM(INDEX('Detalle individual'!$E:$E,$K647)))</f>
        <v/>
      </c>
      <c r="F647" s="72" t="str">
        <f>IF($K647="","",TRIM(INDEX('Detalle individual'!$C:$C,$K647)))</f>
        <v/>
      </c>
      <c r="G647" s="72" t="str">
        <f>IF($K647="","",INDEX('Detalle individual'!$D:$D,$K647))</f>
        <v/>
      </c>
      <c r="H647" s="13" t="str">
        <f>IF($K647="","",INDEX('Detalle individual'!$F:$F,$K647))</f>
        <v/>
      </c>
      <c r="I647" s="20" t="str">
        <f>IF($K647="","",IF(INDEX('Detalle individual'!$F:$F,$K647)="Completado",INDEX('Detalle individual'!$H:$H,$K647),""))</f>
        <v/>
      </c>
      <c r="J647" s="21" t="str">
        <f>IF($K647="","",IF(INDEX('Detalle individual'!$F:$F,$K647)="Completado",INDEX('Detalle individual'!$J:$J,$K647),""))</f>
        <v/>
      </c>
      <c r="K647" t="str">
        <f>IFERROR(MOD(SMALL(Cálculos!$Z$5:$Z$1000,639),10000),"")</f>
        <v/>
      </c>
    </row>
    <row r="648">
      <c r="B648" s="13" t="str">
        <f>IF($K648="","",640)</f>
        <v/>
      </c>
      <c r="C648" s="13" t="str">
        <f>IF($K648="","",INDEX('Detalle individual'!$A:$A,$K648))</f>
        <v/>
      </c>
      <c r="D648" s="72" t="str">
        <f>IF($K648="","",TRIM(INDEX('Detalle individual'!$B:$B,$K648)))</f>
        <v/>
      </c>
      <c r="E648" s="72" t="str">
        <f>IF($K648="","",TRIM(INDEX('Detalle individual'!$E:$E,$K648)))</f>
        <v/>
      </c>
      <c r="F648" s="72" t="str">
        <f>IF($K648="","",TRIM(INDEX('Detalle individual'!$C:$C,$K648)))</f>
        <v/>
      </c>
      <c r="G648" s="72" t="str">
        <f>IF($K648="","",INDEX('Detalle individual'!$D:$D,$K648))</f>
        <v/>
      </c>
      <c r="H648" s="13" t="str">
        <f>IF($K648="","",INDEX('Detalle individual'!$F:$F,$K648))</f>
        <v/>
      </c>
      <c r="I648" s="20" t="str">
        <f>IF($K648="","",IF(INDEX('Detalle individual'!$F:$F,$K648)="Completado",INDEX('Detalle individual'!$H:$H,$K648),""))</f>
        <v/>
      </c>
      <c r="J648" s="21" t="str">
        <f>IF($K648="","",IF(INDEX('Detalle individual'!$F:$F,$K648)="Completado",INDEX('Detalle individual'!$J:$J,$K648),""))</f>
        <v/>
      </c>
      <c r="K648" t="str">
        <f>IFERROR(MOD(SMALL(Cálculos!$Z$5:$Z$1000,640),10000),"")</f>
        <v/>
      </c>
    </row>
    <row r="649">
      <c r="B649" s="13" t="str">
        <f>IF($K649="","",641)</f>
        <v/>
      </c>
      <c r="C649" s="13" t="str">
        <f>IF($K649="","",INDEX('Detalle individual'!$A:$A,$K649))</f>
        <v/>
      </c>
      <c r="D649" s="72" t="str">
        <f>IF($K649="","",TRIM(INDEX('Detalle individual'!$B:$B,$K649)))</f>
        <v/>
      </c>
      <c r="E649" s="72" t="str">
        <f>IF($K649="","",TRIM(INDEX('Detalle individual'!$E:$E,$K649)))</f>
        <v/>
      </c>
      <c r="F649" s="72" t="str">
        <f>IF($K649="","",TRIM(INDEX('Detalle individual'!$C:$C,$K649)))</f>
        <v/>
      </c>
      <c r="G649" s="72" t="str">
        <f>IF($K649="","",INDEX('Detalle individual'!$D:$D,$K649))</f>
        <v/>
      </c>
      <c r="H649" s="13" t="str">
        <f>IF($K649="","",INDEX('Detalle individual'!$F:$F,$K649))</f>
        <v/>
      </c>
      <c r="I649" s="20" t="str">
        <f>IF($K649="","",IF(INDEX('Detalle individual'!$F:$F,$K649)="Completado",INDEX('Detalle individual'!$H:$H,$K649),""))</f>
        <v/>
      </c>
      <c r="J649" s="21" t="str">
        <f>IF($K649="","",IF(INDEX('Detalle individual'!$F:$F,$K649)="Completado",INDEX('Detalle individual'!$J:$J,$K649),""))</f>
        <v/>
      </c>
      <c r="K649" t="str">
        <f>IFERROR(MOD(SMALL(Cálculos!$Z$5:$Z$1000,641),10000),"")</f>
        <v/>
      </c>
    </row>
    <row r="650">
      <c r="B650" s="13" t="str">
        <f>IF($K650="","",642)</f>
        <v/>
      </c>
      <c r="C650" s="13" t="str">
        <f>IF($K650="","",INDEX('Detalle individual'!$A:$A,$K650))</f>
        <v/>
      </c>
      <c r="D650" s="72" t="str">
        <f>IF($K650="","",TRIM(INDEX('Detalle individual'!$B:$B,$K650)))</f>
        <v/>
      </c>
      <c r="E650" s="72" t="str">
        <f>IF($K650="","",TRIM(INDEX('Detalle individual'!$E:$E,$K650)))</f>
        <v/>
      </c>
      <c r="F650" s="72" t="str">
        <f>IF($K650="","",TRIM(INDEX('Detalle individual'!$C:$C,$K650)))</f>
        <v/>
      </c>
      <c r="G650" s="72" t="str">
        <f>IF($K650="","",INDEX('Detalle individual'!$D:$D,$K650))</f>
        <v/>
      </c>
      <c r="H650" s="13" t="str">
        <f>IF($K650="","",INDEX('Detalle individual'!$F:$F,$K650))</f>
        <v/>
      </c>
      <c r="I650" s="20" t="str">
        <f>IF($K650="","",IF(INDEX('Detalle individual'!$F:$F,$K650)="Completado",INDEX('Detalle individual'!$H:$H,$K650),""))</f>
        <v/>
      </c>
      <c r="J650" s="21" t="str">
        <f>IF($K650="","",IF(INDEX('Detalle individual'!$F:$F,$K650)="Completado",INDEX('Detalle individual'!$J:$J,$K650),""))</f>
        <v/>
      </c>
      <c r="K650" t="str">
        <f>IFERROR(MOD(SMALL(Cálculos!$Z$5:$Z$1000,642),10000),"")</f>
        <v/>
      </c>
    </row>
    <row r="651">
      <c r="B651" s="13" t="str">
        <f>IF($K651="","",643)</f>
        <v/>
      </c>
      <c r="C651" s="13" t="str">
        <f>IF($K651="","",INDEX('Detalle individual'!$A:$A,$K651))</f>
        <v/>
      </c>
      <c r="D651" s="72" t="str">
        <f>IF($K651="","",TRIM(INDEX('Detalle individual'!$B:$B,$K651)))</f>
        <v/>
      </c>
      <c r="E651" s="72" t="str">
        <f>IF($K651="","",TRIM(INDEX('Detalle individual'!$E:$E,$K651)))</f>
        <v/>
      </c>
      <c r="F651" s="72" t="str">
        <f>IF($K651="","",TRIM(INDEX('Detalle individual'!$C:$C,$K651)))</f>
        <v/>
      </c>
      <c r="G651" s="72" t="str">
        <f>IF($K651="","",INDEX('Detalle individual'!$D:$D,$K651))</f>
        <v/>
      </c>
      <c r="H651" s="13" t="str">
        <f>IF($K651="","",INDEX('Detalle individual'!$F:$F,$K651))</f>
        <v/>
      </c>
      <c r="I651" s="20" t="str">
        <f>IF($K651="","",IF(INDEX('Detalle individual'!$F:$F,$K651)="Completado",INDEX('Detalle individual'!$H:$H,$K651),""))</f>
        <v/>
      </c>
      <c r="J651" s="21" t="str">
        <f>IF($K651="","",IF(INDEX('Detalle individual'!$F:$F,$K651)="Completado",INDEX('Detalle individual'!$J:$J,$K651),""))</f>
        <v/>
      </c>
      <c r="K651" t="str">
        <f>IFERROR(MOD(SMALL(Cálculos!$Z$5:$Z$1000,643),10000),"")</f>
        <v/>
      </c>
    </row>
    <row r="652">
      <c r="B652" s="13" t="str">
        <f>IF($K652="","",644)</f>
        <v/>
      </c>
      <c r="C652" s="13" t="str">
        <f>IF($K652="","",INDEX('Detalle individual'!$A:$A,$K652))</f>
        <v/>
      </c>
      <c r="D652" s="72" t="str">
        <f>IF($K652="","",TRIM(INDEX('Detalle individual'!$B:$B,$K652)))</f>
        <v/>
      </c>
      <c r="E652" s="72" t="str">
        <f>IF($K652="","",TRIM(INDEX('Detalle individual'!$E:$E,$K652)))</f>
        <v/>
      </c>
      <c r="F652" s="72" t="str">
        <f>IF($K652="","",TRIM(INDEX('Detalle individual'!$C:$C,$K652)))</f>
        <v/>
      </c>
      <c r="G652" s="72" t="str">
        <f>IF($K652="","",INDEX('Detalle individual'!$D:$D,$K652))</f>
        <v/>
      </c>
      <c r="H652" s="13" t="str">
        <f>IF($K652="","",INDEX('Detalle individual'!$F:$F,$K652))</f>
        <v/>
      </c>
      <c r="I652" s="20" t="str">
        <f>IF($K652="","",IF(INDEX('Detalle individual'!$F:$F,$K652)="Completado",INDEX('Detalle individual'!$H:$H,$K652),""))</f>
        <v/>
      </c>
      <c r="J652" s="21" t="str">
        <f>IF($K652="","",IF(INDEX('Detalle individual'!$F:$F,$K652)="Completado",INDEX('Detalle individual'!$J:$J,$K652),""))</f>
        <v/>
      </c>
      <c r="K652" t="str">
        <f>IFERROR(MOD(SMALL(Cálculos!$Z$5:$Z$1000,644),10000),"")</f>
        <v/>
      </c>
    </row>
    <row r="653">
      <c r="B653" s="13" t="str">
        <f>IF($K653="","",645)</f>
        <v/>
      </c>
      <c r="C653" s="13" t="str">
        <f>IF($K653="","",INDEX('Detalle individual'!$A:$A,$K653))</f>
        <v/>
      </c>
      <c r="D653" s="72" t="str">
        <f>IF($K653="","",TRIM(INDEX('Detalle individual'!$B:$B,$K653)))</f>
        <v/>
      </c>
      <c r="E653" s="72" t="str">
        <f>IF($K653="","",TRIM(INDEX('Detalle individual'!$E:$E,$K653)))</f>
        <v/>
      </c>
      <c r="F653" s="72" t="str">
        <f>IF($K653="","",TRIM(INDEX('Detalle individual'!$C:$C,$K653)))</f>
        <v/>
      </c>
      <c r="G653" s="72" t="str">
        <f>IF($K653="","",INDEX('Detalle individual'!$D:$D,$K653))</f>
        <v/>
      </c>
      <c r="H653" s="13" t="str">
        <f>IF($K653="","",INDEX('Detalle individual'!$F:$F,$K653))</f>
        <v/>
      </c>
      <c r="I653" s="20" t="str">
        <f>IF($K653="","",IF(INDEX('Detalle individual'!$F:$F,$K653)="Completado",INDEX('Detalle individual'!$H:$H,$K653),""))</f>
        <v/>
      </c>
      <c r="J653" s="21" t="str">
        <f>IF($K653="","",IF(INDEX('Detalle individual'!$F:$F,$K653)="Completado",INDEX('Detalle individual'!$J:$J,$K653),""))</f>
        <v/>
      </c>
      <c r="K653" t="str">
        <f>IFERROR(MOD(SMALL(Cálculos!$Z$5:$Z$1000,645),10000),"")</f>
        <v/>
      </c>
    </row>
    <row r="654">
      <c r="B654" s="13" t="str">
        <f>IF($K654="","",646)</f>
        <v/>
      </c>
      <c r="C654" s="13" t="str">
        <f>IF($K654="","",INDEX('Detalle individual'!$A:$A,$K654))</f>
        <v/>
      </c>
      <c r="D654" s="72" t="str">
        <f>IF($K654="","",TRIM(INDEX('Detalle individual'!$B:$B,$K654)))</f>
        <v/>
      </c>
      <c r="E654" s="72" t="str">
        <f>IF($K654="","",TRIM(INDEX('Detalle individual'!$E:$E,$K654)))</f>
        <v/>
      </c>
      <c r="F654" s="72" t="str">
        <f>IF($K654="","",TRIM(INDEX('Detalle individual'!$C:$C,$K654)))</f>
        <v/>
      </c>
      <c r="G654" s="72" t="str">
        <f>IF($K654="","",INDEX('Detalle individual'!$D:$D,$K654))</f>
        <v/>
      </c>
      <c r="H654" s="13" t="str">
        <f>IF($K654="","",INDEX('Detalle individual'!$F:$F,$K654))</f>
        <v/>
      </c>
      <c r="I654" s="20" t="str">
        <f>IF($K654="","",IF(INDEX('Detalle individual'!$F:$F,$K654)="Completado",INDEX('Detalle individual'!$H:$H,$K654),""))</f>
        <v/>
      </c>
      <c r="J654" s="21" t="str">
        <f>IF($K654="","",IF(INDEX('Detalle individual'!$F:$F,$K654)="Completado",INDEX('Detalle individual'!$J:$J,$K654),""))</f>
        <v/>
      </c>
      <c r="K654" t="str">
        <f>IFERROR(MOD(SMALL(Cálculos!$Z$5:$Z$1000,646),10000),"")</f>
        <v/>
      </c>
    </row>
    <row r="655">
      <c r="B655" s="13" t="str">
        <f>IF($K655="","",647)</f>
        <v/>
      </c>
      <c r="C655" s="13" t="str">
        <f>IF($K655="","",INDEX('Detalle individual'!$A:$A,$K655))</f>
        <v/>
      </c>
      <c r="D655" s="72" t="str">
        <f>IF($K655="","",TRIM(INDEX('Detalle individual'!$B:$B,$K655)))</f>
        <v/>
      </c>
      <c r="E655" s="72" t="str">
        <f>IF($K655="","",TRIM(INDEX('Detalle individual'!$E:$E,$K655)))</f>
        <v/>
      </c>
      <c r="F655" s="72" t="str">
        <f>IF($K655="","",TRIM(INDEX('Detalle individual'!$C:$C,$K655)))</f>
        <v/>
      </c>
      <c r="G655" s="72" t="str">
        <f>IF($K655="","",INDEX('Detalle individual'!$D:$D,$K655))</f>
        <v/>
      </c>
      <c r="H655" s="13" t="str">
        <f>IF($K655="","",INDEX('Detalle individual'!$F:$F,$K655))</f>
        <v/>
      </c>
      <c r="I655" s="20" t="str">
        <f>IF($K655="","",IF(INDEX('Detalle individual'!$F:$F,$K655)="Completado",INDEX('Detalle individual'!$H:$H,$K655),""))</f>
        <v/>
      </c>
      <c r="J655" s="21" t="str">
        <f>IF($K655="","",IF(INDEX('Detalle individual'!$F:$F,$K655)="Completado",INDEX('Detalle individual'!$J:$J,$K655),""))</f>
        <v/>
      </c>
      <c r="K655" t="str">
        <f>IFERROR(MOD(SMALL(Cálculos!$Z$5:$Z$1000,647),10000),"")</f>
        <v/>
      </c>
    </row>
    <row r="656">
      <c r="B656" s="13" t="str">
        <f>IF($K656="","",648)</f>
        <v/>
      </c>
      <c r="C656" s="13" t="str">
        <f>IF($K656="","",INDEX('Detalle individual'!$A:$A,$K656))</f>
        <v/>
      </c>
      <c r="D656" s="72" t="str">
        <f>IF($K656="","",TRIM(INDEX('Detalle individual'!$B:$B,$K656)))</f>
        <v/>
      </c>
      <c r="E656" s="72" t="str">
        <f>IF($K656="","",TRIM(INDEX('Detalle individual'!$E:$E,$K656)))</f>
        <v/>
      </c>
      <c r="F656" s="72" t="str">
        <f>IF($K656="","",TRIM(INDEX('Detalle individual'!$C:$C,$K656)))</f>
        <v/>
      </c>
      <c r="G656" s="72" t="str">
        <f>IF($K656="","",INDEX('Detalle individual'!$D:$D,$K656))</f>
        <v/>
      </c>
      <c r="H656" s="13" t="str">
        <f>IF($K656="","",INDEX('Detalle individual'!$F:$F,$K656))</f>
        <v/>
      </c>
      <c r="I656" s="20" t="str">
        <f>IF($K656="","",IF(INDEX('Detalle individual'!$F:$F,$K656)="Completado",INDEX('Detalle individual'!$H:$H,$K656),""))</f>
        <v/>
      </c>
      <c r="J656" s="21" t="str">
        <f>IF($K656="","",IF(INDEX('Detalle individual'!$F:$F,$K656)="Completado",INDEX('Detalle individual'!$J:$J,$K656),""))</f>
        <v/>
      </c>
      <c r="K656" t="str">
        <f>IFERROR(MOD(SMALL(Cálculos!$Z$5:$Z$1000,648),10000),"")</f>
        <v/>
      </c>
    </row>
    <row r="657">
      <c r="B657" s="13" t="str">
        <f>IF($K657="","",649)</f>
        <v/>
      </c>
      <c r="C657" s="13" t="str">
        <f>IF($K657="","",INDEX('Detalle individual'!$A:$A,$K657))</f>
        <v/>
      </c>
      <c r="D657" s="72" t="str">
        <f>IF($K657="","",TRIM(INDEX('Detalle individual'!$B:$B,$K657)))</f>
        <v/>
      </c>
      <c r="E657" s="72" t="str">
        <f>IF($K657="","",TRIM(INDEX('Detalle individual'!$E:$E,$K657)))</f>
        <v/>
      </c>
      <c r="F657" s="72" t="str">
        <f>IF($K657="","",TRIM(INDEX('Detalle individual'!$C:$C,$K657)))</f>
        <v/>
      </c>
      <c r="G657" s="72" t="str">
        <f>IF($K657="","",INDEX('Detalle individual'!$D:$D,$K657))</f>
        <v/>
      </c>
      <c r="H657" s="13" t="str">
        <f>IF($K657="","",INDEX('Detalle individual'!$F:$F,$K657))</f>
        <v/>
      </c>
      <c r="I657" s="20" t="str">
        <f>IF($K657="","",IF(INDEX('Detalle individual'!$F:$F,$K657)="Completado",INDEX('Detalle individual'!$H:$H,$K657),""))</f>
        <v/>
      </c>
      <c r="J657" s="21" t="str">
        <f>IF($K657="","",IF(INDEX('Detalle individual'!$F:$F,$K657)="Completado",INDEX('Detalle individual'!$J:$J,$K657),""))</f>
        <v/>
      </c>
      <c r="K657" t="str">
        <f>IFERROR(MOD(SMALL(Cálculos!$Z$5:$Z$1000,649),10000),"")</f>
        <v/>
      </c>
    </row>
    <row r="658">
      <c r="B658" s="13" t="str">
        <f>IF($K658="","",650)</f>
        <v/>
      </c>
      <c r="C658" s="13" t="str">
        <f>IF($K658="","",INDEX('Detalle individual'!$A:$A,$K658))</f>
        <v/>
      </c>
      <c r="D658" s="72" t="str">
        <f>IF($K658="","",TRIM(INDEX('Detalle individual'!$B:$B,$K658)))</f>
        <v/>
      </c>
      <c r="E658" s="72" t="str">
        <f>IF($K658="","",TRIM(INDEX('Detalle individual'!$E:$E,$K658)))</f>
        <v/>
      </c>
      <c r="F658" s="72" t="str">
        <f>IF($K658="","",TRIM(INDEX('Detalle individual'!$C:$C,$K658)))</f>
        <v/>
      </c>
      <c r="G658" s="72" t="str">
        <f>IF($K658="","",INDEX('Detalle individual'!$D:$D,$K658))</f>
        <v/>
      </c>
      <c r="H658" s="13" t="str">
        <f>IF($K658="","",INDEX('Detalle individual'!$F:$F,$K658))</f>
        <v/>
      </c>
      <c r="I658" s="20" t="str">
        <f>IF($K658="","",IF(INDEX('Detalle individual'!$F:$F,$K658)="Completado",INDEX('Detalle individual'!$H:$H,$K658),""))</f>
        <v/>
      </c>
      <c r="J658" s="21" t="str">
        <f>IF($K658="","",IF(INDEX('Detalle individual'!$F:$F,$K658)="Completado",INDEX('Detalle individual'!$J:$J,$K658),""))</f>
        <v/>
      </c>
      <c r="K658" t="str">
        <f>IFERROR(MOD(SMALL(Cálculos!$Z$5:$Z$1000,650),10000),"")</f>
        <v/>
      </c>
    </row>
    <row r="659">
      <c r="B659" s="13" t="str">
        <f>IF($K659="","",651)</f>
        <v/>
      </c>
      <c r="C659" s="13" t="str">
        <f>IF($K659="","",INDEX('Detalle individual'!$A:$A,$K659))</f>
        <v/>
      </c>
      <c r="D659" s="72" t="str">
        <f>IF($K659="","",TRIM(INDEX('Detalle individual'!$B:$B,$K659)))</f>
        <v/>
      </c>
      <c r="E659" s="72" t="str">
        <f>IF($K659="","",TRIM(INDEX('Detalle individual'!$E:$E,$K659)))</f>
        <v/>
      </c>
      <c r="F659" s="72" t="str">
        <f>IF($K659="","",TRIM(INDEX('Detalle individual'!$C:$C,$K659)))</f>
        <v/>
      </c>
      <c r="G659" s="72" t="str">
        <f>IF($K659="","",INDEX('Detalle individual'!$D:$D,$K659))</f>
        <v/>
      </c>
      <c r="H659" s="13" t="str">
        <f>IF($K659="","",INDEX('Detalle individual'!$F:$F,$K659))</f>
        <v/>
      </c>
      <c r="I659" s="20" t="str">
        <f>IF($K659="","",IF(INDEX('Detalle individual'!$F:$F,$K659)="Completado",INDEX('Detalle individual'!$H:$H,$K659),""))</f>
        <v/>
      </c>
      <c r="J659" s="21" t="str">
        <f>IF($K659="","",IF(INDEX('Detalle individual'!$F:$F,$K659)="Completado",INDEX('Detalle individual'!$J:$J,$K659),""))</f>
        <v/>
      </c>
      <c r="K659" t="str">
        <f>IFERROR(MOD(SMALL(Cálculos!$Z$5:$Z$1000,651),10000),"")</f>
        <v/>
      </c>
    </row>
    <row r="660">
      <c r="B660" s="13" t="str">
        <f>IF($K660="","",652)</f>
        <v/>
      </c>
      <c r="C660" s="13" t="str">
        <f>IF($K660="","",INDEX('Detalle individual'!$A:$A,$K660))</f>
        <v/>
      </c>
      <c r="D660" s="72" t="str">
        <f>IF($K660="","",TRIM(INDEX('Detalle individual'!$B:$B,$K660)))</f>
        <v/>
      </c>
      <c r="E660" s="72" t="str">
        <f>IF($K660="","",TRIM(INDEX('Detalle individual'!$E:$E,$K660)))</f>
        <v/>
      </c>
      <c r="F660" s="72" t="str">
        <f>IF($K660="","",TRIM(INDEX('Detalle individual'!$C:$C,$K660)))</f>
        <v/>
      </c>
      <c r="G660" s="72" t="str">
        <f>IF($K660="","",INDEX('Detalle individual'!$D:$D,$K660))</f>
        <v/>
      </c>
      <c r="H660" s="13" t="str">
        <f>IF($K660="","",INDEX('Detalle individual'!$F:$F,$K660))</f>
        <v/>
      </c>
      <c r="I660" s="20" t="str">
        <f>IF($K660="","",IF(INDEX('Detalle individual'!$F:$F,$K660)="Completado",INDEX('Detalle individual'!$H:$H,$K660),""))</f>
        <v/>
      </c>
      <c r="J660" s="21" t="str">
        <f>IF($K660="","",IF(INDEX('Detalle individual'!$F:$F,$K660)="Completado",INDEX('Detalle individual'!$J:$J,$K660),""))</f>
        <v/>
      </c>
      <c r="K660" t="str">
        <f>IFERROR(MOD(SMALL(Cálculos!$Z$5:$Z$1000,652),10000),"")</f>
        <v/>
      </c>
    </row>
    <row r="661">
      <c r="B661" s="13" t="str">
        <f>IF($K661="","",653)</f>
        <v/>
      </c>
      <c r="C661" s="13" t="str">
        <f>IF($K661="","",INDEX('Detalle individual'!$A:$A,$K661))</f>
        <v/>
      </c>
      <c r="D661" s="72" t="str">
        <f>IF($K661="","",TRIM(INDEX('Detalle individual'!$B:$B,$K661)))</f>
        <v/>
      </c>
      <c r="E661" s="72" t="str">
        <f>IF($K661="","",TRIM(INDEX('Detalle individual'!$E:$E,$K661)))</f>
        <v/>
      </c>
      <c r="F661" s="72" t="str">
        <f>IF($K661="","",TRIM(INDEX('Detalle individual'!$C:$C,$K661)))</f>
        <v/>
      </c>
      <c r="G661" s="72" t="str">
        <f>IF($K661="","",INDEX('Detalle individual'!$D:$D,$K661))</f>
        <v/>
      </c>
      <c r="H661" s="13" t="str">
        <f>IF($K661="","",INDEX('Detalle individual'!$F:$F,$K661))</f>
        <v/>
      </c>
      <c r="I661" s="20" t="str">
        <f>IF($K661="","",IF(INDEX('Detalle individual'!$F:$F,$K661)="Completado",INDEX('Detalle individual'!$H:$H,$K661),""))</f>
        <v/>
      </c>
      <c r="J661" s="21" t="str">
        <f>IF($K661="","",IF(INDEX('Detalle individual'!$F:$F,$K661)="Completado",INDEX('Detalle individual'!$J:$J,$K661),""))</f>
        <v/>
      </c>
      <c r="K661" t="str">
        <f>IFERROR(MOD(SMALL(Cálculos!$Z$5:$Z$1000,653),10000),"")</f>
        <v/>
      </c>
    </row>
    <row r="662">
      <c r="B662" s="13" t="str">
        <f>IF($K662="","",654)</f>
        <v/>
      </c>
      <c r="C662" s="13" t="str">
        <f>IF($K662="","",INDEX('Detalle individual'!$A:$A,$K662))</f>
        <v/>
      </c>
      <c r="D662" s="72" t="str">
        <f>IF($K662="","",TRIM(INDEX('Detalle individual'!$B:$B,$K662)))</f>
        <v/>
      </c>
      <c r="E662" s="72" t="str">
        <f>IF($K662="","",TRIM(INDEX('Detalle individual'!$E:$E,$K662)))</f>
        <v/>
      </c>
      <c r="F662" s="72" t="str">
        <f>IF($K662="","",TRIM(INDEX('Detalle individual'!$C:$C,$K662)))</f>
        <v/>
      </c>
      <c r="G662" s="72" t="str">
        <f>IF($K662="","",INDEX('Detalle individual'!$D:$D,$K662))</f>
        <v/>
      </c>
      <c r="H662" s="13" t="str">
        <f>IF($K662="","",INDEX('Detalle individual'!$F:$F,$K662))</f>
        <v/>
      </c>
      <c r="I662" s="20" t="str">
        <f>IF($K662="","",IF(INDEX('Detalle individual'!$F:$F,$K662)="Completado",INDEX('Detalle individual'!$H:$H,$K662),""))</f>
        <v/>
      </c>
      <c r="J662" s="21" t="str">
        <f>IF($K662="","",IF(INDEX('Detalle individual'!$F:$F,$K662)="Completado",INDEX('Detalle individual'!$J:$J,$K662),""))</f>
        <v/>
      </c>
      <c r="K662" t="str">
        <f>IFERROR(MOD(SMALL(Cálculos!$Z$5:$Z$1000,654),10000),"")</f>
        <v/>
      </c>
    </row>
    <row r="663">
      <c r="B663" s="13" t="str">
        <f>IF($K663="","",655)</f>
        <v/>
      </c>
      <c r="C663" s="13" t="str">
        <f>IF($K663="","",INDEX('Detalle individual'!$A:$A,$K663))</f>
        <v/>
      </c>
      <c r="D663" s="72" t="str">
        <f>IF($K663="","",TRIM(INDEX('Detalle individual'!$B:$B,$K663)))</f>
        <v/>
      </c>
      <c r="E663" s="72" t="str">
        <f>IF($K663="","",TRIM(INDEX('Detalle individual'!$E:$E,$K663)))</f>
        <v/>
      </c>
      <c r="F663" s="72" t="str">
        <f>IF($K663="","",TRIM(INDEX('Detalle individual'!$C:$C,$K663)))</f>
        <v/>
      </c>
      <c r="G663" s="72" t="str">
        <f>IF($K663="","",INDEX('Detalle individual'!$D:$D,$K663))</f>
        <v/>
      </c>
      <c r="H663" s="13" t="str">
        <f>IF($K663="","",INDEX('Detalle individual'!$F:$F,$K663))</f>
        <v/>
      </c>
      <c r="I663" s="20" t="str">
        <f>IF($K663="","",IF(INDEX('Detalle individual'!$F:$F,$K663)="Completado",INDEX('Detalle individual'!$H:$H,$K663),""))</f>
        <v/>
      </c>
      <c r="J663" s="21" t="str">
        <f>IF($K663="","",IF(INDEX('Detalle individual'!$F:$F,$K663)="Completado",INDEX('Detalle individual'!$J:$J,$K663),""))</f>
        <v/>
      </c>
      <c r="K663" t="str">
        <f>IFERROR(MOD(SMALL(Cálculos!$Z$5:$Z$1000,655),10000),"")</f>
        <v/>
      </c>
    </row>
    <row r="664">
      <c r="B664" s="13" t="str">
        <f>IF($K664="","",656)</f>
        <v/>
      </c>
      <c r="C664" s="13" t="str">
        <f>IF($K664="","",INDEX('Detalle individual'!$A:$A,$K664))</f>
        <v/>
      </c>
      <c r="D664" s="72" t="str">
        <f>IF($K664="","",TRIM(INDEX('Detalle individual'!$B:$B,$K664)))</f>
        <v/>
      </c>
      <c r="E664" s="72" t="str">
        <f>IF($K664="","",TRIM(INDEX('Detalle individual'!$E:$E,$K664)))</f>
        <v/>
      </c>
      <c r="F664" s="72" t="str">
        <f>IF($K664="","",TRIM(INDEX('Detalle individual'!$C:$C,$K664)))</f>
        <v/>
      </c>
      <c r="G664" s="72" t="str">
        <f>IF($K664="","",INDEX('Detalle individual'!$D:$D,$K664))</f>
        <v/>
      </c>
      <c r="H664" s="13" t="str">
        <f>IF($K664="","",INDEX('Detalle individual'!$F:$F,$K664))</f>
        <v/>
      </c>
      <c r="I664" s="20" t="str">
        <f>IF($K664="","",IF(INDEX('Detalle individual'!$F:$F,$K664)="Completado",INDEX('Detalle individual'!$H:$H,$K664),""))</f>
        <v/>
      </c>
      <c r="J664" s="21" t="str">
        <f>IF($K664="","",IF(INDEX('Detalle individual'!$F:$F,$K664)="Completado",INDEX('Detalle individual'!$J:$J,$K664),""))</f>
        <v/>
      </c>
      <c r="K664" t="str">
        <f>IFERROR(MOD(SMALL(Cálculos!$Z$5:$Z$1000,656),10000),"")</f>
        <v/>
      </c>
    </row>
    <row r="665">
      <c r="B665" s="13" t="str">
        <f>IF($K665="","",657)</f>
        <v/>
      </c>
      <c r="C665" s="13" t="str">
        <f>IF($K665="","",INDEX('Detalle individual'!$A:$A,$K665))</f>
        <v/>
      </c>
      <c r="D665" s="72" t="str">
        <f>IF($K665="","",TRIM(INDEX('Detalle individual'!$B:$B,$K665)))</f>
        <v/>
      </c>
      <c r="E665" s="72" t="str">
        <f>IF($K665="","",TRIM(INDEX('Detalle individual'!$E:$E,$K665)))</f>
        <v/>
      </c>
      <c r="F665" s="72" t="str">
        <f>IF($K665="","",TRIM(INDEX('Detalle individual'!$C:$C,$K665)))</f>
        <v/>
      </c>
      <c r="G665" s="72" t="str">
        <f>IF($K665="","",INDEX('Detalle individual'!$D:$D,$K665))</f>
        <v/>
      </c>
      <c r="H665" s="13" t="str">
        <f>IF($K665="","",INDEX('Detalle individual'!$F:$F,$K665))</f>
        <v/>
      </c>
      <c r="I665" s="20" t="str">
        <f>IF($K665="","",IF(INDEX('Detalle individual'!$F:$F,$K665)="Completado",INDEX('Detalle individual'!$H:$H,$K665),""))</f>
        <v/>
      </c>
      <c r="J665" s="21" t="str">
        <f>IF($K665="","",IF(INDEX('Detalle individual'!$F:$F,$K665)="Completado",INDEX('Detalle individual'!$J:$J,$K665),""))</f>
        <v/>
      </c>
      <c r="K665" t="str">
        <f>IFERROR(MOD(SMALL(Cálculos!$Z$5:$Z$1000,657),10000),"")</f>
        <v/>
      </c>
    </row>
    <row r="666">
      <c r="B666" s="13" t="str">
        <f>IF($K666="","",658)</f>
        <v/>
      </c>
      <c r="C666" s="13" t="str">
        <f>IF($K666="","",INDEX('Detalle individual'!$A:$A,$K666))</f>
        <v/>
      </c>
      <c r="D666" s="72" t="str">
        <f>IF($K666="","",TRIM(INDEX('Detalle individual'!$B:$B,$K666)))</f>
        <v/>
      </c>
      <c r="E666" s="72" t="str">
        <f>IF($K666="","",TRIM(INDEX('Detalle individual'!$E:$E,$K666)))</f>
        <v/>
      </c>
      <c r="F666" s="72" t="str">
        <f>IF($K666="","",TRIM(INDEX('Detalle individual'!$C:$C,$K666)))</f>
        <v/>
      </c>
      <c r="G666" s="72" t="str">
        <f>IF($K666="","",INDEX('Detalle individual'!$D:$D,$K666))</f>
        <v/>
      </c>
      <c r="H666" s="13" t="str">
        <f>IF($K666="","",INDEX('Detalle individual'!$F:$F,$K666))</f>
        <v/>
      </c>
      <c r="I666" s="20" t="str">
        <f>IF($K666="","",IF(INDEX('Detalle individual'!$F:$F,$K666)="Completado",INDEX('Detalle individual'!$H:$H,$K666),""))</f>
        <v/>
      </c>
      <c r="J666" s="21" t="str">
        <f>IF($K666="","",IF(INDEX('Detalle individual'!$F:$F,$K666)="Completado",INDEX('Detalle individual'!$J:$J,$K666),""))</f>
        <v/>
      </c>
      <c r="K666" t="str">
        <f>IFERROR(MOD(SMALL(Cálculos!$Z$5:$Z$1000,658),10000),"")</f>
        <v/>
      </c>
    </row>
    <row r="667">
      <c r="B667" s="13" t="str">
        <f>IF($K667="","",659)</f>
        <v/>
      </c>
      <c r="C667" s="13" t="str">
        <f>IF($K667="","",INDEX('Detalle individual'!$A:$A,$K667))</f>
        <v/>
      </c>
      <c r="D667" s="72" t="str">
        <f>IF($K667="","",TRIM(INDEX('Detalle individual'!$B:$B,$K667)))</f>
        <v/>
      </c>
      <c r="E667" s="72" t="str">
        <f>IF($K667="","",TRIM(INDEX('Detalle individual'!$E:$E,$K667)))</f>
        <v/>
      </c>
      <c r="F667" s="72" t="str">
        <f>IF($K667="","",TRIM(INDEX('Detalle individual'!$C:$C,$K667)))</f>
        <v/>
      </c>
      <c r="G667" s="72" t="str">
        <f>IF($K667="","",INDEX('Detalle individual'!$D:$D,$K667))</f>
        <v/>
      </c>
      <c r="H667" s="13" t="str">
        <f>IF($K667="","",INDEX('Detalle individual'!$F:$F,$K667))</f>
        <v/>
      </c>
      <c r="I667" s="20" t="str">
        <f>IF($K667="","",IF(INDEX('Detalle individual'!$F:$F,$K667)="Completado",INDEX('Detalle individual'!$H:$H,$K667),""))</f>
        <v/>
      </c>
      <c r="J667" s="21" t="str">
        <f>IF($K667="","",IF(INDEX('Detalle individual'!$F:$F,$K667)="Completado",INDEX('Detalle individual'!$J:$J,$K667),""))</f>
        <v/>
      </c>
      <c r="K667" t="str">
        <f>IFERROR(MOD(SMALL(Cálculos!$Z$5:$Z$1000,659),10000),"")</f>
        <v/>
      </c>
    </row>
    <row r="668">
      <c r="B668" s="13" t="str">
        <f>IF($K668="","",660)</f>
        <v/>
      </c>
      <c r="C668" s="13" t="str">
        <f>IF($K668="","",INDEX('Detalle individual'!$A:$A,$K668))</f>
        <v/>
      </c>
      <c r="D668" s="72" t="str">
        <f>IF($K668="","",TRIM(INDEX('Detalle individual'!$B:$B,$K668)))</f>
        <v/>
      </c>
      <c r="E668" s="72" t="str">
        <f>IF($K668="","",TRIM(INDEX('Detalle individual'!$E:$E,$K668)))</f>
        <v/>
      </c>
      <c r="F668" s="72" t="str">
        <f>IF($K668="","",TRIM(INDEX('Detalle individual'!$C:$C,$K668)))</f>
        <v/>
      </c>
      <c r="G668" s="72" t="str">
        <f>IF($K668="","",INDEX('Detalle individual'!$D:$D,$K668))</f>
        <v/>
      </c>
      <c r="H668" s="13" t="str">
        <f>IF($K668="","",INDEX('Detalle individual'!$F:$F,$K668))</f>
        <v/>
      </c>
      <c r="I668" s="20" t="str">
        <f>IF($K668="","",IF(INDEX('Detalle individual'!$F:$F,$K668)="Completado",INDEX('Detalle individual'!$H:$H,$K668),""))</f>
        <v/>
      </c>
      <c r="J668" s="21" t="str">
        <f>IF($K668="","",IF(INDEX('Detalle individual'!$F:$F,$K668)="Completado",INDEX('Detalle individual'!$J:$J,$K668),""))</f>
        <v/>
      </c>
      <c r="K668" t="str">
        <f>IFERROR(MOD(SMALL(Cálculos!$Z$5:$Z$1000,660),10000),"")</f>
        <v/>
      </c>
    </row>
    <row r="669">
      <c r="B669" s="13" t="str">
        <f>IF($K669="","",661)</f>
        <v/>
      </c>
      <c r="C669" s="13" t="str">
        <f>IF($K669="","",INDEX('Detalle individual'!$A:$A,$K669))</f>
        <v/>
      </c>
      <c r="D669" s="72" t="str">
        <f>IF($K669="","",TRIM(INDEX('Detalle individual'!$B:$B,$K669)))</f>
        <v/>
      </c>
      <c r="E669" s="72" t="str">
        <f>IF($K669="","",TRIM(INDEX('Detalle individual'!$E:$E,$K669)))</f>
        <v/>
      </c>
      <c r="F669" s="72" t="str">
        <f>IF($K669="","",TRIM(INDEX('Detalle individual'!$C:$C,$K669)))</f>
        <v/>
      </c>
      <c r="G669" s="72" t="str">
        <f>IF($K669="","",INDEX('Detalle individual'!$D:$D,$K669))</f>
        <v/>
      </c>
      <c r="H669" s="13" t="str">
        <f>IF($K669="","",INDEX('Detalle individual'!$F:$F,$K669))</f>
        <v/>
      </c>
      <c r="I669" s="20" t="str">
        <f>IF($K669="","",IF(INDEX('Detalle individual'!$F:$F,$K669)="Completado",INDEX('Detalle individual'!$H:$H,$K669),""))</f>
        <v/>
      </c>
      <c r="J669" s="21" t="str">
        <f>IF($K669="","",IF(INDEX('Detalle individual'!$F:$F,$K669)="Completado",INDEX('Detalle individual'!$J:$J,$K669),""))</f>
        <v/>
      </c>
      <c r="K669" t="str">
        <f>IFERROR(MOD(SMALL(Cálculos!$Z$5:$Z$1000,661),10000),"")</f>
        <v/>
      </c>
    </row>
    <row r="670">
      <c r="B670" s="13" t="str">
        <f>IF($K670="","",662)</f>
        <v/>
      </c>
      <c r="C670" s="13" t="str">
        <f>IF($K670="","",INDEX('Detalle individual'!$A:$A,$K670))</f>
        <v/>
      </c>
      <c r="D670" s="72" t="str">
        <f>IF($K670="","",TRIM(INDEX('Detalle individual'!$B:$B,$K670)))</f>
        <v/>
      </c>
      <c r="E670" s="72" t="str">
        <f>IF($K670="","",TRIM(INDEX('Detalle individual'!$E:$E,$K670)))</f>
        <v/>
      </c>
      <c r="F670" s="72" t="str">
        <f>IF($K670="","",TRIM(INDEX('Detalle individual'!$C:$C,$K670)))</f>
        <v/>
      </c>
      <c r="G670" s="72" t="str">
        <f>IF($K670="","",INDEX('Detalle individual'!$D:$D,$K670))</f>
        <v/>
      </c>
      <c r="H670" s="13" t="str">
        <f>IF($K670="","",INDEX('Detalle individual'!$F:$F,$K670))</f>
        <v/>
      </c>
      <c r="I670" s="20" t="str">
        <f>IF($K670="","",IF(INDEX('Detalle individual'!$F:$F,$K670)="Completado",INDEX('Detalle individual'!$H:$H,$K670),""))</f>
        <v/>
      </c>
      <c r="J670" s="21" t="str">
        <f>IF($K670="","",IF(INDEX('Detalle individual'!$F:$F,$K670)="Completado",INDEX('Detalle individual'!$J:$J,$K670),""))</f>
        <v/>
      </c>
      <c r="K670" t="str">
        <f>IFERROR(MOD(SMALL(Cálculos!$Z$5:$Z$1000,662),10000),"")</f>
        <v/>
      </c>
    </row>
    <row r="671">
      <c r="B671" s="13" t="str">
        <f>IF($K671="","",663)</f>
        <v/>
      </c>
      <c r="C671" s="13" t="str">
        <f>IF($K671="","",INDEX('Detalle individual'!$A:$A,$K671))</f>
        <v/>
      </c>
      <c r="D671" s="72" t="str">
        <f>IF($K671="","",TRIM(INDEX('Detalle individual'!$B:$B,$K671)))</f>
        <v/>
      </c>
      <c r="E671" s="72" t="str">
        <f>IF($K671="","",TRIM(INDEX('Detalle individual'!$E:$E,$K671)))</f>
        <v/>
      </c>
      <c r="F671" s="72" t="str">
        <f>IF($K671="","",TRIM(INDEX('Detalle individual'!$C:$C,$K671)))</f>
        <v/>
      </c>
      <c r="G671" s="72" t="str">
        <f>IF($K671="","",INDEX('Detalle individual'!$D:$D,$K671))</f>
        <v/>
      </c>
      <c r="H671" s="13" t="str">
        <f>IF($K671="","",INDEX('Detalle individual'!$F:$F,$K671))</f>
        <v/>
      </c>
      <c r="I671" s="20" t="str">
        <f>IF($K671="","",IF(INDEX('Detalle individual'!$F:$F,$K671)="Completado",INDEX('Detalle individual'!$H:$H,$K671),""))</f>
        <v/>
      </c>
      <c r="J671" s="21" t="str">
        <f>IF($K671="","",IF(INDEX('Detalle individual'!$F:$F,$K671)="Completado",INDEX('Detalle individual'!$J:$J,$K671),""))</f>
        <v/>
      </c>
      <c r="K671" t="str">
        <f>IFERROR(MOD(SMALL(Cálculos!$Z$5:$Z$1000,663),10000),"")</f>
        <v/>
      </c>
    </row>
    <row r="672">
      <c r="B672" s="13" t="str">
        <f>IF($K672="","",664)</f>
        <v/>
      </c>
      <c r="C672" s="13" t="str">
        <f>IF($K672="","",INDEX('Detalle individual'!$A:$A,$K672))</f>
        <v/>
      </c>
      <c r="D672" s="72" t="str">
        <f>IF($K672="","",TRIM(INDEX('Detalle individual'!$B:$B,$K672)))</f>
        <v/>
      </c>
      <c r="E672" s="72" t="str">
        <f>IF($K672="","",TRIM(INDEX('Detalle individual'!$E:$E,$K672)))</f>
        <v/>
      </c>
      <c r="F672" s="72" t="str">
        <f>IF($K672="","",TRIM(INDEX('Detalle individual'!$C:$C,$K672)))</f>
        <v/>
      </c>
      <c r="G672" s="72" t="str">
        <f>IF($K672="","",INDEX('Detalle individual'!$D:$D,$K672))</f>
        <v/>
      </c>
      <c r="H672" s="13" t="str">
        <f>IF($K672="","",INDEX('Detalle individual'!$F:$F,$K672))</f>
        <v/>
      </c>
      <c r="I672" s="20" t="str">
        <f>IF($K672="","",IF(INDEX('Detalle individual'!$F:$F,$K672)="Completado",INDEX('Detalle individual'!$H:$H,$K672),""))</f>
        <v/>
      </c>
      <c r="J672" s="21" t="str">
        <f>IF($K672="","",IF(INDEX('Detalle individual'!$F:$F,$K672)="Completado",INDEX('Detalle individual'!$J:$J,$K672),""))</f>
        <v/>
      </c>
      <c r="K672" t="str">
        <f>IFERROR(MOD(SMALL(Cálculos!$Z$5:$Z$1000,664),10000),"")</f>
        <v/>
      </c>
    </row>
    <row r="673">
      <c r="B673" s="13" t="str">
        <f>IF($K673="","",665)</f>
        <v/>
      </c>
      <c r="C673" s="13" t="str">
        <f>IF($K673="","",INDEX('Detalle individual'!$A:$A,$K673))</f>
        <v/>
      </c>
      <c r="D673" s="72" t="str">
        <f>IF($K673="","",TRIM(INDEX('Detalle individual'!$B:$B,$K673)))</f>
        <v/>
      </c>
      <c r="E673" s="72" t="str">
        <f>IF($K673="","",TRIM(INDEX('Detalle individual'!$E:$E,$K673)))</f>
        <v/>
      </c>
      <c r="F673" s="72" t="str">
        <f>IF($K673="","",TRIM(INDEX('Detalle individual'!$C:$C,$K673)))</f>
        <v/>
      </c>
      <c r="G673" s="72" t="str">
        <f>IF($K673="","",INDEX('Detalle individual'!$D:$D,$K673))</f>
        <v/>
      </c>
      <c r="H673" s="13" t="str">
        <f>IF($K673="","",INDEX('Detalle individual'!$F:$F,$K673))</f>
        <v/>
      </c>
      <c r="I673" s="20" t="str">
        <f>IF($K673="","",IF(INDEX('Detalle individual'!$F:$F,$K673)="Completado",INDEX('Detalle individual'!$H:$H,$K673),""))</f>
        <v/>
      </c>
      <c r="J673" s="21" t="str">
        <f>IF($K673="","",IF(INDEX('Detalle individual'!$F:$F,$K673)="Completado",INDEX('Detalle individual'!$J:$J,$K673),""))</f>
        <v/>
      </c>
      <c r="K673" t="str">
        <f>IFERROR(MOD(SMALL(Cálculos!$Z$5:$Z$1000,665),10000),"")</f>
        <v/>
      </c>
    </row>
    <row r="674">
      <c r="B674" s="13" t="str">
        <f>IF($K674="","",666)</f>
        <v/>
      </c>
      <c r="C674" s="13" t="str">
        <f>IF($K674="","",INDEX('Detalle individual'!$A:$A,$K674))</f>
        <v/>
      </c>
      <c r="D674" s="72" t="str">
        <f>IF($K674="","",TRIM(INDEX('Detalle individual'!$B:$B,$K674)))</f>
        <v/>
      </c>
      <c r="E674" s="72" t="str">
        <f>IF($K674="","",TRIM(INDEX('Detalle individual'!$E:$E,$K674)))</f>
        <v/>
      </c>
      <c r="F674" s="72" t="str">
        <f>IF($K674="","",TRIM(INDEX('Detalle individual'!$C:$C,$K674)))</f>
        <v/>
      </c>
      <c r="G674" s="72" t="str">
        <f>IF($K674="","",INDEX('Detalle individual'!$D:$D,$K674))</f>
        <v/>
      </c>
      <c r="H674" s="13" t="str">
        <f>IF($K674="","",INDEX('Detalle individual'!$F:$F,$K674))</f>
        <v/>
      </c>
      <c r="I674" s="20" t="str">
        <f>IF($K674="","",IF(INDEX('Detalle individual'!$F:$F,$K674)="Completado",INDEX('Detalle individual'!$H:$H,$K674),""))</f>
        <v/>
      </c>
      <c r="J674" s="21" t="str">
        <f>IF($K674="","",IF(INDEX('Detalle individual'!$F:$F,$K674)="Completado",INDEX('Detalle individual'!$J:$J,$K674),""))</f>
        <v/>
      </c>
      <c r="K674" t="str">
        <f>IFERROR(MOD(SMALL(Cálculos!$Z$5:$Z$1000,666),10000),"")</f>
        <v/>
      </c>
    </row>
    <row r="675">
      <c r="B675" s="13" t="str">
        <f>IF($K675="","",667)</f>
        <v/>
      </c>
      <c r="C675" s="13" t="str">
        <f>IF($K675="","",INDEX('Detalle individual'!$A:$A,$K675))</f>
        <v/>
      </c>
      <c r="D675" s="72" t="str">
        <f>IF($K675="","",TRIM(INDEX('Detalle individual'!$B:$B,$K675)))</f>
        <v/>
      </c>
      <c r="E675" s="72" t="str">
        <f>IF($K675="","",TRIM(INDEX('Detalle individual'!$E:$E,$K675)))</f>
        <v/>
      </c>
      <c r="F675" s="72" t="str">
        <f>IF($K675="","",TRIM(INDEX('Detalle individual'!$C:$C,$K675)))</f>
        <v/>
      </c>
      <c r="G675" s="72" t="str">
        <f>IF($K675="","",INDEX('Detalle individual'!$D:$D,$K675))</f>
        <v/>
      </c>
      <c r="H675" s="13" t="str">
        <f>IF($K675="","",INDEX('Detalle individual'!$F:$F,$K675))</f>
        <v/>
      </c>
      <c r="I675" s="20" t="str">
        <f>IF($K675="","",IF(INDEX('Detalle individual'!$F:$F,$K675)="Completado",INDEX('Detalle individual'!$H:$H,$K675),""))</f>
        <v/>
      </c>
      <c r="J675" s="21" t="str">
        <f>IF($K675="","",IF(INDEX('Detalle individual'!$F:$F,$K675)="Completado",INDEX('Detalle individual'!$J:$J,$K675),""))</f>
        <v/>
      </c>
      <c r="K675" t="str">
        <f>IFERROR(MOD(SMALL(Cálculos!$Z$5:$Z$1000,667),10000),"")</f>
        <v/>
      </c>
    </row>
    <row r="676">
      <c r="B676" s="13" t="str">
        <f>IF($K676="","",668)</f>
        <v/>
      </c>
      <c r="C676" s="13" t="str">
        <f>IF($K676="","",INDEX('Detalle individual'!$A:$A,$K676))</f>
        <v/>
      </c>
      <c r="D676" s="72" t="str">
        <f>IF($K676="","",TRIM(INDEX('Detalle individual'!$B:$B,$K676)))</f>
        <v/>
      </c>
      <c r="E676" s="72" t="str">
        <f>IF($K676="","",TRIM(INDEX('Detalle individual'!$E:$E,$K676)))</f>
        <v/>
      </c>
      <c r="F676" s="72" t="str">
        <f>IF($K676="","",TRIM(INDEX('Detalle individual'!$C:$C,$K676)))</f>
        <v/>
      </c>
      <c r="G676" s="72" t="str">
        <f>IF($K676="","",INDEX('Detalle individual'!$D:$D,$K676))</f>
        <v/>
      </c>
      <c r="H676" s="13" t="str">
        <f>IF($K676="","",INDEX('Detalle individual'!$F:$F,$K676))</f>
        <v/>
      </c>
      <c r="I676" s="20" t="str">
        <f>IF($K676="","",IF(INDEX('Detalle individual'!$F:$F,$K676)="Completado",INDEX('Detalle individual'!$H:$H,$K676),""))</f>
        <v/>
      </c>
      <c r="J676" s="21" t="str">
        <f>IF($K676="","",IF(INDEX('Detalle individual'!$F:$F,$K676)="Completado",INDEX('Detalle individual'!$J:$J,$K676),""))</f>
        <v/>
      </c>
      <c r="K676" t="str">
        <f>IFERROR(MOD(SMALL(Cálculos!$Z$5:$Z$1000,668),10000),"")</f>
        <v/>
      </c>
    </row>
    <row r="677">
      <c r="B677" s="13" t="str">
        <f>IF($K677="","",669)</f>
        <v/>
      </c>
      <c r="C677" s="13" t="str">
        <f>IF($K677="","",INDEX('Detalle individual'!$A:$A,$K677))</f>
        <v/>
      </c>
      <c r="D677" s="72" t="str">
        <f>IF($K677="","",TRIM(INDEX('Detalle individual'!$B:$B,$K677)))</f>
        <v/>
      </c>
      <c r="E677" s="72" t="str">
        <f>IF($K677="","",TRIM(INDEX('Detalle individual'!$E:$E,$K677)))</f>
        <v/>
      </c>
      <c r="F677" s="72" t="str">
        <f>IF($K677="","",TRIM(INDEX('Detalle individual'!$C:$C,$K677)))</f>
        <v/>
      </c>
      <c r="G677" s="72" t="str">
        <f>IF($K677="","",INDEX('Detalle individual'!$D:$D,$K677))</f>
        <v/>
      </c>
      <c r="H677" s="13" t="str">
        <f>IF($K677="","",INDEX('Detalle individual'!$F:$F,$K677))</f>
        <v/>
      </c>
      <c r="I677" s="20" t="str">
        <f>IF($K677="","",IF(INDEX('Detalle individual'!$F:$F,$K677)="Completado",INDEX('Detalle individual'!$H:$H,$K677),""))</f>
        <v/>
      </c>
      <c r="J677" s="21" t="str">
        <f>IF($K677="","",IF(INDEX('Detalle individual'!$F:$F,$K677)="Completado",INDEX('Detalle individual'!$J:$J,$K677),""))</f>
        <v/>
      </c>
      <c r="K677" t="str">
        <f>IFERROR(MOD(SMALL(Cálculos!$Z$5:$Z$1000,669),10000),"")</f>
        <v/>
      </c>
    </row>
    <row r="678">
      <c r="B678" s="13" t="str">
        <f>IF($K678="","",670)</f>
        <v/>
      </c>
      <c r="C678" s="13" t="str">
        <f>IF($K678="","",INDEX('Detalle individual'!$A:$A,$K678))</f>
        <v/>
      </c>
      <c r="D678" s="72" t="str">
        <f>IF($K678="","",TRIM(INDEX('Detalle individual'!$B:$B,$K678)))</f>
        <v/>
      </c>
      <c r="E678" s="72" t="str">
        <f>IF($K678="","",TRIM(INDEX('Detalle individual'!$E:$E,$K678)))</f>
        <v/>
      </c>
      <c r="F678" s="72" t="str">
        <f>IF($K678="","",TRIM(INDEX('Detalle individual'!$C:$C,$K678)))</f>
        <v/>
      </c>
      <c r="G678" s="72" t="str">
        <f>IF($K678="","",INDEX('Detalle individual'!$D:$D,$K678))</f>
        <v/>
      </c>
      <c r="H678" s="13" t="str">
        <f>IF($K678="","",INDEX('Detalle individual'!$F:$F,$K678))</f>
        <v/>
      </c>
      <c r="I678" s="20" t="str">
        <f>IF($K678="","",IF(INDEX('Detalle individual'!$F:$F,$K678)="Completado",INDEX('Detalle individual'!$H:$H,$K678),""))</f>
        <v/>
      </c>
      <c r="J678" s="21" t="str">
        <f>IF($K678="","",IF(INDEX('Detalle individual'!$F:$F,$K678)="Completado",INDEX('Detalle individual'!$J:$J,$K678),""))</f>
        <v/>
      </c>
      <c r="K678" t="str">
        <f>IFERROR(MOD(SMALL(Cálculos!$Z$5:$Z$1000,670),10000),"")</f>
        <v/>
      </c>
    </row>
    <row r="679">
      <c r="B679" s="13" t="str">
        <f>IF($K679="","",671)</f>
        <v/>
      </c>
      <c r="C679" s="13" t="str">
        <f>IF($K679="","",INDEX('Detalle individual'!$A:$A,$K679))</f>
        <v/>
      </c>
      <c r="D679" s="72" t="str">
        <f>IF($K679="","",TRIM(INDEX('Detalle individual'!$B:$B,$K679)))</f>
        <v/>
      </c>
      <c r="E679" s="72" t="str">
        <f>IF($K679="","",TRIM(INDEX('Detalle individual'!$E:$E,$K679)))</f>
        <v/>
      </c>
      <c r="F679" s="72" t="str">
        <f>IF($K679="","",TRIM(INDEX('Detalle individual'!$C:$C,$K679)))</f>
        <v/>
      </c>
      <c r="G679" s="72" t="str">
        <f>IF($K679="","",INDEX('Detalle individual'!$D:$D,$K679))</f>
        <v/>
      </c>
      <c r="H679" s="13" t="str">
        <f>IF($K679="","",INDEX('Detalle individual'!$F:$F,$K679))</f>
        <v/>
      </c>
      <c r="I679" s="20" t="str">
        <f>IF($K679="","",IF(INDEX('Detalle individual'!$F:$F,$K679)="Completado",INDEX('Detalle individual'!$H:$H,$K679),""))</f>
        <v/>
      </c>
      <c r="J679" s="21" t="str">
        <f>IF($K679="","",IF(INDEX('Detalle individual'!$F:$F,$K679)="Completado",INDEX('Detalle individual'!$J:$J,$K679),""))</f>
        <v/>
      </c>
      <c r="K679" t="str">
        <f>IFERROR(MOD(SMALL(Cálculos!$Z$5:$Z$1000,671),10000),"")</f>
        <v/>
      </c>
    </row>
    <row r="680">
      <c r="B680" s="13" t="str">
        <f>IF($K680="","",672)</f>
        <v/>
      </c>
      <c r="C680" s="13" t="str">
        <f>IF($K680="","",INDEX('Detalle individual'!$A:$A,$K680))</f>
        <v/>
      </c>
      <c r="D680" s="72" t="str">
        <f>IF($K680="","",TRIM(INDEX('Detalle individual'!$B:$B,$K680)))</f>
        <v/>
      </c>
      <c r="E680" s="72" t="str">
        <f>IF($K680="","",TRIM(INDEX('Detalle individual'!$E:$E,$K680)))</f>
        <v/>
      </c>
      <c r="F680" s="72" t="str">
        <f>IF($K680="","",TRIM(INDEX('Detalle individual'!$C:$C,$K680)))</f>
        <v/>
      </c>
      <c r="G680" s="72" t="str">
        <f>IF($K680="","",INDEX('Detalle individual'!$D:$D,$K680))</f>
        <v/>
      </c>
      <c r="H680" s="13" t="str">
        <f>IF($K680="","",INDEX('Detalle individual'!$F:$F,$K680))</f>
        <v/>
      </c>
      <c r="I680" s="20" t="str">
        <f>IF($K680="","",IF(INDEX('Detalle individual'!$F:$F,$K680)="Completado",INDEX('Detalle individual'!$H:$H,$K680),""))</f>
        <v/>
      </c>
      <c r="J680" s="21" t="str">
        <f>IF($K680="","",IF(INDEX('Detalle individual'!$F:$F,$K680)="Completado",INDEX('Detalle individual'!$J:$J,$K680),""))</f>
        <v/>
      </c>
      <c r="K680" t="str">
        <f>IFERROR(MOD(SMALL(Cálculos!$Z$5:$Z$1000,672),10000),"")</f>
        <v/>
      </c>
    </row>
    <row r="681">
      <c r="B681" s="13" t="str">
        <f>IF($K681="","",673)</f>
        <v/>
      </c>
      <c r="C681" s="13" t="str">
        <f>IF($K681="","",INDEX('Detalle individual'!$A:$A,$K681))</f>
        <v/>
      </c>
      <c r="D681" s="72" t="str">
        <f>IF($K681="","",TRIM(INDEX('Detalle individual'!$B:$B,$K681)))</f>
        <v/>
      </c>
      <c r="E681" s="72" t="str">
        <f>IF($K681="","",TRIM(INDEX('Detalle individual'!$E:$E,$K681)))</f>
        <v/>
      </c>
      <c r="F681" s="72" t="str">
        <f>IF($K681="","",TRIM(INDEX('Detalle individual'!$C:$C,$K681)))</f>
        <v/>
      </c>
      <c r="G681" s="72" t="str">
        <f>IF($K681="","",INDEX('Detalle individual'!$D:$D,$K681))</f>
        <v/>
      </c>
      <c r="H681" s="13" t="str">
        <f>IF($K681="","",INDEX('Detalle individual'!$F:$F,$K681))</f>
        <v/>
      </c>
      <c r="I681" s="20" t="str">
        <f>IF($K681="","",IF(INDEX('Detalle individual'!$F:$F,$K681)="Completado",INDEX('Detalle individual'!$H:$H,$K681),""))</f>
        <v/>
      </c>
      <c r="J681" s="21" t="str">
        <f>IF($K681="","",IF(INDEX('Detalle individual'!$F:$F,$K681)="Completado",INDEX('Detalle individual'!$J:$J,$K681),""))</f>
        <v/>
      </c>
      <c r="K681" t="str">
        <f>IFERROR(MOD(SMALL(Cálculos!$Z$5:$Z$1000,673),10000),"")</f>
        <v/>
      </c>
    </row>
    <row r="682">
      <c r="B682" s="13" t="str">
        <f>IF($K682="","",674)</f>
        <v/>
      </c>
      <c r="C682" s="13" t="str">
        <f>IF($K682="","",INDEX('Detalle individual'!$A:$A,$K682))</f>
        <v/>
      </c>
      <c r="D682" s="72" t="str">
        <f>IF($K682="","",TRIM(INDEX('Detalle individual'!$B:$B,$K682)))</f>
        <v/>
      </c>
      <c r="E682" s="72" t="str">
        <f>IF($K682="","",TRIM(INDEX('Detalle individual'!$E:$E,$K682)))</f>
        <v/>
      </c>
      <c r="F682" s="72" t="str">
        <f>IF($K682="","",TRIM(INDEX('Detalle individual'!$C:$C,$K682)))</f>
        <v/>
      </c>
      <c r="G682" s="72" t="str">
        <f>IF($K682="","",INDEX('Detalle individual'!$D:$D,$K682))</f>
        <v/>
      </c>
      <c r="H682" s="13" t="str">
        <f>IF($K682="","",INDEX('Detalle individual'!$F:$F,$K682))</f>
        <v/>
      </c>
      <c r="I682" s="20" t="str">
        <f>IF($K682="","",IF(INDEX('Detalle individual'!$F:$F,$K682)="Completado",INDEX('Detalle individual'!$H:$H,$K682),""))</f>
        <v/>
      </c>
      <c r="J682" s="21" t="str">
        <f>IF($K682="","",IF(INDEX('Detalle individual'!$F:$F,$K682)="Completado",INDEX('Detalle individual'!$J:$J,$K682),""))</f>
        <v/>
      </c>
      <c r="K682" t="str">
        <f>IFERROR(MOD(SMALL(Cálculos!$Z$5:$Z$1000,674),10000),"")</f>
        <v/>
      </c>
    </row>
    <row r="683">
      <c r="B683" s="13" t="str">
        <f>IF($K683="","",675)</f>
        <v/>
      </c>
      <c r="C683" s="13" t="str">
        <f>IF($K683="","",INDEX('Detalle individual'!$A:$A,$K683))</f>
        <v/>
      </c>
      <c r="D683" s="72" t="str">
        <f>IF($K683="","",TRIM(INDEX('Detalle individual'!$B:$B,$K683)))</f>
        <v/>
      </c>
      <c r="E683" s="72" t="str">
        <f>IF($K683="","",TRIM(INDEX('Detalle individual'!$E:$E,$K683)))</f>
        <v/>
      </c>
      <c r="F683" s="72" t="str">
        <f>IF($K683="","",TRIM(INDEX('Detalle individual'!$C:$C,$K683)))</f>
        <v/>
      </c>
      <c r="G683" s="72" t="str">
        <f>IF($K683="","",INDEX('Detalle individual'!$D:$D,$K683))</f>
        <v/>
      </c>
      <c r="H683" s="13" t="str">
        <f>IF($K683="","",INDEX('Detalle individual'!$F:$F,$K683))</f>
        <v/>
      </c>
      <c r="I683" s="20" t="str">
        <f>IF($K683="","",IF(INDEX('Detalle individual'!$F:$F,$K683)="Completado",INDEX('Detalle individual'!$H:$H,$K683),""))</f>
        <v/>
      </c>
      <c r="J683" s="21" t="str">
        <f>IF($K683="","",IF(INDEX('Detalle individual'!$F:$F,$K683)="Completado",INDEX('Detalle individual'!$J:$J,$K683),""))</f>
        <v/>
      </c>
      <c r="K683" t="str">
        <f>IFERROR(MOD(SMALL(Cálculos!$Z$5:$Z$1000,675),10000),"")</f>
        <v/>
      </c>
    </row>
    <row r="684">
      <c r="B684" s="13" t="str">
        <f>IF($K684="","",676)</f>
        <v/>
      </c>
      <c r="C684" s="13" t="str">
        <f>IF($K684="","",INDEX('Detalle individual'!$A:$A,$K684))</f>
        <v/>
      </c>
      <c r="D684" s="72" t="str">
        <f>IF($K684="","",TRIM(INDEX('Detalle individual'!$B:$B,$K684)))</f>
        <v/>
      </c>
      <c r="E684" s="72" t="str">
        <f>IF($K684="","",TRIM(INDEX('Detalle individual'!$E:$E,$K684)))</f>
        <v/>
      </c>
      <c r="F684" s="72" t="str">
        <f>IF($K684="","",TRIM(INDEX('Detalle individual'!$C:$C,$K684)))</f>
        <v/>
      </c>
      <c r="G684" s="72" t="str">
        <f>IF($K684="","",INDEX('Detalle individual'!$D:$D,$K684))</f>
        <v/>
      </c>
      <c r="H684" s="13" t="str">
        <f>IF($K684="","",INDEX('Detalle individual'!$F:$F,$K684))</f>
        <v/>
      </c>
      <c r="I684" s="20" t="str">
        <f>IF($K684="","",IF(INDEX('Detalle individual'!$F:$F,$K684)="Completado",INDEX('Detalle individual'!$H:$H,$K684),""))</f>
        <v/>
      </c>
      <c r="J684" s="21" t="str">
        <f>IF($K684="","",IF(INDEX('Detalle individual'!$F:$F,$K684)="Completado",INDEX('Detalle individual'!$J:$J,$K684),""))</f>
        <v/>
      </c>
      <c r="K684" t="str">
        <f>IFERROR(MOD(SMALL(Cálculos!$Z$5:$Z$1000,676),10000),"")</f>
        <v/>
      </c>
    </row>
    <row r="685">
      <c r="B685" s="13" t="str">
        <f>IF($K685="","",677)</f>
        <v/>
      </c>
      <c r="C685" s="13" t="str">
        <f>IF($K685="","",INDEX('Detalle individual'!$A:$A,$K685))</f>
        <v/>
      </c>
      <c r="D685" s="72" t="str">
        <f>IF($K685="","",TRIM(INDEX('Detalle individual'!$B:$B,$K685)))</f>
        <v/>
      </c>
      <c r="E685" s="72" t="str">
        <f>IF($K685="","",TRIM(INDEX('Detalle individual'!$E:$E,$K685)))</f>
        <v/>
      </c>
      <c r="F685" s="72" t="str">
        <f>IF($K685="","",TRIM(INDEX('Detalle individual'!$C:$C,$K685)))</f>
        <v/>
      </c>
      <c r="G685" s="72" t="str">
        <f>IF($K685="","",INDEX('Detalle individual'!$D:$D,$K685))</f>
        <v/>
      </c>
      <c r="H685" s="13" t="str">
        <f>IF($K685="","",INDEX('Detalle individual'!$F:$F,$K685))</f>
        <v/>
      </c>
      <c r="I685" s="20" t="str">
        <f>IF($K685="","",IF(INDEX('Detalle individual'!$F:$F,$K685)="Completado",INDEX('Detalle individual'!$H:$H,$K685),""))</f>
        <v/>
      </c>
      <c r="J685" s="21" t="str">
        <f>IF($K685="","",IF(INDEX('Detalle individual'!$F:$F,$K685)="Completado",INDEX('Detalle individual'!$J:$J,$K685),""))</f>
        <v/>
      </c>
      <c r="K685" t="str">
        <f>IFERROR(MOD(SMALL(Cálculos!$Z$5:$Z$1000,677),10000),"")</f>
        <v/>
      </c>
    </row>
    <row r="686">
      <c r="B686" s="13" t="str">
        <f>IF($K686="","",678)</f>
        <v/>
      </c>
      <c r="C686" s="13" t="str">
        <f>IF($K686="","",INDEX('Detalle individual'!$A:$A,$K686))</f>
        <v/>
      </c>
      <c r="D686" s="72" t="str">
        <f>IF($K686="","",TRIM(INDEX('Detalle individual'!$B:$B,$K686)))</f>
        <v/>
      </c>
      <c r="E686" s="72" t="str">
        <f>IF($K686="","",TRIM(INDEX('Detalle individual'!$E:$E,$K686)))</f>
        <v/>
      </c>
      <c r="F686" s="72" t="str">
        <f>IF($K686="","",TRIM(INDEX('Detalle individual'!$C:$C,$K686)))</f>
        <v/>
      </c>
      <c r="G686" s="72" t="str">
        <f>IF($K686="","",INDEX('Detalle individual'!$D:$D,$K686))</f>
        <v/>
      </c>
      <c r="H686" s="13" t="str">
        <f>IF($K686="","",INDEX('Detalle individual'!$F:$F,$K686))</f>
        <v/>
      </c>
      <c r="I686" s="20" t="str">
        <f>IF($K686="","",IF(INDEX('Detalle individual'!$F:$F,$K686)="Completado",INDEX('Detalle individual'!$H:$H,$K686),""))</f>
        <v/>
      </c>
      <c r="J686" s="21" t="str">
        <f>IF($K686="","",IF(INDEX('Detalle individual'!$F:$F,$K686)="Completado",INDEX('Detalle individual'!$J:$J,$K686),""))</f>
        <v/>
      </c>
      <c r="K686" t="str">
        <f>IFERROR(MOD(SMALL(Cálculos!$Z$5:$Z$1000,678),10000),"")</f>
        <v/>
      </c>
    </row>
    <row r="687">
      <c r="B687" s="13" t="str">
        <f>IF($K687="","",679)</f>
        <v/>
      </c>
      <c r="C687" s="13" t="str">
        <f>IF($K687="","",INDEX('Detalle individual'!$A:$A,$K687))</f>
        <v/>
      </c>
      <c r="D687" s="72" t="str">
        <f>IF($K687="","",TRIM(INDEX('Detalle individual'!$B:$B,$K687)))</f>
        <v/>
      </c>
      <c r="E687" s="72" t="str">
        <f>IF($K687="","",TRIM(INDEX('Detalle individual'!$E:$E,$K687)))</f>
        <v/>
      </c>
      <c r="F687" s="72" t="str">
        <f>IF($K687="","",TRIM(INDEX('Detalle individual'!$C:$C,$K687)))</f>
        <v/>
      </c>
      <c r="G687" s="72" t="str">
        <f>IF($K687="","",INDEX('Detalle individual'!$D:$D,$K687))</f>
        <v/>
      </c>
      <c r="H687" s="13" t="str">
        <f>IF($K687="","",INDEX('Detalle individual'!$F:$F,$K687))</f>
        <v/>
      </c>
      <c r="I687" s="20" t="str">
        <f>IF($K687="","",IF(INDEX('Detalle individual'!$F:$F,$K687)="Completado",INDEX('Detalle individual'!$H:$H,$K687),""))</f>
        <v/>
      </c>
      <c r="J687" s="21" t="str">
        <f>IF($K687="","",IF(INDEX('Detalle individual'!$F:$F,$K687)="Completado",INDEX('Detalle individual'!$J:$J,$K687),""))</f>
        <v/>
      </c>
      <c r="K687" t="str">
        <f>IFERROR(MOD(SMALL(Cálculos!$Z$5:$Z$1000,679),10000),"")</f>
        <v/>
      </c>
    </row>
    <row r="688">
      <c r="B688" s="13" t="str">
        <f>IF($K688="","",680)</f>
        <v/>
      </c>
      <c r="C688" s="13" t="str">
        <f>IF($K688="","",INDEX('Detalle individual'!$A:$A,$K688))</f>
        <v/>
      </c>
      <c r="D688" s="72" t="str">
        <f>IF($K688="","",TRIM(INDEX('Detalle individual'!$B:$B,$K688)))</f>
        <v/>
      </c>
      <c r="E688" s="72" t="str">
        <f>IF($K688="","",TRIM(INDEX('Detalle individual'!$E:$E,$K688)))</f>
        <v/>
      </c>
      <c r="F688" s="72" t="str">
        <f>IF($K688="","",TRIM(INDEX('Detalle individual'!$C:$C,$K688)))</f>
        <v/>
      </c>
      <c r="G688" s="72" t="str">
        <f>IF($K688="","",INDEX('Detalle individual'!$D:$D,$K688))</f>
        <v/>
      </c>
      <c r="H688" s="13" t="str">
        <f>IF($K688="","",INDEX('Detalle individual'!$F:$F,$K688))</f>
        <v/>
      </c>
      <c r="I688" s="20" t="str">
        <f>IF($K688="","",IF(INDEX('Detalle individual'!$F:$F,$K688)="Completado",INDEX('Detalle individual'!$H:$H,$K688),""))</f>
        <v/>
      </c>
      <c r="J688" s="21" t="str">
        <f>IF($K688="","",IF(INDEX('Detalle individual'!$F:$F,$K688)="Completado",INDEX('Detalle individual'!$J:$J,$K688),""))</f>
        <v/>
      </c>
      <c r="K688" t="str">
        <f>IFERROR(MOD(SMALL(Cálculos!$Z$5:$Z$1000,680),10000),"")</f>
        <v/>
      </c>
    </row>
    <row r="689">
      <c r="B689" s="13" t="str">
        <f>IF($K689="","",681)</f>
        <v/>
      </c>
      <c r="C689" s="13" t="str">
        <f>IF($K689="","",INDEX('Detalle individual'!$A:$A,$K689))</f>
        <v/>
      </c>
      <c r="D689" s="72" t="str">
        <f>IF($K689="","",TRIM(INDEX('Detalle individual'!$B:$B,$K689)))</f>
        <v/>
      </c>
      <c r="E689" s="72" t="str">
        <f>IF($K689="","",TRIM(INDEX('Detalle individual'!$E:$E,$K689)))</f>
        <v/>
      </c>
      <c r="F689" s="72" t="str">
        <f>IF($K689="","",TRIM(INDEX('Detalle individual'!$C:$C,$K689)))</f>
        <v/>
      </c>
      <c r="G689" s="72" t="str">
        <f>IF($K689="","",INDEX('Detalle individual'!$D:$D,$K689))</f>
        <v/>
      </c>
      <c r="H689" s="13" t="str">
        <f>IF($K689="","",INDEX('Detalle individual'!$F:$F,$K689))</f>
        <v/>
      </c>
      <c r="I689" s="20" t="str">
        <f>IF($K689="","",IF(INDEX('Detalle individual'!$F:$F,$K689)="Completado",INDEX('Detalle individual'!$H:$H,$K689),""))</f>
        <v/>
      </c>
      <c r="J689" s="21" t="str">
        <f>IF($K689="","",IF(INDEX('Detalle individual'!$F:$F,$K689)="Completado",INDEX('Detalle individual'!$J:$J,$K689),""))</f>
        <v/>
      </c>
      <c r="K689" t="str">
        <f>IFERROR(MOD(SMALL(Cálculos!$Z$5:$Z$1000,681),10000),"")</f>
        <v/>
      </c>
    </row>
    <row r="690">
      <c r="B690" s="13" t="str">
        <f>IF($K690="","",682)</f>
        <v/>
      </c>
      <c r="C690" s="13" t="str">
        <f>IF($K690="","",INDEX('Detalle individual'!$A:$A,$K690))</f>
        <v/>
      </c>
      <c r="D690" s="72" t="str">
        <f>IF($K690="","",TRIM(INDEX('Detalle individual'!$B:$B,$K690)))</f>
        <v/>
      </c>
      <c r="E690" s="72" t="str">
        <f>IF($K690="","",TRIM(INDEX('Detalle individual'!$E:$E,$K690)))</f>
        <v/>
      </c>
      <c r="F690" s="72" t="str">
        <f>IF($K690="","",TRIM(INDEX('Detalle individual'!$C:$C,$K690)))</f>
        <v/>
      </c>
      <c r="G690" s="72" t="str">
        <f>IF($K690="","",INDEX('Detalle individual'!$D:$D,$K690))</f>
        <v/>
      </c>
      <c r="H690" s="13" t="str">
        <f>IF($K690="","",INDEX('Detalle individual'!$F:$F,$K690))</f>
        <v/>
      </c>
      <c r="I690" s="20" t="str">
        <f>IF($K690="","",IF(INDEX('Detalle individual'!$F:$F,$K690)="Completado",INDEX('Detalle individual'!$H:$H,$K690),""))</f>
        <v/>
      </c>
      <c r="J690" s="21" t="str">
        <f>IF($K690="","",IF(INDEX('Detalle individual'!$F:$F,$K690)="Completado",INDEX('Detalle individual'!$J:$J,$K690),""))</f>
        <v/>
      </c>
      <c r="K690" t="str">
        <f>IFERROR(MOD(SMALL(Cálculos!$Z$5:$Z$1000,682),10000),"")</f>
        <v/>
      </c>
    </row>
    <row r="691">
      <c r="B691" s="13" t="str">
        <f>IF($K691="","",683)</f>
        <v/>
      </c>
      <c r="C691" s="13" t="str">
        <f>IF($K691="","",INDEX('Detalle individual'!$A:$A,$K691))</f>
        <v/>
      </c>
      <c r="D691" s="72" t="str">
        <f>IF($K691="","",TRIM(INDEX('Detalle individual'!$B:$B,$K691)))</f>
        <v/>
      </c>
      <c r="E691" s="72" t="str">
        <f>IF($K691="","",TRIM(INDEX('Detalle individual'!$E:$E,$K691)))</f>
        <v/>
      </c>
      <c r="F691" s="72" t="str">
        <f>IF($K691="","",TRIM(INDEX('Detalle individual'!$C:$C,$K691)))</f>
        <v/>
      </c>
      <c r="G691" s="72" t="str">
        <f>IF($K691="","",INDEX('Detalle individual'!$D:$D,$K691))</f>
        <v/>
      </c>
      <c r="H691" s="13" t="str">
        <f>IF($K691="","",INDEX('Detalle individual'!$F:$F,$K691))</f>
        <v/>
      </c>
      <c r="I691" s="20" t="str">
        <f>IF($K691="","",IF(INDEX('Detalle individual'!$F:$F,$K691)="Completado",INDEX('Detalle individual'!$H:$H,$K691),""))</f>
        <v/>
      </c>
      <c r="J691" s="21" t="str">
        <f>IF($K691="","",IF(INDEX('Detalle individual'!$F:$F,$K691)="Completado",INDEX('Detalle individual'!$J:$J,$K691),""))</f>
        <v/>
      </c>
      <c r="K691" t="str">
        <f>IFERROR(MOD(SMALL(Cálculos!$Z$5:$Z$1000,683),10000),"")</f>
        <v/>
      </c>
    </row>
    <row r="692">
      <c r="B692" s="13" t="str">
        <f>IF($K692="","",684)</f>
        <v/>
      </c>
      <c r="C692" s="13" t="str">
        <f>IF($K692="","",INDEX('Detalle individual'!$A:$A,$K692))</f>
        <v/>
      </c>
      <c r="D692" s="72" t="str">
        <f>IF($K692="","",TRIM(INDEX('Detalle individual'!$B:$B,$K692)))</f>
        <v/>
      </c>
      <c r="E692" s="72" t="str">
        <f>IF($K692="","",TRIM(INDEX('Detalle individual'!$E:$E,$K692)))</f>
        <v/>
      </c>
      <c r="F692" s="72" t="str">
        <f>IF($K692="","",TRIM(INDEX('Detalle individual'!$C:$C,$K692)))</f>
        <v/>
      </c>
      <c r="G692" s="72" t="str">
        <f>IF($K692="","",INDEX('Detalle individual'!$D:$D,$K692))</f>
        <v/>
      </c>
      <c r="H692" s="13" t="str">
        <f>IF($K692="","",INDEX('Detalle individual'!$F:$F,$K692))</f>
        <v/>
      </c>
      <c r="I692" s="20" t="str">
        <f>IF($K692="","",IF(INDEX('Detalle individual'!$F:$F,$K692)="Completado",INDEX('Detalle individual'!$H:$H,$K692),""))</f>
        <v/>
      </c>
      <c r="J692" s="21" t="str">
        <f>IF($K692="","",IF(INDEX('Detalle individual'!$F:$F,$K692)="Completado",INDEX('Detalle individual'!$J:$J,$K692),""))</f>
        <v/>
      </c>
      <c r="K692" t="str">
        <f>IFERROR(MOD(SMALL(Cálculos!$Z$5:$Z$1000,684),10000),"")</f>
        <v/>
      </c>
    </row>
    <row r="693">
      <c r="B693" s="13" t="str">
        <f>IF($K693="","",685)</f>
        <v/>
      </c>
      <c r="C693" s="13" t="str">
        <f>IF($K693="","",INDEX('Detalle individual'!$A:$A,$K693))</f>
        <v/>
      </c>
      <c r="D693" s="72" t="str">
        <f>IF($K693="","",TRIM(INDEX('Detalle individual'!$B:$B,$K693)))</f>
        <v/>
      </c>
      <c r="E693" s="72" t="str">
        <f>IF($K693="","",TRIM(INDEX('Detalle individual'!$E:$E,$K693)))</f>
        <v/>
      </c>
      <c r="F693" s="72" t="str">
        <f>IF($K693="","",TRIM(INDEX('Detalle individual'!$C:$C,$K693)))</f>
        <v/>
      </c>
      <c r="G693" s="72" t="str">
        <f>IF($K693="","",INDEX('Detalle individual'!$D:$D,$K693))</f>
        <v/>
      </c>
      <c r="H693" s="13" t="str">
        <f>IF($K693="","",INDEX('Detalle individual'!$F:$F,$K693))</f>
        <v/>
      </c>
      <c r="I693" s="20" t="str">
        <f>IF($K693="","",IF(INDEX('Detalle individual'!$F:$F,$K693)="Completado",INDEX('Detalle individual'!$H:$H,$K693),""))</f>
        <v/>
      </c>
      <c r="J693" s="21" t="str">
        <f>IF($K693="","",IF(INDEX('Detalle individual'!$F:$F,$K693)="Completado",INDEX('Detalle individual'!$J:$J,$K693),""))</f>
        <v/>
      </c>
      <c r="K693" t="str">
        <f>IFERROR(MOD(SMALL(Cálculos!$Z$5:$Z$1000,685),10000),"")</f>
        <v/>
      </c>
    </row>
    <row r="694">
      <c r="B694" s="13" t="str">
        <f>IF($K694="","",686)</f>
        <v/>
      </c>
      <c r="C694" s="13" t="str">
        <f>IF($K694="","",INDEX('Detalle individual'!$A:$A,$K694))</f>
        <v/>
      </c>
      <c r="D694" s="72" t="str">
        <f>IF($K694="","",TRIM(INDEX('Detalle individual'!$B:$B,$K694)))</f>
        <v/>
      </c>
      <c r="E694" s="72" t="str">
        <f>IF($K694="","",TRIM(INDEX('Detalle individual'!$E:$E,$K694)))</f>
        <v/>
      </c>
      <c r="F694" s="72" t="str">
        <f>IF($K694="","",TRIM(INDEX('Detalle individual'!$C:$C,$K694)))</f>
        <v/>
      </c>
      <c r="G694" s="72" t="str">
        <f>IF($K694="","",INDEX('Detalle individual'!$D:$D,$K694))</f>
        <v/>
      </c>
      <c r="H694" s="13" t="str">
        <f>IF($K694="","",INDEX('Detalle individual'!$F:$F,$K694))</f>
        <v/>
      </c>
      <c r="I694" s="20" t="str">
        <f>IF($K694="","",IF(INDEX('Detalle individual'!$F:$F,$K694)="Completado",INDEX('Detalle individual'!$H:$H,$K694),""))</f>
        <v/>
      </c>
      <c r="J694" s="21" t="str">
        <f>IF($K694="","",IF(INDEX('Detalle individual'!$F:$F,$K694)="Completado",INDEX('Detalle individual'!$J:$J,$K694),""))</f>
        <v/>
      </c>
      <c r="K694" t="str">
        <f>IFERROR(MOD(SMALL(Cálculos!$Z$5:$Z$1000,686),10000),"")</f>
        <v/>
      </c>
    </row>
    <row r="695">
      <c r="B695" s="13" t="str">
        <f>IF($K695="","",687)</f>
        <v/>
      </c>
      <c r="C695" s="13" t="str">
        <f>IF($K695="","",INDEX('Detalle individual'!$A:$A,$K695))</f>
        <v/>
      </c>
      <c r="D695" s="72" t="str">
        <f>IF($K695="","",TRIM(INDEX('Detalle individual'!$B:$B,$K695)))</f>
        <v/>
      </c>
      <c r="E695" s="72" t="str">
        <f>IF($K695="","",TRIM(INDEX('Detalle individual'!$E:$E,$K695)))</f>
        <v/>
      </c>
      <c r="F695" s="72" t="str">
        <f>IF($K695="","",TRIM(INDEX('Detalle individual'!$C:$C,$K695)))</f>
        <v/>
      </c>
      <c r="G695" s="72" t="str">
        <f>IF($K695="","",INDEX('Detalle individual'!$D:$D,$K695))</f>
        <v/>
      </c>
      <c r="H695" s="13" t="str">
        <f>IF($K695="","",INDEX('Detalle individual'!$F:$F,$K695))</f>
        <v/>
      </c>
      <c r="I695" s="20" t="str">
        <f>IF($K695="","",IF(INDEX('Detalle individual'!$F:$F,$K695)="Completado",INDEX('Detalle individual'!$H:$H,$K695),""))</f>
        <v/>
      </c>
      <c r="J695" s="21" t="str">
        <f>IF($K695="","",IF(INDEX('Detalle individual'!$F:$F,$K695)="Completado",INDEX('Detalle individual'!$J:$J,$K695),""))</f>
        <v/>
      </c>
      <c r="K695" t="str">
        <f>IFERROR(MOD(SMALL(Cálculos!$Z$5:$Z$1000,687),10000),"")</f>
        <v/>
      </c>
    </row>
    <row r="696">
      <c r="B696" s="13" t="str">
        <f>IF($K696="","",688)</f>
        <v/>
      </c>
      <c r="C696" s="13" t="str">
        <f>IF($K696="","",INDEX('Detalle individual'!$A:$A,$K696))</f>
        <v/>
      </c>
      <c r="D696" s="72" t="str">
        <f>IF($K696="","",TRIM(INDEX('Detalle individual'!$B:$B,$K696)))</f>
        <v/>
      </c>
      <c r="E696" s="72" t="str">
        <f>IF($K696="","",TRIM(INDEX('Detalle individual'!$E:$E,$K696)))</f>
        <v/>
      </c>
      <c r="F696" s="72" t="str">
        <f>IF($K696="","",TRIM(INDEX('Detalle individual'!$C:$C,$K696)))</f>
        <v/>
      </c>
      <c r="G696" s="72" t="str">
        <f>IF($K696="","",INDEX('Detalle individual'!$D:$D,$K696))</f>
        <v/>
      </c>
      <c r="H696" s="13" t="str">
        <f>IF($K696="","",INDEX('Detalle individual'!$F:$F,$K696))</f>
        <v/>
      </c>
      <c r="I696" s="20" t="str">
        <f>IF($K696="","",IF(INDEX('Detalle individual'!$F:$F,$K696)="Completado",INDEX('Detalle individual'!$H:$H,$K696),""))</f>
        <v/>
      </c>
      <c r="J696" s="21" t="str">
        <f>IF($K696="","",IF(INDEX('Detalle individual'!$F:$F,$K696)="Completado",INDEX('Detalle individual'!$J:$J,$K696),""))</f>
        <v/>
      </c>
      <c r="K696" t="str">
        <f>IFERROR(MOD(SMALL(Cálculos!$Z$5:$Z$1000,688),10000),"")</f>
        <v/>
      </c>
    </row>
    <row r="697">
      <c r="B697" s="13" t="str">
        <f>IF($K697="","",689)</f>
        <v/>
      </c>
      <c r="C697" s="13" t="str">
        <f>IF($K697="","",INDEX('Detalle individual'!$A:$A,$K697))</f>
        <v/>
      </c>
      <c r="D697" s="72" t="str">
        <f>IF($K697="","",TRIM(INDEX('Detalle individual'!$B:$B,$K697)))</f>
        <v/>
      </c>
      <c r="E697" s="72" t="str">
        <f>IF($K697="","",TRIM(INDEX('Detalle individual'!$E:$E,$K697)))</f>
        <v/>
      </c>
      <c r="F697" s="72" t="str">
        <f>IF($K697="","",TRIM(INDEX('Detalle individual'!$C:$C,$K697)))</f>
        <v/>
      </c>
      <c r="G697" s="72" t="str">
        <f>IF($K697="","",INDEX('Detalle individual'!$D:$D,$K697))</f>
        <v/>
      </c>
      <c r="H697" s="13" t="str">
        <f>IF($K697="","",INDEX('Detalle individual'!$F:$F,$K697))</f>
        <v/>
      </c>
      <c r="I697" s="20" t="str">
        <f>IF($K697="","",IF(INDEX('Detalle individual'!$F:$F,$K697)="Completado",INDEX('Detalle individual'!$H:$H,$K697),""))</f>
        <v/>
      </c>
      <c r="J697" s="21" t="str">
        <f>IF($K697="","",IF(INDEX('Detalle individual'!$F:$F,$K697)="Completado",INDEX('Detalle individual'!$J:$J,$K697),""))</f>
        <v/>
      </c>
      <c r="K697" t="str">
        <f>IFERROR(MOD(SMALL(Cálculos!$Z$5:$Z$1000,689),10000),"")</f>
        <v/>
      </c>
    </row>
    <row r="698">
      <c r="B698" s="13" t="str">
        <f>IF($K698="","",690)</f>
        <v/>
      </c>
      <c r="C698" s="13" t="str">
        <f>IF($K698="","",INDEX('Detalle individual'!$A:$A,$K698))</f>
        <v/>
      </c>
      <c r="D698" s="72" t="str">
        <f>IF($K698="","",TRIM(INDEX('Detalle individual'!$B:$B,$K698)))</f>
        <v/>
      </c>
      <c r="E698" s="72" t="str">
        <f>IF($K698="","",TRIM(INDEX('Detalle individual'!$E:$E,$K698)))</f>
        <v/>
      </c>
      <c r="F698" s="72" t="str">
        <f>IF($K698="","",TRIM(INDEX('Detalle individual'!$C:$C,$K698)))</f>
        <v/>
      </c>
      <c r="G698" s="72" t="str">
        <f>IF($K698="","",INDEX('Detalle individual'!$D:$D,$K698))</f>
        <v/>
      </c>
      <c r="H698" s="13" t="str">
        <f>IF($K698="","",INDEX('Detalle individual'!$F:$F,$K698))</f>
        <v/>
      </c>
      <c r="I698" s="20" t="str">
        <f>IF($K698="","",IF(INDEX('Detalle individual'!$F:$F,$K698)="Completado",INDEX('Detalle individual'!$H:$H,$K698),""))</f>
        <v/>
      </c>
      <c r="J698" s="21" t="str">
        <f>IF($K698="","",IF(INDEX('Detalle individual'!$F:$F,$K698)="Completado",INDEX('Detalle individual'!$J:$J,$K698),""))</f>
        <v/>
      </c>
      <c r="K698" t="str">
        <f>IFERROR(MOD(SMALL(Cálculos!$Z$5:$Z$1000,690),10000),"")</f>
        <v/>
      </c>
    </row>
    <row r="699">
      <c r="B699" s="13" t="str">
        <f>IF($K699="","",691)</f>
        <v/>
      </c>
      <c r="C699" s="13" t="str">
        <f>IF($K699="","",INDEX('Detalle individual'!$A:$A,$K699))</f>
        <v/>
      </c>
      <c r="D699" s="72" t="str">
        <f>IF($K699="","",TRIM(INDEX('Detalle individual'!$B:$B,$K699)))</f>
        <v/>
      </c>
      <c r="E699" s="72" t="str">
        <f>IF($K699="","",TRIM(INDEX('Detalle individual'!$E:$E,$K699)))</f>
        <v/>
      </c>
      <c r="F699" s="72" t="str">
        <f>IF($K699="","",TRIM(INDEX('Detalle individual'!$C:$C,$K699)))</f>
        <v/>
      </c>
      <c r="G699" s="72" t="str">
        <f>IF($K699="","",INDEX('Detalle individual'!$D:$D,$K699))</f>
        <v/>
      </c>
      <c r="H699" s="13" t="str">
        <f>IF($K699="","",INDEX('Detalle individual'!$F:$F,$K699))</f>
        <v/>
      </c>
      <c r="I699" s="20" t="str">
        <f>IF($K699="","",IF(INDEX('Detalle individual'!$F:$F,$K699)="Completado",INDEX('Detalle individual'!$H:$H,$K699),""))</f>
        <v/>
      </c>
      <c r="J699" s="21" t="str">
        <f>IF($K699="","",IF(INDEX('Detalle individual'!$F:$F,$K699)="Completado",INDEX('Detalle individual'!$J:$J,$K699),""))</f>
        <v/>
      </c>
      <c r="K699" t="str">
        <f>IFERROR(MOD(SMALL(Cálculos!$Z$5:$Z$1000,691),10000),"")</f>
        <v/>
      </c>
    </row>
    <row r="700">
      <c r="B700" s="13" t="str">
        <f>IF($K700="","",692)</f>
        <v/>
      </c>
      <c r="C700" s="13" t="str">
        <f>IF($K700="","",INDEX('Detalle individual'!$A:$A,$K700))</f>
        <v/>
      </c>
      <c r="D700" s="72" t="str">
        <f>IF($K700="","",TRIM(INDEX('Detalle individual'!$B:$B,$K700)))</f>
        <v/>
      </c>
      <c r="E700" s="72" t="str">
        <f>IF($K700="","",TRIM(INDEX('Detalle individual'!$E:$E,$K700)))</f>
        <v/>
      </c>
      <c r="F700" s="72" t="str">
        <f>IF($K700="","",TRIM(INDEX('Detalle individual'!$C:$C,$K700)))</f>
        <v/>
      </c>
      <c r="G700" s="72" t="str">
        <f>IF($K700="","",INDEX('Detalle individual'!$D:$D,$K700))</f>
        <v/>
      </c>
      <c r="H700" s="13" t="str">
        <f>IF($K700="","",INDEX('Detalle individual'!$F:$F,$K700))</f>
        <v/>
      </c>
      <c r="I700" s="20" t="str">
        <f>IF($K700="","",IF(INDEX('Detalle individual'!$F:$F,$K700)="Completado",INDEX('Detalle individual'!$H:$H,$K700),""))</f>
        <v/>
      </c>
      <c r="J700" s="21" t="str">
        <f>IF($K700="","",IF(INDEX('Detalle individual'!$F:$F,$K700)="Completado",INDEX('Detalle individual'!$J:$J,$K700),""))</f>
        <v/>
      </c>
      <c r="K700" t="str">
        <f>IFERROR(MOD(SMALL(Cálculos!$Z$5:$Z$1000,692),10000),"")</f>
        <v/>
      </c>
    </row>
    <row r="701">
      <c r="B701" s="13" t="str">
        <f>IF($K701="","",693)</f>
        <v/>
      </c>
      <c r="C701" s="13" t="str">
        <f>IF($K701="","",INDEX('Detalle individual'!$A:$A,$K701))</f>
        <v/>
      </c>
      <c r="D701" s="72" t="str">
        <f>IF($K701="","",TRIM(INDEX('Detalle individual'!$B:$B,$K701)))</f>
        <v/>
      </c>
      <c r="E701" s="72" t="str">
        <f>IF($K701="","",TRIM(INDEX('Detalle individual'!$E:$E,$K701)))</f>
        <v/>
      </c>
      <c r="F701" s="72" t="str">
        <f>IF($K701="","",TRIM(INDEX('Detalle individual'!$C:$C,$K701)))</f>
        <v/>
      </c>
      <c r="G701" s="72" t="str">
        <f>IF($K701="","",INDEX('Detalle individual'!$D:$D,$K701))</f>
        <v/>
      </c>
      <c r="H701" s="13" t="str">
        <f>IF($K701="","",INDEX('Detalle individual'!$F:$F,$K701))</f>
        <v/>
      </c>
      <c r="I701" s="20" t="str">
        <f>IF($K701="","",IF(INDEX('Detalle individual'!$F:$F,$K701)="Completado",INDEX('Detalle individual'!$H:$H,$K701),""))</f>
        <v/>
      </c>
      <c r="J701" s="21" t="str">
        <f>IF($K701="","",IF(INDEX('Detalle individual'!$F:$F,$K701)="Completado",INDEX('Detalle individual'!$J:$J,$K701),""))</f>
        <v/>
      </c>
      <c r="K701" t="str">
        <f>IFERROR(MOD(SMALL(Cálculos!$Z$5:$Z$1000,693),10000),"")</f>
        <v/>
      </c>
    </row>
    <row r="702">
      <c r="B702" s="13" t="str">
        <f>IF($K702="","",694)</f>
        <v/>
      </c>
      <c r="C702" s="13" t="str">
        <f>IF($K702="","",INDEX('Detalle individual'!$A:$A,$K702))</f>
        <v/>
      </c>
      <c r="D702" s="72" t="str">
        <f>IF($K702="","",TRIM(INDEX('Detalle individual'!$B:$B,$K702)))</f>
        <v/>
      </c>
      <c r="E702" s="72" t="str">
        <f>IF($K702="","",TRIM(INDEX('Detalle individual'!$E:$E,$K702)))</f>
        <v/>
      </c>
      <c r="F702" s="72" t="str">
        <f>IF($K702="","",TRIM(INDEX('Detalle individual'!$C:$C,$K702)))</f>
        <v/>
      </c>
      <c r="G702" s="72" t="str">
        <f>IF($K702="","",INDEX('Detalle individual'!$D:$D,$K702))</f>
        <v/>
      </c>
      <c r="H702" s="13" t="str">
        <f>IF($K702="","",INDEX('Detalle individual'!$F:$F,$K702))</f>
        <v/>
      </c>
      <c r="I702" s="20" t="str">
        <f>IF($K702="","",IF(INDEX('Detalle individual'!$F:$F,$K702)="Completado",INDEX('Detalle individual'!$H:$H,$K702),""))</f>
        <v/>
      </c>
      <c r="J702" s="21" t="str">
        <f>IF($K702="","",IF(INDEX('Detalle individual'!$F:$F,$K702)="Completado",INDEX('Detalle individual'!$J:$J,$K702),""))</f>
        <v/>
      </c>
      <c r="K702" t="str">
        <f>IFERROR(MOD(SMALL(Cálculos!$Z$5:$Z$1000,694),10000),"")</f>
        <v/>
      </c>
    </row>
    <row r="703">
      <c r="B703" s="13" t="str">
        <f>IF($K703="","",695)</f>
        <v/>
      </c>
      <c r="C703" s="13" t="str">
        <f>IF($K703="","",INDEX('Detalle individual'!$A:$A,$K703))</f>
        <v/>
      </c>
      <c r="D703" s="72" t="str">
        <f>IF($K703="","",TRIM(INDEX('Detalle individual'!$B:$B,$K703)))</f>
        <v/>
      </c>
      <c r="E703" s="72" t="str">
        <f>IF($K703="","",TRIM(INDEX('Detalle individual'!$E:$E,$K703)))</f>
        <v/>
      </c>
      <c r="F703" s="72" t="str">
        <f>IF($K703="","",TRIM(INDEX('Detalle individual'!$C:$C,$K703)))</f>
        <v/>
      </c>
      <c r="G703" s="72" t="str">
        <f>IF($K703="","",INDEX('Detalle individual'!$D:$D,$K703))</f>
        <v/>
      </c>
      <c r="H703" s="13" t="str">
        <f>IF($K703="","",INDEX('Detalle individual'!$F:$F,$K703))</f>
        <v/>
      </c>
      <c r="I703" s="20" t="str">
        <f>IF($K703="","",IF(INDEX('Detalle individual'!$F:$F,$K703)="Completado",INDEX('Detalle individual'!$H:$H,$K703),""))</f>
        <v/>
      </c>
      <c r="J703" s="21" t="str">
        <f>IF($K703="","",IF(INDEX('Detalle individual'!$F:$F,$K703)="Completado",INDEX('Detalle individual'!$J:$J,$K703),""))</f>
        <v/>
      </c>
      <c r="K703" t="str">
        <f>IFERROR(MOD(SMALL(Cálculos!$Z$5:$Z$1000,695),10000),"")</f>
        <v/>
      </c>
    </row>
    <row r="704">
      <c r="B704" s="13" t="str">
        <f>IF($K704="","",696)</f>
        <v/>
      </c>
      <c r="C704" s="13" t="str">
        <f>IF($K704="","",INDEX('Detalle individual'!$A:$A,$K704))</f>
        <v/>
      </c>
      <c r="D704" s="72" t="str">
        <f>IF($K704="","",TRIM(INDEX('Detalle individual'!$B:$B,$K704)))</f>
        <v/>
      </c>
      <c r="E704" s="72" t="str">
        <f>IF($K704="","",TRIM(INDEX('Detalle individual'!$E:$E,$K704)))</f>
        <v/>
      </c>
      <c r="F704" s="72" t="str">
        <f>IF($K704="","",TRIM(INDEX('Detalle individual'!$C:$C,$K704)))</f>
        <v/>
      </c>
      <c r="G704" s="72" t="str">
        <f>IF($K704="","",INDEX('Detalle individual'!$D:$D,$K704))</f>
        <v/>
      </c>
      <c r="H704" s="13" t="str">
        <f>IF($K704="","",INDEX('Detalle individual'!$F:$F,$K704))</f>
        <v/>
      </c>
      <c r="I704" s="20" t="str">
        <f>IF($K704="","",IF(INDEX('Detalle individual'!$F:$F,$K704)="Completado",INDEX('Detalle individual'!$H:$H,$K704),""))</f>
        <v/>
      </c>
      <c r="J704" s="21" t="str">
        <f>IF($K704="","",IF(INDEX('Detalle individual'!$F:$F,$K704)="Completado",INDEX('Detalle individual'!$J:$J,$K704),""))</f>
        <v/>
      </c>
      <c r="K704" t="str">
        <f>IFERROR(MOD(SMALL(Cálculos!$Z$5:$Z$1000,696),10000),"")</f>
        <v/>
      </c>
    </row>
    <row r="705">
      <c r="B705" s="13" t="str">
        <f>IF($K705="","",697)</f>
        <v/>
      </c>
      <c r="C705" s="13" t="str">
        <f>IF($K705="","",INDEX('Detalle individual'!$A:$A,$K705))</f>
        <v/>
      </c>
      <c r="D705" s="72" t="str">
        <f>IF($K705="","",TRIM(INDEX('Detalle individual'!$B:$B,$K705)))</f>
        <v/>
      </c>
      <c r="E705" s="72" t="str">
        <f>IF($K705="","",TRIM(INDEX('Detalle individual'!$E:$E,$K705)))</f>
        <v/>
      </c>
      <c r="F705" s="72" t="str">
        <f>IF($K705="","",TRIM(INDEX('Detalle individual'!$C:$C,$K705)))</f>
        <v/>
      </c>
      <c r="G705" s="72" t="str">
        <f>IF($K705="","",INDEX('Detalle individual'!$D:$D,$K705))</f>
        <v/>
      </c>
      <c r="H705" s="13" t="str">
        <f>IF($K705="","",INDEX('Detalle individual'!$F:$F,$K705))</f>
        <v/>
      </c>
      <c r="I705" s="20" t="str">
        <f>IF($K705="","",IF(INDEX('Detalle individual'!$F:$F,$K705)="Completado",INDEX('Detalle individual'!$H:$H,$K705),""))</f>
        <v/>
      </c>
      <c r="J705" s="21" t="str">
        <f>IF($K705="","",IF(INDEX('Detalle individual'!$F:$F,$K705)="Completado",INDEX('Detalle individual'!$J:$J,$K705),""))</f>
        <v/>
      </c>
      <c r="K705" t="str">
        <f>IFERROR(MOD(SMALL(Cálculos!$Z$5:$Z$1000,697),10000),"")</f>
        <v/>
      </c>
    </row>
    <row r="706">
      <c r="B706" s="13" t="str">
        <f>IF($K706="","",698)</f>
        <v/>
      </c>
      <c r="C706" s="13" t="str">
        <f>IF($K706="","",INDEX('Detalle individual'!$A:$A,$K706))</f>
        <v/>
      </c>
      <c r="D706" s="72" t="str">
        <f>IF($K706="","",TRIM(INDEX('Detalle individual'!$B:$B,$K706)))</f>
        <v/>
      </c>
      <c r="E706" s="72" t="str">
        <f>IF($K706="","",TRIM(INDEX('Detalle individual'!$E:$E,$K706)))</f>
        <v/>
      </c>
      <c r="F706" s="72" t="str">
        <f>IF($K706="","",TRIM(INDEX('Detalle individual'!$C:$C,$K706)))</f>
        <v/>
      </c>
      <c r="G706" s="72" t="str">
        <f>IF($K706="","",INDEX('Detalle individual'!$D:$D,$K706))</f>
        <v/>
      </c>
      <c r="H706" s="13" t="str">
        <f>IF($K706="","",INDEX('Detalle individual'!$F:$F,$K706))</f>
        <v/>
      </c>
      <c r="I706" s="20" t="str">
        <f>IF($K706="","",IF(INDEX('Detalle individual'!$F:$F,$K706)="Completado",INDEX('Detalle individual'!$H:$H,$K706),""))</f>
        <v/>
      </c>
      <c r="J706" s="21" t="str">
        <f>IF($K706="","",IF(INDEX('Detalle individual'!$F:$F,$K706)="Completado",INDEX('Detalle individual'!$J:$J,$K706),""))</f>
        <v/>
      </c>
      <c r="K706" t="str">
        <f>IFERROR(MOD(SMALL(Cálculos!$Z$5:$Z$1000,698),10000),"")</f>
        <v/>
      </c>
    </row>
    <row r="707">
      <c r="B707" s="13" t="str">
        <f>IF($K707="","",699)</f>
        <v/>
      </c>
      <c r="C707" s="13" t="str">
        <f>IF($K707="","",INDEX('Detalle individual'!$A:$A,$K707))</f>
        <v/>
      </c>
      <c r="D707" s="72" t="str">
        <f>IF($K707="","",TRIM(INDEX('Detalle individual'!$B:$B,$K707)))</f>
        <v/>
      </c>
      <c r="E707" s="72" t="str">
        <f>IF($K707="","",TRIM(INDEX('Detalle individual'!$E:$E,$K707)))</f>
        <v/>
      </c>
      <c r="F707" s="72" t="str">
        <f>IF($K707="","",TRIM(INDEX('Detalle individual'!$C:$C,$K707)))</f>
        <v/>
      </c>
      <c r="G707" s="72" t="str">
        <f>IF($K707="","",INDEX('Detalle individual'!$D:$D,$K707))</f>
        <v/>
      </c>
      <c r="H707" s="13" t="str">
        <f>IF($K707="","",INDEX('Detalle individual'!$F:$F,$K707))</f>
        <v/>
      </c>
      <c r="I707" s="20" t="str">
        <f>IF($K707="","",IF(INDEX('Detalle individual'!$F:$F,$K707)="Completado",INDEX('Detalle individual'!$H:$H,$K707),""))</f>
        <v/>
      </c>
      <c r="J707" s="21" t="str">
        <f>IF($K707="","",IF(INDEX('Detalle individual'!$F:$F,$K707)="Completado",INDEX('Detalle individual'!$J:$J,$K707),""))</f>
        <v/>
      </c>
      <c r="K707" t="str">
        <f>IFERROR(MOD(SMALL(Cálculos!$Z$5:$Z$1000,699),10000),"")</f>
        <v/>
      </c>
    </row>
    <row r="708">
      <c r="B708" s="13" t="str">
        <f>IF($K708="","",700)</f>
        <v/>
      </c>
      <c r="C708" s="13" t="str">
        <f>IF($K708="","",INDEX('Detalle individual'!$A:$A,$K708))</f>
        <v/>
      </c>
      <c r="D708" s="72" t="str">
        <f>IF($K708="","",TRIM(INDEX('Detalle individual'!$B:$B,$K708)))</f>
        <v/>
      </c>
      <c r="E708" s="72" t="str">
        <f>IF($K708="","",TRIM(INDEX('Detalle individual'!$E:$E,$K708)))</f>
        <v/>
      </c>
      <c r="F708" s="72" t="str">
        <f>IF($K708="","",TRIM(INDEX('Detalle individual'!$C:$C,$K708)))</f>
        <v/>
      </c>
      <c r="G708" s="72" t="str">
        <f>IF($K708="","",INDEX('Detalle individual'!$D:$D,$K708))</f>
        <v/>
      </c>
      <c r="H708" s="13" t="str">
        <f>IF($K708="","",INDEX('Detalle individual'!$F:$F,$K708))</f>
        <v/>
      </c>
      <c r="I708" s="20" t="str">
        <f>IF($K708="","",IF(INDEX('Detalle individual'!$F:$F,$K708)="Completado",INDEX('Detalle individual'!$H:$H,$K708),""))</f>
        <v/>
      </c>
      <c r="J708" s="21" t="str">
        <f>IF($K708="","",IF(INDEX('Detalle individual'!$F:$F,$K708)="Completado",INDEX('Detalle individual'!$J:$J,$K708),""))</f>
        <v/>
      </c>
      <c r="K708" t="str">
        <f>IFERROR(MOD(SMALL(Cálculos!$Z$5:$Z$1000,700),10000),"")</f>
        <v/>
      </c>
    </row>
    <row r="709">
      <c r="B709" s="13" t="str">
        <f>IF($K709="","",701)</f>
        <v/>
      </c>
      <c r="C709" s="13" t="str">
        <f>IF($K709="","",INDEX('Detalle individual'!$A:$A,$K709))</f>
        <v/>
      </c>
      <c r="D709" s="72" t="str">
        <f>IF($K709="","",TRIM(INDEX('Detalle individual'!$B:$B,$K709)))</f>
        <v/>
      </c>
      <c r="E709" s="72" t="str">
        <f>IF($K709="","",TRIM(INDEX('Detalle individual'!$E:$E,$K709)))</f>
        <v/>
      </c>
      <c r="F709" s="72" t="str">
        <f>IF($K709="","",TRIM(INDEX('Detalle individual'!$C:$C,$K709)))</f>
        <v/>
      </c>
      <c r="G709" s="72" t="str">
        <f>IF($K709="","",INDEX('Detalle individual'!$D:$D,$K709))</f>
        <v/>
      </c>
      <c r="H709" s="13" t="str">
        <f>IF($K709="","",INDEX('Detalle individual'!$F:$F,$K709))</f>
        <v/>
      </c>
      <c r="I709" s="20" t="str">
        <f>IF($K709="","",IF(INDEX('Detalle individual'!$F:$F,$K709)="Completado",INDEX('Detalle individual'!$H:$H,$K709),""))</f>
        <v/>
      </c>
      <c r="J709" s="21" t="str">
        <f>IF($K709="","",IF(INDEX('Detalle individual'!$F:$F,$K709)="Completado",INDEX('Detalle individual'!$J:$J,$K709),""))</f>
        <v/>
      </c>
      <c r="K709" t="str">
        <f>IFERROR(MOD(SMALL(Cálculos!$Z$5:$Z$1000,701),10000),"")</f>
        <v/>
      </c>
    </row>
    <row r="710">
      <c r="B710" s="13" t="str">
        <f>IF($K710="","",702)</f>
        <v/>
      </c>
      <c r="C710" s="13" t="str">
        <f>IF($K710="","",INDEX('Detalle individual'!$A:$A,$K710))</f>
        <v/>
      </c>
      <c r="D710" s="72" t="str">
        <f>IF($K710="","",TRIM(INDEX('Detalle individual'!$B:$B,$K710)))</f>
        <v/>
      </c>
      <c r="E710" s="72" t="str">
        <f>IF($K710="","",TRIM(INDEX('Detalle individual'!$E:$E,$K710)))</f>
        <v/>
      </c>
      <c r="F710" s="72" t="str">
        <f>IF($K710="","",TRIM(INDEX('Detalle individual'!$C:$C,$K710)))</f>
        <v/>
      </c>
      <c r="G710" s="72" t="str">
        <f>IF($K710="","",INDEX('Detalle individual'!$D:$D,$K710))</f>
        <v/>
      </c>
      <c r="H710" s="13" t="str">
        <f>IF($K710="","",INDEX('Detalle individual'!$F:$F,$K710))</f>
        <v/>
      </c>
      <c r="I710" s="20" t="str">
        <f>IF($K710="","",IF(INDEX('Detalle individual'!$F:$F,$K710)="Completado",INDEX('Detalle individual'!$H:$H,$K710),""))</f>
        <v/>
      </c>
      <c r="J710" s="21" t="str">
        <f>IF($K710="","",IF(INDEX('Detalle individual'!$F:$F,$K710)="Completado",INDEX('Detalle individual'!$J:$J,$K710),""))</f>
        <v/>
      </c>
      <c r="K710" t="str">
        <f>IFERROR(MOD(SMALL(Cálculos!$Z$5:$Z$1000,702),10000),"")</f>
        <v/>
      </c>
    </row>
    <row r="711">
      <c r="B711" s="13" t="str">
        <f>IF($K711="","",703)</f>
        <v/>
      </c>
      <c r="C711" s="13" t="str">
        <f>IF($K711="","",INDEX('Detalle individual'!$A:$A,$K711))</f>
        <v/>
      </c>
      <c r="D711" s="72" t="str">
        <f>IF($K711="","",TRIM(INDEX('Detalle individual'!$B:$B,$K711)))</f>
        <v/>
      </c>
      <c r="E711" s="72" t="str">
        <f>IF($K711="","",TRIM(INDEX('Detalle individual'!$E:$E,$K711)))</f>
        <v/>
      </c>
      <c r="F711" s="72" t="str">
        <f>IF($K711="","",TRIM(INDEX('Detalle individual'!$C:$C,$K711)))</f>
        <v/>
      </c>
      <c r="G711" s="72" t="str">
        <f>IF($K711="","",INDEX('Detalle individual'!$D:$D,$K711))</f>
        <v/>
      </c>
      <c r="H711" s="13" t="str">
        <f>IF($K711="","",INDEX('Detalle individual'!$F:$F,$K711))</f>
        <v/>
      </c>
      <c r="I711" s="20" t="str">
        <f>IF($K711="","",IF(INDEX('Detalle individual'!$F:$F,$K711)="Completado",INDEX('Detalle individual'!$H:$H,$K711),""))</f>
        <v/>
      </c>
      <c r="J711" s="21" t="str">
        <f>IF($K711="","",IF(INDEX('Detalle individual'!$F:$F,$K711)="Completado",INDEX('Detalle individual'!$J:$J,$K711),""))</f>
        <v/>
      </c>
      <c r="K711" t="str">
        <f>IFERROR(MOD(SMALL(Cálculos!$Z$5:$Z$1000,703),10000),"")</f>
        <v/>
      </c>
    </row>
    <row r="712">
      <c r="B712" s="13" t="str">
        <f>IF($K712="","",704)</f>
        <v/>
      </c>
      <c r="C712" s="13" t="str">
        <f>IF($K712="","",INDEX('Detalle individual'!$A:$A,$K712))</f>
        <v/>
      </c>
      <c r="D712" s="72" t="str">
        <f>IF($K712="","",TRIM(INDEX('Detalle individual'!$B:$B,$K712)))</f>
        <v/>
      </c>
      <c r="E712" s="72" t="str">
        <f>IF($K712="","",TRIM(INDEX('Detalle individual'!$E:$E,$K712)))</f>
        <v/>
      </c>
      <c r="F712" s="72" t="str">
        <f>IF($K712="","",TRIM(INDEX('Detalle individual'!$C:$C,$K712)))</f>
        <v/>
      </c>
      <c r="G712" s="72" t="str">
        <f>IF($K712="","",INDEX('Detalle individual'!$D:$D,$K712))</f>
        <v/>
      </c>
      <c r="H712" s="13" t="str">
        <f>IF($K712="","",INDEX('Detalle individual'!$F:$F,$K712))</f>
        <v/>
      </c>
      <c r="I712" s="20" t="str">
        <f>IF($K712="","",IF(INDEX('Detalle individual'!$F:$F,$K712)="Completado",INDEX('Detalle individual'!$H:$H,$K712),""))</f>
        <v/>
      </c>
      <c r="J712" s="21" t="str">
        <f>IF($K712="","",IF(INDEX('Detalle individual'!$F:$F,$K712)="Completado",INDEX('Detalle individual'!$J:$J,$K712),""))</f>
        <v/>
      </c>
      <c r="K712" t="str">
        <f>IFERROR(MOD(SMALL(Cálculos!$Z$5:$Z$1000,704),10000),"")</f>
        <v/>
      </c>
    </row>
    <row r="713">
      <c r="B713" s="13" t="str">
        <f>IF($K713="","",705)</f>
        <v/>
      </c>
      <c r="C713" s="13" t="str">
        <f>IF($K713="","",INDEX('Detalle individual'!$A:$A,$K713))</f>
        <v/>
      </c>
      <c r="D713" s="72" t="str">
        <f>IF($K713="","",TRIM(INDEX('Detalle individual'!$B:$B,$K713)))</f>
        <v/>
      </c>
      <c r="E713" s="72" t="str">
        <f>IF($K713="","",TRIM(INDEX('Detalle individual'!$E:$E,$K713)))</f>
        <v/>
      </c>
      <c r="F713" s="72" t="str">
        <f>IF($K713="","",TRIM(INDEX('Detalle individual'!$C:$C,$K713)))</f>
        <v/>
      </c>
      <c r="G713" s="72" t="str">
        <f>IF($K713="","",INDEX('Detalle individual'!$D:$D,$K713))</f>
        <v/>
      </c>
      <c r="H713" s="13" t="str">
        <f>IF($K713="","",INDEX('Detalle individual'!$F:$F,$K713))</f>
        <v/>
      </c>
      <c r="I713" s="20" t="str">
        <f>IF($K713="","",IF(INDEX('Detalle individual'!$F:$F,$K713)="Completado",INDEX('Detalle individual'!$H:$H,$K713),""))</f>
        <v/>
      </c>
      <c r="J713" s="21" t="str">
        <f>IF($K713="","",IF(INDEX('Detalle individual'!$F:$F,$K713)="Completado",INDEX('Detalle individual'!$J:$J,$K713),""))</f>
        <v/>
      </c>
      <c r="K713" t="str">
        <f>IFERROR(MOD(SMALL(Cálculos!$Z$5:$Z$1000,705),10000),"")</f>
        <v/>
      </c>
    </row>
    <row r="714">
      <c r="B714" s="13" t="str">
        <f>IF($K714="","",706)</f>
        <v/>
      </c>
      <c r="C714" s="13" t="str">
        <f>IF($K714="","",INDEX('Detalle individual'!$A:$A,$K714))</f>
        <v/>
      </c>
      <c r="D714" s="72" t="str">
        <f>IF($K714="","",TRIM(INDEX('Detalle individual'!$B:$B,$K714)))</f>
        <v/>
      </c>
      <c r="E714" s="72" t="str">
        <f>IF($K714="","",TRIM(INDEX('Detalle individual'!$E:$E,$K714)))</f>
        <v/>
      </c>
      <c r="F714" s="72" t="str">
        <f>IF($K714="","",TRIM(INDEX('Detalle individual'!$C:$C,$K714)))</f>
        <v/>
      </c>
      <c r="G714" s="72" t="str">
        <f>IF($K714="","",INDEX('Detalle individual'!$D:$D,$K714))</f>
        <v/>
      </c>
      <c r="H714" s="13" t="str">
        <f>IF($K714="","",INDEX('Detalle individual'!$F:$F,$K714))</f>
        <v/>
      </c>
      <c r="I714" s="20" t="str">
        <f>IF($K714="","",IF(INDEX('Detalle individual'!$F:$F,$K714)="Completado",INDEX('Detalle individual'!$H:$H,$K714),""))</f>
        <v/>
      </c>
      <c r="J714" s="21" t="str">
        <f>IF($K714="","",IF(INDEX('Detalle individual'!$F:$F,$K714)="Completado",INDEX('Detalle individual'!$J:$J,$K714),""))</f>
        <v/>
      </c>
      <c r="K714" t="str">
        <f>IFERROR(MOD(SMALL(Cálculos!$Z$5:$Z$1000,706),10000),"")</f>
        <v/>
      </c>
    </row>
    <row r="715">
      <c r="B715" s="13" t="str">
        <f>IF($K715="","",707)</f>
        <v/>
      </c>
      <c r="C715" s="13" t="str">
        <f>IF($K715="","",INDEX('Detalle individual'!$A:$A,$K715))</f>
        <v/>
      </c>
      <c r="D715" s="72" t="str">
        <f>IF($K715="","",TRIM(INDEX('Detalle individual'!$B:$B,$K715)))</f>
        <v/>
      </c>
      <c r="E715" s="72" t="str">
        <f>IF($K715="","",TRIM(INDEX('Detalle individual'!$E:$E,$K715)))</f>
        <v/>
      </c>
      <c r="F715" s="72" t="str">
        <f>IF($K715="","",TRIM(INDEX('Detalle individual'!$C:$C,$K715)))</f>
        <v/>
      </c>
      <c r="G715" s="72" t="str">
        <f>IF($K715="","",INDEX('Detalle individual'!$D:$D,$K715))</f>
        <v/>
      </c>
      <c r="H715" s="13" t="str">
        <f>IF($K715="","",INDEX('Detalle individual'!$F:$F,$K715))</f>
        <v/>
      </c>
      <c r="I715" s="20" t="str">
        <f>IF($K715="","",IF(INDEX('Detalle individual'!$F:$F,$K715)="Completado",INDEX('Detalle individual'!$H:$H,$K715),""))</f>
        <v/>
      </c>
      <c r="J715" s="21" t="str">
        <f>IF($K715="","",IF(INDEX('Detalle individual'!$F:$F,$K715)="Completado",INDEX('Detalle individual'!$J:$J,$K715),""))</f>
        <v/>
      </c>
      <c r="K715" t="str">
        <f>IFERROR(MOD(SMALL(Cálculos!$Z$5:$Z$1000,707),10000),"")</f>
        <v/>
      </c>
    </row>
    <row r="716">
      <c r="B716" s="13" t="str">
        <f>IF($K716="","",708)</f>
        <v/>
      </c>
      <c r="C716" s="13" t="str">
        <f>IF($K716="","",INDEX('Detalle individual'!$A:$A,$K716))</f>
        <v/>
      </c>
      <c r="D716" s="72" t="str">
        <f>IF($K716="","",TRIM(INDEX('Detalle individual'!$B:$B,$K716)))</f>
        <v/>
      </c>
      <c r="E716" s="72" t="str">
        <f>IF($K716="","",TRIM(INDEX('Detalle individual'!$E:$E,$K716)))</f>
        <v/>
      </c>
      <c r="F716" s="72" t="str">
        <f>IF($K716="","",TRIM(INDEX('Detalle individual'!$C:$C,$K716)))</f>
        <v/>
      </c>
      <c r="G716" s="72" t="str">
        <f>IF($K716="","",INDEX('Detalle individual'!$D:$D,$K716))</f>
        <v/>
      </c>
      <c r="H716" s="13" t="str">
        <f>IF($K716="","",INDEX('Detalle individual'!$F:$F,$K716))</f>
        <v/>
      </c>
      <c r="I716" s="20" t="str">
        <f>IF($K716="","",IF(INDEX('Detalle individual'!$F:$F,$K716)="Completado",INDEX('Detalle individual'!$H:$H,$K716),""))</f>
        <v/>
      </c>
      <c r="J716" s="21" t="str">
        <f>IF($K716="","",IF(INDEX('Detalle individual'!$F:$F,$K716)="Completado",INDEX('Detalle individual'!$J:$J,$K716),""))</f>
        <v/>
      </c>
      <c r="K716" t="str">
        <f>IFERROR(MOD(SMALL(Cálculos!$Z$5:$Z$1000,708),10000),"")</f>
        <v/>
      </c>
    </row>
    <row r="717">
      <c r="B717" s="13" t="str">
        <f>IF($K717="","",709)</f>
        <v/>
      </c>
      <c r="C717" s="13" t="str">
        <f>IF($K717="","",INDEX('Detalle individual'!$A:$A,$K717))</f>
        <v/>
      </c>
      <c r="D717" s="72" t="str">
        <f>IF($K717="","",TRIM(INDEX('Detalle individual'!$B:$B,$K717)))</f>
        <v/>
      </c>
      <c r="E717" s="72" t="str">
        <f>IF($K717="","",TRIM(INDEX('Detalle individual'!$E:$E,$K717)))</f>
        <v/>
      </c>
      <c r="F717" s="72" t="str">
        <f>IF($K717="","",TRIM(INDEX('Detalle individual'!$C:$C,$K717)))</f>
        <v/>
      </c>
      <c r="G717" s="72" t="str">
        <f>IF($K717="","",INDEX('Detalle individual'!$D:$D,$K717))</f>
        <v/>
      </c>
      <c r="H717" s="13" t="str">
        <f>IF($K717="","",INDEX('Detalle individual'!$F:$F,$K717))</f>
        <v/>
      </c>
      <c r="I717" s="20" t="str">
        <f>IF($K717="","",IF(INDEX('Detalle individual'!$F:$F,$K717)="Completado",INDEX('Detalle individual'!$H:$H,$K717),""))</f>
        <v/>
      </c>
      <c r="J717" s="21" t="str">
        <f>IF($K717="","",IF(INDEX('Detalle individual'!$F:$F,$K717)="Completado",INDEX('Detalle individual'!$J:$J,$K717),""))</f>
        <v/>
      </c>
      <c r="K717" t="str">
        <f>IFERROR(MOD(SMALL(Cálculos!$Z$5:$Z$1000,709),10000),"")</f>
        <v/>
      </c>
    </row>
    <row r="718">
      <c r="B718" s="13" t="str">
        <f>IF($K718="","",710)</f>
        <v/>
      </c>
      <c r="C718" s="13" t="str">
        <f>IF($K718="","",INDEX('Detalle individual'!$A:$A,$K718))</f>
        <v/>
      </c>
      <c r="D718" s="72" t="str">
        <f>IF($K718="","",TRIM(INDEX('Detalle individual'!$B:$B,$K718)))</f>
        <v/>
      </c>
      <c r="E718" s="72" t="str">
        <f>IF($K718="","",TRIM(INDEX('Detalle individual'!$E:$E,$K718)))</f>
        <v/>
      </c>
      <c r="F718" s="72" t="str">
        <f>IF($K718="","",TRIM(INDEX('Detalle individual'!$C:$C,$K718)))</f>
        <v/>
      </c>
      <c r="G718" s="72" t="str">
        <f>IF($K718="","",INDEX('Detalle individual'!$D:$D,$K718))</f>
        <v/>
      </c>
      <c r="H718" s="13" t="str">
        <f>IF($K718="","",INDEX('Detalle individual'!$F:$F,$K718))</f>
        <v/>
      </c>
      <c r="I718" s="20" t="str">
        <f>IF($K718="","",IF(INDEX('Detalle individual'!$F:$F,$K718)="Completado",INDEX('Detalle individual'!$H:$H,$K718),""))</f>
        <v/>
      </c>
      <c r="J718" s="21" t="str">
        <f>IF($K718="","",IF(INDEX('Detalle individual'!$F:$F,$K718)="Completado",INDEX('Detalle individual'!$J:$J,$K718),""))</f>
        <v/>
      </c>
      <c r="K718" t="str">
        <f>IFERROR(MOD(SMALL(Cálculos!$Z$5:$Z$1000,710),10000),"")</f>
        <v/>
      </c>
    </row>
    <row r="719">
      <c r="B719" s="13" t="str">
        <f>IF($K719="","",711)</f>
        <v/>
      </c>
      <c r="C719" s="13" t="str">
        <f>IF($K719="","",INDEX('Detalle individual'!$A:$A,$K719))</f>
        <v/>
      </c>
      <c r="D719" s="72" t="str">
        <f>IF($K719="","",TRIM(INDEX('Detalle individual'!$B:$B,$K719)))</f>
        <v/>
      </c>
      <c r="E719" s="72" t="str">
        <f>IF($K719="","",TRIM(INDEX('Detalle individual'!$E:$E,$K719)))</f>
        <v/>
      </c>
      <c r="F719" s="72" t="str">
        <f>IF($K719="","",TRIM(INDEX('Detalle individual'!$C:$C,$K719)))</f>
        <v/>
      </c>
      <c r="G719" s="72" t="str">
        <f>IF($K719="","",INDEX('Detalle individual'!$D:$D,$K719))</f>
        <v/>
      </c>
      <c r="H719" s="13" t="str">
        <f>IF($K719="","",INDEX('Detalle individual'!$F:$F,$K719))</f>
        <v/>
      </c>
      <c r="I719" s="20" t="str">
        <f>IF($K719="","",IF(INDEX('Detalle individual'!$F:$F,$K719)="Completado",INDEX('Detalle individual'!$H:$H,$K719),""))</f>
        <v/>
      </c>
      <c r="J719" s="21" t="str">
        <f>IF($K719="","",IF(INDEX('Detalle individual'!$F:$F,$K719)="Completado",INDEX('Detalle individual'!$J:$J,$K719),""))</f>
        <v/>
      </c>
      <c r="K719" t="str">
        <f>IFERROR(MOD(SMALL(Cálculos!$Z$5:$Z$1000,711),10000),"")</f>
        <v/>
      </c>
    </row>
    <row r="720">
      <c r="B720" s="13" t="str">
        <f>IF($K720="","",712)</f>
        <v/>
      </c>
      <c r="C720" s="13" t="str">
        <f>IF($K720="","",INDEX('Detalle individual'!$A:$A,$K720))</f>
        <v/>
      </c>
      <c r="D720" s="72" t="str">
        <f>IF($K720="","",TRIM(INDEX('Detalle individual'!$B:$B,$K720)))</f>
        <v/>
      </c>
      <c r="E720" s="72" t="str">
        <f>IF($K720="","",TRIM(INDEX('Detalle individual'!$E:$E,$K720)))</f>
        <v/>
      </c>
      <c r="F720" s="72" t="str">
        <f>IF($K720="","",TRIM(INDEX('Detalle individual'!$C:$C,$K720)))</f>
        <v/>
      </c>
      <c r="G720" s="72" t="str">
        <f>IF($K720="","",INDEX('Detalle individual'!$D:$D,$K720))</f>
        <v/>
      </c>
      <c r="H720" s="13" t="str">
        <f>IF($K720="","",INDEX('Detalle individual'!$F:$F,$K720))</f>
        <v/>
      </c>
      <c r="I720" s="20" t="str">
        <f>IF($K720="","",IF(INDEX('Detalle individual'!$F:$F,$K720)="Completado",INDEX('Detalle individual'!$H:$H,$K720),""))</f>
        <v/>
      </c>
      <c r="J720" s="21" t="str">
        <f>IF($K720="","",IF(INDEX('Detalle individual'!$F:$F,$K720)="Completado",INDEX('Detalle individual'!$J:$J,$K720),""))</f>
        <v/>
      </c>
      <c r="K720" t="str">
        <f>IFERROR(MOD(SMALL(Cálculos!$Z$5:$Z$1000,712),10000),"")</f>
        <v/>
      </c>
    </row>
    <row r="721">
      <c r="B721" s="13" t="str">
        <f>IF($K721="","",713)</f>
        <v/>
      </c>
      <c r="C721" s="13" t="str">
        <f>IF($K721="","",INDEX('Detalle individual'!$A:$A,$K721))</f>
        <v/>
      </c>
      <c r="D721" s="72" t="str">
        <f>IF($K721="","",TRIM(INDEX('Detalle individual'!$B:$B,$K721)))</f>
        <v/>
      </c>
      <c r="E721" s="72" t="str">
        <f>IF($K721="","",TRIM(INDEX('Detalle individual'!$E:$E,$K721)))</f>
        <v/>
      </c>
      <c r="F721" s="72" t="str">
        <f>IF($K721="","",TRIM(INDEX('Detalle individual'!$C:$C,$K721)))</f>
        <v/>
      </c>
      <c r="G721" s="72" t="str">
        <f>IF($K721="","",INDEX('Detalle individual'!$D:$D,$K721))</f>
        <v/>
      </c>
      <c r="H721" s="13" t="str">
        <f>IF($K721="","",INDEX('Detalle individual'!$F:$F,$K721))</f>
        <v/>
      </c>
      <c r="I721" s="20" t="str">
        <f>IF($K721="","",IF(INDEX('Detalle individual'!$F:$F,$K721)="Completado",INDEX('Detalle individual'!$H:$H,$K721),""))</f>
        <v/>
      </c>
      <c r="J721" s="21" t="str">
        <f>IF($K721="","",IF(INDEX('Detalle individual'!$F:$F,$K721)="Completado",INDEX('Detalle individual'!$J:$J,$K721),""))</f>
        <v/>
      </c>
      <c r="K721" t="str">
        <f>IFERROR(MOD(SMALL(Cálculos!$Z$5:$Z$1000,713),10000),"")</f>
        <v/>
      </c>
    </row>
    <row r="722">
      <c r="B722" s="13" t="str">
        <f>IF($K722="","",714)</f>
        <v/>
      </c>
      <c r="C722" s="13" t="str">
        <f>IF($K722="","",INDEX('Detalle individual'!$A:$A,$K722))</f>
        <v/>
      </c>
      <c r="D722" s="72" t="str">
        <f>IF($K722="","",TRIM(INDEX('Detalle individual'!$B:$B,$K722)))</f>
        <v/>
      </c>
      <c r="E722" s="72" t="str">
        <f>IF($K722="","",TRIM(INDEX('Detalle individual'!$E:$E,$K722)))</f>
        <v/>
      </c>
      <c r="F722" s="72" t="str">
        <f>IF($K722="","",TRIM(INDEX('Detalle individual'!$C:$C,$K722)))</f>
        <v/>
      </c>
      <c r="G722" s="72" t="str">
        <f>IF($K722="","",INDEX('Detalle individual'!$D:$D,$K722))</f>
        <v/>
      </c>
      <c r="H722" s="13" t="str">
        <f>IF($K722="","",INDEX('Detalle individual'!$F:$F,$K722))</f>
        <v/>
      </c>
      <c r="I722" s="20" t="str">
        <f>IF($K722="","",IF(INDEX('Detalle individual'!$F:$F,$K722)="Completado",INDEX('Detalle individual'!$H:$H,$K722),""))</f>
        <v/>
      </c>
      <c r="J722" s="21" t="str">
        <f>IF($K722="","",IF(INDEX('Detalle individual'!$F:$F,$K722)="Completado",INDEX('Detalle individual'!$J:$J,$K722),""))</f>
        <v/>
      </c>
      <c r="K722" t="str">
        <f>IFERROR(MOD(SMALL(Cálculos!$Z$5:$Z$1000,714),10000),"")</f>
        <v/>
      </c>
    </row>
    <row r="723">
      <c r="B723" s="13" t="str">
        <f>IF($K723="","",715)</f>
        <v/>
      </c>
      <c r="C723" s="13" t="str">
        <f>IF($K723="","",INDEX('Detalle individual'!$A:$A,$K723))</f>
        <v/>
      </c>
      <c r="D723" s="72" t="str">
        <f>IF($K723="","",TRIM(INDEX('Detalle individual'!$B:$B,$K723)))</f>
        <v/>
      </c>
      <c r="E723" s="72" t="str">
        <f>IF($K723="","",TRIM(INDEX('Detalle individual'!$E:$E,$K723)))</f>
        <v/>
      </c>
      <c r="F723" s="72" t="str">
        <f>IF($K723="","",TRIM(INDEX('Detalle individual'!$C:$C,$K723)))</f>
        <v/>
      </c>
      <c r="G723" s="72" t="str">
        <f>IF($K723="","",INDEX('Detalle individual'!$D:$D,$K723))</f>
        <v/>
      </c>
      <c r="H723" s="13" t="str">
        <f>IF($K723="","",INDEX('Detalle individual'!$F:$F,$K723))</f>
        <v/>
      </c>
      <c r="I723" s="20" t="str">
        <f>IF($K723="","",IF(INDEX('Detalle individual'!$F:$F,$K723)="Completado",INDEX('Detalle individual'!$H:$H,$K723),""))</f>
        <v/>
      </c>
      <c r="J723" s="21" t="str">
        <f>IF($K723="","",IF(INDEX('Detalle individual'!$F:$F,$K723)="Completado",INDEX('Detalle individual'!$J:$J,$K723),""))</f>
        <v/>
      </c>
      <c r="K723" t="str">
        <f>IFERROR(MOD(SMALL(Cálculos!$Z$5:$Z$1000,715),10000),"")</f>
        <v/>
      </c>
    </row>
    <row r="724">
      <c r="B724" s="13" t="str">
        <f>IF($K724="","",716)</f>
        <v/>
      </c>
      <c r="C724" s="13" t="str">
        <f>IF($K724="","",INDEX('Detalle individual'!$A:$A,$K724))</f>
        <v/>
      </c>
      <c r="D724" s="72" t="str">
        <f>IF($K724="","",TRIM(INDEX('Detalle individual'!$B:$B,$K724)))</f>
        <v/>
      </c>
      <c r="E724" s="72" t="str">
        <f>IF($K724="","",TRIM(INDEX('Detalle individual'!$E:$E,$K724)))</f>
        <v/>
      </c>
      <c r="F724" s="72" t="str">
        <f>IF($K724="","",TRIM(INDEX('Detalle individual'!$C:$C,$K724)))</f>
        <v/>
      </c>
      <c r="G724" s="72" t="str">
        <f>IF($K724="","",INDEX('Detalle individual'!$D:$D,$K724))</f>
        <v/>
      </c>
      <c r="H724" s="13" t="str">
        <f>IF($K724="","",INDEX('Detalle individual'!$F:$F,$K724))</f>
        <v/>
      </c>
      <c r="I724" s="20" t="str">
        <f>IF($K724="","",IF(INDEX('Detalle individual'!$F:$F,$K724)="Completado",INDEX('Detalle individual'!$H:$H,$K724),""))</f>
        <v/>
      </c>
      <c r="J724" s="21" t="str">
        <f>IF($K724="","",IF(INDEX('Detalle individual'!$F:$F,$K724)="Completado",INDEX('Detalle individual'!$J:$J,$K724),""))</f>
        <v/>
      </c>
      <c r="K724" t="str">
        <f>IFERROR(MOD(SMALL(Cálculos!$Z$5:$Z$1000,716),10000),"")</f>
        <v/>
      </c>
    </row>
    <row r="725">
      <c r="B725" s="13" t="str">
        <f>IF($K725="","",717)</f>
        <v/>
      </c>
      <c r="C725" s="13" t="str">
        <f>IF($K725="","",INDEX('Detalle individual'!$A:$A,$K725))</f>
        <v/>
      </c>
      <c r="D725" s="72" t="str">
        <f>IF($K725="","",TRIM(INDEX('Detalle individual'!$B:$B,$K725)))</f>
        <v/>
      </c>
      <c r="E725" s="72" t="str">
        <f>IF($K725="","",TRIM(INDEX('Detalle individual'!$E:$E,$K725)))</f>
        <v/>
      </c>
      <c r="F725" s="72" t="str">
        <f>IF($K725="","",TRIM(INDEX('Detalle individual'!$C:$C,$K725)))</f>
        <v/>
      </c>
      <c r="G725" s="72" t="str">
        <f>IF($K725="","",INDEX('Detalle individual'!$D:$D,$K725))</f>
        <v/>
      </c>
      <c r="H725" s="13" t="str">
        <f>IF($K725="","",INDEX('Detalle individual'!$F:$F,$K725))</f>
        <v/>
      </c>
      <c r="I725" s="20" t="str">
        <f>IF($K725="","",IF(INDEX('Detalle individual'!$F:$F,$K725)="Completado",INDEX('Detalle individual'!$H:$H,$K725),""))</f>
        <v/>
      </c>
      <c r="J725" s="21" t="str">
        <f>IF($K725="","",IF(INDEX('Detalle individual'!$F:$F,$K725)="Completado",INDEX('Detalle individual'!$J:$J,$K725),""))</f>
        <v/>
      </c>
      <c r="K725" t="str">
        <f>IFERROR(MOD(SMALL(Cálculos!$Z$5:$Z$1000,717),10000),"")</f>
        <v/>
      </c>
    </row>
    <row r="726">
      <c r="B726" s="13" t="str">
        <f>IF($K726="","",718)</f>
        <v/>
      </c>
      <c r="C726" s="13" t="str">
        <f>IF($K726="","",INDEX('Detalle individual'!$A:$A,$K726))</f>
        <v/>
      </c>
      <c r="D726" s="72" t="str">
        <f>IF($K726="","",TRIM(INDEX('Detalle individual'!$B:$B,$K726)))</f>
        <v/>
      </c>
      <c r="E726" s="72" t="str">
        <f>IF($K726="","",TRIM(INDEX('Detalle individual'!$E:$E,$K726)))</f>
        <v/>
      </c>
      <c r="F726" s="72" t="str">
        <f>IF($K726="","",TRIM(INDEX('Detalle individual'!$C:$C,$K726)))</f>
        <v/>
      </c>
      <c r="G726" s="72" t="str">
        <f>IF($K726="","",INDEX('Detalle individual'!$D:$D,$K726))</f>
        <v/>
      </c>
      <c r="H726" s="13" t="str">
        <f>IF($K726="","",INDEX('Detalle individual'!$F:$F,$K726))</f>
        <v/>
      </c>
      <c r="I726" s="20" t="str">
        <f>IF($K726="","",IF(INDEX('Detalle individual'!$F:$F,$K726)="Completado",INDEX('Detalle individual'!$H:$H,$K726),""))</f>
        <v/>
      </c>
      <c r="J726" s="21" t="str">
        <f>IF($K726="","",IF(INDEX('Detalle individual'!$F:$F,$K726)="Completado",INDEX('Detalle individual'!$J:$J,$K726),""))</f>
        <v/>
      </c>
      <c r="K726" t="str">
        <f>IFERROR(MOD(SMALL(Cálculos!$Z$5:$Z$1000,718),10000),"")</f>
        <v/>
      </c>
    </row>
    <row r="727">
      <c r="B727" s="13" t="str">
        <f>IF($K727="","",719)</f>
        <v/>
      </c>
      <c r="C727" s="13" t="str">
        <f>IF($K727="","",INDEX('Detalle individual'!$A:$A,$K727))</f>
        <v/>
      </c>
      <c r="D727" s="72" t="str">
        <f>IF($K727="","",TRIM(INDEX('Detalle individual'!$B:$B,$K727)))</f>
        <v/>
      </c>
      <c r="E727" s="72" t="str">
        <f>IF($K727="","",TRIM(INDEX('Detalle individual'!$E:$E,$K727)))</f>
        <v/>
      </c>
      <c r="F727" s="72" t="str">
        <f>IF($K727="","",TRIM(INDEX('Detalle individual'!$C:$C,$K727)))</f>
        <v/>
      </c>
      <c r="G727" s="72" t="str">
        <f>IF($K727="","",INDEX('Detalle individual'!$D:$D,$K727))</f>
        <v/>
      </c>
      <c r="H727" s="13" t="str">
        <f>IF($K727="","",INDEX('Detalle individual'!$F:$F,$K727))</f>
        <v/>
      </c>
      <c r="I727" s="20" t="str">
        <f>IF($K727="","",IF(INDEX('Detalle individual'!$F:$F,$K727)="Completado",INDEX('Detalle individual'!$H:$H,$K727),""))</f>
        <v/>
      </c>
      <c r="J727" s="21" t="str">
        <f>IF($K727="","",IF(INDEX('Detalle individual'!$F:$F,$K727)="Completado",INDEX('Detalle individual'!$J:$J,$K727),""))</f>
        <v/>
      </c>
      <c r="K727" t="str">
        <f>IFERROR(MOD(SMALL(Cálculos!$Z$5:$Z$1000,719),10000),"")</f>
        <v/>
      </c>
    </row>
    <row r="728">
      <c r="B728" s="13" t="str">
        <f>IF($K728="","",720)</f>
        <v/>
      </c>
      <c r="C728" s="13" t="str">
        <f>IF($K728="","",INDEX('Detalle individual'!$A:$A,$K728))</f>
        <v/>
      </c>
      <c r="D728" s="72" t="str">
        <f>IF($K728="","",TRIM(INDEX('Detalle individual'!$B:$B,$K728)))</f>
        <v/>
      </c>
      <c r="E728" s="72" t="str">
        <f>IF($K728="","",TRIM(INDEX('Detalle individual'!$E:$E,$K728)))</f>
        <v/>
      </c>
      <c r="F728" s="72" t="str">
        <f>IF($K728="","",TRIM(INDEX('Detalle individual'!$C:$C,$K728)))</f>
        <v/>
      </c>
      <c r="G728" s="72" t="str">
        <f>IF($K728="","",INDEX('Detalle individual'!$D:$D,$K728))</f>
        <v/>
      </c>
      <c r="H728" s="13" t="str">
        <f>IF($K728="","",INDEX('Detalle individual'!$F:$F,$K728))</f>
        <v/>
      </c>
      <c r="I728" s="20" t="str">
        <f>IF($K728="","",IF(INDEX('Detalle individual'!$F:$F,$K728)="Completado",INDEX('Detalle individual'!$H:$H,$K728),""))</f>
        <v/>
      </c>
      <c r="J728" s="21" t="str">
        <f>IF($K728="","",IF(INDEX('Detalle individual'!$F:$F,$K728)="Completado",INDEX('Detalle individual'!$J:$J,$K728),""))</f>
        <v/>
      </c>
      <c r="K728" t="str">
        <f>IFERROR(MOD(SMALL(Cálculos!$Z$5:$Z$1000,720),10000),"")</f>
        <v/>
      </c>
    </row>
    <row r="729">
      <c r="B729" s="13" t="str">
        <f>IF($K729="","",721)</f>
        <v/>
      </c>
      <c r="C729" s="13" t="str">
        <f>IF($K729="","",INDEX('Detalle individual'!$A:$A,$K729))</f>
        <v/>
      </c>
      <c r="D729" s="72" t="str">
        <f>IF($K729="","",TRIM(INDEX('Detalle individual'!$B:$B,$K729)))</f>
        <v/>
      </c>
      <c r="E729" s="72" t="str">
        <f>IF($K729="","",TRIM(INDEX('Detalle individual'!$E:$E,$K729)))</f>
        <v/>
      </c>
      <c r="F729" s="72" t="str">
        <f>IF($K729="","",TRIM(INDEX('Detalle individual'!$C:$C,$K729)))</f>
        <v/>
      </c>
      <c r="G729" s="72" t="str">
        <f>IF($K729="","",INDEX('Detalle individual'!$D:$D,$K729))</f>
        <v/>
      </c>
      <c r="H729" s="13" t="str">
        <f>IF($K729="","",INDEX('Detalle individual'!$F:$F,$K729))</f>
        <v/>
      </c>
      <c r="I729" s="20" t="str">
        <f>IF($K729="","",IF(INDEX('Detalle individual'!$F:$F,$K729)="Completado",INDEX('Detalle individual'!$H:$H,$K729),""))</f>
        <v/>
      </c>
      <c r="J729" s="21" t="str">
        <f>IF($K729="","",IF(INDEX('Detalle individual'!$F:$F,$K729)="Completado",INDEX('Detalle individual'!$J:$J,$K729),""))</f>
        <v/>
      </c>
      <c r="K729" t="str">
        <f>IFERROR(MOD(SMALL(Cálculos!$Z$5:$Z$1000,721),10000),"")</f>
        <v/>
      </c>
    </row>
    <row r="730">
      <c r="B730" s="13" t="str">
        <f>IF($K730="","",722)</f>
        <v/>
      </c>
      <c r="C730" s="13" t="str">
        <f>IF($K730="","",INDEX('Detalle individual'!$A:$A,$K730))</f>
        <v/>
      </c>
      <c r="D730" s="72" t="str">
        <f>IF($K730="","",TRIM(INDEX('Detalle individual'!$B:$B,$K730)))</f>
        <v/>
      </c>
      <c r="E730" s="72" t="str">
        <f>IF($K730="","",TRIM(INDEX('Detalle individual'!$E:$E,$K730)))</f>
        <v/>
      </c>
      <c r="F730" s="72" t="str">
        <f>IF($K730="","",TRIM(INDEX('Detalle individual'!$C:$C,$K730)))</f>
        <v/>
      </c>
      <c r="G730" s="72" t="str">
        <f>IF($K730="","",INDEX('Detalle individual'!$D:$D,$K730))</f>
        <v/>
      </c>
      <c r="H730" s="13" t="str">
        <f>IF($K730="","",INDEX('Detalle individual'!$F:$F,$K730))</f>
        <v/>
      </c>
      <c r="I730" s="20" t="str">
        <f>IF($K730="","",IF(INDEX('Detalle individual'!$F:$F,$K730)="Completado",INDEX('Detalle individual'!$H:$H,$K730),""))</f>
        <v/>
      </c>
      <c r="J730" s="21" t="str">
        <f>IF($K730="","",IF(INDEX('Detalle individual'!$F:$F,$K730)="Completado",INDEX('Detalle individual'!$J:$J,$K730),""))</f>
        <v/>
      </c>
      <c r="K730" t="str">
        <f>IFERROR(MOD(SMALL(Cálculos!$Z$5:$Z$1000,722),10000),"")</f>
        <v/>
      </c>
    </row>
    <row r="731">
      <c r="B731" s="13" t="str">
        <f>IF($K731="","",723)</f>
        <v/>
      </c>
      <c r="C731" s="13" t="str">
        <f>IF($K731="","",INDEX('Detalle individual'!$A:$A,$K731))</f>
        <v/>
      </c>
      <c r="D731" s="72" t="str">
        <f>IF($K731="","",TRIM(INDEX('Detalle individual'!$B:$B,$K731)))</f>
        <v/>
      </c>
      <c r="E731" s="72" t="str">
        <f>IF($K731="","",TRIM(INDEX('Detalle individual'!$E:$E,$K731)))</f>
        <v/>
      </c>
      <c r="F731" s="72" t="str">
        <f>IF($K731="","",TRIM(INDEX('Detalle individual'!$C:$C,$K731)))</f>
        <v/>
      </c>
      <c r="G731" s="72" t="str">
        <f>IF($K731="","",INDEX('Detalle individual'!$D:$D,$K731))</f>
        <v/>
      </c>
      <c r="H731" s="13" t="str">
        <f>IF($K731="","",INDEX('Detalle individual'!$F:$F,$K731))</f>
        <v/>
      </c>
      <c r="I731" s="20" t="str">
        <f>IF($K731="","",IF(INDEX('Detalle individual'!$F:$F,$K731)="Completado",INDEX('Detalle individual'!$H:$H,$K731),""))</f>
        <v/>
      </c>
      <c r="J731" s="21" t="str">
        <f>IF($K731="","",IF(INDEX('Detalle individual'!$F:$F,$K731)="Completado",INDEX('Detalle individual'!$J:$J,$K731),""))</f>
        <v/>
      </c>
      <c r="K731" t="str">
        <f>IFERROR(MOD(SMALL(Cálculos!$Z$5:$Z$1000,723),10000),"")</f>
        <v/>
      </c>
    </row>
    <row r="732">
      <c r="B732" s="13" t="str">
        <f>IF($K732="","",724)</f>
        <v/>
      </c>
      <c r="C732" s="13" t="str">
        <f>IF($K732="","",INDEX('Detalle individual'!$A:$A,$K732))</f>
        <v/>
      </c>
      <c r="D732" s="72" t="str">
        <f>IF($K732="","",TRIM(INDEX('Detalle individual'!$B:$B,$K732)))</f>
        <v/>
      </c>
      <c r="E732" s="72" t="str">
        <f>IF($K732="","",TRIM(INDEX('Detalle individual'!$E:$E,$K732)))</f>
        <v/>
      </c>
      <c r="F732" s="72" t="str">
        <f>IF($K732="","",TRIM(INDEX('Detalle individual'!$C:$C,$K732)))</f>
        <v/>
      </c>
      <c r="G732" s="72" t="str">
        <f>IF($K732="","",INDEX('Detalle individual'!$D:$D,$K732))</f>
        <v/>
      </c>
      <c r="H732" s="13" t="str">
        <f>IF($K732="","",INDEX('Detalle individual'!$F:$F,$K732))</f>
        <v/>
      </c>
      <c r="I732" s="20" t="str">
        <f>IF($K732="","",IF(INDEX('Detalle individual'!$F:$F,$K732)="Completado",INDEX('Detalle individual'!$H:$H,$K732),""))</f>
        <v/>
      </c>
      <c r="J732" s="21" t="str">
        <f>IF($K732="","",IF(INDEX('Detalle individual'!$F:$F,$K732)="Completado",INDEX('Detalle individual'!$J:$J,$K732),""))</f>
        <v/>
      </c>
      <c r="K732" t="str">
        <f>IFERROR(MOD(SMALL(Cálculos!$Z$5:$Z$1000,724),10000),"")</f>
        <v/>
      </c>
    </row>
    <row r="733">
      <c r="B733" s="13" t="str">
        <f>IF($K733="","",725)</f>
        <v/>
      </c>
      <c r="C733" s="13" t="str">
        <f>IF($K733="","",INDEX('Detalle individual'!$A:$A,$K733))</f>
        <v/>
      </c>
      <c r="D733" s="72" t="str">
        <f>IF($K733="","",TRIM(INDEX('Detalle individual'!$B:$B,$K733)))</f>
        <v/>
      </c>
      <c r="E733" s="72" t="str">
        <f>IF($K733="","",TRIM(INDEX('Detalle individual'!$E:$E,$K733)))</f>
        <v/>
      </c>
      <c r="F733" s="72" t="str">
        <f>IF($K733="","",TRIM(INDEX('Detalle individual'!$C:$C,$K733)))</f>
        <v/>
      </c>
      <c r="G733" s="72" t="str">
        <f>IF($K733="","",INDEX('Detalle individual'!$D:$D,$K733))</f>
        <v/>
      </c>
      <c r="H733" s="13" t="str">
        <f>IF($K733="","",INDEX('Detalle individual'!$F:$F,$K733))</f>
        <v/>
      </c>
      <c r="I733" s="20" t="str">
        <f>IF($K733="","",IF(INDEX('Detalle individual'!$F:$F,$K733)="Completado",INDEX('Detalle individual'!$H:$H,$K733),""))</f>
        <v/>
      </c>
      <c r="J733" s="21" t="str">
        <f>IF($K733="","",IF(INDEX('Detalle individual'!$F:$F,$K733)="Completado",INDEX('Detalle individual'!$J:$J,$K733),""))</f>
        <v/>
      </c>
      <c r="K733" t="str">
        <f>IFERROR(MOD(SMALL(Cálculos!$Z$5:$Z$1000,725),10000),"")</f>
        <v/>
      </c>
    </row>
    <row r="734">
      <c r="B734" s="13" t="str">
        <f>IF($K734="","",726)</f>
        <v/>
      </c>
      <c r="C734" s="13" t="str">
        <f>IF($K734="","",INDEX('Detalle individual'!$A:$A,$K734))</f>
        <v/>
      </c>
      <c r="D734" s="72" t="str">
        <f>IF($K734="","",TRIM(INDEX('Detalle individual'!$B:$B,$K734)))</f>
        <v/>
      </c>
      <c r="E734" s="72" t="str">
        <f>IF($K734="","",TRIM(INDEX('Detalle individual'!$E:$E,$K734)))</f>
        <v/>
      </c>
      <c r="F734" s="72" t="str">
        <f>IF($K734="","",TRIM(INDEX('Detalle individual'!$C:$C,$K734)))</f>
        <v/>
      </c>
      <c r="G734" s="72" t="str">
        <f>IF($K734="","",INDEX('Detalle individual'!$D:$D,$K734))</f>
        <v/>
      </c>
      <c r="H734" s="13" t="str">
        <f>IF($K734="","",INDEX('Detalle individual'!$F:$F,$K734))</f>
        <v/>
      </c>
      <c r="I734" s="20" t="str">
        <f>IF($K734="","",IF(INDEX('Detalle individual'!$F:$F,$K734)="Completado",INDEX('Detalle individual'!$H:$H,$K734),""))</f>
        <v/>
      </c>
      <c r="J734" s="21" t="str">
        <f>IF($K734="","",IF(INDEX('Detalle individual'!$F:$F,$K734)="Completado",INDEX('Detalle individual'!$J:$J,$K734),""))</f>
        <v/>
      </c>
      <c r="K734" t="str">
        <f>IFERROR(MOD(SMALL(Cálculos!$Z$5:$Z$1000,726),10000),"")</f>
        <v/>
      </c>
    </row>
    <row r="735">
      <c r="B735" s="13" t="str">
        <f>IF($K735="","",727)</f>
        <v/>
      </c>
      <c r="C735" s="13" t="str">
        <f>IF($K735="","",INDEX('Detalle individual'!$A:$A,$K735))</f>
        <v/>
      </c>
      <c r="D735" s="72" t="str">
        <f>IF($K735="","",TRIM(INDEX('Detalle individual'!$B:$B,$K735)))</f>
        <v/>
      </c>
      <c r="E735" s="72" t="str">
        <f>IF($K735="","",TRIM(INDEX('Detalle individual'!$E:$E,$K735)))</f>
        <v/>
      </c>
      <c r="F735" s="72" t="str">
        <f>IF($K735="","",TRIM(INDEX('Detalle individual'!$C:$C,$K735)))</f>
        <v/>
      </c>
      <c r="G735" s="72" t="str">
        <f>IF($K735="","",INDEX('Detalle individual'!$D:$D,$K735))</f>
        <v/>
      </c>
      <c r="H735" s="13" t="str">
        <f>IF($K735="","",INDEX('Detalle individual'!$F:$F,$K735))</f>
        <v/>
      </c>
      <c r="I735" s="20" t="str">
        <f>IF($K735="","",IF(INDEX('Detalle individual'!$F:$F,$K735)="Completado",INDEX('Detalle individual'!$H:$H,$K735),""))</f>
        <v/>
      </c>
      <c r="J735" s="21" t="str">
        <f>IF($K735="","",IF(INDEX('Detalle individual'!$F:$F,$K735)="Completado",INDEX('Detalle individual'!$J:$J,$K735),""))</f>
        <v/>
      </c>
      <c r="K735" t="str">
        <f>IFERROR(MOD(SMALL(Cálculos!$Z$5:$Z$1000,727),10000),"")</f>
        <v/>
      </c>
    </row>
    <row r="736">
      <c r="B736" s="13" t="str">
        <f>IF($K736="","",728)</f>
        <v/>
      </c>
      <c r="C736" s="13" t="str">
        <f>IF($K736="","",INDEX('Detalle individual'!$A:$A,$K736))</f>
        <v/>
      </c>
      <c r="D736" s="72" t="str">
        <f>IF($K736="","",TRIM(INDEX('Detalle individual'!$B:$B,$K736)))</f>
        <v/>
      </c>
      <c r="E736" s="72" t="str">
        <f>IF($K736="","",TRIM(INDEX('Detalle individual'!$E:$E,$K736)))</f>
        <v/>
      </c>
      <c r="F736" s="72" t="str">
        <f>IF($K736="","",TRIM(INDEX('Detalle individual'!$C:$C,$K736)))</f>
        <v/>
      </c>
      <c r="G736" s="72" t="str">
        <f>IF($K736="","",INDEX('Detalle individual'!$D:$D,$K736))</f>
        <v/>
      </c>
      <c r="H736" s="13" t="str">
        <f>IF($K736="","",INDEX('Detalle individual'!$F:$F,$K736))</f>
        <v/>
      </c>
      <c r="I736" s="20" t="str">
        <f>IF($K736="","",IF(INDEX('Detalle individual'!$F:$F,$K736)="Completado",INDEX('Detalle individual'!$H:$H,$K736),""))</f>
        <v/>
      </c>
      <c r="J736" s="21" t="str">
        <f>IF($K736="","",IF(INDEX('Detalle individual'!$F:$F,$K736)="Completado",INDEX('Detalle individual'!$J:$J,$K736),""))</f>
        <v/>
      </c>
      <c r="K736" t="str">
        <f>IFERROR(MOD(SMALL(Cálculos!$Z$5:$Z$1000,728),10000),"")</f>
        <v/>
      </c>
    </row>
    <row r="737">
      <c r="B737" s="13" t="str">
        <f>IF($K737="","",729)</f>
        <v/>
      </c>
      <c r="C737" s="13" t="str">
        <f>IF($K737="","",INDEX('Detalle individual'!$A:$A,$K737))</f>
        <v/>
      </c>
      <c r="D737" s="72" t="str">
        <f>IF($K737="","",TRIM(INDEX('Detalle individual'!$B:$B,$K737)))</f>
        <v/>
      </c>
      <c r="E737" s="72" t="str">
        <f>IF($K737="","",TRIM(INDEX('Detalle individual'!$E:$E,$K737)))</f>
        <v/>
      </c>
      <c r="F737" s="72" t="str">
        <f>IF($K737="","",TRIM(INDEX('Detalle individual'!$C:$C,$K737)))</f>
        <v/>
      </c>
      <c r="G737" s="72" t="str">
        <f>IF($K737="","",INDEX('Detalle individual'!$D:$D,$K737))</f>
        <v/>
      </c>
      <c r="H737" s="13" t="str">
        <f>IF($K737="","",INDEX('Detalle individual'!$F:$F,$K737))</f>
        <v/>
      </c>
      <c r="I737" s="20" t="str">
        <f>IF($K737="","",IF(INDEX('Detalle individual'!$F:$F,$K737)="Completado",INDEX('Detalle individual'!$H:$H,$K737),""))</f>
        <v/>
      </c>
      <c r="J737" s="21" t="str">
        <f>IF($K737="","",IF(INDEX('Detalle individual'!$F:$F,$K737)="Completado",INDEX('Detalle individual'!$J:$J,$K737),""))</f>
        <v/>
      </c>
      <c r="K737" t="str">
        <f>IFERROR(MOD(SMALL(Cálculos!$Z$5:$Z$1000,729),10000),"")</f>
        <v/>
      </c>
    </row>
    <row r="738">
      <c r="B738" s="13" t="str">
        <f>IF($K738="","",730)</f>
        <v/>
      </c>
      <c r="C738" s="13" t="str">
        <f>IF($K738="","",INDEX('Detalle individual'!$A:$A,$K738))</f>
        <v/>
      </c>
      <c r="D738" s="72" t="str">
        <f>IF($K738="","",TRIM(INDEX('Detalle individual'!$B:$B,$K738)))</f>
        <v/>
      </c>
      <c r="E738" s="72" t="str">
        <f>IF($K738="","",TRIM(INDEX('Detalle individual'!$E:$E,$K738)))</f>
        <v/>
      </c>
      <c r="F738" s="72" t="str">
        <f>IF($K738="","",TRIM(INDEX('Detalle individual'!$C:$C,$K738)))</f>
        <v/>
      </c>
      <c r="G738" s="72" t="str">
        <f>IF($K738="","",INDEX('Detalle individual'!$D:$D,$K738))</f>
        <v/>
      </c>
      <c r="H738" s="13" t="str">
        <f>IF($K738="","",INDEX('Detalle individual'!$F:$F,$K738))</f>
        <v/>
      </c>
      <c r="I738" s="20" t="str">
        <f>IF($K738="","",IF(INDEX('Detalle individual'!$F:$F,$K738)="Completado",INDEX('Detalle individual'!$H:$H,$K738),""))</f>
        <v/>
      </c>
      <c r="J738" s="21" t="str">
        <f>IF($K738="","",IF(INDEX('Detalle individual'!$F:$F,$K738)="Completado",INDEX('Detalle individual'!$J:$J,$K738),""))</f>
        <v/>
      </c>
      <c r="K738" t="str">
        <f>IFERROR(MOD(SMALL(Cálculos!$Z$5:$Z$1000,730),10000),"")</f>
        <v/>
      </c>
    </row>
    <row r="739">
      <c r="B739" s="13" t="str">
        <f>IF($K739="","",731)</f>
        <v/>
      </c>
      <c r="C739" s="13" t="str">
        <f>IF($K739="","",INDEX('Detalle individual'!$A:$A,$K739))</f>
        <v/>
      </c>
      <c r="D739" s="72" t="str">
        <f>IF($K739="","",TRIM(INDEX('Detalle individual'!$B:$B,$K739)))</f>
        <v/>
      </c>
      <c r="E739" s="72" t="str">
        <f>IF($K739="","",TRIM(INDEX('Detalle individual'!$E:$E,$K739)))</f>
        <v/>
      </c>
      <c r="F739" s="72" t="str">
        <f>IF($K739="","",TRIM(INDEX('Detalle individual'!$C:$C,$K739)))</f>
        <v/>
      </c>
      <c r="G739" s="72" t="str">
        <f>IF($K739="","",INDEX('Detalle individual'!$D:$D,$K739))</f>
        <v/>
      </c>
      <c r="H739" s="13" t="str">
        <f>IF($K739="","",INDEX('Detalle individual'!$F:$F,$K739))</f>
        <v/>
      </c>
      <c r="I739" s="20" t="str">
        <f>IF($K739="","",IF(INDEX('Detalle individual'!$F:$F,$K739)="Completado",INDEX('Detalle individual'!$H:$H,$K739),""))</f>
        <v/>
      </c>
      <c r="J739" s="21" t="str">
        <f>IF($K739="","",IF(INDEX('Detalle individual'!$F:$F,$K739)="Completado",INDEX('Detalle individual'!$J:$J,$K739),""))</f>
        <v/>
      </c>
      <c r="K739" t="str">
        <f>IFERROR(MOD(SMALL(Cálculos!$Z$5:$Z$1000,731),10000),"")</f>
        <v/>
      </c>
    </row>
    <row r="740">
      <c r="B740" s="13" t="str">
        <f>IF($K740="","",732)</f>
        <v/>
      </c>
      <c r="C740" s="13" t="str">
        <f>IF($K740="","",INDEX('Detalle individual'!$A:$A,$K740))</f>
        <v/>
      </c>
      <c r="D740" s="72" t="str">
        <f>IF($K740="","",TRIM(INDEX('Detalle individual'!$B:$B,$K740)))</f>
        <v/>
      </c>
      <c r="E740" s="72" t="str">
        <f>IF($K740="","",TRIM(INDEX('Detalle individual'!$E:$E,$K740)))</f>
        <v/>
      </c>
      <c r="F740" s="72" t="str">
        <f>IF($K740="","",TRIM(INDEX('Detalle individual'!$C:$C,$K740)))</f>
        <v/>
      </c>
      <c r="G740" s="72" t="str">
        <f>IF($K740="","",INDEX('Detalle individual'!$D:$D,$K740))</f>
        <v/>
      </c>
      <c r="H740" s="13" t="str">
        <f>IF($K740="","",INDEX('Detalle individual'!$F:$F,$K740))</f>
        <v/>
      </c>
      <c r="I740" s="20" t="str">
        <f>IF($K740="","",IF(INDEX('Detalle individual'!$F:$F,$K740)="Completado",INDEX('Detalle individual'!$H:$H,$K740),""))</f>
        <v/>
      </c>
      <c r="J740" s="21" t="str">
        <f>IF($K740="","",IF(INDEX('Detalle individual'!$F:$F,$K740)="Completado",INDEX('Detalle individual'!$J:$J,$K740),""))</f>
        <v/>
      </c>
      <c r="K740" t="str">
        <f>IFERROR(MOD(SMALL(Cálculos!$Z$5:$Z$1000,732),10000),"")</f>
        <v/>
      </c>
    </row>
    <row r="741">
      <c r="B741" s="13" t="str">
        <f>IF($K741="","",733)</f>
        <v/>
      </c>
      <c r="C741" s="13" t="str">
        <f>IF($K741="","",INDEX('Detalle individual'!$A:$A,$K741))</f>
        <v/>
      </c>
      <c r="D741" s="72" t="str">
        <f>IF($K741="","",TRIM(INDEX('Detalle individual'!$B:$B,$K741)))</f>
        <v/>
      </c>
      <c r="E741" s="72" t="str">
        <f>IF($K741="","",TRIM(INDEX('Detalle individual'!$E:$E,$K741)))</f>
        <v/>
      </c>
      <c r="F741" s="72" t="str">
        <f>IF($K741="","",TRIM(INDEX('Detalle individual'!$C:$C,$K741)))</f>
        <v/>
      </c>
      <c r="G741" s="72" t="str">
        <f>IF($K741="","",INDEX('Detalle individual'!$D:$D,$K741))</f>
        <v/>
      </c>
      <c r="H741" s="13" t="str">
        <f>IF($K741="","",INDEX('Detalle individual'!$F:$F,$K741))</f>
        <v/>
      </c>
      <c r="I741" s="20" t="str">
        <f>IF($K741="","",IF(INDEX('Detalle individual'!$F:$F,$K741)="Completado",INDEX('Detalle individual'!$H:$H,$K741),""))</f>
        <v/>
      </c>
      <c r="J741" s="21" t="str">
        <f>IF($K741="","",IF(INDEX('Detalle individual'!$F:$F,$K741)="Completado",INDEX('Detalle individual'!$J:$J,$K741),""))</f>
        <v/>
      </c>
      <c r="K741" t="str">
        <f>IFERROR(MOD(SMALL(Cálculos!$Z$5:$Z$1000,733),10000),"")</f>
        <v/>
      </c>
    </row>
    <row r="742">
      <c r="B742" s="13" t="str">
        <f>IF($K742="","",734)</f>
        <v/>
      </c>
      <c r="C742" s="13" t="str">
        <f>IF($K742="","",INDEX('Detalle individual'!$A:$A,$K742))</f>
        <v/>
      </c>
      <c r="D742" s="72" t="str">
        <f>IF($K742="","",TRIM(INDEX('Detalle individual'!$B:$B,$K742)))</f>
        <v/>
      </c>
      <c r="E742" s="72" t="str">
        <f>IF($K742="","",TRIM(INDEX('Detalle individual'!$E:$E,$K742)))</f>
        <v/>
      </c>
      <c r="F742" s="72" t="str">
        <f>IF($K742="","",TRIM(INDEX('Detalle individual'!$C:$C,$K742)))</f>
        <v/>
      </c>
      <c r="G742" s="72" t="str">
        <f>IF($K742="","",INDEX('Detalle individual'!$D:$D,$K742))</f>
        <v/>
      </c>
      <c r="H742" s="13" t="str">
        <f>IF($K742="","",INDEX('Detalle individual'!$F:$F,$K742))</f>
        <v/>
      </c>
      <c r="I742" s="20" t="str">
        <f>IF($K742="","",IF(INDEX('Detalle individual'!$F:$F,$K742)="Completado",INDEX('Detalle individual'!$H:$H,$K742),""))</f>
        <v/>
      </c>
      <c r="J742" s="21" t="str">
        <f>IF($K742="","",IF(INDEX('Detalle individual'!$F:$F,$K742)="Completado",INDEX('Detalle individual'!$J:$J,$K742),""))</f>
        <v/>
      </c>
      <c r="K742" t="str">
        <f>IFERROR(MOD(SMALL(Cálculos!$Z$5:$Z$1000,734),10000),"")</f>
        <v/>
      </c>
    </row>
    <row r="743">
      <c r="B743" s="13" t="str">
        <f>IF($K743="","",735)</f>
        <v/>
      </c>
      <c r="C743" s="13" t="str">
        <f>IF($K743="","",INDEX('Detalle individual'!$A:$A,$K743))</f>
        <v/>
      </c>
      <c r="D743" s="72" t="str">
        <f>IF($K743="","",TRIM(INDEX('Detalle individual'!$B:$B,$K743)))</f>
        <v/>
      </c>
      <c r="E743" s="72" t="str">
        <f>IF($K743="","",TRIM(INDEX('Detalle individual'!$E:$E,$K743)))</f>
        <v/>
      </c>
      <c r="F743" s="72" t="str">
        <f>IF($K743="","",TRIM(INDEX('Detalle individual'!$C:$C,$K743)))</f>
        <v/>
      </c>
      <c r="G743" s="72" t="str">
        <f>IF($K743="","",INDEX('Detalle individual'!$D:$D,$K743))</f>
        <v/>
      </c>
      <c r="H743" s="13" t="str">
        <f>IF($K743="","",INDEX('Detalle individual'!$F:$F,$K743))</f>
        <v/>
      </c>
      <c r="I743" s="20" t="str">
        <f>IF($K743="","",IF(INDEX('Detalle individual'!$F:$F,$K743)="Completado",INDEX('Detalle individual'!$H:$H,$K743),""))</f>
        <v/>
      </c>
      <c r="J743" s="21" t="str">
        <f>IF($K743="","",IF(INDEX('Detalle individual'!$F:$F,$K743)="Completado",INDEX('Detalle individual'!$J:$J,$K743),""))</f>
        <v/>
      </c>
      <c r="K743" t="str">
        <f>IFERROR(MOD(SMALL(Cálculos!$Z$5:$Z$1000,735),10000),"")</f>
        <v/>
      </c>
    </row>
    <row r="744">
      <c r="B744" s="13" t="str">
        <f>IF($K744="","",736)</f>
        <v/>
      </c>
      <c r="C744" s="13" t="str">
        <f>IF($K744="","",INDEX('Detalle individual'!$A:$A,$K744))</f>
        <v/>
      </c>
      <c r="D744" s="72" t="str">
        <f>IF($K744="","",TRIM(INDEX('Detalle individual'!$B:$B,$K744)))</f>
        <v/>
      </c>
      <c r="E744" s="72" t="str">
        <f>IF($K744="","",TRIM(INDEX('Detalle individual'!$E:$E,$K744)))</f>
        <v/>
      </c>
      <c r="F744" s="72" t="str">
        <f>IF($K744="","",TRIM(INDEX('Detalle individual'!$C:$C,$K744)))</f>
        <v/>
      </c>
      <c r="G744" s="72" t="str">
        <f>IF($K744="","",INDEX('Detalle individual'!$D:$D,$K744))</f>
        <v/>
      </c>
      <c r="H744" s="13" t="str">
        <f>IF($K744="","",INDEX('Detalle individual'!$F:$F,$K744))</f>
        <v/>
      </c>
      <c r="I744" s="20" t="str">
        <f>IF($K744="","",IF(INDEX('Detalle individual'!$F:$F,$K744)="Completado",INDEX('Detalle individual'!$H:$H,$K744),""))</f>
        <v/>
      </c>
      <c r="J744" s="21" t="str">
        <f>IF($K744="","",IF(INDEX('Detalle individual'!$F:$F,$K744)="Completado",INDEX('Detalle individual'!$J:$J,$K744),""))</f>
        <v/>
      </c>
      <c r="K744" t="str">
        <f>IFERROR(MOD(SMALL(Cálculos!$Z$5:$Z$1000,736),10000),"")</f>
        <v/>
      </c>
    </row>
    <row r="745">
      <c r="B745" s="13" t="str">
        <f>IF($K745="","",737)</f>
        <v/>
      </c>
      <c r="C745" s="13" t="str">
        <f>IF($K745="","",INDEX('Detalle individual'!$A:$A,$K745))</f>
        <v/>
      </c>
      <c r="D745" s="72" t="str">
        <f>IF($K745="","",TRIM(INDEX('Detalle individual'!$B:$B,$K745)))</f>
        <v/>
      </c>
      <c r="E745" s="72" t="str">
        <f>IF($K745="","",TRIM(INDEX('Detalle individual'!$E:$E,$K745)))</f>
        <v/>
      </c>
      <c r="F745" s="72" t="str">
        <f>IF($K745="","",TRIM(INDEX('Detalle individual'!$C:$C,$K745)))</f>
        <v/>
      </c>
      <c r="G745" s="72" t="str">
        <f>IF($K745="","",INDEX('Detalle individual'!$D:$D,$K745))</f>
        <v/>
      </c>
      <c r="H745" s="13" t="str">
        <f>IF($K745="","",INDEX('Detalle individual'!$F:$F,$K745))</f>
        <v/>
      </c>
      <c r="I745" s="20" t="str">
        <f>IF($K745="","",IF(INDEX('Detalle individual'!$F:$F,$K745)="Completado",INDEX('Detalle individual'!$H:$H,$K745),""))</f>
        <v/>
      </c>
      <c r="J745" s="21" t="str">
        <f>IF($K745="","",IF(INDEX('Detalle individual'!$F:$F,$K745)="Completado",INDEX('Detalle individual'!$J:$J,$K745),""))</f>
        <v/>
      </c>
      <c r="K745" t="str">
        <f>IFERROR(MOD(SMALL(Cálculos!$Z$5:$Z$1000,737),10000),"")</f>
        <v/>
      </c>
    </row>
    <row r="746">
      <c r="B746" s="13" t="str">
        <f>IF($K746="","",738)</f>
        <v/>
      </c>
      <c r="C746" s="13" t="str">
        <f>IF($K746="","",INDEX('Detalle individual'!$A:$A,$K746))</f>
        <v/>
      </c>
      <c r="D746" s="72" t="str">
        <f>IF($K746="","",TRIM(INDEX('Detalle individual'!$B:$B,$K746)))</f>
        <v/>
      </c>
      <c r="E746" s="72" t="str">
        <f>IF($K746="","",TRIM(INDEX('Detalle individual'!$E:$E,$K746)))</f>
        <v/>
      </c>
      <c r="F746" s="72" t="str">
        <f>IF($K746="","",TRIM(INDEX('Detalle individual'!$C:$C,$K746)))</f>
        <v/>
      </c>
      <c r="G746" s="72" t="str">
        <f>IF($K746="","",INDEX('Detalle individual'!$D:$D,$K746))</f>
        <v/>
      </c>
      <c r="H746" s="13" t="str">
        <f>IF($K746="","",INDEX('Detalle individual'!$F:$F,$K746))</f>
        <v/>
      </c>
      <c r="I746" s="20" t="str">
        <f>IF($K746="","",IF(INDEX('Detalle individual'!$F:$F,$K746)="Completado",INDEX('Detalle individual'!$H:$H,$K746),""))</f>
        <v/>
      </c>
      <c r="J746" s="21" t="str">
        <f>IF($K746="","",IF(INDEX('Detalle individual'!$F:$F,$K746)="Completado",INDEX('Detalle individual'!$J:$J,$K746),""))</f>
        <v/>
      </c>
      <c r="K746" t="str">
        <f>IFERROR(MOD(SMALL(Cálculos!$Z$5:$Z$1000,738),10000),"")</f>
        <v/>
      </c>
    </row>
    <row r="747">
      <c r="B747" s="13" t="str">
        <f>IF($K747="","",739)</f>
        <v/>
      </c>
      <c r="C747" s="13" t="str">
        <f>IF($K747="","",INDEX('Detalle individual'!$A:$A,$K747))</f>
        <v/>
      </c>
      <c r="D747" s="72" t="str">
        <f>IF($K747="","",TRIM(INDEX('Detalle individual'!$B:$B,$K747)))</f>
        <v/>
      </c>
      <c r="E747" s="72" t="str">
        <f>IF($K747="","",TRIM(INDEX('Detalle individual'!$E:$E,$K747)))</f>
        <v/>
      </c>
      <c r="F747" s="72" t="str">
        <f>IF($K747="","",TRIM(INDEX('Detalle individual'!$C:$C,$K747)))</f>
        <v/>
      </c>
      <c r="G747" s="72" t="str">
        <f>IF($K747="","",INDEX('Detalle individual'!$D:$D,$K747))</f>
        <v/>
      </c>
      <c r="H747" s="13" t="str">
        <f>IF($K747="","",INDEX('Detalle individual'!$F:$F,$K747))</f>
        <v/>
      </c>
      <c r="I747" s="20" t="str">
        <f>IF($K747="","",IF(INDEX('Detalle individual'!$F:$F,$K747)="Completado",INDEX('Detalle individual'!$H:$H,$K747),""))</f>
        <v/>
      </c>
      <c r="J747" s="21" t="str">
        <f>IF($K747="","",IF(INDEX('Detalle individual'!$F:$F,$K747)="Completado",INDEX('Detalle individual'!$J:$J,$K747),""))</f>
        <v/>
      </c>
      <c r="K747" t="str">
        <f>IFERROR(MOD(SMALL(Cálculos!$Z$5:$Z$1000,739),10000),"")</f>
        <v/>
      </c>
    </row>
    <row r="748">
      <c r="B748" s="13" t="str">
        <f>IF($K748="","",740)</f>
        <v/>
      </c>
      <c r="C748" s="13" t="str">
        <f>IF($K748="","",INDEX('Detalle individual'!$A:$A,$K748))</f>
        <v/>
      </c>
      <c r="D748" s="72" t="str">
        <f>IF($K748="","",TRIM(INDEX('Detalle individual'!$B:$B,$K748)))</f>
        <v/>
      </c>
      <c r="E748" s="72" t="str">
        <f>IF($K748="","",TRIM(INDEX('Detalle individual'!$E:$E,$K748)))</f>
        <v/>
      </c>
      <c r="F748" s="72" t="str">
        <f>IF($K748="","",TRIM(INDEX('Detalle individual'!$C:$C,$K748)))</f>
        <v/>
      </c>
      <c r="G748" s="72" t="str">
        <f>IF($K748="","",INDEX('Detalle individual'!$D:$D,$K748))</f>
        <v/>
      </c>
      <c r="H748" s="13" t="str">
        <f>IF($K748="","",INDEX('Detalle individual'!$F:$F,$K748))</f>
        <v/>
      </c>
      <c r="I748" s="20" t="str">
        <f>IF($K748="","",IF(INDEX('Detalle individual'!$F:$F,$K748)="Completado",INDEX('Detalle individual'!$H:$H,$K748),""))</f>
        <v/>
      </c>
      <c r="J748" s="21" t="str">
        <f>IF($K748="","",IF(INDEX('Detalle individual'!$F:$F,$K748)="Completado",INDEX('Detalle individual'!$J:$J,$K748),""))</f>
        <v/>
      </c>
      <c r="K748" t="str">
        <f>IFERROR(MOD(SMALL(Cálculos!$Z$5:$Z$1000,740),10000),"")</f>
        <v/>
      </c>
    </row>
    <row r="749">
      <c r="B749" s="13" t="str">
        <f>IF($K749="","",741)</f>
        <v/>
      </c>
      <c r="C749" s="13" t="str">
        <f>IF($K749="","",INDEX('Detalle individual'!$A:$A,$K749))</f>
        <v/>
      </c>
      <c r="D749" s="72" t="str">
        <f>IF($K749="","",TRIM(INDEX('Detalle individual'!$B:$B,$K749)))</f>
        <v/>
      </c>
      <c r="E749" s="72" t="str">
        <f>IF($K749="","",TRIM(INDEX('Detalle individual'!$E:$E,$K749)))</f>
        <v/>
      </c>
      <c r="F749" s="72" t="str">
        <f>IF($K749="","",TRIM(INDEX('Detalle individual'!$C:$C,$K749)))</f>
        <v/>
      </c>
      <c r="G749" s="72" t="str">
        <f>IF($K749="","",INDEX('Detalle individual'!$D:$D,$K749))</f>
        <v/>
      </c>
      <c r="H749" s="13" t="str">
        <f>IF($K749="","",INDEX('Detalle individual'!$F:$F,$K749))</f>
        <v/>
      </c>
      <c r="I749" s="20" t="str">
        <f>IF($K749="","",IF(INDEX('Detalle individual'!$F:$F,$K749)="Completado",INDEX('Detalle individual'!$H:$H,$K749),""))</f>
        <v/>
      </c>
      <c r="J749" s="21" t="str">
        <f>IF($K749="","",IF(INDEX('Detalle individual'!$F:$F,$K749)="Completado",INDEX('Detalle individual'!$J:$J,$K749),""))</f>
        <v/>
      </c>
      <c r="K749" t="str">
        <f>IFERROR(MOD(SMALL(Cálculos!$Z$5:$Z$1000,741),10000),"")</f>
        <v/>
      </c>
    </row>
    <row r="750">
      <c r="B750" s="13" t="str">
        <f>IF($K750="","",742)</f>
        <v/>
      </c>
      <c r="C750" s="13" t="str">
        <f>IF($K750="","",INDEX('Detalle individual'!$A:$A,$K750))</f>
        <v/>
      </c>
      <c r="D750" s="72" t="str">
        <f>IF($K750="","",TRIM(INDEX('Detalle individual'!$B:$B,$K750)))</f>
        <v/>
      </c>
      <c r="E750" s="72" t="str">
        <f>IF($K750="","",TRIM(INDEX('Detalle individual'!$E:$E,$K750)))</f>
        <v/>
      </c>
      <c r="F750" s="72" t="str">
        <f>IF($K750="","",TRIM(INDEX('Detalle individual'!$C:$C,$K750)))</f>
        <v/>
      </c>
      <c r="G750" s="72" t="str">
        <f>IF($K750="","",INDEX('Detalle individual'!$D:$D,$K750))</f>
        <v/>
      </c>
      <c r="H750" s="13" t="str">
        <f>IF($K750="","",INDEX('Detalle individual'!$F:$F,$K750))</f>
        <v/>
      </c>
      <c r="I750" s="20" t="str">
        <f>IF($K750="","",IF(INDEX('Detalle individual'!$F:$F,$K750)="Completado",INDEX('Detalle individual'!$H:$H,$K750),""))</f>
        <v/>
      </c>
      <c r="J750" s="21" t="str">
        <f>IF($K750="","",IF(INDEX('Detalle individual'!$F:$F,$K750)="Completado",INDEX('Detalle individual'!$J:$J,$K750),""))</f>
        <v/>
      </c>
      <c r="K750" t="str">
        <f>IFERROR(MOD(SMALL(Cálculos!$Z$5:$Z$1000,742),10000),"")</f>
        <v/>
      </c>
    </row>
    <row r="751">
      <c r="B751" s="13" t="str">
        <f>IF($K751="","",743)</f>
        <v/>
      </c>
      <c r="C751" s="13" t="str">
        <f>IF($K751="","",INDEX('Detalle individual'!$A:$A,$K751))</f>
        <v/>
      </c>
      <c r="D751" s="72" t="str">
        <f>IF($K751="","",TRIM(INDEX('Detalle individual'!$B:$B,$K751)))</f>
        <v/>
      </c>
      <c r="E751" s="72" t="str">
        <f>IF($K751="","",TRIM(INDEX('Detalle individual'!$E:$E,$K751)))</f>
        <v/>
      </c>
      <c r="F751" s="72" t="str">
        <f>IF($K751="","",TRIM(INDEX('Detalle individual'!$C:$C,$K751)))</f>
        <v/>
      </c>
      <c r="G751" s="72" t="str">
        <f>IF($K751="","",INDEX('Detalle individual'!$D:$D,$K751))</f>
        <v/>
      </c>
      <c r="H751" s="13" t="str">
        <f>IF($K751="","",INDEX('Detalle individual'!$F:$F,$K751))</f>
        <v/>
      </c>
      <c r="I751" s="20" t="str">
        <f>IF($K751="","",IF(INDEX('Detalle individual'!$F:$F,$K751)="Completado",INDEX('Detalle individual'!$H:$H,$K751),""))</f>
        <v/>
      </c>
      <c r="J751" s="21" t="str">
        <f>IF($K751="","",IF(INDEX('Detalle individual'!$F:$F,$K751)="Completado",INDEX('Detalle individual'!$J:$J,$K751),""))</f>
        <v/>
      </c>
      <c r="K751" t="str">
        <f>IFERROR(MOD(SMALL(Cálculos!$Z$5:$Z$1000,743),10000),"")</f>
        <v/>
      </c>
    </row>
    <row r="752">
      <c r="B752" s="13" t="str">
        <f>IF($K752="","",744)</f>
        <v/>
      </c>
      <c r="C752" s="13" t="str">
        <f>IF($K752="","",INDEX('Detalle individual'!$A:$A,$K752))</f>
        <v/>
      </c>
      <c r="D752" s="72" t="str">
        <f>IF($K752="","",TRIM(INDEX('Detalle individual'!$B:$B,$K752)))</f>
        <v/>
      </c>
      <c r="E752" s="72" t="str">
        <f>IF($K752="","",TRIM(INDEX('Detalle individual'!$E:$E,$K752)))</f>
        <v/>
      </c>
      <c r="F752" s="72" t="str">
        <f>IF($K752="","",TRIM(INDEX('Detalle individual'!$C:$C,$K752)))</f>
        <v/>
      </c>
      <c r="G752" s="72" t="str">
        <f>IF($K752="","",INDEX('Detalle individual'!$D:$D,$K752))</f>
        <v/>
      </c>
      <c r="H752" s="13" t="str">
        <f>IF($K752="","",INDEX('Detalle individual'!$F:$F,$K752))</f>
        <v/>
      </c>
      <c r="I752" s="20" t="str">
        <f>IF($K752="","",IF(INDEX('Detalle individual'!$F:$F,$K752)="Completado",INDEX('Detalle individual'!$H:$H,$K752),""))</f>
        <v/>
      </c>
      <c r="J752" s="21" t="str">
        <f>IF($K752="","",IF(INDEX('Detalle individual'!$F:$F,$K752)="Completado",INDEX('Detalle individual'!$J:$J,$K752),""))</f>
        <v/>
      </c>
      <c r="K752" t="str">
        <f>IFERROR(MOD(SMALL(Cálculos!$Z$5:$Z$1000,744),10000),"")</f>
        <v/>
      </c>
    </row>
    <row r="753">
      <c r="B753" s="13" t="str">
        <f>IF($K753="","",745)</f>
        <v/>
      </c>
      <c r="C753" s="13" t="str">
        <f>IF($K753="","",INDEX('Detalle individual'!$A:$A,$K753))</f>
        <v/>
      </c>
      <c r="D753" s="72" t="str">
        <f>IF($K753="","",TRIM(INDEX('Detalle individual'!$B:$B,$K753)))</f>
        <v/>
      </c>
      <c r="E753" s="72" t="str">
        <f>IF($K753="","",TRIM(INDEX('Detalle individual'!$E:$E,$K753)))</f>
        <v/>
      </c>
      <c r="F753" s="72" t="str">
        <f>IF($K753="","",TRIM(INDEX('Detalle individual'!$C:$C,$K753)))</f>
        <v/>
      </c>
      <c r="G753" s="72" t="str">
        <f>IF($K753="","",INDEX('Detalle individual'!$D:$D,$K753))</f>
        <v/>
      </c>
      <c r="H753" s="13" t="str">
        <f>IF($K753="","",INDEX('Detalle individual'!$F:$F,$K753))</f>
        <v/>
      </c>
      <c r="I753" s="20" t="str">
        <f>IF($K753="","",IF(INDEX('Detalle individual'!$F:$F,$K753)="Completado",INDEX('Detalle individual'!$H:$H,$K753),""))</f>
        <v/>
      </c>
      <c r="J753" s="21" t="str">
        <f>IF($K753="","",IF(INDEX('Detalle individual'!$F:$F,$K753)="Completado",INDEX('Detalle individual'!$J:$J,$K753),""))</f>
        <v/>
      </c>
      <c r="K753" t="str">
        <f>IFERROR(MOD(SMALL(Cálculos!$Z$5:$Z$1000,745),10000),"")</f>
        <v/>
      </c>
    </row>
    <row r="754">
      <c r="B754" s="13" t="str">
        <f>IF($K754="","",746)</f>
        <v/>
      </c>
      <c r="C754" s="13" t="str">
        <f>IF($K754="","",INDEX('Detalle individual'!$A:$A,$K754))</f>
        <v/>
      </c>
      <c r="D754" s="72" t="str">
        <f>IF($K754="","",TRIM(INDEX('Detalle individual'!$B:$B,$K754)))</f>
        <v/>
      </c>
      <c r="E754" s="72" t="str">
        <f>IF($K754="","",TRIM(INDEX('Detalle individual'!$E:$E,$K754)))</f>
        <v/>
      </c>
      <c r="F754" s="72" t="str">
        <f>IF($K754="","",TRIM(INDEX('Detalle individual'!$C:$C,$K754)))</f>
        <v/>
      </c>
      <c r="G754" s="72" t="str">
        <f>IF($K754="","",INDEX('Detalle individual'!$D:$D,$K754))</f>
        <v/>
      </c>
      <c r="H754" s="13" t="str">
        <f>IF($K754="","",INDEX('Detalle individual'!$F:$F,$K754))</f>
        <v/>
      </c>
      <c r="I754" s="20" t="str">
        <f>IF($K754="","",IF(INDEX('Detalle individual'!$F:$F,$K754)="Completado",INDEX('Detalle individual'!$H:$H,$K754),""))</f>
        <v/>
      </c>
      <c r="J754" s="21" t="str">
        <f>IF($K754="","",IF(INDEX('Detalle individual'!$F:$F,$K754)="Completado",INDEX('Detalle individual'!$J:$J,$K754),""))</f>
        <v/>
      </c>
      <c r="K754" t="str">
        <f>IFERROR(MOD(SMALL(Cálculos!$Z$5:$Z$1000,746),10000),"")</f>
        <v/>
      </c>
    </row>
    <row r="755">
      <c r="B755" s="13" t="str">
        <f>IF($K755="","",747)</f>
        <v/>
      </c>
      <c r="C755" s="13" t="str">
        <f>IF($K755="","",INDEX('Detalle individual'!$A:$A,$K755))</f>
        <v/>
      </c>
      <c r="D755" s="72" t="str">
        <f>IF($K755="","",TRIM(INDEX('Detalle individual'!$B:$B,$K755)))</f>
        <v/>
      </c>
      <c r="E755" s="72" t="str">
        <f>IF($K755="","",TRIM(INDEX('Detalle individual'!$E:$E,$K755)))</f>
        <v/>
      </c>
      <c r="F755" s="72" t="str">
        <f>IF($K755="","",TRIM(INDEX('Detalle individual'!$C:$C,$K755)))</f>
        <v/>
      </c>
      <c r="G755" s="72" t="str">
        <f>IF($K755="","",INDEX('Detalle individual'!$D:$D,$K755))</f>
        <v/>
      </c>
      <c r="H755" s="13" t="str">
        <f>IF($K755="","",INDEX('Detalle individual'!$F:$F,$K755))</f>
        <v/>
      </c>
      <c r="I755" s="20" t="str">
        <f>IF($K755="","",IF(INDEX('Detalle individual'!$F:$F,$K755)="Completado",INDEX('Detalle individual'!$H:$H,$K755),""))</f>
        <v/>
      </c>
      <c r="J755" s="21" t="str">
        <f>IF($K755="","",IF(INDEX('Detalle individual'!$F:$F,$K755)="Completado",INDEX('Detalle individual'!$J:$J,$K755),""))</f>
        <v/>
      </c>
      <c r="K755" t="str">
        <f>IFERROR(MOD(SMALL(Cálculos!$Z$5:$Z$1000,747),10000),"")</f>
        <v/>
      </c>
    </row>
    <row r="756">
      <c r="B756" s="13" t="str">
        <f>IF($K756="","",748)</f>
        <v/>
      </c>
      <c r="C756" s="13" t="str">
        <f>IF($K756="","",INDEX('Detalle individual'!$A:$A,$K756))</f>
        <v/>
      </c>
      <c r="D756" s="72" t="str">
        <f>IF($K756="","",TRIM(INDEX('Detalle individual'!$B:$B,$K756)))</f>
        <v/>
      </c>
      <c r="E756" s="72" t="str">
        <f>IF($K756="","",TRIM(INDEX('Detalle individual'!$E:$E,$K756)))</f>
        <v/>
      </c>
      <c r="F756" s="72" t="str">
        <f>IF($K756="","",TRIM(INDEX('Detalle individual'!$C:$C,$K756)))</f>
        <v/>
      </c>
      <c r="G756" s="72" t="str">
        <f>IF($K756="","",INDEX('Detalle individual'!$D:$D,$K756))</f>
        <v/>
      </c>
      <c r="H756" s="13" t="str">
        <f>IF($K756="","",INDEX('Detalle individual'!$F:$F,$K756))</f>
        <v/>
      </c>
      <c r="I756" s="20" t="str">
        <f>IF($K756="","",IF(INDEX('Detalle individual'!$F:$F,$K756)="Completado",INDEX('Detalle individual'!$H:$H,$K756),""))</f>
        <v/>
      </c>
      <c r="J756" s="21" t="str">
        <f>IF($K756="","",IF(INDEX('Detalle individual'!$F:$F,$K756)="Completado",INDEX('Detalle individual'!$J:$J,$K756),""))</f>
        <v/>
      </c>
      <c r="K756" t="str">
        <f>IFERROR(MOD(SMALL(Cálculos!$Z$5:$Z$1000,748),10000),"")</f>
        <v/>
      </c>
    </row>
    <row r="757">
      <c r="B757" s="13" t="str">
        <f>IF($K757="","",749)</f>
        <v/>
      </c>
      <c r="C757" s="13" t="str">
        <f>IF($K757="","",INDEX('Detalle individual'!$A:$A,$K757))</f>
        <v/>
      </c>
      <c r="D757" s="72" t="str">
        <f>IF($K757="","",TRIM(INDEX('Detalle individual'!$B:$B,$K757)))</f>
        <v/>
      </c>
      <c r="E757" s="72" t="str">
        <f>IF($K757="","",TRIM(INDEX('Detalle individual'!$E:$E,$K757)))</f>
        <v/>
      </c>
      <c r="F757" s="72" t="str">
        <f>IF($K757="","",TRIM(INDEX('Detalle individual'!$C:$C,$K757)))</f>
        <v/>
      </c>
      <c r="G757" s="72" t="str">
        <f>IF($K757="","",INDEX('Detalle individual'!$D:$D,$K757))</f>
        <v/>
      </c>
      <c r="H757" s="13" t="str">
        <f>IF($K757="","",INDEX('Detalle individual'!$F:$F,$K757))</f>
        <v/>
      </c>
      <c r="I757" s="20" t="str">
        <f>IF($K757="","",IF(INDEX('Detalle individual'!$F:$F,$K757)="Completado",INDEX('Detalle individual'!$H:$H,$K757),""))</f>
        <v/>
      </c>
      <c r="J757" s="21" t="str">
        <f>IF($K757="","",IF(INDEX('Detalle individual'!$F:$F,$K757)="Completado",INDEX('Detalle individual'!$J:$J,$K757),""))</f>
        <v/>
      </c>
      <c r="K757" t="str">
        <f>IFERROR(MOD(SMALL(Cálculos!$Z$5:$Z$1000,749),10000),"")</f>
        <v/>
      </c>
    </row>
    <row r="758">
      <c r="B758" s="13" t="str">
        <f>IF($K758="","",750)</f>
        <v/>
      </c>
      <c r="C758" s="13" t="str">
        <f>IF($K758="","",INDEX('Detalle individual'!$A:$A,$K758))</f>
        <v/>
      </c>
      <c r="D758" s="72" t="str">
        <f>IF($K758="","",TRIM(INDEX('Detalle individual'!$B:$B,$K758)))</f>
        <v/>
      </c>
      <c r="E758" s="72" t="str">
        <f>IF($K758="","",TRIM(INDEX('Detalle individual'!$E:$E,$K758)))</f>
        <v/>
      </c>
      <c r="F758" s="72" t="str">
        <f>IF($K758="","",TRIM(INDEX('Detalle individual'!$C:$C,$K758)))</f>
        <v/>
      </c>
      <c r="G758" s="72" t="str">
        <f>IF($K758="","",INDEX('Detalle individual'!$D:$D,$K758))</f>
        <v/>
      </c>
      <c r="H758" s="13" t="str">
        <f>IF($K758="","",INDEX('Detalle individual'!$F:$F,$K758))</f>
        <v/>
      </c>
      <c r="I758" s="20" t="str">
        <f>IF($K758="","",IF(INDEX('Detalle individual'!$F:$F,$K758)="Completado",INDEX('Detalle individual'!$H:$H,$K758),""))</f>
        <v/>
      </c>
      <c r="J758" s="21" t="str">
        <f>IF($K758="","",IF(INDEX('Detalle individual'!$F:$F,$K758)="Completado",INDEX('Detalle individual'!$J:$J,$K758),""))</f>
        <v/>
      </c>
      <c r="K758" t="str">
        <f>IFERROR(MOD(SMALL(Cálculos!$Z$5:$Z$1000,750),10000),"")</f>
        <v/>
      </c>
    </row>
    <row r="759">
      <c r="B759" s="13" t="str">
        <f>IF($K759="","",751)</f>
        <v/>
      </c>
      <c r="C759" s="13" t="str">
        <f>IF($K759="","",INDEX('Detalle individual'!$A:$A,$K759))</f>
        <v/>
      </c>
      <c r="D759" s="72" t="str">
        <f>IF($K759="","",TRIM(INDEX('Detalle individual'!$B:$B,$K759)))</f>
        <v/>
      </c>
      <c r="E759" s="72" t="str">
        <f>IF($K759="","",TRIM(INDEX('Detalle individual'!$E:$E,$K759)))</f>
        <v/>
      </c>
      <c r="F759" s="72" t="str">
        <f>IF($K759="","",TRIM(INDEX('Detalle individual'!$C:$C,$K759)))</f>
        <v/>
      </c>
      <c r="G759" s="72" t="str">
        <f>IF($K759="","",INDEX('Detalle individual'!$D:$D,$K759))</f>
        <v/>
      </c>
      <c r="H759" s="13" t="str">
        <f>IF($K759="","",INDEX('Detalle individual'!$F:$F,$K759))</f>
        <v/>
      </c>
      <c r="I759" s="20" t="str">
        <f>IF($K759="","",IF(INDEX('Detalle individual'!$F:$F,$K759)="Completado",INDEX('Detalle individual'!$H:$H,$K759),""))</f>
        <v/>
      </c>
      <c r="J759" s="21" t="str">
        <f>IF($K759="","",IF(INDEX('Detalle individual'!$F:$F,$K759)="Completado",INDEX('Detalle individual'!$J:$J,$K759),""))</f>
        <v/>
      </c>
      <c r="K759" t="str">
        <f>IFERROR(MOD(SMALL(Cálculos!$Z$5:$Z$1000,751),10000),"")</f>
        <v/>
      </c>
    </row>
    <row r="760">
      <c r="B760" s="13" t="str">
        <f>IF($K760="","",752)</f>
        <v/>
      </c>
      <c r="C760" s="13" t="str">
        <f>IF($K760="","",INDEX('Detalle individual'!$A:$A,$K760))</f>
        <v/>
      </c>
      <c r="D760" s="72" t="str">
        <f>IF($K760="","",TRIM(INDEX('Detalle individual'!$B:$B,$K760)))</f>
        <v/>
      </c>
      <c r="E760" s="72" t="str">
        <f>IF($K760="","",TRIM(INDEX('Detalle individual'!$E:$E,$K760)))</f>
        <v/>
      </c>
      <c r="F760" s="72" t="str">
        <f>IF($K760="","",TRIM(INDEX('Detalle individual'!$C:$C,$K760)))</f>
        <v/>
      </c>
      <c r="G760" s="72" t="str">
        <f>IF($K760="","",INDEX('Detalle individual'!$D:$D,$K760))</f>
        <v/>
      </c>
      <c r="H760" s="13" t="str">
        <f>IF($K760="","",INDEX('Detalle individual'!$F:$F,$K760))</f>
        <v/>
      </c>
      <c r="I760" s="20" t="str">
        <f>IF($K760="","",IF(INDEX('Detalle individual'!$F:$F,$K760)="Completado",INDEX('Detalle individual'!$H:$H,$K760),""))</f>
        <v/>
      </c>
      <c r="J760" s="21" t="str">
        <f>IF($K760="","",IF(INDEX('Detalle individual'!$F:$F,$K760)="Completado",INDEX('Detalle individual'!$J:$J,$K760),""))</f>
        <v/>
      </c>
      <c r="K760" t="str">
        <f>IFERROR(MOD(SMALL(Cálculos!$Z$5:$Z$1000,752),10000),"")</f>
        <v/>
      </c>
    </row>
    <row r="761">
      <c r="B761" s="13" t="str">
        <f>IF($K761="","",753)</f>
        <v/>
      </c>
      <c r="C761" s="13" t="str">
        <f>IF($K761="","",INDEX('Detalle individual'!$A:$A,$K761))</f>
        <v/>
      </c>
      <c r="D761" s="72" t="str">
        <f>IF($K761="","",TRIM(INDEX('Detalle individual'!$B:$B,$K761)))</f>
        <v/>
      </c>
      <c r="E761" s="72" t="str">
        <f>IF($K761="","",TRIM(INDEX('Detalle individual'!$E:$E,$K761)))</f>
        <v/>
      </c>
      <c r="F761" s="72" t="str">
        <f>IF($K761="","",TRIM(INDEX('Detalle individual'!$C:$C,$K761)))</f>
        <v/>
      </c>
      <c r="G761" s="72" t="str">
        <f>IF($K761="","",INDEX('Detalle individual'!$D:$D,$K761))</f>
        <v/>
      </c>
      <c r="H761" s="13" t="str">
        <f>IF($K761="","",INDEX('Detalle individual'!$F:$F,$K761))</f>
        <v/>
      </c>
      <c r="I761" s="20" t="str">
        <f>IF($K761="","",IF(INDEX('Detalle individual'!$F:$F,$K761)="Completado",INDEX('Detalle individual'!$H:$H,$K761),""))</f>
        <v/>
      </c>
      <c r="J761" s="21" t="str">
        <f>IF($K761="","",IF(INDEX('Detalle individual'!$F:$F,$K761)="Completado",INDEX('Detalle individual'!$J:$J,$K761),""))</f>
        <v/>
      </c>
      <c r="K761" t="str">
        <f>IFERROR(MOD(SMALL(Cálculos!$Z$5:$Z$1000,753),10000),"")</f>
        <v/>
      </c>
    </row>
    <row r="762">
      <c r="B762" s="13" t="str">
        <f>IF($K762="","",754)</f>
        <v/>
      </c>
      <c r="C762" s="13" t="str">
        <f>IF($K762="","",INDEX('Detalle individual'!$A:$A,$K762))</f>
        <v/>
      </c>
      <c r="D762" s="72" t="str">
        <f>IF($K762="","",TRIM(INDEX('Detalle individual'!$B:$B,$K762)))</f>
        <v/>
      </c>
      <c r="E762" s="72" t="str">
        <f>IF($K762="","",TRIM(INDEX('Detalle individual'!$E:$E,$K762)))</f>
        <v/>
      </c>
      <c r="F762" s="72" t="str">
        <f>IF($K762="","",TRIM(INDEX('Detalle individual'!$C:$C,$K762)))</f>
        <v/>
      </c>
      <c r="G762" s="72" t="str">
        <f>IF($K762="","",INDEX('Detalle individual'!$D:$D,$K762))</f>
        <v/>
      </c>
      <c r="H762" s="13" t="str">
        <f>IF($K762="","",INDEX('Detalle individual'!$F:$F,$K762))</f>
        <v/>
      </c>
      <c r="I762" s="20" t="str">
        <f>IF($K762="","",IF(INDEX('Detalle individual'!$F:$F,$K762)="Completado",INDEX('Detalle individual'!$H:$H,$K762),""))</f>
        <v/>
      </c>
      <c r="J762" s="21" t="str">
        <f>IF($K762="","",IF(INDEX('Detalle individual'!$F:$F,$K762)="Completado",INDEX('Detalle individual'!$J:$J,$K762),""))</f>
        <v/>
      </c>
      <c r="K762" t="str">
        <f>IFERROR(MOD(SMALL(Cálculos!$Z$5:$Z$1000,754),10000),"")</f>
        <v/>
      </c>
    </row>
    <row r="763">
      <c r="B763" s="13" t="str">
        <f>IF($K763="","",755)</f>
        <v/>
      </c>
      <c r="C763" s="13" t="str">
        <f>IF($K763="","",INDEX('Detalle individual'!$A:$A,$K763))</f>
        <v/>
      </c>
      <c r="D763" s="72" t="str">
        <f>IF($K763="","",TRIM(INDEX('Detalle individual'!$B:$B,$K763)))</f>
        <v/>
      </c>
      <c r="E763" s="72" t="str">
        <f>IF($K763="","",TRIM(INDEX('Detalle individual'!$E:$E,$K763)))</f>
        <v/>
      </c>
      <c r="F763" s="72" t="str">
        <f>IF($K763="","",TRIM(INDEX('Detalle individual'!$C:$C,$K763)))</f>
        <v/>
      </c>
      <c r="G763" s="72" t="str">
        <f>IF($K763="","",INDEX('Detalle individual'!$D:$D,$K763))</f>
        <v/>
      </c>
      <c r="H763" s="13" t="str">
        <f>IF($K763="","",INDEX('Detalle individual'!$F:$F,$K763))</f>
        <v/>
      </c>
      <c r="I763" s="20" t="str">
        <f>IF($K763="","",IF(INDEX('Detalle individual'!$F:$F,$K763)="Completado",INDEX('Detalle individual'!$H:$H,$K763),""))</f>
        <v/>
      </c>
      <c r="J763" s="21" t="str">
        <f>IF($K763="","",IF(INDEX('Detalle individual'!$F:$F,$K763)="Completado",INDEX('Detalle individual'!$J:$J,$K763),""))</f>
        <v/>
      </c>
      <c r="K763" t="str">
        <f>IFERROR(MOD(SMALL(Cálculos!$Z$5:$Z$1000,755),10000),"")</f>
        <v/>
      </c>
    </row>
    <row r="764">
      <c r="B764" s="13" t="str">
        <f>IF($K764="","",756)</f>
        <v/>
      </c>
      <c r="C764" s="13" t="str">
        <f>IF($K764="","",INDEX('Detalle individual'!$A:$A,$K764))</f>
        <v/>
      </c>
      <c r="D764" s="72" t="str">
        <f>IF($K764="","",TRIM(INDEX('Detalle individual'!$B:$B,$K764)))</f>
        <v/>
      </c>
      <c r="E764" s="72" t="str">
        <f>IF($K764="","",TRIM(INDEX('Detalle individual'!$E:$E,$K764)))</f>
        <v/>
      </c>
      <c r="F764" s="72" t="str">
        <f>IF($K764="","",TRIM(INDEX('Detalle individual'!$C:$C,$K764)))</f>
        <v/>
      </c>
      <c r="G764" s="72" t="str">
        <f>IF($K764="","",INDEX('Detalle individual'!$D:$D,$K764))</f>
        <v/>
      </c>
      <c r="H764" s="13" t="str">
        <f>IF($K764="","",INDEX('Detalle individual'!$F:$F,$K764))</f>
        <v/>
      </c>
      <c r="I764" s="20" t="str">
        <f>IF($K764="","",IF(INDEX('Detalle individual'!$F:$F,$K764)="Completado",INDEX('Detalle individual'!$H:$H,$K764),""))</f>
        <v/>
      </c>
      <c r="J764" s="21" t="str">
        <f>IF($K764="","",IF(INDEX('Detalle individual'!$F:$F,$K764)="Completado",INDEX('Detalle individual'!$J:$J,$K764),""))</f>
        <v/>
      </c>
      <c r="K764" t="str">
        <f>IFERROR(MOD(SMALL(Cálculos!$Z$5:$Z$1000,756),10000),"")</f>
        <v/>
      </c>
    </row>
    <row r="765">
      <c r="B765" s="13" t="str">
        <f>IF($K765="","",757)</f>
        <v/>
      </c>
      <c r="C765" s="13" t="str">
        <f>IF($K765="","",INDEX('Detalle individual'!$A:$A,$K765))</f>
        <v/>
      </c>
      <c r="D765" s="72" t="str">
        <f>IF($K765="","",TRIM(INDEX('Detalle individual'!$B:$B,$K765)))</f>
        <v/>
      </c>
      <c r="E765" s="72" t="str">
        <f>IF($K765="","",TRIM(INDEX('Detalle individual'!$E:$E,$K765)))</f>
        <v/>
      </c>
      <c r="F765" s="72" t="str">
        <f>IF($K765="","",TRIM(INDEX('Detalle individual'!$C:$C,$K765)))</f>
        <v/>
      </c>
      <c r="G765" s="72" t="str">
        <f>IF($K765="","",INDEX('Detalle individual'!$D:$D,$K765))</f>
        <v/>
      </c>
      <c r="H765" s="13" t="str">
        <f>IF($K765="","",INDEX('Detalle individual'!$F:$F,$K765))</f>
        <v/>
      </c>
      <c r="I765" s="20" t="str">
        <f>IF($K765="","",IF(INDEX('Detalle individual'!$F:$F,$K765)="Completado",INDEX('Detalle individual'!$H:$H,$K765),""))</f>
        <v/>
      </c>
      <c r="J765" s="21" t="str">
        <f>IF($K765="","",IF(INDEX('Detalle individual'!$F:$F,$K765)="Completado",INDEX('Detalle individual'!$J:$J,$K765),""))</f>
        <v/>
      </c>
      <c r="K765" t="str">
        <f>IFERROR(MOD(SMALL(Cálculos!$Z$5:$Z$1000,757),10000),"")</f>
        <v/>
      </c>
    </row>
    <row r="766">
      <c r="B766" s="13" t="str">
        <f>IF($K766="","",758)</f>
        <v/>
      </c>
      <c r="C766" s="13" t="str">
        <f>IF($K766="","",INDEX('Detalle individual'!$A:$A,$K766))</f>
        <v/>
      </c>
      <c r="D766" s="72" t="str">
        <f>IF($K766="","",TRIM(INDEX('Detalle individual'!$B:$B,$K766)))</f>
        <v/>
      </c>
      <c r="E766" s="72" t="str">
        <f>IF($K766="","",TRIM(INDEX('Detalle individual'!$E:$E,$K766)))</f>
        <v/>
      </c>
      <c r="F766" s="72" t="str">
        <f>IF($K766="","",TRIM(INDEX('Detalle individual'!$C:$C,$K766)))</f>
        <v/>
      </c>
      <c r="G766" s="72" t="str">
        <f>IF($K766="","",INDEX('Detalle individual'!$D:$D,$K766))</f>
        <v/>
      </c>
      <c r="H766" s="13" t="str">
        <f>IF($K766="","",INDEX('Detalle individual'!$F:$F,$K766))</f>
        <v/>
      </c>
      <c r="I766" s="20" t="str">
        <f>IF($K766="","",IF(INDEX('Detalle individual'!$F:$F,$K766)="Completado",INDEX('Detalle individual'!$H:$H,$K766),""))</f>
        <v/>
      </c>
      <c r="J766" s="21" t="str">
        <f>IF($K766="","",IF(INDEX('Detalle individual'!$F:$F,$K766)="Completado",INDEX('Detalle individual'!$J:$J,$K766),""))</f>
        <v/>
      </c>
      <c r="K766" t="str">
        <f>IFERROR(MOD(SMALL(Cálculos!$Z$5:$Z$1000,758),10000),"")</f>
        <v/>
      </c>
    </row>
    <row r="767">
      <c r="B767" s="13" t="str">
        <f>IF($K767="","",759)</f>
        <v/>
      </c>
      <c r="C767" s="13" t="str">
        <f>IF($K767="","",INDEX('Detalle individual'!$A:$A,$K767))</f>
        <v/>
      </c>
      <c r="D767" s="72" t="str">
        <f>IF($K767="","",TRIM(INDEX('Detalle individual'!$B:$B,$K767)))</f>
        <v/>
      </c>
      <c r="E767" s="72" t="str">
        <f>IF($K767="","",TRIM(INDEX('Detalle individual'!$E:$E,$K767)))</f>
        <v/>
      </c>
      <c r="F767" s="72" t="str">
        <f>IF($K767="","",TRIM(INDEX('Detalle individual'!$C:$C,$K767)))</f>
        <v/>
      </c>
      <c r="G767" s="72" t="str">
        <f>IF($K767="","",INDEX('Detalle individual'!$D:$D,$K767))</f>
        <v/>
      </c>
      <c r="H767" s="13" t="str">
        <f>IF($K767="","",INDEX('Detalle individual'!$F:$F,$K767))</f>
        <v/>
      </c>
      <c r="I767" s="20" t="str">
        <f>IF($K767="","",IF(INDEX('Detalle individual'!$F:$F,$K767)="Completado",INDEX('Detalle individual'!$H:$H,$K767),""))</f>
        <v/>
      </c>
      <c r="J767" s="21" t="str">
        <f>IF($K767="","",IF(INDEX('Detalle individual'!$F:$F,$K767)="Completado",INDEX('Detalle individual'!$J:$J,$K767),""))</f>
        <v/>
      </c>
      <c r="K767" t="str">
        <f>IFERROR(MOD(SMALL(Cálculos!$Z$5:$Z$1000,759),10000),"")</f>
        <v/>
      </c>
    </row>
    <row r="768">
      <c r="B768" s="13" t="str">
        <f>IF($K768="","",760)</f>
        <v/>
      </c>
      <c r="C768" s="13" t="str">
        <f>IF($K768="","",INDEX('Detalle individual'!$A:$A,$K768))</f>
        <v/>
      </c>
      <c r="D768" s="72" t="str">
        <f>IF($K768="","",TRIM(INDEX('Detalle individual'!$B:$B,$K768)))</f>
        <v/>
      </c>
      <c r="E768" s="72" t="str">
        <f>IF($K768="","",TRIM(INDEX('Detalle individual'!$E:$E,$K768)))</f>
        <v/>
      </c>
      <c r="F768" s="72" t="str">
        <f>IF($K768="","",TRIM(INDEX('Detalle individual'!$C:$C,$K768)))</f>
        <v/>
      </c>
      <c r="G768" s="72" t="str">
        <f>IF($K768="","",INDEX('Detalle individual'!$D:$D,$K768))</f>
        <v/>
      </c>
      <c r="H768" s="13" t="str">
        <f>IF($K768="","",INDEX('Detalle individual'!$F:$F,$K768))</f>
        <v/>
      </c>
      <c r="I768" s="20" t="str">
        <f>IF($K768="","",IF(INDEX('Detalle individual'!$F:$F,$K768)="Completado",INDEX('Detalle individual'!$H:$H,$K768),""))</f>
        <v/>
      </c>
      <c r="J768" s="21" t="str">
        <f>IF($K768="","",IF(INDEX('Detalle individual'!$F:$F,$K768)="Completado",INDEX('Detalle individual'!$J:$J,$K768),""))</f>
        <v/>
      </c>
      <c r="K768" t="str">
        <f>IFERROR(MOD(SMALL(Cálculos!$Z$5:$Z$1000,760),10000),"")</f>
        <v/>
      </c>
    </row>
    <row r="769">
      <c r="B769" s="13" t="str">
        <f>IF($K769="","",761)</f>
        <v/>
      </c>
      <c r="C769" s="13" t="str">
        <f>IF($K769="","",INDEX('Detalle individual'!$A:$A,$K769))</f>
        <v/>
      </c>
      <c r="D769" s="72" t="str">
        <f>IF($K769="","",TRIM(INDEX('Detalle individual'!$B:$B,$K769)))</f>
        <v/>
      </c>
      <c r="E769" s="72" t="str">
        <f>IF($K769="","",TRIM(INDEX('Detalle individual'!$E:$E,$K769)))</f>
        <v/>
      </c>
      <c r="F769" s="72" t="str">
        <f>IF($K769="","",TRIM(INDEX('Detalle individual'!$C:$C,$K769)))</f>
        <v/>
      </c>
      <c r="G769" s="72" t="str">
        <f>IF($K769="","",INDEX('Detalle individual'!$D:$D,$K769))</f>
        <v/>
      </c>
      <c r="H769" s="13" t="str">
        <f>IF($K769="","",INDEX('Detalle individual'!$F:$F,$K769))</f>
        <v/>
      </c>
      <c r="I769" s="20" t="str">
        <f>IF($K769="","",IF(INDEX('Detalle individual'!$F:$F,$K769)="Completado",INDEX('Detalle individual'!$H:$H,$K769),""))</f>
        <v/>
      </c>
      <c r="J769" s="21" t="str">
        <f>IF($K769="","",IF(INDEX('Detalle individual'!$F:$F,$K769)="Completado",INDEX('Detalle individual'!$J:$J,$K769),""))</f>
        <v/>
      </c>
      <c r="K769" t="str">
        <f>IFERROR(MOD(SMALL(Cálculos!$Z$5:$Z$1000,761),10000),"")</f>
        <v/>
      </c>
    </row>
    <row r="770">
      <c r="B770" s="13" t="str">
        <f>IF($K770="","",762)</f>
        <v/>
      </c>
      <c r="C770" s="13" t="str">
        <f>IF($K770="","",INDEX('Detalle individual'!$A:$A,$K770))</f>
        <v/>
      </c>
      <c r="D770" s="72" t="str">
        <f>IF($K770="","",TRIM(INDEX('Detalle individual'!$B:$B,$K770)))</f>
        <v/>
      </c>
      <c r="E770" s="72" t="str">
        <f>IF($K770="","",TRIM(INDEX('Detalle individual'!$E:$E,$K770)))</f>
        <v/>
      </c>
      <c r="F770" s="72" t="str">
        <f>IF($K770="","",TRIM(INDEX('Detalle individual'!$C:$C,$K770)))</f>
        <v/>
      </c>
      <c r="G770" s="72" t="str">
        <f>IF($K770="","",INDEX('Detalle individual'!$D:$D,$K770))</f>
        <v/>
      </c>
      <c r="H770" s="13" t="str">
        <f>IF($K770="","",INDEX('Detalle individual'!$F:$F,$K770))</f>
        <v/>
      </c>
      <c r="I770" s="20" t="str">
        <f>IF($K770="","",IF(INDEX('Detalle individual'!$F:$F,$K770)="Completado",INDEX('Detalle individual'!$H:$H,$K770),""))</f>
        <v/>
      </c>
      <c r="J770" s="21" t="str">
        <f>IF($K770="","",IF(INDEX('Detalle individual'!$F:$F,$K770)="Completado",INDEX('Detalle individual'!$J:$J,$K770),""))</f>
        <v/>
      </c>
      <c r="K770" t="str">
        <f>IFERROR(MOD(SMALL(Cálculos!$Z$5:$Z$1000,762),10000),"")</f>
        <v/>
      </c>
    </row>
    <row r="771">
      <c r="B771" s="13" t="str">
        <f>IF($K771="","",763)</f>
        <v/>
      </c>
      <c r="C771" s="13" t="str">
        <f>IF($K771="","",INDEX('Detalle individual'!$A:$A,$K771))</f>
        <v/>
      </c>
      <c r="D771" s="72" t="str">
        <f>IF($K771="","",TRIM(INDEX('Detalle individual'!$B:$B,$K771)))</f>
        <v/>
      </c>
      <c r="E771" s="72" t="str">
        <f>IF($K771="","",TRIM(INDEX('Detalle individual'!$E:$E,$K771)))</f>
        <v/>
      </c>
      <c r="F771" s="72" t="str">
        <f>IF($K771="","",TRIM(INDEX('Detalle individual'!$C:$C,$K771)))</f>
        <v/>
      </c>
      <c r="G771" s="72" t="str">
        <f>IF($K771="","",INDEX('Detalle individual'!$D:$D,$K771))</f>
        <v/>
      </c>
      <c r="H771" s="13" t="str">
        <f>IF($K771="","",INDEX('Detalle individual'!$F:$F,$K771))</f>
        <v/>
      </c>
      <c r="I771" s="20" t="str">
        <f>IF($K771="","",IF(INDEX('Detalle individual'!$F:$F,$K771)="Completado",INDEX('Detalle individual'!$H:$H,$K771),""))</f>
        <v/>
      </c>
      <c r="J771" s="21" t="str">
        <f>IF($K771="","",IF(INDEX('Detalle individual'!$F:$F,$K771)="Completado",INDEX('Detalle individual'!$J:$J,$K771),""))</f>
        <v/>
      </c>
      <c r="K771" t="str">
        <f>IFERROR(MOD(SMALL(Cálculos!$Z$5:$Z$1000,763),10000),"")</f>
        <v/>
      </c>
    </row>
    <row r="772">
      <c r="B772" s="13" t="str">
        <f>IF($K772="","",764)</f>
        <v/>
      </c>
      <c r="C772" s="13" t="str">
        <f>IF($K772="","",INDEX('Detalle individual'!$A:$A,$K772))</f>
        <v/>
      </c>
      <c r="D772" s="72" t="str">
        <f>IF($K772="","",TRIM(INDEX('Detalle individual'!$B:$B,$K772)))</f>
        <v/>
      </c>
      <c r="E772" s="72" t="str">
        <f>IF($K772="","",TRIM(INDEX('Detalle individual'!$E:$E,$K772)))</f>
        <v/>
      </c>
      <c r="F772" s="72" t="str">
        <f>IF($K772="","",TRIM(INDEX('Detalle individual'!$C:$C,$K772)))</f>
        <v/>
      </c>
      <c r="G772" s="72" t="str">
        <f>IF($K772="","",INDEX('Detalle individual'!$D:$D,$K772))</f>
        <v/>
      </c>
      <c r="H772" s="13" t="str">
        <f>IF($K772="","",INDEX('Detalle individual'!$F:$F,$K772))</f>
        <v/>
      </c>
      <c r="I772" s="20" t="str">
        <f>IF($K772="","",IF(INDEX('Detalle individual'!$F:$F,$K772)="Completado",INDEX('Detalle individual'!$H:$H,$K772),""))</f>
        <v/>
      </c>
      <c r="J772" s="21" t="str">
        <f>IF($K772="","",IF(INDEX('Detalle individual'!$F:$F,$K772)="Completado",INDEX('Detalle individual'!$J:$J,$K772),""))</f>
        <v/>
      </c>
      <c r="K772" t="str">
        <f>IFERROR(MOD(SMALL(Cálculos!$Z$5:$Z$1000,764),10000),"")</f>
        <v/>
      </c>
    </row>
    <row r="773">
      <c r="B773" s="13" t="str">
        <f>IF($K773="","",765)</f>
        <v/>
      </c>
      <c r="C773" s="13" t="str">
        <f>IF($K773="","",INDEX('Detalle individual'!$A:$A,$K773))</f>
        <v/>
      </c>
      <c r="D773" s="72" t="str">
        <f>IF($K773="","",TRIM(INDEX('Detalle individual'!$B:$B,$K773)))</f>
        <v/>
      </c>
      <c r="E773" s="72" t="str">
        <f>IF($K773="","",TRIM(INDEX('Detalle individual'!$E:$E,$K773)))</f>
        <v/>
      </c>
      <c r="F773" s="72" t="str">
        <f>IF($K773="","",TRIM(INDEX('Detalle individual'!$C:$C,$K773)))</f>
        <v/>
      </c>
      <c r="G773" s="72" t="str">
        <f>IF($K773="","",INDEX('Detalle individual'!$D:$D,$K773))</f>
        <v/>
      </c>
      <c r="H773" s="13" t="str">
        <f>IF($K773="","",INDEX('Detalle individual'!$F:$F,$K773))</f>
        <v/>
      </c>
      <c r="I773" s="20" t="str">
        <f>IF($K773="","",IF(INDEX('Detalle individual'!$F:$F,$K773)="Completado",INDEX('Detalle individual'!$H:$H,$K773),""))</f>
        <v/>
      </c>
      <c r="J773" s="21" t="str">
        <f>IF($K773="","",IF(INDEX('Detalle individual'!$F:$F,$K773)="Completado",INDEX('Detalle individual'!$J:$J,$K773),""))</f>
        <v/>
      </c>
      <c r="K773" t="str">
        <f>IFERROR(MOD(SMALL(Cálculos!$Z$5:$Z$1000,765),10000),"")</f>
        <v/>
      </c>
    </row>
    <row r="774">
      <c r="B774" s="13" t="str">
        <f>IF($K774="","",766)</f>
        <v/>
      </c>
      <c r="C774" s="13" t="str">
        <f>IF($K774="","",INDEX('Detalle individual'!$A:$A,$K774))</f>
        <v/>
      </c>
      <c r="D774" s="72" t="str">
        <f>IF($K774="","",TRIM(INDEX('Detalle individual'!$B:$B,$K774)))</f>
        <v/>
      </c>
      <c r="E774" s="72" t="str">
        <f>IF($K774="","",TRIM(INDEX('Detalle individual'!$E:$E,$K774)))</f>
        <v/>
      </c>
      <c r="F774" s="72" t="str">
        <f>IF($K774="","",TRIM(INDEX('Detalle individual'!$C:$C,$K774)))</f>
        <v/>
      </c>
      <c r="G774" s="72" t="str">
        <f>IF($K774="","",INDEX('Detalle individual'!$D:$D,$K774))</f>
        <v/>
      </c>
      <c r="H774" s="13" t="str">
        <f>IF($K774="","",INDEX('Detalle individual'!$F:$F,$K774))</f>
        <v/>
      </c>
      <c r="I774" s="20" t="str">
        <f>IF($K774="","",IF(INDEX('Detalle individual'!$F:$F,$K774)="Completado",INDEX('Detalle individual'!$H:$H,$K774),""))</f>
        <v/>
      </c>
      <c r="J774" s="21" t="str">
        <f>IF($K774="","",IF(INDEX('Detalle individual'!$F:$F,$K774)="Completado",INDEX('Detalle individual'!$J:$J,$K774),""))</f>
        <v/>
      </c>
      <c r="K774" t="str">
        <f>IFERROR(MOD(SMALL(Cálculos!$Z$5:$Z$1000,766),10000),"")</f>
        <v/>
      </c>
    </row>
    <row r="775">
      <c r="B775" s="13" t="str">
        <f>IF($K775="","",767)</f>
        <v/>
      </c>
      <c r="C775" s="13" t="str">
        <f>IF($K775="","",INDEX('Detalle individual'!$A:$A,$K775))</f>
        <v/>
      </c>
      <c r="D775" s="72" t="str">
        <f>IF($K775="","",TRIM(INDEX('Detalle individual'!$B:$B,$K775)))</f>
        <v/>
      </c>
      <c r="E775" s="72" t="str">
        <f>IF($K775="","",TRIM(INDEX('Detalle individual'!$E:$E,$K775)))</f>
        <v/>
      </c>
      <c r="F775" s="72" t="str">
        <f>IF($K775="","",TRIM(INDEX('Detalle individual'!$C:$C,$K775)))</f>
        <v/>
      </c>
      <c r="G775" s="72" t="str">
        <f>IF($K775="","",INDEX('Detalle individual'!$D:$D,$K775))</f>
        <v/>
      </c>
      <c r="H775" s="13" t="str">
        <f>IF($K775="","",INDEX('Detalle individual'!$F:$F,$K775))</f>
        <v/>
      </c>
      <c r="I775" s="20" t="str">
        <f>IF($K775="","",IF(INDEX('Detalle individual'!$F:$F,$K775)="Completado",INDEX('Detalle individual'!$H:$H,$K775),""))</f>
        <v/>
      </c>
      <c r="J775" s="21" t="str">
        <f>IF($K775="","",IF(INDEX('Detalle individual'!$F:$F,$K775)="Completado",INDEX('Detalle individual'!$J:$J,$K775),""))</f>
        <v/>
      </c>
      <c r="K775" t="str">
        <f>IFERROR(MOD(SMALL(Cálculos!$Z$5:$Z$1000,767),10000),"")</f>
        <v/>
      </c>
    </row>
    <row r="776">
      <c r="B776" s="13" t="str">
        <f>IF($K776="","",768)</f>
        <v/>
      </c>
      <c r="C776" s="13" t="str">
        <f>IF($K776="","",INDEX('Detalle individual'!$A:$A,$K776))</f>
        <v/>
      </c>
      <c r="D776" s="72" t="str">
        <f>IF($K776="","",TRIM(INDEX('Detalle individual'!$B:$B,$K776)))</f>
        <v/>
      </c>
      <c r="E776" s="72" t="str">
        <f>IF($K776="","",TRIM(INDEX('Detalle individual'!$E:$E,$K776)))</f>
        <v/>
      </c>
      <c r="F776" s="72" t="str">
        <f>IF($K776="","",TRIM(INDEX('Detalle individual'!$C:$C,$K776)))</f>
        <v/>
      </c>
      <c r="G776" s="72" t="str">
        <f>IF($K776="","",INDEX('Detalle individual'!$D:$D,$K776))</f>
        <v/>
      </c>
      <c r="H776" s="13" t="str">
        <f>IF($K776="","",INDEX('Detalle individual'!$F:$F,$K776))</f>
        <v/>
      </c>
      <c r="I776" s="20" t="str">
        <f>IF($K776="","",IF(INDEX('Detalle individual'!$F:$F,$K776)="Completado",INDEX('Detalle individual'!$H:$H,$K776),""))</f>
        <v/>
      </c>
      <c r="J776" s="21" t="str">
        <f>IF($K776="","",IF(INDEX('Detalle individual'!$F:$F,$K776)="Completado",INDEX('Detalle individual'!$J:$J,$K776),""))</f>
        <v/>
      </c>
      <c r="K776" t="str">
        <f>IFERROR(MOD(SMALL(Cálculos!$Z$5:$Z$1000,768),10000),"")</f>
        <v/>
      </c>
    </row>
    <row r="777">
      <c r="B777" s="13" t="str">
        <f>IF($K777="","",769)</f>
        <v/>
      </c>
      <c r="C777" s="13" t="str">
        <f>IF($K777="","",INDEX('Detalle individual'!$A:$A,$K777))</f>
        <v/>
      </c>
      <c r="D777" s="72" t="str">
        <f>IF($K777="","",TRIM(INDEX('Detalle individual'!$B:$B,$K777)))</f>
        <v/>
      </c>
      <c r="E777" s="72" t="str">
        <f>IF($K777="","",TRIM(INDEX('Detalle individual'!$E:$E,$K777)))</f>
        <v/>
      </c>
      <c r="F777" s="72" t="str">
        <f>IF($K777="","",TRIM(INDEX('Detalle individual'!$C:$C,$K777)))</f>
        <v/>
      </c>
      <c r="G777" s="72" t="str">
        <f>IF($K777="","",INDEX('Detalle individual'!$D:$D,$K777))</f>
        <v/>
      </c>
      <c r="H777" s="13" t="str">
        <f>IF($K777="","",INDEX('Detalle individual'!$F:$F,$K777))</f>
        <v/>
      </c>
      <c r="I777" s="20" t="str">
        <f>IF($K777="","",IF(INDEX('Detalle individual'!$F:$F,$K777)="Completado",INDEX('Detalle individual'!$H:$H,$K777),""))</f>
        <v/>
      </c>
      <c r="J777" s="21" t="str">
        <f>IF($K777="","",IF(INDEX('Detalle individual'!$F:$F,$K777)="Completado",INDEX('Detalle individual'!$J:$J,$K777),""))</f>
        <v/>
      </c>
      <c r="K777" t="str">
        <f>IFERROR(MOD(SMALL(Cálculos!$Z$5:$Z$1000,769),10000),"")</f>
        <v/>
      </c>
    </row>
    <row r="778">
      <c r="B778" s="13" t="str">
        <f>IF($K778="","",770)</f>
        <v/>
      </c>
      <c r="C778" s="13" t="str">
        <f>IF($K778="","",INDEX('Detalle individual'!$A:$A,$K778))</f>
        <v/>
      </c>
      <c r="D778" s="72" t="str">
        <f>IF($K778="","",TRIM(INDEX('Detalle individual'!$B:$B,$K778)))</f>
        <v/>
      </c>
      <c r="E778" s="72" t="str">
        <f>IF($K778="","",TRIM(INDEX('Detalle individual'!$E:$E,$K778)))</f>
        <v/>
      </c>
      <c r="F778" s="72" t="str">
        <f>IF($K778="","",TRIM(INDEX('Detalle individual'!$C:$C,$K778)))</f>
        <v/>
      </c>
      <c r="G778" s="72" t="str">
        <f>IF($K778="","",INDEX('Detalle individual'!$D:$D,$K778))</f>
        <v/>
      </c>
      <c r="H778" s="13" t="str">
        <f>IF($K778="","",INDEX('Detalle individual'!$F:$F,$K778))</f>
        <v/>
      </c>
      <c r="I778" s="20" t="str">
        <f>IF($K778="","",IF(INDEX('Detalle individual'!$F:$F,$K778)="Completado",INDEX('Detalle individual'!$H:$H,$K778),""))</f>
        <v/>
      </c>
      <c r="J778" s="21" t="str">
        <f>IF($K778="","",IF(INDEX('Detalle individual'!$F:$F,$K778)="Completado",INDEX('Detalle individual'!$J:$J,$K778),""))</f>
        <v/>
      </c>
      <c r="K778" t="str">
        <f>IFERROR(MOD(SMALL(Cálculos!$Z$5:$Z$1000,770),10000),"")</f>
        <v/>
      </c>
    </row>
    <row r="779">
      <c r="B779" s="13" t="str">
        <f>IF($K779="","",771)</f>
        <v/>
      </c>
      <c r="C779" s="13" t="str">
        <f>IF($K779="","",INDEX('Detalle individual'!$A:$A,$K779))</f>
        <v/>
      </c>
      <c r="D779" s="72" t="str">
        <f>IF($K779="","",TRIM(INDEX('Detalle individual'!$B:$B,$K779)))</f>
        <v/>
      </c>
      <c r="E779" s="72" t="str">
        <f>IF($K779="","",TRIM(INDEX('Detalle individual'!$E:$E,$K779)))</f>
        <v/>
      </c>
      <c r="F779" s="72" t="str">
        <f>IF($K779="","",TRIM(INDEX('Detalle individual'!$C:$C,$K779)))</f>
        <v/>
      </c>
      <c r="G779" s="72" t="str">
        <f>IF($K779="","",INDEX('Detalle individual'!$D:$D,$K779))</f>
        <v/>
      </c>
      <c r="H779" s="13" t="str">
        <f>IF($K779="","",INDEX('Detalle individual'!$F:$F,$K779))</f>
        <v/>
      </c>
      <c r="I779" s="20" t="str">
        <f>IF($K779="","",IF(INDEX('Detalle individual'!$F:$F,$K779)="Completado",INDEX('Detalle individual'!$H:$H,$K779),""))</f>
        <v/>
      </c>
      <c r="J779" s="21" t="str">
        <f>IF($K779="","",IF(INDEX('Detalle individual'!$F:$F,$K779)="Completado",INDEX('Detalle individual'!$J:$J,$K779),""))</f>
        <v/>
      </c>
      <c r="K779" t="str">
        <f>IFERROR(MOD(SMALL(Cálculos!$Z$5:$Z$1000,771),10000),"")</f>
        <v/>
      </c>
    </row>
    <row r="780">
      <c r="B780" s="13" t="str">
        <f>IF($K780="","",772)</f>
        <v/>
      </c>
      <c r="C780" s="13" t="str">
        <f>IF($K780="","",INDEX('Detalle individual'!$A:$A,$K780))</f>
        <v/>
      </c>
      <c r="D780" s="72" t="str">
        <f>IF($K780="","",TRIM(INDEX('Detalle individual'!$B:$B,$K780)))</f>
        <v/>
      </c>
      <c r="E780" s="72" t="str">
        <f>IF($K780="","",TRIM(INDEX('Detalle individual'!$E:$E,$K780)))</f>
        <v/>
      </c>
      <c r="F780" s="72" t="str">
        <f>IF($K780="","",TRIM(INDEX('Detalle individual'!$C:$C,$K780)))</f>
        <v/>
      </c>
      <c r="G780" s="72" t="str">
        <f>IF($K780="","",INDEX('Detalle individual'!$D:$D,$K780))</f>
        <v/>
      </c>
      <c r="H780" s="13" t="str">
        <f>IF($K780="","",INDEX('Detalle individual'!$F:$F,$K780))</f>
        <v/>
      </c>
      <c r="I780" s="20" t="str">
        <f>IF($K780="","",IF(INDEX('Detalle individual'!$F:$F,$K780)="Completado",INDEX('Detalle individual'!$H:$H,$K780),""))</f>
        <v/>
      </c>
      <c r="J780" s="21" t="str">
        <f>IF($K780="","",IF(INDEX('Detalle individual'!$F:$F,$K780)="Completado",INDEX('Detalle individual'!$J:$J,$K780),""))</f>
        <v/>
      </c>
      <c r="K780" t="str">
        <f>IFERROR(MOD(SMALL(Cálculos!$Z$5:$Z$1000,772),10000),"")</f>
        <v/>
      </c>
    </row>
    <row r="781">
      <c r="B781" s="13" t="str">
        <f>IF($K781="","",773)</f>
        <v/>
      </c>
      <c r="C781" s="13" t="str">
        <f>IF($K781="","",INDEX('Detalle individual'!$A:$A,$K781))</f>
        <v/>
      </c>
      <c r="D781" s="72" t="str">
        <f>IF($K781="","",TRIM(INDEX('Detalle individual'!$B:$B,$K781)))</f>
        <v/>
      </c>
      <c r="E781" s="72" t="str">
        <f>IF($K781="","",TRIM(INDEX('Detalle individual'!$E:$E,$K781)))</f>
        <v/>
      </c>
      <c r="F781" s="72" t="str">
        <f>IF($K781="","",TRIM(INDEX('Detalle individual'!$C:$C,$K781)))</f>
        <v/>
      </c>
      <c r="G781" s="72" t="str">
        <f>IF($K781="","",INDEX('Detalle individual'!$D:$D,$K781))</f>
        <v/>
      </c>
      <c r="H781" s="13" t="str">
        <f>IF($K781="","",INDEX('Detalle individual'!$F:$F,$K781))</f>
        <v/>
      </c>
      <c r="I781" s="20" t="str">
        <f>IF($K781="","",IF(INDEX('Detalle individual'!$F:$F,$K781)="Completado",INDEX('Detalle individual'!$H:$H,$K781),""))</f>
        <v/>
      </c>
      <c r="J781" s="21" t="str">
        <f>IF($K781="","",IF(INDEX('Detalle individual'!$F:$F,$K781)="Completado",INDEX('Detalle individual'!$J:$J,$K781),""))</f>
        <v/>
      </c>
      <c r="K781" t="str">
        <f>IFERROR(MOD(SMALL(Cálculos!$Z$5:$Z$1000,773),10000),"")</f>
        <v/>
      </c>
    </row>
    <row r="782">
      <c r="B782" s="13" t="str">
        <f>IF($K782="","",774)</f>
        <v/>
      </c>
      <c r="C782" s="13" t="str">
        <f>IF($K782="","",INDEX('Detalle individual'!$A:$A,$K782))</f>
        <v/>
      </c>
      <c r="D782" s="72" t="str">
        <f>IF($K782="","",TRIM(INDEX('Detalle individual'!$B:$B,$K782)))</f>
        <v/>
      </c>
      <c r="E782" s="72" t="str">
        <f>IF($K782="","",TRIM(INDEX('Detalle individual'!$E:$E,$K782)))</f>
        <v/>
      </c>
      <c r="F782" s="72" t="str">
        <f>IF($K782="","",TRIM(INDEX('Detalle individual'!$C:$C,$K782)))</f>
        <v/>
      </c>
      <c r="G782" s="72" t="str">
        <f>IF($K782="","",INDEX('Detalle individual'!$D:$D,$K782))</f>
        <v/>
      </c>
      <c r="H782" s="13" t="str">
        <f>IF($K782="","",INDEX('Detalle individual'!$F:$F,$K782))</f>
        <v/>
      </c>
      <c r="I782" s="20" t="str">
        <f>IF($K782="","",IF(INDEX('Detalle individual'!$F:$F,$K782)="Completado",INDEX('Detalle individual'!$H:$H,$K782),""))</f>
        <v/>
      </c>
      <c r="J782" s="21" t="str">
        <f>IF($K782="","",IF(INDEX('Detalle individual'!$F:$F,$K782)="Completado",INDEX('Detalle individual'!$J:$J,$K782),""))</f>
        <v/>
      </c>
      <c r="K782" t="str">
        <f>IFERROR(MOD(SMALL(Cálculos!$Z$5:$Z$1000,774),10000),"")</f>
        <v/>
      </c>
    </row>
    <row r="783">
      <c r="B783" s="13" t="str">
        <f>IF($K783="","",775)</f>
        <v/>
      </c>
      <c r="C783" s="13" t="str">
        <f>IF($K783="","",INDEX('Detalle individual'!$A:$A,$K783))</f>
        <v/>
      </c>
      <c r="D783" s="72" t="str">
        <f>IF($K783="","",TRIM(INDEX('Detalle individual'!$B:$B,$K783)))</f>
        <v/>
      </c>
      <c r="E783" s="72" t="str">
        <f>IF($K783="","",TRIM(INDEX('Detalle individual'!$E:$E,$K783)))</f>
        <v/>
      </c>
      <c r="F783" s="72" t="str">
        <f>IF($K783="","",TRIM(INDEX('Detalle individual'!$C:$C,$K783)))</f>
        <v/>
      </c>
      <c r="G783" s="72" t="str">
        <f>IF($K783="","",INDEX('Detalle individual'!$D:$D,$K783))</f>
        <v/>
      </c>
      <c r="H783" s="13" t="str">
        <f>IF($K783="","",INDEX('Detalle individual'!$F:$F,$K783))</f>
        <v/>
      </c>
      <c r="I783" s="20" t="str">
        <f>IF($K783="","",IF(INDEX('Detalle individual'!$F:$F,$K783)="Completado",INDEX('Detalle individual'!$H:$H,$K783),""))</f>
        <v/>
      </c>
      <c r="J783" s="21" t="str">
        <f>IF($K783="","",IF(INDEX('Detalle individual'!$F:$F,$K783)="Completado",INDEX('Detalle individual'!$J:$J,$K783),""))</f>
        <v/>
      </c>
      <c r="K783" t="str">
        <f>IFERROR(MOD(SMALL(Cálculos!$Z$5:$Z$1000,775),10000),"")</f>
        <v/>
      </c>
    </row>
    <row r="784">
      <c r="B784" s="13" t="str">
        <f>IF($K784="","",776)</f>
        <v/>
      </c>
      <c r="C784" s="13" t="str">
        <f>IF($K784="","",INDEX('Detalle individual'!$A:$A,$K784))</f>
        <v/>
      </c>
      <c r="D784" s="72" t="str">
        <f>IF($K784="","",TRIM(INDEX('Detalle individual'!$B:$B,$K784)))</f>
        <v/>
      </c>
      <c r="E784" s="72" t="str">
        <f>IF($K784="","",TRIM(INDEX('Detalle individual'!$E:$E,$K784)))</f>
        <v/>
      </c>
      <c r="F784" s="72" t="str">
        <f>IF($K784="","",TRIM(INDEX('Detalle individual'!$C:$C,$K784)))</f>
        <v/>
      </c>
      <c r="G784" s="72" t="str">
        <f>IF($K784="","",INDEX('Detalle individual'!$D:$D,$K784))</f>
        <v/>
      </c>
      <c r="H784" s="13" t="str">
        <f>IF($K784="","",INDEX('Detalle individual'!$F:$F,$K784))</f>
        <v/>
      </c>
      <c r="I784" s="20" t="str">
        <f>IF($K784="","",IF(INDEX('Detalle individual'!$F:$F,$K784)="Completado",INDEX('Detalle individual'!$H:$H,$K784),""))</f>
        <v/>
      </c>
      <c r="J784" s="21" t="str">
        <f>IF($K784="","",IF(INDEX('Detalle individual'!$F:$F,$K784)="Completado",INDEX('Detalle individual'!$J:$J,$K784),""))</f>
        <v/>
      </c>
      <c r="K784" t="str">
        <f>IFERROR(MOD(SMALL(Cálculos!$Z$5:$Z$1000,776),10000),"")</f>
        <v/>
      </c>
    </row>
    <row r="785">
      <c r="B785" s="13" t="str">
        <f>IF($K785="","",777)</f>
        <v/>
      </c>
      <c r="C785" s="13" t="str">
        <f>IF($K785="","",INDEX('Detalle individual'!$A:$A,$K785))</f>
        <v/>
      </c>
      <c r="D785" s="72" t="str">
        <f>IF($K785="","",TRIM(INDEX('Detalle individual'!$B:$B,$K785)))</f>
        <v/>
      </c>
      <c r="E785" s="72" t="str">
        <f>IF($K785="","",TRIM(INDEX('Detalle individual'!$E:$E,$K785)))</f>
        <v/>
      </c>
      <c r="F785" s="72" t="str">
        <f>IF($K785="","",TRIM(INDEX('Detalle individual'!$C:$C,$K785)))</f>
        <v/>
      </c>
      <c r="G785" s="72" t="str">
        <f>IF($K785="","",INDEX('Detalle individual'!$D:$D,$K785))</f>
        <v/>
      </c>
      <c r="H785" s="13" t="str">
        <f>IF($K785="","",INDEX('Detalle individual'!$F:$F,$K785))</f>
        <v/>
      </c>
      <c r="I785" s="20" t="str">
        <f>IF($K785="","",IF(INDEX('Detalle individual'!$F:$F,$K785)="Completado",INDEX('Detalle individual'!$H:$H,$K785),""))</f>
        <v/>
      </c>
      <c r="J785" s="21" t="str">
        <f>IF($K785="","",IF(INDEX('Detalle individual'!$F:$F,$K785)="Completado",INDEX('Detalle individual'!$J:$J,$K785),""))</f>
        <v/>
      </c>
      <c r="K785" t="str">
        <f>IFERROR(MOD(SMALL(Cálculos!$Z$5:$Z$1000,777),10000),"")</f>
        <v/>
      </c>
    </row>
    <row r="786">
      <c r="B786" s="13" t="str">
        <f>IF($K786="","",778)</f>
        <v/>
      </c>
      <c r="C786" s="13" t="str">
        <f>IF($K786="","",INDEX('Detalle individual'!$A:$A,$K786))</f>
        <v/>
      </c>
      <c r="D786" s="72" t="str">
        <f>IF($K786="","",TRIM(INDEX('Detalle individual'!$B:$B,$K786)))</f>
        <v/>
      </c>
      <c r="E786" s="72" t="str">
        <f>IF($K786="","",TRIM(INDEX('Detalle individual'!$E:$E,$K786)))</f>
        <v/>
      </c>
      <c r="F786" s="72" t="str">
        <f>IF($K786="","",TRIM(INDEX('Detalle individual'!$C:$C,$K786)))</f>
        <v/>
      </c>
      <c r="G786" s="72" t="str">
        <f>IF($K786="","",INDEX('Detalle individual'!$D:$D,$K786))</f>
        <v/>
      </c>
      <c r="H786" s="13" t="str">
        <f>IF($K786="","",INDEX('Detalle individual'!$F:$F,$K786))</f>
        <v/>
      </c>
      <c r="I786" s="20" t="str">
        <f>IF($K786="","",IF(INDEX('Detalle individual'!$F:$F,$K786)="Completado",INDEX('Detalle individual'!$H:$H,$K786),""))</f>
        <v/>
      </c>
      <c r="J786" s="21" t="str">
        <f>IF($K786="","",IF(INDEX('Detalle individual'!$F:$F,$K786)="Completado",INDEX('Detalle individual'!$J:$J,$K786),""))</f>
        <v/>
      </c>
      <c r="K786" t="str">
        <f>IFERROR(MOD(SMALL(Cálculos!$Z$5:$Z$1000,778),10000),"")</f>
        <v/>
      </c>
    </row>
    <row r="787">
      <c r="B787" s="13" t="str">
        <f>IF($K787="","",779)</f>
        <v/>
      </c>
      <c r="C787" s="13" t="str">
        <f>IF($K787="","",INDEX('Detalle individual'!$A:$A,$K787))</f>
        <v/>
      </c>
      <c r="D787" s="72" t="str">
        <f>IF($K787="","",TRIM(INDEX('Detalle individual'!$B:$B,$K787)))</f>
        <v/>
      </c>
      <c r="E787" s="72" t="str">
        <f>IF($K787="","",TRIM(INDEX('Detalle individual'!$E:$E,$K787)))</f>
        <v/>
      </c>
      <c r="F787" s="72" t="str">
        <f>IF($K787="","",TRIM(INDEX('Detalle individual'!$C:$C,$K787)))</f>
        <v/>
      </c>
      <c r="G787" s="72" t="str">
        <f>IF($K787="","",INDEX('Detalle individual'!$D:$D,$K787))</f>
        <v/>
      </c>
      <c r="H787" s="13" t="str">
        <f>IF($K787="","",INDEX('Detalle individual'!$F:$F,$K787))</f>
        <v/>
      </c>
      <c r="I787" s="20" t="str">
        <f>IF($K787="","",IF(INDEX('Detalle individual'!$F:$F,$K787)="Completado",INDEX('Detalle individual'!$H:$H,$K787),""))</f>
        <v/>
      </c>
      <c r="J787" s="21" t="str">
        <f>IF($K787="","",IF(INDEX('Detalle individual'!$F:$F,$K787)="Completado",INDEX('Detalle individual'!$J:$J,$K787),""))</f>
        <v/>
      </c>
      <c r="K787" t="str">
        <f>IFERROR(MOD(SMALL(Cálculos!$Z$5:$Z$1000,779),10000),"")</f>
        <v/>
      </c>
    </row>
    <row r="788">
      <c r="B788" s="13" t="str">
        <f>IF($K788="","",780)</f>
        <v/>
      </c>
      <c r="C788" s="13" t="str">
        <f>IF($K788="","",INDEX('Detalle individual'!$A:$A,$K788))</f>
        <v/>
      </c>
      <c r="D788" s="72" t="str">
        <f>IF($K788="","",TRIM(INDEX('Detalle individual'!$B:$B,$K788)))</f>
        <v/>
      </c>
      <c r="E788" s="72" t="str">
        <f>IF($K788="","",TRIM(INDEX('Detalle individual'!$E:$E,$K788)))</f>
        <v/>
      </c>
      <c r="F788" s="72" t="str">
        <f>IF($K788="","",TRIM(INDEX('Detalle individual'!$C:$C,$K788)))</f>
        <v/>
      </c>
      <c r="G788" s="72" t="str">
        <f>IF($K788="","",INDEX('Detalle individual'!$D:$D,$K788))</f>
        <v/>
      </c>
      <c r="H788" s="13" t="str">
        <f>IF($K788="","",INDEX('Detalle individual'!$F:$F,$K788))</f>
        <v/>
      </c>
      <c r="I788" s="20" t="str">
        <f>IF($K788="","",IF(INDEX('Detalle individual'!$F:$F,$K788)="Completado",INDEX('Detalle individual'!$H:$H,$K788),""))</f>
        <v/>
      </c>
      <c r="J788" s="21" t="str">
        <f>IF($K788="","",IF(INDEX('Detalle individual'!$F:$F,$K788)="Completado",INDEX('Detalle individual'!$J:$J,$K788),""))</f>
        <v/>
      </c>
      <c r="K788" t="str">
        <f>IFERROR(MOD(SMALL(Cálculos!$Z$5:$Z$1000,780),10000),"")</f>
        <v/>
      </c>
    </row>
    <row r="789">
      <c r="B789" s="13" t="str">
        <f>IF($K789="","",781)</f>
        <v/>
      </c>
      <c r="C789" s="13" t="str">
        <f>IF($K789="","",INDEX('Detalle individual'!$A:$A,$K789))</f>
        <v/>
      </c>
      <c r="D789" s="72" t="str">
        <f>IF($K789="","",TRIM(INDEX('Detalle individual'!$B:$B,$K789)))</f>
        <v/>
      </c>
      <c r="E789" s="72" t="str">
        <f>IF($K789="","",TRIM(INDEX('Detalle individual'!$E:$E,$K789)))</f>
        <v/>
      </c>
      <c r="F789" s="72" t="str">
        <f>IF($K789="","",TRIM(INDEX('Detalle individual'!$C:$C,$K789)))</f>
        <v/>
      </c>
      <c r="G789" s="72" t="str">
        <f>IF($K789="","",INDEX('Detalle individual'!$D:$D,$K789))</f>
        <v/>
      </c>
      <c r="H789" s="13" t="str">
        <f>IF($K789="","",INDEX('Detalle individual'!$F:$F,$K789))</f>
        <v/>
      </c>
      <c r="I789" s="20" t="str">
        <f>IF($K789="","",IF(INDEX('Detalle individual'!$F:$F,$K789)="Completado",INDEX('Detalle individual'!$H:$H,$K789),""))</f>
        <v/>
      </c>
      <c r="J789" s="21" t="str">
        <f>IF($K789="","",IF(INDEX('Detalle individual'!$F:$F,$K789)="Completado",INDEX('Detalle individual'!$J:$J,$K789),""))</f>
        <v/>
      </c>
      <c r="K789" t="str">
        <f>IFERROR(MOD(SMALL(Cálculos!$Z$5:$Z$1000,781),10000),"")</f>
        <v/>
      </c>
    </row>
    <row r="790">
      <c r="B790" s="13" t="str">
        <f>IF($K790="","",782)</f>
        <v/>
      </c>
      <c r="C790" s="13" t="str">
        <f>IF($K790="","",INDEX('Detalle individual'!$A:$A,$K790))</f>
        <v/>
      </c>
      <c r="D790" s="72" t="str">
        <f>IF($K790="","",TRIM(INDEX('Detalle individual'!$B:$B,$K790)))</f>
        <v/>
      </c>
      <c r="E790" s="72" t="str">
        <f>IF($K790="","",TRIM(INDEX('Detalle individual'!$E:$E,$K790)))</f>
        <v/>
      </c>
      <c r="F790" s="72" t="str">
        <f>IF($K790="","",TRIM(INDEX('Detalle individual'!$C:$C,$K790)))</f>
        <v/>
      </c>
      <c r="G790" s="72" t="str">
        <f>IF($K790="","",INDEX('Detalle individual'!$D:$D,$K790))</f>
        <v/>
      </c>
      <c r="H790" s="13" t="str">
        <f>IF($K790="","",INDEX('Detalle individual'!$F:$F,$K790))</f>
        <v/>
      </c>
      <c r="I790" s="20" t="str">
        <f>IF($K790="","",IF(INDEX('Detalle individual'!$F:$F,$K790)="Completado",INDEX('Detalle individual'!$H:$H,$K790),""))</f>
        <v/>
      </c>
      <c r="J790" s="21" t="str">
        <f>IF($K790="","",IF(INDEX('Detalle individual'!$F:$F,$K790)="Completado",INDEX('Detalle individual'!$J:$J,$K790),""))</f>
        <v/>
      </c>
      <c r="K790" t="str">
        <f>IFERROR(MOD(SMALL(Cálculos!$Z$5:$Z$1000,782),10000),"")</f>
        <v/>
      </c>
    </row>
    <row r="791">
      <c r="B791" s="13" t="str">
        <f>IF($K791="","",783)</f>
        <v/>
      </c>
      <c r="C791" s="13" t="str">
        <f>IF($K791="","",INDEX('Detalle individual'!$A:$A,$K791))</f>
        <v/>
      </c>
      <c r="D791" s="72" t="str">
        <f>IF($K791="","",TRIM(INDEX('Detalle individual'!$B:$B,$K791)))</f>
        <v/>
      </c>
      <c r="E791" s="72" t="str">
        <f>IF($K791="","",TRIM(INDEX('Detalle individual'!$E:$E,$K791)))</f>
        <v/>
      </c>
      <c r="F791" s="72" t="str">
        <f>IF($K791="","",TRIM(INDEX('Detalle individual'!$C:$C,$K791)))</f>
        <v/>
      </c>
      <c r="G791" s="72" t="str">
        <f>IF($K791="","",INDEX('Detalle individual'!$D:$D,$K791))</f>
        <v/>
      </c>
      <c r="H791" s="13" t="str">
        <f>IF($K791="","",INDEX('Detalle individual'!$F:$F,$K791))</f>
        <v/>
      </c>
      <c r="I791" s="20" t="str">
        <f>IF($K791="","",IF(INDEX('Detalle individual'!$F:$F,$K791)="Completado",INDEX('Detalle individual'!$H:$H,$K791),""))</f>
        <v/>
      </c>
      <c r="J791" s="21" t="str">
        <f>IF($K791="","",IF(INDEX('Detalle individual'!$F:$F,$K791)="Completado",INDEX('Detalle individual'!$J:$J,$K791),""))</f>
        <v/>
      </c>
      <c r="K791" t="str">
        <f>IFERROR(MOD(SMALL(Cálculos!$Z$5:$Z$1000,783),10000),"")</f>
        <v/>
      </c>
    </row>
    <row r="792">
      <c r="B792" s="13" t="str">
        <f>IF($K792="","",784)</f>
        <v/>
      </c>
      <c r="C792" s="13" t="str">
        <f>IF($K792="","",INDEX('Detalle individual'!$A:$A,$K792))</f>
        <v/>
      </c>
      <c r="D792" s="72" t="str">
        <f>IF($K792="","",TRIM(INDEX('Detalle individual'!$B:$B,$K792)))</f>
        <v/>
      </c>
      <c r="E792" s="72" t="str">
        <f>IF($K792="","",TRIM(INDEX('Detalle individual'!$E:$E,$K792)))</f>
        <v/>
      </c>
      <c r="F792" s="72" t="str">
        <f>IF($K792="","",TRIM(INDEX('Detalle individual'!$C:$C,$K792)))</f>
        <v/>
      </c>
      <c r="G792" s="72" t="str">
        <f>IF($K792="","",INDEX('Detalle individual'!$D:$D,$K792))</f>
        <v/>
      </c>
      <c r="H792" s="13" t="str">
        <f>IF($K792="","",INDEX('Detalle individual'!$F:$F,$K792))</f>
        <v/>
      </c>
      <c r="I792" s="20" t="str">
        <f>IF($K792="","",IF(INDEX('Detalle individual'!$F:$F,$K792)="Completado",INDEX('Detalle individual'!$H:$H,$K792),""))</f>
        <v/>
      </c>
      <c r="J792" s="21" t="str">
        <f>IF($K792="","",IF(INDEX('Detalle individual'!$F:$F,$K792)="Completado",INDEX('Detalle individual'!$J:$J,$K792),""))</f>
        <v/>
      </c>
      <c r="K792" t="str">
        <f>IFERROR(MOD(SMALL(Cálculos!$Z$5:$Z$1000,784),10000),"")</f>
        <v/>
      </c>
    </row>
    <row r="793">
      <c r="B793" s="13" t="str">
        <f>IF($K793="","",785)</f>
        <v/>
      </c>
      <c r="C793" s="13" t="str">
        <f>IF($K793="","",INDEX('Detalle individual'!$A:$A,$K793))</f>
        <v/>
      </c>
      <c r="D793" s="72" t="str">
        <f>IF($K793="","",TRIM(INDEX('Detalle individual'!$B:$B,$K793)))</f>
        <v/>
      </c>
      <c r="E793" s="72" t="str">
        <f>IF($K793="","",TRIM(INDEX('Detalle individual'!$E:$E,$K793)))</f>
        <v/>
      </c>
      <c r="F793" s="72" t="str">
        <f>IF($K793="","",TRIM(INDEX('Detalle individual'!$C:$C,$K793)))</f>
        <v/>
      </c>
      <c r="G793" s="72" t="str">
        <f>IF($K793="","",INDEX('Detalle individual'!$D:$D,$K793))</f>
        <v/>
      </c>
      <c r="H793" s="13" t="str">
        <f>IF($K793="","",INDEX('Detalle individual'!$F:$F,$K793))</f>
        <v/>
      </c>
      <c r="I793" s="20" t="str">
        <f>IF($K793="","",IF(INDEX('Detalle individual'!$F:$F,$K793)="Completado",INDEX('Detalle individual'!$H:$H,$K793),""))</f>
        <v/>
      </c>
      <c r="J793" s="21" t="str">
        <f>IF($K793="","",IF(INDEX('Detalle individual'!$F:$F,$K793)="Completado",INDEX('Detalle individual'!$J:$J,$K793),""))</f>
        <v/>
      </c>
      <c r="K793" t="str">
        <f>IFERROR(MOD(SMALL(Cálculos!$Z$5:$Z$1000,785),10000),"")</f>
        <v/>
      </c>
    </row>
    <row r="794">
      <c r="B794" s="13" t="str">
        <f>IF($K794="","",786)</f>
        <v/>
      </c>
      <c r="C794" s="13" t="str">
        <f>IF($K794="","",INDEX('Detalle individual'!$A:$A,$K794))</f>
        <v/>
      </c>
      <c r="D794" s="72" t="str">
        <f>IF($K794="","",TRIM(INDEX('Detalle individual'!$B:$B,$K794)))</f>
        <v/>
      </c>
      <c r="E794" s="72" t="str">
        <f>IF($K794="","",TRIM(INDEX('Detalle individual'!$E:$E,$K794)))</f>
        <v/>
      </c>
      <c r="F794" s="72" t="str">
        <f>IF($K794="","",TRIM(INDEX('Detalle individual'!$C:$C,$K794)))</f>
        <v/>
      </c>
      <c r="G794" s="72" t="str">
        <f>IF($K794="","",INDEX('Detalle individual'!$D:$D,$K794))</f>
        <v/>
      </c>
      <c r="H794" s="13" t="str">
        <f>IF($K794="","",INDEX('Detalle individual'!$F:$F,$K794))</f>
        <v/>
      </c>
      <c r="I794" s="20" t="str">
        <f>IF($K794="","",IF(INDEX('Detalle individual'!$F:$F,$K794)="Completado",INDEX('Detalle individual'!$H:$H,$K794),""))</f>
        <v/>
      </c>
      <c r="J794" s="21" t="str">
        <f>IF($K794="","",IF(INDEX('Detalle individual'!$F:$F,$K794)="Completado",INDEX('Detalle individual'!$J:$J,$K794),""))</f>
        <v/>
      </c>
      <c r="K794" t="str">
        <f>IFERROR(MOD(SMALL(Cálculos!$Z$5:$Z$1000,786),10000),"")</f>
        <v/>
      </c>
    </row>
    <row r="795">
      <c r="B795" s="13" t="str">
        <f>IF($K795="","",787)</f>
        <v/>
      </c>
      <c r="C795" s="13" t="str">
        <f>IF($K795="","",INDEX('Detalle individual'!$A:$A,$K795))</f>
        <v/>
      </c>
      <c r="D795" s="72" t="str">
        <f>IF($K795="","",TRIM(INDEX('Detalle individual'!$B:$B,$K795)))</f>
        <v/>
      </c>
      <c r="E795" s="72" t="str">
        <f>IF($K795="","",TRIM(INDEX('Detalle individual'!$E:$E,$K795)))</f>
        <v/>
      </c>
      <c r="F795" s="72" t="str">
        <f>IF($K795="","",TRIM(INDEX('Detalle individual'!$C:$C,$K795)))</f>
        <v/>
      </c>
      <c r="G795" s="72" t="str">
        <f>IF($K795="","",INDEX('Detalle individual'!$D:$D,$K795))</f>
        <v/>
      </c>
      <c r="H795" s="13" t="str">
        <f>IF($K795="","",INDEX('Detalle individual'!$F:$F,$K795))</f>
        <v/>
      </c>
      <c r="I795" s="20" t="str">
        <f>IF($K795="","",IF(INDEX('Detalle individual'!$F:$F,$K795)="Completado",INDEX('Detalle individual'!$H:$H,$K795),""))</f>
        <v/>
      </c>
      <c r="J795" s="21" t="str">
        <f>IF($K795="","",IF(INDEX('Detalle individual'!$F:$F,$K795)="Completado",INDEX('Detalle individual'!$J:$J,$K795),""))</f>
        <v/>
      </c>
      <c r="K795" t="str">
        <f>IFERROR(MOD(SMALL(Cálculos!$Z$5:$Z$1000,787),10000),"")</f>
        <v/>
      </c>
    </row>
    <row r="796">
      <c r="B796" s="13" t="str">
        <f>IF($K796="","",788)</f>
        <v/>
      </c>
      <c r="C796" s="13" t="str">
        <f>IF($K796="","",INDEX('Detalle individual'!$A:$A,$K796))</f>
        <v/>
      </c>
      <c r="D796" s="72" t="str">
        <f>IF($K796="","",TRIM(INDEX('Detalle individual'!$B:$B,$K796)))</f>
        <v/>
      </c>
      <c r="E796" s="72" t="str">
        <f>IF($K796="","",TRIM(INDEX('Detalle individual'!$E:$E,$K796)))</f>
        <v/>
      </c>
      <c r="F796" s="72" t="str">
        <f>IF($K796="","",TRIM(INDEX('Detalle individual'!$C:$C,$K796)))</f>
        <v/>
      </c>
      <c r="G796" s="72" t="str">
        <f>IF($K796="","",INDEX('Detalle individual'!$D:$D,$K796))</f>
        <v/>
      </c>
      <c r="H796" s="13" t="str">
        <f>IF($K796="","",INDEX('Detalle individual'!$F:$F,$K796))</f>
        <v/>
      </c>
      <c r="I796" s="20" t="str">
        <f>IF($K796="","",IF(INDEX('Detalle individual'!$F:$F,$K796)="Completado",INDEX('Detalle individual'!$H:$H,$K796),""))</f>
        <v/>
      </c>
      <c r="J796" s="21" t="str">
        <f>IF($K796="","",IF(INDEX('Detalle individual'!$F:$F,$K796)="Completado",INDEX('Detalle individual'!$J:$J,$K796),""))</f>
        <v/>
      </c>
      <c r="K796" t="str">
        <f>IFERROR(MOD(SMALL(Cálculos!$Z$5:$Z$1000,788),10000),"")</f>
        <v/>
      </c>
    </row>
    <row r="797">
      <c r="B797" s="13" t="str">
        <f>IF($K797="","",789)</f>
        <v/>
      </c>
      <c r="C797" s="13" t="str">
        <f>IF($K797="","",INDEX('Detalle individual'!$A:$A,$K797))</f>
        <v/>
      </c>
      <c r="D797" s="72" t="str">
        <f>IF($K797="","",TRIM(INDEX('Detalle individual'!$B:$B,$K797)))</f>
        <v/>
      </c>
      <c r="E797" s="72" t="str">
        <f>IF($K797="","",TRIM(INDEX('Detalle individual'!$E:$E,$K797)))</f>
        <v/>
      </c>
      <c r="F797" s="72" t="str">
        <f>IF($K797="","",TRIM(INDEX('Detalle individual'!$C:$C,$K797)))</f>
        <v/>
      </c>
      <c r="G797" s="72" t="str">
        <f>IF($K797="","",INDEX('Detalle individual'!$D:$D,$K797))</f>
        <v/>
      </c>
      <c r="H797" s="13" t="str">
        <f>IF($K797="","",INDEX('Detalle individual'!$F:$F,$K797))</f>
        <v/>
      </c>
      <c r="I797" s="20" t="str">
        <f>IF($K797="","",IF(INDEX('Detalle individual'!$F:$F,$K797)="Completado",INDEX('Detalle individual'!$H:$H,$K797),""))</f>
        <v/>
      </c>
      <c r="J797" s="21" t="str">
        <f>IF($K797="","",IF(INDEX('Detalle individual'!$F:$F,$K797)="Completado",INDEX('Detalle individual'!$J:$J,$K797),""))</f>
        <v/>
      </c>
      <c r="K797" t="str">
        <f>IFERROR(MOD(SMALL(Cálculos!$Z$5:$Z$1000,789),10000),"")</f>
        <v/>
      </c>
    </row>
    <row r="798">
      <c r="B798" s="13" t="str">
        <f>IF($K798="","",790)</f>
        <v/>
      </c>
      <c r="C798" s="13" t="str">
        <f>IF($K798="","",INDEX('Detalle individual'!$A:$A,$K798))</f>
        <v/>
      </c>
      <c r="D798" s="72" t="str">
        <f>IF($K798="","",TRIM(INDEX('Detalle individual'!$B:$B,$K798)))</f>
        <v/>
      </c>
      <c r="E798" s="72" t="str">
        <f>IF($K798="","",TRIM(INDEX('Detalle individual'!$E:$E,$K798)))</f>
        <v/>
      </c>
      <c r="F798" s="72" t="str">
        <f>IF($K798="","",TRIM(INDEX('Detalle individual'!$C:$C,$K798)))</f>
        <v/>
      </c>
      <c r="G798" s="72" t="str">
        <f>IF($K798="","",INDEX('Detalle individual'!$D:$D,$K798))</f>
        <v/>
      </c>
      <c r="H798" s="13" t="str">
        <f>IF($K798="","",INDEX('Detalle individual'!$F:$F,$K798))</f>
        <v/>
      </c>
      <c r="I798" s="20" t="str">
        <f>IF($K798="","",IF(INDEX('Detalle individual'!$F:$F,$K798)="Completado",INDEX('Detalle individual'!$H:$H,$K798),""))</f>
        <v/>
      </c>
      <c r="J798" s="21" t="str">
        <f>IF($K798="","",IF(INDEX('Detalle individual'!$F:$F,$K798)="Completado",INDEX('Detalle individual'!$J:$J,$K798),""))</f>
        <v/>
      </c>
      <c r="K798" t="str">
        <f>IFERROR(MOD(SMALL(Cálculos!$Z$5:$Z$1000,790),10000),"")</f>
        <v/>
      </c>
    </row>
    <row r="799">
      <c r="B799" s="13" t="str">
        <f>IF($K799="","",791)</f>
        <v/>
      </c>
      <c r="C799" s="13" t="str">
        <f>IF($K799="","",INDEX('Detalle individual'!$A:$A,$K799))</f>
        <v/>
      </c>
      <c r="D799" s="72" t="str">
        <f>IF($K799="","",TRIM(INDEX('Detalle individual'!$B:$B,$K799)))</f>
        <v/>
      </c>
      <c r="E799" s="72" t="str">
        <f>IF($K799="","",TRIM(INDEX('Detalle individual'!$E:$E,$K799)))</f>
        <v/>
      </c>
      <c r="F799" s="72" t="str">
        <f>IF($K799="","",TRIM(INDEX('Detalle individual'!$C:$C,$K799)))</f>
        <v/>
      </c>
      <c r="G799" s="72" t="str">
        <f>IF($K799="","",INDEX('Detalle individual'!$D:$D,$K799))</f>
        <v/>
      </c>
      <c r="H799" s="13" t="str">
        <f>IF($K799="","",INDEX('Detalle individual'!$F:$F,$K799))</f>
        <v/>
      </c>
      <c r="I799" s="20" t="str">
        <f>IF($K799="","",IF(INDEX('Detalle individual'!$F:$F,$K799)="Completado",INDEX('Detalle individual'!$H:$H,$K799),""))</f>
        <v/>
      </c>
      <c r="J799" s="21" t="str">
        <f>IF($K799="","",IF(INDEX('Detalle individual'!$F:$F,$K799)="Completado",INDEX('Detalle individual'!$J:$J,$K799),""))</f>
        <v/>
      </c>
      <c r="K799" t="str">
        <f>IFERROR(MOD(SMALL(Cálculos!$Z$5:$Z$1000,791),10000),"")</f>
        <v/>
      </c>
    </row>
    <row r="800">
      <c r="B800" s="13" t="str">
        <f>IF($K800="","",792)</f>
        <v/>
      </c>
      <c r="C800" s="13" t="str">
        <f>IF($K800="","",INDEX('Detalle individual'!$A:$A,$K800))</f>
        <v/>
      </c>
      <c r="D800" s="72" t="str">
        <f>IF($K800="","",TRIM(INDEX('Detalle individual'!$B:$B,$K800)))</f>
        <v/>
      </c>
      <c r="E800" s="72" t="str">
        <f>IF($K800="","",TRIM(INDEX('Detalle individual'!$E:$E,$K800)))</f>
        <v/>
      </c>
      <c r="F800" s="72" t="str">
        <f>IF($K800="","",TRIM(INDEX('Detalle individual'!$C:$C,$K800)))</f>
        <v/>
      </c>
      <c r="G800" s="72" t="str">
        <f>IF($K800="","",INDEX('Detalle individual'!$D:$D,$K800))</f>
        <v/>
      </c>
      <c r="H800" s="13" t="str">
        <f>IF($K800="","",INDEX('Detalle individual'!$F:$F,$K800))</f>
        <v/>
      </c>
      <c r="I800" s="20" t="str">
        <f>IF($K800="","",IF(INDEX('Detalle individual'!$F:$F,$K800)="Completado",INDEX('Detalle individual'!$H:$H,$K800),""))</f>
        <v/>
      </c>
      <c r="J800" s="21" t="str">
        <f>IF($K800="","",IF(INDEX('Detalle individual'!$F:$F,$K800)="Completado",INDEX('Detalle individual'!$J:$J,$K800),""))</f>
        <v/>
      </c>
      <c r="K800" t="str">
        <f>IFERROR(MOD(SMALL(Cálculos!$Z$5:$Z$1000,792),10000),"")</f>
        <v/>
      </c>
    </row>
    <row r="801">
      <c r="B801" s="13" t="str">
        <f>IF($K801="","",793)</f>
        <v/>
      </c>
      <c r="C801" s="13" t="str">
        <f>IF($K801="","",INDEX('Detalle individual'!$A:$A,$K801))</f>
        <v/>
      </c>
      <c r="D801" s="72" t="str">
        <f>IF($K801="","",TRIM(INDEX('Detalle individual'!$B:$B,$K801)))</f>
        <v/>
      </c>
      <c r="E801" s="72" t="str">
        <f>IF($K801="","",TRIM(INDEX('Detalle individual'!$E:$E,$K801)))</f>
        <v/>
      </c>
      <c r="F801" s="72" t="str">
        <f>IF($K801="","",TRIM(INDEX('Detalle individual'!$C:$C,$K801)))</f>
        <v/>
      </c>
      <c r="G801" s="72" t="str">
        <f>IF($K801="","",INDEX('Detalle individual'!$D:$D,$K801))</f>
        <v/>
      </c>
      <c r="H801" s="13" t="str">
        <f>IF($K801="","",INDEX('Detalle individual'!$F:$F,$K801))</f>
        <v/>
      </c>
      <c r="I801" s="20" t="str">
        <f>IF($K801="","",IF(INDEX('Detalle individual'!$F:$F,$K801)="Completado",INDEX('Detalle individual'!$H:$H,$K801),""))</f>
        <v/>
      </c>
      <c r="J801" s="21" t="str">
        <f>IF($K801="","",IF(INDEX('Detalle individual'!$F:$F,$K801)="Completado",INDEX('Detalle individual'!$J:$J,$K801),""))</f>
        <v/>
      </c>
      <c r="K801" t="str">
        <f>IFERROR(MOD(SMALL(Cálculos!$Z$5:$Z$1000,793),10000),"")</f>
        <v/>
      </c>
    </row>
    <row r="802">
      <c r="B802" s="13" t="str">
        <f>IF($K802="","",794)</f>
        <v/>
      </c>
      <c r="C802" s="13" t="str">
        <f>IF($K802="","",INDEX('Detalle individual'!$A:$A,$K802))</f>
        <v/>
      </c>
      <c r="D802" s="72" t="str">
        <f>IF($K802="","",TRIM(INDEX('Detalle individual'!$B:$B,$K802)))</f>
        <v/>
      </c>
      <c r="E802" s="72" t="str">
        <f>IF($K802="","",TRIM(INDEX('Detalle individual'!$E:$E,$K802)))</f>
        <v/>
      </c>
      <c r="F802" s="72" t="str">
        <f>IF($K802="","",TRIM(INDEX('Detalle individual'!$C:$C,$K802)))</f>
        <v/>
      </c>
      <c r="G802" s="72" t="str">
        <f>IF($K802="","",INDEX('Detalle individual'!$D:$D,$K802))</f>
        <v/>
      </c>
      <c r="H802" s="13" t="str">
        <f>IF($K802="","",INDEX('Detalle individual'!$F:$F,$K802))</f>
        <v/>
      </c>
      <c r="I802" s="20" t="str">
        <f>IF($K802="","",IF(INDEX('Detalle individual'!$F:$F,$K802)="Completado",INDEX('Detalle individual'!$H:$H,$K802),""))</f>
        <v/>
      </c>
      <c r="J802" s="21" t="str">
        <f>IF($K802="","",IF(INDEX('Detalle individual'!$F:$F,$K802)="Completado",INDEX('Detalle individual'!$J:$J,$K802),""))</f>
        <v/>
      </c>
      <c r="K802" t="str">
        <f>IFERROR(MOD(SMALL(Cálculos!$Z$5:$Z$1000,794),10000),"")</f>
        <v/>
      </c>
    </row>
    <row r="803">
      <c r="B803" s="13" t="str">
        <f>IF($K803="","",795)</f>
        <v/>
      </c>
      <c r="C803" s="13" t="str">
        <f>IF($K803="","",INDEX('Detalle individual'!$A:$A,$K803))</f>
        <v/>
      </c>
      <c r="D803" s="72" t="str">
        <f>IF($K803="","",TRIM(INDEX('Detalle individual'!$B:$B,$K803)))</f>
        <v/>
      </c>
      <c r="E803" s="72" t="str">
        <f>IF($K803="","",TRIM(INDEX('Detalle individual'!$E:$E,$K803)))</f>
        <v/>
      </c>
      <c r="F803" s="72" t="str">
        <f>IF($K803="","",TRIM(INDEX('Detalle individual'!$C:$C,$K803)))</f>
        <v/>
      </c>
      <c r="G803" s="72" t="str">
        <f>IF($K803="","",INDEX('Detalle individual'!$D:$D,$K803))</f>
        <v/>
      </c>
      <c r="H803" s="13" t="str">
        <f>IF($K803="","",INDEX('Detalle individual'!$F:$F,$K803))</f>
        <v/>
      </c>
      <c r="I803" s="20" t="str">
        <f>IF($K803="","",IF(INDEX('Detalle individual'!$F:$F,$K803)="Completado",INDEX('Detalle individual'!$H:$H,$K803),""))</f>
        <v/>
      </c>
      <c r="J803" s="21" t="str">
        <f>IF($K803="","",IF(INDEX('Detalle individual'!$F:$F,$K803)="Completado",INDEX('Detalle individual'!$J:$J,$K803),""))</f>
        <v/>
      </c>
      <c r="K803" t="str">
        <f>IFERROR(MOD(SMALL(Cálculos!$Z$5:$Z$1000,795),10000),"")</f>
        <v/>
      </c>
    </row>
    <row r="804">
      <c r="B804" s="13" t="str">
        <f>IF($K804="","",796)</f>
        <v/>
      </c>
      <c r="C804" s="13" t="str">
        <f>IF($K804="","",INDEX('Detalle individual'!$A:$A,$K804))</f>
        <v/>
      </c>
      <c r="D804" s="72" t="str">
        <f>IF($K804="","",TRIM(INDEX('Detalle individual'!$B:$B,$K804)))</f>
        <v/>
      </c>
      <c r="E804" s="72" t="str">
        <f>IF($K804="","",TRIM(INDEX('Detalle individual'!$E:$E,$K804)))</f>
        <v/>
      </c>
      <c r="F804" s="72" t="str">
        <f>IF($K804="","",TRIM(INDEX('Detalle individual'!$C:$C,$K804)))</f>
        <v/>
      </c>
      <c r="G804" s="72" t="str">
        <f>IF($K804="","",INDEX('Detalle individual'!$D:$D,$K804))</f>
        <v/>
      </c>
      <c r="H804" s="13" t="str">
        <f>IF($K804="","",INDEX('Detalle individual'!$F:$F,$K804))</f>
        <v/>
      </c>
      <c r="I804" s="20" t="str">
        <f>IF($K804="","",IF(INDEX('Detalle individual'!$F:$F,$K804)="Completado",INDEX('Detalle individual'!$H:$H,$K804),""))</f>
        <v/>
      </c>
      <c r="J804" s="21" t="str">
        <f>IF($K804="","",IF(INDEX('Detalle individual'!$F:$F,$K804)="Completado",INDEX('Detalle individual'!$J:$J,$K804),""))</f>
        <v/>
      </c>
      <c r="K804" t="str">
        <f>IFERROR(MOD(SMALL(Cálculos!$Z$5:$Z$1000,796),10000),"")</f>
        <v/>
      </c>
    </row>
    <row r="805">
      <c r="B805" s="13" t="str">
        <f>IF($K805="","",797)</f>
        <v/>
      </c>
      <c r="C805" s="13" t="str">
        <f>IF($K805="","",INDEX('Detalle individual'!$A:$A,$K805))</f>
        <v/>
      </c>
      <c r="D805" s="72" t="str">
        <f>IF($K805="","",TRIM(INDEX('Detalle individual'!$B:$B,$K805)))</f>
        <v/>
      </c>
      <c r="E805" s="72" t="str">
        <f>IF($K805="","",TRIM(INDEX('Detalle individual'!$E:$E,$K805)))</f>
        <v/>
      </c>
      <c r="F805" s="72" t="str">
        <f>IF($K805="","",TRIM(INDEX('Detalle individual'!$C:$C,$K805)))</f>
        <v/>
      </c>
      <c r="G805" s="72" t="str">
        <f>IF($K805="","",INDEX('Detalle individual'!$D:$D,$K805))</f>
        <v/>
      </c>
      <c r="H805" s="13" t="str">
        <f>IF($K805="","",INDEX('Detalle individual'!$F:$F,$K805))</f>
        <v/>
      </c>
      <c r="I805" s="20" t="str">
        <f>IF($K805="","",IF(INDEX('Detalle individual'!$F:$F,$K805)="Completado",INDEX('Detalle individual'!$H:$H,$K805),""))</f>
        <v/>
      </c>
      <c r="J805" s="21" t="str">
        <f>IF($K805="","",IF(INDEX('Detalle individual'!$F:$F,$K805)="Completado",INDEX('Detalle individual'!$J:$J,$K805),""))</f>
        <v/>
      </c>
      <c r="K805" t="str">
        <f>IFERROR(MOD(SMALL(Cálculos!$Z$5:$Z$1000,797),10000),"")</f>
        <v/>
      </c>
    </row>
    <row r="806">
      <c r="B806" s="13" t="str">
        <f>IF($K806="","",798)</f>
        <v/>
      </c>
      <c r="C806" s="13" t="str">
        <f>IF($K806="","",INDEX('Detalle individual'!$A:$A,$K806))</f>
        <v/>
      </c>
      <c r="D806" s="72" t="str">
        <f>IF($K806="","",TRIM(INDEX('Detalle individual'!$B:$B,$K806)))</f>
        <v/>
      </c>
      <c r="E806" s="72" t="str">
        <f>IF($K806="","",TRIM(INDEX('Detalle individual'!$E:$E,$K806)))</f>
        <v/>
      </c>
      <c r="F806" s="72" t="str">
        <f>IF($K806="","",TRIM(INDEX('Detalle individual'!$C:$C,$K806)))</f>
        <v/>
      </c>
      <c r="G806" s="72" t="str">
        <f>IF($K806="","",INDEX('Detalle individual'!$D:$D,$K806))</f>
        <v/>
      </c>
      <c r="H806" s="13" t="str">
        <f>IF($K806="","",INDEX('Detalle individual'!$F:$F,$K806))</f>
        <v/>
      </c>
      <c r="I806" s="20" t="str">
        <f>IF($K806="","",IF(INDEX('Detalle individual'!$F:$F,$K806)="Completado",INDEX('Detalle individual'!$H:$H,$K806),""))</f>
        <v/>
      </c>
      <c r="J806" s="21" t="str">
        <f>IF($K806="","",IF(INDEX('Detalle individual'!$F:$F,$K806)="Completado",INDEX('Detalle individual'!$J:$J,$K806),""))</f>
        <v/>
      </c>
      <c r="K806" t="str">
        <f>IFERROR(MOD(SMALL(Cálculos!$Z$5:$Z$1000,798),10000),"")</f>
        <v/>
      </c>
    </row>
    <row r="807">
      <c r="B807" s="13" t="str">
        <f>IF($K807="","",799)</f>
        <v/>
      </c>
      <c r="C807" s="13" t="str">
        <f>IF($K807="","",INDEX('Detalle individual'!$A:$A,$K807))</f>
        <v/>
      </c>
      <c r="D807" s="72" t="str">
        <f>IF($K807="","",TRIM(INDEX('Detalle individual'!$B:$B,$K807)))</f>
        <v/>
      </c>
      <c r="E807" s="72" t="str">
        <f>IF($K807="","",TRIM(INDEX('Detalle individual'!$E:$E,$K807)))</f>
        <v/>
      </c>
      <c r="F807" s="72" t="str">
        <f>IF($K807="","",TRIM(INDEX('Detalle individual'!$C:$C,$K807)))</f>
        <v/>
      </c>
      <c r="G807" s="72" t="str">
        <f>IF($K807="","",INDEX('Detalle individual'!$D:$D,$K807))</f>
        <v/>
      </c>
      <c r="H807" s="13" t="str">
        <f>IF($K807="","",INDEX('Detalle individual'!$F:$F,$K807))</f>
        <v/>
      </c>
      <c r="I807" s="20" t="str">
        <f>IF($K807="","",IF(INDEX('Detalle individual'!$F:$F,$K807)="Completado",INDEX('Detalle individual'!$H:$H,$K807),""))</f>
        <v/>
      </c>
      <c r="J807" s="21" t="str">
        <f>IF($K807="","",IF(INDEX('Detalle individual'!$F:$F,$K807)="Completado",INDEX('Detalle individual'!$J:$J,$K807),""))</f>
        <v/>
      </c>
      <c r="K807" t="str">
        <f>IFERROR(MOD(SMALL(Cálculos!$Z$5:$Z$1000,799),10000),"")</f>
        <v/>
      </c>
    </row>
    <row r="808">
      <c r="B808" s="13" t="str">
        <f>IF($K808="","",800)</f>
        <v/>
      </c>
      <c r="C808" s="13" t="str">
        <f>IF($K808="","",INDEX('Detalle individual'!$A:$A,$K808))</f>
        <v/>
      </c>
      <c r="D808" s="72" t="str">
        <f>IF($K808="","",TRIM(INDEX('Detalle individual'!$B:$B,$K808)))</f>
        <v/>
      </c>
      <c r="E808" s="72" t="str">
        <f>IF($K808="","",TRIM(INDEX('Detalle individual'!$E:$E,$K808)))</f>
        <v/>
      </c>
      <c r="F808" s="72" t="str">
        <f>IF($K808="","",TRIM(INDEX('Detalle individual'!$C:$C,$K808)))</f>
        <v/>
      </c>
      <c r="G808" s="72" t="str">
        <f>IF($K808="","",INDEX('Detalle individual'!$D:$D,$K808))</f>
        <v/>
      </c>
      <c r="H808" s="13" t="str">
        <f>IF($K808="","",INDEX('Detalle individual'!$F:$F,$K808))</f>
        <v/>
      </c>
      <c r="I808" s="20" t="str">
        <f>IF($K808="","",IF(INDEX('Detalle individual'!$F:$F,$K808)="Completado",INDEX('Detalle individual'!$H:$H,$K808),""))</f>
        <v/>
      </c>
      <c r="J808" s="21" t="str">
        <f>IF($K808="","",IF(INDEX('Detalle individual'!$F:$F,$K808)="Completado",INDEX('Detalle individual'!$J:$J,$K808),""))</f>
        <v/>
      </c>
      <c r="K808" t="str">
        <f>IFERROR(MOD(SMALL(Cálculos!$Z$5:$Z$1000,800),10000),"")</f>
        <v/>
      </c>
    </row>
    <row r="809">
      <c r="B809" s="13" t="str">
        <f>IF($K809="","",801)</f>
        <v/>
      </c>
      <c r="C809" s="13" t="str">
        <f>IF($K809="","",INDEX('Detalle individual'!$A:$A,$K809))</f>
        <v/>
      </c>
      <c r="D809" s="72" t="str">
        <f>IF($K809="","",TRIM(INDEX('Detalle individual'!$B:$B,$K809)))</f>
        <v/>
      </c>
      <c r="E809" s="72" t="str">
        <f>IF($K809="","",TRIM(INDEX('Detalle individual'!$E:$E,$K809)))</f>
        <v/>
      </c>
      <c r="F809" s="72" t="str">
        <f>IF($K809="","",TRIM(INDEX('Detalle individual'!$C:$C,$K809)))</f>
        <v/>
      </c>
      <c r="G809" s="72" t="str">
        <f>IF($K809="","",INDEX('Detalle individual'!$D:$D,$K809))</f>
        <v/>
      </c>
      <c r="H809" s="13" t="str">
        <f>IF($K809="","",INDEX('Detalle individual'!$F:$F,$K809))</f>
        <v/>
      </c>
      <c r="I809" s="20" t="str">
        <f>IF($K809="","",IF(INDEX('Detalle individual'!$F:$F,$K809)="Completado",INDEX('Detalle individual'!$H:$H,$K809),""))</f>
        <v/>
      </c>
      <c r="J809" s="21" t="str">
        <f>IF($K809="","",IF(INDEX('Detalle individual'!$F:$F,$K809)="Completado",INDEX('Detalle individual'!$J:$J,$K809),""))</f>
        <v/>
      </c>
      <c r="K809" t="str">
        <f>IFERROR(MOD(SMALL(Cálculos!$Z$5:$Z$1000,801),10000),"")</f>
        <v/>
      </c>
    </row>
    <row r="810">
      <c r="B810" s="13" t="str">
        <f>IF($K810="","",802)</f>
        <v/>
      </c>
      <c r="C810" s="13" t="str">
        <f>IF($K810="","",INDEX('Detalle individual'!$A:$A,$K810))</f>
        <v/>
      </c>
      <c r="D810" s="72" t="str">
        <f>IF($K810="","",TRIM(INDEX('Detalle individual'!$B:$B,$K810)))</f>
        <v/>
      </c>
      <c r="E810" s="72" t="str">
        <f>IF($K810="","",TRIM(INDEX('Detalle individual'!$E:$E,$K810)))</f>
        <v/>
      </c>
      <c r="F810" s="72" t="str">
        <f>IF($K810="","",TRIM(INDEX('Detalle individual'!$C:$C,$K810)))</f>
        <v/>
      </c>
      <c r="G810" s="72" t="str">
        <f>IF($K810="","",INDEX('Detalle individual'!$D:$D,$K810))</f>
        <v/>
      </c>
      <c r="H810" s="13" t="str">
        <f>IF($K810="","",INDEX('Detalle individual'!$F:$F,$K810))</f>
        <v/>
      </c>
      <c r="I810" s="20" t="str">
        <f>IF($K810="","",IF(INDEX('Detalle individual'!$F:$F,$K810)="Completado",INDEX('Detalle individual'!$H:$H,$K810),""))</f>
        <v/>
      </c>
      <c r="J810" s="21" t="str">
        <f>IF($K810="","",IF(INDEX('Detalle individual'!$F:$F,$K810)="Completado",INDEX('Detalle individual'!$J:$J,$K810),""))</f>
        <v/>
      </c>
      <c r="K810" t="str">
        <f>IFERROR(MOD(SMALL(Cálculos!$Z$5:$Z$1000,802),10000),"")</f>
        <v/>
      </c>
    </row>
    <row r="811">
      <c r="B811" s="13" t="str">
        <f>IF($K811="","",803)</f>
        <v/>
      </c>
      <c r="C811" s="13" t="str">
        <f>IF($K811="","",INDEX('Detalle individual'!$A:$A,$K811))</f>
        <v/>
      </c>
      <c r="D811" s="72" t="str">
        <f>IF($K811="","",TRIM(INDEX('Detalle individual'!$B:$B,$K811)))</f>
        <v/>
      </c>
      <c r="E811" s="72" t="str">
        <f>IF($K811="","",TRIM(INDEX('Detalle individual'!$E:$E,$K811)))</f>
        <v/>
      </c>
      <c r="F811" s="72" t="str">
        <f>IF($K811="","",TRIM(INDEX('Detalle individual'!$C:$C,$K811)))</f>
        <v/>
      </c>
      <c r="G811" s="72" t="str">
        <f>IF($K811="","",INDEX('Detalle individual'!$D:$D,$K811))</f>
        <v/>
      </c>
      <c r="H811" s="13" t="str">
        <f>IF($K811="","",INDEX('Detalle individual'!$F:$F,$K811))</f>
        <v/>
      </c>
      <c r="I811" s="20" t="str">
        <f>IF($K811="","",IF(INDEX('Detalle individual'!$F:$F,$K811)="Completado",INDEX('Detalle individual'!$H:$H,$K811),""))</f>
        <v/>
      </c>
      <c r="J811" s="21" t="str">
        <f>IF($K811="","",IF(INDEX('Detalle individual'!$F:$F,$K811)="Completado",INDEX('Detalle individual'!$J:$J,$K811),""))</f>
        <v/>
      </c>
      <c r="K811" t="str">
        <f>IFERROR(MOD(SMALL(Cálculos!$Z$5:$Z$1000,803),10000),"")</f>
        <v/>
      </c>
    </row>
    <row r="812">
      <c r="B812" s="13" t="str">
        <f>IF($K812="","",804)</f>
        <v/>
      </c>
      <c r="C812" s="13" t="str">
        <f>IF($K812="","",INDEX('Detalle individual'!$A:$A,$K812))</f>
        <v/>
      </c>
      <c r="D812" s="72" t="str">
        <f>IF($K812="","",TRIM(INDEX('Detalle individual'!$B:$B,$K812)))</f>
        <v/>
      </c>
      <c r="E812" s="72" t="str">
        <f>IF($K812="","",TRIM(INDEX('Detalle individual'!$E:$E,$K812)))</f>
        <v/>
      </c>
      <c r="F812" s="72" t="str">
        <f>IF($K812="","",TRIM(INDEX('Detalle individual'!$C:$C,$K812)))</f>
        <v/>
      </c>
      <c r="G812" s="72" t="str">
        <f>IF($K812="","",INDEX('Detalle individual'!$D:$D,$K812))</f>
        <v/>
      </c>
      <c r="H812" s="13" t="str">
        <f>IF($K812="","",INDEX('Detalle individual'!$F:$F,$K812))</f>
        <v/>
      </c>
      <c r="I812" s="20" t="str">
        <f>IF($K812="","",IF(INDEX('Detalle individual'!$F:$F,$K812)="Completado",INDEX('Detalle individual'!$H:$H,$K812),""))</f>
        <v/>
      </c>
      <c r="J812" s="21" t="str">
        <f>IF($K812="","",IF(INDEX('Detalle individual'!$F:$F,$K812)="Completado",INDEX('Detalle individual'!$J:$J,$K812),""))</f>
        <v/>
      </c>
      <c r="K812" t="str">
        <f>IFERROR(MOD(SMALL(Cálculos!$Z$5:$Z$1000,804),10000),"")</f>
        <v/>
      </c>
    </row>
    <row r="813">
      <c r="B813" s="13" t="str">
        <f>IF($K813="","",805)</f>
        <v/>
      </c>
      <c r="C813" s="13" t="str">
        <f>IF($K813="","",INDEX('Detalle individual'!$A:$A,$K813))</f>
        <v/>
      </c>
      <c r="D813" s="72" t="str">
        <f>IF($K813="","",TRIM(INDEX('Detalle individual'!$B:$B,$K813)))</f>
        <v/>
      </c>
      <c r="E813" s="72" t="str">
        <f>IF($K813="","",TRIM(INDEX('Detalle individual'!$E:$E,$K813)))</f>
        <v/>
      </c>
      <c r="F813" s="72" t="str">
        <f>IF($K813="","",TRIM(INDEX('Detalle individual'!$C:$C,$K813)))</f>
        <v/>
      </c>
      <c r="G813" s="72" t="str">
        <f>IF($K813="","",INDEX('Detalle individual'!$D:$D,$K813))</f>
        <v/>
      </c>
      <c r="H813" s="13" t="str">
        <f>IF($K813="","",INDEX('Detalle individual'!$F:$F,$K813))</f>
        <v/>
      </c>
      <c r="I813" s="20" t="str">
        <f>IF($K813="","",IF(INDEX('Detalle individual'!$F:$F,$K813)="Completado",INDEX('Detalle individual'!$H:$H,$K813),""))</f>
        <v/>
      </c>
      <c r="J813" s="21" t="str">
        <f>IF($K813="","",IF(INDEX('Detalle individual'!$F:$F,$K813)="Completado",INDEX('Detalle individual'!$J:$J,$K813),""))</f>
        <v/>
      </c>
      <c r="K813" t="str">
        <f>IFERROR(MOD(SMALL(Cálculos!$Z$5:$Z$1000,805),10000),"")</f>
        <v/>
      </c>
    </row>
    <row r="814">
      <c r="B814" s="13" t="str">
        <f>IF($K814="","",806)</f>
        <v/>
      </c>
      <c r="C814" s="13" t="str">
        <f>IF($K814="","",INDEX('Detalle individual'!$A:$A,$K814))</f>
        <v/>
      </c>
      <c r="D814" s="72" t="str">
        <f>IF($K814="","",TRIM(INDEX('Detalle individual'!$B:$B,$K814)))</f>
        <v/>
      </c>
      <c r="E814" s="72" t="str">
        <f>IF($K814="","",TRIM(INDEX('Detalle individual'!$E:$E,$K814)))</f>
        <v/>
      </c>
      <c r="F814" s="72" t="str">
        <f>IF($K814="","",TRIM(INDEX('Detalle individual'!$C:$C,$K814)))</f>
        <v/>
      </c>
      <c r="G814" s="72" t="str">
        <f>IF($K814="","",INDEX('Detalle individual'!$D:$D,$K814))</f>
        <v/>
      </c>
      <c r="H814" s="13" t="str">
        <f>IF($K814="","",INDEX('Detalle individual'!$F:$F,$K814))</f>
        <v/>
      </c>
      <c r="I814" s="20" t="str">
        <f>IF($K814="","",IF(INDEX('Detalle individual'!$F:$F,$K814)="Completado",INDEX('Detalle individual'!$H:$H,$K814),""))</f>
        <v/>
      </c>
      <c r="J814" s="21" t="str">
        <f>IF($K814="","",IF(INDEX('Detalle individual'!$F:$F,$K814)="Completado",INDEX('Detalle individual'!$J:$J,$K814),""))</f>
        <v/>
      </c>
      <c r="K814" t="str">
        <f>IFERROR(MOD(SMALL(Cálculos!$Z$5:$Z$1000,806),10000),"")</f>
        <v/>
      </c>
    </row>
    <row r="815">
      <c r="B815" s="13" t="str">
        <f>IF($K815="","",807)</f>
        <v/>
      </c>
      <c r="C815" s="13" t="str">
        <f>IF($K815="","",INDEX('Detalle individual'!$A:$A,$K815))</f>
        <v/>
      </c>
      <c r="D815" s="72" t="str">
        <f>IF($K815="","",TRIM(INDEX('Detalle individual'!$B:$B,$K815)))</f>
        <v/>
      </c>
      <c r="E815" s="72" t="str">
        <f>IF($K815="","",TRIM(INDEX('Detalle individual'!$E:$E,$K815)))</f>
        <v/>
      </c>
      <c r="F815" s="72" t="str">
        <f>IF($K815="","",TRIM(INDEX('Detalle individual'!$C:$C,$K815)))</f>
        <v/>
      </c>
      <c r="G815" s="72" t="str">
        <f>IF($K815="","",INDEX('Detalle individual'!$D:$D,$K815))</f>
        <v/>
      </c>
      <c r="H815" s="13" t="str">
        <f>IF($K815="","",INDEX('Detalle individual'!$F:$F,$K815))</f>
        <v/>
      </c>
      <c r="I815" s="20" t="str">
        <f>IF($K815="","",IF(INDEX('Detalle individual'!$F:$F,$K815)="Completado",INDEX('Detalle individual'!$H:$H,$K815),""))</f>
        <v/>
      </c>
      <c r="J815" s="21" t="str">
        <f>IF($K815="","",IF(INDEX('Detalle individual'!$F:$F,$K815)="Completado",INDEX('Detalle individual'!$J:$J,$K815),""))</f>
        <v/>
      </c>
      <c r="K815" t="str">
        <f>IFERROR(MOD(SMALL(Cálculos!$Z$5:$Z$1000,807),10000),"")</f>
        <v/>
      </c>
    </row>
    <row r="816">
      <c r="B816" s="13" t="str">
        <f>IF($K816="","",808)</f>
        <v/>
      </c>
      <c r="C816" s="13" t="str">
        <f>IF($K816="","",INDEX('Detalle individual'!$A:$A,$K816))</f>
        <v/>
      </c>
      <c r="D816" s="72" t="str">
        <f>IF($K816="","",TRIM(INDEX('Detalle individual'!$B:$B,$K816)))</f>
        <v/>
      </c>
      <c r="E816" s="72" t="str">
        <f>IF($K816="","",TRIM(INDEX('Detalle individual'!$E:$E,$K816)))</f>
        <v/>
      </c>
      <c r="F816" s="72" t="str">
        <f>IF($K816="","",TRIM(INDEX('Detalle individual'!$C:$C,$K816)))</f>
        <v/>
      </c>
      <c r="G816" s="72" t="str">
        <f>IF($K816="","",INDEX('Detalle individual'!$D:$D,$K816))</f>
        <v/>
      </c>
      <c r="H816" s="13" t="str">
        <f>IF($K816="","",INDEX('Detalle individual'!$F:$F,$K816))</f>
        <v/>
      </c>
      <c r="I816" s="20" t="str">
        <f>IF($K816="","",IF(INDEX('Detalle individual'!$F:$F,$K816)="Completado",INDEX('Detalle individual'!$H:$H,$K816),""))</f>
        <v/>
      </c>
      <c r="J816" s="21" t="str">
        <f>IF($K816="","",IF(INDEX('Detalle individual'!$F:$F,$K816)="Completado",INDEX('Detalle individual'!$J:$J,$K816),""))</f>
        <v/>
      </c>
      <c r="K816" t="str">
        <f>IFERROR(MOD(SMALL(Cálculos!$Z$5:$Z$1000,808),10000),"")</f>
        <v/>
      </c>
    </row>
    <row r="817">
      <c r="B817" s="13" t="str">
        <f>IF($K817="","",809)</f>
        <v/>
      </c>
      <c r="C817" s="13" t="str">
        <f>IF($K817="","",INDEX('Detalle individual'!$A:$A,$K817))</f>
        <v/>
      </c>
      <c r="D817" s="72" t="str">
        <f>IF($K817="","",TRIM(INDEX('Detalle individual'!$B:$B,$K817)))</f>
        <v/>
      </c>
      <c r="E817" s="72" t="str">
        <f>IF($K817="","",TRIM(INDEX('Detalle individual'!$E:$E,$K817)))</f>
        <v/>
      </c>
      <c r="F817" s="72" t="str">
        <f>IF($K817="","",TRIM(INDEX('Detalle individual'!$C:$C,$K817)))</f>
        <v/>
      </c>
      <c r="G817" s="72" t="str">
        <f>IF($K817="","",INDEX('Detalle individual'!$D:$D,$K817))</f>
        <v/>
      </c>
      <c r="H817" s="13" t="str">
        <f>IF($K817="","",INDEX('Detalle individual'!$F:$F,$K817))</f>
        <v/>
      </c>
      <c r="I817" s="20" t="str">
        <f>IF($K817="","",IF(INDEX('Detalle individual'!$F:$F,$K817)="Completado",INDEX('Detalle individual'!$H:$H,$K817),""))</f>
        <v/>
      </c>
      <c r="J817" s="21" t="str">
        <f>IF($K817="","",IF(INDEX('Detalle individual'!$F:$F,$K817)="Completado",INDEX('Detalle individual'!$J:$J,$K817),""))</f>
        <v/>
      </c>
      <c r="K817" t="str">
        <f>IFERROR(MOD(SMALL(Cálculos!$Z$5:$Z$1000,809),10000),"")</f>
        <v/>
      </c>
    </row>
    <row r="818">
      <c r="B818" s="13" t="str">
        <f>IF($K818="","",810)</f>
        <v/>
      </c>
      <c r="C818" s="13" t="str">
        <f>IF($K818="","",INDEX('Detalle individual'!$A:$A,$K818))</f>
        <v/>
      </c>
      <c r="D818" s="72" t="str">
        <f>IF($K818="","",TRIM(INDEX('Detalle individual'!$B:$B,$K818)))</f>
        <v/>
      </c>
      <c r="E818" s="72" t="str">
        <f>IF($K818="","",TRIM(INDEX('Detalle individual'!$E:$E,$K818)))</f>
        <v/>
      </c>
      <c r="F818" s="72" t="str">
        <f>IF($K818="","",TRIM(INDEX('Detalle individual'!$C:$C,$K818)))</f>
        <v/>
      </c>
      <c r="G818" s="72" t="str">
        <f>IF($K818="","",INDEX('Detalle individual'!$D:$D,$K818))</f>
        <v/>
      </c>
      <c r="H818" s="13" t="str">
        <f>IF($K818="","",INDEX('Detalle individual'!$F:$F,$K818))</f>
        <v/>
      </c>
      <c r="I818" s="20" t="str">
        <f>IF($K818="","",IF(INDEX('Detalle individual'!$F:$F,$K818)="Completado",INDEX('Detalle individual'!$H:$H,$K818),""))</f>
        <v/>
      </c>
      <c r="J818" s="21" t="str">
        <f>IF($K818="","",IF(INDEX('Detalle individual'!$F:$F,$K818)="Completado",INDEX('Detalle individual'!$J:$J,$K818),""))</f>
        <v/>
      </c>
      <c r="K818" t="str">
        <f>IFERROR(MOD(SMALL(Cálculos!$Z$5:$Z$1000,810),10000),"")</f>
        <v/>
      </c>
    </row>
    <row r="819">
      <c r="B819" s="13" t="str">
        <f>IF($K819="","",811)</f>
        <v/>
      </c>
      <c r="C819" s="13" t="str">
        <f>IF($K819="","",INDEX('Detalle individual'!$A:$A,$K819))</f>
        <v/>
      </c>
      <c r="D819" s="72" t="str">
        <f>IF($K819="","",TRIM(INDEX('Detalle individual'!$B:$B,$K819)))</f>
        <v/>
      </c>
      <c r="E819" s="72" t="str">
        <f>IF($K819="","",TRIM(INDEX('Detalle individual'!$E:$E,$K819)))</f>
        <v/>
      </c>
      <c r="F819" s="72" t="str">
        <f>IF($K819="","",TRIM(INDEX('Detalle individual'!$C:$C,$K819)))</f>
        <v/>
      </c>
      <c r="G819" s="72" t="str">
        <f>IF($K819="","",INDEX('Detalle individual'!$D:$D,$K819))</f>
        <v/>
      </c>
      <c r="H819" s="13" t="str">
        <f>IF($K819="","",INDEX('Detalle individual'!$F:$F,$K819))</f>
        <v/>
      </c>
      <c r="I819" s="20" t="str">
        <f>IF($K819="","",IF(INDEX('Detalle individual'!$F:$F,$K819)="Completado",INDEX('Detalle individual'!$H:$H,$K819),""))</f>
        <v/>
      </c>
      <c r="J819" s="21" t="str">
        <f>IF($K819="","",IF(INDEX('Detalle individual'!$F:$F,$K819)="Completado",INDEX('Detalle individual'!$J:$J,$K819),""))</f>
        <v/>
      </c>
      <c r="K819" t="str">
        <f>IFERROR(MOD(SMALL(Cálculos!$Z$5:$Z$1000,811),10000),"")</f>
        <v/>
      </c>
    </row>
    <row r="820">
      <c r="B820" s="13" t="str">
        <f>IF($K820="","",812)</f>
        <v/>
      </c>
      <c r="C820" s="13" t="str">
        <f>IF($K820="","",INDEX('Detalle individual'!$A:$A,$K820))</f>
        <v/>
      </c>
      <c r="D820" s="72" t="str">
        <f>IF($K820="","",TRIM(INDEX('Detalle individual'!$B:$B,$K820)))</f>
        <v/>
      </c>
      <c r="E820" s="72" t="str">
        <f>IF($K820="","",TRIM(INDEX('Detalle individual'!$E:$E,$K820)))</f>
        <v/>
      </c>
      <c r="F820" s="72" t="str">
        <f>IF($K820="","",TRIM(INDEX('Detalle individual'!$C:$C,$K820)))</f>
        <v/>
      </c>
      <c r="G820" s="72" t="str">
        <f>IF($K820="","",INDEX('Detalle individual'!$D:$D,$K820))</f>
        <v/>
      </c>
      <c r="H820" s="13" t="str">
        <f>IF($K820="","",INDEX('Detalle individual'!$F:$F,$K820))</f>
        <v/>
      </c>
      <c r="I820" s="20" t="str">
        <f>IF($K820="","",IF(INDEX('Detalle individual'!$F:$F,$K820)="Completado",INDEX('Detalle individual'!$H:$H,$K820),""))</f>
        <v/>
      </c>
      <c r="J820" s="21" t="str">
        <f>IF($K820="","",IF(INDEX('Detalle individual'!$F:$F,$K820)="Completado",INDEX('Detalle individual'!$J:$J,$K820),""))</f>
        <v/>
      </c>
      <c r="K820" t="str">
        <f>IFERROR(MOD(SMALL(Cálculos!$Z$5:$Z$1000,812),10000),"")</f>
        <v/>
      </c>
    </row>
    <row r="821">
      <c r="B821" s="13" t="str">
        <f>IF($K821="","",813)</f>
        <v/>
      </c>
      <c r="C821" s="13" t="str">
        <f>IF($K821="","",INDEX('Detalle individual'!$A:$A,$K821))</f>
        <v/>
      </c>
      <c r="D821" s="72" t="str">
        <f>IF($K821="","",TRIM(INDEX('Detalle individual'!$B:$B,$K821)))</f>
        <v/>
      </c>
      <c r="E821" s="72" t="str">
        <f>IF($K821="","",TRIM(INDEX('Detalle individual'!$E:$E,$K821)))</f>
        <v/>
      </c>
      <c r="F821" s="72" t="str">
        <f>IF($K821="","",TRIM(INDEX('Detalle individual'!$C:$C,$K821)))</f>
        <v/>
      </c>
      <c r="G821" s="72" t="str">
        <f>IF($K821="","",INDEX('Detalle individual'!$D:$D,$K821))</f>
        <v/>
      </c>
      <c r="H821" s="13" t="str">
        <f>IF($K821="","",INDEX('Detalle individual'!$F:$F,$K821))</f>
        <v/>
      </c>
      <c r="I821" s="20" t="str">
        <f>IF($K821="","",IF(INDEX('Detalle individual'!$F:$F,$K821)="Completado",INDEX('Detalle individual'!$H:$H,$K821),""))</f>
        <v/>
      </c>
      <c r="J821" s="21" t="str">
        <f>IF($K821="","",IF(INDEX('Detalle individual'!$F:$F,$K821)="Completado",INDEX('Detalle individual'!$J:$J,$K821),""))</f>
        <v/>
      </c>
      <c r="K821" t="str">
        <f>IFERROR(MOD(SMALL(Cálculos!$Z$5:$Z$1000,813),10000),"")</f>
        <v/>
      </c>
    </row>
    <row r="822">
      <c r="B822" s="13" t="str">
        <f>IF($K822="","",814)</f>
        <v/>
      </c>
      <c r="C822" s="13" t="str">
        <f>IF($K822="","",INDEX('Detalle individual'!$A:$A,$K822))</f>
        <v/>
      </c>
      <c r="D822" s="72" t="str">
        <f>IF($K822="","",TRIM(INDEX('Detalle individual'!$B:$B,$K822)))</f>
        <v/>
      </c>
      <c r="E822" s="72" t="str">
        <f>IF($K822="","",TRIM(INDEX('Detalle individual'!$E:$E,$K822)))</f>
        <v/>
      </c>
      <c r="F822" s="72" t="str">
        <f>IF($K822="","",TRIM(INDEX('Detalle individual'!$C:$C,$K822)))</f>
        <v/>
      </c>
      <c r="G822" s="72" t="str">
        <f>IF($K822="","",INDEX('Detalle individual'!$D:$D,$K822))</f>
        <v/>
      </c>
      <c r="H822" s="13" t="str">
        <f>IF($K822="","",INDEX('Detalle individual'!$F:$F,$K822))</f>
        <v/>
      </c>
      <c r="I822" s="20" t="str">
        <f>IF($K822="","",IF(INDEX('Detalle individual'!$F:$F,$K822)="Completado",INDEX('Detalle individual'!$H:$H,$K822),""))</f>
        <v/>
      </c>
      <c r="J822" s="21" t="str">
        <f>IF($K822="","",IF(INDEX('Detalle individual'!$F:$F,$K822)="Completado",INDEX('Detalle individual'!$J:$J,$K822),""))</f>
        <v/>
      </c>
      <c r="K822" t="str">
        <f>IFERROR(MOD(SMALL(Cálculos!$Z$5:$Z$1000,814),10000),"")</f>
        <v/>
      </c>
    </row>
    <row r="823">
      <c r="B823" s="13" t="str">
        <f>IF($K823="","",815)</f>
        <v/>
      </c>
      <c r="C823" s="13" t="str">
        <f>IF($K823="","",INDEX('Detalle individual'!$A:$A,$K823))</f>
        <v/>
      </c>
      <c r="D823" s="72" t="str">
        <f>IF($K823="","",TRIM(INDEX('Detalle individual'!$B:$B,$K823)))</f>
        <v/>
      </c>
      <c r="E823" s="72" t="str">
        <f>IF($K823="","",TRIM(INDEX('Detalle individual'!$E:$E,$K823)))</f>
        <v/>
      </c>
      <c r="F823" s="72" t="str">
        <f>IF($K823="","",TRIM(INDEX('Detalle individual'!$C:$C,$K823)))</f>
        <v/>
      </c>
      <c r="G823" s="72" t="str">
        <f>IF($K823="","",INDEX('Detalle individual'!$D:$D,$K823))</f>
        <v/>
      </c>
      <c r="H823" s="13" t="str">
        <f>IF($K823="","",INDEX('Detalle individual'!$F:$F,$K823))</f>
        <v/>
      </c>
      <c r="I823" s="20" t="str">
        <f>IF($K823="","",IF(INDEX('Detalle individual'!$F:$F,$K823)="Completado",INDEX('Detalle individual'!$H:$H,$K823),""))</f>
        <v/>
      </c>
      <c r="J823" s="21" t="str">
        <f>IF($K823="","",IF(INDEX('Detalle individual'!$F:$F,$K823)="Completado",INDEX('Detalle individual'!$J:$J,$K823),""))</f>
        <v/>
      </c>
      <c r="K823" t="str">
        <f>IFERROR(MOD(SMALL(Cálculos!$Z$5:$Z$1000,815),10000),"")</f>
        <v/>
      </c>
    </row>
    <row r="824">
      <c r="B824" s="13" t="str">
        <f>IF($K824="","",816)</f>
        <v/>
      </c>
      <c r="C824" s="13" t="str">
        <f>IF($K824="","",INDEX('Detalle individual'!$A:$A,$K824))</f>
        <v/>
      </c>
      <c r="D824" s="72" t="str">
        <f>IF($K824="","",TRIM(INDEX('Detalle individual'!$B:$B,$K824)))</f>
        <v/>
      </c>
      <c r="E824" s="72" t="str">
        <f>IF($K824="","",TRIM(INDEX('Detalle individual'!$E:$E,$K824)))</f>
        <v/>
      </c>
      <c r="F824" s="72" t="str">
        <f>IF($K824="","",TRIM(INDEX('Detalle individual'!$C:$C,$K824)))</f>
        <v/>
      </c>
      <c r="G824" s="72" t="str">
        <f>IF($K824="","",INDEX('Detalle individual'!$D:$D,$K824))</f>
        <v/>
      </c>
      <c r="H824" s="13" t="str">
        <f>IF($K824="","",INDEX('Detalle individual'!$F:$F,$K824))</f>
        <v/>
      </c>
      <c r="I824" s="20" t="str">
        <f>IF($K824="","",IF(INDEX('Detalle individual'!$F:$F,$K824)="Completado",INDEX('Detalle individual'!$H:$H,$K824),""))</f>
        <v/>
      </c>
      <c r="J824" s="21" t="str">
        <f>IF($K824="","",IF(INDEX('Detalle individual'!$F:$F,$K824)="Completado",INDEX('Detalle individual'!$J:$J,$K824),""))</f>
        <v/>
      </c>
      <c r="K824" t="str">
        <f>IFERROR(MOD(SMALL(Cálculos!$Z$5:$Z$1000,816),10000),"")</f>
        <v/>
      </c>
    </row>
    <row r="825">
      <c r="B825" s="13" t="str">
        <f>IF($K825="","",817)</f>
        <v/>
      </c>
      <c r="C825" s="13" t="str">
        <f>IF($K825="","",INDEX('Detalle individual'!$A:$A,$K825))</f>
        <v/>
      </c>
      <c r="D825" s="72" t="str">
        <f>IF($K825="","",TRIM(INDEX('Detalle individual'!$B:$B,$K825)))</f>
        <v/>
      </c>
      <c r="E825" s="72" t="str">
        <f>IF($K825="","",TRIM(INDEX('Detalle individual'!$E:$E,$K825)))</f>
        <v/>
      </c>
      <c r="F825" s="72" t="str">
        <f>IF($K825="","",TRIM(INDEX('Detalle individual'!$C:$C,$K825)))</f>
        <v/>
      </c>
      <c r="G825" s="72" t="str">
        <f>IF($K825="","",INDEX('Detalle individual'!$D:$D,$K825))</f>
        <v/>
      </c>
      <c r="H825" s="13" t="str">
        <f>IF($K825="","",INDEX('Detalle individual'!$F:$F,$K825))</f>
        <v/>
      </c>
      <c r="I825" s="20" t="str">
        <f>IF($K825="","",IF(INDEX('Detalle individual'!$F:$F,$K825)="Completado",INDEX('Detalle individual'!$H:$H,$K825),""))</f>
        <v/>
      </c>
      <c r="J825" s="21" t="str">
        <f>IF($K825="","",IF(INDEX('Detalle individual'!$F:$F,$K825)="Completado",INDEX('Detalle individual'!$J:$J,$K825),""))</f>
        <v/>
      </c>
      <c r="K825" t="str">
        <f>IFERROR(MOD(SMALL(Cálculos!$Z$5:$Z$1000,817),10000),"")</f>
        <v/>
      </c>
    </row>
    <row r="826">
      <c r="B826" s="13" t="str">
        <f>IF($K826="","",818)</f>
        <v/>
      </c>
      <c r="C826" s="13" t="str">
        <f>IF($K826="","",INDEX('Detalle individual'!$A:$A,$K826))</f>
        <v/>
      </c>
      <c r="D826" s="72" t="str">
        <f>IF($K826="","",TRIM(INDEX('Detalle individual'!$B:$B,$K826)))</f>
        <v/>
      </c>
      <c r="E826" s="72" t="str">
        <f>IF($K826="","",TRIM(INDEX('Detalle individual'!$E:$E,$K826)))</f>
        <v/>
      </c>
      <c r="F826" s="72" t="str">
        <f>IF($K826="","",TRIM(INDEX('Detalle individual'!$C:$C,$K826)))</f>
        <v/>
      </c>
      <c r="G826" s="72" t="str">
        <f>IF($K826="","",INDEX('Detalle individual'!$D:$D,$K826))</f>
        <v/>
      </c>
      <c r="H826" s="13" t="str">
        <f>IF($K826="","",INDEX('Detalle individual'!$F:$F,$K826))</f>
        <v/>
      </c>
      <c r="I826" s="20" t="str">
        <f>IF($K826="","",IF(INDEX('Detalle individual'!$F:$F,$K826)="Completado",INDEX('Detalle individual'!$H:$H,$K826),""))</f>
        <v/>
      </c>
      <c r="J826" s="21" t="str">
        <f>IF($K826="","",IF(INDEX('Detalle individual'!$F:$F,$K826)="Completado",INDEX('Detalle individual'!$J:$J,$K826),""))</f>
        <v/>
      </c>
      <c r="K826" t="str">
        <f>IFERROR(MOD(SMALL(Cálculos!$Z$5:$Z$1000,818),10000),"")</f>
        <v/>
      </c>
    </row>
    <row r="827">
      <c r="B827" s="13" t="str">
        <f>IF($K827="","",819)</f>
        <v/>
      </c>
      <c r="C827" s="13" t="str">
        <f>IF($K827="","",INDEX('Detalle individual'!$A:$A,$K827))</f>
        <v/>
      </c>
      <c r="D827" s="72" t="str">
        <f>IF($K827="","",TRIM(INDEX('Detalle individual'!$B:$B,$K827)))</f>
        <v/>
      </c>
      <c r="E827" s="72" t="str">
        <f>IF($K827="","",TRIM(INDEX('Detalle individual'!$E:$E,$K827)))</f>
        <v/>
      </c>
      <c r="F827" s="72" t="str">
        <f>IF($K827="","",TRIM(INDEX('Detalle individual'!$C:$C,$K827)))</f>
        <v/>
      </c>
      <c r="G827" s="72" t="str">
        <f>IF($K827="","",INDEX('Detalle individual'!$D:$D,$K827))</f>
        <v/>
      </c>
      <c r="H827" s="13" t="str">
        <f>IF($K827="","",INDEX('Detalle individual'!$F:$F,$K827))</f>
        <v/>
      </c>
      <c r="I827" s="20" t="str">
        <f>IF($K827="","",IF(INDEX('Detalle individual'!$F:$F,$K827)="Completado",INDEX('Detalle individual'!$H:$H,$K827),""))</f>
        <v/>
      </c>
      <c r="J827" s="21" t="str">
        <f>IF($K827="","",IF(INDEX('Detalle individual'!$F:$F,$K827)="Completado",INDEX('Detalle individual'!$J:$J,$K827),""))</f>
        <v/>
      </c>
      <c r="K827" t="str">
        <f>IFERROR(MOD(SMALL(Cálculos!$Z$5:$Z$1000,819),10000),"")</f>
        <v/>
      </c>
    </row>
    <row r="828">
      <c r="B828" s="13" t="str">
        <f>IF($K828="","",820)</f>
        <v/>
      </c>
      <c r="C828" s="13" t="str">
        <f>IF($K828="","",INDEX('Detalle individual'!$A:$A,$K828))</f>
        <v/>
      </c>
      <c r="D828" s="72" t="str">
        <f>IF($K828="","",TRIM(INDEX('Detalle individual'!$B:$B,$K828)))</f>
        <v/>
      </c>
      <c r="E828" s="72" t="str">
        <f>IF($K828="","",TRIM(INDEX('Detalle individual'!$E:$E,$K828)))</f>
        <v/>
      </c>
      <c r="F828" s="72" t="str">
        <f>IF($K828="","",TRIM(INDEX('Detalle individual'!$C:$C,$K828)))</f>
        <v/>
      </c>
      <c r="G828" s="72" t="str">
        <f>IF($K828="","",INDEX('Detalle individual'!$D:$D,$K828))</f>
        <v/>
      </c>
      <c r="H828" s="13" t="str">
        <f>IF($K828="","",INDEX('Detalle individual'!$F:$F,$K828))</f>
        <v/>
      </c>
      <c r="I828" s="20" t="str">
        <f>IF($K828="","",IF(INDEX('Detalle individual'!$F:$F,$K828)="Completado",INDEX('Detalle individual'!$H:$H,$K828),""))</f>
        <v/>
      </c>
      <c r="J828" s="21" t="str">
        <f>IF($K828="","",IF(INDEX('Detalle individual'!$F:$F,$K828)="Completado",INDEX('Detalle individual'!$J:$J,$K828),""))</f>
        <v/>
      </c>
      <c r="K828" t="str">
        <f>IFERROR(MOD(SMALL(Cálculos!$Z$5:$Z$1000,820),10000),"")</f>
        <v/>
      </c>
    </row>
    <row r="829">
      <c r="B829" s="13" t="str">
        <f>IF($K829="","",821)</f>
        <v/>
      </c>
      <c r="C829" s="13" t="str">
        <f>IF($K829="","",INDEX('Detalle individual'!$A:$A,$K829))</f>
        <v/>
      </c>
      <c r="D829" s="72" t="str">
        <f>IF($K829="","",TRIM(INDEX('Detalle individual'!$B:$B,$K829)))</f>
        <v/>
      </c>
      <c r="E829" s="72" t="str">
        <f>IF($K829="","",TRIM(INDEX('Detalle individual'!$E:$E,$K829)))</f>
        <v/>
      </c>
      <c r="F829" s="72" t="str">
        <f>IF($K829="","",TRIM(INDEX('Detalle individual'!$C:$C,$K829)))</f>
        <v/>
      </c>
      <c r="G829" s="72" t="str">
        <f>IF($K829="","",INDEX('Detalle individual'!$D:$D,$K829))</f>
        <v/>
      </c>
      <c r="H829" s="13" t="str">
        <f>IF($K829="","",INDEX('Detalle individual'!$F:$F,$K829))</f>
        <v/>
      </c>
      <c r="I829" s="20" t="str">
        <f>IF($K829="","",IF(INDEX('Detalle individual'!$F:$F,$K829)="Completado",INDEX('Detalle individual'!$H:$H,$K829),""))</f>
        <v/>
      </c>
      <c r="J829" s="21" t="str">
        <f>IF($K829="","",IF(INDEX('Detalle individual'!$F:$F,$K829)="Completado",INDEX('Detalle individual'!$J:$J,$K829),""))</f>
        <v/>
      </c>
      <c r="K829" t="str">
        <f>IFERROR(MOD(SMALL(Cálculos!$Z$5:$Z$1000,821),10000),"")</f>
        <v/>
      </c>
    </row>
    <row r="830">
      <c r="B830" s="13" t="str">
        <f>IF($K830="","",822)</f>
        <v/>
      </c>
      <c r="C830" s="13" t="str">
        <f>IF($K830="","",INDEX('Detalle individual'!$A:$A,$K830))</f>
        <v/>
      </c>
      <c r="D830" s="72" t="str">
        <f>IF($K830="","",TRIM(INDEX('Detalle individual'!$B:$B,$K830)))</f>
        <v/>
      </c>
      <c r="E830" s="72" t="str">
        <f>IF($K830="","",TRIM(INDEX('Detalle individual'!$E:$E,$K830)))</f>
        <v/>
      </c>
      <c r="F830" s="72" t="str">
        <f>IF($K830="","",TRIM(INDEX('Detalle individual'!$C:$C,$K830)))</f>
        <v/>
      </c>
      <c r="G830" s="72" t="str">
        <f>IF($K830="","",INDEX('Detalle individual'!$D:$D,$K830))</f>
        <v/>
      </c>
      <c r="H830" s="13" t="str">
        <f>IF($K830="","",INDEX('Detalle individual'!$F:$F,$K830))</f>
        <v/>
      </c>
      <c r="I830" s="20" t="str">
        <f>IF($K830="","",IF(INDEX('Detalle individual'!$F:$F,$K830)="Completado",INDEX('Detalle individual'!$H:$H,$K830),""))</f>
        <v/>
      </c>
      <c r="J830" s="21" t="str">
        <f>IF($K830="","",IF(INDEX('Detalle individual'!$F:$F,$K830)="Completado",INDEX('Detalle individual'!$J:$J,$K830),""))</f>
        <v/>
      </c>
      <c r="K830" t="str">
        <f>IFERROR(MOD(SMALL(Cálculos!$Z$5:$Z$1000,822),10000),"")</f>
        <v/>
      </c>
    </row>
    <row r="831">
      <c r="B831" s="13" t="str">
        <f>IF($K831="","",823)</f>
        <v/>
      </c>
      <c r="C831" s="13" t="str">
        <f>IF($K831="","",INDEX('Detalle individual'!$A:$A,$K831))</f>
        <v/>
      </c>
      <c r="D831" s="72" t="str">
        <f>IF($K831="","",TRIM(INDEX('Detalle individual'!$B:$B,$K831)))</f>
        <v/>
      </c>
      <c r="E831" s="72" t="str">
        <f>IF($K831="","",TRIM(INDEX('Detalle individual'!$E:$E,$K831)))</f>
        <v/>
      </c>
      <c r="F831" s="72" t="str">
        <f>IF($K831="","",TRIM(INDEX('Detalle individual'!$C:$C,$K831)))</f>
        <v/>
      </c>
      <c r="G831" s="72" t="str">
        <f>IF($K831="","",INDEX('Detalle individual'!$D:$D,$K831))</f>
        <v/>
      </c>
      <c r="H831" s="13" t="str">
        <f>IF($K831="","",INDEX('Detalle individual'!$F:$F,$K831))</f>
        <v/>
      </c>
      <c r="I831" s="20" t="str">
        <f>IF($K831="","",IF(INDEX('Detalle individual'!$F:$F,$K831)="Completado",INDEX('Detalle individual'!$H:$H,$K831),""))</f>
        <v/>
      </c>
      <c r="J831" s="21" t="str">
        <f>IF($K831="","",IF(INDEX('Detalle individual'!$F:$F,$K831)="Completado",INDEX('Detalle individual'!$J:$J,$K831),""))</f>
        <v/>
      </c>
      <c r="K831" t="str">
        <f>IFERROR(MOD(SMALL(Cálculos!$Z$5:$Z$1000,823),10000),"")</f>
        <v/>
      </c>
    </row>
    <row r="832">
      <c r="B832" s="13" t="str">
        <f>IF($K832="","",824)</f>
        <v/>
      </c>
      <c r="C832" s="13" t="str">
        <f>IF($K832="","",INDEX('Detalle individual'!$A:$A,$K832))</f>
        <v/>
      </c>
      <c r="D832" s="72" t="str">
        <f>IF($K832="","",TRIM(INDEX('Detalle individual'!$B:$B,$K832)))</f>
        <v/>
      </c>
      <c r="E832" s="72" t="str">
        <f>IF($K832="","",TRIM(INDEX('Detalle individual'!$E:$E,$K832)))</f>
        <v/>
      </c>
      <c r="F832" s="72" t="str">
        <f>IF($K832="","",TRIM(INDEX('Detalle individual'!$C:$C,$K832)))</f>
        <v/>
      </c>
      <c r="G832" s="72" t="str">
        <f>IF($K832="","",INDEX('Detalle individual'!$D:$D,$K832))</f>
        <v/>
      </c>
      <c r="H832" s="13" t="str">
        <f>IF($K832="","",INDEX('Detalle individual'!$F:$F,$K832))</f>
        <v/>
      </c>
      <c r="I832" s="20" t="str">
        <f>IF($K832="","",IF(INDEX('Detalle individual'!$F:$F,$K832)="Completado",INDEX('Detalle individual'!$H:$H,$K832),""))</f>
        <v/>
      </c>
      <c r="J832" s="21" t="str">
        <f>IF($K832="","",IF(INDEX('Detalle individual'!$F:$F,$K832)="Completado",INDEX('Detalle individual'!$J:$J,$K832),""))</f>
        <v/>
      </c>
      <c r="K832" t="str">
        <f>IFERROR(MOD(SMALL(Cálculos!$Z$5:$Z$1000,824),10000),"")</f>
        <v/>
      </c>
    </row>
    <row r="833">
      <c r="B833" s="13" t="str">
        <f>IF($K833="","",825)</f>
        <v/>
      </c>
      <c r="C833" s="13" t="str">
        <f>IF($K833="","",INDEX('Detalle individual'!$A:$A,$K833))</f>
        <v/>
      </c>
      <c r="D833" s="72" t="str">
        <f>IF($K833="","",TRIM(INDEX('Detalle individual'!$B:$B,$K833)))</f>
        <v/>
      </c>
      <c r="E833" s="72" t="str">
        <f>IF($K833="","",TRIM(INDEX('Detalle individual'!$E:$E,$K833)))</f>
        <v/>
      </c>
      <c r="F833" s="72" t="str">
        <f>IF($K833="","",TRIM(INDEX('Detalle individual'!$C:$C,$K833)))</f>
        <v/>
      </c>
      <c r="G833" s="72" t="str">
        <f>IF($K833="","",INDEX('Detalle individual'!$D:$D,$K833))</f>
        <v/>
      </c>
      <c r="H833" s="13" t="str">
        <f>IF($K833="","",INDEX('Detalle individual'!$F:$F,$K833))</f>
        <v/>
      </c>
      <c r="I833" s="20" t="str">
        <f>IF($K833="","",IF(INDEX('Detalle individual'!$F:$F,$K833)="Completado",INDEX('Detalle individual'!$H:$H,$K833),""))</f>
        <v/>
      </c>
      <c r="J833" s="21" t="str">
        <f>IF($K833="","",IF(INDEX('Detalle individual'!$F:$F,$K833)="Completado",INDEX('Detalle individual'!$J:$J,$K833),""))</f>
        <v/>
      </c>
      <c r="K833" t="str">
        <f>IFERROR(MOD(SMALL(Cálculos!$Z$5:$Z$1000,825),10000),"")</f>
        <v/>
      </c>
    </row>
    <row r="834">
      <c r="B834" s="13" t="str">
        <f>IF($K834="","",826)</f>
        <v/>
      </c>
      <c r="C834" s="13" t="str">
        <f>IF($K834="","",INDEX('Detalle individual'!$A:$A,$K834))</f>
        <v/>
      </c>
      <c r="D834" s="72" t="str">
        <f>IF($K834="","",TRIM(INDEX('Detalle individual'!$B:$B,$K834)))</f>
        <v/>
      </c>
      <c r="E834" s="72" t="str">
        <f>IF($K834="","",TRIM(INDEX('Detalle individual'!$E:$E,$K834)))</f>
        <v/>
      </c>
      <c r="F834" s="72" t="str">
        <f>IF($K834="","",TRIM(INDEX('Detalle individual'!$C:$C,$K834)))</f>
        <v/>
      </c>
      <c r="G834" s="72" t="str">
        <f>IF($K834="","",INDEX('Detalle individual'!$D:$D,$K834))</f>
        <v/>
      </c>
      <c r="H834" s="13" t="str">
        <f>IF($K834="","",INDEX('Detalle individual'!$F:$F,$K834))</f>
        <v/>
      </c>
      <c r="I834" s="20" t="str">
        <f>IF($K834="","",IF(INDEX('Detalle individual'!$F:$F,$K834)="Completado",INDEX('Detalle individual'!$H:$H,$K834),""))</f>
        <v/>
      </c>
      <c r="J834" s="21" t="str">
        <f>IF($K834="","",IF(INDEX('Detalle individual'!$F:$F,$K834)="Completado",INDEX('Detalle individual'!$J:$J,$K834),""))</f>
        <v/>
      </c>
      <c r="K834" t="str">
        <f>IFERROR(MOD(SMALL(Cálculos!$Z$5:$Z$1000,826),10000),"")</f>
        <v/>
      </c>
    </row>
    <row r="835">
      <c r="B835" s="13" t="str">
        <f>IF($K835="","",827)</f>
        <v/>
      </c>
      <c r="C835" s="13" t="str">
        <f>IF($K835="","",INDEX('Detalle individual'!$A:$A,$K835))</f>
        <v/>
      </c>
      <c r="D835" s="72" t="str">
        <f>IF($K835="","",TRIM(INDEX('Detalle individual'!$B:$B,$K835)))</f>
        <v/>
      </c>
      <c r="E835" s="72" t="str">
        <f>IF($K835="","",TRIM(INDEX('Detalle individual'!$E:$E,$K835)))</f>
        <v/>
      </c>
      <c r="F835" s="72" t="str">
        <f>IF($K835="","",TRIM(INDEX('Detalle individual'!$C:$C,$K835)))</f>
        <v/>
      </c>
      <c r="G835" s="72" t="str">
        <f>IF($K835="","",INDEX('Detalle individual'!$D:$D,$K835))</f>
        <v/>
      </c>
      <c r="H835" s="13" t="str">
        <f>IF($K835="","",INDEX('Detalle individual'!$F:$F,$K835))</f>
        <v/>
      </c>
      <c r="I835" s="20" t="str">
        <f>IF($K835="","",IF(INDEX('Detalle individual'!$F:$F,$K835)="Completado",INDEX('Detalle individual'!$H:$H,$K835),""))</f>
        <v/>
      </c>
      <c r="J835" s="21" t="str">
        <f>IF($K835="","",IF(INDEX('Detalle individual'!$F:$F,$K835)="Completado",INDEX('Detalle individual'!$J:$J,$K835),""))</f>
        <v/>
      </c>
      <c r="K835" t="str">
        <f>IFERROR(MOD(SMALL(Cálculos!$Z$5:$Z$1000,827),10000),"")</f>
        <v/>
      </c>
    </row>
    <row r="836">
      <c r="B836" s="13" t="str">
        <f>IF($K836="","",828)</f>
        <v/>
      </c>
      <c r="C836" s="13" t="str">
        <f>IF($K836="","",INDEX('Detalle individual'!$A:$A,$K836))</f>
        <v/>
      </c>
      <c r="D836" s="72" t="str">
        <f>IF($K836="","",TRIM(INDEX('Detalle individual'!$B:$B,$K836)))</f>
        <v/>
      </c>
      <c r="E836" s="72" t="str">
        <f>IF($K836="","",TRIM(INDEX('Detalle individual'!$E:$E,$K836)))</f>
        <v/>
      </c>
      <c r="F836" s="72" t="str">
        <f>IF($K836="","",TRIM(INDEX('Detalle individual'!$C:$C,$K836)))</f>
        <v/>
      </c>
      <c r="G836" s="72" t="str">
        <f>IF($K836="","",INDEX('Detalle individual'!$D:$D,$K836))</f>
        <v/>
      </c>
      <c r="H836" s="13" t="str">
        <f>IF($K836="","",INDEX('Detalle individual'!$F:$F,$K836))</f>
        <v/>
      </c>
      <c r="I836" s="20" t="str">
        <f>IF($K836="","",IF(INDEX('Detalle individual'!$F:$F,$K836)="Completado",INDEX('Detalle individual'!$H:$H,$K836),""))</f>
        <v/>
      </c>
      <c r="J836" s="21" t="str">
        <f>IF($K836="","",IF(INDEX('Detalle individual'!$F:$F,$K836)="Completado",INDEX('Detalle individual'!$J:$J,$K836),""))</f>
        <v/>
      </c>
      <c r="K836" t="str">
        <f>IFERROR(MOD(SMALL(Cálculos!$Z$5:$Z$1000,828),10000),"")</f>
        <v/>
      </c>
    </row>
    <row r="837">
      <c r="B837" s="13" t="str">
        <f>IF($K837="","",829)</f>
        <v/>
      </c>
      <c r="C837" s="13" t="str">
        <f>IF($K837="","",INDEX('Detalle individual'!$A:$A,$K837))</f>
        <v/>
      </c>
      <c r="D837" s="72" t="str">
        <f>IF($K837="","",TRIM(INDEX('Detalle individual'!$B:$B,$K837)))</f>
        <v/>
      </c>
      <c r="E837" s="72" t="str">
        <f>IF($K837="","",TRIM(INDEX('Detalle individual'!$E:$E,$K837)))</f>
        <v/>
      </c>
      <c r="F837" s="72" t="str">
        <f>IF($K837="","",TRIM(INDEX('Detalle individual'!$C:$C,$K837)))</f>
        <v/>
      </c>
      <c r="G837" s="72" t="str">
        <f>IF($K837="","",INDEX('Detalle individual'!$D:$D,$K837))</f>
        <v/>
      </c>
      <c r="H837" s="13" t="str">
        <f>IF($K837="","",INDEX('Detalle individual'!$F:$F,$K837))</f>
        <v/>
      </c>
      <c r="I837" s="20" t="str">
        <f>IF($K837="","",IF(INDEX('Detalle individual'!$F:$F,$K837)="Completado",INDEX('Detalle individual'!$H:$H,$K837),""))</f>
        <v/>
      </c>
      <c r="J837" s="21" t="str">
        <f>IF($K837="","",IF(INDEX('Detalle individual'!$F:$F,$K837)="Completado",INDEX('Detalle individual'!$J:$J,$K837),""))</f>
        <v/>
      </c>
      <c r="K837" t="str">
        <f>IFERROR(MOD(SMALL(Cálculos!$Z$5:$Z$1000,829),10000),"")</f>
        <v/>
      </c>
    </row>
    <row r="838">
      <c r="B838" s="13" t="str">
        <f>IF($K838="","",830)</f>
        <v/>
      </c>
      <c r="C838" s="13" t="str">
        <f>IF($K838="","",INDEX('Detalle individual'!$A:$A,$K838))</f>
        <v/>
      </c>
      <c r="D838" s="72" t="str">
        <f>IF($K838="","",TRIM(INDEX('Detalle individual'!$B:$B,$K838)))</f>
        <v/>
      </c>
      <c r="E838" s="72" t="str">
        <f>IF($K838="","",TRIM(INDEX('Detalle individual'!$E:$E,$K838)))</f>
        <v/>
      </c>
      <c r="F838" s="72" t="str">
        <f>IF($K838="","",TRIM(INDEX('Detalle individual'!$C:$C,$K838)))</f>
        <v/>
      </c>
      <c r="G838" s="72" t="str">
        <f>IF($K838="","",INDEX('Detalle individual'!$D:$D,$K838))</f>
        <v/>
      </c>
      <c r="H838" s="13" t="str">
        <f>IF($K838="","",INDEX('Detalle individual'!$F:$F,$K838))</f>
        <v/>
      </c>
      <c r="I838" s="20" t="str">
        <f>IF($K838="","",IF(INDEX('Detalle individual'!$F:$F,$K838)="Completado",INDEX('Detalle individual'!$H:$H,$K838),""))</f>
        <v/>
      </c>
      <c r="J838" s="21" t="str">
        <f>IF($K838="","",IF(INDEX('Detalle individual'!$F:$F,$K838)="Completado",INDEX('Detalle individual'!$J:$J,$K838),""))</f>
        <v/>
      </c>
      <c r="K838" t="str">
        <f>IFERROR(MOD(SMALL(Cálculos!$Z$5:$Z$1000,830),10000),"")</f>
        <v/>
      </c>
    </row>
    <row r="839">
      <c r="B839" s="13" t="str">
        <f>IF($K839="","",831)</f>
        <v/>
      </c>
      <c r="C839" s="13" t="str">
        <f>IF($K839="","",INDEX('Detalle individual'!$A:$A,$K839))</f>
        <v/>
      </c>
      <c r="D839" s="72" t="str">
        <f>IF($K839="","",TRIM(INDEX('Detalle individual'!$B:$B,$K839)))</f>
        <v/>
      </c>
      <c r="E839" s="72" t="str">
        <f>IF($K839="","",TRIM(INDEX('Detalle individual'!$E:$E,$K839)))</f>
        <v/>
      </c>
      <c r="F839" s="72" t="str">
        <f>IF($K839="","",TRIM(INDEX('Detalle individual'!$C:$C,$K839)))</f>
        <v/>
      </c>
      <c r="G839" s="72" t="str">
        <f>IF($K839="","",INDEX('Detalle individual'!$D:$D,$K839))</f>
        <v/>
      </c>
      <c r="H839" s="13" t="str">
        <f>IF($K839="","",INDEX('Detalle individual'!$F:$F,$K839))</f>
        <v/>
      </c>
      <c r="I839" s="20" t="str">
        <f>IF($K839="","",IF(INDEX('Detalle individual'!$F:$F,$K839)="Completado",INDEX('Detalle individual'!$H:$H,$K839),""))</f>
        <v/>
      </c>
      <c r="J839" s="21" t="str">
        <f>IF($K839="","",IF(INDEX('Detalle individual'!$F:$F,$K839)="Completado",INDEX('Detalle individual'!$J:$J,$K839),""))</f>
        <v/>
      </c>
      <c r="K839" t="str">
        <f>IFERROR(MOD(SMALL(Cálculos!$Z$5:$Z$1000,831),10000),"")</f>
        <v/>
      </c>
    </row>
    <row r="840">
      <c r="B840" s="13" t="str">
        <f>IF($K840="","",832)</f>
        <v/>
      </c>
      <c r="C840" s="13" t="str">
        <f>IF($K840="","",INDEX('Detalle individual'!$A:$A,$K840))</f>
        <v/>
      </c>
      <c r="D840" s="72" t="str">
        <f>IF($K840="","",TRIM(INDEX('Detalle individual'!$B:$B,$K840)))</f>
        <v/>
      </c>
      <c r="E840" s="72" t="str">
        <f>IF($K840="","",TRIM(INDEX('Detalle individual'!$E:$E,$K840)))</f>
        <v/>
      </c>
      <c r="F840" s="72" t="str">
        <f>IF($K840="","",TRIM(INDEX('Detalle individual'!$C:$C,$K840)))</f>
        <v/>
      </c>
      <c r="G840" s="72" t="str">
        <f>IF($K840="","",INDEX('Detalle individual'!$D:$D,$K840))</f>
        <v/>
      </c>
      <c r="H840" s="13" t="str">
        <f>IF($K840="","",INDEX('Detalle individual'!$F:$F,$K840))</f>
        <v/>
      </c>
      <c r="I840" s="20" t="str">
        <f>IF($K840="","",IF(INDEX('Detalle individual'!$F:$F,$K840)="Completado",INDEX('Detalle individual'!$H:$H,$K840),""))</f>
        <v/>
      </c>
      <c r="J840" s="21" t="str">
        <f>IF($K840="","",IF(INDEX('Detalle individual'!$F:$F,$K840)="Completado",INDEX('Detalle individual'!$J:$J,$K840),""))</f>
        <v/>
      </c>
      <c r="K840" t="str">
        <f>IFERROR(MOD(SMALL(Cálculos!$Z$5:$Z$1000,832),10000),"")</f>
        <v/>
      </c>
    </row>
    <row r="841">
      <c r="B841" s="13" t="str">
        <f>IF($K841="","",833)</f>
        <v/>
      </c>
      <c r="C841" s="13" t="str">
        <f>IF($K841="","",INDEX('Detalle individual'!$A:$A,$K841))</f>
        <v/>
      </c>
      <c r="D841" s="72" t="str">
        <f>IF($K841="","",TRIM(INDEX('Detalle individual'!$B:$B,$K841)))</f>
        <v/>
      </c>
      <c r="E841" s="72" t="str">
        <f>IF($K841="","",TRIM(INDEX('Detalle individual'!$E:$E,$K841)))</f>
        <v/>
      </c>
      <c r="F841" s="72" t="str">
        <f>IF($K841="","",TRIM(INDEX('Detalle individual'!$C:$C,$K841)))</f>
        <v/>
      </c>
      <c r="G841" s="72" t="str">
        <f>IF($K841="","",INDEX('Detalle individual'!$D:$D,$K841))</f>
        <v/>
      </c>
      <c r="H841" s="13" t="str">
        <f>IF($K841="","",INDEX('Detalle individual'!$F:$F,$K841))</f>
        <v/>
      </c>
      <c r="I841" s="20" t="str">
        <f>IF($K841="","",IF(INDEX('Detalle individual'!$F:$F,$K841)="Completado",INDEX('Detalle individual'!$H:$H,$K841),""))</f>
        <v/>
      </c>
      <c r="J841" s="21" t="str">
        <f>IF($K841="","",IF(INDEX('Detalle individual'!$F:$F,$K841)="Completado",INDEX('Detalle individual'!$J:$J,$K841),""))</f>
        <v/>
      </c>
      <c r="K841" t="str">
        <f>IFERROR(MOD(SMALL(Cálculos!$Z$5:$Z$1000,833),10000),"")</f>
        <v/>
      </c>
    </row>
    <row r="842">
      <c r="B842" s="13" t="str">
        <f>IF($K842="","",834)</f>
        <v/>
      </c>
      <c r="C842" s="13" t="str">
        <f>IF($K842="","",INDEX('Detalle individual'!$A:$A,$K842))</f>
        <v/>
      </c>
      <c r="D842" s="72" t="str">
        <f>IF($K842="","",TRIM(INDEX('Detalle individual'!$B:$B,$K842)))</f>
        <v/>
      </c>
      <c r="E842" s="72" t="str">
        <f>IF($K842="","",TRIM(INDEX('Detalle individual'!$E:$E,$K842)))</f>
        <v/>
      </c>
      <c r="F842" s="72" t="str">
        <f>IF($K842="","",TRIM(INDEX('Detalle individual'!$C:$C,$K842)))</f>
        <v/>
      </c>
      <c r="G842" s="72" t="str">
        <f>IF($K842="","",INDEX('Detalle individual'!$D:$D,$K842))</f>
        <v/>
      </c>
      <c r="H842" s="13" t="str">
        <f>IF($K842="","",INDEX('Detalle individual'!$F:$F,$K842))</f>
        <v/>
      </c>
      <c r="I842" s="20" t="str">
        <f>IF($K842="","",IF(INDEX('Detalle individual'!$F:$F,$K842)="Completado",INDEX('Detalle individual'!$H:$H,$K842),""))</f>
        <v/>
      </c>
      <c r="J842" s="21" t="str">
        <f>IF($K842="","",IF(INDEX('Detalle individual'!$F:$F,$K842)="Completado",INDEX('Detalle individual'!$J:$J,$K842),""))</f>
        <v/>
      </c>
      <c r="K842" t="str">
        <f>IFERROR(MOD(SMALL(Cálculos!$Z$5:$Z$1000,834),10000),"")</f>
        <v/>
      </c>
    </row>
    <row r="843">
      <c r="B843" s="13" t="str">
        <f>IF($K843="","",835)</f>
        <v/>
      </c>
      <c r="C843" s="13" t="str">
        <f>IF($K843="","",INDEX('Detalle individual'!$A:$A,$K843))</f>
        <v/>
      </c>
      <c r="D843" s="72" t="str">
        <f>IF($K843="","",TRIM(INDEX('Detalle individual'!$B:$B,$K843)))</f>
        <v/>
      </c>
      <c r="E843" s="72" t="str">
        <f>IF($K843="","",TRIM(INDEX('Detalle individual'!$E:$E,$K843)))</f>
        <v/>
      </c>
      <c r="F843" s="72" t="str">
        <f>IF($K843="","",TRIM(INDEX('Detalle individual'!$C:$C,$K843)))</f>
        <v/>
      </c>
      <c r="G843" s="72" t="str">
        <f>IF($K843="","",INDEX('Detalle individual'!$D:$D,$K843))</f>
        <v/>
      </c>
      <c r="H843" s="13" t="str">
        <f>IF($K843="","",INDEX('Detalle individual'!$F:$F,$K843))</f>
        <v/>
      </c>
      <c r="I843" s="20" t="str">
        <f>IF($K843="","",IF(INDEX('Detalle individual'!$F:$F,$K843)="Completado",INDEX('Detalle individual'!$H:$H,$K843),""))</f>
        <v/>
      </c>
      <c r="J843" s="21" t="str">
        <f>IF($K843="","",IF(INDEX('Detalle individual'!$F:$F,$K843)="Completado",INDEX('Detalle individual'!$J:$J,$K843),""))</f>
        <v/>
      </c>
      <c r="K843" t="str">
        <f>IFERROR(MOD(SMALL(Cálculos!$Z$5:$Z$1000,835),10000),"")</f>
        <v/>
      </c>
    </row>
    <row r="844">
      <c r="B844" s="13" t="str">
        <f>IF($K844="","",836)</f>
        <v/>
      </c>
      <c r="C844" s="13" t="str">
        <f>IF($K844="","",INDEX('Detalle individual'!$A:$A,$K844))</f>
        <v/>
      </c>
      <c r="D844" s="72" t="str">
        <f>IF($K844="","",TRIM(INDEX('Detalle individual'!$B:$B,$K844)))</f>
        <v/>
      </c>
      <c r="E844" s="72" t="str">
        <f>IF($K844="","",TRIM(INDEX('Detalle individual'!$E:$E,$K844)))</f>
        <v/>
      </c>
      <c r="F844" s="72" t="str">
        <f>IF($K844="","",TRIM(INDEX('Detalle individual'!$C:$C,$K844)))</f>
        <v/>
      </c>
      <c r="G844" s="72" t="str">
        <f>IF($K844="","",INDEX('Detalle individual'!$D:$D,$K844))</f>
        <v/>
      </c>
      <c r="H844" s="13" t="str">
        <f>IF($K844="","",INDEX('Detalle individual'!$F:$F,$K844))</f>
        <v/>
      </c>
      <c r="I844" s="20" t="str">
        <f>IF($K844="","",IF(INDEX('Detalle individual'!$F:$F,$K844)="Completado",INDEX('Detalle individual'!$H:$H,$K844),""))</f>
        <v/>
      </c>
      <c r="J844" s="21" t="str">
        <f>IF($K844="","",IF(INDEX('Detalle individual'!$F:$F,$K844)="Completado",INDEX('Detalle individual'!$J:$J,$K844),""))</f>
        <v/>
      </c>
      <c r="K844" t="str">
        <f>IFERROR(MOD(SMALL(Cálculos!$Z$5:$Z$1000,836),10000),"")</f>
        <v/>
      </c>
    </row>
    <row r="845">
      <c r="B845" s="13" t="str">
        <f>IF($K845="","",837)</f>
        <v/>
      </c>
      <c r="C845" s="13" t="str">
        <f>IF($K845="","",INDEX('Detalle individual'!$A:$A,$K845))</f>
        <v/>
      </c>
      <c r="D845" s="72" t="str">
        <f>IF($K845="","",TRIM(INDEX('Detalle individual'!$B:$B,$K845)))</f>
        <v/>
      </c>
      <c r="E845" s="72" t="str">
        <f>IF($K845="","",TRIM(INDEX('Detalle individual'!$E:$E,$K845)))</f>
        <v/>
      </c>
      <c r="F845" s="72" t="str">
        <f>IF($K845="","",TRIM(INDEX('Detalle individual'!$C:$C,$K845)))</f>
        <v/>
      </c>
      <c r="G845" s="72" t="str">
        <f>IF($K845="","",INDEX('Detalle individual'!$D:$D,$K845))</f>
        <v/>
      </c>
      <c r="H845" s="13" t="str">
        <f>IF($K845="","",INDEX('Detalle individual'!$F:$F,$K845))</f>
        <v/>
      </c>
      <c r="I845" s="20" t="str">
        <f>IF($K845="","",IF(INDEX('Detalle individual'!$F:$F,$K845)="Completado",INDEX('Detalle individual'!$H:$H,$K845),""))</f>
        <v/>
      </c>
      <c r="J845" s="21" t="str">
        <f>IF($K845="","",IF(INDEX('Detalle individual'!$F:$F,$K845)="Completado",INDEX('Detalle individual'!$J:$J,$K845),""))</f>
        <v/>
      </c>
      <c r="K845" t="str">
        <f>IFERROR(MOD(SMALL(Cálculos!$Z$5:$Z$1000,837),10000),"")</f>
        <v/>
      </c>
    </row>
    <row r="846">
      <c r="B846" s="13" t="str">
        <f>IF($K846="","",838)</f>
        <v/>
      </c>
      <c r="C846" s="13" t="str">
        <f>IF($K846="","",INDEX('Detalle individual'!$A:$A,$K846))</f>
        <v/>
      </c>
      <c r="D846" s="72" t="str">
        <f>IF($K846="","",TRIM(INDEX('Detalle individual'!$B:$B,$K846)))</f>
        <v/>
      </c>
      <c r="E846" s="72" t="str">
        <f>IF($K846="","",TRIM(INDEX('Detalle individual'!$E:$E,$K846)))</f>
        <v/>
      </c>
      <c r="F846" s="72" t="str">
        <f>IF($K846="","",TRIM(INDEX('Detalle individual'!$C:$C,$K846)))</f>
        <v/>
      </c>
      <c r="G846" s="72" t="str">
        <f>IF($K846="","",INDEX('Detalle individual'!$D:$D,$K846))</f>
        <v/>
      </c>
      <c r="H846" s="13" t="str">
        <f>IF($K846="","",INDEX('Detalle individual'!$F:$F,$K846))</f>
        <v/>
      </c>
      <c r="I846" s="20" t="str">
        <f>IF($K846="","",IF(INDEX('Detalle individual'!$F:$F,$K846)="Completado",INDEX('Detalle individual'!$H:$H,$K846),""))</f>
        <v/>
      </c>
      <c r="J846" s="21" t="str">
        <f>IF($K846="","",IF(INDEX('Detalle individual'!$F:$F,$K846)="Completado",INDEX('Detalle individual'!$J:$J,$K846),""))</f>
        <v/>
      </c>
      <c r="K846" t="str">
        <f>IFERROR(MOD(SMALL(Cálculos!$Z$5:$Z$1000,838),10000),"")</f>
        <v/>
      </c>
    </row>
    <row r="847">
      <c r="B847" s="13" t="str">
        <f>IF($K847="","",839)</f>
        <v/>
      </c>
      <c r="C847" s="13" t="str">
        <f>IF($K847="","",INDEX('Detalle individual'!$A:$A,$K847))</f>
        <v/>
      </c>
      <c r="D847" s="72" t="str">
        <f>IF($K847="","",TRIM(INDEX('Detalle individual'!$B:$B,$K847)))</f>
        <v/>
      </c>
      <c r="E847" s="72" t="str">
        <f>IF($K847="","",TRIM(INDEX('Detalle individual'!$E:$E,$K847)))</f>
        <v/>
      </c>
      <c r="F847" s="72" t="str">
        <f>IF($K847="","",TRIM(INDEX('Detalle individual'!$C:$C,$K847)))</f>
        <v/>
      </c>
      <c r="G847" s="72" t="str">
        <f>IF($K847="","",INDEX('Detalle individual'!$D:$D,$K847))</f>
        <v/>
      </c>
      <c r="H847" s="13" t="str">
        <f>IF($K847="","",INDEX('Detalle individual'!$F:$F,$K847))</f>
        <v/>
      </c>
      <c r="I847" s="20" t="str">
        <f>IF($K847="","",IF(INDEX('Detalle individual'!$F:$F,$K847)="Completado",INDEX('Detalle individual'!$H:$H,$K847),""))</f>
        <v/>
      </c>
      <c r="J847" s="21" t="str">
        <f>IF($K847="","",IF(INDEX('Detalle individual'!$F:$F,$K847)="Completado",INDEX('Detalle individual'!$J:$J,$K847),""))</f>
        <v/>
      </c>
      <c r="K847" t="str">
        <f>IFERROR(MOD(SMALL(Cálculos!$Z$5:$Z$1000,839),10000),"")</f>
        <v/>
      </c>
    </row>
    <row r="848">
      <c r="B848" s="13" t="str">
        <f>IF($K848="","",840)</f>
        <v/>
      </c>
      <c r="C848" s="13" t="str">
        <f>IF($K848="","",INDEX('Detalle individual'!$A:$A,$K848))</f>
        <v/>
      </c>
      <c r="D848" s="72" t="str">
        <f>IF($K848="","",TRIM(INDEX('Detalle individual'!$B:$B,$K848)))</f>
        <v/>
      </c>
      <c r="E848" s="72" t="str">
        <f>IF($K848="","",TRIM(INDEX('Detalle individual'!$E:$E,$K848)))</f>
        <v/>
      </c>
      <c r="F848" s="72" t="str">
        <f>IF($K848="","",TRIM(INDEX('Detalle individual'!$C:$C,$K848)))</f>
        <v/>
      </c>
      <c r="G848" s="72" t="str">
        <f>IF($K848="","",INDEX('Detalle individual'!$D:$D,$K848))</f>
        <v/>
      </c>
      <c r="H848" s="13" t="str">
        <f>IF($K848="","",INDEX('Detalle individual'!$F:$F,$K848))</f>
        <v/>
      </c>
      <c r="I848" s="20" t="str">
        <f>IF($K848="","",IF(INDEX('Detalle individual'!$F:$F,$K848)="Completado",INDEX('Detalle individual'!$H:$H,$K848),""))</f>
        <v/>
      </c>
      <c r="J848" s="21" t="str">
        <f>IF($K848="","",IF(INDEX('Detalle individual'!$F:$F,$K848)="Completado",INDEX('Detalle individual'!$J:$J,$K848),""))</f>
        <v/>
      </c>
      <c r="K848" t="str">
        <f>IFERROR(MOD(SMALL(Cálculos!$Z$5:$Z$1000,840),10000),"")</f>
        <v/>
      </c>
    </row>
    <row r="849">
      <c r="B849" s="13" t="str">
        <f>IF($K849="","",841)</f>
        <v/>
      </c>
      <c r="C849" s="13" t="str">
        <f>IF($K849="","",INDEX('Detalle individual'!$A:$A,$K849))</f>
        <v/>
      </c>
      <c r="D849" s="72" t="str">
        <f>IF($K849="","",TRIM(INDEX('Detalle individual'!$B:$B,$K849)))</f>
        <v/>
      </c>
      <c r="E849" s="72" t="str">
        <f>IF($K849="","",TRIM(INDEX('Detalle individual'!$E:$E,$K849)))</f>
        <v/>
      </c>
      <c r="F849" s="72" t="str">
        <f>IF($K849="","",TRIM(INDEX('Detalle individual'!$C:$C,$K849)))</f>
        <v/>
      </c>
      <c r="G849" s="72" t="str">
        <f>IF($K849="","",INDEX('Detalle individual'!$D:$D,$K849))</f>
        <v/>
      </c>
      <c r="H849" s="13" t="str">
        <f>IF($K849="","",INDEX('Detalle individual'!$F:$F,$K849))</f>
        <v/>
      </c>
      <c r="I849" s="20" t="str">
        <f>IF($K849="","",IF(INDEX('Detalle individual'!$F:$F,$K849)="Completado",INDEX('Detalle individual'!$H:$H,$K849),""))</f>
        <v/>
      </c>
      <c r="J849" s="21" t="str">
        <f>IF($K849="","",IF(INDEX('Detalle individual'!$F:$F,$K849)="Completado",INDEX('Detalle individual'!$J:$J,$K849),""))</f>
        <v/>
      </c>
      <c r="K849" t="str">
        <f>IFERROR(MOD(SMALL(Cálculos!$Z$5:$Z$1000,841),10000),"")</f>
        <v/>
      </c>
    </row>
    <row r="850">
      <c r="B850" s="13" t="str">
        <f>IF($K850="","",842)</f>
        <v/>
      </c>
      <c r="C850" s="13" t="str">
        <f>IF($K850="","",INDEX('Detalle individual'!$A:$A,$K850))</f>
        <v/>
      </c>
      <c r="D850" s="72" t="str">
        <f>IF($K850="","",TRIM(INDEX('Detalle individual'!$B:$B,$K850)))</f>
        <v/>
      </c>
      <c r="E850" s="72" t="str">
        <f>IF($K850="","",TRIM(INDEX('Detalle individual'!$E:$E,$K850)))</f>
        <v/>
      </c>
      <c r="F850" s="72" t="str">
        <f>IF($K850="","",TRIM(INDEX('Detalle individual'!$C:$C,$K850)))</f>
        <v/>
      </c>
      <c r="G850" s="72" t="str">
        <f>IF($K850="","",INDEX('Detalle individual'!$D:$D,$K850))</f>
        <v/>
      </c>
      <c r="H850" s="13" t="str">
        <f>IF($K850="","",INDEX('Detalle individual'!$F:$F,$K850))</f>
        <v/>
      </c>
      <c r="I850" s="20" t="str">
        <f>IF($K850="","",IF(INDEX('Detalle individual'!$F:$F,$K850)="Completado",INDEX('Detalle individual'!$H:$H,$K850),""))</f>
        <v/>
      </c>
      <c r="J850" s="21" t="str">
        <f>IF($K850="","",IF(INDEX('Detalle individual'!$F:$F,$K850)="Completado",INDEX('Detalle individual'!$J:$J,$K850),""))</f>
        <v/>
      </c>
      <c r="K850" t="str">
        <f>IFERROR(MOD(SMALL(Cálculos!$Z$5:$Z$1000,842),10000),"")</f>
        <v/>
      </c>
    </row>
    <row r="851">
      <c r="B851" s="13" t="str">
        <f>IF($K851="","",843)</f>
        <v/>
      </c>
      <c r="C851" s="13" t="str">
        <f>IF($K851="","",INDEX('Detalle individual'!$A:$A,$K851))</f>
        <v/>
      </c>
      <c r="D851" s="72" t="str">
        <f>IF($K851="","",TRIM(INDEX('Detalle individual'!$B:$B,$K851)))</f>
        <v/>
      </c>
      <c r="E851" s="72" t="str">
        <f>IF($K851="","",TRIM(INDEX('Detalle individual'!$E:$E,$K851)))</f>
        <v/>
      </c>
      <c r="F851" s="72" t="str">
        <f>IF($K851="","",TRIM(INDEX('Detalle individual'!$C:$C,$K851)))</f>
        <v/>
      </c>
      <c r="G851" s="72" t="str">
        <f>IF($K851="","",INDEX('Detalle individual'!$D:$D,$K851))</f>
        <v/>
      </c>
      <c r="H851" s="13" t="str">
        <f>IF($K851="","",INDEX('Detalle individual'!$F:$F,$K851))</f>
        <v/>
      </c>
      <c r="I851" s="20" t="str">
        <f>IF($K851="","",IF(INDEX('Detalle individual'!$F:$F,$K851)="Completado",INDEX('Detalle individual'!$H:$H,$K851),""))</f>
        <v/>
      </c>
      <c r="J851" s="21" t="str">
        <f>IF($K851="","",IF(INDEX('Detalle individual'!$F:$F,$K851)="Completado",INDEX('Detalle individual'!$J:$J,$K851),""))</f>
        <v/>
      </c>
      <c r="K851" t="str">
        <f>IFERROR(MOD(SMALL(Cálculos!$Z$5:$Z$1000,843),10000),"")</f>
        <v/>
      </c>
    </row>
    <row r="852">
      <c r="B852" s="13" t="str">
        <f>IF($K852="","",844)</f>
        <v/>
      </c>
      <c r="C852" s="13" t="str">
        <f>IF($K852="","",INDEX('Detalle individual'!$A:$A,$K852))</f>
        <v/>
      </c>
      <c r="D852" s="72" t="str">
        <f>IF($K852="","",TRIM(INDEX('Detalle individual'!$B:$B,$K852)))</f>
        <v/>
      </c>
      <c r="E852" s="72" t="str">
        <f>IF($K852="","",TRIM(INDEX('Detalle individual'!$E:$E,$K852)))</f>
        <v/>
      </c>
      <c r="F852" s="72" t="str">
        <f>IF($K852="","",TRIM(INDEX('Detalle individual'!$C:$C,$K852)))</f>
        <v/>
      </c>
      <c r="G852" s="72" t="str">
        <f>IF($K852="","",INDEX('Detalle individual'!$D:$D,$K852))</f>
        <v/>
      </c>
      <c r="H852" s="13" t="str">
        <f>IF($K852="","",INDEX('Detalle individual'!$F:$F,$K852))</f>
        <v/>
      </c>
      <c r="I852" s="20" t="str">
        <f>IF($K852="","",IF(INDEX('Detalle individual'!$F:$F,$K852)="Completado",INDEX('Detalle individual'!$H:$H,$K852),""))</f>
        <v/>
      </c>
      <c r="J852" s="21" t="str">
        <f>IF($K852="","",IF(INDEX('Detalle individual'!$F:$F,$K852)="Completado",INDEX('Detalle individual'!$J:$J,$K852),""))</f>
        <v/>
      </c>
      <c r="K852" t="str">
        <f>IFERROR(MOD(SMALL(Cálculos!$Z$5:$Z$1000,844),10000),"")</f>
        <v/>
      </c>
    </row>
    <row r="853">
      <c r="B853" s="13" t="str">
        <f>IF($K853="","",845)</f>
        <v/>
      </c>
      <c r="C853" s="13" t="str">
        <f>IF($K853="","",INDEX('Detalle individual'!$A:$A,$K853))</f>
        <v/>
      </c>
      <c r="D853" s="72" t="str">
        <f>IF($K853="","",TRIM(INDEX('Detalle individual'!$B:$B,$K853)))</f>
        <v/>
      </c>
      <c r="E853" s="72" t="str">
        <f>IF($K853="","",TRIM(INDEX('Detalle individual'!$E:$E,$K853)))</f>
        <v/>
      </c>
      <c r="F853" s="72" t="str">
        <f>IF($K853="","",TRIM(INDEX('Detalle individual'!$C:$C,$K853)))</f>
        <v/>
      </c>
      <c r="G853" s="72" t="str">
        <f>IF($K853="","",INDEX('Detalle individual'!$D:$D,$K853))</f>
        <v/>
      </c>
      <c r="H853" s="13" t="str">
        <f>IF($K853="","",INDEX('Detalle individual'!$F:$F,$K853))</f>
        <v/>
      </c>
      <c r="I853" s="20" t="str">
        <f>IF($K853="","",IF(INDEX('Detalle individual'!$F:$F,$K853)="Completado",INDEX('Detalle individual'!$H:$H,$K853),""))</f>
        <v/>
      </c>
      <c r="J853" s="21" t="str">
        <f>IF($K853="","",IF(INDEX('Detalle individual'!$F:$F,$K853)="Completado",INDEX('Detalle individual'!$J:$J,$K853),""))</f>
        <v/>
      </c>
      <c r="K853" t="str">
        <f>IFERROR(MOD(SMALL(Cálculos!$Z$5:$Z$1000,845),10000),"")</f>
        <v/>
      </c>
    </row>
    <row r="854">
      <c r="B854" s="13" t="str">
        <f>IF($K854="","",846)</f>
        <v/>
      </c>
      <c r="C854" s="13" t="str">
        <f>IF($K854="","",INDEX('Detalle individual'!$A:$A,$K854))</f>
        <v/>
      </c>
      <c r="D854" s="72" t="str">
        <f>IF($K854="","",TRIM(INDEX('Detalle individual'!$B:$B,$K854)))</f>
        <v/>
      </c>
      <c r="E854" s="72" t="str">
        <f>IF($K854="","",TRIM(INDEX('Detalle individual'!$E:$E,$K854)))</f>
        <v/>
      </c>
      <c r="F854" s="72" t="str">
        <f>IF($K854="","",TRIM(INDEX('Detalle individual'!$C:$C,$K854)))</f>
        <v/>
      </c>
      <c r="G854" s="72" t="str">
        <f>IF($K854="","",INDEX('Detalle individual'!$D:$D,$K854))</f>
        <v/>
      </c>
      <c r="H854" s="13" t="str">
        <f>IF($K854="","",INDEX('Detalle individual'!$F:$F,$K854))</f>
        <v/>
      </c>
      <c r="I854" s="20" t="str">
        <f>IF($K854="","",IF(INDEX('Detalle individual'!$F:$F,$K854)="Completado",INDEX('Detalle individual'!$H:$H,$K854),""))</f>
        <v/>
      </c>
      <c r="J854" s="21" t="str">
        <f>IF($K854="","",IF(INDEX('Detalle individual'!$F:$F,$K854)="Completado",INDEX('Detalle individual'!$J:$J,$K854),""))</f>
        <v/>
      </c>
      <c r="K854" t="str">
        <f>IFERROR(MOD(SMALL(Cálculos!$Z$5:$Z$1000,846),10000),"")</f>
        <v/>
      </c>
    </row>
    <row r="855">
      <c r="B855" s="13" t="str">
        <f>IF($K855="","",847)</f>
        <v/>
      </c>
      <c r="C855" s="13" t="str">
        <f>IF($K855="","",INDEX('Detalle individual'!$A:$A,$K855))</f>
        <v/>
      </c>
      <c r="D855" s="72" t="str">
        <f>IF($K855="","",TRIM(INDEX('Detalle individual'!$B:$B,$K855)))</f>
        <v/>
      </c>
      <c r="E855" s="72" t="str">
        <f>IF($K855="","",TRIM(INDEX('Detalle individual'!$E:$E,$K855)))</f>
        <v/>
      </c>
      <c r="F855" s="72" t="str">
        <f>IF($K855="","",TRIM(INDEX('Detalle individual'!$C:$C,$K855)))</f>
        <v/>
      </c>
      <c r="G855" s="72" t="str">
        <f>IF($K855="","",INDEX('Detalle individual'!$D:$D,$K855))</f>
        <v/>
      </c>
      <c r="H855" s="13" t="str">
        <f>IF($K855="","",INDEX('Detalle individual'!$F:$F,$K855))</f>
        <v/>
      </c>
      <c r="I855" s="20" t="str">
        <f>IF($K855="","",IF(INDEX('Detalle individual'!$F:$F,$K855)="Completado",INDEX('Detalle individual'!$H:$H,$K855),""))</f>
        <v/>
      </c>
      <c r="J855" s="21" t="str">
        <f>IF($K855="","",IF(INDEX('Detalle individual'!$F:$F,$K855)="Completado",INDEX('Detalle individual'!$J:$J,$K855),""))</f>
        <v/>
      </c>
      <c r="K855" t="str">
        <f>IFERROR(MOD(SMALL(Cálculos!$Z$5:$Z$1000,847),10000),"")</f>
        <v/>
      </c>
    </row>
    <row r="856">
      <c r="B856" s="13" t="str">
        <f>IF($K856="","",848)</f>
        <v/>
      </c>
      <c r="C856" s="13" t="str">
        <f>IF($K856="","",INDEX('Detalle individual'!$A:$A,$K856))</f>
        <v/>
      </c>
      <c r="D856" s="72" t="str">
        <f>IF($K856="","",TRIM(INDEX('Detalle individual'!$B:$B,$K856)))</f>
        <v/>
      </c>
      <c r="E856" s="72" t="str">
        <f>IF($K856="","",TRIM(INDEX('Detalle individual'!$E:$E,$K856)))</f>
        <v/>
      </c>
      <c r="F856" s="72" t="str">
        <f>IF($K856="","",TRIM(INDEX('Detalle individual'!$C:$C,$K856)))</f>
        <v/>
      </c>
      <c r="G856" s="72" t="str">
        <f>IF($K856="","",INDEX('Detalle individual'!$D:$D,$K856))</f>
        <v/>
      </c>
      <c r="H856" s="13" t="str">
        <f>IF($K856="","",INDEX('Detalle individual'!$F:$F,$K856))</f>
        <v/>
      </c>
      <c r="I856" s="20" t="str">
        <f>IF($K856="","",IF(INDEX('Detalle individual'!$F:$F,$K856)="Completado",INDEX('Detalle individual'!$H:$H,$K856),""))</f>
        <v/>
      </c>
      <c r="J856" s="21" t="str">
        <f>IF($K856="","",IF(INDEX('Detalle individual'!$F:$F,$K856)="Completado",INDEX('Detalle individual'!$J:$J,$K856),""))</f>
        <v/>
      </c>
      <c r="K856" t="str">
        <f>IFERROR(MOD(SMALL(Cálculos!$Z$5:$Z$1000,848),10000),"")</f>
        <v/>
      </c>
    </row>
    <row r="857">
      <c r="B857" s="13" t="str">
        <f>IF($K857="","",849)</f>
        <v/>
      </c>
      <c r="C857" s="13" t="str">
        <f>IF($K857="","",INDEX('Detalle individual'!$A:$A,$K857))</f>
        <v/>
      </c>
      <c r="D857" s="72" t="str">
        <f>IF($K857="","",TRIM(INDEX('Detalle individual'!$B:$B,$K857)))</f>
        <v/>
      </c>
      <c r="E857" s="72" t="str">
        <f>IF($K857="","",TRIM(INDEX('Detalle individual'!$E:$E,$K857)))</f>
        <v/>
      </c>
      <c r="F857" s="72" t="str">
        <f>IF($K857="","",TRIM(INDEX('Detalle individual'!$C:$C,$K857)))</f>
        <v/>
      </c>
      <c r="G857" s="72" t="str">
        <f>IF($K857="","",INDEX('Detalle individual'!$D:$D,$K857))</f>
        <v/>
      </c>
      <c r="H857" s="13" t="str">
        <f>IF($K857="","",INDEX('Detalle individual'!$F:$F,$K857))</f>
        <v/>
      </c>
      <c r="I857" s="20" t="str">
        <f>IF($K857="","",IF(INDEX('Detalle individual'!$F:$F,$K857)="Completado",INDEX('Detalle individual'!$H:$H,$K857),""))</f>
        <v/>
      </c>
      <c r="J857" s="21" t="str">
        <f>IF($K857="","",IF(INDEX('Detalle individual'!$F:$F,$K857)="Completado",INDEX('Detalle individual'!$J:$J,$K857),""))</f>
        <v/>
      </c>
      <c r="K857" t="str">
        <f>IFERROR(MOD(SMALL(Cálculos!$Z$5:$Z$1000,849),10000),"")</f>
        <v/>
      </c>
    </row>
    <row r="858">
      <c r="B858" s="13" t="str">
        <f>IF($K858="","",850)</f>
        <v/>
      </c>
      <c r="C858" s="13" t="str">
        <f>IF($K858="","",INDEX('Detalle individual'!$A:$A,$K858))</f>
        <v/>
      </c>
      <c r="D858" s="72" t="str">
        <f>IF($K858="","",TRIM(INDEX('Detalle individual'!$B:$B,$K858)))</f>
        <v/>
      </c>
      <c r="E858" s="72" t="str">
        <f>IF($K858="","",TRIM(INDEX('Detalle individual'!$E:$E,$K858)))</f>
        <v/>
      </c>
      <c r="F858" s="72" t="str">
        <f>IF($K858="","",TRIM(INDEX('Detalle individual'!$C:$C,$K858)))</f>
        <v/>
      </c>
      <c r="G858" s="72" t="str">
        <f>IF($K858="","",INDEX('Detalle individual'!$D:$D,$K858))</f>
        <v/>
      </c>
      <c r="H858" s="13" t="str">
        <f>IF($K858="","",INDEX('Detalle individual'!$F:$F,$K858))</f>
        <v/>
      </c>
      <c r="I858" s="20" t="str">
        <f>IF($K858="","",IF(INDEX('Detalle individual'!$F:$F,$K858)="Completado",INDEX('Detalle individual'!$H:$H,$K858),""))</f>
        <v/>
      </c>
      <c r="J858" s="21" t="str">
        <f>IF($K858="","",IF(INDEX('Detalle individual'!$F:$F,$K858)="Completado",INDEX('Detalle individual'!$J:$J,$K858),""))</f>
        <v/>
      </c>
      <c r="K858" t="str">
        <f>IFERROR(MOD(SMALL(Cálculos!$Z$5:$Z$1000,850),10000),"")</f>
        <v/>
      </c>
    </row>
    <row r="859">
      <c r="B859" s="13" t="str">
        <f>IF($K859="","",851)</f>
        <v/>
      </c>
      <c r="C859" s="13" t="str">
        <f>IF($K859="","",INDEX('Detalle individual'!$A:$A,$K859))</f>
        <v/>
      </c>
      <c r="D859" s="72" t="str">
        <f>IF($K859="","",TRIM(INDEX('Detalle individual'!$B:$B,$K859)))</f>
        <v/>
      </c>
      <c r="E859" s="72" t="str">
        <f>IF($K859="","",TRIM(INDEX('Detalle individual'!$E:$E,$K859)))</f>
        <v/>
      </c>
      <c r="F859" s="72" t="str">
        <f>IF($K859="","",TRIM(INDEX('Detalle individual'!$C:$C,$K859)))</f>
        <v/>
      </c>
      <c r="G859" s="72" t="str">
        <f>IF($K859="","",INDEX('Detalle individual'!$D:$D,$K859))</f>
        <v/>
      </c>
      <c r="H859" s="13" t="str">
        <f>IF($K859="","",INDEX('Detalle individual'!$F:$F,$K859))</f>
        <v/>
      </c>
      <c r="I859" s="20" t="str">
        <f>IF($K859="","",IF(INDEX('Detalle individual'!$F:$F,$K859)="Completado",INDEX('Detalle individual'!$H:$H,$K859),""))</f>
        <v/>
      </c>
      <c r="J859" s="21" t="str">
        <f>IF($K859="","",IF(INDEX('Detalle individual'!$F:$F,$K859)="Completado",INDEX('Detalle individual'!$J:$J,$K859),""))</f>
        <v/>
      </c>
      <c r="K859" t="str">
        <f>IFERROR(MOD(SMALL(Cálculos!$Z$5:$Z$1000,851),10000),"")</f>
        <v/>
      </c>
    </row>
    <row r="860">
      <c r="B860" s="13" t="str">
        <f>IF($K860="","",852)</f>
        <v/>
      </c>
      <c r="C860" s="13" t="str">
        <f>IF($K860="","",INDEX('Detalle individual'!$A:$A,$K860))</f>
        <v/>
      </c>
      <c r="D860" s="72" t="str">
        <f>IF($K860="","",TRIM(INDEX('Detalle individual'!$B:$B,$K860)))</f>
        <v/>
      </c>
      <c r="E860" s="72" t="str">
        <f>IF($K860="","",TRIM(INDEX('Detalle individual'!$E:$E,$K860)))</f>
        <v/>
      </c>
      <c r="F860" s="72" t="str">
        <f>IF($K860="","",TRIM(INDEX('Detalle individual'!$C:$C,$K860)))</f>
        <v/>
      </c>
      <c r="G860" s="72" t="str">
        <f>IF($K860="","",INDEX('Detalle individual'!$D:$D,$K860))</f>
        <v/>
      </c>
      <c r="H860" s="13" t="str">
        <f>IF($K860="","",INDEX('Detalle individual'!$F:$F,$K860))</f>
        <v/>
      </c>
      <c r="I860" s="20" t="str">
        <f>IF($K860="","",IF(INDEX('Detalle individual'!$F:$F,$K860)="Completado",INDEX('Detalle individual'!$H:$H,$K860),""))</f>
        <v/>
      </c>
      <c r="J860" s="21" t="str">
        <f>IF($K860="","",IF(INDEX('Detalle individual'!$F:$F,$K860)="Completado",INDEX('Detalle individual'!$J:$J,$K860),""))</f>
        <v/>
      </c>
      <c r="K860" t="str">
        <f>IFERROR(MOD(SMALL(Cálculos!$Z$5:$Z$1000,852),10000),"")</f>
        <v/>
      </c>
    </row>
    <row r="861">
      <c r="B861" s="13" t="str">
        <f>IF($K861="","",853)</f>
        <v/>
      </c>
      <c r="C861" s="13" t="str">
        <f>IF($K861="","",INDEX('Detalle individual'!$A:$A,$K861))</f>
        <v/>
      </c>
      <c r="D861" s="72" t="str">
        <f>IF($K861="","",TRIM(INDEX('Detalle individual'!$B:$B,$K861)))</f>
        <v/>
      </c>
      <c r="E861" s="72" t="str">
        <f>IF($K861="","",TRIM(INDEX('Detalle individual'!$E:$E,$K861)))</f>
        <v/>
      </c>
      <c r="F861" s="72" t="str">
        <f>IF($K861="","",TRIM(INDEX('Detalle individual'!$C:$C,$K861)))</f>
        <v/>
      </c>
      <c r="G861" s="72" t="str">
        <f>IF($K861="","",INDEX('Detalle individual'!$D:$D,$K861))</f>
        <v/>
      </c>
      <c r="H861" s="13" t="str">
        <f>IF($K861="","",INDEX('Detalle individual'!$F:$F,$K861))</f>
        <v/>
      </c>
      <c r="I861" s="20" t="str">
        <f>IF($K861="","",IF(INDEX('Detalle individual'!$F:$F,$K861)="Completado",INDEX('Detalle individual'!$H:$H,$K861),""))</f>
        <v/>
      </c>
      <c r="J861" s="21" t="str">
        <f>IF($K861="","",IF(INDEX('Detalle individual'!$F:$F,$K861)="Completado",INDEX('Detalle individual'!$J:$J,$K861),""))</f>
        <v/>
      </c>
      <c r="K861" t="str">
        <f>IFERROR(MOD(SMALL(Cálculos!$Z$5:$Z$1000,853),10000),"")</f>
        <v/>
      </c>
    </row>
    <row r="862">
      <c r="B862" s="13" t="str">
        <f>IF($K862="","",854)</f>
        <v/>
      </c>
      <c r="C862" s="13" t="str">
        <f>IF($K862="","",INDEX('Detalle individual'!$A:$A,$K862))</f>
        <v/>
      </c>
      <c r="D862" s="72" t="str">
        <f>IF($K862="","",TRIM(INDEX('Detalle individual'!$B:$B,$K862)))</f>
        <v/>
      </c>
      <c r="E862" s="72" t="str">
        <f>IF($K862="","",TRIM(INDEX('Detalle individual'!$E:$E,$K862)))</f>
        <v/>
      </c>
      <c r="F862" s="72" t="str">
        <f>IF($K862="","",TRIM(INDEX('Detalle individual'!$C:$C,$K862)))</f>
        <v/>
      </c>
      <c r="G862" s="72" t="str">
        <f>IF($K862="","",INDEX('Detalle individual'!$D:$D,$K862))</f>
        <v/>
      </c>
      <c r="H862" s="13" t="str">
        <f>IF($K862="","",INDEX('Detalle individual'!$F:$F,$K862))</f>
        <v/>
      </c>
      <c r="I862" s="20" t="str">
        <f>IF($K862="","",IF(INDEX('Detalle individual'!$F:$F,$K862)="Completado",INDEX('Detalle individual'!$H:$H,$K862),""))</f>
        <v/>
      </c>
      <c r="J862" s="21" t="str">
        <f>IF($K862="","",IF(INDEX('Detalle individual'!$F:$F,$K862)="Completado",INDEX('Detalle individual'!$J:$J,$K862),""))</f>
        <v/>
      </c>
      <c r="K862" t="str">
        <f>IFERROR(MOD(SMALL(Cálculos!$Z$5:$Z$1000,854),10000),"")</f>
        <v/>
      </c>
    </row>
    <row r="863">
      <c r="B863" s="13" t="str">
        <f>IF($K863="","",855)</f>
        <v/>
      </c>
      <c r="C863" s="13" t="str">
        <f>IF($K863="","",INDEX('Detalle individual'!$A:$A,$K863))</f>
        <v/>
      </c>
      <c r="D863" s="72" t="str">
        <f>IF($K863="","",TRIM(INDEX('Detalle individual'!$B:$B,$K863)))</f>
        <v/>
      </c>
      <c r="E863" s="72" t="str">
        <f>IF($K863="","",TRIM(INDEX('Detalle individual'!$E:$E,$K863)))</f>
        <v/>
      </c>
      <c r="F863" s="72" t="str">
        <f>IF($K863="","",TRIM(INDEX('Detalle individual'!$C:$C,$K863)))</f>
        <v/>
      </c>
      <c r="G863" s="72" t="str">
        <f>IF($K863="","",INDEX('Detalle individual'!$D:$D,$K863))</f>
        <v/>
      </c>
      <c r="H863" s="13" t="str">
        <f>IF($K863="","",INDEX('Detalle individual'!$F:$F,$K863))</f>
        <v/>
      </c>
      <c r="I863" s="20" t="str">
        <f>IF($K863="","",IF(INDEX('Detalle individual'!$F:$F,$K863)="Completado",INDEX('Detalle individual'!$H:$H,$K863),""))</f>
        <v/>
      </c>
      <c r="J863" s="21" t="str">
        <f>IF($K863="","",IF(INDEX('Detalle individual'!$F:$F,$K863)="Completado",INDEX('Detalle individual'!$J:$J,$K863),""))</f>
        <v/>
      </c>
      <c r="K863" t="str">
        <f>IFERROR(MOD(SMALL(Cálculos!$Z$5:$Z$1000,855),10000),"")</f>
        <v/>
      </c>
    </row>
    <row r="864">
      <c r="B864" s="13" t="str">
        <f>IF($K864="","",856)</f>
        <v/>
      </c>
      <c r="C864" s="13" t="str">
        <f>IF($K864="","",INDEX('Detalle individual'!$A:$A,$K864))</f>
        <v/>
      </c>
      <c r="D864" s="72" t="str">
        <f>IF($K864="","",TRIM(INDEX('Detalle individual'!$B:$B,$K864)))</f>
        <v/>
      </c>
      <c r="E864" s="72" t="str">
        <f>IF($K864="","",TRIM(INDEX('Detalle individual'!$E:$E,$K864)))</f>
        <v/>
      </c>
      <c r="F864" s="72" t="str">
        <f>IF($K864="","",TRIM(INDEX('Detalle individual'!$C:$C,$K864)))</f>
        <v/>
      </c>
      <c r="G864" s="72" t="str">
        <f>IF($K864="","",INDEX('Detalle individual'!$D:$D,$K864))</f>
        <v/>
      </c>
      <c r="H864" s="13" t="str">
        <f>IF($K864="","",INDEX('Detalle individual'!$F:$F,$K864))</f>
        <v/>
      </c>
      <c r="I864" s="20" t="str">
        <f>IF($K864="","",IF(INDEX('Detalle individual'!$F:$F,$K864)="Completado",INDEX('Detalle individual'!$H:$H,$K864),""))</f>
        <v/>
      </c>
      <c r="J864" s="21" t="str">
        <f>IF($K864="","",IF(INDEX('Detalle individual'!$F:$F,$K864)="Completado",INDEX('Detalle individual'!$J:$J,$K864),""))</f>
        <v/>
      </c>
      <c r="K864" t="str">
        <f>IFERROR(MOD(SMALL(Cálculos!$Z$5:$Z$1000,856),10000),"")</f>
        <v/>
      </c>
    </row>
    <row r="865">
      <c r="B865" s="13" t="str">
        <f>IF($K865="","",857)</f>
        <v/>
      </c>
      <c r="C865" s="13" t="str">
        <f>IF($K865="","",INDEX('Detalle individual'!$A:$A,$K865))</f>
        <v/>
      </c>
      <c r="D865" s="72" t="str">
        <f>IF($K865="","",TRIM(INDEX('Detalle individual'!$B:$B,$K865)))</f>
        <v/>
      </c>
      <c r="E865" s="72" t="str">
        <f>IF($K865="","",TRIM(INDEX('Detalle individual'!$E:$E,$K865)))</f>
        <v/>
      </c>
      <c r="F865" s="72" t="str">
        <f>IF($K865="","",TRIM(INDEX('Detalle individual'!$C:$C,$K865)))</f>
        <v/>
      </c>
      <c r="G865" s="72" t="str">
        <f>IF($K865="","",INDEX('Detalle individual'!$D:$D,$K865))</f>
        <v/>
      </c>
      <c r="H865" s="13" t="str">
        <f>IF($K865="","",INDEX('Detalle individual'!$F:$F,$K865))</f>
        <v/>
      </c>
      <c r="I865" s="20" t="str">
        <f>IF($K865="","",IF(INDEX('Detalle individual'!$F:$F,$K865)="Completado",INDEX('Detalle individual'!$H:$H,$K865),""))</f>
        <v/>
      </c>
      <c r="J865" s="21" t="str">
        <f>IF($K865="","",IF(INDEX('Detalle individual'!$F:$F,$K865)="Completado",INDEX('Detalle individual'!$J:$J,$K865),""))</f>
        <v/>
      </c>
      <c r="K865" t="str">
        <f>IFERROR(MOD(SMALL(Cálculos!$Z$5:$Z$1000,857),10000),"")</f>
        <v/>
      </c>
    </row>
    <row r="866">
      <c r="B866" s="13" t="str">
        <f>IF($K866="","",858)</f>
        <v/>
      </c>
      <c r="C866" s="13" t="str">
        <f>IF($K866="","",INDEX('Detalle individual'!$A:$A,$K866))</f>
        <v/>
      </c>
      <c r="D866" s="72" t="str">
        <f>IF($K866="","",TRIM(INDEX('Detalle individual'!$B:$B,$K866)))</f>
        <v/>
      </c>
      <c r="E866" s="72" t="str">
        <f>IF($K866="","",TRIM(INDEX('Detalle individual'!$E:$E,$K866)))</f>
        <v/>
      </c>
      <c r="F866" s="72" t="str">
        <f>IF($K866="","",TRIM(INDEX('Detalle individual'!$C:$C,$K866)))</f>
        <v/>
      </c>
      <c r="G866" s="72" t="str">
        <f>IF($K866="","",INDEX('Detalle individual'!$D:$D,$K866))</f>
        <v/>
      </c>
      <c r="H866" s="13" t="str">
        <f>IF($K866="","",INDEX('Detalle individual'!$F:$F,$K866))</f>
        <v/>
      </c>
      <c r="I866" s="20" t="str">
        <f>IF($K866="","",IF(INDEX('Detalle individual'!$F:$F,$K866)="Completado",INDEX('Detalle individual'!$H:$H,$K866),""))</f>
        <v/>
      </c>
      <c r="J866" s="21" t="str">
        <f>IF($K866="","",IF(INDEX('Detalle individual'!$F:$F,$K866)="Completado",INDEX('Detalle individual'!$J:$J,$K866),""))</f>
        <v/>
      </c>
      <c r="K866" t="str">
        <f>IFERROR(MOD(SMALL(Cálculos!$Z$5:$Z$1000,858),10000),"")</f>
        <v/>
      </c>
    </row>
    <row r="867">
      <c r="B867" s="13" t="str">
        <f>IF($K867="","",859)</f>
        <v/>
      </c>
      <c r="C867" s="13" t="str">
        <f>IF($K867="","",INDEX('Detalle individual'!$A:$A,$K867))</f>
        <v/>
      </c>
      <c r="D867" s="72" t="str">
        <f>IF($K867="","",TRIM(INDEX('Detalle individual'!$B:$B,$K867)))</f>
        <v/>
      </c>
      <c r="E867" s="72" t="str">
        <f>IF($K867="","",TRIM(INDEX('Detalle individual'!$E:$E,$K867)))</f>
        <v/>
      </c>
      <c r="F867" s="72" t="str">
        <f>IF($K867="","",TRIM(INDEX('Detalle individual'!$C:$C,$K867)))</f>
        <v/>
      </c>
      <c r="G867" s="72" t="str">
        <f>IF($K867="","",INDEX('Detalle individual'!$D:$D,$K867))</f>
        <v/>
      </c>
      <c r="H867" s="13" t="str">
        <f>IF($K867="","",INDEX('Detalle individual'!$F:$F,$K867))</f>
        <v/>
      </c>
      <c r="I867" s="20" t="str">
        <f>IF($K867="","",IF(INDEX('Detalle individual'!$F:$F,$K867)="Completado",INDEX('Detalle individual'!$H:$H,$K867),""))</f>
        <v/>
      </c>
      <c r="J867" s="21" t="str">
        <f>IF($K867="","",IF(INDEX('Detalle individual'!$F:$F,$K867)="Completado",INDEX('Detalle individual'!$J:$J,$K867),""))</f>
        <v/>
      </c>
      <c r="K867" t="str">
        <f>IFERROR(MOD(SMALL(Cálculos!$Z$5:$Z$1000,859),10000),"")</f>
        <v/>
      </c>
    </row>
    <row r="868">
      <c r="B868" s="13" t="str">
        <f>IF($K868="","",860)</f>
        <v/>
      </c>
      <c r="C868" s="13" t="str">
        <f>IF($K868="","",INDEX('Detalle individual'!$A:$A,$K868))</f>
        <v/>
      </c>
      <c r="D868" s="72" t="str">
        <f>IF($K868="","",TRIM(INDEX('Detalle individual'!$B:$B,$K868)))</f>
        <v/>
      </c>
      <c r="E868" s="72" t="str">
        <f>IF($K868="","",TRIM(INDEX('Detalle individual'!$E:$E,$K868)))</f>
        <v/>
      </c>
      <c r="F868" s="72" t="str">
        <f>IF($K868="","",TRIM(INDEX('Detalle individual'!$C:$C,$K868)))</f>
        <v/>
      </c>
      <c r="G868" s="72" t="str">
        <f>IF($K868="","",INDEX('Detalle individual'!$D:$D,$K868))</f>
        <v/>
      </c>
      <c r="H868" s="13" t="str">
        <f>IF($K868="","",INDEX('Detalle individual'!$F:$F,$K868))</f>
        <v/>
      </c>
      <c r="I868" s="20" t="str">
        <f>IF($K868="","",IF(INDEX('Detalle individual'!$F:$F,$K868)="Completado",INDEX('Detalle individual'!$H:$H,$K868),""))</f>
        <v/>
      </c>
      <c r="J868" s="21" t="str">
        <f>IF($K868="","",IF(INDEX('Detalle individual'!$F:$F,$K868)="Completado",INDEX('Detalle individual'!$J:$J,$K868),""))</f>
        <v/>
      </c>
      <c r="K868" t="str">
        <f>IFERROR(MOD(SMALL(Cálculos!$Z$5:$Z$1000,860),10000),"")</f>
        <v/>
      </c>
    </row>
    <row r="869">
      <c r="B869" s="13" t="str">
        <f>IF($K869="","",861)</f>
        <v/>
      </c>
      <c r="C869" s="13" t="str">
        <f>IF($K869="","",INDEX('Detalle individual'!$A:$A,$K869))</f>
        <v/>
      </c>
      <c r="D869" s="72" t="str">
        <f>IF($K869="","",TRIM(INDEX('Detalle individual'!$B:$B,$K869)))</f>
        <v/>
      </c>
      <c r="E869" s="72" t="str">
        <f>IF($K869="","",TRIM(INDEX('Detalle individual'!$E:$E,$K869)))</f>
        <v/>
      </c>
      <c r="F869" s="72" t="str">
        <f>IF($K869="","",TRIM(INDEX('Detalle individual'!$C:$C,$K869)))</f>
        <v/>
      </c>
      <c r="G869" s="72" t="str">
        <f>IF($K869="","",INDEX('Detalle individual'!$D:$D,$K869))</f>
        <v/>
      </c>
      <c r="H869" s="13" t="str">
        <f>IF($K869="","",INDEX('Detalle individual'!$F:$F,$K869))</f>
        <v/>
      </c>
      <c r="I869" s="20" t="str">
        <f>IF($K869="","",IF(INDEX('Detalle individual'!$F:$F,$K869)="Completado",INDEX('Detalle individual'!$H:$H,$K869),""))</f>
        <v/>
      </c>
      <c r="J869" s="21" t="str">
        <f>IF($K869="","",IF(INDEX('Detalle individual'!$F:$F,$K869)="Completado",INDEX('Detalle individual'!$J:$J,$K869),""))</f>
        <v/>
      </c>
      <c r="K869" t="str">
        <f>IFERROR(MOD(SMALL(Cálculos!$Z$5:$Z$1000,861),10000),"")</f>
        <v/>
      </c>
    </row>
    <row r="870">
      <c r="B870" s="13" t="str">
        <f>IF($K870="","",862)</f>
        <v/>
      </c>
      <c r="C870" s="13" t="str">
        <f>IF($K870="","",INDEX('Detalle individual'!$A:$A,$K870))</f>
        <v/>
      </c>
      <c r="D870" s="72" t="str">
        <f>IF($K870="","",TRIM(INDEX('Detalle individual'!$B:$B,$K870)))</f>
        <v/>
      </c>
      <c r="E870" s="72" t="str">
        <f>IF($K870="","",TRIM(INDEX('Detalle individual'!$E:$E,$K870)))</f>
        <v/>
      </c>
      <c r="F870" s="72" t="str">
        <f>IF($K870="","",TRIM(INDEX('Detalle individual'!$C:$C,$K870)))</f>
        <v/>
      </c>
      <c r="G870" s="72" t="str">
        <f>IF($K870="","",INDEX('Detalle individual'!$D:$D,$K870))</f>
        <v/>
      </c>
      <c r="H870" s="13" t="str">
        <f>IF($K870="","",INDEX('Detalle individual'!$F:$F,$K870))</f>
        <v/>
      </c>
      <c r="I870" s="20" t="str">
        <f>IF($K870="","",IF(INDEX('Detalle individual'!$F:$F,$K870)="Completado",INDEX('Detalle individual'!$H:$H,$K870),""))</f>
        <v/>
      </c>
      <c r="J870" s="21" t="str">
        <f>IF($K870="","",IF(INDEX('Detalle individual'!$F:$F,$K870)="Completado",INDEX('Detalle individual'!$J:$J,$K870),""))</f>
        <v/>
      </c>
      <c r="K870" t="str">
        <f>IFERROR(MOD(SMALL(Cálculos!$Z$5:$Z$1000,862),10000),"")</f>
        <v/>
      </c>
    </row>
    <row r="871">
      <c r="B871" s="13" t="str">
        <f>IF($K871="","",863)</f>
        <v/>
      </c>
      <c r="C871" s="13" t="str">
        <f>IF($K871="","",INDEX('Detalle individual'!$A:$A,$K871))</f>
        <v/>
      </c>
      <c r="D871" s="72" t="str">
        <f>IF($K871="","",TRIM(INDEX('Detalle individual'!$B:$B,$K871)))</f>
        <v/>
      </c>
      <c r="E871" s="72" t="str">
        <f>IF($K871="","",TRIM(INDEX('Detalle individual'!$E:$E,$K871)))</f>
        <v/>
      </c>
      <c r="F871" s="72" t="str">
        <f>IF($K871="","",TRIM(INDEX('Detalle individual'!$C:$C,$K871)))</f>
        <v/>
      </c>
      <c r="G871" s="72" t="str">
        <f>IF($K871="","",INDEX('Detalle individual'!$D:$D,$K871))</f>
        <v/>
      </c>
      <c r="H871" s="13" t="str">
        <f>IF($K871="","",INDEX('Detalle individual'!$F:$F,$K871))</f>
        <v/>
      </c>
      <c r="I871" s="20" t="str">
        <f>IF($K871="","",IF(INDEX('Detalle individual'!$F:$F,$K871)="Completado",INDEX('Detalle individual'!$H:$H,$K871),""))</f>
        <v/>
      </c>
      <c r="J871" s="21" t="str">
        <f>IF($K871="","",IF(INDEX('Detalle individual'!$F:$F,$K871)="Completado",INDEX('Detalle individual'!$J:$J,$K871),""))</f>
        <v/>
      </c>
      <c r="K871" t="str">
        <f>IFERROR(MOD(SMALL(Cálculos!$Z$5:$Z$1000,863),10000),"")</f>
        <v/>
      </c>
    </row>
    <row r="872">
      <c r="B872" s="13" t="str">
        <f>IF($K872="","",864)</f>
        <v/>
      </c>
      <c r="C872" s="13" t="str">
        <f>IF($K872="","",INDEX('Detalle individual'!$A:$A,$K872))</f>
        <v/>
      </c>
      <c r="D872" s="72" t="str">
        <f>IF($K872="","",TRIM(INDEX('Detalle individual'!$B:$B,$K872)))</f>
        <v/>
      </c>
      <c r="E872" s="72" t="str">
        <f>IF($K872="","",TRIM(INDEX('Detalle individual'!$E:$E,$K872)))</f>
        <v/>
      </c>
      <c r="F872" s="72" t="str">
        <f>IF($K872="","",TRIM(INDEX('Detalle individual'!$C:$C,$K872)))</f>
        <v/>
      </c>
      <c r="G872" s="72" t="str">
        <f>IF($K872="","",INDEX('Detalle individual'!$D:$D,$K872))</f>
        <v/>
      </c>
      <c r="H872" s="13" t="str">
        <f>IF($K872="","",INDEX('Detalle individual'!$F:$F,$K872))</f>
        <v/>
      </c>
      <c r="I872" s="20" t="str">
        <f>IF($K872="","",IF(INDEX('Detalle individual'!$F:$F,$K872)="Completado",INDEX('Detalle individual'!$H:$H,$K872),""))</f>
        <v/>
      </c>
      <c r="J872" s="21" t="str">
        <f>IF($K872="","",IF(INDEX('Detalle individual'!$F:$F,$K872)="Completado",INDEX('Detalle individual'!$J:$J,$K872),""))</f>
        <v/>
      </c>
      <c r="K872" t="str">
        <f>IFERROR(MOD(SMALL(Cálculos!$Z$5:$Z$1000,864),10000),"")</f>
        <v/>
      </c>
    </row>
    <row r="873">
      <c r="B873" s="13" t="str">
        <f>IF($K873="","",865)</f>
        <v/>
      </c>
      <c r="C873" s="13" t="str">
        <f>IF($K873="","",INDEX('Detalle individual'!$A:$A,$K873))</f>
        <v/>
      </c>
      <c r="D873" s="72" t="str">
        <f>IF($K873="","",TRIM(INDEX('Detalle individual'!$B:$B,$K873)))</f>
        <v/>
      </c>
      <c r="E873" s="72" t="str">
        <f>IF($K873="","",TRIM(INDEX('Detalle individual'!$E:$E,$K873)))</f>
        <v/>
      </c>
      <c r="F873" s="72" t="str">
        <f>IF($K873="","",TRIM(INDEX('Detalle individual'!$C:$C,$K873)))</f>
        <v/>
      </c>
      <c r="G873" s="72" t="str">
        <f>IF($K873="","",INDEX('Detalle individual'!$D:$D,$K873))</f>
        <v/>
      </c>
      <c r="H873" s="13" t="str">
        <f>IF($K873="","",INDEX('Detalle individual'!$F:$F,$K873))</f>
        <v/>
      </c>
      <c r="I873" s="20" t="str">
        <f>IF($K873="","",IF(INDEX('Detalle individual'!$F:$F,$K873)="Completado",INDEX('Detalle individual'!$H:$H,$K873),""))</f>
        <v/>
      </c>
      <c r="J873" s="21" t="str">
        <f>IF($K873="","",IF(INDEX('Detalle individual'!$F:$F,$K873)="Completado",INDEX('Detalle individual'!$J:$J,$K873),""))</f>
        <v/>
      </c>
      <c r="K873" t="str">
        <f>IFERROR(MOD(SMALL(Cálculos!$Z$5:$Z$1000,865),10000),"")</f>
        <v/>
      </c>
    </row>
    <row r="874">
      <c r="B874" s="13" t="str">
        <f>IF($K874="","",866)</f>
        <v/>
      </c>
      <c r="C874" s="13" t="str">
        <f>IF($K874="","",INDEX('Detalle individual'!$A:$A,$K874))</f>
        <v/>
      </c>
      <c r="D874" s="72" t="str">
        <f>IF($K874="","",TRIM(INDEX('Detalle individual'!$B:$B,$K874)))</f>
        <v/>
      </c>
      <c r="E874" s="72" t="str">
        <f>IF($K874="","",TRIM(INDEX('Detalle individual'!$E:$E,$K874)))</f>
        <v/>
      </c>
      <c r="F874" s="72" t="str">
        <f>IF($K874="","",TRIM(INDEX('Detalle individual'!$C:$C,$K874)))</f>
        <v/>
      </c>
      <c r="G874" s="72" t="str">
        <f>IF($K874="","",INDEX('Detalle individual'!$D:$D,$K874))</f>
        <v/>
      </c>
      <c r="H874" s="13" t="str">
        <f>IF($K874="","",INDEX('Detalle individual'!$F:$F,$K874))</f>
        <v/>
      </c>
      <c r="I874" s="20" t="str">
        <f>IF($K874="","",IF(INDEX('Detalle individual'!$F:$F,$K874)="Completado",INDEX('Detalle individual'!$H:$H,$K874),""))</f>
        <v/>
      </c>
      <c r="J874" s="21" t="str">
        <f>IF($K874="","",IF(INDEX('Detalle individual'!$F:$F,$K874)="Completado",INDEX('Detalle individual'!$J:$J,$K874),""))</f>
        <v/>
      </c>
      <c r="K874" t="str">
        <f>IFERROR(MOD(SMALL(Cálculos!$Z$5:$Z$1000,866),10000),"")</f>
        <v/>
      </c>
    </row>
    <row r="875">
      <c r="B875" s="13" t="str">
        <f>IF($K875="","",867)</f>
        <v/>
      </c>
      <c r="C875" s="13" t="str">
        <f>IF($K875="","",INDEX('Detalle individual'!$A:$A,$K875))</f>
        <v/>
      </c>
      <c r="D875" s="72" t="str">
        <f>IF($K875="","",TRIM(INDEX('Detalle individual'!$B:$B,$K875)))</f>
        <v/>
      </c>
      <c r="E875" s="72" t="str">
        <f>IF($K875="","",TRIM(INDEX('Detalle individual'!$E:$E,$K875)))</f>
        <v/>
      </c>
      <c r="F875" s="72" t="str">
        <f>IF($K875="","",TRIM(INDEX('Detalle individual'!$C:$C,$K875)))</f>
        <v/>
      </c>
      <c r="G875" s="72" t="str">
        <f>IF($K875="","",INDEX('Detalle individual'!$D:$D,$K875))</f>
        <v/>
      </c>
      <c r="H875" s="13" t="str">
        <f>IF($K875="","",INDEX('Detalle individual'!$F:$F,$K875))</f>
        <v/>
      </c>
      <c r="I875" s="20" t="str">
        <f>IF($K875="","",IF(INDEX('Detalle individual'!$F:$F,$K875)="Completado",INDEX('Detalle individual'!$H:$H,$K875),""))</f>
        <v/>
      </c>
      <c r="J875" s="21" t="str">
        <f>IF($K875="","",IF(INDEX('Detalle individual'!$F:$F,$K875)="Completado",INDEX('Detalle individual'!$J:$J,$K875),""))</f>
        <v/>
      </c>
      <c r="K875" t="str">
        <f>IFERROR(MOD(SMALL(Cálculos!$Z$5:$Z$1000,867),10000),"")</f>
        <v/>
      </c>
    </row>
    <row r="876">
      <c r="B876" s="13" t="str">
        <f>IF($K876="","",868)</f>
        <v/>
      </c>
      <c r="C876" s="13" t="str">
        <f>IF($K876="","",INDEX('Detalle individual'!$A:$A,$K876))</f>
        <v/>
      </c>
      <c r="D876" s="72" t="str">
        <f>IF($K876="","",TRIM(INDEX('Detalle individual'!$B:$B,$K876)))</f>
        <v/>
      </c>
      <c r="E876" s="72" t="str">
        <f>IF($K876="","",TRIM(INDEX('Detalle individual'!$E:$E,$K876)))</f>
        <v/>
      </c>
      <c r="F876" s="72" t="str">
        <f>IF($K876="","",TRIM(INDEX('Detalle individual'!$C:$C,$K876)))</f>
        <v/>
      </c>
      <c r="G876" s="72" t="str">
        <f>IF($K876="","",INDEX('Detalle individual'!$D:$D,$K876))</f>
        <v/>
      </c>
      <c r="H876" s="13" t="str">
        <f>IF($K876="","",INDEX('Detalle individual'!$F:$F,$K876))</f>
        <v/>
      </c>
      <c r="I876" s="20" t="str">
        <f>IF($K876="","",IF(INDEX('Detalle individual'!$F:$F,$K876)="Completado",INDEX('Detalle individual'!$H:$H,$K876),""))</f>
        <v/>
      </c>
      <c r="J876" s="21" t="str">
        <f>IF($K876="","",IF(INDEX('Detalle individual'!$F:$F,$K876)="Completado",INDEX('Detalle individual'!$J:$J,$K876),""))</f>
        <v/>
      </c>
      <c r="K876" t="str">
        <f>IFERROR(MOD(SMALL(Cálculos!$Z$5:$Z$1000,868),10000),"")</f>
        <v/>
      </c>
    </row>
    <row r="877">
      <c r="B877" s="13" t="str">
        <f>IF($K877="","",869)</f>
        <v/>
      </c>
      <c r="C877" s="13" t="str">
        <f>IF($K877="","",INDEX('Detalle individual'!$A:$A,$K877))</f>
        <v/>
      </c>
      <c r="D877" s="72" t="str">
        <f>IF($K877="","",TRIM(INDEX('Detalle individual'!$B:$B,$K877)))</f>
        <v/>
      </c>
      <c r="E877" s="72" t="str">
        <f>IF($K877="","",TRIM(INDEX('Detalle individual'!$E:$E,$K877)))</f>
        <v/>
      </c>
      <c r="F877" s="72" t="str">
        <f>IF($K877="","",TRIM(INDEX('Detalle individual'!$C:$C,$K877)))</f>
        <v/>
      </c>
      <c r="G877" s="72" t="str">
        <f>IF($K877="","",INDEX('Detalle individual'!$D:$D,$K877))</f>
        <v/>
      </c>
      <c r="H877" s="13" t="str">
        <f>IF($K877="","",INDEX('Detalle individual'!$F:$F,$K877))</f>
        <v/>
      </c>
      <c r="I877" s="20" t="str">
        <f>IF($K877="","",IF(INDEX('Detalle individual'!$F:$F,$K877)="Completado",INDEX('Detalle individual'!$H:$H,$K877),""))</f>
        <v/>
      </c>
      <c r="J877" s="21" t="str">
        <f>IF($K877="","",IF(INDEX('Detalle individual'!$F:$F,$K877)="Completado",INDEX('Detalle individual'!$J:$J,$K877),""))</f>
        <v/>
      </c>
      <c r="K877" t="str">
        <f>IFERROR(MOD(SMALL(Cálculos!$Z$5:$Z$1000,869),10000),"")</f>
        <v/>
      </c>
    </row>
    <row r="878">
      <c r="B878" s="13" t="str">
        <f>IF($K878="","",870)</f>
        <v/>
      </c>
      <c r="C878" s="13" t="str">
        <f>IF($K878="","",INDEX('Detalle individual'!$A:$A,$K878))</f>
        <v/>
      </c>
      <c r="D878" s="72" t="str">
        <f>IF($K878="","",TRIM(INDEX('Detalle individual'!$B:$B,$K878)))</f>
        <v/>
      </c>
      <c r="E878" s="72" t="str">
        <f>IF($K878="","",TRIM(INDEX('Detalle individual'!$E:$E,$K878)))</f>
        <v/>
      </c>
      <c r="F878" s="72" t="str">
        <f>IF($K878="","",TRIM(INDEX('Detalle individual'!$C:$C,$K878)))</f>
        <v/>
      </c>
      <c r="G878" s="72" t="str">
        <f>IF($K878="","",INDEX('Detalle individual'!$D:$D,$K878))</f>
        <v/>
      </c>
      <c r="H878" s="13" t="str">
        <f>IF($K878="","",INDEX('Detalle individual'!$F:$F,$K878))</f>
        <v/>
      </c>
      <c r="I878" s="20" t="str">
        <f>IF($K878="","",IF(INDEX('Detalle individual'!$F:$F,$K878)="Completado",INDEX('Detalle individual'!$H:$H,$K878),""))</f>
        <v/>
      </c>
      <c r="J878" s="21" t="str">
        <f>IF($K878="","",IF(INDEX('Detalle individual'!$F:$F,$K878)="Completado",INDEX('Detalle individual'!$J:$J,$K878),""))</f>
        <v/>
      </c>
      <c r="K878" t="str">
        <f>IFERROR(MOD(SMALL(Cálculos!$Z$5:$Z$1000,870),10000),"")</f>
        <v/>
      </c>
    </row>
    <row r="879">
      <c r="B879" s="13" t="str">
        <f>IF($K879="","",871)</f>
        <v/>
      </c>
      <c r="C879" s="13" t="str">
        <f>IF($K879="","",INDEX('Detalle individual'!$A:$A,$K879))</f>
        <v/>
      </c>
      <c r="D879" s="72" t="str">
        <f>IF($K879="","",TRIM(INDEX('Detalle individual'!$B:$B,$K879)))</f>
        <v/>
      </c>
      <c r="E879" s="72" t="str">
        <f>IF($K879="","",TRIM(INDEX('Detalle individual'!$E:$E,$K879)))</f>
        <v/>
      </c>
      <c r="F879" s="72" t="str">
        <f>IF($K879="","",TRIM(INDEX('Detalle individual'!$C:$C,$K879)))</f>
        <v/>
      </c>
      <c r="G879" s="72" t="str">
        <f>IF($K879="","",INDEX('Detalle individual'!$D:$D,$K879))</f>
        <v/>
      </c>
      <c r="H879" s="13" t="str">
        <f>IF($K879="","",INDEX('Detalle individual'!$F:$F,$K879))</f>
        <v/>
      </c>
      <c r="I879" s="20" t="str">
        <f>IF($K879="","",IF(INDEX('Detalle individual'!$F:$F,$K879)="Completado",INDEX('Detalle individual'!$H:$H,$K879),""))</f>
        <v/>
      </c>
      <c r="J879" s="21" t="str">
        <f>IF($K879="","",IF(INDEX('Detalle individual'!$F:$F,$K879)="Completado",INDEX('Detalle individual'!$J:$J,$K879),""))</f>
        <v/>
      </c>
      <c r="K879" t="str">
        <f>IFERROR(MOD(SMALL(Cálculos!$Z$5:$Z$1000,871),10000),"")</f>
        <v/>
      </c>
    </row>
    <row r="880">
      <c r="B880" s="13" t="str">
        <f>IF($K880="","",872)</f>
        <v/>
      </c>
      <c r="C880" s="13" t="str">
        <f>IF($K880="","",INDEX('Detalle individual'!$A:$A,$K880))</f>
        <v/>
      </c>
      <c r="D880" s="72" t="str">
        <f>IF($K880="","",TRIM(INDEX('Detalle individual'!$B:$B,$K880)))</f>
        <v/>
      </c>
      <c r="E880" s="72" t="str">
        <f>IF($K880="","",TRIM(INDEX('Detalle individual'!$E:$E,$K880)))</f>
        <v/>
      </c>
      <c r="F880" s="72" t="str">
        <f>IF($K880="","",TRIM(INDEX('Detalle individual'!$C:$C,$K880)))</f>
        <v/>
      </c>
      <c r="G880" s="72" t="str">
        <f>IF($K880="","",INDEX('Detalle individual'!$D:$D,$K880))</f>
        <v/>
      </c>
      <c r="H880" s="13" t="str">
        <f>IF($K880="","",INDEX('Detalle individual'!$F:$F,$K880))</f>
        <v/>
      </c>
      <c r="I880" s="20" t="str">
        <f>IF($K880="","",IF(INDEX('Detalle individual'!$F:$F,$K880)="Completado",INDEX('Detalle individual'!$H:$H,$K880),""))</f>
        <v/>
      </c>
      <c r="J880" s="21" t="str">
        <f>IF($K880="","",IF(INDEX('Detalle individual'!$F:$F,$K880)="Completado",INDEX('Detalle individual'!$J:$J,$K880),""))</f>
        <v/>
      </c>
      <c r="K880" t="str">
        <f>IFERROR(MOD(SMALL(Cálculos!$Z$5:$Z$1000,872),10000),"")</f>
        <v/>
      </c>
    </row>
    <row r="881">
      <c r="B881" s="13" t="str">
        <f>IF($K881="","",873)</f>
        <v/>
      </c>
      <c r="C881" s="13" t="str">
        <f>IF($K881="","",INDEX('Detalle individual'!$A:$A,$K881))</f>
        <v/>
      </c>
      <c r="D881" s="72" t="str">
        <f>IF($K881="","",TRIM(INDEX('Detalle individual'!$B:$B,$K881)))</f>
        <v/>
      </c>
      <c r="E881" s="72" t="str">
        <f>IF($K881="","",TRIM(INDEX('Detalle individual'!$E:$E,$K881)))</f>
        <v/>
      </c>
      <c r="F881" s="72" t="str">
        <f>IF($K881="","",TRIM(INDEX('Detalle individual'!$C:$C,$K881)))</f>
        <v/>
      </c>
      <c r="G881" s="72" t="str">
        <f>IF($K881="","",INDEX('Detalle individual'!$D:$D,$K881))</f>
        <v/>
      </c>
      <c r="H881" s="13" t="str">
        <f>IF($K881="","",INDEX('Detalle individual'!$F:$F,$K881))</f>
        <v/>
      </c>
      <c r="I881" s="20" t="str">
        <f>IF($K881="","",IF(INDEX('Detalle individual'!$F:$F,$K881)="Completado",INDEX('Detalle individual'!$H:$H,$K881),""))</f>
        <v/>
      </c>
      <c r="J881" s="21" t="str">
        <f>IF($K881="","",IF(INDEX('Detalle individual'!$F:$F,$K881)="Completado",INDEX('Detalle individual'!$J:$J,$K881),""))</f>
        <v/>
      </c>
      <c r="K881" t="str">
        <f>IFERROR(MOD(SMALL(Cálculos!$Z$5:$Z$1000,873),10000),"")</f>
        <v/>
      </c>
    </row>
    <row r="882">
      <c r="B882" s="13" t="str">
        <f>IF($K882="","",874)</f>
        <v/>
      </c>
      <c r="C882" s="13" t="str">
        <f>IF($K882="","",INDEX('Detalle individual'!$A:$A,$K882))</f>
        <v/>
      </c>
      <c r="D882" s="72" t="str">
        <f>IF($K882="","",TRIM(INDEX('Detalle individual'!$B:$B,$K882)))</f>
        <v/>
      </c>
      <c r="E882" s="72" t="str">
        <f>IF($K882="","",TRIM(INDEX('Detalle individual'!$E:$E,$K882)))</f>
        <v/>
      </c>
      <c r="F882" s="72" t="str">
        <f>IF($K882="","",TRIM(INDEX('Detalle individual'!$C:$C,$K882)))</f>
        <v/>
      </c>
      <c r="G882" s="72" t="str">
        <f>IF($K882="","",INDEX('Detalle individual'!$D:$D,$K882))</f>
        <v/>
      </c>
      <c r="H882" s="13" t="str">
        <f>IF($K882="","",INDEX('Detalle individual'!$F:$F,$K882))</f>
        <v/>
      </c>
      <c r="I882" s="20" t="str">
        <f>IF($K882="","",IF(INDEX('Detalle individual'!$F:$F,$K882)="Completado",INDEX('Detalle individual'!$H:$H,$K882),""))</f>
        <v/>
      </c>
      <c r="J882" s="21" t="str">
        <f>IF($K882="","",IF(INDEX('Detalle individual'!$F:$F,$K882)="Completado",INDEX('Detalle individual'!$J:$J,$K882),""))</f>
        <v/>
      </c>
      <c r="K882" t="str">
        <f>IFERROR(MOD(SMALL(Cálculos!$Z$5:$Z$1000,874),10000),"")</f>
        <v/>
      </c>
    </row>
    <row r="883">
      <c r="B883" s="13" t="str">
        <f>IF($K883="","",875)</f>
        <v/>
      </c>
      <c r="C883" s="13" t="str">
        <f>IF($K883="","",INDEX('Detalle individual'!$A:$A,$K883))</f>
        <v/>
      </c>
      <c r="D883" s="72" t="str">
        <f>IF($K883="","",TRIM(INDEX('Detalle individual'!$B:$B,$K883)))</f>
        <v/>
      </c>
      <c r="E883" s="72" t="str">
        <f>IF($K883="","",TRIM(INDEX('Detalle individual'!$E:$E,$K883)))</f>
        <v/>
      </c>
      <c r="F883" s="72" t="str">
        <f>IF($K883="","",TRIM(INDEX('Detalle individual'!$C:$C,$K883)))</f>
        <v/>
      </c>
      <c r="G883" s="72" t="str">
        <f>IF($K883="","",INDEX('Detalle individual'!$D:$D,$K883))</f>
        <v/>
      </c>
      <c r="H883" s="13" t="str">
        <f>IF($K883="","",INDEX('Detalle individual'!$F:$F,$K883))</f>
        <v/>
      </c>
      <c r="I883" s="20" t="str">
        <f>IF($K883="","",IF(INDEX('Detalle individual'!$F:$F,$K883)="Completado",INDEX('Detalle individual'!$H:$H,$K883),""))</f>
        <v/>
      </c>
      <c r="J883" s="21" t="str">
        <f>IF($K883="","",IF(INDEX('Detalle individual'!$F:$F,$K883)="Completado",INDEX('Detalle individual'!$J:$J,$K883),""))</f>
        <v/>
      </c>
      <c r="K883" t="str">
        <f>IFERROR(MOD(SMALL(Cálculos!$Z$5:$Z$1000,875),10000),"")</f>
        <v/>
      </c>
    </row>
    <row r="884">
      <c r="B884" s="13" t="str">
        <f>IF($K884="","",876)</f>
        <v/>
      </c>
      <c r="C884" s="13" t="str">
        <f>IF($K884="","",INDEX('Detalle individual'!$A:$A,$K884))</f>
        <v/>
      </c>
      <c r="D884" s="72" t="str">
        <f>IF($K884="","",TRIM(INDEX('Detalle individual'!$B:$B,$K884)))</f>
        <v/>
      </c>
      <c r="E884" s="72" t="str">
        <f>IF($K884="","",TRIM(INDEX('Detalle individual'!$E:$E,$K884)))</f>
        <v/>
      </c>
      <c r="F884" s="72" t="str">
        <f>IF($K884="","",TRIM(INDEX('Detalle individual'!$C:$C,$K884)))</f>
        <v/>
      </c>
      <c r="G884" s="72" t="str">
        <f>IF($K884="","",INDEX('Detalle individual'!$D:$D,$K884))</f>
        <v/>
      </c>
      <c r="H884" s="13" t="str">
        <f>IF($K884="","",INDEX('Detalle individual'!$F:$F,$K884))</f>
        <v/>
      </c>
      <c r="I884" s="20" t="str">
        <f>IF($K884="","",IF(INDEX('Detalle individual'!$F:$F,$K884)="Completado",INDEX('Detalle individual'!$H:$H,$K884),""))</f>
        <v/>
      </c>
      <c r="J884" s="21" t="str">
        <f>IF($K884="","",IF(INDEX('Detalle individual'!$F:$F,$K884)="Completado",INDEX('Detalle individual'!$J:$J,$K884),""))</f>
        <v/>
      </c>
      <c r="K884" t="str">
        <f>IFERROR(MOD(SMALL(Cálculos!$Z$5:$Z$1000,876),10000),"")</f>
        <v/>
      </c>
    </row>
    <row r="885">
      <c r="B885" s="13" t="str">
        <f>IF($K885="","",877)</f>
        <v/>
      </c>
      <c r="C885" s="13" t="str">
        <f>IF($K885="","",INDEX('Detalle individual'!$A:$A,$K885))</f>
        <v/>
      </c>
      <c r="D885" s="72" t="str">
        <f>IF($K885="","",TRIM(INDEX('Detalle individual'!$B:$B,$K885)))</f>
        <v/>
      </c>
      <c r="E885" s="72" t="str">
        <f>IF($K885="","",TRIM(INDEX('Detalle individual'!$E:$E,$K885)))</f>
        <v/>
      </c>
      <c r="F885" s="72" t="str">
        <f>IF($K885="","",TRIM(INDEX('Detalle individual'!$C:$C,$K885)))</f>
        <v/>
      </c>
      <c r="G885" s="72" t="str">
        <f>IF($K885="","",INDEX('Detalle individual'!$D:$D,$K885))</f>
        <v/>
      </c>
      <c r="H885" s="13" t="str">
        <f>IF($K885="","",INDEX('Detalle individual'!$F:$F,$K885))</f>
        <v/>
      </c>
      <c r="I885" s="20" t="str">
        <f>IF($K885="","",IF(INDEX('Detalle individual'!$F:$F,$K885)="Completado",INDEX('Detalle individual'!$H:$H,$K885),""))</f>
        <v/>
      </c>
      <c r="J885" s="21" t="str">
        <f>IF($K885="","",IF(INDEX('Detalle individual'!$F:$F,$K885)="Completado",INDEX('Detalle individual'!$J:$J,$K885),""))</f>
        <v/>
      </c>
      <c r="K885" t="str">
        <f>IFERROR(MOD(SMALL(Cálculos!$Z$5:$Z$1000,877),10000),"")</f>
        <v/>
      </c>
    </row>
    <row r="886">
      <c r="B886" s="13" t="str">
        <f>IF($K886="","",878)</f>
        <v/>
      </c>
      <c r="C886" s="13" t="str">
        <f>IF($K886="","",INDEX('Detalle individual'!$A:$A,$K886))</f>
        <v/>
      </c>
      <c r="D886" s="72" t="str">
        <f>IF($K886="","",TRIM(INDEX('Detalle individual'!$B:$B,$K886)))</f>
        <v/>
      </c>
      <c r="E886" s="72" t="str">
        <f>IF($K886="","",TRIM(INDEX('Detalle individual'!$E:$E,$K886)))</f>
        <v/>
      </c>
      <c r="F886" s="72" t="str">
        <f>IF($K886="","",TRIM(INDEX('Detalle individual'!$C:$C,$K886)))</f>
        <v/>
      </c>
      <c r="G886" s="72" t="str">
        <f>IF($K886="","",INDEX('Detalle individual'!$D:$D,$K886))</f>
        <v/>
      </c>
      <c r="H886" s="13" t="str">
        <f>IF($K886="","",INDEX('Detalle individual'!$F:$F,$K886))</f>
        <v/>
      </c>
      <c r="I886" s="20" t="str">
        <f>IF($K886="","",IF(INDEX('Detalle individual'!$F:$F,$K886)="Completado",INDEX('Detalle individual'!$H:$H,$K886),""))</f>
        <v/>
      </c>
      <c r="J886" s="21" t="str">
        <f>IF($K886="","",IF(INDEX('Detalle individual'!$F:$F,$K886)="Completado",INDEX('Detalle individual'!$J:$J,$K886),""))</f>
        <v/>
      </c>
      <c r="K886" t="str">
        <f>IFERROR(MOD(SMALL(Cálculos!$Z$5:$Z$1000,878),10000),"")</f>
        <v/>
      </c>
    </row>
    <row r="887">
      <c r="B887" s="13" t="str">
        <f>IF($K887="","",879)</f>
        <v/>
      </c>
      <c r="C887" s="13" t="str">
        <f>IF($K887="","",INDEX('Detalle individual'!$A:$A,$K887))</f>
        <v/>
      </c>
      <c r="D887" s="72" t="str">
        <f>IF($K887="","",TRIM(INDEX('Detalle individual'!$B:$B,$K887)))</f>
        <v/>
      </c>
      <c r="E887" s="72" t="str">
        <f>IF($K887="","",TRIM(INDEX('Detalle individual'!$E:$E,$K887)))</f>
        <v/>
      </c>
      <c r="F887" s="72" t="str">
        <f>IF($K887="","",TRIM(INDEX('Detalle individual'!$C:$C,$K887)))</f>
        <v/>
      </c>
      <c r="G887" s="72" t="str">
        <f>IF($K887="","",INDEX('Detalle individual'!$D:$D,$K887))</f>
        <v/>
      </c>
      <c r="H887" s="13" t="str">
        <f>IF($K887="","",INDEX('Detalle individual'!$F:$F,$K887))</f>
        <v/>
      </c>
      <c r="I887" s="20" t="str">
        <f>IF($K887="","",IF(INDEX('Detalle individual'!$F:$F,$K887)="Completado",INDEX('Detalle individual'!$H:$H,$K887),""))</f>
        <v/>
      </c>
      <c r="J887" s="21" t="str">
        <f>IF($K887="","",IF(INDEX('Detalle individual'!$F:$F,$K887)="Completado",INDEX('Detalle individual'!$J:$J,$K887),""))</f>
        <v/>
      </c>
      <c r="K887" t="str">
        <f>IFERROR(MOD(SMALL(Cálculos!$Z$5:$Z$1000,879),10000),"")</f>
        <v/>
      </c>
    </row>
    <row r="888">
      <c r="B888" s="13" t="str">
        <f>IF($K888="","",880)</f>
        <v/>
      </c>
      <c r="C888" s="13" t="str">
        <f>IF($K888="","",INDEX('Detalle individual'!$A:$A,$K888))</f>
        <v/>
      </c>
      <c r="D888" s="72" t="str">
        <f>IF($K888="","",TRIM(INDEX('Detalle individual'!$B:$B,$K888)))</f>
        <v/>
      </c>
      <c r="E888" s="72" t="str">
        <f>IF($K888="","",TRIM(INDEX('Detalle individual'!$E:$E,$K888)))</f>
        <v/>
      </c>
      <c r="F888" s="72" t="str">
        <f>IF($K888="","",TRIM(INDEX('Detalle individual'!$C:$C,$K888)))</f>
        <v/>
      </c>
      <c r="G888" s="72" t="str">
        <f>IF($K888="","",INDEX('Detalle individual'!$D:$D,$K888))</f>
        <v/>
      </c>
      <c r="H888" s="13" t="str">
        <f>IF($K888="","",INDEX('Detalle individual'!$F:$F,$K888))</f>
        <v/>
      </c>
      <c r="I888" s="20" t="str">
        <f>IF($K888="","",IF(INDEX('Detalle individual'!$F:$F,$K888)="Completado",INDEX('Detalle individual'!$H:$H,$K888),""))</f>
        <v/>
      </c>
      <c r="J888" s="21" t="str">
        <f>IF($K888="","",IF(INDEX('Detalle individual'!$F:$F,$K888)="Completado",INDEX('Detalle individual'!$J:$J,$K888),""))</f>
        <v/>
      </c>
      <c r="K888" t="str">
        <f>IFERROR(MOD(SMALL(Cálculos!$Z$5:$Z$1000,880),10000),"")</f>
        <v/>
      </c>
    </row>
    <row r="889">
      <c r="B889" s="13" t="str">
        <f>IF($K889="","",881)</f>
        <v/>
      </c>
      <c r="C889" s="13" t="str">
        <f>IF($K889="","",INDEX('Detalle individual'!$A:$A,$K889))</f>
        <v/>
      </c>
      <c r="D889" s="72" t="str">
        <f>IF($K889="","",TRIM(INDEX('Detalle individual'!$B:$B,$K889)))</f>
        <v/>
      </c>
      <c r="E889" s="72" t="str">
        <f>IF($K889="","",TRIM(INDEX('Detalle individual'!$E:$E,$K889)))</f>
        <v/>
      </c>
      <c r="F889" s="72" t="str">
        <f>IF($K889="","",TRIM(INDEX('Detalle individual'!$C:$C,$K889)))</f>
        <v/>
      </c>
      <c r="G889" s="72" t="str">
        <f>IF($K889="","",INDEX('Detalle individual'!$D:$D,$K889))</f>
        <v/>
      </c>
      <c r="H889" s="13" t="str">
        <f>IF($K889="","",INDEX('Detalle individual'!$F:$F,$K889))</f>
        <v/>
      </c>
      <c r="I889" s="20" t="str">
        <f>IF($K889="","",IF(INDEX('Detalle individual'!$F:$F,$K889)="Completado",INDEX('Detalle individual'!$H:$H,$K889),""))</f>
        <v/>
      </c>
      <c r="J889" s="21" t="str">
        <f>IF($K889="","",IF(INDEX('Detalle individual'!$F:$F,$K889)="Completado",INDEX('Detalle individual'!$J:$J,$K889),""))</f>
        <v/>
      </c>
      <c r="K889" t="str">
        <f>IFERROR(MOD(SMALL(Cálculos!$Z$5:$Z$1000,881),10000),"")</f>
        <v/>
      </c>
    </row>
    <row r="890">
      <c r="B890" s="13" t="str">
        <f>IF($K890="","",882)</f>
        <v/>
      </c>
      <c r="C890" s="13" t="str">
        <f>IF($K890="","",INDEX('Detalle individual'!$A:$A,$K890))</f>
        <v/>
      </c>
      <c r="D890" s="72" t="str">
        <f>IF($K890="","",TRIM(INDEX('Detalle individual'!$B:$B,$K890)))</f>
        <v/>
      </c>
      <c r="E890" s="72" t="str">
        <f>IF($K890="","",TRIM(INDEX('Detalle individual'!$E:$E,$K890)))</f>
        <v/>
      </c>
      <c r="F890" s="72" t="str">
        <f>IF($K890="","",TRIM(INDEX('Detalle individual'!$C:$C,$K890)))</f>
        <v/>
      </c>
      <c r="G890" s="72" t="str">
        <f>IF($K890="","",INDEX('Detalle individual'!$D:$D,$K890))</f>
        <v/>
      </c>
      <c r="H890" s="13" t="str">
        <f>IF($K890="","",INDEX('Detalle individual'!$F:$F,$K890))</f>
        <v/>
      </c>
      <c r="I890" s="20" t="str">
        <f>IF($K890="","",IF(INDEX('Detalle individual'!$F:$F,$K890)="Completado",INDEX('Detalle individual'!$H:$H,$K890),""))</f>
        <v/>
      </c>
      <c r="J890" s="21" t="str">
        <f>IF($K890="","",IF(INDEX('Detalle individual'!$F:$F,$K890)="Completado",INDEX('Detalle individual'!$J:$J,$K890),""))</f>
        <v/>
      </c>
      <c r="K890" t="str">
        <f>IFERROR(MOD(SMALL(Cálculos!$Z$5:$Z$1000,882),10000),"")</f>
        <v/>
      </c>
    </row>
    <row r="891">
      <c r="B891" s="13" t="str">
        <f>IF($K891="","",883)</f>
        <v/>
      </c>
      <c r="C891" s="13" t="str">
        <f>IF($K891="","",INDEX('Detalle individual'!$A:$A,$K891))</f>
        <v/>
      </c>
      <c r="D891" s="72" t="str">
        <f>IF($K891="","",TRIM(INDEX('Detalle individual'!$B:$B,$K891)))</f>
        <v/>
      </c>
      <c r="E891" s="72" t="str">
        <f>IF($K891="","",TRIM(INDEX('Detalle individual'!$E:$E,$K891)))</f>
        <v/>
      </c>
      <c r="F891" s="72" t="str">
        <f>IF($K891="","",TRIM(INDEX('Detalle individual'!$C:$C,$K891)))</f>
        <v/>
      </c>
      <c r="G891" s="72" t="str">
        <f>IF($K891="","",INDEX('Detalle individual'!$D:$D,$K891))</f>
        <v/>
      </c>
      <c r="H891" s="13" t="str">
        <f>IF($K891="","",INDEX('Detalle individual'!$F:$F,$K891))</f>
        <v/>
      </c>
      <c r="I891" s="20" t="str">
        <f>IF($K891="","",IF(INDEX('Detalle individual'!$F:$F,$K891)="Completado",INDEX('Detalle individual'!$H:$H,$K891),""))</f>
        <v/>
      </c>
      <c r="J891" s="21" t="str">
        <f>IF($K891="","",IF(INDEX('Detalle individual'!$F:$F,$K891)="Completado",INDEX('Detalle individual'!$J:$J,$K891),""))</f>
        <v/>
      </c>
      <c r="K891" t="str">
        <f>IFERROR(MOD(SMALL(Cálculos!$Z$5:$Z$1000,883),10000),"")</f>
        <v/>
      </c>
    </row>
    <row r="892">
      <c r="B892" s="13" t="str">
        <f>IF($K892="","",884)</f>
        <v/>
      </c>
      <c r="C892" s="13" t="str">
        <f>IF($K892="","",INDEX('Detalle individual'!$A:$A,$K892))</f>
        <v/>
      </c>
      <c r="D892" s="72" t="str">
        <f>IF($K892="","",TRIM(INDEX('Detalle individual'!$B:$B,$K892)))</f>
        <v/>
      </c>
      <c r="E892" s="72" t="str">
        <f>IF($K892="","",TRIM(INDEX('Detalle individual'!$E:$E,$K892)))</f>
        <v/>
      </c>
      <c r="F892" s="72" t="str">
        <f>IF($K892="","",TRIM(INDEX('Detalle individual'!$C:$C,$K892)))</f>
        <v/>
      </c>
      <c r="G892" s="72" t="str">
        <f>IF($K892="","",INDEX('Detalle individual'!$D:$D,$K892))</f>
        <v/>
      </c>
      <c r="H892" s="13" t="str">
        <f>IF($K892="","",INDEX('Detalle individual'!$F:$F,$K892))</f>
        <v/>
      </c>
      <c r="I892" s="20" t="str">
        <f>IF($K892="","",IF(INDEX('Detalle individual'!$F:$F,$K892)="Completado",INDEX('Detalle individual'!$H:$H,$K892),""))</f>
        <v/>
      </c>
      <c r="J892" s="21" t="str">
        <f>IF($K892="","",IF(INDEX('Detalle individual'!$F:$F,$K892)="Completado",INDEX('Detalle individual'!$J:$J,$K892),""))</f>
        <v/>
      </c>
      <c r="K892" t="str">
        <f>IFERROR(MOD(SMALL(Cálculos!$Z$5:$Z$1000,884),10000),"")</f>
        <v/>
      </c>
    </row>
    <row r="893">
      <c r="B893" s="13" t="str">
        <f>IF($K893="","",885)</f>
        <v/>
      </c>
      <c r="C893" s="13" t="str">
        <f>IF($K893="","",INDEX('Detalle individual'!$A:$A,$K893))</f>
        <v/>
      </c>
      <c r="D893" s="72" t="str">
        <f>IF($K893="","",TRIM(INDEX('Detalle individual'!$B:$B,$K893)))</f>
        <v/>
      </c>
      <c r="E893" s="72" t="str">
        <f>IF($K893="","",TRIM(INDEX('Detalle individual'!$E:$E,$K893)))</f>
        <v/>
      </c>
      <c r="F893" s="72" t="str">
        <f>IF($K893="","",TRIM(INDEX('Detalle individual'!$C:$C,$K893)))</f>
        <v/>
      </c>
      <c r="G893" s="72" t="str">
        <f>IF($K893="","",INDEX('Detalle individual'!$D:$D,$K893))</f>
        <v/>
      </c>
      <c r="H893" s="13" t="str">
        <f>IF($K893="","",INDEX('Detalle individual'!$F:$F,$K893))</f>
        <v/>
      </c>
      <c r="I893" s="20" t="str">
        <f>IF($K893="","",IF(INDEX('Detalle individual'!$F:$F,$K893)="Completado",INDEX('Detalle individual'!$H:$H,$K893),""))</f>
        <v/>
      </c>
      <c r="J893" s="21" t="str">
        <f>IF($K893="","",IF(INDEX('Detalle individual'!$F:$F,$K893)="Completado",INDEX('Detalle individual'!$J:$J,$K893),""))</f>
        <v/>
      </c>
      <c r="K893" t="str">
        <f>IFERROR(MOD(SMALL(Cálculos!$Z$5:$Z$1000,885),10000),"")</f>
        <v/>
      </c>
    </row>
    <row r="894">
      <c r="B894" s="13" t="str">
        <f>IF($K894="","",886)</f>
        <v/>
      </c>
      <c r="C894" s="13" t="str">
        <f>IF($K894="","",INDEX('Detalle individual'!$A:$A,$K894))</f>
        <v/>
      </c>
      <c r="D894" s="72" t="str">
        <f>IF($K894="","",TRIM(INDEX('Detalle individual'!$B:$B,$K894)))</f>
        <v/>
      </c>
      <c r="E894" s="72" t="str">
        <f>IF($K894="","",TRIM(INDEX('Detalle individual'!$E:$E,$K894)))</f>
        <v/>
      </c>
      <c r="F894" s="72" t="str">
        <f>IF($K894="","",TRIM(INDEX('Detalle individual'!$C:$C,$K894)))</f>
        <v/>
      </c>
      <c r="G894" s="72" t="str">
        <f>IF($K894="","",INDEX('Detalle individual'!$D:$D,$K894))</f>
        <v/>
      </c>
      <c r="H894" s="13" t="str">
        <f>IF($K894="","",INDEX('Detalle individual'!$F:$F,$K894))</f>
        <v/>
      </c>
      <c r="I894" s="20" t="str">
        <f>IF($K894="","",IF(INDEX('Detalle individual'!$F:$F,$K894)="Completado",INDEX('Detalle individual'!$H:$H,$K894),""))</f>
        <v/>
      </c>
      <c r="J894" s="21" t="str">
        <f>IF($K894="","",IF(INDEX('Detalle individual'!$F:$F,$K894)="Completado",INDEX('Detalle individual'!$J:$J,$K894),""))</f>
        <v/>
      </c>
      <c r="K894" t="str">
        <f>IFERROR(MOD(SMALL(Cálculos!$Z$5:$Z$1000,886),10000),"")</f>
        <v/>
      </c>
    </row>
    <row r="895">
      <c r="B895" s="13" t="str">
        <f>IF($K895="","",887)</f>
        <v/>
      </c>
      <c r="C895" s="13" t="str">
        <f>IF($K895="","",INDEX('Detalle individual'!$A:$A,$K895))</f>
        <v/>
      </c>
      <c r="D895" s="72" t="str">
        <f>IF($K895="","",TRIM(INDEX('Detalle individual'!$B:$B,$K895)))</f>
        <v/>
      </c>
      <c r="E895" s="72" t="str">
        <f>IF($K895="","",TRIM(INDEX('Detalle individual'!$E:$E,$K895)))</f>
        <v/>
      </c>
      <c r="F895" s="72" t="str">
        <f>IF($K895="","",TRIM(INDEX('Detalle individual'!$C:$C,$K895)))</f>
        <v/>
      </c>
      <c r="G895" s="72" t="str">
        <f>IF($K895="","",INDEX('Detalle individual'!$D:$D,$K895))</f>
        <v/>
      </c>
      <c r="H895" s="13" t="str">
        <f>IF($K895="","",INDEX('Detalle individual'!$F:$F,$K895))</f>
        <v/>
      </c>
      <c r="I895" s="20" t="str">
        <f>IF($K895="","",IF(INDEX('Detalle individual'!$F:$F,$K895)="Completado",INDEX('Detalle individual'!$H:$H,$K895),""))</f>
        <v/>
      </c>
      <c r="J895" s="21" t="str">
        <f>IF($K895="","",IF(INDEX('Detalle individual'!$F:$F,$K895)="Completado",INDEX('Detalle individual'!$J:$J,$K895),""))</f>
        <v/>
      </c>
      <c r="K895" t="str">
        <f>IFERROR(MOD(SMALL(Cálculos!$Z$5:$Z$1000,887),10000),"")</f>
        <v/>
      </c>
    </row>
    <row r="896">
      <c r="B896" s="13" t="str">
        <f>IF($K896="","",888)</f>
        <v/>
      </c>
      <c r="C896" s="13" t="str">
        <f>IF($K896="","",INDEX('Detalle individual'!$A:$A,$K896))</f>
        <v/>
      </c>
      <c r="D896" s="72" t="str">
        <f>IF($K896="","",TRIM(INDEX('Detalle individual'!$B:$B,$K896)))</f>
        <v/>
      </c>
      <c r="E896" s="72" t="str">
        <f>IF($K896="","",TRIM(INDEX('Detalle individual'!$E:$E,$K896)))</f>
        <v/>
      </c>
      <c r="F896" s="72" t="str">
        <f>IF($K896="","",TRIM(INDEX('Detalle individual'!$C:$C,$K896)))</f>
        <v/>
      </c>
      <c r="G896" s="72" t="str">
        <f>IF($K896="","",INDEX('Detalle individual'!$D:$D,$K896))</f>
        <v/>
      </c>
      <c r="H896" s="13" t="str">
        <f>IF($K896="","",INDEX('Detalle individual'!$F:$F,$K896))</f>
        <v/>
      </c>
      <c r="I896" s="20" t="str">
        <f>IF($K896="","",IF(INDEX('Detalle individual'!$F:$F,$K896)="Completado",INDEX('Detalle individual'!$H:$H,$K896),""))</f>
        <v/>
      </c>
      <c r="J896" s="21" t="str">
        <f>IF($K896="","",IF(INDEX('Detalle individual'!$F:$F,$K896)="Completado",INDEX('Detalle individual'!$J:$J,$K896),""))</f>
        <v/>
      </c>
      <c r="K896" t="str">
        <f>IFERROR(MOD(SMALL(Cálculos!$Z$5:$Z$1000,888),10000),"")</f>
        <v/>
      </c>
    </row>
    <row r="897">
      <c r="B897" s="13" t="str">
        <f>IF($K897="","",889)</f>
        <v/>
      </c>
      <c r="C897" s="13" t="str">
        <f>IF($K897="","",INDEX('Detalle individual'!$A:$A,$K897))</f>
        <v/>
      </c>
      <c r="D897" s="72" t="str">
        <f>IF($K897="","",TRIM(INDEX('Detalle individual'!$B:$B,$K897)))</f>
        <v/>
      </c>
      <c r="E897" s="72" t="str">
        <f>IF($K897="","",TRIM(INDEX('Detalle individual'!$E:$E,$K897)))</f>
        <v/>
      </c>
      <c r="F897" s="72" t="str">
        <f>IF($K897="","",TRIM(INDEX('Detalle individual'!$C:$C,$K897)))</f>
        <v/>
      </c>
      <c r="G897" s="72" t="str">
        <f>IF($K897="","",INDEX('Detalle individual'!$D:$D,$K897))</f>
        <v/>
      </c>
      <c r="H897" s="13" t="str">
        <f>IF($K897="","",INDEX('Detalle individual'!$F:$F,$K897))</f>
        <v/>
      </c>
      <c r="I897" s="20" t="str">
        <f>IF($K897="","",IF(INDEX('Detalle individual'!$F:$F,$K897)="Completado",INDEX('Detalle individual'!$H:$H,$K897),""))</f>
        <v/>
      </c>
      <c r="J897" s="21" t="str">
        <f>IF($K897="","",IF(INDEX('Detalle individual'!$F:$F,$K897)="Completado",INDEX('Detalle individual'!$J:$J,$K897),""))</f>
        <v/>
      </c>
      <c r="K897" t="str">
        <f>IFERROR(MOD(SMALL(Cálculos!$Z$5:$Z$1000,889),10000),"")</f>
        <v/>
      </c>
    </row>
    <row r="898">
      <c r="B898" s="13" t="str">
        <f>IF($K898="","",890)</f>
        <v/>
      </c>
      <c r="C898" s="13" t="str">
        <f>IF($K898="","",INDEX('Detalle individual'!$A:$A,$K898))</f>
        <v/>
      </c>
      <c r="D898" s="72" t="str">
        <f>IF($K898="","",TRIM(INDEX('Detalle individual'!$B:$B,$K898)))</f>
        <v/>
      </c>
      <c r="E898" s="72" t="str">
        <f>IF($K898="","",TRIM(INDEX('Detalle individual'!$E:$E,$K898)))</f>
        <v/>
      </c>
      <c r="F898" s="72" t="str">
        <f>IF($K898="","",TRIM(INDEX('Detalle individual'!$C:$C,$K898)))</f>
        <v/>
      </c>
      <c r="G898" s="72" t="str">
        <f>IF($K898="","",INDEX('Detalle individual'!$D:$D,$K898))</f>
        <v/>
      </c>
      <c r="H898" s="13" t="str">
        <f>IF($K898="","",INDEX('Detalle individual'!$F:$F,$K898))</f>
        <v/>
      </c>
      <c r="I898" s="20" t="str">
        <f>IF($K898="","",IF(INDEX('Detalle individual'!$F:$F,$K898)="Completado",INDEX('Detalle individual'!$H:$H,$K898),""))</f>
        <v/>
      </c>
      <c r="J898" s="21" t="str">
        <f>IF($K898="","",IF(INDEX('Detalle individual'!$F:$F,$K898)="Completado",INDEX('Detalle individual'!$J:$J,$K898),""))</f>
        <v/>
      </c>
      <c r="K898" t="str">
        <f>IFERROR(MOD(SMALL(Cálculos!$Z$5:$Z$1000,890),10000),"")</f>
        <v/>
      </c>
    </row>
    <row r="899">
      <c r="B899" s="13" t="str">
        <f>IF($K899="","",891)</f>
        <v/>
      </c>
      <c r="C899" s="13" t="str">
        <f>IF($K899="","",INDEX('Detalle individual'!$A:$A,$K899))</f>
        <v/>
      </c>
      <c r="D899" s="72" t="str">
        <f>IF($K899="","",TRIM(INDEX('Detalle individual'!$B:$B,$K899)))</f>
        <v/>
      </c>
      <c r="E899" s="72" t="str">
        <f>IF($K899="","",TRIM(INDEX('Detalle individual'!$E:$E,$K899)))</f>
        <v/>
      </c>
      <c r="F899" s="72" t="str">
        <f>IF($K899="","",TRIM(INDEX('Detalle individual'!$C:$C,$K899)))</f>
        <v/>
      </c>
      <c r="G899" s="72" t="str">
        <f>IF($K899="","",INDEX('Detalle individual'!$D:$D,$K899))</f>
        <v/>
      </c>
      <c r="H899" s="13" t="str">
        <f>IF($K899="","",INDEX('Detalle individual'!$F:$F,$K899))</f>
        <v/>
      </c>
      <c r="I899" s="20" t="str">
        <f>IF($K899="","",IF(INDEX('Detalle individual'!$F:$F,$K899)="Completado",INDEX('Detalle individual'!$H:$H,$K899),""))</f>
        <v/>
      </c>
      <c r="J899" s="21" t="str">
        <f>IF($K899="","",IF(INDEX('Detalle individual'!$F:$F,$K899)="Completado",INDEX('Detalle individual'!$J:$J,$K899),""))</f>
        <v/>
      </c>
      <c r="K899" t="str">
        <f>IFERROR(MOD(SMALL(Cálculos!$Z$5:$Z$1000,891),10000),"")</f>
        <v/>
      </c>
    </row>
    <row r="900">
      <c r="B900" s="13" t="str">
        <f>IF($K900="","",892)</f>
        <v/>
      </c>
      <c r="C900" s="13" t="str">
        <f>IF($K900="","",INDEX('Detalle individual'!$A:$A,$K900))</f>
        <v/>
      </c>
      <c r="D900" s="72" t="str">
        <f>IF($K900="","",TRIM(INDEX('Detalle individual'!$B:$B,$K900)))</f>
        <v/>
      </c>
      <c r="E900" s="72" t="str">
        <f>IF($K900="","",TRIM(INDEX('Detalle individual'!$E:$E,$K900)))</f>
        <v/>
      </c>
      <c r="F900" s="72" t="str">
        <f>IF($K900="","",TRIM(INDEX('Detalle individual'!$C:$C,$K900)))</f>
        <v/>
      </c>
      <c r="G900" s="72" t="str">
        <f>IF($K900="","",INDEX('Detalle individual'!$D:$D,$K900))</f>
        <v/>
      </c>
      <c r="H900" s="13" t="str">
        <f>IF($K900="","",INDEX('Detalle individual'!$F:$F,$K900))</f>
        <v/>
      </c>
      <c r="I900" s="20" t="str">
        <f>IF($K900="","",IF(INDEX('Detalle individual'!$F:$F,$K900)="Completado",INDEX('Detalle individual'!$H:$H,$K900),""))</f>
        <v/>
      </c>
      <c r="J900" s="21" t="str">
        <f>IF($K900="","",IF(INDEX('Detalle individual'!$F:$F,$K900)="Completado",INDEX('Detalle individual'!$J:$J,$K900),""))</f>
        <v/>
      </c>
      <c r="K900" t="str">
        <f>IFERROR(MOD(SMALL(Cálculos!$Z$5:$Z$1000,892),10000),"")</f>
        <v/>
      </c>
    </row>
    <row r="901">
      <c r="B901" s="13" t="str">
        <f>IF($K901="","",893)</f>
        <v/>
      </c>
      <c r="C901" s="13" t="str">
        <f>IF($K901="","",INDEX('Detalle individual'!$A:$A,$K901))</f>
        <v/>
      </c>
      <c r="D901" s="72" t="str">
        <f>IF($K901="","",TRIM(INDEX('Detalle individual'!$B:$B,$K901)))</f>
        <v/>
      </c>
      <c r="E901" s="72" t="str">
        <f>IF($K901="","",TRIM(INDEX('Detalle individual'!$E:$E,$K901)))</f>
        <v/>
      </c>
      <c r="F901" s="72" t="str">
        <f>IF($K901="","",TRIM(INDEX('Detalle individual'!$C:$C,$K901)))</f>
        <v/>
      </c>
      <c r="G901" s="72" t="str">
        <f>IF($K901="","",INDEX('Detalle individual'!$D:$D,$K901))</f>
        <v/>
      </c>
      <c r="H901" s="13" t="str">
        <f>IF($K901="","",INDEX('Detalle individual'!$F:$F,$K901))</f>
        <v/>
      </c>
      <c r="I901" s="20" t="str">
        <f>IF($K901="","",IF(INDEX('Detalle individual'!$F:$F,$K901)="Completado",INDEX('Detalle individual'!$H:$H,$K901),""))</f>
        <v/>
      </c>
      <c r="J901" s="21" t="str">
        <f>IF($K901="","",IF(INDEX('Detalle individual'!$F:$F,$K901)="Completado",INDEX('Detalle individual'!$J:$J,$K901),""))</f>
        <v/>
      </c>
      <c r="K901" t="str">
        <f>IFERROR(MOD(SMALL(Cálculos!$Z$5:$Z$1000,893),10000),"")</f>
        <v/>
      </c>
    </row>
    <row r="902">
      <c r="B902" s="13" t="str">
        <f>IF($K902="","",894)</f>
        <v/>
      </c>
      <c r="C902" s="13" t="str">
        <f>IF($K902="","",INDEX('Detalle individual'!$A:$A,$K902))</f>
        <v/>
      </c>
      <c r="D902" s="72" t="str">
        <f>IF($K902="","",TRIM(INDEX('Detalle individual'!$B:$B,$K902)))</f>
        <v/>
      </c>
      <c r="E902" s="72" t="str">
        <f>IF($K902="","",TRIM(INDEX('Detalle individual'!$E:$E,$K902)))</f>
        <v/>
      </c>
      <c r="F902" s="72" t="str">
        <f>IF($K902="","",TRIM(INDEX('Detalle individual'!$C:$C,$K902)))</f>
        <v/>
      </c>
      <c r="G902" s="72" t="str">
        <f>IF($K902="","",INDEX('Detalle individual'!$D:$D,$K902))</f>
        <v/>
      </c>
      <c r="H902" s="13" t="str">
        <f>IF($K902="","",INDEX('Detalle individual'!$F:$F,$K902))</f>
        <v/>
      </c>
      <c r="I902" s="20" t="str">
        <f>IF($K902="","",IF(INDEX('Detalle individual'!$F:$F,$K902)="Completado",INDEX('Detalle individual'!$H:$H,$K902),""))</f>
        <v/>
      </c>
      <c r="J902" s="21" t="str">
        <f>IF($K902="","",IF(INDEX('Detalle individual'!$F:$F,$K902)="Completado",INDEX('Detalle individual'!$J:$J,$K902),""))</f>
        <v/>
      </c>
      <c r="K902" t="str">
        <f>IFERROR(MOD(SMALL(Cálculos!$Z$5:$Z$1000,894),10000),"")</f>
        <v/>
      </c>
    </row>
    <row r="903">
      <c r="B903" s="13" t="str">
        <f>IF($K903="","",895)</f>
        <v/>
      </c>
      <c r="C903" s="13" t="str">
        <f>IF($K903="","",INDEX('Detalle individual'!$A:$A,$K903))</f>
        <v/>
      </c>
      <c r="D903" s="72" t="str">
        <f>IF($K903="","",TRIM(INDEX('Detalle individual'!$B:$B,$K903)))</f>
        <v/>
      </c>
      <c r="E903" s="72" t="str">
        <f>IF($K903="","",TRIM(INDEX('Detalle individual'!$E:$E,$K903)))</f>
        <v/>
      </c>
      <c r="F903" s="72" t="str">
        <f>IF($K903="","",TRIM(INDEX('Detalle individual'!$C:$C,$K903)))</f>
        <v/>
      </c>
      <c r="G903" s="72" t="str">
        <f>IF($K903="","",INDEX('Detalle individual'!$D:$D,$K903))</f>
        <v/>
      </c>
      <c r="H903" s="13" t="str">
        <f>IF($K903="","",INDEX('Detalle individual'!$F:$F,$K903))</f>
        <v/>
      </c>
      <c r="I903" s="20" t="str">
        <f>IF($K903="","",IF(INDEX('Detalle individual'!$F:$F,$K903)="Completado",INDEX('Detalle individual'!$H:$H,$K903),""))</f>
        <v/>
      </c>
      <c r="J903" s="21" t="str">
        <f>IF($K903="","",IF(INDEX('Detalle individual'!$F:$F,$K903)="Completado",INDEX('Detalle individual'!$J:$J,$K903),""))</f>
        <v/>
      </c>
      <c r="K903" t="str">
        <f>IFERROR(MOD(SMALL(Cálculos!$Z$5:$Z$1000,895),10000),"")</f>
        <v/>
      </c>
    </row>
    <row r="904">
      <c r="B904" s="13" t="str">
        <f>IF($K904="","",896)</f>
        <v/>
      </c>
      <c r="C904" s="13" t="str">
        <f>IF($K904="","",INDEX('Detalle individual'!$A:$A,$K904))</f>
        <v/>
      </c>
      <c r="D904" s="72" t="str">
        <f>IF($K904="","",TRIM(INDEX('Detalle individual'!$B:$B,$K904)))</f>
        <v/>
      </c>
      <c r="E904" s="72" t="str">
        <f>IF($K904="","",TRIM(INDEX('Detalle individual'!$E:$E,$K904)))</f>
        <v/>
      </c>
      <c r="F904" s="72" t="str">
        <f>IF($K904="","",TRIM(INDEX('Detalle individual'!$C:$C,$K904)))</f>
        <v/>
      </c>
      <c r="G904" s="72" t="str">
        <f>IF($K904="","",INDEX('Detalle individual'!$D:$D,$K904))</f>
        <v/>
      </c>
      <c r="H904" s="13" t="str">
        <f>IF($K904="","",INDEX('Detalle individual'!$F:$F,$K904))</f>
        <v/>
      </c>
      <c r="I904" s="20" t="str">
        <f>IF($K904="","",IF(INDEX('Detalle individual'!$F:$F,$K904)="Completado",INDEX('Detalle individual'!$H:$H,$K904),""))</f>
        <v/>
      </c>
      <c r="J904" s="21" t="str">
        <f>IF($K904="","",IF(INDEX('Detalle individual'!$F:$F,$K904)="Completado",INDEX('Detalle individual'!$J:$J,$K904),""))</f>
        <v/>
      </c>
      <c r="K904" t="str">
        <f>IFERROR(MOD(SMALL(Cálculos!$Z$5:$Z$1000,896),10000),"")</f>
        <v/>
      </c>
    </row>
    <row r="905">
      <c r="B905" s="13" t="str">
        <f>IF($K905="","",897)</f>
        <v/>
      </c>
      <c r="C905" s="13" t="str">
        <f>IF($K905="","",INDEX('Detalle individual'!$A:$A,$K905))</f>
        <v/>
      </c>
      <c r="D905" s="72" t="str">
        <f>IF($K905="","",TRIM(INDEX('Detalle individual'!$B:$B,$K905)))</f>
        <v/>
      </c>
      <c r="E905" s="72" t="str">
        <f>IF($K905="","",TRIM(INDEX('Detalle individual'!$E:$E,$K905)))</f>
        <v/>
      </c>
      <c r="F905" s="72" t="str">
        <f>IF($K905="","",TRIM(INDEX('Detalle individual'!$C:$C,$K905)))</f>
        <v/>
      </c>
      <c r="G905" s="72" t="str">
        <f>IF($K905="","",INDEX('Detalle individual'!$D:$D,$K905))</f>
        <v/>
      </c>
      <c r="H905" s="13" t="str">
        <f>IF($K905="","",INDEX('Detalle individual'!$F:$F,$K905))</f>
        <v/>
      </c>
      <c r="I905" s="20" t="str">
        <f>IF($K905="","",IF(INDEX('Detalle individual'!$F:$F,$K905)="Completado",INDEX('Detalle individual'!$H:$H,$K905),""))</f>
        <v/>
      </c>
      <c r="J905" s="21" t="str">
        <f>IF($K905="","",IF(INDEX('Detalle individual'!$F:$F,$K905)="Completado",INDEX('Detalle individual'!$J:$J,$K905),""))</f>
        <v/>
      </c>
      <c r="K905" t="str">
        <f>IFERROR(MOD(SMALL(Cálculos!$Z$5:$Z$1000,897),10000),"")</f>
        <v/>
      </c>
    </row>
    <row r="906">
      <c r="B906" s="13" t="str">
        <f>IF($K906="","",898)</f>
        <v/>
      </c>
      <c r="C906" s="13" t="str">
        <f>IF($K906="","",INDEX('Detalle individual'!$A:$A,$K906))</f>
        <v/>
      </c>
      <c r="D906" s="72" t="str">
        <f>IF($K906="","",TRIM(INDEX('Detalle individual'!$B:$B,$K906)))</f>
        <v/>
      </c>
      <c r="E906" s="72" t="str">
        <f>IF($K906="","",TRIM(INDEX('Detalle individual'!$E:$E,$K906)))</f>
        <v/>
      </c>
      <c r="F906" s="72" t="str">
        <f>IF($K906="","",TRIM(INDEX('Detalle individual'!$C:$C,$K906)))</f>
        <v/>
      </c>
      <c r="G906" s="72" t="str">
        <f>IF($K906="","",INDEX('Detalle individual'!$D:$D,$K906))</f>
        <v/>
      </c>
      <c r="H906" s="13" t="str">
        <f>IF($K906="","",INDEX('Detalle individual'!$F:$F,$K906))</f>
        <v/>
      </c>
      <c r="I906" s="20" t="str">
        <f>IF($K906="","",IF(INDEX('Detalle individual'!$F:$F,$K906)="Completado",INDEX('Detalle individual'!$H:$H,$K906),""))</f>
        <v/>
      </c>
      <c r="J906" s="21" t="str">
        <f>IF($K906="","",IF(INDEX('Detalle individual'!$F:$F,$K906)="Completado",INDEX('Detalle individual'!$J:$J,$K906),""))</f>
        <v/>
      </c>
      <c r="K906" t="str">
        <f>IFERROR(MOD(SMALL(Cálculos!$Z$5:$Z$1000,898),10000),"")</f>
        <v/>
      </c>
    </row>
    <row r="907">
      <c r="B907" s="13" t="str">
        <f>IF($K907="","",899)</f>
        <v/>
      </c>
      <c r="C907" s="13" t="str">
        <f>IF($K907="","",INDEX('Detalle individual'!$A:$A,$K907))</f>
        <v/>
      </c>
      <c r="D907" s="72" t="str">
        <f>IF($K907="","",TRIM(INDEX('Detalle individual'!$B:$B,$K907)))</f>
        <v/>
      </c>
      <c r="E907" s="72" t="str">
        <f>IF($K907="","",TRIM(INDEX('Detalle individual'!$E:$E,$K907)))</f>
        <v/>
      </c>
      <c r="F907" s="72" t="str">
        <f>IF($K907="","",TRIM(INDEX('Detalle individual'!$C:$C,$K907)))</f>
        <v/>
      </c>
      <c r="G907" s="72" t="str">
        <f>IF($K907="","",INDEX('Detalle individual'!$D:$D,$K907))</f>
        <v/>
      </c>
      <c r="H907" s="13" t="str">
        <f>IF($K907="","",INDEX('Detalle individual'!$F:$F,$K907))</f>
        <v/>
      </c>
      <c r="I907" s="20" t="str">
        <f>IF($K907="","",IF(INDEX('Detalle individual'!$F:$F,$K907)="Completado",INDEX('Detalle individual'!$H:$H,$K907),""))</f>
        <v/>
      </c>
      <c r="J907" s="21" t="str">
        <f>IF($K907="","",IF(INDEX('Detalle individual'!$F:$F,$K907)="Completado",INDEX('Detalle individual'!$J:$J,$K907),""))</f>
        <v/>
      </c>
      <c r="K907" t="str">
        <f>IFERROR(MOD(SMALL(Cálculos!$Z$5:$Z$1000,899),10000),"")</f>
        <v/>
      </c>
    </row>
    <row r="908">
      <c r="B908" s="13" t="str">
        <f>IF($K908="","",900)</f>
        <v/>
      </c>
      <c r="C908" s="13" t="str">
        <f>IF($K908="","",INDEX('Detalle individual'!$A:$A,$K908))</f>
        <v/>
      </c>
      <c r="D908" s="72" t="str">
        <f>IF($K908="","",TRIM(INDEX('Detalle individual'!$B:$B,$K908)))</f>
        <v/>
      </c>
      <c r="E908" s="72" t="str">
        <f>IF($K908="","",TRIM(INDEX('Detalle individual'!$E:$E,$K908)))</f>
        <v/>
      </c>
      <c r="F908" s="72" t="str">
        <f>IF($K908="","",TRIM(INDEX('Detalle individual'!$C:$C,$K908)))</f>
        <v/>
      </c>
      <c r="G908" s="72" t="str">
        <f>IF($K908="","",INDEX('Detalle individual'!$D:$D,$K908))</f>
        <v/>
      </c>
      <c r="H908" s="13" t="str">
        <f>IF($K908="","",INDEX('Detalle individual'!$F:$F,$K908))</f>
        <v/>
      </c>
      <c r="I908" s="20" t="str">
        <f>IF($K908="","",IF(INDEX('Detalle individual'!$F:$F,$K908)="Completado",INDEX('Detalle individual'!$H:$H,$K908),""))</f>
        <v/>
      </c>
      <c r="J908" s="21" t="str">
        <f>IF($K908="","",IF(INDEX('Detalle individual'!$F:$F,$K908)="Completado",INDEX('Detalle individual'!$J:$J,$K908),""))</f>
        <v/>
      </c>
      <c r="K908" t="str">
        <f>IFERROR(MOD(SMALL(Cálculos!$Z$5:$Z$1000,900),10000),"")</f>
        <v/>
      </c>
    </row>
    <row r="909">
      <c r="B909" s="13" t="str">
        <f>IF($K909="","",901)</f>
        <v/>
      </c>
      <c r="C909" s="13" t="str">
        <f>IF($K909="","",INDEX('Detalle individual'!$A:$A,$K909))</f>
        <v/>
      </c>
      <c r="D909" s="72" t="str">
        <f>IF($K909="","",TRIM(INDEX('Detalle individual'!$B:$B,$K909)))</f>
        <v/>
      </c>
      <c r="E909" s="72" t="str">
        <f>IF($K909="","",TRIM(INDEX('Detalle individual'!$E:$E,$K909)))</f>
        <v/>
      </c>
      <c r="F909" s="72" t="str">
        <f>IF($K909="","",TRIM(INDEX('Detalle individual'!$C:$C,$K909)))</f>
        <v/>
      </c>
      <c r="G909" s="72" t="str">
        <f>IF($K909="","",INDEX('Detalle individual'!$D:$D,$K909))</f>
        <v/>
      </c>
      <c r="H909" s="13" t="str">
        <f>IF($K909="","",INDEX('Detalle individual'!$F:$F,$K909))</f>
        <v/>
      </c>
      <c r="I909" s="20" t="str">
        <f>IF($K909="","",IF(INDEX('Detalle individual'!$F:$F,$K909)="Completado",INDEX('Detalle individual'!$H:$H,$K909),""))</f>
        <v/>
      </c>
      <c r="J909" s="21" t="str">
        <f>IF($K909="","",IF(INDEX('Detalle individual'!$F:$F,$K909)="Completado",INDEX('Detalle individual'!$J:$J,$K909),""))</f>
        <v/>
      </c>
      <c r="K909" t="str">
        <f>IFERROR(MOD(SMALL(Cálculos!$Z$5:$Z$1000,901),10000),"")</f>
        <v/>
      </c>
    </row>
    <row r="910">
      <c r="B910" s="13" t="str">
        <f>IF($K910="","",902)</f>
        <v/>
      </c>
      <c r="C910" s="13" t="str">
        <f>IF($K910="","",INDEX('Detalle individual'!$A:$A,$K910))</f>
        <v/>
      </c>
      <c r="D910" s="72" t="str">
        <f>IF($K910="","",TRIM(INDEX('Detalle individual'!$B:$B,$K910)))</f>
        <v/>
      </c>
      <c r="E910" s="72" t="str">
        <f>IF($K910="","",TRIM(INDEX('Detalle individual'!$E:$E,$K910)))</f>
        <v/>
      </c>
      <c r="F910" s="72" t="str">
        <f>IF($K910="","",TRIM(INDEX('Detalle individual'!$C:$C,$K910)))</f>
        <v/>
      </c>
      <c r="G910" s="72" t="str">
        <f>IF($K910="","",INDEX('Detalle individual'!$D:$D,$K910))</f>
        <v/>
      </c>
      <c r="H910" s="13" t="str">
        <f>IF($K910="","",INDEX('Detalle individual'!$F:$F,$K910))</f>
        <v/>
      </c>
      <c r="I910" s="20" t="str">
        <f>IF($K910="","",IF(INDEX('Detalle individual'!$F:$F,$K910)="Completado",INDEX('Detalle individual'!$H:$H,$K910),""))</f>
        <v/>
      </c>
      <c r="J910" s="21" t="str">
        <f>IF($K910="","",IF(INDEX('Detalle individual'!$F:$F,$K910)="Completado",INDEX('Detalle individual'!$J:$J,$K910),""))</f>
        <v/>
      </c>
      <c r="K910" t="str">
        <f>IFERROR(MOD(SMALL(Cálculos!$Z$5:$Z$1000,902),10000),"")</f>
        <v/>
      </c>
    </row>
    <row r="911">
      <c r="B911" s="13" t="str">
        <f>IF($K911="","",903)</f>
        <v/>
      </c>
      <c r="C911" s="13" t="str">
        <f>IF($K911="","",INDEX('Detalle individual'!$A:$A,$K911))</f>
        <v/>
      </c>
      <c r="D911" s="72" t="str">
        <f>IF($K911="","",TRIM(INDEX('Detalle individual'!$B:$B,$K911)))</f>
        <v/>
      </c>
      <c r="E911" s="72" t="str">
        <f>IF($K911="","",TRIM(INDEX('Detalle individual'!$E:$E,$K911)))</f>
        <v/>
      </c>
      <c r="F911" s="72" t="str">
        <f>IF($K911="","",TRIM(INDEX('Detalle individual'!$C:$C,$K911)))</f>
        <v/>
      </c>
      <c r="G911" s="72" t="str">
        <f>IF($K911="","",INDEX('Detalle individual'!$D:$D,$K911))</f>
        <v/>
      </c>
      <c r="H911" s="13" t="str">
        <f>IF($K911="","",INDEX('Detalle individual'!$F:$F,$K911))</f>
        <v/>
      </c>
      <c r="I911" s="20" t="str">
        <f>IF($K911="","",IF(INDEX('Detalle individual'!$F:$F,$K911)="Completado",INDEX('Detalle individual'!$H:$H,$K911),""))</f>
        <v/>
      </c>
      <c r="J911" s="21" t="str">
        <f>IF($K911="","",IF(INDEX('Detalle individual'!$F:$F,$K911)="Completado",INDEX('Detalle individual'!$J:$J,$K911),""))</f>
        <v/>
      </c>
      <c r="K911" t="str">
        <f>IFERROR(MOD(SMALL(Cálculos!$Z$5:$Z$1000,903),10000),"")</f>
        <v/>
      </c>
    </row>
    <row r="912">
      <c r="B912" s="13" t="str">
        <f>IF($K912="","",904)</f>
        <v/>
      </c>
      <c r="C912" s="13" t="str">
        <f>IF($K912="","",INDEX('Detalle individual'!$A:$A,$K912))</f>
        <v/>
      </c>
      <c r="D912" s="72" t="str">
        <f>IF($K912="","",TRIM(INDEX('Detalle individual'!$B:$B,$K912)))</f>
        <v/>
      </c>
      <c r="E912" s="72" t="str">
        <f>IF($K912="","",TRIM(INDEX('Detalle individual'!$E:$E,$K912)))</f>
        <v/>
      </c>
      <c r="F912" s="72" t="str">
        <f>IF($K912="","",TRIM(INDEX('Detalle individual'!$C:$C,$K912)))</f>
        <v/>
      </c>
      <c r="G912" s="72" t="str">
        <f>IF($K912="","",INDEX('Detalle individual'!$D:$D,$K912))</f>
        <v/>
      </c>
      <c r="H912" s="13" t="str">
        <f>IF($K912="","",INDEX('Detalle individual'!$F:$F,$K912))</f>
        <v/>
      </c>
      <c r="I912" s="20" t="str">
        <f>IF($K912="","",IF(INDEX('Detalle individual'!$F:$F,$K912)="Completado",INDEX('Detalle individual'!$H:$H,$K912),""))</f>
        <v/>
      </c>
      <c r="J912" s="21" t="str">
        <f>IF($K912="","",IF(INDEX('Detalle individual'!$F:$F,$K912)="Completado",INDEX('Detalle individual'!$J:$J,$K912),""))</f>
        <v/>
      </c>
      <c r="K912" t="str">
        <f>IFERROR(MOD(SMALL(Cálculos!$Z$5:$Z$1000,904),10000),"")</f>
        <v/>
      </c>
    </row>
    <row r="913">
      <c r="B913" s="13" t="str">
        <f>IF($K913="","",905)</f>
        <v/>
      </c>
      <c r="C913" s="13" t="str">
        <f>IF($K913="","",INDEX('Detalle individual'!$A:$A,$K913))</f>
        <v/>
      </c>
      <c r="D913" s="72" t="str">
        <f>IF($K913="","",TRIM(INDEX('Detalle individual'!$B:$B,$K913)))</f>
        <v/>
      </c>
      <c r="E913" s="72" t="str">
        <f>IF($K913="","",TRIM(INDEX('Detalle individual'!$E:$E,$K913)))</f>
        <v/>
      </c>
      <c r="F913" s="72" t="str">
        <f>IF($K913="","",TRIM(INDEX('Detalle individual'!$C:$C,$K913)))</f>
        <v/>
      </c>
      <c r="G913" s="72" t="str">
        <f>IF($K913="","",INDEX('Detalle individual'!$D:$D,$K913))</f>
        <v/>
      </c>
      <c r="H913" s="13" t="str">
        <f>IF($K913="","",INDEX('Detalle individual'!$F:$F,$K913))</f>
        <v/>
      </c>
      <c r="I913" s="20" t="str">
        <f>IF($K913="","",IF(INDEX('Detalle individual'!$F:$F,$K913)="Completado",INDEX('Detalle individual'!$H:$H,$K913),""))</f>
        <v/>
      </c>
      <c r="J913" s="21" t="str">
        <f>IF($K913="","",IF(INDEX('Detalle individual'!$F:$F,$K913)="Completado",INDEX('Detalle individual'!$J:$J,$K913),""))</f>
        <v/>
      </c>
      <c r="K913" t="str">
        <f>IFERROR(MOD(SMALL(Cálculos!$Z$5:$Z$1000,905),10000),"")</f>
        <v/>
      </c>
    </row>
    <row r="914">
      <c r="B914" s="13" t="str">
        <f>IF($K914="","",906)</f>
        <v/>
      </c>
      <c r="C914" s="13" t="str">
        <f>IF($K914="","",INDEX('Detalle individual'!$A:$A,$K914))</f>
        <v/>
      </c>
      <c r="D914" s="72" t="str">
        <f>IF($K914="","",TRIM(INDEX('Detalle individual'!$B:$B,$K914)))</f>
        <v/>
      </c>
      <c r="E914" s="72" t="str">
        <f>IF($K914="","",TRIM(INDEX('Detalle individual'!$E:$E,$K914)))</f>
        <v/>
      </c>
      <c r="F914" s="72" t="str">
        <f>IF($K914="","",TRIM(INDEX('Detalle individual'!$C:$C,$K914)))</f>
        <v/>
      </c>
      <c r="G914" s="72" t="str">
        <f>IF($K914="","",INDEX('Detalle individual'!$D:$D,$K914))</f>
        <v/>
      </c>
      <c r="H914" s="13" t="str">
        <f>IF($K914="","",INDEX('Detalle individual'!$F:$F,$K914))</f>
        <v/>
      </c>
      <c r="I914" s="20" t="str">
        <f>IF($K914="","",IF(INDEX('Detalle individual'!$F:$F,$K914)="Completado",INDEX('Detalle individual'!$H:$H,$K914),""))</f>
        <v/>
      </c>
      <c r="J914" s="21" t="str">
        <f>IF($K914="","",IF(INDEX('Detalle individual'!$F:$F,$K914)="Completado",INDEX('Detalle individual'!$J:$J,$K914),""))</f>
        <v/>
      </c>
      <c r="K914" t="str">
        <f>IFERROR(MOD(SMALL(Cálculos!$Z$5:$Z$1000,906),10000),"")</f>
        <v/>
      </c>
    </row>
    <row r="915">
      <c r="B915" s="13" t="str">
        <f>IF($K915="","",907)</f>
        <v/>
      </c>
      <c r="C915" s="13" t="str">
        <f>IF($K915="","",INDEX('Detalle individual'!$A:$A,$K915))</f>
        <v/>
      </c>
      <c r="D915" s="72" t="str">
        <f>IF($K915="","",TRIM(INDEX('Detalle individual'!$B:$B,$K915)))</f>
        <v/>
      </c>
      <c r="E915" s="72" t="str">
        <f>IF($K915="","",TRIM(INDEX('Detalle individual'!$E:$E,$K915)))</f>
        <v/>
      </c>
      <c r="F915" s="72" t="str">
        <f>IF($K915="","",TRIM(INDEX('Detalle individual'!$C:$C,$K915)))</f>
        <v/>
      </c>
      <c r="G915" s="72" t="str">
        <f>IF($K915="","",INDEX('Detalle individual'!$D:$D,$K915))</f>
        <v/>
      </c>
      <c r="H915" s="13" t="str">
        <f>IF($K915="","",INDEX('Detalle individual'!$F:$F,$K915))</f>
        <v/>
      </c>
      <c r="I915" s="20" t="str">
        <f>IF($K915="","",IF(INDEX('Detalle individual'!$F:$F,$K915)="Completado",INDEX('Detalle individual'!$H:$H,$K915),""))</f>
        <v/>
      </c>
      <c r="J915" s="21" t="str">
        <f>IF($K915="","",IF(INDEX('Detalle individual'!$F:$F,$K915)="Completado",INDEX('Detalle individual'!$J:$J,$K915),""))</f>
        <v/>
      </c>
      <c r="K915" t="str">
        <f>IFERROR(MOD(SMALL(Cálculos!$Z$5:$Z$1000,907),10000),"")</f>
        <v/>
      </c>
    </row>
    <row r="916">
      <c r="B916" s="13" t="str">
        <f>IF($K916="","",908)</f>
        <v/>
      </c>
      <c r="C916" s="13" t="str">
        <f>IF($K916="","",INDEX('Detalle individual'!$A:$A,$K916))</f>
        <v/>
      </c>
      <c r="D916" s="72" t="str">
        <f>IF($K916="","",TRIM(INDEX('Detalle individual'!$B:$B,$K916)))</f>
        <v/>
      </c>
      <c r="E916" s="72" t="str">
        <f>IF($K916="","",TRIM(INDEX('Detalle individual'!$E:$E,$K916)))</f>
        <v/>
      </c>
      <c r="F916" s="72" t="str">
        <f>IF($K916="","",TRIM(INDEX('Detalle individual'!$C:$C,$K916)))</f>
        <v/>
      </c>
      <c r="G916" s="72" t="str">
        <f>IF($K916="","",INDEX('Detalle individual'!$D:$D,$K916))</f>
        <v/>
      </c>
      <c r="H916" s="13" t="str">
        <f>IF($K916="","",INDEX('Detalle individual'!$F:$F,$K916))</f>
        <v/>
      </c>
      <c r="I916" s="20" t="str">
        <f>IF($K916="","",IF(INDEX('Detalle individual'!$F:$F,$K916)="Completado",INDEX('Detalle individual'!$H:$H,$K916),""))</f>
        <v/>
      </c>
      <c r="J916" s="21" t="str">
        <f>IF($K916="","",IF(INDEX('Detalle individual'!$F:$F,$K916)="Completado",INDEX('Detalle individual'!$J:$J,$K916),""))</f>
        <v/>
      </c>
      <c r="K916" t="str">
        <f>IFERROR(MOD(SMALL(Cálculos!$Z$5:$Z$1000,908),10000),"")</f>
        <v/>
      </c>
    </row>
    <row r="917">
      <c r="B917" s="13" t="str">
        <f>IF($K917="","",909)</f>
        <v/>
      </c>
      <c r="C917" s="13" t="str">
        <f>IF($K917="","",INDEX('Detalle individual'!$A:$A,$K917))</f>
        <v/>
      </c>
      <c r="D917" s="72" t="str">
        <f>IF($K917="","",TRIM(INDEX('Detalle individual'!$B:$B,$K917)))</f>
        <v/>
      </c>
      <c r="E917" s="72" t="str">
        <f>IF($K917="","",TRIM(INDEX('Detalle individual'!$E:$E,$K917)))</f>
        <v/>
      </c>
      <c r="F917" s="72" t="str">
        <f>IF($K917="","",TRIM(INDEX('Detalle individual'!$C:$C,$K917)))</f>
        <v/>
      </c>
      <c r="G917" s="72" t="str">
        <f>IF($K917="","",INDEX('Detalle individual'!$D:$D,$K917))</f>
        <v/>
      </c>
      <c r="H917" s="13" t="str">
        <f>IF($K917="","",INDEX('Detalle individual'!$F:$F,$K917))</f>
        <v/>
      </c>
      <c r="I917" s="20" t="str">
        <f>IF($K917="","",IF(INDEX('Detalle individual'!$F:$F,$K917)="Completado",INDEX('Detalle individual'!$H:$H,$K917),""))</f>
        <v/>
      </c>
      <c r="J917" s="21" t="str">
        <f>IF($K917="","",IF(INDEX('Detalle individual'!$F:$F,$K917)="Completado",INDEX('Detalle individual'!$J:$J,$K917),""))</f>
        <v/>
      </c>
      <c r="K917" t="str">
        <f>IFERROR(MOD(SMALL(Cálculos!$Z$5:$Z$1000,909),10000),"")</f>
        <v/>
      </c>
    </row>
    <row r="918">
      <c r="B918" s="13" t="str">
        <f>IF($K918="","",910)</f>
        <v/>
      </c>
      <c r="C918" s="13" t="str">
        <f>IF($K918="","",INDEX('Detalle individual'!$A:$A,$K918))</f>
        <v/>
      </c>
      <c r="D918" s="72" t="str">
        <f>IF($K918="","",TRIM(INDEX('Detalle individual'!$B:$B,$K918)))</f>
        <v/>
      </c>
      <c r="E918" s="72" t="str">
        <f>IF($K918="","",TRIM(INDEX('Detalle individual'!$E:$E,$K918)))</f>
        <v/>
      </c>
      <c r="F918" s="72" t="str">
        <f>IF($K918="","",TRIM(INDEX('Detalle individual'!$C:$C,$K918)))</f>
        <v/>
      </c>
      <c r="G918" s="72" t="str">
        <f>IF($K918="","",INDEX('Detalle individual'!$D:$D,$K918))</f>
        <v/>
      </c>
      <c r="H918" s="13" t="str">
        <f>IF($K918="","",INDEX('Detalle individual'!$F:$F,$K918))</f>
        <v/>
      </c>
      <c r="I918" s="20" t="str">
        <f>IF($K918="","",IF(INDEX('Detalle individual'!$F:$F,$K918)="Completado",INDEX('Detalle individual'!$H:$H,$K918),""))</f>
        <v/>
      </c>
      <c r="J918" s="21" t="str">
        <f>IF($K918="","",IF(INDEX('Detalle individual'!$F:$F,$K918)="Completado",INDEX('Detalle individual'!$J:$J,$K918),""))</f>
        <v/>
      </c>
      <c r="K918" t="str">
        <f>IFERROR(MOD(SMALL(Cálculos!$Z$5:$Z$1000,910),10000),"")</f>
        <v/>
      </c>
    </row>
    <row r="919">
      <c r="B919" s="13" t="str">
        <f>IF($K919="","",911)</f>
        <v/>
      </c>
      <c r="C919" s="13" t="str">
        <f>IF($K919="","",INDEX('Detalle individual'!$A:$A,$K919))</f>
        <v/>
      </c>
      <c r="D919" s="72" t="str">
        <f>IF($K919="","",TRIM(INDEX('Detalle individual'!$B:$B,$K919)))</f>
        <v/>
      </c>
      <c r="E919" s="72" t="str">
        <f>IF($K919="","",TRIM(INDEX('Detalle individual'!$E:$E,$K919)))</f>
        <v/>
      </c>
      <c r="F919" s="72" t="str">
        <f>IF($K919="","",TRIM(INDEX('Detalle individual'!$C:$C,$K919)))</f>
        <v/>
      </c>
      <c r="G919" s="72" t="str">
        <f>IF($K919="","",INDEX('Detalle individual'!$D:$D,$K919))</f>
        <v/>
      </c>
      <c r="H919" s="13" t="str">
        <f>IF($K919="","",INDEX('Detalle individual'!$F:$F,$K919))</f>
        <v/>
      </c>
      <c r="I919" s="20" t="str">
        <f>IF($K919="","",IF(INDEX('Detalle individual'!$F:$F,$K919)="Completado",INDEX('Detalle individual'!$H:$H,$K919),""))</f>
        <v/>
      </c>
      <c r="J919" s="21" t="str">
        <f>IF($K919="","",IF(INDEX('Detalle individual'!$F:$F,$K919)="Completado",INDEX('Detalle individual'!$J:$J,$K919),""))</f>
        <v/>
      </c>
      <c r="K919" t="str">
        <f>IFERROR(MOD(SMALL(Cálculos!$Z$5:$Z$1000,911),10000),"")</f>
        <v/>
      </c>
    </row>
    <row r="920">
      <c r="B920" s="13" t="str">
        <f>IF($K920="","",912)</f>
        <v/>
      </c>
      <c r="C920" s="13" t="str">
        <f>IF($K920="","",INDEX('Detalle individual'!$A:$A,$K920))</f>
        <v/>
      </c>
      <c r="D920" s="72" t="str">
        <f>IF($K920="","",TRIM(INDEX('Detalle individual'!$B:$B,$K920)))</f>
        <v/>
      </c>
      <c r="E920" s="72" t="str">
        <f>IF($K920="","",TRIM(INDEX('Detalle individual'!$E:$E,$K920)))</f>
        <v/>
      </c>
      <c r="F920" s="72" t="str">
        <f>IF($K920="","",TRIM(INDEX('Detalle individual'!$C:$C,$K920)))</f>
        <v/>
      </c>
      <c r="G920" s="72" t="str">
        <f>IF($K920="","",INDEX('Detalle individual'!$D:$D,$K920))</f>
        <v/>
      </c>
      <c r="H920" s="13" t="str">
        <f>IF($K920="","",INDEX('Detalle individual'!$F:$F,$K920))</f>
        <v/>
      </c>
      <c r="I920" s="20" t="str">
        <f>IF($K920="","",IF(INDEX('Detalle individual'!$F:$F,$K920)="Completado",INDEX('Detalle individual'!$H:$H,$K920),""))</f>
        <v/>
      </c>
      <c r="J920" s="21" t="str">
        <f>IF($K920="","",IF(INDEX('Detalle individual'!$F:$F,$K920)="Completado",INDEX('Detalle individual'!$J:$J,$K920),""))</f>
        <v/>
      </c>
      <c r="K920" t="str">
        <f>IFERROR(MOD(SMALL(Cálculos!$Z$5:$Z$1000,912),10000),"")</f>
        <v/>
      </c>
    </row>
    <row r="921">
      <c r="B921" s="13" t="str">
        <f>IF($K921="","",913)</f>
        <v/>
      </c>
      <c r="C921" s="13" t="str">
        <f>IF($K921="","",INDEX('Detalle individual'!$A:$A,$K921))</f>
        <v/>
      </c>
      <c r="D921" s="72" t="str">
        <f>IF($K921="","",TRIM(INDEX('Detalle individual'!$B:$B,$K921)))</f>
        <v/>
      </c>
      <c r="E921" s="72" t="str">
        <f>IF($K921="","",TRIM(INDEX('Detalle individual'!$E:$E,$K921)))</f>
        <v/>
      </c>
      <c r="F921" s="72" t="str">
        <f>IF($K921="","",TRIM(INDEX('Detalle individual'!$C:$C,$K921)))</f>
        <v/>
      </c>
      <c r="G921" s="72" t="str">
        <f>IF($K921="","",INDEX('Detalle individual'!$D:$D,$K921))</f>
        <v/>
      </c>
      <c r="H921" s="13" t="str">
        <f>IF($K921="","",INDEX('Detalle individual'!$F:$F,$K921))</f>
        <v/>
      </c>
      <c r="I921" s="20" t="str">
        <f>IF($K921="","",IF(INDEX('Detalle individual'!$F:$F,$K921)="Completado",INDEX('Detalle individual'!$H:$H,$K921),""))</f>
        <v/>
      </c>
      <c r="J921" s="21" t="str">
        <f>IF($K921="","",IF(INDEX('Detalle individual'!$F:$F,$K921)="Completado",INDEX('Detalle individual'!$J:$J,$K921),""))</f>
        <v/>
      </c>
      <c r="K921" t="str">
        <f>IFERROR(MOD(SMALL(Cálculos!$Z$5:$Z$1000,913),10000),"")</f>
        <v/>
      </c>
    </row>
    <row r="922">
      <c r="B922" s="13" t="str">
        <f>IF($K922="","",914)</f>
        <v/>
      </c>
      <c r="C922" s="13" t="str">
        <f>IF($K922="","",INDEX('Detalle individual'!$A:$A,$K922))</f>
        <v/>
      </c>
      <c r="D922" s="72" t="str">
        <f>IF($K922="","",TRIM(INDEX('Detalle individual'!$B:$B,$K922)))</f>
        <v/>
      </c>
      <c r="E922" s="72" t="str">
        <f>IF($K922="","",TRIM(INDEX('Detalle individual'!$E:$E,$K922)))</f>
        <v/>
      </c>
      <c r="F922" s="72" t="str">
        <f>IF($K922="","",TRIM(INDEX('Detalle individual'!$C:$C,$K922)))</f>
        <v/>
      </c>
      <c r="G922" s="72" t="str">
        <f>IF($K922="","",INDEX('Detalle individual'!$D:$D,$K922))</f>
        <v/>
      </c>
      <c r="H922" s="13" t="str">
        <f>IF($K922="","",INDEX('Detalle individual'!$F:$F,$K922))</f>
        <v/>
      </c>
      <c r="I922" s="20" t="str">
        <f>IF($K922="","",IF(INDEX('Detalle individual'!$F:$F,$K922)="Completado",INDEX('Detalle individual'!$H:$H,$K922),""))</f>
        <v/>
      </c>
      <c r="J922" s="21" t="str">
        <f>IF($K922="","",IF(INDEX('Detalle individual'!$F:$F,$K922)="Completado",INDEX('Detalle individual'!$J:$J,$K922),""))</f>
        <v/>
      </c>
      <c r="K922" t="str">
        <f>IFERROR(MOD(SMALL(Cálculos!$Z$5:$Z$1000,914),10000),"")</f>
        <v/>
      </c>
    </row>
    <row r="923">
      <c r="B923" s="13" t="str">
        <f>IF($K923="","",915)</f>
        <v/>
      </c>
      <c r="C923" s="13" t="str">
        <f>IF($K923="","",INDEX('Detalle individual'!$A:$A,$K923))</f>
        <v/>
      </c>
      <c r="D923" s="72" t="str">
        <f>IF($K923="","",TRIM(INDEX('Detalle individual'!$B:$B,$K923)))</f>
        <v/>
      </c>
      <c r="E923" s="72" t="str">
        <f>IF($K923="","",TRIM(INDEX('Detalle individual'!$E:$E,$K923)))</f>
        <v/>
      </c>
      <c r="F923" s="72" t="str">
        <f>IF($K923="","",TRIM(INDEX('Detalle individual'!$C:$C,$K923)))</f>
        <v/>
      </c>
      <c r="G923" s="72" t="str">
        <f>IF($K923="","",INDEX('Detalle individual'!$D:$D,$K923))</f>
        <v/>
      </c>
      <c r="H923" s="13" t="str">
        <f>IF($K923="","",INDEX('Detalle individual'!$F:$F,$K923))</f>
        <v/>
      </c>
      <c r="I923" s="20" t="str">
        <f>IF($K923="","",IF(INDEX('Detalle individual'!$F:$F,$K923)="Completado",INDEX('Detalle individual'!$H:$H,$K923),""))</f>
        <v/>
      </c>
      <c r="J923" s="21" t="str">
        <f>IF($K923="","",IF(INDEX('Detalle individual'!$F:$F,$K923)="Completado",INDEX('Detalle individual'!$J:$J,$K923),""))</f>
        <v/>
      </c>
      <c r="K923" t="str">
        <f>IFERROR(MOD(SMALL(Cálculos!$Z$5:$Z$1000,915),10000),"")</f>
        <v/>
      </c>
    </row>
    <row r="924">
      <c r="B924" s="13" t="str">
        <f>IF($K924="","",916)</f>
        <v/>
      </c>
      <c r="C924" s="13" t="str">
        <f>IF($K924="","",INDEX('Detalle individual'!$A:$A,$K924))</f>
        <v/>
      </c>
      <c r="D924" s="72" t="str">
        <f>IF($K924="","",TRIM(INDEX('Detalle individual'!$B:$B,$K924)))</f>
        <v/>
      </c>
      <c r="E924" s="72" t="str">
        <f>IF($K924="","",TRIM(INDEX('Detalle individual'!$E:$E,$K924)))</f>
        <v/>
      </c>
      <c r="F924" s="72" t="str">
        <f>IF($K924="","",TRIM(INDEX('Detalle individual'!$C:$C,$K924)))</f>
        <v/>
      </c>
      <c r="G924" s="72" t="str">
        <f>IF($K924="","",INDEX('Detalle individual'!$D:$D,$K924))</f>
        <v/>
      </c>
      <c r="H924" s="13" t="str">
        <f>IF($K924="","",INDEX('Detalle individual'!$F:$F,$K924))</f>
        <v/>
      </c>
      <c r="I924" s="20" t="str">
        <f>IF($K924="","",IF(INDEX('Detalle individual'!$F:$F,$K924)="Completado",INDEX('Detalle individual'!$H:$H,$K924),""))</f>
        <v/>
      </c>
      <c r="J924" s="21" t="str">
        <f>IF($K924="","",IF(INDEX('Detalle individual'!$F:$F,$K924)="Completado",INDEX('Detalle individual'!$J:$J,$K924),""))</f>
        <v/>
      </c>
      <c r="K924" t="str">
        <f>IFERROR(MOD(SMALL(Cálculos!$Z$5:$Z$1000,916),10000),"")</f>
        <v/>
      </c>
    </row>
    <row r="925">
      <c r="B925" s="13" t="str">
        <f>IF($K925="","",917)</f>
        <v/>
      </c>
      <c r="C925" s="13" t="str">
        <f>IF($K925="","",INDEX('Detalle individual'!$A:$A,$K925))</f>
        <v/>
      </c>
      <c r="D925" s="72" t="str">
        <f>IF($K925="","",TRIM(INDEX('Detalle individual'!$B:$B,$K925)))</f>
        <v/>
      </c>
      <c r="E925" s="72" t="str">
        <f>IF($K925="","",TRIM(INDEX('Detalle individual'!$E:$E,$K925)))</f>
        <v/>
      </c>
      <c r="F925" s="72" t="str">
        <f>IF($K925="","",TRIM(INDEX('Detalle individual'!$C:$C,$K925)))</f>
        <v/>
      </c>
      <c r="G925" s="72" t="str">
        <f>IF($K925="","",INDEX('Detalle individual'!$D:$D,$K925))</f>
        <v/>
      </c>
      <c r="H925" s="13" t="str">
        <f>IF($K925="","",INDEX('Detalle individual'!$F:$F,$K925))</f>
        <v/>
      </c>
      <c r="I925" s="20" t="str">
        <f>IF($K925="","",IF(INDEX('Detalle individual'!$F:$F,$K925)="Completado",INDEX('Detalle individual'!$H:$H,$K925),""))</f>
        <v/>
      </c>
      <c r="J925" s="21" t="str">
        <f>IF($K925="","",IF(INDEX('Detalle individual'!$F:$F,$K925)="Completado",INDEX('Detalle individual'!$J:$J,$K925),""))</f>
        <v/>
      </c>
      <c r="K925" t="str">
        <f>IFERROR(MOD(SMALL(Cálculos!$Z$5:$Z$1000,917),10000),"")</f>
        <v/>
      </c>
    </row>
    <row r="926">
      <c r="B926" s="13" t="str">
        <f>IF($K926="","",918)</f>
        <v/>
      </c>
      <c r="C926" s="13" t="str">
        <f>IF($K926="","",INDEX('Detalle individual'!$A:$A,$K926))</f>
        <v/>
      </c>
      <c r="D926" s="72" t="str">
        <f>IF($K926="","",TRIM(INDEX('Detalle individual'!$B:$B,$K926)))</f>
        <v/>
      </c>
      <c r="E926" s="72" t="str">
        <f>IF($K926="","",TRIM(INDEX('Detalle individual'!$E:$E,$K926)))</f>
        <v/>
      </c>
      <c r="F926" s="72" t="str">
        <f>IF($K926="","",TRIM(INDEX('Detalle individual'!$C:$C,$K926)))</f>
        <v/>
      </c>
      <c r="G926" s="72" t="str">
        <f>IF($K926="","",INDEX('Detalle individual'!$D:$D,$K926))</f>
        <v/>
      </c>
      <c r="H926" s="13" t="str">
        <f>IF($K926="","",INDEX('Detalle individual'!$F:$F,$K926))</f>
        <v/>
      </c>
      <c r="I926" s="20" t="str">
        <f>IF($K926="","",IF(INDEX('Detalle individual'!$F:$F,$K926)="Completado",INDEX('Detalle individual'!$H:$H,$K926),""))</f>
        <v/>
      </c>
      <c r="J926" s="21" t="str">
        <f>IF($K926="","",IF(INDEX('Detalle individual'!$F:$F,$K926)="Completado",INDEX('Detalle individual'!$J:$J,$K926),""))</f>
        <v/>
      </c>
      <c r="K926" t="str">
        <f>IFERROR(MOD(SMALL(Cálculos!$Z$5:$Z$1000,918),10000),"")</f>
        <v/>
      </c>
    </row>
    <row r="927">
      <c r="B927" s="13" t="str">
        <f>IF($K927="","",919)</f>
        <v/>
      </c>
      <c r="C927" s="13" t="str">
        <f>IF($K927="","",INDEX('Detalle individual'!$A:$A,$K927))</f>
        <v/>
      </c>
      <c r="D927" s="72" t="str">
        <f>IF($K927="","",TRIM(INDEX('Detalle individual'!$B:$B,$K927)))</f>
        <v/>
      </c>
      <c r="E927" s="72" t="str">
        <f>IF($K927="","",TRIM(INDEX('Detalle individual'!$E:$E,$K927)))</f>
        <v/>
      </c>
      <c r="F927" s="72" t="str">
        <f>IF($K927="","",TRIM(INDEX('Detalle individual'!$C:$C,$K927)))</f>
        <v/>
      </c>
      <c r="G927" s="72" t="str">
        <f>IF($K927="","",INDEX('Detalle individual'!$D:$D,$K927))</f>
        <v/>
      </c>
      <c r="H927" s="13" t="str">
        <f>IF($K927="","",INDEX('Detalle individual'!$F:$F,$K927))</f>
        <v/>
      </c>
      <c r="I927" s="20" t="str">
        <f>IF($K927="","",IF(INDEX('Detalle individual'!$F:$F,$K927)="Completado",INDEX('Detalle individual'!$H:$H,$K927),""))</f>
        <v/>
      </c>
      <c r="J927" s="21" t="str">
        <f>IF($K927="","",IF(INDEX('Detalle individual'!$F:$F,$K927)="Completado",INDEX('Detalle individual'!$J:$J,$K927),""))</f>
        <v/>
      </c>
      <c r="K927" t="str">
        <f>IFERROR(MOD(SMALL(Cálculos!$Z$5:$Z$1000,919),10000),"")</f>
        <v/>
      </c>
    </row>
    <row r="928">
      <c r="B928" s="13" t="str">
        <f>IF($K928="","",920)</f>
        <v/>
      </c>
      <c r="C928" s="13" t="str">
        <f>IF($K928="","",INDEX('Detalle individual'!$A:$A,$K928))</f>
        <v/>
      </c>
      <c r="D928" s="72" t="str">
        <f>IF($K928="","",TRIM(INDEX('Detalle individual'!$B:$B,$K928)))</f>
        <v/>
      </c>
      <c r="E928" s="72" t="str">
        <f>IF($K928="","",TRIM(INDEX('Detalle individual'!$E:$E,$K928)))</f>
        <v/>
      </c>
      <c r="F928" s="72" t="str">
        <f>IF($K928="","",TRIM(INDEX('Detalle individual'!$C:$C,$K928)))</f>
        <v/>
      </c>
      <c r="G928" s="72" t="str">
        <f>IF($K928="","",INDEX('Detalle individual'!$D:$D,$K928))</f>
        <v/>
      </c>
      <c r="H928" s="13" t="str">
        <f>IF($K928="","",INDEX('Detalle individual'!$F:$F,$K928))</f>
        <v/>
      </c>
      <c r="I928" s="20" t="str">
        <f>IF($K928="","",IF(INDEX('Detalle individual'!$F:$F,$K928)="Completado",INDEX('Detalle individual'!$H:$H,$K928),""))</f>
        <v/>
      </c>
      <c r="J928" s="21" t="str">
        <f>IF($K928="","",IF(INDEX('Detalle individual'!$F:$F,$K928)="Completado",INDEX('Detalle individual'!$J:$J,$K928),""))</f>
        <v/>
      </c>
      <c r="K928" t="str">
        <f>IFERROR(MOD(SMALL(Cálculos!$Z$5:$Z$1000,920),10000),"")</f>
        <v/>
      </c>
    </row>
    <row r="929">
      <c r="B929" s="13" t="str">
        <f>IF($K929="","",921)</f>
        <v/>
      </c>
      <c r="C929" s="13" t="str">
        <f>IF($K929="","",INDEX('Detalle individual'!$A:$A,$K929))</f>
        <v/>
      </c>
      <c r="D929" s="72" t="str">
        <f>IF($K929="","",TRIM(INDEX('Detalle individual'!$B:$B,$K929)))</f>
        <v/>
      </c>
      <c r="E929" s="72" t="str">
        <f>IF($K929="","",TRIM(INDEX('Detalle individual'!$E:$E,$K929)))</f>
        <v/>
      </c>
      <c r="F929" s="72" t="str">
        <f>IF($K929="","",TRIM(INDEX('Detalle individual'!$C:$C,$K929)))</f>
        <v/>
      </c>
      <c r="G929" s="72" t="str">
        <f>IF($K929="","",INDEX('Detalle individual'!$D:$D,$K929))</f>
        <v/>
      </c>
      <c r="H929" s="13" t="str">
        <f>IF($K929="","",INDEX('Detalle individual'!$F:$F,$K929))</f>
        <v/>
      </c>
      <c r="I929" s="20" t="str">
        <f>IF($K929="","",IF(INDEX('Detalle individual'!$F:$F,$K929)="Completado",INDEX('Detalle individual'!$H:$H,$K929),""))</f>
        <v/>
      </c>
      <c r="J929" s="21" t="str">
        <f>IF($K929="","",IF(INDEX('Detalle individual'!$F:$F,$K929)="Completado",INDEX('Detalle individual'!$J:$J,$K929),""))</f>
        <v/>
      </c>
      <c r="K929" t="str">
        <f>IFERROR(MOD(SMALL(Cálculos!$Z$5:$Z$1000,921),10000),"")</f>
        <v/>
      </c>
    </row>
    <row r="930">
      <c r="B930" s="13" t="str">
        <f>IF($K930="","",922)</f>
        <v/>
      </c>
      <c r="C930" s="13" t="str">
        <f>IF($K930="","",INDEX('Detalle individual'!$A:$A,$K930))</f>
        <v/>
      </c>
      <c r="D930" s="72" t="str">
        <f>IF($K930="","",TRIM(INDEX('Detalle individual'!$B:$B,$K930)))</f>
        <v/>
      </c>
      <c r="E930" s="72" t="str">
        <f>IF($K930="","",TRIM(INDEX('Detalle individual'!$E:$E,$K930)))</f>
        <v/>
      </c>
      <c r="F930" s="72" t="str">
        <f>IF($K930="","",TRIM(INDEX('Detalle individual'!$C:$C,$K930)))</f>
        <v/>
      </c>
      <c r="G930" s="72" t="str">
        <f>IF($K930="","",INDEX('Detalle individual'!$D:$D,$K930))</f>
        <v/>
      </c>
      <c r="H930" s="13" t="str">
        <f>IF($K930="","",INDEX('Detalle individual'!$F:$F,$K930))</f>
        <v/>
      </c>
      <c r="I930" s="20" t="str">
        <f>IF($K930="","",IF(INDEX('Detalle individual'!$F:$F,$K930)="Completado",INDEX('Detalle individual'!$H:$H,$K930),""))</f>
        <v/>
      </c>
      <c r="J930" s="21" t="str">
        <f>IF($K930="","",IF(INDEX('Detalle individual'!$F:$F,$K930)="Completado",INDEX('Detalle individual'!$J:$J,$K930),""))</f>
        <v/>
      </c>
      <c r="K930" t="str">
        <f>IFERROR(MOD(SMALL(Cálculos!$Z$5:$Z$1000,922),10000),"")</f>
        <v/>
      </c>
    </row>
    <row r="931">
      <c r="B931" s="13" t="str">
        <f>IF($K931="","",923)</f>
        <v/>
      </c>
      <c r="C931" s="13" t="str">
        <f>IF($K931="","",INDEX('Detalle individual'!$A:$A,$K931))</f>
        <v/>
      </c>
      <c r="D931" s="72" t="str">
        <f>IF($K931="","",TRIM(INDEX('Detalle individual'!$B:$B,$K931)))</f>
        <v/>
      </c>
      <c r="E931" s="72" t="str">
        <f>IF($K931="","",TRIM(INDEX('Detalle individual'!$E:$E,$K931)))</f>
        <v/>
      </c>
      <c r="F931" s="72" t="str">
        <f>IF($K931="","",TRIM(INDEX('Detalle individual'!$C:$C,$K931)))</f>
        <v/>
      </c>
      <c r="G931" s="72" t="str">
        <f>IF($K931="","",INDEX('Detalle individual'!$D:$D,$K931))</f>
        <v/>
      </c>
      <c r="H931" s="13" t="str">
        <f>IF($K931="","",INDEX('Detalle individual'!$F:$F,$K931))</f>
        <v/>
      </c>
      <c r="I931" s="20" t="str">
        <f>IF($K931="","",IF(INDEX('Detalle individual'!$F:$F,$K931)="Completado",INDEX('Detalle individual'!$H:$H,$K931),""))</f>
        <v/>
      </c>
      <c r="J931" s="21" t="str">
        <f>IF($K931="","",IF(INDEX('Detalle individual'!$F:$F,$K931)="Completado",INDEX('Detalle individual'!$J:$J,$K931),""))</f>
        <v/>
      </c>
      <c r="K931" t="str">
        <f>IFERROR(MOD(SMALL(Cálculos!$Z$5:$Z$1000,923),10000),"")</f>
        <v/>
      </c>
    </row>
    <row r="932">
      <c r="B932" s="13" t="str">
        <f>IF($K932="","",924)</f>
        <v/>
      </c>
      <c r="C932" s="13" t="str">
        <f>IF($K932="","",INDEX('Detalle individual'!$A:$A,$K932))</f>
        <v/>
      </c>
      <c r="D932" s="72" t="str">
        <f>IF($K932="","",TRIM(INDEX('Detalle individual'!$B:$B,$K932)))</f>
        <v/>
      </c>
      <c r="E932" s="72" t="str">
        <f>IF($K932="","",TRIM(INDEX('Detalle individual'!$E:$E,$K932)))</f>
        <v/>
      </c>
      <c r="F932" s="72" t="str">
        <f>IF($K932="","",TRIM(INDEX('Detalle individual'!$C:$C,$K932)))</f>
        <v/>
      </c>
      <c r="G932" s="72" t="str">
        <f>IF($K932="","",INDEX('Detalle individual'!$D:$D,$K932))</f>
        <v/>
      </c>
      <c r="H932" s="13" t="str">
        <f>IF($K932="","",INDEX('Detalle individual'!$F:$F,$K932))</f>
        <v/>
      </c>
      <c r="I932" s="20" t="str">
        <f>IF($K932="","",IF(INDEX('Detalle individual'!$F:$F,$K932)="Completado",INDEX('Detalle individual'!$H:$H,$K932),""))</f>
        <v/>
      </c>
      <c r="J932" s="21" t="str">
        <f>IF($K932="","",IF(INDEX('Detalle individual'!$F:$F,$K932)="Completado",INDEX('Detalle individual'!$J:$J,$K932),""))</f>
        <v/>
      </c>
      <c r="K932" t="str">
        <f>IFERROR(MOD(SMALL(Cálculos!$Z$5:$Z$1000,924),10000),"")</f>
        <v/>
      </c>
    </row>
    <row r="933">
      <c r="B933" s="13" t="str">
        <f>IF($K933="","",925)</f>
        <v/>
      </c>
      <c r="C933" s="13" t="str">
        <f>IF($K933="","",INDEX('Detalle individual'!$A:$A,$K933))</f>
        <v/>
      </c>
      <c r="D933" s="72" t="str">
        <f>IF($K933="","",TRIM(INDEX('Detalle individual'!$B:$B,$K933)))</f>
        <v/>
      </c>
      <c r="E933" s="72" t="str">
        <f>IF($K933="","",TRIM(INDEX('Detalle individual'!$E:$E,$K933)))</f>
        <v/>
      </c>
      <c r="F933" s="72" t="str">
        <f>IF($K933="","",TRIM(INDEX('Detalle individual'!$C:$C,$K933)))</f>
        <v/>
      </c>
      <c r="G933" s="72" t="str">
        <f>IF($K933="","",INDEX('Detalle individual'!$D:$D,$K933))</f>
        <v/>
      </c>
      <c r="H933" s="13" t="str">
        <f>IF($K933="","",INDEX('Detalle individual'!$F:$F,$K933))</f>
        <v/>
      </c>
      <c r="I933" s="20" t="str">
        <f>IF($K933="","",IF(INDEX('Detalle individual'!$F:$F,$K933)="Completado",INDEX('Detalle individual'!$H:$H,$K933),""))</f>
        <v/>
      </c>
      <c r="J933" s="21" t="str">
        <f>IF($K933="","",IF(INDEX('Detalle individual'!$F:$F,$K933)="Completado",INDEX('Detalle individual'!$J:$J,$K933),""))</f>
        <v/>
      </c>
      <c r="K933" t="str">
        <f>IFERROR(MOD(SMALL(Cálculos!$Z$5:$Z$1000,925),10000),"")</f>
        <v/>
      </c>
    </row>
    <row r="934">
      <c r="B934" s="13" t="str">
        <f>IF($K934="","",926)</f>
        <v/>
      </c>
      <c r="C934" s="13" t="str">
        <f>IF($K934="","",INDEX('Detalle individual'!$A:$A,$K934))</f>
        <v/>
      </c>
      <c r="D934" s="72" t="str">
        <f>IF($K934="","",TRIM(INDEX('Detalle individual'!$B:$B,$K934)))</f>
        <v/>
      </c>
      <c r="E934" s="72" t="str">
        <f>IF($K934="","",TRIM(INDEX('Detalle individual'!$E:$E,$K934)))</f>
        <v/>
      </c>
      <c r="F934" s="72" t="str">
        <f>IF($K934="","",TRIM(INDEX('Detalle individual'!$C:$C,$K934)))</f>
        <v/>
      </c>
      <c r="G934" s="72" t="str">
        <f>IF($K934="","",INDEX('Detalle individual'!$D:$D,$K934))</f>
        <v/>
      </c>
      <c r="H934" s="13" t="str">
        <f>IF($K934="","",INDEX('Detalle individual'!$F:$F,$K934))</f>
        <v/>
      </c>
      <c r="I934" s="20" t="str">
        <f>IF($K934="","",IF(INDEX('Detalle individual'!$F:$F,$K934)="Completado",INDEX('Detalle individual'!$H:$H,$K934),""))</f>
        <v/>
      </c>
      <c r="J934" s="21" t="str">
        <f>IF($K934="","",IF(INDEX('Detalle individual'!$F:$F,$K934)="Completado",INDEX('Detalle individual'!$J:$J,$K934),""))</f>
        <v/>
      </c>
      <c r="K934" t="str">
        <f>IFERROR(MOD(SMALL(Cálculos!$Z$5:$Z$1000,926),10000),"")</f>
        <v/>
      </c>
    </row>
    <row r="935">
      <c r="B935" s="13" t="str">
        <f>IF($K935="","",927)</f>
        <v/>
      </c>
      <c r="C935" s="13" t="str">
        <f>IF($K935="","",INDEX('Detalle individual'!$A:$A,$K935))</f>
        <v/>
      </c>
      <c r="D935" s="72" t="str">
        <f>IF($K935="","",TRIM(INDEX('Detalle individual'!$B:$B,$K935)))</f>
        <v/>
      </c>
      <c r="E935" s="72" t="str">
        <f>IF($K935="","",TRIM(INDEX('Detalle individual'!$E:$E,$K935)))</f>
        <v/>
      </c>
      <c r="F935" s="72" t="str">
        <f>IF($K935="","",TRIM(INDEX('Detalle individual'!$C:$C,$K935)))</f>
        <v/>
      </c>
      <c r="G935" s="72" t="str">
        <f>IF($K935="","",INDEX('Detalle individual'!$D:$D,$K935))</f>
        <v/>
      </c>
      <c r="H935" s="13" t="str">
        <f>IF($K935="","",INDEX('Detalle individual'!$F:$F,$K935))</f>
        <v/>
      </c>
      <c r="I935" s="20" t="str">
        <f>IF($K935="","",IF(INDEX('Detalle individual'!$F:$F,$K935)="Completado",INDEX('Detalle individual'!$H:$H,$K935),""))</f>
        <v/>
      </c>
      <c r="J935" s="21" t="str">
        <f>IF($K935="","",IF(INDEX('Detalle individual'!$F:$F,$K935)="Completado",INDEX('Detalle individual'!$J:$J,$K935),""))</f>
        <v/>
      </c>
      <c r="K935" t="str">
        <f>IFERROR(MOD(SMALL(Cálculos!$Z$5:$Z$1000,927),10000),"")</f>
        <v/>
      </c>
    </row>
    <row r="936">
      <c r="B936" s="13" t="str">
        <f>IF($K936="","",928)</f>
        <v/>
      </c>
      <c r="C936" s="13" t="str">
        <f>IF($K936="","",INDEX('Detalle individual'!$A:$A,$K936))</f>
        <v/>
      </c>
      <c r="D936" s="72" t="str">
        <f>IF($K936="","",TRIM(INDEX('Detalle individual'!$B:$B,$K936)))</f>
        <v/>
      </c>
      <c r="E936" s="72" t="str">
        <f>IF($K936="","",TRIM(INDEX('Detalle individual'!$E:$E,$K936)))</f>
        <v/>
      </c>
      <c r="F936" s="72" t="str">
        <f>IF($K936="","",TRIM(INDEX('Detalle individual'!$C:$C,$K936)))</f>
        <v/>
      </c>
      <c r="G936" s="72" t="str">
        <f>IF($K936="","",INDEX('Detalle individual'!$D:$D,$K936))</f>
        <v/>
      </c>
      <c r="H936" s="13" t="str">
        <f>IF($K936="","",INDEX('Detalle individual'!$F:$F,$K936))</f>
        <v/>
      </c>
      <c r="I936" s="20" t="str">
        <f>IF($K936="","",IF(INDEX('Detalle individual'!$F:$F,$K936)="Completado",INDEX('Detalle individual'!$H:$H,$K936),""))</f>
        <v/>
      </c>
      <c r="J936" s="21" t="str">
        <f>IF($K936="","",IF(INDEX('Detalle individual'!$F:$F,$K936)="Completado",INDEX('Detalle individual'!$J:$J,$K936),""))</f>
        <v/>
      </c>
      <c r="K936" t="str">
        <f>IFERROR(MOD(SMALL(Cálculos!$Z$5:$Z$1000,928),10000),"")</f>
        <v/>
      </c>
    </row>
    <row r="937">
      <c r="B937" s="13" t="str">
        <f>IF($K937="","",929)</f>
        <v/>
      </c>
      <c r="C937" s="13" t="str">
        <f>IF($K937="","",INDEX('Detalle individual'!$A:$A,$K937))</f>
        <v/>
      </c>
      <c r="D937" s="72" t="str">
        <f>IF($K937="","",TRIM(INDEX('Detalle individual'!$B:$B,$K937)))</f>
        <v/>
      </c>
      <c r="E937" s="72" t="str">
        <f>IF($K937="","",TRIM(INDEX('Detalle individual'!$E:$E,$K937)))</f>
        <v/>
      </c>
      <c r="F937" s="72" t="str">
        <f>IF($K937="","",TRIM(INDEX('Detalle individual'!$C:$C,$K937)))</f>
        <v/>
      </c>
      <c r="G937" s="72" t="str">
        <f>IF($K937="","",INDEX('Detalle individual'!$D:$D,$K937))</f>
        <v/>
      </c>
      <c r="H937" s="13" t="str">
        <f>IF($K937="","",INDEX('Detalle individual'!$F:$F,$K937))</f>
        <v/>
      </c>
      <c r="I937" s="20" t="str">
        <f>IF($K937="","",IF(INDEX('Detalle individual'!$F:$F,$K937)="Completado",INDEX('Detalle individual'!$H:$H,$K937),""))</f>
        <v/>
      </c>
      <c r="J937" s="21" t="str">
        <f>IF($K937="","",IF(INDEX('Detalle individual'!$F:$F,$K937)="Completado",INDEX('Detalle individual'!$J:$J,$K937),""))</f>
        <v/>
      </c>
      <c r="K937" t="str">
        <f>IFERROR(MOD(SMALL(Cálculos!$Z$5:$Z$1000,929),10000),"")</f>
        <v/>
      </c>
    </row>
    <row r="938">
      <c r="B938" s="13" t="str">
        <f>IF($K938="","",930)</f>
        <v/>
      </c>
      <c r="C938" s="13" t="str">
        <f>IF($K938="","",INDEX('Detalle individual'!$A:$A,$K938))</f>
        <v/>
      </c>
      <c r="D938" s="72" t="str">
        <f>IF($K938="","",TRIM(INDEX('Detalle individual'!$B:$B,$K938)))</f>
        <v/>
      </c>
      <c r="E938" s="72" t="str">
        <f>IF($K938="","",TRIM(INDEX('Detalle individual'!$E:$E,$K938)))</f>
        <v/>
      </c>
      <c r="F938" s="72" t="str">
        <f>IF($K938="","",TRIM(INDEX('Detalle individual'!$C:$C,$K938)))</f>
        <v/>
      </c>
      <c r="G938" s="72" t="str">
        <f>IF($K938="","",INDEX('Detalle individual'!$D:$D,$K938))</f>
        <v/>
      </c>
      <c r="H938" s="13" t="str">
        <f>IF($K938="","",INDEX('Detalle individual'!$F:$F,$K938))</f>
        <v/>
      </c>
      <c r="I938" s="20" t="str">
        <f>IF($K938="","",IF(INDEX('Detalle individual'!$F:$F,$K938)="Completado",INDEX('Detalle individual'!$H:$H,$K938),""))</f>
        <v/>
      </c>
      <c r="J938" s="21" t="str">
        <f>IF($K938="","",IF(INDEX('Detalle individual'!$F:$F,$K938)="Completado",INDEX('Detalle individual'!$J:$J,$K938),""))</f>
        <v/>
      </c>
      <c r="K938" t="str">
        <f>IFERROR(MOD(SMALL(Cálculos!$Z$5:$Z$1000,930),10000),"")</f>
        <v/>
      </c>
    </row>
    <row r="939">
      <c r="B939" s="13" t="str">
        <f>IF($K939="","",931)</f>
        <v/>
      </c>
      <c r="C939" s="13" t="str">
        <f>IF($K939="","",INDEX('Detalle individual'!$A:$A,$K939))</f>
        <v/>
      </c>
      <c r="D939" s="72" t="str">
        <f>IF($K939="","",TRIM(INDEX('Detalle individual'!$B:$B,$K939)))</f>
        <v/>
      </c>
      <c r="E939" s="72" t="str">
        <f>IF($K939="","",TRIM(INDEX('Detalle individual'!$E:$E,$K939)))</f>
        <v/>
      </c>
      <c r="F939" s="72" t="str">
        <f>IF($K939="","",TRIM(INDEX('Detalle individual'!$C:$C,$K939)))</f>
        <v/>
      </c>
      <c r="G939" s="72" t="str">
        <f>IF($K939="","",INDEX('Detalle individual'!$D:$D,$K939))</f>
        <v/>
      </c>
      <c r="H939" s="13" t="str">
        <f>IF($K939="","",INDEX('Detalle individual'!$F:$F,$K939))</f>
        <v/>
      </c>
      <c r="I939" s="20" t="str">
        <f>IF($K939="","",IF(INDEX('Detalle individual'!$F:$F,$K939)="Completado",INDEX('Detalle individual'!$H:$H,$K939),""))</f>
        <v/>
      </c>
      <c r="J939" s="21" t="str">
        <f>IF($K939="","",IF(INDEX('Detalle individual'!$F:$F,$K939)="Completado",INDEX('Detalle individual'!$J:$J,$K939),""))</f>
        <v/>
      </c>
      <c r="K939" t="str">
        <f>IFERROR(MOD(SMALL(Cálculos!$Z$5:$Z$1000,931),10000),"")</f>
        <v/>
      </c>
    </row>
    <row r="940">
      <c r="B940" s="13" t="str">
        <f>IF($K940="","",932)</f>
        <v/>
      </c>
      <c r="C940" s="13" t="str">
        <f>IF($K940="","",INDEX('Detalle individual'!$A:$A,$K940))</f>
        <v/>
      </c>
      <c r="D940" s="72" t="str">
        <f>IF($K940="","",TRIM(INDEX('Detalle individual'!$B:$B,$K940)))</f>
        <v/>
      </c>
      <c r="E940" s="72" t="str">
        <f>IF($K940="","",TRIM(INDEX('Detalle individual'!$E:$E,$K940)))</f>
        <v/>
      </c>
      <c r="F940" s="72" t="str">
        <f>IF($K940="","",TRIM(INDEX('Detalle individual'!$C:$C,$K940)))</f>
        <v/>
      </c>
      <c r="G940" s="72" t="str">
        <f>IF($K940="","",INDEX('Detalle individual'!$D:$D,$K940))</f>
        <v/>
      </c>
      <c r="H940" s="13" t="str">
        <f>IF($K940="","",INDEX('Detalle individual'!$F:$F,$K940))</f>
        <v/>
      </c>
      <c r="I940" s="20" t="str">
        <f>IF($K940="","",IF(INDEX('Detalle individual'!$F:$F,$K940)="Completado",INDEX('Detalle individual'!$H:$H,$K940),""))</f>
        <v/>
      </c>
      <c r="J940" s="21" t="str">
        <f>IF($K940="","",IF(INDEX('Detalle individual'!$F:$F,$K940)="Completado",INDEX('Detalle individual'!$J:$J,$K940),""))</f>
        <v/>
      </c>
      <c r="K940" t="str">
        <f>IFERROR(MOD(SMALL(Cálculos!$Z$5:$Z$1000,932),10000),"")</f>
        <v/>
      </c>
    </row>
    <row r="941">
      <c r="B941" s="13" t="str">
        <f>IF($K941="","",933)</f>
        <v/>
      </c>
      <c r="C941" s="13" t="str">
        <f>IF($K941="","",INDEX('Detalle individual'!$A:$A,$K941))</f>
        <v/>
      </c>
      <c r="D941" s="72" t="str">
        <f>IF($K941="","",TRIM(INDEX('Detalle individual'!$B:$B,$K941)))</f>
        <v/>
      </c>
      <c r="E941" s="72" t="str">
        <f>IF($K941="","",TRIM(INDEX('Detalle individual'!$E:$E,$K941)))</f>
        <v/>
      </c>
      <c r="F941" s="72" t="str">
        <f>IF($K941="","",TRIM(INDEX('Detalle individual'!$C:$C,$K941)))</f>
        <v/>
      </c>
      <c r="G941" s="72" t="str">
        <f>IF($K941="","",INDEX('Detalle individual'!$D:$D,$K941))</f>
        <v/>
      </c>
      <c r="H941" s="13" t="str">
        <f>IF($K941="","",INDEX('Detalle individual'!$F:$F,$K941))</f>
        <v/>
      </c>
      <c r="I941" s="20" t="str">
        <f>IF($K941="","",IF(INDEX('Detalle individual'!$F:$F,$K941)="Completado",INDEX('Detalle individual'!$H:$H,$K941),""))</f>
        <v/>
      </c>
      <c r="J941" s="21" t="str">
        <f>IF($K941="","",IF(INDEX('Detalle individual'!$F:$F,$K941)="Completado",INDEX('Detalle individual'!$J:$J,$K941),""))</f>
        <v/>
      </c>
      <c r="K941" t="str">
        <f>IFERROR(MOD(SMALL(Cálculos!$Z$5:$Z$1000,933),10000),"")</f>
        <v/>
      </c>
    </row>
    <row r="942">
      <c r="B942" s="13" t="str">
        <f>IF($K942="","",934)</f>
        <v/>
      </c>
      <c r="C942" s="13" t="str">
        <f>IF($K942="","",INDEX('Detalle individual'!$A:$A,$K942))</f>
        <v/>
      </c>
      <c r="D942" s="72" t="str">
        <f>IF($K942="","",TRIM(INDEX('Detalle individual'!$B:$B,$K942)))</f>
        <v/>
      </c>
      <c r="E942" s="72" t="str">
        <f>IF($K942="","",TRIM(INDEX('Detalle individual'!$E:$E,$K942)))</f>
        <v/>
      </c>
      <c r="F942" s="72" t="str">
        <f>IF($K942="","",TRIM(INDEX('Detalle individual'!$C:$C,$K942)))</f>
        <v/>
      </c>
      <c r="G942" s="72" t="str">
        <f>IF($K942="","",INDEX('Detalle individual'!$D:$D,$K942))</f>
        <v/>
      </c>
      <c r="H942" s="13" t="str">
        <f>IF($K942="","",INDEX('Detalle individual'!$F:$F,$K942))</f>
        <v/>
      </c>
      <c r="I942" s="20" t="str">
        <f>IF($K942="","",IF(INDEX('Detalle individual'!$F:$F,$K942)="Completado",INDEX('Detalle individual'!$H:$H,$K942),""))</f>
        <v/>
      </c>
      <c r="J942" s="21" t="str">
        <f>IF($K942="","",IF(INDEX('Detalle individual'!$F:$F,$K942)="Completado",INDEX('Detalle individual'!$J:$J,$K942),""))</f>
        <v/>
      </c>
      <c r="K942" t="str">
        <f>IFERROR(MOD(SMALL(Cálculos!$Z$5:$Z$1000,934),10000),"")</f>
        <v/>
      </c>
    </row>
    <row r="943">
      <c r="B943" s="13" t="str">
        <f>IF($K943="","",935)</f>
        <v/>
      </c>
      <c r="C943" s="13" t="str">
        <f>IF($K943="","",INDEX('Detalle individual'!$A:$A,$K943))</f>
        <v/>
      </c>
      <c r="D943" s="72" t="str">
        <f>IF($K943="","",TRIM(INDEX('Detalle individual'!$B:$B,$K943)))</f>
        <v/>
      </c>
      <c r="E943" s="72" t="str">
        <f>IF($K943="","",TRIM(INDEX('Detalle individual'!$E:$E,$K943)))</f>
        <v/>
      </c>
      <c r="F943" s="72" t="str">
        <f>IF($K943="","",TRIM(INDEX('Detalle individual'!$C:$C,$K943)))</f>
        <v/>
      </c>
      <c r="G943" s="72" t="str">
        <f>IF($K943="","",INDEX('Detalle individual'!$D:$D,$K943))</f>
        <v/>
      </c>
      <c r="H943" s="13" t="str">
        <f>IF($K943="","",INDEX('Detalle individual'!$F:$F,$K943))</f>
        <v/>
      </c>
      <c r="I943" s="20" t="str">
        <f>IF($K943="","",IF(INDEX('Detalle individual'!$F:$F,$K943)="Completado",INDEX('Detalle individual'!$H:$H,$K943),""))</f>
        <v/>
      </c>
      <c r="J943" s="21" t="str">
        <f>IF($K943="","",IF(INDEX('Detalle individual'!$F:$F,$K943)="Completado",INDEX('Detalle individual'!$J:$J,$K943),""))</f>
        <v/>
      </c>
      <c r="K943" t="str">
        <f>IFERROR(MOD(SMALL(Cálculos!$Z$5:$Z$1000,935),10000),"")</f>
        <v/>
      </c>
    </row>
    <row r="944">
      <c r="B944" s="13" t="str">
        <f>IF($K944="","",936)</f>
        <v/>
      </c>
      <c r="C944" s="13" t="str">
        <f>IF($K944="","",INDEX('Detalle individual'!$A:$A,$K944))</f>
        <v/>
      </c>
      <c r="D944" s="72" t="str">
        <f>IF($K944="","",TRIM(INDEX('Detalle individual'!$B:$B,$K944)))</f>
        <v/>
      </c>
      <c r="E944" s="72" t="str">
        <f>IF($K944="","",TRIM(INDEX('Detalle individual'!$E:$E,$K944)))</f>
        <v/>
      </c>
      <c r="F944" s="72" t="str">
        <f>IF($K944="","",TRIM(INDEX('Detalle individual'!$C:$C,$K944)))</f>
        <v/>
      </c>
      <c r="G944" s="72" t="str">
        <f>IF($K944="","",INDEX('Detalle individual'!$D:$D,$K944))</f>
        <v/>
      </c>
      <c r="H944" s="13" t="str">
        <f>IF($K944="","",INDEX('Detalle individual'!$F:$F,$K944))</f>
        <v/>
      </c>
      <c r="I944" s="20" t="str">
        <f>IF($K944="","",IF(INDEX('Detalle individual'!$F:$F,$K944)="Completado",INDEX('Detalle individual'!$H:$H,$K944),""))</f>
        <v/>
      </c>
      <c r="J944" s="21" t="str">
        <f>IF($K944="","",IF(INDEX('Detalle individual'!$F:$F,$K944)="Completado",INDEX('Detalle individual'!$J:$J,$K944),""))</f>
        <v/>
      </c>
      <c r="K944" t="str">
        <f>IFERROR(MOD(SMALL(Cálculos!$Z$5:$Z$1000,936),10000),"")</f>
        <v/>
      </c>
    </row>
    <row r="945">
      <c r="B945" s="13" t="str">
        <f>IF($K945="","",937)</f>
        <v/>
      </c>
      <c r="C945" s="13" t="str">
        <f>IF($K945="","",INDEX('Detalle individual'!$A:$A,$K945))</f>
        <v/>
      </c>
      <c r="D945" s="72" t="str">
        <f>IF($K945="","",TRIM(INDEX('Detalle individual'!$B:$B,$K945)))</f>
        <v/>
      </c>
      <c r="E945" s="72" t="str">
        <f>IF($K945="","",TRIM(INDEX('Detalle individual'!$E:$E,$K945)))</f>
        <v/>
      </c>
      <c r="F945" s="72" t="str">
        <f>IF($K945="","",TRIM(INDEX('Detalle individual'!$C:$C,$K945)))</f>
        <v/>
      </c>
      <c r="G945" s="72" t="str">
        <f>IF($K945="","",INDEX('Detalle individual'!$D:$D,$K945))</f>
        <v/>
      </c>
      <c r="H945" s="13" t="str">
        <f>IF($K945="","",INDEX('Detalle individual'!$F:$F,$K945))</f>
        <v/>
      </c>
      <c r="I945" s="20" t="str">
        <f>IF($K945="","",IF(INDEX('Detalle individual'!$F:$F,$K945)="Completado",INDEX('Detalle individual'!$H:$H,$K945),""))</f>
        <v/>
      </c>
      <c r="J945" s="21" t="str">
        <f>IF($K945="","",IF(INDEX('Detalle individual'!$F:$F,$K945)="Completado",INDEX('Detalle individual'!$J:$J,$K945),""))</f>
        <v/>
      </c>
      <c r="K945" t="str">
        <f>IFERROR(MOD(SMALL(Cálculos!$Z$5:$Z$1000,937),10000),"")</f>
        <v/>
      </c>
    </row>
    <row r="946">
      <c r="B946" s="13" t="str">
        <f>IF($K946="","",938)</f>
        <v/>
      </c>
      <c r="C946" s="13" t="str">
        <f>IF($K946="","",INDEX('Detalle individual'!$A:$A,$K946))</f>
        <v/>
      </c>
      <c r="D946" s="72" t="str">
        <f>IF($K946="","",TRIM(INDEX('Detalle individual'!$B:$B,$K946)))</f>
        <v/>
      </c>
      <c r="E946" s="72" t="str">
        <f>IF($K946="","",TRIM(INDEX('Detalle individual'!$E:$E,$K946)))</f>
        <v/>
      </c>
      <c r="F946" s="72" t="str">
        <f>IF($K946="","",TRIM(INDEX('Detalle individual'!$C:$C,$K946)))</f>
        <v/>
      </c>
      <c r="G946" s="72" t="str">
        <f>IF($K946="","",INDEX('Detalle individual'!$D:$D,$K946))</f>
        <v/>
      </c>
      <c r="H946" s="13" t="str">
        <f>IF($K946="","",INDEX('Detalle individual'!$F:$F,$K946))</f>
        <v/>
      </c>
      <c r="I946" s="20" t="str">
        <f>IF($K946="","",IF(INDEX('Detalle individual'!$F:$F,$K946)="Completado",INDEX('Detalle individual'!$H:$H,$K946),""))</f>
        <v/>
      </c>
      <c r="J946" s="21" t="str">
        <f>IF($K946="","",IF(INDEX('Detalle individual'!$F:$F,$K946)="Completado",INDEX('Detalle individual'!$J:$J,$K946),""))</f>
        <v/>
      </c>
      <c r="K946" t="str">
        <f>IFERROR(MOD(SMALL(Cálculos!$Z$5:$Z$1000,938),10000),"")</f>
        <v/>
      </c>
    </row>
    <row r="947">
      <c r="B947" s="13" t="str">
        <f>IF($K947="","",939)</f>
        <v/>
      </c>
      <c r="C947" s="13" t="str">
        <f>IF($K947="","",INDEX('Detalle individual'!$A:$A,$K947))</f>
        <v/>
      </c>
      <c r="D947" s="72" t="str">
        <f>IF($K947="","",TRIM(INDEX('Detalle individual'!$B:$B,$K947)))</f>
        <v/>
      </c>
      <c r="E947" s="72" t="str">
        <f>IF($K947="","",TRIM(INDEX('Detalle individual'!$E:$E,$K947)))</f>
        <v/>
      </c>
      <c r="F947" s="72" t="str">
        <f>IF($K947="","",TRIM(INDEX('Detalle individual'!$C:$C,$K947)))</f>
        <v/>
      </c>
      <c r="G947" s="72" t="str">
        <f>IF($K947="","",INDEX('Detalle individual'!$D:$D,$K947))</f>
        <v/>
      </c>
      <c r="H947" s="13" t="str">
        <f>IF($K947="","",INDEX('Detalle individual'!$F:$F,$K947))</f>
        <v/>
      </c>
      <c r="I947" s="20" t="str">
        <f>IF($K947="","",IF(INDEX('Detalle individual'!$F:$F,$K947)="Completado",INDEX('Detalle individual'!$H:$H,$K947),""))</f>
        <v/>
      </c>
      <c r="J947" s="21" t="str">
        <f>IF($K947="","",IF(INDEX('Detalle individual'!$F:$F,$K947)="Completado",INDEX('Detalle individual'!$J:$J,$K947),""))</f>
        <v/>
      </c>
      <c r="K947" t="str">
        <f>IFERROR(MOD(SMALL(Cálculos!$Z$5:$Z$1000,939),10000),"")</f>
        <v/>
      </c>
    </row>
    <row r="948">
      <c r="B948" s="13" t="str">
        <f>IF($K948="","",940)</f>
        <v/>
      </c>
      <c r="C948" s="13" t="str">
        <f>IF($K948="","",INDEX('Detalle individual'!$A:$A,$K948))</f>
        <v/>
      </c>
      <c r="D948" s="72" t="str">
        <f>IF($K948="","",TRIM(INDEX('Detalle individual'!$B:$B,$K948)))</f>
        <v/>
      </c>
      <c r="E948" s="72" t="str">
        <f>IF($K948="","",TRIM(INDEX('Detalle individual'!$E:$E,$K948)))</f>
        <v/>
      </c>
      <c r="F948" s="72" t="str">
        <f>IF($K948="","",TRIM(INDEX('Detalle individual'!$C:$C,$K948)))</f>
        <v/>
      </c>
      <c r="G948" s="72" t="str">
        <f>IF($K948="","",INDEX('Detalle individual'!$D:$D,$K948))</f>
        <v/>
      </c>
      <c r="H948" s="13" t="str">
        <f>IF($K948="","",INDEX('Detalle individual'!$F:$F,$K948))</f>
        <v/>
      </c>
      <c r="I948" s="20" t="str">
        <f>IF($K948="","",IF(INDEX('Detalle individual'!$F:$F,$K948)="Completado",INDEX('Detalle individual'!$H:$H,$K948),""))</f>
        <v/>
      </c>
      <c r="J948" s="21" t="str">
        <f>IF($K948="","",IF(INDEX('Detalle individual'!$F:$F,$K948)="Completado",INDEX('Detalle individual'!$J:$J,$K948),""))</f>
        <v/>
      </c>
      <c r="K948" t="str">
        <f>IFERROR(MOD(SMALL(Cálculos!$Z$5:$Z$1000,940),10000),"")</f>
        <v/>
      </c>
    </row>
    <row r="949">
      <c r="B949" s="13" t="str">
        <f>IF($K949="","",941)</f>
        <v/>
      </c>
      <c r="C949" s="13" t="str">
        <f>IF($K949="","",INDEX('Detalle individual'!$A:$A,$K949))</f>
        <v/>
      </c>
      <c r="D949" s="72" t="str">
        <f>IF($K949="","",TRIM(INDEX('Detalle individual'!$B:$B,$K949)))</f>
        <v/>
      </c>
      <c r="E949" s="72" t="str">
        <f>IF($K949="","",TRIM(INDEX('Detalle individual'!$E:$E,$K949)))</f>
        <v/>
      </c>
      <c r="F949" s="72" t="str">
        <f>IF($K949="","",TRIM(INDEX('Detalle individual'!$C:$C,$K949)))</f>
        <v/>
      </c>
      <c r="G949" s="72" t="str">
        <f>IF($K949="","",INDEX('Detalle individual'!$D:$D,$K949))</f>
        <v/>
      </c>
      <c r="H949" s="13" t="str">
        <f>IF($K949="","",INDEX('Detalle individual'!$F:$F,$K949))</f>
        <v/>
      </c>
      <c r="I949" s="20" t="str">
        <f>IF($K949="","",IF(INDEX('Detalle individual'!$F:$F,$K949)="Completado",INDEX('Detalle individual'!$H:$H,$K949),""))</f>
        <v/>
      </c>
      <c r="J949" s="21" t="str">
        <f>IF($K949="","",IF(INDEX('Detalle individual'!$F:$F,$K949)="Completado",INDEX('Detalle individual'!$J:$J,$K949),""))</f>
        <v/>
      </c>
      <c r="K949" t="str">
        <f>IFERROR(MOD(SMALL(Cálculos!$Z$5:$Z$1000,941),10000),"")</f>
        <v/>
      </c>
    </row>
    <row r="950">
      <c r="B950" s="13" t="str">
        <f>IF($K950="","",942)</f>
        <v/>
      </c>
      <c r="C950" s="13" t="str">
        <f>IF($K950="","",INDEX('Detalle individual'!$A:$A,$K950))</f>
        <v/>
      </c>
      <c r="D950" s="72" t="str">
        <f>IF($K950="","",TRIM(INDEX('Detalle individual'!$B:$B,$K950)))</f>
        <v/>
      </c>
      <c r="E950" s="72" t="str">
        <f>IF($K950="","",TRIM(INDEX('Detalle individual'!$E:$E,$K950)))</f>
        <v/>
      </c>
      <c r="F950" s="72" t="str">
        <f>IF($K950="","",TRIM(INDEX('Detalle individual'!$C:$C,$K950)))</f>
        <v/>
      </c>
      <c r="G950" s="72" t="str">
        <f>IF($K950="","",INDEX('Detalle individual'!$D:$D,$K950))</f>
        <v/>
      </c>
      <c r="H950" s="13" t="str">
        <f>IF($K950="","",INDEX('Detalle individual'!$F:$F,$K950))</f>
        <v/>
      </c>
      <c r="I950" s="20" t="str">
        <f>IF($K950="","",IF(INDEX('Detalle individual'!$F:$F,$K950)="Completado",INDEX('Detalle individual'!$H:$H,$K950),""))</f>
        <v/>
      </c>
      <c r="J950" s="21" t="str">
        <f>IF($K950="","",IF(INDEX('Detalle individual'!$F:$F,$K950)="Completado",INDEX('Detalle individual'!$J:$J,$K950),""))</f>
        <v/>
      </c>
      <c r="K950" t="str">
        <f>IFERROR(MOD(SMALL(Cálculos!$Z$5:$Z$1000,942),10000),"")</f>
        <v/>
      </c>
    </row>
    <row r="951">
      <c r="B951" s="13" t="str">
        <f>IF($K951="","",943)</f>
        <v/>
      </c>
      <c r="C951" s="13" t="str">
        <f>IF($K951="","",INDEX('Detalle individual'!$A:$A,$K951))</f>
        <v/>
      </c>
      <c r="D951" s="72" t="str">
        <f>IF($K951="","",TRIM(INDEX('Detalle individual'!$B:$B,$K951)))</f>
        <v/>
      </c>
      <c r="E951" s="72" t="str">
        <f>IF($K951="","",TRIM(INDEX('Detalle individual'!$E:$E,$K951)))</f>
        <v/>
      </c>
      <c r="F951" s="72" t="str">
        <f>IF($K951="","",TRIM(INDEX('Detalle individual'!$C:$C,$K951)))</f>
        <v/>
      </c>
      <c r="G951" s="72" t="str">
        <f>IF($K951="","",INDEX('Detalle individual'!$D:$D,$K951))</f>
        <v/>
      </c>
      <c r="H951" s="13" t="str">
        <f>IF($K951="","",INDEX('Detalle individual'!$F:$F,$K951))</f>
        <v/>
      </c>
      <c r="I951" s="20" t="str">
        <f>IF($K951="","",IF(INDEX('Detalle individual'!$F:$F,$K951)="Completado",INDEX('Detalle individual'!$H:$H,$K951),""))</f>
        <v/>
      </c>
      <c r="J951" s="21" t="str">
        <f>IF($K951="","",IF(INDEX('Detalle individual'!$F:$F,$K951)="Completado",INDEX('Detalle individual'!$J:$J,$K951),""))</f>
        <v/>
      </c>
      <c r="K951" t="str">
        <f>IFERROR(MOD(SMALL(Cálculos!$Z$5:$Z$1000,943),10000),"")</f>
        <v/>
      </c>
    </row>
    <row r="952">
      <c r="B952" s="13" t="str">
        <f>IF($K952="","",944)</f>
        <v/>
      </c>
      <c r="C952" s="13" t="str">
        <f>IF($K952="","",INDEX('Detalle individual'!$A:$A,$K952))</f>
        <v/>
      </c>
      <c r="D952" s="72" t="str">
        <f>IF($K952="","",TRIM(INDEX('Detalle individual'!$B:$B,$K952)))</f>
        <v/>
      </c>
      <c r="E952" s="72" t="str">
        <f>IF($K952="","",TRIM(INDEX('Detalle individual'!$E:$E,$K952)))</f>
        <v/>
      </c>
      <c r="F952" s="72" t="str">
        <f>IF($K952="","",TRIM(INDEX('Detalle individual'!$C:$C,$K952)))</f>
        <v/>
      </c>
      <c r="G952" s="72" t="str">
        <f>IF($K952="","",INDEX('Detalle individual'!$D:$D,$K952))</f>
        <v/>
      </c>
      <c r="H952" s="13" t="str">
        <f>IF($K952="","",INDEX('Detalle individual'!$F:$F,$K952))</f>
        <v/>
      </c>
      <c r="I952" s="20" t="str">
        <f>IF($K952="","",IF(INDEX('Detalle individual'!$F:$F,$K952)="Completado",INDEX('Detalle individual'!$H:$H,$K952),""))</f>
        <v/>
      </c>
      <c r="J952" s="21" t="str">
        <f>IF($K952="","",IF(INDEX('Detalle individual'!$F:$F,$K952)="Completado",INDEX('Detalle individual'!$J:$J,$K952),""))</f>
        <v/>
      </c>
      <c r="K952" t="str">
        <f>IFERROR(MOD(SMALL(Cálculos!$Z$5:$Z$1000,944),10000),"")</f>
        <v/>
      </c>
    </row>
    <row r="953">
      <c r="B953" s="13" t="str">
        <f>IF($K953="","",945)</f>
        <v/>
      </c>
      <c r="C953" s="13" t="str">
        <f>IF($K953="","",INDEX('Detalle individual'!$A:$A,$K953))</f>
        <v/>
      </c>
      <c r="D953" s="72" t="str">
        <f>IF($K953="","",TRIM(INDEX('Detalle individual'!$B:$B,$K953)))</f>
        <v/>
      </c>
      <c r="E953" s="72" t="str">
        <f>IF($K953="","",TRIM(INDEX('Detalle individual'!$E:$E,$K953)))</f>
        <v/>
      </c>
      <c r="F953" s="72" t="str">
        <f>IF($K953="","",TRIM(INDEX('Detalle individual'!$C:$C,$K953)))</f>
        <v/>
      </c>
      <c r="G953" s="72" t="str">
        <f>IF($K953="","",INDEX('Detalle individual'!$D:$D,$K953))</f>
        <v/>
      </c>
      <c r="H953" s="13" t="str">
        <f>IF($K953="","",INDEX('Detalle individual'!$F:$F,$K953))</f>
        <v/>
      </c>
      <c r="I953" s="20" t="str">
        <f>IF($K953="","",IF(INDEX('Detalle individual'!$F:$F,$K953)="Completado",INDEX('Detalle individual'!$H:$H,$K953),""))</f>
        <v/>
      </c>
      <c r="J953" s="21" t="str">
        <f>IF($K953="","",IF(INDEX('Detalle individual'!$F:$F,$K953)="Completado",INDEX('Detalle individual'!$J:$J,$K953),""))</f>
        <v/>
      </c>
      <c r="K953" t="str">
        <f>IFERROR(MOD(SMALL(Cálculos!$Z$5:$Z$1000,945),10000),"")</f>
        <v/>
      </c>
    </row>
    <row r="954">
      <c r="B954" s="13" t="str">
        <f>IF($K954="","",946)</f>
        <v/>
      </c>
      <c r="C954" s="13" t="str">
        <f>IF($K954="","",INDEX('Detalle individual'!$A:$A,$K954))</f>
        <v/>
      </c>
      <c r="D954" s="72" t="str">
        <f>IF($K954="","",TRIM(INDEX('Detalle individual'!$B:$B,$K954)))</f>
        <v/>
      </c>
      <c r="E954" s="72" t="str">
        <f>IF($K954="","",TRIM(INDEX('Detalle individual'!$E:$E,$K954)))</f>
        <v/>
      </c>
      <c r="F954" s="72" t="str">
        <f>IF($K954="","",TRIM(INDEX('Detalle individual'!$C:$C,$K954)))</f>
        <v/>
      </c>
      <c r="G954" s="72" t="str">
        <f>IF($K954="","",INDEX('Detalle individual'!$D:$D,$K954))</f>
        <v/>
      </c>
      <c r="H954" s="13" t="str">
        <f>IF($K954="","",INDEX('Detalle individual'!$F:$F,$K954))</f>
        <v/>
      </c>
      <c r="I954" s="20" t="str">
        <f>IF($K954="","",IF(INDEX('Detalle individual'!$F:$F,$K954)="Completado",INDEX('Detalle individual'!$H:$H,$K954),""))</f>
        <v/>
      </c>
      <c r="J954" s="21" t="str">
        <f>IF($K954="","",IF(INDEX('Detalle individual'!$F:$F,$K954)="Completado",INDEX('Detalle individual'!$J:$J,$K954),""))</f>
        <v/>
      </c>
      <c r="K954" t="str">
        <f>IFERROR(MOD(SMALL(Cálculos!$Z$5:$Z$1000,946),10000),"")</f>
        <v/>
      </c>
    </row>
    <row r="955">
      <c r="B955" s="13" t="str">
        <f>IF($K955="","",947)</f>
        <v/>
      </c>
      <c r="C955" s="13" t="str">
        <f>IF($K955="","",INDEX('Detalle individual'!$A:$A,$K955))</f>
        <v/>
      </c>
      <c r="D955" s="72" t="str">
        <f>IF($K955="","",TRIM(INDEX('Detalle individual'!$B:$B,$K955)))</f>
        <v/>
      </c>
      <c r="E955" s="72" t="str">
        <f>IF($K955="","",TRIM(INDEX('Detalle individual'!$E:$E,$K955)))</f>
        <v/>
      </c>
      <c r="F955" s="72" t="str">
        <f>IF($K955="","",TRIM(INDEX('Detalle individual'!$C:$C,$K955)))</f>
        <v/>
      </c>
      <c r="G955" s="72" t="str">
        <f>IF($K955="","",INDEX('Detalle individual'!$D:$D,$K955))</f>
        <v/>
      </c>
      <c r="H955" s="13" t="str">
        <f>IF($K955="","",INDEX('Detalle individual'!$F:$F,$K955))</f>
        <v/>
      </c>
      <c r="I955" s="20" t="str">
        <f>IF($K955="","",IF(INDEX('Detalle individual'!$F:$F,$K955)="Completado",INDEX('Detalle individual'!$H:$H,$K955),""))</f>
        <v/>
      </c>
      <c r="J955" s="21" t="str">
        <f>IF($K955="","",IF(INDEX('Detalle individual'!$F:$F,$K955)="Completado",INDEX('Detalle individual'!$J:$J,$K955),""))</f>
        <v/>
      </c>
      <c r="K955" t="str">
        <f>IFERROR(MOD(SMALL(Cálculos!$Z$5:$Z$1000,947),10000),"")</f>
        <v/>
      </c>
    </row>
    <row r="956">
      <c r="B956" s="13" t="str">
        <f>IF($K956="","",948)</f>
        <v/>
      </c>
      <c r="C956" s="13" t="str">
        <f>IF($K956="","",INDEX('Detalle individual'!$A:$A,$K956))</f>
        <v/>
      </c>
      <c r="D956" s="72" t="str">
        <f>IF($K956="","",TRIM(INDEX('Detalle individual'!$B:$B,$K956)))</f>
        <v/>
      </c>
      <c r="E956" s="72" t="str">
        <f>IF($K956="","",TRIM(INDEX('Detalle individual'!$E:$E,$K956)))</f>
        <v/>
      </c>
      <c r="F956" s="72" t="str">
        <f>IF($K956="","",TRIM(INDEX('Detalle individual'!$C:$C,$K956)))</f>
        <v/>
      </c>
      <c r="G956" s="72" t="str">
        <f>IF($K956="","",INDEX('Detalle individual'!$D:$D,$K956))</f>
        <v/>
      </c>
      <c r="H956" s="13" t="str">
        <f>IF($K956="","",INDEX('Detalle individual'!$F:$F,$K956))</f>
        <v/>
      </c>
      <c r="I956" s="20" t="str">
        <f>IF($K956="","",IF(INDEX('Detalle individual'!$F:$F,$K956)="Completado",INDEX('Detalle individual'!$H:$H,$K956),""))</f>
        <v/>
      </c>
      <c r="J956" s="21" t="str">
        <f>IF($K956="","",IF(INDEX('Detalle individual'!$F:$F,$K956)="Completado",INDEX('Detalle individual'!$J:$J,$K956),""))</f>
        <v/>
      </c>
      <c r="K956" t="str">
        <f>IFERROR(MOD(SMALL(Cálculos!$Z$5:$Z$1000,948),10000),"")</f>
        <v/>
      </c>
    </row>
    <row r="957">
      <c r="B957" s="13" t="str">
        <f>IF($K957="","",949)</f>
        <v/>
      </c>
      <c r="C957" s="13" t="str">
        <f>IF($K957="","",INDEX('Detalle individual'!$A:$A,$K957))</f>
        <v/>
      </c>
      <c r="D957" s="72" t="str">
        <f>IF($K957="","",TRIM(INDEX('Detalle individual'!$B:$B,$K957)))</f>
        <v/>
      </c>
      <c r="E957" s="72" t="str">
        <f>IF($K957="","",TRIM(INDEX('Detalle individual'!$E:$E,$K957)))</f>
        <v/>
      </c>
      <c r="F957" s="72" t="str">
        <f>IF($K957="","",TRIM(INDEX('Detalle individual'!$C:$C,$K957)))</f>
        <v/>
      </c>
      <c r="G957" s="72" t="str">
        <f>IF($K957="","",INDEX('Detalle individual'!$D:$D,$K957))</f>
        <v/>
      </c>
      <c r="H957" s="13" t="str">
        <f>IF($K957="","",INDEX('Detalle individual'!$F:$F,$K957))</f>
        <v/>
      </c>
      <c r="I957" s="20" t="str">
        <f>IF($K957="","",IF(INDEX('Detalle individual'!$F:$F,$K957)="Completado",INDEX('Detalle individual'!$H:$H,$K957),""))</f>
        <v/>
      </c>
      <c r="J957" s="21" t="str">
        <f>IF($K957="","",IF(INDEX('Detalle individual'!$F:$F,$K957)="Completado",INDEX('Detalle individual'!$J:$J,$K957),""))</f>
        <v/>
      </c>
      <c r="K957" t="str">
        <f>IFERROR(MOD(SMALL(Cálculos!$Z$5:$Z$1000,949),10000),"")</f>
        <v/>
      </c>
    </row>
    <row r="958">
      <c r="B958" s="13" t="str">
        <f>IF($K958="","",950)</f>
        <v/>
      </c>
      <c r="C958" s="13" t="str">
        <f>IF($K958="","",INDEX('Detalle individual'!$A:$A,$K958))</f>
        <v/>
      </c>
      <c r="D958" s="72" t="str">
        <f>IF($K958="","",TRIM(INDEX('Detalle individual'!$B:$B,$K958)))</f>
        <v/>
      </c>
      <c r="E958" s="72" t="str">
        <f>IF($K958="","",TRIM(INDEX('Detalle individual'!$E:$E,$K958)))</f>
        <v/>
      </c>
      <c r="F958" s="72" t="str">
        <f>IF($K958="","",TRIM(INDEX('Detalle individual'!$C:$C,$K958)))</f>
        <v/>
      </c>
      <c r="G958" s="72" t="str">
        <f>IF($K958="","",INDEX('Detalle individual'!$D:$D,$K958))</f>
        <v/>
      </c>
      <c r="H958" s="13" t="str">
        <f>IF($K958="","",INDEX('Detalle individual'!$F:$F,$K958))</f>
        <v/>
      </c>
      <c r="I958" s="20" t="str">
        <f>IF($K958="","",IF(INDEX('Detalle individual'!$F:$F,$K958)="Completado",INDEX('Detalle individual'!$H:$H,$K958),""))</f>
        <v/>
      </c>
      <c r="J958" s="21" t="str">
        <f>IF($K958="","",IF(INDEX('Detalle individual'!$F:$F,$K958)="Completado",INDEX('Detalle individual'!$J:$J,$K958),""))</f>
        <v/>
      </c>
      <c r="K958" t="str">
        <f>IFERROR(MOD(SMALL(Cálculos!$Z$5:$Z$1000,950),10000),"")</f>
        <v/>
      </c>
    </row>
    <row r="959">
      <c r="B959" s="13" t="str">
        <f>IF($K959="","",951)</f>
        <v/>
      </c>
      <c r="C959" s="13" t="str">
        <f>IF($K959="","",INDEX('Detalle individual'!$A:$A,$K959))</f>
        <v/>
      </c>
      <c r="D959" s="72" t="str">
        <f>IF($K959="","",TRIM(INDEX('Detalle individual'!$B:$B,$K959)))</f>
        <v/>
      </c>
      <c r="E959" s="72" t="str">
        <f>IF($K959="","",TRIM(INDEX('Detalle individual'!$E:$E,$K959)))</f>
        <v/>
      </c>
      <c r="F959" s="72" t="str">
        <f>IF($K959="","",TRIM(INDEX('Detalle individual'!$C:$C,$K959)))</f>
        <v/>
      </c>
      <c r="G959" s="72" t="str">
        <f>IF($K959="","",INDEX('Detalle individual'!$D:$D,$K959))</f>
        <v/>
      </c>
      <c r="H959" s="13" t="str">
        <f>IF($K959="","",INDEX('Detalle individual'!$F:$F,$K959))</f>
        <v/>
      </c>
      <c r="I959" s="20" t="str">
        <f>IF($K959="","",IF(INDEX('Detalle individual'!$F:$F,$K959)="Completado",INDEX('Detalle individual'!$H:$H,$K959),""))</f>
        <v/>
      </c>
      <c r="J959" s="21" t="str">
        <f>IF($K959="","",IF(INDEX('Detalle individual'!$F:$F,$K959)="Completado",INDEX('Detalle individual'!$J:$J,$K959),""))</f>
        <v/>
      </c>
      <c r="K959" t="str">
        <f>IFERROR(MOD(SMALL(Cálculos!$Z$5:$Z$1000,951),10000),"")</f>
        <v/>
      </c>
    </row>
    <row r="960">
      <c r="B960" s="13" t="str">
        <f>IF($K960="","",952)</f>
        <v/>
      </c>
      <c r="C960" s="13" t="str">
        <f>IF($K960="","",INDEX('Detalle individual'!$A:$A,$K960))</f>
        <v/>
      </c>
      <c r="D960" s="72" t="str">
        <f>IF($K960="","",TRIM(INDEX('Detalle individual'!$B:$B,$K960)))</f>
        <v/>
      </c>
      <c r="E960" s="72" t="str">
        <f>IF($K960="","",TRIM(INDEX('Detalle individual'!$E:$E,$K960)))</f>
        <v/>
      </c>
      <c r="F960" s="72" t="str">
        <f>IF($K960="","",TRIM(INDEX('Detalle individual'!$C:$C,$K960)))</f>
        <v/>
      </c>
      <c r="G960" s="72" t="str">
        <f>IF($K960="","",INDEX('Detalle individual'!$D:$D,$K960))</f>
        <v/>
      </c>
      <c r="H960" s="13" t="str">
        <f>IF($K960="","",INDEX('Detalle individual'!$F:$F,$K960))</f>
        <v/>
      </c>
      <c r="I960" s="20" t="str">
        <f>IF($K960="","",IF(INDEX('Detalle individual'!$F:$F,$K960)="Completado",INDEX('Detalle individual'!$H:$H,$K960),""))</f>
        <v/>
      </c>
      <c r="J960" s="21" t="str">
        <f>IF($K960="","",IF(INDEX('Detalle individual'!$F:$F,$K960)="Completado",INDEX('Detalle individual'!$J:$J,$K960),""))</f>
        <v/>
      </c>
      <c r="K960" t="str">
        <f>IFERROR(MOD(SMALL(Cálculos!$Z$5:$Z$1000,952),10000),"")</f>
        <v/>
      </c>
    </row>
    <row r="961">
      <c r="B961" s="13" t="str">
        <f>IF($K961="","",953)</f>
        <v/>
      </c>
      <c r="C961" s="13" t="str">
        <f>IF($K961="","",INDEX('Detalle individual'!$A:$A,$K961))</f>
        <v/>
      </c>
      <c r="D961" s="72" t="str">
        <f>IF($K961="","",TRIM(INDEX('Detalle individual'!$B:$B,$K961)))</f>
        <v/>
      </c>
      <c r="E961" s="72" t="str">
        <f>IF($K961="","",TRIM(INDEX('Detalle individual'!$E:$E,$K961)))</f>
        <v/>
      </c>
      <c r="F961" s="72" t="str">
        <f>IF($K961="","",TRIM(INDEX('Detalle individual'!$C:$C,$K961)))</f>
        <v/>
      </c>
      <c r="G961" s="72" t="str">
        <f>IF($K961="","",INDEX('Detalle individual'!$D:$D,$K961))</f>
        <v/>
      </c>
      <c r="H961" s="13" t="str">
        <f>IF($K961="","",INDEX('Detalle individual'!$F:$F,$K961))</f>
        <v/>
      </c>
      <c r="I961" s="20" t="str">
        <f>IF($K961="","",IF(INDEX('Detalle individual'!$F:$F,$K961)="Completado",INDEX('Detalle individual'!$H:$H,$K961),""))</f>
        <v/>
      </c>
      <c r="J961" s="21" t="str">
        <f>IF($K961="","",IF(INDEX('Detalle individual'!$F:$F,$K961)="Completado",INDEX('Detalle individual'!$J:$J,$K961),""))</f>
        <v/>
      </c>
      <c r="K961" t="str">
        <f>IFERROR(MOD(SMALL(Cálculos!$Z$5:$Z$1000,953),10000),"")</f>
        <v/>
      </c>
    </row>
    <row r="962">
      <c r="B962" s="13" t="str">
        <f>IF($K962="","",954)</f>
        <v/>
      </c>
      <c r="C962" s="13" t="str">
        <f>IF($K962="","",INDEX('Detalle individual'!$A:$A,$K962))</f>
        <v/>
      </c>
      <c r="D962" s="72" t="str">
        <f>IF($K962="","",TRIM(INDEX('Detalle individual'!$B:$B,$K962)))</f>
        <v/>
      </c>
      <c r="E962" s="72" t="str">
        <f>IF($K962="","",TRIM(INDEX('Detalle individual'!$E:$E,$K962)))</f>
        <v/>
      </c>
      <c r="F962" s="72" t="str">
        <f>IF($K962="","",TRIM(INDEX('Detalle individual'!$C:$C,$K962)))</f>
        <v/>
      </c>
      <c r="G962" s="72" t="str">
        <f>IF($K962="","",INDEX('Detalle individual'!$D:$D,$K962))</f>
        <v/>
      </c>
      <c r="H962" s="13" t="str">
        <f>IF($K962="","",INDEX('Detalle individual'!$F:$F,$K962))</f>
        <v/>
      </c>
      <c r="I962" s="20" t="str">
        <f>IF($K962="","",IF(INDEX('Detalle individual'!$F:$F,$K962)="Completado",INDEX('Detalle individual'!$H:$H,$K962),""))</f>
        <v/>
      </c>
      <c r="J962" s="21" t="str">
        <f>IF($K962="","",IF(INDEX('Detalle individual'!$F:$F,$K962)="Completado",INDEX('Detalle individual'!$J:$J,$K962),""))</f>
        <v/>
      </c>
      <c r="K962" t="str">
        <f>IFERROR(MOD(SMALL(Cálculos!$Z$5:$Z$1000,954),10000),"")</f>
        <v/>
      </c>
    </row>
    <row r="963">
      <c r="B963" s="13" t="str">
        <f>IF($K963="","",955)</f>
        <v/>
      </c>
      <c r="C963" s="13" t="str">
        <f>IF($K963="","",INDEX('Detalle individual'!$A:$A,$K963))</f>
        <v/>
      </c>
      <c r="D963" s="72" t="str">
        <f>IF($K963="","",TRIM(INDEX('Detalle individual'!$B:$B,$K963)))</f>
        <v/>
      </c>
      <c r="E963" s="72" t="str">
        <f>IF($K963="","",TRIM(INDEX('Detalle individual'!$E:$E,$K963)))</f>
        <v/>
      </c>
      <c r="F963" s="72" t="str">
        <f>IF($K963="","",TRIM(INDEX('Detalle individual'!$C:$C,$K963)))</f>
        <v/>
      </c>
      <c r="G963" s="72" t="str">
        <f>IF($K963="","",INDEX('Detalle individual'!$D:$D,$K963))</f>
        <v/>
      </c>
      <c r="H963" s="13" t="str">
        <f>IF($K963="","",INDEX('Detalle individual'!$F:$F,$K963))</f>
        <v/>
      </c>
      <c r="I963" s="20" t="str">
        <f>IF($K963="","",IF(INDEX('Detalle individual'!$F:$F,$K963)="Completado",INDEX('Detalle individual'!$H:$H,$K963),""))</f>
        <v/>
      </c>
      <c r="J963" s="21" t="str">
        <f>IF($K963="","",IF(INDEX('Detalle individual'!$F:$F,$K963)="Completado",INDEX('Detalle individual'!$J:$J,$K963),""))</f>
        <v/>
      </c>
      <c r="K963" t="str">
        <f>IFERROR(MOD(SMALL(Cálculos!$Z$5:$Z$1000,955),10000),"")</f>
        <v/>
      </c>
    </row>
    <row r="964">
      <c r="B964" s="13" t="str">
        <f>IF($K964="","",956)</f>
        <v/>
      </c>
      <c r="C964" s="13" t="str">
        <f>IF($K964="","",INDEX('Detalle individual'!$A:$A,$K964))</f>
        <v/>
      </c>
      <c r="D964" s="72" t="str">
        <f>IF($K964="","",TRIM(INDEX('Detalle individual'!$B:$B,$K964)))</f>
        <v/>
      </c>
      <c r="E964" s="72" t="str">
        <f>IF($K964="","",TRIM(INDEX('Detalle individual'!$E:$E,$K964)))</f>
        <v/>
      </c>
      <c r="F964" s="72" t="str">
        <f>IF($K964="","",TRIM(INDEX('Detalle individual'!$C:$C,$K964)))</f>
        <v/>
      </c>
      <c r="G964" s="72" t="str">
        <f>IF($K964="","",INDEX('Detalle individual'!$D:$D,$K964))</f>
        <v/>
      </c>
      <c r="H964" s="13" t="str">
        <f>IF($K964="","",INDEX('Detalle individual'!$F:$F,$K964))</f>
        <v/>
      </c>
      <c r="I964" s="20" t="str">
        <f>IF($K964="","",IF(INDEX('Detalle individual'!$F:$F,$K964)="Completado",INDEX('Detalle individual'!$H:$H,$K964),""))</f>
        <v/>
      </c>
      <c r="J964" s="21" t="str">
        <f>IF($K964="","",IF(INDEX('Detalle individual'!$F:$F,$K964)="Completado",INDEX('Detalle individual'!$J:$J,$K964),""))</f>
        <v/>
      </c>
      <c r="K964" t="str">
        <f>IFERROR(MOD(SMALL(Cálculos!$Z$5:$Z$1000,956),10000),"")</f>
        <v/>
      </c>
    </row>
    <row r="965">
      <c r="B965" s="13" t="str">
        <f>IF($K965="","",957)</f>
        <v/>
      </c>
      <c r="C965" s="13" t="str">
        <f>IF($K965="","",INDEX('Detalle individual'!$A:$A,$K965))</f>
        <v/>
      </c>
      <c r="D965" s="72" t="str">
        <f>IF($K965="","",TRIM(INDEX('Detalle individual'!$B:$B,$K965)))</f>
        <v/>
      </c>
      <c r="E965" s="72" t="str">
        <f>IF($K965="","",TRIM(INDEX('Detalle individual'!$E:$E,$K965)))</f>
        <v/>
      </c>
      <c r="F965" s="72" t="str">
        <f>IF($K965="","",TRIM(INDEX('Detalle individual'!$C:$C,$K965)))</f>
        <v/>
      </c>
      <c r="G965" s="72" t="str">
        <f>IF($K965="","",INDEX('Detalle individual'!$D:$D,$K965))</f>
        <v/>
      </c>
      <c r="H965" s="13" t="str">
        <f>IF($K965="","",INDEX('Detalle individual'!$F:$F,$K965))</f>
        <v/>
      </c>
      <c r="I965" s="20" t="str">
        <f>IF($K965="","",IF(INDEX('Detalle individual'!$F:$F,$K965)="Completado",INDEX('Detalle individual'!$H:$H,$K965),""))</f>
        <v/>
      </c>
      <c r="J965" s="21" t="str">
        <f>IF($K965="","",IF(INDEX('Detalle individual'!$F:$F,$K965)="Completado",INDEX('Detalle individual'!$J:$J,$K965),""))</f>
        <v/>
      </c>
      <c r="K965" t="str">
        <f>IFERROR(MOD(SMALL(Cálculos!$Z$5:$Z$1000,957),10000),"")</f>
        <v/>
      </c>
    </row>
    <row r="966">
      <c r="B966" s="13" t="str">
        <f>IF($K966="","",958)</f>
        <v/>
      </c>
      <c r="C966" s="13" t="str">
        <f>IF($K966="","",INDEX('Detalle individual'!$A:$A,$K966))</f>
        <v/>
      </c>
      <c r="D966" s="72" t="str">
        <f>IF($K966="","",TRIM(INDEX('Detalle individual'!$B:$B,$K966)))</f>
        <v/>
      </c>
      <c r="E966" s="72" t="str">
        <f>IF($K966="","",TRIM(INDEX('Detalle individual'!$E:$E,$K966)))</f>
        <v/>
      </c>
      <c r="F966" s="72" t="str">
        <f>IF($K966="","",TRIM(INDEX('Detalle individual'!$C:$C,$K966)))</f>
        <v/>
      </c>
      <c r="G966" s="72" t="str">
        <f>IF($K966="","",INDEX('Detalle individual'!$D:$D,$K966))</f>
        <v/>
      </c>
      <c r="H966" s="13" t="str">
        <f>IF($K966="","",INDEX('Detalle individual'!$F:$F,$K966))</f>
        <v/>
      </c>
      <c r="I966" s="20" t="str">
        <f>IF($K966="","",IF(INDEX('Detalle individual'!$F:$F,$K966)="Completado",INDEX('Detalle individual'!$H:$H,$K966),""))</f>
        <v/>
      </c>
      <c r="J966" s="21" t="str">
        <f>IF($K966="","",IF(INDEX('Detalle individual'!$F:$F,$K966)="Completado",INDEX('Detalle individual'!$J:$J,$K966),""))</f>
        <v/>
      </c>
      <c r="K966" t="str">
        <f>IFERROR(MOD(SMALL(Cálculos!$Z$5:$Z$1000,958),10000),"")</f>
        <v/>
      </c>
    </row>
    <row r="967">
      <c r="B967" s="13" t="str">
        <f>IF($K967="","",959)</f>
        <v/>
      </c>
      <c r="C967" s="13" t="str">
        <f>IF($K967="","",INDEX('Detalle individual'!$A:$A,$K967))</f>
        <v/>
      </c>
      <c r="D967" s="72" t="str">
        <f>IF($K967="","",TRIM(INDEX('Detalle individual'!$B:$B,$K967)))</f>
        <v/>
      </c>
      <c r="E967" s="72" t="str">
        <f>IF($K967="","",TRIM(INDEX('Detalle individual'!$E:$E,$K967)))</f>
        <v/>
      </c>
      <c r="F967" s="72" t="str">
        <f>IF($K967="","",TRIM(INDEX('Detalle individual'!$C:$C,$K967)))</f>
        <v/>
      </c>
      <c r="G967" s="72" t="str">
        <f>IF($K967="","",INDEX('Detalle individual'!$D:$D,$K967))</f>
        <v/>
      </c>
      <c r="H967" s="13" t="str">
        <f>IF($K967="","",INDEX('Detalle individual'!$F:$F,$K967))</f>
        <v/>
      </c>
      <c r="I967" s="20" t="str">
        <f>IF($K967="","",IF(INDEX('Detalle individual'!$F:$F,$K967)="Completado",INDEX('Detalle individual'!$H:$H,$K967),""))</f>
        <v/>
      </c>
      <c r="J967" s="21" t="str">
        <f>IF($K967="","",IF(INDEX('Detalle individual'!$F:$F,$K967)="Completado",INDEX('Detalle individual'!$J:$J,$K967),""))</f>
        <v/>
      </c>
      <c r="K967" t="str">
        <f>IFERROR(MOD(SMALL(Cálculos!$Z$5:$Z$1000,959),10000),"")</f>
        <v/>
      </c>
    </row>
    <row r="968">
      <c r="B968" s="13" t="str">
        <f>IF($K968="","",960)</f>
        <v/>
      </c>
      <c r="C968" s="13" t="str">
        <f>IF($K968="","",INDEX('Detalle individual'!$A:$A,$K968))</f>
        <v/>
      </c>
      <c r="D968" s="72" t="str">
        <f>IF($K968="","",TRIM(INDEX('Detalle individual'!$B:$B,$K968)))</f>
        <v/>
      </c>
      <c r="E968" s="72" t="str">
        <f>IF($K968="","",TRIM(INDEX('Detalle individual'!$E:$E,$K968)))</f>
        <v/>
      </c>
      <c r="F968" s="72" t="str">
        <f>IF($K968="","",TRIM(INDEX('Detalle individual'!$C:$C,$K968)))</f>
        <v/>
      </c>
      <c r="G968" s="72" t="str">
        <f>IF($K968="","",INDEX('Detalle individual'!$D:$D,$K968))</f>
        <v/>
      </c>
      <c r="H968" s="13" t="str">
        <f>IF($K968="","",INDEX('Detalle individual'!$F:$F,$K968))</f>
        <v/>
      </c>
      <c r="I968" s="20" t="str">
        <f>IF($K968="","",IF(INDEX('Detalle individual'!$F:$F,$K968)="Completado",INDEX('Detalle individual'!$H:$H,$K968),""))</f>
        <v/>
      </c>
      <c r="J968" s="21" t="str">
        <f>IF($K968="","",IF(INDEX('Detalle individual'!$F:$F,$K968)="Completado",INDEX('Detalle individual'!$J:$J,$K968),""))</f>
        <v/>
      </c>
      <c r="K968" t="str">
        <f>IFERROR(MOD(SMALL(Cálculos!$Z$5:$Z$1000,960),10000),"")</f>
        <v/>
      </c>
    </row>
    <row r="969">
      <c r="B969" s="13" t="str">
        <f>IF($K969="","",961)</f>
        <v/>
      </c>
      <c r="C969" s="13" t="str">
        <f>IF($K969="","",INDEX('Detalle individual'!$A:$A,$K969))</f>
        <v/>
      </c>
      <c r="D969" s="72" t="str">
        <f>IF($K969="","",TRIM(INDEX('Detalle individual'!$B:$B,$K969)))</f>
        <v/>
      </c>
      <c r="E969" s="72" t="str">
        <f>IF($K969="","",TRIM(INDEX('Detalle individual'!$E:$E,$K969)))</f>
        <v/>
      </c>
      <c r="F969" s="72" t="str">
        <f>IF($K969="","",TRIM(INDEX('Detalle individual'!$C:$C,$K969)))</f>
        <v/>
      </c>
      <c r="G969" s="72" t="str">
        <f>IF($K969="","",INDEX('Detalle individual'!$D:$D,$K969))</f>
        <v/>
      </c>
      <c r="H969" s="13" t="str">
        <f>IF($K969="","",INDEX('Detalle individual'!$F:$F,$K969))</f>
        <v/>
      </c>
      <c r="I969" s="20" t="str">
        <f>IF($K969="","",IF(INDEX('Detalle individual'!$F:$F,$K969)="Completado",INDEX('Detalle individual'!$H:$H,$K969),""))</f>
        <v/>
      </c>
      <c r="J969" s="21" t="str">
        <f>IF($K969="","",IF(INDEX('Detalle individual'!$F:$F,$K969)="Completado",INDEX('Detalle individual'!$J:$J,$K969),""))</f>
        <v/>
      </c>
      <c r="K969" t="str">
        <f>IFERROR(MOD(SMALL(Cálculos!$Z$5:$Z$1000,961),10000),"")</f>
        <v/>
      </c>
    </row>
    <row r="970">
      <c r="B970" s="13" t="str">
        <f>IF($K970="","",962)</f>
        <v/>
      </c>
      <c r="C970" s="13" t="str">
        <f>IF($K970="","",INDEX('Detalle individual'!$A:$A,$K970))</f>
        <v/>
      </c>
      <c r="D970" s="72" t="str">
        <f>IF($K970="","",TRIM(INDEX('Detalle individual'!$B:$B,$K970)))</f>
        <v/>
      </c>
      <c r="E970" s="72" t="str">
        <f>IF($K970="","",TRIM(INDEX('Detalle individual'!$E:$E,$K970)))</f>
        <v/>
      </c>
      <c r="F970" s="72" t="str">
        <f>IF($K970="","",TRIM(INDEX('Detalle individual'!$C:$C,$K970)))</f>
        <v/>
      </c>
      <c r="G970" s="72" t="str">
        <f>IF($K970="","",INDEX('Detalle individual'!$D:$D,$K970))</f>
        <v/>
      </c>
      <c r="H970" s="13" t="str">
        <f>IF($K970="","",INDEX('Detalle individual'!$F:$F,$K970))</f>
        <v/>
      </c>
      <c r="I970" s="20" t="str">
        <f>IF($K970="","",IF(INDEX('Detalle individual'!$F:$F,$K970)="Completado",INDEX('Detalle individual'!$H:$H,$K970),""))</f>
        <v/>
      </c>
      <c r="J970" s="21" t="str">
        <f>IF($K970="","",IF(INDEX('Detalle individual'!$F:$F,$K970)="Completado",INDEX('Detalle individual'!$J:$J,$K970),""))</f>
        <v/>
      </c>
      <c r="K970" t="str">
        <f>IFERROR(MOD(SMALL(Cálculos!$Z$5:$Z$1000,962),10000),"")</f>
        <v/>
      </c>
    </row>
    <row r="971">
      <c r="B971" s="13" t="str">
        <f>IF($K971="","",963)</f>
        <v/>
      </c>
      <c r="C971" s="13" t="str">
        <f>IF($K971="","",INDEX('Detalle individual'!$A:$A,$K971))</f>
        <v/>
      </c>
      <c r="D971" s="72" t="str">
        <f>IF($K971="","",TRIM(INDEX('Detalle individual'!$B:$B,$K971)))</f>
        <v/>
      </c>
      <c r="E971" s="72" t="str">
        <f>IF($K971="","",TRIM(INDEX('Detalle individual'!$E:$E,$K971)))</f>
        <v/>
      </c>
      <c r="F971" s="72" t="str">
        <f>IF($K971="","",TRIM(INDEX('Detalle individual'!$C:$C,$K971)))</f>
        <v/>
      </c>
      <c r="G971" s="72" t="str">
        <f>IF($K971="","",INDEX('Detalle individual'!$D:$D,$K971))</f>
        <v/>
      </c>
      <c r="H971" s="13" t="str">
        <f>IF($K971="","",INDEX('Detalle individual'!$F:$F,$K971))</f>
        <v/>
      </c>
      <c r="I971" s="20" t="str">
        <f>IF($K971="","",IF(INDEX('Detalle individual'!$F:$F,$K971)="Completado",INDEX('Detalle individual'!$H:$H,$K971),""))</f>
        <v/>
      </c>
      <c r="J971" s="21" t="str">
        <f>IF($K971="","",IF(INDEX('Detalle individual'!$F:$F,$K971)="Completado",INDEX('Detalle individual'!$J:$J,$K971),""))</f>
        <v/>
      </c>
      <c r="K971" t="str">
        <f>IFERROR(MOD(SMALL(Cálculos!$Z$5:$Z$1000,963),10000),"")</f>
        <v/>
      </c>
    </row>
    <row r="972">
      <c r="B972" s="13" t="str">
        <f>IF($K972="","",964)</f>
        <v/>
      </c>
      <c r="C972" s="13" t="str">
        <f>IF($K972="","",INDEX('Detalle individual'!$A:$A,$K972))</f>
        <v/>
      </c>
      <c r="D972" s="72" t="str">
        <f>IF($K972="","",TRIM(INDEX('Detalle individual'!$B:$B,$K972)))</f>
        <v/>
      </c>
      <c r="E972" s="72" t="str">
        <f>IF($K972="","",TRIM(INDEX('Detalle individual'!$E:$E,$K972)))</f>
        <v/>
      </c>
      <c r="F972" s="72" t="str">
        <f>IF($K972="","",TRIM(INDEX('Detalle individual'!$C:$C,$K972)))</f>
        <v/>
      </c>
      <c r="G972" s="72" t="str">
        <f>IF($K972="","",INDEX('Detalle individual'!$D:$D,$K972))</f>
        <v/>
      </c>
      <c r="H972" s="13" t="str">
        <f>IF($K972="","",INDEX('Detalle individual'!$F:$F,$K972))</f>
        <v/>
      </c>
      <c r="I972" s="20" t="str">
        <f>IF($K972="","",IF(INDEX('Detalle individual'!$F:$F,$K972)="Completado",INDEX('Detalle individual'!$H:$H,$K972),""))</f>
        <v/>
      </c>
      <c r="J972" s="21" t="str">
        <f>IF($K972="","",IF(INDEX('Detalle individual'!$F:$F,$K972)="Completado",INDEX('Detalle individual'!$J:$J,$K972),""))</f>
        <v/>
      </c>
      <c r="K972" t="str">
        <f>IFERROR(MOD(SMALL(Cálculos!$Z$5:$Z$1000,964),10000),"")</f>
        <v/>
      </c>
    </row>
    <row r="973">
      <c r="B973" s="13" t="str">
        <f>IF($K973="","",965)</f>
        <v/>
      </c>
      <c r="C973" s="13" t="str">
        <f>IF($K973="","",INDEX('Detalle individual'!$A:$A,$K973))</f>
        <v/>
      </c>
      <c r="D973" s="72" t="str">
        <f>IF($K973="","",TRIM(INDEX('Detalle individual'!$B:$B,$K973)))</f>
        <v/>
      </c>
      <c r="E973" s="72" t="str">
        <f>IF($K973="","",TRIM(INDEX('Detalle individual'!$E:$E,$K973)))</f>
        <v/>
      </c>
      <c r="F973" s="72" t="str">
        <f>IF($K973="","",TRIM(INDEX('Detalle individual'!$C:$C,$K973)))</f>
        <v/>
      </c>
      <c r="G973" s="72" t="str">
        <f>IF($K973="","",INDEX('Detalle individual'!$D:$D,$K973))</f>
        <v/>
      </c>
      <c r="H973" s="13" t="str">
        <f>IF($K973="","",INDEX('Detalle individual'!$F:$F,$K973))</f>
        <v/>
      </c>
      <c r="I973" s="20" t="str">
        <f>IF($K973="","",IF(INDEX('Detalle individual'!$F:$F,$K973)="Completado",INDEX('Detalle individual'!$H:$H,$K973),""))</f>
        <v/>
      </c>
      <c r="J973" s="21" t="str">
        <f>IF($K973="","",IF(INDEX('Detalle individual'!$F:$F,$K973)="Completado",INDEX('Detalle individual'!$J:$J,$K973),""))</f>
        <v/>
      </c>
      <c r="K973" t="str">
        <f>IFERROR(MOD(SMALL(Cálculos!$Z$5:$Z$1000,965),10000),"")</f>
        <v/>
      </c>
    </row>
    <row r="974">
      <c r="B974" s="13" t="str">
        <f>IF($K974="","",966)</f>
        <v/>
      </c>
      <c r="C974" s="13" t="str">
        <f>IF($K974="","",INDEX('Detalle individual'!$A:$A,$K974))</f>
        <v/>
      </c>
      <c r="D974" s="72" t="str">
        <f>IF($K974="","",TRIM(INDEX('Detalle individual'!$B:$B,$K974)))</f>
        <v/>
      </c>
      <c r="E974" s="72" t="str">
        <f>IF($K974="","",TRIM(INDEX('Detalle individual'!$E:$E,$K974)))</f>
        <v/>
      </c>
      <c r="F974" s="72" t="str">
        <f>IF($K974="","",TRIM(INDEX('Detalle individual'!$C:$C,$K974)))</f>
        <v/>
      </c>
      <c r="G974" s="72" t="str">
        <f>IF($K974="","",INDEX('Detalle individual'!$D:$D,$K974))</f>
        <v/>
      </c>
      <c r="H974" s="13" t="str">
        <f>IF($K974="","",INDEX('Detalle individual'!$F:$F,$K974))</f>
        <v/>
      </c>
      <c r="I974" s="20" t="str">
        <f>IF($K974="","",IF(INDEX('Detalle individual'!$F:$F,$K974)="Completado",INDEX('Detalle individual'!$H:$H,$K974),""))</f>
        <v/>
      </c>
      <c r="J974" s="21" t="str">
        <f>IF($K974="","",IF(INDEX('Detalle individual'!$F:$F,$K974)="Completado",INDEX('Detalle individual'!$J:$J,$K974),""))</f>
        <v/>
      </c>
      <c r="K974" t="str">
        <f>IFERROR(MOD(SMALL(Cálculos!$Z$5:$Z$1000,966),10000),"")</f>
        <v/>
      </c>
    </row>
    <row r="975">
      <c r="B975" s="13" t="str">
        <f>IF($K975="","",967)</f>
        <v/>
      </c>
      <c r="C975" s="13" t="str">
        <f>IF($K975="","",INDEX('Detalle individual'!$A:$A,$K975))</f>
        <v/>
      </c>
      <c r="D975" s="72" t="str">
        <f>IF($K975="","",TRIM(INDEX('Detalle individual'!$B:$B,$K975)))</f>
        <v/>
      </c>
      <c r="E975" s="72" t="str">
        <f>IF($K975="","",TRIM(INDEX('Detalle individual'!$E:$E,$K975)))</f>
        <v/>
      </c>
      <c r="F975" s="72" t="str">
        <f>IF($K975="","",TRIM(INDEX('Detalle individual'!$C:$C,$K975)))</f>
        <v/>
      </c>
      <c r="G975" s="72" t="str">
        <f>IF($K975="","",INDEX('Detalle individual'!$D:$D,$K975))</f>
        <v/>
      </c>
      <c r="H975" s="13" t="str">
        <f>IF($K975="","",INDEX('Detalle individual'!$F:$F,$K975))</f>
        <v/>
      </c>
      <c r="I975" s="20" t="str">
        <f>IF($K975="","",IF(INDEX('Detalle individual'!$F:$F,$K975)="Completado",INDEX('Detalle individual'!$H:$H,$K975),""))</f>
        <v/>
      </c>
      <c r="J975" s="21" t="str">
        <f>IF($K975="","",IF(INDEX('Detalle individual'!$F:$F,$K975)="Completado",INDEX('Detalle individual'!$J:$J,$K975),""))</f>
        <v/>
      </c>
      <c r="K975" t="str">
        <f>IFERROR(MOD(SMALL(Cálculos!$Z$5:$Z$1000,967),10000),"")</f>
        <v/>
      </c>
    </row>
    <row r="976">
      <c r="B976" s="13" t="str">
        <f>IF($K976="","",968)</f>
        <v/>
      </c>
      <c r="C976" s="13" t="str">
        <f>IF($K976="","",INDEX('Detalle individual'!$A:$A,$K976))</f>
        <v/>
      </c>
      <c r="D976" s="72" t="str">
        <f>IF($K976="","",TRIM(INDEX('Detalle individual'!$B:$B,$K976)))</f>
        <v/>
      </c>
      <c r="E976" s="72" t="str">
        <f>IF($K976="","",TRIM(INDEX('Detalle individual'!$E:$E,$K976)))</f>
        <v/>
      </c>
      <c r="F976" s="72" t="str">
        <f>IF($K976="","",TRIM(INDEX('Detalle individual'!$C:$C,$K976)))</f>
        <v/>
      </c>
      <c r="G976" s="72" t="str">
        <f>IF($K976="","",INDEX('Detalle individual'!$D:$D,$K976))</f>
        <v/>
      </c>
      <c r="H976" s="13" t="str">
        <f>IF($K976="","",INDEX('Detalle individual'!$F:$F,$K976))</f>
        <v/>
      </c>
      <c r="I976" s="20" t="str">
        <f>IF($K976="","",IF(INDEX('Detalle individual'!$F:$F,$K976)="Completado",INDEX('Detalle individual'!$H:$H,$K976),""))</f>
        <v/>
      </c>
      <c r="J976" s="21" t="str">
        <f>IF($K976="","",IF(INDEX('Detalle individual'!$F:$F,$K976)="Completado",INDEX('Detalle individual'!$J:$J,$K976),""))</f>
        <v/>
      </c>
      <c r="K976" t="str">
        <f>IFERROR(MOD(SMALL(Cálculos!$Z$5:$Z$1000,968),10000),"")</f>
        <v/>
      </c>
    </row>
    <row r="977">
      <c r="B977" s="13" t="str">
        <f>IF($K977="","",969)</f>
        <v/>
      </c>
      <c r="C977" s="13" t="str">
        <f>IF($K977="","",INDEX('Detalle individual'!$A:$A,$K977))</f>
        <v/>
      </c>
      <c r="D977" s="72" t="str">
        <f>IF($K977="","",TRIM(INDEX('Detalle individual'!$B:$B,$K977)))</f>
        <v/>
      </c>
      <c r="E977" s="72" t="str">
        <f>IF($K977="","",TRIM(INDEX('Detalle individual'!$E:$E,$K977)))</f>
        <v/>
      </c>
      <c r="F977" s="72" t="str">
        <f>IF($K977="","",TRIM(INDEX('Detalle individual'!$C:$C,$K977)))</f>
        <v/>
      </c>
      <c r="G977" s="72" t="str">
        <f>IF($K977="","",INDEX('Detalle individual'!$D:$D,$K977))</f>
        <v/>
      </c>
      <c r="H977" s="13" t="str">
        <f>IF($K977="","",INDEX('Detalle individual'!$F:$F,$K977))</f>
        <v/>
      </c>
      <c r="I977" s="20" t="str">
        <f>IF($K977="","",IF(INDEX('Detalle individual'!$F:$F,$K977)="Completado",INDEX('Detalle individual'!$H:$H,$K977),""))</f>
        <v/>
      </c>
      <c r="J977" s="21" t="str">
        <f>IF($K977="","",IF(INDEX('Detalle individual'!$F:$F,$K977)="Completado",INDEX('Detalle individual'!$J:$J,$K977),""))</f>
        <v/>
      </c>
      <c r="K977" t="str">
        <f>IFERROR(MOD(SMALL(Cálculos!$Z$5:$Z$1000,969),10000),"")</f>
        <v/>
      </c>
    </row>
    <row r="978">
      <c r="B978" s="13" t="str">
        <f>IF($K978="","",970)</f>
        <v/>
      </c>
      <c r="C978" s="13" t="str">
        <f>IF($K978="","",INDEX('Detalle individual'!$A:$A,$K978))</f>
        <v/>
      </c>
      <c r="D978" s="72" t="str">
        <f>IF($K978="","",TRIM(INDEX('Detalle individual'!$B:$B,$K978)))</f>
        <v/>
      </c>
      <c r="E978" s="72" t="str">
        <f>IF($K978="","",TRIM(INDEX('Detalle individual'!$E:$E,$K978)))</f>
        <v/>
      </c>
      <c r="F978" s="72" t="str">
        <f>IF($K978="","",TRIM(INDEX('Detalle individual'!$C:$C,$K978)))</f>
        <v/>
      </c>
      <c r="G978" s="72" t="str">
        <f>IF($K978="","",INDEX('Detalle individual'!$D:$D,$K978))</f>
        <v/>
      </c>
      <c r="H978" s="13" t="str">
        <f>IF($K978="","",INDEX('Detalle individual'!$F:$F,$K978))</f>
        <v/>
      </c>
      <c r="I978" s="20" t="str">
        <f>IF($K978="","",IF(INDEX('Detalle individual'!$F:$F,$K978)="Completado",INDEX('Detalle individual'!$H:$H,$K978),""))</f>
        <v/>
      </c>
      <c r="J978" s="21" t="str">
        <f>IF($K978="","",IF(INDEX('Detalle individual'!$F:$F,$K978)="Completado",INDEX('Detalle individual'!$J:$J,$K978),""))</f>
        <v/>
      </c>
      <c r="K978" t="str">
        <f>IFERROR(MOD(SMALL(Cálculos!$Z$5:$Z$1000,970),10000),"")</f>
        <v/>
      </c>
    </row>
    <row r="979">
      <c r="B979" s="13" t="str">
        <f>IF($K979="","",971)</f>
        <v/>
      </c>
      <c r="C979" s="13" t="str">
        <f>IF($K979="","",INDEX('Detalle individual'!$A:$A,$K979))</f>
        <v/>
      </c>
      <c r="D979" s="72" t="str">
        <f>IF($K979="","",TRIM(INDEX('Detalle individual'!$B:$B,$K979)))</f>
        <v/>
      </c>
      <c r="E979" s="72" t="str">
        <f>IF($K979="","",TRIM(INDEX('Detalle individual'!$E:$E,$K979)))</f>
        <v/>
      </c>
      <c r="F979" s="72" t="str">
        <f>IF($K979="","",TRIM(INDEX('Detalle individual'!$C:$C,$K979)))</f>
        <v/>
      </c>
      <c r="G979" s="72" t="str">
        <f>IF($K979="","",INDEX('Detalle individual'!$D:$D,$K979))</f>
        <v/>
      </c>
      <c r="H979" s="13" t="str">
        <f>IF($K979="","",INDEX('Detalle individual'!$F:$F,$K979))</f>
        <v/>
      </c>
      <c r="I979" s="20" t="str">
        <f>IF($K979="","",IF(INDEX('Detalle individual'!$F:$F,$K979)="Completado",INDEX('Detalle individual'!$H:$H,$K979),""))</f>
        <v/>
      </c>
      <c r="J979" s="21" t="str">
        <f>IF($K979="","",IF(INDEX('Detalle individual'!$F:$F,$K979)="Completado",INDEX('Detalle individual'!$J:$J,$K979),""))</f>
        <v/>
      </c>
      <c r="K979" t="str">
        <f>IFERROR(MOD(SMALL(Cálculos!$Z$5:$Z$1000,971),10000),"")</f>
        <v/>
      </c>
    </row>
    <row r="980">
      <c r="B980" s="13" t="str">
        <f>IF($K980="","",972)</f>
        <v/>
      </c>
      <c r="C980" s="13" t="str">
        <f>IF($K980="","",INDEX('Detalle individual'!$A:$A,$K980))</f>
        <v/>
      </c>
      <c r="D980" s="72" t="str">
        <f>IF($K980="","",TRIM(INDEX('Detalle individual'!$B:$B,$K980)))</f>
        <v/>
      </c>
      <c r="E980" s="72" t="str">
        <f>IF($K980="","",TRIM(INDEX('Detalle individual'!$E:$E,$K980)))</f>
        <v/>
      </c>
      <c r="F980" s="72" t="str">
        <f>IF($K980="","",TRIM(INDEX('Detalle individual'!$C:$C,$K980)))</f>
        <v/>
      </c>
      <c r="G980" s="72" t="str">
        <f>IF($K980="","",INDEX('Detalle individual'!$D:$D,$K980))</f>
        <v/>
      </c>
      <c r="H980" s="13" t="str">
        <f>IF($K980="","",INDEX('Detalle individual'!$F:$F,$K980))</f>
        <v/>
      </c>
      <c r="I980" s="20" t="str">
        <f>IF($K980="","",IF(INDEX('Detalle individual'!$F:$F,$K980)="Completado",INDEX('Detalle individual'!$H:$H,$K980),""))</f>
        <v/>
      </c>
      <c r="J980" s="21" t="str">
        <f>IF($K980="","",IF(INDEX('Detalle individual'!$F:$F,$K980)="Completado",INDEX('Detalle individual'!$J:$J,$K980),""))</f>
        <v/>
      </c>
      <c r="K980" t="str">
        <f>IFERROR(MOD(SMALL(Cálculos!$Z$5:$Z$1000,972),10000),"")</f>
        <v/>
      </c>
    </row>
    <row r="981">
      <c r="B981" s="13" t="str">
        <f>IF($K981="","",973)</f>
        <v/>
      </c>
      <c r="C981" s="13" t="str">
        <f>IF($K981="","",INDEX('Detalle individual'!$A:$A,$K981))</f>
        <v/>
      </c>
      <c r="D981" s="72" t="str">
        <f>IF($K981="","",TRIM(INDEX('Detalle individual'!$B:$B,$K981)))</f>
        <v/>
      </c>
      <c r="E981" s="72" t="str">
        <f>IF($K981="","",TRIM(INDEX('Detalle individual'!$E:$E,$K981)))</f>
        <v/>
      </c>
      <c r="F981" s="72" t="str">
        <f>IF($K981="","",TRIM(INDEX('Detalle individual'!$C:$C,$K981)))</f>
        <v/>
      </c>
      <c r="G981" s="72" t="str">
        <f>IF($K981="","",INDEX('Detalle individual'!$D:$D,$K981))</f>
        <v/>
      </c>
      <c r="H981" s="13" t="str">
        <f>IF($K981="","",INDEX('Detalle individual'!$F:$F,$K981))</f>
        <v/>
      </c>
      <c r="I981" s="20" t="str">
        <f>IF($K981="","",IF(INDEX('Detalle individual'!$F:$F,$K981)="Completado",INDEX('Detalle individual'!$H:$H,$K981),""))</f>
        <v/>
      </c>
      <c r="J981" s="21" t="str">
        <f>IF($K981="","",IF(INDEX('Detalle individual'!$F:$F,$K981)="Completado",INDEX('Detalle individual'!$J:$J,$K981),""))</f>
        <v/>
      </c>
      <c r="K981" t="str">
        <f>IFERROR(MOD(SMALL(Cálculos!$Z$5:$Z$1000,973),10000),"")</f>
        <v/>
      </c>
    </row>
    <row r="982">
      <c r="B982" s="13" t="str">
        <f>IF($K982="","",974)</f>
        <v/>
      </c>
      <c r="C982" s="13" t="str">
        <f>IF($K982="","",INDEX('Detalle individual'!$A:$A,$K982))</f>
        <v/>
      </c>
      <c r="D982" s="72" t="str">
        <f>IF($K982="","",TRIM(INDEX('Detalle individual'!$B:$B,$K982)))</f>
        <v/>
      </c>
      <c r="E982" s="72" t="str">
        <f>IF($K982="","",TRIM(INDEX('Detalle individual'!$E:$E,$K982)))</f>
        <v/>
      </c>
      <c r="F982" s="72" t="str">
        <f>IF($K982="","",TRIM(INDEX('Detalle individual'!$C:$C,$K982)))</f>
        <v/>
      </c>
      <c r="G982" s="72" t="str">
        <f>IF($K982="","",INDEX('Detalle individual'!$D:$D,$K982))</f>
        <v/>
      </c>
      <c r="H982" s="13" t="str">
        <f>IF($K982="","",INDEX('Detalle individual'!$F:$F,$K982))</f>
        <v/>
      </c>
      <c r="I982" s="20" t="str">
        <f>IF($K982="","",IF(INDEX('Detalle individual'!$F:$F,$K982)="Completado",INDEX('Detalle individual'!$H:$H,$K982),""))</f>
        <v/>
      </c>
      <c r="J982" s="21" t="str">
        <f>IF($K982="","",IF(INDEX('Detalle individual'!$F:$F,$K982)="Completado",INDEX('Detalle individual'!$J:$J,$K982),""))</f>
        <v/>
      </c>
      <c r="K982" t="str">
        <f>IFERROR(MOD(SMALL(Cálculos!$Z$5:$Z$1000,974),10000),"")</f>
        <v/>
      </c>
    </row>
    <row r="983">
      <c r="B983" s="13" t="str">
        <f>IF($K983="","",975)</f>
        <v/>
      </c>
      <c r="C983" s="13" t="str">
        <f>IF($K983="","",INDEX('Detalle individual'!$A:$A,$K983))</f>
        <v/>
      </c>
      <c r="D983" s="72" t="str">
        <f>IF($K983="","",TRIM(INDEX('Detalle individual'!$B:$B,$K983)))</f>
        <v/>
      </c>
      <c r="E983" s="72" t="str">
        <f>IF($K983="","",TRIM(INDEX('Detalle individual'!$E:$E,$K983)))</f>
        <v/>
      </c>
      <c r="F983" s="72" t="str">
        <f>IF($K983="","",TRIM(INDEX('Detalle individual'!$C:$C,$K983)))</f>
        <v/>
      </c>
      <c r="G983" s="72" t="str">
        <f>IF($K983="","",INDEX('Detalle individual'!$D:$D,$K983))</f>
        <v/>
      </c>
      <c r="H983" s="13" t="str">
        <f>IF($K983="","",INDEX('Detalle individual'!$F:$F,$K983))</f>
        <v/>
      </c>
      <c r="I983" s="20" t="str">
        <f>IF($K983="","",IF(INDEX('Detalle individual'!$F:$F,$K983)="Completado",INDEX('Detalle individual'!$H:$H,$K983),""))</f>
        <v/>
      </c>
      <c r="J983" s="21" t="str">
        <f>IF($K983="","",IF(INDEX('Detalle individual'!$F:$F,$K983)="Completado",INDEX('Detalle individual'!$J:$J,$K983),""))</f>
        <v/>
      </c>
      <c r="K983" t="str">
        <f>IFERROR(MOD(SMALL(Cálculos!$Z$5:$Z$1000,975),10000),"")</f>
        <v/>
      </c>
    </row>
    <row r="984">
      <c r="B984" s="13" t="str">
        <f>IF($K984="","",976)</f>
        <v/>
      </c>
      <c r="C984" s="13" t="str">
        <f>IF($K984="","",INDEX('Detalle individual'!$A:$A,$K984))</f>
        <v/>
      </c>
      <c r="D984" s="72" t="str">
        <f>IF($K984="","",TRIM(INDEX('Detalle individual'!$B:$B,$K984)))</f>
        <v/>
      </c>
      <c r="E984" s="72" t="str">
        <f>IF($K984="","",TRIM(INDEX('Detalle individual'!$E:$E,$K984)))</f>
        <v/>
      </c>
      <c r="F984" s="72" t="str">
        <f>IF($K984="","",TRIM(INDEX('Detalle individual'!$C:$C,$K984)))</f>
        <v/>
      </c>
      <c r="G984" s="72" t="str">
        <f>IF($K984="","",INDEX('Detalle individual'!$D:$D,$K984))</f>
        <v/>
      </c>
      <c r="H984" s="13" t="str">
        <f>IF($K984="","",INDEX('Detalle individual'!$F:$F,$K984))</f>
        <v/>
      </c>
      <c r="I984" s="20" t="str">
        <f>IF($K984="","",IF(INDEX('Detalle individual'!$F:$F,$K984)="Completado",INDEX('Detalle individual'!$H:$H,$K984),""))</f>
        <v/>
      </c>
      <c r="J984" s="21" t="str">
        <f>IF($K984="","",IF(INDEX('Detalle individual'!$F:$F,$K984)="Completado",INDEX('Detalle individual'!$J:$J,$K984),""))</f>
        <v/>
      </c>
      <c r="K984" t="str">
        <f>IFERROR(MOD(SMALL(Cálculos!$Z$5:$Z$1000,976),10000),"")</f>
        <v/>
      </c>
    </row>
    <row r="985">
      <c r="B985" s="13" t="str">
        <f>IF($K985="","",977)</f>
        <v/>
      </c>
      <c r="C985" s="13" t="str">
        <f>IF($K985="","",INDEX('Detalle individual'!$A:$A,$K985))</f>
        <v/>
      </c>
      <c r="D985" s="72" t="str">
        <f>IF($K985="","",TRIM(INDEX('Detalle individual'!$B:$B,$K985)))</f>
        <v/>
      </c>
      <c r="E985" s="72" t="str">
        <f>IF($K985="","",TRIM(INDEX('Detalle individual'!$E:$E,$K985)))</f>
        <v/>
      </c>
      <c r="F985" s="72" t="str">
        <f>IF($K985="","",TRIM(INDEX('Detalle individual'!$C:$C,$K985)))</f>
        <v/>
      </c>
      <c r="G985" s="72" t="str">
        <f>IF($K985="","",INDEX('Detalle individual'!$D:$D,$K985))</f>
        <v/>
      </c>
      <c r="H985" s="13" t="str">
        <f>IF($K985="","",INDEX('Detalle individual'!$F:$F,$K985))</f>
        <v/>
      </c>
      <c r="I985" s="20" t="str">
        <f>IF($K985="","",IF(INDEX('Detalle individual'!$F:$F,$K985)="Completado",INDEX('Detalle individual'!$H:$H,$K985),""))</f>
        <v/>
      </c>
      <c r="J985" s="21" t="str">
        <f>IF($K985="","",IF(INDEX('Detalle individual'!$F:$F,$K985)="Completado",INDEX('Detalle individual'!$J:$J,$K985),""))</f>
        <v/>
      </c>
      <c r="K985" t="str">
        <f>IFERROR(MOD(SMALL(Cálculos!$Z$5:$Z$1000,977),10000),"")</f>
        <v/>
      </c>
    </row>
    <row r="986">
      <c r="B986" s="13" t="str">
        <f>IF($K986="","",978)</f>
        <v/>
      </c>
      <c r="C986" s="13" t="str">
        <f>IF($K986="","",INDEX('Detalle individual'!$A:$A,$K986))</f>
        <v/>
      </c>
      <c r="D986" s="72" t="str">
        <f>IF($K986="","",TRIM(INDEX('Detalle individual'!$B:$B,$K986)))</f>
        <v/>
      </c>
      <c r="E986" s="72" t="str">
        <f>IF($K986="","",TRIM(INDEX('Detalle individual'!$E:$E,$K986)))</f>
        <v/>
      </c>
      <c r="F986" s="72" t="str">
        <f>IF($K986="","",TRIM(INDEX('Detalle individual'!$C:$C,$K986)))</f>
        <v/>
      </c>
      <c r="G986" s="72" t="str">
        <f>IF($K986="","",INDEX('Detalle individual'!$D:$D,$K986))</f>
        <v/>
      </c>
      <c r="H986" s="13" t="str">
        <f>IF($K986="","",INDEX('Detalle individual'!$F:$F,$K986))</f>
        <v/>
      </c>
      <c r="I986" s="20" t="str">
        <f>IF($K986="","",IF(INDEX('Detalle individual'!$F:$F,$K986)="Completado",INDEX('Detalle individual'!$H:$H,$K986),""))</f>
        <v/>
      </c>
      <c r="J986" s="21" t="str">
        <f>IF($K986="","",IF(INDEX('Detalle individual'!$F:$F,$K986)="Completado",INDEX('Detalle individual'!$J:$J,$K986),""))</f>
        <v/>
      </c>
      <c r="K986" t="str">
        <f>IFERROR(MOD(SMALL(Cálculos!$Z$5:$Z$1000,978),10000),"")</f>
        <v/>
      </c>
    </row>
    <row r="987">
      <c r="B987" s="13" t="str">
        <f>IF($K987="","",979)</f>
        <v/>
      </c>
      <c r="C987" s="13" t="str">
        <f>IF($K987="","",INDEX('Detalle individual'!$A:$A,$K987))</f>
        <v/>
      </c>
      <c r="D987" s="72" t="str">
        <f>IF($K987="","",TRIM(INDEX('Detalle individual'!$B:$B,$K987)))</f>
        <v/>
      </c>
      <c r="E987" s="72" t="str">
        <f>IF($K987="","",TRIM(INDEX('Detalle individual'!$E:$E,$K987)))</f>
        <v/>
      </c>
      <c r="F987" s="72" t="str">
        <f>IF($K987="","",TRIM(INDEX('Detalle individual'!$C:$C,$K987)))</f>
        <v/>
      </c>
      <c r="G987" s="72" t="str">
        <f>IF($K987="","",INDEX('Detalle individual'!$D:$D,$K987))</f>
        <v/>
      </c>
      <c r="H987" s="13" t="str">
        <f>IF($K987="","",INDEX('Detalle individual'!$F:$F,$K987))</f>
        <v/>
      </c>
      <c r="I987" s="20" t="str">
        <f>IF($K987="","",IF(INDEX('Detalle individual'!$F:$F,$K987)="Completado",INDEX('Detalle individual'!$H:$H,$K987),""))</f>
        <v/>
      </c>
      <c r="J987" s="21" t="str">
        <f>IF($K987="","",IF(INDEX('Detalle individual'!$F:$F,$K987)="Completado",INDEX('Detalle individual'!$J:$J,$K987),""))</f>
        <v/>
      </c>
      <c r="K987" t="str">
        <f>IFERROR(MOD(SMALL(Cálculos!$Z$5:$Z$1000,979),10000),"")</f>
        <v/>
      </c>
    </row>
    <row r="988">
      <c r="B988" s="13" t="str">
        <f>IF($K988="","",980)</f>
        <v/>
      </c>
      <c r="C988" s="13" t="str">
        <f>IF($K988="","",INDEX('Detalle individual'!$A:$A,$K988))</f>
        <v/>
      </c>
      <c r="D988" s="72" t="str">
        <f>IF($K988="","",TRIM(INDEX('Detalle individual'!$B:$B,$K988)))</f>
        <v/>
      </c>
      <c r="E988" s="72" t="str">
        <f>IF($K988="","",TRIM(INDEX('Detalle individual'!$E:$E,$K988)))</f>
        <v/>
      </c>
      <c r="F988" s="72" t="str">
        <f>IF($K988="","",TRIM(INDEX('Detalle individual'!$C:$C,$K988)))</f>
        <v/>
      </c>
      <c r="G988" s="72" t="str">
        <f>IF($K988="","",INDEX('Detalle individual'!$D:$D,$K988))</f>
        <v/>
      </c>
      <c r="H988" s="13" t="str">
        <f>IF($K988="","",INDEX('Detalle individual'!$F:$F,$K988))</f>
        <v/>
      </c>
      <c r="I988" s="20" t="str">
        <f>IF($K988="","",IF(INDEX('Detalle individual'!$F:$F,$K988)="Completado",INDEX('Detalle individual'!$H:$H,$K988),""))</f>
        <v/>
      </c>
      <c r="J988" s="21" t="str">
        <f>IF($K988="","",IF(INDEX('Detalle individual'!$F:$F,$K988)="Completado",INDEX('Detalle individual'!$J:$J,$K988),""))</f>
        <v/>
      </c>
      <c r="K988" t="str">
        <f>IFERROR(MOD(SMALL(Cálculos!$Z$5:$Z$1000,980),10000),"")</f>
        <v/>
      </c>
    </row>
    <row r="989">
      <c r="B989" s="13" t="str">
        <f>IF($K989="","",981)</f>
        <v/>
      </c>
      <c r="C989" s="13" t="str">
        <f>IF($K989="","",INDEX('Detalle individual'!$A:$A,$K989))</f>
        <v/>
      </c>
      <c r="D989" s="72" t="str">
        <f>IF($K989="","",TRIM(INDEX('Detalle individual'!$B:$B,$K989)))</f>
        <v/>
      </c>
      <c r="E989" s="72" t="str">
        <f>IF($K989="","",TRIM(INDEX('Detalle individual'!$E:$E,$K989)))</f>
        <v/>
      </c>
      <c r="F989" s="72" t="str">
        <f>IF($K989="","",TRIM(INDEX('Detalle individual'!$C:$C,$K989)))</f>
        <v/>
      </c>
      <c r="G989" s="72" t="str">
        <f>IF($K989="","",INDEX('Detalle individual'!$D:$D,$K989))</f>
        <v/>
      </c>
      <c r="H989" s="13" t="str">
        <f>IF($K989="","",INDEX('Detalle individual'!$F:$F,$K989))</f>
        <v/>
      </c>
      <c r="I989" s="20" t="str">
        <f>IF($K989="","",IF(INDEX('Detalle individual'!$F:$F,$K989)="Completado",INDEX('Detalle individual'!$H:$H,$K989),""))</f>
        <v/>
      </c>
      <c r="J989" s="21" t="str">
        <f>IF($K989="","",IF(INDEX('Detalle individual'!$F:$F,$K989)="Completado",INDEX('Detalle individual'!$J:$J,$K989),""))</f>
        <v/>
      </c>
      <c r="K989" t="str">
        <f>IFERROR(MOD(SMALL(Cálculos!$Z$5:$Z$1000,981),10000),"")</f>
        <v/>
      </c>
    </row>
    <row r="990">
      <c r="B990" s="13" t="str">
        <f>IF($K990="","",982)</f>
        <v/>
      </c>
      <c r="C990" s="13" t="str">
        <f>IF($K990="","",INDEX('Detalle individual'!$A:$A,$K990))</f>
        <v/>
      </c>
      <c r="D990" s="72" t="str">
        <f>IF($K990="","",TRIM(INDEX('Detalle individual'!$B:$B,$K990)))</f>
        <v/>
      </c>
      <c r="E990" s="72" t="str">
        <f>IF($K990="","",TRIM(INDEX('Detalle individual'!$E:$E,$K990)))</f>
        <v/>
      </c>
      <c r="F990" s="72" t="str">
        <f>IF($K990="","",TRIM(INDEX('Detalle individual'!$C:$C,$K990)))</f>
        <v/>
      </c>
      <c r="G990" s="72" t="str">
        <f>IF($K990="","",INDEX('Detalle individual'!$D:$D,$K990))</f>
        <v/>
      </c>
      <c r="H990" s="13" t="str">
        <f>IF($K990="","",INDEX('Detalle individual'!$F:$F,$K990))</f>
        <v/>
      </c>
      <c r="I990" s="20" t="str">
        <f>IF($K990="","",IF(INDEX('Detalle individual'!$F:$F,$K990)="Completado",INDEX('Detalle individual'!$H:$H,$K990),""))</f>
        <v/>
      </c>
      <c r="J990" s="21" t="str">
        <f>IF($K990="","",IF(INDEX('Detalle individual'!$F:$F,$K990)="Completado",INDEX('Detalle individual'!$J:$J,$K990),""))</f>
        <v/>
      </c>
      <c r="K990" t="str">
        <f>IFERROR(MOD(SMALL(Cálculos!$Z$5:$Z$1000,982),10000),"")</f>
        <v/>
      </c>
    </row>
    <row r="991">
      <c r="B991" s="13" t="str">
        <f>IF($K991="","",983)</f>
        <v/>
      </c>
      <c r="C991" s="13" t="str">
        <f>IF($K991="","",INDEX('Detalle individual'!$A:$A,$K991))</f>
        <v/>
      </c>
      <c r="D991" s="72" t="str">
        <f>IF($K991="","",TRIM(INDEX('Detalle individual'!$B:$B,$K991)))</f>
        <v/>
      </c>
      <c r="E991" s="72" t="str">
        <f>IF($K991="","",TRIM(INDEX('Detalle individual'!$E:$E,$K991)))</f>
        <v/>
      </c>
      <c r="F991" s="72" t="str">
        <f>IF($K991="","",TRIM(INDEX('Detalle individual'!$C:$C,$K991)))</f>
        <v/>
      </c>
      <c r="G991" s="72" t="str">
        <f>IF($K991="","",INDEX('Detalle individual'!$D:$D,$K991))</f>
        <v/>
      </c>
      <c r="H991" s="13" t="str">
        <f>IF($K991="","",INDEX('Detalle individual'!$F:$F,$K991))</f>
        <v/>
      </c>
      <c r="I991" s="20" t="str">
        <f>IF($K991="","",IF(INDEX('Detalle individual'!$F:$F,$K991)="Completado",INDEX('Detalle individual'!$H:$H,$K991),""))</f>
        <v/>
      </c>
      <c r="J991" s="21" t="str">
        <f>IF($K991="","",IF(INDEX('Detalle individual'!$F:$F,$K991)="Completado",INDEX('Detalle individual'!$J:$J,$K991),""))</f>
        <v/>
      </c>
      <c r="K991" t="str">
        <f>IFERROR(MOD(SMALL(Cálculos!$Z$5:$Z$1000,983),10000),"")</f>
        <v/>
      </c>
    </row>
    <row r="992">
      <c r="B992" s="13" t="str">
        <f>IF($K992="","",984)</f>
        <v/>
      </c>
      <c r="C992" s="13" t="str">
        <f>IF($K992="","",INDEX('Detalle individual'!$A:$A,$K992))</f>
        <v/>
      </c>
      <c r="D992" s="72" t="str">
        <f>IF($K992="","",TRIM(INDEX('Detalle individual'!$B:$B,$K992)))</f>
        <v/>
      </c>
      <c r="E992" s="72" t="str">
        <f>IF($K992="","",TRIM(INDEX('Detalle individual'!$E:$E,$K992)))</f>
        <v/>
      </c>
      <c r="F992" s="72" t="str">
        <f>IF($K992="","",TRIM(INDEX('Detalle individual'!$C:$C,$K992)))</f>
        <v/>
      </c>
      <c r="G992" s="72" t="str">
        <f>IF($K992="","",INDEX('Detalle individual'!$D:$D,$K992))</f>
        <v/>
      </c>
      <c r="H992" s="13" t="str">
        <f>IF($K992="","",INDEX('Detalle individual'!$F:$F,$K992))</f>
        <v/>
      </c>
      <c r="I992" s="20" t="str">
        <f>IF($K992="","",IF(INDEX('Detalle individual'!$F:$F,$K992)="Completado",INDEX('Detalle individual'!$H:$H,$K992),""))</f>
        <v/>
      </c>
      <c r="J992" s="21" t="str">
        <f>IF($K992="","",IF(INDEX('Detalle individual'!$F:$F,$K992)="Completado",INDEX('Detalle individual'!$J:$J,$K992),""))</f>
        <v/>
      </c>
      <c r="K992" t="str">
        <f>IFERROR(MOD(SMALL(Cálculos!$Z$5:$Z$1000,984),10000),"")</f>
        <v/>
      </c>
    </row>
    <row r="993">
      <c r="B993" s="13" t="str">
        <f>IF($K993="","",985)</f>
        <v/>
      </c>
      <c r="C993" s="13" t="str">
        <f>IF($K993="","",INDEX('Detalle individual'!$A:$A,$K993))</f>
        <v/>
      </c>
      <c r="D993" s="72" t="str">
        <f>IF($K993="","",TRIM(INDEX('Detalle individual'!$B:$B,$K993)))</f>
        <v/>
      </c>
      <c r="E993" s="72" t="str">
        <f>IF($K993="","",TRIM(INDEX('Detalle individual'!$E:$E,$K993)))</f>
        <v/>
      </c>
      <c r="F993" s="72" t="str">
        <f>IF($K993="","",TRIM(INDEX('Detalle individual'!$C:$C,$K993)))</f>
        <v/>
      </c>
      <c r="G993" s="72" t="str">
        <f>IF($K993="","",INDEX('Detalle individual'!$D:$D,$K993))</f>
        <v/>
      </c>
      <c r="H993" s="13" t="str">
        <f>IF($K993="","",INDEX('Detalle individual'!$F:$F,$K993))</f>
        <v/>
      </c>
      <c r="I993" s="20" t="str">
        <f>IF($K993="","",IF(INDEX('Detalle individual'!$F:$F,$K993)="Completado",INDEX('Detalle individual'!$H:$H,$K993),""))</f>
        <v/>
      </c>
      <c r="J993" s="21" t="str">
        <f>IF($K993="","",IF(INDEX('Detalle individual'!$F:$F,$K993)="Completado",INDEX('Detalle individual'!$J:$J,$K993),""))</f>
        <v/>
      </c>
      <c r="K993" t="str">
        <f>IFERROR(MOD(SMALL(Cálculos!$Z$5:$Z$1000,985),10000),"")</f>
        <v/>
      </c>
    </row>
    <row r="994">
      <c r="B994" s="13" t="str">
        <f>IF($K994="","",986)</f>
        <v/>
      </c>
      <c r="C994" s="13" t="str">
        <f>IF($K994="","",INDEX('Detalle individual'!$A:$A,$K994))</f>
        <v/>
      </c>
      <c r="D994" s="72" t="str">
        <f>IF($K994="","",TRIM(INDEX('Detalle individual'!$B:$B,$K994)))</f>
        <v/>
      </c>
      <c r="E994" s="72" t="str">
        <f>IF($K994="","",TRIM(INDEX('Detalle individual'!$E:$E,$K994)))</f>
        <v/>
      </c>
      <c r="F994" s="72" t="str">
        <f>IF($K994="","",TRIM(INDEX('Detalle individual'!$C:$C,$K994)))</f>
        <v/>
      </c>
      <c r="G994" s="72" t="str">
        <f>IF($K994="","",INDEX('Detalle individual'!$D:$D,$K994))</f>
        <v/>
      </c>
      <c r="H994" s="13" t="str">
        <f>IF($K994="","",INDEX('Detalle individual'!$F:$F,$K994))</f>
        <v/>
      </c>
      <c r="I994" s="20" t="str">
        <f>IF($K994="","",IF(INDEX('Detalle individual'!$F:$F,$K994)="Completado",INDEX('Detalle individual'!$H:$H,$K994),""))</f>
        <v/>
      </c>
      <c r="J994" s="21" t="str">
        <f>IF($K994="","",IF(INDEX('Detalle individual'!$F:$F,$K994)="Completado",INDEX('Detalle individual'!$J:$J,$K994),""))</f>
        <v/>
      </c>
      <c r="K994" t="str">
        <f>IFERROR(MOD(SMALL(Cálculos!$Z$5:$Z$1000,986),10000),"")</f>
        <v/>
      </c>
    </row>
    <row r="995">
      <c r="B995" s="13" t="str">
        <f>IF($K995="","",987)</f>
        <v/>
      </c>
      <c r="C995" s="13" t="str">
        <f>IF($K995="","",INDEX('Detalle individual'!$A:$A,$K995))</f>
        <v/>
      </c>
      <c r="D995" s="72" t="str">
        <f>IF($K995="","",TRIM(INDEX('Detalle individual'!$B:$B,$K995)))</f>
        <v/>
      </c>
      <c r="E995" s="72" t="str">
        <f>IF($K995="","",TRIM(INDEX('Detalle individual'!$E:$E,$K995)))</f>
        <v/>
      </c>
      <c r="F995" s="72" t="str">
        <f>IF($K995="","",TRIM(INDEX('Detalle individual'!$C:$C,$K995)))</f>
        <v/>
      </c>
      <c r="G995" s="72" t="str">
        <f>IF($K995="","",INDEX('Detalle individual'!$D:$D,$K995))</f>
        <v/>
      </c>
      <c r="H995" s="13" t="str">
        <f>IF($K995="","",INDEX('Detalle individual'!$F:$F,$K995))</f>
        <v/>
      </c>
      <c r="I995" s="20" t="str">
        <f>IF($K995="","",IF(INDEX('Detalle individual'!$F:$F,$K995)="Completado",INDEX('Detalle individual'!$H:$H,$K995),""))</f>
        <v/>
      </c>
      <c r="J995" s="21" t="str">
        <f>IF($K995="","",IF(INDEX('Detalle individual'!$F:$F,$K995)="Completado",INDEX('Detalle individual'!$J:$J,$K995),""))</f>
        <v/>
      </c>
      <c r="K995" t="str">
        <f>IFERROR(MOD(SMALL(Cálculos!$Z$5:$Z$1000,987),10000),"")</f>
        <v/>
      </c>
    </row>
    <row r="996">
      <c r="B996" s="13" t="str">
        <f>IF($K996="","",988)</f>
        <v/>
      </c>
      <c r="C996" s="13" t="str">
        <f>IF($K996="","",INDEX('Detalle individual'!$A:$A,$K996))</f>
        <v/>
      </c>
      <c r="D996" s="72" t="str">
        <f>IF($K996="","",TRIM(INDEX('Detalle individual'!$B:$B,$K996)))</f>
        <v/>
      </c>
      <c r="E996" s="72" t="str">
        <f>IF($K996="","",TRIM(INDEX('Detalle individual'!$E:$E,$K996)))</f>
        <v/>
      </c>
      <c r="F996" s="72" t="str">
        <f>IF($K996="","",TRIM(INDEX('Detalle individual'!$C:$C,$K996)))</f>
        <v/>
      </c>
      <c r="G996" s="72" t="str">
        <f>IF($K996="","",INDEX('Detalle individual'!$D:$D,$K996))</f>
        <v/>
      </c>
      <c r="H996" s="13" t="str">
        <f>IF($K996="","",INDEX('Detalle individual'!$F:$F,$K996))</f>
        <v/>
      </c>
      <c r="I996" s="20" t="str">
        <f>IF($K996="","",IF(INDEX('Detalle individual'!$F:$F,$K996)="Completado",INDEX('Detalle individual'!$H:$H,$K996),""))</f>
        <v/>
      </c>
      <c r="J996" s="21" t="str">
        <f>IF($K996="","",IF(INDEX('Detalle individual'!$F:$F,$K996)="Completado",INDEX('Detalle individual'!$J:$J,$K996),""))</f>
        <v/>
      </c>
      <c r="K996" t="str">
        <f>IFERROR(MOD(SMALL(Cálculos!$Z$5:$Z$1000,988),10000),"")</f>
        <v/>
      </c>
    </row>
    <row r="997">
      <c r="B997" s="13" t="str">
        <f>IF($K997="","",989)</f>
        <v/>
      </c>
      <c r="C997" s="13" t="str">
        <f>IF($K997="","",INDEX('Detalle individual'!$A:$A,$K997))</f>
        <v/>
      </c>
      <c r="D997" s="72" t="str">
        <f>IF($K997="","",TRIM(INDEX('Detalle individual'!$B:$B,$K997)))</f>
        <v/>
      </c>
      <c r="E997" s="72" t="str">
        <f>IF($K997="","",TRIM(INDEX('Detalle individual'!$E:$E,$K997)))</f>
        <v/>
      </c>
      <c r="F997" s="72" t="str">
        <f>IF($K997="","",TRIM(INDEX('Detalle individual'!$C:$C,$K997)))</f>
        <v/>
      </c>
      <c r="G997" s="72" t="str">
        <f>IF($K997="","",INDEX('Detalle individual'!$D:$D,$K997))</f>
        <v/>
      </c>
      <c r="H997" s="13" t="str">
        <f>IF($K997="","",INDEX('Detalle individual'!$F:$F,$K997))</f>
        <v/>
      </c>
      <c r="I997" s="20" t="str">
        <f>IF($K997="","",IF(INDEX('Detalle individual'!$F:$F,$K997)="Completado",INDEX('Detalle individual'!$H:$H,$K997),""))</f>
        <v/>
      </c>
      <c r="J997" s="21" t="str">
        <f>IF($K997="","",IF(INDEX('Detalle individual'!$F:$F,$K997)="Completado",INDEX('Detalle individual'!$J:$J,$K997),""))</f>
        <v/>
      </c>
      <c r="K997" t="str">
        <f>IFERROR(MOD(SMALL(Cálculos!$Z$5:$Z$1000,989),10000),"")</f>
        <v/>
      </c>
    </row>
    <row r="998">
      <c r="B998" s="13" t="str">
        <f>IF($K998="","",990)</f>
        <v/>
      </c>
      <c r="C998" s="13" t="str">
        <f>IF($K998="","",INDEX('Detalle individual'!$A:$A,$K998))</f>
        <v/>
      </c>
      <c r="D998" s="72" t="str">
        <f>IF($K998="","",TRIM(INDEX('Detalle individual'!$B:$B,$K998)))</f>
        <v/>
      </c>
      <c r="E998" s="72" t="str">
        <f>IF($K998="","",TRIM(INDEX('Detalle individual'!$E:$E,$K998)))</f>
        <v/>
      </c>
      <c r="F998" s="72" t="str">
        <f>IF($K998="","",TRIM(INDEX('Detalle individual'!$C:$C,$K998)))</f>
        <v/>
      </c>
      <c r="G998" s="72" t="str">
        <f>IF($K998="","",INDEX('Detalle individual'!$D:$D,$K998))</f>
        <v/>
      </c>
      <c r="H998" s="13" t="str">
        <f>IF($K998="","",INDEX('Detalle individual'!$F:$F,$K998))</f>
        <v/>
      </c>
      <c r="I998" s="20" t="str">
        <f>IF($K998="","",IF(INDEX('Detalle individual'!$F:$F,$K998)="Completado",INDEX('Detalle individual'!$H:$H,$K998),""))</f>
        <v/>
      </c>
      <c r="J998" s="21" t="str">
        <f>IF($K998="","",IF(INDEX('Detalle individual'!$F:$F,$K998)="Completado",INDEX('Detalle individual'!$J:$J,$K998),""))</f>
        <v/>
      </c>
      <c r="K998" t="str">
        <f>IFERROR(MOD(SMALL(Cálculos!$Z$5:$Z$1000,990),10000),"")</f>
        <v/>
      </c>
    </row>
    <row r="999">
      <c r="B999" s="13" t="str">
        <f>IF($K999="","",991)</f>
        <v/>
      </c>
      <c r="C999" s="13" t="str">
        <f>IF($K999="","",INDEX('Detalle individual'!$A:$A,$K999))</f>
        <v/>
      </c>
      <c r="D999" s="72" t="str">
        <f>IF($K999="","",TRIM(INDEX('Detalle individual'!$B:$B,$K999)))</f>
        <v/>
      </c>
      <c r="E999" s="72" t="str">
        <f>IF($K999="","",TRIM(INDEX('Detalle individual'!$E:$E,$K999)))</f>
        <v/>
      </c>
      <c r="F999" s="72" t="str">
        <f>IF($K999="","",TRIM(INDEX('Detalle individual'!$C:$C,$K999)))</f>
        <v/>
      </c>
      <c r="G999" s="72" t="str">
        <f>IF($K999="","",INDEX('Detalle individual'!$D:$D,$K999))</f>
        <v/>
      </c>
      <c r="H999" s="13" t="str">
        <f>IF($K999="","",INDEX('Detalle individual'!$F:$F,$K999))</f>
        <v/>
      </c>
      <c r="I999" s="20" t="str">
        <f>IF($K999="","",IF(INDEX('Detalle individual'!$F:$F,$K999)="Completado",INDEX('Detalle individual'!$H:$H,$K999),""))</f>
        <v/>
      </c>
      <c r="J999" s="21" t="str">
        <f>IF($K999="","",IF(INDEX('Detalle individual'!$F:$F,$K999)="Completado",INDEX('Detalle individual'!$J:$J,$K999),""))</f>
        <v/>
      </c>
      <c r="K999" t="str">
        <f>IFERROR(MOD(SMALL(Cálculos!$Z$5:$Z$1000,991),10000),"")</f>
        <v/>
      </c>
    </row>
    <row r="1000">
      <c r="B1000" s="13" t="str">
        <f>IF($K1000="","",992)</f>
        <v/>
      </c>
      <c r="C1000" s="13" t="str">
        <f>IF($K1000="","",INDEX('Detalle individual'!$A:$A,$K1000))</f>
        <v/>
      </c>
      <c r="D1000" s="72" t="str">
        <f>IF($K1000="","",TRIM(INDEX('Detalle individual'!$B:$B,$K1000)))</f>
        <v/>
      </c>
      <c r="E1000" s="72" t="str">
        <f>IF($K1000="","",TRIM(INDEX('Detalle individual'!$E:$E,$K1000)))</f>
        <v/>
      </c>
      <c r="F1000" s="72" t="str">
        <f>IF($K1000="","",TRIM(INDEX('Detalle individual'!$C:$C,$K1000)))</f>
        <v/>
      </c>
      <c r="G1000" s="72" t="str">
        <f>IF($K1000="","",INDEX('Detalle individual'!$D:$D,$K1000))</f>
        <v/>
      </c>
      <c r="H1000" s="13" t="str">
        <f>IF($K1000="","",INDEX('Detalle individual'!$F:$F,$K1000))</f>
        <v/>
      </c>
      <c r="I1000" s="20" t="str">
        <f>IF($K1000="","",IF(INDEX('Detalle individual'!$F:$F,$K1000)="Completado",INDEX('Detalle individual'!$H:$H,$K1000),""))</f>
        <v/>
      </c>
      <c r="J1000" s="21" t="str">
        <f>IF($K1000="","",IF(INDEX('Detalle individual'!$F:$F,$K1000)="Completado",INDEX('Detalle individual'!$J:$J,$K1000),""))</f>
        <v/>
      </c>
      <c r="K1000" t="str">
        <f>IFERROR(MOD(SMALL(Cálculos!$Z$5:$Z$1000,992),10000),"")</f>
        <v/>
      </c>
    </row>
    <row r="1001">
      <c r="B1001" s="13" t="str">
        <f>IF($K1001="","",993)</f>
        <v/>
      </c>
      <c r="C1001" s="13" t="str">
        <f>IF($K1001="","",INDEX('Detalle individual'!$A:$A,$K1001))</f>
        <v/>
      </c>
      <c r="D1001" s="72" t="str">
        <f>IF($K1001="","",TRIM(INDEX('Detalle individual'!$B:$B,$K1001)))</f>
        <v/>
      </c>
      <c r="E1001" s="72" t="str">
        <f>IF($K1001="","",TRIM(INDEX('Detalle individual'!$E:$E,$K1001)))</f>
        <v/>
      </c>
      <c r="F1001" s="72" t="str">
        <f>IF($K1001="","",TRIM(INDEX('Detalle individual'!$C:$C,$K1001)))</f>
        <v/>
      </c>
      <c r="G1001" s="72" t="str">
        <f>IF($K1001="","",INDEX('Detalle individual'!$D:$D,$K1001))</f>
        <v/>
      </c>
      <c r="H1001" s="13" t="str">
        <f>IF($K1001="","",INDEX('Detalle individual'!$F:$F,$K1001))</f>
        <v/>
      </c>
      <c r="I1001" s="20" t="str">
        <f>IF($K1001="","",IF(INDEX('Detalle individual'!$F:$F,$K1001)="Completado",INDEX('Detalle individual'!$H:$H,$K1001),""))</f>
        <v/>
      </c>
      <c r="J1001" s="21" t="str">
        <f>IF($K1001="","",IF(INDEX('Detalle individual'!$F:$F,$K1001)="Completado",INDEX('Detalle individual'!$J:$J,$K1001),""))</f>
        <v/>
      </c>
      <c r="K1001" t="str">
        <f>IFERROR(MOD(SMALL(Cálculos!$Z$5:$Z$1000,993),10000),"")</f>
        <v/>
      </c>
    </row>
    <row r="1002">
      <c r="B1002" s="13" t="str">
        <f>IF($K1002="","",994)</f>
        <v/>
      </c>
      <c r="C1002" s="13" t="str">
        <f>IF($K1002="","",INDEX('Detalle individual'!$A:$A,$K1002))</f>
        <v/>
      </c>
      <c r="D1002" s="72" t="str">
        <f>IF($K1002="","",TRIM(INDEX('Detalle individual'!$B:$B,$K1002)))</f>
        <v/>
      </c>
      <c r="E1002" s="72" t="str">
        <f>IF($K1002="","",TRIM(INDEX('Detalle individual'!$E:$E,$K1002)))</f>
        <v/>
      </c>
      <c r="F1002" s="72" t="str">
        <f>IF($K1002="","",TRIM(INDEX('Detalle individual'!$C:$C,$K1002)))</f>
        <v/>
      </c>
      <c r="G1002" s="72" t="str">
        <f>IF($K1002="","",INDEX('Detalle individual'!$D:$D,$K1002))</f>
        <v/>
      </c>
      <c r="H1002" s="13" t="str">
        <f>IF($K1002="","",INDEX('Detalle individual'!$F:$F,$K1002))</f>
        <v/>
      </c>
      <c r="I1002" s="20" t="str">
        <f>IF($K1002="","",IF(INDEX('Detalle individual'!$F:$F,$K1002)="Completado",INDEX('Detalle individual'!$H:$H,$K1002),""))</f>
        <v/>
      </c>
      <c r="J1002" s="21" t="str">
        <f>IF($K1002="","",IF(INDEX('Detalle individual'!$F:$F,$K1002)="Completado",INDEX('Detalle individual'!$J:$J,$K1002),""))</f>
        <v/>
      </c>
      <c r="K1002" t="str">
        <f>IFERROR(MOD(SMALL(Cálculos!$Z$5:$Z$1000,994),10000),"")</f>
        <v/>
      </c>
    </row>
    <row r="1003">
      <c r="B1003" s="13" t="str">
        <f>IF($K1003="","",995)</f>
        <v/>
      </c>
      <c r="C1003" s="13" t="str">
        <f>IF($K1003="","",INDEX('Detalle individual'!$A:$A,$K1003))</f>
        <v/>
      </c>
      <c r="D1003" s="72" t="str">
        <f>IF($K1003="","",TRIM(INDEX('Detalle individual'!$B:$B,$K1003)))</f>
        <v/>
      </c>
      <c r="E1003" s="72" t="str">
        <f>IF($K1003="","",TRIM(INDEX('Detalle individual'!$E:$E,$K1003)))</f>
        <v/>
      </c>
      <c r="F1003" s="72" t="str">
        <f>IF($K1003="","",TRIM(INDEX('Detalle individual'!$C:$C,$K1003)))</f>
        <v/>
      </c>
      <c r="G1003" s="72" t="str">
        <f>IF($K1003="","",INDEX('Detalle individual'!$D:$D,$K1003))</f>
        <v/>
      </c>
      <c r="H1003" s="13" t="str">
        <f>IF($K1003="","",INDEX('Detalle individual'!$F:$F,$K1003))</f>
        <v/>
      </c>
      <c r="I1003" s="20" t="str">
        <f>IF($K1003="","",IF(INDEX('Detalle individual'!$F:$F,$K1003)="Completado",INDEX('Detalle individual'!$H:$H,$K1003),""))</f>
        <v/>
      </c>
      <c r="J1003" s="21" t="str">
        <f>IF($K1003="","",IF(INDEX('Detalle individual'!$F:$F,$K1003)="Completado",INDEX('Detalle individual'!$J:$J,$K1003),""))</f>
        <v/>
      </c>
      <c r="K1003" t="str">
        <f>IFERROR(MOD(SMALL(Cálculos!$Z$5:$Z$1000,995),10000),"")</f>
        <v/>
      </c>
    </row>
    <row r="1004">
      <c r="B1004" s="13" t="str">
        <f>IF($K1004="","",996)</f>
        <v/>
      </c>
      <c r="C1004" s="13" t="str">
        <f>IF($K1004="","",INDEX('Detalle individual'!$A:$A,$K1004))</f>
        <v/>
      </c>
      <c r="D1004" s="72" t="str">
        <f>IF($K1004="","",TRIM(INDEX('Detalle individual'!$B:$B,$K1004)))</f>
        <v/>
      </c>
      <c r="E1004" s="72" t="str">
        <f>IF($K1004="","",TRIM(INDEX('Detalle individual'!$E:$E,$K1004)))</f>
        <v/>
      </c>
      <c r="F1004" s="72" t="str">
        <f>IF($K1004="","",TRIM(INDEX('Detalle individual'!$C:$C,$K1004)))</f>
        <v/>
      </c>
      <c r="G1004" s="72" t="str">
        <f>IF($K1004="","",INDEX('Detalle individual'!$D:$D,$K1004))</f>
        <v/>
      </c>
      <c r="H1004" s="13" t="str">
        <f>IF($K1004="","",INDEX('Detalle individual'!$F:$F,$K1004))</f>
        <v/>
      </c>
      <c r="I1004" s="20" t="str">
        <f>IF($K1004="","",IF(INDEX('Detalle individual'!$F:$F,$K1004)="Completado",INDEX('Detalle individual'!$H:$H,$K1004),""))</f>
        <v/>
      </c>
      <c r="J1004" s="21" t="str">
        <f>IF($K1004="","",IF(INDEX('Detalle individual'!$F:$F,$K1004)="Completado",INDEX('Detalle individual'!$J:$J,$K1004),""))</f>
        <v/>
      </c>
      <c r="K1004" t="str">
        <f>IFERROR(MOD(SMALL(Cálculos!$Z$5:$Z$1000,996),10000),"")</f>
        <v/>
      </c>
    </row>
  </sheetData>
  <mergeCells count="8">
    <mergeCell ref="D6:E6"/>
    <mergeCell ref="B6:C6"/>
    <mergeCell ref="B5:C5"/>
    <mergeCell ref="D5:E5"/>
    <mergeCell ref="B1:J1"/>
    <mergeCell ref="D4:E4"/>
    <mergeCell ref="B4:C4"/>
    <mergeCell ref="B2:J2"/>
  </mergeCells>
  <conditionalFormatting sqref="B9:J1004">
    <cfRule type="expression" priority="4" dxfId="6">
      <formula>AND($K9&lt;&gt;"",MOD(ROW(),2)=0)</formula>
    </cfRule>
    <cfRule type="expression" priority="5" dxfId="5">
      <formula>$K9&lt;&gt;""</formula>
    </cfRule>
  </conditionalFormatting>
  <conditionalFormatting sqref="H9:H1004">
    <cfRule type="expression" priority="1" dxfId="0" stopIfTrue="1">
      <formula>$H9="Completado"</formula>
    </cfRule>
    <cfRule type="expression" priority="2" dxfId="0" stopIfTrue="1">
      <formula>$H9="Completo"</formula>
    </cfRule>
    <cfRule type="expression" priority="3" dxfId="2" stopIfTrue="1">
      <formula>$H9="Pendiente"</formula>
    </cfRule>
    <cfRule type="expression" priority="6" dxfId="1">
      <formula>AND($H9&lt;&gt;"",$H9&lt;&gt;"Completado",$H9&lt;&gt;"Pendiente")</formula>
    </cfRule>
  </conditionalFormatting>
  <dataValidations count="3">
    <dataValidation sqref="D4" showDropDown="0" showInputMessage="1" showErrorMessage="1" allowBlank="0" errorTitle="Valor no válido" error="Seleccione un valor de la lista." promptTitle="Gerencia" prompt="Haga clic en la flecha para elegir." type="list">
      <formula1>OFFSET(Cálculos!$V$5,0,0,COUNTIF(Cálculos!$V$5:$V$25,"?*"),1)</formula1>
    </dataValidation>
    <dataValidation sqref="D5" showDropDown="0" showInputMessage="1" showErrorMessage="1" allowBlank="0" errorTitle="Valor no válido" error="Seleccione un valor de la lista." promptTitle="Departamento" prompt="Haga clic en la flecha para elegir." type="list">
      <formula1>OFFSET(Cálculos!$W$5,0,0,COUNTIF(Cálculos!$W$5:$W$85,"?*"),1)</formula1>
    </dataValidation>
    <dataValidation sqref="D6" showDropDown="0" showInputMessage="1" showErrorMessage="1" allowBlank="0" errorTitle="Valor no válido" error="Seleccione un valor de la lista." promptTitle="Estado" prompt="Haga clic en la flecha para elegir." type="list">
      <formula1>Cálculos!$X$5:$X$11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002060"/>
    <outlinePr summaryBelow="1" summaryRight="1"/>
    <pageSetUpPr/>
  </sheetPr>
  <dimension ref="A1:G14"/>
  <sheetViews>
    <sheetView workbookViewId="0">
      <selection activeCell="J18" sqref="J18"/>
    </sheetView>
  </sheetViews>
  <sheetFormatPr baseColWidth="10" defaultColWidth="8.88671875" defaultRowHeight="14.4"/>
  <cols>
    <col width="12" customWidth="1" style="38" min="1" max="1"/>
    <col width="44" customWidth="1" style="38" min="2" max="2"/>
    <col width="18" customWidth="1" style="38" min="3" max="3"/>
    <col width="23" customWidth="1" style="38" min="4" max="4"/>
    <col width="20" customWidth="1" style="38" min="5" max="5"/>
    <col hidden="1" width="13" customWidth="1" style="38" min="7" max="7"/>
  </cols>
  <sheetData>
    <row r="1" ht="21" customHeight="1" s="38">
      <c r="A1" s="1" t="inlineStr">
        <is>
          <t>TOP 3 DEPARTAMENTOS — COMPLETADOS AL 100%</t>
        </is>
      </c>
    </row>
    <row r="2">
      <c r="A2" s="2" t="inlineStr">
        <is>
          <t>Departamentos con 100% de cumplimiento ordenados por fecha de finalización.</t>
        </is>
      </c>
    </row>
    <row r="4">
      <c r="A4" s="3" t="inlineStr">
        <is>
          <t>Lugar</t>
        </is>
      </c>
      <c r="B4" s="3" t="inlineStr">
        <is>
          <t>Área / Departamento</t>
        </is>
      </c>
      <c r="C4" s="3" t="inlineStr">
        <is>
          <t>Personal Total</t>
        </is>
      </c>
      <c r="D4" s="3" t="inlineStr">
        <is>
          <t>Última Finalización</t>
        </is>
      </c>
      <c r="E4" s="3" t="inlineStr">
        <is>
          <t>Promedio de Nota</t>
        </is>
      </c>
    </row>
    <row r="5" ht="15.6" customHeight="1" s="38">
      <c r="A5" s="32" t="inlineStr">
        <is>
          <t>🏆1° Lugar</t>
        </is>
      </c>
      <c r="B5" s="33" t="str">
        <f>IF($G5="","",INDEX('Consolidado por área'!$A:$A,$G5))</f>
        <v>DEPARTAMENTO DE PROCESOS</v>
      </c>
      <c r="C5" s="32">
        <f>IF($G5="","",INDEX('Consolidado por área'!$C:$C,$G5))</f>
        <v>3</v>
      </c>
      <c r="D5" s="34">
        <f>IF($G5="","",INDEX('Consolidado por área'!$L:$L,$G5))</f>
        <v>46296.44149305556</v>
      </c>
      <c r="E5" s="35">
        <f>IF($G5="","",INDEX('Consolidado por área'!$H:$H,$G5))</f>
        <v>100</v>
      </c>
      <c r="G5">
        <f>IFERROR(MATCH(SMALL(Cálculos!$AO$5:$AO$84,1),Cálculos!$AO$5:$AO$84,0)+4,"")</f>
        <v>31</v>
      </c>
    </row>
    <row r="6" ht="15.6" customHeight="1" s="38">
      <c r="A6" s="32" t="inlineStr">
        <is>
          <t>2° Lugar</t>
        </is>
      </c>
      <c r="B6" s="33" t="str">
        <f>IF($G6="","",INDEX('Consolidado por área'!$A:$A,$G6))</f>
        <v>OFICIALIA DE SEGURIDAD DE LA INFORMACION</v>
      </c>
      <c r="C6" s="32">
        <f>IF($G6="","",INDEX('Consolidado por área'!$C:$C,$G6))</f>
        <v>4</v>
      </c>
      <c r="D6" s="34">
        <f>IF($G6="","",INDEX('Consolidado por área'!$L:$L,$G6))</f>
        <v>46296.44909722222</v>
      </c>
      <c r="E6" s="35">
        <f>IF($G6="","",INDEX('Consolidado por área'!$H:$H,$G6))</f>
        <v>96.25</v>
      </c>
      <c r="G6">
        <f>IFERROR(MATCH(SMALL(Cálculos!$AO$5:$AO$84,2),Cálculos!$AO$5:$AO$84,0)+4,"")</f>
        <v>47</v>
      </c>
    </row>
    <row r="7" ht="15.6" customHeight="1" s="38">
      <c r="A7" s="32" t="inlineStr">
        <is>
          <t>3° Lugar</t>
        </is>
      </c>
      <c r="B7" s="33" t="str">
        <f>IF($G7="","",INDEX('Consolidado por área'!$A:$A,$G7))</f>
        <v>DEPARTAMENTO DE SEGURIDAD</v>
      </c>
      <c r="C7" s="32">
        <f>IF($G7="","",INDEX('Consolidado por área'!$C:$C,$G7))</f>
        <v>2</v>
      </c>
      <c r="D7" s="34">
        <f>IF($G7="","",INDEX('Consolidado por área'!$L:$L,$G7))</f>
        <v>46296.46072916667</v>
      </c>
      <c r="E7" s="35">
        <f>IF($G7="","",INDEX('Consolidado por área'!$H:$H,$G7))</f>
        <v>95</v>
      </c>
      <c r="G7">
        <f>IFERROR(MATCH(SMALL(Cálculos!$AO$5:$AO$84,3),Cálculos!$AO$5:$AO$84,0)+4,"")</f>
        <v>32</v>
      </c>
    </row>
    <row r="10" ht="21" customHeight="1" s="38">
      <c r="A10" s="1" t="inlineStr">
        <is>
          <t>AGENCIA GANADORA — PRIMERA AGENCIA EN COMPLETAR EL EXAMEN AL 100%</t>
        </is>
      </c>
    </row>
    <row r="11">
      <c r="A11" s="2" t="inlineStr">
        <is>
          <t>Agencia con todo su personal evaluado que terminó primero (no cuenta el personal con situación especial).</t>
        </is>
      </c>
    </row>
    <row r="13">
      <c r="A13" s="3" t="inlineStr">
        <is>
          <t>Ganadora</t>
        </is>
      </c>
      <c r="B13" s="3" t="inlineStr">
        <is>
          <t>Agencia</t>
        </is>
      </c>
      <c r="C13" s="3" t="inlineStr">
        <is>
          <t>Personal Total</t>
        </is>
      </c>
      <c r="D13" s="3" t="inlineStr">
        <is>
          <t>Última Finalización</t>
        </is>
      </c>
      <c r="E13" s="3" t="inlineStr">
        <is>
          <t>Promedio de Nota</t>
        </is>
      </c>
    </row>
    <row r="14" ht="15.6" customHeight="1" s="38">
      <c r="A14" s="32" t="inlineStr">
        <is>
          <t>🏆 1° Lugar</t>
        </is>
      </c>
      <c r="B14" s="33" t="str">
        <f>IF($G14="","Ninguna agencia ha completado todavía al 100%",INDEX('Consolidado por área'!$A:$A,$G14))</f>
        <v>AGENCIA SAN MIGUEL</v>
      </c>
      <c r="C14" s="32">
        <f>IF($G14="","",INDEX('Consolidado por área'!$C:$C,$G14))</f>
        <v>7</v>
      </c>
      <c r="D14" s="34">
        <f>IF($G14="","",INDEX('Consolidado por área'!$L:$L,$G14))</f>
        <v>46296.49199074074</v>
      </c>
      <c r="E14" s="35">
        <f>IF($G14="","",INDEX('Consolidado por área'!$H:$H,$G14))</f>
        <v>98.5714285714286</v>
      </c>
      <c r="G14">
        <f>IFERROR(MATCH(SMALL(Cálculos!$BF$5:$BF$84,1),Cálculos!$BF$5:$BF$84,0)+4,"")</f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E23" sqref="E23"/>
    </sheetView>
  </sheetViews>
  <sheetFormatPr baseColWidth="10" defaultColWidth="8.88671875" defaultRowHeight="14.4"/>
  <cols>
    <col width="42" customWidth="1" style="38" min="1" max="1"/>
    <col width="12" customWidth="1" style="38" min="2" max="2"/>
    <col width="46" customWidth="1" style="38" min="3" max="3"/>
    <col width="50" customWidth="1" style="38" min="4" max="4"/>
    <col width="36" customWidth="1" style="38" min="5" max="5"/>
    <col width="18" customWidth="1" style="38" min="6" max="6"/>
    <col hidden="1" width="8" customWidth="1" style="38" min="7" max="7"/>
    <col width="11" customWidth="1" style="38" min="8" max="8"/>
  </cols>
  <sheetData>
    <row r="1" ht="21" customHeight="1" s="38">
      <c r="A1" s="1" t="inlineStr">
        <is>
          <t>LISTADO DE COLABORADORES PENDIENTES</t>
        </is>
      </c>
    </row>
    <row r="2">
      <c r="A2" s="2" t="inlineStr">
        <is>
          <t>Colaboradores de la Base Oficial que aún no han realizado la evaluación (se actualiza automáticamente).</t>
        </is>
      </c>
    </row>
    <row r="3">
      <c r="A3" s="27" t="str">
        <f>"Total: "&amp;COUNT(G5:G1000)&amp;" colaboradores"</f>
        <v>Total: 0 colaboradores</v>
      </c>
    </row>
    <row r="4" ht="28.8" customHeight="1" s="38">
      <c r="A4" s="3" t="inlineStr">
        <is>
          <t>Nombre del Colaborador</t>
        </is>
      </c>
      <c r="B4" s="3" t="inlineStr">
        <is>
          <t>Código de Empleado</t>
        </is>
      </c>
      <c r="C4" s="3" t="inlineStr">
        <is>
          <t>Cargo</t>
        </is>
      </c>
      <c r="D4" s="3" t="inlineStr">
        <is>
          <t>Departamento</t>
        </is>
      </c>
      <c r="E4" s="3" t="inlineStr">
        <is>
          <t>Gerencia Asignada</t>
        </is>
      </c>
    </row>
    <row r="5">
      <c r="A5" s="5" t="str">
        <f>IF($G5="","",INDEX('Detalle individual'!$B:$B,$G5))</f>
        <v/>
      </c>
      <c r="B5" s="5" t="str">
        <f>IF($G5="","",INDEX('Detalle individual'!$A:$A,$G5))</f>
        <v/>
      </c>
      <c r="C5" s="5" t="str">
        <f>IF($G5="","",INDEX('Detalle individual'!$E:$E,$G5))</f>
        <v/>
      </c>
      <c r="D5" s="5" t="str">
        <f>IF($G5="","",INDEX('Detalle individual'!$C:$C,$G5))</f>
        <v/>
      </c>
      <c r="E5" s="5" t="str">
        <f>IF($G5="","",INDEX('Detalle individual'!$D:$D,$G5))</f>
        <v/>
      </c>
      <c r="G5" t="str">
        <f>IFERROR(MATCH(SMALL(Cálculos!$AH$5:$AH$1000,1),Cálculos!$AH$5:$AH$1000,0)+4,"")</f>
        <v/>
      </c>
    </row>
    <row r="6">
      <c r="A6" s="5" t="str">
        <f>IF($G6="","",INDEX('Detalle individual'!$B:$B,$G6))</f>
        <v/>
      </c>
      <c r="B6" s="5" t="str">
        <f>IF($G6="","",INDEX('Detalle individual'!$A:$A,$G6))</f>
        <v/>
      </c>
      <c r="C6" s="5" t="str">
        <f>IF($G6="","",INDEX('Detalle individual'!$E:$E,$G6))</f>
        <v/>
      </c>
      <c r="D6" s="5" t="str">
        <f>IF($G6="","",INDEX('Detalle individual'!$C:$C,$G6))</f>
        <v/>
      </c>
      <c r="E6" s="5" t="str">
        <f>IF($G6="","",INDEX('Detalle individual'!$D:$D,$G6))</f>
        <v/>
      </c>
      <c r="G6" t="str">
        <f>IFERROR(MATCH(SMALL(Cálculos!$AH$5:$AH$1000,2),Cálculos!$AH$5:$AH$1000,0)+4,"")</f>
        <v/>
      </c>
    </row>
    <row r="7">
      <c r="A7" s="5" t="str">
        <f>IF($G7="","",INDEX('Detalle individual'!$B:$B,$G7))</f>
        <v/>
      </c>
      <c r="B7" s="5" t="str">
        <f>IF($G7="","",INDEX('Detalle individual'!$A:$A,$G7))</f>
        <v/>
      </c>
      <c r="C7" s="5" t="str">
        <f>IF($G7="","",INDEX('Detalle individual'!$E:$E,$G7))</f>
        <v/>
      </c>
      <c r="D7" s="5" t="str">
        <f>IF($G7="","",INDEX('Detalle individual'!$C:$C,$G7))</f>
        <v/>
      </c>
      <c r="E7" s="5" t="str">
        <f>IF($G7="","",INDEX('Detalle individual'!$D:$D,$G7))</f>
        <v/>
      </c>
      <c r="G7" t="str">
        <f>IFERROR(MATCH(SMALL(Cálculos!$AH$5:$AH$1000,3),Cálculos!$AH$5:$AH$1000,0)+4,"")</f>
        <v/>
      </c>
    </row>
    <row r="8">
      <c r="A8" s="5" t="str">
        <f>IF($G8="","",INDEX('Detalle individual'!$B:$B,$G8))</f>
        <v/>
      </c>
      <c r="B8" s="5" t="str">
        <f>IF($G8="","",INDEX('Detalle individual'!$A:$A,$G8))</f>
        <v/>
      </c>
      <c r="C8" s="5" t="str">
        <f>IF($G8="","",INDEX('Detalle individual'!$E:$E,$G8))</f>
        <v/>
      </c>
      <c r="D8" s="5" t="str">
        <f>IF($G8="","",INDEX('Detalle individual'!$C:$C,$G8))</f>
        <v/>
      </c>
      <c r="E8" s="5" t="str">
        <f>IF($G8="","",INDEX('Detalle individual'!$D:$D,$G8))</f>
        <v/>
      </c>
      <c r="G8" t="str">
        <f>IFERROR(MATCH(SMALL(Cálculos!$AH$5:$AH$1000,4),Cálculos!$AH$5:$AH$1000,0)+4,"")</f>
        <v/>
      </c>
    </row>
    <row r="9">
      <c r="A9" s="5" t="str">
        <f>IF($G9="","",INDEX('Detalle individual'!$B:$B,$G9))</f>
        <v/>
      </c>
      <c r="B9" s="5" t="str">
        <f>IF($G9="","",INDEX('Detalle individual'!$A:$A,$G9))</f>
        <v/>
      </c>
      <c r="C9" s="5" t="str">
        <f>IF($G9="","",INDEX('Detalle individual'!$E:$E,$G9))</f>
        <v/>
      </c>
      <c r="D9" s="5" t="str">
        <f>IF($G9="","",INDEX('Detalle individual'!$C:$C,$G9))</f>
        <v/>
      </c>
      <c r="E9" s="5" t="str">
        <f>IF($G9="","",INDEX('Detalle individual'!$D:$D,$G9))</f>
        <v/>
      </c>
      <c r="G9" t="str">
        <f>IFERROR(MATCH(SMALL(Cálculos!$AH$5:$AH$1000,5),Cálculos!$AH$5:$AH$1000,0)+4,"")</f>
        <v/>
      </c>
    </row>
    <row r="10">
      <c r="A10" s="5" t="str">
        <f>IF($G10="","",INDEX('Detalle individual'!$B:$B,$G10))</f>
        <v/>
      </c>
      <c r="B10" s="5" t="str">
        <f>IF($G10="","",INDEX('Detalle individual'!$A:$A,$G10))</f>
        <v/>
      </c>
      <c r="C10" s="5" t="str">
        <f>IF($G10="","",INDEX('Detalle individual'!$E:$E,$G10))</f>
        <v/>
      </c>
      <c r="D10" s="5" t="str">
        <f>IF($G10="","",INDEX('Detalle individual'!$C:$C,$G10))</f>
        <v/>
      </c>
      <c r="E10" s="5" t="str">
        <f>IF($G10="","",INDEX('Detalle individual'!$D:$D,$G10))</f>
        <v/>
      </c>
      <c r="G10" t="str">
        <f>IFERROR(MATCH(SMALL(Cálculos!$AH$5:$AH$1000,6),Cálculos!$AH$5:$AH$1000,0)+4,"")</f>
        <v/>
      </c>
    </row>
    <row r="11">
      <c r="A11" s="5" t="str">
        <f>IF($G11="","",INDEX('Detalle individual'!$B:$B,$G11))</f>
        <v/>
      </c>
      <c r="B11" s="5" t="str">
        <f>IF($G11="","",INDEX('Detalle individual'!$A:$A,$G11))</f>
        <v/>
      </c>
      <c r="C11" s="5" t="str">
        <f>IF($G11="","",INDEX('Detalle individual'!$E:$E,$G11))</f>
        <v/>
      </c>
      <c r="D11" s="5" t="str">
        <f>IF($G11="","",INDEX('Detalle individual'!$C:$C,$G11))</f>
        <v/>
      </c>
      <c r="E11" s="5" t="str">
        <f>IF($G11="","",INDEX('Detalle individual'!$D:$D,$G11))</f>
        <v/>
      </c>
      <c r="G11" t="str">
        <f>IFERROR(MATCH(SMALL(Cálculos!$AH$5:$AH$1000,7),Cálculos!$AH$5:$AH$1000,0)+4,"")</f>
        <v/>
      </c>
    </row>
    <row r="12">
      <c r="A12" s="5" t="str">
        <f>IF($G12="","",INDEX('Detalle individual'!$B:$B,$G12))</f>
        <v/>
      </c>
      <c r="B12" s="5" t="str">
        <f>IF($G12="","",INDEX('Detalle individual'!$A:$A,$G12))</f>
        <v/>
      </c>
      <c r="C12" s="5" t="str">
        <f>IF($G12="","",INDEX('Detalle individual'!$E:$E,$G12))</f>
        <v/>
      </c>
      <c r="D12" s="5" t="str">
        <f>IF($G12="","",INDEX('Detalle individual'!$C:$C,$G12))</f>
        <v/>
      </c>
      <c r="E12" s="5" t="str">
        <f>IF($G12="","",INDEX('Detalle individual'!$D:$D,$G12))</f>
        <v/>
      </c>
      <c r="G12" t="str">
        <f>IFERROR(MATCH(SMALL(Cálculos!$AH$5:$AH$1000,8),Cálculos!$AH$5:$AH$1000,0)+4,"")</f>
        <v/>
      </c>
    </row>
    <row r="13">
      <c r="A13" s="5" t="str">
        <f>IF($G13="","",INDEX('Detalle individual'!$B:$B,$G13))</f>
        <v/>
      </c>
      <c r="B13" s="5" t="str">
        <f>IF($G13="","",INDEX('Detalle individual'!$A:$A,$G13))</f>
        <v/>
      </c>
      <c r="C13" s="5" t="str">
        <f>IF($G13="","",INDEX('Detalle individual'!$E:$E,$G13))</f>
        <v/>
      </c>
      <c r="D13" s="5" t="str">
        <f>IF($G13="","",INDEX('Detalle individual'!$C:$C,$G13))</f>
        <v/>
      </c>
      <c r="E13" s="5" t="str">
        <f>IF($G13="","",INDEX('Detalle individual'!$D:$D,$G13))</f>
        <v/>
      </c>
      <c r="G13" t="str">
        <f>IFERROR(MATCH(SMALL(Cálculos!$AH$5:$AH$1000,9),Cálculos!$AH$5:$AH$1000,0)+4,"")</f>
        <v/>
      </c>
    </row>
    <row r="14">
      <c r="A14" s="5" t="str">
        <f>IF($G14="","",INDEX('Detalle individual'!$B:$B,$G14))</f>
        <v/>
      </c>
      <c r="B14" s="5" t="str">
        <f>IF($G14="","",INDEX('Detalle individual'!$A:$A,$G14))</f>
        <v/>
      </c>
      <c r="C14" s="5" t="str">
        <f>IF($G14="","",INDEX('Detalle individual'!$E:$E,$G14))</f>
        <v/>
      </c>
      <c r="D14" s="5" t="str">
        <f>IF($G14="","",INDEX('Detalle individual'!$C:$C,$G14))</f>
        <v/>
      </c>
      <c r="E14" s="5" t="str">
        <f>IF($G14="","",INDEX('Detalle individual'!$D:$D,$G14))</f>
        <v/>
      </c>
      <c r="G14" t="str">
        <f>IFERROR(MATCH(SMALL(Cálculos!$AH$5:$AH$1000,10),Cálculos!$AH$5:$AH$1000,0)+4,"")</f>
        <v/>
      </c>
    </row>
    <row r="15">
      <c r="A15" s="5" t="str">
        <f>IF($G15="","",INDEX('Detalle individual'!$B:$B,$G15))</f>
        <v/>
      </c>
      <c r="B15" s="5" t="str">
        <f>IF($G15="","",INDEX('Detalle individual'!$A:$A,$G15))</f>
        <v/>
      </c>
      <c r="C15" s="5" t="str">
        <f>IF($G15="","",INDEX('Detalle individual'!$E:$E,$G15))</f>
        <v/>
      </c>
      <c r="D15" s="5" t="str">
        <f>IF($G15="","",INDEX('Detalle individual'!$C:$C,$G15))</f>
        <v/>
      </c>
      <c r="E15" s="5" t="str">
        <f>IF($G15="","",INDEX('Detalle individual'!$D:$D,$G15))</f>
        <v/>
      </c>
      <c r="G15" t="str">
        <f>IFERROR(MATCH(SMALL(Cálculos!$AH$5:$AH$1000,11),Cálculos!$AH$5:$AH$1000,0)+4,"")</f>
        <v/>
      </c>
    </row>
    <row r="16">
      <c r="A16" s="5" t="str">
        <f>IF($G16="","",INDEX('Detalle individual'!$B:$B,$G16))</f>
        <v/>
      </c>
      <c r="B16" s="5" t="str">
        <f>IF($G16="","",INDEX('Detalle individual'!$A:$A,$G16))</f>
        <v/>
      </c>
      <c r="C16" s="5" t="str">
        <f>IF($G16="","",INDEX('Detalle individual'!$E:$E,$G16))</f>
        <v/>
      </c>
      <c r="D16" s="5" t="str">
        <f>IF($G16="","",INDEX('Detalle individual'!$C:$C,$G16))</f>
        <v/>
      </c>
      <c r="E16" s="5" t="str">
        <f>IF($G16="","",INDEX('Detalle individual'!$D:$D,$G16))</f>
        <v/>
      </c>
      <c r="G16" t="str">
        <f>IFERROR(MATCH(SMALL(Cálculos!$AH$5:$AH$1000,12),Cálculos!$AH$5:$AH$1000,0)+4,"")</f>
        <v/>
      </c>
    </row>
    <row r="17">
      <c r="A17" s="5" t="str">
        <f>IF($G17="","",INDEX('Detalle individual'!$B:$B,$G17))</f>
        <v/>
      </c>
      <c r="B17" s="5" t="str">
        <f>IF($G17="","",INDEX('Detalle individual'!$A:$A,$G17))</f>
        <v/>
      </c>
      <c r="C17" s="5" t="str">
        <f>IF($G17="","",INDEX('Detalle individual'!$E:$E,$G17))</f>
        <v/>
      </c>
      <c r="D17" s="5" t="str">
        <f>IF($G17="","",INDEX('Detalle individual'!$C:$C,$G17))</f>
        <v/>
      </c>
      <c r="E17" s="5" t="str">
        <f>IF($G17="","",INDEX('Detalle individual'!$D:$D,$G17))</f>
        <v/>
      </c>
      <c r="G17" t="str">
        <f>IFERROR(MATCH(SMALL(Cálculos!$AH$5:$AH$1000,13),Cálculos!$AH$5:$AH$1000,0)+4,"")</f>
        <v/>
      </c>
    </row>
    <row r="18">
      <c r="A18" s="5" t="str">
        <f>IF($G18="","",INDEX('Detalle individual'!$B:$B,$G18))</f>
        <v/>
      </c>
      <c r="B18" s="5" t="str">
        <f>IF($G18="","",INDEX('Detalle individual'!$A:$A,$G18))</f>
        <v/>
      </c>
      <c r="C18" s="5" t="str">
        <f>IF($G18="","",INDEX('Detalle individual'!$E:$E,$G18))</f>
        <v/>
      </c>
      <c r="D18" s="5" t="str">
        <f>IF($G18="","",INDEX('Detalle individual'!$C:$C,$G18))</f>
        <v/>
      </c>
      <c r="E18" s="5" t="str">
        <f>IF($G18="","",INDEX('Detalle individual'!$D:$D,$G18))</f>
        <v/>
      </c>
      <c r="G18" t="str">
        <f>IFERROR(MATCH(SMALL(Cálculos!$AH$5:$AH$1000,14),Cálculos!$AH$5:$AH$1000,0)+4,"")</f>
        <v/>
      </c>
    </row>
    <row r="19">
      <c r="A19" s="5" t="str">
        <f>IF($G19="","",INDEX('Detalle individual'!$B:$B,$G19))</f>
        <v/>
      </c>
      <c r="B19" s="5" t="str">
        <f>IF($G19="","",INDEX('Detalle individual'!$A:$A,$G19))</f>
        <v/>
      </c>
      <c r="C19" s="5" t="str">
        <f>IF($G19="","",INDEX('Detalle individual'!$E:$E,$G19))</f>
        <v/>
      </c>
      <c r="D19" s="5" t="str">
        <f>IF($G19="","",INDEX('Detalle individual'!$C:$C,$G19))</f>
        <v/>
      </c>
      <c r="E19" s="5" t="str">
        <f>IF($G19="","",INDEX('Detalle individual'!$D:$D,$G19))</f>
        <v/>
      </c>
      <c r="G19" t="str">
        <f>IFERROR(MATCH(SMALL(Cálculos!$AH$5:$AH$1000,15),Cálculos!$AH$5:$AH$1000,0)+4,"")</f>
        <v/>
      </c>
    </row>
    <row r="20">
      <c r="A20" s="5" t="str">
        <f>IF($G20="","",INDEX('Detalle individual'!$B:$B,$G20))</f>
        <v/>
      </c>
      <c r="B20" s="5" t="str">
        <f>IF($G20="","",INDEX('Detalle individual'!$A:$A,$G20))</f>
        <v/>
      </c>
      <c r="C20" s="5" t="str">
        <f>IF($G20="","",INDEX('Detalle individual'!$E:$E,$G20))</f>
        <v/>
      </c>
      <c r="D20" s="5" t="str">
        <f>IF($G20="","",INDEX('Detalle individual'!$C:$C,$G20))</f>
        <v/>
      </c>
      <c r="E20" s="5" t="str">
        <f>IF($G20="","",INDEX('Detalle individual'!$D:$D,$G20))</f>
        <v/>
      </c>
      <c r="G20" t="str">
        <f>IFERROR(MATCH(SMALL(Cálculos!$AH$5:$AH$1000,16),Cálculos!$AH$5:$AH$1000,0)+4,"")</f>
        <v/>
      </c>
    </row>
    <row r="21">
      <c r="A21" s="5" t="str">
        <f>IF($G21="","",INDEX('Detalle individual'!$B:$B,$G21))</f>
        <v/>
      </c>
      <c r="B21" s="5" t="str">
        <f>IF($G21="","",INDEX('Detalle individual'!$A:$A,$G21))</f>
        <v/>
      </c>
      <c r="C21" s="5" t="str">
        <f>IF($G21="","",INDEX('Detalle individual'!$E:$E,$G21))</f>
        <v/>
      </c>
      <c r="D21" s="5" t="str">
        <f>IF($G21="","",INDEX('Detalle individual'!$C:$C,$G21))</f>
        <v/>
      </c>
      <c r="E21" s="5" t="str">
        <f>IF($G21="","",INDEX('Detalle individual'!$D:$D,$G21))</f>
        <v/>
      </c>
      <c r="G21" t="str">
        <f>IFERROR(MATCH(SMALL(Cálculos!$AH$5:$AH$1000,17),Cálculos!$AH$5:$AH$1000,0)+4,"")</f>
        <v/>
      </c>
    </row>
    <row r="22">
      <c r="A22" s="5" t="str">
        <f>IF($G22="","",INDEX('Detalle individual'!$B:$B,$G22))</f>
        <v/>
      </c>
      <c r="B22" s="5" t="str">
        <f>IF($G22="","",INDEX('Detalle individual'!$A:$A,$G22))</f>
        <v/>
      </c>
      <c r="C22" s="5" t="str">
        <f>IF($G22="","",INDEX('Detalle individual'!$E:$E,$G22))</f>
        <v/>
      </c>
      <c r="D22" s="5" t="str">
        <f>IF($G22="","",INDEX('Detalle individual'!$C:$C,$G22))</f>
        <v/>
      </c>
      <c r="E22" s="5" t="str">
        <f>IF($G22="","",INDEX('Detalle individual'!$D:$D,$G22))</f>
        <v/>
      </c>
      <c r="G22" t="str">
        <f>IFERROR(MATCH(SMALL(Cálculos!$AH$5:$AH$1000,18),Cálculos!$AH$5:$AH$1000,0)+4,"")</f>
        <v/>
      </c>
    </row>
    <row r="23">
      <c r="A23" s="5" t="str">
        <f>IF($G23="","",INDEX('Detalle individual'!$B:$B,$G23))</f>
        <v/>
      </c>
      <c r="B23" s="5" t="str">
        <f>IF($G23="","",INDEX('Detalle individual'!$A:$A,$G23))</f>
        <v/>
      </c>
      <c r="C23" s="5" t="str">
        <f>IF($G23="","",INDEX('Detalle individual'!$E:$E,$G23))</f>
        <v/>
      </c>
      <c r="D23" s="5" t="str">
        <f>IF($G23="","",INDEX('Detalle individual'!$C:$C,$G23))</f>
        <v/>
      </c>
      <c r="E23" s="5" t="str">
        <f>IF($G23="","",INDEX('Detalle individual'!$D:$D,$G23))</f>
        <v/>
      </c>
      <c r="G23" t="str">
        <f>IFERROR(MATCH(SMALL(Cálculos!$AH$5:$AH$1000,19),Cálculos!$AH$5:$AH$1000,0)+4,"")</f>
        <v/>
      </c>
    </row>
    <row r="24">
      <c r="A24" s="5" t="str">
        <f>IF($G24="","",INDEX('Detalle individual'!$B:$B,$G24))</f>
        <v/>
      </c>
      <c r="B24" s="5" t="str">
        <f>IF($G24="","",INDEX('Detalle individual'!$A:$A,$G24))</f>
        <v/>
      </c>
      <c r="C24" s="5" t="str">
        <f>IF($G24="","",INDEX('Detalle individual'!$E:$E,$G24))</f>
        <v/>
      </c>
      <c r="D24" s="5" t="str">
        <f>IF($G24="","",INDEX('Detalle individual'!$C:$C,$G24))</f>
        <v/>
      </c>
      <c r="E24" s="5" t="str">
        <f>IF($G24="","",INDEX('Detalle individual'!$D:$D,$G24))</f>
        <v/>
      </c>
      <c r="G24" t="str">
        <f>IFERROR(MATCH(SMALL(Cálculos!$AH$5:$AH$1000,20),Cálculos!$AH$5:$AH$1000,0)+4,"")</f>
        <v/>
      </c>
    </row>
    <row r="25">
      <c r="A25" s="5" t="str">
        <f>IF($G25="","",INDEX('Detalle individual'!$B:$B,$G25))</f>
        <v/>
      </c>
      <c r="B25" s="5" t="str">
        <f>IF($G25="","",INDEX('Detalle individual'!$A:$A,$G25))</f>
        <v/>
      </c>
      <c r="C25" s="5" t="str">
        <f>IF($G25="","",INDEX('Detalle individual'!$E:$E,$G25))</f>
        <v/>
      </c>
      <c r="D25" s="5" t="str">
        <f>IF($G25="","",INDEX('Detalle individual'!$C:$C,$G25))</f>
        <v/>
      </c>
      <c r="E25" s="5" t="str">
        <f>IF($G25="","",INDEX('Detalle individual'!$D:$D,$G25))</f>
        <v/>
      </c>
      <c r="G25" t="str">
        <f>IFERROR(MATCH(SMALL(Cálculos!$AH$5:$AH$1000,21),Cálculos!$AH$5:$AH$1000,0)+4,"")</f>
        <v/>
      </c>
    </row>
    <row r="26">
      <c r="A26" s="5" t="str">
        <f>IF($G26="","",INDEX('Detalle individual'!$B:$B,$G26))</f>
        <v/>
      </c>
      <c r="B26" s="5" t="str">
        <f>IF($G26="","",INDEX('Detalle individual'!$A:$A,$G26))</f>
        <v/>
      </c>
      <c r="C26" s="5" t="str">
        <f>IF($G26="","",INDEX('Detalle individual'!$E:$E,$G26))</f>
        <v/>
      </c>
      <c r="D26" s="5" t="str">
        <f>IF($G26="","",INDEX('Detalle individual'!$C:$C,$G26))</f>
        <v/>
      </c>
      <c r="E26" s="5" t="str">
        <f>IF($G26="","",INDEX('Detalle individual'!$D:$D,$G26))</f>
        <v/>
      </c>
      <c r="G26" t="str">
        <f>IFERROR(MATCH(SMALL(Cálculos!$AH$5:$AH$1000,22),Cálculos!$AH$5:$AH$1000,0)+4,"")</f>
        <v/>
      </c>
    </row>
    <row r="27">
      <c r="A27" s="5" t="str">
        <f>IF($G27="","",INDEX('Detalle individual'!$B:$B,$G27))</f>
        <v/>
      </c>
      <c r="B27" s="5" t="str">
        <f>IF($G27="","",INDEX('Detalle individual'!$A:$A,$G27))</f>
        <v/>
      </c>
      <c r="C27" s="5" t="str">
        <f>IF($G27="","",INDEX('Detalle individual'!$E:$E,$G27))</f>
        <v/>
      </c>
      <c r="D27" s="5" t="str">
        <f>IF($G27="","",INDEX('Detalle individual'!$C:$C,$G27))</f>
        <v/>
      </c>
      <c r="E27" s="5" t="str">
        <f>IF($G27="","",INDEX('Detalle individual'!$D:$D,$G27))</f>
        <v/>
      </c>
      <c r="G27" t="str">
        <f>IFERROR(MATCH(SMALL(Cálculos!$AH$5:$AH$1000,23),Cálculos!$AH$5:$AH$1000,0)+4,"")</f>
        <v/>
      </c>
    </row>
    <row r="28">
      <c r="A28" s="5" t="str">
        <f>IF($G28="","",INDEX('Detalle individual'!$B:$B,$G28))</f>
        <v/>
      </c>
      <c r="B28" s="5" t="str">
        <f>IF($G28="","",INDEX('Detalle individual'!$A:$A,$G28))</f>
        <v/>
      </c>
      <c r="C28" s="5" t="str">
        <f>IF($G28="","",INDEX('Detalle individual'!$E:$E,$G28))</f>
        <v/>
      </c>
      <c r="D28" s="5" t="str">
        <f>IF($G28="","",INDEX('Detalle individual'!$C:$C,$G28))</f>
        <v/>
      </c>
      <c r="E28" s="5" t="str">
        <f>IF($G28="","",INDEX('Detalle individual'!$D:$D,$G28))</f>
        <v/>
      </c>
      <c r="G28" t="str">
        <f>IFERROR(MATCH(SMALL(Cálculos!$AH$5:$AH$1000,24),Cálculos!$AH$5:$AH$1000,0)+4,"")</f>
        <v/>
      </c>
    </row>
    <row r="29">
      <c r="A29" s="5" t="str">
        <f>IF($G29="","",INDEX('Detalle individual'!$B:$B,$G29))</f>
        <v/>
      </c>
      <c r="B29" s="5" t="str">
        <f>IF($G29="","",INDEX('Detalle individual'!$A:$A,$G29))</f>
        <v/>
      </c>
      <c r="C29" s="5" t="str">
        <f>IF($G29="","",INDEX('Detalle individual'!$E:$E,$G29))</f>
        <v/>
      </c>
      <c r="D29" s="5" t="str">
        <f>IF($G29="","",INDEX('Detalle individual'!$C:$C,$G29))</f>
        <v/>
      </c>
      <c r="E29" s="5" t="str">
        <f>IF($G29="","",INDEX('Detalle individual'!$D:$D,$G29))</f>
        <v/>
      </c>
      <c r="G29" t="str">
        <f>IFERROR(MATCH(SMALL(Cálculos!$AH$5:$AH$1000,25),Cálculos!$AH$5:$AH$1000,0)+4,"")</f>
        <v/>
      </c>
    </row>
    <row r="30">
      <c r="A30" s="5" t="str">
        <f>IF($G30="","",INDEX('Detalle individual'!$B:$B,$G30))</f>
        <v/>
      </c>
      <c r="B30" s="5" t="str">
        <f>IF($G30="","",INDEX('Detalle individual'!$A:$A,$G30))</f>
        <v/>
      </c>
      <c r="C30" s="5" t="str">
        <f>IF($G30="","",INDEX('Detalle individual'!$E:$E,$G30))</f>
        <v/>
      </c>
      <c r="D30" s="5" t="str">
        <f>IF($G30="","",INDEX('Detalle individual'!$C:$C,$G30))</f>
        <v/>
      </c>
      <c r="E30" s="5" t="str">
        <f>IF($G30="","",INDEX('Detalle individual'!$D:$D,$G30))</f>
        <v/>
      </c>
      <c r="G30" t="str">
        <f>IFERROR(MATCH(SMALL(Cálculos!$AH$5:$AH$1000,26),Cálculos!$AH$5:$AH$1000,0)+4,"")</f>
        <v/>
      </c>
    </row>
    <row r="31">
      <c r="A31" s="5" t="str">
        <f>IF($G31="","",INDEX('Detalle individual'!$B:$B,$G31))</f>
        <v/>
      </c>
      <c r="B31" s="5" t="str">
        <f>IF($G31="","",INDEX('Detalle individual'!$A:$A,$G31))</f>
        <v/>
      </c>
      <c r="C31" s="5" t="str">
        <f>IF($G31="","",INDEX('Detalle individual'!$E:$E,$G31))</f>
        <v/>
      </c>
      <c r="D31" s="5" t="str">
        <f>IF($G31="","",INDEX('Detalle individual'!$C:$C,$G31))</f>
        <v/>
      </c>
      <c r="E31" s="5" t="str">
        <f>IF($G31="","",INDEX('Detalle individual'!$D:$D,$G31))</f>
        <v/>
      </c>
      <c r="G31" t="str">
        <f>IFERROR(MATCH(SMALL(Cálculos!$AH$5:$AH$1000,27),Cálculos!$AH$5:$AH$1000,0)+4,"")</f>
        <v/>
      </c>
    </row>
    <row r="32">
      <c r="A32" s="5" t="str">
        <f>IF($G32="","",INDEX('Detalle individual'!$B:$B,$G32))</f>
        <v/>
      </c>
      <c r="B32" s="5" t="str">
        <f>IF($G32="","",INDEX('Detalle individual'!$A:$A,$G32))</f>
        <v/>
      </c>
      <c r="C32" s="5" t="str">
        <f>IF($G32="","",INDEX('Detalle individual'!$E:$E,$G32))</f>
        <v/>
      </c>
      <c r="D32" s="5" t="str">
        <f>IF($G32="","",INDEX('Detalle individual'!$C:$C,$G32))</f>
        <v/>
      </c>
      <c r="E32" s="5" t="str">
        <f>IF($G32="","",INDEX('Detalle individual'!$D:$D,$G32))</f>
        <v/>
      </c>
      <c r="G32" t="str">
        <f>IFERROR(MATCH(SMALL(Cálculos!$AH$5:$AH$1000,28),Cálculos!$AH$5:$AH$1000,0)+4,"")</f>
        <v/>
      </c>
    </row>
    <row r="33">
      <c r="A33" s="5" t="str">
        <f>IF($G33="","",INDEX('Detalle individual'!$B:$B,$G33))</f>
        <v/>
      </c>
      <c r="B33" s="5" t="str">
        <f>IF($G33="","",INDEX('Detalle individual'!$A:$A,$G33))</f>
        <v/>
      </c>
      <c r="C33" s="5" t="str">
        <f>IF($G33="","",INDEX('Detalle individual'!$E:$E,$G33))</f>
        <v/>
      </c>
      <c r="D33" s="5" t="str">
        <f>IF($G33="","",INDEX('Detalle individual'!$C:$C,$G33))</f>
        <v/>
      </c>
      <c r="E33" s="5" t="str">
        <f>IF($G33="","",INDEX('Detalle individual'!$D:$D,$G33))</f>
        <v/>
      </c>
      <c r="G33" t="str">
        <f>IFERROR(MATCH(SMALL(Cálculos!$AH$5:$AH$1000,29),Cálculos!$AH$5:$AH$1000,0)+4,"")</f>
        <v/>
      </c>
    </row>
    <row r="34">
      <c r="A34" s="5" t="str">
        <f>IF($G34="","",INDEX('Detalle individual'!$B:$B,$G34))</f>
        <v/>
      </c>
      <c r="B34" s="5" t="str">
        <f>IF($G34="","",INDEX('Detalle individual'!$A:$A,$G34))</f>
        <v/>
      </c>
      <c r="C34" s="5" t="str">
        <f>IF($G34="","",INDEX('Detalle individual'!$E:$E,$G34))</f>
        <v/>
      </c>
      <c r="D34" s="5" t="str">
        <f>IF($G34="","",INDEX('Detalle individual'!$C:$C,$G34))</f>
        <v/>
      </c>
      <c r="E34" s="5" t="str">
        <f>IF($G34="","",INDEX('Detalle individual'!$D:$D,$G34))</f>
        <v/>
      </c>
      <c r="G34" t="str">
        <f>IFERROR(MATCH(SMALL(Cálculos!$AH$5:$AH$1000,30),Cálculos!$AH$5:$AH$1000,0)+4,"")</f>
        <v/>
      </c>
    </row>
    <row r="35">
      <c r="A35" s="5" t="str">
        <f>IF($G35="","",INDEX('Detalle individual'!$B:$B,$G35))</f>
        <v/>
      </c>
      <c r="B35" s="5" t="str">
        <f>IF($G35="","",INDEX('Detalle individual'!$A:$A,$G35))</f>
        <v/>
      </c>
      <c r="C35" s="5" t="str">
        <f>IF($G35="","",INDEX('Detalle individual'!$E:$E,$G35))</f>
        <v/>
      </c>
      <c r="D35" s="5" t="str">
        <f>IF($G35="","",INDEX('Detalle individual'!$C:$C,$G35))</f>
        <v/>
      </c>
      <c r="E35" s="5" t="str">
        <f>IF($G35="","",INDEX('Detalle individual'!$D:$D,$G35))</f>
        <v/>
      </c>
      <c r="G35" t="str">
        <f>IFERROR(MATCH(SMALL(Cálculos!$AH$5:$AH$1000,31),Cálculos!$AH$5:$AH$1000,0)+4,"")</f>
        <v/>
      </c>
    </row>
    <row r="36">
      <c r="A36" s="5" t="str">
        <f>IF($G36="","",INDEX('Detalle individual'!$B:$B,$G36))</f>
        <v/>
      </c>
      <c r="B36" s="5" t="str">
        <f>IF($G36="","",INDEX('Detalle individual'!$A:$A,$G36))</f>
        <v/>
      </c>
      <c r="C36" s="5" t="str">
        <f>IF($G36="","",INDEX('Detalle individual'!$E:$E,$G36))</f>
        <v/>
      </c>
      <c r="D36" s="5" t="str">
        <f>IF($G36="","",INDEX('Detalle individual'!$C:$C,$G36))</f>
        <v/>
      </c>
      <c r="E36" s="5" t="str">
        <f>IF($G36="","",INDEX('Detalle individual'!$D:$D,$G36))</f>
        <v/>
      </c>
      <c r="G36" t="str">
        <f>IFERROR(MATCH(SMALL(Cálculos!$AH$5:$AH$1000,32),Cálculos!$AH$5:$AH$1000,0)+4,"")</f>
        <v/>
      </c>
    </row>
    <row r="37">
      <c r="A37" s="5" t="str">
        <f>IF($G37="","",INDEX('Detalle individual'!$B:$B,$G37))</f>
        <v/>
      </c>
      <c r="B37" s="5" t="str">
        <f>IF($G37="","",INDEX('Detalle individual'!$A:$A,$G37))</f>
        <v/>
      </c>
      <c r="C37" s="5" t="str">
        <f>IF($G37="","",INDEX('Detalle individual'!$E:$E,$G37))</f>
        <v/>
      </c>
      <c r="D37" s="5" t="str">
        <f>IF($G37="","",INDEX('Detalle individual'!$C:$C,$G37))</f>
        <v/>
      </c>
      <c r="E37" s="5" t="str">
        <f>IF($G37="","",INDEX('Detalle individual'!$D:$D,$G37))</f>
        <v/>
      </c>
      <c r="G37" t="str">
        <f>IFERROR(MATCH(SMALL(Cálculos!$AH$5:$AH$1000,33),Cálculos!$AH$5:$AH$1000,0)+4,"")</f>
        <v/>
      </c>
    </row>
    <row r="38">
      <c r="A38" s="5" t="str">
        <f>IF($G38="","",INDEX('Detalle individual'!$B:$B,$G38))</f>
        <v/>
      </c>
      <c r="B38" s="5" t="str">
        <f>IF($G38="","",INDEX('Detalle individual'!$A:$A,$G38))</f>
        <v/>
      </c>
      <c r="C38" s="5" t="str">
        <f>IF($G38="","",INDEX('Detalle individual'!$E:$E,$G38))</f>
        <v/>
      </c>
      <c r="D38" s="5" t="str">
        <f>IF($G38="","",INDEX('Detalle individual'!$C:$C,$G38))</f>
        <v/>
      </c>
      <c r="E38" s="5" t="str">
        <f>IF($G38="","",INDEX('Detalle individual'!$D:$D,$G38))</f>
        <v/>
      </c>
      <c r="G38" t="str">
        <f>IFERROR(MATCH(SMALL(Cálculos!$AH$5:$AH$1000,34),Cálculos!$AH$5:$AH$1000,0)+4,"")</f>
        <v/>
      </c>
    </row>
    <row r="39">
      <c r="A39" s="5" t="str">
        <f>IF($G39="","",INDEX('Detalle individual'!$B:$B,$G39))</f>
        <v/>
      </c>
      <c r="B39" s="5" t="str">
        <f>IF($G39="","",INDEX('Detalle individual'!$A:$A,$G39))</f>
        <v/>
      </c>
      <c r="C39" s="5" t="str">
        <f>IF($G39="","",INDEX('Detalle individual'!$E:$E,$G39))</f>
        <v/>
      </c>
      <c r="D39" s="5" t="str">
        <f>IF($G39="","",INDEX('Detalle individual'!$C:$C,$G39))</f>
        <v/>
      </c>
      <c r="E39" s="5" t="str">
        <f>IF($G39="","",INDEX('Detalle individual'!$D:$D,$G39))</f>
        <v/>
      </c>
      <c r="G39" t="str">
        <f>IFERROR(MATCH(SMALL(Cálculos!$AH$5:$AH$1000,35),Cálculos!$AH$5:$AH$1000,0)+4,"")</f>
        <v/>
      </c>
    </row>
    <row r="40">
      <c r="A40" s="5" t="str">
        <f>IF($G40="","",INDEX('Detalle individual'!$B:$B,$G40))</f>
        <v/>
      </c>
      <c r="B40" s="5" t="str">
        <f>IF($G40="","",INDEX('Detalle individual'!$A:$A,$G40))</f>
        <v/>
      </c>
      <c r="C40" s="5" t="str">
        <f>IF($G40="","",INDEX('Detalle individual'!$E:$E,$G40))</f>
        <v/>
      </c>
      <c r="D40" s="5" t="str">
        <f>IF($G40="","",INDEX('Detalle individual'!$C:$C,$G40))</f>
        <v/>
      </c>
      <c r="E40" s="5" t="str">
        <f>IF($G40="","",INDEX('Detalle individual'!$D:$D,$G40))</f>
        <v/>
      </c>
      <c r="G40" t="str">
        <f>IFERROR(MATCH(SMALL(Cálculos!$AH$5:$AH$1000,36),Cálculos!$AH$5:$AH$1000,0)+4,"")</f>
        <v/>
      </c>
    </row>
    <row r="41">
      <c r="A41" s="5" t="str">
        <f>IF($G41="","",INDEX('Detalle individual'!$B:$B,$G41))</f>
        <v/>
      </c>
      <c r="B41" s="5" t="str">
        <f>IF($G41="","",INDEX('Detalle individual'!$A:$A,$G41))</f>
        <v/>
      </c>
      <c r="C41" s="5" t="str">
        <f>IF($G41="","",INDEX('Detalle individual'!$E:$E,$G41))</f>
        <v/>
      </c>
      <c r="D41" s="5" t="str">
        <f>IF($G41="","",INDEX('Detalle individual'!$C:$C,$G41))</f>
        <v/>
      </c>
      <c r="E41" s="5" t="str">
        <f>IF($G41="","",INDEX('Detalle individual'!$D:$D,$G41))</f>
        <v/>
      </c>
      <c r="G41" t="str">
        <f>IFERROR(MATCH(SMALL(Cálculos!$AH$5:$AH$1000,37),Cálculos!$AH$5:$AH$1000,0)+4,"")</f>
        <v/>
      </c>
    </row>
    <row r="42">
      <c r="A42" s="5" t="str">
        <f>IF($G42="","",INDEX('Detalle individual'!$B:$B,$G42))</f>
        <v/>
      </c>
      <c r="B42" s="5" t="str">
        <f>IF($G42="","",INDEX('Detalle individual'!$A:$A,$G42))</f>
        <v/>
      </c>
      <c r="C42" s="5" t="str">
        <f>IF($G42="","",INDEX('Detalle individual'!$E:$E,$G42))</f>
        <v/>
      </c>
      <c r="D42" s="5" t="str">
        <f>IF($G42="","",INDEX('Detalle individual'!$C:$C,$G42))</f>
        <v/>
      </c>
      <c r="E42" s="5" t="str">
        <f>IF($G42="","",INDEX('Detalle individual'!$D:$D,$G42))</f>
        <v/>
      </c>
      <c r="G42" t="str">
        <f>IFERROR(MATCH(SMALL(Cálculos!$AH$5:$AH$1000,38),Cálculos!$AH$5:$AH$1000,0)+4,"")</f>
        <v/>
      </c>
    </row>
    <row r="43">
      <c r="A43" s="5" t="str">
        <f>IF($G43="","",INDEX('Detalle individual'!$B:$B,$G43))</f>
        <v/>
      </c>
      <c r="B43" s="5" t="str">
        <f>IF($G43="","",INDEX('Detalle individual'!$A:$A,$G43))</f>
        <v/>
      </c>
      <c r="C43" s="5" t="str">
        <f>IF($G43="","",INDEX('Detalle individual'!$E:$E,$G43))</f>
        <v/>
      </c>
      <c r="D43" s="5" t="str">
        <f>IF($G43="","",INDEX('Detalle individual'!$C:$C,$G43))</f>
        <v/>
      </c>
      <c r="E43" s="5" t="str">
        <f>IF($G43="","",INDEX('Detalle individual'!$D:$D,$G43))</f>
        <v/>
      </c>
      <c r="G43" t="str">
        <f>IFERROR(MATCH(SMALL(Cálculos!$AH$5:$AH$1000,39),Cálculos!$AH$5:$AH$1000,0)+4,"")</f>
        <v/>
      </c>
    </row>
    <row r="44">
      <c r="A44" s="5" t="str">
        <f>IF($G44="","",INDEX('Detalle individual'!$B:$B,$G44))</f>
        <v/>
      </c>
      <c r="B44" s="5" t="str">
        <f>IF($G44="","",INDEX('Detalle individual'!$A:$A,$G44))</f>
        <v/>
      </c>
      <c r="C44" s="5" t="str">
        <f>IF($G44="","",INDEX('Detalle individual'!$E:$E,$G44))</f>
        <v/>
      </c>
      <c r="D44" s="5" t="str">
        <f>IF($G44="","",INDEX('Detalle individual'!$C:$C,$G44))</f>
        <v/>
      </c>
      <c r="E44" s="5" t="str">
        <f>IF($G44="","",INDEX('Detalle individual'!$D:$D,$G44))</f>
        <v/>
      </c>
      <c r="G44" t="str">
        <f>IFERROR(MATCH(SMALL(Cálculos!$AH$5:$AH$1000,40),Cálculos!$AH$5:$AH$1000,0)+4,"")</f>
        <v/>
      </c>
    </row>
    <row r="45">
      <c r="A45" s="5" t="str">
        <f>IF($G45="","",INDEX('Detalle individual'!$B:$B,$G45))</f>
        <v/>
      </c>
      <c r="B45" s="5" t="str">
        <f>IF($G45="","",INDEX('Detalle individual'!$A:$A,$G45))</f>
        <v/>
      </c>
      <c r="C45" s="5" t="str">
        <f>IF($G45="","",INDEX('Detalle individual'!$E:$E,$G45))</f>
        <v/>
      </c>
      <c r="D45" s="5" t="str">
        <f>IF($G45="","",INDEX('Detalle individual'!$C:$C,$G45))</f>
        <v/>
      </c>
      <c r="E45" s="5" t="str">
        <f>IF($G45="","",INDEX('Detalle individual'!$D:$D,$G45))</f>
        <v/>
      </c>
      <c r="G45" t="str">
        <f>IFERROR(MATCH(SMALL(Cálculos!$AH$5:$AH$1000,41),Cálculos!$AH$5:$AH$1000,0)+4,"")</f>
        <v/>
      </c>
    </row>
    <row r="46">
      <c r="A46" s="5" t="str">
        <f>IF($G46="","",INDEX('Detalle individual'!$B:$B,$G46))</f>
        <v/>
      </c>
      <c r="B46" s="5" t="str">
        <f>IF($G46="","",INDEX('Detalle individual'!$A:$A,$G46))</f>
        <v/>
      </c>
      <c r="C46" s="5" t="str">
        <f>IF($G46="","",INDEX('Detalle individual'!$E:$E,$G46))</f>
        <v/>
      </c>
      <c r="D46" s="5" t="str">
        <f>IF($G46="","",INDEX('Detalle individual'!$C:$C,$G46))</f>
        <v/>
      </c>
      <c r="E46" s="5" t="str">
        <f>IF($G46="","",INDEX('Detalle individual'!$D:$D,$G46))</f>
        <v/>
      </c>
      <c r="G46" t="str">
        <f>IFERROR(MATCH(SMALL(Cálculos!$AH$5:$AH$1000,42),Cálculos!$AH$5:$AH$1000,0)+4,"")</f>
        <v/>
      </c>
    </row>
    <row r="47">
      <c r="A47" s="5" t="str">
        <f>IF($G47="","",INDEX('Detalle individual'!$B:$B,$G47))</f>
        <v/>
      </c>
      <c r="B47" s="5" t="str">
        <f>IF($G47="","",INDEX('Detalle individual'!$A:$A,$G47))</f>
        <v/>
      </c>
      <c r="C47" s="5" t="str">
        <f>IF($G47="","",INDEX('Detalle individual'!$E:$E,$G47))</f>
        <v/>
      </c>
      <c r="D47" s="5" t="str">
        <f>IF($G47="","",INDEX('Detalle individual'!$C:$C,$G47))</f>
        <v/>
      </c>
      <c r="E47" s="5" t="str">
        <f>IF($G47="","",INDEX('Detalle individual'!$D:$D,$G47))</f>
        <v/>
      </c>
      <c r="G47" t="str">
        <f>IFERROR(MATCH(SMALL(Cálculos!$AH$5:$AH$1000,43),Cálculos!$AH$5:$AH$1000,0)+4,"")</f>
        <v/>
      </c>
    </row>
    <row r="48">
      <c r="A48" s="5" t="str">
        <f>IF($G48="","",INDEX('Detalle individual'!$B:$B,$G48))</f>
        <v/>
      </c>
      <c r="B48" s="5" t="str">
        <f>IF($G48="","",INDEX('Detalle individual'!$A:$A,$G48))</f>
        <v/>
      </c>
      <c r="C48" s="5" t="str">
        <f>IF($G48="","",INDEX('Detalle individual'!$E:$E,$G48))</f>
        <v/>
      </c>
      <c r="D48" s="5" t="str">
        <f>IF($G48="","",INDEX('Detalle individual'!$C:$C,$G48))</f>
        <v/>
      </c>
      <c r="E48" s="5" t="str">
        <f>IF($G48="","",INDEX('Detalle individual'!$D:$D,$G48))</f>
        <v/>
      </c>
      <c r="G48" t="str">
        <f>IFERROR(MATCH(SMALL(Cálculos!$AH$5:$AH$1000,44),Cálculos!$AH$5:$AH$1000,0)+4,"")</f>
        <v/>
      </c>
    </row>
    <row r="49">
      <c r="A49" s="5" t="str">
        <f>IF($G49="","",INDEX('Detalle individual'!$B:$B,$G49))</f>
        <v/>
      </c>
      <c r="B49" s="5" t="str">
        <f>IF($G49="","",INDEX('Detalle individual'!$A:$A,$G49))</f>
        <v/>
      </c>
      <c r="C49" s="5" t="str">
        <f>IF($G49="","",INDEX('Detalle individual'!$E:$E,$G49))</f>
        <v/>
      </c>
      <c r="D49" s="5" t="str">
        <f>IF($G49="","",INDEX('Detalle individual'!$C:$C,$G49))</f>
        <v/>
      </c>
      <c r="E49" s="5" t="str">
        <f>IF($G49="","",INDEX('Detalle individual'!$D:$D,$G49))</f>
        <v/>
      </c>
      <c r="G49" t="str">
        <f>IFERROR(MATCH(SMALL(Cálculos!$AH$5:$AH$1000,45),Cálculos!$AH$5:$AH$1000,0)+4,"")</f>
        <v/>
      </c>
    </row>
    <row r="50">
      <c r="A50" s="5" t="str">
        <f>IF($G50="","",INDEX('Detalle individual'!$B:$B,$G50))</f>
        <v/>
      </c>
      <c r="B50" s="5" t="str">
        <f>IF($G50="","",INDEX('Detalle individual'!$A:$A,$G50))</f>
        <v/>
      </c>
      <c r="C50" s="5" t="str">
        <f>IF($G50="","",INDEX('Detalle individual'!$E:$E,$G50))</f>
        <v/>
      </c>
      <c r="D50" s="5" t="str">
        <f>IF($G50="","",INDEX('Detalle individual'!$C:$C,$G50))</f>
        <v/>
      </c>
      <c r="E50" s="5" t="str">
        <f>IF($G50="","",INDEX('Detalle individual'!$D:$D,$G50))</f>
        <v/>
      </c>
      <c r="G50" t="str">
        <f>IFERROR(MATCH(SMALL(Cálculos!$AH$5:$AH$1000,46),Cálculos!$AH$5:$AH$1000,0)+4,"")</f>
        <v/>
      </c>
    </row>
    <row r="51">
      <c r="A51" s="5" t="str">
        <f>IF($G51="","",INDEX('Detalle individual'!$B:$B,$G51))</f>
        <v/>
      </c>
      <c r="B51" s="5" t="str">
        <f>IF($G51="","",INDEX('Detalle individual'!$A:$A,$G51))</f>
        <v/>
      </c>
      <c r="C51" s="5" t="str">
        <f>IF($G51="","",INDEX('Detalle individual'!$E:$E,$G51))</f>
        <v/>
      </c>
      <c r="D51" s="5" t="str">
        <f>IF($G51="","",INDEX('Detalle individual'!$C:$C,$G51))</f>
        <v/>
      </c>
      <c r="E51" s="5" t="str">
        <f>IF($G51="","",INDEX('Detalle individual'!$D:$D,$G51))</f>
        <v/>
      </c>
      <c r="G51" t="str">
        <f>IFERROR(MATCH(SMALL(Cálculos!$AH$5:$AH$1000,47),Cálculos!$AH$5:$AH$1000,0)+4,"")</f>
        <v/>
      </c>
    </row>
    <row r="52">
      <c r="A52" s="5" t="str">
        <f>IF($G52="","",INDEX('Detalle individual'!$B:$B,$G52))</f>
        <v/>
      </c>
      <c r="B52" s="5" t="str">
        <f>IF($G52="","",INDEX('Detalle individual'!$A:$A,$G52))</f>
        <v/>
      </c>
      <c r="C52" s="5" t="str">
        <f>IF($G52="","",INDEX('Detalle individual'!$E:$E,$G52))</f>
        <v/>
      </c>
      <c r="D52" s="5" t="str">
        <f>IF($G52="","",INDEX('Detalle individual'!$C:$C,$G52))</f>
        <v/>
      </c>
      <c r="E52" s="5" t="str">
        <f>IF($G52="","",INDEX('Detalle individual'!$D:$D,$G52))</f>
        <v/>
      </c>
      <c r="G52" t="str">
        <f>IFERROR(MATCH(SMALL(Cálculos!$AH$5:$AH$1000,48),Cálculos!$AH$5:$AH$1000,0)+4,"")</f>
        <v/>
      </c>
    </row>
    <row r="53">
      <c r="A53" s="5" t="str">
        <f>IF($G53="","",INDEX('Detalle individual'!$B:$B,$G53))</f>
        <v/>
      </c>
      <c r="B53" s="5" t="str">
        <f>IF($G53="","",INDEX('Detalle individual'!$A:$A,$G53))</f>
        <v/>
      </c>
      <c r="C53" s="5" t="str">
        <f>IF($G53="","",INDEX('Detalle individual'!$E:$E,$G53))</f>
        <v/>
      </c>
      <c r="D53" s="5" t="str">
        <f>IF($G53="","",INDEX('Detalle individual'!$C:$C,$G53))</f>
        <v/>
      </c>
      <c r="E53" s="5" t="str">
        <f>IF($G53="","",INDEX('Detalle individual'!$D:$D,$G53))</f>
        <v/>
      </c>
      <c r="G53" t="str">
        <f>IFERROR(MATCH(SMALL(Cálculos!$AH$5:$AH$1000,49),Cálculos!$AH$5:$AH$1000,0)+4,"")</f>
        <v/>
      </c>
    </row>
    <row r="54">
      <c r="A54" s="5" t="str">
        <f>IF($G54="","",INDEX('Detalle individual'!$B:$B,$G54))</f>
        <v/>
      </c>
      <c r="B54" s="5" t="str">
        <f>IF($G54="","",INDEX('Detalle individual'!$A:$A,$G54))</f>
        <v/>
      </c>
      <c r="C54" s="5" t="str">
        <f>IF($G54="","",INDEX('Detalle individual'!$E:$E,$G54))</f>
        <v/>
      </c>
      <c r="D54" s="5" t="str">
        <f>IF($G54="","",INDEX('Detalle individual'!$C:$C,$G54))</f>
        <v/>
      </c>
      <c r="E54" s="5" t="str">
        <f>IF($G54="","",INDEX('Detalle individual'!$D:$D,$G54))</f>
        <v/>
      </c>
      <c r="G54" t="str">
        <f>IFERROR(MATCH(SMALL(Cálculos!$AH$5:$AH$1000,50),Cálculos!$AH$5:$AH$1000,0)+4,"")</f>
        <v/>
      </c>
    </row>
    <row r="55">
      <c r="A55" s="5" t="str">
        <f>IF($G55="","",INDEX('Detalle individual'!$B:$B,$G55))</f>
        <v/>
      </c>
      <c r="B55" s="5" t="str">
        <f>IF($G55="","",INDEX('Detalle individual'!$A:$A,$G55))</f>
        <v/>
      </c>
      <c r="C55" s="5" t="str">
        <f>IF($G55="","",INDEX('Detalle individual'!$E:$E,$G55))</f>
        <v/>
      </c>
      <c r="D55" s="5" t="str">
        <f>IF($G55="","",INDEX('Detalle individual'!$C:$C,$G55))</f>
        <v/>
      </c>
      <c r="E55" s="5" t="str">
        <f>IF($G55="","",INDEX('Detalle individual'!$D:$D,$G55))</f>
        <v/>
      </c>
      <c r="G55" t="str">
        <f>IFERROR(MATCH(SMALL(Cálculos!$AH$5:$AH$1000,51),Cálculos!$AH$5:$AH$1000,0)+4,"")</f>
        <v/>
      </c>
    </row>
    <row r="56">
      <c r="A56" s="5" t="str">
        <f>IF($G56="","",INDEX('Detalle individual'!$B:$B,$G56))</f>
        <v/>
      </c>
      <c r="B56" s="5" t="str">
        <f>IF($G56="","",INDEX('Detalle individual'!$A:$A,$G56))</f>
        <v/>
      </c>
      <c r="C56" s="5" t="str">
        <f>IF($G56="","",INDEX('Detalle individual'!$E:$E,$G56))</f>
        <v/>
      </c>
      <c r="D56" s="5" t="str">
        <f>IF($G56="","",INDEX('Detalle individual'!$C:$C,$G56))</f>
        <v/>
      </c>
      <c r="E56" s="5" t="str">
        <f>IF($G56="","",INDEX('Detalle individual'!$D:$D,$G56))</f>
        <v/>
      </c>
      <c r="G56" t="str">
        <f>IFERROR(MATCH(SMALL(Cálculos!$AH$5:$AH$1000,52),Cálculos!$AH$5:$AH$1000,0)+4,"")</f>
        <v/>
      </c>
    </row>
    <row r="57">
      <c r="A57" s="5" t="str">
        <f>IF($G57="","",INDEX('Detalle individual'!$B:$B,$G57))</f>
        <v/>
      </c>
      <c r="B57" s="5" t="str">
        <f>IF($G57="","",INDEX('Detalle individual'!$A:$A,$G57))</f>
        <v/>
      </c>
      <c r="C57" s="5" t="str">
        <f>IF($G57="","",INDEX('Detalle individual'!$E:$E,$G57))</f>
        <v/>
      </c>
      <c r="D57" s="5" t="str">
        <f>IF($G57="","",INDEX('Detalle individual'!$C:$C,$G57))</f>
        <v/>
      </c>
      <c r="E57" s="5" t="str">
        <f>IF($G57="","",INDEX('Detalle individual'!$D:$D,$G57))</f>
        <v/>
      </c>
      <c r="G57" t="str">
        <f>IFERROR(MATCH(SMALL(Cálculos!$AH$5:$AH$1000,53),Cálculos!$AH$5:$AH$1000,0)+4,"")</f>
        <v/>
      </c>
    </row>
    <row r="58">
      <c r="A58" s="5" t="str">
        <f>IF($G58="","",INDEX('Detalle individual'!$B:$B,$G58))</f>
        <v/>
      </c>
      <c r="B58" s="5" t="str">
        <f>IF($G58="","",INDEX('Detalle individual'!$A:$A,$G58))</f>
        <v/>
      </c>
      <c r="C58" s="5" t="str">
        <f>IF($G58="","",INDEX('Detalle individual'!$E:$E,$G58))</f>
        <v/>
      </c>
      <c r="D58" s="5" t="str">
        <f>IF($G58="","",INDEX('Detalle individual'!$C:$C,$G58))</f>
        <v/>
      </c>
      <c r="E58" s="5" t="str">
        <f>IF($G58="","",INDEX('Detalle individual'!$D:$D,$G58))</f>
        <v/>
      </c>
      <c r="G58" t="str">
        <f>IFERROR(MATCH(SMALL(Cálculos!$AH$5:$AH$1000,54),Cálculos!$AH$5:$AH$1000,0)+4,"")</f>
        <v/>
      </c>
    </row>
    <row r="59">
      <c r="A59" s="5" t="str">
        <f>IF($G59="","",INDEX('Detalle individual'!$B:$B,$G59))</f>
        <v/>
      </c>
      <c r="B59" s="5" t="str">
        <f>IF($G59="","",INDEX('Detalle individual'!$A:$A,$G59))</f>
        <v/>
      </c>
      <c r="C59" s="5" t="str">
        <f>IF($G59="","",INDEX('Detalle individual'!$E:$E,$G59))</f>
        <v/>
      </c>
      <c r="D59" s="5" t="str">
        <f>IF($G59="","",INDEX('Detalle individual'!$C:$C,$G59))</f>
        <v/>
      </c>
      <c r="E59" s="5" t="str">
        <f>IF($G59="","",INDEX('Detalle individual'!$D:$D,$G59))</f>
        <v/>
      </c>
      <c r="G59" t="str">
        <f>IFERROR(MATCH(SMALL(Cálculos!$AH$5:$AH$1000,55),Cálculos!$AH$5:$AH$1000,0)+4,"")</f>
        <v/>
      </c>
    </row>
    <row r="60">
      <c r="A60" s="5" t="str">
        <f>IF($G60="","",INDEX('Detalle individual'!$B:$B,$G60))</f>
        <v/>
      </c>
      <c r="B60" s="5" t="str">
        <f>IF($G60="","",INDEX('Detalle individual'!$A:$A,$G60))</f>
        <v/>
      </c>
      <c r="C60" s="5" t="str">
        <f>IF($G60="","",INDEX('Detalle individual'!$E:$E,$G60))</f>
        <v/>
      </c>
      <c r="D60" s="5" t="str">
        <f>IF($G60="","",INDEX('Detalle individual'!$C:$C,$G60))</f>
        <v/>
      </c>
      <c r="E60" s="5" t="str">
        <f>IF($G60="","",INDEX('Detalle individual'!$D:$D,$G60))</f>
        <v/>
      </c>
      <c r="G60" t="str">
        <f>IFERROR(MATCH(SMALL(Cálculos!$AH$5:$AH$1000,56),Cálculos!$AH$5:$AH$1000,0)+4,"")</f>
        <v/>
      </c>
    </row>
    <row r="61">
      <c r="A61" s="5" t="str">
        <f>IF($G61="","",INDEX('Detalle individual'!$B:$B,$G61))</f>
        <v/>
      </c>
      <c r="B61" s="5" t="str">
        <f>IF($G61="","",INDEX('Detalle individual'!$A:$A,$G61))</f>
        <v/>
      </c>
      <c r="C61" s="5" t="str">
        <f>IF($G61="","",INDEX('Detalle individual'!$E:$E,$G61))</f>
        <v/>
      </c>
      <c r="D61" s="5" t="str">
        <f>IF($G61="","",INDEX('Detalle individual'!$C:$C,$G61))</f>
        <v/>
      </c>
      <c r="E61" s="5" t="str">
        <f>IF($G61="","",INDEX('Detalle individual'!$D:$D,$G61))</f>
        <v/>
      </c>
      <c r="G61" t="str">
        <f>IFERROR(MATCH(SMALL(Cálculos!$AH$5:$AH$1000,57),Cálculos!$AH$5:$AH$1000,0)+4,"")</f>
        <v/>
      </c>
    </row>
    <row r="62">
      <c r="A62" s="5" t="str">
        <f>IF($G62="","",INDEX('Detalle individual'!$B:$B,$G62))</f>
        <v/>
      </c>
      <c r="B62" s="5" t="str">
        <f>IF($G62="","",INDEX('Detalle individual'!$A:$A,$G62))</f>
        <v/>
      </c>
      <c r="C62" s="5" t="str">
        <f>IF($G62="","",INDEX('Detalle individual'!$E:$E,$G62))</f>
        <v/>
      </c>
      <c r="D62" s="5" t="str">
        <f>IF($G62="","",INDEX('Detalle individual'!$C:$C,$G62))</f>
        <v/>
      </c>
      <c r="E62" s="5" t="str">
        <f>IF($G62="","",INDEX('Detalle individual'!$D:$D,$G62))</f>
        <v/>
      </c>
      <c r="G62" t="str">
        <f>IFERROR(MATCH(SMALL(Cálculos!$AH$5:$AH$1000,58),Cálculos!$AH$5:$AH$1000,0)+4,"")</f>
        <v/>
      </c>
    </row>
    <row r="63">
      <c r="A63" s="5" t="str">
        <f>IF($G63="","",INDEX('Detalle individual'!$B:$B,$G63))</f>
        <v/>
      </c>
      <c r="B63" s="5" t="str">
        <f>IF($G63="","",INDEX('Detalle individual'!$A:$A,$G63))</f>
        <v/>
      </c>
      <c r="C63" s="5" t="str">
        <f>IF($G63="","",INDEX('Detalle individual'!$E:$E,$G63))</f>
        <v/>
      </c>
      <c r="D63" s="5" t="str">
        <f>IF($G63="","",INDEX('Detalle individual'!$C:$C,$G63))</f>
        <v/>
      </c>
      <c r="E63" s="5" t="str">
        <f>IF($G63="","",INDEX('Detalle individual'!$D:$D,$G63))</f>
        <v/>
      </c>
      <c r="G63" t="str">
        <f>IFERROR(MATCH(SMALL(Cálculos!$AH$5:$AH$1000,59),Cálculos!$AH$5:$AH$1000,0)+4,"")</f>
        <v/>
      </c>
    </row>
    <row r="64">
      <c r="A64" s="5" t="str">
        <f>IF($G64="","",INDEX('Detalle individual'!$B:$B,$G64))</f>
        <v/>
      </c>
      <c r="B64" s="5" t="str">
        <f>IF($G64="","",INDEX('Detalle individual'!$A:$A,$G64))</f>
        <v/>
      </c>
      <c r="C64" s="5" t="str">
        <f>IF($G64="","",INDEX('Detalle individual'!$E:$E,$G64))</f>
        <v/>
      </c>
      <c r="D64" s="5" t="str">
        <f>IF($G64="","",INDEX('Detalle individual'!$C:$C,$G64))</f>
        <v/>
      </c>
      <c r="E64" s="5" t="str">
        <f>IF($G64="","",INDEX('Detalle individual'!$D:$D,$G64))</f>
        <v/>
      </c>
      <c r="G64" t="str">
        <f>IFERROR(MATCH(SMALL(Cálculos!$AH$5:$AH$1000,60),Cálculos!$AH$5:$AH$1000,0)+4,"")</f>
        <v/>
      </c>
    </row>
    <row r="65">
      <c r="A65" s="5" t="str">
        <f>IF($G65="","",INDEX('Detalle individual'!$B:$B,$G65))</f>
        <v/>
      </c>
      <c r="B65" s="5" t="str">
        <f>IF($G65="","",INDEX('Detalle individual'!$A:$A,$G65))</f>
        <v/>
      </c>
      <c r="C65" s="5" t="str">
        <f>IF($G65="","",INDEX('Detalle individual'!$E:$E,$G65))</f>
        <v/>
      </c>
      <c r="D65" s="5" t="str">
        <f>IF($G65="","",INDEX('Detalle individual'!$C:$C,$G65))</f>
        <v/>
      </c>
      <c r="E65" s="5" t="str">
        <f>IF($G65="","",INDEX('Detalle individual'!$D:$D,$G65))</f>
        <v/>
      </c>
      <c r="G65" t="str">
        <f>IFERROR(MATCH(SMALL(Cálculos!$AH$5:$AH$1000,61),Cálculos!$AH$5:$AH$1000,0)+4,"")</f>
        <v/>
      </c>
    </row>
    <row r="66">
      <c r="A66" s="5" t="str">
        <f>IF($G66="","",INDEX('Detalle individual'!$B:$B,$G66))</f>
        <v/>
      </c>
      <c r="B66" s="5" t="str">
        <f>IF($G66="","",INDEX('Detalle individual'!$A:$A,$G66))</f>
        <v/>
      </c>
      <c r="C66" s="5" t="str">
        <f>IF($G66="","",INDEX('Detalle individual'!$E:$E,$G66))</f>
        <v/>
      </c>
      <c r="D66" s="5" t="str">
        <f>IF($G66="","",INDEX('Detalle individual'!$C:$C,$G66))</f>
        <v/>
      </c>
      <c r="E66" s="5" t="str">
        <f>IF($G66="","",INDEX('Detalle individual'!$D:$D,$G66))</f>
        <v/>
      </c>
      <c r="G66" t="str">
        <f>IFERROR(MATCH(SMALL(Cálculos!$AH$5:$AH$1000,62),Cálculos!$AH$5:$AH$1000,0)+4,"")</f>
        <v/>
      </c>
    </row>
    <row r="67">
      <c r="A67" s="5" t="str">
        <f>IF($G67="","",INDEX('Detalle individual'!$B:$B,$G67))</f>
        <v/>
      </c>
      <c r="B67" s="5" t="str">
        <f>IF($G67="","",INDEX('Detalle individual'!$A:$A,$G67))</f>
        <v/>
      </c>
      <c r="C67" s="5" t="str">
        <f>IF($G67="","",INDEX('Detalle individual'!$E:$E,$G67))</f>
        <v/>
      </c>
      <c r="D67" s="5" t="str">
        <f>IF($G67="","",INDEX('Detalle individual'!$C:$C,$G67))</f>
        <v/>
      </c>
      <c r="E67" s="5" t="str">
        <f>IF($G67="","",INDEX('Detalle individual'!$D:$D,$G67))</f>
        <v/>
      </c>
      <c r="G67" t="str">
        <f>IFERROR(MATCH(SMALL(Cálculos!$AH$5:$AH$1000,63),Cálculos!$AH$5:$AH$1000,0)+4,"")</f>
        <v/>
      </c>
    </row>
    <row r="68">
      <c r="A68" s="5" t="str">
        <f>IF($G68="","",INDEX('Detalle individual'!$B:$B,$G68))</f>
        <v/>
      </c>
      <c r="B68" s="5" t="str">
        <f>IF($G68="","",INDEX('Detalle individual'!$A:$A,$G68))</f>
        <v/>
      </c>
      <c r="C68" s="5" t="str">
        <f>IF($G68="","",INDEX('Detalle individual'!$E:$E,$G68))</f>
        <v/>
      </c>
      <c r="D68" s="5" t="str">
        <f>IF($G68="","",INDEX('Detalle individual'!$C:$C,$G68))</f>
        <v/>
      </c>
      <c r="E68" s="5" t="str">
        <f>IF($G68="","",INDEX('Detalle individual'!$D:$D,$G68))</f>
        <v/>
      </c>
      <c r="G68" t="str">
        <f>IFERROR(MATCH(SMALL(Cálculos!$AH$5:$AH$1000,64),Cálculos!$AH$5:$AH$1000,0)+4,"")</f>
        <v/>
      </c>
    </row>
    <row r="69">
      <c r="A69" s="5" t="str">
        <f>IF($G69="","",INDEX('Detalle individual'!$B:$B,$G69))</f>
        <v/>
      </c>
      <c r="B69" s="5" t="str">
        <f>IF($G69="","",INDEX('Detalle individual'!$A:$A,$G69))</f>
        <v/>
      </c>
      <c r="C69" s="5" t="str">
        <f>IF($G69="","",INDEX('Detalle individual'!$E:$E,$G69))</f>
        <v/>
      </c>
      <c r="D69" s="5" t="str">
        <f>IF($G69="","",INDEX('Detalle individual'!$C:$C,$G69))</f>
        <v/>
      </c>
      <c r="E69" s="5" t="str">
        <f>IF($G69="","",INDEX('Detalle individual'!$D:$D,$G69))</f>
        <v/>
      </c>
      <c r="G69" t="str">
        <f>IFERROR(MATCH(SMALL(Cálculos!$AH$5:$AH$1000,65),Cálculos!$AH$5:$AH$1000,0)+4,"")</f>
        <v/>
      </c>
    </row>
    <row r="70">
      <c r="A70" s="5" t="str">
        <f>IF($G70="","",INDEX('Detalle individual'!$B:$B,$G70))</f>
        <v/>
      </c>
      <c r="B70" s="5" t="str">
        <f>IF($G70="","",INDEX('Detalle individual'!$A:$A,$G70))</f>
        <v/>
      </c>
      <c r="C70" s="5" t="str">
        <f>IF($G70="","",INDEX('Detalle individual'!$E:$E,$G70))</f>
        <v/>
      </c>
      <c r="D70" s="5" t="str">
        <f>IF($G70="","",INDEX('Detalle individual'!$C:$C,$G70))</f>
        <v/>
      </c>
      <c r="E70" s="5" t="str">
        <f>IF($G70="","",INDEX('Detalle individual'!$D:$D,$G70))</f>
        <v/>
      </c>
      <c r="G70" t="str">
        <f>IFERROR(MATCH(SMALL(Cálculos!$AH$5:$AH$1000,66),Cálculos!$AH$5:$AH$1000,0)+4,"")</f>
        <v/>
      </c>
    </row>
    <row r="71">
      <c r="A71" s="5" t="str">
        <f>IF($G71="","",INDEX('Detalle individual'!$B:$B,$G71))</f>
        <v/>
      </c>
      <c r="B71" s="5" t="str">
        <f>IF($G71="","",INDEX('Detalle individual'!$A:$A,$G71))</f>
        <v/>
      </c>
      <c r="C71" s="5" t="str">
        <f>IF($G71="","",INDEX('Detalle individual'!$E:$E,$G71))</f>
        <v/>
      </c>
      <c r="D71" s="5" t="str">
        <f>IF($G71="","",INDEX('Detalle individual'!$C:$C,$G71))</f>
        <v/>
      </c>
      <c r="E71" s="5" t="str">
        <f>IF($G71="","",INDEX('Detalle individual'!$D:$D,$G71))</f>
        <v/>
      </c>
      <c r="G71" t="str">
        <f>IFERROR(MATCH(SMALL(Cálculos!$AH$5:$AH$1000,67),Cálculos!$AH$5:$AH$1000,0)+4,"")</f>
        <v/>
      </c>
    </row>
    <row r="72">
      <c r="A72" s="5" t="str">
        <f>IF($G72="","",INDEX('Detalle individual'!$B:$B,$G72))</f>
        <v/>
      </c>
      <c r="B72" s="5" t="str">
        <f>IF($G72="","",INDEX('Detalle individual'!$A:$A,$G72))</f>
        <v/>
      </c>
      <c r="C72" s="5" t="str">
        <f>IF($G72="","",INDEX('Detalle individual'!$E:$E,$G72))</f>
        <v/>
      </c>
      <c r="D72" s="5" t="str">
        <f>IF($G72="","",INDEX('Detalle individual'!$C:$C,$G72))</f>
        <v/>
      </c>
      <c r="E72" s="5" t="str">
        <f>IF($G72="","",INDEX('Detalle individual'!$D:$D,$G72))</f>
        <v/>
      </c>
      <c r="G72" t="str">
        <f>IFERROR(MATCH(SMALL(Cálculos!$AH$5:$AH$1000,68),Cálculos!$AH$5:$AH$1000,0)+4,"")</f>
        <v/>
      </c>
    </row>
    <row r="73">
      <c r="A73" s="5" t="str">
        <f>IF($G73="","",INDEX('Detalle individual'!$B:$B,$G73))</f>
        <v/>
      </c>
      <c r="B73" s="5" t="str">
        <f>IF($G73="","",INDEX('Detalle individual'!$A:$A,$G73))</f>
        <v/>
      </c>
      <c r="C73" s="5" t="str">
        <f>IF($G73="","",INDEX('Detalle individual'!$E:$E,$G73))</f>
        <v/>
      </c>
      <c r="D73" s="5" t="str">
        <f>IF($G73="","",INDEX('Detalle individual'!$C:$C,$G73))</f>
        <v/>
      </c>
      <c r="E73" s="5" t="str">
        <f>IF($G73="","",INDEX('Detalle individual'!$D:$D,$G73))</f>
        <v/>
      </c>
      <c r="G73" t="str">
        <f>IFERROR(MATCH(SMALL(Cálculos!$AH$5:$AH$1000,69),Cálculos!$AH$5:$AH$1000,0)+4,"")</f>
        <v/>
      </c>
    </row>
    <row r="74">
      <c r="A74" s="5" t="str">
        <f>IF($G74="","",INDEX('Detalle individual'!$B:$B,$G74))</f>
        <v/>
      </c>
      <c r="B74" s="5" t="str">
        <f>IF($G74="","",INDEX('Detalle individual'!$A:$A,$G74))</f>
        <v/>
      </c>
      <c r="C74" s="5" t="str">
        <f>IF($G74="","",INDEX('Detalle individual'!$E:$E,$G74))</f>
        <v/>
      </c>
      <c r="D74" s="5" t="str">
        <f>IF($G74="","",INDEX('Detalle individual'!$C:$C,$G74))</f>
        <v/>
      </c>
      <c r="E74" s="5" t="str">
        <f>IF($G74="","",INDEX('Detalle individual'!$D:$D,$G74))</f>
        <v/>
      </c>
      <c r="G74" t="str">
        <f>IFERROR(MATCH(SMALL(Cálculos!$AH$5:$AH$1000,70),Cálculos!$AH$5:$AH$1000,0)+4,"")</f>
        <v/>
      </c>
    </row>
    <row r="75">
      <c r="A75" s="5" t="str">
        <f>IF($G75="","",INDEX('Detalle individual'!$B:$B,$G75))</f>
        <v/>
      </c>
      <c r="B75" s="5" t="str">
        <f>IF($G75="","",INDEX('Detalle individual'!$A:$A,$G75))</f>
        <v/>
      </c>
      <c r="C75" s="5" t="str">
        <f>IF($G75="","",INDEX('Detalle individual'!$E:$E,$G75))</f>
        <v/>
      </c>
      <c r="D75" s="5" t="str">
        <f>IF($G75="","",INDEX('Detalle individual'!$C:$C,$G75))</f>
        <v/>
      </c>
      <c r="E75" s="5" t="str">
        <f>IF($G75="","",INDEX('Detalle individual'!$D:$D,$G75))</f>
        <v/>
      </c>
      <c r="G75" t="str">
        <f>IFERROR(MATCH(SMALL(Cálculos!$AH$5:$AH$1000,71),Cálculos!$AH$5:$AH$1000,0)+4,"")</f>
        <v/>
      </c>
    </row>
    <row r="76">
      <c r="A76" s="5" t="str">
        <f>IF($G76="","",INDEX('Detalle individual'!$B:$B,$G76))</f>
        <v/>
      </c>
      <c r="B76" s="5" t="str">
        <f>IF($G76="","",INDEX('Detalle individual'!$A:$A,$G76))</f>
        <v/>
      </c>
      <c r="C76" s="5" t="str">
        <f>IF($G76="","",INDEX('Detalle individual'!$E:$E,$G76))</f>
        <v/>
      </c>
      <c r="D76" s="5" t="str">
        <f>IF($G76="","",INDEX('Detalle individual'!$C:$C,$G76))</f>
        <v/>
      </c>
      <c r="E76" s="5" t="str">
        <f>IF($G76="","",INDEX('Detalle individual'!$D:$D,$G76))</f>
        <v/>
      </c>
      <c r="G76" t="str">
        <f>IFERROR(MATCH(SMALL(Cálculos!$AH$5:$AH$1000,72),Cálculos!$AH$5:$AH$1000,0)+4,"")</f>
        <v/>
      </c>
    </row>
    <row r="77">
      <c r="A77" s="5" t="str">
        <f>IF($G77="","",INDEX('Detalle individual'!$B:$B,$G77))</f>
        <v/>
      </c>
      <c r="B77" s="5" t="str">
        <f>IF($G77="","",INDEX('Detalle individual'!$A:$A,$G77))</f>
        <v/>
      </c>
      <c r="C77" s="5" t="str">
        <f>IF($G77="","",INDEX('Detalle individual'!$E:$E,$G77))</f>
        <v/>
      </c>
      <c r="D77" s="5" t="str">
        <f>IF($G77="","",INDEX('Detalle individual'!$C:$C,$G77))</f>
        <v/>
      </c>
      <c r="E77" s="5" t="str">
        <f>IF($G77="","",INDEX('Detalle individual'!$D:$D,$G77))</f>
        <v/>
      </c>
      <c r="G77" t="str">
        <f>IFERROR(MATCH(SMALL(Cálculos!$AH$5:$AH$1000,73),Cálculos!$AH$5:$AH$1000,0)+4,"")</f>
        <v/>
      </c>
    </row>
    <row r="78">
      <c r="A78" s="5" t="str">
        <f>IF($G78="","",INDEX('Detalle individual'!$B:$B,$G78))</f>
        <v/>
      </c>
      <c r="B78" s="5" t="str">
        <f>IF($G78="","",INDEX('Detalle individual'!$A:$A,$G78))</f>
        <v/>
      </c>
      <c r="C78" s="5" t="str">
        <f>IF($G78="","",INDEX('Detalle individual'!$E:$E,$G78))</f>
        <v/>
      </c>
      <c r="D78" s="5" t="str">
        <f>IF($G78="","",INDEX('Detalle individual'!$C:$C,$G78))</f>
        <v/>
      </c>
      <c r="E78" s="5" t="str">
        <f>IF($G78="","",INDEX('Detalle individual'!$D:$D,$G78))</f>
        <v/>
      </c>
      <c r="G78" t="str">
        <f>IFERROR(MATCH(SMALL(Cálculos!$AH$5:$AH$1000,74),Cálculos!$AH$5:$AH$1000,0)+4,"")</f>
        <v/>
      </c>
    </row>
    <row r="79">
      <c r="A79" s="5" t="str">
        <f>IF($G79="","",INDEX('Detalle individual'!$B:$B,$G79))</f>
        <v/>
      </c>
      <c r="B79" s="5" t="str">
        <f>IF($G79="","",INDEX('Detalle individual'!$A:$A,$G79))</f>
        <v/>
      </c>
      <c r="C79" s="5" t="str">
        <f>IF($G79="","",INDEX('Detalle individual'!$E:$E,$G79))</f>
        <v/>
      </c>
      <c r="D79" s="5" t="str">
        <f>IF($G79="","",INDEX('Detalle individual'!$C:$C,$G79))</f>
        <v/>
      </c>
      <c r="E79" s="5" t="str">
        <f>IF($G79="","",INDEX('Detalle individual'!$D:$D,$G79))</f>
        <v/>
      </c>
      <c r="G79" t="str">
        <f>IFERROR(MATCH(SMALL(Cálculos!$AH$5:$AH$1000,75),Cálculos!$AH$5:$AH$1000,0)+4,"")</f>
        <v/>
      </c>
    </row>
    <row r="80">
      <c r="A80" s="5" t="str">
        <f>IF($G80="","",INDEX('Detalle individual'!$B:$B,$G80))</f>
        <v/>
      </c>
      <c r="B80" s="5" t="str">
        <f>IF($G80="","",INDEX('Detalle individual'!$A:$A,$G80))</f>
        <v/>
      </c>
      <c r="C80" s="5" t="str">
        <f>IF($G80="","",INDEX('Detalle individual'!$E:$E,$G80))</f>
        <v/>
      </c>
      <c r="D80" s="5" t="str">
        <f>IF($G80="","",INDEX('Detalle individual'!$C:$C,$G80))</f>
        <v/>
      </c>
      <c r="E80" s="5" t="str">
        <f>IF($G80="","",INDEX('Detalle individual'!$D:$D,$G80))</f>
        <v/>
      </c>
      <c r="G80" t="str">
        <f>IFERROR(MATCH(SMALL(Cálculos!$AH$5:$AH$1000,76),Cálculos!$AH$5:$AH$1000,0)+4,"")</f>
        <v/>
      </c>
    </row>
    <row r="81">
      <c r="A81" s="5" t="str">
        <f>IF($G81="","",INDEX('Detalle individual'!$B:$B,$G81))</f>
        <v/>
      </c>
      <c r="B81" s="5" t="str">
        <f>IF($G81="","",INDEX('Detalle individual'!$A:$A,$G81))</f>
        <v/>
      </c>
      <c r="C81" s="5" t="str">
        <f>IF($G81="","",INDEX('Detalle individual'!$E:$E,$G81))</f>
        <v/>
      </c>
      <c r="D81" s="5" t="str">
        <f>IF($G81="","",INDEX('Detalle individual'!$C:$C,$G81))</f>
        <v/>
      </c>
      <c r="E81" s="5" t="str">
        <f>IF($G81="","",INDEX('Detalle individual'!$D:$D,$G81))</f>
        <v/>
      </c>
      <c r="G81" t="str">
        <f>IFERROR(MATCH(SMALL(Cálculos!$AH$5:$AH$1000,77),Cálculos!$AH$5:$AH$1000,0)+4,"")</f>
        <v/>
      </c>
    </row>
    <row r="82">
      <c r="A82" s="5" t="str">
        <f>IF($G82="","",INDEX('Detalle individual'!$B:$B,$G82))</f>
        <v/>
      </c>
      <c r="B82" s="5" t="str">
        <f>IF($G82="","",INDEX('Detalle individual'!$A:$A,$G82))</f>
        <v/>
      </c>
      <c r="C82" s="5" t="str">
        <f>IF($G82="","",INDEX('Detalle individual'!$E:$E,$G82))</f>
        <v/>
      </c>
      <c r="D82" s="5" t="str">
        <f>IF($G82="","",INDEX('Detalle individual'!$C:$C,$G82))</f>
        <v/>
      </c>
      <c r="E82" s="5" t="str">
        <f>IF($G82="","",INDEX('Detalle individual'!$D:$D,$G82))</f>
        <v/>
      </c>
      <c r="G82" t="str">
        <f>IFERROR(MATCH(SMALL(Cálculos!$AH$5:$AH$1000,78),Cálculos!$AH$5:$AH$1000,0)+4,"")</f>
        <v/>
      </c>
    </row>
    <row r="83">
      <c r="A83" s="5" t="str">
        <f>IF($G83="","",INDEX('Detalle individual'!$B:$B,$G83))</f>
        <v/>
      </c>
      <c r="B83" s="5" t="str">
        <f>IF($G83="","",INDEX('Detalle individual'!$A:$A,$G83))</f>
        <v/>
      </c>
      <c r="C83" s="5" t="str">
        <f>IF($G83="","",INDEX('Detalle individual'!$E:$E,$G83))</f>
        <v/>
      </c>
      <c r="D83" s="5" t="str">
        <f>IF($G83="","",INDEX('Detalle individual'!$C:$C,$G83))</f>
        <v/>
      </c>
      <c r="E83" s="5" t="str">
        <f>IF($G83="","",INDEX('Detalle individual'!$D:$D,$G83))</f>
        <v/>
      </c>
      <c r="G83" t="str">
        <f>IFERROR(MATCH(SMALL(Cálculos!$AH$5:$AH$1000,79),Cálculos!$AH$5:$AH$1000,0)+4,"")</f>
        <v/>
      </c>
    </row>
    <row r="84">
      <c r="A84" s="5" t="str">
        <f>IF($G84="","",INDEX('Detalle individual'!$B:$B,$G84))</f>
        <v/>
      </c>
      <c r="B84" s="5" t="str">
        <f>IF($G84="","",INDEX('Detalle individual'!$A:$A,$G84))</f>
        <v/>
      </c>
      <c r="C84" s="5" t="str">
        <f>IF($G84="","",INDEX('Detalle individual'!$E:$E,$G84))</f>
        <v/>
      </c>
      <c r="D84" s="5" t="str">
        <f>IF($G84="","",INDEX('Detalle individual'!$C:$C,$G84))</f>
        <v/>
      </c>
      <c r="E84" s="5" t="str">
        <f>IF($G84="","",INDEX('Detalle individual'!$D:$D,$G84))</f>
        <v/>
      </c>
      <c r="G84" t="str">
        <f>IFERROR(MATCH(SMALL(Cálculos!$AH$5:$AH$1000,80),Cálculos!$AH$5:$AH$1000,0)+4,"")</f>
        <v/>
      </c>
    </row>
    <row r="85">
      <c r="A85" s="5" t="str">
        <f>IF($G85="","",INDEX('Detalle individual'!$B:$B,$G85))</f>
        <v/>
      </c>
      <c r="B85" s="5" t="str">
        <f>IF($G85="","",INDEX('Detalle individual'!$A:$A,$G85))</f>
        <v/>
      </c>
      <c r="C85" s="5" t="str">
        <f>IF($G85="","",INDEX('Detalle individual'!$E:$E,$G85))</f>
        <v/>
      </c>
      <c r="D85" s="5" t="str">
        <f>IF($G85="","",INDEX('Detalle individual'!$C:$C,$G85))</f>
        <v/>
      </c>
      <c r="E85" s="5" t="str">
        <f>IF($G85="","",INDEX('Detalle individual'!$D:$D,$G85))</f>
        <v/>
      </c>
      <c r="G85" t="str">
        <f>IFERROR(MATCH(SMALL(Cálculos!$AH$5:$AH$1000,81),Cálculos!$AH$5:$AH$1000,0)+4,"")</f>
        <v/>
      </c>
    </row>
    <row r="86">
      <c r="A86" s="5" t="str">
        <f>IF($G86="","",INDEX('Detalle individual'!$B:$B,$G86))</f>
        <v/>
      </c>
      <c r="B86" s="5" t="str">
        <f>IF($G86="","",INDEX('Detalle individual'!$A:$A,$G86))</f>
        <v/>
      </c>
      <c r="C86" s="5" t="str">
        <f>IF($G86="","",INDEX('Detalle individual'!$E:$E,$G86))</f>
        <v/>
      </c>
      <c r="D86" s="5" t="str">
        <f>IF($G86="","",INDEX('Detalle individual'!$C:$C,$G86))</f>
        <v/>
      </c>
      <c r="E86" s="5" t="str">
        <f>IF($G86="","",INDEX('Detalle individual'!$D:$D,$G86))</f>
        <v/>
      </c>
      <c r="G86" t="str">
        <f>IFERROR(MATCH(SMALL(Cálculos!$AH$5:$AH$1000,82),Cálculos!$AH$5:$AH$1000,0)+4,"")</f>
        <v/>
      </c>
    </row>
    <row r="87">
      <c r="A87" s="5" t="str">
        <f>IF($G87="","",INDEX('Detalle individual'!$B:$B,$G87))</f>
        <v/>
      </c>
      <c r="B87" s="5" t="str">
        <f>IF($G87="","",INDEX('Detalle individual'!$A:$A,$G87))</f>
        <v/>
      </c>
      <c r="C87" s="5" t="str">
        <f>IF($G87="","",INDEX('Detalle individual'!$E:$E,$G87))</f>
        <v/>
      </c>
      <c r="D87" s="5" t="str">
        <f>IF($G87="","",INDEX('Detalle individual'!$C:$C,$G87))</f>
        <v/>
      </c>
      <c r="E87" s="5" t="str">
        <f>IF($G87="","",INDEX('Detalle individual'!$D:$D,$G87))</f>
        <v/>
      </c>
      <c r="G87" t="str">
        <f>IFERROR(MATCH(SMALL(Cálculos!$AH$5:$AH$1000,83),Cálculos!$AH$5:$AH$1000,0)+4,"")</f>
        <v/>
      </c>
    </row>
    <row r="88">
      <c r="A88" s="5" t="str">
        <f>IF($G88="","",INDEX('Detalle individual'!$B:$B,$G88))</f>
        <v/>
      </c>
      <c r="B88" s="5" t="str">
        <f>IF($G88="","",INDEX('Detalle individual'!$A:$A,$G88))</f>
        <v/>
      </c>
      <c r="C88" s="5" t="str">
        <f>IF($G88="","",INDEX('Detalle individual'!$E:$E,$G88))</f>
        <v/>
      </c>
      <c r="D88" s="5" t="str">
        <f>IF($G88="","",INDEX('Detalle individual'!$C:$C,$G88))</f>
        <v/>
      </c>
      <c r="E88" s="5" t="str">
        <f>IF($G88="","",INDEX('Detalle individual'!$D:$D,$G88))</f>
        <v/>
      </c>
      <c r="G88" t="str">
        <f>IFERROR(MATCH(SMALL(Cálculos!$AH$5:$AH$1000,84),Cálculos!$AH$5:$AH$1000,0)+4,"")</f>
        <v/>
      </c>
    </row>
    <row r="89">
      <c r="A89" s="5" t="str">
        <f>IF($G89="","",INDEX('Detalle individual'!$B:$B,$G89))</f>
        <v/>
      </c>
      <c r="B89" s="5" t="str">
        <f>IF($G89="","",INDEX('Detalle individual'!$A:$A,$G89))</f>
        <v/>
      </c>
      <c r="C89" s="5" t="str">
        <f>IF($G89="","",INDEX('Detalle individual'!$E:$E,$G89))</f>
        <v/>
      </c>
      <c r="D89" s="5" t="str">
        <f>IF($G89="","",INDEX('Detalle individual'!$C:$C,$G89))</f>
        <v/>
      </c>
      <c r="E89" s="5" t="str">
        <f>IF($G89="","",INDEX('Detalle individual'!$D:$D,$G89))</f>
        <v/>
      </c>
      <c r="G89" t="str">
        <f>IFERROR(MATCH(SMALL(Cálculos!$AH$5:$AH$1000,85),Cálculos!$AH$5:$AH$1000,0)+4,"")</f>
        <v/>
      </c>
    </row>
    <row r="90">
      <c r="A90" s="5" t="str">
        <f>IF($G90="","",INDEX('Detalle individual'!$B:$B,$G90))</f>
        <v/>
      </c>
      <c r="B90" s="5" t="str">
        <f>IF($G90="","",INDEX('Detalle individual'!$A:$A,$G90))</f>
        <v/>
      </c>
      <c r="C90" s="5" t="str">
        <f>IF($G90="","",INDEX('Detalle individual'!$E:$E,$G90))</f>
        <v/>
      </c>
      <c r="D90" s="5" t="str">
        <f>IF($G90="","",INDEX('Detalle individual'!$C:$C,$G90))</f>
        <v/>
      </c>
      <c r="E90" s="5" t="str">
        <f>IF($G90="","",INDEX('Detalle individual'!$D:$D,$G90))</f>
        <v/>
      </c>
      <c r="G90" t="str">
        <f>IFERROR(MATCH(SMALL(Cálculos!$AH$5:$AH$1000,86),Cálculos!$AH$5:$AH$1000,0)+4,"")</f>
        <v/>
      </c>
    </row>
    <row r="91">
      <c r="A91" s="5" t="str">
        <f>IF($G91="","",INDEX('Detalle individual'!$B:$B,$G91))</f>
        <v/>
      </c>
      <c r="B91" s="5" t="str">
        <f>IF($G91="","",INDEX('Detalle individual'!$A:$A,$G91))</f>
        <v/>
      </c>
      <c r="C91" s="5" t="str">
        <f>IF($G91="","",INDEX('Detalle individual'!$E:$E,$G91))</f>
        <v/>
      </c>
      <c r="D91" s="5" t="str">
        <f>IF($G91="","",INDEX('Detalle individual'!$C:$C,$G91))</f>
        <v/>
      </c>
      <c r="E91" s="5" t="str">
        <f>IF($G91="","",INDEX('Detalle individual'!$D:$D,$G91))</f>
        <v/>
      </c>
      <c r="G91" t="str">
        <f>IFERROR(MATCH(SMALL(Cálculos!$AH$5:$AH$1000,87),Cálculos!$AH$5:$AH$1000,0)+4,"")</f>
        <v/>
      </c>
    </row>
    <row r="92">
      <c r="A92" s="5" t="str">
        <f>IF($G92="","",INDEX('Detalle individual'!$B:$B,$G92))</f>
        <v/>
      </c>
      <c r="B92" s="5" t="str">
        <f>IF($G92="","",INDEX('Detalle individual'!$A:$A,$G92))</f>
        <v/>
      </c>
      <c r="C92" s="5" t="str">
        <f>IF($G92="","",INDEX('Detalle individual'!$E:$E,$G92))</f>
        <v/>
      </c>
      <c r="D92" s="5" t="str">
        <f>IF($G92="","",INDEX('Detalle individual'!$C:$C,$G92))</f>
        <v/>
      </c>
      <c r="E92" s="5" t="str">
        <f>IF($G92="","",INDEX('Detalle individual'!$D:$D,$G92))</f>
        <v/>
      </c>
      <c r="G92" t="str">
        <f>IFERROR(MATCH(SMALL(Cálculos!$AH$5:$AH$1000,88),Cálculos!$AH$5:$AH$1000,0)+4,"")</f>
        <v/>
      </c>
    </row>
    <row r="93">
      <c r="A93" s="5" t="str">
        <f>IF($G93="","",INDEX('Detalle individual'!$B:$B,$G93))</f>
        <v/>
      </c>
      <c r="B93" s="5" t="str">
        <f>IF($G93="","",INDEX('Detalle individual'!$A:$A,$G93))</f>
        <v/>
      </c>
      <c r="C93" s="5" t="str">
        <f>IF($G93="","",INDEX('Detalle individual'!$E:$E,$G93))</f>
        <v/>
      </c>
      <c r="D93" s="5" t="str">
        <f>IF($G93="","",INDEX('Detalle individual'!$C:$C,$G93))</f>
        <v/>
      </c>
      <c r="E93" s="5" t="str">
        <f>IF($G93="","",INDEX('Detalle individual'!$D:$D,$G93))</f>
        <v/>
      </c>
      <c r="G93" t="str">
        <f>IFERROR(MATCH(SMALL(Cálculos!$AH$5:$AH$1000,89),Cálculos!$AH$5:$AH$1000,0)+4,"")</f>
        <v/>
      </c>
    </row>
    <row r="94">
      <c r="A94" s="5" t="str">
        <f>IF($G94="","",INDEX('Detalle individual'!$B:$B,$G94))</f>
        <v/>
      </c>
      <c r="B94" s="5" t="str">
        <f>IF($G94="","",INDEX('Detalle individual'!$A:$A,$G94))</f>
        <v/>
      </c>
      <c r="C94" s="5" t="str">
        <f>IF($G94="","",INDEX('Detalle individual'!$E:$E,$G94))</f>
        <v/>
      </c>
      <c r="D94" s="5" t="str">
        <f>IF($G94="","",INDEX('Detalle individual'!$C:$C,$G94))</f>
        <v/>
      </c>
      <c r="E94" s="5" t="str">
        <f>IF($G94="","",INDEX('Detalle individual'!$D:$D,$G94))</f>
        <v/>
      </c>
      <c r="G94" t="str">
        <f>IFERROR(MATCH(SMALL(Cálculos!$AH$5:$AH$1000,90),Cálculos!$AH$5:$AH$1000,0)+4,"")</f>
        <v/>
      </c>
    </row>
    <row r="95">
      <c r="A95" s="5" t="str">
        <f>IF($G95="","",INDEX('Detalle individual'!$B:$B,$G95))</f>
        <v/>
      </c>
      <c r="B95" s="5" t="str">
        <f>IF($G95="","",INDEX('Detalle individual'!$A:$A,$G95))</f>
        <v/>
      </c>
      <c r="C95" s="5" t="str">
        <f>IF($G95="","",INDEX('Detalle individual'!$E:$E,$G95))</f>
        <v/>
      </c>
      <c r="D95" s="5" t="str">
        <f>IF($G95="","",INDEX('Detalle individual'!$C:$C,$G95))</f>
        <v/>
      </c>
      <c r="E95" s="5" t="str">
        <f>IF($G95="","",INDEX('Detalle individual'!$D:$D,$G95))</f>
        <v/>
      </c>
      <c r="G95" t="str">
        <f>IFERROR(MATCH(SMALL(Cálculos!$AH$5:$AH$1000,91),Cálculos!$AH$5:$AH$1000,0)+4,"")</f>
        <v/>
      </c>
    </row>
    <row r="96">
      <c r="A96" s="5" t="str">
        <f>IF($G96="","",INDEX('Detalle individual'!$B:$B,$G96))</f>
        <v/>
      </c>
      <c r="B96" s="5" t="str">
        <f>IF($G96="","",INDEX('Detalle individual'!$A:$A,$G96))</f>
        <v/>
      </c>
      <c r="C96" s="5" t="str">
        <f>IF($G96="","",INDEX('Detalle individual'!$E:$E,$G96))</f>
        <v/>
      </c>
      <c r="D96" s="5" t="str">
        <f>IF($G96="","",INDEX('Detalle individual'!$C:$C,$G96))</f>
        <v/>
      </c>
      <c r="E96" s="5" t="str">
        <f>IF($G96="","",INDEX('Detalle individual'!$D:$D,$G96))</f>
        <v/>
      </c>
      <c r="G96" t="str">
        <f>IFERROR(MATCH(SMALL(Cálculos!$AH$5:$AH$1000,92),Cálculos!$AH$5:$AH$1000,0)+4,"")</f>
        <v/>
      </c>
    </row>
    <row r="97">
      <c r="A97" s="5" t="str">
        <f>IF($G97="","",INDEX('Detalle individual'!$B:$B,$G97))</f>
        <v/>
      </c>
      <c r="B97" s="5" t="str">
        <f>IF($G97="","",INDEX('Detalle individual'!$A:$A,$G97))</f>
        <v/>
      </c>
      <c r="C97" s="5" t="str">
        <f>IF($G97="","",INDEX('Detalle individual'!$E:$E,$G97))</f>
        <v/>
      </c>
      <c r="D97" s="5" t="str">
        <f>IF($G97="","",INDEX('Detalle individual'!$C:$C,$G97))</f>
        <v/>
      </c>
      <c r="E97" s="5" t="str">
        <f>IF($G97="","",INDEX('Detalle individual'!$D:$D,$G97))</f>
        <v/>
      </c>
      <c r="G97" t="str">
        <f>IFERROR(MATCH(SMALL(Cálculos!$AH$5:$AH$1000,93),Cálculos!$AH$5:$AH$1000,0)+4,"")</f>
        <v/>
      </c>
    </row>
    <row r="98">
      <c r="A98" s="5" t="str">
        <f>IF($G98="","",INDEX('Detalle individual'!$B:$B,$G98))</f>
        <v/>
      </c>
      <c r="B98" s="5" t="str">
        <f>IF($G98="","",INDEX('Detalle individual'!$A:$A,$G98))</f>
        <v/>
      </c>
      <c r="C98" s="5" t="str">
        <f>IF($G98="","",INDEX('Detalle individual'!$E:$E,$G98))</f>
        <v/>
      </c>
      <c r="D98" s="5" t="str">
        <f>IF($G98="","",INDEX('Detalle individual'!$C:$C,$G98))</f>
        <v/>
      </c>
      <c r="E98" s="5" t="str">
        <f>IF($G98="","",INDEX('Detalle individual'!$D:$D,$G98))</f>
        <v/>
      </c>
      <c r="G98" t="str">
        <f>IFERROR(MATCH(SMALL(Cálculos!$AH$5:$AH$1000,94),Cálculos!$AH$5:$AH$1000,0)+4,"")</f>
        <v/>
      </c>
    </row>
    <row r="99">
      <c r="A99" s="5" t="str">
        <f>IF($G99="","",INDEX('Detalle individual'!$B:$B,$G99))</f>
        <v/>
      </c>
      <c r="B99" s="5" t="str">
        <f>IF($G99="","",INDEX('Detalle individual'!$A:$A,$G99))</f>
        <v/>
      </c>
      <c r="C99" s="5" t="str">
        <f>IF($G99="","",INDEX('Detalle individual'!$E:$E,$G99))</f>
        <v/>
      </c>
      <c r="D99" s="5" t="str">
        <f>IF($G99="","",INDEX('Detalle individual'!$C:$C,$G99))</f>
        <v/>
      </c>
      <c r="E99" s="5" t="str">
        <f>IF($G99="","",INDEX('Detalle individual'!$D:$D,$G99))</f>
        <v/>
      </c>
      <c r="G99" t="str">
        <f>IFERROR(MATCH(SMALL(Cálculos!$AH$5:$AH$1000,95),Cálculos!$AH$5:$AH$1000,0)+4,"")</f>
        <v/>
      </c>
    </row>
    <row r="100">
      <c r="A100" s="5" t="str">
        <f>IF($G100="","",INDEX('Detalle individual'!$B:$B,$G100))</f>
        <v/>
      </c>
      <c r="B100" s="5" t="str">
        <f>IF($G100="","",INDEX('Detalle individual'!$A:$A,$G100))</f>
        <v/>
      </c>
      <c r="C100" s="5" t="str">
        <f>IF($G100="","",INDEX('Detalle individual'!$E:$E,$G100))</f>
        <v/>
      </c>
      <c r="D100" s="5" t="str">
        <f>IF($G100="","",INDEX('Detalle individual'!$C:$C,$G100))</f>
        <v/>
      </c>
      <c r="E100" s="5" t="str">
        <f>IF($G100="","",INDEX('Detalle individual'!$D:$D,$G100))</f>
        <v/>
      </c>
      <c r="G100" t="str">
        <f>IFERROR(MATCH(SMALL(Cálculos!$AH$5:$AH$1000,96),Cálculos!$AH$5:$AH$1000,0)+4,"")</f>
        <v/>
      </c>
    </row>
    <row r="101">
      <c r="A101" s="5" t="str">
        <f>IF($G101="","",INDEX('Detalle individual'!$B:$B,$G101))</f>
        <v/>
      </c>
      <c r="B101" s="5" t="str">
        <f>IF($G101="","",INDEX('Detalle individual'!$A:$A,$G101))</f>
        <v/>
      </c>
      <c r="C101" s="5" t="str">
        <f>IF($G101="","",INDEX('Detalle individual'!$E:$E,$G101))</f>
        <v/>
      </c>
      <c r="D101" s="5" t="str">
        <f>IF($G101="","",INDEX('Detalle individual'!$C:$C,$G101))</f>
        <v/>
      </c>
      <c r="E101" s="5" t="str">
        <f>IF($G101="","",INDEX('Detalle individual'!$D:$D,$G101))</f>
        <v/>
      </c>
      <c r="G101" t="str">
        <f>IFERROR(MATCH(SMALL(Cálculos!$AH$5:$AH$1000,97),Cálculos!$AH$5:$AH$1000,0)+4,"")</f>
        <v/>
      </c>
    </row>
    <row r="102">
      <c r="A102" s="5" t="str">
        <f>IF($G102="","",INDEX('Detalle individual'!$B:$B,$G102))</f>
        <v/>
      </c>
      <c r="B102" s="5" t="str">
        <f>IF($G102="","",INDEX('Detalle individual'!$A:$A,$G102))</f>
        <v/>
      </c>
      <c r="C102" s="5" t="str">
        <f>IF($G102="","",INDEX('Detalle individual'!$E:$E,$G102))</f>
        <v/>
      </c>
      <c r="D102" s="5" t="str">
        <f>IF($G102="","",INDEX('Detalle individual'!$C:$C,$G102))</f>
        <v/>
      </c>
      <c r="E102" s="5" t="str">
        <f>IF($G102="","",INDEX('Detalle individual'!$D:$D,$G102))</f>
        <v/>
      </c>
      <c r="G102" t="str">
        <f>IFERROR(MATCH(SMALL(Cálculos!$AH$5:$AH$1000,98),Cálculos!$AH$5:$AH$1000,0)+4,"")</f>
        <v/>
      </c>
    </row>
    <row r="103">
      <c r="A103" s="5" t="str">
        <f>IF($G103="","",INDEX('Detalle individual'!$B:$B,$G103))</f>
        <v/>
      </c>
      <c r="B103" s="5" t="str">
        <f>IF($G103="","",INDEX('Detalle individual'!$A:$A,$G103))</f>
        <v/>
      </c>
      <c r="C103" s="5" t="str">
        <f>IF($G103="","",INDEX('Detalle individual'!$E:$E,$G103))</f>
        <v/>
      </c>
      <c r="D103" s="5" t="str">
        <f>IF($G103="","",INDEX('Detalle individual'!$C:$C,$G103))</f>
        <v/>
      </c>
      <c r="E103" s="5" t="str">
        <f>IF($G103="","",INDEX('Detalle individual'!$D:$D,$G103))</f>
        <v/>
      </c>
      <c r="G103" t="str">
        <f>IFERROR(MATCH(SMALL(Cálculos!$AH$5:$AH$1000,99),Cálculos!$AH$5:$AH$1000,0)+4,"")</f>
        <v/>
      </c>
    </row>
    <row r="104">
      <c r="A104" s="5" t="str">
        <f>IF($G104="","",INDEX('Detalle individual'!$B:$B,$G104))</f>
        <v/>
      </c>
      <c r="B104" s="5" t="str">
        <f>IF($G104="","",INDEX('Detalle individual'!$A:$A,$G104))</f>
        <v/>
      </c>
      <c r="C104" s="5" t="str">
        <f>IF($G104="","",INDEX('Detalle individual'!$E:$E,$G104))</f>
        <v/>
      </c>
      <c r="D104" s="5" t="str">
        <f>IF($G104="","",INDEX('Detalle individual'!$C:$C,$G104))</f>
        <v/>
      </c>
      <c r="E104" s="5" t="str">
        <f>IF($G104="","",INDEX('Detalle individual'!$D:$D,$G104))</f>
        <v/>
      </c>
      <c r="G104" t="str">
        <f>IFERROR(MATCH(SMALL(Cálculos!$AH$5:$AH$1000,100),Cálculos!$AH$5:$AH$1000,0)+4,"")</f>
        <v/>
      </c>
    </row>
    <row r="105">
      <c r="A105" s="5" t="str">
        <f>IF($G105="","",INDEX('Detalle individual'!$B:$B,$G105))</f>
        <v/>
      </c>
      <c r="B105" s="5" t="str">
        <f>IF($G105="","",INDEX('Detalle individual'!$A:$A,$G105))</f>
        <v/>
      </c>
      <c r="C105" s="5" t="str">
        <f>IF($G105="","",INDEX('Detalle individual'!$E:$E,$G105))</f>
        <v/>
      </c>
      <c r="D105" s="5" t="str">
        <f>IF($G105="","",INDEX('Detalle individual'!$C:$C,$G105))</f>
        <v/>
      </c>
      <c r="E105" s="5" t="str">
        <f>IF($G105="","",INDEX('Detalle individual'!$D:$D,$G105))</f>
        <v/>
      </c>
      <c r="G105" t="str">
        <f>IFERROR(MATCH(SMALL(Cálculos!$AH$5:$AH$1000,101),Cálculos!$AH$5:$AH$1000,0)+4,"")</f>
        <v/>
      </c>
    </row>
    <row r="106">
      <c r="A106" s="5" t="str">
        <f>IF($G106="","",INDEX('Detalle individual'!$B:$B,$G106))</f>
        <v/>
      </c>
      <c r="B106" s="5" t="str">
        <f>IF($G106="","",INDEX('Detalle individual'!$A:$A,$G106))</f>
        <v/>
      </c>
      <c r="C106" s="5" t="str">
        <f>IF($G106="","",INDEX('Detalle individual'!$E:$E,$G106))</f>
        <v/>
      </c>
      <c r="D106" s="5" t="str">
        <f>IF($G106="","",INDEX('Detalle individual'!$C:$C,$G106))</f>
        <v/>
      </c>
      <c r="E106" s="5" t="str">
        <f>IF($G106="","",INDEX('Detalle individual'!$D:$D,$G106))</f>
        <v/>
      </c>
      <c r="G106" t="str">
        <f>IFERROR(MATCH(SMALL(Cálculos!$AH$5:$AH$1000,102),Cálculos!$AH$5:$AH$1000,0)+4,"")</f>
        <v/>
      </c>
    </row>
    <row r="107">
      <c r="A107" s="5" t="str">
        <f>IF($G107="","",INDEX('Detalle individual'!$B:$B,$G107))</f>
        <v/>
      </c>
      <c r="B107" s="5" t="str">
        <f>IF($G107="","",INDEX('Detalle individual'!$A:$A,$G107))</f>
        <v/>
      </c>
      <c r="C107" s="5" t="str">
        <f>IF($G107="","",INDEX('Detalle individual'!$E:$E,$G107))</f>
        <v/>
      </c>
      <c r="D107" s="5" t="str">
        <f>IF($G107="","",INDEX('Detalle individual'!$C:$C,$G107))</f>
        <v/>
      </c>
      <c r="E107" s="5" t="str">
        <f>IF($G107="","",INDEX('Detalle individual'!$D:$D,$G107))</f>
        <v/>
      </c>
      <c r="G107" t="str">
        <f>IFERROR(MATCH(SMALL(Cálculos!$AH$5:$AH$1000,103),Cálculos!$AH$5:$AH$1000,0)+4,"")</f>
        <v/>
      </c>
    </row>
    <row r="108">
      <c r="A108" s="5" t="str">
        <f>IF($G108="","",INDEX('Detalle individual'!$B:$B,$G108))</f>
        <v/>
      </c>
      <c r="B108" s="5" t="str">
        <f>IF($G108="","",INDEX('Detalle individual'!$A:$A,$G108))</f>
        <v/>
      </c>
      <c r="C108" s="5" t="str">
        <f>IF($G108="","",INDEX('Detalle individual'!$E:$E,$G108))</f>
        <v/>
      </c>
      <c r="D108" s="5" t="str">
        <f>IF($G108="","",INDEX('Detalle individual'!$C:$C,$G108))</f>
        <v/>
      </c>
      <c r="E108" s="5" t="str">
        <f>IF($G108="","",INDEX('Detalle individual'!$D:$D,$G108))</f>
        <v/>
      </c>
      <c r="G108" t="str">
        <f>IFERROR(MATCH(SMALL(Cálculos!$AH$5:$AH$1000,104),Cálculos!$AH$5:$AH$1000,0)+4,"")</f>
        <v/>
      </c>
    </row>
    <row r="109">
      <c r="A109" s="5" t="str">
        <f>IF($G109="","",INDEX('Detalle individual'!$B:$B,$G109))</f>
        <v/>
      </c>
      <c r="B109" s="5" t="str">
        <f>IF($G109="","",INDEX('Detalle individual'!$A:$A,$G109))</f>
        <v/>
      </c>
      <c r="C109" s="5" t="str">
        <f>IF($G109="","",INDEX('Detalle individual'!$E:$E,$G109))</f>
        <v/>
      </c>
      <c r="D109" s="5" t="str">
        <f>IF($G109="","",INDEX('Detalle individual'!$C:$C,$G109))</f>
        <v/>
      </c>
      <c r="E109" s="5" t="str">
        <f>IF($G109="","",INDEX('Detalle individual'!$D:$D,$G109))</f>
        <v/>
      </c>
      <c r="G109" t="str">
        <f>IFERROR(MATCH(SMALL(Cálculos!$AH$5:$AH$1000,105),Cálculos!$AH$5:$AH$1000,0)+4,"")</f>
        <v/>
      </c>
    </row>
    <row r="110">
      <c r="A110" s="5" t="str">
        <f>IF($G110="","",INDEX('Detalle individual'!$B:$B,$G110))</f>
        <v/>
      </c>
      <c r="B110" s="5" t="str">
        <f>IF($G110="","",INDEX('Detalle individual'!$A:$A,$G110))</f>
        <v/>
      </c>
      <c r="C110" s="5" t="str">
        <f>IF($G110="","",INDEX('Detalle individual'!$E:$E,$G110))</f>
        <v/>
      </c>
      <c r="D110" s="5" t="str">
        <f>IF($G110="","",INDEX('Detalle individual'!$C:$C,$G110))</f>
        <v/>
      </c>
      <c r="E110" s="5" t="str">
        <f>IF($G110="","",INDEX('Detalle individual'!$D:$D,$G110))</f>
        <v/>
      </c>
      <c r="G110" t="str">
        <f>IFERROR(MATCH(SMALL(Cálculos!$AH$5:$AH$1000,106),Cálculos!$AH$5:$AH$1000,0)+4,"")</f>
        <v/>
      </c>
    </row>
    <row r="111">
      <c r="A111" s="5" t="str">
        <f>IF($G111="","",INDEX('Detalle individual'!$B:$B,$G111))</f>
        <v/>
      </c>
      <c r="B111" s="5" t="str">
        <f>IF($G111="","",INDEX('Detalle individual'!$A:$A,$G111))</f>
        <v/>
      </c>
      <c r="C111" s="5" t="str">
        <f>IF($G111="","",INDEX('Detalle individual'!$E:$E,$G111))</f>
        <v/>
      </c>
      <c r="D111" s="5" t="str">
        <f>IF($G111="","",INDEX('Detalle individual'!$C:$C,$G111))</f>
        <v/>
      </c>
      <c r="E111" s="5" t="str">
        <f>IF($G111="","",INDEX('Detalle individual'!$D:$D,$G111))</f>
        <v/>
      </c>
      <c r="G111" t="str">
        <f>IFERROR(MATCH(SMALL(Cálculos!$AH$5:$AH$1000,107),Cálculos!$AH$5:$AH$1000,0)+4,"")</f>
        <v/>
      </c>
    </row>
    <row r="112">
      <c r="A112" s="5" t="str">
        <f>IF($G112="","",INDEX('Detalle individual'!$B:$B,$G112))</f>
        <v/>
      </c>
      <c r="B112" s="5" t="str">
        <f>IF($G112="","",INDEX('Detalle individual'!$A:$A,$G112))</f>
        <v/>
      </c>
      <c r="C112" s="5" t="str">
        <f>IF($G112="","",INDEX('Detalle individual'!$E:$E,$G112))</f>
        <v/>
      </c>
      <c r="D112" s="5" t="str">
        <f>IF($G112="","",INDEX('Detalle individual'!$C:$C,$G112))</f>
        <v/>
      </c>
      <c r="E112" s="5" t="str">
        <f>IF($G112="","",INDEX('Detalle individual'!$D:$D,$G112))</f>
        <v/>
      </c>
      <c r="G112" t="str">
        <f>IFERROR(MATCH(SMALL(Cálculos!$AH$5:$AH$1000,108),Cálculos!$AH$5:$AH$1000,0)+4,"")</f>
        <v/>
      </c>
    </row>
    <row r="113">
      <c r="A113" s="5" t="str">
        <f>IF($G113="","",INDEX('Detalle individual'!$B:$B,$G113))</f>
        <v/>
      </c>
      <c r="B113" s="5" t="str">
        <f>IF($G113="","",INDEX('Detalle individual'!$A:$A,$G113))</f>
        <v/>
      </c>
      <c r="C113" s="5" t="str">
        <f>IF($G113="","",INDEX('Detalle individual'!$E:$E,$G113))</f>
        <v/>
      </c>
      <c r="D113" s="5" t="str">
        <f>IF($G113="","",INDEX('Detalle individual'!$C:$C,$G113))</f>
        <v/>
      </c>
      <c r="E113" s="5" t="str">
        <f>IF($G113="","",INDEX('Detalle individual'!$D:$D,$G113))</f>
        <v/>
      </c>
      <c r="G113" t="str">
        <f>IFERROR(MATCH(SMALL(Cálculos!$AH$5:$AH$1000,109),Cálculos!$AH$5:$AH$1000,0)+4,"")</f>
        <v/>
      </c>
    </row>
    <row r="114">
      <c r="A114" s="5" t="str">
        <f>IF($G114="","",INDEX('Detalle individual'!$B:$B,$G114))</f>
        <v/>
      </c>
      <c r="B114" s="5" t="str">
        <f>IF($G114="","",INDEX('Detalle individual'!$A:$A,$G114))</f>
        <v/>
      </c>
      <c r="C114" s="5" t="str">
        <f>IF($G114="","",INDEX('Detalle individual'!$E:$E,$G114))</f>
        <v/>
      </c>
      <c r="D114" s="5" t="str">
        <f>IF($G114="","",INDEX('Detalle individual'!$C:$C,$G114))</f>
        <v/>
      </c>
      <c r="E114" s="5" t="str">
        <f>IF($G114="","",INDEX('Detalle individual'!$D:$D,$G114))</f>
        <v/>
      </c>
      <c r="G114" t="str">
        <f>IFERROR(MATCH(SMALL(Cálculos!$AH$5:$AH$1000,110),Cálculos!$AH$5:$AH$1000,0)+4,"")</f>
        <v/>
      </c>
    </row>
    <row r="115">
      <c r="A115" s="5" t="str">
        <f>IF($G115="","",INDEX('Detalle individual'!$B:$B,$G115))</f>
        <v/>
      </c>
      <c r="B115" s="5" t="str">
        <f>IF($G115="","",INDEX('Detalle individual'!$A:$A,$G115))</f>
        <v/>
      </c>
      <c r="C115" s="5" t="str">
        <f>IF($G115="","",INDEX('Detalle individual'!$E:$E,$G115))</f>
        <v/>
      </c>
      <c r="D115" s="5" t="str">
        <f>IF($G115="","",INDEX('Detalle individual'!$C:$C,$G115))</f>
        <v/>
      </c>
      <c r="E115" s="5" t="str">
        <f>IF($G115="","",INDEX('Detalle individual'!$D:$D,$G115))</f>
        <v/>
      </c>
      <c r="G115" t="str">
        <f>IFERROR(MATCH(SMALL(Cálculos!$AH$5:$AH$1000,111),Cálculos!$AH$5:$AH$1000,0)+4,"")</f>
        <v/>
      </c>
    </row>
    <row r="116">
      <c r="A116" s="5" t="str">
        <f>IF($G116="","",INDEX('Detalle individual'!$B:$B,$G116))</f>
        <v/>
      </c>
      <c r="B116" s="5" t="str">
        <f>IF($G116="","",INDEX('Detalle individual'!$A:$A,$G116))</f>
        <v/>
      </c>
      <c r="C116" s="5" t="str">
        <f>IF($G116="","",INDEX('Detalle individual'!$E:$E,$G116))</f>
        <v/>
      </c>
      <c r="D116" s="5" t="str">
        <f>IF($G116="","",INDEX('Detalle individual'!$C:$C,$G116))</f>
        <v/>
      </c>
      <c r="E116" s="5" t="str">
        <f>IF($G116="","",INDEX('Detalle individual'!$D:$D,$G116))</f>
        <v/>
      </c>
      <c r="G116" t="str">
        <f>IFERROR(MATCH(SMALL(Cálculos!$AH$5:$AH$1000,112),Cálculos!$AH$5:$AH$1000,0)+4,"")</f>
        <v/>
      </c>
    </row>
    <row r="117">
      <c r="A117" s="5" t="str">
        <f>IF($G117="","",INDEX('Detalle individual'!$B:$B,$G117))</f>
        <v/>
      </c>
      <c r="B117" s="5" t="str">
        <f>IF($G117="","",INDEX('Detalle individual'!$A:$A,$G117))</f>
        <v/>
      </c>
      <c r="C117" s="5" t="str">
        <f>IF($G117="","",INDEX('Detalle individual'!$E:$E,$G117))</f>
        <v/>
      </c>
      <c r="D117" s="5" t="str">
        <f>IF($G117="","",INDEX('Detalle individual'!$C:$C,$G117))</f>
        <v/>
      </c>
      <c r="E117" s="5" t="str">
        <f>IF($G117="","",INDEX('Detalle individual'!$D:$D,$G117))</f>
        <v/>
      </c>
      <c r="G117" t="str">
        <f>IFERROR(MATCH(SMALL(Cálculos!$AH$5:$AH$1000,113),Cálculos!$AH$5:$AH$1000,0)+4,"")</f>
        <v/>
      </c>
    </row>
    <row r="118">
      <c r="A118" s="5" t="str">
        <f>IF($G118="","",INDEX('Detalle individual'!$B:$B,$G118))</f>
        <v/>
      </c>
      <c r="B118" s="5" t="str">
        <f>IF($G118="","",INDEX('Detalle individual'!$A:$A,$G118))</f>
        <v/>
      </c>
      <c r="C118" s="5" t="str">
        <f>IF($G118="","",INDEX('Detalle individual'!$E:$E,$G118))</f>
        <v/>
      </c>
      <c r="D118" s="5" t="str">
        <f>IF($G118="","",INDEX('Detalle individual'!$C:$C,$G118))</f>
        <v/>
      </c>
      <c r="E118" s="5" t="str">
        <f>IF($G118="","",INDEX('Detalle individual'!$D:$D,$G118))</f>
        <v/>
      </c>
      <c r="G118" t="str">
        <f>IFERROR(MATCH(SMALL(Cálculos!$AH$5:$AH$1000,114),Cálculos!$AH$5:$AH$1000,0)+4,"")</f>
        <v/>
      </c>
    </row>
    <row r="119">
      <c r="A119" s="5" t="str">
        <f>IF($G119="","",INDEX('Detalle individual'!$B:$B,$G119))</f>
        <v/>
      </c>
      <c r="B119" s="5" t="str">
        <f>IF($G119="","",INDEX('Detalle individual'!$A:$A,$G119))</f>
        <v/>
      </c>
      <c r="C119" s="5" t="str">
        <f>IF($G119="","",INDEX('Detalle individual'!$E:$E,$G119))</f>
        <v/>
      </c>
      <c r="D119" s="5" t="str">
        <f>IF($G119="","",INDEX('Detalle individual'!$C:$C,$G119))</f>
        <v/>
      </c>
      <c r="E119" s="5" t="str">
        <f>IF($G119="","",INDEX('Detalle individual'!$D:$D,$G119))</f>
        <v/>
      </c>
      <c r="G119" t="str">
        <f>IFERROR(MATCH(SMALL(Cálculos!$AH$5:$AH$1000,115),Cálculos!$AH$5:$AH$1000,0)+4,"")</f>
        <v/>
      </c>
    </row>
    <row r="120">
      <c r="A120" s="5" t="str">
        <f>IF($G120="","",INDEX('Detalle individual'!$B:$B,$G120))</f>
        <v/>
      </c>
      <c r="B120" s="5" t="str">
        <f>IF($G120="","",INDEX('Detalle individual'!$A:$A,$G120))</f>
        <v/>
      </c>
      <c r="C120" s="5" t="str">
        <f>IF($G120="","",INDEX('Detalle individual'!$E:$E,$G120))</f>
        <v/>
      </c>
      <c r="D120" s="5" t="str">
        <f>IF($G120="","",INDEX('Detalle individual'!$C:$C,$G120))</f>
        <v/>
      </c>
      <c r="E120" s="5" t="str">
        <f>IF($G120="","",INDEX('Detalle individual'!$D:$D,$G120))</f>
        <v/>
      </c>
      <c r="G120" t="str">
        <f>IFERROR(MATCH(SMALL(Cálculos!$AH$5:$AH$1000,116),Cálculos!$AH$5:$AH$1000,0)+4,"")</f>
        <v/>
      </c>
    </row>
    <row r="121">
      <c r="A121" s="5" t="str">
        <f>IF($G121="","",INDEX('Detalle individual'!$B:$B,$G121))</f>
        <v/>
      </c>
      <c r="B121" s="5" t="str">
        <f>IF($G121="","",INDEX('Detalle individual'!$A:$A,$G121))</f>
        <v/>
      </c>
      <c r="C121" s="5" t="str">
        <f>IF($G121="","",INDEX('Detalle individual'!$E:$E,$G121))</f>
        <v/>
      </c>
      <c r="D121" s="5" t="str">
        <f>IF($G121="","",INDEX('Detalle individual'!$C:$C,$G121))</f>
        <v/>
      </c>
      <c r="E121" s="5" t="str">
        <f>IF($G121="","",INDEX('Detalle individual'!$D:$D,$G121))</f>
        <v/>
      </c>
      <c r="G121" t="str">
        <f>IFERROR(MATCH(SMALL(Cálculos!$AH$5:$AH$1000,117),Cálculos!$AH$5:$AH$1000,0)+4,"")</f>
        <v/>
      </c>
    </row>
    <row r="122">
      <c r="A122" s="5" t="str">
        <f>IF($G122="","",INDEX('Detalle individual'!$B:$B,$G122))</f>
        <v/>
      </c>
      <c r="B122" s="5" t="str">
        <f>IF($G122="","",INDEX('Detalle individual'!$A:$A,$G122))</f>
        <v/>
      </c>
      <c r="C122" s="5" t="str">
        <f>IF($G122="","",INDEX('Detalle individual'!$E:$E,$G122))</f>
        <v/>
      </c>
      <c r="D122" s="5" t="str">
        <f>IF($G122="","",INDEX('Detalle individual'!$C:$C,$G122))</f>
        <v/>
      </c>
      <c r="E122" s="5" t="str">
        <f>IF($G122="","",INDEX('Detalle individual'!$D:$D,$G122))</f>
        <v/>
      </c>
      <c r="G122" t="str">
        <f>IFERROR(MATCH(SMALL(Cálculos!$AH$5:$AH$1000,118),Cálculos!$AH$5:$AH$1000,0)+4,"")</f>
        <v/>
      </c>
    </row>
    <row r="123">
      <c r="A123" s="5" t="str">
        <f>IF($G123="","",INDEX('Detalle individual'!$B:$B,$G123))</f>
        <v/>
      </c>
      <c r="B123" s="5" t="str">
        <f>IF($G123="","",INDEX('Detalle individual'!$A:$A,$G123))</f>
        <v/>
      </c>
      <c r="C123" s="5" t="str">
        <f>IF($G123="","",INDEX('Detalle individual'!$E:$E,$G123))</f>
        <v/>
      </c>
      <c r="D123" s="5" t="str">
        <f>IF($G123="","",INDEX('Detalle individual'!$C:$C,$G123))</f>
        <v/>
      </c>
      <c r="E123" s="5" t="str">
        <f>IF($G123="","",INDEX('Detalle individual'!$D:$D,$G123))</f>
        <v/>
      </c>
      <c r="G123" t="str">
        <f>IFERROR(MATCH(SMALL(Cálculos!$AH$5:$AH$1000,119),Cálculos!$AH$5:$AH$1000,0)+4,"")</f>
        <v/>
      </c>
    </row>
    <row r="124">
      <c r="A124" s="5" t="str">
        <f>IF($G124="","",INDEX('Detalle individual'!$B:$B,$G124))</f>
        <v/>
      </c>
      <c r="B124" s="5" t="str">
        <f>IF($G124="","",INDEX('Detalle individual'!$A:$A,$G124))</f>
        <v/>
      </c>
      <c r="C124" s="5" t="str">
        <f>IF($G124="","",INDEX('Detalle individual'!$E:$E,$G124))</f>
        <v/>
      </c>
      <c r="D124" s="5" t="str">
        <f>IF($G124="","",INDEX('Detalle individual'!$C:$C,$G124))</f>
        <v/>
      </c>
      <c r="E124" s="5" t="str">
        <f>IF($G124="","",INDEX('Detalle individual'!$D:$D,$G124))</f>
        <v/>
      </c>
      <c r="G124" t="str">
        <f>IFERROR(MATCH(SMALL(Cálculos!$AH$5:$AH$1000,120),Cálculos!$AH$5:$AH$1000,0)+4,"")</f>
        <v/>
      </c>
    </row>
    <row r="125">
      <c r="A125" s="5" t="str">
        <f>IF($G125="","",INDEX('Detalle individual'!$B:$B,$G125))</f>
        <v/>
      </c>
      <c r="B125" s="5" t="str">
        <f>IF($G125="","",INDEX('Detalle individual'!$A:$A,$G125))</f>
        <v/>
      </c>
      <c r="C125" s="5" t="str">
        <f>IF($G125="","",INDEX('Detalle individual'!$E:$E,$G125))</f>
        <v/>
      </c>
      <c r="D125" s="5" t="str">
        <f>IF($G125="","",INDEX('Detalle individual'!$C:$C,$G125))</f>
        <v/>
      </c>
      <c r="E125" s="5" t="str">
        <f>IF($G125="","",INDEX('Detalle individual'!$D:$D,$G125))</f>
        <v/>
      </c>
      <c r="G125" t="str">
        <f>IFERROR(MATCH(SMALL(Cálculos!$AH$5:$AH$1000,121),Cálculos!$AH$5:$AH$1000,0)+4,"")</f>
        <v/>
      </c>
    </row>
    <row r="126">
      <c r="A126" s="5" t="str">
        <f>IF($G126="","",INDEX('Detalle individual'!$B:$B,$G126))</f>
        <v/>
      </c>
      <c r="B126" s="5" t="str">
        <f>IF($G126="","",INDEX('Detalle individual'!$A:$A,$G126))</f>
        <v/>
      </c>
      <c r="C126" s="5" t="str">
        <f>IF($G126="","",INDEX('Detalle individual'!$E:$E,$G126))</f>
        <v/>
      </c>
      <c r="D126" s="5" t="str">
        <f>IF($G126="","",INDEX('Detalle individual'!$C:$C,$G126))</f>
        <v/>
      </c>
      <c r="E126" s="5" t="str">
        <f>IF($G126="","",INDEX('Detalle individual'!$D:$D,$G126))</f>
        <v/>
      </c>
      <c r="G126" t="str">
        <f>IFERROR(MATCH(SMALL(Cálculos!$AH$5:$AH$1000,122),Cálculos!$AH$5:$AH$1000,0)+4,"")</f>
        <v/>
      </c>
    </row>
    <row r="127">
      <c r="A127" s="5" t="str">
        <f>IF($G127="","",INDEX('Detalle individual'!$B:$B,$G127))</f>
        <v/>
      </c>
      <c r="B127" s="5" t="str">
        <f>IF($G127="","",INDEX('Detalle individual'!$A:$A,$G127))</f>
        <v/>
      </c>
      <c r="C127" s="5" t="str">
        <f>IF($G127="","",INDEX('Detalle individual'!$E:$E,$G127))</f>
        <v/>
      </c>
      <c r="D127" s="5" t="str">
        <f>IF($G127="","",INDEX('Detalle individual'!$C:$C,$G127))</f>
        <v/>
      </c>
      <c r="E127" s="5" t="str">
        <f>IF($G127="","",INDEX('Detalle individual'!$D:$D,$G127))</f>
        <v/>
      </c>
      <c r="G127" t="str">
        <f>IFERROR(MATCH(SMALL(Cálculos!$AH$5:$AH$1000,123),Cálculos!$AH$5:$AH$1000,0)+4,"")</f>
        <v/>
      </c>
    </row>
    <row r="128">
      <c r="A128" s="5" t="str">
        <f>IF($G128="","",INDEX('Detalle individual'!$B:$B,$G128))</f>
        <v/>
      </c>
      <c r="B128" s="5" t="str">
        <f>IF($G128="","",INDEX('Detalle individual'!$A:$A,$G128))</f>
        <v/>
      </c>
      <c r="C128" s="5" t="str">
        <f>IF($G128="","",INDEX('Detalle individual'!$E:$E,$G128))</f>
        <v/>
      </c>
      <c r="D128" s="5" t="str">
        <f>IF($G128="","",INDEX('Detalle individual'!$C:$C,$G128))</f>
        <v/>
      </c>
      <c r="E128" s="5" t="str">
        <f>IF($G128="","",INDEX('Detalle individual'!$D:$D,$G128))</f>
        <v/>
      </c>
      <c r="G128" t="str">
        <f>IFERROR(MATCH(SMALL(Cálculos!$AH$5:$AH$1000,124),Cálculos!$AH$5:$AH$1000,0)+4,"")</f>
        <v/>
      </c>
    </row>
    <row r="129">
      <c r="A129" s="5" t="str">
        <f>IF($G129="","",INDEX('Detalle individual'!$B:$B,$G129))</f>
        <v/>
      </c>
      <c r="B129" s="5" t="str">
        <f>IF($G129="","",INDEX('Detalle individual'!$A:$A,$G129))</f>
        <v/>
      </c>
      <c r="C129" s="5" t="str">
        <f>IF($G129="","",INDEX('Detalle individual'!$E:$E,$G129))</f>
        <v/>
      </c>
      <c r="D129" s="5" t="str">
        <f>IF($G129="","",INDEX('Detalle individual'!$C:$C,$G129))</f>
        <v/>
      </c>
      <c r="E129" s="5" t="str">
        <f>IF($G129="","",INDEX('Detalle individual'!$D:$D,$G129))</f>
        <v/>
      </c>
      <c r="G129" t="str">
        <f>IFERROR(MATCH(SMALL(Cálculos!$AH$5:$AH$1000,125),Cálculos!$AH$5:$AH$1000,0)+4,"")</f>
        <v/>
      </c>
    </row>
    <row r="130">
      <c r="A130" s="5" t="str">
        <f>IF($G130="","",INDEX('Detalle individual'!$B:$B,$G130))</f>
        <v/>
      </c>
      <c r="B130" s="5" t="str">
        <f>IF($G130="","",INDEX('Detalle individual'!$A:$A,$G130))</f>
        <v/>
      </c>
      <c r="C130" s="5" t="str">
        <f>IF($G130="","",INDEX('Detalle individual'!$E:$E,$G130))</f>
        <v/>
      </c>
      <c r="D130" s="5" t="str">
        <f>IF($G130="","",INDEX('Detalle individual'!$C:$C,$G130))</f>
        <v/>
      </c>
      <c r="E130" s="5" t="str">
        <f>IF($G130="","",INDEX('Detalle individual'!$D:$D,$G130))</f>
        <v/>
      </c>
      <c r="G130" t="str">
        <f>IFERROR(MATCH(SMALL(Cálculos!$AH$5:$AH$1000,126),Cálculos!$AH$5:$AH$1000,0)+4,"")</f>
        <v/>
      </c>
    </row>
    <row r="131">
      <c r="A131" s="5" t="str">
        <f>IF($G131="","",INDEX('Detalle individual'!$B:$B,$G131))</f>
        <v/>
      </c>
      <c r="B131" s="5" t="str">
        <f>IF($G131="","",INDEX('Detalle individual'!$A:$A,$G131))</f>
        <v/>
      </c>
      <c r="C131" s="5" t="str">
        <f>IF($G131="","",INDEX('Detalle individual'!$E:$E,$G131))</f>
        <v/>
      </c>
      <c r="D131" s="5" t="str">
        <f>IF($G131="","",INDEX('Detalle individual'!$C:$C,$G131))</f>
        <v/>
      </c>
      <c r="E131" s="5" t="str">
        <f>IF($G131="","",INDEX('Detalle individual'!$D:$D,$G131))</f>
        <v/>
      </c>
      <c r="G131" t="str">
        <f>IFERROR(MATCH(SMALL(Cálculos!$AH$5:$AH$1000,127),Cálculos!$AH$5:$AH$1000,0)+4,"")</f>
        <v/>
      </c>
    </row>
    <row r="132">
      <c r="A132" s="5" t="str">
        <f>IF($G132="","",INDEX('Detalle individual'!$B:$B,$G132))</f>
        <v/>
      </c>
      <c r="B132" s="5" t="str">
        <f>IF($G132="","",INDEX('Detalle individual'!$A:$A,$G132))</f>
        <v/>
      </c>
      <c r="C132" s="5" t="str">
        <f>IF($G132="","",INDEX('Detalle individual'!$E:$E,$G132))</f>
        <v/>
      </c>
      <c r="D132" s="5" t="str">
        <f>IF($G132="","",INDEX('Detalle individual'!$C:$C,$G132))</f>
        <v/>
      </c>
      <c r="E132" s="5" t="str">
        <f>IF($G132="","",INDEX('Detalle individual'!$D:$D,$G132))</f>
        <v/>
      </c>
      <c r="G132" t="str">
        <f>IFERROR(MATCH(SMALL(Cálculos!$AH$5:$AH$1000,128),Cálculos!$AH$5:$AH$1000,0)+4,"")</f>
        <v/>
      </c>
    </row>
    <row r="133">
      <c r="A133" s="5" t="str">
        <f>IF($G133="","",INDEX('Detalle individual'!$B:$B,$G133))</f>
        <v/>
      </c>
      <c r="B133" s="5" t="str">
        <f>IF($G133="","",INDEX('Detalle individual'!$A:$A,$G133))</f>
        <v/>
      </c>
      <c r="C133" s="5" t="str">
        <f>IF($G133="","",INDEX('Detalle individual'!$E:$E,$G133))</f>
        <v/>
      </c>
      <c r="D133" s="5" t="str">
        <f>IF($G133="","",INDEX('Detalle individual'!$C:$C,$G133))</f>
        <v/>
      </c>
      <c r="E133" s="5" t="str">
        <f>IF($G133="","",INDEX('Detalle individual'!$D:$D,$G133))</f>
        <v/>
      </c>
      <c r="G133" t="str">
        <f>IFERROR(MATCH(SMALL(Cálculos!$AH$5:$AH$1000,129),Cálculos!$AH$5:$AH$1000,0)+4,"")</f>
        <v/>
      </c>
    </row>
    <row r="134">
      <c r="A134" s="5" t="str">
        <f>IF($G134="","",INDEX('Detalle individual'!$B:$B,$G134))</f>
        <v/>
      </c>
      <c r="B134" s="5" t="str">
        <f>IF($G134="","",INDEX('Detalle individual'!$A:$A,$G134))</f>
        <v/>
      </c>
      <c r="C134" s="5" t="str">
        <f>IF($G134="","",INDEX('Detalle individual'!$E:$E,$G134))</f>
        <v/>
      </c>
      <c r="D134" s="5" t="str">
        <f>IF($G134="","",INDEX('Detalle individual'!$C:$C,$G134))</f>
        <v/>
      </c>
      <c r="E134" s="5" t="str">
        <f>IF($G134="","",INDEX('Detalle individual'!$D:$D,$G134))</f>
        <v/>
      </c>
      <c r="G134" t="str">
        <f>IFERROR(MATCH(SMALL(Cálculos!$AH$5:$AH$1000,130),Cálculos!$AH$5:$AH$1000,0)+4,"")</f>
        <v/>
      </c>
    </row>
    <row r="135">
      <c r="A135" s="5" t="str">
        <f>IF($G135="","",INDEX('Detalle individual'!$B:$B,$G135))</f>
        <v/>
      </c>
      <c r="B135" s="5" t="str">
        <f>IF($G135="","",INDEX('Detalle individual'!$A:$A,$G135))</f>
        <v/>
      </c>
      <c r="C135" s="5" t="str">
        <f>IF($G135="","",INDEX('Detalle individual'!$E:$E,$G135))</f>
        <v/>
      </c>
      <c r="D135" s="5" t="str">
        <f>IF($G135="","",INDEX('Detalle individual'!$C:$C,$G135))</f>
        <v/>
      </c>
      <c r="E135" s="5" t="str">
        <f>IF($G135="","",INDEX('Detalle individual'!$D:$D,$G135))</f>
        <v/>
      </c>
      <c r="G135" t="str">
        <f>IFERROR(MATCH(SMALL(Cálculos!$AH$5:$AH$1000,131),Cálculos!$AH$5:$AH$1000,0)+4,"")</f>
        <v/>
      </c>
    </row>
    <row r="136">
      <c r="A136" s="5" t="str">
        <f>IF($G136="","",INDEX('Detalle individual'!$B:$B,$G136))</f>
        <v/>
      </c>
      <c r="B136" s="5" t="str">
        <f>IF($G136="","",INDEX('Detalle individual'!$A:$A,$G136))</f>
        <v/>
      </c>
      <c r="C136" s="5" t="str">
        <f>IF($G136="","",INDEX('Detalle individual'!$E:$E,$G136))</f>
        <v/>
      </c>
      <c r="D136" s="5" t="str">
        <f>IF($G136="","",INDEX('Detalle individual'!$C:$C,$G136))</f>
        <v/>
      </c>
      <c r="E136" s="5" t="str">
        <f>IF($G136="","",INDEX('Detalle individual'!$D:$D,$G136))</f>
        <v/>
      </c>
      <c r="G136" t="str">
        <f>IFERROR(MATCH(SMALL(Cálculos!$AH$5:$AH$1000,132),Cálculos!$AH$5:$AH$1000,0)+4,"")</f>
        <v/>
      </c>
    </row>
    <row r="137">
      <c r="A137" s="5" t="str">
        <f>IF($G137="","",INDEX('Detalle individual'!$B:$B,$G137))</f>
        <v/>
      </c>
      <c r="B137" s="5" t="str">
        <f>IF($G137="","",INDEX('Detalle individual'!$A:$A,$G137))</f>
        <v/>
      </c>
      <c r="C137" s="5" t="str">
        <f>IF($G137="","",INDEX('Detalle individual'!$E:$E,$G137))</f>
        <v/>
      </c>
      <c r="D137" s="5" t="str">
        <f>IF($G137="","",INDEX('Detalle individual'!$C:$C,$G137))</f>
        <v/>
      </c>
      <c r="E137" s="5" t="str">
        <f>IF($G137="","",INDEX('Detalle individual'!$D:$D,$G137))</f>
        <v/>
      </c>
      <c r="G137" t="str">
        <f>IFERROR(MATCH(SMALL(Cálculos!$AH$5:$AH$1000,133),Cálculos!$AH$5:$AH$1000,0)+4,"")</f>
        <v/>
      </c>
    </row>
    <row r="138">
      <c r="A138" s="5" t="str">
        <f>IF($G138="","",INDEX('Detalle individual'!$B:$B,$G138))</f>
        <v/>
      </c>
      <c r="B138" s="5" t="str">
        <f>IF($G138="","",INDEX('Detalle individual'!$A:$A,$G138))</f>
        <v/>
      </c>
      <c r="C138" s="5" t="str">
        <f>IF($G138="","",INDEX('Detalle individual'!$E:$E,$G138))</f>
        <v/>
      </c>
      <c r="D138" s="5" t="str">
        <f>IF($G138="","",INDEX('Detalle individual'!$C:$C,$G138))</f>
        <v/>
      </c>
      <c r="E138" s="5" t="str">
        <f>IF($G138="","",INDEX('Detalle individual'!$D:$D,$G138))</f>
        <v/>
      </c>
      <c r="G138" t="str">
        <f>IFERROR(MATCH(SMALL(Cálculos!$AH$5:$AH$1000,134),Cálculos!$AH$5:$AH$1000,0)+4,"")</f>
        <v/>
      </c>
    </row>
    <row r="139">
      <c r="A139" s="5" t="str">
        <f>IF($G139="","",INDEX('Detalle individual'!$B:$B,$G139))</f>
        <v/>
      </c>
      <c r="B139" s="5" t="str">
        <f>IF($G139="","",INDEX('Detalle individual'!$A:$A,$G139))</f>
        <v/>
      </c>
      <c r="C139" s="5" t="str">
        <f>IF($G139="","",INDEX('Detalle individual'!$E:$E,$G139))</f>
        <v/>
      </c>
      <c r="D139" s="5" t="str">
        <f>IF($G139="","",INDEX('Detalle individual'!$C:$C,$G139))</f>
        <v/>
      </c>
      <c r="E139" s="5" t="str">
        <f>IF($G139="","",INDEX('Detalle individual'!$D:$D,$G139))</f>
        <v/>
      </c>
      <c r="G139" t="str">
        <f>IFERROR(MATCH(SMALL(Cálculos!$AH$5:$AH$1000,135),Cálculos!$AH$5:$AH$1000,0)+4,"")</f>
        <v/>
      </c>
    </row>
    <row r="140">
      <c r="A140" s="5" t="str">
        <f>IF($G140="","",INDEX('Detalle individual'!$B:$B,$G140))</f>
        <v/>
      </c>
      <c r="B140" s="5" t="str">
        <f>IF($G140="","",INDEX('Detalle individual'!$A:$A,$G140))</f>
        <v/>
      </c>
      <c r="C140" s="5" t="str">
        <f>IF($G140="","",INDEX('Detalle individual'!$E:$E,$G140))</f>
        <v/>
      </c>
      <c r="D140" s="5" t="str">
        <f>IF($G140="","",INDEX('Detalle individual'!$C:$C,$G140))</f>
        <v/>
      </c>
      <c r="E140" s="5" t="str">
        <f>IF($G140="","",INDEX('Detalle individual'!$D:$D,$G140))</f>
        <v/>
      </c>
      <c r="G140" t="str">
        <f>IFERROR(MATCH(SMALL(Cálculos!$AH$5:$AH$1000,136),Cálculos!$AH$5:$AH$1000,0)+4,"")</f>
        <v/>
      </c>
    </row>
    <row r="141">
      <c r="A141" s="5" t="str">
        <f>IF($G141="","",INDEX('Detalle individual'!$B:$B,$G141))</f>
        <v/>
      </c>
      <c r="B141" s="5" t="str">
        <f>IF($G141="","",INDEX('Detalle individual'!$A:$A,$G141))</f>
        <v/>
      </c>
      <c r="C141" s="5" t="str">
        <f>IF($G141="","",INDEX('Detalle individual'!$E:$E,$G141))</f>
        <v/>
      </c>
      <c r="D141" s="5" t="str">
        <f>IF($G141="","",INDEX('Detalle individual'!$C:$C,$G141))</f>
        <v/>
      </c>
      <c r="E141" s="5" t="str">
        <f>IF($G141="","",INDEX('Detalle individual'!$D:$D,$G141))</f>
        <v/>
      </c>
      <c r="G141" t="str">
        <f>IFERROR(MATCH(SMALL(Cálculos!$AH$5:$AH$1000,137),Cálculos!$AH$5:$AH$1000,0)+4,"")</f>
        <v/>
      </c>
    </row>
    <row r="142">
      <c r="A142" s="5" t="str">
        <f>IF($G142="","",INDEX('Detalle individual'!$B:$B,$G142))</f>
        <v/>
      </c>
      <c r="B142" s="5" t="str">
        <f>IF($G142="","",INDEX('Detalle individual'!$A:$A,$G142))</f>
        <v/>
      </c>
      <c r="C142" s="5" t="str">
        <f>IF($G142="","",INDEX('Detalle individual'!$E:$E,$G142))</f>
        <v/>
      </c>
      <c r="D142" s="5" t="str">
        <f>IF($G142="","",INDEX('Detalle individual'!$C:$C,$G142))</f>
        <v/>
      </c>
      <c r="E142" s="5" t="str">
        <f>IF($G142="","",INDEX('Detalle individual'!$D:$D,$G142))</f>
        <v/>
      </c>
      <c r="G142" t="str">
        <f>IFERROR(MATCH(SMALL(Cálculos!$AH$5:$AH$1000,138),Cálculos!$AH$5:$AH$1000,0)+4,"")</f>
        <v/>
      </c>
    </row>
    <row r="143">
      <c r="A143" s="5" t="str">
        <f>IF($G143="","",INDEX('Detalle individual'!$B:$B,$G143))</f>
        <v/>
      </c>
      <c r="B143" s="5" t="str">
        <f>IF($G143="","",INDEX('Detalle individual'!$A:$A,$G143))</f>
        <v/>
      </c>
      <c r="C143" s="5" t="str">
        <f>IF($G143="","",INDEX('Detalle individual'!$E:$E,$G143))</f>
        <v/>
      </c>
      <c r="D143" s="5" t="str">
        <f>IF($G143="","",INDEX('Detalle individual'!$C:$C,$G143))</f>
        <v/>
      </c>
      <c r="E143" s="5" t="str">
        <f>IF($G143="","",INDEX('Detalle individual'!$D:$D,$G143))</f>
        <v/>
      </c>
      <c r="G143" t="str">
        <f>IFERROR(MATCH(SMALL(Cálculos!$AH$5:$AH$1000,139),Cálculos!$AH$5:$AH$1000,0)+4,"")</f>
        <v/>
      </c>
    </row>
    <row r="144">
      <c r="A144" s="5" t="str">
        <f>IF($G144="","",INDEX('Detalle individual'!$B:$B,$G144))</f>
        <v/>
      </c>
      <c r="B144" s="5" t="str">
        <f>IF($G144="","",INDEX('Detalle individual'!$A:$A,$G144))</f>
        <v/>
      </c>
      <c r="C144" s="5" t="str">
        <f>IF($G144="","",INDEX('Detalle individual'!$E:$E,$G144))</f>
        <v/>
      </c>
      <c r="D144" s="5" t="str">
        <f>IF($G144="","",INDEX('Detalle individual'!$C:$C,$G144))</f>
        <v/>
      </c>
      <c r="E144" s="5" t="str">
        <f>IF($G144="","",INDEX('Detalle individual'!$D:$D,$G144))</f>
        <v/>
      </c>
      <c r="G144" t="str">
        <f>IFERROR(MATCH(SMALL(Cálculos!$AH$5:$AH$1000,140),Cálculos!$AH$5:$AH$1000,0)+4,"")</f>
        <v/>
      </c>
    </row>
    <row r="145">
      <c r="A145" s="5" t="str">
        <f>IF($G145="","",INDEX('Detalle individual'!$B:$B,$G145))</f>
        <v/>
      </c>
      <c r="B145" s="5" t="str">
        <f>IF($G145="","",INDEX('Detalle individual'!$A:$A,$G145))</f>
        <v/>
      </c>
      <c r="C145" s="5" t="str">
        <f>IF($G145="","",INDEX('Detalle individual'!$E:$E,$G145))</f>
        <v/>
      </c>
      <c r="D145" s="5" t="str">
        <f>IF($G145="","",INDEX('Detalle individual'!$C:$C,$G145))</f>
        <v/>
      </c>
      <c r="E145" s="5" t="str">
        <f>IF($G145="","",INDEX('Detalle individual'!$D:$D,$G145))</f>
        <v/>
      </c>
      <c r="G145" t="str">
        <f>IFERROR(MATCH(SMALL(Cálculos!$AH$5:$AH$1000,141),Cálculos!$AH$5:$AH$1000,0)+4,"")</f>
        <v/>
      </c>
    </row>
    <row r="146">
      <c r="A146" s="5" t="str">
        <f>IF($G146="","",INDEX('Detalle individual'!$B:$B,$G146))</f>
        <v/>
      </c>
      <c r="B146" s="5" t="str">
        <f>IF($G146="","",INDEX('Detalle individual'!$A:$A,$G146))</f>
        <v/>
      </c>
      <c r="C146" s="5" t="str">
        <f>IF($G146="","",INDEX('Detalle individual'!$E:$E,$G146))</f>
        <v/>
      </c>
      <c r="D146" s="5" t="str">
        <f>IF($G146="","",INDEX('Detalle individual'!$C:$C,$G146))</f>
        <v/>
      </c>
      <c r="E146" s="5" t="str">
        <f>IF($G146="","",INDEX('Detalle individual'!$D:$D,$G146))</f>
        <v/>
      </c>
      <c r="G146" t="str">
        <f>IFERROR(MATCH(SMALL(Cálculos!$AH$5:$AH$1000,142),Cálculos!$AH$5:$AH$1000,0)+4,"")</f>
        <v/>
      </c>
    </row>
    <row r="147">
      <c r="A147" s="5" t="str">
        <f>IF($G147="","",INDEX('Detalle individual'!$B:$B,$G147))</f>
        <v/>
      </c>
      <c r="B147" s="5" t="str">
        <f>IF($G147="","",INDEX('Detalle individual'!$A:$A,$G147))</f>
        <v/>
      </c>
      <c r="C147" s="5" t="str">
        <f>IF($G147="","",INDEX('Detalle individual'!$E:$E,$G147))</f>
        <v/>
      </c>
      <c r="D147" s="5" t="str">
        <f>IF($G147="","",INDEX('Detalle individual'!$C:$C,$G147))</f>
        <v/>
      </c>
      <c r="E147" s="5" t="str">
        <f>IF($G147="","",INDEX('Detalle individual'!$D:$D,$G147))</f>
        <v/>
      </c>
      <c r="G147" t="str">
        <f>IFERROR(MATCH(SMALL(Cálculos!$AH$5:$AH$1000,143),Cálculos!$AH$5:$AH$1000,0)+4,"")</f>
        <v/>
      </c>
    </row>
    <row r="148">
      <c r="A148" s="5" t="str">
        <f>IF($G148="","",INDEX('Detalle individual'!$B:$B,$G148))</f>
        <v/>
      </c>
      <c r="B148" s="5" t="str">
        <f>IF($G148="","",INDEX('Detalle individual'!$A:$A,$G148))</f>
        <v/>
      </c>
      <c r="C148" s="5" t="str">
        <f>IF($G148="","",INDEX('Detalle individual'!$E:$E,$G148))</f>
        <v/>
      </c>
      <c r="D148" s="5" t="str">
        <f>IF($G148="","",INDEX('Detalle individual'!$C:$C,$G148))</f>
        <v/>
      </c>
      <c r="E148" s="5" t="str">
        <f>IF($G148="","",INDEX('Detalle individual'!$D:$D,$G148))</f>
        <v/>
      </c>
      <c r="G148" t="str">
        <f>IFERROR(MATCH(SMALL(Cálculos!$AH$5:$AH$1000,144),Cálculos!$AH$5:$AH$1000,0)+4,"")</f>
        <v/>
      </c>
    </row>
    <row r="149">
      <c r="A149" s="5" t="str">
        <f>IF($G149="","",INDEX('Detalle individual'!$B:$B,$G149))</f>
        <v/>
      </c>
      <c r="B149" s="5" t="str">
        <f>IF($G149="","",INDEX('Detalle individual'!$A:$A,$G149))</f>
        <v/>
      </c>
      <c r="C149" s="5" t="str">
        <f>IF($G149="","",INDEX('Detalle individual'!$E:$E,$G149))</f>
        <v/>
      </c>
      <c r="D149" s="5" t="str">
        <f>IF($G149="","",INDEX('Detalle individual'!$C:$C,$G149))</f>
        <v/>
      </c>
      <c r="E149" s="5" t="str">
        <f>IF($G149="","",INDEX('Detalle individual'!$D:$D,$G149))</f>
        <v/>
      </c>
      <c r="G149" t="str">
        <f>IFERROR(MATCH(SMALL(Cálculos!$AH$5:$AH$1000,145),Cálculos!$AH$5:$AH$1000,0)+4,"")</f>
        <v/>
      </c>
    </row>
    <row r="150">
      <c r="A150" s="5" t="str">
        <f>IF($G150="","",INDEX('Detalle individual'!$B:$B,$G150))</f>
        <v/>
      </c>
      <c r="B150" s="5" t="str">
        <f>IF($G150="","",INDEX('Detalle individual'!$A:$A,$G150))</f>
        <v/>
      </c>
      <c r="C150" s="5" t="str">
        <f>IF($G150="","",INDEX('Detalle individual'!$E:$E,$G150))</f>
        <v/>
      </c>
      <c r="D150" s="5" t="str">
        <f>IF($G150="","",INDEX('Detalle individual'!$C:$C,$G150))</f>
        <v/>
      </c>
      <c r="E150" s="5" t="str">
        <f>IF($G150="","",INDEX('Detalle individual'!$D:$D,$G150))</f>
        <v/>
      </c>
      <c r="G150" t="str">
        <f>IFERROR(MATCH(SMALL(Cálculos!$AH$5:$AH$1000,146),Cálculos!$AH$5:$AH$1000,0)+4,"")</f>
        <v/>
      </c>
    </row>
    <row r="151">
      <c r="A151" s="5" t="str">
        <f>IF($G151="","",INDEX('Detalle individual'!$B:$B,$G151))</f>
        <v/>
      </c>
      <c r="B151" s="5" t="str">
        <f>IF($G151="","",INDEX('Detalle individual'!$A:$A,$G151))</f>
        <v/>
      </c>
      <c r="C151" s="5" t="str">
        <f>IF($G151="","",INDEX('Detalle individual'!$E:$E,$G151))</f>
        <v/>
      </c>
      <c r="D151" s="5" t="str">
        <f>IF($G151="","",INDEX('Detalle individual'!$C:$C,$G151))</f>
        <v/>
      </c>
      <c r="E151" s="5" t="str">
        <f>IF($G151="","",INDEX('Detalle individual'!$D:$D,$G151))</f>
        <v/>
      </c>
      <c r="G151" t="str">
        <f>IFERROR(MATCH(SMALL(Cálculos!$AH$5:$AH$1000,147),Cálculos!$AH$5:$AH$1000,0)+4,"")</f>
        <v/>
      </c>
    </row>
    <row r="152">
      <c r="A152" s="5" t="str">
        <f>IF($G152="","",INDEX('Detalle individual'!$B:$B,$G152))</f>
        <v/>
      </c>
      <c r="B152" s="5" t="str">
        <f>IF($G152="","",INDEX('Detalle individual'!$A:$A,$G152))</f>
        <v/>
      </c>
      <c r="C152" s="5" t="str">
        <f>IF($G152="","",INDEX('Detalle individual'!$E:$E,$G152))</f>
        <v/>
      </c>
      <c r="D152" s="5" t="str">
        <f>IF($G152="","",INDEX('Detalle individual'!$C:$C,$G152))</f>
        <v/>
      </c>
      <c r="E152" s="5" t="str">
        <f>IF($G152="","",INDEX('Detalle individual'!$D:$D,$G152))</f>
        <v/>
      </c>
      <c r="G152" t="str">
        <f>IFERROR(MATCH(SMALL(Cálculos!$AH$5:$AH$1000,148),Cálculos!$AH$5:$AH$1000,0)+4,"")</f>
        <v/>
      </c>
    </row>
    <row r="153">
      <c r="A153" s="5" t="str">
        <f>IF($G153="","",INDEX('Detalle individual'!$B:$B,$G153))</f>
        <v/>
      </c>
      <c r="B153" s="5" t="str">
        <f>IF($G153="","",INDEX('Detalle individual'!$A:$A,$G153))</f>
        <v/>
      </c>
      <c r="C153" s="5" t="str">
        <f>IF($G153="","",INDEX('Detalle individual'!$E:$E,$G153))</f>
        <v/>
      </c>
      <c r="D153" s="5" t="str">
        <f>IF($G153="","",INDEX('Detalle individual'!$C:$C,$G153))</f>
        <v/>
      </c>
      <c r="E153" s="5" t="str">
        <f>IF($G153="","",INDEX('Detalle individual'!$D:$D,$G153))</f>
        <v/>
      </c>
      <c r="G153" t="str">
        <f>IFERROR(MATCH(SMALL(Cálculos!$AH$5:$AH$1000,149),Cálculos!$AH$5:$AH$1000,0)+4,"")</f>
        <v/>
      </c>
    </row>
    <row r="154">
      <c r="A154" s="5" t="str">
        <f>IF($G154="","",INDEX('Detalle individual'!$B:$B,$G154))</f>
        <v/>
      </c>
      <c r="B154" s="5" t="str">
        <f>IF($G154="","",INDEX('Detalle individual'!$A:$A,$G154))</f>
        <v/>
      </c>
      <c r="C154" s="5" t="str">
        <f>IF($G154="","",INDEX('Detalle individual'!$E:$E,$G154))</f>
        <v/>
      </c>
      <c r="D154" s="5" t="str">
        <f>IF($G154="","",INDEX('Detalle individual'!$C:$C,$G154))</f>
        <v/>
      </c>
      <c r="E154" s="5" t="str">
        <f>IF($G154="","",INDEX('Detalle individual'!$D:$D,$G154))</f>
        <v/>
      </c>
      <c r="G154" t="str">
        <f>IFERROR(MATCH(SMALL(Cálculos!$AH$5:$AH$1000,150),Cálculos!$AH$5:$AH$1000,0)+4,"")</f>
        <v/>
      </c>
    </row>
    <row r="155">
      <c r="A155" s="5" t="str">
        <f>IF($G155="","",INDEX('Detalle individual'!$B:$B,$G155))</f>
        <v/>
      </c>
      <c r="B155" s="5" t="str">
        <f>IF($G155="","",INDEX('Detalle individual'!$A:$A,$G155))</f>
        <v/>
      </c>
      <c r="C155" s="5" t="str">
        <f>IF($G155="","",INDEX('Detalle individual'!$E:$E,$G155))</f>
        <v/>
      </c>
      <c r="D155" s="5" t="str">
        <f>IF($G155="","",INDEX('Detalle individual'!$C:$C,$G155))</f>
        <v/>
      </c>
      <c r="E155" s="5" t="str">
        <f>IF($G155="","",INDEX('Detalle individual'!$D:$D,$G155))</f>
        <v/>
      </c>
      <c r="G155" t="str">
        <f>IFERROR(MATCH(SMALL(Cálculos!$AH$5:$AH$1000,151),Cálculos!$AH$5:$AH$1000,0)+4,"")</f>
        <v/>
      </c>
    </row>
    <row r="156">
      <c r="A156" s="5" t="str">
        <f>IF($G156="","",INDEX('Detalle individual'!$B:$B,$G156))</f>
        <v/>
      </c>
      <c r="B156" s="5" t="str">
        <f>IF($G156="","",INDEX('Detalle individual'!$A:$A,$G156))</f>
        <v/>
      </c>
      <c r="C156" s="5" t="str">
        <f>IF($G156="","",INDEX('Detalle individual'!$E:$E,$G156))</f>
        <v/>
      </c>
      <c r="D156" s="5" t="str">
        <f>IF($G156="","",INDEX('Detalle individual'!$C:$C,$G156))</f>
        <v/>
      </c>
      <c r="E156" s="5" t="str">
        <f>IF($G156="","",INDEX('Detalle individual'!$D:$D,$G156))</f>
        <v/>
      </c>
      <c r="G156" t="str">
        <f>IFERROR(MATCH(SMALL(Cálculos!$AH$5:$AH$1000,152),Cálculos!$AH$5:$AH$1000,0)+4,"")</f>
        <v/>
      </c>
    </row>
    <row r="157">
      <c r="A157" s="5" t="str">
        <f>IF($G157="","",INDEX('Detalle individual'!$B:$B,$G157))</f>
        <v/>
      </c>
      <c r="B157" s="5" t="str">
        <f>IF($G157="","",INDEX('Detalle individual'!$A:$A,$G157))</f>
        <v/>
      </c>
      <c r="C157" s="5" t="str">
        <f>IF($G157="","",INDEX('Detalle individual'!$E:$E,$G157))</f>
        <v/>
      </c>
      <c r="D157" s="5" t="str">
        <f>IF($G157="","",INDEX('Detalle individual'!$C:$C,$G157))</f>
        <v/>
      </c>
      <c r="E157" s="5" t="str">
        <f>IF($G157="","",INDEX('Detalle individual'!$D:$D,$G157))</f>
        <v/>
      </c>
      <c r="G157" t="str">
        <f>IFERROR(MATCH(SMALL(Cálculos!$AH$5:$AH$1000,153),Cálculos!$AH$5:$AH$1000,0)+4,"")</f>
        <v/>
      </c>
    </row>
    <row r="158">
      <c r="A158" s="5" t="str">
        <f>IF($G158="","",INDEX('Detalle individual'!$B:$B,$G158))</f>
        <v/>
      </c>
      <c r="B158" s="5" t="str">
        <f>IF($G158="","",INDEX('Detalle individual'!$A:$A,$G158))</f>
        <v/>
      </c>
      <c r="C158" s="5" t="str">
        <f>IF($G158="","",INDEX('Detalle individual'!$E:$E,$G158))</f>
        <v/>
      </c>
      <c r="D158" s="5" t="str">
        <f>IF($G158="","",INDEX('Detalle individual'!$C:$C,$G158))</f>
        <v/>
      </c>
      <c r="E158" s="5" t="str">
        <f>IF($G158="","",INDEX('Detalle individual'!$D:$D,$G158))</f>
        <v/>
      </c>
      <c r="G158" t="str">
        <f>IFERROR(MATCH(SMALL(Cálculos!$AH$5:$AH$1000,154),Cálculos!$AH$5:$AH$1000,0)+4,"")</f>
        <v/>
      </c>
    </row>
    <row r="159">
      <c r="A159" s="5" t="str">
        <f>IF($G159="","",INDEX('Detalle individual'!$B:$B,$G159))</f>
        <v/>
      </c>
      <c r="B159" s="5" t="str">
        <f>IF($G159="","",INDEX('Detalle individual'!$A:$A,$G159))</f>
        <v/>
      </c>
      <c r="C159" s="5" t="str">
        <f>IF($G159="","",INDEX('Detalle individual'!$E:$E,$G159))</f>
        <v/>
      </c>
      <c r="D159" s="5" t="str">
        <f>IF($G159="","",INDEX('Detalle individual'!$C:$C,$G159))</f>
        <v/>
      </c>
      <c r="E159" s="5" t="str">
        <f>IF($G159="","",INDEX('Detalle individual'!$D:$D,$G159))</f>
        <v/>
      </c>
      <c r="G159" t="str">
        <f>IFERROR(MATCH(SMALL(Cálculos!$AH$5:$AH$1000,155),Cálculos!$AH$5:$AH$1000,0)+4,"")</f>
        <v/>
      </c>
    </row>
    <row r="160">
      <c r="A160" s="5" t="str">
        <f>IF($G160="","",INDEX('Detalle individual'!$B:$B,$G160))</f>
        <v/>
      </c>
      <c r="B160" s="5" t="str">
        <f>IF($G160="","",INDEX('Detalle individual'!$A:$A,$G160))</f>
        <v/>
      </c>
      <c r="C160" s="5" t="str">
        <f>IF($G160="","",INDEX('Detalle individual'!$E:$E,$G160))</f>
        <v/>
      </c>
      <c r="D160" s="5" t="str">
        <f>IF($G160="","",INDEX('Detalle individual'!$C:$C,$G160))</f>
        <v/>
      </c>
      <c r="E160" s="5" t="str">
        <f>IF($G160="","",INDEX('Detalle individual'!$D:$D,$G160))</f>
        <v/>
      </c>
      <c r="G160" t="str">
        <f>IFERROR(MATCH(SMALL(Cálculos!$AH$5:$AH$1000,156),Cálculos!$AH$5:$AH$1000,0)+4,"")</f>
        <v/>
      </c>
    </row>
    <row r="161">
      <c r="A161" s="5" t="str">
        <f>IF($G161="","",INDEX('Detalle individual'!$B:$B,$G161))</f>
        <v/>
      </c>
      <c r="B161" s="5" t="str">
        <f>IF($G161="","",INDEX('Detalle individual'!$A:$A,$G161))</f>
        <v/>
      </c>
      <c r="C161" s="5" t="str">
        <f>IF($G161="","",INDEX('Detalle individual'!$E:$E,$G161))</f>
        <v/>
      </c>
      <c r="D161" s="5" t="str">
        <f>IF($G161="","",INDEX('Detalle individual'!$C:$C,$G161))</f>
        <v/>
      </c>
      <c r="E161" s="5" t="str">
        <f>IF($G161="","",INDEX('Detalle individual'!$D:$D,$G161))</f>
        <v/>
      </c>
      <c r="G161" t="str">
        <f>IFERROR(MATCH(SMALL(Cálculos!$AH$5:$AH$1000,157),Cálculos!$AH$5:$AH$1000,0)+4,"")</f>
        <v/>
      </c>
    </row>
    <row r="162">
      <c r="A162" s="5" t="str">
        <f>IF($G162="","",INDEX('Detalle individual'!$B:$B,$G162))</f>
        <v/>
      </c>
      <c r="B162" s="5" t="str">
        <f>IF($G162="","",INDEX('Detalle individual'!$A:$A,$G162))</f>
        <v/>
      </c>
      <c r="C162" s="5" t="str">
        <f>IF($G162="","",INDEX('Detalle individual'!$E:$E,$G162))</f>
        <v/>
      </c>
      <c r="D162" s="5" t="str">
        <f>IF($G162="","",INDEX('Detalle individual'!$C:$C,$G162))</f>
        <v/>
      </c>
      <c r="E162" s="5" t="str">
        <f>IF($G162="","",INDEX('Detalle individual'!$D:$D,$G162))</f>
        <v/>
      </c>
      <c r="G162" t="str">
        <f>IFERROR(MATCH(SMALL(Cálculos!$AH$5:$AH$1000,158),Cálculos!$AH$5:$AH$1000,0)+4,"")</f>
        <v/>
      </c>
    </row>
    <row r="163">
      <c r="A163" s="5" t="str">
        <f>IF($G163="","",INDEX('Detalle individual'!$B:$B,$G163))</f>
        <v/>
      </c>
      <c r="B163" s="5" t="str">
        <f>IF($G163="","",INDEX('Detalle individual'!$A:$A,$G163))</f>
        <v/>
      </c>
      <c r="C163" s="5" t="str">
        <f>IF($G163="","",INDEX('Detalle individual'!$E:$E,$G163))</f>
        <v/>
      </c>
      <c r="D163" s="5" t="str">
        <f>IF($G163="","",INDEX('Detalle individual'!$C:$C,$G163))</f>
        <v/>
      </c>
      <c r="E163" s="5" t="str">
        <f>IF($G163="","",INDEX('Detalle individual'!$D:$D,$G163))</f>
        <v/>
      </c>
      <c r="G163" t="str">
        <f>IFERROR(MATCH(SMALL(Cálculos!$AH$5:$AH$1000,159),Cálculos!$AH$5:$AH$1000,0)+4,"")</f>
        <v/>
      </c>
    </row>
    <row r="164">
      <c r="A164" s="5" t="str">
        <f>IF($G164="","",INDEX('Detalle individual'!$B:$B,$G164))</f>
        <v/>
      </c>
      <c r="B164" s="5" t="str">
        <f>IF($G164="","",INDEX('Detalle individual'!$A:$A,$G164))</f>
        <v/>
      </c>
      <c r="C164" s="5" t="str">
        <f>IF($G164="","",INDEX('Detalle individual'!$E:$E,$G164))</f>
        <v/>
      </c>
      <c r="D164" s="5" t="str">
        <f>IF($G164="","",INDEX('Detalle individual'!$C:$C,$G164))</f>
        <v/>
      </c>
      <c r="E164" s="5" t="str">
        <f>IF($G164="","",INDEX('Detalle individual'!$D:$D,$G164))</f>
        <v/>
      </c>
      <c r="G164" t="str">
        <f>IFERROR(MATCH(SMALL(Cálculos!$AH$5:$AH$1000,160),Cálculos!$AH$5:$AH$1000,0)+4,"")</f>
        <v/>
      </c>
    </row>
    <row r="165">
      <c r="A165" s="5" t="str">
        <f>IF($G165="","",INDEX('Detalle individual'!$B:$B,$G165))</f>
        <v/>
      </c>
      <c r="B165" s="5" t="str">
        <f>IF($G165="","",INDEX('Detalle individual'!$A:$A,$G165))</f>
        <v/>
      </c>
      <c r="C165" s="5" t="str">
        <f>IF($G165="","",INDEX('Detalle individual'!$E:$E,$G165))</f>
        <v/>
      </c>
      <c r="D165" s="5" t="str">
        <f>IF($G165="","",INDEX('Detalle individual'!$C:$C,$G165))</f>
        <v/>
      </c>
      <c r="E165" s="5" t="str">
        <f>IF($G165="","",INDEX('Detalle individual'!$D:$D,$G165))</f>
        <v/>
      </c>
      <c r="G165" t="str">
        <f>IFERROR(MATCH(SMALL(Cálculos!$AH$5:$AH$1000,161),Cálculos!$AH$5:$AH$1000,0)+4,"")</f>
        <v/>
      </c>
    </row>
    <row r="166">
      <c r="A166" s="5" t="str">
        <f>IF($G166="","",INDEX('Detalle individual'!$B:$B,$G166))</f>
        <v/>
      </c>
      <c r="B166" s="5" t="str">
        <f>IF($G166="","",INDEX('Detalle individual'!$A:$A,$G166))</f>
        <v/>
      </c>
      <c r="C166" s="5" t="str">
        <f>IF($G166="","",INDEX('Detalle individual'!$E:$E,$G166))</f>
        <v/>
      </c>
      <c r="D166" s="5" t="str">
        <f>IF($G166="","",INDEX('Detalle individual'!$C:$C,$G166))</f>
        <v/>
      </c>
      <c r="E166" s="5" t="str">
        <f>IF($G166="","",INDEX('Detalle individual'!$D:$D,$G166))</f>
        <v/>
      </c>
      <c r="G166" t="str">
        <f>IFERROR(MATCH(SMALL(Cálculos!$AH$5:$AH$1000,162),Cálculos!$AH$5:$AH$1000,0)+4,"")</f>
        <v/>
      </c>
    </row>
    <row r="167">
      <c r="A167" s="5" t="str">
        <f>IF($G167="","",INDEX('Detalle individual'!$B:$B,$G167))</f>
        <v/>
      </c>
      <c r="B167" s="5" t="str">
        <f>IF($G167="","",INDEX('Detalle individual'!$A:$A,$G167))</f>
        <v/>
      </c>
      <c r="C167" s="5" t="str">
        <f>IF($G167="","",INDEX('Detalle individual'!$E:$E,$G167))</f>
        <v/>
      </c>
      <c r="D167" s="5" t="str">
        <f>IF($G167="","",INDEX('Detalle individual'!$C:$C,$G167))</f>
        <v/>
      </c>
      <c r="E167" s="5" t="str">
        <f>IF($G167="","",INDEX('Detalle individual'!$D:$D,$G167))</f>
        <v/>
      </c>
      <c r="G167" t="str">
        <f>IFERROR(MATCH(SMALL(Cálculos!$AH$5:$AH$1000,163),Cálculos!$AH$5:$AH$1000,0)+4,"")</f>
        <v/>
      </c>
    </row>
    <row r="168">
      <c r="A168" s="5" t="str">
        <f>IF($G168="","",INDEX('Detalle individual'!$B:$B,$G168))</f>
        <v/>
      </c>
      <c r="B168" s="5" t="str">
        <f>IF($G168="","",INDEX('Detalle individual'!$A:$A,$G168))</f>
        <v/>
      </c>
      <c r="C168" s="5" t="str">
        <f>IF($G168="","",INDEX('Detalle individual'!$E:$E,$G168))</f>
        <v/>
      </c>
      <c r="D168" s="5" t="str">
        <f>IF($G168="","",INDEX('Detalle individual'!$C:$C,$G168))</f>
        <v/>
      </c>
      <c r="E168" s="5" t="str">
        <f>IF($G168="","",INDEX('Detalle individual'!$D:$D,$G168))</f>
        <v/>
      </c>
      <c r="G168" t="str">
        <f>IFERROR(MATCH(SMALL(Cálculos!$AH$5:$AH$1000,164),Cálculos!$AH$5:$AH$1000,0)+4,"")</f>
        <v/>
      </c>
    </row>
    <row r="169">
      <c r="A169" s="5" t="str">
        <f>IF($G169="","",INDEX('Detalle individual'!$B:$B,$G169))</f>
        <v/>
      </c>
      <c r="B169" s="5" t="str">
        <f>IF($G169="","",INDEX('Detalle individual'!$A:$A,$G169))</f>
        <v/>
      </c>
      <c r="C169" s="5" t="str">
        <f>IF($G169="","",INDEX('Detalle individual'!$E:$E,$G169))</f>
        <v/>
      </c>
      <c r="D169" s="5" t="str">
        <f>IF($G169="","",INDEX('Detalle individual'!$C:$C,$G169))</f>
        <v/>
      </c>
      <c r="E169" s="5" t="str">
        <f>IF($G169="","",INDEX('Detalle individual'!$D:$D,$G169))</f>
        <v/>
      </c>
      <c r="G169" t="str">
        <f>IFERROR(MATCH(SMALL(Cálculos!$AH$5:$AH$1000,165),Cálculos!$AH$5:$AH$1000,0)+4,"")</f>
        <v/>
      </c>
    </row>
    <row r="170">
      <c r="A170" s="5" t="str">
        <f>IF($G170="","",INDEX('Detalle individual'!$B:$B,$G170))</f>
        <v/>
      </c>
      <c r="B170" s="5" t="str">
        <f>IF($G170="","",INDEX('Detalle individual'!$A:$A,$G170))</f>
        <v/>
      </c>
      <c r="C170" s="5" t="str">
        <f>IF($G170="","",INDEX('Detalle individual'!$E:$E,$G170))</f>
        <v/>
      </c>
      <c r="D170" s="5" t="str">
        <f>IF($G170="","",INDEX('Detalle individual'!$C:$C,$G170))</f>
        <v/>
      </c>
      <c r="E170" s="5" t="str">
        <f>IF($G170="","",INDEX('Detalle individual'!$D:$D,$G170))</f>
        <v/>
      </c>
      <c r="G170" t="str">
        <f>IFERROR(MATCH(SMALL(Cálculos!$AH$5:$AH$1000,166),Cálculos!$AH$5:$AH$1000,0)+4,"")</f>
        <v/>
      </c>
    </row>
    <row r="171">
      <c r="A171" s="5" t="str">
        <f>IF($G171="","",INDEX('Detalle individual'!$B:$B,$G171))</f>
        <v/>
      </c>
      <c r="B171" s="5" t="str">
        <f>IF($G171="","",INDEX('Detalle individual'!$A:$A,$G171))</f>
        <v/>
      </c>
      <c r="C171" s="5" t="str">
        <f>IF($G171="","",INDEX('Detalle individual'!$E:$E,$G171))</f>
        <v/>
      </c>
      <c r="D171" s="5" t="str">
        <f>IF($G171="","",INDEX('Detalle individual'!$C:$C,$G171))</f>
        <v/>
      </c>
      <c r="E171" s="5" t="str">
        <f>IF($G171="","",INDEX('Detalle individual'!$D:$D,$G171))</f>
        <v/>
      </c>
      <c r="G171" t="str">
        <f>IFERROR(MATCH(SMALL(Cálculos!$AH$5:$AH$1000,167),Cálculos!$AH$5:$AH$1000,0)+4,"")</f>
        <v/>
      </c>
    </row>
    <row r="172">
      <c r="A172" s="5" t="str">
        <f>IF($G172="","",INDEX('Detalle individual'!$B:$B,$G172))</f>
        <v/>
      </c>
      <c r="B172" s="5" t="str">
        <f>IF($G172="","",INDEX('Detalle individual'!$A:$A,$G172))</f>
        <v/>
      </c>
      <c r="C172" s="5" t="str">
        <f>IF($G172="","",INDEX('Detalle individual'!$E:$E,$G172))</f>
        <v/>
      </c>
      <c r="D172" s="5" t="str">
        <f>IF($G172="","",INDEX('Detalle individual'!$C:$C,$G172))</f>
        <v/>
      </c>
      <c r="E172" s="5" t="str">
        <f>IF($G172="","",INDEX('Detalle individual'!$D:$D,$G172))</f>
        <v/>
      </c>
      <c r="G172" t="str">
        <f>IFERROR(MATCH(SMALL(Cálculos!$AH$5:$AH$1000,168),Cálculos!$AH$5:$AH$1000,0)+4,"")</f>
        <v/>
      </c>
    </row>
    <row r="173">
      <c r="A173" s="5" t="str">
        <f>IF($G173="","",INDEX('Detalle individual'!$B:$B,$G173))</f>
        <v/>
      </c>
      <c r="B173" s="5" t="str">
        <f>IF($G173="","",INDEX('Detalle individual'!$A:$A,$G173))</f>
        <v/>
      </c>
      <c r="C173" s="5" t="str">
        <f>IF($G173="","",INDEX('Detalle individual'!$E:$E,$G173))</f>
        <v/>
      </c>
      <c r="D173" s="5" t="str">
        <f>IF($G173="","",INDEX('Detalle individual'!$C:$C,$G173))</f>
        <v/>
      </c>
      <c r="E173" s="5" t="str">
        <f>IF($G173="","",INDEX('Detalle individual'!$D:$D,$G173))</f>
        <v/>
      </c>
      <c r="G173" t="str">
        <f>IFERROR(MATCH(SMALL(Cálculos!$AH$5:$AH$1000,169),Cálculos!$AH$5:$AH$1000,0)+4,"")</f>
        <v/>
      </c>
    </row>
    <row r="174">
      <c r="A174" s="5" t="str">
        <f>IF($G174="","",INDEX('Detalle individual'!$B:$B,$G174))</f>
        <v/>
      </c>
      <c r="B174" s="5" t="str">
        <f>IF($G174="","",INDEX('Detalle individual'!$A:$A,$G174))</f>
        <v/>
      </c>
      <c r="C174" s="5" t="str">
        <f>IF($G174="","",INDEX('Detalle individual'!$E:$E,$G174))</f>
        <v/>
      </c>
      <c r="D174" s="5" t="str">
        <f>IF($G174="","",INDEX('Detalle individual'!$C:$C,$G174))</f>
        <v/>
      </c>
      <c r="E174" s="5" t="str">
        <f>IF($G174="","",INDEX('Detalle individual'!$D:$D,$G174))</f>
        <v/>
      </c>
      <c r="G174" t="str">
        <f>IFERROR(MATCH(SMALL(Cálculos!$AH$5:$AH$1000,170),Cálculos!$AH$5:$AH$1000,0)+4,"")</f>
        <v/>
      </c>
    </row>
    <row r="175">
      <c r="A175" s="5" t="str">
        <f>IF($G175="","",INDEX('Detalle individual'!$B:$B,$G175))</f>
        <v/>
      </c>
      <c r="B175" s="5" t="str">
        <f>IF($G175="","",INDEX('Detalle individual'!$A:$A,$G175))</f>
        <v/>
      </c>
      <c r="C175" s="5" t="str">
        <f>IF($G175="","",INDEX('Detalle individual'!$E:$E,$G175))</f>
        <v/>
      </c>
      <c r="D175" s="5" t="str">
        <f>IF($G175="","",INDEX('Detalle individual'!$C:$C,$G175))</f>
        <v/>
      </c>
      <c r="E175" s="5" t="str">
        <f>IF($G175="","",INDEX('Detalle individual'!$D:$D,$G175))</f>
        <v/>
      </c>
      <c r="G175" t="str">
        <f>IFERROR(MATCH(SMALL(Cálculos!$AH$5:$AH$1000,171),Cálculos!$AH$5:$AH$1000,0)+4,"")</f>
        <v/>
      </c>
    </row>
    <row r="176">
      <c r="A176" s="5" t="str">
        <f>IF($G176="","",INDEX('Detalle individual'!$B:$B,$G176))</f>
        <v/>
      </c>
      <c r="B176" s="5" t="str">
        <f>IF($G176="","",INDEX('Detalle individual'!$A:$A,$G176))</f>
        <v/>
      </c>
      <c r="C176" s="5" t="str">
        <f>IF($G176="","",INDEX('Detalle individual'!$E:$E,$G176))</f>
        <v/>
      </c>
      <c r="D176" s="5" t="str">
        <f>IF($G176="","",INDEX('Detalle individual'!$C:$C,$G176))</f>
        <v/>
      </c>
      <c r="E176" s="5" t="str">
        <f>IF($G176="","",INDEX('Detalle individual'!$D:$D,$G176))</f>
        <v/>
      </c>
      <c r="G176" t="str">
        <f>IFERROR(MATCH(SMALL(Cálculos!$AH$5:$AH$1000,172),Cálculos!$AH$5:$AH$1000,0)+4,"")</f>
        <v/>
      </c>
    </row>
    <row r="177">
      <c r="A177" s="5" t="str">
        <f>IF($G177="","",INDEX('Detalle individual'!$B:$B,$G177))</f>
        <v/>
      </c>
      <c r="B177" s="5" t="str">
        <f>IF($G177="","",INDEX('Detalle individual'!$A:$A,$G177))</f>
        <v/>
      </c>
      <c r="C177" s="5" t="str">
        <f>IF($G177="","",INDEX('Detalle individual'!$E:$E,$G177))</f>
        <v/>
      </c>
      <c r="D177" s="5" t="str">
        <f>IF($G177="","",INDEX('Detalle individual'!$C:$C,$G177))</f>
        <v/>
      </c>
      <c r="E177" s="5" t="str">
        <f>IF($G177="","",INDEX('Detalle individual'!$D:$D,$G177))</f>
        <v/>
      </c>
      <c r="G177" t="str">
        <f>IFERROR(MATCH(SMALL(Cálculos!$AH$5:$AH$1000,173),Cálculos!$AH$5:$AH$1000,0)+4,"")</f>
        <v/>
      </c>
    </row>
    <row r="178">
      <c r="A178" s="5" t="str">
        <f>IF($G178="","",INDEX('Detalle individual'!$B:$B,$G178))</f>
        <v/>
      </c>
      <c r="B178" s="5" t="str">
        <f>IF($G178="","",INDEX('Detalle individual'!$A:$A,$G178))</f>
        <v/>
      </c>
      <c r="C178" s="5" t="str">
        <f>IF($G178="","",INDEX('Detalle individual'!$E:$E,$G178))</f>
        <v/>
      </c>
      <c r="D178" s="5" t="str">
        <f>IF($G178="","",INDEX('Detalle individual'!$C:$C,$G178))</f>
        <v/>
      </c>
      <c r="E178" s="5" t="str">
        <f>IF($G178="","",INDEX('Detalle individual'!$D:$D,$G178))</f>
        <v/>
      </c>
      <c r="G178" t="str">
        <f>IFERROR(MATCH(SMALL(Cálculos!$AH$5:$AH$1000,174),Cálculos!$AH$5:$AH$1000,0)+4,"")</f>
        <v/>
      </c>
    </row>
    <row r="179">
      <c r="A179" s="5" t="str">
        <f>IF($G179="","",INDEX('Detalle individual'!$B:$B,$G179))</f>
        <v/>
      </c>
      <c r="B179" s="5" t="str">
        <f>IF($G179="","",INDEX('Detalle individual'!$A:$A,$G179))</f>
        <v/>
      </c>
      <c r="C179" s="5" t="str">
        <f>IF($G179="","",INDEX('Detalle individual'!$E:$E,$G179))</f>
        <v/>
      </c>
      <c r="D179" s="5" t="str">
        <f>IF($G179="","",INDEX('Detalle individual'!$C:$C,$G179))</f>
        <v/>
      </c>
      <c r="E179" s="5" t="str">
        <f>IF($G179="","",INDEX('Detalle individual'!$D:$D,$G179))</f>
        <v/>
      </c>
      <c r="G179" t="str">
        <f>IFERROR(MATCH(SMALL(Cálculos!$AH$5:$AH$1000,175),Cálculos!$AH$5:$AH$1000,0)+4,"")</f>
        <v/>
      </c>
    </row>
    <row r="180">
      <c r="A180" s="5" t="str">
        <f>IF($G180="","",INDEX('Detalle individual'!$B:$B,$G180))</f>
        <v/>
      </c>
      <c r="B180" s="5" t="str">
        <f>IF($G180="","",INDEX('Detalle individual'!$A:$A,$G180))</f>
        <v/>
      </c>
      <c r="C180" s="5" t="str">
        <f>IF($G180="","",INDEX('Detalle individual'!$E:$E,$G180))</f>
        <v/>
      </c>
      <c r="D180" s="5" t="str">
        <f>IF($G180="","",INDEX('Detalle individual'!$C:$C,$G180))</f>
        <v/>
      </c>
      <c r="E180" s="5" t="str">
        <f>IF($G180="","",INDEX('Detalle individual'!$D:$D,$G180))</f>
        <v/>
      </c>
      <c r="G180" t="str">
        <f>IFERROR(MATCH(SMALL(Cálculos!$AH$5:$AH$1000,176),Cálculos!$AH$5:$AH$1000,0)+4,"")</f>
        <v/>
      </c>
    </row>
    <row r="181">
      <c r="A181" s="5" t="str">
        <f>IF($G181="","",INDEX('Detalle individual'!$B:$B,$G181))</f>
        <v/>
      </c>
      <c r="B181" s="5" t="str">
        <f>IF($G181="","",INDEX('Detalle individual'!$A:$A,$G181))</f>
        <v/>
      </c>
      <c r="C181" s="5" t="str">
        <f>IF($G181="","",INDEX('Detalle individual'!$E:$E,$G181))</f>
        <v/>
      </c>
      <c r="D181" s="5" t="str">
        <f>IF($G181="","",INDEX('Detalle individual'!$C:$C,$G181))</f>
        <v/>
      </c>
      <c r="E181" s="5" t="str">
        <f>IF($G181="","",INDEX('Detalle individual'!$D:$D,$G181))</f>
        <v/>
      </c>
      <c r="G181" t="str">
        <f>IFERROR(MATCH(SMALL(Cálculos!$AH$5:$AH$1000,177),Cálculos!$AH$5:$AH$1000,0)+4,"")</f>
        <v/>
      </c>
    </row>
    <row r="182">
      <c r="A182" s="5" t="str">
        <f>IF($G182="","",INDEX('Detalle individual'!$B:$B,$G182))</f>
        <v/>
      </c>
      <c r="B182" s="5" t="str">
        <f>IF($G182="","",INDEX('Detalle individual'!$A:$A,$G182))</f>
        <v/>
      </c>
      <c r="C182" s="5" t="str">
        <f>IF($G182="","",INDEX('Detalle individual'!$E:$E,$G182))</f>
        <v/>
      </c>
      <c r="D182" s="5" t="str">
        <f>IF($G182="","",INDEX('Detalle individual'!$C:$C,$G182))</f>
        <v/>
      </c>
      <c r="E182" s="5" t="str">
        <f>IF($G182="","",INDEX('Detalle individual'!$D:$D,$G182))</f>
        <v/>
      </c>
      <c r="G182" t="str">
        <f>IFERROR(MATCH(SMALL(Cálculos!$AH$5:$AH$1000,178),Cálculos!$AH$5:$AH$1000,0)+4,"")</f>
        <v/>
      </c>
    </row>
    <row r="183">
      <c r="A183" s="5" t="str">
        <f>IF($G183="","",INDEX('Detalle individual'!$B:$B,$G183))</f>
        <v/>
      </c>
      <c r="B183" s="5" t="str">
        <f>IF($G183="","",INDEX('Detalle individual'!$A:$A,$G183))</f>
        <v/>
      </c>
      <c r="C183" s="5" t="str">
        <f>IF($G183="","",INDEX('Detalle individual'!$E:$E,$G183))</f>
        <v/>
      </c>
      <c r="D183" s="5" t="str">
        <f>IF($G183="","",INDEX('Detalle individual'!$C:$C,$G183))</f>
        <v/>
      </c>
      <c r="E183" s="5" t="str">
        <f>IF($G183="","",INDEX('Detalle individual'!$D:$D,$G183))</f>
        <v/>
      </c>
      <c r="G183" t="str">
        <f>IFERROR(MATCH(SMALL(Cálculos!$AH$5:$AH$1000,179),Cálculos!$AH$5:$AH$1000,0)+4,"")</f>
        <v/>
      </c>
    </row>
    <row r="184">
      <c r="A184" s="5" t="str">
        <f>IF($G184="","",INDEX('Detalle individual'!$B:$B,$G184))</f>
        <v/>
      </c>
      <c r="B184" s="5" t="str">
        <f>IF($G184="","",INDEX('Detalle individual'!$A:$A,$G184))</f>
        <v/>
      </c>
      <c r="C184" s="5" t="str">
        <f>IF($G184="","",INDEX('Detalle individual'!$E:$E,$G184))</f>
        <v/>
      </c>
      <c r="D184" s="5" t="str">
        <f>IF($G184="","",INDEX('Detalle individual'!$C:$C,$G184))</f>
        <v/>
      </c>
      <c r="E184" s="5" t="str">
        <f>IF($G184="","",INDEX('Detalle individual'!$D:$D,$G184))</f>
        <v/>
      </c>
      <c r="G184" t="str">
        <f>IFERROR(MATCH(SMALL(Cálculos!$AH$5:$AH$1000,180),Cálculos!$AH$5:$AH$1000,0)+4,"")</f>
        <v/>
      </c>
    </row>
    <row r="185">
      <c r="A185" s="5" t="str">
        <f>IF($G185="","",INDEX('Detalle individual'!$B:$B,$G185))</f>
        <v/>
      </c>
      <c r="B185" s="5" t="str">
        <f>IF($G185="","",INDEX('Detalle individual'!$A:$A,$G185))</f>
        <v/>
      </c>
      <c r="C185" s="5" t="str">
        <f>IF($G185="","",INDEX('Detalle individual'!$E:$E,$G185))</f>
        <v/>
      </c>
      <c r="D185" s="5" t="str">
        <f>IF($G185="","",INDEX('Detalle individual'!$C:$C,$G185))</f>
        <v/>
      </c>
      <c r="E185" s="5" t="str">
        <f>IF($G185="","",INDEX('Detalle individual'!$D:$D,$G185))</f>
        <v/>
      </c>
      <c r="G185" t="str">
        <f>IFERROR(MATCH(SMALL(Cálculos!$AH$5:$AH$1000,181),Cálculos!$AH$5:$AH$1000,0)+4,"")</f>
        <v/>
      </c>
    </row>
    <row r="186">
      <c r="A186" s="5" t="str">
        <f>IF($G186="","",INDEX('Detalle individual'!$B:$B,$G186))</f>
        <v/>
      </c>
      <c r="B186" s="5" t="str">
        <f>IF($G186="","",INDEX('Detalle individual'!$A:$A,$G186))</f>
        <v/>
      </c>
      <c r="C186" s="5" t="str">
        <f>IF($G186="","",INDEX('Detalle individual'!$E:$E,$G186))</f>
        <v/>
      </c>
      <c r="D186" s="5" t="str">
        <f>IF($G186="","",INDEX('Detalle individual'!$C:$C,$G186))</f>
        <v/>
      </c>
      <c r="E186" s="5" t="str">
        <f>IF($G186="","",INDEX('Detalle individual'!$D:$D,$G186))</f>
        <v/>
      </c>
      <c r="G186" t="str">
        <f>IFERROR(MATCH(SMALL(Cálculos!$AH$5:$AH$1000,182),Cálculos!$AH$5:$AH$1000,0)+4,"")</f>
        <v/>
      </c>
    </row>
    <row r="187">
      <c r="A187" s="5" t="str">
        <f>IF($G187="","",INDEX('Detalle individual'!$B:$B,$G187))</f>
        <v/>
      </c>
      <c r="B187" s="5" t="str">
        <f>IF($G187="","",INDEX('Detalle individual'!$A:$A,$G187))</f>
        <v/>
      </c>
      <c r="C187" s="5" t="str">
        <f>IF($G187="","",INDEX('Detalle individual'!$E:$E,$G187))</f>
        <v/>
      </c>
      <c r="D187" s="5" t="str">
        <f>IF($G187="","",INDEX('Detalle individual'!$C:$C,$G187))</f>
        <v/>
      </c>
      <c r="E187" s="5" t="str">
        <f>IF($G187="","",INDEX('Detalle individual'!$D:$D,$G187))</f>
        <v/>
      </c>
      <c r="G187" t="str">
        <f>IFERROR(MATCH(SMALL(Cálculos!$AH$5:$AH$1000,183),Cálculos!$AH$5:$AH$1000,0)+4,"")</f>
        <v/>
      </c>
    </row>
    <row r="188">
      <c r="A188" s="5" t="str">
        <f>IF($G188="","",INDEX('Detalle individual'!$B:$B,$G188))</f>
        <v/>
      </c>
      <c r="B188" s="5" t="str">
        <f>IF($G188="","",INDEX('Detalle individual'!$A:$A,$G188))</f>
        <v/>
      </c>
      <c r="C188" s="5" t="str">
        <f>IF($G188="","",INDEX('Detalle individual'!$E:$E,$G188))</f>
        <v/>
      </c>
      <c r="D188" s="5" t="str">
        <f>IF($G188="","",INDEX('Detalle individual'!$C:$C,$G188))</f>
        <v/>
      </c>
      <c r="E188" s="5" t="str">
        <f>IF($G188="","",INDEX('Detalle individual'!$D:$D,$G188))</f>
        <v/>
      </c>
      <c r="G188" t="str">
        <f>IFERROR(MATCH(SMALL(Cálculos!$AH$5:$AH$1000,184),Cálculos!$AH$5:$AH$1000,0)+4,"")</f>
        <v/>
      </c>
    </row>
    <row r="189">
      <c r="A189" s="5" t="str">
        <f>IF($G189="","",INDEX('Detalle individual'!$B:$B,$G189))</f>
        <v/>
      </c>
      <c r="B189" s="5" t="str">
        <f>IF($G189="","",INDEX('Detalle individual'!$A:$A,$G189))</f>
        <v/>
      </c>
      <c r="C189" s="5" t="str">
        <f>IF($G189="","",INDEX('Detalle individual'!$E:$E,$G189))</f>
        <v/>
      </c>
      <c r="D189" s="5" t="str">
        <f>IF($G189="","",INDEX('Detalle individual'!$C:$C,$G189))</f>
        <v/>
      </c>
      <c r="E189" s="5" t="str">
        <f>IF($G189="","",INDEX('Detalle individual'!$D:$D,$G189))</f>
        <v/>
      </c>
      <c r="G189" t="str">
        <f>IFERROR(MATCH(SMALL(Cálculos!$AH$5:$AH$1000,185),Cálculos!$AH$5:$AH$1000,0)+4,"")</f>
        <v/>
      </c>
    </row>
    <row r="190">
      <c r="A190" s="5" t="str">
        <f>IF($G190="","",INDEX('Detalle individual'!$B:$B,$G190))</f>
        <v/>
      </c>
      <c r="B190" s="5" t="str">
        <f>IF($G190="","",INDEX('Detalle individual'!$A:$A,$G190))</f>
        <v/>
      </c>
      <c r="C190" s="5" t="str">
        <f>IF($G190="","",INDEX('Detalle individual'!$E:$E,$G190))</f>
        <v/>
      </c>
      <c r="D190" s="5" t="str">
        <f>IF($G190="","",INDEX('Detalle individual'!$C:$C,$G190))</f>
        <v/>
      </c>
      <c r="E190" s="5" t="str">
        <f>IF($G190="","",INDEX('Detalle individual'!$D:$D,$G190))</f>
        <v/>
      </c>
      <c r="G190" t="str">
        <f>IFERROR(MATCH(SMALL(Cálculos!$AH$5:$AH$1000,186),Cálculos!$AH$5:$AH$1000,0)+4,"")</f>
        <v/>
      </c>
    </row>
    <row r="191">
      <c r="A191" s="5" t="str">
        <f>IF($G191="","",INDEX('Detalle individual'!$B:$B,$G191))</f>
        <v/>
      </c>
      <c r="B191" s="5" t="str">
        <f>IF($G191="","",INDEX('Detalle individual'!$A:$A,$G191))</f>
        <v/>
      </c>
      <c r="C191" s="5" t="str">
        <f>IF($G191="","",INDEX('Detalle individual'!$E:$E,$G191))</f>
        <v/>
      </c>
      <c r="D191" s="5" t="str">
        <f>IF($G191="","",INDEX('Detalle individual'!$C:$C,$G191))</f>
        <v/>
      </c>
      <c r="E191" s="5" t="str">
        <f>IF($G191="","",INDEX('Detalle individual'!$D:$D,$G191))</f>
        <v/>
      </c>
      <c r="G191" t="str">
        <f>IFERROR(MATCH(SMALL(Cálculos!$AH$5:$AH$1000,187),Cálculos!$AH$5:$AH$1000,0)+4,"")</f>
        <v/>
      </c>
    </row>
    <row r="192">
      <c r="A192" s="5" t="str">
        <f>IF($G192="","",INDEX('Detalle individual'!$B:$B,$G192))</f>
        <v/>
      </c>
      <c r="B192" s="5" t="str">
        <f>IF($G192="","",INDEX('Detalle individual'!$A:$A,$G192))</f>
        <v/>
      </c>
      <c r="C192" s="5" t="str">
        <f>IF($G192="","",INDEX('Detalle individual'!$E:$E,$G192))</f>
        <v/>
      </c>
      <c r="D192" s="5" t="str">
        <f>IF($G192="","",INDEX('Detalle individual'!$C:$C,$G192))</f>
        <v/>
      </c>
      <c r="E192" s="5" t="str">
        <f>IF($G192="","",INDEX('Detalle individual'!$D:$D,$G192))</f>
        <v/>
      </c>
      <c r="G192" t="str">
        <f>IFERROR(MATCH(SMALL(Cálculos!$AH$5:$AH$1000,188),Cálculos!$AH$5:$AH$1000,0)+4,"")</f>
        <v/>
      </c>
    </row>
    <row r="193">
      <c r="A193" s="5" t="str">
        <f>IF($G193="","",INDEX('Detalle individual'!$B:$B,$G193))</f>
        <v/>
      </c>
      <c r="B193" s="5" t="str">
        <f>IF($G193="","",INDEX('Detalle individual'!$A:$A,$G193))</f>
        <v/>
      </c>
      <c r="C193" s="5" t="str">
        <f>IF($G193="","",INDEX('Detalle individual'!$E:$E,$G193))</f>
        <v/>
      </c>
      <c r="D193" s="5" t="str">
        <f>IF($G193="","",INDEX('Detalle individual'!$C:$C,$G193))</f>
        <v/>
      </c>
      <c r="E193" s="5" t="str">
        <f>IF($G193="","",INDEX('Detalle individual'!$D:$D,$G193))</f>
        <v/>
      </c>
      <c r="G193" t="str">
        <f>IFERROR(MATCH(SMALL(Cálculos!$AH$5:$AH$1000,189),Cálculos!$AH$5:$AH$1000,0)+4,"")</f>
        <v/>
      </c>
    </row>
    <row r="194">
      <c r="A194" s="5" t="str">
        <f>IF($G194="","",INDEX('Detalle individual'!$B:$B,$G194))</f>
        <v/>
      </c>
      <c r="B194" s="5" t="str">
        <f>IF($G194="","",INDEX('Detalle individual'!$A:$A,$G194))</f>
        <v/>
      </c>
      <c r="C194" s="5" t="str">
        <f>IF($G194="","",INDEX('Detalle individual'!$E:$E,$G194))</f>
        <v/>
      </c>
      <c r="D194" s="5" t="str">
        <f>IF($G194="","",INDEX('Detalle individual'!$C:$C,$G194))</f>
        <v/>
      </c>
      <c r="E194" s="5" t="str">
        <f>IF($G194="","",INDEX('Detalle individual'!$D:$D,$G194))</f>
        <v/>
      </c>
      <c r="G194" t="str">
        <f>IFERROR(MATCH(SMALL(Cálculos!$AH$5:$AH$1000,190),Cálculos!$AH$5:$AH$1000,0)+4,"")</f>
        <v/>
      </c>
    </row>
    <row r="195">
      <c r="A195" s="5" t="str">
        <f>IF($G195="","",INDEX('Detalle individual'!$B:$B,$G195))</f>
        <v/>
      </c>
      <c r="B195" s="5" t="str">
        <f>IF($G195="","",INDEX('Detalle individual'!$A:$A,$G195))</f>
        <v/>
      </c>
      <c r="C195" s="5" t="str">
        <f>IF($G195="","",INDEX('Detalle individual'!$E:$E,$G195))</f>
        <v/>
      </c>
      <c r="D195" s="5" t="str">
        <f>IF($G195="","",INDEX('Detalle individual'!$C:$C,$G195))</f>
        <v/>
      </c>
      <c r="E195" s="5" t="str">
        <f>IF($G195="","",INDEX('Detalle individual'!$D:$D,$G195))</f>
        <v/>
      </c>
      <c r="G195" t="str">
        <f>IFERROR(MATCH(SMALL(Cálculos!$AH$5:$AH$1000,191),Cálculos!$AH$5:$AH$1000,0)+4,"")</f>
        <v/>
      </c>
    </row>
    <row r="196">
      <c r="A196" s="5" t="str">
        <f>IF($G196="","",INDEX('Detalle individual'!$B:$B,$G196))</f>
        <v/>
      </c>
      <c r="B196" s="5" t="str">
        <f>IF($G196="","",INDEX('Detalle individual'!$A:$A,$G196))</f>
        <v/>
      </c>
      <c r="C196" s="5" t="str">
        <f>IF($G196="","",INDEX('Detalle individual'!$E:$E,$G196))</f>
        <v/>
      </c>
      <c r="D196" s="5" t="str">
        <f>IF($G196="","",INDEX('Detalle individual'!$C:$C,$G196))</f>
        <v/>
      </c>
      <c r="E196" s="5" t="str">
        <f>IF($G196="","",INDEX('Detalle individual'!$D:$D,$G196))</f>
        <v/>
      </c>
      <c r="G196" t="str">
        <f>IFERROR(MATCH(SMALL(Cálculos!$AH$5:$AH$1000,192),Cálculos!$AH$5:$AH$1000,0)+4,"")</f>
        <v/>
      </c>
    </row>
    <row r="197">
      <c r="A197" s="5" t="str">
        <f>IF($G197="","",INDEX('Detalle individual'!$B:$B,$G197))</f>
        <v/>
      </c>
      <c r="B197" s="5" t="str">
        <f>IF($G197="","",INDEX('Detalle individual'!$A:$A,$G197))</f>
        <v/>
      </c>
      <c r="C197" s="5" t="str">
        <f>IF($G197="","",INDEX('Detalle individual'!$E:$E,$G197))</f>
        <v/>
      </c>
      <c r="D197" s="5" t="str">
        <f>IF($G197="","",INDEX('Detalle individual'!$C:$C,$G197))</f>
        <v/>
      </c>
      <c r="E197" s="5" t="str">
        <f>IF($G197="","",INDEX('Detalle individual'!$D:$D,$G197))</f>
        <v/>
      </c>
      <c r="G197" t="str">
        <f>IFERROR(MATCH(SMALL(Cálculos!$AH$5:$AH$1000,193),Cálculos!$AH$5:$AH$1000,0)+4,"")</f>
        <v/>
      </c>
    </row>
    <row r="198">
      <c r="A198" s="5" t="str">
        <f>IF($G198="","",INDEX('Detalle individual'!$B:$B,$G198))</f>
        <v/>
      </c>
      <c r="B198" s="5" t="str">
        <f>IF($G198="","",INDEX('Detalle individual'!$A:$A,$G198))</f>
        <v/>
      </c>
      <c r="C198" s="5" t="str">
        <f>IF($G198="","",INDEX('Detalle individual'!$E:$E,$G198))</f>
        <v/>
      </c>
      <c r="D198" s="5" t="str">
        <f>IF($G198="","",INDEX('Detalle individual'!$C:$C,$G198))</f>
        <v/>
      </c>
      <c r="E198" s="5" t="str">
        <f>IF($G198="","",INDEX('Detalle individual'!$D:$D,$G198))</f>
        <v/>
      </c>
      <c r="G198" t="str">
        <f>IFERROR(MATCH(SMALL(Cálculos!$AH$5:$AH$1000,194),Cálculos!$AH$5:$AH$1000,0)+4,"")</f>
        <v/>
      </c>
    </row>
    <row r="199">
      <c r="A199" s="5" t="str">
        <f>IF($G199="","",INDEX('Detalle individual'!$B:$B,$G199))</f>
        <v/>
      </c>
      <c r="B199" s="5" t="str">
        <f>IF($G199="","",INDEX('Detalle individual'!$A:$A,$G199))</f>
        <v/>
      </c>
      <c r="C199" s="5" t="str">
        <f>IF($G199="","",INDEX('Detalle individual'!$E:$E,$G199))</f>
        <v/>
      </c>
      <c r="D199" s="5" t="str">
        <f>IF($G199="","",INDEX('Detalle individual'!$C:$C,$G199))</f>
        <v/>
      </c>
      <c r="E199" s="5" t="str">
        <f>IF($G199="","",INDEX('Detalle individual'!$D:$D,$G199))</f>
        <v/>
      </c>
      <c r="G199" t="str">
        <f>IFERROR(MATCH(SMALL(Cálculos!$AH$5:$AH$1000,195),Cálculos!$AH$5:$AH$1000,0)+4,"")</f>
        <v/>
      </c>
    </row>
    <row r="200">
      <c r="A200" s="5" t="str">
        <f>IF($G200="","",INDEX('Detalle individual'!$B:$B,$G200))</f>
        <v/>
      </c>
      <c r="B200" s="5" t="str">
        <f>IF($G200="","",INDEX('Detalle individual'!$A:$A,$G200))</f>
        <v/>
      </c>
      <c r="C200" s="5" t="str">
        <f>IF($G200="","",INDEX('Detalle individual'!$E:$E,$G200))</f>
        <v/>
      </c>
      <c r="D200" s="5" t="str">
        <f>IF($G200="","",INDEX('Detalle individual'!$C:$C,$G200))</f>
        <v/>
      </c>
      <c r="E200" s="5" t="str">
        <f>IF($G200="","",INDEX('Detalle individual'!$D:$D,$G200))</f>
        <v/>
      </c>
      <c r="G200" t="str">
        <f>IFERROR(MATCH(SMALL(Cálculos!$AH$5:$AH$1000,196),Cálculos!$AH$5:$AH$1000,0)+4,"")</f>
        <v/>
      </c>
    </row>
    <row r="201">
      <c r="A201" s="5" t="str">
        <f>IF($G201="","",INDEX('Detalle individual'!$B:$B,$G201))</f>
        <v/>
      </c>
      <c r="B201" s="5" t="str">
        <f>IF($G201="","",INDEX('Detalle individual'!$A:$A,$G201))</f>
        <v/>
      </c>
      <c r="C201" s="5" t="str">
        <f>IF($G201="","",INDEX('Detalle individual'!$E:$E,$G201))</f>
        <v/>
      </c>
      <c r="D201" s="5" t="str">
        <f>IF($G201="","",INDEX('Detalle individual'!$C:$C,$G201))</f>
        <v/>
      </c>
      <c r="E201" s="5" t="str">
        <f>IF($G201="","",INDEX('Detalle individual'!$D:$D,$G201))</f>
        <v/>
      </c>
      <c r="G201" t="str">
        <f>IFERROR(MATCH(SMALL(Cálculos!$AH$5:$AH$1000,197),Cálculos!$AH$5:$AH$1000,0)+4,"")</f>
        <v/>
      </c>
    </row>
    <row r="202">
      <c r="A202" s="5" t="str">
        <f>IF($G202="","",INDEX('Detalle individual'!$B:$B,$G202))</f>
        <v/>
      </c>
      <c r="B202" s="5" t="str">
        <f>IF($G202="","",INDEX('Detalle individual'!$A:$A,$G202))</f>
        <v/>
      </c>
      <c r="C202" s="5" t="str">
        <f>IF($G202="","",INDEX('Detalle individual'!$E:$E,$G202))</f>
        <v/>
      </c>
      <c r="D202" s="5" t="str">
        <f>IF($G202="","",INDEX('Detalle individual'!$C:$C,$G202))</f>
        <v/>
      </c>
      <c r="E202" s="5" t="str">
        <f>IF($G202="","",INDEX('Detalle individual'!$D:$D,$G202))</f>
        <v/>
      </c>
      <c r="G202" t="str">
        <f>IFERROR(MATCH(SMALL(Cálculos!$AH$5:$AH$1000,198),Cálculos!$AH$5:$AH$1000,0)+4,"")</f>
        <v/>
      </c>
    </row>
    <row r="203">
      <c r="A203" s="5" t="str">
        <f>IF($G203="","",INDEX('Detalle individual'!$B:$B,$G203))</f>
        <v/>
      </c>
      <c r="B203" s="5" t="str">
        <f>IF($G203="","",INDEX('Detalle individual'!$A:$A,$G203))</f>
        <v/>
      </c>
      <c r="C203" s="5" t="str">
        <f>IF($G203="","",INDEX('Detalle individual'!$E:$E,$G203))</f>
        <v/>
      </c>
      <c r="D203" s="5" t="str">
        <f>IF($G203="","",INDEX('Detalle individual'!$C:$C,$G203))</f>
        <v/>
      </c>
      <c r="E203" s="5" t="str">
        <f>IF($G203="","",INDEX('Detalle individual'!$D:$D,$G203))</f>
        <v/>
      </c>
      <c r="G203" t="str">
        <f>IFERROR(MATCH(SMALL(Cálculos!$AH$5:$AH$1000,199),Cálculos!$AH$5:$AH$1000,0)+4,"")</f>
        <v/>
      </c>
    </row>
    <row r="204">
      <c r="A204" s="5" t="str">
        <f>IF($G204="","",INDEX('Detalle individual'!$B:$B,$G204))</f>
        <v/>
      </c>
      <c r="B204" s="5" t="str">
        <f>IF($G204="","",INDEX('Detalle individual'!$A:$A,$G204))</f>
        <v/>
      </c>
      <c r="C204" s="5" t="str">
        <f>IF($G204="","",INDEX('Detalle individual'!$E:$E,$G204))</f>
        <v/>
      </c>
      <c r="D204" s="5" t="str">
        <f>IF($G204="","",INDEX('Detalle individual'!$C:$C,$G204))</f>
        <v/>
      </c>
      <c r="E204" s="5" t="str">
        <f>IF($G204="","",INDEX('Detalle individual'!$D:$D,$G204))</f>
        <v/>
      </c>
      <c r="G204" t="str">
        <f>IFERROR(MATCH(SMALL(Cálculos!$AH$5:$AH$1000,200),Cálculos!$AH$5:$AH$1000,0)+4,"")</f>
        <v/>
      </c>
    </row>
    <row r="205">
      <c r="A205" s="5" t="str">
        <f>IF($G205="","",INDEX('Detalle individual'!$B:$B,$G205))</f>
        <v/>
      </c>
      <c r="B205" s="5" t="str">
        <f>IF($G205="","",INDEX('Detalle individual'!$A:$A,$G205))</f>
        <v/>
      </c>
      <c r="C205" s="5" t="str">
        <f>IF($G205="","",INDEX('Detalle individual'!$E:$E,$G205))</f>
        <v/>
      </c>
      <c r="D205" s="5" t="str">
        <f>IF($G205="","",INDEX('Detalle individual'!$C:$C,$G205))</f>
        <v/>
      </c>
      <c r="E205" s="5" t="str">
        <f>IF($G205="","",INDEX('Detalle individual'!$D:$D,$G205))</f>
        <v/>
      </c>
      <c r="G205" t="str">
        <f>IFERROR(MATCH(SMALL(Cálculos!$AH$5:$AH$1000,201),Cálculos!$AH$5:$AH$1000,0)+4,"")</f>
        <v/>
      </c>
    </row>
    <row r="206">
      <c r="A206" s="5" t="str">
        <f>IF($G206="","",INDEX('Detalle individual'!$B:$B,$G206))</f>
        <v/>
      </c>
      <c r="B206" s="5" t="str">
        <f>IF($G206="","",INDEX('Detalle individual'!$A:$A,$G206))</f>
        <v/>
      </c>
      <c r="C206" s="5" t="str">
        <f>IF($G206="","",INDEX('Detalle individual'!$E:$E,$G206))</f>
        <v/>
      </c>
      <c r="D206" s="5" t="str">
        <f>IF($G206="","",INDEX('Detalle individual'!$C:$C,$G206))</f>
        <v/>
      </c>
      <c r="E206" s="5" t="str">
        <f>IF($G206="","",INDEX('Detalle individual'!$D:$D,$G206))</f>
        <v/>
      </c>
      <c r="G206" t="str">
        <f>IFERROR(MATCH(SMALL(Cálculos!$AH$5:$AH$1000,202),Cálculos!$AH$5:$AH$1000,0)+4,"")</f>
        <v/>
      </c>
    </row>
    <row r="207">
      <c r="A207" s="5" t="str">
        <f>IF($G207="","",INDEX('Detalle individual'!$B:$B,$G207))</f>
        <v/>
      </c>
      <c r="B207" s="5" t="str">
        <f>IF($G207="","",INDEX('Detalle individual'!$A:$A,$G207))</f>
        <v/>
      </c>
      <c r="C207" s="5" t="str">
        <f>IF($G207="","",INDEX('Detalle individual'!$E:$E,$G207))</f>
        <v/>
      </c>
      <c r="D207" s="5" t="str">
        <f>IF($G207="","",INDEX('Detalle individual'!$C:$C,$G207))</f>
        <v/>
      </c>
      <c r="E207" s="5" t="str">
        <f>IF($G207="","",INDEX('Detalle individual'!$D:$D,$G207))</f>
        <v/>
      </c>
      <c r="G207" t="str">
        <f>IFERROR(MATCH(SMALL(Cálculos!$AH$5:$AH$1000,203),Cálculos!$AH$5:$AH$1000,0)+4,"")</f>
        <v/>
      </c>
    </row>
    <row r="208">
      <c r="A208" s="5" t="str">
        <f>IF($G208="","",INDEX('Detalle individual'!$B:$B,$G208))</f>
        <v/>
      </c>
      <c r="B208" s="5" t="str">
        <f>IF($G208="","",INDEX('Detalle individual'!$A:$A,$G208))</f>
        <v/>
      </c>
      <c r="C208" s="5" t="str">
        <f>IF($G208="","",INDEX('Detalle individual'!$E:$E,$G208))</f>
        <v/>
      </c>
      <c r="D208" s="5" t="str">
        <f>IF($G208="","",INDEX('Detalle individual'!$C:$C,$G208))</f>
        <v/>
      </c>
      <c r="E208" s="5" t="str">
        <f>IF($G208="","",INDEX('Detalle individual'!$D:$D,$G208))</f>
        <v/>
      </c>
      <c r="G208" t="str">
        <f>IFERROR(MATCH(SMALL(Cálculos!$AH$5:$AH$1000,204),Cálculos!$AH$5:$AH$1000,0)+4,"")</f>
        <v/>
      </c>
    </row>
    <row r="209">
      <c r="A209" s="5" t="str">
        <f>IF($G209="","",INDEX('Detalle individual'!$B:$B,$G209))</f>
        <v/>
      </c>
      <c r="B209" s="5" t="str">
        <f>IF($G209="","",INDEX('Detalle individual'!$A:$A,$G209))</f>
        <v/>
      </c>
      <c r="C209" s="5" t="str">
        <f>IF($G209="","",INDEX('Detalle individual'!$E:$E,$G209))</f>
        <v/>
      </c>
      <c r="D209" s="5" t="str">
        <f>IF($G209="","",INDEX('Detalle individual'!$C:$C,$G209))</f>
        <v/>
      </c>
      <c r="E209" s="5" t="str">
        <f>IF($G209="","",INDEX('Detalle individual'!$D:$D,$G209))</f>
        <v/>
      </c>
      <c r="G209" t="str">
        <f>IFERROR(MATCH(SMALL(Cálculos!$AH$5:$AH$1000,205),Cálculos!$AH$5:$AH$1000,0)+4,"")</f>
        <v/>
      </c>
    </row>
    <row r="210">
      <c r="A210" s="5" t="str">
        <f>IF($G210="","",INDEX('Detalle individual'!$B:$B,$G210))</f>
        <v/>
      </c>
      <c r="B210" s="5" t="str">
        <f>IF($G210="","",INDEX('Detalle individual'!$A:$A,$G210))</f>
        <v/>
      </c>
      <c r="C210" s="5" t="str">
        <f>IF($G210="","",INDEX('Detalle individual'!$E:$E,$G210))</f>
        <v/>
      </c>
      <c r="D210" s="5" t="str">
        <f>IF($G210="","",INDEX('Detalle individual'!$C:$C,$G210))</f>
        <v/>
      </c>
      <c r="E210" s="5" t="str">
        <f>IF($G210="","",INDEX('Detalle individual'!$D:$D,$G210))</f>
        <v/>
      </c>
      <c r="G210" t="str">
        <f>IFERROR(MATCH(SMALL(Cálculos!$AH$5:$AH$1000,206),Cálculos!$AH$5:$AH$1000,0)+4,"")</f>
        <v/>
      </c>
    </row>
    <row r="211">
      <c r="A211" s="5" t="str">
        <f>IF($G211="","",INDEX('Detalle individual'!$B:$B,$G211))</f>
        <v/>
      </c>
      <c r="B211" s="5" t="str">
        <f>IF($G211="","",INDEX('Detalle individual'!$A:$A,$G211))</f>
        <v/>
      </c>
      <c r="C211" s="5" t="str">
        <f>IF($G211="","",INDEX('Detalle individual'!$E:$E,$G211))</f>
        <v/>
      </c>
      <c r="D211" s="5" t="str">
        <f>IF($G211="","",INDEX('Detalle individual'!$C:$C,$G211))</f>
        <v/>
      </c>
      <c r="E211" s="5" t="str">
        <f>IF($G211="","",INDEX('Detalle individual'!$D:$D,$G211))</f>
        <v/>
      </c>
      <c r="G211" t="str">
        <f>IFERROR(MATCH(SMALL(Cálculos!$AH$5:$AH$1000,207),Cálculos!$AH$5:$AH$1000,0)+4,"")</f>
        <v/>
      </c>
    </row>
    <row r="212">
      <c r="A212" s="5" t="str">
        <f>IF($G212="","",INDEX('Detalle individual'!$B:$B,$G212))</f>
        <v/>
      </c>
      <c r="B212" s="5" t="str">
        <f>IF($G212="","",INDEX('Detalle individual'!$A:$A,$G212))</f>
        <v/>
      </c>
      <c r="C212" s="5" t="str">
        <f>IF($G212="","",INDEX('Detalle individual'!$E:$E,$G212))</f>
        <v/>
      </c>
      <c r="D212" s="5" t="str">
        <f>IF($G212="","",INDEX('Detalle individual'!$C:$C,$G212))</f>
        <v/>
      </c>
      <c r="E212" s="5" t="str">
        <f>IF($G212="","",INDEX('Detalle individual'!$D:$D,$G212))</f>
        <v/>
      </c>
      <c r="G212" t="str">
        <f>IFERROR(MATCH(SMALL(Cálculos!$AH$5:$AH$1000,208),Cálculos!$AH$5:$AH$1000,0)+4,"")</f>
        <v/>
      </c>
    </row>
    <row r="213">
      <c r="A213" s="5" t="str">
        <f>IF($G213="","",INDEX('Detalle individual'!$B:$B,$G213))</f>
        <v/>
      </c>
      <c r="B213" s="5" t="str">
        <f>IF($G213="","",INDEX('Detalle individual'!$A:$A,$G213))</f>
        <v/>
      </c>
      <c r="C213" s="5" t="str">
        <f>IF($G213="","",INDEX('Detalle individual'!$E:$E,$G213))</f>
        <v/>
      </c>
      <c r="D213" s="5" t="str">
        <f>IF($G213="","",INDEX('Detalle individual'!$C:$C,$G213))</f>
        <v/>
      </c>
      <c r="E213" s="5" t="str">
        <f>IF($G213="","",INDEX('Detalle individual'!$D:$D,$G213))</f>
        <v/>
      </c>
      <c r="G213" t="str">
        <f>IFERROR(MATCH(SMALL(Cálculos!$AH$5:$AH$1000,209),Cálculos!$AH$5:$AH$1000,0)+4,"")</f>
        <v/>
      </c>
    </row>
    <row r="214">
      <c r="A214" s="5" t="str">
        <f>IF($G214="","",INDEX('Detalle individual'!$B:$B,$G214))</f>
        <v/>
      </c>
      <c r="B214" s="5" t="str">
        <f>IF($G214="","",INDEX('Detalle individual'!$A:$A,$G214))</f>
        <v/>
      </c>
      <c r="C214" s="5" t="str">
        <f>IF($G214="","",INDEX('Detalle individual'!$E:$E,$G214))</f>
        <v/>
      </c>
      <c r="D214" s="5" t="str">
        <f>IF($G214="","",INDEX('Detalle individual'!$C:$C,$G214))</f>
        <v/>
      </c>
      <c r="E214" s="5" t="str">
        <f>IF($G214="","",INDEX('Detalle individual'!$D:$D,$G214))</f>
        <v/>
      </c>
      <c r="G214" t="str">
        <f>IFERROR(MATCH(SMALL(Cálculos!$AH$5:$AH$1000,210),Cálculos!$AH$5:$AH$1000,0)+4,"")</f>
        <v/>
      </c>
    </row>
    <row r="215">
      <c r="A215" s="5" t="str">
        <f>IF($G215="","",INDEX('Detalle individual'!$B:$B,$G215))</f>
        <v/>
      </c>
      <c r="B215" s="5" t="str">
        <f>IF($G215="","",INDEX('Detalle individual'!$A:$A,$G215))</f>
        <v/>
      </c>
      <c r="C215" s="5" t="str">
        <f>IF($G215="","",INDEX('Detalle individual'!$E:$E,$G215))</f>
        <v/>
      </c>
      <c r="D215" s="5" t="str">
        <f>IF($G215="","",INDEX('Detalle individual'!$C:$C,$G215))</f>
        <v/>
      </c>
      <c r="E215" s="5" t="str">
        <f>IF($G215="","",INDEX('Detalle individual'!$D:$D,$G215))</f>
        <v/>
      </c>
      <c r="G215" t="str">
        <f>IFERROR(MATCH(SMALL(Cálculos!$AH$5:$AH$1000,211),Cálculos!$AH$5:$AH$1000,0)+4,"")</f>
        <v/>
      </c>
    </row>
    <row r="216">
      <c r="A216" s="5" t="str">
        <f>IF($G216="","",INDEX('Detalle individual'!$B:$B,$G216))</f>
        <v/>
      </c>
      <c r="B216" s="5" t="str">
        <f>IF($G216="","",INDEX('Detalle individual'!$A:$A,$G216))</f>
        <v/>
      </c>
      <c r="C216" s="5" t="str">
        <f>IF($G216="","",INDEX('Detalle individual'!$E:$E,$G216))</f>
        <v/>
      </c>
      <c r="D216" s="5" t="str">
        <f>IF($G216="","",INDEX('Detalle individual'!$C:$C,$G216))</f>
        <v/>
      </c>
      <c r="E216" s="5" t="str">
        <f>IF($G216="","",INDEX('Detalle individual'!$D:$D,$G216))</f>
        <v/>
      </c>
      <c r="G216" t="str">
        <f>IFERROR(MATCH(SMALL(Cálculos!$AH$5:$AH$1000,212),Cálculos!$AH$5:$AH$1000,0)+4,"")</f>
        <v/>
      </c>
    </row>
    <row r="217">
      <c r="A217" s="5" t="str">
        <f>IF($G217="","",INDEX('Detalle individual'!$B:$B,$G217))</f>
        <v/>
      </c>
      <c r="B217" s="5" t="str">
        <f>IF($G217="","",INDEX('Detalle individual'!$A:$A,$G217))</f>
        <v/>
      </c>
      <c r="C217" s="5" t="str">
        <f>IF($G217="","",INDEX('Detalle individual'!$E:$E,$G217))</f>
        <v/>
      </c>
      <c r="D217" s="5" t="str">
        <f>IF($G217="","",INDEX('Detalle individual'!$C:$C,$G217))</f>
        <v/>
      </c>
      <c r="E217" s="5" t="str">
        <f>IF($G217="","",INDEX('Detalle individual'!$D:$D,$G217))</f>
        <v/>
      </c>
      <c r="G217" t="str">
        <f>IFERROR(MATCH(SMALL(Cálculos!$AH$5:$AH$1000,213),Cálculos!$AH$5:$AH$1000,0)+4,"")</f>
        <v/>
      </c>
    </row>
    <row r="218">
      <c r="A218" s="5" t="str">
        <f>IF($G218="","",INDEX('Detalle individual'!$B:$B,$G218))</f>
        <v/>
      </c>
      <c r="B218" s="5" t="str">
        <f>IF($G218="","",INDEX('Detalle individual'!$A:$A,$G218))</f>
        <v/>
      </c>
      <c r="C218" s="5" t="str">
        <f>IF($G218="","",INDEX('Detalle individual'!$E:$E,$G218))</f>
        <v/>
      </c>
      <c r="D218" s="5" t="str">
        <f>IF($G218="","",INDEX('Detalle individual'!$C:$C,$G218))</f>
        <v/>
      </c>
      <c r="E218" s="5" t="str">
        <f>IF($G218="","",INDEX('Detalle individual'!$D:$D,$G218))</f>
        <v/>
      </c>
      <c r="G218" t="str">
        <f>IFERROR(MATCH(SMALL(Cálculos!$AH$5:$AH$1000,214),Cálculos!$AH$5:$AH$1000,0)+4,"")</f>
        <v/>
      </c>
    </row>
    <row r="219">
      <c r="A219" s="5" t="str">
        <f>IF($G219="","",INDEX('Detalle individual'!$B:$B,$G219))</f>
        <v/>
      </c>
      <c r="B219" s="5" t="str">
        <f>IF($G219="","",INDEX('Detalle individual'!$A:$A,$G219))</f>
        <v/>
      </c>
      <c r="C219" s="5" t="str">
        <f>IF($G219="","",INDEX('Detalle individual'!$E:$E,$G219))</f>
        <v/>
      </c>
      <c r="D219" s="5" t="str">
        <f>IF($G219="","",INDEX('Detalle individual'!$C:$C,$G219))</f>
        <v/>
      </c>
      <c r="E219" s="5" t="str">
        <f>IF($G219="","",INDEX('Detalle individual'!$D:$D,$G219))</f>
        <v/>
      </c>
      <c r="G219" t="str">
        <f>IFERROR(MATCH(SMALL(Cálculos!$AH$5:$AH$1000,215),Cálculos!$AH$5:$AH$1000,0)+4,"")</f>
        <v/>
      </c>
    </row>
    <row r="220">
      <c r="A220" s="5" t="str">
        <f>IF($G220="","",INDEX('Detalle individual'!$B:$B,$G220))</f>
        <v/>
      </c>
      <c r="B220" s="5" t="str">
        <f>IF($G220="","",INDEX('Detalle individual'!$A:$A,$G220))</f>
        <v/>
      </c>
      <c r="C220" s="5" t="str">
        <f>IF($G220="","",INDEX('Detalle individual'!$E:$E,$G220))</f>
        <v/>
      </c>
      <c r="D220" s="5" t="str">
        <f>IF($G220="","",INDEX('Detalle individual'!$C:$C,$G220))</f>
        <v/>
      </c>
      <c r="E220" s="5" t="str">
        <f>IF($G220="","",INDEX('Detalle individual'!$D:$D,$G220))</f>
        <v/>
      </c>
      <c r="G220" t="str">
        <f>IFERROR(MATCH(SMALL(Cálculos!$AH$5:$AH$1000,216),Cálculos!$AH$5:$AH$1000,0)+4,"")</f>
        <v/>
      </c>
    </row>
    <row r="221">
      <c r="A221" s="5" t="str">
        <f>IF($G221="","",INDEX('Detalle individual'!$B:$B,$G221))</f>
        <v/>
      </c>
      <c r="B221" s="5" t="str">
        <f>IF($G221="","",INDEX('Detalle individual'!$A:$A,$G221))</f>
        <v/>
      </c>
      <c r="C221" s="5" t="str">
        <f>IF($G221="","",INDEX('Detalle individual'!$E:$E,$G221))</f>
        <v/>
      </c>
      <c r="D221" s="5" t="str">
        <f>IF($G221="","",INDEX('Detalle individual'!$C:$C,$G221))</f>
        <v/>
      </c>
      <c r="E221" s="5" t="str">
        <f>IF($G221="","",INDEX('Detalle individual'!$D:$D,$G221))</f>
        <v/>
      </c>
      <c r="G221" t="str">
        <f>IFERROR(MATCH(SMALL(Cálculos!$AH$5:$AH$1000,217),Cálculos!$AH$5:$AH$1000,0)+4,"")</f>
        <v/>
      </c>
    </row>
    <row r="222">
      <c r="A222" s="5" t="str">
        <f>IF($G222="","",INDEX('Detalle individual'!$B:$B,$G222))</f>
        <v/>
      </c>
      <c r="B222" s="5" t="str">
        <f>IF($G222="","",INDEX('Detalle individual'!$A:$A,$G222))</f>
        <v/>
      </c>
      <c r="C222" s="5" t="str">
        <f>IF($G222="","",INDEX('Detalle individual'!$E:$E,$G222))</f>
        <v/>
      </c>
      <c r="D222" s="5" t="str">
        <f>IF($G222="","",INDEX('Detalle individual'!$C:$C,$G222))</f>
        <v/>
      </c>
      <c r="E222" s="5" t="str">
        <f>IF($G222="","",INDEX('Detalle individual'!$D:$D,$G222))</f>
        <v/>
      </c>
      <c r="G222" t="str">
        <f>IFERROR(MATCH(SMALL(Cálculos!$AH$5:$AH$1000,218),Cálculos!$AH$5:$AH$1000,0)+4,"")</f>
        <v/>
      </c>
    </row>
    <row r="223">
      <c r="A223" s="5" t="str">
        <f>IF($G223="","",INDEX('Detalle individual'!$B:$B,$G223))</f>
        <v/>
      </c>
      <c r="B223" s="5" t="str">
        <f>IF($G223="","",INDEX('Detalle individual'!$A:$A,$G223))</f>
        <v/>
      </c>
      <c r="C223" s="5" t="str">
        <f>IF($G223="","",INDEX('Detalle individual'!$E:$E,$G223))</f>
        <v/>
      </c>
      <c r="D223" s="5" t="str">
        <f>IF($G223="","",INDEX('Detalle individual'!$C:$C,$G223))</f>
        <v/>
      </c>
      <c r="E223" s="5" t="str">
        <f>IF($G223="","",INDEX('Detalle individual'!$D:$D,$G223))</f>
        <v/>
      </c>
      <c r="G223" t="str">
        <f>IFERROR(MATCH(SMALL(Cálculos!$AH$5:$AH$1000,219),Cálculos!$AH$5:$AH$1000,0)+4,"")</f>
        <v/>
      </c>
    </row>
    <row r="224">
      <c r="A224" s="5" t="str">
        <f>IF($G224="","",INDEX('Detalle individual'!$B:$B,$G224))</f>
        <v/>
      </c>
      <c r="B224" s="5" t="str">
        <f>IF($G224="","",INDEX('Detalle individual'!$A:$A,$G224))</f>
        <v/>
      </c>
      <c r="C224" s="5" t="str">
        <f>IF($G224="","",INDEX('Detalle individual'!$E:$E,$G224))</f>
        <v/>
      </c>
      <c r="D224" s="5" t="str">
        <f>IF($G224="","",INDEX('Detalle individual'!$C:$C,$G224))</f>
        <v/>
      </c>
      <c r="E224" s="5" t="str">
        <f>IF($G224="","",INDEX('Detalle individual'!$D:$D,$G224))</f>
        <v/>
      </c>
      <c r="G224" t="str">
        <f>IFERROR(MATCH(SMALL(Cálculos!$AH$5:$AH$1000,220),Cálculos!$AH$5:$AH$1000,0)+4,"")</f>
        <v/>
      </c>
    </row>
    <row r="225">
      <c r="A225" s="5" t="str">
        <f>IF($G225="","",INDEX('Detalle individual'!$B:$B,$G225))</f>
        <v/>
      </c>
      <c r="B225" s="5" t="str">
        <f>IF($G225="","",INDEX('Detalle individual'!$A:$A,$G225))</f>
        <v/>
      </c>
      <c r="C225" s="5" t="str">
        <f>IF($G225="","",INDEX('Detalle individual'!$E:$E,$G225))</f>
        <v/>
      </c>
      <c r="D225" s="5" t="str">
        <f>IF($G225="","",INDEX('Detalle individual'!$C:$C,$G225))</f>
        <v/>
      </c>
      <c r="E225" s="5" t="str">
        <f>IF($G225="","",INDEX('Detalle individual'!$D:$D,$G225))</f>
        <v/>
      </c>
      <c r="G225" t="str">
        <f>IFERROR(MATCH(SMALL(Cálculos!$AH$5:$AH$1000,221),Cálculos!$AH$5:$AH$1000,0)+4,"")</f>
        <v/>
      </c>
    </row>
    <row r="226">
      <c r="A226" s="5" t="str">
        <f>IF($G226="","",INDEX('Detalle individual'!$B:$B,$G226))</f>
        <v/>
      </c>
      <c r="B226" s="5" t="str">
        <f>IF($G226="","",INDEX('Detalle individual'!$A:$A,$G226))</f>
        <v/>
      </c>
      <c r="C226" s="5" t="str">
        <f>IF($G226="","",INDEX('Detalle individual'!$E:$E,$G226))</f>
        <v/>
      </c>
      <c r="D226" s="5" t="str">
        <f>IF($G226="","",INDEX('Detalle individual'!$C:$C,$G226))</f>
        <v/>
      </c>
      <c r="E226" s="5" t="str">
        <f>IF($G226="","",INDEX('Detalle individual'!$D:$D,$G226))</f>
        <v/>
      </c>
      <c r="G226" t="str">
        <f>IFERROR(MATCH(SMALL(Cálculos!$AH$5:$AH$1000,222),Cálculos!$AH$5:$AH$1000,0)+4,"")</f>
        <v/>
      </c>
    </row>
    <row r="227">
      <c r="A227" s="5" t="str">
        <f>IF($G227="","",INDEX('Detalle individual'!$B:$B,$G227))</f>
        <v/>
      </c>
      <c r="B227" s="5" t="str">
        <f>IF($G227="","",INDEX('Detalle individual'!$A:$A,$G227))</f>
        <v/>
      </c>
      <c r="C227" s="5" t="str">
        <f>IF($G227="","",INDEX('Detalle individual'!$E:$E,$G227))</f>
        <v/>
      </c>
      <c r="D227" s="5" t="str">
        <f>IF($G227="","",INDEX('Detalle individual'!$C:$C,$G227))</f>
        <v/>
      </c>
      <c r="E227" s="5" t="str">
        <f>IF($G227="","",INDEX('Detalle individual'!$D:$D,$G227))</f>
        <v/>
      </c>
      <c r="G227" t="str">
        <f>IFERROR(MATCH(SMALL(Cálculos!$AH$5:$AH$1000,223),Cálculos!$AH$5:$AH$1000,0)+4,"")</f>
        <v/>
      </c>
    </row>
    <row r="228">
      <c r="A228" s="5" t="str">
        <f>IF($G228="","",INDEX('Detalle individual'!$B:$B,$G228))</f>
        <v/>
      </c>
      <c r="B228" s="5" t="str">
        <f>IF($G228="","",INDEX('Detalle individual'!$A:$A,$G228))</f>
        <v/>
      </c>
      <c r="C228" s="5" t="str">
        <f>IF($G228="","",INDEX('Detalle individual'!$E:$E,$G228))</f>
        <v/>
      </c>
      <c r="D228" s="5" t="str">
        <f>IF($G228="","",INDEX('Detalle individual'!$C:$C,$G228))</f>
        <v/>
      </c>
      <c r="E228" s="5" t="str">
        <f>IF($G228="","",INDEX('Detalle individual'!$D:$D,$G228))</f>
        <v/>
      </c>
      <c r="G228" t="str">
        <f>IFERROR(MATCH(SMALL(Cálculos!$AH$5:$AH$1000,224),Cálculos!$AH$5:$AH$1000,0)+4,"")</f>
        <v/>
      </c>
    </row>
    <row r="229">
      <c r="A229" s="5" t="str">
        <f>IF($G229="","",INDEX('Detalle individual'!$B:$B,$G229))</f>
        <v/>
      </c>
      <c r="B229" s="5" t="str">
        <f>IF($G229="","",INDEX('Detalle individual'!$A:$A,$G229))</f>
        <v/>
      </c>
      <c r="C229" s="5" t="str">
        <f>IF($G229="","",INDEX('Detalle individual'!$E:$E,$G229))</f>
        <v/>
      </c>
      <c r="D229" s="5" t="str">
        <f>IF($G229="","",INDEX('Detalle individual'!$C:$C,$G229))</f>
        <v/>
      </c>
      <c r="E229" s="5" t="str">
        <f>IF($G229="","",INDEX('Detalle individual'!$D:$D,$G229))</f>
        <v/>
      </c>
      <c r="G229" t="str">
        <f>IFERROR(MATCH(SMALL(Cálculos!$AH$5:$AH$1000,225),Cálculos!$AH$5:$AH$1000,0)+4,"")</f>
        <v/>
      </c>
    </row>
    <row r="230">
      <c r="A230" s="5" t="str">
        <f>IF($G230="","",INDEX('Detalle individual'!$B:$B,$G230))</f>
        <v/>
      </c>
      <c r="B230" s="5" t="str">
        <f>IF($G230="","",INDEX('Detalle individual'!$A:$A,$G230))</f>
        <v/>
      </c>
      <c r="C230" s="5" t="str">
        <f>IF($G230="","",INDEX('Detalle individual'!$E:$E,$G230))</f>
        <v/>
      </c>
      <c r="D230" s="5" t="str">
        <f>IF($G230="","",INDEX('Detalle individual'!$C:$C,$G230))</f>
        <v/>
      </c>
      <c r="E230" s="5" t="str">
        <f>IF($G230="","",INDEX('Detalle individual'!$D:$D,$G230))</f>
        <v/>
      </c>
      <c r="G230" t="str">
        <f>IFERROR(MATCH(SMALL(Cálculos!$AH$5:$AH$1000,226),Cálculos!$AH$5:$AH$1000,0)+4,"")</f>
        <v/>
      </c>
    </row>
    <row r="231">
      <c r="A231" s="5" t="str">
        <f>IF($G231="","",INDEX('Detalle individual'!$B:$B,$G231))</f>
        <v/>
      </c>
      <c r="B231" s="5" t="str">
        <f>IF($G231="","",INDEX('Detalle individual'!$A:$A,$G231))</f>
        <v/>
      </c>
      <c r="C231" s="5" t="str">
        <f>IF($G231="","",INDEX('Detalle individual'!$E:$E,$G231))</f>
        <v/>
      </c>
      <c r="D231" s="5" t="str">
        <f>IF($G231="","",INDEX('Detalle individual'!$C:$C,$G231))</f>
        <v/>
      </c>
      <c r="E231" s="5" t="str">
        <f>IF($G231="","",INDEX('Detalle individual'!$D:$D,$G231))</f>
        <v/>
      </c>
      <c r="G231" t="str">
        <f>IFERROR(MATCH(SMALL(Cálculos!$AH$5:$AH$1000,227),Cálculos!$AH$5:$AH$1000,0)+4,"")</f>
        <v/>
      </c>
    </row>
    <row r="232">
      <c r="A232" s="5" t="str">
        <f>IF($G232="","",INDEX('Detalle individual'!$B:$B,$G232))</f>
        <v/>
      </c>
      <c r="B232" s="5" t="str">
        <f>IF($G232="","",INDEX('Detalle individual'!$A:$A,$G232))</f>
        <v/>
      </c>
      <c r="C232" s="5" t="str">
        <f>IF($G232="","",INDEX('Detalle individual'!$E:$E,$G232))</f>
        <v/>
      </c>
      <c r="D232" s="5" t="str">
        <f>IF($G232="","",INDEX('Detalle individual'!$C:$C,$G232))</f>
        <v/>
      </c>
      <c r="E232" s="5" t="str">
        <f>IF($G232="","",INDEX('Detalle individual'!$D:$D,$G232))</f>
        <v/>
      </c>
      <c r="G232" t="str">
        <f>IFERROR(MATCH(SMALL(Cálculos!$AH$5:$AH$1000,228),Cálculos!$AH$5:$AH$1000,0)+4,"")</f>
        <v/>
      </c>
    </row>
    <row r="233">
      <c r="A233" s="5" t="str">
        <f>IF($G233="","",INDEX('Detalle individual'!$B:$B,$G233))</f>
        <v/>
      </c>
      <c r="B233" s="5" t="str">
        <f>IF($G233="","",INDEX('Detalle individual'!$A:$A,$G233))</f>
        <v/>
      </c>
      <c r="C233" s="5" t="str">
        <f>IF($G233="","",INDEX('Detalle individual'!$E:$E,$G233))</f>
        <v/>
      </c>
      <c r="D233" s="5" t="str">
        <f>IF($G233="","",INDEX('Detalle individual'!$C:$C,$G233))</f>
        <v/>
      </c>
      <c r="E233" s="5" t="str">
        <f>IF($G233="","",INDEX('Detalle individual'!$D:$D,$G233))</f>
        <v/>
      </c>
      <c r="G233" t="str">
        <f>IFERROR(MATCH(SMALL(Cálculos!$AH$5:$AH$1000,229),Cálculos!$AH$5:$AH$1000,0)+4,"")</f>
        <v/>
      </c>
    </row>
    <row r="234">
      <c r="A234" s="5" t="str">
        <f>IF($G234="","",INDEX('Detalle individual'!$B:$B,$G234))</f>
        <v/>
      </c>
      <c r="B234" s="5" t="str">
        <f>IF($G234="","",INDEX('Detalle individual'!$A:$A,$G234))</f>
        <v/>
      </c>
      <c r="C234" s="5" t="str">
        <f>IF($G234="","",INDEX('Detalle individual'!$E:$E,$G234))</f>
        <v/>
      </c>
      <c r="D234" s="5" t="str">
        <f>IF($G234="","",INDEX('Detalle individual'!$C:$C,$G234))</f>
        <v/>
      </c>
      <c r="E234" s="5" t="str">
        <f>IF($G234="","",INDEX('Detalle individual'!$D:$D,$G234))</f>
        <v/>
      </c>
      <c r="G234" t="str">
        <f>IFERROR(MATCH(SMALL(Cálculos!$AH$5:$AH$1000,230),Cálculos!$AH$5:$AH$1000,0)+4,"")</f>
        <v/>
      </c>
    </row>
    <row r="235">
      <c r="A235" s="5" t="str">
        <f>IF($G235="","",INDEX('Detalle individual'!$B:$B,$G235))</f>
        <v/>
      </c>
      <c r="B235" s="5" t="str">
        <f>IF($G235="","",INDEX('Detalle individual'!$A:$A,$G235))</f>
        <v/>
      </c>
      <c r="C235" s="5" t="str">
        <f>IF($G235="","",INDEX('Detalle individual'!$E:$E,$G235))</f>
        <v/>
      </c>
      <c r="D235" s="5" t="str">
        <f>IF($G235="","",INDEX('Detalle individual'!$C:$C,$G235))</f>
        <v/>
      </c>
      <c r="E235" s="5" t="str">
        <f>IF($G235="","",INDEX('Detalle individual'!$D:$D,$G235))</f>
        <v/>
      </c>
      <c r="G235" t="str">
        <f>IFERROR(MATCH(SMALL(Cálculos!$AH$5:$AH$1000,231),Cálculos!$AH$5:$AH$1000,0)+4,"")</f>
        <v/>
      </c>
    </row>
    <row r="236">
      <c r="A236" s="5" t="str">
        <f>IF($G236="","",INDEX('Detalle individual'!$B:$B,$G236))</f>
        <v/>
      </c>
      <c r="B236" s="5" t="str">
        <f>IF($G236="","",INDEX('Detalle individual'!$A:$A,$G236))</f>
        <v/>
      </c>
      <c r="C236" s="5" t="str">
        <f>IF($G236="","",INDEX('Detalle individual'!$E:$E,$G236))</f>
        <v/>
      </c>
      <c r="D236" s="5" t="str">
        <f>IF($G236="","",INDEX('Detalle individual'!$C:$C,$G236))</f>
        <v/>
      </c>
      <c r="E236" s="5" t="str">
        <f>IF($G236="","",INDEX('Detalle individual'!$D:$D,$G236))</f>
        <v/>
      </c>
      <c r="G236" t="str">
        <f>IFERROR(MATCH(SMALL(Cálculos!$AH$5:$AH$1000,232),Cálculos!$AH$5:$AH$1000,0)+4,"")</f>
        <v/>
      </c>
    </row>
    <row r="237">
      <c r="A237" s="5" t="str">
        <f>IF($G237="","",INDEX('Detalle individual'!$B:$B,$G237))</f>
        <v/>
      </c>
      <c r="B237" s="5" t="str">
        <f>IF($G237="","",INDEX('Detalle individual'!$A:$A,$G237))</f>
        <v/>
      </c>
      <c r="C237" s="5" t="str">
        <f>IF($G237="","",INDEX('Detalle individual'!$E:$E,$G237))</f>
        <v/>
      </c>
      <c r="D237" s="5" t="str">
        <f>IF($G237="","",INDEX('Detalle individual'!$C:$C,$G237))</f>
        <v/>
      </c>
      <c r="E237" s="5" t="str">
        <f>IF($G237="","",INDEX('Detalle individual'!$D:$D,$G237))</f>
        <v/>
      </c>
      <c r="G237" t="str">
        <f>IFERROR(MATCH(SMALL(Cálculos!$AH$5:$AH$1000,233),Cálculos!$AH$5:$AH$1000,0)+4,"")</f>
        <v/>
      </c>
    </row>
    <row r="238">
      <c r="A238" s="5" t="str">
        <f>IF($G238="","",INDEX('Detalle individual'!$B:$B,$G238))</f>
        <v/>
      </c>
      <c r="B238" s="5" t="str">
        <f>IF($G238="","",INDEX('Detalle individual'!$A:$A,$G238))</f>
        <v/>
      </c>
      <c r="C238" s="5" t="str">
        <f>IF($G238="","",INDEX('Detalle individual'!$E:$E,$G238))</f>
        <v/>
      </c>
      <c r="D238" s="5" t="str">
        <f>IF($G238="","",INDEX('Detalle individual'!$C:$C,$G238))</f>
        <v/>
      </c>
      <c r="E238" s="5" t="str">
        <f>IF($G238="","",INDEX('Detalle individual'!$D:$D,$G238))</f>
        <v/>
      </c>
      <c r="G238" t="str">
        <f>IFERROR(MATCH(SMALL(Cálculos!$AH$5:$AH$1000,234),Cálculos!$AH$5:$AH$1000,0)+4,"")</f>
        <v/>
      </c>
    </row>
    <row r="239">
      <c r="A239" s="5" t="str">
        <f>IF($G239="","",INDEX('Detalle individual'!$B:$B,$G239))</f>
        <v/>
      </c>
      <c r="B239" s="5" t="str">
        <f>IF($G239="","",INDEX('Detalle individual'!$A:$A,$G239))</f>
        <v/>
      </c>
      <c r="C239" s="5" t="str">
        <f>IF($G239="","",INDEX('Detalle individual'!$E:$E,$G239))</f>
        <v/>
      </c>
      <c r="D239" s="5" t="str">
        <f>IF($G239="","",INDEX('Detalle individual'!$C:$C,$G239))</f>
        <v/>
      </c>
      <c r="E239" s="5" t="str">
        <f>IF($G239="","",INDEX('Detalle individual'!$D:$D,$G239))</f>
        <v/>
      </c>
      <c r="G239" t="str">
        <f>IFERROR(MATCH(SMALL(Cálculos!$AH$5:$AH$1000,235),Cálculos!$AH$5:$AH$1000,0)+4,"")</f>
        <v/>
      </c>
    </row>
    <row r="240">
      <c r="A240" s="5" t="str">
        <f>IF($G240="","",INDEX('Detalle individual'!$B:$B,$G240))</f>
        <v/>
      </c>
      <c r="B240" s="5" t="str">
        <f>IF($G240="","",INDEX('Detalle individual'!$A:$A,$G240))</f>
        <v/>
      </c>
      <c r="C240" s="5" t="str">
        <f>IF($G240="","",INDEX('Detalle individual'!$E:$E,$G240))</f>
        <v/>
      </c>
      <c r="D240" s="5" t="str">
        <f>IF($G240="","",INDEX('Detalle individual'!$C:$C,$G240))</f>
        <v/>
      </c>
      <c r="E240" s="5" t="str">
        <f>IF($G240="","",INDEX('Detalle individual'!$D:$D,$G240))</f>
        <v/>
      </c>
      <c r="G240" t="str">
        <f>IFERROR(MATCH(SMALL(Cálculos!$AH$5:$AH$1000,236),Cálculos!$AH$5:$AH$1000,0)+4,"")</f>
        <v/>
      </c>
    </row>
    <row r="241">
      <c r="A241" s="5" t="str">
        <f>IF($G241="","",INDEX('Detalle individual'!$B:$B,$G241))</f>
        <v/>
      </c>
      <c r="B241" s="5" t="str">
        <f>IF($G241="","",INDEX('Detalle individual'!$A:$A,$G241))</f>
        <v/>
      </c>
      <c r="C241" s="5" t="str">
        <f>IF($G241="","",INDEX('Detalle individual'!$E:$E,$G241))</f>
        <v/>
      </c>
      <c r="D241" s="5" t="str">
        <f>IF($G241="","",INDEX('Detalle individual'!$C:$C,$G241))</f>
        <v/>
      </c>
      <c r="E241" s="5" t="str">
        <f>IF($G241="","",INDEX('Detalle individual'!$D:$D,$G241))</f>
        <v/>
      </c>
      <c r="G241" t="str">
        <f>IFERROR(MATCH(SMALL(Cálculos!$AH$5:$AH$1000,237),Cálculos!$AH$5:$AH$1000,0)+4,"")</f>
        <v/>
      </c>
    </row>
    <row r="242">
      <c r="A242" s="5" t="str">
        <f>IF($G242="","",INDEX('Detalle individual'!$B:$B,$G242))</f>
        <v/>
      </c>
      <c r="B242" s="5" t="str">
        <f>IF($G242="","",INDEX('Detalle individual'!$A:$A,$G242))</f>
        <v/>
      </c>
      <c r="C242" s="5" t="str">
        <f>IF($G242="","",INDEX('Detalle individual'!$E:$E,$G242))</f>
        <v/>
      </c>
      <c r="D242" s="5" t="str">
        <f>IF($G242="","",INDEX('Detalle individual'!$C:$C,$G242))</f>
        <v/>
      </c>
      <c r="E242" s="5" t="str">
        <f>IF($G242="","",INDEX('Detalle individual'!$D:$D,$G242))</f>
        <v/>
      </c>
      <c r="G242" t="str">
        <f>IFERROR(MATCH(SMALL(Cálculos!$AH$5:$AH$1000,238),Cálculos!$AH$5:$AH$1000,0)+4,"")</f>
        <v/>
      </c>
    </row>
    <row r="243">
      <c r="A243" s="5" t="str">
        <f>IF($G243="","",INDEX('Detalle individual'!$B:$B,$G243))</f>
        <v/>
      </c>
      <c r="B243" s="5" t="str">
        <f>IF($G243="","",INDEX('Detalle individual'!$A:$A,$G243))</f>
        <v/>
      </c>
      <c r="C243" s="5" t="str">
        <f>IF($G243="","",INDEX('Detalle individual'!$E:$E,$G243))</f>
        <v/>
      </c>
      <c r="D243" s="5" t="str">
        <f>IF($G243="","",INDEX('Detalle individual'!$C:$C,$G243))</f>
        <v/>
      </c>
      <c r="E243" s="5" t="str">
        <f>IF($G243="","",INDEX('Detalle individual'!$D:$D,$G243))</f>
        <v/>
      </c>
      <c r="G243" t="str">
        <f>IFERROR(MATCH(SMALL(Cálculos!$AH$5:$AH$1000,239),Cálculos!$AH$5:$AH$1000,0)+4,"")</f>
        <v/>
      </c>
    </row>
    <row r="244">
      <c r="A244" s="5" t="str">
        <f>IF($G244="","",INDEX('Detalle individual'!$B:$B,$G244))</f>
        <v/>
      </c>
      <c r="B244" s="5" t="str">
        <f>IF($G244="","",INDEX('Detalle individual'!$A:$A,$G244))</f>
        <v/>
      </c>
      <c r="C244" s="5" t="str">
        <f>IF($G244="","",INDEX('Detalle individual'!$E:$E,$G244))</f>
        <v/>
      </c>
      <c r="D244" s="5" t="str">
        <f>IF($G244="","",INDEX('Detalle individual'!$C:$C,$G244))</f>
        <v/>
      </c>
      <c r="E244" s="5" t="str">
        <f>IF($G244="","",INDEX('Detalle individual'!$D:$D,$G244))</f>
        <v/>
      </c>
      <c r="G244" t="str">
        <f>IFERROR(MATCH(SMALL(Cálculos!$AH$5:$AH$1000,240),Cálculos!$AH$5:$AH$1000,0)+4,"")</f>
        <v/>
      </c>
    </row>
    <row r="245">
      <c r="A245" s="5" t="str">
        <f>IF($G245="","",INDEX('Detalle individual'!$B:$B,$G245))</f>
        <v/>
      </c>
      <c r="B245" s="5" t="str">
        <f>IF($G245="","",INDEX('Detalle individual'!$A:$A,$G245))</f>
        <v/>
      </c>
      <c r="C245" s="5" t="str">
        <f>IF($G245="","",INDEX('Detalle individual'!$E:$E,$G245))</f>
        <v/>
      </c>
      <c r="D245" s="5" t="str">
        <f>IF($G245="","",INDEX('Detalle individual'!$C:$C,$G245))</f>
        <v/>
      </c>
      <c r="E245" s="5" t="str">
        <f>IF($G245="","",INDEX('Detalle individual'!$D:$D,$G245))</f>
        <v/>
      </c>
      <c r="G245" t="str">
        <f>IFERROR(MATCH(SMALL(Cálculos!$AH$5:$AH$1000,241),Cálculos!$AH$5:$AH$1000,0)+4,"")</f>
        <v/>
      </c>
    </row>
    <row r="246">
      <c r="A246" s="5" t="str">
        <f>IF($G246="","",INDEX('Detalle individual'!$B:$B,$G246))</f>
        <v/>
      </c>
      <c r="B246" s="5" t="str">
        <f>IF($G246="","",INDEX('Detalle individual'!$A:$A,$G246))</f>
        <v/>
      </c>
      <c r="C246" s="5" t="str">
        <f>IF($G246="","",INDEX('Detalle individual'!$E:$E,$G246))</f>
        <v/>
      </c>
      <c r="D246" s="5" t="str">
        <f>IF($G246="","",INDEX('Detalle individual'!$C:$C,$G246))</f>
        <v/>
      </c>
      <c r="E246" s="5" t="str">
        <f>IF($G246="","",INDEX('Detalle individual'!$D:$D,$G246))</f>
        <v/>
      </c>
      <c r="G246" t="str">
        <f>IFERROR(MATCH(SMALL(Cálculos!$AH$5:$AH$1000,242),Cálculos!$AH$5:$AH$1000,0)+4,"")</f>
        <v/>
      </c>
    </row>
    <row r="247">
      <c r="A247" s="5" t="str">
        <f>IF($G247="","",INDEX('Detalle individual'!$B:$B,$G247))</f>
        <v/>
      </c>
      <c r="B247" s="5" t="str">
        <f>IF($G247="","",INDEX('Detalle individual'!$A:$A,$G247))</f>
        <v/>
      </c>
      <c r="C247" s="5" t="str">
        <f>IF($G247="","",INDEX('Detalle individual'!$E:$E,$G247))</f>
        <v/>
      </c>
      <c r="D247" s="5" t="str">
        <f>IF($G247="","",INDEX('Detalle individual'!$C:$C,$G247))</f>
        <v/>
      </c>
      <c r="E247" s="5" t="str">
        <f>IF($G247="","",INDEX('Detalle individual'!$D:$D,$G247))</f>
        <v/>
      </c>
      <c r="G247" t="str">
        <f>IFERROR(MATCH(SMALL(Cálculos!$AH$5:$AH$1000,243),Cálculos!$AH$5:$AH$1000,0)+4,"")</f>
        <v/>
      </c>
    </row>
    <row r="248">
      <c r="A248" s="5" t="str">
        <f>IF($G248="","",INDEX('Detalle individual'!$B:$B,$G248))</f>
        <v/>
      </c>
      <c r="B248" s="5" t="str">
        <f>IF($G248="","",INDEX('Detalle individual'!$A:$A,$G248))</f>
        <v/>
      </c>
      <c r="C248" s="5" t="str">
        <f>IF($G248="","",INDEX('Detalle individual'!$E:$E,$G248))</f>
        <v/>
      </c>
      <c r="D248" s="5" t="str">
        <f>IF($G248="","",INDEX('Detalle individual'!$C:$C,$G248))</f>
        <v/>
      </c>
      <c r="E248" s="5" t="str">
        <f>IF($G248="","",INDEX('Detalle individual'!$D:$D,$G248))</f>
        <v/>
      </c>
      <c r="G248" t="str">
        <f>IFERROR(MATCH(SMALL(Cálculos!$AH$5:$AH$1000,244),Cálculos!$AH$5:$AH$1000,0)+4,"")</f>
        <v/>
      </c>
    </row>
    <row r="249">
      <c r="A249" s="5" t="str">
        <f>IF($G249="","",INDEX('Detalle individual'!$B:$B,$G249))</f>
        <v/>
      </c>
      <c r="B249" s="5" t="str">
        <f>IF($G249="","",INDEX('Detalle individual'!$A:$A,$G249))</f>
        <v/>
      </c>
      <c r="C249" s="5" t="str">
        <f>IF($G249="","",INDEX('Detalle individual'!$E:$E,$G249))</f>
        <v/>
      </c>
      <c r="D249" s="5" t="str">
        <f>IF($G249="","",INDEX('Detalle individual'!$C:$C,$G249))</f>
        <v/>
      </c>
      <c r="E249" s="5" t="str">
        <f>IF($G249="","",INDEX('Detalle individual'!$D:$D,$G249))</f>
        <v/>
      </c>
      <c r="G249" t="str">
        <f>IFERROR(MATCH(SMALL(Cálculos!$AH$5:$AH$1000,245),Cálculos!$AH$5:$AH$1000,0)+4,"")</f>
        <v/>
      </c>
    </row>
    <row r="250">
      <c r="A250" s="5" t="str">
        <f>IF($G250="","",INDEX('Detalle individual'!$B:$B,$G250))</f>
        <v/>
      </c>
      <c r="B250" s="5" t="str">
        <f>IF($G250="","",INDEX('Detalle individual'!$A:$A,$G250))</f>
        <v/>
      </c>
      <c r="C250" s="5" t="str">
        <f>IF($G250="","",INDEX('Detalle individual'!$E:$E,$G250))</f>
        <v/>
      </c>
      <c r="D250" s="5" t="str">
        <f>IF($G250="","",INDEX('Detalle individual'!$C:$C,$G250))</f>
        <v/>
      </c>
      <c r="E250" s="5" t="str">
        <f>IF($G250="","",INDEX('Detalle individual'!$D:$D,$G250))</f>
        <v/>
      </c>
      <c r="G250" t="str">
        <f>IFERROR(MATCH(SMALL(Cálculos!$AH$5:$AH$1000,246),Cálculos!$AH$5:$AH$1000,0)+4,"")</f>
        <v/>
      </c>
    </row>
    <row r="251">
      <c r="A251" s="5" t="str">
        <f>IF($G251="","",INDEX('Detalle individual'!$B:$B,$G251))</f>
        <v/>
      </c>
      <c r="B251" s="5" t="str">
        <f>IF($G251="","",INDEX('Detalle individual'!$A:$A,$G251))</f>
        <v/>
      </c>
      <c r="C251" s="5" t="str">
        <f>IF($G251="","",INDEX('Detalle individual'!$E:$E,$G251))</f>
        <v/>
      </c>
      <c r="D251" s="5" t="str">
        <f>IF($G251="","",INDEX('Detalle individual'!$C:$C,$G251))</f>
        <v/>
      </c>
      <c r="E251" s="5" t="str">
        <f>IF($G251="","",INDEX('Detalle individual'!$D:$D,$G251))</f>
        <v/>
      </c>
      <c r="G251" t="str">
        <f>IFERROR(MATCH(SMALL(Cálculos!$AH$5:$AH$1000,247),Cálculos!$AH$5:$AH$1000,0)+4,"")</f>
        <v/>
      </c>
    </row>
    <row r="252">
      <c r="A252" s="5" t="str">
        <f>IF($G252="","",INDEX('Detalle individual'!$B:$B,$G252))</f>
        <v/>
      </c>
      <c r="B252" s="5" t="str">
        <f>IF($G252="","",INDEX('Detalle individual'!$A:$A,$G252))</f>
        <v/>
      </c>
      <c r="C252" s="5" t="str">
        <f>IF($G252="","",INDEX('Detalle individual'!$E:$E,$G252))</f>
        <v/>
      </c>
      <c r="D252" s="5" t="str">
        <f>IF($G252="","",INDEX('Detalle individual'!$C:$C,$G252))</f>
        <v/>
      </c>
      <c r="E252" s="5" t="str">
        <f>IF($G252="","",INDEX('Detalle individual'!$D:$D,$G252))</f>
        <v/>
      </c>
      <c r="G252" t="str">
        <f>IFERROR(MATCH(SMALL(Cálculos!$AH$5:$AH$1000,248),Cálculos!$AH$5:$AH$1000,0)+4,"")</f>
        <v/>
      </c>
    </row>
    <row r="253">
      <c r="A253" s="5" t="str">
        <f>IF($G253="","",INDEX('Detalle individual'!$B:$B,$G253))</f>
        <v/>
      </c>
      <c r="B253" s="5" t="str">
        <f>IF($G253="","",INDEX('Detalle individual'!$A:$A,$G253))</f>
        <v/>
      </c>
      <c r="C253" s="5" t="str">
        <f>IF($G253="","",INDEX('Detalle individual'!$E:$E,$G253))</f>
        <v/>
      </c>
      <c r="D253" s="5" t="str">
        <f>IF($G253="","",INDEX('Detalle individual'!$C:$C,$G253))</f>
        <v/>
      </c>
      <c r="E253" s="5" t="str">
        <f>IF($G253="","",INDEX('Detalle individual'!$D:$D,$G253))</f>
        <v/>
      </c>
      <c r="G253" t="str">
        <f>IFERROR(MATCH(SMALL(Cálculos!$AH$5:$AH$1000,249),Cálculos!$AH$5:$AH$1000,0)+4,"")</f>
        <v/>
      </c>
    </row>
    <row r="254">
      <c r="A254" s="5" t="str">
        <f>IF($G254="","",INDEX('Detalle individual'!$B:$B,$G254))</f>
        <v/>
      </c>
      <c r="B254" s="5" t="str">
        <f>IF($G254="","",INDEX('Detalle individual'!$A:$A,$G254))</f>
        <v/>
      </c>
      <c r="C254" s="5" t="str">
        <f>IF($G254="","",INDEX('Detalle individual'!$E:$E,$G254))</f>
        <v/>
      </c>
      <c r="D254" s="5" t="str">
        <f>IF($G254="","",INDEX('Detalle individual'!$C:$C,$G254))</f>
        <v/>
      </c>
      <c r="E254" s="5" t="str">
        <f>IF($G254="","",INDEX('Detalle individual'!$D:$D,$G254))</f>
        <v/>
      </c>
      <c r="G254" t="str">
        <f>IFERROR(MATCH(SMALL(Cálculos!$AH$5:$AH$1000,250),Cálculos!$AH$5:$AH$1000,0)+4,"")</f>
        <v/>
      </c>
    </row>
    <row r="255">
      <c r="A255" s="5" t="str">
        <f>IF($G255="","",INDEX('Detalle individual'!$B:$B,$G255))</f>
        <v/>
      </c>
      <c r="B255" s="5" t="str">
        <f>IF($G255="","",INDEX('Detalle individual'!$A:$A,$G255))</f>
        <v/>
      </c>
      <c r="C255" s="5" t="str">
        <f>IF($G255="","",INDEX('Detalle individual'!$E:$E,$G255))</f>
        <v/>
      </c>
      <c r="D255" s="5" t="str">
        <f>IF($G255="","",INDEX('Detalle individual'!$C:$C,$G255))</f>
        <v/>
      </c>
      <c r="E255" s="5" t="str">
        <f>IF($G255="","",INDEX('Detalle individual'!$D:$D,$G255))</f>
        <v/>
      </c>
      <c r="G255" t="str">
        <f>IFERROR(MATCH(SMALL(Cálculos!$AH$5:$AH$1000,251),Cálculos!$AH$5:$AH$1000,0)+4,"")</f>
        <v/>
      </c>
    </row>
    <row r="256">
      <c r="A256" s="5" t="str">
        <f>IF($G256="","",INDEX('Detalle individual'!$B:$B,$G256))</f>
        <v/>
      </c>
      <c r="B256" s="5" t="str">
        <f>IF($G256="","",INDEX('Detalle individual'!$A:$A,$G256))</f>
        <v/>
      </c>
      <c r="C256" s="5" t="str">
        <f>IF($G256="","",INDEX('Detalle individual'!$E:$E,$G256))</f>
        <v/>
      </c>
      <c r="D256" s="5" t="str">
        <f>IF($G256="","",INDEX('Detalle individual'!$C:$C,$G256))</f>
        <v/>
      </c>
      <c r="E256" s="5" t="str">
        <f>IF($G256="","",INDEX('Detalle individual'!$D:$D,$G256))</f>
        <v/>
      </c>
      <c r="G256" t="str">
        <f>IFERROR(MATCH(SMALL(Cálculos!$AH$5:$AH$1000,252),Cálculos!$AH$5:$AH$1000,0)+4,"")</f>
        <v/>
      </c>
    </row>
    <row r="257">
      <c r="A257" s="5" t="str">
        <f>IF($G257="","",INDEX('Detalle individual'!$B:$B,$G257))</f>
        <v/>
      </c>
      <c r="B257" s="5" t="str">
        <f>IF($G257="","",INDEX('Detalle individual'!$A:$A,$G257))</f>
        <v/>
      </c>
      <c r="C257" s="5" t="str">
        <f>IF($G257="","",INDEX('Detalle individual'!$E:$E,$G257))</f>
        <v/>
      </c>
      <c r="D257" s="5" t="str">
        <f>IF($G257="","",INDEX('Detalle individual'!$C:$C,$G257))</f>
        <v/>
      </c>
      <c r="E257" s="5" t="str">
        <f>IF($G257="","",INDEX('Detalle individual'!$D:$D,$G257))</f>
        <v/>
      </c>
      <c r="G257" t="str">
        <f>IFERROR(MATCH(SMALL(Cálculos!$AH$5:$AH$1000,253),Cálculos!$AH$5:$AH$1000,0)+4,"")</f>
        <v/>
      </c>
    </row>
    <row r="258">
      <c r="A258" s="5" t="str">
        <f>IF($G258="","",INDEX('Detalle individual'!$B:$B,$G258))</f>
        <v/>
      </c>
      <c r="B258" s="5" t="str">
        <f>IF($G258="","",INDEX('Detalle individual'!$A:$A,$G258))</f>
        <v/>
      </c>
      <c r="C258" s="5" t="str">
        <f>IF($G258="","",INDEX('Detalle individual'!$E:$E,$G258))</f>
        <v/>
      </c>
      <c r="D258" s="5" t="str">
        <f>IF($G258="","",INDEX('Detalle individual'!$C:$C,$G258))</f>
        <v/>
      </c>
      <c r="E258" s="5" t="str">
        <f>IF($G258="","",INDEX('Detalle individual'!$D:$D,$G258))</f>
        <v/>
      </c>
      <c r="G258" t="str">
        <f>IFERROR(MATCH(SMALL(Cálculos!$AH$5:$AH$1000,254),Cálculos!$AH$5:$AH$1000,0)+4,"")</f>
        <v/>
      </c>
    </row>
    <row r="259">
      <c r="A259" s="5" t="str">
        <f>IF($G259="","",INDEX('Detalle individual'!$B:$B,$G259))</f>
        <v/>
      </c>
      <c r="B259" s="5" t="str">
        <f>IF($G259="","",INDEX('Detalle individual'!$A:$A,$G259))</f>
        <v/>
      </c>
      <c r="C259" s="5" t="str">
        <f>IF($G259="","",INDEX('Detalle individual'!$E:$E,$G259))</f>
        <v/>
      </c>
      <c r="D259" s="5" t="str">
        <f>IF($G259="","",INDEX('Detalle individual'!$C:$C,$G259))</f>
        <v/>
      </c>
      <c r="E259" s="5" t="str">
        <f>IF($G259="","",INDEX('Detalle individual'!$D:$D,$G259))</f>
        <v/>
      </c>
      <c r="G259" t="str">
        <f>IFERROR(MATCH(SMALL(Cálculos!$AH$5:$AH$1000,255),Cálculos!$AH$5:$AH$1000,0)+4,"")</f>
        <v/>
      </c>
    </row>
    <row r="260">
      <c r="A260" s="5" t="str">
        <f>IF($G260="","",INDEX('Detalle individual'!$B:$B,$G260))</f>
        <v/>
      </c>
      <c r="B260" s="5" t="str">
        <f>IF($G260="","",INDEX('Detalle individual'!$A:$A,$G260))</f>
        <v/>
      </c>
      <c r="C260" s="5" t="str">
        <f>IF($G260="","",INDEX('Detalle individual'!$E:$E,$G260))</f>
        <v/>
      </c>
      <c r="D260" s="5" t="str">
        <f>IF($G260="","",INDEX('Detalle individual'!$C:$C,$G260))</f>
        <v/>
      </c>
      <c r="E260" s="5" t="str">
        <f>IF($G260="","",INDEX('Detalle individual'!$D:$D,$G260))</f>
        <v/>
      </c>
      <c r="G260" t="str">
        <f>IFERROR(MATCH(SMALL(Cálculos!$AH$5:$AH$1000,256),Cálculos!$AH$5:$AH$1000,0)+4,"")</f>
        <v/>
      </c>
    </row>
    <row r="261">
      <c r="A261" s="5" t="str">
        <f>IF($G261="","",INDEX('Detalle individual'!$B:$B,$G261))</f>
        <v/>
      </c>
      <c r="B261" s="5" t="str">
        <f>IF($G261="","",INDEX('Detalle individual'!$A:$A,$G261))</f>
        <v/>
      </c>
      <c r="C261" s="5" t="str">
        <f>IF($G261="","",INDEX('Detalle individual'!$E:$E,$G261))</f>
        <v/>
      </c>
      <c r="D261" s="5" t="str">
        <f>IF($G261="","",INDEX('Detalle individual'!$C:$C,$G261))</f>
        <v/>
      </c>
      <c r="E261" s="5" t="str">
        <f>IF($G261="","",INDEX('Detalle individual'!$D:$D,$G261))</f>
        <v/>
      </c>
      <c r="G261" t="str">
        <f>IFERROR(MATCH(SMALL(Cálculos!$AH$5:$AH$1000,257),Cálculos!$AH$5:$AH$1000,0)+4,"")</f>
        <v/>
      </c>
    </row>
    <row r="262">
      <c r="A262" s="5" t="str">
        <f>IF($G262="","",INDEX('Detalle individual'!$B:$B,$G262))</f>
        <v/>
      </c>
      <c r="B262" s="5" t="str">
        <f>IF($G262="","",INDEX('Detalle individual'!$A:$A,$G262))</f>
        <v/>
      </c>
      <c r="C262" s="5" t="str">
        <f>IF($G262="","",INDEX('Detalle individual'!$E:$E,$G262))</f>
        <v/>
      </c>
      <c r="D262" s="5" t="str">
        <f>IF($G262="","",INDEX('Detalle individual'!$C:$C,$G262))</f>
        <v/>
      </c>
      <c r="E262" s="5" t="str">
        <f>IF($G262="","",INDEX('Detalle individual'!$D:$D,$G262))</f>
        <v/>
      </c>
      <c r="G262" t="str">
        <f>IFERROR(MATCH(SMALL(Cálculos!$AH$5:$AH$1000,258),Cálculos!$AH$5:$AH$1000,0)+4,"")</f>
        <v/>
      </c>
    </row>
    <row r="263">
      <c r="A263" s="5" t="str">
        <f>IF($G263="","",INDEX('Detalle individual'!$B:$B,$G263))</f>
        <v/>
      </c>
      <c r="B263" s="5" t="str">
        <f>IF($G263="","",INDEX('Detalle individual'!$A:$A,$G263))</f>
        <v/>
      </c>
      <c r="C263" s="5" t="str">
        <f>IF($G263="","",INDEX('Detalle individual'!$E:$E,$G263))</f>
        <v/>
      </c>
      <c r="D263" s="5" t="str">
        <f>IF($G263="","",INDEX('Detalle individual'!$C:$C,$G263))</f>
        <v/>
      </c>
      <c r="E263" s="5" t="str">
        <f>IF($G263="","",INDEX('Detalle individual'!$D:$D,$G263))</f>
        <v/>
      </c>
      <c r="G263" t="str">
        <f>IFERROR(MATCH(SMALL(Cálculos!$AH$5:$AH$1000,259),Cálculos!$AH$5:$AH$1000,0)+4,"")</f>
        <v/>
      </c>
    </row>
    <row r="264">
      <c r="A264" s="5" t="str">
        <f>IF($G264="","",INDEX('Detalle individual'!$B:$B,$G264))</f>
        <v/>
      </c>
      <c r="B264" s="5" t="str">
        <f>IF($G264="","",INDEX('Detalle individual'!$A:$A,$G264))</f>
        <v/>
      </c>
      <c r="C264" s="5" t="str">
        <f>IF($G264="","",INDEX('Detalle individual'!$E:$E,$G264))</f>
        <v/>
      </c>
      <c r="D264" s="5" t="str">
        <f>IF($G264="","",INDEX('Detalle individual'!$C:$C,$G264))</f>
        <v/>
      </c>
      <c r="E264" s="5" t="str">
        <f>IF($G264="","",INDEX('Detalle individual'!$D:$D,$G264))</f>
        <v/>
      </c>
      <c r="G264" t="str">
        <f>IFERROR(MATCH(SMALL(Cálculos!$AH$5:$AH$1000,260),Cálculos!$AH$5:$AH$1000,0)+4,"")</f>
        <v/>
      </c>
    </row>
    <row r="265">
      <c r="A265" s="5" t="str">
        <f>IF($G265="","",INDEX('Detalle individual'!$B:$B,$G265))</f>
        <v/>
      </c>
      <c r="B265" s="5" t="str">
        <f>IF($G265="","",INDEX('Detalle individual'!$A:$A,$G265))</f>
        <v/>
      </c>
      <c r="C265" s="5" t="str">
        <f>IF($G265="","",INDEX('Detalle individual'!$E:$E,$G265))</f>
        <v/>
      </c>
      <c r="D265" s="5" t="str">
        <f>IF($G265="","",INDEX('Detalle individual'!$C:$C,$G265))</f>
        <v/>
      </c>
      <c r="E265" s="5" t="str">
        <f>IF($G265="","",INDEX('Detalle individual'!$D:$D,$G265))</f>
        <v/>
      </c>
      <c r="G265" t="str">
        <f>IFERROR(MATCH(SMALL(Cálculos!$AH$5:$AH$1000,261),Cálculos!$AH$5:$AH$1000,0)+4,"")</f>
        <v/>
      </c>
    </row>
    <row r="266">
      <c r="A266" s="5" t="str">
        <f>IF($G266="","",INDEX('Detalle individual'!$B:$B,$G266))</f>
        <v/>
      </c>
      <c r="B266" s="5" t="str">
        <f>IF($G266="","",INDEX('Detalle individual'!$A:$A,$G266))</f>
        <v/>
      </c>
      <c r="C266" s="5" t="str">
        <f>IF($G266="","",INDEX('Detalle individual'!$E:$E,$G266))</f>
        <v/>
      </c>
      <c r="D266" s="5" t="str">
        <f>IF($G266="","",INDEX('Detalle individual'!$C:$C,$G266))</f>
        <v/>
      </c>
      <c r="E266" s="5" t="str">
        <f>IF($G266="","",INDEX('Detalle individual'!$D:$D,$G266))</f>
        <v/>
      </c>
      <c r="G266" t="str">
        <f>IFERROR(MATCH(SMALL(Cálculos!$AH$5:$AH$1000,262),Cálculos!$AH$5:$AH$1000,0)+4,"")</f>
        <v/>
      </c>
    </row>
    <row r="267">
      <c r="A267" s="5" t="str">
        <f>IF($G267="","",INDEX('Detalle individual'!$B:$B,$G267))</f>
        <v/>
      </c>
      <c r="B267" s="5" t="str">
        <f>IF($G267="","",INDEX('Detalle individual'!$A:$A,$G267))</f>
        <v/>
      </c>
      <c r="C267" s="5" t="str">
        <f>IF($G267="","",INDEX('Detalle individual'!$E:$E,$G267))</f>
        <v/>
      </c>
      <c r="D267" s="5" t="str">
        <f>IF($G267="","",INDEX('Detalle individual'!$C:$C,$G267))</f>
        <v/>
      </c>
      <c r="E267" s="5" t="str">
        <f>IF($G267="","",INDEX('Detalle individual'!$D:$D,$G267))</f>
        <v/>
      </c>
      <c r="G267" t="str">
        <f>IFERROR(MATCH(SMALL(Cálculos!$AH$5:$AH$1000,263),Cálculos!$AH$5:$AH$1000,0)+4,"")</f>
        <v/>
      </c>
    </row>
    <row r="268">
      <c r="A268" s="5" t="str">
        <f>IF($G268="","",INDEX('Detalle individual'!$B:$B,$G268))</f>
        <v/>
      </c>
      <c r="B268" s="5" t="str">
        <f>IF($G268="","",INDEX('Detalle individual'!$A:$A,$G268))</f>
        <v/>
      </c>
      <c r="C268" s="5" t="str">
        <f>IF($G268="","",INDEX('Detalle individual'!$E:$E,$G268))</f>
        <v/>
      </c>
      <c r="D268" s="5" t="str">
        <f>IF($G268="","",INDEX('Detalle individual'!$C:$C,$G268))</f>
        <v/>
      </c>
      <c r="E268" s="5" t="str">
        <f>IF($G268="","",INDEX('Detalle individual'!$D:$D,$G268))</f>
        <v/>
      </c>
      <c r="G268" t="str">
        <f>IFERROR(MATCH(SMALL(Cálculos!$AH$5:$AH$1000,264),Cálculos!$AH$5:$AH$1000,0)+4,"")</f>
        <v/>
      </c>
    </row>
    <row r="269">
      <c r="A269" s="5" t="str">
        <f>IF($G269="","",INDEX('Detalle individual'!$B:$B,$G269))</f>
        <v/>
      </c>
      <c r="B269" s="5" t="str">
        <f>IF($G269="","",INDEX('Detalle individual'!$A:$A,$G269))</f>
        <v/>
      </c>
      <c r="C269" s="5" t="str">
        <f>IF($G269="","",INDEX('Detalle individual'!$E:$E,$G269))</f>
        <v/>
      </c>
      <c r="D269" s="5" t="str">
        <f>IF($G269="","",INDEX('Detalle individual'!$C:$C,$G269))</f>
        <v/>
      </c>
      <c r="E269" s="5" t="str">
        <f>IF($G269="","",INDEX('Detalle individual'!$D:$D,$G269))</f>
        <v/>
      </c>
      <c r="G269" t="str">
        <f>IFERROR(MATCH(SMALL(Cálculos!$AH$5:$AH$1000,265),Cálculos!$AH$5:$AH$1000,0)+4,"")</f>
        <v/>
      </c>
    </row>
    <row r="270">
      <c r="A270" s="5" t="str">
        <f>IF($G270="","",INDEX('Detalle individual'!$B:$B,$G270))</f>
        <v/>
      </c>
      <c r="B270" s="5" t="str">
        <f>IF($G270="","",INDEX('Detalle individual'!$A:$A,$G270))</f>
        <v/>
      </c>
      <c r="C270" s="5" t="str">
        <f>IF($G270="","",INDEX('Detalle individual'!$E:$E,$G270))</f>
        <v/>
      </c>
      <c r="D270" s="5" t="str">
        <f>IF($G270="","",INDEX('Detalle individual'!$C:$C,$G270))</f>
        <v/>
      </c>
      <c r="E270" s="5" t="str">
        <f>IF($G270="","",INDEX('Detalle individual'!$D:$D,$G270))</f>
        <v/>
      </c>
      <c r="G270" t="str">
        <f>IFERROR(MATCH(SMALL(Cálculos!$AH$5:$AH$1000,266),Cálculos!$AH$5:$AH$1000,0)+4,"")</f>
        <v/>
      </c>
    </row>
    <row r="271">
      <c r="A271" s="5" t="str">
        <f>IF($G271="","",INDEX('Detalle individual'!$B:$B,$G271))</f>
        <v/>
      </c>
      <c r="B271" s="5" t="str">
        <f>IF($G271="","",INDEX('Detalle individual'!$A:$A,$G271))</f>
        <v/>
      </c>
      <c r="C271" s="5" t="str">
        <f>IF($G271="","",INDEX('Detalle individual'!$E:$E,$G271))</f>
        <v/>
      </c>
      <c r="D271" s="5" t="str">
        <f>IF($G271="","",INDEX('Detalle individual'!$C:$C,$G271))</f>
        <v/>
      </c>
      <c r="E271" s="5" t="str">
        <f>IF($G271="","",INDEX('Detalle individual'!$D:$D,$G271))</f>
        <v/>
      </c>
      <c r="G271" t="str">
        <f>IFERROR(MATCH(SMALL(Cálculos!$AH$5:$AH$1000,267),Cálculos!$AH$5:$AH$1000,0)+4,"")</f>
        <v/>
      </c>
    </row>
    <row r="272">
      <c r="A272" s="5" t="str">
        <f>IF($G272="","",INDEX('Detalle individual'!$B:$B,$G272))</f>
        <v/>
      </c>
      <c r="B272" s="5" t="str">
        <f>IF($G272="","",INDEX('Detalle individual'!$A:$A,$G272))</f>
        <v/>
      </c>
      <c r="C272" s="5" t="str">
        <f>IF($G272="","",INDEX('Detalle individual'!$E:$E,$G272))</f>
        <v/>
      </c>
      <c r="D272" s="5" t="str">
        <f>IF($G272="","",INDEX('Detalle individual'!$C:$C,$G272))</f>
        <v/>
      </c>
      <c r="E272" s="5" t="str">
        <f>IF($G272="","",INDEX('Detalle individual'!$D:$D,$G272))</f>
        <v/>
      </c>
      <c r="G272" t="str">
        <f>IFERROR(MATCH(SMALL(Cálculos!$AH$5:$AH$1000,268),Cálculos!$AH$5:$AH$1000,0)+4,"")</f>
        <v/>
      </c>
    </row>
    <row r="273">
      <c r="A273" s="5" t="str">
        <f>IF($G273="","",INDEX('Detalle individual'!$B:$B,$G273))</f>
        <v/>
      </c>
      <c r="B273" s="5" t="str">
        <f>IF($G273="","",INDEX('Detalle individual'!$A:$A,$G273))</f>
        <v/>
      </c>
      <c r="C273" s="5" t="str">
        <f>IF($G273="","",INDEX('Detalle individual'!$E:$E,$G273))</f>
        <v/>
      </c>
      <c r="D273" s="5" t="str">
        <f>IF($G273="","",INDEX('Detalle individual'!$C:$C,$G273))</f>
        <v/>
      </c>
      <c r="E273" s="5" t="str">
        <f>IF($G273="","",INDEX('Detalle individual'!$D:$D,$G273))</f>
        <v/>
      </c>
      <c r="G273" t="str">
        <f>IFERROR(MATCH(SMALL(Cálculos!$AH$5:$AH$1000,269),Cálculos!$AH$5:$AH$1000,0)+4,"")</f>
        <v/>
      </c>
    </row>
    <row r="274">
      <c r="A274" s="5" t="str">
        <f>IF($G274="","",INDEX('Detalle individual'!$B:$B,$G274))</f>
        <v/>
      </c>
      <c r="B274" s="5" t="str">
        <f>IF($G274="","",INDEX('Detalle individual'!$A:$A,$G274))</f>
        <v/>
      </c>
      <c r="C274" s="5" t="str">
        <f>IF($G274="","",INDEX('Detalle individual'!$E:$E,$G274))</f>
        <v/>
      </c>
      <c r="D274" s="5" t="str">
        <f>IF($G274="","",INDEX('Detalle individual'!$C:$C,$G274))</f>
        <v/>
      </c>
      <c r="E274" s="5" t="str">
        <f>IF($G274="","",INDEX('Detalle individual'!$D:$D,$G274))</f>
        <v/>
      </c>
      <c r="G274" t="str">
        <f>IFERROR(MATCH(SMALL(Cálculos!$AH$5:$AH$1000,270),Cálculos!$AH$5:$AH$1000,0)+4,"")</f>
        <v/>
      </c>
    </row>
    <row r="275">
      <c r="A275" s="5" t="str">
        <f>IF($G275="","",INDEX('Detalle individual'!$B:$B,$G275))</f>
        <v/>
      </c>
      <c r="B275" s="5" t="str">
        <f>IF($G275="","",INDEX('Detalle individual'!$A:$A,$G275))</f>
        <v/>
      </c>
      <c r="C275" s="5" t="str">
        <f>IF($G275="","",INDEX('Detalle individual'!$E:$E,$G275))</f>
        <v/>
      </c>
      <c r="D275" s="5" t="str">
        <f>IF($G275="","",INDEX('Detalle individual'!$C:$C,$G275))</f>
        <v/>
      </c>
      <c r="E275" s="5" t="str">
        <f>IF($G275="","",INDEX('Detalle individual'!$D:$D,$G275))</f>
        <v/>
      </c>
      <c r="G275" t="str">
        <f>IFERROR(MATCH(SMALL(Cálculos!$AH$5:$AH$1000,271),Cálculos!$AH$5:$AH$1000,0)+4,"")</f>
        <v/>
      </c>
    </row>
    <row r="276">
      <c r="A276" s="5" t="str">
        <f>IF($G276="","",INDEX('Detalle individual'!$B:$B,$G276))</f>
        <v/>
      </c>
      <c r="B276" s="5" t="str">
        <f>IF($G276="","",INDEX('Detalle individual'!$A:$A,$G276))</f>
        <v/>
      </c>
      <c r="C276" s="5" t="str">
        <f>IF($G276="","",INDEX('Detalle individual'!$E:$E,$G276))</f>
        <v/>
      </c>
      <c r="D276" s="5" t="str">
        <f>IF($G276="","",INDEX('Detalle individual'!$C:$C,$G276))</f>
        <v/>
      </c>
      <c r="E276" s="5" t="str">
        <f>IF($G276="","",INDEX('Detalle individual'!$D:$D,$G276))</f>
        <v/>
      </c>
      <c r="G276" t="str">
        <f>IFERROR(MATCH(SMALL(Cálculos!$AH$5:$AH$1000,272),Cálculos!$AH$5:$AH$1000,0)+4,"")</f>
        <v/>
      </c>
    </row>
    <row r="277">
      <c r="A277" s="5" t="str">
        <f>IF($G277="","",INDEX('Detalle individual'!$B:$B,$G277))</f>
        <v/>
      </c>
      <c r="B277" s="5" t="str">
        <f>IF($G277="","",INDEX('Detalle individual'!$A:$A,$G277))</f>
        <v/>
      </c>
      <c r="C277" s="5" t="str">
        <f>IF($G277="","",INDEX('Detalle individual'!$E:$E,$G277))</f>
        <v/>
      </c>
      <c r="D277" s="5" t="str">
        <f>IF($G277="","",INDEX('Detalle individual'!$C:$C,$G277))</f>
        <v/>
      </c>
      <c r="E277" s="5" t="str">
        <f>IF($G277="","",INDEX('Detalle individual'!$D:$D,$G277))</f>
        <v/>
      </c>
      <c r="G277" t="str">
        <f>IFERROR(MATCH(SMALL(Cálculos!$AH$5:$AH$1000,273),Cálculos!$AH$5:$AH$1000,0)+4,"")</f>
        <v/>
      </c>
    </row>
    <row r="278">
      <c r="A278" s="5" t="str">
        <f>IF($G278="","",INDEX('Detalle individual'!$B:$B,$G278))</f>
        <v/>
      </c>
      <c r="B278" s="5" t="str">
        <f>IF($G278="","",INDEX('Detalle individual'!$A:$A,$G278))</f>
        <v/>
      </c>
      <c r="C278" s="5" t="str">
        <f>IF($G278="","",INDEX('Detalle individual'!$E:$E,$G278))</f>
        <v/>
      </c>
      <c r="D278" s="5" t="str">
        <f>IF($G278="","",INDEX('Detalle individual'!$C:$C,$G278))</f>
        <v/>
      </c>
      <c r="E278" s="5" t="str">
        <f>IF($G278="","",INDEX('Detalle individual'!$D:$D,$G278))</f>
        <v/>
      </c>
      <c r="G278" t="str">
        <f>IFERROR(MATCH(SMALL(Cálculos!$AH$5:$AH$1000,274),Cálculos!$AH$5:$AH$1000,0)+4,"")</f>
        <v/>
      </c>
    </row>
    <row r="279">
      <c r="A279" s="5" t="str">
        <f>IF($G279="","",INDEX('Detalle individual'!$B:$B,$G279))</f>
        <v/>
      </c>
      <c r="B279" s="5" t="str">
        <f>IF($G279="","",INDEX('Detalle individual'!$A:$A,$G279))</f>
        <v/>
      </c>
      <c r="C279" s="5" t="str">
        <f>IF($G279="","",INDEX('Detalle individual'!$E:$E,$G279))</f>
        <v/>
      </c>
      <c r="D279" s="5" t="str">
        <f>IF($G279="","",INDEX('Detalle individual'!$C:$C,$G279))</f>
        <v/>
      </c>
      <c r="E279" s="5" t="str">
        <f>IF($G279="","",INDEX('Detalle individual'!$D:$D,$G279))</f>
        <v/>
      </c>
      <c r="G279" t="str">
        <f>IFERROR(MATCH(SMALL(Cálculos!$AH$5:$AH$1000,275),Cálculos!$AH$5:$AH$1000,0)+4,"")</f>
        <v/>
      </c>
    </row>
    <row r="280">
      <c r="A280" s="5" t="str">
        <f>IF($G280="","",INDEX('Detalle individual'!$B:$B,$G280))</f>
        <v/>
      </c>
      <c r="B280" s="5" t="str">
        <f>IF($G280="","",INDEX('Detalle individual'!$A:$A,$G280))</f>
        <v/>
      </c>
      <c r="C280" s="5" t="str">
        <f>IF($G280="","",INDEX('Detalle individual'!$E:$E,$G280))</f>
        <v/>
      </c>
      <c r="D280" s="5" t="str">
        <f>IF($G280="","",INDEX('Detalle individual'!$C:$C,$G280))</f>
        <v/>
      </c>
      <c r="E280" s="5" t="str">
        <f>IF($G280="","",INDEX('Detalle individual'!$D:$D,$G280))</f>
        <v/>
      </c>
      <c r="G280" t="str">
        <f>IFERROR(MATCH(SMALL(Cálculos!$AH$5:$AH$1000,276),Cálculos!$AH$5:$AH$1000,0)+4,"")</f>
        <v/>
      </c>
    </row>
    <row r="281">
      <c r="A281" s="5" t="str">
        <f>IF($G281="","",INDEX('Detalle individual'!$B:$B,$G281))</f>
        <v/>
      </c>
      <c r="B281" s="5" t="str">
        <f>IF($G281="","",INDEX('Detalle individual'!$A:$A,$G281))</f>
        <v/>
      </c>
      <c r="C281" s="5" t="str">
        <f>IF($G281="","",INDEX('Detalle individual'!$E:$E,$G281))</f>
        <v/>
      </c>
      <c r="D281" s="5" t="str">
        <f>IF($G281="","",INDEX('Detalle individual'!$C:$C,$G281))</f>
        <v/>
      </c>
      <c r="E281" s="5" t="str">
        <f>IF($G281="","",INDEX('Detalle individual'!$D:$D,$G281))</f>
        <v/>
      </c>
      <c r="G281" t="str">
        <f>IFERROR(MATCH(SMALL(Cálculos!$AH$5:$AH$1000,277),Cálculos!$AH$5:$AH$1000,0)+4,"")</f>
        <v/>
      </c>
    </row>
    <row r="282">
      <c r="A282" s="5" t="str">
        <f>IF($G282="","",INDEX('Detalle individual'!$B:$B,$G282))</f>
        <v/>
      </c>
      <c r="B282" s="5" t="str">
        <f>IF($G282="","",INDEX('Detalle individual'!$A:$A,$G282))</f>
        <v/>
      </c>
      <c r="C282" s="5" t="str">
        <f>IF($G282="","",INDEX('Detalle individual'!$E:$E,$G282))</f>
        <v/>
      </c>
      <c r="D282" s="5" t="str">
        <f>IF($G282="","",INDEX('Detalle individual'!$C:$C,$G282))</f>
        <v/>
      </c>
      <c r="E282" s="5" t="str">
        <f>IF($G282="","",INDEX('Detalle individual'!$D:$D,$G282))</f>
        <v/>
      </c>
      <c r="G282" t="str">
        <f>IFERROR(MATCH(SMALL(Cálculos!$AH$5:$AH$1000,278),Cálculos!$AH$5:$AH$1000,0)+4,"")</f>
        <v/>
      </c>
    </row>
    <row r="283">
      <c r="A283" s="5" t="str">
        <f>IF($G283="","",INDEX('Detalle individual'!$B:$B,$G283))</f>
        <v/>
      </c>
      <c r="B283" s="5" t="str">
        <f>IF($G283="","",INDEX('Detalle individual'!$A:$A,$G283))</f>
        <v/>
      </c>
      <c r="C283" s="5" t="str">
        <f>IF($G283="","",INDEX('Detalle individual'!$E:$E,$G283))</f>
        <v/>
      </c>
      <c r="D283" s="5" t="str">
        <f>IF($G283="","",INDEX('Detalle individual'!$C:$C,$G283))</f>
        <v/>
      </c>
      <c r="E283" s="5" t="str">
        <f>IF($G283="","",INDEX('Detalle individual'!$D:$D,$G283))</f>
        <v/>
      </c>
      <c r="G283" t="str">
        <f>IFERROR(MATCH(SMALL(Cálculos!$AH$5:$AH$1000,279),Cálculos!$AH$5:$AH$1000,0)+4,"")</f>
        <v/>
      </c>
    </row>
    <row r="284">
      <c r="A284" s="5" t="str">
        <f>IF($G284="","",INDEX('Detalle individual'!$B:$B,$G284))</f>
        <v/>
      </c>
      <c r="B284" s="5" t="str">
        <f>IF($G284="","",INDEX('Detalle individual'!$A:$A,$G284))</f>
        <v/>
      </c>
      <c r="C284" s="5" t="str">
        <f>IF($G284="","",INDEX('Detalle individual'!$E:$E,$G284))</f>
        <v/>
      </c>
      <c r="D284" s="5" t="str">
        <f>IF($G284="","",INDEX('Detalle individual'!$C:$C,$G284))</f>
        <v/>
      </c>
      <c r="E284" s="5" t="str">
        <f>IF($G284="","",INDEX('Detalle individual'!$D:$D,$G284))</f>
        <v/>
      </c>
      <c r="G284" t="str">
        <f>IFERROR(MATCH(SMALL(Cálculos!$AH$5:$AH$1000,280),Cálculos!$AH$5:$AH$1000,0)+4,"")</f>
        <v/>
      </c>
    </row>
    <row r="285">
      <c r="A285" s="5" t="str">
        <f>IF($G285="","",INDEX('Detalle individual'!$B:$B,$G285))</f>
        <v/>
      </c>
      <c r="B285" s="5" t="str">
        <f>IF($G285="","",INDEX('Detalle individual'!$A:$A,$G285))</f>
        <v/>
      </c>
      <c r="C285" s="5" t="str">
        <f>IF($G285="","",INDEX('Detalle individual'!$E:$E,$G285))</f>
        <v/>
      </c>
      <c r="D285" s="5" t="str">
        <f>IF($G285="","",INDEX('Detalle individual'!$C:$C,$G285))</f>
        <v/>
      </c>
      <c r="E285" s="5" t="str">
        <f>IF($G285="","",INDEX('Detalle individual'!$D:$D,$G285))</f>
        <v/>
      </c>
      <c r="G285" t="str">
        <f>IFERROR(MATCH(SMALL(Cálculos!$AH$5:$AH$1000,281),Cálculos!$AH$5:$AH$1000,0)+4,"")</f>
        <v/>
      </c>
    </row>
    <row r="286">
      <c r="A286" s="5" t="str">
        <f>IF($G286="","",INDEX('Detalle individual'!$B:$B,$G286))</f>
        <v/>
      </c>
      <c r="B286" s="5" t="str">
        <f>IF($G286="","",INDEX('Detalle individual'!$A:$A,$G286))</f>
        <v/>
      </c>
      <c r="C286" s="5" t="str">
        <f>IF($G286="","",INDEX('Detalle individual'!$E:$E,$G286))</f>
        <v/>
      </c>
      <c r="D286" s="5" t="str">
        <f>IF($G286="","",INDEX('Detalle individual'!$C:$C,$G286))</f>
        <v/>
      </c>
      <c r="E286" s="5" t="str">
        <f>IF($G286="","",INDEX('Detalle individual'!$D:$D,$G286))</f>
        <v/>
      </c>
      <c r="G286" t="str">
        <f>IFERROR(MATCH(SMALL(Cálculos!$AH$5:$AH$1000,282),Cálculos!$AH$5:$AH$1000,0)+4,"")</f>
        <v/>
      </c>
    </row>
    <row r="287">
      <c r="A287" s="5" t="str">
        <f>IF($G287="","",INDEX('Detalle individual'!$B:$B,$G287))</f>
        <v/>
      </c>
      <c r="B287" s="5" t="str">
        <f>IF($G287="","",INDEX('Detalle individual'!$A:$A,$G287))</f>
        <v/>
      </c>
      <c r="C287" s="5" t="str">
        <f>IF($G287="","",INDEX('Detalle individual'!$E:$E,$G287))</f>
        <v/>
      </c>
      <c r="D287" s="5" t="str">
        <f>IF($G287="","",INDEX('Detalle individual'!$C:$C,$G287))</f>
        <v/>
      </c>
      <c r="E287" s="5" t="str">
        <f>IF($G287="","",INDEX('Detalle individual'!$D:$D,$G287))</f>
        <v/>
      </c>
      <c r="G287" t="str">
        <f>IFERROR(MATCH(SMALL(Cálculos!$AH$5:$AH$1000,283),Cálculos!$AH$5:$AH$1000,0)+4,"")</f>
        <v/>
      </c>
    </row>
    <row r="288">
      <c r="A288" s="5" t="str">
        <f>IF($G288="","",INDEX('Detalle individual'!$B:$B,$G288))</f>
        <v/>
      </c>
      <c r="B288" s="5" t="str">
        <f>IF($G288="","",INDEX('Detalle individual'!$A:$A,$G288))</f>
        <v/>
      </c>
      <c r="C288" s="5" t="str">
        <f>IF($G288="","",INDEX('Detalle individual'!$E:$E,$G288))</f>
        <v/>
      </c>
      <c r="D288" s="5" t="str">
        <f>IF($G288="","",INDEX('Detalle individual'!$C:$C,$G288))</f>
        <v/>
      </c>
      <c r="E288" s="5" t="str">
        <f>IF($G288="","",INDEX('Detalle individual'!$D:$D,$G288))</f>
        <v/>
      </c>
      <c r="G288" t="str">
        <f>IFERROR(MATCH(SMALL(Cálculos!$AH$5:$AH$1000,284),Cálculos!$AH$5:$AH$1000,0)+4,"")</f>
        <v/>
      </c>
    </row>
    <row r="289">
      <c r="A289" s="5" t="str">
        <f>IF($G289="","",INDEX('Detalle individual'!$B:$B,$G289))</f>
        <v/>
      </c>
      <c r="B289" s="5" t="str">
        <f>IF($G289="","",INDEX('Detalle individual'!$A:$A,$G289))</f>
        <v/>
      </c>
      <c r="C289" s="5" t="str">
        <f>IF($G289="","",INDEX('Detalle individual'!$E:$E,$G289))</f>
        <v/>
      </c>
      <c r="D289" s="5" t="str">
        <f>IF($G289="","",INDEX('Detalle individual'!$C:$C,$G289))</f>
        <v/>
      </c>
      <c r="E289" s="5" t="str">
        <f>IF($G289="","",INDEX('Detalle individual'!$D:$D,$G289))</f>
        <v/>
      </c>
      <c r="G289" t="str">
        <f>IFERROR(MATCH(SMALL(Cálculos!$AH$5:$AH$1000,285),Cálculos!$AH$5:$AH$1000,0)+4,"")</f>
        <v/>
      </c>
    </row>
    <row r="290">
      <c r="A290" s="5" t="str">
        <f>IF($G290="","",INDEX('Detalle individual'!$B:$B,$G290))</f>
        <v/>
      </c>
      <c r="B290" s="5" t="str">
        <f>IF($G290="","",INDEX('Detalle individual'!$A:$A,$G290))</f>
        <v/>
      </c>
      <c r="C290" s="5" t="str">
        <f>IF($G290="","",INDEX('Detalle individual'!$E:$E,$G290))</f>
        <v/>
      </c>
      <c r="D290" s="5" t="str">
        <f>IF($G290="","",INDEX('Detalle individual'!$C:$C,$G290))</f>
        <v/>
      </c>
      <c r="E290" s="5" t="str">
        <f>IF($G290="","",INDEX('Detalle individual'!$D:$D,$G290))</f>
        <v/>
      </c>
      <c r="G290" t="str">
        <f>IFERROR(MATCH(SMALL(Cálculos!$AH$5:$AH$1000,286),Cálculos!$AH$5:$AH$1000,0)+4,"")</f>
        <v/>
      </c>
    </row>
    <row r="291">
      <c r="A291" s="5" t="str">
        <f>IF($G291="","",INDEX('Detalle individual'!$B:$B,$G291))</f>
        <v/>
      </c>
      <c r="B291" s="5" t="str">
        <f>IF($G291="","",INDEX('Detalle individual'!$A:$A,$G291))</f>
        <v/>
      </c>
      <c r="C291" s="5" t="str">
        <f>IF($G291="","",INDEX('Detalle individual'!$E:$E,$G291))</f>
        <v/>
      </c>
      <c r="D291" s="5" t="str">
        <f>IF($G291="","",INDEX('Detalle individual'!$C:$C,$G291))</f>
        <v/>
      </c>
      <c r="E291" s="5" t="str">
        <f>IF($G291="","",INDEX('Detalle individual'!$D:$D,$G291))</f>
        <v/>
      </c>
      <c r="G291" t="str">
        <f>IFERROR(MATCH(SMALL(Cálculos!$AH$5:$AH$1000,287),Cálculos!$AH$5:$AH$1000,0)+4,"")</f>
        <v/>
      </c>
    </row>
    <row r="292">
      <c r="A292" s="5" t="str">
        <f>IF($G292="","",INDEX('Detalle individual'!$B:$B,$G292))</f>
        <v/>
      </c>
      <c r="B292" s="5" t="str">
        <f>IF($G292="","",INDEX('Detalle individual'!$A:$A,$G292))</f>
        <v/>
      </c>
      <c r="C292" s="5" t="str">
        <f>IF($G292="","",INDEX('Detalle individual'!$E:$E,$G292))</f>
        <v/>
      </c>
      <c r="D292" s="5" t="str">
        <f>IF($G292="","",INDEX('Detalle individual'!$C:$C,$G292))</f>
        <v/>
      </c>
      <c r="E292" s="5" t="str">
        <f>IF($G292="","",INDEX('Detalle individual'!$D:$D,$G292))</f>
        <v/>
      </c>
      <c r="G292" t="str">
        <f>IFERROR(MATCH(SMALL(Cálculos!$AH$5:$AH$1000,288),Cálculos!$AH$5:$AH$1000,0)+4,"")</f>
        <v/>
      </c>
    </row>
    <row r="293">
      <c r="A293" s="5" t="str">
        <f>IF($G293="","",INDEX('Detalle individual'!$B:$B,$G293))</f>
        <v/>
      </c>
      <c r="B293" s="5" t="str">
        <f>IF($G293="","",INDEX('Detalle individual'!$A:$A,$G293))</f>
        <v/>
      </c>
      <c r="C293" s="5" t="str">
        <f>IF($G293="","",INDEX('Detalle individual'!$E:$E,$G293))</f>
        <v/>
      </c>
      <c r="D293" s="5" t="str">
        <f>IF($G293="","",INDEX('Detalle individual'!$C:$C,$G293))</f>
        <v/>
      </c>
      <c r="E293" s="5" t="str">
        <f>IF($G293="","",INDEX('Detalle individual'!$D:$D,$G293))</f>
        <v/>
      </c>
      <c r="G293" t="str">
        <f>IFERROR(MATCH(SMALL(Cálculos!$AH$5:$AH$1000,289),Cálculos!$AH$5:$AH$1000,0)+4,"")</f>
        <v/>
      </c>
    </row>
    <row r="294">
      <c r="A294" s="5" t="str">
        <f>IF($G294="","",INDEX('Detalle individual'!$B:$B,$G294))</f>
        <v/>
      </c>
      <c r="B294" s="5" t="str">
        <f>IF($G294="","",INDEX('Detalle individual'!$A:$A,$G294))</f>
        <v/>
      </c>
      <c r="C294" s="5" t="str">
        <f>IF($G294="","",INDEX('Detalle individual'!$E:$E,$G294))</f>
        <v/>
      </c>
      <c r="D294" s="5" t="str">
        <f>IF($G294="","",INDEX('Detalle individual'!$C:$C,$G294))</f>
        <v/>
      </c>
      <c r="E294" s="5" t="str">
        <f>IF($G294="","",INDEX('Detalle individual'!$D:$D,$G294))</f>
        <v/>
      </c>
      <c r="G294" t="str">
        <f>IFERROR(MATCH(SMALL(Cálculos!$AH$5:$AH$1000,290),Cálculos!$AH$5:$AH$1000,0)+4,"")</f>
        <v/>
      </c>
    </row>
    <row r="295">
      <c r="A295" s="5" t="str">
        <f>IF($G295="","",INDEX('Detalle individual'!$B:$B,$G295))</f>
        <v/>
      </c>
      <c r="B295" s="5" t="str">
        <f>IF($G295="","",INDEX('Detalle individual'!$A:$A,$G295))</f>
        <v/>
      </c>
      <c r="C295" s="5" t="str">
        <f>IF($G295="","",INDEX('Detalle individual'!$E:$E,$G295))</f>
        <v/>
      </c>
      <c r="D295" s="5" t="str">
        <f>IF($G295="","",INDEX('Detalle individual'!$C:$C,$G295))</f>
        <v/>
      </c>
      <c r="E295" s="5" t="str">
        <f>IF($G295="","",INDEX('Detalle individual'!$D:$D,$G295))</f>
        <v/>
      </c>
      <c r="G295" t="str">
        <f>IFERROR(MATCH(SMALL(Cálculos!$AH$5:$AH$1000,291),Cálculos!$AH$5:$AH$1000,0)+4,"")</f>
        <v/>
      </c>
    </row>
    <row r="296">
      <c r="A296" s="5" t="str">
        <f>IF($G296="","",INDEX('Detalle individual'!$B:$B,$G296))</f>
        <v/>
      </c>
      <c r="B296" s="5" t="str">
        <f>IF($G296="","",INDEX('Detalle individual'!$A:$A,$G296))</f>
        <v/>
      </c>
      <c r="C296" s="5" t="str">
        <f>IF($G296="","",INDEX('Detalle individual'!$E:$E,$G296))</f>
        <v/>
      </c>
      <c r="D296" s="5" t="str">
        <f>IF($G296="","",INDEX('Detalle individual'!$C:$C,$G296))</f>
        <v/>
      </c>
      <c r="E296" s="5" t="str">
        <f>IF($G296="","",INDEX('Detalle individual'!$D:$D,$G296))</f>
        <v/>
      </c>
      <c r="G296" t="str">
        <f>IFERROR(MATCH(SMALL(Cálculos!$AH$5:$AH$1000,292),Cálculos!$AH$5:$AH$1000,0)+4,"")</f>
        <v/>
      </c>
    </row>
    <row r="297">
      <c r="A297" s="5" t="str">
        <f>IF($G297="","",INDEX('Detalle individual'!$B:$B,$G297))</f>
        <v/>
      </c>
      <c r="B297" s="5" t="str">
        <f>IF($G297="","",INDEX('Detalle individual'!$A:$A,$G297))</f>
        <v/>
      </c>
      <c r="C297" s="5" t="str">
        <f>IF($G297="","",INDEX('Detalle individual'!$E:$E,$G297))</f>
        <v/>
      </c>
      <c r="D297" s="5" t="str">
        <f>IF($G297="","",INDEX('Detalle individual'!$C:$C,$G297))</f>
        <v/>
      </c>
      <c r="E297" s="5" t="str">
        <f>IF($G297="","",INDEX('Detalle individual'!$D:$D,$G297))</f>
        <v/>
      </c>
      <c r="G297" t="str">
        <f>IFERROR(MATCH(SMALL(Cálculos!$AH$5:$AH$1000,293),Cálculos!$AH$5:$AH$1000,0)+4,"")</f>
        <v/>
      </c>
    </row>
    <row r="298">
      <c r="A298" s="5" t="str">
        <f>IF($G298="","",INDEX('Detalle individual'!$B:$B,$G298))</f>
        <v/>
      </c>
      <c r="B298" s="5" t="str">
        <f>IF($G298="","",INDEX('Detalle individual'!$A:$A,$G298))</f>
        <v/>
      </c>
      <c r="C298" s="5" t="str">
        <f>IF($G298="","",INDEX('Detalle individual'!$E:$E,$G298))</f>
        <v/>
      </c>
      <c r="D298" s="5" t="str">
        <f>IF($G298="","",INDEX('Detalle individual'!$C:$C,$G298))</f>
        <v/>
      </c>
      <c r="E298" s="5" t="str">
        <f>IF($G298="","",INDEX('Detalle individual'!$D:$D,$G298))</f>
        <v/>
      </c>
      <c r="G298" t="str">
        <f>IFERROR(MATCH(SMALL(Cálculos!$AH$5:$AH$1000,294),Cálculos!$AH$5:$AH$1000,0)+4,"")</f>
        <v/>
      </c>
    </row>
    <row r="299">
      <c r="A299" s="5" t="str">
        <f>IF($G299="","",INDEX('Detalle individual'!$B:$B,$G299))</f>
        <v/>
      </c>
      <c r="B299" s="5" t="str">
        <f>IF($G299="","",INDEX('Detalle individual'!$A:$A,$G299))</f>
        <v/>
      </c>
      <c r="C299" s="5" t="str">
        <f>IF($G299="","",INDEX('Detalle individual'!$E:$E,$G299))</f>
        <v/>
      </c>
      <c r="D299" s="5" t="str">
        <f>IF($G299="","",INDEX('Detalle individual'!$C:$C,$G299))</f>
        <v/>
      </c>
      <c r="E299" s="5" t="str">
        <f>IF($G299="","",INDEX('Detalle individual'!$D:$D,$G299))</f>
        <v/>
      </c>
      <c r="G299" t="str">
        <f>IFERROR(MATCH(SMALL(Cálculos!$AH$5:$AH$1000,295),Cálculos!$AH$5:$AH$1000,0)+4,"")</f>
        <v/>
      </c>
    </row>
    <row r="300">
      <c r="A300" s="5" t="str">
        <f>IF($G300="","",INDEX('Detalle individual'!$B:$B,$G300))</f>
        <v/>
      </c>
      <c r="B300" s="5" t="str">
        <f>IF($G300="","",INDEX('Detalle individual'!$A:$A,$G300))</f>
        <v/>
      </c>
      <c r="C300" s="5" t="str">
        <f>IF($G300="","",INDEX('Detalle individual'!$E:$E,$G300))</f>
        <v/>
      </c>
      <c r="D300" s="5" t="str">
        <f>IF($G300="","",INDEX('Detalle individual'!$C:$C,$G300))</f>
        <v/>
      </c>
      <c r="E300" s="5" t="str">
        <f>IF($G300="","",INDEX('Detalle individual'!$D:$D,$G300))</f>
        <v/>
      </c>
      <c r="G300" t="str">
        <f>IFERROR(MATCH(SMALL(Cálculos!$AH$5:$AH$1000,296),Cálculos!$AH$5:$AH$1000,0)+4,"")</f>
        <v/>
      </c>
    </row>
    <row r="301">
      <c r="A301" s="5" t="str">
        <f>IF($G301="","",INDEX('Detalle individual'!$B:$B,$G301))</f>
        <v/>
      </c>
      <c r="B301" s="5" t="str">
        <f>IF($G301="","",INDEX('Detalle individual'!$A:$A,$G301))</f>
        <v/>
      </c>
      <c r="C301" s="5" t="str">
        <f>IF($G301="","",INDEX('Detalle individual'!$E:$E,$G301))</f>
        <v/>
      </c>
      <c r="D301" s="5" t="str">
        <f>IF($G301="","",INDEX('Detalle individual'!$C:$C,$G301))</f>
        <v/>
      </c>
      <c r="E301" s="5" t="str">
        <f>IF($G301="","",INDEX('Detalle individual'!$D:$D,$G301))</f>
        <v/>
      </c>
      <c r="G301" t="str">
        <f>IFERROR(MATCH(SMALL(Cálculos!$AH$5:$AH$1000,297),Cálculos!$AH$5:$AH$1000,0)+4,"")</f>
        <v/>
      </c>
    </row>
    <row r="302">
      <c r="A302" s="5" t="str">
        <f>IF($G302="","",INDEX('Detalle individual'!$B:$B,$G302))</f>
        <v/>
      </c>
      <c r="B302" s="5" t="str">
        <f>IF($G302="","",INDEX('Detalle individual'!$A:$A,$G302))</f>
        <v/>
      </c>
      <c r="C302" s="5" t="str">
        <f>IF($G302="","",INDEX('Detalle individual'!$E:$E,$G302))</f>
        <v/>
      </c>
      <c r="D302" s="5" t="str">
        <f>IF($G302="","",INDEX('Detalle individual'!$C:$C,$G302))</f>
        <v/>
      </c>
      <c r="E302" s="5" t="str">
        <f>IF($G302="","",INDEX('Detalle individual'!$D:$D,$G302))</f>
        <v/>
      </c>
      <c r="G302" t="str">
        <f>IFERROR(MATCH(SMALL(Cálculos!$AH$5:$AH$1000,298),Cálculos!$AH$5:$AH$1000,0)+4,"")</f>
        <v/>
      </c>
    </row>
    <row r="303">
      <c r="A303" s="5" t="str">
        <f>IF($G303="","",INDEX('Detalle individual'!$B:$B,$G303))</f>
        <v/>
      </c>
      <c r="B303" s="5" t="str">
        <f>IF($G303="","",INDEX('Detalle individual'!$A:$A,$G303))</f>
        <v/>
      </c>
      <c r="C303" s="5" t="str">
        <f>IF($G303="","",INDEX('Detalle individual'!$E:$E,$G303))</f>
        <v/>
      </c>
      <c r="D303" s="5" t="str">
        <f>IF($G303="","",INDEX('Detalle individual'!$C:$C,$G303))</f>
        <v/>
      </c>
      <c r="E303" s="5" t="str">
        <f>IF($G303="","",INDEX('Detalle individual'!$D:$D,$G303))</f>
        <v/>
      </c>
      <c r="G303" t="str">
        <f>IFERROR(MATCH(SMALL(Cálculos!$AH$5:$AH$1000,299),Cálculos!$AH$5:$AH$1000,0)+4,"")</f>
        <v/>
      </c>
    </row>
    <row r="304">
      <c r="A304" s="5" t="str">
        <f>IF($G304="","",INDEX('Detalle individual'!$B:$B,$G304))</f>
        <v/>
      </c>
      <c r="B304" s="5" t="str">
        <f>IF($G304="","",INDEX('Detalle individual'!$A:$A,$G304))</f>
        <v/>
      </c>
      <c r="C304" s="5" t="str">
        <f>IF($G304="","",INDEX('Detalle individual'!$E:$E,$G304))</f>
        <v/>
      </c>
      <c r="D304" s="5" t="str">
        <f>IF($G304="","",INDEX('Detalle individual'!$C:$C,$G304))</f>
        <v/>
      </c>
      <c r="E304" s="5" t="str">
        <f>IF($G304="","",INDEX('Detalle individual'!$D:$D,$G304))</f>
        <v/>
      </c>
      <c r="G304" t="str">
        <f>IFERROR(MATCH(SMALL(Cálculos!$AH$5:$AH$1000,300),Cálculos!$AH$5:$AH$1000,0)+4,"")</f>
        <v/>
      </c>
    </row>
    <row r="305">
      <c r="A305" s="5" t="str">
        <f>IF($G305="","",INDEX('Detalle individual'!$B:$B,$G305))</f>
        <v/>
      </c>
      <c r="B305" s="5" t="str">
        <f>IF($G305="","",INDEX('Detalle individual'!$A:$A,$G305))</f>
        <v/>
      </c>
      <c r="C305" s="5" t="str">
        <f>IF($G305="","",INDEX('Detalle individual'!$E:$E,$G305))</f>
        <v/>
      </c>
      <c r="D305" s="5" t="str">
        <f>IF($G305="","",INDEX('Detalle individual'!$C:$C,$G305))</f>
        <v/>
      </c>
      <c r="E305" s="5" t="str">
        <f>IF($G305="","",INDEX('Detalle individual'!$D:$D,$G305))</f>
        <v/>
      </c>
      <c r="G305" t="str">
        <f>IFERROR(MATCH(SMALL(Cálculos!$AH$5:$AH$1000,301),Cálculos!$AH$5:$AH$1000,0)+4,"")</f>
        <v/>
      </c>
    </row>
    <row r="306">
      <c r="A306" s="5" t="str">
        <f>IF($G306="","",INDEX('Detalle individual'!$B:$B,$G306))</f>
        <v/>
      </c>
      <c r="B306" s="5" t="str">
        <f>IF($G306="","",INDEX('Detalle individual'!$A:$A,$G306))</f>
        <v/>
      </c>
      <c r="C306" s="5" t="str">
        <f>IF($G306="","",INDEX('Detalle individual'!$E:$E,$G306))</f>
        <v/>
      </c>
      <c r="D306" s="5" t="str">
        <f>IF($G306="","",INDEX('Detalle individual'!$C:$C,$G306))</f>
        <v/>
      </c>
      <c r="E306" s="5" t="str">
        <f>IF($G306="","",INDEX('Detalle individual'!$D:$D,$G306))</f>
        <v/>
      </c>
      <c r="G306" t="str">
        <f>IFERROR(MATCH(SMALL(Cálculos!$AH$5:$AH$1000,302),Cálculos!$AH$5:$AH$1000,0)+4,"")</f>
        <v/>
      </c>
    </row>
    <row r="307">
      <c r="A307" s="5" t="str">
        <f>IF($G307="","",INDEX('Detalle individual'!$B:$B,$G307))</f>
        <v/>
      </c>
      <c r="B307" s="5" t="str">
        <f>IF($G307="","",INDEX('Detalle individual'!$A:$A,$G307))</f>
        <v/>
      </c>
      <c r="C307" s="5" t="str">
        <f>IF($G307="","",INDEX('Detalle individual'!$E:$E,$G307))</f>
        <v/>
      </c>
      <c r="D307" s="5" t="str">
        <f>IF($G307="","",INDEX('Detalle individual'!$C:$C,$G307))</f>
        <v/>
      </c>
      <c r="E307" s="5" t="str">
        <f>IF($G307="","",INDEX('Detalle individual'!$D:$D,$G307))</f>
        <v/>
      </c>
      <c r="G307" t="str">
        <f>IFERROR(MATCH(SMALL(Cálculos!$AH$5:$AH$1000,303),Cálculos!$AH$5:$AH$1000,0)+4,"")</f>
        <v/>
      </c>
    </row>
    <row r="308">
      <c r="A308" s="5" t="str">
        <f>IF($G308="","",INDEX('Detalle individual'!$B:$B,$G308))</f>
        <v/>
      </c>
      <c r="B308" s="5" t="str">
        <f>IF($G308="","",INDEX('Detalle individual'!$A:$A,$G308))</f>
        <v/>
      </c>
      <c r="C308" s="5" t="str">
        <f>IF($G308="","",INDEX('Detalle individual'!$E:$E,$G308))</f>
        <v/>
      </c>
      <c r="D308" s="5" t="str">
        <f>IF($G308="","",INDEX('Detalle individual'!$C:$C,$G308))</f>
        <v/>
      </c>
      <c r="E308" s="5" t="str">
        <f>IF($G308="","",INDEX('Detalle individual'!$D:$D,$G308))</f>
        <v/>
      </c>
      <c r="G308" t="str">
        <f>IFERROR(MATCH(SMALL(Cálculos!$AH$5:$AH$1000,304),Cálculos!$AH$5:$AH$1000,0)+4,"")</f>
        <v/>
      </c>
    </row>
    <row r="309">
      <c r="A309" s="5" t="str">
        <f>IF($G309="","",INDEX('Detalle individual'!$B:$B,$G309))</f>
        <v/>
      </c>
      <c r="B309" s="5" t="str">
        <f>IF($G309="","",INDEX('Detalle individual'!$A:$A,$G309))</f>
        <v/>
      </c>
      <c r="C309" s="5" t="str">
        <f>IF($G309="","",INDEX('Detalle individual'!$E:$E,$G309))</f>
        <v/>
      </c>
      <c r="D309" s="5" t="str">
        <f>IF($G309="","",INDEX('Detalle individual'!$C:$C,$G309))</f>
        <v/>
      </c>
      <c r="E309" s="5" t="str">
        <f>IF($G309="","",INDEX('Detalle individual'!$D:$D,$G309))</f>
        <v/>
      </c>
      <c r="G309" t="str">
        <f>IFERROR(MATCH(SMALL(Cálculos!$AH$5:$AH$1000,305),Cálculos!$AH$5:$AH$1000,0)+4,"")</f>
        <v/>
      </c>
    </row>
    <row r="310">
      <c r="A310" s="5" t="str">
        <f>IF($G310="","",INDEX('Detalle individual'!$B:$B,$G310))</f>
        <v/>
      </c>
      <c r="B310" s="5" t="str">
        <f>IF($G310="","",INDEX('Detalle individual'!$A:$A,$G310))</f>
        <v/>
      </c>
      <c r="C310" s="5" t="str">
        <f>IF($G310="","",INDEX('Detalle individual'!$E:$E,$G310))</f>
        <v/>
      </c>
      <c r="D310" s="5" t="str">
        <f>IF($G310="","",INDEX('Detalle individual'!$C:$C,$G310))</f>
        <v/>
      </c>
      <c r="E310" s="5" t="str">
        <f>IF($G310="","",INDEX('Detalle individual'!$D:$D,$G310))</f>
        <v/>
      </c>
      <c r="G310" t="str">
        <f>IFERROR(MATCH(SMALL(Cálculos!$AH$5:$AH$1000,306),Cálculos!$AH$5:$AH$1000,0)+4,"")</f>
        <v/>
      </c>
    </row>
    <row r="311">
      <c r="A311" s="5" t="str">
        <f>IF($G311="","",INDEX('Detalle individual'!$B:$B,$G311))</f>
        <v/>
      </c>
      <c r="B311" s="5" t="str">
        <f>IF($G311="","",INDEX('Detalle individual'!$A:$A,$G311))</f>
        <v/>
      </c>
      <c r="C311" s="5" t="str">
        <f>IF($G311="","",INDEX('Detalle individual'!$E:$E,$G311))</f>
        <v/>
      </c>
      <c r="D311" s="5" t="str">
        <f>IF($G311="","",INDEX('Detalle individual'!$C:$C,$G311))</f>
        <v/>
      </c>
      <c r="E311" s="5" t="str">
        <f>IF($G311="","",INDEX('Detalle individual'!$D:$D,$G311))</f>
        <v/>
      </c>
      <c r="G311" t="str">
        <f>IFERROR(MATCH(SMALL(Cálculos!$AH$5:$AH$1000,307),Cálculos!$AH$5:$AH$1000,0)+4,"")</f>
        <v/>
      </c>
    </row>
    <row r="312">
      <c r="A312" s="5" t="str">
        <f>IF($G312="","",INDEX('Detalle individual'!$B:$B,$G312))</f>
        <v/>
      </c>
      <c r="B312" s="5" t="str">
        <f>IF($G312="","",INDEX('Detalle individual'!$A:$A,$G312))</f>
        <v/>
      </c>
      <c r="C312" s="5" t="str">
        <f>IF($G312="","",INDEX('Detalle individual'!$E:$E,$G312))</f>
        <v/>
      </c>
      <c r="D312" s="5" t="str">
        <f>IF($G312="","",INDEX('Detalle individual'!$C:$C,$G312))</f>
        <v/>
      </c>
      <c r="E312" s="5" t="str">
        <f>IF($G312="","",INDEX('Detalle individual'!$D:$D,$G312))</f>
        <v/>
      </c>
      <c r="G312" t="str">
        <f>IFERROR(MATCH(SMALL(Cálculos!$AH$5:$AH$1000,308),Cálculos!$AH$5:$AH$1000,0)+4,"")</f>
        <v/>
      </c>
    </row>
    <row r="313">
      <c r="A313" s="5" t="str">
        <f>IF($G313="","",INDEX('Detalle individual'!$B:$B,$G313))</f>
        <v/>
      </c>
      <c r="B313" s="5" t="str">
        <f>IF($G313="","",INDEX('Detalle individual'!$A:$A,$G313))</f>
        <v/>
      </c>
      <c r="C313" s="5" t="str">
        <f>IF($G313="","",INDEX('Detalle individual'!$E:$E,$G313))</f>
        <v/>
      </c>
      <c r="D313" s="5" t="str">
        <f>IF($G313="","",INDEX('Detalle individual'!$C:$C,$G313))</f>
        <v/>
      </c>
      <c r="E313" s="5" t="str">
        <f>IF($G313="","",INDEX('Detalle individual'!$D:$D,$G313))</f>
        <v/>
      </c>
      <c r="G313" t="str">
        <f>IFERROR(MATCH(SMALL(Cálculos!$AH$5:$AH$1000,309),Cálculos!$AH$5:$AH$1000,0)+4,"")</f>
        <v/>
      </c>
    </row>
    <row r="314">
      <c r="A314" s="5" t="str">
        <f>IF($G314="","",INDEX('Detalle individual'!$B:$B,$G314))</f>
        <v/>
      </c>
      <c r="B314" s="5" t="str">
        <f>IF($G314="","",INDEX('Detalle individual'!$A:$A,$G314))</f>
        <v/>
      </c>
      <c r="C314" s="5" t="str">
        <f>IF($G314="","",INDEX('Detalle individual'!$E:$E,$G314))</f>
        <v/>
      </c>
      <c r="D314" s="5" t="str">
        <f>IF($G314="","",INDEX('Detalle individual'!$C:$C,$G314))</f>
        <v/>
      </c>
      <c r="E314" s="5" t="str">
        <f>IF($G314="","",INDEX('Detalle individual'!$D:$D,$G314))</f>
        <v/>
      </c>
      <c r="G314" t="str">
        <f>IFERROR(MATCH(SMALL(Cálculos!$AH$5:$AH$1000,310),Cálculos!$AH$5:$AH$1000,0)+4,"")</f>
        <v/>
      </c>
    </row>
    <row r="315">
      <c r="A315" s="5" t="str">
        <f>IF($G315="","",INDEX('Detalle individual'!$B:$B,$G315))</f>
        <v/>
      </c>
      <c r="B315" s="5" t="str">
        <f>IF($G315="","",INDEX('Detalle individual'!$A:$A,$G315))</f>
        <v/>
      </c>
      <c r="C315" s="5" t="str">
        <f>IF($G315="","",INDEX('Detalle individual'!$E:$E,$G315))</f>
        <v/>
      </c>
      <c r="D315" s="5" t="str">
        <f>IF($G315="","",INDEX('Detalle individual'!$C:$C,$G315))</f>
        <v/>
      </c>
      <c r="E315" s="5" t="str">
        <f>IF($G315="","",INDEX('Detalle individual'!$D:$D,$G315))</f>
        <v/>
      </c>
      <c r="G315" t="str">
        <f>IFERROR(MATCH(SMALL(Cálculos!$AH$5:$AH$1000,311),Cálculos!$AH$5:$AH$1000,0)+4,"")</f>
        <v/>
      </c>
    </row>
    <row r="316">
      <c r="A316" s="5" t="str">
        <f>IF($G316="","",INDEX('Detalle individual'!$B:$B,$G316))</f>
        <v/>
      </c>
      <c r="B316" s="5" t="str">
        <f>IF($G316="","",INDEX('Detalle individual'!$A:$A,$G316))</f>
        <v/>
      </c>
      <c r="C316" s="5" t="str">
        <f>IF($G316="","",INDEX('Detalle individual'!$E:$E,$G316))</f>
        <v/>
      </c>
      <c r="D316" s="5" t="str">
        <f>IF($G316="","",INDEX('Detalle individual'!$C:$C,$G316))</f>
        <v/>
      </c>
      <c r="E316" s="5" t="str">
        <f>IF($G316="","",INDEX('Detalle individual'!$D:$D,$G316))</f>
        <v/>
      </c>
      <c r="G316" t="str">
        <f>IFERROR(MATCH(SMALL(Cálculos!$AH$5:$AH$1000,312),Cálculos!$AH$5:$AH$1000,0)+4,"")</f>
        <v/>
      </c>
    </row>
    <row r="317">
      <c r="A317" s="5" t="str">
        <f>IF($G317="","",INDEX('Detalle individual'!$B:$B,$G317))</f>
        <v/>
      </c>
      <c r="B317" s="5" t="str">
        <f>IF($G317="","",INDEX('Detalle individual'!$A:$A,$G317))</f>
        <v/>
      </c>
      <c r="C317" s="5" t="str">
        <f>IF($G317="","",INDEX('Detalle individual'!$E:$E,$G317))</f>
        <v/>
      </c>
      <c r="D317" s="5" t="str">
        <f>IF($G317="","",INDEX('Detalle individual'!$C:$C,$G317))</f>
        <v/>
      </c>
      <c r="E317" s="5" t="str">
        <f>IF($G317="","",INDEX('Detalle individual'!$D:$D,$G317))</f>
        <v/>
      </c>
      <c r="G317" t="str">
        <f>IFERROR(MATCH(SMALL(Cálculos!$AH$5:$AH$1000,313),Cálculos!$AH$5:$AH$1000,0)+4,"")</f>
        <v/>
      </c>
    </row>
    <row r="318">
      <c r="A318" s="5" t="str">
        <f>IF($G318="","",INDEX('Detalle individual'!$B:$B,$G318))</f>
        <v/>
      </c>
      <c r="B318" s="5" t="str">
        <f>IF($G318="","",INDEX('Detalle individual'!$A:$A,$G318))</f>
        <v/>
      </c>
      <c r="C318" s="5" t="str">
        <f>IF($G318="","",INDEX('Detalle individual'!$E:$E,$G318))</f>
        <v/>
      </c>
      <c r="D318" s="5" t="str">
        <f>IF($G318="","",INDEX('Detalle individual'!$C:$C,$G318))</f>
        <v/>
      </c>
      <c r="E318" s="5" t="str">
        <f>IF($G318="","",INDEX('Detalle individual'!$D:$D,$G318))</f>
        <v/>
      </c>
      <c r="G318" t="str">
        <f>IFERROR(MATCH(SMALL(Cálculos!$AH$5:$AH$1000,314),Cálculos!$AH$5:$AH$1000,0)+4,"")</f>
        <v/>
      </c>
    </row>
    <row r="319">
      <c r="A319" s="5" t="str">
        <f>IF($G319="","",INDEX('Detalle individual'!$B:$B,$G319))</f>
        <v/>
      </c>
      <c r="B319" s="5" t="str">
        <f>IF($G319="","",INDEX('Detalle individual'!$A:$A,$G319))</f>
        <v/>
      </c>
      <c r="C319" s="5" t="str">
        <f>IF($G319="","",INDEX('Detalle individual'!$E:$E,$G319))</f>
        <v/>
      </c>
      <c r="D319" s="5" t="str">
        <f>IF($G319="","",INDEX('Detalle individual'!$C:$C,$G319))</f>
        <v/>
      </c>
      <c r="E319" s="5" t="str">
        <f>IF($G319="","",INDEX('Detalle individual'!$D:$D,$G319))</f>
        <v/>
      </c>
      <c r="G319" t="str">
        <f>IFERROR(MATCH(SMALL(Cálculos!$AH$5:$AH$1000,315),Cálculos!$AH$5:$AH$1000,0)+4,"")</f>
        <v/>
      </c>
    </row>
    <row r="320">
      <c r="A320" s="5" t="str">
        <f>IF($G320="","",INDEX('Detalle individual'!$B:$B,$G320))</f>
        <v/>
      </c>
      <c r="B320" s="5" t="str">
        <f>IF($G320="","",INDEX('Detalle individual'!$A:$A,$G320))</f>
        <v/>
      </c>
      <c r="C320" s="5" t="str">
        <f>IF($G320="","",INDEX('Detalle individual'!$E:$E,$G320))</f>
        <v/>
      </c>
      <c r="D320" s="5" t="str">
        <f>IF($G320="","",INDEX('Detalle individual'!$C:$C,$G320))</f>
        <v/>
      </c>
      <c r="E320" s="5" t="str">
        <f>IF($G320="","",INDEX('Detalle individual'!$D:$D,$G320))</f>
        <v/>
      </c>
      <c r="G320" t="str">
        <f>IFERROR(MATCH(SMALL(Cálculos!$AH$5:$AH$1000,316),Cálculos!$AH$5:$AH$1000,0)+4,"")</f>
        <v/>
      </c>
    </row>
    <row r="321">
      <c r="A321" s="5" t="str">
        <f>IF($G321="","",INDEX('Detalle individual'!$B:$B,$G321))</f>
        <v/>
      </c>
      <c r="B321" s="5" t="str">
        <f>IF($G321="","",INDEX('Detalle individual'!$A:$A,$G321))</f>
        <v/>
      </c>
      <c r="C321" s="5" t="str">
        <f>IF($G321="","",INDEX('Detalle individual'!$E:$E,$G321))</f>
        <v/>
      </c>
      <c r="D321" s="5" t="str">
        <f>IF($G321="","",INDEX('Detalle individual'!$C:$C,$G321))</f>
        <v/>
      </c>
      <c r="E321" s="5" t="str">
        <f>IF($G321="","",INDEX('Detalle individual'!$D:$D,$G321))</f>
        <v/>
      </c>
      <c r="G321" t="str">
        <f>IFERROR(MATCH(SMALL(Cálculos!$AH$5:$AH$1000,317),Cálculos!$AH$5:$AH$1000,0)+4,"")</f>
        <v/>
      </c>
    </row>
    <row r="322">
      <c r="A322" s="5" t="str">
        <f>IF($G322="","",INDEX('Detalle individual'!$B:$B,$G322))</f>
        <v/>
      </c>
      <c r="B322" s="5" t="str">
        <f>IF($G322="","",INDEX('Detalle individual'!$A:$A,$G322))</f>
        <v/>
      </c>
      <c r="C322" s="5" t="str">
        <f>IF($G322="","",INDEX('Detalle individual'!$E:$E,$G322))</f>
        <v/>
      </c>
      <c r="D322" s="5" t="str">
        <f>IF($G322="","",INDEX('Detalle individual'!$C:$C,$G322))</f>
        <v/>
      </c>
      <c r="E322" s="5" t="str">
        <f>IF($G322="","",INDEX('Detalle individual'!$D:$D,$G322))</f>
        <v/>
      </c>
      <c r="G322" t="str">
        <f>IFERROR(MATCH(SMALL(Cálculos!$AH$5:$AH$1000,318),Cálculos!$AH$5:$AH$1000,0)+4,"")</f>
        <v/>
      </c>
    </row>
    <row r="323">
      <c r="A323" s="5" t="str">
        <f>IF($G323="","",INDEX('Detalle individual'!$B:$B,$G323))</f>
        <v/>
      </c>
      <c r="B323" s="5" t="str">
        <f>IF($G323="","",INDEX('Detalle individual'!$A:$A,$G323))</f>
        <v/>
      </c>
      <c r="C323" s="5" t="str">
        <f>IF($G323="","",INDEX('Detalle individual'!$E:$E,$G323))</f>
        <v/>
      </c>
      <c r="D323" s="5" t="str">
        <f>IF($G323="","",INDEX('Detalle individual'!$C:$C,$G323))</f>
        <v/>
      </c>
      <c r="E323" s="5" t="str">
        <f>IF($G323="","",INDEX('Detalle individual'!$D:$D,$G323))</f>
        <v/>
      </c>
      <c r="G323" t="str">
        <f>IFERROR(MATCH(SMALL(Cálculos!$AH$5:$AH$1000,319),Cálculos!$AH$5:$AH$1000,0)+4,"")</f>
        <v/>
      </c>
    </row>
    <row r="324">
      <c r="A324" s="5" t="str">
        <f>IF($G324="","",INDEX('Detalle individual'!$B:$B,$G324))</f>
        <v/>
      </c>
      <c r="B324" s="5" t="str">
        <f>IF($G324="","",INDEX('Detalle individual'!$A:$A,$G324))</f>
        <v/>
      </c>
      <c r="C324" s="5" t="str">
        <f>IF($G324="","",INDEX('Detalle individual'!$E:$E,$G324))</f>
        <v/>
      </c>
      <c r="D324" s="5" t="str">
        <f>IF($G324="","",INDEX('Detalle individual'!$C:$C,$G324))</f>
        <v/>
      </c>
      <c r="E324" s="5" t="str">
        <f>IF($G324="","",INDEX('Detalle individual'!$D:$D,$G324))</f>
        <v/>
      </c>
      <c r="G324" t="str">
        <f>IFERROR(MATCH(SMALL(Cálculos!$AH$5:$AH$1000,320),Cálculos!$AH$5:$AH$1000,0)+4,"")</f>
        <v/>
      </c>
    </row>
    <row r="325">
      <c r="A325" s="5" t="str">
        <f>IF($G325="","",INDEX('Detalle individual'!$B:$B,$G325))</f>
        <v/>
      </c>
      <c r="B325" s="5" t="str">
        <f>IF($G325="","",INDEX('Detalle individual'!$A:$A,$G325))</f>
        <v/>
      </c>
      <c r="C325" s="5" t="str">
        <f>IF($G325="","",INDEX('Detalle individual'!$E:$E,$G325))</f>
        <v/>
      </c>
      <c r="D325" s="5" t="str">
        <f>IF($G325="","",INDEX('Detalle individual'!$C:$C,$G325))</f>
        <v/>
      </c>
      <c r="E325" s="5" t="str">
        <f>IF($G325="","",INDEX('Detalle individual'!$D:$D,$G325))</f>
        <v/>
      </c>
      <c r="G325" t="str">
        <f>IFERROR(MATCH(SMALL(Cálculos!$AH$5:$AH$1000,321),Cálculos!$AH$5:$AH$1000,0)+4,"")</f>
        <v/>
      </c>
    </row>
    <row r="326">
      <c r="A326" s="5" t="str">
        <f>IF($G326="","",INDEX('Detalle individual'!$B:$B,$G326))</f>
        <v/>
      </c>
      <c r="B326" s="5" t="str">
        <f>IF($G326="","",INDEX('Detalle individual'!$A:$A,$G326))</f>
        <v/>
      </c>
      <c r="C326" s="5" t="str">
        <f>IF($G326="","",INDEX('Detalle individual'!$E:$E,$G326))</f>
        <v/>
      </c>
      <c r="D326" s="5" t="str">
        <f>IF($G326="","",INDEX('Detalle individual'!$C:$C,$G326))</f>
        <v/>
      </c>
      <c r="E326" s="5" t="str">
        <f>IF($G326="","",INDEX('Detalle individual'!$D:$D,$G326))</f>
        <v/>
      </c>
      <c r="G326" t="str">
        <f>IFERROR(MATCH(SMALL(Cálculos!$AH$5:$AH$1000,322),Cálculos!$AH$5:$AH$1000,0)+4,"")</f>
        <v/>
      </c>
    </row>
    <row r="327">
      <c r="A327" s="5" t="str">
        <f>IF($G327="","",INDEX('Detalle individual'!$B:$B,$G327))</f>
        <v/>
      </c>
      <c r="B327" s="5" t="str">
        <f>IF($G327="","",INDEX('Detalle individual'!$A:$A,$G327))</f>
        <v/>
      </c>
      <c r="C327" s="5" t="str">
        <f>IF($G327="","",INDEX('Detalle individual'!$E:$E,$G327))</f>
        <v/>
      </c>
      <c r="D327" s="5" t="str">
        <f>IF($G327="","",INDEX('Detalle individual'!$C:$C,$G327))</f>
        <v/>
      </c>
      <c r="E327" s="5" t="str">
        <f>IF($G327="","",INDEX('Detalle individual'!$D:$D,$G327))</f>
        <v/>
      </c>
      <c r="G327" t="str">
        <f>IFERROR(MATCH(SMALL(Cálculos!$AH$5:$AH$1000,323),Cálculos!$AH$5:$AH$1000,0)+4,"")</f>
        <v/>
      </c>
    </row>
    <row r="328">
      <c r="A328" s="5" t="str">
        <f>IF($G328="","",INDEX('Detalle individual'!$B:$B,$G328))</f>
        <v/>
      </c>
      <c r="B328" s="5" t="str">
        <f>IF($G328="","",INDEX('Detalle individual'!$A:$A,$G328))</f>
        <v/>
      </c>
      <c r="C328" s="5" t="str">
        <f>IF($G328="","",INDEX('Detalle individual'!$E:$E,$G328))</f>
        <v/>
      </c>
      <c r="D328" s="5" t="str">
        <f>IF($G328="","",INDEX('Detalle individual'!$C:$C,$G328))</f>
        <v/>
      </c>
      <c r="E328" s="5" t="str">
        <f>IF($G328="","",INDEX('Detalle individual'!$D:$D,$G328))</f>
        <v/>
      </c>
      <c r="G328" t="str">
        <f>IFERROR(MATCH(SMALL(Cálculos!$AH$5:$AH$1000,324),Cálculos!$AH$5:$AH$1000,0)+4,"")</f>
        <v/>
      </c>
    </row>
    <row r="329">
      <c r="A329" s="5" t="str">
        <f>IF($G329="","",INDEX('Detalle individual'!$B:$B,$G329))</f>
        <v/>
      </c>
      <c r="B329" s="5" t="str">
        <f>IF($G329="","",INDEX('Detalle individual'!$A:$A,$G329))</f>
        <v/>
      </c>
      <c r="C329" s="5" t="str">
        <f>IF($G329="","",INDEX('Detalle individual'!$E:$E,$G329))</f>
        <v/>
      </c>
      <c r="D329" s="5" t="str">
        <f>IF($G329="","",INDEX('Detalle individual'!$C:$C,$G329))</f>
        <v/>
      </c>
      <c r="E329" s="5" t="str">
        <f>IF($G329="","",INDEX('Detalle individual'!$D:$D,$G329))</f>
        <v/>
      </c>
      <c r="G329" t="str">
        <f>IFERROR(MATCH(SMALL(Cálculos!$AH$5:$AH$1000,325),Cálculos!$AH$5:$AH$1000,0)+4,"")</f>
        <v/>
      </c>
    </row>
    <row r="330">
      <c r="A330" s="5" t="str">
        <f>IF($G330="","",INDEX('Detalle individual'!$B:$B,$G330))</f>
        <v/>
      </c>
      <c r="B330" s="5" t="str">
        <f>IF($G330="","",INDEX('Detalle individual'!$A:$A,$G330))</f>
        <v/>
      </c>
      <c r="C330" s="5" t="str">
        <f>IF($G330="","",INDEX('Detalle individual'!$E:$E,$G330))</f>
        <v/>
      </c>
      <c r="D330" s="5" t="str">
        <f>IF($G330="","",INDEX('Detalle individual'!$C:$C,$G330))</f>
        <v/>
      </c>
      <c r="E330" s="5" t="str">
        <f>IF($G330="","",INDEX('Detalle individual'!$D:$D,$G330))</f>
        <v/>
      </c>
      <c r="G330" t="str">
        <f>IFERROR(MATCH(SMALL(Cálculos!$AH$5:$AH$1000,326),Cálculos!$AH$5:$AH$1000,0)+4,"")</f>
        <v/>
      </c>
    </row>
    <row r="331">
      <c r="A331" s="5" t="str">
        <f>IF($G331="","",INDEX('Detalle individual'!$B:$B,$G331))</f>
        <v/>
      </c>
      <c r="B331" s="5" t="str">
        <f>IF($G331="","",INDEX('Detalle individual'!$A:$A,$G331))</f>
        <v/>
      </c>
      <c r="C331" s="5" t="str">
        <f>IF($G331="","",INDEX('Detalle individual'!$E:$E,$G331))</f>
        <v/>
      </c>
      <c r="D331" s="5" t="str">
        <f>IF($G331="","",INDEX('Detalle individual'!$C:$C,$G331))</f>
        <v/>
      </c>
      <c r="E331" s="5" t="str">
        <f>IF($G331="","",INDEX('Detalle individual'!$D:$D,$G331))</f>
        <v/>
      </c>
      <c r="G331" t="str">
        <f>IFERROR(MATCH(SMALL(Cálculos!$AH$5:$AH$1000,327),Cálculos!$AH$5:$AH$1000,0)+4,"")</f>
        <v/>
      </c>
    </row>
    <row r="332">
      <c r="A332" s="5" t="str">
        <f>IF($G332="","",INDEX('Detalle individual'!$B:$B,$G332))</f>
        <v/>
      </c>
      <c r="B332" s="5" t="str">
        <f>IF($G332="","",INDEX('Detalle individual'!$A:$A,$G332))</f>
        <v/>
      </c>
      <c r="C332" s="5" t="str">
        <f>IF($G332="","",INDEX('Detalle individual'!$E:$E,$G332))</f>
        <v/>
      </c>
      <c r="D332" s="5" t="str">
        <f>IF($G332="","",INDEX('Detalle individual'!$C:$C,$G332))</f>
        <v/>
      </c>
      <c r="E332" s="5" t="str">
        <f>IF($G332="","",INDEX('Detalle individual'!$D:$D,$G332))</f>
        <v/>
      </c>
      <c r="G332" t="str">
        <f>IFERROR(MATCH(SMALL(Cálculos!$AH$5:$AH$1000,328),Cálculos!$AH$5:$AH$1000,0)+4,"")</f>
        <v/>
      </c>
    </row>
    <row r="333">
      <c r="A333" s="5" t="str">
        <f>IF($G333="","",INDEX('Detalle individual'!$B:$B,$G333))</f>
        <v/>
      </c>
      <c r="B333" s="5" t="str">
        <f>IF($G333="","",INDEX('Detalle individual'!$A:$A,$G333))</f>
        <v/>
      </c>
      <c r="C333" s="5" t="str">
        <f>IF($G333="","",INDEX('Detalle individual'!$E:$E,$G333))</f>
        <v/>
      </c>
      <c r="D333" s="5" t="str">
        <f>IF($G333="","",INDEX('Detalle individual'!$C:$C,$G333))</f>
        <v/>
      </c>
      <c r="E333" s="5" t="str">
        <f>IF($G333="","",INDEX('Detalle individual'!$D:$D,$G333))</f>
        <v/>
      </c>
      <c r="G333" t="str">
        <f>IFERROR(MATCH(SMALL(Cálculos!$AH$5:$AH$1000,329),Cálculos!$AH$5:$AH$1000,0)+4,"")</f>
        <v/>
      </c>
    </row>
    <row r="334">
      <c r="A334" s="5" t="str">
        <f>IF($G334="","",INDEX('Detalle individual'!$B:$B,$G334))</f>
        <v/>
      </c>
      <c r="B334" s="5" t="str">
        <f>IF($G334="","",INDEX('Detalle individual'!$A:$A,$G334))</f>
        <v/>
      </c>
      <c r="C334" s="5" t="str">
        <f>IF($G334="","",INDEX('Detalle individual'!$E:$E,$G334))</f>
        <v/>
      </c>
      <c r="D334" s="5" t="str">
        <f>IF($G334="","",INDEX('Detalle individual'!$C:$C,$G334))</f>
        <v/>
      </c>
      <c r="E334" s="5" t="str">
        <f>IF($G334="","",INDEX('Detalle individual'!$D:$D,$G334))</f>
        <v/>
      </c>
      <c r="G334" t="str">
        <f>IFERROR(MATCH(SMALL(Cálculos!$AH$5:$AH$1000,330),Cálculos!$AH$5:$AH$1000,0)+4,"")</f>
        <v/>
      </c>
    </row>
    <row r="335">
      <c r="A335" s="5" t="str">
        <f>IF($G335="","",INDEX('Detalle individual'!$B:$B,$G335))</f>
        <v/>
      </c>
      <c r="B335" s="5" t="str">
        <f>IF($G335="","",INDEX('Detalle individual'!$A:$A,$G335))</f>
        <v/>
      </c>
      <c r="C335" s="5" t="str">
        <f>IF($G335="","",INDEX('Detalle individual'!$E:$E,$G335))</f>
        <v/>
      </c>
      <c r="D335" s="5" t="str">
        <f>IF($G335="","",INDEX('Detalle individual'!$C:$C,$G335))</f>
        <v/>
      </c>
      <c r="E335" s="5" t="str">
        <f>IF($G335="","",INDEX('Detalle individual'!$D:$D,$G335))</f>
        <v/>
      </c>
      <c r="G335" t="str">
        <f>IFERROR(MATCH(SMALL(Cálculos!$AH$5:$AH$1000,331),Cálculos!$AH$5:$AH$1000,0)+4,"")</f>
        <v/>
      </c>
    </row>
    <row r="336">
      <c r="A336" s="5" t="str">
        <f>IF($G336="","",INDEX('Detalle individual'!$B:$B,$G336))</f>
        <v/>
      </c>
      <c r="B336" s="5" t="str">
        <f>IF($G336="","",INDEX('Detalle individual'!$A:$A,$G336))</f>
        <v/>
      </c>
      <c r="C336" s="5" t="str">
        <f>IF($G336="","",INDEX('Detalle individual'!$E:$E,$G336))</f>
        <v/>
      </c>
      <c r="D336" s="5" t="str">
        <f>IF($G336="","",INDEX('Detalle individual'!$C:$C,$G336))</f>
        <v/>
      </c>
      <c r="E336" s="5" t="str">
        <f>IF($G336="","",INDEX('Detalle individual'!$D:$D,$G336))</f>
        <v/>
      </c>
      <c r="G336" t="str">
        <f>IFERROR(MATCH(SMALL(Cálculos!$AH$5:$AH$1000,332),Cálculos!$AH$5:$AH$1000,0)+4,"")</f>
        <v/>
      </c>
    </row>
    <row r="337">
      <c r="A337" s="5" t="str">
        <f>IF($G337="","",INDEX('Detalle individual'!$B:$B,$G337))</f>
        <v/>
      </c>
      <c r="B337" s="5" t="str">
        <f>IF($G337="","",INDEX('Detalle individual'!$A:$A,$G337))</f>
        <v/>
      </c>
      <c r="C337" s="5" t="str">
        <f>IF($G337="","",INDEX('Detalle individual'!$E:$E,$G337))</f>
        <v/>
      </c>
      <c r="D337" s="5" t="str">
        <f>IF($G337="","",INDEX('Detalle individual'!$C:$C,$G337))</f>
        <v/>
      </c>
      <c r="E337" s="5" t="str">
        <f>IF($G337="","",INDEX('Detalle individual'!$D:$D,$G337))</f>
        <v/>
      </c>
      <c r="G337" t="str">
        <f>IFERROR(MATCH(SMALL(Cálculos!$AH$5:$AH$1000,333),Cálculos!$AH$5:$AH$1000,0)+4,"")</f>
        <v/>
      </c>
    </row>
    <row r="338">
      <c r="A338" s="5" t="str">
        <f>IF($G338="","",INDEX('Detalle individual'!$B:$B,$G338))</f>
        <v/>
      </c>
      <c r="B338" s="5" t="str">
        <f>IF($G338="","",INDEX('Detalle individual'!$A:$A,$G338))</f>
        <v/>
      </c>
      <c r="C338" s="5" t="str">
        <f>IF($G338="","",INDEX('Detalle individual'!$E:$E,$G338))</f>
        <v/>
      </c>
      <c r="D338" s="5" t="str">
        <f>IF($G338="","",INDEX('Detalle individual'!$C:$C,$G338))</f>
        <v/>
      </c>
      <c r="E338" s="5" t="str">
        <f>IF($G338="","",INDEX('Detalle individual'!$D:$D,$G338))</f>
        <v/>
      </c>
      <c r="G338" t="str">
        <f>IFERROR(MATCH(SMALL(Cálculos!$AH$5:$AH$1000,334),Cálculos!$AH$5:$AH$1000,0)+4,"")</f>
        <v/>
      </c>
    </row>
    <row r="339">
      <c r="A339" s="5" t="str">
        <f>IF($G339="","",INDEX('Detalle individual'!$B:$B,$G339))</f>
        <v/>
      </c>
      <c r="B339" s="5" t="str">
        <f>IF($G339="","",INDEX('Detalle individual'!$A:$A,$G339))</f>
        <v/>
      </c>
      <c r="C339" s="5" t="str">
        <f>IF($G339="","",INDEX('Detalle individual'!$E:$E,$G339))</f>
        <v/>
      </c>
      <c r="D339" s="5" t="str">
        <f>IF($G339="","",INDEX('Detalle individual'!$C:$C,$G339))</f>
        <v/>
      </c>
      <c r="E339" s="5" t="str">
        <f>IF($G339="","",INDEX('Detalle individual'!$D:$D,$G339))</f>
        <v/>
      </c>
      <c r="G339" t="str">
        <f>IFERROR(MATCH(SMALL(Cálculos!$AH$5:$AH$1000,335),Cálculos!$AH$5:$AH$1000,0)+4,"")</f>
        <v/>
      </c>
    </row>
    <row r="340">
      <c r="A340" s="5" t="str">
        <f>IF($G340="","",INDEX('Detalle individual'!$B:$B,$G340))</f>
        <v/>
      </c>
      <c r="B340" s="5" t="str">
        <f>IF($G340="","",INDEX('Detalle individual'!$A:$A,$G340))</f>
        <v/>
      </c>
      <c r="C340" s="5" t="str">
        <f>IF($G340="","",INDEX('Detalle individual'!$E:$E,$G340))</f>
        <v/>
      </c>
      <c r="D340" s="5" t="str">
        <f>IF($G340="","",INDEX('Detalle individual'!$C:$C,$G340))</f>
        <v/>
      </c>
      <c r="E340" s="5" t="str">
        <f>IF($G340="","",INDEX('Detalle individual'!$D:$D,$G340))</f>
        <v/>
      </c>
      <c r="G340" t="str">
        <f>IFERROR(MATCH(SMALL(Cálculos!$AH$5:$AH$1000,336),Cálculos!$AH$5:$AH$1000,0)+4,"")</f>
        <v/>
      </c>
    </row>
    <row r="341">
      <c r="A341" s="5" t="str">
        <f>IF($G341="","",INDEX('Detalle individual'!$B:$B,$G341))</f>
        <v/>
      </c>
      <c r="B341" s="5" t="str">
        <f>IF($G341="","",INDEX('Detalle individual'!$A:$A,$G341))</f>
        <v/>
      </c>
      <c r="C341" s="5" t="str">
        <f>IF($G341="","",INDEX('Detalle individual'!$E:$E,$G341))</f>
        <v/>
      </c>
      <c r="D341" s="5" t="str">
        <f>IF($G341="","",INDEX('Detalle individual'!$C:$C,$G341))</f>
        <v/>
      </c>
      <c r="E341" s="5" t="str">
        <f>IF($G341="","",INDEX('Detalle individual'!$D:$D,$G341))</f>
        <v/>
      </c>
      <c r="G341" t="str">
        <f>IFERROR(MATCH(SMALL(Cálculos!$AH$5:$AH$1000,337),Cálculos!$AH$5:$AH$1000,0)+4,"")</f>
        <v/>
      </c>
    </row>
    <row r="342">
      <c r="A342" s="5" t="str">
        <f>IF($G342="","",INDEX('Detalle individual'!$B:$B,$G342))</f>
        <v/>
      </c>
      <c r="B342" s="5" t="str">
        <f>IF($G342="","",INDEX('Detalle individual'!$A:$A,$G342))</f>
        <v/>
      </c>
      <c r="C342" s="5" t="str">
        <f>IF($G342="","",INDEX('Detalle individual'!$E:$E,$G342))</f>
        <v/>
      </c>
      <c r="D342" s="5" t="str">
        <f>IF($G342="","",INDEX('Detalle individual'!$C:$C,$G342))</f>
        <v/>
      </c>
      <c r="E342" s="5" t="str">
        <f>IF($G342="","",INDEX('Detalle individual'!$D:$D,$G342))</f>
        <v/>
      </c>
      <c r="G342" t="str">
        <f>IFERROR(MATCH(SMALL(Cálculos!$AH$5:$AH$1000,338),Cálculos!$AH$5:$AH$1000,0)+4,"")</f>
        <v/>
      </c>
    </row>
    <row r="343">
      <c r="A343" s="5" t="str">
        <f>IF($G343="","",INDEX('Detalle individual'!$B:$B,$G343))</f>
        <v/>
      </c>
      <c r="B343" s="5" t="str">
        <f>IF($G343="","",INDEX('Detalle individual'!$A:$A,$G343))</f>
        <v/>
      </c>
      <c r="C343" s="5" t="str">
        <f>IF($G343="","",INDEX('Detalle individual'!$E:$E,$G343))</f>
        <v/>
      </c>
      <c r="D343" s="5" t="str">
        <f>IF($G343="","",INDEX('Detalle individual'!$C:$C,$G343))</f>
        <v/>
      </c>
      <c r="E343" s="5" t="str">
        <f>IF($G343="","",INDEX('Detalle individual'!$D:$D,$G343))</f>
        <v/>
      </c>
      <c r="G343" t="str">
        <f>IFERROR(MATCH(SMALL(Cálculos!$AH$5:$AH$1000,339),Cálculos!$AH$5:$AH$1000,0)+4,"")</f>
        <v/>
      </c>
    </row>
    <row r="344">
      <c r="A344" s="5" t="str">
        <f>IF($G344="","",INDEX('Detalle individual'!$B:$B,$G344))</f>
        <v/>
      </c>
      <c r="B344" s="5" t="str">
        <f>IF($G344="","",INDEX('Detalle individual'!$A:$A,$G344))</f>
        <v/>
      </c>
      <c r="C344" s="5" t="str">
        <f>IF($G344="","",INDEX('Detalle individual'!$E:$E,$G344))</f>
        <v/>
      </c>
      <c r="D344" s="5" t="str">
        <f>IF($G344="","",INDEX('Detalle individual'!$C:$C,$G344))</f>
        <v/>
      </c>
      <c r="E344" s="5" t="str">
        <f>IF($G344="","",INDEX('Detalle individual'!$D:$D,$G344))</f>
        <v/>
      </c>
      <c r="G344" t="str">
        <f>IFERROR(MATCH(SMALL(Cálculos!$AH$5:$AH$1000,340),Cálculos!$AH$5:$AH$1000,0)+4,"")</f>
        <v/>
      </c>
    </row>
    <row r="345">
      <c r="A345" s="5" t="str">
        <f>IF($G345="","",INDEX('Detalle individual'!$B:$B,$G345))</f>
        <v/>
      </c>
      <c r="B345" s="5" t="str">
        <f>IF($G345="","",INDEX('Detalle individual'!$A:$A,$G345))</f>
        <v/>
      </c>
      <c r="C345" s="5" t="str">
        <f>IF($G345="","",INDEX('Detalle individual'!$E:$E,$G345))</f>
        <v/>
      </c>
      <c r="D345" s="5" t="str">
        <f>IF($G345="","",INDEX('Detalle individual'!$C:$C,$G345))</f>
        <v/>
      </c>
      <c r="E345" s="5" t="str">
        <f>IF($G345="","",INDEX('Detalle individual'!$D:$D,$G345))</f>
        <v/>
      </c>
      <c r="G345" t="str">
        <f>IFERROR(MATCH(SMALL(Cálculos!$AH$5:$AH$1000,341),Cálculos!$AH$5:$AH$1000,0)+4,"")</f>
        <v/>
      </c>
    </row>
    <row r="346">
      <c r="A346" s="5" t="str">
        <f>IF($G346="","",INDEX('Detalle individual'!$B:$B,$G346))</f>
        <v/>
      </c>
      <c r="B346" s="5" t="str">
        <f>IF($G346="","",INDEX('Detalle individual'!$A:$A,$G346))</f>
        <v/>
      </c>
      <c r="C346" s="5" t="str">
        <f>IF($G346="","",INDEX('Detalle individual'!$E:$E,$G346))</f>
        <v/>
      </c>
      <c r="D346" s="5" t="str">
        <f>IF($G346="","",INDEX('Detalle individual'!$C:$C,$G346))</f>
        <v/>
      </c>
      <c r="E346" s="5" t="str">
        <f>IF($G346="","",INDEX('Detalle individual'!$D:$D,$G346))</f>
        <v/>
      </c>
      <c r="G346" t="str">
        <f>IFERROR(MATCH(SMALL(Cálculos!$AH$5:$AH$1000,342),Cálculos!$AH$5:$AH$1000,0)+4,"")</f>
        <v/>
      </c>
    </row>
    <row r="347">
      <c r="A347" s="5" t="str">
        <f>IF($G347="","",INDEX('Detalle individual'!$B:$B,$G347))</f>
        <v/>
      </c>
      <c r="B347" s="5" t="str">
        <f>IF($G347="","",INDEX('Detalle individual'!$A:$A,$G347))</f>
        <v/>
      </c>
      <c r="C347" s="5" t="str">
        <f>IF($G347="","",INDEX('Detalle individual'!$E:$E,$G347))</f>
        <v/>
      </c>
      <c r="D347" s="5" t="str">
        <f>IF($G347="","",INDEX('Detalle individual'!$C:$C,$G347))</f>
        <v/>
      </c>
      <c r="E347" s="5" t="str">
        <f>IF($G347="","",INDEX('Detalle individual'!$D:$D,$G347))</f>
        <v/>
      </c>
      <c r="G347" t="str">
        <f>IFERROR(MATCH(SMALL(Cálculos!$AH$5:$AH$1000,343),Cálculos!$AH$5:$AH$1000,0)+4,"")</f>
        <v/>
      </c>
    </row>
    <row r="348">
      <c r="A348" s="5" t="str">
        <f>IF($G348="","",INDEX('Detalle individual'!$B:$B,$G348))</f>
        <v/>
      </c>
      <c r="B348" s="5" t="str">
        <f>IF($G348="","",INDEX('Detalle individual'!$A:$A,$G348))</f>
        <v/>
      </c>
      <c r="C348" s="5" t="str">
        <f>IF($G348="","",INDEX('Detalle individual'!$E:$E,$G348))</f>
        <v/>
      </c>
      <c r="D348" s="5" t="str">
        <f>IF($G348="","",INDEX('Detalle individual'!$C:$C,$G348))</f>
        <v/>
      </c>
      <c r="E348" s="5" t="str">
        <f>IF($G348="","",INDEX('Detalle individual'!$D:$D,$G348))</f>
        <v/>
      </c>
      <c r="G348" t="str">
        <f>IFERROR(MATCH(SMALL(Cálculos!$AH$5:$AH$1000,344),Cálculos!$AH$5:$AH$1000,0)+4,"")</f>
        <v/>
      </c>
    </row>
    <row r="349">
      <c r="A349" s="5" t="str">
        <f>IF($G349="","",INDEX('Detalle individual'!$B:$B,$G349))</f>
        <v/>
      </c>
      <c r="B349" s="5" t="str">
        <f>IF($G349="","",INDEX('Detalle individual'!$A:$A,$G349))</f>
        <v/>
      </c>
      <c r="C349" s="5" t="str">
        <f>IF($G349="","",INDEX('Detalle individual'!$E:$E,$G349))</f>
        <v/>
      </c>
      <c r="D349" s="5" t="str">
        <f>IF($G349="","",INDEX('Detalle individual'!$C:$C,$G349))</f>
        <v/>
      </c>
      <c r="E349" s="5" t="str">
        <f>IF($G349="","",INDEX('Detalle individual'!$D:$D,$G349))</f>
        <v/>
      </c>
      <c r="G349" t="str">
        <f>IFERROR(MATCH(SMALL(Cálculos!$AH$5:$AH$1000,345),Cálculos!$AH$5:$AH$1000,0)+4,"")</f>
        <v/>
      </c>
    </row>
    <row r="350">
      <c r="A350" s="5" t="str">
        <f>IF($G350="","",INDEX('Detalle individual'!$B:$B,$G350))</f>
        <v/>
      </c>
      <c r="B350" s="5" t="str">
        <f>IF($G350="","",INDEX('Detalle individual'!$A:$A,$G350))</f>
        <v/>
      </c>
      <c r="C350" s="5" t="str">
        <f>IF($G350="","",INDEX('Detalle individual'!$E:$E,$G350))</f>
        <v/>
      </c>
      <c r="D350" s="5" t="str">
        <f>IF($G350="","",INDEX('Detalle individual'!$C:$C,$G350))</f>
        <v/>
      </c>
      <c r="E350" s="5" t="str">
        <f>IF($G350="","",INDEX('Detalle individual'!$D:$D,$G350))</f>
        <v/>
      </c>
      <c r="G350" t="str">
        <f>IFERROR(MATCH(SMALL(Cálculos!$AH$5:$AH$1000,346),Cálculos!$AH$5:$AH$1000,0)+4,"")</f>
        <v/>
      </c>
    </row>
    <row r="351">
      <c r="A351" s="5" t="str">
        <f>IF($G351="","",INDEX('Detalle individual'!$B:$B,$G351))</f>
        <v/>
      </c>
      <c r="B351" s="5" t="str">
        <f>IF($G351="","",INDEX('Detalle individual'!$A:$A,$G351))</f>
        <v/>
      </c>
      <c r="C351" s="5" t="str">
        <f>IF($G351="","",INDEX('Detalle individual'!$E:$E,$G351))</f>
        <v/>
      </c>
      <c r="D351" s="5" t="str">
        <f>IF($G351="","",INDEX('Detalle individual'!$C:$C,$G351))</f>
        <v/>
      </c>
      <c r="E351" s="5" t="str">
        <f>IF($G351="","",INDEX('Detalle individual'!$D:$D,$G351))</f>
        <v/>
      </c>
      <c r="G351" t="str">
        <f>IFERROR(MATCH(SMALL(Cálculos!$AH$5:$AH$1000,347),Cálculos!$AH$5:$AH$1000,0)+4,"")</f>
        <v/>
      </c>
    </row>
    <row r="352">
      <c r="A352" s="5" t="str">
        <f>IF($G352="","",INDEX('Detalle individual'!$B:$B,$G352))</f>
        <v/>
      </c>
      <c r="B352" s="5" t="str">
        <f>IF($G352="","",INDEX('Detalle individual'!$A:$A,$G352))</f>
        <v/>
      </c>
      <c r="C352" s="5" t="str">
        <f>IF($G352="","",INDEX('Detalle individual'!$E:$E,$G352))</f>
        <v/>
      </c>
      <c r="D352" s="5" t="str">
        <f>IF($G352="","",INDEX('Detalle individual'!$C:$C,$G352))</f>
        <v/>
      </c>
      <c r="E352" s="5" t="str">
        <f>IF($G352="","",INDEX('Detalle individual'!$D:$D,$G352))</f>
        <v/>
      </c>
      <c r="G352" t="str">
        <f>IFERROR(MATCH(SMALL(Cálculos!$AH$5:$AH$1000,348),Cálculos!$AH$5:$AH$1000,0)+4,"")</f>
        <v/>
      </c>
    </row>
    <row r="353">
      <c r="A353" s="5" t="str">
        <f>IF($G353="","",INDEX('Detalle individual'!$B:$B,$G353))</f>
        <v/>
      </c>
      <c r="B353" s="5" t="str">
        <f>IF($G353="","",INDEX('Detalle individual'!$A:$A,$G353))</f>
        <v/>
      </c>
      <c r="C353" s="5" t="str">
        <f>IF($G353="","",INDEX('Detalle individual'!$E:$E,$G353))</f>
        <v/>
      </c>
      <c r="D353" s="5" t="str">
        <f>IF($G353="","",INDEX('Detalle individual'!$C:$C,$G353))</f>
        <v/>
      </c>
      <c r="E353" s="5" t="str">
        <f>IF($G353="","",INDEX('Detalle individual'!$D:$D,$G353))</f>
        <v/>
      </c>
      <c r="G353" t="str">
        <f>IFERROR(MATCH(SMALL(Cálculos!$AH$5:$AH$1000,349),Cálculos!$AH$5:$AH$1000,0)+4,"")</f>
        <v/>
      </c>
    </row>
    <row r="354">
      <c r="A354" s="5" t="str">
        <f>IF($G354="","",INDEX('Detalle individual'!$B:$B,$G354))</f>
        <v/>
      </c>
      <c r="B354" s="5" t="str">
        <f>IF($G354="","",INDEX('Detalle individual'!$A:$A,$G354))</f>
        <v/>
      </c>
      <c r="C354" s="5" t="str">
        <f>IF($G354="","",INDEX('Detalle individual'!$E:$E,$G354))</f>
        <v/>
      </c>
      <c r="D354" s="5" t="str">
        <f>IF($G354="","",INDEX('Detalle individual'!$C:$C,$G354))</f>
        <v/>
      </c>
      <c r="E354" s="5" t="str">
        <f>IF($G354="","",INDEX('Detalle individual'!$D:$D,$G354))</f>
        <v/>
      </c>
      <c r="G354" t="str">
        <f>IFERROR(MATCH(SMALL(Cálculos!$AH$5:$AH$1000,350),Cálculos!$AH$5:$AH$1000,0)+4,"")</f>
        <v/>
      </c>
    </row>
    <row r="355">
      <c r="A355" s="5" t="str">
        <f>IF($G355="","",INDEX('Detalle individual'!$B:$B,$G355))</f>
        <v/>
      </c>
      <c r="B355" s="5" t="str">
        <f>IF($G355="","",INDEX('Detalle individual'!$A:$A,$G355))</f>
        <v/>
      </c>
      <c r="C355" s="5" t="str">
        <f>IF($G355="","",INDEX('Detalle individual'!$E:$E,$G355))</f>
        <v/>
      </c>
      <c r="D355" s="5" t="str">
        <f>IF($G355="","",INDEX('Detalle individual'!$C:$C,$G355))</f>
        <v/>
      </c>
      <c r="E355" s="5" t="str">
        <f>IF($G355="","",INDEX('Detalle individual'!$D:$D,$G355))</f>
        <v/>
      </c>
      <c r="G355" t="str">
        <f>IFERROR(MATCH(SMALL(Cálculos!$AH$5:$AH$1000,351),Cálculos!$AH$5:$AH$1000,0)+4,"")</f>
        <v/>
      </c>
    </row>
    <row r="356">
      <c r="A356" s="5" t="str">
        <f>IF($G356="","",INDEX('Detalle individual'!$B:$B,$G356))</f>
        <v/>
      </c>
      <c r="B356" s="5" t="str">
        <f>IF($G356="","",INDEX('Detalle individual'!$A:$A,$G356))</f>
        <v/>
      </c>
      <c r="C356" s="5" t="str">
        <f>IF($G356="","",INDEX('Detalle individual'!$E:$E,$G356))</f>
        <v/>
      </c>
      <c r="D356" s="5" t="str">
        <f>IF($G356="","",INDEX('Detalle individual'!$C:$C,$G356))</f>
        <v/>
      </c>
      <c r="E356" s="5" t="str">
        <f>IF($G356="","",INDEX('Detalle individual'!$D:$D,$G356))</f>
        <v/>
      </c>
      <c r="G356" t="str">
        <f>IFERROR(MATCH(SMALL(Cálculos!$AH$5:$AH$1000,352),Cálculos!$AH$5:$AH$1000,0)+4,"")</f>
        <v/>
      </c>
    </row>
    <row r="357">
      <c r="A357" s="5" t="str">
        <f>IF($G357="","",INDEX('Detalle individual'!$B:$B,$G357))</f>
        <v/>
      </c>
      <c r="B357" s="5" t="str">
        <f>IF($G357="","",INDEX('Detalle individual'!$A:$A,$G357))</f>
        <v/>
      </c>
      <c r="C357" s="5" t="str">
        <f>IF($G357="","",INDEX('Detalle individual'!$E:$E,$G357))</f>
        <v/>
      </c>
      <c r="D357" s="5" t="str">
        <f>IF($G357="","",INDEX('Detalle individual'!$C:$C,$G357))</f>
        <v/>
      </c>
      <c r="E357" s="5" t="str">
        <f>IF($G357="","",INDEX('Detalle individual'!$D:$D,$G357))</f>
        <v/>
      </c>
      <c r="G357" t="str">
        <f>IFERROR(MATCH(SMALL(Cálculos!$AH$5:$AH$1000,353),Cálculos!$AH$5:$AH$1000,0)+4,"")</f>
        <v/>
      </c>
    </row>
    <row r="358">
      <c r="A358" s="5" t="str">
        <f>IF($G358="","",INDEX('Detalle individual'!$B:$B,$G358))</f>
        <v/>
      </c>
      <c r="B358" s="5" t="str">
        <f>IF($G358="","",INDEX('Detalle individual'!$A:$A,$G358))</f>
        <v/>
      </c>
      <c r="C358" s="5" t="str">
        <f>IF($G358="","",INDEX('Detalle individual'!$E:$E,$G358))</f>
        <v/>
      </c>
      <c r="D358" s="5" t="str">
        <f>IF($G358="","",INDEX('Detalle individual'!$C:$C,$G358))</f>
        <v/>
      </c>
      <c r="E358" s="5" t="str">
        <f>IF($G358="","",INDEX('Detalle individual'!$D:$D,$G358))</f>
        <v/>
      </c>
      <c r="G358" t="str">
        <f>IFERROR(MATCH(SMALL(Cálculos!$AH$5:$AH$1000,354),Cálculos!$AH$5:$AH$1000,0)+4,"")</f>
        <v/>
      </c>
    </row>
    <row r="359">
      <c r="A359" s="5" t="str">
        <f>IF($G359="","",INDEX('Detalle individual'!$B:$B,$G359))</f>
        <v/>
      </c>
      <c r="B359" s="5" t="str">
        <f>IF($G359="","",INDEX('Detalle individual'!$A:$A,$G359))</f>
        <v/>
      </c>
      <c r="C359" s="5" t="str">
        <f>IF($G359="","",INDEX('Detalle individual'!$E:$E,$G359))</f>
        <v/>
      </c>
      <c r="D359" s="5" t="str">
        <f>IF($G359="","",INDEX('Detalle individual'!$C:$C,$G359))</f>
        <v/>
      </c>
      <c r="E359" s="5" t="str">
        <f>IF($G359="","",INDEX('Detalle individual'!$D:$D,$G359))</f>
        <v/>
      </c>
      <c r="G359" t="str">
        <f>IFERROR(MATCH(SMALL(Cálculos!$AH$5:$AH$1000,355),Cálculos!$AH$5:$AH$1000,0)+4,"")</f>
        <v/>
      </c>
    </row>
    <row r="360">
      <c r="A360" s="5" t="str">
        <f>IF($G360="","",INDEX('Detalle individual'!$B:$B,$G360))</f>
        <v/>
      </c>
      <c r="B360" s="5" t="str">
        <f>IF($G360="","",INDEX('Detalle individual'!$A:$A,$G360))</f>
        <v/>
      </c>
      <c r="C360" s="5" t="str">
        <f>IF($G360="","",INDEX('Detalle individual'!$E:$E,$G360))</f>
        <v/>
      </c>
      <c r="D360" s="5" t="str">
        <f>IF($G360="","",INDEX('Detalle individual'!$C:$C,$G360))</f>
        <v/>
      </c>
      <c r="E360" s="5" t="str">
        <f>IF($G360="","",INDEX('Detalle individual'!$D:$D,$G360))</f>
        <v/>
      </c>
      <c r="G360" t="str">
        <f>IFERROR(MATCH(SMALL(Cálculos!$AH$5:$AH$1000,356),Cálculos!$AH$5:$AH$1000,0)+4,"")</f>
        <v/>
      </c>
    </row>
    <row r="361">
      <c r="A361" s="5" t="str">
        <f>IF($G361="","",INDEX('Detalle individual'!$B:$B,$G361))</f>
        <v/>
      </c>
      <c r="B361" s="5" t="str">
        <f>IF($G361="","",INDEX('Detalle individual'!$A:$A,$G361))</f>
        <v/>
      </c>
      <c r="C361" s="5" t="str">
        <f>IF($G361="","",INDEX('Detalle individual'!$E:$E,$G361))</f>
        <v/>
      </c>
      <c r="D361" s="5" t="str">
        <f>IF($G361="","",INDEX('Detalle individual'!$C:$C,$G361))</f>
        <v/>
      </c>
      <c r="E361" s="5" t="str">
        <f>IF($G361="","",INDEX('Detalle individual'!$D:$D,$G361))</f>
        <v/>
      </c>
      <c r="G361" t="str">
        <f>IFERROR(MATCH(SMALL(Cálculos!$AH$5:$AH$1000,357),Cálculos!$AH$5:$AH$1000,0)+4,"")</f>
        <v/>
      </c>
    </row>
    <row r="362">
      <c r="A362" s="5" t="str">
        <f>IF($G362="","",INDEX('Detalle individual'!$B:$B,$G362))</f>
        <v/>
      </c>
      <c r="B362" s="5" t="str">
        <f>IF($G362="","",INDEX('Detalle individual'!$A:$A,$G362))</f>
        <v/>
      </c>
      <c r="C362" s="5" t="str">
        <f>IF($G362="","",INDEX('Detalle individual'!$E:$E,$G362))</f>
        <v/>
      </c>
      <c r="D362" s="5" t="str">
        <f>IF($G362="","",INDEX('Detalle individual'!$C:$C,$G362))</f>
        <v/>
      </c>
      <c r="E362" s="5" t="str">
        <f>IF($G362="","",INDEX('Detalle individual'!$D:$D,$G362))</f>
        <v/>
      </c>
      <c r="G362" t="str">
        <f>IFERROR(MATCH(SMALL(Cálculos!$AH$5:$AH$1000,358),Cálculos!$AH$5:$AH$1000,0)+4,"")</f>
        <v/>
      </c>
    </row>
    <row r="363">
      <c r="A363" s="5" t="str">
        <f>IF($G363="","",INDEX('Detalle individual'!$B:$B,$G363))</f>
        <v/>
      </c>
      <c r="B363" s="5" t="str">
        <f>IF($G363="","",INDEX('Detalle individual'!$A:$A,$G363))</f>
        <v/>
      </c>
      <c r="C363" s="5" t="str">
        <f>IF($G363="","",INDEX('Detalle individual'!$E:$E,$G363))</f>
        <v/>
      </c>
      <c r="D363" s="5" t="str">
        <f>IF($G363="","",INDEX('Detalle individual'!$C:$C,$G363))</f>
        <v/>
      </c>
      <c r="E363" s="5" t="str">
        <f>IF($G363="","",INDEX('Detalle individual'!$D:$D,$G363))</f>
        <v/>
      </c>
      <c r="G363" t="str">
        <f>IFERROR(MATCH(SMALL(Cálculos!$AH$5:$AH$1000,359),Cálculos!$AH$5:$AH$1000,0)+4,"")</f>
        <v/>
      </c>
    </row>
    <row r="364">
      <c r="A364" s="5" t="str">
        <f>IF($G364="","",INDEX('Detalle individual'!$B:$B,$G364))</f>
        <v/>
      </c>
      <c r="B364" s="5" t="str">
        <f>IF($G364="","",INDEX('Detalle individual'!$A:$A,$G364))</f>
        <v/>
      </c>
      <c r="C364" s="5" t="str">
        <f>IF($G364="","",INDEX('Detalle individual'!$E:$E,$G364))</f>
        <v/>
      </c>
      <c r="D364" s="5" t="str">
        <f>IF($G364="","",INDEX('Detalle individual'!$C:$C,$G364))</f>
        <v/>
      </c>
      <c r="E364" s="5" t="str">
        <f>IF($G364="","",INDEX('Detalle individual'!$D:$D,$G364))</f>
        <v/>
      </c>
      <c r="G364" t="str">
        <f>IFERROR(MATCH(SMALL(Cálculos!$AH$5:$AH$1000,360),Cálculos!$AH$5:$AH$1000,0)+4,"")</f>
        <v/>
      </c>
    </row>
    <row r="365">
      <c r="A365" s="5" t="str">
        <f>IF($G365="","",INDEX('Detalle individual'!$B:$B,$G365))</f>
        <v/>
      </c>
      <c r="B365" s="5" t="str">
        <f>IF($G365="","",INDEX('Detalle individual'!$A:$A,$G365))</f>
        <v/>
      </c>
      <c r="C365" s="5" t="str">
        <f>IF($G365="","",INDEX('Detalle individual'!$E:$E,$G365))</f>
        <v/>
      </c>
      <c r="D365" s="5" t="str">
        <f>IF($G365="","",INDEX('Detalle individual'!$C:$C,$G365))</f>
        <v/>
      </c>
      <c r="E365" s="5" t="str">
        <f>IF($G365="","",INDEX('Detalle individual'!$D:$D,$G365))</f>
        <v/>
      </c>
      <c r="G365" t="str">
        <f>IFERROR(MATCH(SMALL(Cálculos!$AH$5:$AH$1000,361),Cálculos!$AH$5:$AH$1000,0)+4,"")</f>
        <v/>
      </c>
    </row>
    <row r="366">
      <c r="A366" s="5" t="str">
        <f>IF($G366="","",INDEX('Detalle individual'!$B:$B,$G366))</f>
        <v/>
      </c>
      <c r="B366" s="5" t="str">
        <f>IF($G366="","",INDEX('Detalle individual'!$A:$A,$G366))</f>
        <v/>
      </c>
      <c r="C366" s="5" t="str">
        <f>IF($G366="","",INDEX('Detalle individual'!$E:$E,$G366))</f>
        <v/>
      </c>
      <c r="D366" s="5" t="str">
        <f>IF($G366="","",INDEX('Detalle individual'!$C:$C,$G366))</f>
        <v/>
      </c>
      <c r="E366" s="5" t="str">
        <f>IF($G366="","",INDEX('Detalle individual'!$D:$D,$G366))</f>
        <v/>
      </c>
      <c r="G366" t="str">
        <f>IFERROR(MATCH(SMALL(Cálculos!$AH$5:$AH$1000,362),Cálculos!$AH$5:$AH$1000,0)+4,"")</f>
        <v/>
      </c>
    </row>
    <row r="367">
      <c r="A367" s="5" t="str">
        <f>IF($G367="","",INDEX('Detalle individual'!$B:$B,$G367))</f>
        <v/>
      </c>
      <c r="B367" s="5" t="str">
        <f>IF($G367="","",INDEX('Detalle individual'!$A:$A,$G367))</f>
        <v/>
      </c>
      <c r="C367" s="5" t="str">
        <f>IF($G367="","",INDEX('Detalle individual'!$E:$E,$G367))</f>
        <v/>
      </c>
      <c r="D367" s="5" t="str">
        <f>IF($G367="","",INDEX('Detalle individual'!$C:$C,$G367))</f>
        <v/>
      </c>
      <c r="E367" s="5" t="str">
        <f>IF($G367="","",INDEX('Detalle individual'!$D:$D,$G367))</f>
        <v/>
      </c>
      <c r="G367" t="str">
        <f>IFERROR(MATCH(SMALL(Cálculos!$AH$5:$AH$1000,363),Cálculos!$AH$5:$AH$1000,0)+4,"")</f>
        <v/>
      </c>
    </row>
    <row r="368">
      <c r="A368" s="5" t="str">
        <f>IF($G368="","",INDEX('Detalle individual'!$B:$B,$G368))</f>
        <v/>
      </c>
      <c r="B368" s="5" t="str">
        <f>IF($G368="","",INDEX('Detalle individual'!$A:$A,$G368))</f>
        <v/>
      </c>
      <c r="C368" s="5" t="str">
        <f>IF($G368="","",INDEX('Detalle individual'!$E:$E,$G368))</f>
        <v/>
      </c>
      <c r="D368" s="5" t="str">
        <f>IF($G368="","",INDEX('Detalle individual'!$C:$C,$G368))</f>
        <v/>
      </c>
      <c r="E368" s="5" t="str">
        <f>IF($G368="","",INDEX('Detalle individual'!$D:$D,$G368))</f>
        <v/>
      </c>
      <c r="G368" t="str">
        <f>IFERROR(MATCH(SMALL(Cálculos!$AH$5:$AH$1000,364),Cálculos!$AH$5:$AH$1000,0)+4,"")</f>
        <v/>
      </c>
    </row>
    <row r="369">
      <c r="A369" s="5" t="str">
        <f>IF($G369="","",INDEX('Detalle individual'!$B:$B,$G369))</f>
        <v/>
      </c>
      <c r="B369" s="5" t="str">
        <f>IF($G369="","",INDEX('Detalle individual'!$A:$A,$G369))</f>
        <v/>
      </c>
      <c r="C369" s="5" t="str">
        <f>IF($G369="","",INDEX('Detalle individual'!$E:$E,$G369))</f>
        <v/>
      </c>
      <c r="D369" s="5" t="str">
        <f>IF($G369="","",INDEX('Detalle individual'!$C:$C,$G369))</f>
        <v/>
      </c>
      <c r="E369" s="5" t="str">
        <f>IF($G369="","",INDEX('Detalle individual'!$D:$D,$G369))</f>
        <v/>
      </c>
      <c r="G369" t="str">
        <f>IFERROR(MATCH(SMALL(Cálculos!$AH$5:$AH$1000,365),Cálculos!$AH$5:$AH$1000,0)+4,"")</f>
        <v/>
      </c>
    </row>
    <row r="370">
      <c r="A370" s="5" t="str">
        <f>IF($G370="","",INDEX('Detalle individual'!$B:$B,$G370))</f>
        <v/>
      </c>
      <c r="B370" s="5" t="str">
        <f>IF($G370="","",INDEX('Detalle individual'!$A:$A,$G370))</f>
        <v/>
      </c>
      <c r="C370" s="5" t="str">
        <f>IF($G370="","",INDEX('Detalle individual'!$E:$E,$G370))</f>
        <v/>
      </c>
      <c r="D370" s="5" t="str">
        <f>IF($G370="","",INDEX('Detalle individual'!$C:$C,$G370))</f>
        <v/>
      </c>
      <c r="E370" s="5" t="str">
        <f>IF($G370="","",INDEX('Detalle individual'!$D:$D,$G370))</f>
        <v/>
      </c>
      <c r="G370" t="str">
        <f>IFERROR(MATCH(SMALL(Cálculos!$AH$5:$AH$1000,366),Cálculos!$AH$5:$AH$1000,0)+4,"")</f>
        <v/>
      </c>
    </row>
    <row r="371">
      <c r="A371" s="5" t="str">
        <f>IF($G371="","",INDEX('Detalle individual'!$B:$B,$G371))</f>
        <v/>
      </c>
      <c r="B371" s="5" t="str">
        <f>IF($G371="","",INDEX('Detalle individual'!$A:$A,$G371))</f>
        <v/>
      </c>
      <c r="C371" s="5" t="str">
        <f>IF($G371="","",INDEX('Detalle individual'!$E:$E,$G371))</f>
        <v/>
      </c>
      <c r="D371" s="5" t="str">
        <f>IF($G371="","",INDEX('Detalle individual'!$C:$C,$G371))</f>
        <v/>
      </c>
      <c r="E371" s="5" t="str">
        <f>IF($G371="","",INDEX('Detalle individual'!$D:$D,$G371))</f>
        <v/>
      </c>
      <c r="G371" t="str">
        <f>IFERROR(MATCH(SMALL(Cálculos!$AH$5:$AH$1000,367),Cálculos!$AH$5:$AH$1000,0)+4,"")</f>
        <v/>
      </c>
    </row>
    <row r="372">
      <c r="A372" s="5" t="str">
        <f>IF($G372="","",INDEX('Detalle individual'!$B:$B,$G372))</f>
        <v/>
      </c>
      <c r="B372" s="5" t="str">
        <f>IF($G372="","",INDEX('Detalle individual'!$A:$A,$G372))</f>
        <v/>
      </c>
      <c r="C372" s="5" t="str">
        <f>IF($G372="","",INDEX('Detalle individual'!$E:$E,$G372))</f>
        <v/>
      </c>
      <c r="D372" s="5" t="str">
        <f>IF($G372="","",INDEX('Detalle individual'!$C:$C,$G372))</f>
        <v/>
      </c>
      <c r="E372" s="5" t="str">
        <f>IF($G372="","",INDEX('Detalle individual'!$D:$D,$G372))</f>
        <v/>
      </c>
      <c r="G372" t="str">
        <f>IFERROR(MATCH(SMALL(Cálculos!$AH$5:$AH$1000,368),Cálculos!$AH$5:$AH$1000,0)+4,"")</f>
        <v/>
      </c>
    </row>
    <row r="373">
      <c r="A373" s="5" t="str">
        <f>IF($G373="","",INDEX('Detalle individual'!$B:$B,$G373))</f>
        <v/>
      </c>
      <c r="B373" s="5" t="str">
        <f>IF($G373="","",INDEX('Detalle individual'!$A:$A,$G373))</f>
        <v/>
      </c>
      <c r="C373" s="5" t="str">
        <f>IF($G373="","",INDEX('Detalle individual'!$E:$E,$G373))</f>
        <v/>
      </c>
      <c r="D373" s="5" t="str">
        <f>IF($G373="","",INDEX('Detalle individual'!$C:$C,$G373))</f>
        <v/>
      </c>
      <c r="E373" s="5" t="str">
        <f>IF($G373="","",INDEX('Detalle individual'!$D:$D,$G373))</f>
        <v/>
      </c>
      <c r="G373" t="str">
        <f>IFERROR(MATCH(SMALL(Cálculos!$AH$5:$AH$1000,369),Cálculos!$AH$5:$AH$1000,0)+4,"")</f>
        <v/>
      </c>
    </row>
    <row r="374">
      <c r="A374" s="5" t="str">
        <f>IF($G374="","",INDEX('Detalle individual'!$B:$B,$G374))</f>
        <v/>
      </c>
      <c r="B374" s="5" t="str">
        <f>IF($G374="","",INDEX('Detalle individual'!$A:$A,$G374))</f>
        <v/>
      </c>
      <c r="C374" s="5" t="str">
        <f>IF($G374="","",INDEX('Detalle individual'!$E:$E,$G374))</f>
        <v/>
      </c>
      <c r="D374" s="5" t="str">
        <f>IF($G374="","",INDEX('Detalle individual'!$C:$C,$G374))</f>
        <v/>
      </c>
      <c r="E374" s="5" t="str">
        <f>IF($G374="","",INDEX('Detalle individual'!$D:$D,$G374))</f>
        <v/>
      </c>
      <c r="G374" t="str">
        <f>IFERROR(MATCH(SMALL(Cálculos!$AH$5:$AH$1000,370),Cálculos!$AH$5:$AH$1000,0)+4,"")</f>
        <v/>
      </c>
    </row>
    <row r="375">
      <c r="A375" s="5" t="str">
        <f>IF($G375="","",INDEX('Detalle individual'!$B:$B,$G375))</f>
        <v/>
      </c>
      <c r="B375" s="5" t="str">
        <f>IF($G375="","",INDEX('Detalle individual'!$A:$A,$G375))</f>
        <v/>
      </c>
      <c r="C375" s="5" t="str">
        <f>IF($G375="","",INDEX('Detalle individual'!$E:$E,$G375))</f>
        <v/>
      </c>
      <c r="D375" s="5" t="str">
        <f>IF($G375="","",INDEX('Detalle individual'!$C:$C,$G375))</f>
        <v/>
      </c>
      <c r="E375" s="5" t="str">
        <f>IF($G375="","",INDEX('Detalle individual'!$D:$D,$G375))</f>
        <v/>
      </c>
      <c r="G375" t="str">
        <f>IFERROR(MATCH(SMALL(Cálculos!$AH$5:$AH$1000,371),Cálculos!$AH$5:$AH$1000,0)+4,"")</f>
        <v/>
      </c>
    </row>
    <row r="376">
      <c r="A376" s="5" t="str">
        <f>IF($G376="","",INDEX('Detalle individual'!$B:$B,$G376))</f>
        <v/>
      </c>
      <c r="B376" s="5" t="str">
        <f>IF($G376="","",INDEX('Detalle individual'!$A:$A,$G376))</f>
        <v/>
      </c>
      <c r="C376" s="5" t="str">
        <f>IF($G376="","",INDEX('Detalle individual'!$E:$E,$G376))</f>
        <v/>
      </c>
      <c r="D376" s="5" t="str">
        <f>IF($G376="","",INDEX('Detalle individual'!$C:$C,$G376))</f>
        <v/>
      </c>
      <c r="E376" s="5" t="str">
        <f>IF($G376="","",INDEX('Detalle individual'!$D:$D,$G376))</f>
        <v/>
      </c>
      <c r="G376" t="str">
        <f>IFERROR(MATCH(SMALL(Cálculos!$AH$5:$AH$1000,372),Cálculos!$AH$5:$AH$1000,0)+4,"")</f>
        <v/>
      </c>
    </row>
    <row r="377">
      <c r="A377" s="5" t="str">
        <f>IF($G377="","",INDEX('Detalle individual'!$B:$B,$G377))</f>
        <v/>
      </c>
      <c r="B377" s="5" t="str">
        <f>IF($G377="","",INDEX('Detalle individual'!$A:$A,$G377))</f>
        <v/>
      </c>
      <c r="C377" s="5" t="str">
        <f>IF($G377="","",INDEX('Detalle individual'!$E:$E,$G377))</f>
        <v/>
      </c>
      <c r="D377" s="5" t="str">
        <f>IF($G377="","",INDEX('Detalle individual'!$C:$C,$G377))</f>
        <v/>
      </c>
      <c r="E377" s="5" t="str">
        <f>IF($G377="","",INDEX('Detalle individual'!$D:$D,$G377))</f>
        <v/>
      </c>
      <c r="G377" t="str">
        <f>IFERROR(MATCH(SMALL(Cálculos!$AH$5:$AH$1000,373),Cálculos!$AH$5:$AH$1000,0)+4,"")</f>
        <v/>
      </c>
    </row>
    <row r="378">
      <c r="A378" s="5" t="str">
        <f>IF($G378="","",INDEX('Detalle individual'!$B:$B,$G378))</f>
        <v/>
      </c>
      <c r="B378" s="5" t="str">
        <f>IF($G378="","",INDEX('Detalle individual'!$A:$A,$G378))</f>
        <v/>
      </c>
      <c r="C378" s="5" t="str">
        <f>IF($G378="","",INDEX('Detalle individual'!$E:$E,$G378))</f>
        <v/>
      </c>
      <c r="D378" s="5" t="str">
        <f>IF($G378="","",INDEX('Detalle individual'!$C:$C,$G378))</f>
        <v/>
      </c>
      <c r="E378" s="5" t="str">
        <f>IF($G378="","",INDEX('Detalle individual'!$D:$D,$G378))</f>
        <v/>
      </c>
      <c r="G378" t="str">
        <f>IFERROR(MATCH(SMALL(Cálculos!$AH$5:$AH$1000,374),Cálculos!$AH$5:$AH$1000,0)+4,"")</f>
        <v/>
      </c>
    </row>
    <row r="379">
      <c r="A379" s="5" t="str">
        <f>IF($G379="","",INDEX('Detalle individual'!$B:$B,$G379))</f>
        <v/>
      </c>
      <c r="B379" s="5" t="str">
        <f>IF($G379="","",INDEX('Detalle individual'!$A:$A,$G379))</f>
        <v/>
      </c>
      <c r="C379" s="5" t="str">
        <f>IF($G379="","",INDEX('Detalle individual'!$E:$E,$G379))</f>
        <v/>
      </c>
      <c r="D379" s="5" t="str">
        <f>IF($G379="","",INDEX('Detalle individual'!$C:$C,$G379))</f>
        <v/>
      </c>
      <c r="E379" s="5" t="str">
        <f>IF($G379="","",INDEX('Detalle individual'!$D:$D,$G379))</f>
        <v/>
      </c>
      <c r="G379" t="str">
        <f>IFERROR(MATCH(SMALL(Cálculos!$AH$5:$AH$1000,375),Cálculos!$AH$5:$AH$1000,0)+4,"")</f>
        <v/>
      </c>
    </row>
    <row r="380">
      <c r="A380" s="5" t="str">
        <f>IF($G380="","",INDEX('Detalle individual'!$B:$B,$G380))</f>
        <v/>
      </c>
      <c r="B380" s="5" t="str">
        <f>IF($G380="","",INDEX('Detalle individual'!$A:$A,$G380))</f>
        <v/>
      </c>
      <c r="C380" s="5" t="str">
        <f>IF($G380="","",INDEX('Detalle individual'!$E:$E,$G380))</f>
        <v/>
      </c>
      <c r="D380" s="5" t="str">
        <f>IF($G380="","",INDEX('Detalle individual'!$C:$C,$G380))</f>
        <v/>
      </c>
      <c r="E380" s="5" t="str">
        <f>IF($G380="","",INDEX('Detalle individual'!$D:$D,$G380))</f>
        <v/>
      </c>
      <c r="G380" t="str">
        <f>IFERROR(MATCH(SMALL(Cálculos!$AH$5:$AH$1000,376),Cálculos!$AH$5:$AH$1000,0)+4,"")</f>
        <v/>
      </c>
    </row>
    <row r="381">
      <c r="A381" s="5" t="str">
        <f>IF($G381="","",INDEX('Detalle individual'!$B:$B,$G381))</f>
        <v/>
      </c>
      <c r="B381" s="5" t="str">
        <f>IF($G381="","",INDEX('Detalle individual'!$A:$A,$G381))</f>
        <v/>
      </c>
      <c r="C381" s="5" t="str">
        <f>IF($G381="","",INDEX('Detalle individual'!$E:$E,$G381))</f>
        <v/>
      </c>
      <c r="D381" s="5" t="str">
        <f>IF($G381="","",INDEX('Detalle individual'!$C:$C,$G381))</f>
        <v/>
      </c>
      <c r="E381" s="5" t="str">
        <f>IF($G381="","",INDEX('Detalle individual'!$D:$D,$G381))</f>
        <v/>
      </c>
      <c r="G381" t="str">
        <f>IFERROR(MATCH(SMALL(Cálculos!$AH$5:$AH$1000,377),Cálculos!$AH$5:$AH$1000,0)+4,"")</f>
        <v/>
      </c>
    </row>
    <row r="382">
      <c r="A382" s="5" t="str">
        <f>IF($G382="","",INDEX('Detalle individual'!$B:$B,$G382))</f>
        <v/>
      </c>
      <c r="B382" s="5" t="str">
        <f>IF($G382="","",INDEX('Detalle individual'!$A:$A,$G382))</f>
        <v/>
      </c>
      <c r="C382" s="5" t="str">
        <f>IF($G382="","",INDEX('Detalle individual'!$E:$E,$G382))</f>
        <v/>
      </c>
      <c r="D382" s="5" t="str">
        <f>IF($G382="","",INDEX('Detalle individual'!$C:$C,$G382))</f>
        <v/>
      </c>
      <c r="E382" s="5" t="str">
        <f>IF($G382="","",INDEX('Detalle individual'!$D:$D,$G382))</f>
        <v/>
      </c>
      <c r="G382" t="str">
        <f>IFERROR(MATCH(SMALL(Cálculos!$AH$5:$AH$1000,378),Cálculos!$AH$5:$AH$1000,0)+4,"")</f>
        <v/>
      </c>
    </row>
    <row r="383">
      <c r="A383" s="5" t="str">
        <f>IF($G383="","",INDEX('Detalle individual'!$B:$B,$G383))</f>
        <v/>
      </c>
      <c r="B383" s="5" t="str">
        <f>IF($G383="","",INDEX('Detalle individual'!$A:$A,$G383))</f>
        <v/>
      </c>
      <c r="C383" s="5" t="str">
        <f>IF($G383="","",INDEX('Detalle individual'!$E:$E,$G383))</f>
        <v/>
      </c>
      <c r="D383" s="5" t="str">
        <f>IF($G383="","",INDEX('Detalle individual'!$C:$C,$G383))</f>
        <v/>
      </c>
      <c r="E383" s="5" t="str">
        <f>IF($G383="","",INDEX('Detalle individual'!$D:$D,$G383))</f>
        <v/>
      </c>
      <c r="G383" t="str">
        <f>IFERROR(MATCH(SMALL(Cálculos!$AH$5:$AH$1000,379),Cálculos!$AH$5:$AH$1000,0)+4,"")</f>
        <v/>
      </c>
    </row>
    <row r="384">
      <c r="A384" s="5" t="str">
        <f>IF($G384="","",INDEX('Detalle individual'!$B:$B,$G384))</f>
        <v/>
      </c>
      <c r="B384" s="5" t="str">
        <f>IF($G384="","",INDEX('Detalle individual'!$A:$A,$G384))</f>
        <v/>
      </c>
      <c r="C384" s="5" t="str">
        <f>IF($G384="","",INDEX('Detalle individual'!$E:$E,$G384))</f>
        <v/>
      </c>
      <c r="D384" s="5" t="str">
        <f>IF($G384="","",INDEX('Detalle individual'!$C:$C,$G384))</f>
        <v/>
      </c>
      <c r="E384" s="5" t="str">
        <f>IF($G384="","",INDEX('Detalle individual'!$D:$D,$G384))</f>
        <v/>
      </c>
      <c r="G384" t="str">
        <f>IFERROR(MATCH(SMALL(Cálculos!$AH$5:$AH$1000,380),Cálculos!$AH$5:$AH$1000,0)+4,"")</f>
        <v/>
      </c>
    </row>
    <row r="385">
      <c r="A385" s="5" t="str">
        <f>IF($G385="","",INDEX('Detalle individual'!$B:$B,$G385))</f>
        <v/>
      </c>
      <c r="B385" s="5" t="str">
        <f>IF($G385="","",INDEX('Detalle individual'!$A:$A,$G385))</f>
        <v/>
      </c>
      <c r="C385" s="5" t="str">
        <f>IF($G385="","",INDEX('Detalle individual'!$E:$E,$G385))</f>
        <v/>
      </c>
      <c r="D385" s="5" t="str">
        <f>IF($G385="","",INDEX('Detalle individual'!$C:$C,$G385))</f>
        <v/>
      </c>
      <c r="E385" s="5" t="str">
        <f>IF($G385="","",INDEX('Detalle individual'!$D:$D,$G385))</f>
        <v/>
      </c>
      <c r="G385" t="str">
        <f>IFERROR(MATCH(SMALL(Cálculos!$AH$5:$AH$1000,381),Cálculos!$AH$5:$AH$1000,0)+4,"")</f>
        <v/>
      </c>
    </row>
    <row r="386">
      <c r="A386" s="5" t="str">
        <f>IF($G386="","",INDEX('Detalle individual'!$B:$B,$G386))</f>
        <v/>
      </c>
      <c r="B386" s="5" t="str">
        <f>IF($G386="","",INDEX('Detalle individual'!$A:$A,$G386))</f>
        <v/>
      </c>
      <c r="C386" s="5" t="str">
        <f>IF($G386="","",INDEX('Detalle individual'!$E:$E,$G386))</f>
        <v/>
      </c>
      <c r="D386" s="5" t="str">
        <f>IF($G386="","",INDEX('Detalle individual'!$C:$C,$G386))</f>
        <v/>
      </c>
      <c r="E386" s="5" t="str">
        <f>IF($G386="","",INDEX('Detalle individual'!$D:$D,$G386))</f>
        <v/>
      </c>
      <c r="G386" t="str">
        <f>IFERROR(MATCH(SMALL(Cálculos!$AH$5:$AH$1000,382),Cálculos!$AH$5:$AH$1000,0)+4,"")</f>
        <v/>
      </c>
    </row>
    <row r="387">
      <c r="A387" s="5" t="str">
        <f>IF($G387="","",INDEX('Detalle individual'!$B:$B,$G387))</f>
        <v/>
      </c>
      <c r="B387" s="5" t="str">
        <f>IF($G387="","",INDEX('Detalle individual'!$A:$A,$G387))</f>
        <v/>
      </c>
      <c r="C387" s="5" t="str">
        <f>IF($G387="","",INDEX('Detalle individual'!$E:$E,$G387))</f>
        <v/>
      </c>
      <c r="D387" s="5" t="str">
        <f>IF($G387="","",INDEX('Detalle individual'!$C:$C,$G387))</f>
        <v/>
      </c>
      <c r="E387" s="5" t="str">
        <f>IF($G387="","",INDEX('Detalle individual'!$D:$D,$G387))</f>
        <v/>
      </c>
      <c r="G387" t="str">
        <f>IFERROR(MATCH(SMALL(Cálculos!$AH$5:$AH$1000,383),Cálculos!$AH$5:$AH$1000,0)+4,"")</f>
        <v/>
      </c>
    </row>
    <row r="388">
      <c r="A388" s="5" t="str">
        <f>IF($G388="","",INDEX('Detalle individual'!$B:$B,$G388))</f>
        <v/>
      </c>
      <c r="B388" s="5" t="str">
        <f>IF($G388="","",INDEX('Detalle individual'!$A:$A,$G388))</f>
        <v/>
      </c>
      <c r="C388" s="5" t="str">
        <f>IF($G388="","",INDEX('Detalle individual'!$E:$E,$G388))</f>
        <v/>
      </c>
      <c r="D388" s="5" t="str">
        <f>IF($G388="","",INDEX('Detalle individual'!$C:$C,$G388))</f>
        <v/>
      </c>
      <c r="E388" s="5" t="str">
        <f>IF($G388="","",INDEX('Detalle individual'!$D:$D,$G388))</f>
        <v/>
      </c>
      <c r="G388" t="str">
        <f>IFERROR(MATCH(SMALL(Cálculos!$AH$5:$AH$1000,384),Cálculos!$AH$5:$AH$1000,0)+4,"")</f>
        <v/>
      </c>
    </row>
    <row r="389">
      <c r="A389" s="5" t="str">
        <f>IF($G389="","",INDEX('Detalle individual'!$B:$B,$G389))</f>
        <v/>
      </c>
      <c r="B389" s="5" t="str">
        <f>IF($G389="","",INDEX('Detalle individual'!$A:$A,$G389))</f>
        <v/>
      </c>
      <c r="C389" s="5" t="str">
        <f>IF($G389="","",INDEX('Detalle individual'!$E:$E,$G389))</f>
        <v/>
      </c>
      <c r="D389" s="5" t="str">
        <f>IF($G389="","",INDEX('Detalle individual'!$C:$C,$G389))</f>
        <v/>
      </c>
      <c r="E389" s="5" t="str">
        <f>IF($G389="","",INDEX('Detalle individual'!$D:$D,$G389))</f>
        <v/>
      </c>
      <c r="G389" t="str">
        <f>IFERROR(MATCH(SMALL(Cálculos!$AH$5:$AH$1000,385),Cálculos!$AH$5:$AH$1000,0)+4,"")</f>
        <v/>
      </c>
    </row>
    <row r="390">
      <c r="A390" s="5" t="str">
        <f>IF($G390="","",INDEX('Detalle individual'!$B:$B,$G390))</f>
        <v/>
      </c>
      <c r="B390" s="5" t="str">
        <f>IF($G390="","",INDEX('Detalle individual'!$A:$A,$G390))</f>
        <v/>
      </c>
      <c r="C390" s="5" t="str">
        <f>IF($G390="","",INDEX('Detalle individual'!$E:$E,$G390))</f>
        <v/>
      </c>
      <c r="D390" s="5" t="str">
        <f>IF($G390="","",INDEX('Detalle individual'!$C:$C,$G390))</f>
        <v/>
      </c>
      <c r="E390" s="5" t="str">
        <f>IF($G390="","",INDEX('Detalle individual'!$D:$D,$G390))</f>
        <v/>
      </c>
      <c r="G390" t="str">
        <f>IFERROR(MATCH(SMALL(Cálculos!$AH$5:$AH$1000,386),Cálculos!$AH$5:$AH$1000,0)+4,"")</f>
        <v/>
      </c>
    </row>
    <row r="391">
      <c r="A391" s="5" t="str">
        <f>IF($G391="","",INDEX('Detalle individual'!$B:$B,$G391))</f>
        <v/>
      </c>
      <c r="B391" s="5" t="str">
        <f>IF($G391="","",INDEX('Detalle individual'!$A:$A,$G391))</f>
        <v/>
      </c>
      <c r="C391" s="5" t="str">
        <f>IF($G391="","",INDEX('Detalle individual'!$E:$E,$G391))</f>
        <v/>
      </c>
      <c r="D391" s="5" t="str">
        <f>IF($G391="","",INDEX('Detalle individual'!$C:$C,$G391))</f>
        <v/>
      </c>
      <c r="E391" s="5" t="str">
        <f>IF($G391="","",INDEX('Detalle individual'!$D:$D,$G391))</f>
        <v/>
      </c>
      <c r="G391" t="str">
        <f>IFERROR(MATCH(SMALL(Cálculos!$AH$5:$AH$1000,387),Cálculos!$AH$5:$AH$1000,0)+4,"")</f>
        <v/>
      </c>
    </row>
    <row r="392">
      <c r="A392" s="5" t="str">
        <f>IF($G392="","",INDEX('Detalle individual'!$B:$B,$G392))</f>
        <v/>
      </c>
      <c r="B392" s="5" t="str">
        <f>IF($G392="","",INDEX('Detalle individual'!$A:$A,$G392))</f>
        <v/>
      </c>
      <c r="C392" s="5" t="str">
        <f>IF($G392="","",INDEX('Detalle individual'!$E:$E,$G392))</f>
        <v/>
      </c>
      <c r="D392" s="5" t="str">
        <f>IF($G392="","",INDEX('Detalle individual'!$C:$C,$G392))</f>
        <v/>
      </c>
      <c r="E392" s="5" t="str">
        <f>IF($G392="","",INDEX('Detalle individual'!$D:$D,$G392))</f>
        <v/>
      </c>
      <c r="G392" t="str">
        <f>IFERROR(MATCH(SMALL(Cálculos!$AH$5:$AH$1000,388),Cálculos!$AH$5:$AH$1000,0)+4,"")</f>
        <v/>
      </c>
    </row>
    <row r="393">
      <c r="A393" s="5" t="str">
        <f>IF($G393="","",INDEX('Detalle individual'!$B:$B,$G393))</f>
        <v/>
      </c>
      <c r="B393" s="5" t="str">
        <f>IF($G393="","",INDEX('Detalle individual'!$A:$A,$G393))</f>
        <v/>
      </c>
      <c r="C393" s="5" t="str">
        <f>IF($G393="","",INDEX('Detalle individual'!$E:$E,$G393))</f>
        <v/>
      </c>
      <c r="D393" s="5" t="str">
        <f>IF($G393="","",INDEX('Detalle individual'!$C:$C,$G393))</f>
        <v/>
      </c>
      <c r="E393" s="5" t="str">
        <f>IF($G393="","",INDEX('Detalle individual'!$D:$D,$G393))</f>
        <v/>
      </c>
      <c r="G393" t="str">
        <f>IFERROR(MATCH(SMALL(Cálculos!$AH$5:$AH$1000,389),Cálculos!$AH$5:$AH$1000,0)+4,"")</f>
        <v/>
      </c>
    </row>
    <row r="394">
      <c r="A394" s="5" t="str">
        <f>IF($G394="","",INDEX('Detalle individual'!$B:$B,$G394))</f>
        <v/>
      </c>
      <c r="B394" s="5" t="str">
        <f>IF($G394="","",INDEX('Detalle individual'!$A:$A,$G394))</f>
        <v/>
      </c>
      <c r="C394" s="5" t="str">
        <f>IF($G394="","",INDEX('Detalle individual'!$E:$E,$G394))</f>
        <v/>
      </c>
      <c r="D394" s="5" t="str">
        <f>IF($G394="","",INDEX('Detalle individual'!$C:$C,$G394))</f>
        <v/>
      </c>
      <c r="E394" s="5" t="str">
        <f>IF($G394="","",INDEX('Detalle individual'!$D:$D,$G394))</f>
        <v/>
      </c>
      <c r="G394" t="str">
        <f>IFERROR(MATCH(SMALL(Cálculos!$AH$5:$AH$1000,390),Cálculos!$AH$5:$AH$1000,0)+4,"")</f>
        <v/>
      </c>
    </row>
    <row r="395">
      <c r="A395" s="5" t="str">
        <f>IF($G395="","",INDEX('Detalle individual'!$B:$B,$G395))</f>
        <v/>
      </c>
      <c r="B395" s="5" t="str">
        <f>IF($G395="","",INDEX('Detalle individual'!$A:$A,$G395))</f>
        <v/>
      </c>
      <c r="C395" s="5" t="str">
        <f>IF($G395="","",INDEX('Detalle individual'!$E:$E,$G395))</f>
        <v/>
      </c>
      <c r="D395" s="5" t="str">
        <f>IF($G395="","",INDEX('Detalle individual'!$C:$C,$G395))</f>
        <v/>
      </c>
      <c r="E395" s="5" t="str">
        <f>IF($G395="","",INDEX('Detalle individual'!$D:$D,$G395))</f>
        <v/>
      </c>
      <c r="G395" t="str">
        <f>IFERROR(MATCH(SMALL(Cálculos!$AH$5:$AH$1000,391),Cálculos!$AH$5:$AH$1000,0)+4,"")</f>
        <v/>
      </c>
    </row>
    <row r="396">
      <c r="A396" s="5" t="str">
        <f>IF($G396="","",INDEX('Detalle individual'!$B:$B,$G396))</f>
        <v/>
      </c>
      <c r="B396" s="5" t="str">
        <f>IF($G396="","",INDEX('Detalle individual'!$A:$A,$G396))</f>
        <v/>
      </c>
      <c r="C396" s="5" t="str">
        <f>IF($G396="","",INDEX('Detalle individual'!$E:$E,$G396))</f>
        <v/>
      </c>
      <c r="D396" s="5" t="str">
        <f>IF($G396="","",INDEX('Detalle individual'!$C:$C,$G396))</f>
        <v/>
      </c>
      <c r="E396" s="5" t="str">
        <f>IF($G396="","",INDEX('Detalle individual'!$D:$D,$G396))</f>
        <v/>
      </c>
      <c r="G396" t="str">
        <f>IFERROR(MATCH(SMALL(Cálculos!$AH$5:$AH$1000,392),Cálculos!$AH$5:$AH$1000,0)+4,"")</f>
        <v/>
      </c>
    </row>
    <row r="397">
      <c r="A397" s="5" t="str">
        <f>IF($G397="","",INDEX('Detalle individual'!$B:$B,$G397))</f>
        <v/>
      </c>
      <c r="B397" s="5" t="str">
        <f>IF($G397="","",INDEX('Detalle individual'!$A:$A,$G397))</f>
        <v/>
      </c>
      <c r="C397" s="5" t="str">
        <f>IF($G397="","",INDEX('Detalle individual'!$E:$E,$G397))</f>
        <v/>
      </c>
      <c r="D397" s="5" t="str">
        <f>IF($G397="","",INDEX('Detalle individual'!$C:$C,$G397))</f>
        <v/>
      </c>
      <c r="E397" s="5" t="str">
        <f>IF($G397="","",INDEX('Detalle individual'!$D:$D,$G397))</f>
        <v/>
      </c>
      <c r="G397" t="str">
        <f>IFERROR(MATCH(SMALL(Cálculos!$AH$5:$AH$1000,393),Cálculos!$AH$5:$AH$1000,0)+4,"")</f>
        <v/>
      </c>
    </row>
    <row r="398">
      <c r="A398" s="5" t="str">
        <f>IF($G398="","",INDEX('Detalle individual'!$B:$B,$G398))</f>
        <v/>
      </c>
      <c r="B398" s="5" t="str">
        <f>IF($G398="","",INDEX('Detalle individual'!$A:$A,$G398))</f>
        <v/>
      </c>
      <c r="C398" s="5" t="str">
        <f>IF($G398="","",INDEX('Detalle individual'!$E:$E,$G398))</f>
        <v/>
      </c>
      <c r="D398" s="5" t="str">
        <f>IF($G398="","",INDEX('Detalle individual'!$C:$C,$G398))</f>
        <v/>
      </c>
      <c r="E398" s="5" t="str">
        <f>IF($G398="","",INDEX('Detalle individual'!$D:$D,$G398))</f>
        <v/>
      </c>
      <c r="G398" t="str">
        <f>IFERROR(MATCH(SMALL(Cálculos!$AH$5:$AH$1000,394),Cálculos!$AH$5:$AH$1000,0)+4,"")</f>
        <v/>
      </c>
    </row>
    <row r="399">
      <c r="A399" s="5" t="str">
        <f>IF($G399="","",INDEX('Detalle individual'!$B:$B,$G399))</f>
        <v/>
      </c>
      <c r="B399" s="5" t="str">
        <f>IF($G399="","",INDEX('Detalle individual'!$A:$A,$G399))</f>
        <v/>
      </c>
      <c r="C399" s="5" t="str">
        <f>IF($G399="","",INDEX('Detalle individual'!$E:$E,$G399))</f>
        <v/>
      </c>
      <c r="D399" s="5" t="str">
        <f>IF($G399="","",INDEX('Detalle individual'!$C:$C,$G399))</f>
        <v/>
      </c>
      <c r="E399" s="5" t="str">
        <f>IF($G399="","",INDEX('Detalle individual'!$D:$D,$G399))</f>
        <v/>
      </c>
      <c r="G399" t="str">
        <f>IFERROR(MATCH(SMALL(Cálculos!$AH$5:$AH$1000,395),Cálculos!$AH$5:$AH$1000,0)+4,"")</f>
        <v/>
      </c>
    </row>
    <row r="400">
      <c r="A400" s="5" t="str">
        <f>IF($G400="","",INDEX('Detalle individual'!$B:$B,$G400))</f>
        <v/>
      </c>
      <c r="B400" s="5" t="str">
        <f>IF($G400="","",INDEX('Detalle individual'!$A:$A,$G400))</f>
        <v/>
      </c>
      <c r="C400" s="5" t="str">
        <f>IF($G400="","",INDEX('Detalle individual'!$E:$E,$G400))</f>
        <v/>
      </c>
      <c r="D400" s="5" t="str">
        <f>IF($G400="","",INDEX('Detalle individual'!$C:$C,$G400))</f>
        <v/>
      </c>
      <c r="E400" s="5" t="str">
        <f>IF($G400="","",INDEX('Detalle individual'!$D:$D,$G400))</f>
        <v/>
      </c>
      <c r="G400" t="str">
        <f>IFERROR(MATCH(SMALL(Cálculos!$AH$5:$AH$1000,396),Cálculos!$AH$5:$AH$1000,0)+4,"")</f>
        <v/>
      </c>
    </row>
    <row r="401">
      <c r="A401" s="5" t="str">
        <f>IF($G401="","",INDEX('Detalle individual'!$B:$B,$G401))</f>
        <v/>
      </c>
      <c r="B401" s="5" t="str">
        <f>IF($G401="","",INDEX('Detalle individual'!$A:$A,$G401))</f>
        <v/>
      </c>
      <c r="C401" s="5" t="str">
        <f>IF($G401="","",INDEX('Detalle individual'!$E:$E,$G401))</f>
        <v/>
      </c>
      <c r="D401" s="5" t="str">
        <f>IF($G401="","",INDEX('Detalle individual'!$C:$C,$G401))</f>
        <v/>
      </c>
      <c r="E401" s="5" t="str">
        <f>IF($G401="","",INDEX('Detalle individual'!$D:$D,$G401))</f>
        <v/>
      </c>
      <c r="G401" t="str">
        <f>IFERROR(MATCH(SMALL(Cálculos!$AH$5:$AH$1000,397),Cálculos!$AH$5:$AH$1000,0)+4,"")</f>
        <v/>
      </c>
    </row>
    <row r="402">
      <c r="A402" s="5" t="str">
        <f>IF($G402="","",INDEX('Detalle individual'!$B:$B,$G402))</f>
        <v/>
      </c>
      <c r="B402" s="5" t="str">
        <f>IF($G402="","",INDEX('Detalle individual'!$A:$A,$G402))</f>
        <v/>
      </c>
      <c r="C402" s="5" t="str">
        <f>IF($G402="","",INDEX('Detalle individual'!$E:$E,$G402))</f>
        <v/>
      </c>
      <c r="D402" s="5" t="str">
        <f>IF($G402="","",INDEX('Detalle individual'!$C:$C,$G402))</f>
        <v/>
      </c>
      <c r="E402" s="5" t="str">
        <f>IF($G402="","",INDEX('Detalle individual'!$D:$D,$G402))</f>
        <v/>
      </c>
      <c r="G402" t="str">
        <f>IFERROR(MATCH(SMALL(Cálculos!$AH$5:$AH$1000,398),Cálculos!$AH$5:$AH$1000,0)+4,"")</f>
        <v/>
      </c>
    </row>
    <row r="403">
      <c r="A403" s="5" t="str">
        <f>IF($G403="","",INDEX('Detalle individual'!$B:$B,$G403))</f>
        <v/>
      </c>
      <c r="B403" s="5" t="str">
        <f>IF($G403="","",INDEX('Detalle individual'!$A:$A,$G403))</f>
        <v/>
      </c>
      <c r="C403" s="5" t="str">
        <f>IF($G403="","",INDEX('Detalle individual'!$E:$E,$G403))</f>
        <v/>
      </c>
      <c r="D403" s="5" t="str">
        <f>IF($G403="","",INDEX('Detalle individual'!$C:$C,$G403))</f>
        <v/>
      </c>
      <c r="E403" s="5" t="str">
        <f>IF($G403="","",INDEX('Detalle individual'!$D:$D,$G403))</f>
        <v/>
      </c>
      <c r="G403" t="str">
        <f>IFERROR(MATCH(SMALL(Cálculos!$AH$5:$AH$1000,399),Cálculos!$AH$5:$AH$1000,0)+4,"")</f>
        <v/>
      </c>
    </row>
    <row r="404">
      <c r="A404" s="5" t="str">
        <f>IF($G404="","",INDEX('Detalle individual'!$B:$B,$G404))</f>
        <v/>
      </c>
      <c r="B404" s="5" t="str">
        <f>IF($G404="","",INDEX('Detalle individual'!$A:$A,$G404))</f>
        <v/>
      </c>
      <c r="C404" s="5" t="str">
        <f>IF($G404="","",INDEX('Detalle individual'!$E:$E,$G404))</f>
        <v/>
      </c>
      <c r="D404" s="5" t="str">
        <f>IF($G404="","",INDEX('Detalle individual'!$C:$C,$G404))</f>
        <v/>
      </c>
      <c r="E404" s="5" t="str">
        <f>IF($G404="","",INDEX('Detalle individual'!$D:$D,$G404))</f>
        <v/>
      </c>
      <c r="G404" t="str">
        <f>IFERROR(MATCH(SMALL(Cálculos!$AH$5:$AH$1000,400),Cálculos!$AH$5:$AH$1000,0)+4,"")</f>
        <v/>
      </c>
    </row>
    <row r="405">
      <c r="A405" s="5" t="str">
        <f>IF($G405="","",INDEX('Detalle individual'!$B:$B,$G405))</f>
        <v/>
      </c>
      <c r="B405" s="5" t="str">
        <f>IF($G405="","",INDEX('Detalle individual'!$A:$A,$G405))</f>
        <v/>
      </c>
      <c r="C405" s="5" t="str">
        <f>IF($G405="","",INDEX('Detalle individual'!$E:$E,$G405))</f>
        <v/>
      </c>
      <c r="D405" s="5" t="str">
        <f>IF($G405="","",INDEX('Detalle individual'!$C:$C,$G405))</f>
        <v/>
      </c>
      <c r="E405" s="5" t="str">
        <f>IF($G405="","",INDEX('Detalle individual'!$D:$D,$G405))</f>
        <v/>
      </c>
      <c r="G405" t="str">
        <f>IFERROR(MATCH(SMALL(Cálculos!$AH$5:$AH$1000,401),Cálculos!$AH$5:$AH$1000,0)+4,"")</f>
        <v/>
      </c>
    </row>
    <row r="406">
      <c r="A406" s="5" t="str">
        <f>IF($G406="","",INDEX('Detalle individual'!$B:$B,$G406))</f>
        <v/>
      </c>
      <c r="B406" s="5" t="str">
        <f>IF($G406="","",INDEX('Detalle individual'!$A:$A,$G406))</f>
        <v/>
      </c>
      <c r="C406" s="5" t="str">
        <f>IF($G406="","",INDEX('Detalle individual'!$E:$E,$G406))</f>
        <v/>
      </c>
      <c r="D406" s="5" t="str">
        <f>IF($G406="","",INDEX('Detalle individual'!$C:$C,$G406))</f>
        <v/>
      </c>
      <c r="E406" s="5" t="str">
        <f>IF($G406="","",INDEX('Detalle individual'!$D:$D,$G406))</f>
        <v/>
      </c>
      <c r="G406" t="str">
        <f>IFERROR(MATCH(SMALL(Cálculos!$AH$5:$AH$1000,402),Cálculos!$AH$5:$AH$1000,0)+4,"")</f>
        <v/>
      </c>
    </row>
    <row r="407">
      <c r="A407" s="5" t="str">
        <f>IF($G407="","",INDEX('Detalle individual'!$B:$B,$G407))</f>
        <v/>
      </c>
      <c r="B407" s="5" t="str">
        <f>IF($G407="","",INDEX('Detalle individual'!$A:$A,$G407))</f>
        <v/>
      </c>
      <c r="C407" s="5" t="str">
        <f>IF($G407="","",INDEX('Detalle individual'!$E:$E,$G407))</f>
        <v/>
      </c>
      <c r="D407" s="5" t="str">
        <f>IF($G407="","",INDEX('Detalle individual'!$C:$C,$G407))</f>
        <v/>
      </c>
      <c r="E407" s="5" t="str">
        <f>IF($G407="","",INDEX('Detalle individual'!$D:$D,$G407))</f>
        <v/>
      </c>
      <c r="G407" t="str">
        <f>IFERROR(MATCH(SMALL(Cálculos!$AH$5:$AH$1000,403),Cálculos!$AH$5:$AH$1000,0)+4,"")</f>
        <v/>
      </c>
    </row>
    <row r="408">
      <c r="A408" s="5" t="str">
        <f>IF($G408="","",INDEX('Detalle individual'!$B:$B,$G408))</f>
        <v/>
      </c>
      <c r="B408" s="5" t="str">
        <f>IF($G408="","",INDEX('Detalle individual'!$A:$A,$G408))</f>
        <v/>
      </c>
      <c r="C408" s="5" t="str">
        <f>IF($G408="","",INDEX('Detalle individual'!$E:$E,$G408))</f>
        <v/>
      </c>
      <c r="D408" s="5" t="str">
        <f>IF($G408="","",INDEX('Detalle individual'!$C:$C,$G408))</f>
        <v/>
      </c>
      <c r="E408" s="5" t="str">
        <f>IF($G408="","",INDEX('Detalle individual'!$D:$D,$G408))</f>
        <v/>
      </c>
      <c r="G408" t="str">
        <f>IFERROR(MATCH(SMALL(Cálculos!$AH$5:$AH$1000,404),Cálculos!$AH$5:$AH$1000,0)+4,"")</f>
        <v/>
      </c>
    </row>
    <row r="409">
      <c r="A409" s="5" t="str">
        <f>IF($G409="","",INDEX('Detalle individual'!$B:$B,$G409))</f>
        <v/>
      </c>
      <c r="B409" s="5" t="str">
        <f>IF($G409="","",INDEX('Detalle individual'!$A:$A,$G409))</f>
        <v/>
      </c>
      <c r="C409" s="5" t="str">
        <f>IF($G409="","",INDEX('Detalle individual'!$E:$E,$G409))</f>
        <v/>
      </c>
      <c r="D409" s="5" t="str">
        <f>IF($G409="","",INDEX('Detalle individual'!$C:$C,$G409))</f>
        <v/>
      </c>
      <c r="E409" s="5" t="str">
        <f>IF($G409="","",INDEX('Detalle individual'!$D:$D,$G409))</f>
        <v/>
      </c>
      <c r="G409" t="str">
        <f>IFERROR(MATCH(SMALL(Cálculos!$AH$5:$AH$1000,405),Cálculos!$AH$5:$AH$1000,0)+4,"")</f>
        <v/>
      </c>
    </row>
    <row r="410">
      <c r="A410" s="5" t="str">
        <f>IF($G410="","",INDEX('Detalle individual'!$B:$B,$G410))</f>
        <v/>
      </c>
      <c r="B410" s="5" t="str">
        <f>IF($G410="","",INDEX('Detalle individual'!$A:$A,$G410))</f>
        <v/>
      </c>
      <c r="C410" s="5" t="str">
        <f>IF($G410="","",INDEX('Detalle individual'!$E:$E,$G410))</f>
        <v/>
      </c>
      <c r="D410" s="5" t="str">
        <f>IF($G410="","",INDEX('Detalle individual'!$C:$C,$G410))</f>
        <v/>
      </c>
      <c r="E410" s="5" t="str">
        <f>IF($G410="","",INDEX('Detalle individual'!$D:$D,$G410))</f>
        <v/>
      </c>
      <c r="G410" t="str">
        <f>IFERROR(MATCH(SMALL(Cálculos!$AH$5:$AH$1000,406),Cálculos!$AH$5:$AH$1000,0)+4,"")</f>
        <v/>
      </c>
    </row>
    <row r="411">
      <c r="A411" s="5" t="str">
        <f>IF($G411="","",INDEX('Detalle individual'!$B:$B,$G411))</f>
        <v/>
      </c>
      <c r="B411" s="5" t="str">
        <f>IF($G411="","",INDEX('Detalle individual'!$A:$A,$G411))</f>
        <v/>
      </c>
      <c r="C411" s="5" t="str">
        <f>IF($G411="","",INDEX('Detalle individual'!$E:$E,$G411))</f>
        <v/>
      </c>
      <c r="D411" s="5" t="str">
        <f>IF($G411="","",INDEX('Detalle individual'!$C:$C,$G411))</f>
        <v/>
      </c>
      <c r="E411" s="5" t="str">
        <f>IF($G411="","",INDEX('Detalle individual'!$D:$D,$G411))</f>
        <v/>
      </c>
      <c r="G411" t="str">
        <f>IFERROR(MATCH(SMALL(Cálculos!$AH$5:$AH$1000,407),Cálculos!$AH$5:$AH$1000,0)+4,"")</f>
        <v/>
      </c>
    </row>
    <row r="412">
      <c r="A412" s="5" t="str">
        <f>IF($G412="","",INDEX('Detalle individual'!$B:$B,$G412))</f>
        <v/>
      </c>
      <c r="B412" s="5" t="str">
        <f>IF($G412="","",INDEX('Detalle individual'!$A:$A,$G412))</f>
        <v/>
      </c>
      <c r="C412" s="5" t="str">
        <f>IF($G412="","",INDEX('Detalle individual'!$E:$E,$G412))</f>
        <v/>
      </c>
      <c r="D412" s="5" t="str">
        <f>IF($G412="","",INDEX('Detalle individual'!$C:$C,$G412))</f>
        <v/>
      </c>
      <c r="E412" s="5" t="str">
        <f>IF($G412="","",INDEX('Detalle individual'!$D:$D,$G412))</f>
        <v/>
      </c>
      <c r="G412" t="str">
        <f>IFERROR(MATCH(SMALL(Cálculos!$AH$5:$AH$1000,408),Cálculos!$AH$5:$AH$1000,0)+4,"")</f>
        <v/>
      </c>
    </row>
    <row r="413">
      <c r="A413" s="5" t="str">
        <f>IF($G413="","",INDEX('Detalle individual'!$B:$B,$G413))</f>
        <v/>
      </c>
      <c r="B413" s="5" t="str">
        <f>IF($G413="","",INDEX('Detalle individual'!$A:$A,$G413))</f>
        <v/>
      </c>
      <c r="C413" s="5" t="str">
        <f>IF($G413="","",INDEX('Detalle individual'!$E:$E,$G413))</f>
        <v/>
      </c>
      <c r="D413" s="5" t="str">
        <f>IF($G413="","",INDEX('Detalle individual'!$C:$C,$G413))</f>
        <v/>
      </c>
      <c r="E413" s="5" t="str">
        <f>IF($G413="","",INDEX('Detalle individual'!$D:$D,$G413))</f>
        <v/>
      </c>
      <c r="G413" t="str">
        <f>IFERROR(MATCH(SMALL(Cálculos!$AH$5:$AH$1000,409),Cálculos!$AH$5:$AH$1000,0)+4,"")</f>
        <v/>
      </c>
    </row>
    <row r="414">
      <c r="A414" s="5" t="str">
        <f>IF($G414="","",INDEX('Detalle individual'!$B:$B,$G414))</f>
        <v/>
      </c>
      <c r="B414" s="5" t="str">
        <f>IF($G414="","",INDEX('Detalle individual'!$A:$A,$G414))</f>
        <v/>
      </c>
      <c r="C414" s="5" t="str">
        <f>IF($G414="","",INDEX('Detalle individual'!$E:$E,$G414))</f>
        <v/>
      </c>
      <c r="D414" s="5" t="str">
        <f>IF($G414="","",INDEX('Detalle individual'!$C:$C,$G414))</f>
        <v/>
      </c>
      <c r="E414" s="5" t="str">
        <f>IF($G414="","",INDEX('Detalle individual'!$D:$D,$G414))</f>
        <v/>
      </c>
      <c r="G414" t="str">
        <f>IFERROR(MATCH(SMALL(Cálculos!$AH$5:$AH$1000,410),Cálculos!$AH$5:$AH$1000,0)+4,"")</f>
        <v/>
      </c>
    </row>
    <row r="415">
      <c r="A415" s="5" t="str">
        <f>IF($G415="","",INDEX('Detalle individual'!$B:$B,$G415))</f>
        <v/>
      </c>
      <c r="B415" s="5" t="str">
        <f>IF($G415="","",INDEX('Detalle individual'!$A:$A,$G415))</f>
        <v/>
      </c>
      <c r="C415" s="5" t="str">
        <f>IF($G415="","",INDEX('Detalle individual'!$E:$E,$G415))</f>
        <v/>
      </c>
      <c r="D415" s="5" t="str">
        <f>IF($G415="","",INDEX('Detalle individual'!$C:$C,$G415))</f>
        <v/>
      </c>
      <c r="E415" s="5" t="str">
        <f>IF($G415="","",INDEX('Detalle individual'!$D:$D,$G415))</f>
        <v/>
      </c>
      <c r="G415" t="str">
        <f>IFERROR(MATCH(SMALL(Cálculos!$AH$5:$AH$1000,411),Cálculos!$AH$5:$AH$1000,0)+4,"")</f>
        <v/>
      </c>
    </row>
    <row r="416">
      <c r="A416" s="5" t="str">
        <f>IF($G416="","",INDEX('Detalle individual'!$B:$B,$G416))</f>
        <v/>
      </c>
      <c r="B416" s="5" t="str">
        <f>IF($G416="","",INDEX('Detalle individual'!$A:$A,$G416))</f>
        <v/>
      </c>
      <c r="C416" s="5" t="str">
        <f>IF($G416="","",INDEX('Detalle individual'!$E:$E,$G416))</f>
        <v/>
      </c>
      <c r="D416" s="5" t="str">
        <f>IF($G416="","",INDEX('Detalle individual'!$C:$C,$G416))</f>
        <v/>
      </c>
      <c r="E416" s="5" t="str">
        <f>IF($G416="","",INDEX('Detalle individual'!$D:$D,$G416))</f>
        <v/>
      </c>
      <c r="G416" t="str">
        <f>IFERROR(MATCH(SMALL(Cálculos!$AH$5:$AH$1000,412),Cálculos!$AH$5:$AH$1000,0)+4,"")</f>
        <v/>
      </c>
    </row>
    <row r="417">
      <c r="A417" s="5" t="str">
        <f>IF($G417="","",INDEX('Detalle individual'!$B:$B,$G417))</f>
        <v/>
      </c>
      <c r="B417" s="5" t="str">
        <f>IF($G417="","",INDEX('Detalle individual'!$A:$A,$G417))</f>
        <v/>
      </c>
      <c r="C417" s="5" t="str">
        <f>IF($G417="","",INDEX('Detalle individual'!$E:$E,$G417))</f>
        <v/>
      </c>
      <c r="D417" s="5" t="str">
        <f>IF($G417="","",INDEX('Detalle individual'!$C:$C,$G417))</f>
        <v/>
      </c>
      <c r="E417" s="5" t="str">
        <f>IF($G417="","",INDEX('Detalle individual'!$D:$D,$G417))</f>
        <v/>
      </c>
      <c r="G417" t="str">
        <f>IFERROR(MATCH(SMALL(Cálculos!$AH$5:$AH$1000,413),Cálculos!$AH$5:$AH$1000,0)+4,"")</f>
        <v/>
      </c>
    </row>
    <row r="418">
      <c r="A418" s="5" t="str">
        <f>IF($G418="","",INDEX('Detalle individual'!$B:$B,$G418))</f>
        <v/>
      </c>
      <c r="B418" s="5" t="str">
        <f>IF($G418="","",INDEX('Detalle individual'!$A:$A,$G418))</f>
        <v/>
      </c>
      <c r="C418" s="5" t="str">
        <f>IF($G418="","",INDEX('Detalle individual'!$E:$E,$G418))</f>
        <v/>
      </c>
      <c r="D418" s="5" t="str">
        <f>IF($G418="","",INDEX('Detalle individual'!$C:$C,$G418))</f>
        <v/>
      </c>
      <c r="E418" s="5" t="str">
        <f>IF($G418="","",INDEX('Detalle individual'!$D:$D,$G418))</f>
        <v/>
      </c>
      <c r="G418" t="str">
        <f>IFERROR(MATCH(SMALL(Cálculos!$AH$5:$AH$1000,414),Cálculos!$AH$5:$AH$1000,0)+4,"")</f>
        <v/>
      </c>
    </row>
    <row r="419">
      <c r="A419" s="5" t="str">
        <f>IF($G419="","",INDEX('Detalle individual'!$B:$B,$G419))</f>
        <v/>
      </c>
      <c r="B419" s="5" t="str">
        <f>IF($G419="","",INDEX('Detalle individual'!$A:$A,$G419))</f>
        <v/>
      </c>
      <c r="C419" s="5" t="str">
        <f>IF($G419="","",INDEX('Detalle individual'!$E:$E,$G419))</f>
        <v/>
      </c>
      <c r="D419" s="5" t="str">
        <f>IF($G419="","",INDEX('Detalle individual'!$C:$C,$G419))</f>
        <v/>
      </c>
      <c r="E419" s="5" t="str">
        <f>IF($G419="","",INDEX('Detalle individual'!$D:$D,$G419))</f>
        <v/>
      </c>
      <c r="G419" t="str">
        <f>IFERROR(MATCH(SMALL(Cálculos!$AH$5:$AH$1000,415),Cálculos!$AH$5:$AH$1000,0)+4,"")</f>
        <v/>
      </c>
    </row>
    <row r="420">
      <c r="A420" s="5" t="str">
        <f>IF($G420="","",INDEX('Detalle individual'!$B:$B,$G420))</f>
        <v/>
      </c>
      <c r="B420" s="5" t="str">
        <f>IF($G420="","",INDEX('Detalle individual'!$A:$A,$G420))</f>
        <v/>
      </c>
      <c r="C420" s="5" t="str">
        <f>IF($G420="","",INDEX('Detalle individual'!$E:$E,$G420))</f>
        <v/>
      </c>
      <c r="D420" s="5" t="str">
        <f>IF($G420="","",INDEX('Detalle individual'!$C:$C,$G420))</f>
        <v/>
      </c>
      <c r="E420" s="5" t="str">
        <f>IF($G420="","",INDEX('Detalle individual'!$D:$D,$G420))</f>
        <v/>
      </c>
      <c r="G420" t="str">
        <f>IFERROR(MATCH(SMALL(Cálculos!$AH$5:$AH$1000,416),Cálculos!$AH$5:$AH$1000,0)+4,"")</f>
        <v/>
      </c>
    </row>
    <row r="421">
      <c r="A421" s="5" t="str">
        <f>IF($G421="","",INDEX('Detalle individual'!$B:$B,$G421))</f>
        <v/>
      </c>
      <c r="B421" s="5" t="str">
        <f>IF($G421="","",INDEX('Detalle individual'!$A:$A,$G421))</f>
        <v/>
      </c>
      <c r="C421" s="5" t="str">
        <f>IF($G421="","",INDEX('Detalle individual'!$E:$E,$G421))</f>
        <v/>
      </c>
      <c r="D421" s="5" t="str">
        <f>IF($G421="","",INDEX('Detalle individual'!$C:$C,$G421))</f>
        <v/>
      </c>
      <c r="E421" s="5" t="str">
        <f>IF($G421="","",INDEX('Detalle individual'!$D:$D,$G421))</f>
        <v/>
      </c>
      <c r="G421" t="str">
        <f>IFERROR(MATCH(SMALL(Cálculos!$AH$5:$AH$1000,417),Cálculos!$AH$5:$AH$1000,0)+4,"")</f>
        <v/>
      </c>
    </row>
    <row r="422">
      <c r="A422" s="5" t="str">
        <f>IF($G422="","",INDEX('Detalle individual'!$B:$B,$G422))</f>
        <v/>
      </c>
      <c r="B422" s="5" t="str">
        <f>IF($G422="","",INDEX('Detalle individual'!$A:$A,$G422))</f>
        <v/>
      </c>
      <c r="C422" s="5" t="str">
        <f>IF($G422="","",INDEX('Detalle individual'!$E:$E,$G422))</f>
        <v/>
      </c>
      <c r="D422" s="5" t="str">
        <f>IF($G422="","",INDEX('Detalle individual'!$C:$C,$G422))</f>
        <v/>
      </c>
      <c r="E422" s="5" t="str">
        <f>IF($G422="","",INDEX('Detalle individual'!$D:$D,$G422))</f>
        <v/>
      </c>
      <c r="G422" t="str">
        <f>IFERROR(MATCH(SMALL(Cálculos!$AH$5:$AH$1000,418),Cálculos!$AH$5:$AH$1000,0)+4,"")</f>
        <v/>
      </c>
    </row>
    <row r="423">
      <c r="A423" s="5" t="str">
        <f>IF($G423="","",INDEX('Detalle individual'!$B:$B,$G423))</f>
        <v/>
      </c>
      <c r="B423" s="5" t="str">
        <f>IF($G423="","",INDEX('Detalle individual'!$A:$A,$G423))</f>
        <v/>
      </c>
      <c r="C423" s="5" t="str">
        <f>IF($G423="","",INDEX('Detalle individual'!$E:$E,$G423))</f>
        <v/>
      </c>
      <c r="D423" s="5" t="str">
        <f>IF($G423="","",INDEX('Detalle individual'!$C:$C,$G423))</f>
        <v/>
      </c>
      <c r="E423" s="5" t="str">
        <f>IF($G423="","",INDEX('Detalle individual'!$D:$D,$G423))</f>
        <v/>
      </c>
      <c r="G423" t="str">
        <f>IFERROR(MATCH(SMALL(Cálculos!$AH$5:$AH$1000,419),Cálculos!$AH$5:$AH$1000,0)+4,"")</f>
        <v/>
      </c>
    </row>
    <row r="424">
      <c r="A424" s="5" t="str">
        <f>IF($G424="","",INDEX('Detalle individual'!$B:$B,$G424))</f>
        <v/>
      </c>
      <c r="B424" s="5" t="str">
        <f>IF($G424="","",INDEX('Detalle individual'!$A:$A,$G424))</f>
        <v/>
      </c>
      <c r="C424" s="5" t="str">
        <f>IF($G424="","",INDEX('Detalle individual'!$E:$E,$G424))</f>
        <v/>
      </c>
      <c r="D424" s="5" t="str">
        <f>IF($G424="","",INDEX('Detalle individual'!$C:$C,$G424))</f>
        <v/>
      </c>
      <c r="E424" s="5" t="str">
        <f>IF($G424="","",INDEX('Detalle individual'!$D:$D,$G424))</f>
        <v/>
      </c>
      <c r="G424" t="str">
        <f>IFERROR(MATCH(SMALL(Cálculos!$AH$5:$AH$1000,420),Cálculos!$AH$5:$AH$1000,0)+4,"")</f>
        <v/>
      </c>
    </row>
    <row r="425">
      <c r="A425" s="5" t="str">
        <f>IF($G425="","",INDEX('Detalle individual'!$B:$B,$G425))</f>
        <v/>
      </c>
      <c r="B425" s="5" t="str">
        <f>IF($G425="","",INDEX('Detalle individual'!$A:$A,$G425))</f>
        <v/>
      </c>
      <c r="C425" s="5" t="str">
        <f>IF($G425="","",INDEX('Detalle individual'!$E:$E,$G425))</f>
        <v/>
      </c>
      <c r="D425" s="5" t="str">
        <f>IF($G425="","",INDEX('Detalle individual'!$C:$C,$G425))</f>
        <v/>
      </c>
      <c r="E425" s="5" t="str">
        <f>IF($G425="","",INDEX('Detalle individual'!$D:$D,$G425))</f>
        <v/>
      </c>
      <c r="G425" t="str">
        <f>IFERROR(MATCH(SMALL(Cálculos!$AH$5:$AH$1000,421),Cálculos!$AH$5:$AH$1000,0)+4,"")</f>
        <v/>
      </c>
    </row>
    <row r="426">
      <c r="A426" s="5" t="str">
        <f>IF($G426="","",INDEX('Detalle individual'!$B:$B,$G426))</f>
        <v/>
      </c>
      <c r="B426" s="5" t="str">
        <f>IF($G426="","",INDEX('Detalle individual'!$A:$A,$G426))</f>
        <v/>
      </c>
      <c r="C426" s="5" t="str">
        <f>IF($G426="","",INDEX('Detalle individual'!$E:$E,$G426))</f>
        <v/>
      </c>
      <c r="D426" s="5" t="str">
        <f>IF($G426="","",INDEX('Detalle individual'!$C:$C,$G426))</f>
        <v/>
      </c>
      <c r="E426" s="5" t="str">
        <f>IF($G426="","",INDEX('Detalle individual'!$D:$D,$G426))</f>
        <v/>
      </c>
      <c r="G426" t="str">
        <f>IFERROR(MATCH(SMALL(Cálculos!$AH$5:$AH$1000,422),Cálculos!$AH$5:$AH$1000,0)+4,"")</f>
        <v/>
      </c>
    </row>
    <row r="427">
      <c r="A427" s="5" t="str">
        <f>IF($G427="","",INDEX('Detalle individual'!$B:$B,$G427))</f>
        <v/>
      </c>
      <c r="B427" s="5" t="str">
        <f>IF($G427="","",INDEX('Detalle individual'!$A:$A,$G427))</f>
        <v/>
      </c>
      <c r="C427" s="5" t="str">
        <f>IF($G427="","",INDEX('Detalle individual'!$E:$E,$G427))</f>
        <v/>
      </c>
      <c r="D427" s="5" t="str">
        <f>IF($G427="","",INDEX('Detalle individual'!$C:$C,$G427))</f>
        <v/>
      </c>
      <c r="E427" s="5" t="str">
        <f>IF($G427="","",INDEX('Detalle individual'!$D:$D,$G427))</f>
        <v/>
      </c>
      <c r="G427" t="str">
        <f>IFERROR(MATCH(SMALL(Cálculos!$AH$5:$AH$1000,423),Cálculos!$AH$5:$AH$1000,0)+4,"")</f>
        <v/>
      </c>
    </row>
    <row r="428">
      <c r="A428" s="5" t="str">
        <f>IF($G428="","",INDEX('Detalle individual'!$B:$B,$G428))</f>
        <v/>
      </c>
      <c r="B428" s="5" t="str">
        <f>IF($G428="","",INDEX('Detalle individual'!$A:$A,$G428))</f>
        <v/>
      </c>
      <c r="C428" s="5" t="str">
        <f>IF($G428="","",INDEX('Detalle individual'!$E:$E,$G428))</f>
        <v/>
      </c>
      <c r="D428" s="5" t="str">
        <f>IF($G428="","",INDEX('Detalle individual'!$C:$C,$G428))</f>
        <v/>
      </c>
      <c r="E428" s="5" t="str">
        <f>IF($G428="","",INDEX('Detalle individual'!$D:$D,$G428))</f>
        <v/>
      </c>
      <c r="G428" t="str">
        <f>IFERROR(MATCH(SMALL(Cálculos!$AH$5:$AH$1000,424),Cálculos!$AH$5:$AH$1000,0)+4,"")</f>
        <v/>
      </c>
    </row>
    <row r="429">
      <c r="A429" s="5" t="str">
        <f>IF($G429="","",INDEX('Detalle individual'!$B:$B,$G429))</f>
        <v/>
      </c>
      <c r="B429" s="5" t="str">
        <f>IF($G429="","",INDEX('Detalle individual'!$A:$A,$G429))</f>
        <v/>
      </c>
      <c r="C429" s="5" t="str">
        <f>IF($G429="","",INDEX('Detalle individual'!$E:$E,$G429))</f>
        <v/>
      </c>
      <c r="D429" s="5" t="str">
        <f>IF($G429="","",INDEX('Detalle individual'!$C:$C,$G429))</f>
        <v/>
      </c>
      <c r="E429" s="5" t="str">
        <f>IF($G429="","",INDEX('Detalle individual'!$D:$D,$G429))</f>
        <v/>
      </c>
      <c r="G429" t="str">
        <f>IFERROR(MATCH(SMALL(Cálculos!$AH$5:$AH$1000,425),Cálculos!$AH$5:$AH$1000,0)+4,"")</f>
        <v/>
      </c>
    </row>
    <row r="430">
      <c r="A430" s="5" t="str">
        <f>IF($G430="","",INDEX('Detalle individual'!$B:$B,$G430))</f>
        <v/>
      </c>
      <c r="B430" s="5" t="str">
        <f>IF($G430="","",INDEX('Detalle individual'!$A:$A,$G430))</f>
        <v/>
      </c>
      <c r="C430" s="5" t="str">
        <f>IF($G430="","",INDEX('Detalle individual'!$E:$E,$G430))</f>
        <v/>
      </c>
      <c r="D430" s="5" t="str">
        <f>IF($G430="","",INDEX('Detalle individual'!$C:$C,$G430))</f>
        <v/>
      </c>
      <c r="E430" s="5" t="str">
        <f>IF($G430="","",INDEX('Detalle individual'!$D:$D,$G430))</f>
        <v/>
      </c>
      <c r="G430" t="str">
        <f>IFERROR(MATCH(SMALL(Cálculos!$AH$5:$AH$1000,426),Cálculos!$AH$5:$AH$1000,0)+4,"")</f>
        <v/>
      </c>
    </row>
    <row r="431">
      <c r="A431" s="5" t="str">
        <f>IF($G431="","",INDEX('Detalle individual'!$B:$B,$G431))</f>
        <v/>
      </c>
      <c r="B431" s="5" t="str">
        <f>IF($G431="","",INDEX('Detalle individual'!$A:$A,$G431))</f>
        <v/>
      </c>
      <c r="C431" s="5" t="str">
        <f>IF($G431="","",INDEX('Detalle individual'!$E:$E,$G431))</f>
        <v/>
      </c>
      <c r="D431" s="5" t="str">
        <f>IF($G431="","",INDEX('Detalle individual'!$C:$C,$G431))</f>
        <v/>
      </c>
      <c r="E431" s="5" t="str">
        <f>IF($G431="","",INDEX('Detalle individual'!$D:$D,$G431))</f>
        <v/>
      </c>
      <c r="G431" t="str">
        <f>IFERROR(MATCH(SMALL(Cálculos!$AH$5:$AH$1000,427),Cálculos!$AH$5:$AH$1000,0)+4,"")</f>
        <v/>
      </c>
    </row>
    <row r="432">
      <c r="A432" s="5" t="str">
        <f>IF($G432="","",INDEX('Detalle individual'!$B:$B,$G432))</f>
        <v/>
      </c>
      <c r="B432" s="5" t="str">
        <f>IF($G432="","",INDEX('Detalle individual'!$A:$A,$G432))</f>
        <v/>
      </c>
      <c r="C432" s="5" t="str">
        <f>IF($G432="","",INDEX('Detalle individual'!$E:$E,$G432))</f>
        <v/>
      </c>
      <c r="D432" s="5" t="str">
        <f>IF($G432="","",INDEX('Detalle individual'!$C:$C,$G432))</f>
        <v/>
      </c>
      <c r="E432" s="5" t="str">
        <f>IF($G432="","",INDEX('Detalle individual'!$D:$D,$G432))</f>
        <v/>
      </c>
      <c r="G432" t="str">
        <f>IFERROR(MATCH(SMALL(Cálculos!$AH$5:$AH$1000,428),Cálculos!$AH$5:$AH$1000,0)+4,"")</f>
        <v/>
      </c>
    </row>
    <row r="433">
      <c r="A433" s="5" t="str">
        <f>IF($G433="","",INDEX('Detalle individual'!$B:$B,$G433))</f>
        <v/>
      </c>
      <c r="B433" s="5" t="str">
        <f>IF($G433="","",INDEX('Detalle individual'!$A:$A,$G433))</f>
        <v/>
      </c>
      <c r="C433" s="5" t="str">
        <f>IF($G433="","",INDEX('Detalle individual'!$E:$E,$G433))</f>
        <v/>
      </c>
      <c r="D433" s="5" t="str">
        <f>IF($G433="","",INDEX('Detalle individual'!$C:$C,$G433))</f>
        <v/>
      </c>
      <c r="E433" s="5" t="str">
        <f>IF($G433="","",INDEX('Detalle individual'!$D:$D,$G433))</f>
        <v/>
      </c>
      <c r="G433" t="str">
        <f>IFERROR(MATCH(SMALL(Cálculos!$AH$5:$AH$1000,429),Cálculos!$AH$5:$AH$1000,0)+4,"")</f>
        <v/>
      </c>
    </row>
    <row r="434">
      <c r="A434" s="5" t="str">
        <f>IF($G434="","",INDEX('Detalle individual'!$B:$B,$G434))</f>
        <v/>
      </c>
      <c r="B434" s="5" t="str">
        <f>IF($G434="","",INDEX('Detalle individual'!$A:$A,$G434))</f>
        <v/>
      </c>
      <c r="C434" s="5" t="str">
        <f>IF($G434="","",INDEX('Detalle individual'!$E:$E,$G434))</f>
        <v/>
      </c>
      <c r="D434" s="5" t="str">
        <f>IF($G434="","",INDEX('Detalle individual'!$C:$C,$G434))</f>
        <v/>
      </c>
      <c r="E434" s="5" t="str">
        <f>IF($G434="","",INDEX('Detalle individual'!$D:$D,$G434))</f>
        <v/>
      </c>
      <c r="G434" t="str">
        <f>IFERROR(MATCH(SMALL(Cálculos!$AH$5:$AH$1000,430),Cálculos!$AH$5:$AH$1000,0)+4,"")</f>
        <v/>
      </c>
    </row>
    <row r="435">
      <c r="A435" s="5" t="str">
        <f>IF($G435="","",INDEX('Detalle individual'!$B:$B,$G435))</f>
        <v/>
      </c>
      <c r="B435" s="5" t="str">
        <f>IF($G435="","",INDEX('Detalle individual'!$A:$A,$G435))</f>
        <v/>
      </c>
      <c r="C435" s="5" t="str">
        <f>IF($G435="","",INDEX('Detalle individual'!$E:$E,$G435))</f>
        <v/>
      </c>
      <c r="D435" s="5" t="str">
        <f>IF($G435="","",INDEX('Detalle individual'!$C:$C,$G435))</f>
        <v/>
      </c>
      <c r="E435" s="5" t="str">
        <f>IF($G435="","",INDEX('Detalle individual'!$D:$D,$G435))</f>
        <v/>
      </c>
      <c r="G435" t="str">
        <f>IFERROR(MATCH(SMALL(Cálculos!$AH$5:$AH$1000,431),Cálculos!$AH$5:$AH$1000,0)+4,"")</f>
        <v/>
      </c>
    </row>
    <row r="436">
      <c r="A436" s="5" t="str">
        <f>IF($G436="","",INDEX('Detalle individual'!$B:$B,$G436))</f>
        <v/>
      </c>
      <c r="B436" s="5" t="str">
        <f>IF($G436="","",INDEX('Detalle individual'!$A:$A,$G436))</f>
        <v/>
      </c>
      <c r="C436" s="5" t="str">
        <f>IF($G436="","",INDEX('Detalle individual'!$E:$E,$G436))</f>
        <v/>
      </c>
      <c r="D436" s="5" t="str">
        <f>IF($G436="","",INDEX('Detalle individual'!$C:$C,$G436))</f>
        <v/>
      </c>
      <c r="E436" s="5" t="str">
        <f>IF($G436="","",INDEX('Detalle individual'!$D:$D,$G436))</f>
        <v/>
      </c>
      <c r="G436" t="str">
        <f>IFERROR(MATCH(SMALL(Cálculos!$AH$5:$AH$1000,432),Cálculos!$AH$5:$AH$1000,0)+4,"")</f>
        <v/>
      </c>
    </row>
    <row r="437">
      <c r="A437" s="5" t="str">
        <f>IF($G437="","",INDEX('Detalle individual'!$B:$B,$G437))</f>
        <v/>
      </c>
      <c r="B437" s="5" t="str">
        <f>IF($G437="","",INDEX('Detalle individual'!$A:$A,$G437))</f>
        <v/>
      </c>
      <c r="C437" s="5" t="str">
        <f>IF($G437="","",INDEX('Detalle individual'!$E:$E,$G437))</f>
        <v/>
      </c>
      <c r="D437" s="5" t="str">
        <f>IF($G437="","",INDEX('Detalle individual'!$C:$C,$G437))</f>
        <v/>
      </c>
      <c r="E437" s="5" t="str">
        <f>IF($G437="","",INDEX('Detalle individual'!$D:$D,$G437))</f>
        <v/>
      </c>
      <c r="G437" t="str">
        <f>IFERROR(MATCH(SMALL(Cálculos!$AH$5:$AH$1000,433),Cálculos!$AH$5:$AH$1000,0)+4,"")</f>
        <v/>
      </c>
    </row>
    <row r="438">
      <c r="A438" s="5" t="str">
        <f>IF($G438="","",INDEX('Detalle individual'!$B:$B,$G438))</f>
        <v/>
      </c>
      <c r="B438" s="5" t="str">
        <f>IF($G438="","",INDEX('Detalle individual'!$A:$A,$G438))</f>
        <v/>
      </c>
      <c r="C438" s="5" t="str">
        <f>IF($G438="","",INDEX('Detalle individual'!$E:$E,$G438))</f>
        <v/>
      </c>
      <c r="D438" s="5" t="str">
        <f>IF($G438="","",INDEX('Detalle individual'!$C:$C,$G438))</f>
        <v/>
      </c>
      <c r="E438" s="5" t="str">
        <f>IF($G438="","",INDEX('Detalle individual'!$D:$D,$G438))</f>
        <v/>
      </c>
      <c r="G438" t="str">
        <f>IFERROR(MATCH(SMALL(Cálculos!$AH$5:$AH$1000,434),Cálculos!$AH$5:$AH$1000,0)+4,"")</f>
        <v/>
      </c>
    </row>
    <row r="439">
      <c r="A439" s="5" t="str">
        <f>IF($G439="","",INDEX('Detalle individual'!$B:$B,$G439))</f>
        <v/>
      </c>
      <c r="B439" s="5" t="str">
        <f>IF($G439="","",INDEX('Detalle individual'!$A:$A,$G439))</f>
        <v/>
      </c>
      <c r="C439" s="5" t="str">
        <f>IF($G439="","",INDEX('Detalle individual'!$E:$E,$G439))</f>
        <v/>
      </c>
      <c r="D439" s="5" t="str">
        <f>IF($G439="","",INDEX('Detalle individual'!$C:$C,$G439))</f>
        <v/>
      </c>
      <c r="E439" s="5" t="str">
        <f>IF($G439="","",INDEX('Detalle individual'!$D:$D,$G439))</f>
        <v/>
      </c>
      <c r="G439" t="str">
        <f>IFERROR(MATCH(SMALL(Cálculos!$AH$5:$AH$1000,435),Cálculos!$AH$5:$AH$1000,0)+4,"")</f>
        <v/>
      </c>
    </row>
    <row r="440">
      <c r="A440" s="5" t="str">
        <f>IF($G440="","",INDEX('Detalle individual'!$B:$B,$G440))</f>
        <v/>
      </c>
      <c r="B440" s="5" t="str">
        <f>IF($G440="","",INDEX('Detalle individual'!$A:$A,$G440))</f>
        <v/>
      </c>
      <c r="C440" s="5" t="str">
        <f>IF($G440="","",INDEX('Detalle individual'!$E:$E,$G440))</f>
        <v/>
      </c>
      <c r="D440" s="5" t="str">
        <f>IF($G440="","",INDEX('Detalle individual'!$C:$C,$G440))</f>
        <v/>
      </c>
      <c r="E440" s="5" t="str">
        <f>IF($G440="","",INDEX('Detalle individual'!$D:$D,$G440))</f>
        <v/>
      </c>
      <c r="G440" t="str">
        <f>IFERROR(MATCH(SMALL(Cálculos!$AH$5:$AH$1000,436),Cálculos!$AH$5:$AH$1000,0)+4,"")</f>
        <v/>
      </c>
    </row>
    <row r="441">
      <c r="A441" s="5" t="str">
        <f>IF($G441="","",INDEX('Detalle individual'!$B:$B,$G441))</f>
        <v/>
      </c>
      <c r="B441" s="5" t="str">
        <f>IF($G441="","",INDEX('Detalle individual'!$A:$A,$G441))</f>
        <v/>
      </c>
      <c r="C441" s="5" t="str">
        <f>IF($G441="","",INDEX('Detalle individual'!$E:$E,$G441))</f>
        <v/>
      </c>
      <c r="D441" s="5" t="str">
        <f>IF($G441="","",INDEX('Detalle individual'!$C:$C,$G441))</f>
        <v/>
      </c>
      <c r="E441" s="5" t="str">
        <f>IF($G441="","",INDEX('Detalle individual'!$D:$D,$G441))</f>
        <v/>
      </c>
      <c r="G441" t="str">
        <f>IFERROR(MATCH(SMALL(Cálculos!$AH$5:$AH$1000,437),Cálculos!$AH$5:$AH$1000,0)+4,"")</f>
        <v/>
      </c>
    </row>
    <row r="442">
      <c r="A442" s="5" t="str">
        <f>IF($G442="","",INDEX('Detalle individual'!$B:$B,$G442))</f>
        <v/>
      </c>
      <c r="B442" s="5" t="str">
        <f>IF($G442="","",INDEX('Detalle individual'!$A:$A,$G442))</f>
        <v/>
      </c>
      <c r="C442" s="5" t="str">
        <f>IF($G442="","",INDEX('Detalle individual'!$E:$E,$G442))</f>
        <v/>
      </c>
      <c r="D442" s="5" t="str">
        <f>IF($G442="","",INDEX('Detalle individual'!$C:$C,$G442))</f>
        <v/>
      </c>
      <c r="E442" s="5" t="str">
        <f>IF($G442="","",INDEX('Detalle individual'!$D:$D,$G442))</f>
        <v/>
      </c>
      <c r="G442" t="str">
        <f>IFERROR(MATCH(SMALL(Cálculos!$AH$5:$AH$1000,438),Cálculos!$AH$5:$AH$1000,0)+4,"")</f>
        <v/>
      </c>
    </row>
    <row r="443">
      <c r="A443" s="5" t="str">
        <f>IF($G443="","",INDEX('Detalle individual'!$B:$B,$G443))</f>
        <v/>
      </c>
      <c r="B443" s="5" t="str">
        <f>IF($G443="","",INDEX('Detalle individual'!$A:$A,$G443))</f>
        <v/>
      </c>
      <c r="C443" s="5" t="str">
        <f>IF($G443="","",INDEX('Detalle individual'!$E:$E,$G443))</f>
        <v/>
      </c>
      <c r="D443" s="5" t="str">
        <f>IF($G443="","",INDEX('Detalle individual'!$C:$C,$G443))</f>
        <v/>
      </c>
      <c r="E443" s="5" t="str">
        <f>IF($G443="","",INDEX('Detalle individual'!$D:$D,$G443))</f>
        <v/>
      </c>
      <c r="G443" t="str">
        <f>IFERROR(MATCH(SMALL(Cálculos!$AH$5:$AH$1000,439),Cálculos!$AH$5:$AH$1000,0)+4,"")</f>
        <v/>
      </c>
    </row>
    <row r="444">
      <c r="A444" s="5" t="str">
        <f>IF($G444="","",INDEX('Detalle individual'!$B:$B,$G444))</f>
        <v/>
      </c>
      <c r="B444" s="5" t="str">
        <f>IF($G444="","",INDEX('Detalle individual'!$A:$A,$G444))</f>
        <v/>
      </c>
      <c r="C444" s="5" t="str">
        <f>IF($G444="","",INDEX('Detalle individual'!$E:$E,$G444))</f>
        <v/>
      </c>
      <c r="D444" s="5" t="str">
        <f>IF($G444="","",INDEX('Detalle individual'!$C:$C,$G444))</f>
        <v/>
      </c>
      <c r="E444" s="5" t="str">
        <f>IF($G444="","",INDEX('Detalle individual'!$D:$D,$G444))</f>
        <v/>
      </c>
      <c r="G444" t="str">
        <f>IFERROR(MATCH(SMALL(Cálculos!$AH$5:$AH$1000,440),Cálculos!$AH$5:$AH$1000,0)+4,"")</f>
        <v/>
      </c>
    </row>
    <row r="445">
      <c r="A445" s="5" t="str">
        <f>IF($G445="","",INDEX('Detalle individual'!$B:$B,$G445))</f>
        <v/>
      </c>
      <c r="B445" s="5" t="str">
        <f>IF($G445="","",INDEX('Detalle individual'!$A:$A,$G445))</f>
        <v/>
      </c>
      <c r="C445" s="5" t="str">
        <f>IF($G445="","",INDEX('Detalle individual'!$E:$E,$G445))</f>
        <v/>
      </c>
      <c r="D445" s="5" t="str">
        <f>IF($G445="","",INDEX('Detalle individual'!$C:$C,$G445))</f>
        <v/>
      </c>
      <c r="E445" s="5" t="str">
        <f>IF($G445="","",INDEX('Detalle individual'!$D:$D,$G445))</f>
        <v/>
      </c>
      <c r="G445" t="str">
        <f>IFERROR(MATCH(SMALL(Cálculos!$AH$5:$AH$1000,441),Cálculos!$AH$5:$AH$1000,0)+4,"")</f>
        <v/>
      </c>
    </row>
    <row r="446">
      <c r="A446" s="5" t="str">
        <f>IF($G446="","",INDEX('Detalle individual'!$B:$B,$G446))</f>
        <v/>
      </c>
      <c r="B446" s="5" t="str">
        <f>IF($G446="","",INDEX('Detalle individual'!$A:$A,$G446))</f>
        <v/>
      </c>
      <c r="C446" s="5" t="str">
        <f>IF($G446="","",INDEX('Detalle individual'!$E:$E,$G446))</f>
        <v/>
      </c>
      <c r="D446" s="5" t="str">
        <f>IF($G446="","",INDEX('Detalle individual'!$C:$C,$G446))</f>
        <v/>
      </c>
      <c r="E446" s="5" t="str">
        <f>IF($G446="","",INDEX('Detalle individual'!$D:$D,$G446))</f>
        <v/>
      </c>
      <c r="G446" t="str">
        <f>IFERROR(MATCH(SMALL(Cálculos!$AH$5:$AH$1000,442),Cálculos!$AH$5:$AH$1000,0)+4,"")</f>
        <v/>
      </c>
    </row>
    <row r="447">
      <c r="A447" s="5" t="str">
        <f>IF($G447="","",INDEX('Detalle individual'!$B:$B,$G447))</f>
        <v/>
      </c>
      <c r="B447" s="5" t="str">
        <f>IF($G447="","",INDEX('Detalle individual'!$A:$A,$G447))</f>
        <v/>
      </c>
      <c r="C447" s="5" t="str">
        <f>IF($G447="","",INDEX('Detalle individual'!$E:$E,$G447))</f>
        <v/>
      </c>
      <c r="D447" s="5" t="str">
        <f>IF($G447="","",INDEX('Detalle individual'!$C:$C,$G447))</f>
        <v/>
      </c>
      <c r="E447" s="5" t="str">
        <f>IF($G447="","",INDEX('Detalle individual'!$D:$D,$G447))</f>
        <v/>
      </c>
      <c r="G447" t="str">
        <f>IFERROR(MATCH(SMALL(Cálculos!$AH$5:$AH$1000,443),Cálculos!$AH$5:$AH$1000,0)+4,"")</f>
        <v/>
      </c>
    </row>
    <row r="448">
      <c r="A448" s="5" t="str">
        <f>IF($G448="","",INDEX('Detalle individual'!$B:$B,$G448))</f>
        <v/>
      </c>
      <c r="B448" s="5" t="str">
        <f>IF($G448="","",INDEX('Detalle individual'!$A:$A,$G448))</f>
        <v/>
      </c>
      <c r="C448" s="5" t="str">
        <f>IF($G448="","",INDEX('Detalle individual'!$E:$E,$G448))</f>
        <v/>
      </c>
      <c r="D448" s="5" t="str">
        <f>IF($G448="","",INDEX('Detalle individual'!$C:$C,$G448))</f>
        <v/>
      </c>
      <c r="E448" s="5" t="str">
        <f>IF($G448="","",INDEX('Detalle individual'!$D:$D,$G448))</f>
        <v/>
      </c>
      <c r="G448" t="str">
        <f>IFERROR(MATCH(SMALL(Cálculos!$AH$5:$AH$1000,444),Cálculos!$AH$5:$AH$1000,0)+4,"")</f>
        <v/>
      </c>
    </row>
    <row r="449">
      <c r="A449" s="5" t="str">
        <f>IF($G449="","",INDEX('Detalle individual'!$B:$B,$G449))</f>
        <v/>
      </c>
      <c r="B449" s="5" t="str">
        <f>IF($G449="","",INDEX('Detalle individual'!$A:$A,$G449))</f>
        <v/>
      </c>
      <c r="C449" s="5" t="str">
        <f>IF($G449="","",INDEX('Detalle individual'!$E:$E,$G449))</f>
        <v/>
      </c>
      <c r="D449" s="5" t="str">
        <f>IF($G449="","",INDEX('Detalle individual'!$C:$C,$G449))</f>
        <v/>
      </c>
      <c r="E449" s="5" t="str">
        <f>IF($G449="","",INDEX('Detalle individual'!$D:$D,$G449))</f>
        <v/>
      </c>
      <c r="G449" t="str">
        <f>IFERROR(MATCH(SMALL(Cálculos!$AH$5:$AH$1000,445),Cálculos!$AH$5:$AH$1000,0)+4,"")</f>
        <v/>
      </c>
    </row>
    <row r="450">
      <c r="A450" s="5" t="str">
        <f>IF($G450="","",INDEX('Detalle individual'!$B:$B,$G450))</f>
        <v/>
      </c>
      <c r="B450" s="5" t="str">
        <f>IF($G450="","",INDEX('Detalle individual'!$A:$A,$G450))</f>
        <v/>
      </c>
      <c r="C450" s="5" t="str">
        <f>IF($G450="","",INDEX('Detalle individual'!$E:$E,$G450))</f>
        <v/>
      </c>
      <c r="D450" s="5" t="str">
        <f>IF($G450="","",INDEX('Detalle individual'!$C:$C,$G450))</f>
        <v/>
      </c>
      <c r="E450" s="5" t="str">
        <f>IF($G450="","",INDEX('Detalle individual'!$D:$D,$G450))</f>
        <v/>
      </c>
      <c r="G450" t="str">
        <f>IFERROR(MATCH(SMALL(Cálculos!$AH$5:$AH$1000,446),Cálculos!$AH$5:$AH$1000,0)+4,"")</f>
        <v/>
      </c>
    </row>
    <row r="451">
      <c r="A451" s="5" t="str">
        <f>IF($G451="","",INDEX('Detalle individual'!$B:$B,$G451))</f>
        <v/>
      </c>
      <c r="B451" s="5" t="str">
        <f>IF($G451="","",INDEX('Detalle individual'!$A:$A,$G451))</f>
        <v/>
      </c>
      <c r="C451" s="5" t="str">
        <f>IF($G451="","",INDEX('Detalle individual'!$E:$E,$G451))</f>
        <v/>
      </c>
      <c r="D451" s="5" t="str">
        <f>IF($G451="","",INDEX('Detalle individual'!$C:$C,$G451))</f>
        <v/>
      </c>
      <c r="E451" s="5" t="str">
        <f>IF($G451="","",INDEX('Detalle individual'!$D:$D,$G451))</f>
        <v/>
      </c>
      <c r="G451" t="str">
        <f>IFERROR(MATCH(SMALL(Cálculos!$AH$5:$AH$1000,447),Cálculos!$AH$5:$AH$1000,0)+4,"")</f>
        <v/>
      </c>
    </row>
    <row r="452">
      <c r="A452" s="5" t="str">
        <f>IF($G452="","",INDEX('Detalle individual'!$B:$B,$G452))</f>
        <v/>
      </c>
      <c r="B452" s="5" t="str">
        <f>IF($G452="","",INDEX('Detalle individual'!$A:$A,$G452))</f>
        <v/>
      </c>
      <c r="C452" s="5" t="str">
        <f>IF($G452="","",INDEX('Detalle individual'!$E:$E,$G452))</f>
        <v/>
      </c>
      <c r="D452" s="5" t="str">
        <f>IF($G452="","",INDEX('Detalle individual'!$C:$C,$G452))</f>
        <v/>
      </c>
      <c r="E452" s="5" t="str">
        <f>IF($G452="","",INDEX('Detalle individual'!$D:$D,$G452))</f>
        <v/>
      </c>
      <c r="G452" t="str">
        <f>IFERROR(MATCH(SMALL(Cálculos!$AH$5:$AH$1000,448),Cálculos!$AH$5:$AH$1000,0)+4,"")</f>
        <v/>
      </c>
    </row>
    <row r="453">
      <c r="A453" s="5" t="str">
        <f>IF($G453="","",INDEX('Detalle individual'!$B:$B,$G453))</f>
        <v/>
      </c>
      <c r="B453" s="5" t="str">
        <f>IF($G453="","",INDEX('Detalle individual'!$A:$A,$G453))</f>
        <v/>
      </c>
      <c r="C453" s="5" t="str">
        <f>IF($G453="","",INDEX('Detalle individual'!$E:$E,$G453))</f>
        <v/>
      </c>
      <c r="D453" s="5" t="str">
        <f>IF($G453="","",INDEX('Detalle individual'!$C:$C,$G453))</f>
        <v/>
      </c>
      <c r="E453" s="5" t="str">
        <f>IF($G453="","",INDEX('Detalle individual'!$D:$D,$G453))</f>
        <v/>
      </c>
      <c r="G453" t="str">
        <f>IFERROR(MATCH(SMALL(Cálculos!$AH$5:$AH$1000,449),Cálculos!$AH$5:$AH$1000,0)+4,"")</f>
        <v/>
      </c>
    </row>
    <row r="454">
      <c r="A454" s="5" t="str">
        <f>IF($G454="","",INDEX('Detalle individual'!$B:$B,$G454))</f>
        <v/>
      </c>
      <c r="B454" s="5" t="str">
        <f>IF($G454="","",INDEX('Detalle individual'!$A:$A,$G454))</f>
        <v/>
      </c>
      <c r="C454" s="5" t="str">
        <f>IF($G454="","",INDEX('Detalle individual'!$E:$E,$G454))</f>
        <v/>
      </c>
      <c r="D454" s="5" t="str">
        <f>IF($G454="","",INDEX('Detalle individual'!$C:$C,$G454))</f>
        <v/>
      </c>
      <c r="E454" s="5" t="str">
        <f>IF($G454="","",INDEX('Detalle individual'!$D:$D,$G454))</f>
        <v/>
      </c>
      <c r="G454" t="str">
        <f>IFERROR(MATCH(SMALL(Cálculos!$AH$5:$AH$1000,450),Cálculos!$AH$5:$AH$1000,0)+4,"")</f>
        <v/>
      </c>
    </row>
    <row r="455">
      <c r="A455" s="5" t="str">
        <f>IF($G455="","",INDEX('Detalle individual'!$B:$B,$G455))</f>
        <v/>
      </c>
      <c r="B455" s="5" t="str">
        <f>IF($G455="","",INDEX('Detalle individual'!$A:$A,$G455))</f>
        <v/>
      </c>
      <c r="C455" s="5" t="str">
        <f>IF($G455="","",INDEX('Detalle individual'!$E:$E,$G455))</f>
        <v/>
      </c>
      <c r="D455" s="5" t="str">
        <f>IF($G455="","",INDEX('Detalle individual'!$C:$C,$G455))</f>
        <v/>
      </c>
      <c r="E455" s="5" t="str">
        <f>IF($G455="","",INDEX('Detalle individual'!$D:$D,$G455))</f>
        <v/>
      </c>
      <c r="G455" t="str">
        <f>IFERROR(MATCH(SMALL(Cálculos!$AH$5:$AH$1000,451),Cálculos!$AH$5:$AH$1000,0)+4,"")</f>
        <v/>
      </c>
    </row>
    <row r="456">
      <c r="A456" s="5" t="str">
        <f>IF($G456="","",INDEX('Detalle individual'!$B:$B,$G456))</f>
        <v/>
      </c>
      <c r="B456" s="5" t="str">
        <f>IF($G456="","",INDEX('Detalle individual'!$A:$A,$G456))</f>
        <v/>
      </c>
      <c r="C456" s="5" t="str">
        <f>IF($G456="","",INDEX('Detalle individual'!$E:$E,$G456))</f>
        <v/>
      </c>
      <c r="D456" s="5" t="str">
        <f>IF($G456="","",INDEX('Detalle individual'!$C:$C,$G456))</f>
        <v/>
      </c>
      <c r="E456" s="5" t="str">
        <f>IF($G456="","",INDEX('Detalle individual'!$D:$D,$G456))</f>
        <v/>
      </c>
      <c r="G456" t="str">
        <f>IFERROR(MATCH(SMALL(Cálculos!$AH$5:$AH$1000,452),Cálculos!$AH$5:$AH$1000,0)+4,"")</f>
        <v/>
      </c>
    </row>
    <row r="457">
      <c r="A457" s="5" t="str">
        <f>IF($G457="","",INDEX('Detalle individual'!$B:$B,$G457))</f>
        <v/>
      </c>
      <c r="B457" s="5" t="str">
        <f>IF($G457="","",INDEX('Detalle individual'!$A:$A,$G457))</f>
        <v/>
      </c>
      <c r="C457" s="5" t="str">
        <f>IF($G457="","",INDEX('Detalle individual'!$E:$E,$G457))</f>
        <v/>
      </c>
      <c r="D457" s="5" t="str">
        <f>IF($G457="","",INDEX('Detalle individual'!$C:$C,$G457))</f>
        <v/>
      </c>
      <c r="E457" s="5" t="str">
        <f>IF($G457="","",INDEX('Detalle individual'!$D:$D,$G457))</f>
        <v/>
      </c>
      <c r="G457" t="str">
        <f>IFERROR(MATCH(SMALL(Cálculos!$AH$5:$AH$1000,453),Cálculos!$AH$5:$AH$1000,0)+4,"")</f>
        <v/>
      </c>
    </row>
    <row r="458">
      <c r="A458" s="5" t="str">
        <f>IF($G458="","",INDEX('Detalle individual'!$B:$B,$G458))</f>
        <v/>
      </c>
      <c r="B458" s="5" t="str">
        <f>IF($G458="","",INDEX('Detalle individual'!$A:$A,$G458))</f>
        <v/>
      </c>
      <c r="C458" s="5" t="str">
        <f>IF($G458="","",INDEX('Detalle individual'!$E:$E,$G458))</f>
        <v/>
      </c>
      <c r="D458" s="5" t="str">
        <f>IF($G458="","",INDEX('Detalle individual'!$C:$C,$G458))</f>
        <v/>
      </c>
      <c r="E458" s="5" t="str">
        <f>IF($G458="","",INDEX('Detalle individual'!$D:$D,$G458))</f>
        <v/>
      </c>
      <c r="G458" t="str">
        <f>IFERROR(MATCH(SMALL(Cálculos!$AH$5:$AH$1000,454),Cálculos!$AH$5:$AH$1000,0)+4,"")</f>
        <v/>
      </c>
    </row>
    <row r="459">
      <c r="A459" s="5" t="str">
        <f>IF($G459="","",INDEX('Detalle individual'!$B:$B,$G459))</f>
        <v/>
      </c>
      <c r="B459" s="5" t="str">
        <f>IF($G459="","",INDEX('Detalle individual'!$A:$A,$G459))</f>
        <v/>
      </c>
      <c r="C459" s="5" t="str">
        <f>IF($G459="","",INDEX('Detalle individual'!$E:$E,$G459))</f>
        <v/>
      </c>
      <c r="D459" s="5" t="str">
        <f>IF($G459="","",INDEX('Detalle individual'!$C:$C,$G459))</f>
        <v/>
      </c>
      <c r="E459" s="5" t="str">
        <f>IF($G459="","",INDEX('Detalle individual'!$D:$D,$G459))</f>
        <v/>
      </c>
      <c r="G459" t="str">
        <f>IFERROR(MATCH(SMALL(Cálculos!$AH$5:$AH$1000,455),Cálculos!$AH$5:$AH$1000,0)+4,"")</f>
        <v/>
      </c>
    </row>
    <row r="460">
      <c r="A460" s="5" t="str">
        <f>IF($G460="","",INDEX('Detalle individual'!$B:$B,$G460))</f>
        <v/>
      </c>
      <c r="B460" s="5" t="str">
        <f>IF($G460="","",INDEX('Detalle individual'!$A:$A,$G460))</f>
        <v/>
      </c>
      <c r="C460" s="5" t="str">
        <f>IF($G460="","",INDEX('Detalle individual'!$E:$E,$G460))</f>
        <v/>
      </c>
      <c r="D460" s="5" t="str">
        <f>IF($G460="","",INDEX('Detalle individual'!$C:$C,$G460))</f>
        <v/>
      </c>
      <c r="E460" s="5" t="str">
        <f>IF($G460="","",INDEX('Detalle individual'!$D:$D,$G460))</f>
        <v/>
      </c>
      <c r="G460" t="str">
        <f>IFERROR(MATCH(SMALL(Cálculos!$AH$5:$AH$1000,456),Cálculos!$AH$5:$AH$1000,0)+4,"")</f>
        <v/>
      </c>
    </row>
    <row r="461">
      <c r="A461" s="5" t="str">
        <f>IF($G461="","",INDEX('Detalle individual'!$B:$B,$G461))</f>
        <v/>
      </c>
      <c r="B461" s="5" t="str">
        <f>IF($G461="","",INDEX('Detalle individual'!$A:$A,$G461))</f>
        <v/>
      </c>
      <c r="C461" s="5" t="str">
        <f>IF($G461="","",INDEX('Detalle individual'!$E:$E,$G461))</f>
        <v/>
      </c>
      <c r="D461" s="5" t="str">
        <f>IF($G461="","",INDEX('Detalle individual'!$C:$C,$G461))</f>
        <v/>
      </c>
      <c r="E461" s="5" t="str">
        <f>IF($G461="","",INDEX('Detalle individual'!$D:$D,$G461))</f>
        <v/>
      </c>
      <c r="G461" t="str">
        <f>IFERROR(MATCH(SMALL(Cálculos!$AH$5:$AH$1000,457),Cálculos!$AH$5:$AH$1000,0)+4,"")</f>
        <v/>
      </c>
    </row>
    <row r="462">
      <c r="A462" s="5" t="str">
        <f>IF($G462="","",INDEX('Detalle individual'!$B:$B,$G462))</f>
        <v/>
      </c>
      <c r="B462" s="5" t="str">
        <f>IF($G462="","",INDEX('Detalle individual'!$A:$A,$G462))</f>
        <v/>
      </c>
      <c r="C462" s="5" t="str">
        <f>IF($G462="","",INDEX('Detalle individual'!$E:$E,$G462))</f>
        <v/>
      </c>
      <c r="D462" s="5" t="str">
        <f>IF($G462="","",INDEX('Detalle individual'!$C:$C,$G462))</f>
        <v/>
      </c>
      <c r="E462" s="5" t="str">
        <f>IF($G462="","",INDEX('Detalle individual'!$D:$D,$G462))</f>
        <v/>
      </c>
      <c r="G462" t="str">
        <f>IFERROR(MATCH(SMALL(Cálculos!$AH$5:$AH$1000,458),Cálculos!$AH$5:$AH$1000,0)+4,"")</f>
        <v/>
      </c>
    </row>
    <row r="463">
      <c r="A463" s="5" t="str">
        <f>IF($G463="","",INDEX('Detalle individual'!$B:$B,$G463))</f>
        <v/>
      </c>
      <c r="B463" s="5" t="str">
        <f>IF($G463="","",INDEX('Detalle individual'!$A:$A,$G463))</f>
        <v/>
      </c>
      <c r="C463" s="5" t="str">
        <f>IF($G463="","",INDEX('Detalle individual'!$E:$E,$G463))</f>
        <v/>
      </c>
      <c r="D463" s="5" t="str">
        <f>IF($G463="","",INDEX('Detalle individual'!$C:$C,$G463))</f>
        <v/>
      </c>
      <c r="E463" s="5" t="str">
        <f>IF($G463="","",INDEX('Detalle individual'!$D:$D,$G463))</f>
        <v/>
      </c>
      <c r="G463" t="str">
        <f>IFERROR(MATCH(SMALL(Cálculos!$AH$5:$AH$1000,459),Cálculos!$AH$5:$AH$1000,0)+4,"")</f>
        <v/>
      </c>
    </row>
    <row r="464">
      <c r="A464" s="5" t="str">
        <f>IF($G464="","",INDEX('Detalle individual'!$B:$B,$G464))</f>
        <v/>
      </c>
      <c r="B464" s="5" t="str">
        <f>IF($G464="","",INDEX('Detalle individual'!$A:$A,$G464))</f>
        <v/>
      </c>
      <c r="C464" s="5" t="str">
        <f>IF($G464="","",INDEX('Detalle individual'!$E:$E,$G464))</f>
        <v/>
      </c>
      <c r="D464" s="5" t="str">
        <f>IF($G464="","",INDEX('Detalle individual'!$C:$C,$G464))</f>
        <v/>
      </c>
      <c r="E464" s="5" t="str">
        <f>IF($G464="","",INDEX('Detalle individual'!$D:$D,$G464))</f>
        <v/>
      </c>
      <c r="G464" t="str">
        <f>IFERROR(MATCH(SMALL(Cálculos!$AH$5:$AH$1000,460),Cálculos!$AH$5:$AH$1000,0)+4,"")</f>
        <v/>
      </c>
    </row>
    <row r="465">
      <c r="A465" s="5" t="str">
        <f>IF($G465="","",INDEX('Detalle individual'!$B:$B,$G465))</f>
        <v/>
      </c>
      <c r="B465" s="5" t="str">
        <f>IF($G465="","",INDEX('Detalle individual'!$A:$A,$G465))</f>
        <v/>
      </c>
      <c r="C465" s="5" t="str">
        <f>IF($G465="","",INDEX('Detalle individual'!$E:$E,$G465))</f>
        <v/>
      </c>
      <c r="D465" s="5" t="str">
        <f>IF($G465="","",INDEX('Detalle individual'!$C:$C,$G465))</f>
        <v/>
      </c>
      <c r="E465" s="5" t="str">
        <f>IF($G465="","",INDEX('Detalle individual'!$D:$D,$G465))</f>
        <v/>
      </c>
      <c r="G465" t="str">
        <f>IFERROR(MATCH(SMALL(Cálculos!$AH$5:$AH$1000,461),Cálculos!$AH$5:$AH$1000,0)+4,"")</f>
        <v/>
      </c>
    </row>
    <row r="466">
      <c r="A466" s="5" t="str">
        <f>IF($G466="","",INDEX('Detalle individual'!$B:$B,$G466))</f>
        <v/>
      </c>
      <c r="B466" s="5" t="str">
        <f>IF($G466="","",INDEX('Detalle individual'!$A:$A,$G466))</f>
        <v/>
      </c>
      <c r="C466" s="5" t="str">
        <f>IF($G466="","",INDEX('Detalle individual'!$E:$E,$G466))</f>
        <v/>
      </c>
      <c r="D466" s="5" t="str">
        <f>IF($G466="","",INDEX('Detalle individual'!$C:$C,$G466))</f>
        <v/>
      </c>
      <c r="E466" s="5" t="str">
        <f>IF($G466="","",INDEX('Detalle individual'!$D:$D,$G466))</f>
        <v/>
      </c>
      <c r="G466" t="str">
        <f>IFERROR(MATCH(SMALL(Cálculos!$AH$5:$AH$1000,462),Cálculos!$AH$5:$AH$1000,0)+4,"")</f>
        <v/>
      </c>
    </row>
    <row r="467">
      <c r="A467" s="5" t="str">
        <f>IF($G467="","",INDEX('Detalle individual'!$B:$B,$G467))</f>
        <v/>
      </c>
      <c r="B467" s="5" t="str">
        <f>IF($G467="","",INDEX('Detalle individual'!$A:$A,$G467))</f>
        <v/>
      </c>
      <c r="C467" s="5" t="str">
        <f>IF($G467="","",INDEX('Detalle individual'!$E:$E,$G467))</f>
        <v/>
      </c>
      <c r="D467" s="5" t="str">
        <f>IF($G467="","",INDEX('Detalle individual'!$C:$C,$G467))</f>
        <v/>
      </c>
      <c r="E467" s="5" t="str">
        <f>IF($G467="","",INDEX('Detalle individual'!$D:$D,$G467))</f>
        <v/>
      </c>
      <c r="G467" t="str">
        <f>IFERROR(MATCH(SMALL(Cálculos!$AH$5:$AH$1000,463),Cálculos!$AH$5:$AH$1000,0)+4,"")</f>
        <v/>
      </c>
    </row>
    <row r="468">
      <c r="A468" s="5" t="str">
        <f>IF($G468="","",INDEX('Detalle individual'!$B:$B,$G468))</f>
        <v/>
      </c>
      <c r="B468" s="5" t="str">
        <f>IF($G468="","",INDEX('Detalle individual'!$A:$A,$G468))</f>
        <v/>
      </c>
      <c r="C468" s="5" t="str">
        <f>IF($G468="","",INDEX('Detalle individual'!$E:$E,$G468))</f>
        <v/>
      </c>
      <c r="D468" s="5" t="str">
        <f>IF($G468="","",INDEX('Detalle individual'!$C:$C,$G468))</f>
        <v/>
      </c>
      <c r="E468" s="5" t="str">
        <f>IF($G468="","",INDEX('Detalle individual'!$D:$D,$G468))</f>
        <v/>
      </c>
      <c r="G468" t="str">
        <f>IFERROR(MATCH(SMALL(Cálculos!$AH$5:$AH$1000,464),Cálculos!$AH$5:$AH$1000,0)+4,"")</f>
        <v/>
      </c>
    </row>
    <row r="469">
      <c r="A469" s="5" t="str">
        <f>IF($G469="","",INDEX('Detalle individual'!$B:$B,$G469))</f>
        <v/>
      </c>
      <c r="B469" s="5" t="str">
        <f>IF($G469="","",INDEX('Detalle individual'!$A:$A,$G469))</f>
        <v/>
      </c>
      <c r="C469" s="5" t="str">
        <f>IF($G469="","",INDEX('Detalle individual'!$E:$E,$G469))</f>
        <v/>
      </c>
      <c r="D469" s="5" t="str">
        <f>IF($G469="","",INDEX('Detalle individual'!$C:$C,$G469))</f>
        <v/>
      </c>
      <c r="E469" s="5" t="str">
        <f>IF($G469="","",INDEX('Detalle individual'!$D:$D,$G469))</f>
        <v/>
      </c>
      <c r="G469" t="str">
        <f>IFERROR(MATCH(SMALL(Cálculos!$AH$5:$AH$1000,465),Cálculos!$AH$5:$AH$1000,0)+4,"")</f>
        <v/>
      </c>
    </row>
    <row r="470">
      <c r="A470" s="5" t="str">
        <f>IF($G470="","",INDEX('Detalle individual'!$B:$B,$G470))</f>
        <v/>
      </c>
      <c r="B470" s="5" t="str">
        <f>IF($G470="","",INDEX('Detalle individual'!$A:$A,$G470))</f>
        <v/>
      </c>
      <c r="C470" s="5" t="str">
        <f>IF($G470="","",INDEX('Detalle individual'!$E:$E,$G470))</f>
        <v/>
      </c>
      <c r="D470" s="5" t="str">
        <f>IF($G470="","",INDEX('Detalle individual'!$C:$C,$G470))</f>
        <v/>
      </c>
      <c r="E470" s="5" t="str">
        <f>IF($G470="","",INDEX('Detalle individual'!$D:$D,$G470))</f>
        <v/>
      </c>
      <c r="G470" t="str">
        <f>IFERROR(MATCH(SMALL(Cálculos!$AH$5:$AH$1000,466),Cálculos!$AH$5:$AH$1000,0)+4,"")</f>
        <v/>
      </c>
    </row>
    <row r="471">
      <c r="A471" s="5" t="str">
        <f>IF($G471="","",INDEX('Detalle individual'!$B:$B,$G471))</f>
        <v/>
      </c>
      <c r="B471" s="5" t="str">
        <f>IF($G471="","",INDEX('Detalle individual'!$A:$A,$G471))</f>
        <v/>
      </c>
      <c r="C471" s="5" t="str">
        <f>IF($G471="","",INDEX('Detalle individual'!$E:$E,$G471))</f>
        <v/>
      </c>
      <c r="D471" s="5" t="str">
        <f>IF($G471="","",INDEX('Detalle individual'!$C:$C,$G471))</f>
        <v/>
      </c>
      <c r="E471" s="5" t="str">
        <f>IF($G471="","",INDEX('Detalle individual'!$D:$D,$G471))</f>
        <v/>
      </c>
      <c r="G471" t="str">
        <f>IFERROR(MATCH(SMALL(Cálculos!$AH$5:$AH$1000,467),Cálculos!$AH$5:$AH$1000,0)+4,"")</f>
        <v/>
      </c>
    </row>
    <row r="472">
      <c r="A472" s="5" t="str">
        <f>IF($G472="","",INDEX('Detalle individual'!$B:$B,$G472))</f>
        <v/>
      </c>
      <c r="B472" s="5" t="str">
        <f>IF($G472="","",INDEX('Detalle individual'!$A:$A,$G472))</f>
        <v/>
      </c>
      <c r="C472" s="5" t="str">
        <f>IF($G472="","",INDEX('Detalle individual'!$E:$E,$G472))</f>
        <v/>
      </c>
      <c r="D472" s="5" t="str">
        <f>IF($G472="","",INDEX('Detalle individual'!$C:$C,$G472))</f>
        <v/>
      </c>
      <c r="E472" s="5" t="str">
        <f>IF($G472="","",INDEX('Detalle individual'!$D:$D,$G472))</f>
        <v/>
      </c>
      <c r="G472" t="str">
        <f>IFERROR(MATCH(SMALL(Cálculos!$AH$5:$AH$1000,468),Cálculos!$AH$5:$AH$1000,0)+4,"")</f>
        <v/>
      </c>
    </row>
    <row r="473">
      <c r="A473" s="5" t="str">
        <f>IF($G473="","",INDEX('Detalle individual'!$B:$B,$G473))</f>
        <v/>
      </c>
      <c r="B473" s="5" t="str">
        <f>IF($G473="","",INDEX('Detalle individual'!$A:$A,$G473))</f>
        <v/>
      </c>
      <c r="C473" s="5" t="str">
        <f>IF($G473="","",INDEX('Detalle individual'!$E:$E,$G473))</f>
        <v/>
      </c>
      <c r="D473" s="5" t="str">
        <f>IF($G473="","",INDEX('Detalle individual'!$C:$C,$G473))</f>
        <v/>
      </c>
      <c r="E473" s="5" t="str">
        <f>IF($G473="","",INDEX('Detalle individual'!$D:$D,$G473))</f>
        <v/>
      </c>
      <c r="G473" t="str">
        <f>IFERROR(MATCH(SMALL(Cálculos!$AH$5:$AH$1000,469),Cálculos!$AH$5:$AH$1000,0)+4,"")</f>
        <v/>
      </c>
    </row>
    <row r="474">
      <c r="A474" s="5" t="str">
        <f>IF($G474="","",INDEX('Detalle individual'!$B:$B,$G474))</f>
        <v/>
      </c>
      <c r="B474" s="5" t="str">
        <f>IF($G474="","",INDEX('Detalle individual'!$A:$A,$G474))</f>
        <v/>
      </c>
      <c r="C474" s="5" t="str">
        <f>IF($G474="","",INDEX('Detalle individual'!$E:$E,$G474))</f>
        <v/>
      </c>
      <c r="D474" s="5" t="str">
        <f>IF($G474="","",INDEX('Detalle individual'!$C:$C,$G474))</f>
        <v/>
      </c>
      <c r="E474" s="5" t="str">
        <f>IF($G474="","",INDEX('Detalle individual'!$D:$D,$G474))</f>
        <v/>
      </c>
      <c r="G474" t="str">
        <f>IFERROR(MATCH(SMALL(Cálculos!$AH$5:$AH$1000,470),Cálculos!$AH$5:$AH$1000,0)+4,"")</f>
        <v/>
      </c>
    </row>
    <row r="475">
      <c r="A475" s="5" t="str">
        <f>IF($G475="","",INDEX('Detalle individual'!$B:$B,$G475))</f>
        <v/>
      </c>
      <c r="B475" s="5" t="str">
        <f>IF($G475="","",INDEX('Detalle individual'!$A:$A,$G475))</f>
        <v/>
      </c>
      <c r="C475" s="5" t="str">
        <f>IF($G475="","",INDEX('Detalle individual'!$E:$E,$G475))</f>
        <v/>
      </c>
      <c r="D475" s="5" t="str">
        <f>IF($G475="","",INDEX('Detalle individual'!$C:$C,$G475))</f>
        <v/>
      </c>
      <c r="E475" s="5" t="str">
        <f>IF($G475="","",INDEX('Detalle individual'!$D:$D,$G475))</f>
        <v/>
      </c>
      <c r="G475" t="str">
        <f>IFERROR(MATCH(SMALL(Cálculos!$AH$5:$AH$1000,471),Cálculos!$AH$5:$AH$1000,0)+4,"")</f>
        <v/>
      </c>
    </row>
    <row r="476">
      <c r="A476" s="5" t="str">
        <f>IF($G476="","",INDEX('Detalle individual'!$B:$B,$G476))</f>
        <v/>
      </c>
      <c r="B476" s="5" t="str">
        <f>IF($G476="","",INDEX('Detalle individual'!$A:$A,$G476))</f>
        <v/>
      </c>
      <c r="C476" s="5" t="str">
        <f>IF($G476="","",INDEX('Detalle individual'!$E:$E,$G476))</f>
        <v/>
      </c>
      <c r="D476" s="5" t="str">
        <f>IF($G476="","",INDEX('Detalle individual'!$C:$C,$G476))</f>
        <v/>
      </c>
      <c r="E476" s="5" t="str">
        <f>IF($G476="","",INDEX('Detalle individual'!$D:$D,$G476))</f>
        <v/>
      </c>
      <c r="G476" t="str">
        <f>IFERROR(MATCH(SMALL(Cálculos!$AH$5:$AH$1000,472),Cálculos!$AH$5:$AH$1000,0)+4,"")</f>
        <v/>
      </c>
    </row>
    <row r="477">
      <c r="A477" s="5" t="str">
        <f>IF($G477="","",INDEX('Detalle individual'!$B:$B,$G477))</f>
        <v/>
      </c>
      <c r="B477" s="5" t="str">
        <f>IF($G477="","",INDEX('Detalle individual'!$A:$A,$G477))</f>
        <v/>
      </c>
      <c r="C477" s="5" t="str">
        <f>IF($G477="","",INDEX('Detalle individual'!$E:$E,$G477))</f>
        <v/>
      </c>
      <c r="D477" s="5" t="str">
        <f>IF($G477="","",INDEX('Detalle individual'!$C:$C,$G477))</f>
        <v/>
      </c>
      <c r="E477" s="5" t="str">
        <f>IF($G477="","",INDEX('Detalle individual'!$D:$D,$G477))</f>
        <v/>
      </c>
      <c r="G477" t="str">
        <f>IFERROR(MATCH(SMALL(Cálculos!$AH$5:$AH$1000,473),Cálculos!$AH$5:$AH$1000,0)+4,"")</f>
        <v/>
      </c>
    </row>
    <row r="478">
      <c r="A478" s="5" t="str">
        <f>IF($G478="","",INDEX('Detalle individual'!$B:$B,$G478))</f>
        <v/>
      </c>
      <c r="B478" s="5" t="str">
        <f>IF($G478="","",INDEX('Detalle individual'!$A:$A,$G478))</f>
        <v/>
      </c>
      <c r="C478" s="5" t="str">
        <f>IF($G478="","",INDEX('Detalle individual'!$E:$E,$G478))</f>
        <v/>
      </c>
      <c r="D478" s="5" t="str">
        <f>IF($G478="","",INDEX('Detalle individual'!$C:$C,$G478))</f>
        <v/>
      </c>
      <c r="E478" s="5" t="str">
        <f>IF($G478="","",INDEX('Detalle individual'!$D:$D,$G478))</f>
        <v/>
      </c>
      <c r="G478" t="str">
        <f>IFERROR(MATCH(SMALL(Cálculos!$AH$5:$AH$1000,474),Cálculos!$AH$5:$AH$1000,0)+4,"")</f>
        <v/>
      </c>
    </row>
    <row r="479">
      <c r="A479" s="5" t="str">
        <f>IF($G479="","",INDEX('Detalle individual'!$B:$B,$G479))</f>
        <v/>
      </c>
      <c r="B479" s="5" t="str">
        <f>IF($G479="","",INDEX('Detalle individual'!$A:$A,$G479))</f>
        <v/>
      </c>
      <c r="C479" s="5" t="str">
        <f>IF($G479="","",INDEX('Detalle individual'!$E:$E,$G479))</f>
        <v/>
      </c>
      <c r="D479" s="5" t="str">
        <f>IF($G479="","",INDEX('Detalle individual'!$C:$C,$G479))</f>
        <v/>
      </c>
      <c r="E479" s="5" t="str">
        <f>IF($G479="","",INDEX('Detalle individual'!$D:$D,$G479))</f>
        <v/>
      </c>
      <c r="G479" t="str">
        <f>IFERROR(MATCH(SMALL(Cálculos!$AH$5:$AH$1000,475),Cálculos!$AH$5:$AH$1000,0)+4,"")</f>
        <v/>
      </c>
    </row>
    <row r="480">
      <c r="A480" s="5" t="str">
        <f>IF($G480="","",INDEX('Detalle individual'!$B:$B,$G480))</f>
        <v/>
      </c>
      <c r="B480" s="5" t="str">
        <f>IF($G480="","",INDEX('Detalle individual'!$A:$A,$G480))</f>
        <v/>
      </c>
      <c r="C480" s="5" t="str">
        <f>IF($G480="","",INDEX('Detalle individual'!$E:$E,$G480))</f>
        <v/>
      </c>
      <c r="D480" s="5" t="str">
        <f>IF($G480="","",INDEX('Detalle individual'!$C:$C,$G480))</f>
        <v/>
      </c>
      <c r="E480" s="5" t="str">
        <f>IF($G480="","",INDEX('Detalle individual'!$D:$D,$G480))</f>
        <v/>
      </c>
      <c r="G480" t="str">
        <f>IFERROR(MATCH(SMALL(Cálculos!$AH$5:$AH$1000,476),Cálculos!$AH$5:$AH$1000,0)+4,"")</f>
        <v/>
      </c>
    </row>
    <row r="481">
      <c r="A481" s="5" t="str">
        <f>IF($G481="","",INDEX('Detalle individual'!$B:$B,$G481))</f>
        <v/>
      </c>
      <c r="B481" s="5" t="str">
        <f>IF($G481="","",INDEX('Detalle individual'!$A:$A,$G481))</f>
        <v/>
      </c>
      <c r="C481" s="5" t="str">
        <f>IF($G481="","",INDEX('Detalle individual'!$E:$E,$G481))</f>
        <v/>
      </c>
      <c r="D481" s="5" t="str">
        <f>IF($G481="","",INDEX('Detalle individual'!$C:$C,$G481))</f>
        <v/>
      </c>
      <c r="E481" s="5" t="str">
        <f>IF($G481="","",INDEX('Detalle individual'!$D:$D,$G481))</f>
        <v/>
      </c>
      <c r="G481" t="str">
        <f>IFERROR(MATCH(SMALL(Cálculos!$AH$5:$AH$1000,477),Cálculos!$AH$5:$AH$1000,0)+4,"")</f>
        <v/>
      </c>
    </row>
    <row r="482">
      <c r="A482" s="5" t="str">
        <f>IF($G482="","",INDEX('Detalle individual'!$B:$B,$G482))</f>
        <v/>
      </c>
      <c r="B482" s="5" t="str">
        <f>IF($G482="","",INDEX('Detalle individual'!$A:$A,$G482))</f>
        <v/>
      </c>
      <c r="C482" s="5" t="str">
        <f>IF($G482="","",INDEX('Detalle individual'!$E:$E,$G482))</f>
        <v/>
      </c>
      <c r="D482" s="5" t="str">
        <f>IF($G482="","",INDEX('Detalle individual'!$C:$C,$G482))</f>
        <v/>
      </c>
      <c r="E482" s="5" t="str">
        <f>IF($G482="","",INDEX('Detalle individual'!$D:$D,$G482))</f>
        <v/>
      </c>
      <c r="G482" t="str">
        <f>IFERROR(MATCH(SMALL(Cálculos!$AH$5:$AH$1000,478),Cálculos!$AH$5:$AH$1000,0)+4,"")</f>
        <v/>
      </c>
    </row>
    <row r="483">
      <c r="A483" s="5" t="str">
        <f>IF($G483="","",INDEX('Detalle individual'!$B:$B,$G483))</f>
        <v/>
      </c>
      <c r="B483" s="5" t="str">
        <f>IF($G483="","",INDEX('Detalle individual'!$A:$A,$G483))</f>
        <v/>
      </c>
      <c r="C483" s="5" t="str">
        <f>IF($G483="","",INDEX('Detalle individual'!$E:$E,$G483))</f>
        <v/>
      </c>
      <c r="D483" s="5" t="str">
        <f>IF($G483="","",INDEX('Detalle individual'!$C:$C,$G483))</f>
        <v/>
      </c>
      <c r="E483" s="5" t="str">
        <f>IF($G483="","",INDEX('Detalle individual'!$D:$D,$G483))</f>
        <v/>
      </c>
      <c r="G483" t="str">
        <f>IFERROR(MATCH(SMALL(Cálculos!$AH$5:$AH$1000,479),Cálculos!$AH$5:$AH$1000,0)+4,"")</f>
        <v/>
      </c>
    </row>
    <row r="484">
      <c r="A484" s="5" t="str">
        <f>IF($G484="","",INDEX('Detalle individual'!$B:$B,$G484))</f>
        <v/>
      </c>
      <c r="B484" s="5" t="str">
        <f>IF($G484="","",INDEX('Detalle individual'!$A:$A,$G484))</f>
        <v/>
      </c>
      <c r="C484" s="5" t="str">
        <f>IF($G484="","",INDEX('Detalle individual'!$E:$E,$G484))</f>
        <v/>
      </c>
      <c r="D484" s="5" t="str">
        <f>IF($G484="","",INDEX('Detalle individual'!$C:$C,$G484))</f>
        <v/>
      </c>
      <c r="E484" s="5" t="str">
        <f>IF($G484="","",INDEX('Detalle individual'!$D:$D,$G484))</f>
        <v/>
      </c>
      <c r="G484" t="str">
        <f>IFERROR(MATCH(SMALL(Cálculos!$AH$5:$AH$1000,480),Cálculos!$AH$5:$AH$1000,0)+4,"")</f>
        <v/>
      </c>
    </row>
    <row r="485">
      <c r="A485" s="5" t="str">
        <f>IF($G485="","",INDEX('Detalle individual'!$B:$B,$G485))</f>
        <v/>
      </c>
      <c r="B485" s="5" t="str">
        <f>IF($G485="","",INDEX('Detalle individual'!$A:$A,$G485))</f>
        <v/>
      </c>
      <c r="C485" s="5" t="str">
        <f>IF($G485="","",INDEX('Detalle individual'!$E:$E,$G485))</f>
        <v/>
      </c>
      <c r="D485" s="5" t="str">
        <f>IF($G485="","",INDEX('Detalle individual'!$C:$C,$G485))</f>
        <v/>
      </c>
      <c r="E485" s="5" t="str">
        <f>IF($G485="","",INDEX('Detalle individual'!$D:$D,$G485))</f>
        <v/>
      </c>
      <c r="G485" t="str">
        <f>IFERROR(MATCH(SMALL(Cálculos!$AH$5:$AH$1000,481),Cálculos!$AH$5:$AH$1000,0)+4,"")</f>
        <v/>
      </c>
    </row>
    <row r="486">
      <c r="A486" s="5" t="str">
        <f>IF($G486="","",INDEX('Detalle individual'!$B:$B,$G486))</f>
        <v/>
      </c>
      <c r="B486" s="5" t="str">
        <f>IF($G486="","",INDEX('Detalle individual'!$A:$A,$G486))</f>
        <v/>
      </c>
      <c r="C486" s="5" t="str">
        <f>IF($G486="","",INDEX('Detalle individual'!$E:$E,$G486))</f>
        <v/>
      </c>
      <c r="D486" s="5" t="str">
        <f>IF($G486="","",INDEX('Detalle individual'!$C:$C,$G486))</f>
        <v/>
      </c>
      <c r="E486" s="5" t="str">
        <f>IF($G486="","",INDEX('Detalle individual'!$D:$D,$G486))</f>
        <v/>
      </c>
      <c r="G486" t="str">
        <f>IFERROR(MATCH(SMALL(Cálculos!$AH$5:$AH$1000,482),Cálculos!$AH$5:$AH$1000,0)+4,"")</f>
        <v/>
      </c>
    </row>
    <row r="487">
      <c r="A487" s="5" t="str">
        <f>IF($G487="","",INDEX('Detalle individual'!$B:$B,$G487))</f>
        <v/>
      </c>
      <c r="B487" s="5" t="str">
        <f>IF($G487="","",INDEX('Detalle individual'!$A:$A,$G487))</f>
        <v/>
      </c>
      <c r="C487" s="5" t="str">
        <f>IF($G487="","",INDEX('Detalle individual'!$E:$E,$G487))</f>
        <v/>
      </c>
      <c r="D487" s="5" t="str">
        <f>IF($G487="","",INDEX('Detalle individual'!$C:$C,$G487))</f>
        <v/>
      </c>
      <c r="E487" s="5" t="str">
        <f>IF($G487="","",INDEX('Detalle individual'!$D:$D,$G487))</f>
        <v/>
      </c>
      <c r="G487" t="str">
        <f>IFERROR(MATCH(SMALL(Cálculos!$AH$5:$AH$1000,483),Cálculos!$AH$5:$AH$1000,0)+4,"")</f>
        <v/>
      </c>
    </row>
    <row r="488">
      <c r="A488" s="5" t="str">
        <f>IF($G488="","",INDEX('Detalle individual'!$B:$B,$G488))</f>
        <v/>
      </c>
      <c r="B488" s="5" t="str">
        <f>IF($G488="","",INDEX('Detalle individual'!$A:$A,$G488))</f>
        <v/>
      </c>
      <c r="C488" s="5" t="str">
        <f>IF($G488="","",INDEX('Detalle individual'!$E:$E,$G488))</f>
        <v/>
      </c>
      <c r="D488" s="5" t="str">
        <f>IF($G488="","",INDEX('Detalle individual'!$C:$C,$G488))</f>
        <v/>
      </c>
      <c r="E488" s="5" t="str">
        <f>IF($G488="","",INDEX('Detalle individual'!$D:$D,$G488))</f>
        <v/>
      </c>
      <c r="G488" t="str">
        <f>IFERROR(MATCH(SMALL(Cálculos!$AH$5:$AH$1000,484),Cálculos!$AH$5:$AH$1000,0)+4,"")</f>
        <v/>
      </c>
    </row>
    <row r="489">
      <c r="A489" s="5" t="str">
        <f>IF($G489="","",INDEX('Detalle individual'!$B:$B,$G489))</f>
        <v/>
      </c>
      <c r="B489" s="5" t="str">
        <f>IF($G489="","",INDEX('Detalle individual'!$A:$A,$G489))</f>
        <v/>
      </c>
      <c r="C489" s="5" t="str">
        <f>IF($G489="","",INDEX('Detalle individual'!$E:$E,$G489))</f>
        <v/>
      </c>
      <c r="D489" s="5" t="str">
        <f>IF($G489="","",INDEX('Detalle individual'!$C:$C,$G489))</f>
        <v/>
      </c>
      <c r="E489" s="5" t="str">
        <f>IF($G489="","",INDEX('Detalle individual'!$D:$D,$G489))</f>
        <v/>
      </c>
      <c r="G489" t="str">
        <f>IFERROR(MATCH(SMALL(Cálculos!$AH$5:$AH$1000,485),Cálculos!$AH$5:$AH$1000,0)+4,"")</f>
        <v/>
      </c>
    </row>
    <row r="490">
      <c r="A490" s="5" t="str">
        <f>IF($G490="","",INDEX('Detalle individual'!$B:$B,$G490))</f>
        <v/>
      </c>
      <c r="B490" s="5" t="str">
        <f>IF($G490="","",INDEX('Detalle individual'!$A:$A,$G490))</f>
        <v/>
      </c>
      <c r="C490" s="5" t="str">
        <f>IF($G490="","",INDEX('Detalle individual'!$E:$E,$G490))</f>
        <v/>
      </c>
      <c r="D490" s="5" t="str">
        <f>IF($G490="","",INDEX('Detalle individual'!$C:$C,$G490))</f>
        <v/>
      </c>
      <c r="E490" s="5" t="str">
        <f>IF($G490="","",INDEX('Detalle individual'!$D:$D,$G490))</f>
        <v/>
      </c>
      <c r="G490" t="str">
        <f>IFERROR(MATCH(SMALL(Cálculos!$AH$5:$AH$1000,486),Cálculos!$AH$5:$AH$1000,0)+4,"")</f>
        <v/>
      </c>
    </row>
    <row r="491">
      <c r="A491" s="5" t="str">
        <f>IF($G491="","",INDEX('Detalle individual'!$B:$B,$G491))</f>
        <v/>
      </c>
      <c r="B491" s="5" t="str">
        <f>IF($G491="","",INDEX('Detalle individual'!$A:$A,$G491))</f>
        <v/>
      </c>
      <c r="C491" s="5" t="str">
        <f>IF($G491="","",INDEX('Detalle individual'!$E:$E,$G491))</f>
        <v/>
      </c>
      <c r="D491" s="5" t="str">
        <f>IF($G491="","",INDEX('Detalle individual'!$C:$C,$G491))</f>
        <v/>
      </c>
      <c r="E491" s="5" t="str">
        <f>IF($G491="","",INDEX('Detalle individual'!$D:$D,$G491))</f>
        <v/>
      </c>
      <c r="G491" t="str">
        <f>IFERROR(MATCH(SMALL(Cálculos!$AH$5:$AH$1000,487),Cálculos!$AH$5:$AH$1000,0)+4,"")</f>
        <v/>
      </c>
    </row>
    <row r="492">
      <c r="A492" s="5" t="str">
        <f>IF($G492="","",INDEX('Detalle individual'!$B:$B,$G492))</f>
        <v/>
      </c>
      <c r="B492" s="5" t="str">
        <f>IF($G492="","",INDEX('Detalle individual'!$A:$A,$G492))</f>
        <v/>
      </c>
      <c r="C492" s="5" t="str">
        <f>IF($G492="","",INDEX('Detalle individual'!$E:$E,$G492))</f>
        <v/>
      </c>
      <c r="D492" s="5" t="str">
        <f>IF($G492="","",INDEX('Detalle individual'!$C:$C,$G492))</f>
        <v/>
      </c>
      <c r="E492" s="5" t="str">
        <f>IF($G492="","",INDEX('Detalle individual'!$D:$D,$G492))</f>
        <v/>
      </c>
      <c r="G492" t="str">
        <f>IFERROR(MATCH(SMALL(Cálculos!$AH$5:$AH$1000,488),Cálculos!$AH$5:$AH$1000,0)+4,"")</f>
        <v/>
      </c>
    </row>
    <row r="493">
      <c r="A493" s="5" t="str">
        <f>IF($G493="","",INDEX('Detalle individual'!$B:$B,$G493))</f>
        <v/>
      </c>
      <c r="B493" s="5" t="str">
        <f>IF($G493="","",INDEX('Detalle individual'!$A:$A,$G493))</f>
        <v/>
      </c>
      <c r="C493" s="5" t="str">
        <f>IF($G493="","",INDEX('Detalle individual'!$E:$E,$G493))</f>
        <v/>
      </c>
      <c r="D493" s="5" t="str">
        <f>IF($G493="","",INDEX('Detalle individual'!$C:$C,$G493))</f>
        <v/>
      </c>
      <c r="E493" s="5" t="str">
        <f>IF($G493="","",INDEX('Detalle individual'!$D:$D,$G493))</f>
        <v/>
      </c>
      <c r="G493" t="str">
        <f>IFERROR(MATCH(SMALL(Cálculos!$AH$5:$AH$1000,489),Cálculos!$AH$5:$AH$1000,0)+4,"")</f>
        <v/>
      </c>
    </row>
    <row r="494">
      <c r="A494" s="5" t="str">
        <f>IF($G494="","",INDEX('Detalle individual'!$B:$B,$G494))</f>
        <v/>
      </c>
      <c r="B494" s="5" t="str">
        <f>IF($G494="","",INDEX('Detalle individual'!$A:$A,$G494))</f>
        <v/>
      </c>
      <c r="C494" s="5" t="str">
        <f>IF($G494="","",INDEX('Detalle individual'!$E:$E,$G494))</f>
        <v/>
      </c>
      <c r="D494" s="5" t="str">
        <f>IF($G494="","",INDEX('Detalle individual'!$C:$C,$G494))</f>
        <v/>
      </c>
      <c r="E494" s="5" t="str">
        <f>IF($G494="","",INDEX('Detalle individual'!$D:$D,$G494))</f>
        <v/>
      </c>
      <c r="G494" t="str">
        <f>IFERROR(MATCH(SMALL(Cálculos!$AH$5:$AH$1000,490),Cálculos!$AH$5:$AH$1000,0)+4,"")</f>
        <v/>
      </c>
    </row>
    <row r="495">
      <c r="A495" s="5" t="str">
        <f>IF($G495="","",INDEX('Detalle individual'!$B:$B,$G495))</f>
        <v/>
      </c>
      <c r="B495" s="5" t="str">
        <f>IF($G495="","",INDEX('Detalle individual'!$A:$A,$G495))</f>
        <v/>
      </c>
      <c r="C495" s="5" t="str">
        <f>IF($G495="","",INDEX('Detalle individual'!$E:$E,$G495))</f>
        <v/>
      </c>
      <c r="D495" s="5" t="str">
        <f>IF($G495="","",INDEX('Detalle individual'!$C:$C,$G495))</f>
        <v/>
      </c>
      <c r="E495" s="5" t="str">
        <f>IF($G495="","",INDEX('Detalle individual'!$D:$D,$G495))</f>
        <v/>
      </c>
      <c r="G495" t="str">
        <f>IFERROR(MATCH(SMALL(Cálculos!$AH$5:$AH$1000,491),Cálculos!$AH$5:$AH$1000,0)+4,"")</f>
        <v/>
      </c>
    </row>
    <row r="496">
      <c r="A496" s="5" t="str">
        <f>IF($G496="","",INDEX('Detalle individual'!$B:$B,$G496))</f>
        <v/>
      </c>
      <c r="B496" s="5" t="str">
        <f>IF($G496="","",INDEX('Detalle individual'!$A:$A,$G496))</f>
        <v/>
      </c>
      <c r="C496" s="5" t="str">
        <f>IF($G496="","",INDEX('Detalle individual'!$E:$E,$G496))</f>
        <v/>
      </c>
      <c r="D496" s="5" t="str">
        <f>IF($G496="","",INDEX('Detalle individual'!$C:$C,$G496))</f>
        <v/>
      </c>
      <c r="E496" s="5" t="str">
        <f>IF($G496="","",INDEX('Detalle individual'!$D:$D,$G496))</f>
        <v/>
      </c>
      <c r="G496" t="str">
        <f>IFERROR(MATCH(SMALL(Cálculos!$AH$5:$AH$1000,492),Cálculos!$AH$5:$AH$1000,0)+4,"")</f>
        <v/>
      </c>
    </row>
    <row r="497">
      <c r="A497" s="5" t="str">
        <f>IF($G497="","",INDEX('Detalle individual'!$B:$B,$G497))</f>
        <v/>
      </c>
      <c r="B497" s="5" t="str">
        <f>IF($G497="","",INDEX('Detalle individual'!$A:$A,$G497))</f>
        <v/>
      </c>
      <c r="C497" s="5" t="str">
        <f>IF($G497="","",INDEX('Detalle individual'!$E:$E,$G497))</f>
        <v/>
      </c>
      <c r="D497" s="5" t="str">
        <f>IF($G497="","",INDEX('Detalle individual'!$C:$C,$G497))</f>
        <v/>
      </c>
      <c r="E497" s="5" t="str">
        <f>IF($G497="","",INDEX('Detalle individual'!$D:$D,$G497))</f>
        <v/>
      </c>
      <c r="G497" t="str">
        <f>IFERROR(MATCH(SMALL(Cálculos!$AH$5:$AH$1000,493),Cálculos!$AH$5:$AH$1000,0)+4,"")</f>
        <v/>
      </c>
    </row>
    <row r="498">
      <c r="A498" s="5" t="str">
        <f>IF($G498="","",INDEX('Detalle individual'!$B:$B,$G498))</f>
        <v/>
      </c>
      <c r="B498" s="5" t="str">
        <f>IF($G498="","",INDEX('Detalle individual'!$A:$A,$G498))</f>
        <v/>
      </c>
      <c r="C498" s="5" t="str">
        <f>IF($G498="","",INDEX('Detalle individual'!$E:$E,$G498))</f>
        <v/>
      </c>
      <c r="D498" s="5" t="str">
        <f>IF($G498="","",INDEX('Detalle individual'!$C:$C,$G498))</f>
        <v/>
      </c>
      <c r="E498" s="5" t="str">
        <f>IF($G498="","",INDEX('Detalle individual'!$D:$D,$G498))</f>
        <v/>
      </c>
      <c r="G498" t="str">
        <f>IFERROR(MATCH(SMALL(Cálculos!$AH$5:$AH$1000,494),Cálculos!$AH$5:$AH$1000,0)+4,"")</f>
        <v/>
      </c>
    </row>
    <row r="499">
      <c r="A499" s="5" t="str">
        <f>IF($G499="","",INDEX('Detalle individual'!$B:$B,$G499))</f>
        <v/>
      </c>
      <c r="B499" s="5" t="str">
        <f>IF($G499="","",INDEX('Detalle individual'!$A:$A,$G499))</f>
        <v/>
      </c>
      <c r="C499" s="5" t="str">
        <f>IF($G499="","",INDEX('Detalle individual'!$E:$E,$G499))</f>
        <v/>
      </c>
      <c r="D499" s="5" t="str">
        <f>IF($G499="","",INDEX('Detalle individual'!$C:$C,$G499))</f>
        <v/>
      </c>
      <c r="E499" s="5" t="str">
        <f>IF($G499="","",INDEX('Detalle individual'!$D:$D,$G499))</f>
        <v/>
      </c>
      <c r="G499" t="str">
        <f>IFERROR(MATCH(SMALL(Cálculos!$AH$5:$AH$1000,495),Cálculos!$AH$5:$AH$1000,0)+4,"")</f>
        <v/>
      </c>
    </row>
    <row r="500">
      <c r="A500" s="5" t="str">
        <f>IF($G500="","",INDEX('Detalle individual'!$B:$B,$G500))</f>
        <v/>
      </c>
      <c r="B500" s="5" t="str">
        <f>IF($G500="","",INDEX('Detalle individual'!$A:$A,$G500))</f>
        <v/>
      </c>
      <c r="C500" s="5" t="str">
        <f>IF($G500="","",INDEX('Detalle individual'!$E:$E,$G500))</f>
        <v/>
      </c>
      <c r="D500" s="5" t="str">
        <f>IF($G500="","",INDEX('Detalle individual'!$C:$C,$G500))</f>
        <v/>
      </c>
      <c r="E500" s="5" t="str">
        <f>IF($G500="","",INDEX('Detalle individual'!$D:$D,$G500))</f>
        <v/>
      </c>
      <c r="G500" t="str">
        <f>IFERROR(MATCH(SMALL(Cálculos!$AH$5:$AH$1000,496),Cálculos!$AH$5:$AH$1000,0)+4,"")</f>
        <v/>
      </c>
    </row>
    <row r="501">
      <c r="A501" s="5" t="str">
        <f>IF($G501="","",INDEX('Detalle individual'!$B:$B,$G501))</f>
        <v/>
      </c>
      <c r="B501" s="5" t="str">
        <f>IF($G501="","",INDEX('Detalle individual'!$A:$A,$G501))</f>
        <v/>
      </c>
      <c r="C501" s="5" t="str">
        <f>IF($G501="","",INDEX('Detalle individual'!$E:$E,$G501))</f>
        <v/>
      </c>
      <c r="D501" s="5" t="str">
        <f>IF($G501="","",INDEX('Detalle individual'!$C:$C,$G501))</f>
        <v/>
      </c>
      <c r="E501" s="5" t="str">
        <f>IF($G501="","",INDEX('Detalle individual'!$D:$D,$G501))</f>
        <v/>
      </c>
      <c r="G501" t="str">
        <f>IFERROR(MATCH(SMALL(Cálculos!$AH$5:$AH$1000,497),Cálculos!$AH$5:$AH$1000,0)+4,"")</f>
        <v/>
      </c>
    </row>
    <row r="502">
      <c r="A502" s="5" t="str">
        <f>IF($G502="","",INDEX('Detalle individual'!$B:$B,$G502))</f>
        <v/>
      </c>
      <c r="B502" s="5" t="str">
        <f>IF($G502="","",INDEX('Detalle individual'!$A:$A,$G502))</f>
        <v/>
      </c>
      <c r="C502" s="5" t="str">
        <f>IF($G502="","",INDEX('Detalle individual'!$E:$E,$G502))</f>
        <v/>
      </c>
      <c r="D502" s="5" t="str">
        <f>IF($G502="","",INDEX('Detalle individual'!$C:$C,$G502))</f>
        <v/>
      </c>
      <c r="E502" s="5" t="str">
        <f>IF($G502="","",INDEX('Detalle individual'!$D:$D,$G502))</f>
        <v/>
      </c>
      <c r="G502" t="str">
        <f>IFERROR(MATCH(SMALL(Cálculos!$AH$5:$AH$1000,498),Cálculos!$AH$5:$AH$1000,0)+4,"")</f>
        <v/>
      </c>
    </row>
    <row r="503">
      <c r="A503" s="5" t="str">
        <f>IF($G503="","",INDEX('Detalle individual'!$B:$B,$G503))</f>
        <v/>
      </c>
      <c r="B503" s="5" t="str">
        <f>IF($G503="","",INDEX('Detalle individual'!$A:$A,$G503))</f>
        <v/>
      </c>
      <c r="C503" s="5" t="str">
        <f>IF($G503="","",INDEX('Detalle individual'!$E:$E,$G503))</f>
        <v/>
      </c>
      <c r="D503" s="5" t="str">
        <f>IF($G503="","",INDEX('Detalle individual'!$C:$C,$G503))</f>
        <v/>
      </c>
      <c r="E503" s="5" t="str">
        <f>IF($G503="","",INDEX('Detalle individual'!$D:$D,$G503))</f>
        <v/>
      </c>
      <c r="G503" t="str">
        <f>IFERROR(MATCH(SMALL(Cálculos!$AH$5:$AH$1000,499),Cálculos!$AH$5:$AH$1000,0)+4,"")</f>
        <v/>
      </c>
    </row>
    <row r="504">
      <c r="A504" s="5" t="str">
        <f>IF($G504="","",INDEX('Detalle individual'!$B:$B,$G504))</f>
        <v/>
      </c>
      <c r="B504" s="5" t="str">
        <f>IF($G504="","",INDEX('Detalle individual'!$A:$A,$G504))</f>
        <v/>
      </c>
      <c r="C504" s="5" t="str">
        <f>IF($G504="","",INDEX('Detalle individual'!$E:$E,$G504))</f>
        <v/>
      </c>
      <c r="D504" s="5" t="str">
        <f>IF($G504="","",INDEX('Detalle individual'!$C:$C,$G504))</f>
        <v/>
      </c>
      <c r="E504" s="5" t="str">
        <f>IF($G504="","",INDEX('Detalle individual'!$D:$D,$G504))</f>
        <v/>
      </c>
      <c r="G504" t="str">
        <f>IFERROR(MATCH(SMALL(Cálculos!$AH$5:$AH$1000,500),Cálculos!$AH$5:$AH$1000,0)+4,"")</f>
        <v/>
      </c>
    </row>
    <row r="505">
      <c r="A505" s="5" t="str">
        <f>IF($G505="","",INDEX('Detalle individual'!$B:$B,$G505))</f>
        <v/>
      </c>
      <c r="B505" s="5" t="str">
        <f>IF($G505="","",INDEX('Detalle individual'!$A:$A,$G505))</f>
        <v/>
      </c>
      <c r="C505" s="5" t="str">
        <f>IF($G505="","",INDEX('Detalle individual'!$E:$E,$G505))</f>
        <v/>
      </c>
      <c r="D505" s="5" t="str">
        <f>IF($G505="","",INDEX('Detalle individual'!$C:$C,$G505))</f>
        <v/>
      </c>
      <c r="E505" s="5" t="str">
        <f>IF($G505="","",INDEX('Detalle individual'!$D:$D,$G505))</f>
        <v/>
      </c>
      <c r="G505" t="str">
        <f>IFERROR(MATCH(SMALL(Cálculos!$AH$5:$AH$1000,501),Cálculos!$AH$5:$AH$1000,0)+4,"")</f>
        <v/>
      </c>
    </row>
    <row r="506">
      <c r="A506" s="5" t="str">
        <f>IF($G506="","",INDEX('Detalle individual'!$B:$B,$G506))</f>
        <v/>
      </c>
      <c r="B506" s="5" t="str">
        <f>IF($G506="","",INDEX('Detalle individual'!$A:$A,$G506))</f>
        <v/>
      </c>
      <c r="C506" s="5" t="str">
        <f>IF($G506="","",INDEX('Detalle individual'!$E:$E,$G506))</f>
        <v/>
      </c>
      <c r="D506" s="5" t="str">
        <f>IF($G506="","",INDEX('Detalle individual'!$C:$C,$G506))</f>
        <v/>
      </c>
      <c r="E506" s="5" t="str">
        <f>IF($G506="","",INDEX('Detalle individual'!$D:$D,$G506))</f>
        <v/>
      </c>
      <c r="G506" t="str">
        <f>IFERROR(MATCH(SMALL(Cálculos!$AH$5:$AH$1000,502),Cálculos!$AH$5:$AH$1000,0)+4,"")</f>
        <v/>
      </c>
    </row>
    <row r="507">
      <c r="A507" s="5" t="str">
        <f>IF($G507="","",INDEX('Detalle individual'!$B:$B,$G507))</f>
        <v/>
      </c>
      <c r="B507" s="5" t="str">
        <f>IF($G507="","",INDEX('Detalle individual'!$A:$A,$G507))</f>
        <v/>
      </c>
      <c r="C507" s="5" t="str">
        <f>IF($G507="","",INDEX('Detalle individual'!$E:$E,$G507))</f>
        <v/>
      </c>
      <c r="D507" s="5" t="str">
        <f>IF($G507="","",INDEX('Detalle individual'!$C:$C,$G507))</f>
        <v/>
      </c>
      <c r="E507" s="5" t="str">
        <f>IF($G507="","",INDEX('Detalle individual'!$D:$D,$G507))</f>
        <v/>
      </c>
      <c r="G507" t="str">
        <f>IFERROR(MATCH(SMALL(Cálculos!$AH$5:$AH$1000,503),Cálculos!$AH$5:$AH$1000,0)+4,"")</f>
        <v/>
      </c>
    </row>
    <row r="508">
      <c r="A508" s="5" t="str">
        <f>IF($G508="","",INDEX('Detalle individual'!$B:$B,$G508))</f>
        <v/>
      </c>
      <c r="B508" s="5" t="str">
        <f>IF($G508="","",INDEX('Detalle individual'!$A:$A,$G508))</f>
        <v/>
      </c>
      <c r="C508" s="5" t="str">
        <f>IF($G508="","",INDEX('Detalle individual'!$E:$E,$G508))</f>
        <v/>
      </c>
      <c r="D508" s="5" t="str">
        <f>IF($G508="","",INDEX('Detalle individual'!$C:$C,$G508))</f>
        <v/>
      </c>
      <c r="E508" s="5" t="str">
        <f>IF($G508="","",INDEX('Detalle individual'!$D:$D,$G508))</f>
        <v/>
      </c>
      <c r="G508" t="str">
        <f>IFERROR(MATCH(SMALL(Cálculos!$AH$5:$AH$1000,504),Cálculos!$AH$5:$AH$1000,0)+4,"")</f>
        <v/>
      </c>
    </row>
    <row r="509">
      <c r="A509" s="5" t="str">
        <f>IF($G509="","",INDEX('Detalle individual'!$B:$B,$G509))</f>
        <v/>
      </c>
      <c r="B509" s="5" t="str">
        <f>IF($G509="","",INDEX('Detalle individual'!$A:$A,$G509))</f>
        <v/>
      </c>
      <c r="C509" s="5" t="str">
        <f>IF($G509="","",INDEX('Detalle individual'!$E:$E,$G509))</f>
        <v/>
      </c>
      <c r="D509" s="5" t="str">
        <f>IF($G509="","",INDEX('Detalle individual'!$C:$C,$G509))</f>
        <v/>
      </c>
      <c r="E509" s="5" t="str">
        <f>IF($G509="","",INDEX('Detalle individual'!$D:$D,$G509))</f>
        <v/>
      </c>
      <c r="G509" t="str">
        <f>IFERROR(MATCH(SMALL(Cálculos!$AH$5:$AH$1000,505),Cálculos!$AH$5:$AH$1000,0)+4,"")</f>
        <v/>
      </c>
    </row>
    <row r="510">
      <c r="A510" s="5" t="str">
        <f>IF($G510="","",INDEX('Detalle individual'!$B:$B,$G510))</f>
        <v/>
      </c>
      <c r="B510" s="5" t="str">
        <f>IF($G510="","",INDEX('Detalle individual'!$A:$A,$G510))</f>
        <v/>
      </c>
      <c r="C510" s="5" t="str">
        <f>IF($G510="","",INDEX('Detalle individual'!$E:$E,$G510))</f>
        <v/>
      </c>
      <c r="D510" s="5" t="str">
        <f>IF($G510="","",INDEX('Detalle individual'!$C:$C,$G510))</f>
        <v/>
      </c>
      <c r="E510" s="5" t="str">
        <f>IF($G510="","",INDEX('Detalle individual'!$D:$D,$G510))</f>
        <v/>
      </c>
      <c r="G510" t="str">
        <f>IFERROR(MATCH(SMALL(Cálculos!$AH$5:$AH$1000,506),Cálculos!$AH$5:$AH$1000,0)+4,"")</f>
        <v/>
      </c>
    </row>
    <row r="511">
      <c r="A511" s="5" t="str">
        <f>IF($G511="","",INDEX('Detalle individual'!$B:$B,$G511))</f>
        <v/>
      </c>
      <c r="B511" s="5" t="str">
        <f>IF($G511="","",INDEX('Detalle individual'!$A:$A,$G511))</f>
        <v/>
      </c>
      <c r="C511" s="5" t="str">
        <f>IF($G511="","",INDEX('Detalle individual'!$E:$E,$G511))</f>
        <v/>
      </c>
      <c r="D511" s="5" t="str">
        <f>IF($G511="","",INDEX('Detalle individual'!$C:$C,$G511))</f>
        <v/>
      </c>
      <c r="E511" s="5" t="str">
        <f>IF($G511="","",INDEX('Detalle individual'!$D:$D,$G511))</f>
        <v/>
      </c>
      <c r="G511" t="str">
        <f>IFERROR(MATCH(SMALL(Cálculos!$AH$5:$AH$1000,507),Cálculos!$AH$5:$AH$1000,0)+4,"")</f>
        <v/>
      </c>
    </row>
    <row r="512">
      <c r="A512" s="5" t="str">
        <f>IF($G512="","",INDEX('Detalle individual'!$B:$B,$G512))</f>
        <v/>
      </c>
      <c r="B512" s="5" t="str">
        <f>IF($G512="","",INDEX('Detalle individual'!$A:$A,$G512))</f>
        <v/>
      </c>
      <c r="C512" s="5" t="str">
        <f>IF($G512="","",INDEX('Detalle individual'!$E:$E,$G512))</f>
        <v/>
      </c>
      <c r="D512" s="5" t="str">
        <f>IF($G512="","",INDEX('Detalle individual'!$C:$C,$G512))</f>
        <v/>
      </c>
      <c r="E512" s="5" t="str">
        <f>IF($G512="","",INDEX('Detalle individual'!$D:$D,$G512))</f>
        <v/>
      </c>
      <c r="G512" t="str">
        <f>IFERROR(MATCH(SMALL(Cálculos!$AH$5:$AH$1000,508),Cálculos!$AH$5:$AH$1000,0)+4,"")</f>
        <v/>
      </c>
    </row>
    <row r="513">
      <c r="A513" s="5" t="str">
        <f>IF($G513="","",INDEX('Detalle individual'!$B:$B,$G513))</f>
        <v/>
      </c>
      <c r="B513" s="5" t="str">
        <f>IF($G513="","",INDEX('Detalle individual'!$A:$A,$G513))</f>
        <v/>
      </c>
      <c r="C513" s="5" t="str">
        <f>IF($G513="","",INDEX('Detalle individual'!$E:$E,$G513))</f>
        <v/>
      </c>
      <c r="D513" s="5" t="str">
        <f>IF($G513="","",INDEX('Detalle individual'!$C:$C,$G513))</f>
        <v/>
      </c>
      <c r="E513" s="5" t="str">
        <f>IF($G513="","",INDEX('Detalle individual'!$D:$D,$G513))</f>
        <v/>
      </c>
      <c r="G513" t="str">
        <f>IFERROR(MATCH(SMALL(Cálculos!$AH$5:$AH$1000,509),Cálculos!$AH$5:$AH$1000,0)+4,"")</f>
        <v/>
      </c>
    </row>
    <row r="514">
      <c r="A514" s="5" t="str">
        <f>IF($G514="","",INDEX('Detalle individual'!$B:$B,$G514))</f>
        <v/>
      </c>
      <c r="B514" s="5" t="str">
        <f>IF($G514="","",INDEX('Detalle individual'!$A:$A,$G514))</f>
        <v/>
      </c>
      <c r="C514" s="5" t="str">
        <f>IF($G514="","",INDEX('Detalle individual'!$E:$E,$G514))</f>
        <v/>
      </c>
      <c r="D514" s="5" t="str">
        <f>IF($G514="","",INDEX('Detalle individual'!$C:$C,$G514))</f>
        <v/>
      </c>
      <c r="E514" s="5" t="str">
        <f>IF($G514="","",INDEX('Detalle individual'!$D:$D,$G514))</f>
        <v/>
      </c>
      <c r="G514" t="str">
        <f>IFERROR(MATCH(SMALL(Cálculos!$AH$5:$AH$1000,510),Cálculos!$AH$5:$AH$1000,0)+4,"")</f>
        <v/>
      </c>
    </row>
    <row r="515">
      <c r="A515" s="5" t="str">
        <f>IF($G515="","",INDEX('Detalle individual'!$B:$B,$G515))</f>
        <v/>
      </c>
      <c r="B515" s="5" t="str">
        <f>IF($G515="","",INDEX('Detalle individual'!$A:$A,$G515))</f>
        <v/>
      </c>
      <c r="C515" s="5" t="str">
        <f>IF($G515="","",INDEX('Detalle individual'!$E:$E,$G515))</f>
        <v/>
      </c>
      <c r="D515" s="5" t="str">
        <f>IF($G515="","",INDEX('Detalle individual'!$C:$C,$G515))</f>
        <v/>
      </c>
      <c r="E515" s="5" t="str">
        <f>IF($G515="","",INDEX('Detalle individual'!$D:$D,$G515))</f>
        <v/>
      </c>
      <c r="G515" t="str">
        <f>IFERROR(MATCH(SMALL(Cálculos!$AH$5:$AH$1000,511),Cálculos!$AH$5:$AH$1000,0)+4,"")</f>
        <v/>
      </c>
    </row>
    <row r="516">
      <c r="A516" s="5" t="str">
        <f>IF($G516="","",INDEX('Detalle individual'!$B:$B,$G516))</f>
        <v/>
      </c>
      <c r="B516" s="5" t="str">
        <f>IF($G516="","",INDEX('Detalle individual'!$A:$A,$G516))</f>
        <v/>
      </c>
      <c r="C516" s="5" t="str">
        <f>IF($G516="","",INDEX('Detalle individual'!$E:$E,$G516))</f>
        <v/>
      </c>
      <c r="D516" s="5" t="str">
        <f>IF($G516="","",INDEX('Detalle individual'!$C:$C,$G516))</f>
        <v/>
      </c>
      <c r="E516" s="5" t="str">
        <f>IF($G516="","",INDEX('Detalle individual'!$D:$D,$G516))</f>
        <v/>
      </c>
      <c r="G516" t="str">
        <f>IFERROR(MATCH(SMALL(Cálculos!$AH$5:$AH$1000,512),Cálculos!$AH$5:$AH$1000,0)+4,"")</f>
        <v/>
      </c>
    </row>
    <row r="517">
      <c r="A517" s="5" t="str">
        <f>IF($G517="","",INDEX('Detalle individual'!$B:$B,$G517))</f>
        <v/>
      </c>
      <c r="B517" s="5" t="str">
        <f>IF($G517="","",INDEX('Detalle individual'!$A:$A,$G517))</f>
        <v/>
      </c>
      <c r="C517" s="5" t="str">
        <f>IF($G517="","",INDEX('Detalle individual'!$E:$E,$G517))</f>
        <v/>
      </c>
      <c r="D517" s="5" t="str">
        <f>IF($G517="","",INDEX('Detalle individual'!$C:$C,$G517))</f>
        <v/>
      </c>
      <c r="E517" s="5" t="str">
        <f>IF($G517="","",INDEX('Detalle individual'!$D:$D,$G517))</f>
        <v/>
      </c>
      <c r="G517" t="str">
        <f>IFERROR(MATCH(SMALL(Cálculos!$AH$5:$AH$1000,513),Cálculos!$AH$5:$AH$1000,0)+4,"")</f>
        <v/>
      </c>
    </row>
    <row r="518">
      <c r="A518" s="5" t="str">
        <f>IF($G518="","",INDEX('Detalle individual'!$B:$B,$G518))</f>
        <v/>
      </c>
      <c r="B518" s="5" t="str">
        <f>IF($G518="","",INDEX('Detalle individual'!$A:$A,$G518))</f>
        <v/>
      </c>
      <c r="C518" s="5" t="str">
        <f>IF($G518="","",INDEX('Detalle individual'!$E:$E,$G518))</f>
        <v/>
      </c>
      <c r="D518" s="5" t="str">
        <f>IF($G518="","",INDEX('Detalle individual'!$C:$C,$G518))</f>
        <v/>
      </c>
      <c r="E518" s="5" t="str">
        <f>IF($G518="","",INDEX('Detalle individual'!$D:$D,$G518))</f>
        <v/>
      </c>
      <c r="G518" t="str">
        <f>IFERROR(MATCH(SMALL(Cálculos!$AH$5:$AH$1000,514),Cálculos!$AH$5:$AH$1000,0)+4,"")</f>
        <v/>
      </c>
    </row>
    <row r="519">
      <c r="A519" s="5" t="str">
        <f>IF($G519="","",INDEX('Detalle individual'!$B:$B,$G519))</f>
        <v/>
      </c>
      <c r="B519" s="5" t="str">
        <f>IF($G519="","",INDEX('Detalle individual'!$A:$A,$G519))</f>
        <v/>
      </c>
      <c r="C519" s="5" t="str">
        <f>IF($G519="","",INDEX('Detalle individual'!$E:$E,$G519))</f>
        <v/>
      </c>
      <c r="D519" s="5" t="str">
        <f>IF($G519="","",INDEX('Detalle individual'!$C:$C,$G519))</f>
        <v/>
      </c>
      <c r="E519" s="5" t="str">
        <f>IF($G519="","",INDEX('Detalle individual'!$D:$D,$G519))</f>
        <v/>
      </c>
      <c r="G519" t="str">
        <f>IFERROR(MATCH(SMALL(Cálculos!$AH$5:$AH$1000,515),Cálculos!$AH$5:$AH$1000,0)+4,"")</f>
        <v/>
      </c>
    </row>
    <row r="520">
      <c r="A520" s="5" t="str">
        <f>IF($G520="","",INDEX('Detalle individual'!$B:$B,$G520))</f>
        <v/>
      </c>
      <c r="B520" s="5" t="str">
        <f>IF($G520="","",INDEX('Detalle individual'!$A:$A,$G520))</f>
        <v/>
      </c>
      <c r="C520" s="5" t="str">
        <f>IF($G520="","",INDEX('Detalle individual'!$E:$E,$G520))</f>
        <v/>
      </c>
      <c r="D520" s="5" t="str">
        <f>IF($G520="","",INDEX('Detalle individual'!$C:$C,$G520))</f>
        <v/>
      </c>
      <c r="E520" s="5" t="str">
        <f>IF($G520="","",INDEX('Detalle individual'!$D:$D,$G520))</f>
        <v/>
      </c>
      <c r="G520" t="str">
        <f>IFERROR(MATCH(SMALL(Cálculos!$AH$5:$AH$1000,516),Cálculos!$AH$5:$AH$1000,0)+4,"")</f>
        <v/>
      </c>
    </row>
    <row r="521">
      <c r="A521" s="5" t="str">
        <f>IF($G521="","",INDEX('Detalle individual'!$B:$B,$G521))</f>
        <v/>
      </c>
      <c r="B521" s="5" t="str">
        <f>IF($G521="","",INDEX('Detalle individual'!$A:$A,$G521))</f>
        <v/>
      </c>
      <c r="C521" s="5" t="str">
        <f>IF($G521="","",INDEX('Detalle individual'!$E:$E,$G521))</f>
        <v/>
      </c>
      <c r="D521" s="5" t="str">
        <f>IF($G521="","",INDEX('Detalle individual'!$C:$C,$G521))</f>
        <v/>
      </c>
      <c r="E521" s="5" t="str">
        <f>IF($G521="","",INDEX('Detalle individual'!$D:$D,$G521))</f>
        <v/>
      </c>
      <c r="G521" t="str">
        <f>IFERROR(MATCH(SMALL(Cálculos!$AH$5:$AH$1000,517),Cálculos!$AH$5:$AH$1000,0)+4,"")</f>
        <v/>
      </c>
    </row>
    <row r="522">
      <c r="A522" s="5" t="str">
        <f>IF($G522="","",INDEX('Detalle individual'!$B:$B,$G522))</f>
        <v/>
      </c>
      <c r="B522" s="5" t="str">
        <f>IF($G522="","",INDEX('Detalle individual'!$A:$A,$G522))</f>
        <v/>
      </c>
      <c r="C522" s="5" t="str">
        <f>IF($G522="","",INDEX('Detalle individual'!$E:$E,$G522))</f>
        <v/>
      </c>
      <c r="D522" s="5" t="str">
        <f>IF($G522="","",INDEX('Detalle individual'!$C:$C,$G522))</f>
        <v/>
      </c>
      <c r="E522" s="5" t="str">
        <f>IF($G522="","",INDEX('Detalle individual'!$D:$D,$G522))</f>
        <v/>
      </c>
      <c r="G522" t="str">
        <f>IFERROR(MATCH(SMALL(Cálculos!$AH$5:$AH$1000,518),Cálculos!$AH$5:$AH$1000,0)+4,"")</f>
        <v/>
      </c>
    </row>
    <row r="523">
      <c r="A523" s="5" t="str">
        <f>IF($G523="","",INDEX('Detalle individual'!$B:$B,$G523))</f>
        <v/>
      </c>
      <c r="B523" s="5" t="str">
        <f>IF($G523="","",INDEX('Detalle individual'!$A:$A,$G523))</f>
        <v/>
      </c>
      <c r="C523" s="5" t="str">
        <f>IF($G523="","",INDEX('Detalle individual'!$E:$E,$G523))</f>
        <v/>
      </c>
      <c r="D523" s="5" t="str">
        <f>IF($G523="","",INDEX('Detalle individual'!$C:$C,$G523))</f>
        <v/>
      </c>
      <c r="E523" s="5" t="str">
        <f>IF($G523="","",INDEX('Detalle individual'!$D:$D,$G523))</f>
        <v/>
      </c>
      <c r="G523" t="str">
        <f>IFERROR(MATCH(SMALL(Cálculos!$AH$5:$AH$1000,519),Cálculos!$AH$5:$AH$1000,0)+4,"")</f>
        <v/>
      </c>
    </row>
    <row r="524">
      <c r="A524" s="5" t="str">
        <f>IF($G524="","",INDEX('Detalle individual'!$B:$B,$G524))</f>
        <v/>
      </c>
      <c r="B524" s="5" t="str">
        <f>IF($G524="","",INDEX('Detalle individual'!$A:$A,$G524))</f>
        <v/>
      </c>
      <c r="C524" s="5" t="str">
        <f>IF($G524="","",INDEX('Detalle individual'!$E:$E,$G524))</f>
        <v/>
      </c>
      <c r="D524" s="5" t="str">
        <f>IF($G524="","",INDEX('Detalle individual'!$C:$C,$G524))</f>
        <v/>
      </c>
      <c r="E524" s="5" t="str">
        <f>IF($G524="","",INDEX('Detalle individual'!$D:$D,$G524))</f>
        <v/>
      </c>
      <c r="G524" t="str">
        <f>IFERROR(MATCH(SMALL(Cálculos!$AH$5:$AH$1000,520),Cálculos!$AH$5:$AH$1000,0)+4,"")</f>
        <v/>
      </c>
    </row>
    <row r="525">
      <c r="A525" s="5" t="str">
        <f>IF($G525="","",INDEX('Detalle individual'!$B:$B,$G525))</f>
        <v/>
      </c>
      <c r="B525" s="5" t="str">
        <f>IF($G525="","",INDEX('Detalle individual'!$A:$A,$G525))</f>
        <v/>
      </c>
      <c r="C525" s="5" t="str">
        <f>IF($G525="","",INDEX('Detalle individual'!$E:$E,$G525))</f>
        <v/>
      </c>
      <c r="D525" s="5" t="str">
        <f>IF($G525="","",INDEX('Detalle individual'!$C:$C,$G525))</f>
        <v/>
      </c>
      <c r="E525" s="5" t="str">
        <f>IF($G525="","",INDEX('Detalle individual'!$D:$D,$G525))</f>
        <v/>
      </c>
      <c r="G525" t="str">
        <f>IFERROR(MATCH(SMALL(Cálculos!$AH$5:$AH$1000,521),Cálculos!$AH$5:$AH$1000,0)+4,"")</f>
        <v/>
      </c>
    </row>
    <row r="526">
      <c r="A526" s="5" t="str">
        <f>IF($G526="","",INDEX('Detalle individual'!$B:$B,$G526))</f>
        <v/>
      </c>
      <c r="B526" s="5" t="str">
        <f>IF($G526="","",INDEX('Detalle individual'!$A:$A,$G526))</f>
        <v/>
      </c>
      <c r="C526" s="5" t="str">
        <f>IF($G526="","",INDEX('Detalle individual'!$E:$E,$G526))</f>
        <v/>
      </c>
      <c r="D526" s="5" t="str">
        <f>IF($G526="","",INDEX('Detalle individual'!$C:$C,$G526))</f>
        <v/>
      </c>
      <c r="E526" s="5" t="str">
        <f>IF($G526="","",INDEX('Detalle individual'!$D:$D,$G526))</f>
        <v/>
      </c>
      <c r="G526" t="str">
        <f>IFERROR(MATCH(SMALL(Cálculos!$AH$5:$AH$1000,522),Cálculos!$AH$5:$AH$1000,0)+4,"")</f>
        <v/>
      </c>
    </row>
    <row r="527">
      <c r="A527" s="5" t="str">
        <f>IF($G527="","",INDEX('Detalle individual'!$B:$B,$G527))</f>
        <v/>
      </c>
      <c r="B527" s="5" t="str">
        <f>IF($G527="","",INDEX('Detalle individual'!$A:$A,$G527))</f>
        <v/>
      </c>
      <c r="C527" s="5" t="str">
        <f>IF($G527="","",INDEX('Detalle individual'!$E:$E,$G527))</f>
        <v/>
      </c>
      <c r="D527" s="5" t="str">
        <f>IF($G527="","",INDEX('Detalle individual'!$C:$C,$G527))</f>
        <v/>
      </c>
      <c r="E527" s="5" t="str">
        <f>IF($G527="","",INDEX('Detalle individual'!$D:$D,$G527))</f>
        <v/>
      </c>
      <c r="G527" t="str">
        <f>IFERROR(MATCH(SMALL(Cálculos!$AH$5:$AH$1000,523),Cálculos!$AH$5:$AH$1000,0)+4,"")</f>
        <v/>
      </c>
    </row>
    <row r="528">
      <c r="A528" s="5" t="str">
        <f>IF($G528="","",INDEX('Detalle individual'!$B:$B,$G528))</f>
        <v/>
      </c>
      <c r="B528" s="5" t="str">
        <f>IF($G528="","",INDEX('Detalle individual'!$A:$A,$G528))</f>
        <v/>
      </c>
      <c r="C528" s="5" t="str">
        <f>IF($G528="","",INDEX('Detalle individual'!$E:$E,$G528))</f>
        <v/>
      </c>
      <c r="D528" s="5" t="str">
        <f>IF($G528="","",INDEX('Detalle individual'!$C:$C,$G528))</f>
        <v/>
      </c>
      <c r="E528" s="5" t="str">
        <f>IF($G528="","",INDEX('Detalle individual'!$D:$D,$G528))</f>
        <v/>
      </c>
      <c r="G528" t="str">
        <f>IFERROR(MATCH(SMALL(Cálculos!$AH$5:$AH$1000,524),Cálculos!$AH$5:$AH$1000,0)+4,"")</f>
        <v/>
      </c>
    </row>
    <row r="529">
      <c r="A529" s="5" t="str">
        <f>IF($G529="","",INDEX('Detalle individual'!$B:$B,$G529))</f>
        <v/>
      </c>
      <c r="B529" s="5" t="str">
        <f>IF($G529="","",INDEX('Detalle individual'!$A:$A,$G529))</f>
        <v/>
      </c>
      <c r="C529" s="5" t="str">
        <f>IF($G529="","",INDEX('Detalle individual'!$E:$E,$G529))</f>
        <v/>
      </c>
      <c r="D529" s="5" t="str">
        <f>IF($G529="","",INDEX('Detalle individual'!$C:$C,$G529))</f>
        <v/>
      </c>
      <c r="E529" s="5" t="str">
        <f>IF($G529="","",INDEX('Detalle individual'!$D:$D,$G529))</f>
        <v/>
      </c>
      <c r="G529" t="str">
        <f>IFERROR(MATCH(SMALL(Cálculos!$AH$5:$AH$1000,525),Cálculos!$AH$5:$AH$1000,0)+4,"")</f>
        <v/>
      </c>
    </row>
    <row r="530">
      <c r="A530" s="5" t="str">
        <f>IF($G530="","",INDEX('Detalle individual'!$B:$B,$G530))</f>
        <v/>
      </c>
      <c r="B530" s="5" t="str">
        <f>IF($G530="","",INDEX('Detalle individual'!$A:$A,$G530))</f>
        <v/>
      </c>
      <c r="C530" s="5" t="str">
        <f>IF($G530="","",INDEX('Detalle individual'!$E:$E,$G530))</f>
        <v/>
      </c>
      <c r="D530" s="5" t="str">
        <f>IF($G530="","",INDEX('Detalle individual'!$C:$C,$G530))</f>
        <v/>
      </c>
      <c r="E530" s="5" t="str">
        <f>IF($G530="","",INDEX('Detalle individual'!$D:$D,$G530))</f>
        <v/>
      </c>
      <c r="G530" t="str">
        <f>IFERROR(MATCH(SMALL(Cálculos!$AH$5:$AH$1000,526),Cálculos!$AH$5:$AH$1000,0)+4,"")</f>
        <v/>
      </c>
    </row>
    <row r="531">
      <c r="A531" s="5" t="str">
        <f>IF($G531="","",INDEX('Detalle individual'!$B:$B,$G531))</f>
        <v/>
      </c>
      <c r="B531" s="5" t="str">
        <f>IF($G531="","",INDEX('Detalle individual'!$A:$A,$G531))</f>
        <v/>
      </c>
      <c r="C531" s="5" t="str">
        <f>IF($G531="","",INDEX('Detalle individual'!$E:$E,$G531))</f>
        <v/>
      </c>
      <c r="D531" s="5" t="str">
        <f>IF($G531="","",INDEX('Detalle individual'!$C:$C,$G531))</f>
        <v/>
      </c>
      <c r="E531" s="5" t="str">
        <f>IF($G531="","",INDEX('Detalle individual'!$D:$D,$G531))</f>
        <v/>
      </c>
      <c r="G531" t="str">
        <f>IFERROR(MATCH(SMALL(Cálculos!$AH$5:$AH$1000,527),Cálculos!$AH$5:$AH$1000,0)+4,"")</f>
        <v/>
      </c>
    </row>
    <row r="532">
      <c r="A532" s="5" t="str">
        <f>IF($G532="","",INDEX('Detalle individual'!$B:$B,$G532))</f>
        <v/>
      </c>
      <c r="B532" s="5" t="str">
        <f>IF($G532="","",INDEX('Detalle individual'!$A:$A,$G532))</f>
        <v/>
      </c>
      <c r="C532" s="5" t="str">
        <f>IF($G532="","",INDEX('Detalle individual'!$E:$E,$G532))</f>
        <v/>
      </c>
      <c r="D532" s="5" t="str">
        <f>IF($G532="","",INDEX('Detalle individual'!$C:$C,$G532))</f>
        <v/>
      </c>
      <c r="E532" s="5" t="str">
        <f>IF($G532="","",INDEX('Detalle individual'!$D:$D,$G532))</f>
        <v/>
      </c>
      <c r="G532" t="str">
        <f>IFERROR(MATCH(SMALL(Cálculos!$AH$5:$AH$1000,528),Cálculos!$AH$5:$AH$1000,0)+4,"")</f>
        <v/>
      </c>
    </row>
    <row r="533">
      <c r="A533" s="5" t="str">
        <f>IF($G533="","",INDEX('Detalle individual'!$B:$B,$G533))</f>
        <v/>
      </c>
      <c r="B533" s="5" t="str">
        <f>IF($G533="","",INDEX('Detalle individual'!$A:$A,$G533))</f>
        <v/>
      </c>
      <c r="C533" s="5" t="str">
        <f>IF($G533="","",INDEX('Detalle individual'!$E:$E,$G533))</f>
        <v/>
      </c>
      <c r="D533" s="5" t="str">
        <f>IF($G533="","",INDEX('Detalle individual'!$C:$C,$G533))</f>
        <v/>
      </c>
      <c r="E533" s="5" t="str">
        <f>IF($G533="","",INDEX('Detalle individual'!$D:$D,$G533))</f>
        <v/>
      </c>
      <c r="G533" t="str">
        <f>IFERROR(MATCH(SMALL(Cálculos!$AH$5:$AH$1000,529),Cálculos!$AH$5:$AH$1000,0)+4,"")</f>
        <v/>
      </c>
    </row>
    <row r="534">
      <c r="A534" s="5" t="str">
        <f>IF($G534="","",INDEX('Detalle individual'!$B:$B,$G534))</f>
        <v/>
      </c>
      <c r="B534" s="5" t="str">
        <f>IF($G534="","",INDEX('Detalle individual'!$A:$A,$G534))</f>
        <v/>
      </c>
      <c r="C534" s="5" t="str">
        <f>IF($G534="","",INDEX('Detalle individual'!$E:$E,$G534))</f>
        <v/>
      </c>
      <c r="D534" s="5" t="str">
        <f>IF($G534="","",INDEX('Detalle individual'!$C:$C,$G534))</f>
        <v/>
      </c>
      <c r="E534" s="5" t="str">
        <f>IF($G534="","",INDEX('Detalle individual'!$D:$D,$G534))</f>
        <v/>
      </c>
      <c r="G534" t="str">
        <f>IFERROR(MATCH(SMALL(Cálculos!$AH$5:$AH$1000,530),Cálculos!$AH$5:$AH$1000,0)+4,"")</f>
        <v/>
      </c>
    </row>
    <row r="535">
      <c r="A535" s="5" t="str">
        <f>IF($G535="","",INDEX('Detalle individual'!$B:$B,$G535))</f>
        <v/>
      </c>
      <c r="B535" s="5" t="str">
        <f>IF($G535="","",INDEX('Detalle individual'!$A:$A,$G535))</f>
        <v/>
      </c>
      <c r="C535" s="5" t="str">
        <f>IF($G535="","",INDEX('Detalle individual'!$E:$E,$G535))</f>
        <v/>
      </c>
      <c r="D535" s="5" t="str">
        <f>IF($G535="","",INDEX('Detalle individual'!$C:$C,$G535))</f>
        <v/>
      </c>
      <c r="E535" s="5" t="str">
        <f>IF($G535="","",INDEX('Detalle individual'!$D:$D,$G535))</f>
        <v/>
      </c>
      <c r="G535" t="str">
        <f>IFERROR(MATCH(SMALL(Cálculos!$AH$5:$AH$1000,531),Cálculos!$AH$5:$AH$1000,0)+4,"")</f>
        <v/>
      </c>
    </row>
    <row r="536">
      <c r="A536" s="5" t="str">
        <f>IF($G536="","",INDEX('Detalle individual'!$B:$B,$G536))</f>
        <v/>
      </c>
      <c r="B536" s="5" t="str">
        <f>IF($G536="","",INDEX('Detalle individual'!$A:$A,$G536))</f>
        <v/>
      </c>
      <c r="C536" s="5" t="str">
        <f>IF($G536="","",INDEX('Detalle individual'!$E:$E,$G536))</f>
        <v/>
      </c>
      <c r="D536" s="5" t="str">
        <f>IF($G536="","",INDEX('Detalle individual'!$C:$C,$G536))</f>
        <v/>
      </c>
      <c r="E536" s="5" t="str">
        <f>IF($G536="","",INDEX('Detalle individual'!$D:$D,$G536))</f>
        <v/>
      </c>
      <c r="G536" t="str">
        <f>IFERROR(MATCH(SMALL(Cálculos!$AH$5:$AH$1000,532),Cálculos!$AH$5:$AH$1000,0)+4,"")</f>
        <v/>
      </c>
    </row>
    <row r="537">
      <c r="A537" s="5" t="str">
        <f>IF($G537="","",INDEX('Detalle individual'!$B:$B,$G537))</f>
        <v/>
      </c>
      <c r="B537" s="5" t="str">
        <f>IF($G537="","",INDEX('Detalle individual'!$A:$A,$G537))</f>
        <v/>
      </c>
      <c r="C537" s="5" t="str">
        <f>IF($G537="","",INDEX('Detalle individual'!$E:$E,$G537))</f>
        <v/>
      </c>
      <c r="D537" s="5" t="str">
        <f>IF($G537="","",INDEX('Detalle individual'!$C:$C,$G537))</f>
        <v/>
      </c>
      <c r="E537" s="5" t="str">
        <f>IF($G537="","",INDEX('Detalle individual'!$D:$D,$G537))</f>
        <v/>
      </c>
      <c r="G537" t="str">
        <f>IFERROR(MATCH(SMALL(Cálculos!$AH$5:$AH$1000,533),Cálculos!$AH$5:$AH$1000,0)+4,"")</f>
        <v/>
      </c>
    </row>
    <row r="538">
      <c r="A538" s="5" t="str">
        <f>IF($G538="","",INDEX('Detalle individual'!$B:$B,$G538))</f>
        <v/>
      </c>
      <c r="B538" s="5" t="str">
        <f>IF($G538="","",INDEX('Detalle individual'!$A:$A,$G538))</f>
        <v/>
      </c>
      <c r="C538" s="5" t="str">
        <f>IF($G538="","",INDEX('Detalle individual'!$E:$E,$G538))</f>
        <v/>
      </c>
      <c r="D538" s="5" t="str">
        <f>IF($G538="","",INDEX('Detalle individual'!$C:$C,$G538))</f>
        <v/>
      </c>
      <c r="E538" s="5" t="str">
        <f>IF($G538="","",INDEX('Detalle individual'!$D:$D,$G538))</f>
        <v/>
      </c>
      <c r="G538" t="str">
        <f>IFERROR(MATCH(SMALL(Cálculos!$AH$5:$AH$1000,534),Cálculos!$AH$5:$AH$1000,0)+4,"")</f>
        <v/>
      </c>
    </row>
    <row r="539">
      <c r="A539" s="5" t="str">
        <f>IF($G539="","",INDEX('Detalle individual'!$B:$B,$G539))</f>
        <v/>
      </c>
      <c r="B539" s="5" t="str">
        <f>IF($G539="","",INDEX('Detalle individual'!$A:$A,$G539))</f>
        <v/>
      </c>
      <c r="C539" s="5" t="str">
        <f>IF($G539="","",INDEX('Detalle individual'!$E:$E,$G539))</f>
        <v/>
      </c>
      <c r="D539" s="5" t="str">
        <f>IF($G539="","",INDEX('Detalle individual'!$C:$C,$G539))</f>
        <v/>
      </c>
      <c r="E539" s="5" t="str">
        <f>IF($G539="","",INDEX('Detalle individual'!$D:$D,$G539))</f>
        <v/>
      </c>
      <c r="G539" t="str">
        <f>IFERROR(MATCH(SMALL(Cálculos!$AH$5:$AH$1000,535),Cálculos!$AH$5:$AH$1000,0)+4,"")</f>
        <v/>
      </c>
    </row>
    <row r="540">
      <c r="A540" s="5" t="str">
        <f>IF($G540="","",INDEX('Detalle individual'!$B:$B,$G540))</f>
        <v/>
      </c>
      <c r="B540" s="5" t="str">
        <f>IF($G540="","",INDEX('Detalle individual'!$A:$A,$G540))</f>
        <v/>
      </c>
      <c r="C540" s="5" t="str">
        <f>IF($G540="","",INDEX('Detalle individual'!$E:$E,$G540))</f>
        <v/>
      </c>
      <c r="D540" s="5" t="str">
        <f>IF($G540="","",INDEX('Detalle individual'!$C:$C,$G540))</f>
        <v/>
      </c>
      <c r="E540" s="5" t="str">
        <f>IF($G540="","",INDEX('Detalle individual'!$D:$D,$G540))</f>
        <v/>
      </c>
      <c r="G540" t="str">
        <f>IFERROR(MATCH(SMALL(Cálculos!$AH$5:$AH$1000,536),Cálculos!$AH$5:$AH$1000,0)+4,"")</f>
        <v/>
      </c>
    </row>
    <row r="541">
      <c r="A541" s="5" t="str">
        <f>IF($G541="","",INDEX('Detalle individual'!$B:$B,$G541))</f>
        <v/>
      </c>
      <c r="B541" s="5" t="str">
        <f>IF($G541="","",INDEX('Detalle individual'!$A:$A,$G541))</f>
        <v/>
      </c>
      <c r="C541" s="5" t="str">
        <f>IF($G541="","",INDEX('Detalle individual'!$E:$E,$G541))</f>
        <v/>
      </c>
      <c r="D541" s="5" t="str">
        <f>IF($G541="","",INDEX('Detalle individual'!$C:$C,$G541))</f>
        <v/>
      </c>
      <c r="E541" s="5" t="str">
        <f>IF($G541="","",INDEX('Detalle individual'!$D:$D,$G541))</f>
        <v/>
      </c>
      <c r="G541" t="str">
        <f>IFERROR(MATCH(SMALL(Cálculos!$AH$5:$AH$1000,537),Cálculos!$AH$5:$AH$1000,0)+4,"")</f>
        <v/>
      </c>
    </row>
    <row r="542">
      <c r="A542" s="5" t="str">
        <f>IF($G542="","",INDEX('Detalle individual'!$B:$B,$G542))</f>
        <v/>
      </c>
      <c r="B542" s="5" t="str">
        <f>IF($G542="","",INDEX('Detalle individual'!$A:$A,$G542))</f>
        <v/>
      </c>
      <c r="C542" s="5" t="str">
        <f>IF($G542="","",INDEX('Detalle individual'!$E:$E,$G542))</f>
        <v/>
      </c>
      <c r="D542" s="5" t="str">
        <f>IF($G542="","",INDEX('Detalle individual'!$C:$C,$G542))</f>
        <v/>
      </c>
      <c r="E542" s="5" t="str">
        <f>IF($G542="","",INDEX('Detalle individual'!$D:$D,$G542))</f>
        <v/>
      </c>
      <c r="G542" t="str">
        <f>IFERROR(MATCH(SMALL(Cálculos!$AH$5:$AH$1000,538),Cálculos!$AH$5:$AH$1000,0)+4,"")</f>
        <v/>
      </c>
    </row>
    <row r="543">
      <c r="A543" s="5" t="str">
        <f>IF($G543="","",INDEX('Detalle individual'!$B:$B,$G543))</f>
        <v/>
      </c>
      <c r="B543" s="5" t="str">
        <f>IF($G543="","",INDEX('Detalle individual'!$A:$A,$G543))</f>
        <v/>
      </c>
      <c r="C543" s="5" t="str">
        <f>IF($G543="","",INDEX('Detalle individual'!$E:$E,$G543))</f>
        <v/>
      </c>
      <c r="D543" s="5" t="str">
        <f>IF($G543="","",INDEX('Detalle individual'!$C:$C,$G543))</f>
        <v/>
      </c>
      <c r="E543" s="5" t="str">
        <f>IF($G543="","",INDEX('Detalle individual'!$D:$D,$G543))</f>
        <v/>
      </c>
      <c r="G543" t="str">
        <f>IFERROR(MATCH(SMALL(Cálculos!$AH$5:$AH$1000,539),Cálculos!$AH$5:$AH$1000,0)+4,"")</f>
        <v/>
      </c>
    </row>
    <row r="544">
      <c r="A544" s="5" t="str">
        <f>IF($G544="","",INDEX('Detalle individual'!$B:$B,$G544))</f>
        <v/>
      </c>
      <c r="B544" s="5" t="str">
        <f>IF($G544="","",INDEX('Detalle individual'!$A:$A,$G544))</f>
        <v/>
      </c>
      <c r="C544" s="5" t="str">
        <f>IF($G544="","",INDEX('Detalle individual'!$E:$E,$G544))</f>
        <v/>
      </c>
      <c r="D544" s="5" t="str">
        <f>IF($G544="","",INDEX('Detalle individual'!$C:$C,$G544))</f>
        <v/>
      </c>
      <c r="E544" s="5" t="str">
        <f>IF($G544="","",INDEX('Detalle individual'!$D:$D,$G544))</f>
        <v/>
      </c>
      <c r="G544" t="str">
        <f>IFERROR(MATCH(SMALL(Cálculos!$AH$5:$AH$1000,540),Cálculos!$AH$5:$AH$1000,0)+4,"")</f>
        <v/>
      </c>
    </row>
    <row r="545">
      <c r="A545" s="5" t="str">
        <f>IF($G545="","",INDEX('Detalle individual'!$B:$B,$G545))</f>
        <v/>
      </c>
      <c r="B545" s="5" t="str">
        <f>IF($G545="","",INDEX('Detalle individual'!$A:$A,$G545))</f>
        <v/>
      </c>
      <c r="C545" s="5" t="str">
        <f>IF($G545="","",INDEX('Detalle individual'!$E:$E,$G545))</f>
        <v/>
      </c>
      <c r="D545" s="5" t="str">
        <f>IF($G545="","",INDEX('Detalle individual'!$C:$C,$G545))</f>
        <v/>
      </c>
      <c r="E545" s="5" t="str">
        <f>IF($G545="","",INDEX('Detalle individual'!$D:$D,$G545))</f>
        <v/>
      </c>
      <c r="G545" t="str">
        <f>IFERROR(MATCH(SMALL(Cálculos!$AH$5:$AH$1000,541),Cálculos!$AH$5:$AH$1000,0)+4,"")</f>
        <v/>
      </c>
    </row>
    <row r="546">
      <c r="A546" s="5" t="str">
        <f>IF($G546="","",INDEX('Detalle individual'!$B:$B,$G546))</f>
        <v/>
      </c>
      <c r="B546" s="5" t="str">
        <f>IF($G546="","",INDEX('Detalle individual'!$A:$A,$G546))</f>
        <v/>
      </c>
      <c r="C546" s="5" t="str">
        <f>IF($G546="","",INDEX('Detalle individual'!$E:$E,$G546))</f>
        <v/>
      </c>
      <c r="D546" s="5" t="str">
        <f>IF($G546="","",INDEX('Detalle individual'!$C:$C,$G546))</f>
        <v/>
      </c>
      <c r="E546" s="5" t="str">
        <f>IF($G546="","",INDEX('Detalle individual'!$D:$D,$G546))</f>
        <v/>
      </c>
      <c r="G546" t="str">
        <f>IFERROR(MATCH(SMALL(Cálculos!$AH$5:$AH$1000,542),Cálculos!$AH$5:$AH$1000,0)+4,"")</f>
        <v/>
      </c>
    </row>
    <row r="547">
      <c r="A547" s="5" t="str">
        <f>IF($G547="","",INDEX('Detalle individual'!$B:$B,$G547))</f>
        <v/>
      </c>
      <c r="B547" s="5" t="str">
        <f>IF($G547="","",INDEX('Detalle individual'!$A:$A,$G547))</f>
        <v/>
      </c>
      <c r="C547" s="5" t="str">
        <f>IF($G547="","",INDEX('Detalle individual'!$E:$E,$G547))</f>
        <v/>
      </c>
      <c r="D547" s="5" t="str">
        <f>IF($G547="","",INDEX('Detalle individual'!$C:$C,$G547))</f>
        <v/>
      </c>
      <c r="E547" s="5" t="str">
        <f>IF($G547="","",INDEX('Detalle individual'!$D:$D,$G547))</f>
        <v/>
      </c>
      <c r="G547" t="str">
        <f>IFERROR(MATCH(SMALL(Cálculos!$AH$5:$AH$1000,543),Cálculos!$AH$5:$AH$1000,0)+4,"")</f>
        <v/>
      </c>
    </row>
    <row r="548">
      <c r="A548" s="5" t="str">
        <f>IF($G548="","",INDEX('Detalle individual'!$B:$B,$G548))</f>
        <v/>
      </c>
      <c r="B548" s="5" t="str">
        <f>IF($G548="","",INDEX('Detalle individual'!$A:$A,$G548))</f>
        <v/>
      </c>
      <c r="C548" s="5" t="str">
        <f>IF($G548="","",INDEX('Detalle individual'!$E:$E,$G548))</f>
        <v/>
      </c>
      <c r="D548" s="5" t="str">
        <f>IF($G548="","",INDEX('Detalle individual'!$C:$C,$G548))</f>
        <v/>
      </c>
      <c r="E548" s="5" t="str">
        <f>IF($G548="","",INDEX('Detalle individual'!$D:$D,$G548))</f>
        <v/>
      </c>
      <c r="G548" t="str">
        <f>IFERROR(MATCH(SMALL(Cálculos!$AH$5:$AH$1000,544),Cálculos!$AH$5:$AH$1000,0)+4,"")</f>
        <v/>
      </c>
    </row>
    <row r="549">
      <c r="A549" s="5" t="str">
        <f>IF($G549="","",INDEX('Detalle individual'!$B:$B,$G549))</f>
        <v/>
      </c>
      <c r="B549" s="5" t="str">
        <f>IF($G549="","",INDEX('Detalle individual'!$A:$A,$G549))</f>
        <v/>
      </c>
      <c r="C549" s="5" t="str">
        <f>IF($G549="","",INDEX('Detalle individual'!$E:$E,$G549))</f>
        <v/>
      </c>
      <c r="D549" s="5" t="str">
        <f>IF($G549="","",INDEX('Detalle individual'!$C:$C,$G549))</f>
        <v/>
      </c>
      <c r="E549" s="5" t="str">
        <f>IF($G549="","",INDEX('Detalle individual'!$D:$D,$G549))</f>
        <v/>
      </c>
      <c r="G549" t="str">
        <f>IFERROR(MATCH(SMALL(Cálculos!$AH$5:$AH$1000,545),Cálculos!$AH$5:$AH$1000,0)+4,"")</f>
        <v/>
      </c>
    </row>
    <row r="550">
      <c r="A550" s="5" t="str">
        <f>IF($G550="","",INDEX('Detalle individual'!$B:$B,$G550))</f>
        <v/>
      </c>
      <c r="B550" s="5" t="str">
        <f>IF($G550="","",INDEX('Detalle individual'!$A:$A,$G550))</f>
        <v/>
      </c>
      <c r="C550" s="5" t="str">
        <f>IF($G550="","",INDEX('Detalle individual'!$E:$E,$G550))</f>
        <v/>
      </c>
      <c r="D550" s="5" t="str">
        <f>IF($G550="","",INDEX('Detalle individual'!$C:$C,$G550))</f>
        <v/>
      </c>
      <c r="E550" s="5" t="str">
        <f>IF($G550="","",INDEX('Detalle individual'!$D:$D,$G550))</f>
        <v/>
      </c>
      <c r="G550" t="str">
        <f>IFERROR(MATCH(SMALL(Cálculos!$AH$5:$AH$1000,546),Cálculos!$AH$5:$AH$1000,0)+4,"")</f>
        <v/>
      </c>
    </row>
    <row r="551">
      <c r="A551" s="5" t="str">
        <f>IF($G551="","",INDEX('Detalle individual'!$B:$B,$G551))</f>
        <v/>
      </c>
      <c r="B551" s="5" t="str">
        <f>IF($G551="","",INDEX('Detalle individual'!$A:$A,$G551))</f>
        <v/>
      </c>
      <c r="C551" s="5" t="str">
        <f>IF($G551="","",INDEX('Detalle individual'!$E:$E,$G551))</f>
        <v/>
      </c>
      <c r="D551" s="5" t="str">
        <f>IF($G551="","",INDEX('Detalle individual'!$C:$C,$G551))</f>
        <v/>
      </c>
      <c r="E551" s="5" t="str">
        <f>IF($G551="","",INDEX('Detalle individual'!$D:$D,$G551))</f>
        <v/>
      </c>
      <c r="G551" t="str">
        <f>IFERROR(MATCH(SMALL(Cálculos!$AH$5:$AH$1000,547),Cálculos!$AH$5:$AH$1000,0)+4,"")</f>
        <v/>
      </c>
    </row>
    <row r="552">
      <c r="A552" s="5" t="str">
        <f>IF($G552="","",INDEX('Detalle individual'!$B:$B,$G552))</f>
        <v/>
      </c>
      <c r="B552" s="5" t="str">
        <f>IF($G552="","",INDEX('Detalle individual'!$A:$A,$G552))</f>
        <v/>
      </c>
      <c r="C552" s="5" t="str">
        <f>IF($G552="","",INDEX('Detalle individual'!$E:$E,$G552))</f>
        <v/>
      </c>
      <c r="D552" s="5" t="str">
        <f>IF($G552="","",INDEX('Detalle individual'!$C:$C,$G552))</f>
        <v/>
      </c>
      <c r="E552" s="5" t="str">
        <f>IF($G552="","",INDEX('Detalle individual'!$D:$D,$G552))</f>
        <v/>
      </c>
      <c r="G552" t="str">
        <f>IFERROR(MATCH(SMALL(Cálculos!$AH$5:$AH$1000,548),Cálculos!$AH$5:$AH$1000,0)+4,"")</f>
        <v/>
      </c>
    </row>
    <row r="553">
      <c r="A553" s="5" t="str">
        <f>IF($G553="","",INDEX('Detalle individual'!$B:$B,$G553))</f>
        <v/>
      </c>
      <c r="B553" s="5" t="str">
        <f>IF($G553="","",INDEX('Detalle individual'!$A:$A,$G553))</f>
        <v/>
      </c>
      <c r="C553" s="5" t="str">
        <f>IF($G553="","",INDEX('Detalle individual'!$E:$E,$G553))</f>
        <v/>
      </c>
      <c r="D553" s="5" t="str">
        <f>IF($G553="","",INDEX('Detalle individual'!$C:$C,$G553))</f>
        <v/>
      </c>
      <c r="E553" s="5" t="str">
        <f>IF($G553="","",INDEX('Detalle individual'!$D:$D,$G553))</f>
        <v/>
      </c>
      <c r="G553" t="str">
        <f>IFERROR(MATCH(SMALL(Cálculos!$AH$5:$AH$1000,549),Cálculos!$AH$5:$AH$1000,0)+4,"")</f>
        <v/>
      </c>
    </row>
    <row r="554">
      <c r="A554" s="5" t="str">
        <f>IF($G554="","",INDEX('Detalle individual'!$B:$B,$G554))</f>
        <v/>
      </c>
      <c r="B554" s="5" t="str">
        <f>IF($G554="","",INDEX('Detalle individual'!$A:$A,$G554))</f>
        <v/>
      </c>
      <c r="C554" s="5" t="str">
        <f>IF($G554="","",INDEX('Detalle individual'!$E:$E,$G554))</f>
        <v/>
      </c>
      <c r="D554" s="5" t="str">
        <f>IF($G554="","",INDEX('Detalle individual'!$C:$C,$G554))</f>
        <v/>
      </c>
      <c r="E554" s="5" t="str">
        <f>IF($G554="","",INDEX('Detalle individual'!$D:$D,$G554))</f>
        <v/>
      </c>
      <c r="G554" t="str">
        <f>IFERROR(MATCH(SMALL(Cálculos!$AH$5:$AH$1000,550),Cálculos!$AH$5:$AH$1000,0)+4,"")</f>
        <v/>
      </c>
    </row>
    <row r="555">
      <c r="A555" s="5" t="str">
        <f>IF($G555="","",INDEX('Detalle individual'!$B:$B,$G555))</f>
        <v/>
      </c>
      <c r="B555" s="5" t="str">
        <f>IF($G555="","",INDEX('Detalle individual'!$A:$A,$G555))</f>
        <v/>
      </c>
      <c r="C555" s="5" t="str">
        <f>IF($G555="","",INDEX('Detalle individual'!$E:$E,$G555))</f>
        <v/>
      </c>
      <c r="D555" s="5" t="str">
        <f>IF($G555="","",INDEX('Detalle individual'!$C:$C,$G555))</f>
        <v/>
      </c>
      <c r="E555" s="5" t="str">
        <f>IF($G555="","",INDEX('Detalle individual'!$D:$D,$G555))</f>
        <v/>
      </c>
      <c r="G555" t="str">
        <f>IFERROR(MATCH(SMALL(Cálculos!$AH$5:$AH$1000,551),Cálculos!$AH$5:$AH$1000,0)+4,"")</f>
        <v/>
      </c>
    </row>
    <row r="556">
      <c r="A556" s="5" t="str">
        <f>IF($G556="","",INDEX('Detalle individual'!$B:$B,$G556))</f>
        <v/>
      </c>
      <c r="B556" s="5" t="str">
        <f>IF($G556="","",INDEX('Detalle individual'!$A:$A,$G556))</f>
        <v/>
      </c>
      <c r="C556" s="5" t="str">
        <f>IF($G556="","",INDEX('Detalle individual'!$E:$E,$G556))</f>
        <v/>
      </c>
      <c r="D556" s="5" t="str">
        <f>IF($G556="","",INDEX('Detalle individual'!$C:$C,$G556))</f>
        <v/>
      </c>
      <c r="E556" s="5" t="str">
        <f>IF($G556="","",INDEX('Detalle individual'!$D:$D,$G556))</f>
        <v/>
      </c>
      <c r="G556" t="str">
        <f>IFERROR(MATCH(SMALL(Cálculos!$AH$5:$AH$1000,552),Cálculos!$AH$5:$AH$1000,0)+4,"")</f>
        <v/>
      </c>
    </row>
    <row r="557">
      <c r="A557" s="5" t="str">
        <f>IF($G557="","",INDEX('Detalle individual'!$B:$B,$G557))</f>
        <v/>
      </c>
      <c r="B557" s="5" t="str">
        <f>IF($G557="","",INDEX('Detalle individual'!$A:$A,$G557))</f>
        <v/>
      </c>
      <c r="C557" s="5" t="str">
        <f>IF($G557="","",INDEX('Detalle individual'!$E:$E,$G557))</f>
        <v/>
      </c>
      <c r="D557" s="5" t="str">
        <f>IF($G557="","",INDEX('Detalle individual'!$C:$C,$G557))</f>
        <v/>
      </c>
      <c r="E557" s="5" t="str">
        <f>IF($G557="","",INDEX('Detalle individual'!$D:$D,$G557))</f>
        <v/>
      </c>
      <c r="G557" t="str">
        <f>IFERROR(MATCH(SMALL(Cálculos!$AH$5:$AH$1000,553),Cálculos!$AH$5:$AH$1000,0)+4,"")</f>
        <v/>
      </c>
    </row>
    <row r="558">
      <c r="A558" s="5" t="str">
        <f>IF($G558="","",INDEX('Detalle individual'!$B:$B,$G558))</f>
        <v/>
      </c>
      <c r="B558" s="5" t="str">
        <f>IF($G558="","",INDEX('Detalle individual'!$A:$A,$G558))</f>
        <v/>
      </c>
      <c r="C558" s="5" t="str">
        <f>IF($G558="","",INDEX('Detalle individual'!$E:$E,$G558))</f>
        <v/>
      </c>
      <c r="D558" s="5" t="str">
        <f>IF($G558="","",INDEX('Detalle individual'!$C:$C,$G558))</f>
        <v/>
      </c>
      <c r="E558" s="5" t="str">
        <f>IF($G558="","",INDEX('Detalle individual'!$D:$D,$G558))</f>
        <v/>
      </c>
      <c r="G558" t="str">
        <f>IFERROR(MATCH(SMALL(Cálculos!$AH$5:$AH$1000,554),Cálculos!$AH$5:$AH$1000,0)+4,"")</f>
        <v/>
      </c>
    </row>
    <row r="559">
      <c r="A559" s="5" t="str">
        <f>IF($G559="","",INDEX('Detalle individual'!$B:$B,$G559))</f>
        <v/>
      </c>
      <c r="B559" s="5" t="str">
        <f>IF($G559="","",INDEX('Detalle individual'!$A:$A,$G559))</f>
        <v/>
      </c>
      <c r="C559" s="5" t="str">
        <f>IF($G559="","",INDEX('Detalle individual'!$E:$E,$G559))</f>
        <v/>
      </c>
      <c r="D559" s="5" t="str">
        <f>IF($G559="","",INDEX('Detalle individual'!$C:$C,$G559))</f>
        <v/>
      </c>
      <c r="E559" s="5" t="str">
        <f>IF($G559="","",INDEX('Detalle individual'!$D:$D,$G559))</f>
        <v/>
      </c>
      <c r="G559" t="str">
        <f>IFERROR(MATCH(SMALL(Cálculos!$AH$5:$AH$1000,555),Cálculos!$AH$5:$AH$1000,0)+4,"")</f>
        <v/>
      </c>
    </row>
    <row r="560">
      <c r="A560" s="5" t="str">
        <f>IF($G560="","",INDEX('Detalle individual'!$B:$B,$G560))</f>
        <v/>
      </c>
      <c r="B560" s="5" t="str">
        <f>IF($G560="","",INDEX('Detalle individual'!$A:$A,$G560))</f>
        <v/>
      </c>
      <c r="C560" s="5" t="str">
        <f>IF($G560="","",INDEX('Detalle individual'!$E:$E,$G560))</f>
        <v/>
      </c>
      <c r="D560" s="5" t="str">
        <f>IF($G560="","",INDEX('Detalle individual'!$C:$C,$G560))</f>
        <v/>
      </c>
      <c r="E560" s="5" t="str">
        <f>IF($G560="","",INDEX('Detalle individual'!$D:$D,$G560))</f>
        <v/>
      </c>
      <c r="G560" t="str">
        <f>IFERROR(MATCH(SMALL(Cálculos!$AH$5:$AH$1000,556),Cálculos!$AH$5:$AH$1000,0)+4,"")</f>
        <v/>
      </c>
    </row>
    <row r="561">
      <c r="A561" s="5" t="str">
        <f>IF($G561="","",INDEX('Detalle individual'!$B:$B,$G561))</f>
        <v/>
      </c>
      <c r="B561" s="5" t="str">
        <f>IF($G561="","",INDEX('Detalle individual'!$A:$A,$G561))</f>
        <v/>
      </c>
      <c r="C561" s="5" t="str">
        <f>IF($G561="","",INDEX('Detalle individual'!$E:$E,$G561))</f>
        <v/>
      </c>
      <c r="D561" s="5" t="str">
        <f>IF($G561="","",INDEX('Detalle individual'!$C:$C,$G561))</f>
        <v/>
      </c>
      <c r="E561" s="5" t="str">
        <f>IF($G561="","",INDEX('Detalle individual'!$D:$D,$G561))</f>
        <v/>
      </c>
      <c r="G561" t="str">
        <f>IFERROR(MATCH(SMALL(Cálculos!$AH$5:$AH$1000,557),Cálculos!$AH$5:$AH$1000,0)+4,"")</f>
        <v/>
      </c>
    </row>
    <row r="562">
      <c r="A562" s="5" t="str">
        <f>IF($G562="","",INDEX('Detalle individual'!$B:$B,$G562))</f>
        <v/>
      </c>
      <c r="B562" s="5" t="str">
        <f>IF($G562="","",INDEX('Detalle individual'!$A:$A,$G562))</f>
        <v/>
      </c>
      <c r="C562" s="5" t="str">
        <f>IF($G562="","",INDEX('Detalle individual'!$E:$E,$G562))</f>
        <v/>
      </c>
      <c r="D562" s="5" t="str">
        <f>IF($G562="","",INDEX('Detalle individual'!$C:$C,$G562))</f>
        <v/>
      </c>
      <c r="E562" s="5" t="str">
        <f>IF($G562="","",INDEX('Detalle individual'!$D:$D,$G562))</f>
        <v/>
      </c>
      <c r="G562" t="str">
        <f>IFERROR(MATCH(SMALL(Cálculos!$AH$5:$AH$1000,558),Cálculos!$AH$5:$AH$1000,0)+4,"")</f>
        <v/>
      </c>
    </row>
    <row r="563">
      <c r="A563" s="5" t="str">
        <f>IF($G563="","",INDEX('Detalle individual'!$B:$B,$G563))</f>
        <v/>
      </c>
      <c r="B563" s="5" t="str">
        <f>IF($G563="","",INDEX('Detalle individual'!$A:$A,$G563))</f>
        <v/>
      </c>
      <c r="C563" s="5" t="str">
        <f>IF($G563="","",INDEX('Detalle individual'!$E:$E,$G563))</f>
        <v/>
      </c>
      <c r="D563" s="5" t="str">
        <f>IF($G563="","",INDEX('Detalle individual'!$C:$C,$G563))</f>
        <v/>
      </c>
      <c r="E563" s="5" t="str">
        <f>IF($G563="","",INDEX('Detalle individual'!$D:$D,$G563))</f>
        <v/>
      </c>
      <c r="G563" t="str">
        <f>IFERROR(MATCH(SMALL(Cálculos!$AH$5:$AH$1000,559),Cálculos!$AH$5:$AH$1000,0)+4,"")</f>
        <v/>
      </c>
    </row>
    <row r="564">
      <c r="A564" s="5" t="str">
        <f>IF($G564="","",INDEX('Detalle individual'!$B:$B,$G564))</f>
        <v/>
      </c>
      <c r="B564" s="5" t="str">
        <f>IF($G564="","",INDEX('Detalle individual'!$A:$A,$G564))</f>
        <v/>
      </c>
      <c r="C564" s="5" t="str">
        <f>IF($G564="","",INDEX('Detalle individual'!$E:$E,$G564))</f>
        <v/>
      </c>
      <c r="D564" s="5" t="str">
        <f>IF($G564="","",INDEX('Detalle individual'!$C:$C,$G564))</f>
        <v/>
      </c>
      <c r="E564" s="5" t="str">
        <f>IF($G564="","",INDEX('Detalle individual'!$D:$D,$G564))</f>
        <v/>
      </c>
      <c r="G564" t="str">
        <f>IFERROR(MATCH(SMALL(Cálculos!$AH$5:$AH$1000,560),Cálculos!$AH$5:$AH$1000,0)+4,"")</f>
        <v/>
      </c>
    </row>
    <row r="565">
      <c r="A565" s="5" t="str">
        <f>IF($G565="","",INDEX('Detalle individual'!$B:$B,$G565))</f>
        <v/>
      </c>
      <c r="B565" s="5" t="str">
        <f>IF($G565="","",INDEX('Detalle individual'!$A:$A,$G565))</f>
        <v/>
      </c>
      <c r="C565" s="5" t="str">
        <f>IF($G565="","",INDEX('Detalle individual'!$E:$E,$G565))</f>
        <v/>
      </c>
      <c r="D565" s="5" t="str">
        <f>IF($G565="","",INDEX('Detalle individual'!$C:$C,$G565))</f>
        <v/>
      </c>
      <c r="E565" s="5" t="str">
        <f>IF($G565="","",INDEX('Detalle individual'!$D:$D,$G565))</f>
        <v/>
      </c>
      <c r="G565" t="str">
        <f>IFERROR(MATCH(SMALL(Cálculos!$AH$5:$AH$1000,561),Cálculos!$AH$5:$AH$1000,0)+4,"")</f>
        <v/>
      </c>
    </row>
    <row r="566">
      <c r="A566" s="5" t="str">
        <f>IF($G566="","",INDEX('Detalle individual'!$B:$B,$G566))</f>
        <v/>
      </c>
      <c r="B566" s="5" t="str">
        <f>IF($G566="","",INDEX('Detalle individual'!$A:$A,$G566))</f>
        <v/>
      </c>
      <c r="C566" s="5" t="str">
        <f>IF($G566="","",INDEX('Detalle individual'!$E:$E,$G566))</f>
        <v/>
      </c>
      <c r="D566" s="5" t="str">
        <f>IF($G566="","",INDEX('Detalle individual'!$C:$C,$G566))</f>
        <v/>
      </c>
      <c r="E566" s="5" t="str">
        <f>IF($G566="","",INDEX('Detalle individual'!$D:$D,$G566))</f>
        <v/>
      </c>
      <c r="G566" t="str">
        <f>IFERROR(MATCH(SMALL(Cálculos!$AH$5:$AH$1000,562),Cálculos!$AH$5:$AH$1000,0)+4,"")</f>
        <v/>
      </c>
    </row>
    <row r="567">
      <c r="A567" s="5" t="str">
        <f>IF($G567="","",INDEX('Detalle individual'!$B:$B,$G567))</f>
        <v/>
      </c>
      <c r="B567" s="5" t="str">
        <f>IF($G567="","",INDEX('Detalle individual'!$A:$A,$G567))</f>
        <v/>
      </c>
      <c r="C567" s="5" t="str">
        <f>IF($G567="","",INDEX('Detalle individual'!$E:$E,$G567))</f>
        <v/>
      </c>
      <c r="D567" s="5" t="str">
        <f>IF($G567="","",INDEX('Detalle individual'!$C:$C,$G567))</f>
        <v/>
      </c>
      <c r="E567" s="5" t="str">
        <f>IF($G567="","",INDEX('Detalle individual'!$D:$D,$G567))</f>
        <v/>
      </c>
      <c r="G567" t="str">
        <f>IFERROR(MATCH(SMALL(Cálculos!$AH$5:$AH$1000,563),Cálculos!$AH$5:$AH$1000,0)+4,"")</f>
        <v/>
      </c>
    </row>
    <row r="568">
      <c r="A568" s="5" t="str">
        <f>IF($G568="","",INDEX('Detalle individual'!$B:$B,$G568))</f>
        <v/>
      </c>
      <c r="B568" s="5" t="str">
        <f>IF($G568="","",INDEX('Detalle individual'!$A:$A,$G568))</f>
        <v/>
      </c>
      <c r="C568" s="5" t="str">
        <f>IF($G568="","",INDEX('Detalle individual'!$E:$E,$G568))</f>
        <v/>
      </c>
      <c r="D568" s="5" t="str">
        <f>IF($G568="","",INDEX('Detalle individual'!$C:$C,$G568))</f>
        <v/>
      </c>
      <c r="E568" s="5" t="str">
        <f>IF($G568="","",INDEX('Detalle individual'!$D:$D,$G568))</f>
        <v/>
      </c>
      <c r="G568" t="str">
        <f>IFERROR(MATCH(SMALL(Cálculos!$AH$5:$AH$1000,564),Cálculos!$AH$5:$AH$1000,0)+4,"")</f>
        <v/>
      </c>
    </row>
    <row r="569">
      <c r="A569" s="5" t="str">
        <f>IF($G569="","",INDEX('Detalle individual'!$B:$B,$G569))</f>
        <v/>
      </c>
      <c r="B569" s="5" t="str">
        <f>IF($G569="","",INDEX('Detalle individual'!$A:$A,$G569))</f>
        <v/>
      </c>
      <c r="C569" s="5" t="str">
        <f>IF($G569="","",INDEX('Detalle individual'!$E:$E,$G569))</f>
        <v/>
      </c>
      <c r="D569" s="5" t="str">
        <f>IF($G569="","",INDEX('Detalle individual'!$C:$C,$G569))</f>
        <v/>
      </c>
      <c r="E569" s="5" t="str">
        <f>IF($G569="","",INDEX('Detalle individual'!$D:$D,$G569))</f>
        <v/>
      </c>
      <c r="G569" t="str">
        <f>IFERROR(MATCH(SMALL(Cálculos!$AH$5:$AH$1000,565),Cálculos!$AH$5:$AH$1000,0)+4,"")</f>
        <v/>
      </c>
    </row>
    <row r="570">
      <c r="A570" s="5" t="str">
        <f>IF($G570="","",INDEX('Detalle individual'!$B:$B,$G570))</f>
        <v/>
      </c>
      <c r="B570" s="5" t="str">
        <f>IF($G570="","",INDEX('Detalle individual'!$A:$A,$G570))</f>
        <v/>
      </c>
      <c r="C570" s="5" t="str">
        <f>IF($G570="","",INDEX('Detalle individual'!$E:$E,$G570))</f>
        <v/>
      </c>
      <c r="D570" s="5" t="str">
        <f>IF($G570="","",INDEX('Detalle individual'!$C:$C,$G570))</f>
        <v/>
      </c>
      <c r="E570" s="5" t="str">
        <f>IF($G570="","",INDEX('Detalle individual'!$D:$D,$G570))</f>
        <v/>
      </c>
      <c r="G570" t="str">
        <f>IFERROR(MATCH(SMALL(Cálculos!$AH$5:$AH$1000,566),Cálculos!$AH$5:$AH$1000,0)+4,"")</f>
        <v/>
      </c>
    </row>
    <row r="571">
      <c r="A571" s="5" t="str">
        <f>IF($G571="","",INDEX('Detalle individual'!$B:$B,$G571))</f>
        <v/>
      </c>
      <c r="B571" s="5" t="str">
        <f>IF($G571="","",INDEX('Detalle individual'!$A:$A,$G571))</f>
        <v/>
      </c>
      <c r="C571" s="5" t="str">
        <f>IF($G571="","",INDEX('Detalle individual'!$E:$E,$G571))</f>
        <v/>
      </c>
      <c r="D571" s="5" t="str">
        <f>IF($G571="","",INDEX('Detalle individual'!$C:$C,$G571))</f>
        <v/>
      </c>
      <c r="E571" s="5" t="str">
        <f>IF($G571="","",INDEX('Detalle individual'!$D:$D,$G571))</f>
        <v/>
      </c>
      <c r="G571" t="str">
        <f>IFERROR(MATCH(SMALL(Cálculos!$AH$5:$AH$1000,567),Cálculos!$AH$5:$AH$1000,0)+4,"")</f>
        <v/>
      </c>
    </row>
    <row r="572">
      <c r="A572" s="5" t="str">
        <f>IF($G572="","",INDEX('Detalle individual'!$B:$B,$G572))</f>
        <v/>
      </c>
      <c r="B572" s="5" t="str">
        <f>IF($G572="","",INDEX('Detalle individual'!$A:$A,$G572))</f>
        <v/>
      </c>
      <c r="C572" s="5" t="str">
        <f>IF($G572="","",INDEX('Detalle individual'!$E:$E,$G572))</f>
        <v/>
      </c>
      <c r="D572" s="5" t="str">
        <f>IF($G572="","",INDEX('Detalle individual'!$C:$C,$G572))</f>
        <v/>
      </c>
      <c r="E572" s="5" t="str">
        <f>IF($G572="","",INDEX('Detalle individual'!$D:$D,$G572))</f>
        <v/>
      </c>
      <c r="G572" t="str">
        <f>IFERROR(MATCH(SMALL(Cálculos!$AH$5:$AH$1000,568),Cálculos!$AH$5:$AH$1000,0)+4,"")</f>
        <v/>
      </c>
    </row>
    <row r="573">
      <c r="A573" s="5" t="str">
        <f>IF($G573="","",INDEX('Detalle individual'!$B:$B,$G573))</f>
        <v/>
      </c>
      <c r="B573" s="5" t="str">
        <f>IF($G573="","",INDEX('Detalle individual'!$A:$A,$G573))</f>
        <v/>
      </c>
      <c r="C573" s="5" t="str">
        <f>IF($G573="","",INDEX('Detalle individual'!$E:$E,$G573))</f>
        <v/>
      </c>
      <c r="D573" s="5" t="str">
        <f>IF($G573="","",INDEX('Detalle individual'!$C:$C,$G573))</f>
        <v/>
      </c>
      <c r="E573" s="5" t="str">
        <f>IF($G573="","",INDEX('Detalle individual'!$D:$D,$G573))</f>
        <v/>
      </c>
      <c r="G573" t="str">
        <f>IFERROR(MATCH(SMALL(Cálculos!$AH$5:$AH$1000,569),Cálculos!$AH$5:$AH$1000,0)+4,"")</f>
        <v/>
      </c>
    </row>
    <row r="574">
      <c r="A574" s="5" t="str">
        <f>IF($G574="","",INDEX('Detalle individual'!$B:$B,$G574))</f>
        <v/>
      </c>
      <c r="B574" s="5" t="str">
        <f>IF($G574="","",INDEX('Detalle individual'!$A:$A,$G574))</f>
        <v/>
      </c>
      <c r="C574" s="5" t="str">
        <f>IF($G574="","",INDEX('Detalle individual'!$E:$E,$G574))</f>
        <v/>
      </c>
      <c r="D574" s="5" t="str">
        <f>IF($G574="","",INDEX('Detalle individual'!$C:$C,$G574))</f>
        <v/>
      </c>
      <c r="E574" s="5" t="str">
        <f>IF($G574="","",INDEX('Detalle individual'!$D:$D,$G574))</f>
        <v/>
      </c>
      <c r="G574" t="str">
        <f>IFERROR(MATCH(SMALL(Cálculos!$AH$5:$AH$1000,570),Cálculos!$AH$5:$AH$1000,0)+4,"")</f>
        <v/>
      </c>
    </row>
    <row r="575">
      <c r="A575" s="5" t="str">
        <f>IF($G575="","",INDEX('Detalle individual'!$B:$B,$G575))</f>
        <v/>
      </c>
      <c r="B575" s="5" t="str">
        <f>IF($G575="","",INDEX('Detalle individual'!$A:$A,$G575))</f>
        <v/>
      </c>
      <c r="C575" s="5" t="str">
        <f>IF($G575="","",INDEX('Detalle individual'!$E:$E,$G575))</f>
        <v/>
      </c>
      <c r="D575" s="5" t="str">
        <f>IF($G575="","",INDEX('Detalle individual'!$C:$C,$G575))</f>
        <v/>
      </c>
      <c r="E575" s="5" t="str">
        <f>IF($G575="","",INDEX('Detalle individual'!$D:$D,$G575))</f>
        <v/>
      </c>
      <c r="G575" t="str">
        <f>IFERROR(MATCH(SMALL(Cálculos!$AH$5:$AH$1000,571),Cálculos!$AH$5:$AH$1000,0)+4,"")</f>
        <v/>
      </c>
    </row>
    <row r="576">
      <c r="A576" s="5" t="str">
        <f>IF($G576="","",INDEX('Detalle individual'!$B:$B,$G576))</f>
        <v/>
      </c>
      <c r="B576" s="5" t="str">
        <f>IF($G576="","",INDEX('Detalle individual'!$A:$A,$G576))</f>
        <v/>
      </c>
      <c r="C576" s="5" t="str">
        <f>IF($G576="","",INDEX('Detalle individual'!$E:$E,$G576))</f>
        <v/>
      </c>
      <c r="D576" s="5" t="str">
        <f>IF($G576="","",INDEX('Detalle individual'!$C:$C,$G576))</f>
        <v/>
      </c>
      <c r="E576" s="5" t="str">
        <f>IF($G576="","",INDEX('Detalle individual'!$D:$D,$G576))</f>
        <v/>
      </c>
      <c r="G576" t="str">
        <f>IFERROR(MATCH(SMALL(Cálculos!$AH$5:$AH$1000,572),Cálculos!$AH$5:$AH$1000,0)+4,"")</f>
        <v/>
      </c>
    </row>
    <row r="577">
      <c r="A577" s="5" t="str">
        <f>IF($G577="","",INDEX('Detalle individual'!$B:$B,$G577))</f>
        <v/>
      </c>
      <c r="B577" s="5" t="str">
        <f>IF($G577="","",INDEX('Detalle individual'!$A:$A,$G577))</f>
        <v/>
      </c>
      <c r="C577" s="5" t="str">
        <f>IF($G577="","",INDEX('Detalle individual'!$E:$E,$G577))</f>
        <v/>
      </c>
      <c r="D577" s="5" t="str">
        <f>IF($G577="","",INDEX('Detalle individual'!$C:$C,$G577))</f>
        <v/>
      </c>
      <c r="E577" s="5" t="str">
        <f>IF($G577="","",INDEX('Detalle individual'!$D:$D,$G577))</f>
        <v/>
      </c>
      <c r="G577" t="str">
        <f>IFERROR(MATCH(SMALL(Cálculos!$AH$5:$AH$1000,573),Cálculos!$AH$5:$AH$1000,0)+4,"")</f>
        <v/>
      </c>
    </row>
    <row r="578">
      <c r="A578" s="5" t="str">
        <f>IF($G578="","",INDEX('Detalle individual'!$B:$B,$G578))</f>
        <v/>
      </c>
      <c r="B578" s="5" t="str">
        <f>IF($G578="","",INDEX('Detalle individual'!$A:$A,$G578))</f>
        <v/>
      </c>
      <c r="C578" s="5" t="str">
        <f>IF($G578="","",INDEX('Detalle individual'!$E:$E,$G578))</f>
        <v/>
      </c>
      <c r="D578" s="5" t="str">
        <f>IF($G578="","",INDEX('Detalle individual'!$C:$C,$G578))</f>
        <v/>
      </c>
      <c r="E578" s="5" t="str">
        <f>IF($G578="","",INDEX('Detalle individual'!$D:$D,$G578))</f>
        <v/>
      </c>
      <c r="G578" t="str">
        <f>IFERROR(MATCH(SMALL(Cálculos!$AH$5:$AH$1000,574),Cálculos!$AH$5:$AH$1000,0)+4,"")</f>
        <v/>
      </c>
    </row>
    <row r="579">
      <c r="A579" s="5" t="str">
        <f>IF($G579="","",INDEX('Detalle individual'!$B:$B,$G579))</f>
        <v/>
      </c>
      <c r="B579" s="5" t="str">
        <f>IF($G579="","",INDEX('Detalle individual'!$A:$A,$G579))</f>
        <v/>
      </c>
      <c r="C579" s="5" t="str">
        <f>IF($G579="","",INDEX('Detalle individual'!$E:$E,$G579))</f>
        <v/>
      </c>
      <c r="D579" s="5" t="str">
        <f>IF($G579="","",INDEX('Detalle individual'!$C:$C,$G579))</f>
        <v/>
      </c>
      <c r="E579" s="5" t="str">
        <f>IF($G579="","",INDEX('Detalle individual'!$D:$D,$G579))</f>
        <v/>
      </c>
      <c r="G579" t="str">
        <f>IFERROR(MATCH(SMALL(Cálculos!$AH$5:$AH$1000,575),Cálculos!$AH$5:$AH$1000,0)+4,"")</f>
        <v/>
      </c>
    </row>
    <row r="580">
      <c r="A580" s="5" t="str">
        <f>IF($G580="","",INDEX('Detalle individual'!$B:$B,$G580))</f>
        <v/>
      </c>
      <c r="B580" s="5" t="str">
        <f>IF($G580="","",INDEX('Detalle individual'!$A:$A,$G580))</f>
        <v/>
      </c>
      <c r="C580" s="5" t="str">
        <f>IF($G580="","",INDEX('Detalle individual'!$E:$E,$G580))</f>
        <v/>
      </c>
      <c r="D580" s="5" t="str">
        <f>IF($G580="","",INDEX('Detalle individual'!$C:$C,$G580))</f>
        <v/>
      </c>
      <c r="E580" s="5" t="str">
        <f>IF($G580="","",INDEX('Detalle individual'!$D:$D,$G580))</f>
        <v/>
      </c>
      <c r="G580" t="str">
        <f>IFERROR(MATCH(SMALL(Cálculos!$AH$5:$AH$1000,576),Cálculos!$AH$5:$AH$1000,0)+4,"")</f>
        <v/>
      </c>
    </row>
    <row r="581">
      <c r="A581" s="5" t="str">
        <f>IF($G581="","",INDEX('Detalle individual'!$B:$B,$G581))</f>
        <v/>
      </c>
      <c r="B581" s="5" t="str">
        <f>IF($G581="","",INDEX('Detalle individual'!$A:$A,$G581))</f>
        <v/>
      </c>
      <c r="C581" s="5" t="str">
        <f>IF($G581="","",INDEX('Detalle individual'!$E:$E,$G581))</f>
        <v/>
      </c>
      <c r="D581" s="5" t="str">
        <f>IF($G581="","",INDEX('Detalle individual'!$C:$C,$G581))</f>
        <v/>
      </c>
      <c r="E581" s="5" t="str">
        <f>IF($G581="","",INDEX('Detalle individual'!$D:$D,$G581))</f>
        <v/>
      </c>
      <c r="G581" t="str">
        <f>IFERROR(MATCH(SMALL(Cálculos!$AH$5:$AH$1000,577),Cálculos!$AH$5:$AH$1000,0)+4,"")</f>
        <v/>
      </c>
    </row>
    <row r="582">
      <c r="A582" s="5" t="str">
        <f>IF($G582="","",INDEX('Detalle individual'!$B:$B,$G582))</f>
        <v/>
      </c>
      <c r="B582" s="5" t="str">
        <f>IF($G582="","",INDEX('Detalle individual'!$A:$A,$G582))</f>
        <v/>
      </c>
      <c r="C582" s="5" t="str">
        <f>IF($G582="","",INDEX('Detalle individual'!$E:$E,$G582))</f>
        <v/>
      </c>
      <c r="D582" s="5" t="str">
        <f>IF($G582="","",INDEX('Detalle individual'!$C:$C,$G582))</f>
        <v/>
      </c>
      <c r="E582" s="5" t="str">
        <f>IF($G582="","",INDEX('Detalle individual'!$D:$D,$G582))</f>
        <v/>
      </c>
      <c r="G582" t="str">
        <f>IFERROR(MATCH(SMALL(Cálculos!$AH$5:$AH$1000,578),Cálculos!$AH$5:$AH$1000,0)+4,"")</f>
        <v/>
      </c>
    </row>
    <row r="583">
      <c r="A583" s="5" t="str">
        <f>IF($G583="","",INDEX('Detalle individual'!$B:$B,$G583))</f>
        <v/>
      </c>
      <c r="B583" s="5" t="str">
        <f>IF($G583="","",INDEX('Detalle individual'!$A:$A,$G583))</f>
        <v/>
      </c>
      <c r="C583" s="5" t="str">
        <f>IF($G583="","",INDEX('Detalle individual'!$E:$E,$G583))</f>
        <v/>
      </c>
      <c r="D583" s="5" t="str">
        <f>IF($G583="","",INDEX('Detalle individual'!$C:$C,$G583))</f>
        <v/>
      </c>
      <c r="E583" s="5" t="str">
        <f>IF($G583="","",INDEX('Detalle individual'!$D:$D,$G583))</f>
        <v/>
      </c>
      <c r="G583" t="str">
        <f>IFERROR(MATCH(SMALL(Cálculos!$AH$5:$AH$1000,579),Cálculos!$AH$5:$AH$1000,0)+4,"")</f>
        <v/>
      </c>
    </row>
    <row r="584">
      <c r="A584" s="5" t="str">
        <f>IF($G584="","",INDEX('Detalle individual'!$B:$B,$G584))</f>
        <v/>
      </c>
      <c r="B584" s="5" t="str">
        <f>IF($G584="","",INDEX('Detalle individual'!$A:$A,$G584))</f>
        <v/>
      </c>
      <c r="C584" s="5" t="str">
        <f>IF($G584="","",INDEX('Detalle individual'!$E:$E,$G584))</f>
        <v/>
      </c>
      <c r="D584" s="5" t="str">
        <f>IF($G584="","",INDEX('Detalle individual'!$C:$C,$G584))</f>
        <v/>
      </c>
      <c r="E584" s="5" t="str">
        <f>IF($G584="","",INDEX('Detalle individual'!$D:$D,$G584))</f>
        <v/>
      </c>
      <c r="G584" t="str">
        <f>IFERROR(MATCH(SMALL(Cálculos!$AH$5:$AH$1000,580),Cálculos!$AH$5:$AH$1000,0)+4,"")</f>
        <v/>
      </c>
    </row>
    <row r="585">
      <c r="A585" s="5" t="str">
        <f>IF($G585="","",INDEX('Detalle individual'!$B:$B,$G585))</f>
        <v/>
      </c>
      <c r="B585" s="5" t="str">
        <f>IF($G585="","",INDEX('Detalle individual'!$A:$A,$G585))</f>
        <v/>
      </c>
      <c r="C585" s="5" t="str">
        <f>IF($G585="","",INDEX('Detalle individual'!$E:$E,$G585))</f>
        <v/>
      </c>
      <c r="D585" s="5" t="str">
        <f>IF($G585="","",INDEX('Detalle individual'!$C:$C,$G585))</f>
        <v/>
      </c>
      <c r="E585" s="5" t="str">
        <f>IF($G585="","",INDEX('Detalle individual'!$D:$D,$G585))</f>
        <v/>
      </c>
      <c r="G585" t="str">
        <f>IFERROR(MATCH(SMALL(Cálculos!$AH$5:$AH$1000,581),Cálculos!$AH$5:$AH$1000,0)+4,"")</f>
        <v/>
      </c>
    </row>
    <row r="586">
      <c r="A586" s="5" t="str">
        <f>IF($G586="","",INDEX('Detalle individual'!$B:$B,$G586))</f>
        <v/>
      </c>
      <c r="B586" s="5" t="str">
        <f>IF($G586="","",INDEX('Detalle individual'!$A:$A,$G586))</f>
        <v/>
      </c>
      <c r="C586" s="5" t="str">
        <f>IF($G586="","",INDEX('Detalle individual'!$E:$E,$G586))</f>
        <v/>
      </c>
      <c r="D586" s="5" t="str">
        <f>IF($G586="","",INDEX('Detalle individual'!$C:$C,$G586))</f>
        <v/>
      </c>
      <c r="E586" s="5" t="str">
        <f>IF($G586="","",INDEX('Detalle individual'!$D:$D,$G586))</f>
        <v/>
      </c>
      <c r="G586" t="str">
        <f>IFERROR(MATCH(SMALL(Cálculos!$AH$5:$AH$1000,582),Cálculos!$AH$5:$AH$1000,0)+4,"")</f>
        <v/>
      </c>
    </row>
    <row r="587">
      <c r="A587" s="5" t="str">
        <f>IF($G587="","",INDEX('Detalle individual'!$B:$B,$G587))</f>
        <v/>
      </c>
      <c r="B587" s="5" t="str">
        <f>IF($G587="","",INDEX('Detalle individual'!$A:$A,$G587))</f>
        <v/>
      </c>
      <c r="C587" s="5" t="str">
        <f>IF($G587="","",INDEX('Detalle individual'!$E:$E,$G587))</f>
        <v/>
      </c>
      <c r="D587" s="5" t="str">
        <f>IF($G587="","",INDEX('Detalle individual'!$C:$C,$G587))</f>
        <v/>
      </c>
      <c r="E587" s="5" t="str">
        <f>IF($G587="","",INDEX('Detalle individual'!$D:$D,$G587))</f>
        <v/>
      </c>
      <c r="G587" t="str">
        <f>IFERROR(MATCH(SMALL(Cálculos!$AH$5:$AH$1000,583),Cálculos!$AH$5:$AH$1000,0)+4,"")</f>
        <v/>
      </c>
    </row>
    <row r="588">
      <c r="A588" s="5" t="str">
        <f>IF($G588="","",INDEX('Detalle individual'!$B:$B,$G588))</f>
        <v/>
      </c>
      <c r="B588" s="5" t="str">
        <f>IF($G588="","",INDEX('Detalle individual'!$A:$A,$G588))</f>
        <v/>
      </c>
      <c r="C588" s="5" t="str">
        <f>IF($G588="","",INDEX('Detalle individual'!$E:$E,$G588))</f>
        <v/>
      </c>
      <c r="D588" s="5" t="str">
        <f>IF($G588="","",INDEX('Detalle individual'!$C:$C,$G588))</f>
        <v/>
      </c>
      <c r="E588" s="5" t="str">
        <f>IF($G588="","",INDEX('Detalle individual'!$D:$D,$G588))</f>
        <v/>
      </c>
      <c r="G588" t="str">
        <f>IFERROR(MATCH(SMALL(Cálculos!$AH$5:$AH$1000,584),Cálculos!$AH$5:$AH$1000,0)+4,"")</f>
        <v/>
      </c>
    </row>
    <row r="589">
      <c r="A589" s="5" t="str">
        <f>IF($G589="","",INDEX('Detalle individual'!$B:$B,$G589))</f>
        <v/>
      </c>
      <c r="B589" s="5" t="str">
        <f>IF($G589="","",INDEX('Detalle individual'!$A:$A,$G589))</f>
        <v/>
      </c>
      <c r="C589" s="5" t="str">
        <f>IF($G589="","",INDEX('Detalle individual'!$E:$E,$G589))</f>
        <v/>
      </c>
      <c r="D589" s="5" t="str">
        <f>IF($G589="","",INDEX('Detalle individual'!$C:$C,$G589))</f>
        <v/>
      </c>
      <c r="E589" s="5" t="str">
        <f>IF($G589="","",INDEX('Detalle individual'!$D:$D,$G589))</f>
        <v/>
      </c>
      <c r="G589" t="str">
        <f>IFERROR(MATCH(SMALL(Cálculos!$AH$5:$AH$1000,585),Cálculos!$AH$5:$AH$1000,0)+4,"")</f>
        <v/>
      </c>
    </row>
    <row r="590">
      <c r="A590" s="5" t="str">
        <f>IF($G590="","",INDEX('Detalle individual'!$B:$B,$G590))</f>
        <v/>
      </c>
      <c r="B590" s="5" t="str">
        <f>IF($G590="","",INDEX('Detalle individual'!$A:$A,$G590))</f>
        <v/>
      </c>
      <c r="C590" s="5" t="str">
        <f>IF($G590="","",INDEX('Detalle individual'!$E:$E,$G590))</f>
        <v/>
      </c>
      <c r="D590" s="5" t="str">
        <f>IF($G590="","",INDEX('Detalle individual'!$C:$C,$G590))</f>
        <v/>
      </c>
      <c r="E590" s="5" t="str">
        <f>IF($G590="","",INDEX('Detalle individual'!$D:$D,$G590))</f>
        <v/>
      </c>
      <c r="G590" t="str">
        <f>IFERROR(MATCH(SMALL(Cálculos!$AH$5:$AH$1000,586),Cálculos!$AH$5:$AH$1000,0)+4,"")</f>
        <v/>
      </c>
    </row>
    <row r="591">
      <c r="A591" s="5" t="str">
        <f>IF($G591="","",INDEX('Detalle individual'!$B:$B,$G591))</f>
        <v/>
      </c>
      <c r="B591" s="5" t="str">
        <f>IF($G591="","",INDEX('Detalle individual'!$A:$A,$G591))</f>
        <v/>
      </c>
      <c r="C591" s="5" t="str">
        <f>IF($G591="","",INDEX('Detalle individual'!$E:$E,$G591))</f>
        <v/>
      </c>
      <c r="D591" s="5" t="str">
        <f>IF($G591="","",INDEX('Detalle individual'!$C:$C,$G591))</f>
        <v/>
      </c>
      <c r="E591" s="5" t="str">
        <f>IF($G591="","",INDEX('Detalle individual'!$D:$D,$G591))</f>
        <v/>
      </c>
      <c r="G591" t="str">
        <f>IFERROR(MATCH(SMALL(Cálculos!$AH$5:$AH$1000,587),Cálculos!$AH$5:$AH$1000,0)+4,"")</f>
        <v/>
      </c>
    </row>
    <row r="592">
      <c r="A592" s="5" t="str">
        <f>IF($G592="","",INDEX('Detalle individual'!$B:$B,$G592))</f>
        <v/>
      </c>
      <c r="B592" s="5" t="str">
        <f>IF($G592="","",INDEX('Detalle individual'!$A:$A,$G592))</f>
        <v/>
      </c>
      <c r="C592" s="5" t="str">
        <f>IF($G592="","",INDEX('Detalle individual'!$E:$E,$G592))</f>
        <v/>
      </c>
      <c r="D592" s="5" t="str">
        <f>IF($G592="","",INDEX('Detalle individual'!$C:$C,$G592))</f>
        <v/>
      </c>
      <c r="E592" s="5" t="str">
        <f>IF($G592="","",INDEX('Detalle individual'!$D:$D,$G592))</f>
        <v/>
      </c>
      <c r="G592" t="str">
        <f>IFERROR(MATCH(SMALL(Cálculos!$AH$5:$AH$1000,588),Cálculos!$AH$5:$AH$1000,0)+4,"")</f>
        <v/>
      </c>
    </row>
    <row r="593">
      <c r="A593" s="5" t="str">
        <f>IF($G593="","",INDEX('Detalle individual'!$B:$B,$G593))</f>
        <v/>
      </c>
      <c r="B593" s="5" t="str">
        <f>IF($G593="","",INDEX('Detalle individual'!$A:$A,$G593))</f>
        <v/>
      </c>
      <c r="C593" s="5" t="str">
        <f>IF($G593="","",INDEX('Detalle individual'!$E:$E,$G593))</f>
        <v/>
      </c>
      <c r="D593" s="5" t="str">
        <f>IF($G593="","",INDEX('Detalle individual'!$C:$C,$G593))</f>
        <v/>
      </c>
      <c r="E593" s="5" t="str">
        <f>IF($G593="","",INDEX('Detalle individual'!$D:$D,$G593))</f>
        <v/>
      </c>
      <c r="G593" t="str">
        <f>IFERROR(MATCH(SMALL(Cálculos!$AH$5:$AH$1000,589),Cálculos!$AH$5:$AH$1000,0)+4,"")</f>
        <v/>
      </c>
    </row>
    <row r="594">
      <c r="A594" s="5" t="str">
        <f>IF($G594="","",INDEX('Detalle individual'!$B:$B,$G594))</f>
        <v/>
      </c>
      <c r="B594" s="5" t="str">
        <f>IF($G594="","",INDEX('Detalle individual'!$A:$A,$G594))</f>
        <v/>
      </c>
      <c r="C594" s="5" t="str">
        <f>IF($G594="","",INDEX('Detalle individual'!$E:$E,$G594))</f>
        <v/>
      </c>
      <c r="D594" s="5" t="str">
        <f>IF($G594="","",INDEX('Detalle individual'!$C:$C,$G594))</f>
        <v/>
      </c>
      <c r="E594" s="5" t="str">
        <f>IF($G594="","",INDEX('Detalle individual'!$D:$D,$G594))</f>
        <v/>
      </c>
      <c r="G594" t="str">
        <f>IFERROR(MATCH(SMALL(Cálculos!$AH$5:$AH$1000,590),Cálculos!$AH$5:$AH$1000,0)+4,"")</f>
        <v/>
      </c>
    </row>
    <row r="595">
      <c r="A595" s="5" t="str">
        <f>IF($G595="","",INDEX('Detalle individual'!$B:$B,$G595))</f>
        <v/>
      </c>
      <c r="B595" s="5" t="str">
        <f>IF($G595="","",INDEX('Detalle individual'!$A:$A,$G595))</f>
        <v/>
      </c>
      <c r="C595" s="5" t="str">
        <f>IF($G595="","",INDEX('Detalle individual'!$E:$E,$G595))</f>
        <v/>
      </c>
      <c r="D595" s="5" t="str">
        <f>IF($G595="","",INDEX('Detalle individual'!$C:$C,$G595))</f>
        <v/>
      </c>
      <c r="E595" s="5" t="str">
        <f>IF($G595="","",INDEX('Detalle individual'!$D:$D,$G595))</f>
        <v/>
      </c>
      <c r="G595" t="str">
        <f>IFERROR(MATCH(SMALL(Cálculos!$AH$5:$AH$1000,591),Cálculos!$AH$5:$AH$1000,0)+4,"")</f>
        <v/>
      </c>
    </row>
    <row r="596">
      <c r="A596" s="5" t="str">
        <f>IF($G596="","",INDEX('Detalle individual'!$B:$B,$G596))</f>
        <v/>
      </c>
      <c r="B596" s="5" t="str">
        <f>IF($G596="","",INDEX('Detalle individual'!$A:$A,$G596))</f>
        <v/>
      </c>
      <c r="C596" s="5" t="str">
        <f>IF($G596="","",INDEX('Detalle individual'!$E:$E,$G596))</f>
        <v/>
      </c>
      <c r="D596" s="5" t="str">
        <f>IF($G596="","",INDEX('Detalle individual'!$C:$C,$G596))</f>
        <v/>
      </c>
      <c r="E596" s="5" t="str">
        <f>IF($G596="","",INDEX('Detalle individual'!$D:$D,$G596))</f>
        <v/>
      </c>
      <c r="G596" t="str">
        <f>IFERROR(MATCH(SMALL(Cálculos!$AH$5:$AH$1000,592),Cálculos!$AH$5:$AH$1000,0)+4,"")</f>
        <v/>
      </c>
    </row>
    <row r="597">
      <c r="A597" s="5" t="str">
        <f>IF($G597="","",INDEX('Detalle individual'!$B:$B,$G597))</f>
        <v/>
      </c>
      <c r="B597" s="5" t="str">
        <f>IF($G597="","",INDEX('Detalle individual'!$A:$A,$G597))</f>
        <v/>
      </c>
      <c r="C597" s="5" t="str">
        <f>IF($G597="","",INDEX('Detalle individual'!$E:$E,$G597))</f>
        <v/>
      </c>
      <c r="D597" s="5" t="str">
        <f>IF($G597="","",INDEX('Detalle individual'!$C:$C,$G597))</f>
        <v/>
      </c>
      <c r="E597" s="5" t="str">
        <f>IF($G597="","",INDEX('Detalle individual'!$D:$D,$G597))</f>
        <v/>
      </c>
      <c r="G597" t="str">
        <f>IFERROR(MATCH(SMALL(Cálculos!$AH$5:$AH$1000,593),Cálculos!$AH$5:$AH$1000,0)+4,"")</f>
        <v/>
      </c>
    </row>
    <row r="598">
      <c r="A598" s="5" t="str">
        <f>IF($G598="","",INDEX('Detalle individual'!$B:$B,$G598))</f>
        <v/>
      </c>
      <c r="B598" s="5" t="str">
        <f>IF($G598="","",INDEX('Detalle individual'!$A:$A,$G598))</f>
        <v/>
      </c>
      <c r="C598" s="5" t="str">
        <f>IF($G598="","",INDEX('Detalle individual'!$E:$E,$G598))</f>
        <v/>
      </c>
      <c r="D598" s="5" t="str">
        <f>IF($G598="","",INDEX('Detalle individual'!$C:$C,$G598))</f>
        <v/>
      </c>
      <c r="E598" s="5" t="str">
        <f>IF($G598="","",INDEX('Detalle individual'!$D:$D,$G598))</f>
        <v/>
      </c>
      <c r="G598" t="str">
        <f>IFERROR(MATCH(SMALL(Cálculos!$AH$5:$AH$1000,594),Cálculos!$AH$5:$AH$1000,0)+4,"")</f>
        <v/>
      </c>
    </row>
    <row r="599">
      <c r="A599" s="5" t="str">
        <f>IF($G599="","",INDEX('Detalle individual'!$B:$B,$G599))</f>
        <v/>
      </c>
      <c r="B599" s="5" t="str">
        <f>IF($G599="","",INDEX('Detalle individual'!$A:$A,$G599))</f>
        <v/>
      </c>
      <c r="C599" s="5" t="str">
        <f>IF($G599="","",INDEX('Detalle individual'!$E:$E,$G599))</f>
        <v/>
      </c>
      <c r="D599" s="5" t="str">
        <f>IF($G599="","",INDEX('Detalle individual'!$C:$C,$G599))</f>
        <v/>
      </c>
      <c r="E599" s="5" t="str">
        <f>IF($G599="","",INDEX('Detalle individual'!$D:$D,$G599))</f>
        <v/>
      </c>
      <c r="G599" t="str">
        <f>IFERROR(MATCH(SMALL(Cálculos!$AH$5:$AH$1000,595),Cálculos!$AH$5:$AH$1000,0)+4,"")</f>
        <v/>
      </c>
    </row>
    <row r="600">
      <c r="A600" s="5" t="str">
        <f>IF($G600="","",INDEX('Detalle individual'!$B:$B,$G600))</f>
        <v/>
      </c>
      <c r="B600" s="5" t="str">
        <f>IF($G600="","",INDEX('Detalle individual'!$A:$A,$G600))</f>
        <v/>
      </c>
      <c r="C600" s="5" t="str">
        <f>IF($G600="","",INDEX('Detalle individual'!$E:$E,$G600))</f>
        <v/>
      </c>
      <c r="D600" s="5" t="str">
        <f>IF($G600="","",INDEX('Detalle individual'!$C:$C,$G600))</f>
        <v/>
      </c>
      <c r="E600" s="5" t="str">
        <f>IF($G600="","",INDEX('Detalle individual'!$D:$D,$G600))</f>
        <v/>
      </c>
      <c r="G600" t="str">
        <f>IFERROR(MATCH(SMALL(Cálculos!$AH$5:$AH$1000,596),Cálculos!$AH$5:$AH$1000,0)+4,"")</f>
        <v/>
      </c>
    </row>
    <row r="601">
      <c r="A601" s="5" t="str">
        <f>IF($G601="","",INDEX('Detalle individual'!$B:$B,$G601))</f>
        <v/>
      </c>
      <c r="B601" s="5" t="str">
        <f>IF($G601="","",INDEX('Detalle individual'!$A:$A,$G601))</f>
        <v/>
      </c>
      <c r="C601" s="5" t="str">
        <f>IF($G601="","",INDEX('Detalle individual'!$E:$E,$G601))</f>
        <v/>
      </c>
      <c r="D601" s="5" t="str">
        <f>IF($G601="","",INDEX('Detalle individual'!$C:$C,$G601))</f>
        <v/>
      </c>
      <c r="E601" s="5" t="str">
        <f>IF($G601="","",INDEX('Detalle individual'!$D:$D,$G601))</f>
        <v/>
      </c>
      <c r="G601" t="str">
        <f>IFERROR(MATCH(SMALL(Cálculos!$AH$5:$AH$1000,597),Cálculos!$AH$5:$AH$1000,0)+4,"")</f>
        <v/>
      </c>
    </row>
    <row r="602">
      <c r="A602" s="5" t="str">
        <f>IF($G602="","",INDEX('Detalle individual'!$B:$B,$G602))</f>
        <v/>
      </c>
      <c r="B602" s="5" t="str">
        <f>IF($G602="","",INDEX('Detalle individual'!$A:$A,$G602))</f>
        <v/>
      </c>
      <c r="C602" s="5" t="str">
        <f>IF($G602="","",INDEX('Detalle individual'!$E:$E,$G602))</f>
        <v/>
      </c>
      <c r="D602" s="5" t="str">
        <f>IF($G602="","",INDEX('Detalle individual'!$C:$C,$G602))</f>
        <v/>
      </c>
      <c r="E602" s="5" t="str">
        <f>IF($G602="","",INDEX('Detalle individual'!$D:$D,$G602))</f>
        <v/>
      </c>
      <c r="G602" t="str">
        <f>IFERROR(MATCH(SMALL(Cálculos!$AH$5:$AH$1000,598),Cálculos!$AH$5:$AH$1000,0)+4,"")</f>
        <v/>
      </c>
    </row>
    <row r="603">
      <c r="A603" s="5" t="str">
        <f>IF($G603="","",INDEX('Detalle individual'!$B:$B,$G603))</f>
        <v/>
      </c>
      <c r="B603" s="5" t="str">
        <f>IF($G603="","",INDEX('Detalle individual'!$A:$A,$G603))</f>
        <v/>
      </c>
      <c r="C603" s="5" t="str">
        <f>IF($G603="","",INDEX('Detalle individual'!$E:$E,$G603))</f>
        <v/>
      </c>
      <c r="D603" s="5" t="str">
        <f>IF($G603="","",INDEX('Detalle individual'!$C:$C,$G603))</f>
        <v/>
      </c>
      <c r="E603" s="5" t="str">
        <f>IF($G603="","",INDEX('Detalle individual'!$D:$D,$G603))</f>
        <v/>
      </c>
      <c r="G603" t="str">
        <f>IFERROR(MATCH(SMALL(Cálculos!$AH$5:$AH$1000,599),Cálculos!$AH$5:$AH$1000,0)+4,"")</f>
        <v/>
      </c>
    </row>
    <row r="604">
      <c r="A604" s="5" t="str">
        <f>IF($G604="","",INDEX('Detalle individual'!$B:$B,$G604))</f>
        <v/>
      </c>
      <c r="B604" s="5" t="str">
        <f>IF($G604="","",INDEX('Detalle individual'!$A:$A,$G604))</f>
        <v/>
      </c>
      <c r="C604" s="5" t="str">
        <f>IF($G604="","",INDEX('Detalle individual'!$E:$E,$G604))</f>
        <v/>
      </c>
      <c r="D604" s="5" t="str">
        <f>IF($G604="","",INDEX('Detalle individual'!$C:$C,$G604))</f>
        <v/>
      </c>
      <c r="E604" s="5" t="str">
        <f>IF($G604="","",INDEX('Detalle individual'!$D:$D,$G604))</f>
        <v/>
      </c>
      <c r="G604" t="str">
        <f>IFERROR(MATCH(SMALL(Cálculos!$AH$5:$AH$1000,600),Cálculos!$AH$5:$AH$1000,0)+4,"")</f>
        <v/>
      </c>
    </row>
    <row r="605">
      <c r="A605" s="5" t="str">
        <f>IF($G605="","",INDEX('Detalle individual'!$B:$B,$G605))</f>
        <v/>
      </c>
      <c r="B605" s="5" t="str">
        <f>IF($G605="","",INDEX('Detalle individual'!$A:$A,$G605))</f>
        <v/>
      </c>
      <c r="C605" s="5" t="str">
        <f>IF($G605="","",INDEX('Detalle individual'!$E:$E,$G605))</f>
        <v/>
      </c>
      <c r="D605" s="5" t="str">
        <f>IF($G605="","",INDEX('Detalle individual'!$C:$C,$G605))</f>
        <v/>
      </c>
      <c r="E605" s="5" t="str">
        <f>IF($G605="","",INDEX('Detalle individual'!$D:$D,$G605))</f>
        <v/>
      </c>
      <c r="G605" t="str">
        <f>IFERROR(MATCH(SMALL(Cálculos!$AH$5:$AH$1000,601),Cálculos!$AH$5:$AH$1000,0)+4,"")</f>
        <v/>
      </c>
    </row>
    <row r="606">
      <c r="A606" s="5" t="str">
        <f>IF($G606="","",INDEX('Detalle individual'!$B:$B,$G606))</f>
        <v/>
      </c>
      <c r="B606" s="5" t="str">
        <f>IF($G606="","",INDEX('Detalle individual'!$A:$A,$G606))</f>
        <v/>
      </c>
      <c r="C606" s="5" t="str">
        <f>IF($G606="","",INDEX('Detalle individual'!$E:$E,$G606))</f>
        <v/>
      </c>
      <c r="D606" s="5" t="str">
        <f>IF($G606="","",INDEX('Detalle individual'!$C:$C,$G606))</f>
        <v/>
      </c>
      <c r="E606" s="5" t="str">
        <f>IF($G606="","",INDEX('Detalle individual'!$D:$D,$G606))</f>
        <v/>
      </c>
      <c r="G606" t="str">
        <f>IFERROR(MATCH(SMALL(Cálculos!$AH$5:$AH$1000,602),Cálculos!$AH$5:$AH$1000,0)+4,"")</f>
        <v/>
      </c>
    </row>
    <row r="607">
      <c r="A607" s="5" t="str">
        <f>IF($G607="","",INDEX('Detalle individual'!$B:$B,$G607))</f>
        <v/>
      </c>
      <c r="B607" s="5" t="str">
        <f>IF($G607="","",INDEX('Detalle individual'!$A:$A,$G607))</f>
        <v/>
      </c>
      <c r="C607" s="5" t="str">
        <f>IF($G607="","",INDEX('Detalle individual'!$E:$E,$G607))</f>
        <v/>
      </c>
      <c r="D607" s="5" t="str">
        <f>IF($G607="","",INDEX('Detalle individual'!$C:$C,$G607))</f>
        <v/>
      </c>
      <c r="E607" s="5" t="str">
        <f>IF($G607="","",INDEX('Detalle individual'!$D:$D,$G607))</f>
        <v/>
      </c>
      <c r="G607" t="str">
        <f>IFERROR(MATCH(SMALL(Cálculos!$AH$5:$AH$1000,603),Cálculos!$AH$5:$AH$1000,0)+4,"")</f>
        <v/>
      </c>
    </row>
    <row r="608">
      <c r="A608" s="5" t="str">
        <f>IF($G608="","",INDEX('Detalle individual'!$B:$B,$G608))</f>
        <v/>
      </c>
      <c r="B608" s="5" t="str">
        <f>IF($G608="","",INDEX('Detalle individual'!$A:$A,$G608))</f>
        <v/>
      </c>
      <c r="C608" s="5" t="str">
        <f>IF($G608="","",INDEX('Detalle individual'!$E:$E,$G608))</f>
        <v/>
      </c>
      <c r="D608" s="5" t="str">
        <f>IF($G608="","",INDEX('Detalle individual'!$C:$C,$G608))</f>
        <v/>
      </c>
      <c r="E608" s="5" t="str">
        <f>IF($G608="","",INDEX('Detalle individual'!$D:$D,$G608))</f>
        <v/>
      </c>
      <c r="G608" t="str">
        <f>IFERROR(MATCH(SMALL(Cálculos!$AH$5:$AH$1000,604),Cálculos!$AH$5:$AH$1000,0)+4,"")</f>
        <v/>
      </c>
    </row>
    <row r="609">
      <c r="A609" s="5" t="str">
        <f>IF($G609="","",INDEX('Detalle individual'!$B:$B,$G609))</f>
        <v/>
      </c>
      <c r="B609" s="5" t="str">
        <f>IF($G609="","",INDEX('Detalle individual'!$A:$A,$G609))</f>
        <v/>
      </c>
      <c r="C609" s="5" t="str">
        <f>IF($G609="","",INDEX('Detalle individual'!$E:$E,$G609))</f>
        <v/>
      </c>
      <c r="D609" s="5" t="str">
        <f>IF($G609="","",INDEX('Detalle individual'!$C:$C,$G609))</f>
        <v/>
      </c>
      <c r="E609" s="5" t="str">
        <f>IF($G609="","",INDEX('Detalle individual'!$D:$D,$G609))</f>
        <v/>
      </c>
      <c r="G609" t="str">
        <f>IFERROR(MATCH(SMALL(Cálculos!$AH$5:$AH$1000,605),Cálculos!$AH$5:$AH$1000,0)+4,"")</f>
        <v/>
      </c>
    </row>
    <row r="610">
      <c r="A610" s="5" t="str">
        <f>IF($G610="","",INDEX('Detalle individual'!$B:$B,$G610))</f>
        <v/>
      </c>
      <c r="B610" s="5" t="str">
        <f>IF($G610="","",INDEX('Detalle individual'!$A:$A,$G610))</f>
        <v/>
      </c>
      <c r="C610" s="5" t="str">
        <f>IF($G610="","",INDEX('Detalle individual'!$E:$E,$G610))</f>
        <v/>
      </c>
      <c r="D610" s="5" t="str">
        <f>IF($G610="","",INDEX('Detalle individual'!$C:$C,$G610))</f>
        <v/>
      </c>
      <c r="E610" s="5" t="str">
        <f>IF($G610="","",INDEX('Detalle individual'!$D:$D,$G610))</f>
        <v/>
      </c>
      <c r="G610" t="str">
        <f>IFERROR(MATCH(SMALL(Cálculos!$AH$5:$AH$1000,606),Cálculos!$AH$5:$AH$1000,0)+4,"")</f>
        <v/>
      </c>
    </row>
    <row r="611">
      <c r="A611" s="5" t="str">
        <f>IF($G611="","",INDEX('Detalle individual'!$B:$B,$G611))</f>
        <v/>
      </c>
      <c r="B611" s="5" t="str">
        <f>IF($G611="","",INDEX('Detalle individual'!$A:$A,$G611))</f>
        <v/>
      </c>
      <c r="C611" s="5" t="str">
        <f>IF($G611="","",INDEX('Detalle individual'!$E:$E,$G611))</f>
        <v/>
      </c>
      <c r="D611" s="5" t="str">
        <f>IF($G611="","",INDEX('Detalle individual'!$C:$C,$G611))</f>
        <v/>
      </c>
      <c r="E611" s="5" t="str">
        <f>IF($G611="","",INDEX('Detalle individual'!$D:$D,$G611))</f>
        <v/>
      </c>
      <c r="G611" t="str">
        <f>IFERROR(MATCH(SMALL(Cálculos!$AH$5:$AH$1000,607),Cálculos!$AH$5:$AH$1000,0)+4,"")</f>
        <v/>
      </c>
    </row>
    <row r="612">
      <c r="A612" s="5" t="str">
        <f>IF($G612="","",INDEX('Detalle individual'!$B:$B,$G612))</f>
        <v/>
      </c>
      <c r="B612" s="5" t="str">
        <f>IF($G612="","",INDEX('Detalle individual'!$A:$A,$G612))</f>
        <v/>
      </c>
      <c r="C612" s="5" t="str">
        <f>IF($G612="","",INDEX('Detalle individual'!$E:$E,$G612))</f>
        <v/>
      </c>
      <c r="D612" s="5" t="str">
        <f>IF($G612="","",INDEX('Detalle individual'!$C:$C,$G612))</f>
        <v/>
      </c>
      <c r="E612" s="5" t="str">
        <f>IF($G612="","",INDEX('Detalle individual'!$D:$D,$G612))</f>
        <v/>
      </c>
      <c r="G612" t="str">
        <f>IFERROR(MATCH(SMALL(Cálculos!$AH$5:$AH$1000,608),Cálculos!$AH$5:$AH$1000,0)+4,"")</f>
        <v/>
      </c>
    </row>
    <row r="613">
      <c r="A613" s="5" t="str">
        <f>IF($G613="","",INDEX('Detalle individual'!$B:$B,$G613))</f>
        <v/>
      </c>
      <c r="B613" s="5" t="str">
        <f>IF($G613="","",INDEX('Detalle individual'!$A:$A,$G613))</f>
        <v/>
      </c>
      <c r="C613" s="5" t="str">
        <f>IF($G613="","",INDEX('Detalle individual'!$E:$E,$G613))</f>
        <v/>
      </c>
      <c r="D613" s="5" t="str">
        <f>IF($G613="","",INDEX('Detalle individual'!$C:$C,$G613))</f>
        <v/>
      </c>
      <c r="E613" s="5" t="str">
        <f>IF($G613="","",INDEX('Detalle individual'!$D:$D,$G613))</f>
        <v/>
      </c>
      <c r="G613" t="str">
        <f>IFERROR(MATCH(SMALL(Cálculos!$AH$5:$AH$1000,609),Cálculos!$AH$5:$AH$1000,0)+4,"")</f>
        <v/>
      </c>
    </row>
    <row r="614">
      <c r="A614" s="5" t="str">
        <f>IF($G614="","",INDEX('Detalle individual'!$B:$B,$G614))</f>
        <v/>
      </c>
      <c r="B614" s="5" t="str">
        <f>IF($G614="","",INDEX('Detalle individual'!$A:$A,$G614))</f>
        <v/>
      </c>
      <c r="C614" s="5" t="str">
        <f>IF($G614="","",INDEX('Detalle individual'!$E:$E,$G614))</f>
        <v/>
      </c>
      <c r="D614" s="5" t="str">
        <f>IF($G614="","",INDEX('Detalle individual'!$C:$C,$G614))</f>
        <v/>
      </c>
      <c r="E614" s="5" t="str">
        <f>IF($G614="","",INDEX('Detalle individual'!$D:$D,$G614))</f>
        <v/>
      </c>
      <c r="G614" t="str">
        <f>IFERROR(MATCH(SMALL(Cálculos!$AH$5:$AH$1000,610),Cálculos!$AH$5:$AH$1000,0)+4,"")</f>
        <v/>
      </c>
    </row>
    <row r="615">
      <c r="A615" s="5" t="str">
        <f>IF($G615="","",INDEX('Detalle individual'!$B:$B,$G615))</f>
        <v/>
      </c>
      <c r="B615" s="5" t="str">
        <f>IF($G615="","",INDEX('Detalle individual'!$A:$A,$G615))</f>
        <v/>
      </c>
      <c r="C615" s="5" t="str">
        <f>IF($G615="","",INDEX('Detalle individual'!$E:$E,$G615))</f>
        <v/>
      </c>
      <c r="D615" s="5" t="str">
        <f>IF($G615="","",INDEX('Detalle individual'!$C:$C,$G615))</f>
        <v/>
      </c>
      <c r="E615" s="5" t="str">
        <f>IF($G615="","",INDEX('Detalle individual'!$D:$D,$G615))</f>
        <v/>
      </c>
      <c r="G615" t="str">
        <f>IFERROR(MATCH(SMALL(Cálculos!$AH$5:$AH$1000,611),Cálculos!$AH$5:$AH$1000,0)+4,"")</f>
        <v/>
      </c>
    </row>
    <row r="616">
      <c r="A616" s="5" t="str">
        <f>IF($G616="","",INDEX('Detalle individual'!$B:$B,$G616))</f>
        <v/>
      </c>
      <c r="B616" s="5" t="str">
        <f>IF($G616="","",INDEX('Detalle individual'!$A:$A,$G616))</f>
        <v/>
      </c>
      <c r="C616" s="5" t="str">
        <f>IF($G616="","",INDEX('Detalle individual'!$E:$E,$G616))</f>
        <v/>
      </c>
      <c r="D616" s="5" t="str">
        <f>IF($G616="","",INDEX('Detalle individual'!$C:$C,$G616))</f>
        <v/>
      </c>
      <c r="E616" s="5" t="str">
        <f>IF($G616="","",INDEX('Detalle individual'!$D:$D,$G616))</f>
        <v/>
      </c>
      <c r="G616" t="str">
        <f>IFERROR(MATCH(SMALL(Cálculos!$AH$5:$AH$1000,612),Cálculos!$AH$5:$AH$1000,0)+4,"")</f>
        <v/>
      </c>
    </row>
    <row r="617">
      <c r="A617" s="5" t="str">
        <f>IF($G617="","",INDEX('Detalle individual'!$B:$B,$G617))</f>
        <v/>
      </c>
      <c r="B617" s="5" t="str">
        <f>IF($G617="","",INDEX('Detalle individual'!$A:$A,$G617))</f>
        <v/>
      </c>
      <c r="C617" s="5" t="str">
        <f>IF($G617="","",INDEX('Detalle individual'!$E:$E,$G617))</f>
        <v/>
      </c>
      <c r="D617" s="5" t="str">
        <f>IF($G617="","",INDEX('Detalle individual'!$C:$C,$G617))</f>
        <v/>
      </c>
      <c r="E617" s="5" t="str">
        <f>IF($G617="","",INDEX('Detalle individual'!$D:$D,$G617))</f>
        <v/>
      </c>
      <c r="G617" t="str">
        <f>IFERROR(MATCH(SMALL(Cálculos!$AH$5:$AH$1000,613),Cálculos!$AH$5:$AH$1000,0)+4,"")</f>
        <v/>
      </c>
    </row>
    <row r="618">
      <c r="A618" s="5" t="str">
        <f>IF($G618="","",INDEX('Detalle individual'!$B:$B,$G618))</f>
        <v/>
      </c>
      <c r="B618" s="5" t="str">
        <f>IF($G618="","",INDEX('Detalle individual'!$A:$A,$G618))</f>
        <v/>
      </c>
      <c r="C618" s="5" t="str">
        <f>IF($G618="","",INDEX('Detalle individual'!$E:$E,$G618))</f>
        <v/>
      </c>
      <c r="D618" s="5" t="str">
        <f>IF($G618="","",INDEX('Detalle individual'!$C:$C,$G618))</f>
        <v/>
      </c>
      <c r="E618" s="5" t="str">
        <f>IF($G618="","",INDEX('Detalle individual'!$D:$D,$G618))</f>
        <v/>
      </c>
      <c r="G618" t="str">
        <f>IFERROR(MATCH(SMALL(Cálculos!$AH$5:$AH$1000,614),Cálculos!$AH$5:$AH$1000,0)+4,"")</f>
        <v/>
      </c>
    </row>
    <row r="619">
      <c r="A619" s="5" t="str">
        <f>IF($G619="","",INDEX('Detalle individual'!$B:$B,$G619))</f>
        <v/>
      </c>
      <c r="B619" s="5" t="str">
        <f>IF($G619="","",INDEX('Detalle individual'!$A:$A,$G619))</f>
        <v/>
      </c>
      <c r="C619" s="5" t="str">
        <f>IF($G619="","",INDEX('Detalle individual'!$E:$E,$G619))</f>
        <v/>
      </c>
      <c r="D619" s="5" t="str">
        <f>IF($G619="","",INDEX('Detalle individual'!$C:$C,$G619))</f>
        <v/>
      </c>
      <c r="E619" s="5" t="str">
        <f>IF($G619="","",INDEX('Detalle individual'!$D:$D,$G619))</f>
        <v/>
      </c>
      <c r="G619" t="str">
        <f>IFERROR(MATCH(SMALL(Cálculos!$AH$5:$AH$1000,615),Cálculos!$AH$5:$AH$1000,0)+4,"")</f>
        <v/>
      </c>
    </row>
    <row r="620">
      <c r="A620" s="5" t="str">
        <f>IF($G620="","",INDEX('Detalle individual'!$B:$B,$G620))</f>
        <v/>
      </c>
      <c r="B620" s="5" t="str">
        <f>IF($G620="","",INDEX('Detalle individual'!$A:$A,$G620))</f>
        <v/>
      </c>
      <c r="C620" s="5" t="str">
        <f>IF($G620="","",INDEX('Detalle individual'!$E:$E,$G620))</f>
        <v/>
      </c>
      <c r="D620" s="5" t="str">
        <f>IF($G620="","",INDEX('Detalle individual'!$C:$C,$G620))</f>
        <v/>
      </c>
      <c r="E620" s="5" t="str">
        <f>IF($G620="","",INDEX('Detalle individual'!$D:$D,$G620))</f>
        <v/>
      </c>
      <c r="G620" t="str">
        <f>IFERROR(MATCH(SMALL(Cálculos!$AH$5:$AH$1000,616),Cálculos!$AH$5:$AH$1000,0)+4,"")</f>
        <v/>
      </c>
    </row>
    <row r="621">
      <c r="A621" s="5" t="str">
        <f>IF($G621="","",INDEX('Detalle individual'!$B:$B,$G621))</f>
        <v/>
      </c>
      <c r="B621" s="5" t="str">
        <f>IF($G621="","",INDEX('Detalle individual'!$A:$A,$G621))</f>
        <v/>
      </c>
      <c r="C621" s="5" t="str">
        <f>IF($G621="","",INDEX('Detalle individual'!$E:$E,$G621))</f>
        <v/>
      </c>
      <c r="D621" s="5" t="str">
        <f>IF($G621="","",INDEX('Detalle individual'!$C:$C,$G621))</f>
        <v/>
      </c>
      <c r="E621" s="5" t="str">
        <f>IF($G621="","",INDEX('Detalle individual'!$D:$D,$G621))</f>
        <v/>
      </c>
      <c r="G621" t="str">
        <f>IFERROR(MATCH(SMALL(Cálculos!$AH$5:$AH$1000,617),Cálculos!$AH$5:$AH$1000,0)+4,"")</f>
        <v/>
      </c>
    </row>
    <row r="622">
      <c r="A622" s="5" t="str">
        <f>IF($G622="","",INDEX('Detalle individual'!$B:$B,$G622))</f>
        <v/>
      </c>
      <c r="B622" s="5" t="str">
        <f>IF($G622="","",INDEX('Detalle individual'!$A:$A,$G622))</f>
        <v/>
      </c>
      <c r="C622" s="5" t="str">
        <f>IF($G622="","",INDEX('Detalle individual'!$E:$E,$G622))</f>
        <v/>
      </c>
      <c r="D622" s="5" t="str">
        <f>IF($G622="","",INDEX('Detalle individual'!$C:$C,$G622))</f>
        <v/>
      </c>
      <c r="E622" s="5" t="str">
        <f>IF($G622="","",INDEX('Detalle individual'!$D:$D,$G622))</f>
        <v/>
      </c>
      <c r="G622" t="str">
        <f>IFERROR(MATCH(SMALL(Cálculos!$AH$5:$AH$1000,618),Cálculos!$AH$5:$AH$1000,0)+4,"")</f>
        <v/>
      </c>
    </row>
    <row r="623">
      <c r="A623" s="5" t="str">
        <f>IF($G623="","",INDEX('Detalle individual'!$B:$B,$G623))</f>
        <v/>
      </c>
      <c r="B623" s="5" t="str">
        <f>IF($G623="","",INDEX('Detalle individual'!$A:$A,$G623))</f>
        <v/>
      </c>
      <c r="C623" s="5" t="str">
        <f>IF($G623="","",INDEX('Detalle individual'!$E:$E,$G623))</f>
        <v/>
      </c>
      <c r="D623" s="5" t="str">
        <f>IF($G623="","",INDEX('Detalle individual'!$C:$C,$G623))</f>
        <v/>
      </c>
      <c r="E623" s="5" t="str">
        <f>IF($G623="","",INDEX('Detalle individual'!$D:$D,$G623))</f>
        <v/>
      </c>
      <c r="G623" t="str">
        <f>IFERROR(MATCH(SMALL(Cálculos!$AH$5:$AH$1000,619),Cálculos!$AH$5:$AH$1000,0)+4,"")</f>
        <v/>
      </c>
    </row>
    <row r="624">
      <c r="A624" s="5" t="str">
        <f>IF($G624="","",INDEX('Detalle individual'!$B:$B,$G624))</f>
        <v/>
      </c>
      <c r="B624" s="5" t="str">
        <f>IF($G624="","",INDEX('Detalle individual'!$A:$A,$G624))</f>
        <v/>
      </c>
      <c r="C624" s="5" t="str">
        <f>IF($G624="","",INDEX('Detalle individual'!$E:$E,$G624))</f>
        <v/>
      </c>
      <c r="D624" s="5" t="str">
        <f>IF($G624="","",INDEX('Detalle individual'!$C:$C,$G624))</f>
        <v/>
      </c>
      <c r="E624" s="5" t="str">
        <f>IF($G624="","",INDEX('Detalle individual'!$D:$D,$G624))</f>
        <v/>
      </c>
      <c r="G624" t="str">
        <f>IFERROR(MATCH(SMALL(Cálculos!$AH$5:$AH$1000,620),Cálculos!$AH$5:$AH$1000,0)+4,"")</f>
        <v/>
      </c>
    </row>
    <row r="625">
      <c r="A625" s="5" t="str">
        <f>IF($G625="","",INDEX('Detalle individual'!$B:$B,$G625))</f>
        <v/>
      </c>
      <c r="B625" s="5" t="str">
        <f>IF($G625="","",INDEX('Detalle individual'!$A:$A,$G625))</f>
        <v/>
      </c>
      <c r="C625" s="5" t="str">
        <f>IF($G625="","",INDEX('Detalle individual'!$E:$E,$G625))</f>
        <v/>
      </c>
      <c r="D625" s="5" t="str">
        <f>IF($G625="","",INDEX('Detalle individual'!$C:$C,$G625))</f>
        <v/>
      </c>
      <c r="E625" s="5" t="str">
        <f>IF($G625="","",INDEX('Detalle individual'!$D:$D,$G625))</f>
        <v/>
      </c>
      <c r="G625" t="str">
        <f>IFERROR(MATCH(SMALL(Cálculos!$AH$5:$AH$1000,621),Cálculos!$AH$5:$AH$1000,0)+4,"")</f>
        <v/>
      </c>
    </row>
    <row r="626">
      <c r="A626" s="5" t="str">
        <f>IF($G626="","",INDEX('Detalle individual'!$B:$B,$G626))</f>
        <v/>
      </c>
      <c r="B626" s="5" t="str">
        <f>IF($G626="","",INDEX('Detalle individual'!$A:$A,$G626))</f>
        <v/>
      </c>
      <c r="C626" s="5" t="str">
        <f>IF($G626="","",INDEX('Detalle individual'!$E:$E,$G626))</f>
        <v/>
      </c>
      <c r="D626" s="5" t="str">
        <f>IF($G626="","",INDEX('Detalle individual'!$C:$C,$G626))</f>
        <v/>
      </c>
      <c r="E626" s="5" t="str">
        <f>IF($G626="","",INDEX('Detalle individual'!$D:$D,$G626))</f>
        <v/>
      </c>
      <c r="G626" t="str">
        <f>IFERROR(MATCH(SMALL(Cálculos!$AH$5:$AH$1000,622),Cálculos!$AH$5:$AH$1000,0)+4,"")</f>
        <v/>
      </c>
    </row>
    <row r="627">
      <c r="A627" s="5" t="str">
        <f>IF($G627="","",INDEX('Detalle individual'!$B:$B,$G627))</f>
        <v/>
      </c>
      <c r="B627" s="5" t="str">
        <f>IF($G627="","",INDEX('Detalle individual'!$A:$A,$G627))</f>
        <v/>
      </c>
      <c r="C627" s="5" t="str">
        <f>IF($G627="","",INDEX('Detalle individual'!$E:$E,$G627))</f>
        <v/>
      </c>
      <c r="D627" s="5" t="str">
        <f>IF($G627="","",INDEX('Detalle individual'!$C:$C,$G627))</f>
        <v/>
      </c>
      <c r="E627" s="5" t="str">
        <f>IF($G627="","",INDEX('Detalle individual'!$D:$D,$G627))</f>
        <v/>
      </c>
      <c r="G627" t="str">
        <f>IFERROR(MATCH(SMALL(Cálculos!$AH$5:$AH$1000,623),Cálculos!$AH$5:$AH$1000,0)+4,"")</f>
        <v/>
      </c>
    </row>
    <row r="628">
      <c r="A628" s="5" t="str">
        <f>IF($G628="","",INDEX('Detalle individual'!$B:$B,$G628))</f>
        <v/>
      </c>
      <c r="B628" s="5" t="str">
        <f>IF($G628="","",INDEX('Detalle individual'!$A:$A,$G628))</f>
        <v/>
      </c>
      <c r="C628" s="5" t="str">
        <f>IF($G628="","",INDEX('Detalle individual'!$E:$E,$G628))</f>
        <v/>
      </c>
      <c r="D628" s="5" t="str">
        <f>IF($G628="","",INDEX('Detalle individual'!$C:$C,$G628))</f>
        <v/>
      </c>
      <c r="E628" s="5" t="str">
        <f>IF($G628="","",INDEX('Detalle individual'!$D:$D,$G628))</f>
        <v/>
      </c>
      <c r="G628" t="str">
        <f>IFERROR(MATCH(SMALL(Cálculos!$AH$5:$AH$1000,624),Cálculos!$AH$5:$AH$1000,0)+4,"")</f>
        <v/>
      </c>
    </row>
    <row r="629">
      <c r="A629" s="5" t="str">
        <f>IF($G629="","",INDEX('Detalle individual'!$B:$B,$G629))</f>
        <v/>
      </c>
      <c r="B629" s="5" t="str">
        <f>IF($G629="","",INDEX('Detalle individual'!$A:$A,$G629))</f>
        <v/>
      </c>
      <c r="C629" s="5" t="str">
        <f>IF($G629="","",INDEX('Detalle individual'!$E:$E,$G629))</f>
        <v/>
      </c>
      <c r="D629" s="5" t="str">
        <f>IF($G629="","",INDEX('Detalle individual'!$C:$C,$G629))</f>
        <v/>
      </c>
      <c r="E629" s="5" t="str">
        <f>IF($G629="","",INDEX('Detalle individual'!$D:$D,$G629))</f>
        <v/>
      </c>
      <c r="G629" t="str">
        <f>IFERROR(MATCH(SMALL(Cálculos!$AH$5:$AH$1000,625),Cálculos!$AH$5:$AH$1000,0)+4,"")</f>
        <v/>
      </c>
    </row>
    <row r="630">
      <c r="A630" s="5" t="str">
        <f>IF($G630="","",INDEX('Detalle individual'!$B:$B,$G630))</f>
        <v/>
      </c>
      <c r="B630" s="5" t="str">
        <f>IF($G630="","",INDEX('Detalle individual'!$A:$A,$G630))</f>
        <v/>
      </c>
      <c r="C630" s="5" t="str">
        <f>IF($G630="","",INDEX('Detalle individual'!$E:$E,$G630))</f>
        <v/>
      </c>
      <c r="D630" s="5" t="str">
        <f>IF($G630="","",INDEX('Detalle individual'!$C:$C,$G630))</f>
        <v/>
      </c>
      <c r="E630" s="5" t="str">
        <f>IF($G630="","",INDEX('Detalle individual'!$D:$D,$G630))</f>
        <v/>
      </c>
      <c r="G630" t="str">
        <f>IFERROR(MATCH(SMALL(Cálculos!$AH$5:$AH$1000,626),Cálculos!$AH$5:$AH$1000,0)+4,"")</f>
        <v/>
      </c>
    </row>
    <row r="631">
      <c r="A631" s="5" t="str">
        <f>IF($G631="","",INDEX('Detalle individual'!$B:$B,$G631))</f>
        <v/>
      </c>
      <c r="B631" s="5" t="str">
        <f>IF($G631="","",INDEX('Detalle individual'!$A:$A,$G631))</f>
        <v/>
      </c>
      <c r="C631" s="5" t="str">
        <f>IF($G631="","",INDEX('Detalle individual'!$E:$E,$G631))</f>
        <v/>
      </c>
      <c r="D631" s="5" t="str">
        <f>IF($G631="","",INDEX('Detalle individual'!$C:$C,$G631))</f>
        <v/>
      </c>
      <c r="E631" s="5" t="str">
        <f>IF($G631="","",INDEX('Detalle individual'!$D:$D,$G631))</f>
        <v/>
      </c>
      <c r="G631" t="str">
        <f>IFERROR(MATCH(SMALL(Cálculos!$AH$5:$AH$1000,627),Cálculos!$AH$5:$AH$1000,0)+4,"")</f>
        <v/>
      </c>
    </row>
    <row r="632">
      <c r="A632" s="5" t="str">
        <f>IF($G632="","",INDEX('Detalle individual'!$B:$B,$G632))</f>
        <v/>
      </c>
      <c r="B632" s="5" t="str">
        <f>IF($G632="","",INDEX('Detalle individual'!$A:$A,$G632))</f>
        <v/>
      </c>
      <c r="C632" s="5" t="str">
        <f>IF($G632="","",INDEX('Detalle individual'!$E:$E,$G632))</f>
        <v/>
      </c>
      <c r="D632" s="5" t="str">
        <f>IF($G632="","",INDEX('Detalle individual'!$C:$C,$G632))</f>
        <v/>
      </c>
      <c r="E632" s="5" t="str">
        <f>IF($G632="","",INDEX('Detalle individual'!$D:$D,$G632))</f>
        <v/>
      </c>
      <c r="G632" t="str">
        <f>IFERROR(MATCH(SMALL(Cálculos!$AH$5:$AH$1000,628),Cálculos!$AH$5:$AH$1000,0)+4,"")</f>
        <v/>
      </c>
    </row>
    <row r="633">
      <c r="A633" s="5" t="str">
        <f>IF($G633="","",INDEX('Detalle individual'!$B:$B,$G633))</f>
        <v/>
      </c>
      <c r="B633" s="5" t="str">
        <f>IF($G633="","",INDEX('Detalle individual'!$A:$A,$G633))</f>
        <v/>
      </c>
      <c r="C633" s="5" t="str">
        <f>IF($G633="","",INDEX('Detalle individual'!$E:$E,$G633))</f>
        <v/>
      </c>
      <c r="D633" s="5" t="str">
        <f>IF($G633="","",INDEX('Detalle individual'!$C:$C,$G633))</f>
        <v/>
      </c>
      <c r="E633" s="5" t="str">
        <f>IF($G633="","",INDEX('Detalle individual'!$D:$D,$G633))</f>
        <v/>
      </c>
      <c r="G633" t="str">
        <f>IFERROR(MATCH(SMALL(Cálculos!$AH$5:$AH$1000,629),Cálculos!$AH$5:$AH$1000,0)+4,"")</f>
        <v/>
      </c>
    </row>
    <row r="634">
      <c r="A634" s="5" t="str">
        <f>IF($G634="","",INDEX('Detalle individual'!$B:$B,$G634))</f>
        <v/>
      </c>
      <c r="B634" s="5" t="str">
        <f>IF($G634="","",INDEX('Detalle individual'!$A:$A,$G634))</f>
        <v/>
      </c>
      <c r="C634" s="5" t="str">
        <f>IF($G634="","",INDEX('Detalle individual'!$E:$E,$G634))</f>
        <v/>
      </c>
      <c r="D634" s="5" t="str">
        <f>IF($G634="","",INDEX('Detalle individual'!$C:$C,$G634))</f>
        <v/>
      </c>
      <c r="E634" s="5" t="str">
        <f>IF($G634="","",INDEX('Detalle individual'!$D:$D,$G634))</f>
        <v/>
      </c>
      <c r="G634" t="str">
        <f>IFERROR(MATCH(SMALL(Cálculos!$AH$5:$AH$1000,630),Cálculos!$AH$5:$AH$1000,0)+4,"")</f>
        <v/>
      </c>
    </row>
    <row r="635">
      <c r="A635" s="5" t="str">
        <f>IF($G635="","",INDEX('Detalle individual'!$B:$B,$G635))</f>
        <v/>
      </c>
      <c r="B635" s="5" t="str">
        <f>IF($G635="","",INDEX('Detalle individual'!$A:$A,$G635))</f>
        <v/>
      </c>
      <c r="C635" s="5" t="str">
        <f>IF($G635="","",INDEX('Detalle individual'!$E:$E,$G635))</f>
        <v/>
      </c>
      <c r="D635" s="5" t="str">
        <f>IF($G635="","",INDEX('Detalle individual'!$C:$C,$G635))</f>
        <v/>
      </c>
      <c r="E635" s="5" t="str">
        <f>IF($G635="","",INDEX('Detalle individual'!$D:$D,$G635))</f>
        <v/>
      </c>
      <c r="G635" t="str">
        <f>IFERROR(MATCH(SMALL(Cálculos!$AH$5:$AH$1000,631),Cálculos!$AH$5:$AH$1000,0)+4,"")</f>
        <v/>
      </c>
    </row>
    <row r="636">
      <c r="A636" s="5" t="str">
        <f>IF($G636="","",INDEX('Detalle individual'!$B:$B,$G636))</f>
        <v/>
      </c>
      <c r="B636" s="5" t="str">
        <f>IF($G636="","",INDEX('Detalle individual'!$A:$A,$G636))</f>
        <v/>
      </c>
      <c r="C636" s="5" t="str">
        <f>IF($G636="","",INDEX('Detalle individual'!$E:$E,$G636))</f>
        <v/>
      </c>
      <c r="D636" s="5" t="str">
        <f>IF($G636="","",INDEX('Detalle individual'!$C:$C,$G636))</f>
        <v/>
      </c>
      <c r="E636" s="5" t="str">
        <f>IF($G636="","",INDEX('Detalle individual'!$D:$D,$G636))</f>
        <v/>
      </c>
      <c r="G636" t="str">
        <f>IFERROR(MATCH(SMALL(Cálculos!$AH$5:$AH$1000,632),Cálculos!$AH$5:$AH$1000,0)+4,"")</f>
        <v/>
      </c>
    </row>
    <row r="637">
      <c r="A637" s="5" t="str">
        <f>IF($G637="","",INDEX('Detalle individual'!$B:$B,$G637))</f>
        <v/>
      </c>
      <c r="B637" s="5" t="str">
        <f>IF($G637="","",INDEX('Detalle individual'!$A:$A,$G637))</f>
        <v/>
      </c>
      <c r="C637" s="5" t="str">
        <f>IF($G637="","",INDEX('Detalle individual'!$E:$E,$G637))</f>
        <v/>
      </c>
      <c r="D637" s="5" t="str">
        <f>IF($G637="","",INDEX('Detalle individual'!$C:$C,$G637))</f>
        <v/>
      </c>
      <c r="E637" s="5" t="str">
        <f>IF($G637="","",INDEX('Detalle individual'!$D:$D,$G637))</f>
        <v/>
      </c>
      <c r="G637" t="str">
        <f>IFERROR(MATCH(SMALL(Cálculos!$AH$5:$AH$1000,633),Cálculos!$AH$5:$AH$1000,0)+4,"")</f>
        <v/>
      </c>
    </row>
    <row r="638">
      <c r="A638" s="5" t="str">
        <f>IF($G638="","",INDEX('Detalle individual'!$B:$B,$G638))</f>
        <v/>
      </c>
      <c r="B638" s="5" t="str">
        <f>IF($G638="","",INDEX('Detalle individual'!$A:$A,$G638))</f>
        <v/>
      </c>
      <c r="C638" s="5" t="str">
        <f>IF($G638="","",INDEX('Detalle individual'!$E:$E,$G638))</f>
        <v/>
      </c>
      <c r="D638" s="5" t="str">
        <f>IF($G638="","",INDEX('Detalle individual'!$C:$C,$G638))</f>
        <v/>
      </c>
      <c r="E638" s="5" t="str">
        <f>IF($G638="","",INDEX('Detalle individual'!$D:$D,$G638))</f>
        <v/>
      </c>
      <c r="G638" t="str">
        <f>IFERROR(MATCH(SMALL(Cálculos!$AH$5:$AH$1000,634),Cálculos!$AH$5:$AH$1000,0)+4,"")</f>
        <v/>
      </c>
    </row>
    <row r="639">
      <c r="A639" s="5" t="str">
        <f>IF($G639="","",INDEX('Detalle individual'!$B:$B,$G639))</f>
        <v/>
      </c>
      <c r="B639" s="5" t="str">
        <f>IF($G639="","",INDEX('Detalle individual'!$A:$A,$G639))</f>
        <v/>
      </c>
      <c r="C639" s="5" t="str">
        <f>IF($G639="","",INDEX('Detalle individual'!$E:$E,$G639))</f>
        <v/>
      </c>
      <c r="D639" s="5" t="str">
        <f>IF($G639="","",INDEX('Detalle individual'!$C:$C,$G639))</f>
        <v/>
      </c>
      <c r="E639" s="5" t="str">
        <f>IF($G639="","",INDEX('Detalle individual'!$D:$D,$G639))</f>
        <v/>
      </c>
      <c r="G639" t="str">
        <f>IFERROR(MATCH(SMALL(Cálculos!$AH$5:$AH$1000,635),Cálculos!$AH$5:$AH$1000,0)+4,"")</f>
        <v/>
      </c>
    </row>
    <row r="640">
      <c r="A640" s="5" t="str">
        <f>IF($G640="","",INDEX('Detalle individual'!$B:$B,$G640))</f>
        <v/>
      </c>
      <c r="B640" s="5" t="str">
        <f>IF($G640="","",INDEX('Detalle individual'!$A:$A,$G640))</f>
        <v/>
      </c>
      <c r="C640" s="5" t="str">
        <f>IF($G640="","",INDEX('Detalle individual'!$E:$E,$G640))</f>
        <v/>
      </c>
      <c r="D640" s="5" t="str">
        <f>IF($G640="","",INDEX('Detalle individual'!$C:$C,$G640))</f>
        <v/>
      </c>
      <c r="E640" s="5" t="str">
        <f>IF($G640="","",INDEX('Detalle individual'!$D:$D,$G640))</f>
        <v/>
      </c>
      <c r="G640" t="str">
        <f>IFERROR(MATCH(SMALL(Cálculos!$AH$5:$AH$1000,636),Cálculos!$AH$5:$AH$1000,0)+4,"")</f>
        <v/>
      </c>
    </row>
    <row r="641">
      <c r="A641" s="5" t="str">
        <f>IF($G641="","",INDEX('Detalle individual'!$B:$B,$G641))</f>
        <v/>
      </c>
      <c r="B641" s="5" t="str">
        <f>IF($G641="","",INDEX('Detalle individual'!$A:$A,$G641))</f>
        <v/>
      </c>
      <c r="C641" s="5" t="str">
        <f>IF($G641="","",INDEX('Detalle individual'!$E:$E,$G641))</f>
        <v/>
      </c>
      <c r="D641" s="5" t="str">
        <f>IF($G641="","",INDEX('Detalle individual'!$C:$C,$G641))</f>
        <v/>
      </c>
      <c r="E641" s="5" t="str">
        <f>IF($G641="","",INDEX('Detalle individual'!$D:$D,$G641))</f>
        <v/>
      </c>
      <c r="G641" t="str">
        <f>IFERROR(MATCH(SMALL(Cálculos!$AH$5:$AH$1000,637),Cálculos!$AH$5:$AH$1000,0)+4,"")</f>
        <v/>
      </c>
    </row>
    <row r="642">
      <c r="A642" s="5" t="str">
        <f>IF($G642="","",INDEX('Detalle individual'!$B:$B,$G642))</f>
        <v/>
      </c>
      <c r="B642" s="5" t="str">
        <f>IF($G642="","",INDEX('Detalle individual'!$A:$A,$G642))</f>
        <v/>
      </c>
      <c r="C642" s="5" t="str">
        <f>IF($G642="","",INDEX('Detalle individual'!$E:$E,$G642))</f>
        <v/>
      </c>
      <c r="D642" s="5" t="str">
        <f>IF($G642="","",INDEX('Detalle individual'!$C:$C,$G642))</f>
        <v/>
      </c>
      <c r="E642" s="5" t="str">
        <f>IF($G642="","",INDEX('Detalle individual'!$D:$D,$G642))</f>
        <v/>
      </c>
      <c r="G642" t="str">
        <f>IFERROR(MATCH(SMALL(Cálculos!$AH$5:$AH$1000,638),Cálculos!$AH$5:$AH$1000,0)+4,"")</f>
        <v/>
      </c>
    </row>
    <row r="643">
      <c r="A643" s="5" t="str">
        <f>IF($G643="","",INDEX('Detalle individual'!$B:$B,$G643))</f>
        <v/>
      </c>
      <c r="B643" s="5" t="str">
        <f>IF($G643="","",INDEX('Detalle individual'!$A:$A,$G643))</f>
        <v/>
      </c>
      <c r="C643" s="5" t="str">
        <f>IF($G643="","",INDEX('Detalle individual'!$E:$E,$G643))</f>
        <v/>
      </c>
      <c r="D643" s="5" t="str">
        <f>IF($G643="","",INDEX('Detalle individual'!$C:$C,$G643))</f>
        <v/>
      </c>
      <c r="E643" s="5" t="str">
        <f>IF($G643="","",INDEX('Detalle individual'!$D:$D,$G643))</f>
        <v/>
      </c>
      <c r="G643" t="str">
        <f>IFERROR(MATCH(SMALL(Cálculos!$AH$5:$AH$1000,639),Cálculos!$AH$5:$AH$1000,0)+4,"")</f>
        <v/>
      </c>
    </row>
    <row r="644">
      <c r="A644" s="5" t="str">
        <f>IF($G644="","",INDEX('Detalle individual'!$B:$B,$G644))</f>
        <v/>
      </c>
      <c r="B644" s="5" t="str">
        <f>IF($G644="","",INDEX('Detalle individual'!$A:$A,$G644))</f>
        <v/>
      </c>
      <c r="C644" s="5" t="str">
        <f>IF($G644="","",INDEX('Detalle individual'!$E:$E,$G644))</f>
        <v/>
      </c>
      <c r="D644" s="5" t="str">
        <f>IF($G644="","",INDEX('Detalle individual'!$C:$C,$G644))</f>
        <v/>
      </c>
      <c r="E644" s="5" t="str">
        <f>IF($G644="","",INDEX('Detalle individual'!$D:$D,$G644))</f>
        <v/>
      </c>
      <c r="G644" t="str">
        <f>IFERROR(MATCH(SMALL(Cálculos!$AH$5:$AH$1000,640),Cálculos!$AH$5:$AH$1000,0)+4,"")</f>
        <v/>
      </c>
    </row>
    <row r="645">
      <c r="A645" s="5" t="str">
        <f>IF($G645="","",INDEX('Detalle individual'!$B:$B,$G645))</f>
        <v/>
      </c>
      <c r="B645" s="5" t="str">
        <f>IF($G645="","",INDEX('Detalle individual'!$A:$A,$G645))</f>
        <v/>
      </c>
      <c r="C645" s="5" t="str">
        <f>IF($G645="","",INDEX('Detalle individual'!$E:$E,$G645))</f>
        <v/>
      </c>
      <c r="D645" s="5" t="str">
        <f>IF($G645="","",INDEX('Detalle individual'!$C:$C,$G645))</f>
        <v/>
      </c>
      <c r="E645" s="5" t="str">
        <f>IF($G645="","",INDEX('Detalle individual'!$D:$D,$G645))</f>
        <v/>
      </c>
      <c r="G645" t="str">
        <f>IFERROR(MATCH(SMALL(Cálculos!$AH$5:$AH$1000,641),Cálculos!$AH$5:$AH$1000,0)+4,"")</f>
        <v/>
      </c>
    </row>
    <row r="646">
      <c r="A646" s="5" t="str">
        <f>IF($G646="","",INDEX('Detalle individual'!$B:$B,$G646))</f>
        <v/>
      </c>
      <c r="B646" s="5" t="str">
        <f>IF($G646="","",INDEX('Detalle individual'!$A:$A,$G646))</f>
        <v/>
      </c>
      <c r="C646" s="5" t="str">
        <f>IF($G646="","",INDEX('Detalle individual'!$E:$E,$G646))</f>
        <v/>
      </c>
      <c r="D646" s="5" t="str">
        <f>IF($G646="","",INDEX('Detalle individual'!$C:$C,$G646))</f>
        <v/>
      </c>
      <c r="E646" s="5" t="str">
        <f>IF($G646="","",INDEX('Detalle individual'!$D:$D,$G646))</f>
        <v/>
      </c>
      <c r="G646" t="str">
        <f>IFERROR(MATCH(SMALL(Cálculos!$AH$5:$AH$1000,642),Cálculos!$AH$5:$AH$1000,0)+4,"")</f>
        <v/>
      </c>
    </row>
    <row r="647">
      <c r="A647" s="5" t="str">
        <f>IF($G647="","",INDEX('Detalle individual'!$B:$B,$G647))</f>
        <v/>
      </c>
      <c r="B647" s="5" t="str">
        <f>IF($G647="","",INDEX('Detalle individual'!$A:$A,$G647))</f>
        <v/>
      </c>
      <c r="C647" s="5" t="str">
        <f>IF($G647="","",INDEX('Detalle individual'!$E:$E,$G647))</f>
        <v/>
      </c>
      <c r="D647" s="5" t="str">
        <f>IF($G647="","",INDEX('Detalle individual'!$C:$C,$G647))</f>
        <v/>
      </c>
      <c r="E647" s="5" t="str">
        <f>IF($G647="","",INDEX('Detalle individual'!$D:$D,$G647))</f>
        <v/>
      </c>
      <c r="G647" t="str">
        <f>IFERROR(MATCH(SMALL(Cálculos!$AH$5:$AH$1000,643),Cálculos!$AH$5:$AH$1000,0)+4,"")</f>
        <v/>
      </c>
    </row>
    <row r="648">
      <c r="A648" s="5" t="str">
        <f>IF($G648="","",INDEX('Detalle individual'!$B:$B,$G648))</f>
        <v/>
      </c>
      <c r="B648" s="5" t="str">
        <f>IF($G648="","",INDEX('Detalle individual'!$A:$A,$G648))</f>
        <v/>
      </c>
      <c r="C648" s="5" t="str">
        <f>IF($G648="","",INDEX('Detalle individual'!$E:$E,$G648))</f>
        <v/>
      </c>
      <c r="D648" s="5" t="str">
        <f>IF($G648="","",INDEX('Detalle individual'!$C:$C,$G648))</f>
        <v/>
      </c>
      <c r="E648" s="5" t="str">
        <f>IF($G648="","",INDEX('Detalle individual'!$D:$D,$G648))</f>
        <v/>
      </c>
      <c r="G648" t="str">
        <f>IFERROR(MATCH(SMALL(Cálculos!$AH$5:$AH$1000,644),Cálculos!$AH$5:$AH$1000,0)+4,"")</f>
        <v/>
      </c>
    </row>
    <row r="649">
      <c r="A649" s="5" t="str">
        <f>IF($G649="","",INDEX('Detalle individual'!$B:$B,$G649))</f>
        <v/>
      </c>
      <c r="B649" s="5" t="str">
        <f>IF($G649="","",INDEX('Detalle individual'!$A:$A,$G649))</f>
        <v/>
      </c>
      <c r="C649" s="5" t="str">
        <f>IF($G649="","",INDEX('Detalle individual'!$E:$E,$G649))</f>
        <v/>
      </c>
      <c r="D649" s="5" t="str">
        <f>IF($G649="","",INDEX('Detalle individual'!$C:$C,$G649))</f>
        <v/>
      </c>
      <c r="E649" s="5" t="str">
        <f>IF($G649="","",INDEX('Detalle individual'!$D:$D,$G649))</f>
        <v/>
      </c>
      <c r="G649" t="str">
        <f>IFERROR(MATCH(SMALL(Cálculos!$AH$5:$AH$1000,645),Cálculos!$AH$5:$AH$1000,0)+4,"")</f>
        <v/>
      </c>
    </row>
    <row r="650">
      <c r="A650" s="5" t="str">
        <f>IF($G650="","",INDEX('Detalle individual'!$B:$B,$G650))</f>
        <v/>
      </c>
      <c r="B650" s="5" t="str">
        <f>IF($G650="","",INDEX('Detalle individual'!$A:$A,$G650))</f>
        <v/>
      </c>
      <c r="C650" s="5" t="str">
        <f>IF($G650="","",INDEX('Detalle individual'!$E:$E,$G650))</f>
        <v/>
      </c>
      <c r="D650" s="5" t="str">
        <f>IF($G650="","",INDEX('Detalle individual'!$C:$C,$G650))</f>
        <v/>
      </c>
      <c r="E650" s="5" t="str">
        <f>IF($G650="","",INDEX('Detalle individual'!$D:$D,$G650))</f>
        <v/>
      </c>
      <c r="G650" t="str">
        <f>IFERROR(MATCH(SMALL(Cálculos!$AH$5:$AH$1000,646),Cálculos!$AH$5:$AH$1000,0)+4,"")</f>
        <v/>
      </c>
    </row>
    <row r="651">
      <c r="A651" s="5" t="str">
        <f>IF($G651="","",INDEX('Detalle individual'!$B:$B,$G651))</f>
        <v/>
      </c>
      <c r="B651" s="5" t="str">
        <f>IF($G651="","",INDEX('Detalle individual'!$A:$A,$G651))</f>
        <v/>
      </c>
      <c r="C651" s="5" t="str">
        <f>IF($G651="","",INDEX('Detalle individual'!$E:$E,$G651))</f>
        <v/>
      </c>
      <c r="D651" s="5" t="str">
        <f>IF($G651="","",INDEX('Detalle individual'!$C:$C,$G651))</f>
        <v/>
      </c>
      <c r="E651" s="5" t="str">
        <f>IF($G651="","",INDEX('Detalle individual'!$D:$D,$G651))</f>
        <v/>
      </c>
      <c r="G651" t="str">
        <f>IFERROR(MATCH(SMALL(Cálculos!$AH$5:$AH$1000,647),Cálculos!$AH$5:$AH$1000,0)+4,"")</f>
        <v/>
      </c>
    </row>
    <row r="652">
      <c r="A652" s="5" t="str">
        <f>IF($G652="","",INDEX('Detalle individual'!$B:$B,$G652))</f>
        <v/>
      </c>
      <c r="B652" s="5" t="str">
        <f>IF($G652="","",INDEX('Detalle individual'!$A:$A,$G652))</f>
        <v/>
      </c>
      <c r="C652" s="5" t="str">
        <f>IF($G652="","",INDEX('Detalle individual'!$E:$E,$G652))</f>
        <v/>
      </c>
      <c r="D652" s="5" t="str">
        <f>IF($G652="","",INDEX('Detalle individual'!$C:$C,$G652))</f>
        <v/>
      </c>
      <c r="E652" s="5" t="str">
        <f>IF($G652="","",INDEX('Detalle individual'!$D:$D,$G652))</f>
        <v/>
      </c>
      <c r="G652" t="str">
        <f>IFERROR(MATCH(SMALL(Cálculos!$AH$5:$AH$1000,648),Cálculos!$AH$5:$AH$1000,0)+4,"")</f>
        <v/>
      </c>
    </row>
    <row r="653">
      <c r="A653" s="5" t="str">
        <f>IF($G653="","",INDEX('Detalle individual'!$B:$B,$G653))</f>
        <v/>
      </c>
      <c r="B653" s="5" t="str">
        <f>IF($G653="","",INDEX('Detalle individual'!$A:$A,$G653))</f>
        <v/>
      </c>
      <c r="C653" s="5" t="str">
        <f>IF($G653="","",INDEX('Detalle individual'!$E:$E,$G653))</f>
        <v/>
      </c>
      <c r="D653" s="5" t="str">
        <f>IF($G653="","",INDEX('Detalle individual'!$C:$C,$G653))</f>
        <v/>
      </c>
      <c r="E653" s="5" t="str">
        <f>IF($G653="","",INDEX('Detalle individual'!$D:$D,$G653))</f>
        <v/>
      </c>
      <c r="G653" t="str">
        <f>IFERROR(MATCH(SMALL(Cálculos!$AH$5:$AH$1000,649),Cálculos!$AH$5:$AH$1000,0)+4,"")</f>
        <v/>
      </c>
    </row>
    <row r="654">
      <c r="A654" s="5" t="str">
        <f>IF($G654="","",INDEX('Detalle individual'!$B:$B,$G654))</f>
        <v/>
      </c>
      <c r="B654" s="5" t="str">
        <f>IF($G654="","",INDEX('Detalle individual'!$A:$A,$G654))</f>
        <v/>
      </c>
      <c r="C654" s="5" t="str">
        <f>IF($G654="","",INDEX('Detalle individual'!$E:$E,$G654))</f>
        <v/>
      </c>
      <c r="D654" s="5" t="str">
        <f>IF($G654="","",INDEX('Detalle individual'!$C:$C,$G654))</f>
        <v/>
      </c>
      <c r="E654" s="5" t="str">
        <f>IF($G654="","",INDEX('Detalle individual'!$D:$D,$G654))</f>
        <v/>
      </c>
      <c r="G654" t="str">
        <f>IFERROR(MATCH(SMALL(Cálculos!$AH$5:$AH$1000,650),Cálculos!$AH$5:$AH$1000,0)+4,"")</f>
        <v/>
      </c>
    </row>
    <row r="655">
      <c r="A655" s="5" t="str">
        <f>IF($G655="","",INDEX('Detalle individual'!$B:$B,$G655))</f>
        <v/>
      </c>
      <c r="B655" s="5" t="str">
        <f>IF($G655="","",INDEX('Detalle individual'!$A:$A,$G655))</f>
        <v/>
      </c>
      <c r="C655" s="5" t="str">
        <f>IF($G655="","",INDEX('Detalle individual'!$E:$E,$G655))</f>
        <v/>
      </c>
      <c r="D655" s="5" t="str">
        <f>IF($G655="","",INDEX('Detalle individual'!$C:$C,$G655))</f>
        <v/>
      </c>
      <c r="E655" s="5" t="str">
        <f>IF($G655="","",INDEX('Detalle individual'!$D:$D,$G655))</f>
        <v/>
      </c>
      <c r="G655" t="str">
        <f>IFERROR(MATCH(SMALL(Cálculos!$AH$5:$AH$1000,651),Cálculos!$AH$5:$AH$1000,0)+4,"")</f>
        <v/>
      </c>
    </row>
    <row r="656">
      <c r="A656" s="5" t="str">
        <f>IF($G656="","",INDEX('Detalle individual'!$B:$B,$G656))</f>
        <v/>
      </c>
      <c r="B656" s="5" t="str">
        <f>IF($G656="","",INDEX('Detalle individual'!$A:$A,$G656))</f>
        <v/>
      </c>
      <c r="C656" s="5" t="str">
        <f>IF($G656="","",INDEX('Detalle individual'!$E:$E,$G656))</f>
        <v/>
      </c>
      <c r="D656" s="5" t="str">
        <f>IF($G656="","",INDEX('Detalle individual'!$C:$C,$G656))</f>
        <v/>
      </c>
      <c r="E656" s="5" t="str">
        <f>IF($G656="","",INDEX('Detalle individual'!$D:$D,$G656))</f>
        <v/>
      </c>
      <c r="G656" t="str">
        <f>IFERROR(MATCH(SMALL(Cálculos!$AH$5:$AH$1000,652),Cálculos!$AH$5:$AH$1000,0)+4,"")</f>
        <v/>
      </c>
    </row>
    <row r="657">
      <c r="A657" s="5" t="str">
        <f>IF($G657="","",INDEX('Detalle individual'!$B:$B,$G657))</f>
        <v/>
      </c>
      <c r="B657" s="5" t="str">
        <f>IF($G657="","",INDEX('Detalle individual'!$A:$A,$G657))</f>
        <v/>
      </c>
      <c r="C657" s="5" t="str">
        <f>IF($G657="","",INDEX('Detalle individual'!$E:$E,$G657))</f>
        <v/>
      </c>
      <c r="D657" s="5" t="str">
        <f>IF($G657="","",INDEX('Detalle individual'!$C:$C,$G657))</f>
        <v/>
      </c>
      <c r="E657" s="5" t="str">
        <f>IF($G657="","",INDEX('Detalle individual'!$D:$D,$G657))</f>
        <v/>
      </c>
      <c r="G657" t="str">
        <f>IFERROR(MATCH(SMALL(Cálculos!$AH$5:$AH$1000,653),Cálculos!$AH$5:$AH$1000,0)+4,"")</f>
        <v/>
      </c>
    </row>
    <row r="658">
      <c r="A658" s="5" t="str">
        <f>IF($G658="","",INDEX('Detalle individual'!$B:$B,$G658))</f>
        <v/>
      </c>
      <c r="B658" s="5" t="str">
        <f>IF($G658="","",INDEX('Detalle individual'!$A:$A,$G658))</f>
        <v/>
      </c>
      <c r="C658" s="5" t="str">
        <f>IF($G658="","",INDEX('Detalle individual'!$E:$E,$G658))</f>
        <v/>
      </c>
      <c r="D658" s="5" t="str">
        <f>IF($G658="","",INDEX('Detalle individual'!$C:$C,$G658))</f>
        <v/>
      </c>
      <c r="E658" s="5" t="str">
        <f>IF($G658="","",INDEX('Detalle individual'!$D:$D,$G658))</f>
        <v/>
      </c>
      <c r="G658" t="str">
        <f>IFERROR(MATCH(SMALL(Cálculos!$AH$5:$AH$1000,654),Cálculos!$AH$5:$AH$1000,0)+4,"")</f>
        <v/>
      </c>
    </row>
    <row r="659">
      <c r="A659" s="5" t="str">
        <f>IF($G659="","",INDEX('Detalle individual'!$B:$B,$G659))</f>
        <v/>
      </c>
      <c r="B659" s="5" t="str">
        <f>IF($G659="","",INDEX('Detalle individual'!$A:$A,$G659))</f>
        <v/>
      </c>
      <c r="C659" s="5" t="str">
        <f>IF($G659="","",INDEX('Detalle individual'!$E:$E,$G659))</f>
        <v/>
      </c>
      <c r="D659" s="5" t="str">
        <f>IF($G659="","",INDEX('Detalle individual'!$C:$C,$G659))</f>
        <v/>
      </c>
      <c r="E659" s="5" t="str">
        <f>IF($G659="","",INDEX('Detalle individual'!$D:$D,$G659))</f>
        <v/>
      </c>
      <c r="G659" t="str">
        <f>IFERROR(MATCH(SMALL(Cálculos!$AH$5:$AH$1000,655),Cálculos!$AH$5:$AH$1000,0)+4,"")</f>
        <v/>
      </c>
    </row>
    <row r="660">
      <c r="A660" s="5" t="str">
        <f>IF($G660="","",INDEX('Detalle individual'!$B:$B,$G660))</f>
        <v/>
      </c>
      <c r="B660" s="5" t="str">
        <f>IF($G660="","",INDEX('Detalle individual'!$A:$A,$G660))</f>
        <v/>
      </c>
      <c r="C660" s="5" t="str">
        <f>IF($G660="","",INDEX('Detalle individual'!$E:$E,$G660))</f>
        <v/>
      </c>
      <c r="D660" s="5" t="str">
        <f>IF($G660="","",INDEX('Detalle individual'!$C:$C,$G660))</f>
        <v/>
      </c>
      <c r="E660" s="5" t="str">
        <f>IF($G660="","",INDEX('Detalle individual'!$D:$D,$G660))</f>
        <v/>
      </c>
      <c r="G660" t="str">
        <f>IFERROR(MATCH(SMALL(Cálculos!$AH$5:$AH$1000,656),Cálculos!$AH$5:$AH$1000,0)+4,"")</f>
        <v/>
      </c>
    </row>
    <row r="661">
      <c r="A661" s="5" t="str">
        <f>IF($G661="","",INDEX('Detalle individual'!$B:$B,$G661))</f>
        <v/>
      </c>
      <c r="B661" s="5" t="str">
        <f>IF($G661="","",INDEX('Detalle individual'!$A:$A,$G661))</f>
        <v/>
      </c>
      <c r="C661" s="5" t="str">
        <f>IF($G661="","",INDEX('Detalle individual'!$E:$E,$G661))</f>
        <v/>
      </c>
      <c r="D661" s="5" t="str">
        <f>IF($G661="","",INDEX('Detalle individual'!$C:$C,$G661))</f>
        <v/>
      </c>
      <c r="E661" s="5" t="str">
        <f>IF($G661="","",INDEX('Detalle individual'!$D:$D,$G661))</f>
        <v/>
      </c>
      <c r="G661" t="str">
        <f>IFERROR(MATCH(SMALL(Cálculos!$AH$5:$AH$1000,657),Cálculos!$AH$5:$AH$1000,0)+4,"")</f>
        <v/>
      </c>
    </row>
    <row r="662">
      <c r="A662" s="5" t="str">
        <f>IF($G662="","",INDEX('Detalle individual'!$B:$B,$G662))</f>
        <v/>
      </c>
      <c r="B662" s="5" t="str">
        <f>IF($G662="","",INDEX('Detalle individual'!$A:$A,$G662))</f>
        <v/>
      </c>
      <c r="C662" s="5" t="str">
        <f>IF($G662="","",INDEX('Detalle individual'!$E:$E,$G662))</f>
        <v/>
      </c>
      <c r="D662" s="5" t="str">
        <f>IF($G662="","",INDEX('Detalle individual'!$C:$C,$G662))</f>
        <v/>
      </c>
      <c r="E662" s="5" t="str">
        <f>IF($G662="","",INDEX('Detalle individual'!$D:$D,$G662))</f>
        <v/>
      </c>
      <c r="G662" t="str">
        <f>IFERROR(MATCH(SMALL(Cálculos!$AH$5:$AH$1000,658),Cálculos!$AH$5:$AH$1000,0)+4,"")</f>
        <v/>
      </c>
    </row>
    <row r="663">
      <c r="A663" s="5" t="str">
        <f>IF($G663="","",INDEX('Detalle individual'!$B:$B,$G663))</f>
        <v/>
      </c>
      <c r="B663" s="5" t="str">
        <f>IF($G663="","",INDEX('Detalle individual'!$A:$A,$G663))</f>
        <v/>
      </c>
      <c r="C663" s="5" t="str">
        <f>IF($G663="","",INDEX('Detalle individual'!$E:$E,$G663))</f>
        <v/>
      </c>
      <c r="D663" s="5" t="str">
        <f>IF($G663="","",INDEX('Detalle individual'!$C:$C,$G663))</f>
        <v/>
      </c>
      <c r="E663" s="5" t="str">
        <f>IF($G663="","",INDEX('Detalle individual'!$D:$D,$G663))</f>
        <v/>
      </c>
      <c r="G663" t="str">
        <f>IFERROR(MATCH(SMALL(Cálculos!$AH$5:$AH$1000,659),Cálculos!$AH$5:$AH$1000,0)+4,"")</f>
        <v/>
      </c>
    </row>
    <row r="664">
      <c r="A664" s="5" t="str">
        <f>IF($G664="","",INDEX('Detalle individual'!$B:$B,$G664))</f>
        <v/>
      </c>
      <c r="B664" s="5" t="str">
        <f>IF($G664="","",INDEX('Detalle individual'!$A:$A,$G664))</f>
        <v/>
      </c>
      <c r="C664" s="5" t="str">
        <f>IF($G664="","",INDEX('Detalle individual'!$E:$E,$G664))</f>
        <v/>
      </c>
      <c r="D664" s="5" t="str">
        <f>IF($G664="","",INDEX('Detalle individual'!$C:$C,$G664))</f>
        <v/>
      </c>
      <c r="E664" s="5" t="str">
        <f>IF($G664="","",INDEX('Detalle individual'!$D:$D,$G664))</f>
        <v/>
      </c>
      <c r="G664" t="str">
        <f>IFERROR(MATCH(SMALL(Cálculos!$AH$5:$AH$1000,660),Cálculos!$AH$5:$AH$1000,0)+4,"")</f>
        <v/>
      </c>
    </row>
    <row r="665">
      <c r="A665" s="5" t="str">
        <f>IF($G665="","",INDEX('Detalle individual'!$B:$B,$G665))</f>
        <v/>
      </c>
      <c r="B665" s="5" t="str">
        <f>IF($G665="","",INDEX('Detalle individual'!$A:$A,$G665))</f>
        <v/>
      </c>
      <c r="C665" s="5" t="str">
        <f>IF($G665="","",INDEX('Detalle individual'!$E:$E,$G665))</f>
        <v/>
      </c>
      <c r="D665" s="5" t="str">
        <f>IF($G665="","",INDEX('Detalle individual'!$C:$C,$G665))</f>
        <v/>
      </c>
      <c r="E665" s="5" t="str">
        <f>IF($G665="","",INDEX('Detalle individual'!$D:$D,$G665))</f>
        <v/>
      </c>
      <c r="G665" t="str">
        <f>IFERROR(MATCH(SMALL(Cálculos!$AH$5:$AH$1000,661),Cálculos!$AH$5:$AH$1000,0)+4,"")</f>
        <v/>
      </c>
    </row>
    <row r="666">
      <c r="A666" s="5" t="str">
        <f>IF($G666="","",INDEX('Detalle individual'!$B:$B,$G666))</f>
        <v/>
      </c>
      <c r="B666" s="5" t="str">
        <f>IF($G666="","",INDEX('Detalle individual'!$A:$A,$G666))</f>
        <v/>
      </c>
      <c r="C666" s="5" t="str">
        <f>IF($G666="","",INDEX('Detalle individual'!$E:$E,$G666))</f>
        <v/>
      </c>
      <c r="D666" s="5" t="str">
        <f>IF($G666="","",INDEX('Detalle individual'!$C:$C,$G666))</f>
        <v/>
      </c>
      <c r="E666" s="5" t="str">
        <f>IF($G666="","",INDEX('Detalle individual'!$D:$D,$G666))</f>
        <v/>
      </c>
      <c r="G666" t="str">
        <f>IFERROR(MATCH(SMALL(Cálculos!$AH$5:$AH$1000,662),Cálculos!$AH$5:$AH$1000,0)+4,"")</f>
        <v/>
      </c>
    </row>
    <row r="667">
      <c r="A667" s="5" t="str">
        <f>IF($G667="","",INDEX('Detalle individual'!$B:$B,$G667))</f>
        <v/>
      </c>
      <c r="B667" s="5" t="str">
        <f>IF($G667="","",INDEX('Detalle individual'!$A:$A,$G667))</f>
        <v/>
      </c>
      <c r="C667" s="5" t="str">
        <f>IF($G667="","",INDEX('Detalle individual'!$E:$E,$G667))</f>
        <v/>
      </c>
      <c r="D667" s="5" t="str">
        <f>IF($G667="","",INDEX('Detalle individual'!$C:$C,$G667))</f>
        <v/>
      </c>
      <c r="E667" s="5" t="str">
        <f>IF($G667="","",INDEX('Detalle individual'!$D:$D,$G667))</f>
        <v/>
      </c>
      <c r="G667" t="str">
        <f>IFERROR(MATCH(SMALL(Cálculos!$AH$5:$AH$1000,663),Cálculos!$AH$5:$AH$1000,0)+4,"")</f>
        <v/>
      </c>
    </row>
    <row r="668">
      <c r="A668" s="5" t="str">
        <f>IF($G668="","",INDEX('Detalle individual'!$B:$B,$G668))</f>
        <v/>
      </c>
      <c r="B668" s="5" t="str">
        <f>IF($G668="","",INDEX('Detalle individual'!$A:$A,$G668))</f>
        <v/>
      </c>
      <c r="C668" s="5" t="str">
        <f>IF($G668="","",INDEX('Detalle individual'!$E:$E,$G668))</f>
        <v/>
      </c>
      <c r="D668" s="5" t="str">
        <f>IF($G668="","",INDEX('Detalle individual'!$C:$C,$G668))</f>
        <v/>
      </c>
      <c r="E668" s="5" t="str">
        <f>IF($G668="","",INDEX('Detalle individual'!$D:$D,$G668))</f>
        <v/>
      </c>
      <c r="G668" t="str">
        <f>IFERROR(MATCH(SMALL(Cálculos!$AH$5:$AH$1000,664),Cálculos!$AH$5:$AH$1000,0)+4,"")</f>
        <v/>
      </c>
    </row>
    <row r="669">
      <c r="A669" s="5" t="str">
        <f>IF($G669="","",INDEX('Detalle individual'!$B:$B,$G669))</f>
        <v/>
      </c>
      <c r="B669" s="5" t="str">
        <f>IF($G669="","",INDEX('Detalle individual'!$A:$A,$G669))</f>
        <v/>
      </c>
      <c r="C669" s="5" t="str">
        <f>IF($G669="","",INDEX('Detalle individual'!$E:$E,$G669))</f>
        <v/>
      </c>
      <c r="D669" s="5" t="str">
        <f>IF($G669="","",INDEX('Detalle individual'!$C:$C,$G669))</f>
        <v/>
      </c>
      <c r="E669" s="5" t="str">
        <f>IF($G669="","",INDEX('Detalle individual'!$D:$D,$G669))</f>
        <v/>
      </c>
      <c r="G669" t="str">
        <f>IFERROR(MATCH(SMALL(Cálculos!$AH$5:$AH$1000,665),Cálculos!$AH$5:$AH$1000,0)+4,"")</f>
        <v/>
      </c>
    </row>
    <row r="670">
      <c r="A670" s="5" t="str">
        <f>IF($G670="","",INDEX('Detalle individual'!$B:$B,$G670))</f>
        <v/>
      </c>
      <c r="B670" s="5" t="str">
        <f>IF($G670="","",INDEX('Detalle individual'!$A:$A,$G670))</f>
        <v/>
      </c>
      <c r="C670" s="5" t="str">
        <f>IF($G670="","",INDEX('Detalle individual'!$E:$E,$G670))</f>
        <v/>
      </c>
      <c r="D670" s="5" t="str">
        <f>IF($G670="","",INDEX('Detalle individual'!$C:$C,$G670))</f>
        <v/>
      </c>
      <c r="E670" s="5" t="str">
        <f>IF($G670="","",INDEX('Detalle individual'!$D:$D,$G670))</f>
        <v/>
      </c>
      <c r="G670" t="str">
        <f>IFERROR(MATCH(SMALL(Cálculos!$AH$5:$AH$1000,666),Cálculos!$AH$5:$AH$1000,0)+4,"")</f>
        <v/>
      </c>
    </row>
    <row r="671">
      <c r="A671" s="5" t="str">
        <f>IF($G671="","",INDEX('Detalle individual'!$B:$B,$G671))</f>
        <v/>
      </c>
      <c r="B671" s="5" t="str">
        <f>IF($G671="","",INDEX('Detalle individual'!$A:$A,$G671))</f>
        <v/>
      </c>
      <c r="C671" s="5" t="str">
        <f>IF($G671="","",INDEX('Detalle individual'!$E:$E,$G671))</f>
        <v/>
      </c>
      <c r="D671" s="5" t="str">
        <f>IF($G671="","",INDEX('Detalle individual'!$C:$C,$G671))</f>
        <v/>
      </c>
      <c r="E671" s="5" t="str">
        <f>IF($G671="","",INDEX('Detalle individual'!$D:$D,$G671))</f>
        <v/>
      </c>
      <c r="G671" t="str">
        <f>IFERROR(MATCH(SMALL(Cálculos!$AH$5:$AH$1000,667),Cálculos!$AH$5:$AH$1000,0)+4,"")</f>
        <v/>
      </c>
    </row>
    <row r="672">
      <c r="A672" s="5" t="str">
        <f>IF($G672="","",INDEX('Detalle individual'!$B:$B,$G672))</f>
        <v/>
      </c>
      <c r="B672" s="5" t="str">
        <f>IF($G672="","",INDEX('Detalle individual'!$A:$A,$G672))</f>
        <v/>
      </c>
      <c r="C672" s="5" t="str">
        <f>IF($G672="","",INDEX('Detalle individual'!$E:$E,$G672))</f>
        <v/>
      </c>
      <c r="D672" s="5" t="str">
        <f>IF($G672="","",INDEX('Detalle individual'!$C:$C,$G672))</f>
        <v/>
      </c>
      <c r="E672" s="5" t="str">
        <f>IF($G672="","",INDEX('Detalle individual'!$D:$D,$G672))</f>
        <v/>
      </c>
      <c r="G672" t="str">
        <f>IFERROR(MATCH(SMALL(Cálculos!$AH$5:$AH$1000,668),Cálculos!$AH$5:$AH$1000,0)+4,"")</f>
        <v/>
      </c>
    </row>
    <row r="673">
      <c r="A673" s="5" t="str">
        <f>IF($G673="","",INDEX('Detalle individual'!$B:$B,$G673))</f>
        <v/>
      </c>
      <c r="B673" s="5" t="str">
        <f>IF($G673="","",INDEX('Detalle individual'!$A:$A,$G673))</f>
        <v/>
      </c>
      <c r="C673" s="5" t="str">
        <f>IF($G673="","",INDEX('Detalle individual'!$E:$E,$G673))</f>
        <v/>
      </c>
      <c r="D673" s="5" t="str">
        <f>IF($G673="","",INDEX('Detalle individual'!$C:$C,$G673))</f>
        <v/>
      </c>
      <c r="E673" s="5" t="str">
        <f>IF($G673="","",INDEX('Detalle individual'!$D:$D,$G673))</f>
        <v/>
      </c>
      <c r="G673" t="str">
        <f>IFERROR(MATCH(SMALL(Cálculos!$AH$5:$AH$1000,669),Cálculos!$AH$5:$AH$1000,0)+4,"")</f>
        <v/>
      </c>
    </row>
    <row r="674">
      <c r="A674" s="5" t="str">
        <f>IF($G674="","",INDEX('Detalle individual'!$B:$B,$G674))</f>
        <v/>
      </c>
      <c r="B674" s="5" t="str">
        <f>IF($G674="","",INDEX('Detalle individual'!$A:$A,$G674))</f>
        <v/>
      </c>
      <c r="C674" s="5" t="str">
        <f>IF($G674="","",INDEX('Detalle individual'!$E:$E,$G674))</f>
        <v/>
      </c>
      <c r="D674" s="5" t="str">
        <f>IF($G674="","",INDEX('Detalle individual'!$C:$C,$G674))</f>
        <v/>
      </c>
      <c r="E674" s="5" t="str">
        <f>IF($G674="","",INDEX('Detalle individual'!$D:$D,$G674))</f>
        <v/>
      </c>
      <c r="G674" t="str">
        <f>IFERROR(MATCH(SMALL(Cálculos!$AH$5:$AH$1000,670),Cálculos!$AH$5:$AH$1000,0)+4,"")</f>
        <v/>
      </c>
    </row>
    <row r="675">
      <c r="A675" s="5" t="str">
        <f>IF($G675="","",INDEX('Detalle individual'!$B:$B,$G675))</f>
        <v/>
      </c>
      <c r="B675" s="5" t="str">
        <f>IF($G675="","",INDEX('Detalle individual'!$A:$A,$G675))</f>
        <v/>
      </c>
      <c r="C675" s="5" t="str">
        <f>IF($G675="","",INDEX('Detalle individual'!$E:$E,$G675))</f>
        <v/>
      </c>
      <c r="D675" s="5" t="str">
        <f>IF($G675="","",INDEX('Detalle individual'!$C:$C,$G675))</f>
        <v/>
      </c>
      <c r="E675" s="5" t="str">
        <f>IF($G675="","",INDEX('Detalle individual'!$D:$D,$G675))</f>
        <v/>
      </c>
      <c r="G675" t="str">
        <f>IFERROR(MATCH(SMALL(Cálculos!$AH$5:$AH$1000,671),Cálculos!$AH$5:$AH$1000,0)+4,"")</f>
        <v/>
      </c>
    </row>
    <row r="676">
      <c r="A676" s="5" t="str">
        <f>IF($G676="","",INDEX('Detalle individual'!$B:$B,$G676))</f>
        <v/>
      </c>
      <c r="B676" s="5" t="str">
        <f>IF($G676="","",INDEX('Detalle individual'!$A:$A,$G676))</f>
        <v/>
      </c>
      <c r="C676" s="5" t="str">
        <f>IF($G676="","",INDEX('Detalle individual'!$E:$E,$G676))</f>
        <v/>
      </c>
      <c r="D676" s="5" t="str">
        <f>IF($G676="","",INDEX('Detalle individual'!$C:$C,$G676))</f>
        <v/>
      </c>
      <c r="E676" s="5" t="str">
        <f>IF($G676="","",INDEX('Detalle individual'!$D:$D,$G676))</f>
        <v/>
      </c>
      <c r="G676" t="str">
        <f>IFERROR(MATCH(SMALL(Cálculos!$AH$5:$AH$1000,672),Cálculos!$AH$5:$AH$1000,0)+4,"")</f>
        <v/>
      </c>
    </row>
    <row r="677">
      <c r="A677" s="5" t="str">
        <f>IF($G677="","",INDEX('Detalle individual'!$B:$B,$G677))</f>
        <v/>
      </c>
      <c r="B677" s="5" t="str">
        <f>IF($G677="","",INDEX('Detalle individual'!$A:$A,$G677))</f>
        <v/>
      </c>
      <c r="C677" s="5" t="str">
        <f>IF($G677="","",INDEX('Detalle individual'!$E:$E,$G677))</f>
        <v/>
      </c>
      <c r="D677" s="5" t="str">
        <f>IF($G677="","",INDEX('Detalle individual'!$C:$C,$G677))</f>
        <v/>
      </c>
      <c r="E677" s="5" t="str">
        <f>IF($G677="","",INDEX('Detalle individual'!$D:$D,$G677))</f>
        <v/>
      </c>
      <c r="G677" t="str">
        <f>IFERROR(MATCH(SMALL(Cálculos!$AH$5:$AH$1000,673),Cálculos!$AH$5:$AH$1000,0)+4,"")</f>
        <v/>
      </c>
    </row>
    <row r="678">
      <c r="A678" s="5" t="str">
        <f>IF($G678="","",INDEX('Detalle individual'!$B:$B,$G678))</f>
        <v/>
      </c>
      <c r="B678" s="5" t="str">
        <f>IF($G678="","",INDEX('Detalle individual'!$A:$A,$G678))</f>
        <v/>
      </c>
      <c r="C678" s="5" t="str">
        <f>IF($G678="","",INDEX('Detalle individual'!$E:$E,$G678))</f>
        <v/>
      </c>
      <c r="D678" s="5" t="str">
        <f>IF($G678="","",INDEX('Detalle individual'!$C:$C,$G678))</f>
        <v/>
      </c>
      <c r="E678" s="5" t="str">
        <f>IF($G678="","",INDEX('Detalle individual'!$D:$D,$G678))</f>
        <v/>
      </c>
      <c r="G678" t="str">
        <f>IFERROR(MATCH(SMALL(Cálculos!$AH$5:$AH$1000,674),Cálculos!$AH$5:$AH$1000,0)+4,"")</f>
        <v/>
      </c>
    </row>
    <row r="679">
      <c r="A679" s="5" t="str">
        <f>IF($G679="","",INDEX('Detalle individual'!$B:$B,$G679))</f>
        <v/>
      </c>
      <c r="B679" s="5" t="str">
        <f>IF($G679="","",INDEX('Detalle individual'!$A:$A,$G679))</f>
        <v/>
      </c>
      <c r="C679" s="5" t="str">
        <f>IF($G679="","",INDEX('Detalle individual'!$E:$E,$G679))</f>
        <v/>
      </c>
      <c r="D679" s="5" t="str">
        <f>IF($G679="","",INDEX('Detalle individual'!$C:$C,$G679))</f>
        <v/>
      </c>
      <c r="E679" s="5" t="str">
        <f>IF($G679="","",INDEX('Detalle individual'!$D:$D,$G679))</f>
        <v/>
      </c>
      <c r="G679" t="str">
        <f>IFERROR(MATCH(SMALL(Cálculos!$AH$5:$AH$1000,675),Cálculos!$AH$5:$AH$1000,0)+4,"")</f>
        <v/>
      </c>
    </row>
    <row r="680">
      <c r="A680" s="5" t="str">
        <f>IF($G680="","",INDEX('Detalle individual'!$B:$B,$G680))</f>
        <v/>
      </c>
      <c r="B680" s="5" t="str">
        <f>IF($G680="","",INDEX('Detalle individual'!$A:$A,$G680))</f>
        <v/>
      </c>
      <c r="C680" s="5" t="str">
        <f>IF($G680="","",INDEX('Detalle individual'!$E:$E,$G680))</f>
        <v/>
      </c>
      <c r="D680" s="5" t="str">
        <f>IF($G680="","",INDEX('Detalle individual'!$C:$C,$G680))</f>
        <v/>
      </c>
      <c r="E680" s="5" t="str">
        <f>IF($G680="","",INDEX('Detalle individual'!$D:$D,$G680))</f>
        <v/>
      </c>
      <c r="G680" t="str">
        <f>IFERROR(MATCH(SMALL(Cálculos!$AH$5:$AH$1000,676),Cálculos!$AH$5:$AH$1000,0)+4,"")</f>
        <v/>
      </c>
    </row>
    <row r="681">
      <c r="A681" s="5" t="str">
        <f>IF($G681="","",INDEX('Detalle individual'!$B:$B,$G681))</f>
        <v/>
      </c>
      <c r="B681" s="5" t="str">
        <f>IF($G681="","",INDEX('Detalle individual'!$A:$A,$G681))</f>
        <v/>
      </c>
      <c r="C681" s="5" t="str">
        <f>IF($G681="","",INDEX('Detalle individual'!$E:$E,$G681))</f>
        <v/>
      </c>
      <c r="D681" s="5" t="str">
        <f>IF($G681="","",INDEX('Detalle individual'!$C:$C,$G681))</f>
        <v/>
      </c>
      <c r="E681" s="5" t="str">
        <f>IF($G681="","",INDEX('Detalle individual'!$D:$D,$G681))</f>
        <v/>
      </c>
      <c r="G681" t="str">
        <f>IFERROR(MATCH(SMALL(Cálculos!$AH$5:$AH$1000,677),Cálculos!$AH$5:$AH$1000,0)+4,"")</f>
        <v/>
      </c>
    </row>
    <row r="682">
      <c r="A682" s="5" t="str">
        <f>IF($G682="","",INDEX('Detalle individual'!$B:$B,$G682))</f>
        <v/>
      </c>
      <c r="B682" s="5" t="str">
        <f>IF($G682="","",INDEX('Detalle individual'!$A:$A,$G682))</f>
        <v/>
      </c>
      <c r="C682" s="5" t="str">
        <f>IF($G682="","",INDEX('Detalle individual'!$E:$E,$G682))</f>
        <v/>
      </c>
      <c r="D682" s="5" t="str">
        <f>IF($G682="","",INDEX('Detalle individual'!$C:$C,$G682))</f>
        <v/>
      </c>
      <c r="E682" s="5" t="str">
        <f>IF($G682="","",INDEX('Detalle individual'!$D:$D,$G682))</f>
        <v/>
      </c>
      <c r="G682" t="str">
        <f>IFERROR(MATCH(SMALL(Cálculos!$AH$5:$AH$1000,678),Cálculos!$AH$5:$AH$1000,0)+4,"")</f>
        <v/>
      </c>
    </row>
    <row r="683">
      <c r="A683" s="5" t="str">
        <f>IF($G683="","",INDEX('Detalle individual'!$B:$B,$G683))</f>
        <v/>
      </c>
      <c r="B683" s="5" t="str">
        <f>IF($G683="","",INDEX('Detalle individual'!$A:$A,$G683))</f>
        <v/>
      </c>
      <c r="C683" s="5" t="str">
        <f>IF($G683="","",INDEX('Detalle individual'!$E:$E,$G683))</f>
        <v/>
      </c>
      <c r="D683" s="5" t="str">
        <f>IF($G683="","",INDEX('Detalle individual'!$C:$C,$G683))</f>
        <v/>
      </c>
      <c r="E683" s="5" t="str">
        <f>IF($G683="","",INDEX('Detalle individual'!$D:$D,$G683))</f>
        <v/>
      </c>
      <c r="G683" t="str">
        <f>IFERROR(MATCH(SMALL(Cálculos!$AH$5:$AH$1000,679),Cálculos!$AH$5:$AH$1000,0)+4,"")</f>
        <v/>
      </c>
    </row>
    <row r="684">
      <c r="A684" s="5" t="str">
        <f>IF($G684="","",INDEX('Detalle individual'!$B:$B,$G684))</f>
        <v/>
      </c>
      <c r="B684" s="5" t="str">
        <f>IF($G684="","",INDEX('Detalle individual'!$A:$A,$G684))</f>
        <v/>
      </c>
      <c r="C684" s="5" t="str">
        <f>IF($G684="","",INDEX('Detalle individual'!$E:$E,$G684))</f>
        <v/>
      </c>
      <c r="D684" s="5" t="str">
        <f>IF($G684="","",INDEX('Detalle individual'!$C:$C,$G684))</f>
        <v/>
      </c>
      <c r="E684" s="5" t="str">
        <f>IF($G684="","",INDEX('Detalle individual'!$D:$D,$G684))</f>
        <v/>
      </c>
      <c r="G684" t="str">
        <f>IFERROR(MATCH(SMALL(Cálculos!$AH$5:$AH$1000,680),Cálculos!$AH$5:$AH$1000,0)+4,"")</f>
        <v/>
      </c>
    </row>
    <row r="685">
      <c r="A685" s="5" t="str">
        <f>IF($G685="","",INDEX('Detalle individual'!$B:$B,$G685))</f>
        <v/>
      </c>
      <c r="B685" s="5" t="str">
        <f>IF($G685="","",INDEX('Detalle individual'!$A:$A,$G685))</f>
        <v/>
      </c>
      <c r="C685" s="5" t="str">
        <f>IF($G685="","",INDEX('Detalle individual'!$E:$E,$G685))</f>
        <v/>
      </c>
      <c r="D685" s="5" t="str">
        <f>IF($G685="","",INDEX('Detalle individual'!$C:$C,$G685))</f>
        <v/>
      </c>
      <c r="E685" s="5" t="str">
        <f>IF($G685="","",INDEX('Detalle individual'!$D:$D,$G685))</f>
        <v/>
      </c>
      <c r="G685" t="str">
        <f>IFERROR(MATCH(SMALL(Cálculos!$AH$5:$AH$1000,681),Cálculos!$AH$5:$AH$1000,0)+4,"")</f>
        <v/>
      </c>
    </row>
    <row r="686">
      <c r="A686" s="5" t="str">
        <f>IF($G686="","",INDEX('Detalle individual'!$B:$B,$G686))</f>
        <v/>
      </c>
      <c r="B686" s="5" t="str">
        <f>IF($G686="","",INDEX('Detalle individual'!$A:$A,$G686))</f>
        <v/>
      </c>
      <c r="C686" s="5" t="str">
        <f>IF($G686="","",INDEX('Detalle individual'!$E:$E,$G686))</f>
        <v/>
      </c>
      <c r="D686" s="5" t="str">
        <f>IF($G686="","",INDEX('Detalle individual'!$C:$C,$G686))</f>
        <v/>
      </c>
      <c r="E686" s="5" t="str">
        <f>IF($G686="","",INDEX('Detalle individual'!$D:$D,$G686))</f>
        <v/>
      </c>
      <c r="G686" t="str">
        <f>IFERROR(MATCH(SMALL(Cálculos!$AH$5:$AH$1000,682),Cálculos!$AH$5:$AH$1000,0)+4,"")</f>
        <v/>
      </c>
    </row>
    <row r="687">
      <c r="A687" s="5" t="str">
        <f>IF($G687="","",INDEX('Detalle individual'!$B:$B,$G687))</f>
        <v/>
      </c>
      <c r="B687" s="5" t="str">
        <f>IF($G687="","",INDEX('Detalle individual'!$A:$A,$G687))</f>
        <v/>
      </c>
      <c r="C687" s="5" t="str">
        <f>IF($G687="","",INDEX('Detalle individual'!$E:$E,$G687))</f>
        <v/>
      </c>
      <c r="D687" s="5" t="str">
        <f>IF($G687="","",INDEX('Detalle individual'!$C:$C,$G687))</f>
        <v/>
      </c>
      <c r="E687" s="5" t="str">
        <f>IF($G687="","",INDEX('Detalle individual'!$D:$D,$G687))</f>
        <v/>
      </c>
      <c r="G687" t="str">
        <f>IFERROR(MATCH(SMALL(Cálculos!$AH$5:$AH$1000,683),Cálculos!$AH$5:$AH$1000,0)+4,"")</f>
        <v/>
      </c>
    </row>
    <row r="688">
      <c r="A688" s="5" t="str">
        <f>IF($G688="","",INDEX('Detalle individual'!$B:$B,$G688))</f>
        <v/>
      </c>
      <c r="B688" s="5" t="str">
        <f>IF($G688="","",INDEX('Detalle individual'!$A:$A,$G688))</f>
        <v/>
      </c>
      <c r="C688" s="5" t="str">
        <f>IF($G688="","",INDEX('Detalle individual'!$E:$E,$G688))</f>
        <v/>
      </c>
      <c r="D688" s="5" t="str">
        <f>IF($G688="","",INDEX('Detalle individual'!$C:$C,$G688))</f>
        <v/>
      </c>
      <c r="E688" s="5" t="str">
        <f>IF($G688="","",INDEX('Detalle individual'!$D:$D,$G688))</f>
        <v/>
      </c>
      <c r="G688" t="str">
        <f>IFERROR(MATCH(SMALL(Cálculos!$AH$5:$AH$1000,684),Cálculos!$AH$5:$AH$1000,0)+4,"")</f>
        <v/>
      </c>
    </row>
    <row r="689">
      <c r="A689" s="5" t="str">
        <f>IF($G689="","",INDEX('Detalle individual'!$B:$B,$G689))</f>
        <v/>
      </c>
      <c r="B689" s="5" t="str">
        <f>IF($G689="","",INDEX('Detalle individual'!$A:$A,$G689))</f>
        <v/>
      </c>
      <c r="C689" s="5" t="str">
        <f>IF($G689="","",INDEX('Detalle individual'!$E:$E,$G689))</f>
        <v/>
      </c>
      <c r="D689" s="5" t="str">
        <f>IF($G689="","",INDEX('Detalle individual'!$C:$C,$G689))</f>
        <v/>
      </c>
      <c r="E689" s="5" t="str">
        <f>IF($G689="","",INDEX('Detalle individual'!$D:$D,$G689))</f>
        <v/>
      </c>
      <c r="G689" t="str">
        <f>IFERROR(MATCH(SMALL(Cálculos!$AH$5:$AH$1000,685),Cálculos!$AH$5:$AH$1000,0)+4,"")</f>
        <v/>
      </c>
    </row>
    <row r="690">
      <c r="A690" s="5" t="str">
        <f>IF($G690="","",INDEX('Detalle individual'!$B:$B,$G690))</f>
        <v/>
      </c>
      <c r="B690" s="5" t="str">
        <f>IF($G690="","",INDEX('Detalle individual'!$A:$A,$G690))</f>
        <v/>
      </c>
      <c r="C690" s="5" t="str">
        <f>IF($G690="","",INDEX('Detalle individual'!$E:$E,$G690))</f>
        <v/>
      </c>
      <c r="D690" s="5" t="str">
        <f>IF($G690="","",INDEX('Detalle individual'!$C:$C,$G690))</f>
        <v/>
      </c>
      <c r="E690" s="5" t="str">
        <f>IF($G690="","",INDEX('Detalle individual'!$D:$D,$G690))</f>
        <v/>
      </c>
      <c r="G690" t="str">
        <f>IFERROR(MATCH(SMALL(Cálculos!$AH$5:$AH$1000,686),Cálculos!$AH$5:$AH$1000,0)+4,"")</f>
        <v/>
      </c>
    </row>
    <row r="691">
      <c r="A691" s="5" t="str">
        <f>IF($G691="","",INDEX('Detalle individual'!$B:$B,$G691))</f>
        <v/>
      </c>
      <c r="B691" s="5" t="str">
        <f>IF($G691="","",INDEX('Detalle individual'!$A:$A,$G691))</f>
        <v/>
      </c>
      <c r="C691" s="5" t="str">
        <f>IF($G691="","",INDEX('Detalle individual'!$E:$E,$G691))</f>
        <v/>
      </c>
      <c r="D691" s="5" t="str">
        <f>IF($G691="","",INDEX('Detalle individual'!$C:$C,$G691))</f>
        <v/>
      </c>
      <c r="E691" s="5" t="str">
        <f>IF($G691="","",INDEX('Detalle individual'!$D:$D,$G691))</f>
        <v/>
      </c>
      <c r="G691" t="str">
        <f>IFERROR(MATCH(SMALL(Cálculos!$AH$5:$AH$1000,687),Cálculos!$AH$5:$AH$1000,0)+4,"")</f>
        <v/>
      </c>
    </row>
    <row r="692">
      <c r="A692" s="5" t="str">
        <f>IF($G692="","",INDEX('Detalle individual'!$B:$B,$G692))</f>
        <v/>
      </c>
      <c r="B692" s="5" t="str">
        <f>IF($G692="","",INDEX('Detalle individual'!$A:$A,$G692))</f>
        <v/>
      </c>
      <c r="C692" s="5" t="str">
        <f>IF($G692="","",INDEX('Detalle individual'!$E:$E,$G692))</f>
        <v/>
      </c>
      <c r="D692" s="5" t="str">
        <f>IF($G692="","",INDEX('Detalle individual'!$C:$C,$G692))</f>
        <v/>
      </c>
      <c r="E692" s="5" t="str">
        <f>IF($G692="","",INDEX('Detalle individual'!$D:$D,$G692))</f>
        <v/>
      </c>
      <c r="G692" t="str">
        <f>IFERROR(MATCH(SMALL(Cálculos!$AH$5:$AH$1000,688),Cálculos!$AH$5:$AH$1000,0)+4,"")</f>
        <v/>
      </c>
    </row>
    <row r="693">
      <c r="A693" s="5" t="str">
        <f>IF($G693="","",INDEX('Detalle individual'!$B:$B,$G693))</f>
        <v/>
      </c>
      <c r="B693" s="5" t="str">
        <f>IF($G693="","",INDEX('Detalle individual'!$A:$A,$G693))</f>
        <v/>
      </c>
      <c r="C693" s="5" t="str">
        <f>IF($G693="","",INDEX('Detalle individual'!$E:$E,$G693))</f>
        <v/>
      </c>
      <c r="D693" s="5" t="str">
        <f>IF($G693="","",INDEX('Detalle individual'!$C:$C,$G693))</f>
        <v/>
      </c>
      <c r="E693" s="5" t="str">
        <f>IF($G693="","",INDEX('Detalle individual'!$D:$D,$G693))</f>
        <v/>
      </c>
      <c r="G693" t="str">
        <f>IFERROR(MATCH(SMALL(Cálculos!$AH$5:$AH$1000,689),Cálculos!$AH$5:$AH$1000,0)+4,"")</f>
        <v/>
      </c>
    </row>
    <row r="694">
      <c r="A694" s="5" t="str">
        <f>IF($G694="","",INDEX('Detalle individual'!$B:$B,$G694))</f>
        <v/>
      </c>
      <c r="B694" s="5" t="str">
        <f>IF($G694="","",INDEX('Detalle individual'!$A:$A,$G694))</f>
        <v/>
      </c>
      <c r="C694" s="5" t="str">
        <f>IF($G694="","",INDEX('Detalle individual'!$E:$E,$G694))</f>
        <v/>
      </c>
      <c r="D694" s="5" t="str">
        <f>IF($G694="","",INDEX('Detalle individual'!$C:$C,$G694))</f>
        <v/>
      </c>
      <c r="E694" s="5" t="str">
        <f>IF($G694="","",INDEX('Detalle individual'!$D:$D,$G694))</f>
        <v/>
      </c>
      <c r="G694" t="str">
        <f>IFERROR(MATCH(SMALL(Cálculos!$AH$5:$AH$1000,690),Cálculos!$AH$5:$AH$1000,0)+4,"")</f>
        <v/>
      </c>
    </row>
    <row r="695">
      <c r="A695" s="5" t="str">
        <f>IF($G695="","",INDEX('Detalle individual'!$B:$B,$G695))</f>
        <v/>
      </c>
      <c r="B695" s="5" t="str">
        <f>IF($G695="","",INDEX('Detalle individual'!$A:$A,$G695))</f>
        <v/>
      </c>
      <c r="C695" s="5" t="str">
        <f>IF($G695="","",INDEX('Detalle individual'!$E:$E,$G695))</f>
        <v/>
      </c>
      <c r="D695" s="5" t="str">
        <f>IF($G695="","",INDEX('Detalle individual'!$C:$C,$G695))</f>
        <v/>
      </c>
      <c r="E695" s="5" t="str">
        <f>IF($G695="","",INDEX('Detalle individual'!$D:$D,$G695))</f>
        <v/>
      </c>
      <c r="G695" t="str">
        <f>IFERROR(MATCH(SMALL(Cálculos!$AH$5:$AH$1000,691),Cálculos!$AH$5:$AH$1000,0)+4,"")</f>
        <v/>
      </c>
    </row>
    <row r="696">
      <c r="A696" s="5" t="str">
        <f>IF($G696="","",INDEX('Detalle individual'!$B:$B,$G696))</f>
        <v/>
      </c>
      <c r="B696" s="5" t="str">
        <f>IF($G696="","",INDEX('Detalle individual'!$A:$A,$G696))</f>
        <v/>
      </c>
      <c r="C696" s="5" t="str">
        <f>IF($G696="","",INDEX('Detalle individual'!$E:$E,$G696))</f>
        <v/>
      </c>
      <c r="D696" s="5" t="str">
        <f>IF($G696="","",INDEX('Detalle individual'!$C:$C,$G696))</f>
        <v/>
      </c>
      <c r="E696" s="5" t="str">
        <f>IF($G696="","",INDEX('Detalle individual'!$D:$D,$G696))</f>
        <v/>
      </c>
      <c r="G696" t="str">
        <f>IFERROR(MATCH(SMALL(Cálculos!$AH$5:$AH$1000,692),Cálculos!$AH$5:$AH$1000,0)+4,"")</f>
        <v/>
      </c>
    </row>
    <row r="697">
      <c r="A697" s="5" t="str">
        <f>IF($G697="","",INDEX('Detalle individual'!$B:$B,$G697))</f>
        <v/>
      </c>
      <c r="B697" s="5" t="str">
        <f>IF($G697="","",INDEX('Detalle individual'!$A:$A,$G697))</f>
        <v/>
      </c>
      <c r="C697" s="5" t="str">
        <f>IF($G697="","",INDEX('Detalle individual'!$E:$E,$G697))</f>
        <v/>
      </c>
      <c r="D697" s="5" t="str">
        <f>IF($G697="","",INDEX('Detalle individual'!$C:$C,$G697))</f>
        <v/>
      </c>
      <c r="E697" s="5" t="str">
        <f>IF($G697="","",INDEX('Detalle individual'!$D:$D,$G697))</f>
        <v/>
      </c>
      <c r="G697" t="str">
        <f>IFERROR(MATCH(SMALL(Cálculos!$AH$5:$AH$1000,693),Cálculos!$AH$5:$AH$1000,0)+4,"")</f>
        <v/>
      </c>
    </row>
    <row r="698">
      <c r="A698" s="5" t="str">
        <f>IF($G698="","",INDEX('Detalle individual'!$B:$B,$G698))</f>
        <v/>
      </c>
      <c r="B698" s="5" t="str">
        <f>IF($G698="","",INDEX('Detalle individual'!$A:$A,$G698))</f>
        <v/>
      </c>
      <c r="C698" s="5" t="str">
        <f>IF($G698="","",INDEX('Detalle individual'!$E:$E,$G698))</f>
        <v/>
      </c>
      <c r="D698" s="5" t="str">
        <f>IF($G698="","",INDEX('Detalle individual'!$C:$C,$G698))</f>
        <v/>
      </c>
      <c r="E698" s="5" t="str">
        <f>IF($G698="","",INDEX('Detalle individual'!$D:$D,$G698))</f>
        <v/>
      </c>
      <c r="G698" t="str">
        <f>IFERROR(MATCH(SMALL(Cálculos!$AH$5:$AH$1000,694),Cálculos!$AH$5:$AH$1000,0)+4,"")</f>
        <v/>
      </c>
    </row>
    <row r="699">
      <c r="A699" s="5" t="str">
        <f>IF($G699="","",INDEX('Detalle individual'!$B:$B,$G699))</f>
        <v/>
      </c>
      <c r="B699" s="5" t="str">
        <f>IF($G699="","",INDEX('Detalle individual'!$A:$A,$G699))</f>
        <v/>
      </c>
      <c r="C699" s="5" t="str">
        <f>IF($G699="","",INDEX('Detalle individual'!$E:$E,$G699))</f>
        <v/>
      </c>
      <c r="D699" s="5" t="str">
        <f>IF($G699="","",INDEX('Detalle individual'!$C:$C,$G699))</f>
        <v/>
      </c>
      <c r="E699" s="5" t="str">
        <f>IF($G699="","",INDEX('Detalle individual'!$D:$D,$G699))</f>
        <v/>
      </c>
      <c r="G699" t="str">
        <f>IFERROR(MATCH(SMALL(Cálculos!$AH$5:$AH$1000,695),Cálculos!$AH$5:$AH$1000,0)+4,"")</f>
        <v/>
      </c>
    </row>
    <row r="700">
      <c r="A700" s="5" t="str">
        <f>IF($G700="","",INDEX('Detalle individual'!$B:$B,$G700))</f>
        <v/>
      </c>
      <c r="B700" s="5" t="str">
        <f>IF($G700="","",INDEX('Detalle individual'!$A:$A,$G700))</f>
        <v/>
      </c>
      <c r="C700" s="5" t="str">
        <f>IF($G700="","",INDEX('Detalle individual'!$E:$E,$G700))</f>
        <v/>
      </c>
      <c r="D700" s="5" t="str">
        <f>IF($G700="","",INDEX('Detalle individual'!$C:$C,$G700))</f>
        <v/>
      </c>
      <c r="E700" s="5" t="str">
        <f>IF($G700="","",INDEX('Detalle individual'!$D:$D,$G700))</f>
        <v/>
      </c>
      <c r="G700" t="str">
        <f>IFERROR(MATCH(SMALL(Cálculos!$AH$5:$AH$1000,696),Cálculos!$AH$5:$AH$1000,0)+4,"")</f>
        <v/>
      </c>
    </row>
    <row r="701">
      <c r="A701" s="5" t="str">
        <f>IF($G701="","",INDEX('Detalle individual'!$B:$B,$G701))</f>
        <v/>
      </c>
      <c r="B701" s="5" t="str">
        <f>IF($G701="","",INDEX('Detalle individual'!$A:$A,$G701))</f>
        <v/>
      </c>
      <c r="C701" s="5" t="str">
        <f>IF($G701="","",INDEX('Detalle individual'!$E:$E,$G701))</f>
        <v/>
      </c>
      <c r="D701" s="5" t="str">
        <f>IF($G701="","",INDEX('Detalle individual'!$C:$C,$G701))</f>
        <v/>
      </c>
      <c r="E701" s="5" t="str">
        <f>IF($G701="","",INDEX('Detalle individual'!$D:$D,$G701))</f>
        <v/>
      </c>
      <c r="G701" t="str">
        <f>IFERROR(MATCH(SMALL(Cálculos!$AH$5:$AH$1000,697),Cálculos!$AH$5:$AH$1000,0)+4,"")</f>
        <v/>
      </c>
    </row>
    <row r="702">
      <c r="A702" s="5" t="str">
        <f>IF($G702="","",INDEX('Detalle individual'!$B:$B,$G702))</f>
        <v/>
      </c>
      <c r="B702" s="5" t="str">
        <f>IF($G702="","",INDEX('Detalle individual'!$A:$A,$G702))</f>
        <v/>
      </c>
      <c r="C702" s="5" t="str">
        <f>IF($G702="","",INDEX('Detalle individual'!$E:$E,$G702))</f>
        <v/>
      </c>
      <c r="D702" s="5" t="str">
        <f>IF($G702="","",INDEX('Detalle individual'!$C:$C,$G702))</f>
        <v/>
      </c>
      <c r="E702" s="5" t="str">
        <f>IF($G702="","",INDEX('Detalle individual'!$D:$D,$G702))</f>
        <v/>
      </c>
      <c r="G702" t="str">
        <f>IFERROR(MATCH(SMALL(Cálculos!$AH$5:$AH$1000,698),Cálculos!$AH$5:$AH$1000,0)+4,"")</f>
        <v/>
      </c>
    </row>
    <row r="703">
      <c r="A703" s="5" t="str">
        <f>IF($G703="","",INDEX('Detalle individual'!$B:$B,$G703))</f>
        <v/>
      </c>
      <c r="B703" s="5" t="str">
        <f>IF($G703="","",INDEX('Detalle individual'!$A:$A,$G703))</f>
        <v/>
      </c>
      <c r="C703" s="5" t="str">
        <f>IF($G703="","",INDEX('Detalle individual'!$E:$E,$G703))</f>
        <v/>
      </c>
      <c r="D703" s="5" t="str">
        <f>IF($G703="","",INDEX('Detalle individual'!$C:$C,$G703))</f>
        <v/>
      </c>
      <c r="E703" s="5" t="str">
        <f>IF($G703="","",INDEX('Detalle individual'!$D:$D,$G703))</f>
        <v/>
      </c>
      <c r="G703" t="str">
        <f>IFERROR(MATCH(SMALL(Cálculos!$AH$5:$AH$1000,699),Cálculos!$AH$5:$AH$1000,0)+4,"")</f>
        <v/>
      </c>
    </row>
    <row r="704">
      <c r="A704" s="5" t="str">
        <f>IF($G704="","",INDEX('Detalle individual'!$B:$B,$G704))</f>
        <v/>
      </c>
      <c r="B704" s="5" t="str">
        <f>IF($G704="","",INDEX('Detalle individual'!$A:$A,$G704))</f>
        <v/>
      </c>
      <c r="C704" s="5" t="str">
        <f>IF($G704="","",INDEX('Detalle individual'!$E:$E,$G704))</f>
        <v/>
      </c>
      <c r="D704" s="5" t="str">
        <f>IF($G704="","",INDEX('Detalle individual'!$C:$C,$G704))</f>
        <v/>
      </c>
      <c r="E704" s="5" t="str">
        <f>IF($G704="","",INDEX('Detalle individual'!$D:$D,$G704))</f>
        <v/>
      </c>
      <c r="G704" t="str">
        <f>IFERROR(MATCH(SMALL(Cálculos!$AH$5:$AH$1000,700),Cálculos!$AH$5:$AH$1000,0)+4,"")</f>
        <v/>
      </c>
    </row>
    <row r="705">
      <c r="A705" s="5" t="str">
        <f>IF($G705="","",INDEX('Detalle individual'!$B:$B,$G705))</f>
        <v/>
      </c>
      <c r="B705" s="5" t="str">
        <f>IF($G705="","",INDEX('Detalle individual'!$A:$A,$G705))</f>
        <v/>
      </c>
      <c r="C705" s="5" t="str">
        <f>IF($G705="","",INDEX('Detalle individual'!$E:$E,$G705))</f>
        <v/>
      </c>
      <c r="D705" s="5" t="str">
        <f>IF($G705="","",INDEX('Detalle individual'!$C:$C,$G705))</f>
        <v/>
      </c>
      <c r="E705" s="5" t="str">
        <f>IF($G705="","",INDEX('Detalle individual'!$D:$D,$G705))</f>
        <v/>
      </c>
      <c r="G705" t="str">
        <f>IFERROR(MATCH(SMALL(Cálculos!$AH$5:$AH$1000,701),Cálculos!$AH$5:$AH$1000,0)+4,"")</f>
        <v/>
      </c>
    </row>
    <row r="706">
      <c r="A706" s="5" t="str">
        <f>IF($G706="","",INDEX('Detalle individual'!$B:$B,$G706))</f>
        <v/>
      </c>
      <c r="B706" s="5" t="str">
        <f>IF($G706="","",INDEX('Detalle individual'!$A:$A,$G706))</f>
        <v/>
      </c>
      <c r="C706" s="5" t="str">
        <f>IF($G706="","",INDEX('Detalle individual'!$E:$E,$G706))</f>
        <v/>
      </c>
      <c r="D706" s="5" t="str">
        <f>IF($G706="","",INDEX('Detalle individual'!$C:$C,$G706))</f>
        <v/>
      </c>
      <c r="E706" s="5" t="str">
        <f>IF($G706="","",INDEX('Detalle individual'!$D:$D,$G706))</f>
        <v/>
      </c>
      <c r="G706" t="str">
        <f>IFERROR(MATCH(SMALL(Cálculos!$AH$5:$AH$1000,702),Cálculos!$AH$5:$AH$1000,0)+4,"")</f>
        <v/>
      </c>
    </row>
    <row r="707">
      <c r="A707" s="5" t="str">
        <f>IF($G707="","",INDEX('Detalle individual'!$B:$B,$G707))</f>
        <v/>
      </c>
      <c r="B707" s="5" t="str">
        <f>IF($G707="","",INDEX('Detalle individual'!$A:$A,$G707))</f>
        <v/>
      </c>
      <c r="C707" s="5" t="str">
        <f>IF($G707="","",INDEX('Detalle individual'!$E:$E,$G707))</f>
        <v/>
      </c>
      <c r="D707" s="5" t="str">
        <f>IF($G707="","",INDEX('Detalle individual'!$C:$C,$G707))</f>
        <v/>
      </c>
      <c r="E707" s="5" t="str">
        <f>IF($G707="","",INDEX('Detalle individual'!$D:$D,$G707))</f>
        <v/>
      </c>
      <c r="G707" t="str">
        <f>IFERROR(MATCH(SMALL(Cálculos!$AH$5:$AH$1000,703),Cálculos!$AH$5:$AH$1000,0)+4,"")</f>
        <v/>
      </c>
    </row>
    <row r="708">
      <c r="A708" s="5" t="str">
        <f>IF($G708="","",INDEX('Detalle individual'!$B:$B,$G708))</f>
        <v/>
      </c>
      <c r="B708" s="5" t="str">
        <f>IF($G708="","",INDEX('Detalle individual'!$A:$A,$G708))</f>
        <v/>
      </c>
      <c r="C708" s="5" t="str">
        <f>IF($G708="","",INDEX('Detalle individual'!$E:$E,$G708))</f>
        <v/>
      </c>
      <c r="D708" s="5" t="str">
        <f>IF($G708="","",INDEX('Detalle individual'!$C:$C,$G708))</f>
        <v/>
      </c>
      <c r="E708" s="5" t="str">
        <f>IF($G708="","",INDEX('Detalle individual'!$D:$D,$G708))</f>
        <v/>
      </c>
      <c r="G708" t="str">
        <f>IFERROR(MATCH(SMALL(Cálculos!$AH$5:$AH$1000,704),Cálculos!$AH$5:$AH$1000,0)+4,"")</f>
        <v/>
      </c>
    </row>
    <row r="709">
      <c r="A709" s="5" t="str">
        <f>IF($G709="","",INDEX('Detalle individual'!$B:$B,$G709))</f>
        <v/>
      </c>
      <c r="B709" s="5" t="str">
        <f>IF($G709="","",INDEX('Detalle individual'!$A:$A,$G709))</f>
        <v/>
      </c>
      <c r="C709" s="5" t="str">
        <f>IF($G709="","",INDEX('Detalle individual'!$E:$E,$G709))</f>
        <v/>
      </c>
      <c r="D709" s="5" t="str">
        <f>IF($G709="","",INDEX('Detalle individual'!$C:$C,$G709))</f>
        <v/>
      </c>
      <c r="E709" s="5" t="str">
        <f>IF($G709="","",INDEX('Detalle individual'!$D:$D,$G709))</f>
        <v/>
      </c>
      <c r="G709" t="str">
        <f>IFERROR(MATCH(SMALL(Cálculos!$AH$5:$AH$1000,705),Cálculos!$AH$5:$AH$1000,0)+4,"")</f>
        <v/>
      </c>
    </row>
    <row r="710">
      <c r="A710" s="5" t="str">
        <f>IF($G710="","",INDEX('Detalle individual'!$B:$B,$G710))</f>
        <v/>
      </c>
      <c r="B710" s="5" t="str">
        <f>IF($G710="","",INDEX('Detalle individual'!$A:$A,$G710))</f>
        <v/>
      </c>
      <c r="C710" s="5" t="str">
        <f>IF($G710="","",INDEX('Detalle individual'!$E:$E,$G710))</f>
        <v/>
      </c>
      <c r="D710" s="5" t="str">
        <f>IF($G710="","",INDEX('Detalle individual'!$C:$C,$G710))</f>
        <v/>
      </c>
      <c r="E710" s="5" t="str">
        <f>IF($G710="","",INDEX('Detalle individual'!$D:$D,$G710))</f>
        <v/>
      </c>
      <c r="G710" t="str">
        <f>IFERROR(MATCH(SMALL(Cálculos!$AH$5:$AH$1000,706),Cálculos!$AH$5:$AH$1000,0)+4,"")</f>
        <v/>
      </c>
    </row>
    <row r="711">
      <c r="A711" s="5" t="str">
        <f>IF($G711="","",INDEX('Detalle individual'!$B:$B,$G711))</f>
        <v/>
      </c>
      <c r="B711" s="5" t="str">
        <f>IF($G711="","",INDEX('Detalle individual'!$A:$A,$G711))</f>
        <v/>
      </c>
      <c r="C711" s="5" t="str">
        <f>IF($G711="","",INDEX('Detalle individual'!$E:$E,$G711))</f>
        <v/>
      </c>
      <c r="D711" s="5" t="str">
        <f>IF($G711="","",INDEX('Detalle individual'!$C:$C,$G711))</f>
        <v/>
      </c>
      <c r="E711" s="5" t="str">
        <f>IF($G711="","",INDEX('Detalle individual'!$D:$D,$G711))</f>
        <v/>
      </c>
      <c r="G711" t="str">
        <f>IFERROR(MATCH(SMALL(Cálculos!$AH$5:$AH$1000,707),Cálculos!$AH$5:$AH$1000,0)+4,"")</f>
        <v/>
      </c>
    </row>
    <row r="712">
      <c r="A712" s="5" t="str">
        <f>IF($G712="","",INDEX('Detalle individual'!$B:$B,$G712))</f>
        <v/>
      </c>
      <c r="B712" s="5" t="str">
        <f>IF($G712="","",INDEX('Detalle individual'!$A:$A,$G712))</f>
        <v/>
      </c>
      <c r="C712" s="5" t="str">
        <f>IF($G712="","",INDEX('Detalle individual'!$E:$E,$G712))</f>
        <v/>
      </c>
      <c r="D712" s="5" t="str">
        <f>IF($G712="","",INDEX('Detalle individual'!$C:$C,$G712))</f>
        <v/>
      </c>
      <c r="E712" s="5" t="str">
        <f>IF($G712="","",INDEX('Detalle individual'!$D:$D,$G712))</f>
        <v/>
      </c>
      <c r="G712" t="str">
        <f>IFERROR(MATCH(SMALL(Cálculos!$AH$5:$AH$1000,708),Cálculos!$AH$5:$AH$1000,0)+4,"")</f>
        <v/>
      </c>
    </row>
    <row r="713">
      <c r="A713" s="5" t="str">
        <f>IF($G713="","",INDEX('Detalle individual'!$B:$B,$G713))</f>
        <v/>
      </c>
      <c r="B713" s="5" t="str">
        <f>IF($G713="","",INDEX('Detalle individual'!$A:$A,$G713))</f>
        <v/>
      </c>
      <c r="C713" s="5" t="str">
        <f>IF($G713="","",INDEX('Detalle individual'!$E:$E,$G713))</f>
        <v/>
      </c>
      <c r="D713" s="5" t="str">
        <f>IF($G713="","",INDEX('Detalle individual'!$C:$C,$G713))</f>
        <v/>
      </c>
      <c r="E713" s="5" t="str">
        <f>IF($G713="","",INDEX('Detalle individual'!$D:$D,$G713))</f>
        <v/>
      </c>
      <c r="G713" t="str">
        <f>IFERROR(MATCH(SMALL(Cálculos!$AH$5:$AH$1000,709),Cálculos!$AH$5:$AH$1000,0)+4,"")</f>
        <v/>
      </c>
    </row>
    <row r="714">
      <c r="A714" s="5" t="str">
        <f>IF($G714="","",INDEX('Detalle individual'!$B:$B,$G714))</f>
        <v/>
      </c>
      <c r="B714" s="5" t="str">
        <f>IF($G714="","",INDEX('Detalle individual'!$A:$A,$G714))</f>
        <v/>
      </c>
      <c r="C714" s="5" t="str">
        <f>IF($G714="","",INDEX('Detalle individual'!$E:$E,$G714))</f>
        <v/>
      </c>
      <c r="D714" s="5" t="str">
        <f>IF($G714="","",INDEX('Detalle individual'!$C:$C,$G714))</f>
        <v/>
      </c>
      <c r="E714" s="5" t="str">
        <f>IF($G714="","",INDEX('Detalle individual'!$D:$D,$G714))</f>
        <v/>
      </c>
      <c r="G714" t="str">
        <f>IFERROR(MATCH(SMALL(Cálculos!$AH$5:$AH$1000,710),Cálculos!$AH$5:$AH$1000,0)+4,"")</f>
        <v/>
      </c>
    </row>
    <row r="715">
      <c r="A715" s="5" t="str">
        <f>IF($G715="","",INDEX('Detalle individual'!$B:$B,$G715))</f>
        <v/>
      </c>
      <c r="B715" s="5" t="str">
        <f>IF($G715="","",INDEX('Detalle individual'!$A:$A,$G715))</f>
        <v/>
      </c>
      <c r="C715" s="5" t="str">
        <f>IF($G715="","",INDEX('Detalle individual'!$E:$E,$G715))</f>
        <v/>
      </c>
      <c r="D715" s="5" t="str">
        <f>IF($G715="","",INDEX('Detalle individual'!$C:$C,$G715))</f>
        <v/>
      </c>
      <c r="E715" s="5" t="str">
        <f>IF($G715="","",INDEX('Detalle individual'!$D:$D,$G715))</f>
        <v/>
      </c>
      <c r="G715" t="str">
        <f>IFERROR(MATCH(SMALL(Cálculos!$AH$5:$AH$1000,711),Cálculos!$AH$5:$AH$1000,0)+4,"")</f>
        <v/>
      </c>
    </row>
    <row r="716">
      <c r="A716" s="5" t="str">
        <f>IF($G716="","",INDEX('Detalle individual'!$B:$B,$G716))</f>
        <v/>
      </c>
      <c r="B716" s="5" t="str">
        <f>IF($G716="","",INDEX('Detalle individual'!$A:$A,$G716))</f>
        <v/>
      </c>
      <c r="C716" s="5" t="str">
        <f>IF($G716="","",INDEX('Detalle individual'!$E:$E,$G716))</f>
        <v/>
      </c>
      <c r="D716" s="5" t="str">
        <f>IF($G716="","",INDEX('Detalle individual'!$C:$C,$G716))</f>
        <v/>
      </c>
      <c r="E716" s="5" t="str">
        <f>IF($G716="","",INDEX('Detalle individual'!$D:$D,$G716))</f>
        <v/>
      </c>
      <c r="G716" t="str">
        <f>IFERROR(MATCH(SMALL(Cálculos!$AH$5:$AH$1000,712),Cálculos!$AH$5:$AH$1000,0)+4,"")</f>
        <v/>
      </c>
    </row>
    <row r="717">
      <c r="A717" s="5" t="str">
        <f>IF($G717="","",INDEX('Detalle individual'!$B:$B,$G717))</f>
        <v/>
      </c>
      <c r="B717" s="5" t="str">
        <f>IF($G717="","",INDEX('Detalle individual'!$A:$A,$G717))</f>
        <v/>
      </c>
      <c r="C717" s="5" t="str">
        <f>IF($G717="","",INDEX('Detalle individual'!$E:$E,$G717))</f>
        <v/>
      </c>
      <c r="D717" s="5" t="str">
        <f>IF($G717="","",INDEX('Detalle individual'!$C:$C,$G717))</f>
        <v/>
      </c>
      <c r="E717" s="5" t="str">
        <f>IF($G717="","",INDEX('Detalle individual'!$D:$D,$G717))</f>
        <v/>
      </c>
      <c r="G717" t="str">
        <f>IFERROR(MATCH(SMALL(Cálculos!$AH$5:$AH$1000,713),Cálculos!$AH$5:$AH$1000,0)+4,"")</f>
        <v/>
      </c>
    </row>
    <row r="718">
      <c r="A718" s="5" t="str">
        <f>IF($G718="","",INDEX('Detalle individual'!$B:$B,$G718))</f>
        <v/>
      </c>
      <c r="B718" s="5" t="str">
        <f>IF($G718="","",INDEX('Detalle individual'!$A:$A,$G718))</f>
        <v/>
      </c>
      <c r="C718" s="5" t="str">
        <f>IF($G718="","",INDEX('Detalle individual'!$E:$E,$G718))</f>
        <v/>
      </c>
      <c r="D718" s="5" t="str">
        <f>IF($G718="","",INDEX('Detalle individual'!$C:$C,$G718))</f>
        <v/>
      </c>
      <c r="E718" s="5" t="str">
        <f>IF($G718="","",INDEX('Detalle individual'!$D:$D,$G718))</f>
        <v/>
      </c>
      <c r="G718" t="str">
        <f>IFERROR(MATCH(SMALL(Cálculos!$AH$5:$AH$1000,714),Cálculos!$AH$5:$AH$1000,0)+4,"")</f>
        <v/>
      </c>
    </row>
    <row r="719">
      <c r="A719" s="5" t="str">
        <f>IF($G719="","",INDEX('Detalle individual'!$B:$B,$G719))</f>
        <v/>
      </c>
      <c r="B719" s="5" t="str">
        <f>IF($G719="","",INDEX('Detalle individual'!$A:$A,$G719))</f>
        <v/>
      </c>
      <c r="C719" s="5" t="str">
        <f>IF($G719="","",INDEX('Detalle individual'!$E:$E,$G719))</f>
        <v/>
      </c>
      <c r="D719" s="5" t="str">
        <f>IF($G719="","",INDEX('Detalle individual'!$C:$C,$G719))</f>
        <v/>
      </c>
      <c r="E719" s="5" t="str">
        <f>IF($G719="","",INDEX('Detalle individual'!$D:$D,$G719))</f>
        <v/>
      </c>
      <c r="G719" t="str">
        <f>IFERROR(MATCH(SMALL(Cálculos!$AH$5:$AH$1000,715),Cálculos!$AH$5:$AH$1000,0)+4,"")</f>
        <v/>
      </c>
    </row>
    <row r="720">
      <c r="A720" s="5" t="str">
        <f>IF($G720="","",INDEX('Detalle individual'!$B:$B,$G720))</f>
        <v/>
      </c>
      <c r="B720" s="5" t="str">
        <f>IF($G720="","",INDEX('Detalle individual'!$A:$A,$G720))</f>
        <v/>
      </c>
      <c r="C720" s="5" t="str">
        <f>IF($G720="","",INDEX('Detalle individual'!$E:$E,$G720))</f>
        <v/>
      </c>
      <c r="D720" s="5" t="str">
        <f>IF($G720="","",INDEX('Detalle individual'!$C:$C,$G720))</f>
        <v/>
      </c>
      <c r="E720" s="5" t="str">
        <f>IF($G720="","",INDEX('Detalle individual'!$D:$D,$G720))</f>
        <v/>
      </c>
      <c r="G720" t="str">
        <f>IFERROR(MATCH(SMALL(Cálculos!$AH$5:$AH$1000,716),Cálculos!$AH$5:$AH$1000,0)+4,"")</f>
        <v/>
      </c>
    </row>
    <row r="721">
      <c r="A721" s="5" t="str">
        <f>IF($G721="","",INDEX('Detalle individual'!$B:$B,$G721))</f>
        <v/>
      </c>
      <c r="B721" s="5" t="str">
        <f>IF($G721="","",INDEX('Detalle individual'!$A:$A,$G721))</f>
        <v/>
      </c>
      <c r="C721" s="5" t="str">
        <f>IF($G721="","",INDEX('Detalle individual'!$E:$E,$G721))</f>
        <v/>
      </c>
      <c r="D721" s="5" t="str">
        <f>IF($G721="","",INDEX('Detalle individual'!$C:$C,$G721))</f>
        <v/>
      </c>
      <c r="E721" s="5" t="str">
        <f>IF($G721="","",INDEX('Detalle individual'!$D:$D,$G721))</f>
        <v/>
      </c>
      <c r="G721" t="str">
        <f>IFERROR(MATCH(SMALL(Cálculos!$AH$5:$AH$1000,717),Cálculos!$AH$5:$AH$1000,0)+4,"")</f>
        <v/>
      </c>
    </row>
    <row r="722">
      <c r="A722" s="5" t="str">
        <f>IF($G722="","",INDEX('Detalle individual'!$B:$B,$G722))</f>
        <v/>
      </c>
      <c r="B722" s="5" t="str">
        <f>IF($G722="","",INDEX('Detalle individual'!$A:$A,$G722))</f>
        <v/>
      </c>
      <c r="C722" s="5" t="str">
        <f>IF($G722="","",INDEX('Detalle individual'!$E:$E,$G722))</f>
        <v/>
      </c>
      <c r="D722" s="5" t="str">
        <f>IF($G722="","",INDEX('Detalle individual'!$C:$C,$G722))</f>
        <v/>
      </c>
      <c r="E722" s="5" t="str">
        <f>IF($G722="","",INDEX('Detalle individual'!$D:$D,$G722))</f>
        <v/>
      </c>
      <c r="G722" t="str">
        <f>IFERROR(MATCH(SMALL(Cálculos!$AH$5:$AH$1000,718),Cálculos!$AH$5:$AH$1000,0)+4,"")</f>
        <v/>
      </c>
    </row>
    <row r="723">
      <c r="A723" s="5" t="str">
        <f>IF($G723="","",INDEX('Detalle individual'!$B:$B,$G723))</f>
        <v/>
      </c>
      <c r="B723" s="5" t="str">
        <f>IF($G723="","",INDEX('Detalle individual'!$A:$A,$G723))</f>
        <v/>
      </c>
      <c r="C723" s="5" t="str">
        <f>IF($G723="","",INDEX('Detalle individual'!$E:$E,$G723))</f>
        <v/>
      </c>
      <c r="D723" s="5" t="str">
        <f>IF($G723="","",INDEX('Detalle individual'!$C:$C,$G723))</f>
        <v/>
      </c>
      <c r="E723" s="5" t="str">
        <f>IF($G723="","",INDEX('Detalle individual'!$D:$D,$G723))</f>
        <v/>
      </c>
      <c r="G723" t="str">
        <f>IFERROR(MATCH(SMALL(Cálculos!$AH$5:$AH$1000,719),Cálculos!$AH$5:$AH$1000,0)+4,"")</f>
        <v/>
      </c>
    </row>
    <row r="724">
      <c r="A724" s="5" t="str">
        <f>IF($G724="","",INDEX('Detalle individual'!$B:$B,$G724))</f>
        <v/>
      </c>
      <c r="B724" s="5" t="str">
        <f>IF($G724="","",INDEX('Detalle individual'!$A:$A,$G724))</f>
        <v/>
      </c>
      <c r="C724" s="5" t="str">
        <f>IF($G724="","",INDEX('Detalle individual'!$E:$E,$G724))</f>
        <v/>
      </c>
      <c r="D724" s="5" t="str">
        <f>IF($G724="","",INDEX('Detalle individual'!$C:$C,$G724))</f>
        <v/>
      </c>
      <c r="E724" s="5" t="str">
        <f>IF($G724="","",INDEX('Detalle individual'!$D:$D,$G724))</f>
        <v/>
      </c>
      <c r="G724" t="str">
        <f>IFERROR(MATCH(SMALL(Cálculos!$AH$5:$AH$1000,720),Cálculos!$AH$5:$AH$1000,0)+4,"")</f>
        <v/>
      </c>
    </row>
    <row r="725">
      <c r="A725" s="5" t="str">
        <f>IF($G725="","",INDEX('Detalle individual'!$B:$B,$G725))</f>
        <v/>
      </c>
      <c r="B725" s="5" t="str">
        <f>IF($G725="","",INDEX('Detalle individual'!$A:$A,$G725))</f>
        <v/>
      </c>
      <c r="C725" s="5" t="str">
        <f>IF($G725="","",INDEX('Detalle individual'!$E:$E,$G725))</f>
        <v/>
      </c>
      <c r="D725" s="5" t="str">
        <f>IF($G725="","",INDEX('Detalle individual'!$C:$C,$G725))</f>
        <v/>
      </c>
      <c r="E725" s="5" t="str">
        <f>IF($G725="","",INDEX('Detalle individual'!$D:$D,$G725))</f>
        <v/>
      </c>
      <c r="G725" t="str">
        <f>IFERROR(MATCH(SMALL(Cálculos!$AH$5:$AH$1000,721),Cálculos!$AH$5:$AH$1000,0)+4,"")</f>
        <v/>
      </c>
    </row>
    <row r="726">
      <c r="A726" s="5" t="str">
        <f>IF($G726="","",INDEX('Detalle individual'!$B:$B,$G726))</f>
        <v/>
      </c>
      <c r="B726" s="5" t="str">
        <f>IF($G726="","",INDEX('Detalle individual'!$A:$A,$G726))</f>
        <v/>
      </c>
      <c r="C726" s="5" t="str">
        <f>IF($G726="","",INDEX('Detalle individual'!$E:$E,$G726))</f>
        <v/>
      </c>
      <c r="D726" s="5" t="str">
        <f>IF($G726="","",INDEX('Detalle individual'!$C:$C,$G726))</f>
        <v/>
      </c>
      <c r="E726" s="5" t="str">
        <f>IF($G726="","",INDEX('Detalle individual'!$D:$D,$G726))</f>
        <v/>
      </c>
      <c r="G726" t="str">
        <f>IFERROR(MATCH(SMALL(Cálculos!$AH$5:$AH$1000,722),Cálculos!$AH$5:$AH$1000,0)+4,"")</f>
        <v/>
      </c>
    </row>
    <row r="727">
      <c r="A727" s="5" t="str">
        <f>IF($G727="","",INDEX('Detalle individual'!$B:$B,$G727))</f>
        <v/>
      </c>
      <c r="B727" s="5" t="str">
        <f>IF($G727="","",INDEX('Detalle individual'!$A:$A,$G727))</f>
        <v/>
      </c>
      <c r="C727" s="5" t="str">
        <f>IF($G727="","",INDEX('Detalle individual'!$E:$E,$G727))</f>
        <v/>
      </c>
      <c r="D727" s="5" t="str">
        <f>IF($G727="","",INDEX('Detalle individual'!$C:$C,$G727))</f>
        <v/>
      </c>
      <c r="E727" s="5" t="str">
        <f>IF($G727="","",INDEX('Detalle individual'!$D:$D,$G727))</f>
        <v/>
      </c>
      <c r="G727" t="str">
        <f>IFERROR(MATCH(SMALL(Cálculos!$AH$5:$AH$1000,723),Cálculos!$AH$5:$AH$1000,0)+4,"")</f>
        <v/>
      </c>
    </row>
    <row r="728">
      <c r="A728" s="5" t="str">
        <f>IF($G728="","",INDEX('Detalle individual'!$B:$B,$G728))</f>
        <v/>
      </c>
      <c r="B728" s="5" t="str">
        <f>IF($G728="","",INDEX('Detalle individual'!$A:$A,$G728))</f>
        <v/>
      </c>
      <c r="C728" s="5" t="str">
        <f>IF($G728="","",INDEX('Detalle individual'!$E:$E,$G728))</f>
        <v/>
      </c>
      <c r="D728" s="5" t="str">
        <f>IF($G728="","",INDEX('Detalle individual'!$C:$C,$G728))</f>
        <v/>
      </c>
      <c r="E728" s="5" t="str">
        <f>IF($G728="","",INDEX('Detalle individual'!$D:$D,$G728))</f>
        <v/>
      </c>
      <c r="G728" t="str">
        <f>IFERROR(MATCH(SMALL(Cálculos!$AH$5:$AH$1000,724),Cálculos!$AH$5:$AH$1000,0)+4,"")</f>
        <v/>
      </c>
    </row>
    <row r="729">
      <c r="A729" s="5" t="str">
        <f>IF($G729="","",INDEX('Detalle individual'!$B:$B,$G729))</f>
        <v/>
      </c>
      <c r="B729" s="5" t="str">
        <f>IF($G729="","",INDEX('Detalle individual'!$A:$A,$G729))</f>
        <v/>
      </c>
      <c r="C729" s="5" t="str">
        <f>IF($G729="","",INDEX('Detalle individual'!$E:$E,$G729))</f>
        <v/>
      </c>
      <c r="D729" s="5" t="str">
        <f>IF($G729="","",INDEX('Detalle individual'!$C:$C,$G729))</f>
        <v/>
      </c>
      <c r="E729" s="5" t="str">
        <f>IF($G729="","",INDEX('Detalle individual'!$D:$D,$G729))</f>
        <v/>
      </c>
      <c r="G729" t="str">
        <f>IFERROR(MATCH(SMALL(Cálculos!$AH$5:$AH$1000,725),Cálculos!$AH$5:$AH$1000,0)+4,"")</f>
        <v/>
      </c>
    </row>
    <row r="730">
      <c r="A730" s="5" t="str">
        <f>IF($G730="","",INDEX('Detalle individual'!$B:$B,$G730))</f>
        <v/>
      </c>
      <c r="B730" s="5" t="str">
        <f>IF($G730="","",INDEX('Detalle individual'!$A:$A,$G730))</f>
        <v/>
      </c>
      <c r="C730" s="5" t="str">
        <f>IF($G730="","",INDEX('Detalle individual'!$E:$E,$G730))</f>
        <v/>
      </c>
      <c r="D730" s="5" t="str">
        <f>IF($G730="","",INDEX('Detalle individual'!$C:$C,$G730))</f>
        <v/>
      </c>
      <c r="E730" s="5" t="str">
        <f>IF($G730="","",INDEX('Detalle individual'!$D:$D,$G730))</f>
        <v/>
      </c>
      <c r="G730" t="str">
        <f>IFERROR(MATCH(SMALL(Cálculos!$AH$5:$AH$1000,726),Cálculos!$AH$5:$AH$1000,0)+4,"")</f>
        <v/>
      </c>
    </row>
    <row r="731">
      <c r="A731" s="5" t="str">
        <f>IF($G731="","",INDEX('Detalle individual'!$B:$B,$G731))</f>
        <v/>
      </c>
      <c r="B731" s="5" t="str">
        <f>IF($G731="","",INDEX('Detalle individual'!$A:$A,$G731))</f>
        <v/>
      </c>
      <c r="C731" s="5" t="str">
        <f>IF($G731="","",INDEX('Detalle individual'!$E:$E,$G731))</f>
        <v/>
      </c>
      <c r="D731" s="5" t="str">
        <f>IF($G731="","",INDEX('Detalle individual'!$C:$C,$G731))</f>
        <v/>
      </c>
      <c r="E731" s="5" t="str">
        <f>IF($G731="","",INDEX('Detalle individual'!$D:$D,$G731))</f>
        <v/>
      </c>
      <c r="G731" t="str">
        <f>IFERROR(MATCH(SMALL(Cálculos!$AH$5:$AH$1000,727),Cálculos!$AH$5:$AH$1000,0)+4,"")</f>
        <v/>
      </c>
    </row>
    <row r="732">
      <c r="A732" s="5" t="str">
        <f>IF($G732="","",INDEX('Detalle individual'!$B:$B,$G732))</f>
        <v/>
      </c>
      <c r="B732" s="5" t="str">
        <f>IF($G732="","",INDEX('Detalle individual'!$A:$A,$G732))</f>
        <v/>
      </c>
      <c r="C732" s="5" t="str">
        <f>IF($G732="","",INDEX('Detalle individual'!$E:$E,$G732))</f>
        <v/>
      </c>
      <c r="D732" s="5" t="str">
        <f>IF($G732="","",INDEX('Detalle individual'!$C:$C,$G732))</f>
        <v/>
      </c>
      <c r="E732" s="5" t="str">
        <f>IF($G732="","",INDEX('Detalle individual'!$D:$D,$G732))</f>
        <v/>
      </c>
      <c r="G732" t="str">
        <f>IFERROR(MATCH(SMALL(Cálculos!$AH$5:$AH$1000,728),Cálculos!$AH$5:$AH$1000,0)+4,"")</f>
        <v/>
      </c>
    </row>
    <row r="733">
      <c r="A733" s="5" t="str">
        <f>IF($G733="","",INDEX('Detalle individual'!$B:$B,$G733))</f>
        <v/>
      </c>
      <c r="B733" s="5" t="str">
        <f>IF($G733="","",INDEX('Detalle individual'!$A:$A,$G733))</f>
        <v/>
      </c>
      <c r="C733" s="5" t="str">
        <f>IF($G733="","",INDEX('Detalle individual'!$E:$E,$G733))</f>
        <v/>
      </c>
      <c r="D733" s="5" t="str">
        <f>IF($G733="","",INDEX('Detalle individual'!$C:$C,$G733))</f>
        <v/>
      </c>
      <c r="E733" s="5" t="str">
        <f>IF($G733="","",INDEX('Detalle individual'!$D:$D,$G733))</f>
        <v/>
      </c>
      <c r="G733" t="str">
        <f>IFERROR(MATCH(SMALL(Cálculos!$AH$5:$AH$1000,729),Cálculos!$AH$5:$AH$1000,0)+4,"")</f>
        <v/>
      </c>
    </row>
    <row r="734">
      <c r="A734" s="5" t="str">
        <f>IF($G734="","",INDEX('Detalle individual'!$B:$B,$G734))</f>
        <v/>
      </c>
      <c r="B734" s="5" t="str">
        <f>IF($G734="","",INDEX('Detalle individual'!$A:$A,$G734))</f>
        <v/>
      </c>
      <c r="C734" s="5" t="str">
        <f>IF($G734="","",INDEX('Detalle individual'!$E:$E,$G734))</f>
        <v/>
      </c>
      <c r="D734" s="5" t="str">
        <f>IF($G734="","",INDEX('Detalle individual'!$C:$C,$G734))</f>
        <v/>
      </c>
      <c r="E734" s="5" t="str">
        <f>IF($G734="","",INDEX('Detalle individual'!$D:$D,$G734))</f>
        <v/>
      </c>
      <c r="G734" t="str">
        <f>IFERROR(MATCH(SMALL(Cálculos!$AH$5:$AH$1000,730),Cálculos!$AH$5:$AH$1000,0)+4,"")</f>
        <v/>
      </c>
    </row>
    <row r="735">
      <c r="A735" s="5" t="str">
        <f>IF($G735="","",INDEX('Detalle individual'!$B:$B,$G735))</f>
        <v/>
      </c>
      <c r="B735" s="5" t="str">
        <f>IF($G735="","",INDEX('Detalle individual'!$A:$A,$G735))</f>
        <v/>
      </c>
      <c r="C735" s="5" t="str">
        <f>IF($G735="","",INDEX('Detalle individual'!$E:$E,$G735))</f>
        <v/>
      </c>
      <c r="D735" s="5" t="str">
        <f>IF($G735="","",INDEX('Detalle individual'!$C:$C,$G735))</f>
        <v/>
      </c>
      <c r="E735" s="5" t="str">
        <f>IF($G735="","",INDEX('Detalle individual'!$D:$D,$G735))</f>
        <v/>
      </c>
      <c r="G735" t="str">
        <f>IFERROR(MATCH(SMALL(Cálculos!$AH$5:$AH$1000,731),Cálculos!$AH$5:$AH$1000,0)+4,"")</f>
        <v/>
      </c>
    </row>
    <row r="736">
      <c r="A736" s="5" t="str">
        <f>IF($G736="","",INDEX('Detalle individual'!$B:$B,$G736))</f>
        <v/>
      </c>
      <c r="B736" s="5" t="str">
        <f>IF($G736="","",INDEX('Detalle individual'!$A:$A,$G736))</f>
        <v/>
      </c>
      <c r="C736" s="5" t="str">
        <f>IF($G736="","",INDEX('Detalle individual'!$E:$E,$G736))</f>
        <v/>
      </c>
      <c r="D736" s="5" t="str">
        <f>IF($G736="","",INDEX('Detalle individual'!$C:$C,$G736))</f>
        <v/>
      </c>
      <c r="E736" s="5" t="str">
        <f>IF($G736="","",INDEX('Detalle individual'!$D:$D,$G736))</f>
        <v/>
      </c>
      <c r="G736" t="str">
        <f>IFERROR(MATCH(SMALL(Cálculos!$AH$5:$AH$1000,732),Cálculos!$AH$5:$AH$1000,0)+4,"")</f>
        <v/>
      </c>
    </row>
    <row r="737">
      <c r="A737" s="5" t="str">
        <f>IF($G737="","",INDEX('Detalle individual'!$B:$B,$G737))</f>
        <v/>
      </c>
      <c r="B737" s="5" t="str">
        <f>IF($G737="","",INDEX('Detalle individual'!$A:$A,$G737))</f>
        <v/>
      </c>
      <c r="C737" s="5" t="str">
        <f>IF($G737="","",INDEX('Detalle individual'!$E:$E,$G737))</f>
        <v/>
      </c>
      <c r="D737" s="5" t="str">
        <f>IF($G737="","",INDEX('Detalle individual'!$C:$C,$G737))</f>
        <v/>
      </c>
      <c r="E737" s="5" t="str">
        <f>IF($G737="","",INDEX('Detalle individual'!$D:$D,$G737))</f>
        <v/>
      </c>
      <c r="G737" t="str">
        <f>IFERROR(MATCH(SMALL(Cálculos!$AH$5:$AH$1000,733),Cálculos!$AH$5:$AH$1000,0)+4,"")</f>
        <v/>
      </c>
    </row>
    <row r="738">
      <c r="A738" s="5" t="str">
        <f>IF($G738="","",INDEX('Detalle individual'!$B:$B,$G738))</f>
        <v/>
      </c>
      <c r="B738" s="5" t="str">
        <f>IF($G738="","",INDEX('Detalle individual'!$A:$A,$G738))</f>
        <v/>
      </c>
      <c r="C738" s="5" t="str">
        <f>IF($G738="","",INDEX('Detalle individual'!$E:$E,$G738))</f>
        <v/>
      </c>
      <c r="D738" s="5" t="str">
        <f>IF($G738="","",INDEX('Detalle individual'!$C:$C,$G738))</f>
        <v/>
      </c>
      <c r="E738" s="5" t="str">
        <f>IF($G738="","",INDEX('Detalle individual'!$D:$D,$G738))</f>
        <v/>
      </c>
      <c r="G738" t="str">
        <f>IFERROR(MATCH(SMALL(Cálculos!$AH$5:$AH$1000,734),Cálculos!$AH$5:$AH$1000,0)+4,"")</f>
        <v/>
      </c>
    </row>
    <row r="739">
      <c r="A739" s="5" t="str">
        <f>IF($G739="","",INDEX('Detalle individual'!$B:$B,$G739))</f>
        <v/>
      </c>
      <c r="B739" s="5" t="str">
        <f>IF($G739="","",INDEX('Detalle individual'!$A:$A,$G739))</f>
        <v/>
      </c>
      <c r="C739" s="5" t="str">
        <f>IF($G739="","",INDEX('Detalle individual'!$E:$E,$G739))</f>
        <v/>
      </c>
      <c r="D739" s="5" t="str">
        <f>IF($G739="","",INDEX('Detalle individual'!$C:$C,$G739))</f>
        <v/>
      </c>
      <c r="E739" s="5" t="str">
        <f>IF($G739="","",INDEX('Detalle individual'!$D:$D,$G739))</f>
        <v/>
      </c>
      <c r="G739" t="str">
        <f>IFERROR(MATCH(SMALL(Cálculos!$AH$5:$AH$1000,735),Cálculos!$AH$5:$AH$1000,0)+4,"")</f>
        <v/>
      </c>
    </row>
    <row r="740">
      <c r="A740" s="5" t="str">
        <f>IF($G740="","",INDEX('Detalle individual'!$B:$B,$G740))</f>
        <v/>
      </c>
      <c r="B740" s="5" t="str">
        <f>IF($G740="","",INDEX('Detalle individual'!$A:$A,$G740))</f>
        <v/>
      </c>
      <c r="C740" s="5" t="str">
        <f>IF($G740="","",INDEX('Detalle individual'!$E:$E,$G740))</f>
        <v/>
      </c>
      <c r="D740" s="5" t="str">
        <f>IF($G740="","",INDEX('Detalle individual'!$C:$C,$G740))</f>
        <v/>
      </c>
      <c r="E740" s="5" t="str">
        <f>IF($G740="","",INDEX('Detalle individual'!$D:$D,$G740))</f>
        <v/>
      </c>
      <c r="G740" t="str">
        <f>IFERROR(MATCH(SMALL(Cálculos!$AH$5:$AH$1000,736),Cálculos!$AH$5:$AH$1000,0)+4,"")</f>
        <v/>
      </c>
    </row>
    <row r="741">
      <c r="A741" s="5" t="str">
        <f>IF($G741="","",INDEX('Detalle individual'!$B:$B,$G741))</f>
        <v/>
      </c>
      <c r="B741" s="5" t="str">
        <f>IF($G741="","",INDEX('Detalle individual'!$A:$A,$G741))</f>
        <v/>
      </c>
      <c r="C741" s="5" t="str">
        <f>IF($G741="","",INDEX('Detalle individual'!$E:$E,$G741))</f>
        <v/>
      </c>
      <c r="D741" s="5" t="str">
        <f>IF($G741="","",INDEX('Detalle individual'!$C:$C,$G741))</f>
        <v/>
      </c>
      <c r="E741" s="5" t="str">
        <f>IF($G741="","",INDEX('Detalle individual'!$D:$D,$G741))</f>
        <v/>
      </c>
      <c r="G741" t="str">
        <f>IFERROR(MATCH(SMALL(Cálculos!$AH$5:$AH$1000,737),Cálculos!$AH$5:$AH$1000,0)+4,"")</f>
        <v/>
      </c>
    </row>
    <row r="742">
      <c r="A742" s="5" t="str">
        <f>IF($G742="","",INDEX('Detalle individual'!$B:$B,$G742))</f>
        <v/>
      </c>
      <c r="B742" s="5" t="str">
        <f>IF($G742="","",INDEX('Detalle individual'!$A:$A,$G742))</f>
        <v/>
      </c>
      <c r="C742" s="5" t="str">
        <f>IF($G742="","",INDEX('Detalle individual'!$E:$E,$G742))</f>
        <v/>
      </c>
      <c r="D742" s="5" t="str">
        <f>IF($G742="","",INDEX('Detalle individual'!$C:$C,$G742))</f>
        <v/>
      </c>
      <c r="E742" s="5" t="str">
        <f>IF($G742="","",INDEX('Detalle individual'!$D:$D,$G742))</f>
        <v/>
      </c>
      <c r="G742" t="str">
        <f>IFERROR(MATCH(SMALL(Cálculos!$AH$5:$AH$1000,738),Cálculos!$AH$5:$AH$1000,0)+4,"")</f>
        <v/>
      </c>
    </row>
    <row r="743">
      <c r="A743" s="5" t="str">
        <f>IF($G743="","",INDEX('Detalle individual'!$B:$B,$G743))</f>
        <v/>
      </c>
      <c r="B743" s="5" t="str">
        <f>IF($G743="","",INDEX('Detalle individual'!$A:$A,$G743))</f>
        <v/>
      </c>
      <c r="C743" s="5" t="str">
        <f>IF($G743="","",INDEX('Detalle individual'!$E:$E,$G743))</f>
        <v/>
      </c>
      <c r="D743" s="5" t="str">
        <f>IF($G743="","",INDEX('Detalle individual'!$C:$C,$G743))</f>
        <v/>
      </c>
      <c r="E743" s="5" t="str">
        <f>IF($G743="","",INDEX('Detalle individual'!$D:$D,$G743))</f>
        <v/>
      </c>
      <c r="G743" t="str">
        <f>IFERROR(MATCH(SMALL(Cálculos!$AH$5:$AH$1000,739),Cálculos!$AH$5:$AH$1000,0)+4,"")</f>
        <v/>
      </c>
    </row>
    <row r="744">
      <c r="A744" s="5" t="str">
        <f>IF($G744="","",INDEX('Detalle individual'!$B:$B,$G744))</f>
        <v/>
      </c>
      <c r="B744" s="5" t="str">
        <f>IF($G744="","",INDEX('Detalle individual'!$A:$A,$G744))</f>
        <v/>
      </c>
      <c r="C744" s="5" t="str">
        <f>IF($G744="","",INDEX('Detalle individual'!$E:$E,$G744))</f>
        <v/>
      </c>
      <c r="D744" s="5" t="str">
        <f>IF($G744="","",INDEX('Detalle individual'!$C:$C,$G744))</f>
        <v/>
      </c>
      <c r="E744" s="5" t="str">
        <f>IF($G744="","",INDEX('Detalle individual'!$D:$D,$G744))</f>
        <v/>
      </c>
      <c r="G744" t="str">
        <f>IFERROR(MATCH(SMALL(Cálculos!$AH$5:$AH$1000,740),Cálculos!$AH$5:$AH$1000,0)+4,"")</f>
        <v/>
      </c>
    </row>
    <row r="745">
      <c r="A745" s="5" t="str">
        <f>IF($G745="","",INDEX('Detalle individual'!$B:$B,$G745))</f>
        <v/>
      </c>
      <c r="B745" s="5" t="str">
        <f>IF($G745="","",INDEX('Detalle individual'!$A:$A,$G745))</f>
        <v/>
      </c>
      <c r="C745" s="5" t="str">
        <f>IF($G745="","",INDEX('Detalle individual'!$E:$E,$G745))</f>
        <v/>
      </c>
      <c r="D745" s="5" t="str">
        <f>IF($G745="","",INDEX('Detalle individual'!$C:$C,$G745))</f>
        <v/>
      </c>
      <c r="E745" s="5" t="str">
        <f>IF($G745="","",INDEX('Detalle individual'!$D:$D,$G745))</f>
        <v/>
      </c>
      <c r="G745" t="str">
        <f>IFERROR(MATCH(SMALL(Cálculos!$AH$5:$AH$1000,741),Cálculos!$AH$5:$AH$1000,0)+4,"")</f>
        <v/>
      </c>
    </row>
    <row r="746">
      <c r="A746" s="5" t="str">
        <f>IF($G746="","",INDEX('Detalle individual'!$B:$B,$G746))</f>
        <v/>
      </c>
      <c r="B746" s="5" t="str">
        <f>IF($G746="","",INDEX('Detalle individual'!$A:$A,$G746))</f>
        <v/>
      </c>
      <c r="C746" s="5" t="str">
        <f>IF($G746="","",INDEX('Detalle individual'!$E:$E,$G746))</f>
        <v/>
      </c>
      <c r="D746" s="5" t="str">
        <f>IF($G746="","",INDEX('Detalle individual'!$C:$C,$G746))</f>
        <v/>
      </c>
      <c r="E746" s="5" t="str">
        <f>IF($G746="","",INDEX('Detalle individual'!$D:$D,$G746))</f>
        <v/>
      </c>
      <c r="G746" t="str">
        <f>IFERROR(MATCH(SMALL(Cálculos!$AH$5:$AH$1000,742),Cálculos!$AH$5:$AH$1000,0)+4,"")</f>
        <v/>
      </c>
    </row>
    <row r="747">
      <c r="A747" s="5" t="str">
        <f>IF($G747="","",INDEX('Detalle individual'!$B:$B,$G747))</f>
        <v/>
      </c>
      <c r="B747" s="5" t="str">
        <f>IF($G747="","",INDEX('Detalle individual'!$A:$A,$G747))</f>
        <v/>
      </c>
      <c r="C747" s="5" t="str">
        <f>IF($G747="","",INDEX('Detalle individual'!$E:$E,$G747))</f>
        <v/>
      </c>
      <c r="D747" s="5" t="str">
        <f>IF($G747="","",INDEX('Detalle individual'!$C:$C,$G747))</f>
        <v/>
      </c>
      <c r="E747" s="5" t="str">
        <f>IF($G747="","",INDEX('Detalle individual'!$D:$D,$G747))</f>
        <v/>
      </c>
      <c r="G747" t="str">
        <f>IFERROR(MATCH(SMALL(Cálculos!$AH$5:$AH$1000,743),Cálculos!$AH$5:$AH$1000,0)+4,"")</f>
        <v/>
      </c>
    </row>
    <row r="748">
      <c r="A748" s="5" t="str">
        <f>IF($G748="","",INDEX('Detalle individual'!$B:$B,$G748))</f>
        <v/>
      </c>
      <c r="B748" s="5" t="str">
        <f>IF($G748="","",INDEX('Detalle individual'!$A:$A,$G748))</f>
        <v/>
      </c>
      <c r="C748" s="5" t="str">
        <f>IF($G748="","",INDEX('Detalle individual'!$E:$E,$G748))</f>
        <v/>
      </c>
      <c r="D748" s="5" t="str">
        <f>IF($G748="","",INDEX('Detalle individual'!$C:$C,$G748))</f>
        <v/>
      </c>
      <c r="E748" s="5" t="str">
        <f>IF($G748="","",INDEX('Detalle individual'!$D:$D,$G748))</f>
        <v/>
      </c>
      <c r="G748" t="str">
        <f>IFERROR(MATCH(SMALL(Cálculos!$AH$5:$AH$1000,744),Cálculos!$AH$5:$AH$1000,0)+4,"")</f>
        <v/>
      </c>
    </row>
    <row r="749">
      <c r="A749" s="5" t="str">
        <f>IF($G749="","",INDEX('Detalle individual'!$B:$B,$G749))</f>
        <v/>
      </c>
      <c r="B749" s="5" t="str">
        <f>IF($G749="","",INDEX('Detalle individual'!$A:$A,$G749))</f>
        <v/>
      </c>
      <c r="C749" s="5" t="str">
        <f>IF($G749="","",INDEX('Detalle individual'!$E:$E,$G749))</f>
        <v/>
      </c>
      <c r="D749" s="5" t="str">
        <f>IF($G749="","",INDEX('Detalle individual'!$C:$C,$G749))</f>
        <v/>
      </c>
      <c r="E749" s="5" t="str">
        <f>IF($G749="","",INDEX('Detalle individual'!$D:$D,$G749))</f>
        <v/>
      </c>
      <c r="G749" t="str">
        <f>IFERROR(MATCH(SMALL(Cálculos!$AH$5:$AH$1000,745),Cálculos!$AH$5:$AH$1000,0)+4,"")</f>
        <v/>
      </c>
    </row>
    <row r="750">
      <c r="A750" s="5" t="str">
        <f>IF($G750="","",INDEX('Detalle individual'!$B:$B,$G750))</f>
        <v/>
      </c>
      <c r="B750" s="5" t="str">
        <f>IF($G750="","",INDEX('Detalle individual'!$A:$A,$G750))</f>
        <v/>
      </c>
      <c r="C750" s="5" t="str">
        <f>IF($G750="","",INDEX('Detalle individual'!$E:$E,$G750))</f>
        <v/>
      </c>
      <c r="D750" s="5" t="str">
        <f>IF($G750="","",INDEX('Detalle individual'!$C:$C,$G750))</f>
        <v/>
      </c>
      <c r="E750" s="5" t="str">
        <f>IF($G750="","",INDEX('Detalle individual'!$D:$D,$G750))</f>
        <v/>
      </c>
      <c r="G750" t="str">
        <f>IFERROR(MATCH(SMALL(Cálculos!$AH$5:$AH$1000,746),Cálculos!$AH$5:$AH$1000,0)+4,"")</f>
        <v/>
      </c>
    </row>
    <row r="751">
      <c r="A751" s="5" t="str">
        <f>IF($G751="","",INDEX('Detalle individual'!$B:$B,$G751))</f>
        <v/>
      </c>
      <c r="B751" s="5" t="str">
        <f>IF($G751="","",INDEX('Detalle individual'!$A:$A,$G751))</f>
        <v/>
      </c>
      <c r="C751" s="5" t="str">
        <f>IF($G751="","",INDEX('Detalle individual'!$E:$E,$G751))</f>
        <v/>
      </c>
      <c r="D751" s="5" t="str">
        <f>IF($G751="","",INDEX('Detalle individual'!$C:$C,$G751))</f>
        <v/>
      </c>
      <c r="E751" s="5" t="str">
        <f>IF($G751="","",INDEX('Detalle individual'!$D:$D,$G751))</f>
        <v/>
      </c>
      <c r="G751" t="str">
        <f>IFERROR(MATCH(SMALL(Cálculos!$AH$5:$AH$1000,747),Cálculos!$AH$5:$AH$1000,0)+4,"")</f>
        <v/>
      </c>
    </row>
    <row r="752">
      <c r="A752" s="5" t="str">
        <f>IF($G752="","",INDEX('Detalle individual'!$B:$B,$G752))</f>
        <v/>
      </c>
      <c r="B752" s="5" t="str">
        <f>IF($G752="","",INDEX('Detalle individual'!$A:$A,$G752))</f>
        <v/>
      </c>
      <c r="C752" s="5" t="str">
        <f>IF($G752="","",INDEX('Detalle individual'!$E:$E,$G752))</f>
        <v/>
      </c>
      <c r="D752" s="5" t="str">
        <f>IF($G752="","",INDEX('Detalle individual'!$C:$C,$G752))</f>
        <v/>
      </c>
      <c r="E752" s="5" t="str">
        <f>IF($G752="","",INDEX('Detalle individual'!$D:$D,$G752))</f>
        <v/>
      </c>
      <c r="G752" t="str">
        <f>IFERROR(MATCH(SMALL(Cálculos!$AH$5:$AH$1000,748),Cálculos!$AH$5:$AH$1000,0)+4,"")</f>
        <v/>
      </c>
    </row>
    <row r="753">
      <c r="A753" s="5" t="str">
        <f>IF($G753="","",INDEX('Detalle individual'!$B:$B,$G753))</f>
        <v/>
      </c>
      <c r="B753" s="5" t="str">
        <f>IF($G753="","",INDEX('Detalle individual'!$A:$A,$G753))</f>
        <v/>
      </c>
      <c r="C753" s="5" t="str">
        <f>IF($G753="","",INDEX('Detalle individual'!$E:$E,$G753))</f>
        <v/>
      </c>
      <c r="D753" s="5" t="str">
        <f>IF($G753="","",INDEX('Detalle individual'!$C:$C,$G753))</f>
        <v/>
      </c>
      <c r="E753" s="5" t="str">
        <f>IF($G753="","",INDEX('Detalle individual'!$D:$D,$G753))</f>
        <v/>
      </c>
      <c r="G753" t="str">
        <f>IFERROR(MATCH(SMALL(Cálculos!$AH$5:$AH$1000,749),Cálculos!$AH$5:$AH$1000,0)+4,"")</f>
        <v/>
      </c>
    </row>
    <row r="754">
      <c r="A754" s="5" t="str">
        <f>IF($G754="","",INDEX('Detalle individual'!$B:$B,$G754))</f>
        <v/>
      </c>
      <c r="B754" s="5" t="str">
        <f>IF($G754="","",INDEX('Detalle individual'!$A:$A,$G754))</f>
        <v/>
      </c>
      <c r="C754" s="5" t="str">
        <f>IF($G754="","",INDEX('Detalle individual'!$E:$E,$G754))</f>
        <v/>
      </c>
      <c r="D754" s="5" t="str">
        <f>IF($G754="","",INDEX('Detalle individual'!$C:$C,$G754))</f>
        <v/>
      </c>
      <c r="E754" s="5" t="str">
        <f>IF($G754="","",INDEX('Detalle individual'!$D:$D,$G754))</f>
        <v/>
      </c>
      <c r="G754" t="str">
        <f>IFERROR(MATCH(SMALL(Cálculos!$AH$5:$AH$1000,750),Cálculos!$AH$5:$AH$1000,0)+4,"")</f>
        <v/>
      </c>
    </row>
    <row r="755">
      <c r="A755" s="5" t="str">
        <f>IF($G755="","",INDEX('Detalle individual'!$B:$B,$G755))</f>
        <v/>
      </c>
      <c r="B755" s="5" t="str">
        <f>IF($G755="","",INDEX('Detalle individual'!$A:$A,$G755))</f>
        <v/>
      </c>
      <c r="C755" s="5" t="str">
        <f>IF($G755="","",INDEX('Detalle individual'!$E:$E,$G755))</f>
        <v/>
      </c>
      <c r="D755" s="5" t="str">
        <f>IF($G755="","",INDEX('Detalle individual'!$C:$C,$G755))</f>
        <v/>
      </c>
      <c r="E755" s="5" t="str">
        <f>IF($G755="","",INDEX('Detalle individual'!$D:$D,$G755))</f>
        <v/>
      </c>
      <c r="G755" t="str">
        <f>IFERROR(MATCH(SMALL(Cálculos!$AH$5:$AH$1000,751),Cálculos!$AH$5:$AH$1000,0)+4,"")</f>
        <v/>
      </c>
    </row>
    <row r="756">
      <c r="A756" s="5" t="str">
        <f>IF($G756="","",INDEX('Detalle individual'!$B:$B,$G756))</f>
        <v/>
      </c>
      <c r="B756" s="5" t="str">
        <f>IF($G756="","",INDEX('Detalle individual'!$A:$A,$G756))</f>
        <v/>
      </c>
      <c r="C756" s="5" t="str">
        <f>IF($G756="","",INDEX('Detalle individual'!$E:$E,$G756))</f>
        <v/>
      </c>
      <c r="D756" s="5" t="str">
        <f>IF($G756="","",INDEX('Detalle individual'!$C:$C,$G756))</f>
        <v/>
      </c>
      <c r="E756" s="5" t="str">
        <f>IF($G756="","",INDEX('Detalle individual'!$D:$D,$G756))</f>
        <v/>
      </c>
      <c r="G756" t="str">
        <f>IFERROR(MATCH(SMALL(Cálculos!$AH$5:$AH$1000,752),Cálculos!$AH$5:$AH$1000,0)+4,"")</f>
        <v/>
      </c>
    </row>
    <row r="757">
      <c r="A757" s="5" t="str">
        <f>IF($G757="","",INDEX('Detalle individual'!$B:$B,$G757))</f>
        <v/>
      </c>
      <c r="B757" s="5" t="str">
        <f>IF($G757="","",INDEX('Detalle individual'!$A:$A,$G757))</f>
        <v/>
      </c>
      <c r="C757" s="5" t="str">
        <f>IF($G757="","",INDEX('Detalle individual'!$E:$E,$G757))</f>
        <v/>
      </c>
      <c r="D757" s="5" t="str">
        <f>IF($G757="","",INDEX('Detalle individual'!$C:$C,$G757))</f>
        <v/>
      </c>
      <c r="E757" s="5" t="str">
        <f>IF($G757="","",INDEX('Detalle individual'!$D:$D,$G757))</f>
        <v/>
      </c>
      <c r="G757" t="str">
        <f>IFERROR(MATCH(SMALL(Cálculos!$AH$5:$AH$1000,753),Cálculos!$AH$5:$AH$1000,0)+4,"")</f>
        <v/>
      </c>
    </row>
    <row r="758">
      <c r="A758" s="5" t="str">
        <f>IF($G758="","",INDEX('Detalle individual'!$B:$B,$G758))</f>
        <v/>
      </c>
      <c r="B758" s="5" t="str">
        <f>IF($G758="","",INDEX('Detalle individual'!$A:$A,$G758))</f>
        <v/>
      </c>
      <c r="C758" s="5" t="str">
        <f>IF($G758="","",INDEX('Detalle individual'!$E:$E,$G758))</f>
        <v/>
      </c>
      <c r="D758" s="5" t="str">
        <f>IF($G758="","",INDEX('Detalle individual'!$C:$C,$G758))</f>
        <v/>
      </c>
      <c r="E758" s="5" t="str">
        <f>IF($G758="","",INDEX('Detalle individual'!$D:$D,$G758))</f>
        <v/>
      </c>
      <c r="G758" t="str">
        <f>IFERROR(MATCH(SMALL(Cálculos!$AH$5:$AH$1000,754),Cálculos!$AH$5:$AH$1000,0)+4,"")</f>
        <v/>
      </c>
    </row>
    <row r="759">
      <c r="A759" s="5" t="str">
        <f>IF($G759="","",INDEX('Detalle individual'!$B:$B,$G759))</f>
        <v/>
      </c>
      <c r="B759" s="5" t="str">
        <f>IF($G759="","",INDEX('Detalle individual'!$A:$A,$G759))</f>
        <v/>
      </c>
      <c r="C759" s="5" t="str">
        <f>IF($G759="","",INDEX('Detalle individual'!$E:$E,$G759))</f>
        <v/>
      </c>
      <c r="D759" s="5" t="str">
        <f>IF($G759="","",INDEX('Detalle individual'!$C:$C,$G759))</f>
        <v/>
      </c>
      <c r="E759" s="5" t="str">
        <f>IF($G759="","",INDEX('Detalle individual'!$D:$D,$G759))</f>
        <v/>
      </c>
      <c r="G759" t="str">
        <f>IFERROR(MATCH(SMALL(Cálculos!$AH$5:$AH$1000,755),Cálculos!$AH$5:$AH$1000,0)+4,"")</f>
        <v/>
      </c>
    </row>
    <row r="760">
      <c r="A760" s="5" t="str">
        <f>IF($G760="","",INDEX('Detalle individual'!$B:$B,$G760))</f>
        <v/>
      </c>
      <c r="B760" s="5" t="str">
        <f>IF($G760="","",INDEX('Detalle individual'!$A:$A,$G760))</f>
        <v/>
      </c>
      <c r="C760" s="5" t="str">
        <f>IF($G760="","",INDEX('Detalle individual'!$E:$E,$G760))</f>
        <v/>
      </c>
      <c r="D760" s="5" t="str">
        <f>IF($G760="","",INDEX('Detalle individual'!$C:$C,$G760))</f>
        <v/>
      </c>
      <c r="E760" s="5" t="str">
        <f>IF($G760="","",INDEX('Detalle individual'!$D:$D,$G760))</f>
        <v/>
      </c>
      <c r="G760" t="str">
        <f>IFERROR(MATCH(SMALL(Cálculos!$AH$5:$AH$1000,756),Cálculos!$AH$5:$AH$1000,0)+4,"")</f>
        <v/>
      </c>
    </row>
    <row r="761">
      <c r="A761" s="5" t="str">
        <f>IF($G761="","",INDEX('Detalle individual'!$B:$B,$G761))</f>
        <v/>
      </c>
      <c r="B761" s="5" t="str">
        <f>IF($G761="","",INDEX('Detalle individual'!$A:$A,$G761))</f>
        <v/>
      </c>
      <c r="C761" s="5" t="str">
        <f>IF($G761="","",INDEX('Detalle individual'!$E:$E,$G761))</f>
        <v/>
      </c>
      <c r="D761" s="5" t="str">
        <f>IF($G761="","",INDEX('Detalle individual'!$C:$C,$G761))</f>
        <v/>
      </c>
      <c r="E761" s="5" t="str">
        <f>IF($G761="","",INDEX('Detalle individual'!$D:$D,$G761))</f>
        <v/>
      </c>
      <c r="G761" t="str">
        <f>IFERROR(MATCH(SMALL(Cálculos!$AH$5:$AH$1000,757),Cálculos!$AH$5:$AH$1000,0)+4,"")</f>
        <v/>
      </c>
    </row>
    <row r="762">
      <c r="A762" s="5" t="str">
        <f>IF($G762="","",INDEX('Detalle individual'!$B:$B,$G762))</f>
        <v/>
      </c>
      <c r="B762" s="5" t="str">
        <f>IF($G762="","",INDEX('Detalle individual'!$A:$A,$G762))</f>
        <v/>
      </c>
      <c r="C762" s="5" t="str">
        <f>IF($G762="","",INDEX('Detalle individual'!$E:$E,$G762))</f>
        <v/>
      </c>
      <c r="D762" s="5" t="str">
        <f>IF($G762="","",INDEX('Detalle individual'!$C:$C,$G762))</f>
        <v/>
      </c>
      <c r="E762" s="5" t="str">
        <f>IF($G762="","",INDEX('Detalle individual'!$D:$D,$G762))</f>
        <v/>
      </c>
      <c r="G762" t="str">
        <f>IFERROR(MATCH(SMALL(Cálculos!$AH$5:$AH$1000,758),Cálculos!$AH$5:$AH$1000,0)+4,"")</f>
        <v/>
      </c>
    </row>
    <row r="763">
      <c r="A763" s="5" t="str">
        <f>IF($G763="","",INDEX('Detalle individual'!$B:$B,$G763))</f>
        <v/>
      </c>
      <c r="B763" s="5" t="str">
        <f>IF($G763="","",INDEX('Detalle individual'!$A:$A,$G763))</f>
        <v/>
      </c>
      <c r="C763" s="5" t="str">
        <f>IF($G763="","",INDEX('Detalle individual'!$E:$E,$G763))</f>
        <v/>
      </c>
      <c r="D763" s="5" t="str">
        <f>IF($G763="","",INDEX('Detalle individual'!$C:$C,$G763))</f>
        <v/>
      </c>
      <c r="E763" s="5" t="str">
        <f>IF($G763="","",INDEX('Detalle individual'!$D:$D,$G763))</f>
        <v/>
      </c>
      <c r="G763" t="str">
        <f>IFERROR(MATCH(SMALL(Cálculos!$AH$5:$AH$1000,759),Cálculos!$AH$5:$AH$1000,0)+4,"")</f>
        <v/>
      </c>
    </row>
    <row r="764">
      <c r="A764" s="5" t="str">
        <f>IF($G764="","",INDEX('Detalle individual'!$B:$B,$G764))</f>
        <v/>
      </c>
      <c r="B764" s="5" t="str">
        <f>IF($G764="","",INDEX('Detalle individual'!$A:$A,$G764))</f>
        <v/>
      </c>
      <c r="C764" s="5" t="str">
        <f>IF($G764="","",INDEX('Detalle individual'!$E:$E,$G764))</f>
        <v/>
      </c>
      <c r="D764" s="5" t="str">
        <f>IF($G764="","",INDEX('Detalle individual'!$C:$C,$G764))</f>
        <v/>
      </c>
      <c r="E764" s="5" t="str">
        <f>IF($G764="","",INDEX('Detalle individual'!$D:$D,$G764))</f>
        <v/>
      </c>
      <c r="G764" t="str">
        <f>IFERROR(MATCH(SMALL(Cálculos!$AH$5:$AH$1000,760),Cálculos!$AH$5:$AH$1000,0)+4,"")</f>
        <v/>
      </c>
    </row>
    <row r="765">
      <c r="A765" s="5" t="str">
        <f>IF($G765="","",INDEX('Detalle individual'!$B:$B,$G765))</f>
        <v/>
      </c>
      <c r="B765" s="5" t="str">
        <f>IF($G765="","",INDEX('Detalle individual'!$A:$A,$G765))</f>
        <v/>
      </c>
      <c r="C765" s="5" t="str">
        <f>IF($G765="","",INDEX('Detalle individual'!$E:$E,$G765))</f>
        <v/>
      </c>
      <c r="D765" s="5" t="str">
        <f>IF($G765="","",INDEX('Detalle individual'!$C:$C,$G765))</f>
        <v/>
      </c>
      <c r="E765" s="5" t="str">
        <f>IF($G765="","",INDEX('Detalle individual'!$D:$D,$G765))</f>
        <v/>
      </c>
      <c r="G765" t="str">
        <f>IFERROR(MATCH(SMALL(Cálculos!$AH$5:$AH$1000,761),Cálculos!$AH$5:$AH$1000,0)+4,"")</f>
        <v/>
      </c>
    </row>
    <row r="766">
      <c r="A766" s="5" t="str">
        <f>IF($G766="","",INDEX('Detalle individual'!$B:$B,$G766))</f>
        <v/>
      </c>
      <c r="B766" s="5" t="str">
        <f>IF($G766="","",INDEX('Detalle individual'!$A:$A,$G766))</f>
        <v/>
      </c>
      <c r="C766" s="5" t="str">
        <f>IF($G766="","",INDEX('Detalle individual'!$E:$E,$G766))</f>
        <v/>
      </c>
      <c r="D766" s="5" t="str">
        <f>IF($G766="","",INDEX('Detalle individual'!$C:$C,$G766))</f>
        <v/>
      </c>
      <c r="E766" s="5" t="str">
        <f>IF($G766="","",INDEX('Detalle individual'!$D:$D,$G766))</f>
        <v/>
      </c>
      <c r="G766" t="str">
        <f>IFERROR(MATCH(SMALL(Cálculos!$AH$5:$AH$1000,762),Cálculos!$AH$5:$AH$1000,0)+4,"")</f>
        <v/>
      </c>
    </row>
    <row r="767">
      <c r="A767" s="5" t="str">
        <f>IF($G767="","",INDEX('Detalle individual'!$B:$B,$G767))</f>
        <v/>
      </c>
      <c r="B767" s="5" t="str">
        <f>IF($G767="","",INDEX('Detalle individual'!$A:$A,$G767))</f>
        <v/>
      </c>
      <c r="C767" s="5" t="str">
        <f>IF($G767="","",INDEX('Detalle individual'!$E:$E,$G767))</f>
        <v/>
      </c>
      <c r="D767" s="5" t="str">
        <f>IF($G767="","",INDEX('Detalle individual'!$C:$C,$G767))</f>
        <v/>
      </c>
      <c r="E767" s="5" t="str">
        <f>IF($G767="","",INDEX('Detalle individual'!$D:$D,$G767))</f>
        <v/>
      </c>
      <c r="G767" t="str">
        <f>IFERROR(MATCH(SMALL(Cálculos!$AH$5:$AH$1000,763),Cálculos!$AH$5:$AH$1000,0)+4,"")</f>
        <v/>
      </c>
    </row>
    <row r="768">
      <c r="A768" s="5" t="str">
        <f>IF($G768="","",INDEX('Detalle individual'!$B:$B,$G768))</f>
        <v/>
      </c>
      <c r="B768" s="5" t="str">
        <f>IF($G768="","",INDEX('Detalle individual'!$A:$A,$G768))</f>
        <v/>
      </c>
      <c r="C768" s="5" t="str">
        <f>IF($G768="","",INDEX('Detalle individual'!$E:$E,$G768))</f>
        <v/>
      </c>
      <c r="D768" s="5" t="str">
        <f>IF($G768="","",INDEX('Detalle individual'!$C:$C,$G768))</f>
        <v/>
      </c>
      <c r="E768" s="5" t="str">
        <f>IF($G768="","",INDEX('Detalle individual'!$D:$D,$G768))</f>
        <v/>
      </c>
      <c r="G768" t="str">
        <f>IFERROR(MATCH(SMALL(Cálculos!$AH$5:$AH$1000,764),Cálculos!$AH$5:$AH$1000,0)+4,"")</f>
        <v/>
      </c>
    </row>
    <row r="769">
      <c r="A769" s="5" t="str">
        <f>IF($G769="","",INDEX('Detalle individual'!$B:$B,$G769))</f>
        <v/>
      </c>
      <c r="B769" s="5" t="str">
        <f>IF($G769="","",INDEX('Detalle individual'!$A:$A,$G769))</f>
        <v/>
      </c>
      <c r="C769" s="5" t="str">
        <f>IF($G769="","",INDEX('Detalle individual'!$E:$E,$G769))</f>
        <v/>
      </c>
      <c r="D769" s="5" t="str">
        <f>IF($G769="","",INDEX('Detalle individual'!$C:$C,$G769))</f>
        <v/>
      </c>
      <c r="E769" s="5" t="str">
        <f>IF($G769="","",INDEX('Detalle individual'!$D:$D,$G769))</f>
        <v/>
      </c>
      <c r="G769" t="str">
        <f>IFERROR(MATCH(SMALL(Cálculos!$AH$5:$AH$1000,765),Cálculos!$AH$5:$AH$1000,0)+4,"")</f>
        <v/>
      </c>
    </row>
    <row r="770">
      <c r="A770" s="5" t="str">
        <f>IF($G770="","",INDEX('Detalle individual'!$B:$B,$G770))</f>
        <v/>
      </c>
      <c r="B770" s="5" t="str">
        <f>IF($G770="","",INDEX('Detalle individual'!$A:$A,$G770))</f>
        <v/>
      </c>
      <c r="C770" s="5" t="str">
        <f>IF($G770="","",INDEX('Detalle individual'!$E:$E,$G770))</f>
        <v/>
      </c>
      <c r="D770" s="5" t="str">
        <f>IF($G770="","",INDEX('Detalle individual'!$C:$C,$G770))</f>
        <v/>
      </c>
      <c r="E770" s="5" t="str">
        <f>IF($G770="","",INDEX('Detalle individual'!$D:$D,$G770))</f>
        <v/>
      </c>
      <c r="G770" t="str">
        <f>IFERROR(MATCH(SMALL(Cálculos!$AH$5:$AH$1000,766),Cálculos!$AH$5:$AH$1000,0)+4,"")</f>
        <v/>
      </c>
    </row>
    <row r="771">
      <c r="A771" s="5" t="str">
        <f>IF($G771="","",INDEX('Detalle individual'!$B:$B,$G771))</f>
        <v/>
      </c>
      <c r="B771" s="5" t="str">
        <f>IF($G771="","",INDEX('Detalle individual'!$A:$A,$G771))</f>
        <v/>
      </c>
      <c r="C771" s="5" t="str">
        <f>IF($G771="","",INDEX('Detalle individual'!$E:$E,$G771))</f>
        <v/>
      </c>
      <c r="D771" s="5" t="str">
        <f>IF($G771="","",INDEX('Detalle individual'!$C:$C,$G771))</f>
        <v/>
      </c>
      <c r="E771" s="5" t="str">
        <f>IF($G771="","",INDEX('Detalle individual'!$D:$D,$G771))</f>
        <v/>
      </c>
      <c r="G771" t="str">
        <f>IFERROR(MATCH(SMALL(Cálculos!$AH$5:$AH$1000,767),Cálculos!$AH$5:$AH$1000,0)+4,"")</f>
        <v/>
      </c>
    </row>
    <row r="772">
      <c r="A772" s="5" t="str">
        <f>IF($G772="","",INDEX('Detalle individual'!$B:$B,$G772))</f>
        <v/>
      </c>
      <c r="B772" s="5" t="str">
        <f>IF($G772="","",INDEX('Detalle individual'!$A:$A,$G772))</f>
        <v/>
      </c>
      <c r="C772" s="5" t="str">
        <f>IF($G772="","",INDEX('Detalle individual'!$E:$E,$G772))</f>
        <v/>
      </c>
      <c r="D772" s="5" t="str">
        <f>IF($G772="","",INDEX('Detalle individual'!$C:$C,$G772))</f>
        <v/>
      </c>
      <c r="E772" s="5" t="str">
        <f>IF($G772="","",INDEX('Detalle individual'!$D:$D,$G772))</f>
        <v/>
      </c>
      <c r="G772" t="str">
        <f>IFERROR(MATCH(SMALL(Cálculos!$AH$5:$AH$1000,768),Cálculos!$AH$5:$AH$1000,0)+4,"")</f>
        <v/>
      </c>
    </row>
    <row r="773">
      <c r="A773" s="5" t="str">
        <f>IF($G773="","",INDEX('Detalle individual'!$B:$B,$G773))</f>
        <v/>
      </c>
      <c r="B773" s="5" t="str">
        <f>IF($G773="","",INDEX('Detalle individual'!$A:$A,$G773))</f>
        <v/>
      </c>
      <c r="C773" s="5" t="str">
        <f>IF($G773="","",INDEX('Detalle individual'!$E:$E,$G773))</f>
        <v/>
      </c>
      <c r="D773" s="5" t="str">
        <f>IF($G773="","",INDEX('Detalle individual'!$C:$C,$G773))</f>
        <v/>
      </c>
      <c r="E773" s="5" t="str">
        <f>IF($G773="","",INDEX('Detalle individual'!$D:$D,$G773))</f>
        <v/>
      </c>
      <c r="G773" t="str">
        <f>IFERROR(MATCH(SMALL(Cálculos!$AH$5:$AH$1000,769),Cálculos!$AH$5:$AH$1000,0)+4,"")</f>
        <v/>
      </c>
    </row>
    <row r="774">
      <c r="A774" s="5" t="str">
        <f>IF($G774="","",INDEX('Detalle individual'!$B:$B,$G774))</f>
        <v/>
      </c>
      <c r="B774" s="5" t="str">
        <f>IF($G774="","",INDEX('Detalle individual'!$A:$A,$G774))</f>
        <v/>
      </c>
      <c r="C774" s="5" t="str">
        <f>IF($G774="","",INDEX('Detalle individual'!$E:$E,$G774))</f>
        <v/>
      </c>
      <c r="D774" s="5" t="str">
        <f>IF($G774="","",INDEX('Detalle individual'!$C:$C,$G774))</f>
        <v/>
      </c>
      <c r="E774" s="5" t="str">
        <f>IF($G774="","",INDEX('Detalle individual'!$D:$D,$G774))</f>
        <v/>
      </c>
      <c r="G774" t="str">
        <f>IFERROR(MATCH(SMALL(Cálculos!$AH$5:$AH$1000,770),Cálculos!$AH$5:$AH$1000,0)+4,"")</f>
        <v/>
      </c>
    </row>
    <row r="775">
      <c r="A775" s="5" t="str">
        <f>IF($G775="","",INDEX('Detalle individual'!$B:$B,$G775))</f>
        <v/>
      </c>
      <c r="B775" s="5" t="str">
        <f>IF($G775="","",INDEX('Detalle individual'!$A:$A,$G775))</f>
        <v/>
      </c>
      <c r="C775" s="5" t="str">
        <f>IF($G775="","",INDEX('Detalle individual'!$E:$E,$G775))</f>
        <v/>
      </c>
      <c r="D775" s="5" t="str">
        <f>IF($G775="","",INDEX('Detalle individual'!$C:$C,$G775))</f>
        <v/>
      </c>
      <c r="E775" s="5" t="str">
        <f>IF($G775="","",INDEX('Detalle individual'!$D:$D,$G775))</f>
        <v/>
      </c>
      <c r="G775" t="str">
        <f>IFERROR(MATCH(SMALL(Cálculos!$AH$5:$AH$1000,771),Cálculos!$AH$5:$AH$1000,0)+4,"")</f>
        <v/>
      </c>
    </row>
    <row r="776">
      <c r="A776" s="5" t="str">
        <f>IF($G776="","",INDEX('Detalle individual'!$B:$B,$G776))</f>
        <v/>
      </c>
      <c r="B776" s="5" t="str">
        <f>IF($G776="","",INDEX('Detalle individual'!$A:$A,$G776))</f>
        <v/>
      </c>
      <c r="C776" s="5" t="str">
        <f>IF($G776="","",INDEX('Detalle individual'!$E:$E,$G776))</f>
        <v/>
      </c>
      <c r="D776" s="5" t="str">
        <f>IF($G776="","",INDEX('Detalle individual'!$C:$C,$G776))</f>
        <v/>
      </c>
      <c r="E776" s="5" t="str">
        <f>IF($G776="","",INDEX('Detalle individual'!$D:$D,$G776))</f>
        <v/>
      </c>
      <c r="G776" t="str">
        <f>IFERROR(MATCH(SMALL(Cálculos!$AH$5:$AH$1000,772),Cálculos!$AH$5:$AH$1000,0)+4,"")</f>
        <v/>
      </c>
    </row>
    <row r="777">
      <c r="A777" s="5" t="str">
        <f>IF($G777="","",INDEX('Detalle individual'!$B:$B,$G777))</f>
        <v/>
      </c>
      <c r="B777" s="5" t="str">
        <f>IF($G777="","",INDEX('Detalle individual'!$A:$A,$G777))</f>
        <v/>
      </c>
      <c r="C777" s="5" t="str">
        <f>IF($G777="","",INDEX('Detalle individual'!$E:$E,$G777))</f>
        <v/>
      </c>
      <c r="D777" s="5" t="str">
        <f>IF($G777="","",INDEX('Detalle individual'!$C:$C,$G777))</f>
        <v/>
      </c>
      <c r="E777" s="5" t="str">
        <f>IF($G777="","",INDEX('Detalle individual'!$D:$D,$G777))</f>
        <v/>
      </c>
      <c r="G777" t="str">
        <f>IFERROR(MATCH(SMALL(Cálculos!$AH$5:$AH$1000,773),Cálculos!$AH$5:$AH$1000,0)+4,"")</f>
        <v/>
      </c>
    </row>
    <row r="778">
      <c r="A778" s="5" t="str">
        <f>IF($G778="","",INDEX('Detalle individual'!$B:$B,$G778))</f>
        <v/>
      </c>
      <c r="B778" s="5" t="str">
        <f>IF($G778="","",INDEX('Detalle individual'!$A:$A,$G778))</f>
        <v/>
      </c>
      <c r="C778" s="5" t="str">
        <f>IF($G778="","",INDEX('Detalle individual'!$E:$E,$G778))</f>
        <v/>
      </c>
      <c r="D778" s="5" t="str">
        <f>IF($G778="","",INDEX('Detalle individual'!$C:$C,$G778))</f>
        <v/>
      </c>
      <c r="E778" s="5" t="str">
        <f>IF($G778="","",INDEX('Detalle individual'!$D:$D,$G778))</f>
        <v/>
      </c>
      <c r="G778" t="str">
        <f>IFERROR(MATCH(SMALL(Cálculos!$AH$5:$AH$1000,774),Cálculos!$AH$5:$AH$1000,0)+4,"")</f>
        <v/>
      </c>
    </row>
    <row r="779">
      <c r="A779" s="5" t="str">
        <f>IF($G779="","",INDEX('Detalle individual'!$B:$B,$G779))</f>
        <v/>
      </c>
      <c r="B779" s="5" t="str">
        <f>IF($G779="","",INDEX('Detalle individual'!$A:$A,$G779))</f>
        <v/>
      </c>
      <c r="C779" s="5" t="str">
        <f>IF($G779="","",INDEX('Detalle individual'!$E:$E,$G779))</f>
        <v/>
      </c>
      <c r="D779" s="5" t="str">
        <f>IF($G779="","",INDEX('Detalle individual'!$C:$C,$G779))</f>
        <v/>
      </c>
      <c r="E779" s="5" t="str">
        <f>IF($G779="","",INDEX('Detalle individual'!$D:$D,$G779))</f>
        <v/>
      </c>
      <c r="G779" t="str">
        <f>IFERROR(MATCH(SMALL(Cálculos!$AH$5:$AH$1000,775),Cálculos!$AH$5:$AH$1000,0)+4,"")</f>
        <v/>
      </c>
    </row>
    <row r="780">
      <c r="A780" s="5" t="str">
        <f>IF($G780="","",INDEX('Detalle individual'!$B:$B,$G780))</f>
        <v/>
      </c>
      <c r="B780" s="5" t="str">
        <f>IF($G780="","",INDEX('Detalle individual'!$A:$A,$G780))</f>
        <v/>
      </c>
      <c r="C780" s="5" t="str">
        <f>IF($G780="","",INDEX('Detalle individual'!$E:$E,$G780))</f>
        <v/>
      </c>
      <c r="D780" s="5" t="str">
        <f>IF($G780="","",INDEX('Detalle individual'!$C:$C,$G780))</f>
        <v/>
      </c>
      <c r="E780" s="5" t="str">
        <f>IF($G780="","",INDEX('Detalle individual'!$D:$D,$G780))</f>
        <v/>
      </c>
      <c r="G780" t="str">
        <f>IFERROR(MATCH(SMALL(Cálculos!$AH$5:$AH$1000,776),Cálculos!$AH$5:$AH$1000,0)+4,"")</f>
        <v/>
      </c>
    </row>
    <row r="781">
      <c r="A781" s="5" t="str">
        <f>IF($G781="","",INDEX('Detalle individual'!$B:$B,$G781))</f>
        <v/>
      </c>
      <c r="B781" s="5" t="str">
        <f>IF($G781="","",INDEX('Detalle individual'!$A:$A,$G781))</f>
        <v/>
      </c>
      <c r="C781" s="5" t="str">
        <f>IF($G781="","",INDEX('Detalle individual'!$E:$E,$G781))</f>
        <v/>
      </c>
      <c r="D781" s="5" t="str">
        <f>IF($G781="","",INDEX('Detalle individual'!$C:$C,$G781))</f>
        <v/>
      </c>
      <c r="E781" s="5" t="str">
        <f>IF($G781="","",INDEX('Detalle individual'!$D:$D,$G781))</f>
        <v/>
      </c>
      <c r="G781" t="str">
        <f>IFERROR(MATCH(SMALL(Cálculos!$AH$5:$AH$1000,777),Cálculos!$AH$5:$AH$1000,0)+4,"")</f>
        <v/>
      </c>
    </row>
    <row r="782">
      <c r="A782" s="5" t="str">
        <f>IF($G782="","",INDEX('Detalle individual'!$B:$B,$G782))</f>
        <v/>
      </c>
      <c r="B782" s="5" t="str">
        <f>IF($G782="","",INDEX('Detalle individual'!$A:$A,$G782))</f>
        <v/>
      </c>
      <c r="C782" s="5" t="str">
        <f>IF($G782="","",INDEX('Detalle individual'!$E:$E,$G782))</f>
        <v/>
      </c>
      <c r="D782" s="5" t="str">
        <f>IF($G782="","",INDEX('Detalle individual'!$C:$C,$G782))</f>
        <v/>
      </c>
      <c r="E782" s="5" t="str">
        <f>IF($G782="","",INDEX('Detalle individual'!$D:$D,$G782))</f>
        <v/>
      </c>
      <c r="G782" t="str">
        <f>IFERROR(MATCH(SMALL(Cálculos!$AH$5:$AH$1000,778),Cálculos!$AH$5:$AH$1000,0)+4,"")</f>
        <v/>
      </c>
    </row>
    <row r="783">
      <c r="A783" s="5" t="str">
        <f>IF($G783="","",INDEX('Detalle individual'!$B:$B,$G783))</f>
        <v/>
      </c>
      <c r="B783" s="5" t="str">
        <f>IF($G783="","",INDEX('Detalle individual'!$A:$A,$G783))</f>
        <v/>
      </c>
      <c r="C783" s="5" t="str">
        <f>IF($G783="","",INDEX('Detalle individual'!$E:$E,$G783))</f>
        <v/>
      </c>
      <c r="D783" s="5" t="str">
        <f>IF($G783="","",INDEX('Detalle individual'!$C:$C,$G783))</f>
        <v/>
      </c>
      <c r="E783" s="5" t="str">
        <f>IF($G783="","",INDEX('Detalle individual'!$D:$D,$G783))</f>
        <v/>
      </c>
      <c r="G783" t="str">
        <f>IFERROR(MATCH(SMALL(Cálculos!$AH$5:$AH$1000,779),Cálculos!$AH$5:$AH$1000,0)+4,"")</f>
        <v/>
      </c>
    </row>
    <row r="784">
      <c r="A784" s="5" t="str">
        <f>IF($G784="","",INDEX('Detalle individual'!$B:$B,$G784))</f>
        <v/>
      </c>
      <c r="B784" s="5" t="str">
        <f>IF($G784="","",INDEX('Detalle individual'!$A:$A,$G784))</f>
        <v/>
      </c>
      <c r="C784" s="5" t="str">
        <f>IF($G784="","",INDEX('Detalle individual'!$E:$E,$G784))</f>
        <v/>
      </c>
      <c r="D784" s="5" t="str">
        <f>IF($G784="","",INDEX('Detalle individual'!$C:$C,$G784))</f>
        <v/>
      </c>
      <c r="E784" s="5" t="str">
        <f>IF($G784="","",INDEX('Detalle individual'!$D:$D,$G784))</f>
        <v/>
      </c>
      <c r="G784" t="str">
        <f>IFERROR(MATCH(SMALL(Cálculos!$AH$5:$AH$1000,780),Cálculos!$AH$5:$AH$1000,0)+4,"")</f>
        <v/>
      </c>
    </row>
    <row r="785">
      <c r="A785" s="5" t="str">
        <f>IF($G785="","",INDEX('Detalle individual'!$B:$B,$G785))</f>
        <v/>
      </c>
      <c r="B785" s="5" t="str">
        <f>IF($G785="","",INDEX('Detalle individual'!$A:$A,$G785))</f>
        <v/>
      </c>
      <c r="C785" s="5" t="str">
        <f>IF($G785="","",INDEX('Detalle individual'!$E:$E,$G785))</f>
        <v/>
      </c>
      <c r="D785" s="5" t="str">
        <f>IF($G785="","",INDEX('Detalle individual'!$C:$C,$G785))</f>
        <v/>
      </c>
      <c r="E785" s="5" t="str">
        <f>IF($G785="","",INDEX('Detalle individual'!$D:$D,$G785))</f>
        <v/>
      </c>
      <c r="G785" t="str">
        <f>IFERROR(MATCH(SMALL(Cálculos!$AH$5:$AH$1000,781),Cálculos!$AH$5:$AH$1000,0)+4,"")</f>
        <v/>
      </c>
    </row>
    <row r="786">
      <c r="A786" s="5" t="str">
        <f>IF($G786="","",INDEX('Detalle individual'!$B:$B,$G786))</f>
        <v/>
      </c>
      <c r="B786" s="5" t="str">
        <f>IF($G786="","",INDEX('Detalle individual'!$A:$A,$G786))</f>
        <v/>
      </c>
      <c r="C786" s="5" t="str">
        <f>IF($G786="","",INDEX('Detalle individual'!$E:$E,$G786))</f>
        <v/>
      </c>
      <c r="D786" s="5" t="str">
        <f>IF($G786="","",INDEX('Detalle individual'!$C:$C,$G786))</f>
        <v/>
      </c>
      <c r="E786" s="5" t="str">
        <f>IF($G786="","",INDEX('Detalle individual'!$D:$D,$G786))</f>
        <v/>
      </c>
      <c r="G786" t="str">
        <f>IFERROR(MATCH(SMALL(Cálculos!$AH$5:$AH$1000,782),Cálculos!$AH$5:$AH$1000,0)+4,"")</f>
        <v/>
      </c>
    </row>
    <row r="787">
      <c r="A787" s="5" t="str">
        <f>IF($G787="","",INDEX('Detalle individual'!$B:$B,$G787))</f>
        <v/>
      </c>
      <c r="B787" s="5" t="str">
        <f>IF($G787="","",INDEX('Detalle individual'!$A:$A,$G787))</f>
        <v/>
      </c>
      <c r="C787" s="5" t="str">
        <f>IF($G787="","",INDEX('Detalle individual'!$E:$E,$G787))</f>
        <v/>
      </c>
      <c r="D787" s="5" t="str">
        <f>IF($G787="","",INDEX('Detalle individual'!$C:$C,$G787))</f>
        <v/>
      </c>
      <c r="E787" s="5" t="str">
        <f>IF($G787="","",INDEX('Detalle individual'!$D:$D,$G787))</f>
        <v/>
      </c>
      <c r="G787" t="str">
        <f>IFERROR(MATCH(SMALL(Cálculos!$AH$5:$AH$1000,783),Cálculos!$AH$5:$AH$1000,0)+4,"")</f>
        <v/>
      </c>
    </row>
    <row r="788">
      <c r="A788" s="5" t="str">
        <f>IF($G788="","",INDEX('Detalle individual'!$B:$B,$G788))</f>
        <v/>
      </c>
      <c r="B788" s="5" t="str">
        <f>IF($G788="","",INDEX('Detalle individual'!$A:$A,$G788))</f>
        <v/>
      </c>
      <c r="C788" s="5" t="str">
        <f>IF($G788="","",INDEX('Detalle individual'!$E:$E,$G788))</f>
        <v/>
      </c>
      <c r="D788" s="5" t="str">
        <f>IF($G788="","",INDEX('Detalle individual'!$C:$C,$G788))</f>
        <v/>
      </c>
      <c r="E788" s="5" t="str">
        <f>IF($G788="","",INDEX('Detalle individual'!$D:$D,$G788))</f>
        <v/>
      </c>
      <c r="G788" t="str">
        <f>IFERROR(MATCH(SMALL(Cálculos!$AH$5:$AH$1000,784),Cálculos!$AH$5:$AH$1000,0)+4,"")</f>
        <v/>
      </c>
    </row>
    <row r="789">
      <c r="A789" s="5" t="str">
        <f>IF($G789="","",INDEX('Detalle individual'!$B:$B,$G789))</f>
        <v/>
      </c>
      <c r="B789" s="5" t="str">
        <f>IF($G789="","",INDEX('Detalle individual'!$A:$A,$G789))</f>
        <v/>
      </c>
      <c r="C789" s="5" t="str">
        <f>IF($G789="","",INDEX('Detalle individual'!$E:$E,$G789))</f>
        <v/>
      </c>
      <c r="D789" s="5" t="str">
        <f>IF($G789="","",INDEX('Detalle individual'!$C:$C,$G789))</f>
        <v/>
      </c>
      <c r="E789" s="5" t="str">
        <f>IF($G789="","",INDEX('Detalle individual'!$D:$D,$G789))</f>
        <v/>
      </c>
      <c r="G789" t="str">
        <f>IFERROR(MATCH(SMALL(Cálculos!$AH$5:$AH$1000,785),Cálculos!$AH$5:$AH$1000,0)+4,"")</f>
        <v/>
      </c>
    </row>
    <row r="790">
      <c r="A790" s="5" t="str">
        <f>IF($G790="","",INDEX('Detalle individual'!$B:$B,$G790))</f>
        <v/>
      </c>
      <c r="B790" s="5" t="str">
        <f>IF($G790="","",INDEX('Detalle individual'!$A:$A,$G790))</f>
        <v/>
      </c>
      <c r="C790" s="5" t="str">
        <f>IF($G790="","",INDEX('Detalle individual'!$E:$E,$G790))</f>
        <v/>
      </c>
      <c r="D790" s="5" t="str">
        <f>IF($G790="","",INDEX('Detalle individual'!$C:$C,$G790))</f>
        <v/>
      </c>
      <c r="E790" s="5" t="str">
        <f>IF($G790="","",INDEX('Detalle individual'!$D:$D,$G790))</f>
        <v/>
      </c>
      <c r="G790" t="str">
        <f>IFERROR(MATCH(SMALL(Cálculos!$AH$5:$AH$1000,786),Cálculos!$AH$5:$AH$1000,0)+4,"")</f>
        <v/>
      </c>
    </row>
    <row r="791">
      <c r="A791" s="5" t="str">
        <f>IF($G791="","",INDEX('Detalle individual'!$B:$B,$G791))</f>
        <v/>
      </c>
      <c r="B791" s="5" t="str">
        <f>IF($G791="","",INDEX('Detalle individual'!$A:$A,$G791))</f>
        <v/>
      </c>
      <c r="C791" s="5" t="str">
        <f>IF($G791="","",INDEX('Detalle individual'!$E:$E,$G791))</f>
        <v/>
      </c>
      <c r="D791" s="5" t="str">
        <f>IF($G791="","",INDEX('Detalle individual'!$C:$C,$G791))</f>
        <v/>
      </c>
      <c r="E791" s="5" t="str">
        <f>IF($G791="","",INDEX('Detalle individual'!$D:$D,$G791))</f>
        <v/>
      </c>
      <c r="G791" t="str">
        <f>IFERROR(MATCH(SMALL(Cálculos!$AH$5:$AH$1000,787),Cálculos!$AH$5:$AH$1000,0)+4,"")</f>
        <v/>
      </c>
    </row>
    <row r="792">
      <c r="A792" s="5" t="str">
        <f>IF($G792="","",INDEX('Detalle individual'!$B:$B,$G792))</f>
        <v/>
      </c>
      <c r="B792" s="5" t="str">
        <f>IF($G792="","",INDEX('Detalle individual'!$A:$A,$G792))</f>
        <v/>
      </c>
      <c r="C792" s="5" t="str">
        <f>IF($G792="","",INDEX('Detalle individual'!$E:$E,$G792))</f>
        <v/>
      </c>
      <c r="D792" s="5" t="str">
        <f>IF($G792="","",INDEX('Detalle individual'!$C:$C,$G792))</f>
        <v/>
      </c>
      <c r="E792" s="5" t="str">
        <f>IF($G792="","",INDEX('Detalle individual'!$D:$D,$G792))</f>
        <v/>
      </c>
      <c r="G792" t="str">
        <f>IFERROR(MATCH(SMALL(Cálculos!$AH$5:$AH$1000,788),Cálculos!$AH$5:$AH$1000,0)+4,"")</f>
        <v/>
      </c>
    </row>
    <row r="793">
      <c r="A793" s="5" t="str">
        <f>IF($G793="","",INDEX('Detalle individual'!$B:$B,$G793))</f>
        <v/>
      </c>
      <c r="B793" s="5" t="str">
        <f>IF($G793="","",INDEX('Detalle individual'!$A:$A,$G793))</f>
        <v/>
      </c>
      <c r="C793" s="5" t="str">
        <f>IF($G793="","",INDEX('Detalle individual'!$E:$E,$G793))</f>
        <v/>
      </c>
      <c r="D793" s="5" t="str">
        <f>IF($G793="","",INDEX('Detalle individual'!$C:$C,$G793))</f>
        <v/>
      </c>
      <c r="E793" s="5" t="str">
        <f>IF($G793="","",INDEX('Detalle individual'!$D:$D,$G793))</f>
        <v/>
      </c>
      <c r="G793" t="str">
        <f>IFERROR(MATCH(SMALL(Cálculos!$AH$5:$AH$1000,789),Cálculos!$AH$5:$AH$1000,0)+4,"")</f>
        <v/>
      </c>
    </row>
    <row r="794">
      <c r="A794" s="5" t="str">
        <f>IF($G794="","",INDEX('Detalle individual'!$B:$B,$G794))</f>
        <v/>
      </c>
      <c r="B794" s="5" t="str">
        <f>IF($G794="","",INDEX('Detalle individual'!$A:$A,$G794))</f>
        <v/>
      </c>
      <c r="C794" s="5" t="str">
        <f>IF($G794="","",INDEX('Detalle individual'!$E:$E,$G794))</f>
        <v/>
      </c>
      <c r="D794" s="5" t="str">
        <f>IF($G794="","",INDEX('Detalle individual'!$C:$C,$G794))</f>
        <v/>
      </c>
      <c r="E794" s="5" t="str">
        <f>IF($G794="","",INDEX('Detalle individual'!$D:$D,$G794))</f>
        <v/>
      </c>
      <c r="G794" t="str">
        <f>IFERROR(MATCH(SMALL(Cálculos!$AH$5:$AH$1000,790),Cálculos!$AH$5:$AH$1000,0)+4,"")</f>
        <v/>
      </c>
    </row>
    <row r="795">
      <c r="A795" s="5" t="str">
        <f>IF($G795="","",INDEX('Detalle individual'!$B:$B,$G795))</f>
        <v/>
      </c>
      <c r="B795" s="5" t="str">
        <f>IF($G795="","",INDEX('Detalle individual'!$A:$A,$G795))</f>
        <v/>
      </c>
      <c r="C795" s="5" t="str">
        <f>IF($G795="","",INDEX('Detalle individual'!$E:$E,$G795))</f>
        <v/>
      </c>
      <c r="D795" s="5" t="str">
        <f>IF($G795="","",INDEX('Detalle individual'!$C:$C,$G795))</f>
        <v/>
      </c>
      <c r="E795" s="5" t="str">
        <f>IF($G795="","",INDEX('Detalle individual'!$D:$D,$G795))</f>
        <v/>
      </c>
      <c r="G795" t="str">
        <f>IFERROR(MATCH(SMALL(Cálculos!$AH$5:$AH$1000,791),Cálculos!$AH$5:$AH$1000,0)+4,"")</f>
        <v/>
      </c>
    </row>
    <row r="796">
      <c r="A796" s="5" t="str">
        <f>IF($G796="","",INDEX('Detalle individual'!$B:$B,$G796))</f>
        <v/>
      </c>
      <c r="B796" s="5" t="str">
        <f>IF($G796="","",INDEX('Detalle individual'!$A:$A,$G796))</f>
        <v/>
      </c>
      <c r="C796" s="5" t="str">
        <f>IF($G796="","",INDEX('Detalle individual'!$E:$E,$G796))</f>
        <v/>
      </c>
      <c r="D796" s="5" t="str">
        <f>IF($G796="","",INDEX('Detalle individual'!$C:$C,$G796))</f>
        <v/>
      </c>
      <c r="E796" s="5" t="str">
        <f>IF($G796="","",INDEX('Detalle individual'!$D:$D,$G796))</f>
        <v/>
      </c>
      <c r="G796" t="str">
        <f>IFERROR(MATCH(SMALL(Cálculos!$AH$5:$AH$1000,792),Cálculos!$AH$5:$AH$1000,0)+4,"")</f>
        <v/>
      </c>
    </row>
    <row r="797">
      <c r="A797" s="5" t="str">
        <f>IF($G797="","",INDEX('Detalle individual'!$B:$B,$G797))</f>
        <v/>
      </c>
      <c r="B797" s="5" t="str">
        <f>IF($G797="","",INDEX('Detalle individual'!$A:$A,$G797))</f>
        <v/>
      </c>
      <c r="C797" s="5" t="str">
        <f>IF($G797="","",INDEX('Detalle individual'!$E:$E,$G797))</f>
        <v/>
      </c>
      <c r="D797" s="5" t="str">
        <f>IF($G797="","",INDEX('Detalle individual'!$C:$C,$G797))</f>
        <v/>
      </c>
      <c r="E797" s="5" t="str">
        <f>IF($G797="","",INDEX('Detalle individual'!$D:$D,$G797))</f>
        <v/>
      </c>
      <c r="G797" t="str">
        <f>IFERROR(MATCH(SMALL(Cálculos!$AH$5:$AH$1000,793),Cálculos!$AH$5:$AH$1000,0)+4,"")</f>
        <v/>
      </c>
    </row>
    <row r="798">
      <c r="A798" s="5" t="str">
        <f>IF($G798="","",INDEX('Detalle individual'!$B:$B,$G798))</f>
        <v/>
      </c>
      <c r="B798" s="5" t="str">
        <f>IF($G798="","",INDEX('Detalle individual'!$A:$A,$G798))</f>
        <v/>
      </c>
      <c r="C798" s="5" t="str">
        <f>IF($G798="","",INDEX('Detalle individual'!$E:$E,$G798))</f>
        <v/>
      </c>
      <c r="D798" s="5" t="str">
        <f>IF($G798="","",INDEX('Detalle individual'!$C:$C,$G798))</f>
        <v/>
      </c>
      <c r="E798" s="5" t="str">
        <f>IF($G798="","",INDEX('Detalle individual'!$D:$D,$G798))</f>
        <v/>
      </c>
      <c r="G798" t="str">
        <f>IFERROR(MATCH(SMALL(Cálculos!$AH$5:$AH$1000,794),Cálculos!$AH$5:$AH$1000,0)+4,"")</f>
        <v/>
      </c>
    </row>
    <row r="799">
      <c r="A799" s="5" t="str">
        <f>IF($G799="","",INDEX('Detalle individual'!$B:$B,$G799))</f>
        <v/>
      </c>
      <c r="B799" s="5" t="str">
        <f>IF($G799="","",INDEX('Detalle individual'!$A:$A,$G799))</f>
        <v/>
      </c>
      <c r="C799" s="5" t="str">
        <f>IF($G799="","",INDEX('Detalle individual'!$E:$E,$G799))</f>
        <v/>
      </c>
      <c r="D799" s="5" t="str">
        <f>IF($G799="","",INDEX('Detalle individual'!$C:$C,$G799))</f>
        <v/>
      </c>
      <c r="E799" s="5" t="str">
        <f>IF($G799="","",INDEX('Detalle individual'!$D:$D,$G799))</f>
        <v/>
      </c>
      <c r="G799" t="str">
        <f>IFERROR(MATCH(SMALL(Cálculos!$AH$5:$AH$1000,795),Cálculos!$AH$5:$AH$1000,0)+4,"")</f>
        <v/>
      </c>
    </row>
    <row r="800">
      <c r="A800" s="5" t="str">
        <f>IF($G800="","",INDEX('Detalle individual'!$B:$B,$G800))</f>
        <v/>
      </c>
      <c r="B800" s="5" t="str">
        <f>IF($G800="","",INDEX('Detalle individual'!$A:$A,$G800))</f>
        <v/>
      </c>
      <c r="C800" s="5" t="str">
        <f>IF($G800="","",INDEX('Detalle individual'!$E:$E,$G800))</f>
        <v/>
      </c>
      <c r="D800" s="5" t="str">
        <f>IF($G800="","",INDEX('Detalle individual'!$C:$C,$G800))</f>
        <v/>
      </c>
      <c r="E800" s="5" t="str">
        <f>IF($G800="","",INDEX('Detalle individual'!$D:$D,$G800))</f>
        <v/>
      </c>
      <c r="G800" t="str">
        <f>IFERROR(MATCH(SMALL(Cálculos!$AH$5:$AH$1000,796),Cálculos!$AH$5:$AH$1000,0)+4,"")</f>
        <v/>
      </c>
    </row>
    <row r="801">
      <c r="A801" s="5" t="str">
        <f>IF($G801="","",INDEX('Detalle individual'!$B:$B,$G801))</f>
        <v/>
      </c>
      <c r="B801" s="5" t="str">
        <f>IF($G801="","",INDEX('Detalle individual'!$A:$A,$G801))</f>
        <v/>
      </c>
      <c r="C801" s="5" t="str">
        <f>IF($G801="","",INDEX('Detalle individual'!$E:$E,$G801))</f>
        <v/>
      </c>
      <c r="D801" s="5" t="str">
        <f>IF($G801="","",INDEX('Detalle individual'!$C:$C,$G801))</f>
        <v/>
      </c>
      <c r="E801" s="5" t="str">
        <f>IF($G801="","",INDEX('Detalle individual'!$D:$D,$G801))</f>
        <v/>
      </c>
      <c r="G801" t="str">
        <f>IFERROR(MATCH(SMALL(Cálculos!$AH$5:$AH$1000,797),Cálculos!$AH$5:$AH$1000,0)+4,"")</f>
        <v/>
      </c>
    </row>
    <row r="802">
      <c r="A802" s="5" t="str">
        <f>IF($G802="","",INDEX('Detalle individual'!$B:$B,$G802))</f>
        <v/>
      </c>
      <c r="B802" s="5" t="str">
        <f>IF($G802="","",INDEX('Detalle individual'!$A:$A,$G802))</f>
        <v/>
      </c>
      <c r="C802" s="5" t="str">
        <f>IF($G802="","",INDEX('Detalle individual'!$E:$E,$G802))</f>
        <v/>
      </c>
      <c r="D802" s="5" t="str">
        <f>IF($G802="","",INDEX('Detalle individual'!$C:$C,$G802))</f>
        <v/>
      </c>
      <c r="E802" s="5" t="str">
        <f>IF($G802="","",INDEX('Detalle individual'!$D:$D,$G802))</f>
        <v/>
      </c>
      <c r="G802" t="str">
        <f>IFERROR(MATCH(SMALL(Cálculos!$AH$5:$AH$1000,798),Cálculos!$AH$5:$AH$1000,0)+4,"")</f>
        <v/>
      </c>
    </row>
    <row r="803">
      <c r="A803" s="5" t="str">
        <f>IF($G803="","",INDEX('Detalle individual'!$B:$B,$G803))</f>
        <v/>
      </c>
      <c r="B803" s="5" t="str">
        <f>IF($G803="","",INDEX('Detalle individual'!$A:$A,$G803))</f>
        <v/>
      </c>
      <c r="C803" s="5" t="str">
        <f>IF($G803="","",INDEX('Detalle individual'!$E:$E,$G803))</f>
        <v/>
      </c>
      <c r="D803" s="5" t="str">
        <f>IF($G803="","",INDEX('Detalle individual'!$C:$C,$G803))</f>
        <v/>
      </c>
      <c r="E803" s="5" t="str">
        <f>IF($G803="","",INDEX('Detalle individual'!$D:$D,$G803))</f>
        <v/>
      </c>
      <c r="G803" t="str">
        <f>IFERROR(MATCH(SMALL(Cálculos!$AH$5:$AH$1000,799),Cálculos!$AH$5:$AH$1000,0)+4,"")</f>
        <v/>
      </c>
    </row>
    <row r="804">
      <c r="A804" s="5" t="str">
        <f>IF($G804="","",INDEX('Detalle individual'!$B:$B,$G804))</f>
        <v/>
      </c>
      <c r="B804" s="5" t="str">
        <f>IF($G804="","",INDEX('Detalle individual'!$A:$A,$G804))</f>
        <v/>
      </c>
      <c r="C804" s="5" t="str">
        <f>IF($G804="","",INDEX('Detalle individual'!$E:$E,$G804))</f>
        <v/>
      </c>
      <c r="D804" s="5" t="str">
        <f>IF($G804="","",INDEX('Detalle individual'!$C:$C,$G804))</f>
        <v/>
      </c>
      <c r="E804" s="5" t="str">
        <f>IF($G804="","",INDEX('Detalle individual'!$D:$D,$G804))</f>
        <v/>
      </c>
      <c r="G804" t="str">
        <f>IFERROR(MATCH(SMALL(Cálculos!$AH$5:$AH$1000,800),Cálculos!$AH$5:$AH$1000,0)+4,"")</f>
        <v/>
      </c>
    </row>
    <row r="805">
      <c r="A805" s="5" t="str">
        <f>IF($G805="","",INDEX('Detalle individual'!$B:$B,$G805))</f>
        <v/>
      </c>
      <c r="B805" s="5" t="str">
        <f>IF($G805="","",INDEX('Detalle individual'!$A:$A,$G805))</f>
        <v/>
      </c>
      <c r="C805" s="5" t="str">
        <f>IF($G805="","",INDEX('Detalle individual'!$E:$E,$G805))</f>
        <v/>
      </c>
      <c r="D805" s="5" t="str">
        <f>IF($G805="","",INDEX('Detalle individual'!$C:$C,$G805))</f>
        <v/>
      </c>
      <c r="E805" s="5" t="str">
        <f>IF($G805="","",INDEX('Detalle individual'!$D:$D,$G805))</f>
        <v/>
      </c>
      <c r="G805" t="str">
        <f>IFERROR(MATCH(SMALL(Cálculos!$AH$5:$AH$1000,801),Cálculos!$AH$5:$AH$1000,0)+4,"")</f>
        <v/>
      </c>
    </row>
    <row r="806">
      <c r="A806" s="5" t="str">
        <f>IF($G806="","",INDEX('Detalle individual'!$B:$B,$G806))</f>
        <v/>
      </c>
      <c r="B806" s="5" t="str">
        <f>IF($G806="","",INDEX('Detalle individual'!$A:$A,$G806))</f>
        <v/>
      </c>
      <c r="C806" s="5" t="str">
        <f>IF($G806="","",INDEX('Detalle individual'!$E:$E,$G806))</f>
        <v/>
      </c>
      <c r="D806" s="5" t="str">
        <f>IF($G806="","",INDEX('Detalle individual'!$C:$C,$G806))</f>
        <v/>
      </c>
      <c r="E806" s="5" t="str">
        <f>IF($G806="","",INDEX('Detalle individual'!$D:$D,$G806))</f>
        <v/>
      </c>
      <c r="G806" t="str">
        <f>IFERROR(MATCH(SMALL(Cálculos!$AH$5:$AH$1000,802),Cálculos!$AH$5:$AH$1000,0)+4,"")</f>
        <v/>
      </c>
    </row>
    <row r="807">
      <c r="A807" s="5" t="str">
        <f>IF($G807="","",INDEX('Detalle individual'!$B:$B,$G807))</f>
        <v/>
      </c>
      <c r="B807" s="5" t="str">
        <f>IF($G807="","",INDEX('Detalle individual'!$A:$A,$G807))</f>
        <v/>
      </c>
      <c r="C807" s="5" t="str">
        <f>IF($G807="","",INDEX('Detalle individual'!$E:$E,$G807))</f>
        <v/>
      </c>
      <c r="D807" s="5" t="str">
        <f>IF($G807="","",INDEX('Detalle individual'!$C:$C,$G807))</f>
        <v/>
      </c>
      <c r="E807" s="5" t="str">
        <f>IF($G807="","",INDEX('Detalle individual'!$D:$D,$G807))</f>
        <v/>
      </c>
      <c r="G807" t="str">
        <f>IFERROR(MATCH(SMALL(Cálculos!$AH$5:$AH$1000,803),Cálculos!$AH$5:$AH$1000,0)+4,"")</f>
        <v/>
      </c>
    </row>
    <row r="808">
      <c r="A808" s="5" t="str">
        <f>IF($G808="","",INDEX('Detalle individual'!$B:$B,$G808))</f>
        <v/>
      </c>
      <c r="B808" s="5" t="str">
        <f>IF($G808="","",INDEX('Detalle individual'!$A:$A,$G808))</f>
        <v/>
      </c>
      <c r="C808" s="5" t="str">
        <f>IF($G808="","",INDEX('Detalle individual'!$E:$E,$G808))</f>
        <v/>
      </c>
      <c r="D808" s="5" t="str">
        <f>IF($G808="","",INDEX('Detalle individual'!$C:$C,$G808))</f>
        <v/>
      </c>
      <c r="E808" s="5" t="str">
        <f>IF($G808="","",INDEX('Detalle individual'!$D:$D,$G808))</f>
        <v/>
      </c>
      <c r="G808" t="str">
        <f>IFERROR(MATCH(SMALL(Cálculos!$AH$5:$AH$1000,804),Cálculos!$AH$5:$AH$1000,0)+4,"")</f>
        <v/>
      </c>
    </row>
    <row r="809">
      <c r="A809" s="5" t="str">
        <f>IF($G809="","",INDEX('Detalle individual'!$B:$B,$G809))</f>
        <v/>
      </c>
      <c r="B809" s="5" t="str">
        <f>IF($G809="","",INDEX('Detalle individual'!$A:$A,$G809))</f>
        <v/>
      </c>
      <c r="C809" s="5" t="str">
        <f>IF($G809="","",INDEX('Detalle individual'!$E:$E,$G809))</f>
        <v/>
      </c>
      <c r="D809" s="5" t="str">
        <f>IF($G809="","",INDEX('Detalle individual'!$C:$C,$G809))</f>
        <v/>
      </c>
      <c r="E809" s="5" t="str">
        <f>IF($G809="","",INDEX('Detalle individual'!$D:$D,$G809))</f>
        <v/>
      </c>
      <c r="G809" t="str">
        <f>IFERROR(MATCH(SMALL(Cálculos!$AH$5:$AH$1000,805),Cálculos!$AH$5:$AH$1000,0)+4,"")</f>
        <v/>
      </c>
    </row>
    <row r="810">
      <c r="A810" s="5" t="str">
        <f>IF($G810="","",INDEX('Detalle individual'!$B:$B,$G810))</f>
        <v/>
      </c>
      <c r="B810" s="5" t="str">
        <f>IF($G810="","",INDEX('Detalle individual'!$A:$A,$G810))</f>
        <v/>
      </c>
      <c r="C810" s="5" t="str">
        <f>IF($G810="","",INDEX('Detalle individual'!$E:$E,$G810))</f>
        <v/>
      </c>
      <c r="D810" s="5" t="str">
        <f>IF($G810="","",INDEX('Detalle individual'!$C:$C,$G810))</f>
        <v/>
      </c>
      <c r="E810" s="5" t="str">
        <f>IF($G810="","",INDEX('Detalle individual'!$D:$D,$G810))</f>
        <v/>
      </c>
      <c r="G810" t="str">
        <f>IFERROR(MATCH(SMALL(Cálculos!$AH$5:$AH$1000,806),Cálculos!$AH$5:$AH$1000,0)+4,"")</f>
        <v/>
      </c>
    </row>
    <row r="811">
      <c r="A811" s="5" t="str">
        <f>IF($G811="","",INDEX('Detalle individual'!$B:$B,$G811))</f>
        <v/>
      </c>
      <c r="B811" s="5" t="str">
        <f>IF($G811="","",INDEX('Detalle individual'!$A:$A,$G811))</f>
        <v/>
      </c>
      <c r="C811" s="5" t="str">
        <f>IF($G811="","",INDEX('Detalle individual'!$E:$E,$G811))</f>
        <v/>
      </c>
      <c r="D811" s="5" t="str">
        <f>IF($G811="","",INDEX('Detalle individual'!$C:$C,$G811))</f>
        <v/>
      </c>
      <c r="E811" s="5" t="str">
        <f>IF($G811="","",INDEX('Detalle individual'!$D:$D,$G811))</f>
        <v/>
      </c>
      <c r="G811" t="str">
        <f>IFERROR(MATCH(SMALL(Cálculos!$AH$5:$AH$1000,807),Cálculos!$AH$5:$AH$1000,0)+4,"")</f>
        <v/>
      </c>
    </row>
    <row r="812">
      <c r="A812" s="5" t="str">
        <f>IF($G812="","",INDEX('Detalle individual'!$B:$B,$G812))</f>
        <v/>
      </c>
      <c r="B812" s="5" t="str">
        <f>IF($G812="","",INDEX('Detalle individual'!$A:$A,$G812))</f>
        <v/>
      </c>
      <c r="C812" s="5" t="str">
        <f>IF($G812="","",INDEX('Detalle individual'!$E:$E,$G812))</f>
        <v/>
      </c>
      <c r="D812" s="5" t="str">
        <f>IF($G812="","",INDEX('Detalle individual'!$C:$C,$G812))</f>
        <v/>
      </c>
      <c r="E812" s="5" t="str">
        <f>IF($G812="","",INDEX('Detalle individual'!$D:$D,$G812))</f>
        <v/>
      </c>
      <c r="G812" t="str">
        <f>IFERROR(MATCH(SMALL(Cálculos!$AH$5:$AH$1000,808),Cálculos!$AH$5:$AH$1000,0)+4,"")</f>
        <v/>
      </c>
    </row>
    <row r="813">
      <c r="A813" s="5" t="str">
        <f>IF($G813="","",INDEX('Detalle individual'!$B:$B,$G813))</f>
        <v/>
      </c>
      <c r="B813" s="5" t="str">
        <f>IF($G813="","",INDEX('Detalle individual'!$A:$A,$G813))</f>
        <v/>
      </c>
      <c r="C813" s="5" t="str">
        <f>IF($G813="","",INDEX('Detalle individual'!$E:$E,$G813))</f>
        <v/>
      </c>
      <c r="D813" s="5" t="str">
        <f>IF($G813="","",INDEX('Detalle individual'!$C:$C,$G813))</f>
        <v/>
      </c>
      <c r="E813" s="5" t="str">
        <f>IF($G813="","",INDEX('Detalle individual'!$D:$D,$G813))</f>
        <v/>
      </c>
      <c r="G813" t="str">
        <f>IFERROR(MATCH(SMALL(Cálculos!$AH$5:$AH$1000,809),Cálculos!$AH$5:$AH$1000,0)+4,"")</f>
        <v/>
      </c>
    </row>
    <row r="814">
      <c r="A814" s="5" t="str">
        <f>IF($G814="","",INDEX('Detalle individual'!$B:$B,$G814))</f>
        <v/>
      </c>
      <c r="B814" s="5" t="str">
        <f>IF($G814="","",INDEX('Detalle individual'!$A:$A,$G814))</f>
        <v/>
      </c>
      <c r="C814" s="5" t="str">
        <f>IF($G814="","",INDEX('Detalle individual'!$E:$E,$G814))</f>
        <v/>
      </c>
      <c r="D814" s="5" t="str">
        <f>IF($G814="","",INDEX('Detalle individual'!$C:$C,$G814))</f>
        <v/>
      </c>
      <c r="E814" s="5" t="str">
        <f>IF($G814="","",INDEX('Detalle individual'!$D:$D,$G814))</f>
        <v/>
      </c>
      <c r="G814" t="str">
        <f>IFERROR(MATCH(SMALL(Cálculos!$AH$5:$AH$1000,810),Cálculos!$AH$5:$AH$1000,0)+4,"")</f>
        <v/>
      </c>
    </row>
    <row r="815">
      <c r="A815" s="5" t="str">
        <f>IF($G815="","",INDEX('Detalle individual'!$B:$B,$G815))</f>
        <v/>
      </c>
      <c r="B815" s="5" t="str">
        <f>IF($G815="","",INDEX('Detalle individual'!$A:$A,$G815))</f>
        <v/>
      </c>
      <c r="C815" s="5" t="str">
        <f>IF($G815="","",INDEX('Detalle individual'!$E:$E,$G815))</f>
        <v/>
      </c>
      <c r="D815" s="5" t="str">
        <f>IF($G815="","",INDEX('Detalle individual'!$C:$C,$G815))</f>
        <v/>
      </c>
      <c r="E815" s="5" t="str">
        <f>IF($G815="","",INDEX('Detalle individual'!$D:$D,$G815))</f>
        <v/>
      </c>
      <c r="G815" t="str">
        <f>IFERROR(MATCH(SMALL(Cálculos!$AH$5:$AH$1000,811),Cálculos!$AH$5:$AH$1000,0)+4,"")</f>
        <v/>
      </c>
    </row>
    <row r="816">
      <c r="A816" s="5" t="str">
        <f>IF($G816="","",INDEX('Detalle individual'!$B:$B,$G816))</f>
        <v/>
      </c>
      <c r="B816" s="5" t="str">
        <f>IF($G816="","",INDEX('Detalle individual'!$A:$A,$G816))</f>
        <v/>
      </c>
      <c r="C816" s="5" t="str">
        <f>IF($G816="","",INDEX('Detalle individual'!$E:$E,$G816))</f>
        <v/>
      </c>
      <c r="D816" s="5" t="str">
        <f>IF($G816="","",INDEX('Detalle individual'!$C:$C,$G816))</f>
        <v/>
      </c>
      <c r="E816" s="5" t="str">
        <f>IF($G816="","",INDEX('Detalle individual'!$D:$D,$G816))</f>
        <v/>
      </c>
      <c r="G816" t="str">
        <f>IFERROR(MATCH(SMALL(Cálculos!$AH$5:$AH$1000,812),Cálculos!$AH$5:$AH$1000,0)+4,"")</f>
        <v/>
      </c>
    </row>
    <row r="817">
      <c r="A817" s="5" t="str">
        <f>IF($G817="","",INDEX('Detalle individual'!$B:$B,$G817))</f>
        <v/>
      </c>
      <c r="B817" s="5" t="str">
        <f>IF($G817="","",INDEX('Detalle individual'!$A:$A,$G817))</f>
        <v/>
      </c>
      <c r="C817" s="5" t="str">
        <f>IF($G817="","",INDEX('Detalle individual'!$E:$E,$G817))</f>
        <v/>
      </c>
      <c r="D817" s="5" t="str">
        <f>IF($G817="","",INDEX('Detalle individual'!$C:$C,$G817))</f>
        <v/>
      </c>
      <c r="E817" s="5" t="str">
        <f>IF($G817="","",INDEX('Detalle individual'!$D:$D,$G817))</f>
        <v/>
      </c>
      <c r="G817" t="str">
        <f>IFERROR(MATCH(SMALL(Cálculos!$AH$5:$AH$1000,813),Cálculos!$AH$5:$AH$1000,0)+4,"")</f>
        <v/>
      </c>
    </row>
    <row r="818">
      <c r="A818" s="5" t="str">
        <f>IF($G818="","",INDEX('Detalle individual'!$B:$B,$G818))</f>
        <v/>
      </c>
      <c r="B818" s="5" t="str">
        <f>IF($G818="","",INDEX('Detalle individual'!$A:$A,$G818))</f>
        <v/>
      </c>
      <c r="C818" s="5" t="str">
        <f>IF($G818="","",INDEX('Detalle individual'!$E:$E,$G818))</f>
        <v/>
      </c>
      <c r="D818" s="5" t="str">
        <f>IF($G818="","",INDEX('Detalle individual'!$C:$C,$G818))</f>
        <v/>
      </c>
      <c r="E818" s="5" t="str">
        <f>IF($G818="","",INDEX('Detalle individual'!$D:$D,$G818))</f>
        <v/>
      </c>
      <c r="G818" t="str">
        <f>IFERROR(MATCH(SMALL(Cálculos!$AH$5:$AH$1000,814),Cálculos!$AH$5:$AH$1000,0)+4,"")</f>
        <v/>
      </c>
    </row>
    <row r="819">
      <c r="A819" s="5" t="str">
        <f>IF($G819="","",INDEX('Detalle individual'!$B:$B,$G819))</f>
        <v/>
      </c>
      <c r="B819" s="5" t="str">
        <f>IF($G819="","",INDEX('Detalle individual'!$A:$A,$G819))</f>
        <v/>
      </c>
      <c r="C819" s="5" t="str">
        <f>IF($G819="","",INDEX('Detalle individual'!$E:$E,$G819))</f>
        <v/>
      </c>
      <c r="D819" s="5" t="str">
        <f>IF($G819="","",INDEX('Detalle individual'!$C:$C,$G819))</f>
        <v/>
      </c>
      <c r="E819" s="5" t="str">
        <f>IF($G819="","",INDEX('Detalle individual'!$D:$D,$G819))</f>
        <v/>
      </c>
      <c r="G819" t="str">
        <f>IFERROR(MATCH(SMALL(Cálculos!$AH$5:$AH$1000,815),Cálculos!$AH$5:$AH$1000,0)+4,"")</f>
        <v/>
      </c>
    </row>
    <row r="820">
      <c r="A820" s="5" t="str">
        <f>IF($G820="","",INDEX('Detalle individual'!$B:$B,$G820))</f>
        <v/>
      </c>
      <c r="B820" s="5" t="str">
        <f>IF($G820="","",INDEX('Detalle individual'!$A:$A,$G820))</f>
        <v/>
      </c>
      <c r="C820" s="5" t="str">
        <f>IF($G820="","",INDEX('Detalle individual'!$E:$E,$G820))</f>
        <v/>
      </c>
      <c r="D820" s="5" t="str">
        <f>IF($G820="","",INDEX('Detalle individual'!$C:$C,$G820))</f>
        <v/>
      </c>
      <c r="E820" s="5" t="str">
        <f>IF($G820="","",INDEX('Detalle individual'!$D:$D,$G820))</f>
        <v/>
      </c>
      <c r="G820" t="str">
        <f>IFERROR(MATCH(SMALL(Cálculos!$AH$5:$AH$1000,816),Cálculos!$AH$5:$AH$1000,0)+4,"")</f>
        <v/>
      </c>
    </row>
    <row r="821">
      <c r="A821" s="5" t="str">
        <f>IF($G821="","",INDEX('Detalle individual'!$B:$B,$G821))</f>
        <v/>
      </c>
      <c r="B821" s="5" t="str">
        <f>IF($G821="","",INDEX('Detalle individual'!$A:$A,$G821))</f>
        <v/>
      </c>
      <c r="C821" s="5" t="str">
        <f>IF($G821="","",INDEX('Detalle individual'!$E:$E,$G821))</f>
        <v/>
      </c>
      <c r="D821" s="5" t="str">
        <f>IF($G821="","",INDEX('Detalle individual'!$C:$C,$G821))</f>
        <v/>
      </c>
      <c r="E821" s="5" t="str">
        <f>IF($G821="","",INDEX('Detalle individual'!$D:$D,$G821))</f>
        <v/>
      </c>
      <c r="G821" t="str">
        <f>IFERROR(MATCH(SMALL(Cálculos!$AH$5:$AH$1000,817),Cálculos!$AH$5:$AH$1000,0)+4,"")</f>
        <v/>
      </c>
    </row>
    <row r="822">
      <c r="A822" s="5" t="str">
        <f>IF($G822="","",INDEX('Detalle individual'!$B:$B,$G822))</f>
        <v/>
      </c>
      <c r="B822" s="5" t="str">
        <f>IF($G822="","",INDEX('Detalle individual'!$A:$A,$G822))</f>
        <v/>
      </c>
      <c r="C822" s="5" t="str">
        <f>IF($G822="","",INDEX('Detalle individual'!$E:$E,$G822))</f>
        <v/>
      </c>
      <c r="D822" s="5" t="str">
        <f>IF($G822="","",INDEX('Detalle individual'!$C:$C,$G822))</f>
        <v/>
      </c>
      <c r="E822" s="5" t="str">
        <f>IF($G822="","",INDEX('Detalle individual'!$D:$D,$G822))</f>
        <v/>
      </c>
      <c r="G822" t="str">
        <f>IFERROR(MATCH(SMALL(Cálculos!$AH$5:$AH$1000,818),Cálculos!$AH$5:$AH$1000,0)+4,"")</f>
        <v/>
      </c>
    </row>
    <row r="823">
      <c r="A823" s="5" t="str">
        <f>IF($G823="","",INDEX('Detalle individual'!$B:$B,$G823))</f>
        <v/>
      </c>
      <c r="B823" s="5" t="str">
        <f>IF($G823="","",INDEX('Detalle individual'!$A:$A,$G823))</f>
        <v/>
      </c>
      <c r="C823" s="5" t="str">
        <f>IF($G823="","",INDEX('Detalle individual'!$E:$E,$G823))</f>
        <v/>
      </c>
      <c r="D823" s="5" t="str">
        <f>IF($G823="","",INDEX('Detalle individual'!$C:$C,$G823))</f>
        <v/>
      </c>
      <c r="E823" s="5" t="str">
        <f>IF($G823="","",INDEX('Detalle individual'!$D:$D,$G823))</f>
        <v/>
      </c>
      <c r="G823" t="str">
        <f>IFERROR(MATCH(SMALL(Cálculos!$AH$5:$AH$1000,819),Cálculos!$AH$5:$AH$1000,0)+4,"")</f>
        <v/>
      </c>
    </row>
    <row r="824">
      <c r="A824" s="5" t="str">
        <f>IF($G824="","",INDEX('Detalle individual'!$B:$B,$G824))</f>
        <v/>
      </c>
      <c r="B824" s="5" t="str">
        <f>IF($G824="","",INDEX('Detalle individual'!$A:$A,$G824))</f>
        <v/>
      </c>
      <c r="C824" s="5" t="str">
        <f>IF($G824="","",INDEX('Detalle individual'!$E:$E,$G824))</f>
        <v/>
      </c>
      <c r="D824" s="5" t="str">
        <f>IF($G824="","",INDEX('Detalle individual'!$C:$C,$G824))</f>
        <v/>
      </c>
      <c r="E824" s="5" t="str">
        <f>IF($G824="","",INDEX('Detalle individual'!$D:$D,$G824))</f>
        <v/>
      </c>
      <c r="G824" t="str">
        <f>IFERROR(MATCH(SMALL(Cálculos!$AH$5:$AH$1000,820),Cálculos!$AH$5:$AH$1000,0)+4,"")</f>
        <v/>
      </c>
    </row>
    <row r="825">
      <c r="A825" s="5" t="str">
        <f>IF($G825="","",INDEX('Detalle individual'!$B:$B,$G825))</f>
        <v/>
      </c>
      <c r="B825" s="5" t="str">
        <f>IF($G825="","",INDEX('Detalle individual'!$A:$A,$G825))</f>
        <v/>
      </c>
      <c r="C825" s="5" t="str">
        <f>IF($G825="","",INDEX('Detalle individual'!$E:$E,$G825))</f>
        <v/>
      </c>
      <c r="D825" s="5" t="str">
        <f>IF($G825="","",INDEX('Detalle individual'!$C:$C,$G825))</f>
        <v/>
      </c>
      <c r="E825" s="5" t="str">
        <f>IF($G825="","",INDEX('Detalle individual'!$D:$D,$G825))</f>
        <v/>
      </c>
      <c r="G825" t="str">
        <f>IFERROR(MATCH(SMALL(Cálculos!$AH$5:$AH$1000,821),Cálculos!$AH$5:$AH$1000,0)+4,"")</f>
        <v/>
      </c>
    </row>
    <row r="826">
      <c r="A826" s="5" t="str">
        <f>IF($G826="","",INDEX('Detalle individual'!$B:$B,$G826))</f>
        <v/>
      </c>
      <c r="B826" s="5" t="str">
        <f>IF($G826="","",INDEX('Detalle individual'!$A:$A,$G826))</f>
        <v/>
      </c>
      <c r="C826" s="5" t="str">
        <f>IF($G826="","",INDEX('Detalle individual'!$E:$E,$G826))</f>
        <v/>
      </c>
      <c r="D826" s="5" t="str">
        <f>IF($G826="","",INDEX('Detalle individual'!$C:$C,$G826))</f>
        <v/>
      </c>
      <c r="E826" s="5" t="str">
        <f>IF($G826="","",INDEX('Detalle individual'!$D:$D,$G826))</f>
        <v/>
      </c>
      <c r="G826" t="str">
        <f>IFERROR(MATCH(SMALL(Cálculos!$AH$5:$AH$1000,822),Cálculos!$AH$5:$AH$1000,0)+4,"")</f>
        <v/>
      </c>
    </row>
    <row r="827">
      <c r="A827" s="5" t="str">
        <f>IF($G827="","",INDEX('Detalle individual'!$B:$B,$G827))</f>
        <v/>
      </c>
      <c r="B827" s="5" t="str">
        <f>IF($G827="","",INDEX('Detalle individual'!$A:$A,$G827))</f>
        <v/>
      </c>
      <c r="C827" s="5" t="str">
        <f>IF($G827="","",INDEX('Detalle individual'!$E:$E,$G827))</f>
        <v/>
      </c>
      <c r="D827" s="5" t="str">
        <f>IF($G827="","",INDEX('Detalle individual'!$C:$C,$G827))</f>
        <v/>
      </c>
      <c r="E827" s="5" t="str">
        <f>IF($G827="","",INDEX('Detalle individual'!$D:$D,$G827))</f>
        <v/>
      </c>
      <c r="G827" t="str">
        <f>IFERROR(MATCH(SMALL(Cálculos!$AH$5:$AH$1000,823),Cálculos!$AH$5:$AH$1000,0)+4,"")</f>
        <v/>
      </c>
    </row>
    <row r="828">
      <c r="A828" s="5" t="str">
        <f>IF($G828="","",INDEX('Detalle individual'!$B:$B,$G828))</f>
        <v/>
      </c>
      <c r="B828" s="5" t="str">
        <f>IF($G828="","",INDEX('Detalle individual'!$A:$A,$G828))</f>
        <v/>
      </c>
      <c r="C828" s="5" t="str">
        <f>IF($G828="","",INDEX('Detalle individual'!$E:$E,$G828))</f>
        <v/>
      </c>
      <c r="D828" s="5" t="str">
        <f>IF($G828="","",INDEX('Detalle individual'!$C:$C,$G828))</f>
        <v/>
      </c>
      <c r="E828" s="5" t="str">
        <f>IF($G828="","",INDEX('Detalle individual'!$D:$D,$G828))</f>
        <v/>
      </c>
      <c r="G828" t="str">
        <f>IFERROR(MATCH(SMALL(Cálculos!$AH$5:$AH$1000,824),Cálculos!$AH$5:$AH$1000,0)+4,"")</f>
        <v/>
      </c>
    </row>
    <row r="829">
      <c r="A829" s="5" t="str">
        <f>IF($G829="","",INDEX('Detalle individual'!$B:$B,$G829))</f>
        <v/>
      </c>
      <c r="B829" s="5" t="str">
        <f>IF($G829="","",INDEX('Detalle individual'!$A:$A,$G829))</f>
        <v/>
      </c>
      <c r="C829" s="5" t="str">
        <f>IF($G829="","",INDEX('Detalle individual'!$E:$E,$G829))</f>
        <v/>
      </c>
      <c r="D829" s="5" t="str">
        <f>IF($G829="","",INDEX('Detalle individual'!$C:$C,$G829))</f>
        <v/>
      </c>
      <c r="E829" s="5" t="str">
        <f>IF($G829="","",INDEX('Detalle individual'!$D:$D,$G829))</f>
        <v/>
      </c>
      <c r="G829" t="str">
        <f>IFERROR(MATCH(SMALL(Cálculos!$AH$5:$AH$1000,825),Cálculos!$AH$5:$AH$1000,0)+4,"")</f>
        <v/>
      </c>
    </row>
    <row r="830">
      <c r="A830" s="5" t="str">
        <f>IF($G830="","",INDEX('Detalle individual'!$B:$B,$G830))</f>
        <v/>
      </c>
      <c r="B830" s="5" t="str">
        <f>IF($G830="","",INDEX('Detalle individual'!$A:$A,$G830))</f>
        <v/>
      </c>
      <c r="C830" s="5" t="str">
        <f>IF($G830="","",INDEX('Detalle individual'!$E:$E,$G830))</f>
        <v/>
      </c>
      <c r="D830" s="5" t="str">
        <f>IF($G830="","",INDEX('Detalle individual'!$C:$C,$G830))</f>
        <v/>
      </c>
      <c r="E830" s="5" t="str">
        <f>IF($G830="","",INDEX('Detalle individual'!$D:$D,$G830))</f>
        <v/>
      </c>
      <c r="G830" t="str">
        <f>IFERROR(MATCH(SMALL(Cálculos!$AH$5:$AH$1000,826),Cálculos!$AH$5:$AH$1000,0)+4,"")</f>
        <v/>
      </c>
    </row>
    <row r="831">
      <c r="A831" s="5" t="str">
        <f>IF($G831="","",INDEX('Detalle individual'!$B:$B,$G831))</f>
        <v/>
      </c>
      <c r="B831" s="5" t="str">
        <f>IF($G831="","",INDEX('Detalle individual'!$A:$A,$G831))</f>
        <v/>
      </c>
      <c r="C831" s="5" t="str">
        <f>IF($G831="","",INDEX('Detalle individual'!$E:$E,$G831))</f>
        <v/>
      </c>
      <c r="D831" s="5" t="str">
        <f>IF($G831="","",INDEX('Detalle individual'!$C:$C,$G831))</f>
        <v/>
      </c>
      <c r="E831" s="5" t="str">
        <f>IF($G831="","",INDEX('Detalle individual'!$D:$D,$G831))</f>
        <v/>
      </c>
      <c r="G831" t="str">
        <f>IFERROR(MATCH(SMALL(Cálculos!$AH$5:$AH$1000,827),Cálculos!$AH$5:$AH$1000,0)+4,"")</f>
        <v/>
      </c>
    </row>
    <row r="832">
      <c r="A832" s="5" t="str">
        <f>IF($G832="","",INDEX('Detalle individual'!$B:$B,$G832))</f>
        <v/>
      </c>
      <c r="B832" s="5" t="str">
        <f>IF($G832="","",INDEX('Detalle individual'!$A:$A,$G832))</f>
        <v/>
      </c>
      <c r="C832" s="5" t="str">
        <f>IF($G832="","",INDEX('Detalle individual'!$E:$E,$G832))</f>
        <v/>
      </c>
      <c r="D832" s="5" t="str">
        <f>IF($G832="","",INDEX('Detalle individual'!$C:$C,$G832))</f>
        <v/>
      </c>
      <c r="E832" s="5" t="str">
        <f>IF($G832="","",INDEX('Detalle individual'!$D:$D,$G832))</f>
        <v/>
      </c>
      <c r="G832" t="str">
        <f>IFERROR(MATCH(SMALL(Cálculos!$AH$5:$AH$1000,828),Cálculos!$AH$5:$AH$1000,0)+4,"")</f>
        <v/>
      </c>
    </row>
    <row r="833">
      <c r="A833" s="5" t="str">
        <f>IF($G833="","",INDEX('Detalle individual'!$B:$B,$G833))</f>
        <v/>
      </c>
      <c r="B833" s="5" t="str">
        <f>IF($G833="","",INDEX('Detalle individual'!$A:$A,$G833))</f>
        <v/>
      </c>
      <c r="C833" s="5" t="str">
        <f>IF($G833="","",INDEX('Detalle individual'!$E:$E,$G833))</f>
        <v/>
      </c>
      <c r="D833" s="5" t="str">
        <f>IF($G833="","",INDEX('Detalle individual'!$C:$C,$G833))</f>
        <v/>
      </c>
      <c r="E833" s="5" t="str">
        <f>IF($G833="","",INDEX('Detalle individual'!$D:$D,$G833))</f>
        <v/>
      </c>
      <c r="G833" t="str">
        <f>IFERROR(MATCH(SMALL(Cálculos!$AH$5:$AH$1000,829),Cálculos!$AH$5:$AH$1000,0)+4,"")</f>
        <v/>
      </c>
    </row>
    <row r="834">
      <c r="A834" s="5" t="str">
        <f>IF($G834="","",INDEX('Detalle individual'!$B:$B,$G834))</f>
        <v/>
      </c>
      <c r="B834" s="5" t="str">
        <f>IF($G834="","",INDEX('Detalle individual'!$A:$A,$G834))</f>
        <v/>
      </c>
      <c r="C834" s="5" t="str">
        <f>IF($G834="","",INDEX('Detalle individual'!$E:$E,$G834))</f>
        <v/>
      </c>
      <c r="D834" s="5" t="str">
        <f>IF($G834="","",INDEX('Detalle individual'!$C:$C,$G834))</f>
        <v/>
      </c>
      <c r="E834" s="5" t="str">
        <f>IF($G834="","",INDEX('Detalle individual'!$D:$D,$G834))</f>
        <v/>
      </c>
      <c r="G834" t="str">
        <f>IFERROR(MATCH(SMALL(Cálculos!$AH$5:$AH$1000,830),Cálculos!$AH$5:$AH$1000,0)+4,"")</f>
        <v/>
      </c>
    </row>
    <row r="835">
      <c r="A835" s="5" t="str">
        <f>IF($G835="","",INDEX('Detalle individual'!$B:$B,$G835))</f>
        <v/>
      </c>
      <c r="B835" s="5" t="str">
        <f>IF($G835="","",INDEX('Detalle individual'!$A:$A,$G835))</f>
        <v/>
      </c>
      <c r="C835" s="5" t="str">
        <f>IF($G835="","",INDEX('Detalle individual'!$E:$E,$G835))</f>
        <v/>
      </c>
      <c r="D835" s="5" t="str">
        <f>IF($G835="","",INDEX('Detalle individual'!$C:$C,$G835))</f>
        <v/>
      </c>
      <c r="E835" s="5" t="str">
        <f>IF($G835="","",INDEX('Detalle individual'!$D:$D,$G835))</f>
        <v/>
      </c>
      <c r="G835" t="str">
        <f>IFERROR(MATCH(SMALL(Cálculos!$AH$5:$AH$1000,831),Cálculos!$AH$5:$AH$1000,0)+4,"")</f>
        <v/>
      </c>
    </row>
    <row r="836">
      <c r="A836" s="5" t="str">
        <f>IF($G836="","",INDEX('Detalle individual'!$B:$B,$G836))</f>
        <v/>
      </c>
      <c r="B836" s="5" t="str">
        <f>IF($G836="","",INDEX('Detalle individual'!$A:$A,$G836))</f>
        <v/>
      </c>
      <c r="C836" s="5" t="str">
        <f>IF($G836="","",INDEX('Detalle individual'!$E:$E,$G836))</f>
        <v/>
      </c>
      <c r="D836" s="5" t="str">
        <f>IF($G836="","",INDEX('Detalle individual'!$C:$C,$G836))</f>
        <v/>
      </c>
      <c r="E836" s="5" t="str">
        <f>IF($G836="","",INDEX('Detalle individual'!$D:$D,$G836))</f>
        <v/>
      </c>
      <c r="G836" t="str">
        <f>IFERROR(MATCH(SMALL(Cálculos!$AH$5:$AH$1000,832),Cálculos!$AH$5:$AH$1000,0)+4,"")</f>
        <v/>
      </c>
    </row>
    <row r="837">
      <c r="A837" s="5" t="str">
        <f>IF($G837="","",INDEX('Detalle individual'!$B:$B,$G837))</f>
        <v/>
      </c>
      <c r="B837" s="5" t="str">
        <f>IF($G837="","",INDEX('Detalle individual'!$A:$A,$G837))</f>
        <v/>
      </c>
      <c r="C837" s="5" t="str">
        <f>IF($G837="","",INDEX('Detalle individual'!$E:$E,$G837))</f>
        <v/>
      </c>
      <c r="D837" s="5" t="str">
        <f>IF($G837="","",INDEX('Detalle individual'!$C:$C,$G837))</f>
        <v/>
      </c>
      <c r="E837" s="5" t="str">
        <f>IF($G837="","",INDEX('Detalle individual'!$D:$D,$G837))</f>
        <v/>
      </c>
      <c r="G837" t="str">
        <f>IFERROR(MATCH(SMALL(Cálculos!$AH$5:$AH$1000,833),Cálculos!$AH$5:$AH$1000,0)+4,"")</f>
        <v/>
      </c>
    </row>
    <row r="838">
      <c r="A838" s="5" t="str">
        <f>IF($G838="","",INDEX('Detalle individual'!$B:$B,$G838))</f>
        <v/>
      </c>
      <c r="B838" s="5" t="str">
        <f>IF($G838="","",INDEX('Detalle individual'!$A:$A,$G838))</f>
        <v/>
      </c>
      <c r="C838" s="5" t="str">
        <f>IF($G838="","",INDEX('Detalle individual'!$E:$E,$G838))</f>
        <v/>
      </c>
      <c r="D838" s="5" t="str">
        <f>IF($G838="","",INDEX('Detalle individual'!$C:$C,$G838))</f>
        <v/>
      </c>
      <c r="E838" s="5" t="str">
        <f>IF($G838="","",INDEX('Detalle individual'!$D:$D,$G838))</f>
        <v/>
      </c>
      <c r="G838" t="str">
        <f>IFERROR(MATCH(SMALL(Cálculos!$AH$5:$AH$1000,834),Cálculos!$AH$5:$AH$1000,0)+4,"")</f>
        <v/>
      </c>
    </row>
    <row r="839">
      <c r="A839" s="5" t="str">
        <f>IF($G839="","",INDEX('Detalle individual'!$B:$B,$G839))</f>
        <v/>
      </c>
      <c r="B839" s="5" t="str">
        <f>IF($G839="","",INDEX('Detalle individual'!$A:$A,$G839))</f>
        <v/>
      </c>
      <c r="C839" s="5" t="str">
        <f>IF($G839="","",INDEX('Detalle individual'!$E:$E,$G839))</f>
        <v/>
      </c>
      <c r="D839" s="5" t="str">
        <f>IF($G839="","",INDEX('Detalle individual'!$C:$C,$G839))</f>
        <v/>
      </c>
      <c r="E839" s="5" t="str">
        <f>IF($G839="","",INDEX('Detalle individual'!$D:$D,$G839))</f>
        <v/>
      </c>
      <c r="G839" t="str">
        <f>IFERROR(MATCH(SMALL(Cálculos!$AH$5:$AH$1000,835),Cálculos!$AH$5:$AH$1000,0)+4,"")</f>
        <v/>
      </c>
    </row>
    <row r="840">
      <c r="A840" s="5" t="str">
        <f>IF($G840="","",INDEX('Detalle individual'!$B:$B,$G840))</f>
        <v/>
      </c>
      <c r="B840" s="5" t="str">
        <f>IF($G840="","",INDEX('Detalle individual'!$A:$A,$G840))</f>
        <v/>
      </c>
      <c r="C840" s="5" t="str">
        <f>IF($G840="","",INDEX('Detalle individual'!$E:$E,$G840))</f>
        <v/>
      </c>
      <c r="D840" s="5" t="str">
        <f>IF($G840="","",INDEX('Detalle individual'!$C:$C,$G840))</f>
        <v/>
      </c>
      <c r="E840" s="5" t="str">
        <f>IF($G840="","",INDEX('Detalle individual'!$D:$D,$G840))</f>
        <v/>
      </c>
      <c r="G840" t="str">
        <f>IFERROR(MATCH(SMALL(Cálculos!$AH$5:$AH$1000,836),Cálculos!$AH$5:$AH$1000,0)+4,"")</f>
        <v/>
      </c>
    </row>
    <row r="841">
      <c r="A841" s="5" t="str">
        <f>IF($G841="","",INDEX('Detalle individual'!$B:$B,$G841))</f>
        <v/>
      </c>
      <c r="B841" s="5" t="str">
        <f>IF($G841="","",INDEX('Detalle individual'!$A:$A,$G841))</f>
        <v/>
      </c>
      <c r="C841" s="5" t="str">
        <f>IF($G841="","",INDEX('Detalle individual'!$E:$E,$G841))</f>
        <v/>
      </c>
      <c r="D841" s="5" t="str">
        <f>IF($G841="","",INDEX('Detalle individual'!$C:$C,$G841))</f>
        <v/>
      </c>
      <c r="E841" s="5" t="str">
        <f>IF($G841="","",INDEX('Detalle individual'!$D:$D,$G841))</f>
        <v/>
      </c>
      <c r="G841" t="str">
        <f>IFERROR(MATCH(SMALL(Cálculos!$AH$5:$AH$1000,837),Cálculos!$AH$5:$AH$1000,0)+4,"")</f>
        <v/>
      </c>
    </row>
    <row r="842">
      <c r="A842" s="5" t="str">
        <f>IF($G842="","",INDEX('Detalle individual'!$B:$B,$G842))</f>
        <v/>
      </c>
      <c r="B842" s="5" t="str">
        <f>IF($G842="","",INDEX('Detalle individual'!$A:$A,$G842))</f>
        <v/>
      </c>
      <c r="C842" s="5" t="str">
        <f>IF($G842="","",INDEX('Detalle individual'!$E:$E,$G842))</f>
        <v/>
      </c>
      <c r="D842" s="5" t="str">
        <f>IF($G842="","",INDEX('Detalle individual'!$C:$C,$G842))</f>
        <v/>
      </c>
      <c r="E842" s="5" t="str">
        <f>IF($G842="","",INDEX('Detalle individual'!$D:$D,$G842))</f>
        <v/>
      </c>
      <c r="G842" t="str">
        <f>IFERROR(MATCH(SMALL(Cálculos!$AH$5:$AH$1000,838),Cálculos!$AH$5:$AH$1000,0)+4,"")</f>
        <v/>
      </c>
    </row>
    <row r="843">
      <c r="A843" s="5" t="str">
        <f>IF($G843="","",INDEX('Detalle individual'!$B:$B,$G843))</f>
        <v/>
      </c>
      <c r="B843" s="5" t="str">
        <f>IF($G843="","",INDEX('Detalle individual'!$A:$A,$G843))</f>
        <v/>
      </c>
      <c r="C843" s="5" t="str">
        <f>IF($G843="","",INDEX('Detalle individual'!$E:$E,$G843))</f>
        <v/>
      </c>
      <c r="D843" s="5" t="str">
        <f>IF($G843="","",INDEX('Detalle individual'!$C:$C,$G843))</f>
        <v/>
      </c>
      <c r="E843" s="5" t="str">
        <f>IF($G843="","",INDEX('Detalle individual'!$D:$D,$G843))</f>
        <v/>
      </c>
      <c r="G843" t="str">
        <f>IFERROR(MATCH(SMALL(Cálculos!$AH$5:$AH$1000,839),Cálculos!$AH$5:$AH$1000,0)+4,"")</f>
        <v/>
      </c>
    </row>
    <row r="844">
      <c r="A844" s="5" t="str">
        <f>IF($G844="","",INDEX('Detalle individual'!$B:$B,$G844))</f>
        <v/>
      </c>
      <c r="B844" s="5" t="str">
        <f>IF($G844="","",INDEX('Detalle individual'!$A:$A,$G844))</f>
        <v/>
      </c>
      <c r="C844" s="5" t="str">
        <f>IF($G844="","",INDEX('Detalle individual'!$E:$E,$G844))</f>
        <v/>
      </c>
      <c r="D844" s="5" t="str">
        <f>IF($G844="","",INDEX('Detalle individual'!$C:$C,$G844))</f>
        <v/>
      </c>
      <c r="E844" s="5" t="str">
        <f>IF($G844="","",INDEX('Detalle individual'!$D:$D,$G844))</f>
        <v/>
      </c>
      <c r="G844" t="str">
        <f>IFERROR(MATCH(SMALL(Cálculos!$AH$5:$AH$1000,840),Cálculos!$AH$5:$AH$1000,0)+4,"")</f>
        <v/>
      </c>
    </row>
    <row r="845">
      <c r="A845" s="5" t="str">
        <f>IF($G845="","",INDEX('Detalle individual'!$B:$B,$G845))</f>
        <v/>
      </c>
      <c r="B845" s="5" t="str">
        <f>IF($G845="","",INDEX('Detalle individual'!$A:$A,$G845))</f>
        <v/>
      </c>
      <c r="C845" s="5" t="str">
        <f>IF($G845="","",INDEX('Detalle individual'!$E:$E,$G845))</f>
        <v/>
      </c>
      <c r="D845" s="5" t="str">
        <f>IF($G845="","",INDEX('Detalle individual'!$C:$C,$G845))</f>
        <v/>
      </c>
      <c r="E845" s="5" t="str">
        <f>IF($G845="","",INDEX('Detalle individual'!$D:$D,$G845))</f>
        <v/>
      </c>
      <c r="G845" t="str">
        <f>IFERROR(MATCH(SMALL(Cálculos!$AH$5:$AH$1000,841),Cálculos!$AH$5:$AH$1000,0)+4,"")</f>
        <v/>
      </c>
    </row>
    <row r="846">
      <c r="A846" s="5" t="str">
        <f>IF($G846="","",INDEX('Detalle individual'!$B:$B,$G846))</f>
        <v/>
      </c>
      <c r="B846" s="5" t="str">
        <f>IF($G846="","",INDEX('Detalle individual'!$A:$A,$G846))</f>
        <v/>
      </c>
      <c r="C846" s="5" t="str">
        <f>IF($G846="","",INDEX('Detalle individual'!$E:$E,$G846))</f>
        <v/>
      </c>
      <c r="D846" s="5" t="str">
        <f>IF($G846="","",INDEX('Detalle individual'!$C:$C,$G846))</f>
        <v/>
      </c>
      <c r="E846" s="5" t="str">
        <f>IF($G846="","",INDEX('Detalle individual'!$D:$D,$G846))</f>
        <v/>
      </c>
      <c r="G846" t="str">
        <f>IFERROR(MATCH(SMALL(Cálculos!$AH$5:$AH$1000,842),Cálculos!$AH$5:$AH$1000,0)+4,"")</f>
        <v/>
      </c>
    </row>
    <row r="847">
      <c r="A847" s="5" t="str">
        <f>IF($G847="","",INDEX('Detalle individual'!$B:$B,$G847))</f>
        <v/>
      </c>
      <c r="B847" s="5" t="str">
        <f>IF($G847="","",INDEX('Detalle individual'!$A:$A,$G847))</f>
        <v/>
      </c>
      <c r="C847" s="5" t="str">
        <f>IF($G847="","",INDEX('Detalle individual'!$E:$E,$G847))</f>
        <v/>
      </c>
      <c r="D847" s="5" t="str">
        <f>IF($G847="","",INDEX('Detalle individual'!$C:$C,$G847))</f>
        <v/>
      </c>
      <c r="E847" s="5" t="str">
        <f>IF($G847="","",INDEX('Detalle individual'!$D:$D,$G847))</f>
        <v/>
      </c>
      <c r="G847" t="str">
        <f>IFERROR(MATCH(SMALL(Cálculos!$AH$5:$AH$1000,843),Cálculos!$AH$5:$AH$1000,0)+4,"")</f>
        <v/>
      </c>
    </row>
    <row r="848">
      <c r="A848" s="5" t="str">
        <f>IF($G848="","",INDEX('Detalle individual'!$B:$B,$G848))</f>
        <v/>
      </c>
      <c r="B848" s="5" t="str">
        <f>IF($G848="","",INDEX('Detalle individual'!$A:$A,$G848))</f>
        <v/>
      </c>
      <c r="C848" s="5" t="str">
        <f>IF($G848="","",INDEX('Detalle individual'!$E:$E,$G848))</f>
        <v/>
      </c>
      <c r="D848" s="5" t="str">
        <f>IF($G848="","",INDEX('Detalle individual'!$C:$C,$G848))</f>
        <v/>
      </c>
      <c r="E848" s="5" t="str">
        <f>IF($G848="","",INDEX('Detalle individual'!$D:$D,$G848))</f>
        <v/>
      </c>
      <c r="G848" t="str">
        <f>IFERROR(MATCH(SMALL(Cálculos!$AH$5:$AH$1000,844),Cálculos!$AH$5:$AH$1000,0)+4,"")</f>
        <v/>
      </c>
    </row>
    <row r="849">
      <c r="A849" s="5" t="str">
        <f>IF($G849="","",INDEX('Detalle individual'!$B:$B,$G849))</f>
        <v/>
      </c>
      <c r="B849" s="5" t="str">
        <f>IF($G849="","",INDEX('Detalle individual'!$A:$A,$G849))</f>
        <v/>
      </c>
      <c r="C849" s="5" t="str">
        <f>IF($G849="","",INDEX('Detalle individual'!$E:$E,$G849))</f>
        <v/>
      </c>
      <c r="D849" s="5" t="str">
        <f>IF($G849="","",INDEX('Detalle individual'!$C:$C,$G849))</f>
        <v/>
      </c>
      <c r="E849" s="5" t="str">
        <f>IF($G849="","",INDEX('Detalle individual'!$D:$D,$G849))</f>
        <v/>
      </c>
      <c r="G849" t="str">
        <f>IFERROR(MATCH(SMALL(Cálculos!$AH$5:$AH$1000,845),Cálculos!$AH$5:$AH$1000,0)+4,"")</f>
        <v/>
      </c>
    </row>
    <row r="850">
      <c r="A850" s="5" t="str">
        <f>IF($G850="","",INDEX('Detalle individual'!$B:$B,$G850))</f>
        <v/>
      </c>
      <c r="B850" s="5" t="str">
        <f>IF($G850="","",INDEX('Detalle individual'!$A:$A,$G850))</f>
        <v/>
      </c>
      <c r="C850" s="5" t="str">
        <f>IF($G850="","",INDEX('Detalle individual'!$E:$E,$G850))</f>
        <v/>
      </c>
      <c r="D850" s="5" t="str">
        <f>IF($G850="","",INDEX('Detalle individual'!$C:$C,$G850))</f>
        <v/>
      </c>
      <c r="E850" s="5" t="str">
        <f>IF($G850="","",INDEX('Detalle individual'!$D:$D,$G850))</f>
        <v/>
      </c>
      <c r="G850" t="str">
        <f>IFERROR(MATCH(SMALL(Cálculos!$AH$5:$AH$1000,846),Cálculos!$AH$5:$AH$1000,0)+4,"")</f>
        <v/>
      </c>
    </row>
    <row r="851">
      <c r="A851" s="5" t="str">
        <f>IF($G851="","",INDEX('Detalle individual'!$B:$B,$G851))</f>
        <v/>
      </c>
      <c r="B851" s="5" t="str">
        <f>IF($G851="","",INDEX('Detalle individual'!$A:$A,$G851))</f>
        <v/>
      </c>
      <c r="C851" s="5" t="str">
        <f>IF($G851="","",INDEX('Detalle individual'!$E:$E,$G851))</f>
        <v/>
      </c>
      <c r="D851" s="5" t="str">
        <f>IF($G851="","",INDEX('Detalle individual'!$C:$C,$G851))</f>
        <v/>
      </c>
      <c r="E851" s="5" t="str">
        <f>IF($G851="","",INDEX('Detalle individual'!$D:$D,$G851))</f>
        <v/>
      </c>
      <c r="G851" t="str">
        <f>IFERROR(MATCH(SMALL(Cálculos!$AH$5:$AH$1000,847),Cálculos!$AH$5:$AH$1000,0)+4,"")</f>
        <v/>
      </c>
    </row>
    <row r="852">
      <c r="A852" s="5" t="str">
        <f>IF($G852="","",INDEX('Detalle individual'!$B:$B,$G852))</f>
        <v/>
      </c>
      <c r="B852" s="5" t="str">
        <f>IF($G852="","",INDEX('Detalle individual'!$A:$A,$G852))</f>
        <v/>
      </c>
      <c r="C852" s="5" t="str">
        <f>IF($G852="","",INDEX('Detalle individual'!$E:$E,$G852))</f>
        <v/>
      </c>
      <c r="D852" s="5" t="str">
        <f>IF($G852="","",INDEX('Detalle individual'!$C:$C,$G852))</f>
        <v/>
      </c>
      <c r="E852" s="5" t="str">
        <f>IF($G852="","",INDEX('Detalle individual'!$D:$D,$G852))</f>
        <v/>
      </c>
      <c r="G852" t="str">
        <f>IFERROR(MATCH(SMALL(Cálculos!$AH$5:$AH$1000,848),Cálculos!$AH$5:$AH$1000,0)+4,"")</f>
        <v/>
      </c>
    </row>
    <row r="853">
      <c r="A853" s="5" t="str">
        <f>IF($G853="","",INDEX('Detalle individual'!$B:$B,$G853))</f>
        <v/>
      </c>
      <c r="B853" s="5" t="str">
        <f>IF($G853="","",INDEX('Detalle individual'!$A:$A,$G853))</f>
        <v/>
      </c>
      <c r="C853" s="5" t="str">
        <f>IF($G853="","",INDEX('Detalle individual'!$E:$E,$G853))</f>
        <v/>
      </c>
      <c r="D853" s="5" t="str">
        <f>IF($G853="","",INDEX('Detalle individual'!$C:$C,$G853))</f>
        <v/>
      </c>
      <c r="E853" s="5" t="str">
        <f>IF($G853="","",INDEX('Detalle individual'!$D:$D,$G853))</f>
        <v/>
      </c>
      <c r="G853" t="str">
        <f>IFERROR(MATCH(SMALL(Cálculos!$AH$5:$AH$1000,849),Cálculos!$AH$5:$AH$1000,0)+4,"")</f>
        <v/>
      </c>
    </row>
    <row r="854">
      <c r="A854" s="5" t="str">
        <f>IF($G854="","",INDEX('Detalle individual'!$B:$B,$G854))</f>
        <v/>
      </c>
      <c r="B854" s="5" t="str">
        <f>IF($G854="","",INDEX('Detalle individual'!$A:$A,$G854))</f>
        <v/>
      </c>
      <c r="C854" s="5" t="str">
        <f>IF($G854="","",INDEX('Detalle individual'!$E:$E,$G854))</f>
        <v/>
      </c>
      <c r="D854" s="5" t="str">
        <f>IF($G854="","",INDEX('Detalle individual'!$C:$C,$G854))</f>
        <v/>
      </c>
      <c r="E854" s="5" t="str">
        <f>IF($G854="","",INDEX('Detalle individual'!$D:$D,$G854))</f>
        <v/>
      </c>
      <c r="G854" t="str">
        <f>IFERROR(MATCH(SMALL(Cálculos!$AH$5:$AH$1000,850),Cálculos!$AH$5:$AH$1000,0)+4,"")</f>
        <v/>
      </c>
    </row>
    <row r="855">
      <c r="A855" s="5" t="str">
        <f>IF($G855="","",INDEX('Detalle individual'!$B:$B,$G855))</f>
        <v/>
      </c>
      <c r="B855" s="5" t="str">
        <f>IF($G855="","",INDEX('Detalle individual'!$A:$A,$G855))</f>
        <v/>
      </c>
      <c r="C855" s="5" t="str">
        <f>IF($G855="","",INDEX('Detalle individual'!$E:$E,$G855))</f>
        <v/>
      </c>
      <c r="D855" s="5" t="str">
        <f>IF($G855="","",INDEX('Detalle individual'!$C:$C,$G855))</f>
        <v/>
      </c>
      <c r="E855" s="5" t="str">
        <f>IF($G855="","",INDEX('Detalle individual'!$D:$D,$G855))</f>
        <v/>
      </c>
      <c r="G855" t="str">
        <f>IFERROR(MATCH(SMALL(Cálculos!$AH$5:$AH$1000,851),Cálculos!$AH$5:$AH$1000,0)+4,"")</f>
        <v/>
      </c>
    </row>
    <row r="856">
      <c r="A856" s="5" t="str">
        <f>IF($G856="","",INDEX('Detalle individual'!$B:$B,$G856))</f>
        <v/>
      </c>
      <c r="B856" s="5" t="str">
        <f>IF($G856="","",INDEX('Detalle individual'!$A:$A,$G856))</f>
        <v/>
      </c>
      <c r="C856" s="5" t="str">
        <f>IF($G856="","",INDEX('Detalle individual'!$E:$E,$G856))</f>
        <v/>
      </c>
      <c r="D856" s="5" t="str">
        <f>IF($G856="","",INDEX('Detalle individual'!$C:$C,$G856))</f>
        <v/>
      </c>
      <c r="E856" s="5" t="str">
        <f>IF($G856="","",INDEX('Detalle individual'!$D:$D,$G856))</f>
        <v/>
      </c>
      <c r="G856" t="str">
        <f>IFERROR(MATCH(SMALL(Cálculos!$AH$5:$AH$1000,852),Cálculos!$AH$5:$AH$1000,0)+4,"")</f>
        <v/>
      </c>
    </row>
    <row r="857">
      <c r="A857" s="5" t="str">
        <f>IF($G857="","",INDEX('Detalle individual'!$B:$B,$G857))</f>
        <v/>
      </c>
      <c r="B857" s="5" t="str">
        <f>IF($G857="","",INDEX('Detalle individual'!$A:$A,$G857))</f>
        <v/>
      </c>
      <c r="C857" s="5" t="str">
        <f>IF($G857="","",INDEX('Detalle individual'!$E:$E,$G857))</f>
        <v/>
      </c>
      <c r="D857" s="5" t="str">
        <f>IF($G857="","",INDEX('Detalle individual'!$C:$C,$G857))</f>
        <v/>
      </c>
      <c r="E857" s="5" t="str">
        <f>IF($G857="","",INDEX('Detalle individual'!$D:$D,$G857))</f>
        <v/>
      </c>
      <c r="G857" t="str">
        <f>IFERROR(MATCH(SMALL(Cálculos!$AH$5:$AH$1000,853),Cálculos!$AH$5:$AH$1000,0)+4,"")</f>
        <v/>
      </c>
    </row>
    <row r="858">
      <c r="A858" s="5" t="str">
        <f>IF($G858="","",INDEX('Detalle individual'!$B:$B,$G858))</f>
        <v/>
      </c>
      <c r="B858" s="5" t="str">
        <f>IF($G858="","",INDEX('Detalle individual'!$A:$A,$G858))</f>
        <v/>
      </c>
      <c r="C858" s="5" t="str">
        <f>IF($G858="","",INDEX('Detalle individual'!$E:$E,$G858))</f>
        <v/>
      </c>
      <c r="D858" s="5" t="str">
        <f>IF($G858="","",INDEX('Detalle individual'!$C:$C,$G858))</f>
        <v/>
      </c>
      <c r="E858" s="5" t="str">
        <f>IF($G858="","",INDEX('Detalle individual'!$D:$D,$G858))</f>
        <v/>
      </c>
      <c r="G858" t="str">
        <f>IFERROR(MATCH(SMALL(Cálculos!$AH$5:$AH$1000,854),Cálculos!$AH$5:$AH$1000,0)+4,"")</f>
        <v/>
      </c>
    </row>
    <row r="859">
      <c r="A859" s="5" t="str">
        <f>IF($G859="","",INDEX('Detalle individual'!$B:$B,$G859))</f>
        <v/>
      </c>
      <c r="B859" s="5" t="str">
        <f>IF($G859="","",INDEX('Detalle individual'!$A:$A,$G859))</f>
        <v/>
      </c>
      <c r="C859" s="5" t="str">
        <f>IF($G859="","",INDEX('Detalle individual'!$E:$E,$G859))</f>
        <v/>
      </c>
      <c r="D859" s="5" t="str">
        <f>IF($G859="","",INDEX('Detalle individual'!$C:$C,$G859))</f>
        <v/>
      </c>
      <c r="E859" s="5" t="str">
        <f>IF($G859="","",INDEX('Detalle individual'!$D:$D,$G859))</f>
        <v/>
      </c>
      <c r="G859" t="str">
        <f>IFERROR(MATCH(SMALL(Cálculos!$AH$5:$AH$1000,855),Cálculos!$AH$5:$AH$1000,0)+4,"")</f>
        <v/>
      </c>
    </row>
    <row r="860">
      <c r="A860" s="5" t="str">
        <f>IF($G860="","",INDEX('Detalle individual'!$B:$B,$G860))</f>
        <v/>
      </c>
      <c r="B860" s="5" t="str">
        <f>IF($G860="","",INDEX('Detalle individual'!$A:$A,$G860))</f>
        <v/>
      </c>
      <c r="C860" s="5" t="str">
        <f>IF($G860="","",INDEX('Detalle individual'!$E:$E,$G860))</f>
        <v/>
      </c>
      <c r="D860" s="5" t="str">
        <f>IF($G860="","",INDEX('Detalle individual'!$C:$C,$G860))</f>
        <v/>
      </c>
      <c r="E860" s="5" t="str">
        <f>IF($G860="","",INDEX('Detalle individual'!$D:$D,$G860))</f>
        <v/>
      </c>
      <c r="G860" t="str">
        <f>IFERROR(MATCH(SMALL(Cálculos!$AH$5:$AH$1000,856),Cálculos!$AH$5:$AH$1000,0)+4,"")</f>
        <v/>
      </c>
    </row>
    <row r="861">
      <c r="A861" s="5" t="str">
        <f>IF($G861="","",INDEX('Detalle individual'!$B:$B,$G861))</f>
        <v/>
      </c>
      <c r="B861" s="5" t="str">
        <f>IF($G861="","",INDEX('Detalle individual'!$A:$A,$G861))</f>
        <v/>
      </c>
      <c r="C861" s="5" t="str">
        <f>IF($G861="","",INDEX('Detalle individual'!$E:$E,$G861))</f>
        <v/>
      </c>
      <c r="D861" s="5" t="str">
        <f>IF($G861="","",INDEX('Detalle individual'!$C:$C,$G861))</f>
        <v/>
      </c>
      <c r="E861" s="5" t="str">
        <f>IF($G861="","",INDEX('Detalle individual'!$D:$D,$G861))</f>
        <v/>
      </c>
      <c r="G861" t="str">
        <f>IFERROR(MATCH(SMALL(Cálculos!$AH$5:$AH$1000,857),Cálculos!$AH$5:$AH$1000,0)+4,"")</f>
        <v/>
      </c>
    </row>
    <row r="862">
      <c r="A862" s="5" t="str">
        <f>IF($G862="","",INDEX('Detalle individual'!$B:$B,$G862))</f>
        <v/>
      </c>
      <c r="B862" s="5" t="str">
        <f>IF($G862="","",INDEX('Detalle individual'!$A:$A,$G862))</f>
        <v/>
      </c>
      <c r="C862" s="5" t="str">
        <f>IF($G862="","",INDEX('Detalle individual'!$E:$E,$G862))</f>
        <v/>
      </c>
      <c r="D862" s="5" t="str">
        <f>IF($G862="","",INDEX('Detalle individual'!$C:$C,$G862))</f>
        <v/>
      </c>
      <c r="E862" s="5" t="str">
        <f>IF($G862="","",INDEX('Detalle individual'!$D:$D,$G862))</f>
        <v/>
      </c>
      <c r="G862" t="str">
        <f>IFERROR(MATCH(SMALL(Cálculos!$AH$5:$AH$1000,858),Cálculos!$AH$5:$AH$1000,0)+4,"")</f>
        <v/>
      </c>
    </row>
    <row r="863">
      <c r="A863" s="5" t="str">
        <f>IF($G863="","",INDEX('Detalle individual'!$B:$B,$G863))</f>
        <v/>
      </c>
      <c r="B863" s="5" t="str">
        <f>IF($G863="","",INDEX('Detalle individual'!$A:$A,$G863))</f>
        <v/>
      </c>
      <c r="C863" s="5" t="str">
        <f>IF($G863="","",INDEX('Detalle individual'!$E:$E,$G863))</f>
        <v/>
      </c>
      <c r="D863" s="5" t="str">
        <f>IF($G863="","",INDEX('Detalle individual'!$C:$C,$G863))</f>
        <v/>
      </c>
      <c r="E863" s="5" t="str">
        <f>IF($G863="","",INDEX('Detalle individual'!$D:$D,$G863))</f>
        <v/>
      </c>
      <c r="G863" t="str">
        <f>IFERROR(MATCH(SMALL(Cálculos!$AH$5:$AH$1000,859),Cálculos!$AH$5:$AH$1000,0)+4,"")</f>
        <v/>
      </c>
    </row>
    <row r="864">
      <c r="A864" s="5" t="str">
        <f>IF($G864="","",INDEX('Detalle individual'!$B:$B,$G864))</f>
        <v/>
      </c>
      <c r="B864" s="5" t="str">
        <f>IF($G864="","",INDEX('Detalle individual'!$A:$A,$G864))</f>
        <v/>
      </c>
      <c r="C864" s="5" t="str">
        <f>IF($G864="","",INDEX('Detalle individual'!$E:$E,$G864))</f>
        <v/>
      </c>
      <c r="D864" s="5" t="str">
        <f>IF($G864="","",INDEX('Detalle individual'!$C:$C,$G864))</f>
        <v/>
      </c>
      <c r="E864" s="5" t="str">
        <f>IF($G864="","",INDEX('Detalle individual'!$D:$D,$G864))</f>
        <v/>
      </c>
      <c r="G864" t="str">
        <f>IFERROR(MATCH(SMALL(Cálculos!$AH$5:$AH$1000,860),Cálculos!$AH$5:$AH$1000,0)+4,"")</f>
        <v/>
      </c>
    </row>
    <row r="865">
      <c r="A865" s="5" t="str">
        <f>IF($G865="","",INDEX('Detalle individual'!$B:$B,$G865))</f>
        <v/>
      </c>
      <c r="B865" s="5" t="str">
        <f>IF($G865="","",INDEX('Detalle individual'!$A:$A,$G865))</f>
        <v/>
      </c>
      <c r="C865" s="5" t="str">
        <f>IF($G865="","",INDEX('Detalle individual'!$E:$E,$G865))</f>
        <v/>
      </c>
      <c r="D865" s="5" t="str">
        <f>IF($G865="","",INDEX('Detalle individual'!$C:$C,$G865))</f>
        <v/>
      </c>
      <c r="E865" s="5" t="str">
        <f>IF($G865="","",INDEX('Detalle individual'!$D:$D,$G865))</f>
        <v/>
      </c>
      <c r="G865" t="str">
        <f>IFERROR(MATCH(SMALL(Cálculos!$AH$5:$AH$1000,861),Cálculos!$AH$5:$AH$1000,0)+4,"")</f>
        <v/>
      </c>
    </row>
    <row r="866">
      <c r="A866" s="5" t="str">
        <f>IF($G866="","",INDEX('Detalle individual'!$B:$B,$G866))</f>
        <v/>
      </c>
      <c r="B866" s="5" t="str">
        <f>IF($G866="","",INDEX('Detalle individual'!$A:$A,$G866))</f>
        <v/>
      </c>
      <c r="C866" s="5" t="str">
        <f>IF($G866="","",INDEX('Detalle individual'!$E:$E,$G866))</f>
        <v/>
      </c>
      <c r="D866" s="5" t="str">
        <f>IF($G866="","",INDEX('Detalle individual'!$C:$C,$G866))</f>
        <v/>
      </c>
      <c r="E866" s="5" t="str">
        <f>IF($G866="","",INDEX('Detalle individual'!$D:$D,$G866))</f>
        <v/>
      </c>
      <c r="G866" t="str">
        <f>IFERROR(MATCH(SMALL(Cálculos!$AH$5:$AH$1000,862),Cálculos!$AH$5:$AH$1000,0)+4,"")</f>
        <v/>
      </c>
    </row>
    <row r="867">
      <c r="A867" s="5" t="str">
        <f>IF($G867="","",INDEX('Detalle individual'!$B:$B,$G867))</f>
        <v/>
      </c>
      <c r="B867" s="5" t="str">
        <f>IF($G867="","",INDEX('Detalle individual'!$A:$A,$G867))</f>
        <v/>
      </c>
      <c r="C867" s="5" t="str">
        <f>IF($G867="","",INDEX('Detalle individual'!$E:$E,$G867))</f>
        <v/>
      </c>
      <c r="D867" s="5" t="str">
        <f>IF($G867="","",INDEX('Detalle individual'!$C:$C,$G867))</f>
        <v/>
      </c>
      <c r="E867" s="5" t="str">
        <f>IF($G867="","",INDEX('Detalle individual'!$D:$D,$G867))</f>
        <v/>
      </c>
      <c r="G867" t="str">
        <f>IFERROR(MATCH(SMALL(Cálculos!$AH$5:$AH$1000,863),Cálculos!$AH$5:$AH$1000,0)+4,"")</f>
        <v/>
      </c>
    </row>
    <row r="868">
      <c r="A868" s="5" t="str">
        <f>IF($G868="","",INDEX('Detalle individual'!$B:$B,$G868))</f>
        <v/>
      </c>
      <c r="B868" s="5" t="str">
        <f>IF($G868="","",INDEX('Detalle individual'!$A:$A,$G868))</f>
        <v/>
      </c>
      <c r="C868" s="5" t="str">
        <f>IF($G868="","",INDEX('Detalle individual'!$E:$E,$G868))</f>
        <v/>
      </c>
      <c r="D868" s="5" t="str">
        <f>IF($G868="","",INDEX('Detalle individual'!$C:$C,$G868))</f>
        <v/>
      </c>
      <c r="E868" s="5" t="str">
        <f>IF($G868="","",INDEX('Detalle individual'!$D:$D,$G868))</f>
        <v/>
      </c>
      <c r="G868" t="str">
        <f>IFERROR(MATCH(SMALL(Cálculos!$AH$5:$AH$1000,864),Cálculos!$AH$5:$AH$1000,0)+4,"")</f>
        <v/>
      </c>
    </row>
    <row r="869">
      <c r="A869" s="5" t="str">
        <f>IF($G869="","",INDEX('Detalle individual'!$B:$B,$G869))</f>
        <v/>
      </c>
      <c r="B869" s="5" t="str">
        <f>IF($G869="","",INDEX('Detalle individual'!$A:$A,$G869))</f>
        <v/>
      </c>
      <c r="C869" s="5" t="str">
        <f>IF($G869="","",INDEX('Detalle individual'!$E:$E,$G869))</f>
        <v/>
      </c>
      <c r="D869" s="5" t="str">
        <f>IF($G869="","",INDEX('Detalle individual'!$C:$C,$G869))</f>
        <v/>
      </c>
      <c r="E869" s="5" t="str">
        <f>IF($G869="","",INDEX('Detalle individual'!$D:$D,$G869))</f>
        <v/>
      </c>
      <c r="G869" t="str">
        <f>IFERROR(MATCH(SMALL(Cálculos!$AH$5:$AH$1000,865),Cálculos!$AH$5:$AH$1000,0)+4,"")</f>
        <v/>
      </c>
    </row>
    <row r="870">
      <c r="A870" s="5" t="str">
        <f>IF($G870="","",INDEX('Detalle individual'!$B:$B,$G870))</f>
        <v/>
      </c>
      <c r="B870" s="5" t="str">
        <f>IF($G870="","",INDEX('Detalle individual'!$A:$A,$G870))</f>
        <v/>
      </c>
      <c r="C870" s="5" t="str">
        <f>IF($G870="","",INDEX('Detalle individual'!$E:$E,$G870))</f>
        <v/>
      </c>
      <c r="D870" s="5" t="str">
        <f>IF($G870="","",INDEX('Detalle individual'!$C:$C,$G870))</f>
        <v/>
      </c>
      <c r="E870" s="5" t="str">
        <f>IF($G870="","",INDEX('Detalle individual'!$D:$D,$G870))</f>
        <v/>
      </c>
      <c r="G870" t="str">
        <f>IFERROR(MATCH(SMALL(Cálculos!$AH$5:$AH$1000,866),Cálculos!$AH$5:$AH$1000,0)+4,"")</f>
        <v/>
      </c>
    </row>
    <row r="871">
      <c r="A871" s="5" t="str">
        <f>IF($G871="","",INDEX('Detalle individual'!$B:$B,$G871))</f>
        <v/>
      </c>
      <c r="B871" s="5" t="str">
        <f>IF($G871="","",INDEX('Detalle individual'!$A:$A,$G871))</f>
        <v/>
      </c>
      <c r="C871" s="5" t="str">
        <f>IF($G871="","",INDEX('Detalle individual'!$E:$E,$G871))</f>
        <v/>
      </c>
      <c r="D871" s="5" t="str">
        <f>IF($G871="","",INDEX('Detalle individual'!$C:$C,$G871))</f>
        <v/>
      </c>
      <c r="E871" s="5" t="str">
        <f>IF($G871="","",INDEX('Detalle individual'!$D:$D,$G871))</f>
        <v/>
      </c>
      <c r="G871" t="str">
        <f>IFERROR(MATCH(SMALL(Cálculos!$AH$5:$AH$1000,867),Cálculos!$AH$5:$AH$1000,0)+4,"")</f>
        <v/>
      </c>
    </row>
    <row r="872">
      <c r="A872" s="5" t="str">
        <f>IF($G872="","",INDEX('Detalle individual'!$B:$B,$G872))</f>
        <v/>
      </c>
      <c r="B872" s="5" t="str">
        <f>IF($G872="","",INDEX('Detalle individual'!$A:$A,$G872))</f>
        <v/>
      </c>
      <c r="C872" s="5" t="str">
        <f>IF($G872="","",INDEX('Detalle individual'!$E:$E,$G872))</f>
        <v/>
      </c>
      <c r="D872" s="5" t="str">
        <f>IF($G872="","",INDEX('Detalle individual'!$C:$C,$G872))</f>
        <v/>
      </c>
      <c r="E872" s="5" t="str">
        <f>IF($G872="","",INDEX('Detalle individual'!$D:$D,$G872))</f>
        <v/>
      </c>
      <c r="G872" t="str">
        <f>IFERROR(MATCH(SMALL(Cálculos!$AH$5:$AH$1000,868),Cálculos!$AH$5:$AH$1000,0)+4,"")</f>
        <v/>
      </c>
    </row>
    <row r="873">
      <c r="A873" s="5" t="str">
        <f>IF($G873="","",INDEX('Detalle individual'!$B:$B,$G873))</f>
        <v/>
      </c>
      <c r="B873" s="5" t="str">
        <f>IF($G873="","",INDEX('Detalle individual'!$A:$A,$G873))</f>
        <v/>
      </c>
      <c r="C873" s="5" t="str">
        <f>IF($G873="","",INDEX('Detalle individual'!$E:$E,$G873))</f>
        <v/>
      </c>
      <c r="D873" s="5" t="str">
        <f>IF($G873="","",INDEX('Detalle individual'!$C:$C,$G873))</f>
        <v/>
      </c>
      <c r="E873" s="5" t="str">
        <f>IF($G873="","",INDEX('Detalle individual'!$D:$D,$G873))</f>
        <v/>
      </c>
      <c r="G873" t="str">
        <f>IFERROR(MATCH(SMALL(Cálculos!$AH$5:$AH$1000,869),Cálculos!$AH$5:$AH$1000,0)+4,"")</f>
        <v/>
      </c>
    </row>
    <row r="874">
      <c r="A874" s="5" t="str">
        <f>IF($G874="","",INDEX('Detalle individual'!$B:$B,$G874))</f>
        <v/>
      </c>
      <c r="B874" s="5" t="str">
        <f>IF($G874="","",INDEX('Detalle individual'!$A:$A,$G874))</f>
        <v/>
      </c>
      <c r="C874" s="5" t="str">
        <f>IF($G874="","",INDEX('Detalle individual'!$E:$E,$G874))</f>
        <v/>
      </c>
      <c r="D874" s="5" t="str">
        <f>IF($G874="","",INDEX('Detalle individual'!$C:$C,$G874))</f>
        <v/>
      </c>
      <c r="E874" s="5" t="str">
        <f>IF($G874="","",INDEX('Detalle individual'!$D:$D,$G874))</f>
        <v/>
      </c>
      <c r="G874" t="str">
        <f>IFERROR(MATCH(SMALL(Cálculos!$AH$5:$AH$1000,870),Cálculos!$AH$5:$AH$1000,0)+4,"")</f>
        <v/>
      </c>
    </row>
    <row r="875">
      <c r="A875" s="5" t="str">
        <f>IF($G875="","",INDEX('Detalle individual'!$B:$B,$G875))</f>
        <v/>
      </c>
      <c r="B875" s="5" t="str">
        <f>IF($G875="","",INDEX('Detalle individual'!$A:$A,$G875))</f>
        <v/>
      </c>
      <c r="C875" s="5" t="str">
        <f>IF($G875="","",INDEX('Detalle individual'!$E:$E,$G875))</f>
        <v/>
      </c>
      <c r="D875" s="5" t="str">
        <f>IF($G875="","",INDEX('Detalle individual'!$C:$C,$G875))</f>
        <v/>
      </c>
      <c r="E875" s="5" t="str">
        <f>IF($G875="","",INDEX('Detalle individual'!$D:$D,$G875))</f>
        <v/>
      </c>
      <c r="G875" t="str">
        <f>IFERROR(MATCH(SMALL(Cálculos!$AH$5:$AH$1000,871),Cálculos!$AH$5:$AH$1000,0)+4,"")</f>
        <v/>
      </c>
    </row>
    <row r="876">
      <c r="A876" s="5" t="str">
        <f>IF($G876="","",INDEX('Detalle individual'!$B:$B,$G876))</f>
        <v/>
      </c>
      <c r="B876" s="5" t="str">
        <f>IF($G876="","",INDEX('Detalle individual'!$A:$A,$G876))</f>
        <v/>
      </c>
      <c r="C876" s="5" t="str">
        <f>IF($G876="","",INDEX('Detalle individual'!$E:$E,$G876))</f>
        <v/>
      </c>
      <c r="D876" s="5" t="str">
        <f>IF($G876="","",INDEX('Detalle individual'!$C:$C,$G876))</f>
        <v/>
      </c>
      <c r="E876" s="5" t="str">
        <f>IF($G876="","",INDEX('Detalle individual'!$D:$D,$G876))</f>
        <v/>
      </c>
      <c r="G876" t="str">
        <f>IFERROR(MATCH(SMALL(Cálculos!$AH$5:$AH$1000,872),Cálculos!$AH$5:$AH$1000,0)+4,"")</f>
        <v/>
      </c>
    </row>
    <row r="877">
      <c r="A877" s="5" t="str">
        <f>IF($G877="","",INDEX('Detalle individual'!$B:$B,$G877))</f>
        <v/>
      </c>
      <c r="B877" s="5" t="str">
        <f>IF($G877="","",INDEX('Detalle individual'!$A:$A,$G877))</f>
        <v/>
      </c>
      <c r="C877" s="5" t="str">
        <f>IF($G877="","",INDEX('Detalle individual'!$E:$E,$G877))</f>
        <v/>
      </c>
      <c r="D877" s="5" t="str">
        <f>IF($G877="","",INDEX('Detalle individual'!$C:$C,$G877))</f>
        <v/>
      </c>
      <c r="E877" s="5" t="str">
        <f>IF($G877="","",INDEX('Detalle individual'!$D:$D,$G877))</f>
        <v/>
      </c>
      <c r="G877" t="str">
        <f>IFERROR(MATCH(SMALL(Cálculos!$AH$5:$AH$1000,873),Cálculos!$AH$5:$AH$1000,0)+4,"")</f>
        <v/>
      </c>
    </row>
    <row r="878">
      <c r="A878" s="5" t="str">
        <f>IF($G878="","",INDEX('Detalle individual'!$B:$B,$G878))</f>
        <v/>
      </c>
      <c r="B878" s="5" t="str">
        <f>IF($G878="","",INDEX('Detalle individual'!$A:$A,$G878))</f>
        <v/>
      </c>
      <c r="C878" s="5" t="str">
        <f>IF($G878="","",INDEX('Detalle individual'!$E:$E,$G878))</f>
        <v/>
      </c>
      <c r="D878" s="5" t="str">
        <f>IF($G878="","",INDEX('Detalle individual'!$C:$C,$G878))</f>
        <v/>
      </c>
      <c r="E878" s="5" t="str">
        <f>IF($G878="","",INDEX('Detalle individual'!$D:$D,$G878))</f>
        <v/>
      </c>
      <c r="G878" t="str">
        <f>IFERROR(MATCH(SMALL(Cálculos!$AH$5:$AH$1000,874),Cálculos!$AH$5:$AH$1000,0)+4,"")</f>
        <v/>
      </c>
    </row>
    <row r="879">
      <c r="A879" s="5" t="str">
        <f>IF($G879="","",INDEX('Detalle individual'!$B:$B,$G879))</f>
        <v/>
      </c>
      <c r="B879" s="5" t="str">
        <f>IF($G879="","",INDEX('Detalle individual'!$A:$A,$G879))</f>
        <v/>
      </c>
      <c r="C879" s="5" t="str">
        <f>IF($G879="","",INDEX('Detalle individual'!$E:$E,$G879))</f>
        <v/>
      </c>
      <c r="D879" s="5" t="str">
        <f>IF($G879="","",INDEX('Detalle individual'!$C:$C,$G879))</f>
        <v/>
      </c>
      <c r="E879" s="5" t="str">
        <f>IF($G879="","",INDEX('Detalle individual'!$D:$D,$G879))</f>
        <v/>
      </c>
      <c r="G879" t="str">
        <f>IFERROR(MATCH(SMALL(Cálculos!$AH$5:$AH$1000,875),Cálculos!$AH$5:$AH$1000,0)+4,"")</f>
        <v/>
      </c>
    </row>
    <row r="880">
      <c r="A880" s="5" t="str">
        <f>IF($G880="","",INDEX('Detalle individual'!$B:$B,$G880))</f>
        <v/>
      </c>
      <c r="B880" s="5" t="str">
        <f>IF($G880="","",INDEX('Detalle individual'!$A:$A,$G880))</f>
        <v/>
      </c>
      <c r="C880" s="5" t="str">
        <f>IF($G880="","",INDEX('Detalle individual'!$E:$E,$G880))</f>
        <v/>
      </c>
      <c r="D880" s="5" t="str">
        <f>IF($G880="","",INDEX('Detalle individual'!$C:$C,$G880))</f>
        <v/>
      </c>
      <c r="E880" s="5" t="str">
        <f>IF($G880="","",INDEX('Detalle individual'!$D:$D,$G880))</f>
        <v/>
      </c>
      <c r="G880" t="str">
        <f>IFERROR(MATCH(SMALL(Cálculos!$AH$5:$AH$1000,876),Cálculos!$AH$5:$AH$1000,0)+4,"")</f>
        <v/>
      </c>
    </row>
    <row r="881">
      <c r="A881" s="5" t="str">
        <f>IF($G881="","",INDEX('Detalle individual'!$B:$B,$G881))</f>
        <v/>
      </c>
      <c r="B881" s="5" t="str">
        <f>IF($G881="","",INDEX('Detalle individual'!$A:$A,$G881))</f>
        <v/>
      </c>
      <c r="C881" s="5" t="str">
        <f>IF($G881="","",INDEX('Detalle individual'!$E:$E,$G881))</f>
        <v/>
      </c>
      <c r="D881" s="5" t="str">
        <f>IF($G881="","",INDEX('Detalle individual'!$C:$C,$G881))</f>
        <v/>
      </c>
      <c r="E881" s="5" t="str">
        <f>IF($G881="","",INDEX('Detalle individual'!$D:$D,$G881))</f>
        <v/>
      </c>
      <c r="G881" t="str">
        <f>IFERROR(MATCH(SMALL(Cálculos!$AH$5:$AH$1000,877),Cálculos!$AH$5:$AH$1000,0)+4,"")</f>
        <v/>
      </c>
    </row>
    <row r="882">
      <c r="A882" s="5" t="str">
        <f>IF($G882="","",INDEX('Detalle individual'!$B:$B,$G882))</f>
        <v/>
      </c>
      <c r="B882" s="5" t="str">
        <f>IF($G882="","",INDEX('Detalle individual'!$A:$A,$G882))</f>
        <v/>
      </c>
      <c r="C882" s="5" t="str">
        <f>IF($G882="","",INDEX('Detalle individual'!$E:$E,$G882))</f>
        <v/>
      </c>
      <c r="D882" s="5" t="str">
        <f>IF($G882="","",INDEX('Detalle individual'!$C:$C,$G882))</f>
        <v/>
      </c>
      <c r="E882" s="5" t="str">
        <f>IF($G882="","",INDEX('Detalle individual'!$D:$D,$G882))</f>
        <v/>
      </c>
      <c r="G882" t="str">
        <f>IFERROR(MATCH(SMALL(Cálculos!$AH$5:$AH$1000,878),Cálculos!$AH$5:$AH$1000,0)+4,"")</f>
        <v/>
      </c>
    </row>
    <row r="883">
      <c r="A883" s="5" t="str">
        <f>IF($G883="","",INDEX('Detalle individual'!$B:$B,$G883))</f>
        <v/>
      </c>
      <c r="B883" s="5" t="str">
        <f>IF($G883="","",INDEX('Detalle individual'!$A:$A,$G883))</f>
        <v/>
      </c>
      <c r="C883" s="5" t="str">
        <f>IF($G883="","",INDEX('Detalle individual'!$E:$E,$G883))</f>
        <v/>
      </c>
      <c r="D883" s="5" t="str">
        <f>IF($G883="","",INDEX('Detalle individual'!$C:$C,$G883))</f>
        <v/>
      </c>
      <c r="E883" s="5" t="str">
        <f>IF($G883="","",INDEX('Detalle individual'!$D:$D,$G883))</f>
        <v/>
      </c>
      <c r="G883" t="str">
        <f>IFERROR(MATCH(SMALL(Cálculos!$AH$5:$AH$1000,879),Cálculos!$AH$5:$AH$1000,0)+4,"")</f>
        <v/>
      </c>
    </row>
    <row r="884">
      <c r="A884" s="5" t="str">
        <f>IF($G884="","",INDEX('Detalle individual'!$B:$B,$G884))</f>
        <v/>
      </c>
      <c r="B884" s="5" t="str">
        <f>IF($G884="","",INDEX('Detalle individual'!$A:$A,$G884))</f>
        <v/>
      </c>
      <c r="C884" s="5" t="str">
        <f>IF($G884="","",INDEX('Detalle individual'!$E:$E,$G884))</f>
        <v/>
      </c>
      <c r="D884" s="5" t="str">
        <f>IF($G884="","",INDEX('Detalle individual'!$C:$C,$G884))</f>
        <v/>
      </c>
      <c r="E884" s="5" t="str">
        <f>IF($G884="","",INDEX('Detalle individual'!$D:$D,$G884))</f>
        <v/>
      </c>
      <c r="G884" t="str">
        <f>IFERROR(MATCH(SMALL(Cálculos!$AH$5:$AH$1000,880),Cálculos!$AH$5:$AH$1000,0)+4,"")</f>
        <v/>
      </c>
    </row>
    <row r="885">
      <c r="A885" s="5" t="str">
        <f>IF($G885="","",INDEX('Detalle individual'!$B:$B,$G885))</f>
        <v/>
      </c>
      <c r="B885" s="5" t="str">
        <f>IF($G885="","",INDEX('Detalle individual'!$A:$A,$G885))</f>
        <v/>
      </c>
      <c r="C885" s="5" t="str">
        <f>IF($G885="","",INDEX('Detalle individual'!$E:$E,$G885))</f>
        <v/>
      </c>
      <c r="D885" s="5" t="str">
        <f>IF($G885="","",INDEX('Detalle individual'!$C:$C,$G885))</f>
        <v/>
      </c>
      <c r="E885" s="5" t="str">
        <f>IF($G885="","",INDEX('Detalle individual'!$D:$D,$G885))</f>
        <v/>
      </c>
      <c r="G885" t="str">
        <f>IFERROR(MATCH(SMALL(Cálculos!$AH$5:$AH$1000,881),Cálculos!$AH$5:$AH$1000,0)+4,"")</f>
        <v/>
      </c>
    </row>
    <row r="886">
      <c r="A886" s="5" t="str">
        <f>IF($G886="","",INDEX('Detalle individual'!$B:$B,$G886))</f>
        <v/>
      </c>
      <c r="B886" s="5" t="str">
        <f>IF($G886="","",INDEX('Detalle individual'!$A:$A,$G886))</f>
        <v/>
      </c>
      <c r="C886" s="5" t="str">
        <f>IF($G886="","",INDEX('Detalle individual'!$E:$E,$G886))</f>
        <v/>
      </c>
      <c r="D886" s="5" t="str">
        <f>IF($G886="","",INDEX('Detalle individual'!$C:$C,$G886))</f>
        <v/>
      </c>
      <c r="E886" s="5" t="str">
        <f>IF($G886="","",INDEX('Detalle individual'!$D:$D,$G886))</f>
        <v/>
      </c>
      <c r="G886" t="str">
        <f>IFERROR(MATCH(SMALL(Cálculos!$AH$5:$AH$1000,882),Cálculos!$AH$5:$AH$1000,0)+4,"")</f>
        <v/>
      </c>
    </row>
    <row r="887">
      <c r="A887" s="5" t="str">
        <f>IF($G887="","",INDEX('Detalle individual'!$B:$B,$G887))</f>
        <v/>
      </c>
      <c r="B887" s="5" t="str">
        <f>IF($G887="","",INDEX('Detalle individual'!$A:$A,$G887))</f>
        <v/>
      </c>
      <c r="C887" s="5" t="str">
        <f>IF($G887="","",INDEX('Detalle individual'!$E:$E,$G887))</f>
        <v/>
      </c>
      <c r="D887" s="5" t="str">
        <f>IF($G887="","",INDEX('Detalle individual'!$C:$C,$G887))</f>
        <v/>
      </c>
      <c r="E887" s="5" t="str">
        <f>IF($G887="","",INDEX('Detalle individual'!$D:$D,$G887))</f>
        <v/>
      </c>
      <c r="G887" t="str">
        <f>IFERROR(MATCH(SMALL(Cálculos!$AH$5:$AH$1000,883),Cálculos!$AH$5:$AH$1000,0)+4,"")</f>
        <v/>
      </c>
    </row>
    <row r="888">
      <c r="A888" s="5" t="str">
        <f>IF($G888="","",INDEX('Detalle individual'!$B:$B,$G888))</f>
        <v/>
      </c>
      <c r="B888" s="5" t="str">
        <f>IF($G888="","",INDEX('Detalle individual'!$A:$A,$G888))</f>
        <v/>
      </c>
      <c r="C888" s="5" t="str">
        <f>IF($G888="","",INDEX('Detalle individual'!$E:$E,$G888))</f>
        <v/>
      </c>
      <c r="D888" s="5" t="str">
        <f>IF($G888="","",INDEX('Detalle individual'!$C:$C,$G888))</f>
        <v/>
      </c>
      <c r="E888" s="5" t="str">
        <f>IF($G888="","",INDEX('Detalle individual'!$D:$D,$G888))</f>
        <v/>
      </c>
      <c r="G888" t="str">
        <f>IFERROR(MATCH(SMALL(Cálculos!$AH$5:$AH$1000,884),Cálculos!$AH$5:$AH$1000,0)+4,"")</f>
        <v/>
      </c>
    </row>
    <row r="889">
      <c r="A889" s="5" t="str">
        <f>IF($G889="","",INDEX('Detalle individual'!$B:$B,$G889))</f>
        <v/>
      </c>
      <c r="B889" s="5" t="str">
        <f>IF($G889="","",INDEX('Detalle individual'!$A:$A,$G889))</f>
        <v/>
      </c>
      <c r="C889" s="5" t="str">
        <f>IF($G889="","",INDEX('Detalle individual'!$E:$E,$G889))</f>
        <v/>
      </c>
      <c r="D889" s="5" t="str">
        <f>IF($G889="","",INDEX('Detalle individual'!$C:$C,$G889))</f>
        <v/>
      </c>
      <c r="E889" s="5" t="str">
        <f>IF($G889="","",INDEX('Detalle individual'!$D:$D,$G889))</f>
        <v/>
      </c>
      <c r="G889" t="str">
        <f>IFERROR(MATCH(SMALL(Cálculos!$AH$5:$AH$1000,885),Cálculos!$AH$5:$AH$1000,0)+4,"")</f>
        <v/>
      </c>
    </row>
    <row r="890">
      <c r="A890" s="5" t="str">
        <f>IF($G890="","",INDEX('Detalle individual'!$B:$B,$G890))</f>
        <v/>
      </c>
      <c r="B890" s="5" t="str">
        <f>IF($G890="","",INDEX('Detalle individual'!$A:$A,$G890))</f>
        <v/>
      </c>
      <c r="C890" s="5" t="str">
        <f>IF($G890="","",INDEX('Detalle individual'!$E:$E,$G890))</f>
        <v/>
      </c>
      <c r="D890" s="5" t="str">
        <f>IF($G890="","",INDEX('Detalle individual'!$C:$C,$G890))</f>
        <v/>
      </c>
      <c r="E890" s="5" t="str">
        <f>IF($G890="","",INDEX('Detalle individual'!$D:$D,$G890))</f>
        <v/>
      </c>
      <c r="G890" t="str">
        <f>IFERROR(MATCH(SMALL(Cálculos!$AH$5:$AH$1000,886),Cálculos!$AH$5:$AH$1000,0)+4,"")</f>
        <v/>
      </c>
    </row>
    <row r="891">
      <c r="A891" s="5" t="str">
        <f>IF($G891="","",INDEX('Detalle individual'!$B:$B,$G891))</f>
        <v/>
      </c>
      <c r="B891" s="5" t="str">
        <f>IF($G891="","",INDEX('Detalle individual'!$A:$A,$G891))</f>
        <v/>
      </c>
      <c r="C891" s="5" t="str">
        <f>IF($G891="","",INDEX('Detalle individual'!$E:$E,$G891))</f>
        <v/>
      </c>
      <c r="D891" s="5" t="str">
        <f>IF($G891="","",INDEX('Detalle individual'!$C:$C,$G891))</f>
        <v/>
      </c>
      <c r="E891" s="5" t="str">
        <f>IF($G891="","",INDEX('Detalle individual'!$D:$D,$G891))</f>
        <v/>
      </c>
      <c r="G891" t="str">
        <f>IFERROR(MATCH(SMALL(Cálculos!$AH$5:$AH$1000,887),Cálculos!$AH$5:$AH$1000,0)+4,"")</f>
        <v/>
      </c>
    </row>
    <row r="892">
      <c r="A892" s="5" t="str">
        <f>IF($G892="","",INDEX('Detalle individual'!$B:$B,$G892))</f>
        <v/>
      </c>
      <c r="B892" s="5" t="str">
        <f>IF($G892="","",INDEX('Detalle individual'!$A:$A,$G892))</f>
        <v/>
      </c>
      <c r="C892" s="5" t="str">
        <f>IF($G892="","",INDEX('Detalle individual'!$E:$E,$G892))</f>
        <v/>
      </c>
      <c r="D892" s="5" t="str">
        <f>IF($G892="","",INDEX('Detalle individual'!$C:$C,$G892))</f>
        <v/>
      </c>
      <c r="E892" s="5" t="str">
        <f>IF($G892="","",INDEX('Detalle individual'!$D:$D,$G892))</f>
        <v/>
      </c>
      <c r="G892" t="str">
        <f>IFERROR(MATCH(SMALL(Cálculos!$AH$5:$AH$1000,888),Cálculos!$AH$5:$AH$1000,0)+4,"")</f>
        <v/>
      </c>
    </row>
    <row r="893">
      <c r="A893" s="5" t="str">
        <f>IF($G893="","",INDEX('Detalle individual'!$B:$B,$G893))</f>
        <v/>
      </c>
      <c r="B893" s="5" t="str">
        <f>IF($G893="","",INDEX('Detalle individual'!$A:$A,$G893))</f>
        <v/>
      </c>
      <c r="C893" s="5" t="str">
        <f>IF($G893="","",INDEX('Detalle individual'!$E:$E,$G893))</f>
        <v/>
      </c>
      <c r="D893" s="5" t="str">
        <f>IF($G893="","",INDEX('Detalle individual'!$C:$C,$G893))</f>
        <v/>
      </c>
      <c r="E893" s="5" t="str">
        <f>IF($G893="","",INDEX('Detalle individual'!$D:$D,$G893))</f>
        <v/>
      </c>
      <c r="G893" t="str">
        <f>IFERROR(MATCH(SMALL(Cálculos!$AH$5:$AH$1000,889),Cálculos!$AH$5:$AH$1000,0)+4,"")</f>
        <v/>
      </c>
    </row>
    <row r="894">
      <c r="A894" s="5" t="str">
        <f>IF($G894="","",INDEX('Detalle individual'!$B:$B,$G894))</f>
        <v/>
      </c>
      <c r="B894" s="5" t="str">
        <f>IF($G894="","",INDEX('Detalle individual'!$A:$A,$G894))</f>
        <v/>
      </c>
      <c r="C894" s="5" t="str">
        <f>IF($G894="","",INDEX('Detalle individual'!$E:$E,$G894))</f>
        <v/>
      </c>
      <c r="D894" s="5" t="str">
        <f>IF($G894="","",INDEX('Detalle individual'!$C:$C,$G894))</f>
        <v/>
      </c>
      <c r="E894" s="5" t="str">
        <f>IF($G894="","",INDEX('Detalle individual'!$D:$D,$G894))</f>
        <v/>
      </c>
      <c r="G894" t="str">
        <f>IFERROR(MATCH(SMALL(Cálculos!$AH$5:$AH$1000,890),Cálculos!$AH$5:$AH$1000,0)+4,"")</f>
        <v/>
      </c>
    </row>
    <row r="895">
      <c r="A895" s="5" t="str">
        <f>IF($G895="","",INDEX('Detalle individual'!$B:$B,$G895))</f>
        <v/>
      </c>
      <c r="B895" s="5" t="str">
        <f>IF($G895="","",INDEX('Detalle individual'!$A:$A,$G895))</f>
        <v/>
      </c>
      <c r="C895" s="5" t="str">
        <f>IF($G895="","",INDEX('Detalle individual'!$E:$E,$G895))</f>
        <v/>
      </c>
      <c r="D895" s="5" t="str">
        <f>IF($G895="","",INDEX('Detalle individual'!$C:$C,$G895))</f>
        <v/>
      </c>
      <c r="E895" s="5" t="str">
        <f>IF($G895="","",INDEX('Detalle individual'!$D:$D,$G895))</f>
        <v/>
      </c>
      <c r="G895" t="str">
        <f>IFERROR(MATCH(SMALL(Cálculos!$AH$5:$AH$1000,891),Cálculos!$AH$5:$AH$1000,0)+4,"")</f>
        <v/>
      </c>
    </row>
    <row r="896">
      <c r="A896" s="5" t="str">
        <f>IF($G896="","",INDEX('Detalle individual'!$B:$B,$G896))</f>
        <v/>
      </c>
      <c r="B896" s="5" t="str">
        <f>IF($G896="","",INDEX('Detalle individual'!$A:$A,$G896))</f>
        <v/>
      </c>
      <c r="C896" s="5" t="str">
        <f>IF($G896="","",INDEX('Detalle individual'!$E:$E,$G896))</f>
        <v/>
      </c>
      <c r="D896" s="5" t="str">
        <f>IF($G896="","",INDEX('Detalle individual'!$C:$C,$G896))</f>
        <v/>
      </c>
      <c r="E896" s="5" t="str">
        <f>IF($G896="","",INDEX('Detalle individual'!$D:$D,$G896))</f>
        <v/>
      </c>
      <c r="G896" t="str">
        <f>IFERROR(MATCH(SMALL(Cálculos!$AH$5:$AH$1000,892),Cálculos!$AH$5:$AH$1000,0)+4,"")</f>
        <v/>
      </c>
    </row>
    <row r="897">
      <c r="A897" s="5" t="str">
        <f>IF($G897="","",INDEX('Detalle individual'!$B:$B,$G897))</f>
        <v/>
      </c>
      <c r="B897" s="5" t="str">
        <f>IF($G897="","",INDEX('Detalle individual'!$A:$A,$G897))</f>
        <v/>
      </c>
      <c r="C897" s="5" t="str">
        <f>IF($G897="","",INDEX('Detalle individual'!$E:$E,$G897))</f>
        <v/>
      </c>
      <c r="D897" s="5" t="str">
        <f>IF($G897="","",INDEX('Detalle individual'!$C:$C,$G897))</f>
        <v/>
      </c>
      <c r="E897" s="5" t="str">
        <f>IF($G897="","",INDEX('Detalle individual'!$D:$D,$G897))</f>
        <v/>
      </c>
      <c r="G897" t="str">
        <f>IFERROR(MATCH(SMALL(Cálculos!$AH$5:$AH$1000,893),Cálculos!$AH$5:$AH$1000,0)+4,"")</f>
        <v/>
      </c>
    </row>
    <row r="898">
      <c r="A898" s="5" t="str">
        <f>IF($G898="","",INDEX('Detalle individual'!$B:$B,$G898))</f>
        <v/>
      </c>
      <c r="B898" s="5" t="str">
        <f>IF($G898="","",INDEX('Detalle individual'!$A:$A,$G898))</f>
        <v/>
      </c>
      <c r="C898" s="5" t="str">
        <f>IF($G898="","",INDEX('Detalle individual'!$E:$E,$G898))</f>
        <v/>
      </c>
      <c r="D898" s="5" t="str">
        <f>IF($G898="","",INDEX('Detalle individual'!$C:$C,$G898))</f>
        <v/>
      </c>
      <c r="E898" s="5" t="str">
        <f>IF($G898="","",INDEX('Detalle individual'!$D:$D,$G898))</f>
        <v/>
      </c>
      <c r="G898" t="str">
        <f>IFERROR(MATCH(SMALL(Cálculos!$AH$5:$AH$1000,894),Cálculos!$AH$5:$AH$1000,0)+4,"")</f>
        <v/>
      </c>
    </row>
    <row r="899">
      <c r="A899" s="5" t="str">
        <f>IF($G899="","",INDEX('Detalle individual'!$B:$B,$G899))</f>
        <v/>
      </c>
      <c r="B899" s="5" t="str">
        <f>IF($G899="","",INDEX('Detalle individual'!$A:$A,$G899))</f>
        <v/>
      </c>
      <c r="C899" s="5" t="str">
        <f>IF($G899="","",INDEX('Detalle individual'!$E:$E,$G899))</f>
        <v/>
      </c>
      <c r="D899" s="5" t="str">
        <f>IF($G899="","",INDEX('Detalle individual'!$C:$C,$G899))</f>
        <v/>
      </c>
      <c r="E899" s="5" t="str">
        <f>IF($G899="","",INDEX('Detalle individual'!$D:$D,$G899))</f>
        <v/>
      </c>
      <c r="G899" t="str">
        <f>IFERROR(MATCH(SMALL(Cálculos!$AH$5:$AH$1000,895),Cálculos!$AH$5:$AH$1000,0)+4,"")</f>
        <v/>
      </c>
    </row>
    <row r="900">
      <c r="A900" s="5" t="str">
        <f>IF($G900="","",INDEX('Detalle individual'!$B:$B,$G900))</f>
        <v/>
      </c>
      <c r="B900" s="5" t="str">
        <f>IF($G900="","",INDEX('Detalle individual'!$A:$A,$G900))</f>
        <v/>
      </c>
      <c r="C900" s="5" t="str">
        <f>IF($G900="","",INDEX('Detalle individual'!$E:$E,$G900))</f>
        <v/>
      </c>
      <c r="D900" s="5" t="str">
        <f>IF($G900="","",INDEX('Detalle individual'!$C:$C,$G900))</f>
        <v/>
      </c>
      <c r="E900" s="5" t="str">
        <f>IF($G900="","",INDEX('Detalle individual'!$D:$D,$G900))</f>
        <v/>
      </c>
      <c r="G900" t="str">
        <f>IFERROR(MATCH(SMALL(Cálculos!$AH$5:$AH$1000,896),Cálculos!$AH$5:$AH$1000,0)+4,"")</f>
        <v/>
      </c>
    </row>
    <row r="901">
      <c r="A901" s="5" t="str">
        <f>IF($G901="","",INDEX('Detalle individual'!$B:$B,$G901))</f>
        <v/>
      </c>
      <c r="B901" s="5" t="str">
        <f>IF($G901="","",INDEX('Detalle individual'!$A:$A,$G901))</f>
        <v/>
      </c>
      <c r="C901" s="5" t="str">
        <f>IF($G901="","",INDEX('Detalle individual'!$E:$E,$G901))</f>
        <v/>
      </c>
      <c r="D901" s="5" t="str">
        <f>IF($G901="","",INDEX('Detalle individual'!$C:$C,$G901))</f>
        <v/>
      </c>
      <c r="E901" s="5" t="str">
        <f>IF($G901="","",INDEX('Detalle individual'!$D:$D,$G901))</f>
        <v/>
      </c>
      <c r="G901" t="str">
        <f>IFERROR(MATCH(SMALL(Cálculos!$AH$5:$AH$1000,897),Cálculos!$AH$5:$AH$1000,0)+4,"")</f>
        <v/>
      </c>
    </row>
    <row r="902">
      <c r="A902" s="5" t="str">
        <f>IF($G902="","",INDEX('Detalle individual'!$B:$B,$G902))</f>
        <v/>
      </c>
      <c r="B902" s="5" t="str">
        <f>IF($G902="","",INDEX('Detalle individual'!$A:$A,$G902))</f>
        <v/>
      </c>
      <c r="C902" s="5" t="str">
        <f>IF($G902="","",INDEX('Detalle individual'!$E:$E,$G902))</f>
        <v/>
      </c>
      <c r="D902" s="5" t="str">
        <f>IF($G902="","",INDEX('Detalle individual'!$C:$C,$G902))</f>
        <v/>
      </c>
      <c r="E902" s="5" t="str">
        <f>IF($G902="","",INDEX('Detalle individual'!$D:$D,$G902))</f>
        <v/>
      </c>
      <c r="G902" t="str">
        <f>IFERROR(MATCH(SMALL(Cálculos!$AH$5:$AH$1000,898),Cálculos!$AH$5:$AH$1000,0)+4,"")</f>
        <v/>
      </c>
    </row>
    <row r="903">
      <c r="A903" s="5" t="str">
        <f>IF($G903="","",INDEX('Detalle individual'!$B:$B,$G903))</f>
        <v/>
      </c>
      <c r="B903" s="5" t="str">
        <f>IF($G903="","",INDEX('Detalle individual'!$A:$A,$G903))</f>
        <v/>
      </c>
      <c r="C903" s="5" t="str">
        <f>IF($G903="","",INDEX('Detalle individual'!$E:$E,$G903))</f>
        <v/>
      </c>
      <c r="D903" s="5" t="str">
        <f>IF($G903="","",INDEX('Detalle individual'!$C:$C,$G903))</f>
        <v/>
      </c>
      <c r="E903" s="5" t="str">
        <f>IF($G903="","",INDEX('Detalle individual'!$D:$D,$G903))</f>
        <v/>
      </c>
      <c r="G903" t="str">
        <f>IFERROR(MATCH(SMALL(Cálculos!$AH$5:$AH$1000,899),Cálculos!$AH$5:$AH$1000,0)+4,"")</f>
        <v/>
      </c>
    </row>
    <row r="904">
      <c r="A904" s="5" t="str">
        <f>IF($G904="","",INDEX('Detalle individual'!$B:$B,$G904))</f>
        <v/>
      </c>
      <c r="B904" s="5" t="str">
        <f>IF($G904="","",INDEX('Detalle individual'!$A:$A,$G904))</f>
        <v/>
      </c>
      <c r="C904" s="5" t="str">
        <f>IF($G904="","",INDEX('Detalle individual'!$E:$E,$G904))</f>
        <v/>
      </c>
      <c r="D904" s="5" t="str">
        <f>IF($G904="","",INDEX('Detalle individual'!$C:$C,$G904))</f>
        <v/>
      </c>
      <c r="E904" s="5" t="str">
        <f>IF($G904="","",INDEX('Detalle individual'!$D:$D,$G904))</f>
        <v/>
      </c>
      <c r="G904" t="str">
        <f>IFERROR(MATCH(SMALL(Cálculos!$AH$5:$AH$1000,900),Cálculos!$AH$5:$AH$1000,0)+4,"")</f>
        <v/>
      </c>
    </row>
    <row r="905">
      <c r="A905" s="5" t="str">
        <f>IF($G905="","",INDEX('Detalle individual'!$B:$B,$G905))</f>
        <v/>
      </c>
      <c r="B905" s="5" t="str">
        <f>IF($G905="","",INDEX('Detalle individual'!$A:$A,$G905))</f>
        <v/>
      </c>
      <c r="C905" s="5" t="str">
        <f>IF($G905="","",INDEX('Detalle individual'!$E:$E,$G905))</f>
        <v/>
      </c>
      <c r="D905" s="5" t="str">
        <f>IF($G905="","",INDEX('Detalle individual'!$C:$C,$G905))</f>
        <v/>
      </c>
      <c r="E905" s="5" t="str">
        <f>IF($G905="","",INDEX('Detalle individual'!$D:$D,$G905))</f>
        <v/>
      </c>
      <c r="G905" t="str">
        <f>IFERROR(MATCH(SMALL(Cálculos!$AH$5:$AH$1000,901),Cálculos!$AH$5:$AH$1000,0)+4,"")</f>
        <v/>
      </c>
    </row>
    <row r="906">
      <c r="A906" s="5" t="str">
        <f>IF($G906="","",INDEX('Detalle individual'!$B:$B,$G906))</f>
        <v/>
      </c>
      <c r="B906" s="5" t="str">
        <f>IF($G906="","",INDEX('Detalle individual'!$A:$A,$G906))</f>
        <v/>
      </c>
      <c r="C906" s="5" t="str">
        <f>IF($G906="","",INDEX('Detalle individual'!$E:$E,$G906))</f>
        <v/>
      </c>
      <c r="D906" s="5" t="str">
        <f>IF($G906="","",INDEX('Detalle individual'!$C:$C,$G906))</f>
        <v/>
      </c>
      <c r="E906" s="5" t="str">
        <f>IF($G906="","",INDEX('Detalle individual'!$D:$D,$G906))</f>
        <v/>
      </c>
      <c r="G906" t="str">
        <f>IFERROR(MATCH(SMALL(Cálculos!$AH$5:$AH$1000,902),Cálculos!$AH$5:$AH$1000,0)+4,"")</f>
        <v/>
      </c>
    </row>
    <row r="907">
      <c r="A907" s="5" t="str">
        <f>IF($G907="","",INDEX('Detalle individual'!$B:$B,$G907))</f>
        <v/>
      </c>
      <c r="B907" s="5" t="str">
        <f>IF($G907="","",INDEX('Detalle individual'!$A:$A,$G907))</f>
        <v/>
      </c>
      <c r="C907" s="5" t="str">
        <f>IF($G907="","",INDEX('Detalle individual'!$E:$E,$G907))</f>
        <v/>
      </c>
      <c r="D907" s="5" t="str">
        <f>IF($G907="","",INDEX('Detalle individual'!$C:$C,$G907))</f>
        <v/>
      </c>
      <c r="E907" s="5" t="str">
        <f>IF($G907="","",INDEX('Detalle individual'!$D:$D,$G907))</f>
        <v/>
      </c>
      <c r="G907" t="str">
        <f>IFERROR(MATCH(SMALL(Cálculos!$AH$5:$AH$1000,903),Cálculos!$AH$5:$AH$1000,0)+4,"")</f>
        <v/>
      </c>
    </row>
    <row r="908">
      <c r="A908" s="5" t="str">
        <f>IF($G908="","",INDEX('Detalle individual'!$B:$B,$G908))</f>
        <v/>
      </c>
      <c r="B908" s="5" t="str">
        <f>IF($G908="","",INDEX('Detalle individual'!$A:$A,$G908))</f>
        <v/>
      </c>
      <c r="C908" s="5" t="str">
        <f>IF($G908="","",INDEX('Detalle individual'!$E:$E,$G908))</f>
        <v/>
      </c>
      <c r="D908" s="5" t="str">
        <f>IF($G908="","",INDEX('Detalle individual'!$C:$C,$G908))</f>
        <v/>
      </c>
      <c r="E908" s="5" t="str">
        <f>IF($G908="","",INDEX('Detalle individual'!$D:$D,$G908))</f>
        <v/>
      </c>
      <c r="G908" t="str">
        <f>IFERROR(MATCH(SMALL(Cálculos!$AH$5:$AH$1000,904),Cálculos!$AH$5:$AH$1000,0)+4,"")</f>
        <v/>
      </c>
    </row>
    <row r="909">
      <c r="A909" s="5" t="str">
        <f>IF($G909="","",INDEX('Detalle individual'!$B:$B,$G909))</f>
        <v/>
      </c>
      <c r="B909" s="5" t="str">
        <f>IF($G909="","",INDEX('Detalle individual'!$A:$A,$G909))</f>
        <v/>
      </c>
      <c r="C909" s="5" t="str">
        <f>IF($G909="","",INDEX('Detalle individual'!$E:$E,$G909))</f>
        <v/>
      </c>
      <c r="D909" s="5" t="str">
        <f>IF($G909="","",INDEX('Detalle individual'!$C:$C,$G909))</f>
        <v/>
      </c>
      <c r="E909" s="5" t="str">
        <f>IF($G909="","",INDEX('Detalle individual'!$D:$D,$G909))</f>
        <v/>
      </c>
      <c r="G909" t="str">
        <f>IFERROR(MATCH(SMALL(Cálculos!$AH$5:$AH$1000,905),Cálculos!$AH$5:$AH$1000,0)+4,"")</f>
        <v/>
      </c>
    </row>
    <row r="910">
      <c r="A910" s="5" t="str">
        <f>IF($G910="","",INDEX('Detalle individual'!$B:$B,$G910))</f>
        <v/>
      </c>
      <c r="B910" s="5" t="str">
        <f>IF($G910="","",INDEX('Detalle individual'!$A:$A,$G910))</f>
        <v/>
      </c>
      <c r="C910" s="5" t="str">
        <f>IF($G910="","",INDEX('Detalle individual'!$E:$E,$G910))</f>
        <v/>
      </c>
      <c r="D910" s="5" t="str">
        <f>IF($G910="","",INDEX('Detalle individual'!$C:$C,$G910))</f>
        <v/>
      </c>
      <c r="E910" s="5" t="str">
        <f>IF($G910="","",INDEX('Detalle individual'!$D:$D,$G910))</f>
        <v/>
      </c>
      <c r="G910" t="str">
        <f>IFERROR(MATCH(SMALL(Cálculos!$AH$5:$AH$1000,906),Cálculos!$AH$5:$AH$1000,0)+4,"")</f>
        <v/>
      </c>
    </row>
    <row r="911">
      <c r="A911" s="5" t="str">
        <f>IF($G911="","",INDEX('Detalle individual'!$B:$B,$G911))</f>
        <v/>
      </c>
      <c r="B911" s="5" t="str">
        <f>IF($G911="","",INDEX('Detalle individual'!$A:$A,$G911))</f>
        <v/>
      </c>
      <c r="C911" s="5" t="str">
        <f>IF($G911="","",INDEX('Detalle individual'!$E:$E,$G911))</f>
        <v/>
      </c>
      <c r="D911" s="5" t="str">
        <f>IF($G911="","",INDEX('Detalle individual'!$C:$C,$G911))</f>
        <v/>
      </c>
      <c r="E911" s="5" t="str">
        <f>IF($G911="","",INDEX('Detalle individual'!$D:$D,$G911))</f>
        <v/>
      </c>
      <c r="G911" t="str">
        <f>IFERROR(MATCH(SMALL(Cálculos!$AH$5:$AH$1000,907),Cálculos!$AH$5:$AH$1000,0)+4,"")</f>
        <v/>
      </c>
    </row>
    <row r="912">
      <c r="A912" s="5" t="str">
        <f>IF($G912="","",INDEX('Detalle individual'!$B:$B,$G912))</f>
        <v/>
      </c>
      <c r="B912" s="5" t="str">
        <f>IF($G912="","",INDEX('Detalle individual'!$A:$A,$G912))</f>
        <v/>
      </c>
      <c r="C912" s="5" t="str">
        <f>IF($G912="","",INDEX('Detalle individual'!$E:$E,$G912))</f>
        <v/>
      </c>
      <c r="D912" s="5" t="str">
        <f>IF($G912="","",INDEX('Detalle individual'!$C:$C,$G912))</f>
        <v/>
      </c>
      <c r="E912" s="5" t="str">
        <f>IF($G912="","",INDEX('Detalle individual'!$D:$D,$G912))</f>
        <v/>
      </c>
      <c r="G912" t="str">
        <f>IFERROR(MATCH(SMALL(Cálculos!$AH$5:$AH$1000,908),Cálculos!$AH$5:$AH$1000,0)+4,"")</f>
        <v/>
      </c>
    </row>
    <row r="913">
      <c r="A913" s="5" t="str">
        <f>IF($G913="","",INDEX('Detalle individual'!$B:$B,$G913))</f>
        <v/>
      </c>
      <c r="B913" s="5" t="str">
        <f>IF($G913="","",INDEX('Detalle individual'!$A:$A,$G913))</f>
        <v/>
      </c>
      <c r="C913" s="5" t="str">
        <f>IF($G913="","",INDEX('Detalle individual'!$E:$E,$G913))</f>
        <v/>
      </c>
      <c r="D913" s="5" t="str">
        <f>IF($G913="","",INDEX('Detalle individual'!$C:$C,$G913))</f>
        <v/>
      </c>
      <c r="E913" s="5" t="str">
        <f>IF($G913="","",INDEX('Detalle individual'!$D:$D,$G913))</f>
        <v/>
      </c>
      <c r="G913" t="str">
        <f>IFERROR(MATCH(SMALL(Cálculos!$AH$5:$AH$1000,909),Cálculos!$AH$5:$AH$1000,0)+4,"")</f>
        <v/>
      </c>
    </row>
    <row r="914">
      <c r="A914" s="5" t="str">
        <f>IF($G914="","",INDEX('Detalle individual'!$B:$B,$G914))</f>
        <v/>
      </c>
      <c r="B914" s="5" t="str">
        <f>IF($G914="","",INDEX('Detalle individual'!$A:$A,$G914))</f>
        <v/>
      </c>
      <c r="C914" s="5" t="str">
        <f>IF($G914="","",INDEX('Detalle individual'!$E:$E,$G914))</f>
        <v/>
      </c>
      <c r="D914" s="5" t="str">
        <f>IF($G914="","",INDEX('Detalle individual'!$C:$C,$G914))</f>
        <v/>
      </c>
      <c r="E914" s="5" t="str">
        <f>IF($G914="","",INDEX('Detalle individual'!$D:$D,$G914))</f>
        <v/>
      </c>
      <c r="G914" t="str">
        <f>IFERROR(MATCH(SMALL(Cálculos!$AH$5:$AH$1000,910),Cálculos!$AH$5:$AH$1000,0)+4,"")</f>
        <v/>
      </c>
    </row>
    <row r="915">
      <c r="A915" s="5" t="str">
        <f>IF($G915="","",INDEX('Detalle individual'!$B:$B,$G915))</f>
        <v/>
      </c>
      <c r="B915" s="5" t="str">
        <f>IF($G915="","",INDEX('Detalle individual'!$A:$A,$G915))</f>
        <v/>
      </c>
      <c r="C915" s="5" t="str">
        <f>IF($G915="","",INDEX('Detalle individual'!$E:$E,$G915))</f>
        <v/>
      </c>
      <c r="D915" s="5" t="str">
        <f>IF($G915="","",INDEX('Detalle individual'!$C:$C,$G915))</f>
        <v/>
      </c>
      <c r="E915" s="5" t="str">
        <f>IF($G915="","",INDEX('Detalle individual'!$D:$D,$G915))</f>
        <v/>
      </c>
      <c r="G915" t="str">
        <f>IFERROR(MATCH(SMALL(Cálculos!$AH$5:$AH$1000,911),Cálculos!$AH$5:$AH$1000,0)+4,"")</f>
        <v/>
      </c>
    </row>
    <row r="916">
      <c r="A916" s="5" t="str">
        <f>IF($G916="","",INDEX('Detalle individual'!$B:$B,$G916))</f>
        <v/>
      </c>
      <c r="B916" s="5" t="str">
        <f>IF($G916="","",INDEX('Detalle individual'!$A:$A,$G916))</f>
        <v/>
      </c>
      <c r="C916" s="5" t="str">
        <f>IF($G916="","",INDEX('Detalle individual'!$E:$E,$G916))</f>
        <v/>
      </c>
      <c r="D916" s="5" t="str">
        <f>IF($G916="","",INDEX('Detalle individual'!$C:$C,$G916))</f>
        <v/>
      </c>
      <c r="E916" s="5" t="str">
        <f>IF($G916="","",INDEX('Detalle individual'!$D:$D,$G916))</f>
        <v/>
      </c>
      <c r="G916" t="str">
        <f>IFERROR(MATCH(SMALL(Cálculos!$AH$5:$AH$1000,912),Cálculos!$AH$5:$AH$1000,0)+4,"")</f>
        <v/>
      </c>
    </row>
    <row r="917">
      <c r="A917" s="5" t="str">
        <f>IF($G917="","",INDEX('Detalle individual'!$B:$B,$G917))</f>
        <v/>
      </c>
      <c r="B917" s="5" t="str">
        <f>IF($G917="","",INDEX('Detalle individual'!$A:$A,$G917))</f>
        <v/>
      </c>
      <c r="C917" s="5" t="str">
        <f>IF($G917="","",INDEX('Detalle individual'!$E:$E,$G917))</f>
        <v/>
      </c>
      <c r="D917" s="5" t="str">
        <f>IF($G917="","",INDEX('Detalle individual'!$C:$C,$G917))</f>
        <v/>
      </c>
      <c r="E917" s="5" t="str">
        <f>IF($G917="","",INDEX('Detalle individual'!$D:$D,$G917))</f>
        <v/>
      </c>
      <c r="G917" t="str">
        <f>IFERROR(MATCH(SMALL(Cálculos!$AH$5:$AH$1000,913),Cálculos!$AH$5:$AH$1000,0)+4,"")</f>
        <v/>
      </c>
    </row>
    <row r="918">
      <c r="A918" s="5" t="str">
        <f>IF($G918="","",INDEX('Detalle individual'!$B:$B,$G918))</f>
        <v/>
      </c>
      <c r="B918" s="5" t="str">
        <f>IF($G918="","",INDEX('Detalle individual'!$A:$A,$G918))</f>
        <v/>
      </c>
      <c r="C918" s="5" t="str">
        <f>IF($G918="","",INDEX('Detalle individual'!$E:$E,$G918))</f>
        <v/>
      </c>
      <c r="D918" s="5" t="str">
        <f>IF($G918="","",INDEX('Detalle individual'!$C:$C,$G918))</f>
        <v/>
      </c>
      <c r="E918" s="5" t="str">
        <f>IF($G918="","",INDEX('Detalle individual'!$D:$D,$G918))</f>
        <v/>
      </c>
      <c r="G918" t="str">
        <f>IFERROR(MATCH(SMALL(Cálculos!$AH$5:$AH$1000,914),Cálculos!$AH$5:$AH$1000,0)+4,"")</f>
        <v/>
      </c>
    </row>
    <row r="919">
      <c r="A919" s="5" t="str">
        <f>IF($G919="","",INDEX('Detalle individual'!$B:$B,$G919))</f>
        <v/>
      </c>
      <c r="B919" s="5" t="str">
        <f>IF($G919="","",INDEX('Detalle individual'!$A:$A,$G919))</f>
        <v/>
      </c>
      <c r="C919" s="5" t="str">
        <f>IF($G919="","",INDEX('Detalle individual'!$E:$E,$G919))</f>
        <v/>
      </c>
      <c r="D919" s="5" t="str">
        <f>IF($G919="","",INDEX('Detalle individual'!$C:$C,$G919))</f>
        <v/>
      </c>
      <c r="E919" s="5" t="str">
        <f>IF($G919="","",INDEX('Detalle individual'!$D:$D,$G919))</f>
        <v/>
      </c>
      <c r="G919" t="str">
        <f>IFERROR(MATCH(SMALL(Cálculos!$AH$5:$AH$1000,915),Cálculos!$AH$5:$AH$1000,0)+4,"")</f>
        <v/>
      </c>
    </row>
    <row r="920">
      <c r="A920" s="5" t="str">
        <f>IF($G920="","",INDEX('Detalle individual'!$B:$B,$G920))</f>
        <v/>
      </c>
      <c r="B920" s="5" t="str">
        <f>IF($G920="","",INDEX('Detalle individual'!$A:$A,$G920))</f>
        <v/>
      </c>
      <c r="C920" s="5" t="str">
        <f>IF($G920="","",INDEX('Detalle individual'!$E:$E,$G920))</f>
        <v/>
      </c>
      <c r="D920" s="5" t="str">
        <f>IF($G920="","",INDEX('Detalle individual'!$C:$C,$G920))</f>
        <v/>
      </c>
      <c r="E920" s="5" t="str">
        <f>IF($G920="","",INDEX('Detalle individual'!$D:$D,$G920))</f>
        <v/>
      </c>
      <c r="G920" t="str">
        <f>IFERROR(MATCH(SMALL(Cálculos!$AH$5:$AH$1000,916),Cálculos!$AH$5:$AH$1000,0)+4,"")</f>
        <v/>
      </c>
    </row>
    <row r="921">
      <c r="A921" s="5" t="str">
        <f>IF($G921="","",INDEX('Detalle individual'!$B:$B,$G921))</f>
        <v/>
      </c>
      <c r="B921" s="5" t="str">
        <f>IF($G921="","",INDEX('Detalle individual'!$A:$A,$G921))</f>
        <v/>
      </c>
      <c r="C921" s="5" t="str">
        <f>IF($G921="","",INDEX('Detalle individual'!$E:$E,$G921))</f>
        <v/>
      </c>
      <c r="D921" s="5" t="str">
        <f>IF($G921="","",INDEX('Detalle individual'!$C:$C,$G921))</f>
        <v/>
      </c>
      <c r="E921" s="5" t="str">
        <f>IF($G921="","",INDEX('Detalle individual'!$D:$D,$G921))</f>
        <v/>
      </c>
      <c r="G921" t="str">
        <f>IFERROR(MATCH(SMALL(Cálculos!$AH$5:$AH$1000,917),Cálculos!$AH$5:$AH$1000,0)+4,"")</f>
        <v/>
      </c>
    </row>
    <row r="922">
      <c r="A922" s="5" t="str">
        <f>IF($G922="","",INDEX('Detalle individual'!$B:$B,$G922))</f>
        <v/>
      </c>
      <c r="B922" s="5" t="str">
        <f>IF($G922="","",INDEX('Detalle individual'!$A:$A,$G922))</f>
        <v/>
      </c>
      <c r="C922" s="5" t="str">
        <f>IF($G922="","",INDEX('Detalle individual'!$E:$E,$G922))</f>
        <v/>
      </c>
      <c r="D922" s="5" t="str">
        <f>IF($G922="","",INDEX('Detalle individual'!$C:$C,$G922))</f>
        <v/>
      </c>
      <c r="E922" s="5" t="str">
        <f>IF($G922="","",INDEX('Detalle individual'!$D:$D,$G922))</f>
        <v/>
      </c>
      <c r="G922" t="str">
        <f>IFERROR(MATCH(SMALL(Cálculos!$AH$5:$AH$1000,918),Cálculos!$AH$5:$AH$1000,0)+4,"")</f>
        <v/>
      </c>
    </row>
    <row r="923">
      <c r="A923" s="5" t="str">
        <f>IF($G923="","",INDEX('Detalle individual'!$B:$B,$G923))</f>
        <v/>
      </c>
      <c r="B923" s="5" t="str">
        <f>IF($G923="","",INDEX('Detalle individual'!$A:$A,$G923))</f>
        <v/>
      </c>
      <c r="C923" s="5" t="str">
        <f>IF($G923="","",INDEX('Detalle individual'!$E:$E,$G923))</f>
        <v/>
      </c>
      <c r="D923" s="5" t="str">
        <f>IF($G923="","",INDEX('Detalle individual'!$C:$C,$G923))</f>
        <v/>
      </c>
      <c r="E923" s="5" t="str">
        <f>IF($G923="","",INDEX('Detalle individual'!$D:$D,$G923))</f>
        <v/>
      </c>
      <c r="G923" t="str">
        <f>IFERROR(MATCH(SMALL(Cálculos!$AH$5:$AH$1000,919),Cálculos!$AH$5:$AH$1000,0)+4,"")</f>
        <v/>
      </c>
    </row>
    <row r="924">
      <c r="A924" s="5" t="str">
        <f>IF($G924="","",INDEX('Detalle individual'!$B:$B,$G924))</f>
        <v/>
      </c>
      <c r="B924" s="5" t="str">
        <f>IF($G924="","",INDEX('Detalle individual'!$A:$A,$G924))</f>
        <v/>
      </c>
      <c r="C924" s="5" t="str">
        <f>IF($G924="","",INDEX('Detalle individual'!$E:$E,$G924))</f>
        <v/>
      </c>
      <c r="D924" s="5" t="str">
        <f>IF($G924="","",INDEX('Detalle individual'!$C:$C,$G924))</f>
        <v/>
      </c>
      <c r="E924" s="5" t="str">
        <f>IF($G924="","",INDEX('Detalle individual'!$D:$D,$G924))</f>
        <v/>
      </c>
      <c r="G924" t="str">
        <f>IFERROR(MATCH(SMALL(Cálculos!$AH$5:$AH$1000,920),Cálculos!$AH$5:$AH$1000,0)+4,"")</f>
        <v/>
      </c>
    </row>
    <row r="925">
      <c r="A925" s="5" t="str">
        <f>IF($G925="","",INDEX('Detalle individual'!$B:$B,$G925))</f>
        <v/>
      </c>
      <c r="B925" s="5" t="str">
        <f>IF($G925="","",INDEX('Detalle individual'!$A:$A,$G925))</f>
        <v/>
      </c>
      <c r="C925" s="5" t="str">
        <f>IF($G925="","",INDEX('Detalle individual'!$E:$E,$G925))</f>
        <v/>
      </c>
      <c r="D925" s="5" t="str">
        <f>IF($G925="","",INDEX('Detalle individual'!$C:$C,$G925))</f>
        <v/>
      </c>
      <c r="E925" s="5" t="str">
        <f>IF($G925="","",INDEX('Detalle individual'!$D:$D,$G925))</f>
        <v/>
      </c>
      <c r="G925" t="str">
        <f>IFERROR(MATCH(SMALL(Cálculos!$AH$5:$AH$1000,921),Cálculos!$AH$5:$AH$1000,0)+4,"")</f>
        <v/>
      </c>
    </row>
    <row r="926">
      <c r="A926" s="5" t="str">
        <f>IF($G926="","",INDEX('Detalle individual'!$B:$B,$G926))</f>
        <v/>
      </c>
      <c r="B926" s="5" t="str">
        <f>IF($G926="","",INDEX('Detalle individual'!$A:$A,$G926))</f>
        <v/>
      </c>
      <c r="C926" s="5" t="str">
        <f>IF($G926="","",INDEX('Detalle individual'!$E:$E,$G926))</f>
        <v/>
      </c>
      <c r="D926" s="5" t="str">
        <f>IF($G926="","",INDEX('Detalle individual'!$C:$C,$G926))</f>
        <v/>
      </c>
      <c r="E926" s="5" t="str">
        <f>IF($G926="","",INDEX('Detalle individual'!$D:$D,$G926))</f>
        <v/>
      </c>
      <c r="G926" t="str">
        <f>IFERROR(MATCH(SMALL(Cálculos!$AH$5:$AH$1000,922),Cálculos!$AH$5:$AH$1000,0)+4,"")</f>
        <v/>
      </c>
    </row>
    <row r="927">
      <c r="A927" s="5" t="str">
        <f>IF($G927="","",INDEX('Detalle individual'!$B:$B,$G927))</f>
        <v/>
      </c>
      <c r="B927" s="5" t="str">
        <f>IF($G927="","",INDEX('Detalle individual'!$A:$A,$G927))</f>
        <v/>
      </c>
      <c r="C927" s="5" t="str">
        <f>IF($G927="","",INDEX('Detalle individual'!$E:$E,$G927))</f>
        <v/>
      </c>
      <c r="D927" s="5" t="str">
        <f>IF($G927="","",INDEX('Detalle individual'!$C:$C,$G927))</f>
        <v/>
      </c>
      <c r="E927" s="5" t="str">
        <f>IF($G927="","",INDEX('Detalle individual'!$D:$D,$G927))</f>
        <v/>
      </c>
      <c r="G927" t="str">
        <f>IFERROR(MATCH(SMALL(Cálculos!$AH$5:$AH$1000,923),Cálculos!$AH$5:$AH$1000,0)+4,"")</f>
        <v/>
      </c>
    </row>
    <row r="928">
      <c r="A928" s="5" t="str">
        <f>IF($G928="","",INDEX('Detalle individual'!$B:$B,$G928))</f>
        <v/>
      </c>
      <c r="B928" s="5" t="str">
        <f>IF($G928="","",INDEX('Detalle individual'!$A:$A,$G928))</f>
        <v/>
      </c>
      <c r="C928" s="5" t="str">
        <f>IF($G928="","",INDEX('Detalle individual'!$E:$E,$G928))</f>
        <v/>
      </c>
      <c r="D928" s="5" t="str">
        <f>IF($G928="","",INDEX('Detalle individual'!$C:$C,$G928))</f>
        <v/>
      </c>
      <c r="E928" s="5" t="str">
        <f>IF($G928="","",INDEX('Detalle individual'!$D:$D,$G928))</f>
        <v/>
      </c>
      <c r="G928" t="str">
        <f>IFERROR(MATCH(SMALL(Cálculos!$AH$5:$AH$1000,924),Cálculos!$AH$5:$AH$1000,0)+4,"")</f>
        <v/>
      </c>
    </row>
    <row r="929">
      <c r="A929" s="5" t="str">
        <f>IF($G929="","",INDEX('Detalle individual'!$B:$B,$G929))</f>
        <v/>
      </c>
      <c r="B929" s="5" t="str">
        <f>IF($G929="","",INDEX('Detalle individual'!$A:$A,$G929))</f>
        <v/>
      </c>
      <c r="C929" s="5" t="str">
        <f>IF($G929="","",INDEX('Detalle individual'!$E:$E,$G929))</f>
        <v/>
      </c>
      <c r="D929" s="5" t="str">
        <f>IF($G929="","",INDEX('Detalle individual'!$C:$C,$G929))</f>
        <v/>
      </c>
      <c r="E929" s="5" t="str">
        <f>IF($G929="","",INDEX('Detalle individual'!$D:$D,$G929))</f>
        <v/>
      </c>
      <c r="G929" t="str">
        <f>IFERROR(MATCH(SMALL(Cálculos!$AH$5:$AH$1000,925),Cálculos!$AH$5:$AH$1000,0)+4,"")</f>
        <v/>
      </c>
    </row>
    <row r="930">
      <c r="A930" s="5" t="str">
        <f>IF($G930="","",INDEX('Detalle individual'!$B:$B,$G930))</f>
        <v/>
      </c>
      <c r="B930" s="5" t="str">
        <f>IF($G930="","",INDEX('Detalle individual'!$A:$A,$G930))</f>
        <v/>
      </c>
      <c r="C930" s="5" t="str">
        <f>IF($G930="","",INDEX('Detalle individual'!$E:$E,$G930))</f>
        <v/>
      </c>
      <c r="D930" s="5" t="str">
        <f>IF($G930="","",INDEX('Detalle individual'!$C:$C,$G930))</f>
        <v/>
      </c>
      <c r="E930" s="5" t="str">
        <f>IF($G930="","",INDEX('Detalle individual'!$D:$D,$G930))</f>
        <v/>
      </c>
      <c r="G930" t="str">
        <f>IFERROR(MATCH(SMALL(Cálculos!$AH$5:$AH$1000,926),Cálculos!$AH$5:$AH$1000,0)+4,"")</f>
        <v/>
      </c>
    </row>
    <row r="931">
      <c r="A931" s="5" t="str">
        <f>IF($G931="","",INDEX('Detalle individual'!$B:$B,$G931))</f>
        <v/>
      </c>
      <c r="B931" s="5" t="str">
        <f>IF($G931="","",INDEX('Detalle individual'!$A:$A,$G931))</f>
        <v/>
      </c>
      <c r="C931" s="5" t="str">
        <f>IF($G931="","",INDEX('Detalle individual'!$E:$E,$G931))</f>
        <v/>
      </c>
      <c r="D931" s="5" t="str">
        <f>IF($G931="","",INDEX('Detalle individual'!$C:$C,$G931))</f>
        <v/>
      </c>
      <c r="E931" s="5" t="str">
        <f>IF($G931="","",INDEX('Detalle individual'!$D:$D,$G931))</f>
        <v/>
      </c>
      <c r="G931" t="str">
        <f>IFERROR(MATCH(SMALL(Cálculos!$AH$5:$AH$1000,927),Cálculos!$AH$5:$AH$1000,0)+4,"")</f>
        <v/>
      </c>
    </row>
    <row r="932">
      <c r="A932" s="5" t="str">
        <f>IF($G932="","",INDEX('Detalle individual'!$B:$B,$G932))</f>
        <v/>
      </c>
      <c r="B932" s="5" t="str">
        <f>IF($G932="","",INDEX('Detalle individual'!$A:$A,$G932))</f>
        <v/>
      </c>
      <c r="C932" s="5" t="str">
        <f>IF($G932="","",INDEX('Detalle individual'!$E:$E,$G932))</f>
        <v/>
      </c>
      <c r="D932" s="5" t="str">
        <f>IF($G932="","",INDEX('Detalle individual'!$C:$C,$G932))</f>
        <v/>
      </c>
      <c r="E932" s="5" t="str">
        <f>IF($G932="","",INDEX('Detalle individual'!$D:$D,$G932))</f>
        <v/>
      </c>
      <c r="G932" t="str">
        <f>IFERROR(MATCH(SMALL(Cálculos!$AH$5:$AH$1000,928),Cálculos!$AH$5:$AH$1000,0)+4,"")</f>
        <v/>
      </c>
    </row>
    <row r="933">
      <c r="A933" s="5" t="str">
        <f>IF($G933="","",INDEX('Detalle individual'!$B:$B,$G933))</f>
        <v/>
      </c>
      <c r="B933" s="5" t="str">
        <f>IF($G933="","",INDEX('Detalle individual'!$A:$A,$G933))</f>
        <v/>
      </c>
      <c r="C933" s="5" t="str">
        <f>IF($G933="","",INDEX('Detalle individual'!$E:$E,$G933))</f>
        <v/>
      </c>
      <c r="D933" s="5" t="str">
        <f>IF($G933="","",INDEX('Detalle individual'!$C:$C,$G933))</f>
        <v/>
      </c>
      <c r="E933" s="5" t="str">
        <f>IF($G933="","",INDEX('Detalle individual'!$D:$D,$G933))</f>
        <v/>
      </c>
      <c r="G933" t="str">
        <f>IFERROR(MATCH(SMALL(Cálculos!$AH$5:$AH$1000,929),Cálculos!$AH$5:$AH$1000,0)+4,"")</f>
        <v/>
      </c>
    </row>
    <row r="934">
      <c r="A934" s="5" t="str">
        <f>IF($G934="","",INDEX('Detalle individual'!$B:$B,$G934))</f>
        <v/>
      </c>
      <c r="B934" s="5" t="str">
        <f>IF($G934="","",INDEX('Detalle individual'!$A:$A,$G934))</f>
        <v/>
      </c>
      <c r="C934" s="5" t="str">
        <f>IF($G934="","",INDEX('Detalle individual'!$E:$E,$G934))</f>
        <v/>
      </c>
      <c r="D934" s="5" t="str">
        <f>IF($G934="","",INDEX('Detalle individual'!$C:$C,$G934))</f>
        <v/>
      </c>
      <c r="E934" s="5" t="str">
        <f>IF($G934="","",INDEX('Detalle individual'!$D:$D,$G934))</f>
        <v/>
      </c>
      <c r="G934" t="str">
        <f>IFERROR(MATCH(SMALL(Cálculos!$AH$5:$AH$1000,930),Cálculos!$AH$5:$AH$1000,0)+4,"")</f>
        <v/>
      </c>
    </row>
    <row r="935">
      <c r="A935" s="5" t="str">
        <f>IF($G935="","",INDEX('Detalle individual'!$B:$B,$G935))</f>
        <v/>
      </c>
      <c r="B935" s="5" t="str">
        <f>IF($G935="","",INDEX('Detalle individual'!$A:$A,$G935))</f>
        <v/>
      </c>
      <c r="C935" s="5" t="str">
        <f>IF($G935="","",INDEX('Detalle individual'!$E:$E,$G935))</f>
        <v/>
      </c>
      <c r="D935" s="5" t="str">
        <f>IF($G935="","",INDEX('Detalle individual'!$C:$C,$G935))</f>
        <v/>
      </c>
      <c r="E935" s="5" t="str">
        <f>IF($G935="","",INDEX('Detalle individual'!$D:$D,$G935))</f>
        <v/>
      </c>
      <c r="G935" t="str">
        <f>IFERROR(MATCH(SMALL(Cálculos!$AH$5:$AH$1000,931),Cálculos!$AH$5:$AH$1000,0)+4,"")</f>
        <v/>
      </c>
    </row>
    <row r="936">
      <c r="A936" s="5" t="str">
        <f>IF($G936="","",INDEX('Detalle individual'!$B:$B,$G936))</f>
        <v/>
      </c>
      <c r="B936" s="5" t="str">
        <f>IF($G936="","",INDEX('Detalle individual'!$A:$A,$G936))</f>
        <v/>
      </c>
      <c r="C936" s="5" t="str">
        <f>IF($G936="","",INDEX('Detalle individual'!$E:$E,$G936))</f>
        <v/>
      </c>
      <c r="D936" s="5" t="str">
        <f>IF($G936="","",INDEX('Detalle individual'!$C:$C,$G936))</f>
        <v/>
      </c>
      <c r="E936" s="5" t="str">
        <f>IF($G936="","",INDEX('Detalle individual'!$D:$D,$G936))</f>
        <v/>
      </c>
      <c r="G936" t="str">
        <f>IFERROR(MATCH(SMALL(Cálculos!$AH$5:$AH$1000,932),Cálculos!$AH$5:$AH$1000,0)+4,"")</f>
        <v/>
      </c>
    </row>
    <row r="937">
      <c r="A937" s="5" t="str">
        <f>IF($G937="","",INDEX('Detalle individual'!$B:$B,$G937))</f>
        <v/>
      </c>
      <c r="B937" s="5" t="str">
        <f>IF($G937="","",INDEX('Detalle individual'!$A:$A,$G937))</f>
        <v/>
      </c>
      <c r="C937" s="5" t="str">
        <f>IF($G937="","",INDEX('Detalle individual'!$E:$E,$G937))</f>
        <v/>
      </c>
      <c r="D937" s="5" t="str">
        <f>IF($G937="","",INDEX('Detalle individual'!$C:$C,$G937))</f>
        <v/>
      </c>
      <c r="E937" s="5" t="str">
        <f>IF($G937="","",INDEX('Detalle individual'!$D:$D,$G937))</f>
        <v/>
      </c>
      <c r="G937" t="str">
        <f>IFERROR(MATCH(SMALL(Cálculos!$AH$5:$AH$1000,933),Cálculos!$AH$5:$AH$1000,0)+4,"")</f>
        <v/>
      </c>
    </row>
    <row r="938">
      <c r="A938" s="5" t="str">
        <f>IF($G938="","",INDEX('Detalle individual'!$B:$B,$G938))</f>
        <v/>
      </c>
      <c r="B938" s="5" t="str">
        <f>IF($G938="","",INDEX('Detalle individual'!$A:$A,$G938))</f>
        <v/>
      </c>
      <c r="C938" s="5" t="str">
        <f>IF($G938="","",INDEX('Detalle individual'!$E:$E,$G938))</f>
        <v/>
      </c>
      <c r="D938" s="5" t="str">
        <f>IF($G938="","",INDEX('Detalle individual'!$C:$C,$G938))</f>
        <v/>
      </c>
      <c r="E938" s="5" t="str">
        <f>IF($G938="","",INDEX('Detalle individual'!$D:$D,$G938))</f>
        <v/>
      </c>
      <c r="G938" t="str">
        <f>IFERROR(MATCH(SMALL(Cálculos!$AH$5:$AH$1000,934),Cálculos!$AH$5:$AH$1000,0)+4,"")</f>
        <v/>
      </c>
    </row>
    <row r="939">
      <c r="A939" s="5" t="str">
        <f>IF($G939="","",INDEX('Detalle individual'!$B:$B,$G939))</f>
        <v/>
      </c>
      <c r="B939" s="5" t="str">
        <f>IF($G939="","",INDEX('Detalle individual'!$A:$A,$G939))</f>
        <v/>
      </c>
      <c r="C939" s="5" t="str">
        <f>IF($G939="","",INDEX('Detalle individual'!$E:$E,$G939))</f>
        <v/>
      </c>
      <c r="D939" s="5" t="str">
        <f>IF($G939="","",INDEX('Detalle individual'!$C:$C,$G939))</f>
        <v/>
      </c>
      <c r="E939" s="5" t="str">
        <f>IF($G939="","",INDEX('Detalle individual'!$D:$D,$G939))</f>
        <v/>
      </c>
      <c r="G939" t="str">
        <f>IFERROR(MATCH(SMALL(Cálculos!$AH$5:$AH$1000,935),Cálculos!$AH$5:$AH$1000,0)+4,"")</f>
        <v/>
      </c>
    </row>
    <row r="940">
      <c r="A940" s="5" t="str">
        <f>IF($G940="","",INDEX('Detalle individual'!$B:$B,$G940))</f>
        <v/>
      </c>
      <c r="B940" s="5" t="str">
        <f>IF($G940="","",INDEX('Detalle individual'!$A:$A,$G940))</f>
        <v/>
      </c>
      <c r="C940" s="5" t="str">
        <f>IF($G940="","",INDEX('Detalle individual'!$E:$E,$G940))</f>
        <v/>
      </c>
      <c r="D940" s="5" t="str">
        <f>IF($G940="","",INDEX('Detalle individual'!$C:$C,$G940))</f>
        <v/>
      </c>
      <c r="E940" s="5" t="str">
        <f>IF($G940="","",INDEX('Detalle individual'!$D:$D,$G940))</f>
        <v/>
      </c>
      <c r="G940" t="str">
        <f>IFERROR(MATCH(SMALL(Cálculos!$AH$5:$AH$1000,936),Cálculos!$AH$5:$AH$1000,0)+4,"")</f>
        <v/>
      </c>
    </row>
    <row r="941">
      <c r="A941" s="5" t="str">
        <f>IF($G941="","",INDEX('Detalle individual'!$B:$B,$G941))</f>
        <v/>
      </c>
      <c r="B941" s="5" t="str">
        <f>IF($G941="","",INDEX('Detalle individual'!$A:$A,$G941))</f>
        <v/>
      </c>
      <c r="C941" s="5" t="str">
        <f>IF($G941="","",INDEX('Detalle individual'!$E:$E,$G941))</f>
        <v/>
      </c>
      <c r="D941" s="5" t="str">
        <f>IF($G941="","",INDEX('Detalle individual'!$C:$C,$G941))</f>
        <v/>
      </c>
      <c r="E941" s="5" t="str">
        <f>IF($G941="","",INDEX('Detalle individual'!$D:$D,$G941))</f>
        <v/>
      </c>
      <c r="G941" t="str">
        <f>IFERROR(MATCH(SMALL(Cálculos!$AH$5:$AH$1000,937),Cálculos!$AH$5:$AH$1000,0)+4,"")</f>
        <v/>
      </c>
    </row>
    <row r="942">
      <c r="A942" s="5" t="str">
        <f>IF($G942="","",INDEX('Detalle individual'!$B:$B,$G942))</f>
        <v/>
      </c>
      <c r="B942" s="5" t="str">
        <f>IF($G942="","",INDEX('Detalle individual'!$A:$A,$G942))</f>
        <v/>
      </c>
      <c r="C942" s="5" t="str">
        <f>IF($G942="","",INDEX('Detalle individual'!$E:$E,$G942))</f>
        <v/>
      </c>
      <c r="D942" s="5" t="str">
        <f>IF($G942="","",INDEX('Detalle individual'!$C:$C,$G942))</f>
        <v/>
      </c>
      <c r="E942" s="5" t="str">
        <f>IF($G942="","",INDEX('Detalle individual'!$D:$D,$G942))</f>
        <v/>
      </c>
      <c r="G942" t="str">
        <f>IFERROR(MATCH(SMALL(Cálculos!$AH$5:$AH$1000,938),Cálculos!$AH$5:$AH$1000,0)+4,"")</f>
        <v/>
      </c>
    </row>
    <row r="943">
      <c r="A943" s="5" t="str">
        <f>IF($G943="","",INDEX('Detalle individual'!$B:$B,$G943))</f>
        <v/>
      </c>
      <c r="B943" s="5" t="str">
        <f>IF($G943="","",INDEX('Detalle individual'!$A:$A,$G943))</f>
        <v/>
      </c>
      <c r="C943" s="5" t="str">
        <f>IF($G943="","",INDEX('Detalle individual'!$E:$E,$G943))</f>
        <v/>
      </c>
      <c r="D943" s="5" t="str">
        <f>IF($G943="","",INDEX('Detalle individual'!$C:$C,$G943))</f>
        <v/>
      </c>
      <c r="E943" s="5" t="str">
        <f>IF($G943="","",INDEX('Detalle individual'!$D:$D,$G943))</f>
        <v/>
      </c>
      <c r="G943" t="str">
        <f>IFERROR(MATCH(SMALL(Cálculos!$AH$5:$AH$1000,939),Cálculos!$AH$5:$AH$1000,0)+4,"")</f>
        <v/>
      </c>
    </row>
    <row r="944">
      <c r="A944" s="5" t="str">
        <f>IF($G944="","",INDEX('Detalle individual'!$B:$B,$G944))</f>
        <v/>
      </c>
      <c r="B944" s="5" t="str">
        <f>IF($G944="","",INDEX('Detalle individual'!$A:$A,$G944))</f>
        <v/>
      </c>
      <c r="C944" s="5" t="str">
        <f>IF($G944="","",INDEX('Detalle individual'!$E:$E,$G944))</f>
        <v/>
      </c>
      <c r="D944" s="5" t="str">
        <f>IF($G944="","",INDEX('Detalle individual'!$C:$C,$G944))</f>
        <v/>
      </c>
      <c r="E944" s="5" t="str">
        <f>IF($G944="","",INDEX('Detalle individual'!$D:$D,$G944))</f>
        <v/>
      </c>
      <c r="G944" t="str">
        <f>IFERROR(MATCH(SMALL(Cálculos!$AH$5:$AH$1000,940),Cálculos!$AH$5:$AH$1000,0)+4,"")</f>
        <v/>
      </c>
    </row>
    <row r="945">
      <c r="A945" s="5" t="str">
        <f>IF($G945="","",INDEX('Detalle individual'!$B:$B,$G945))</f>
        <v/>
      </c>
      <c r="B945" s="5" t="str">
        <f>IF($G945="","",INDEX('Detalle individual'!$A:$A,$G945))</f>
        <v/>
      </c>
      <c r="C945" s="5" t="str">
        <f>IF($G945="","",INDEX('Detalle individual'!$E:$E,$G945))</f>
        <v/>
      </c>
      <c r="D945" s="5" t="str">
        <f>IF($G945="","",INDEX('Detalle individual'!$C:$C,$G945))</f>
        <v/>
      </c>
      <c r="E945" s="5" t="str">
        <f>IF($G945="","",INDEX('Detalle individual'!$D:$D,$G945))</f>
        <v/>
      </c>
      <c r="G945" t="str">
        <f>IFERROR(MATCH(SMALL(Cálculos!$AH$5:$AH$1000,941),Cálculos!$AH$5:$AH$1000,0)+4,"")</f>
        <v/>
      </c>
    </row>
    <row r="946">
      <c r="A946" s="5" t="str">
        <f>IF($G946="","",INDEX('Detalle individual'!$B:$B,$G946))</f>
        <v/>
      </c>
      <c r="B946" s="5" t="str">
        <f>IF($G946="","",INDEX('Detalle individual'!$A:$A,$G946))</f>
        <v/>
      </c>
      <c r="C946" s="5" t="str">
        <f>IF($G946="","",INDEX('Detalle individual'!$E:$E,$G946))</f>
        <v/>
      </c>
      <c r="D946" s="5" t="str">
        <f>IF($G946="","",INDEX('Detalle individual'!$C:$C,$G946))</f>
        <v/>
      </c>
      <c r="E946" s="5" t="str">
        <f>IF($G946="","",INDEX('Detalle individual'!$D:$D,$G946))</f>
        <v/>
      </c>
      <c r="G946" t="str">
        <f>IFERROR(MATCH(SMALL(Cálculos!$AH$5:$AH$1000,942),Cálculos!$AH$5:$AH$1000,0)+4,"")</f>
        <v/>
      </c>
    </row>
    <row r="947">
      <c r="A947" s="5" t="str">
        <f>IF($G947="","",INDEX('Detalle individual'!$B:$B,$G947))</f>
        <v/>
      </c>
      <c r="B947" s="5" t="str">
        <f>IF($G947="","",INDEX('Detalle individual'!$A:$A,$G947))</f>
        <v/>
      </c>
      <c r="C947" s="5" t="str">
        <f>IF($G947="","",INDEX('Detalle individual'!$E:$E,$G947))</f>
        <v/>
      </c>
      <c r="D947" s="5" t="str">
        <f>IF($G947="","",INDEX('Detalle individual'!$C:$C,$G947))</f>
        <v/>
      </c>
      <c r="E947" s="5" t="str">
        <f>IF($G947="","",INDEX('Detalle individual'!$D:$D,$G947))</f>
        <v/>
      </c>
      <c r="G947" t="str">
        <f>IFERROR(MATCH(SMALL(Cálculos!$AH$5:$AH$1000,943),Cálculos!$AH$5:$AH$1000,0)+4,"")</f>
        <v/>
      </c>
    </row>
    <row r="948">
      <c r="A948" s="5" t="str">
        <f>IF($G948="","",INDEX('Detalle individual'!$B:$B,$G948))</f>
        <v/>
      </c>
      <c r="B948" s="5" t="str">
        <f>IF($G948="","",INDEX('Detalle individual'!$A:$A,$G948))</f>
        <v/>
      </c>
      <c r="C948" s="5" t="str">
        <f>IF($G948="","",INDEX('Detalle individual'!$E:$E,$G948))</f>
        <v/>
      </c>
      <c r="D948" s="5" t="str">
        <f>IF($G948="","",INDEX('Detalle individual'!$C:$C,$G948))</f>
        <v/>
      </c>
      <c r="E948" s="5" t="str">
        <f>IF($G948="","",INDEX('Detalle individual'!$D:$D,$G948))</f>
        <v/>
      </c>
      <c r="G948" t="str">
        <f>IFERROR(MATCH(SMALL(Cálculos!$AH$5:$AH$1000,944),Cálculos!$AH$5:$AH$1000,0)+4,"")</f>
        <v/>
      </c>
    </row>
    <row r="949">
      <c r="A949" s="5" t="str">
        <f>IF($G949="","",INDEX('Detalle individual'!$B:$B,$G949))</f>
        <v/>
      </c>
      <c r="B949" s="5" t="str">
        <f>IF($G949="","",INDEX('Detalle individual'!$A:$A,$G949))</f>
        <v/>
      </c>
      <c r="C949" s="5" t="str">
        <f>IF($G949="","",INDEX('Detalle individual'!$E:$E,$G949))</f>
        <v/>
      </c>
      <c r="D949" s="5" t="str">
        <f>IF($G949="","",INDEX('Detalle individual'!$C:$C,$G949))</f>
        <v/>
      </c>
      <c r="E949" s="5" t="str">
        <f>IF($G949="","",INDEX('Detalle individual'!$D:$D,$G949))</f>
        <v/>
      </c>
      <c r="G949" t="str">
        <f>IFERROR(MATCH(SMALL(Cálculos!$AH$5:$AH$1000,945),Cálculos!$AH$5:$AH$1000,0)+4,"")</f>
        <v/>
      </c>
    </row>
    <row r="950">
      <c r="A950" s="5" t="str">
        <f>IF($G950="","",INDEX('Detalle individual'!$B:$B,$G950))</f>
        <v/>
      </c>
      <c r="B950" s="5" t="str">
        <f>IF($G950="","",INDEX('Detalle individual'!$A:$A,$G950))</f>
        <v/>
      </c>
      <c r="C950" s="5" t="str">
        <f>IF($G950="","",INDEX('Detalle individual'!$E:$E,$G950))</f>
        <v/>
      </c>
      <c r="D950" s="5" t="str">
        <f>IF($G950="","",INDEX('Detalle individual'!$C:$C,$G950))</f>
        <v/>
      </c>
      <c r="E950" s="5" t="str">
        <f>IF($G950="","",INDEX('Detalle individual'!$D:$D,$G950))</f>
        <v/>
      </c>
      <c r="G950" t="str">
        <f>IFERROR(MATCH(SMALL(Cálculos!$AH$5:$AH$1000,946),Cálculos!$AH$5:$AH$1000,0)+4,"")</f>
        <v/>
      </c>
    </row>
    <row r="951">
      <c r="A951" s="5" t="str">
        <f>IF($G951="","",INDEX('Detalle individual'!$B:$B,$G951))</f>
        <v/>
      </c>
      <c r="B951" s="5" t="str">
        <f>IF($G951="","",INDEX('Detalle individual'!$A:$A,$G951))</f>
        <v/>
      </c>
      <c r="C951" s="5" t="str">
        <f>IF($G951="","",INDEX('Detalle individual'!$E:$E,$G951))</f>
        <v/>
      </c>
      <c r="D951" s="5" t="str">
        <f>IF($G951="","",INDEX('Detalle individual'!$C:$C,$G951))</f>
        <v/>
      </c>
      <c r="E951" s="5" t="str">
        <f>IF($G951="","",INDEX('Detalle individual'!$D:$D,$G951))</f>
        <v/>
      </c>
      <c r="G951" t="str">
        <f>IFERROR(MATCH(SMALL(Cálculos!$AH$5:$AH$1000,947),Cálculos!$AH$5:$AH$1000,0)+4,"")</f>
        <v/>
      </c>
    </row>
    <row r="952">
      <c r="A952" s="5" t="str">
        <f>IF($G952="","",INDEX('Detalle individual'!$B:$B,$G952))</f>
        <v/>
      </c>
      <c r="B952" s="5" t="str">
        <f>IF($G952="","",INDEX('Detalle individual'!$A:$A,$G952))</f>
        <v/>
      </c>
      <c r="C952" s="5" t="str">
        <f>IF($G952="","",INDEX('Detalle individual'!$E:$E,$G952))</f>
        <v/>
      </c>
      <c r="D952" s="5" t="str">
        <f>IF($G952="","",INDEX('Detalle individual'!$C:$C,$G952))</f>
        <v/>
      </c>
      <c r="E952" s="5" t="str">
        <f>IF($G952="","",INDEX('Detalle individual'!$D:$D,$G952))</f>
        <v/>
      </c>
      <c r="G952" t="str">
        <f>IFERROR(MATCH(SMALL(Cálculos!$AH$5:$AH$1000,948),Cálculos!$AH$5:$AH$1000,0)+4,"")</f>
        <v/>
      </c>
    </row>
    <row r="953">
      <c r="A953" s="5" t="str">
        <f>IF($G953="","",INDEX('Detalle individual'!$B:$B,$G953))</f>
        <v/>
      </c>
      <c r="B953" s="5" t="str">
        <f>IF($G953="","",INDEX('Detalle individual'!$A:$A,$G953))</f>
        <v/>
      </c>
      <c r="C953" s="5" t="str">
        <f>IF($G953="","",INDEX('Detalle individual'!$E:$E,$G953))</f>
        <v/>
      </c>
      <c r="D953" s="5" t="str">
        <f>IF($G953="","",INDEX('Detalle individual'!$C:$C,$G953))</f>
        <v/>
      </c>
      <c r="E953" s="5" t="str">
        <f>IF($G953="","",INDEX('Detalle individual'!$D:$D,$G953))</f>
        <v/>
      </c>
      <c r="G953" t="str">
        <f>IFERROR(MATCH(SMALL(Cálculos!$AH$5:$AH$1000,949),Cálculos!$AH$5:$AH$1000,0)+4,"")</f>
        <v/>
      </c>
    </row>
    <row r="954">
      <c r="A954" s="5" t="str">
        <f>IF($G954="","",INDEX('Detalle individual'!$B:$B,$G954))</f>
        <v/>
      </c>
      <c r="B954" s="5" t="str">
        <f>IF($G954="","",INDEX('Detalle individual'!$A:$A,$G954))</f>
        <v/>
      </c>
      <c r="C954" s="5" t="str">
        <f>IF($G954="","",INDEX('Detalle individual'!$E:$E,$G954))</f>
        <v/>
      </c>
      <c r="D954" s="5" t="str">
        <f>IF($G954="","",INDEX('Detalle individual'!$C:$C,$G954))</f>
        <v/>
      </c>
      <c r="E954" s="5" t="str">
        <f>IF($G954="","",INDEX('Detalle individual'!$D:$D,$G954))</f>
        <v/>
      </c>
      <c r="G954" t="str">
        <f>IFERROR(MATCH(SMALL(Cálculos!$AH$5:$AH$1000,950),Cálculos!$AH$5:$AH$1000,0)+4,"")</f>
        <v/>
      </c>
    </row>
    <row r="955">
      <c r="A955" s="5" t="str">
        <f>IF($G955="","",INDEX('Detalle individual'!$B:$B,$G955))</f>
        <v/>
      </c>
      <c r="B955" s="5" t="str">
        <f>IF($G955="","",INDEX('Detalle individual'!$A:$A,$G955))</f>
        <v/>
      </c>
      <c r="C955" s="5" t="str">
        <f>IF($G955="","",INDEX('Detalle individual'!$E:$E,$G955))</f>
        <v/>
      </c>
      <c r="D955" s="5" t="str">
        <f>IF($G955="","",INDEX('Detalle individual'!$C:$C,$G955))</f>
        <v/>
      </c>
      <c r="E955" s="5" t="str">
        <f>IF($G955="","",INDEX('Detalle individual'!$D:$D,$G955))</f>
        <v/>
      </c>
      <c r="G955" t="str">
        <f>IFERROR(MATCH(SMALL(Cálculos!$AH$5:$AH$1000,951),Cálculos!$AH$5:$AH$1000,0)+4,"")</f>
        <v/>
      </c>
    </row>
    <row r="956">
      <c r="A956" s="5" t="str">
        <f>IF($G956="","",INDEX('Detalle individual'!$B:$B,$G956))</f>
        <v/>
      </c>
      <c r="B956" s="5" t="str">
        <f>IF($G956="","",INDEX('Detalle individual'!$A:$A,$G956))</f>
        <v/>
      </c>
      <c r="C956" s="5" t="str">
        <f>IF($G956="","",INDEX('Detalle individual'!$E:$E,$G956))</f>
        <v/>
      </c>
      <c r="D956" s="5" t="str">
        <f>IF($G956="","",INDEX('Detalle individual'!$C:$C,$G956))</f>
        <v/>
      </c>
      <c r="E956" s="5" t="str">
        <f>IF($G956="","",INDEX('Detalle individual'!$D:$D,$G956))</f>
        <v/>
      </c>
      <c r="G956" t="str">
        <f>IFERROR(MATCH(SMALL(Cálculos!$AH$5:$AH$1000,952),Cálculos!$AH$5:$AH$1000,0)+4,"")</f>
        <v/>
      </c>
    </row>
    <row r="957">
      <c r="A957" s="5" t="str">
        <f>IF($G957="","",INDEX('Detalle individual'!$B:$B,$G957))</f>
        <v/>
      </c>
      <c r="B957" s="5" t="str">
        <f>IF($G957="","",INDEX('Detalle individual'!$A:$A,$G957))</f>
        <v/>
      </c>
      <c r="C957" s="5" t="str">
        <f>IF($G957="","",INDEX('Detalle individual'!$E:$E,$G957))</f>
        <v/>
      </c>
      <c r="D957" s="5" t="str">
        <f>IF($G957="","",INDEX('Detalle individual'!$C:$C,$G957))</f>
        <v/>
      </c>
      <c r="E957" s="5" t="str">
        <f>IF($G957="","",INDEX('Detalle individual'!$D:$D,$G957))</f>
        <v/>
      </c>
      <c r="G957" t="str">
        <f>IFERROR(MATCH(SMALL(Cálculos!$AH$5:$AH$1000,953),Cálculos!$AH$5:$AH$1000,0)+4,"")</f>
        <v/>
      </c>
    </row>
    <row r="958">
      <c r="A958" s="5" t="str">
        <f>IF($G958="","",INDEX('Detalle individual'!$B:$B,$G958))</f>
        <v/>
      </c>
      <c r="B958" s="5" t="str">
        <f>IF($G958="","",INDEX('Detalle individual'!$A:$A,$G958))</f>
        <v/>
      </c>
      <c r="C958" s="5" t="str">
        <f>IF($G958="","",INDEX('Detalle individual'!$E:$E,$G958))</f>
        <v/>
      </c>
      <c r="D958" s="5" t="str">
        <f>IF($G958="","",INDEX('Detalle individual'!$C:$C,$G958))</f>
        <v/>
      </c>
      <c r="E958" s="5" t="str">
        <f>IF($G958="","",INDEX('Detalle individual'!$D:$D,$G958))</f>
        <v/>
      </c>
      <c r="G958" t="str">
        <f>IFERROR(MATCH(SMALL(Cálculos!$AH$5:$AH$1000,954),Cálculos!$AH$5:$AH$1000,0)+4,"")</f>
        <v/>
      </c>
    </row>
    <row r="959">
      <c r="A959" s="5" t="str">
        <f>IF($G959="","",INDEX('Detalle individual'!$B:$B,$G959))</f>
        <v/>
      </c>
      <c r="B959" s="5" t="str">
        <f>IF($G959="","",INDEX('Detalle individual'!$A:$A,$G959))</f>
        <v/>
      </c>
      <c r="C959" s="5" t="str">
        <f>IF($G959="","",INDEX('Detalle individual'!$E:$E,$G959))</f>
        <v/>
      </c>
      <c r="D959" s="5" t="str">
        <f>IF($G959="","",INDEX('Detalle individual'!$C:$C,$G959))</f>
        <v/>
      </c>
      <c r="E959" s="5" t="str">
        <f>IF($G959="","",INDEX('Detalle individual'!$D:$D,$G959))</f>
        <v/>
      </c>
      <c r="G959" t="str">
        <f>IFERROR(MATCH(SMALL(Cálculos!$AH$5:$AH$1000,955),Cálculos!$AH$5:$AH$1000,0)+4,"")</f>
        <v/>
      </c>
    </row>
    <row r="960">
      <c r="A960" s="5" t="str">
        <f>IF($G960="","",INDEX('Detalle individual'!$B:$B,$G960))</f>
        <v/>
      </c>
      <c r="B960" s="5" t="str">
        <f>IF($G960="","",INDEX('Detalle individual'!$A:$A,$G960))</f>
        <v/>
      </c>
      <c r="C960" s="5" t="str">
        <f>IF($G960="","",INDEX('Detalle individual'!$E:$E,$G960))</f>
        <v/>
      </c>
      <c r="D960" s="5" t="str">
        <f>IF($G960="","",INDEX('Detalle individual'!$C:$C,$G960))</f>
        <v/>
      </c>
      <c r="E960" s="5" t="str">
        <f>IF($G960="","",INDEX('Detalle individual'!$D:$D,$G960))</f>
        <v/>
      </c>
      <c r="G960" t="str">
        <f>IFERROR(MATCH(SMALL(Cálculos!$AH$5:$AH$1000,956),Cálculos!$AH$5:$AH$1000,0)+4,"")</f>
        <v/>
      </c>
    </row>
    <row r="961">
      <c r="A961" s="5" t="str">
        <f>IF($G961="","",INDEX('Detalle individual'!$B:$B,$G961))</f>
        <v/>
      </c>
      <c r="B961" s="5" t="str">
        <f>IF($G961="","",INDEX('Detalle individual'!$A:$A,$G961))</f>
        <v/>
      </c>
      <c r="C961" s="5" t="str">
        <f>IF($G961="","",INDEX('Detalle individual'!$E:$E,$G961))</f>
        <v/>
      </c>
      <c r="D961" s="5" t="str">
        <f>IF($G961="","",INDEX('Detalle individual'!$C:$C,$G961))</f>
        <v/>
      </c>
      <c r="E961" s="5" t="str">
        <f>IF($G961="","",INDEX('Detalle individual'!$D:$D,$G961))</f>
        <v/>
      </c>
      <c r="G961" t="str">
        <f>IFERROR(MATCH(SMALL(Cálculos!$AH$5:$AH$1000,957),Cálculos!$AH$5:$AH$1000,0)+4,"")</f>
        <v/>
      </c>
    </row>
    <row r="962">
      <c r="A962" s="5" t="str">
        <f>IF($G962="","",INDEX('Detalle individual'!$B:$B,$G962))</f>
        <v/>
      </c>
      <c r="B962" s="5" t="str">
        <f>IF($G962="","",INDEX('Detalle individual'!$A:$A,$G962))</f>
        <v/>
      </c>
      <c r="C962" s="5" t="str">
        <f>IF($G962="","",INDEX('Detalle individual'!$E:$E,$G962))</f>
        <v/>
      </c>
      <c r="D962" s="5" t="str">
        <f>IF($G962="","",INDEX('Detalle individual'!$C:$C,$G962))</f>
        <v/>
      </c>
      <c r="E962" s="5" t="str">
        <f>IF($G962="","",INDEX('Detalle individual'!$D:$D,$G962))</f>
        <v/>
      </c>
      <c r="G962" t="str">
        <f>IFERROR(MATCH(SMALL(Cálculos!$AH$5:$AH$1000,958),Cálculos!$AH$5:$AH$1000,0)+4,"")</f>
        <v/>
      </c>
    </row>
    <row r="963">
      <c r="A963" s="5" t="str">
        <f>IF($G963="","",INDEX('Detalle individual'!$B:$B,$G963))</f>
        <v/>
      </c>
      <c r="B963" s="5" t="str">
        <f>IF($G963="","",INDEX('Detalle individual'!$A:$A,$G963))</f>
        <v/>
      </c>
      <c r="C963" s="5" t="str">
        <f>IF($G963="","",INDEX('Detalle individual'!$E:$E,$G963))</f>
        <v/>
      </c>
      <c r="D963" s="5" t="str">
        <f>IF($G963="","",INDEX('Detalle individual'!$C:$C,$G963))</f>
        <v/>
      </c>
      <c r="E963" s="5" t="str">
        <f>IF($G963="","",INDEX('Detalle individual'!$D:$D,$G963))</f>
        <v/>
      </c>
      <c r="G963" t="str">
        <f>IFERROR(MATCH(SMALL(Cálculos!$AH$5:$AH$1000,959),Cálculos!$AH$5:$AH$1000,0)+4,"")</f>
        <v/>
      </c>
    </row>
    <row r="964">
      <c r="A964" s="5" t="str">
        <f>IF($G964="","",INDEX('Detalle individual'!$B:$B,$G964))</f>
        <v/>
      </c>
      <c r="B964" s="5" t="str">
        <f>IF($G964="","",INDEX('Detalle individual'!$A:$A,$G964))</f>
        <v/>
      </c>
      <c r="C964" s="5" t="str">
        <f>IF($G964="","",INDEX('Detalle individual'!$E:$E,$G964))</f>
        <v/>
      </c>
      <c r="D964" s="5" t="str">
        <f>IF($G964="","",INDEX('Detalle individual'!$C:$C,$G964))</f>
        <v/>
      </c>
      <c r="E964" s="5" t="str">
        <f>IF($G964="","",INDEX('Detalle individual'!$D:$D,$G964))</f>
        <v/>
      </c>
      <c r="G964" t="str">
        <f>IFERROR(MATCH(SMALL(Cálculos!$AH$5:$AH$1000,960),Cálculos!$AH$5:$AH$1000,0)+4,"")</f>
        <v/>
      </c>
    </row>
    <row r="965">
      <c r="A965" s="5" t="str">
        <f>IF($G965="","",INDEX('Detalle individual'!$B:$B,$G965))</f>
        <v/>
      </c>
      <c r="B965" s="5" t="str">
        <f>IF($G965="","",INDEX('Detalle individual'!$A:$A,$G965))</f>
        <v/>
      </c>
      <c r="C965" s="5" t="str">
        <f>IF($G965="","",INDEX('Detalle individual'!$E:$E,$G965))</f>
        <v/>
      </c>
      <c r="D965" s="5" t="str">
        <f>IF($G965="","",INDEX('Detalle individual'!$C:$C,$G965))</f>
        <v/>
      </c>
      <c r="E965" s="5" t="str">
        <f>IF($G965="","",INDEX('Detalle individual'!$D:$D,$G965))</f>
        <v/>
      </c>
      <c r="G965" t="str">
        <f>IFERROR(MATCH(SMALL(Cálculos!$AH$5:$AH$1000,961),Cálculos!$AH$5:$AH$1000,0)+4,"")</f>
        <v/>
      </c>
    </row>
    <row r="966">
      <c r="A966" s="5" t="str">
        <f>IF($G966="","",INDEX('Detalle individual'!$B:$B,$G966))</f>
        <v/>
      </c>
      <c r="B966" s="5" t="str">
        <f>IF($G966="","",INDEX('Detalle individual'!$A:$A,$G966))</f>
        <v/>
      </c>
      <c r="C966" s="5" t="str">
        <f>IF($G966="","",INDEX('Detalle individual'!$E:$E,$G966))</f>
        <v/>
      </c>
      <c r="D966" s="5" t="str">
        <f>IF($G966="","",INDEX('Detalle individual'!$C:$C,$G966))</f>
        <v/>
      </c>
      <c r="E966" s="5" t="str">
        <f>IF($G966="","",INDEX('Detalle individual'!$D:$D,$G966))</f>
        <v/>
      </c>
      <c r="G966" t="str">
        <f>IFERROR(MATCH(SMALL(Cálculos!$AH$5:$AH$1000,962),Cálculos!$AH$5:$AH$1000,0)+4,"")</f>
        <v/>
      </c>
    </row>
    <row r="967">
      <c r="A967" s="5" t="str">
        <f>IF($G967="","",INDEX('Detalle individual'!$B:$B,$G967))</f>
        <v/>
      </c>
      <c r="B967" s="5" t="str">
        <f>IF($G967="","",INDEX('Detalle individual'!$A:$A,$G967))</f>
        <v/>
      </c>
      <c r="C967" s="5" t="str">
        <f>IF($G967="","",INDEX('Detalle individual'!$E:$E,$G967))</f>
        <v/>
      </c>
      <c r="D967" s="5" t="str">
        <f>IF($G967="","",INDEX('Detalle individual'!$C:$C,$G967))</f>
        <v/>
      </c>
      <c r="E967" s="5" t="str">
        <f>IF($G967="","",INDEX('Detalle individual'!$D:$D,$G967))</f>
        <v/>
      </c>
      <c r="G967" t="str">
        <f>IFERROR(MATCH(SMALL(Cálculos!$AH$5:$AH$1000,963),Cálculos!$AH$5:$AH$1000,0)+4,"")</f>
        <v/>
      </c>
    </row>
    <row r="968">
      <c r="A968" s="5" t="str">
        <f>IF($G968="","",INDEX('Detalle individual'!$B:$B,$G968))</f>
        <v/>
      </c>
      <c r="B968" s="5" t="str">
        <f>IF($G968="","",INDEX('Detalle individual'!$A:$A,$G968))</f>
        <v/>
      </c>
      <c r="C968" s="5" t="str">
        <f>IF($G968="","",INDEX('Detalle individual'!$E:$E,$G968))</f>
        <v/>
      </c>
      <c r="D968" s="5" t="str">
        <f>IF($G968="","",INDEX('Detalle individual'!$C:$C,$G968))</f>
        <v/>
      </c>
      <c r="E968" s="5" t="str">
        <f>IF($G968="","",INDEX('Detalle individual'!$D:$D,$G968))</f>
        <v/>
      </c>
      <c r="G968" t="str">
        <f>IFERROR(MATCH(SMALL(Cálculos!$AH$5:$AH$1000,964),Cálculos!$AH$5:$AH$1000,0)+4,"")</f>
        <v/>
      </c>
    </row>
    <row r="969">
      <c r="A969" s="5" t="str">
        <f>IF($G969="","",INDEX('Detalle individual'!$B:$B,$G969))</f>
        <v/>
      </c>
      <c r="B969" s="5" t="str">
        <f>IF($G969="","",INDEX('Detalle individual'!$A:$A,$G969))</f>
        <v/>
      </c>
      <c r="C969" s="5" t="str">
        <f>IF($G969="","",INDEX('Detalle individual'!$E:$E,$G969))</f>
        <v/>
      </c>
      <c r="D969" s="5" t="str">
        <f>IF($G969="","",INDEX('Detalle individual'!$C:$C,$G969))</f>
        <v/>
      </c>
      <c r="E969" s="5" t="str">
        <f>IF($G969="","",INDEX('Detalle individual'!$D:$D,$G969))</f>
        <v/>
      </c>
      <c r="G969" t="str">
        <f>IFERROR(MATCH(SMALL(Cálculos!$AH$5:$AH$1000,965),Cálculos!$AH$5:$AH$1000,0)+4,"")</f>
        <v/>
      </c>
    </row>
    <row r="970">
      <c r="A970" s="5" t="str">
        <f>IF($G970="","",INDEX('Detalle individual'!$B:$B,$G970))</f>
        <v/>
      </c>
      <c r="B970" s="5" t="str">
        <f>IF($G970="","",INDEX('Detalle individual'!$A:$A,$G970))</f>
        <v/>
      </c>
      <c r="C970" s="5" t="str">
        <f>IF($G970="","",INDEX('Detalle individual'!$E:$E,$G970))</f>
        <v/>
      </c>
      <c r="D970" s="5" t="str">
        <f>IF($G970="","",INDEX('Detalle individual'!$C:$C,$G970))</f>
        <v/>
      </c>
      <c r="E970" s="5" t="str">
        <f>IF($G970="","",INDEX('Detalle individual'!$D:$D,$G970))</f>
        <v/>
      </c>
      <c r="G970" t="str">
        <f>IFERROR(MATCH(SMALL(Cálculos!$AH$5:$AH$1000,966),Cálculos!$AH$5:$AH$1000,0)+4,"")</f>
        <v/>
      </c>
    </row>
    <row r="971">
      <c r="A971" s="5" t="str">
        <f>IF($G971="","",INDEX('Detalle individual'!$B:$B,$G971))</f>
        <v/>
      </c>
      <c r="B971" s="5" t="str">
        <f>IF($G971="","",INDEX('Detalle individual'!$A:$A,$G971))</f>
        <v/>
      </c>
      <c r="C971" s="5" t="str">
        <f>IF($G971="","",INDEX('Detalle individual'!$E:$E,$G971))</f>
        <v/>
      </c>
      <c r="D971" s="5" t="str">
        <f>IF($G971="","",INDEX('Detalle individual'!$C:$C,$G971))</f>
        <v/>
      </c>
      <c r="E971" s="5" t="str">
        <f>IF($G971="","",INDEX('Detalle individual'!$D:$D,$G971))</f>
        <v/>
      </c>
      <c r="G971" t="str">
        <f>IFERROR(MATCH(SMALL(Cálculos!$AH$5:$AH$1000,967),Cálculos!$AH$5:$AH$1000,0)+4,"")</f>
        <v/>
      </c>
    </row>
    <row r="972">
      <c r="A972" s="5" t="str">
        <f>IF($G972="","",INDEX('Detalle individual'!$B:$B,$G972))</f>
        <v/>
      </c>
      <c r="B972" s="5" t="str">
        <f>IF($G972="","",INDEX('Detalle individual'!$A:$A,$G972))</f>
        <v/>
      </c>
      <c r="C972" s="5" t="str">
        <f>IF($G972="","",INDEX('Detalle individual'!$E:$E,$G972))</f>
        <v/>
      </c>
      <c r="D972" s="5" t="str">
        <f>IF($G972="","",INDEX('Detalle individual'!$C:$C,$G972))</f>
        <v/>
      </c>
      <c r="E972" s="5" t="str">
        <f>IF($G972="","",INDEX('Detalle individual'!$D:$D,$G972))</f>
        <v/>
      </c>
      <c r="G972" t="str">
        <f>IFERROR(MATCH(SMALL(Cálculos!$AH$5:$AH$1000,968),Cálculos!$AH$5:$AH$1000,0)+4,"")</f>
        <v/>
      </c>
    </row>
    <row r="973">
      <c r="A973" s="5" t="str">
        <f>IF($G973="","",INDEX('Detalle individual'!$B:$B,$G973))</f>
        <v/>
      </c>
      <c r="B973" s="5" t="str">
        <f>IF($G973="","",INDEX('Detalle individual'!$A:$A,$G973))</f>
        <v/>
      </c>
      <c r="C973" s="5" t="str">
        <f>IF($G973="","",INDEX('Detalle individual'!$E:$E,$G973))</f>
        <v/>
      </c>
      <c r="D973" s="5" t="str">
        <f>IF($G973="","",INDEX('Detalle individual'!$C:$C,$G973))</f>
        <v/>
      </c>
      <c r="E973" s="5" t="str">
        <f>IF($G973="","",INDEX('Detalle individual'!$D:$D,$G973))</f>
        <v/>
      </c>
      <c r="G973" t="str">
        <f>IFERROR(MATCH(SMALL(Cálculos!$AH$5:$AH$1000,969),Cálculos!$AH$5:$AH$1000,0)+4,"")</f>
        <v/>
      </c>
    </row>
    <row r="974">
      <c r="A974" s="5" t="str">
        <f>IF($G974="","",INDEX('Detalle individual'!$B:$B,$G974))</f>
        <v/>
      </c>
      <c r="B974" s="5" t="str">
        <f>IF($G974="","",INDEX('Detalle individual'!$A:$A,$G974))</f>
        <v/>
      </c>
      <c r="C974" s="5" t="str">
        <f>IF($G974="","",INDEX('Detalle individual'!$E:$E,$G974))</f>
        <v/>
      </c>
      <c r="D974" s="5" t="str">
        <f>IF($G974="","",INDEX('Detalle individual'!$C:$C,$G974))</f>
        <v/>
      </c>
      <c r="E974" s="5" t="str">
        <f>IF($G974="","",INDEX('Detalle individual'!$D:$D,$G974))</f>
        <v/>
      </c>
      <c r="G974" t="str">
        <f>IFERROR(MATCH(SMALL(Cálculos!$AH$5:$AH$1000,970),Cálculos!$AH$5:$AH$1000,0)+4,"")</f>
        <v/>
      </c>
    </row>
    <row r="975">
      <c r="A975" s="5" t="str">
        <f>IF($G975="","",INDEX('Detalle individual'!$B:$B,$G975))</f>
        <v/>
      </c>
      <c r="B975" s="5" t="str">
        <f>IF($G975="","",INDEX('Detalle individual'!$A:$A,$G975))</f>
        <v/>
      </c>
      <c r="C975" s="5" t="str">
        <f>IF($G975="","",INDEX('Detalle individual'!$E:$E,$G975))</f>
        <v/>
      </c>
      <c r="D975" s="5" t="str">
        <f>IF($G975="","",INDEX('Detalle individual'!$C:$C,$G975))</f>
        <v/>
      </c>
      <c r="E975" s="5" t="str">
        <f>IF($G975="","",INDEX('Detalle individual'!$D:$D,$G975))</f>
        <v/>
      </c>
      <c r="G975" t="str">
        <f>IFERROR(MATCH(SMALL(Cálculos!$AH$5:$AH$1000,971),Cálculos!$AH$5:$AH$1000,0)+4,"")</f>
        <v/>
      </c>
    </row>
    <row r="976">
      <c r="A976" s="5" t="str">
        <f>IF($G976="","",INDEX('Detalle individual'!$B:$B,$G976))</f>
        <v/>
      </c>
      <c r="B976" s="5" t="str">
        <f>IF($G976="","",INDEX('Detalle individual'!$A:$A,$G976))</f>
        <v/>
      </c>
      <c r="C976" s="5" t="str">
        <f>IF($G976="","",INDEX('Detalle individual'!$E:$E,$G976))</f>
        <v/>
      </c>
      <c r="D976" s="5" t="str">
        <f>IF($G976="","",INDEX('Detalle individual'!$C:$C,$G976))</f>
        <v/>
      </c>
      <c r="E976" s="5" t="str">
        <f>IF($G976="","",INDEX('Detalle individual'!$D:$D,$G976))</f>
        <v/>
      </c>
      <c r="G976" t="str">
        <f>IFERROR(MATCH(SMALL(Cálculos!$AH$5:$AH$1000,972),Cálculos!$AH$5:$AH$1000,0)+4,"")</f>
        <v/>
      </c>
    </row>
    <row r="977">
      <c r="A977" s="5" t="str">
        <f>IF($G977="","",INDEX('Detalle individual'!$B:$B,$G977))</f>
        <v/>
      </c>
      <c r="B977" s="5" t="str">
        <f>IF($G977="","",INDEX('Detalle individual'!$A:$A,$G977))</f>
        <v/>
      </c>
      <c r="C977" s="5" t="str">
        <f>IF($G977="","",INDEX('Detalle individual'!$E:$E,$G977))</f>
        <v/>
      </c>
      <c r="D977" s="5" t="str">
        <f>IF($G977="","",INDEX('Detalle individual'!$C:$C,$G977))</f>
        <v/>
      </c>
      <c r="E977" s="5" t="str">
        <f>IF($G977="","",INDEX('Detalle individual'!$D:$D,$G977))</f>
        <v/>
      </c>
      <c r="G977" t="str">
        <f>IFERROR(MATCH(SMALL(Cálculos!$AH$5:$AH$1000,973),Cálculos!$AH$5:$AH$1000,0)+4,"")</f>
        <v/>
      </c>
    </row>
    <row r="978">
      <c r="A978" s="5" t="str">
        <f>IF($G978="","",INDEX('Detalle individual'!$B:$B,$G978))</f>
        <v/>
      </c>
      <c r="B978" s="5" t="str">
        <f>IF($G978="","",INDEX('Detalle individual'!$A:$A,$G978))</f>
        <v/>
      </c>
      <c r="C978" s="5" t="str">
        <f>IF($G978="","",INDEX('Detalle individual'!$E:$E,$G978))</f>
        <v/>
      </c>
      <c r="D978" s="5" t="str">
        <f>IF($G978="","",INDEX('Detalle individual'!$C:$C,$G978))</f>
        <v/>
      </c>
      <c r="E978" s="5" t="str">
        <f>IF($G978="","",INDEX('Detalle individual'!$D:$D,$G978))</f>
        <v/>
      </c>
      <c r="G978" t="str">
        <f>IFERROR(MATCH(SMALL(Cálculos!$AH$5:$AH$1000,974),Cálculos!$AH$5:$AH$1000,0)+4,"")</f>
        <v/>
      </c>
    </row>
    <row r="979">
      <c r="A979" s="5" t="str">
        <f>IF($G979="","",INDEX('Detalle individual'!$B:$B,$G979))</f>
        <v/>
      </c>
      <c r="B979" s="5" t="str">
        <f>IF($G979="","",INDEX('Detalle individual'!$A:$A,$G979))</f>
        <v/>
      </c>
      <c r="C979" s="5" t="str">
        <f>IF($G979="","",INDEX('Detalle individual'!$E:$E,$G979))</f>
        <v/>
      </c>
      <c r="D979" s="5" t="str">
        <f>IF($G979="","",INDEX('Detalle individual'!$C:$C,$G979))</f>
        <v/>
      </c>
      <c r="E979" s="5" t="str">
        <f>IF($G979="","",INDEX('Detalle individual'!$D:$D,$G979))</f>
        <v/>
      </c>
      <c r="G979" t="str">
        <f>IFERROR(MATCH(SMALL(Cálculos!$AH$5:$AH$1000,975),Cálculos!$AH$5:$AH$1000,0)+4,"")</f>
        <v/>
      </c>
    </row>
    <row r="980">
      <c r="A980" s="5" t="str">
        <f>IF($G980="","",INDEX('Detalle individual'!$B:$B,$G980))</f>
        <v/>
      </c>
      <c r="B980" s="5" t="str">
        <f>IF($G980="","",INDEX('Detalle individual'!$A:$A,$G980))</f>
        <v/>
      </c>
      <c r="C980" s="5" t="str">
        <f>IF($G980="","",INDEX('Detalle individual'!$E:$E,$G980))</f>
        <v/>
      </c>
      <c r="D980" s="5" t="str">
        <f>IF($G980="","",INDEX('Detalle individual'!$C:$C,$G980))</f>
        <v/>
      </c>
      <c r="E980" s="5" t="str">
        <f>IF($G980="","",INDEX('Detalle individual'!$D:$D,$G980))</f>
        <v/>
      </c>
      <c r="G980" t="str">
        <f>IFERROR(MATCH(SMALL(Cálculos!$AH$5:$AH$1000,976),Cálculos!$AH$5:$AH$1000,0)+4,"")</f>
        <v/>
      </c>
    </row>
    <row r="981">
      <c r="A981" s="5" t="str">
        <f>IF($G981="","",INDEX('Detalle individual'!$B:$B,$G981))</f>
        <v/>
      </c>
      <c r="B981" s="5" t="str">
        <f>IF($G981="","",INDEX('Detalle individual'!$A:$A,$G981))</f>
        <v/>
      </c>
      <c r="C981" s="5" t="str">
        <f>IF($G981="","",INDEX('Detalle individual'!$E:$E,$G981))</f>
        <v/>
      </c>
      <c r="D981" s="5" t="str">
        <f>IF($G981="","",INDEX('Detalle individual'!$C:$C,$G981))</f>
        <v/>
      </c>
      <c r="E981" s="5" t="str">
        <f>IF($G981="","",INDEX('Detalle individual'!$D:$D,$G981))</f>
        <v/>
      </c>
      <c r="G981" t="str">
        <f>IFERROR(MATCH(SMALL(Cálculos!$AH$5:$AH$1000,977),Cálculos!$AH$5:$AH$1000,0)+4,"")</f>
        <v/>
      </c>
    </row>
    <row r="982">
      <c r="A982" s="5" t="str">
        <f>IF($G982="","",INDEX('Detalle individual'!$B:$B,$G982))</f>
        <v/>
      </c>
      <c r="B982" s="5" t="str">
        <f>IF($G982="","",INDEX('Detalle individual'!$A:$A,$G982))</f>
        <v/>
      </c>
      <c r="C982" s="5" t="str">
        <f>IF($G982="","",INDEX('Detalle individual'!$E:$E,$G982))</f>
        <v/>
      </c>
      <c r="D982" s="5" t="str">
        <f>IF($G982="","",INDEX('Detalle individual'!$C:$C,$G982))</f>
        <v/>
      </c>
      <c r="E982" s="5" t="str">
        <f>IF($G982="","",INDEX('Detalle individual'!$D:$D,$G982))</f>
        <v/>
      </c>
      <c r="G982" t="str">
        <f>IFERROR(MATCH(SMALL(Cálculos!$AH$5:$AH$1000,978),Cálculos!$AH$5:$AH$1000,0)+4,"")</f>
        <v/>
      </c>
    </row>
    <row r="983">
      <c r="A983" s="5" t="str">
        <f>IF($G983="","",INDEX('Detalle individual'!$B:$B,$G983))</f>
        <v/>
      </c>
      <c r="B983" s="5" t="str">
        <f>IF($G983="","",INDEX('Detalle individual'!$A:$A,$G983))</f>
        <v/>
      </c>
      <c r="C983" s="5" t="str">
        <f>IF($G983="","",INDEX('Detalle individual'!$E:$E,$G983))</f>
        <v/>
      </c>
      <c r="D983" s="5" t="str">
        <f>IF($G983="","",INDEX('Detalle individual'!$C:$C,$G983))</f>
        <v/>
      </c>
      <c r="E983" s="5" t="str">
        <f>IF($G983="","",INDEX('Detalle individual'!$D:$D,$G983))</f>
        <v/>
      </c>
      <c r="G983" t="str">
        <f>IFERROR(MATCH(SMALL(Cálculos!$AH$5:$AH$1000,979),Cálculos!$AH$5:$AH$1000,0)+4,"")</f>
        <v/>
      </c>
    </row>
    <row r="984">
      <c r="A984" s="5" t="str">
        <f>IF($G984="","",INDEX('Detalle individual'!$B:$B,$G984))</f>
        <v/>
      </c>
      <c r="B984" s="5" t="str">
        <f>IF($G984="","",INDEX('Detalle individual'!$A:$A,$G984))</f>
        <v/>
      </c>
      <c r="C984" s="5" t="str">
        <f>IF($G984="","",INDEX('Detalle individual'!$E:$E,$G984))</f>
        <v/>
      </c>
      <c r="D984" s="5" t="str">
        <f>IF($G984="","",INDEX('Detalle individual'!$C:$C,$G984))</f>
        <v/>
      </c>
      <c r="E984" s="5" t="str">
        <f>IF($G984="","",INDEX('Detalle individual'!$D:$D,$G984))</f>
        <v/>
      </c>
      <c r="G984" t="str">
        <f>IFERROR(MATCH(SMALL(Cálculos!$AH$5:$AH$1000,980),Cálculos!$AH$5:$AH$1000,0)+4,"")</f>
        <v/>
      </c>
    </row>
    <row r="985">
      <c r="A985" s="5" t="str">
        <f>IF($G985="","",INDEX('Detalle individual'!$B:$B,$G985))</f>
        <v/>
      </c>
      <c r="B985" s="5" t="str">
        <f>IF($G985="","",INDEX('Detalle individual'!$A:$A,$G985))</f>
        <v/>
      </c>
      <c r="C985" s="5" t="str">
        <f>IF($G985="","",INDEX('Detalle individual'!$E:$E,$G985))</f>
        <v/>
      </c>
      <c r="D985" s="5" t="str">
        <f>IF($G985="","",INDEX('Detalle individual'!$C:$C,$G985))</f>
        <v/>
      </c>
      <c r="E985" s="5" t="str">
        <f>IF($G985="","",INDEX('Detalle individual'!$D:$D,$G985))</f>
        <v/>
      </c>
      <c r="G985" t="str">
        <f>IFERROR(MATCH(SMALL(Cálculos!$AH$5:$AH$1000,981),Cálculos!$AH$5:$AH$1000,0)+4,"")</f>
        <v/>
      </c>
    </row>
    <row r="986">
      <c r="A986" s="5" t="str">
        <f>IF($G986="","",INDEX('Detalle individual'!$B:$B,$G986))</f>
        <v/>
      </c>
      <c r="B986" s="5" t="str">
        <f>IF($G986="","",INDEX('Detalle individual'!$A:$A,$G986))</f>
        <v/>
      </c>
      <c r="C986" s="5" t="str">
        <f>IF($G986="","",INDEX('Detalle individual'!$E:$E,$G986))</f>
        <v/>
      </c>
      <c r="D986" s="5" t="str">
        <f>IF($G986="","",INDEX('Detalle individual'!$C:$C,$G986))</f>
        <v/>
      </c>
      <c r="E986" s="5" t="str">
        <f>IF($G986="","",INDEX('Detalle individual'!$D:$D,$G986))</f>
        <v/>
      </c>
      <c r="G986" t="str">
        <f>IFERROR(MATCH(SMALL(Cálculos!$AH$5:$AH$1000,982),Cálculos!$AH$5:$AH$1000,0)+4,"")</f>
        <v/>
      </c>
    </row>
    <row r="987">
      <c r="A987" s="5" t="str">
        <f>IF($G987="","",INDEX('Detalle individual'!$B:$B,$G987))</f>
        <v/>
      </c>
      <c r="B987" s="5" t="str">
        <f>IF($G987="","",INDEX('Detalle individual'!$A:$A,$G987))</f>
        <v/>
      </c>
      <c r="C987" s="5" t="str">
        <f>IF($G987="","",INDEX('Detalle individual'!$E:$E,$G987))</f>
        <v/>
      </c>
      <c r="D987" s="5" t="str">
        <f>IF($G987="","",INDEX('Detalle individual'!$C:$C,$G987))</f>
        <v/>
      </c>
      <c r="E987" s="5" t="str">
        <f>IF($G987="","",INDEX('Detalle individual'!$D:$D,$G987))</f>
        <v/>
      </c>
      <c r="G987" t="str">
        <f>IFERROR(MATCH(SMALL(Cálculos!$AH$5:$AH$1000,983),Cálculos!$AH$5:$AH$1000,0)+4,"")</f>
        <v/>
      </c>
    </row>
    <row r="988">
      <c r="A988" s="5" t="str">
        <f>IF($G988="","",INDEX('Detalle individual'!$B:$B,$G988))</f>
        <v/>
      </c>
      <c r="B988" s="5" t="str">
        <f>IF($G988="","",INDEX('Detalle individual'!$A:$A,$G988))</f>
        <v/>
      </c>
      <c r="C988" s="5" t="str">
        <f>IF($G988="","",INDEX('Detalle individual'!$E:$E,$G988))</f>
        <v/>
      </c>
      <c r="D988" s="5" t="str">
        <f>IF($G988="","",INDEX('Detalle individual'!$C:$C,$G988))</f>
        <v/>
      </c>
      <c r="E988" s="5" t="str">
        <f>IF($G988="","",INDEX('Detalle individual'!$D:$D,$G988))</f>
        <v/>
      </c>
      <c r="G988" t="str">
        <f>IFERROR(MATCH(SMALL(Cálculos!$AH$5:$AH$1000,984),Cálculos!$AH$5:$AH$1000,0)+4,"")</f>
        <v/>
      </c>
    </row>
    <row r="989">
      <c r="A989" s="5" t="str">
        <f>IF($G989="","",INDEX('Detalle individual'!$B:$B,$G989))</f>
        <v/>
      </c>
      <c r="B989" s="5" t="str">
        <f>IF($G989="","",INDEX('Detalle individual'!$A:$A,$G989))</f>
        <v/>
      </c>
      <c r="C989" s="5" t="str">
        <f>IF($G989="","",INDEX('Detalle individual'!$E:$E,$G989))</f>
        <v/>
      </c>
      <c r="D989" s="5" t="str">
        <f>IF($G989="","",INDEX('Detalle individual'!$C:$C,$G989))</f>
        <v/>
      </c>
      <c r="E989" s="5" t="str">
        <f>IF($G989="","",INDEX('Detalle individual'!$D:$D,$G989))</f>
        <v/>
      </c>
      <c r="G989" t="str">
        <f>IFERROR(MATCH(SMALL(Cálculos!$AH$5:$AH$1000,985),Cálculos!$AH$5:$AH$1000,0)+4,"")</f>
        <v/>
      </c>
    </row>
    <row r="990">
      <c r="A990" s="5" t="str">
        <f>IF($G990="","",INDEX('Detalle individual'!$B:$B,$G990))</f>
        <v/>
      </c>
      <c r="B990" s="5" t="str">
        <f>IF($G990="","",INDEX('Detalle individual'!$A:$A,$G990))</f>
        <v/>
      </c>
      <c r="C990" s="5" t="str">
        <f>IF($G990="","",INDEX('Detalle individual'!$E:$E,$G990))</f>
        <v/>
      </c>
      <c r="D990" s="5" t="str">
        <f>IF($G990="","",INDEX('Detalle individual'!$C:$C,$G990))</f>
        <v/>
      </c>
      <c r="E990" s="5" t="str">
        <f>IF($G990="","",INDEX('Detalle individual'!$D:$D,$G990))</f>
        <v/>
      </c>
      <c r="G990" t="str">
        <f>IFERROR(MATCH(SMALL(Cálculos!$AH$5:$AH$1000,986),Cálculos!$AH$5:$AH$1000,0)+4,"")</f>
        <v/>
      </c>
    </row>
    <row r="991">
      <c r="A991" s="5" t="str">
        <f>IF($G991="","",INDEX('Detalle individual'!$B:$B,$G991))</f>
        <v/>
      </c>
      <c r="B991" s="5" t="str">
        <f>IF($G991="","",INDEX('Detalle individual'!$A:$A,$G991))</f>
        <v/>
      </c>
      <c r="C991" s="5" t="str">
        <f>IF($G991="","",INDEX('Detalle individual'!$E:$E,$G991))</f>
        <v/>
      </c>
      <c r="D991" s="5" t="str">
        <f>IF($G991="","",INDEX('Detalle individual'!$C:$C,$G991))</f>
        <v/>
      </c>
      <c r="E991" s="5" t="str">
        <f>IF($G991="","",INDEX('Detalle individual'!$D:$D,$G991))</f>
        <v/>
      </c>
      <c r="G991" t="str">
        <f>IFERROR(MATCH(SMALL(Cálculos!$AH$5:$AH$1000,987),Cálculos!$AH$5:$AH$1000,0)+4,"")</f>
        <v/>
      </c>
    </row>
    <row r="992">
      <c r="A992" s="5" t="str">
        <f>IF($G992="","",INDEX('Detalle individual'!$B:$B,$G992))</f>
        <v/>
      </c>
      <c r="B992" s="5" t="str">
        <f>IF($G992="","",INDEX('Detalle individual'!$A:$A,$G992))</f>
        <v/>
      </c>
      <c r="C992" s="5" t="str">
        <f>IF($G992="","",INDEX('Detalle individual'!$E:$E,$G992))</f>
        <v/>
      </c>
      <c r="D992" s="5" t="str">
        <f>IF($G992="","",INDEX('Detalle individual'!$C:$C,$G992))</f>
        <v/>
      </c>
      <c r="E992" s="5" t="str">
        <f>IF($G992="","",INDEX('Detalle individual'!$D:$D,$G992))</f>
        <v/>
      </c>
      <c r="G992" t="str">
        <f>IFERROR(MATCH(SMALL(Cálculos!$AH$5:$AH$1000,988),Cálculos!$AH$5:$AH$1000,0)+4,"")</f>
        <v/>
      </c>
    </row>
    <row r="993">
      <c r="A993" s="5" t="str">
        <f>IF($G993="","",INDEX('Detalle individual'!$B:$B,$G993))</f>
        <v/>
      </c>
      <c r="B993" s="5" t="str">
        <f>IF($G993="","",INDEX('Detalle individual'!$A:$A,$G993))</f>
        <v/>
      </c>
      <c r="C993" s="5" t="str">
        <f>IF($G993="","",INDEX('Detalle individual'!$E:$E,$G993))</f>
        <v/>
      </c>
      <c r="D993" s="5" t="str">
        <f>IF($G993="","",INDEX('Detalle individual'!$C:$C,$G993))</f>
        <v/>
      </c>
      <c r="E993" s="5" t="str">
        <f>IF($G993="","",INDEX('Detalle individual'!$D:$D,$G993))</f>
        <v/>
      </c>
      <c r="G993" t="str">
        <f>IFERROR(MATCH(SMALL(Cálculos!$AH$5:$AH$1000,989),Cálculos!$AH$5:$AH$1000,0)+4,"")</f>
        <v/>
      </c>
    </row>
    <row r="994">
      <c r="A994" s="5" t="str">
        <f>IF($G994="","",INDEX('Detalle individual'!$B:$B,$G994))</f>
        <v/>
      </c>
      <c r="B994" s="5" t="str">
        <f>IF($G994="","",INDEX('Detalle individual'!$A:$A,$G994))</f>
        <v/>
      </c>
      <c r="C994" s="5" t="str">
        <f>IF($G994="","",INDEX('Detalle individual'!$E:$E,$G994))</f>
        <v/>
      </c>
      <c r="D994" s="5" t="str">
        <f>IF($G994="","",INDEX('Detalle individual'!$C:$C,$G994))</f>
        <v/>
      </c>
      <c r="E994" s="5" t="str">
        <f>IF($G994="","",INDEX('Detalle individual'!$D:$D,$G994))</f>
        <v/>
      </c>
      <c r="G994" t="str">
        <f>IFERROR(MATCH(SMALL(Cálculos!$AH$5:$AH$1000,990),Cálculos!$AH$5:$AH$1000,0)+4,"")</f>
        <v/>
      </c>
    </row>
    <row r="995">
      <c r="A995" s="5" t="str">
        <f>IF($G995="","",INDEX('Detalle individual'!$B:$B,$G995))</f>
        <v/>
      </c>
      <c r="B995" s="5" t="str">
        <f>IF($G995="","",INDEX('Detalle individual'!$A:$A,$G995))</f>
        <v/>
      </c>
      <c r="C995" s="5" t="str">
        <f>IF($G995="","",INDEX('Detalle individual'!$E:$E,$G995))</f>
        <v/>
      </c>
      <c r="D995" s="5" t="str">
        <f>IF($G995="","",INDEX('Detalle individual'!$C:$C,$G995))</f>
        <v/>
      </c>
      <c r="E995" s="5" t="str">
        <f>IF($G995="","",INDEX('Detalle individual'!$D:$D,$G995))</f>
        <v/>
      </c>
      <c r="G995" t="str">
        <f>IFERROR(MATCH(SMALL(Cálculos!$AH$5:$AH$1000,991),Cálculos!$AH$5:$AH$1000,0)+4,"")</f>
        <v/>
      </c>
    </row>
    <row r="996">
      <c r="A996" s="5" t="str">
        <f>IF($G996="","",INDEX('Detalle individual'!$B:$B,$G996))</f>
        <v/>
      </c>
      <c r="B996" s="5" t="str">
        <f>IF($G996="","",INDEX('Detalle individual'!$A:$A,$G996))</f>
        <v/>
      </c>
      <c r="C996" s="5" t="str">
        <f>IF($G996="","",INDEX('Detalle individual'!$E:$E,$G996))</f>
        <v/>
      </c>
      <c r="D996" s="5" t="str">
        <f>IF($G996="","",INDEX('Detalle individual'!$C:$C,$G996))</f>
        <v/>
      </c>
      <c r="E996" s="5" t="str">
        <f>IF($G996="","",INDEX('Detalle individual'!$D:$D,$G996))</f>
        <v/>
      </c>
      <c r="G996" t="str">
        <f>IFERROR(MATCH(SMALL(Cálculos!$AH$5:$AH$1000,992),Cálculos!$AH$5:$AH$1000,0)+4,"")</f>
        <v/>
      </c>
    </row>
    <row r="997">
      <c r="A997" s="5" t="str">
        <f>IF($G997="","",INDEX('Detalle individual'!$B:$B,$G997))</f>
        <v/>
      </c>
      <c r="B997" s="5" t="str">
        <f>IF($G997="","",INDEX('Detalle individual'!$A:$A,$G997))</f>
        <v/>
      </c>
      <c r="C997" s="5" t="str">
        <f>IF($G997="","",INDEX('Detalle individual'!$E:$E,$G997))</f>
        <v/>
      </c>
      <c r="D997" s="5" t="str">
        <f>IF($G997="","",INDEX('Detalle individual'!$C:$C,$G997))</f>
        <v/>
      </c>
      <c r="E997" s="5" t="str">
        <f>IF($G997="","",INDEX('Detalle individual'!$D:$D,$G997))</f>
        <v/>
      </c>
      <c r="G997" t="str">
        <f>IFERROR(MATCH(SMALL(Cálculos!$AH$5:$AH$1000,993),Cálculos!$AH$5:$AH$1000,0)+4,"")</f>
        <v/>
      </c>
    </row>
    <row r="998">
      <c r="A998" s="5" t="str">
        <f>IF($G998="","",INDEX('Detalle individual'!$B:$B,$G998))</f>
        <v/>
      </c>
      <c r="B998" s="5" t="str">
        <f>IF($G998="","",INDEX('Detalle individual'!$A:$A,$G998))</f>
        <v/>
      </c>
      <c r="C998" s="5" t="str">
        <f>IF($G998="","",INDEX('Detalle individual'!$E:$E,$G998))</f>
        <v/>
      </c>
      <c r="D998" s="5" t="str">
        <f>IF($G998="","",INDEX('Detalle individual'!$C:$C,$G998))</f>
        <v/>
      </c>
      <c r="E998" s="5" t="str">
        <f>IF($G998="","",INDEX('Detalle individual'!$D:$D,$G998))</f>
        <v/>
      </c>
      <c r="G998" t="str">
        <f>IFERROR(MATCH(SMALL(Cálculos!$AH$5:$AH$1000,994),Cálculos!$AH$5:$AH$1000,0)+4,"")</f>
        <v/>
      </c>
    </row>
    <row r="999">
      <c r="A999" s="5" t="str">
        <f>IF($G999="","",INDEX('Detalle individual'!$B:$B,$G999))</f>
        <v/>
      </c>
      <c r="B999" s="5" t="str">
        <f>IF($G999="","",INDEX('Detalle individual'!$A:$A,$G999))</f>
        <v/>
      </c>
      <c r="C999" s="5" t="str">
        <f>IF($G999="","",INDEX('Detalle individual'!$E:$E,$G999))</f>
        <v/>
      </c>
      <c r="D999" s="5" t="str">
        <f>IF($G999="","",INDEX('Detalle individual'!$C:$C,$G999))</f>
        <v/>
      </c>
      <c r="E999" s="5" t="str">
        <f>IF($G999="","",INDEX('Detalle individual'!$D:$D,$G999))</f>
        <v/>
      </c>
      <c r="G999" t="str">
        <f>IFERROR(MATCH(SMALL(Cálculos!$AH$5:$AH$1000,995),Cálculos!$AH$5:$AH$1000,0)+4,"")</f>
        <v/>
      </c>
    </row>
    <row r="1000">
      <c r="A1000" s="5" t="str">
        <f>IF($G1000="","",INDEX('Detalle individual'!$B:$B,$G1000))</f>
        <v/>
      </c>
      <c r="B1000" s="5" t="str">
        <f>IF($G1000="","",INDEX('Detalle individual'!$A:$A,$G1000))</f>
        <v/>
      </c>
      <c r="C1000" s="5" t="str">
        <f>IF($G1000="","",INDEX('Detalle individual'!$E:$E,$G1000))</f>
        <v/>
      </c>
      <c r="D1000" s="5" t="str">
        <f>IF($G1000="","",INDEX('Detalle individual'!$C:$C,$G1000))</f>
        <v/>
      </c>
      <c r="E1000" s="5" t="str">
        <f>IF($G1000="","",INDEX('Detalle individual'!$D:$D,$G1000))</f>
        <v/>
      </c>
      <c r="G1000" t="str">
        <f>IFERROR(MATCH(SMALL(Cálculos!$AH$5:$AH$1000,996),Cálculos!$AH$5:$AH$1000,0)+4,"")</f>
        <v/>
      </c>
    </row>
  </sheetData>
  <autoFilter ref="A4:E10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H1000"/>
  <sheetViews>
    <sheetView tabSelected="1" workbookViewId="0">
      <selection activeCell="B10" sqref="B10"/>
    </sheetView>
  </sheetViews>
  <sheetFormatPr baseColWidth="10" defaultColWidth="8.88671875" defaultRowHeight="14.4"/>
  <cols>
    <col width="42" customWidth="1" style="38" min="2" max="2"/>
    <col width="12" customWidth="1" style="38" min="3" max="3"/>
    <col width="46" customWidth="1" style="38" min="4" max="4"/>
    <col width="50" customWidth="1" style="38" min="5" max="5"/>
    <col width="36" customWidth="1" style="38" min="6" max="6"/>
    <col width="26" customWidth="1" style="38" min="7" max="7"/>
    <col hidden="1" width="8" customWidth="1" style="38" min="8" max="8"/>
    <col width="11" customWidth="1" style="38" min="9" max="9"/>
  </cols>
  <sheetData>
    <row r="1" ht="21" customHeight="1" s="38">
      <c r="B1" s="1" t="inlineStr">
        <is>
          <t>COLABORADORES CON SITUACIÓN ESPECIAL (NO CUENTAN EN EL % DE CUMPLIMIENTO)</t>
        </is>
      </c>
    </row>
    <row r="2">
      <c r="B2" s="2" t="inlineStr">
        <is>
          <t>Vacaciones, incapacidad, incapacidad por maternidad o renuncia, sin examen realizado (se actualiza automáticamente).</t>
        </is>
      </c>
    </row>
    <row r="3">
      <c r="B3" s="27" t="str">
        <f>"Total: "&amp;COUNT(H5:H1000)&amp;" colaboradores"</f>
        <v>Total: 10 colaboradores</v>
      </c>
    </row>
    <row r="4" ht="28.8" customHeight="1" s="38">
      <c r="B4" s="3" t="inlineStr">
        <is>
          <t>Nombre del Colaborador</t>
        </is>
      </c>
      <c r="C4" s="3" t="inlineStr">
        <is>
          <t>Código de Empleado</t>
        </is>
      </c>
      <c r="D4" s="3" t="inlineStr">
        <is>
          <t>Cargo</t>
        </is>
      </c>
      <c r="E4" s="3" t="inlineStr">
        <is>
          <t>Departamento</t>
        </is>
      </c>
      <c r="F4" s="3" t="inlineStr">
        <is>
          <t>Gerencia Asignada</t>
        </is>
      </c>
      <c r="G4" s="3" t="inlineStr">
        <is>
          <t>Situación especial</t>
        </is>
      </c>
    </row>
    <row r="5">
      <c r="B5" s="5" t="str">
        <f>IF($H5="","",INDEX('Detalle individual'!$B:$B,$H5))</f>
        <v>DORA ALICIA CASTILLO</v>
      </c>
      <c r="C5" s="5" t="str">
        <f>IF($H5="","",INDEX('Detalle individual'!$A:$A,$H5))</f>
        <v>65</v>
      </c>
      <c r="D5" s="5" t="str">
        <f>IF($H5="","",INDEX('Detalle individual'!$E:$E,$H5))</f>
        <v>JEFE DE TALENTO HUMANO</v>
      </c>
      <c r="E5" s="5" t="str">
        <f>IF($H5="","",INDEX('Detalle individual'!$C:$C,$H5))</f>
        <v>DEPARTAMENTO DE TALENTO HUMANO</v>
      </c>
      <c r="F5" s="5" t="str">
        <f>IF($H5="","",INDEX('Detalle individual'!$D:$D,$H5))</f>
        <v>Gerencia Administrativa</v>
      </c>
      <c r="G5" s="5" t="str">
        <f>IF($H5="","",INDEX('Detalle individual'!$F:$F,$H5))</f>
        <v>Vacaciones</v>
      </c>
      <c r="H5">
        <f>IFERROR(MATCH(SMALL(Cálculos!$AJ$5:$AJ$1000,1),Cálculos!$AJ$5:$AJ$1000,0)+4,"")</f>
        <v>49</v>
      </c>
    </row>
    <row r="6">
      <c r="B6" s="5" t="str">
        <f>IF($H6="","",INDEX('Detalle individual'!$B:$B,$H6))</f>
        <v>JOHANA PATRICIA LUNA RAMOS</v>
      </c>
      <c r="C6" s="5" t="str">
        <f>IF($H6="","",INDEX('Detalle individual'!$A:$A,$H6))</f>
        <v>739</v>
      </c>
      <c r="D6" s="5" t="str">
        <f>IF($H6="","",INDEX('Detalle individual'!$E:$E,$H6))</f>
        <v>CAJERO</v>
      </c>
      <c r="E6" s="5" t="str">
        <f>IF($H6="","",INDEX('Detalle individual'!$C:$C,$H6))</f>
        <v>AGENCIA CENTRAL</v>
      </c>
      <c r="F6" s="5" t="str">
        <f>IF($H6="","",INDEX('Detalle individual'!$D:$D,$H6))</f>
        <v>Gerencia de Negocios</v>
      </c>
      <c r="G6" s="5" t="str">
        <f>IF($H6="","",INDEX('Detalle individual'!$F:$F,$H6))</f>
        <v>Incapacidad por maternidad</v>
      </c>
      <c r="H6">
        <f>IFERROR(MATCH(SMALL(Cálculos!$AJ$5:$AJ$1000,2),Cálculos!$AJ$5:$AJ$1000,0)+4,"")</f>
        <v>198</v>
      </c>
    </row>
    <row r="7">
      <c r="B7" s="5" t="str">
        <f>IF($H7="","",INDEX('Detalle individual'!$B:$B,$H7))</f>
        <v>KARLA MERCEDES DELEON DELGADO</v>
      </c>
      <c r="C7" s="5" t="str">
        <f>IF($H7="","",INDEX('Detalle individual'!$A:$A,$H7))</f>
        <v>440</v>
      </c>
      <c r="D7" s="5" t="str">
        <f>IF($H7="","",INDEX('Detalle individual'!$E:$E,$H7))</f>
        <v>JEFE DE AGENCIA</v>
      </c>
      <c r="E7" s="5" t="str">
        <f>IF($H7="","",INDEX('Detalle individual'!$C:$C,$H7))</f>
        <v>AGENCIA CENTRAL</v>
      </c>
      <c r="F7" s="5" t="str">
        <f>IF($H7="","",INDEX('Detalle individual'!$D:$D,$H7))</f>
        <v>Gerencia de Negocios</v>
      </c>
      <c r="G7" s="5" t="str">
        <f>IF($H7="","",INDEX('Detalle individual'!$F:$F,$H7))</f>
        <v>Vacaciones</v>
      </c>
      <c r="H7">
        <f>IFERROR(MATCH(SMALL(Cálculos!$AJ$5:$AJ$1000,3),Cálculos!$AJ$5:$AJ$1000,0)+4,"")</f>
        <v>196</v>
      </c>
    </row>
    <row r="8">
      <c r="B8" s="5" t="str">
        <f>IF($H8="","",INDEX('Detalle individual'!$B:$B,$H8))</f>
        <v>DORIS ELISA HERNANDEZ</v>
      </c>
      <c r="C8" s="5" t="str">
        <f>IF($H8="","",INDEX('Detalle individual'!$A:$A,$H8))</f>
        <v>466</v>
      </c>
      <c r="D8" s="5" t="str">
        <f>IF($H8="","",INDEX('Detalle individual'!$E:$E,$H8))</f>
        <v>SERVICIOS VARIOS</v>
      </c>
      <c r="E8" s="5" t="str">
        <f>IF($H8="","",INDEX('Detalle individual'!$C:$C,$H8))</f>
        <v>AGENCIA COLEGIO MEDICO</v>
      </c>
      <c r="F8" s="5" t="str">
        <f>IF($H8="","",INDEX('Detalle individual'!$D:$D,$H8))</f>
        <v>Gerencia de Negocios</v>
      </c>
      <c r="G8" s="5" t="str">
        <f>IF($H8="","",INDEX('Detalle individual'!$F:$F,$H8))</f>
        <v>Vacaciones</v>
      </c>
      <c r="H8">
        <f>IFERROR(MATCH(SMALL(Cálculos!$AJ$5:$AJ$1000,4),Cálculos!$AJ$5:$AJ$1000,0)+4,"")</f>
        <v>213</v>
      </c>
    </row>
    <row r="9">
      <c r="B9" s="5" t="str">
        <f>IF($H9="","",INDEX('Detalle individual'!$B:$B,$H9))</f>
        <v>SANDRA MARINA BERRIOS SANTOS</v>
      </c>
      <c r="C9" s="5" t="str">
        <f>IF($H9="","",INDEX('Detalle individual'!$A:$A,$H9))</f>
        <v>861</v>
      </c>
      <c r="D9" s="5" t="str">
        <f>IF($H9="","",INDEX('Detalle individual'!$E:$E,$H9))</f>
        <v>CAJERO</v>
      </c>
      <c r="E9" s="5" t="str">
        <f>IF($H9="","",INDEX('Detalle individual'!$C:$C,$H9))</f>
        <v>AGENCIA SAN MIGUEL</v>
      </c>
      <c r="F9" s="5" t="str">
        <f>IF($H9="","",INDEX('Detalle individual'!$D:$D,$H9))</f>
        <v>Gerencia de Negocios</v>
      </c>
      <c r="G9" s="5" t="str">
        <f>IF($H9="","",INDEX('Detalle individual'!$F:$F,$H9))</f>
        <v>Incapacidad por maternidad</v>
      </c>
      <c r="H9">
        <f>IFERROR(MATCH(SMALL(Cálculos!$AJ$5:$AJ$1000,5),Cálculos!$AJ$5:$AJ$1000,0)+4,"")</f>
        <v>228</v>
      </c>
    </row>
    <row r="10">
      <c r="B10" s="5" t="str">
        <f>IF($H10="","",INDEX('Detalle individual'!$B:$B,$H10))</f>
        <v>LUIS ALBERTO MEJIA DELGADO</v>
      </c>
      <c r="C10" s="5" t="str">
        <f>IF($H10="","",INDEX('Detalle individual'!$A:$A,$H10))</f>
        <v>835</v>
      </c>
      <c r="D10" s="5" t="str">
        <f>IF($H10="","",INDEX('Detalle individual'!$E:$E,$H10))</f>
        <v>EJECUTIVO DE NEGOCIOS</v>
      </c>
      <c r="E10" s="5" t="str">
        <f>IF($H10="","",INDEX('Detalle individual'!$C:$C,$H10))</f>
        <v>DEPARTAMENTO COMERCIAL DE TARJETA DE CREDITO Y DEBITO</v>
      </c>
      <c r="F10" s="5" t="str">
        <f>IF($H10="","",INDEX('Detalle individual'!$D:$D,$H10))</f>
        <v>Gerencia de Negocios</v>
      </c>
      <c r="G10" s="5" t="str">
        <f>IF($H10="","",INDEX('Detalle individual'!$F:$F,$H10))</f>
        <v>Renuncia</v>
      </c>
      <c r="H10">
        <f>IFERROR(MATCH(SMALL(Cálculos!$AJ$5:$AJ$1000,6),Cálculos!$AJ$5:$AJ$1000,0)+4,"")</f>
        <v>182</v>
      </c>
    </row>
    <row r="11">
      <c r="B11" s="5" t="str">
        <f>IF($H11="","",INDEX('Detalle individual'!$B:$B,$H11))</f>
        <v>ERIKA VANESSA ALEMAN MIJANGO</v>
      </c>
      <c r="C11" s="5" t="str">
        <f>IF($H11="","",INDEX('Detalle individual'!$A:$A,$H11))</f>
        <v>802</v>
      </c>
      <c r="D11" s="5" t="str">
        <f>IF($H11="","",INDEX('Detalle individual'!$E:$E,$H11))</f>
        <v>EJECUTIVO DE VENTA DE SEGUROS</v>
      </c>
      <c r="E11" s="5" t="str">
        <f>IF($H11="","",INDEX('Detalle individual'!$C:$C,$H11))</f>
        <v>DEPARTAMENTO DE SEGUROS</v>
      </c>
      <c r="F11" s="5" t="str">
        <f>IF($H11="","",INDEX('Detalle individual'!$D:$D,$H11))</f>
        <v>Gerencia de Negocios</v>
      </c>
      <c r="G11" s="5" t="str">
        <f>IF($H11="","",INDEX('Detalle individual'!$F:$F,$H11))</f>
        <v>Renuncia</v>
      </c>
      <c r="H11">
        <f>IFERROR(MATCH(SMALL(Cálculos!$AJ$5:$AJ$1000,7),Cálculos!$AJ$5:$AJ$1000,0)+4,"")</f>
        <v>172</v>
      </c>
    </row>
    <row r="12">
      <c r="B12" s="5" t="str">
        <f>IF($H12="","",INDEX('Detalle individual'!$B:$B,$H12))</f>
        <v>ALBA BEATRIZ MELENDEZ PRUDENCIO</v>
      </c>
      <c r="C12" s="5" t="str">
        <f>IF($H12="","",INDEX('Detalle individual'!$A:$A,$H12))</f>
        <v>885</v>
      </c>
      <c r="D12" s="5" t="str">
        <f>IF($H12="","",INDEX('Detalle individual'!$E:$E,$H12))</f>
        <v>ASISTENTE DE RECUPERACION JUDICIAL Y CARTERA CASTIGADA</v>
      </c>
      <c r="E12" s="5" t="str">
        <f>IF($H12="","",INDEX('Detalle individual'!$C:$C,$H12))</f>
        <v>DEPARTAMENTO DE SOLUCIONES FINANCIERAS</v>
      </c>
      <c r="F12" s="5" t="str">
        <f>IF($H12="","",INDEX('Detalle individual'!$D:$D,$H12))</f>
        <v>Gerencia de Operaciones</v>
      </c>
      <c r="G12" s="5" t="str">
        <f>IF($H12="","",INDEX('Detalle individual'!$F:$F,$H12))</f>
        <v>Renuncia</v>
      </c>
      <c r="H12">
        <f>IFERROR(MATCH(SMALL(Cálculos!$AJ$5:$AJ$1000,8),Cálculos!$AJ$5:$AJ$1000,0)+4,"")</f>
        <v>68</v>
      </c>
    </row>
    <row r="13">
      <c r="B13" s="5" t="str">
        <f>IF($H13="","",INDEX('Detalle individual'!$B:$B,$H13))</f>
        <v>GEOVANNI LIZAMA PORTILLO</v>
      </c>
      <c r="C13" s="5" t="str">
        <f>IF($H13="","",INDEX('Detalle individual'!$A:$A,$H13))</f>
        <v>399</v>
      </c>
      <c r="D13" s="5" t="str">
        <f>IF($H13="","",INDEX('Detalle individual'!$E:$E,$H13))</f>
        <v>JEFE DE TARJETA DE CREDITO Y DEBITO</v>
      </c>
      <c r="E13" s="5" t="str">
        <f>IF($H13="","",INDEX('Detalle individual'!$C:$C,$H13))</f>
        <v>DEPARTAMENTO DE TARJETA DE CREDITO Y DEBITO</v>
      </c>
      <c r="F13" s="5" t="str">
        <f>IF($H13="","",INDEX('Detalle individual'!$D:$D,$H13))</f>
        <v>Gerencia de Operaciones</v>
      </c>
      <c r="G13" s="5" t="str">
        <f>IF($H13="","",INDEX('Detalle individual'!$F:$F,$H13))</f>
        <v>Incapacidad</v>
      </c>
      <c r="H13">
        <f>IFERROR(MATCH(SMALL(Cálculos!$AJ$5:$AJ$1000,9),Cálculos!$AJ$5:$AJ$1000,0)+4,"")</f>
        <v>70</v>
      </c>
    </row>
    <row r="14">
      <c r="B14" s="5" t="str">
        <f>IF($H14="","",INDEX('Detalle individual'!$B:$B,$H14))</f>
        <v>HUGO MARVIN SERRANO SARAVIA</v>
      </c>
      <c r="C14" s="5" t="str">
        <f>IF($H14="","",INDEX('Detalle individual'!$A:$A,$H14))</f>
        <v>90</v>
      </c>
      <c r="D14" s="5" t="str">
        <f>IF($H14="","",INDEX('Detalle individual'!$E:$E,$H14))</f>
        <v>OPERADOR DE SISTEMAS</v>
      </c>
      <c r="E14" s="5" t="str">
        <f>IF($H14="","",INDEX('Detalle individual'!$C:$C,$H14))</f>
        <v>DEPARTAMENTO DE OPERACIONES Y SOPORTE TECNICO</v>
      </c>
      <c r="F14" s="5" t="str">
        <f>IF($H14="","",INDEX('Detalle individual'!$D:$D,$H14))</f>
        <v>Gerencia de Sistemas</v>
      </c>
      <c r="G14" s="5" t="str">
        <f>IF($H14="","",INDEX('Detalle individual'!$F:$F,$H14))</f>
        <v>Vacaciones</v>
      </c>
      <c r="H14">
        <f>IFERROR(MATCH(SMALL(Cálculos!$AJ$5:$AJ$1000,10),Cálculos!$AJ$5:$AJ$1000,0)+4,"")</f>
        <v>104</v>
      </c>
    </row>
    <row r="15">
      <c r="B15" s="5" t="str">
        <f>IF($H15="","",INDEX('Detalle individual'!$B:$B,$H15))</f>
        <v/>
      </c>
      <c r="C15" s="5" t="str">
        <f>IF($H15="","",INDEX('Detalle individual'!$A:$A,$H15))</f>
        <v/>
      </c>
      <c r="D15" s="5" t="str">
        <f>IF($H15="","",INDEX('Detalle individual'!$E:$E,$H15))</f>
        <v/>
      </c>
      <c r="E15" s="5" t="str">
        <f>IF($H15="","",INDEX('Detalle individual'!$C:$C,$H15))</f>
        <v/>
      </c>
      <c r="F15" s="5" t="str">
        <f>IF($H15="","",INDEX('Detalle individual'!$D:$D,$H15))</f>
        <v/>
      </c>
      <c r="G15" s="5" t="str">
        <f>IF($H15="","",INDEX('Detalle individual'!$F:$F,$H15))</f>
        <v/>
      </c>
      <c r="H15" t="str">
        <f>IFERROR(MATCH(SMALL(Cálculos!$AJ$5:$AJ$1000,11),Cálculos!$AJ$5:$AJ$1000,0)+4,"")</f>
        <v/>
      </c>
    </row>
    <row r="16">
      <c r="B16" s="5" t="str">
        <f>IF($H16="","",INDEX('Detalle individual'!$B:$B,$H16))</f>
        <v/>
      </c>
      <c r="C16" s="5" t="str">
        <f>IF($H16="","",INDEX('Detalle individual'!$A:$A,$H16))</f>
        <v/>
      </c>
      <c r="D16" s="5" t="str">
        <f>IF($H16="","",INDEX('Detalle individual'!$E:$E,$H16))</f>
        <v/>
      </c>
      <c r="E16" s="5" t="str">
        <f>IF($H16="","",INDEX('Detalle individual'!$C:$C,$H16))</f>
        <v/>
      </c>
      <c r="F16" s="5" t="str">
        <f>IF($H16="","",INDEX('Detalle individual'!$D:$D,$H16))</f>
        <v/>
      </c>
      <c r="G16" s="5" t="str">
        <f>IF($H16="","",INDEX('Detalle individual'!$F:$F,$H16))</f>
        <v/>
      </c>
      <c r="H16" t="str">
        <f>IFERROR(MATCH(SMALL(Cálculos!$AJ$5:$AJ$1000,12),Cálculos!$AJ$5:$AJ$1000,0)+4,"")</f>
        <v/>
      </c>
    </row>
    <row r="17">
      <c r="B17" s="5" t="str">
        <f>IF($H17="","",INDEX('Detalle individual'!$B:$B,$H17))</f>
        <v/>
      </c>
      <c r="C17" s="5" t="str">
        <f>IF($H17="","",INDEX('Detalle individual'!$A:$A,$H17))</f>
        <v/>
      </c>
      <c r="D17" s="5" t="str">
        <f>IF($H17="","",INDEX('Detalle individual'!$E:$E,$H17))</f>
        <v/>
      </c>
      <c r="E17" s="5" t="str">
        <f>IF($H17="","",INDEX('Detalle individual'!$C:$C,$H17))</f>
        <v/>
      </c>
      <c r="F17" s="5" t="str">
        <f>IF($H17="","",INDEX('Detalle individual'!$D:$D,$H17))</f>
        <v/>
      </c>
      <c r="G17" s="5" t="str">
        <f>IF($H17="","",INDEX('Detalle individual'!$F:$F,$H17))</f>
        <v/>
      </c>
      <c r="H17" t="str">
        <f>IFERROR(MATCH(SMALL(Cálculos!$AJ$5:$AJ$1000,13),Cálculos!$AJ$5:$AJ$1000,0)+4,"")</f>
        <v/>
      </c>
    </row>
    <row r="18">
      <c r="B18" s="5" t="str">
        <f>IF($H18="","",INDEX('Detalle individual'!$B:$B,$H18))</f>
        <v/>
      </c>
      <c r="C18" s="5" t="str">
        <f>IF($H18="","",INDEX('Detalle individual'!$A:$A,$H18))</f>
        <v/>
      </c>
      <c r="D18" s="5" t="str">
        <f>IF($H18="","",INDEX('Detalle individual'!$E:$E,$H18))</f>
        <v/>
      </c>
      <c r="E18" s="5" t="str">
        <f>IF($H18="","",INDEX('Detalle individual'!$C:$C,$H18))</f>
        <v/>
      </c>
      <c r="F18" s="5" t="str">
        <f>IF($H18="","",INDEX('Detalle individual'!$D:$D,$H18))</f>
        <v/>
      </c>
      <c r="G18" s="5" t="str">
        <f>IF($H18="","",INDEX('Detalle individual'!$F:$F,$H18))</f>
        <v/>
      </c>
      <c r="H18" t="str">
        <f>IFERROR(MATCH(SMALL(Cálculos!$AJ$5:$AJ$1000,14),Cálculos!$AJ$5:$AJ$1000,0)+4,"")</f>
        <v/>
      </c>
    </row>
    <row r="19">
      <c r="B19" s="5" t="str">
        <f>IF($H19="","",INDEX('Detalle individual'!$B:$B,$H19))</f>
        <v/>
      </c>
      <c r="C19" s="5" t="str">
        <f>IF($H19="","",INDEX('Detalle individual'!$A:$A,$H19))</f>
        <v/>
      </c>
      <c r="D19" s="5" t="str">
        <f>IF($H19="","",INDEX('Detalle individual'!$E:$E,$H19))</f>
        <v/>
      </c>
      <c r="E19" s="5" t="str">
        <f>IF($H19="","",INDEX('Detalle individual'!$C:$C,$H19))</f>
        <v/>
      </c>
      <c r="F19" s="5" t="str">
        <f>IF($H19="","",INDEX('Detalle individual'!$D:$D,$H19))</f>
        <v/>
      </c>
      <c r="G19" s="5" t="str">
        <f>IF($H19="","",INDEX('Detalle individual'!$F:$F,$H19))</f>
        <v/>
      </c>
      <c r="H19" t="str">
        <f>IFERROR(MATCH(SMALL(Cálculos!$AJ$5:$AJ$1000,15),Cálculos!$AJ$5:$AJ$1000,0)+4,"")</f>
        <v/>
      </c>
    </row>
    <row r="20">
      <c r="B20" s="5" t="str">
        <f>IF($H20="","",INDEX('Detalle individual'!$B:$B,$H20))</f>
        <v/>
      </c>
      <c r="C20" s="5" t="str">
        <f>IF($H20="","",INDEX('Detalle individual'!$A:$A,$H20))</f>
        <v/>
      </c>
      <c r="D20" s="5" t="str">
        <f>IF($H20="","",INDEX('Detalle individual'!$E:$E,$H20))</f>
        <v/>
      </c>
      <c r="E20" s="5" t="str">
        <f>IF($H20="","",INDEX('Detalle individual'!$C:$C,$H20))</f>
        <v/>
      </c>
      <c r="F20" s="5" t="str">
        <f>IF($H20="","",INDEX('Detalle individual'!$D:$D,$H20))</f>
        <v/>
      </c>
      <c r="G20" s="5" t="str">
        <f>IF($H20="","",INDEX('Detalle individual'!$F:$F,$H20))</f>
        <v/>
      </c>
      <c r="H20" t="str">
        <f>IFERROR(MATCH(SMALL(Cálculos!$AJ$5:$AJ$1000,16),Cálculos!$AJ$5:$AJ$1000,0)+4,"")</f>
        <v/>
      </c>
    </row>
    <row r="21">
      <c r="B21" s="5" t="str">
        <f>IF($H21="","",INDEX('Detalle individual'!$B:$B,$H21))</f>
        <v/>
      </c>
      <c r="C21" s="5" t="str">
        <f>IF($H21="","",INDEX('Detalle individual'!$A:$A,$H21))</f>
        <v/>
      </c>
      <c r="D21" s="5" t="str">
        <f>IF($H21="","",INDEX('Detalle individual'!$E:$E,$H21))</f>
        <v/>
      </c>
      <c r="E21" s="5" t="str">
        <f>IF($H21="","",INDEX('Detalle individual'!$C:$C,$H21))</f>
        <v/>
      </c>
      <c r="F21" s="5" t="str">
        <f>IF($H21="","",INDEX('Detalle individual'!$D:$D,$H21))</f>
        <v/>
      </c>
      <c r="G21" s="5" t="str">
        <f>IF($H21="","",INDEX('Detalle individual'!$F:$F,$H21))</f>
        <v/>
      </c>
      <c r="H21" t="str">
        <f>IFERROR(MATCH(SMALL(Cálculos!$AJ$5:$AJ$1000,17),Cálculos!$AJ$5:$AJ$1000,0)+4,"")</f>
        <v/>
      </c>
    </row>
    <row r="22">
      <c r="B22" s="5" t="str">
        <f>IF($H22="","",INDEX('Detalle individual'!$B:$B,$H22))</f>
        <v/>
      </c>
      <c r="C22" s="5" t="str">
        <f>IF($H22="","",INDEX('Detalle individual'!$A:$A,$H22))</f>
        <v/>
      </c>
      <c r="D22" s="5" t="str">
        <f>IF($H22="","",INDEX('Detalle individual'!$E:$E,$H22))</f>
        <v/>
      </c>
      <c r="E22" s="5" t="str">
        <f>IF($H22="","",INDEX('Detalle individual'!$C:$C,$H22))</f>
        <v/>
      </c>
      <c r="F22" s="5" t="str">
        <f>IF($H22="","",INDEX('Detalle individual'!$D:$D,$H22))</f>
        <v/>
      </c>
      <c r="G22" s="5" t="str">
        <f>IF($H22="","",INDEX('Detalle individual'!$F:$F,$H22))</f>
        <v/>
      </c>
      <c r="H22" t="str">
        <f>IFERROR(MATCH(SMALL(Cálculos!$AJ$5:$AJ$1000,18),Cálculos!$AJ$5:$AJ$1000,0)+4,"")</f>
        <v/>
      </c>
    </row>
    <row r="23">
      <c r="B23" s="5" t="str">
        <f>IF($H23="","",INDEX('Detalle individual'!$B:$B,$H23))</f>
        <v/>
      </c>
      <c r="C23" s="5" t="str">
        <f>IF($H23="","",INDEX('Detalle individual'!$A:$A,$H23))</f>
        <v/>
      </c>
      <c r="D23" s="5" t="str">
        <f>IF($H23="","",INDEX('Detalle individual'!$E:$E,$H23))</f>
        <v/>
      </c>
      <c r="E23" s="5" t="str">
        <f>IF($H23="","",INDEX('Detalle individual'!$C:$C,$H23))</f>
        <v/>
      </c>
      <c r="F23" s="5" t="str">
        <f>IF($H23="","",INDEX('Detalle individual'!$D:$D,$H23))</f>
        <v/>
      </c>
      <c r="G23" s="5" t="str">
        <f>IF($H23="","",INDEX('Detalle individual'!$F:$F,$H23))</f>
        <v/>
      </c>
      <c r="H23" t="str">
        <f>IFERROR(MATCH(SMALL(Cálculos!$AJ$5:$AJ$1000,19),Cálculos!$AJ$5:$AJ$1000,0)+4,"")</f>
        <v/>
      </c>
    </row>
    <row r="24">
      <c r="B24" s="5" t="str">
        <f>IF($H24="","",INDEX('Detalle individual'!$B:$B,$H24))</f>
        <v/>
      </c>
      <c r="C24" s="5" t="str">
        <f>IF($H24="","",INDEX('Detalle individual'!$A:$A,$H24))</f>
        <v/>
      </c>
      <c r="D24" s="5" t="str">
        <f>IF($H24="","",INDEX('Detalle individual'!$E:$E,$H24))</f>
        <v/>
      </c>
      <c r="E24" s="5" t="str">
        <f>IF($H24="","",INDEX('Detalle individual'!$C:$C,$H24))</f>
        <v/>
      </c>
      <c r="F24" s="5" t="str">
        <f>IF($H24="","",INDEX('Detalle individual'!$D:$D,$H24))</f>
        <v/>
      </c>
      <c r="G24" s="5" t="str">
        <f>IF($H24="","",INDEX('Detalle individual'!$F:$F,$H24))</f>
        <v/>
      </c>
      <c r="H24" t="str">
        <f>IFERROR(MATCH(SMALL(Cálculos!$AJ$5:$AJ$1000,20),Cálculos!$AJ$5:$AJ$1000,0)+4,"")</f>
        <v/>
      </c>
    </row>
    <row r="25">
      <c r="B25" s="5" t="str">
        <f>IF($H25="","",INDEX('Detalle individual'!$B:$B,$H25))</f>
        <v/>
      </c>
      <c r="C25" s="5" t="str">
        <f>IF($H25="","",INDEX('Detalle individual'!$A:$A,$H25))</f>
        <v/>
      </c>
      <c r="D25" s="5" t="str">
        <f>IF($H25="","",INDEX('Detalle individual'!$E:$E,$H25))</f>
        <v/>
      </c>
      <c r="E25" s="5" t="str">
        <f>IF($H25="","",INDEX('Detalle individual'!$C:$C,$H25))</f>
        <v/>
      </c>
      <c r="F25" s="5" t="str">
        <f>IF($H25="","",INDEX('Detalle individual'!$D:$D,$H25))</f>
        <v/>
      </c>
      <c r="G25" s="5" t="str">
        <f>IF($H25="","",INDEX('Detalle individual'!$F:$F,$H25))</f>
        <v/>
      </c>
      <c r="H25" t="str">
        <f>IFERROR(MATCH(SMALL(Cálculos!$AJ$5:$AJ$1000,21),Cálculos!$AJ$5:$AJ$1000,0)+4,"")</f>
        <v/>
      </c>
    </row>
    <row r="26">
      <c r="B26" s="5" t="str">
        <f>IF($H26="","",INDEX('Detalle individual'!$B:$B,$H26))</f>
        <v/>
      </c>
      <c r="C26" s="5" t="str">
        <f>IF($H26="","",INDEX('Detalle individual'!$A:$A,$H26))</f>
        <v/>
      </c>
      <c r="D26" s="5" t="str">
        <f>IF($H26="","",INDEX('Detalle individual'!$E:$E,$H26))</f>
        <v/>
      </c>
      <c r="E26" s="5" t="str">
        <f>IF($H26="","",INDEX('Detalle individual'!$C:$C,$H26))</f>
        <v/>
      </c>
      <c r="F26" s="5" t="str">
        <f>IF($H26="","",INDEX('Detalle individual'!$D:$D,$H26))</f>
        <v/>
      </c>
      <c r="G26" s="5" t="str">
        <f>IF($H26="","",INDEX('Detalle individual'!$F:$F,$H26))</f>
        <v/>
      </c>
      <c r="H26" t="str">
        <f>IFERROR(MATCH(SMALL(Cálculos!$AJ$5:$AJ$1000,22),Cálculos!$AJ$5:$AJ$1000,0)+4,"")</f>
        <v/>
      </c>
    </row>
    <row r="27">
      <c r="B27" s="5" t="str">
        <f>IF($H27="","",INDEX('Detalle individual'!$B:$B,$H27))</f>
        <v/>
      </c>
      <c r="C27" s="5" t="str">
        <f>IF($H27="","",INDEX('Detalle individual'!$A:$A,$H27))</f>
        <v/>
      </c>
      <c r="D27" s="5" t="str">
        <f>IF($H27="","",INDEX('Detalle individual'!$E:$E,$H27))</f>
        <v/>
      </c>
      <c r="E27" s="5" t="str">
        <f>IF($H27="","",INDEX('Detalle individual'!$C:$C,$H27))</f>
        <v/>
      </c>
      <c r="F27" s="5" t="str">
        <f>IF($H27="","",INDEX('Detalle individual'!$D:$D,$H27))</f>
        <v/>
      </c>
      <c r="G27" s="5" t="str">
        <f>IF($H27="","",INDEX('Detalle individual'!$F:$F,$H27))</f>
        <v/>
      </c>
      <c r="H27" t="str">
        <f>IFERROR(MATCH(SMALL(Cálculos!$AJ$5:$AJ$1000,23),Cálculos!$AJ$5:$AJ$1000,0)+4,"")</f>
        <v/>
      </c>
    </row>
    <row r="28">
      <c r="B28" s="5" t="str">
        <f>IF($H28="","",INDEX('Detalle individual'!$B:$B,$H28))</f>
        <v/>
      </c>
      <c r="C28" s="5" t="str">
        <f>IF($H28="","",INDEX('Detalle individual'!$A:$A,$H28))</f>
        <v/>
      </c>
      <c r="D28" s="5" t="str">
        <f>IF($H28="","",INDEX('Detalle individual'!$E:$E,$H28))</f>
        <v/>
      </c>
      <c r="E28" s="5" t="str">
        <f>IF($H28="","",INDEX('Detalle individual'!$C:$C,$H28))</f>
        <v/>
      </c>
      <c r="F28" s="5" t="str">
        <f>IF($H28="","",INDEX('Detalle individual'!$D:$D,$H28))</f>
        <v/>
      </c>
      <c r="G28" s="5" t="str">
        <f>IF($H28="","",INDEX('Detalle individual'!$F:$F,$H28))</f>
        <v/>
      </c>
      <c r="H28" t="str">
        <f>IFERROR(MATCH(SMALL(Cálculos!$AJ$5:$AJ$1000,24),Cálculos!$AJ$5:$AJ$1000,0)+4,"")</f>
        <v/>
      </c>
    </row>
    <row r="29">
      <c r="B29" s="5" t="str">
        <f>IF($H29="","",INDEX('Detalle individual'!$B:$B,$H29))</f>
        <v/>
      </c>
      <c r="C29" s="5" t="str">
        <f>IF($H29="","",INDEX('Detalle individual'!$A:$A,$H29))</f>
        <v/>
      </c>
      <c r="D29" s="5" t="str">
        <f>IF($H29="","",INDEX('Detalle individual'!$E:$E,$H29))</f>
        <v/>
      </c>
      <c r="E29" s="5" t="str">
        <f>IF($H29="","",INDEX('Detalle individual'!$C:$C,$H29))</f>
        <v/>
      </c>
      <c r="F29" s="5" t="str">
        <f>IF($H29="","",INDEX('Detalle individual'!$D:$D,$H29))</f>
        <v/>
      </c>
      <c r="G29" s="5" t="str">
        <f>IF($H29="","",INDEX('Detalle individual'!$F:$F,$H29))</f>
        <v/>
      </c>
      <c r="H29" t="str">
        <f>IFERROR(MATCH(SMALL(Cálculos!$AJ$5:$AJ$1000,25),Cálculos!$AJ$5:$AJ$1000,0)+4,"")</f>
        <v/>
      </c>
    </row>
    <row r="30">
      <c r="B30" s="5" t="str">
        <f>IF($H30="","",INDEX('Detalle individual'!$B:$B,$H30))</f>
        <v/>
      </c>
      <c r="C30" s="5" t="str">
        <f>IF($H30="","",INDEX('Detalle individual'!$A:$A,$H30))</f>
        <v/>
      </c>
      <c r="D30" s="5" t="str">
        <f>IF($H30="","",INDEX('Detalle individual'!$E:$E,$H30))</f>
        <v/>
      </c>
      <c r="E30" s="5" t="str">
        <f>IF($H30="","",INDEX('Detalle individual'!$C:$C,$H30))</f>
        <v/>
      </c>
      <c r="F30" s="5" t="str">
        <f>IF($H30="","",INDEX('Detalle individual'!$D:$D,$H30))</f>
        <v/>
      </c>
      <c r="G30" s="5" t="str">
        <f>IF($H30="","",INDEX('Detalle individual'!$F:$F,$H30))</f>
        <v/>
      </c>
      <c r="H30" t="str">
        <f>IFERROR(MATCH(SMALL(Cálculos!$AJ$5:$AJ$1000,26),Cálculos!$AJ$5:$AJ$1000,0)+4,"")</f>
        <v/>
      </c>
    </row>
    <row r="31">
      <c r="B31" s="5" t="str">
        <f>IF($H31="","",INDEX('Detalle individual'!$B:$B,$H31))</f>
        <v/>
      </c>
      <c r="C31" s="5" t="str">
        <f>IF($H31="","",INDEX('Detalle individual'!$A:$A,$H31))</f>
        <v/>
      </c>
      <c r="D31" s="5" t="str">
        <f>IF($H31="","",INDEX('Detalle individual'!$E:$E,$H31))</f>
        <v/>
      </c>
      <c r="E31" s="5" t="str">
        <f>IF($H31="","",INDEX('Detalle individual'!$C:$C,$H31))</f>
        <v/>
      </c>
      <c r="F31" s="5" t="str">
        <f>IF($H31="","",INDEX('Detalle individual'!$D:$D,$H31))</f>
        <v/>
      </c>
      <c r="G31" s="5" t="str">
        <f>IF($H31="","",INDEX('Detalle individual'!$F:$F,$H31))</f>
        <v/>
      </c>
      <c r="H31" t="str">
        <f>IFERROR(MATCH(SMALL(Cálculos!$AJ$5:$AJ$1000,27),Cálculos!$AJ$5:$AJ$1000,0)+4,"")</f>
        <v/>
      </c>
    </row>
    <row r="32">
      <c r="B32" s="5" t="str">
        <f>IF($H32="","",INDEX('Detalle individual'!$B:$B,$H32))</f>
        <v/>
      </c>
      <c r="C32" s="5" t="str">
        <f>IF($H32="","",INDEX('Detalle individual'!$A:$A,$H32))</f>
        <v/>
      </c>
      <c r="D32" s="5" t="str">
        <f>IF($H32="","",INDEX('Detalle individual'!$E:$E,$H32))</f>
        <v/>
      </c>
      <c r="E32" s="5" t="str">
        <f>IF($H32="","",INDEX('Detalle individual'!$C:$C,$H32))</f>
        <v/>
      </c>
      <c r="F32" s="5" t="str">
        <f>IF($H32="","",INDEX('Detalle individual'!$D:$D,$H32))</f>
        <v/>
      </c>
      <c r="G32" s="5" t="str">
        <f>IF($H32="","",INDEX('Detalle individual'!$F:$F,$H32))</f>
        <v/>
      </c>
      <c r="H32" t="str">
        <f>IFERROR(MATCH(SMALL(Cálculos!$AJ$5:$AJ$1000,28),Cálculos!$AJ$5:$AJ$1000,0)+4,"")</f>
        <v/>
      </c>
    </row>
    <row r="33">
      <c r="B33" s="5" t="str">
        <f>IF($H33="","",INDEX('Detalle individual'!$B:$B,$H33))</f>
        <v/>
      </c>
      <c r="C33" s="5" t="str">
        <f>IF($H33="","",INDEX('Detalle individual'!$A:$A,$H33))</f>
        <v/>
      </c>
      <c r="D33" s="5" t="str">
        <f>IF($H33="","",INDEX('Detalle individual'!$E:$E,$H33))</f>
        <v/>
      </c>
      <c r="E33" s="5" t="str">
        <f>IF($H33="","",INDEX('Detalle individual'!$C:$C,$H33))</f>
        <v/>
      </c>
      <c r="F33" s="5" t="str">
        <f>IF($H33="","",INDEX('Detalle individual'!$D:$D,$H33))</f>
        <v/>
      </c>
      <c r="G33" s="5" t="str">
        <f>IF($H33="","",INDEX('Detalle individual'!$F:$F,$H33))</f>
        <v/>
      </c>
      <c r="H33" t="str">
        <f>IFERROR(MATCH(SMALL(Cálculos!$AJ$5:$AJ$1000,29),Cálculos!$AJ$5:$AJ$1000,0)+4,"")</f>
        <v/>
      </c>
    </row>
    <row r="34">
      <c r="B34" s="5" t="str">
        <f>IF($H34="","",INDEX('Detalle individual'!$B:$B,$H34))</f>
        <v/>
      </c>
      <c r="C34" s="5" t="str">
        <f>IF($H34="","",INDEX('Detalle individual'!$A:$A,$H34))</f>
        <v/>
      </c>
      <c r="D34" s="5" t="str">
        <f>IF($H34="","",INDEX('Detalle individual'!$E:$E,$H34))</f>
        <v/>
      </c>
      <c r="E34" s="5" t="str">
        <f>IF($H34="","",INDEX('Detalle individual'!$C:$C,$H34))</f>
        <v/>
      </c>
      <c r="F34" s="5" t="str">
        <f>IF($H34="","",INDEX('Detalle individual'!$D:$D,$H34))</f>
        <v/>
      </c>
      <c r="G34" s="5" t="str">
        <f>IF($H34="","",INDEX('Detalle individual'!$F:$F,$H34))</f>
        <v/>
      </c>
      <c r="H34" t="str">
        <f>IFERROR(MATCH(SMALL(Cálculos!$AJ$5:$AJ$1000,30),Cálculos!$AJ$5:$AJ$1000,0)+4,"")</f>
        <v/>
      </c>
    </row>
    <row r="35">
      <c r="B35" s="5" t="str">
        <f>IF($H35="","",INDEX('Detalle individual'!$B:$B,$H35))</f>
        <v/>
      </c>
      <c r="C35" s="5" t="str">
        <f>IF($H35="","",INDEX('Detalle individual'!$A:$A,$H35))</f>
        <v/>
      </c>
      <c r="D35" s="5" t="str">
        <f>IF($H35="","",INDEX('Detalle individual'!$E:$E,$H35))</f>
        <v/>
      </c>
      <c r="E35" s="5" t="str">
        <f>IF($H35="","",INDEX('Detalle individual'!$C:$C,$H35))</f>
        <v/>
      </c>
      <c r="F35" s="5" t="str">
        <f>IF($H35="","",INDEX('Detalle individual'!$D:$D,$H35))</f>
        <v/>
      </c>
      <c r="G35" s="5" t="str">
        <f>IF($H35="","",INDEX('Detalle individual'!$F:$F,$H35))</f>
        <v/>
      </c>
      <c r="H35" t="str">
        <f>IFERROR(MATCH(SMALL(Cálculos!$AJ$5:$AJ$1000,31),Cálculos!$AJ$5:$AJ$1000,0)+4,"")</f>
        <v/>
      </c>
    </row>
    <row r="36">
      <c r="B36" s="5" t="str">
        <f>IF($H36="","",INDEX('Detalle individual'!$B:$B,$H36))</f>
        <v/>
      </c>
      <c r="C36" s="5" t="str">
        <f>IF($H36="","",INDEX('Detalle individual'!$A:$A,$H36))</f>
        <v/>
      </c>
      <c r="D36" s="5" t="str">
        <f>IF($H36="","",INDEX('Detalle individual'!$E:$E,$H36))</f>
        <v/>
      </c>
      <c r="E36" s="5" t="str">
        <f>IF($H36="","",INDEX('Detalle individual'!$C:$C,$H36))</f>
        <v/>
      </c>
      <c r="F36" s="5" t="str">
        <f>IF($H36="","",INDEX('Detalle individual'!$D:$D,$H36))</f>
        <v/>
      </c>
      <c r="G36" s="5" t="str">
        <f>IF($H36="","",INDEX('Detalle individual'!$F:$F,$H36))</f>
        <v/>
      </c>
      <c r="H36" t="str">
        <f>IFERROR(MATCH(SMALL(Cálculos!$AJ$5:$AJ$1000,32),Cálculos!$AJ$5:$AJ$1000,0)+4,"")</f>
        <v/>
      </c>
    </row>
    <row r="37">
      <c r="B37" s="5" t="str">
        <f>IF($H37="","",INDEX('Detalle individual'!$B:$B,$H37))</f>
        <v/>
      </c>
      <c r="C37" s="5" t="str">
        <f>IF($H37="","",INDEX('Detalle individual'!$A:$A,$H37))</f>
        <v/>
      </c>
      <c r="D37" s="5" t="str">
        <f>IF($H37="","",INDEX('Detalle individual'!$E:$E,$H37))</f>
        <v/>
      </c>
      <c r="E37" s="5" t="str">
        <f>IF($H37="","",INDEX('Detalle individual'!$C:$C,$H37))</f>
        <v/>
      </c>
      <c r="F37" s="5" t="str">
        <f>IF($H37="","",INDEX('Detalle individual'!$D:$D,$H37))</f>
        <v/>
      </c>
      <c r="G37" s="5" t="str">
        <f>IF($H37="","",INDEX('Detalle individual'!$F:$F,$H37))</f>
        <v/>
      </c>
      <c r="H37" t="str">
        <f>IFERROR(MATCH(SMALL(Cálculos!$AJ$5:$AJ$1000,33),Cálculos!$AJ$5:$AJ$1000,0)+4,"")</f>
        <v/>
      </c>
    </row>
    <row r="38">
      <c r="B38" s="5" t="str">
        <f>IF($H38="","",INDEX('Detalle individual'!$B:$B,$H38))</f>
        <v/>
      </c>
      <c r="C38" s="5" t="str">
        <f>IF($H38="","",INDEX('Detalle individual'!$A:$A,$H38))</f>
        <v/>
      </c>
      <c r="D38" s="5" t="str">
        <f>IF($H38="","",INDEX('Detalle individual'!$E:$E,$H38))</f>
        <v/>
      </c>
      <c r="E38" s="5" t="str">
        <f>IF($H38="","",INDEX('Detalle individual'!$C:$C,$H38))</f>
        <v/>
      </c>
      <c r="F38" s="5" t="str">
        <f>IF($H38="","",INDEX('Detalle individual'!$D:$D,$H38))</f>
        <v/>
      </c>
      <c r="G38" s="5" t="str">
        <f>IF($H38="","",INDEX('Detalle individual'!$F:$F,$H38))</f>
        <v/>
      </c>
      <c r="H38" t="str">
        <f>IFERROR(MATCH(SMALL(Cálculos!$AJ$5:$AJ$1000,34),Cálculos!$AJ$5:$AJ$1000,0)+4,"")</f>
        <v/>
      </c>
    </row>
    <row r="39">
      <c r="B39" s="5" t="str">
        <f>IF($H39="","",INDEX('Detalle individual'!$B:$B,$H39))</f>
        <v/>
      </c>
      <c r="C39" s="5" t="str">
        <f>IF($H39="","",INDEX('Detalle individual'!$A:$A,$H39))</f>
        <v/>
      </c>
      <c r="D39" s="5" t="str">
        <f>IF($H39="","",INDEX('Detalle individual'!$E:$E,$H39))</f>
        <v/>
      </c>
      <c r="E39" s="5" t="str">
        <f>IF($H39="","",INDEX('Detalle individual'!$C:$C,$H39))</f>
        <v/>
      </c>
      <c r="F39" s="5" t="str">
        <f>IF($H39="","",INDEX('Detalle individual'!$D:$D,$H39))</f>
        <v/>
      </c>
      <c r="G39" s="5" t="str">
        <f>IF($H39="","",INDEX('Detalle individual'!$F:$F,$H39))</f>
        <v/>
      </c>
      <c r="H39" t="str">
        <f>IFERROR(MATCH(SMALL(Cálculos!$AJ$5:$AJ$1000,35),Cálculos!$AJ$5:$AJ$1000,0)+4,"")</f>
        <v/>
      </c>
    </row>
    <row r="40">
      <c r="B40" s="5" t="str">
        <f>IF($H40="","",INDEX('Detalle individual'!$B:$B,$H40))</f>
        <v/>
      </c>
      <c r="C40" s="5" t="str">
        <f>IF($H40="","",INDEX('Detalle individual'!$A:$A,$H40))</f>
        <v/>
      </c>
      <c r="D40" s="5" t="str">
        <f>IF($H40="","",INDEX('Detalle individual'!$E:$E,$H40))</f>
        <v/>
      </c>
      <c r="E40" s="5" t="str">
        <f>IF($H40="","",INDEX('Detalle individual'!$C:$C,$H40))</f>
        <v/>
      </c>
      <c r="F40" s="5" t="str">
        <f>IF($H40="","",INDEX('Detalle individual'!$D:$D,$H40))</f>
        <v/>
      </c>
      <c r="G40" s="5" t="str">
        <f>IF($H40="","",INDEX('Detalle individual'!$F:$F,$H40))</f>
        <v/>
      </c>
      <c r="H40" t="str">
        <f>IFERROR(MATCH(SMALL(Cálculos!$AJ$5:$AJ$1000,36),Cálculos!$AJ$5:$AJ$1000,0)+4,"")</f>
        <v/>
      </c>
    </row>
    <row r="41">
      <c r="B41" s="5" t="str">
        <f>IF($H41="","",INDEX('Detalle individual'!$B:$B,$H41))</f>
        <v/>
      </c>
      <c r="C41" s="5" t="str">
        <f>IF($H41="","",INDEX('Detalle individual'!$A:$A,$H41))</f>
        <v/>
      </c>
      <c r="D41" s="5" t="str">
        <f>IF($H41="","",INDEX('Detalle individual'!$E:$E,$H41))</f>
        <v/>
      </c>
      <c r="E41" s="5" t="str">
        <f>IF($H41="","",INDEX('Detalle individual'!$C:$C,$H41))</f>
        <v/>
      </c>
      <c r="F41" s="5" t="str">
        <f>IF($H41="","",INDEX('Detalle individual'!$D:$D,$H41))</f>
        <v/>
      </c>
      <c r="G41" s="5" t="str">
        <f>IF($H41="","",INDEX('Detalle individual'!$F:$F,$H41))</f>
        <v/>
      </c>
      <c r="H41" t="str">
        <f>IFERROR(MATCH(SMALL(Cálculos!$AJ$5:$AJ$1000,37),Cálculos!$AJ$5:$AJ$1000,0)+4,"")</f>
        <v/>
      </c>
    </row>
    <row r="42">
      <c r="B42" s="5" t="str">
        <f>IF($H42="","",INDEX('Detalle individual'!$B:$B,$H42))</f>
        <v/>
      </c>
      <c r="C42" s="5" t="str">
        <f>IF($H42="","",INDEX('Detalle individual'!$A:$A,$H42))</f>
        <v/>
      </c>
      <c r="D42" s="5" t="str">
        <f>IF($H42="","",INDEX('Detalle individual'!$E:$E,$H42))</f>
        <v/>
      </c>
      <c r="E42" s="5" t="str">
        <f>IF($H42="","",INDEX('Detalle individual'!$C:$C,$H42))</f>
        <v/>
      </c>
      <c r="F42" s="5" t="str">
        <f>IF($H42="","",INDEX('Detalle individual'!$D:$D,$H42))</f>
        <v/>
      </c>
      <c r="G42" s="5" t="str">
        <f>IF($H42="","",INDEX('Detalle individual'!$F:$F,$H42))</f>
        <v/>
      </c>
      <c r="H42" t="str">
        <f>IFERROR(MATCH(SMALL(Cálculos!$AJ$5:$AJ$1000,38),Cálculos!$AJ$5:$AJ$1000,0)+4,"")</f>
        <v/>
      </c>
    </row>
    <row r="43">
      <c r="B43" s="5" t="str">
        <f>IF($H43="","",INDEX('Detalle individual'!$B:$B,$H43))</f>
        <v/>
      </c>
      <c r="C43" s="5" t="str">
        <f>IF($H43="","",INDEX('Detalle individual'!$A:$A,$H43))</f>
        <v/>
      </c>
      <c r="D43" s="5" t="str">
        <f>IF($H43="","",INDEX('Detalle individual'!$E:$E,$H43))</f>
        <v/>
      </c>
      <c r="E43" s="5" t="str">
        <f>IF($H43="","",INDEX('Detalle individual'!$C:$C,$H43))</f>
        <v/>
      </c>
      <c r="F43" s="5" t="str">
        <f>IF($H43="","",INDEX('Detalle individual'!$D:$D,$H43))</f>
        <v/>
      </c>
      <c r="G43" s="5" t="str">
        <f>IF($H43="","",INDEX('Detalle individual'!$F:$F,$H43))</f>
        <v/>
      </c>
      <c r="H43" t="str">
        <f>IFERROR(MATCH(SMALL(Cálculos!$AJ$5:$AJ$1000,39),Cálculos!$AJ$5:$AJ$1000,0)+4,"")</f>
        <v/>
      </c>
    </row>
    <row r="44">
      <c r="B44" s="5" t="str">
        <f>IF($H44="","",INDEX('Detalle individual'!$B:$B,$H44))</f>
        <v/>
      </c>
      <c r="C44" s="5" t="str">
        <f>IF($H44="","",INDEX('Detalle individual'!$A:$A,$H44))</f>
        <v/>
      </c>
      <c r="D44" s="5" t="str">
        <f>IF($H44="","",INDEX('Detalle individual'!$E:$E,$H44))</f>
        <v/>
      </c>
      <c r="E44" s="5" t="str">
        <f>IF($H44="","",INDEX('Detalle individual'!$C:$C,$H44))</f>
        <v/>
      </c>
      <c r="F44" s="5" t="str">
        <f>IF($H44="","",INDEX('Detalle individual'!$D:$D,$H44))</f>
        <v/>
      </c>
      <c r="G44" s="5" t="str">
        <f>IF($H44="","",INDEX('Detalle individual'!$F:$F,$H44))</f>
        <v/>
      </c>
      <c r="H44" t="str">
        <f>IFERROR(MATCH(SMALL(Cálculos!$AJ$5:$AJ$1000,40),Cálculos!$AJ$5:$AJ$1000,0)+4,"")</f>
        <v/>
      </c>
    </row>
    <row r="45">
      <c r="B45" s="5" t="str">
        <f>IF($H45="","",INDEX('Detalle individual'!$B:$B,$H45))</f>
        <v/>
      </c>
      <c r="C45" s="5" t="str">
        <f>IF($H45="","",INDEX('Detalle individual'!$A:$A,$H45))</f>
        <v/>
      </c>
      <c r="D45" s="5" t="str">
        <f>IF($H45="","",INDEX('Detalle individual'!$E:$E,$H45))</f>
        <v/>
      </c>
      <c r="E45" s="5" t="str">
        <f>IF($H45="","",INDEX('Detalle individual'!$C:$C,$H45))</f>
        <v/>
      </c>
      <c r="F45" s="5" t="str">
        <f>IF($H45="","",INDEX('Detalle individual'!$D:$D,$H45))</f>
        <v/>
      </c>
      <c r="G45" s="5" t="str">
        <f>IF($H45="","",INDEX('Detalle individual'!$F:$F,$H45))</f>
        <v/>
      </c>
      <c r="H45" t="str">
        <f>IFERROR(MATCH(SMALL(Cálculos!$AJ$5:$AJ$1000,41),Cálculos!$AJ$5:$AJ$1000,0)+4,"")</f>
        <v/>
      </c>
    </row>
    <row r="46">
      <c r="B46" s="5" t="str">
        <f>IF($H46="","",INDEX('Detalle individual'!$B:$B,$H46))</f>
        <v/>
      </c>
      <c r="C46" s="5" t="str">
        <f>IF($H46="","",INDEX('Detalle individual'!$A:$A,$H46))</f>
        <v/>
      </c>
      <c r="D46" s="5" t="str">
        <f>IF($H46="","",INDEX('Detalle individual'!$E:$E,$H46))</f>
        <v/>
      </c>
      <c r="E46" s="5" t="str">
        <f>IF($H46="","",INDEX('Detalle individual'!$C:$C,$H46))</f>
        <v/>
      </c>
      <c r="F46" s="5" t="str">
        <f>IF($H46="","",INDEX('Detalle individual'!$D:$D,$H46))</f>
        <v/>
      </c>
      <c r="G46" s="5" t="str">
        <f>IF($H46="","",INDEX('Detalle individual'!$F:$F,$H46))</f>
        <v/>
      </c>
      <c r="H46" t="str">
        <f>IFERROR(MATCH(SMALL(Cálculos!$AJ$5:$AJ$1000,42),Cálculos!$AJ$5:$AJ$1000,0)+4,"")</f>
        <v/>
      </c>
    </row>
    <row r="47">
      <c r="B47" s="5" t="str">
        <f>IF($H47="","",INDEX('Detalle individual'!$B:$B,$H47))</f>
        <v/>
      </c>
      <c r="C47" s="5" t="str">
        <f>IF($H47="","",INDEX('Detalle individual'!$A:$A,$H47))</f>
        <v/>
      </c>
      <c r="D47" s="5" t="str">
        <f>IF($H47="","",INDEX('Detalle individual'!$E:$E,$H47))</f>
        <v/>
      </c>
      <c r="E47" s="5" t="str">
        <f>IF($H47="","",INDEX('Detalle individual'!$C:$C,$H47))</f>
        <v/>
      </c>
      <c r="F47" s="5" t="str">
        <f>IF($H47="","",INDEX('Detalle individual'!$D:$D,$H47))</f>
        <v/>
      </c>
      <c r="G47" s="5" t="str">
        <f>IF($H47="","",INDEX('Detalle individual'!$F:$F,$H47))</f>
        <v/>
      </c>
      <c r="H47" t="str">
        <f>IFERROR(MATCH(SMALL(Cálculos!$AJ$5:$AJ$1000,43),Cálculos!$AJ$5:$AJ$1000,0)+4,"")</f>
        <v/>
      </c>
    </row>
    <row r="48">
      <c r="B48" s="5" t="str">
        <f>IF($H48="","",INDEX('Detalle individual'!$B:$B,$H48))</f>
        <v/>
      </c>
      <c r="C48" s="5" t="str">
        <f>IF($H48="","",INDEX('Detalle individual'!$A:$A,$H48))</f>
        <v/>
      </c>
      <c r="D48" s="5" t="str">
        <f>IF($H48="","",INDEX('Detalle individual'!$E:$E,$H48))</f>
        <v/>
      </c>
      <c r="E48" s="5" t="str">
        <f>IF($H48="","",INDEX('Detalle individual'!$C:$C,$H48))</f>
        <v/>
      </c>
      <c r="F48" s="5" t="str">
        <f>IF($H48="","",INDEX('Detalle individual'!$D:$D,$H48))</f>
        <v/>
      </c>
      <c r="G48" s="5" t="str">
        <f>IF($H48="","",INDEX('Detalle individual'!$F:$F,$H48))</f>
        <v/>
      </c>
      <c r="H48" t="str">
        <f>IFERROR(MATCH(SMALL(Cálculos!$AJ$5:$AJ$1000,44),Cálculos!$AJ$5:$AJ$1000,0)+4,"")</f>
        <v/>
      </c>
    </row>
    <row r="49">
      <c r="B49" s="5" t="str">
        <f>IF($H49="","",INDEX('Detalle individual'!$B:$B,$H49))</f>
        <v/>
      </c>
      <c r="C49" s="5" t="str">
        <f>IF($H49="","",INDEX('Detalle individual'!$A:$A,$H49))</f>
        <v/>
      </c>
      <c r="D49" s="5" t="str">
        <f>IF($H49="","",INDEX('Detalle individual'!$E:$E,$H49))</f>
        <v/>
      </c>
      <c r="E49" s="5" t="str">
        <f>IF($H49="","",INDEX('Detalle individual'!$C:$C,$H49))</f>
        <v/>
      </c>
      <c r="F49" s="5" t="str">
        <f>IF($H49="","",INDEX('Detalle individual'!$D:$D,$H49))</f>
        <v/>
      </c>
      <c r="G49" s="5" t="str">
        <f>IF($H49="","",INDEX('Detalle individual'!$F:$F,$H49))</f>
        <v/>
      </c>
      <c r="H49" t="str">
        <f>IFERROR(MATCH(SMALL(Cálculos!$AJ$5:$AJ$1000,45),Cálculos!$AJ$5:$AJ$1000,0)+4,"")</f>
        <v/>
      </c>
    </row>
    <row r="50">
      <c r="B50" s="5" t="str">
        <f>IF($H50="","",INDEX('Detalle individual'!$B:$B,$H50))</f>
        <v/>
      </c>
      <c r="C50" s="5" t="str">
        <f>IF($H50="","",INDEX('Detalle individual'!$A:$A,$H50))</f>
        <v/>
      </c>
      <c r="D50" s="5" t="str">
        <f>IF($H50="","",INDEX('Detalle individual'!$E:$E,$H50))</f>
        <v/>
      </c>
      <c r="E50" s="5" t="str">
        <f>IF($H50="","",INDEX('Detalle individual'!$C:$C,$H50))</f>
        <v/>
      </c>
      <c r="F50" s="5" t="str">
        <f>IF($H50="","",INDEX('Detalle individual'!$D:$D,$H50))</f>
        <v/>
      </c>
      <c r="G50" s="5" t="str">
        <f>IF($H50="","",INDEX('Detalle individual'!$F:$F,$H50))</f>
        <v/>
      </c>
      <c r="H50" t="str">
        <f>IFERROR(MATCH(SMALL(Cálculos!$AJ$5:$AJ$1000,46),Cálculos!$AJ$5:$AJ$1000,0)+4,"")</f>
        <v/>
      </c>
    </row>
    <row r="51">
      <c r="B51" s="5" t="str">
        <f>IF($H51="","",INDEX('Detalle individual'!$B:$B,$H51))</f>
        <v/>
      </c>
      <c r="C51" s="5" t="str">
        <f>IF($H51="","",INDEX('Detalle individual'!$A:$A,$H51))</f>
        <v/>
      </c>
      <c r="D51" s="5" t="str">
        <f>IF($H51="","",INDEX('Detalle individual'!$E:$E,$H51))</f>
        <v/>
      </c>
      <c r="E51" s="5" t="str">
        <f>IF($H51="","",INDEX('Detalle individual'!$C:$C,$H51))</f>
        <v/>
      </c>
      <c r="F51" s="5" t="str">
        <f>IF($H51="","",INDEX('Detalle individual'!$D:$D,$H51))</f>
        <v/>
      </c>
      <c r="G51" s="5" t="str">
        <f>IF($H51="","",INDEX('Detalle individual'!$F:$F,$H51))</f>
        <v/>
      </c>
      <c r="H51" t="str">
        <f>IFERROR(MATCH(SMALL(Cálculos!$AJ$5:$AJ$1000,47),Cálculos!$AJ$5:$AJ$1000,0)+4,"")</f>
        <v/>
      </c>
    </row>
    <row r="52">
      <c r="B52" s="5" t="str">
        <f>IF($H52="","",INDEX('Detalle individual'!$B:$B,$H52))</f>
        <v/>
      </c>
      <c r="C52" s="5" t="str">
        <f>IF($H52="","",INDEX('Detalle individual'!$A:$A,$H52))</f>
        <v/>
      </c>
      <c r="D52" s="5" t="str">
        <f>IF($H52="","",INDEX('Detalle individual'!$E:$E,$H52))</f>
        <v/>
      </c>
      <c r="E52" s="5" t="str">
        <f>IF($H52="","",INDEX('Detalle individual'!$C:$C,$H52))</f>
        <v/>
      </c>
      <c r="F52" s="5" t="str">
        <f>IF($H52="","",INDEX('Detalle individual'!$D:$D,$H52))</f>
        <v/>
      </c>
      <c r="G52" s="5" t="str">
        <f>IF($H52="","",INDEX('Detalle individual'!$F:$F,$H52))</f>
        <v/>
      </c>
      <c r="H52" t="str">
        <f>IFERROR(MATCH(SMALL(Cálculos!$AJ$5:$AJ$1000,48),Cálculos!$AJ$5:$AJ$1000,0)+4,"")</f>
        <v/>
      </c>
    </row>
    <row r="53">
      <c r="B53" s="5" t="str">
        <f>IF($H53="","",INDEX('Detalle individual'!$B:$B,$H53))</f>
        <v/>
      </c>
      <c r="C53" s="5" t="str">
        <f>IF($H53="","",INDEX('Detalle individual'!$A:$A,$H53))</f>
        <v/>
      </c>
      <c r="D53" s="5" t="str">
        <f>IF($H53="","",INDEX('Detalle individual'!$E:$E,$H53))</f>
        <v/>
      </c>
      <c r="E53" s="5" t="str">
        <f>IF($H53="","",INDEX('Detalle individual'!$C:$C,$H53))</f>
        <v/>
      </c>
      <c r="F53" s="5" t="str">
        <f>IF($H53="","",INDEX('Detalle individual'!$D:$D,$H53))</f>
        <v/>
      </c>
      <c r="G53" s="5" t="str">
        <f>IF($H53="","",INDEX('Detalle individual'!$F:$F,$H53))</f>
        <v/>
      </c>
      <c r="H53" t="str">
        <f>IFERROR(MATCH(SMALL(Cálculos!$AJ$5:$AJ$1000,49),Cálculos!$AJ$5:$AJ$1000,0)+4,"")</f>
        <v/>
      </c>
    </row>
    <row r="54">
      <c r="B54" s="5" t="str">
        <f>IF($H54="","",INDEX('Detalle individual'!$B:$B,$H54))</f>
        <v/>
      </c>
      <c r="C54" s="5" t="str">
        <f>IF($H54="","",INDEX('Detalle individual'!$A:$A,$H54))</f>
        <v/>
      </c>
      <c r="D54" s="5" t="str">
        <f>IF($H54="","",INDEX('Detalle individual'!$E:$E,$H54))</f>
        <v/>
      </c>
      <c r="E54" s="5" t="str">
        <f>IF($H54="","",INDEX('Detalle individual'!$C:$C,$H54))</f>
        <v/>
      </c>
      <c r="F54" s="5" t="str">
        <f>IF($H54="","",INDEX('Detalle individual'!$D:$D,$H54))</f>
        <v/>
      </c>
      <c r="G54" s="5" t="str">
        <f>IF($H54="","",INDEX('Detalle individual'!$F:$F,$H54))</f>
        <v/>
      </c>
      <c r="H54" t="str">
        <f>IFERROR(MATCH(SMALL(Cálculos!$AJ$5:$AJ$1000,50),Cálculos!$AJ$5:$AJ$1000,0)+4,"")</f>
        <v/>
      </c>
    </row>
    <row r="55">
      <c r="B55" s="5" t="str">
        <f>IF($H55="","",INDEX('Detalle individual'!$B:$B,$H55))</f>
        <v/>
      </c>
      <c r="C55" s="5" t="str">
        <f>IF($H55="","",INDEX('Detalle individual'!$A:$A,$H55))</f>
        <v/>
      </c>
      <c r="D55" s="5" t="str">
        <f>IF($H55="","",INDEX('Detalle individual'!$E:$E,$H55))</f>
        <v/>
      </c>
      <c r="E55" s="5" t="str">
        <f>IF($H55="","",INDEX('Detalle individual'!$C:$C,$H55))</f>
        <v/>
      </c>
      <c r="F55" s="5" t="str">
        <f>IF($H55="","",INDEX('Detalle individual'!$D:$D,$H55))</f>
        <v/>
      </c>
      <c r="G55" s="5" t="str">
        <f>IF($H55="","",INDEX('Detalle individual'!$F:$F,$H55))</f>
        <v/>
      </c>
      <c r="H55" t="str">
        <f>IFERROR(MATCH(SMALL(Cálculos!$AJ$5:$AJ$1000,51),Cálculos!$AJ$5:$AJ$1000,0)+4,"")</f>
        <v/>
      </c>
    </row>
    <row r="56">
      <c r="B56" s="5" t="str">
        <f>IF($H56="","",INDEX('Detalle individual'!$B:$B,$H56))</f>
        <v/>
      </c>
      <c r="C56" s="5" t="str">
        <f>IF($H56="","",INDEX('Detalle individual'!$A:$A,$H56))</f>
        <v/>
      </c>
      <c r="D56" s="5" t="str">
        <f>IF($H56="","",INDEX('Detalle individual'!$E:$E,$H56))</f>
        <v/>
      </c>
      <c r="E56" s="5" t="str">
        <f>IF($H56="","",INDEX('Detalle individual'!$C:$C,$H56))</f>
        <v/>
      </c>
      <c r="F56" s="5" t="str">
        <f>IF($H56="","",INDEX('Detalle individual'!$D:$D,$H56))</f>
        <v/>
      </c>
      <c r="G56" s="5" t="str">
        <f>IF($H56="","",INDEX('Detalle individual'!$F:$F,$H56))</f>
        <v/>
      </c>
      <c r="H56" t="str">
        <f>IFERROR(MATCH(SMALL(Cálculos!$AJ$5:$AJ$1000,52),Cálculos!$AJ$5:$AJ$1000,0)+4,"")</f>
        <v/>
      </c>
    </row>
    <row r="57">
      <c r="B57" s="5" t="str">
        <f>IF($H57="","",INDEX('Detalle individual'!$B:$B,$H57))</f>
        <v/>
      </c>
      <c r="C57" s="5" t="str">
        <f>IF($H57="","",INDEX('Detalle individual'!$A:$A,$H57))</f>
        <v/>
      </c>
      <c r="D57" s="5" t="str">
        <f>IF($H57="","",INDEX('Detalle individual'!$E:$E,$H57))</f>
        <v/>
      </c>
      <c r="E57" s="5" t="str">
        <f>IF($H57="","",INDEX('Detalle individual'!$C:$C,$H57))</f>
        <v/>
      </c>
      <c r="F57" s="5" t="str">
        <f>IF($H57="","",INDEX('Detalle individual'!$D:$D,$H57))</f>
        <v/>
      </c>
      <c r="G57" s="5" t="str">
        <f>IF($H57="","",INDEX('Detalle individual'!$F:$F,$H57))</f>
        <v/>
      </c>
      <c r="H57" t="str">
        <f>IFERROR(MATCH(SMALL(Cálculos!$AJ$5:$AJ$1000,53),Cálculos!$AJ$5:$AJ$1000,0)+4,"")</f>
        <v/>
      </c>
    </row>
    <row r="58">
      <c r="B58" s="5" t="str">
        <f>IF($H58="","",INDEX('Detalle individual'!$B:$B,$H58))</f>
        <v/>
      </c>
      <c r="C58" s="5" t="str">
        <f>IF($H58="","",INDEX('Detalle individual'!$A:$A,$H58))</f>
        <v/>
      </c>
      <c r="D58" s="5" t="str">
        <f>IF($H58="","",INDEX('Detalle individual'!$E:$E,$H58))</f>
        <v/>
      </c>
      <c r="E58" s="5" t="str">
        <f>IF($H58="","",INDEX('Detalle individual'!$C:$C,$H58))</f>
        <v/>
      </c>
      <c r="F58" s="5" t="str">
        <f>IF($H58="","",INDEX('Detalle individual'!$D:$D,$H58))</f>
        <v/>
      </c>
      <c r="G58" s="5" t="str">
        <f>IF($H58="","",INDEX('Detalle individual'!$F:$F,$H58))</f>
        <v/>
      </c>
      <c r="H58" t="str">
        <f>IFERROR(MATCH(SMALL(Cálculos!$AJ$5:$AJ$1000,54),Cálculos!$AJ$5:$AJ$1000,0)+4,"")</f>
        <v/>
      </c>
    </row>
    <row r="59">
      <c r="B59" s="5" t="str">
        <f>IF($H59="","",INDEX('Detalle individual'!$B:$B,$H59))</f>
        <v/>
      </c>
      <c r="C59" s="5" t="str">
        <f>IF($H59="","",INDEX('Detalle individual'!$A:$A,$H59))</f>
        <v/>
      </c>
      <c r="D59" s="5" t="str">
        <f>IF($H59="","",INDEX('Detalle individual'!$E:$E,$H59))</f>
        <v/>
      </c>
      <c r="E59" s="5" t="str">
        <f>IF($H59="","",INDEX('Detalle individual'!$C:$C,$H59))</f>
        <v/>
      </c>
      <c r="F59" s="5" t="str">
        <f>IF($H59="","",INDEX('Detalle individual'!$D:$D,$H59))</f>
        <v/>
      </c>
      <c r="G59" s="5" t="str">
        <f>IF($H59="","",INDEX('Detalle individual'!$F:$F,$H59))</f>
        <v/>
      </c>
      <c r="H59" t="str">
        <f>IFERROR(MATCH(SMALL(Cálculos!$AJ$5:$AJ$1000,55),Cálculos!$AJ$5:$AJ$1000,0)+4,"")</f>
        <v/>
      </c>
    </row>
    <row r="60">
      <c r="B60" s="5" t="str">
        <f>IF($H60="","",INDEX('Detalle individual'!$B:$B,$H60))</f>
        <v/>
      </c>
      <c r="C60" s="5" t="str">
        <f>IF($H60="","",INDEX('Detalle individual'!$A:$A,$H60))</f>
        <v/>
      </c>
      <c r="D60" s="5" t="str">
        <f>IF($H60="","",INDEX('Detalle individual'!$E:$E,$H60))</f>
        <v/>
      </c>
      <c r="E60" s="5" t="str">
        <f>IF($H60="","",INDEX('Detalle individual'!$C:$C,$H60))</f>
        <v/>
      </c>
      <c r="F60" s="5" t="str">
        <f>IF($H60="","",INDEX('Detalle individual'!$D:$D,$H60))</f>
        <v/>
      </c>
      <c r="G60" s="5" t="str">
        <f>IF($H60="","",INDEX('Detalle individual'!$F:$F,$H60))</f>
        <v/>
      </c>
      <c r="H60" t="str">
        <f>IFERROR(MATCH(SMALL(Cálculos!$AJ$5:$AJ$1000,56),Cálculos!$AJ$5:$AJ$1000,0)+4,"")</f>
        <v/>
      </c>
    </row>
    <row r="61">
      <c r="B61" s="5" t="str">
        <f>IF($H61="","",INDEX('Detalle individual'!$B:$B,$H61))</f>
        <v/>
      </c>
      <c r="C61" s="5" t="str">
        <f>IF($H61="","",INDEX('Detalle individual'!$A:$A,$H61))</f>
        <v/>
      </c>
      <c r="D61" s="5" t="str">
        <f>IF($H61="","",INDEX('Detalle individual'!$E:$E,$H61))</f>
        <v/>
      </c>
      <c r="E61" s="5" t="str">
        <f>IF($H61="","",INDEX('Detalle individual'!$C:$C,$H61))</f>
        <v/>
      </c>
      <c r="F61" s="5" t="str">
        <f>IF($H61="","",INDEX('Detalle individual'!$D:$D,$H61))</f>
        <v/>
      </c>
      <c r="G61" s="5" t="str">
        <f>IF($H61="","",INDEX('Detalle individual'!$F:$F,$H61))</f>
        <v/>
      </c>
      <c r="H61" t="str">
        <f>IFERROR(MATCH(SMALL(Cálculos!$AJ$5:$AJ$1000,57),Cálculos!$AJ$5:$AJ$1000,0)+4,"")</f>
        <v/>
      </c>
    </row>
    <row r="62">
      <c r="B62" s="5" t="str">
        <f>IF($H62="","",INDEX('Detalle individual'!$B:$B,$H62))</f>
        <v/>
      </c>
      <c r="C62" s="5" t="str">
        <f>IF($H62="","",INDEX('Detalle individual'!$A:$A,$H62))</f>
        <v/>
      </c>
      <c r="D62" s="5" t="str">
        <f>IF($H62="","",INDEX('Detalle individual'!$E:$E,$H62))</f>
        <v/>
      </c>
      <c r="E62" s="5" t="str">
        <f>IF($H62="","",INDEX('Detalle individual'!$C:$C,$H62))</f>
        <v/>
      </c>
      <c r="F62" s="5" t="str">
        <f>IF($H62="","",INDEX('Detalle individual'!$D:$D,$H62))</f>
        <v/>
      </c>
      <c r="G62" s="5" t="str">
        <f>IF($H62="","",INDEX('Detalle individual'!$F:$F,$H62))</f>
        <v/>
      </c>
      <c r="H62" t="str">
        <f>IFERROR(MATCH(SMALL(Cálculos!$AJ$5:$AJ$1000,58),Cálculos!$AJ$5:$AJ$1000,0)+4,"")</f>
        <v/>
      </c>
    </row>
    <row r="63">
      <c r="B63" s="5" t="str">
        <f>IF($H63="","",INDEX('Detalle individual'!$B:$B,$H63))</f>
        <v/>
      </c>
      <c r="C63" s="5" t="str">
        <f>IF($H63="","",INDEX('Detalle individual'!$A:$A,$H63))</f>
        <v/>
      </c>
      <c r="D63" s="5" t="str">
        <f>IF($H63="","",INDEX('Detalle individual'!$E:$E,$H63))</f>
        <v/>
      </c>
      <c r="E63" s="5" t="str">
        <f>IF($H63="","",INDEX('Detalle individual'!$C:$C,$H63))</f>
        <v/>
      </c>
      <c r="F63" s="5" t="str">
        <f>IF($H63="","",INDEX('Detalle individual'!$D:$D,$H63))</f>
        <v/>
      </c>
      <c r="G63" s="5" t="str">
        <f>IF($H63="","",INDEX('Detalle individual'!$F:$F,$H63))</f>
        <v/>
      </c>
      <c r="H63" t="str">
        <f>IFERROR(MATCH(SMALL(Cálculos!$AJ$5:$AJ$1000,59),Cálculos!$AJ$5:$AJ$1000,0)+4,"")</f>
        <v/>
      </c>
    </row>
    <row r="64">
      <c r="B64" s="5" t="str">
        <f>IF($H64="","",INDEX('Detalle individual'!$B:$B,$H64))</f>
        <v/>
      </c>
      <c r="C64" s="5" t="str">
        <f>IF($H64="","",INDEX('Detalle individual'!$A:$A,$H64))</f>
        <v/>
      </c>
      <c r="D64" s="5" t="str">
        <f>IF($H64="","",INDEX('Detalle individual'!$E:$E,$H64))</f>
        <v/>
      </c>
      <c r="E64" s="5" t="str">
        <f>IF($H64="","",INDEX('Detalle individual'!$C:$C,$H64))</f>
        <v/>
      </c>
      <c r="F64" s="5" t="str">
        <f>IF($H64="","",INDEX('Detalle individual'!$D:$D,$H64))</f>
        <v/>
      </c>
      <c r="G64" s="5" t="str">
        <f>IF($H64="","",INDEX('Detalle individual'!$F:$F,$H64))</f>
        <v/>
      </c>
      <c r="H64" t="str">
        <f>IFERROR(MATCH(SMALL(Cálculos!$AJ$5:$AJ$1000,60),Cálculos!$AJ$5:$AJ$1000,0)+4,"")</f>
        <v/>
      </c>
    </row>
    <row r="65">
      <c r="B65" s="5" t="str">
        <f>IF($H65="","",INDEX('Detalle individual'!$B:$B,$H65))</f>
        <v/>
      </c>
      <c r="C65" s="5" t="str">
        <f>IF($H65="","",INDEX('Detalle individual'!$A:$A,$H65))</f>
        <v/>
      </c>
      <c r="D65" s="5" t="str">
        <f>IF($H65="","",INDEX('Detalle individual'!$E:$E,$H65))</f>
        <v/>
      </c>
      <c r="E65" s="5" t="str">
        <f>IF($H65="","",INDEX('Detalle individual'!$C:$C,$H65))</f>
        <v/>
      </c>
      <c r="F65" s="5" t="str">
        <f>IF($H65="","",INDEX('Detalle individual'!$D:$D,$H65))</f>
        <v/>
      </c>
      <c r="G65" s="5" t="str">
        <f>IF($H65="","",INDEX('Detalle individual'!$F:$F,$H65))</f>
        <v/>
      </c>
      <c r="H65" t="str">
        <f>IFERROR(MATCH(SMALL(Cálculos!$AJ$5:$AJ$1000,61),Cálculos!$AJ$5:$AJ$1000,0)+4,"")</f>
        <v/>
      </c>
    </row>
    <row r="66">
      <c r="B66" s="5" t="str">
        <f>IF($H66="","",INDEX('Detalle individual'!$B:$B,$H66))</f>
        <v/>
      </c>
      <c r="C66" s="5" t="str">
        <f>IF($H66="","",INDEX('Detalle individual'!$A:$A,$H66))</f>
        <v/>
      </c>
      <c r="D66" s="5" t="str">
        <f>IF($H66="","",INDEX('Detalle individual'!$E:$E,$H66))</f>
        <v/>
      </c>
      <c r="E66" s="5" t="str">
        <f>IF($H66="","",INDEX('Detalle individual'!$C:$C,$H66))</f>
        <v/>
      </c>
      <c r="F66" s="5" t="str">
        <f>IF($H66="","",INDEX('Detalle individual'!$D:$D,$H66))</f>
        <v/>
      </c>
      <c r="G66" s="5" t="str">
        <f>IF($H66="","",INDEX('Detalle individual'!$F:$F,$H66))</f>
        <v/>
      </c>
      <c r="H66" t="str">
        <f>IFERROR(MATCH(SMALL(Cálculos!$AJ$5:$AJ$1000,62),Cálculos!$AJ$5:$AJ$1000,0)+4,"")</f>
        <v/>
      </c>
    </row>
    <row r="67">
      <c r="B67" s="5" t="str">
        <f>IF($H67="","",INDEX('Detalle individual'!$B:$B,$H67))</f>
        <v/>
      </c>
      <c r="C67" s="5" t="str">
        <f>IF($H67="","",INDEX('Detalle individual'!$A:$A,$H67))</f>
        <v/>
      </c>
      <c r="D67" s="5" t="str">
        <f>IF($H67="","",INDEX('Detalle individual'!$E:$E,$H67))</f>
        <v/>
      </c>
      <c r="E67" s="5" t="str">
        <f>IF($H67="","",INDEX('Detalle individual'!$C:$C,$H67))</f>
        <v/>
      </c>
      <c r="F67" s="5" t="str">
        <f>IF($H67="","",INDEX('Detalle individual'!$D:$D,$H67))</f>
        <v/>
      </c>
      <c r="G67" s="5" t="str">
        <f>IF($H67="","",INDEX('Detalle individual'!$F:$F,$H67))</f>
        <v/>
      </c>
      <c r="H67" t="str">
        <f>IFERROR(MATCH(SMALL(Cálculos!$AJ$5:$AJ$1000,63),Cálculos!$AJ$5:$AJ$1000,0)+4,"")</f>
        <v/>
      </c>
    </row>
    <row r="68">
      <c r="B68" s="5" t="str">
        <f>IF($H68="","",INDEX('Detalle individual'!$B:$B,$H68))</f>
        <v/>
      </c>
      <c r="C68" s="5" t="str">
        <f>IF($H68="","",INDEX('Detalle individual'!$A:$A,$H68))</f>
        <v/>
      </c>
      <c r="D68" s="5" t="str">
        <f>IF($H68="","",INDEX('Detalle individual'!$E:$E,$H68))</f>
        <v/>
      </c>
      <c r="E68" s="5" t="str">
        <f>IF($H68="","",INDEX('Detalle individual'!$C:$C,$H68))</f>
        <v/>
      </c>
      <c r="F68" s="5" t="str">
        <f>IF($H68="","",INDEX('Detalle individual'!$D:$D,$H68))</f>
        <v/>
      </c>
      <c r="G68" s="5" t="str">
        <f>IF($H68="","",INDEX('Detalle individual'!$F:$F,$H68))</f>
        <v/>
      </c>
      <c r="H68" t="str">
        <f>IFERROR(MATCH(SMALL(Cálculos!$AJ$5:$AJ$1000,64),Cálculos!$AJ$5:$AJ$1000,0)+4,"")</f>
        <v/>
      </c>
    </row>
    <row r="69">
      <c r="B69" s="5" t="str">
        <f>IF($H69="","",INDEX('Detalle individual'!$B:$B,$H69))</f>
        <v/>
      </c>
      <c r="C69" s="5" t="str">
        <f>IF($H69="","",INDEX('Detalle individual'!$A:$A,$H69))</f>
        <v/>
      </c>
      <c r="D69" s="5" t="str">
        <f>IF($H69="","",INDEX('Detalle individual'!$E:$E,$H69))</f>
        <v/>
      </c>
      <c r="E69" s="5" t="str">
        <f>IF($H69="","",INDEX('Detalle individual'!$C:$C,$H69))</f>
        <v/>
      </c>
      <c r="F69" s="5" t="str">
        <f>IF($H69="","",INDEX('Detalle individual'!$D:$D,$H69))</f>
        <v/>
      </c>
      <c r="G69" s="5" t="str">
        <f>IF($H69="","",INDEX('Detalle individual'!$F:$F,$H69))</f>
        <v/>
      </c>
      <c r="H69" t="str">
        <f>IFERROR(MATCH(SMALL(Cálculos!$AJ$5:$AJ$1000,65),Cálculos!$AJ$5:$AJ$1000,0)+4,"")</f>
        <v/>
      </c>
    </row>
    <row r="70">
      <c r="B70" s="5" t="str">
        <f>IF($H70="","",INDEX('Detalle individual'!$B:$B,$H70))</f>
        <v/>
      </c>
      <c r="C70" s="5" t="str">
        <f>IF($H70="","",INDEX('Detalle individual'!$A:$A,$H70))</f>
        <v/>
      </c>
      <c r="D70" s="5" t="str">
        <f>IF($H70="","",INDEX('Detalle individual'!$E:$E,$H70))</f>
        <v/>
      </c>
      <c r="E70" s="5" t="str">
        <f>IF($H70="","",INDEX('Detalle individual'!$C:$C,$H70))</f>
        <v/>
      </c>
      <c r="F70" s="5" t="str">
        <f>IF($H70="","",INDEX('Detalle individual'!$D:$D,$H70))</f>
        <v/>
      </c>
      <c r="G70" s="5" t="str">
        <f>IF($H70="","",INDEX('Detalle individual'!$F:$F,$H70))</f>
        <v/>
      </c>
      <c r="H70" t="str">
        <f>IFERROR(MATCH(SMALL(Cálculos!$AJ$5:$AJ$1000,66),Cálculos!$AJ$5:$AJ$1000,0)+4,"")</f>
        <v/>
      </c>
    </row>
    <row r="71">
      <c r="B71" s="5" t="str">
        <f>IF($H71="","",INDEX('Detalle individual'!$B:$B,$H71))</f>
        <v/>
      </c>
      <c r="C71" s="5" t="str">
        <f>IF($H71="","",INDEX('Detalle individual'!$A:$A,$H71))</f>
        <v/>
      </c>
      <c r="D71" s="5" t="str">
        <f>IF($H71="","",INDEX('Detalle individual'!$E:$E,$H71))</f>
        <v/>
      </c>
      <c r="E71" s="5" t="str">
        <f>IF($H71="","",INDEX('Detalle individual'!$C:$C,$H71))</f>
        <v/>
      </c>
      <c r="F71" s="5" t="str">
        <f>IF($H71="","",INDEX('Detalle individual'!$D:$D,$H71))</f>
        <v/>
      </c>
      <c r="G71" s="5" t="str">
        <f>IF($H71="","",INDEX('Detalle individual'!$F:$F,$H71))</f>
        <v/>
      </c>
      <c r="H71" t="str">
        <f>IFERROR(MATCH(SMALL(Cálculos!$AJ$5:$AJ$1000,67),Cálculos!$AJ$5:$AJ$1000,0)+4,"")</f>
        <v/>
      </c>
    </row>
    <row r="72">
      <c r="B72" s="5" t="str">
        <f>IF($H72="","",INDEX('Detalle individual'!$B:$B,$H72))</f>
        <v/>
      </c>
      <c r="C72" s="5" t="str">
        <f>IF($H72="","",INDEX('Detalle individual'!$A:$A,$H72))</f>
        <v/>
      </c>
      <c r="D72" s="5" t="str">
        <f>IF($H72="","",INDEX('Detalle individual'!$E:$E,$H72))</f>
        <v/>
      </c>
      <c r="E72" s="5" t="str">
        <f>IF($H72="","",INDEX('Detalle individual'!$C:$C,$H72))</f>
        <v/>
      </c>
      <c r="F72" s="5" t="str">
        <f>IF($H72="","",INDEX('Detalle individual'!$D:$D,$H72))</f>
        <v/>
      </c>
      <c r="G72" s="5" t="str">
        <f>IF($H72="","",INDEX('Detalle individual'!$F:$F,$H72))</f>
        <v/>
      </c>
      <c r="H72" t="str">
        <f>IFERROR(MATCH(SMALL(Cálculos!$AJ$5:$AJ$1000,68),Cálculos!$AJ$5:$AJ$1000,0)+4,"")</f>
        <v/>
      </c>
    </row>
    <row r="73">
      <c r="B73" s="5" t="str">
        <f>IF($H73="","",INDEX('Detalle individual'!$B:$B,$H73))</f>
        <v/>
      </c>
      <c r="C73" s="5" t="str">
        <f>IF($H73="","",INDEX('Detalle individual'!$A:$A,$H73))</f>
        <v/>
      </c>
      <c r="D73" s="5" t="str">
        <f>IF($H73="","",INDEX('Detalle individual'!$E:$E,$H73))</f>
        <v/>
      </c>
      <c r="E73" s="5" t="str">
        <f>IF($H73="","",INDEX('Detalle individual'!$C:$C,$H73))</f>
        <v/>
      </c>
      <c r="F73" s="5" t="str">
        <f>IF($H73="","",INDEX('Detalle individual'!$D:$D,$H73))</f>
        <v/>
      </c>
      <c r="G73" s="5" t="str">
        <f>IF($H73="","",INDEX('Detalle individual'!$F:$F,$H73))</f>
        <v/>
      </c>
      <c r="H73" t="str">
        <f>IFERROR(MATCH(SMALL(Cálculos!$AJ$5:$AJ$1000,69),Cálculos!$AJ$5:$AJ$1000,0)+4,"")</f>
        <v/>
      </c>
    </row>
    <row r="74">
      <c r="B74" s="5" t="str">
        <f>IF($H74="","",INDEX('Detalle individual'!$B:$B,$H74))</f>
        <v/>
      </c>
      <c r="C74" s="5" t="str">
        <f>IF($H74="","",INDEX('Detalle individual'!$A:$A,$H74))</f>
        <v/>
      </c>
      <c r="D74" s="5" t="str">
        <f>IF($H74="","",INDEX('Detalle individual'!$E:$E,$H74))</f>
        <v/>
      </c>
      <c r="E74" s="5" t="str">
        <f>IF($H74="","",INDEX('Detalle individual'!$C:$C,$H74))</f>
        <v/>
      </c>
      <c r="F74" s="5" t="str">
        <f>IF($H74="","",INDEX('Detalle individual'!$D:$D,$H74))</f>
        <v/>
      </c>
      <c r="G74" s="5" t="str">
        <f>IF($H74="","",INDEX('Detalle individual'!$F:$F,$H74))</f>
        <v/>
      </c>
      <c r="H74" t="str">
        <f>IFERROR(MATCH(SMALL(Cálculos!$AJ$5:$AJ$1000,70),Cálculos!$AJ$5:$AJ$1000,0)+4,"")</f>
        <v/>
      </c>
    </row>
    <row r="75">
      <c r="B75" s="5" t="str">
        <f>IF($H75="","",INDEX('Detalle individual'!$B:$B,$H75))</f>
        <v/>
      </c>
      <c r="C75" s="5" t="str">
        <f>IF($H75="","",INDEX('Detalle individual'!$A:$A,$H75))</f>
        <v/>
      </c>
      <c r="D75" s="5" t="str">
        <f>IF($H75="","",INDEX('Detalle individual'!$E:$E,$H75))</f>
        <v/>
      </c>
      <c r="E75" s="5" t="str">
        <f>IF($H75="","",INDEX('Detalle individual'!$C:$C,$H75))</f>
        <v/>
      </c>
      <c r="F75" s="5" t="str">
        <f>IF($H75="","",INDEX('Detalle individual'!$D:$D,$H75))</f>
        <v/>
      </c>
      <c r="G75" s="5" t="str">
        <f>IF($H75="","",INDEX('Detalle individual'!$F:$F,$H75))</f>
        <v/>
      </c>
      <c r="H75" t="str">
        <f>IFERROR(MATCH(SMALL(Cálculos!$AJ$5:$AJ$1000,71),Cálculos!$AJ$5:$AJ$1000,0)+4,"")</f>
        <v/>
      </c>
    </row>
    <row r="76">
      <c r="B76" s="5" t="str">
        <f>IF($H76="","",INDEX('Detalle individual'!$B:$B,$H76))</f>
        <v/>
      </c>
      <c r="C76" s="5" t="str">
        <f>IF($H76="","",INDEX('Detalle individual'!$A:$A,$H76))</f>
        <v/>
      </c>
      <c r="D76" s="5" t="str">
        <f>IF($H76="","",INDEX('Detalle individual'!$E:$E,$H76))</f>
        <v/>
      </c>
      <c r="E76" s="5" t="str">
        <f>IF($H76="","",INDEX('Detalle individual'!$C:$C,$H76))</f>
        <v/>
      </c>
      <c r="F76" s="5" t="str">
        <f>IF($H76="","",INDEX('Detalle individual'!$D:$D,$H76))</f>
        <v/>
      </c>
      <c r="G76" s="5" t="str">
        <f>IF($H76="","",INDEX('Detalle individual'!$F:$F,$H76))</f>
        <v/>
      </c>
      <c r="H76" t="str">
        <f>IFERROR(MATCH(SMALL(Cálculos!$AJ$5:$AJ$1000,72),Cálculos!$AJ$5:$AJ$1000,0)+4,"")</f>
        <v/>
      </c>
    </row>
    <row r="77">
      <c r="B77" s="5" t="str">
        <f>IF($H77="","",INDEX('Detalle individual'!$B:$B,$H77))</f>
        <v/>
      </c>
      <c r="C77" s="5" t="str">
        <f>IF($H77="","",INDEX('Detalle individual'!$A:$A,$H77))</f>
        <v/>
      </c>
      <c r="D77" s="5" t="str">
        <f>IF($H77="","",INDEX('Detalle individual'!$E:$E,$H77))</f>
        <v/>
      </c>
      <c r="E77" s="5" t="str">
        <f>IF($H77="","",INDEX('Detalle individual'!$C:$C,$H77))</f>
        <v/>
      </c>
      <c r="F77" s="5" t="str">
        <f>IF($H77="","",INDEX('Detalle individual'!$D:$D,$H77))</f>
        <v/>
      </c>
      <c r="G77" s="5" t="str">
        <f>IF($H77="","",INDEX('Detalle individual'!$F:$F,$H77))</f>
        <v/>
      </c>
      <c r="H77" t="str">
        <f>IFERROR(MATCH(SMALL(Cálculos!$AJ$5:$AJ$1000,73),Cálculos!$AJ$5:$AJ$1000,0)+4,"")</f>
        <v/>
      </c>
    </row>
    <row r="78">
      <c r="B78" s="5" t="str">
        <f>IF($H78="","",INDEX('Detalle individual'!$B:$B,$H78))</f>
        <v/>
      </c>
      <c r="C78" s="5" t="str">
        <f>IF($H78="","",INDEX('Detalle individual'!$A:$A,$H78))</f>
        <v/>
      </c>
      <c r="D78" s="5" t="str">
        <f>IF($H78="","",INDEX('Detalle individual'!$E:$E,$H78))</f>
        <v/>
      </c>
      <c r="E78" s="5" t="str">
        <f>IF($H78="","",INDEX('Detalle individual'!$C:$C,$H78))</f>
        <v/>
      </c>
      <c r="F78" s="5" t="str">
        <f>IF($H78="","",INDEX('Detalle individual'!$D:$D,$H78))</f>
        <v/>
      </c>
      <c r="G78" s="5" t="str">
        <f>IF($H78="","",INDEX('Detalle individual'!$F:$F,$H78))</f>
        <v/>
      </c>
      <c r="H78" t="str">
        <f>IFERROR(MATCH(SMALL(Cálculos!$AJ$5:$AJ$1000,74),Cálculos!$AJ$5:$AJ$1000,0)+4,"")</f>
        <v/>
      </c>
    </row>
    <row r="79">
      <c r="B79" s="5" t="str">
        <f>IF($H79="","",INDEX('Detalle individual'!$B:$B,$H79))</f>
        <v/>
      </c>
      <c r="C79" s="5" t="str">
        <f>IF($H79="","",INDEX('Detalle individual'!$A:$A,$H79))</f>
        <v/>
      </c>
      <c r="D79" s="5" t="str">
        <f>IF($H79="","",INDEX('Detalle individual'!$E:$E,$H79))</f>
        <v/>
      </c>
      <c r="E79" s="5" t="str">
        <f>IF($H79="","",INDEX('Detalle individual'!$C:$C,$H79))</f>
        <v/>
      </c>
      <c r="F79" s="5" t="str">
        <f>IF($H79="","",INDEX('Detalle individual'!$D:$D,$H79))</f>
        <v/>
      </c>
      <c r="G79" s="5" t="str">
        <f>IF($H79="","",INDEX('Detalle individual'!$F:$F,$H79))</f>
        <v/>
      </c>
      <c r="H79" t="str">
        <f>IFERROR(MATCH(SMALL(Cálculos!$AJ$5:$AJ$1000,75),Cálculos!$AJ$5:$AJ$1000,0)+4,"")</f>
        <v/>
      </c>
    </row>
    <row r="80">
      <c r="B80" s="5" t="str">
        <f>IF($H80="","",INDEX('Detalle individual'!$B:$B,$H80))</f>
        <v/>
      </c>
      <c r="C80" s="5" t="str">
        <f>IF($H80="","",INDEX('Detalle individual'!$A:$A,$H80))</f>
        <v/>
      </c>
      <c r="D80" s="5" t="str">
        <f>IF($H80="","",INDEX('Detalle individual'!$E:$E,$H80))</f>
        <v/>
      </c>
      <c r="E80" s="5" t="str">
        <f>IF($H80="","",INDEX('Detalle individual'!$C:$C,$H80))</f>
        <v/>
      </c>
      <c r="F80" s="5" t="str">
        <f>IF($H80="","",INDEX('Detalle individual'!$D:$D,$H80))</f>
        <v/>
      </c>
      <c r="G80" s="5" t="str">
        <f>IF($H80="","",INDEX('Detalle individual'!$F:$F,$H80))</f>
        <v/>
      </c>
      <c r="H80" t="str">
        <f>IFERROR(MATCH(SMALL(Cálculos!$AJ$5:$AJ$1000,76),Cálculos!$AJ$5:$AJ$1000,0)+4,"")</f>
        <v/>
      </c>
    </row>
    <row r="81">
      <c r="B81" s="5" t="str">
        <f>IF($H81="","",INDEX('Detalle individual'!$B:$B,$H81))</f>
        <v/>
      </c>
      <c r="C81" s="5" t="str">
        <f>IF($H81="","",INDEX('Detalle individual'!$A:$A,$H81))</f>
        <v/>
      </c>
      <c r="D81" s="5" t="str">
        <f>IF($H81="","",INDEX('Detalle individual'!$E:$E,$H81))</f>
        <v/>
      </c>
      <c r="E81" s="5" t="str">
        <f>IF($H81="","",INDEX('Detalle individual'!$C:$C,$H81))</f>
        <v/>
      </c>
      <c r="F81" s="5" t="str">
        <f>IF($H81="","",INDEX('Detalle individual'!$D:$D,$H81))</f>
        <v/>
      </c>
      <c r="G81" s="5" t="str">
        <f>IF($H81="","",INDEX('Detalle individual'!$F:$F,$H81))</f>
        <v/>
      </c>
      <c r="H81" t="str">
        <f>IFERROR(MATCH(SMALL(Cálculos!$AJ$5:$AJ$1000,77),Cálculos!$AJ$5:$AJ$1000,0)+4,"")</f>
        <v/>
      </c>
    </row>
    <row r="82">
      <c r="B82" s="5" t="str">
        <f>IF($H82="","",INDEX('Detalle individual'!$B:$B,$H82))</f>
        <v/>
      </c>
      <c r="C82" s="5" t="str">
        <f>IF($H82="","",INDEX('Detalle individual'!$A:$A,$H82))</f>
        <v/>
      </c>
      <c r="D82" s="5" t="str">
        <f>IF($H82="","",INDEX('Detalle individual'!$E:$E,$H82))</f>
        <v/>
      </c>
      <c r="E82" s="5" t="str">
        <f>IF($H82="","",INDEX('Detalle individual'!$C:$C,$H82))</f>
        <v/>
      </c>
      <c r="F82" s="5" t="str">
        <f>IF($H82="","",INDEX('Detalle individual'!$D:$D,$H82))</f>
        <v/>
      </c>
      <c r="G82" s="5" t="str">
        <f>IF($H82="","",INDEX('Detalle individual'!$F:$F,$H82))</f>
        <v/>
      </c>
      <c r="H82" t="str">
        <f>IFERROR(MATCH(SMALL(Cálculos!$AJ$5:$AJ$1000,78),Cálculos!$AJ$5:$AJ$1000,0)+4,"")</f>
        <v/>
      </c>
    </row>
    <row r="83">
      <c r="B83" s="5" t="str">
        <f>IF($H83="","",INDEX('Detalle individual'!$B:$B,$H83))</f>
        <v/>
      </c>
      <c r="C83" s="5" t="str">
        <f>IF($H83="","",INDEX('Detalle individual'!$A:$A,$H83))</f>
        <v/>
      </c>
      <c r="D83" s="5" t="str">
        <f>IF($H83="","",INDEX('Detalle individual'!$E:$E,$H83))</f>
        <v/>
      </c>
      <c r="E83" s="5" t="str">
        <f>IF($H83="","",INDEX('Detalle individual'!$C:$C,$H83))</f>
        <v/>
      </c>
      <c r="F83" s="5" t="str">
        <f>IF($H83="","",INDEX('Detalle individual'!$D:$D,$H83))</f>
        <v/>
      </c>
      <c r="G83" s="5" t="str">
        <f>IF($H83="","",INDEX('Detalle individual'!$F:$F,$H83))</f>
        <v/>
      </c>
      <c r="H83" t="str">
        <f>IFERROR(MATCH(SMALL(Cálculos!$AJ$5:$AJ$1000,79),Cálculos!$AJ$5:$AJ$1000,0)+4,"")</f>
        <v/>
      </c>
    </row>
    <row r="84">
      <c r="B84" s="5" t="str">
        <f>IF($H84="","",INDEX('Detalle individual'!$B:$B,$H84))</f>
        <v/>
      </c>
      <c r="C84" s="5" t="str">
        <f>IF($H84="","",INDEX('Detalle individual'!$A:$A,$H84))</f>
        <v/>
      </c>
      <c r="D84" s="5" t="str">
        <f>IF($H84="","",INDEX('Detalle individual'!$E:$E,$H84))</f>
        <v/>
      </c>
      <c r="E84" s="5" t="str">
        <f>IF($H84="","",INDEX('Detalle individual'!$C:$C,$H84))</f>
        <v/>
      </c>
      <c r="F84" s="5" t="str">
        <f>IF($H84="","",INDEX('Detalle individual'!$D:$D,$H84))</f>
        <v/>
      </c>
      <c r="G84" s="5" t="str">
        <f>IF($H84="","",INDEX('Detalle individual'!$F:$F,$H84))</f>
        <v/>
      </c>
      <c r="H84" t="str">
        <f>IFERROR(MATCH(SMALL(Cálculos!$AJ$5:$AJ$1000,80),Cálculos!$AJ$5:$AJ$1000,0)+4,"")</f>
        <v/>
      </c>
    </row>
    <row r="85">
      <c r="B85" s="5" t="str">
        <f>IF($H85="","",INDEX('Detalle individual'!$B:$B,$H85))</f>
        <v/>
      </c>
      <c r="C85" s="5" t="str">
        <f>IF($H85="","",INDEX('Detalle individual'!$A:$A,$H85))</f>
        <v/>
      </c>
      <c r="D85" s="5" t="str">
        <f>IF($H85="","",INDEX('Detalle individual'!$E:$E,$H85))</f>
        <v/>
      </c>
      <c r="E85" s="5" t="str">
        <f>IF($H85="","",INDEX('Detalle individual'!$C:$C,$H85))</f>
        <v/>
      </c>
      <c r="F85" s="5" t="str">
        <f>IF($H85="","",INDEX('Detalle individual'!$D:$D,$H85))</f>
        <v/>
      </c>
      <c r="G85" s="5" t="str">
        <f>IF($H85="","",INDEX('Detalle individual'!$F:$F,$H85))</f>
        <v/>
      </c>
      <c r="H85" t="str">
        <f>IFERROR(MATCH(SMALL(Cálculos!$AJ$5:$AJ$1000,81),Cálculos!$AJ$5:$AJ$1000,0)+4,"")</f>
        <v/>
      </c>
    </row>
    <row r="86">
      <c r="B86" s="5" t="str">
        <f>IF($H86="","",INDEX('Detalle individual'!$B:$B,$H86))</f>
        <v/>
      </c>
      <c r="C86" s="5" t="str">
        <f>IF($H86="","",INDEX('Detalle individual'!$A:$A,$H86))</f>
        <v/>
      </c>
      <c r="D86" s="5" t="str">
        <f>IF($H86="","",INDEX('Detalle individual'!$E:$E,$H86))</f>
        <v/>
      </c>
      <c r="E86" s="5" t="str">
        <f>IF($H86="","",INDEX('Detalle individual'!$C:$C,$H86))</f>
        <v/>
      </c>
      <c r="F86" s="5" t="str">
        <f>IF($H86="","",INDEX('Detalle individual'!$D:$D,$H86))</f>
        <v/>
      </c>
      <c r="G86" s="5" t="str">
        <f>IF($H86="","",INDEX('Detalle individual'!$F:$F,$H86))</f>
        <v/>
      </c>
      <c r="H86" t="str">
        <f>IFERROR(MATCH(SMALL(Cálculos!$AJ$5:$AJ$1000,82),Cálculos!$AJ$5:$AJ$1000,0)+4,"")</f>
        <v/>
      </c>
    </row>
    <row r="87">
      <c r="B87" s="5" t="str">
        <f>IF($H87="","",INDEX('Detalle individual'!$B:$B,$H87))</f>
        <v/>
      </c>
      <c r="C87" s="5" t="str">
        <f>IF($H87="","",INDEX('Detalle individual'!$A:$A,$H87))</f>
        <v/>
      </c>
      <c r="D87" s="5" t="str">
        <f>IF($H87="","",INDEX('Detalle individual'!$E:$E,$H87))</f>
        <v/>
      </c>
      <c r="E87" s="5" t="str">
        <f>IF($H87="","",INDEX('Detalle individual'!$C:$C,$H87))</f>
        <v/>
      </c>
      <c r="F87" s="5" t="str">
        <f>IF($H87="","",INDEX('Detalle individual'!$D:$D,$H87))</f>
        <v/>
      </c>
      <c r="G87" s="5" t="str">
        <f>IF($H87="","",INDEX('Detalle individual'!$F:$F,$H87))</f>
        <v/>
      </c>
      <c r="H87" t="str">
        <f>IFERROR(MATCH(SMALL(Cálculos!$AJ$5:$AJ$1000,83),Cálculos!$AJ$5:$AJ$1000,0)+4,"")</f>
        <v/>
      </c>
    </row>
    <row r="88">
      <c r="B88" s="5" t="str">
        <f>IF($H88="","",INDEX('Detalle individual'!$B:$B,$H88))</f>
        <v/>
      </c>
      <c r="C88" s="5" t="str">
        <f>IF($H88="","",INDEX('Detalle individual'!$A:$A,$H88))</f>
        <v/>
      </c>
      <c r="D88" s="5" t="str">
        <f>IF($H88="","",INDEX('Detalle individual'!$E:$E,$H88))</f>
        <v/>
      </c>
      <c r="E88" s="5" t="str">
        <f>IF($H88="","",INDEX('Detalle individual'!$C:$C,$H88))</f>
        <v/>
      </c>
      <c r="F88" s="5" t="str">
        <f>IF($H88="","",INDEX('Detalle individual'!$D:$D,$H88))</f>
        <v/>
      </c>
      <c r="G88" s="5" t="str">
        <f>IF($H88="","",INDEX('Detalle individual'!$F:$F,$H88))</f>
        <v/>
      </c>
      <c r="H88" t="str">
        <f>IFERROR(MATCH(SMALL(Cálculos!$AJ$5:$AJ$1000,84),Cálculos!$AJ$5:$AJ$1000,0)+4,"")</f>
        <v/>
      </c>
    </row>
    <row r="89">
      <c r="B89" s="5" t="str">
        <f>IF($H89="","",INDEX('Detalle individual'!$B:$B,$H89))</f>
        <v/>
      </c>
      <c r="C89" s="5" t="str">
        <f>IF($H89="","",INDEX('Detalle individual'!$A:$A,$H89))</f>
        <v/>
      </c>
      <c r="D89" s="5" t="str">
        <f>IF($H89="","",INDEX('Detalle individual'!$E:$E,$H89))</f>
        <v/>
      </c>
      <c r="E89" s="5" t="str">
        <f>IF($H89="","",INDEX('Detalle individual'!$C:$C,$H89))</f>
        <v/>
      </c>
      <c r="F89" s="5" t="str">
        <f>IF($H89="","",INDEX('Detalle individual'!$D:$D,$H89))</f>
        <v/>
      </c>
      <c r="G89" s="5" t="str">
        <f>IF($H89="","",INDEX('Detalle individual'!$F:$F,$H89))</f>
        <v/>
      </c>
      <c r="H89" t="str">
        <f>IFERROR(MATCH(SMALL(Cálculos!$AJ$5:$AJ$1000,85),Cálculos!$AJ$5:$AJ$1000,0)+4,"")</f>
        <v/>
      </c>
    </row>
    <row r="90">
      <c r="B90" s="5" t="str">
        <f>IF($H90="","",INDEX('Detalle individual'!$B:$B,$H90))</f>
        <v/>
      </c>
      <c r="C90" s="5" t="str">
        <f>IF($H90="","",INDEX('Detalle individual'!$A:$A,$H90))</f>
        <v/>
      </c>
      <c r="D90" s="5" t="str">
        <f>IF($H90="","",INDEX('Detalle individual'!$E:$E,$H90))</f>
        <v/>
      </c>
      <c r="E90" s="5" t="str">
        <f>IF($H90="","",INDEX('Detalle individual'!$C:$C,$H90))</f>
        <v/>
      </c>
      <c r="F90" s="5" t="str">
        <f>IF($H90="","",INDEX('Detalle individual'!$D:$D,$H90))</f>
        <v/>
      </c>
      <c r="G90" s="5" t="str">
        <f>IF($H90="","",INDEX('Detalle individual'!$F:$F,$H90))</f>
        <v/>
      </c>
      <c r="H90" t="str">
        <f>IFERROR(MATCH(SMALL(Cálculos!$AJ$5:$AJ$1000,86),Cálculos!$AJ$5:$AJ$1000,0)+4,"")</f>
        <v/>
      </c>
    </row>
    <row r="91">
      <c r="B91" s="5" t="str">
        <f>IF($H91="","",INDEX('Detalle individual'!$B:$B,$H91))</f>
        <v/>
      </c>
      <c r="C91" s="5" t="str">
        <f>IF($H91="","",INDEX('Detalle individual'!$A:$A,$H91))</f>
        <v/>
      </c>
      <c r="D91" s="5" t="str">
        <f>IF($H91="","",INDEX('Detalle individual'!$E:$E,$H91))</f>
        <v/>
      </c>
      <c r="E91" s="5" t="str">
        <f>IF($H91="","",INDEX('Detalle individual'!$C:$C,$H91))</f>
        <v/>
      </c>
      <c r="F91" s="5" t="str">
        <f>IF($H91="","",INDEX('Detalle individual'!$D:$D,$H91))</f>
        <v/>
      </c>
      <c r="G91" s="5" t="str">
        <f>IF($H91="","",INDEX('Detalle individual'!$F:$F,$H91))</f>
        <v/>
      </c>
      <c r="H91" t="str">
        <f>IFERROR(MATCH(SMALL(Cálculos!$AJ$5:$AJ$1000,87),Cálculos!$AJ$5:$AJ$1000,0)+4,"")</f>
        <v/>
      </c>
    </row>
    <row r="92">
      <c r="B92" s="5" t="str">
        <f>IF($H92="","",INDEX('Detalle individual'!$B:$B,$H92))</f>
        <v/>
      </c>
      <c r="C92" s="5" t="str">
        <f>IF($H92="","",INDEX('Detalle individual'!$A:$A,$H92))</f>
        <v/>
      </c>
      <c r="D92" s="5" t="str">
        <f>IF($H92="","",INDEX('Detalle individual'!$E:$E,$H92))</f>
        <v/>
      </c>
      <c r="E92" s="5" t="str">
        <f>IF($H92="","",INDEX('Detalle individual'!$C:$C,$H92))</f>
        <v/>
      </c>
      <c r="F92" s="5" t="str">
        <f>IF($H92="","",INDEX('Detalle individual'!$D:$D,$H92))</f>
        <v/>
      </c>
      <c r="G92" s="5" t="str">
        <f>IF($H92="","",INDEX('Detalle individual'!$F:$F,$H92))</f>
        <v/>
      </c>
      <c r="H92" t="str">
        <f>IFERROR(MATCH(SMALL(Cálculos!$AJ$5:$AJ$1000,88),Cálculos!$AJ$5:$AJ$1000,0)+4,"")</f>
        <v/>
      </c>
    </row>
    <row r="93">
      <c r="B93" s="5" t="str">
        <f>IF($H93="","",INDEX('Detalle individual'!$B:$B,$H93))</f>
        <v/>
      </c>
      <c r="C93" s="5" t="str">
        <f>IF($H93="","",INDEX('Detalle individual'!$A:$A,$H93))</f>
        <v/>
      </c>
      <c r="D93" s="5" t="str">
        <f>IF($H93="","",INDEX('Detalle individual'!$E:$E,$H93))</f>
        <v/>
      </c>
      <c r="E93" s="5" t="str">
        <f>IF($H93="","",INDEX('Detalle individual'!$C:$C,$H93))</f>
        <v/>
      </c>
      <c r="F93" s="5" t="str">
        <f>IF($H93="","",INDEX('Detalle individual'!$D:$D,$H93))</f>
        <v/>
      </c>
      <c r="G93" s="5" t="str">
        <f>IF($H93="","",INDEX('Detalle individual'!$F:$F,$H93))</f>
        <v/>
      </c>
      <c r="H93" t="str">
        <f>IFERROR(MATCH(SMALL(Cálculos!$AJ$5:$AJ$1000,89),Cálculos!$AJ$5:$AJ$1000,0)+4,"")</f>
        <v/>
      </c>
    </row>
    <row r="94">
      <c r="B94" s="5" t="str">
        <f>IF($H94="","",INDEX('Detalle individual'!$B:$B,$H94))</f>
        <v/>
      </c>
      <c r="C94" s="5" t="str">
        <f>IF($H94="","",INDEX('Detalle individual'!$A:$A,$H94))</f>
        <v/>
      </c>
      <c r="D94" s="5" t="str">
        <f>IF($H94="","",INDEX('Detalle individual'!$E:$E,$H94))</f>
        <v/>
      </c>
      <c r="E94" s="5" t="str">
        <f>IF($H94="","",INDEX('Detalle individual'!$C:$C,$H94))</f>
        <v/>
      </c>
      <c r="F94" s="5" t="str">
        <f>IF($H94="","",INDEX('Detalle individual'!$D:$D,$H94))</f>
        <v/>
      </c>
      <c r="G94" s="5" t="str">
        <f>IF($H94="","",INDEX('Detalle individual'!$F:$F,$H94))</f>
        <v/>
      </c>
      <c r="H94" t="str">
        <f>IFERROR(MATCH(SMALL(Cálculos!$AJ$5:$AJ$1000,90),Cálculos!$AJ$5:$AJ$1000,0)+4,"")</f>
        <v/>
      </c>
    </row>
    <row r="95">
      <c r="B95" s="5" t="str">
        <f>IF($H95="","",INDEX('Detalle individual'!$B:$B,$H95))</f>
        <v/>
      </c>
      <c r="C95" s="5" t="str">
        <f>IF($H95="","",INDEX('Detalle individual'!$A:$A,$H95))</f>
        <v/>
      </c>
      <c r="D95" s="5" t="str">
        <f>IF($H95="","",INDEX('Detalle individual'!$E:$E,$H95))</f>
        <v/>
      </c>
      <c r="E95" s="5" t="str">
        <f>IF($H95="","",INDEX('Detalle individual'!$C:$C,$H95))</f>
        <v/>
      </c>
      <c r="F95" s="5" t="str">
        <f>IF($H95="","",INDEX('Detalle individual'!$D:$D,$H95))</f>
        <v/>
      </c>
      <c r="G95" s="5" t="str">
        <f>IF($H95="","",INDEX('Detalle individual'!$F:$F,$H95))</f>
        <v/>
      </c>
      <c r="H95" t="str">
        <f>IFERROR(MATCH(SMALL(Cálculos!$AJ$5:$AJ$1000,91),Cálculos!$AJ$5:$AJ$1000,0)+4,"")</f>
        <v/>
      </c>
    </row>
    <row r="96">
      <c r="B96" s="5" t="str">
        <f>IF($H96="","",INDEX('Detalle individual'!$B:$B,$H96))</f>
        <v/>
      </c>
      <c r="C96" s="5" t="str">
        <f>IF($H96="","",INDEX('Detalle individual'!$A:$A,$H96))</f>
        <v/>
      </c>
      <c r="D96" s="5" t="str">
        <f>IF($H96="","",INDEX('Detalle individual'!$E:$E,$H96))</f>
        <v/>
      </c>
      <c r="E96" s="5" t="str">
        <f>IF($H96="","",INDEX('Detalle individual'!$C:$C,$H96))</f>
        <v/>
      </c>
      <c r="F96" s="5" t="str">
        <f>IF($H96="","",INDEX('Detalle individual'!$D:$D,$H96))</f>
        <v/>
      </c>
      <c r="G96" s="5" t="str">
        <f>IF($H96="","",INDEX('Detalle individual'!$F:$F,$H96))</f>
        <v/>
      </c>
      <c r="H96" t="str">
        <f>IFERROR(MATCH(SMALL(Cálculos!$AJ$5:$AJ$1000,92),Cálculos!$AJ$5:$AJ$1000,0)+4,"")</f>
        <v/>
      </c>
    </row>
    <row r="97">
      <c r="B97" s="5" t="str">
        <f>IF($H97="","",INDEX('Detalle individual'!$B:$B,$H97))</f>
        <v/>
      </c>
      <c r="C97" s="5" t="str">
        <f>IF($H97="","",INDEX('Detalle individual'!$A:$A,$H97))</f>
        <v/>
      </c>
      <c r="D97" s="5" t="str">
        <f>IF($H97="","",INDEX('Detalle individual'!$E:$E,$H97))</f>
        <v/>
      </c>
      <c r="E97" s="5" t="str">
        <f>IF($H97="","",INDEX('Detalle individual'!$C:$C,$H97))</f>
        <v/>
      </c>
      <c r="F97" s="5" t="str">
        <f>IF($H97="","",INDEX('Detalle individual'!$D:$D,$H97))</f>
        <v/>
      </c>
      <c r="G97" s="5" t="str">
        <f>IF($H97="","",INDEX('Detalle individual'!$F:$F,$H97))</f>
        <v/>
      </c>
      <c r="H97" t="str">
        <f>IFERROR(MATCH(SMALL(Cálculos!$AJ$5:$AJ$1000,93),Cálculos!$AJ$5:$AJ$1000,0)+4,"")</f>
        <v/>
      </c>
    </row>
    <row r="98">
      <c r="B98" s="5" t="str">
        <f>IF($H98="","",INDEX('Detalle individual'!$B:$B,$H98))</f>
        <v/>
      </c>
      <c r="C98" s="5" t="str">
        <f>IF($H98="","",INDEX('Detalle individual'!$A:$A,$H98))</f>
        <v/>
      </c>
      <c r="D98" s="5" t="str">
        <f>IF($H98="","",INDEX('Detalle individual'!$E:$E,$H98))</f>
        <v/>
      </c>
      <c r="E98" s="5" t="str">
        <f>IF($H98="","",INDEX('Detalle individual'!$C:$C,$H98))</f>
        <v/>
      </c>
      <c r="F98" s="5" t="str">
        <f>IF($H98="","",INDEX('Detalle individual'!$D:$D,$H98))</f>
        <v/>
      </c>
      <c r="G98" s="5" t="str">
        <f>IF($H98="","",INDEX('Detalle individual'!$F:$F,$H98))</f>
        <v/>
      </c>
      <c r="H98" t="str">
        <f>IFERROR(MATCH(SMALL(Cálculos!$AJ$5:$AJ$1000,94),Cálculos!$AJ$5:$AJ$1000,0)+4,"")</f>
        <v/>
      </c>
    </row>
    <row r="99">
      <c r="B99" s="5" t="str">
        <f>IF($H99="","",INDEX('Detalle individual'!$B:$B,$H99))</f>
        <v/>
      </c>
      <c r="C99" s="5" t="str">
        <f>IF($H99="","",INDEX('Detalle individual'!$A:$A,$H99))</f>
        <v/>
      </c>
      <c r="D99" s="5" t="str">
        <f>IF($H99="","",INDEX('Detalle individual'!$E:$E,$H99))</f>
        <v/>
      </c>
      <c r="E99" s="5" t="str">
        <f>IF($H99="","",INDEX('Detalle individual'!$C:$C,$H99))</f>
        <v/>
      </c>
      <c r="F99" s="5" t="str">
        <f>IF($H99="","",INDEX('Detalle individual'!$D:$D,$H99))</f>
        <v/>
      </c>
      <c r="G99" s="5" t="str">
        <f>IF($H99="","",INDEX('Detalle individual'!$F:$F,$H99))</f>
        <v/>
      </c>
      <c r="H99" t="str">
        <f>IFERROR(MATCH(SMALL(Cálculos!$AJ$5:$AJ$1000,95),Cálculos!$AJ$5:$AJ$1000,0)+4,"")</f>
        <v/>
      </c>
    </row>
    <row r="100">
      <c r="B100" s="5" t="str">
        <f>IF($H100="","",INDEX('Detalle individual'!$B:$B,$H100))</f>
        <v/>
      </c>
      <c r="C100" s="5" t="str">
        <f>IF($H100="","",INDEX('Detalle individual'!$A:$A,$H100))</f>
        <v/>
      </c>
      <c r="D100" s="5" t="str">
        <f>IF($H100="","",INDEX('Detalle individual'!$E:$E,$H100))</f>
        <v/>
      </c>
      <c r="E100" s="5" t="str">
        <f>IF($H100="","",INDEX('Detalle individual'!$C:$C,$H100))</f>
        <v/>
      </c>
      <c r="F100" s="5" t="str">
        <f>IF($H100="","",INDEX('Detalle individual'!$D:$D,$H100))</f>
        <v/>
      </c>
      <c r="G100" s="5" t="str">
        <f>IF($H100="","",INDEX('Detalle individual'!$F:$F,$H100))</f>
        <v/>
      </c>
      <c r="H100" t="str">
        <f>IFERROR(MATCH(SMALL(Cálculos!$AJ$5:$AJ$1000,96),Cálculos!$AJ$5:$AJ$1000,0)+4,"")</f>
        <v/>
      </c>
    </row>
    <row r="101">
      <c r="B101" s="5" t="str">
        <f>IF($H101="","",INDEX('Detalle individual'!$B:$B,$H101))</f>
        <v/>
      </c>
      <c r="C101" s="5" t="str">
        <f>IF($H101="","",INDEX('Detalle individual'!$A:$A,$H101))</f>
        <v/>
      </c>
      <c r="D101" s="5" t="str">
        <f>IF($H101="","",INDEX('Detalle individual'!$E:$E,$H101))</f>
        <v/>
      </c>
      <c r="E101" s="5" t="str">
        <f>IF($H101="","",INDEX('Detalle individual'!$C:$C,$H101))</f>
        <v/>
      </c>
      <c r="F101" s="5" t="str">
        <f>IF($H101="","",INDEX('Detalle individual'!$D:$D,$H101))</f>
        <v/>
      </c>
      <c r="G101" s="5" t="str">
        <f>IF($H101="","",INDEX('Detalle individual'!$F:$F,$H101))</f>
        <v/>
      </c>
      <c r="H101" t="str">
        <f>IFERROR(MATCH(SMALL(Cálculos!$AJ$5:$AJ$1000,97),Cálculos!$AJ$5:$AJ$1000,0)+4,"")</f>
        <v/>
      </c>
    </row>
    <row r="102">
      <c r="B102" s="5" t="str">
        <f>IF($H102="","",INDEX('Detalle individual'!$B:$B,$H102))</f>
        <v/>
      </c>
      <c r="C102" s="5" t="str">
        <f>IF($H102="","",INDEX('Detalle individual'!$A:$A,$H102))</f>
        <v/>
      </c>
      <c r="D102" s="5" t="str">
        <f>IF($H102="","",INDEX('Detalle individual'!$E:$E,$H102))</f>
        <v/>
      </c>
      <c r="E102" s="5" t="str">
        <f>IF($H102="","",INDEX('Detalle individual'!$C:$C,$H102))</f>
        <v/>
      </c>
      <c r="F102" s="5" t="str">
        <f>IF($H102="","",INDEX('Detalle individual'!$D:$D,$H102))</f>
        <v/>
      </c>
      <c r="G102" s="5" t="str">
        <f>IF($H102="","",INDEX('Detalle individual'!$F:$F,$H102))</f>
        <v/>
      </c>
      <c r="H102" t="str">
        <f>IFERROR(MATCH(SMALL(Cálculos!$AJ$5:$AJ$1000,98),Cálculos!$AJ$5:$AJ$1000,0)+4,"")</f>
        <v/>
      </c>
    </row>
    <row r="103">
      <c r="B103" s="5" t="str">
        <f>IF($H103="","",INDEX('Detalle individual'!$B:$B,$H103))</f>
        <v/>
      </c>
      <c r="C103" s="5" t="str">
        <f>IF($H103="","",INDEX('Detalle individual'!$A:$A,$H103))</f>
        <v/>
      </c>
      <c r="D103" s="5" t="str">
        <f>IF($H103="","",INDEX('Detalle individual'!$E:$E,$H103))</f>
        <v/>
      </c>
      <c r="E103" s="5" t="str">
        <f>IF($H103="","",INDEX('Detalle individual'!$C:$C,$H103))</f>
        <v/>
      </c>
      <c r="F103" s="5" t="str">
        <f>IF($H103="","",INDEX('Detalle individual'!$D:$D,$H103))</f>
        <v/>
      </c>
      <c r="G103" s="5" t="str">
        <f>IF($H103="","",INDEX('Detalle individual'!$F:$F,$H103))</f>
        <v/>
      </c>
      <c r="H103" t="str">
        <f>IFERROR(MATCH(SMALL(Cálculos!$AJ$5:$AJ$1000,99),Cálculos!$AJ$5:$AJ$1000,0)+4,"")</f>
        <v/>
      </c>
    </row>
    <row r="104">
      <c r="B104" s="5" t="str">
        <f>IF($H104="","",INDEX('Detalle individual'!$B:$B,$H104))</f>
        <v/>
      </c>
      <c r="C104" s="5" t="str">
        <f>IF($H104="","",INDEX('Detalle individual'!$A:$A,$H104))</f>
        <v/>
      </c>
      <c r="D104" s="5" t="str">
        <f>IF($H104="","",INDEX('Detalle individual'!$E:$E,$H104))</f>
        <v/>
      </c>
      <c r="E104" s="5" t="str">
        <f>IF($H104="","",INDEX('Detalle individual'!$C:$C,$H104))</f>
        <v/>
      </c>
      <c r="F104" s="5" t="str">
        <f>IF($H104="","",INDEX('Detalle individual'!$D:$D,$H104))</f>
        <v/>
      </c>
      <c r="G104" s="5" t="str">
        <f>IF($H104="","",INDEX('Detalle individual'!$F:$F,$H104))</f>
        <v/>
      </c>
      <c r="H104" t="str">
        <f>IFERROR(MATCH(SMALL(Cálculos!$AJ$5:$AJ$1000,100),Cálculos!$AJ$5:$AJ$1000,0)+4,"")</f>
        <v/>
      </c>
    </row>
    <row r="105">
      <c r="B105" s="5" t="str">
        <f>IF($H105="","",INDEX('Detalle individual'!$B:$B,$H105))</f>
        <v/>
      </c>
      <c r="C105" s="5" t="str">
        <f>IF($H105="","",INDEX('Detalle individual'!$A:$A,$H105))</f>
        <v/>
      </c>
      <c r="D105" s="5" t="str">
        <f>IF($H105="","",INDEX('Detalle individual'!$E:$E,$H105))</f>
        <v/>
      </c>
      <c r="E105" s="5" t="str">
        <f>IF($H105="","",INDEX('Detalle individual'!$C:$C,$H105))</f>
        <v/>
      </c>
      <c r="F105" s="5" t="str">
        <f>IF($H105="","",INDEX('Detalle individual'!$D:$D,$H105))</f>
        <v/>
      </c>
      <c r="G105" s="5" t="str">
        <f>IF($H105="","",INDEX('Detalle individual'!$F:$F,$H105))</f>
        <v/>
      </c>
      <c r="H105" t="str">
        <f>IFERROR(MATCH(SMALL(Cálculos!$AJ$5:$AJ$1000,101),Cálculos!$AJ$5:$AJ$1000,0)+4,"")</f>
        <v/>
      </c>
    </row>
    <row r="106">
      <c r="B106" s="5" t="str">
        <f>IF($H106="","",INDEX('Detalle individual'!$B:$B,$H106))</f>
        <v/>
      </c>
      <c r="C106" s="5" t="str">
        <f>IF($H106="","",INDEX('Detalle individual'!$A:$A,$H106))</f>
        <v/>
      </c>
      <c r="D106" s="5" t="str">
        <f>IF($H106="","",INDEX('Detalle individual'!$E:$E,$H106))</f>
        <v/>
      </c>
      <c r="E106" s="5" t="str">
        <f>IF($H106="","",INDEX('Detalle individual'!$C:$C,$H106))</f>
        <v/>
      </c>
      <c r="F106" s="5" t="str">
        <f>IF($H106="","",INDEX('Detalle individual'!$D:$D,$H106))</f>
        <v/>
      </c>
      <c r="G106" s="5" t="str">
        <f>IF($H106="","",INDEX('Detalle individual'!$F:$F,$H106))</f>
        <v/>
      </c>
      <c r="H106" t="str">
        <f>IFERROR(MATCH(SMALL(Cálculos!$AJ$5:$AJ$1000,102),Cálculos!$AJ$5:$AJ$1000,0)+4,"")</f>
        <v/>
      </c>
    </row>
    <row r="107">
      <c r="B107" s="5" t="str">
        <f>IF($H107="","",INDEX('Detalle individual'!$B:$B,$H107))</f>
        <v/>
      </c>
      <c r="C107" s="5" t="str">
        <f>IF($H107="","",INDEX('Detalle individual'!$A:$A,$H107))</f>
        <v/>
      </c>
      <c r="D107" s="5" t="str">
        <f>IF($H107="","",INDEX('Detalle individual'!$E:$E,$H107))</f>
        <v/>
      </c>
      <c r="E107" s="5" t="str">
        <f>IF($H107="","",INDEX('Detalle individual'!$C:$C,$H107))</f>
        <v/>
      </c>
      <c r="F107" s="5" t="str">
        <f>IF($H107="","",INDEX('Detalle individual'!$D:$D,$H107))</f>
        <v/>
      </c>
      <c r="G107" s="5" t="str">
        <f>IF($H107="","",INDEX('Detalle individual'!$F:$F,$H107))</f>
        <v/>
      </c>
      <c r="H107" t="str">
        <f>IFERROR(MATCH(SMALL(Cálculos!$AJ$5:$AJ$1000,103),Cálculos!$AJ$5:$AJ$1000,0)+4,"")</f>
        <v/>
      </c>
    </row>
    <row r="108">
      <c r="B108" s="5" t="str">
        <f>IF($H108="","",INDEX('Detalle individual'!$B:$B,$H108))</f>
        <v/>
      </c>
      <c r="C108" s="5" t="str">
        <f>IF($H108="","",INDEX('Detalle individual'!$A:$A,$H108))</f>
        <v/>
      </c>
      <c r="D108" s="5" t="str">
        <f>IF($H108="","",INDEX('Detalle individual'!$E:$E,$H108))</f>
        <v/>
      </c>
      <c r="E108" s="5" t="str">
        <f>IF($H108="","",INDEX('Detalle individual'!$C:$C,$H108))</f>
        <v/>
      </c>
      <c r="F108" s="5" t="str">
        <f>IF($H108="","",INDEX('Detalle individual'!$D:$D,$H108))</f>
        <v/>
      </c>
      <c r="G108" s="5" t="str">
        <f>IF($H108="","",INDEX('Detalle individual'!$F:$F,$H108))</f>
        <v/>
      </c>
      <c r="H108" t="str">
        <f>IFERROR(MATCH(SMALL(Cálculos!$AJ$5:$AJ$1000,104),Cálculos!$AJ$5:$AJ$1000,0)+4,"")</f>
        <v/>
      </c>
    </row>
    <row r="109">
      <c r="B109" s="5" t="str">
        <f>IF($H109="","",INDEX('Detalle individual'!$B:$B,$H109))</f>
        <v/>
      </c>
      <c r="C109" s="5" t="str">
        <f>IF($H109="","",INDEX('Detalle individual'!$A:$A,$H109))</f>
        <v/>
      </c>
      <c r="D109" s="5" t="str">
        <f>IF($H109="","",INDEX('Detalle individual'!$E:$E,$H109))</f>
        <v/>
      </c>
      <c r="E109" s="5" t="str">
        <f>IF($H109="","",INDEX('Detalle individual'!$C:$C,$H109))</f>
        <v/>
      </c>
      <c r="F109" s="5" t="str">
        <f>IF($H109="","",INDEX('Detalle individual'!$D:$D,$H109))</f>
        <v/>
      </c>
      <c r="G109" s="5" t="str">
        <f>IF($H109="","",INDEX('Detalle individual'!$F:$F,$H109))</f>
        <v/>
      </c>
      <c r="H109" t="str">
        <f>IFERROR(MATCH(SMALL(Cálculos!$AJ$5:$AJ$1000,105),Cálculos!$AJ$5:$AJ$1000,0)+4,"")</f>
        <v/>
      </c>
    </row>
    <row r="110">
      <c r="B110" s="5" t="str">
        <f>IF($H110="","",INDEX('Detalle individual'!$B:$B,$H110))</f>
        <v/>
      </c>
      <c r="C110" s="5" t="str">
        <f>IF($H110="","",INDEX('Detalle individual'!$A:$A,$H110))</f>
        <v/>
      </c>
      <c r="D110" s="5" t="str">
        <f>IF($H110="","",INDEX('Detalle individual'!$E:$E,$H110))</f>
        <v/>
      </c>
      <c r="E110" s="5" t="str">
        <f>IF($H110="","",INDEX('Detalle individual'!$C:$C,$H110))</f>
        <v/>
      </c>
      <c r="F110" s="5" t="str">
        <f>IF($H110="","",INDEX('Detalle individual'!$D:$D,$H110))</f>
        <v/>
      </c>
      <c r="G110" s="5" t="str">
        <f>IF($H110="","",INDEX('Detalle individual'!$F:$F,$H110))</f>
        <v/>
      </c>
      <c r="H110" t="str">
        <f>IFERROR(MATCH(SMALL(Cálculos!$AJ$5:$AJ$1000,106),Cálculos!$AJ$5:$AJ$1000,0)+4,"")</f>
        <v/>
      </c>
    </row>
    <row r="111">
      <c r="B111" s="5" t="str">
        <f>IF($H111="","",INDEX('Detalle individual'!$B:$B,$H111))</f>
        <v/>
      </c>
      <c r="C111" s="5" t="str">
        <f>IF($H111="","",INDEX('Detalle individual'!$A:$A,$H111))</f>
        <v/>
      </c>
      <c r="D111" s="5" t="str">
        <f>IF($H111="","",INDEX('Detalle individual'!$E:$E,$H111))</f>
        <v/>
      </c>
      <c r="E111" s="5" t="str">
        <f>IF($H111="","",INDEX('Detalle individual'!$C:$C,$H111))</f>
        <v/>
      </c>
      <c r="F111" s="5" t="str">
        <f>IF($H111="","",INDEX('Detalle individual'!$D:$D,$H111))</f>
        <v/>
      </c>
      <c r="G111" s="5" t="str">
        <f>IF($H111="","",INDEX('Detalle individual'!$F:$F,$H111))</f>
        <v/>
      </c>
      <c r="H111" t="str">
        <f>IFERROR(MATCH(SMALL(Cálculos!$AJ$5:$AJ$1000,107),Cálculos!$AJ$5:$AJ$1000,0)+4,"")</f>
        <v/>
      </c>
    </row>
    <row r="112">
      <c r="B112" s="5" t="str">
        <f>IF($H112="","",INDEX('Detalle individual'!$B:$B,$H112))</f>
        <v/>
      </c>
      <c r="C112" s="5" t="str">
        <f>IF($H112="","",INDEX('Detalle individual'!$A:$A,$H112))</f>
        <v/>
      </c>
      <c r="D112" s="5" t="str">
        <f>IF($H112="","",INDEX('Detalle individual'!$E:$E,$H112))</f>
        <v/>
      </c>
      <c r="E112" s="5" t="str">
        <f>IF($H112="","",INDEX('Detalle individual'!$C:$C,$H112))</f>
        <v/>
      </c>
      <c r="F112" s="5" t="str">
        <f>IF($H112="","",INDEX('Detalle individual'!$D:$D,$H112))</f>
        <v/>
      </c>
      <c r="G112" s="5" t="str">
        <f>IF($H112="","",INDEX('Detalle individual'!$F:$F,$H112))</f>
        <v/>
      </c>
      <c r="H112" t="str">
        <f>IFERROR(MATCH(SMALL(Cálculos!$AJ$5:$AJ$1000,108),Cálculos!$AJ$5:$AJ$1000,0)+4,"")</f>
        <v/>
      </c>
    </row>
    <row r="113">
      <c r="B113" s="5" t="str">
        <f>IF($H113="","",INDEX('Detalle individual'!$B:$B,$H113))</f>
        <v/>
      </c>
      <c r="C113" s="5" t="str">
        <f>IF($H113="","",INDEX('Detalle individual'!$A:$A,$H113))</f>
        <v/>
      </c>
      <c r="D113" s="5" t="str">
        <f>IF($H113="","",INDEX('Detalle individual'!$E:$E,$H113))</f>
        <v/>
      </c>
      <c r="E113" s="5" t="str">
        <f>IF($H113="","",INDEX('Detalle individual'!$C:$C,$H113))</f>
        <v/>
      </c>
      <c r="F113" s="5" t="str">
        <f>IF($H113="","",INDEX('Detalle individual'!$D:$D,$H113))</f>
        <v/>
      </c>
      <c r="G113" s="5" t="str">
        <f>IF($H113="","",INDEX('Detalle individual'!$F:$F,$H113))</f>
        <v/>
      </c>
      <c r="H113" t="str">
        <f>IFERROR(MATCH(SMALL(Cálculos!$AJ$5:$AJ$1000,109),Cálculos!$AJ$5:$AJ$1000,0)+4,"")</f>
        <v/>
      </c>
    </row>
    <row r="114">
      <c r="B114" s="5" t="str">
        <f>IF($H114="","",INDEX('Detalle individual'!$B:$B,$H114))</f>
        <v/>
      </c>
      <c r="C114" s="5" t="str">
        <f>IF($H114="","",INDEX('Detalle individual'!$A:$A,$H114))</f>
        <v/>
      </c>
      <c r="D114" s="5" t="str">
        <f>IF($H114="","",INDEX('Detalle individual'!$E:$E,$H114))</f>
        <v/>
      </c>
      <c r="E114" s="5" t="str">
        <f>IF($H114="","",INDEX('Detalle individual'!$C:$C,$H114))</f>
        <v/>
      </c>
      <c r="F114" s="5" t="str">
        <f>IF($H114="","",INDEX('Detalle individual'!$D:$D,$H114))</f>
        <v/>
      </c>
      <c r="G114" s="5" t="str">
        <f>IF($H114="","",INDEX('Detalle individual'!$F:$F,$H114))</f>
        <v/>
      </c>
      <c r="H114" t="str">
        <f>IFERROR(MATCH(SMALL(Cálculos!$AJ$5:$AJ$1000,110),Cálculos!$AJ$5:$AJ$1000,0)+4,"")</f>
        <v/>
      </c>
    </row>
    <row r="115">
      <c r="B115" s="5" t="str">
        <f>IF($H115="","",INDEX('Detalle individual'!$B:$B,$H115))</f>
        <v/>
      </c>
      <c r="C115" s="5" t="str">
        <f>IF($H115="","",INDEX('Detalle individual'!$A:$A,$H115))</f>
        <v/>
      </c>
      <c r="D115" s="5" t="str">
        <f>IF($H115="","",INDEX('Detalle individual'!$E:$E,$H115))</f>
        <v/>
      </c>
      <c r="E115" s="5" t="str">
        <f>IF($H115="","",INDEX('Detalle individual'!$C:$C,$H115))</f>
        <v/>
      </c>
      <c r="F115" s="5" t="str">
        <f>IF($H115="","",INDEX('Detalle individual'!$D:$D,$H115))</f>
        <v/>
      </c>
      <c r="G115" s="5" t="str">
        <f>IF($H115="","",INDEX('Detalle individual'!$F:$F,$H115))</f>
        <v/>
      </c>
      <c r="H115" t="str">
        <f>IFERROR(MATCH(SMALL(Cálculos!$AJ$5:$AJ$1000,111),Cálculos!$AJ$5:$AJ$1000,0)+4,"")</f>
        <v/>
      </c>
    </row>
    <row r="116">
      <c r="B116" s="5" t="str">
        <f>IF($H116="","",INDEX('Detalle individual'!$B:$B,$H116))</f>
        <v/>
      </c>
      <c r="C116" s="5" t="str">
        <f>IF($H116="","",INDEX('Detalle individual'!$A:$A,$H116))</f>
        <v/>
      </c>
      <c r="D116" s="5" t="str">
        <f>IF($H116="","",INDEX('Detalle individual'!$E:$E,$H116))</f>
        <v/>
      </c>
      <c r="E116" s="5" t="str">
        <f>IF($H116="","",INDEX('Detalle individual'!$C:$C,$H116))</f>
        <v/>
      </c>
      <c r="F116" s="5" t="str">
        <f>IF($H116="","",INDEX('Detalle individual'!$D:$D,$H116))</f>
        <v/>
      </c>
      <c r="G116" s="5" t="str">
        <f>IF($H116="","",INDEX('Detalle individual'!$F:$F,$H116))</f>
        <v/>
      </c>
      <c r="H116" t="str">
        <f>IFERROR(MATCH(SMALL(Cálculos!$AJ$5:$AJ$1000,112),Cálculos!$AJ$5:$AJ$1000,0)+4,"")</f>
        <v/>
      </c>
    </row>
    <row r="117">
      <c r="B117" s="5" t="str">
        <f>IF($H117="","",INDEX('Detalle individual'!$B:$B,$H117))</f>
        <v/>
      </c>
      <c r="C117" s="5" t="str">
        <f>IF($H117="","",INDEX('Detalle individual'!$A:$A,$H117))</f>
        <v/>
      </c>
      <c r="D117" s="5" t="str">
        <f>IF($H117="","",INDEX('Detalle individual'!$E:$E,$H117))</f>
        <v/>
      </c>
      <c r="E117" s="5" t="str">
        <f>IF($H117="","",INDEX('Detalle individual'!$C:$C,$H117))</f>
        <v/>
      </c>
      <c r="F117" s="5" t="str">
        <f>IF($H117="","",INDEX('Detalle individual'!$D:$D,$H117))</f>
        <v/>
      </c>
      <c r="G117" s="5" t="str">
        <f>IF($H117="","",INDEX('Detalle individual'!$F:$F,$H117))</f>
        <v/>
      </c>
      <c r="H117" t="str">
        <f>IFERROR(MATCH(SMALL(Cálculos!$AJ$5:$AJ$1000,113),Cálculos!$AJ$5:$AJ$1000,0)+4,"")</f>
        <v/>
      </c>
    </row>
    <row r="118">
      <c r="B118" s="5" t="str">
        <f>IF($H118="","",INDEX('Detalle individual'!$B:$B,$H118))</f>
        <v/>
      </c>
      <c r="C118" s="5" t="str">
        <f>IF($H118="","",INDEX('Detalle individual'!$A:$A,$H118))</f>
        <v/>
      </c>
      <c r="D118" s="5" t="str">
        <f>IF($H118="","",INDEX('Detalle individual'!$E:$E,$H118))</f>
        <v/>
      </c>
      <c r="E118" s="5" t="str">
        <f>IF($H118="","",INDEX('Detalle individual'!$C:$C,$H118))</f>
        <v/>
      </c>
      <c r="F118" s="5" t="str">
        <f>IF($H118="","",INDEX('Detalle individual'!$D:$D,$H118))</f>
        <v/>
      </c>
      <c r="G118" s="5" t="str">
        <f>IF($H118="","",INDEX('Detalle individual'!$F:$F,$H118))</f>
        <v/>
      </c>
      <c r="H118" t="str">
        <f>IFERROR(MATCH(SMALL(Cálculos!$AJ$5:$AJ$1000,114),Cálculos!$AJ$5:$AJ$1000,0)+4,"")</f>
        <v/>
      </c>
    </row>
    <row r="119">
      <c r="B119" s="5" t="str">
        <f>IF($H119="","",INDEX('Detalle individual'!$B:$B,$H119))</f>
        <v/>
      </c>
      <c r="C119" s="5" t="str">
        <f>IF($H119="","",INDEX('Detalle individual'!$A:$A,$H119))</f>
        <v/>
      </c>
      <c r="D119" s="5" t="str">
        <f>IF($H119="","",INDEX('Detalle individual'!$E:$E,$H119))</f>
        <v/>
      </c>
      <c r="E119" s="5" t="str">
        <f>IF($H119="","",INDEX('Detalle individual'!$C:$C,$H119))</f>
        <v/>
      </c>
      <c r="F119" s="5" t="str">
        <f>IF($H119="","",INDEX('Detalle individual'!$D:$D,$H119))</f>
        <v/>
      </c>
      <c r="G119" s="5" t="str">
        <f>IF($H119="","",INDEX('Detalle individual'!$F:$F,$H119))</f>
        <v/>
      </c>
      <c r="H119" t="str">
        <f>IFERROR(MATCH(SMALL(Cálculos!$AJ$5:$AJ$1000,115),Cálculos!$AJ$5:$AJ$1000,0)+4,"")</f>
        <v/>
      </c>
    </row>
    <row r="120">
      <c r="B120" s="5" t="str">
        <f>IF($H120="","",INDEX('Detalle individual'!$B:$B,$H120))</f>
        <v/>
      </c>
      <c r="C120" s="5" t="str">
        <f>IF($H120="","",INDEX('Detalle individual'!$A:$A,$H120))</f>
        <v/>
      </c>
      <c r="D120" s="5" t="str">
        <f>IF($H120="","",INDEX('Detalle individual'!$E:$E,$H120))</f>
        <v/>
      </c>
      <c r="E120" s="5" t="str">
        <f>IF($H120="","",INDEX('Detalle individual'!$C:$C,$H120))</f>
        <v/>
      </c>
      <c r="F120" s="5" t="str">
        <f>IF($H120="","",INDEX('Detalle individual'!$D:$D,$H120))</f>
        <v/>
      </c>
      <c r="G120" s="5" t="str">
        <f>IF($H120="","",INDEX('Detalle individual'!$F:$F,$H120))</f>
        <v/>
      </c>
      <c r="H120" t="str">
        <f>IFERROR(MATCH(SMALL(Cálculos!$AJ$5:$AJ$1000,116),Cálculos!$AJ$5:$AJ$1000,0)+4,"")</f>
        <v/>
      </c>
    </row>
    <row r="121">
      <c r="B121" s="5" t="str">
        <f>IF($H121="","",INDEX('Detalle individual'!$B:$B,$H121))</f>
        <v/>
      </c>
      <c r="C121" s="5" t="str">
        <f>IF($H121="","",INDEX('Detalle individual'!$A:$A,$H121))</f>
        <v/>
      </c>
      <c r="D121" s="5" t="str">
        <f>IF($H121="","",INDEX('Detalle individual'!$E:$E,$H121))</f>
        <v/>
      </c>
      <c r="E121" s="5" t="str">
        <f>IF($H121="","",INDEX('Detalle individual'!$C:$C,$H121))</f>
        <v/>
      </c>
      <c r="F121" s="5" t="str">
        <f>IF($H121="","",INDEX('Detalle individual'!$D:$D,$H121))</f>
        <v/>
      </c>
      <c r="G121" s="5" t="str">
        <f>IF($H121="","",INDEX('Detalle individual'!$F:$F,$H121))</f>
        <v/>
      </c>
      <c r="H121" t="str">
        <f>IFERROR(MATCH(SMALL(Cálculos!$AJ$5:$AJ$1000,117),Cálculos!$AJ$5:$AJ$1000,0)+4,"")</f>
        <v/>
      </c>
    </row>
    <row r="122">
      <c r="B122" s="5" t="str">
        <f>IF($H122="","",INDEX('Detalle individual'!$B:$B,$H122))</f>
        <v/>
      </c>
      <c r="C122" s="5" t="str">
        <f>IF($H122="","",INDEX('Detalle individual'!$A:$A,$H122))</f>
        <v/>
      </c>
      <c r="D122" s="5" t="str">
        <f>IF($H122="","",INDEX('Detalle individual'!$E:$E,$H122))</f>
        <v/>
      </c>
      <c r="E122" s="5" t="str">
        <f>IF($H122="","",INDEX('Detalle individual'!$C:$C,$H122))</f>
        <v/>
      </c>
      <c r="F122" s="5" t="str">
        <f>IF($H122="","",INDEX('Detalle individual'!$D:$D,$H122))</f>
        <v/>
      </c>
      <c r="G122" s="5" t="str">
        <f>IF($H122="","",INDEX('Detalle individual'!$F:$F,$H122))</f>
        <v/>
      </c>
      <c r="H122" t="str">
        <f>IFERROR(MATCH(SMALL(Cálculos!$AJ$5:$AJ$1000,118),Cálculos!$AJ$5:$AJ$1000,0)+4,"")</f>
        <v/>
      </c>
    </row>
    <row r="123">
      <c r="B123" s="5" t="str">
        <f>IF($H123="","",INDEX('Detalle individual'!$B:$B,$H123))</f>
        <v/>
      </c>
      <c r="C123" s="5" t="str">
        <f>IF($H123="","",INDEX('Detalle individual'!$A:$A,$H123))</f>
        <v/>
      </c>
      <c r="D123" s="5" t="str">
        <f>IF($H123="","",INDEX('Detalle individual'!$E:$E,$H123))</f>
        <v/>
      </c>
      <c r="E123" s="5" t="str">
        <f>IF($H123="","",INDEX('Detalle individual'!$C:$C,$H123))</f>
        <v/>
      </c>
      <c r="F123" s="5" t="str">
        <f>IF($H123="","",INDEX('Detalle individual'!$D:$D,$H123))</f>
        <v/>
      </c>
      <c r="G123" s="5" t="str">
        <f>IF($H123="","",INDEX('Detalle individual'!$F:$F,$H123))</f>
        <v/>
      </c>
      <c r="H123" t="str">
        <f>IFERROR(MATCH(SMALL(Cálculos!$AJ$5:$AJ$1000,119),Cálculos!$AJ$5:$AJ$1000,0)+4,"")</f>
        <v/>
      </c>
    </row>
    <row r="124">
      <c r="B124" s="5" t="str">
        <f>IF($H124="","",INDEX('Detalle individual'!$B:$B,$H124))</f>
        <v/>
      </c>
      <c r="C124" s="5" t="str">
        <f>IF($H124="","",INDEX('Detalle individual'!$A:$A,$H124))</f>
        <v/>
      </c>
      <c r="D124" s="5" t="str">
        <f>IF($H124="","",INDEX('Detalle individual'!$E:$E,$H124))</f>
        <v/>
      </c>
      <c r="E124" s="5" t="str">
        <f>IF($H124="","",INDEX('Detalle individual'!$C:$C,$H124))</f>
        <v/>
      </c>
      <c r="F124" s="5" t="str">
        <f>IF($H124="","",INDEX('Detalle individual'!$D:$D,$H124))</f>
        <v/>
      </c>
      <c r="G124" s="5" t="str">
        <f>IF($H124="","",INDEX('Detalle individual'!$F:$F,$H124))</f>
        <v/>
      </c>
      <c r="H124" t="str">
        <f>IFERROR(MATCH(SMALL(Cálculos!$AJ$5:$AJ$1000,120),Cálculos!$AJ$5:$AJ$1000,0)+4,"")</f>
        <v/>
      </c>
    </row>
    <row r="125">
      <c r="B125" s="5" t="str">
        <f>IF($H125="","",INDEX('Detalle individual'!$B:$B,$H125))</f>
        <v/>
      </c>
      <c r="C125" s="5" t="str">
        <f>IF($H125="","",INDEX('Detalle individual'!$A:$A,$H125))</f>
        <v/>
      </c>
      <c r="D125" s="5" t="str">
        <f>IF($H125="","",INDEX('Detalle individual'!$E:$E,$H125))</f>
        <v/>
      </c>
      <c r="E125" s="5" t="str">
        <f>IF($H125="","",INDEX('Detalle individual'!$C:$C,$H125))</f>
        <v/>
      </c>
      <c r="F125" s="5" t="str">
        <f>IF($H125="","",INDEX('Detalle individual'!$D:$D,$H125))</f>
        <v/>
      </c>
      <c r="G125" s="5" t="str">
        <f>IF($H125="","",INDEX('Detalle individual'!$F:$F,$H125))</f>
        <v/>
      </c>
      <c r="H125" t="str">
        <f>IFERROR(MATCH(SMALL(Cálculos!$AJ$5:$AJ$1000,121),Cálculos!$AJ$5:$AJ$1000,0)+4,"")</f>
        <v/>
      </c>
    </row>
    <row r="126">
      <c r="B126" s="5" t="str">
        <f>IF($H126="","",INDEX('Detalle individual'!$B:$B,$H126))</f>
        <v/>
      </c>
      <c r="C126" s="5" t="str">
        <f>IF($H126="","",INDEX('Detalle individual'!$A:$A,$H126))</f>
        <v/>
      </c>
      <c r="D126" s="5" t="str">
        <f>IF($H126="","",INDEX('Detalle individual'!$E:$E,$H126))</f>
        <v/>
      </c>
      <c r="E126" s="5" t="str">
        <f>IF($H126="","",INDEX('Detalle individual'!$C:$C,$H126))</f>
        <v/>
      </c>
      <c r="F126" s="5" t="str">
        <f>IF($H126="","",INDEX('Detalle individual'!$D:$D,$H126))</f>
        <v/>
      </c>
      <c r="G126" s="5" t="str">
        <f>IF($H126="","",INDEX('Detalle individual'!$F:$F,$H126))</f>
        <v/>
      </c>
      <c r="H126" t="str">
        <f>IFERROR(MATCH(SMALL(Cálculos!$AJ$5:$AJ$1000,122),Cálculos!$AJ$5:$AJ$1000,0)+4,"")</f>
        <v/>
      </c>
    </row>
    <row r="127">
      <c r="B127" s="5" t="str">
        <f>IF($H127="","",INDEX('Detalle individual'!$B:$B,$H127))</f>
        <v/>
      </c>
      <c r="C127" s="5" t="str">
        <f>IF($H127="","",INDEX('Detalle individual'!$A:$A,$H127))</f>
        <v/>
      </c>
      <c r="D127" s="5" t="str">
        <f>IF($H127="","",INDEX('Detalle individual'!$E:$E,$H127))</f>
        <v/>
      </c>
      <c r="E127" s="5" t="str">
        <f>IF($H127="","",INDEX('Detalle individual'!$C:$C,$H127))</f>
        <v/>
      </c>
      <c r="F127" s="5" t="str">
        <f>IF($H127="","",INDEX('Detalle individual'!$D:$D,$H127))</f>
        <v/>
      </c>
      <c r="G127" s="5" t="str">
        <f>IF($H127="","",INDEX('Detalle individual'!$F:$F,$H127))</f>
        <v/>
      </c>
      <c r="H127" t="str">
        <f>IFERROR(MATCH(SMALL(Cálculos!$AJ$5:$AJ$1000,123),Cálculos!$AJ$5:$AJ$1000,0)+4,"")</f>
        <v/>
      </c>
    </row>
    <row r="128">
      <c r="B128" s="5" t="str">
        <f>IF($H128="","",INDEX('Detalle individual'!$B:$B,$H128))</f>
        <v/>
      </c>
      <c r="C128" s="5" t="str">
        <f>IF($H128="","",INDEX('Detalle individual'!$A:$A,$H128))</f>
        <v/>
      </c>
      <c r="D128" s="5" t="str">
        <f>IF($H128="","",INDEX('Detalle individual'!$E:$E,$H128))</f>
        <v/>
      </c>
      <c r="E128" s="5" t="str">
        <f>IF($H128="","",INDEX('Detalle individual'!$C:$C,$H128))</f>
        <v/>
      </c>
      <c r="F128" s="5" t="str">
        <f>IF($H128="","",INDEX('Detalle individual'!$D:$D,$H128))</f>
        <v/>
      </c>
      <c r="G128" s="5" t="str">
        <f>IF($H128="","",INDEX('Detalle individual'!$F:$F,$H128))</f>
        <v/>
      </c>
      <c r="H128" t="str">
        <f>IFERROR(MATCH(SMALL(Cálculos!$AJ$5:$AJ$1000,124),Cálculos!$AJ$5:$AJ$1000,0)+4,"")</f>
        <v/>
      </c>
    </row>
    <row r="129">
      <c r="B129" s="5" t="str">
        <f>IF($H129="","",INDEX('Detalle individual'!$B:$B,$H129))</f>
        <v/>
      </c>
      <c r="C129" s="5" t="str">
        <f>IF($H129="","",INDEX('Detalle individual'!$A:$A,$H129))</f>
        <v/>
      </c>
      <c r="D129" s="5" t="str">
        <f>IF($H129="","",INDEX('Detalle individual'!$E:$E,$H129))</f>
        <v/>
      </c>
      <c r="E129" s="5" t="str">
        <f>IF($H129="","",INDEX('Detalle individual'!$C:$C,$H129))</f>
        <v/>
      </c>
      <c r="F129" s="5" t="str">
        <f>IF($H129="","",INDEX('Detalle individual'!$D:$D,$H129))</f>
        <v/>
      </c>
      <c r="G129" s="5" t="str">
        <f>IF($H129="","",INDEX('Detalle individual'!$F:$F,$H129))</f>
        <v/>
      </c>
      <c r="H129" t="str">
        <f>IFERROR(MATCH(SMALL(Cálculos!$AJ$5:$AJ$1000,125),Cálculos!$AJ$5:$AJ$1000,0)+4,"")</f>
        <v/>
      </c>
    </row>
    <row r="130">
      <c r="B130" s="5" t="str">
        <f>IF($H130="","",INDEX('Detalle individual'!$B:$B,$H130))</f>
        <v/>
      </c>
      <c r="C130" s="5" t="str">
        <f>IF($H130="","",INDEX('Detalle individual'!$A:$A,$H130))</f>
        <v/>
      </c>
      <c r="D130" s="5" t="str">
        <f>IF($H130="","",INDEX('Detalle individual'!$E:$E,$H130))</f>
        <v/>
      </c>
      <c r="E130" s="5" t="str">
        <f>IF($H130="","",INDEX('Detalle individual'!$C:$C,$H130))</f>
        <v/>
      </c>
      <c r="F130" s="5" t="str">
        <f>IF($H130="","",INDEX('Detalle individual'!$D:$D,$H130))</f>
        <v/>
      </c>
      <c r="G130" s="5" t="str">
        <f>IF($H130="","",INDEX('Detalle individual'!$F:$F,$H130))</f>
        <v/>
      </c>
      <c r="H130" t="str">
        <f>IFERROR(MATCH(SMALL(Cálculos!$AJ$5:$AJ$1000,126),Cálculos!$AJ$5:$AJ$1000,0)+4,"")</f>
        <v/>
      </c>
    </row>
    <row r="131">
      <c r="B131" s="5" t="str">
        <f>IF($H131="","",INDEX('Detalle individual'!$B:$B,$H131))</f>
        <v/>
      </c>
      <c r="C131" s="5" t="str">
        <f>IF($H131="","",INDEX('Detalle individual'!$A:$A,$H131))</f>
        <v/>
      </c>
      <c r="D131" s="5" t="str">
        <f>IF($H131="","",INDEX('Detalle individual'!$E:$E,$H131))</f>
        <v/>
      </c>
      <c r="E131" s="5" t="str">
        <f>IF($H131="","",INDEX('Detalle individual'!$C:$C,$H131))</f>
        <v/>
      </c>
      <c r="F131" s="5" t="str">
        <f>IF($H131="","",INDEX('Detalle individual'!$D:$D,$H131))</f>
        <v/>
      </c>
      <c r="G131" s="5" t="str">
        <f>IF($H131="","",INDEX('Detalle individual'!$F:$F,$H131))</f>
        <v/>
      </c>
      <c r="H131" t="str">
        <f>IFERROR(MATCH(SMALL(Cálculos!$AJ$5:$AJ$1000,127),Cálculos!$AJ$5:$AJ$1000,0)+4,"")</f>
        <v/>
      </c>
    </row>
    <row r="132">
      <c r="B132" s="5" t="str">
        <f>IF($H132="","",INDEX('Detalle individual'!$B:$B,$H132))</f>
        <v/>
      </c>
      <c r="C132" s="5" t="str">
        <f>IF($H132="","",INDEX('Detalle individual'!$A:$A,$H132))</f>
        <v/>
      </c>
      <c r="D132" s="5" t="str">
        <f>IF($H132="","",INDEX('Detalle individual'!$E:$E,$H132))</f>
        <v/>
      </c>
      <c r="E132" s="5" t="str">
        <f>IF($H132="","",INDEX('Detalle individual'!$C:$C,$H132))</f>
        <v/>
      </c>
      <c r="F132" s="5" t="str">
        <f>IF($H132="","",INDEX('Detalle individual'!$D:$D,$H132))</f>
        <v/>
      </c>
      <c r="G132" s="5" t="str">
        <f>IF($H132="","",INDEX('Detalle individual'!$F:$F,$H132))</f>
        <v/>
      </c>
      <c r="H132" t="str">
        <f>IFERROR(MATCH(SMALL(Cálculos!$AJ$5:$AJ$1000,128),Cálculos!$AJ$5:$AJ$1000,0)+4,"")</f>
        <v/>
      </c>
    </row>
    <row r="133">
      <c r="B133" s="5" t="str">
        <f>IF($H133="","",INDEX('Detalle individual'!$B:$B,$H133))</f>
        <v/>
      </c>
      <c r="C133" s="5" t="str">
        <f>IF($H133="","",INDEX('Detalle individual'!$A:$A,$H133))</f>
        <v/>
      </c>
      <c r="D133" s="5" t="str">
        <f>IF($H133="","",INDEX('Detalle individual'!$E:$E,$H133))</f>
        <v/>
      </c>
      <c r="E133" s="5" t="str">
        <f>IF($H133="","",INDEX('Detalle individual'!$C:$C,$H133))</f>
        <v/>
      </c>
      <c r="F133" s="5" t="str">
        <f>IF($H133="","",INDEX('Detalle individual'!$D:$D,$H133))</f>
        <v/>
      </c>
      <c r="G133" s="5" t="str">
        <f>IF($H133="","",INDEX('Detalle individual'!$F:$F,$H133))</f>
        <v/>
      </c>
      <c r="H133" t="str">
        <f>IFERROR(MATCH(SMALL(Cálculos!$AJ$5:$AJ$1000,129),Cálculos!$AJ$5:$AJ$1000,0)+4,"")</f>
        <v/>
      </c>
    </row>
    <row r="134">
      <c r="B134" s="5" t="str">
        <f>IF($H134="","",INDEX('Detalle individual'!$B:$B,$H134))</f>
        <v/>
      </c>
      <c r="C134" s="5" t="str">
        <f>IF($H134="","",INDEX('Detalle individual'!$A:$A,$H134))</f>
        <v/>
      </c>
      <c r="D134" s="5" t="str">
        <f>IF($H134="","",INDEX('Detalle individual'!$E:$E,$H134))</f>
        <v/>
      </c>
      <c r="E134" s="5" t="str">
        <f>IF($H134="","",INDEX('Detalle individual'!$C:$C,$H134))</f>
        <v/>
      </c>
      <c r="F134" s="5" t="str">
        <f>IF($H134="","",INDEX('Detalle individual'!$D:$D,$H134))</f>
        <v/>
      </c>
      <c r="G134" s="5" t="str">
        <f>IF($H134="","",INDEX('Detalle individual'!$F:$F,$H134))</f>
        <v/>
      </c>
      <c r="H134" t="str">
        <f>IFERROR(MATCH(SMALL(Cálculos!$AJ$5:$AJ$1000,130),Cálculos!$AJ$5:$AJ$1000,0)+4,"")</f>
        <v/>
      </c>
    </row>
    <row r="135">
      <c r="B135" s="5" t="str">
        <f>IF($H135="","",INDEX('Detalle individual'!$B:$B,$H135))</f>
        <v/>
      </c>
      <c r="C135" s="5" t="str">
        <f>IF($H135="","",INDEX('Detalle individual'!$A:$A,$H135))</f>
        <v/>
      </c>
      <c r="D135" s="5" t="str">
        <f>IF($H135="","",INDEX('Detalle individual'!$E:$E,$H135))</f>
        <v/>
      </c>
      <c r="E135" s="5" t="str">
        <f>IF($H135="","",INDEX('Detalle individual'!$C:$C,$H135))</f>
        <v/>
      </c>
      <c r="F135" s="5" t="str">
        <f>IF($H135="","",INDEX('Detalle individual'!$D:$D,$H135))</f>
        <v/>
      </c>
      <c r="G135" s="5" t="str">
        <f>IF($H135="","",INDEX('Detalle individual'!$F:$F,$H135))</f>
        <v/>
      </c>
      <c r="H135" t="str">
        <f>IFERROR(MATCH(SMALL(Cálculos!$AJ$5:$AJ$1000,131),Cálculos!$AJ$5:$AJ$1000,0)+4,"")</f>
        <v/>
      </c>
    </row>
    <row r="136">
      <c r="B136" s="5" t="str">
        <f>IF($H136="","",INDEX('Detalle individual'!$B:$B,$H136))</f>
        <v/>
      </c>
      <c r="C136" s="5" t="str">
        <f>IF($H136="","",INDEX('Detalle individual'!$A:$A,$H136))</f>
        <v/>
      </c>
      <c r="D136" s="5" t="str">
        <f>IF($H136="","",INDEX('Detalle individual'!$E:$E,$H136))</f>
        <v/>
      </c>
      <c r="E136" s="5" t="str">
        <f>IF($H136="","",INDEX('Detalle individual'!$C:$C,$H136))</f>
        <v/>
      </c>
      <c r="F136" s="5" t="str">
        <f>IF($H136="","",INDEX('Detalle individual'!$D:$D,$H136))</f>
        <v/>
      </c>
      <c r="G136" s="5" t="str">
        <f>IF($H136="","",INDEX('Detalle individual'!$F:$F,$H136))</f>
        <v/>
      </c>
      <c r="H136" t="str">
        <f>IFERROR(MATCH(SMALL(Cálculos!$AJ$5:$AJ$1000,132),Cálculos!$AJ$5:$AJ$1000,0)+4,"")</f>
        <v/>
      </c>
    </row>
    <row r="137">
      <c r="B137" s="5" t="str">
        <f>IF($H137="","",INDEX('Detalle individual'!$B:$B,$H137))</f>
        <v/>
      </c>
      <c r="C137" s="5" t="str">
        <f>IF($H137="","",INDEX('Detalle individual'!$A:$A,$H137))</f>
        <v/>
      </c>
      <c r="D137" s="5" t="str">
        <f>IF($H137="","",INDEX('Detalle individual'!$E:$E,$H137))</f>
        <v/>
      </c>
      <c r="E137" s="5" t="str">
        <f>IF($H137="","",INDEX('Detalle individual'!$C:$C,$H137))</f>
        <v/>
      </c>
      <c r="F137" s="5" t="str">
        <f>IF($H137="","",INDEX('Detalle individual'!$D:$D,$H137))</f>
        <v/>
      </c>
      <c r="G137" s="5" t="str">
        <f>IF($H137="","",INDEX('Detalle individual'!$F:$F,$H137))</f>
        <v/>
      </c>
      <c r="H137" t="str">
        <f>IFERROR(MATCH(SMALL(Cálculos!$AJ$5:$AJ$1000,133),Cálculos!$AJ$5:$AJ$1000,0)+4,"")</f>
        <v/>
      </c>
    </row>
    <row r="138">
      <c r="B138" s="5" t="str">
        <f>IF($H138="","",INDEX('Detalle individual'!$B:$B,$H138))</f>
        <v/>
      </c>
      <c r="C138" s="5" t="str">
        <f>IF($H138="","",INDEX('Detalle individual'!$A:$A,$H138))</f>
        <v/>
      </c>
      <c r="D138" s="5" t="str">
        <f>IF($H138="","",INDEX('Detalle individual'!$E:$E,$H138))</f>
        <v/>
      </c>
      <c r="E138" s="5" t="str">
        <f>IF($H138="","",INDEX('Detalle individual'!$C:$C,$H138))</f>
        <v/>
      </c>
      <c r="F138" s="5" t="str">
        <f>IF($H138="","",INDEX('Detalle individual'!$D:$D,$H138))</f>
        <v/>
      </c>
      <c r="G138" s="5" t="str">
        <f>IF($H138="","",INDEX('Detalle individual'!$F:$F,$H138))</f>
        <v/>
      </c>
      <c r="H138" t="str">
        <f>IFERROR(MATCH(SMALL(Cálculos!$AJ$5:$AJ$1000,134),Cálculos!$AJ$5:$AJ$1000,0)+4,"")</f>
        <v/>
      </c>
    </row>
    <row r="139">
      <c r="B139" s="5" t="str">
        <f>IF($H139="","",INDEX('Detalle individual'!$B:$B,$H139))</f>
        <v/>
      </c>
      <c r="C139" s="5" t="str">
        <f>IF($H139="","",INDEX('Detalle individual'!$A:$A,$H139))</f>
        <v/>
      </c>
      <c r="D139" s="5" t="str">
        <f>IF($H139="","",INDEX('Detalle individual'!$E:$E,$H139))</f>
        <v/>
      </c>
      <c r="E139" s="5" t="str">
        <f>IF($H139="","",INDEX('Detalle individual'!$C:$C,$H139))</f>
        <v/>
      </c>
      <c r="F139" s="5" t="str">
        <f>IF($H139="","",INDEX('Detalle individual'!$D:$D,$H139))</f>
        <v/>
      </c>
      <c r="G139" s="5" t="str">
        <f>IF($H139="","",INDEX('Detalle individual'!$F:$F,$H139))</f>
        <v/>
      </c>
      <c r="H139" t="str">
        <f>IFERROR(MATCH(SMALL(Cálculos!$AJ$5:$AJ$1000,135),Cálculos!$AJ$5:$AJ$1000,0)+4,"")</f>
        <v/>
      </c>
    </row>
    <row r="140">
      <c r="B140" s="5" t="str">
        <f>IF($H140="","",INDEX('Detalle individual'!$B:$B,$H140))</f>
        <v/>
      </c>
      <c r="C140" s="5" t="str">
        <f>IF($H140="","",INDEX('Detalle individual'!$A:$A,$H140))</f>
        <v/>
      </c>
      <c r="D140" s="5" t="str">
        <f>IF($H140="","",INDEX('Detalle individual'!$E:$E,$H140))</f>
        <v/>
      </c>
      <c r="E140" s="5" t="str">
        <f>IF($H140="","",INDEX('Detalle individual'!$C:$C,$H140))</f>
        <v/>
      </c>
      <c r="F140" s="5" t="str">
        <f>IF($H140="","",INDEX('Detalle individual'!$D:$D,$H140))</f>
        <v/>
      </c>
      <c r="G140" s="5" t="str">
        <f>IF($H140="","",INDEX('Detalle individual'!$F:$F,$H140))</f>
        <v/>
      </c>
      <c r="H140" t="str">
        <f>IFERROR(MATCH(SMALL(Cálculos!$AJ$5:$AJ$1000,136),Cálculos!$AJ$5:$AJ$1000,0)+4,"")</f>
        <v/>
      </c>
    </row>
    <row r="141">
      <c r="B141" s="5" t="str">
        <f>IF($H141="","",INDEX('Detalle individual'!$B:$B,$H141))</f>
        <v/>
      </c>
      <c r="C141" s="5" t="str">
        <f>IF($H141="","",INDEX('Detalle individual'!$A:$A,$H141))</f>
        <v/>
      </c>
      <c r="D141" s="5" t="str">
        <f>IF($H141="","",INDEX('Detalle individual'!$E:$E,$H141))</f>
        <v/>
      </c>
      <c r="E141" s="5" t="str">
        <f>IF($H141="","",INDEX('Detalle individual'!$C:$C,$H141))</f>
        <v/>
      </c>
      <c r="F141" s="5" t="str">
        <f>IF($H141="","",INDEX('Detalle individual'!$D:$D,$H141))</f>
        <v/>
      </c>
      <c r="G141" s="5" t="str">
        <f>IF($H141="","",INDEX('Detalle individual'!$F:$F,$H141))</f>
        <v/>
      </c>
      <c r="H141" t="str">
        <f>IFERROR(MATCH(SMALL(Cálculos!$AJ$5:$AJ$1000,137),Cálculos!$AJ$5:$AJ$1000,0)+4,"")</f>
        <v/>
      </c>
    </row>
    <row r="142">
      <c r="B142" s="5" t="str">
        <f>IF($H142="","",INDEX('Detalle individual'!$B:$B,$H142))</f>
        <v/>
      </c>
      <c r="C142" s="5" t="str">
        <f>IF($H142="","",INDEX('Detalle individual'!$A:$A,$H142))</f>
        <v/>
      </c>
      <c r="D142" s="5" t="str">
        <f>IF($H142="","",INDEX('Detalle individual'!$E:$E,$H142))</f>
        <v/>
      </c>
      <c r="E142" s="5" t="str">
        <f>IF($H142="","",INDEX('Detalle individual'!$C:$C,$H142))</f>
        <v/>
      </c>
      <c r="F142" s="5" t="str">
        <f>IF($H142="","",INDEX('Detalle individual'!$D:$D,$H142))</f>
        <v/>
      </c>
      <c r="G142" s="5" t="str">
        <f>IF($H142="","",INDEX('Detalle individual'!$F:$F,$H142))</f>
        <v/>
      </c>
      <c r="H142" t="str">
        <f>IFERROR(MATCH(SMALL(Cálculos!$AJ$5:$AJ$1000,138),Cálculos!$AJ$5:$AJ$1000,0)+4,"")</f>
        <v/>
      </c>
    </row>
    <row r="143">
      <c r="B143" s="5" t="str">
        <f>IF($H143="","",INDEX('Detalle individual'!$B:$B,$H143))</f>
        <v/>
      </c>
      <c r="C143" s="5" t="str">
        <f>IF($H143="","",INDEX('Detalle individual'!$A:$A,$H143))</f>
        <v/>
      </c>
      <c r="D143" s="5" t="str">
        <f>IF($H143="","",INDEX('Detalle individual'!$E:$E,$H143))</f>
        <v/>
      </c>
      <c r="E143" s="5" t="str">
        <f>IF($H143="","",INDEX('Detalle individual'!$C:$C,$H143))</f>
        <v/>
      </c>
      <c r="F143" s="5" t="str">
        <f>IF($H143="","",INDEX('Detalle individual'!$D:$D,$H143))</f>
        <v/>
      </c>
      <c r="G143" s="5" t="str">
        <f>IF($H143="","",INDEX('Detalle individual'!$F:$F,$H143))</f>
        <v/>
      </c>
      <c r="H143" t="str">
        <f>IFERROR(MATCH(SMALL(Cálculos!$AJ$5:$AJ$1000,139),Cálculos!$AJ$5:$AJ$1000,0)+4,"")</f>
        <v/>
      </c>
    </row>
    <row r="144">
      <c r="B144" s="5" t="str">
        <f>IF($H144="","",INDEX('Detalle individual'!$B:$B,$H144))</f>
        <v/>
      </c>
      <c r="C144" s="5" t="str">
        <f>IF($H144="","",INDEX('Detalle individual'!$A:$A,$H144))</f>
        <v/>
      </c>
      <c r="D144" s="5" t="str">
        <f>IF($H144="","",INDEX('Detalle individual'!$E:$E,$H144))</f>
        <v/>
      </c>
      <c r="E144" s="5" t="str">
        <f>IF($H144="","",INDEX('Detalle individual'!$C:$C,$H144))</f>
        <v/>
      </c>
      <c r="F144" s="5" t="str">
        <f>IF($H144="","",INDEX('Detalle individual'!$D:$D,$H144))</f>
        <v/>
      </c>
      <c r="G144" s="5" t="str">
        <f>IF($H144="","",INDEX('Detalle individual'!$F:$F,$H144))</f>
        <v/>
      </c>
      <c r="H144" t="str">
        <f>IFERROR(MATCH(SMALL(Cálculos!$AJ$5:$AJ$1000,140),Cálculos!$AJ$5:$AJ$1000,0)+4,"")</f>
        <v/>
      </c>
    </row>
    <row r="145">
      <c r="B145" s="5" t="str">
        <f>IF($H145="","",INDEX('Detalle individual'!$B:$B,$H145))</f>
        <v/>
      </c>
      <c r="C145" s="5" t="str">
        <f>IF($H145="","",INDEX('Detalle individual'!$A:$A,$H145))</f>
        <v/>
      </c>
      <c r="D145" s="5" t="str">
        <f>IF($H145="","",INDEX('Detalle individual'!$E:$E,$H145))</f>
        <v/>
      </c>
      <c r="E145" s="5" t="str">
        <f>IF($H145="","",INDEX('Detalle individual'!$C:$C,$H145))</f>
        <v/>
      </c>
      <c r="F145" s="5" t="str">
        <f>IF($H145="","",INDEX('Detalle individual'!$D:$D,$H145))</f>
        <v/>
      </c>
      <c r="G145" s="5" t="str">
        <f>IF($H145="","",INDEX('Detalle individual'!$F:$F,$H145))</f>
        <v/>
      </c>
      <c r="H145" t="str">
        <f>IFERROR(MATCH(SMALL(Cálculos!$AJ$5:$AJ$1000,141),Cálculos!$AJ$5:$AJ$1000,0)+4,"")</f>
        <v/>
      </c>
    </row>
    <row r="146">
      <c r="B146" s="5" t="str">
        <f>IF($H146="","",INDEX('Detalle individual'!$B:$B,$H146))</f>
        <v/>
      </c>
      <c r="C146" s="5" t="str">
        <f>IF($H146="","",INDEX('Detalle individual'!$A:$A,$H146))</f>
        <v/>
      </c>
      <c r="D146" s="5" t="str">
        <f>IF($H146="","",INDEX('Detalle individual'!$E:$E,$H146))</f>
        <v/>
      </c>
      <c r="E146" s="5" t="str">
        <f>IF($H146="","",INDEX('Detalle individual'!$C:$C,$H146))</f>
        <v/>
      </c>
      <c r="F146" s="5" t="str">
        <f>IF($H146="","",INDEX('Detalle individual'!$D:$D,$H146))</f>
        <v/>
      </c>
      <c r="G146" s="5" t="str">
        <f>IF($H146="","",INDEX('Detalle individual'!$F:$F,$H146))</f>
        <v/>
      </c>
      <c r="H146" t="str">
        <f>IFERROR(MATCH(SMALL(Cálculos!$AJ$5:$AJ$1000,142),Cálculos!$AJ$5:$AJ$1000,0)+4,"")</f>
        <v/>
      </c>
    </row>
    <row r="147">
      <c r="B147" s="5" t="str">
        <f>IF($H147="","",INDEX('Detalle individual'!$B:$B,$H147))</f>
        <v/>
      </c>
      <c r="C147" s="5" t="str">
        <f>IF($H147="","",INDEX('Detalle individual'!$A:$A,$H147))</f>
        <v/>
      </c>
      <c r="D147" s="5" t="str">
        <f>IF($H147="","",INDEX('Detalle individual'!$E:$E,$H147))</f>
        <v/>
      </c>
      <c r="E147" s="5" t="str">
        <f>IF($H147="","",INDEX('Detalle individual'!$C:$C,$H147))</f>
        <v/>
      </c>
      <c r="F147" s="5" t="str">
        <f>IF($H147="","",INDEX('Detalle individual'!$D:$D,$H147))</f>
        <v/>
      </c>
      <c r="G147" s="5" t="str">
        <f>IF($H147="","",INDEX('Detalle individual'!$F:$F,$H147))</f>
        <v/>
      </c>
      <c r="H147" t="str">
        <f>IFERROR(MATCH(SMALL(Cálculos!$AJ$5:$AJ$1000,143),Cálculos!$AJ$5:$AJ$1000,0)+4,"")</f>
        <v/>
      </c>
    </row>
    <row r="148">
      <c r="B148" s="5" t="str">
        <f>IF($H148="","",INDEX('Detalle individual'!$B:$B,$H148))</f>
        <v/>
      </c>
      <c r="C148" s="5" t="str">
        <f>IF($H148="","",INDEX('Detalle individual'!$A:$A,$H148))</f>
        <v/>
      </c>
      <c r="D148" s="5" t="str">
        <f>IF($H148="","",INDEX('Detalle individual'!$E:$E,$H148))</f>
        <v/>
      </c>
      <c r="E148" s="5" t="str">
        <f>IF($H148="","",INDEX('Detalle individual'!$C:$C,$H148))</f>
        <v/>
      </c>
      <c r="F148" s="5" t="str">
        <f>IF($H148="","",INDEX('Detalle individual'!$D:$D,$H148))</f>
        <v/>
      </c>
      <c r="G148" s="5" t="str">
        <f>IF($H148="","",INDEX('Detalle individual'!$F:$F,$H148))</f>
        <v/>
      </c>
      <c r="H148" t="str">
        <f>IFERROR(MATCH(SMALL(Cálculos!$AJ$5:$AJ$1000,144),Cálculos!$AJ$5:$AJ$1000,0)+4,"")</f>
        <v/>
      </c>
    </row>
    <row r="149">
      <c r="B149" s="5" t="str">
        <f>IF($H149="","",INDEX('Detalle individual'!$B:$B,$H149))</f>
        <v/>
      </c>
      <c r="C149" s="5" t="str">
        <f>IF($H149="","",INDEX('Detalle individual'!$A:$A,$H149))</f>
        <v/>
      </c>
      <c r="D149" s="5" t="str">
        <f>IF($H149="","",INDEX('Detalle individual'!$E:$E,$H149))</f>
        <v/>
      </c>
      <c r="E149" s="5" t="str">
        <f>IF($H149="","",INDEX('Detalle individual'!$C:$C,$H149))</f>
        <v/>
      </c>
      <c r="F149" s="5" t="str">
        <f>IF($H149="","",INDEX('Detalle individual'!$D:$D,$H149))</f>
        <v/>
      </c>
      <c r="G149" s="5" t="str">
        <f>IF($H149="","",INDEX('Detalle individual'!$F:$F,$H149))</f>
        <v/>
      </c>
      <c r="H149" t="str">
        <f>IFERROR(MATCH(SMALL(Cálculos!$AJ$5:$AJ$1000,145),Cálculos!$AJ$5:$AJ$1000,0)+4,"")</f>
        <v/>
      </c>
    </row>
    <row r="150">
      <c r="B150" s="5" t="str">
        <f>IF($H150="","",INDEX('Detalle individual'!$B:$B,$H150))</f>
        <v/>
      </c>
      <c r="C150" s="5" t="str">
        <f>IF($H150="","",INDEX('Detalle individual'!$A:$A,$H150))</f>
        <v/>
      </c>
      <c r="D150" s="5" t="str">
        <f>IF($H150="","",INDEX('Detalle individual'!$E:$E,$H150))</f>
        <v/>
      </c>
      <c r="E150" s="5" t="str">
        <f>IF($H150="","",INDEX('Detalle individual'!$C:$C,$H150))</f>
        <v/>
      </c>
      <c r="F150" s="5" t="str">
        <f>IF($H150="","",INDEX('Detalle individual'!$D:$D,$H150))</f>
        <v/>
      </c>
      <c r="G150" s="5" t="str">
        <f>IF($H150="","",INDEX('Detalle individual'!$F:$F,$H150))</f>
        <v/>
      </c>
      <c r="H150" t="str">
        <f>IFERROR(MATCH(SMALL(Cálculos!$AJ$5:$AJ$1000,146),Cálculos!$AJ$5:$AJ$1000,0)+4,"")</f>
        <v/>
      </c>
    </row>
    <row r="151">
      <c r="B151" s="5" t="str">
        <f>IF($H151="","",INDEX('Detalle individual'!$B:$B,$H151))</f>
        <v/>
      </c>
      <c r="C151" s="5" t="str">
        <f>IF($H151="","",INDEX('Detalle individual'!$A:$A,$H151))</f>
        <v/>
      </c>
      <c r="D151" s="5" t="str">
        <f>IF($H151="","",INDEX('Detalle individual'!$E:$E,$H151))</f>
        <v/>
      </c>
      <c r="E151" s="5" t="str">
        <f>IF($H151="","",INDEX('Detalle individual'!$C:$C,$H151))</f>
        <v/>
      </c>
      <c r="F151" s="5" t="str">
        <f>IF($H151="","",INDEX('Detalle individual'!$D:$D,$H151))</f>
        <v/>
      </c>
      <c r="G151" s="5" t="str">
        <f>IF($H151="","",INDEX('Detalle individual'!$F:$F,$H151))</f>
        <v/>
      </c>
      <c r="H151" t="str">
        <f>IFERROR(MATCH(SMALL(Cálculos!$AJ$5:$AJ$1000,147),Cálculos!$AJ$5:$AJ$1000,0)+4,"")</f>
        <v/>
      </c>
    </row>
    <row r="152">
      <c r="B152" s="5" t="str">
        <f>IF($H152="","",INDEX('Detalle individual'!$B:$B,$H152))</f>
        <v/>
      </c>
      <c r="C152" s="5" t="str">
        <f>IF($H152="","",INDEX('Detalle individual'!$A:$A,$H152))</f>
        <v/>
      </c>
      <c r="D152" s="5" t="str">
        <f>IF($H152="","",INDEX('Detalle individual'!$E:$E,$H152))</f>
        <v/>
      </c>
      <c r="E152" s="5" t="str">
        <f>IF($H152="","",INDEX('Detalle individual'!$C:$C,$H152))</f>
        <v/>
      </c>
      <c r="F152" s="5" t="str">
        <f>IF($H152="","",INDEX('Detalle individual'!$D:$D,$H152))</f>
        <v/>
      </c>
      <c r="G152" s="5" t="str">
        <f>IF($H152="","",INDEX('Detalle individual'!$F:$F,$H152))</f>
        <v/>
      </c>
      <c r="H152" t="str">
        <f>IFERROR(MATCH(SMALL(Cálculos!$AJ$5:$AJ$1000,148),Cálculos!$AJ$5:$AJ$1000,0)+4,"")</f>
        <v/>
      </c>
    </row>
    <row r="153">
      <c r="B153" s="5" t="str">
        <f>IF($H153="","",INDEX('Detalle individual'!$B:$B,$H153))</f>
        <v/>
      </c>
      <c r="C153" s="5" t="str">
        <f>IF($H153="","",INDEX('Detalle individual'!$A:$A,$H153))</f>
        <v/>
      </c>
      <c r="D153" s="5" t="str">
        <f>IF($H153="","",INDEX('Detalle individual'!$E:$E,$H153))</f>
        <v/>
      </c>
      <c r="E153" s="5" t="str">
        <f>IF($H153="","",INDEX('Detalle individual'!$C:$C,$H153))</f>
        <v/>
      </c>
      <c r="F153" s="5" t="str">
        <f>IF($H153="","",INDEX('Detalle individual'!$D:$D,$H153))</f>
        <v/>
      </c>
      <c r="G153" s="5" t="str">
        <f>IF($H153="","",INDEX('Detalle individual'!$F:$F,$H153))</f>
        <v/>
      </c>
      <c r="H153" t="str">
        <f>IFERROR(MATCH(SMALL(Cálculos!$AJ$5:$AJ$1000,149),Cálculos!$AJ$5:$AJ$1000,0)+4,"")</f>
        <v/>
      </c>
    </row>
    <row r="154">
      <c r="B154" s="5" t="str">
        <f>IF($H154="","",INDEX('Detalle individual'!$B:$B,$H154))</f>
        <v/>
      </c>
      <c r="C154" s="5" t="str">
        <f>IF($H154="","",INDEX('Detalle individual'!$A:$A,$H154))</f>
        <v/>
      </c>
      <c r="D154" s="5" t="str">
        <f>IF($H154="","",INDEX('Detalle individual'!$E:$E,$H154))</f>
        <v/>
      </c>
      <c r="E154" s="5" t="str">
        <f>IF($H154="","",INDEX('Detalle individual'!$C:$C,$H154))</f>
        <v/>
      </c>
      <c r="F154" s="5" t="str">
        <f>IF($H154="","",INDEX('Detalle individual'!$D:$D,$H154))</f>
        <v/>
      </c>
      <c r="G154" s="5" t="str">
        <f>IF($H154="","",INDEX('Detalle individual'!$F:$F,$H154))</f>
        <v/>
      </c>
      <c r="H154" t="str">
        <f>IFERROR(MATCH(SMALL(Cálculos!$AJ$5:$AJ$1000,150),Cálculos!$AJ$5:$AJ$1000,0)+4,"")</f>
        <v/>
      </c>
    </row>
    <row r="155">
      <c r="B155" s="5" t="str">
        <f>IF($H155="","",INDEX('Detalle individual'!$B:$B,$H155))</f>
        <v/>
      </c>
      <c r="C155" s="5" t="str">
        <f>IF($H155="","",INDEX('Detalle individual'!$A:$A,$H155))</f>
        <v/>
      </c>
      <c r="D155" s="5" t="str">
        <f>IF($H155="","",INDEX('Detalle individual'!$E:$E,$H155))</f>
        <v/>
      </c>
      <c r="E155" s="5" t="str">
        <f>IF($H155="","",INDEX('Detalle individual'!$C:$C,$H155))</f>
        <v/>
      </c>
      <c r="F155" s="5" t="str">
        <f>IF($H155="","",INDEX('Detalle individual'!$D:$D,$H155))</f>
        <v/>
      </c>
      <c r="G155" s="5" t="str">
        <f>IF($H155="","",INDEX('Detalle individual'!$F:$F,$H155))</f>
        <v/>
      </c>
      <c r="H155" t="str">
        <f>IFERROR(MATCH(SMALL(Cálculos!$AJ$5:$AJ$1000,151),Cálculos!$AJ$5:$AJ$1000,0)+4,"")</f>
        <v/>
      </c>
    </row>
    <row r="156">
      <c r="B156" s="5" t="str">
        <f>IF($H156="","",INDEX('Detalle individual'!$B:$B,$H156))</f>
        <v/>
      </c>
      <c r="C156" s="5" t="str">
        <f>IF($H156="","",INDEX('Detalle individual'!$A:$A,$H156))</f>
        <v/>
      </c>
      <c r="D156" s="5" t="str">
        <f>IF($H156="","",INDEX('Detalle individual'!$E:$E,$H156))</f>
        <v/>
      </c>
      <c r="E156" s="5" t="str">
        <f>IF($H156="","",INDEX('Detalle individual'!$C:$C,$H156))</f>
        <v/>
      </c>
      <c r="F156" s="5" t="str">
        <f>IF($H156="","",INDEX('Detalle individual'!$D:$D,$H156))</f>
        <v/>
      </c>
      <c r="G156" s="5" t="str">
        <f>IF($H156="","",INDEX('Detalle individual'!$F:$F,$H156))</f>
        <v/>
      </c>
      <c r="H156" t="str">
        <f>IFERROR(MATCH(SMALL(Cálculos!$AJ$5:$AJ$1000,152),Cálculos!$AJ$5:$AJ$1000,0)+4,"")</f>
        <v/>
      </c>
    </row>
    <row r="157">
      <c r="B157" s="5" t="str">
        <f>IF($H157="","",INDEX('Detalle individual'!$B:$B,$H157))</f>
        <v/>
      </c>
      <c r="C157" s="5" t="str">
        <f>IF($H157="","",INDEX('Detalle individual'!$A:$A,$H157))</f>
        <v/>
      </c>
      <c r="D157" s="5" t="str">
        <f>IF($H157="","",INDEX('Detalle individual'!$E:$E,$H157))</f>
        <v/>
      </c>
      <c r="E157" s="5" t="str">
        <f>IF($H157="","",INDEX('Detalle individual'!$C:$C,$H157))</f>
        <v/>
      </c>
      <c r="F157" s="5" t="str">
        <f>IF($H157="","",INDEX('Detalle individual'!$D:$D,$H157))</f>
        <v/>
      </c>
      <c r="G157" s="5" t="str">
        <f>IF($H157="","",INDEX('Detalle individual'!$F:$F,$H157))</f>
        <v/>
      </c>
      <c r="H157" t="str">
        <f>IFERROR(MATCH(SMALL(Cálculos!$AJ$5:$AJ$1000,153),Cálculos!$AJ$5:$AJ$1000,0)+4,"")</f>
        <v/>
      </c>
    </row>
    <row r="158">
      <c r="B158" s="5" t="str">
        <f>IF($H158="","",INDEX('Detalle individual'!$B:$B,$H158))</f>
        <v/>
      </c>
      <c r="C158" s="5" t="str">
        <f>IF($H158="","",INDEX('Detalle individual'!$A:$A,$H158))</f>
        <v/>
      </c>
      <c r="D158" s="5" t="str">
        <f>IF($H158="","",INDEX('Detalle individual'!$E:$E,$H158))</f>
        <v/>
      </c>
      <c r="E158" s="5" t="str">
        <f>IF($H158="","",INDEX('Detalle individual'!$C:$C,$H158))</f>
        <v/>
      </c>
      <c r="F158" s="5" t="str">
        <f>IF($H158="","",INDEX('Detalle individual'!$D:$D,$H158))</f>
        <v/>
      </c>
      <c r="G158" s="5" t="str">
        <f>IF($H158="","",INDEX('Detalle individual'!$F:$F,$H158))</f>
        <v/>
      </c>
      <c r="H158" t="str">
        <f>IFERROR(MATCH(SMALL(Cálculos!$AJ$5:$AJ$1000,154),Cálculos!$AJ$5:$AJ$1000,0)+4,"")</f>
        <v/>
      </c>
    </row>
    <row r="159">
      <c r="B159" s="5" t="str">
        <f>IF($H159="","",INDEX('Detalle individual'!$B:$B,$H159))</f>
        <v/>
      </c>
      <c r="C159" s="5" t="str">
        <f>IF($H159="","",INDEX('Detalle individual'!$A:$A,$H159))</f>
        <v/>
      </c>
      <c r="D159" s="5" t="str">
        <f>IF($H159="","",INDEX('Detalle individual'!$E:$E,$H159))</f>
        <v/>
      </c>
      <c r="E159" s="5" t="str">
        <f>IF($H159="","",INDEX('Detalle individual'!$C:$C,$H159))</f>
        <v/>
      </c>
      <c r="F159" s="5" t="str">
        <f>IF($H159="","",INDEX('Detalle individual'!$D:$D,$H159))</f>
        <v/>
      </c>
      <c r="G159" s="5" t="str">
        <f>IF($H159="","",INDEX('Detalle individual'!$F:$F,$H159))</f>
        <v/>
      </c>
      <c r="H159" t="str">
        <f>IFERROR(MATCH(SMALL(Cálculos!$AJ$5:$AJ$1000,155),Cálculos!$AJ$5:$AJ$1000,0)+4,"")</f>
        <v/>
      </c>
    </row>
    <row r="160">
      <c r="B160" s="5" t="str">
        <f>IF($H160="","",INDEX('Detalle individual'!$B:$B,$H160))</f>
        <v/>
      </c>
      <c r="C160" s="5" t="str">
        <f>IF($H160="","",INDEX('Detalle individual'!$A:$A,$H160))</f>
        <v/>
      </c>
      <c r="D160" s="5" t="str">
        <f>IF($H160="","",INDEX('Detalle individual'!$E:$E,$H160))</f>
        <v/>
      </c>
      <c r="E160" s="5" t="str">
        <f>IF($H160="","",INDEX('Detalle individual'!$C:$C,$H160))</f>
        <v/>
      </c>
      <c r="F160" s="5" t="str">
        <f>IF($H160="","",INDEX('Detalle individual'!$D:$D,$H160))</f>
        <v/>
      </c>
      <c r="G160" s="5" t="str">
        <f>IF($H160="","",INDEX('Detalle individual'!$F:$F,$H160))</f>
        <v/>
      </c>
      <c r="H160" t="str">
        <f>IFERROR(MATCH(SMALL(Cálculos!$AJ$5:$AJ$1000,156),Cálculos!$AJ$5:$AJ$1000,0)+4,"")</f>
        <v/>
      </c>
    </row>
    <row r="161">
      <c r="B161" s="5" t="str">
        <f>IF($H161="","",INDEX('Detalle individual'!$B:$B,$H161))</f>
        <v/>
      </c>
      <c r="C161" s="5" t="str">
        <f>IF($H161="","",INDEX('Detalle individual'!$A:$A,$H161))</f>
        <v/>
      </c>
      <c r="D161" s="5" t="str">
        <f>IF($H161="","",INDEX('Detalle individual'!$E:$E,$H161))</f>
        <v/>
      </c>
      <c r="E161" s="5" t="str">
        <f>IF($H161="","",INDEX('Detalle individual'!$C:$C,$H161))</f>
        <v/>
      </c>
      <c r="F161" s="5" t="str">
        <f>IF($H161="","",INDEX('Detalle individual'!$D:$D,$H161))</f>
        <v/>
      </c>
      <c r="G161" s="5" t="str">
        <f>IF($H161="","",INDEX('Detalle individual'!$F:$F,$H161))</f>
        <v/>
      </c>
      <c r="H161" t="str">
        <f>IFERROR(MATCH(SMALL(Cálculos!$AJ$5:$AJ$1000,157),Cálculos!$AJ$5:$AJ$1000,0)+4,"")</f>
        <v/>
      </c>
    </row>
    <row r="162">
      <c r="B162" s="5" t="str">
        <f>IF($H162="","",INDEX('Detalle individual'!$B:$B,$H162))</f>
        <v/>
      </c>
      <c r="C162" s="5" t="str">
        <f>IF($H162="","",INDEX('Detalle individual'!$A:$A,$H162))</f>
        <v/>
      </c>
      <c r="D162" s="5" t="str">
        <f>IF($H162="","",INDEX('Detalle individual'!$E:$E,$H162))</f>
        <v/>
      </c>
      <c r="E162" s="5" t="str">
        <f>IF($H162="","",INDEX('Detalle individual'!$C:$C,$H162))</f>
        <v/>
      </c>
      <c r="F162" s="5" t="str">
        <f>IF($H162="","",INDEX('Detalle individual'!$D:$D,$H162))</f>
        <v/>
      </c>
      <c r="G162" s="5" t="str">
        <f>IF($H162="","",INDEX('Detalle individual'!$F:$F,$H162))</f>
        <v/>
      </c>
      <c r="H162" t="str">
        <f>IFERROR(MATCH(SMALL(Cálculos!$AJ$5:$AJ$1000,158),Cálculos!$AJ$5:$AJ$1000,0)+4,"")</f>
        <v/>
      </c>
    </row>
    <row r="163">
      <c r="B163" s="5" t="str">
        <f>IF($H163="","",INDEX('Detalle individual'!$B:$B,$H163))</f>
        <v/>
      </c>
      <c r="C163" s="5" t="str">
        <f>IF($H163="","",INDEX('Detalle individual'!$A:$A,$H163))</f>
        <v/>
      </c>
      <c r="D163" s="5" t="str">
        <f>IF($H163="","",INDEX('Detalle individual'!$E:$E,$H163))</f>
        <v/>
      </c>
      <c r="E163" s="5" t="str">
        <f>IF($H163="","",INDEX('Detalle individual'!$C:$C,$H163))</f>
        <v/>
      </c>
      <c r="F163" s="5" t="str">
        <f>IF($H163="","",INDEX('Detalle individual'!$D:$D,$H163))</f>
        <v/>
      </c>
      <c r="G163" s="5" t="str">
        <f>IF($H163="","",INDEX('Detalle individual'!$F:$F,$H163))</f>
        <v/>
      </c>
      <c r="H163" t="str">
        <f>IFERROR(MATCH(SMALL(Cálculos!$AJ$5:$AJ$1000,159),Cálculos!$AJ$5:$AJ$1000,0)+4,"")</f>
        <v/>
      </c>
    </row>
    <row r="164">
      <c r="B164" s="5" t="str">
        <f>IF($H164="","",INDEX('Detalle individual'!$B:$B,$H164))</f>
        <v/>
      </c>
      <c r="C164" s="5" t="str">
        <f>IF($H164="","",INDEX('Detalle individual'!$A:$A,$H164))</f>
        <v/>
      </c>
      <c r="D164" s="5" t="str">
        <f>IF($H164="","",INDEX('Detalle individual'!$E:$E,$H164))</f>
        <v/>
      </c>
      <c r="E164" s="5" t="str">
        <f>IF($H164="","",INDEX('Detalle individual'!$C:$C,$H164))</f>
        <v/>
      </c>
      <c r="F164" s="5" t="str">
        <f>IF($H164="","",INDEX('Detalle individual'!$D:$D,$H164))</f>
        <v/>
      </c>
      <c r="G164" s="5" t="str">
        <f>IF($H164="","",INDEX('Detalle individual'!$F:$F,$H164))</f>
        <v/>
      </c>
      <c r="H164" t="str">
        <f>IFERROR(MATCH(SMALL(Cálculos!$AJ$5:$AJ$1000,160),Cálculos!$AJ$5:$AJ$1000,0)+4,"")</f>
        <v/>
      </c>
    </row>
    <row r="165">
      <c r="B165" s="5" t="str">
        <f>IF($H165="","",INDEX('Detalle individual'!$B:$B,$H165))</f>
        <v/>
      </c>
      <c r="C165" s="5" t="str">
        <f>IF($H165="","",INDEX('Detalle individual'!$A:$A,$H165))</f>
        <v/>
      </c>
      <c r="D165" s="5" t="str">
        <f>IF($H165="","",INDEX('Detalle individual'!$E:$E,$H165))</f>
        <v/>
      </c>
      <c r="E165" s="5" t="str">
        <f>IF($H165="","",INDEX('Detalle individual'!$C:$C,$H165))</f>
        <v/>
      </c>
      <c r="F165" s="5" t="str">
        <f>IF($H165="","",INDEX('Detalle individual'!$D:$D,$H165))</f>
        <v/>
      </c>
      <c r="G165" s="5" t="str">
        <f>IF($H165="","",INDEX('Detalle individual'!$F:$F,$H165))</f>
        <v/>
      </c>
      <c r="H165" t="str">
        <f>IFERROR(MATCH(SMALL(Cálculos!$AJ$5:$AJ$1000,161),Cálculos!$AJ$5:$AJ$1000,0)+4,"")</f>
        <v/>
      </c>
    </row>
    <row r="166">
      <c r="B166" s="5" t="str">
        <f>IF($H166="","",INDEX('Detalle individual'!$B:$B,$H166))</f>
        <v/>
      </c>
      <c r="C166" s="5" t="str">
        <f>IF($H166="","",INDEX('Detalle individual'!$A:$A,$H166))</f>
        <v/>
      </c>
      <c r="D166" s="5" t="str">
        <f>IF($H166="","",INDEX('Detalle individual'!$E:$E,$H166))</f>
        <v/>
      </c>
      <c r="E166" s="5" t="str">
        <f>IF($H166="","",INDEX('Detalle individual'!$C:$C,$H166))</f>
        <v/>
      </c>
      <c r="F166" s="5" t="str">
        <f>IF($H166="","",INDEX('Detalle individual'!$D:$D,$H166))</f>
        <v/>
      </c>
      <c r="G166" s="5" t="str">
        <f>IF($H166="","",INDEX('Detalle individual'!$F:$F,$H166))</f>
        <v/>
      </c>
      <c r="H166" t="str">
        <f>IFERROR(MATCH(SMALL(Cálculos!$AJ$5:$AJ$1000,162),Cálculos!$AJ$5:$AJ$1000,0)+4,"")</f>
        <v/>
      </c>
    </row>
    <row r="167">
      <c r="B167" s="5" t="str">
        <f>IF($H167="","",INDEX('Detalle individual'!$B:$B,$H167))</f>
        <v/>
      </c>
      <c r="C167" s="5" t="str">
        <f>IF($H167="","",INDEX('Detalle individual'!$A:$A,$H167))</f>
        <v/>
      </c>
      <c r="D167" s="5" t="str">
        <f>IF($H167="","",INDEX('Detalle individual'!$E:$E,$H167))</f>
        <v/>
      </c>
      <c r="E167" s="5" t="str">
        <f>IF($H167="","",INDEX('Detalle individual'!$C:$C,$H167))</f>
        <v/>
      </c>
      <c r="F167" s="5" t="str">
        <f>IF($H167="","",INDEX('Detalle individual'!$D:$D,$H167))</f>
        <v/>
      </c>
      <c r="G167" s="5" t="str">
        <f>IF($H167="","",INDEX('Detalle individual'!$F:$F,$H167))</f>
        <v/>
      </c>
      <c r="H167" t="str">
        <f>IFERROR(MATCH(SMALL(Cálculos!$AJ$5:$AJ$1000,163),Cálculos!$AJ$5:$AJ$1000,0)+4,"")</f>
        <v/>
      </c>
    </row>
    <row r="168">
      <c r="B168" s="5" t="str">
        <f>IF($H168="","",INDEX('Detalle individual'!$B:$B,$H168))</f>
        <v/>
      </c>
      <c r="C168" s="5" t="str">
        <f>IF($H168="","",INDEX('Detalle individual'!$A:$A,$H168))</f>
        <v/>
      </c>
      <c r="D168" s="5" t="str">
        <f>IF($H168="","",INDEX('Detalle individual'!$E:$E,$H168))</f>
        <v/>
      </c>
      <c r="E168" s="5" t="str">
        <f>IF($H168="","",INDEX('Detalle individual'!$C:$C,$H168))</f>
        <v/>
      </c>
      <c r="F168" s="5" t="str">
        <f>IF($H168="","",INDEX('Detalle individual'!$D:$D,$H168))</f>
        <v/>
      </c>
      <c r="G168" s="5" t="str">
        <f>IF($H168="","",INDEX('Detalle individual'!$F:$F,$H168))</f>
        <v/>
      </c>
      <c r="H168" t="str">
        <f>IFERROR(MATCH(SMALL(Cálculos!$AJ$5:$AJ$1000,164),Cálculos!$AJ$5:$AJ$1000,0)+4,"")</f>
        <v/>
      </c>
    </row>
    <row r="169">
      <c r="B169" s="5" t="str">
        <f>IF($H169="","",INDEX('Detalle individual'!$B:$B,$H169))</f>
        <v/>
      </c>
      <c r="C169" s="5" t="str">
        <f>IF($H169="","",INDEX('Detalle individual'!$A:$A,$H169))</f>
        <v/>
      </c>
      <c r="D169" s="5" t="str">
        <f>IF($H169="","",INDEX('Detalle individual'!$E:$E,$H169))</f>
        <v/>
      </c>
      <c r="E169" s="5" t="str">
        <f>IF($H169="","",INDEX('Detalle individual'!$C:$C,$H169))</f>
        <v/>
      </c>
      <c r="F169" s="5" t="str">
        <f>IF($H169="","",INDEX('Detalle individual'!$D:$D,$H169))</f>
        <v/>
      </c>
      <c r="G169" s="5" t="str">
        <f>IF($H169="","",INDEX('Detalle individual'!$F:$F,$H169))</f>
        <v/>
      </c>
      <c r="H169" t="str">
        <f>IFERROR(MATCH(SMALL(Cálculos!$AJ$5:$AJ$1000,165),Cálculos!$AJ$5:$AJ$1000,0)+4,"")</f>
        <v/>
      </c>
    </row>
    <row r="170">
      <c r="B170" s="5" t="str">
        <f>IF($H170="","",INDEX('Detalle individual'!$B:$B,$H170))</f>
        <v/>
      </c>
      <c r="C170" s="5" t="str">
        <f>IF($H170="","",INDEX('Detalle individual'!$A:$A,$H170))</f>
        <v/>
      </c>
      <c r="D170" s="5" t="str">
        <f>IF($H170="","",INDEX('Detalle individual'!$E:$E,$H170))</f>
        <v/>
      </c>
      <c r="E170" s="5" t="str">
        <f>IF($H170="","",INDEX('Detalle individual'!$C:$C,$H170))</f>
        <v/>
      </c>
      <c r="F170" s="5" t="str">
        <f>IF($H170="","",INDEX('Detalle individual'!$D:$D,$H170))</f>
        <v/>
      </c>
      <c r="G170" s="5" t="str">
        <f>IF($H170="","",INDEX('Detalle individual'!$F:$F,$H170))</f>
        <v/>
      </c>
      <c r="H170" t="str">
        <f>IFERROR(MATCH(SMALL(Cálculos!$AJ$5:$AJ$1000,166),Cálculos!$AJ$5:$AJ$1000,0)+4,"")</f>
        <v/>
      </c>
    </row>
    <row r="171">
      <c r="B171" s="5" t="str">
        <f>IF($H171="","",INDEX('Detalle individual'!$B:$B,$H171))</f>
        <v/>
      </c>
      <c r="C171" s="5" t="str">
        <f>IF($H171="","",INDEX('Detalle individual'!$A:$A,$H171))</f>
        <v/>
      </c>
      <c r="D171" s="5" t="str">
        <f>IF($H171="","",INDEX('Detalle individual'!$E:$E,$H171))</f>
        <v/>
      </c>
      <c r="E171" s="5" t="str">
        <f>IF($H171="","",INDEX('Detalle individual'!$C:$C,$H171))</f>
        <v/>
      </c>
      <c r="F171" s="5" t="str">
        <f>IF($H171="","",INDEX('Detalle individual'!$D:$D,$H171))</f>
        <v/>
      </c>
      <c r="G171" s="5" t="str">
        <f>IF($H171="","",INDEX('Detalle individual'!$F:$F,$H171))</f>
        <v/>
      </c>
      <c r="H171" t="str">
        <f>IFERROR(MATCH(SMALL(Cálculos!$AJ$5:$AJ$1000,167),Cálculos!$AJ$5:$AJ$1000,0)+4,"")</f>
        <v/>
      </c>
    </row>
    <row r="172">
      <c r="B172" s="5" t="str">
        <f>IF($H172="","",INDEX('Detalle individual'!$B:$B,$H172))</f>
        <v/>
      </c>
      <c r="C172" s="5" t="str">
        <f>IF($H172="","",INDEX('Detalle individual'!$A:$A,$H172))</f>
        <v/>
      </c>
      <c r="D172" s="5" t="str">
        <f>IF($H172="","",INDEX('Detalle individual'!$E:$E,$H172))</f>
        <v/>
      </c>
      <c r="E172" s="5" t="str">
        <f>IF($H172="","",INDEX('Detalle individual'!$C:$C,$H172))</f>
        <v/>
      </c>
      <c r="F172" s="5" t="str">
        <f>IF($H172="","",INDEX('Detalle individual'!$D:$D,$H172))</f>
        <v/>
      </c>
      <c r="G172" s="5" t="str">
        <f>IF($H172="","",INDEX('Detalle individual'!$F:$F,$H172))</f>
        <v/>
      </c>
      <c r="H172" t="str">
        <f>IFERROR(MATCH(SMALL(Cálculos!$AJ$5:$AJ$1000,168),Cálculos!$AJ$5:$AJ$1000,0)+4,"")</f>
        <v/>
      </c>
    </row>
    <row r="173">
      <c r="B173" s="5" t="str">
        <f>IF($H173="","",INDEX('Detalle individual'!$B:$B,$H173))</f>
        <v/>
      </c>
      <c r="C173" s="5" t="str">
        <f>IF($H173="","",INDEX('Detalle individual'!$A:$A,$H173))</f>
        <v/>
      </c>
      <c r="D173" s="5" t="str">
        <f>IF($H173="","",INDEX('Detalle individual'!$E:$E,$H173))</f>
        <v/>
      </c>
      <c r="E173" s="5" t="str">
        <f>IF($H173="","",INDEX('Detalle individual'!$C:$C,$H173))</f>
        <v/>
      </c>
      <c r="F173" s="5" t="str">
        <f>IF($H173="","",INDEX('Detalle individual'!$D:$D,$H173))</f>
        <v/>
      </c>
      <c r="G173" s="5" t="str">
        <f>IF($H173="","",INDEX('Detalle individual'!$F:$F,$H173))</f>
        <v/>
      </c>
      <c r="H173" t="str">
        <f>IFERROR(MATCH(SMALL(Cálculos!$AJ$5:$AJ$1000,169),Cálculos!$AJ$5:$AJ$1000,0)+4,"")</f>
        <v/>
      </c>
    </row>
    <row r="174">
      <c r="B174" s="5" t="str">
        <f>IF($H174="","",INDEX('Detalle individual'!$B:$B,$H174))</f>
        <v/>
      </c>
      <c r="C174" s="5" t="str">
        <f>IF($H174="","",INDEX('Detalle individual'!$A:$A,$H174))</f>
        <v/>
      </c>
      <c r="D174" s="5" t="str">
        <f>IF($H174="","",INDEX('Detalle individual'!$E:$E,$H174))</f>
        <v/>
      </c>
      <c r="E174" s="5" t="str">
        <f>IF($H174="","",INDEX('Detalle individual'!$C:$C,$H174))</f>
        <v/>
      </c>
      <c r="F174" s="5" t="str">
        <f>IF($H174="","",INDEX('Detalle individual'!$D:$D,$H174))</f>
        <v/>
      </c>
      <c r="G174" s="5" t="str">
        <f>IF($H174="","",INDEX('Detalle individual'!$F:$F,$H174))</f>
        <v/>
      </c>
      <c r="H174" t="str">
        <f>IFERROR(MATCH(SMALL(Cálculos!$AJ$5:$AJ$1000,170),Cálculos!$AJ$5:$AJ$1000,0)+4,"")</f>
        <v/>
      </c>
    </row>
    <row r="175">
      <c r="B175" s="5" t="str">
        <f>IF($H175="","",INDEX('Detalle individual'!$B:$B,$H175))</f>
        <v/>
      </c>
      <c r="C175" s="5" t="str">
        <f>IF($H175="","",INDEX('Detalle individual'!$A:$A,$H175))</f>
        <v/>
      </c>
      <c r="D175" s="5" t="str">
        <f>IF($H175="","",INDEX('Detalle individual'!$E:$E,$H175))</f>
        <v/>
      </c>
      <c r="E175" s="5" t="str">
        <f>IF($H175="","",INDEX('Detalle individual'!$C:$C,$H175))</f>
        <v/>
      </c>
      <c r="F175" s="5" t="str">
        <f>IF($H175="","",INDEX('Detalle individual'!$D:$D,$H175))</f>
        <v/>
      </c>
      <c r="G175" s="5" t="str">
        <f>IF($H175="","",INDEX('Detalle individual'!$F:$F,$H175))</f>
        <v/>
      </c>
      <c r="H175" t="str">
        <f>IFERROR(MATCH(SMALL(Cálculos!$AJ$5:$AJ$1000,171),Cálculos!$AJ$5:$AJ$1000,0)+4,"")</f>
        <v/>
      </c>
    </row>
    <row r="176">
      <c r="B176" s="5" t="str">
        <f>IF($H176="","",INDEX('Detalle individual'!$B:$B,$H176))</f>
        <v/>
      </c>
      <c r="C176" s="5" t="str">
        <f>IF($H176="","",INDEX('Detalle individual'!$A:$A,$H176))</f>
        <v/>
      </c>
      <c r="D176" s="5" t="str">
        <f>IF($H176="","",INDEX('Detalle individual'!$E:$E,$H176))</f>
        <v/>
      </c>
      <c r="E176" s="5" t="str">
        <f>IF($H176="","",INDEX('Detalle individual'!$C:$C,$H176))</f>
        <v/>
      </c>
      <c r="F176" s="5" t="str">
        <f>IF($H176="","",INDEX('Detalle individual'!$D:$D,$H176))</f>
        <v/>
      </c>
      <c r="G176" s="5" t="str">
        <f>IF($H176="","",INDEX('Detalle individual'!$F:$F,$H176))</f>
        <v/>
      </c>
      <c r="H176" t="str">
        <f>IFERROR(MATCH(SMALL(Cálculos!$AJ$5:$AJ$1000,172),Cálculos!$AJ$5:$AJ$1000,0)+4,"")</f>
        <v/>
      </c>
    </row>
    <row r="177">
      <c r="B177" s="5" t="str">
        <f>IF($H177="","",INDEX('Detalle individual'!$B:$B,$H177))</f>
        <v/>
      </c>
      <c r="C177" s="5" t="str">
        <f>IF($H177="","",INDEX('Detalle individual'!$A:$A,$H177))</f>
        <v/>
      </c>
      <c r="D177" s="5" t="str">
        <f>IF($H177="","",INDEX('Detalle individual'!$E:$E,$H177))</f>
        <v/>
      </c>
      <c r="E177" s="5" t="str">
        <f>IF($H177="","",INDEX('Detalle individual'!$C:$C,$H177))</f>
        <v/>
      </c>
      <c r="F177" s="5" t="str">
        <f>IF($H177="","",INDEX('Detalle individual'!$D:$D,$H177))</f>
        <v/>
      </c>
      <c r="G177" s="5" t="str">
        <f>IF($H177="","",INDEX('Detalle individual'!$F:$F,$H177))</f>
        <v/>
      </c>
      <c r="H177" t="str">
        <f>IFERROR(MATCH(SMALL(Cálculos!$AJ$5:$AJ$1000,173),Cálculos!$AJ$5:$AJ$1000,0)+4,"")</f>
        <v/>
      </c>
    </row>
    <row r="178">
      <c r="B178" s="5" t="str">
        <f>IF($H178="","",INDEX('Detalle individual'!$B:$B,$H178))</f>
        <v/>
      </c>
      <c r="C178" s="5" t="str">
        <f>IF($H178="","",INDEX('Detalle individual'!$A:$A,$H178))</f>
        <v/>
      </c>
      <c r="D178" s="5" t="str">
        <f>IF($H178="","",INDEX('Detalle individual'!$E:$E,$H178))</f>
        <v/>
      </c>
      <c r="E178" s="5" t="str">
        <f>IF($H178="","",INDEX('Detalle individual'!$C:$C,$H178))</f>
        <v/>
      </c>
      <c r="F178" s="5" t="str">
        <f>IF($H178="","",INDEX('Detalle individual'!$D:$D,$H178))</f>
        <v/>
      </c>
      <c r="G178" s="5" t="str">
        <f>IF($H178="","",INDEX('Detalle individual'!$F:$F,$H178))</f>
        <v/>
      </c>
      <c r="H178" t="str">
        <f>IFERROR(MATCH(SMALL(Cálculos!$AJ$5:$AJ$1000,174),Cálculos!$AJ$5:$AJ$1000,0)+4,"")</f>
        <v/>
      </c>
    </row>
    <row r="179">
      <c r="B179" s="5" t="str">
        <f>IF($H179="","",INDEX('Detalle individual'!$B:$B,$H179))</f>
        <v/>
      </c>
      <c r="C179" s="5" t="str">
        <f>IF($H179="","",INDEX('Detalle individual'!$A:$A,$H179))</f>
        <v/>
      </c>
      <c r="D179" s="5" t="str">
        <f>IF($H179="","",INDEX('Detalle individual'!$E:$E,$H179))</f>
        <v/>
      </c>
      <c r="E179" s="5" t="str">
        <f>IF($H179="","",INDEX('Detalle individual'!$C:$C,$H179))</f>
        <v/>
      </c>
      <c r="F179" s="5" t="str">
        <f>IF($H179="","",INDEX('Detalle individual'!$D:$D,$H179))</f>
        <v/>
      </c>
      <c r="G179" s="5" t="str">
        <f>IF($H179="","",INDEX('Detalle individual'!$F:$F,$H179))</f>
        <v/>
      </c>
      <c r="H179" t="str">
        <f>IFERROR(MATCH(SMALL(Cálculos!$AJ$5:$AJ$1000,175),Cálculos!$AJ$5:$AJ$1000,0)+4,"")</f>
        <v/>
      </c>
    </row>
    <row r="180">
      <c r="B180" s="5" t="str">
        <f>IF($H180="","",INDEX('Detalle individual'!$B:$B,$H180))</f>
        <v/>
      </c>
      <c r="C180" s="5" t="str">
        <f>IF($H180="","",INDEX('Detalle individual'!$A:$A,$H180))</f>
        <v/>
      </c>
      <c r="D180" s="5" t="str">
        <f>IF($H180="","",INDEX('Detalle individual'!$E:$E,$H180))</f>
        <v/>
      </c>
      <c r="E180" s="5" t="str">
        <f>IF($H180="","",INDEX('Detalle individual'!$C:$C,$H180))</f>
        <v/>
      </c>
      <c r="F180" s="5" t="str">
        <f>IF($H180="","",INDEX('Detalle individual'!$D:$D,$H180))</f>
        <v/>
      </c>
      <c r="G180" s="5" t="str">
        <f>IF($H180="","",INDEX('Detalle individual'!$F:$F,$H180))</f>
        <v/>
      </c>
      <c r="H180" t="str">
        <f>IFERROR(MATCH(SMALL(Cálculos!$AJ$5:$AJ$1000,176),Cálculos!$AJ$5:$AJ$1000,0)+4,"")</f>
        <v/>
      </c>
    </row>
    <row r="181">
      <c r="B181" s="5" t="str">
        <f>IF($H181="","",INDEX('Detalle individual'!$B:$B,$H181))</f>
        <v/>
      </c>
      <c r="C181" s="5" t="str">
        <f>IF($H181="","",INDEX('Detalle individual'!$A:$A,$H181))</f>
        <v/>
      </c>
      <c r="D181" s="5" t="str">
        <f>IF($H181="","",INDEX('Detalle individual'!$E:$E,$H181))</f>
        <v/>
      </c>
      <c r="E181" s="5" t="str">
        <f>IF($H181="","",INDEX('Detalle individual'!$C:$C,$H181))</f>
        <v/>
      </c>
      <c r="F181" s="5" t="str">
        <f>IF($H181="","",INDEX('Detalle individual'!$D:$D,$H181))</f>
        <v/>
      </c>
      <c r="G181" s="5" t="str">
        <f>IF($H181="","",INDEX('Detalle individual'!$F:$F,$H181))</f>
        <v/>
      </c>
      <c r="H181" t="str">
        <f>IFERROR(MATCH(SMALL(Cálculos!$AJ$5:$AJ$1000,177),Cálculos!$AJ$5:$AJ$1000,0)+4,"")</f>
        <v/>
      </c>
    </row>
    <row r="182">
      <c r="B182" s="5" t="str">
        <f>IF($H182="","",INDEX('Detalle individual'!$B:$B,$H182))</f>
        <v/>
      </c>
      <c r="C182" s="5" t="str">
        <f>IF($H182="","",INDEX('Detalle individual'!$A:$A,$H182))</f>
        <v/>
      </c>
      <c r="D182" s="5" t="str">
        <f>IF($H182="","",INDEX('Detalle individual'!$E:$E,$H182))</f>
        <v/>
      </c>
      <c r="E182" s="5" t="str">
        <f>IF($H182="","",INDEX('Detalle individual'!$C:$C,$H182))</f>
        <v/>
      </c>
      <c r="F182" s="5" t="str">
        <f>IF($H182="","",INDEX('Detalle individual'!$D:$D,$H182))</f>
        <v/>
      </c>
      <c r="G182" s="5" t="str">
        <f>IF($H182="","",INDEX('Detalle individual'!$F:$F,$H182))</f>
        <v/>
      </c>
      <c r="H182" t="str">
        <f>IFERROR(MATCH(SMALL(Cálculos!$AJ$5:$AJ$1000,178),Cálculos!$AJ$5:$AJ$1000,0)+4,"")</f>
        <v/>
      </c>
    </row>
    <row r="183">
      <c r="B183" s="5" t="str">
        <f>IF($H183="","",INDEX('Detalle individual'!$B:$B,$H183))</f>
        <v/>
      </c>
      <c r="C183" s="5" t="str">
        <f>IF($H183="","",INDEX('Detalle individual'!$A:$A,$H183))</f>
        <v/>
      </c>
      <c r="D183" s="5" t="str">
        <f>IF($H183="","",INDEX('Detalle individual'!$E:$E,$H183))</f>
        <v/>
      </c>
      <c r="E183" s="5" t="str">
        <f>IF($H183="","",INDEX('Detalle individual'!$C:$C,$H183))</f>
        <v/>
      </c>
      <c r="F183" s="5" t="str">
        <f>IF($H183="","",INDEX('Detalle individual'!$D:$D,$H183))</f>
        <v/>
      </c>
      <c r="G183" s="5" t="str">
        <f>IF($H183="","",INDEX('Detalle individual'!$F:$F,$H183))</f>
        <v/>
      </c>
      <c r="H183" t="str">
        <f>IFERROR(MATCH(SMALL(Cálculos!$AJ$5:$AJ$1000,179),Cálculos!$AJ$5:$AJ$1000,0)+4,"")</f>
        <v/>
      </c>
    </row>
    <row r="184">
      <c r="B184" s="5" t="str">
        <f>IF($H184="","",INDEX('Detalle individual'!$B:$B,$H184))</f>
        <v/>
      </c>
      <c r="C184" s="5" t="str">
        <f>IF($H184="","",INDEX('Detalle individual'!$A:$A,$H184))</f>
        <v/>
      </c>
      <c r="D184" s="5" t="str">
        <f>IF($H184="","",INDEX('Detalle individual'!$E:$E,$H184))</f>
        <v/>
      </c>
      <c r="E184" s="5" t="str">
        <f>IF($H184="","",INDEX('Detalle individual'!$C:$C,$H184))</f>
        <v/>
      </c>
      <c r="F184" s="5" t="str">
        <f>IF($H184="","",INDEX('Detalle individual'!$D:$D,$H184))</f>
        <v/>
      </c>
      <c r="G184" s="5" t="str">
        <f>IF($H184="","",INDEX('Detalle individual'!$F:$F,$H184))</f>
        <v/>
      </c>
      <c r="H184" t="str">
        <f>IFERROR(MATCH(SMALL(Cálculos!$AJ$5:$AJ$1000,180),Cálculos!$AJ$5:$AJ$1000,0)+4,"")</f>
        <v/>
      </c>
    </row>
    <row r="185">
      <c r="B185" s="5" t="str">
        <f>IF($H185="","",INDEX('Detalle individual'!$B:$B,$H185))</f>
        <v/>
      </c>
      <c r="C185" s="5" t="str">
        <f>IF($H185="","",INDEX('Detalle individual'!$A:$A,$H185))</f>
        <v/>
      </c>
      <c r="D185" s="5" t="str">
        <f>IF($H185="","",INDEX('Detalle individual'!$E:$E,$H185))</f>
        <v/>
      </c>
      <c r="E185" s="5" t="str">
        <f>IF($H185="","",INDEX('Detalle individual'!$C:$C,$H185))</f>
        <v/>
      </c>
      <c r="F185" s="5" t="str">
        <f>IF($H185="","",INDEX('Detalle individual'!$D:$D,$H185))</f>
        <v/>
      </c>
      <c r="G185" s="5" t="str">
        <f>IF($H185="","",INDEX('Detalle individual'!$F:$F,$H185))</f>
        <v/>
      </c>
      <c r="H185" t="str">
        <f>IFERROR(MATCH(SMALL(Cálculos!$AJ$5:$AJ$1000,181),Cálculos!$AJ$5:$AJ$1000,0)+4,"")</f>
        <v/>
      </c>
    </row>
    <row r="186">
      <c r="B186" s="5" t="str">
        <f>IF($H186="","",INDEX('Detalle individual'!$B:$B,$H186))</f>
        <v/>
      </c>
      <c r="C186" s="5" t="str">
        <f>IF($H186="","",INDEX('Detalle individual'!$A:$A,$H186))</f>
        <v/>
      </c>
      <c r="D186" s="5" t="str">
        <f>IF($H186="","",INDEX('Detalle individual'!$E:$E,$H186))</f>
        <v/>
      </c>
      <c r="E186" s="5" t="str">
        <f>IF($H186="","",INDEX('Detalle individual'!$C:$C,$H186))</f>
        <v/>
      </c>
      <c r="F186" s="5" t="str">
        <f>IF($H186="","",INDEX('Detalle individual'!$D:$D,$H186))</f>
        <v/>
      </c>
      <c r="G186" s="5" t="str">
        <f>IF($H186="","",INDEX('Detalle individual'!$F:$F,$H186))</f>
        <v/>
      </c>
      <c r="H186" t="str">
        <f>IFERROR(MATCH(SMALL(Cálculos!$AJ$5:$AJ$1000,182),Cálculos!$AJ$5:$AJ$1000,0)+4,"")</f>
        <v/>
      </c>
    </row>
    <row r="187">
      <c r="B187" s="5" t="str">
        <f>IF($H187="","",INDEX('Detalle individual'!$B:$B,$H187))</f>
        <v/>
      </c>
      <c r="C187" s="5" t="str">
        <f>IF($H187="","",INDEX('Detalle individual'!$A:$A,$H187))</f>
        <v/>
      </c>
      <c r="D187" s="5" t="str">
        <f>IF($H187="","",INDEX('Detalle individual'!$E:$E,$H187))</f>
        <v/>
      </c>
      <c r="E187" s="5" t="str">
        <f>IF($H187="","",INDEX('Detalle individual'!$C:$C,$H187))</f>
        <v/>
      </c>
      <c r="F187" s="5" t="str">
        <f>IF($H187="","",INDEX('Detalle individual'!$D:$D,$H187))</f>
        <v/>
      </c>
      <c r="G187" s="5" t="str">
        <f>IF($H187="","",INDEX('Detalle individual'!$F:$F,$H187))</f>
        <v/>
      </c>
      <c r="H187" t="str">
        <f>IFERROR(MATCH(SMALL(Cálculos!$AJ$5:$AJ$1000,183),Cálculos!$AJ$5:$AJ$1000,0)+4,"")</f>
        <v/>
      </c>
    </row>
    <row r="188">
      <c r="B188" s="5" t="str">
        <f>IF($H188="","",INDEX('Detalle individual'!$B:$B,$H188))</f>
        <v/>
      </c>
      <c r="C188" s="5" t="str">
        <f>IF($H188="","",INDEX('Detalle individual'!$A:$A,$H188))</f>
        <v/>
      </c>
      <c r="D188" s="5" t="str">
        <f>IF($H188="","",INDEX('Detalle individual'!$E:$E,$H188))</f>
        <v/>
      </c>
      <c r="E188" s="5" t="str">
        <f>IF($H188="","",INDEX('Detalle individual'!$C:$C,$H188))</f>
        <v/>
      </c>
      <c r="F188" s="5" t="str">
        <f>IF($H188="","",INDEX('Detalle individual'!$D:$D,$H188))</f>
        <v/>
      </c>
      <c r="G188" s="5" t="str">
        <f>IF($H188="","",INDEX('Detalle individual'!$F:$F,$H188))</f>
        <v/>
      </c>
      <c r="H188" t="str">
        <f>IFERROR(MATCH(SMALL(Cálculos!$AJ$5:$AJ$1000,184),Cálculos!$AJ$5:$AJ$1000,0)+4,"")</f>
        <v/>
      </c>
    </row>
    <row r="189">
      <c r="B189" s="5" t="str">
        <f>IF($H189="","",INDEX('Detalle individual'!$B:$B,$H189))</f>
        <v/>
      </c>
      <c r="C189" s="5" t="str">
        <f>IF($H189="","",INDEX('Detalle individual'!$A:$A,$H189))</f>
        <v/>
      </c>
      <c r="D189" s="5" t="str">
        <f>IF($H189="","",INDEX('Detalle individual'!$E:$E,$H189))</f>
        <v/>
      </c>
      <c r="E189" s="5" t="str">
        <f>IF($H189="","",INDEX('Detalle individual'!$C:$C,$H189))</f>
        <v/>
      </c>
      <c r="F189" s="5" t="str">
        <f>IF($H189="","",INDEX('Detalle individual'!$D:$D,$H189))</f>
        <v/>
      </c>
      <c r="G189" s="5" t="str">
        <f>IF($H189="","",INDEX('Detalle individual'!$F:$F,$H189))</f>
        <v/>
      </c>
      <c r="H189" t="str">
        <f>IFERROR(MATCH(SMALL(Cálculos!$AJ$5:$AJ$1000,185),Cálculos!$AJ$5:$AJ$1000,0)+4,"")</f>
        <v/>
      </c>
    </row>
    <row r="190">
      <c r="B190" s="5" t="str">
        <f>IF($H190="","",INDEX('Detalle individual'!$B:$B,$H190))</f>
        <v/>
      </c>
      <c r="C190" s="5" t="str">
        <f>IF($H190="","",INDEX('Detalle individual'!$A:$A,$H190))</f>
        <v/>
      </c>
      <c r="D190" s="5" t="str">
        <f>IF($H190="","",INDEX('Detalle individual'!$E:$E,$H190))</f>
        <v/>
      </c>
      <c r="E190" s="5" t="str">
        <f>IF($H190="","",INDEX('Detalle individual'!$C:$C,$H190))</f>
        <v/>
      </c>
      <c r="F190" s="5" t="str">
        <f>IF($H190="","",INDEX('Detalle individual'!$D:$D,$H190))</f>
        <v/>
      </c>
      <c r="G190" s="5" t="str">
        <f>IF($H190="","",INDEX('Detalle individual'!$F:$F,$H190))</f>
        <v/>
      </c>
      <c r="H190" t="str">
        <f>IFERROR(MATCH(SMALL(Cálculos!$AJ$5:$AJ$1000,186),Cálculos!$AJ$5:$AJ$1000,0)+4,"")</f>
        <v/>
      </c>
    </row>
    <row r="191">
      <c r="B191" s="5" t="str">
        <f>IF($H191="","",INDEX('Detalle individual'!$B:$B,$H191))</f>
        <v/>
      </c>
      <c r="C191" s="5" t="str">
        <f>IF($H191="","",INDEX('Detalle individual'!$A:$A,$H191))</f>
        <v/>
      </c>
      <c r="D191" s="5" t="str">
        <f>IF($H191="","",INDEX('Detalle individual'!$E:$E,$H191))</f>
        <v/>
      </c>
      <c r="E191" s="5" t="str">
        <f>IF($H191="","",INDEX('Detalle individual'!$C:$C,$H191))</f>
        <v/>
      </c>
      <c r="F191" s="5" t="str">
        <f>IF($H191="","",INDEX('Detalle individual'!$D:$D,$H191))</f>
        <v/>
      </c>
      <c r="G191" s="5" t="str">
        <f>IF($H191="","",INDEX('Detalle individual'!$F:$F,$H191))</f>
        <v/>
      </c>
      <c r="H191" t="str">
        <f>IFERROR(MATCH(SMALL(Cálculos!$AJ$5:$AJ$1000,187),Cálculos!$AJ$5:$AJ$1000,0)+4,"")</f>
        <v/>
      </c>
    </row>
    <row r="192">
      <c r="B192" s="5" t="str">
        <f>IF($H192="","",INDEX('Detalle individual'!$B:$B,$H192))</f>
        <v/>
      </c>
      <c r="C192" s="5" t="str">
        <f>IF($H192="","",INDEX('Detalle individual'!$A:$A,$H192))</f>
        <v/>
      </c>
      <c r="D192" s="5" t="str">
        <f>IF($H192="","",INDEX('Detalle individual'!$E:$E,$H192))</f>
        <v/>
      </c>
      <c r="E192" s="5" t="str">
        <f>IF($H192="","",INDEX('Detalle individual'!$C:$C,$H192))</f>
        <v/>
      </c>
      <c r="F192" s="5" t="str">
        <f>IF($H192="","",INDEX('Detalle individual'!$D:$D,$H192))</f>
        <v/>
      </c>
      <c r="G192" s="5" t="str">
        <f>IF($H192="","",INDEX('Detalle individual'!$F:$F,$H192))</f>
        <v/>
      </c>
      <c r="H192" t="str">
        <f>IFERROR(MATCH(SMALL(Cálculos!$AJ$5:$AJ$1000,188),Cálculos!$AJ$5:$AJ$1000,0)+4,"")</f>
        <v/>
      </c>
    </row>
    <row r="193">
      <c r="B193" s="5" t="str">
        <f>IF($H193="","",INDEX('Detalle individual'!$B:$B,$H193))</f>
        <v/>
      </c>
      <c r="C193" s="5" t="str">
        <f>IF($H193="","",INDEX('Detalle individual'!$A:$A,$H193))</f>
        <v/>
      </c>
      <c r="D193" s="5" t="str">
        <f>IF($H193="","",INDEX('Detalle individual'!$E:$E,$H193))</f>
        <v/>
      </c>
      <c r="E193" s="5" t="str">
        <f>IF($H193="","",INDEX('Detalle individual'!$C:$C,$H193))</f>
        <v/>
      </c>
      <c r="F193" s="5" t="str">
        <f>IF($H193="","",INDEX('Detalle individual'!$D:$D,$H193))</f>
        <v/>
      </c>
      <c r="G193" s="5" t="str">
        <f>IF($H193="","",INDEX('Detalle individual'!$F:$F,$H193))</f>
        <v/>
      </c>
      <c r="H193" t="str">
        <f>IFERROR(MATCH(SMALL(Cálculos!$AJ$5:$AJ$1000,189),Cálculos!$AJ$5:$AJ$1000,0)+4,"")</f>
        <v/>
      </c>
    </row>
    <row r="194">
      <c r="B194" s="5" t="str">
        <f>IF($H194="","",INDEX('Detalle individual'!$B:$B,$H194))</f>
        <v/>
      </c>
      <c r="C194" s="5" t="str">
        <f>IF($H194="","",INDEX('Detalle individual'!$A:$A,$H194))</f>
        <v/>
      </c>
      <c r="D194" s="5" t="str">
        <f>IF($H194="","",INDEX('Detalle individual'!$E:$E,$H194))</f>
        <v/>
      </c>
      <c r="E194" s="5" t="str">
        <f>IF($H194="","",INDEX('Detalle individual'!$C:$C,$H194))</f>
        <v/>
      </c>
      <c r="F194" s="5" t="str">
        <f>IF($H194="","",INDEX('Detalle individual'!$D:$D,$H194))</f>
        <v/>
      </c>
      <c r="G194" s="5" t="str">
        <f>IF($H194="","",INDEX('Detalle individual'!$F:$F,$H194))</f>
        <v/>
      </c>
      <c r="H194" t="str">
        <f>IFERROR(MATCH(SMALL(Cálculos!$AJ$5:$AJ$1000,190),Cálculos!$AJ$5:$AJ$1000,0)+4,"")</f>
        <v/>
      </c>
    </row>
    <row r="195">
      <c r="B195" s="5" t="str">
        <f>IF($H195="","",INDEX('Detalle individual'!$B:$B,$H195))</f>
        <v/>
      </c>
      <c r="C195" s="5" t="str">
        <f>IF($H195="","",INDEX('Detalle individual'!$A:$A,$H195))</f>
        <v/>
      </c>
      <c r="D195" s="5" t="str">
        <f>IF($H195="","",INDEX('Detalle individual'!$E:$E,$H195))</f>
        <v/>
      </c>
      <c r="E195" s="5" t="str">
        <f>IF($H195="","",INDEX('Detalle individual'!$C:$C,$H195))</f>
        <v/>
      </c>
      <c r="F195" s="5" t="str">
        <f>IF($H195="","",INDEX('Detalle individual'!$D:$D,$H195))</f>
        <v/>
      </c>
      <c r="G195" s="5" t="str">
        <f>IF($H195="","",INDEX('Detalle individual'!$F:$F,$H195))</f>
        <v/>
      </c>
      <c r="H195" t="str">
        <f>IFERROR(MATCH(SMALL(Cálculos!$AJ$5:$AJ$1000,191),Cálculos!$AJ$5:$AJ$1000,0)+4,"")</f>
        <v/>
      </c>
    </row>
    <row r="196">
      <c r="B196" s="5" t="str">
        <f>IF($H196="","",INDEX('Detalle individual'!$B:$B,$H196))</f>
        <v/>
      </c>
      <c r="C196" s="5" t="str">
        <f>IF($H196="","",INDEX('Detalle individual'!$A:$A,$H196))</f>
        <v/>
      </c>
      <c r="D196" s="5" t="str">
        <f>IF($H196="","",INDEX('Detalle individual'!$E:$E,$H196))</f>
        <v/>
      </c>
      <c r="E196" s="5" t="str">
        <f>IF($H196="","",INDEX('Detalle individual'!$C:$C,$H196))</f>
        <v/>
      </c>
      <c r="F196" s="5" t="str">
        <f>IF($H196="","",INDEX('Detalle individual'!$D:$D,$H196))</f>
        <v/>
      </c>
      <c r="G196" s="5" t="str">
        <f>IF($H196="","",INDEX('Detalle individual'!$F:$F,$H196))</f>
        <v/>
      </c>
      <c r="H196" t="str">
        <f>IFERROR(MATCH(SMALL(Cálculos!$AJ$5:$AJ$1000,192),Cálculos!$AJ$5:$AJ$1000,0)+4,"")</f>
        <v/>
      </c>
    </row>
    <row r="197">
      <c r="B197" s="5" t="str">
        <f>IF($H197="","",INDEX('Detalle individual'!$B:$B,$H197))</f>
        <v/>
      </c>
      <c r="C197" s="5" t="str">
        <f>IF($H197="","",INDEX('Detalle individual'!$A:$A,$H197))</f>
        <v/>
      </c>
      <c r="D197" s="5" t="str">
        <f>IF($H197="","",INDEX('Detalle individual'!$E:$E,$H197))</f>
        <v/>
      </c>
      <c r="E197" s="5" t="str">
        <f>IF($H197="","",INDEX('Detalle individual'!$C:$C,$H197))</f>
        <v/>
      </c>
      <c r="F197" s="5" t="str">
        <f>IF($H197="","",INDEX('Detalle individual'!$D:$D,$H197))</f>
        <v/>
      </c>
      <c r="G197" s="5" t="str">
        <f>IF($H197="","",INDEX('Detalle individual'!$F:$F,$H197))</f>
        <v/>
      </c>
      <c r="H197" t="str">
        <f>IFERROR(MATCH(SMALL(Cálculos!$AJ$5:$AJ$1000,193),Cálculos!$AJ$5:$AJ$1000,0)+4,"")</f>
        <v/>
      </c>
    </row>
    <row r="198">
      <c r="B198" s="5" t="str">
        <f>IF($H198="","",INDEX('Detalle individual'!$B:$B,$H198))</f>
        <v/>
      </c>
      <c r="C198" s="5" t="str">
        <f>IF($H198="","",INDEX('Detalle individual'!$A:$A,$H198))</f>
        <v/>
      </c>
      <c r="D198" s="5" t="str">
        <f>IF($H198="","",INDEX('Detalle individual'!$E:$E,$H198))</f>
        <v/>
      </c>
      <c r="E198" s="5" t="str">
        <f>IF($H198="","",INDEX('Detalle individual'!$C:$C,$H198))</f>
        <v/>
      </c>
      <c r="F198" s="5" t="str">
        <f>IF($H198="","",INDEX('Detalle individual'!$D:$D,$H198))</f>
        <v/>
      </c>
      <c r="G198" s="5" t="str">
        <f>IF($H198="","",INDEX('Detalle individual'!$F:$F,$H198))</f>
        <v/>
      </c>
      <c r="H198" t="str">
        <f>IFERROR(MATCH(SMALL(Cálculos!$AJ$5:$AJ$1000,194),Cálculos!$AJ$5:$AJ$1000,0)+4,"")</f>
        <v/>
      </c>
    </row>
    <row r="199">
      <c r="B199" s="5" t="str">
        <f>IF($H199="","",INDEX('Detalle individual'!$B:$B,$H199))</f>
        <v/>
      </c>
      <c r="C199" s="5" t="str">
        <f>IF($H199="","",INDEX('Detalle individual'!$A:$A,$H199))</f>
        <v/>
      </c>
      <c r="D199" s="5" t="str">
        <f>IF($H199="","",INDEX('Detalle individual'!$E:$E,$H199))</f>
        <v/>
      </c>
      <c r="E199" s="5" t="str">
        <f>IF($H199="","",INDEX('Detalle individual'!$C:$C,$H199))</f>
        <v/>
      </c>
      <c r="F199" s="5" t="str">
        <f>IF($H199="","",INDEX('Detalle individual'!$D:$D,$H199))</f>
        <v/>
      </c>
      <c r="G199" s="5" t="str">
        <f>IF($H199="","",INDEX('Detalle individual'!$F:$F,$H199))</f>
        <v/>
      </c>
      <c r="H199" t="str">
        <f>IFERROR(MATCH(SMALL(Cálculos!$AJ$5:$AJ$1000,195),Cálculos!$AJ$5:$AJ$1000,0)+4,"")</f>
        <v/>
      </c>
    </row>
    <row r="200">
      <c r="B200" s="5" t="str">
        <f>IF($H200="","",INDEX('Detalle individual'!$B:$B,$H200))</f>
        <v/>
      </c>
      <c r="C200" s="5" t="str">
        <f>IF($H200="","",INDEX('Detalle individual'!$A:$A,$H200))</f>
        <v/>
      </c>
      <c r="D200" s="5" t="str">
        <f>IF($H200="","",INDEX('Detalle individual'!$E:$E,$H200))</f>
        <v/>
      </c>
      <c r="E200" s="5" t="str">
        <f>IF($H200="","",INDEX('Detalle individual'!$C:$C,$H200))</f>
        <v/>
      </c>
      <c r="F200" s="5" t="str">
        <f>IF($H200="","",INDEX('Detalle individual'!$D:$D,$H200))</f>
        <v/>
      </c>
      <c r="G200" s="5" t="str">
        <f>IF($H200="","",INDEX('Detalle individual'!$F:$F,$H200))</f>
        <v/>
      </c>
      <c r="H200" t="str">
        <f>IFERROR(MATCH(SMALL(Cálculos!$AJ$5:$AJ$1000,196),Cálculos!$AJ$5:$AJ$1000,0)+4,"")</f>
        <v/>
      </c>
    </row>
    <row r="201">
      <c r="B201" s="5" t="str">
        <f>IF($H201="","",INDEX('Detalle individual'!$B:$B,$H201))</f>
        <v/>
      </c>
      <c r="C201" s="5" t="str">
        <f>IF($H201="","",INDEX('Detalle individual'!$A:$A,$H201))</f>
        <v/>
      </c>
      <c r="D201" s="5" t="str">
        <f>IF($H201="","",INDEX('Detalle individual'!$E:$E,$H201))</f>
        <v/>
      </c>
      <c r="E201" s="5" t="str">
        <f>IF($H201="","",INDEX('Detalle individual'!$C:$C,$H201))</f>
        <v/>
      </c>
      <c r="F201" s="5" t="str">
        <f>IF($H201="","",INDEX('Detalle individual'!$D:$D,$H201))</f>
        <v/>
      </c>
      <c r="G201" s="5" t="str">
        <f>IF($H201="","",INDEX('Detalle individual'!$F:$F,$H201))</f>
        <v/>
      </c>
      <c r="H201" t="str">
        <f>IFERROR(MATCH(SMALL(Cálculos!$AJ$5:$AJ$1000,197),Cálculos!$AJ$5:$AJ$1000,0)+4,"")</f>
        <v/>
      </c>
    </row>
    <row r="202">
      <c r="B202" s="5" t="str">
        <f>IF($H202="","",INDEX('Detalle individual'!$B:$B,$H202))</f>
        <v/>
      </c>
      <c r="C202" s="5" t="str">
        <f>IF($H202="","",INDEX('Detalle individual'!$A:$A,$H202))</f>
        <v/>
      </c>
      <c r="D202" s="5" t="str">
        <f>IF($H202="","",INDEX('Detalle individual'!$E:$E,$H202))</f>
        <v/>
      </c>
      <c r="E202" s="5" t="str">
        <f>IF($H202="","",INDEX('Detalle individual'!$C:$C,$H202))</f>
        <v/>
      </c>
      <c r="F202" s="5" t="str">
        <f>IF($H202="","",INDEX('Detalle individual'!$D:$D,$H202))</f>
        <v/>
      </c>
      <c r="G202" s="5" t="str">
        <f>IF($H202="","",INDEX('Detalle individual'!$F:$F,$H202))</f>
        <v/>
      </c>
      <c r="H202" t="str">
        <f>IFERROR(MATCH(SMALL(Cálculos!$AJ$5:$AJ$1000,198),Cálculos!$AJ$5:$AJ$1000,0)+4,"")</f>
        <v/>
      </c>
    </row>
    <row r="203">
      <c r="B203" s="5" t="str">
        <f>IF($H203="","",INDEX('Detalle individual'!$B:$B,$H203))</f>
        <v/>
      </c>
      <c r="C203" s="5" t="str">
        <f>IF($H203="","",INDEX('Detalle individual'!$A:$A,$H203))</f>
        <v/>
      </c>
      <c r="D203" s="5" t="str">
        <f>IF($H203="","",INDEX('Detalle individual'!$E:$E,$H203))</f>
        <v/>
      </c>
      <c r="E203" s="5" t="str">
        <f>IF($H203="","",INDEX('Detalle individual'!$C:$C,$H203))</f>
        <v/>
      </c>
      <c r="F203" s="5" t="str">
        <f>IF($H203="","",INDEX('Detalle individual'!$D:$D,$H203))</f>
        <v/>
      </c>
      <c r="G203" s="5" t="str">
        <f>IF($H203="","",INDEX('Detalle individual'!$F:$F,$H203))</f>
        <v/>
      </c>
      <c r="H203" t="str">
        <f>IFERROR(MATCH(SMALL(Cálculos!$AJ$5:$AJ$1000,199),Cálculos!$AJ$5:$AJ$1000,0)+4,"")</f>
        <v/>
      </c>
    </row>
    <row r="204">
      <c r="B204" s="5" t="str">
        <f>IF($H204="","",INDEX('Detalle individual'!$B:$B,$H204))</f>
        <v/>
      </c>
      <c r="C204" s="5" t="str">
        <f>IF($H204="","",INDEX('Detalle individual'!$A:$A,$H204))</f>
        <v/>
      </c>
      <c r="D204" s="5" t="str">
        <f>IF($H204="","",INDEX('Detalle individual'!$E:$E,$H204))</f>
        <v/>
      </c>
      <c r="E204" s="5" t="str">
        <f>IF($H204="","",INDEX('Detalle individual'!$C:$C,$H204))</f>
        <v/>
      </c>
      <c r="F204" s="5" t="str">
        <f>IF($H204="","",INDEX('Detalle individual'!$D:$D,$H204))</f>
        <v/>
      </c>
      <c r="G204" s="5" t="str">
        <f>IF($H204="","",INDEX('Detalle individual'!$F:$F,$H204))</f>
        <v/>
      </c>
      <c r="H204" t="str">
        <f>IFERROR(MATCH(SMALL(Cálculos!$AJ$5:$AJ$1000,200),Cálculos!$AJ$5:$AJ$1000,0)+4,"")</f>
        <v/>
      </c>
    </row>
    <row r="205">
      <c r="B205" s="5" t="str">
        <f>IF($H205="","",INDEX('Detalle individual'!$B:$B,$H205))</f>
        <v/>
      </c>
      <c r="C205" s="5" t="str">
        <f>IF($H205="","",INDEX('Detalle individual'!$A:$A,$H205))</f>
        <v/>
      </c>
      <c r="D205" s="5" t="str">
        <f>IF($H205="","",INDEX('Detalle individual'!$E:$E,$H205))</f>
        <v/>
      </c>
      <c r="E205" s="5" t="str">
        <f>IF($H205="","",INDEX('Detalle individual'!$C:$C,$H205))</f>
        <v/>
      </c>
      <c r="F205" s="5" t="str">
        <f>IF($H205="","",INDEX('Detalle individual'!$D:$D,$H205))</f>
        <v/>
      </c>
      <c r="G205" s="5" t="str">
        <f>IF($H205="","",INDEX('Detalle individual'!$F:$F,$H205))</f>
        <v/>
      </c>
      <c r="H205" t="str">
        <f>IFERROR(MATCH(SMALL(Cálculos!$AJ$5:$AJ$1000,201),Cálculos!$AJ$5:$AJ$1000,0)+4,"")</f>
        <v/>
      </c>
    </row>
    <row r="206">
      <c r="B206" s="5" t="str">
        <f>IF($H206="","",INDEX('Detalle individual'!$B:$B,$H206))</f>
        <v/>
      </c>
      <c r="C206" s="5" t="str">
        <f>IF($H206="","",INDEX('Detalle individual'!$A:$A,$H206))</f>
        <v/>
      </c>
      <c r="D206" s="5" t="str">
        <f>IF($H206="","",INDEX('Detalle individual'!$E:$E,$H206))</f>
        <v/>
      </c>
      <c r="E206" s="5" t="str">
        <f>IF($H206="","",INDEX('Detalle individual'!$C:$C,$H206))</f>
        <v/>
      </c>
      <c r="F206" s="5" t="str">
        <f>IF($H206="","",INDEX('Detalle individual'!$D:$D,$H206))</f>
        <v/>
      </c>
      <c r="G206" s="5" t="str">
        <f>IF($H206="","",INDEX('Detalle individual'!$F:$F,$H206))</f>
        <v/>
      </c>
      <c r="H206" t="str">
        <f>IFERROR(MATCH(SMALL(Cálculos!$AJ$5:$AJ$1000,202),Cálculos!$AJ$5:$AJ$1000,0)+4,"")</f>
        <v/>
      </c>
    </row>
    <row r="207">
      <c r="B207" s="5" t="str">
        <f>IF($H207="","",INDEX('Detalle individual'!$B:$B,$H207))</f>
        <v/>
      </c>
      <c r="C207" s="5" t="str">
        <f>IF($H207="","",INDEX('Detalle individual'!$A:$A,$H207))</f>
        <v/>
      </c>
      <c r="D207" s="5" t="str">
        <f>IF($H207="","",INDEX('Detalle individual'!$E:$E,$H207))</f>
        <v/>
      </c>
      <c r="E207" s="5" t="str">
        <f>IF($H207="","",INDEX('Detalle individual'!$C:$C,$H207))</f>
        <v/>
      </c>
      <c r="F207" s="5" t="str">
        <f>IF($H207="","",INDEX('Detalle individual'!$D:$D,$H207))</f>
        <v/>
      </c>
      <c r="G207" s="5" t="str">
        <f>IF($H207="","",INDEX('Detalle individual'!$F:$F,$H207))</f>
        <v/>
      </c>
      <c r="H207" t="str">
        <f>IFERROR(MATCH(SMALL(Cálculos!$AJ$5:$AJ$1000,203),Cálculos!$AJ$5:$AJ$1000,0)+4,"")</f>
        <v/>
      </c>
    </row>
    <row r="208">
      <c r="B208" s="5" t="str">
        <f>IF($H208="","",INDEX('Detalle individual'!$B:$B,$H208))</f>
        <v/>
      </c>
      <c r="C208" s="5" t="str">
        <f>IF($H208="","",INDEX('Detalle individual'!$A:$A,$H208))</f>
        <v/>
      </c>
      <c r="D208" s="5" t="str">
        <f>IF($H208="","",INDEX('Detalle individual'!$E:$E,$H208))</f>
        <v/>
      </c>
      <c r="E208" s="5" t="str">
        <f>IF($H208="","",INDEX('Detalle individual'!$C:$C,$H208))</f>
        <v/>
      </c>
      <c r="F208" s="5" t="str">
        <f>IF($H208="","",INDEX('Detalle individual'!$D:$D,$H208))</f>
        <v/>
      </c>
      <c r="G208" s="5" t="str">
        <f>IF($H208="","",INDEX('Detalle individual'!$F:$F,$H208))</f>
        <v/>
      </c>
      <c r="H208" t="str">
        <f>IFERROR(MATCH(SMALL(Cálculos!$AJ$5:$AJ$1000,204),Cálculos!$AJ$5:$AJ$1000,0)+4,"")</f>
        <v/>
      </c>
    </row>
    <row r="209">
      <c r="B209" s="5" t="str">
        <f>IF($H209="","",INDEX('Detalle individual'!$B:$B,$H209))</f>
        <v/>
      </c>
      <c r="C209" s="5" t="str">
        <f>IF($H209="","",INDEX('Detalle individual'!$A:$A,$H209))</f>
        <v/>
      </c>
      <c r="D209" s="5" t="str">
        <f>IF($H209="","",INDEX('Detalle individual'!$E:$E,$H209))</f>
        <v/>
      </c>
      <c r="E209" s="5" t="str">
        <f>IF($H209="","",INDEX('Detalle individual'!$C:$C,$H209))</f>
        <v/>
      </c>
      <c r="F209" s="5" t="str">
        <f>IF($H209="","",INDEX('Detalle individual'!$D:$D,$H209))</f>
        <v/>
      </c>
      <c r="G209" s="5" t="str">
        <f>IF($H209="","",INDEX('Detalle individual'!$F:$F,$H209))</f>
        <v/>
      </c>
      <c r="H209" t="str">
        <f>IFERROR(MATCH(SMALL(Cálculos!$AJ$5:$AJ$1000,205),Cálculos!$AJ$5:$AJ$1000,0)+4,"")</f>
        <v/>
      </c>
    </row>
    <row r="210">
      <c r="B210" s="5" t="str">
        <f>IF($H210="","",INDEX('Detalle individual'!$B:$B,$H210))</f>
        <v/>
      </c>
      <c r="C210" s="5" t="str">
        <f>IF($H210="","",INDEX('Detalle individual'!$A:$A,$H210))</f>
        <v/>
      </c>
      <c r="D210" s="5" t="str">
        <f>IF($H210="","",INDEX('Detalle individual'!$E:$E,$H210))</f>
        <v/>
      </c>
      <c r="E210" s="5" t="str">
        <f>IF($H210="","",INDEX('Detalle individual'!$C:$C,$H210))</f>
        <v/>
      </c>
      <c r="F210" s="5" t="str">
        <f>IF($H210="","",INDEX('Detalle individual'!$D:$D,$H210))</f>
        <v/>
      </c>
      <c r="G210" s="5" t="str">
        <f>IF($H210="","",INDEX('Detalle individual'!$F:$F,$H210))</f>
        <v/>
      </c>
      <c r="H210" t="str">
        <f>IFERROR(MATCH(SMALL(Cálculos!$AJ$5:$AJ$1000,206),Cálculos!$AJ$5:$AJ$1000,0)+4,"")</f>
        <v/>
      </c>
    </row>
    <row r="211">
      <c r="B211" s="5" t="str">
        <f>IF($H211="","",INDEX('Detalle individual'!$B:$B,$H211))</f>
        <v/>
      </c>
      <c r="C211" s="5" t="str">
        <f>IF($H211="","",INDEX('Detalle individual'!$A:$A,$H211))</f>
        <v/>
      </c>
      <c r="D211" s="5" t="str">
        <f>IF($H211="","",INDEX('Detalle individual'!$E:$E,$H211))</f>
        <v/>
      </c>
      <c r="E211" s="5" t="str">
        <f>IF($H211="","",INDEX('Detalle individual'!$C:$C,$H211))</f>
        <v/>
      </c>
      <c r="F211" s="5" t="str">
        <f>IF($H211="","",INDEX('Detalle individual'!$D:$D,$H211))</f>
        <v/>
      </c>
      <c r="G211" s="5" t="str">
        <f>IF($H211="","",INDEX('Detalle individual'!$F:$F,$H211))</f>
        <v/>
      </c>
      <c r="H211" t="str">
        <f>IFERROR(MATCH(SMALL(Cálculos!$AJ$5:$AJ$1000,207),Cálculos!$AJ$5:$AJ$1000,0)+4,"")</f>
        <v/>
      </c>
    </row>
    <row r="212">
      <c r="B212" s="5" t="str">
        <f>IF($H212="","",INDEX('Detalle individual'!$B:$B,$H212))</f>
        <v/>
      </c>
      <c r="C212" s="5" t="str">
        <f>IF($H212="","",INDEX('Detalle individual'!$A:$A,$H212))</f>
        <v/>
      </c>
      <c r="D212" s="5" t="str">
        <f>IF($H212="","",INDEX('Detalle individual'!$E:$E,$H212))</f>
        <v/>
      </c>
      <c r="E212" s="5" t="str">
        <f>IF($H212="","",INDEX('Detalle individual'!$C:$C,$H212))</f>
        <v/>
      </c>
      <c r="F212" s="5" t="str">
        <f>IF($H212="","",INDEX('Detalle individual'!$D:$D,$H212))</f>
        <v/>
      </c>
      <c r="G212" s="5" t="str">
        <f>IF($H212="","",INDEX('Detalle individual'!$F:$F,$H212))</f>
        <v/>
      </c>
      <c r="H212" t="str">
        <f>IFERROR(MATCH(SMALL(Cálculos!$AJ$5:$AJ$1000,208),Cálculos!$AJ$5:$AJ$1000,0)+4,"")</f>
        <v/>
      </c>
    </row>
    <row r="213">
      <c r="B213" s="5" t="str">
        <f>IF($H213="","",INDEX('Detalle individual'!$B:$B,$H213))</f>
        <v/>
      </c>
      <c r="C213" s="5" t="str">
        <f>IF($H213="","",INDEX('Detalle individual'!$A:$A,$H213))</f>
        <v/>
      </c>
      <c r="D213" s="5" t="str">
        <f>IF($H213="","",INDEX('Detalle individual'!$E:$E,$H213))</f>
        <v/>
      </c>
      <c r="E213" s="5" t="str">
        <f>IF($H213="","",INDEX('Detalle individual'!$C:$C,$H213))</f>
        <v/>
      </c>
      <c r="F213" s="5" t="str">
        <f>IF($H213="","",INDEX('Detalle individual'!$D:$D,$H213))</f>
        <v/>
      </c>
      <c r="G213" s="5" t="str">
        <f>IF($H213="","",INDEX('Detalle individual'!$F:$F,$H213))</f>
        <v/>
      </c>
      <c r="H213" t="str">
        <f>IFERROR(MATCH(SMALL(Cálculos!$AJ$5:$AJ$1000,209),Cálculos!$AJ$5:$AJ$1000,0)+4,"")</f>
        <v/>
      </c>
    </row>
    <row r="214">
      <c r="B214" s="5" t="str">
        <f>IF($H214="","",INDEX('Detalle individual'!$B:$B,$H214))</f>
        <v/>
      </c>
      <c r="C214" s="5" t="str">
        <f>IF($H214="","",INDEX('Detalle individual'!$A:$A,$H214))</f>
        <v/>
      </c>
      <c r="D214" s="5" t="str">
        <f>IF($H214="","",INDEX('Detalle individual'!$E:$E,$H214))</f>
        <v/>
      </c>
      <c r="E214" s="5" t="str">
        <f>IF($H214="","",INDEX('Detalle individual'!$C:$C,$H214))</f>
        <v/>
      </c>
      <c r="F214" s="5" t="str">
        <f>IF($H214="","",INDEX('Detalle individual'!$D:$D,$H214))</f>
        <v/>
      </c>
      <c r="G214" s="5" t="str">
        <f>IF($H214="","",INDEX('Detalle individual'!$F:$F,$H214))</f>
        <v/>
      </c>
      <c r="H214" t="str">
        <f>IFERROR(MATCH(SMALL(Cálculos!$AJ$5:$AJ$1000,210),Cálculos!$AJ$5:$AJ$1000,0)+4,"")</f>
        <v/>
      </c>
    </row>
    <row r="215">
      <c r="B215" s="5" t="str">
        <f>IF($H215="","",INDEX('Detalle individual'!$B:$B,$H215))</f>
        <v/>
      </c>
      <c r="C215" s="5" t="str">
        <f>IF($H215="","",INDEX('Detalle individual'!$A:$A,$H215))</f>
        <v/>
      </c>
      <c r="D215" s="5" t="str">
        <f>IF($H215="","",INDEX('Detalle individual'!$E:$E,$H215))</f>
        <v/>
      </c>
      <c r="E215" s="5" t="str">
        <f>IF($H215="","",INDEX('Detalle individual'!$C:$C,$H215))</f>
        <v/>
      </c>
      <c r="F215" s="5" t="str">
        <f>IF($H215="","",INDEX('Detalle individual'!$D:$D,$H215))</f>
        <v/>
      </c>
      <c r="G215" s="5" t="str">
        <f>IF($H215="","",INDEX('Detalle individual'!$F:$F,$H215))</f>
        <v/>
      </c>
      <c r="H215" t="str">
        <f>IFERROR(MATCH(SMALL(Cálculos!$AJ$5:$AJ$1000,211),Cálculos!$AJ$5:$AJ$1000,0)+4,"")</f>
        <v/>
      </c>
    </row>
    <row r="216">
      <c r="B216" s="5" t="str">
        <f>IF($H216="","",INDEX('Detalle individual'!$B:$B,$H216))</f>
        <v/>
      </c>
      <c r="C216" s="5" t="str">
        <f>IF($H216="","",INDEX('Detalle individual'!$A:$A,$H216))</f>
        <v/>
      </c>
      <c r="D216" s="5" t="str">
        <f>IF($H216="","",INDEX('Detalle individual'!$E:$E,$H216))</f>
        <v/>
      </c>
      <c r="E216" s="5" t="str">
        <f>IF($H216="","",INDEX('Detalle individual'!$C:$C,$H216))</f>
        <v/>
      </c>
      <c r="F216" s="5" t="str">
        <f>IF($H216="","",INDEX('Detalle individual'!$D:$D,$H216))</f>
        <v/>
      </c>
      <c r="G216" s="5" t="str">
        <f>IF($H216="","",INDEX('Detalle individual'!$F:$F,$H216))</f>
        <v/>
      </c>
      <c r="H216" t="str">
        <f>IFERROR(MATCH(SMALL(Cálculos!$AJ$5:$AJ$1000,212),Cálculos!$AJ$5:$AJ$1000,0)+4,"")</f>
        <v/>
      </c>
    </row>
    <row r="217">
      <c r="B217" s="5" t="str">
        <f>IF($H217="","",INDEX('Detalle individual'!$B:$B,$H217))</f>
        <v/>
      </c>
      <c r="C217" s="5" t="str">
        <f>IF($H217="","",INDEX('Detalle individual'!$A:$A,$H217))</f>
        <v/>
      </c>
      <c r="D217" s="5" t="str">
        <f>IF($H217="","",INDEX('Detalle individual'!$E:$E,$H217))</f>
        <v/>
      </c>
      <c r="E217" s="5" t="str">
        <f>IF($H217="","",INDEX('Detalle individual'!$C:$C,$H217))</f>
        <v/>
      </c>
      <c r="F217" s="5" t="str">
        <f>IF($H217="","",INDEX('Detalle individual'!$D:$D,$H217))</f>
        <v/>
      </c>
      <c r="G217" s="5" t="str">
        <f>IF($H217="","",INDEX('Detalle individual'!$F:$F,$H217))</f>
        <v/>
      </c>
      <c r="H217" t="str">
        <f>IFERROR(MATCH(SMALL(Cálculos!$AJ$5:$AJ$1000,213),Cálculos!$AJ$5:$AJ$1000,0)+4,"")</f>
        <v/>
      </c>
    </row>
    <row r="218">
      <c r="B218" s="5" t="str">
        <f>IF($H218="","",INDEX('Detalle individual'!$B:$B,$H218))</f>
        <v/>
      </c>
      <c r="C218" s="5" t="str">
        <f>IF($H218="","",INDEX('Detalle individual'!$A:$A,$H218))</f>
        <v/>
      </c>
      <c r="D218" s="5" t="str">
        <f>IF($H218="","",INDEX('Detalle individual'!$E:$E,$H218))</f>
        <v/>
      </c>
      <c r="E218" s="5" t="str">
        <f>IF($H218="","",INDEX('Detalle individual'!$C:$C,$H218))</f>
        <v/>
      </c>
      <c r="F218" s="5" t="str">
        <f>IF($H218="","",INDEX('Detalle individual'!$D:$D,$H218))</f>
        <v/>
      </c>
      <c r="G218" s="5" t="str">
        <f>IF($H218="","",INDEX('Detalle individual'!$F:$F,$H218))</f>
        <v/>
      </c>
      <c r="H218" t="str">
        <f>IFERROR(MATCH(SMALL(Cálculos!$AJ$5:$AJ$1000,214),Cálculos!$AJ$5:$AJ$1000,0)+4,"")</f>
        <v/>
      </c>
    </row>
    <row r="219">
      <c r="B219" s="5" t="str">
        <f>IF($H219="","",INDEX('Detalle individual'!$B:$B,$H219))</f>
        <v/>
      </c>
      <c r="C219" s="5" t="str">
        <f>IF($H219="","",INDEX('Detalle individual'!$A:$A,$H219))</f>
        <v/>
      </c>
      <c r="D219" s="5" t="str">
        <f>IF($H219="","",INDEX('Detalle individual'!$E:$E,$H219))</f>
        <v/>
      </c>
      <c r="E219" s="5" t="str">
        <f>IF($H219="","",INDEX('Detalle individual'!$C:$C,$H219))</f>
        <v/>
      </c>
      <c r="F219" s="5" t="str">
        <f>IF($H219="","",INDEX('Detalle individual'!$D:$D,$H219))</f>
        <v/>
      </c>
      <c r="G219" s="5" t="str">
        <f>IF($H219="","",INDEX('Detalle individual'!$F:$F,$H219))</f>
        <v/>
      </c>
      <c r="H219" t="str">
        <f>IFERROR(MATCH(SMALL(Cálculos!$AJ$5:$AJ$1000,215),Cálculos!$AJ$5:$AJ$1000,0)+4,"")</f>
        <v/>
      </c>
    </row>
    <row r="220">
      <c r="B220" s="5" t="str">
        <f>IF($H220="","",INDEX('Detalle individual'!$B:$B,$H220))</f>
        <v/>
      </c>
      <c r="C220" s="5" t="str">
        <f>IF($H220="","",INDEX('Detalle individual'!$A:$A,$H220))</f>
        <v/>
      </c>
      <c r="D220" s="5" t="str">
        <f>IF($H220="","",INDEX('Detalle individual'!$E:$E,$H220))</f>
        <v/>
      </c>
      <c r="E220" s="5" t="str">
        <f>IF($H220="","",INDEX('Detalle individual'!$C:$C,$H220))</f>
        <v/>
      </c>
      <c r="F220" s="5" t="str">
        <f>IF($H220="","",INDEX('Detalle individual'!$D:$D,$H220))</f>
        <v/>
      </c>
      <c r="G220" s="5" t="str">
        <f>IF($H220="","",INDEX('Detalle individual'!$F:$F,$H220))</f>
        <v/>
      </c>
      <c r="H220" t="str">
        <f>IFERROR(MATCH(SMALL(Cálculos!$AJ$5:$AJ$1000,216),Cálculos!$AJ$5:$AJ$1000,0)+4,"")</f>
        <v/>
      </c>
    </row>
    <row r="221">
      <c r="B221" s="5" t="str">
        <f>IF($H221="","",INDEX('Detalle individual'!$B:$B,$H221))</f>
        <v/>
      </c>
      <c r="C221" s="5" t="str">
        <f>IF($H221="","",INDEX('Detalle individual'!$A:$A,$H221))</f>
        <v/>
      </c>
      <c r="D221" s="5" t="str">
        <f>IF($H221="","",INDEX('Detalle individual'!$E:$E,$H221))</f>
        <v/>
      </c>
      <c r="E221" s="5" t="str">
        <f>IF($H221="","",INDEX('Detalle individual'!$C:$C,$H221))</f>
        <v/>
      </c>
      <c r="F221" s="5" t="str">
        <f>IF($H221="","",INDEX('Detalle individual'!$D:$D,$H221))</f>
        <v/>
      </c>
      <c r="G221" s="5" t="str">
        <f>IF($H221="","",INDEX('Detalle individual'!$F:$F,$H221))</f>
        <v/>
      </c>
      <c r="H221" t="str">
        <f>IFERROR(MATCH(SMALL(Cálculos!$AJ$5:$AJ$1000,217),Cálculos!$AJ$5:$AJ$1000,0)+4,"")</f>
        <v/>
      </c>
    </row>
    <row r="222">
      <c r="B222" s="5" t="str">
        <f>IF($H222="","",INDEX('Detalle individual'!$B:$B,$H222))</f>
        <v/>
      </c>
      <c r="C222" s="5" t="str">
        <f>IF($H222="","",INDEX('Detalle individual'!$A:$A,$H222))</f>
        <v/>
      </c>
      <c r="D222" s="5" t="str">
        <f>IF($H222="","",INDEX('Detalle individual'!$E:$E,$H222))</f>
        <v/>
      </c>
      <c r="E222" s="5" t="str">
        <f>IF($H222="","",INDEX('Detalle individual'!$C:$C,$H222))</f>
        <v/>
      </c>
      <c r="F222" s="5" t="str">
        <f>IF($H222="","",INDEX('Detalle individual'!$D:$D,$H222))</f>
        <v/>
      </c>
      <c r="G222" s="5" t="str">
        <f>IF($H222="","",INDEX('Detalle individual'!$F:$F,$H222))</f>
        <v/>
      </c>
      <c r="H222" t="str">
        <f>IFERROR(MATCH(SMALL(Cálculos!$AJ$5:$AJ$1000,218),Cálculos!$AJ$5:$AJ$1000,0)+4,"")</f>
        <v/>
      </c>
    </row>
    <row r="223">
      <c r="B223" s="5" t="str">
        <f>IF($H223="","",INDEX('Detalle individual'!$B:$B,$H223))</f>
        <v/>
      </c>
      <c r="C223" s="5" t="str">
        <f>IF($H223="","",INDEX('Detalle individual'!$A:$A,$H223))</f>
        <v/>
      </c>
      <c r="D223" s="5" t="str">
        <f>IF($H223="","",INDEX('Detalle individual'!$E:$E,$H223))</f>
        <v/>
      </c>
      <c r="E223" s="5" t="str">
        <f>IF($H223="","",INDEX('Detalle individual'!$C:$C,$H223))</f>
        <v/>
      </c>
      <c r="F223" s="5" t="str">
        <f>IF($H223="","",INDEX('Detalle individual'!$D:$D,$H223))</f>
        <v/>
      </c>
      <c r="G223" s="5" t="str">
        <f>IF($H223="","",INDEX('Detalle individual'!$F:$F,$H223))</f>
        <v/>
      </c>
      <c r="H223" t="str">
        <f>IFERROR(MATCH(SMALL(Cálculos!$AJ$5:$AJ$1000,219),Cálculos!$AJ$5:$AJ$1000,0)+4,"")</f>
        <v/>
      </c>
    </row>
    <row r="224">
      <c r="B224" s="5" t="str">
        <f>IF($H224="","",INDEX('Detalle individual'!$B:$B,$H224))</f>
        <v/>
      </c>
      <c r="C224" s="5" t="str">
        <f>IF($H224="","",INDEX('Detalle individual'!$A:$A,$H224))</f>
        <v/>
      </c>
      <c r="D224" s="5" t="str">
        <f>IF($H224="","",INDEX('Detalle individual'!$E:$E,$H224))</f>
        <v/>
      </c>
      <c r="E224" s="5" t="str">
        <f>IF($H224="","",INDEX('Detalle individual'!$C:$C,$H224))</f>
        <v/>
      </c>
      <c r="F224" s="5" t="str">
        <f>IF($H224="","",INDEX('Detalle individual'!$D:$D,$H224))</f>
        <v/>
      </c>
      <c r="G224" s="5" t="str">
        <f>IF($H224="","",INDEX('Detalle individual'!$F:$F,$H224))</f>
        <v/>
      </c>
      <c r="H224" t="str">
        <f>IFERROR(MATCH(SMALL(Cálculos!$AJ$5:$AJ$1000,220),Cálculos!$AJ$5:$AJ$1000,0)+4,"")</f>
        <v/>
      </c>
    </row>
    <row r="225">
      <c r="B225" s="5" t="str">
        <f>IF($H225="","",INDEX('Detalle individual'!$B:$B,$H225))</f>
        <v/>
      </c>
      <c r="C225" s="5" t="str">
        <f>IF($H225="","",INDEX('Detalle individual'!$A:$A,$H225))</f>
        <v/>
      </c>
      <c r="D225" s="5" t="str">
        <f>IF($H225="","",INDEX('Detalle individual'!$E:$E,$H225))</f>
        <v/>
      </c>
      <c r="E225" s="5" t="str">
        <f>IF($H225="","",INDEX('Detalle individual'!$C:$C,$H225))</f>
        <v/>
      </c>
      <c r="F225" s="5" t="str">
        <f>IF($H225="","",INDEX('Detalle individual'!$D:$D,$H225))</f>
        <v/>
      </c>
      <c r="G225" s="5" t="str">
        <f>IF($H225="","",INDEX('Detalle individual'!$F:$F,$H225))</f>
        <v/>
      </c>
      <c r="H225" t="str">
        <f>IFERROR(MATCH(SMALL(Cálculos!$AJ$5:$AJ$1000,221),Cálculos!$AJ$5:$AJ$1000,0)+4,"")</f>
        <v/>
      </c>
    </row>
    <row r="226">
      <c r="B226" s="5" t="str">
        <f>IF($H226="","",INDEX('Detalle individual'!$B:$B,$H226))</f>
        <v/>
      </c>
      <c r="C226" s="5" t="str">
        <f>IF($H226="","",INDEX('Detalle individual'!$A:$A,$H226))</f>
        <v/>
      </c>
      <c r="D226" s="5" t="str">
        <f>IF($H226="","",INDEX('Detalle individual'!$E:$E,$H226))</f>
        <v/>
      </c>
      <c r="E226" s="5" t="str">
        <f>IF($H226="","",INDEX('Detalle individual'!$C:$C,$H226))</f>
        <v/>
      </c>
      <c r="F226" s="5" t="str">
        <f>IF($H226="","",INDEX('Detalle individual'!$D:$D,$H226))</f>
        <v/>
      </c>
      <c r="G226" s="5" t="str">
        <f>IF($H226="","",INDEX('Detalle individual'!$F:$F,$H226))</f>
        <v/>
      </c>
      <c r="H226" t="str">
        <f>IFERROR(MATCH(SMALL(Cálculos!$AJ$5:$AJ$1000,222),Cálculos!$AJ$5:$AJ$1000,0)+4,"")</f>
        <v/>
      </c>
    </row>
    <row r="227">
      <c r="B227" s="5" t="str">
        <f>IF($H227="","",INDEX('Detalle individual'!$B:$B,$H227))</f>
        <v/>
      </c>
      <c r="C227" s="5" t="str">
        <f>IF($H227="","",INDEX('Detalle individual'!$A:$A,$H227))</f>
        <v/>
      </c>
      <c r="D227" s="5" t="str">
        <f>IF($H227="","",INDEX('Detalle individual'!$E:$E,$H227))</f>
        <v/>
      </c>
      <c r="E227" s="5" t="str">
        <f>IF($H227="","",INDEX('Detalle individual'!$C:$C,$H227))</f>
        <v/>
      </c>
      <c r="F227" s="5" t="str">
        <f>IF($H227="","",INDEX('Detalle individual'!$D:$D,$H227))</f>
        <v/>
      </c>
      <c r="G227" s="5" t="str">
        <f>IF($H227="","",INDEX('Detalle individual'!$F:$F,$H227))</f>
        <v/>
      </c>
      <c r="H227" t="str">
        <f>IFERROR(MATCH(SMALL(Cálculos!$AJ$5:$AJ$1000,223),Cálculos!$AJ$5:$AJ$1000,0)+4,"")</f>
        <v/>
      </c>
    </row>
    <row r="228">
      <c r="B228" s="5" t="str">
        <f>IF($H228="","",INDEX('Detalle individual'!$B:$B,$H228))</f>
        <v/>
      </c>
      <c r="C228" s="5" t="str">
        <f>IF($H228="","",INDEX('Detalle individual'!$A:$A,$H228))</f>
        <v/>
      </c>
      <c r="D228" s="5" t="str">
        <f>IF($H228="","",INDEX('Detalle individual'!$E:$E,$H228))</f>
        <v/>
      </c>
      <c r="E228" s="5" t="str">
        <f>IF($H228="","",INDEX('Detalle individual'!$C:$C,$H228))</f>
        <v/>
      </c>
      <c r="F228" s="5" t="str">
        <f>IF($H228="","",INDEX('Detalle individual'!$D:$D,$H228))</f>
        <v/>
      </c>
      <c r="G228" s="5" t="str">
        <f>IF($H228="","",INDEX('Detalle individual'!$F:$F,$H228))</f>
        <v/>
      </c>
      <c r="H228" t="str">
        <f>IFERROR(MATCH(SMALL(Cálculos!$AJ$5:$AJ$1000,224),Cálculos!$AJ$5:$AJ$1000,0)+4,"")</f>
        <v/>
      </c>
    </row>
    <row r="229">
      <c r="B229" s="5" t="str">
        <f>IF($H229="","",INDEX('Detalle individual'!$B:$B,$H229))</f>
        <v/>
      </c>
      <c r="C229" s="5" t="str">
        <f>IF($H229="","",INDEX('Detalle individual'!$A:$A,$H229))</f>
        <v/>
      </c>
      <c r="D229" s="5" t="str">
        <f>IF($H229="","",INDEX('Detalle individual'!$E:$E,$H229))</f>
        <v/>
      </c>
      <c r="E229" s="5" t="str">
        <f>IF($H229="","",INDEX('Detalle individual'!$C:$C,$H229))</f>
        <v/>
      </c>
      <c r="F229" s="5" t="str">
        <f>IF($H229="","",INDEX('Detalle individual'!$D:$D,$H229))</f>
        <v/>
      </c>
      <c r="G229" s="5" t="str">
        <f>IF($H229="","",INDEX('Detalle individual'!$F:$F,$H229))</f>
        <v/>
      </c>
      <c r="H229" t="str">
        <f>IFERROR(MATCH(SMALL(Cálculos!$AJ$5:$AJ$1000,225),Cálculos!$AJ$5:$AJ$1000,0)+4,"")</f>
        <v/>
      </c>
    </row>
    <row r="230">
      <c r="B230" s="5" t="str">
        <f>IF($H230="","",INDEX('Detalle individual'!$B:$B,$H230))</f>
        <v/>
      </c>
      <c r="C230" s="5" t="str">
        <f>IF($H230="","",INDEX('Detalle individual'!$A:$A,$H230))</f>
        <v/>
      </c>
      <c r="D230" s="5" t="str">
        <f>IF($H230="","",INDEX('Detalle individual'!$E:$E,$H230))</f>
        <v/>
      </c>
      <c r="E230" s="5" t="str">
        <f>IF($H230="","",INDEX('Detalle individual'!$C:$C,$H230))</f>
        <v/>
      </c>
      <c r="F230" s="5" t="str">
        <f>IF($H230="","",INDEX('Detalle individual'!$D:$D,$H230))</f>
        <v/>
      </c>
      <c r="G230" s="5" t="str">
        <f>IF($H230="","",INDEX('Detalle individual'!$F:$F,$H230))</f>
        <v/>
      </c>
      <c r="H230" t="str">
        <f>IFERROR(MATCH(SMALL(Cálculos!$AJ$5:$AJ$1000,226),Cálculos!$AJ$5:$AJ$1000,0)+4,"")</f>
        <v/>
      </c>
    </row>
    <row r="231">
      <c r="B231" s="5" t="str">
        <f>IF($H231="","",INDEX('Detalle individual'!$B:$B,$H231))</f>
        <v/>
      </c>
      <c r="C231" s="5" t="str">
        <f>IF($H231="","",INDEX('Detalle individual'!$A:$A,$H231))</f>
        <v/>
      </c>
      <c r="D231" s="5" t="str">
        <f>IF($H231="","",INDEX('Detalle individual'!$E:$E,$H231))</f>
        <v/>
      </c>
      <c r="E231" s="5" t="str">
        <f>IF($H231="","",INDEX('Detalle individual'!$C:$C,$H231))</f>
        <v/>
      </c>
      <c r="F231" s="5" t="str">
        <f>IF($H231="","",INDEX('Detalle individual'!$D:$D,$H231))</f>
        <v/>
      </c>
      <c r="G231" s="5" t="str">
        <f>IF($H231="","",INDEX('Detalle individual'!$F:$F,$H231))</f>
        <v/>
      </c>
      <c r="H231" t="str">
        <f>IFERROR(MATCH(SMALL(Cálculos!$AJ$5:$AJ$1000,227),Cálculos!$AJ$5:$AJ$1000,0)+4,"")</f>
        <v/>
      </c>
    </row>
    <row r="232">
      <c r="B232" s="5" t="str">
        <f>IF($H232="","",INDEX('Detalle individual'!$B:$B,$H232))</f>
        <v/>
      </c>
      <c r="C232" s="5" t="str">
        <f>IF($H232="","",INDEX('Detalle individual'!$A:$A,$H232))</f>
        <v/>
      </c>
      <c r="D232" s="5" t="str">
        <f>IF($H232="","",INDEX('Detalle individual'!$E:$E,$H232))</f>
        <v/>
      </c>
      <c r="E232" s="5" t="str">
        <f>IF($H232="","",INDEX('Detalle individual'!$C:$C,$H232))</f>
        <v/>
      </c>
      <c r="F232" s="5" t="str">
        <f>IF($H232="","",INDEX('Detalle individual'!$D:$D,$H232))</f>
        <v/>
      </c>
      <c r="G232" s="5" t="str">
        <f>IF($H232="","",INDEX('Detalle individual'!$F:$F,$H232))</f>
        <v/>
      </c>
      <c r="H232" t="str">
        <f>IFERROR(MATCH(SMALL(Cálculos!$AJ$5:$AJ$1000,228),Cálculos!$AJ$5:$AJ$1000,0)+4,"")</f>
        <v/>
      </c>
    </row>
    <row r="233">
      <c r="B233" s="5" t="str">
        <f>IF($H233="","",INDEX('Detalle individual'!$B:$B,$H233))</f>
        <v/>
      </c>
      <c r="C233" s="5" t="str">
        <f>IF($H233="","",INDEX('Detalle individual'!$A:$A,$H233))</f>
        <v/>
      </c>
      <c r="D233" s="5" t="str">
        <f>IF($H233="","",INDEX('Detalle individual'!$E:$E,$H233))</f>
        <v/>
      </c>
      <c r="E233" s="5" t="str">
        <f>IF($H233="","",INDEX('Detalle individual'!$C:$C,$H233))</f>
        <v/>
      </c>
      <c r="F233" s="5" t="str">
        <f>IF($H233="","",INDEX('Detalle individual'!$D:$D,$H233))</f>
        <v/>
      </c>
      <c r="G233" s="5" t="str">
        <f>IF($H233="","",INDEX('Detalle individual'!$F:$F,$H233))</f>
        <v/>
      </c>
      <c r="H233" t="str">
        <f>IFERROR(MATCH(SMALL(Cálculos!$AJ$5:$AJ$1000,229),Cálculos!$AJ$5:$AJ$1000,0)+4,"")</f>
        <v/>
      </c>
    </row>
    <row r="234">
      <c r="B234" s="5" t="str">
        <f>IF($H234="","",INDEX('Detalle individual'!$B:$B,$H234))</f>
        <v/>
      </c>
      <c r="C234" s="5" t="str">
        <f>IF($H234="","",INDEX('Detalle individual'!$A:$A,$H234))</f>
        <v/>
      </c>
      <c r="D234" s="5" t="str">
        <f>IF($H234="","",INDEX('Detalle individual'!$E:$E,$H234))</f>
        <v/>
      </c>
      <c r="E234" s="5" t="str">
        <f>IF($H234="","",INDEX('Detalle individual'!$C:$C,$H234))</f>
        <v/>
      </c>
      <c r="F234" s="5" t="str">
        <f>IF($H234="","",INDEX('Detalle individual'!$D:$D,$H234))</f>
        <v/>
      </c>
      <c r="G234" s="5" t="str">
        <f>IF($H234="","",INDEX('Detalle individual'!$F:$F,$H234))</f>
        <v/>
      </c>
      <c r="H234" t="str">
        <f>IFERROR(MATCH(SMALL(Cálculos!$AJ$5:$AJ$1000,230),Cálculos!$AJ$5:$AJ$1000,0)+4,"")</f>
        <v/>
      </c>
    </row>
    <row r="235">
      <c r="B235" s="5" t="str">
        <f>IF($H235="","",INDEX('Detalle individual'!$B:$B,$H235))</f>
        <v/>
      </c>
      <c r="C235" s="5" t="str">
        <f>IF($H235="","",INDEX('Detalle individual'!$A:$A,$H235))</f>
        <v/>
      </c>
      <c r="D235" s="5" t="str">
        <f>IF($H235="","",INDEX('Detalle individual'!$E:$E,$H235))</f>
        <v/>
      </c>
      <c r="E235" s="5" t="str">
        <f>IF($H235="","",INDEX('Detalle individual'!$C:$C,$H235))</f>
        <v/>
      </c>
      <c r="F235" s="5" t="str">
        <f>IF($H235="","",INDEX('Detalle individual'!$D:$D,$H235))</f>
        <v/>
      </c>
      <c r="G235" s="5" t="str">
        <f>IF($H235="","",INDEX('Detalle individual'!$F:$F,$H235))</f>
        <v/>
      </c>
      <c r="H235" t="str">
        <f>IFERROR(MATCH(SMALL(Cálculos!$AJ$5:$AJ$1000,231),Cálculos!$AJ$5:$AJ$1000,0)+4,"")</f>
        <v/>
      </c>
    </row>
    <row r="236">
      <c r="B236" s="5" t="str">
        <f>IF($H236="","",INDEX('Detalle individual'!$B:$B,$H236))</f>
        <v/>
      </c>
      <c r="C236" s="5" t="str">
        <f>IF($H236="","",INDEX('Detalle individual'!$A:$A,$H236))</f>
        <v/>
      </c>
      <c r="D236" s="5" t="str">
        <f>IF($H236="","",INDEX('Detalle individual'!$E:$E,$H236))</f>
        <v/>
      </c>
      <c r="E236" s="5" t="str">
        <f>IF($H236="","",INDEX('Detalle individual'!$C:$C,$H236))</f>
        <v/>
      </c>
      <c r="F236" s="5" t="str">
        <f>IF($H236="","",INDEX('Detalle individual'!$D:$D,$H236))</f>
        <v/>
      </c>
      <c r="G236" s="5" t="str">
        <f>IF($H236="","",INDEX('Detalle individual'!$F:$F,$H236))</f>
        <v/>
      </c>
      <c r="H236" t="str">
        <f>IFERROR(MATCH(SMALL(Cálculos!$AJ$5:$AJ$1000,232),Cálculos!$AJ$5:$AJ$1000,0)+4,"")</f>
        <v/>
      </c>
    </row>
    <row r="237">
      <c r="B237" s="5" t="str">
        <f>IF($H237="","",INDEX('Detalle individual'!$B:$B,$H237))</f>
        <v/>
      </c>
      <c r="C237" s="5" t="str">
        <f>IF($H237="","",INDEX('Detalle individual'!$A:$A,$H237))</f>
        <v/>
      </c>
      <c r="D237" s="5" t="str">
        <f>IF($H237="","",INDEX('Detalle individual'!$E:$E,$H237))</f>
        <v/>
      </c>
      <c r="E237" s="5" t="str">
        <f>IF($H237="","",INDEX('Detalle individual'!$C:$C,$H237))</f>
        <v/>
      </c>
      <c r="F237" s="5" t="str">
        <f>IF($H237="","",INDEX('Detalle individual'!$D:$D,$H237))</f>
        <v/>
      </c>
      <c r="G237" s="5" t="str">
        <f>IF($H237="","",INDEX('Detalle individual'!$F:$F,$H237))</f>
        <v/>
      </c>
      <c r="H237" t="str">
        <f>IFERROR(MATCH(SMALL(Cálculos!$AJ$5:$AJ$1000,233),Cálculos!$AJ$5:$AJ$1000,0)+4,"")</f>
        <v/>
      </c>
    </row>
    <row r="238">
      <c r="B238" s="5" t="str">
        <f>IF($H238="","",INDEX('Detalle individual'!$B:$B,$H238))</f>
        <v/>
      </c>
      <c r="C238" s="5" t="str">
        <f>IF($H238="","",INDEX('Detalle individual'!$A:$A,$H238))</f>
        <v/>
      </c>
      <c r="D238" s="5" t="str">
        <f>IF($H238="","",INDEX('Detalle individual'!$E:$E,$H238))</f>
        <v/>
      </c>
      <c r="E238" s="5" t="str">
        <f>IF($H238="","",INDEX('Detalle individual'!$C:$C,$H238))</f>
        <v/>
      </c>
      <c r="F238" s="5" t="str">
        <f>IF($H238="","",INDEX('Detalle individual'!$D:$D,$H238))</f>
        <v/>
      </c>
      <c r="G238" s="5" t="str">
        <f>IF($H238="","",INDEX('Detalle individual'!$F:$F,$H238))</f>
        <v/>
      </c>
      <c r="H238" t="str">
        <f>IFERROR(MATCH(SMALL(Cálculos!$AJ$5:$AJ$1000,234),Cálculos!$AJ$5:$AJ$1000,0)+4,"")</f>
        <v/>
      </c>
    </row>
    <row r="239">
      <c r="B239" s="5" t="str">
        <f>IF($H239="","",INDEX('Detalle individual'!$B:$B,$H239))</f>
        <v/>
      </c>
      <c r="C239" s="5" t="str">
        <f>IF($H239="","",INDEX('Detalle individual'!$A:$A,$H239))</f>
        <v/>
      </c>
      <c r="D239" s="5" t="str">
        <f>IF($H239="","",INDEX('Detalle individual'!$E:$E,$H239))</f>
        <v/>
      </c>
      <c r="E239" s="5" t="str">
        <f>IF($H239="","",INDEX('Detalle individual'!$C:$C,$H239))</f>
        <v/>
      </c>
      <c r="F239" s="5" t="str">
        <f>IF($H239="","",INDEX('Detalle individual'!$D:$D,$H239))</f>
        <v/>
      </c>
      <c r="G239" s="5" t="str">
        <f>IF($H239="","",INDEX('Detalle individual'!$F:$F,$H239))</f>
        <v/>
      </c>
      <c r="H239" t="str">
        <f>IFERROR(MATCH(SMALL(Cálculos!$AJ$5:$AJ$1000,235),Cálculos!$AJ$5:$AJ$1000,0)+4,"")</f>
        <v/>
      </c>
    </row>
    <row r="240">
      <c r="B240" s="5" t="str">
        <f>IF($H240="","",INDEX('Detalle individual'!$B:$B,$H240))</f>
        <v/>
      </c>
      <c r="C240" s="5" t="str">
        <f>IF($H240="","",INDEX('Detalle individual'!$A:$A,$H240))</f>
        <v/>
      </c>
      <c r="D240" s="5" t="str">
        <f>IF($H240="","",INDEX('Detalle individual'!$E:$E,$H240))</f>
        <v/>
      </c>
      <c r="E240" s="5" t="str">
        <f>IF($H240="","",INDEX('Detalle individual'!$C:$C,$H240))</f>
        <v/>
      </c>
      <c r="F240" s="5" t="str">
        <f>IF($H240="","",INDEX('Detalle individual'!$D:$D,$H240))</f>
        <v/>
      </c>
      <c r="G240" s="5" t="str">
        <f>IF($H240="","",INDEX('Detalle individual'!$F:$F,$H240))</f>
        <v/>
      </c>
      <c r="H240" t="str">
        <f>IFERROR(MATCH(SMALL(Cálculos!$AJ$5:$AJ$1000,236),Cálculos!$AJ$5:$AJ$1000,0)+4,"")</f>
        <v/>
      </c>
    </row>
    <row r="241">
      <c r="B241" s="5" t="str">
        <f>IF($H241="","",INDEX('Detalle individual'!$B:$B,$H241))</f>
        <v/>
      </c>
      <c r="C241" s="5" t="str">
        <f>IF($H241="","",INDEX('Detalle individual'!$A:$A,$H241))</f>
        <v/>
      </c>
      <c r="D241" s="5" t="str">
        <f>IF($H241="","",INDEX('Detalle individual'!$E:$E,$H241))</f>
        <v/>
      </c>
      <c r="E241" s="5" t="str">
        <f>IF($H241="","",INDEX('Detalle individual'!$C:$C,$H241))</f>
        <v/>
      </c>
      <c r="F241" s="5" t="str">
        <f>IF($H241="","",INDEX('Detalle individual'!$D:$D,$H241))</f>
        <v/>
      </c>
      <c r="G241" s="5" t="str">
        <f>IF($H241="","",INDEX('Detalle individual'!$F:$F,$H241))</f>
        <v/>
      </c>
      <c r="H241" t="str">
        <f>IFERROR(MATCH(SMALL(Cálculos!$AJ$5:$AJ$1000,237),Cálculos!$AJ$5:$AJ$1000,0)+4,"")</f>
        <v/>
      </c>
    </row>
    <row r="242">
      <c r="B242" s="5" t="str">
        <f>IF($H242="","",INDEX('Detalle individual'!$B:$B,$H242))</f>
        <v/>
      </c>
      <c r="C242" s="5" t="str">
        <f>IF($H242="","",INDEX('Detalle individual'!$A:$A,$H242))</f>
        <v/>
      </c>
      <c r="D242" s="5" t="str">
        <f>IF($H242="","",INDEX('Detalle individual'!$E:$E,$H242))</f>
        <v/>
      </c>
      <c r="E242" s="5" t="str">
        <f>IF($H242="","",INDEX('Detalle individual'!$C:$C,$H242))</f>
        <v/>
      </c>
      <c r="F242" s="5" t="str">
        <f>IF($H242="","",INDEX('Detalle individual'!$D:$D,$H242))</f>
        <v/>
      </c>
      <c r="G242" s="5" t="str">
        <f>IF($H242="","",INDEX('Detalle individual'!$F:$F,$H242))</f>
        <v/>
      </c>
      <c r="H242" t="str">
        <f>IFERROR(MATCH(SMALL(Cálculos!$AJ$5:$AJ$1000,238),Cálculos!$AJ$5:$AJ$1000,0)+4,"")</f>
        <v/>
      </c>
    </row>
    <row r="243">
      <c r="B243" s="5" t="str">
        <f>IF($H243="","",INDEX('Detalle individual'!$B:$B,$H243))</f>
        <v/>
      </c>
      <c r="C243" s="5" t="str">
        <f>IF($H243="","",INDEX('Detalle individual'!$A:$A,$H243))</f>
        <v/>
      </c>
      <c r="D243" s="5" t="str">
        <f>IF($H243="","",INDEX('Detalle individual'!$E:$E,$H243))</f>
        <v/>
      </c>
      <c r="E243" s="5" t="str">
        <f>IF($H243="","",INDEX('Detalle individual'!$C:$C,$H243))</f>
        <v/>
      </c>
      <c r="F243" s="5" t="str">
        <f>IF($H243="","",INDEX('Detalle individual'!$D:$D,$H243))</f>
        <v/>
      </c>
      <c r="G243" s="5" t="str">
        <f>IF($H243="","",INDEX('Detalle individual'!$F:$F,$H243))</f>
        <v/>
      </c>
      <c r="H243" t="str">
        <f>IFERROR(MATCH(SMALL(Cálculos!$AJ$5:$AJ$1000,239),Cálculos!$AJ$5:$AJ$1000,0)+4,"")</f>
        <v/>
      </c>
    </row>
    <row r="244">
      <c r="B244" s="5" t="str">
        <f>IF($H244="","",INDEX('Detalle individual'!$B:$B,$H244))</f>
        <v/>
      </c>
      <c r="C244" s="5" t="str">
        <f>IF($H244="","",INDEX('Detalle individual'!$A:$A,$H244))</f>
        <v/>
      </c>
      <c r="D244" s="5" t="str">
        <f>IF($H244="","",INDEX('Detalle individual'!$E:$E,$H244))</f>
        <v/>
      </c>
      <c r="E244" s="5" t="str">
        <f>IF($H244="","",INDEX('Detalle individual'!$C:$C,$H244))</f>
        <v/>
      </c>
      <c r="F244" s="5" t="str">
        <f>IF($H244="","",INDEX('Detalle individual'!$D:$D,$H244))</f>
        <v/>
      </c>
      <c r="G244" s="5" t="str">
        <f>IF($H244="","",INDEX('Detalle individual'!$F:$F,$H244))</f>
        <v/>
      </c>
      <c r="H244" t="str">
        <f>IFERROR(MATCH(SMALL(Cálculos!$AJ$5:$AJ$1000,240),Cálculos!$AJ$5:$AJ$1000,0)+4,"")</f>
        <v/>
      </c>
    </row>
    <row r="245">
      <c r="B245" s="5" t="str">
        <f>IF($H245="","",INDEX('Detalle individual'!$B:$B,$H245))</f>
        <v/>
      </c>
      <c r="C245" s="5" t="str">
        <f>IF($H245="","",INDEX('Detalle individual'!$A:$A,$H245))</f>
        <v/>
      </c>
      <c r="D245" s="5" t="str">
        <f>IF($H245="","",INDEX('Detalle individual'!$E:$E,$H245))</f>
        <v/>
      </c>
      <c r="E245" s="5" t="str">
        <f>IF($H245="","",INDEX('Detalle individual'!$C:$C,$H245))</f>
        <v/>
      </c>
      <c r="F245" s="5" t="str">
        <f>IF($H245="","",INDEX('Detalle individual'!$D:$D,$H245))</f>
        <v/>
      </c>
      <c r="G245" s="5" t="str">
        <f>IF($H245="","",INDEX('Detalle individual'!$F:$F,$H245))</f>
        <v/>
      </c>
      <c r="H245" t="str">
        <f>IFERROR(MATCH(SMALL(Cálculos!$AJ$5:$AJ$1000,241),Cálculos!$AJ$5:$AJ$1000,0)+4,"")</f>
        <v/>
      </c>
    </row>
    <row r="246">
      <c r="B246" s="5" t="str">
        <f>IF($H246="","",INDEX('Detalle individual'!$B:$B,$H246))</f>
        <v/>
      </c>
      <c r="C246" s="5" t="str">
        <f>IF($H246="","",INDEX('Detalle individual'!$A:$A,$H246))</f>
        <v/>
      </c>
      <c r="D246" s="5" t="str">
        <f>IF($H246="","",INDEX('Detalle individual'!$E:$E,$H246))</f>
        <v/>
      </c>
      <c r="E246" s="5" t="str">
        <f>IF($H246="","",INDEX('Detalle individual'!$C:$C,$H246))</f>
        <v/>
      </c>
      <c r="F246" s="5" t="str">
        <f>IF($H246="","",INDEX('Detalle individual'!$D:$D,$H246))</f>
        <v/>
      </c>
      <c r="G246" s="5" t="str">
        <f>IF($H246="","",INDEX('Detalle individual'!$F:$F,$H246))</f>
        <v/>
      </c>
      <c r="H246" t="str">
        <f>IFERROR(MATCH(SMALL(Cálculos!$AJ$5:$AJ$1000,242),Cálculos!$AJ$5:$AJ$1000,0)+4,"")</f>
        <v/>
      </c>
    </row>
    <row r="247">
      <c r="B247" s="5" t="str">
        <f>IF($H247="","",INDEX('Detalle individual'!$B:$B,$H247))</f>
        <v/>
      </c>
      <c r="C247" s="5" t="str">
        <f>IF($H247="","",INDEX('Detalle individual'!$A:$A,$H247))</f>
        <v/>
      </c>
      <c r="D247" s="5" t="str">
        <f>IF($H247="","",INDEX('Detalle individual'!$E:$E,$H247))</f>
        <v/>
      </c>
      <c r="E247" s="5" t="str">
        <f>IF($H247="","",INDEX('Detalle individual'!$C:$C,$H247))</f>
        <v/>
      </c>
      <c r="F247" s="5" t="str">
        <f>IF($H247="","",INDEX('Detalle individual'!$D:$D,$H247))</f>
        <v/>
      </c>
      <c r="G247" s="5" t="str">
        <f>IF($H247="","",INDEX('Detalle individual'!$F:$F,$H247))</f>
        <v/>
      </c>
      <c r="H247" t="str">
        <f>IFERROR(MATCH(SMALL(Cálculos!$AJ$5:$AJ$1000,243),Cálculos!$AJ$5:$AJ$1000,0)+4,"")</f>
        <v/>
      </c>
    </row>
    <row r="248">
      <c r="B248" s="5" t="str">
        <f>IF($H248="","",INDEX('Detalle individual'!$B:$B,$H248))</f>
        <v/>
      </c>
      <c r="C248" s="5" t="str">
        <f>IF($H248="","",INDEX('Detalle individual'!$A:$A,$H248))</f>
        <v/>
      </c>
      <c r="D248" s="5" t="str">
        <f>IF($H248="","",INDEX('Detalle individual'!$E:$E,$H248))</f>
        <v/>
      </c>
      <c r="E248" s="5" t="str">
        <f>IF($H248="","",INDEX('Detalle individual'!$C:$C,$H248))</f>
        <v/>
      </c>
      <c r="F248" s="5" t="str">
        <f>IF($H248="","",INDEX('Detalle individual'!$D:$D,$H248))</f>
        <v/>
      </c>
      <c r="G248" s="5" t="str">
        <f>IF($H248="","",INDEX('Detalle individual'!$F:$F,$H248))</f>
        <v/>
      </c>
      <c r="H248" t="str">
        <f>IFERROR(MATCH(SMALL(Cálculos!$AJ$5:$AJ$1000,244),Cálculos!$AJ$5:$AJ$1000,0)+4,"")</f>
        <v/>
      </c>
    </row>
    <row r="249">
      <c r="B249" s="5" t="str">
        <f>IF($H249="","",INDEX('Detalle individual'!$B:$B,$H249))</f>
        <v/>
      </c>
      <c r="C249" s="5" t="str">
        <f>IF($H249="","",INDEX('Detalle individual'!$A:$A,$H249))</f>
        <v/>
      </c>
      <c r="D249" s="5" t="str">
        <f>IF($H249="","",INDEX('Detalle individual'!$E:$E,$H249))</f>
        <v/>
      </c>
      <c r="E249" s="5" t="str">
        <f>IF($H249="","",INDEX('Detalle individual'!$C:$C,$H249))</f>
        <v/>
      </c>
      <c r="F249" s="5" t="str">
        <f>IF($H249="","",INDEX('Detalle individual'!$D:$D,$H249))</f>
        <v/>
      </c>
      <c r="G249" s="5" t="str">
        <f>IF($H249="","",INDEX('Detalle individual'!$F:$F,$H249))</f>
        <v/>
      </c>
      <c r="H249" t="str">
        <f>IFERROR(MATCH(SMALL(Cálculos!$AJ$5:$AJ$1000,245),Cálculos!$AJ$5:$AJ$1000,0)+4,"")</f>
        <v/>
      </c>
    </row>
    <row r="250">
      <c r="B250" s="5" t="str">
        <f>IF($H250="","",INDEX('Detalle individual'!$B:$B,$H250))</f>
        <v/>
      </c>
      <c r="C250" s="5" t="str">
        <f>IF($H250="","",INDEX('Detalle individual'!$A:$A,$H250))</f>
        <v/>
      </c>
      <c r="D250" s="5" t="str">
        <f>IF($H250="","",INDEX('Detalle individual'!$E:$E,$H250))</f>
        <v/>
      </c>
      <c r="E250" s="5" t="str">
        <f>IF($H250="","",INDEX('Detalle individual'!$C:$C,$H250))</f>
        <v/>
      </c>
      <c r="F250" s="5" t="str">
        <f>IF($H250="","",INDEX('Detalle individual'!$D:$D,$H250))</f>
        <v/>
      </c>
      <c r="G250" s="5" t="str">
        <f>IF($H250="","",INDEX('Detalle individual'!$F:$F,$H250))</f>
        <v/>
      </c>
      <c r="H250" t="str">
        <f>IFERROR(MATCH(SMALL(Cálculos!$AJ$5:$AJ$1000,246),Cálculos!$AJ$5:$AJ$1000,0)+4,"")</f>
        <v/>
      </c>
    </row>
    <row r="251">
      <c r="B251" s="5" t="str">
        <f>IF($H251="","",INDEX('Detalle individual'!$B:$B,$H251))</f>
        <v/>
      </c>
      <c r="C251" s="5" t="str">
        <f>IF($H251="","",INDEX('Detalle individual'!$A:$A,$H251))</f>
        <v/>
      </c>
      <c r="D251" s="5" t="str">
        <f>IF($H251="","",INDEX('Detalle individual'!$E:$E,$H251))</f>
        <v/>
      </c>
      <c r="E251" s="5" t="str">
        <f>IF($H251="","",INDEX('Detalle individual'!$C:$C,$H251))</f>
        <v/>
      </c>
      <c r="F251" s="5" t="str">
        <f>IF($H251="","",INDEX('Detalle individual'!$D:$D,$H251))</f>
        <v/>
      </c>
      <c r="G251" s="5" t="str">
        <f>IF($H251="","",INDEX('Detalle individual'!$F:$F,$H251))</f>
        <v/>
      </c>
      <c r="H251" t="str">
        <f>IFERROR(MATCH(SMALL(Cálculos!$AJ$5:$AJ$1000,247),Cálculos!$AJ$5:$AJ$1000,0)+4,"")</f>
        <v/>
      </c>
    </row>
    <row r="252">
      <c r="B252" s="5" t="str">
        <f>IF($H252="","",INDEX('Detalle individual'!$B:$B,$H252))</f>
        <v/>
      </c>
      <c r="C252" s="5" t="str">
        <f>IF($H252="","",INDEX('Detalle individual'!$A:$A,$H252))</f>
        <v/>
      </c>
      <c r="D252" s="5" t="str">
        <f>IF($H252="","",INDEX('Detalle individual'!$E:$E,$H252))</f>
        <v/>
      </c>
      <c r="E252" s="5" t="str">
        <f>IF($H252="","",INDEX('Detalle individual'!$C:$C,$H252))</f>
        <v/>
      </c>
      <c r="F252" s="5" t="str">
        <f>IF($H252="","",INDEX('Detalle individual'!$D:$D,$H252))</f>
        <v/>
      </c>
      <c r="G252" s="5" t="str">
        <f>IF($H252="","",INDEX('Detalle individual'!$F:$F,$H252))</f>
        <v/>
      </c>
      <c r="H252" t="str">
        <f>IFERROR(MATCH(SMALL(Cálculos!$AJ$5:$AJ$1000,248),Cálculos!$AJ$5:$AJ$1000,0)+4,"")</f>
        <v/>
      </c>
    </row>
    <row r="253">
      <c r="B253" s="5" t="str">
        <f>IF($H253="","",INDEX('Detalle individual'!$B:$B,$H253))</f>
        <v/>
      </c>
      <c r="C253" s="5" t="str">
        <f>IF($H253="","",INDEX('Detalle individual'!$A:$A,$H253))</f>
        <v/>
      </c>
      <c r="D253" s="5" t="str">
        <f>IF($H253="","",INDEX('Detalle individual'!$E:$E,$H253))</f>
        <v/>
      </c>
      <c r="E253" s="5" t="str">
        <f>IF($H253="","",INDEX('Detalle individual'!$C:$C,$H253))</f>
        <v/>
      </c>
      <c r="F253" s="5" t="str">
        <f>IF($H253="","",INDEX('Detalle individual'!$D:$D,$H253))</f>
        <v/>
      </c>
      <c r="G253" s="5" t="str">
        <f>IF($H253="","",INDEX('Detalle individual'!$F:$F,$H253))</f>
        <v/>
      </c>
      <c r="H253" t="str">
        <f>IFERROR(MATCH(SMALL(Cálculos!$AJ$5:$AJ$1000,249),Cálculos!$AJ$5:$AJ$1000,0)+4,"")</f>
        <v/>
      </c>
    </row>
    <row r="254">
      <c r="B254" s="5" t="str">
        <f>IF($H254="","",INDEX('Detalle individual'!$B:$B,$H254))</f>
        <v/>
      </c>
      <c r="C254" s="5" t="str">
        <f>IF($H254="","",INDEX('Detalle individual'!$A:$A,$H254))</f>
        <v/>
      </c>
      <c r="D254" s="5" t="str">
        <f>IF($H254="","",INDEX('Detalle individual'!$E:$E,$H254))</f>
        <v/>
      </c>
      <c r="E254" s="5" t="str">
        <f>IF($H254="","",INDEX('Detalle individual'!$C:$C,$H254))</f>
        <v/>
      </c>
      <c r="F254" s="5" t="str">
        <f>IF($H254="","",INDEX('Detalle individual'!$D:$D,$H254))</f>
        <v/>
      </c>
      <c r="G254" s="5" t="str">
        <f>IF($H254="","",INDEX('Detalle individual'!$F:$F,$H254))</f>
        <v/>
      </c>
      <c r="H254" t="str">
        <f>IFERROR(MATCH(SMALL(Cálculos!$AJ$5:$AJ$1000,250),Cálculos!$AJ$5:$AJ$1000,0)+4,"")</f>
        <v/>
      </c>
    </row>
    <row r="255">
      <c r="B255" s="5" t="str">
        <f>IF($H255="","",INDEX('Detalle individual'!$B:$B,$H255))</f>
        <v/>
      </c>
      <c r="C255" s="5" t="str">
        <f>IF($H255="","",INDEX('Detalle individual'!$A:$A,$H255))</f>
        <v/>
      </c>
      <c r="D255" s="5" t="str">
        <f>IF($H255="","",INDEX('Detalle individual'!$E:$E,$H255))</f>
        <v/>
      </c>
      <c r="E255" s="5" t="str">
        <f>IF($H255="","",INDEX('Detalle individual'!$C:$C,$H255))</f>
        <v/>
      </c>
      <c r="F255" s="5" t="str">
        <f>IF($H255="","",INDEX('Detalle individual'!$D:$D,$H255))</f>
        <v/>
      </c>
      <c r="G255" s="5" t="str">
        <f>IF($H255="","",INDEX('Detalle individual'!$F:$F,$H255))</f>
        <v/>
      </c>
      <c r="H255" t="str">
        <f>IFERROR(MATCH(SMALL(Cálculos!$AJ$5:$AJ$1000,251),Cálculos!$AJ$5:$AJ$1000,0)+4,"")</f>
        <v/>
      </c>
    </row>
    <row r="256">
      <c r="B256" s="5" t="str">
        <f>IF($H256="","",INDEX('Detalle individual'!$B:$B,$H256))</f>
        <v/>
      </c>
      <c r="C256" s="5" t="str">
        <f>IF($H256="","",INDEX('Detalle individual'!$A:$A,$H256))</f>
        <v/>
      </c>
      <c r="D256" s="5" t="str">
        <f>IF($H256="","",INDEX('Detalle individual'!$E:$E,$H256))</f>
        <v/>
      </c>
      <c r="E256" s="5" t="str">
        <f>IF($H256="","",INDEX('Detalle individual'!$C:$C,$H256))</f>
        <v/>
      </c>
      <c r="F256" s="5" t="str">
        <f>IF($H256="","",INDEX('Detalle individual'!$D:$D,$H256))</f>
        <v/>
      </c>
      <c r="G256" s="5" t="str">
        <f>IF($H256="","",INDEX('Detalle individual'!$F:$F,$H256))</f>
        <v/>
      </c>
      <c r="H256" t="str">
        <f>IFERROR(MATCH(SMALL(Cálculos!$AJ$5:$AJ$1000,252),Cálculos!$AJ$5:$AJ$1000,0)+4,"")</f>
        <v/>
      </c>
    </row>
    <row r="257">
      <c r="B257" s="5" t="str">
        <f>IF($H257="","",INDEX('Detalle individual'!$B:$B,$H257))</f>
        <v/>
      </c>
      <c r="C257" s="5" t="str">
        <f>IF($H257="","",INDEX('Detalle individual'!$A:$A,$H257))</f>
        <v/>
      </c>
      <c r="D257" s="5" t="str">
        <f>IF($H257="","",INDEX('Detalle individual'!$E:$E,$H257))</f>
        <v/>
      </c>
      <c r="E257" s="5" t="str">
        <f>IF($H257="","",INDEX('Detalle individual'!$C:$C,$H257))</f>
        <v/>
      </c>
      <c r="F257" s="5" t="str">
        <f>IF($H257="","",INDEX('Detalle individual'!$D:$D,$H257))</f>
        <v/>
      </c>
      <c r="G257" s="5" t="str">
        <f>IF($H257="","",INDEX('Detalle individual'!$F:$F,$H257))</f>
        <v/>
      </c>
      <c r="H257" t="str">
        <f>IFERROR(MATCH(SMALL(Cálculos!$AJ$5:$AJ$1000,253),Cálculos!$AJ$5:$AJ$1000,0)+4,"")</f>
        <v/>
      </c>
    </row>
    <row r="258">
      <c r="B258" s="5" t="str">
        <f>IF($H258="","",INDEX('Detalle individual'!$B:$B,$H258))</f>
        <v/>
      </c>
      <c r="C258" s="5" t="str">
        <f>IF($H258="","",INDEX('Detalle individual'!$A:$A,$H258))</f>
        <v/>
      </c>
      <c r="D258" s="5" t="str">
        <f>IF($H258="","",INDEX('Detalle individual'!$E:$E,$H258))</f>
        <v/>
      </c>
      <c r="E258" s="5" t="str">
        <f>IF($H258="","",INDEX('Detalle individual'!$C:$C,$H258))</f>
        <v/>
      </c>
      <c r="F258" s="5" t="str">
        <f>IF($H258="","",INDEX('Detalle individual'!$D:$D,$H258))</f>
        <v/>
      </c>
      <c r="G258" s="5" t="str">
        <f>IF($H258="","",INDEX('Detalle individual'!$F:$F,$H258))</f>
        <v/>
      </c>
      <c r="H258" t="str">
        <f>IFERROR(MATCH(SMALL(Cálculos!$AJ$5:$AJ$1000,254),Cálculos!$AJ$5:$AJ$1000,0)+4,"")</f>
        <v/>
      </c>
    </row>
    <row r="259">
      <c r="B259" s="5" t="str">
        <f>IF($H259="","",INDEX('Detalle individual'!$B:$B,$H259))</f>
        <v/>
      </c>
      <c r="C259" s="5" t="str">
        <f>IF($H259="","",INDEX('Detalle individual'!$A:$A,$H259))</f>
        <v/>
      </c>
      <c r="D259" s="5" t="str">
        <f>IF($H259="","",INDEX('Detalle individual'!$E:$E,$H259))</f>
        <v/>
      </c>
      <c r="E259" s="5" t="str">
        <f>IF($H259="","",INDEX('Detalle individual'!$C:$C,$H259))</f>
        <v/>
      </c>
      <c r="F259" s="5" t="str">
        <f>IF($H259="","",INDEX('Detalle individual'!$D:$D,$H259))</f>
        <v/>
      </c>
      <c r="G259" s="5" t="str">
        <f>IF($H259="","",INDEX('Detalle individual'!$F:$F,$H259))</f>
        <v/>
      </c>
      <c r="H259" t="str">
        <f>IFERROR(MATCH(SMALL(Cálculos!$AJ$5:$AJ$1000,255),Cálculos!$AJ$5:$AJ$1000,0)+4,"")</f>
        <v/>
      </c>
    </row>
    <row r="260">
      <c r="B260" s="5" t="str">
        <f>IF($H260="","",INDEX('Detalle individual'!$B:$B,$H260))</f>
        <v/>
      </c>
      <c r="C260" s="5" t="str">
        <f>IF($H260="","",INDEX('Detalle individual'!$A:$A,$H260))</f>
        <v/>
      </c>
      <c r="D260" s="5" t="str">
        <f>IF($H260="","",INDEX('Detalle individual'!$E:$E,$H260))</f>
        <v/>
      </c>
      <c r="E260" s="5" t="str">
        <f>IF($H260="","",INDEX('Detalle individual'!$C:$C,$H260))</f>
        <v/>
      </c>
      <c r="F260" s="5" t="str">
        <f>IF($H260="","",INDEX('Detalle individual'!$D:$D,$H260))</f>
        <v/>
      </c>
      <c r="G260" s="5" t="str">
        <f>IF($H260="","",INDEX('Detalle individual'!$F:$F,$H260))</f>
        <v/>
      </c>
      <c r="H260" t="str">
        <f>IFERROR(MATCH(SMALL(Cálculos!$AJ$5:$AJ$1000,256),Cálculos!$AJ$5:$AJ$1000,0)+4,"")</f>
        <v/>
      </c>
    </row>
    <row r="261">
      <c r="B261" s="5" t="str">
        <f>IF($H261="","",INDEX('Detalle individual'!$B:$B,$H261))</f>
        <v/>
      </c>
      <c r="C261" s="5" t="str">
        <f>IF($H261="","",INDEX('Detalle individual'!$A:$A,$H261))</f>
        <v/>
      </c>
      <c r="D261" s="5" t="str">
        <f>IF($H261="","",INDEX('Detalle individual'!$E:$E,$H261))</f>
        <v/>
      </c>
      <c r="E261" s="5" t="str">
        <f>IF($H261="","",INDEX('Detalle individual'!$C:$C,$H261))</f>
        <v/>
      </c>
      <c r="F261" s="5" t="str">
        <f>IF($H261="","",INDEX('Detalle individual'!$D:$D,$H261))</f>
        <v/>
      </c>
      <c r="G261" s="5" t="str">
        <f>IF($H261="","",INDEX('Detalle individual'!$F:$F,$H261))</f>
        <v/>
      </c>
      <c r="H261" t="str">
        <f>IFERROR(MATCH(SMALL(Cálculos!$AJ$5:$AJ$1000,257),Cálculos!$AJ$5:$AJ$1000,0)+4,"")</f>
        <v/>
      </c>
    </row>
    <row r="262">
      <c r="B262" s="5" t="str">
        <f>IF($H262="","",INDEX('Detalle individual'!$B:$B,$H262))</f>
        <v/>
      </c>
      <c r="C262" s="5" t="str">
        <f>IF($H262="","",INDEX('Detalle individual'!$A:$A,$H262))</f>
        <v/>
      </c>
      <c r="D262" s="5" t="str">
        <f>IF($H262="","",INDEX('Detalle individual'!$E:$E,$H262))</f>
        <v/>
      </c>
      <c r="E262" s="5" t="str">
        <f>IF($H262="","",INDEX('Detalle individual'!$C:$C,$H262))</f>
        <v/>
      </c>
      <c r="F262" s="5" t="str">
        <f>IF($H262="","",INDEX('Detalle individual'!$D:$D,$H262))</f>
        <v/>
      </c>
      <c r="G262" s="5" t="str">
        <f>IF($H262="","",INDEX('Detalle individual'!$F:$F,$H262))</f>
        <v/>
      </c>
      <c r="H262" t="str">
        <f>IFERROR(MATCH(SMALL(Cálculos!$AJ$5:$AJ$1000,258),Cálculos!$AJ$5:$AJ$1000,0)+4,"")</f>
        <v/>
      </c>
    </row>
    <row r="263">
      <c r="B263" s="5" t="str">
        <f>IF($H263="","",INDEX('Detalle individual'!$B:$B,$H263))</f>
        <v/>
      </c>
      <c r="C263" s="5" t="str">
        <f>IF($H263="","",INDEX('Detalle individual'!$A:$A,$H263))</f>
        <v/>
      </c>
      <c r="D263" s="5" t="str">
        <f>IF($H263="","",INDEX('Detalle individual'!$E:$E,$H263))</f>
        <v/>
      </c>
      <c r="E263" s="5" t="str">
        <f>IF($H263="","",INDEX('Detalle individual'!$C:$C,$H263))</f>
        <v/>
      </c>
      <c r="F263" s="5" t="str">
        <f>IF($H263="","",INDEX('Detalle individual'!$D:$D,$H263))</f>
        <v/>
      </c>
      <c r="G263" s="5" t="str">
        <f>IF($H263="","",INDEX('Detalle individual'!$F:$F,$H263))</f>
        <v/>
      </c>
      <c r="H263" t="str">
        <f>IFERROR(MATCH(SMALL(Cálculos!$AJ$5:$AJ$1000,259),Cálculos!$AJ$5:$AJ$1000,0)+4,"")</f>
        <v/>
      </c>
    </row>
    <row r="264">
      <c r="B264" s="5" t="str">
        <f>IF($H264="","",INDEX('Detalle individual'!$B:$B,$H264))</f>
        <v/>
      </c>
      <c r="C264" s="5" t="str">
        <f>IF($H264="","",INDEX('Detalle individual'!$A:$A,$H264))</f>
        <v/>
      </c>
      <c r="D264" s="5" t="str">
        <f>IF($H264="","",INDEX('Detalle individual'!$E:$E,$H264))</f>
        <v/>
      </c>
      <c r="E264" s="5" t="str">
        <f>IF($H264="","",INDEX('Detalle individual'!$C:$C,$H264))</f>
        <v/>
      </c>
      <c r="F264" s="5" t="str">
        <f>IF($H264="","",INDEX('Detalle individual'!$D:$D,$H264))</f>
        <v/>
      </c>
      <c r="G264" s="5" t="str">
        <f>IF($H264="","",INDEX('Detalle individual'!$F:$F,$H264))</f>
        <v/>
      </c>
      <c r="H264" t="str">
        <f>IFERROR(MATCH(SMALL(Cálculos!$AJ$5:$AJ$1000,260),Cálculos!$AJ$5:$AJ$1000,0)+4,"")</f>
        <v/>
      </c>
    </row>
    <row r="265">
      <c r="B265" s="5" t="str">
        <f>IF($H265="","",INDEX('Detalle individual'!$B:$B,$H265))</f>
        <v/>
      </c>
      <c r="C265" s="5" t="str">
        <f>IF($H265="","",INDEX('Detalle individual'!$A:$A,$H265))</f>
        <v/>
      </c>
      <c r="D265" s="5" t="str">
        <f>IF($H265="","",INDEX('Detalle individual'!$E:$E,$H265))</f>
        <v/>
      </c>
      <c r="E265" s="5" t="str">
        <f>IF($H265="","",INDEX('Detalle individual'!$C:$C,$H265))</f>
        <v/>
      </c>
      <c r="F265" s="5" t="str">
        <f>IF($H265="","",INDEX('Detalle individual'!$D:$D,$H265))</f>
        <v/>
      </c>
      <c r="G265" s="5" t="str">
        <f>IF($H265="","",INDEX('Detalle individual'!$F:$F,$H265))</f>
        <v/>
      </c>
      <c r="H265" t="str">
        <f>IFERROR(MATCH(SMALL(Cálculos!$AJ$5:$AJ$1000,261),Cálculos!$AJ$5:$AJ$1000,0)+4,"")</f>
        <v/>
      </c>
    </row>
    <row r="266">
      <c r="B266" s="5" t="str">
        <f>IF($H266="","",INDEX('Detalle individual'!$B:$B,$H266))</f>
        <v/>
      </c>
      <c r="C266" s="5" t="str">
        <f>IF($H266="","",INDEX('Detalle individual'!$A:$A,$H266))</f>
        <v/>
      </c>
      <c r="D266" s="5" t="str">
        <f>IF($H266="","",INDEX('Detalle individual'!$E:$E,$H266))</f>
        <v/>
      </c>
      <c r="E266" s="5" t="str">
        <f>IF($H266="","",INDEX('Detalle individual'!$C:$C,$H266))</f>
        <v/>
      </c>
      <c r="F266" s="5" t="str">
        <f>IF($H266="","",INDEX('Detalle individual'!$D:$D,$H266))</f>
        <v/>
      </c>
      <c r="G266" s="5" t="str">
        <f>IF($H266="","",INDEX('Detalle individual'!$F:$F,$H266))</f>
        <v/>
      </c>
      <c r="H266" t="str">
        <f>IFERROR(MATCH(SMALL(Cálculos!$AJ$5:$AJ$1000,262),Cálculos!$AJ$5:$AJ$1000,0)+4,"")</f>
        <v/>
      </c>
    </row>
    <row r="267">
      <c r="B267" s="5" t="str">
        <f>IF($H267="","",INDEX('Detalle individual'!$B:$B,$H267))</f>
        <v/>
      </c>
      <c r="C267" s="5" t="str">
        <f>IF($H267="","",INDEX('Detalle individual'!$A:$A,$H267))</f>
        <v/>
      </c>
      <c r="D267" s="5" t="str">
        <f>IF($H267="","",INDEX('Detalle individual'!$E:$E,$H267))</f>
        <v/>
      </c>
      <c r="E267" s="5" t="str">
        <f>IF($H267="","",INDEX('Detalle individual'!$C:$C,$H267))</f>
        <v/>
      </c>
      <c r="F267" s="5" t="str">
        <f>IF($H267="","",INDEX('Detalle individual'!$D:$D,$H267))</f>
        <v/>
      </c>
      <c r="G267" s="5" t="str">
        <f>IF($H267="","",INDEX('Detalle individual'!$F:$F,$H267))</f>
        <v/>
      </c>
      <c r="H267" t="str">
        <f>IFERROR(MATCH(SMALL(Cálculos!$AJ$5:$AJ$1000,263),Cálculos!$AJ$5:$AJ$1000,0)+4,"")</f>
        <v/>
      </c>
    </row>
    <row r="268">
      <c r="B268" s="5" t="str">
        <f>IF($H268="","",INDEX('Detalle individual'!$B:$B,$H268))</f>
        <v/>
      </c>
      <c r="C268" s="5" t="str">
        <f>IF($H268="","",INDEX('Detalle individual'!$A:$A,$H268))</f>
        <v/>
      </c>
      <c r="D268" s="5" t="str">
        <f>IF($H268="","",INDEX('Detalle individual'!$E:$E,$H268))</f>
        <v/>
      </c>
      <c r="E268" s="5" t="str">
        <f>IF($H268="","",INDEX('Detalle individual'!$C:$C,$H268))</f>
        <v/>
      </c>
      <c r="F268" s="5" t="str">
        <f>IF($H268="","",INDEX('Detalle individual'!$D:$D,$H268))</f>
        <v/>
      </c>
      <c r="G268" s="5" t="str">
        <f>IF($H268="","",INDEX('Detalle individual'!$F:$F,$H268))</f>
        <v/>
      </c>
      <c r="H268" t="str">
        <f>IFERROR(MATCH(SMALL(Cálculos!$AJ$5:$AJ$1000,264),Cálculos!$AJ$5:$AJ$1000,0)+4,"")</f>
        <v/>
      </c>
    </row>
    <row r="269">
      <c r="B269" s="5" t="str">
        <f>IF($H269="","",INDEX('Detalle individual'!$B:$B,$H269))</f>
        <v/>
      </c>
      <c r="C269" s="5" t="str">
        <f>IF($H269="","",INDEX('Detalle individual'!$A:$A,$H269))</f>
        <v/>
      </c>
      <c r="D269" s="5" t="str">
        <f>IF($H269="","",INDEX('Detalle individual'!$E:$E,$H269))</f>
        <v/>
      </c>
      <c r="E269" s="5" t="str">
        <f>IF($H269="","",INDEX('Detalle individual'!$C:$C,$H269))</f>
        <v/>
      </c>
      <c r="F269" s="5" t="str">
        <f>IF($H269="","",INDEX('Detalle individual'!$D:$D,$H269))</f>
        <v/>
      </c>
      <c r="G269" s="5" t="str">
        <f>IF($H269="","",INDEX('Detalle individual'!$F:$F,$H269))</f>
        <v/>
      </c>
      <c r="H269" t="str">
        <f>IFERROR(MATCH(SMALL(Cálculos!$AJ$5:$AJ$1000,265),Cálculos!$AJ$5:$AJ$1000,0)+4,"")</f>
        <v/>
      </c>
    </row>
    <row r="270">
      <c r="B270" s="5" t="str">
        <f>IF($H270="","",INDEX('Detalle individual'!$B:$B,$H270))</f>
        <v/>
      </c>
      <c r="C270" s="5" t="str">
        <f>IF($H270="","",INDEX('Detalle individual'!$A:$A,$H270))</f>
        <v/>
      </c>
      <c r="D270" s="5" t="str">
        <f>IF($H270="","",INDEX('Detalle individual'!$E:$E,$H270))</f>
        <v/>
      </c>
      <c r="E270" s="5" t="str">
        <f>IF($H270="","",INDEX('Detalle individual'!$C:$C,$H270))</f>
        <v/>
      </c>
      <c r="F270" s="5" t="str">
        <f>IF($H270="","",INDEX('Detalle individual'!$D:$D,$H270))</f>
        <v/>
      </c>
      <c r="G270" s="5" t="str">
        <f>IF($H270="","",INDEX('Detalle individual'!$F:$F,$H270))</f>
        <v/>
      </c>
      <c r="H270" t="str">
        <f>IFERROR(MATCH(SMALL(Cálculos!$AJ$5:$AJ$1000,266),Cálculos!$AJ$5:$AJ$1000,0)+4,"")</f>
        <v/>
      </c>
    </row>
    <row r="271">
      <c r="B271" s="5" t="str">
        <f>IF($H271="","",INDEX('Detalle individual'!$B:$B,$H271))</f>
        <v/>
      </c>
      <c r="C271" s="5" t="str">
        <f>IF($H271="","",INDEX('Detalle individual'!$A:$A,$H271))</f>
        <v/>
      </c>
      <c r="D271" s="5" t="str">
        <f>IF($H271="","",INDEX('Detalle individual'!$E:$E,$H271))</f>
        <v/>
      </c>
      <c r="E271" s="5" t="str">
        <f>IF($H271="","",INDEX('Detalle individual'!$C:$C,$H271))</f>
        <v/>
      </c>
      <c r="F271" s="5" t="str">
        <f>IF($H271="","",INDEX('Detalle individual'!$D:$D,$H271))</f>
        <v/>
      </c>
      <c r="G271" s="5" t="str">
        <f>IF($H271="","",INDEX('Detalle individual'!$F:$F,$H271))</f>
        <v/>
      </c>
      <c r="H271" t="str">
        <f>IFERROR(MATCH(SMALL(Cálculos!$AJ$5:$AJ$1000,267),Cálculos!$AJ$5:$AJ$1000,0)+4,"")</f>
        <v/>
      </c>
    </row>
    <row r="272">
      <c r="B272" s="5" t="str">
        <f>IF($H272="","",INDEX('Detalle individual'!$B:$B,$H272))</f>
        <v/>
      </c>
      <c r="C272" s="5" t="str">
        <f>IF($H272="","",INDEX('Detalle individual'!$A:$A,$H272))</f>
        <v/>
      </c>
      <c r="D272" s="5" t="str">
        <f>IF($H272="","",INDEX('Detalle individual'!$E:$E,$H272))</f>
        <v/>
      </c>
      <c r="E272" s="5" t="str">
        <f>IF($H272="","",INDEX('Detalle individual'!$C:$C,$H272))</f>
        <v/>
      </c>
      <c r="F272" s="5" t="str">
        <f>IF($H272="","",INDEX('Detalle individual'!$D:$D,$H272))</f>
        <v/>
      </c>
      <c r="G272" s="5" t="str">
        <f>IF($H272="","",INDEX('Detalle individual'!$F:$F,$H272))</f>
        <v/>
      </c>
      <c r="H272" t="str">
        <f>IFERROR(MATCH(SMALL(Cálculos!$AJ$5:$AJ$1000,268),Cálculos!$AJ$5:$AJ$1000,0)+4,"")</f>
        <v/>
      </c>
    </row>
    <row r="273">
      <c r="B273" s="5" t="str">
        <f>IF($H273="","",INDEX('Detalle individual'!$B:$B,$H273))</f>
        <v/>
      </c>
      <c r="C273" s="5" t="str">
        <f>IF($H273="","",INDEX('Detalle individual'!$A:$A,$H273))</f>
        <v/>
      </c>
      <c r="D273" s="5" t="str">
        <f>IF($H273="","",INDEX('Detalle individual'!$E:$E,$H273))</f>
        <v/>
      </c>
      <c r="E273" s="5" t="str">
        <f>IF($H273="","",INDEX('Detalle individual'!$C:$C,$H273))</f>
        <v/>
      </c>
      <c r="F273" s="5" t="str">
        <f>IF($H273="","",INDEX('Detalle individual'!$D:$D,$H273))</f>
        <v/>
      </c>
      <c r="G273" s="5" t="str">
        <f>IF($H273="","",INDEX('Detalle individual'!$F:$F,$H273))</f>
        <v/>
      </c>
      <c r="H273" t="str">
        <f>IFERROR(MATCH(SMALL(Cálculos!$AJ$5:$AJ$1000,269),Cálculos!$AJ$5:$AJ$1000,0)+4,"")</f>
        <v/>
      </c>
    </row>
    <row r="274">
      <c r="B274" s="5" t="str">
        <f>IF($H274="","",INDEX('Detalle individual'!$B:$B,$H274))</f>
        <v/>
      </c>
      <c r="C274" s="5" t="str">
        <f>IF($H274="","",INDEX('Detalle individual'!$A:$A,$H274))</f>
        <v/>
      </c>
      <c r="D274" s="5" t="str">
        <f>IF($H274="","",INDEX('Detalle individual'!$E:$E,$H274))</f>
        <v/>
      </c>
      <c r="E274" s="5" t="str">
        <f>IF($H274="","",INDEX('Detalle individual'!$C:$C,$H274))</f>
        <v/>
      </c>
      <c r="F274" s="5" t="str">
        <f>IF($H274="","",INDEX('Detalle individual'!$D:$D,$H274))</f>
        <v/>
      </c>
      <c r="G274" s="5" t="str">
        <f>IF($H274="","",INDEX('Detalle individual'!$F:$F,$H274))</f>
        <v/>
      </c>
      <c r="H274" t="str">
        <f>IFERROR(MATCH(SMALL(Cálculos!$AJ$5:$AJ$1000,270),Cálculos!$AJ$5:$AJ$1000,0)+4,"")</f>
        <v/>
      </c>
    </row>
    <row r="275">
      <c r="B275" s="5" t="str">
        <f>IF($H275="","",INDEX('Detalle individual'!$B:$B,$H275))</f>
        <v/>
      </c>
      <c r="C275" s="5" t="str">
        <f>IF($H275="","",INDEX('Detalle individual'!$A:$A,$H275))</f>
        <v/>
      </c>
      <c r="D275" s="5" t="str">
        <f>IF($H275="","",INDEX('Detalle individual'!$E:$E,$H275))</f>
        <v/>
      </c>
      <c r="E275" s="5" t="str">
        <f>IF($H275="","",INDEX('Detalle individual'!$C:$C,$H275))</f>
        <v/>
      </c>
      <c r="F275" s="5" t="str">
        <f>IF($H275="","",INDEX('Detalle individual'!$D:$D,$H275))</f>
        <v/>
      </c>
      <c r="G275" s="5" t="str">
        <f>IF($H275="","",INDEX('Detalle individual'!$F:$F,$H275))</f>
        <v/>
      </c>
      <c r="H275" t="str">
        <f>IFERROR(MATCH(SMALL(Cálculos!$AJ$5:$AJ$1000,271),Cálculos!$AJ$5:$AJ$1000,0)+4,"")</f>
        <v/>
      </c>
    </row>
    <row r="276">
      <c r="B276" s="5" t="str">
        <f>IF($H276="","",INDEX('Detalle individual'!$B:$B,$H276))</f>
        <v/>
      </c>
      <c r="C276" s="5" t="str">
        <f>IF($H276="","",INDEX('Detalle individual'!$A:$A,$H276))</f>
        <v/>
      </c>
      <c r="D276" s="5" t="str">
        <f>IF($H276="","",INDEX('Detalle individual'!$E:$E,$H276))</f>
        <v/>
      </c>
      <c r="E276" s="5" t="str">
        <f>IF($H276="","",INDEX('Detalle individual'!$C:$C,$H276))</f>
        <v/>
      </c>
      <c r="F276" s="5" t="str">
        <f>IF($H276="","",INDEX('Detalle individual'!$D:$D,$H276))</f>
        <v/>
      </c>
      <c r="G276" s="5" t="str">
        <f>IF($H276="","",INDEX('Detalle individual'!$F:$F,$H276))</f>
        <v/>
      </c>
      <c r="H276" t="str">
        <f>IFERROR(MATCH(SMALL(Cálculos!$AJ$5:$AJ$1000,272),Cálculos!$AJ$5:$AJ$1000,0)+4,"")</f>
        <v/>
      </c>
    </row>
    <row r="277">
      <c r="B277" s="5" t="str">
        <f>IF($H277="","",INDEX('Detalle individual'!$B:$B,$H277))</f>
        <v/>
      </c>
      <c r="C277" s="5" t="str">
        <f>IF($H277="","",INDEX('Detalle individual'!$A:$A,$H277))</f>
        <v/>
      </c>
      <c r="D277" s="5" t="str">
        <f>IF($H277="","",INDEX('Detalle individual'!$E:$E,$H277))</f>
        <v/>
      </c>
      <c r="E277" s="5" t="str">
        <f>IF($H277="","",INDEX('Detalle individual'!$C:$C,$H277))</f>
        <v/>
      </c>
      <c r="F277" s="5" t="str">
        <f>IF($H277="","",INDEX('Detalle individual'!$D:$D,$H277))</f>
        <v/>
      </c>
      <c r="G277" s="5" t="str">
        <f>IF($H277="","",INDEX('Detalle individual'!$F:$F,$H277))</f>
        <v/>
      </c>
      <c r="H277" t="str">
        <f>IFERROR(MATCH(SMALL(Cálculos!$AJ$5:$AJ$1000,273),Cálculos!$AJ$5:$AJ$1000,0)+4,"")</f>
        <v/>
      </c>
    </row>
    <row r="278">
      <c r="B278" s="5" t="str">
        <f>IF($H278="","",INDEX('Detalle individual'!$B:$B,$H278))</f>
        <v/>
      </c>
      <c r="C278" s="5" t="str">
        <f>IF($H278="","",INDEX('Detalle individual'!$A:$A,$H278))</f>
        <v/>
      </c>
      <c r="D278" s="5" t="str">
        <f>IF($H278="","",INDEX('Detalle individual'!$E:$E,$H278))</f>
        <v/>
      </c>
      <c r="E278" s="5" t="str">
        <f>IF($H278="","",INDEX('Detalle individual'!$C:$C,$H278))</f>
        <v/>
      </c>
      <c r="F278" s="5" t="str">
        <f>IF($H278="","",INDEX('Detalle individual'!$D:$D,$H278))</f>
        <v/>
      </c>
      <c r="G278" s="5" t="str">
        <f>IF($H278="","",INDEX('Detalle individual'!$F:$F,$H278))</f>
        <v/>
      </c>
      <c r="H278" t="str">
        <f>IFERROR(MATCH(SMALL(Cálculos!$AJ$5:$AJ$1000,274),Cálculos!$AJ$5:$AJ$1000,0)+4,"")</f>
        <v/>
      </c>
    </row>
    <row r="279">
      <c r="B279" s="5" t="str">
        <f>IF($H279="","",INDEX('Detalle individual'!$B:$B,$H279))</f>
        <v/>
      </c>
      <c r="C279" s="5" t="str">
        <f>IF($H279="","",INDEX('Detalle individual'!$A:$A,$H279))</f>
        <v/>
      </c>
      <c r="D279" s="5" t="str">
        <f>IF($H279="","",INDEX('Detalle individual'!$E:$E,$H279))</f>
        <v/>
      </c>
      <c r="E279" s="5" t="str">
        <f>IF($H279="","",INDEX('Detalle individual'!$C:$C,$H279))</f>
        <v/>
      </c>
      <c r="F279" s="5" t="str">
        <f>IF($H279="","",INDEX('Detalle individual'!$D:$D,$H279))</f>
        <v/>
      </c>
      <c r="G279" s="5" t="str">
        <f>IF($H279="","",INDEX('Detalle individual'!$F:$F,$H279))</f>
        <v/>
      </c>
      <c r="H279" t="str">
        <f>IFERROR(MATCH(SMALL(Cálculos!$AJ$5:$AJ$1000,275),Cálculos!$AJ$5:$AJ$1000,0)+4,"")</f>
        <v/>
      </c>
    </row>
    <row r="280">
      <c r="B280" s="5" t="str">
        <f>IF($H280="","",INDEX('Detalle individual'!$B:$B,$H280))</f>
        <v/>
      </c>
      <c r="C280" s="5" t="str">
        <f>IF($H280="","",INDEX('Detalle individual'!$A:$A,$H280))</f>
        <v/>
      </c>
      <c r="D280" s="5" t="str">
        <f>IF($H280="","",INDEX('Detalle individual'!$E:$E,$H280))</f>
        <v/>
      </c>
      <c r="E280" s="5" t="str">
        <f>IF($H280="","",INDEX('Detalle individual'!$C:$C,$H280))</f>
        <v/>
      </c>
      <c r="F280" s="5" t="str">
        <f>IF($H280="","",INDEX('Detalle individual'!$D:$D,$H280))</f>
        <v/>
      </c>
      <c r="G280" s="5" t="str">
        <f>IF($H280="","",INDEX('Detalle individual'!$F:$F,$H280))</f>
        <v/>
      </c>
      <c r="H280" t="str">
        <f>IFERROR(MATCH(SMALL(Cálculos!$AJ$5:$AJ$1000,276),Cálculos!$AJ$5:$AJ$1000,0)+4,"")</f>
        <v/>
      </c>
    </row>
    <row r="281">
      <c r="B281" s="5" t="str">
        <f>IF($H281="","",INDEX('Detalle individual'!$B:$B,$H281))</f>
        <v/>
      </c>
      <c r="C281" s="5" t="str">
        <f>IF($H281="","",INDEX('Detalle individual'!$A:$A,$H281))</f>
        <v/>
      </c>
      <c r="D281" s="5" t="str">
        <f>IF($H281="","",INDEX('Detalle individual'!$E:$E,$H281))</f>
        <v/>
      </c>
      <c r="E281" s="5" t="str">
        <f>IF($H281="","",INDEX('Detalle individual'!$C:$C,$H281))</f>
        <v/>
      </c>
      <c r="F281" s="5" t="str">
        <f>IF($H281="","",INDEX('Detalle individual'!$D:$D,$H281))</f>
        <v/>
      </c>
      <c r="G281" s="5" t="str">
        <f>IF($H281="","",INDEX('Detalle individual'!$F:$F,$H281))</f>
        <v/>
      </c>
      <c r="H281" t="str">
        <f>IFERROR(MATCH(SMALL(Cálculos!$AJ$5:$AJ$1000,277),Cálculos!$AJ$5:$AJ$1000,0)+4,"")</f>
        <v/>
      </c>
    </row>
    <row r="282">
      <c r="B282" s="5" t="str">
        <f>IF($H282="","",INDEX('Detalle individual'!$B:$B,$H282))</f>
        <v/>
      </c>
      <c r="C282" s="5" t="str">
        <f>IF($H282="","",INDEX('Detalle individual'!$A:$A,$H282))</f>
        <v/>
      </c>
      <c r="D282" s="5" t="str">
        <f>IF($H282="","",INDEX('Detalle individual'!$E:$E,$H282))</f>
        <v/>
      </c>
      <c r="E282" s="5" t="str">
        <f>IF($H282="","",INDEX('Detalle individual'!$C:$C,$H282))</f>
        <v/>
      </c>
      <c r="F282" s="5" t="str">
        <f>IF($H282="","",INDEX('Detalle individual'!$D:$D,$H282))</f>
        <v/>
      </c>
      <c r="G282" s="5" t="str">
        <f>IF($H282="","",INDEX('Detalle individual'!$F:$F,$H282))</f>
        <v/>
      </c>
      <c r="H282" t="str">
        <f>IFERROR(MATCH(SMALL(Cálculos!$AJ$5:$AJ$1000,278),Cálculos!$AJ$5:$AJ$1000,0)+4,"")</f>
        <v/>
      </c>
    </row>
    <row r="283">
      <c r="B283" s="5" t="str">
        <f>IF($H283="","",INDEX('Detalle individual'!$B:$B,$H283))</f>
        <v/>
      </c>
      <c r="C283" s="5" t="str">
        <f>IF($H283="","",INDEX('Detalle individual'!$A:$A,$H283))</f>
        <v/>
      </c>
      <c r="D283" s="5" t="str">
        <f>IF($H283="","",INDEX('Detalle individual'!$E:$E,$H283))</f>
        <v/>
      </c>
      <c r="E283" s="5" t="str">
        <f>IF($H283="","",INDEX('Detalle individual'!$C:$C,$H283))</f>
        <v/>
      </c>
      <c r="F283" s="5" t="str">
        <f>IF($H283="","",INDEX('Detalle individual'!$D:$D,$H283))</f>
        <v/>
      </c>
      <c r="G283" s="5" t="str">
        <f>IF($H283="","",INDEX('Detalle individual'!$F:$F,$H283))</f>
        <v/>
      </c>
      <c r="H283" t="str">
        <f>IFERROR(MATCH(SMALL(Cálculos!$AJ$5:$AJ$1000,279),Cálculos!$AJ$5:$AJ$1000,0)+4,"")</f>
        <v/>
      </c>
    </row>
    <row r="284">
      <c r="B284" s="5" t="str">
        <f>IF($H284="","",INDEX('Detalle individual'!$B:$B,$H284))</f>
        <v/>
      </c>
      <c r="C284" s="5" t="str">
        <f>IF($H284="","",INDEX('Detalle individual'!$A:$A,$H284))</f>
        <v/>
      </c>
      <c r="D284" s="5" t="str">
        <f>IF($H284="","",INDEX('Detalle individual'!$E:$E,$H284))</f>
        <v/>
      </c>
      <c r="E284" s="5" t="str">
        <f>IF($H284="","",INDEX('Detalle individual'!$C:$C,$H284))</f>
        <v/>
      </c>
      <c r="F284" s="5" t="str">
        <f>IF($H284="","",INDEX('Detalle individual'!$D:$D,$H284))</f>
        <v/>
      </c>
      <c r="G284" s="5" t="str">
        <f>IF($H284="","",INDEX('Detalle individual'!$F:$F,$H284))</f>
        <v/>
      </c>
      <c r="H284" t="str">
        <f>IFERROR(MATCH(SMALL(Cálculos!$AJ$5:$AJ$1000,280),Cálculos!$AJ$5:$AJ$1000,0)+4,"")</f>
        <v/>
      </c>
    </row>
    <row r="285">
      <c r="B285" s="5" t="str">
        <f>IF($H285="","",INDEX('Detalle individual'!$B:$B,$H285))</f>
        <v/>
      </c>
      <c r="C285" s="5" t="str">
        <f>IF($H285="","",INDEX('Detalle individual'!$A:$A,$H285))</f>
        <v/>
      </c>
      <c r="D285" s="5" t="str">
        <f>IF($H285="","",INDEX('Detalle individual'!$E:$E,$H285))</f>
        <v/>
      </c>
      <c r="E285" s="5" t="str">
        <f>IF($H285="","",INDEX('Detalle individual'!$C:$C,$H285))</f>
        <v/>
      </c>
      <c r="F285" s="5" t="str">
        <f>IF($H285="","",INDEX('Detalle individual'!$D:$D,$H285))</f>
        <v/>
      </c>
      <c r="G285" s="5" t="str">
        <f>IF($H285="","",INDEX('Detalle individual'!$F:$F,$H285))</f>
        <v/>
      </c>
      <c r="H285" t="str">
        <f>IFERROR(MATCH(SMALL(Cálculos!$AJ$5:$AJ$1000,281),Cálculos!$AJ$5:$AJ$1000,0)+4,"")</f>
        <v/>
      </c>
    </row>
    <row r="286">
      <c r="B286" s="5" t="str">
        <f>IF($H286="","",INDEX('Detalle individual'!$B:$B,$H286))</f>
        <v/>
      </c>
      <c r="C286" s="5" t="str">
        <f>IF($H286="","",INDEX('Detalle individual'!$A:$A,$H286))</f>
        <v/>
      </c>
      <c r="D286" s="5" t="str">
        <f>IF($H286="","",INDEX('Detalle individual'!$E:$E,$H286))</f>
        <v/>
      </c>
      <c r="E286" s="5" t="str">
        <f>IF($H286="","",INDEX('Detalle individual'!$C:$C,$H286))</f>
        <v/>
      </c>
      <c r="F286" s="5" t="str">
        <f>IF($H286="","",INDEX('Detalle individual'!$D:$D,$H286))</f>
        <v/>
      </c>
      <c r="G286" s="5" t="str">
        <f>IF($H286="","",INDEX('Detalle individual'!$F:$F,$H286))</f>
        <v/>
      </c>
      <c r="H286" t="str">
        <f>IFERROR(MATCH(SMALL(Cálculos!$AJ$5:$AJ$1000,282),Cálculos!$AJ$5:$AJ$1000,0)+4,"")</f>
        <v/>
      </c>
    </row>
    <row r="287">
      <c r="B287" s="5" t="str">
        <f>IF($H287="","",INDEX('Detalle individual'!$B:$B,$H287))</f>
        <v/>
      </c>
      <c r="C287" s="5" t="str">
        <f>IF($H287="","",INDEX('Detalle individual'!$A:$A,$H287))</f>
        <v/>
      </c>
      <c r="D287" s="5" t="str">
        <f>IF($H287="","",INDEX('Detalle individual'!$E:$E,$H287))</f>
        <v/>
      </c>
      <c r="E287" s="5" t="str">
        <f>IF($H287="","",INDEX('Detalle individual'!$C:$C,$H287))</f>
        <v/>
      </c>
      <c r="F287" s="5" t="str">
        <f>IF($H287="","",INDEX('Detalle individual'!$D:$D,$H287))</f>
        <v/>
      </c>
      <c r="G287" s="5" t="str">
        <f>IF($H287="","",INDEX('Detalle individual'!$F:$F,$H287))</f>
        <v/>
      </c>
      <c r="H287" t="str">
        <f>IFERROR(MATCH(SMALL(Cálculos!$AJ$5:$AJ$1000,283),Cálculos!$AJ$5:$AJ$1000,0)+4,"")</f>
        <v/>
      </c>
    </row>
    <row r="288">
      <c r="B288" s="5" t="str">
        <f>IF($H288="","",INDEX('Detalle individual'!$B:$B,$H288))</f>
        <v/>
      </c>
      <c r="C288" s="5" t="str">
        <f>IF($H288="","",INDEX('Detalle individual'!$A:$A,$H288))</f>
        <v/>
      </c>
      <c r="D288" s="5" t="str">
        <f>IF($H288="","",INDEX('Detalle individual'!$E:$E,$H288))</f>
        <v/>
      </c>
      <c r="E288" s="5" t="str">
        <f>IF($H288="","",INDEX('Detalle individual'!$C:$C,$H288))</f>
        <v/>
      </c>
      <c r="F288" s="5" t="str">
        <f>IF($H288="","",INDEX('Detalle individual'!$D:$D,$H288))</f>
        <v/>
      </c>
      <c r="G288" s="5" t="str">
        <f>IF($H288="","",INDEX('Detalle individual'!$F:$F,$H288))</f>
        <v/>
      </c>
      <c r="H288" t="str">
        <f>IFERROR(MATCH(SMALL(Cálculos!$AJ$5:$AJ$1000,284),Cálculos!$AJ$5:$AJ$1000,0)+4,"")</f>
        <v/>
      </c>
    </row>
    <row r="289">
      <c r="B289" s="5" t="str">
        <f>IF($H289="","",INDEX('Detalle individual'!$B:$B,$H289))</f>
        <v/>
      </c>
      <c r="C289" s="5" t="str">
        <f>IF($H289="","",INDEX('Detalle individual'!$A:$A,$H289))</f>
        <v/>
      </c>
      <c r="D289" s="5" t="str">
        <f>IF($H289="","",INDEX('Detalle individual'!$E:$E,$H289))</f>
        <v/>
      </c>
      <c r="E289" s="5" t="str">
        <f>IF($H289="","",INDEX('Detalle individual'!$C:$C,$H289))</f>
        <v/>
      </c>
      <c r="F289" s="5" t="str">
        <f>IF($H289="","",INDEX('Detalle individual'!$D:$D,$H289))</f>
        <v/>
      </c>
      <c r="G289" s="5" t="str">
        <f>IF($H289="","",INDEX('Detalle individual'!$F:$F,$H289))</f>
        <v/>
      </c>
      <c r="H289" t="str">
        <f>IFERROR(MATCH(SMALL(Cálculos!$AJ$5:$AJ$1000,285),Cálculos!$AJ$5:$AJ$1000,0)+4,"")</f>
        <v/>
      </c>
    </row>
    <row r="290">
      <c r="B290" s="5" t="str">
        <f>IF($H290="","",INDEX('Detalle individual'!$B:$B,$H290))</f>
        <v/>
      </c>
      <c r="C290" s="5" t="str">
        <f>IF($H290="","",INDEX('Detalle individual'!$A:$A,$H290))</f>
        <v/>
      </c>
      <c r="D290" s="5" t="str">
        <f>IF($H290="","",INDEX('Detalle individual'!$E:$E,$H290))</f>
        <v/>
      </c>
      <c r="E290" s="5" t="str">
        <f>IF($H290="","",INDEX('Detalle individual'!$C:$C,$H290))</f>
        <v/>
      </c>
      <c r="F290" s="5" t="str">
        <f>IF($H290="","",INDEX('Detalle individual'!$D:$D,$H290))</f>
        <v/>
      </c>
      <c r="G290" s="5" t="str">
        <f>IF($H290="","",INDEX('Detalle individual'!$F:$F,$H290))</f>
        <v/>
      </c>
      <c r="H290" t="str">
        <f>IFERROR(MATCH(SMALL(Cálculos!$AJ$5:$AJ$1000,286),Cálculos!$AJ$5:$AJ$1000,0)+4,"")</f>
        <v/>
      </c>
    </row>
    <row r="291">
      <c r="B291" s="5" t="str">
        <f>IF($H291="","",INDEX('Detalle individual'!$B:$B,$H291))</f>
        <v/>
      </c>
      <c r="C291" s="5" t="str">
        <f>IF($H291="","",INDEX('Detalle individual'!$A:$A,$H291))</f>
        <v/>
      </c>
      <c r="D291" s="5" t="str">
        <f>IF($H291="","",INDEX('Detalle individual'!$E:$E,$H291))</f>
        <v/>
      </c>
      <c r="E291" s="5" t="str">
        <f>IF($H291="","",INDEX('Detalle individual'!$C:$C,$H291))</f>
        <v/>
      </c>
      <c r="F291" s="5" t="str">
        <f>IF($H291="","",INDEX('Detalle individual'!$D:$D,$H291))</f>
        <v/>
      </c>
      <c r="G291" s="5" t="str">
        <f>IF($H291="","",INDEX('Detalle individual'!$F:$F,$H291))</f>
        <v/>
      </c>
      <c r="H291" t="str">
        <f>IFERROR(MATCH(SMALL(Cálculos!$AJ$5:$AJ$1000,287),Cálculos!$AJ$5:$AJ$1000,0)+4,"")</f>
        <v/>
      </c>
    </row>
    <row r="292">
      <c r="B292" s="5" t="str">
        <f>IF($H292="","",INDEX('Detalle individual'!$B:$B,$H292))</f>
        <v/>
      </c>
      <c r="C292" s="5" t="str">
        <f>IF($H292="","",INDEX('Detalle individual'!$A:$A,$H292))</f>
        <v/>
      </c>
      <c r="D292" s="5" t="str">
        <f>IF($H292="","",INDEX('Detalle individual'!$E:$E,$H292))</f>
        <v/>
      </c>
      <c r="E292" s="5" t="str">
        <f>IF($H292="","",INDEX('Detalle individual'!$C:$C,$H292))</f>
        <v/>
      </c>
      <c r="F292" s="5" t="str">
        <f>IF($H292="","",INDEX('Detalle individual'!$D:$D,$H292))</f>
        <v/>
      </c>
      <c r="G292" s="5" t="str">
        <f>IF($H292="","",INDEX('Detalle individual'!$F:$F,$H292))</f>
        <v/>
      </c>
      <c r="H292" t="str">
        <f>IFERROR(MATCH(SMALL(Cálculos!$AJ$5:$AJ$1000,288),Cálculos!$AJ$5:$AJ$1000,0)+4,"")</f>
        <v/>
      </c>
    </row>
    <row r="293">
      <c r="B293" s="5" t="str">
        <f>IF($H293="","",INDEX('Detalle individual'!$B:$B,$H293))</f>
        <v/>
      </c>
      <c r="C293" s="5" t="str">
        <f>IF($H293="","",INDEX('Detalle individual'!$A:$A,$H293))</f>
        <v/>
      </c>
      <c r="D293" s="5" t="str">
        <f>IF($H293="","",INDEX('Detalle individual'!$E:$E,$H293))</f>
        <v/>
      </c>
      <c r="E293" s="5" t="str">
        <f>IF($H293="","",INDEX('Detalle individual'!$C:$C,$H293))</f>
        <v/>
      </c>
      <c r="F293" s="5" t="str">
        <f>IF($H293="","",INDEX('Detalle individual'!$D:$D,$H293))</f>
        <v/>
      </c>
      <c r="G293" s="5" t="str">
        <f>IF($H293="","",INDEX('Detalle individual'!$F:$F,$H293))</f>
        <v/>
      </c>
      <c r="H293" t="str">
        <f>IFERROR(MATCH(SMALL(Cálculos!$AJ$5:$AJ$1000,289),Cálculos!$AJ$5:$AJ$1000,0)+4,"")</f>
        <v/>
      </c>
    </row>
    <row r="294">
      <c r="B294" s="5" t="str">
        <f>IF($H294="","",INDEX('Detalle individual'!$B:$B,$H294))</f>
        <v/>
      </c>
      <c r="C294" s="5" t="str">
        <f>IF($H294="","",INDEX('Detalle individual'!$A:$A,$H294))</f>
        <v/>
      </c>
      <c r="D294" s="5" t="str">
        <f>IF($H294="","",INDEX('Detalle individual'!$E:$E,$H294))</f>
        <v/>
      </c>
      <c r="E294" s="5" t="str">
        <f>IF($H294="","",INDEX('Detalle individual'!$C:$C,$H294))</f>
        <v/>
      </c>
      <c r="F294" s="5" t="str">
        <f>IF($H294="","",INDEX('Detalle individual'!$D:$D,$H294))</f>
        <v/>
      </c>
      <c r="G294" s="5" t="str">
        <f>IF($H294="","",INDEX('Detalle individual'!$F:$F,$H294))</f>
        <v/>
      </c>
      <c r="H294" t="str">
        <f>IFERROR(MATCH(SMALL(Cálculos!$AJ$5:$AJ$1000,290),Cálculos!$AJ$5:$AJ$1000,0)+4,"")</f>
        <v/>
      </c>
    </row>
    <row r="295">
      <c r="B295" s="5" t="str">
        <f>IF($H295="","",INDEX('Detalle individual'!$B:$B,$H295))</f>
        <v/>
      </c>
      <c r="C295" s="5" t="str">
        <f>IF($H295="","",INDEX('Detalle individual'!$A:$A,$H295))</f>
        <v/>
      </c>
      <c r="D295" s="5" t="str">
        <f>IF($H295="","",INDEX('Detalle individual'!$E:$E,$H295))</f>
        <v/>
      </c>
      <c r="E295" s="5" t="str">
        <f>IF($H295="","",INDEX('Detalle individual'!$C:$C,$H295))</f>
        <v/>
      </c>
      <c r="F295" s="5" t="str">
        <f>IF($H295="","",INDEX('Detalle individual'!$D:$D,$H295))</f>
        <v/>
      </c>
      <c r="G295" s="5" t="str">
        <f>IF($H295="","",INDEX('Detalle individual'!$F:$F,$H295))</f>
        <v/>
      </c>
      <c r="H295" t="str">
        <f>IFERROR(MATCH(SMALL(Cálculos!$AJ$5:$AJ$1000,291),Cálculos!$AJ$5:$AJ$1000,0)+4,"")</f>
        <v/>
      </c>
    </row>
    <row r="296">
      <c r="B296" s="5" t="str">
        <f>IF($H296="","",INDEX('Detalle individual'!$B:$B,$H296))</f>
        <v/>
      </c>
      <c r="C296" s="5" t="str">
        <f>IF($H296="","",INDEX('Detalle individual'!$A:$A,$H296))</f>
        <v/>
      </c>
      <c r="D296" s="5" t="str">
        <f>IF($H296="","",INDEX('Detalle individual'!$E:$E,$H296))</f>
        <v/>
      </c>
      <c r="E296" s="5" t="str">
        <f>IF($H296="","",INDEX('Detalle individual'!$C:$C,$H296))</f>
        <v/>
      </c>
      <c r="F296" s="5" t="str">
        <f>IF($H296="","",INDEX('Detalle individual'!$D:$D,$H296))</f>
        <v/>
      </c>
      <c r="G296" s="5" t="str">
        <f>IF($H296="","",INDEX('Detalle individual'!$F:$F,$H296))</f>
        <v/>
      </c>
      <c r="H296" t="str">
        <f>IFERROR(MATCH(SMALL(Cálculos!$AJ$5:$AJ$1000,292),Cálculos!$AJ$5:$AJ$1000,0)+4,"")</f>
        <v/>
      </c>
    </row>
    <row r="297">
      <c r="B297" s="5" t="str">
        <f>IF($H297="","",INDEX('Detalle individual'!$B:$B,$H297))</f>
        <v/>
      </c>
      <c r="C297" s="5" t="str">
        <f>IF($H297="","",INDEX('Detalle individual'!$A:$A,$H297))</f>
        <v/>
      </c>
      <c r="D297" s="5" t="str">
        <f>IF($H297="","",INDEX('Detalle individual'!$E:$E,$H297))</f>
        <v/>
      </c>
      <c r="E297" s="5" t="str">
        <f>IF($H297="","",INDEX('Detalle individual'!$C:$C,$H297))</f>
        <v/>
      </c>
      <c r="F297" s="5" t="str">
        <f>IF($H297="","",INDEX('Detalle individual'!$D:$D,$H297))</f>
        <v/>
      </c>
      <c r="G297" s="5" t="str">
        <f>IF($H297="","",INDEX('Detalle individual'!$F:$F,$H297))</f>
        <v/>
      </c>
      <c r="H297" t="str">
        <f>IFERROR(MATCH(SMALL(Cálculos!$AJ$5:$AJ$1000,293),Cálculos!$AJ$5:$AJ$1000,0)+4,"")</f>
        <v/>
      </c>
    </row>
    <row r="298">
      <c r="B298" s="5" t="str">
        <f>IF($H298="","",INDEX('Detalle individual'!$B:$B,$H298))</f>
        <v/>
      </c>
      <c r="C298" s="5" t="str">
        <f>IF($H298="","",INDEX('Detalle individual'!$A:$A,$H298))</f>
        <v/>
      </c>
      <c r="D298" s="5" t="str">
        <f>IF($H298="","",INDEX('Detalle individual'!$E:$E,$H298))</f>
        <v/>
      </c>
      <c r="E298" s="5" t="str">
        <f>IF($H298="","",INDEX('Detalle individual'!$C:$C,$H298))</f>
        <v/>
      </c>
      <c r="F298" s="5" t="str">
        <f>IF($H298="","",INDEX('Detalle individual'!$D:$D,$H298))</f>
        <v/>
      </c>
      <c r="G298" s="5" t="str">
        <f>IF($H298="","",INDEX('Detalle individual'!$F:$F,$H298))</f>
        <v/>
      </c>
      <c r="H298" t="str">
        <f>IFERROR(MATCH(SMALL(Cálculos!$AJ$5:$AJ$1000,294),Cálculos!$AJ$5:$AJ$1000,0)+4,"")</f>
        <v/>
      </c>
    </row>
    <row r="299">
      <c r="B299" s="5" t="str">
        <f>IF($H299="","",INDEX('Detalle individual'!$B:$B,$H299))</f>
        <v/>
      </c>
      <c r="C299" s="5" t="str">
        <f>IF($H299="","",INDEX('Detalle individual'!$A:$A,$H299))</f>
        <v/>
      </c>
      <c r="D299" s="5" t="str">
        <f>IF($H299="","",INDEX('Detalle individual'!$E:$E,$H299))</f>
        <v/>
      </c>
      <c r="E299" s="5" t="str">
        <f>IF($H299="","",INDEX('Detalle individual'!$C:$C,$H299))</f>
        <v/>
      </c>
      <c r="F299" s="5" t="str">
        <f>IF($H299="","",INDEX('Detalle individual'!$D:$D,$H299))</f>
        <v/>
      </c>
      <c r="G299" s="5" t="str">
        <f>IF($H299="","",INDEX('Detalle individual'!$F:$F,$H299))</f>
        <v/>
      </c>
      <c r="H299" t="str">
        <f>IFERROR(MATCH(SMALL(Cálculos!$AJ$5:$AJ$1000,295),Cálculos!$AJ$5:$AJ$1000,0)+4,"")</f>
        <v/>
      </c>
    </row>
    <row r="300">
      <c r="B300" s="5" t="str">
        <f>IF($H300="","",INDEX('Detalle individual'!$B:$B,$H300))</f>
        <v/>
      </c>
      <c r="C300" s="5" t="str">
        <f>IF($H300="","",INDEX('Detalle individual'!$A:$A,$H300))</f>
        <v/>
      </c>
      <c r="D300" s="5" t="str">
        <f>IF($H300="","",INDEX('Detalle individual'!$E:$E,$H300))</f>
        <v/>
      </c>
      <c r="E300" s="5" t="str">
        <f>IF($H300="","",INDEX('Detalle individual'!$C:$C,$H300))</f>
        <v/>
      </c>
      <c r="F300" s="5" t="str">
        <f>IF($H300="","",INDEX('Detalle individual'!$D:$D,$H300))</f>
        <v/>
      </c>
      <c r="G300" s="5" t="str">
        <f>IF($H300="","",INDEX('Detalle individual'!$F:$F,$H300))</f>
        <v/>
      </c>
      <c r="H300" t="str">
        <f>IFERROR(MATCH(SMALL(Cálculos!$AJ$5:$AJ$1000,296),Cálculos!$AJ$5:$AJ$1000,0)+4,"")</f>
        <v/>
      </c>
    </row>
    <row r="301">
      <c r="B301" s="5" t="str">
        <f>IF($H301="","",INDEX('Detalle individual'!$B:$B,$H301))</f>
        <v/>
      </c>
      <c r="C301" s="5" t="str">
        <f>IF($H301="","",INDEX('Detalle individual'!$A:$A,$H301))</f>
        <v/>
      </c>
      <c r="D301" s="5" t="str">
        <f>IF($H301="","",INDEX('Detalle individual'!$E:$E,$H301))</f>
        <v/>
      </c>
      <c r="E301" s="5" t="str">
        <f>IF($H301="","",INDEX('Detalle individual'!$C:$C,$H301))</f>
        <v/>
      </c>
      <c r="F301" s="5" t="str">
        <f>IF($H301="","",INDEX('Detalle individual'!$D:$D,$H301))</f>
        <v/>
      </c>
      <c r="G301" s="5" t="str">
        <f>IF($H301="","",INDEX('Detalle individual'!$F:$F,$H301))</f>
        <v/>
      </c>
      <c r="H301" t="str">
        <f>IFERROR(MATCH(SMALL(Cálculos!$AJ$5:$AJ$1000,297),Cálculos!$AJ$5:$AJ$1000,0)+4,"")</f>
        <v/>
      </c>
    </row>
    <row r="302">
      <c r="B302" s="5" t="str">
        <f>IF($H302="","",INDEX('Detalle individual'!$B:$B,$H302))</f>
        <v/>
      </c>
      <c r="C302" s="5" t="str">
        <f>IF($H302="","",INDEX('Detalle individual'!$A:$A,$H302))</f>
        <v/>
      </c>
      <c r="D302" s="5" t="str">
        <f>IF($H302="","",INDEX('Detalle individual'!$E:$E,$H302))</f>
        <v/>
      </c>
      <c r="E302" s="5" t="str">
        <f>IF($H302="","",INDEX('Detalle individual'!$C:$C,$H302))</f>
        <v/>
      </c>
      <c r="F302" s="5" t="str">
        <f>IF($H302="","",INDEX('Detalle individual'!$D:$D,$H302))</f>
        <v/>
      </c>
      <c r="G302" s="5" t="str">
        <f>IF($H302="","",INDEX('Detalle individual'!$F:$F,$H302))</f>
        <v/>
      </c>
      <c r="H302" t="str">
        <f>IFERROR(MATCH(SMALL(Cálculos!$AJ$5:$AJ$1000,298),Cálculos!$AJ$5:$AJ$1000,0)+4,"")</f>
        <v/>
      </c>
    </row>
    <row r="303">
      <c r="B303" s="5" t="str">
        <f>IF($H303="","",INDEX('Detalle individual'!$B:$B,$H303))</f>
        <v/>
      </c>
      <c r="C303" s="5" t="str">
        <f>IF($H303="","",INDEX('Detalle individual'!$A:$A,$H303))</f>
        <v/>
      </c>
      <c r="D303" s="5" t="str">
        <f>IF($H303="","",INDEX('Detalle individual'!$E:$E,$H303))</f>
        <v/>
      </c>
      <c r="E303" s="5" t="str">
        <f>IF($H303="","",INDEX('Detalle individual'!$C:$C,$H303))</f>
        <v/>
      </c>
      <c r="F303" s="5" t="str">
        <f>IF($H303="","",INDEX('Detalle individual'!$D:$D,$H303))</f>
        <v/>
      </c>
      <c r="G303" s="5" t="str">
        <f>IF($H303="","",INDEX('Detalle individual'!$F:$F,$H303))</f>
        <v/>
      </c>
      <c r="H303" t="str">
        <f>IFERROR(MATCH(SMALL(Cálculos!$AJ$5:$AJ$1000,299),Cálculos!$AJ$5:$AJ$1000,0)+4,"")</f>
        <v/>
      </c>
    </row>
    <row r="304">
      <c r="B304" s="5" t="str">
        <f>IF($H304="","",INDEX('Detalle individual'!$B:$B,$H304))</f>
        <v/>
      </c>
      <c r="C304" s="5" t="str">
        <f>IF($H304="","",INDEX('Detalle individual'!$A:$A,$H304))</f>
        <v/>
      </c>
      <c r="D304" s="5" t="str">
        <f>IF($H304="","",INDEX('Detalle individual'!$E:$E,$H304))</f>
        <v/>
      </c>
      <c r="E304" s="5" t="str">
        <f>IF($H304="","",INDEX('Detalle individual'!$C:$C,$H304))</f>
        <v/>
      </c>
      <c r="F304" s="5" t="str">
        <f>IF($H304="","",INDEX('Detalle individual'!$D:$D,$H304))</f>
        <v/>
      </c>
      <c r="G304" s="5" t="str">
        <f>IF($H304="","",INDEX('Detalle individual'!$F:$F,$H304))</f>
        <v/>
      </c>
      <c r="H304" t="str">
        <f>IFERROR(MATCH(SMALL(Cálculos!$AJ$5:$AJ$1000,300),Cálculos!$AJ$5:$AJ$1000,0)+4,"")</f>
        <v/>
      </c>
    </row>
    <row r="305">
      <c r="B305" s="5" t="str">
        <f>IF($H305="","",INDEX('Detalle individual'!$B:$B,$H305))</f>
        <v/>
      </c>
      <c r="C305" s="5" t="str">
        <f>IF($H305="","",INDEX('Detalle individual'!$A:$A,$H305))</f>
        <v/>
      </c>
      <c r="D305" s="5" t="str">
        <f>IF($H305="","",INDEX('Detalle individual'!$E:$E,$H305))</f>
        <v/>
      </c>
      <c r="E305" s="5" t="str">
        <f>IF($H305="","",INDEX('Detalle individual'!$C:$C,$H305))</f>
        <v/>
      </c>
      <c r="F305" s="5" t="str">
        <f>IF($H305="","",INDEX('Detalle individual'!$D:$D,$H305))</f>
        <v/>
      </c>
      <c r="G305" s="5" t="str">
        <f>IF($H305="","",INDEX('Detalle individual'!$F:$F,$H305))</f>
        <v/>
      </c>
      <c r="H305" t="str">
        <f>IFERROR(MATCH(SMALL(Cálculos!$AJ$5:$AJ$1000,301),Cálculos!$AJ$5:$AJ$1000,0)+4,"")</f>
        <v/>
      </c>
    </row>
    <row r="306">
      <c r="B306" s="5" t="str">
        <f>IF($H306="","",INDEX('Detalle individual'!$B:$B,$H306))</f>
        <v/>
      </c>
      <c r="C306" s="5" t="str">
        <f>IF($H306="","",INDEX('Detalle individual'!$A:$A,$H306))</f>
        <v/>
      </c>
      <c r="D306" s="5" t="str">
        <f>IF($H306="","",INDEX('Detalle individual'!$E:$E,$H306))</f>
        <v/>
      </c>
      <c r="E306" s="5" t="str">
        <f>IF($H306="","",INDEX('Detalle individual'!$C:$C,$H306))</f>
        <v/>
      </c>
      <c r="F306" s="5" t="str">
        <f>IF($H306="","",INDEX('Detalle individual'!$D:$D,$H306))</f>
        <v/>
      </c>
      <c r="G306" s="5" t="str">
        <f>IF($H306="","",INDEX('Detalle individual'!$F:$F,$H306))</f>
        <v/>
      </c>
      <c r="H306" t="str">
        <f>IFERROR(MATCH(SMALL(Cálculos!$AJ$5:$AJ$1000,302),Cálculos!$AJ$5:$AJ$1000,0)+4,"")</f>
        <v/>
      </c>
    </row>
    <row r="307">
      <c r="B307" s="5" t="str">
        <f>IF($H307="","",INDEX('Detalle individual'!$B:$B,$H307))</f>
        <v/>
      </c>
      <c r="C307" s="5" t="str">
        <f>IF($H307="","",INDEX('Detalle individual'!$A:$A,$H307))</f>
        <v/>
      </c>
      <c r="D307" s="5" t="str">
        <f>IF($H307="","",INDEX('Detalle individual'!$E:$E,$H307))</f>
        <v/>
      </c>
      <c r="E307" s="5" t="str">
        <f>IF($H307="","",INDEX('Detalle individual'!$C:$C,$H307))</f>
        <v/>
      </c>
      <c r="F307" s="5" t="str">
        <f>IF($H307="","",INDEX('Detalle individual'!$D:$D,$H307))</f>
        <v/>
      </c>
      <c r="G307" s="5" t="str">
        <f>IF($H307="","",INDEX('Detalle individual'!$F:$F,$H307))</f>
        <v/>
      </c>
      <c r="H307" t="str">
        <f>IFERROR(MATCH(SMALL(Cálculos!$AJ$5:$AJ$1000,303),Cálculos!$AJ$5:$AJ$1000,0)+4,"")</f>
        <v/>
      </c>
    </row>
    <row r="308">
      <c r="B308" s="5" t="str">
        <f>IF($H308="","",INDEX('Detalle individual'!$B:$B,$H308))</f>
        <v/>
      </c>
      <c r="C308" s="5" t="str">
        <f>IF($H308="","",INDEX('Detalle individual'!$A:$A,$H308))</f>
        <v/>
      </c>
      <c r="D308" s="5" t="str">
        <f>IF($H308="","",INDEX('Detalle individual'!$E:$E,$H308))</f>
        <v/>
      </c>
      <c r="E308" s="5" t="str">
        <f>IF($H308="","",INDEX('Detalle individual'!$C:$C,$H308))</f>
        <v/>
      </c>
      <c r="F308" s="5" t="str">
        <f>IF($H308="","",INDEX('Detalle individual'!$D:$D,$H308))</f>
        <v/>
      </c>
      <c r="G308" s="5" t="str">
        <f>IF($H308="","",INDEX('Detalle individual'!$F:$F,$H308))</f>
        <v/>
      </c>
      <c r="H308" t="str">
        <f>IFERROR(MATCH(SMALL(Cálculos!$AJ$5:$AJ$1000,304),Cálculos!$AJ$5:$AJ$1000,0)+4,"")</f>
        <v/>
      </c>
    </row>
    <row r="309">
      <c r="B309" s="5" t="str">
        <f>IF($H309="","",INDEX('Detalle individual'!$B:$B,$H309))</f>
        <v/>
      </c>
      <c r="C309" s="5" t="str">
        <f>IF($H309="","",INDEX('Detalle individual'!$A:$A,$H309))</f>
        <v/>
      </c>
      <c r="D309" s="5" t="str">
        <f>IF($H309="","",INDEX('Detalle individual'!$E:$E,$H309))</f>
        <v/>
      </c>
      <c r="E309" s="5" t="str">
        <f>IF($H309="","",INDEX('Detalle individual'!$C:$C,$H309))</f>
        <v/>
      </c>
      <c r="F309" s="5" t="str">
        <f>IF($H309="","",INDEX('Detalle individual'!$D:$D,$H309))</f>
        <v/>
      </c>
      <c r="G309" s="5" t="str">
        <f>IF($H309="","",INDEX('Detalle individual'!$F:$F,$H309))</f>
        <v/>
      </c>
      <c r="H309" t="str">
        <f>IFERROR(MATCH(SMALL(Cálculos!$AJ$5:$AJ$1000,305),Cálculos!$AJ$5:$AJ$1000,0)+4,"")</f>
        <v/>
      </c>
    </row>
    <row r="310">
      <c r="B310" s="5" t="str">
        <f>IF($H310="","",INDEX('Detalle individual'!$B:$B,$H310))</f>
        <v/>
      </c>
      <c r="C310" s="5" t="str">
        <f>IF($H310="","",INDEX('Detalle individual'!$A:$A,$H310))</f>
        <v/>
      </c>
      <c r="D310" s="5" t="str">
        <f>IF($H310="","",INDEX('Detalle individual'!$E:$E,$H310))</f>
        <v/>
      </c>
      <c r="E310" s="5" t="str">
        <f>IF($H310="","",INDEX('Detalle individual'!$C:$C,$H310))</f>
        <v/>
      </c>
      <c r="F310" s="5" t="str">
        <f>IF($H310="","",INDEX('Detalle individual'!$D:$D,$H310))</f>
        <v/>
      </c>
      <c r="G310" s="5" t="str">
        <f>IF($H310="","",INDEX('Detalle individual'!$F:$F,$H310))</f>
        <v/>
      </c>
      <c r="H310" t="str">
        <f>IFERROR(MATCH(SMALL(Cálculos!$AJ$5:$AJ$1000,306),Cálculos!$AJ$5:$AJ$1000,0)+4,"")</f>
        <v/>
      </c>
    </row>
    <row r="311">
      <c r="B311" s="5" t="str">
        <f>IF($H311="","",INDEX('Detalle individual'!$B:$B,$H311))</f>
        <v/>
      </c>
      <c r="C311" s="5" t="str">
        <f>IF($H311="","",INDEX('Detalle individual'!$A:$A,$H311))</f>
        <v/>
      </c>
      <c r="D311" s="5" t="str">
        <f>IF($H311="","",INDEX('Detalle individual'!$E:$E,$H311))</f>
        <v/>
      </c>
      <c r="E311" s="5" t="str">
        <f>IF($H311="","",INDEX('Detalle individual'!$C:$C,$H311))</f>
        <v/>
      </c>
      <c r="F311" s="5" t="str">
        <f>IF($H311="","",INDEX('Detalle individual'!$D:$D,$H311))</f>
        <v/>
      </c>
      <c r="G311" s="5" t="str">
        <f>IF($H311="","",INDEX('Detalle individual'!$F:$F,$H311))</f>
        <v/>
      </c>
      <c r="H311" t="str">
        <f>IFERROR(MATCH(SMALL(Cálculos!$AJ$5:$AJ$1000,307),Cálculos!$AJ$5:$AJ$1000,0)+4,"")</f>
        <v/>
      </c>
    </row>
    <row r="312">
      <c r="B312" s="5" t="str">
        <f>IF($H312="","",INDEX('Detalle individual'!$B:$B,$H312))</f>
        <v/>
      </c>
      <c r="C312" s="5" t="str">
        <f>IF($H312="","",INDEX('Detalle individual'!$A:$A,$H312))</f>
        <v/>
      </c>
      <c r="D312" s="5" t="str">
        <f>IF($H312="","",INDEX('Detalle individual'!$E:$E,$H312))</f>
        <v/>
      </c>
      <c r="E312" s="5" t="str">
        <f>IF($H312="","",INDEX('Detalle individual'!$C:$C,$H312))</f>
        <v/>
      </c>
      <c r="F312" s="5" t="str">
        <f>IF($H312="","",INDEX('Detalle individual'!$D:$D,$H312))</f>
        <v/>
      </c>
      <c r="G312" s="5" t="str">
        <f>IF($H312="","",INDEX('Detalle individual'!$F:$F,$H312))</f>
        <v/>
      </c>
      <c r="H312" t="str">
        <f>IFERROR(MATCH(SMALL(Cálculos!$AJ$5:$AJ$1000,308),Cálculos!$AJ$5:$AJ$1000,0)+4,"")</f>
        <v/>
      </c>
    </row>
    <row r="313">
      <c r="B313" s="5" t="str">
        <f>IF($H313="","",INDEX('Detalle individual'!$B:$B,$H313))</f>
        <v/>
      </c>
      <c r="C313" s="5" t="str">
        <f>IF($H313="","",INDEX('Detalle individual'!$A:$A,$H313))</f>
        <v/>
      </c>
      <c r="D313" s="5" t="str">
        <f>IF($H313="","",INDEX('Detalle individual'!$E:$E,$H313))</f>
        <v/>
      </c>
      <c r="E313" s="5" t="str">
        <f>IF($H313="","",INDEX('Detalle individual'!$C:$C,$H313))</f>
        <v/>
      </c>
      <c r="F313" s="5" t="str">
        <f>IF($H313="","",INDEX('Detalle individual'!$D:$D,$H313))</f>
        <v/>
      </c>
      <c r="G313" s="5" t="str">
        <f>IF($H313="","",INDEX('Detalle individual'!$F:$F,$H313))</f>
        <v/>
      </c>
      <c r="H313" t="str">
        <f>IFERROR(MATCH(SMALL(Cálculos!$AJ$5:$AJ$1000,309),Cálculos!$AJ$5:$AJ$1000,0)+4,"")</f>
        <v/>
      </c>
    </row>
    <row r="314">
      <c r="B314" s="5" t="str">
        <f>IF($H314="","",INDEX('Detalle individual'!$B:$B,$H314))</f>
        <v/>
      </c>
      <c r="C314" s="5" t="str">
        <f>IF($H314="","",INDEX('Detalle individual'!$A:$A,$H314))</f>
        <v/>
      </c>
      <c r="D314" s="5" t="str">
        <f>IF($H314="","",INDEX('Detalle individual'!$E:$E,$H314))</f>
        <v/>
      </c>
      <c r="E314" s="5" t="str">
        <f>IF($H314="","",INDEX('Detalle individual'!$C:$C,$H314))</f>
        <v/>
      </c>
      <c r="F314" s="5" t="str">
        <f>IF($H314="","",INDEX('Detalle individual'!$D:$D,$H314))</f>
        <v/>
      </c>
      <c r="G314" s="5" t="str">
        <f>IF($H314="","",INDEX('Detalle individual'!$F:$F,$H314))</f>
        <v/>
      </c>
      <c r="H314" t="str">
        <f>IFERROR(MATCH(SMALL(Cálculos!$AJ$5:$AJ$1000,310),Cálculos!$AJ$5:$AJ$1000,0)+4,"")</f>
        <v/>
      </c>
    </row>
    <row r="315">
      <c r="B315" s="5" t="str">
        <f>IF($H315="","",INDEX('Detalle individual'!$B:$B,$H315))</f>
        <v/>
      </c>
      <c r="C315" s="5" t="str">
        <f>IF($H315="","",INDEX('Detalle individual'!$A:$A,$H315))</f>
        <v/>
      </c>
      <c r="D315" s="5" t="str">
        <f>IF($H315="","",INDEX('Detalle individual'!$E:$E,$H315))</f>
        <v/>
      </c>
      <c r="E315" s="5" t="str">
        <f>IF($H315="","",INDEX('Detalle individual'!$C:$C,$H315))</f>
        <v/>
      </c>
      <c r="F315" s="5" t="str">
        <f>IF($H315="","",INDEX('Detalle individual'!$D:$D,$H315))</f>
        <v/>
      </c>
      <c r="G315" s="5" t="str">
        <f>IF($H315="","",INDEX('Detalle individual'!$F:$F,$H315))</f>
        <v/>
      </c>
      <c r="H315" t="str">
        <f>IFERROR(MATCH(SMALL(Cálculos!$AJ$5:$AJ$1000,311),Cálculos!$AJ$5:$AJ$1000,0)+4,"")</f>
        <v/>
      </c>
    </row>
    <row r="316">
      <c r="B316" s="5" t="str">
        <f>IF($H316="","",INDEX('Detalle individual'!$B:$B,$H316))</f>
        <v/>
      </c>
      <c r="C316" s="5" t="str">
        <f>IF($H316="","",INDEX('Detalle individual'!$A:$A,$H316))</f>
        <v/>
      </c>
      <c r="D316" s="5" t="str">
        <f>IF($H316="","",INDEX('Detalle individual'!$E:$E,$H316))</f>
        <v/>
      </c>
      <c r="E316" s="5" t="str">
        <f>IF($H316="","",INDEX('Detalle individual'!$C:$C,$H316))</f>
        <v/>
      </c>
      <c r="F316" s="5" t="str">
        <f>IF($H316="","",INDEX('Detalle individual'!$D:$D,$H316))</f>
        <v/>
      </c>
      <c r="G316" s="5" t="str">
        <f>IF($H316="","",INDEX('Detalle individual'!$F:$F,$H316))</f>
        <v/>
      </c>
      <c r="H316" t="str">
        <f>IFERROR(MATCH(SMALL(Cálculos!$AJ$5:$AJ$1000,312),Cálculos!$AJ$5:$AJ$1000,0)+4,"")</f>
        <v/>
      </c>
    </row>
    <row r="317">
      <c r="B317" s="5" t="str">
        <f>IF($H317="","",INDEX('Detalle individual'!$B:$B,$H317))</f>
        <v/>
      </c>
      <c r="C317" s="5" t="str">
        <f>IF($H317="","",INDEX('Detalle individual'!$A:$A,$H317))</f>
        <v/>
      </c>
      <c r="D317" s="5" t="str">
        <f>IF($H317="","",INDEX('Detalle individual'!$E:$E,$H317))</f>
        <v/>
      </c>
      <c r="E317" s="5" t="str">
        <f>IF($H317="","",INDEX('Detalle individual'!$C:$C,$H317))</f>
        <v/>
      </c>
      <c r="F317" s="5" t="str">
        <f>IF($H317="","",INDEX('Detalle individual'!$D:$D,$H317))</f>
        <v/>
      </c>
      <c r="G317" s="5" t="str">
        <f>IF($H317="","",INDEX('Detalle individual'!$F:$F,$H317))</f>
        <v/>
      </c>
      <c r="H317" t="str">
        <f>IFERROR(MATCH(SMALL(Cálculos!$AJ$5:$AJ$1000,313),Cálculos!$AJ$5:$AJ$1000,0)+4,"")</f>
        <v/>
      </c>
    </row>
    <row r="318">
      <c r="B318" s="5" t="str">
        <f>IF($H318="","",INDEX('Detalle individual'!$B:$B,$H318))</f>
        <v/>
      </c>
      <c r="C318" s="5" t="str">
        <f>IF($H318="","",INDEX('Detalle individual'!$A:$A,$H318))</f>
        <v/>
      </c>
      <c r="D318" s="5" t="str">
        <f>IF($H318="","",INDEX('Detalle individual'!$E:$E,$H318))</f>
        <v/>
      </c>
      <c r="E318" s="5" t="str">
        <f>IF($H318="","",INDEX('Detalle individual'!$C:$C,$H318))</f>
        <v/>
      </c>
      <c r="F318" s="5" t="str">
        <f>IF($H318="","",INDEX('Detalle individual'!$D:$D,$H318))</f>
        <v/>
      </c>
      <c r="G318" s="5" t="str">
        <f>IF($H318="","",INDEX('Detalle individual'!$F:$F,$H318))</f>
        <v/>
      </c>
      <c r="H318" t="str">
        <f>IFERROR(MATCH(SMALL(Cálculos!$AJ$5:$AJ$1000,314),Cálculos!$AJ$5:$AJ$1000,0)+4,"")</f>
        <v/>
      </c>
    </row>
    <row r="319">
      <c r="B319" s="5" t="str">
        <f>IF($H319="","",INDEX('Detalle individual'!$B:$B,$H319))</f>
        <v/>
      </c>
      <c r="C319" s="5" t="str">
        <f>IF($H319="","",INDEX('Detalle individual'!$A:$A,$H319))</f>
        <v/>
      </c>
      <c r="D319" s="5" t="str">
        <f>IF($H319="","",INDEX('Detalle individual'!$E:$E,$H319))</f>
        <v/>
      </c>
      <c r="E319" s="5" t="str">
        <f>IF($H319="","",INDEX('Detalle individual'!$C:$C,$H319))</f>
        <v/>
      </c>
      <c r="F319" s="5" t="str">
        <f>IF($H319="","",INDEX('Detalle individual'!$D:$D,$H319))</f>
        <v/>
      </c>
      <c r="G319" s="5" t="str">
        <f>IF($H319="","",INDEX('Detalle individual'!$F:$F,$H319))</f>
        <v/>
      </c>
      <c r="H319" t="str">
        <f>IFERROR(MATCH(SMALL(Cálculos!$AJ$5:$AJ$1000,315),Cálculos!$AJ$5:$AJ$1000,0)+4,"")</f>
        <v/>
      </c>
    </row>
    <row r="320">
      <c r="B320" s="5" t="str">
        <f>IF($H320="","",INDEX('Detalle individual'!$B:$B,$H320))</f>
        <v/>
      </c>
      <c r="C320" s="5" t="str">
        <f>IF($H320="","",INDEX('Detalle individual'!$A:$A,$H320))</f>
        <v/>
      </c>
      <c r="D320" s="5" t="str">
        <f>IF($H320="","",INDEX('Detalle individual'!$E:$E,$H320))</f>
        <v/>
      </c>
      <c r="E320" s="5" t="str">
        <f>IF($H320="","",INDEX('Detalle individual'!$C:$C,$H320))</f>
        <v/>
      </c>
      <c r="F320" s="5" t="str">
        <f>IF($H320="","",INDEX('Detalle individual'!$D:$D,$H320))</f>
        <v/>
      </c>
      <c r="G320" s="5" t="str">
        <f>IF($H320="","",INDEX('Detalle individual'!$F:$F,$H320))</f>
        <v/>
      </c>
      <c r="H320" t="str">
        <f>IFERROR(MATCH(SMALL(Cálculos!$AJ$5:$AJ$1000,316),Cálculos!$AJ$5:$AJ$1000,0)+4,"")</f>
        <v/>
      </c>
    </row>
    <row r="321">
      <c r="B321" s="5" t="str">
        <f>IF($H321="","",INDEX('Detalle individual'!$B:$B,$H321))</f>
        <v/>
      </c>
      <c r="C321" s="5" t="str">
        <f>IF($H321="","",INDEX('Detalle individual'!$A:$A,$H321))</f>
        <v/>
      </c>
      <c r="D321" s="5" t="str">
        <f>IF($H321="","",INDEX('Detalle individual'!$E:$E,$H321))</f>
        <v/>
      </c>
      <c r="E321" s="5" t="str">
        <f>IF($H321="","",INDEX('Detalle individual'!$C:$C,$H321))</f>
        <v/>
      </c>
      <c r="F321" s="5" t="str">
        <f>IF($H321="","",INDEX('Detalle individual'!$D:$D,$H321))</f>
        <v/>
      </c>
      <c r="G321" s="5" t="str">
        <f>IF($H321="","",INDEX('Detalle individual'!$F:$F,$H321))</f>
        <v/>
      </c>
      <c r="H321" t="str">
        <f>IFERROR(MATCH(SMALL(Cálculos!$AJ$5:$AJ$1000,317),Cálculos!$AJ$5:$AJ$1000,0)+4,"")</f>
        <v/>
      </c>
    </row>
    <row r="322">
      <c r="B322" s="5" t="str">
        <f>IF($H322="","",INDEX('Detalle individual'!$B:$B,$H322))</f>
        <v/>
      </c>
      <c r="C322" s="5" t="str">
        <f>IF($H322="","",INDEX('Detalle individual'!$A:$A,$H322))</f>
        <v/>
      </c>
      <c r="D322" s="5" t="str">
        <f>IF($H322="","",INDEX('Detalle individual'!$E:$E,$H322))</f>
        <v/>
      </c>
      <c r="E322" s="5" t="str">
        <f>IF($H322="","",INDEX('Detalle individual'!$C:$C,$H322))</f>
        <v/>
      </c>
      <c r="F322" s="5" t="str">
        <f>IF($H322="","",INDEX('Detalle individual'!$D:$D,$H322))</f>
        <v/>
      </c>
      <c r="G322" s="5" t="str">
        <f>IF($H322="","",INDEX('Detalle individual'!$F:$F,$H322))</f>
        <v/>
      </c>
      <c r="H322" t="str">
        <f>IFERROR(MATCH(SMALL(Cálculos!$AJ$5:$AJ$1000,318),Cálculos!$AJ$5:$AJ$1000,0)+4,"")</f>
        <v/>
      </c>
    </row>
    <row r="323">
      <c r="B323" s="5" t="str">
        <f>IF($H323="","",INDEX('Detalle individual'!$B:$B,$H323))</f>
        <v/>
      </c>
      <c r="C323" s="5" t="str">
        <f>IF($H323="","",INDEX('Detalle individual'!$A:$A,$H323))</f>
        <v/>
      </c>
      <c r="D323" s="5" t="str">
        <f>IF($H323="","",INDEX('Detalle individual'!$E:$E,$H323))</f>
        <v/>
      </c>
      <c r="E323" s="5" t="str">
        <f>IF($H323="","",INDEX('Detalle individual'!$C:$C,$H323))</f>
        <v/>
      </c>
      <c r="F323" s="5" t="str">
        <f>IF($H323="","",INDEX('Detalle individual'!$D:$D,$H323))</f>
        <v/>
      </c>
      <c r="G323" s="5" t="str">
        <f>IF($H323="","",INDEX('Detalle individual'!$F:$F,$H323))</f>
        <v/>
      </c>
      <c r="H323" t="str">
        <f>IFERROR(MATCH(SMALL(Cálculos!$AJ$5:$AJ$1000,319),Cálculos!$AJ$5:$AJ$1000,0)+4,"")</f>
        <v/>
      </c>
    </row>
    <row r="324">
      <c r="B324" s="5" t="str">
        <f>IF($H324="","",INDEX('Detalle individual'!$B:$B,$H324))</f>
        <v/>
      </c>
      <c r="C324" s="5" t="str">
        <f>IF($H324="","",INDEX('Detalle individual'!$A:$A,$H324))</f>
        <v/>
      </c>
      <c r="D324" s="5" t="str">
        <f>IF($H324="","",INDEX('Detalle individual'!$E:$E,$H324))</f>
        <v/>
      </c>
      <c r="E324" s="5" t="str">
        <f>IF($H324="","",INDEX('Detalle individual'!$C:$C,$H324))</f>
        <v/>
      </c>
      <c r="F324" s="5" t="str">
        <f>IF($H324="","",INDEX('Detalle individual'!$D:$D,$H324))</f>
        <v/>
      </c>
      <c r="G324" s="5" t="str">
        <f>IF($H324="","",INDEX('Detalle individual'!$F:$F,$H324))</f>
        <v/>
      </c>
      <c r="H324" t="str">
        <f>IFERROR(MATCH(SMALL(Cálculos!$AJ$5:$AJ$1000,320),Cálculos!$AJ$5:$AJ$1000,0)+4,"")</f>
        <v/>
      </c>
    </row>
    <row r="325">
      <c r="B325" s="5" t="str">
        <f>IF($H325="","",INDEX('Detalle individual'!$B:$B,$H325))</f>
        <v/>
      </c>
      <c r="C325" s="5" t="str">
        <f>IF($H325="","",INDEX('Detalle individual'!$A:$A,$H325))</f>
        <v/>
      </c>
      <c r="D325" s="5" t="str">
        <f>IF($H325="","",INDEX('Detalle individual'!$E:$E,$H325))</f>
        <v/>
      </c>
      <c r="E325" s="5" t="str">
        <f>IF($H325="","",INDEX('Detalle individual'!$C:$C,$H325))</f>
        <v/>
      </c>
      <c r="F325" s="5" t="str">
        <f>IF($H325="","",INDEX('Detalle individual'!$D:$D,$H325))</f>
        <v/>
      </c>
      <c r="G325" s="5" t="str">
        <f>IF($H325="","",INDEX('Detalle individual'!$F:$F,$H325))</f>
        <v/>
      </c>
      <c r="H325" t="str">
        <f>IFERROR(MATCH(SMALL(Cálculos!$AJ$5:$AJ$1000,321),Cálculos!$AJ$5:$AJ$1000,0)+4,"")</f>
        <v/>
      </c>
    </row>
    <row r="326">
      <c r="B326" s="5" t="str">
        <f>IF($H326="","",INDEX('Detalle individual'!$B:$B,$H326))</f>
        <v/>
      </c>
      <c r="C326" s="5" t="str">
        <f>IF($H326="","",INDEX('Detalle individual'!$A:$A,$H326))</f>
        <v/>
      </c>
      <c r="D326" s="5" t="str">
        <f>IF($H326="","",INDEX('Detalle individual'!$E:$E,$H326))</f>
        <v/>
      </c>
      <c r="E326" s="5" t="str">
        <f>IF($H326="","",INDEX('Detalle individual'!$C:$C,$H326))</f>
        <v/>
      </c>
      <c r="F326" s="5" t="str">
        <f>IF($H326="","",INDEX('Detalle individual'!$D:$D,$H326))</f>
        <v/>
      </c>
      <c r="G326" s="5" t="str">
        <f>IF($H326="","",INDEX('Detalle individual'!$F:$F,$H326))</f>
        <v/>
      </c>
      <c r="H326" t="str">
        <f>IFERROR(MATCH(SMALL(Cálculos!$AJ$5:$AJ$1000,322),Cálculos!$AJ$5:$AJ$1000,0)+4,"")</f>
        <v/>
      </c>
    </row>
    <row r="327">
      <c r="B327" s="5" t="str">
        <f>IF($H327="","",INDEX('Detalle individual'!$B:$B,$H327))</f>
        <v/>
      </c>
      <c r="C327" s="5" t="str">
        <f>IF($H327="","",INDEX('Detalle individual'!$A:$A,$H327))</f>
        <v/>
      </c>
      <c r="D327" s="5" t="str">
        <f>IF($H327="","",INDEX('Detalle individual'!$E:$E,$H327))</f>
        <v/>
      </c>
      <c r="E327" s="5" t="str">
        <f>IF($H327="","",INDEX('Detalle individual'!$C:$C,$H327))</f>
        <v/>
      </c>
      <c r="F327" s="5" t="str">
        <f>IF($H327="","",INDEX('Detalle individual'!$D:$D,$H327))</f>
        <v/>
      </c>
      <c r="G327" s="5" t="str">
        <f>IF($H327="","",INDEX('Detalle individual'!$F:$F,$H327))</f>
        <v/>
      </c>
      <c r="H327" t="str">
        <f>IFERROR(MATCH(SMALL(Cálculos!$AJ$5:$AJ$1000,323),Cálculos!$AJ$5:$AJ$1000,0)+4,"")</f>
        <v/>
      </c>
    </row>
    <row r="328">
      <c r="B328" s="5" t="str">
        <f>IF($H328="","",INDEX('Detalle individual'!$B:$B,$H328))</f>
        <v/>
      </c>
      <c r="C328" s="5" t="str">
        <f>IF($H328="","",INDEX('Detalle individual'!$A:$A,$H328))</f>
        <v/>
      </c>
      <c r="D328" s="5" t="str">
        <f>IF($H328="","",INDEX('Detalle individual'!$E:$E,$H328))</f>
        <v/>
      </c>
      <c r="E328" s="5" t="str">
        <f>IF($H328="","",INDEX('Detalle individual'!$C:$C,$H328))</f>
        <v/>
      </c>
      <c r="F328" s="5" t="str">
        <f>IF($H328="","",INDEX('Detalle individual'!$D:$D,$H328))</f>
        <v/>
      </c>
      <c r="G328" s="5" t="str">
        <f>IF($H328="","",INDEX('Detalle individual'!$F:$F,$H328))</f>
        <v/>
      </c>
      <c r="H328" t="str">
        <f>IFERROR(MATCH(SMALL(Cálculos!$AJ$5:$AJ$1000,324),Cálculos!$AJ$5:$AJ$1000,0)+4,"")</f>
        <v/>
      </c>
    </row>
    <row r="329">
      <c r="B329" s="5" t="str">
        <f>IF($H329="","",INDEX('Detalle individual'!$B:$B,$H329))</f>
        <v/>
      </c>
      <c r="C329" s="5" t="str">
        <f>IF($H329="","",INDEX('Detalle individual'!$A:$A,$H329))</f>
        <v/>
      </c>
      <c r="D329" s="5" t="str">
        <f>IF($H329="","",INDEX('Detalle individual'!$E:$E,$H329))</f>
        <v/>
      </c>
      <c r="E329" s="5" t="str">
        <f>IF($H329="","",INDEX('Detalle individual'!$C:$C,$H329))</f>
        <v/>
      </c>
      <c r="F329" s="5" t="str">
        <f>IF($H329="","",INDEX('Detalle individual'!$D:$D,$H329))</f>
        <v/>
      </c>
      <c r="G329" s="5" t="str">
        <f>IF($H329="","",INDEX('Detalle individual'!$F:$F,$H329))</f>
        <v/>
      </c>
      <c r="H329" t="str">
        <f>IFERROR(MATCH(SMALL(Cálculos!$AJ$5:$AJ$1000,325),Cálculos!$AJ$5:$AJ$1000,0)+4,"")</f>
        <v/>
      </c>
    </row>
    <row r="330">
      <c r="B330" s="5" t="str">
        <f>IF($H330="","",INDEX('Detalle individual'!$B:$B,$H330))</f>
        <v/>
      </c>
      <c r="C330" s="5" t="str">
        <f>IF($H330="","",INDEX('Detalle individual'!$A:$A,$H330))</f>
        <v/>
      </c>
      <c r="D330" s="5" t="str">
        <f>IF($H330="","",INDEX('Detalle individual'!$E:$E,$H330))</f>
        <v/>
      </c>
      <c r="E330" s="5" t="str">
        <f>IF($H330="","",INDEX('Detalle individual'!$C:$C,$H330))</f>
        <v/>
      </c>
      <c r="F330" s="5" t="str">
        <f>IF($H330="","",INDEX('Detalle individual'!$D:$D,$H330))</f>
        <v/>
      </c>
      <c r="G330" s="5" t="str">
        <f>IF($H330="","",INDEX('Detalle individual'!$F:$F,$H330))</f>
        <v/>
      </c>
      <c r="H330" t="str">
        <f>IFERROR(MATCH(SMALL(Cálculos!$AJ$5:$AJ$1000,326),Cálculos!$AJ$5:$AJ$1000,0)+4,"")</f>
        <v/>
      </c>
    </row>
    <row r="331">
      <c r="B331" s="5" t="str">
        <f>IF($H331="","",INDEX('Detalle individual'!$B:$B,$H331))</f>
        <v/>
      </c>
      <c r="C331" s="5" t="str">
        <f>IF($H331="","",INDEX('Detalle individual'!$A:$A,$H331))</f>
        <v/>
      </c>
      <c r="D331" s="5" t="str">
        <f>IF($H331="","",INDEX('Detalle individual'!$E:$E,$H331))</f>
        <v/>
      </c>
      <c r="E331" s="5" t="str">
        <f>IF($H331="","",INDEX('Detalle individual'!$C:$C,$H331))</f>
        <v/>
      </c>
      <c r="F331" s="5" t="str">
        <f>IF($H331="","",INDEX('Detalle individual'!$D:$D,$H331))</f>
        <v/>
      </c>
      <c r="G331" s="5" t="str">
        <f>IF($H331="","",INDEX('Detalle individual'!$F:$F,$H331))</f>
        <v/>
      </c>
      <c r="H331" t="str">
        <f>IFERROR(MATCH(SMALL(Cálculos!$AJ$5:$AJ$1000,327),Cálculos!$AJ$5:$AJ$1000,0)+4,"")</f>
        <v/>
      </c>
    </row>
    <row r="332">
      <c r="B332" s="5" t="str">
        <f>IF($H332="","",INDEX('Detalle individual'!$B:$B,$H332))</f>
        <v/>
      </c>
      <c r="C332" s="5" t="str">
        <f>IF($H332="","",INDEX('Detalle individual'!$A:$A,$H332))</f>
        <v/>
      </c>
      <c r="D332" s="5" t="str">
        <f>IF($H332="","",INDEX('Detalle individual'!$E:$E,$H332))</f>
        <v/>
      </c>
      <c r="E332" s="5" t="str">
        <f>IF($H332="","",INDEX('Detalle individual'!$C:$C,$H332))</f>
        <v/>
      </c>
      <c r="F332" s="5" t="str">
        <f>IF($H332="","",INDEX('Detalle individual'!$D:$D,$H332))</f>
        <v/>
      </c>
      <c r="G332" s="5" t="str">
        <f>IF($H332="","",INDEX('Detalle individual'!$F:$F,$H332))</f>
        <v/>
      </c>
      <c r="H332" t="str">
        <f>IFERROR(MATCH(SMALL(Cálculos!$AJ$5:$AJ$1000,328),Cálculos!$AJ$5:$AJ$1000,0)+4,"")</f>
        <v/>
      </c>
    </row>
    <row r="333">
      <c r="B333" s="5" t="str">
        <f>IF($H333="","",INDEX('Detalle individual'!$B:$B,$H333))</f>
        <v/>
      </c>
      <c r="C333" s="5" t="str">
        <f>IF($H333="","",INDEX('Detalle individual'!$A:$A,$H333))</f>
        <v/>
      </c>
      <c r="D333" s="5" t="str">
        <f>IF($H333="","",INDEX('Detalle individual'!$E:$E,$H333))</f>
        <v/>
      </c>
      <c r="E333" s="5" t="str">
        <f>IF($H333="","",INDEX('Detalle individual'!$C:$C,$H333))</f>
        <v/>
      </c>
      <c r="F333" s="5" t="str">
        <f>IF($H333="","",INDEX('Detalle individual'!$D:$D,$H333))</f>
        <v/>
      </c>
      <c r="G333" s="5" t="str">
        <f>IF($H333="","",INDEX('Detalle individual'!$F:$F,$H333))</f>
        <v/>
      </c>
      <c r="H333" t="str">
        <f>IFERROR(MATCH(SMALL(Cálculos!$AJ$5:$AJ$1000,329),Cálculos!$AJ$5:$AJ$1000,0)+4,"")</f>
        <v/>
      </c>
    </row>
    <row r="334">
      <c r="B334" s="5" t="str">
        <f>IF($H334="","",INDEX('Detalle individual'!$B:$B,$H334))</f>
        <v/>
      </c>
      <c r="C334" s="5" t="str">
        <f>IF($H334="","",INDEX('Detalle individual'!$A:$A,$H334))</f>
        <v/>
      </c>
      <c r="D334" s="5" t="str">
        <f>IF($H334="","",INDEX('Detalle individual'!$E:$E,$H334))</f>
        <v/>
      </c>
      <c r="E334" s="5" t="str">
        <f>IF($H334="","",INDEX('Detalle individual'!$C:$C,$H334))</f>
        <v/>
      </c>
      <c r="F334" s="5" t="str">
        <f>IF($H334="","",INDEX('Detalle individual'!$D:$D,$H334))</f>
        <v/>
      </c>
      <c r="G334" s="5" t="str">
        <f>IF($H334="","",INDEX('Detalle individual'!$F:$F,$H334))</f>
        <v/>
      </c>
      <c r="H334" t="str">
        <f>IFERROR(MATCH(SMALL(Cálculos!$AJ$5:$AJ$1000,330),Cálculos!$AJ$5:$AJ$1000,0)+4,"")</f>
        <v/>
      </c>
    </row>
    <row r="335">
      <c r="B335" s="5" t="str">
        <f>IF($H335="","",INDEX('Detalle individual'!$B:$B,$H335))</f>
        <v/>
      </c>
      <c r="C335" s="5" t="str">
        <f>IF($H335="","",INDEX('Detalle individual'!$A:$A,$H335))</f>
        <v/>
      </c>
      <c r="D335" s="5" t="str">
        <f>IF($H335="","",INDEX('Detalle individual'!$E:$E,$H335))</f>
        <v/>
      </c>
      <c r="E335" s="5" t="str">
        <f>IF($H335="","",INDEX('Detalle individual'!$C:$C,$H335))</f>
        <v/>
      </c>
      <c r="F335" s="5" t="str">
        <f>IF($H335="","",INDEX('Detalle individual'!$D:$D,$H335))</f>
        <v/>
      </c>
      <c r="G335" s="5" t="str">
        <f>IF($H335="","",INDEX('Detalle individual'!$F:$F,$H335))</f>
        <v/>
      </c>
      <c r="H335" t="str">
        <f>IFERROR(MATCH(SMALL(Cálculos!$AJ$5:$AJ$1000,331),Cálculos!$AJ$5:$AJ$1000,0)+4,"")</f>
        <v/>
      </c>
    </row>
    <row r="336">
      <c r="B336" s="5" t="str">
        <f>IF($H336="","",INDEX('Detalle individual'!$B:$B,$H336))</f>
        <v/>
      </c>
      <c r="C336" s="5" t="str">
        <f>IF($H336="","",INDEX('Detalle individual'!$A:$A,$H336))</f>
        <v/>
      </c>
      <c r="D336" s="5" t="str">
        <f>IF($H336="","",INDEX('Detalle individual'!$E:$E,$H336))</f>
        <v/>
      </c>
      <c r="E336" s="5" t="str">
        <f>IF($H336="","",INDEX('Detalle individual'!$C:$C,$H336))</f>
        <v/>
      </c>
      <c r="F336" s="5" t="str">
        <f>IF($H336="","",INDEX('Detalle individual'!$D:$D,$H336))</f>
        <v/>
      </c>
      <c r="G336" s="5" t="str">
        <f>IF($H336="","",INDEX('Detalle individual'!$F:$F,$H336))</f>
        <v/>
      </c>
      <c r="H336" t="str">
        <f>IFERROR(MATCH(SMALL(Cálculos!$AJ$5:$AJ$1000,332),Cálculos!$AJ$5:$AJ$1000,0)+4,"")</f>
        <v/>
      </c>
    </row>
    <row r="337">
      <c r="B337" s="5" t="str">
        <f>IF($H337="","",INDEX('Detalle individual'!$B:$B,$H337))</f>
        <v/>
      </c>
      <c r="C337" s="5" t="str">
        <f>IF($H337="","",INDEX('Detalle individual'!$A:$A,$H337))</f>
        <v/>
      </c>
      <c r="D337" s="5" t="str">
        <f>IF($H337="","",INDEX('Detalle individual'!$E:$E,$H337))</f>
        <v/>
      </c>
      <c r="E337" s="5" t="str">
        <f>IF($H337="","",INDEX('Detalle individual'!$C:$C,$H337))</f>
        <v/>
      </c>
      <c r="F337" s="5" t="str">
        <f>IF($H337="","",INDEX('Detalle individual'!$D:$D,$H337))</f>
        <v/>
      </c>
      <c r="G337" s="5" t="str">
        <f>IF($H337="","",INDEX('Detalle individual'!$F:$F,$H337))</f>
        <v/>
      </c>
      <c r="H337" t="str">
        <f>IFERROR(MATCH(SMALL(Cálculos!$AJ$5:$AJ$1000,333),Cálculos!$AJ$5:$AJ$1000,0)+4,"")</f>
        <v/>
      </c>
    </row>
    <row r="338">
      <c r="B338" s="5" t="str">
        <f>IF($H338="","",INDEX('Detalle individual'!$B:$B,$H338))</f>
        <v/>
      </c>
      <c r="C338" s="5" t="str">
        <f>IF($H338="","",INDEX('Detalle individual'!$A:$A,$H338))</f>
        <v/>
      </c>
      <c r="D338" s="5" t="str">
        <f>IF($H338="","",INDEX('Detalle individual'!$E:$E,$H338))</f>
        <v/>
      </c>
      <c r="E338" s="5" t="str">
        <f>IF($H338="","",INDEX('Detalle individual'!$C:$C,$H338))</f>
        <v/>
      </c>
      <c r="F338" s="5" t="str">
        <f>IF($H338="","",INDEX('Detalle individual'!$D:$D,$H338))</f>
        <v/>
      </c>
      <c r="G338" s="5" t="str">
        <f>IF($H338="","",INDEX('Detalle individual'!$F:$F,$H338))</f>
        <v/>
      </c>
      <c r="H338" t="str">
        <f>IFERROR(MATCH(SMALL(Cálculos!$AJ$5:$AJ$1000,334),Cálculos!$AJ$5:$AJ$1000,0)+4,"")</f>
        <v/>
      </c>
    </row>
    <row r="339">
      <c r="B339" s="5" t="str">
        <f>IF($H339="","",INDEX('Detalle individual'!$B:$B,$H339))</f>
        <v/>
      </c>
      <c r="C339" s="5" t="str">
        <f>IF($H339="","",INDEX('Detalle individual'!$A:$A,$H339))</f>
        <v/>
      </c>
      <c r="D339" s="5" t="str">
        <f>IF($H339="","",INDEX('Detalle individual'!$E:$E,$H339))</f>
        <v/>
      </c>
      <c r="E339" s="5" t="str">
        <f>IF($H339="","",INDEX('Detalle individual'!$C:$C,$H339))</f>
        <v/>
      </c>
      <c r="F339" s="5" t="str">
        <f>IF($H339="","",INDEX('Detalle individual'!$D:$D,$H339))</f>
        <v/>
      </c>
      <c r="G339" s="5" t="str">
        <f>IF($H339="","",INDEX('Detalle individual'!$F:$F,$H339))</f>
        <v/>
      </c>
      <c r="H339" t="str">
        <f>IFERROR(MATCH(SMALL(Cálculos!$AJ$5:$AJ$1000,335),Cálculos!$AJ$5:$AJ$1000,0)+4,"")</f>
        <v/>
      </c>
    </row>
    <row r="340">
      <c r="B340" s="5" t="str">
        <f>IF($H340="","",INDEX('Detalle individual'!$B:$B,$H340))</f>
        <v/>
      </c>
      <c r="C340" s="5" t="str">
        <f>IF($H340="","",INDEX('Detalle individual'!$A:$A,$H340))</f>
        <v/>
      </c>
      <c r="D340" s="5" t="str">
        <f>IF($H340="","",INDEX('Detalle individual'!$E:$E,$H340))</f>
        <v/>
      </c>
      <c r="E340" s="5" t="str">
        <f>IF($H340="","",INDEX('Detalle individual'!$C:$C,$H340))</f>
        <v/>
      </c>
      <c r="F340" s="5" t="str">
        <f>IF($H340="","",INDEX('Detalle individual'!$D:$D,$H340))</f>
        <v/>
      </c>
      <c r="G340" s="5" t="str">
        <f>IF($H340="","",INDEX('Detalle individual'!$F:$F,$H340))</f>
        <v/>
      </c>
      <c r="H340" t="str">
        <f>IFERROR(MATCH(SMALL(Cálculos!$AJ$5:$AJ$1000,336),Cálculos!$AJ$5:$AJ$1000,0)+4,"")</f>
        <v/>
      </c>
    </row>
    <row r="341">
      <c r="B341" s="5" t="str">
        <f>IF($H341="","",INDEX('Detalle individual'!$B:$B,$H341))</f>
        <v/>
      </c>
      <c r="C341" s="5" t="str">
        <f>IF($H341="","",INDEX('Detalle individual'!$A:$A,$H341))</f>
        <v/>
      </c>
      <c r="D341" s="5" t="str">
        <f>IF($H341="","",INDEX('Detalle individual'!$E:$E,$H341))</f>
        <v/>
      </c>
      <c r="E341" s="5" t="str">
        <f>IF($H341="","",INDEX('Detalle individual'!$C:$C,$H341))</f>
        <v/>
      </c>
      <c r="F341" s="5" t="str">
        <f>IF($H341="","",INDEX('Detalle individual'!$D:$D,$H341))</f>
        <v/>
      </c>
      <c r="G341" s="5" t="str">
        <f>IF($H341="","",INDEX('Detalle individual'!$F:$F,$H341))</f>
        <v/>
      </c>
      <c r="H341" t="str">
        <f>IFERROR(MATCH(SMALL(Cálculos!$AJ$5:$AJ$1000,337),Cálculos!$AJ$5:$AJ$1000,0)+4,"")</f>
        <v/>
      </c>
    </row>
    <row r="342">
      <c r="B342" s="5" t="str">
        <f>IF($H342="","",INDEX('Detalle individual'!$B:$B,$H342))</f>
        <v/>
      </c>
      <c r="C342" s="5" t="str">
        <f>IF($H342="","",INDEX('Detalle individual'!$A:$A,$H342))</f>
        <v/>
      </c>
      <c r="D342" s="5" t="str">
        <f>IF($H342="","",INDEX('Detalle individual'!$E:$E,$H342))</f>
        <v/>
      </c>
      <c r="E342" s="5" t="str">
        <f>IF($H342="","",INDEX('Detalle individual'!$C:$C,$H342))</f>
        <v/>
      </c>
      <c r="F342" s="5" t="str">
        <f>IF($H342="","",INDEX('Detalle individual'!$D:$D,$H342))</f>
        <v/>
      </c>
      <c r="G342" s="5" t="str">
        <f>IF($H342="","",INDEX('Detalle individual'!$F:$F,$H342))</f>
        <v/>
      </c>
      <c r="H342" t="str">
        <f>IFERROR(MATCH(SMALL(Cálculos!$AJ$5:$AJ$1000,338),Cálculos!$AJ$5:$AJ$1000,0)+4,"")</f>
        <v/>
      </c>
    </row>
    <row r="343">
      <c r="B343" s="5" t="str">
        <f>IF($H343="","",INDEX('Detalle individual'!$B:$B,$H343))</f>
        <v/>
      </c>
      <c r="C343" s="5" t="str">
        <f>IF($H343="","",INDEX('Detalle individual'!$A:$A,$H343))</f>
        <v/>
      </c>
      <c r="D343" s="5" t="str">
        <f>IF($H343="","",INDEX('Detalle individual'!$E:$E,$H343))</f>
        <v/>
      </c>
      <c r="E343" s="5" t="str">
        <f>IF($H343="","",INDEX('Detalle individual'!$C:$C,$H343))</f>
        <v/>
      </c>
      <c r="F343" s="5" t="str">
        <f>IF($H343="","",INDEX('Detalle individual'!$D:$D,$H343))</f>
        <v/>
      </c>
      <c r="G343" s="5" t="str">
        <f>IF($H343="","",INDEX('Detalle individual'!$F:$F,$H343))</f>
        <v/>
      </c>
      <c r="H343" t="str">
        <f>IFERROR(MATCH(SMALL(Cálculos!$AJ$5:$AJ$1000,339),Cálculos!$AJ$5:$AJ$1000,0)+4,"")</f>
        <v/>
      </c>
    </row>
    <row r="344">
      <c r="B344" s="5" t="str">
        <f>IF($H344="","",INDEX('Detalle individual'!$B:$B,$H344))</f>
        <v/>
      </c>
      <c r="C344" s="5" t="str">
        <f>IF($H344="","",INDEX('Detalle individual'!$A:$A,$H344))</f>
        <v/>
      </c>
      <c r="D344" s="5" t="str">
        <f>IF($H344="","",INDEX('Detalle individual'!$E:$E,$H344))</f>
        <v/>
      </c>
      <c r="E344" s="5" t="str">
        <f>IF($H344="","",INDEX('Detalle individual'!$C:$C,$H344))</f>
        <v/>
      </c>
      <c r="F344" s="5" t="str">
        <f>IF($H344="","",INDEX('Detalle individual'!$D:$D,$H344))</f>
        <v/>
      </c>
      <c r="G344" s="5" t="str">
        <f>IF($H344="","",INDEX('Detalle individual'!$F:$F,$H344))</f>
        <v/>
      </c>
      <c r="H344" t="str">
        <f>IFERROR(MATCH(SMALL(Cálculos!$AJ$5:$AJ$1000,340),Cálculos!$AJ$5:$AJ$1000,0)+4,"")</f>
        <v/>
      </c>
    </row>
    <row r="345">
      <c r="B345" s="5" t="str">
        <f>IF($H345="","",INDEX('Detalle individual'!$B:$B,$H345))</f>
        <v/>
      </c>
      <c r="C345" s="5" t="str">
        <f>IF($H345="","",INDEX('Detalle individual'!$A:$A,$H345))</f>
        <v/>
      </c>
      <c r="D345" s="5" t="str">
        <f>IF($H345="","",INDEX('Detalle individual'!$E:$E,$H345))</f>
        <v/>
      </c>
      <c r="E345" s="5" t="str">
        <f>IF($H345="","",INDEX('Detalle individual'!$C:$C,$H345))</f>
        <v/>
      </c>
      <c r="F345" s="5" t="str">
        <f>IF($H345="","",INDEX('Detalle individual'!$D:$D,$H345))</f>
        <v/>
      </c>
      <c r="G345" s="5" t="str">
        <f>IF($H345="","",INDEX('Detalle individual'!$F:$F,$H345))</f>
        <v/>
      </c>
      <c r="H345" t="str">
        <f>IFERROR(MATCH(SMALL(Cálculos!$AJ$5:$AJ$1000,341),Cálculos!$AJ$5:$AJ$1000,0)+4,"")</f>
        <v/>
      </c>
    </row>
    <row r="346">
      <c r="B346" s="5" t="str">
        <f>IF($H346="","",INDEX('Detalle individual'!$B:$B,$H346))</f>
        <v/>
      </c>
      <c r="C346" s="5" t="str">
        <f>IF($H346="","",INDEX('Detalle individual'!$A:$A,$H346))</f>
        <v/>
      </c>
      <c r="D346" s="5" t="str">
        <f>IF($H346="","",INDEX('Detalle individual'!$E:$E,$H346))</f>
        <v/>
      </c>
      <c r="E346" s="5" t="str">
        <f>IF($H346="","",INDEX('Detalle individual'!$C:$C,$H346))</f>
        <v/>
      </c>
      <c r="F346" s="5" t="str">
        <f>IF($H346="","",INDEX('Detalle individual'!$D:$D,$H346))</f>
        <v/>
      </c>
      <c r="G346" s="5" t="str">
        <f>IF($H346="","",INDEX('Detalle individual'!$F:$F,$H346))</f>
        <v/>
      </c>
      <c r="H346" t="str">
        <f>IFERROR(MATCH(SMALL(Cálculos!$AJ$5:$AJ$1000,342),Cálculos!$AJ$5:$AJ$1000,0)+4,"")</f>
        <v/>
      </c>
    </row>
    <row r="347">
      <c r="B347" s="5" t="str">
        <f>IF($H347="","",INDEX('Detalle individual'!$B:$B,$H347))</f>
        <v/>
      </c>
      <c r="C347" s="5" t="str">
        <f>IF($H347="","",INDEX('Detalle individual'!$A:$A,$H347))</f>
        <v/>
      </c>
      <c r="D347" s="5" t="str">
        <f>IF($H347="","",INDEX('Detalle individual'!$E:$E,$H347))</f>
        <v/>
      </c>
      <c r="E347" s="5" t="str">
        <f>IF($H347="","",INDEX('Detalle individual'!$C:$C,$H347))</f>
        <v/>
      </c>
      <c r="F347" s="5" t="str">
        <f>IF($H347="","",INDEX('Detalle individual'!$D:$D,$H347))</f>
        <v/>
      </c>
      <c r="G347" s="5" t="str">
        <f>IF($H347="","",INDEX('Detalle individual'!$F:$F,$H347))</f>
        <v/>
      </c>
      <c r="H347" t="str">
        <f>IFERROR(MATCH(SMALL(Cálculos!$AJ$5:$AJ$1000,343),Cálculos!$AJ$5:$AJ$1000,0)+4,"")</f>
        <v/>
      </c>
    </row>
    <row r="348">
      <c r="B348" s="5" t="str">
        <f>IF($H348="","",INDEX('Detalle individual'!$B:$B,$H348))</f>
        <v/>
      </c>
      <c r="C348" s="5" t="str">
        <f>IF($H348="","",INDEX('Detalle individual'!$A:$A,$H348))</f>
        <v/>
      </c>
      <c r="D348" s="5" t="str">
        <f>IF($H348="","",INDEX('Detalle individual'!$E:$E,$H348))</f>
        <v/>
      </c>
      <c r="E348" s="5" t="str">
        <f>IF($H348="","",INDEX('Detalle individual'!$C:$C,$H348))</f>
        <v/>
      </c>
      <c r="F348" s="5" t="str">
        <f>IF($H348="","",INDEX('Detalle individual'!$D:$D,$H348))</f>
        <v/>
      </c>
      <c r="G348" s="5" t="str">
        <f>IF($H348="","",INDEX('Detalle individual'!$F:$F,$H348))</f>
        <v/>
      </c>
      <c r="H348" t="str">
        <f>IFERROR(MATCH(SMALL(Cálculos!$AJ$5:$AJ$1000,344),Cálculos!$AJ$5:$AJ$1000,0)+4,"")</f>
        <v/>
      </c>
    </row>
    <row r="349">
      <c r="B349" s="5" t="str">
        <f>IF($H349="","",INDEX('Detalle individual'!$B:$B,$H349))</f>
        <v/>
      </c>
      <c r="C349" s="5" t="str">
        <f>IF($H349="","",INDEX('Detalle individual'!$A:$A,$H349))</f>
        <v/>
      </c>
      <c r="D349" s="5" t="str">
        <f>IF($H349="","",INDEX('Detalle individual'!$E:$E,$H349))</f>
        <v/>
      </c>
      <c r="E349" s="5" t="str">
        <f>IF($H349="","",INDEX('Detalle individual'!$C:$C,$H349))</f>
        <v/>
      </c>
      <c r="F349" s="5" t="str">
        <f>IF($H349="","",INDEX('Detalle individual'!$D:$D,$H349))</f>
        <v/>
      </c>
      <c r="G349" s="5" t="str">
        <f>IF($H349="","",INDEX('Detalle individual'!$F:$F,$H349))</f>
        <v/>
      </c>
      <c r="H349" t="str">
        <f>IFERROR(MATCH(SMALL(Cálculos!$AJ$5:$AJ$1000,345),Cálculos!$AJ$5:$AJ$1000,0)+4,"")</f>
        <v/>
      </c>
    </row>
    <row r="350">
      <c r="B350" s="5" t="str">
        <f>IF($H350="","",INDEX('Detalle individual'!$B:$B,$H350))</f>
        <v/>
      </c>
      <c r="C350" s="5" t="str">
        <f>IF($H350="","",INDEX('Detalle individual'!$A:$A,$H350))</f>
        <v/>
      </c>
      <c r="D350" s="5" t="str">
        <f>IF($H350="","",INDEX('Detalle individual'!$E:$E,$H350))</f>
        <v/>
      </c>
      <c r="E350" s="5" t="str">
        <f>IF($H350="","",INDEX('Detalle individual'!$C:$C,$H350))</f>
        <v/>
      </c>
      <c r="F350" s="5" t="str">
        <f>IF($H350="","",INDEX('Detalle individual'!$D:$D,$H350))</f>
        <v/>
      </c>
      <c r="G350" s="5" t="str">
        <f>IF($H350="","",INDEX('Detalle individual'!$F:$F,$H350))</f>
        <v/>
      </c>
      <c r="H350" t="str">
        <f>IFERROR(MATCH(SMALL(Cálculos!$AJ$5:$AJ$1000,346),Cálculos!$AJ$5:$AJ$1000,0)+4,"")</f>
        <v/>
      </c>
    </row>
    <row r="351">
      <c r="B351" s="5" t="str">
        <f>IF($H351="","",INDEX('Detalle individual'!$B:$B,$H351))</f>
        <v/>
      </c>
      <c r="C351" s="5" t="str">
        <f>IF($H351="","",INDEX('Detalle individual'!$A:$A,$H351))</f>
        <v/>
      </c>
      <c r="D351" s="5" t="str">
        <f>IF($H351="","",INDEX('Detalle individual'!$E:$E,$H351))</f>
        <v/>
      </c>
      <c r="E351" s="5" t="str">
        <f>IF($H351="","",INDEX('Detalle individual'!$C:$C,$H351))</f>
        <v/>
      </c>
      <c r="F351" s="5" t="str">
        <f>IF($H351="","",INDEX('Detalle individual'!$D:$D,$H351))</f>
        <v/>
      </c>
      <c r="G351" s="5" t="str">
        <f>IF($H351="","",INDEX('Detalle individual'!$F:$F,$H351))</f>
        <v/>
      </c>
      <c r="H351" t="str">
        <f>IFERROR(MATCH(SMALL(Cálculos!$AJ$5:$AJ$1000,347),Cálculos!$AJ$5:$AJ$1000,0)+4,"")</f>
        <v/>
      </c>
    </row>
    <row r="352">
      <c r="B352" s="5" t="str">
        <f>IF($H352="","",INDEX('Detalle individual'!$B:$B,$H352))</f>
        <v/>
      </c>
      <c r="C352" s="5" t="str">
        <f>IF($H352="","",INDEX('Detalle individual'!$A:$A,$H352))</f>
        <v/>
      </c>
      <c r="D352" s="5" t="str">
        <f>IF($H352="","",INDEX('Detalle individual'!$E:$E,$H352))</f>
        <v/>
      </c>
      <c r="E352" s="5" t="str">
        <f>IF($H352="","",INDEX('Detalle individual'!$C:$C,$H352))</f>
        <v/>
      </c>
      <c r="F352" s="5" t="str">
        <f>IF($H352="","",INDEX('Detalle individual'!$D:$D,$H352))</f>
        <v/>
      </c>
      <c r="G352" s="5" t="str">
        <f>IF($H352="","",INDEX('Detalle individual'!$F:$F,$H352))</f>
        <v/>
      </c>
      <c r="H352" t="str">
        <f>IFERROR(MATCH(SMALL(Cálculos!$AJ$5:$AJ$1000,348),Cálculos!$AJ$5:$AJ$1000,0)+4,"")</f>
        <v/>
      </c>
    </row>
    <row r="353">
      <c r="B353" s="5" t="str">
        <f>IF($H353="","",INDEX('Detalle individual'!$B:$B,$H353))</f>
        <v/>
      </c>
      <c r="C353" s="5" t="str">
        <f>IF($H353="","",INDEX('Detalle individual'!$A:$A,$H353))</f>
        <v/>
      </c>
      <c r="D353" s="5" t="str">
        <f>IF($H353="","",INDEX('Detalle individual'!$E:$E,$H353))</f>
        <v/>
      </c>
      <c r="E353" s="5" t="str">
        <f>IF($H353="","",INDEX('Detalle individual'!$C:$C,$H353))</f>
        <v/>
      </c>
      <c r="F353" s="5" t="str">
        <f>IF($H353="","",INDEX('Detalle individual'!$D:$D,$H353))</f>
        <v/>
      </c>
      <c r="G353" s="5" t="str">
        <f>IF($H353="","",INDEX('Detalle individual'!$F:$F,$H353))</f>
        <v/>
      </c>
      <c r="H353" t="str">
        <f>IFERROR(MATCH(SMALL(Cálculos!$AJ$5:$AJ$1000,349),Cálculos!$AJ$5:$AJ$1000,0)+4,"")</f>
        <v/>
      </c>
    </row>
    <row r="354">
      <c r="B354" s="5" t="str">
        <f>IF($H354="","",INDEX('Detalle individual'!$B:$B,$H354))</f>
        <v/>
      </c>
      <c r="C354" s="5" t="str">
        <f>IF($H354="","",INDEX('Detalle individual'!$A:$A,$H354))</f>
        <v/>
      </c>
      <c r="D354" s="5" t="str">
        <f>IF($H354="","",INDEX('Detalle individual'!$E:$E,$H354))</f>
        <v/>
      </c>
      <c r="E354" s="5" t="str">
        <f>IF($H354="","",INDEX('Detalle individual'!$C:$C,$H354))</f>
        <v/>
      </c>
      <c r="F354" s="5" t="str">
        <f>IF($H354="","",INDEX('Detalle individual'!$D:$D,$H354))</f>
        <v/>
      </c>
      <c r="G354" s="5" t="str">
        <f>IF($H354="","",INDEX('Detalle individual'!$F:$F,$H354))</f>
        <v/>
      </c>
      <c r="H354" t="str">
        <f>IFERROR(MATCH(SMALL(Cálculos!$AJ$5:$AJ$1000,350),Cálculos!$AJ$5:$AJ$1000,0)+4,"")</f>
        <v/>
      </c>
    </row>
    <row r="355">
      <c r="B355" s="5" t="str">
        <f>IF($H355="","",INDEX('Detalle individual'!$B:$B,$H355))</f>
        <v/>
      </c>
      <c r="C355" s="5" t="str">
        <f>IF($H355="","",INDEX('Detalle individual'!$A:$A,$H355))</f>
        <v/>
      </c>
      <c r="D355" s="5" t="str">
        <f>IF($H355="","",INDEX('Detalle individual'!$E:$E,$H355))</f>
        <v/>
      </c>
      <c r="E355" s="5" t="str">
        <f>IF($H355="","",INDEX('Detalle individual'!$C:$C,$H355))</f>
        <v/>
      </c>
      <c r="F355" s="5" t="str">
        <f>IF($H355="","",INDEX('Detalle individual'!$D:$D,$H355))</f>
        <v/>
      </c>
      <c r="G355" s="5" t="str">
        <f>IF($H355="","",INDEX('Detalle individual'!$F:$F,$H355))</f>
        <v/>
      </c>
      <c r="H355" t="str">
        <f>IFERROR(MATCH(SMALL(Cálculos!$AJ$5:$AJ$1000,351),Cálculos!$AJ$5:$AJ$1000,0)+4,"")</f>
        <v/>
      </c>
    </row>
    <row r="356">
      <c r="B356" s="5" t="str">
        <f>IF($H356="","",INDEX('Detalle individual'!$B:$B,$H356))</f>
        <v/>
      </c>
      <c r="C356" s="5" t="str">
        <f>IF($H356="","",INDEX('Detalle individual'!$A:$A,$H356))</f>
        <v/>
      </c>
      <c r="D356" s="5" t="str">
        <f>IF($H356="","",INDEX('Detalle individual'!$E:$E,$H356))</f>
        <v/>
      </c>
      <c r="E356" s="5" t="str">
        <f>IF($H356="","",INDEX('Detalle individual'!$C:$C,$H356))</f>
        <v/>
      </c>
      <c r="F356" s="5" t="str">
        <f>IF($H356="","",INDEX('Detalle individual'!$D:$D,$H356))</f>
        <v/>
      </c>
      <c r="G356" s="5" t="str">
        <f>IF($H356="","",INDEX('Detalle individual'!$F:$F,$H356))</f>
        <v/>
      </c>
      <c r="H356" t="str">
        <f>IFERROR(MATCH(SMALL(Cálculos!$AJ$5:$AJ$1000,352),Cálculos!$AJ$5:$AJ$1000,0)+4,"")</f>
        <v/>
      </c>
    </row>
    <row r="357">
      <c r="B357" s="5" t="str">
        <f>IF($H357="","",INDEX('Detalle individual'!$B:$B,$H357))</f>
        <v/>
      </c>
      <c r="C357" s="5" t="str">
        <f>IF($H357="","",INDEX('Detalle individual'!$A:$A,$H357))</f>
        <v/>
      </c>
      <c r="D357" s="5" t="str">
        <f>IF($H357="","",INDEX('Detalle individual'!$E:$E,$H357))</f>
        <v/>
      </c>
      <c r="E357" s="5" t="str">
        <f>IF($H357="","",INDEX('Detalle individual'!$C:$C,$H357))</f>
        <v/>
      </c>
      <c r="F357" s="5" t="str">
        <f>IF($H357="","",INDEX('Detalle individual'!$D:$D,$H357))</f>
        <v/>
      </c>
      <c r="G357" s="5" t="str">
        <f>IF($H357="","",INDEX('Detalle individual'!$F:$F,$H357))</f>
        <v/>
      </c>
      <c r="H357" t="str">
        <f>IFERROR(MATCH(SMALL(Cálculos!$AJ$5:$AJ$1000,353),Cálculos!$AJ$5:$AJ$1000,0)+4,"")</f>
        <v/>
      </c>
    </row>
    <row r="358">
      <c r="B358" s="5" t="str">
        <f>IF($H358="","",INDEX('Detalle individual'!$B:$B,$H358))</f>
        <v/>
      </c>
      <c r="C358" s="5" t="str">
        <f>IF($H358="","",INDEX('Detalle individual'!$A:$A,$H358))</f>
        <v/>
      </c>
      <c r="D358" s="5" t="str">
        <f>IF($H358="","",INDEX('Detalle individual'!$E:$E,$H358))</f>
        <v/>
      </c>
      <c r="E358" s="5" t="str">
        <f>IF($H358="","",INDEX('Detalle individual'!$C:$C,$H358))</f>
        <v/>
      </c>
      <c r="F358" s="5" t="str">
        <f>IF($H358="","",INDEX('Detalle individual'!$D:$D,$H358))</f>
        <v/>
      </c>
      <c r="G358" s="5" t="str">
        <f>IF($H358="","",INDEX('Detalle individual'!$F:$F,$H358))</f>
        <v/>
      </c>
      <c r="H358" t="str">
        <f>IFERROR(MATCH(SMALL(Cálculos!$AJ$5:$AJ$1000,354),Cálculos!$AJ$5:$AJ$1000,0)+4,"")</f>
        <v/>
      </c>
    </row>
    <row r="359">
      <c r="B359" s="5" t="str">
        <f>IF($H359="","",INDEX('Detalle individual'!$B:$B,$H359))</f>
        <v/>
      </c>
      <c r="C359" s="5" t="str">
        <f>IF($H359="","",INDEX('Detalle individual'!$A:$A,$H359))</f>
        <v/>
      </c>
      <c r="D359" s="5" t="str">
        <f>IF($H359="","",INDEX('Detalle individual'!$E:$E,$H359))</f>
        <v/>
      </c>
      <c r="E359" s="5" t="str">
        <f>IF($H359="","",INDEX('Detalle individual'!$C:$C,$H359))</f>
        <v/>
      </c>
      <c r="F359" s="5" t="str">
        <f>IF($H359="","",INDEX('Detalle individual'!$D:$D,$H359))</f>
        <v/>
      </c>
      <c r="G359" s="5" t="str">
        <f>IF($H359="","",INDEX('Detalle individual'!$F:$F,$H359))</f>
        <v/>
      </c>
      <c r="H359" t="str">
        <f>IFERROR(MATCH(SMALL(Cálculos!$AJ$5:$AJ$1000,355),Cálculos!$AJ$5:$AJ$1000,0)+4,"")</f>
        <v/>
      </c>
    </row>
    <row r="360">
      <c r="B360" s="5" t="str">
        <f>IF($H360="","",INDEX('Detalle individual'!$B:$B,$H360))</f>
        <v/>
      </c>
      <c r="C360" s="5" t="str">
        <f>IF($H360="","",INDEX('Detalle individual'!$A:$A,$H360))</f>
        <v/>
      </c>
      <c r="D360" s="5" t="str">
        <f>IF($H360="","",INDEX('Detalle individual'!$E:$E,$H360))</f>
        <v/>
      </c>
      <c r="E360" s="5" t="str">
        <f>IF($H360="","",INDEX('Detalle individual'!$C:$C,$H360))</f>
        <v/>
      </c>
      <c r="F360" s="5" t="str">
        <f>IF($H360="","",INDEX('Detalle individual'!$D:$D,$H360))</f>
        <v/>
      </c>
      <c r="G360" s="5" t="str">
        <f>IF($H360="","",INDEX('Detalle individual'!$F:$F,$H360))</f>
        <v/>
      </c>
      <c r="H360" t="str">
        <f>IFERROR(MATCH(SMALL(Cálculos!$AJ$5:$AJ$1000,356),Cálculos!$AJ$5:$AJ$1000,0)+4,"")</f>
        <v/>
      </c>
    </row>
    <row r="361">
      <c r="B361" s="5" t="str">
        <f>IF($H361="","",INDEX('Detalle individual'!$B:$B,$H361))</f>
        <v/>
      </c>
      <c r="C361" s="5" t="str">
        <f>IF($H361="","",INDEX('Detalle individual'!$A:$A,$H361))</f>
        <v/>
      </c>
      <c r="D361" s="5" t="str">
        <f>IF($H361="","",INDEX('Detalle individual'!$E:$E,$H361))</f>
        <v/>
      </c>
      <c r="E361" s="5" t="str">
        <f>IF($H361="","",INDEX('Detalle individual'!$C:$C,$H361))</f>
        <v/>
      </c>
      <c r="F361" s="5" t="str">
        <f>IF($H361="","",INDEX('Detalle individual'!$D:$D,$H361))</f>
        <v/>
      </c>
      <c r="G361" s="5" t="str">
        <f>IF($H361="","",INDEX('Detalle individual'!$F:$F,$H361))</f>
        <v/>
      </c>
      <c r="H361" t="str">
        <f>IFERROR(MATCH(SMALL(Cálculos!$AJ$5:$AJ$1000,357),Cálculos!$AJ$5:$AJ$1000,0)+4,"")</f>
        <v/>
      </c>
    </row>
    <row r="362">
      <c r="B362" s="5" t="str">
        <f>IF($H362="","",INDEX('Detalle individual'!$B:$B,$H362))</f>
        <v/>
      </c>
      <c r="C362" s="5" t="str">
        <f>IF($H362="","",INDEX('Detalle individual'!$A:$A,$H362))</f>
        <v/>
      </c>
      <c r="D362" s="5" t="str">
        <f>IF($H362="","",INDEX('Detalle individual'!$E:$E,$H362))</f>
        <v/>
      </c>
      <c r="E362" s="5" t="str">
        <f>IF($H362="","",INDEX('Detalle individual'!$C:$C,$H362))</f>
        <v/>
      </c>
      <c r="F362" s="5" t="str">
        <f>IF($H362="","",INDEX('Detalle individual'!$D:$D,$H362))</f>
        <v/>
      </c>
      <c r="G362" s="5" t="str">
        <f>IF($H362="","",INDEX('Detalle individual'!$F:$F,$H362))</f>
        <v/>
      </c>
      <c r="H362" t="str">
        <f>IFERROR(MATCH(SMALL(Cálculos!$AJ$5:$AJ$1000,358),Cálculos!$AJ$5:$AJ$1000,0)+4,"")</f>
        <v/>
      </c>
    </row>
    <row r="363">
      <c r="B363" s="5" t="str">
        <f>IF($H363="","",INDEX('Detalle individual'!$B:$B,$H363))</f>
        <v/>
      </c>
      <c r="C363" s="5" t="str">
        <f>IF($H363="","",INDEX('Detalle individual'!$A:$A,$H363))</f>
        <v/>
      </c>
      <c r="D363" s="5" t="str">
        <f>IF($H363="","",INDEX('Detalle individual'!$E:$E,$H363))</f>
        <v/>
      </c>
      <c r="E363" s="5" t="str">
        <f>IF($H363="","",INDEX('Detalle individual'!$C:$C,$H363))</f>
        <v/>
      </c>
      <c r="F363" s="5" t="str">
        <f>IF($H363="","",INDEX('Detalle individual'!$D:$D,$H363))</f>
        <v/>
      </c>
      <c r="G363" s="5" t="str">
        <f>IF($H363="","",INDEX('Detalle individual'!$F:$F,$H363))</f>
        <v/>
      </c>
      <c r="H363" t="str">
        <f>IFERROR(MATCH(SMALL(Cálculos!$AJ$5:$AJ$1000,359),Cálculos!$AJ$5:$AJ$1000,0)+4,"")</f>
        <v/>
      </c>
    </row>
    <row r="364">
      <c r="B364" s="5" t="str">
        <f>IF($H364="","",INDEX('Detalle individual'!$B:$B,$H364))</f>
        <v/>
      </c>
      <c r="C364" s="5" t="str">
        <f>IF($H364="","",INDEX('Detalle individual'!$A:$A,$H364))</f>
        <v/>
      </c>
      <c r="D364" s="5" t="str">
        <f>IF($H364="","",INDEX('Detalle individual'!$E:$E,$H364))</f>
        <v/>
      </c>
      <c r="E364" s="5" t="str">
        <f>IF($H364="","",INDEX('Detalle individual'!$C:$C,$H364))</f>
        <v/>
      </c>
      <c r="F364" s="5" t="str">
        <f>IF($H364="","",INDEX('Detalle individual'!$D:$D,$H364))</f>
        <v/>
      </c>
      <c r="G364" s="5" t="str">
        <f>IF($H364="","",INDEX('Detalle individual'!$F:$F,$H364))</f>
        <v/>
      </c>
      <c r="H364" t="str">
        <f>IFERROR(MATCH(SMALL(Cálculos!$AJ$5:$AJ$1000,360),Cálculos!$AJ$5:$AJ$1000,0)+4,"")</f>
        <v/>
      </c>
    </row>
    <row r="365">
      <c r="B365" s="5" t="str">
        <f>IF($H365="","",INDEX('Detalle individual'!$B:$B,$H365))</f>
        <v/>
      </c>
      <c r="C365" s="5" t="str">
        <f>IF($H365="","",INDEX('Detalle individual'!$A:$A,$H365))</f>
        <v/>
      </c>
      <c r="D365" s="5" t="str">
        <f>IF($H365="","",INDEX('Detalle individual'!$E:$E,$H365))</f>
        <v/>
      </c>
      <c r="E365" s="5" t="str">
        <f>IF($H365="","",INDEX('Detalle individual'!$C:$C,$H365))</f>
        <v/>
      </c>
      <c r="F365" s="5" t="str">
        <f>IF($H365="","",INDEX('Detalle individual'!$D:$D,$H365))</f>
        <v/>
      </c>
      <c r="G365" s="5" t="str">
        <f>IF($H365="","",INDEX('Detalle individual'!$F:$F,$H365))</f>
        <v/>
      </c>
      <c r="H365" t="str">
        <f>IFERROR(MATCH(SMALL(Cálculos!$AJ$5:$AJ$1000,361),Cálculos!$AJ$5:$AJ$1000,0)+4,"")</f>
        <v/>
      </c>
    </row>
    <row r="366">
      <c r="B366" s="5" t="str">
        <f>IF($H366="","",INDEX('Detalle individual'!$B:$B,$H366))</f>
        <v/>
      </c>
      <c r="C366" s="5" t="str">
        <f>IF($H366="","",INDEX('Detalle individual'!$A:$A,$H366))</f>
        <v/>
      </c>
      <c r="D366" s="5" t="str">
        <f>IF($H366="","",INDEX('Detalle individual'!$E:$E,$H366))</f>
        <v/>
      </c>
      <c r="E366" s="5" t="str">
        <f>IF($H366="","",INDEX('Detalle individual'!$C:$C,$H366))</f>
        <v/>
      </c>
      <c r="F366" s="5" t="str">
        <f>IF($H366="","",INDEX('Detalle individual'!$D:$D,$H366))</f>
        <v/>
      </c>
      <c r="G366" s="5" t="str">
        <f>IF($H366="","",INDEX('Detalle individual'!$F:$F,$H366))</f>
        <v/>
      </c>
      <c r="H366" t="str">
        <f>IFERROR(MATCH(SMALL(Cálculos!$AJ$5:$AJ$1000,362),Cálculos!$AJ$5:$AJ$1000,0)+4,"")</f>
        <v/>
      </c>
    </row>
    <row r="367">
      <c r="B367" s="5" t="str">
        <f>IF($H367="","",INDEX('Detalle individual'!$B:$B,$H367))</f>
        <v/>
      </c>
      <c r="C367" s="5" t="str">
        <f>IF($H367="","",INDEX('Detalle individual'!$A:$A,$H367))</f>
        <v/>
      </c>
      <c r="D367" s="5" t="str">
        <f>IF($H367="","",INDEX('Detalle individual'!$E:$E,$H367))</f>
        <v/>
      </c>
      <c r="E367" s="5" t="str">
        <f>IF($H367="","",INDEX('Detalle individual'!$C:$C,$H367))</f>
        <v/>
      </c>
      <c r="F367" s="5" t="str">
        <f>IF($H367="","",INDEX('Detalle individual'!$D:$D,$H367))</f>
        <v/>
      </c>
      <c r="G367" s="5" t="str">
        <f>IF($H367="","",INDEX('Detalle individual'!$F:$F,$H367))</f>
        <v/>
      </c>
      <c r="H367" t="str">
        <f>IFERROR(MATCH(SMALL(Cálculos!$AJ$5:$AJ$1000,363),Cálculos!$AJ$5:$AJ$1000,0)+4,"")</f>
        <v/>
      </c>
    </row>
    <row r="368">
      <c r="B368" s="5" t="str">
        <f>IF($H368="","",INDEX('Detalle individual'!$B:$B,$H368))</f>
        <v/>
      </c>
      <c r="C368" s="5" t="str">
        <f>IF($H368="","",INDEX('Detalle individual'!$A:$A,$H368))</f>
        <v/>
      </c>
      <c r="D368" s="5" t="str">
        <f>IF($H368="","",INDEX('Detalle individual'!$E:$E,$H368))</f>
        <v/>
      </c>
      <c r="E368" s="5" t="str">
        <f>IF($H368="","",INDEX('Detalle individual'!$C:$C,$H368))</f>
        <v/>
      </c>
      <c r="F368" s="5" t="str">
        <f>IF($H368="","",INDEX('Detalle individual'!$D:$D,$H368))</f>
        <v/>
      </c>
      <c r="G368" s="5" t="str">
        <f>IF($H368="","",INDEX('Detalle individual'!$F:$F,$H368))</f>
        <v/>
      </c>
      <c r="H368" t="str">
        <f>IFERROR(MATCH(SMALL(Cálculos!$AJ$5:$AJ$1000,364),Cálculos!$AJ$5:$AJ$1000,0)+4,"")</f>
        <v/>
      </c>
    </row>
    <row r="369">
      <c r="B369" s="5" t="str">
        <f>IF($H369="","",INDEX('Detalle individual'!$B:$B,$H369))</f>
        <v/>
      </c>
      <c r="C369" s="5" t="str">
        <f>IF($H369="","",INDEX('Detalle individual'!$A:$A,$H369))</f>
        <v/>
      </c>
      <c r="D369" s="5" t="str">
        <f>IF($H369="","",INDEX('Detalle individual'!$E:$E,$H369))</f>
        <v/>
      </c>
      <c r="E369" s="5" t="str">
        <f>IF($H369="","",INDEX('Detalle individual'!$C:$C,$H369))</f>
        <v/>
      </c>
      <c r="F369" s="5" t="str">
        <f>IF($H369="","",INDEX('Detalle individual'!$D:$D,$H369))</f>
        <v/>
      </c>
      <c r="G369" s="5" t="str">
        <f>IF($H369="","",INDEX('Detalle individual'!$F:$F,$H369))</f>
        <v/>
      </c>
      <c r="H369" t="str">
        <f>IFERROR(MATCH(SMALL(Cálculos!$AJ$5:$AJ$1000,365),Cálculos!$AJ$5:$AJ$1000,0)+4,"")</f>
        <v/>
      </c>
    </row>
    <row r="370">
      <c r="B370" s="5" t="str">
        <f>IF($H370="","",INDEX('Detalle individual'!$B:$B,$H370))</f>
        <v/>
      </c>
      <c r="C370" s="5" t="str">
        <f>IF($H370="","",INDEX('Detalle individual'!$A:$A,$H370))</f>
        <v/>
      </c>
      <c r="D370" s="5" t="str">
        <f>IF($H370="","",INDEX('Detalle individual'!$E:$E,$H370))</f>
        <v/>
      </c>
      <c r="E370" s="5" t="str">
        <f>IF($H370="","",INDEX('Detalle individual'!$C:$C,$H370))</f>
        <v/>
      </c>
      <c r="F370" s="5" t="str">
        <f>IF($H370="","",INDEX('Detalle individual'!$D:$D,$H370))</f>
        <v/>
      </c>
      <c r="G370" s="5" t="str">
        <f>IF($H370="","",INDEX('Detalle individual'!$F:$F,$H370))</f>
        <v/>
      </c>
      <c r="H370" t="str">
        <f>IFERROR(MATCH(SMALL(Cálculos!$AJ$5:$AJ$1000,366),Cálculos!$AJ$5:$AJ$1000,0)+4,"")</f>
        <v/>
      </c>
    </row>
    <row r="371">
      <c r="B371" s="5" t="str">
        <f>IF($H371="","",INDEX('Detalle individual'!$B:$B,$H371))</f>
        <v/>
      </c>
      <c r="C371" s="5" t="str">
        <f>IF($H371="","",INDEX('Detalle individual'!$A:$A,$H371))</f>
        <v/>
      </c>
      <c r="D371" s="5" t="str">
        <f>IF($H371="","",INDEX('Detalle individual'!$E:$E,$H371))</f>
        <v/>
      </c>
      <c r="E371" s="5" t="str">
        <f>IF($H371="","",INDEX('Detalle individual'!$C:$C,$H371))</f>
        <v/>
      </c>
      <c r="F371" s="5" t="str">
        <f>IF($H371="","",INDEX('Detalle individual'!$D:$D,$H371))</f>
        <v/>
      </c>
      <c r="G371" s="5" t="str">
        <f>IF($H371="","",INDEX('Detalle individual'!$F:$F,$H371))</f>
        <v/>
      </c>
      <c r="H371" t="str">
        <f>IFERROR(MATCH(SMALL(Cálculos!$AJ$5:$AJ$1000,367),Cálculos!$AJ$5:$AJ$1000,0)+4,"")</f>
        <v/>
      </c>
    </row>
    <row r="372">
      <c r="B372" s="5" t="str">
        <f>IF($H372="","",INDEX('Detalle individual'!$B:$B,$H372))</f>
        <v/>
      </c>
      <c r="C372" s="5" t="str">
        <f>IF($H372="","",INDEX('Detalle individual'!$A:$A,$H372))</f>
        <v/>
      </c>
      <c r="D372" s="5" t="str">
        <f>IF($H372="","",INDEX('Detalle individual'!$E:$E,$H372))</f>
        <v/>
      </c>
      <c r="E372" s="5" t="str">
        <f>IF($H372="","",INDEX('Detalle individual'!$C:$C,$H372))</f>
        <v/>
      </c>
      <c r="F372" s="5" t="str">
        <f>IF($H372="","",INDEX('Detalle individual'!$D:$D,$H372))</f>
        <v/>
      </c>
      <c r="G372" s="5" t="str">
        <f>IF($H372="","",INDEX('Detalle individual'!$F:$F,$H372))</f>
        <v/>
      </c>
      <c r="H372" t="str">
        <f>IFERROR(MATCH(SMALL(Cálculos!$AJ$5:$AJ$1000,368),Cálculos!$AJ$5:$AJ$1000,0)+4,"")</f>
        <v/>
      </c>
    </row>
    <row r="373">
      <c r="B373" s="5" t="str">
        <f>IF($H373="","",INDEX('Detalle individual'!$B:$B,$H373))</f>
        <v/>
      </c>
      <c r="C373" s="5" t="str">
        <f>IF($H373="","",INDEX('Detalle individual'!$A:$A,$H373))</f>
        <v/>
      </c>
      <c r="D373" s="5" t="str">
        <f>IF($H373="","",INDEX('Detalle individual'!$E:$E,$H373))</f>
        <v/>
      </c>
      <c r="E373" s="5" t="str">
        <f>IF($H373="","",INDEX('Detalle individual'!$C:$C,$H373))</f>
        <v/>
      </c>
      <c r="F373" s="5" t="str">
        <f>IF($H373="","",INDEX('Detalle individual'!$D:$D,$H373))</f>
        <v/>
      </c>
      <c r="G373" s="5" t="str">
        <f>IF($H373="","",INDEX('Detalle individual'!$F:$F,$H373))</f>
        <v/>
      </c>
      <c r="H373" t="str">
        <f>IFERROR(MATCH(SMALL(Cálculos!$AJ$5:$AJ$1000,369),Cálculos!$AJ$5:$AJ$1000,0)+4,"")</f>
        <v/>
      </c>
    </row>
    <row r="374">
      <c r="B374" s="5" t="str">
        <f>IF($H374="","",INDEX('Detalle individual'!$B:$B,$H374))</f>
        <v/>
      </c>
      <c r="C374" s="5" t="str">
        <f>IF($H374="","",INDEX('Detalle individual'!$A:$A,$H374))</f>
        <v/>
      </c>
      <c r="D374" s="5" t="str">
        <f>IF($H374="","",INDEX('Detalle individual'!$E:$E,$H374))</f>
        <v/>
      </c>
      <c r="E374" s="5" t="str">
        <f>IF($H374="","",INDEX('Detalle individual'!$C:$C,$H374))</f>
        <v/>
      </c>
      <c r="F374" s="5" t="str">
        <f>IF($H374="","",INDEX('Detalle individual'!$D:$D,$H374))</f>
        <v/>
      </c>
      <c r="G374" s="5" t="str">
        <f>IF($H374="","",INDEX('Detalle individual'!$F:$F,$H374))</f>
        <v/>
      </c>
      <c r="H374" t="str">
        <f>IFERROR(MATCH(SMALL(Cálculos!$AJ$5:$AJ$1000,370),Cálculos!$AJ$5:$AJ$1000,0)+4,"")</f>
        <v/>
      </c>
    </row>
    <row r="375">
      <c r="B375" s="5" t="str">
        <f>IF($H375="","",INDEX('Detalle individual'!$B:$B,$H375))</f>
        <v/>
      </c>
      <c r="C375" s="5" t="str">
        <f>IF($H375="","",INDEX('Detalle individual'!$A:$A,$H375))</f>
        <v/>
      </c>
      <c r="D375" s="5" t="str">
        <f>IF($H375="","",INDEX('Detalle individual'!$E:$E,$H375))</f>
        <v/>
      </c>
      <c r="E375" s="5" t="str">
        <f>IF($H375="","",INDEX('Detalle individual'!$C:$C,$H375))</f>
        <v/>
      </c>
      <c r="F375" s="5" t="str">
        <f>IF($H375="","",INDEX('Detalle individual'!$D:$D,$H375))</f>
        <v/>
      </c>
      <c r="G375" s="5" t="str">
        <f>IF($H375="","",INDEX('Detalle individual'!$F:$F,$H375))</f>
        <v/>
      </c>
      <c r="H375" t="str">
        <f>IFERROR(MATCH(SMALL(Cálculos!$AJ$5:$AJ$1000,371),Cálculos!$AJ$5:$AJ$1000,0)+4,"")</f>
        <v/>
      </c>
    </row>
    <row r="376">
      <c r="B376" s="5" t="str">
        <f>IF($H376="","",INDEX('Detalle individual'!$B:$B,$H376))</f>
        <v/>
      </c>
      <c r="C376" s="5" t="str">
        <f>IF($H376="","",INDEX('Detalle individual'!$A:$A,$H376))</f>
        <v/>
      </c>
      <c r="D376" s="5" t="str">
        <f>IF($H376="","",INDEX('Detalle individual'!$E:$E,$H376))</f>
        <v/>
      </c>
      <c r="E376" s="5" t="str">
        <f>IF($H376="","",INDEX('Detalle individual'!$C:$C,$H376))</f>
        <v/>
      </c>
      <c r="F376" s="5" t="str">
        <f>IF($H376="","",INDEX('Detalle individual'!$D:$D,$H376))</f>
        <v/>
      </c>
      <c r="G376" s="5" t="str">
        <f>IF($H376="","",INDEX('Detalle individual'!$F:$F,$H376))</f>
        <v/>
      </c>
      <c r="H376" t="str">
        <f>IFERROR(MATCH(SMALL(Cálculos!$AJ$5:$AJ$1000,372),Cálculos!$AJ$5:$AJ$1000,0)+4,"")</f>
        <v/>
      </c>
    </row>
    <row r="377">
      <c r="B377" s="5" t="str">
        <f>IF($H377="","",INDEX('Detalle individual'!$B:$B,$H377))</f>
        <v/>
      </c>
      <c r="C377" s="5" t="str">
        <f>IF($H377="","",INDEX('Detalle individual'!$A:$A,$H377))</f>
        <v/>
      </c>
      <c r="D377" s="5" t="str">
        <f>IF($H377="","",INDEX('Detalle individual'!$E:$E,$H377))</f>
        <v/>
      </c>
      <c r="E377" s="5" t="str">
        <f>IF($H377="","",INDEX('Detalle individual'!$C:$C,$H377))</f>
        <v/>
      </c>
      <c r="F377" s="5" t="str">
        <f>IF($H377="","",INDEX('Detalle individual'!$D:$D,$H377))</f>
        <v/>
      </c>
      <c r="G377" s="5" t="str">
        <f>IF($H377="","",INDEX('Detalle individual'!$F:$F,$H377))</f>
        <v/>
      </c>
      <c r="H377" t="str">
        <f>IFERROR(MATCH(SMALL(Cálculos!$AJ$5:$AJ$1000,373),Cálculos!$AJ$5:$AJ$1000,0)+4,"")</f>
        <v/>
      </c>
    </row>
    <row r="378">
      <c r="B378" s="5" t="str">
        <f>IF($H378="","",INDEX('Detalle individual'!$B:$B,$H378))</f>
        <v/>
      </c>
      <c r="C378" s="5" t="str">
        <f>IF($H378="","",INDEX('Detalle individual'!$A:$A,$H378))</f>
        <v/>
      </c>
      <c r="D378" s="5" t="str">
        <f>IF($H378="","",INDEX('Detalle individual'!$E:$E,$H378))</f>
        <v/>
      </c>
      <c r="E378" s="5" t="str">
        <f>IF($H378="","",INDEX('Detalle individual'!$C:$C,$H378))</f>
        <v/>
      </c>
      <c r="F378" s="5" t="str">
        <f>IF($H378="","",INDEX('Detalle individual'!$D:$D,$H378))</f>
        <v/>
      </c>
      <c r="G378" s="5" t="str">
        <f>IF($H378="","",INDEX('Detalle individual'!$F:$F,$H378))</f>
        <v/>
      </c>
      <c r="H378" t="str">
        <f>IFERROR(MATCH(SMALL(Cálculos!$AJ$5:$AJ$1000,374),Cálculos!$AJ$5:$AJ$1000,0)+4,"")</f>
        <v/>
      </c>
    </row>
    <row r="379">
      <c r="B379" s="5" t="str">
        <f>IF($H379="","",INDEX('Detalle individual'!$B:$B,$H379))</f>
        <v/>
      </c>
      <c r="C379" s="5" t="str">
        <f>IF($H379="","",INDEX('Detalle individual'!$A:$A,$H379))</f>
        <v/>
      </c>
      <c r="D379" s="5" t="str">
        <f>IF($H379="","",INDEX('Detalle individual'!$E:$E,$H379))</f>
        <v/>
      </c>
      <c r="E379" s="5" t="str">
        <f>IF($H379="","",INDEX('Detalle individual'!$C:$C,$H379))</f>
        <v/>
      </c>
      <c r="F379" s="5" t="str">
        <f>IF($H379="","",INDEX('Detalle individual'!$D:$D,$H379))</f>
        <v/>
      </c>
      <c r="G379" s="5" t="str">
        <f>IF($H379="","",INDEX('Detalle individual'!$F:$F,$H379))</f>
        <v/>
      </c>
      <c r="H379" t="str">
        <f>IFERROR(MATCH(SMALL(Cálculos!$AJ$5:$AJ$1000,375),Cálculos!$AJ$5:$AJ$1000,0)+4,"")</f>
        <v/>
      </c>
    </row>
    <row r="380">
      <c r="B380" s="5" t="str">
        <f>IF($H380="","",INDEX('Detalle individual'!$B:$B,$H380))</f>
        <v/>
      </c>
      <c r="C380" s="5" t="str">
        <f>IF($H380="","",INDEX('Detalle individual'!$A:$A,$H380))</f>
        <v/>
      </c>
      <c r="D380" s="5" t="str">
        <f>IF($H380="","",INDEX('Detalle individual'!$E:$E,$H380))</f>
        <v/>
      </c>
      <c r="E380" s="5" t="str">
        <f>IF($H380="","",INDEX('Detalle individual'!$C:$C,$H380))</f>
        <v/>
      </c>
      <c r="F380" s="5" t="str">
        <f>IF($H380="","",INDEX('Detalle individual'!$D:$D,$H380))</f>
        <v/>
      </c>
      <c r="G380" s="5" t="str">
        <f>IF($H380="","",INDEX('Detalle individual'!$F:$F,$H380))</f>
        <v/>
      </c>
      <c r="H380" t="str">
        <f>IFERROR(MATCH(SMALL(Cálculos!$AJ$5:$AJ$1000,376),Cálculos!$AJ$5:$AJ$1000,0)+4,"")</f>
        <v/>
      </c>
    </row>
    <row r="381">
      <c r="B381" s="5" t="str">
        <f>IF($H381="","",INDEX('Detalle individual'!$B:$B,$H381))</f>
        <v/>
      </c>
      <c r="C381" s="5" t="str">
        <f>IF($H381="","",INDEX('Detalle individual'!$A:$A,$H381))</f>
        <v/>
      </c>
      <c r="D381" s="5" t="str">
        <f>IF($H381="","",INDEX('Detalle individual'!$E:$E,$H381))</f>
        <v/>
      </c>
      <c r="E381" s="5" t="str">
        <f>IF($H381="","",INDEX('Detalle individual'!$C:$C,$H381))</f>
        <v/>
      </c>
      <c r="F381" s="5" t="str">
        <f>IF($H381="","",INDEX('Detalle individual'!$D:$D,$H381))</f>
        <v/>
      </c>
      <c r="G381" s="5" t="str">
        <f>IF($H381="","",INDEX('Detalle individual'!$F:$F,$H381))</f>
        <v/>
      </c>
      <c r="H381" t="str">
        <f>IFERROR(MATCH(SMALL(Cálculos!$AJ$5:$AJ$1000,377),Cálculos!$AJ$5:$AJ$1000,0)+4,"")</f>
        <v/>
      </c>
    </row>
    <row r="382">
      <c r="B382" s="5" t="str">
        <f>IF($H382="","",INDEX('Detalle individual'!$B:$B,$H382))</f>
        <v/>
      </c>
      <c r="C382" s="5" t="str">
        <f>IF($H382="","",INDEX('Detalle individual'!$A:$A,$H382))</f>
        <v/>
      </c>
      <c r="D382" s="5" t="str">
        <f>IF($H382="","",INDEX('Detalle individual'!$E:$E,$H382))</f>
        <v/>
      </c>
      <c r="E382" s="5" t="str">
        <f>IF($H382="","",INDEX('Detalle individual'!$C:$C,$H382))</f>
        <v/>
      </c>
      <c r="F382" s="5" t="str">
        <f>IF($H382="","",INDEX('Detalle individual'!$D:$D,$H382))</f>
        <v/>
      </c>
      <c r="G382" s="5" t="str">
        <f>IF($H382="","",INDEX('Detalle individual'!$F:$F,$H382))</f>
        <v/>
      </c>
      <c r="H382" t="str">
        <f>IFERROR(MATCH(SMALL(Cálculos!$AJ$5:$AJ$1000,378),Cálculos!$AJ$5:$AJ$1000,0)+4,"")</f>
        <v/>
      </c>
    </row>
    <row r="383">
      <c r="B383" s="5" t="str">
        <f>IF($H383="","",INDEX('Detalle individual'!$B:$B,$H383))</f>
        <v/>
      </c>
      <c r="C383" s="5" t="str">
        <f>IF($H383="","",INDEX('Detalle individual'!$A:$A,$H383))</f>
        <v/>
      </c>
      <c r="D383" s="5" t="str">
        <f>IF($H383="","",INDEX('Detalle individual'!$E:$E,$H383))</f>
        <v/>
      </c>
      <c r="E383" s="5" t="str">
        <f>IF($H383="","",INDEX('Detalle individual'!$C:$C,$H383))</f>
        <v/>
      </c>
      <c r="F383" s="5" t="str">
        <f>IF($H383="","",INDEX('Detalle individual'!$D:$D,$H383))</f>
        <v/>
      </c>
      <c r="G383" s="5" t="str">
        <f>IF($H383="","",INDEX('Detalle individual'!$F:$F,$H383))</f>
        <v/>
      </c>
      <c r="H383" t="str">
        <f>IFERROR(MATCH(SMALL(Cálculos!$AJ$5:$AJ$1000,379),Cálculos!$AJ$5:$AJ$1000,0)+4,"")</f>
        <v/>
      </c>
    </row>
    <row r="384">
      <c r="B384" s="5" t="str">
        <f>IF($H384="","",INDEX('Detalle individual'!$B:$B,$H384))</f>
        <v/>
      </c>
      <c r="C384" s="5" t="str">
        <f>IF($H384="","",INDEX('Detalle individual'!$A:$A,$H384))</f>
        <v/>
      </c>
      <c r="D384" s="5" t="str">
        <f>IF($H384="","",INDEX('Detalle individual'!$E:$E,$H384))</f>
        <v/>
      </c>
      <c r="E384" s="5" t="str">
        <f>IF($H384="","",INDEX('Detalle individual'!$C:$C,$H384))</f>
        <v/>
      </c>
      <c r="F384" s="5" t="str">
        <f>IF($H384="","",INDEX('Detalle individual'!$D:$D,$H384))</f>
        <v/>
      </c>
      <c r="G384" s="5" t="str">
        <f>IF($H384="","",INDEX('Detalle individual'!$F:$F,$H384))</f>
        <v/>
      </c>
      <c r="H384" t="str">
        <f>IFERROR(MATCH(SMALL(Cálculos!$AJ$5:$AJ$1000,380),Cálculos!$AJ$5:$AJ$1000,0)+4,"")</f>
        <v/>
      </c>
    </row>
    <row r="385">
      <c r="B385" s="5" t="str">
        <f>IF($H385="","",INDEX('Detalle individual'!$B:$B,$H385))</f>
        <v/>
      </c>
      <c r="C385" s="5" t="str">
        <f>IF($H385="","",INDEX('Detalle individual'!$A:$A,$H385))</f>
        <v/>
      </c>
      <c r="D385" s="5" t="str">
        <f>IF($H385="","",INDEX('Detalle individual'!$E:$E,$H385))</f>
        <v/>
      </c>
      <c r="E385" s="5" t="str">
        <f>IF($H385="","",INDEX('Detalle individual'!$C:$C,$H385))</f>
        <v/>
      </c>
      <c r="F385" s="5" t="str">
        <f>IF($H385="","",INDEX('Detalle individual'!$D:$D,$H385))</f>
        <v/>
      </c>
      <c r="G385" s="5" t="str">
        <f>IF($H385="","",INDEX('Detalle individual'!$F:$F,$H385))</f>
        <v/>
      </c>
      <c r="H385" t="str">
        <f>IFERROR(MATCH(SMALL(Cálculos!$AJ$5:$AJ$1000,381),Cálculos!$AJ$5:$AJ$1000,0)+4,"")</f>
        <v/>
      </c>
    </row>
    <row r="386">
      <c r="B386" s="5" t="str">
        <f>IF($H386="","",INDEX('Detalle individual'!$B:$B,$H386))</f>
        <v/>
      </c>
      <c r="C386" s="5" t="str">
        <f>IF($H386="","",INDEX('Detalle individual'!$A:$A,$H386))</f>
        <v/>
      </c>
      <c r="D386" s="5" t="str">
        <f>IF($H386="","",INDEX('Detalle individual'!$E:$E,$H386))</f>
        <v/>
      </c>
      <c r="E386" s="5" t="str">
        <f>IF($H386="","",INDEX('Detalle individual'!$C:$C,$H386))</f>
        <v/>
      </c>
      <c r="F386" s="5" t="str">
        <f>IF($H386="","",INDEX('Detalle individual'!$D:$D,$H386))</f>
        <v/>
      </c>
      <c r="G386" s="5" t="str">
        <f>IF($H386="","",INDEX('Detalle individual'!$F:$F,$H386))</f>
        <v/>
      </c>
      <c r="H386" t="str">
        <f>IFERROR(MATCH(SMALL(Cálculos!$AJ$5:$AJ$1000,382),Cálculos!$AJ$5:$AJ$1000,0)+4,"")</f>
        <v/>
      </c>
    </row>
    <row r="387">
      <c r="B387" s="5" t="str">
        <f>IF($H387="","",INDEX('Detalle individual'!$B:$B,$H387))</f>
        <v/>
      </c>
      <c r="C387" s="5" t="str">
        <f>IF($H387="","",INDEX('Detalle individual'!$A:$A,$H387))</f>
        <v/>
      </c>
      <c r="D387" s="5" t="str">
        <f>IF($H387="","",INDEX('Detalle individual'!$E:$E,$H387))</f>
        <v/>
      </c>
      <c r="E387" s="5" t="str">
        <f>IF($H387="","",INDEX('Detalle individual'!$C:$C,$H387))</f>
        <v/>
      </c>
      <c r="F387" s="5" t="str">
        <f>IF($H387="","",INDEX('Detalle individual'!$D:$D,$H387))</f>
        <v/>
      </c>
      <c r="G387" s="5" t="str">
        <f>IF($H387="","",INDEX('Detalle individual'!$F:$F,$H387))</f>
        <v/>
      </c>
      <c r="H387" t="str">
        <f>IFERROR(MATCH(SMALL(Cálculos!$AJ$5:$AJ$1000,383),Cálculos!$AJ$5:$AJ$1000,0)+4,"")</f>
        <v/>
      </c>
    </row>
    <row r="388">
      <c r="B388" s="5" t="str">
        <f>IF($H388="","",INDEX('Detalle individual'!$B:$B,$H388))</f>
        <v/>
      </c>
      <c r="C388" s="5" t="str">
        <f>IF($H388="","",INDEX('Detalle individual'!$A:$A,$H388))</f>
        <v/>
      </c>
      <c r="D388" s="5" t="str">
        <f>IF($H388="","",INDEX('Detalle individual'!$E:$E,$H388))</f>
        <v/>
      </c>
      <c r="E388" s="5" t="str">
        <f>IF($H388="","",INDEX('Detalle individual'!$C:$C,$H388))</f>
        <v/>
      </c>
      <c r="F388" s="5" t="str">
        <f>IF($H388="","",INDEX('Detalle individual'!$D:$D,$H388))</f>
        <v/>
      </c>
      <c r="G388" s="5" t="str">
        <f>IF($H388="","",INDEX('Detalle individual'!$F:$F,$H388))</f>
        <v/>
      </c>
      <c r="H388" t="str">
        <f>IFERROR(MATCH(SMALL(Cálculos!$AJ$5:$AJ$1000,384),Cálculos!$AJ$5:$AJ$1000,0)+4,"")</f>
        <v/>
      </c>
    </row>
    <row r="389">
      <c r="B389" s="5" t="str">
        <f>IF($H389="","",INDEX('Detalle individual'!$B:$B,$H389))</f>
        <v/>
      </c>
      <c r="C389" s="5" t="str">
        <f>IF($H389="","",INDEX('Detalle individual'!$A:$A,$H389))</f>
        <v/>
      </c>
      <c r="D389" s="5" t="str">
        <f>IF($H389="","",INDEX('Detalle individual'!$E:$E,$H389))</f>
        <v/>
      </c>
      <c r="E389" s="5" t="str">
        <f>IF($H389="","",INDEX('Detalle individual'!$C:$C,$H389))</f>
        <v/>
      </c>
      <c r="F389" s="5" t="str">
        <f>IF($H389="","",INDEX('Detalle individual'!$D:$D,$H389))</f>
        <v/>
      </c>
      <c r="G389" s="5" t="str">
        <f>IF($H389="","",INDEX('Detalle individual'!$F:$F,$H389))</f>
        <v/>
      </c>
      <c r="H389" t="str">
        <f>IFERROR(MATCH(SMALL(Cálculos!$AJ$5:$AJ$1000,385),Cálculos!$AJ$5:$AJ$1000,0)+4,"")</f>
        <v/>
      </c>
    </row>
    <row r="390">
      <c r="B390" s="5" t="str">
        <f>IF($H390="","",INDEX('Detalle individual'!$B:$B,$H390))</f>
        <v/>
      </c>
      <c r="C390" s="5" t="str">
        <f>IF($H390="","",INDEX('Detalle individual'!$A:$A,$H390))</f>
        <v/>
      </c>
      <c r="D390" s="5" t="str">
        <f>IF($H390="","",INDEX('Detalle individual'!$E:$E,$H390))</f>
        <v/>
      </c>
      <c r="E390" s="5" t="str">
        <f>IF($H390="","",INDEX('Detalle individual'!$C:$C,$H390))</f>
        <v/>
      </c>
      <c r="F390" s="5" t="str">
        <f>IF($H390="","",INDEX('Detalle individual'!$D:$D,$H390))</f>
        <v/>
      </c>
      <c r="G390" s="5" t="str">
        <f>IF($H390="","",INDEX('Detalle individual'!$F:$F,$H390))</f>
        <v/>
      </c>
      <c r="H390" t="str">
        <f>IFERROR(MATCH(SMALL(Cálculos!$AJ$5:$AJ$1000,386),Cálculos!$AJ$5:$AJ$1000,0)+4,"")</f>
        <v/>
      </c>
    </row>
    <row r="391">
      <c r="B391" s="5" t="str">
        <f>IF($H391="","",INDEX('Detalle individual'!$B:$B,$H391))</f>
        <v/>
      </c>
      <c r="C391" s="5" t="str">
        <f>IF($H391="","",INDEX('Detalle individual'!$A:$A,$H391))</f>
        <v/>
      </c>
      <c r="D391" s="5" t="str">
        <f>IF($H391="","",INDEX('Detalle individual'!$E:$E,$H391))</f>
        <v/>
      </c>
      <c r="E391" s="5" t="str">
        <f>IF($H391="","",INDEX('Detalle individual'!$C:$C,$H391))</f>
        <v/>
      </c>
      <c r="F391" s="5" t="str">
        <f>IF($H391="","",INDEX('Detalle individual'!$D:$D,$H391))</f>
        <v/>
      </c>
      <c r="G391" s="5" t="str">
        <f>IF($H391="","",INDEX('Detalle individual'!$F:$F,$H391))</f>
        <v/>
      </c>
      <c r="H391" t="str">
        <f>IFERROR(MATCH(SMALL(Cálculos!$AJ$5:$AJ$1000,387),Cálculos!$AJ$5:$AJ$1000,0)+4,"")</f>
        <v/>
      </c>
    </row>
    <row r="392">
      <c r="B392" s="5" t="str">
        <f>IF($H392="","",INDEX('Detalle individual'!$B:$B,$H392))</f>
        <v/>
      </c>
      <c r="C392" s="5" t="str">
        <f>IF($H392="","",INDEX('Detalle individual'!$A:$A,$H392))</f>
        <v/>
      </c>
      <c r="D392" s="5" t="str">
        <f>IF($H392="","",INDEX('Detalle individual'!$E:$E,$H392))</f>
        <v/>
      </c>
      <c r="E392" s="5" t="str">
        <f>IF($H392="","",INDEX('Detalle individual'!$C:$C,$H392))</f>
        <v/>
      </c>
      <c r="F392" s="5" t="str">
        <f>IF($H392="","",INDEX('Detalle individual'!$D:$D,$H392))</f>
        <v/>
      </c>
      <c r="G392" s="5" t="str">
        <f>IF($H392="","",INDEX('Detalle individual'!$F:$F,$H392))</f>
        <v/>
      </c>
      <c r="H392" t="str">
        <f>IFERROR(MATCH(SMALL(Cálculos!$AJ$5:$AJ$1000,388),Cálculos!$AJ$5:$AJ$1000,0)+4,"")</f>
        <v/>
      </c>
    </row>
    <row r="393">
      <c r="B393" s="5" t="str">
        <f>IF($H393="","",INDEX('Detalle individual'!$B:$B,$H393))</f>
        <v/>
      </c>
      <c r="C393" s="5" t="str">
        <f>IF($H393="","",INDEX('Detalle individual'!$A:$A,$H393))</f>
        <v/>
      </c>
      <c r="D393" s="5" t="str">
        <f>IF($H393="","",INDEX('Detalle individual'!$E:$E,$H393))</f>
        <v/>
      </c>
      <c r="E393" s="5" t="str">
        <f>IF($H393="","",INDEX('Detalle individual'!$C:$C,$H393))</f>
        <v/>
      </c>
      <c r="F393" s="5" t="str">
        <f>IF($H393="","",INDEX('Detalle individual'!$D:$D,$H393))</f>
        <v/>
      </c>
      <c r="G393" s="5" t="str">
        <f>IF($H393="","",INDEX('Detalle individual'!$F:$F,$H393))</f>
        <v/>
      </c>
      <c r="H393" t="str">
        <f>IFERROR(MATCH(SMALL(Cálculos!$AJ$5:$AJ$1000,389),Cálculos!$AJ$5:$AJ$1000,0)+4,"")</f>
        <v/>
      </c>
    </row>
    <row r="394">
      <c r="B394" s="5" t="str">
        <f>IF($H394="","",INDEX('Detalle individual'!$B:$B,$H394))</f>
        <v/>
      </c>
      <c r="C394" s="5" t="str">
        <f>IF($H394="","",INDEX('Detalle individual'!$A:$A,$H394))</f>
        <v/>
      </c>
      <c r="D394" s="5" t="str">
        <f>IF($H394="","",INDEX('Detalle individual'!$E:$E,$H394))</f>
        <v/>
      </c>
      <c r="E394" s="5" t="str">
        <f>IF($H394="","",INDEX('Detalle individual'!$C:$C,$H394))</f>
        <v/>
      </c>
      <c r="F394" s="5" t="str">
        <f>IF($H394="","",INDEX('Detalle individual'!$D:$D,$H394))</f>
        <v/>
      </c>
      <c r="G394" s="5" t="str">
        <f>IF($H394="","",INDEX('Detalle individual'!$F:$F,$H394))</f>
        <v/>
      </c>
      <c r="H394" t="str">
        <f>IFERROR(MATCH(SMALL(Cálculos!$AJ$5:$AJ$1000,390),Cálculos!$AJ$5:$AJ$1000,0)+4,"")</f>
        <v/>
      </c>
    </row>
    <row r="395">
      <c r="B395" s="5" t="str">
        <f>IF($H395="","",INDEX('Detalle individual'!$B:$B,$H395))</f>
        <v/>
      </c>
      <c r="C395" s="5" t="str">
        <f>IF($H395="","",INDEX('Detalle individual'!$A:$A,$H395))</f>
        <v/>
      </c>
      <c r="D395" s="5" t="str">
        <f>IF($H395="","",INDEX('Detalle individual'!$E:$E,$H395))</f>
        <v/>
      </c>
      <c r="E395" s="5" t="str">
        <f>IF($H395="","",INDEX('Detalle individual'!$C:$C,$H395))</f>
        <v/>
      </c>
      <c r="F395" s="5" t="str">
        <f>IF($H395="","",INDEX('Detalle individual'!$D:$D,$H395))</f>
        <v/>
      </c>
      <c r="G395" s="5" t="str">
        <f>IF($H395="","",INDEX('Detalle individual'!$F:$F,$H395))</f>
        <v/>
      </c>
      <c r="H395" t="str">
        <f>IFERROR(MATCH(SMALL(Cálculos!$AJ$5:$AJ$1000,391),Cálculos!$AJ$5:$AJ$1000,0)+4,"")</f>
        <v/>
      </c>
    </row>
    <row r="396">
      <c r="B396" s="5" t="str">
        <f>IF($H396="","",INDEX('Detalle individual'!$B:$B,$H396))</f>
        <v/>
      </c>
      <c r="C396" s="5" t="str">
        <f>IF($H396="","",INDEX('Detalle individual'!$A:$A,$H396))</f>
        <v/>
      </c>
      <c r="D396" s="5" t="str">
        <f>IF($H396="","",INDEX('Detalle individual'!$E:$E,$H396))</f>
        <v/>
      </c>
      <c r="E396" s="5" t="str">
        <f>IF($H396="","",INDEX('Detalle individual'!$C:$C,$H396))</f>
        <v/>
      </c>
      <c r="F396" s="5" t="str">
        <f>IF($H396="","",INDEX('Detalle individual'!$D:$D,$H396))</f>
        <v/>
      </c>
      <c r="G396" s="5" t="str">
        <f>IF($H396="","",INDEX('Detalle individual'!$F:$F,$H396))</f>
        <v/>
      </c>
      <c r="H396" t="str">
        <f>IFERROR(MATCH(SMALL(Cálculos!$AJ$5:$AJ$1000,392),Cálculos!$AJ$5:$AJ$1000,0)+4,"")</f>
        <v/>
      </c>
    </row>
    <row r="397">
      <c r="B397" s="5" t="str">
        <f>IF($H397="","",INDEX('Detalle individual'!$B:$B,$H397))</f>
        <v/>
      </c>
      <c r="C397" s="5" t="str">
        <f>IF($H397="","",INDEX('Detalle individual'!$A:$A,$H397))</f>
        <v/>
      </c>
      <c r="D397" s="5" t="str">
        <f>IF($H397="","",INDEX('Detalle individual'!$E:$E,$H397))</f>
        <v/>
      </c>
      <c r="E397" s="5" t="str">
        <f>IF($H397="","",INDEX('Detalle individual'!$C:$C,$H397))</f>
        <v/>
      </c>
      <c r="F397" s="5" t="str">
        <f>IF($H397="","",INDEX('Detalle individual'!$D:$D,$H397))</f>
        <v/>
      </c>
      <c r="G397" s="5" t="str">
        <f>IF($H397="","",INDEX('Detalle individual'!$F:$F,$H397))</f>
        <v/>
      </c>
      <c r="H397" t="str">
        <f>IFERROR(MATCH(SMALL(Cálculos!$AJ$5:$AJ$1000,393),Cálculos!$AJ$5:$AJ$1000,0)+4,"")</f>
        <v/>
      </c>
    </row>
    <row r="398">
      <c r="B398" s="5" t="str">
        <f>IF($H398="","",INDEX('Detalle individual'!$B:$B,$H398))</f>
        <v/>
      </c>
      <c r="C398" s="5" t="str">
        <f>IF($H398="","",INDEX('Detalle individual'!$A:$A,$H398))</f>
        <v/>
      </c>
      <c r="D398" s="5" t="str">
        <f>IF($H398="","",INDEX('Detalle individual'!$E:$E,$H398))</f>
        <v/>
      </c>
      <c r="E398" s="5" t="str">
        <f>IF($H398="","",INDEX('Detalle individual'!$C:$C,$H398))</f>
        <v/>
      </c>
      <c r="F398" s="5" t="str">
        <f>IF($H398="","",INDEX('Detalle individual'!$D:$D,$H398))</f>
        <v/>
      </c>
      <c r="G398" s="5" t="str">
        <f>IF($H398="","",INDEX('Detalle individual'!$F:$F,$H398))</f>
        <v/>
      </c>
      <c r="H398" t="str">
        <f>IFERROR(MATCH(SMALL(Cálculos!$AJ$5:$AJ$1000,394),Cálculos!$AJ$5:$AJ$1000,0)+4,"")</f>
        <v/>
      </c>
    </row>
    <row r="399">
      <c r="B399" s="5" t="str">
        <f>IF($H399="","",INDEX('Detalle individual'!$B:$B,$H399))</f>
        <v/>
      </c>
      <c r="C399" s="5" t="str">
        <f>IF($H399="","",INDEX('Detalle individual'!$A:$A,$H399))</f>
        <v/>
      </c>
      <c r="D399" s="5" t="str">
        <f>IF($H399="","",INDEX('Detalle individual'!$E:$E,$H399))</f>
        <v/>
      </c>
      <c r="E399" s="5" t="str">
        <f>IF($H399="","",INDEX('Detalle individual'!$C:$C,$H399))</f>
        <v/>
      </c>
      <c r="F399" s="5" t="str">
        <f>IF($H399="","",INDEX('Detalle individual'!$D:$D,$H399))</f>
        <v/>
      </c>
      <c r="G399" s="5" t="str">
        <f>IF($H399="","",INDEX('Detalle individual'!$F:$F,$H399))</f>
        <v/>
      </c>
      <c r="H399" t="str">
        <f>IFERROR(MATCH(SMALL(Cálculos!$AJ$5:$AJ$1000,395),Cálculos!$AJ$5:$AJ$1000,0)+4,"")</f>
        <v/>
      </c>
    </row>
    <row r="400">
      <c r="B400" s="5" t="str">
        <f>IF($H400="","",INDEX('Detalle individual'!$B:$B,$H400))</f>
        <v/>
      </c>
      <c r="C400" s="5" t="str">
        <f>IF($H400="","",INDEX('Detalle individual'!$A:$A,$H400))</f>
        <v/>
      </c>
      <c r="D400" s="5" t="str">
        <f>IF($H400="","",INDEX('Detalle individual'!$E:$E,$H400))</f>
        <v/>
      </c>
      <c r="E400" s="5" t="str">
        <f>IF($H400="","",INDEX('Detalle individual'!$C:$C,$H400))</f>
        <v/>
      </c>
      <c r="F400" s="5" t="str">
        <f>IF($H400="","",INDEX('Detalle individual'!$D:$D,$H400))</f>
        <v/>
      </c>
      <c r="G400" s="5" t="str">
        <f>IF($H400="","",INDEX('Detalle individual'!$F:$F,$H400))</f>
        <v/>
      </c>
      <c r="H400" t="str">
        <f>IFERROR(MATCH(SMALL(Cálculos!$AJ$5:$AJ$1000,396),Cálculos!$AJ$5:$AJ$1000,0)+4,"")</f>
        <v/>
      </c>
    </row>
    <row r="401">
      <c r="B401" s="5" t="str">
        <f>IF($H401="","",INDEX('Detalle individual'!$B:$B,$H401))</f>
        <v/>
      </c>
      <c r="C401" s="5" t="str">
        <f>IF($H401="","",INDEX('Detalle individual'!$A:$A,$H401))</f>
        <v/>
      </c>
      <c r="D401" s="5" t="str">
        <f>IF($H401="","",INDEX('Detalle individual'!$E:$E,$H401))</f>
        <v/>
      </c>
      <c r="E401" s="5" t="str">
        <f>IF($H401="","",INDEX('Detalle individual'!$C:$C,$H401))</f>
        <v/>
      </c>
      <c r="F401" s="5" t="str">
        <f>IF($H401="","",INDEX('Detalle individual'!$D:$D,$H401))</f>
        <v/>
      </c>
      <c r="G401" s="5" t="str">
        <f>IF($H401="","",INDEX('Detalle individual'!$F:$F,$H401))</f>
        <v/>
      </c>
      <c r="H401" t="str">
        <f>IFERROR(MATCH(SMALL(Cálculos!$AJ$5:$AJ$1000,397),Cálculos!$AJ$5:$AJ$1000,0)+4,"")</f>
        <v/>
      </c>
    </row>
    <row r="402">
      <c r="B402" s="5" t="str">
        <f>IF($H402="","",INDEX('Detalle individual'!$B:$B,$H402))</f>
        <v/>
      </c>
      <c r="C402" s="5" t="str">
        <f>IF($H402="","",INDEX('Detalle individual'!$A:$A,$H402))</f>
        <v/>
      </c>
      <c r="D402" s="5" t="str">
        <f>IF($H402="","",INDEX('Detalle individual'!$E:$E,$H402))</f>
        <v/>
      </c>
      <c r="E402" s="5" t="str">
        <f>IF($H402="","",INDEX('Detalle individual'!$C:$C,$H402))</f>
        <v/>
      </c>
      <c r="F402" s="5" t="str">
        <f>IF($H402="","",INDEX('Detalle individual'!$D:$D,$H402))</f>
        <v/>
      </c>
      <c r="G402" s="5" t="str">
        <f>IF($H402="","",INDEX('Detalle individual'!$F:$F,$H402))</f>
        <v/>
      </c>
      <c r="H402" t="str">
        <f>IFERROR(MATCH(SMALL(Cálculos!$AJ$5:$AJ$1000,398),Cálculos!$AJ$5:$AJ$1000,0)+4,"")</f>
        <v/>
      </c>
    </row>
    <row r="403">
      <c r="B403" s="5" t="str">
        <f>IF($H403="","",INDEX('Detalle individual'!$B:$B,$H403))</f>
        <v/>
      </c>
      <c r="C403" s="5" t="str">
        <f>IF($H403="","",INDEX('Detalle individual'!$A:$A,$H403))</f>
        <v/>
      </c>
      <c r="D403" s="5" t="str">
        <f>IF($H403="","",INDEX('Detalle individual'!$E:$E,$H403))</f>
        <v/>
      </c>
      <c r="E403" s="5" t="str">
        <f>IF($H403="","",INDEX('Detalle individual'!$C:$C,$H403))</f>
        <v/>
      </c>
      <c r="F403" s="5" t="str">
        <f>IF($H403="","",INDEX('Detalle individual'!$D:$D,$H403))</f>
        <v/>
      </c>
      <c r="G403" s="5" t="str">
        <f>IF($H403="","",INDEX('Detalle individual'!$F:$F,$H403))</f>
        <v/>
      </c>
      <c r="H403" t="str">
        <f>IFERROR(MATCH(SMALL(Cálculos!$AJ$5:$AJ$1000,399),Cálculos!$AJ$5:$AJ$1000,0)+4,"")</f>
        <v/>
      </c>
    </row>
    <row r="404">
      <c r="B404" s="5" t="str">
        <f>IF($H404="","",INDEX('Detalle individual'!$B:$B,$H404))</f>
        <v/>
      </c>
      <c r="C404" s="5" t="str">
        <f>IF($H404="","",INDEX('Detalle individual'!$A:$A,$H404))</f>
        <v/>
      </c>
      <c r="D404" s="5" t="str">
        <f>IF($H404="","",INDEX('Detalle individual'!$E:$E,$H404))</f>
        <v/>
      </c>
      <c r="E404" s="5" t="str">
        <f>IF($H404="","",INDEX('Detalle individual'!$C:$C,$H404))</f>
        <v/>
      </c>
      <c r="F404" s="5" t="str">
        <f>IF($H404="","",INDEX('Detalle individual'!$D:$D,$H404))</f>
        <v/>
      </c>
      <c r="G404" s="5" t="str">
        <f>IF($H404="","",INDEX('Detalle individual'!$F:$F,$H404))</f>
        <v/>
      </c>
      <c r="H404" t="str">
        <f>IFERROR(MATCH(SMALL(Cálculos!$AJ$5:$AJ$1000,400),Cálculos!$AJ$5:$AJ$1000,0)+4,"")</f>
        <v/>
      </c>
    </row>
    <row r="405">
      <c r="B405" s="5" t="str">
        <f>IF($H405="","",INDEX('Detalle individual'!$B:$B,$H405))</f>
        <v/>
      </c>
      <c r="C405" s="5" t="str">
        <f>IF($H405="","",INDEX('Detalle individual'!$A:$A,$H405))</f>
        <v/>
      </c>
      <c r="D405" s="5" t="str">
        <f>IF($H405="","",INDEX('Detalle individual'!$E:$E,$H405))</f>
        <v/>
      </c>
      <c r="E405" s="5" t="str">
        <f>IF($H405="","",INDEX('Detalle individual'!$C:$C,$H405))</f>
        <v/>
      </c>
      <c r="F405" s="5" t="str">
        <f>IF($H405="","",INDEX('Detalle individual'!$D:$D,$H405))</f>
        <v/>
      </c>
      <c r="G405" s="5" t="str">
        <f>IF($H405="","",INDEX('Detalle individual'!$F:$F,$H405))</f>
        <v/>
      </c>
      <c r="H405" t="str">
        <f>IFERROR(MATCH(SMALL(Cálculos!$AJ$5:$AJ$1000,401),Cálculos!$AJ$5:$AJ$1000,0)+4,"")</f>
        <v/>
      </c>
    </row>
    <row r="406">
      <c r="B406" s="5" t="str">
        <f>IF($H406="","",INDEX('Detalle individual'!$B:$B,$H406))</f>
        <v/>
      </c>
      <c r="C406" s="5" t="str">
        <f>IF($H406="","",INDEX('Detalle individual'!$A:$A,$H406))</f>
        <v/>
      </c>
      <c r="D406" s="5" t="str">
        <f>IF($H406="","",INDEX('Detalle individual'!$E:$E,$H406))</f>
        <v/>
      </c>
      <c r="E406" s="5" t="str">
        <f>IF($H406="","",INDEX('Detalle individual'!$C:$C,$H406))</f>
        <v/>
      </c>
      <c r="F406" s="5" t="str">
        <f>IF($H406="","",INDEX('Detalle individual'!$D:$D,$H406))</f>
        <v/>
      </c>
      <c r="G406" s="5" t="str">
        <f>IF($H406="","",INDEX('Detalle individual'!$F:$F,$H406))</f>
        <v/>
      </c>
      <c r="H406" t="str">
        <f>IFERROR(MATCH(SMALL(Cálculos!$AJ$5:$AJ$1000,402),Cálculos!$AJ$5:$AJ$1000,0)+4,"")</f>
        <v/>
      </c>
    </row>
    <row r="407">
      <c r="B407" s="5" t="str">
        <f>IF($H407="","",INDEX('Detalle individual'!$B:$B,$H407))</f>
        <v/>
      </c>
      <c r="C407" s="5" t="str">
        <f>IF($H407="","",INDEX('Detalle individual'!$A:$A,$H407))</f>
        <v/>
      </c>
      <c r="D407" s="5" t="str">
        <f>IF($H407="","",INDEX('Detalle individual'!$E:$E,$H407))</f>
        <v/>
      </c>
      <c r="E407" s="5" t="str">
        <f>IF($H407="","",INDEX('Detalle individual'!$C:$C,$H407))</f>
        <v/>
      </c>
      <c r="F407" s="5" t="str">
        <f>IF($H407="","",INDEX('Detalle individual'!$D:$D,$H407))</f>
        <v/>
      </c>
      <c r="G407" s="5" t="str">
        <f>IF($H407="","",INDEX('Detalle individual'!$F:$F,$H407))</f>
        <v/>
      </c>
      <c r="H407" t="str">
        <f>IFERROR(MATCH(SMALL(Cálculos!$AJ$5:$AJ$1000,403),Cálculos!$AJ$5:$AJ$1000,0)+4,"")</f>
        <v/>
      </c>
    </row>
    <row r="408">
      <c r="B408" s="5" t="str">
        <f>IF($H408="","",INDEX('Detalle individual'!$B:$B,$H408))</f>
        <v/>
      </c>
      <c r="C408" s="5" t="str">
        <f>IF($H408="","",INDEX('Detalle individual'!$A:$A,$H408))</f>
        <v/>
      </c>
      <c r="D408" s="5" t="str">
        <f>IF($H408="","",INDEX('Detalle individual'!$E:$E,$H408))</f>
        <v/>
      </c>
      <c r="E408" s="5" t="str">
        <f>IF($H408="","",INDEX('Detalle individual'!$C:$C,$H408))</f>
        <v/>
      </c>
      <c r="F408" s="5" t="str">
        <f>IF($H408="","",INDEX('Detalle individual'!$D:$D,$H408))</f>
        <v/>
      </c>
      <c r="G408" s="5" t="str">
        <f>IF($H408="","",INDEX('Detalle individual'!$F:$F,$H408))</f>
        <v/>
      </c>
      <c r="H408" t="str">
        <f>IFERROR(MATCH(SMALL(Cálculos!$AJ$5:$AJ$1000,404),Cálculos!$AJ$5:$AJ$1000,0)+4,"")</f>
        <v/>
      </c>
    </row>
    <row r="409">
      <c r="B409" s="5" t="str">
        <f>IF($H409="","",INDEX('Detalle individual'!$B:$B,$H409))</f>
        <v/>
      </c>
      <c r="C409" s="5" t="str">
        <f>IF($H409="","",INDEX('Detalle individual'!$A:$A,$H409))</f>
        <v/>
      </c>
      <c r="D409" s="5" t="str">
        <f>IF($H409="","",INDEX('Detalle individual'!$E:$E,$H409))</f>
        <v/>
      </c>
      <c r="E409" s="5" t="str">
        <f>IF($H409="","",INDEX('Detalle individual'!$C:$C,$H409))</f>
        <v/>
      </c>
      <c r="F409" s="5" t="str">
        <f>IF($H409="","",INDEX('Detalle individual'!$D:$D,$H409))</f>
        <v/>
      </c>
      <c r="G409" s="5" t="str">
        <f>IF($H409="","",INDEX('Detalle individual'!$F:$F,$H409))</f>
        <v/>
      </c>
      <c r="H409" t="str">
        <f>IFERROR(MATCH(SMALL(Cálculos!$AJ$5:$AJ$1000,405),Cálculos!$AJ$5:$AJ$1000,0)+4,"")</f>
        <v/>
      </c>
    </row>
    <row r="410">
      <c r="B410" s="5" t="str">
        <f>IF($H410="","",INDEX('Detalle individual'!$B:$B,$H410))</f>
        <v/>
      </c>
      <c r="C410" s="5" t="str">
        <f>IF($H410="","",INDEX('Detalle individual'!$A:$A,$H410))</f>
        <v/>
      </c>
      <c r="D410" s="5" t="str">
        <f>IF($H410="","",INDEX('Detalle individual'!$E:$E,$H410))</f>
        <v/>
      </c>
      <c r="E410" s="5" t="str">
        <f>IF($H410="","",INDEX('Detalle individual'!$C:$C,$H410))</f>
        <v/>
      </c>
      <c r="F410" s="5" t="str">
        <f>IF($H410="","",INDEX('Detalle individual'!$D:$D,$H410))</f>
        <v/>
      </c>
      <c r="G410" s="5" t="str">
        <f>IF($H410="","",INDEX('Detalle individual'!$F:$F,$H410))</f>
        <v/>
      </c>
      <c r="H410" t="str">
        <f>IFERROR(MATCH(SMALL(Cálculos!$AJ$5:$AJ$1000,406),Cálculos!$AJ$5:$AJ$1000,0)+4,"")</f>
        <v/>
      </c>
    </row>
    <row r="411">
      <c r="B411" s="5" t="str">
        <f>IF($H411="","",INDEX('Detalle individual'!$B:$B,$H411))</f>
        <v/>
      </c>
      <c r="C411" s="5" t="str">
        <f>IF($H411="","",INDEX('Detalle individual'!$A:$A,$H411))</f>
        <v/>
      </c>
      <c r="D411" s="5" t="str">
        <f>IF($H411="","",INDEX('Detalle individual'!$E:$E,$H411))</f>
        <v/>
      </c>
      <c r="E411" s="5" t="str">
        <f>IF($H411="","",INDEX('Detalle individual'!$C:$C,$H411))</f>
        <v/>
      </c>
      <c r="F411" s="5" t="str">
        <f>IF($H411="","",INDEX('Detalle individual'!$D:$D,$H411))</f>
        <v/>
      </c>
      <c r="G411" s="5" t="str">
        <f>IF($H411="","",INDEX('Detalle individual'!$F:$F,$H411))</f>
        <v/>
      </c>
      <c r="H411" t="str">
        <f>IFERROR(MATCH(SMALL(Cálculos!$AJ$5:$AJ$1000,407),Cálculos!$AJ$5:$AJ$1000,0)+4,"")</f>
        <v/>
      </c>
    </row>
    <row r="412">
      <c r="B412" s="5" t="str">
        <f>IF($H412="","",INDEX('Detalle individual'!$B:$B,$H412))</f>
        <v/>
      </c>
      <c r="C412" s="5" t="str">
        <f>IF($H412="","",INDEX('Detalle individual'!$A:$A,$H412))</f>
        <v/>
      </c>
      <c r="D412" s="5" t="str">
        <f>IF($H412="","",INDEX('Detalle individual'!$E:$E,$H412))</f>
        <v/>
      </c>
      <c r="E412" s="5" t="str">
        <f>IF($H412="","",INDEX('Detalle individual'!$C:$C,$H412))</f>
        <v/>
      </c>
      <c r="F412" s="5" t="str">
        <f>IF($H412="","",INDEX('Detalle individual'!$D:$D,$H412))</f>
        <v/>
      </c>
      <c r="G412" s="5" t="str">
        <f>IF($H412="","",INDEX('Detalle individual'!$F:$F,$H412))</f>
        <v/>
      </c>
      <c r="H412" t="str">
        <f>IFERROR(MATCH(SMALL(Cálculos!$AJ$5:$AJ$1000,408),Cálculos!$AJ$5:$AJ$1000,0)+4,"")</f>
        <v/>
      </c>
    </row>
    <row r="413">
      <c r="B413" s="5" t="str">
        <f>IF($H413="","",INDEX('Detalle individual'!$B:$B,$H413))</f>
        <v/>
      </c>
      <c r="C413" s="5" t="str">
        <f>IF($H413="","",INDEX('Detalle individual'!$A:$A,$H413))</f>
        <v/>
      </c>
      <c r="D413" s="5" t="str">
        <f>IF($H413="","",INDEX('Detalle individual'!$E:$E,$H413))</f>
        <v/>
      </c>
      <c r="E413" s="5" t="str">
        <f>IF($H413="","",INDEX('Detalle individual'!$C:$C,$H413))</f>
        <v/>
      </c>
      <c r="F413" s="5" t="str">
        <f>IF($H413="","",INDEX('Detalle individual'!$D:$D,$H413))</f>
        <v/>
      </c>
      <c r="G413" s="5" t="str">
        <f>IF($H413="","",INDEX('Detalle individual'!$F:$F,$H413))</f>
        <v/>
      </c>
      <c r="H413" t="str">
        <f>IFERROR(MATCH(SMALL(Cálculos!$AJ$5:$AJ$1000,409),Cálculos!$AJ$5:$AJ$1000,0)+4,"")</f>
        <v/>
      </c>
    </row>
    <row r="414">
      <c r="B414" s="5" t="str">
        <f>IF($H414="","",INDEX('Detalle individual'!$B:$B,$H414))</f>
        <v/>
      </c>
      <c r="C414" s="5" t="str">
        <f>IF($H414="","",INDEX('Detalle individual'!$A:$A,$H414))</f>
        <v/>
      </c>
      <c r="D414" s="5" t="str">
        <f>IF($H414="","",INDEX('Detalle individual'!$E:$E,$H414))</f>
        <v/>
      </c>
      <c r="E414" s="5" t="str">
        <f>IF($H414="","",INDEX('Detalle individual'!$C:$C,$H414))</f>
        <v/>
      </c>
      <c r="F414" s="5" t="str">
        <f>IF($H414="","",INDEX('Detalle individual'!$D:$D,$H414))</f>
        <v/>
      </c>
      <c r="G414" s="5" t="str">
        <f>IF($H414="","",INDEX('Detalle individual'!$F:$F,$H414))</f>
        <v/>
      </c>
      <c r="H414" t="str">
        <f>IFERROR(MATCH(SMALL(Cálculos!$AJ$5:$AJ$1000,410),Cálculos!$AJ$5:$AJ$1000,0)+4,"")</f>
        <v/>
      </c>
    </row>
    <row r="415">
      <c r="B415" s="5" t="str">
        <f>IF($H415="","",INDEX('Detalle individual'!$B:$B,$H415))</f>
        <v/>
      </c>
      <c r="C415" s="5" t="str">
        <f>IF($H415="","",INDEX('Detalle individual'!$A:$A,$H415))</f>
        <v/>
      </c>
      <c r="D415" s="5" t="str">
        <f>IF($H415="","",INDEX('Detalle individual'!$E:$E,$H415))</f>
        <v/>
      </c>
      <c r="E415" s="5" t="str">
        <f>IF($H415="","",INDEX('Detalle individual'!$C:$C,$H415))</f>
        <v/>
      </c>
      <c r="F415" s="5" t="str">
        <f>IF($H415="","",INDEX('Detalle individual'!$D:$D,$H415))</f>
        <v/>
      </c>
      <c r="G415" s="5" t="str">
        <f>IF($H415="","",INDEX('Detalle individual'!$F:$F,$H415))</f>
        <v/>
      </c>
      <c r="H415" t="str">
        <f>IFERROR(MATCH(SMALL(Cálculos!$AJ$5:$AJ$1000,411),Cálculos!$AJ$5:$AJ$1000,0)+4,"")</f>
        <v/>
      </c>
    </row>
    <row r="416">
      <c r="B416" s="5" t="str">
        <f>IF($H416="","",INDEX('Detalle individual'!$B:$B,$H416))</f>
        <v/>
      </c>
      <c r="C416" s="5" t="str">
        <f>IF($H416="","",INDEX('Detalle individual'!$A:$A,$H416))</f>
        <v/>
      </c>
      <c r="D416" s="5" t="str">
        <f>IF($H416="","",INDEX('Detalle individual'!$E:$E,$H416))</f>
        <v/>
      </c>
      <c r="E416" s="5" t="str">
        <f>IF($H416="","",INDEX('Detalle individual'!$C:$C,$H416))</f>
        <v/>
      </c>
      <c r="F416" s="5" t="str">
        <f>IF($H416="","",INDEX('Detalle individual'!$D:$D,$H416))</f>
        <v/>
      </c>
      <c r="G416" s="5" t="str">
        <f>IF($H416="","",INDEX('Detalle individual'!$F:$F,$H416))</f>
        <v/>
      </c>
      <c r="H416" t="str">
        <f>IFERROR(MATCH(SMALL(Cálculos!$AJ$5:$AJ$1000,412),Cálculos!$AJ$5:$AJ$1000,0)+4,"")</f>
        <v/>
      </c>
    </row>
    <row r="417">
      <c r="B417" s="5" t="str">
        <f>IF($H417="","",INDEX('Detalle individual'!$B:$B,$H417))</f>
        <v/>
      </c>
      <c r="C417" s="5" t="str">
        <f>IF($H417="","",INDEX('Detalle individual'!$A:$A,$H417))</f>
        <v/>
      </c>
      <c r="D417" s="5" t="str">
        <f>IF($H417="","",INDEX('Detalle individual'!$E:$E,$H417))</f>
        <v/>
      </c>
      <c r="E417" s="5" t="str">
        <f>IF($H417="","",INDEX('Detalle individual'!$C:$C,$H417))</f>
        <v/>
      </c>
      <c r="F417" s="5" t="str">
        <f>IF($H417="","",INDEX('Detalle individual'!$D:$D,$H417))</f>
        <v/>
      </c>
      <c r="G417" s="5" t="str">
        <f>IF($H417="","",INDEX('Detalle individual'!$F:$F,$H417))</f>
        <v/>
      </c>
      <c r="H417" t="str">
        <f>IFERROR(MATCH(SMALL(Cálculos!$AJ$5:$AJ$1000,413),Cálculos!$AJ$5:$AJ$1000,0)+4,"")</f>
        <v/>
      </c>
    </row>
    <row r="418">
      <c r="B418" s="5" t="str">
        <f>IF($H418="","",INDEX('Detalle individual'!$B:$B,$H418))</f>
        <v/>
      </c>
      <c r="C418" s="5" t="str">
        <f>IF($H418="","",INDEX('Detalle individual'!$A:$A,$H418))</f>
        <v/>
      </c>
      <c r="D418" s="5" t="str">
        <f>IF($H418="","",INDEX('Detalle individual'!$E:$E,$H418))</f>
        <v/>
      </c>
      <c r="E418" s="5" t="str">
        <f>IF($H418="","",INDEX('Detalle individual'!$C:$C,$H418))</f>
        <v/>
      </c>
      <c r="F418" s="5" t="str">
        <f>IF($H418="","",INDEX('Detalle individual'!$D:$D,$H418))</f>
        <v/>
      </c>
      <c r="G418" s="5" t="str">
        <f>IF($H418="","",INDEX('Detalle individual'!$F:$F,$H418))</f>
        <v/>
      </c>
      <c r="H418" t="str">
        <f>IFERROR(MATCH(SMALL(Cálculos!$AJ$5:$AJ$1000,414),Cálculos!$AJ$5:$AJ$1000,0)+4,"")</f>
        <v/>
      </c>
    </row>
    <row r="419">
      <c r="B419" s="5" t="str">
        <f>IF($H419="","",INDEX('Detalle individual'!$B:$B,$H419))</f>
        <v/>
      </c>
      <c r="C419" s="5" t="str">
        <f>IF($H419="","",INDEX('Detalle individual'!$A:$A,$H419))</f>
        <v/>
      </c>
      <c r="D419" s="5" t="str">
        <f>IF($H419="","",INDEX('Detalle individual'!$E:$E,$H419))</f>
        <v/>
      </c>
      <c r="E419" s="5" t="str">
        <f>IF($H419="","",INDEX('Detalle individual'!$C:$C,$H419))</f>
        <v/>
      </c>
      <c r="F419" s="5" t="str">
        <f>IF($H419="","",INDEX('Detalle individual'!$D:$D,$H419))</f>
        <v/>
      </c>
      <c r="G419" s="5" t="str">
        <f>IF($H419="","",INDEX('Detalle individual'!$F:$F,$H419))</f>
        <v/>
      </c>
      <c r="H419" t="str">
        <f>IFERROR(MATCH(SMALL(Cálculos!$AJ$5:$AJ$1000,415),Cálculos!$AJ$5:$AJ$1000,0)+4,"")</f>
        <v/>
      </c>
    </row>
    <row r="420">
      <c r="B420" s="5" t="str">
        <f>IF($H420="","",INDEX('Detalle individual'!$B:$B,$H420))</f>
        <v/>
      </c>
      <c r="C420" s="5" t="str">
        <f>IF($H420="","",INDEX('Detalle individual'!$A:$A,$H420))</f>
        <v/>
      </c>
      <c r="D420" s="5" t="str">
        <f>IF($H420="","",INDEX('Detalle individual'!$E:$E,$H420))</f>
        <v/>
      </c>
      <c r="E420" s="5" t="str">
        <f>IF($H420="","",INDEX('Detalle individual'!$C:$C,$H420))</f>
        <v/>
      </c>
      <c r="F420" s="5" t="str">
        <f>IF($H420="","",INDEX('Detalle individual'!$D:$D,$H420))</f>
        <v/>
      </c>
      <c r="G420" s="5" t="str">
        <f>IF($H420="","",INDEX('Detalle individual'!$F:$F,$H420))</f>
        <v/>
      </c>
      <c r="H420" t="str">
        <f>IFERROR(MATCH(SMALL(Cálculos!$AJ$5:$AJ$1000,416),Cálculos!$AJ$5:$AJ$1000,0)+4,"")</f>
        <v/>
      </c>
    </row>
    <row r="421">
      <c r="B421" s="5" t="str">
        <f>IF($H421="","",INDEX('Detalle individual'!$B:$B,$H421))</f>
        <v/>
      </c>
      <c r="C421" s="5" t="str">
        <f>IF($H421="","",INDEX('Detalle individual'!$A:$A,$H421))</f>
        <v/>
      </c>
      <c r="D421" s="5" t="str">
        <f>IF($H421="","",INDEX('Detalle individual'!$E:$E,$H421))</f>
        <v/>
      </c>
      <c r="E421" s="5" t="str">
        <f>IF($H421="","",INDEX('Detalle individual'!$C:$C,$H421))</f>
        <v/>
      </c>
      <c r="F421" s="5" t="str">
        <f>IF($H421="","",INDEX('Detalle individual'!$D:$D,$H421))</f>
        <v/>
      </c>
      <c r="G421" s="5" t="str">
        <f>IF($H421="","",INDEX('Detalle individual'!$F:$F,$H421))</f>
        <v/>
      </c>
      <c r="H421" t="str">
        <f>IFERROR(MATCH(SMALL(Cálculos!$AJ$5:$AJ$1000,417),Cálculos!$AJ$5:$AJ$1000,0)+4,"")</f>
        <v/>
      </c>
    </row>
    <row r="422">
      <c r="B422" s="5" t="str">
        <f>IF($H422="","",INDEX('Detalle individual'!$B:$B,$H422))</f>
        <v/>
      </c>
      <c r="C422" s="5" t="str">
        <f>IF($H422="","",INDEX('Detalle individual'!$A:$A,$H422))</f>
        <v/>
      </c>
      <c r="D422" s="5" t="str">
        <f>IF($H422="","",INDEX('Detalle individual'!$E:$E,$H422))</f>
        <v/>
      </c>
      <c r="E422" s="5" t="str">
        <f>IF($H422="","",INDEX('Detalle individual'!$C:$C,$H422))</f>
        <v/>
      </c>
      <c r="F422" s="5" t="str">
        <f>IF($H422="","",INDEX('Detalle individual'!$D:$D,$H422))</f>
        <v/>
      </c>
      <c r="G422" s="5" t="str">
        <f>IF($H422="","",INDEX('Detalle individual'!$F:$F,$H422))</f>
        <v/>
      </c>
      <c r="H422" t="str">
        <f>IFERROR(MATCH(SMALL(Cálculos!$AJ$5:$AJ$1000,418),Cálculos!$AJ$5:$AJ$1000,0)+4,"")</f>
        <v/>
      </c>
    </row>
    <row r="423">
      <c r="B423" s="5" t="str">
        <f>IF($H423="","",INDEX('Detalle individual'!$B:$B,$H423))</f>
        <v/>
      </c>
      <c r="C423" s="5" t="str">
        <f>IF($H423="","",INDEX('Detalle individual'!$A:$A,$H423))</f>
        <v/>
      </c>
      <c r="D423" s="5" t="str">
        <f>IF($H423="","",INDEX('Detalle individual'!$E:$E,$H423))</f>
        <v/>
      </c>
      <c r="E423" s="5" t="str">
        <f>IF($H423="","",INDEX('Detalle individual'!$C:$C,$H423))</f>
        <v/>
      </c>
      <c r="F423" s="5" t="str">
        <f>IF($H423="","",INDEX('Detalle individual'!$D:$D,$H423))</f>
        <v/>
      </c>
      <c r="G423" s="5" t="str">
        <f>IF($H423="","",INDEX('Detalle individual'!$F:$F,$H423))</f>
        <v/>
      </c>
      <c r="H423" t="str">
        <f>IFERROR(MATCH(SMALL(Cálculos!$AJ$5:$AJ$1000,419),Cálculos!$AJ$5:$AJ$1000,0)+4,"")</f>
        <v/>
      </c>
    </row>
    <row r="424">
      <c r="B424" s="5" t="str">
        <f>IF($H424="","",INDEX('Detalle individual'!$B:$B,$H424))</f>
        <v/>
      </c>
      <c r="C424" s="5" t="str">
        <f>IF($H424="","",INDEX('Detalle individual'!$A:$A,$H424))</f>
        <v/>
      </c>
      <c r="D424" s="5" t="str">
        <f>IF($H424="","",INDEX('Detalle individual'!$E:$E,$H424))</f>
        <v/>
      </c>
      <c r="E424" s="5" t="str">
        <f>IF($H424="","",INDEX('Detalle individual'!$C:$C,$H424))</f>
        <v/>
      </c>
      <c r="F424" s="5" t="str">
        <f>IF($H424="","",INDEX('Detalle individual'!$D:$D,$H424))</f>
        <v/>
      </c>
      <c r="G424" s="5" t="str">
        <f>IF($H424="","",INDEX('Detalle individual'!$F:$F,$H424))</f>
        <v/>
      </c>
      <c r="H424" t="str">
        <f>IFERROR(MATCH(SMALL(Cálculos!$AJ$5:$AJ$1000,420),Cálculos!$AJ$5:$AJ$1000,0)+4,"")</f>
        <v/>
      </c>
    </row>
    <row r="425">
      <c r="B425" s="5" t="str">
        <f>IF($H425="","",INDEX('Detalle individual'!$B:$B,$H425))</f>
        <v/>
      </c>
      <c r="C425" s="5" t="str">
        <f>IF($H425="","",INDEX('Detalle individual'!$A:$A,$H425))</f>
        <v/>
      </c>
      <c r="D425" s="5" t="str">
        <f>IF($H425="","",INDEX('Detalle individual'!$E:$E,$H425))</f>
        <v/>
      </c>
      <c r="E425" s="5" t="str">
        <f>IF($H425="","",INDEX('Detalle individual'!$C:$C,$H425))</f>
        <v/>
      </c>
      <c r="F425" s="5" t="str">
        <f>IF($H425="","",INDEX('Detalle individual'!$D:$D,$H425))</f>
        <v/>
      </c>
      <c r="G425" s="5" t="str">
        <f>IF($H425="","",INDEX('Detalle individual'!$F:$F,$H425))</f>
        <v/>
      </c>
      <c r="H425" t="str">
        <f>IFERROR(MATCH(SMALL(Cálculos!$AJ$5:$AJ$1000,421),Cálculos!$AJ$5:$AJ$1000,0)+4,"")</f>
        <v/>
      </c>
    </row>
    <row r="426">
      <c r="B426" s="5" t="str">
        <f>IF($H426="","",INDEX('Detalle individual'!$B:$B,$H426))</f>
        <v/>
      </c>
      <c r="C426" s="5" t="str">
        <f>IF($H426="","",INDEX('Detalle individual'!$A:$A,$H426))</f>
        <v/>
      </c>
      <c r="D426" s="5" t="str">
        <f>IF($H426="","",INDEX('Detalle individual'!$E:$E,$H426))</f>
        <v/>
      </c>
      <c r="E426" s="5" t="str">
        <f>IF($H426="","",INDEX('Detalle individual'!$C:$C,$H426))</f>
        <v/>
      </c>
      <c r="F426" s="5" t="str">
        <f>IF($H426="","",INDEX('Detalle individual'!$D:$D,$H426))</f>
        <v/>
      </c>
      <c r="G426" s="5" t="str">
        <f>IF($H426="","",INDEX('Detalle individual'!$F:$F,$H426))</f>
        <v/>
      </c>
      <c r="H426" t="str">
        <f>IFERROR(MATCH(SMALL(Cálculos!$AJ$5:$AJ$1000,422),Cálculos!$AJ$5:$AJ$1000,0)+4,"")</f>
        <v/>
      </c>
    </row>
    <row r="427">
      <c r="B427" s="5" t="str">
        <f>IF($H427="","",INDEX('Detalle individual'!$B:$B,$H427))</f>
        <v/>
      </c>
      <c r="C427" s="5" t="str">
        <f>IF($H427="","",INDEX('Detalle individual'!$A:$A,$H427))</f>
        <v/>
      </c>
      <c r="D427" s="5" t="str">
        <f>IF($H427="","",INDEX('Detalle individual'!$E:$E,$H427))</f>
        <v/>
      </c>
      <c r="E427" s="5" t="str">
        <f>IF($H427="","",INDEX('Detalle individual'!$C:$C,$H427))</f>
        <v/>
      </c>
      <c r="F427" s="5" t="str">
        <f>IF($H427="","",INDEX('Detalle individual'!$D:$D,$H427))</f>
        <v/>
      </c>
      <c r="G427" s="5" t="str">
        <f>IF($H427="","",INDEX('Detalle individual'!$F:$F,$H427))</f>
        <v/>
      </c>
      <c r="H427" t="str">
        <f>IFERROR(MATCH(SMALL(Cálculos!$AJ$5:$AJ$1000,423),Cálculos!$AJ$5:$AJ$1000,0)+4,"")</f>
        <v/>
      </c>
    </row>
    <row r="428">
      <c r="B428" s="5" t="str">
        <f>IF($H428="","",INDEX('Detalle individual'!$B:$B,$H428))</f>
        <v/>
      </c>
      <c r="C428" s="5" t="str">
        <f>IF($H428="","",INDEX('Detalle individual'!$A:$A,$H428))</f>
        <v/>
      </c>
      <c r="D428" s="5" t="str">
        <f>IF($H428="","",INDEX('Detalle individual'!$E:$E,$H428))</f>
        <v/>
      </c>
      <c r="E428" s="5" t="str">
        <f>IF($H428="","",INDEX('Detalle individual'!$C:$C,$H428))</f>
        <v/>
      </c>
      <c r="F428" s="5" t="str">
        <f>IF($H428="","",INDEX('Detalle individual'!$D:$D,$H428))</f>
        <v/>
      </c>
      <c r="G428" s="5" t="str">
        <f>IF($H428="","",INDEX('Detalle individual'!$F:$F,$H428))</f>
        <v/>
      </c>
      <c r="H428" t="str">
        <f>IFERROR(MATCH(SMALL(Cálculos!$AJ$5:$AJ$1000,424),Cálculos!$AJ$5:$AJ$1000,0)+4,"")</f>
        <v/>
      </c>
    </row>
    <row r="429">
      <c r="B429" s="5" t="str">
        <f>IF($H429="","",INDEX('Detalle individual'!$B:$B,$H429))</f>
        <v/>
      </c>
      <c r="C429" s="5" t="str">
        <f>IF($H429="","",INDEX('Detalle individual'!$A:$A,$H429))</f>
        <v/>
      </c>
      <c r="D429" s="5" t="str">
        <f>IF($H429="","",INDEX('Detalle individual'!$E:$E,$H429))</f>
        <v/>
      </c>
      <c r="E429" s="5" t="str">
        <f>IF($H429="","",INDEX('Detalle individual'!$C:$C,$H429))</f>
        <v/>
      </c>
      <c r="F429" s="5" t="str">
        <f>IF($H429="","",INDEX('Detalle individual'!$D:$D,$H429))</f>
        <v/>
      </c>
      <c r="G429" s="5" t="str">
        <f>IF($H429="","",INDEX('Detalle individual'!$F:$F,$H429))</f>
        <v/>
      </c>
      <c r="H429" t="str">
        <f>IFERROR(MATCH(SMALL(Cálculos!$AJ$5:$AJ$1000,425),Cálculos!$AJ$5:$AJ$1000,0)+4,"")</f>
        <v/>
      </c>
    </row>
    <row r="430">
      <c r="B430" s="5" t="str">
        <f>IF($H430="","",INDEX('Detalle individual'!$B:$B,$H430))</f>
        <v/>
      </c>
      <c r="C430" s="5" t="str">
        <f>IF($H430="","",INDEX('Detalle individual'!$A:$A,$H430))</f>
        <v/>
      </c>
      <c r="D430" s="5" t="str">
        <f>IF($H430="","",INDEX('Detalle individual'!$E:$E,$H430))</f>
        <v/>
      </c>
      <c r="E430" s="5" t="str">
        <f>IF($H430="","",INDEX('Detalle individual'!$C:$C,$H430))</f>
        <v/>
      </c>
      <c r="F430" s="5" t="str">
        <f>IF($H430="","",INDEX('Detalle individual'!$D:$D,$H430))</f>
        <v/>
      </c>
      <c r="G430" s="5" t="str">
        <f>IF($H430="","",INDEX('Detalle individual'!$F:$F,$H430))</f>
        <v/>
      </c>
      <c r="H430" t="str">
        <f>IFERROR(MATCH(SMALL(Cálculos!$AJ$5:$AJ$1000,426),Cálculos!$AJ$5:$AJ$1000,0)+4,"")</f>
        <v/>
      </c>
    </row>
    <row r="431">
      <c r="B431" s="5" t="str">
        <f>IF($H431="","",INDEX('Detalle individual'!$B:$B,$H431))</f>
        <v/>
      </c>
      <c r="C431" s="5" t="str">
        <f>IF($H431="","",INDEX('Detalle individual'!$A:$A,$H431))</f>
        <v/>
      </c>
      <c r="D431" s="5" t="str">
        <f>IF($H431="","",INDEX('Detalle individual'!$E:$E,$H431))</f>
        <v/>
      </c>
      <c r="E431" s="5" t="str">
        <f>IF($H431="","",INDEX('Detalle individual'!$C:$C,$H431))</f>
        <v/>
      </c>
      <c r="F431" s="5" t="str">
        <f>IF($H431="","",INDEX('Detalle individual'!$D:$D,$H431))</f>
        <v/>
      </c>
      <c r="G431" s="5" t="str">
        <f>IF($H431="","",INDEX('Detalle individual'!$F:$F,$H431))</f>
        <v/>
      </c>
      <c r="H431" t="str">
        <f>IFERROR(MATCH(SMALL(Cálculos!$AJ$5:$AJ$1000,427),Cálculos!$AJ$5:$AJ$1000,0)+4,"")</f>
        <v/>
      </c>
    </row>
    <row r="432">
      <c r="B432" s="5" t="str">
        <f>IF($H432="","",INDEX('Detalle individual'!$B:$B,$H432))</f>
        <v/>
      </c>
      <c r="C432" s="5" t="str">
        <f>IF($H432="","",INDEX('Detalle individual'!$A:$A,$H432))</f>
        <v/>
      </c>
      <c r="D432" s="5" t="str">
        <f>IF($H432="","",INDEX('Detalle individual'!$E:$E,$H432))</f>
        <v/>
      </c>
      <c r="E432" s="5" t="str">
        <f>IF($H432="","",INDEX('Detalle individual'!$C:$C,$H432))</f>
        <v/>
      </c>
      <c r="F432" s="5" t="str">
        <f>IF($H432="","",INDEX('Detalle individual'!$D:$D,$H432))</f>
        <v/>
      </c>
      <c r="G432" s="5" t="str">
        <f>IF($H432="","",INDEX('Detalle individual'!$F:$F,$H432))</f>
        <v/>
      </c>
      <c r="H432" t="str">
        <f>IFERROR(MATCH(SMALL(Cálculos!$AJ$5:$AJ$1000,428),Cálculos!$AJ$5:$AJ$1000,0)+4,"")</f>
        <v/>
      </c>
    </row>
    <row r="433">
      <c r="B433" s="5" t="str">
        <f>IF($H433="","",INDEX('Detalle individual'!$B:$B,$H433))</f>
        <v/>
      </c>
      <c r="C433" s="5" t="str">
        <f>IF($H433="","",INDEX('Detalle individual'!$A:$A,$H433))</f>
        <v/>
      </c>
      <c r="D433" s="5" t="str">
        <f>IF($H433="","",INDEX('Detalle individual'!$E:$E,$H433))</f>
        <v/>
      </c>
      <c r="E433" s="5" t="str">
        <f>IF($H433="","",INDEX('Detalle individual'!$C:$C,$H433))</f>
        <v/>
      </c>
      <c r="F433" s="5" t="str">
        <f>IF($H433="","",INDEX('Detalle individual'!$D:$D,$H433))</f>
        <v/>
      </c>
      <c r="G433" s="5" t="str">
        <f>IF($H433="","",INDEX('Detalle individual'!$F:$F,$H433))</f>
        <v/>
      </c>
      <c r="H433" t="str">
        <f>IFERROR(MATCH(SMALL(Cálculos!$AJ$5:$AJ$1000,429),Cálculos!$AJ$5:$AJ$1000,0)+4,"")</f>
        <v/>
      </c>
    </row>
    <row r="434">
      <c r="B434" s="5" t="str">
        <f>IF($H434="","",INDEX('Detalle individual'!$B:$B,$H434))</f>
        <v/>
      </c>
      <c r="C434" s="5" t="str">
        <f>IF($H434="","",INDEX('Detalle individual'!$A:$A,$H434))</f>
        <v/>
      </c>
      <c r="D434" s="5" t="str">
        <f>IF($H434="","",INDEX('Detalle individual'!$E:$E,$H434))</f>
        <v/>
      </c>
      <c r="E434" s="5" t="str">
        <f>IF($H434="","",INDEX('Detalle individual'!$C:$C,$H434))</f>
        <v/>
      </c>
      <c r="F434" s="5" t="str">
        <f>IF($H434="","",INDEX('Detalle individual'!$D:$D,$H434))</f>
        <v/>
      </c>
      <c r="G434" s="5" t="str">
        <f>IF($H434="","",INDEX('Detalle individual'!$F:$F,$H434))</f>
        <v/>
      </c>
      <c r="H434" t="str">
        <f>IFERROR(MATCH(SMALL(Cálculos!$AJ$5:$AJ$1000,430),Cálculos!$AJ$5:$AJ$1000,0)+4,"")</f>
        <v/>
      </c>
    </row>
    <row r="435">
      <c r="B435" s="5" t="str">
        <f>IF($H435="","",INDEX('Detalle individual'!$B:$B,$H435))</f>
        <v/>
      </c>
      <c r="C435" s="5" t="str">
        <f>IF($H435="","",INDEX('Detalle individual'!$A:$A,$H435))</f>
        <v/>
      </c>
      <c r="D435" s="5" t="str">
        <f>IF($H435="","",INDEX('Detalle individual'!$E:$E,$H435))</f>
        <v/>
      </c>
      <c r="E435" s="5" t="str">
        <f>IF($H435="","",INDEX('Detalle individual'!$C:$C,$H435))</f>
        <v/>
      </c>
      <c r="F435" s="5" t="str">
        <f>IF($H435="","",INDEX('Detalle individual'!$D:$D,$H435))</f>
        <v/>
      </c>
      <c r="G435" s="5" t="str">
        <f>IF($H435="","",INDEX('Detalle individual'!$F:$F,$H435))</f>
        <v/>
      </c>
      <c r="H435" t="str">
        <f>IFERROR(MATCH(SMALL(Cálculos!$AJ$5:$AJ$1000,431),Cálculos!$AJ$5:$AJ$1000,0)+4,"")</f>
        <v/>
      </c>
    </row>
    <row r="436">
      <c r="B436" s="5" t="str">
        <f>IF($H436="","",INDEX('Detalle individual'!$B:$B,$H436))</f>
        <v/>
      </c>
      <c r="C436" s="5" t="str">
        <f>IF($H436="","",INDEX('Detalle individual'!$A:$A,$H436))</f>
        <v/>
      </c>
      <c r="D436" s="5" t="str">
        <f>IF($H436="","",INDEX('Detalle individual'!$E:$E,$H436))</f>
        <v/>
      </c>
      <c r="E436" s="5" t="str">
        <f>IF($H436="","",INDEX('Detalle individual'!$C:$C,$H436))</f>
        <v/>
      </c>
      <c r="F436" s="5" t="str">
        <f>IF($H436="","",INDEX('Detalle individual'!$D:$D,$H436))</f>
        <v/>
      </c>
      <c r="G436" s="5" t="str">
        <f>IF($H436="","",INDEX('Detalle individual'!$F:$F,$H436))</f>
        <v/>
      </c>
      <c r="H436" t="str">
        <f>IFERROR(MATCH(SMALL(Cálculos!$AJ$5:$AJ$1000,432),Cálculos!$AJ$5:$AJ$1000,0)+4,"")</f>
        <v/>
      </c>
    </row>
    <row r="437">
      <c r="B437" s="5" t="str">
        <f>IF($H437="","",INDEX('Detalle individual'!$B:$B,$H437))</f>
        <v/>
      </c>
      <c r="C437" s="5" t="str">
        <f>IF($H437="","",INDEX('Detalle individual'!$A:$A,$H437))</f>
        <v/>
      </c>
      <c r="D437" s="5" t="str">
        <f>IF($H437="","",INDEX('Detalle individual'!$E:$E,$H437))</f>
        <v/>
      </c>
      <c r="E437" s="5" t="str">
        <f>IF($H437="","",INDEX('Detalle individual'!$C:$C,$H437))</f>
        <v/>
      </c>
      <c r="F437" s="5" t="str">
        <f>IF($H437="","",INDEX('Detalle individual'!$D:$D,$H437))</f>
        <v/>
      </c>
      <c r="G437" s="5" t="str">
        <f>IF($H437="","",INDEX('Detalle individual'!$F:$F,$H437))</f>
        <v/>
      </c>
      <c r="H437" t="str">
        <f>IFERROR(MATCH(SMALL(Cálculos!$AJ$5:$AJ$1000,433),Cálculos!$AJ$5:$AJ$1000,0)+4,"")</f>
        <v/>
      </c>
    </row>
    <row r="438">
      <c r="B438" s="5" t="str">
        <f>IF($H438="","",INDEX('Detalle individual'!$B:$B,$H438))</f>
        <v/>
      </c>
      <c r="C438" s="5" t="str">
        <f>IF($H438="","",INDEX('Detalle individual'!$A:$A,$H438))</f>
        <v/>
      </c>
      <c r="D438" s="5" t="str">
        <f>IF($H438="","",INDEX('Detalle individual'!$E:$E,$H438))</f>
        <v/>
      </c>
      <c r="E438" s="5" t="str">
        <f>IF($H438="","",INDEX('Detalle individual'!$C:$C,$H438))</f>
        <v/>
      </c>
      <c r="F438" s="5" t="str">
        <f>IF($H438="","",INDEX('Detalle individual'!$D:$D,$H438))</f>
        <v/>
      </c>
      <c r="G438" s="5" t="str">
        <f>IF($H438="","",INDEX('Detalle individual'!$F:$F,$H438))</f>
        <v/>
      </c>
      <c r="H438" t="str">
        <f>IFERROR(MATCH(SMALL(Cálculos!$AJ$5:$AJ$1000,434),Cálculos!$AJ$5:$AJ$1000,0)+4,"")</f>
        <v/>
      </c>
    </row>
    <row r="439">
      <c r="B439" s="5" t="str">
        <f>IF($H439="","",INDEX('Detalle individual'!$B:$B,$H439))</f>
        <v/>
      </c>
      <c r="C439" s="5" t="str">
        <f>IF($H439="","",INDEX('Detalle individual'!$A:$A,$H439))</f>
        <v/>
      </c>
      <c r="D439" s="5" t="str">
        <f>IF($H439="","",INDEX('Detalle individual'!$E:$E,$H439))</f>
        <v/>
      </c>
      <c r="E439" s="5" t="str">
        <f>IF($H439="","",INDEX('Detalle individual'!$C:$C,$H439))</f>
        <v/>
      </c>
      <c r="F439" s="5" t="str">
        <f>IF($H439="","",INDEX('Detalle individual'!$D:$D,$H439))</f>
        <v/>
      </c>
      <c r="G439" s="5" t="str">
        <f>IF($H439="","",INDEX('Detalle individual'!$F:$F,$H439))</f>
        <v/>
      </c>
      <c r="H439" t="str">
        <f>IFERROR(MATCH(SMALL(Cálculos!$AJ$5:$AJ$1000,435),Cálculos!$AJ$5:$AJ$1000,0)+4,"")</f>
        <v/>
      </c>
    </row>
    <row r="440">
      <c r="B440" s="5" t="str">
        <f>IF($H440="","",INDEX('Detalle individual'!$B:$B,$H440))</f>
        <v/>
      </c>
      <c r="C440" s="5" t="str">
        <f>IF($H440="","",INDEX('Detalle individual'!$A:$A,$H440))</f>
        <v/>
      </c>
      <c r="D440" s="5" t="str">
        <f>IF($H440="","",INDEX('Detalle individual'!$E:$E,$H440))</f>
        <v/>
      </c>
      <c r="E440" s="5" t="str">
        <f>IF($H440="","",INDEX('Detalle individual'!$C:$C,$H440))</f>
        <v/>
      </c>
      <c r="F440" s="5" t="str">
        <f>IF($H440="","",INDEX('Detalle individual'!$D:$D,$H440))</f>
        <v/>
      </c>
      <c r="G440" s="5" t="str">
        <f>IF($H440="","",INDEX('Detalle individual'!$F:$F,$H440))</f>
        <v/>
      </c>
      <c r="H440" t="str">
        <f>IFERROR(MATCH(SMALL(Cálculos!$AJ$5:$AJ$1000,436),Cálculos!$AJ$5:$AJ$1000,0)+4,"")</f>
        <v/>
      </c>
    </row>
    <row r="441">
      <c r="B441" s="5" t="str">
        <f>IF($H441="","",INDEX('Detalle individual'!$B:$B,$H441))</f>
        <v/>
      </c>
      <c r="C441" s="5" t="str">
        <f>IF($H441="","",INDEX('Detalle individual'!$A:$A,$H441))</f>
        <v/>
      </c>
      <c r="D441" s="5" t="str">
        <f>IF($H441="","",INDEX('Detalle individual'!$E:$E,$H441))</f>
        <v/>
      </c>
      <c r="E441" s="5" t="str">
        <f>IF($H441="","",INDEX('Detalle individual'!$C:$C,$H441))</f>
        <v/>
      </c>
      <c r="F441" s="5" t="str">
        <f>IF($H441="","",INDEX('Detalle individual'!$D:$D,$H441))</f>
        <v/>
      </c>
      <c r="G441" s="5" t="str">
        <f>IF($H441="","",INDEX('Detalle individual'!$F:$F,$H441))</f>
        <v/>
      </c>
      <c r="H441" t="str">
        <f>IFERROR(MATCH(SMALL(Cálculos!$AJ$5:$AJ$1000,437),Cálculos!$AJ$5:$AJ$1000,0)+4,"")</f>
        <v/>
      </c>
    </row>
    <row r="442">
      <c r="B442" s="5" t="str">
        <f>IF($H442="","",INDEX('Detalle individual'!$B:$B,$H442))</f>
        <v/>
      </c>
      <c r="C442" s="5" t="str">
        <f>IF($H442="","",INDEX('Detalle individual'!$A:$A,$H442))</f>
        <v/>
      </c>
      <c r="D442" s="5" t="str">
        <f>IF($H442="","",INDEX('Detalle individual'!$E:$E,$H442))</f>
        <v/>
      </c>
      <c r="E442" s="5" t="str">
        <f>IF($H442="","",INDEX('Detalle individual'!$C:$C,$H442))</f>
        <v/>
      </c>
      <c r="F442" s="5" t="str">
        <f>IF($H442="","",INDEX('Detalle individual'!$D:$D,$H442))</f>
        <v/>
      </c>
      <c r="G442" s="5" t="str">
        <f>IF($H442="","",INDEX('Detalle individual'!$F:$F,$H442))</f>
        <v/>
      </c>
      <c r="H442" t="str">
        <f>IFERROR(MATCH(SMALL(Cálculos!$AJ$5:$AJ$1000,438),Cálculos!$AJ$5:$AJ$1000,0)+4,"")</f>
        <v/>
      </c>
    </row>
    <row r="443">
      <c r="B443" s="5" t="str">
        <f>IF($H443="","",INDEX('Detalle individual'!$B:$B,$H443))</f>
        <v/>
      </c>
      <c r="C443" s="5" t="str">
        <f>IF($H443="","",INDEX('Detalle individual'!$A:$A,$H443))</f>
        <v/>
      </c>
      <c r="D443" s="5" t="str">
        <f>IF($H443="","",INDEX('Detalle individual'!$E:$E,$H443))</f>
        <v/>
      </c>
      <c r="E443" s="5" t="str">
        <f>IF($H443="","",INDEX('Detalle individual'!$C:$C,$H443))</f>
        <v/>
      </c>
      <c r="F443" s="5" t="str">
        <f>IF($H443="","",INDEX('Detalle individual'!$D:$D,$H443))</f>
        <v/>
      </c>
      <c r="G443" s="5" t="str">
        <f>IF($H443="","",INDEX('Detalle individual'!$F:$F,$H443))</f>
        <v/>
      </c>
      <c r="H443" t="str">
        <f>IFERROR(MATCH(SMALL(Cálculos!$AJ$5:$AJ$1000,439),Cálculos!$AJ$5:$AJ$1000,0)+4,"")</f>
        <v/>
      </c>
    </row>
    <row r="444">
      <c r="B444" s="5" t="str">
        <f>IF($H444="","",INDEX('Detalle individual'!$B:$B,$H444))</f>
        <v/>
      </c>
      <c r="C444" s="5" t="str">
        <f>IF($H444="","",INDEX('Detalle individual'!$A:$A,$H444))</f>
        <v/>
      </c>
      <c r="D444" s="5" t="str">
        <f>IF($H444="","",INDEX('Detalle individual'!$E:$E,$H444))</f>
        <v/>
      </c>
      <c r="E444" s="5" t="str">
        <f>IF($H444="","",INDEX('Detalle individual'!$C:$C,$H444))</f>
        <v/>
      </c>
      <c r="F444" s="5" t="str">
        <f>IF($H444="","",INDEX('Detalle individual'!$D:$D,$H444))</f>
        <v/>
      </c>
      <c r="G444" s="5" t="str">
        <f>IF($H444="","",INDEX('Detalle individual'!$F:$F,$H444))</f>
        <v/>
      </c>
      <c r="H444" t="str">
        <f>IFERROR(MATCH(SMALL(Cálculos!$AJ$5:$AJ$1000,440),Cálculos!$AJ$5:$AJ$1000,0)+4,"")</f>
        <v/>
      </c>
    </row>
    <row r="445">
      <c r="B445" s="5" t="str">
        <f>IF($H445="","",INDEX('Detalle individual'!$B:$B,$H445))</f>
        <v/>
      </c>
      <c r="C445" s="5" t="str">
        <f>IF($H445="","",INDEX('Detalle individual'!$A:$A,$H445))</f>
        <v/>
      </c>
      <c r="D445" s="5" t="str">
        <f>IF($H445="","",INDEX('Detalle individual'!$E:$E,$H445))</f>
        <v/>
      </c>
      <c r="E445" s="5" t="str">
        <f>IF($H445="","",INDEX('Detalle individual'!$C:$C,$H445))</f>
        <v/>
      </c>
      <c r="F445" s="5" t="str">
        <f>IF($H445="","",INDEX('Detalle individual'!$D:$D,$H445))</f>
        <v/>
      </c>
      <c r="G445" s="5" t="str">
        <f>IF($H445="","",INDEX('Detalle individual'!$F:$F,$H445))</f>
        <v/>
      </c>
      <c r="H445" t="str">
        <f>IFERROR(MATCH(SMALL(Cálculos!$AJ$5:$AJ$1000,441),Cálculos!$AJ$5:$AJ$1000,0)+4,"")</f>
        <v/>
      </c>
    </row>
    <row r="446">
      <c r="B446" s="5" t="str">
        <f>IF($H446="","",INDEX('Detalle individual'!$B:$B,$H446))</f>
        <v/>
      </c>
      <c r="C446" s="5" t="str">
        <f>IF($H446="","",INDEX('Detalle individual'!$A:$A,$H446))</f>
        <v/>
      </c>
      <c r="D446" s="5" t="str">
        <f>IF($H446="","",INDEX('Detalle individual'!$E:$E,$H446))</f>
        <v/>
      </c>
      <c r="E446" s="5" t="str">
        <f>IF($H446="","",INDEX('Detalle individual'!$C:$C,$H446))</f>
        <v/>
      </c>
      <c r="F446" s="5" t="str">
        <f>IF($H446="","",INDEX('Detalle individual'!$D:$D,$H446))</f>
        <v/>
      </c>
      <c r="G446" s="5" t="str">
        <f>IF($H446="","",INDEX('Detalle individual'!$F:$F,$H446))</f>
        <v/>
      </c>
      <c r="H446" t="str">
        <f>IFERROR(MATCH(SMALL(Cálculos!$AJ$5:$AJ$1000,442),Cálculos!$AJ$5:$AJ$1000,0)+4,"")</f>
        <v/>
      </c>
    </row>
    <row r="447">
      <c r="B447" s="5" t="str">
        <f>IF($H447="","",INDEX('Detalle individual'!$B:$B,$H447))</f>
        <v/>
      </c>
      <c r="C447" s="5" t="str">
        <f>IF($H447="","",INDEX('Detalle individual'!$A:$A,$H447))</f>
        <v/>
      </c>
      <c r="D447" s="5" t="str">
        <f>IF($H447="","",INDEX('Detalle individual'!$E:$E,$H447))</f>
        <v/>
      </c>
      <c r="E447" s="5" t="str">
        <f>IF($H447="","",INDEX('Detalle individual'!$C:$C,$H447))</f>
        <v/>
      </c>
      <c r="F447" s="5" t="str">
        <f>IF($H447="","",INDEX('Detalle individual'!$D:$D,$H447))</f>
        <v/>
      </c>
      <c r="G447" s="5" t="str">
        <f>IF($H447="","",INDEX('Detalle individual'!$F:$F,$H447))</f>
        <v/>
      </c>
      <c r="H447" t="str">
        <f>IFERROR(MATCH(SMALL(Cálculos!$AJ$5:$AJ$1000,443),Cálculos!$AJ$5:$AJ$1000,0)+4,"")</f>
        <v/>
      </c>
    </row>
    <row r="448">
      <c r="B448" s="5" t="str">
        <f>IF($H448="","",INDEX('Detalle individual'!$B:$B,$H448))</f>
        <v/>
      </c>
      <c r="C448" s="5" t="str">
        <f>IF($H448="","",INDEX('Detalle individual'!$A:$A,$H448))</f>
        <v/>
      </c>
      <c r="D448" s="5" t="str">
        <f>IF($H448="","",INDEX('Detalle individual'!$E:$E,$H448))</f>
        <v/>
      </c>
      <c r="E448" s="5" t="str">
        <f>IF($H448="","",INDEX('Detalle individual'!$C:$C,$H448))</f>
        <v/>
      </c>
      <c r="F448" s="5" t="str">
        <f>IF($H448="","",INDEX('Detalle individual'!$D:$D,$H448))</f>
        <v/>
      </c>
      <c r="G448" s="5" t="str">
        <f>IF($H448="","",INDEX('Detalle individual'!$F:$F,$H448))</f>
        <v/>
      </c>
      <c r="H448" t="str">
        <f>IFERROR(MATCH(SMALL(Cálculos!$AJ$5:$AJ$1000,444),Cálculos!$AJ$5:$AJ$1000,0)+4,"")</f>
        <v/>
      </c>
    </row>
    <row r="449">
      <c r="B449" s="5" t="str">
        <f>IF($H449="","",INDEX('Detalle individual'!$B:$B,$H449))</f>
        <v/>
      </c>
      <c r="C449" s="5" t="str">
        <f>IF($H449="","",INDEX('Detalle individual'!$A:$A,$H449))</f>
        <v/>
      </c>
      <c r="D449" s="5" t="str">
        <f>IF($H449="","",INDEX('Detalle individual'!$E:$E,$H449))</f>
        <v/>
      </c>
      <c r="E449" s="5" t="str">
        <f>IF($H449="","",INDEX('Detalle individual'!$C:$C,$H449))</f>
        <v/>
      </c>
      <c r="F449" s="5" t="str">
        <f>IF($H449="","",INDEX('Detalle individual'!$D:$D,$H449))</f>
        <v/>
      </c>
      <c r="G449" s="5" t="str">
        <f>IF($H449="","",INDEX('Detalle individual'!$F:$F,$H449))</f>
        <v/>
      </c>
      <c r="H449" t="str">
        <f>IFERROR(MATCH(SMALL(Cálculos!$AJ$5:$AJ$1000,445),Cálculos!$AJ$5:$AJ$1000,0)+4,"")</f>
        <v/>
      </c>
    </row>
    <row r="450">
      <c r="B450" s="5" t="str">
        <f>IF($H450="","",INDEX('Detalle individual'!$B:$B,$H450))</f>
        <v/>
      </c>
      <c r="C450" s="5" t="str">
        <f>IF($H450="","",INDEX('Detalle individual'!$A:$A,$H450))</f>
        <v/>
      </c>
      <c r="D450" s="5" t="str">
        <f>IF($H450="","",INDEX('Detalle individual'!$E:$E,$H450))</f>
        <v/>
      </c>
      <c r="E450" s="5" t="str">
        <f>IF($H450="","",INDEX('Detalle individual'!$C:$C,$H450))</f>
        <v/>
      </c>
      <c r="F450" s="5" t="str">
        <f>IF($H450="","",INDEX('Detalle individual'!$D:$D,$H450))</f>
        <v/>
      </c>
      <c r="G450" s="5" t="str">
        <f>IF($H450="","",INDEX('Detalle individual'!$F:$F,$H450))</f>
        <v/>
      </c>
      <c r="H450" t="str">
        <f>IFERROR(MATCH(SMALL(Cálculos!$AJ$5:$AJ$1000,446),Cálculos!$AJ$5:$AJ$1000,0)+4,"")</f>
        <v/>
      </c>
    </row>
    <row r="451">
      <c r="B451" s="5" t="str">
        <f>IF($H451="","",INDEX('Detalle individual'!$B:$B,$H451))</f>
        <v/>
      </c>
      <c r="C451" s="5" t="str">
        <f>IF($H451="","",INDEX('Detalle individual'!$A:$A,$H451))</f>
        <v/>
      </c>
      <c r="D451" s="5" t="str">
        <f>IF($H451="","",INDEX('Detalle individual'!$E:$E,$H451))</f>
        <v/>
      </c>
      <c r="E451" s="5" t="str">
        <f>IF($H451="","",INDEX('Detalle individual'!$C:$C,$H451))</f>
        <v/>
      </c>
      <c r="F451" s="5" t="str">
        <f>IF($H451="","",INDEX('Detalle individual'!$D:$D,$H451))</f>
        <v/>
      </c>
      <c r="G451" s="5" t="str">
        <f>IF($H451="","",INDEX('Detalle individual'!$F:$F,$H451))</f>
        <v/>
      </c>
      <c r="H451" t="str">
        <f>IFERROR(MATCH(SMALL(Cálculos!$AJ$5:$AJ$1000,447),Cálculos!$AJ$5:$AJ$1000,0)+4,"")</f>
        <v/>
      </c>
    </row>
    <row r="452">
      <c r="B452" s="5" t="str">
        <f>IF($H452="","",INDEX('Detalle individual'!$B:$B,$H452))</f>
        <v/>
      </c>
      <c r="C452" s="5" t="str">
        <f>IF($H452="","",INDEX('Detalle individual'!$A:$A,$H452))</f>
        <v/>
      </c>
      <c r="D452" s="5" t="str">
        <f>IF($H452="","",INDEX('Detalle individual'!$E:$E,$H452))</f>
        <v/>
      </c>
      <c r="E452" s="5" t="str">
        <f>IF($H452="","",INDEX('Detalle individual'!$C:$C,$H452))</f>
        <v/>
      </c>
      <c r="F452" s="5" t="str">
        <f>IF($H452="","",INDEX('Detalle individual'!$D:$D,$H452))</f>
        <v/>
      </c>
      <c r="G452" s="5" t="str">
        <f>IF($H452="","",INDEX('Detalle individual'!$F:$F,$H452))</f>
        <v/>
      </c>
      <c r="H452" t="str">
        <f>IFERROR(MATCH(SMALL(Cálculos!$AJ$5:$AJ$1000,448),Cálculos!$AJ$5:$AJ$1000,0)+4,"")</f>
        <v/>
      </c>
    </row>
    <row r="453">
      <c r="B453" s="5" t="str">
        <f>IF($H453="","",INDEX('Detalle individual'!$B:$B,$H453))</f>
        <v/>
      </c>
      <c r="C453" s="5" t="str">
        <f>IF($H453="","",INDEX('Detalle individual'!$A:$A,$H453))</f>
        <v/>
      </c>
      <c r="D453" s="5" t="str">
        <f>IF($H453="","",INDEX('Detalle individual'!$E:$E,$H453))</f>
        <v/>
      </c>
      <c r="E453" s="5" t="str">
        <f>IF($H453="","",INDEX('Detalle individual'!$C:$C,$H453))</f>
        <v/>
      </c>
      <c r="F453" s="5" t="str">
        <f>IF($H453="","",INDEX('Detalle individual'!$D:$D,$H453))</f>
        <v/>
      </c>
      <c r="G453" s="5" t="str">
        <f>IF($H453="","",INDEX('Detalle individual'!$F:$F,$H453))</f>
        <v/>
      </c>
      <c r="H453" t="str">
        <f>IFERROR(MATCH(SMALL(Cálculos!$AJ$5:$AJ$1000,449),Cálculos!$AJ$5:$AJ$1000,0)+4,"")</f>
        <v/>
      </c>
    </row>
    <row r="454">
      <c r="B454" s="5" t="str">
        <f>IF($H454="","",INDEX('Detalle individual'!$B:$B,$H454))</f>
        <v/>
      </c>
      <c r="C454" s="5" t="str">
        <f>IF($H454="","",INDEX('Detalle individual'!$A:$A,$H454))</f>
        <v/>
      </c>
      <c r="D454" s="5" t="str">
        <f>IF($H454="","",INDEX('Detalle individual'!$E:$E,$H454))</f>
        <v/>
      </c>
      <c r="E454" s="5" t="str">
        <f>IF($H454="","",INDEX('Detalle individual'!$C:$C,$H454))</f>
        <v/>
      </c>
      <c r="F454" s="5" t="str">
        <f>IF($H454="","",INDEX('Detalle individual'!$D:$D,$H454))</f>
        <v/>
      </c>
      <c r="G454" s="5" t="str">
        <f>IF($H454="","",INDEX('Detalle individual'!$F:$F,$H454))</f>
        <v/>
      </c>
      <c r="H454" t="str">
        <f>IFERROR(MATCH(SMALL(Cálculos!$AJ$5:$AJ$1000,450),Cálculos!$AJ$5:$AJ$1000,0)+4,"")</f>
        <v/>
      </c>
    </row>
    <row r="455">
      <c r="B455" s="5" t="str">
        <f>IF($H455="","",INDEX('Detalle individual'!$B:$B,$H455))</f>
        <v/>
      </c>
      <c r="C455" s="5" t="str">
        <f>IF($H455="","",INDEX('Detalle individual'!$A:$A,$H455))</f>
        <v/>
      </c>
      <c r="D455" s="5" t="str">
        <f>IF($H455="","",INDEX('Detalle individual'!$E:$E,$H455))</f>
        <v/>
      </c>
      <c r="E455" s="5" t="str">
        <f>IF($H455="","",INDEX('Detalle individual'!$C:$C,$H455))</f>
        <v/>
      </c>
      <c r="F455" s="5" t="str">
        <f>IF($H455="","",INDEX('Detalle individual'!$D:$D,$H455))</f>
        <v/>
      </c>
      <c r="G455" s="5" t="str">
        <f>IF($H455="","",INDEX('Detalle individual'!$F:$F,$H455))</f>
        <v/>
      </c>
      <c r="H455" t="str">
        <f>IFERROR(MATCH(SMALL(Cálculos!$AJ$5:$AJ$1000,451),Cálculos!$AJ$5:$AJ$1000,0)+4,"")</f>
        <v/>
      </c>
    </row>
    <row r="456">
      <c r="B456" s="5" t="str">
        <f>IF($H456="","",INDEX('Detalle individual'!$B:$B,$H456))</f>
        <v/>
      </c>
      <c r="C456" s="5" t="str">
        <f>IF($H456="","",INDEX('Detalle individual'!$A:$A,$H456))</f>
        <v/>
      </c>
      <c r="D456" s="5" t="str">
        <f>IF($H456="","",INDEX('Detalle individual'!$E:$E,$H456))</f>
        <v/>
      </c>
      <c r="E456" s="5" t="str">
        <f>IF($H456="","",INDEX('Detalle individual'!$C:$C,$H456))</f>
        <v/>
      </c>
      <c r="F456" s="5" t="str">
        <f>IF($H456="","",INDEX('Detalle individual'!$D:$D,$H456))</f>
        <v/>
      </c>
      <c r="G456" s="5" t="str">
        <f>IF($H456="","",INDEX('Detalle individual'!$F:$F,$H456))</f>
        <v/>
      </c>
      <c r="H456" t="str">
        <f>IFERROR(MATCH(SMALL(Cálculos!$AJ$5:$AJ$1000,452),Cálculos!$AJ$5:$AJ$1000,0)+4,"")</f>
        <v/>
      </c>
    </row>
    <row r="457">
      <c r="B457" s="5" t="str">
        <f>IF($H457="","",INDEX('Detalle individual'!$B:$B,$H457))</f>
        <v/>
      </c>
      <c r="C457" s="5" t="str">
        <f>IF($H457="","",INDEX('Detalle individual'!$A:$A,$H457))</f>
        <v/>
      </c>
      <c r="D457" s="5" t="str">
        <f>IF($H457="","",INDEX('Detalle individual'!$E:$E,$H457))</f>
        <v/>
      </c>
      <c r="E457" s="5" t="str">
        <f>IF($H457="","",INDEX('Detalle individual'!$C:$C,$H457))</f>
        <v/>
      </c>
      <c r="F457" s="5" t="str">
        <f>IF($H457="","",INDEX('Detalle individual'!$D:$D,$H457))</f>
        <v/>
      </c>
      <c r="G457" s="5" t="str">
        <f>IF($H457="","",INDEX('Detalle individual'!$F:$F,$H457))</f>
        <v/>
      </c>
      <c r="H457" t="str">
        <f>IFERROR(MATCH(SMALL(Cálculos!$AJ$5:$AJ$1000,453),Cálculos!$AJ$5:$AJ$1000,0)+4,"")</f>
        <v/>
      </c>
    </row>
    <row r="458">
      <c r="B458" s="5" t="str">
        <f>IF($H458="","",INDEX('Detalle individual'!$B:$B,$H458))</f>
        <v/>
      </c>
      <c r="C458" s="5" t="str">
        <f>IF($H458="","",INDEX('Detalle individual'!$A:$A,$H458))</f>
        <v/>
      </c>
      <c r="D458" s="5" t="str">
        <f>IF($H458="","",INDEX('Detalle individual'!$E:$E,$H458))</f>
        <v/>
      </c>
      <c r="E458" s="5" t="str">
        <f>IF($H458="","",INDEX('Detalle individual'!$C:$C,$H458))</f>
        <v/>
      </c>
      <c r="F458" s="5" t="str">
        <f>IF($H458="","",INDEX('Detalle individual'!$D:$D,$H458))</f>
        <v/>
      </c>
      <c r="G458" s="5" t="str">
        <f>IF($H458="","",INDEX('Detalle individual'!$F:$F,$H458))</f>
        <v/>
      </c>
      <c r="H458" t="str">
        <f>IFERROR(MATCH(SMALL(Cálculos!$AJ$5:$AJ$1000,454),Cálculos!$AJ$5:$AJ$1000,0)+4,"")</f>
        <v/>
      </c>
    </row>
    <row r="459">
      <c r="B459" s="5" t="str">
        <f>IF($H459="","",INDEX('Detalle individual'!$B:$B,$H459))</f>
        <v/>
      </c>
      <c r="C459" s="5" t="str">
        <f>IF($H459="","",INDEX('Detalle individual'!$A:$A,$H459))</f>
        <v/>
      </c>
      <c r="D459" s="5" t="str">
        <f>IF($H459="","",INDEX('Detalle individual'!$E:$E,$H459))</f>
        <v/>
      </c>
      <c r="E459" s="5" t="str">
        <f>IF($H459="","",INDEX('Detalle individual'!$C:$C,$H459))</f>
        <v/>
      </c>
      <c r="F459" s="5" t="str">
        <f>IF($H459="","",INDEX('Detalle individual'!$D:$D,$H459))</f>
        <v/>
      </c>
      <c r="G459" s="5" t="str">
        <f>IF($H459="","",INDEX('Detalle individual'!$F:$F,$H459))</f>
        <v/>
      </c>
      <c r="H459" t="str">
        <f>IFERROR(MATCH(SMALL(Cálculos!$AJ$5:$AJ$1000,455),Cálculos!$AJ$5:$AJ$1000,0)+4,"")</f>
        <v/>
      </c>
    </row>
    <row r="460">
      <c r="B460" s="5" t="str">
        <f>IF($H460="","",INDEX('Detalle individual'!$B:$B,$H460))</f>
        <v/>
      </c>
      <c r="C460" s="5" t="str">
        <f>IF($H460="","",INDEX('Detalle individual'!$A:$A,$H460))</f>
        <v/>
      </c>
      <c r="D460" s="5" t="str">
        <f>IF($H460="","",INDEX('Detalle individual'!$E:$E,$H460))</f>
        <v/>
      </c>
      <c r="E460" s="5" t="str">
        <f>IF($H460="","",INDEX('Detalle individual'!$C:$C,$H460))</f>
        <v/>
      </c>
      <c r="F460" s="5" t="str">
        <f>IF($H460="","",INDEX('Detalle individual'!$D:$D,$H460))</f>
        <v/>
      </c>
      <c r="G460" s="5" t="str">
        <f>IF($H460="","",INDEX('Detalle individual'!$F:$F,$H460))</f>
        <v/>
      </c>
      <c r="H460" t="str">
        <f>IFERROR(MATCH(SMALL(Cálculos!$AJ$5:$AJ$1000,456),Cálculos!$AJ$5:$AJ$1000,0)+4,"")</f>
        <v/>
      </c>
    </row>
    <row r="461">
      <c r="B461" s="5" t="str">
        <f>IF($H461="","",INDEX('Detalle individual'!$B:$B,$H461))</f>
        <v/>
      </c>
      <c r="C461" s="5" t="str">
        <f>IF($H461="","",INDEX('Detalle individual'!$A:$A,$H461))</f>
        <v/>
      </c>
      <c r="D461" s="5" t="str">
        <f>IF($H461="","",INDEX('Detalle individual'!$E:$E,$H461))</f>
        <v/>
      </c>
      <c r="E461" s="5" t="str">
        <f>IF($H461="","",INDEX('Detalle individual'!$C:$C,$H461))</f>
        <v/>
      </c>
      <c r="F461" s="5" t="str">
        <f>IF($H461="","",INDEX('Detalle individual'!$D:$D,$H461))</f>
        <v/>
      </c>
      <c r="G461" s="5" t="str">
        <f>IF($H461="","",INDEX('Detalle individual'!$F:$F,$H461))</f>
        <v/>
      </c>
      <c r="H461" t="str">
        <f>IFERROR(MATCH(SMALL(Cálculos!$AJ$5:$AJ$1000,457),Cálculos!$AJ$5:$AJ$1000,0)+4,"")</f>
        <v/>
      </c>
    </row>
    <row r="462">
      <c r="B462" s="5" t="str">
        <f>IF($H462="","",INDEX('Detalle individual'!$B:$B,$H462))</f>
        <v/>
      </c>
      <c r="C462" s="5" t="str">
        <f>IF($H462="","",INDEX('Detalle individual'!$A:$A,$H462))</f>
        <v/>
      </c>
      <c r="D462" s="5" t="str">
        <f>IF($H462="","",INDEX('Detalle individual'!$E:$E,$H462))</f>
        <v/>
      </c>
      <c r="E462" s="5" t="str">
        <f>IF($H462="","",INDEX('Detalle individual'!$C:$C,$H462))</f>
        <v/>
      </c>
      <c r="F462" s="5" t="str">
        <f>IF($H462="","",INDEX('Detalle individual'!$D:$D,$H462))</f>
        <v/>
      </c>
      <c r="G462" s="5" t="str">
        <f>IF($H462="","",INDEX('Detalle individual'!$F:$F,$H462))</f>
        <v/>
      </c>
      <c r="H462" t="str">
        <f>IFERROR(MATCH(SMALL(Cálculos!$AJ$5:$AJ$1000,458),Cálculos!$AJ$5:$AJ$1000,0)+4,"")</f>
        <v/>
      </c>
    </row>
    <row r="463">
      <c r="B463" s="5" t="str">
        <f>IF($H463="","",INDEX('Detalle individual'!$B:$B,$H463))</f>
        <v/>
      </c>
      <c r="C463" s="5" t="str">
        <f>IF($H463="","",INDEX('Detalle individual'!$A:$A,$H463))</f>
        <v/>
      </c>
      <c r="D463" s="5" t="str">
        <f>IF($H463="","",INDEX('Detalle individual'!$E:$E,$H463))</f>
        <v/>
      </c>
      <c r="E463" s="5" t="str">
        <f>IF($H463="","",INDEX('Detalle individual'!$C:$C,$H463))</f>
        <v/>
      </c>
      <c r="F463" s="5" t="str">
        <f>IF($H463="","",INDEX('Detalle individual'!$D:$D,$H463))</f>
        <v/>
      </c>
      <c r="G463" s="5" t="str">
        <f>IF($H463="","",INDEX('Detalle individual'!$F:$F,$H463))</f>
        <v/>
      </c>
      <c r="H463" t="str">
        <f>IFERROR(MATCH(SMALL(Cálculos!$AJ$5:$AJ$1000,459),Cálculos!$AJ$5:$AJ$1000,0)+4,"")</f>
        <v/>
      </c>
    </row>
    <row r="464">
      <c r="B464" s="5" t="str">
        <f>IF($H464="","",INDEX('Detalle individual'!$B:$B,$H464))</f>
        <v/>
      </c>
      <c r="C464" s="5" t="str">
        <f>IF($H464="","",INDEX('Detalle individual'!$A:$A,$H464))</f>
        <v/>
      </c>
      <c r="D464" s="5" t="str">
        <f>IF($H464="","",INDEX('Detalle individual'!$E:$E,$H464))</f>
        <v/>
      </c>
      <c r="E464" s="5" t="str">
        <f>IF($H464="","",INDEX('Detalle individual'!$C:$C,$H464))</f>
        <v/>
      </c>
      <c r="F464" s="5" t="str">
        <f>IF($H464="","",INDEX('Detalle individual'!$D:$D,$H464))</f>
        <v/>
      </c>
      <c r="G464" s="5" t="str">
        <f>IF($H464="","",INDEX('Detalle individual'!$F:$F,$H464))</f>
        <v/>
      </c>
      <c r="H464" t="str">
        <f>IFERROR(MATCH(SMALL(Cálculos!$AJ$5:$AJ$1000,460),Cálculos!$AJ$5:$AJ$1000,0)+4,"")</f>
        <v/>
      </c>
    </row>
    <row r="465">
      <c r="B465" s="5" t="str">
        <f>IF($H465="","",INDEX('Detalle individual'!$B:$B,$H465))</f>
        <v/>
      </c>
      <c r="C465" s="5" t="str">
        <f>IF($H465="","",INDEX('Detalle individual'!$A:$A,$H465))</f>
        <v/>
      </c>
      <c r="D465" s="5" t="str">
        <f>IF($H465="","",INDEX('Detalle individual'!$E:$E,$H465))</f>
        <v/>
      </c>
      <c r="E465" s="5" t="str">
        <f>IF($H465="","",INDEX('Detalle individual'!$C:$C,$H465))</f>
        <v/>
      </c>
      <c r="F465" s="5" t="str">
        <f>IF($H465="","",INDEX('Detalle individual'!$D:$D,$H465))</f>
        <v/>
      </c>
      <c r="G465" s="5" t="str">
        <f>IF($H465="","",INDEX('Detalle individual'!$F:$F,$H465))</f>
        <v/>
      </c>
      <c r="H465" t="str">
        <f>IFERROR(MATCH(SMALL(Cálculos!$AJ$5:$AJ$1000,461),Cálculos!$AJ$5:$AJ$1000,0)+4,"")</f>
        <v/>
      </c>
    </row>
    <row r="466">
      <c r="B466" s="5" t="str">
        <f>IF($H466="","",INDEX('Detalle individual'!$B:$B,$H466))</f>
        <v/>
      </c>
      <c r="C466" s="5" t="str">
        <f>IF($H466="","",INDEX('Detalle individual'!$A:$A,$H466))</f>
        <v/>
      </c>
      <c r="D466" s="5" t="str">
        <f>IF($H466="","",INDEX('Detalle individual'!$E:$E,$H466))</f>
        <v/>
      </c>
      <c r="E466" s="5" t="str">
        <f>IF($H466="","",INDEX('Detalle individual'!$C:$C,$H466))</f>
        <v/>
      </c>
      <c r="F466" s="5" t="str">
        <f>IF($H466="","",INDEX('Detalle individual'!$D:$D,$H466))</f>
        <v/>
      </c>
      <c r="G466" s="5" t="str">
        <f>IF($H466="","",INDEX('Detalle individual'!$F:$F,$H466))</f>
        <v/>
      </c>
      <c r="H466" t="str">
        <f>IFERROR(MATCH(SMALL(Cálculos!$AJ$5:$AJ$1000,462),Cálculos!$AJ$5:$AJ$1000,0)+4,"")</f>
        <v/>
      </c>
    </row>
    <row r="467">
      <c r="B467" s="5" t="str">
        <f>IF($H467="","",INDEX('Detalle individual'!$B:$B,$H467))</f>
        <v/>
      </c>
      <c r="C467" s="5" t="str">
        <f>IF($H467="","",INDEX('Detalle individual'!$A:$A,$H467))</f>
        <v/>
      </c>
      <c r="D467" s="5" t="str">
        <f>IF($H467="","",INDEX('Detalle individual'!$E:$E,$H467))</f>
        <v/>
      </c>
      <c r="E467" s="5" t="str">
        <f>IF($H467="","",INDEX('Detalle individual'!$C:$C,$H467))</f>
        <v/>
      </c>
      <c r="F467" s="5" t="str">
        <f>IF($H467="","",INDEX('Detalle individual'!$D:$D,$H467))</f>
        <v/>
      </c>
      <c r="G467" s="5" t="str">
        <f>IF($H467="","",INDEX('Detalle individual'!$F:$F,$H467))</f>
        <v/>
      </c>
      <c r="H467" t="str">
        <f>IFERROR(MATCH(SMALL(Cálculos!$AJ$5:$AJ$1000,463),Cálculos!$AJ$5:$AJ$1000,0)+4,"")</f>
        <v/>
      </c>
    </row>
    <row r="468">
      <c r="B468" s="5" t="str">
        <f>IF($H468="","",INDEX('Detalle individual'!$B:$B,$H468))</f>
        <v/>
      </c>
      <c r="C468" s="5" t="str">
        <f>IF($H468="","",INDEX('Detalle individual'!$A:$A,$H468))</f>
        <v/>
      </c>
      <c r="D468" s="5" t="str">
        <f>IF($H468="","",INDEX('Detalle individual'!$E:$E,$H468))</f>
        <v/>
      </c>
      <c r="E468" s="5" t="str">
        <f>IF($H468="","",INDEX('Detalle individual'!$C:$C,$H468))</f>
        <v/>
      </c>
      <c r="F468" s="5" t="str">
        <f>IF($H468="","",INDEX('Detalle individual'!$D:$D,$H468))</f>
        <v/>
      </c>
      <c r="G468" s="5" t="str">
        <f>IF($H468="","",INDEX('Detalle individual'!$F:$F,$H468))</f>
        <v/>
      </c>
      <c r="H468" t="str">
        <f>IFERROR(MATCH(SMALL(Cálculos!$AJ$5:$AJ$1000,464),Cálculos!$AJ$5:$AJ$1000,0)+4,"")</f>
        <v/>
      </c>
    </row>
    <row r="469">
      <c r="B469" s="5" t="str">
        <f>IF($H469="","",INDEX('Detalle individual'!$B:$B,$H469))</f>
        <v/>
      </c>
      <c r="C469" s="5" t="str">
        <f>IF($H469="","",INDEX('Detalle individual'!$A:$A,$H469))</f>
        <v/>
      </c>
      <c r="D469" s="5" t="str">
        <f>IF($H469="","",INDEX('Detalle individual'!$E:$E,$H469))</f>
        <v/>
      </c>
      <c r="E469" s="5" t="str">
        <f>IF($H469="","",INDEX('Detalle individual'!$C:$C,$H469))</f>
        <v/>
      </c>
      <c r="F469" s="5" t="str">
        <f>IF($H469="","",INDEX('Detalle individual'!$D:$D,$H469))</f>
        <v/>
      </c>
      <c r="G469" s="5" t="str">
        <f>IF($H469="","",INDEX('Detalle individual'!$F:$F,$H469))</f>
        <v/>
      </c>
      <c r="H469" t="str">
        <f>IFERROR(MATCH(SMALL(Cálculos!$AJ$5:$AJ$1000,465),Cálculos!$AJ$5:$AJ$1000,0)+4,"")</f>
        <v/>
      </c>
    </row>
    <row r="470">
      <c r="B470" s="5" t="str">
        <f>IF($H470="","",INDEX('Detalle individual'!$B:$B,$H470))</f>
        <v/>
      </c>
      <c r="C470" s="5" t="str">
        <f>IF($H470="","",INDEX('Detalle individual'!$A:$A,$H470))</f>
        <v/>
      </c>
      <c r="D470" s="5" t="str">
        <f>IF($H470="","",INDEX('Detalle individual'!$E:$E,$H470))</f>
        <v/>
      </c>
      <c r="E470" s="5" t="str">
        <f>IF($H470="","",INDEX('Detalle individual'!$C:$C,$H470))</f>
        <v/>
      </c>
      <c r="F470" s="5" t="str">
        <f>IF($H470="","",INDEX('Detalle individual'!$D:$D,$H470))</f>
        <v/>
      </c>
      <c r="G470" s="5" t="str">
        <f>IF($H470="","",INDEX('Detalle individual'!$F:$F,$H470))</f>
        <v/>
      </c>
      <c r="H470" t="str">
        <f>IFERROR(MATCH(SMALL(Cálculos!$AJ$5:$AJ$1000,466),Cálculos!$AJ$5:$AJ$1000,0)+4,"")</f>
        <v/>
      </c>
    </row>
    <row r="471">
      <c r="B471" s="5" t="str">
        <f>IF($H471="","",INDEX('Detalle individual'!$B:$B,$H471))</f>
        <v/>
      </c>
      <c r="C471" s="5" t="str">
        <f>IF($H471="","",INDEX('Detalle individual'!$A:$A,$H471))</f>
        <v/>
      </c>
      <c r="D471" s="5" t="str">
        <f>IF($H471="","",INDEX('Detalle individual'!$E:$E,$H471))</f>
        <v/>
      </c>
      <c r="E471" s="5" t="str">
        <f>IF($H471="","",INDEX('Detalle individual'!$C:$C,$H471))</f>
        <v/>
      </c>
      <c r="F471" s="5" t="str">
        <f>IF($H471="","",INDEX('Detalle individual'!$D:$D,$H471))</f>
        <v/>
      </c>
      <c r="G471" s="5" t="str">
        <f>IF($H471="","",INDEX('Detalle individual'!$F:$F,$H471))</f>
        <v/>
      </c>
      <c r="H471" t="str">
        <f>IFERROR(MATCH(SMALL(Cálculos!$AJ$5:$AJ$1000,467),Cálculos!$AJ$5:$AJ$1000,0)+4,"")</f>
        <v/>
      </c>
    </row>
    <row r="472">
      <c r="B472" s="5" t="str">
        <f>IF($H472="","",INDEX('Detalle individual'!$B:$B,$H472))</f>
        <v/>
      </c>
      <c r="C472" s="5" t="str">
        <f>IF($H472="","",INDEX('Detalle individual'!$A:$A,$H472))</f>
        <v/>
      </c>
      <c r="D472" s="5" t="str">
        <f>IF($H472="","",INDEX('Detalle individual'!$E:$E,$H472))</f>
        <v/>
      </c>
      <c r="E472" s="5" t="str">
        <f>IF($H472="","",INDEX('Detalle individual'!$C:$C,$H472))</f>
        <v/>
      </c>
      <c r="F472" s="5" t="str">
        <f>IF($H472="","",INDEX('Detalle individual'!$D:$D,$H472))</f>
        <v/>
      </c>
      <c r="G472" s="5" t="str">
        <f>IF($H472="","",INDEX('Detalle individual'!$F:$F,$H472))</f>
        <v/>
      </c>
      <c r="H472" t="str">
        <f>IFERROR(MATCH(SMALL(Cálculos!$AJ$5:$AJ$1000,468),Cálculos!$AJ$5:$AJ$1000,0)+4,"")</f>
        <v/>
      </c>
    </row>
    <row r="473">
      <c r="B473" s="5" t="str">
        <f>IF($H473="","",INDEX('Detalle individual'!$B:$B,$H473))</f>
        <v/>
      </c>
      <c r="C473" s="5" t="str">
        <f>IF($H473="","",INDEX('Detalle individual'!$A:$A,$H473))</f>
        <v/>
      </c>
      <c r="D473" s="5" t="str">
        <f>IF($H473="","",INDEX('Detalle individual'!$E:$E,$H473))</f>
        <v/>
      </c>
      <c r="E473" s="5" t="str">
        <f>IF($H473="","",INDEX('Detalle individual'!$C:$C,$H473))</f>
        <v/>
      </c>
      <c r="F473" s="5" t="str">
        <f>IF($H473="","",INDEX('Detalle individual'!$D:$D,$H473))</f>
        <v/>
      </c>
      <c r="G473" s="5" t="str">
        <f>IF($H473="","",INDEX('Detalle individual'!$F:$F,$H473))</f>
        <v/>
      </c>
      <c r="H473" t="str">
        <f>IFERROR(MATCH(SMALL(Cálculos!$AJ$5:$AJ$1000,469),Cálculos!$AJ$5:$AJ$1000,0)+4,"")</f>
        <v/>
      </c>
    </row>
    <row r="474">
      <c r="B474" s="5" t="str">
        <f>IF($H474="","",INDEX('Detalle individual'!$B:$B,$H474))</f>
        <v/>
      </c>
      <c r="C474" s="5" t="str">
        <f>IF($H474="","",INDEX('Detalle individual'!$A:$A,$H474))</f>
        <v/>
      </c>
      <c r="D474" s="5" t="str">
        <f>IF($H474="","",INDEX('Detalle individual'!$E:$E,$H474))</f>
        <v/>
      </c>
      <c r="E474" s="5" t="str">
        <f>IF($H474="","",INDEX('Detalle individual'!$C:$C,$H474))</f>
        <v/>
      </c>
      <c r="F474" s="5" t="str">
        <f>IF($H474="","",INDEX('Detalle individual'!$D:$D,$H474))</f>
        <v/>
      </c>
      <c r="G474" s="5" t="str">
        <f>IF($H474="","",INDEX('Detalle individual'!$F:$F,$H474))</f>
        <v/>
      </c>
      <c r="H474" t="str">
        <f>IFERROR(MATCH(SMALL(Cálculos!$AJ$5:$AJ$1000,470),Cálculos!$AJ$5:$AJ$1000,0)+4,"")</f>
        <v/>
      </c>
    </row>
    <row r="475">
      <c r="B475" s="5" t="str">
        <f>IF($H475="","",INDEX('Detalle individual'!$B:$B,$H475))</f>
        <v/>
      </c>
      <c r="C475" s="5" t="str">
        <f>IF($H475="","",INDEX('Detalle individual'!$A:$A,$H475))</f>
        <v/>
      </c>
      <c r="D475" s="5" t="str">
        <f>IF($H475="","",INDEX('Detalle individual'!$E:$E,$H475))</f>
        <v/>
      </c>
      <c r="E475" s="5" t="str">
        <f>IF($H475="","",INDEX('Detalle individual'!$C:$C,$H475))</f>
        <v/>
      </c>
      <c r="F475" s="5" t="str">
        <f>IF($H475="","",INDEX('Detalle individual'!$D:$D,$H475))</f>
        <v/>
      </c>
      <c r="G475" s="5" t="str">
        <f>IF($H475="","",INDEX('Detalle individual'!$F:$F,$H475))</f>
        <v/>
      </c>
      <c r="H475" t="str">
        <f>IFERROR(MATCH(SMALL(Cálculos!$AJ$5:$AJ$1000,471),Cálculos!$AJ$5:$AJ$1000,0)+4,"")</f>
        <v/>
      </c>
    </row>
    <row r="476">
      <c r="B476" s="5" t="str">
        <f>IF($H476="","",INDEX('Detalle individual'!$B:$B,$H476))</f>
        <v/>
      </c>
      <c r="C476" s="5" t="str">
        <f>IF($H476="","",INDEX('Detalle individual'!$A:$A,$H476))</f>
        <v/>
      </c>
      <c r="D476" s="5" t="str">
        <f>IF($H476="","",INDEX('Detalle individual'!$E:$E,$H476))</f>
        <v/>
      </c>
      <c r="E476" s="5" t="str">
        <f>IF($H476="","",INDEX('Detalle individual'!$C:$C,$H476))</f>
        <v/>
      </c>
      <c r="F476" s="5" t="str">
        <f>IF($H476="","",INDEX('Detalle individual'!$D:$D,$H476))</f>
        <v/>
      </c>
      <c r="G476" s="5" t="str">
        <f>IF($H476="","",INDEX('Detalle individual'!$F:$F,$H476))</f>
        <v/>
      </c>
      <c r="H476" t="str">
        <f>IFERROR(MATCH(SMALL(Cálculos!$AJ$5:$AJ$1000,472),Cálculos!$AJ$5:$AJ$1000,0)+4,"")</f>
        <v/>
      </c>
    </row>
    <row r="477">
      <c r="B477" s="5" t="str">
        <f>IF($H477="","",INDEX('Detalle individual'!$B:$B,$H477))</f>
        <v/>
      </c>
      <c r="C477" s="5" t="str">
        <f>IF($H477="","",INDEX('Detalle individual'!$A:$A,$H477))</f>
        <v/>
      </c>
      <c r="D477" s="5" t="str">
        <f>IF($H477="","",INDEX('Detalle individual'!$E:$E,$H477))</f>
        <v/>
      </c>
      <c r="E477" s="5" t="str">
        <f>IF($H477="","",INDEX('Detalle individual'!$C:$C,$H477))</f>
        <v/>
      </c>
      <c r="F477" s="5" t="str">
        <f>IF($H477="","",INDEX('Detalle individual'!$D:$D,$H477))</f>
        <v/>
      </c>
      <c r="G477" s="5" t="str">
        <f>IF($H477="","",INDEX('Detalle individual'!$F:$F,$H477))</f>
        <v/>
      </c>
      <c r="H477" t="str">
        <f>IFERROR(MATCH(SMALL(Cálculos!$AJ$5:$AJ$1000,473),Cálculos!$AJ$5:$AJ$1000,0)+4,"")</f>
        <v/>
      </c>
    </row>
    <row r="478">
      <c r="B478" s="5" t="str">
        <f>IF($H478="","",INDEX('Detalle individual'!$B:$B,$H478))</f>
        <v/>
      </c>
      <c r="C478" s="5" t="str">
        <f>IF($H478="","",INDEX('Detalle individual'!$A:$A,$H478))</f>
        <v/>
      </c>
      <c r="D478" s="5" t="str">
        <f>IF($H478="","",INDEX('Detalle individual'!$E:$E,$H478))</f>
        <v/>
      </c>
      <c r="E478" s="5" t="str">
        <f>IF($H478="","",INDEX('Detalle individual'!$C:$C,$H478))</f>
        <v/>
      </c>
      <c r="F478" s="5" t="str">
        <f>IF($H478="","",INDEX('Detalle individual'!$D:$D,$H478))</f>
        <v/>
      </c>
      <c r="G478" s="5" t="str">
        <f>IF($H478="","",INDEX('Detalle individual'!$F:$F,$H478))</f>
        <v/>
      </c>
      <c r="H478" t="str">
        <f>IFERROR(MATCH(SMALL(Cálculos!$AJ$5:$AJ$1000,474),Cálculos!$AJ$5:$AJ$1000,0)+4,"")</f>
        <v/>
      </c>
    </row>
    <row r="479">
      <c r="B479" s="5" t="str">
        <f>IF($H479="","",INDEX('Detalle individual'!$B:$B,$H479))</f>
        <v/>
      </c>
      <c r="C479" s="5" t="str">
        <f>IF($H479="","",INDEX('Detalle individual'!$A:$A,$H479))</f>
        <v/>
      </c>
      <c r="D479" s="5" t="str">
        <f>IF($H479="","",INDEX('Detalle individual'!$E:$E,$H479))</f>
        <v/>
      </c>
      <c r="E479" s="5" t="str">
        <f>IF($H479="","",INDEX('Detalle individual'!$C:$C,$H479))</f>
        <v/>
      </c>
      <c r="F479" s="5" t="str">
        <f>IF($H479="","",INDEX('Detalle individual'!$D:$D,$H479))</f>
        <v/>
      </c>
      <c r="G479" s="5" t="str">
        <f>IF($H479="","",INDEX('Detalle individual'!$F:$F,$H479))</f>
        <v/>
      </c>
      <c r="H479" t="str">
        <f>IFERROR(MATCH(SMALL(Cálculos!$AJ$5:$AJ$1000,475),Cálculos!$AJ$5:$AJ$1000,0)+4,"")</f>
        <v/>
      </c>
    </row>
    <row r="480">
      <c r="B480" s="5" t="str">
        <f>IF($H480="","",INDEX('Detalle individual'!$B:$B,$H480))</f>
        <v/>
      </c>
      <c r="C480" s="5" t="str">
        <f>IF($H480="","",INDEX('Detalle individual'!$A:$A,$H480))</f>
        <v/>
      </c>
      <c r="D480" s="5" t="str">
        <f>IF($H480="","",INDEX('Detalle individual'!$E:$E,$H480))</f>
        <v/>
      </c>
      <c r="E480" s="5" t="str">
        <f>IF($H480="","",INDEX('Detalle individual'!$C:$C,$H480))</f>
        <v/>
      </c>
      <c r="F480" s="5" t="str">
        <f>IF($H480="","",INDEX('Detalle individual'!$D:$D,$H480))</f>
        <v/>
      </c>
      <c r="G480" s="5" t="str">
        <f>IF($H480="","",INDEX('Detalle individual'!$F:$F,$H480))</f>
        <v/>
      </c>
      <c r="H480" t="str">
        <f>IFERROR(MATCH(SMALL(Cálculos!$AJ$5:$AJ$1000,476),Cálculos!$AJ$5:$AJ$1000,0)+4,"")</f>
        <v/>
      </c>
    </row>
    <row r="481">
      <c r="B481" s="5" t="str">
        <f>IF($H481="","",INDEX('Detalle individual'!$B:$B,$H481))</f>
        <v/>
      </c>
      <c r="C481" s="5" t="str">
        <f>IF($H481="","",INDEX('Detalle individual'!$A:$A,$H481))</f>
        <v/>
      </c>
      <c r="D481" s="5" t="str">
        <f>IF($H481="","",INDEX('Detalle individual'!$E:$E,$H481))</f>
        <v/>
      </c>
      <c r="E481" s="5" t="str">
        <f>IF($H481="","",INDEX('Detalle individual'!$C:$C,$H481))</f>
        <v/>
      </c>
      <c r="F481" s="5" t="str">
        <f>IF($H481="","",INDEX('Detalle individual'!$D:$D,$H481))</f>
        <v/>
      </c>
      <c r="G481" s="5" t="str">
        <f>IF($H481="","",INDEX('Detalle individual'!$F:$F,$H481))</f>
        <v/>
      </c>
      <c r="H481" t="str">
        <f>IFERROR(MATCH(SMALL(Cálculos!$AJ$5:$AJ$1000,477),Cálculos!$AJ$5:$AJ$1000,0)+4,"")</f>
        <v/>
      </c>
    </row>
    <row r="482">
      <c r="B482" s="5" t="str">
        <f>IF($H482="","",INDEX('Detalle individual'!$B:$B,$H482))</f>
        <v/>
      </c>
      <c r="C482" s="5" t="str">
        <f>IF($H482="","",INDEX('Detalle individual'!$A:$A,$H482))</f>
        <v/>
      </c>
      <c r="D482" s="5" t="str">
        <f>IF($H482="","",INDEX('Detalle individual'!$E:$E,$H482))</f>
        <v/>
      </c>
      <c r="E482" s="5" t="str">
        <f>IF($H482="","",INDEX('Detalle individual'!$C:$C,$H482))</f>
        <v/>
      </c>
      <c r="F482" s="5" t="str">
        <f>IF($H482="","",INDEX('Detalle individual'!$D:$D,$H482))</f>
        <v/>
      </c>
      <c r="G482" s="5" t="str">
        <f>IF($H482="","",INDEX('Detalle individual'!$F:$F,$H482))</f>
        <v/>
      </c>
      <c r="H482" t="str">
        <f>IFERROR(MATCH(SMALL(Cálculos!$AJ$5:$AJ$1000,478),Cálculos!$AJ$5:$AJ$1000,0)+4,"")</f>
        <v/>
      </c>
    </row>
    <row r="483">
      <c r="B483" s="5" t="str">
        <f>IF($H483="","",INDEX('Detalle individual'!$B:$B,$H483))</f>
        <v/>
      </c>
      <c r="C483" s="5" t="str">
        <f>IF($H483="","",INDEX('Detalle individual'!$A:$A,$H483))</f>
        <v/>
      </c>
      <c r="D483" s="5" t="str">
        <f>IF($H483="","",INDEX('Detalle individual'!$E:$E,$H483))</f>
        <v/>
      </c>
      <c r="E483" s="5" t="str">
        <f>IF($H483="","",INDEX('Detalle individual'!$C:$C,$H483))</f>
        <v/>
      </c>
      <c r="F483" s="5" t="str">
        <f>IF($H483="","",INDEX('Detalle individual'!$D:$D,$H483))</f>
        <v/>
      </c>
      <c r="G483" s="5" t="str">
        <f>IF($H483="","",INDEX('Detalle individual'!$F:$F,$H483))</f>
        <v/>
      </c>
      <c r="H483" t="str">
        <f>IFERROR(MATCH(SMALL(Cálculos!$AJ$5:$AJ$1000,479),Cálculos!$AJ$5:$AJ$1000,0)+4,"")</f>
        <v/>
      </c>
    </row>
    <row r="484">
      <c r="B484" s="5" t="str">
        <f>IF($H484="","",INDEX('Detalle individual'!$B:$B,$H484))</f>
        <v/>
      </c>
      <c r="C484" s="5" t="str">
        <f>IF($H484="","",INDEX('Detalle individual'!$A:$A,$H484))</f>
        <v/>
      </c>
      <c r="D484" s="5" t="str">
        <f>IF($H484="","",INDEX('Detalle individual'!$E:$E,$H484))</f>
        <v/>
      </c>
      <c r="E484" s="5" t="str">
        <f>IF($H484="","",INDEX('Detalle individual'!$C:$C,$H484))</f>
        <v/>
      </c>
      <c r="F484" s="5" t="str">
        <f>IF($H484="","",INDEX('Detalle individual'!$D:$D,$H484))</f>
        <v/>
      </c>
      <c r="G484" s="5" t="str">
        <f>IF($H484="","",INDEX('Detalle individual'!$F:$F,$H484))</f>
        <v/>
      </c>
      <c r="H484" t="str">
        <f>IFERROR(MATCH(SMALL(Cálculos!$AJ$5:$AJ$1000,480),Cálculos!$AJ$5:$AJ$1000,0)+4,"")</f>
        <v/>
      </c>
    </row>
    <row r="485">
      <c r="B485" s="5" t="str">
        <f>IF($H485="","",INDEX('Detalle individual'!$B:$B,$H485))</f>
        <v/>
      </c>
      <c r="C485" s="5" t="str">
        <f>IF($H485="","",INDEX('Detalle individual'!$A:$A,$H485))</f>
        <v/>
      </c>
      <c r="D485" s="5" t="str">
        <f>IF($H485="","",INDEX('Detalle individual'!$E:$E,$H485))</f>
        <v/>
      </c>
      <c r="E485" s="5" t="str">
        <f>IF($H485="","",INDEX('Detalle individual'!$C:$C,$H485))</f>
        <v/>
      </c>
      <c r="F485" s="5" t="str">
        <f>IF($H485="","",INDEX('Detalle individual'!$D:$D,$H485))</f>
        <v/>
      </c>
      <c r="G485" s="5" t="str">
        <f>IF($H485="","",INDEX('Detalle individual'!$F:$F,$H485))</f>
        <v/>
      </c>
      <c r="H485" t="str">
        <f>IFERROR(MATCH(SMALL(Cálculos!$AJ$5:$AJ$1000,481),Cálculos!$AJ$5:$AJ$1000,0)+4,"")</f>
        <v/>
      </c>
    </row>
    <row r="486">
      <c r="B486" s="5" t="str">
        <f>IF($H486="","",INDEX('Detalle individual'!$B:$B,$H486))</f>
        <v/>
      </c>
      <c r="C486" s="5" t="str">
        <f>IF($H486="","",INDEX('Detalle individual'!$A:$A,$H486))</f>
        <v/>
      </c>
      <c r="D486" s="5" t="str">
        <f>IF($H486="","",INDEX('Detalle individual'!$E:$E,$H486))</f>
        <v/>
      </c>
      <c r="E486" s="5" t="str">
        <f>IF($H486="","",INDEX('Detalle individual'!$C:$C,$H486))</f>
        <v/>
      </c>
      <c r="F486" s="5" t="str">
        <f>IF($H486="","",INDEX('Detalle individual'!$D:$D,$H486))</f>
        <v/>
      </c>
      <c r="G486" s="5" t="str">
        <f>IF($H486="","",INDEX('Detalle individual'!$F:$F,$H486))</f>
        <v/>
      </c>
      <c r="H486" t="str">
        <f>IFERROR(MATCH(SMALL(Cálculos!$AJ$5:$AJ$1000,482),Cálculos!$AJ$5:$AJ$1000,0)+4,"")</f>
        <v/>
      </c>
    </row>
    <row r="487">
      <c r="B487" s="5" t="str">
        <f>IF($H487="","",INDEX('Detalle individual'!$B:$B,$H487))</f>
        <v/>
      </c>
      <c r="C487" s="5" t="str">
        <f>IF($H487="","",INDEX('Detalle individual'!$A:$A,$H487))</f>
        <v/>
      </c>
      <c r="D487" s="5" t="str">
        <f>IF($H487="","",INDEX('Detalle individual'!$E:$E,$H487))</f>
        <v/>
      </c>
      <c r="E487" s="5" t="str">
        <f>IF($H487="","",INDEX('Detalle individual'!$C:$C,$H487))</f>
        <v/>
      </c>
      <c r="F487" s="5" t="str">
        <f>IF($H487="","",INDEX('Detalle individual'!$D:$D,$H487))</f>
        <v/>
      </c>
      <c r="G487" s="5" t="str">
        <f>IF($H487="","",INDEX('Detalle individual'!$F:$F,$H487))</f>
        <v/>
      </c>
      <c r="H487" t="str">
        <f>IFERROR(MATCH(SMALL(Cálculos!$AJ$5:$AJ$1000,483),Cálculos!$AJ$5:$AJ$1000,0)+4,"")</f>
        <v/>
      </c>
    </row>
    <row r="488">
      <c r="B488" s="5" t="str">
        <f>IF($H488="","",INDEX('Detalle individual'!$B:$B,$H488))</f>
        <v/>
      </c>
      <c r="C488" s="5" t="str">
        <f>IF($H488="","",INDEX('Detalle individual'!$A:$A,$H488))</f>
        <v/>
      </c>
      <c r="D488" s="5" t="str">
        <f>IF($H488="","",INDEX('Detalle individual'!$E:$E,$H488))</f>
        <v/>
      </c>
      <c r="E488" s="5" t="str">
        <f>IF($H488="","",INDEX('Detalle individual'!$C:$C,$H488))</f>
        <v/>
      </c>
      <c r="F488" s="5" t="str">
        <f>IF($H488="","",INDEX('Detalle individual'!$D:$D,$H488))</f>
        <v/>
      </c>
      <c r="G488" s="5" t="str">
        <f>IF($H488="","",INDEX('Detalle individual'!$F:$F,$H488))</f>
        <v/>
      </c>
      <c r="H488" t="str">
        <f>IFERROR(MATCH(SMALL(Cálculos!$AJ$5:$AJ$1000,484),Cálculos!$AJ$5:$AJ$1000,0)+4,"")</f>
        <v/>
      </c>
    </row>
    <row r="489">
      <c r="B489" s="5" t="str">
        <f>IF($H489="","",INDEX('Detalle individual'!$B:$B,$H489))</f>
        <v/>
      </c>
      <c r="C489" s="5" t="str">
        <f>IF($H489="","",INDEX('Detalle individual'!$A:$A,$H489))</f>
        <v/>
      </c>
      <c r="D489" s="5" t="str">
        <f>IF($H489="","",INDEX('Detalle individual'!$E:$E,$H489))</f>
        <v/>
      </c>
      <c r="E489" s="5" t="str">
        <f>IF($H489="","",INDEX('Detalle individual'!$C:$C,$H489))</f>
        <v/>
      </c>
      <c r="F489" s="5" t="str">
        <f>IF($H489="","",INDEX('Detalle individual'!$D:$D,$H489))</f>
        <v/>
      </c>
      <c r="G489" s="5" t="str">
        <f>IF($H489="","",INDEX('Detalle individual'!$F:$F,$H489))</f>
        <v/>
      </c>
      <c r="H489" t="str">
        <f>IFERROR(MATCH(SMALL(Cálculos!$AJ$5:$AJ$1000,485),Cálculos!$AJ$5:$AJ$1000,0)+4,"")</f>
        <v/>
      </c>
    </row>
    <row r="490">
      <c r="B490" s="5" t="str">
        <f>IF($H490="","",INDEX('Detalle individual'!$B:$B,$H490))</f>
        <v/>
      </c>
      <c r="C490" s="5" t="str">
        <f>IF($H490="","",INDEX('Detalle individual'!$A:$A,$H490))</f>
        <v/>
      </c>
      <c r="D490" s="5" t="str">
        <f>IF($H490="","",INDEX('Detalle individual'!$E:$E,$H490))</f>
        <v/>
      </c>
      <c r="E490" s="5" t="str">
        <f>IF($H490="","",INDEX('Detalle individual'!$C:$C,$H490))</f>
        <v/>
      </c>
      <c r="F490" s="5" t="str">
        <f>IF($H490="","",INDEX('Detalle individual'!$D:$D,$H490))</f>
        <v/>
      </c>
      <c r="G490" s="5" t="str">
        <f>IF($H490="","",INDEX('Detalle individual'!$F:$F,$H490))</f>
        <v/>
      </c>
      <c r="H490" t="str">
        <f>IFERROR(MATCH(SMALL(Cálculos!$AJ$5:$AJ$1000,486),Cálculos!$AJ$5:$AJ$1000,0)+4,"")</f>
        <v/>
      </c>
    </row>
    <row r="491">
      <c r="B491" s="5" t="str">
        <f>IF($H491="","",INDEX('Detalle individual'!$B:$B,$H491))</f>
        <v/>
      </c>
      <c r="C491" s="5" t="str">
        <f>IF($H491="","",INDEX('Detalle individual'!$A:$A,$H491))</f>
        <v/>
      </c>
      <c r="D491" s="5" t="str">
        <f>IF($H491="","",INDEX('Detalle individual'!$E:$E,$H491))</f>
        <v/>
      </c>
      <c r="E491" s="5" t="str">
        <f>IF($H491="","",INDEX('Detalle individual'!$C:$C,$H491))</f>
        <v/>
      </c>
      <c r="F491" s="5" t="str">
        <f>IF($H491="","",INDEX('Detalle individual'!$D:$D,$H491))</f>
        <v/>
      </c>
      <c r="G491" s="5" t="str">
        <f>IF($H491="","",INDEX('Detalle individual'!$F:$F,$H491))</f>
        <v/>
      </c>
      <c r="H491" t="str">
        <f>IFERROR(MATCH(SMALL(Cálculos!$AJ$5:$AJ$1000,487),Cálculos!$AJ$5:$AJ$1000,0)+4,"")</f>
        <v/>
      </c>
    </row>
    <row r="492">
      <c r="B492" s="5" t="str">
        <f>IF($H492="","",INDEX('Detalle individual'!$B:$B,$H492))</f>
        <v/>
      </c>
      <c r="C492" s="5" t="str">
        <f>IF($H492="","",INDEX('Detalle individual'!$A:$A,$H492))</f>
        <v/>
      </c>
      <c r="D492" s="5" t="str">
        <f>IF($H492="","",INDEX('Detalle individual'!$E:$E,$H492))</f>
        <v/>
      </c>
      <c r="E492" s="5" t="str">
        <f>IF($H492="","",INDEX('Detalle individual'!$C:$C,$H492))</f>
        <v/>
      </c>
      <c r="F492" s="5" t="str">
        <f>IF($H492="","",INDEX('Detalle individual'!$D:$D,$H492))</f>
        <v/>
      </c>
      <c r="G492" s="5" t="str">
        <f>IF($H492="","",INDEX('Detalle individual'!$F:$F,$H492))</f>
        <v/>
      </c>
      <c r="H492" t="str">
        <f>IFERROR(MATCH(SMALL(Cálculos!$AJ$5:$AJ$1000,488),Cálculos!$AJ$5:$AJ$1000,0)+4,"")</f>
        <v/>
      </c>
    </row>
    <row r="493">
      <c r="B493" s="5" t="str">
        <f>IF($H493="","",INDEX('Detalle individual'!$B:$B,$H493))</f>
        <v/>
      </c>
      <c r="C493" s="5" t="str">
        <f>IF($H493="","",INDEX('Detalle individual'!$A:$A,$H493))</f>
        <v/>
      </c>
      <c r="D493" s="5" t="str">
        <f>IF($H493="","",INDEX('Detalle individual'!$E:$E,$H493))</f>
        <v/>
      </c>
      <c r="E493" s="5" t="str">
        <f>IF($H493="","",INDEX('Detalle individual'!$C:$C,$H493))</f>
        <v/>
      </c>
      <c r="F493" s="5" t="str">
        <f>IF($H493="","",INDEX('Detalle individual'!$D:$D,$H493))</f>
        <v/>
      </c>
      <c r="G493" s="5" t="str">
        <f>IF($H493="","",INDEX('Detalle individual'!$F:$F,$H493))</f>
        <v/>
      </c>
      <c r="H493" t="str">
        <f>IFERROR(MATCH(SMALL(Cálculos!$AJ$5:$AJ$1000,489),Cálculos!$AJ$5:$AJ$1000,0)+4,"")</f>
        <v/>
      </c>
    </row>
    <row r="494">
      <c r="B494" s="5" t="str">
        <f>IF($H494="","",INDEX('Detalle individual'!$B:$B,$H494))</f>
        <v/>
      </c>
      <c r="C494" s="5" t="str">
        <f>IF($H494="","",INDEX('Detalle individual'!$A:$A,$H494))</f>
        <v/>
      </c>
      <c r="D494" s="5" t="str">
        <f>IF($H494="","",INDEX('Detalle individual'!$E:$E,$H494))</f>
        <v/>
      </c>
      <c r="E494" s="5" t="str">
        <f>IF($H494="","",INDEX('Detalle individual'!$C:$C,$H494))</f>
        <v/>
      </c>
      <c r="F494" s="5" t="str">
        <f>IF($H494="","",INDEX('Detalle individual'!$D:$D,$H494))</f>
        <v/>
      </c>
      <c r="G494" s="5" t="str">
        <f>IF($H494="","",INDEX('Detalle individual'!$F:$F,$H494))</f>
        <v/>
      </c>
      <c r="H494" t="str">
        <f>IFERROR(MATCH(SMALL(Cálculos!$AJ$5:$AJ$1000,490),Cálculos!$AJ$5:$AJ$1000,0)+4,"")</f>
        <v/>
      </c>
    </row>
    <row r="495">
      <c r="B495" s="5" t="str">
        <f>IF($H495="","",INDEX('Detalle individual'!$B:$B,$H495))</f>
        <v/>
      </c>
      <c r="C495" s="5" t="str">
        <f>IF($H495="","",INDEX('Detalle individual'!$A:$A,$H495))</f>
        <v/>
      </c>
      <c r="D495" s="5" t="str">
        <f>IF($H495="","",INDEX('Detalle individual'!$E:$E,$H495))</f>
        <v/>
      </c>
      <c r="E495" s="5" t="str">
        <f>IF($H495="","",INDEX('Detalle individual'!$C:$C,$H495))</f>
        <v/>
      </c>
      <c r="F495" s="5" t="str">
        <f>IF($H495="","",INDEX('Detalle individual'!$D:$D,$H495))</f>
        <v/>
      </c>
      <c r="G495" s="5" t="str">
        <f>IF($H495="","",INDEX('Detalle individual'!$F:$F,$H495))</f>
        <v/>
      </c>
      <c r="H495" t="str">
        <f>IFERROR(MATCH(SMALL(Cálculos!$AJ$5:$AJ$1000,491),Cálculos!$AJ$5:$AJ$1000,0)+4,"")</f>
        <v/>
      </c>
    </row>
    <row r="496">
      <c r="B496" s="5" t="str">
        <f>IF($H496="","",INDEX('Detalle individual'!$B:$B,$H496))</f>
        <v/>
      </c>
      <c r="C496" s="5" t="str">
        <f>IF($H496="","",INDEX('Detalle individual'!$A:$A,$H496))</f>
        <v/>
      </c>
      <c r="D496" s="5" t="str">
        <f>IF($H496="","",INDEX('Detalle individual'!$E:$E,$H496))</f>
        <v/>
      </c>
      <c r="E496" s="5" t="str">
        <f>IF($H496="","",INDEX('Detalle individual'!$C:$C,$H496))</f>
        <v/>
      </c>
      <c r="F496" s="5" t="str">
        <f>IF($H496="","",INDEX('Detalle individual'!$D:$D,$H496))</f>
        <v/>
      </c>
      <c r="G496" s="5" t="str">
        <f>IF($H496="","",INDEX('Detalle individual'!$F:$F,$H496))</f>
        <v/>
      </c>
      <c r="H496" t="str">
        <f>IFERROR(MATCH(SMALL(Cálculos!$AJ$5:$AJ$1000,492),Cálculos!$AJ$5:$AJ$1000,0)+4,"")</f>
        <v/>
      </c>
    </row>
    <row r="497">
      <c r="B497" s="5" t="str">
        <f>IF($H497="","",INDEX('Detalle individual'!$B:$B,$H497))</f>
        <v/>
      </c>
      <c r="C497" s="5" t="str">
        <f>IF($H497="","",INDEX('Detalle individual'!$A:$A,$H497))</f>
        <v/>
      </c>
      <c r="D497" s="5" t="str">
        <f>IF($H497="","",INDEX('Detalle individual'!$E:$E,$H497))</f>
        <v/>
      </c>
      <c r="E497" s="5" t="str">
        <f>IF($H497="","",INDEX('Detalle individual'!$C:$C,$H497))</f>
        <v/>
      </c>
      <c r="F497" s="5" t="str">
        <f>IF($H497="","",INDEX('Detalle individual'!$D:$D,$H497))</f>
        <v/>
      </c>
      <c r="G497" s="5" t="str">
        <f>IF($H497="","",INDEX('Detalle individual'!$F:$F,$H497))</f>
        <v/>
      </c>
      <c r="H497" t="str">
        <f>IFERROR(MATCH(SMALL(Cálculos!$AJ$5:$AJ$1000,493),Cálculos!$AJ$5:$AJ$1000,0)+4,"")</f>
        <v/>
      </c>
    </row>
    <row r="498">
      <c r="B498" s="5" t="str">
        <f>IF($H498="","",INDEX('Detalle individual'!$B:$B,$H498))</f>
        <v/>
      </c>
      <c r="C498" s="5" t="str">
        <f>IF($H498="","",INDEX('Detalle individual'!$A:$A,$H498))</f>
        <v/>
      </c>
      <c r="D498" s="5" t="str">
        <f>IF($H498="","",INDEX('Detalle individual'!$E:$E,$H498))</f>
        <v/>
      </c>
      <c r="E498" s="5" t="str">
        <f>IF($H498="","",INDEX('Detalle individual'!$C:$C,$H498))</f>
        <v/>
      </c>
      <c r="F498" s="5" t="str">
        <f>IF($H498="","",INDEX('Detalle individual'!$D:$D,$H498))</f>
        <v/>
      </c>
      <c r="G498" s="5" t="str">
        <f>IF($H498="","",INDEX('Detalle individual'!$F:$F,$H498))</f>
        <v/>
      </c>
      <c r="H498" t="str">
        <f>IFERROR(MATCH(SMALL(Cálculos!$AJ$5:$AJ$1000,494),Cálculos!$AJ$5:$AJ$1000,0)+4,"")</f>
        <v/>
      </c>
    </row>
    <row r="499">
      <c r="B499" s="5" t="str">
        <f>IF($H499="","",INDEX('Detalle individual'!$B:$B,$H499))</f>
        <v/>
      </c>
      <c r="C499" s="5" t="str">
        <f>IF($H499="","",INDEX('Detalle individual'!$A:$A,$H499))</f>
        <v/>
      </c>
      <c r="D499" s="5" t="str">
        <f>IF($H499="","",INDEX('Detalle individual'!$E:$E,$H499))</f>
        <v/>
      </c>
      <c r="E499" s="5" t="str">
        <f>IF($H499="","",INDEX('Detalle individual'!$C:$C,$H499))</f>
        <v/>
      </c>
      <c r="F499" s="5" t="str">
        <f>IF($H499="","",INDEX('Detalle individual'!$D:$D,$H499))</f>
        <v/>
      </c>
      <c r="G499" s="5" t="str">
        <f>IF($H499="","",INDEX('Detalle individual'!$F:$F,$H499))</f>
        <v/>
      </c>
      <c r="H499" t="str">
        <f>IFERROR(MATCH(SMALL(Cálculos!$AJ$5:$AJ$1000,495),Cálculos!$AJ$5:$AJ$1000,0)+4,"")</f>
        <v/>
      </c>
    </row>
    <row r="500">
      <c r="B500" s="5" t="str">
        <f>IF($H500="","",INDEX('Detalle individual'!$B:$B,$H500))</f>
        <v/>
      </c>
      <c r="C500" s="5" t="str">
        <f>IF($H500="","",INDEX('Detalle individual'!$A:$A,$H500))</f>
        <v/>
      </c>
      <c r="D500" s="5" t="str">
        <f>IF($H500="","",INDEX('Detalle individual'!$E:$E,$H500))</f>
        <v/>
      </c>
      <c r="E500" s="5" t="str">
        <f>IF($H500="","",INDEX('Detalle individual'!$C:$C,$H500))</f>
        <v/>
      </c>
      <c r="F500" s="5" t="str">
        <f>IF($H500="","",INDEX('Detalle individual'!$D:$D,$H500))</f>
        <v/>
      </c>
      <c r="G500" s="5" t="str">
        <f>IF($H500="","",INDEX('Detalle individual'!$F:$F,$H500))</f>
        <v/>
      </c>
      <c r="H500" t="str">
        <f>IFERROR(MATCH(SMALL(Cálculos!$AJ$5:$AJ$1000,496),Cálculos!$AJ$5:$AJ$1000,0)+4,"")</f>
        <v/>
      </c>
    </row>
    <row r="501">
      <c r="B501" s="5" t="str">
        <f>IF($H501="","",INDEX('Detalle individual'!$B:$B,$H501))</f>
        <v/>
      </c>
      <c r="C501" s="5" t="str">
        <f>IF($H501="","",INDEX('Detalle individual'!$A:$A,$H501))</f>
        <v/>
      </c>
      <c r="D501" s="5" t="str">
        <f>IF($H501="","",INDEX('Detalle individual'!$E:$E,$H501))</f>
        <v/>
      </c>
      <c r="E501" s="5" t="str">
        <f>IF($H501="","",INDEX('Detalle individual'!$C:$C,$H501))</f>
        <v/>
      </c>
      <c r="F501" s="5" t="str">
        <f>IF($H501="","",INDEX('Detalle individual'!$D:$D,$H501))</f>
        <v/>
      </c>
      <c r="G501" s="5" t="str">
        <f>IF($H501="","",INDEX('Detalle individual'!$F:$F,$H501))</f>
        <v/>
      </c>
      <c r="H501" t="str">
        <f>IFERROR(MATCH(SMALL(Cálculos!$AJ$5:$AJ$1000,497),Cálculos!$AJ$5:$AJ$1000,0)+4,"")</f>
        <v/>
      </c>
    </row>
    <row r="502">
      <c r="B502" s="5" t="str">
        <f>IF($H502="","",INDEX('Detalle individual'!$B:$B,$H502))</f>
        <v/>
      </c>
      <c r="C502" s="5" t="str">
        <f>IF($H502="","",INDEX('Detalle individual'!$A:$A,$H502))</f>
        <v/>
      </c>
      <c r="D502" s="5" t="str">
        <f>IF($H502="","",INDEX('Detalle individual'!$E:$E,$H502))</f>
        <v/>
      </c>
      <c r="E502" s="5" t="str">
        <f>IF($H502="","",INDEX('Detalle individual'!$C:$C,$H502))</f>
        <v/>
      </c>
      <c r="F502" s="5" t="str">
        <f>IF($H502="","",INDEX('Detalle individual'!$D:$D,$H502))</f>
        <v/>
      </c>
      <c r="G502" s="5" t="str">
        <f>IF($H502="","",INDEX('Detalle individual'!$F:$F,$H502))</f>
        <v/>
      </c>
      <c r="H502" t="str">
        <f>IFERROR(MATCH(SMALL(Cálculos!$AJ$5:$AJ$1000,498),Cálculos!$AJ$5:$AJ$1000,0)+4,"")</f>
        <v/>
      </c>
    </row>
    <row r="503">
      <c r="B503" s="5" t="str">
        <f>IF($H503="","",INDEX('Detalle individual'!$B:$B,$H503))</f>
        <v/>
      </c>
      <c r="C503" s="5" t="str">
        <f>IF($H503="","",INDEX('Detalle individual'!$A:$A,$H503))</f>
        <v/>
      </c>
      <c r="D503" s="5" t="str">
        <f>IF($H503="","",INDEX('Detalle individual'!$E:$E,$H503))</f>
        <v/>
      </c>
      <c r="E503" s="5" t="str">
        <f>IF($H503="","",INDEX('Detalle individual'!$C:$C,$H503))</f>
        <v/>
      </c>
      <c r="F503" s="5" t="str">
        <f>IF($H503="","",INDEX('Detalle individual'!$D:$D,$H503))</f>
        <v/>
      </c>
      <c r="G503" s="5" t="str">
        <f>IF($H503="","",INDEX('Detalle individual'!$F:$F,$H503))</f>
        <v/>
      </c>
      <c r="H503" t="str">
        <f>IFERROR(MATCH(SMALL(Cálculos!$AJ$5:$AJ$1000,499),Cálculos!$AJ$5:$AJ$1000,0)+4,"")</f>
        <v/>
      </c>
    </row>
    <row r="504">
      <c r="B504" s="5" t="str">
        <f>IF($H504="","",INDEX('Detalle individual'!$B:$B,$H504))</f>
        <v/>
      </c>
      <c r="C504" s="5" t="str">
        <f>IF($H504="","",INDEX('Detalle individual'!$A:$A,$H504))</f>
        <v/>
      </c>
      <c r="D504" s="5" t="str">
        <f>IF($H504="","",INDEX('Detalle individual'!$E:$E,$H504))</f>
        <v/>
      </c>
      <c r="E504" s="5" t="str">
        <f>IF($H504="","",INDEX('Detalle individual'!$C:$C,$H504))</f>
        <v/>
      </c>
      <c r="F504" s="5" t="str">
        <f>IF($H504="","",INDEX('Detalle individual'!$D:$D,$H504))</f>
        <v/>
      </c>
      <c r="G504" s="5" t="str">
        <f>IF($H504="","",INDEX('Detalle individual'!$F:$F,$H504))</f>
        <v/>
      </c>
      <c r="H504" t="str">
        <f>IFERROR(MATCH(SMALL(Cálculos!$AJ$5:$AJ$1000,500),Cálculos!$AJ$5:$AJ$1000,0)+4,"")</f>
        <v/>
      </c>
    </row>
    <row r="505">
      <c r="B505" s="5" t="str">
        <f>IF($H505="","",INDEX('Detalle individual'!$B:$B,$H505))</f>
        <v/>
      </c>
      <c r="C505" s="5" t="str">
        <f>IF($H505="","",INDEX('Detalle individual'!$A:$A,$H505))</f>
        <v/>
      </c>
      <c r="D505" s="5" t="str">
        <f>IF($H505="","",INDEX('Detalle individual'!$E:$E,$H505))</f>
        <v/>
      </c>
      <c r="E505" s="5" t="str">
        <f>IF($H505="","",INDEX('Detalle individual'!$C:$C,$H505))</f>
        <v/>
      </c>
      <c r="F505" s="5" t="str">
        <f>IF($H505="","",INDEX('Detalle individual'!$D:$D,$H505))</f>
        <v/>
      </c>
      <c r="G505" s="5" t="str">
        <f>IF($H505="","",INDEX('Detalle individual'!$F:$F,$H505))</f>
        <v/>
      </c>
      <c r="H505" t="str">
        <f>IFERROR(MATCH(SMALL(Cálculos!$AJ$5:$AJ$1000,501),Cálculos!$AJ$5:$AJ$1000,0)+4,"")</f>
        <v/>
      </c>
    </row>
    <row r="506">
      <c r="B506" s="5" t="str">
        <f>IF($H506="","",INDEX('Detalle individual'!$B:$B,$H506))</f>
        <v/>
      </c>
      <c r="C506" s="5" t="str">
        <f>IF($H506="","",INDEX('Detalle individual'!$A:$A,$H506))</f>
        <v/>
      </c>
      <c r="D506" s="5" t="str">
        <f>IF($H506="","",INDEX('Detalle individual'!$E:$E,$H506))</f>
        <v/>
      </c>
      <c r="E506" s="5" t="str">
        <f>IF($H506="","",INDEX('Detalle individual'!$C:$C,$H506))</f>
        <v/>
      </c>
      <c r="F506" s="5" t="str">
        <f>IF($H506="","",INDEX('Detalle individual'!$D:$D,$H506))</f>
        <v/>
      </c>
      <c r="G506" s="5" t="str">
        <f>IF($H506="","",INDEX('Detalle individual'!$F:$F,$H506))</f>
        <v/>
      </c>
      <c r="H506" t="str">
        <f>IFERROR(MATCH(SMALL(Cálculos!$AJ$5:$AJ$1000,502),Cálculos!$AJ$5:$AJ$1000,0)+4,"")</f>
        <v/>
      </c>
    </row>
    <row r="507">
      <c r="B507" s="5" t="str">
        <f>IF($H507="","",INDEX('Detalle individual'!$B:$B,$H507))</f>
        <v/>
      </c>
      <c r="C507" s="5" t="str">
        <f>IF($H507="","",INDEX('Detalle individual'!$A:$A,$H507))</f>
        <v/>
      </c>
      <c r="D507" s="5" t="str">
        <f>IF($H507="","",INDEX('Detalle individual'!$E:$E,$H507))</f>
        <v/>
      </c>
      <c r="E507" s="5" t="str">
        <f>IF($H507="","",INDEX('Detalle individual'!$C:$C,$H507))</f>
        <v/>
      </c>
      <c r="F507" s="5" t="str">
        <f>IF($H507="","",INDEX('Detalle individual'!$D:$D,$H507))</f>
        <v/>
      </c>
      <c r="G507" s="5" t="str">
        <f>IF($H507="","",INDEX('Detalle individual'!$F:$F,$H507))</f>
        <v/>
      </c>
      <c r="H507" t="str">
        <f>IFERROR(MATCH(SMALL(Cálculos!$AJ$5:$AJ$1000,503),Cálculos!$AJ$5:$AJ$1000,0)+4,"")</f>
        <v/>
      </c>
    </row>
    <row r="508">
      <c r="B508" s="5" t="str">
        <f>IF($H508="","",INDEX('Detalle individual'!$B:$B,$H508))</f>
        <v/>
      </c>
      <c r="C508" s="5" t="str">
        <f>IF($H508="","",INDEX('Detalle individual'!$A:$A,$H508))</f>
        <v/>
      </c>
      <c r="D508" s="5" t="str">
        <f>IF($H508="","",INDEX('Detalle individual'!$E:$E,$H508))</f>
        <v/>
      </c>
      <c r="E508" s="5" t="str">
        <f>IF($H508="","",INDEX('Detalle individual'!$C:$C,$H508))</f>
        <v/>
      </c>
      <c r="F508" s="5" t="str">
        <f>IF($H508="","",INDEX('Detalle individual'!$D:$D,$H508))</f>
        <v/>
      </c>
      <c r="G508" s="5" t="str">
        <f>IF($H508="","",INDEX('Detalle individual'!$F:$F,$H508))</f>
        <v/>
      </c>
      <c r="H508" t="str">
        <f>IFERROR(MATCH(SMALL(Cálculos!$AJ$5:$AJ$1000,504),Cálculos!$AJ$5:$AJ$1000,0)+4,"")</f>
        <v/>
      </c>
    </row>
    <row r="509">
      <c r="B509" s="5" t="str">
        <f>IF($H509="","",INDEX('Detalle individual'!$B:$B,$H509))</f>
        <v/>
      </c>
      <c r="C509" s="5" t="str">
        <f>IF($H509="","",INDEX('Detalle individual'!$A:$A,$H509))</f>
        <v/>
      </c>
      <c r="D509" s="5" t="str">
        <f>IF($H509="","",INDEX('Detalle individual'!$E:$E,$H509))</f>
        <v/>
      </c>
      <c r="E509" s="5" t="str">
        <f>IF($H509="","",INDEX('Detalle individual'!$C:$C,$H509))</f>
        <v/>
      </c>
      <c r="F509" s="5" t="str">
        <f>IF($H509="","",INDEX('Detalle individual'!$D:$D,$H509))</f>
        <v/>
      </c>
      <c r="G509" s="5" t="str">
        <f>IF($H509="","",INDEX('Detalle individual'!$F:$F,$H509))</f>
        <v/>
      </c>
      <c r="H509" t="str">
        <f>IFERROR(MATCH(SMALL(Cálculos!$AJ$5:$AJ$1000,505),Cálculos!$AJ$5:$AJ$1000,0)+4,"")</f>
        <v/>
      </c>
    </row>
    <row r="510">
      <c r="B510" s="5" t="str">
        <f>IF($H510="","",INDEX('Detalle individual'!$B:$B,$H510))</f>
        <v/>
      </c>
      <c r="C510" s="5" t="str">
        <f>IF($H510="","",INDEX('Detalle individual'!$A:$A,$H510))</f>
        <v/>
      </c>
      <c r="D510" s="5" t="str">
        <f>IF($H510="","",INDEX('Detalle individual'!$E:$E,$H510))</f>
        <v/>
      </c>
      <c r="E510" s="5" t="str">
        <f>IF($H510="","",INDEX('Detalle individual'!$C:$C,$H510))</f>
        <v/>
      </c>
      <c r="F510" s="5" t="str">
        <f>IF($H510="","",INDEX('Detalle individual'!$D:$D,$H510))</f>
        <v/>
      </c>
      <c r="G510" s="5" t="str">
        <f>IF($H510="","",INDEX('Detalle individual'!$F:$F,$H510))</f>
        <v/>
      </c>
      <c r="H510" t="str">
        <f>IFERROR(MATCH(SMALL(Cálculos!$AJ$5:$AJ$1000,506),Cálculos!$AJ$5:$AJ$1000,0)+4,"")</f>
        <v/>
      </c>
    </row>
    <row r="511">
      <c r="B511" s="5" t="str">
        <f>IF($H511="","",INDEX('Detalle individual'!$B:$B,$H511))</f>
        <v/>
      </c>
      <c r="C511" s="5" t="str">
        <f>IF($H511="","",INDEX('Detalle individual'!$A:$A,$H511))</f>
        <v/>
      </c>
      <c r="D511" s="5" t="str">
        <f>IF($H511="","",INDEX('Detalle individual'!$E:$E,$H511))</f>
        <v/>
      </c>
      <c r="E511" s="5" t="str">
        <f>IF($H511="","",INDEX('Detalle individual'!$C:$C,$H511))</f>
        <v/>
      </c>
      <c r="F511" s="5" t="str">
        <f>IF($H511="","",INDEX('Detalle individual'!$D:$D,$H511))</f>
        <v/>
      </c>
      <c r="G511" s="5" t="str">
        <f>IF($H511="","",INDEX('Detalle individual'!$F:$F,$H511))</f>
        <v/>
      </c>
      <c r="H511" t="str">
        <f>IFERROR(MATCH(SMALL(Cálculos!$AJ$5:$AJ$1000,507),Cálculos!$AJ$5:$AJ$1000,0)+4,"")</f>
        <v/>
      </c>
    </row>
    <row r="512">
      <c r="B512" s="5" t="str">
        <f>IF($H512="","",INDEX('Detalle individual'!$B:$B,$H512))</f>
        <v/>
      </c>
      <c r="C512" s="5" t="str">
        <f>IF($H512="","",INDEX('Detalle individual'!$A:$A,$H512))</f>
        <v/>
      </c>
      <c r="D512" s="5" t="str">
        <f>IF($H512="","",INDEX('Detalle individual'!$E:$E,$H512))</f>
        <v/>
      </c>
      <c r="E512" s="5" t="str">
        <f>IF($H512="","",INDEX('Detalle individual'!$C:$C,$H512))</f>
        <v/>
      </c>
      <c r="F512" s="5" t="str">
        <f>IF($H512="","",INDEX('Detalle individual'!$D:$D,$H512))</f>
        <v/>
      </c>
      <c r="G512" s="5" t="str">
        <f>IF($H512="","",INDEX('Detalle individual'!$F:$F,$H512))</f>
        <v/>
      </c>
      <c r="H512" t="str">
        <f>IFERROR(MATCH(SMALL(Cálculos!$AJ$5:$AJ$1000,508),Cálculos!$AJ$5:$AJ$1000,0)+4,"")</f>
        <v/>
      </c>
    </row>
    <row r="513">
      <c r="B513" s="5" t="str">
        <f>IF($H513="","",INDEX('Detalle individual'!$B:$B,$H513))</f>
        <v/>
      </c>
      <c r="C513" s="5" t="str">
        <f>IF($H513="","",INDEX('Detalle individual'!$A:$A,$H513))</f>
        <v/>
      </c>
      <c r="D513" s="5" t="str">
        <f>IF($H513="","",INDEX('Detalle individual'!$E:$E,$H513))</f>
        <v/>
      </c>
      <c r="E513" s="5" t="str">
        <f>IF($H513="","",INDEX('Detalle individual'!$C:$C,$H513))</f>
        <v/>
      </c>
      <c r="F513" s="5" t="str">
        <f>IF($H513="","",INDEX('Detalle individual'!$D:$D,$H513))</f>
        <v/>
      </c>
      <c r="G513" s="5" t="str">
        <f>IF($H513="","",INDEX('Detalle individual'!$F:$F,$H513))</f>
        <v/>
      </c>
      <c r="H513" t="str">
        <f>IFERROR(MATCH(SMALL(Cálculos!$AJ$5:$AJ$1000,509),Cálculos!$AJ$5:$AJ$1000,0)+4,"")</f>
        <v/>
      </c>
    </row>
    <row r="514">
      <c r="B514" s="5" t="str">
        <f>IF($H514="","",INDEX('Detalle individual'!$B:$B,$H514))</f>
        <v/>
      </c>
      <c r="C514" s="5" t="str">
        <f>IF($H514="","",INDEX('Detalle individual'!$A:$A,$H514))</f>
        <v/>
      </c>
      <c r="D514" s="5" t="str">
        <f>IF($H514="","",INDEX('Detalle individual'!$E:$E,$H514))</f>
        <v/>
      </c>
      <c r="E514" s="5" t="str">
        <f>IF($H514="","",INDEX('Detalle individual'!$C:$C,$H514))</f>
        <v/>
      </c>
      <c r="F514" s="5" t="str">
        <f>IF($H514="","",INDEX('Detalle individual'!$D:$D,$H514))</f>
        <v/>
      </c>
      <c r="G514" s="5" t="str">
        <f>IF($H514="","",INDEX('Detalle individual'!$F:$F,$H514))</f>
        <v/>
      </c>
      <c r="H514" t="str">
        <f>IFERROR(MATCH(SMALL(Cálculos!$AJ$5:$AJ$1000,510),Cálculos!$AJ$5:$AJ$1000,0)+4,"")</f>
        <v/>
      </c>
    </row>
    <row r="515">
      <c r="B515" s="5" t="str">
        <f>IF($H515="","",INDEX('Detalle individual'!$B:$B,$H515))</f>
        <v/>
      </c>
      <c r="C515" s="5" t="str">
        <f>IF($H515="","",INDEX('Detalle individual'!$A:$A,$H515))</f>
        <v/>
      </c>
      <c r="D515" s="5" t="str">
        <f>IF($H515="","",INDEX('Detalle individual'!$E:$E,$H515))</f>
        <v/>
      </c>
      <c r="E515" s="5" t="str">
        <f>IF($H515="","",INDEX('Detalle individual'!$C:$C,$H515))</f>
        <v/>
      </c>
      <c r="F515" s="5" t="str">
        <f>IF($H515="","",INDEX('Detalle individual'!$D:$D,$H515))</f>
        <v/>
      </c>
      <c r="G515" s="5" t="str">
        <f>IF($H515="","",INDEX('Detalle individual'!$F:$F,$H515))</f>
        <v/>
      </c>
      <c r="H515" t="str">
        <f>IFERROR(MATCH(SMALL(Cálculos!$AJ$5:$AJ$1000,511),Cálculos!$AJ$5:$AJ$1000,0)+4,"")</f>
        <v/>
      </c>
    </row>
    <row r="516">
      <c r="B516" s="5" t="str">
        <f>IF($H516="","",INDEX('Detalle individual'!$B:$B,$H516))</f>
        <v/>
      </c>
      <c r="C516" s="5" t="str">
        <f>IF($H516="","",INDEX('Detalle individual'!$A:$A,$H516))</f>
        <v/>
      </c>
      <c r="D516" s="5" t="str">
        <f>IF($H516="","",INDEX('Detalle individual'!$E:$E,$H516))</f>
        <v/>
      </c>
      <c r="E516" s="5" t="str">
        <f>IF($H516="","",INDEX('Detalle individual'!$C:$C,$H516))</f>
        <v/>
      </c>
      <c r="F516" s="5" t="str">
        <f>IF($H516="","",INDEX('Detalle individual'!$D:$D,$H516))</f>
        <v/>
      </c>
      <c r="G516" s="5" t="str">
        <f>IF($H516="","",INDEX('Detalle individual'!$F:$F,$H516))</f>
        <v/>
      </c>
      <c r="H516" t="str">
        <f>IFERROR(MATCH(SMALL(Cálculos!$AJ$5:$AJ$1000,512),Cálculos!$AJ$5:$AJ$1000,0)+4,"")</f>
        <v/>
      </c>
    </row>
    <row r="517">
      <c r="B517" s="5" t="str">
        <f>IF($H517="","",INDEX('Detalle individual'!$B:$B,$H517))</f>
        <v/>
      </c>
      <c r="C517" s="5" t="str">
        <f>IF($H517="","",INDEX('Detalle individual'!$A:$A,$H517))</f>
        <v/>
      </c>
      <c r="D517" s="5" t="str">
        <f>IF($H517="","",INDEX('Detalle individual'!$E:$E,$H517))</f>
        <v/>
      </c>
      <c r="E517" s="5" t="str">
        <f>IF($H517="","",INDEX('Detalle individual'!$C:$C,$H517))</f>
        <v/>
      </c>
      <c r="F517" s="5" t="str">
        <f>IF($H517="","",INDEX('Detalle individual'!$D:$D,$H517))</f>
        <v/>
      </c>
      <c r="G517" s="5" t="str">
        <f>IF($H517="","",INDEX('Detalle individual'!$F:$F,$H517))</f>
        <v/>
      </c>
      <c r="H517" t="str">
        <f>IFERROR(MATCH(SMALL(Cálculos!$AJ$5:$AJ$1000,513),Cálculos!$AJ$5:$AJ$1000,0)+4,"")</f>
        <v/>
      </c>
    </row>
    <row r="518">
      <c r="B518" s="5" t="str">
        <f>IF($H518="","",INDEX('Detalle individual'!$B:$B,$H518))</f>
        <v/>
      </c>
      <c r="C518" s="5" t="str">
        <f>IF($H518="","",INDEX('Detalle individual'!$A:$A,$H518))</f>
        <v/>
      </c>
      <c r="D518" s="5" t="str">
        <f>IF($H518="","",INDEX('Detalle individual'!$E:$E,$H518))</f>
        <v/>
      </c>
      <c r="E518" s="5" t="str">
        <f>IF($H518="","",INDEX('Detalle individual'!$C:$C,$H518))</f>
        <v/>
      </c>
      <c r="F518" s="5" t="str">
        <f>IF($H518="","",INDEX('Detalle individual'!$D:$D,$H518))</f>
        <v/>
      </c>
      <c r="G518" s="5" t="str">
        <f>IF($H518="","",INDEX('Detalle individual'!$F:$F,$H518))</f>
        <v/>
      </c>
      <c r="H518" t="str">
        <f>IFERROR(MATCH(SMALL(Cálculos!$AJ$5:$AJ$1000,514),Cálculos!$AJ$5:$AJ$1000,0)+4,"")</f>
        <v/>
      </c>
    </row>
    <row r="519">
      <c r="B519" s="5" t="str">
        <f>IF($H519="","",INDEX('Detalle individual'!$B:$B,$H519))</f>
        <v/>
      </c>
      <c r="C519" s="5" t="str">
        <f>IF($H519="","",INDEX('Detalle individual'!$A:$A,$H519))</f>
        <v/>
      </c>
      <c r="D519" s="5" t="str">
        <f>IF($H519="","",INDEX('Detalle individual'!$E:$E,$H519))</f>
        <v/>
      </c>
      <c r="E519" s="5" t="str">
        <f>IF($H519="","",INDEX('Detalle individual'!$C:$C,$H519))</f>
        <v/>
      </c>
      <c r="F519" s="5" t="str">
        <f>IF($H519="","",INDEX('Detalle individual'!$D:$D,$H519))</f>
        <v/>
      </c>
      <c r="G519" s="5" t="str">
        <f>IF($H519="","",INDEX('Detalle individual'!$F:$F,$H519))</f>
        <v/>
      </c>
      <c r="H519" t="str">
        <f>IFERROR(MATCH(SMALL(Cálculos!$AJ$5:$AJ$1000,515),Cálculos!$AJ$5:$AJ$1000,0)+4,"")</f>
        <v/>
      </c>
    </row>
    <row r="520">
      <c r="B520" s="5" t="str">
        <f>IF($H520="","",INDEX('Detalle individual'!$B:$B,$H520))</f>
        <v/>
      </c>
      <c r="C520" s="5" t="str">
        <f>IF($H520="","",INDEX('Detalle individual'!$A:$A,$H520))</f>
        <v/>
      </c>
      <c r="D520" s="5" t="str">
        <f>IF($H520="","",INDEX('Detalle individual'!$E:$E,$H520))</f>
        <v/>
      </c>
      <c r="E520" s="5" t="str">
        <f>IF($H520="","",INDEX('Detalle individual'!$C:$C,$H520))</f>
        <v/>
      </c>
      <c r="F520" s="5" t="str">
        <f>IF($H520="","",INDEX('Detalle individual'!$D:$D,$H520))</f>
        <v/>
      </c>
      <c r="G520" s="5" t="str">
        <f>IF($H520="","",INDEX('Detalle individual'!$F:$F,$H520))</f>
        <v/>
      </c>
      <c r="H520" t="str">
        <f>IFERROR(MATCH(SMALL(Cálculos!$AJ$5:$AJ$1000,516),Cálculos!$AJ$5:$AJ$1000,0)+4,"")</f>
        <v/>
      </c>
    </row>
    <row r="521">
      <c r="B521" s="5" t="str">
        <f>IF($H521="","",INDEX('Detalle individual'!$B:$B,$H521))</f>
        <v/>
      </c>
      <c r="C521" s="5" t="str">
        <f>IF($H521="","",INDEX('Detalle individual'!$A:$A,$H521))</f>
        <v/>
      </c>
      <c r="D521" s="5" t="str">
        <f>IF($H521="","",INDEX('Detalle individual'!$E:$E,$H521))</f>
        <v/>
      </c>
      <c r="E521" s="5" t="str">
        <f>IF($H521="","",INDEX('Detalle individual'!$C:$C,$H521))</f>
        <v/>
      </c>
      <c r="F521" s="5" t="str">
        <f>IF($H521="","",INDEX('Detalle individual'!$D:$D,$H521))</f>
        <v/>
      </c>
      <c r="G521" s="5" t="str">
        <f>IF($H521="","",INDEX('Detalle individual'!$F:$F,$H521))</f>
        <v/>
      </c>
      <c r="H521" t="str">
        <f>IFERROR(MATCH(SMALL(Cálculos!$AJ$5:$AJ$1000,517),Cálculos!$AJ$5:$AJ$1000,0)+4,"")</f>
        <v/>
      </c>
    </row>
    <row r="522">
      <c r="B522" s="5" t="str">
        <f>IF($H522="","",INDEX('Detalle individual'!$B:$B,$H522))</f>
        <v/>
      </c>
      <c r="C522" s="5" t="str">
        <f>IF($H522="","",INDEX('Detalle individual'!$A:$A,$H522))</f>
        <v/>
      </c>
      <c r="D522" s="5" t="str">
        <f>IF($H522="","",INDEX('Detalle individual'!$E:$E,$H522))</f>
        <v/>
      </c>
      <c r="E522" s="5" t="str">
        <f>IF($H522="","",INDEX('Detalle individual'!$C:$C,$H522))</f>
        <v/>
      </c>
      <c r="F522" s="5" t="str">
        <f>IF($H522="","",INDEX('Detalle individual'!$D:$D,$H522))</f>
        <v/>
      </c>
      <c r="G522" s="5" t="str">
        <f>IF($H522="","",INDEX('Detalle individual'!$F:$F,$H522))</f>
        <v/>
      </c>
      <c r="H522" t="str">
        <f>IFERROR(MATCH(SMALL(Cálculos!$AJ$5:$AJ$1000,518),Cálculos!$AJ$5:$AJ$1000,0)+4,"")</f>
        <v/>
      </c>
    </row>
    <row r="523">
      <c r="B523" s="5" t="str">
        <f>IF($H523="","",INDEX('Detalle individual'!$B:$B,$H523))</f>
        <v/>
      </c>
      <c r="C523" s="5" t="str">
        <f>IF($H523="","",INDEX('Detalle individual'!$A:$A,$H523))</f>
        <v/>
      </c>
      <c r="D523" s="5" t="str">
        <f>IF($H523="","",INDEX('Detalle individual'!$E:$E,$H523))</f>
        <v/>
      </c>
      <c r="E523" s="5" t="str">
        <f>IF($H523="","",INDEX('Detalle individual'!$C:$C,$H523))</f>
        <v/>
      </c>
      <c r="F523" s="5" t="str">
        <f>IF($H523="","",INDEX('Detalle individual'!$D:$D,$H523))</f>
        <v/>
      </c>
      <c r="G523" s="5" t="str">
        <f>IF($H523="","",INDEX('Detalle individual'!$F:$F,$H523))</f>
        <v/>
      </c>
      <c r="H523" t="str">
        <f>IFERROR(MATCH(SMALL(Cálculos!$AJ$5:$AJ$1000,519),Cálculos!$AJ$5:$AJ$1000,0)+4,"")</f>
        <v/>
      </c>
    </row>
    <row r="524">
      <c r="B524" s="5" t="str">
        <f>IF($H524="","",INDEX('Detalle individual'!$B:$B,$H524))</f>
        <v/>
      </c>
      <c r="C524" s="5" t="str">
        <f>IF($H524="","",INDEX('Detalle individual'!$A:$A,$H524))</f>
        <v/>
      </c>
      <c r="D524" s="5" t="str">
        <f>IF($H524="","",INDEX('Detalle individual'!$E:$E,$H524))</f>
        <v/>
      </c>
      <c r="E524" s="5" t="str">
        <f>IF($H524="","",INDEX('Detalle individual'!$C:$C,$H524))</f>
        <v/>
      </c>
      <c r="F524" s="5" t="str">
        <f>IF($H524="","",INDEX('Detalle individual'!$D:$D,$H524))</f>
        <v/>
      </c>
      <c r="G524" s="5" t="str">
        <f>IF($H524="","",INDEX('Detalle individual'!$F:$F,$H524))</f>
        <v/>
      </c>
      <c r="H524" t="str">
        <f>IFERROR(MATCH(SMALL(Cálculos!$AJ$5:$AJ$1000,520),Cálculos!$AJ$5:$AJ$1000,0)+4,"")</f>
        <v/>
      </c>
    </row>
    <row r="525">
      <c r="B525" s="5" t="str">
        <f>IF($H525="","",INDEX('Detalle individual'!$B:$B,$H525))</f>
        <v/>
      </c>
      <c r="C525" s="5" t="str">
        <f>IF($H525="","",INDEX('Detalle individual'!$A:$A,$H525))</f>
        <v/>
      </c>
      <c r="D525" s="5" t="str">
        <f>IF($H525="","",INDEX('Detalle individual'!$E:$E,$H525))</f>
        <v/>
      </c>
      <c r="E525" s="5" t="str">
        <f>IF($H525="","",INDEX('Detalle individual'!$C:$C,$H525))</f>
        <v/>
      </c>
      <c r="F525" s="5" t="str">
        <f>IF($H525="","",INDEX('Detalle individual'!$D:$D,$H525))</f>
        <v/>
      </c>
      <c r="G525" s="5" t="str">
        <f>IF($H525="","",INDEX('Detalle individual'!$F:$F,$H525))</f>
        <v/>
      </c>
      <c r="H525" t="str">
        <f>IFERROR(MATCH(SMALL(Cálculos!$AJ$5:$AJ$1000,521),Cálculos!$AJ$5:$AJ$1000,0)+4,"")</f>
        <v/>
      </c>
    </row>
    <row r="526">
      <c r="B526" s="5" t="str">
        <f>IF($H526="","",INDEX('Detalle individual'!$B:$B,$H526))</f>
        <v/>
      </c>
      <c r="C526" s="5" t="str">
        <f>IF($H526="","",INDEX('Detalle individual'!$A:$A,$H526))</f>
        <v/>
      </c>
      <c r="D526" s="5" t="str">
        <f>IF($H526="","",INDEX('Detalle individual'!$E:$E,$H526))</f>
        <v/>
      </c>
      <c r="E526" s="5" t="str">
        <f>IF($H526="","",INDEX('Detalle individual'!$C:$C,$H526))</f>
        <v/>
      </c>
      <c r="F526" s="5" t="str">
        <f>IF($H526="","",INDEX('Detalle individual'!$D:$D,$H526))</f>
        <v/>
      </c>
      <c r="G526" s="5" t="str">
        <f>IF($H526="","",INDEX('Detalle individual'!$F:$F,$H526))</f>
        <v/>
      </c>
      <c r="H526" t="str">
        <f>IFERROR(MATCH(SMALL(Cálculos!$AJ$5:$AJ$1000,522),Cálculos!$AJ$5:$AJ$1000,0)+4,"")</f>
        <v/>
      </c>
    </row>
    <row r="527">
      <c r="B527" s="5" t="str">
        <f>IF($H527="","",INDEX('Detalle individual'!$B:$B,$H527))</f>
        <v/>
      </c>
      <c r="C527" s="5" t="str">
        <f>IF($H527="","",INDEX('Detalle individual'!$A:$A,$H527))</f>
        <v/>
      </c>
      <c r="D527" s="5" t="str">
        <f>IF($H527="","",INDEX('Detalle individual'!$E:$E,$H527))</f>
        <v/>
      </c>
      <c r="E527" s="5" t="str">
        <f>IF($H527="","",INDEX('Detalle individual'!$C:$C,$H527))</f>
        <v/>
      </c>
      <c r="F527" s="5" t="str">
        <f>IF($H527="","",INDEX('Detalle individual'!$D:$D,$H527))</f>
        <v/>
      </c>
      <c r="G527" s="5" t="str">
        <f>IF($H527="","",INDEX('Detalle individual'!$F:$F,$H527))</f>
        <v/>
      </c>
      <c r="H527" t="str">
        <f>IFERROR(MATCH(SMALL(Cálculos!$AJ$5:$AJ$1000,523),Cálculos!$AJ$5:$AJ$1000,0)+4,"")</f>
        <v/>
      </c>
    </row>
    <row r="528">
      <c r="B528" s="5" t="str">
        <f>IF($H528="","",INDEX('Detalle individual'!$B:$B,$H528))</f>
        <v/>
      </c>
      <c r="C528" s="5" t="str">
        <f>IF($H528="","",INDEX('Detalle individual'!$A:$A,$H528))</f>
        <v/>
      </c>
      <c r="D528" s="5" t="str">
        <f>IF($H528="","",INDEX('Detalle individual'!$E:$E,$H528))</f>
        <v/>
      </c>
      <c r="E528" s="5" t="str">
        <f>IF($H528="","",INDEX('Detalle individual'!$C:$C,$H528))</f>
        <v/>
      </c>
      <c r="F528" s="5" t="str">
        <f>IF($H528="","",INDEX('Detalle individual'!$D:$D,$H528))</f>
        <v/>
      </c>
      <c r="G528" s="5" t="str">
        <f>IF($H528="","",INDEX('Detalle individual'!$F:$F,$H528))</f>
        <v/>
      </c>
      <c r="H528" t="str">
        <f>IFERROR(MATCH(SMALL(Cálculos!$AJ$5:$AJ$1000,524),Cálculos!$AJ$5:$AJ$1000,0)+4,"")</f>
        <v/>
      </c>
    </row>
    <row r="529">
      <c r="B529" s="5" t="str">
        <f>IF($H529="","",INDEX('Detalle individual'!$B:$B,$H529))</f>
        <v/>
      </c>
      <c r="C529" s="5" t="str">
        <f>IF($H529="","",INDEX('Detalle individual'!$A:$A,$H529))</f>
        <v/>
      </c>
      <c r="D529" s="5" t="str">
        <f>IF($H529="","",INDEX('Detalle individual'!$E:$E,$H529))</f>
        <v/>
      </c>
      <c r="E529" s="5" t="str">
        <f>IF($H529="","",INDEX('Detalle individual'!$C:$C,$H529))</f>
        <v/>
      </c>
      <c r="F529" s="5" t="str">
        <f>IF($H529="","",INDEX('Detalle individual'!$D:$D,$H529))</f>
        <v/>
      </c>
      <c r="G529" s="5" t="str">
        <f>IF($H529="","",INDEX('Detalle individual'!$F:$F,$H529))</f>
        <v/>
      </c>
      <c r="H529" t="str">
        <f>IFERROR(MATCH(SMALL(Cálculos!$AJ$5:$AJ$1000,525),Cálculos!$AJ$5:$AJ$1000,0)+4,"")</f>
        <v/>
      </c>
    </row>
    <row r="530">
      <c r="B530" s="5" t="str">
        <f>IF($H530="","",INDEX('Detalle individual'!$B:$B,$H530))</f>
        <v/>
      </c>
      <c r="C530" s="5" t="str">
        <f>IF($H530="","",INDEX('Detalle individual'!$A:$A,$H530))</f>
        <v/>
      </c>
      <c r="D530" s="5" t="str">
        <f>IF($H530="","",INDEX('Detalle individual'!$E:$E,$H530))</f>
        <v/>
      </c>
      <c r="E530" s="5" t="str">
        <f>IF($H530="","",INDEX('Detalle individual'!$C:$C,$H530))</f>
        <v/>
      </c>
      <c r="F530" s="5" t="str">
        <f>IF($H530="","",INDEX('Detalle individual'!$D:$D,$H530))</f>
        <v/>
      </c>
      <c r="G530" s="5" t="str">
        <f>IF($H530="","",INDEX('Detalle individual'!$F:$F,$H530))</f>
        <v/>
      </c>
      <c r="H530" t="str">
        <f>IFERROR(MATCH(SMALL(Cálculos!$AJ$5:$AJ$1000,526),Cálculos!$AJ$5:$AJ$1000,0)+4,"")</f>
        <v/>
      </c>
    </row>
    <row r="531">
      <c r="B531" s="5" t="str">
        <f>IF($H531="","",INDEX('Detalle individual'!$B:$B,$H531))</f>
        <v/>
      </c>
      <c r="C531" s="5" t="str">
        <f>IF($H531="","",INDEX('Detalle individual'!$A:$A,$H531))</f>
        <v/>
      </c>
      <c r="D531" s="5" t="str">
        <f>IF($H531="","",INDEX('Detalle individual'!$E:$E,$H531))</f>
        <v/>
      </c>
      <c r="E531" s="5" t="str">
        <f>IF($H531="","",INDEX('Detalle individual'!$C:$C,$H531))</f>
        <v/>
      </c>
      <c r="F531" s="5" t="str">
        <f>IF($H531="","",INDEX('Detalle individual'!$D:$D,$H531))</f>
        <v/>
      </c>
      <c r="G531" s="5" t="str">
        <f>IF($H531="","",INDEX('Detalle individual'!$F:$F,$H531))</f>
        <v/>
      </c>
      <c r="H531" t="str">
        <f>IFERROR(MATCH(SMALL(Cálculos!$AJ$5:$AJ$1000,527),Cálculos!$AJ$5:$AJ$1000,0)+4,"")</f>
        <v/>
      </c>
    </row>
    <row r="532">
      <c r="B532" s="5" t="str">
        <f>IF($H532="","",INDEX('Detalle individual'!$B:$B,$H532))</f>
        <v/>
      </c>
      <c r="C532" s="5" t="str">
        <f>IF($H532="","",INDEX('Detalle individual'!$A:$A,$H532))</f>
        <v/>
      </c>
      <c r="D532" s="5" t="str">
        <f>IF($H532="","",INDEX('Detalle individual'!$E:$E,$H532))</f>
        <v/>
      </c>
      <c r="E532" s="5" t="str">
        <f>IF($H532="","",INDEX('Detalle individual'!$C:$C,$H532))</f>
        <v/>
      </c>
      <c r="F532" s="5" t="str">
        <f>IF($H532="","",INDEX('Detalle individual'!$D:$D,$H532))</f>
        <v/>
      </c>
      <c r="G532" s="5" t="str">
        <f>IF($H532="","",INDEX('Detalle individual'!$F:$F,$H532))</f>
        <v/>
      </c>
      <c r="H532" t="str">
        <f>IFERROR(MATCH(SMALL(Cálculos!$AJ$5:$AJ$1000,528),Cálculos!$AJ$5:$AJ$1000,0)+4,"")</f>
        <v/>
      </c>
    </row>
    <row r="533">
      <c r="B533" s="5" t="str">
        <f>IF($H533="","",INDEX('Detalle individual'!$B:$B,$H533))</f>
        <v/>
      </c>
      <c r="C533" s="5" t="str">
        <f>IF($H533="","",INDEX('Detalle individual'!$A:$A,$H533))</f>
        <v/>
      </c>
      <c r="D533" s="5" t="str">
        <f>IF($H533="","",INDEX('Detalle individual'!$E:$E,$H533))</f>
        <v/>
      </c>
      <c r="E533" s="5" t="str">
        <f>IF($H533="","",INDEX('Detalle individual'!$C:$C,$H533))</f>
        <v/>
      </c>
      <c r="F533" s="5" t="str">
        <f>IF($H533="","",INDEX('Detalle individual'!$D:$D,$H533))</f>
        <v/>
      </c>
      <c r="G533" s="5" t="str">
        <f>IF($H533="","",INDEX('Detalle individual'!$F:$F,$H533))</f>
        <v/>
      </c>
      <c r="H533" t="str">
        <f>IFERROR(MATCH(SMALL(Cálculos!$AJ$5:$AJ$1000,529),Cálculos!$AJ$5:$AJ$1000,0)+4,"")</f>
        <v/>
      </c>
    </row>
    <row r="534">
      <c r="B534" s="5" t="str">
        <f>IF($H534="","",INDEX('Detalle individual'!$B:$B,$H534))</f>
        <v/>
      </c>
      <c r="C534" s="5" t="str">
        <f>IF($H534="","",INDEX('Detalle individual'!$A:$A,$H534))</f>
        <v/>
      </c>
      <c r="D534" s="5" t="str">
        <f>IF($H534="","",INDEX('Detalle individual'!$E:$E,$H534))</f>
        <v/>
      </c>
      <c r="E534" s="5" t="str">
        <f>IF($H534="","",INDEX('Detalle individual'!$C:$C,$H534))</f>
        <v/>
      </c>
      <c r="F534" s="5" t="str">
        <f>IF($H534="","",INDEX('Detalle individual'!$D:$D,$H534))</f>
        <v/>
      </c>
      <c r="G534" s="5" t="str">
        <f>IF($H534="","",INDEX('Detalle individual'!$F:$F,$H534))</f>
        <v/>
      </c>
      <c r="H534" t="str">
        <f>IFERROR(MATCH(SMALL(Cálculos!$AJ$5:$AJ$1000,530),Cálculos!$AJ$5:$AJ$1000,0)+4,"")</f>
        <v/>
      </c>
    </row>
    <row r="535">
      <c r="B535" s="5" t="str">
        <f>IF($H535="","",INDEX('Detalle individual'!$B:$B,$H535))</f>
        <v/>
      </c>
      <c r="C535" s="5" t="str">
        <f>IF($H535="","",INDEX('Detalle individual'!$A:$A,$H535))</f>
        <v/>
      </c>
      <c r="D535" s="5" t="str">
        <f>IF($H535="","",INDEX('Detalle individual'!$E:$E,$H535))</f>
        <v/>
      </c>
      <c r="E535" s="5" t="str">
        <f>IF($H535="","",INDEX('Detalle individual'!$C:$C,$H535))</f>
        <v/>
      </c>
      <c r="F535" s="5" t="str">
        <f>IF($H535="","",INDEX('Detalle individual'!$D:$D,$H535))</f>
        <v/>
      </c>
      <c r="G535" s="5" t="str">
        <f>IF($H535="","",INDEX('Detalle individual'!$F:$F,$H535))</f>
        <v/>
      </c>
      <c r="H535" t="str">
        <f>IFERROR(MATCH(SMALL(Cálculos!$AJ$5:$AJ$1000,531),Cálculos!$AJ$5:$AJ$1000,0)+4,"")</f>
        <v/>
      </c>
    </row>
    <row r="536">
      <c r="B536" s="5" t="str">
        <f>IF($H536="","",INDEX('Detalle individual'!$B:$B,$H536))</f>
        <v/>
      </c>
      <c r="C536" s="5" t="str">
        <f>IF($H536="","",INDEX('Detalle individual'!$A:$A,$H536))</f>
        <v/>
      </c>
      <c r="D536" s="5" t="str">
        <f>IF($H536="","",INDEX('Detalle individual'!$E:$E,$H536))</f>
        <v/>
      </c>
      <c r="E536" s="5" t="str">
        <f>IF($H536="","",INDEX('Detalle individual'!$C:$C,$H536))</f>
        <v/>
      </c>
      <c r="F536" s="5" t="str">
        <f>IF($H536="","",INDEX('Detalle individual'!$D:$D,$H536))</f>
        <v/>
      </c>
      <c r="G536" s="5" t="str">
        <f>IF($H536="","",INDEX('Detalle individual'!$F:$F,$H536))</f>
        <v/>
      </c>
      <c r="H536" t="str">
        <f>IFERROR(MATCH(SMALL(Cálculos!$AJ$5:$AJ$1000,532),Cálculos!$AJ$5:$AJ$1000,0)+4,"")</f>
        <v/>
      </c>
    </row>
    <row r="537">
      <c r="B537" s="5" t="str">
        <f>IF($H537="","",INDEX('Detalle individual'!$B:$B,$H537))</f>
        <v/>
      </c>
      <c r="C537" s="5" t="str">
        <f>IF($H537="","",INDEX('Detalle individual'!$A:$A,$H537))</f>
        <v/>
      </c>
      <c r="D537" s="5" t="str">
        <f>IF($H537="","",INDEX('Detalle individual'!$E:$E,$H537))</f>
        <v/>
      </c>
      <c r="E537" s="5" t="str">
        <f>IF($H537="","",INDEX('Detalle individual'!$C:$C,$H537))</f>
        <v/>
      </c>
      <c r="F537" s="5" t="str">
        <f>IF($H537="","",INDEX('Detalle individual'!$D:$D,$H537))</f>
        <v/>
      </c>
      <c r="G537" s="5" t="str">
        <f>IF($H537="","",INDEX('Detalle individual'!$F:$F,$H537))</f>
        <v/>
      </c>
      <c r="H537" t="str">
        <f>IFERROR(MATCH(SMALL(Cálculos!$AJ$5:$AJ$1000,533),Cálculos!$AJ$5:$AJ$1000,0)+4,"")</f>
        <v/>
      </c>
    </row>
    <row r="538">
      <c r="B538" s="5" t="str">
        <f>IF($H538="","",INDEX('Detalle individual'!$B:$B,$H538))</f>
        <v/>
      </c>
      <c r="C538" s="5" t="str">
        <f>IF($H538="","",INDEX('Detalle individual'!$A:$A,$H538))</f>
        <v/>
      </c>
      <c r="D538" s="5" t="str">
        <f>IF($H538="","",INDEX('Detalle individual'!$E:$E,$H538))</f>
        <v/>
      </c>
      <c r="E538" s="5" t="str">
        <f>IF($H538="","",INDEX('Detalle individual'!$C:$C,$H538))</f>
        <v/>
      </c>
      <c r="F538" s="5" t="str">
        <f>IF($H538="","",INDEX('Detalle individual'!$D:$D,$H538))</f>
        <v/>
      </c>
      <c r="G538" s="5" t="str">
        <f>IF($H538="","",INDEX('Detalle individual'!$F:$F,$H538))</f>
        <v/>
      </c>
      <c r="H538" t="str">
        <f>IFERROR(MATCH(SMALL(Cálculos!$AJ$5:$AJ$1000,534),Cálculos!$AJ$5:$AJ$1000,0)+4,"")</f>
        <v/>
      </c>
    </row>
    <row r="539">
      <c r="B539" s="5" t="str">
        <f>IF($H539="","",INDEX('Detalle individual'!$B:$B,$H539))</f>
        <v/>
      </c>
      <c r="C539" s="5" t="str">
        <f>IF($H539="","",INDEX('Detalle individual'!$A:$A,$H539))</f>
        <v/>
      </c>
      <c r="D539" s="5" t="str">
        <f>IF($H539="","",INDEX('Detalle individual'!$E:$E,$H539))</f>
        <v/>
      </c>
      <c r="E539" s="5" t="str">
        <f>IF($H539="","",INDEX('Detalle individual'!$C:$C,$H539))</f>
        <v/>
      </c>
      <c r="F539" s="5" t="str">
        <f>IF($H539="","",INDEX('Detalle individual'!$D:$D,$H539))</f>
        <v/>
      </c>
      <c r="G539" s="5" t="str">
        <f>IF($H539="","",INDEX('Detalle individual'!$F:$F,$H539))</f>
        <v/>
      </c>
      <c r="H539" t="str">
        <f>IFERROR(MATCH(SMALL(Cálculos!$AJ$5:$AJ$1000,535),Cálculos!$AJ$5:$AJ$1000,0)+4,"")</f>
        <v/>
      </c>
    </row>
    <row r="540">
      <c r="B540" s="5" t="str">
        <f>IF($H540="","",INDEX('Detalle individual'!$B:$B,$H540))</f>
        <v/>
      </c>
      <c r="C540" s="5" t="str">
        <f>IF($H540="","",INDEX('Detalle individual'!$A:$A,$H540))</f>
        <v/>
      </c>
      <c r="D540" s="5" t="str">
        <f>IF($H540="","",INDEX('Detalle individual'!$E:$E,$H540))</f>
        <v/>
      </c>
      <c r="E540" s="5" t="str">
        <f>IF($H540="","",INDEX('Detalle individual'!$C:$C,$H540))</f>
        <v/>
      </c>
      <c r="F540" s="5" t="str">
        <f>IF($H540="","",INDEX('Detalle individual'!$D:$D,$H540))</f>
        <v/>
      </c>
      <c r="G540" s="5" t="str">
        <f>IF($H540="","",INDEX('Detalle individual'!$F:$F,$H540))</f>
        <v/>
      </c>
      <c r="H540" t="str">
        <f>IFERROR(MATCH(SMALL(Cálculos!$AJ$5:$AJ$1000,536),Cálculos!$AJ$5:$AJ$1000,0)+4,"")</f>
        <v/>
      </c>
    </row>
    <row r="541">
      <c r="B541" s="5" t="str">
        <f>IF($H541="","",INDEX('Detalle individual'!$B:$B,$H541))</f>
        <v/>
      </c>
      <c r="C541" s="5" t="str">
        <f>IF($H541="","",INDEX('Detalle individual'!$A:$A,$H541))</f>
        <v/>
      </c>
      <c r="D541" s="5" t="str">
        <f>IF($H541="","",INDEX('Detalle individual'!$E:$E,$H541))</f>
        <v/>
      </c>
      <c r="E541" s="5" t="str">
        <f>IF($H541="","",INDEX('Detalle individual'!$C:$C,$H541))</f>
        <v/>
      </c>
      <c r="F541" s="5" t="str">
        <f>IF($H541="","",INDEX('Detalle individual'!$D:$D,$H541))</f>
        <v/>
      </c>
      <c r="G541" s="5" t="str">
        <f>IF($H541="","",INDEX('Detalle individual'!$F:$F,$H541))</f>
        <v/>
      </c>
      <c r="H541" t="str">
        <f>IFERROR(MATCH(SMALL(Cálculos!$AJ$5:$AJ$1000,537),Cálculos!$AJ$5:$AJ$1000,0)+4,"")</f>
        <v/>
      </c>
    </row>
    <row r="542">
      <c r="B542" s="5" t="str">
        <f>IF($H542="","",INDEX('Detalle individual'!$B:$B,$H542))</f>
        <v/>
      </c>
      <c r="C542" s="5" t="str">
        <f>IF($H542="","",INDEX('Detalle individual'!$A:$A,$H542))</f>
        <v/>
      </c>
      <c r="D542" s="5" t="str">
        <f>IF($H542="","",INDEX('Detalle individual'!$E:$E,$H542))</f>
        <v/>
      </c>
      <c r="E542" s="5" t="str">
        <f>IF($H542="","",INDEX('Detalle individual'!$C:$C,$H542))</f>
        <v/>
      </c>
      <c r="F542" s="5" t="str">
        <f>IF($H542="","",INDEX('Detalle individual'!$D:$D,$H542))</f>
        <v/>
      </c>
      <c r="G542" s="5" t="str">
        <f>IF($H542="","",INDEX('Detalle individual'!$F:$F,$H542))</f>
        <v/>
      </c>
      <c r="H542" t="str">
        <f>IFERROR(MATCH(SMALL(Cálculos!$AJ$5:$AJ$1000,538),Cálculos!$AJ$5:$AJ$1000,0)+4,"")</f>
        <v/>
      </c>
    </row>
    <row r="543">
      <c r="B543" s="5" t="str">
        <f>IF($H543="","",INDEX('Detalle individual'!$B:$B,$H543))</f>
        <v/>
      </c>
      <c r="C543" s="5" t="str">
        <f>IF($H543="","",INDEX('Detalle individual'!$A:$A,$H543))</f>
        <v/>
      </c>
      <c r="D543" s="5" t="str">
        <f>IF($H543="","",INDEX('Detalle individual'!$E:$E,$H543))</f>
        <v/>
      </c>
      <c r="E543" s="5" t="str">
        <f>IF($H543="","",INDEX('Detalle individual'!$C:$C,$H543))</f>
        <v/>
      </c>
      <c r="F543" s="5" t="str">
        <f>IF($H543="","",INDEX('Detalle individual'!$D:$D,$H543))</f>
        <v/>
      </c>
      <c r="G543" s="5" t="str">
        <f>IF($H543="","",INDEX('Detalle individual'!$F:$F,$H543))</f>
        <v/>
      </c>
      <c r="H543" t="str">
        <f>IFERROR(MATCH(SMALL(Cálculos!$AJ$5:$AJ$1000,539),Cálculos!$AJ$5:$AJ$1000,0)+4,"")</f>
        <v/>
      </c>
    </row>
    <row r="544">
      <c r="B544" s="5" t="str">
        <f>IF($H544="","",INDEX('Detalle individual'!$B:$B,$H544))</f>
        <v/>
      </c>
      <c r="C544" s="5" t="str">
        <f>IF($H544="","",INDEX('Detalle individual'!$A:$A,$H544))</f>
        <v/>
      </c>
      <c r="D544" s="5" t="str">
        <f>IF($H544="","",INDEX('Detalle individual'!$E:$E,$H544))</f>
        <v/>
      </c>
      <c r="E544" s="5" t="str">
        <f>IF($H544="","",INDEX('Detalle individual'!$C:$C,$H544))</f>
        <v/>
      </c>
      <c r="F544" s="5" t="str">
        <f>IF($H544="","",INDEX('Detalle individual'!$D:$D,$H544))</f>
        <v/>
      </c>
      <c r="G544" s="5" t="str">
        <f>IF($H544="","",INDEX('Detalle individual'!$F:$F,$H544))</f>
        <v/>
      </c>
      <c r="H544" t="str">
        <f>IFERROR(MATCH(SMALL(Cálculos!$AJ$5:$AJ$1000,540),Cálculos!$AJ$5:$AJ$1000,0)+4,"")</f>
        <v/>
      </c>
    </row>
    <row r="545">
      <c r="B545" s="5" t="str">
        <f>IF($H545="","",INDEX('Detalle individual'!$B:$B,$H545))</f>
        <v/>
      </c>
      <c r="C545" s="5" t="str">
        <f>IF($H545="","",INDEX('Detalle individual'!$A:$A,$H545))</f>
        <v/>
      </c>
      <c r="D545" s="5" t="str">
        <f>IF($H545="","",INDEX('Detalle individual'!$E:$E,$H545))</f>
        <v/>
      </c>
      <c r="E545" s="5" t="str">
        <f>IF($H545="","",INDEX('Detalle individual'!$C:$C,$H545))</f>
        <v/>
      </c>
      <c r="F545" s="5" t="str">
        <f>IF($H545="","",INDEX('Detalle individual'!$D:$D,$H545))</f>
        <v/>
      </c>
      <c r="G545" s="5" t="str">
        <f>IF($H545="","",INDEX('Detalle individual'!$F:$F,$H545))</f>
        <v/>
      </c>
      <c r="H545" t="str">
        <f>IFERROR(MATCH(SMALL(Cálculos!$AJ$5:$AJ$1000,541),Cálculos!$AJ$5:$AJ$1000,0)+4,"")</f>
        <v/>
      </c>
    </row>
    <row r="546">
      <c r="B546" s="5" t="str">
        <f>IF($H546="","",INDEX('Detalle individual'!$B:$B,$H546))</f>
        <v/>
      </c>
      <c r="C546" s="5" t="str">
        <f>IF($H546="","",INDEX('Detalle individual'!$A:$A,$H546))</f>
        <v/>
      </c>
      <c r="D546" s="5" t="str">
        <f>IF($H546="","",INDEX('Detalle individual'!$E:$E,$H546))</f>
        <v/>
      </c>
      <c r="E546" s="5" t="str">
        <f>IF($H546="","",INDEX('Detalle individual'!$C:$C,$H546))</f>
        <v/>
      </c>
      <c r="F546" s="5" t="str">
        <f>IF($H546="","",INDEX('Detalle individual'!$D:$D,$H546))</f>
        <v/>
      </c>
      <c r="G546" s="5" t="str">
        <f>IF($H546="","",INDEX('Detalle individual'!$F:$F,$H546))</f>
        <v/>
      </c>
      <c r="H546" t="str">
        <f>IFERROR(MATCH(SMALL(Cálculos!$AJ$5:$AJ$1000,542),Cálculos!$AJ$5:$AJ$1000,0)+4,"")</f>
        <v/>
      </c>
    </row>
    <row r="547">
      <c r="B547" s="5" t="str">
        <f>IF($H547="","",INDEX('Detalle individual'!$B:$B,$H547))</f>
        <v/>
      </c>
      <c r="C547" s="5" t="str">
        <f>IF($H547="","",INDEX('Detalle individual'!$A:$A,$H547))</f>
        <v/>
      </c>
      <c r="D547" s="5" t="str">
        <f>IF($H547="","",INDEX('Detalle individual'!$E:$E,$H547))</f>
        <v/>
      </c>
      <c r="E547" s="5" t="str">
        <f>IF($H547="","",INDEX('Detalle individual'!$C:$C,$H547))</f>
        <v/>
      </c>
      <c r="F547" s="5" t="str">
        <f>IF($H547="","",INDEX('Detalle individual'!$D:$D,$H547))</f>
        <v/>
      </c>
      <c r="G547" s="5" t="str">
        <f>IF($H547="","",INDEX('Detalle individual'!$F:$F,$H547))</f>
        <v/>
      </c>
      <c r="H547" t="str">
        <f>IFERROR(MATCH(SMALL(Cálculos!$AJ$5:$AJ$1000,543),Cálculos!$AJ$5:$AJ$1000,0)+4,"")</f>
        <v/>
      </c>
    </row>
    <row r="548">
      <c r="B548" s="5" t="str">
        <f>IF($H548="","",INDEX('Detalle individual'!$B:$B,$H548))</f>
        <v/>
      </c>
      <c r="C548" s="5" t="str">
        <f>IF($H548="","",INDEX('Detalle individual'!$A:$A,$H548))</f>
        <v/>
      </c>
      <c r="D548" s="5" t="str">
        <f>IF($H548="","",INDEX('Detalle individual'!$E:$E,$H548))</f>
        <v/>
      </c>
      <c r="E548" s="5" t="str">
        <f>IF($H548="","",INDEX('Detalle individual'!$C:$C,$H548))</f>
        <v/>
      </c>
      <c r="F548" s="5" t="str">
        <f>IF($H548="","",INDEX('Detalle individual'!$D:$D,$H548))</f>
        <v/>
      </c>
      <c r="G548" s="5" t="str">
        <f>IF($H548="","",INDEX('Detalle individual'!$F:$F,$H548))</f>
        <v/>
      </c>
      <c r="H548" t="str">
        <f>IFERROR(MATCH(SMALL(Cálculos!$AJ$5:$AJ$1000,544),Cálculos!$AJ$5:$AJ$1000,0)+4,"")</f>
        <v/>
      </c>
    </row>
    <row r="549">
      <c r="B549" s="5" t="str">
        <f>IF($H549="","",INDEX('Detalle individual'!$B:$B,$H549))</f>
        <v/>
      </c>
      <c r="C549" s="5" t="str">
        <f>IF($H549="","",INDEX('Detalle individual'!$A:$A,$H549))</f>
        <v/>
      </c>
      <c r="D549" s="5" t="str">
        <f>IF($H549="","",INDEX('Detalle individual'!$E:$E,$H549))</f>
        <v/>
      </c>
      <c r="E549" s="5" t="str">
        <f>IF($H549="","",INDEX('Detalle individual'!$C:$C,$H549))</f>
        <v/>
      </c>
      <c r="F549" s="5" t="str">
        <f>IF($H549="","",INDEX('Detalle individual'!$D:$D,$H549))</f>
        <v/>
      </c>
      <c r="G549" s="5" t="str">
        <f>IF($H549="","",INDEX('Detalle individual'!$F:$F,$H549))</f>
        <v/>
      </c>
      <c r="H549" t="str">
        <f>IFERROR(MATCH(SMALL(Cálculos!$AJ$5:$AJ$1000,545),Cálculos!$AJ$5:$AJ$1000,0)+4,"")</f>
        <v/>
      </c>
    </row>
    <row r="550">
      <c r="B550" s="5" t="str">
        <f>IF($H550="","",INDEX('Detalle individual'!$B:$B,$H550))</f>
        <v/>
      </c>
      <c r="C550" s="5" t="str">
        <f>IF($H550="","",INDEX('Detalle individual'!$A:$A,$H550))</f>
        <v/>
      </c>
      <c r="D550" s="5" t="str">
        <f>IF($H550="","",INDEX('Detalle individual'!$E:$E,$H550))</f>
        <v/>
      </c>
      <c r="E550" s="5" t="str">
        <f>IF($H550="","",INDEX('Detalle individual'!$C:$C,$H550))</f>
        <v/>
      </c>
      <c r="F550" s="5" t="str">
        <f>IF($H550="","",INDEX('Detalle individual'!$D:$D,$H550))</f>
        <v/>
      </c>
      <c r="G550" s="5" t="str">
        <f>IF($H550="","",INDEX('Detalle individual'!$F:$F,$H550))</f>
        <v/>
      </c>
      <c r="H550" t="str">
        <f>IFERROR(MATCH(SMALL(Cálculos!$AJ$5:$AJ$1000,546),Cálculos!$AJ$5:$AJ$1000,0)+4,"")</f>
        <v/>
      </c>
    </row>
    <row r="551">
      <c r="B551" s="5" t="str">
        <f>IF($H551="","",INDEX('Detalle individual'!$B:$B,$H551))</f>
        <v/>
      </c>
      <c r="C551" s="5" t="str">
        <f>IF($H551="","",INDEX('Detalle individual'!$A:$A,$H551))</f>
        <v/>
      </c>
      <c r="D551" s="5" t="str">
        <f>IF($H551="","",INDEX('Detalle individual'!$E:$E,$H551))</f>
        <v/>
      </c>
      <c r="E551" s="5" t="str">
        <f>IF($H551="","",INDEX('Detalle individual'!$C:$C,$H551))</f>
        <v/>
      </c>
      <c r="F551" s="5" t="str">
        <f>IF($H551="","",INDEX('Detalle individual'!$D:$D,$H551))</f>
        <v/>
      </c>
      <c r="G551" s="5" t="str">
        <f>IF($H551="","",INDEX('Detalle individual'!$F:$F,$H551))</f>
        <v/>
      </c>
      <c r="H551" t="str">
        <f>IFERROR(MATCH(SMALL(Cálculos!$AJ$5:$AJ$1000,547),Cálculos!$AJ$5:$AJ$1000,0)+4,"")</f>
        <v/>
      </c>
    </row>
    <row r="552">
      <c r="B552" s="5" t="str">
        <f>IF($H552="","",INDEX('Detalle individual'!$B:$B,$H552))</f>
        <v/>
      </c>
      <c r="C552" s="5" t="str">
        <f>IF($H552="","",INDEX('Detalle individual'!$A:$A,$H552))</f>
        <v/>
      </c>
      <c r="D552" s="5" t="str">
        <f>IF($H552="","",INDEX('Detalle individual'!$E:$E,$H552))</f>
        <v/>
      </c>
      <c r="E552" s="5" t="str">
        <f>IF($H552="","",INDEX('Detalle individual'!$C:$C,$H552))</f>
        <v/>
      </c>
      <c r="F552" s="5" t="str">
        <f>IF($H552="","",INDEX('Detalle individual'!$D:$D,$H552))</f>
        <v/>
      </c>
      <c r="G552" s="5" t="str">
        <f>IF($H552="","",INDEX('Detalle individual'!$F:$F,$H552))</f>
        <v/>
      </c>
      <c r="H552" t="str">
        <f>IFERROR(MATCH(SMALL(Cálculos!$AJ$5:$AJ$1000,548),Cálculos!$AJ$5:$AJ$1000,0)+4,"")</f>
        <v/>
      </c>
    </row>
    <row r="553">
      <c r="B553" s="5" t="str">
        <f>IF($H553="","",INDEX('Detalle individual'!$B:$B,$H553))</f>
        <v/>
      </c>
      <c r="C553" s="5" t="str">
        <f>IF($H553="","",INDEX('Detalle individual'!$A:$A,$H553))</f>
        <v/>
      </c>
      <c r="D553" s="5" t="str">
        <f>IF($H553="","",INDEX('Detalle individual'!$E:$E,$H553))</f>
        <v/>
      </c>
      <c r="E553" s="5" t="str">
        <f>IF($H553="","",INDEX('Detalle individual'!$C:$C,$H553))</f>
        <v/>
      </c>
      <c r="F553" s="5" t="str">
        <f>IF($H553="","",INDEX('Detalle individual'!$D:$D,$H553))</f>
        <v/>
      </c>
      <c r="G553" s="5" t="str">
        <f>IF($H553="","",INDEX('Detalle individual'!$F:$F,$H553))</f>
        <v/>
      </c>
      <c r="H553" t="str">
        <f>IFERROR(MATCH(SMALL(Cálculos!$AJ$5:$AJ$1000,549),Cálculos!$AJ$5:$AJ$1000,0)+4,"")</f>
        <v/>
      </c>
    </row>
    <row r="554">
      <c r="B554" s="5" t="str">
        <f>IF($H554="","",INDEX('Detalle individual'!$B:$B,$H554))</f>
        <v/>
      </c>
      <c r="C554" s="5" t="str">
        <f>IF($H554="","",INDEX('Detalle individual'!$A:$A,$H554))</f>
        <v/>
      </c>
      <c r="D554" s="5" t="str">
        <f>IF($H554="","",INDEX('Detalle individual'!$E:$E,$H554))</f>
        <v/>
      </c>
      <c r="E554" s="5" t="str">
        <f>IF($H554="","",INDEX('Detalle individual'!$C:$C,$H554))</f>
        <v/>
      </c>
      <c r="F554" s="5" t="str">
        <f>IF($H554="","",INDEX('Detalle individual'!$D:$D,$H554))</f>
        <v/>
      </c>
      <c r="G554" s="5" t="str">
        <f>IF($H554="","",INDEX('Detalle individual'!$F:$F,$H554))</f>
        <v/>
      </c>
      <c r="H554" t="str">
        <f>IFERROR(MATCH(SMALL(Cálculos!$AJ$5:$AJ$1000,550),Cálculos!$AJ$5:$AJ$1000,0)+4,"")</f>
        <v/>
      </c>
    </row>
    <row r="555">
      <c r="B555" s="5" t="str">
        <f>IF($H555="","",INDEX('Detalle individual'!$B:$B,$H555))</f>
        <v/>
      </c>
      <c r="C555" s="5" t="str">
        <f>IF($H555="","",INDEX('Detalle individual'!$A:$A,$H555))</f>
        <v/>
      </c>
      <c r="D555" s="5" t="str">
        <f>IF($H555="","",INDEX('Detalle individual'!$E:$E,$H555))</f>
        <v/>
      </c>
      <c r="E555" s="5" t="str">
        <f>IF($H555="","",INDEX('Detalle individual'!$C:$C,$H555))</f>
        <v/>
      </c>
      <c r="F555" s="5" t="str">
        <f>IF($H555="","",INDEX('Detalle individual'!$D:$D,$H555))</f>
        <v/>
      </c>
      <c r="G555" s="5" t="str">
        <f>IF($H555="","",INDEX('Detalle individual'!$F:$F,$H555))</f>
        <v/>
      </c>
      <c r="H555" t="str">
        <f>IFERROR(MATCH(SMALL(Cálculos!$AJ$5:$AJ$1000,551),Cálculos!$AJ$5:$AJ$1000,0)+4,"")</f>
        <v/>
      </c>
    </row>
    <row r="556">
      <c r="B556" s="5" t="str">
        <f>IF($H556="","",INDEX('Detalle individual'!$B:$B,$H556))</f>
        <v/>
      </c>
      <c r="C556" s="5" t="str">
        <f>IF($H556="","",INDEX('Detalle individual'!$A:$A,$H556))</f>
        <v/>
      </c>
      <c r="D556" s="5" t="str">
        <f>IF($H556="","",INDEX('Detalle individual'!$E:$E,$H556))</f>
        <v/>
      </c>
      <c r="E556" s="5" t="str">
        <f>IF($H556="","",INDEX('Detalle individual'!$C:$C,$H556))</f>
        <v/>
      </c>
      <c r="F556" s="5" t="str">
        <f>IF($H556="","",INDEX('Detalle individual'!$D:$D,$H556))</f>
        <v/>
      </c>
      <c r="G556" s="5" t="str">
        <f>IF($H556="","",INDEX('Detalle individual'!$F:$F,$H556))</f>
        <v/>
      </c>
      <c r="H556" t="str">
        <f>IFERROR(MATCH(SMALL(Cálculos!$AJ$5:$AJ$1000,552),Cálculos!$AJ$5:$AJ$1000,0)+4,"")</f>
        <v/>
      </c>
    </row>
    <row r="557">
      <c r="B557" s="5" t="str">
        <f>IF($H557="","",INDEX('Detalle individual'!$B:$B,$H557))</f>
        <v/>
      </c>
      <c r="C557" s="5" t="str">
        <f>IF($H557="","",INDEX('Detalle individual'!$A:$A,$H557))</f>
        <v/>
      </c>
      <c r="D557" s="5" t="str">
        <f>IF($H557="","",INDEX('Detalle individual'!$E:$E,$H557))</f>
        <v/>
      </c>
      <c r="E557" s="5" t="str">
        <f>IF($H557="","",INDEX('Detalle individual'!$C:$C,$H557))</f>
        <v/>
      </c>
      <c r="F557" s="5" t="str">
        <f>IF($H557="","",INDEX('Detalle individual'!$D:$D,$H557))</f>
        <v/>
      </c>
      <c r="G557" s="5" t="str">
        <f>IF($H557="","",INDEX('Detalle individual'!$F:$F,$H557))</f>
        <v/>
      </c>
      <c r="H557" t="str">
        <f>IFERROR(MATCH(SMALL(Cálculos!$AJ$5:$AJ$1000,553),Cálculos!$AJ$5:$AJ$1000,0)+4,"")</f>
        <v/>
      </c>
    </row>
    <row r="558">
      <c r="B558" s="5" t="str">
        <f>IF($H558="","",INDEX('Detalle individual'!$B:$B,$H558))</f>
        <v/>
      </c>
      <c r="C558" s="5" t="str">
        <f>IF($H558="","",INDEX('Detalle individual'!$A:$A,$H558))</f>
        <v/>
      </c>
      <c r="D558" s="5" t="str">
        <f>IF($H558="","",INDEX('Detalle individual'!$E:$E,$H558))</f>
        <v/>
      </c>
      <c r="E558" s="5" t="str">
        <f>IF($H558="","",INDEX('Detalle individual'!$C:$C,$H558))</f>
        <v/>
      </c>
      <c r="F558" s="5" t="str">
        <f>IF($H558="","",INDEX('Detalle individual'!$D:$D,$H558))</f>
        <v/>
      </c>
      <c r="G558" s="5" t="str">
        <f>IF($H558="","",INDEX('Detalle individual'!$F:$F,$H558))</f>
        <v/>
      </c>
      <c r="H558" t="str">
        <f>IFERROR(MATCH(SMALL(Cálculos!$AJ$5:$AJ$1000,554),Cálculos!$AJ$5:$AJ$1000,0)+4,"")</f>
        <v/>
      </c>
    </row>
    <row r="559">
      <c r="B559" s="5" t="str">
        <f>IF($H559="","",INDEX('Detalle individual'!$B:$B,$H559))</f>
        <v/>
      </c>
      <c r="C559" s="5" t="str">
        <f>IF($H559="","",INDEX('Detalle individual'!$A:$A,$H559))</f>
        <v/>
      </c>
      <c r="D559" s="5" t="str">
        <f>IF($H559="","",INDEX('Detalle individual'!$E:$E,$H559))</f>
        <v/>
      </c>
      <c r="E559" s="5" t="str">
        <f>IF($H559="","",INDEX('Detalle individual'!$C:$C,$H559))</f>
        <v/>
      </c>
      <c r="F559" s="5" t="str">
        <f>IF($H559="","",INDEX('Detalle individual'!$D:$D,$H559))</f>
        <v/>
      </c>
      <c r="G559" s="5" t="str">
        <f>IF($H559="","",INDEX('Detalle individual'!$F:$F,$H559))</f>
        <v/>
      </c>
      <c r="H559" t="str">
        <f>IFERROR(MATCH(SMALL(Cálculos!$AJ$5:$AJ$1000,555),Cálculos!$AJ$5:$AJ$1000,0)+4,"")</f>
        <v/>
      </c>
    </row>
    <row r="560">
      <c r="B560" s="5" t="str">
        <f>IF($H560="","",INDEX('Detalle individual'!$B:$B,$H560))</f>
        <v/>
      </c>
      <c r="C560" s="5" t="str">
        <f>IF($H560="","",INDEX('Detalle individual'!$A:$A,$H560))</f>
        <v/>
      </c>
      <c r="D560" s="5" t="str">
        <f>IF($H560="","",INDEX('Detalle individual'!$E:$E,$H560))</f>
        <v/>
      </c>
      <c r="E560" s="5" t="str">
        <f>IF($H560="","",INDEX('Detalle individual'!$C:$C,$H560))</f>
        <v/>
      </c>
      <c r="F560" s="5" t="str">
        <f>IF($H560="","",INDEX('Detalle individual'!$D:$D,$H560))</f>
        <v/>
      </c>
      <c r="G560" s="5" t="str">
        <f>IF($H560="","",INDEX('Detalle individual'!$F:$F,$H560))</f>
        <v/>
      </c>
      <c r="H560" t="str">
        <f>IFERROR(MATCH(SMALL(Cálculos!$AJ$5:$AJ$1000,556),Cálculos!$AJ$5:$AJ$1000,0)+4,"")</f>
        <v/>
      </c>
    </row>
    <row r="561">
      <c r="B561" s="5" t="str">
        <f>IF($H561="","",INDEX('Detalle individual'!$B:$B,$H561))</f>
        <v/>
      </c>
      <c r="C561" s="5" t="str">
        <f>IF($H561="","",INDEX('Detalle individual'!$A:$A,$H561))</f>
        <v/>
      </c>
      <c r="D561" s="5" t="str">
        <f>IF($H561="","",INDEX('Detalle individual'!$E:$E,$H561))</f>
        <v/>
      </c>
      <c r="E561" s="5" t="str">
        <f>IF($H561="","",INDEX('Detalle individual'!$C:$C,$H561))</f>
        <v/>
      </c>
      <c r="F561" s="5" t="str">
        <f>IF($H561="","",INDEX('Detalle individual'!$D:$D,$H561))</f>
        <v/>
      </c>
      <c r="G561" s="5" t="str">
        <f>IF($H561="","",INDEX('Detalle individual'!$F:$F,$H561))</f>
        <v/>
      </c>
      <c r="H561" t="str">
        <f>IFERROR(MATCH(SMALL(Cálculos!$AJ$5:$AJ$1000,557),Cálculos!$AJ$5:$AJ$1000,0)+4,"")</f>
        <v/>
      </c>
    </row>
    <row r="562">
      <c r="B562" s="5" t="str">
        <f>IF($H562="","",INDEX('Detalle individual'!$B:$B,$H562))</f>
        <v/>
      </c>
      <c r="C562" s="5" t="str">
        <f>IF($H562="","",INDEX('Detalle individual'!$A:$A,$H562))</f>
        <v/>
      </c>
      <c r="D562" s="5" t="str">
        <f>IF($H562="","",INDEX('Detalle individual'!$E:$E,$H562))</f>
        <v/>
      </c>
      <c r="E562" s="5" t="str">
        <f>IF($H562="","",INDEX('Detalle individual'!$C:$C,$H562))</f>
        <v/>
      </c>
      <c r="F562" s="5" t="str">
        <f>IF($H562="","",INDEX('Detalle individual'!$D:$D,$H562))</f>
        <v/>
      </c>
      <c r="G562" s="5" t="str">
        <f>IF($H562="","",INDEX('Detalle individual'!$F:$F,$H562))</f>
        <v/>
      </c>
      <c r="H562" t="str">
        <f>IFERROR(MATCH(SMALL(Cálculos!$AJ$5:$AJ$1000,558),Cálculos!$AJ$5:$AJ$1000,0)+4,"")</f>
        <v/>
      </c>
    </row>
    <row r="563">
      <c r="B563" s="5" t="str">
        <f>IF($H563="","",INDEX('Detalle individual'!$B:$B,$H563))</f>
        <v/>
      </c>
      <c r="C563" s="5" t="str">
        <f>IF($H563="","",INDEX('Detalle individual'!$A:$A,$H563))</f>
        <v/>
      </c>
      <c r="D563" s="5" t="str">
        <f>IF($H563="","",INDEX('Detalle individual'!$E:$E,$H563))</f>
        <v/>
      </c>
      <c r="E563" s="5" t="str">
        <f>IF($H563="","",INDEX('Detalle individual'!$C:$C,$H563))</f>
        <v/>
      </c>
      <c r="F563" s="5" t="str">
        <f>IF($H563="","",INDEX('Detalle individual'!$D:$D,$H563))</f>
        <v/>
      </c>
      <c r="G563" s="5" t="str">
        <f>IF($H563="","",INDEX('Detalle individual'!$F:$F,$H563))</f>
        <v/>
      </c>
      <c r="H563" t="str">
        <f>IFERROR(MATCH(SMALL(Cálculos!$AJ$5:$AJ$1000,559),Cálculos!$AJ$5:$AJ$1000,0)+4,"")</f>
        <v/>
      </c>
    </row>
    <row r="564">
      <c r="B564" s="5" t="str">
        <f>IF($H564="","",INDEX('Detalle individual'!$B:$B,$H564))</f>
        <v/>
      </c>
      <c r="C564" s="5" t="str">
        <f>IF($H564="","",INDEX('Detalle individual'!$A:$A,$H564))</f>
        <v/>
      </c>
      <c r="D564" s="5" t="str">
        <f>IF($H564="","",INDEX('Detalle individual'!$E:$E,$H564))</f>
        <v/>
      </c>
      <c r="E564" s="5" t="str">
        <f>IF($H564="","",INDEX('Detalle individual'!$C:$C,$H564))</f>
        <v/>
      </c>
      <c r="F564" s="5" t="str">
        <f>IF($H564="","",INDEX('Detalle individual'!$D:$D,$H564))</f>
        <v/>
      </c>
      <c r="G564" s="5" t="str">
        <f>IF($H564="","",INDEX('Detalle individual'!$F:$F,$H564))</f>
        <v/>
      </c>
      <c r="H564" t="str">
        <f>IFERROR(MATCH(SMALL(Cálculos!$AJ$5:$AJ$1000,560),Cálculos!$AJ$5:$AJ$1000,0)+4,"")</f>
        <v/>
      </c>
    </row>
    <row r="565">
      <c r="B565" s="5" t="str">
        <f>IF($H565="","",INDEX('Detalle individual'!$B:$B,$H565))</f>
        <v/>
      </c>
      <c r="C565" s="5" t="str">
        <f>IF($H565="","",INDEX('Detalle individual'!$A:$A,$H565))</f>
        <v/>
      </c>
      <c r="D565" s="5" t="str">
        <f>IF($H565="","",INDEX('Detalle individual'!$E:$E,$H565))</f>
        <v/>
      </c>
      <c r="E565" s="5" t="str">
        <f>IF($H565="","",INDEX('Detalle individual'!$C:$C,$H565))</f>
        <v/>
      </c>
      <c r="F565" s="5" t="str">
        <f>IF($H565="","",INDEX('Detalle individual'!$D:$D,$H565))</f>
        <v/>
      </c>
      <c r="G565" s="5" t="str">
        <f>IF($H565="","",INDEX('Detalle individual'!$F:$F,$H565))</f>
        <v/>
      </c>
      <c r="H565" t="str">
        <f>IFERROR(MATCH(SMALL(Cálculos!$AJ$5:$AJ$1000,561),Cálculos!$AJ$5:$AJ$1000,0)+4,"")</f>
        <v/>
      </c>
    </row>
    <row r="566">
      <c r="B566" s="5" t="str">
        <f>IF($H566="","",INDEX('Detalle individual'!$B:$B,$H566))</f>
        <v/>
      </c>
      <c r="C566" s="5" t="str">
        <f>IF($H566="","",INDEX('Detalle individual'!$A:$A,$H566))</f>
        <v/>
      </c>
      <c r="D566" s="5" t="str">
        <f>IF($H566="","",INDEX('Detalle individual'!$E:$E,$H566))</f>
        <v/>
      </c>
      <c r="E566" s="5" t="str">
        <f>IF($H566="","",INDEX('Detalle individual'!$C:$C,$H566))</f>
        <v/>
      </c>
      <c r="F566" s="5" t="str">
        <f>IF($H566="","",INDEX('Detalle individual'!$D:$D,$H566))</f>
        <v/>
      </c>
      <c r="G566" s="5" t="str">
        <f>IF($H566="","",INDEX('Detalle individual'!$F:$F,$H566))</f>
        <v/>
      </c>
      <c r="H566" t="str">
        <f>IFERROR(MATCH(SMALL(Cálculos!$AJ$5:$AJ$1000,562),Cálculos!$AJ$5:$AJ$1000,0)+4,"")</f>
        <v/>
      </c>
    </row>
    <row r="567">
      <c r="B567" s="5" t="str">
        <f>IF($H567="","",INDEX('Detalle individual'!$B:$B,$H567))</f>
        <v/>
      </c>
      <c r="C567" s="5" t="str">
        <f>IF($H567="","",INDEX('Detalle individual'!$A:$A,$H567))</f>
        <v/>
      </c>
      <c r="D567" s="5" t="str">
        <f>IF($H567="","",INDEX('Detalle individual'!$E:$E,$H567))</f>
        <v/>
      </c>
      <c r="E567" s="5" t="str">
        <f>IF($H567="","",INDEX('Detalle individual'!$C:$C,$H567))</f>
        <v/>
      </c>
      <c r="F567" s="5" t="str">
        <f>IF($H567="","",INDEX('Detalle individual'!$D:$D,$H567))</f>
        <v/>
      </c>
      <c r="G567" s="5" t="str">
        <f>IF($H567="","",INDEX('Detalle individual'!$F:$F,$H567))</f>
        <v/>
      </c>
      <c r="H567" t="str">
        <f>IFERROR(MATCH(SMALL(Cálculos!$AJ$5:$AJ$1000,563),Cálculos!$AJ$5:$AJ$1000,0)+4,"")</f>
        <v/>
      </c>
    </row>
    <row r="568">
      <c r="B568" s="5" t="str">
        <f>IF($H568="","",INDEX('Detalle individual'!$B:$B,$H568))</f>
        <v/>
      </c>
      <c r="C568" s="5" t="str">
        <f>IF($H568="","",INDEX('Detalle individual'!$A:$A,$H568))</f>
        <v/>
      </c>
      <c r="D568" s="5" t="str">
        <f>IF($H568="","",INDEX('Detalle individual'!$E:$E,$H568))</f>
        <v/>
      </c>
      <c r="E568" s="5" t="str">
        <f>IF($H568="","",INDEX('Detalle individual'!$C:$C,$H568))</f>
        <v/>
      </c>
      <c r="F568" s="5" t="str">
        <f>IF($H568="","",INDEX('Detalle individual'!$D:$D,$H568))</f>
        <v/>
      </c>
      <c r="G568" s="5" t="str">
        <f>IF($H568="","",INDEX('Detalle individual'!$F:$F,$H568))</f>
        <v/>
      </c>
      <c r="H568" t="str">
        <f>IFERROR(MATCH(SMALL(Cálculos!$AJ$5:$AJ$1000,564),Cálculos!$AJ$5:$AJ$1000,0)+4,"")</f>
        <v/>
      </c>
    </row>
    <row r="569">
      <c r="B569" s="5" t="str">
        <f>IF($H569="","",INDEX('Detalle individual'!$B:$B,$H569))</f>
        <v/>
      </c>
      <c r="C569" s="5" t="str">
        <f>IF($H569="","",INDEX('Detalle individual'!$A:$A,$H569))</f>
        <v/>
      </c>
      <c r="D569" s="5" t="str">
        <f>IF($H569="","",INDEX('Detalle individual'!$E:$E,$H569))</f>
        <v/>
      </c>
      <c r="E569" s="5" t="str">
        <f>IF($H569="","",INDEX('Detalle individual'!$C:$C,$H569))</f>
        <v/>
      </c>
      <c r="F569" s="5" t="str">
        <f>IF($H569="","",INDEX('Detalle individual'!$D:$D,$H569))</f>
        <v/>
      </c>
      <c r="G569" s="5" t="str">
        <f>IF($H569="","",INDEX('Detalle individual'!$F:$F,$H569))</f>
        <v/>
      </c>
      <c r="H569" t="str">
        <f>IFERROR(MATCH(SMALL(Cálculos!$AJ$5:$AJ$1000,565),Cálculos!$AJ$5:$AJ$1000,0)+4,"")</f>
        <v/>
      </c>
    </row>
    <row r="570">
      <c r="B570" s="5" t="str">
        <f>IF($H570="","",INDEX('Detalle individual'!$B:$B,$H570))</f>
        <v/>
      </c>
      <c r="C570" s="5" t="str">
        <f>IF($H570="","",INDEX('Detalle individual'!$A:$A,$H570))</f>
        <v/>
      </c>
      <c r="D570" s="5" t="str">
        <f>IF($H570="","",INDEX('Detalle individual'!$E:$E,$H570))</f>
        <v/>
      </c>
      <c r="E570" s="5" t="str">
        <f>IF($H570="","",INDEX('Detalle individual'!$C:$C,$H570))</f>
        <v/>
      </c>
      <c r="F570" s="5" t="str">
        <f>IF($H570="","",INDEX('Detalle individual'!$D:$D,$H570))</f>
        <v/>
      </c>
      <c r="G570" s="5" t="str">
        <f>IF($H570="","",INDEX('Detalle individual'!$F:$F,$H570))</f>
        <v/>
      </c>
      <c r="H570" t="str">
        <f>IFERROR(MATCH(SMALL(Cálculos!$AJ$5:$AJ$1000,566),Cálculos!$AJ$5:$AJ$1000,0)+4,"")</f>
        <v/>
      </c>
    </row>
    <row r="571">
      <c r="B571" s="5" t="str">
        <f>IF($H571="","",INDEX('Detalle individual'!$B:$B,$H571))</f>
        <v/>
      </c>
      <c r="C571" s="5" t="str">
        <f>IF($H571="","",INDEX('Detalle individual'!$A:$A,$H571))</f>
        <v/>
      </c>
      <c r="D571" s="5" t="str">
        <f>IF($H571="","",INDEX('Detalle individual'!$E:$E,$H571))</f>
        <v/>
      </c>
      <c r="E571" s="5" t="str">
        <f>IF($H571="","",INDEX('Detalle individual'!$C:$C,$H571))</f>
        <v/>
      </c>
      <c r="F571" s="5" t="str">
        <f>IF($H571="","",INDEX('Detalle individual'!$D:$D,$H571))</f>
        <v/>
      </c>
      <c r="G571" s="5" t="str">
        <f>IF($H571="","",INDEX('Detalle individual'!$F:$F,$H571))</f>
        <v/>
      </c>
      <c r="H571" t="str">
        <f>IFERROR(MATCH(SMALL(Cálculos!$AJ$5:$AJ$1000,567),Cálculos!$AJ$5:$AJ$1000,0)+4,"")</f>
        <v/>
      </c>
    </row>
    <row r="572">
      <c r="B572" s="5" t="str">
        <f>IF($H572="","",INDEX('Detalle individual'!$B:$B,$H572))</f>
        <v/>
      </c>
      <c r="C572" s="5" t="str">
        <f>IF($H572="","",INDEX('Detalle individual'!$A:$A,$H572))</f>
        <v/>
      </c>
      <c r="D572" s="5" t="str">
        <f>IF($H572="","",INDEX('Detalle individual'!$E:$E,$H572))</f>
        <v/>
      </c>
      <c r="E572" s="5" t="str">
        <f>IF($H572="","",INDEX('Detalle individual'!$C:$C,$H572))</f>
        <v/>
      </c>
      <c r="F572" s="5" t="str">
        <f>IF($H572="","",INDEX('Detalle individual'!$D:$D,$H572))</f>
        <v/>
      </c>
      <c r="G572" s="5" t="str">
        <f>IF($H572="","",INDEX('Detalle individual'!$F:$F,$H572))</f>
        <v/>
      </c>
      <c r="H572" t="str">
        <f>IFERROR(MATCH(SMALL(Cálculos!$AJ$5:$AJ$1000,568),Cálculos!$AJ$5:$AJ$1000,0)+4,"")</f>
        <v/>
      </c>
    </row>
    <row r="573">
      <c r="B573" s="5" t="str">
        <f>IF($H573="","",INDEX('Detalle individual'!$B:$B,$H573))</f>
        <v/>
      </c>
      <c r="C573" s="5" t="str">
        <f>IF($H573="","",INDEX('Detalle individual'!$A:$A,$H573))</f>
        <v/>
      </c>
      <c r="D573" s="5" t="str">
        <f>IF($H573="","",INDEX('Detalle individual'!$E:$E,$H573))</f>
        <v/>
      </c>
      <c r="E573" s="5" t="str">
        <f>IF($H573="","",INDEX('Detalle individual'!$C:$C,$H573))</f>
        <v/>
      </c>
      <c r="F573" s="5" t="str">
        <f>IF($H573="","",INDEX('Detalle individual'!$D:$D,$H573))</f>
        <v/>
      </c>
      <c r="G573" s="5" t="str">
        <f>IF($H573="","",INDEX('Detalle individual'!$F:$F,$H573))</f>
        <v/>
      </c>
      <c r="H573" t="str">
        <f>IFERROR(MATCH(SMALL(Cálculos!$AJ$5:$AJ$1000,569),Cálculos!$AJ$5:$AJ$1000,0)+4,"")</f>
        <v/>
      </c>
    </row>
    <row r="574">
      <c r="B574" s="5" t="str">
        <f>IF($H574="","",INDEX('Detalle individual'!$B:$B,$H574))</f>
        <v/>
      </c>
      <c r="C574" s="5" t="str">
        <f>IF($H574="","",INDEX('Detalle individual'!$A:$A,$H574))</f>
        <v/>
      </c>
      <c r="D574" s="5" t="str">
        <f>IF($H574="","",INDEX('Detalle individual'!$E:$E,$H574))</f>
        <v/>
      </c>
      <c r="E574" s="5" t="str">
        <f>IF($H574="","",INDEX('Detalle individual'!$C:$C,$H574))</f>
        <v/>
      </c>
      <c r="F574" s="5" t="str">
        <f>IF($H574="","",INDEX('Detalle individual'!$D:$D,$H574))</f>
        <v/>
      </c>
      <c r="G574" s="5" t="str">
        <f>IF($H574="","",INDEX('Detalle individual'!$F:$F,$H574))</f>
        <v/>
      </c>
      <c r="H574" t="str">
        <f>IFERROR(MATCH(SMALL(Cálculos!$AJ$5:$AJ$1000,570),Cálculos!$AJ$5:$AJ$1000,0)+4,"")</f>
        <v/>
      </c>
    </row>
    <row r="575">
      <c r="B575" s="5" t="str">
        <f>IF($H575="","",INDEX('Detalle individual'!$B:$B,$H575))</f>
        <v/>
      </c>
      <c r="C575" s="5" t="str">
        <f>IF($H575="","",INDEX('Detalle individual'!$A:$A,$H575))</f>
        <v/>
      </c>
      <c r="D575" s="5" t="str">
        <f>IF($H575="","",INDEX('Detalle individual'!$E:$E,$H575))</f>
        <v/>
      </c>
      <c r="E575" s="5" t="str">
        <f>IF($H575="","",INDEX('Detalle individual'!$C:$C,$H575))</f>
        <v/>
      </c>
      <c r="F575" s="5" t="str">
        <f>IF($H575="","",INDEX('Detalle individual'!$D:$D,$H575))</f>
        <v/>
      </c>
      <c r="G575" s="5" t="str">
        <f>IF($H575="","",INDEX('Detalle individual'!$F:$F,$H575))</f>
        <v/>
      </c>
      <c r="H575" t="str">
        <f>IFERROR(MATCH(SMALL(Cálculos!$AJ$5:$AJ$1000,571),Cálculos!$AJ$5:$AJ$1000,0)+4,"")</f>
        <v/>
      </c>
    </row>
    <row r="576">
      <c r="B576" s="5" t="str">
        <f>IF($H576="","",INDEX('Detalle individual'!$B:$B,$H576))</f>
        <v/>
      </c>
      <c r="C576" s="5" t="str">
        <f>IF($H576="","",INDEX('Detalle individual'!$A:$A,$H576))</f>
        <v/>
      </c>
      <c r="D576" s="5" t="str">
        <f>IF($H576="","",INDEX('Detalle individual'!$E:$E,$H576))</f>
        <v/>
      </c>
      <c r="E576" s="5" t="str">
        <f>IF($H576="","",INDEX('Detalle individual'!$C:$C,$H576))</f>
        <v/>
      </c>
      <c r="F576" s="5" t="str">
        <f>IF($H576="","",INDEX('Detalle individual'!$D:$D,$H576))</f>
        <v/>
      </c>
      <c r="G576" s="5" t="str">
        <f>IF($H576="","",INDEX('Detalle individual'!$F:$F,$H576))</f>
        <v/>
      </c>
      <c r="H576" t="str">
        <f>IFERROR(MATCH(SMALL(Cálculos!$AJ$5:$AJ$1000,572),Cálculos!$AJ$5:$AJ$1000,0)+4,"")</f>
        <v/>
      </c>
    </row>
    <row r="577">
      <c r="B577" s="5" t="str">
        <f>IF($H577="","",INDEX('Detalle individual'!$B:$B,$H577))</f>
        <v/>
      </c>
      <c r="C577" s="5" t="str">
        <f>IF($H577="","",INDEX('Detalle individual'!$A:$A,$H577))</f>
        <v/>
      </c>
      <c r="D577" s="5" t="str">
        <f>IF($H577="","",INDEX('Detalle individual'!$E:$E,$H577))</f>
        <v/>
      </c>
      <c r="E577" s="5" t="str">
        <f>IF($H577="","",INDEX('Detalle individual'!$C:$C,$H577))</f>
        <v/>
      </c>
      <c r="F577" s="5" t="str">
        <f>IF($H577="","",INDEX('Detalle individual'!$D:$D,$H577))</f>
        <v/>
      </c>
      <c r="G577" s="5" t="str">
        <f>IF($H577="","",INDEX('Detalle individual'!$F:$F,$H577))</f>
        <v/>
      </c>
      <c r="H577" t="str">
        <f>IFERROR(MATCH(SMALL(Cálculos!$AJ$5:$AJ$1000,573),Cálculos!$AJ$5:$AJ$1000,0)+4,"")</f>
        <v/>
      </c>
    </row>
    <row r="578">
      <c r="B578" s="5" t="str">
        <f>IF($H578="","",INDEX('Detalle individual'!$B:$B,$H578))</f>
        <v/>
      </c>
      <c r="C578" s="5" t="str">
        <f>IF($H578="","",INDEX('Detalle individual'!$A:$A,$H578))</f>
        <v/>
      </c>
      <c r="D578" s="5" t="str">
        <f>IF($H578="","",INDEX('Detalle individual'!$E:$E,$H578))</f>
        <v/>
      </c>
      <c r="E578" s="5" t="str">
        <f>IF($H578="","",INDEX('Detalle individual'!$C:$C,$H578))</f>
        <v/>
      </c>
      <c r="F578" s="5" t="str">
        <f>IF($H578="","",INDEX('Detalle individual'!$D:$D,$H578))</f>
        <v/>
      </c>
      <c r="G578" s="5" t="str">
        <f>IF($H578="","",INDEX('Detalle individual'!$F:$F,$H578))</f>
        <v/>
      </c>
      <c r="H578" t="str">
        <f>IFERROR(MATCH(SMALL(Cálculos!$AJ$5:$AJ$1000,574),Cálculos!$AJ$5:$AJ$1000,0)+4,"")</f>
        <v/>
      </c>
    </row>
    <row r="579">
      <c r="B579" s="5" t="str">
        <f>IF($H579="","",INDEX('Detalle individual'!$B:$B,$H579))</f>
        <v/>
      </c>
      <c r="C579" s="5" t="str">
        <f>IF($H579="","",INDEX('Detalle individual'!$A:$A,$H579))</f>
        <v/>
      </c>
      <c r="D579" s="5" t="str">
        <f>IF($H579="","",INDEX('Detalle individual'!$E:$E,$H579))</f>
        <v/>
      </c>
      <c r="E579" s="5" t="str">
        <f>IF($H579="","",INDEX('Detalle individual'!$C:$C,$H579))</f>
        <v/>
      </c>
      <c r="F579" s="5" t="str">
        <f>IF($H579="","",INDEX('Detalle individual'!$D:$D,$H579))</f>
        <v/>
      </c>
      <c r="G579" s="5" t="str">
        <f>IF($H579="","",INDEX('Detalle individual'!$F:$F,$H579))</f>
        <v/>
      </c>
      <c r="H579" t="str">
        <f>IFERROR(MATCH(SMALL(Cálculos!$AJ$5:$AJ$1000,575),Cálculos!$AJ$5:$AJ$1000,0)+4,"")</f>
        <v/>
      </c>
    </row>
    <row r="580">
      <c r="B580" s="5" t="str">
        <f>IF($H580="","",INDEX('Detalle individual'!$B:$B,$H580))</f>
        <v/>
      </c>
      <c r="C580" s="5" t="str">
        <f>IF($H580="","",INDEX('Detalle individual'!$A:$A,$H580))</f>
        <v/>
      </c>
      <c r="D580" s="5" t="str">
        <f>IF($H580="","",INDEX('Detalle individual'!$E:$E,$H580))</f>
        <v/>
      </c>
      <c r="E580" s="5" t="str">
        <f>IF($H580="","",INDEX('Detalle individual'!$C:$C,$H580))</f>
        <v/>
      </c>
      <c r="F580" s="5" t="str">
        <f>IF($H580="","",INDEX('Detalle individual'!$D:$D,$H580))</f>
        <v/>
      </c>
      <c r="G580" s="5" t="str">
        <f>IF($H580="","",INDEX('Detalle individual'!$F:$F,$H580))</f>
        <v/>
      </c>
      <c r="H580" t="str">
        <f>IFERROR(MATCH(SMALL(Cálculos!$AJ$5:$AJ$1000,576),Cálculos!$AJ$5:$AJ$1000,0)+4,"")</f>
        <v/>
      </c>
    </row>
    <row r="581">
      <c r="B581" s="5" t="str">
        <f>IF($H581="","",INDEX('Detalle individual'!$B:$B,$H581))</f>
        <v/>
      </c>
      <c r="C581" s="5" t="str">
        <f>IF($H581="","",INDEX('Detalle individual'!$A:$A,$H581))</f>
        <v/>
      </c>
      <c r="D581" s="5" t="str">
        <f>IF($H581="","",INDEX('Detalle individual'!$E:$E,$H581))</f>
        <v/>
      </c>
      <c r="E581" s="5" t="str">
        <f>IF($H581="","",INDEX('Detalle individual'!$C:$C,$H581))</f>
        <v/>
      </c>
      <c r="F581" s="5" t="str">
        <f>IF($H581="","",INDEX('Detalle individual'!$D:$D,$H581))</f>
        <v/>
      </c>
      <c r="G581" s="5" t="str">
        <f>IF($H581="","",INDEX('Detalle individual'!$F:$F,$H581))</f>
        <v/>
      </c>
      <c r="H581" t="str">
        <f>IFERROR(MATCH(SMALL(Cálculos!$AJ$5:$AJ$1000,577),Cálculos!$AJ$5:$AJ$1000,0)+4,"")</f>
        <v/>
      </c>
    </row>
    <row r="582">
      <c r="B582" s="5" t="str">
        <f>IF($H582="","",INDEX('Detalle individual'!$B:$B,$H582))</f>
        <v/>
      </c>
      <c r="C582" s="5" t="str">
        <f>IF($H582="","",INDEX('Detalle individual'!$A:$A,$H582))</f>
        <v/>
      </c>
      <c r="D582" s="5" t="str">
        <f>IF($H582="","",INDEX('Detalle individual'!$E:$E,$H582))</f>
        <v/>
      </c>
      <c r="E582" s="5" t="str">
        <f>IF($H582="","",INDEX('Detalle individual'!$C:$C,$H582))</f>
        <v/>
      </c>
      <c r="F582" s="5" t="str">
        <f>IF($H582="","",INDEX('Detalle individual'!$D:$D,$H582))</f>
        <v/>
      </c>
      <c r="G582" s="5" t="str">
        <f>IF($H582="","",INDEX('Detalle individual'!$F:$F,$H582))</f>
        <v/>
      </c>
      <c r="H582" t="str">
        <f>IFERROR(MATCH(SMALL(Cálculos!$AJ$5:$AJ$1000,578),Cálculos!$AJ$5:$AJ$1000,0)+4,"")</f>
        <v/>
      </c>
    </row>
    <row r="583">
      <c r="B583" s="5" t="str">
        <f>IF($H583="","",INDEX('Detalle individual'!$B:$B,$H583))</f>
        <v/>
      </c>
      <c r="C583" s="5" t="str">
        <f>IF($H583="","",INDEX('Detalle individual'!$A:$A,$H583))</f>
        <v/>
      </c>
      <c r="D583" s="5" t="str">
        <f>IF($H583="","",INDEX('Detalle individual'!$E:$E,$H583))</f>
        <v/>
      </c>
      <c r="E583" s="5" t="str">
        <f>IF($H583="","",INDEX('Detalle individual'!$C:$C,$H583))</f>
        <v/>
      </c>
      <c r="F583" s="5" t="str">
        <f>IF($H583="","",INDEX('Detalle individual'!$D:$D,$H583))</f>
        <v/>
      </c>
      <c r="G583" s="5" t="str">
        <f>IF($H583="","",INDEX('Detalle individual'!$F:$F,$H583))</f>
        <v/>
      </c>
      <c r="H583" t="str">
        <f>IFERROR(MATCH(SMALL(Cálculos!$AJ$5:$AJ$1000,579),Cálculos!$AJ$5:$AJ$1000,0)+4,"")</f>
        <v/>
      </c>
    </row>
    <row r="584">
      <c r="B584" s="5" t="str">
        <f>IF($H584="","",INDEX('Detalle individual'!$B:$B,$H584))</f>
        <v/>
      </c>
      <c r="C584" s="5" t="str">
        <f>IF($H584="","",INDEX('Detalle individual'!$A:$A,$H584))</f>
        <v/>
      </c>
      <c r="D584" s="5" t="str">
        <f>IF($H584="","",INDEX('Detalle individual'!$E:$E,$H584))</f>
        <v/>
      </c>
      <c r="E584" s="5" t="str">
        <f>IF($H584="","",INDEX('Detalle individual'!$C:$C,$H584))</f>
        <v/>
      </c>
      <c r="F584" s="5" t="str">
        <f>IF($H584="","",INDEX('Detalle individual'!$D:$D,$H584))</f>
        <v/>
      </c>
      <c r="G584" s="5" t="str">
        <f>IF($H584="","",INDEX('Detalle individual'!$F:$F,$H584))</f>
        <v/>
      </c>
      <c r="H584" t="str">
        <f>IFERROR(MATCH(SMALL(Cálculos!$AJ$5:$AJ$1000,580),Cálculos!$AJ$5:$AJ$1000,0)+4,"")</f>
        <v/>
      </c>
    </row>
    <row r="585">
      <c r="B585" s="5" t="str">
        <f>IF($H585="","",INDEX('Detalle individual'!$B:$B,$H585))</f>
        <v/>
      </c>
      <c r="C585" s="5" t="str">
        <f>IF($H585="","",INDEX('Detalle individual'!$A:$A,$H585))</f>
        <v/>
      </c>
      <c r="D585" s="5" t="str">
        <f>IF($H585="","",INDEX('Detalle individual'!$E:$E,$H585))</f>
        <v/>
      </c>
      <c r="E585" s="5" t="str">
        <f>IF($H585="","",INDEX('Detalle individual'!$C:$C,$H585))</f>
        <v/>
      </c>
      <c r="F585" s="5" t="str">
        <f>IF($H585="","",INDEX('Detalle individual'!$D:$D,$H585))</f>
        <v/>
      </c>
      <c r="G585" s="5" t="str">
        <f>IF($H585="","",INDEX('Detalle individual'!$F:$F,$H585))</f>
        <v/>
      </c>
      <c r="H585" t="str">
        <f>IFERROR(MATCH(SMALL(Cálculos!$AJ$5:$AJ$1000,581),Cálculos!$AJ$5:$AJ$1000,0)+4,"")</f>
        <v/>
      </c>
    </row>
    <row r="586">
      <c r="B586" s="5" t="str">
        <f>IF($H586="","",INDEX('Detalle individual'!$B:$B,$H586))</f>
        <v/>
      </c>
      <c r="C586" s="5" t="str">
        <f>IF($H586="","",INDEX('Detalle individual'!$A:$A,$H586))</f>
        <v/>
      </c>
      <c r="D586" s="5" t="str">
        <f>IF($H586="","",INDEX('Detalle individual'!$E:$E,$H586))</f>
        <v/>
      </c>
      <c r="E586" s="5" t="str">
        <f>IF($H586="","",INDEX('Detalle individual'!$C:$C,$H586))</f>
        <v/>
      </c>
      <c r="F586" s="5" t="str">
        <f>IF($H586="","",INDEX('Detalle individual'!$D:$D,$H586))</f>
        <v/>
      </c>
      <c r="G586" s="5" t="str">
        <f>IF($H586="","",INDEX('Detalle individual'!$F:$F,$H586))</f>
        <v/>
      </c>
      <c r="H586" t="str">
        <f>IFERROR(MATCH(SMALL(Cálculos!$AJ$5:$AJ$1000,582),Cálculos!$AJ$5:$AJ$1000,0)+4,"")</f>
        <v/>
      </c>
    </row>
    <row r="587">
      <c r="B587" s="5" t="str">
        <f>IF($H587="","",INDEX('Detalle individual'!$B:$B,$H587))</f>
        <v/>
      </c>
      <c r="C587" s="5" t="str">
        <f>IF($H587="","",INDEX('Detalle individual'!$A:$A,$H587))</f>
        <v/>
      </c>
      <c r="D587" s="5" t="str">
        <f>IF($H587="","",INDEX('Detalle individual'!$E:$E,$H587))</f>
        <v/>
      </c>
      <c r="E587" s="5" t="str">
        <f>IF($H587="","",INDEX('Detalle individual'!$C:$C,$H587))</f>
        <v/>
      </c>
      <c r="F587" s="5" t="str">
        <f>IF($H587="","",INDEX('Detalle individual'!$D:$D,$H587))</f>
        <v/>
      </c>
      <c r="G587" s="5" t="str">
        <f>IF($H587="","",INDEX('Detalle individual'!$F:$F,$H587))</f>
        <v/>
      </c>
      <c r="H587" t="str">
        <f>IFERROR(MATCH(SMALL(Cálculos!$AJ$5:$AJ$1000,583),Cálculos!$AJ$5:$AJ$1000,0)+4,"")</f>
        <v/>
      </c>
    </row>
    <row r="588">
      <c r="B588" s="5" t="str">
        <f>IF($H588="","",INDEX('Detalle individual'!$B:$B,$H588))</f>
        <v/>
      </c>
      <c r="C588" s="5" t="str">
        <f>IF($H588="","",INDEX('Detalle individual'!$A:$A,$H588))</f>
        <v/>
      </c>
      <c r="D588" s="5" t="str">
        <f>IF($H588="","",INDEX('Detalle individual'!$E:$E,$H588))</f>
        <v/>
      </c>
      <c r="E588" s="5" t="str">
        <f>IF($H588="","",INDEX('Detalle individual'!$C:$C,$H588))</f>
        <v/>
      </c>
      <c r="F588" s="5" t="str">
        <f>IF($H588="","",INDEX('Detalle individual'!$D:$D,$H588))</f>
        <v/>
      </c>
      <c r="G588" s="5" t="str">
        <f>IF($H588="","",INDEX('Detalle individual'!$F:$F,$H588))</f>
        <v/>
      </c>
      <c r="H588" t="str">
        <f>IFERROR(MATCH(SMALL(Cálculos!$AJ$5:$AJ$1000,584),Cálculos!$AJ$5:$AJ$1000,0)+4,"")</f>
        <v/>
      </c>
    </row>
    <row r="589">
      <c r="B589" s="5" t="str">
        <f>IF($H589="","",INDEX('Detalle individual'!$B:$B,$H589))</f>
        <v/>
      </c>
      <c r="C589" s="5" t="str">
        <f>IF($H589="","",INDEX('Detalle individual'!$A:$A,$H589))</f>
        <v/>
      </c>
      <c r="D589" s="5" t="str">
        <f>IF($H589="","",INDEX('Detalle individual'!$E:$E,$H589))</f>
        <v/>
      </c>
      <c r="E589" s="5" t="str">
        <f>IF($H589="","",INDEX('Detalle individual'!$C:$C,$H589))</f>
        <v/>
      </c>
      <c r="F589" s="5" t="str">
        <f>IF($H589="","",INDEX('Detalle individual'!$D:$D,$H589))</f>
        <v/>
      </c>
      <c r="G589" s="5" t="str">
        <f>IF($H589="","",INDEX('Detalle individual'!$F:$F,$H589))</f>
        <v/>
      </c>
      <c r="H589" t="str">
        <f>IFERROR(MATCH(SMALL(Cálculos!$AJ$5:$AJ$1000,585),Cálculos!$AJ$5:$AJ$1000,0)+4,"")</f>
        <v/>
      </c>
    </row>
    <row r="590">
      <c r="B590" s="5" t="str">
        <f>IF($H590="","",INDEX('Detalle individual'!$B:$B,$H590))</f>
        <v/>
      </c>
      <c r="C590" s="5" t="str">
        <f>IF($H590="","",INDEX('Detalle individual'!$A:$A,$H590))</f>
        <v/>
      </c>
      <c r="D590" s="5" t="str">
        <f>IF($H590="","",INDEX('Detalle individual'!$E:$E,$H590))</f>
        <v/>
      </c>
      <c r="E590" s="5" t="str">
        <f>IF($H590="","",INDEX('Detalle individual'!$C:$C,$H590))</f>
        <v/>
      </c>
      <c r="F590" s="5" t="str">
        <f>IF($H590="","",INDEX('Detalle individual'!$D:$D,$H590))</f>
        <v/>
      </c>
      <c r="G590" s="5" t="str">
        <f>IF($H590="","",INDEX('Detalle individual'!$F:$F,$H590))</f>
        <v/>
      </c>
      <c r="H590" t="str">
        <f>IFERROR(MATCH(SMALL(Cálculos!$AJ$5:$AJ$1000,586),Cálculos!$AJ$5:$AJ$1000,0)+4,"")</f>
        <v/>
      </c>
    </row>
    <row r="591">
      <c r="B591" s="5" t="str">
        <f>IF($H591="","",INDEX('Detalle individual'!$B:$B,$H591))</f>
        <v/>
      </c>
      <c r="C591" s="5" t="str">
        <f>IF($H591="","",INDEX('Detalle individual'!$A:$A,$H591))</f>
        <v/>
      </c>
      <c r="D591" s="5" t="str">
        <f>IF($H591="","",INDEX('Detalle individual'!$E:$E,$H591))</f>
        <v/>
      </c>
      <c r="E591" s="5" t="str">
        <f>IF($H591="","",INDEX('Detalle individual'!$C:$C,$H591))</f>
        <v/>
      </c>
      <c r="F591" s="5" t="str">
        <f>IF($H591="","",INDEX('Detalle individual'!$D:$D,$H591))</f>
        <v/>
      </c>
      <c r="G591" s="5" t="str">
        <f>IF($H591="","",INDEX('Detalle individual'!$F:$F,$H591))</f>
        <v/>
      </c>
      <c r="H591" t="str">
        <f>IFERROR(MATCH(SMALL(Cálculos!$AJ$5:$AJ$1000,587),Cálculos!$AJ$5:$AJ$1000,0)+4,"")</f>
        <v/>
      </c>
    </row>
    <row r="592">
      <c r="B592" s="5" t="str">
        <f>IF($H592="","",INDEX('Detalle individual'!$B:$B,$H592))</f>
        <v/>
      </c>
      <c r="C592" s="5" t="str">
        <f>IF($H592="","",INDEX('Detalle individual'!$A:$A,$H592))</f>
        <v/>
      </c>
      <c r="D592" s="5" t="str">
        <f>IF($H592="","",INDEX('Detalle individual'!$E:$E,$H592))</f>
        <v/>
      </c>
      <c r="E592" s="5" t="str">
        <f>IF($H592="","",INDEX('Detalle individual'!$C:$C,$H592))</f>
        <v/>
      </c>
      <c r="F592" s="5" t="str">
        <f>IF($H592="","",INDEX('Detalle individual'!$D:$D,$H592))</f>
        <v/>
      </c>
      <c r="G592" s="5" t="str">
        <f>IF($H592="","",INDEX('Detalle individual'!$F:$F,$H592))</f>
        <v/>
      </c>
      <c r="H592" t="str">
        <f>IFERROR(MATCH(SMALL(Cálculos!$AJ$5:$AJ$1000,588),Cálculos!$AJ$5:$AJ$1000,0)+4,"")</f>
        <v/>
      </c>
    </row>
    <row r="593">
      <c r="B593" s="5" t="str">
        <f>IF($H593="","",INDEX('Detalle individual'!$B:$B,$H593))</f>
        <v/>
      </c>
      <c r="C593" s="5" t="str">
        <f>IF($H593="","",INDEX('Detalle individual'!$A:$A,$H593))</f>
        <v/>
      </c>
      <c r="D593" s="5" t="str">
        <f>IF($H593="","",INDEX('Detalle individual'!$E:$E,$H593))</f>
        <v/>
      </c>
      <c r="E593" s="5" t="str">
        <f>IF($H593="","",INDEX('Detalle individual'!$C:$C,$H593))</f>
        <v/>
      </c>
      <c r="F593" s="5" t="str">
        <f>IF($H593="","",INDEX('Detalle individual'!$D:$D,$H593))</f>
        <v/>
      </c>
      <c r="G593" s="5" t="str">
        <f>IF($H593="","",INDEX('Detalle individual'!$F:$F,$H593))</f>
        <v/>
      </c>
      <c r="H593" t="str">
        <f>IFERROR(MATCH(SMALL(Cálculos!$AJ$5:$AJ$1000,589),Cálculos!$AJ$5:$AJ$1000,0)+4,"")</f>
        <v/>
      </c>
    </row>
    <row r="594">
      <c r="B594" s="5" t="str">
        <f>IF($H594="","",INDEX('Detalle individual'!$B:$B,$H594))</f>
        <v/>
      </c>
      <c r="C594" s="5" t="str">
        <f>IF($H594="","",INDEX('Detalle individual'!$A:$A,$H594))</f>
        <v/>
      </c>
      <c r="D594" s="5" t="str">
        <f>IF($H594="","",INDEX('Detalle individual'!$E:$E,$H594))</f>
        <v/>
      </c>
      <c r="E594" s="5" t="str">
        <f>IF($H594="","",INDEX('Detalle individual'!$C:$C,$H594))</f>
        <v/>
      </c>
      <c r="F594" s="5" t="str">
        <f>IF($H594="","",INDEX('Detalle individual'!$D:$D,$H594))</f>
        <v/>
      </c>
      <c r="G594" s="5" t="str">
        <f>IF($H594="","",INDEX('Detalle individual'!$F:$F,$H594))</f>
        <v/>
      </c>
      <c r="H594" t="str">
        <f>IFERROR(MATCH(SMALL(Cálculos!$AJ$5:$AJ$1000,590),Cálculos!$AJ$5:$AJ$1000,0)+4,"")</f>
        <v/>
      </c>
    </row>
    <row r="595">
      <c r="B595" s="5" t="str">
        <f>IF($H595="","",INDEX('Detalle individual'!$B:$B,$H595))</f>
        <v/>
      </c>
      <c r="C595" s="5" t="str">
        <f>IF($H595="","",INDEX('Detalle individual'!$A:$A,$H595))</f>
        <v/>
      </c>
      <c r="D595" s="5" t="str">
        <f>IF($H595="","",INDEX('Detalle individual'!$E:$E,$H595))</f>
        <v/>
      </c>
      <c r="E595" s="5" t="str">
        <f>IF($H595="","",INDEX('Detalle individual'!$C:$C,$H595))</f>
        <v/>
      </c>
      <c r="F595" s="5" t="str">
        <f>IF($H595="","",INDEX('Detalle individual'!$D:$D,$H595))</f>
        <v/>
      </c>
      <c r="G595" s="5" t="str">
        <f>IF($H595="","",INDEX('Detalle individual'!$F:$F,$H595))</f>
        <v/>
      </c>
      <c r="H595" t="str">
        <f>IFERROR(MATCH(SMALL(Cálculos!$AJ$5:$AJ$1000,591),Cálculos!$AJ$5:$AJ$1000,0)+4,"")</f>
        <v/>
      </c>
    </row>
    <row r="596">
      <c r="B596" s="5" t="str">
        <f>IF($H596="","",INDEX('Detalle individual'!$B:$B,$H596))</f>
        <v/>
      </c>
      <c r="C596" s="5" t="str">
        <f>IF($H596="","",INDEX('Detalle individual'!$A:$A,$H596))</f>
        <v/>
      </c>
      <c r="D596" s="5" t="str">
        <f>IF($H596="","",INDEX('Detalle individual'!$E:$E,$H596))</f>
        <v/>
      </c>
      <c r="E596" s="5" t="str">
        <f>IF($H596="","",INDEX('Detalle individual'!$C:$C,$H596))</f>
        <v/>
      </c>
      <c r="F596" s="5" t="str">
        <f>IF($H596="","",INDEX('Detalle individual'!$D:$D,$H596))</f>
        <v/>
      </c>
      <c r="G596" s="5" t="str">
        <f>IF($H596="","",INDEX('Detalle individual'!$F:$F,$H596))</f>
        <v/>
      </c>
      <c r="H596" t="str">
        <f>IFERROR(MATCH(SMALL(Cálculos!$AJ$5:$AJ$1000,592),Cálculos!$AJ$5:$AJ$1000,0)+4,"")</f>
        <v/>
      </c>
    </row>
    <row r="597">
      <c r="B597" s="5" t="str">
        <f>IF($H597="","",INDEX('Detalle individual'!$B:$B,$H597))</f>
        <v/>
      </c>
      <c r="C597" s="5" t="str">
        <f>IF($H597="","",INDEX('Detalle individual'!$A:$A,$H597))</f>
        <v/>
      </c>
      <c r="D597" s="5" t="str">
        <f>IF($H597="","",INDEX('Detalle individual'!$E:$E,$H597))</f>
        <v/>
      </c>
      <c r="E597" s="5" t="str">
        <f>IF($H597="","",INDEX('Detalle individual'!$C:$C,$H597))</f>
        <v/>
      </c>
      <c r="F597" s="5" t="str">
        <f>IF($H597="","",INDEX('Detalle individual'!$D:$D,$H597))</f>
        <v/>
      </c>
      <c r="G597" s="5" t="str">
        <f>IF($H597="","",INDEX('Detalle individual'!$F:$F,$H597))</f>
        <v/>
      </c>
      <c r="H597" t="str">
        <f>IFERROR(MATCH(SMALL(Cálculos!$AJ$5:$AJ$1000,593),Cálculos!$AJ$5:$AJ$1000,0)+4,"")</f>
        <v/>
      </c>
    </row>
    <row r="598">
      <c r="B598" s="5" t="str">
        <f>IF($H598="","",INDEX('Detalle individual'!$B:$B,$H598))</f>
        <v/>
      </c>
      <c r="C598" s="5" t="str">
        <f>IF($H598="","",INDEX('Detalle individual'!$A:$A,$H598))</f>
        <v/>
      </c>
      <c r="D598" s="5" t="str">
        <f>IF($H598="","",INDEX('Detalle individual'!$E:$E,$H598))</f>
        <v/>
      </c>
      <c r="E598" s="5" t="str">
        <f>IF($H598="","",INDEX('Detalle individual'!$C:$C,$H598))</f>
        <v/>
      </c>
      <c r="F598" s="5" t="str">
        <f>IF($H598="","",INDEX('Detalle individual'!$D:$D,$H598))</f>
        <v/>
      </c>
      <c r="G598" s="5" t="str">
        <f>IF($H598="","",INDEX('Detalle individual'!$F:$F,$H598))</f>
        <v/>
      </c>
      <c r="H598" t="str">
        <f>IFERROR(MATCH(SMALL(Cálculos!$AJ$5:$AJ$1000,594),Cálculos!$AJ$5:$AJ$1000,0)+4,"")</f>
        <v/>
      </c>
    </row>
    <row r="599">
      <c r="B599" s="5" t="str">
        <f>IF($H599="","",INDEX('Detalle individual'!$B:$B,$H599))</f>
        <v/>
      </c>
      <c r="C599" s="5" t="str">
        <f>IF($H599="","",INDEX('Detalle individual'!$A:$A,$H599))</f>
        <v/>
      </c>
      <c r="D599" s="5" t="str">
        <f>IF($H599="","",INDEX('Detalle individual'!$E:$E,$H599))</f>
        <v/>
      </c>
      <c r="E599" s="5" t="str">
        <f>IF($H599="","",INDEX('Detalle individual'!$C:$C,$H599))</f>
        <v/>
      </c>
      <c r="F599" s="5" t="str">
        <f>IF($H599="","",INDEX('Detalle individual'!$D:$D,$H599))</f>
        <v/>
      </c>
      <c r="G599" s="5" t="str">
        <f>IF($H599="","",INDEX('Detalle individual'!$F:$F,$H599))</f>
        <v/>
      </c>
      <c r="H599" t="str">
        <f>IFERROR(MATCH(SMALL(Cálculos!$AJ$5:$AJ$1000,595),Cálculos!$AJ$5:$AJ$1000,0)+4,"")</f>
        <v/>
      </c>
    </row>
    <row r="600">
      <c r="B600" s="5" t="str">
        <f>IF($H600="","",INDEX('Detalle individual'!$B:$B,$H600))</f>
        <v/>
      </c>
      <c r="C600" s="5" t="str">
        <f>IF($H600="","",INDEX('Detalle individual'!$A:$A,$H600))</f>
        <v/>
      </c>
      <c r="D600" s="5" t="str">
        <f>IF($H600="","",INDEX('Detalle individual'!$E:$E,$H600))</f>
        <v/>
      </c>
      <c r="E600" s="5" t="str">
        <f>IF($H600="","",INDEX('Detalle individual'!$C:$C,$H600))</f>
        <v/>
      </c>
      <c r="F600" s="5" t="str">
        <f>IF($H600="","",INDEX('Detalle individual'!$D:$D,$H600))</f>
        <v/>
      </c>
      <c r="G600" s="5" t="str">
        <f>IF($H600="","",INDEX('Detalle individual'!$F:$F,$H600))</f>
        <v/>
      </c>
      <c r="H600" t="str">
        <f>IFERROR(MATCH(SMALL(Cálculos!$AJ$5:$AJ$1000,596),Cálculos!$AJ$5:$AJ$1000,0)+4,"")</f>
        <v/>
      </c>
    </row>
    <row r="601">
      <c r="B601" s="5" t="str">
        <f>IF($H601="","",INDEX('Detalle individual'!$B:$B,$H601))</f>
        <v/>
      </c>
      <c r="C601" s="5" t="str">
        <f>IF($H601="","",INDEX('Detalle individual'!$A:$A,$H601))</f>
        <v/>
      </c>
      <c r="D601" s="5" t="str">
        <f>IF($H601="","",INDEX('Detalle individual'!$E:$E,$H601))</f>
        <v/>
      </c>
      <c r="E601" s="5" t="str">
        <f>IF($H601="","",INDEX('Detalle individual'!$C:$C,$H601))</f>
        <v/>
      </c>
      <c r="F601" s="5" t="str">
        <f>IF($H601="","",INDEX('Detalle individual'!$D:$D,$H601))</f>
        <v/>
      </c>
      <c r="G601" s="5" t="str">
        <f>IF($H601="","",INDEX('Detalle individual'!$F:$F,$H601))</f>
        <v/>
      </c>
      <c r="H601" t="str">
        <f>IFERROR(MATCH(SMALL(Cálculos!$AJ$5:$AJ$1000,597),Cálculos!$AJ$5:$AJ$1000,0)+4,"")</f>
        <v/>
      </c>
    </row>
    <row r="602">
      <c r="B602" s="5" t="str">
        <f>IF($H602="","",INDEX('Detalle individual'!$B:$B,$H602))</f>
        <v/>
      </c>
      <c r="C602" s="5" t="str">
        <f>IF($H602="","",INDEX('Detalle individual'!$A:$A,$H602))</f>
        <v/>
      </c>
      <c r="D602" s="5" t="str">
        <f>IF($H602="","",INDEX('Detalle individual'!$E:$E,$H602))</f>
        <v/>
      </c>
      <c r="E602" s="5" t="str">
        <f>IF($H602="","",INDEX('Detalle individual'!$C:$C,$H602))</f>
        <v/>
      </c>
      <c r="F602" s="5" t="str">
        <f>IF($H602="","",INDEX('Detalle individual'!$D:$D,$H602))</f>
        <v/>
      </c>
      <c r="G602" s="5" t="str">
        <f>IF($H602="","",INDEX('Detalle individual'!$F:$F,$H602))</f>
        <v/>
      </c>
      <c r="H602" t="str">
        <f>IFERROR(MATCH(SMALL(Cálculos!$AJ$5:$AJ$1000,598),Cálculos!$AJ$5:$AJ$1000,0)+4,"")</f>
        <v/>
      </c>
    </row>
    <row r="603">
      <c r="B603" s="5" t="str">
        <f>IF($H603="","",INDEX('Detalle individual'!$B:$B,$H603))</f>
        <v/>
      </c>
      <c r="C603" s="5" t="str">
        <f>IF($H603="","",INDEX('Detalle individual'!$A:$A,$H603))</f>
        <v/>
      </c>
      <c r="D603" s="5" t="str">
        <f>IF($H603="","",INDEX('Detalle individual'!$E:$E,$H603))</f>
        <v/>
      </c>
      <c r="E603" s="5" t="str">
        <f>IF($H603="","",INDEX('Detalle individual'!$C:$C,$H603))</f>
        <v/>
      </c>
      <c r="F603" s="5" t="str">
        <f>IF($H603="","",INDEX('Detalle individual'!$D:$D,$H603))</f>
        <v/>
      </c>
      <c r="G603" s="5" t="str">
        <f>IF($H603="","",INDEX('Detalle individual'!$F:$F,$H603))</f>
        <v/>
      </c>
      <c r="H603" t="str">
        <f>IFERROR(MATCH(SMALL(Cálculos!$AJ$5:$AJ$1000,599),Cálculos!$AJ$5:$AJ$1000,0)+4,"")</f>
        <v/>
      </c>
    </row>
    <row r="604">
      <c r="B604" s="5" t="str">
        <f>IF($H604="","",INDEX('Detalle individual'!$B:$B,$H604))</f>
        <v/>
      </c>
      <c r="C604" s="5" t="str">
        <f>IF($H604="","",INDEX('Detalle individual'!$A:$A,$H604))</f>
        <v/>
      </c>
      <c r="D604" s="5" t="str">
        <f>IF($H604="","",INDEX('Detalle individual'!$E:$E,$H604))</f>
        <v/>
      </c>
      <c r="E604" s="5" t="str">
        <f>IF($H604="","",INDEX('Detalle individual'!$C:$C,$H604))</f>
        <v/>
      </c>
      <c r="F604" s="5" t="str">
        <f>IF($H604="","",INDEX('Detalle individual'!$D:$D,$H604))</f>
        <v/>
      </c>
      <c r="G604" s="5" t="str">
        <f>IF($H604="","",INDEX('Detalle individual'!$F:$F,$H604))</f>
        <v/>
      </c>
      <c r="H604" t="str">
        <f>IFERROR(MATCH(SMALL(Cálculos!$AJ$5:$AJ$1000,600),Cálculos!$AJ$5:$AJ$1000,0)+4,"")</f>
        <v/>
      </c>
    </row>
    <row r="605">
      <c r="B605" s="5" t="str">
        <f>IF($H605="","",INDEX('Detalle individual'!$B:$B,$H605))</f>
        <v/>
      </c>
      <c r="C605" s="5" t="str">
        <f>IF($H605="","",INDEX('Detalle individual'!$A:$A,$H605))</f>
        <v/>
      </c>
      <c r="D605" s="5" t="str">
        <f>IF($H605="","",INDEX('Detalle individual'!$E:$E,$H605))</f>
        <v/>
      </c>
      <c r="E605" s="5" t="str">
        <f>IF($H605="","",INDEX('Detalle individual'!$C:$C,$H605))</f>
        <v/>
      </c>
      <c r="F605" s="5" t="str">
        <f>IF($H605="","",INDEX('Detalle individual'!$D:$D,$H605))</f>
        <v/>
      </c>
      <c r="G605" s="5" t="str">
        <f>IF($H605="","",INDEX('Detalle individual'!$F:$F,$H605))</f>
        <v/>
      </c>
      <c r="H605" t="str">
        <f>IFERROR(MATCH(SMALL(Cálculos!$AJ$5:$AJ$1000,601),Cálculos!$AJ$5:$AJ$1000,0)+4,"")</f>
        <v/>
      </c>
    </row>
    <row r="606">
      <c r="B606" s="5" t="str">
        <f>IF($H606="","",INDEX('Detalle individual'!$B:$B,$H606))</f>
        <v/>
      </c>
      <c r="C606" s="5" t="str">
        <f>IF($H606="","",INDEX('Detalle individual'!$A:$A,$H606))</f>
        <v/>
      </c>
      <c r="D606" s="5" t="str">
        <f>IF($H606="","",INDEX('Detalle individual'!$E:$E,$H606))</f>
        <v/>
      </c>
      <c r="E606" s="5" t="str">
        <f>IF($H606="","",INDEX('Detalle individual'!$C:$C,$H606))</f>
        <v/>
      </c>
      <c r="F606" s="5" t="str">
        <f>IF($H606="","",INDEX('Detalle individual'!$D:$D,$H606))</f>
        <v/>
      </c>
      <c r="G606" s="5" t="str">
        <f>IF($H606="","",INDEX('Detalle individual'!$F:$F,$H606))</f>
        <v/>
      </c>
      <c r="H606" t="str">
        <f>IFERROR(MATCH(SMALL(Cálculos!$AJ$5:$AJ$1000,602),Cálculos!$AJ$5:$AJ$1000,0)+4,"")</f>
        <v/>
      </c>
    </row>
    <row r="607">
      <c r="B607" s="5" t="str">
        <f>IF($H607="","",INDEX('Detalle individual'!$B:$B,$H607))</f>
        <v/>
      </c>
      <c r="C607" s="5" t="str">
        <f>IF($H607="","",INDEX('Detalle individual'!$A:$A,$H607))</f>
        <v/>
      </c>
      <c r="D607" s="5" t="str">
        <f>IF($H607="","",INDEX('Detalle individual'!$E:$E,$H607))</f>
        <v/>
      </c>
      <c r="E607" s="5" t="str">
        <f>IF($H607="","",INDEX('Detalle individual'!$C:$C,$H607))</f>
        <v/>
      </c>
      <c r="F607" s="5" t="str">
        <f>IF($H607="","",INDEX('Detalle individual'!$D:$D,$H607))</f>
        <v/>
      </c>
      <c r="G607" s="5" t="str">
        <f>IF($H607="","",INDEX('Detalle individual'!$F:$F,$H607))</f>
        <v/>
      </c>
      <c r="H607" t="str">
        <f>IFERROR(MATCH(SMALL(Cálculos!$AJ$5:$AJ$1000,603),Cálculos!$AJ$5:$AJ$1000,0)+4,"")</f>
        <v/>
      </c>
    </row>
    <row r="608">
      <c r="B608" s="5" t="str">
        <f>IF($H608="","",INDEX('Detalle individual'!$B:$B,$H608))</f>
        <v/>
      </c>
      <c r="C608" s="5" t="str">
        <f>IF($H608="","",INDEX('Detalle individual'!$A:$A,$H608))</f>
        <v/>
      </c>
      <c r="D608" s="5" t="str">
        <f>IF($H608="","",INDEX('Detalle individual'!$E:$E,$H608))</f>
        <v/>
      </c>
      <c r="E608" s="5" t="str">
        <f>IF($H608="","",INDEX('Detalle individual'!$C:$C,$H608))</f>
        <v/>
      </c>
      <c r="F608" s="5" t="str">
        <f>IF($H608="","",INDEX('Detalle individual'!$D:$D,$H608))</f>
        <v/>
      </c>
      <c r="G608" s="5" t="str">
        <f>IF($H608="","",INDEX('Detalle individual'!$F:$F,$H608))</f>
        <v/>
      </c>
      <c r="H608" t="str">
        <f>IFERROR(MATCH(SMALL(Cálculos!$AJ$5:$AJ$1000,604),Cálculos!$AJ$5:$AJ$1000,0)+4,"")</f>
        <v/>
      </c>
    </row>
    <row r="609">
      <c r="B609" s="5" t="str">
        <f>IF($H609="","",INDEX('Detalle individual'!$B:$B,$H609))</f>
        <v/>
      </c>
      <c r="C609" s="5" t="str">
        <f>IF($H609="","",INDEX('Detalle individual'!$A:$A,$H609))</f>
        <v/>
      </c>
      <c r="D609" s="5" t="str">
        <f>IF($H609="","",INDEX('Detalle individual'!$E:$E,$H609))</f>
        <v/>
      </c>
      <c r="E609" s="5" t="str">
        <f>IF($H609="","",INDEX('Detalle individual'!$C:$C,$H609))</f>
        <v/>
      </c>
      <c r="F609" s="5" t="str">
        <f>IF($H609="","",INDEX('Detalle individual'!$D:$D,$H609))</f>
        <v/>
      </c>
      <c r="G609" s="5" t="str">
        <f>IF($H609="","",INDEX('Detalle individual'!$F:$F,$H609))</f>
        <v/>
      </c>
      <c r="H609" t="str">
        <f>IFERROR(MATCH(SMALL(Cálculos!$AJ$5:$AJ$1000,605),Cálculos!$AJ$5:$AJ$1000,0)+4,"")</f>
        <v/>
      </c>
    </row>
    <row r="610">
      <c r="B610" s="5" t="str">
        <f>IF($H610="","",INDEX('Detalle individual'!$B:$B,$H610))</f>
        <v/>
      </c>
      <c r="C610" s="5" t="str">
        <f>IF($H610="","",INDEX('Detalle individual'!$A:$A,$H610))</f>
        <v/>
      </c>
      <c r="D610" s="5" t="str">
        <f>IF($H610="","",INDEX('Detalle individual'!$E:$E,$H610))</f>
        <v/>
      </c>
      <c r="E610" s="5" t="str">
        <f>IF($H610="","",INDEX('Detalle individual'!$C:$C,$H610))</f>
        <v/>
      </c>
      <c r="F610" s="5" t="str">
        <f>IF($H610="","",INDEX('Detalle individual'!$D:$D,$H610))</f>
        <v/>
      </c>
      <c r="G610" s="5" t="str">
        <f>IF($H610="","",INDEX('Detalle individual'!$F:$F,$H610))</f>
        <v/>
      </c>
      <c r="H610" t="str">
        <f>IFERROR(MATCH(SMALL(Cálculos!$AJ$5:$AJ$1000,606),Cálculos!$AJ$5:$AJ$1000,0)+4,"")</f>
        <v/>
      </c>
    </row>
    <row r="611">
      <c r="B611" s="5" t="str">
        <f>IF($H611="","",INDEX('Detalle individual'!$B:$B,$H611))</f>
        <v/>
      </c>
      <c r="C611" s="5" t="str">
        <f>IF($H611="","",INDEX('Detalle individual'!$A:$A,$H611))</f>
        <v/>
      </c>
      <c r="D611" s="5" t="str">
        <f>IF($H611="","",INDEX('Detalle individual'!$E:$E,$H611))</f>
        <v/>
      </c>
      <c r="E611" s="5" t="str">
        <f>IF($H611="","",INDEX('Detalle individual'!$C:$C,$H611))</f>
        <v/>
      </c>
      <c r="F611" s="5" t="str">
        <f>IF($H611="","",INDEX('Detalle individual'!$D:$D,$H611))</f>
        <v/>
      </c>
      <c r="G611" s="5" t="str">
        <f>IF($H611="","",INDEX('Detalle individual'!$F:$F,$H611))</f>
        <v/>
      </c>
      <c r="H611" t="str">
        <f>IFERROR(MATCH(SMALL(Cálculos!$AJ$5:$AJ$1000,607),Cálculos!$AJ$5:$AJ$1000,0)+4,"")</f>
        <v/>
      </c>
    </row>
    <row r="612">
      <c r="B612" s="5" t="str">
        <f>IF($H612="","",INDEX('Detalle individual'!$B:$B,$H612))</f>
        <v/>
      </c>
      <c r="C612" s="5" t="str">
        <f>IF($H612="","",INDEX('Detalle individual'!$A:$A,$H612))</f>
        <v/>
      </c>
      <c r="D612" s="5" t="str">
        <f>IF($H612="","",INDEX('Detalle individual'!$E:$E,$H612))</f>
        <v/>
      </c>
      <c r="E612" s="5" t="str">
        <f>IF($H612="","",INDEX('Detalle individual'!$C:$C,$H612))</f>
        <v/>
      </c>
      <c r="F612" s="5" t="str">
        <f>IF($H612="","",INDEX('Detalle individual'!$D:$D,$H612))</f>
        <v/>
      </c>
      <c r="G612" s="5" t="str">
        <f>IF($H612="","",INDEX('Detalle individual'!$F:$F,$H612))</f>
        <v/>
      </c>
      <c r="H612" t="str">
        <f>IFERROR(MATCH(SMALL(Cálculos!$AJ$5:$AJ$1000,608),Cálculos!$AJ$5:$AJ$1000,0)+4,"")</f>
        <v/>
      </c>
    </row>
    <row r="613">
      <c r="B613" s="5" t="str">
        <f>IF($H613="","",INDEX('Detalle individual'!$B:$B,$H613))</f>
        <v/>
      </c>
      <c r="C613" s="5" t="str">
        <f>IF($H613="","",INDEX('Detalle individual'!$A:$A,$H613))</f>
        <v/>
      </c>
      <c r="D613" s="5" t="str">
        <f>IF($H613="","",INDEX('Detalle individual'!$E:$E,$H613))</f>
        <v/>
      </c>
      <c r="E613" s="5" t="str">
        <f>IF($H613="","",INDEX('Detalle individual'!$C:$C,$H613))</f>
        <v/>
      </c>
      <c r="F613" s="5" t="str">
        <f>IF($H613="","",INDEX('Detalle individual'!$D:$D,$H613))</f>
        <v/>
      </c>
      <c r="G613" s="5" t="str">
        <f>IF($H613="","",INDEX('Detalle individual'!$F:$F,$H613))</f>
        <v/>
      </c>
      <c r="H613" t="str">
        <f>IFERROR(MATCH(SMALL(Cálculos!$AJ$5:$AJ$1000,609),Cálculos!$AJ$5:$AJ$1000,0)+4,"")</f>
        <v/>
      </c>
    </row>
    <row r="614">
      <c r="B614" s="5" t="str">
        <f>IF($H614="","",INDEX('Detalle individual'!$B:$B,$H614))</f>
        <v/>
      </c>
      <c r="C614" s="5" t="str">
        <f>IF($H614="","",INDEX('Detalle individual'!$A:$A,$H614))</f>
        <v/>
      </c>
      <c r="D614" s="5" t="str">
        <f>IF($H614="","",INDEX('Detalle individual'!$E:$E,$H614))</f>
        <v/>
      </c>
      <c r="E614" s="5" t="str">
        <f>IF($H614="","",INDEX('Detalle individual'!$C:$C,$H614))</f>
        <v/>
      </c>
      <c r="F614" s="5" t="str">
        <f>IF($H614="","",INDEX('Detalle individual'!$D:$D,$H614))</f>
        <v/>
      </c>
      <c r="G614" s="5" t="str">
        <f>IF($H614="","",INDEX('Detalle individual'!$F:$F,$H614))</f>
        <v/>
      </c>
      <c r="H614" t="str">
        <f>IFERROR(MATCH(SMALL(Cálculos!$AJ$5:$AJ$1000,610),Cálculos!$AJ$5:$AJ$1000,0)+4,"")</f>
        <v/>
      </c>
    </row>
    <row r="615">
      <c r="B615" s="5" t="str">
        <f>IF($H615="","",INDEX('Detalle individual'!$B:$B,$H615))</f>
        <v/>
      </c>
      <c r="C615" s="5" t="str">
        <f>IF($H615="","",INDEX('Detalle individual'!$A:$A,$H615))</f>
        <v/>
      </c>
      <c r="D615" s="5" t="str">
        <f>IF($H615="","",INDEX('Detalle individual'!$E:$E,$H615))</f>
        <v/>
      </c>
      <c r="E615" s="5" t="str">
        <f>IF($H615="","",INDEX('Detalle individual'!$C:$C,$H615))</f>
        <v/>
      </c>
      <c r="F615" s="5" t="str">
        <f>IF($H615="","",INDEX('Detalle individual'!$D:$D,$H615))</f>
        <v/>
      </c>
      <c r="G615" s="5" t="str">
        <f>IF($H615="","",INDEX('Detalle individual'!$F:$F,$H615))</f>
        <v/>
      </c>
      <c r="H615" t="str">
        <f>IFERROR(MATCH(SMALL(Cálculos!$AJ$5:$AJ$1000,611),Cálculos!$AJ$5:$AJ$1000,0)+4,"")</f>
        <v/>
      </c>
    </row>
    <row r="616">
      <c r="B616" s="5" t="str">
        <f>IF($H616="","",INDEX('Detalle individual'!$B:$B,$H616))</f>
        <v/>
      </c>
      <c r="C616" s="5" t="str">
        <f>IF($H616="","",INDEX('Detalle individual'!$A:$A,$H616))</f>
        <v/>
      </c>
      <c r="D616" s="5" t="str">
        <f>IF($H616="","",INDEX('Detalle individual'!$E:$E,$H616))</f>
        <v/>
      </c>
      <c r="E616" s="5" t="str">
        <f>IF($H616="","",INDEX('Detalle individual'!$C:$C,$H616))</f>
        <v/>
      </c>
      <c r="F616" s="5" t="str">
        <f>IF($H616="","",INDEX('Detalle individual'!$D:$D,$H616))</f>
        <v/>
      </c>
      <c r="G616" s="5" t="str">
        <f>IF($H616="","",INDEX('Detalle individual'!$F:$F,$H616))</f>
        <v/>
      </c>
      <c r="H616" t="str">
        <f>IFERROR(MATCH(SMALL(Cálculos!$AJ$5:$AJ$1000,612),Cálculos!$AJ$5:$AJ$1000,0)+4,"")</f>
        <v/>
      </c>
    </row>
    <row r="617">
      <c r="B617" s="5" t="str">
        <f>IF($H617="","",INDEX('Detalle individual'!$B:$B,$H617))</f>
        <v/>
      </c>
      <c r="C617" s="5" t="str">
        <f>IF($H617="","",INDEX('Detalle individual'!$A:$A,$H617))</f>
        <v/>
      </c>
      <c r="D617" s="5" t="str">
        <f>IF($H617="","",INDEX('Detalle individual'!$E:$E,$H617))</f>
        <v/>
      </c>
      <c r="E617" s="5" t="str">
        <f>IF($H617="","",INDEX('Detalle individual'!$C:$C,$H617))</f>
        <v/>
      </c>
      <c r="F617" s="5" t="str">
        <f>IF($H617="","",INDEX('Detalle individual'!$D:$D,$H617))</f>
        <v/>
      </c>
      <c r="G617" s="5" t="str">
        <f>IF($H617="","",INDEX('Detalle individual'!$F:$F,$H617))</f>
        <v/>
      </c>
      <c r="H617" t="str">
        <f>IFERROR(MATCH(SMALL(Cálculos!$AJ$5:$AJ$1000,613),Cálculos!$AJ$5:$AJ$1000,0)+4,"")</f>
        <v/>
      </c>
    </row>
    <row r="618">
      <c r="B618" s="5" t="str">
        <f>IF($H618="","",INDEX('Detalle individual'!$B:$B,$H618))</f>
        <v/>
      </c>
      <c r="C618" s="5" t="str">
        <f>IF($H618="","",INDEX('Detalle individual'!$A:$A,$H618))</f>
        <v/>
      </c>
      <c r="D618" s="5" t="str">
        <f>IF($H618="","",INDEX('Detalle individual'!$E:$E,$H618))</f>
        <v/>
      </c>
      <c r="E618" s="5" t="str">
        <f>IF($H618="","",INDEX('Detalle individual'!$C:$C,$H618))</f>
        <v/>
      </c>
      <c r="F618" s="5" t="str">
        <f>IF($H618="","",INDEX('Detalle individual'!$D:$D,$H618))</f>
        <v/>
      </c>
      <c r="G618" s="5" t="str">
        <f>IF($H618="","",INDEX('Detalle individual'!$F:$F,$H618))</f>
        <v/>
      </c>
      <c r="H618" t="str">
        <f>IFERROR(MATCH(SMALL(Cálculos!$AJ$5:$AJ$1000,614),Cálculos!$AJ$5:$AJ$1000,0)+4,"")</f>
        <v/>
      </c>
    </row>
    <row r="619">
      <c r="B619" s="5" t="str">
        <f>IF($H619="","",INDEX('Detalle individual'!$B:$B,$H619))</f>
        <v/>
      </c>
      <c r="C619" s="5" t="str">
        <f>IF($H619="","",INDEX('Detalle individual'!$A:$A,$H619))</f>
        <v/>
      </c>
      <c r="D619" s="5" t="str">
        <f>IF($H619="","",INDEX('Detalle individual'!$E:$E,$H619))</f>
        <v/>
      </c>
      <c r="E619" s="5" t="str">
        <f>IF($H619="","",INDEX('Detalle individual'!$C:$C,$H619))</f>
        <v/>
      </c>
      <c r="F619" s="5" t="str">
        <f>IF($H619="","",INDEX('Detalle individual'!$D:$D,$H619))</f>
        <v/>
      </c>
      <c r="G619" s="5" t="str">
        <f>IF($H619="","",INDEX('Detalle individual'!$F:$F,$H619))</f>
        <v/>
      </c>
      <c r="H619" t="str">
        <f>IFERROR(MATCH(SMALL(Cálculos!$AJ$5:$AJ$1000,615),Cálculos!$AJ$5:$AJ$1000,0)+4,"")</f>
        <v/>
      </c>
    </row>
    <row r="620">
      <c r="B620" s="5" t="str">
        <f>IF($H620="","",INDEX('Detalle individual'!$B:$B,$H620))</f>
        <v/>
      </c>
      <c r="C620" s="5" t="str">
        <f>IF($H620="","",INDEX('Detalle individual'!$A:$A,$H620))</f>
        <v/>
      </c>
      <c r="D620" s="5" t="str">
        <f>IF($H620="","",INDEX('Detalle individual'!$E:$E,$H620))</f>
        <v/>
      </c>
      <c r="E620" s="5" t="str">
        <f>IF($H620="","",INDEX('Detalle individual'!$C:$C,$H620))</f>
        <v/>
      </c>
      <c r="F620" s="5" t="str">
        <f>IF($H620="","",INDEX('Detalle individual'!$D:$D,$H620))</f>
        <v/>
      </c>
      <c r="G620" s="5" t="str">
        <f>IF($H620="","",INDEX('Detalle individual'!$F:$F,$H620))</f>
        <v/>
      </c>
      <c r="H620" t="str">
        <f>IFERROR(MATCH(SMALL(Cálculos!$AJ$5:$AJ$1000,616),Cálculos!$AJ$5:$AJ$1000,0)+4,"")</f>
        <v/>
      </c>
    </row>
    <row r="621">
      <c r="B621" s="5" t="str">
        <f>IF($H621="","",INDEX('Detalle individual'!$B:$B,$H621))</f>
        <v/>
      </c>
      <c r="C621" s="5" t="str">
        <f>IF($H621="","",INDEX('Detalle individual'!$A:$A,$H621))</f>
        <v/>
      </c>
      <c r="D621" s="5" t="str">
        <f>IF($H621="","",INDEX('Detalle individual'!$E:$E,$H621))</f>
        <v/>
      </c>
      <c r="E621" s="5" t="str">
        <f>IF($H621="","",INDEX('Detalle individual'!$C:$C,$H621))</f>
        <v/>
      </c>
      <c r="F621" s="5" t="str">
        <f>IF($H621="","",INDEX('Detalle individual'!$D:$D,$H621))</f>
        <v/>
      </c>
      <c r="G621" s="5" t="str">
        <f>IF($H621="","",INDEX('Detalle individual'!$F:$F,$H621))</f>
        <v/>
      </c>
      <c r="H621" t="str">
        <f>IFERROR(MATCH(SMALL(Cálculos!$AJ$5:$AJ$1000,617),Cálculos!$AJ$5:$AJ$1000,0)+4,"")</f>
        <v/>
      </c>
    </row>
    <row r="622">
      <c r="B622" s="5" t="str">
        <f>IF($H622="","",INDEX('Detalle individual'!$B:$B,$H622))</f>
        <v/>
      </c>
      <c r="C622" s="5" t="str">
        <f>IF($H622="","",INDEX('Detalle individual'!$A:$A,$H622))</f>
        <v/>
      </c>
      <c r="D622" s="5" t="str">
        <f>IF($H622="","",INDEX('Detalle individual'!$E:$E,$H622))</f>
        <v/>
      </c>
      <c r="E622" s="5" t="str">
        <f>IF($H622="","",INDEX('Detalle individual'!$C:$C,$H622))</f>
        <v/>
      </c>
      <c r="F622" s="5" t="str">
        <f>IF($H622="","",INDEX('Detalle individual'!$D:$D,$H622))</f>
        <v/>
      </c>
      <c r="G622" s="5" t="str">
        <f>IF($H622="","",INDEX('Detalle individual'!$F:$F,$H622))</f>
        <v/>
      </c>
      <c r="H622" t="str">
        <f>IFERROR(MATCH(SMALL(Cálculos!$AJ$5:$AJ$1000,618),Cálculos!$AJ$5:$AJ$1000,0)+4,"")</f>
        <v/>
      </c>
    </row>
    <row r="623">
      <c r="B623" s="5" t="str">
        <f>IF($H623="","",INDEX('Detalle individual'!$B:$B,$H623))</f>
        <v/>
      </c>
      <c r="C623" s="5" t="str">
        <f>IF($H623="","",INDEX('Detalle individual'!$A:$A,$H623))</f>
        <v/>
      </c>
      <c r="D623" s="5" t="str">
        <f>IF($H623="","",INDEX('Detalle individual'!$E:$E,$H623))</f>
        <v/>
      </c>
      <c r="E623" s="5" t="str">
        <f>IF($H623="","",INDEX('Detalle individual'!$C:$C,$H623))</f>
        <v/>
      </c>
      <c r="F623" s="5" t="str">
        <f>IF($H623="","",INDEX('Detalle individual'!$D:$D,$H623))</f>
        <v/>
      </c>
      <c r="G623" s="5" t="str">
        <f>IF($H623="","",INDEX('Detalle individual'!$F:$F,$H623))</f>
        <v/>
      </c>
      <c r="H623" t="str">
        <f>IFERROR(MATCH(SMALL(Cálculos!$AJ$5:$AJ$1000,619),Cálculos!$AJ$5:$AJ$1000,0)+4,"")</f>
        <v/>
      </c>
    </row>
    <row r="624">
      <c r="B624" s="5" t="str">
        <f>IF($H624="","",INDEX('Detalle individual'!$B:$B,$H624))</f>
        <v/>
      </c>
      <c r="C624" s="5" t="str">
        <f>IF($H624="","",INDEX('Detalle individual'!$A:$A,$H624))</f>
        <v/>
      </c>
      <c r="D624" s="5" t="str">
        <f>IF($H624="","",INDEX('Detalle individual'!$E:$E,$H624))</f>
        <v/>
      </c>
      <c r="E624" s="5" t="str">
        <f>IF($H624="","",INDEX('Detalle individual'!$C:$C,$H624))</f>
        <v/>
      </c>
      <c r="F624" s="5" t="str">
        <f>IF($H624="","",INDEX('Detalle individual'!$D:$D,$H624))</f>
        <v/>
      </c>
      <c r="G624" s="5" t="str">
        <f>IF($H624="","",INDEX('Detalle individual'!$F:$F,$H624))</f>
        <v/>
      </c>
      <c r="H624" t="str">
        <f>IFERROR(MATCH(SMALL(Cálculos!$AJ$5:$AJ$1000,620),Cálculos!$AJ$5:$AJ$1000,0)+4,"")</f>
        <v/>
      </c>
    </row>
    <row r="625">
      <c r="B625" s="5" t="str">
        <f>IF($H625="","",INDEX('Detalle individual'!$B:$B,$H625))</f>
        <v/>
      </c>
      <c r="C625" s="5" t="str">
        <f>IF($H625="","",INDEX('Detalle individual'!$A:$A,$H625))</f>
        <v/>
      </c>
      <c r="D625" s="5" t="str">
        <f>IF($H625="","",INDEX('Detalle individual'!$E:$E,$H625))</f>
        <v/>
      </c>
      <c r="E625" s="5" t="str">
        <f>IF($H625="","",INDEX('Detalle individual'!$C:$C,$H625))</f>
        <v/>
      </c>
      <c r="F625" s="5" t="str">
        <f>IF($H625="","",INDEX('Detalle individual'!$D:$D,$H625))</f>
        <v/>
      </c>
      <c r="G625" s="5" t="str">
        <f>IF($H625="","",INDEX('Detalle individual'!$F:$F,$H625))</f>
        <v/>
      </c>
      <c r="H625" t="str">
        <f>IFERROR(MATCH(SMALL(Cálculos!$AJ$5:$AJ$1000,621),Cálculos!$AJ$5:$AJ$1000,0)+4,"")</f>
        <v/>
      </c>
    </row>
    <row r="626">
      <c r="B626" s="5" t="str">
        <f>IF($H626="","",INDEX('Detalle individual'!$B:$B,$H626))</f>
        <v/>
      </c>
      <c r="C626" s="5" t="str">
        <f>IF($H626="","",INDEX('Detalle individual'!$A:$A,$H626))</f>
        <v/>
      </c>
      <c r="D626" s="5" t="str">
        <f>IF($H626="","",INDEX('Detalle individual'!$E:$E,$H626))</f>
        <v/>
      </c>
      <c r="E626" s="5" t="str">
        <f>IF($H626="","",INDEX('Detalle individual'!$C:$C,$H626))</f>
        <v/>
      </c>
      <c r="F626" s="5" t="str">
        <f>IF($H626="","",INDEX('Detalle individual'!$D:$D,$H626))</f>
        <v/>
      </c>
      <c r="G626" s="5" t="str">
        <f>IF($H626="","",INDEX('Detalle individual'!$F:$F,$H626))</f>
        <v/>
      </c>
      <c r="H626" t="str">
        <f>IFERROR(MATCH(SMALL(Cálculos!$AJ$5:$AJ$1000,622),Cálculos!$AJ$5:$AJ$1000,0)+4,"")</f>
        <v/>
      </c>
    </row>
    <row r="627">
      <c r="B627" s="5" t="str">
        <f>IF($H627="","",INDEX('Detalle individual'!$B:$B,$H627))</f>
        <v/>
      </c>
      <c r="C627" s="5" t="str">
        <f>IF($H627="","",INDEX('Detalle individual'!$A:$A,$H627))</f>
        <v/>
      </c>
      <c r="D627" s="5" t="str">
        <f>IF($H627="","",INDEX('Detalle individual'!$E:$E,$H627))</f>
        <v/>
      </c>
      <c r="E627" s="5" t="str">
        <f>IF($H627="","",INDEX('Detalle individual'!$C:$C,$H627))</f>
        <v/>
      </c>
      <c r="F627" s="5" t="str">
        <f>IF($H627="","",INDEX('Detalle individual'!$D:$D,$H627))</f>
        <v/>
      </c>
      <c r="G627" s="5" t="str">
        <f>IF($H627="","",INDEX('Detalle individual'!$F:$F,$H627))</f>
        <v/>
      </c>
      <c r="H627" t="str">
        <f>IFERROR(MATCH(SMALL(Cálculos!$AJ$5:$AJ$1000,623),Cálculos!$AJ$5:$AJ$1000,0)+4,"")</f>
        <v/>
      </c>
    </row>
    <row r="628">
      <c r="B628" s="5" t="str">
        <f>IF($H628="","",INDEX('Detalle individual'!$B:$B,$H628))</f>
        <v/>
      </c>
      <c r="C628" s="5" t="str">
        <f>IF($H628="","",INDEX('Detalle individual'!$A:$A,$H628))</f>
        <v/>
      </c>
      <c r="D628" s="5" t="str">
        <f>IF($H628="","",INDEX('Detalle individual'!$E:$E,$H628))</f>
        <v/>
      </c>
      <c r="E628" s="5" t="str">
        <f>IF($H628="","",INDEX('Detalle individual'!$C:$C,$H628))</f>
        <v/>
      </c>
      <c r="F628" s="5" t="str">
        <f>IF($H628="","",INDEX('Detalle individual'!$D:$D,$H628))</f>
        <v/>
      </c>
      <c r="G628" s="5" t="str">
        <f>IF($H628="","",INDEX('Detalle individual'!$F:$F,$H628))</f>
        <v/>
      </c>
      <c r="H628" t="str">
        <f>IFERROR(MATCH(SMALL(Cálculos!$AJ$5:$AJ$1000,624),Cálculos!$AJ$5:$AJ$1000,0)+4,"")</f>
        <v/>
      </c>
    </row>
    <row r="629">
      <c r="B629" s="5" t="str">
        <f>IF($H629="","",INDEX('Detalle individual'!$B:$B,$H629))</f>
        <v/>
      </c>
      <c r="C629" s="5" t="str">
        <f>IF($H629="","",INDEX('Detalle individual'!$A:$A,$H629))</f>
        <v/>
      </c>
      <c r="D629" s="5" t="str">
        <f>IF($H629="","",INDEX('Detalle individual'!$E:$E,$H629))</f>
        <v/>
      </c>
      <c r="E629" s="5" t="str">
        <f>IF($H629="","",INDEX('Detalle individual'!$C:$C,$H629))</f>
        <v/>
      </c>
      <c r="F629" s="5" t="str">
        <f>IF($H629="","",INDEX('Detalle individual'!$D:$D,$H629))</f>
        <v/>
      </c>
      <c r="G629" s="5" t="str">
        <f>IF($H629="","",INDEX('Detalle individual'!$F:$F,$H629))</f>
        <v/>
      </c>
      <c r="H629" t="str">
        <f>IFERROR(MATCH(SMALL(Cálculos!$AJ$5:$AJ$1000,625),Cálculos!$AJ$5:$AJ$1000,0)+4,"")</f>
        <v/>
      </c>
    </row>
    <row r="630">
      <c r="B630" s="5" t="str">
        <f>IF($H630="","",INDEX('Detalle individual'!$B:$B,$H630))</f>
        <v/>
      </c>
      <c r="C630" s="5" t="str">
        <f>IF($H630="","",INDEX('Detalle individual'!$A:$A,$H630))</f>
        <v/>
      </c>
      <c r="D630" s="5" t="str">
        <f>IF($H630="","",INDEX('Detalle individual'!$E:$E,$H630))</f>
        <v/>
      </c>
      <c r="E630" s="5" t="str">
        <f>IF($H630="","",INDEX('Detalle individual'!$C:$C,$H630))</f>
        <v/>
      </c>
      <c r="F630" s="5" t="str">
        <f>IF($H630="","",INDEX('Detalle individual'!$D:$D,$H630))</f>
        <v/>
      </c>
      <c r="G630" s="5" t="str">
        <f>IF($H630="","",INDEX('Detalle individual'!$F:$F,$H630))</f>
        <v/>
      </c>
      <c r="H630" t="str">
        <f>IFERROR(MATCH(SMALL(Cálculos!$AJ$5:$AJ$1000,626),Cálculos!$AJ$5:$AJ$1000,0)+4,"")</f>
        <v/>
      </c>
    </row>
    <row r="631">
      <c r="B631" s="5" t="str">
        <f>IF($H631="","",INDEX('Detalle individual'!$B:$B,$H631))</f>
        <v/>
      </c>
      <c r="C631" s="5" t="str">
        <f>IF($H631="","",INDEX('Detalle individual'!$A:$A,$H631))</f>
        <v/>
      </c>
      <c r="D631" s="5" t="str">
        <f>IF($H631="","",INDEX('Detalle individual'!$E:$E,$H631))</f>
        <v/>
      </c>
      <c r="E631" s="5" t="str">
        <f>IF($H631="","",INDEX('Detalle individual'!$C:$C,$H631))</f>
        <v/>
      </c>
      <c r="F631" s="5" t="str">
        <f>IF($H631="","",INDEX('Detalle individual'!$D:$D,$H631))</f>
        <v/>
      </c>
      <c r="G631" s="5" t="str">
        <f>IF($H631="","",INDEX('Detalle individual'!$F:$F,$H631))</f>
        <v/>
      </c>
      <c r="H631" t="str">
        <f>IFERROR(MATCH(SMALL(Cálculos!$AJ$5:$AJ$1000,627),Cálculos!$AJ$5:$AJ$1000,0)+4,"")</f>
        <v/>
      </c>
    </row>
    <row r="632">
      <c r="B632" s="5" t="str">
        <f>IF($H632="","",INDEX('Detalle individual'!$B:$B,$H632))</f>
        <v/>
      </c>
      <c r="C632" s="5" t="str">
        <f>IF($H632="","",INDEX('Detalle individual'!$A:$A,$H632))</f>
        <v/>
      </c>
      <c r="D632" s="5" t="str">
        <f>IF($H632="","",INDEX('Detalle individual'!$E:$E,$H632))</f>
        <v/>
      </c>
      <c r="E632" s="5" t="str">
        <f>IF($H632="","",INDEX('Detalle individual'!$C:$C,$H632))</f>
        <v/>
      </c>
      <c r="F632" s="5" t="str">
        <f>IF($H632="","",INDEX('Detalle individual'!$D:$D,$H632))</f>
        <v/>
      </c>
      <c r="G632" s="5" t="str">
        <f>IF($H632="","",INDEX('Detalle individual'!$F:$F,$H632))</f>
        <v/>
      </c>
      <c r="H632" t="str">
        <f>IFERROR(MATCH(SMALL(Cálculos!$AJ$5:$AJ$1000,628),Cálculos!$AJ$5:$AJ$1000,0)+4,"")</f>
        <v/>
      </c>
    </row>
    <row r="633">
      <c r="B633" s="5" t="str">
        <f>IF($H633="","",INDEX('Detalle individual'!$B:$B,$H633))</f>
        <v/>
      </c>
      <c r="C633" s="5" t="str">
        <f>IF($H633="","",INDEX('Detalle individual'!$A:$A,$H633))</f>
        <v/>
      </c>
      <c r="D633" s="5" t="str">
        <f>IF($H633="","",INDEX('Detalle individual'!$E:$E,$H633))</f>
        <v/>
      </c>
      <c r="E633" s="5" t="str">
        <f>IF($H633="","",INDEX('Detalle individual'!$C:$C,$H633))</f>
        <v/>
      </c>
      <c r="F633" s="5" t="str">
        <f>IF($H633="","",INDEX('Detalle individual'!$D:$D,$H633))</f>
        <v/>
      </c>
      <c r="G633" s="5" t="str">
        <f>IF($H633="","",INDEX('Detalle individual'!$F:$F,$H633))</f>
        <v/>
      </c>
      <c r="H633" t="str">
        <f>IFERROR(MATCH(SMALL(Cálculos!$AJ$5:$AJ$1000,629),Cálculos!$AJ$5:$AJ$1000,0)+4,"")</f>
        <v/>
      </c>
    </row>
    <row r="634">
      <c r="B634" s="5" t="str">
        <f>IF($H634="","",INDEX('Detalle individual'!$B:$B,$H634))</f>
        <v/>
      </c>
      <c r="C634" s="5" t="str">
        <f>IF($H634="","",INDEX('Detalle individual'!$A:$A,$H634))</f>
        <v/>
      </c>
      <c r="D634" s="5" t="str">
        <f>IF($H634="","",INDEX('Detalle individual'!$E:$E,$H634))</f>
        <v/>
      </c>
      <c r="E634" s="5" t="str">
        <f>IF($H634="","",INDEX('Detalle individual'!$C:$C,$H634))</f>
        <v/>
      </c>
      <c r="F634" s="5" t="str">
        <f>IF($H634="","",INDEX('Detalle individual'!$D:$D,$H634))</f>
        <v/>
      </c>
      <c r="G634" s="5" t="str">
        <f>IF($H634="","",INDEX('Detalle individual'!$F:$F,$H634))</f>
        <v/>
      </c>
      <c r="H634" t="str">
        <f>IFERROR(MATCH(SMALL(Cálculos!$AJ$5:$AJ$1000,630),Cálculos!$AJ$5:$AJ$1000,0)+4,"")</f>
        <v/>
      </c>
    </row>
    <row r="635">
      <c r="B635" s="5" t="str">
        <f>IF($H635="","",INDEX('Detalle individual'!$B:$B,$H635))</f>
        <v/>
      </c>
      <c r="C635" s="5" t="str">
        <f>IF($H635="","",INDEX('Detalle individual'!$A:$A,$H635))</f>
        <v/>
      </c>
      <c r="D635" s="5" t="str">
        <f>IF($H635="","",INDEX('Detalle individual'!$E:$E,$H635))</f>
        <v/>
      </c>
      <c r="E635" s="5" t="str">
        <f>IF($H635="","",INDEX('Detalle individual'!$C:$C,$H635))</f>
        <v/>
      </c>
      <c r="F635" s="5" t="str">
        <f>IF($H635="","",INDEX('Detalle individual'!$D:$D,$H635))</f>
        <v/>
      </c>
      <c r="G635" s="5" t="str">
        <f>IF($H635="","",INDEX('Detalle individual'!$F:$F,$H635))</f>
        <v/>
      </c>
      <c r="H635" t="str">
        <f>IFERROR(MATCH(SMALL(Cálculos!$AJ$5:$AJ$1000,631),Cálculos!$AJ$5:$AJ$1000,0)+4,"")</f>
        <v/>
      </c>
    </row>
    <row r="636">
      <c r="B636" s="5" t="str">
        <f>IF($H636="","",INDEX('Detalle individual'!$B:$B,$H636))</f>
        <v/>
      </c>
      <c r="C636" s="5" t="str">
        <f>IF($H636="","",INDEX('Detalle individual'!$A:$A,$H636))</f>
        <v/>
      </c>
      <c r="D636" s="5" t="str">
        <f>IF($H636="","",INDEX('Detalle individual'!$E:$E,$H636))</f>
        <v/>
      </c>
      <c r="E636" s="5" t="str">
        <f>IF($H636="","",INDEX('Detalle individual'!$C:$C,$H636))</f>
        <v/>
      </c>
      <c r="F636" s="5" t="str">
        <f>IF($H636="","",INDEX('Detalle individual'!$D:$D,$H636))</f>
        <v/>
      </c>
      <c r="G636" s="5" t="str">
        <f>IF($H636="","",INDEX('Detalle individual'!$F:$F,$H636))</f>
        <v/>
      </c>
      <c r="H636" t="str">
        <f>IFERROR(MATCH(SMALL(Cálculos!$AJ$5:$AJ$1000,632),Cálculos!$AJ$5:$AJ$1000,0)+4,"")</f>
        <v/>
      </c>
    </row>
    <row r="637">
      <c r="B637" s="5" t="str">
        <f>IF($H637="","",INDEX('Detalle individual'!$B:$B,$H637))</f>
        <v/>
      </c>
      <c r="C637" s="5" t="str">
        <f>IF($H637="","",INDEX('Detalle individual'!$A:$A,$H637))</f>
        <v/>
      </c>
      <c r="D637" s="5" t="str">
        <f>IF($H637="","",INDEX('Detalle individual'!$E:$E,$H637))</f>
        <v/>
      </c>
      <c r="E637" s="5" t="str">
        <f>IF($H637="","",INDEX('Detalle individual'!$C:$C,$H637))</f>
        <v/>
      </c>
      <c r="F637" s="5" t="str">
        <f>IF($H637="","",INDEX('Detalle individual'!$D:$D,$H637))</f>
        <v/>
      </c>
      <c r="G637" s="5" t="str">
        <f>IF($H637="","",INDEX('Detalle individual'!$F:$F,$H637))</f>
        <v/>
      </c>
      <c r="H637" t="str">
        <f>IFERROR(MATCH(SMALL(Cálculos!$AJ$5:$AJ$1000,633),Cálculos!$AJ$5:$AJ$1000,0)+4,"")</f>
        <v/>
      </c>
    </row>
    <row r="638">
      <c r="B638" s="5" t="str">
        <f>IF($H638="","",INDEX('Detalle individual'!$B:$B,$H638))</f>
        <v/>
      </c>
      <c r="C638" s="5" t="str">
        <f>IF($H638="","",INDEX('Detalle individual'!$A:$A,$H638))</f>
        <v/>
      </c>
      <c r="D638" s="5" t="str">
        <f>IF($H638="","",INDEX('Detalle individual'!$E:$E,$H638))</f>
        <v/>
      </c>
      <c r="E638" s="5" t="str">
        <f>IF($H638="","",INDEX('Detalle individual'!$C:$C,$H638))</f>
        <v/>
      </c>
      <c r="F638" s="5" t="str">
        <f>IF($H638="","",INDEX('Detalle individual'!$D:$D,$H638))</f>
        <v/>
      </c>
      <c r="G638" s="5" t="str">
        <f>IF($H638="","",INDEX('Detalle individual'!$F:$F,$H638))</f>
        <v/>
      </c>
      <c r="H638" t="str">
        <f>IFERROR(MATCH(SMALL(Cálculos!$AJ$5:$AJ$1000,634),Cálculos!$AJ$5:$AJ$1000,0)+4,"")</f>
        <v/>
      </c>
    </row>
    <row r="639">
      <c r="B639" s="5" t="str">
        <f>IF($H639="","",INDEX('Detalle individual'!$B:$B,$H639))</f>
        <v/>
      </c>
      <c r="C639" s="5" t="str">
        <f>IF($H639="","",INDEX('Detalle individual'!$A:$A,$H639))</f>
        <v/>
      </c>
      <c r="D639" s="5" t="str">
        <f>IF($H639="","",INDEX('Detalle individual'!$E:$E,$H639))</f>
        <v/>
      </c>
      <c r="E639" s="5" t="str">
        <f>IF($H639="","",INDEX('Detalle individual'!$C:$C,$H639))</f>
        <v/>
      </c>
      <c r="F639" s="5" t="str">
        <f>IF($H639="","",INDEX('Detalle individual'!$D:$D,$H639))</f>
        <v/>
      </c>
      <c r="G639" s="5" t="str">
        <f>IF($H639="","",INDEX('Detalle individual'!$F:$F,$H639))</f>
        <v/>
      </c>
      <c r="H639" t="str">
        <f>IFERROR(MATCH(SMALL(Cálculos!$AJ$5:$AJ$1000,635),Cálculos!$AJ$5:$AJ$1000,0)+4,"")</f>
        <v/>
      </c>
    </row>
    <row r="640">
      <c r="B640" s="5" t="str">
        <f>IF($H640="","",INDEX('Detalle individual'!$B:$B,$H640))</f>
        <v/>
      </c>
      <c r="C640" s="5" t="str">
        <f>IF($H640="","",INDEX('Detalle individual'!$A:$A,$H640))</f>
        <v/>
      </c>
      <c r="D640" s="5" t="str">
        <f>IF($H640="","",INDEX('Detalle individual'!$E:$E,$H640))</f>
        <v/>
      </c>
      <c r="E640" s="5" t="str">
        <f>IF($H640="","",INDEX('Detalle individual'!$C:$C,$H640))</f>
        <v/>
      </c>
      <c r="F640" s="5" t="str">
        <f>IF($H640="","",INDEX('Detalle individual'!$D:$D,$H640))</f>
        <v/>
      </c>
      <c r="G640" s="5" t="str">
        <f>IF($H640="","",INDEX('Detalle individual'!$F:$F,$H640))</f>
        <v/>
      </c>
      <c r="H640" t="str">
        <f>IFERROR(MATCH(SMALL(Cálculos!$AJ$5:$AJ$1000,636),Cálculos!$AJ$5:$AJ$1000,0)+4,"")</f>
        <v/>
      </c>
    </row>
    <row r="641">
      <c r="B641" s="5" t="str">
        <f>IF($H641="","",INDEX('Detalle individual'!$B:$B,$H641))</f>
        <v/>
      </c>
      <c r="C641" s="5" t="str">
        <f>IF($H641="","",INDEX('Detalle individual'!$A:$A,$H641))</f>
        <v/>
      </c>
      <c r="D641" s="5" t="str">
        <f>IF($H641="","",INDEX('Detalle individual'!$E:$E,$H641))</f>
        <v/>
      </c>
      <c r="E641" s="5" t="str">
        <f>IF($H641="","",INDEX('Detalle individual'!$C:$C,$H641))</f>
        <v/>
      </c>
      <c r="F641" s="5" t="str">
        <f>IF($H641="","",INDEX('Detalle individual'!$D:$D,$H641))</f>
        <v/>
      </c>
      <c r="G641" s="5" t="str">
        <f>IF($H641="","",INDEX('Detalle individual'!$F:$F,$H641))</f>
        <v/>
      </c>
      <c r="H641" t="str">
        <f>IFERROR(MATCH(SMALL(Cálculos!$AJ$5:$AJ$1000,637),Cálculos!$AJ$5:$AJ$1000,0)+4,"")</f>
        <v/>
      </c>
    </row>
    <row r="642">
      <c r="B642" s="5" t="str">
        <f>IF($H642="","",INDEX('Detalle individual'!$B:$B,$H642))</f>
        <v/>
      </c>
      <c r="C642" s="5" t="str">
        <f>IF($H642="","",INDEX('Detalle individual'!$A:$A,$H642))</f>
        <v/>
      </c>
      <c r="D642" s="5" t="str">
        <f>IF($H642="","",INDEX('Detalle individual'!$E:$E,$H642))</f>
        <v/>
      </c>
      <c r="E642" s="5" t="str">
        <f>IF($H642="","",INDEX('Detalle individual'!$C:$C,$H642))</f>
        <v/>
      </c>
      <c r="F642" s="5" t="str">
        <f>IF($H642="","",INDEX('Detalle individual'!$D:$D,$H642))</f>
        <v/>
      </c>
      <c r="G642" s="5" t="str">
        <f>IF($H642="","",INDEX('Detalle individual'!$F:$F,$H642))</f>
        <v/>
      </c>
      <c r="H642" t="str">
        <f>IFERROR(MATCH(SMALL(Cálculos!$AJ$5:$AJ$1000,638),Cálculos!$AJ$5:$AJ$1000,0)+4,"")</f>
        <v/>
      </c>
    </row>
    <row r="643">
      <c r="B643" s="5" t="str">
        <f>IF($H643="","",INDEX('Detalle individual'!$B:$B,$H643))</f>
        <v/>
      </c>
      <c r="C643" s="5" t="str">
        <f>IF($H643="","",INDEX('Detalle individual'!$A:$A,$H643))</f>
        <v/>
      </c>
      <c r="D643" s="5" t="str">
        <f>IF($H643="","",INDEX('Detalle individual'!$E:$E,$H643))</f>
        <v/>
      </c>
      <c r="E643" s="5" t="str">
        <f>IF($H643="","",INDEX('Detalle individual'!$C:$C,$H643))</f>
        <v/>
      </c>
      <c r="F643" s="5" t="str">
        <f>IF($H643="","",INDEX('Detalle individual'!$D:$D,$H643))</f>
        <v/>
      </c>
      <c r="G643" s="5" t="str">
        <f>IF($H643="","",INDEX('Detalle individual'!$F:$F,$H643))</f>
        <v/>
      </c>
      <c r="H643" t="str">
        <f>IFERROR(MATCH(SMALL(Cálculos!$AJ$5:$AJ$1000,639),Cálculos!$AJ$5:$AJ$1000,0)+4,"")</f>
        <v/>
      </c>
    </row>
    <row r="644">
      <c r="B644" s="5" t="str">
        <f>IF($H644="","",INDEX('Detalle individual'!$B:$B,$H644))</f>
        <v/>
      </c>
      <c r="C644" s="5" t="str">
        <f>IF($H644="","",INDEX('Detalle individual'!$A:$A,$H644))</f>
        <v/>
      </c>
      <c r="D644" s="5" t="str">
        <f>IF($H644="","",INDEX('Detalle individual'!$E:$E,$H644))</f>
        <v/>
      </c>
      <c r="E644" s="5" t="str">
        <f>IF($H644="","",INDEX('Detalle individual'!$C:$C,$H644))</f>
        <v/>
      </c>
      <c r="F644" s="5" t="str">
        <f>IF($H644="","",INDEX('Detalle individual'!$D:$D,$H644))</f>
        <v/>
      </c>
      <c r="G644" s="5" t="str">
        <f>IF($H644="","",INDEX('Detalle individual'!$F:$F,$H644))</f>
        <v/>
      </c>
      <c r="H644" t="str">
        <f>IFERROR(MATCH(SMALL(Cálculos!$AJ$5:$AJ$1000,640),Cálculos!$AJ$5:$AJ$1000,0)+4,"")</f>
        <v/>
      </c>
    </row>
    <row r="645">
      <c r="B645" s="5" t="str">
        <f>IF($H645="","",INDEX('Detalle individual'!$B:$B,$H645))</f>
        <v/>
      </c>
      <c r="C645" s="5" t="str">
        <f>IF($H645="","",INDEX('Detalle individual'!$A:$A,$H645))</f>
        <v/>
      </c>
      <c r="D645" s="5" t="str">
        <f>IF($H645="","",INDEX('Detalle individual'!$E:$E,$H645))</f>
        <v/>
      </c>
      <c r="E645" s="5" t="str">
        <f>IF($H645="","",INDEX('Detalle individual'!$C:$C,$H645))</f>
        <v/>
      </c>
      <c r="F645" s="5" t="str">
        <f>IF($H645="","",INDEX('Detalle individual'!$D:$D,$H645))</f>
        <v/>
      </c>
      <c r="G645" s="5" t="str">
        <f>IF($H645="","",INDEX('Detalle individual'!$F:$F,$H645))</f>
        <v/>
      </c>
      <c r="H645" t="str">
        <f>IFERROR(MATCH(SMALL(Cálculos!$AJ$5:$AJ$1000,641),Cálculos!$AJ$5:$AJ$1000,0)+4,"")</f>
        <v/>
      </c>
    </row>
    <row r="646">
      <c r="B646" s="5" t="str">
        <f>IF($H646="","",INDEX('Detalle individual'!$B:$B,$H646))</f>
        <v/>
      </c>
      <c r="C646" s="5" t="str">
        <f>IF($H646="","",INDEX('Detalle individual'!$A:$A,$H646))</f>
        <v/>
      </c>
      <c r="D646" s="5" t="str">
        <f>IF($H646="","",INDEX('Detalle individual'!$E:$E,$H646))</f>
        <v/>
      </c>
      <c r="E646" s="5" t="str">
        <f>IF($H646="","",INDEX('Detalle individual'!$C:$C,$H646))</f>
        <v/>
      </c>
      <c r="F646" s="5" t="str">
        <f>IF($H646="","",INDEX('Detalle individual'!$D:$D,$H646))</f>
        <v/>
      </c>
      <c r="G646" s="5" t="str">
        <f>IF($H646="","",INDEX('Detalle individual'!$F:$F,$H646))</f>
        <v/>
      </c>
      <c r="H646" t="str">
        <f>IFERROR(MATCH(SMALL(Cálculos!$AJ$5:$AJ$1000,642),Cálculos!$AJ$5:$AJ$1000,0)+4,"")</f>
        <v/>
      </c>
    </row>
    <row r="647">
      <c r="B647" s="5" t="str">
        <f>IF($H647="","",INDEX('Detalle individual'!$B:$B,$H647))</f>
        <v/>
      </c>
      <c r="C647" s="5" t="str">
        <f>IF($H647="","",INDEX('Detalle individual'!$A:$A,$H647))</f>
        <v/>
      </c>
      <c r="D647" s="5" t="str">
        <f>IF($H647="","",INDEX('Detalle individual'!$E:$E,$H647))</f>
        <v/>
      </c>
      <c r="E647" s="5" t="str">
        <f>IF($H647="","",INDEX('Detalle individual'!$C:$C,$H647))</f>
        <v/>
      </c>
      <c r="F647" s="5" t="str">
        <f>IF($H647="","",INDEX('Detalle individual'!$D:$D,$H647))</f>
        <v/>
      </c>
      <c r="G647" s="5" t="str">
        <f>IF($H647="","",INDEX('Detalle individual'!$F:$F,$H647))</f>
        <v/>
      </c>
      <c r="H647" t="str">
        <f>IFERROR(MATCH(SMALL(Cálculos!$AJ$5:$AJ$1000,643),Cálculos!$AJ$5:$AJ$1000,0)+4,"")</f>
        <v/>
      </c>
    </row>
    <row r="648">
      <c r="B648" s="5" t="str">
        <f>IF($H648="","",INDEX('Detalle individual'!$B:$B,$H648))</f>
        <v/>
      </c>
      <c r="C648" s="5" t="str">
        <f>IF($H648="","",INDEX('Detalle individual'!$A:$A,$H648))</f>
        <v/>
      </c>
      <c r="D648" s="5" t="str">
        <f>IF($H648="","",INDEX('Detalle individual'!$E:$E,$H648))</f>
        <v/>
      </c>
      <c r="E648" s="5" t="str">
        <f>IF($H648="","",INDEX('Detalle individual'!$C:$C,$H648))</f>
        <v/>
      </c>
      <c r="F648" s="5" t="str">
        <f>IF($H648="","",INDEX('Detalle individual'!$D:$D,$H648))</f>
        <v/>
      </c>
      <c r="G648" s="5" t="str">
        <f>IF($H648="","",INDEX('Detalle individual'!$F:$F,$H648))</f>
        <v/>
      </c>
      <c r="H648" t="str">
        <f>IFERROR(MATCH(SMALL(Cálculos!$AJ$5:$AJ$1000,644),Cálculos!$AJ$5:$AJ$1000,0)+4,"")</f>
        <v/>
      </c>
    </row>
    <row r="649">
      <c r="B649" s="5" t="str">
        <f>IF($H649="","",INDEX('Detalle individual'!$B:$B,$H649))</f>
        <v/>
      </c>
      <c r="C649" s="5" t="str">
        <f>IF($H649="","",INDEX('Detalle individual'!$A:$A,$H649))</f>
        <v/>
      </c>
      <c r="D649" s="5" t="str">
        <f>IF($H649="","",INDEX('Detalle individual'!$E:$E,$H649))</f>
        <v/>
      </c>
      <c r="E649" s="5" t="str">
        <f>IF($H649="","",INDEX('Detalle individual'!$C:$C,$H649))</f>
        <v/>
      </c>
      <c r="F649" s="5" t="str">
        <f>IF($H649="","",INDEX('Detalle individual'!$D:$D,$H649))</f>
        <v/>
      </c>
      <c r="G649" s="5" t="str">
        <f>IF($H649="","",INDEX('Detalle individual'!$F:$F,$H649))</f>
        <v/>
      </c>
      <c r="H649" t="str">
        <f>IFERROR(MATCH(SMALL(Cálculos!$AJ$5:$AJ$1000,645),Cálculos!$AJ$5:$AJ$1000,0)+4,"")</f>
        <v/>
      </c>
    </row>
    <row r="650">
      <c r="B650" s="5" t="str">
        <f>IF($H650="","",INDEX('Detalle individual'!$B:$B,$H650))</f>
        <v/>
      </c>
      <c r="C650" s="5" t="str">
        <f>IF($H650="","",INDEX('Detalle individual'!$A:$A,$H650))</f>
        <v/>
      </c>
      <c r="D650" s="5" t="str">
        <f>IF($H650="","",INDEX('Detalle individual'!$E:$E,$H650))</f>
        <v/>
      </c>
      <c r="E650" s="5" t="str">
        <f>IF($H650="","",INDEX('Detalle individual'!$C:$C,$H650))</f>
        <v/>
      </c>
      <c r="F650" s="5" t="str">
        <f>IF($H650="","",INDEX('Detalle individual'!$D:$D,$H650))</f>
        <v/>
      </c>
      <c r="G650" s="5" t="str">
        <f>IF($H650="","",INDEX('Detalle individual'!$F:$F,$H650))</f>
        <v/>
      </c>
      <c r="H650" t="str">
        <f>IFERROR(MATCH(SMALL(Cálculos!$AJ$5:$AJ$1000,646),Cálculos!$AJ$5:$AJ$1000,0)+4,"")</f>
        <v/>
      </c>
    </row>
    <row r="651">
      <c r="B651" s="5" t="str">
        <f>IF($H651="","",INDEX('Detalle individual'!$B:$B,$H651))</f>
        <v/>
      </c>
      <c r="C651" s="5" t="str">
        <f>IF($H651="","",INDEX('Detalle individual'!$A:$A,$H651))</f>
        <v/>
      </c>
      <c r="D651" s="5" t="str">
        <f>IF($H651="","",INDEX('Detalle individual'!$E:$E,$H651))</f>
        <v/>
      </c>
      <c r="E651" s="5" t="str">
        <f>IF($H651="","",INDEX('Detalle individual'!$C:$C,$H651))</f>
        <v/>
      </c>
      <c r="F651" s="5" t="str">
        <f>IF($H651="","",INDEX('Detalle individual'!$D:$D,$H651))</f>
        <v/>
      </c>
      <c r="G651" s="5" t="str">
        <f>IF($H651="","",INDEX('Detalle individual'!$F:$F,$H651))</f>
        <v/>
      </c>
      <c r="H651" t="str">
        <f>IFERROR(MATCH(SMALL(Cálculos!$AJ$5:$AJ$1000,647),Cálculos!$AJ$5:$AJ$1000,0)+4,"")</f>
        <v/>
      </c>
    </row>
    <row r="652">
      <c r="B652" s="5" t="str">
        <f>IF($H652="","",INDEX('Detalle individual'!$B:$B,$H652))</f>
        <v/>
      </c>
      <c r="C652" s="5" t="str">
        <f>IF($H652="","",INDEX('Detalle individual'!$A:$A,$H652))</f>
        <v/>
      </c>
      <c r="D652" s="5" t="str">
        <f>IF($H652="","",INDEX('Detalle individual'!$E:$E,$H652))</f>
        <v/>
      </c>
      <c r="E652" s="5" t="str">
        <f>IF($H652="","",INDEX('Detalle individual'!$C:$C,$H652))</f>
        <v/>
      </c>
      <c r="F652" s="5" t="str">
        <f>IF($H652="","",INDEX('Detalle individual'!$D:$D,$H652))</f>
        <v/>
      </c>
      <c r="G652" s="5" t="str">
        <f>IF($H652="","",INDEX('Detalle individual'!$F:$F,$H652))</f>
        <v/>
      </c>
      <c r="H652" t="str">
        <f>IFERROR(MATCH(SMALL(Cálculos!$AJ$5:$AJ$1000,648),Cálculos!$AJ$5:$AJ$1000,0)+4,"")</f>
        <v/>
      </c>
    </row>
    <row r="653">
      <c r="B653" s="5" t="str">
        <f>IF($H653="","",INDEX('Detalle individual'!$B:$B,$H653))</f>
        <v/>
      </c>
      <c r="C653" s="5" t="str">
        <f>IF($H653="","",INDEX('Detalle individual'!$A:$A,$H653))</f>
        <v/>
      </c>
      <c r="D653" s="5" t="str">
        <f>IF($H653="","",INDEX('Detalle individual'!$E:$E,$H653))</f>
        <v/>
      </c>
      <c r="E653" s="5" t="str">
        <f>IF($H653="","",INDEX('Detalle individual'!$C:$C,$H653))</f>
        <v/>
      </c>
      <c r="F653" s="5" t="str">
        <f>IF($H653="","",INDEX('Detalle individual'!$D:$D,$H653))</f>
        <v/>
      </c>
      <c r="G653" s="5" t="str">
        <f>IF($H653="","",INDEX('Detalle individual'!$F:$F,$H653))</f>
        <v/>
      </c>
      <c r="H653" t="str">
        <f>IFERROR(MATCH(SMALL(Cálculos!$AJ$5:$AJ$1000,649),Cálculos!$AJ$5:$AJ$1000,0)+4,"")</f>
        <v/>
      </c>
    </row>
    <row r="654">
      <c r="B654" s="5" t="str">
        <f>IF($H654="","",INDEX('Detalle individual'!$B:$B,$H654))</f>
        <v/>
      </c>
      <c r="C654" s="5" t="str">
        <f>IF($H654="","",INDEX('Detalle individual'!$A:$A,$H654))</f>
        <v/>
      </c>
      <c r="D654" s="5" t="str">
        <f>IF($H654="","",INDEX('Detalle individual'!$E:$E,$H654))</f>
        <v/>
      </c>
      <c r="E654" s="5" t="str">
        <f>IF($H654="","",INDEX('Detalle individual'!$C:$C,$H654))</f>
        <v/>
      </c>
      <c r="F654" s="5" t="str">
        <f>IF($H654="","",INDEX('Detalle individual'!$D:$D,$H654))</f>
        <v/>
      </c>
      <c r="G654" s="5" t="str">
        <f>IF($H654="","",INDEX('Detalle individual'!$F:$F,$H654))</f>
        <v/>
      </c>
      <c r="H654" t="str">
        <f>IFERROR(MATCH(SMALL(Cálculos!$AJ$5:$AJ$1000,650),Cálculos!$AJ$5:$AJ$1000,0)+4,"")</f>
        <v/>
      </c>
    </row>
    <row r="655">
      <c r="B655" s="5" t="str">
        <f>IF($H655="","",INDEX('Detalle individual'!$B:$B,$H655))</f>
        <v/>
      </c>
      <c r="C655" s="5" t="str">
        <f>IF($H655="","",INDEX('Detalle individual'!$A:$A,$H655))</f>
        <v/>
      </c>
      <c r="D655" s="5" t="str">
        <f>IF($H655="","",INDEX('Detalle individual'!$E:$E,$H655))</f>
        <v/>
      </c>
      <c r="E655" s="5" t="str">
        <f>IF($H655="","",INDEX('Detalle individual'!$C:$C,$H655))</f>
        <v/>
      </c>
      <c r="F655" s="5" t="str">
        <f>IF($H655="","",INDEX('Detalle individual'!$D:$D,$H655))</f>
        <v/>
      </c>
      <c r="G655" s="5" t="str">
        <f>IF($H655="","",INDEX('Detalle individual'!$F:$F,$H655))</f>
        <v/>
      </c>
      <c r="H655" t="str">
        <f>IFERROR(MATCH(SMALL(Cálculos!$AJ$5:$AJ$1000,651),Cálculos!$AJ$5:$AJ$1000,0)+4,"")</f>
        <v/>
      </c>
    </row>
    <row r="656">
      <c r="B656" s="5" t="str">
        <f>IF($H656="","",INDEX('Detalle individual'!$B:$B,$H656))</f>
        <v/>
      </c>
      <c r="C656" s="5" t="str">
        <f>IF($H656="","",INDEX('Detalle individual'!$A:$A,$H656))</f>
        <v/>
      </c>
      <c r="D656" s="5" t="str">
        <f>IF($H656="","",INDEX('Detalle individual'!$E:$E,$H656))</f>
        <v/>
      </c>
      <c r="E656" s="5" t="str">
        <f>IF($H656="","",INDEX('Detalle individual'!$C:$C,$H656))</f>
        <v/>
      </c>
      <c r="F656" s="5" t="str">
        <f>IF($H656="","",INDEX('Detalle individual'!$D:$D,$H656))</f>
        <v/>
      </c>
      <c r="G656" s="5" t="str">
        <f>IF($H656="","",INDEX('Detalle individual'!$F:$F,$H656))</f>
        <v/>
      </c>
      <c r="H656" t="str">
        <f>IFERROR(MATCH(SMALL(Cálculos!$AJ$5:$AJ$1000,652),Cálculos!$AJ$5:$AJ$1000,0)+4,"")</f>
        <v/>
      </c>
    </row>
    <row r="657">
      <c r="B657" s="5" t="str">
        <f>IF($H657="","",INDEX('Detalle individual'!$B:$B,$H657))</f>
        <v/>
      </c>
      <c r="C657" s="5" t="str">
        <f>IF($H657="","",INDEX('Detalle individual'!$A:$A,$H657))</f>
        <v/>
      </c>
      <c r="D657" s="5" t="str">
        <f>IF($H657="","",INDEX('Detalle individual'!$E:$E,$H657))</f>
        <v/>
      </c>
      <c r="E657" s="5" t="str">
        <f>IF($H657="","",INDEX('Detalle individual'!$C:$C,$H657))</f>
        <v/>
      </c>
      <c r="F657" s="5" t="str">
        <f>IF($H657="","",INDEX('Detalle individual'!$D:$D,$H657))</f>
        <v/>
      </c>
      <c r="G657" s="5" t="str">
        <f>IF($H657="","",INDEX('Detalle individual'!$F:$F,$H657))</f>
        <v/>
      </c>
      <c r="H657" t="str">
        <f>IFERROR(MATCH(SMALL(Cálculos!$AJ$5:$AJ$1000,653),Cálculos!$AJ$5:$AJ$1000,0)+4,"")</f>
        <v/>
      </c>
    </row>
    <row r="658">
      <c r="B658" s="5" t="str">
        <f>IF($H658="","",INDEX('Detalle individual'!$B:$B,$H658))</f>
        <v/>
      </c>
      <c r="C658" s="5" t="str">
        <f>IF($H658="","",INDEX('Detalle individual'!$A:$A,$H658))</f>
        <v/>
      </c>
      <c r="D658" s="5" t="str">
        <f>IF($H658="","",INDEX('Detalle individual'!$E:$E,$H658))</f>
        <v/>
      </c>
      <c r="E658" s="5" t="str">
        <f>IF($H658="","",INDEX('Detalle individual'!$C:$C,$H658))</f>
        <v/>
      </c>
      <c r="F658" s="5" t="str">
        <f>IF($H658="","",INDEX('Detalle individual'!$D:$D,$H658))</f>
        <v/>
      </c>
      <c r="G658" s="5" t="str">
        <f>IF($H658="","",INDEX('Detalle individual'!$F:$F,$H658))</f>
        <v/>
      </c>
      <c r="H658" t="str">
        <f>IFERROR(MATCH(SMALL(Cálculos!$AJ$5:$AJ$1000,654),Cálculos!$AJ$5:$AJ$1000,0)+4,"")</f>
        <v/>
      </c>
    </row>
    <row r="659">
      <c r="B659" s="5" t="str">
        <f>IF($H659="","",INDEX('Detalle individual'!$B:$B,$H659))</f>
        <v/>
      </c>
      <c r="C659" s="5" t="str">
        <f>IF($H659="","",INDEX('Detalle individual'!$A:$A,$H659))</f>
        <v/>
      </c>
      <c r="D659" s="5" t="str">
        <f>IF($H659="","",INDEX('Detalle individual'!$E:$E,$H659))</f>
        <v/>
      </c>
      <c r="E659" s="5" t="str">
        <f>IF($H659="","",INDEX('Detalle individual'!$C:$C,$H659))</f>
        <v/>
      </c>
      <c r="F659" s="5" t="str">
        <f>IF($H659="","",INDEX('Detalle individual'!$D:$D,$H659))</f>
        <v/>
      </c>
      <c r="G659" s="5" t="str">
        <f>IF($H659="","",INDEX('Detalle individual'!$F:$F,$H659))</f>
        <v/>
      </c>
      <c r="H659" t="str">
        <f>IFERROR(MATCH(SMALL(Cálculos!$AJ$5:$AJ$1000,655),Cálculos!$AJ$5:$AJ$1000,0)+4,"")</f>
        <v/>
      </c>
    </row>
    <row r="660">
      <c r="B660" s="5" t="str">
        <f>IF($H660="","",INDEX('Detalle individual'!$B:$B,$H660))</f>
        <v/>
      </c>
      <c r="C660" s="5" t="str">
        <f>IF($H660="","",INDEX('Detalle individual'!$A:$A,$H660))</f>
        <v/>
      </c>
      <c r="D660" s="5" t="str">
        <f>IF($H660="","",INDEX('Detalle individual'!$E:$E,$H660))</f>
        <v/>
      </c>
      <c r="E660" s="5" t="str">
        <f>IF($H660="","",INDEX('Detalle individual'!$C:$C,$H660))</f>
        <v/>
      </c>
      <c r="F660" s="5" t="str">
        <f>IF($H660="","",INDEX('Detalle individual'!$D:$D,$H660))</f>
        <v/>
      </c>
      <c r="G660" s="5" t="str">
        <f>IF($H660="","",INDEX('Detalle individual'!$F:$F,$H660))</f>
        <v/>
      </c>
      <c r="H660" t="str">
        <f>IFERROR(MATCH(SMALL(Cálculos!$AJ$5:$AJ$1000,656),Cálculos!$AJ$5:$AJ$1000,0)+4,"")</f>
        <v/>
      </c>
    </row>
    <row r="661">
      <c r="B661" s="5" t="str">
        <f>IF($H661="","",INDEX('Detalle individual'!$B:$B,$H661))</f>
        <v/>
      </c>
      <c r="C661" s="5" t="str">
        <f>IF($H661="","",INDEX('Detalle individual'!$A:$A,$H661))</f>
        <v/>
      </c>
      <c r="D661" s="5" t="str">
        <f>IF($H661="","",INDEX('Detalle individual'!$E:$E,$H661))</f>
        <v/>
      </c>
      <c r="E661" s="5" t="str">
        <f>IF($H661="","",INDEX('Detalle individual'!$C:$C,$H661))</f>
        <v/>
      </c>
      <c r="F661" s="5" t="str">
        <f>IF($H661="","",INDEX('Detalle individual'!$D:$D,$H661))</f>
        <v/>
      </c>
      <c r="G661" s="5" t="str">
        <f>IF($H661="","",INDEX('Detalle individual'!$F:$F,$H661))</f>
        <v/>
      </c>
      <c r="H661" t="str">
        <f>IFERROR(MATCH(SMALL(Cálculos!$AJ$5:$AJ$1000,657),Cálculos!$AJ$5:$AJ$1000,0)+4,"")</f>
        <v/>
      </c>
    </row>
    <row r="662">
      <c r="B662" s="5" t="str">
        <f>IF($H662="","",INDEX('Detalle individual'!$B:$B,$H662))</f>
        <v/>
      </c>
      <c r="C662" s="5" t="str">
        <f>IF($H662="","",INDEX('Detalle individual'!$A:$A,$H662))</f>
        <v/>
      </c>
      <c r="D662" s="5" t="str">
        <f>IF($H662="","",INDEX('Detalle individual'!$E:$E,$H662))</f>
        <v/>
      </c>
      <c r="E662" s="5" t="str">
        <f>IF($H662="","",INDEX('Detalle individual'!$C:$C,$H662))</f>
        <v/>
      </c>
      <c r="F662" s="5" t="str">
        <f>IF($H662="","",INDEX('Detalle individual'!$D:$D,$H662))</f>
        <v/>
      </c>
      <c r="G662" s="5" t="str">
        <f>IF($H662="","",INDEX('Detalle individual'!$F:$F,$H662))</f>
        <v/>
      </c>
      <c r="H662" t="str">
        <f>IFERROR(MATCH(SMALL(Cálculos!$AJ$5:$AJ$1000,658),Cálculos!$AJ$5:$AJ$1000,0)+4,"")</f>
        <v/>
      </c>
    </row>
    <row r="663">
      <c r="B663" s="5" t="str">
        <f>IF($H663="","",INDEX('Detalle individual'!$B:$B,$H663))</f>
        <v/>
      </c>
      <c r="C663" s="5" t="str">
        <f>IF($H663="","",INDEX('Detalle individual'!$A:$A,$H663))</f>
        <v/>
      </c>
      <c r="D663" s="5" t="str">
        <f>IF($H663="","",INDEX('Detalle individual'!$E:$E,$H663))</f>
        <v/>
      </c>
      <c r="E663" s="5" t="str">
        <f>IF($H663="","",INDEX('Detalle individual'!$C:$C,$H663))</f>
        <v/>
      </c>
      <c r="F663" s="5" t="str">
        <f>IF($H663="","",INDEX('Detalle individual'!$D:$D,$H663))</f>
        <v/>
      </c>
      <c r="G663" s="5" t="str">
        <f>IF($H663="","",INDEX('Detalle individual'!$F:$F,$H663))</f>
        <v/>
      </c>
      <c r="H663" t="str">
        <f>IFERROR(MATCH(SMALL(Cálculos!$AJ$5:$AJ$1000,659),Cálculos!$AJ$5:$AJ$1000,0)+4,"")</f>
        <v/>
      </c>
    </row>
    <row r="664">
      <c r="B664" s="5" t="str">
        <f>IF($H664="","",INDEX('Detalle individual'!$B:$B,$H664))</f>
        <v/>
      </c>
      <c r="C664" s="5" t="str">
        <f>IF($H664="","",INDEX('Detalle individual'!$A:$A,$H664))</f>
        <v/>
      </c>
      <c r="D664" s="5" t="str">
        <f>IF($H664="","",INDEX('Detalle individual'!$E:$E,$H664))</f>
        <v/>
      </c>
      <c r="E664" s="5" t="str">
        <f>IF($H664="","",INDEX('Detalle individual'!$C:$C,$H664))</f>
        <v/>
      </c>
      <c r="F664" s="5" t="str">
        <f>IF($H664="","",INDEX('Detalle individual'!$D:$D,$H664))</f>
        <v/>
      </c>
      <c r="G664" s="5" t="str">
        <f>IF($H664="","",INDEX('Detalle individual'!$F:$F,$H664))</f>
        <v/>
      </c>
      <c r="H664" t="str">
        <f>IFERROR(MATCH(SMALL(Cálculos!$AJ$5:$AJ$1000,660),Cálculos!$AJ$5:$AJ$1000,0)+4,"")</f>
        <v/>
      </c>
    </row>
    <row r="665">
      <c r="B665" s="5" t="str">
        <f>IF($H665="","",INDEX('Detalle individual'!$B:$B,$H665))</f>
        <v/>
      </c>
      <c r="C665" s="5" t="str">
        <f>IF($H665="","",INDEX('Detalle individual'!$A:$A,$H665))</f>
        <v/>
      </c>
      <c r="D665" s="5" t="str">
        <f>IF($H665="","",INDEX('Detalle individual'!$E:$E,$H665))</f>
        <v/>
      </c>
      <c r="E665" s="5" t="str">
        <f>IF($H665="","",INDEX('Detalle individual'!$C:$C,$H665))</f>
        <v/>
      </c>
      <c r="F665" s="5" t="str">
        <f>IF($H665="","",INDEX('Detalle individual'!$D:$D,$H665))</f>
        <v/>
      </c>
      <c r="G665" s="5" t="str">
        <f>IF($H665="","",INDEX('Detalle individual'!$F:$F,$H665))</f>
        <v/>
      </c>
      <c r="H665" t="str">
        <f>IFERROR(MATCH(SMALL(Cálculos!$AJ$5:$AJ$1000,661),Cálculos!$AJ$5:$AJ$1000,0)+4,"")</f>
        <v/>
      </c>
    </row>
    <row r="666">
      <c r="B666" s="5" t="str">
        <f>IF($H666="","",INDEX('Detalle individual'!$B:$B,$H666))</f>
        <v/>
      </c>
      <c r="C666" s="5" t="str">
        <f>IF($H666="","",INDEX('Detalle individual'!$A:$A,$H666))</f>
        <v/>
      </c>
      <c r="D666" s="5" t="str">
        <f>IF($H666="","",INDEX('Detalle individual'!$E:$E,$H666))</f>
        <v/>
      </c>
      <c r="E666" s="5" t="str">
        <f>IF($H666="","",INDEX('Detalle individual'!$C:$C,$H666))</f>
        <v/>
      </c>
      <c r="F666" s="5" t="str">
        <f>IF($H666="","",INDEX('Detalle individual'!$D:$D,$H666))</f>
        <v/>
      </c>
      <c r="G666" s="5" t="str">
        <f>IF($H666="","",INDEX('Detalle individual'!$F:$F,$H666))</f>
        <v/>
      </c>
      <c r="H666" t="str">
        <f>IFERROR(MATCH(SMALL(Cálculos!$AJ$5:$AJ$1000,662),Cálculos!$AJ$5:$AJ$1000,0)+4,"")</f>
        <v/>
      </c>
    </row>
    <row r="667">
      <c r="B667" s="5" t="str">
        <f>IF($H667="","",INDEX('Detalle individual'!$B:$B,$H667))</f>
        <v/>
      </c>
      <c r="C667" s="5" t="str">
        <f>IF($H667="","",INDEX('Detalle individual'!$A:$A,$H667))</f>
        <v/>
      </c>
      <c r="D667" s="5" t="str">
        <f>IF($H667="","",INDEX('Detalle individual'!$E:$E,$H667))</f>
        <v/>
      </c>
      <c r="E667" s="5" t="str">
        <f>IF($H667="","",INDEX('Detalle individual'!$C:$C,$H667))</f>
        <v/>
      </c>
      <c r="F667" s="5" t="str">
        <f>IF($H667="","",INDEX('Detalle individual'!$D:$D,$H667))</f>
        <v/>
      </c>
      <c r="G667" s="5" t="str">
        <f>IF($H667="","",INDEX('Detalle individual'!$F:$F,$H667))</f>
        <v/>
      </c>
      <c r="H667" t="str">
        <f>IFERROR(MATCH(SMALL(Cálculos!$AJ$5:$AJ$1000,663),Cálculos!$AJ$5:$AJ$1000,0)+4,"")</f>
        <v/>
      </c>
    </row>
    <row r="668">
      <c r="B668" s="5" t="str">
        <f>IF($H668="","",INDEX('Detalle individual'!$B:$B,$H668))</f>
        <v/>
      </c>
      <c r="C668" s="5" t="str">
        <f>IF($H668="","",INDEX('Detalle individual'!$A:$A,$H668))</f>
        <v/>
      </c>
      <c r="D668" s="5" t="str">
        <f>IF($H668="","",INDEX('Detalle individual'!$E:$E,$H668))</f>
        <v/>
      </c>
      <c r="E668" s="5" t="str">
        <f>IF($H668="","",INDEX('Detalle individual'!$C:$C,$H668))</f>
        <v/>
      </c>
      <c r="F668" s="5" t="str">
        <f>IF($H668="","",INDEX('Detalle individual'!$D:$D,$H668))</f>
        <v/>
      </c>
      <c r="G668" s="5" t="str">
        <f>IF($H668="","",INDEX('Detalle individual'!$F:$F,$H668))</f>
        <v/>
      </c>
      <c r="H668" t="str">
        <f>IFERROR(MATCH(SMALL(Cálculos!$AJ$5:$AJ$1000,664),Cálculos!$AJ$5:$AJ$1000,0)+4,"")</f>
        <v/>
      </c>
    </row>
    <row r="669">
      <c r="B669" s="5" t="str">
        <f>IF($H669="","",INDEX('Detalle individual'!$B:$B,$H669))</f>
        <v/>
      </c>
      <c r="C669" s="5" t="str">
        <f>IF($H669="","",INDEX('Detalle individual'!$A:$A,$H669))</f>
        <v/>
      </c>
      <c r="D669" s="5" t="str">
        <f>IF($H669="","",INDEX('Detalle individual'!$E:$E,$H669))</f>
        <v/>
      </c>
      <c r="E669" s="5" t="str">
        <f>IF($H669="","",INDEX('Detalle individual'!$C:$C,$H669))</f>
        <v/>
      </c>
      <c r="F669" s="5" t="str">
        <f>IF($H669="","",INDEX('Detalle individual'!$D:$D,$H669))</f>
        <v/>
      </c>
      <c r="G669" s="5" t="str">
        <f>IF($H669="","",INDEX('Detalle individual'!$F:$F,$H669))</f>
        <v/>
      </c>
      <c r="H669" t="str">
        <f>IFERROR(MATCH(SMALL(Cálculos!$AJ$5:$AJ$1000,665),Cálculos!$AJ$5:$AJ$1000,0)+4,"")</f>
        <v/>
      </c>
    </row>
    <row r="670">
      <c r="B670" s="5" t="str">
        <f>IF($H670="","",INDEX('Detalle individual'!$B:$B,$H670))</f>
        <v/>
      </c>
      <c r="C670" s="5" t="str">
        <f>IF($H670="","",INDEX('Detalle individual'!$A:$A,$H670))</f>
        <v/>
      </c>
      <c r="D670" s="5" t="str">
        <f>IF($H670="","",INDEX('Detalle individual'!$E:$E,$H670))</f>
        <v/>
      </c>
      <c r="E670" s="5" t="str">
        <f>IF($H670="","",INDEX('Detalle individual'!$C:$C,$H670))</f>
        <v/>
      </c>
      <c r="F670" s="5" t="str">
        <f>IF($H670="","",INDEX('Detalle individual'!$D:$D,$H670))</f>
        <v/>
      </c>
      <c r="G670" s="5" t="str">
        <f>IF($H670="","",INDEX('Detalle individual'!$F:$F,$H670))</f>
        <v/>
      </c>
      <c r="H670" t="str">
        <f>IFERROR(MATCH(SMALL(Cálculos!$AJ$5:$AJ$1000,666),Cálculos!$AJ$5:$AJ$1000,0)+4,"")</f>
        <v/>
      </c>
    </row>
    <row r="671">
      <c r="B671" s="5" t="str">
        <f>IF($H671="","",INDEX('Detalle individual'!$B:$B,$H671))</f>
        <v/>
      </c>
      <c r="C671" s="5" t="str">
        <f>IF($H671="","",INDEX('Detalle individual'!$A:$A,$H671))</f>
        <v/>
      </c>
      <c r="D671" s="5" t="str">
        <f>IF($H671="","",INDEX('Detalle individual'!$E:$E,$H671))</f>
        <v/>
      </c>
      <c r="E671" s="5" t="str">
        <f>IF($H671="","",INDEX('Detalle individual'!$C:$C,$H671))</f>
        <v/>
      </c>
      <c r="F671" s="5" t="str">
        <f>IF($H671="","",INDEX('Detalle individual'!$D:$D,$H671))</f>
        <v/>
      </c>
      <c r="G671" s="5" t="str">
        <f>IF($H671="","",INDEX('Detalle individual'!$F:$F,$H671))</f>
        <v/>
      </c>
      <c r="H671" t="str">
        <f>IFERROR(MATCH(SMALL(Cálculos!$AJ$5:$AJ$1000,667),Cálculos!$AJ$5:$AJ$1000,0)+4,"")</f>
        <v/>
      </c>
    </row>
    <row r="672">
      <c r="B672" s="5" t="str">
        <f>IF($H672="","",INDEX('Detalle individual'!$B:$B,$H672))</f>
        <v/>
      </c>
      <c r="C672" s="5" t="str">
        <f>IF($H672="","",INDEX('Detalle individual'!$A:$A,$H672))</f>
        <v/>
      </c>
      <c r="D672" s="5" t="str">
        <f>IF($H672="","",INDEX('Detalle individual'!$E:$E,$H672))</f>
        <v/>
      </c>
      <c r="E672" s="5" t="str">
        <f>IF($H672="","",INDEX('Detalle individual'!$C:$C,$H672))</f>
        <v/>
      </c>
      <c r="F672" s="5" t="str">
        <f>IF($H672="","",INDEX('Detalle individual'!$D:$D,$H672))</f>
        <v/>
      </c>
      <c r="G672" s="5" t="str">
        <f>IF($H672="","",INDEX('Detalle individual'!$F:$F,$H672))</f>
        <v/>
      </c>
      <c r="H672" t="str">
        <f>IFERROR(MATCH(SMALL(Cálculos!$AJ$5:$AJ$1000,668),Cálculos!$AJ$5:$AJ$1000,0)+4,"")</f>
        <v/>
      </c>
    </row>
    <row r="673">
      <c r="B673" s="5" t="str">
        <f>IF($H673="","",INDEX('Detalle individual'!$B:$B,$H673))</f>
        <v/>
      </c>
      <c r="C673" s="5" t="str">
        <f>IF($H673="","",INDEX('Detalle individual'!$A:$A,$H673))</f>
        <v/>
      </c>
      <c r="D673" s="5" t="str">
        <f>IF($H673="","",INDEX('Detalle individual'!$E:$E,$H673))</f>
        <v/>
      </c>
      <c r="E673" s="5" t="str">
        <f>IF($H673="","",INDEX('Detalle individual'!$C:$C,$H673))</f>
        <v/>
      </c>
      <c r="F673" s="5" t="str">
        <f>IF($H673="","",INDEX('Detalle individual'!$D:$D,$H673))</f>
        <v/>
      </c>
      <c r="G673" s="5" t="str">
        <f>IF($H673="","",INDEX('Detalle individual'!$F:$F,$H673))</f>
        <v/>
      </c>
      <c r="H673" t="str">
        <f>IFERROR(MATCH(SMALL(Cálculos!$AJ$5:$AJ$1000,669),Cálculos!$AJ$5:$AJ$1000,0)+4,"")</f>
        <v/>
      </c>
    </row>
    <row r="674">
      <c r="B674" s="5" t="str">
        <f>IF($H674="","",INDEX('Detalle individual'!$B:$B,$H674))</f>
        <v/>
      </c>
      <c r="C674" s="5" t="str">
        <f>IF($H674="","",INDEX('Detalle individual'!$A:$A,$H674))</f>
        <v/>
      </c>
      <c r="D674" s="5" t="str">
        <f>IF($H674="","",INDEX('Detalle individual'!$E:$E,$H674))</f>
        <v/>
      </c>
      <c r="E674" s="5" t="str">
        <f>IF($H674="","",INDEX('Detalle individual'!$C:$C,$H674))</f>
        <v/>
      </c>
      <c r="F674" s="5" t="str">
        <f>IF($H674="","",INDEX('Detalle individual'!$D:$D,$H674))</f>
        <v/>
      </c>
      <c r="G674" s="5" t="str">
        <f>IF($H674="","",INDEX('Detalle individual'!$F:$F,$H674))</f>
        <v/>
      </c>
      <c r="H674" t="str">
        <f>IFERROR(MATCH(SMALL(Cálculos!$AJ$5:$AJ$1000,670),Cálculos!$AJ$5:$AJ$1000,0)+4,"")</f>
        <v/>
      </c>
    </row>
    <row r="675">
      <c r="B675" s="5" t="str">
        <f>IF($H675="","",INDEX('Detalle individual'!$B:$B,$H675))</f>
        <v/>
      </c>
      <c r="C675" s="5" t="str">
        <f>IF($H675="","",INDEX('Detalle individual'!$A:$A,$H675))</f>
        <v/>
      </c>
      <c r="D675" s="5" t="str">
        <f>IF($H675="","",INDEX('Detalle individual'!$E:$E,$H675))</f>
        <v/>
      </c>
      <c r="E675" s="5" t="str">
        <f>IF($H675="","",INDEX('Detalle individual'!$C:$C,$H675))</f>
        <v/>
      </c>
      <c r="F675" s="5" t="str">
        <f>IF($H675="","",INDEX('Detalle individual'!$D:$D,$H675))</f>
        <v/>
      </c>
      <c r="G675" s="5" t="str">
        <f>IF($H675="","",INDEX('Detalle individual'!$F:$F,$H675))</f>
        <v/>
      </c>
      <c r="H675" t="str">
        <f>IFERROR(MATCH(SMALL(Cálculos!$AJ$5:$AJ$1000,671),Cálculos!$AJ$5:$AJ$1000,0)+4,"")</f>
        <v/>
      </c>
    </row>
    <row r="676">
      <c r="B676" s="5" t="str">
        <f>IF($H676="","",INDEX('Detalle individual'!$B:$B,$H676))</f>
        <v/>
      </c>
      <c r="C676" s="5" t="str">
        <f>IF($H676="","",INDEX('Detalle individual'!$A:$A,$H676))</f>
        <v/>
      </c>
      <c r="D676" s="5" t="str">
        <f>IF($H676="","",INDEX('Detalle individual'!$E:$E,$H676))</f>
        <v/>
      </c>
      <c r="E676" s="5" t="str">
        <f>IF($H676="","",INDEX('Detalle individual'!$C:$C,$H676))</f>
        <v/>
      </c>
      <c r="F676" s="5" t="str">
        <f>IF($H676="","",INDEX('Detalle individual'!$D:$D,$H676))</f>
        <v/>
      </c>
      <c r="G676" s="5" t="str">
        <f>IF($H676="","",INDEX('Detalle individual'!$F:$F,$H676))</f>
        <v/>
      </c>
      <c r="H676" t="str">
        <f>IFERROR(MATCH(SMALL(Cálculos!$AJ$5:$AJ$1000,672),Cálculos!$AJ$5:$AJ$1000,0)+4,"")</f>
        <v/>
      </c>
    </row>
    <row r="677">
      <c r="B677" s="5" t="str">
        <f>IF($H677="","",INDEX('Detalle individual'!$B:$B,$H677))</f>
        <v/>
      </c>
      <c r="C677" s="5" t="str">
        <f>IF($H677="","",INDEX('Detalle individual'!$A:$A,$H677))</f>
        <v/>
      </c>
      <c r="D677" s="5" t="str">
        <f>IF($H677="","",INDEX('Detalle individual'!$E:$E,$H677))</f>
        <v/>
      </c>
      <c r="E677" s="5" t="str">
        <f>IF($H677="","",INDEX('Detalle individual'!$C:$C,$H677))</f>
        <v/>
      </c>
      <c r="F677" s="5" t="str">
        <f>IF($H677="","",INDEX('Detalle individual'!$D:$D,$H677))</f>
        <v/>
      </c>
      <c r="G677" s="5" t="str">
        <f>IF($H677="","",INDEX('Detalle individual'!$F:$F,$H677))</f>
        <v/>
      </c>
      <c r="H677" t="str">
        <f>IFERROR(MATCH(SMALL(Cálculos!$AJ$5:$AJ$1000,673),Cálculos!$AJ$5:$AJ$1000,0)+4,"")</f>
        <v/>
      </c>
    </row>
    <row r="678">
      <c r="B678" s="5" t="str">
        <f>IF($H678="","",INDEX('Detalle individual'!$B:$B,$H678))</f>
        <v/>
      </c>
      <c r="C678" s="5" t="str">
        <f>IF($H678="","",INDEX('Detalle individual'!$A:$A,$H678))</f>
        <v/>
      </c>
      <c r="D678" s="5" t="str">
        <f>IF($H678="","",INDEX('Detalle individual'!$E:$E,$H678))</f>
        <v/>
      </c>
      <c r="E678" s="5" t="str">
        <f>IF($H678="","",INDEX('Detalle individual'!$C:$C,$H678))</f>
        <v/>
      </c>
      <c r="F678" s="5" t="str">
        <f>IF($H678="","",INDEX('Detalle individual'!$D:$D,$H678))</f>
        <v/>
      </c>
      <c r="G678" s="5" t="str">
        <f>IF($H678="","",INDEX('Detalle individual'!$F:$F,$H678))</f>
        <v/>
      </c>
      <c r="H678" t="str">
        <f>IFERROR(MATCH(SMALL(Cálculos!$AJ$5:$AJ$1000,674),Cálculos!$AJ$5:$AJ$1000,0)+4,"")</f>
        <v/>
      </c>
    </row>
    <row r="679">
      <c r="B679" s="5" t="str">
        <f>IF($H679="","",INDEX('Detalle individual'!$B:$B,$H679))</f>
        <v/>
      </c>
      <c r="C679" s="5" t="str">
        <f>IF($H679="","",INDEX('Detalle individual'!$A:$A,$H679))</f>
        <v/>
      </c>
      <c r="D679" s="5" t="str">
        <f>IF($H679="","",INDEX('Detalle individual'!$E:$E,$H679))</f>
        <v/>
      </c>
      <c r="E679" s="5" t="str">
        <f>IF($H679="","",INDEX('Detalle individual'!$C:$C,$H679))</f>
        <v/>
      </c>
      <c r="F679" s="5" t="str">
        <f>IF($H679="","",INDEX('Detalle individual'!$D:$D,$H679))</f>
        <v/>
      </c>
      <c r="G679" s="5" t="str">
        <f>IF($H679="","",INDEX('Detalle individual'!$F:$F,$H679))</f>
        <v/>
      </c>
      <c r="H679" t="str">
        <f>IFERROR(MATCH(SMALL(Cálculos!$AJ$5:$AJ$1000,675),Cálculos!$AJ$5:$AJ$1000,0)+4,"")</f>
        <v/>
      </c>
    </row>
    <row r="680">
      <c r="B680" s="5" t="str">
        <f>IF($H680="","",INDEX('Detalle individual'!$B:$B,$H680))</f>
        <v/>
      </c>
      <c r="C680" s="5" t="str">
        <f>IF($H680="","",INDEX('Detalle individual'!$A:$A,$H680))</f>
        <v/>
      </c>
      <c r="D680" s="5" t="str">
        <f>IF($H680="","",INDEX('Detalle individual'!$E:$E,$H680))</f>
        <v/>
      </c>
      <c r="E680" s="5" t="str">
        <f>IF($H680="","",INDEX('Detalle individual'!$C:$C,$H680))</f>
        <v/>
      </c>
      <c r="F680" s="5" t="str">
        <f>IF($H680="","",INDEX('Detalle individual'!$D:$D,$H680))</f>
        <v/>
      </c>
      <c r="G680" s="5" t="str">
        <f>IF($H680="","",INDEX('Detalle individual'!$F:$F,$H680))</f>
        <v/>
      </c>
      <c r="H680" t="str">
        <f>IFERROR(MATCH(SMALL(Cálculos!$AJ$5:$AJ$1000,676),Cálculos!$AJ$5:$AJ$1000,0)+4,"")</f>
        <v/>
      </c>
    </row>
    <row r="681">
      <c r="B681" s="5" t="str">
        <f>IF($H681="","",INDEX('Detalle individual'!$B:$B,$H681))</f>
        <v/>
      </c>
      <c r="C681" s="5" t="str">
        <f>IF($H681="","",INDEX('Detalle individual'!$A:$A,$H681))</f>
        <v/>
      </c>
      <c r="D681" s="5" t="str">
        <f>IF($H681="","",INDEX('Detalle individual'!$E:$E,$H681))</f>
        <v/>
      </c>
      <c r="E681" s="5" t="str">
        <f>IF($H681="","",INDEX('Detalle individual'!$C:$C,$H681))</f>
        <v/>
      </c>
      <c r="F681" s="5" t="str">
        <f>IF($H681="","",INDEX('Detalle individual'!$D:$D,$H681))</f>
        <v/>
      </c>
      <c r="G681" s="5" t="str">
        <f>IF($H681="","",INDEX('Detalle individual'!$F:$F,$H681))</f>
        <v/>
      </c>
      <c r="H681" t="str">
        <f>IFERROR(MATCH(SMALL(Cálculos!$AJ$5:$AJ$1000,677),Cálculos!$AJ$5:$AJ$1000,0)+4,"")</f>
        <v/>
      </c>
    </row>
    <row r="682">
      <c r="B682" s="5" t="str">
        <f>IF($H682="","",INDEX('Detalle individual'!$B:$B,$H682))</f>
        <v/>
      </c>
      <c r="C682" s="5" t="str">
        <f>IF($H682="","",INDEX('Detalle individual'!$A:$A,$H682))</f>
        <v/>
      </c>
      <c r="D682" s="5" t="str">
        <f>IF($H682="","",INDEX('Detalle individual'!$E:$E,$H682))</f>
        <v/>
      </c>
      <c r="E682" s="5" t="str">
        <f>IF($H682="","",INDEX('Detalle individual'!$C:$C,$H682))</f>
        <v/>
      </c>
      <c r="F682" s="5" t="str">
        <f>IF($H682="","",INDEX('Detalle individual'!$D:$D,$H682))</f>
        <v/>
      </c>
      <c r="G682" s="5" t="str">
        <f>IF($H682="","",INDEX('Detalle individual'!$F:$F,$H682))</f>
        <v/>
      </c>
      <c r="H682" t="str">
        <f>IFERROR(MATCH(SMALL(Cálculos!$AJ$5:$AJ$1000,678),Cálculos!$AJ$5:$AJ$1000,0)+4,"")</f>
        <v/>
      </c>
    </row>
    <row r="683">
      <c r="B683" s="5" t="str">
        <f>IF($H683="","",INDEX('Detalle individual'!$B:$B,$H683))</f>
        <v/>
      </c>
      <c r="C683" s="5" t="str">
        <f>IF($H683="","",INDEX('Detalle individual'!$A:$A,$H683))</f>
        <v/>
      </c>
      <c r="D683" s="5" t="str">
        <f>IF($H683="","",INDEX('Detalle individual'!$E:$E,$H683))</f>
        <v/>
      </c>
      <c r="E683" s="5" t="str">
        <f>IF($H683="","",INDEX('Detalle individual'!$C:$C,$H683))</f>
        <v/>
      </c>
      <c r="F683" s="5" t="str">
        <f>IF($H683="","",INDEX('Detalle individual'!$D:$D,$H683))</f>
        <v/>
      </c>
      <c r="G683" s="5" t="str">
        <f>IF($H683="","",INDEX('Detalle individual'!$F:$F,$H683))</f>
        <v/>
      </c>
      <c r="H683" t="str">
        <f>IFERROR(MATCH(SMALL(Cálculos!$AJ$5:$AJ$1000,679),Cálculos!$AJ$5:$AJ$1000,0)+4,"")</f>
        <v/>
      </c>
    </row>
    <row r="684">
      <c r="B684" s="5" t="str">
        <f>IF($H684="","",INDEX('Detalle individual'!$B:$B,$H684))</f>
        <v/>
      </c>
      <c r="C684" s="5" t="str">
        <f>IF($H684="","",INDEX('Detalle individual'!$A:$A,$H684))</f>
        <v/>
      </c>
      <c r="D684" s="5" t="str">
        <f>IF($H684="","",INDEX('Detalle individual'!$E:$E,$H684))</f>
        <v/>
      </c>
      <c r="E684" s="5" t="str">
        <f>IF($H684="","",INDEX('Detalle individual'!$C:$C,$H684))</f>
        <v/>
      </c>
      <c r="F684" s="5" t="str">
        <f>IF($H684="","",INDEX('Detalle individual'!$D:$D,$H684))</f>
        <v/>
      </c>
      <c r="G684" s="5" t="str">
        <f>IF($H684="","",INDEX('Detalle individual'!$F:$F,$H684))</f>
        <v/>
      </c>
      <c r="H684" t="str">
        <f>IFERROR(MATCH(SMALL(Cálculos!$AJ$5:$AJ$1000,680),Cálculos!$AJ$5:$AJ$1000,0)+4,"")</f>
        <v/>
      </c>
    </row>
    <row r="685">
      <c r="B685" s="5" t="str">
        <f>IF($H685="","",INDEX('Detalle individual'!$B:$B,$H685))</f>
        <v/>
      </c>
      <c r="C685" s="5" t="str">
        <f>IF($H685="","",INDEX('Detalle individual'!$A:$A,$H685))</f>
        <v/>
      </c>
      <c r="D685" s="5" t="str">
        <f>IF($H685="","",INDEX('Detalle individual'!$E:$E,$H685))</f>
        <v/>
      </c>
      <c r="E685" s="5" t="str">
        <f>IF($H685="","",INDEX('Detalle individual'!$C:$C,$H685))</f>
        <v/>
      </c>
      <c r="F685" s="5" t="str">
        <f>IF($H685="","",INDEX('Detalle individual'!$D:$D,$H685))</f>
        <v/>
      </c>
      <c r="G685" s="5" t="str">
        <f>IF($H685="","",INDEX('Detalle individual'!$F:$F,$H685))</f>
        <v/>
      </c>
      <c r="H685" t="str">
        <f>IFERROR(MATCH(SMALL(Cálculos!$AJ$5:$AJ$1000,681),Cálculos!$AJ$5:$AJ$1000,0)+4,"")</f>
        <v/>
      </c>
    </row>
    <row r="686">
      <c r="B686" s="5" t="str">
        <f>IF($H686="","",INDEX('Detalle individual'!$B:$B,$H686))</f>
        <v/>
      </c>
      <c r="C686" s="5" t="str">
        <f>IF($H686="","",INDEX('Detalle individual'!$A:$A,$H686))</f>
        <v/>
      </c>
      <c r="D686" s="5" t="str">
        <f>IF($H686="","",INDEX('Detalle individual'!$E:$E,$H686))</f>
        <v/>
      </c>
      <c r="E686" s="5" t="str">
        <f>IF($H686="","",INDEX('Detalle individual'!$C:$C,$H686))</f>
        <v/>
      </c>
      <c r="F686" s="5" t="str">
        <f>IF($H686="","",INDEX('Detalle individual'!$D:$D,$H686))</f>
        <v/>
      </c>
      <c r="G686" s="5" t="str">
        <f>IF($H686="","",INDEX('Detalle individual'!$F:$F,$H686))</f>
        <v/>
      </c>
      <c r="H686" t="str">
        <f>IFERROR(MATCH(SMALL(Cálculos!$AJ$5:$AJ$1000,682),Cálculos!$AJ$5:$AJ$1000,0)+4,"")</f>
        <v/>
      </c>
    </row>
    <row r="687">
      <c r="B687" s="5" t="str">
        <f>IF($H687="","",INDEX('Detalle individual'!$B:$B,$H687))</f>
        <v/>
      </c>
      <c r="C687" s="5" t="str">
        <f>IF($H687="","",INDEX('Detalle individual'!$A:$A,$H687))</f>
        <v/>
      </c>
      <c r="D687" s="5" t="str">
        <f>IF($H687="","",INDEX('Detalle individual'!$E:$E,$H687))</f>
        <v/>
      </c>
      <c r="E687" s="5" t="str">
        <f>IF($H687="","",INDEX('Detalle individual'!$C:$C,$H687))</f>
        <v/>
      </c>
      <c r="F687" s="5" t="str">
        <f>IF($H687="","",INDEX('Detalle individual'!$D:$D,$H687))</f>
        <v/>
      </c>
      <c r="G687" s="5" t="str">
        <f>IF($H687="","",INDEX('Detalle individual'!$F:$F,$H687))</f>
        <v/>
      </c>
      <c r="H687" t="str">
        <f>IFERROR(MATCH(SMALL(Cálculos!$AJ$5:$AJ$1000,683),Cálculos!$AJ$5:$AJ$1000,0)+4,"")</f>
        <v/>
      </c>
    </row>
    <row r="688">
      <c r="B688" s="5" t="str">
        <f>IF($H688="","",INDEX('Detalle individual'!$B:$B,$H688))</f>
        <v/>
      </c>
      <c r="C688" s="5" t="str">
        <f>IF($H688="","",INDEX('Detalle individual'!$A:$A,$H688))</f>
        <v/>
      </c>
      <c r="D688" s="5" t="str">
        <f>IF($H688="","",INDEX('Detalle individual'!$E:$E,$H688))</f>
        <v/>
      </c>
      <c r="E688" s="5" t="str">
        <f>IF($H688="","",INDEX('Detalle individual'!$C:$C,$H688))</f>
        <v/>
      </c>
      <c r="F688" s="5" t="str">
        <f>IF($H688="","",INDEX('Detalle individual'!$D:$D,$H688))</f>
        <v/>
      </c>
      <c r="G688" s="5" t="str">
        <f>IF($H688="","",INDEX('Detalle individual'!$F:$F,$H688))</f>
        <v/>
      </c>
      <c r="H688" t="str">
        <f>IFERROR(MATCH(SMALL(Cálculos!$AJ$5:$AJ$1000,684),Cálculos!$AJ$5:$AJ$1000,0)+4,"")</f>
        <v/>
      </c>
    </row>
    <row r="689">
      <c r="B689" s="5" t="str">
        <f>IF($H689="","",INDEX('Detalle individual'!$B:$B,$H689))</f>
        <v/>
      </c>
      <c r="C689" s="5" t="str">
        <f>IF($H689="","",INDEX('Detalle individual'!$A:$A,$H689))</f>
        <v/>
      </c>
      <c r="D689" s="5" t="str">
        <f>IF($H689="","",INDEX('Detalle individual'!$E:$E,$H689))</f>
        <v/>
      </c>
      <c r="E689" s="5" t="str">
        <f>IF($H689="","",INDEX('Detalle individual'!$C:$C,$H689))</f>
        <v/>
      </c>
      <c r="F689" s="5" t="str">
        <f>IF($H689="","",INDEX('Detalle individual'!$D:$D,$H689))</f>
        <v/>
      </c>
      <c r="G689" s="5" t="str">
        <f>IF($H689="","",INDEX('Detalle individual'!$F:$F,$H689))</f>
        <v/>
      </c>
      <c r="H689" t="str">
        <f>IFERROR(MATCH(SMALL(Cálculos!$AJ$5:$AJ$1000,685),Cálculos!$AJ$5:$AJ$1000,0)+4,"")</f>
        <v/>
      </c>
    </row>
    <row r="690">
      <c r="B690" s="5" t="str">
        <f>IF($H690="","",INDEX('Detalle individual'!$B:$B,$H690))</f>
        <v/>
      </c>
      <c r="C690" s="5" t="str">
        <f>IF($H690="","",INDEX('Detalle individual'!$A:$A,$H690))</f>
        <v/>
      </c>
      <c r="D690" s="5" t="str">
        <f>IF($H690="","",INDEX('Detalle individual'!$E:$E,$H690))</f>
        <v/>
      </c>
      <c r="E690" s="5" t="str">
        <f>IF($H690="","",INDEX('Detalle individual'!$C:$C,$H690))</f>
        <v/>
      </c>
      <c r="F690" s="5" t="str">
        <f>IF($H690="","",INDEX('Detalle individual'!$D:$D,$H690))</f>
        <v/>
      </c>
      <c r="G690" s="5" t="str">
        <f>IF($H690="","",INDEX('Detalle individual'!$F:$F,$H690))</f>
        <v/>
      </c>
      <c r="H690" t="str">
        <f>IFERROR(MATCH(SMALL(Cálculos!$AJ$5:$AJ$1000,686),Cálculos!$AJ$5:$AJ$1000,0)+4,"")</f>
        <v/>
      </c>
    </row>
    <row r="691">
      <c r="B691" s="5" t="str">
        <f>IF($H691="","",INDEX('Detalle individual'!$B:$B,$H691))</f>
        <v/>
      </c>
      <c r="C691" s="5" t="str">
        <f>IF($H691="","",INDEX('Detalle individual'!$A:$A,$H691))</f>
        <v/>
      </c>
      <c r="D691" s="5" t="str">
        <f>IF($H691="","",INDEX('Detalle individual'!$E:$E,$H691))</f>
        <v/>
      </c>
      <c r="E691" s="5" t="str">
        <f>IF($H691="","",INDEX('Detalle individual'!$C:$C,$H691))</f>
        <v/>
      </c>
      <c r="F691" s="5" t="str">
        <f>IF($H691="","",INDEX('Detalle individual'!$D:$D,$H691))</f>
        <v/>
      </c>
      <c r="G691" s="5" t="str">
        <f>IF($H691="","",INDEX('Detalle individual'!$F:$F,$H691))</f>
        <v/>
      </c>
      <c r="H691" t="str">
        <f>IFERROR(MATCH(SMALL(Cálculos!$AJ$5:$AJ$1000,687),Cálculos!$AJ$5:$AJ$1000,0)+4,"")</f>
        <v/>
      </c>
    </row>
    <row r="692">
      <c r="B692" s="5" t="str">
        <f>IF($H692="","",INDEX('Detalle individual'!$B:$B,$H692))</f>
        <v/>
      </c>
      <c r="C692" s="5" t="str">
        <f>IF($H692="","",INDEX('Detalle individual'!$A:$A,$H692))</f>
        <v/>
      </c>
      <c r="D692" s="5" t="str">
        <f>IF($H692="","",INDEX('Detalle individual'!$E:$E,$H692))</f>
        <v/>
      </c>
      <c r="E692" s="5" t="str">
        <f>IF($H692="","",INDEX('Detalle individual'!$C:$C,$H692))</f>
        <v/>
      </c>
      <c r="F692" s="5" t="str">
        <f>IF($H692="","",INDEX('Detalle individual'!$D:$D,$H692))</f>
        <v/>
      </c>
      <c r="G692" s="5" t="str">
        <f>IF($H692="","",INDEX('Detalle individual'!$F:$F,$H692))</f>
        <v/>
      </c>
      <c r="H692" t="str">
        <f>IFERROR(MATCH(SMALL(Cálculos!$AJ$5:$AJ$1000,688),Cálculos!$AJ$5:$AJ$1000,0)+4,"")</f>
        <v/>
      </c>
    </row>
    <row r="693">
      <c r="B693" s="5" t="str">
        <f>IF($H693="","",INDEX('Detalle individual'!$B:$B,$H693))</f>
        <v/>
      </c>
      <c r="C693" s="5" t="str">
        <f>IF($H693="","",INDEX('Detalle individual'!$A:$A,$H693))</f>
        <v/>
      </c>
      <c r="D693" s="5" t="str">
        <f>IF($H693="","",INDEX('Detalle individual'!$E:$E,$H693))</f>
        <v/>
      </c>
      <c r="E693" s="5" t="str">
        <f>IF($H693="","",INDEX('Detalle individual'!$C:$C,$H693))</f>
        <v/>
      </c>
      <c r="F693" s="5" t="str">
        <f>IF($H693="","",INDEX('Detalle individual'!$D:$D,$H693))</f>
        <v/>
      </c>
      <c r="G693" s="5" t="str">
        <f>IF($H693="","",INDEX('Detalle individual'!$F:$F,$H693))</f>
        <v/>
      </c>
      <c r="H693" t="str">
        <f>IFERROR(MATCH(SMALL(Cálculos!$AJ$5:$AJ$1000,689),Cálculos!$AJ$5:$AJ$1000,0)+4,"")</f>
        <v/>
      </c>
    </row>
    <row r="694">
      <c r="B694" s="5" t="str">
        <f>IF($H694="","",INDEX('Detalle individual'!$B:$B,$H694))</f>
        <v/>
      </c>
      <c r="C694" s="5" t="str">
        <f>IF($H694="","",INDEX('Detalle individual'!$A:$A,$H694))</f>
        <v/>
      </c>
      <c r="D694" s="5" t="str">
        <f>IF($H694="","",INDEX('Detalle individual'!$E:$E,$H694))</f>
        <v/>
      </c>
      <c r="E694" s="5" t="str">
        <f>IF($H694="","",INDEX('Detalle individual'!$C:$C,$H694))</f>
        <v/>
      </c>
      <c r="F694" s="5" t="str">
        <f>IF($H694="","",INDEX('Detalle individual'!$D:$D,$H694))</f>
        <v/>
      </c>
      <c r="G694" s="5" t="str">
        <f>IF($H694="","",INDEX('Detalle individual'!$F:$F,$H694))</f>
        <v/>
      </c>
      <c r="H694" t="str">
        <f>IFERROR(MATCH(SMALL(Cálculos!$AJ$5:$AJ$1000,690),Cálculos!$AJ$5:$AJ$1000,0)+4,"")</f>
        <v/>
      </c>
    </row>
    <row r="695">
      <c r="B695" s="5" t="str">
        <f>IF($H695="","",INDEX('Detalle individual'!$B:$B,$H695))</f>
        <v/>
      </c>
      <c r="C695" s="5" t="str">
        <f>IF($H695="","",INDEX('Detalle individual'!$A:$A,$H695))</f>
        <v/>
      </c>
      <c r="D695" s="5" t="str">
        <f>IF($H695="","",INDEX('Detalle individual'!$E:$E,$H695))</f>
        <v/>
      </c>
      <c r="E695" s="5" t="str">
        <f>IF($H695="","",INDEX('Detalle individual'!$C:$C,$H695))</f>
        <v/>
      </c>
      <c r="F695" s="5" t="str">
        <f>IF($H695="","",INDEX('Detalle individual'!$D:$D,$H695))</f>
        <v/>
      </c>
      <c r="G695" s="5" t="str">
        <f>IF($H695="","",INDEX('Detalle individual'!$F:$F,$H695))</f>
        <v/>
      </c>
      <c r="H695" t="str">
        <f>IFERROR(MATCH(SMALL(Cálculos!$AJ$5:$AJ$1000,691),Cálculos!$AJ$5:$AJ$1000,0)+4,"")</f>
        <v/>
      </c>
    </row>
    <row r="696">
      <c r="B696" s="5" t="str">
        <f>IF($H696="","",INDEX('Detalle individual'!$B:$B,$H696))</f>
        <v/>
      </c>
      <c r="C696" s="5" t="str">
        <f>IF($H696="","",INDEX('Detalle individual'!$A:$A,$H696))</f>
        <v/>
      </c>
      <c r="D696" s="5" t="str">
        <f>IF($H696="","",INDEX('Detalle individual'!$E:$E,$H696))</f>
        <v/>
      </c>
      <c r="E696" s="5" t="str">
        <f>IF($H696="","",INDEX('Detalle individual'!$C:$C,$H696))</f>
        <v/>
      </c>
      <c r="F696" s="5" t="str">
        <f>IF($H696="","",INDEX('Detalle individual'!$D:$D,$H696))</f>
        <v/>
      </c>
      <c r="G696" s="5" t="str">
        <f>IF($H696="","",INDEX('Detalle individual'!$F:$F,$H696))</f>
        <v/>
      </c>
      <c r="H696" t="str">
        <f>IFERROR(MATCH(SMALL(Cálculos!$AJ$5:$AJ$1000,692),Cálculos!$AJ$5:$AJ$1000,0)+4,"")</f>
        <v/>
      </c>
    </row>
    <row r="697">
      <c r="B697" s="5" t="str">
        <f>IF($H697="","",INDEX('Detalle individual'!$B:$B,$H697))</f>
        <v/>
      </c>
      <c r="C697" s="5" t="str">
        <f>IF($H697="","",INDEX('Detalle individual'!$A:$A,$H697))</f>
        <v/>
      </c>
      <c r="D697" s="5" t="str">
        <f>IF($H697="","",INDEX('Detalle individual'!$E:$E,$H697))</f>
        <v/>
      </c>
      <c r="E697" s="5" t="str">
        <f>IF($H697="","",INDEX('Detalle individual'!$C:$C,$H697))</f>
        <v/>
      </c>
      <c r="F697" s="5" t="str">
        <f>IF($H697="","",INDEX('Detalle individual'!$D:$D,$H697))</f>
        <v/>
      </c>
      <c r="G697" s="5" t="str">
        <f>IF($H697="","",INDEX('Detalle individual'!$F:$F,$H697))</f>
        <v/>
      </c>
      <c r="H697" t="str">
        <f>IFERROR(MATCH(SMALL(Cálculos!$AJ$5:$AJ$1000,693),Cálculos!$AJ$5:$AJ$1000,0)+4,"")</f>
        <v/>
      </c>
    </row>
    <row r="698">
      <c r="B698" s="5" t="str">
        <f>IF($H698="","",INDEX('Detalle individual'!$B:$B,$H698))</f>
        <v/>
      </c>
      <c r="C698" s="5" t="str">
        <f>IF($H698="","",INDEX('Detalle individual'!$A:$A,$H698))</f>
        <v/>
      </c>
      <c r="D698" s="5" t="str">
        <f>IF($H698="","",INDEX('Detalle individual'!$E:$E,$H698))</f>
        <v/>
      </c>
      <c r="E698" s="5" t="str">
        <f>IF($H698="","",INDEX('Detalle individual'!$C:$C,$H698))</f>
        <v/>
      </c>
      <c r="F698" s="5" t="str">
        <f>IF($H698="","",INDEX('Detalle individual'!$D:$D,$H698))</f>
        <v/>
      </c>
      <c r="G698" s="5" t="str">
        <f>IF($H698="","",INDEX('Detalle individual'!$F:$F,$H698))</f>
        <v/>
      </c>
      <c r="H698" t="str">
        <f>IFERROR(MATCH(SMALL(Cálculos!$AJ$5:$AJ$1000,694),Cálculos!$AJ$5:$AJ$1000,0)+4,"")</f>
        <v/>
      </c>
    </row>
    <row r="699">
      <c r="B699" s="5" t="str">
        <f>IF($H699="","",INDEX('Detalle individual'!$B:$B,$H699))</f>
        <v/>
      </c>
      <c r="C699" s="5" t="str">
        <f>IF($H699="","",INDEX('Detalle individual'!$A:$A,$H699))</f>
        <v/>
      </c>
      <c r="D699" s="5" t="str">
        <f>IF($H699="","",INDEX('Detalle individual'!$E:$E,$H699))</f>
        <v/>
      </c>
      <c r="E699" s="5" t="str">
        <f>IF($H699="","",INDEX('Detalle individual'!$C:$C,$H699))</f>
        <v/>
      </c>
      <c r="F699" s="5" t="str">
        <f>IF($H699="","",INDEX('Detalle individual'!$D:$D,$H699))</f>
        <v/>
      </c>
      <c r="G699" s="5" t="str">
        <f>IF($H699="","",INDEX('Detalle individual'!$F:$F,$H699))</f>
        <v/>
      </c>
      <c r="H699" t="str">
        <f>IFERROR(MATCH(SMALL(Cálculos!$AJ$5:$AJ$1000,695),Cálculos!$AJ$5:$AJ$1000,0)+4,"")</f>
        <v/>
      </c>
    </row>
    <row r="700">
      <c r="B700" s="5" t="str">
        <f>IF($H700="","",INDEX('Detalle individual'!$B:$B,$H700))</f>
        <v/>
      </c>
      <c r="C700" s="5" t="str">
        <f>IF($H700="","",INDEX('Detalle individual'!$A:$A,$H700))</f>
        <v/>
      </c>
      <c r="D700" s="5" t="str">
        <f>IF($H700="","",INDEX('Detalle individual'!$E:$E,$H700))</f>
        <v/>
      </c>
      <c r="E700" s="5" t="str">
        <f>IF($H700="","",INDEX('Detalle individual'!$C:$C,$H700))</f>
        <v/>
      </c>
      <c r="F700" s="5" t="str">
        <f>IF($H700="","",INDEX('Detalle individual'!$D:$D,$H700))</f>
        <v/>
      </c>
      <c r="G700" s="5" t="str">
        <f>IF($H700="","",INDEX('Detalle individual'!$F:$F,$H700))</f>
        <v/>
      </c>
      <c r="H700" t="str">
        <f>IFERROR(MATCH(SMALL(Cálculos!$AJ$5:$AJ$1000,696),Cálculos!$AJ$5:$AJ$1000,0)+4,"")</f>
        <v/>
      </c>
    </row>
    <row r="701">
      <c r="B701" s="5" t="str">
        <f>IF($H701="","",INDEX('Detalle individual'!$B:$B,$H701))</f>
        <v/>
      </c>
      <c r="C701" s="5" t="str">
        <f>IF($H701="","",INDEX('Detalle individual'!$A:$A,$H701))</f>
        <v/>
      </c>
      <c r="D701" s="5" t="str">
        <f>IF($H701="","",INDEX('Detalle individual'!$E:$E,$H701))</f>
        <v/>
      </c>
      <c r="E701" s="5" t="str">
        <f>IF($H701="","",INDEX('Detalle individual'!$C:$C,$H701))</f>
        <v/>
      </c>
      <c r="F701" s="5" t="str">
        <f>IF($H701="","",INDEX('Detalle individual'!$D:$D,$H701))</f>
        <v/>
      </c>
      <c r="G701" s="5" t="str">
        <f>IF($H701="","",INDEX('Detalle individual'!$F:$F,$H701))</f>
        <v/>
      </c>
      <c r="H701" t="str">
        <f>IFERROR(MATCH(SMALL(Cálculos!$AJ$5:$AJ$1000,697),Cálculos!$AJ$5:$AJ$1000,0)+4,"")</f>
        <v/>
      </c>
    </row>
    <row r="702">
      <c r="B702" s="5" t="str">
        <f>IF($H702="","",INDEX('Detalle individual'!$B:$B,$H702))</f>
        <v/>
      </c>
      <c r="C702" s="5" t="str">
        <f>IF($H702="","",INDEX('Detalle individual'!$A:$A,$H702))</f>
        <v/>
      </c>
      <c r="D702" s="5" t="str">
        <f>IF($H702="","",INDEX('Detalle individual'!$E:$E,$H702))</f>
        <v/>
      </c>
      <c r="E702" s="5" t="str">
        <f>IF($H702="","",INDEX('Detalle individual'!$C:$C,$H702))</f>
        <v/>
      </c>
      <c r="F702" s="5" t="str">
        <f>IF($H702="","",INDEX('Detalle individual'!$D:$D,$H702))</f>
        <v/>
      </c>
      <c r="G702" s="5" t="str">
        <f>IF($H702="","",INDEX('Detalle individual'!$F:$F,$H702))</f>
        <v/>
      </c>
      <c r="H702" t="str">
        <f>IFERROR(MATCH(SMALL(Cálculos!$AJ$5:$AJ$1000,698),Cálculos!$AJ$5:$AJ$1000,0)+4,"")</f>
        <v/>
      </c>
    </row>
    <row r="703">
      <c r="B703" s="5" t="str">
        <f>IF($H703="","",INDEX('Detalle individual'!$B:$B,$H703))</f>
        <v/>
      </c>
      <c r="C703" s="5" t="str">
        <f>IF($H703="","",INDEX('Detalle individual'!$A:$A,$H703))</f>
        <v/>
      </c>
      <c r="D703" s="5" t="str">
        <f>IF($H703="","",INDEX('Detalle individual'!$E:$E,$H703))</f>
        <v/>
      </c>
      <c r="E703" s="5" t="str">
        <f>IF($H703="","",INDEX('Detalle individual'!$C:$C,$H703))</f>
        <v/>
      </c>
      <c r="F703" s="5" t="str">
        <f>IF($H703="","",INDEX('Detalle individual'!$D:$D,$H703))</f>
        <v/>
      </c>
      <c r="G703" s="5" t="str">
        <f>IF($H703="","",INDEX('Detalle individual'!$F:$F,$H703))</f>
        <v/>
      </c>
      <c r="H703" t="str">
        <f>IFERROR(MATCH(SMALL(Cálculos!$AJ$5:$AJ$1000,699),Cálculos!$AJ$5:$AJ$1000,0)+4,"")</f>
        <v/>
      </c>
    </row>
    <row r="704">
      <c r="B704" s="5" t="str">
        <f>IF($H704="","",INDEX('Detalle individual'!$B:$B,$H704))</f>
        <v/>
      </c>
      <c r="C704" s="5" t="str">
        <f>IF($H704="","",INDEX('Detalle individual'!$A:$A,$H704))</f>
        <v/>
      </c>
      <c r="D704" s="5" t="str">
        <f>IF($H704="","",INDEX('Detalle individual'!$E:$E,$H704))</f>
        <v/>
      </c>
      <c r="E704" s="5" t="str">
        <f>IF($H704="","",INDEX('Detalle individual'!$C:$C,$H704))</f>
        <v/>
      </c>
      <c r="F704" s="5" t="str">
        <f>IF($H704="","",INDEX('Detalle individual'!$D:$D,$H704))</f>
        <v/>
      </c>
      <c r="G704" s="5" t="str">
        <f>IF($H704="","",INDEX('Detalle individual'!$F:$F,$H704))</f>
        <v/>
      </c>
      <c r="H704" t="str">
        <f>IFERROR(MATCH(SMALL(Cálculos!$AJ$5:$AJ$1000,700),Cálculos!$AJ$5:$AJ$1000,0)+4,"")</f>
        <v/>
      </c>
    </row>
    <row r="705">
      <c r="B705" s="5" t="str">
        <f>IF($H705="","",INDEX('Detalle individual'!$B:$B,$H705))</f>
        <v/>
      </c>
      <c r="C705" s="5" t="str">
        <f>IF($H705="","",INDEX('Detalle individual'!$A:$A,$H705))</f>
        <v/>
      </c>
      <c r="D705" s="5" t="str">
        <f>IF($H705="","",INDEX('Detalle individual'!$E:$E,$H705))</f>
        <v/>
      </c>
      <c r="E705" s="5" t="str">
        <f>IF($H705="","",INDEX('Detalle individual'!$C:$C,$H705))</f>
        <v/>
      </c>
      <c r="F705" s="5" t="str">
        <f>IF($H705="","",INDEX('Detalle individual'!$D:$D,$H705))</f>
        <v/>
      </c>
      <c r="G705" s="5" t="str">
        <f>IF($H705="","",INDEX('Detalle individual'!$F:$F,$H705))</f>
        <v/>
      </c>
      <c r="H705" t="str">
        <f>IFERROR(MATCH(SMALL(Cálculos!$AJ$5:$AJ$1000,701),Cálculos!$AJ$5:$AJ$1000,0)+4,"")</f>
        <v/>
      </c>
    </row>
    <row r="706">
      <c r="B706" s="5" t="str">
        <f>IF($H706="","",INDEX('Detalle individual'!$B:$B,$H706))</f>
        <v/>
      </c>
      <c r="C706" s="5" t="str">
        <f>IF($H706="","",INDEX('Detalle individual'!$A:$A,$H706))</f>
        <v/>
      </c>
      <c r="D706" s="5" t="str">
        <f>IF($H706="","",INDEX('Detalle individual'!$E:$E,$H706))</f>
        <v/>
      </c>
      <c r="E706" s="5" t="str">
        <f>IF($H706="","",INDEX('Detalle individual'!$C:$C,$H706))</f>
        <v/>
      </c>
      <c r="F706" s="5" t="str">
        <f>IF($H706="","",INDEX('Detalle individual'!$D:$D,$H706))</f>
        <v/>
      </c>
      <c r="G706" s="5" t="str">
        <f>IF($H706="","",INDEX('Detalle individual'!$F:$F,$H706))</f>
        <v/>
      </c>
      <c r="H706" t="str">
        <f>IFERROR(MATCH(SMALL(Cálculos!$AJ$5:$AJ$1000,702),Cálculos!$AJ$5:$AJ$1000,0)+4,"")</f>
        <v/>
      </c>
    </row>
    <row r="707">
      <c r="B707" s="5" t="str">
        <f>IF($H707="","",INDEX('Detalle individual'!$B:$B,$H707))</f>
        <v/>
      </c>
      <c r="C707" s="5" t="str">
        <f>IF($H707="","",INDEX('Detalle individual'!$A:$A,$H707))</f>
        <v/>
      </c>
      <c r="D707" s="5" t="str">
        <f>IF($H707="","",INDEX('Detalle individual'!$E:$E,$H707))</f>
        <v/>
      </c>
      <c r="E707" s="5" t="str">
        <f>IF($H707="","",INDEX('Detalle individual'!$C:$C,$H707))</f>
        <v/>
      </c>
      <c r="F707" s="5" t="str">
        <f>IF($H707="","",INDEX('Detalle individual'!$D:$D,$H707))</f>
        <v/>
      </c>
      <c r="G707" s="5" t="str">
        <f>IF($H707="","",INDEX('Detalle individual'!$F:$F,$H707))</f>
        <v/>
      </c>
      <c r="H707" t="str">
        <f>IFERROR(MATCH(SMALL(Cálculos!$AJ$5:$AJ$1000,703),Cálculos!$AJ$5:$AJ$1000,0)+4,"")</f>
        <v/>
      </c>
    </row>
    <row r="708">
      <c r="B708" s="5" t="str">
        <f>IF($H708="","",INDEX('Detalle individual'!$B:$B,$H708))</f>
        <v/>
      </c>
      <c r="C708" s="5" t="str">
        <f>IF($H708="","",INDEX('Detalle individual'!$A:$A,$H708))</f>
        <v/>
      </c>
      <c r="D708" s="5" t="str">
        <f>IF($H708="","",INDEX('Detalle individual'!$E:$E,$H708))</f>
        <v/>
      </c>
      <c r="E708" s="5" t="str">
        <f>IF($H708="","",INDEX('Detalle individual'!$C:$C,$H708))</f>
        <v/>
      </c>
      <c r="F708" s="5" t="str">
        <f>IF($H708="","",INDEX('Detalle individual'!$D:$D,$H708))</f>
        <v/>
      </c>
      <c r="G708" s="5" t="str">
        <f>IF($H708="","",INDEX('Detalle individual'!$F:$F,$H708))</f>
        <v/>
      </c>
      <c r="H708" t="str">
        <f>IFERROR(MATCH(SMALL(Cálculos!$AJ$5:$AJ$1000,704),Cálculos!$AJ$5:$AJ$1000,0)+4,"")</f>
        <v/>
      </c>
    </row>
    <row r="709">
      <c r="B709" s="5" t="str">
        <f>IF($H709="","",INDEX('Detalle individual'!$B:$B,$H709))</f>
        <v/>
      </c>
      <c r="C709" s="5" t="str">
        <f>IF($H709="","",INDEX('Detalle individual'!$A:$A,$H709))</f>
        <v/>
      </c>
      <c r="D709" s="5" t="str">
        <f>IF($H709="","",INDEX('Detalle individual'!$E:$E,$H709))</f>
        <v/>
      </c>
      <c r="E709" s="5" t="str">
        <f>IF($H709="","",INDEX('Detalle individual'!$C:$C,$H709))</f>
        <v/>
      </c>
      <c r="F709" s="5" t="str">
        <f>IF($H709="","",INDEX('Detalle individual'!$D:$D,$H709))</f>
        <v/>
      </c>
      <c r="G709" s="5" t="str">
        <f>IF($H709="","",INDEX('Detalle individual'!$F:$F,$H709))</f>
        <v/>
      </c>
      <c r="H709" t="str">
        <f>IFERROR(MATCH(SMALL(Cálculos!$AJ$5:$AJ$1000,705),Cálculos!$AJ$5:$AJ$1000,0)+4,"")</f>
        <v/>
      </c>
    </row>
    <row r="710">
      <c r="B710" s="5" t="str">
        <f>IF($H710="","",INDEX('Detalle individual'!$B:$B,$H710))</f>
        <v/>
      </c>
      <c r="C710" s="5" t="str">
        <f>IF($H710="","",INDEX('Detalle individual'!$A:$A,$H710))</f>
        <v/>
      </c>
      <c r="D710" s="5" t="str">
        <f>IF($H710="","",INDEX('Detalle individual'!$E:$E,$H710))</f>
        <v/>
      </c>
      <c r="E710" s="5" t="str">
        <f>IF($H710="","",INDEX('Detalle individual'!$C:$C,$H710))</f>
        <v/>
      </c>
      <c r="F710" s="5" t="str">
        <f>IF($H710="","",INDEX('Detalle individual'!$D:$D,$H710))</f>
        <v/>
      </c>
      <c r="G710" s="5" t="str">
        <f>IF($H710="","",INDEX('Detalle individual'!$F:$F,$H710))</f>
        <v/>
      </c>
      <c r="H710" t="str">
        <f>IFERROR(MATCH(SMALL(Cálculos!$AJ$5:$AJ$1000,706),Cálculos!$AJ$5:$AJ$1000,0)+4,"")</f>
        <v/>
      </c>
    </row>
    <row r="711">
      <c r="B711" s="5" t="str">
        <f>IF($H711="","",INDEX('Detalle individual'!$B:$B,$H711))</f>
        <v/>
      </c>
      <c r="C711" s="5" t="str">
        <f>IF($H711="","",INDEX('Detalle individual'!$A:$A,$H711))</f>
        <v/>
      </c>
      <c r="D711" s="5" t="str">
        <f>IF($H711="","",INDEX('Detalle individual'!$E:$E,$H711))</f>
        <v/>
      </c>
      <c r="E711" s="5" t="str">
        <f>IF($H711="","",INDEX('Detalle individual'!$C:$C,$H711))</f>
        <v/>
      </c>
      <c r="F711" s="5" t="str">
        <f>IF($H711="","",INDEX('Detalle individual'!$D:$D,$H711))</f>
        <v/>
      </c>
      <c r="G711" s="5" t="str">
        <f>IF($H711="","",INDEX('Detalle individual'!$F:$F,$H711))</f>
        <v/>
      </c>
      <c r="H711" t="str">
        <f>IFERROR(MATCH(SMALL(Cálculos!$AJ$5:$AJ$1000,707),Cálculos!$AJ$5:$AJ$1000,0)+4,"")</f>
        <v/>
      </c>
    </row>
    <row r="712">
      <c r="B712" s="5" t="str">
        <f>IF($H712="","",INDEX('Detalle individual'!$B:$B,$H712))</f>
        <v/>
      </c>
      <c r="C712" s="5" t="str">
        <f>IF($H712="","",INDEX('Detalle individual'!$A:$A,$H712))</f>
        <v/>
      </c>
      <c r="D712" s="5" t="str">
        <f>IF($H712="","",INDEX('Detalle individual'!$E:$E,$H712))</f>
        <v/>
      </c>
      <c r="E712" s="5" t="str">
        <f>IF($H712="","",INDEX('Detalle individual'!$C:$C,$H712))</f>
        <v/>
      </c>
      <c r="F712" s="5" t="str">
        <f>IF($H712="","",INDEX('Detalle individual'!$D:$D,$H712))</f>
        <v/>
      </c>
      <c r="G712" s="5" t="str">
        <f>IF($H712="","",INDEX('Detalle individual'!$F:$F,$H712))</f>
        <v/>
      </c>
      <c r="H712" t="str">
        <f>IFERROR(MATCH(SMALL(Cálculos!$AJ$5:$AJ$1000,708),Cálculos!$AJ$5:$AJ$1000,0)+4,"")</f>
        <v/>
      </c>
    </row>
    <row r="713">
      <c r="B713" s="5" t="str">
        <f>IF($H713="","",INDEX('Detalle individual'!$B:$B,$H713))</f>
        <v/>
      </c>
      <c r="C713" s="5" t="str">
        <f>IF($H713="","",INDEX('Detalle individual'!$A:$A,$H713))</f>
        <v/>
      </c>
      <c r="D713" s="5" t="str">
        <f>IF($H713="","",INDEX('Detalle individual'!$E:$E,$H713))</f>
        <v/>
      </c>
      <c r="E713" s="5" t="str">
        <f>IF($H713="","",INDEX('Detalle individual'!$C:$C,$H713))</f>
        <v/>
      </c>
      <c r="F713" s="5" t="str">
        <f>IF($H713="","",INDEX('Detalle individual'!$D:$D,$H713))</f>
        <v/>
      </c>
      <c r="G713" s="5" t="str">
        <f>IF($H713="","",INDEX('Detalle individual'!$F:$F,$H713))</f>
        <v/>
      </c>
      <c r="H713" t="str">
        <f>IFERROR(MATCH(SMALL(Cálculos!$AJ$5:$AJ$1000,709),Cálculos!$AJ$5:$AJ$1000,0)+4,"")</f>
        <v/>
      </c>
    </row>
    <row r="714">
      <c r="B714" s="5" t="str">
        <f>IF($H714="","",INDEX('Detalle individual'!$B:$B,$H714))</f>
        <v/>
      </c>
      <c r="C714" s="5" t="str">
        <f>IF($H714="","",INDEX('Detalle individual'!$A:$A,$H714))</f>
        <v/>
      </c>
      <c r="D714" s="5" t="str">
        <f>IF($H714="","",INDEX('Detalle individual'!$E:$E,$H714))</f>
        <v/>
      </c>
      <c r="E714" s="5" t="str">
        <f>IF($H714="","",INDEX('Detalle individual'!$C:$C,$H714))</f>
        <v/>
      </c>
      <c r="F714" s="5" t="str">
        <f>IF($H714="","",INDEX('Detalle individual'!$D:$D,$H714))</f>
        <v/>
      </c>
      <c r="G714" s="5" t="str">
        <f>IF($H714="","",INDEX('Detalle individual'!$F:$F,$H714))</f>
        <v/>
      </c>
      <c r="H714" t="str">
        <f>IFERROR(MATCH(SMALL(Cálculos!$AJ$5:$AJ$1000,710),Cálculos!$AJ$5:$AJ$1000,0)+4,"")</f>
        <v/>
      </c>
    </row>
    <row r="715">
      <c r="B715" s="5" t="str">
        <f>IF($H715="","",INDEX('Detalle individual'!$B:$B,$H715))</f>
        <v/>
      </c>
      <c r="C715" s="5" t="str">
        <f>IF($H715="","",INDEX('Detalle individual'!$A:$A,$H715))</f>
        <v/>
      </c>
      <c r="D715" s="5" t="str">
        <f>IF($H715="","",INDEX('Detalle individual'!$E:$E,$H715))</f>
        <v/>
      </c>
      <c r="E715" s="5" t="str">
        <f>IF($H715="","",INDEX('Detalle individual'!$C:$C,$H715))</f>
        <v/>
      </c>
      <c r="F715" s="5" t="str">
        <f>IF($H715="","",INDEX('Detalle individual'!$D:$D,$H715))</f>
        <v/>
      </c>
      <c r="G715" s="5" t="str">
        <f>IF($H715="","",INDEX('Detalle individual'!$F:$F,$H715))</f>
        <v/>
      </c>
      <c r="H715" t="str">
        <f>IFERROR(MATCH(SMALL(Cálculos!$AJ$5:$AJ$1000,711),Cálculos!$AJ$5:$AJ$1000,0)+4,"")</f>
        <v/>
      </c>
    </row>
    <row r="716">
      <c r="B716" s="5" t="str">
        <f>IF($H716="","",INDEX('Detalle individual'!$B:$B,$H716))</f>
        <v/>
      </c>
      <c r="C716" s="5" t="str">
        <f>IF($H716="","",INDEX('Detalle individual'!$A:$A,$H716))</f>
        <v/>
      </c>
      <c r="D716" s="5" t="str">
        <f>IF($H716="","",INDEX('Detalle individual'!$E:$E,$H716))</f>
        <v/>
      </c>
      <c r="E716" s="5" t="str">
        <f>IF($H716="","",INDEX('Detalle individual'!$C:$C,$H716))</f>
        <v/>
      </c>
      <c r="F716" s="5" t="str">
        <f>IF($H716="","",INDEX('Detalle individual'!$D:$D,$H716))</f>
        <v/>
      </c>
      <c r="G716" s="5" t="str">
        <f>IF($H716="","",INDEX('Detalle individual'!$F:$F,$H716))</f>
        <v/>
      </c>
      <c r="H716" t="str">
        <f>IFERROR(MATCH(SMALL(Cálculos!$AJ$5:$AJ$1000,712),Cálculos!$AJ$5:$AJ$1000,0)+4,"")</f>
        <v/>
      </c>
    </row>
    <row r="717">
      <c r="B717" s="5" t="str">
        <f>IF($H717="","",INDEX('Detalle individual'!$B:$B,$H717))</f>
        <v/>
      </c>
      <c r="C717" s="5" t="str">
        <f>IF($H717="","",INDEX('Detalle individual'!$A:$A,$H717))</f>
        <v/>
      </c>
      <c r="D717" s="5" t="str">
        <f>IF($H717="","",INDEX('Detalle individual'!$E:$E,$H717))</f>
        <v/>
      </c>
      <c r="E717" s="5" t="str">
        <f>IF($H717="","",INDEX('Detalle individual'!$C:$C,$H717))</f>
        <v/>
      </c>
      <c r="F717" s="5" t="str">
        <f>IF($H717="","",INDEX('Detalle individual'!$D:$D,$H717))</f>
        <v/>
      </c>
      <c r="G717" s="5" t="str">
        <f>IF($H717="","",INDEX('Detalle individual'!$F:$F,$H717))</f>
        <v/>
      </c>
      <c r="H717" t="str">
        <f>IFERROR(MATCH(SMALL(Cálculos!$AJ$5:$AJ$1000,713),Cálculos!$AJ$5:$AJ$1000,0)+4,"")</f>
        <v/>
      </c>
    </row>
    <row r="718">
      <c r="B718" s="5" t="str">
        <f>IF($H718="","",INDEX('Detalle individual'!$B:$B,$H718))</f>
        <v/>
      </c>
      <c r="C718" s="5" t="str">
        <f>IF($H718="","",INDEX('Detalle individual'!$A:$A,$H718))</f>
        <v/>
      </c>
      <c r="D718" s="5" t="str">
        <f>IF($H718="","",INDEX('Detalle individual'!$E:$E,$H718))</f>
        <v/>
      </c>
      <c r="E718" s="5" t="str">
        <f>IF($H718="","",INDEX('Detalle individual'!$C:$C,$H718))</f>
        <v/>
      </c>
      <c r="F718" s="5" t="str">
        <f>IF($H718="","",INDEX('Detalle individual'!$D:$D,$H718))</f>
        <v/>
      </c>
      <c r="G718" s="5" t="str">
        <f>IF($H718="","",INDEX('Detalle individual'!$F:$F,$H718))</f>
        <v/>
      </c>
      <c r="H718" t="str">
        <f>IFERROR(MATCH(SMALL(Cálculos!$AJ$5:$AJ$1000,714),Cálculos!$AJ$5:$AJ$1000,0)+4,"")</f>
        <v/>
      </c>
    </row>
    <row r="719">
      <c r="B719" s="5" t="str">
        <f>IF($H719="","",INDEX('Detalle individual'!$B:$B,$H719))</f>
        <v/>
      </c>
      <c r="C719" s="5" t="str">
        <f>IF($H719="","",INDEX('Detalle individual'!$A:$A,$H719))</f>
        <v/>
      </c>
      <c r="D719" s="5" t="str">
        <f>IF($H719="","",INDEX('Detalle individual'!$E:$E,$H719))</f>
        <v/>
      </c>
      <c r="E719" s="5" t="str">
        <f>IF($H719="","",INDEX('Detalle individual'!$C:$C,$H719))</f>
        <v/>
      </c>
      <c r="F719" s="5" t="str">
        <f>IF($H719="","",INDEX('Detalle individual'!$D:$D,$H719))</f>
        <v/>
      </c>
      <c r="G719" s="5" t="str">
        <f>IF($H719="","",INDEX('Detalle individual'!$F:$F,$H719))</f>
        <v/>
      </c>
      <c r="H719" t="str">
        <f>IFERROR(MATCH(SMALL(Cálculos!$AJ$5:$AJ$1000,715),Cálculos!$AJ$5:$AJ$1000,0)+4,"")</f>
        <v/>
      </c>
    </row>
    <row r="720">
      <c r="B720" s="5" t="str">
        <f>IF($H720="","",INDEX('Detalle individual'!$B:$B,$H720))</f>
        <v/>
      </c>
      <c r="C720" s="5" t="str">
        <f>IF($H720="","",INDEX('Detalle individual'!$A:$A,$H720))</f>
        <v/>
      </c>
      <c r="D720" s="5" t="str">
        <f>IF($H720="","",INDEX('Detalle individual'!$E:$E,$H720))</f>
        <v/>
      </c>
      <c r="E720" s="5" t="str">
        <f>IF($H720="","",INDEX('Detalle individual'!$C:$C,$H720))</f>
        <v/>
      </c>
      <c r="F720" s="5" t="str">
        <f>IF($H720="","",INDEX('Detalle individual'!$D:$D,$H720))</f>
        <v/>
      </c>
      <c r="G720" s="5" t="str">
        <f>IF($H720="","",INDEX('Detalle individual'!$F:$F,$H720))</f>
        <v/>
      </c>
      <c r="H720" t="str">
        <f>IFERROR(MATCH(SMALL(Cálculos!$AJ$5:$AJ$1000,716),Cálculos!$AJ$5:$AJ$1000,0)+4,"")</f>
        <v/>
      </c>
    </row>
    <row r="721">
      <c r="B721" s="5" t="str">
        <f>IF($H721="","",INDEX('Detalle individual'!$B:$B,$H721))</f>
        <v/>
      </c>
      <c r="C721" s="5" t="str">
        <f>IF($H721="","",INDEX('Detalle individual'!$A:$A,$H721))</f>
        <v/>
      </c>
      <c r="D721" s="5" t="str">
        <f>IF($H721="","",INDEX('Detalle individual'!$E:$E,$H721))</f>
        <v/>
      </c>
      <c r="E721" s="5" t="str">
        <f>IF($H721="","",INDEX('Detalle individual'!$C:$C,$H721))</f>
        <v/>
      </c>
      <c r="F721" s="5" t="str">
        <f>IF($H721="","",INDEX('Detalle individual'!$D:$D,$H721))</f>
        <v/>
      </c>
      <c r="G721" s="5" t="str">
        <f>IF($H721="","",INDEX('Detalle individual'!$F:$F,$H721))</f>
        <v/>
      </c>
      <c r="H721" t="str">
        <f>IFERROR(MATCH(SMALL(Cálculos!$AJ$5:$AJ$1000,717),Cálculos!$AJ$5:$AJ$1000,0)+4,"")</f>
        <v/>
      </c>
    </row>
    <row r="722">
      <c r="B722" s="5" t="str">
        <f>IF($H722="","",INDEX('Detalle individual'!$B:$B,$H722))</f>
        <v/>
      </c>
      <c r="C722" s="5" t="str">
        <f>IF($H722="","",INDEX('Detalle individual'!$A:$A,$H722))</f>
        <v/>
      </c>
      <c r="D722" s="5" t="str">
        <f>IF($H722="","",INDEX('Detalle individual'!$E:$E,$H722))</f>
        <v/>
      </c>
      <c r="E722" s="5" t="str">
        <f>IF($H722="","",INDEX('Detalle individual'!$C:$C,$H722))</f>
        <v/>
      </c>
      <c r="F722" s="5" t="str">
        <f>IF($H722="","",INDEX('Detalle individual'!$D:$D,$H722))</f>
        <v/>
      </c>
      <c r="G722" s="5" t="str">
        <f>IF($H722="","",INDEX('Detalle individual'!$F:$F,$H722))</f>
        <v/>
      </c>
      <c r="H722" t="str">
        <f>IFERROR(MATCH(SMALL(Cálculos!$AJ$5:$AJ$1000,718),Cálculos!$AJ$5:$AJ$1000,0)+4,"")</f>
        <v/>
      </c>
    </row>
    <row r="723">
      <c r="B723" s="5" t="str">
        <f>IF($H723="","",INDEX('Detalle individual'!$B:$B,$H723))</f>
        <v/>
      </c>
      <c r="C723" s="5" t="str">
        <f>IF($H723="","",INDEX('Detalle individual'!$A:$A,$H723))</f>
        <v/>
      </c>
      <c r="D723" s="5" t="str">
        <f>IF($H723="","",INDEX('Detalle individual'!$E:$E,$H723))</f>
        <v/>
      </c>
      <c r="E723" s="5" t="str">
        <f>IF($H723="","",INDEX('Detalle individual'!$C:$C,$H723))</f>
        <v/>
      </c>
      <c r="F723" s="5" t="str">
        <f>IF($H723="","",INDEX('Detalle individual'!$D:$D,$H723))</f>
        <v/>
      </c>
      <c r="G723" s="5" t="str">
        <f>IF($H723="","",INDEX('Detalle individual'!$F:$F,$H723))</f>
        <v/>
      </c>
      <c r="H723" t="str">
        <f>IFERROR(MATCH(SMALL(Cálculos!$AJ$5:$AJ$1000,719),Cálculos!$AJ$5:$AJ$1000,0)+4,"")</f>
        <v/>
      </c>
    </row>
    <row r="724">
      <c r="B724" s="5" t="str">
        <f>IF($H724="","",INDEX('Detalle individual'!$B:$B,$H724))</f>
        <v/>
      </c>
      <c r="C724" s="5" t="str">
        <f>IF($H724="","",INDEX('Detalle individual'!$A:$A,$H724))</f>
        <v/>
      </c>
      <c r="D724" s="5" t="str">
        <f>IF($H724="","",INDEX('Detalle individual'!$E:$E,$H724))</f>
        <v/>
      </c>
      <c r="E724" s="5" t="str">
        <f>IF($H724="","",INDEX('Detalle individual'!$C:$C,$H724))</f>
        <v/>
      </c>
      <c r="F724" s="5" t="str">
        <f>IF($H724="","",INDEX('Detalle individual'!$D:$D,$H724))</f>
        <v/>
      </c>
      <c r="G724" s="5" t="str">
        <f>IF($H724="","",INDEX('Detalle individual'!$F:$F,$H724))</f>
        <v/>
      </c>
      <c r="H724" t="str">
        <f>IFERROR(MATCH(SMALL(Cálculos!$AJ$5:$AJ$1000,720),Cálculos!$AJ$5:$AJ$1000,0)+4,"")</f>
        <v/>
      </c>
    </row>
    <row r="725">
      <c r="B725" s="5" t="str">
        <f>IF($H725="","",INDEX('Detalle individual'!$B:$B,$H725))</f>
        <v/>
      </c>
      <c r="C725" s="5" t="str">
        <f>IF($H725="","",INDEX('Detalle individual'!$A:$A,$H725))</f>
        <v/>
      </c>
      <c r="D725" s="5" t="str">
        <f>IF($H725="","",INDEX('Detalle individual'!$E:$E,$H725))</f>
        <v/>
      </c>
      <c r="E725" s="5" t="str">
        <f>IF($H725="","",INDEX('Detalle individual'!$C:$C,$H725))</f>
        <v/>
      </c>
      <c r="F725" s="5" t="str">
        <f>IF($H725="","",INDEX('Detalle individual'!$D:$D,$H725))</f>
        <v/>
      </c>
      <c r="G725" s="5" t="str">
        <f>IF($H725="","",INDEX('Detalle individual'!$F:$F,$H725))</f>
        <v/>
      </c>
      <c r="H725" t="str">
        <f>IFERROR(MATCH(SMALL(Cálculos!$AJ$5:$AJ$1000,721),Cálculos!$AJ$5:$AJ$1000,0)+4,"")</f>
        <v/>
      </c>
    </row>
    <row r="726">
      <c r="B726" s="5" t="str">
        <f>IF($H726="","",INDEX('Detalle individual'!$B:$B,$H726))</f>
        <v/>
      </c>
      <c r="C726" s="5" t="str">
        <f>IF($H726="","",INDEX('Detalle individual'!$A:$A,$H726))</f>
        <v/>
      </c>
      <c r="D726" s="5" t="str">
        <f>IF($H726="","",INDEX('Detalle individual'!$E:$E,$H726))</f>
        <v/>
      </c>
      <c r="E726" s="5" t="str">
        <f>IF($H726="","",INDEX('Detalle individual'!$C:$C,$H726))</f>
        <v/>
      </c>
      <c r="F726" s="5" t="str">
        <f>IF($H726="","",INDEX('Detalle individual'!$D:$D,$H726))</f>
        <v/>
      </c>
      <c r="G726" s="5" t="str">
        <f>IF($H726="","",INDEX('Detalle individual'!$F:$F,$H726))</f>
        <v/>
      </c>
      <c r="H726" t="str">
        <f>IFERROR(MATCH(SMALL(Cálculos!$AJ$5:$AJ$1000,722),Cálculos!$AJ$5:$AJ$1000,0)+4,"")</f>
        <v/>
      </c>
    </row>
    <row r="727">
      <c r="B727" s="5" t="str">
        <f>IF($H727="","",INDEX('Detalle individual'!$B:$B,$H727))</f>
        <v/>
      </c>
      <c r="C727" s="5" t="str">
        <f>IF($H727="","",INDEX('Detalle individual'!$A:$A,$H727))</f>
        <v/>
      </c>
      <c r="D727" s="5" t="str">
        <f>IF($H727="","",INDEX('Detalle individual'!$E:$E,$H727))</f>
        <v/>
      </c>
      <c r="E727" s="5" t="str">
        <f>IF($H727="","",INDEX('Detalle individual'!$C:$C,$H727))</f>
        <v/>
      </c>
      <c r="F727" s="5" t="str">
        <f>IF($H727="","",INDEX('Detalle individual'!$D:$D,$H727))</f>
        <v/>
      </c>
      <c r="G727" s="5" t="str">
        <f>IF($H727="","",INDEX('Detalle individual'!$F:$F,$H727))</f>
        <v/>
      </c>
      <c r="H727" t="str">
        <f>IFERROR(MATCH(SMALL(Cálculos!$AJ$5:$AJ$1000,723),Cálculos!$AJ$5:$AJ$1000,0)+4,"")</f>
        <v/>
      </c>
    </row>
    <row r="728">
      <c r="B728" s="5" t="str">
        <f>IF($H728="","",INDEX('Detalle individual'!$B:$B,$H728))</f>
        <v/>
      </c>
      <c r="C728" s="5" t="str">
        <f>IF($H728="","",INDEX('Detalle individual'!$A:$A,$H728))</f>
        <v/>
      </c>
      <c r="D728" s="5" t="str">
        <f>IF($H728="","",INDEX('Detalle individual'!$E:$E,$H728))</f>
        <v/>
      </c>
      <c r="E728" s="5" t="str">
        <f>IF($H728="","",INDEX('Detalle individual'!$C:$C,$H728))</f>
        <v/>
      </c>
      <c r="F728" s="5" t="str">
        <f>IF($H728="","",INDEX('Detalle individual'!$D:$D,$H728))</f>
        <v/>
      </c>
      <c r="G728" s="5" t="str">
        <f>IF($H728="","",INDEX('Detalle individual'!$F:$F,$H728))</f>
        <v/>
      </c>
      <c r="H728" t="str">
        <f>IFERROR(MATCH(SMALL(Cálculos!$AJ$5:$AJ$1000,724),Cálculos!$AJ$5:$AJ$1000,0)+4,"")</f>
        <v/>
      </c>
    </row>
    <row r="729">
      <c r="B729" s="5" t="str">
        <f>IF($H729="","",INDEX('Detalle individual'!$B:$B,$H729))</f>
        <v/>
      </c>
      <c r="C729" s="5" t="str">
        <f>IF($H729="","",INDEX('Detalle individual'!$A:$A,$H729))</f>
        <v/>
      </c>
      <c r="D729" s="5" t="str">
        <f>IF($H729="","",INDEX('Detalle individual'!$E:$E,$H729))</f>
        <v/>
      </c>
      <c r="E729" s="5" t="str">
        <f>IF($H729="","",INDEX('Detalle individual'!$C:$C,$H729))</f>
        <v/>
      </c>
      <c r="F729" s="5" t="str">
        <f>IF($H729="","",INDEX('Detalle individual'!$D:$D,$H729))</f>
        <v/>
      </c>
      <c r="G729" s="5" t="str">
        <f>IF($H729="","",INDEX('Detalle individual'!$F:$F,$H729))</f>
        <v/>
      </c>
      <c r="H729" t="str">
        <f>IFERROR(MATCH(SMALL(Cálculos!$AJ$5:$AJ$1000,725),Cálculos!$AJ$5:$AJ$1000,0)+4,"")</f>
        <v/>
      </c>
    </row>
    <row r="730">
      <c r="B730" s="5" t="str">
        <f>IF($H730="","",INDEX('Detalle individual'!$B:$B,$H730))</f>
        <v/>
      </c>
      <c r="C730" s="5" t="str">
        <f>IF($H730="","",INDEX('Detalle individual'!$A:$A,$H730))</f>
        <v/>
      </c>
      <c r="D730" s="5" t="str">
        <f>IF($H730="","",INDEX('Detalle individual'!$E:$E,$H730))</f>
        <v/>
      </c>
      <c r="E730" s="5" t="str">
        <f>IF($H730="","",INDEX('Detalle individual'!$C:$C,$H730))</f>
        <v/>
      </c>
      <c r="F730" s="5" t="str">
        <f>IF($H730="","",INDEX('Detalle individual'!$D:$D,$H730))</f>
        <v/>
      </c>
      <c r="G730" s="5" t="str">
        <f>IF($H730="","",INDEX('Detalle individual'!$F:$F,$H730))</f>
        <v/>
      </c>
      <c r="H730" t="str">
        <f>IFERROR(MATCH(SMALL(Cálculos!$AJ$5:$AJ$1000,726),Cálculos!$AJ$5:$AJ$1000,0)+4,"")</f>
        <v/>
      </c>
    </row>
    <row r="731">
      <c r="B731" s="5" t="str">
        <f>IF($H731="","",INDEX('Detalle individual'!$B:$B,$H731))</f>
        <v/>
      </c>
      <c r="C731" s="5" t="str">
        <f>IF($H731="","",INDEX('Detalle individual'!$A:$A,$H731))</f>
        <v/>
      </c>
      <c r="D731" s="5" t="str">
        <f>IF($H731="","",INDEX('Detalle individual'!$E:$E,$H731))</f>
        <v/>
      </c>
      <c r="E731" s="5" t="str">
        <f>IF($H731="","",INDEX('Detalle individual'!$C:$C,$H731))</f>
        <v/>
      </c>
      <c r="F731" s="5" t="str">
        <f>IF($H731="","",INDEX('Detalle individual'!$D:$D,$H731))</f>
        <v/>
      </c>
      <c r="G731" s="5" t="str">
        <f>IF($H731="","",INDEX('Detalle individual'!$F:$F,$H731))</f>
        <v/>
      </c>
      <c r="H731" t="str">
        <f>IFERROR(MATCH(SMALL(Cálculos!$AJ$5:$AJ$1000,727),Cálculos!$AJ$5:$AJ$1000,0)+4,"")</f>
        <v/>
      </c>
    </row>
    <row r="732">
      <c r="B732" s="5" t="str">
        <f>IF($H732="","",INDEX('Detalle individual'!$B:$B,$H732))</f>
        <v/>
      </c>
      <c r="C732" s="5" t="str">
        <f>IF($H732="","",INDEX('Detalle individual'!$A:$A,$H732))</f>
        <v/>
      </c>
      <c r="D732" s="5" t="str">
        <f>IF($H732="","",INDEX('Detalle individual'!$E:$E,$H732))</f>
        <v/>
      </c>
      <c r="E732" s="5" t="str">
        <f>IF($H732="","",INDEX('Detalle individual'!$C:$C,$H732))</f>
        <v/>
      </c>
      <c r="F732" s="5" t="str">
        <f>IF($H732="","",INDEX('Detalle individual'!$D:$D,$H732))</f>
        <v/>
      </c>
      <c r="G732" s="5" t="str">
        <f>IF($H732="","",INDEX('Detalle individual'!$F:$F,$H732))</f>
        <v/>
      </c>
      <c r="H732" t="str">
        <f>IFERROR(MATCH(SMALL(Cálculos!$AJ$5:$AJ$1000,728),Cálculos!$AJ$5:$AJ$1000,0)+4,"")</f>
        <v/>
      </c>
    </row>
    <row r="733">
      <c r="B733" s="5" t="str">
        <f>IF($H733="","",INDEX('Detalle individual'!$B:$B,$H733))</f>
        <v/>
      </c>
      <c r="C733" s="5" t="str">
        <f>IF($H733="","",INDEX('Detalle individual'!$A:$A,$H733))</f>
        <v/>
      </c>
      <c r="D733" s="5" t="str">
        <f>IF($H733="","",INDEX('Detalle individual'!$E:$E,$H733))</f>
        <v/>
      </c>
      <c r="E733" s="5" t="str">
        <f>IF($H733="","",INDEX('Detalle individual'!$C:$C,$H733))</f>
        <v/>
      </c>
      <c r="F733" s="5" t="str">
        <f>IF($H733="","",INDEX('Detalle individual'!$D:$D,$H733))</f>
        <v/>
      </c>
      <c r="G733" s="5" t="str">
        <f>IF($H733="","",INDEX('Detalle individual'!$F:$F,$H733))</f>
        <v/>
      </c>
      <c r="H733" t="str">
        <f>IFERROR(MATCH(SMALL(Cálculos!$AJ$5:$AJ$1000,729),Cálculos!$AJ$5:$AJ$1000,0)+4,"")</f>
        <v/>
      </c>
    </row>
    <row r="734">
      <c r="B734" s="5" t="str">
        <f>IF($H734="","",INDEX('Detalle individual'!$B:$B,$H734))</f>
        <v/>
      </c>
      <c r="C734" s="5" t="str">
        <f>IF($H734="","",INDEX('Detalle individual'!$A:$A,$H734))</f>
        <v/>
      </c>
      <c r="D734" s="5" t="str">
        <f>IF($H734="","",INDEX('Detalle individual'!$E:$E,$H734))</f>
        <v/>
      </c>
      <c r="E734" s="5" t="str">
        <f>IF($H734="","",INDEX('Detalle individual'!$C:$C,$H734))</f>
        <v/>
      </c>
      <c r="F734" s="5" t="str">
        <f>IF($H734="","",INDEX('Detalle individual'!$D:$D,$H734))</f>
        <v/>
      </c>
      <c r="G734" s="5" t="str">
        <f>IF($H734="","",INDEX('Detalle individual'!$F:$F,$H734))</f>
        <v/>
      </c>
      <c r="H734" t="str">
        <f>IFERROR(MATCH(SMALL(Cálculos!$AJ$5:$AJ$1000,730),Cálculos!$AJ$5:$AJ$1000,0)+4,"")</f>
        <v/>
      </c>
    </row>
    <row r="735">
      <c r="B735" s="5" t="str">
        <f>IF($H735="","",INDEX('Detalle individual'!$B:$B,$H735))</f>
        <v/>
      </c>
      <c r="C735" s="5" t="str">
        <f>IF($H735="","",INDEX('Detalle individual'!$A:$A,$H735))</f>
        <v/>
      </c>
      <c r="D735" s="5" t="str">
        <f>IF($H735="","",INDEX('Detalle individual'!$E:$E,$H735))</f>
        <v/>
      </c>
      <c r="E735" s="5" t="str">
        <f>IF($H735="","",INDEX('Detalle individual'!$C:$C,$H735))</f>
        <v/>
      </c>
      <c r="F735" s="5" t="str">
        <f>IF($H735="","",INDEX('Detalle individual'!$D:$D,$H735))</f>
        <v/>
      </c>
      <c r="G735" s="5" t="str">
        <f>IF($H735="","",INDEX('Detalle individual'!$F:$F,$H735))</f>
        <v/>
      </c>
      <c r="H735" t="str">
        <f>IFERROR(MATCH(SMALL(Cálculos!$AJ$5:$AJ$1000,731),Cálculos!$AJ$5:$AJ$1000,0)+4,"")</f>
        <v/>
      </c>
    </row>
    <row r="736">
      <c r="B736" s="5" t="str">
        <f>IF($H736="","",INDEX('Detalle individual'!$B:$B,$H736))</f>
        <v/>
      </c>
      <c r="C736" s="5" t="str">
        <f>IF($H736="","",INDEX('Detalle individual'!$A:$A,$H736))</f>
        <v/>
      </c>
      <c r="D736" s="5" t="str">
        <f>IF($H736="","",INDEX('Detalle individual'!$E:$E,$H736))</f>
        <v/>
      </c>
      <c r="E736" s="5" t="str">
        <f>IF($H736="","",INDEX('Detalle individual'!$C:$C,$H736))</f>
        <v/>
      </c>
      <c r="F736" s="5" t="str">
        <f>IF($H736="","",INDEX('Detalle individual'!$D:$D,$H736))</f>
        <v/>
      </c>
      <c r="G736" s="5" t="str">
        <f>IF($H736="","",INDEX('Detalle individual'!$F:$F,$H736))</f>
        <v/>
      </c>
      <c r="H736" t="str">
        <f>IFERROR(MATCH(SMALL(Cálculos!$AJ$5:$AJ$1000,732),Cálculos!$AJ$5:$AJ$1000,0)+4,"")</f>
        <v/>
      </c>
    </row>
    <row r="737">
      <c r="B737" s="5" t="str">
        <f>IF($H737="","",INDEX('Detalle individual'!$B:$B,$H737))</f>
        <v/>
      </c>
      <c r="C737" s="5" t="str">
        <f>IF($H737="","",INDEX('Detalle individual'!$A:$A,$H737))</f>
        <v/>
      </c>
      <c r="D737" s="5" t="str">
        <f>IF($H737="","",INDEX('Detalle individual'!$E:$E,$H737))</f>
        <v/>
      </c>
      <c r="E737" s="5" t="str">
        <f>IF($H737="","",INDEX('Detalle individual'!$C:$C,$H737))</f>
        <v/>
      </c>
      <c r="F737" s="5" t="str">
        <f>IF($H737="","",INDEX('Detalle individual'!$D:$D,$H737))</f>
        <v/>
      </c>
      <c r="G737" s="5" t="str">
        <f>IF($H737="","",INDEX('Detalle individual'!$F:$F,$H737))</f>
        <v/>
      </c>
      <c r="H737" t="str">
        <f>IFERROR(MATCH(SMALL(Cálculos!$AJ$5:$AJ$1000,733),Cálculos!$AJ$5:$AJ$1000,0)+4,"")</f>
        <v/>
      </c>
    </row>
    <row r="738">
      <c r="B738" s="5" t="str">
        <f>IF($H738="","",INDEX('Detalle individual'!$B:$B,$H738))</f>
        <v/>
      </c>
      <c r="C738" s="5" t="str">
        <f>IF($H738="","",INDEX('Detalle individual'!$A:$A,$H738))</f>
        <v/>
      </c>
      <c r="D738" s="5" t="str">
        <f>IF($H738="","",INDEX('Detalle individual'!$E:$E,$H738))</f>
        <v/>
      </c>
      <c r="E738" s="5" t="str">
        <f>IF($H738="","",INDEX('Detalle individual'!$C:$C,$H738))</f>
        <v/>
      </c>
      <c r="F738" s="5" t="str">
        <f>IF($H738="","",INDEX('Detalle individual'!$D:$D,$H738))</f>
        <v/>
      </c>
      <c r="G738" s="5" t="str">
        <f>IF($H738="","",INDEX('Detalle individual'!$F:$F,$H738))</f>
        <v/>
      </c>
      <c r="H738" t="str">
        <f>IFERROR(MATCH(SMALL(Cálculos!$AJ$5:$AJ$1000,734),Cálculos!$AJ$5:$AJ$1000,0)+4,"")</f>
        <v/>
      </c>
    </row>
    <row r="739">
      <c r="B739" s="5" t="str">
        <f>IF($H739="","",INDEX('Detalle individual'!$B:$B,$H739))</f>
        <v/>
      </c>
      <c r="C739" s="5" t="str">
        <f>IF($H739="","",INDEX('Detalle individual'!$A:$A,$H739))</f>
        <v/>
      </c>
      <c r="D739" s="5" t="str">
        <f>IF($H739="","",INDEX('Detalle individual'!$E:$E,$H739))</f>
        <v/>
      </c>
      <c r="E739" s="5" t="str">
        <f>IF($H739="","",INDEX('Detalle individual'!$C:$C,$H739))</f>
        <v/>
      </c>
      <c r="F739" s="5" t="str">
        <f>IF($H739="","",INDEX('Detalle individual'!$D:$D,$H739))</f>
        <v/>
      </c>
      <c r="G739" s="5" t="str">
        <f>IF($H739="","",INDEX('Detalle individual'!$F:$F,$H739))</f>
        <v/>
      </c>
      <c r="H739" t="str">
        <f>IFERROR(MATCH(SMALL(Cálculos!$AJ$5:$AJ$1000,735),Cálculos!$AJ$5:$AJ$1000,0)+4,"")</f>
        <v/>
      </c>
    </row>
    <row r="740">
      <c r="B740" s="5" t="str">
        <f>IF($H740="","",INDEX('Detalle individual'!$B:$B,$H740))</f>
        <v/>
      </c>
      <c r="C740" s="5" t="str">
        <f>IF($H740="","",INDEX('Detalle individual'!$A:$A,$H740))</f>
        <v/>
      </c>
      <c r="D740" s="5" t="str">
        <f>IF($H740="","",INDEX('Detalle individual'!$E:$E,$H740))</f>
        <v/>
      </c>
      <c r="E740" s="5" t="str">
        <f>IF($H740="","",INDEX('Detalle individual'!$C:$C,$H740))</f>
        <v/>
      </c>
      <c r="F740" s="5" t="str">
        <f>IF($H740="","",INDEX('Detalle individual'!$D:$D,$H740))</f>
        <v/>
      </c>
      <c r="G740" s="5" t="str">
        <f>IF($H740="","",INDEX('Detalle individual'!$F:$F,$H740))</f>
        <v/>
      </c>
      <c r="H740" t="str">
        <f>IFERROR(MATCH(SMALL(Cálculos!$AJ$5:$AJ$1000,736),Cálculos!$AJ$5:$AJ$1000,0)+4,"")</f>
        <v/>
      </c>
    </row>
    <row r="741">
      <c r="B741" s="5" t="str">
        <f>IF($H741="","",INDEX('Detalle individual'!$B:$B,$H741))</f>
        <v/>
      </c>
      <c r="C741" s="5" t="str">
        <f>IF($H741="","",INDEX('Detalle individual'!$A:$A,$H741))</f>
        <v/>
      </c>
      <c r="D741" s="5" t="str">
        <f>IF($H741="","",INDEX('Detalle individual'!$E:$E,$H741))</f>
        <v/>
      </c>
      <c r="E741" s="5" t="str">
        <f>IF($H741="","",INDEX('Detalle individual'!$C:$C,$H741))</f>
        <v/>
      </c>
      <c r="F741" s="5" t="str">
        <f>IF($H741="","",INDEX('Detalle individual'!$D:$D,$H741))</f>
        <v/>
      </c>
      <c r="G741" s="5" t="str">
        <f>IF($H741="","",INDEX('Detalle individual'!$F:$F,$H741))</f>
        <v/>
      </c>
      <c r="H741" t="str">
        <f>IFERROR(MATCH(SMALL(Cálculos!$AJ$5:$AJ$1000,737),Cálculos!$AJ$5:$AJ$1000,0)+4,"")</f>
        <v/>
      </c>
    </row>
    <row r="742">
      <c r="B742" s="5" t="str">
        <f>IF($H742="","",INDEX('Detalle individual'!$B:$B,$H742))</f>
        <v/>
      </c>
      <c r="C742" s="5" t="str">
        <f>IF($H742="","",INDEX('Detalle individual'!$A:$A,$H742))</f>
        <v/>
      </c>
      <c r="D742" s="5" t="str">
        <f>IF($H742="","",INDEX('Detalle individual'!$E:$E,$H742))</f>
        <v/>
      </c>
      <c r="E742" s="5" t="str">
        <f>IF($H742="","",INDEX('Detalle individual'!$C:$C,$H742))</f>
        <v/>
      </c>
      <c r="F742" s="5" t="str">
        <f>IF($H742="","",INDEX('Detalle individual'!$D:$D,$H742))</f>
        <v/>
      </c>
      <c r="G742" s="5" t="str">
        <f>IF($H742="","",INDEX('Detalle individual'!$F:$F,$H742))</f>
        <v/>
      </c>
      <c r="H742" t="str">
        <f>IFERROR(MATCH(SMALL(Cálculos!$AJ$5:$AJ$1000,738),Cálculos!$AJ$5:$AJ$1000,0)+4,"")</f>
        <v/>
      </c>
    </row>
    <row r="743">
      <c r="B743" s="5" t="str">
        <f>IF($H743="","",INDEX('Detalle individual'!$B:$B,$H743))</f>
        <v/>
      </c>
      <c r="C743" s="5" t="str">
        <f>IF($H743="","",INDEX('Detalle individual'!$A:$A,$H743))</f>
        <v/>
      </c>
      <c r="D743" s="5" t="str">
        <f>IF($H743="","",INDEX('Detalle individual'!$E:$E,$H743))</f>
        <v/>
      </c>
      <c r="E743" s="5" t="str">
        <f>IF($H743="","",INDEX('Detalle individual'!$C:$C,$H743))</f>
        <v/>
      </c>
      <c r="F743" s="5" t="str">
        <f>IF($H743="","",INDEX('Detalle individual'!$D:$D,$H743))</f>
        <v/>
      </c>
      <c r="G743" s="5" t="str">
        <f>IF($H743="","",INDEX('Detalle individual'!$F:$F,$H743))</f>
        <v/>
      </c>
      <c r="H743" t="str">
        <f>IFERROR(MATCH(SMALL(Cálculos!$AJ$5:$AJ$1000,739),Cálculos!$AJ$5:$AJ$1000,0)+4,"")</f>
        <v/>
      </c>
    </row>
    <row r="744">
      <c r="B744" s="5" t="str">
        <f>IF($H744="","",INDEX('Detalle individual'!$B:$B,$H744))</f>
        <v/>
      </c>
      <c r="C744" s="5" t="str">
        <f>IF($H744="","",INDEX('Detalle individual'!$A:$A,$H744))</f>
        <v/>
      </c>
      <c r="D744" s="5" t="str">
        <f>IF($H744="","",INDEX('Detalle individual'!$E:$E,$H744))</f>
        <v/>
      </c>
      <c r="E744" s="5" t="str">
        <f>IF($H744="","",INDEX('Detalle individual'!$C:$C,$H744))</f>
        <v/>
      </c>
      <c r="F744" s="5" t="str">
        <f>IF($H744="","",INDEX('Detalle individual'!$D:$D,$H744))</f>
        <v/>
      </c>
      <c r="G744" s="5" t="str">
        <f>IF($H744="","",INDEX('Detalle individual'!$F:$F,$H744))</f>
        <v/>
      </c>
      <c r="H744" t="str">
        <f>IFERROR(MATCH(SMALL(Cálculos!$AJ$5:$AJ$1000,740),Cálculos!$AJ$5:$AJ$1000,0)+4,"")</f>
        <v/>
      </c>
    </row>
    <row r="745">
      <c r="B745" s="5" t="str">
        <f>IF($H745="","",INDEX('Detalle individual'!$B:$B,$H745))</f>
        <v/>
      </c>
      <c r="C745" s="5" t="str">
        <f>IF($H745="","",INDEX('Detalle individual'!$A:$A,$H745))</f>
        <v/>
      </c>
      <c r="D745" s="5" t="str">
        <f>IF($H745="","",INDEX('Detalle individual'!$E:$E,$H745))</f>
        <v/>
      </c>
      <c r="E745" s="5" t="str">
        <f>IF($H745="","",INDEX('Detalle individual'!$C:$C,$H745))</f>
        <v/>
      </c>
      <c r="F745" s="5" t="str">
        <f>IF($H745="","",INDEX('Detalle individual'!$D:$D,$H745))</f>
        <v/>
      </c>
      <c r="G745" s="5" t="str">
        <f>IF($H745="","",INDEX('Detalle individual'!$F:$F,$H745))</f>
        <v/>
      </c>
      <c r="H745" t="str">
        <f>IFERROR(MATCH(SMALL(Cálculos!$AJ$5:$AJ$1000,741),Cálculos!$AJ$5:$AJ$1000,0)+4,"")</f>
        <v/>
      </c>
    </row>
    <row r="746">
      <c r="B746" s="5" t="str">
        <f>IF($H746="","",INDEX('Detalle individual'!$B:$B,$H746))</f>
        <v/>
      </c>
      <c r="C746" s="5" t="str">
        <f>IF($H746="","",INDEX('Detalle individual'!$A:$A,$H746))</f>
        <v/>
      </c>
      <c r="D746" s="5" t="str">
        <f>IF($H746="","",INDEX('Detalle individual'!$E:$E,$H746))</f>
        <v/>
      </c>
      <c r="E746" s="5" t="str">
        <f>IF($H746="","",INDEX('Detalle individual'!$C:$C,$H746))</f>
        <v/>
      </c>
      <c r="F746" s="5" t="str">
        <f>IF($H746="","",INDEX('Detalle individual'!$D:$D,$H746))</f>
        <v/>
      </c>
      <c r="G746" s="5" t="str">
        <f>IF($H746="","",INDEX('Detalle individual'!$F:$F,$H746))</f>
        <v/>
      </c>
      <c r="H746" t="str">
        <f>IFERROR(MATCH(SMALL(Cálculos!$AJ$5:$AJ$1000,742),Cálculos!$AJ$5:$AJ$1000,0)+4,"")</f>
        <v/>
      </c>
    </row>
    <row r="747">
      <c r="B747" s="5" t="str">
        <f>IF($H747="","",INDEX('Detalle individual'!$B:$B,$H747))</f>
        <v/>
      </c>
      <c r="C747" s="5" t="str">
        <f>IF($H747="","",INDEX('Detalle individual'!$A:$A,$H747))</f>
        <v/>
      </c>
      <c r="D747" s="5" t="str">
        <f>IF($H747="","",INDEX('Detalle individual'!$E:$E,$H747))</f>
        <v/>
      </c>
      <c r="E747" s="5" t="str">
        <f>IF($H747="","",INDEX('Detalle individual'!$C:$C,$H747))</f>
        <v/>
      </c>
      <c r="F747" s="5" t="str">
        <f>IF($H747="","",INDEX('Detalle individual'!$D:$D,$H747))</f>
        <v/>
      </c>
      <c r="G747" s="5" t="str">
        <f>IF($H747="","",INDEX('Detalle individual'!$F:$F,$H747))</f>
        <v/>
      </c>
      <c r="H747" t="str">
        <f>IFERROR(MATCH(SMALL(Cálculos!$AJ$5:$AJ$1000,743),Cálculos!$AJ$5:$AJ$1000,0)+4,"")</f>
        <v/>
      </c>
    </row>
    <row r="748">
      <c r="B748" s="5" t="str">
        <f>IF($H748="","",INDEX('Detalle individual'!$B:$B,$H748))</f>
        <v/>
      </c>
      <c r="C748" s="5" t="str">
        <f>IF($H748="","",INDEX('Detalle individual'!$A:$A,$H748))</f>
        <v/>
      </c>
      <c r="D748" s="5" t="str">
        <f>IF($H748="","",INDEX('Detalle individual'!$E:$E,$H748))</f>
        <v/>
      </c>
      <c r="E748" s="5" t="str">
        <f>IF($H748="","",INDEX('Detalle individual'!$C:$C,$H748))</f>
        <v/>
      </c>
      <c r="F748" s="5" t="str">
        <f>IF($H748="","",INDEX('Detalle individual'!$D:$D,$H748))</f>
        <v/>
      </c>
      <c r="G748" s="5" t="str">
        <f>IF($H748="","",INDEX('Detalle individual'!$F:$F,$H748))</f>
        <v/>
      </c>
      <c r="H748" t="str">
        <f>IFERROR(MATCH(SMALL(Cálculos!$AJ$5:$AJ$1000,744),Cálculos!$AJ$5:$AJ$1000,0)+4,"")</f>
        <v/>
      </c>
    </row>
    <row r="749">
      <c r="B749" s="5" t="str">
        <f>IF($H749="","",INDEX('Detalle individual'!$B:$B,$H749))</f>
        <v/>
      </c>
      <c r="C749" s="5" t="str">
        <f>IF($H749="","",INDEX('Detalle individual'!$A:$A,$H749))</f>
        <v/>
      </c>
      <c r="D749" s="5" t="str">
        <f>IF($H749="","",INDEX('Detalle individual'!$E:$E,$H749))</f>
        <v/>
      </c>
      <c r="E749" s="5" t="str">
        <f>IF($H749="","",INDEX('Detalle individual'!$C:$C,$H749))</f>
        <v/>
      </c>
      <c r="F749" s="5" t="str">
        <f>IF($H749="","",INDEX('Detalle individual'!$D:$D,$H749))</f>
        <v/>
      </c>
      <c r="G749" s="5" t="str">
        <f>IF($H749="","",INDEX('Detalle individual'!$F:$F,$H749))</f>
        <v/>
      </c>
      <c r="H749" t="str">
        <f>IFERROR(MATCH(SMALL(Cálculos!$AJ$5:$AJ$1000,745),Cálculos!$AJ$5:$AJ$1000,0)+4,"")</f>
        <v/>
      </c>
    </row>
    <row r="750">
      <c r="B750" s="5" t="str">
        <f>IF($H750="","",INDEX('Detalle individual'!$B:$B,$H750))</f>
        <v/>
      </c>
      <c r="C750" s="5" t="str">
        <f>IF($H750="","",INDEX('Detalle individual'!$A:$A,$H750))</f>
        <v/>
      </c>
      <c r="D750" s="5" t="str">
        <f>IF($H750="","",INDEX('Detalle individual'!$E:$E,$H750))</f>
        <v/>
      </c>
      <c r="E750" s="5" t="str">
        <f>IF($H750="","",INDEX('Detalle individual'!$C:$C,$H750))</f>
        <v/>
      </c>
      <c r="F750" s="5" t="str">
        <f>IF($H750="","",INDEX('Detalle individual'!$D:$D,$H750))</f>
        <v/>
      </c>
      <c r="G750" s="5" t="str">
        <f>IF($H750="","",INDEX('Detalle individual'!$F:$F,$H750))</f>
        <v/>
      </c>
      <c r="H750" t="str">
        <f>IFERROR(MATCH(SMALL(Cálculos!$AJ$5:$AJ$1000,746),Cálculos!$AJ$5:$AJ$1000,0)+4,"")</f>
        <v/>
      </c>
    </row>
    <row r="751">
      <c r="B751" s="5" t="str">
        <f>IF($H751="","",INDEX('Detalle individual'!$B:$B,$H751))</f>
        <v/>
      </c>
      <c r="C751" s="5" t="str">
        <f>IF($H751="","",INDEX('Detalle individual'!$A:$A,$H751))</f>
        <v/>
      </c>
      <c r="D751" s="5" t="str">
        <f>IF($H751="","",INDEX('Detalle individual'!$E:$E,$H751))</f>
        <v/>
      </c>
      <c r="E751" s="5" t="str">
        <f>IF($H751="","",INDEX('Detalle individual'!$C:$C,$H751))</f>
        <v/>
      </c>
      <c r="F751" s="5" t="str">
        <f>IF($H751="","",INDEX('Detalle individual'!$D:$D,$H751))</f>
        <v/>
      </c>
      <c r="G751" s="5" t="str">
        <f>IF($H751="","",INDEX('Detalle individual'!$F:$F,$H751))</f>
        <v/>
      </c>
      <c r="H751" t="str">
        <f>IFERROR(MATCH(SMALL(Cálculos!$AJ$5:$AJ$1000,747),Cálculos!$AJ$5:$AJ$1000,0)+4,"")</f>
        <v/>
      </c>
    </row>
    <row r="752">
      <c r="B752" s="5" t="str">
        <f>IF($H752="","",INDEX('Detalle individual'!$B:$B,$H752))</f>
        <v/>
      </c>
      <c r="C752" s="5" t="str">
        <f>IF($H752="","",INDEX('Detalle individual'!$A:$A,$H752))</f>
        <v/>
      </c>
      <c r="D752" s="5" t="str">
        <f>IF($H752="","",INDEX('Detalle individual'!$E:$E,$H752))</f>
        <v/>
      </c>
      <c r="E752" s="5" t="str">
        <f>IF($H752="","",INDEX('Detalle individual'!$C:$C,$H752))</f>
        <v/>
      </c>
      <c r="F752" s="5" t="str">
        <f>IF($H752="","",INDEX('Detalle individual'!$D:$D,$H752))</f>
        <v/>
      </c>
      <c r="G752" s="5" t="str">
        <f>IF($H752="","",INDEX('Detalle individual'!$F:$F,$H752))</f>
        <v/>
      </c>
      <c r="H752" t="str">
        <f>IFERROR(MATCH(SMALL(Cálculos!$AJ$5:$AJ$1000,748),Cálculos!$AJ$5:$AJ$1000,0)+4,"")</f>
        <v/>
      </c>
    </row>
    <row r="753">
      <c r="B753" s="5" t="str">
        <f>IF($H753="","",INDEX('Detalle individual'!$B:$B,$H753))</f>
        <v/>
      </c>
      <c r="C753" s="5" t="str">
        <f>IF($H753="","",INDEX('Detalle individual'!$A:$A,$H753))</f>
        <v/>
      </c>
      <c r="D753" s="5" t="str">
        <f>IF($H753="","",INDEX('Detalle individual'!$E:$E,$H753))</f>
        <v/>
      </c>
      <c r="E753" s="5" t="str">
        <f>IF($H753="","",INDEX('Detalle individual'!$C:$C,$H753))</f>
        <v/>
      </c>
      <c r="F753" s="5" t="str">
        <f>IF($H753="","",INDEX('Detalle individual'!$D:$D,$H753))</f>
        <v/>
      </c>
      <c r="G753" s="5" t="str">
        <f>IF($H753="","",INDEX('Detalle individual'!$F:$F,$H753))</f>
        <v/>
      </c>
      <c r="H753" t="str">
        <f>IFERROR(MATCH(SMALL(Cálculos!$AJ$5:$AJ$1000,749),Cálculos!$AJ$5:$AJ$1000,0)+4,"")</f>
        <v/>
      </c>
    </row>
    <row r="754">
      <c r="B754" s="5" t="str">
        <f>IF($H754="","",INDEX('Detalle individual'!$B:$B,$H754))</f>
        <v/>
      </c>
      <c r="C754" s="5" t="str">
        <f>IF($H754="","",INDEX('Detalle individual'!$A:$A,$H754))</f>
        <v/>
      </c>
      <c r="D754" s="5" t="str">
        <f>IF($H754="","",INDEX('Detalle individual'!$E:$E,$H754))</f>
        <v/>
      </c>
      <c r="E754" s="5" t="str">
        <f>IF($H754="","",INDEX('Detalle individual'!$C:$C,$H754))</f>
        <v/>
      </c>
      <c r="F754" s="5" t="str">
        <f>IF($H754="","",INDEX('Detalle individual'!$D:$D,$H754))</f>
        <v/>
      </c>
      <c r="G754" s="5" t="str">
        <f>IF($H754="","",INDEX('Detalle individual'!$F:$F,$H754))</f>
        <v/>
      </c>
      <c r="H754" t="str">
        <f>IFERROR(MATCH(SMALL(Cálculos!$AJ$5:$AJ$1000,750),Cálculos!$AJ$5:$AJ$1000,0)+4,"")</f>
        <v/>
      </c>
    </row>
    <row r="755">
      <c r="B755" s="5" t="str">
        <f>IF($H755="","",INDEX('Detalle individual'!$B:$B,$H755))</f>
        <v/>
      </c>
      <c r="C755" s="5" t="str">
        <f>IF($H755="","",INDEX('Detalle individual'!$A:$A,$H755))</f>
        <v/>
      </c>
      <c r="D755" s="5" t="str">
        <f>IF($H755="","",INDEX('Detalle individual'!$E:$E,$H755))</f>
        <v/>
      </c>
      <c r="E755" s="5" t="str">
        <f>IF($H755="","",INDEX('Detalle individual'!$C:$C,$H755))</f>
        <v/>
      </c>
      <c r="F755" s="5" t="str">
        <f>IF($H755="","",INDEX('Detalle individual'!$D:$D,$H755))</f>
        <v/>
      </c>
      <c r="G755" s="5" t="str">
        <f>IF($H755="","",INDEX('Detalle individual'!$F:$F,$H755))</f>
        <v/>
      </c>
      <c r="H755" t="str">
        <f>IFERROR(MATCH(SMALL(Cálculos!$AJ$5:$AJ$1000,751),Cálculos!$AJ$5:$AJ$1000,0)+4,"")</f>
        <v/>
      </c>
    </row>
    <row r="756">
      <c r="B756" s="5" t="str">
        <f>IF($H756="","",INDEX('Detalle individual'!$B:$B,$H756))</f>
        <v/>
      </c>
      <c r="C756" s="5" t="str">
        <f>IF($H756="","",INDEX('Detalle individual'!$A:$A,$H756))</f>
        <v/>
      </c>
      <c r="D756" s="5" t="str">
        <f>IF($H756="","",INDEX('Detalle individual'!$E:$E,$H756))</f>
        <v/>
      </c>
      <c r="E756" s="5" t="str">
        <f>IF($H756="","",INDEX('Detalle individual'!$C:$C,$H756))</f>
        <v/>
      </c>
      <c r="F756" s="5" t="str">
        <f>IF($H756="","",INDEX('Detalle individual'!$D:$D,$H756))</f>
        <v/>
      </c>
      <c r="G756" s="5" t="str">
        <f>IF($H756="","",INDEX('Detalle individual'!$F:$F,$H756))</f>
        <v/>
      </c>
      <c r="H756" t="str">
        <f>IFERROR(MATCH(SMALL(Cálculos!$AJ$5:$AJ$1000,752),Cálculos!$AJ$5:$AJ$1000,0)+4,"")</f>
        <v/>
      </c>
    </row>
    <row r="757">
      <c r="B757" s="5" t="str">
        <f>IF($H757="","",INDEX('Detalle individual'!$B:$B,$H757))</f>
        <v/>
      </c>
      <c r="C757" s="5" t="str">
        <f>IF($H757="","",INDEX('Detalle individual'!$A:$A,$H757))</f>
        <v/>
      </c>
      <c r="D757" s="5" t="str">
        <f>IF($H757="","",INDEX('Detalle individual'!$E:$E,$H757))</f>
        <v/>
      </c>
      <c r="E757" s="5" t="str">
        <f>IF($H757="","",INDEX('Detalle individual'!$C:$C,$H757))</f>
        <v/>
      </c>
      <c r="F757" s="5" t="str">
        <f>IF($H757="","",INDEX('Detalle individual'!$D:$D,$H757))</f>
        <v/>
      </c>
      <c r="G757" s="5" t="str">
        <f>IF($H757="","",INDEX('Detalle individual'!$F:$F,$H757))</f>
        <v/>
      </c>
      <c r="H757" t="str">
        <f>IFERROR(MATCH(SMALL(Cálculos!$AJ$5:$AJ$1000,753),Cálculos!$AJ$5:$AJ$1000,0)+4,"")</f>
        <v/>
      </c>
    </row>
    <row r="758">
      <c r="B758" s="5" t="str">
        <f>IF($H758="","",INDEX('Detalle individual'!$B:$B,$H758))</f>
        <v/>
      </c>
      <c r="C758" s="5" t="str">
        <f>IF($H758="","",INDEX('Detalle individual'!$A:$A,$H758))</f>
        <v/>
      </c>
      <c r="D758" s="5" t="str">
        <f>IF($H758="","",INDEX('Detalle individual'!$E:$E,$H758))</f>
        <v/>
      </c>
      <c r="E758" s="5" t="str">
        <f>IF($H758="","",INDEX('Detalle individual'!$C:$C,$H758))</f>
        <v/>
      </c>
      <c r="F758" s="5" t="str">
        <f>IF($H758="","",INDEX('Detalle individual'!$D:$D,$H758))</f>
        <v/>
      </c>
      <c r="G758" s="5" t="str">
        <f>IF($H758="","",INDEX('Detalle individual'!$F:$F,$H758))</f>
        <v/>
      </c>
      <c r="H758" t="str">
        <f>IFERROR(MATCH(SMALL(Cálculos!$AJ$5:$AJ$1000,754),Cálculos!$AJ$5:$AJ$1000,0)+4,"")</f>
        <v/>
      </c>
    </row>
    <row r="759">
      <c r="B759" s="5" t="str">
        <f>IF($H759="","",INDEX('Detalle individual'!$B:$B,$H759))</f>
        <v/>
      </c>
      <c r="C759" s="5" t="str">
        <f>IF($H759="","",INDEX('Detalle individual'!$A:$A,$H759))</f>
        <v/>
      </c>
      <c r="D759" s="5" t="str">
        <f>IF($H759="","",INDEX('Detalle individual'!$E:$E,$H759))</f>
        <v/>
      </c>
      <c r="E759" s="5" t="str">
        <f>IF($H759="","",INDEX('Detalle individual'!$C:$C,$H759))</f>
        <v/>
      </c>
      <c r="F759" s="5" t="str">
        <f>IF($H759="","",INDEX('Detalle individual'!$D:$D,$H759))</f>
        <v/>
      </c>
      <c r="G759" s="5" t="str">
        <f>IF($H759="","",INDEX('Detalle individual'!$F:$F,$H759))</f>
        <v/>
      </c>
      <c r="H759" t="str">
        <f>IFERROR(MATCH(SMALL(Cálculos!$AJ$5:$AJ$1000,755),Cálculos!$AJ$5:$AJ$1000,0)+4,"")</f>
        <v/>
      </c>
    </row>
    <row r="760">
      <c r="B760" s="5" t="str">
        <f>IF($H760="","",INDEX('Detalle individual'!$B:$B,$H760))</f>
        <v/>
      </c>
      <c r="C760" s="5" t="str">
        <f>IF($H760="","",INDEX('Detalle individual'!$A:$A,$H760))</f>
        <v/>
      </c>
      <c r="D760" s="5" t="str">
        <f>IF($H760="","",INDEX('Detalle individual'!$E:$E,$H760))</f>
        <v/>
      </c>
      <c r="E760" s="5" t="str">
        <f>IF($H760="","",INDEX('Detalle individual'!$C:$C,$H760))</f>
        <v/>
      </c>
      <c r="F760" s="5" t="str">
        <f>IF($H760="","",INDEX('Detalle individual'!$D:$D,$H760))</f>
        <v/>
      </c>
      <c r="G760" s="5" t="str">
        <f>IF($H760="","",INDEX('Detalle individual'!$F:$F,$H760))</f>
        <v/>
      </c>
      <c r="H760" t="str">
        <f>IFERROR(MATCH(SMALL(Cálculos!$AJ$5:$AJ$1000,756),Cálculos!$AJ$5:$AJ$1000,0)+4,"")</f>
        <v/>
      </c>
    </row>
    <row r="761">
      <c r="B761" s="5" t="str">
        <f>IF($H761="","",INDEX('Detalle individual'!$B:$B,$H761))</f>
        <v/>
      </c>
      <c r="C761" s="5" t="str">
        <f>IF($H761="","",INDEX('Detalle individual'!$A:$A,$H761))</f>
        <v/>
      </c>
      <c r="D761" s="5" t="str">
        <f>IF($H761="","",INDEX('Detalle individual'!$E:$E,$H761))</f>
        <v/>
      </c>
      <c r="E761" s="5" t="str">
        <f>IF($H761="","",INDEX('Detalle individual'!$C:$C,$H761))</f>
        <v/>
      </c>
      <c r="F761" s="5" t="str">
        <f>IF($H761="","",INDEX('Detalle individual'!$D:$D,$H761))</f>
        <v/>
      </c>
      <c r="G761" s="5" t="str">
        <f>IF($H761="","",INDEX('Detalle individual'!$F:$F,$H761))</f>
        <v/>
      </c>
      <c r="H761" t="str">
        <f>IFERROR(MATCH(SMALL(Cálculos!$AJ$5:$AJ$1000,757),Cálculos!$AJ$5:$AJ$1000,0)+4,"")</f>
        <v/>
      </c>
    </row>
    <row r="762">
      <c r="B762" s="5" t="str">
        <f>IF($H762="","",INDEX('Detalle individual'!$B:$B,$H762))</f>
        <v/>
      </c>
      <c r="C762" s="5" t="str">
        <f>IF($H762="","",INDEX('Detalle individual'!$A:$A,$H762))</f>
        <v/>
      </c>
      <c r="D762" s="5" t="str">
        <f>IF($H762="","",INDEX('Detalle individual'!$E:$E,$H762))</f>
        <v/>
      </c>
      <c r="E762" s="5" t="str">
        <f>IF($H762="","",INDEX('Detalle individual'!$C:$C,$H762))</f>
        <v/>
      </c>
      <c r="F762" s="5" t="str">
        <f>IF($H762="","",INDEX('Detalle individual'!$D:$D,$H762))</f>
        <v/>
      </c>
      <c r="G762" s="5" t="str">
        <f>IF($H762="","",INDEX('Detalle individual'!$F:$F,$H762))</f>
        <v/>
      </c>
      <c r="H762" t="str">
        <f>IFERROR(MATCH(SMALL(Cálculos!$AJ$5:$AJ$1000,758),Cálculos!$AJ$5:$AJ$1000,0)+4,"")</f>
        <v/>
      </c>
    </row>
    <row r="763">
      <c r="B763" s="5" t="str">
        <f>IF($H763="","",INDEX('Detalle individual'!$B:$B,$H763))</f>
        <v/>
      </c>
      <c r="C763" s="5" t="str">
        <f>IF($H763="","",INDEX('Detalle individual'!$A:$A,$H763))</f>
        <v/>
      </c>
      <c r="D763" s="5" t="str">
        <f>IF($H763="","",INDEX('Detalle individual'!$E:$E,$H763))</f>
        <v/>
      </c>
      <c r="E763" s="5" t="str">
        <f>IF($H763="","",INDEX('Detalle individual'!$C:$C,$H763))</f>
        <v/>
      </c>
      <c r="F763" s="5" t="str">
        <f>IF($H763="","",INDEX('Detalle individual'!$D:$D,$H763))</f>
        <v/>
      </c>
      <c r="G763" s="5" t="str">
        <f>IF($H763="","",INDEX('Detalle individual'!$F:$F,$H763))</f>
        <v/>
      </c>
      <c r="H763" t="str">
        <f>IFERROR(MATCH(SMALL(Cálculos!$AJ$5:$AJ$1000,759),Cálculos!$AJ$5:$AJ$1000,0)+4,"")</f>
        <v/>
      </c>
    </row>
    <row r="764">
      <c r="B764" s="5" t="str">
        <f>IF($H764="","",INDEX('Detalle individual'!$B:$B,$H764))</f>
        <v/>
      </c>
      <c r="C764" s="5" t="str">
        <f>IF($H764="","",INDEX('Detalle individual'!$A:$A,$H764))</f>
        <v/>
      </c>
      <c r="D764" s="5" t="str">
        <f>IF($H764="","",INDEX('Detalle individual'!$E:$E,$H764))</f>
        <v/>
      </c>
      <c r="E764" s="5" t="str">
        <f>IF($H764="","",INDEX('Detalle individual'!$C:$C,$H764))</f>
        <v/>
      </c>
      <c r="F764" s="5" t="str">
        <f>IF($H764="","",INDEX('Detalle individual'!$D:$D,$H764))</f>
        <v/>
      </c>
      <c r="G764" s="5" t="str">
        <f>IF($H764="","",INDEX('Detalle individual'!$F:$F,$H764))</f>
        <v/>
      </c>
      <c r="H764" t="str">
        <f>IFERROR(MATCH(SMALL(Cálculos!$AJ$5:$AJ$1000,760),Cálculos!$AJ$5:$AJ$1000,0)+4,"")</f>
        <v/>
      </c>
    </row>
    <row r="765">
      <c r="B765" s="5" t="str">
        <f>IF($H765="","",INDEX('Detalle individual'!$B:$B,$H765))</f>
        <v/>
      </c>
      <c r="C765" s="5" t="str">
        <f>IF($H765="","",INDEX('Detalle individual'!$A:$A,$H765))</f>
        <v/>
      </c>
      <c r="D765" s="5" t="str">
        <f>IF($H765="","",INDEX('Detalle individual'!$E:$E,$H765))</f>
        <v/>
      </c>
      <c r="E765" s="5" t="str">
        <f>IF($H765="","",INDEX('Detalle individual'!$C:$C,$H765))</f>
        <v/>
      </c>
      <c r="F765" s="5" t="str">
        <f>IF($H765="","",INDEX('Detalle individual'!$D:$D,$H765))</f>
        <v/>
      </c>
      <c r="G765" s="5" t="str">
        <f>IF($H765="","",INDEX('Detalle individual'!$F:$F,$H765))</f>
        <v/>
      </c>
      <c r="H765" t="str">
        <f>IFERROR(MATCH(SMALL(Cálculos!$AJ$5:$AJ$1000,761),Cálculos!$AJ$5:$AJ$1000,0)+4,"")</f>
        <v/>
      </c>
    </row>
    <row r="766">
      <c r="B766" s="5" t="str">
        <f>IF($H766="","",INDEX('Detalle individual'!$B:$B,$H766))</f>
        <v/>
      </c>
      <c r="C766" s="5" t="str">
        <f>IF($H766="","",INDEX('Detalle individual'!$A:$A,$H766))</f>
        <v/>
      </c>
      <c r="D766" s="5" t="str">
        <f>IF($H766="","",INDEX('Detalle individual'!$E:$E,$H766))</f>
        <v/>
      </c>
      <c r="E766" s="5" t="str">
        <f>IF($H766="","",INDEX('Detalle individual'!$C:$C,$H766))</f>
        <v/>
      </c>
      <c r="F766" s="5" t="str">
        <f>IF($H766="","",INDEX('Detalle individual'!$D:$D,$H766))</f>
        <v/>
      </c>
      <c r="G766" s="5" t="str">
        <f>IF($H766="","",INDEX('Detalle individual'!$F:$F,$H766))</f>
        <v/>
      </c>
      <c r="H766" t="str">
        <f>IFERROR(MATCH(SMALL(Cálculos!$AJ$5:$AJ$1000,762),Cálculos!$AJ$5:$AJ$1000,0)+4,"")</f>
        <v/>
      </c>
    </row>
    <row r="767">
      <c r="B767" s="5" t="str">
        <f>IF($H767="","",INDEX('Detalle individual'!$B:$B,$H767))</f>
        <v/>
      </c>
      <c r="C767" s="5" t="str">
        <f>IF($H767="","",INDEX('Detalle individual'!$A:$A,$H767))</f>
        <v/>
      </c>
      <c r="D767" s="5" t="str">
        <f>IF($H767="","",INDEX('Detalle individual'!$E:$E,$H767))</f>
        <v/>
      </c>
      <c r="E767" s="5" t="str">
        <f>IF($H767="","",INDEX('Detalle individual'!$C:$C,$H767))</f>
        <v/>
      </c>
      <c r="F767" s="5" t="str">
        <f>IF($H767="","",INDEX('Detalle individual'!$D:$D,$H767))</f>
        <v/>
      </c>
      <c r="G767" s="5" t="str">
        <f>IF($H767="","",INDEX('Detalle individual'!$F:$F,$H767))</f>
        <v/>
      </c>
      <c r="H767" t="str">
        <f>IFERROR(MATCH(SMALL(Cálculos!$AJ$5:$AJ$1000,763),Cálculos!$AJ$5:$AJ$1000,0)+4,"")</f>
        <v/>
      </c>
    </row>
    <row r="768">
      <c r="B768" s="5" t="str">
        <f>IF($H768="","",INDEX('Detalle individual'!$B:$B,$H768))</f>
        <v/>
      </c>
      <c r="C768" s="5" t="str">
        <f>IF($H768="","",INDEX('Detalle individual'!$A:$A,$H768))</f>
        <v/>
      </c>
      <c r="D768" s="5" t="str">
        <f>IF($H768="","",INDEX('Detalle individual'!$E:$E,$H768))</f>
        <v/>
      </c>
      <c r="E768" s="5" t="str">
        <f>IF($H768="","",INDEX('Detalle individual'!$C:$C,$H768))</f>
        <v/>
      </c>
      <c r="F768" s="5" t="str">
        <f>IF($H768="","",INDEX('Detalle individual'!$D:$D,$H768))</f>
        <v/>
      </c>
      <c r="G768" s="5" t="str">
        <f>IF($H768="","",INDEX('Detalle individual'!$F:$F,$H768))</f>
        <v/>
      </c>
      <c r="H768" t="str">
        <f>IFERROR(MATCH(SMALL(Cálculos!$AJ$5:$AJ$1000,764),Cálculos!$AJ$5:$AJ$1000,0)+4,"")</f>
        <v/>
      </c>
    </row>
    <row r="769">
      <c r="B769" s="5" t="str">
        <f>IF($H769="","",INDEX('Detalle individual'!$B:$B,$H769))</f>
        <v/>
      </c>
      <c r="C769" s="5" t="str">
        <f>IF($H769="","",INDEX('Detalle individual'!$A:$A,$H769))</f>
        <v/>
      </c>
      <c r="D769" s="5" t="str">
        <f>IF($H769="","",INDEX('Detalle individual'!$E:$E,$H769))</f>
        <v/>
      </c>
      <c r="E769" s="5" t="str">
        <f>IF($H769="","",INDEX('Detalle individual'!$C:$C,$H769))</f>
        <v/>
      </c>
      <c r="F769" s="5" t="str">
        <f>IF($H769="","",INDEX('Detalle individual'!$D:$D,$H769))</f>
        <v/>
      </c>
      <c r="G769" s="5" t="str">
        <f>IF($H769="","",INDEX('Detalle individual'!$F:$F,$H769))</f>
        <v/>
      </c>
      <c r="H769" t="str">
        <f>IFERROR(MATCH(SMALL(Cálculos!$AJ$5:$AJ$1000,765),Cálculos!$AJ$5:$AJ$1000,0)+4,"")</f>
        <v/>
      </c>
    </row>
    <row r="770">
      <c r="B770" s="5" t="str">
        <f>IF($H770="","",INDEX('Detalle individual'!$B:$B,$H770))</f>
        <v/>
      </c>
      <c r="C770" s="5" t="str">
        <f>IF($H770="","",INDEX('Detalle individual'!$A:$A,$H770))</f>
        <v/>
      </c>
      <c r="D770" s="5" t="str">
        <f>IF($H770="","",INDEX('Detalle individual'!$E:$E,$H770))</f>
        <v/>
      </c>
      <c r="E770" s="5" t="str">
        <f>IF($H770="","",INDEX('Detalle individual'!$C:$C,$H770))</f>
        <v/>
      </c>
      <c r="F770" s="5" t="str">
        <f>IF($H770="","",INDEX('Detalle individual'!$D:$D,$H770))</f>
        <v/>
      </c>
      <c r="G770" s="5" t="str">
        <f>IF($H770="","",INDEX('Detalle individual'!$F:$F,$H770))</f>
        <v/>
      </c>
      <c r="H770" t="str">
        <f>IFERROR(MATCH(SMALL(Cálculos!$AJ$5:$AJ$1000,766),Cálculos!$AJ$5:$AJ$1000,0)+4,"")</f>
        <v/>
      </c>
    </row>
    <row r="771">
      <c r="B771" s="5" t="str">
        <f>IF($H771="","",INDEX('Detalle individual'!$B:$B,$H771))</f>
        <v/>
      </c>
      <c r="C771" s="5" t="str">
        <f>IF($H771="","",INDEX('Detalle individual'!$A:$A,$H771))</f>
        <v/>
      </c>
      <c r="D771" s="5" t="str">
        <f>IF($H771="","",INDEX('Detalle individual'!$E:$E,$H771))</f>
        <v/>
      </c>
      <c r="E771" s="5" t="str">
        <f>IF($H771="","",INDEX('Detalle individual'!$C:$C,$H771))</f>
        <v/>
      </c>
      <c r="F771" s="5" t="str">
        <f>IF($H771="","",INDEX('Detalle individual'!$D:$D,$H771))</f>
        <v/>
      </c>
      <c r="G771" s="5" t="str">
        <f>IF($H771="","",INDEX('Detalle individual'!$F:$F,$H771))</f>
        <v/>
      </c>
      <c r="H771" t="str">
        <f>IFERROR(MATCH(SMALL(Cálculos!$AJ$5:$AJ$1000,767),Cálculos!$AJ$5:$AJ$1000,0)+4,"")</f>
        <v/>
      </c>
    </row>
    <row r="772">
      <c r="B772" s="5" t="str">
        <f>IF($H772="","",INDEX('Detalle individual'!$B:$B,$H772))</f>
        <v/>
      </c>
      <c r="C772" s="5" t="str">
        <f>IF($H772="","",INDEX('Detalle individual'!$A:$A,$H772))</f>
        <v/>
      </c>
      <c r="D772" s="5" t="str">
        <f>IF($H772="","",INDEX('Detalle individual'!$E:$E,$H772))</f>
        <v/>
      </c>
      <c r="E772" s="5" t="str">
        <f>IF($H772="","",INDEX('Detalle individual'!$C:$C,$H772))</f>
        <v/>
      </c>
      <c r="F772" s="5" t="str">
        <f>IF($H772="","",INDEX('Detalle individual'!$D:$D,$H772))</f>
        <v/>
      </c>
      <c r="G772" s="5" t="str">
        <f>IF($H772="","",INDEX('Detalle individual'!$F:$F,$H772))</f>
        <v/>
      </c>
      <c r="H772" t="str">
        <f>IFERROR(MATCH(SMALL(Cálculos!$AJ$5:$AJ$1000,768),Cálculos!$AJ$5:$AJ$1000,0)+4,"")</f>
        <v/>
      </c>
    </row>
    <row r="773">
      <c r="B773" s="5" t="str">
        <f>IF($H773="","",INDEX('Detalle individual'!$B:$B,$H773))</f>
        <v/>
      </c>
      <c r="C773" s="5" t="str">
        <f>IF($H773="","",INDEX('Detalle individual'!$A:$A,$H773))</f>
        <v/>
      </c>
      <c r="D773" s="5" t="str">
        <f>IF($H773="","",INDEX('Detalle individual'!$E:$E,$H773))</f>
        <v/>
      </c>
      <c r="E773" s="5" t="str">
        <f>IF($H773="","",INDEX('Detalle individual'!$C:$C,$H773))</f>
        <v/>
      </c>
      <c r="F773" s="5" t="str">
        <f>IF($H773="","",INDEX('Detalle individual'!$D:$D,$H773))</f>
        <v/>
      </c>
      <c r="G773" s="5" t="str">
        <f>IF($H773="","",INDEX('Detalle individual'!$F:$F,$H773))</f>
        <v/>
      </c>
      <c r="H773" t="str">
        <f>IFERROR(MATCH(SMALL(Cálculos!$AJ$5:$AJ$1000,769),Cálculos!$AJ$5:$AJ$1000,0)+4,"")</f>
        <v/>
      </c>
    </row>
    <row r="774">
      <c r="B774" s="5" t="str">
        <f>IF($H774="","",INDEX('Detalle individual'!$B:$B,$H774))</f>
        <v/>
      </c>
      <c r="C774" s="5" t="str">
        <f>IF($H774="","",INDEX('Detalle individual'!$A:$A,$H774))</f>
        <v/>
      </c>
      <c r="D774" s="5" t="str">
        <f>IF($H774="","",INDEX('Detalle individual'!$E:$E,$H774))</f>
        <v/>
      </c>
      <c r="E774" s="5" t="str">
        <f>IF($H774="","",INDEX('Detalle individual'!$C:$C,$H774))</f>
        <v/>
      </c>
      <c r="F774" s="5" t="str">
        <f>IF($H774="","",INDEX('Detalle individual'!$D:$D,$H774))</f>
        <v/>
      </c>
      <c r="G774" s="5" t="str">
        <f>IF($H774="","",INDEX('Detalle individual'!$F:$F,$H774))</f>
        <v/>
      </c>
      <c r="H774" t="str">
        <f>IFERROR(MATCH(SMALL(Cálculos!$AJ$5:$AJ$1000,770),Cálculos!$AJ$5:$AJ$1000,0)+4,"")</f>
        <v/>
      </c>
    </row>
    <row r="775">
      <c r="B775" s="5" t="str">
        <f>IF($H775="","",INDEX('Detalle individual'!$B:$B,$H775))</f>
        <v/>
      </c>
      <c r="C775" s="5" t="str">
        <f>IF($H775="","",INDEX('Detalle individual'!$A:$A,$H775))</f>
        <v/>
      </c>
      <c r="D775" s="5" t="str">
        <f>IF($H775="","",INDEX('Detalle individual'!$E:$E,$H775))</f>
        <v/>
      </c>
      <c r="E775" s="5" t="str">
        <f>IF($H775="","",INDEX('Detalle individual'!$C:$C,$H775))</f>
        <v/>
      </c>
      <c r="F775" s="5" t="str">
        <f>IF($H775="","",INDEX('Detalle individual'!$D:$D,$H775))</f>
        <v/>
      </c>
      <c r="G775" s="5" t="str">
        <f>IF($H775="","",INDEX('Detalle individual'!$F:$F,$H775))</f>
        <v/>
      </c>
      <c r="H775" t="str">
        <f>IFERROR(MATCH(SMALL(Cálculos!$AJ$5:$AJ$1000,771),Cálculos!$AJ$5:$AJ$1000,0)+4,"")</f>
        <v/>
      </c>
    </row>
    <row r="776">
      <c r="B776" s="5" t="str">
        <f>IF($H776="","",INDEX('Detalle individual'!$B:$B,$H776))</f>
        <v/>
      </c>
      <c r="C776" s="5" t="str">
        <f>IF($H776="","",INDEX('Detalle individual'!$A:$A,$H776))</f>
        <v/>
      </c>
      <c r="D776" s="5" t="str">
        <f>IF($H776="","",INDEX('Detalle individual'!$E:$E,$H776))</f>
        <v/>
      </c>
      <c r="E776" s="5" t="str">
        <f>IF($H776="","",INDEX('Detalle individual'!$C:$C,$H776))</f>
        <v/>
      </c>
      <c r="F776" s="5" t="str">
        <f>IF($H776="","",INDEX('Detalle individual'!$D:$D,$H776))</f>
        <v/>
      </c>
      <c r="G776" s="5" t="str">
        <f>IF($H776="","",INDEX('Detalle individual'!$F:$F,$H776))</f>
        <v/>
      </c>
      <c r="H776" t="str">
        <f>IFERROR(MATCH(SMALL(Cálculos!$AJ$5:$AJ$1000,772),Cálculos!$AJ$5:$AJ$1000,0)+4,"")</f>
        <v/>
      </c>
    </row>
    <row r="777">
      <c r="B777" s="5" t="str">
        <f>IF($H777="","",INDEX('Detalle individual'!$B:$B,$H777))</f>
        <v/>
      </c>
      <c r="C777" s="5" t="str">
        <f>IF($H777="","",INDEX('Detalle individual'!$A:$A,$H777))</f>
        <v/>
      </c>
      <c r="D777" s="5" t="str">
        <f>IF($H777="","",INDEX('Detalle individual'!$E:$E,$H777))</f>
        <v/>
      </c>
      <c r="E777" s="5" t="str">
        <f>IF($H777="","",INDEX('Detalle individual'!$C:$C,$H777))</f>
        <v/>
      </c>
      <c r="F777" s="5" t="str">
        <f>IF($H777="","",INDEX('Detalle individual'!$D:$D,$H777))</f>
        <v/>
      </c>
      <c r="G777" s="5" t="str">
        <f>IF($H777="","",INDEX('Detalle individual'!$F:$F,$H777))</f>
        <v/>
      </c>
      <c r="H777" t="str">
        <f>IFERROR(MATCH(SMALL(Cálculos!$AJ$5:$AJ$1000,773),Cálculos!$AJ$5:$AJ$1000,0)+4,"")</f>
        <v/>
      </c>
    </row>
    <row r="778">
      <c r="B778" s="5" t="str">
        <f>IF($H778="","",INDEX('Detalle individual'!$B:$B,$H778))</f>
        <v/>
      </c>
      <c r="C778" s="5" t="str">
        <f>IF($H778="","",INDEX('Detalle individual'!$A:$A,$H778))</f>
        <v/>
      </c>
      <c r="D778" s="5" t="str">
        <f>IF($H778="","",INDEX('Detalle individual'!$E:$E,$H778))</f>
        <v/>
      </c>
      <c r="E778" s="5" t="str">
        <f>IF($H778="","",INDEX('Detalle individual'!$C:$C,$H778))</f>
        <v/>
      </c>
      <c r="F778" s="5" t="str">
        <f>IF($H778="","",INDEX('Detalle individual'!$D:$D,$H778))</f>
        <v/>
      </c>
      <c r="G778" s="5" t="str">
        <f>IF($H778="","",INDEX('Detalle individual'!$F:$F,$H778))</f>
        <v/>
      </c>
      <c r="H778" t="str">
        <f>IFERROR(MATCH(SMALL(Cálculos!$AJ$5:$AJ$1000,774),Cálculos!$AJ$5:$AJ$1000,0)+4,"")</f>
        <v/>
      </c>
    </row>
    <row r="779">
      <c r="B779" s="5" t="str">
        <f>IF($H779="","",INDEX('Detalle individual'!$B:$B,$H779))</f>
        <v/>
      </c>
      <c r="C779" s="5" t="str">
        <f>IF($H779="","",INDEX('Detalle individual'!$A:$A,$H779))</f>
        <v/>
      </c>
      <c r="D779" s="5" t="str">
        <f>IF($H779="","",INDEX('Detalle individual'!$E:$E,$H779))</f>
        <v/>
      </c>
      <c r="E779" s="5" t="str">
        <f>IF($H779="","",INDEX('Detalle individual'!$C:$C,$H779))</f>
        <v/>
      </c>
      <c r="F779" s="5" t="str">
        <f>IF($H779="","",INDEX('Detalle individual'!$D:$D,$H779))</f>
        <v/>
      </c>
      <c r="G779" s="5" t="str">
        <f>IF($H779="","",INDEX('Detalle individual'!$F:$F,$H779))</f>
        <v/>
      </c>
      <c r="H779" t="str">
        <f>IFERROR(MATCH(SMALL(Cálculos!$AJ$5:$AJ$1000,775),Cálculos!$AJ$5:$AJ$1000,0)+4,"")</f>
        <v/>
      </c>
    </row>
    <row r="780">
      <c r="B780" s="5" t="str">
        <f>IF($H780="","",INDEX('Detalle individual'!$B:$B,$H780))</f>
        <v/>
      </c>
      <c r="C780" s="5" t="str">
        <f>IF($H780="","",INDEX('Detalle individual'!$A:$A,$H780))</f>
        <v/>
      </c>
      <c r="D780" s="5" t="str">
        <f>IF($H780="","",INDEX('Detalle individual'!$E:$E,$H780))</f>
        <v/>
      </c>
      <c r="E780" s="5" t="str">
        <f>IF($H780="","",INDEX('Detalle individual'!$C:$C,$H780))</f>
        <v/>
      </c>
      <c r="F780" s="5" t="str">
        <f>IF($H780="","",INDEX('Detalle individual'!$D:$D,$H780))</f>
        <v/>
      </c>
      <c r="G780" s="5" t="str">
        <f>IF($H780="","",INDEX('Detalle individual'!$F:$F,$H780))</f>
        <v/>
      </c>
      <c r="H780" t="str">
        <f>IFERROR(MATCH(SMALL(Cálculos!$AJ$5:$AJ$1000,776),Cálculos!$AJ$5:$AJ$1000,0)+4,"")</f>
        <v/>
      </c>
    </row>
    <row r="781">
      <c r="B781" s="5" t="str">
        <f>IF($H781="","",INDEX('Detalle individual'!$B:$B,$H781))</f>
        <v/>
      </c>
      <c r="C781" s="5" t="str">
        <f>IF($H781="","",INDEX('Detalle individual'!$A:$A,$H781))</f>
        <v/>
      </c>
      <c r="D781" s="5" t="str">
        <f>IF($H781="","",INDEX('Detalle individual'!$E:$E,$H781))</f>
        <v/>
      </c>
      <c r="E781" s="5" t="str">
        <f>IF($H781="","",INDEX('Detalle individual'!$C:$C,$H781))</f>
        <v/>
      </c>
      <c r="F781" s="5" t="str">
        <f>IF($H781="","",INDEX('Detalle individual'!$D:$D,$H781))</f>
        <v/>
      </c>
      <c r="G781" s="5" t="str">
        <f>IF($H781="","",INDEX('Detalle individual'!$F:$F,$H781))</f>
        <v/>
      </c>
      <c r="H781" t="str">
        <f>IFERROR(MATCH(SMALL(Cálculos!$AJ$5:$AJ$1000,777),Cálculos!$AJ$5:$AJ$1000,0)+4,"")</f>
        <v/>
      </c>
    </row>
    <row r="782">
      <c r="B782" s="5" t="str">
        <f>IF($H782="","",INDEX('Detalle individual'!$B:$B,$H782))</f>
        <v/>
      </c>
      <c r="C782" s="5" t="str">
        <f>IF($H782="","",INDEX('Detalle individual'!$A:$A,$H782))</f>
        <v/>
      </c>
      <c r="D782" s="5" t="str">
        <f>IF($H782="","",INDEX('Detalle individual'!$E:$E,$H782))</f>
        <v/>
      </c>
      <c r="E782" s="5" t="str">
        <f>IF($H782="","",INDEX('Detalle individual'!$C:$C,$H782))</f>
        <v/>
      </c>
      <c r="F782" s="5" t="str">
        <f>IF($H782="","",INDEX('Detalle individual'!$D:$D,$H782))</f>
        <v/>
      </c>
      <c r="G782" s="5" t="str">
        <f>IF($H782="","",INDEX('Detalle individual'!$F:$F,$H782))</f>
        <v/>
      </c>
      <c r="H782" t="str">
        <f>IFERROR(MATCH(SMALL(Cálculos!$AJ$5:$AJ$1000,778),Cálculos!$AJ$5:$AJ$1000,0)+4,"")</f>
        <v/>
      </c>
    </row>
    <row r="783">
      <c r="B783" s="5" t="str">
        <f>IF($H783="","",INDEX('Detalle individual'!$B:$B,$H783))</f>
        <v/>
      </c>
      <c r="C783" s="5" t="str">
        <f>IF($H783="","",INDEX('Detalle individual'!$A:$A,$H783))</f>
        <v/>
      </c>
      <c r="D783" s="5" t="str">
        <f>IF($H783="","",INDEX('Detalle individual'!$E:$E,$H783))</f>
        <v/>
      </c>
      <c r="E783" s="5" t="str">
        <f>IF($H783="","",INDEX('Detalle individual'!$C:$C,$H783))</f>
        <v/>
      </c>
      <c r="F783" s="5" t="str">
        <f>IF($H783="","",INDEX('Detalle individual'!$D:$D,$H783))</f>
        <v/>
      </c>
      <c r="G783" s="5" t="str">
        <f>IF($H783="","",INDEX('Detalle individual'!$F:$F,$H783))</f>
        <v/>
      </c>
      <c r="H783" t="str">
        <f>IFERROR(MATCH(SMALL(Cálculos!$AJ$5:$AJ$1000,779),Cálculos!$AJ$5:$AJ$1000,0)+4,"")</f>
        <v/>
      </c>
    </row>
    <row r="784">
      <c r="B784" s="5" t="str">
        <f>IF($H784="","",INDEX('Detalle individual'!$B:$B,$H784))</f>
        <v/>
      </c>
      <c r="C784" s="5" t="str">
        <f>IF($H784="","",INDEX('Detalle individual'!$A:$A,$H784))</f>
        <v/>
      </c>
      <c r="D784" s="5" t="str">
        <f>IF($H784="","",INDEX('Detalle individual'!$E:$E,$H784))</f>
        <v/>
      </c>
      <c r="E784" s="5" t="str">
        <f>IF($H784="","",INDEX('Detalle individual'!$C:$C,$H784))</f>
        <v/>
      </c>
      <c r="F784" s="5" t="str">
        <f>IF($H784="","",INDEX('Detalle individual'!$D:$D,$H784))</f>
        <v/>
      </c>
      <c r="G784" s="5" t="str">
        <f>IF($H784="","",INDEX('Detalle individual'!$F:$F,$H784))</f>
        <v/>
      </c>
      <c r="H784" t="str">
        <f>IFERROR(MATCH(SMALL(Cálculos!$AJ$5:$AJ$1000,780),Cálculos!$AJ$5:$AJ$1000,0)+4,"")</f>
        <v/>
      </c>
    </row>
    <row r="785">
      <c r="B785" s="5" t="str">
        <f>IF($H785="","",INDEX('Detalle individual'!$B:$B,$H785))</f>
        <v/>
      </c>
      <c r="C785" s="5" t="str">
        <f>IF($H785="","",INDEX('Detalle individual'!$A:$A,$H785))</f>
        <v/>
      </c>
      <c r="D785" s="5" t="str">
        <f>IF($H785="","",INDEX('Detalle individual'!$E:$E,$H785))</f>
        <v/>
      </c>
      <c r="E785" s="5" t="str">
        <f>IF($H785="","",INDEX('Detalle individual'!$C:$C,$H785))</f>
        <v/>
      </c>
      <c r="F785" s="5" t="str">
        <f>IF($H785="","",INDEX('Detalle individual'!$D:$D,$H785))</f>
        <v/>
      </c>
      <c r="G785" s="5" t="str">
        <f>IF($H785="","",INDEX('Detalle individual'!$F:$F,$H785))</f>
        <v/>
      </c>
      <c r="H785" t="str">
        <f>IFERROR(MATCH(SMALL(Cálculos!$AJ$5:$AJ$1000,781),Cálculos!$AJ$5:$AJ$1000,0)+4,"")</f>
        <v/>
      </c>
    </row>
    <row r="786">
      <c r="B786" s="5" t="str">
        <f>IF($H786="","",INDEX('Detalle individual'!$B:$B,$H786))</f>
        <v/>
      </c>
      <c r="C786" s="5" t="str">
        <f>IF($H786="","",INDEX('Detalle individual'!$A:$A,$H786))</f>
        <v/>
      </c>
      <c r="D786" s="5" t="str">
        <f>IF($H786="","",INDEX('Detalle individual'!$E:$E,$H786))</f>
        <v/>
      </c>
      <c r="E786" s="5" t="str">
        <f>IF($H786="","",INDEX('Detalle individual'!$C:$C,$H786))</f>
        <v/>
      </c>
      <c r="F786" s="5" t="str">
        <f>IF($H786="","",INDEX('Detalle individual'!$D:$D,$H786))</f>
        <v/>
      </c>
      <c r="G786" s="5" t="str">
        <f>IF($H786="","",INDEX('Detalle individual'!$F:$F,$H786))</f>
        <v/>
      </c>
      <c r="H786" t="str">
        <f>IFERROR(MATCH(SMALL(Cálculos!$AJ$5:$AJ$1000,782),Cálculos!$AJ$5:$AJ$1000,0)+4,"")</f>
        <v/>
      </c>
    </row>
    <row r="787">
      <c r="B787" s="5" t="str">
        <f>IF($H787="","",INDEX('Detalle individual'!$B:$B,$H787))</f>
        <v/>
      </c>
      <c r="C787" s="5" t="str">
        <f>IF($H787="","",INDEX('Detalle individual'!$A:$A,$H787))</f>
        <v/>
      </c>
      <c r="D787" s="5" t="str">
        <f>IF($H787="","",INDEX('Detalle individual'!$E:$E,$H787))</f>
        <v/>
      </c>
      <c r="E787" s="5" t="str">
        <f>IF($H787="","",INDEX('Detalle individual'!$C:$C,$H787))</f>
        <v/>
      </c>
      <c r="F787" s="5" t="str">
        <f>IF($H787="","",INDEX('Detalle individual'!$D:$D,$H787))</f>
        <v/>
      </c>
      <c r="G787" s="5" t="str">
        <f>IF($H787="","",INDEX('Detalle individual'!$F:$F,$H787))</f>
        <v/>
      </c>
      <c r="H787" t="str">
        <f>IFERROR(MATCH(SMALL(Cálculos!$AJ$5:$AJ$1000,783),Cálculos!$AJ$5:$AJ$1000,0)+4,"")</f>
        <v/>
      </c>
    </row>
    <row r="788">
      <c r="B788" s="5" t="str">
        <f>IF($H788="","",INDEX('Detalle individual'!$B:$B,$H788))</f>
        <v/>
      </c>
      <c r="C788" s="5" t="str">
        <f>IF($H788="","",INDEX('Detalle individual'!$A:$A,$H788))</f>
        <v/>
      </c>
      <c r="D788" s="5" t="str">
        <f>IF($H788="","",INDEX('Detalle individual'!$E:$E,$H788))</f>
        <v/>
      </c>
      <c r="E788" s="5" t="str">
        <f>IF($H788="","",INDEX('Detalle individual'!$C:$C,$H788))</f>
        <v/>
      </c>
      <c r="F788" s="5" t="str">
        <f>IF($H788="","",INDEX('Detalle individual'!$D:$D,$H788))</f>
        <v/>
      </c>
      <c r="G788" s="5" t="str">
        <f>IF($H788="","",INDEX('Detalle individual'!$F:$F,$H788))</f>
        <v/>
      </c>
      <c r="H788" t="str">
        <f>IFERROR(MATCH(SMALL(Cálculos!$AJ$5:$AJ$1000,784),Cálculos!$AJ$5:$AJ$1000,0)+4,"")</f>
        <v/>
      </c>
    </row>
    <row r="789">
      <c r="B789" s="5" t="str">
        <f>IF($H789="","",INDEX('Detalle individual'!$B:$B,$H789))</f>
        <v/>
      </c>
      <c r="C789" s="5" t="str">
        <f>IF($H789="","",INDEX('Detalle individual'!$A:$A,$H789))</f>
        <v/>
      </c>
      <c r="D789" s="5" t="str">
        <f>IF($H789="","",INDEX('Detalle individual'!$E:$E,$H789))</f>
        <v/>
      </c>
      <c r="E789" s="5" t="str">
        <f>IF($H789="","",INDEX('Detalle individual'!$C:$C,$H789))</f>
        <v/>
      </c>
      <c r="F789" s="5" t="str">
        <f>IF($H789="","",INDEX('Detalle individual'!$D:$D,$H789))</f>
        <v/>
      </c>
      <c r="G789" s="5" t="str">
        <f>IF($H789="","",INDEX('Detalle individual'!$F:$F,$H789))</f>
        <v/>
      </c>
      <c r="H789" t="str">
        <f>IFERROR(MATCH(SMALL(Cálculos!$AJ$5:$AJ$1000,785),Cálculos!$AJ$5:$AJ$1000,0)+4,"")</f>
        <v/>
      </c>
    </row>
    <row r="790">
      <c r="B790" s="5" t="str">
        <f>IF($H790="","",INDEX('Detalle individual'!$B:$B,$H790))</f>
        <v/>
      </c>
      <c r="C790" s="5" t="str">
        <f>IF($H790="","",INDEX('Detalle individual'!$A:$A,$H790))</f>
        <v/>
      </c>
      <c r="D790" s="5" t="str">
        <f>IF($H790="","",INDEX('Detalle individual'!$E:$E,$H790))</f>
        <v/>
      </c>
      <c r="E790" s="5" t="str">
        <f>IF($H790="","",INDEX('Detalle individual'!$C:$C,$H790))</f>
        <v/>
      </c>
      <c r="F790" s="5" t="str">
        <f>IF($H790="","",INDEX('Detalle individual'!$D:$D,$H790))</f>
        <v/>
      </c>
      <c r="G790" s="5" t="str">
        <f>IF($H790="","",INDEX('Detalle individual'!$F:$F,$H790))</f>
        <v/>
      </c>
      <c r="H790" t="str">
        <f>IFERROR(MATCH(SMALL(Cálculos!$AJ$5:$AJ$1000,786),Cálculos!$AJ$5:$AJ$1000,0)+4,"")</f>
        <v/>
      </c>
    </row>
    <row r="791">
      <c r="B791" s="5" t="str">
        <f>IF($H791="","",INDEX('Detalle individual'!$B:$B,$H791))</f>
        <v/>
      </c>
      <c r="C791" s="5" t="str">
        <f>IF($H791="","",INDEX('Detalle individual'!$A:$A,$H791))</f>
        <v/>
      </c>
      <c r="D791" s="5" t="str">
        <f>IF($H791="","",INDEX('Detalle individual'!$E:$E,$H791))</f>
        <v/>
      </c>
      <c r="E791" s="5" t="str">
        <f>IF($H791="","",INDEX('Detalle individual'!$C:$C,$H791))</f>
        <v/>
      </c>
      <c r="F791" s="5" t="str">
        <f>IF($H791="","",INDEX('Detalle individual'!$D:$D,$H791))</f>
        <v/>
      </c>
      <c r="G791" s="5" t="str">
        <f>IF($H791="","",INDEX('Detalle individual'!$F:$F,$H791))</f>
        <v/>
      </c>
      <c r="H791" t="str">
        <f>IFERROR(MATCH(SMALL(Cálculos!$AJ$5:$AJ$1000,787),Cálculos!$AJ$5:$AJ$1000,0)+4,"")</f>
        <v/>
      </c>
    </row>
    <row r="792">
      <c r="B792" s="5" t="str">
        <f>IF($H792="","",INDEX('Detalle individual'!$B:$B,$H792))</f>
        <v/>
      </c>
      <c r="C792" s="5" t="str">
        <f>IF($H792="","",INDEX('Detalle individual'!$A:$A,$H792))</f>
        <v/>
      </c>
      <c r="D792" s="5" t="str">
        <f>IF($H792="","",INDEX('Detalle individual'!$E:$E,$H792))</f>
        <v/>
      </c>
      <c r="E792" s="5" t="str">
        <f>IF($H792="","",INDEX('Detalle individual'!$C:$C,$H792))</f>
        <v/>
      </c>
      <c r="F792" s="5" t="str">
        <f>IF($H792="","",INDEX('Detalle individual'!$D:$D,$H792))</f>
        <v/>
      </c>
      <c r="G792" s="5" t="str">
        <f>IF($H792="","",INDEX('Detalle individual'!$F:$F,$H792))</f>
        <v/>
      </c>
      <c r="H792" t="str">
        <f>IFERROR(MATCH(SMALL(Cálculos!$AJ$5:$AJ$1000,788),Cálculos!$AJ$5:$AJ$1000,0)+4,"")</f>
        <v/>
      </c>
    </row>
    <row r="793">
      <c r="B793" s="5" t="str">
        <f>IF($H793="","",INDEX('Detalle individual'!$B:$B,$H793))</f>
        <v/>
      </c>
      <c r="C793" s="5" t="str">
        <f>IF($H793="","",INDEX('Detalle individual'!$A:$A,$H793))</f>
        <v/>
      </c>
      <c r="D793" s="5" t="str">
        <f>IF($H793="","",INDEX('Detalle individual'!$E:$E,$H793))</f>
        <v/>
      </c>
      <c r="E793" s="5" t="str">
        <f>IF($H793="","",INDEX('Detalle individual'!$C:$C,$H793))</f>
        <v/>
      </c>
      <c r="F793" s="5" t="str">
        <f>IF($H793="","",INDEX('Detalle individual'!$D:$D,$H793))</f>
        <v/>
      </c>
      <c r="G793" s="5" t="str">
        <f>IF($H793="","",INDEX('Detalle individual'!$F:$F,$H793))</f>
        <v/>
      </c>
      <c r="H793" t="str">
        <f>IFERROR(MATCH(SMALL(Cálculos!$AJ$5:$AJ$1000,789),Cálculos!$AJ$5:$AJ$1000,0)+4,"")</f>
        <v/>
      </c>
    </row>
    <row r="794">
      <c r="B794" s="5" t="str">
        <f>IF($H794="","",INDEX('Detalle individual'!$B:$B,$H794))</f>
        <v/>
      </c>
      <c r="C794" s="5" t="str">
        <f>IF($H794="","",INDEX('Detalle individual'!$A:$A,$H794))</f>
        <v/>
      </c>
      <c r="D794" s="5" t="str">
        <f>IF($H794="","",INDEX('Detalle individual'!$E:$E,$H794))</f>
        <v/>
      </c>
      <c r="E794" s="5" t="str">
        <f>IF($H794="","",INDEX('Detalle individual'!$C:$C,$H794))</f>
        <v/>
      </c>
      <c r="F794" s="5" t="str">
        <f>IF($H794="","",INDEX('Detalle individual'!$D:$D,$H794))</f>
        <v/>
      </c>
      <c r="G794" s="5" t="str">
        <f>IF($H794="","",INDEX('Detalle individual'!$F:$F,$H794))</f>
        <v/>
      </c>
      <c r="H794" t="str">
        <f>IFERROR(MATCH(SMALL(Cálculos!$AJ$5:$AJ$1000,790),Cálculos!$AJ$5:$AJ$1000,0)+4,"")</f>
        <v/>
      </c>
    </row>
    <row r="795">
      <c r="B795" s="5" t="str">
        <f>IF($H795="","",INDEX('Detalle individual'!$B:$B,$H795))</f>
        <v/>
      </c>
      <c r="C795" s="5" t="str">
        <f>IF($H795="","",INDEX('Detalle individual'!$A:$A,$H795))</f>
        <v/>
      </c>
      <c r="D795" s="5" t="str">
        <f>IF($H795="","",INDEX('Detalle individual'!$E:$E,$H795))</f>
        <v/>
      </c>
      <c r="E795" s="5" t="str">
        <f>IF($H795="","",INDEX('Detalle individual'!$C:$C,$H795))</f>
        <v/>
      </c>
      <c r="F795" s="5" t="str">
        <f>IF($H795="","",INDEX('Detalle individual'!$D:$D,$H795))</f>
        <v/>
      </c>
      <c r="G795" s="5" t="str">
        <f>IF($H795="","",INDEX('Detalle individual'!$F:$F,$H795))</f>
        <v/>
      </c>
      <c r="H795" t="str">
        <f>IFERROR(MATCH(SMALL(Cálculos!$AJ$5:$AJ$1000,791),Cálculos!$AJ$5:$AJ$1000,0)+4,"")</f>
        <v/>
      </c>
    </row>
    <row r="796">
      <c r="B796" s="5" t="str">
        <f>IF($H796="","",INDEX('Detalle individual'!$B:$B,$H796))</f>
        <v/>
      </c>
      <c r="C796" s="5" t="str">
        <f>IF($H796="","",INDEX('Detalle individual'!$A:$A,$H796))</f>
        <v/>
      </c>
      <c r="D796" s="5" t="str">
        <f>IF($H796="","",INDEX('Detalle individual'!$E:$E,$H796))</f>
        <v/>
      </c>
      <c r="E796" s="5" t="str">
        <f>IF($H796="","",INDEX('Detalle individual'!$C:$C,$H796))</f>
        <v/>
      </c>
      <c r="F796" s="5" t="str">
        <f>IF($H796="","",INDEX('Detalle individual'!$D:$D,$H796))</f>
        <v/>
      </c>
      <c r="G796" s="5" t="str">
        <f>IF($H796="","",INDEX('Detalle individual'!$F:$F,$H796))</f>
        <v/>
      </c>
      <c r="H796" t="str">
        <f>IFERROR(MATCH(SMALL(Cálculos!$AJ$5:$AJ$1000,792),Cálculos!$AJ$5:$AJ$1000,0)+4,"")</f>
        <v/>
      </c>
    </row>
    <row r="797">
      <c r="B797" s="5" t="str">
        <f>IF($H797="","",INDEX('Detalle individual'!$B:$B,$H797))</f>
        <v/>
      </c>
      <c r="C797" s="5" t="str">
        <f>IF($H797="","",INDEX('Detalle individual'!$A:$A,$H797))</f>
        <v/>
      </c>
      <c r="D797" s="5" t="str">
        <f>IF($H797="","",INDEX('Detalle individual'!$E:$E,$H797))</f>
        <v/>
      </c>
      <c r="E797" s="5" t="str">
        <f>IF($H797="","",INDEX('Detalle individual'!$C:$C,$H797))</f>
        <v/>
      </c>
      <c r="F797" s="5" t="str">
        <f>IF($H797="","",INDEX('Detalle individual'!$D:$D,$H797))</f>
        <v/>
      </c>
      <c r="G797" s="5" t="str">
        <f>IF($H797="","",INDEX('Detalle individual'!$F:$F,$H797))</f>
        <v/>
      </c>
      <c r="H797" t="str">
        <f>IFERROR(MATCH(SMALL(Cálculos!$AJ$5:$AJ$1000,793),Cálculos!$AJ$5:$AJ$1000,0)+4,"")</f>
        <v/>
      </c>
    </row>
    <row r="798">
      <c r="B798" s="5" t="str">
        <f>IF($H798="","",INDEX('Detalle individual'!$B:$B,$H798))</f>
        <v/>
      </c>
      <c r="C798" s="5" t="str">
        <f>IF($H798="","",INDEX('Detalle individual'!$A:$A,$H798))</f>
        <v/>
      </c>
      <c r="D798" s="5" t="str">
        <f>IF($H798="","",INDEX('Detalle individual'!$E:$E,$H798))</f>
        <v/>
      </c>
      <c r="E798" s="5" t="str">
        <f>IF($H798="","",INDEX('Detalle individual'!$C:$C,$H798))</f>
        <v/>
      </c>
      <c r="F798" s="5" t="str">
        <f>IF($H798="","",INDEX('Detalle individual'!$D:$D,$H798))</f>
        <v/>
      </c>
      <c r="G798" s="5" t="str">
        <f>IF($H798="","",INDEX('Detalle individual'!$F:$F,$H798))</f>
        <v/>
      </c>
      <c r="H798" t="str">
        <f>IFERROR(MATCH(SMALL(Cálculos!$AJ$5:$AJ$1000,794),Cálculos!$AJ$5:$AJ$1000,0)+4,"")</f>
        <v/>
      </c>
    </row>
    <row r="799">
      <c r="B799" s="5" t="str">
        <f>IF($H799="","",INDEX('Detalle individual'!$B:$B,$H799))</f>
        <v/>
      </c>
      <c r="C799" s="5" t="str">
        <f>IF($H799="","",INDEX('Detalle individual'!$A:$A,$H799))</f>
        <v/>
      </c>
      <c r="D799" s="5" t="str">
        <f>IF($H799="","",INDEX('Detalle individual'!$E:$E,$H799))</f>
        <v/>
      </c>
      <c r="E799" s="5" t="str">
        <f>IF($H799="","",INDEX('Detalle individual'!$C:$C,$H799))</f>
        <v/>
      </c>
      <c r="F799" s="5" t="str">
        <f>IF($H799="","",INDEX('Detalle individual'!$D:$D,$H799))</f>
        <v/>
      </c>
      <c r="G799" s="5" t="str">
        <f>IF($H799="","",INDEX('Detalle individual'!$F:$F,$H799))</f>
        <v/>
      </c>
      <c r="H799" t="str">
        <f>IFERROR(MATCH(SMALL(Cálculos!$AJ$5:$AJ$1000,795),Cálculos!$AJ$5:$AJ$1000,0)+4,"")</f>
        <v/>
      </c>
    </row>
    <row r="800">
      <c r="B800" s="5" t="str">
        <f>IF($H800="","",INDEX('Detalle individual'!$B:$B,$H800))</f>
        <v/>
      </c>
      <c r="C800" s="5" t="str">
        <f>IF($H800="","",INDEX('Detalle individual'!$A:$A,$H800))</f>
        <v/>
      </c>
      <c r="D800" s="5" t="str">
        <f>IF($H800="","",INDEX('Detalle individual'!$E:$E,$H800))</f>
        <v/>
      </c>
      <c r="E800" s="5" t="str">
        <f>IF($H800="","",INDEX('Detalle individual'!$C:$C,$H800))</f>
        <v/>
      </c>
      <c r="F800" s="5" t="str">
        <f>IF($H800="","",INDEX('Detalle individual'!$D:$D,$H800))</f>
        <v/>
      </c>
      <c r="G800" s="5" t="str">
        <f>IF($H800="","",INDEX('Detalle individual'!$F:$F,$H800))</f>
        <v/>
      </c>
      <c r="H800" t="str">
        <f>IFERROR(MATCH(SMALL(Cálculos!$AJ$5:$AJ$1000,796),Cálculos!$AJ$5:$AJ$1000,0)+4,"")</f>
        <v/>
      </c>
    </row>
    <row r="801">
      <c r="B801" s="5" t="str">
        <f>IF($H801="","",INDEX('Detalle individual'!$B:$B,$H801))</f>
        <v/>
      </c>
      <c r="C801" s="5" t="str">
        <f>IF($H801="","",INDEX('Detalle individual'!$A:$A,$H801))</f>
        <v/>
      </c>
      <c r="D801" s="5" t="str">
        <f>IF($H801="","",INDEX('Detalle individual'!$E:$E,$H801))</f>
        <v/>
      </c>
      <c r="E801" s="5" t="str">
        <f>IF($H801="","",INDEX('Detalle individual'!$C:$C,$H801))</f>
        <v/>
      </c>
      <c r="F801" s="5" t="str">
        <f>IF($H801="","",INDEX('Detalle individual'!$D:$D,$H801))</f>
        <v/>
      </c>
      <c r="G801" s="5" t="str">
        <f>IF($H801="","",INDEX('Detalle individual'!$F:$F,$H801))</f>
        <v/>
      </c>
      <c r="H801" t="str">
        <f>IFERROR(MATCH(SMALL(Cálculos!$AJ$5:$AJ$1000,797),Cálculos!$AJ$5:$AJ$1000,0)+4,"")</f>
        <v/>
      </c>
    </row>
    <row r="802">
      <c r="B802" s="5" t="str">
        <f>IF($H802="","",INDEX('Detalle individual'!$B:$B,$H802))</f>
        <v/>
      </c>
      <c r="C802" s="5" t="str">
        <f>IF($H802="","",INDEX('Detalle individual'!$A:$A,$H802))</f>
        <v/>
      </c>
      <c r="D802" s="5" t="str">
        <f>IF($H802="","",INDEX('Detalle individual'!$E:$E,$H802))</f>
        <v/>
      </c>
      <c r="E802" s="5" t="str">
        <f>IF($H802="","",INDEX('Detalle individual'!$C:$C,$H802))</f>
        <v/>
      </c>
      <c r="F802" s="5" t="str">
        <f>IF($H802="","",INDEX('Detalle individual'!$D:$D,$H802))</f>
        <v/>
      </c>
      <c r="G802" s="5" t="str">
        <f>IF($H802="","",INDEX('Detalle individual'!$F:$F,$H802))</f>
        <v/>
      </c>
      <c r="H802" t="str">
        <f>IFERROR(MATCH(SMALL(Cálculos!$AJ$5:$AJ$1000,798),Cálculos!$AJ$5:$AJ$1000,0)+4,"")</f>
        <v/>
      </c>
    </row>
    <row r="803">
      <c r="B803" s="5" t="str">
        <f>IF($H803="","",INDEX('Detalle individual'!$B:$B,$H803))</f>
        <v/>
      </c>
      <c r="C803" s="5" t="str">
        <f>IF($H803="","",INDEX('Detalle individual'!$A:$A,$H803))</f>
        <v/>
      </c>
      <c r="D803" s="5" t="str">
        <f>IF($H803="","",INDEX('Detalle individual'!$E:$E,$H803))</f>
        <v/>
      </c>
      <c r="E803" s="5" t="str">
        <f>IF($H803="","",INDEX('Detalle individual'!$C:$C,$H803))</f>
        <v/>
      </c>
      <c r="F803" s="5" t="str">
        <f>IF($H803="","",INDEX('Detalle individual'!$D:$D,$H803))</f>
        <v/>
      </c>
      <c r="G803" s="5" t="str">
        <f>IF($H803="","",INDEX('Detalle individual'!$F:$F,$H803))</f>
        <v/>
      </c>
      <c r="H803" t="str">
        <f>IFERROR(MATCH(SMALL(Cálculos!$AJ$5:$AJ$1000,799),Cálculos!$AJ$5:$AJ$1000,0)+4,"")</f>
        <v/>
      </c>
    </row>
    <row r="804">
      <c r="B804" s="5" t="str">
        <f>IF($H804="","",INDEX('Detalle individual'!$B:$B,$H804))</f>
        <v/>
      </c>
      <c r="C804" s="5" t="str">
        <f>IF($H804="","",INDEX('Detalle individual'!$A:$A,$H804))</f>
        <v/>
      </c>
      <c r="D804" s="5" t="str">
        <f>IF($H804="","",INDEX('Detalle individual'!$E:$E,$H804))</f>
        <v/>
      </c>
      <c r="E804" s="5" t="str">
        <f>IF($H804="","",INDEX('Detalle individual'!$C:$C,$H804))</f>
        <v/>
      </c>
      <c r="F804" s="5" t="str">
        <f>IF($H804="","",INDEX('Detalle individual'!$D:$D,$H804))</f>
        <v/>
      </c>
      <c r="G804" s="5" t="str">
        <f>IF($H804="","",INDEX('Detalle individual'!$F:$F,$H804))</f>
        <v/>
      </c>
      <c r="H804" t="str">
        <f>IFERROR(MATCH(SMALL(Cálculos!$AJ$5:$AJ$1000,800),Cálculos!$AJ$5:$AJ$1000,0)+4,"")</f>
        <v/>
      </c>
    </row>
    <row r="805">
      <c r="B805" s="5" t="str">
        <f>IF($H805="","",INDEX('Detalle individual'!$B:$B,$H805))</f>
        <v/>
      </c>
      <c r="C805" s="5" t="str">
        <f>IF($H805="","",INDEX('Detalle individual'!$A:$A,$H805))</f>
        <v/>
      </c>
      <c r="D805" s="5" t="str">
        <f>IF($H805="","",INDEX('Detalle individual'!$E:$E,$H805))</f>
        <v/>
      </c>
      <c r="E805" s="5" t="str">
        <f>IF($H805="","",INDEX('Detalle individual'!$C:$C,$H805))</f>
        <v/>
      </c>
      <c r="F805" s="5" t="str">
        <f>IF($H805="","",INDEX('Detalle individual'!$D:$D,$H805))</f>
        <v/>
      </c>
      <c r="G805" s="5" t="str">
        <f>IF($H805="","",INDEX('Detalle individual'!$F:$F,$H805))</f>
        <v/>
      </c>
      <c r="H805" t="str">
        <f>IFERROR(MATCH(SMALL(Cálculos!$AJ$5:$AJ$1000,801),Cálculos!$AJ$5:$AJ$1000,0)+4,"")</f>
        <v/>
      </c>
    </row>
    <row r="806">
      <c r="B806" s="5" t="str">
        <f>IF($H806="","",INDEX('Detalle individual'!$B:$B,$H806))</f>
        <v/>
      </c>
      <c r="C806" s="5" t="str">
        <f>IF($H806="","",INDEX('Detalle individual'!$A:$A,$H806))</f>
        <v/>
      </c>
      <c r="D806" s="5" t="str">
        <f>IF($H806="","",INDEX('Detalle individual'!$E:$E,$H806))</f>
        <v/>
      </c>
      <c r="E806" s="5" t="str">
        <f>IF($H806="","",INDEX('Detalle individual'!$C:$C,$H806))</f>
        <v/>
      </c>
      <c r="F806" s="5" t="str">
        <f>IF($H806="","",INDEX('Detalle individual'!$D:$D,$H806))</f>
        <v/>
      </c>
      <c r="G806" s="5" t="str">
        <f>IF($H806="","",INDEX('Detalle individual'!$F:$F,$H806))</f>
        <v/>
      </c>
      <c r="H806" t="str">
        <f>IFERROR(MATCH(SMALL(Cálculos!$AJ$5:$AJ$1000,802),Cálculos!$AJ$5:$AJ$1000,0)+4,"")</f>
        <v/>
      </c>
    </row>
    <row r="807">
      <c r="B807" s="5" t="str">
        <f>IF($H807="","",INDEX('Detalle individual'!$B:$B,$H807))</f>
        <v/>
      </c>
      <c r="C807" s="5" t="str">
        <f>IF($H807="","",INDEX('Detalle individual'!$A:$A,$H807))</f>
        <v/>
      </c>
      <c r="D807" s="5" t="str">
        <f>IF($H807="","",INDEX('Detalle individual'!$E:$E,$H807))</f>
        <v/>
      </c>
      <c r="E807" s="5" t="str">
        <f>IF($H807="","",INDEX('Detalle individual'!$C:$C,$H807))</f>
        <v/>
      </c>
      <c r="F807" s="5" t="str">
        <f>IF($H807="","",INDEX('Detalle individual'!$D:$D,$H807))</f>
        <v/>
      </c>
      <c r="G807" s="5" t="str">
        <f>IF($H807="","",INDEX('Detalle individual'!$F:$F,$H807))</f>
        <v/>
      </c>
      <c r="H807" t="str">
        <f>IFERROR(MATCH(SMALL(Cálculos!$AJ$5:$AJ$1000,803),Cálculos!$AJ$5:$AJ$1000,0)+4,"")</f>
        <v/>
      </c>
    </row>
    <row r="808">
      <c r="B808" s="5" t="str">
        <f>IF($H808="","",INDEX('Detalle individual'!$B:$B,$H808))</f>
        <v/>
      </c>
      <c r="C808" s="5" t="str">
        <f>IF($H808="","",INDEX('Detalle individual'!$A:$A,$H808))</f>
        <v/>
      </c>
      <c r="D808" s="5" t="str">
        <f>IF($H808="","",INDEX('Detalle individual'!$E:$E,$H808))</f>
        <v/>
      </c>
      <c r="E808" s="5" t="str">
        <f>IF($H808="","",INDEX('Detalle individual'!$C:$C,$H808))</f>
        <v/>
      </c>
      <c r="F808" s="5" t="str">
        <f>IF($H808="","",INDEX('Detalle individual'!$D:$D,$H808))</f>
        <v/>
      </c>
      <c r="G808" s="5" t="str">
        <f>IF($H808="","",INDEX('Detalle individual'!$F:$F,$H808))</f>
        <v/>
      </c>
      <c r="H808" t="str">
        <f>IFERROR(MATCH(SMALL(Cálculos!$AJ$5:$AJ$1000,804),Cálculos!$AJ$5:$AJ$1000,0)+4,"")</f>
        <v/>
      </c>
    </row>
    <row r="809">
      <c r="B809" s="5" t="str">
        <f>IF($H809="","",INDEX('Detalle individual'!$B:$B,$H809))</f>
        <v/>
      </c>
      <c r="C809" s="5" t="str">
        <f>IF($H809="","",INDEX('Detalle individual'!$A:$A,$H809))</f>
        <v/>
      </c>
      <c r="D809" s="5" t="str">
        <f>IF($H809="","",INDEX('Detalle individual'!$E:$E,$H809))</f>
        <v/>
      </c>
      <c r="E809" s="5" t="str">
        <f>IF($H809="","",INDEX('Detalle individual'!$C:$C,$H809))</f>
        <v/>
      </c>
      <c r="F809" s="5" t="str">
        <f>IF($H809="","",INDEX('Detalle individual'!$D:$D,$H809))</f>
        <v/>
      </c>
      <c r="G809" s="5" t="str">
        <f>IF($H809="","",INDEX('Detalle individual'!$F:$F,$H809))</f>
        <v/>
      </c>
      <c r="H809" t="str">
        <f>IFERROR(MATCH(SMALL(Cálculos!$AJ$5:$AJ$1000,805),Cálculos!$AJ$5:$AJ$1000,0)+4,"")</f>
        <v/>
      </c>
    </row>
    <row r="810">
      <c r="B810" s="5" t="str">
        <f>IF($H810="","",INDEX('Detalle individual'!$B:$B,$H810))</f>
        <v/>
      </c>
      <c r="C810" s="5" t="str">
        <f>IF($H810="","",INDEX('Detalle individual'!$A:$A,$H810))</f>
        <v/>
      </c>
      <c r="D810" s="5" t="str">
        <f>IF($H810="","",INDEX('Detalle individual'!$E:$E,$H810))</f>
        <v/>
      </c>
      <c r="E810" s="5" t="str">
        <f>IF($H810="","",INDEX('Detalle individual'!$C:$C,$H810))</f>
        <v/>
      </c>
      <c r="F810" s="5" t="str">
        <f>IF($H810="","",INDEX('Detalle individual'!$D:$D,$H810))</f>
        <v/>
      </c>
      <c r="G810" s="5" t="str">
        <f>IF($H810="","",INDEX('Detalle individual'!$F:$F,$H810))</f>
        <v/>
      </c>
      <c r="H810" t="str">
        <f>IFERROR(MATCH(SMALL(Cálculos!$AJ$5:$AJ$1000,806),Cálculos!$AJ$5:$AJ$1000,0)+4,"")</f>
        <v/>
      </c>
    </row>
    <row r="811">
      <c r="B811" s="5" t="str">
        <f>IF($H811="","",INDEX('Detalle individual'!$B:$B,$H811))</f>
        <v/>
      </c>
      <c r="C811" s="5" t="str">
        <f>IF($H811="","",INDEX('Detalle individual'!$A:$A,$H811))</f>
        <v/>
      </c>
      <c r="D811" s="5" t="str">
        <f>IF($H811="","",INDEX('Detalle individual'!$E:$E,$H811))</f>
        <v/>
      </c>
      <c r="E811" s="5" t="str">
        <f>IF($H811="","",INDEX('Detalle individual'!$C:$C,$H811))</f>
        <v/>
      </c>
      <c r="F811" s="5" t="str">
        <f>IF($H811="","",INDEX('Detalle individual'!$D:$D,$H811))</f>
        <v/>
      </c>
      <c r="G811" s="5" t="str">
        <f>IF($H811="","",INDEX('Detalle individual'!$F:$F,$H811))</f>
        <v/>
      </c>
      <c r="H811" t="str">
        <f>IFERROR(MATCH(SMALL(Cálculos!$AJ$5:$AJ$1000,807),Cálculos!$AJ$5:$AJ$1000,0)+4,"")</f>
        <v/>
      </c>
    </row>
    <row r="812">
      <c r="B812" s="5" t="str">
        <f>IF($H812="","",INDEX('Detalle individual'!$B:$B,$H812))</f>
        <v/>
      </c>
      <c r="C812" s="5" t="str">
        <f>IF($H812="","",INDEX('Detalle individual'!$A:$A,$H812))</f>
        <v/>
      </c>
      <c r="D812" s="5" t="str">
        <f>IF($H812="","",INDEX('Detalle individual'!$E:$E,$H812))</f>
        <v/>
      </c>
      <c r="E812" s="5" t="str">
        <f>IF($H812="","",INDEX('Detalle individual'!$C:$C,$H812))</f>
        <v/>
      </c>
      <c r="F812" s="5" t="str">
        <f>IF($H812="","",INDEX('Detalle individual'!$D:$D,$H812))</f>
        <v/>
      </c>
      <c r="G812" s="5" t="str">
        <f>IF($H812="","",INDEX('Detalle individual'!$F:$F,$H812))</f>
        <v/>
      </c>
      <c r="H812" t="str">
        <f>IFERROR(MATCH(SMALL(Cálculos!$AJ$5:$AJ$1000,808),Cálculos!$AJ$5:$AJ$1000,0)+4,"")</f>
        <v/>
      </c>
    </row>
    <row r="813">
      <c r="B813" s="5" t="str">
        <f>IF($H813="","",INDEX('Detalle individual'!$B:$B,$H813))</f>
        <v/>
      </c>
      <c r="C813" s="5" t="str">
        <f>IF($H813="","",INDEX('Detalle individual'!$A:$A,$H813))</f>
        <v/>
      </c>
      <c r="D813" s="5" t="str">
        <f>IF($H813="","",INDEX('Detalle individual'!$E:$E,$H813))</f>
        <v/>
      </c>
      <c r="E813" s="5" t="str">
        <f>IF($H813="","",INDEX('Detalle individual'!$C:$C,$H813))</f>
        <v/>
      </c>
      <c r="F813" s="5" t="str">
        <f>IF($H813="","",INDEX('Detalle individual'!$D:$D,$H813))</f>
        <v/>
      </c>
      <c r="G813" s="5" t="str">
        <f>IF($H813="","",INDEX('Detalle individual'!$F:$F,$H813))</f>
        <v/>
      </c>
      <c r="H813" t="str">
        <f>IFERROR(MATCH(SMALL(Cálculos!$AJ$5:$AJ$1000,809),Cálculos!$AJ$5:$AJ$1000,0)+4,"")</f>
        <v/>
      </c>
    </row>
    <row r="814">
      <c r="B814" s="5" t="str">
        <f>IF($H814="","",INDEX('Detalle individual'!$B:$B,$H814))</f>
        <v/>
      </c>
      <c r="C814" s="5" t="str">
        <f>IF($H814="","",INDEX('Detalle individual'!$A:$A,$H814))</f>
        <v/>
      </c>
      <c r="D814" s="5" t="str">
        <f>IF($H814="","",INDEX('Detalle individual'!$E:$E,$H814))</f>
        <v/>
      </c>
      <c r="E814" s="5" t="str">
        <f>IF($H814="","",INDEX('Detalle individual'!$C:$C,$H814))</f>
        <v/>
      </c>
      <c r="F814" s="5" t="str">
        <f>IF($H814="","",INDEX('Detalle individual'!$D:$D,$H814))</f>
        <v/>
      </c>
      <c r="G814" s="5" t="str">
        <f>IF($H814="","",INDEX('Detalle individual'!$F:$F,$H814))</f>
        <v/>
      </c>
      <c r="H814" t="str">
        <f>IFERROR(MATCH(SMALL(Cálculos!$AJ$5:$AJ$1000,810),Cálculos!$AJ$5:$AJ$1000,0)+4,"")</f>
        <v/>
      </c>
    </row>
    <row r="815">
      <c r="B815" s="5" t="str">
        <f>IF($H815="","",INDEX('Detalle individual'!$B:$B,$H815))</f>
        <v/>
      </c>
      <c r="C815" s="5" t="str">
        <f>IF($H815="","",INDEX('Detalle individual'!$A:$A,$H815))</f>
        <v/>
      </c>
      <c r="D815" s="5" t="str">
        <f>IF($H815="","",INDEX('Detalle individual'!$E:$E,$H815))</f>
        <v/>
      </c>
      <c r="E815" s="5" t="str">
        <f>IF($H815="","",INDEX('Detalle individual'!$C:$C,$H815))</f>
        <v/>
      </c>
      <c r="F815" s="5" t="str">
        <f>IF($H815="","",INDEX('Detalle individual'!$D:$D,$H815))</f>
        <v/>
      </c>
      <c r="G815" s="5" t="str">
        <f>IF($H815="","",INDEX('Detalle individual'!$F:$F,$H815))</f>
        <v/>
      </c>
      <c r="H815" t="str">
        <f>IFERROR(MATCH(SMALL(Cálculos!$AJ$5:$AJ$1000,811),Cálculos!$AJ$5:$AJ$1000,0)+4,"")</f>
        <v/>
      </c>
    </row>
    <row r="816">
      <c r="B816" s="5" t="str">
        <f>IF($H816="","",INDEX('Detalle individual'!$B:$B,$H816))</f>
        <v/>
      </c>
      <c r="C816" s="5" t="str">
        <f>IF($H816="","",INDEX('Detalle individual'!$A:$A,$H816))</f>
        <v/>
      </c>
      <c r="D816" s="5" t="str">
        <f>IF($H816="","",INDEX('Detalle individual'!$E:$E,$H816))</f>
        <v/>
      </c>
      <c r="E816" s="5" t="str">
        <f>IF($H816="","",INDEX('Detalle individual'!$C:$C,$H816))</f>
        <v/>
      </c>
      <c r="F816" s="5" t="str">
        <f>IF($H816="","",INDEX('Detalle individual'!$D:$D,$H816))</f>
        <v/>
      </c>
      <c r="G816" s="5" t="str">
        <f>IF($H816="","",INDEX('Detalle individual'!$F:$F,$H816))</f>
        <v/>
      </c>
      <c r="H816" t="str">
        <f>IFERROR(MATCH(SMALL(Cálculos!$AJ$5:$AJ$1000,812),Cálculos!$AJ$5:$AJ$1000,0)+4,"")</f>
        <v/>
      </c>
    </row>
    <row r="817">
      <c r="B817" s="5" t="str">
        <f>IF($H817="","",INDEX('Detalle individual'!$B:$B,$H817))</f>
        <v/>
      </c>
      <c r="C817" s="5" t="str">
        <f>IF($H817="","",INDEX('Detalle individual'!$A:$A,$H817))</f>
        <v/>
      </c>
      <c r="D817" s="5" t="str">
        <f>IF($H817="","",INDEX('Detalle individual'!$E:$E,$H817))</f>
        <v/>
      </c>
      <c r="E817" s="5" t="str">
        <f>IF($H817="","",INDEX('Detalle individual'!$C:$C,$H817))</f>
        <v/>
      </c>
      <c r="F817" s="5" t="str">
        <f>IF($H817="","",INDEX('Detalle individual'!$D:$D,$H817))</f>
        <v/>
      </c>
      <c r="G817" s="5" t="str">
        <f>IF($H817="","",INDEX('Detalle individual'!$F:$F,$H817))</f>
        <v/>
      </c>
      <c r="H817" t="str">
        <f>IFERROR(MATCH(SMALL(Cálculos!$AJ$5:$AJ$1000,813),Cálculos!$AJ$5:$AJ$1000,0)+4,"")</f>
        <v/>
      </c>
    </row>
    <row r="818">
      <c r="B818" s="5" t="str">
        <f>IF($H818="","",INDEX('Detalle individual'!$B:$B,$H818))</f>
        <v/>
      </c>
      <c r="C818" s="5" t="str">
        <f>IF($H818="","",INDEX('Detalle individual'!$A:$A,$H818))</f>
        <v/>
      </c>
      <c r="D818" s="5" t="str">
        <f>IF($H818="","",INDEX('Detalle individual'!$E:$E,$H818))</f>
        <v/>
      </c>
      <c r="E818" s="5" t="str">
        <f>IF($H818="","",INDEX('Detalle individual'!$C:$C,$H818))</f>
        <v/>
      </c>
      <c r="F818" s="5" t="str">
        <f>IF($H818="","",INDEX('Detalle individual'!$D:$D,$H818))</f>
        <v/>
      </c>
      <c r="G818" s="5" t="str">
        <f>IF($H818="","",INDEX('Detalle individual'!$F:$F,$H818))</f>
        <v/>
      </c>
      <c r="H818" t="str">
        <f>IFERROR(MATCH(SMALL(Cálculos!$AJ$5:$AJ$1000,814),Cálculos!$AJ$5:$AJ$1000,0)+4,"")</f>
        <v/>
      </c>
    </row>
    <row r="819">
      <c r="B819" s="5" t="str">
        <f>IF($H819="","",INDEX('Detalle individual'!$B:$B,$H819))</f>
        <v/>
      </c>
      <c r="C819" s="5" t="str">
        <f>IF($H819="","",INDEX('Detalle individual'!$A:$A,$H819))</f>
        <v/>
      </c>
      <c r="D819" s="5" t="str">
        <f>IF($H819="","",INDEX('Detalle individual'!$E:$E,$H819))</f>
        <v/>
      </c>
      <c r="E819" s="5" t="str">
        <f>IF($H819="","",INDEX('Detalle individual'!$C:$C,$H819))</f>
        <v/>
      </c>
      <c r="F819" s="5" t="str">
        <f>IF($H819="","",INDEX('Detalle individual'!$D:$D,$H819))</f>
        <v/>
      </c>
      <c r="G819" s="5" t="str">
        <f>IF($H819="","",INDEX('Detalle individual'!$F:$F,$H819))</f>
        <v/>
      </c>
      <c r="H819" t="str">
        <f>IFERROR(MATCH(SMALL(Cálculos!$AJ$5:$AJ$1000,815),Cálculos!$AJ$5:$AJ$1000,0)+4,"")</f>
        <v/>
      </c>
    </row>
    <row r="820">
      <c r="B820" s="5" t="str">
        <f>IF($H820="","",INDEX('Detalle individual'!$B:$B,$H820))</f>
        <v/>
      </c>
      <c r="C820" s="5" t="str">
        <f>IF($H820="","",INDEX('Detalle individual'!$A:$A,$H820))</f>
        <v/>
      </c>
      <c r="D820" s="5" t="str">
        <f>IF($H820="","",INDEX('Detalle individual'!$E:$E,$H820))</f>
        <v/>
      </c>
      <c r="E820" s="5" t="str">
        <f>IF($H820="","",INDEX('Detalle individual'!$C:$C,$H820))</f>
        <v/>
      </c>
      <c r="F820" s="5" t="str">
        <f>IF($H820="","",INDEX('Detalle individual'!$D:$D,$H820))</f>
        <v/>
      </c>
      <c r="G820" s="5" t="str">
        <f>IF($H820="","",INDEX('Detalle individual'!$F:$F,$H820))</f>
        <v/>
      </c>
      <c r="H820" t="str">
        <f>IFERROR(MATCH(SMALL(Cálculos!$AJ$5:$AJ$1000,816),Cálculos!$AJ$5:$AJ$1000,0)+4,"")</f>
        <v/>
      </c>
    </row>
    <row r="821">
      <c r="B821" s="5" t="str">
        <f>IF($H821="","",INDEX('Detalle individual'!$B:$B,$H821))</f>
        <v/>
      </c>
      <c r="C821" s="5" t="str">
        <f>IF($H821="","",INDEX('Detalle individual'!$A:$A,$H821))</f>
        <v/>
      </c>
      <c r="D821" s="5" t="str">
        <f>IF($H821="","",INDEX('Detalle individual'!$E:$E,$H821))</f>
        <v/>
      </c>
      <c r="E821" s="5" t="str">
        <f>IF($H821="","",INDEX('Detalle individual'!$C:$C,$H821))</f>
        <v/>
      </c>
      <c r="F821" s="5" t="str">
        <f>IF($H821="","",INDEX('Detalle individual'!$D:$D,$H821))</f>
        <v/>
      </c>
      <c r="G821" s="5" t="str">
        <f>IF($H821="","",INDEX('Detalle individual'!$F:$F,$H821))</f>
        <v/>
      </c>
      <c r="H821" t="str">
        <f>IFERROR(MATCH(SMALL(Cálculos!$AJ$5:$AJ$1000,817),Cálculos!$AJ$5:$AJ$1000,0)+4,"")</f>
        <v/>
      </c>
    </row>
    <row r="822">
      <c r="B822" s="5" t="str">
        <f>IF($H822="","",INDEX('Detalle individual'!$B:$B,$H822))</f>
        <v/>
      </c>
      <c r="C822" s="5" t="str">
        <f>IF($H822="","",INDEX('Detalle individual'!$A:$A,$H822))</f>
        <v/>
      </c>
      <c r="D822" s="5" t="str">
        <f>IF($H822="","",INDEX('Detalle individual'!$E:$E,$H822))</f>
        <v/>
      </c>
      <c r="E822" s="5" t="str">
        <f>IF($H822="","",INDEX('Detalle individual'!$C:$C,$H822))</f>
        <v/>
      </c>
      <c r="F822" s="5" t="str">
        <f>IF($H822="","",INDEX('Detalle individual'!$D:$D,$H822))</f>
        <v/>
      </c>
      <c r="G822" s="5" t="str">
        <f>IF($H822="","",INDEX('Detalle individual'!$F:$F,$H822))</f>
        <v/>
      </c>
      <c r="H822" t="str">
        <f>IFERROR(MATCH(SMALL(Cálculos!$AJ$5:$AJ$1000,818),Cálculos!$AJ$5:$AJ$1000,0)+4,"")</f>
        <v/>
      </c>
    </row>
    <row r="823">
      <c r="B823" s="5" t="str">
        <f>IF($H823="","",INDEX('Detalle individual'!$B:$B,$H823))</f>
        <v/>
      </c>
      <c r="C823" s="5" t="str">
        <f>IF($H823="","",INDEX('Detalle individual'!$A:$A,$H823))</f>
        <v/>
      </c>
      <c r="D823" s="5" t="str">
        <f>IF($H823="","",INDEX('Detalle individual'!$E:$E,$H823))</f>
        <v/>
      </c>
      <c r="E823" s="5" t="str">
        <f>IF($H823="","",INDEX('Detalle individual'!$C:$C,$H823))</f>
        <v/>
      </c>
      <c r="F823" s="5" t="str">
        <f>IF($H823="","",INDEX('Detalle individual'!$D:$D,$H823))</f>
        <v/>
      </c>
      <c r="G823" s="5" t="str">
        <f>IF($H823="","",INDEX('Detalle individual'!$F:$F,$H823))</f>
        <v/>
      </c>
      <c r="H823" t="str">
        <f>IFERROR(MATCH(SMALL(Cálculos!$AJ$5:$AJ$1000,819),Cálculos!$AJ$5:$AJ$1000,0)+4,"")</f>
        <v/>
      </c>
    </row>
    <row r="824">
      <c r="B824" s="5" t="str">
        <f>IF($H824="","",INDEX('Detalle individual'!$B:$B,$H824))</f>
        <v/>
      </c>
      <c r="C824" s="5" t="str">
        <f>IF($H824="","",INDEX('Detalle individual'!$A:$A,$H824))</f>
        <v/>
      </c>
      <c r="D824" s="5" t="str">
        <f>IF($H824="","",INDEX('Detalle individual'!$E:$E,$H824))</f>
        <v/>
      </c>
      <c r="E824" s="5" t="str">
        <f>IF($H824="","",INDEX('Detalle individual'!$C:$C,$H824))</f>
        <v/>
      </c>
      <c r="F824" s="5" t="str">
        <f>IF($H824="","",INDEX('Detalle individual'!$D:$D,$H824))</f>
        <v/>
      </c>
      <c r="G824" s="5" t="str">
        <f>IF($H824="","",INDEX('Detalle individual'!$F:$F,$H824))</f>
        <v/>
      </c>
      <c r="H824" t="str">
        <f>IFERROR(MATCH(SMALL(Cálculos!$AJ$5:$AJ$1000,820),Cálculos!$AJ$5:$AJ$1000,0)+4,"")</f>
        <v/>
      </c>
    </row>
    <row r="825">
      <c r="B825" s="5" t="str">
        <f>IF($H825="","",INDEX('Detalle individual'!$B:$B,$H825))</f>
        <v/>
      </c>
      <c r="C825" s="5" t="str">
        <f>IF($H825="","",INDEX('Detalle individual'!$A:$A,$H825))</f>
        <v/>
      </c>
      <c r="D825" s="5" t="str">
        <f>IF($H825="","",INDEX('Detalle individual'!$E:$E,$H825))</f>
        <v/>
      </c>
      <c r="E825" s="5" t="str">
        <f>IF($H825="","",INDEX('Detalle individual'!$C:$C,$H825))</f>
        <v/>
      </c>
      <c r="F825" s="5" t="str">
        <f>IF($H825="","",INDEX('Detalle individual'!$D:$D,$H825))</f>
        <v/>
      </c>
      <c r="G825" s="5" t="str">
        <f>IF($H825="","",INDEX('Detalle individual'!$F:$F,$H825))</f>
        <v/>
      </c>
      <c r="H825" t="str">
        <f>IFERROR(MATCH(SMALL(Cálculos!$AJ$5:$AJ$1000,821),Cálculos!$AJ$5:$AJ$1000,0)+4,"")</f>
        <v/>
      </c>
    </row>
    <row r="826">
      <c r="B826" s="5" t="str">
        <f>IF($H826="","",INDEX('Detalle individual'!$B:$B,$H826))</f>
        <v/>
      </c>
      <c r="C826" s="5" t="str">
        <f>IF($H826="","",INDEX('Detalle individual'!$A:$A,$H826))</f>
        <v/>
      </c>
      <c r="D826" s="5" t="str">
        <f>IF($H826="","",INDEX('Detalle individual'!$E:$E,$H826))</f>
        <v/>
      </c>
      <c r="E826" s="5" t="str">
        <f>IF($H826="","",INDEX('Detalle individual'!$C:$C,$H826))</f>
        <v/>
      </c>
      <c r="F826" s="5" t="str">
        <f>IF($H826="","",INDEX('Detalle individual'!$D:$D,$H826))</f>
        <v/>
      </c>
      <c r="G826" s="5" t="str">
        <f>IF($H826="","",INDEX('Detalle individual'!$F:$F,$H826))</f>
        <v/>
      </c>
      <c r="H826" t="str">
        <f>IFERROR(MATCH(SMALL(Cálculos!$AJ$5:$AJ$1000,822),Cálculos!$AJ$5:$AJ$1000,0)+4,"")</f>
        <v/>
      </c>
    </row>
    <row r="827">
      <c r="B827" s="5" t="str">
        <f>IF($H827="","",INDEX('Detalle individual'!$B:$B,$H827))</f>
        <v/>
      </c>
      <c r="C827" s="5" t="str">
        <f>IF($H827="","",INDEX('Detalle individual'!$A:$A,$H827))</f>
        <v/>
      </c>
      <c r="D827" s="5" t="str">
        <f>IF($H827="","",INDEX('Detalle individual'!$E:$E,$H827))</f>
        <v/>
      </c>
      <c r="E827" s="5" t="str">
        <f>IF($H827="","",INDEX('Detalle individual'!$C:$C,$H827))</f>
        <v/>
      </c>
      <c r="F827" s="5" t="str">
        <f>IF($H827="","",INDEX('Detalle individual'!$D:$D,$H827))</f>
        <v/>
      </c>
      <c r="G827" s="5" t="str">
        <f>IF($H827="","",INDEX('Detalle individual'!$F:$F,$H827))</f>
        <v/>
      </c>
      <c r="H827" t="str">
        <f>IFERROR(MATCH(SMALL(Cálculos!$AJ$5:$AJ$1000,823),Cálculos!$AJ$5:$AJ$1000,0)+4,"")</f>
        <v/>
      </c>
    </row>
    <row r="828">
      <c r="B828" s="5" t="str">
        <f>IF($H828="","",INDEX('Detalle individual'!$B:$B,$H828))</f>
        <v/>
      </c>
      <c r="C828" s="5" t="str">
        <f>IF($H828="","",INDEX('Detalle individual'!$A:$A,$H828))</f>
        <v/>
      </c>
      <c r="D828" s="5" t="str">
        <f>IF($H828="","",INDEX('Detalle individual'!$E:$E,$H828))</f>
        <v/>
      </c>
      <c r="E828" s="5" t="str">
        <f>IF($H828="","",INDEX('Detalle individual'!$C:$C,$H828))</f>
        <v/>
      </c>
      <c r="F828" s="5" t="str">
        <f>IF($H828="","",INDEX('Detalle individual'!$D:$D,$H828))</f>
        <v/>
      </c>
      <c r="G828" s="5" t="str">
        <f>IF($H828="","",INDEX('Detalle individual'!$F:$F,$H828))</f>
        <v/>
      </c>
      <c r="H828" t="str">
        <f>IFERROR(MATCH(SMALL(Cálculos!$AJ$5:$AJ$1000,824),Cálculos!$AJ$5:$AJ$1000,0)+4,"")</f>
        <v/>
      </c>
    </row>
    <row r="829">
      <c r="B829" s="5" t="str">
        <f>IF($H829="","",INDEX('Detalle individual'!$B:$B,$H829))</f>
        <v/>
      </c>
      <c r="C829" s="5" t="str">
        <f>IF($H829="","",INDEX('Detalle individual'!$A:$A,$H829))</f>
        <v/>
      </c>
      <c r="D829" s="5" t="str">
        <f>IF($H829="","",INDEX('Detalle individual'!$E:$E,$H829))</f>
        <v/>
      </c>
      <c r="E829" s="5" t="str">
        <f>IF($H829="","",INDEX('Detalle individual'!$C:$C,$H829))</f>
        <v/>
      </c>
      <c r="F829" s="5" t="str">
        <f>IF($H829="","",INDEX('Detalle individual'!$D:$D,$H829))</f>
        <v/>
      </c>
      <c r="G829" s="5" t="str">
        <f>IF($H829="","",INDEX('Detalle individual'!$F:$F,$H829))</f>
        <v/>
      </c>
      <c r="H829" t="str">
        <f>IFERROR(MATCH(SMALL(Cálculos!$AJ$5:$AJ$1000,825),Cálculos!$AJ$5:$AJ$1000,0)+4,"")</f>
        <v/>
      </c>
    </row>
    <row r="830">
      <c r="B830" s="5" t="str">
        <f>IF($H830="","",INDEX('Detalle individual'!$B:$B,$H830))</f>
        <v/>
      </c>
      <c r="C830" s="5" t="str">
        <f>IF($H830="","",INDEX('Detalle individual'!$A:$A,$H830))</f>
        <v/>
      </c>
      <c r="D830" s="5" t="str">
        <f>IF($H830="","",INDEX('Detalle individual'!$E:$E,$H830))</f>
        <v/>
      </c>
      <c r="E830" s="5" t="str">
        <f>IF($H830="","",INDEX('Detalle individual'!$C:$C,$H830))</f>
        <v/>
      </c>
      <c r="F830" s="5" t="str">
        <f>IF($H830="","",INDEX('Detalle individual'!$D:$D,$H830))</f>
        <v/>
      </c>
      <c r="G830" s="5" t="str">
        <f>IF($H830="","",INDEX('Detalle individual'!$F:$F,$H830))</f>
        <v/>
      </c>
      <c r="H830" t="str">
        <f>IFERROR(MATCH(SMALL(Cálculos!$AJ$5:$AJ$1000,826),Cálculos!$AJ$5:$AJ$1000,0)+4,"")</f>
        <v/>
      </c>
    </row>
    <row r="831">
      <c r="B831" s="5" t="str">
        <f>IF($H831="","",INDEX('Detalle individual'!$B:$B,$H831))</f>
        <v/>
      </c>
      <c r="C831" s="5" t="str">
        <f>IF($H831="","",INDEX('Detalle individual'!$A:$A,$H831))</f>
        <v/>
      </c>
      <c r="D831" s="5" t="str">
        <f>IF($H831="","",INDEX('Detalle individual'!$E:$E,$H831))</f>
        <v/>
      </c>
      <c r="E831" s="5" t="str">
        <f>IF($H831="","",INDEX('Detalle individual'!$C:$C,$H831))</f>
        <v/>
      </c>
      <c r="F831" s="5" t="str">
        <f>IF($H831="","",INDEX('Detalle individual'!$D:$D,$H831))</f>
        <v/>
      </c>
      <c r="G831" s="5" t="str">
        <f>IF($H831="","",INDEX('Detalle individual'!$F:$F,$H831))</f>
        <v/>
      </c>
      <c r="H831" t="str">
        <f>IFERROR(MATCH(SMALL(Cálculos!$AJ$5:$AJ$1000,827),Cálculos!$AJ$5:$AJ$1000,0)+4,"")</f>
        <v/>
      </c>
    </row>
    <row r="832">
      <c r="B832" s="5" t="str">
        <f>IF($H832="","",INDEX('Detalle individual'!$B:$B,$H832))</f>
        <v/>
      </c>
      <c r="C832" s="5" t="str">
        <f>IF($H832="","",INDEX('Detalle individual'!$A:$A,$H832))</f>
        <v/>
      </c>
      <c r="D832" s="5" t="str">
        <f>IF($H832="","",INDEX('Detalle individual'!$E:$E,$H832))</f>
        <v/>
      </c>
      <c r="E832" s="5" t="str">
        <f>IF($H832="","",INDEX('Detalle individual'!$C:$C,$H832))</f>
        <v/>
      </c>
      <c r="F832" s="5" t="str">
        <f>IF($H832="","",INDEX('Detalle individual'!$D:$D,$H832))</f>
        <v/>
      </c>
      <c r="G832" s="5" t="str">
        <f>IF($H832="","",INDEX('Detalle individual'!$F:$F,$H832))</f>
        <v/>
      </c>
      <c r="H832" t="str">
        <f>IFERROR(MATCH(SMALL(Cálculos!$AJ$5:$AJ$1000,828),Cálculos!$AJ$5:$AJ$1000,0)+4,"")</f>
        <v/>
      </c>
    </row>
    <row r="833">
      <c r="B833" s="5" t="str">
        <f>IF($H833="","",INDEX('Detalle individual'!$B:$B,$H833))</f>
        <v/>
      </c>
      <c r="C833" s="5" t="str">
        <f>IF($H833="","",INDEX('Detalle individual'!$A:$A,$H833))</f>
        <v/>
      </c>
      <c r="D833" s="5" t="str">
        <f>IF($H833="","",INDEX('Detalle individual'!$E:$E,$H833))</f>
        <v/>
      </c>
      <c r="E833" s="5" t="str">
        <f>IF($H833="","",INDEX('Detalle individual'!$C:$C,$H833))</f>
        <v/>
      </c>
      <c r="F833" s="5" t="str">
        <f>IF($H833="","",INDEX('Detalle individual'!$D:$D,$H833))</f>
        <v/>
      </c>
      <c r="G833" s="5" t="str">
        <f>IF($H833="","",INDEX('Detalle individual'!$F:$F,$H833))</f>
        <v/>
      </c>
      <c r="H833" t="str">
        <f>IFERROR(MATCH(SMALL(Cálculos!$AJ$5:$AJ$1000,829),Cálculos!$AJ$5:$AJ$1000,0)+4,"")</f>
        <v/>
      </c>
    </row>
    <row r="834">
      <c r="B834" s="5" t="str">
        <f>IF($H834="","",INDEX('Detalle individual'!$B:$B,$H834))</f>
        <v/>
      </c>
      <c r="C834" s="5" t="str">
        <f>IF($H834="","",INDEX('Detalle individual'!$A:$A,$H834))</f>
        <v/>
      </c>
      <c r="D834" s="5" t="str">
        <f>IF($H834="","",INDEX('Detalle individual'!$E:$E,$H834))</f>
        <v/>
      </c>
      <c r="E834" s="5" t="str">
        <f>IF($H834="","",INDEX('Detalle individual'!$C:$C,$H834))</f>
        <v/>
      </c>
      <c r="F834" s="5" t="str">
        <f>IF($H834="","",INDEX('Detalle individual'!$D:$D,$H834))</f>
        <v/>
      </c>
      <c r="G834" s="5" t="str">
        <f>IF($H834="","",INDEX('Detalle individual'!$F:$F,$H834))</f>
        <v/>
      </c>
      <c r="H834" t="str">
        <f>IFERROR(MATCH(SMALL(Cálculos!$AJ$5:$AJ$1000,830),Cálculos!$AJ$5:$AJ$1000,0)+4,"")</f>
        <v/>
      </c>
    </row>
    <row r="835">
      <c r="B835" s="5" t="str">
        <f>IF($H835="","",INDEX('Detalle individual'!$B:$B,$H835))</f>
        <v/>
      </c>
      <c r="C835" s="5" t="str">
        <f>IF($H835="","",INDEX('Detalle individual'!$A:$A,$H835))</f>
        <v/>
      </c>
      <c r="D835" s="5" t="str">
        <f>IF($H835="","",INDEX('Detalle individual'!$E:$E,$H835))</f>
        <v/>
      </c>
      <c r="E835" s="5" t="str">
        <f>IF($H835="","",INDEX('Detalle individual'!$C:$C,$H835))</f>
        <v/>
      </c>
      <c r="F835" s="5" t="str">
        <f>IF($H835="","",INDEX('Detalle individual'!$D:$D,$H835))</f>
        <v/>
      </c>
      <c r="G835" s="5" t="str">
        <f>IF($H835="","",INDEX('Detalle individual'!$F:$F,$H835))</f>
        <v/>
      </c>
      <c r="H835" t="str">
        <f>IFERROR(MATCH(SMALL(Cálculos!$AJ$5:$AJ$1000,831),Cálculos!$AJ$5:$AJ$1000,0)+4,"")</f>
        <v/>
      </c>
    </row>
    <row r="836">
      <c r="B836" s="5" t="str">
        <f>IF($H836="","",INDEX('Detalle individual'!$B:$B,$H836))</f>
        <v/>
      </c>
      <c r="C836" s="5" t="str">
        <f>IF($H836="","",INDEX('Detalle individual'!$A:$A,$H836))</f>
        <v/>
      </c>
      <c r="D836" s="5" t="str">
        <f>IF($H836="","",INDEX('Detalle individual'!$E:$E,$H836))</f>
        <v/>
      </c>
      <c r="E836" s="5" t="str">
        <f>IF($H836="","",INDEX('Detalle individual'!$C:$C,$H836))</f>
        <v/>
      </c>
      <c r="F836" s="5" t="str">
        <f>IF($H836="","",INDEX('Detalle individual'!$D:$D,$H836))</f>
        <v/>
      </c>
      <c r="G836" s="5" t="str">
        <f>IF($H836="","",INDEX('Detalle individual'!$F:$F,$H836))</f>
        <v/>
      </c>
      <c r="H836" t="str">
        <f>IFERROR(MATCH(SMALL(Cálculos!$AJ$5:$AJ$1000,832),Cálculos!$AJ$5:$AJ$1000,0)+4,"")</f>
        <v/>
      </c>
    </row>
    <row r="837">
      <c r="B837" s="5" t="str">
        <f>IF($H837="","",INDEX('Detalle individual'!$B:$B,$H837))</f>
        <v/>
      </c>
      <c r="C837" s="5" t="str">
        <f>IF($H837="","",INDEX('Detalle individual'!$A:$A,$H837))</f>
        <v/>
      </c>
      <c r="D837" s="5" t="str">
        <f>IF($H837="","",INDEX('Detalle individual'!$E:$E,$H837))</f>
        <v/>
      </c>
      <c r="E837" s="5" t="str">
        <f>IF($H837="","",INDEX('Detalle individual'!$C:$C,$H837))</f>
        <v/>
      </c>
      <c r="F837" s="5" t="str">
        <f>IF($H837="","",INDEX('Detalle individual'!$D:$D,$H837))</f>
        <v/>
      </c>
      <c r="G837" s="5" t="str">
        <f>IF($H837="","",INDEX('Detalle individual'!$F:$F,$H837))</f>
        <v/>
      </c>
      <c r="H837" t="str">
        <f>IFERROR(MATCH(SMALL(Cálculos!$AJ$5:$AJ$1000,833),Cálculos!$AJ$5:$AJ$1000,0)+4,"")</f>
        <v/>
      </c>
    </row>
    <row r="838">
      <c r="B838" s="5" t="str">
        <f>IF($H838="","",INDEX('Detalle individual'!$B:$B,$H838))</f>
        <v/>
      </c>
      <c r="C838" s="5" t="str">
        <f>IF($H838="","",INDEX('Detalle individual'!$A:$A,$H838))</f>
        <v/>
      </c>
      <c r="D838" s="5" t="str">
        <f>IF($H838="","",INDEX('Detalle individual'!$E:$E,$H838))</f>
        <v/>
      </c>
      <c r="E838" s="5" t="str">
        <f>IF($H838="","",INDEX('Detalle individual'!$C:$C,$H838))</f>
        <v/>
      </c>
      <c r="F838" s="5" t="str">
        <f>IF($H838="","",INDEX('Detalle individual'!$D:$D,$H838))</f>
        <v/>
      </c>
      <c r="G838" s="5" t="str">
        <f>IF($H838="","",INDEX('Detalle individual'!$F:$F,$H838))</f>
        <v/>
      </c>
      <c r="H838" t="str">
        <f>IFERROR(MATCH(SMALL(Cálculos!$AJ$5:$AJ$1000,834),Cálculos!$AJ$5:$AJ$1000,0)+4,"")</f>
        <v/>
      </c>
    </row>
    <row r="839">
      <c r="B839" s="5" t="str">
        <f>IF($H839="","",INDEX('Detalle individual'!$B:$B,$H839))</f>
        <v/>
      </c>
      <c r="C839" s="5" t="str">
        <f>IF($H839="","",INDEX('Detalle individual'!$A:$A,$H839))</f>
        <v/>
      </c>
      <c r="D839" s="5" t="str">
        <f>IF($H839="","",INDEX('Detalle individual'!$E:$E,$H839))</f>
        <v/>
      </c>
      <c r="E839" s="5" t="str">
        <f>IF($H839="","",INDEX('Detalle individual'!$C:$C,$H839))</f>
        <v/>
      </c>
      <c r="F839" s="5" t="str">
        <f>IF($H839="","",INDEX('Detalle individual'!$D:$D,$H839))</f>
        <v/>
      </c>
      <c r="G839" s="5" t="str">
        <f>IF($H839="","",INDEX('Detalle individual'!$F:$F,$H839))</f>
        <v/>
      </c>
      <c r="H839" t="str">
        <f>IFERROR(MATCH(SMALL(Cálculos!$AJ$5:$AJ$1000,835),Cálculos!$AJ$5:$AJ$1000,0)+4,"")</f>
        <v/>
      </c>
    </row>
    <row r="840">
      <c r="B840" s="5" t="str">
        <f>IF($H840="","",INDEX('Detalle individual'!$B:$B,$H840))</f>
        <v/>
      </c>
      <c r="C840" s="5" t="str">
        <f>IF($H840="","",INDEX('Detalle individual'!$A:$A,$H840))</f>
        <v/>
      </c>
      <c r="D840" s="5" t="str">
        <f>IF($H840="","",INDEX('Detalle individual'!$E:$E,$H840))</f>
        <v/>
      </c>
      <c r="E840" s="5" t="str">
        <f>IF($H840="","",INDEX('Detalle individual'!$C:$C,$H840))</f>
        <v/>
      </c>
      <c r="F840" s="5" t="str">
        <f>IF($H840="","",INDEX('Detalle individual'!$D:$D,$H840))</f>
        <v/>
      </c>
      <c r="G840" s="5" t="str">
        <f>IF($H840="","",INDEX('Detalle individual'!$F:$F,$H840))</f>
        <v/>
      </c>
      <c r="H840" t="str">
        <f>IFERROR(MATCH(SMALL(Cálculos!$AJ$5:$AJ$1000,836),Cálculos!$AJ$5:$AJ$1000,0)+4,"")</f>
        <v/>
      </c>
    </row>
    <row r="841">
      <c r="B841" s="5" t="str">
        <f>IF($H841="","",INDEX('Detalle individual'!$B:$B,$H841))</f>
        <v/>
      </c>
      <c r="C841" s="5" t="str">
        <f>IF($H841="","",INDEX('Detalle individual'!$A:$A,$H841))</f>
        <v/>
      </c>
      <c r="D841" s="5" t="str">
        <f>IF($H841="","",INDEX('Detalle individual'!$E:$E,$H841))</f>
        <v/>
      </c>
      <c r="E841" s="5" t="str">
        <f>IF($H841="","",INDEX('Detalle individual'!$C:$C,$H841))</f>
        <v/>
      </c>
      <c r="F841" s="5" t="str">
        <f>IF($H841="","",INDEX('Detalle individual'!$D:$D,$H841))</f>
        <v/>
      </c>
      <c r="G841" s="5" t="str">
        <f>IF($H841="","",INDEX('Detalle individual'!$F:$F,$H841))</f>
        <v/>
      </c>
      <c r="H841" t="str">
        <f>IFERROR(MATCH(SMALL(Cálculos!$AJ$5:$AJ$1000,837),Cálculos!$AJ$5:$AJ$1000,0)+4,"")</f>
        <v/>
      </c>
    </row>
    <row r="842">
      <c r="B842" s="5" t="str">
        <f>IF($H842="","",INDEX('Detalle individual'!$B:$B,$H842))</f>
        <v/>
      </c>
      <c r="C842" s="5" t="str">
        <f>IF($H842="","",INDEX('Detalle individual'!$A:$A,$H842))</f>
        <v/>
      </c>
      <c r="D842" s="5" t="str">
        <f>IF($H842="","",INDEX('Detalle individual'!$E:$E,$H842))</f>
        <v/>
      </c>
      <c r="E842" s="5" t="str">
        <f>IF($H842="","",INDEX('Detalle individual'!$C:$C,$H842))</f>
        <v/>
      </c>
      <c r="F842" s="5" t="str">
        <f>IF($H842="","",INDEX('Detalle individual'!$D:$D,$H842))</f>
        <v/>
      </c>
      <c r="G842" s="5" t="str">
        <f>IF($H842="","",INDEX('Detalle individual'!$F:$F,$H842))</f>
        <v/>
      </c>
      <c r="H842" t="str">
        <f>IFERROR(MATCH(SMALL(Cálculos!$AJ$5:$AJ$1000,838),Cálculos!$AJ$5:$AJ$1000,0)+4,"")</f>
        <v/>
      </c>
    </row>
    <row r="843">
      <c r="B843" s="5" t="str">
        <f>IF($H843="","",INDEX('Detalle individual'!$B:$B,$H843))</f>
        <v/>
      </c>
      <c r="C843" s="5" t="str">
        <f>IF($H843="","",INDEX('Detalle individual'!$A:$A,$H843))</f>
        <v/>
      </c>
      <c r="D843" s="5" t="str">
        <f>IF($H843="","",INDEX('Detalle individual'!$E:$E,$H843))</f>
        <v/>
      </c>
      <c r="E843" s="5" t="str">
        <f>IF($H843="","",INDEX('Detalle individual'!$C:$C,$H843))</f>
        <v/>
      </c>
      <c r="F843" s="5" t="str">
        <f>IF($H843="","",INDEX('Detalle individual'!$D:$D,$H843))</f>
        <v/>
      </c>
      <c r="G843" s="5" t="str">
        <f>IF($H843="","",INDEX('Detalle individual'!$F:$F,$H843))</f>
        <v/>
      </c>
      <c r="H843" t="str">
        <f>IFERROR(MATCH(SMALL(Cálculos!$AJ$5:$AJ$1000,839),Cálculos!$AJ$5:$AJ$1000,0)+4,"")</f>
        <v/>
      </c>
    </row>
    <row r="844">
      <c r="B844" s="5" t="str">
        <f>IF($H844="","",INDEX('Detalle individual'!$B:$B,$H844))</f>
        <v/>
      </c>
      <c r="C844" s="5" t="str">
        <f>IF($H844="","",INDEX('Detalle individual'!$A:$A,$H844))</f>
        <v/>
      </c>
      <c r="D844" s="5" t="str">
        <f>IF($H844="","",INDEX('Detalle individual'!$E:$E,$H844))</f>
        <v/>
      </c>
      <c r="E844" s="5" t="str">
        <f>IF($H844="","",INDEX('Detalle individual'!$C:$C,$H844))</f>
        <v/>
      </c>
      <c r="F844" s="5" t="str">
        <f>IF($H844="","",INDEX('Detalle individual'!$D:$D,$H844))</f>
        <v/>
      </c>
      <c r="G844" s="5" t="str">
        <f>IF($H844="","",INDEX('Detalle individual'!$F:$F,$H844))</f>
        <v/>
      </c>
      <c r="H844" t="str">
        <f>IFERROR(MATCH(SMALL(Cálculos!$AJ$5:$AJ$1000,840),Cálculos!$AJ$5:$AJ$1000,0)+4,"")</f>
        <v/>
      </c>
    </row>
    <row r="845">
      <c r="B845" s="5" t="str">
        <f>IF($H845="","",INDEX('Detalle individual'!$B:$B,$H845))</f>
        <v/>
      </c>
      <c r="C845" s="5" t="str">
        <f>IF($H845="","",INDEX('Detalle individual'!$A:$A,$H845))</f>
        <v/>
      </c>
      <c r="D845" s="5" t="str">
        <f>IF($H845="","",INDEX('Detalle individual'!$E:$E,$H845))</f>
        <v/>
      </c>
      <c r="E845" s="5" t="str">
        <f>IF($H845="","",INDEX('Detalle individual'!$C:$C,$H845))</f>
        <v/>
      </c>
      <c r="F845" s="5" t="str">
        <f>IF($H845="","",INDEX('Detalle individual'!$D:$D,$H845))</f>
        <v/>
      </c>
      <c r="G845" s="5" t="str">
        <f>IF($H845="","",INDEX('Detalle individual'!$F:$F,$H845))</f>
        <v/>
      </c>
      <c r="H845" t="str">
        <f>IFERROR(MATCH(SMALL(Cálculos!$AJ$5:$AJ$1000,841),Cálculos!$AJ$5:$AJ$1000,0)+4,"")</f>
        <v/>
      </c>
    </row>
    <row r="846">
      <c r="B846" s="5" t="str">
        <f>IF($H846="","",INDEX('Detalle individual'!$B:$B,$H846))</f>
        <v/>
      </c>
      <c r="C846" s="5" t="str">
        <f>IF($H846="","",INDEX('Detalle individual'!$A:$A,$H846))</f>
        <v/>
      </c>
      <c r="D846" s="5" t="str">
        <f>IF($H846="","",INDEX('Detalle individual'!$E:$E,$H846))</f>
        <v/>
      </c>
      <c r="E846" s="5" t="str">
        <f>IF($H846="","",INDEX('Detalle individual'!$C:$C,$H846))</f>
        <v/>
      </c>
      <c r="F846" s="5" t="str">
        <f>IF($H846="","",INDEX('Detalle individual'!$D:$D,$H846))</f>
        <v/>
      </c>
      <c r="G846" s="5" t="str">
        <f>IF($H846="","",INDEX('Detalle individual'!$F:$F,$H846))</f>
        <v/>
      </c>
      <c r="H846" t="str">
        <f>IFERROR(MATCH(SMALL(Cálculos!$AJ$5:$AJ$1000,842),Cálculos!$AJ$5:$AJ$1000,0)+4,"")</f>
        <v/>
      </c>
    </row>
    <row r="847">
      <c r="B847" s="5" t="str">
        <f>IF($H847="","",INDEX('Detalle individual'!$B:$B,$H847))</f>
        <v/>
      </c>
      <c r="C847" s="5" t="str">
        <f>IF($H847="","",INDEX('Detalle individual'!$A:$A,$H847))</f>
        <v/>
      </c>
      <c r="D847" s="5" t="str">
        <f>IF($H847="","",INDEX('Detalle individual'!$E:$E,$H847))</f>
        <v/>
      </c>
      <c r="E847" s="5" t="str">
        <f>IF($H847="","",INDEX('Detalle individual'!$C:$C,$H847))</f>
        <v/>
      </c>
      <c r="F847" s="5" t="str">
        <f>IF($H847="","",INDEX('Detalle individual'!$D:$D,$H847))</f>
        <v/>
      </c>
      <c r="G847" s="5" t="str">
        <f>IF($H847="","",INDEX('Detalle individual'!$F:$F,$H847))</f>
        <v/>
      </c>
      <c r="H847" t="str">
        <f>IFERROR(MATCH(SMALL(Cálculos!$AJ$5:$AJ$1000,843),Cálculos!$AJ$5:$AJ$1000,0)+4,"")</f>
        <v/>
      </c>
    </row>
    <row r="848">
      <c r="B848" s="5" t="str">
        <f>IF($H848="","",INDEX('Detalle individual'!$B:$B,$H848))</f>
        <v/>
      </c>
      <c r="C848" s="5" t="str">
        <f>IF($H848="","",INDEX('Detalle individual'!$A:$A,$H848))</f>
        <v/>
      </c>
      <c r="D848" s="5" t="str">
        <f>IF($H848="","",INDEX('Detalle individual'!$E:$E,$H848))</f>
        <v/>
      </c>
      <c r="E848" s="5" t="str">
        <f>IF($H848="","",INDEX('Detalle individual'!$C:$C,$H848))</f>
        <v/>
      </c>
      <c r="F848" s="5" t="str">
        <f>IF($H848="","",INDEX('Detalle individual'!$D:$D,$H848))</f>
        <v/>
      </c>
      <c r="G848" s="5" t="str">
        <f>IF($H848="","",INDEX('Detalle individual'!$F:$F,$H848))</f>
        <v/>
      </c>
      <c r="H848" t="str">
        <f>IFERROR(MATCH(SMALL(Cálculos!$AJ$5:$AJ$1000,844),Cálculos!$AJ$5:$AJ$1000,0)+4,"")</f>
        <v/>
      </c>
    </row>
    <row r="849">
      <c r="B849" s="5" t="str">
        <f>IF($H849="","",INDEX('Detalle individual'!$B:$B,$H849))</f>
        <v/>
      </c>
      <c r="C849" s="5" t="str">
        <f>IF($H849="","",INDEX('Detalle individual'!$A:$A,$H849))</f>
        <v/>
      </c>
      <c r="D849" s="5" t="str">
        <f>IF($H849="","",INDEX('Detalle individual'!$E:$E,$H849))</f>
        <v/>
      </c>
      <c r="E849" s="5" t="str">
        <f>IF($H849="","",INDEX('Detalle individual'!$C:$C,$H849))</f>
        <v/>
      </c>
      <c r="F849" s="5" t="str">
        <f>IF($H849="","",INDEX('Detalle individual'!$D:$D,$H849))</f>
        <v/>
      </c>
      <c r="G849" s="5" t="str">
        <f>IF($H849="","",INDEX('Detalle individual'!$F:$F,$H849))</f>
        <v/>
      </c>
      <c r="H849" t="str">
        <f>IFERROR(MATCH(SMALL(Cálculos!$AJ$5:$AJ$1000,845),Cálculos!$AJ$5:$AJ$1000,0)+4,"")</f>
        <v/>
      </c>
    </row>
    <row r="850">
      <c r="B850" s="5" t="str">
        <f>IF($H850="","",INDEX('Detalle individual'!$B:$B,$H850))</f>
        <v/>
      </c>
      <c r="C850" s="5" t="str">
        <f>IF($H850="","",INDEX('Detalle individual'!$A:$A,$H850))</f>
        <v/>
      </c>
      <c r="D850" s="5" t="str">
        <f>IF($H850="","",INDEX('Detalle individual'!$E:$E,$H850))</f>
        <v/>
      </c>
      <c r="E850" s="5" t="str">
        <f>IF($H850="","",INDEX('Detalle individual'!$C:$C,$H850))</f>
        <v/>
      </c>
      <c r="F850" s="5" t="str">
        <f>IF($H850="","",INDEX('Detalle individual'!$D:$D,$H850))</f>
        <v/>
      </c>
      <c r="G850" s="5" t="str">
        <f>IF($H850="","",INDEX('Detalle individual'!$F:$F,$H850))</f>
        <v/>
      </c>
      <c r="H850" t="str">
        <f>IFERROR(MATCH(SMALL(Cálculos!$AJ$5:$AJ$1000,846),Cálculos!$AJ$5:$AJ$1000,0)+4,"")</f>
        <v/>
      </c>
    </row>
    <row r="851">
      <c r="B851" s="5" t="str">
        <f>IF($H851="","",INDEX('Detalle individual'!$B:$B,$H851))</f>
        <v/>
      </c>
      <c r="C851" s="5" t="str">
        <f>IF($H851="","",INDEX('Detalle individual'!$A:$A,$H851))</f>
        <v/>
      </c>
      <c r="D851" s="5" t="str">
        <f>IF($H851="","",INDEX('Detalle individual'!$E:$E,$H851))</f>
        <v/>
      </c>
      <c r="E851" s="5" t="str">
        <f>IF($H851="","",INDEX('Detalle individual'!$C:$C,$H851))</f>
        <v/>
      </c>
      <c r="F851" s="5" t="str">
        <f>IF($H851="","",INDEX('Detalle individual'!$D:$D,$H851))</f>
        <v/>
      </c>
      <c r="G851" s="5" t="str">
        <f>IF($H851="","",INDEX('Detalle individual'!$F:$F,$H851))</f>
        <v/>
      </c>
      <c r="H851" t="str">
        <f>IFERROR(MATCH(SMALL(Cálculos!$AJ$5:$AJ$1000,847),Cálculos!$AJ$5:$AJ$1000,0)+4,"")</f>
        <v/>
      </c>
    </row>
    <row r="852">
      <c r="B852" s="5" t="str">
        <f>IF($H852="","",INDEX('Detalle individual'!$B:$B,$H852))</f>
        <v/>
      </c>
      <c r="C852" s="5" t="str">
        <f>IF($H852="","",INDEX('Detalle individual'!$A:$A,$H852))</f>
        <v/>
      </c>
      <c r="D852" s="5" t="str">
        <f>IF($H852="","",INDEX('Detalle individual'!$E:$E,$H852))</f>
        <v/>
      </c>
      <c r="E852" s="5" t="str">
        <f>IF($H852="","",INDEX('Detalle individual'!$C:$C,$H852))</f>
        <v/>
      </c>
      <c r="F852" s="5" t="str">
        <f>IF($H852="","",INDEX('Detalle individual'!$D:$D,$H852))</f>
        <v/>
      </c>
      <c r="G852" s="5" t="str">
        <f>IF($H852="","",INDEX('Detalle individual'!$F:$F,$H852))</f>
        <v/>
      </c>
      <c r="H852" t="str">
        <f>IFERROR(MATCH(SMALL(Cálculos!$AJ$5:$AJ$1000,848),Cálculos!$AJ$5:$AJ$1000,0)+4,"")</f>
        <v/>
      </c>
    </row>
    <row r="853">
      <c r="B853" s="5" t="str">
        <f>IF($H853="","",INDEX('Detalle individual'!$B:$B,$H853))</f>
        <v/>
      </c>
      <c r="C853" s="5" t="str">
        <f>IF($H853="","",INDEX('Detalle individual'!$A:$A,$H853))</f>
        <v/>
      </c>
      <c r="D853" s="5" t="str">
        <f>IF($H853="","",INDEX('Detalle individual'!$E:$E,$H853))</f>
        <v/>
      </c>
      <c r="E853" s="5" t="str">
        <f>IF($H853="","",INDEX('Detalle individual'!$C:$C,$H853))</f>
        <v/>
      </c>
      <c r="F853" s="5" t="str">
        <f>IF($H853="","",INDEX('Detalle individual'!$D:$D,$H853))</f>
        <v/>
      </c>
      <c r="G853" s="5" t="str">
        <f>IF($H853="","",INDEX('Detalle individual'!$F:$F,$H853))</f>
        <v/>
      </c>
      <c r="H853" t="str">
        <f>IFERROR(MATCH(SMALL(Cálculos!$AJ$5:$AJ$1000,849),Cálculos!$AJ$5:$AJ$1000,0)+4,"")</f>
        <v/>
      </c>
    </row>
    <row r="854">
      <c r="B854" s="5" t="str">
        <f>IF($H854="","",INDEX('Detalle individual'!$B:$B,$H854))</f>
        <v/>
      </c>
      <c r="C854" s="5" t="str">
        <f>IF($H854="","",INDEX('Detalle individual'!$A:$A,$H854))</f>
        <v/>
      </c>
      <c r="D854" s="5" t="str">
        <f>IF($H854="","",INDEX('Detalle individual'!$E:$E,$H854))</f>
        <v/>
      </c>
      <c r="E854" s="5" t="str">
        <f>IF($H854="","",INDEX('Detalle individual'!$C:$C,$H854))</f>
        <v/>
      </c>
      <c r="F854" s="5" t="str">
        <f>IF($H854="","",INDEX('Detalle individual'!$D:$D,$H854))</f>
        <v/>
      </c>
      <c r="G854" s="5" t="str">
        <f>IF($H854="","",INDEX('Detalle individual'!$F:$F,$H854))</f>
        <v/>
      </c>
      <c r="H854" t="str">
        <f>IFERROR(MATCH(SMALL(Cálculos!$AJ$5:$AJ$1000,850),Cálculos!$AJ$5:$AJ$1000,0)+4,"")</f>
        <v/>
      </c>
    </row>
    <row r="855">
      <c r="B855" s="5" t="str">
        <f>IF($H855="","",INDEX('Detalle individual'!$B:$B,$H855))</f>
        <v/>
      </c>
      <c r="C855" s="5" t="str">
        <f>IF($H855="","",INDEX('Detalle individual'!$A:$A,$H855))</f>
        <v/>
      </c>
      <c r="D855" s="5" t="str">
        <f>IF($H855="","",INDEX('Detalle individual'!$E:$E,$H855))</f>
        <v/>
      </c>
      <c r="E855" s="5" t="str">
        <f>IF($H855="","",INDEX('Detalle individual'!$C:$C,$H855))</f>
        <v/>
      </c>
      <c r="F855" s="5" t="str">
        <f>IF($H855="","",INDEX('Detalle individual'!$D:$D,$H855))</f>
        <v/>
      </c>
      <c r="G855" s="5" t="str">
        <f>IF($H855="","",INDEX('Detalle individual'!$F:$F,$H855))</f>
        <v/>
      </c>
      <c r="H855" t="str">
        <f>IFERROR(MATCH(SMALL(Cálculos!$AJ$5:$AJ$1000,851),Cálculos!$AJ$5:$AJ$1000,0)+4,"")</f>
        <v/>
      </c>
    </row>
    <row r="856">
      <c r="B856" s="5" t="str">
        <f>IF($H856="","",INDEX('Detalle individual'!$B:$B,$H856))</f>
        <v/>
      </c>
      <c r="C856" s="5" t="str">
        <f>IF($H856="","",INDEX('Detalle individual'!$A:$A,$H856))</f>
        <v/>
      </c>
      <c r="D856" s="5" t="str">
        <f>IF($H856="","",INDEX('Detalle individual'!$E:$E,$H856))</f>
        <v/>
      </c>
      <c r="E856" s="5" t="str">
        <f>IF($H856="","",INDEX('Detalle individual'!$C:$C,$H856))</f>
        <v/>
      </c>
      <c r="F856" s="5" t="str">
        <f>IF($H856="","",INDEX('Detalle individual'!$D:$D,$H856))</f>
        <v/>
      </c>
      <c r="G856" s="5" t="str">
        <f>IF($H856="","",INDEX('Detalle individual'!$F:$F,$H856))</f>
        <v/>
      </c>
      <c r="H856" t="str">
        <f>IFERROR(MATCH(SMALL(Cálculos!$AJ$5:$AJ$1000,852),Cálculos!$AJ$5:$AJ$1000,0)+4,"")</f>
        <v/>
      </c>
    </row>
    <row r="857">
      <c r="B857" s="5" t="str">
        <f>IF($H857="","",INDEX('Detalle individual'!$B:$B,$H857))</f>
        <v/>
      </c>
      <c r="C857" s="5" t="str">
        <f>IF($H857="","",INDEX('Detalle individual'!$A:$A,$H857))</f>
        <v/>
      </c>
      <c r="D857" s="5" t="str">
        <f>IF($H857="","",INDEX('Detalle individual'!$E:$E,$H857))</f>
        <v/>
      </c>
      <c r="E857" s="5" t="str">
        <f>IF($H857="","",INDEX('Detalle individual'!$C:$C,$H857))</f>
        <v/>
      </c>
      <c r="F857" s="5" t="str">
        <f>IF($H857="","",INDEX('Detalle individual'!$D:$D,$H857))</f>
        <v/>
      </c>
      <c r="G857" s="5" t="str">
        <f>IF($H857="","",INDEX('Detalle individual'!$F:$F,$H857))</f>
        <v/>
      </c>
      <c r="H857" t="str">
        <f>IFERROR(MATCH(SMALL(Cálculos!$AJ$5:$AJ$1000,853),Cálculos!$AJ$5:$AJ$1000,0)+4,"")</f>
        <v/>
      </c>
    </row>
    <row r="858">
      <c r="B858" s="5" t="str">
        <f>IF($H858="","",INDEX('Detalle individual'!$B:$B,$H858))</f>
        <v/>
      </c>
      <c r="C858" s="5" t="str">
        <f>IF($H858="","",INDEX('Detalle individual'!$A:$A,$H858))</f>
        <v/>
      </c>
      <c r="D858" s="5" t="str">
        <f>IF($H858="","",INDEX('Detalle individual'!$E:$E,$H858))</f>
        <v/>
      </c>
      <c r="E858" s="5" t="str">
        <f>IF($H858="","",INDEX('Detalle individual'!$C:$C,$H858))</f>
        <v/>
      </c>
      <c r="F858" s="5" t="str">
        <f>IF($H858="","",INDEX('Detalle individual'!$D:$D,$H858))</f>
        <v/>
      </c>
      <c r="G858" s="5" t="str">
        <f>IF($H858="","",INDEX('Detalle individual'!$F:$F,$H858))</f>
        <v/>
      </c>
      <c r="H858" t="str">
        <f>IFERROR(MATCH(SMALL(Cálculos!$AJ$5:$AJ$1000,854),Cálculos!$AJ$5:$AJ$1000,0)+4,"")</f>
        <v/>
      </c>
    </row>
    <row r="859">
      <c r="B859" s="5" t="str">
        <f>IF($H859="","",INDEX('Detalle individual'!$B:$B,$H859))</f>
        <v/>
      </c>
      <c r="C859" s="5" t="str">
        <f>IF($H859="","",INDEX('Detalle individual'!$A:$A,$H859))</f>
        <v/>
      </c>
      <c r="D859" s="5" t="str">
        <f>IF($H859="","",INDEX('Detalle individual'!$E:$E,$H859))</f>
        <v/>
      </c>
      <c r="E859" s="5" t="str">
        <f>IF($H859="","",INDEX('Detalle individual'!$C:$C,$H859))</f>
        <v/>
      </c>
      <c r="F859" s="5" t="str">
        <f>IF($H859="","",INDEX('Detalle individual'!$D:$D,$H859))</f>
        <v/>
      </c>
      <c r="G859" s="5" t="str">
        <f>IF($H859="","",INDEX('Detalle individual'!$F:$F,$H859))</f>
        <v/>
      </c>
      <c r="H859" t="str">
        <f>IFERROR(MATCH(SMALL(Cálculos!$AJ$5:$AJ$1000,855),Cálculos!$AJ$5:$AJ$1000,0)+4,"")</f>
        <v/>
      </c>
    </row>
    <row r="860">
      <c r="B860" s="5" t="str">
        <f>IF($H860="","",INDEX('Detalle individual'!$B:$B,$H860))</f>
        <v/>
      </c>
      <c r="C860" s="5" t="str">
        <f>IF($H860="","",INDEX('Detalle individual'!$A:$A,$H860))</f>
        <v/>
      </c>
      <c r="D860" s="5" t="str">
        <f>IF($H860="","",INDEX('Detalle individual'!$E:$E,$H860))</f>
        <v/>
      </c>
      <c r="E860" s="5" t="str">
        <f>IF($H860="","",INDEX('Detalle individual'!$C:$C,$H860))</f>
        <v/>
      </c>
      <c r="F860" s="5" t="str">
        <f>IF($H860="","",INDEX('Detalle individual'!$D:$D,$H860))</f>
        <v/>
      </c>
      <c r="G860" s="5" t="str">
        <f>IF($H860="","",INDEX('Detalle individual'!$F:$F,$H860))</f>
        <v/>
      </c>
      <c r="H860" t="str">
        <f>IFERROR(MATCH(SMALL(Cálculos!$AJ$5:$AJ$1000,856),Cálculos!$AJ$5:$AJ$1000,0)+4,"")</f>
        <v/>
      </c>
    </row>
    <row r="861">
      <c r="B861" s="5" t="str">
        <f>IF($H861="","",INDEX('Detalle individual'!$B:$B,$H861))</f>
        <v/>
      </c>
      <c r="C861" s="5" t="str">
        <f>IF($H861="","",INDEX('Detalle individual'!$A:$A,$H861))</f>
        <v/>
      </c>
      <c r="D861" s="5" t="str">
        <f>IF($H861="","",INDEX('Detalle individual'!$E:$E,$H861))</f>
        <v/>
      </c>
      <c r="E861" s="5" t="str">
        <f>IF($H861="","",INDEX('Detalle individual'!$C:$C,$H861))</f>
        <v/>
      </c>
      <c r="F861" s="5" t="str">
        <f>IF($H861="","",INDEX('Detalle individual'!$D:$D,$H861))</f>
        <v/>
      </c>
      <c r="G861" s="5" t="str">
        <f>IF($H861="","",INDEX('Detalle individual'!$F:$F,$H861))</f>
        <v/>
      </c>
      <c r="H861" t="str">
        <f>IFERROR(MATCH(SMALL(Cálculos!$AJ$5:$AJ$1000,857),Cálculos!$AJ$5:$AJ$1000,0)+4,"")</f>
        <v/>
      </c>
    </row>
    <row r="862">
      <c r="B862" s="5" t="str">
        <f>IF($H862="","",INDEX('Detalle individual'!$B:$B,$H862))</f>
        <v/>
      </c>
      <c r="C862" s="5" t="str">
        <f>IF($H862="","",INDEX('Detalle individual'!$A:$A,$H862))</f>
        <v/>
      </c>
      <c r="D862" s="5" t="str">
        <f>IF($H862="","",INDEX('Detalle individual'!$E:$E,$H862))</f>
        <v/>
      </c>
      <c r="E862" s="5" t="str">
        <f>IF($H862="","",INDEX('Detalle individual'!$C:$C,$H862))</f>
        <v/>
      </c>
      <c r="F862" s="5" t="str">
        <f>IF($H862="","",INDEX('Detalle individual'!$D:$D,$H862))</f>
        <v/>
      </c>
      <c r="G862" s="5" t="str">
        <f>IF($H862="","",INDEX('Detalle individual'!$F:$F,$H862))</f>
        <v/>
      </c>
      <c r="H862" t="str">
        <f>IFERROR(MATCH(SMALL(Cálculos!$AJ$5:$AJ$1000,858),Cálculos!$AJ$5:$AJ$1000,0)+4,"")</f>
        <v/>
      </c>
    </row>
    <row r="863">
      <c r="B863" s="5" t="str">
        <f>IF($H863="","",INDEX('Detalle individual'!$B:$B,$H863))</f>
        <v/>
      </c>
      <c r="C863" s="5" t="str">
        <f>IF($H863="","",INDEX('Detalle individual'!$A:$A,$H863))</f>
        <v/>
      </c>
      <c r="D863" s="5" t="str">
        <f>IF($H863="","",INDEX('Detalle individual'!$E:$E,$H863))</f>
        <v/>
      </c>
      <c r="E863" s="5" t="str">
        <f>IF($H863="","",INDEX('Detalle individual'!$C:$C,$H863))</f>
        <v/>
      </c>
      <c r="F863" s="5" t="str">
        <f>IF($H863="","",INDEX('Detalle individual'!$D:$D,$H863))</f>
        <v/>
      </c>
      <c r="G863" s="5" t="str">
        <f>IF($H863="","",INDEX('Detalle individual'!$F:$F,$H863))</f>
        <v/>
      </c>
      <c r="H863" t="str">
        <f>IFERROR(MATCH(SMALL(Cálculos!$AJ$5:$AJ$1000,859),Cálculos!$AJ$5:$AJ$1000,0)+4,"")</f>
        <v/>
      </c>
    </row>
    <row r="864">
      <c r="B864" s="5" t="str">
        <f>IF($H864="","",INDEX('Detalle individual'!$B:$B,$H864))</f>
        <v/>
      </c>
      <c r="C864" s="5" t="str">
        <f>IF($H864="","",INDEX('Detalle individual'!$A:$A,$H864))</f>
        <v/>
      </c>
      <c r="D864" s="5" t="str">
        <f>IF($H864="","",INDEX('Detalle individual'!$E:$E,$H864))</f>
        <v/>
      </c>
      <c r="E864" s="5" t="str">
        <f>IF($H864="","",INDEX('Detalle individual'!$C:$C,$H864))</f>
        <v/>
      </c>
      <c r="F864" s="5" t="str">
        <f>IF($H864="","",INDEX('Detalle individual'!$D:$D,$H864))</f>
        <v/>
      </c>
      <c r="G864" s="5" t="str">
        <f>IF($H864="","",INDEX('Detalle individual'!$F:$F,$H864))</f>
        <v/>
      </c>
      <c r="H864" t="str">
        <f>IFERROR(MATCH(SMALL(Cálculos!$AJ$5:$AJ$1000,860),Cálculos!$AJ$5:$AJ$1000,0)+4,"")</f>
        <v/>
      </c>
    </row>
    <row r="865">
      <c r="B865" s="5" t="str">
        <f>IF($H865="","",INDEX('Detalle individual'!$B:$B,$H865))</f>
        <v/>
      </c>
      <c r="C865" s="5" t="str">
        <f>IF($H865="","",INDEX('Detalle individual'!$A:$A,$H865))</f>
        <v/>
      </c>
      <c r="D865" s="5" t="str">
        <f>IF($H865="","",INDEX('Detalle individual'!$E:$E,$H865))</f>
        <v/>
      </c>
      <c r="E865" s="5" t="str">
        <f>IF($H865="","",INDEX('Detalle individual'!$C:$C,$H865))</f>
        <v/>
      </c>
      <c r="F865" s="5" t="str">
        <f>IF($H865="","",INDEX('Detalle individual'!$D:$D,$H865))</f>
        <v/>
      </c>
      <c r="G865" s="5" t="str">
        <f>IF($H865="","",INDEX('Detalle individual'!$F:$F,$H865))</f>
        <v/>
      </c>
      <c r="H865" t="str">
        <f>IFERROR(MATCH(SMALL(Cálculos!$AJ$5:$AJ$1000,861),Cálculos!$AJ$5:$AJ$1000,0)+4,"")</f>
        <v/>
      </c>
    </row>
    <row r="866">
      <c r="B866" s="5" t="str">
        <f>IF($H866="","",INDEX('Detalle individual'!$B:$B,$H866))</f>
        <v/>
      </c>
      <c r="C866" s="5" t="str">
        <f>IF($H866="","",INDEX('Detalle individual'!$A:$A,$H866))</f>
        <v/>
      </c>
      <c r="D866" s="5" t="str">
        <f>IF($H866="","",INDEX('Detalle individual'!$E:$E,$H866))</f>
        <v/>
      </c>
      <c r="E866" s="5" t="str">
        <f>IF($H866="","",INDEX('Detalle individual'!$C:$C,$H866))</f>
        <v/>
      </c>
      <c r="F866" s="5" t="str">
        <f>IF($H866="","",INDEX('Detalle individual'!$D:$D,$H866))</f>
        <v/>
      </c>
      <c r="G866" s="5" t="str">
        <f>IF($H866="","",INDEX('Detalle individual'!$F:$F,$H866))</f>
        <v/>
      </c>
      <c r="H866" t="str">
        <f>IFERROR(MATCH(SMALL(Cálculos!$AJ$5:$AJ$1000,862),Cálculos!$AJ$5:$AJ$1000,0)+4,"")</f>
        <v/>
      </c>
    </row>
    <row r="867">
      <c r="B867" s="5" t="str">
        <f>IF($H867="","",INDEX('Detalle individual'!$B:$B,$H867))</f>
        <v/>
      </c>
      <c r="C867" s="5" t="str">
        <f>IF($H867="","",INDEX('Detalle individual'!$A:$A,$H867))</f>
        <v/>
      </c>
      <c r="D867" s="5" t="str">
        <f>IF($H867="","",INDEX('Detalle individual'!$E:$E,$H867))</f>
        <v/>
      </c>
      <c r="E867" s="5" t="str">
        <f>IF($H867="","",INDEX('Detalle individual'!$C:$C,$H867))</f>
        <v/>
      </c>
      <c r="F867" s="5" t="str">
        <f>IF($H867="","",INDEX('Detalle individual'!$D:$D,$H867))</f>
        <v/>
      </c>
      <c r="G867" s="5" t="str">
        <f>IF($H867="","",INDEX('Detalle individual'!$F:$F,$H867))</f>
        <v/>
      </c>
      <c r="H867" t="str">
        <f>IFERROR(MATCH(SMALL(Cálculos!$AJ$5:$AJ$1000,863),Cálculos!$AJ$5:$AJ$1000,0)+4,"")</f>
        <v/>
      </c>
    </row>
    <row r="868">
      <c r="B868" s="5" t="str">
        <f>IF($H868="","",INDEX('Detalle individual'!$B:$B,$H868))</f>
        <v/>
      </c>
      <c r="C868" s="5" t="str">
        <f>IF($H868="","",INDEX('Detalle individual'!$A:$A,$H868))</f>
        <v/>
      </c>
      <c r="D868" s="5" t="str">
        <f>IF($H868="","",INDEX('Detalle individual'!$E:$E,$H868))</f>
        <v/>
      </c>
      <c r="E868" s="5" t="str">
        <f>IF($H868="","",INDEX('Detalle individual'!$C:$C,$H868))</f>
        <v/>
      </c>
      <c r="F868" s="5" t="str">
        <f>IF($H868="","",INDEX('Detalle individual'!$D:$D,$H868))</f>
        <v/>
      </c>
      <c r="G868" s="5" t="str">
        <f>IF($H868="","",INDEX('Detalle individual'!$F:$F,$H868))</f>
        <v/>
      </c>
      <c r="H868" t="str">
        <f>IFERROR(MATCH(SMALL(Cálculos!$AJ$5:$AJ$1000,864),Cálculos!$AJ$5:$AJ$1000,0)+4,"")</f>
        <v/>
      </c>
    </row>
    <row r="869">
      <c r="B869" s="5" t="str">
        <f>IF($H869="","",INDEX('Detalle individual'!$B:$B,$H869))</f>
        <v/>
      </c>
      <c r="C869" s="5" t="str">
        <f>IF($H869="","",INDEX('Detalle individual'!$A:$A,$H869))</f>
        <v/>
      </c>
      <c r="D869" s="5" t="str">
        <f>IF($H869="","",INDEX('Detalle individual'!$E:$E,$H869))</f>
        <v/>
      </c>
      <c r="E869" s="5" t="str">
        <f>IF($H869="","",INDEX('Detalle individual'!$C:$C,$H869))</f>
        <v/>
      </c>
      <c r="F869" s="5" t="str">
        <f>IF($H869="","",INDEX('Detalle individual'!$D:$D,$H869))</f>
        <v/>
      </c>
      <c r="G869" s="5" t="str">
        <f>IF($H869="","",INDEX('Detalle individual'!$F:$F,$H869))</f>
        <v/>
      </c>
      <c r="H869" t="str">
        <f>IFERROR(MATCH(SMALL(Cálculos!$AJ$5:$AJ$1000,865),Cálculos!$AJ$5:$AJ$1000,0)+4,"")</f>
        <v/>
      </c>
    </row>
    <row r="870">
      <c r="B870" s="5" t="str">
        <f>IF($H870="","",INDEX('Detalle individual'!$B:$B,$H870))</f>
        <v/>
      </c>
      <c r="C870" s="5" t="str">
        <f>IF($H870="","",INDEX('Detalle individual'!$A:$A,$H870))</f>
        <v/>
      </c>
      <c r="D870" s="5" t="str">
        <f>IF($H870="","",INDEX('Detalle individual'!$E:$E,$H870))</f>
        <v/>
      </c>
      <c r="E870" s="5" t="str">
        <f>IF($H870="","",INDEX('Detalle individual'!$C:$C,$H870))</f>
        <v/>
      </c>
      <c r="F870" s="5" t="str">
        <f>IF($H870="","",INDEX('Detalle individual'!$D:$D,$H870))</f>
        <v/>
      </c>
      <c r="G870" s="5" t="str">
        <f>IF($H870="","",INDEX('Detalle individual'!$F:$F,$H870))</f>
        <v/>
      </c>
      <c r="H870" t="str">
        <f>IFERROR(MATCH(SMALL(Cálculos!$AJ$5:$AJ$1000,866),Cálculos!$AJ$5:$AJ$1000,0)+4,"")</f>
        <v/>
      </c>
    </row>
    <row r="871">
      <c r="B871" s="5" t="str">
        <f>IF($H871="","",INDEX('Detalle individual'!$B:$B,$H871))</f>
        <v/>
      </c>
      <c r="C871" s="5" t="str">
        <f>IF($H871="","",INDEX('Detalle individual'!$A:$A,$H871))</f>
        <v/>
      </c>
      <c r="D871" s="5" t="str">
        <f>IF($H871="","",INDEX('Detalle individual'!$E:$E,$H871))</f>
        <v/>
      </c>
      <c r="E871" s="5" t="str">
        <f>IF($H871="","",INDEX('Detalle individual'!$C:$C,$H871))</f>
        <v/>
      </c>
      <c r="F871" s="5" t="str">
        <f>IF($H871="","",INDEX('Detalle individual'!$D:$D,$H871))</f>
        <v/>
      </c>
      <c r="G871" s="5" t="str">
        <f>IF($H871="","",INDEX('Detalle individual'!$F:$F,$H871))</f>
        <v/>
      </c>
      <c r="H871" t="str">
        <f>IFERROR(MATCH(SMALL(Cálculos!$AJ$5:$AJ$1000,867),Cálculos!$AJ$5:$AJ$1000,0)+4,"")</f>
        <v/>
      </c>
    </row>
    <row r="872">
      <c r="B872" s="5" t="str">
        <f>IF($H872="","",INDEX('Detalle individual'!$B:$B,$H872))</f>
        <v/>
      </c>
      <c r="C872" s="5" t="str">
        <f>IF($H872="","",INDEX('Detalle individual'!$A:$A,$H872))</f>
        <v/>
      </c>
      <c r="D872" s="5" t="str">
        <f>IF($H872="","",INDEX('Detalle individual'!$E:$E,$H872))</f>
        <v/>
      </c>
      <c r="E872" s="5" t="str">
        <f>IF($H872="","",INDEX('Detalle individual'!$C:$C,$H872))</f>
        <v/>
      </c>
      <c r="F872" s="5" t="str">
        <f>IF($H872="","",INDEX('Detalle individual'!$D:$D,$H872))</f>
        <v/>
      </c>
      <c r="G872" s="5" t="str">
        <f>IF($H872="","",INDEX('Detalle individual'!$F:$F,$H872))</f>
        <v/>
      </c>
      <c r="H872" t="str">
        <f>IFERROR(MATCH(SMALL(Cálculos!$AJ$5:$AJ$1000,868),Cálculos!$AJ$5:$AJ$1000,0)+4,"")</f>
        <v/>
      </c>
    </row>
    <row r="873">
      <c r="B873" s="5" t="str">
        <f>IF($H873="","",INDEX('Detalle individual'!$B:$B,$H873))</f>
        <v/>
      </c>
      <c r="C873" s="5" t="str">
        <f>IF($H873="","",INDEX('Detalle individual'!$A:$A,$H873))</f>
        <v/>
      </c>
      <c r="D873" s="5" t="str">
        <f>IF($H873="","",INDEX('Detalle individual'!$E:$E,$H873))</f>
        <v/>
      </c>
      <c r="E873" s="5" t="str">
        <f>IF($H873="","",INDEX('Detalle individual'!$C:$C,$H873))</f>
        <v/>
      </c>
      <c r="F873" s="5" t="str">
        <f>IF($H873="","",INDEX('Detalle individual'!$D:$D,$H873))</f>
        <v/>
      </c>
      <c r="G873" s="5" t="str">
        <f>IF($H873="","",INDEX('Detalle individual'!$F:$F,$H873))</f>
        <v/>
      </c>
      <c r="H873" t="str">
        <f>IFERROR(MATCH(SMALL(Cálculos!$AJ$5:$AJ$1000,869),Cálculos!$AJ$5:$AJ$1000,0)+4,"")</f>
        <v/>
      </c>
    </row>
    <row r="874">
      <c r="B874" s="5" t="str">
        <f>IF($H874="","",INDEX('Detalle individual'!$B:$B,$H874))</f>
        <v/>
      </c>
      <c r="C874" s="5" t="str">
        <f>IF($H874="","",INDEX('Detalle individual'!$A:$A,$H874))</f>
        <v/>
      </c>
      <c r="D874" s="5" t="str">
        <f>IF($H874="","",INDEX('Detalle individual'!$E:$E,$H874))</f>
        <v/>
      </c>
      <c r="E874" s="5" t="str">
        <f>IF($H874="","",INDEX('Detalle individual'!$C:$C,$H874))</f>
        <v/>
      </c>
      <c r="F874" s="5" t="str">
        <f>IF($H874="","",INDEX('Detalle individual'!$D:$D,$H874))</f>
        <v/>
      </c>
      <c r="G874" s="5" t="str">
        <f>IF($H874="","",INDEX('Detalle individual'!$F:$F,$H874))</f>
        <v/>
      </c>
      <c r="H874" t="str">
        <f>IFERROR(MATCH(SMALL(Cálculos!$AJ$5:$AJ$1000,870),Cálculos!$AJ$5:$AJ$1000,0)+4,"")</f>
        <v/>
      </c>
    </row>
    <row r="875">
      <c r="B875" s="5" t="str">
        <f>IF($H875="","",INDEX('Detalle individual'!$B:$B,$H875))</f>
        <v/>
      </c>
      <c r="C875" s="5" t="str">
        <f>IF($H875="","",INDEX('Detalle individual'!$A:$A,$H875))</f>
        <v/>
      </c>
      <c r="D875" s="5" t="str">
        <f>IF($H875="","",INDEX('Detalle individual'!$E:$E,$H875))</f>
        <v/>
      </c>
      <c r="E875" s="5" t="str">
        <f>IF($H875="","",INDEX('Detalle individual'!$C:$C,$H875))</f>
        <v/>
      </c>
      <c r="F875" s="5" t="str">
        <f>IF($H875="","",INDEX('Detalle individual'!$D:$D,$H875))</f>
        <v/>
      </c>
      <c r="G875" s="5" t="str">
        <f>IF($H875="","",INDEX('Detalle individual'!$F:$F,$H875))</f>
        <v/>
      </c>
      <c r="H875" t="str">
        <f>IFERROR(MATCH(SMALL(Cálculos!$AJ$5:$AJ$1000,871),Cálculos!$AJ$5:$AJ$1000,0)+4,"")</f>
        <v/>
      </c>
    </row>
    <row r="876">
      <c r="B876" s="5" t="str">
        <f>IF($H876="","",INDEX('Detalle individual'!$B:$B,$H876))</f>
        <v/>
      </c>
      <c r="C876" s="5" t="str">
        <f>IF($H876="","",INDEX('Detalle individual'!$A:$A,$H876))</f>
        <v/>
      </c>
      <c r="D876" s="5" t="str">
        <f>IF($H876="","",INDEX('Detalle individual'!$E:$E,$H876))</f>
        <v/>
      </c>
      <c r="E876" s="5" t="str">
        <f>IF($H876="","",INDEX('Detalle individual'!$C:$C,$H876))</f>
        <v/>
      </c>
      <c r="F876" s="5" t="str">
        <f>IF($H876="","",INDEX('Detalle individual'!$D:$D,$H876))</f>
        <v/>
      </c>
      <c r="G876" s="5" t="str">
        <f>IF($H876="","",INDEX('Detalle individual'!$F:$F,$H876))</f>
        <v/>
      </c>
      <c r="H876" t="str">
        <f>IFERROR(MATCH(SMALL(Cálculos!$AJ$5:$AJ$1000,872),Cálculos!$AJ$5:$AJ$1000,0)+4,"")</f>
        <v/>
      </c>
    </row>
    <row r="877">
      <c r="B877" s="5" t="str">
        <f>IF($H877="","",INDEX('Detalle individual'!$B:$B,$H877))</f>
        <v/>
      </c>
      <c r="C877" s="5" t="str">
        <f>IF($H877="","",INDEX('Detalle individual'!$A:$A,$H877))</f>
        <v/>
      </c>
      <c r="D877" s="5" t="str">
        <f>IF($H877="","",INDEX('Detalle individual'!$E:$E,$H877))</f>
        <v/>
      </c>
      <c r="E877" s="5" t="str">
        <f>IF($H877="","",INDEX('Detalle individual'!$C:$C,$H877))</f>
        <v/>
      </c>
      <c r="F877" s="5" t="str">
        <f>IF($H877="","",INDEX('Detalle individual'!$D:$D,$H877))</f>
        <v/>
      </c>
      <c r="G877" s="5" t="str">
        <f>IF($H877="","",INDEX('Detalle individual'!$F:$F,$H877))</f>
        <v/>
      </c>
      <c r="H877" t="str">
        <f>IFERROR(MATCH(SMALL(Cálculos!$AJ$5:$AJ$1000,873),Cálculos!$AJ$5:$AJ$1000,0)+4,"")</f>
        <v/>
      </c>
    </row>
    <row r="878">
      <c r="B878" s="5" t="str">
        <f>IF($H878="","",INDEX('Detalle individual'!$B:$B,$H878))</f>
        <v/>
      </c>
      <c r="C878" s="5" t="str">
        <f>IF($H878="","",INDEX('Detalle individual'!$A:$A,$H878))</f>
        <v/>
      </c>
      <c r="D878" s="5" t="str">
        <f>IF($H878="","",INDEX('Detalle individual'!$E:$E,$H878))</f>
        <v/>
      </c>
      <c r="E878" s="5" t="str">
        <f>IF($H878="","",INDEX('Detalle individual'!$C:$C,$H878))</f>
        <v/>
      </c>
      <c r="F878" s="5" t="str">
        <f>IF($H878="","",INDEX('Detalle individual'!$D:$D,$H878))</f>
        <v/>
      </c>
      <c r="G878" s="5" t="str">
        <f>IF($H878="","",INDEX('Detalle individual'!$F:$F,$H878))</f>
        <v/>
      </c>
      <c r="H878" t="str">
        <f>IFERROR(MATCH(SMALL(Cálculos!$AJ$5:$AJ$1000,874),Cálculos!$AJ$5:$AJ$1000,0)+4,"")</f>
        <v/>
      </c>
    </row>
    <row r="879">
      <c r="B879" s="5" t="str">
        <f>IF($H879="","",INDEX('Detalle individual'!$B:$B,$H879))</f>
        <v/>
      </c>
      <c r="C879" s="5" t="str">
        <f>IF($H879="","",INDEX('Detalle individual'!$A:$A,$H879))</f>
        <v/>
      </c>
      <c r="D879" s="5" t="str">
        <f>IF($H879="","",INDEX('Detalle individual'!$E:$E,$H879))</f>
        <v/>
      </c>
      <c r="E879" s="5" t="str">
        <f>IF($H879="","",INDEX('Detalle individual'!$C:$C,$H879))</f>
        <v/>
      </c>
      <c r="F879" s="5" t="str">
        <f>IF($H879="","",INDEX('Detalle individual'!$D:$D,$H879))</f>
        <v/>
      </c>
      <c r="G879" s="5" t="str">
        <f>IF($H879="","",INDEX('Detalle individual'!$F:$F,$H879))</f>
        <v/>
      </c>
      <c r="H879" t="str">
        <f>IFERROR(MATCH(SMALL(Cálculos!$AJ$5:$AJ$1000,875),Cálculos!$AJ$5:$AJ$1000,0)+4,"")</f>
        <v/>
      </c>
    </row>
    <row r="880">
      <c r="B880" s="5" t="str">
        <f>IF($H880="","",INDEX('Detalle individual'!$B:$B,$H880))</f>
        <v/>
      </c>
      <c r="C880" s="5" t="str">
        <f>IF($H880="","",INDEX('Detalle individual'!$A:$A,$H880))</f>
        <v/>
      </c>
      <c r="D880" s="5" t="str">
        <f>IF($H880="","",INDEX('Detalle individual'!$E:$E,$H880))</f>
        <v/>
      </c>
      <c r="E880" s="5" t="str">
        <f>IF($H880="","",INDEX('Detalle individual'!$C:$C,$H880))</f>
        <v/>
      </c>
      <c r="F880" s="5" t="str">
        <f>IF($H880="","",INDEX('Detalle individual'!$D:$D,$H880))</f>
        <v/>
      </c>
      <c r="G880" s="5" t="str">
        <f>IF($H880="","",INDEX('Detalle individual'!$F:$F,$H880))</f>
        <v/>
      </c>
      <c r="H880" t="str">
        <f>IFERROR(MATCH(SMALL(Cálculos!$AJ$5:$AJ$1000,876),Cálculos!$AJ$5:$AJ$1000,0)+4,"")</f>
        <v/>
      </c>
    </row>
    <row r="881">
      <c r="B881" s="5" t="str">
        <f>IF($H881="","",INDEX('Detalle individual'!$B:$B,$H881))</f>
        <v/>
      </c>
      <c r="C881" s="5" t="str">
        <f>IF($H881="","",INDEX('Detalle individual'!$A:$A,$H881))</f>
        <v/>
      </c>
      <c r="D881" s="5" t="str">
        <f>IF($H881="","",INDEX('Detalle individual'!$E:$E,$H881))</f>
        <v/>
      </c>
      <c r="E881" s="5" t="str">
        <f>IF($H881="","",INDEX('Detalle individual'!$C:$C,$H881))</f>
        <v/>
      </c>
      <c r="F881" s="5" t="str">
        <f>IF($H881="","",INDEX('Detalle individual'!$D:$D,$H881))</f>
        <v/>
      </c>
      <c r="G881" s="5" t="str">
        <f>IF($H881="","",INDEX('Detalle individual'!$F:$F,$H881))</f>
        <v/>
      </c>
      <c r="H881" t="str">
        <f>IFERROR(MATCH(SMALL(Cálculos!$AJ$5:$AJ$1000,877),Cálculos!$AJ$5:$AJ$1000,0)+4,"")</f>
        <v/>
      </c>
    </row>
    <row r="882">
      <c r="B882" s="5" t="str">
        <f>IF($H882="","",INDEX('Detalle individual'!$B:$B,$H882))</f>
        <v/>
      </c>
      <c r="C882" s="5" t="str">
        <f>IF($H882="","",INDEX('Detalle individual'!$A:$A,$H882))</f>
        <v/>
      </c>
      <c r="D882" s="5" t="str">
        <f>IF($H882="","",INDEX('Detalle individual'!$E:$E,$H882))</f>
        <v/>
      </c>
      <c r="E882" s="5" t="str">
        <f>IF($H882="","",INDEX('Detalle individual'!$C:$C,$H882))</f>
        <v/>
      </c>
      <c r="F882" s="5" t="str">
        <f>IF($H882="","",INDEX('Detalle individual'!$D:$D,$H882))</f>
        <v/>
      </c>
      <c r="G882" s="5" t="str">
        <f>IF($H882="","",INDEX('Detalle individual'!$F:$F,$H882))</f>
        <v/>
      </c>
      <c r="H882" t="str">
        <f>IFERROR(MATCH(SMALL(Cálculos!$AJ$5:$AJ$1000,878),Cálculos!$AJ$5:$AJ$1000,0)+4,"")</f>
        <v/>
      </c>
    </row>
    <row r="883">
      <c r="B883" s="5" t="str">
        <f>IF($H883="","",INDEX('Detalle individual'!$B:$B,$H883))</f>
        <v/>
      </c>
      <c r="C883" s="5" t="str">
        <f>IF($H883="","",INDEX('Detalle individual'!$A:$A,$H883))</f>
        <v/>
      </c>
      <c r="D883" s="5" t="str">
        <f>IF($H883="","",INDEX('Detalle individual'!$E:$E,$H883))</f>
        <v/>
      </c>
      <c r="E883" s="5" t="str">
        <f>IF($H883="","",INDEX('Detalle individual'!$C:$C,$H883))</f>
        <v/>
      </c>
      <c r="F883" s="5" t="str">
        <f>IF($H883="","",INDEX('Detalle individual'!$D:$D,$H883))</f>
        <v/>
      </c>
      <c r="G883" s="5" t="str">
        <f>IF($H883="","",INDEX('Detalle individual'!$F:$F,$H883))</f>
        <v/>
      </c>
      <c r="H883" t="str">
        <f>IFERROR(MATCH(SMALL(Cálculos!$AJ$5:$AJ$1000,879),Cálculos!$AJ$5:$AJ$1000,0)+4,"")</f>
        <v/>
      </c>
    </row>
    <row r="884">
      <c r="B884" s="5" t="str">
        <f>IF($H884="","",INDEX('Detalle individual'!$B:$B,$H884))</f>
        <v/>
      </c>
      <c r="C884" s="5" t="str">
        <f>IF($H884="","",INDEX('Detalle individual'!$A:$A,$H884))</f>
        <v/>
      </c>
      <c r="D884" s="5" t="str">
        <f>IF($H884="","",INDEX('Detalle individual'!$E:$E,$H884))</f>
        <v/>
      </c>
      <c r="E884" s="5" t="str">
        <f>IF($H884="","",INDEX('Detalle individual'!$C:$C,$H884))</f>
        <v/>
      </c>
      <c r="F884" s="5" t="str">
        <f>IF($H884="","",INDEX('Detalle individual'!$D:$D,$H884))</f>
        <v/>
      </c>
      <c r="G884" s="5" t="str">
        <f>IF($H884="","",INDEX('Detalle individual'!$F:$F,$H884))</f>
        <v/>
      </c>
      <c r="H884" t="str">
        <f>IFERROR(MATCH(SMALL(Cálculos!$AJ$5:$AJ$1000,880),Cálculos!$AJ$5:$AJ$1000,0)+4,"")</f>
        <v/>
      </c>
    </row>
    <row r="885">
      <c r="B885" s="5" t="str">
        <f>IF($H885="","",INDEX('Detalle individual'!$B:$B,$H885))</f>
        <v/>
      </c>
      <c r="C885" s="5" t="str">
        <f>IF($H885="","",INDEX('Detalle individual'!$A:$A,$H885))</f>
        <v/>
      </c>
      <c r="D885" s="5" t="str">
        <f>IF($H885="","",INDEX('Detalle individual'!$E:$E,$H885))</f>
        <v/>
      </c>
      <c r="E885" s="5" t="str">
        <f>IF($H885="","",INDEX('Detalle individual'!$C:$C,$H885))</f>
        <v/>
      </c>
      <c r="F885" s="5" t="str">
        <f>IF($H885="","",INDEX('Detalle individual'!$D:$D,$H885))</f>
        <v/>
      </c>
      <c r="G885" s="5" t="str">
        <f>IF($H885="","",INDEX('Detalle individual'!$F:$F,$H885))</f>
        <v/>
      </c>
      <c r="H885" t="str">
        <f>IFERROR(MATCH(SMALL(Cálculos!$AJ$5:$AJ$1000,881),Cálculos!$AJ$5:$AJ$1000,0)+4,"")</f>
        <v/>
      </c>
    </row>
    <row r="886">
      <c r="B886" s="5" t="str">
        <f>IF($H886="","",INDEX('Detalle individual'!$B:$B,$H886))</f>
        <v/>
      </c>
      <c r="C886" s="5" t="str">
        <f>IF($H886="","",INDEX('Detalle individual'!$A:$A,$H886))</f>
        <v/>
      </c>
      <c r="D886" s="5" t="str">
        <f>IF($H886="","",INDEX('Detalle individual'!$E:$E,$H886))</f>
        <v/>
      </c>
      <c r="E886" s="5" t="str">
        <f>IF($H886="","",INDEX('Detalle individual'!$C:$C,$H886))</f>
        <v/>
      </c>
      <c r="F886" s="5" t="str">
        <f>IF($H886="","",INDEX('Detalle individual'!$D:$D,$H886))</f>
        <v/>
      </c>
      <c r="G886" s="5" t="str">
        <f>IF($H886="","",INDEX('Detalle individual'!$F:$F,$H886))</f>
        <v/>
      </c>
      <c r="H886" t="str">
        <f>IFERROR(MATCH(SMALL(Cálculos!$AJ$5:$AJ$1000,882),Cálculos!$AJ$5:$AJ$1000,0)+4,"")</f>
        <v/>
      </c>
    </row>
    <row r="887">
      <c r="B887" s="5" t="str">
        <f>IF($H887="","",INDEX('Detalle individual'!$B:$B,$H887))</f>
        <v/>
      </c>
      <c r="C887" s="5" t="str">
        <f>IF($H887="","",INDEX('Detalle individual'!$A:$A,$H887))</f>
        <v/>
      </c>
      <c r="D887" s="5" t="str">
        <f>IF($H887="","",INDEX('Detalle individual'!$E:$E,$H887))</f>
        <v/>
      </c>
      <c r="E887" s="5" t="str">
        <f>IF($H887="","",INDEX('Detalle individual'!$C:$C,$H887))</f>
        <v/>
      </c>
      <c r="F887" s="5" t="str">
        <f>IF($H887="","",INDEX('Detalle individual'!$D:$D,$H887))</f>
        <v/>
      </c>
      <c r="G887" s="5" t="str">
        <f>IF($H887="","",INDEX('Detalle individual'!$F:$F,$H887))</f>
        <v/>
      </c>
      <c r="H887" t="str">
        <f>IFERROR(MATCH(SMALL(Cálculos!$AJ$5:$AJ$1000,883),Cálculos!$AJ$5:$AJ$1000,0)+4,"")</f>
        <v/>
      </c>
    </row>
    <row r="888">
      <c r="B888" s="5" t="str">
        <f>IF($H888="","",INDEX('Detalle individual'!$B:$B,$H888))</f>
        <v/>
      </c>
      <c r="C888" s="5" t="str">
        <f>IF($H888="","",INDEX('Detalle individual'!$A:$A,$H888))</f>
        <v/>
      </c>
      <c r="D888" s="5" t="str">
        <f>IF($H888="","",INDEX('Detalle individual'!$E:$E,$H888))</f>
        <v/>
      </c>
      <c r="E888" s="5" t="str">
        <f>IF($H888="","",INDEX('Detalle individual'!$C:$C,$H888))</f>
        <v/>
      </c>
      <c r="F888" s="5" t="str">
        <f>IF($H888="","",INDEX('Detalle individual'!$D:$D,$H888))</f>
        <v/>
      </c>
      <c r="G888" s="5" t="str">
        <f>IF($H888="","",INDEX('Detalle individual'!$F:$F,$H888))</f>
        <v/>
      </c>
      <c r="H888" t="str">
        <f>IFERROR(MATCH(SMALL(Cálculos!$AJ$5:$AJ$1000,884),Cálculos!$AJ$5:$AJ$1000,0)+4,"")</f>
        <v/>
      </c>
    </row>
    <row r="889">
      <c r="B889" s="5" t="str">
        <f>IF($H889="","",INDEX('Detalle individual'!$B:$B,$H889))</f>
        <v/>
      </c>
      <c r="C889" s="5" t="str">
        <f>IF($H889="","",INDEX('Detalle individual'!$A:$A,$H889))</f>
        <v/>
      </c>
      <c r="D889" s="5" t="str">
        <f>IF($H889="","",INDEX('Detalle individual'!$E:$E,$H889))</f>
        <v/>
      </c>
      <c r="E889" s="5" t="str">
        <f>IF($H889="","",INDEX('Detalle individual'!$C:$C,$H889))</f>
        <v/>
      </c>
      <c r="F889" s="5" t="str">
        <f>IF($H889="","",INDEX('Detalle individual'!$D:$D,$H889))</f>
        <v/>
      </c>
      <c r="G889" s="5" t="str">
        <f>IF($H889="","",INDEX('Detalle individual'!$F:$F,$H889))</f>
        <v/>
      </c>
      <c r="H889" t="str">
        <f>IFERROR(MATCH(SMALL(Cálculos!$AJ$5:$AJ$1000,885),Cálculos!$AJ$5:$AJ$1000,0)+4,"")</f>
        <v/>
      </c>
    </row>
    <row r="890">
      <c r="B890" s="5" t="str">
        <f>IF($H890="","",INDEX('Detalle individual'!$B:$B,$H890))</f>
        <v/>
      </c>
      <c r="C890" s="5" t="str">
        <f>IF($H890="","",INDEX('Detalle individual'!$A:$A,$H890))</f>
        <v/>
      </c>
      <c r="D890" s="5" t="str">
        <f>IF($H890="","",INDEX('Detalle individual'!$E:$E,$H890))</f>
        <v/>
      </c>
      <c r="E890" s="5" t="str">
        <f>IF($H890="","",INDEX('Detalle individual'!$C:$C,$H890))</f>
        <v/>
      </c>
      <c r="F890" s="5" t="str">
        <f>IF($H890="","",INDEX('Detalle individual'!$D:$D,$H890))</f>
        <v/>
      </c>
      <c r="G890" s="5" t="str">
        <f>IF($H890="","",INDEX('Detalle individual'!$F:$F,$H890))</f>
        <v/>
      </c>
      <c r="H890" t="str">
        <f>IFERROR(MATCH(SMALL(Cálculos!$AJ$5:$AJ$1000,886),Cálculos!$AJ$5:$AJ$1000,0)+4,"")</f>
        <v/>
      </c>
    </row>
    <row r="891">
      <c r="B891" s="5" t="str">
        <f>IF($H891="","",INDEX('Detalle individual'!$B:$B,$H891))</f>
        <v/>
      </c>
      <c r="C891" s="5" t="str">
        <f>IF($H891="","",INDEX('Detalle individual'!$A:$A,$H891))</f>
        <v/>
      </c>
      <c r="D891" s="5" t="str">
        <f>IF($H891="","",INDEX('Detalle individual'!$E:$E,$H891))</f>
        <v/>
      </c>
      <c r="E891" s="5" t="str">
        <f>IF($H891="","",INDEX('Detalle individual'!$C:$C,$H891))</f>
        <v/>
      </c>
      <c r="F891" s="5" t="str">
        <f>IF($H891="","",INDEX('Detalle individual'!$D:$D,$H891))</f>
        <v/>
      </c>
      <c r="G891" s="5" t="str">
        <f>IF($H891="","",INDEX('Detalle individual'!$F:$F,$H891))</f>
        <v/>
      </c>
      <c r="H891" t="str">
        <f>IFERROR(MATCH(SMALL(Cálculos!$AJ$5:$AJ$1000,887),Cálculos!$AJ$5:$AJ$1000,0)+4,"")</f>
        <v/>
      </c>
    </row>
    <row r="892">
      <c r="B892" s="5" t="str">
        <f>IF($H892="","",INDEX('Detalle individual'!$B:$B,$H892))</f>
        <v/>
      </c>
      <c r="C892" s="5" t="str">
        <f>IF($H892="","",INDEX('Detalle individual'!$A:$A,$H892))</f>
        <v/>
      </c>
      <c r="D892" s="5" t="str">
        <f>IF($H892="","",INDEX('Detalle individual'!$E:$E,$H892))</f>
        <v/>
      </c>
      <c r="E892" s="5" t="str">
        <f>IF($H892="","",INDEX('Detalle individual'!$C:$C,$H892))</f>
        <v/>
      </c>
      <c r="F892" s="5" t="str">
        <f>IF($H892="","",INDEX('Detalle individual'!$D:$D,$H892))</f>
        <v/>
      </c>
      <c r="G892" s="5" t="str">
        <f>IF($H892="","",INDEX('Detalle individual'!$F:$F,$H892))</f>
        <v/>
      </c>
      <c r="H892" t="str">
        <f>IFERROR(MATCH(SMALL(Cálculos!$AJ$5:$AJ$1000,888),Cálculos!$AJ$5:$AJ$1000,0)+4,"")</f>
        <v/>
      </c>
    </row>
    <row r="893">
      <c r="B893" s="5" t="str">
        <f>IF($H893="","",INDEX('Detalle individual'!$B:$B,$H893))</f>
        <v/>
      </c>
      <c r="C893" s="5" t="str">
        <f>IF($H893="","",INDEX('Detalle individual'!$A:$A,$H893))</f>
        <v/>
      </c>
      <c r="D893" s="5" t="str">
        <f>IF($H893="","",INDEX('Detalle individual'!$E:$E,$H893))</f>
        <v/>
      </c>
      <c r="E893" s="5" t="str">
        <f>IF($H893="","",INDEX('Detalle individual'!$C:$C,$H893))</f>
        <v/>
      </c>
      <c r="F893" s="5" t="str">
        <f>IF($H893="","",INDEX('Detalle individual'!$D:$D,$H893))</f>
        <v/>
      </c>
      <c r="G893" s="5" t="str">
        <f>IF($H893="","",INDEX('Detalle individual'!$F:$F,$H893))</f>
        <v/>
      </c>
      <c r="H893" t="str">
        <f>IFERROR(MATCH(SMALL(Cálculos!$AJ$5:$AJ$1000,889),Cálculos!$AJ$5:$AJ$1000,0)+4,"")</f>
        <v/>
      </c>
    </row>
    <row r="894">
      <c r="B894" s="5" t="str">
        <f>IF($H894="","",INDEX('Detalle individual'!$B:$B,$H894))</f>
        <v/>
      </c>
      <c r="C894" s="5" t="str">
        <f>IF($H894="","",INDEX('Detalle individual'!$A:$A,$H894))</f>
        <v/>
      </c>
      <c r="D894" s="5" t="str">
        <f>IF($H894="","",INDEX('Detalle individual'!$E:$E,$H894))</f>
        <v/>
      </c>
      <c r="E894" s="5" t="str">
        <f>IF($H894="","",INDEX('Detalle individual'!$C:$C,$H894))</f>
        <v/>
      </c>
      <c r="F894" s="5" t="str">
        <f>IF($H894="","",INDEX('Detalle individual'!$D:$D,$H894))</f>
        <v/>
      </c>
      <c r="G894" s="5" t="str">
        <f>IF($H894="","",INDEX('Detalle individual'!$F:$F,$H894))</f>
        <v/>
      </c>
      <c r="H894" t="str">
        <f>IFERROR(MATCH(SMALL(Cálculos!$AJ$5:$AJ$1000,890),Cálculos!$AJ$5:$AJ$1000,0)+4,"")</f>
        <v/>
      </c>
    </row>
    <row r="895">
      <c r="B895" s="5" t="str">
        <f>IF($H895="","",INDEX('Detalle individual'!$B:$B,$H895))</f>
        <v/>
      </c>
      <c r="C895" s="5" t="str">
        <f>IF($H895="","",INDEX('Detalle individual'!$A:$A,$H895))</f>
        <v/>
      </c>
      <c r="D895" s="5" t="str">
        <f>IF($H895="","",INDEX('Detalle individual'!$E:$E,$H895))</f>
        <v/>
      </c>
      <c r="E895" s="5" t="str">
        <f>IF($H895="","",INDEX('Detalle individual'!$C:$C,$H895))</f>
        <v/>
      </c>
      <c r="F895" s="5" t="str">
        <f>IF($H895="","",INDEX('Detalle individual'!$D:$D,$H895))</f>
        <v/>
      </c>
      <c r="G895" s="5" t="str">
        <f>IF($H895="","",INDEX('Detalle individual'!$F:$F,$H895))</f>
        <v/>
      </c>
      <c r="H895" t="str">
        <f>IFERROR(MATCH(SMALL(Cálculos!$AJ$5:$AJ$1000,891),Cálculos!$AJ$5:$AJ$1000,0)+4,"")</f>
        <v/>
      </c>
    </row>
    <row r="896">
      <c r="B896" s="5" t="str">
        <f>IF($H896="","",INDEX('Detalle individual'!$B:$B,$H896))</f>
        <v/>
      </c>
      <c r="C896" s="5" t="str">
        <f>IF($H896="","",INDEX('Detalle individual'!$A:$A,$H896))</f>
        <v/>
      </c>
      <c r="D896" s="5" t="str">
        <f>IF($H896="","",INDEX('Detalle individual'!$E:$E,$H896))</f>
        <v/>
      </c>
      <c r="E896" s="5" t="str">
        <f>IF($H896="","",INDEX('Detalle individual'!$C:$C,$H896))</f>
        <v/>
      </c>
      <c r="F896" s="5" t="str">
        <f>IF($H896="","",INDEX('Detalle individual'!$D:$D,$H896))</f>
        <v/>
      </c>
      <c r="G896" s="5" t="str">
        <f>IF($H896="","",INDEX('Detalle individual'!$F:$F,$H896))</f>
        <v/>
      </c>
      <c r="H896" t="str">
        <f>IFERROR(MATCH(SMALL(Cálculos!$AJ$5:$AJ$1000,892),Cálculos!$AJ$5:$AJ$1000,0)+4,"")</f>
        <v/>
      </c>
    </row>
    <row r="897">
      <c r="B897" s="5" t="str">
        <f>IF($H897="","",INDEX('Detalle individual'!$B:$B,$H897))</f>
        <v/>
      </c>
      <c r="C897" s="5" t="str">
        <f>IF($H897="","",INDEX('Detalle individual'!$A:$A,$H897))</f>
        <v/>
      </c>
      <c r="D897" s="5" t="str">
        <f>IF($H897="","",INDEX('Detalle individual'!$E:$E,$H897))</f>
        <v/>
      </c>
      <c r="E897" s="5" t="str">
        <f>IF($H897="","",INDEX('Detalle individual'!$C:$C,$H897))</f>
        <v/>
      </c>
      <c r="F897" s="5" t="str">
        <f>IF($H897="","",INDEX('Detalle individual'!$D:$D,$H897))</f>
        <v/>
      </c>
      <c r="G897" s="5" t="str">
        <f>IF($H897="","",INDEX('Detalle individual'!$F:$F,$H897))</f>
        <v/>
      </c>
      <c r="H897" t="str">
        <f>IFERROR(MATCH(SMALL(Cálculos!$AJ$5:$AJ$1000,893),Cálculos!$AJ$5:$AJ$1000,0)+4,"")</f>
        <v/>
      </c>
    </row>
    <row r="898">
      <c r="B898" s="5" t="str">
        <f>IF($H898="","",INDEX('Detalle individual'!$B:$B,$H898))</f>
        <v/>
      </c>
      <c r="C898" s="5" t="str">
        <f>IF($H898="","",INDEX('Detalle individual'!$A:$A,$H898))</f>
        <v/>
      </c>
      <c r="D898" s="5" t="str">
        <f>IF($H898="","",INDEX('Detalle individual'!$E:$E,$H898))</f>
        <v/>
      </c>
      <c r="E898" s="5" t="str">
        <f>IF($H898="","",INDEX('Detalle individual'!$C:$C,$H898))</f>
        <v/>
      </c>
      <c r="F898" s="5" t="str">
        <f>IF($H898="","",INDEX('Detalle individual'!$D:$D,$H898))</f>
        <v/>
      </c>
      <c r="G898" s="5" t="str">
        <f>IF($H898="","",INDEX('Detalle individual'!$F:$F,$H898))</f>
        <v/>
      </c>
      <c r="H898" t="str">
        <f>IFERROR(MATCH(SMALL(Cálculos!$AJ$5:$AJ$1000,894),Cálculos!$AJ$5:$AJ$1000,0)+4,"")</f>
        <v/>
      </c>
    </row>
    <row r="899">
      <c r="B899" s="5" t="str">
        <f>IF($H899="","",INDEX('Detalle individual'!$B:$B,$H899))</f>
        <v/>
      </c>
      <c r="C899" s="5" t="str">
        <f>IF($H899="","",INDEX('Detalle individual'!$A:$A,$H899))</f>
        <v/>
      </c>
      <c r="D899" s="5" t="str">
        <f>IF($H899="","",INDEX('Detalle individual'!$E:$E,$H899))</f>
        <v/>
      </c>
      <c r="E899" s="5" t="str">
        <f>IF($H899="","",INDEX('Detalle individual'!$C:$C,$H899))</f>
        <v/>
      </c>
      <c r="F899" s="5" t="str">
        <f>IF($H899="","",INDEX('Detalle individual'!$D:$D,$H899))</f>
        <v/>
      </c>
      <c r="G899" s="5" t="str">
        <f>IF($H899="","",INDEX('Detalle individual'!$F:$F,$H899))</f>
        <v/>
      </c>
      <c r="H899" t="str">
        <f>IFERROR(MATCH(SMALL(Cálculos!$AJ$5:$AJ$1000,895),Cálculos!$AJ$5:$AJ$1000,0)+4,"")</f>
        <v/>
      </c>
    </row>
    <row r="900">
      <c r="B900" s="5" t="str">
        <f>IF($H900="","",INDEX('Detalle individual'!$B:$B,$H900))</f>
        <v/>
      </c>
      <c r="C900" s="5" t="str">
        <f>IF($H900="","",INDEX('Detalle individual'!$A:$A,$H900))</f>
        <v/>
      </c>
      <c r="D900" s="5" t="str">
        <f>IF($H900="","",INDEX('Detalle individual'!$E:$E,$H900))</f>
        <v/>
      </c>
      <c r="E900" s="5" t="str">
        <f>IF($H900="","",INDEX('Detalle individual'!$C:$C,$H900))</f>
        <v/>
      </c>
      <c r="F900" s="5" t="str">
        <f>IF($H900="","",INDEX('Detalle individual'!$D:$D,$H900))</f>
        <v/>
      </c>
      <c r="G900" s="5" t="str">
        <f>IF($H900="","",INDEX('Detalle individual'!$F:$F,$H900))</f>
        <v/>
      </c>
      <c r="H900" t="str">
        <f>IFERROR(MATCH(SMALL(Cálculos!$AJ$5:$AJ$1000,896),Cálculos!$AJ$5:$AJ$1000,0)+4,"")</f>
        <v/>
      </c>
    </row>
    <row r="901">
      <c r="B901" s="5" t="str">
        <f>IF($H901="","",INDEX('Detalle individual'!$B:$B,$H901))</f>
        <v/>
      </c>
      <c r="C901" s="5" t="str">
        <f>IF($H901="","",INDEX('Detalle individual'!$A:$A,$H901))</f>
        <v/>
      </c>
      <c r="D901" s="5" t="str">
        <f>IF($H901="","",INDEX('Detalle individual'!$E:$E,$H901))</f>
        <v/>
      </c>
      <c r="E901" s="5" t="str">
        <f>IF($H901="","",INDEX('Detalle individual'!$C:$C,$H901))</f>
        <v/>
      </c>
      <c r="F901" s="5" t="str">
        <f>IF($H901="","",INDEX('Detalle individual'!$D:$D,$H901))</f>
        <v/>
      </c>
      <c r="G901" s="5" t="str">
        <f>IF($H901="","",INDEX('Detalle individual'!$F:$F,$H901))</f>
        <v/>
      </c>
      <c r="H901" t="str">
        <f>IFERROR(MATCH(SMALL(Cálculos!$AJ$5:$AJ$1000,897),Cálculos!$AJ$5:$AJ$1000,0)+4,"")</f>
        <v/>
      </c>
    </row>
    <row r="902">
      <c r="B902" s="5" t="str">
        <f>IF($H902="","",INDEX('Detalle individual'!$B:$B,$H902))</f>
        <v/>
      </c>
      <c r="C902" s="5" t="str">
        <f>IF($H902="","",INDEX('Detalle individual'!$A:$A,$H902))</f>
        <v/>
      </c>
      <c r="D902" s="5" t="str">
        <f>IF($H902="","",INDEX('Detalle individual'!$E:$E,$H902))</f>
        <v/>
      </c>
      <c r="E902" s="5" t="str">
        <f>IF($H902="","",INDEX('Detalle individual'!$C:$C,$H902))</f>
        <v/>
      </c>
      <c r="F902" s="5" t="str">
        <f>IF($H902="","",INDEX('Detalle individual'!$D:$D,$H902))</f>
        <v/>
      </c>
      <c r="G902" s="5" t="str">
        <f>IF($H902="","",INDEX('Detalle individual'!$F:$F,$H902))</f>
        <v/>
      </c>
      <c r="H902" t="str">
        <f>IFERROR(MATCH(SMALL(Cálculos!$AJ$5:$AJ$1000,898),Cálculos!$AJ$5:$AJ$1000,0)+4,"")</f>
        <v/>
      </c>
    </row>
    <row r="903">
      <c r="B903" s="5" t="str">
        <f>IF($H903="","",INDEX('Detalle individual'!$B:$B,$H903))</f>
        <v/>
      </c>
      <c r="C903" s="5" t="str">
        <f>IF($H903="","",INDEX('Detalle individual'!$A:$A,$H903))</f>
        <v/>
      </c>
      <c r="D903" s="5" t="str">
        <f>IF($H903="","",INDEX('Detalle individual'!$E:$E,$H903))</f>
        <v/>
      </c>
      <c r="E903" s="5" t="str">
        <f>IF($H903="","",INDEX('Detalle individual'!$C:$C,$H903))</f>
        <v/>
      </c>
      <c r="F903" s="5" t="str">
        <f>IF($H903="","",INDEX('Detalle individual'!$D:$D,$H903))</f>
        <v/>
      </c>
      <c r="G903" s="5" t="str">
        <f>IF($H903="","",INDEX('Detalle individual'!$F:$F,$H903))</f>
        <v/>
      </c>
      <c r="H903" t="str">
        <f>IFERROR(MATCH(SMALL(Cálculos!$AJ$5:$AJ$1000,899),Cálculos!$AJ$5:$AJ$1000,0)+4,"")</f>
        <v/>
      </c>
    </row>
    <row r="904">
      <c r="B904" s="5" t="str">
        <f>IF($H904="","",INDEX('Detalle individual'!$B:$B,$H904))</f>
        <v/>
      </c>
      <c r="C904" s="5" t="str">
        <f>IF($H904="","",INDEX('Detalle individual'!$A:$A,$H904))</f>
        <v/>
      </c>
      <c r="D904" s="5" t="str">
        <f>IF($H904="","",INDEX('Detalle individual'!$E:$E,$H904))</f>
        <v/>
      </c>
      <c r="E904" s="5" t="str">
        <f>IF($H904="","",INDEX('Detalle individual'!$C:$C,$H904))</f>
        <v/>
      </c>
      <c r="F904" s="5" t="str">
        <f>IF($H904="","",INDEX('Detalle individual'!$D:$D,$H904))</f>
        <v/>
      </c>
      <c r="G904" s="5" t="str">
        <f>IF($H904="","",INDEX('Detalle individual'!$F:$F,$H904))</f>
        <v/>
      </c>
      <c r="H904" t="str">
        <f>IFERROR(MATCH(SMALL(Cálculos!$AJ$5:$AJ$1000,900),Cálculos!$AJ$5:$AJ$1000,0)+4,"")</f>
        <v/>
      </c>
    </row>
    <row r="905">
      <c r="B905" s="5" t="str">
        <f>IF($H905="","",INDEX('Detalle individual'!$B:$B,$H905))</f>
        <v/>
      </c>
      <c r="C905" s="5" t="str">
        <f>IF($H905="","",INDEX('Detalle individual'!$A:$A,$H905))</f>
        <v/>
      </c>
      <c r="D905" s="5" t="str">
        <f>IF($H905="","",INDEX('Detalle individual'!$E:$E,$H905))</f>
        <v/>
      </c>
      <c r="E905" s="5" t="str">
        <f>IF($H905="","",INDEX('Detalle individual'!$C:$C,$H905))</f>
        <v/>
      </c>
      <c r="F905" s="5" t="str">
        <f>IF($H905="","",INDEX('Detalle individual'!$D:$D,$H905))</f>
        <v/>
      </c>
      <c r="G905" s="5" t="str">
        <f>IF($H905="","",INDEX('Detalle individual'!$F:$F,$H905))</f>
        <v/>
      </c>
      <c r="H905" t="str">
        <f>IFERROR(MATCH(SMALL(Cálculos!$AJ$5:$AJ$1000,901),Cálculos!$AJ$5:$AJ$1000,0)+4,"")</f>
        <v/>
      </c>
    </row>
    <row r="906">
      <c r="B906" s="5" t="str">
        <f>IF($H906="","",INDEX('Detalle individual'!$B:$B,$H906))</f>
        <v/>
      </c>
      <c r="C906" s="5" t="str">
        <f>IF($H906="","",INDEX('Detalle individual'!$A:$A,$H906))</f>
        <v/>
      </c>
      <c r="D906" s="5" t="str">
        <f>IF($H906="","",INDEX('Detalle individual'!$E:$E,$H906))</f>
        <v/>
      </c>
      <c r="E906" s="5" t="str">
        <f>IF($H906="","",INDEX('Detalle individual'!$C:$C,$H906))</f>
        <v/>
      </c>
      <c r="F906" s="5" t="str">
        <f>IF($H906="","",INDEX('Detalle individual'!$D:$D,$H906))</f>
        <v/>
      </c>
      <c r="G906" s="5" t="str">
        <f>IF($H906="","",INDEX('Detalle individual'!$F:$F,$H906))</f>
        <v/>
      </c>
      <c r="H906" t="str">
        <f>IFERROR(MATCH(SMALL(Cálculos!$AJ$5:$AJ$1000,902),Cálculos!$AJ$5:$AJ$1000,0)+4,"")</f>
        <v/>
      </c>
    </row>
    <row r="907">
      <c r="B907" s="5" t="str">
        <f>IF($H907="","",INDEX('Detalle individual'!$B:$B,$H907))</f>
        <v/>
      </c>
      <c r="C907" s="5" t="str">
        <f>IF($H907="","",INDEX('Detalle individual'!$A:$A,$H907))</f>
        <v/>
      </c>
      <c r="D907" s="5" t="str">
        <f>IF($H907="","",INDEX('Detalle individual'!$E:$E,$H907))</f>
        <v/>
      </c>
      <c r="E907" s="5" t="str">
        <f>IF($H907="","",INDEX('Detalle individual'!$C:$C,$H907))</f>
        <v/>
      </c>
      <c r="F907" s="5" t="str">
        <f>IF($H907="","",INDEX('Detalle individual'!$D:$D,$H907))</f>
        <v/>
      </c>
      <c r="G907" s="5" t="str">
        <f>IF($H907="","",INDEX('Detalle individual'!$F:$F,$H907))</f>
        <v/>
      </c>
      <c r="H907" t="str">
        <f>IFERROR(MATCH(SMALL(Cálculos!$AJ$5:$AJ$1000,903),Cálculos!$AJ$5:$AJ$1000,0)+4,"")</f>
        <v/>
      </c>
    </row>
    <row r="908">
      <c r="B908" s="5" t="str">
        <f>IF($H908="","",INDEX('Detalle individual'!$B:$B,$H908))</f>
        <v/>
      </c>
      <c r="C908" s="5" t="str">
        <f>IF($H908="","",INDEX('Detalle individual'!$A:$A,$H908))</f>
        <v/>
      </c>
      <c r="D908" s="5" t="str">
        <f>IF($H908="","",INDEX('Detalle individual'!$E:$E,$H908))</f>
        <v/>
      </c>
      <c r="E908" s="5" t="str">
        <f>IF($H908="","",INDEX('Detalle individual'!$C:$C,$H908))</f>
        <v/>
      </c>
      <c r="F908" s="5" t="str">
        <f>IF($H908="","",INDEX('Detalle individual'!$D:$D,$H908))</f>
        <v/>
      </c>
      <c r="G908" s="5" t="str">
        <f>IF($H908="","",INDEX('Detalle individual'!$F:$F,$H908))</f>
        <v/>
      </c>
      <c r="H908" t="str">
        <f>IFERROR(MATCH(SMALL(Cálculos!$AJ$5:$AJ$1000,904),Cálculos!$AJ$5:$AJ$1000,0)+4,"")</f>
        <v/>
      </c>
    </row>
    <row r="909">
      <c r="B909" s="5" t="str">
        <f>IF($H909="","",INDEX('Detalle individual'!$B:$B,$H909))</f>
        <v/>
      </c>
      <c r="C909" s="5" t="str">
        <f>IF($H909="","",INDEX('Detalle individual'!$A:$A,$H909))</f>
        <v/>
      </c>
      <c r="D909" s="5" t="str">
        <f>IF($H909="","",INDEX('Detalle individual'!$E:$E,$H909))</f>
        <v/>
      </c>
      <c r="E909" s="5" t="str">
        <f>IF($H909="","",INDEX('Detalle individual'!$C:$C,$H909))</f>
        <v/>
      </c>
      <c r="F909" s="5" t="str">
        <f>IF($H909="","",INDEX('Detalle individual'!$D:$D,$H909))</f>
        <v/>
      </c>
      <c r="G909" s="5" t="str">
        <f>IF($H909="","",INDEX('Detalle individual'!$F:$F,$H909))</f>
        <v/>
      </c>
      <c r="H909" t="str">
        <f>IFERROR(MATCH(SMALL(Cálculos!$AJ$5:$AJ$1000,905),Cálculos!$AJ$5:$AJ$1000,0)+4,"")</f>
        <v/>
      </c>
    </row>
    <row r="910">
      <c r="B910" s="5" t="str">
        <f>IF($H910="","",INDEX('Detalle individual'!$B:$B,$H910))</f>
        <v/>
      </c>
      <c r="C910" s="5" t="str">
        <f>IF($H910="","",INDEX('Detalle individual'!$A:$A,$H910))</f>
        <v/>
      </c>
      <c r="D910" s="5" t="str">
        <f>IF($H910="","",INDEX('Detalle individual'!$E:$E,$H910))</f>
        <v/>
      </c>
      <c r="E910" s="5" t="str">
        <f>IF($H910="","",INDEX('Detalle individual'!$C:$C,$H910))</f>
        <v/>
      </c>
      <c r="F910" s="5" t="str">
        <f>IF($H910="","",INDEX('Detalle individual'!$D:$D,$H910))</f>
        <v/>
      </c>
      <c r="G910" s="5" t="str">
        <f>IF($H910="","",INDEX('Detalle individual'!$F:$F,$H910))</f>
        <v/>
      </c>
      <c r="H910" t="str">
        <f>IFERROR(MATCH(SMALL(Cálculos!$AJ$5:$AJ$1000,906),Cálculos!$AJ$5:$AJ$1000,0)+4,"")</f>
        <v/>
      </c>
    </row>
    <row r="911">
      <c r="B911" s="5" t="str">
        <f>IF($H911="","",INDEX('Detalle individual'!$B:$B,$H911))</f>
        <v/>
      </c>
      <c r="C911" s="5" t="str">
        <f>IF($H911="","",INDEX('Detalle individual'!$A:$A,$H911))</f>
        <v/>
      </c>
      <c r="D911" s="5" t="str">
        <f>IF($H911="","",INDEX('Detalle individual'!$E:$E,$H911))</f>
        <v/>
      </c>
      <c r="E911" s="5" t="str">
        <f>IF($H911="","",INDEX('Detalle individual'!$C:$C,$H911))</f>
        <v/>
      </c>
      <c r="F911" s="5" t="str">
        <f>IF($H911="","",INDEX('Detalle individual'!$D:$D,$H911))</f>
        <v/>
      </c>
      <c r="G911" s="5" t="str">
        <f>IF($H911="","",INDEX('Detalle individual'!$F:$F,$H911))</f>
        <v/>
      </c>
      <c r="H911" t="str">
        <f>IFERROR(MATCH(SMALL(Cálculos!$AJ$5:$AJ$1000,907),Cálculos!$AJ$5:$AJ$1000,0)+4,"")</f>
        <v/>
      </c>
    </row>
    <row r="912">
      <c r="B912" s="5" t="str">
        <f>IF($H912="","",INDEX('Detalle individual'!$B:$B,$H912))</f>
        <v/>
      </c>
      <c r="C912" s="5" t="str">
        <f>IF($H912="","",INDEX('Detalle individual'!$A:$A,$H912))</f>
        <v/>
      </c>
      <c r="D912" s="5" t="str">
        <f>IF($H912="","",INDEX('Detalle individual'!$E:$E,$H912))</f>
        <v/>
      </c>
      <c r="E912" s="5" t="str">
        <f>IF($H912="","",INDEX('Detalle individual'!$C:$C,$H912))</f>
        <v/>
      </c>
      <c r="F912" s="5" t="str">
        <f>IF($H912="","",INDEX('Detalle individual'!$D:$D,$H912))</f>
        <v/>
      </c>
      <c r="G912" s="5" t="str">
        <f>IF($H912="","",INDEX('Detalle individual'!$F:$F,$H912))</f>
        <v/>
      </c>
      <c r="H912" t="str">
        <f>IFERROR(MATCH(SMALL(Cálculos!$AJ$5:$AJ$1000,908),Cálculos!$AJ$5:$AJ$1000,0)+4,"")</f>
        <v/>
      </c>
    </row>
    <row r="913">
      <c r="B913" s="5" t="str">
        <f>IF($H913="","",INDEX('Detalle individual'!$B:$B,$H913))</f>
        <v/>
      </c>
      <c r="C913" s="5" t="str">
        <f>IF($H913="","",INDEX('Detalle individual'!$A:$A,$H913))</f>
        <v/>
      </c>
      <c r="D913" s="5" t="str">
        <f>IF($H913="","",INDEX('Detalle individual'!$E:$E,$H913))</f>
        <v/>
      </c>
      <c r="E913" s="5" t="str">
        <f>IF($H913="","",INDEX('Detalle individual'!$C:$C,$H913))</f>
        <v/>
      </c>
      <c r="F913" s="5" t="str">
        <f>IF($H913="","",INDEX('Detalle individual'!$D:$D,$H913))</f>
        <v/>
      </c>
      <c r="G913" s="5" t="str">
        <f>IF($H913="","",INDEX('Detalle individual'!$F:$F,$H913))</f>
        <v/>
      </c>
      <c r="H913" t="str">
        <f>IFERROR(MATCH(SMALL(Cálculos!$AJ$5:$AJ$1000,909),Cálculos!$AJ$5:$AJ$1000,0)+4,"")</f>
        <v/>
      </c>
    </row>
    <row r="914">
      <c r="B914" s="5" t="str">
        <f>IF($H914="","",INDEX('Detalle individual'!$B:$B,$H914))</f>
        <v/>
      </c>
      <c r="C914" s="5" t="str">
        <f>IF($H914="","",INDEX('Detalle individual'!$A:$A,$H914))</f>
        <v/>
      </c>
      <c r="D914" s="5" t="str">
        <f>IF($H914="","",INDEX('Detalle individual'!$E:$E,$H914))</f>
        <v/>
      </c>
      <c r="E914" s="5" t="str">
        <f>IF($H914="","",INDEX('Detalle individual'!$C:$C,$H914))</f>
        <v/>
      </c>
      <c r="F914" s="5" t="str">
        <f>IF($H914="","",INDEX('Detalle individual'!$D:$D,$H914))</f>
        <v/>
      </c>
      <c r="G914" s="5" t="str">
        <f>IF($H914="","",INDEX('Detalle individual'!$F:$F,$H914))</f>
        <v/>
      </c>
      <c r="H914" t="str">
        <f>IFERROR(MATCH(SMALL(Cálculos!$AJ$5:$AJ$1000,910),Cálculos!$AJ$5:$AJ$1000,0)+4,"")</f>
        <v/>
      </c>
    </row>
    <row r="915">
      <c r="B915" s="5" t="str">
        <f>IF($H915="","",INDEX('Detalle individual'!$B:$B,$H915))</f>
        <v/>
      </c>
      <c r="C915" s="5" t="str">
        <f>IF($H915="","",INDEX('Detalle individual'!$A:$A,$H915))</f>
        <v/>
      </c>
      <c r="D915" s="5" t="str">
        <f>IF($H915="","",INDEX('Detalle individual'!$E:$E,$H915))</f>
        <v/>
      </c>
      <c r="E915" s="5" t="str">
        <f>IF($H915="","",INDEX('Detalle individual'!$C:$C,$H915))</f>
        <v/>
      </c>
      <c r="F915" s="5" t="str">
        <f>IF($H915="","",INDEX('Detalle individual'!$D:$D,$H915))</f>
        <v/>
      </c>
      <c r="G915" s="5" t="str">
        <f>IF($H915="","",INDEX('Detalle individual'!$F:$F,$H915))</f>
        <v/>
      </c>
      <c r="H915" t="str">
        <f>IFERROR(MATCH(SMALL(Cálculos!$AJ$5:$AJ$1000,911),Cálculos!$AJ$5:$AJ$1000,0)+4,"")</f>
        <v/>
      </c>
    </row>
    <row r="916">
      <c r="B916" s="5" t="str">
        <f>IF($H916="","",INDEX('Detalle individual'!$B:$B,$H916))</f>
        <v/>
      </c>
      <c r="C916" s="5" t="str">
        <f>IF($H916="","",INDEX('Detalle individual'!$A:$A,$H916))</f>
        <v/>
      </c>
      <c r="D916" s="5" t="str">
        <f>IF($H916="","",INDEX('Detalle individual'!$E:$E,$H916))</f>
        <v/>
      </c>
      <c r="E916" s="5" t="str">
        <f>IF($H916="","",INDEX('Detalle individual'!$C:$C,$H916))</f>
        <v/>
      </c>
      <c r="F916" s="5" t="str">
        <f>IF($H916="","",INDEX('Detalle individual'!$D:$D,$H916))</f>
        <v/>
      </c>
      <c r="G916" s="5" t="str">
        <f>IF($H916="","",INDEX('Detalle individual'!$F:$F,$H916))</f>
        <v/>
      </c>
      <c r="H916" t="str">
        <f>IFERROR(MATCH(SMALL(Cálculos!$AJ$5:$AJ$1000,912),Cálculos!$AJ$5:$AJ$1000,0)+4,"")</f>
        <v/>
      </c>
    </row>
    <row r="917">
      <c r="B917" s="5" t="str">
        <f>IF($H917="","",INDEX('Detalle individual'!$B:$B,$H917))</f>
        <v/>
      </c>
      <c r="C917" s="5" t="str">
        <f>IF($H917="","",INDEX('Detalle individual'!$A:$A,$H917))</f>
        <v/>
      </c>
      <c r="D917" s="5" t="str">
        <f>IF($H917="","",INDEX('Detalle individual'!$E:$E,$H917))</f>
        <v/>
      </c>
      <c r="E917" s="5" t="str">
        <f>IF($H917="","",INDEX('Detalle individual'!$C:$C,$H917))</f>
        <v/>
      </c>
      <c r="F917" s="5" t="str">
        <f>IF($H917="","",INDEX('Detalle individual'!$D:$D,$H917))</f>
        <v/>
      </c>
      <c r="G917" s="5" t="str">
        <f>IF($H917="","",INDEX('Detalle individual'!$F:$F,$H917))</f>
        <v/>
      </c>
      <c r="H917" t="str">
        <f>IFERROR(MATCH(SMALL(Cálculos!$AJ$5:$AJ$1000,913),Cálculos!$AJ$5:$AJ$1000,0)+4,"")</f>
        <v/>
      </c>
    </row>
    <row r="918">
      <c r="B918" s="5" t="str">
        <f>IF($H918="","",INDEX('Detalle individual'!$B:$B,$H918))</f>
        <v/>
      </c>
      <c r="C918" s="5" t="str">
        <f>IF($H918="","",INDEX('Detalle individual'!$A:$A,$H918))</f>
        <v/>
      </c>
      <c r="D918" s="5" t="str">
        <f>IF($H918="","",INDEX('Detalle individual'!$E:$E,$H918))</f>
        <v/>
      </c>
      <c r="E918" s="5" t="str">
        <f>IF($H918="","",INDEX('Detalle individual'!$C:$C,$H918))</f>
        <v/>
      </c>
      <c r="F918" s="5" t="str">
        <f>IF($H918="","",INDEX('Detalle individual'!$D:$D,$H918))</f>
        <v/>
      </c>
      <c r="G918" s="5" t="str">
        <f>IF($H918="","",INDEX('Detalle individual'!$F:$F,$H918))</f>
        <v/>
      </c>
      <c r="H918" t="str">
        <f>IFERROR(MATCH(SMALL(Cálculos!$AJ$5:$AJ$1000,914),Cálculos!$AJ$5:$AJ$1000,0)+4,"")</f>
        <v/>
      </c>
    </row>
    <row r="919">
      <c r="B919" s="5" t="str">
        <f>IF($H919="","",INDEX('Detalle individual'!$B:$B,$H919))</f>
        <v/>
      </c>
      <c r="C919" s="5" t="str">
        <f>IF($H919="","",INDEX('Detalle individual'!$A:$A,$H919))</f>
        <v/>
      </c>
      <c r="D919" s="5" t="str">
        <f>IF($H919="","",INDEX('Detalle individual'!$E:$E,$H919))</f>
        <v/>
      </c>
      <c r="E919" s="5" t="str">
        <f>IF($H919="","",INDEX('Detalle individual'!$C:$C,$H919))</f>
        <v/>
      </c>
      <c r="F919" s="5" t="str">
        <f>IF($H919="","",INDEX('Detalle individual'!$D:$D,$H919))</f>
        <v/>
      </c>
      <c r="G919" s="5" t="str">
        <f>IF($H919="","",INDEX('Detalle individual'!$F:$F,$H919))</f>
        <v/>
      </c>
      <c r="H919" t="str">
        <f>IFERROR(MATCH(SMALL(Cálculos!$AJ$5:$AJ$1000,915),Cálculos!$AJ$5:$AJ$1000,0)+4,"")</f>
        <v/>
      </c>
    </row>
    <row r="920">
      <c r="B920" s="5" t="str">
        <f>IF($H920="","",INDEX('Detalle individual'!$B:$B,$H920))</f>
        <v/>
      </c>
      <c r="C920" s="5" t="str">
        <f>IF($H920="","",INDEX('Detalle individual'!$A:$A,$H920))</f>
        <v/>
      </c>
      <c r="D920" s="5" t="str">
        <f>IF($H920="","",INDEX('Detalle individual'!$E:$E,$H920))</f>
        <v/>
      </c>
      <c r="E920" s="5" t="str">
        <f>IF($H920="","",INDEX('Detalle individual'!$C:$C,$H920))</f>
        <v/>
      </c>
      <c r="F920" s="5" t="str">
        <f>IF($H920="","",INDEX('Detalle individual'!$D:$D,$H920))</f>
        <v/>
      </c>
      <c r="G920" s="5" t="str">
        <f>IF($H920="","",INDEX('Detalle individual'!$F:$F,$H920))</f>
        <v/>
      </c>
      <c r="H920" t="str">
        <f>IFERROR(MATCH(SMALL(Cálculos!$AJ$5:$AJ$1000,916),Cálculos!$AJ$5:$AJ$1000,0)+4,"")</f>
        <v/>
      </c>
    </row>
    <row r="921">
      <c r="B921" s="5" t="str">
        <f>IF($H921="","",INDEX('Detalle individual'!$B:$B,$H921))</f>
        <v/>
      </c>
      <c r="C921" s="5" t="str">
        <f>IF($H921="","",INDEX('Detalle individual'!$A:$A,$H921))</f>
        <v/>
      </c>
      <c r="D921" s="5" t="str">
        <f>IF($H921="","",INDEX('Detalle individual'!$E:$E,$H921))</f>
        <v/>
      </c>
      <c r="E921" s="5" t="str">
        <f>IF($H921="","",INDEX('Detalle individual'!$C:$C,$H921))</f>
        <v/>
      </c>
      <c r="F921" s="5" t="str">
        <f>IF($H921="","",INDEX('Detalle individual'!$D:$D,$H921))</f>
        <v/>
      </c>
      <c r="G921" s="5" t="str">
        <f>IF($H921="","",INDEX('Detalle individual'!$F:$F,$H921))</f>
        <v/>
      </c>
      <c r="H921" t="str">
        <f>IFERROR(MATCH(SMALL(Cálculos!$AJ$5:$AJ$1000,917),Cálculos!$AJ$5:$AJ$1000,0)+4,"")</f>
        <v/>
      </c>
    </row>
    <row r="922">
      <c r="B922" s="5" t="str">
        <f>IF($H922="","",INDEX('Detalle individual'!$B:$B,$H922))</f>
        <v/>
      </c>
      <c r="C922" s="5" t="str">
        <f>IF($H922="","",INDEX('Detalle individual'!$A:$A,$H922))</f>
        <v/>
      </c>
      <c r="D922" s="5" t="str">
        <f>IF($H922="","",INDEX('Detalle individual'!$E:$E,$H922))</f>
        <v/>
      </c>
      <c r="E922" s="5" t="str">
        <f>IF($H922="","",INDEX('Detalle individual'!$C:$C,$H922))</f>
        <v/>
      </c>
      <c r="F922" s="5" t="str">
        <f>IF($H922="","",INDEX('Detalle individual'!$D:$D,$H922))</f>
        <v/>
      </c>
      <c r="G922" s="5" t="str">
        <f>IF($H922="","",INDEX('Detalle individual'!$F:$F,$H922))</f>
        <v/>
      </c>
      <c r="H922" t="str">
        <f>IFERROR(MATCH(SMALL(Cálculos!$AJ$5:$AJ$1000,918),Cálculos!$AJ$5:$AJ$1000,0)+4,"")</f>
        <v/>
      </c>
    </row>
    <row r="923">
      <c r="B923" s="5" t="str">
        <f>IF($H923="","",INDEX('Detalle individual'!$B:$B,$H923))</f>
        <v/>
      </c>
      <c r="C923" s="5" t="str">
        <f>IF($H923="","",INDEX('Detalle individual'!$A:$A,$H923))</f>
        <v/>
      </c>
      <c r="D923" s="5" t="str">
        <f>IF($H923="","",INDEX('Detalle individual'!$E:$E,$H923))</f>
        <v/>
      </c>
      <c r="E923" s="5" t="str">
        <f>IF($H923="","",INDEX('Detalle individual'!$C:$C,$H923))</f>
        <v/>
      </c>
      <c r="F923" s="5" t="str">
        <f>IF($H923="","",INDEX('Detalle individual'!$D:$D,$H923))</f>
        <v/>
      </c>
      <c r="G923" s="5" t="str">
        <f>IF($H923="","",INDEX('Detalle individual'!$F:$F,$H923))</f>
        <v/>
      </c>
      <c r="H923" t="str">
        <f>IFERROR(MATCH(SMALL(Cálculos!$AJ$5:$AJ$1000,919),Cálculos!$AJ$5:$AJ$1000,0)+4,"")</f>
        <v/>
      </c>
    </row>
    <row r="924">
      <c r="B924" s="5" t="str">
        <f>IF($H924="","",INDEX('Detalle individual'!$B:$B,$H924))</f>
        <v/>
      </c>
      <c r="C924" s="5" t="str">
        <f>IF($H924="","",INDEX('Detalle individual'!$A:$A,$H924))</f>
        <v/>
      </c>
      <c r="D924" s="5" t="str">
        <f>IF($H924="","",INDEX('Detalle individual'!$E:$E,$H924))</f>
        <v/>
      </c>
      <c r="E924" s="5" t="str">
        <f>IF($H924="","",INDEX('Detalle individual'!$C:$C,$H924))</f>
        <v/>
      </c>
      <c r="F924" s="5" t="str">
        <f>IF($H924="","",INDEX('Detalle individual'!$D:$D,$H924))</f>
        <v/>
      </c>
      <c r="G924" s="5" t="str">
        <f>IF($H924="","",INDEX('Detalle individual'!$F:$F,$H924))</f>
        <v/>
      </c>
      <c r="H924" t="str">
        <f>IFERROR(MATCH(SMALL(Cálculos!$AJ$5:$AJ$1000,920),Cálculos!$AJ$5:$AJ$1000,0)+4,"")</f>
        <v/>
      </c>
    </row>
    <row r="925">
      <c r="B925" s="5" t="str">
        <f>IF($H925="","",INDEX('Detalle individual'!$B:$B,$H925))</f>
        <v/>
      </c>
      <c r="C925" s="5" t="str">
        <f>IF($H925="","",INDEX('Detalle individual'!$A:$A,$H925))</f>
        <v/>
      </c>
      <c r="D925" s="5" t="str">
        <f>IF($H925="","",INDEX('Detalle individual'!$E:$E,$H925))</f>
        <v/>
      </c>
      <c r="E925" s="5" t="str">
        <f>IF($H925="","",INDEX('Detalle individual'!$C:$C,$H925))</f>
        <v/>
      </c>
      <c r="F925" s="5" t="str">
        <f>IF($H925="","",INDEX('Detalle individual'!$D:$D,$H925))</f>
        <v/>
      </c>
      <c r="G925" s="5" t="str">
        <f>IF($H925="","",INDEX('Detalle individual'!$F:$F,$H925))</f>
        <v/>
      </c>
      <c r="H925" t="str">
        <f>IFERROR(MATCH(SMALL(Cálculos!$AJ$5:$AJ$1000,921),Cálculos!$AJ$5:$AJ$1000,0)+4,"")</f>
        <v/>
      </c>
    </row>
    <row r="926">
      <c r="B926" s="5" t="str">
        <f>IF($H926="","",INDEX('Detalle individual'!$B:$B,$H926))</f>
        <v/>
      </c>
      <c r="C926" s="5" t="str">
        <f>IF($H926="","",INDEX('Detalle individual'!$A:$A,$H926))</f>
        <v/>
      </c>
      <c r="D926" s="5" t="str">
        <f>IF($H926="","",INDEX('Detalle individual'!$E:$E,$H926))</f>
        <v/>
      </c>
      <c r="E926" s="5" t="str">
        <f>IF($H926="","",INDEX('Detalle individual'!$C:$C,$H926))</f>
        <v/>
      </c>
      <c r="F926" s="5" t="str">
        <f>IF($H926="","",INDEX('Detalle individual'!$D:$D,$H926))</f>
        <v/>
      </c>
      <c r="G926" s="5" t="str">
        <f>IF($H926="","",INDEX('Detalle individual'!$F:$F,$H926))</f>
        <v/>
      </c>
      <c r="H926" t="str">
        <f>IFERROR(MATCH(SMALL(Cálculos!$AJ$5:$AJ$1000,922),Cálculos!$AJ$5:$AJ$1000,0)+4,"")</f>
        <v/>
      </c>
    </row>
    <row r="927">
      <c r="B927" s="5" t="str">
        <f>IF($H927="","",INDEX('Detalle individual'!$B:$B,$H927))</f>
        <v/>
      </c>
      <c r="C927" s="5" t="str">
        <f>IF($H927="","",INDEX('Detalle individual'!$A:$A,$H927))</f>
        <v/>
      </c>
      <c r="D927" s="5" t="str">
        <f>IF($H927="","",INDEX('Detalle individual'!$E:$E,$H927))</f>
        <v/>
      </c>
      <c r="E927" s="5" t="str">
        <f>IF($H927="","",INDEX('Detalle individual'!$C:$C,$H927))</f>
        <v/>
      </c>
      <c r="F927" s="5" t="str">
        <f>IF($H927="","",INDEX('Detalle individual'!$D:$D,$H927))</f>
        <v/>
      </c>
      <c r="G927" s="5" t="str">
        <f>IF($H927="","",INDEX('Detalle individual'!$F:$F,$H927))</f>
        <v/>
      </c>
      <c r="H927" t="str">
        <f>IFERROR(MATCH(SMALL(Cálculos!$AJ$5:$AJ$1000,923),Cálculos!$AJ$5:$AJ$1000,0)+4,"")</f>
        <v/>
      </c>
    </row>
    <row r="928">
      <c r="B928" s="5" t="str">
        <f>IF($H928="","",INDEX('Detalle individual'!$B:$B,$H928))</f>
        <v/>
      </c>
      <c r="C928" s="5" t="str">
        <f>IF($H928="","",INDEX('Detalle individual'!$A:$A,$H928))</f>
        <v/>
      </c>
      <c r="D928" s="5" t="str">
        <f>IF($H928="","",INDEX('Detalle individual'!$E:$E,$H928))</f>
        <v/>
      </c>
      <c r="E928" s="5" t="str">
        <f>IF($H928="","",INDEX('Detalle individual'!$C:$C,$H928))</f>
        <v/>
      </c>
      <c r="F928" s="5" t="str">
        <f>IF($H928="","",INDEX('Detalle individual'!$D:$D,$H928))</f>
        <v/>
      </c>
      <c r="G928" s="5" t="str">
        <f>IF($H928="","",INDEX('Detalle individual'!$F:$F,$H928))</f>
        <v/>
      </c>
      <c r="H928" t="str">
        <f>IFERROR(MATCH(SMALL(Cálculos!$AJ$5:$AJ$1000,924),Cálculos!$AJ$5:$AJ$1000,0)+4,"")</f>
        <v/>
      </c>
    </row>
    <row r="929">
      <c r="B929" s="5" t="str">
        <f>IF($H929="","",INDEX('Detalle individual'!$B:$B,$H929))</f>
        <v/>
      </c>
      <c r="C929" s="5" t="str">
        <f>IF($H929="","",INDEX('Detalle individual'!$A:$A,$H929))</f>
        <v/>
      </c>
      <c r="D929" s="5" t="str">
        <f>IF($H929="","",INDEX('Detalle individual'!$E:$E,$H929))</f>
        <v/>
      </c>
      <c r="E929" s="5" t="str">
        <f>IF($H929="","",INDEX('Detalle individual'!$C:$C,$H929))</f>
        <v/>
      </c>
      <c r="F929" s="5" t="str">
        <f>IF($H929="","",INDEX('Detalle individual'!$D:$D,$H929))</f>
        <v/>
      </c>
      <c r="G929" s="5" t="str">
        <f>IF($H929="","",INDEX('Detalle individual'!$F:$F,$H929))</f>
        <v/>
      </c>
      <c r="H929" t="str">
        <f>IFERROR(MATCH(SMALL(Cálculos!$AJ$5:$AJ$1000,925),Cálculos!$AJ$5:$AJ$1000,0)+4,"")</f>
        <v/>
      </c>
    </row>
    <row r="930">
      <c r="B930" s="5" t="str">
        <f>IF($H930="","",INDEX('Detalle individual'!$B:$B,$H930))</f>
        <v/>
      </c>
      <c r="C930" s="5" t="str">
        <f>IF($H930="","",INDEX('Detalle individual'!$A:$A,$H930))</f>
        <v/>
      </c>
      <c r="D930" s="5" t="str">
        <f>IF($H930="","",INDEX('Detalle individual'!$E:$E,$H930))</f>
        <v/>
      </c>
      <c r="E930" s="5" t="str">
        <f>IF($H930="","",INDEX('Detalle individual'!$C:$C,$H930))</f>
        <v/>
      </c>
      <c r="F930" s="5" t="str">
        <f>IF($H930="","",INDEX('Detalle individual'!$D:$D,$H930))</f>
        <v/>
      </c>
      <c r="G930" s="5" t="str">
        <f>IF($H930="","",INDEX('Detalle individual'!$F:$F,$H930))</f>
        <v/>
      </c>
      <c r="H930" t="str">
        <f>IFERROR(MATCH(SMALL(Cálculos!$AJ$5:$AJ$1000,926),Cálculos!$AJ$5:$AJ$1000,0)+4,"")</f>
        <v/>
      </c>
    </row>
    <row r="931">
      <c r="B931" s="5" t="str">
        <f>IF($H931="","",INDEX('Detalle individual'!$B:$B,$H931))</f>
        <v/>
      </c>
      <c r="C931" s="5" t="str">
        <f>IF($H931="","",INDEX('Detalle individual'!$A:$A,$H931))</f>
        <v/>
      </c>
      <c r="D931" s="5" t="str">
        <f>IF($H931="","",INDEX('Detalle individual'!$E:$E,$H931))</f>
        <v/>
      </c>
      <c r="E931" s="5" t="str">
        <f>IF($H931="","",INDEX('Detalle individual'!$C:$C,$H931))</f>
        <v/>
      </c>
      <c r="F931" s="5" t="str">
        <f>IF($H931="","",INDEX('Detalle individual'!$D:$D,$H931))</f>
        <v/>
      </c>
      <c r="G931" s="5" t="str">
        <f>IF($H931="","",INDEX('Detalle individual'!$F:$F,$H931))</f>
        <v/>
      </c>
      <c r="H931" t="str">
        <f>IFERROR(MATCH(SMALL(Cálculos!$AJ$5:$AJ$1000,927),Cálculos!$AJ$5:$AJ$1000,0)+4,"")</f>
        <v/>
      </c>
    </row>
    <row r="932">
      <c r="B932" s="5" t="str">
        <f>IF($H932="","",INDEX('Detalle individual'!$B:$B,$H932))</f>
        <v/>
      </c>
      <c r="C932" s="5" t="str">
        <f>IF($H932="","",INDEX('Detalle individual'!$A:$A,$H932))</f>
        <v/>
      </c>
      <c r="D932" s="5" t="str">
        <f>IF($H932="","",INDEX('Detalle individual'!$E:$E,$H932))</f>
        <v/>
      </c>
      <c r="E932" s="5" t="str">
        <f>IF($H932="","",INDEX('Detalle individual'!$C:$C,$H932))</f>
        <v/>
      </c>
      <c r="F932" s="5" t="str">
        <f>IF($H932="","",INDEX('Detalle individual'!$D:$D,$H932))</f>
        <v/>
      </c>
      <c r="G932" s="5" t="str">
        <f>IF($H932="","",INDEX('Detalle individual'!$F:$F,$H932))</f>
        <v/>
      </c>
      <c r="H932" t="str">
        <f>IFERROR(MATCH(SMALL(Cálculos!$AJ$5:$AJ$1000,928),Cálculos!$AJ$5:$AJ$1000,0)+4,"")</f>
        <v/>
      </c>
    </row>
    <row r="933">
      <c r="B933" s="5" t="str">
        <f>IF($H933="","",INDEX('Detalle individual'!$B:$B,$H933))</f>
        <v/>
      </c>
      <c r="C933" s="5" t="str">
        <f>IF($H933="","",INDEX('Detalle individual'!$A:$A,$H933))</f>
        <v/>
      </c>
      <c r="D933" s="5" t="str">
        <f>IF($H933="","",INDEX('Detalle individual'!$E:$E,$H933))</f>
        <v/>
      </c>
      <c r="E933" s="5" t="str">
        <f>IF($H933="","",INDEX('Detalle individual'!$C:$C,$H933))</f>
        <v/>
      </c>
      <c r="F933" s="5" t="str">
        <f>IF($H933="","",INDEX('Detalle individual'!$D:$D,$H933))</f>
        <v/>
      </c>
      <c r="G933" s="5" t="str">
        <f>IF($H933="","",INDEX('Detalle individual'!$F:$F,$H933))</f>
        <v/>
      </c>
      <c r="H933" t="str">
        <f>IFERROR(MATCH(SMALL(Cálculos!$AJ$5:$AJ$1000,929),Cálculos!$AJ$5:$AJ$1000,0)+4,"")</f>
        <v/>
      </c>
    </row>
    <row r="934">
      <c r="B934" s="5" t="str">
        <f>IF($H934="","",INDEX('Detalle individual'!$B:$B,$H934))</f>
        <v/>
      </c>
      <c r="C934" s="5" t="str">
        <f>IF($H934="","",INDEX('Detalle individual'!$A:$A,$H934))</f>
        <v/>
      </c>
      <c r="D934" s="5" t="str">
        <f>IF($H934="","",INDEX('Detalle individual'!$E:$E,$H934))</f>
        <v/>
      </c>
      <c r="E934" s="5" t="str">
        <f>IF($H934="","",INDEX('Detalle individual'!$C:$C,$H934))</f>
        <v/>
      </c>
      <c r="F934" s="5" t="str">
        <f>IF($H934="","",INDEX('Detalle individual'!$D:$D,$H934))</f>
        <v/>
      </c>
      <c r="G934" s="5" t="str">
        <f>IF($H934="","",INDEX('Detalle individual'!$F:$F,$H934))</f>
        <v/>
      </c>
      <c r="H934" t="str">
        <f>IFERROR(MATCH(SMALL(Cálculos!$AJ$5:$AJ$1000,930),Cálculos!$AJ$5:$AJ$1000,0)+4,"")</f>
        <v/>
      </c>
    </row>
    <row r="935">
      <c r="B935" s="5" t="str">
        <f>IF($H935="","",INDEX('Detalle individual'!$B:$B,$H935))</f>
        <v/>
      </c>
      <c r="C935" s="5" t="str">
        <f>IF($H935="","",INDEX('Detalle individual'!$A:$A,$H935))</f>
        <v/>
      </c>
      <c r="D935" s="5" t="str">
        <f>IF($H935="","",INDEX('Detalle individual'!$E:$E,$H935))</f>
        <v/>
      </c>
      <c r="E935" s="5" t="str">
        <f>IF($H935="","",INDEX('Detalle individual'!$C:$C,$H935))</f>
        <v/>
      </c>
      <c r="F935" s="5" t="str">
        <f>IF($H935="","",INDEX('Detalle individual'!$D:$D,$H935))</f>
        <v/>
      </c>
      <c r="G935" s="5" t="str">
        <f>IF($H935="","",INDEX('Detalle individual'!$F:$F,$H935))</f>
        <v/>
      </c>
      <c r="H935" t="str">
        <f>IFERROR(MATCH(SMALL(Cálculos!$AJ$5:$AJ$1000,931),Cálculos!$AJ$5:$AJ$1000,0)+4,"")</f>
        <v/>
      </c>
    </row>
    <row r="936">
      <c r="B936" s="5" t="str">
        <f>IF($H936="","",INDEX('Detalle individual'!$B:$B,$H936))</f>
        <v/>
      </c>
      <c r="C936" s="5" t="str">
        <f>IF($H936="","",INDEX('Detalle individual'!$A:$A,$H936))</f>
        <v/>
      </c>
      <c r="D936" s="5" t="str">
        <f>IF($H936="","",INDEX('Detalle individual'!$E:$E,$H936))</f>
        <v/>
      </c>
      <c r="E936" s="5" t="str">
        <f>IF($H936="","",INDEX('Detalle individual'!$C:$C,$H936))</f>
        <v/>
      </c>
      <c r="F936" s="5" t="str">
        <f>IF($H936="","",INDEX('Detalle individual'!$D:$D,$H936))</f>
        <v/>
      </c>
      <c r="G936" s="5" t="str">
        <f>IF($H936="","",INDEX('Detalle individual'!$F:$F,$H936))</f>
        <v/>
      </c>
      <c r="H936" t="str">
        <f>IFERROR(MATCH(SMALL(Cálculos!$AJ$5:$AJ$1000,932),Cálculos!$AJ$5:$AJ$1000,0)+4,"")</f>
        <v/>
      </c>
    </row>
    <row r="937">
      <c r="B937" s="5" t="str">
        <f>IF($H937="","",INDEX('Detalle individual'!$B:$B,$H937))</f>
        <v/>
      </c>
      <c r="C937" s="5" t="str">
        <f>IF($H937="","",INDEX('Detalle individual'!$A:$A,$H937))</f>
        <v/>
      </c>
      <c r="D937" s="5" t="str">
        <f>IF($H937="","",INDEX('Detalle individual'!$E:$E,$H937))</f>
        <v/>
      </c>
      <c r="E937" s="5" t="str">
        <f>IF($H937="","",INDEX('Detalle individual'!$C:$C,$H937))</f>
        <v/>
      </c>
      <c r="F937" s="5" t="str">
        <f>IF($H937="","",INDEX('Detalle individual'!$D:$D,$H937))</f>
        <v/>
      </c>
      <c r="G937" s="5" t="str">
        <f>IF($H937="","",INDEX('Detalle individual'!$F:$F,$H937))</f>
        <v/>
      </c>
      <c r="H937" t="str">
        <f>IFERROR(MATCH(SMALL(Cálculos!$AJ$5:$AJ$1000,933),Cálculos!$AJ$5:$AJ$1000,0)+4,"")</f>
        <v/>
      </c>
    </row>
    <row r="938">
      <c r="B938" s="5" t="str">
        <f>IF($H938="","",INDEX('Detalle individual'!$B:$B,$H938))</f>
        <v/>
      </c>
      <c r="C938" s="5" t="str">
        <f>IF($H938="","",INDEX('Detalle individual'!$A:$A,$H938))</f>
        <v/>
      </c>
      <c r="D938" s="5" t="str">
        <f>IF($H938="","",INDEX('Detalle individual'!$E:$E,$H938))</f>
        <v/>
      </c>
      <c r="E938" s="5" t="str">
        <f>IF($H938="","",INDEX('Detalle individual'!$C:$C,$H938))</f>
        <v/>
      </c>
      <c r="F938" s="5" t="str">
        <f>IF($H938="","",INDEX('Detalle individual'!$D:$D,$H938))</f>
        <v/>
      </c>
      <c r="G938" s="5" t="str">
        <f>IF($H938="","",INDEX('Detalle individual'!$F:$F,$H938))</f>
        <v/>
      </c>
      <c r="H938" t="str">
        <f>IFERROR(MATCH(SMALL(Cálculos!$AJ$5:$AJ$1000,934),Cálculos!$AJ$5:$AJ$1000,0)+4,"")</f>
        <v/>
      </c>
    </row>
    <row r="939">
      <c r="B939" s="5" t="str">
        <f>IF($H939="","",INDEX('Detalle individual'!$B:$B,$H939))</f>
        <v/>
      </c>
      <c r="C939" s="5" t="str">
        <f>IF($H939="","",INDEX('Detalle individual'!$A:$A,$H939))</f>
        <v/>
      </c>
      <c r="D939" s="5" t="str">
        <f>IF($H939="","",INDEX('Detalle individual'!$E:$E,$H939))</f>
        <v/>
      </c>
      <c r="E939" s="5" t="str">
        <f>IF($H939="","",INDEX('Detalle individual'!$C:$C,$H939))</f>
        <v/>
      </c>
      <c r="F939" s="5" t="str">
        <f>IF($H939="","",INDEX('Detalle individual'!$D:$D,$H939))</f>
        <v/>
      </c>
      <c r="G939" s="5" t="str">
        <f>IF($H939="","",INDEX('Detalle individual'!$F:$F,$H939))</f>
        <v/>
      </c>
      <c r="H939" t="str">
        <f>IFERROR(MATCH(SMALL(Cálculos!$AJ$5:$AJ$1000,935),Cálculos!$AJ$5:$AJ$1000,0)+4,"")</f>
        <v/>
      </c>
    </row>
    <row r="940">
      <c r="B940" s="5" t="str">
        <f>IF($H940="","",INDEX('Detalle individual'!$B:$B,$H940))</f>
        <v/>
      </c>
      <c r="C940" s="5" t="str">
        <f>IF($H940="","",INDEX('Detalle individual'!$A:$A,$H940))</f>
        <v/>
      </c>
      <c r="D940" s="5" t="str">
        <f>IF($H940="","",INDEX('Detalle individual'!$E:$E,$H940))</f>
        <v/>
      </c>
      <c r="E940" s="5" t="str">
        <f>IF($H940="","",INDEX('Detalle individual'!$C:$C,$H940))</f>
        <v/>
      </c>
      <c r="F940" s="5" t="str">
        <f>IF($H940="","",INDEX('Detalle individual'!$D:$D,$H940))</f>
        <v/>
      </c>
      <c r="G940" s="5" t="str">
        <f>IF($H940="","",INDEX('Detalle individual'!$F:$F,$H940))</f>
        <v/>
      </c>
      <c r="H940" t="str">
        <f>IFERROR(MATCH(SMALL(Cálculos!$AJ$5:$AJ$1000,936),Cálculos!$AJ$5:$AJ$1000,0)+4,"")</f>
        <v/>
      </c>
    </row>
    <row r="941">
      <c r="B941" s="5" t="str">
        <f>IF($H941="","",INDEX('Detalle individual'!$B:$B,$H941))</f>
        <v/>
      </c>
      <c r="C941" s="5" t="str">
        <f>IF($H941="","",INDEX('Detalle individual'!$A:$A,$H941))</f>
        <v/>
      </c>
      <c r="D941" s="5" t="str">
        <f>IF($H941="","",INDEX('Detalle individual'!$E:$E,$H941))</f>
        <v/>
      </c>
      <c r="E941" s="5" t="str">
        <f>IF($H941="","",INDEX('Detalle individual'!$C:$C,$H941))</f>
        <v/>
      </c>
      <c r="F941" s="5" t="str">
        <f>IF($H941="","",INDEX('Detalle individual'!$D:$D,$H941))</f>
        <v/>
      </c>
      <c r="G941" s="5" t="str">
        <f>IF($H941="","",INDEX('Detalle individual'!$F:$F,$H941))</f>
        <v/>
      </c>
      <c r="H941" t="str">
        <f>IFERROR(MATCH(SMALL(Cálculos!$AJ$5:$AJ$1000,937),Cálculos!$AJ$5:$AJ$1000,0)+4,"")</f>
        <v/>
      </c>
    </row>
    <row r="942">
      <c r="B942" s="5" t="str">
        <f>IF($H942="","",INDEX('Detalle individual'!$B:$B,$H942))</f>
        <v/>
      </c>
      <c r="C942" s="5" t="str">
        <f>IF($H942="","",INDEX('Detalle individual'!$A:$A,$H942))</f>
        <v/>
      </c>
      <c r="D942" s="5" t="str">
        <f>IF($H942="","",INDEX('Detalle individual'!$E:$E,$H942))</f>
        <v/>
      </c>
      <c r="E942" s="5" t="str">
        <f>IF($H942="","",INDEX('Detalle individual'!$C:$C,$H942))</f>
        <v/>
      </c>
      <c r="F942" s="5" t="str">
        <f>IF($H942="","",INDEX('Detalle individual'!$D:$D,$H942))</f>
        <v/>
      </c>
      <c r="G942" s="5" t="str">
        <f>IF($H942="","",INDEX('Detalle individual'!$F:$F,$H942))</f>
        <v/>
      </c>
      <c r="H942" t="str">
        <f>IFERROR(MATCH(SMALL(Cálculos!$AJ$5:$AJ$1000,938),Cálculos!$AJ$5:$AJ$1000,0)+4,"")</f>
        <v/>
      </c>
    </row>
    <row r="943">
      <c r="B943" s="5" t="str">
        <f>IF($H943="","",INDEX('Detalle individual'!$B:$B,$H943))</f>
        <v/>
      </c>
      <c r="C943" s="5" t="str">
        <f>IF($H943="","",INDEX('Detalle individual'!$A:$A,$H943))</f>
        <v/>
      </c>
      <c r="D943" s="5" t="str">
        <f>IF($H943="","",INDEX('Detalle individual'!$E:$E,$H943))</f>
        <v/>
      </c>
      <c r="E943" s="5" t="str">
        <f>IF($H943="","",INDEX('Detalle individual'!$C:$C,$H943))</f>
        <v/>
      </c>
      <c r="F943" s="5" t="str">
        <f>IF($H943="","",INDEX('Detalle individual'!$D:$D,$H943))</f>
        <v/>
      </c>
      <c r="G943" s="5" t="str">
        <f>IF($H943="","",INDEX('Detalle individual'!$F:$F,$H943))</f>
        <v/>
      </c>
      <c r="H943" t="str">
        <f>IFERROR(MATCH(SMALL(Cálculos!$AJ$5:$AJ$1000,939),Cálculos!$AJ$5:$AJ$1000,0)+4,"")</f>
        <v/>
      </c>
    </row>
    <row r="944">
      <c r="B944" s="5" t="str">
        <f>IF($H944="","",INDEX('Detalle individual'!$B:$B,$H944))</f>
        <v/>
      </c>
      <c r="C944" s="5" t="str">
        <f>IF($H944="","",INDEX('Detalle individual'!$A:$A,$H944))</f>
        <v/>
      </c>
      <c r="D944" s="5" t="str">
        <f>IF($H944="","",INDEX('Detalle individual'!$E:$E,$H944))</f>
        <v/>
      </c>
      <c r="E944" s="5" t="str">
        <f>IF($H944="","",INDEX('Detalle individual'!$C:$C,$H944))</f>
        <v/>
      </c>
      <c r="F944" s="5" t="str">
        <f>IF($H944="","",INDEX('Detalle individual'!$D:$D,$H944))</f>
        <v/>
      </c>
      <c r="G944" s="5" t="str">
        <f>IF($H944="","",INDEX('Detalle individual'!$F:$F,$H944))</f>
        <v/>
      </c>
      <c r="H944" t="str">
        <f>IFERROR(MATCH(SMALL(Cálculos!$AJ$5:$AJ$1000,940),Cálculos!$AJ$5:$AJ$1000,0)+4,"")</f>
        <v/>
      </c>
    </row>
    <row r="945">
      <c r="B945" s="5" t="str">
        <f>IF($H945="","",INDEX('Detalle individual'!$B:$B,$H945))</f>
        <v/>
      </c>
      <c r="C945" s="5" t="str">
        <f>IF($H945="","",INDEX('Detalle individual'!$A:$A,$H945))</f>
        <v/>
      </c>
      <c r="D945" s="5" t="str">
        <f>IF($H945="","",INDEX('Detalle individual'!$E:$E,$H945))</f>
        <v/>
      </c>
      <c r="E945" s="5" t="str">
        <f>IF($H945="","",INDEX('Detalle individual'!$C:$C,$H945))</f>
        <v/>
      </c>
      <c r="F945" s="5" t="str">
        <f>IF($H945="","",INDEX('Detalle individual'!$D:$D,$H945))</f>
        <v/>
      </c>
      <c r="G945" s="5" t="str">
        <f>IF($H945="","",INDEX('Detalle individual'!$F:$F,$H945))</f>
        <v/>
      </c>
      <c r="H945" t="str">
        <f>IFERROR(MATCH(SMALL(Cálculos!$AJ$5:$AJ$1000,941),Cálculos!$AJ$5:$AJ$1000,0)+4,"")</f>
        <v/>
      </c>
    </row>
    <row r="946">
      <c r="B946" s="5" t="str">
        <f>IF($H946="","",INDEX('Detalle individual'!$B:$B,$H946))</f>
        <v/>
      </c>
      <c r="C946" s="5" t="str">
        <f>IF($H946="","",INDEX('Detalle individual'!$A:$A,$H946))</f>
        <v/>
      </c>
      <c r="D946" s="5" t="str">
        <f>IF($H946="","",INDEX('Detalle individual'!$E:$E,$H946))</f>
        <v/>
      </c>
      <c r="E946" s="5" t="str">
        <f>IF($H946="","",INDEX('Detalle individual'!$C:$C,$H946))</f>
        <v/>
      </c>
      <c r="F946" s="5" t="str">
        <f>IF($H946="","",INDEX('Detalle individual'!$D:$D,$H946))</f>
        <v/>
      </c>
      <c r="G946" s="5" t="str">
        <f>IF($H946="","",INDEX('Detalle individual'!$F:$F,$H946))</f>
        <v/>
      </c>
      <c r="H946" t="str">
        <f>IFERROR(MATCH(SMALL(Cálculos!$AJ$5:$AJ$1000,942),Cálculos!$AJ$5:$AJ$1000,0)+4,"")</f>
        <v/>
      </c>
    </row>
    <row r="947">
      <c r="B947" s="5" t="str">
        <f>IF($H947="","",INDEX('Detalle individual'!$B:$B,$H947))</f>
        <v/>
      </c>
      <c r="C947" s="5" t="str">
        <f>IF($H947="","",INDEX('Detalle individual'!$A:$A,$H947))</f>
        <v/>
      </c>
      <c r="D947" s="5" t="str">
        <f>IF($H947="","",INDEX('Detalle individual'!$E:$E,$H947))</f>
        <v/>
      </c>
      <c r="E947" s="5" t="str">
        <f>IF($H947="","",INDEX('Detalle individual'!$C:$C,$H947))</f>
        <v/>
      </c>
      <c r="F947" s="5" t="str">
        <f>IF($H947="","",INDEX('Detalle individual'!$D:$D,$H947))</f>
        <v/>
      </c>
      <c r="G947" s="5" t="str">
        <f>IF($H947="","",INDEX('Detalle individual'!$F:$F,$H947))</f>
        <v/>
      </c>
      <c r="H947" t="str">
        <f>IFERROR(MATCH(SMALL(Cálculos!$AJ$5:$AJ$1000,943),Cálculos!$AJ$5:$AJ$1000,0)+4,"")</f>
        <v/>
      </c>
    </row>
    <row r="948">
      <c r="B948" s="5" t="str">
        <f>IF($H948="","",INDEX('Detalle individual'!$B:$B,$H948))</f>
        <v/>
      </c>
      <c r="C948" s="5" t="str">
        <f>IF($H948="","",INDEX('Detalle individual'!$A:$A,$H948))</f>
        <v/>
      </c>
      <c r="D948" s="5" t="str">
        <f>IF($H948="","",INDEX('Detalle individual'!$E:$E,$H948))</f>
        <v/>
      </c>
      <c r="E948" s="5" t="str">
        <f>IF($H948="","",INDEX('Detalle individual'!$C:$C,$H948))</f>
        <v/>
      </c>
      <c r="F948" s="5" t="str">
        <f>IF($H948="","",INDEX('Detalle individual'!$D:$D,$H948))</f>
        <v/>
      </c>
      <c r="G948" s="5" t="str">
        <f>IF($H948="","",INDEX('Detalle individual'!$F:$F,$H948))</f>
        <v/>
      </c>
      <c r="H948" t="str">
        <f>IFERROR(MATCH(SMALL(Cálculos!$AJ$5:$AJ$1000,944),Cálculos!$AJ$5:$AJ$1000,0)+4,"")</f>
        <v/>
      </c>
    </row>
    <row r="949">
      <c r="B949" s="5" t="str">
        <f>IF($H949="","",INDEX('Detalle individual'!$B:$B,$H949))</f>
        <v/>
      </c>
      <c r="C949" s="5" t="str">
        <f>IF($H949="","",INDEX('Detalle individual'!$A:$A,$H949))</f>
        <v/>
      </c>
      <c r="D949" s="5" t="str">
        <f>IF($H949="","",INDEX('Detalle individual'!$E:$E,$H949))</f>
        <v/>
      </c>
      <c r="E949" s="5" t="str">
        <f>IF($H949="","",INDEX('Detalle individual'!$C:$C,$H949))</f>
        <v/>
      </c>
      <c r="F949" s="5" t="str">
        <f>IF($H949="","",INDEX('Detalle individual'!$D:$D,$H949))</f>
        <v/>
      </c>
      <c r="G949" s="5" t="str">
        <f>IF($H949="","",INDEX('Detalle individual'!$F:$F,$H949))</f>
        <v/>
      </c>
      <c r="H949" t="str">
        <f>IFERROR(MATCH(SMALL(Cálculos!$AJ$5:$AJ$1000,945),Cálculos!$AJ$5:$AJ$1000,0)+4,"")</f>
        <v/>
      </c>
    </row>
    <row r="950">
      <c r="B950" s="5" t="str">
        <f>IF($H950="","",INDEX('Detalle individual'!$B:$B,$H950))</f>
        <v/>
      </c>
      <c r="C950" s="5" t="str">
        <f>IF($H950="","",INDEX('Detalle individual'!$A:$A,$H950))</f>
        <v/>
      </c>
      <c r="D950" s="5" t="str">
        <f>IF($H950="","",INDEX('Detalle individual'!$E:$E,$H950))</f>
        <v/>
      </c>
      <c r="E950" s="5" t="str">
        <f>IF($H950="","",INDEX('Detalle individual'!$C:$C,$H950))</f>
        <v/>
      </c>
      <c r="F950" s="5" t="str">
        <f>IF($H950="","",INDEX('Detalle individual'!$D:$D,$H950))</f>
        <v/>
      </c>
      <c r="G950" s="5" t="str">
        <f>IF($H950="","",INDEX('Detalle individual'!$F:$F,$H950))</f>
        <v/>
      </c>
      <c r="H950" t="str">
        <f>IFERROR(MATCH(SMALL(Cálculos!$AJ$5:$AJ$1000,946),Cálculos!$AJ$5:$AJ$1000,0)+4,"")</f>
        <v/>
      </c>
    </row>
    <row r="951">
      <c r="B951" s="5" t="str">
        <f>IF($H951="","",INDEX('Detalle individual'!$B:$B,$H951))</f>
        <v/>
      </c>
      <c r="C951" s="5" t="str">
        <f>IF($H951="","",INDEX('Detalle individual'!$A:$A,$H951))</f>
        <v/>
      </c>
      <c r="D951" s="5" t="str">
        <f>IF($H951="","",INDEX('Detalle individual'!$E:$E,$H951))</f>
        <v/>
      </c>
      <c r="E951" s="5" t="str">
        <f>IF($H951="","",INDEX('Detalle individual'!$C:$C,$H951))</f>
        <v/>
      </c>
      <c r="F951" s="5" t="str">
        <f>IF($H951="","",INDEX('Detalle individual'!$D:$D,$H951))</f>
        <v/>
      </c>
      <c r="G951" s="5" t="str">
        <f>IF($H951="","",INDEX('Detalle individual'!$F:$F,$H951))</f>
        <v/>
      </c>
      <c r="H951" t="str">
        <f>IFERROR(MATCH(SMALL(Cálculos!$AJ$5:$AJ$1000,947),Cálculos!$AJ$5:$AJ$1000,0)+4,"")</f>
        <v/>
      </c>
    </row>
    <row r="952">
      <c r="B952" s="5" t="str">
        <f>IF($H952="","",INDEX('Detalle individual'!$B:$B,$H952))</f>
        <v/>
      </c>
      <c r="C952" s="5" t="str">
        <f>IF($H952="","",INDEX('Detalle individual'!$A:$A,$H952))</f>
        <v/>
      </c>
      <c r="D952" s="5" t="str">
        <f>IF($H952="","",INDEX('Detalle individual'!$E:$E,$H952))</f>
        <v/>
      </c>
      <c r="E952" s="5" t="str">
        <f>IF($H952="","",INDEX('Detalle individual'!$C:$C,$H952))</f>
        <v/>
      </c>
      <c r="F952" s="5" t="str">
        <f>IF($H952="","",INDEX('Detalle individual'!$D:$D,$H952))</f>
        <v/>
      </c>
      <c r="G952" s="5" t="str">
        <f>IF($H952="","",INDEX('Detalle individual'!$F:$F,$H952))</f>
        <v/>
      </c>
      <c r="H952" t="str">
        <f>IFERROR(MATCH(SMALL(Cálculos!$AJ$5:$AJ$1000,948),Cálculos!$AJ$5:$AJ$1000,0)+4,"")</f>
        <v/>
      </c>
    </row>
    <row r="953">
      <c r="B953" s="5" t="str">
        <f>IF($H953="","",INDEX('Detalle individual'!$B:$B,$H953))</f>
        <v/>
      </c>
      <c r="C953" s="5" t="str">
        <f>IF($H953="","",INDEX('Detalle individual'!$A:$A,$H953))</f>
        <v/>
      </c>
      <c r="D953" s="5" t="str">
        <f>IF($H953="","",INDEX('Detalle individual'!$E:$E,$H953))</f>
        <v/>
      </c>
      <c r="E953" s="5" t="str">
        <f>IF($H953="","",INDEX('Detalle individual'!$C:$C,$H953))</f>
        <v/>
      </c>
      <c r="F953" s="5" t="str">
        <f>IF($H953="","",INDEX('Detalle individual'!$D:$D,$H953))</f>
        <v/>
      </c>
      <c r="G953" s="5" t="str">
        <f>IF($H953="","",INDEX('Detalle individual'!$F:$F,$H953))</f>
        <v/>
      </c>
      <c r="H953" t="str">
        <f>IFERROR(MATCH(SMALL(Cálculos!$AJ$5:$AJ$1000,949),Cálculos!$AJ$5:$AJ$1000,0)+4,"")</f>
        <v/>
      </c>
    </row>
    <row r="954">
      <c r="B954" s="5" t="str">
        <f>IF($H954="","",INDEX('Detalle individual'!$B:$B,$H954))</f>
        <v/>
      </c>
      <c r="C954" s="5" t="str">
        <f>IF($H954="","",INDEX('Detalle individual'!$A:$A,$H954))</f>
        <v/>
      </c>
      <c r="D954" s="5" t="str">
        <f>IF($H954="","",INDEX('Detalle individual'!$E:$E,$H954))</f>
        <v/>
      </c>
      <c r="E954" s="5" t="str">
        <f>IF($H954="","",INDEX('Detalle individual'!$C:$C,$H954))</f>
        <v/>
      </c>
      <c r="F954" s="5" t="str">
        <f>IF($H954="","",INDEX('Detalle individual'!$D:$D,$H954))</f>
        <v/>
      </c>
      <c r="G954" s="5" t="str">
        <f>IF($H954="","",INDEX('Detalle individual'!$F:$F,$H954))</f>
        <v/>
      </c>
      <c r="H954" t="str">
        <f>IFERROR(MATCH(SMALL(Cálculos!$AJ$5:$AJ$1000,950),Cálculos!$AJ$5:$AJ$1000,0)+4,"")</f>
        <v/>
      </c>
    </row>
    <row r="955">
      <c r="B955" s="5" t="str">
        <f>IF($H955="","",INDEX('Detalle individual'!$B:$B,$H955))</f>
        <v/>
      </c>
      <c r="C955" s="5" t="str">
        <f>IF($H955="","",INDEX('Detalle individual'!$A:$A,$H955))</f>
        <v/>
      </c>
      <c r="D955" s="5" t="str">
        <f>IF($H955="","",INDEX('Detalle individual'!$E:$E,$H955))</f>
        <v/>
      </c>
      <c r="E955" s="5" t="str">
        <f>IF($H955="","",INDEX('Detalle individual'!$C:$C,$H955))</f>
        <v/>
      </c>
      <c r="F955" s="5" t="str">
        <f>IF($H955="","",INDEX('Detalle individual'!$D:$D,$H955))</f>
        <v/>
      </c>
      <c r="G955" s="5" t="str">
        <f>IF($H955="","",INDEX('Detalle individual'!$F:$F,$H955))</f>
        <v/>
      </c>
      <c r="H955" t="str">
        <f>IFERROR(MATCH(SMALL(Cálculos!$AJ$5:$AJ$1000,951),Cálculos!$AJ$5:$AJ$1000,0)+4,"")</f>
        <v/>
      </c>
    </row>
    <row r="956">
      <c r="B956" s="5" t="str">
        <f>IF($H956="","",INDEX('Detalle individual'!$B:$B,$H956))</f>
        <v/>
      </c>
      <c r="C956" s="5" t="str">
        <f>IF($H956="","",INDEX('Detalle individual'!$A:$A,$H956))</f>
        <v/>
      </c>
      <c r="D956" s="5" t="str">
        <f>IF($H956="","",INDEX('Detalle individual'!$E:$E,$H956))</f>
        <v/>
      </c>
      <c r="E956" s="5" t="str">
        <f>IF($H956="","",INDEX('Detalle individual'!$C:$C,$H956))</f>
        <v/>
      </c>
      <c r="F956" s="5" t="str">
        <f>IF($H956="","",INDEX('Detalle individual'!$D:$D,$H956))</f>
        <v/>
      </c>
      <c r="G956" s="5" t="str">
        <f>IF($H956="","",INDEX('Detalle individual'!$F:$F,$H956))</f>
        <v/>
      </c>
      <c r="H956" t="str">
        <f>IFERROR(MATCH(SMALL(Cálculos!$AJ$5:$AJ$1000,952),Cálculos!$AJ$5:$AJ$1000,0)+4,"")</f>
        <v/>
      </c>
    </row>
    <row r="957">
      <c r="B957" s="5" t="str">
        <f>IF($H957="","",INDEX('Detalle individual'!$B:$B,$H957))</f>
        <v/>
      </c>
      <c r="C957" s="5" t="str">
        <f>IF($H957="","",INDEX('Detalle individual'!$A:$A,$H957))</f>
        <v/>
      </c>
      <c r="D957" s="5" t="str">
        <f>IF($H957="","",INDEX('Detalle individual'!$E:$E,$H957))</f>
        <v/>
      </c>
      <c r="E957" s="5" t="str">
        <f>IF($H957="","",INDEX('Detalle individual'!$C:$C,$H957))</f>
        <v/>
      </c>
      <c r="F957" s="5" t="str">
        <f>IF($H957="","",INDEX('Detalle individual'!$D:$D,$H957))</f>
        <v/>
      </c>
      <c r="G957" s="5" t="str">
        <f>IF($H957="","",INDEX('Detalle individual'!$F:$F,$H957))</f>
        <v/>
      </c>
      <c r="H957" t="str">
        <f>IFERROR(MATCH(SMALL(Cálculos!$AJ$5:$AJ$1000,953),Cálculos!$AJ$5:$AJ$1000,0)+4,"")</f>
        <v/>
      </c>
    </row>
    <row r="958">
      <c r="B958" s="5" t="str">
        <f>IF($H958="","",INDEX('Detalle individual'!$B:$B,$H958))</f>
        <v/>
      </c>
      <c r="C958" s="5" t="str">
        <f>IF($H958="","",INDEX('Detalle individual'!$A:$A,$H958))</f>
        <v/>
      </c>
      <c r="D958" s="5" t="str">
        <f>IF($H958="","",INDEX('Detalle individual'!$E:$E,$H958))</f>
        <v/>
      </c>
      <c r="E958" s="5" t="str">
        <f>IF($H958="","",INDEX('Detalle individual'!$C:$C,$H958))</f>
        <v/>
      </c>
      <c r="F958" s="5" t="str">
        <f>IF($H958="","",INDEX('Detalle individual'!$D:$D,$H958))</f>
        <v/>
      </c>
      <c r="G958" s="5" t="str">
        <f>IF($H958="","",INDEX('Detalle individual'!$F:$F,$H958))</f>
        <v/>
      </c>
      <c r="H958" t="str">
        <f>IFERROR(MATCH(SMALL(Cálculos!$AJ$5:$AJ$1000,954),Cálculos!$AJ$5:$AJ$1000,0)+4,"")</f>
        <v/>
      </c>
    </row>
    <row r="959">
      <c r="B959" s="5" t="str">
        <f>IF($H959="","",INDEX('Detalle individual'!$B:$B,$H959))</f>
        <v/>
      </c>
      <c r="C959" s="5" t="str">
        <f>IF($H959="","",INDEX('Detalle individual'!$A:$A,$H959))</f>
        <v/>
      </c>
      <c r="D959" s="5" t="str">
        <f>IF($H959="","",INDEX('Detalle individual'!$E:$E,$H959))</f>
        <v/>
      </c>
      <c r="E959" s="5" t="str">
        <f>IF($H959="","",INDEX('Detalle individual'!$C:$C,$H959))</f>
        <v/>
      </c>
      <c r="F959" s="5" t="str">
        <f>IF($H959="","",INDEX('Detalle individual'!$D:$D,$H959))</f>
        <v/>
      </c>
      <c r="G959" s="5" t="str">
        <f>IF($H959="","",INDEX('Detalle individual'!$F:$F,$H959))</f>
        <v/>
      </c>
      <c r="H959" t="str">
        <f>IFERROR(MATCH(SMALL(Cálculos!$AJ$5:$AJ$1000,955),Cálculos!$AJ$5:$AJ$1000,0)+4,"")</f>
        <v/>
      </c>
    </row>
    <row r="960">
      <c r="B960" s="5" t="str">
        <f>IF($H960="","",INDEX('Detalle individual'!$B:$B,$H960))</f>
        <v/>
      </c>
      <c r="C960" s="5" t="str">
        <f>IF($H960="","",INDEX('Detalle individual'!$A:$A,$H960))</f>
        <v/>
      </c>
      <c r="D960" s="5" t="str">
        <f>IF($H960="","",INDEX('Detalle individual'!$E:$E,$H960))</f>
        <v/>
      </c>
      <c r="E960" s="5" t="str">
        <f>IF($H960="","",INDEX('Detalle individual'!$C:$C,$H960))</f>
        <v/>
      </c>
      <c r="F960" s="5" t="str">
        <f>IF($H960="","",INDEX('Detalle individual'!$D:$D,$H960))</f>
        <v/>
      </c>
      <c r="G960" s="5" t="str">
        <f>IF($H960="","",INDEX('Detalle individual'!$F:$F,$H960))</f>
        <v/>
      </c>
      <c r="H960" t="str">
        <f>IFERROR(MATCH(SMALL(Cálculos!$AJ$5:$AJ$1000,956),Cálculos!$AJ$5:$AJ$1000,0)+4,"")</f>
        <v/>
      </c>
    </row>
    <row r="961">
      <c r="B961" s="5" t="str">
        <f>IF($H961="","",INDEX('Detalle individual'!$B:$B,$H961))</f>
        <v/>
      </c>
      <c r="C961" s="5" t="str">
        <f>IF($H961="","",INDEX('Detalle individual'!$A:$A,$H961))</f>
        <v/>
      </c>
      <c r="D961" s="5" t="str">
        <f>IF($H961="","",INDEX('Detalle individual'!$E:$E,$H961))</f>
        <v/>
      </c>
      <c r="E961" s="5" t="str">
        <f>IF($H961="","",INDEX('Detalle individual'!$C:$C,$H961))</f>
        <v/>
      </c>
      <c r="F961" s="5" t="str">
        <f>IF($H961="","",INDEX('Detalle individual'!$D:$D,$H961))</f>
        <v/>
      </c>
      <c r="G961" s="5" t="str">
        <f>IF($H961="","",INDEX('Detalle individual'!$F:$F,$H961))</f>
        <v/>
      </c>
      <c r="H961" t="str">
        <f>IFERROR(MATCH(SMALL(Cálculos!$AJ$5:$AJ$1000,957),Cálculos!$AJ$5:$AJ$1000,0)+4,"")</f>
        <v/>
      </c>
    </row>
    <row r="962">
      <c r="B962" s="5" t="str">
        <f>IF($H962="","",INDEX('Detalle individual'!$B:$B,$H962))</f>
        <v/>
      </c>
      <c r="C962" s="5" t="str">
        <f>IF($H962="","",INDEX('Detalle individual'!$A:$A,$H962))</f>
        <v/>
      </c>
      <c r="D962" s="5" t="str">
        <f>IF($H962="","",INDEX('Detalle individual'!$E:$E,$H962))</f>
        <v/>
      </c>
      <c r="E962" s="5" t="str">
        <f>IF($H962="","",INDEX('Detalle individual'!$C:$C,$H962))</f>
        <v/>
      </c>
      <c r="F962" s="5" t="str">
        <f>IF($H962="","",INDEX('Detalle individual'!$D:$D,$H962))</f>
        <v/>
      </c>
      <c r="G962" s="5" t="str">
        <f>IF($H962="","",INDEX('Detalle individual'!$F:$F,$H962))</f>
        <v/>
      </c>
      <c r="H962" t="str">
        <f>IFERROR(MATCH(SMALL(Cálculos!$AJ$5:$AJ$1000,958),Cálculos!$AJ$5:$AJ$1000,0)+4,"")</f>
        <v/>
      </c>
    </row>
    <row r="963">
      <c r="B963" s="5" t="str">
        <f>IF($H963="","",INDEX('Detalle individual'!$B:$B,$H963))</f>
        <v/>
      </c>
      <c r="C963" s="5" t="str">
        <f>IF($H963="","",INDEX('Detalle individual'!$A:$A,$H963))</f>
        <v/>
      </c>
      <c r="D963" s="5" t="str">
        <f>IF($H963="","",INDEX('Detalle individual'!$E:$E,$H963))</f>
        <v/>
      </c>
      <c r="E963" s="5" t="str">
        <f>IF($H963="","",INDEX('Detalle individual'!$C:$C,$H963))</f>
        <v/>
      </c>
      <c r="F963" s="5" t="str">
        <f>IF($H963="","",INDEX('Detalle individual'!$D:$D,$H963))</f>
        <v/>
      </c>
      <c r="G963" s="5" t="str">
        <f>IF($H963="","",INDEX('Detalle individual'!$F:$F,$H963))</f>
        <v/>
      </c>
      <c r="H963" t="str">
        <f>IFERROR(MATCH(SMALL(Cálculos!$AJ$5:$AJ$1000,959),Cálculos!$AJ$5:$AJ$1000,0)+4,"")</f>
        <v/>
      </c>
    </row>
    <row r="964">
      <c r="B964" s="5" t="str">
        <f>IF($H964="","",INDEX('Detalle individual'!$B:$B,$H964))</f>
        <v/>
      </c>
      <c r="C964" s="5" t="str">
        <f>IF($H964="","",INDEX('Detalle individual'!$A:$A,$H964))</f>
        <v/>
      </c>
      <c r="D964" s="5" t="str">
        <f>IF($H964="","",INDEX('Detalle individual'!$E:$E,$H964))</f>
        <v/>
      </c>
      <c r="E964" s="5" t="str">
        <f>IF($H964="","",INDEX('Detalle individual'!$C:$C,$H964))</f>
        <v/>
      </c>
      <c r="F964" s="5" t="str">
        <f>IF($H964="","",INDEX('Detalle individual'!$D:$D,$H964))</f>
        <v/>
      </c>
      <c r="G964" s="5" t="str">
        <f>IF($H964="","",INDEX('Detalle individual'!$F:$F,$H964))</f>
        <v/>
      </c>
      <c r="H964" t="str">
        <f>IFERROR(MATCH(SMALL(Cálculos!$AJ$5:$AJ$1000,960),Cálculos!$AJ$5:$AJ$1000,0)+4,"")</f>
        <v/>
      </c>
    </row>
    <row r="965">
      <c r="B965" s="5" t="str">
        <f>IF($H965="","",INDEX('Detalle individual'!$B:$B,$H965))</f>
        <v/>
      </c>
      <c r="C965" s="5" t="str">
        <f>IF($H965="","",INDEX('Detalle individual'!$A:$A,$H965))</f>
        <v/>
      </c>
      <c r="D965" s="5" t="str">
        <f>IF($H965="","",INDEX('Detalle individual'!$E:$E,$H965))</f>
        <v/>
      </c>
      <c r="E965" s="5" t="str">
        <f>IF($H965="","",INDEX('Detalle individual'!$C:$C,$H965))</f>
        <v/>
      </c>
      <c r="F965" s="5" t="str">
        <f>IF($H965="","",INDEX('Detalle individual'!$D:$D,$H965))</f>
        <v/>
      </c>
      <c r="G965" s="5" t="str">
        <f>IF($H965="","",INDEX('Detalle individual'!$F:$F,$H965))</f>
        <v/>
      </c>
      <c r="H965" t="str">
        <f>IFERROR(MATCH(SMALL(Cálculos!$AJ$5:$AJ$1000,961),Cálculos!$AJ$5:$AJ$1000,0)+4,"")</f>
        <v/>
      </c>
    </row>
    <row r="966">
      <c r="B966" s="5" t="str">
        <f>IF($H966="","",INDEX('Detalle individual'!$B:$B,$H966))</f>
        <v/>
      </c>
      <c r="C966" s="5" t="str">
        <f>IF($H966="","",INDEX('Detalle individual'!$A:$A,$H966))</f>
        <v/>
      </c>
      <c r="D966" s="5" t="str">
        <f>IF($H966="","",INDEX('Detalle individual'!$E:$E,$H966))</f>
        <v/>
      </c>
      <c r="E966" s="5" t="str">
        <f>IF($H966="","",INDEX('Detalle individual'!$C:$C,$H966))</f>
        <v/>
      </c>
      <c r="F966" s="5" t="str">
        <f>IF($H966="","",INDEX('Detalle individual'!$D:$D,$H966))</f>
        <v/>
      </c>
      <c r="G966" s="5" t="str">
        <f>IF($H966="","",INDEX('Detalle individual'!$F:$F,$H966))</f>
        <v/>
      </c>
      <c r="H966" t="str">
        <f>IFERROR(MATCH(SMALL(Cálculos!$AJ$5:$AJ$1000,962),Cálculos!$AJ$5:$AJ$1000,0)+4,"")</f>
        <v/>
      </c>
    </row>
    <row r="967">
      <c r="B967" s="5" t="str">
        <f>IF($H967="","",INDEX('Detalle individual'!$B:$B,$H967))</f>
        <v/>
      </c>
      <c r="C967" s="5" t="str">
        <f>IF($H967="","",INDEX('Detalle individual'!$A:$A,$H967))</f>
        <v/>
      </c>
      <c r="D967" s="5" t="str">
        <f>IF($H967="","",INDEX('Detalle individual'!$E:$E,$H967))</f>
        <v/>
      </c>
      <c r="E967" s="5" t="str">
        <f>IF($H967="","",INDEX('Detalle individual'!$C:$C,$H967))</f>
        <v/>
      </c>
      <c r="F967" s="5" t="str">
        <f>IF($H967="","",INDEX('Detalle individual'!$D:$D,$H967))</f>
        <v/>
      </c>
      <c r="G967" s="5" t="str">
        <f>IF($H967="","",INDEX('Detalle individual'!$F:$F,$H967))</f>
        <v/>
      </c>
      <c r="H967" t="str">
        <f>IFERROR(MATCH(SMALL(Cálculos!$AJ$5:$AJ$1000,963),Cálculos!$AJ$5:$AJ$1000,0)+4,"")</f>
        <v/>
      </c>
    </row>
    <row r="968">
      <c r="B968" s="5" t="str">
        <f>IF($H968="","",INDEX('Detalle individual'!$B:$B,$H968))</f>
        <v/>
      </c>
      <c r="C968" s="5" t="str">
        <f>IF($H968="","",INDEX('Detalle individual'!$A:$A,$H968))</f>
        <v/>
      </c>
      <c r="D968" s="5" t="str">
        <f>IF($H968="","",INDEX('Detalle individual'!$E:$E,$H968))</f>
        <v/>
      </c>
      <c r="E968" s="5" t="str">
        <f>IF($H968="","",INDEX('Detalle individual'!$C:$C,$H968))</f>
        <v/>
      </c>
      <c r="F968" s="5" t="str">
        <f>IF($H968="","",INDEX('Detalle individual'!$D:$D,$H968))</f>
        <v/>
      </c>
      <c r="G968" s="5" t="str">
        <f>IF($H968="","",INDEX('Detalle individual'!$F:$F,$H968))</f>
        <v/>
      </c>
      <c r="H968" t="str">
        <f>IFERROR(MATCH(SMALL(Cálculos!$AJ$5:$AJ$1000,964),Cálculos!$AJ$5:$AJ$1000,0)+4,"")</f>
        <v/>
      </c>
    </row>
    <row r="969">
      <c r="B969" s="5" t="str">
        <f>IF($H969="","",INDEX('Detalle individual'!$B:$B,$H969))</f>
        <v/>
      </c>
      <c r="C969" s="5" t="str">
        <f>IF($H969="","",INDEX('Detalle individual'!$A:$A,$H969))</f>
        <v/>
      </c>
      <c r="D969" s="5" t="str">
        <f>IF($H969="","",INDEX('Detalle individual'!$E:$E,$H969))</f>
        <v/>
      </c>
      <c r="E969" s="5" t="str">
        <f>IF($H969="","",INDEX('Detalle individual'!$C:$C,$H969))</f>
        <v/>
      </c>
      <c r="F969" s="5" t="str">
        <f>IF($H969="","",INDEX('Detalle individual'!$D:$D,$H969))</f>
        <v/>
      </c>
      <c r="G969" s="5" t="str">
        <f>IF($H969="","",INDEX('Detalle individual'!$F:$F,$H969))</f>
        <v/>
      </c>
      <c r="H969" t="str">
        <f>IFERROR(MATCH(SMALL(Cálculos!$AJ$5:$AJ$1000,965),Cálculos!$AJ$5:$AJ$1000,0)+4,"")</f>
        <v/>
      </c>
    </row>
    <row r="970">
      <c r="B970" s="5" t="str">
        <f>IF($H970="","",INDEX('Detalle individual'!$B:$B,$H970))</f>
        <v/>
      </c>
      <c r="C970" s="5" t="str">
        <f>IF($H970="","",INDEX('Detalle individual'!$A:$A,$H970))</f>
        <v/>
      </c>
      <c r="D970" s="5" t="str">
        <f>IF($H970="","",INDEX('Detalle individual'!$E:$E,$H970))</f>
        <v/>
      </c>
      <c r="E970" s="5" t="str">
        <f>IF($H970="","",INDEX('Detalle individual'!$C:$C,$H970))</f>
        <v/>
      </c>
      <c r="F970" s="5" t="str">
        <f>IF($H970="","",INDEX('Detalle individual'!$D:$D,$H970))</f>
        <v/>
      </c>
      <c r="G970" s="5" t="str">
        <f>IF($H970="","",INDEX('Detalle individual'!$F:$F,$H970))</f>
        <v/>
      </c>
      <c r="H970" t="str">
        <f>IFERROR(MATCH(SMALL(Cálculos!$AJ$5:$AJ$1000,966),Cálculos!$AJ$5:$AJ$1000,0)+4,"")</f>
        <v/>
      </c>
    </row>
    <row r="971">
      <c r="B971" s="5" t="str">
        <f>IF($H971="","",INDEX('Detalle individual'!$B:$B,$H971))</f>
        <v/>
      </c>
      <c r="C971" s="5" t="str">
        <f>IF($H971="","",INDEX('Detalle individual'!$A:$A,$H971))</f>
        <v/>
      </c>
      <c r="D971" s="5" t="str">
        <f>IF($H971="","",INDEX('Detalle individual'!$E:$E,$H971))</f>
        <v/>
      </c>
      <c r="E971" s="5" t="str">
        <f>IF($H971="","",INDEX('Detalle individual'!$C:$C,$H971))</f>
        <v/>
      </c>
      <c r="F971" s="5" t="str">
        <f>IF($H971="","",INDEX('Detalle individual'!$D:$D,$H971))</f>
        <v/>
      </c>
      <c r="G971" s="5" t="str">
        <f>IF($H971="","",INDEX('Detalle individual'!$F:$F,$H971))</f>
        <v/>
      </c>
      <c r="H971" t="str">
        <f>IFERROR(MATCH(SMALL(Cálculos!$AJ$5:$AJ$1000,967),Cálculos!$AJ$5:$AJ$1000,0)+4,"")</f>
        <v/>
      </c>
    </row>
    <row r="972">
      <c r="B972" s="5" t="str">
        <f>IF($H972="","",INDEX('Detalle individual'!$B:$B,$H972))</f>
        <v/>
      </c>
      <c r="C972" s="5" t="str">
        <f>IF($H972="","",INDEX('Detalle individual'!$A:$A,$H972))</f>
        <v/>
      </c>
      <c r="D972" s="5" t="str">
        <f>IF($H972="","",INDEX('Detalle individual'!$E:$E,$H972))</f>
        <v/>
      </c>
      <c r="E972" s="5" t="str">
        <f>IF($H972="","",INDEX('Detalle individual'!$C:$C,$H972))</f>
        <v/>
      </c>
      <c r="F972" s="5" t="str">
        <f>IF($H972="","",INDEX('Detalle individual'!$D:$D,$H972))</f>
        <v/>
      </c>
      <c r="G972" s="5" t="str">
        <f>IF($H972="","",INDEX('Detalle individual'!$F:$F,$H972))</f>
        <v/>
      </c>
      <c r="H972" t="str">
        <f>IFERROR(MATCH(SMALL(Cálculos!$AJ$5:$AJ$1000,968),Cálculos!$AJ$5:$AJ$1000,0)+4,"")</f>
        <v/>
      </c>
    </row>
    <row r="973">
      <c r="B973" s="5" t="str">
        <f>IF($H973="","",INDEX('Detalle individual'!$B:$B,$H973))</f>
        <v/>
      </c>
      <c r="C973" s="5" t="str">
        <f>IF($H973="","",INDEX('Detalle individual'!$A:$A,$H973))</f>
        <v/>
      </c>
      <c r="D973" s="5" t="str">
        <f>IF($H973="","",INDEX('Detalle individual'!$E:$E,$H973))</f>
        <v/>
      </c>
      <c r="E973" s="5" t="str">
        <f>IF($H973="","",INDEX('Detalle individual'!$C:$C,$H973))</f>
        <v/>
      </c>
      <c r="F973" s="5" t="str">
        <f>IF($H973="","",INDEX('Detalle individual'!$D:$D,$H973))</f>
        <v/>
      </c>
      <c r="G973" s="5" t="str">
        <f>IF($H973="","",INDEX('Detalle individual'!$F:$F,$H973))</f>
        <v/>
      </c>
      <c r="H973" t="str">
        <f>IFERROR(MATCH(SMALL(Cálculos!$AJ$5:$AJ$1000,969),Cálculos!$AJ$5:$AJ$1000,0)+4,"")</f>
        <v/>
      </c>
    </row>
    <row r="974">
      <c r="B974" s="5" t="str">
        <f>IF($H974="","",INDEX('Detalle individual'!$B:$B,$H974))</f>
        <v/>
      </c>
      <c r="C974" s="5" t="str">
        <f>IF($H974="","",INDEX('Detalle individual'!$A:$A,$H974))</f>
        <v/>
      </c>
      <c r="D974" s="5" t="str">
        <f>IF($H974="","",INDEX('Detalle individual'!$E:$E,$H974))</f>
        <v/>
      </c>
      <c r="E974" s="5" t="str">
        <f>IF($H974="","",INDEX('Detalle individual'!$C:$C,$H974))</f>
        <v/>
      </c>
      <c r="F974" s="5" t="str">
        <f>IF($H974="","",INDEX('Detalle individual'!$D:$D,$H974))</f>
        <v/>
      </c>
      <c r="G974" s="5" t="str">
        <f>IF($H974="","",INDEX('Detalle individual'!$F:$F,$H974))</f>
        <v/>
      </c>
      <c r="H974" t="str">
        <f>IFERROR(MATCH(SMALL(Cálculos!$AJ$5:$AJ$1000,970),Cálculos!$AJ$5:$AJ$1000,0)+4,"")</f>
        <v/>
      </c>
    </row>
    <row r="975">
      <c r="B975" s="5" t="str">
        <f>IF($H975="","",INDEX('Detalle individual'!$B:$B,$H975))</f>
        <v/>
      </c>
      <c r="C975" s="5" t="str">
        <f>IF($H975="","",INDEX('Detalle individual'!$A:$A,$H975))</f>
        <v/>
      </c>
      <c r="D975" s="5" t="str">
        <f>IF($H975="","",INDEX('Detalle individual'!$E:$E,$H975))</f>
        <v/>
      </c>
      <c r="E975" s="5" t="str">
        <f>IF($H975="","",INDEX('Detalle individual'!$C:$C,$H975))</f>
        <v/>
      </c>
      <c r="F975" s="5" t="str">
        <f>IF($H975="","",INDEX('Detalle individual'!$D:$D,$H975))</f>
        <v/>
      </c>
      <c r="G975" s="5" t="str">
        <f>IF($H975="","",INDEX('Detalle individual'!$F:$F,$H975))</f>
        <v/>
      </c>
      <c r="H975" t="str">
        <f>IFERROR(MATCH(SMALL(Cálculos!$AJ$5:$AJ$1000,971),Cálculos!$AJ$5:$AJ$1000,0)+4,"")</f>
        <v/>
      </c>
    </row>
    <row r="976">
      <c r="B976" s="5" t="str">
        <f>IF($H976="","",INDEX('Detalle individual'!$B:$B,$H976))</f>
        <v/>
      </c>
      <c r="C976" s="5" t="str">
        <f>IF($H976="","",INDEX('Detalle individual'!$A:$A,$H976))</f>
        <v/>
      </c>
      <c r="D976" s="5" t="str">
        <f>IF($H976="","",INDEX('Detalle individual'!$E:$E,$H976))</f>
        <v/>
      </c>
      <c r="E976" s="5" t="str">
        <f>IF($H976="","",INDEX('Detalle individual'!$C:$C,$H976))</f>
        <v/>
      </c>
      <c r="F976" s="5" t="str">
        <f>IF($H976="","",INDEX('Detalle individual'!$D:$D,$H976))</f>
        <v/>
      </c>
      <c r="G976" s="5" t="str">
        <f>IF($H976="","",INDEX('Detalle individual'!$F:$F,$H976))</f>
        <v/>
      </c>
      <c r="H976" t="str">
        <f>IFERROR(MATCH(SMALL(Cálculos!$AJ$5:$AJ$1000,972),Cálculos!$AJ$5:$AJ$1000,0)+4,"")</f>
        <v/>
      </c>
    </row>
    <row r="977">
      <c r="B977" s="5" t="str">
        <f>IF($H977="","",INDEX('Detalle individual'!$B:$B,$H977))</f>
        <v/>
      </c>
      <c r="C977" s="5" t="str">
        <f>IF($H977="","",INDEX('Detalle individual'!$A:$A,$H977))</f>
        <v/>
      </c>
      <c r="D977" s="5" t="str">
        <f>IF($H977="","",INDEX('Detalle individual'!$E:$E,$H977))</f>
        <v/>
      </c>
      <c r="E977" s="5" t="str">
        <f>IF($H977="","",INDEX('Detalle individual'!$C:$C,$H977))</f>
        <v/>
      </c>
      <c r="F977" s="5" t="str">
        <f>IF($H977="","",INDEX('Detalle individual'!$D:$D,$H977))</f>
        <v/>
      </c>
      <c r="G977" s="5" t="str">
        <f>IF($H977="","",INDEX('Detalle individual'!$F:$F,$H977))</f>
        <v/>
      </c>
      <c r="H977" t="str">
        <f>IFERROR(MATCH(SMALL(Cálculos!$AJ$5:$AJ$1000,973),Cálculos!$AJ$5:$AJ$1000,0)+4,"")</f>
        <v/>
      </c>
    </row>
    <row r="978">
      <c r="B978" s="5" t="str">
        <f>IF($H978="","",INDEX('Detalle individual'!$B:$B,$H978))</f>
        <v/>
      </c>
      <c r="C978" s="5" t="str">
        <f>IF($H978="","",INDEX('Detalle individual'!$A:$A,$H978))</f>
        <v/>
      </c>
      <c r="D978" s="5" t="str">
        <f>IF($H978="","",INDEX('Detalle individual'!$E:$E,$H978))</f>
        <v/>
      </c>
      <c r="E978" s="5" t="str">
        <f>IF($H978="","",INDEX('Detalle individual'!$C:$C,$H978))</f>
        <v/>
      </c>
      <c r="F978" s="5" t="str">
        <f>IF($H978="","",INDEX('Detalle individual'!$D:$D,$H978))</f>
        <v/>
      </c>
      <c r="G978" s="5" t="str">
        <f>IF($H978="","",INDEX('Detalle individual'!$F:$F,$H978))</f>
        <v/>
      </c>
      <c r="H978" t="str">
        <f>IFERROR(MATCH(SMALL(Cálculos!$AJ$5:$AJ$1000,974),Cálculos!$AJ$5:$AJ$1000,0)+4,"")</f>
        <v/>
      </c>
    </row>
    <row r="979">
      <c r="B979" s="5" t="str">
        <f>IF($H979="","",INDEX('Detalle individual'!$B:$B,$H979))</f>
        <v/>
      </c>
      <c r="C979" s="5" t="str">
        <f>IF($H979="","",INDEX('Detalle individual'!$A:$A,$H979))</f>
        <v/>
      </c>
      <c r="D979" s="5" t="str">
        <f>IF($H979="","",INDEX('Detalle individual'!$E:$E,$H979))</f>
        <v/>
      </c>
      <c r="E979" s="5" t="str">
        <f>IF($H979="","",INDEX('Detalle individual'!$C:$C,$H979))</f>
        <v/>
      </c>
      <c r="F979" s="5" t="str">
        <f>IF($H979="","",INDEX('Detalle individual'!$D:$D,$H979))</f>
        <v/>
      </c>
      <c r="G979" s="5" t="str">
        <f>IF($H979="","",INDEX('Detalle individual'!$F:$F,$H979))</f>
        <v/>
      </c>
      <c r="H979" t="str">
        <f>IFERROR(MATCH(SMALL(Cálculos!$AJ$5:$AJ$1000,975),Cálculos!$AJ$5:$AJ$1000,0)+4,"")</f>
        <v/>
      </c>
    </row>
    <row r="980">
      <c r="B980" s="5" t="str">
        <f>IF($H980="","",INDEX('Detalle individual'!$B:$B,$H980))</f>
        <v/>
      </c>
      <c r="C980" s="5" t="str">
        <f>IF($H980="","",INDEX('Detalle individual'!$A:$A,$H980))</f>
        <v/>
      </c>
      <c r="D980" s="5" t="str">
        <f>IF($H980="","",INDEX('Detalle individual'!$E:$E,$H980))</f>
        <v/>
      </c>
      <c r="E980" s="5" t="str">
        <f>IF($H980="","",INDEX('Detalle individual'!$C:$C,$H980))</f>
        <v/>
      </c>
      <c r="F980" s="5" t="str">
        <f>IF($H980="","",INDEX('Detalle individual'!$D:$D,$H980))</f>
        <v/>
      </c>
      <c r="G980" s="5" t="str">
        <f>IF($H980="","",INDEX('Detalle individual'!$F:$F,$H980))</f>
        <v/>
      </c>
      <c r="H980" t="str">
        <f>IFERROR(MATCH(SMALL(Cálculos!$AJ$5:$AJ$1000,976),Cálculos!$AJ$5:$AJ$1000,0)+4,"")</f>
        <v/>
      </c>
    </row>
    <row r="981">
      <c r="B981" s="5" t="str">
        <f>IF($H981="","",INDEX('Detalle individual'!$B:$B,$H981))</f>
        <v/>
      </c>
      <c r="C981" s="5" t="str">
        <f>IF($H981="","",INDEX('Detalle individual'!$A:$A,$H981))</f>
        <v/>
      </c>
      <c r="D981" s="5" t="str">
        <f>IF($H981="","",INDEX('Detalle individual'!$E:$E,$H981))</f>
        <v/>
      </c>
      <c r="E981" s="5" t="str">
        <f>IF($H981="","",INDEX('Detalle individual'!$C:$C,$H981))</f>
        <v/>
      </c>
      <c r="F981" s="5" t="str">
        <f>IF($H981="","",INDEX('Detalle individual'!$D:$D,$H981))</f>
        <v/>
      </c>
      <c r="G981" s="5" t="str">
        <f>IF($H981="","",INDEX('Detalle individual'!$F:$F,$H981))</f>
        <v/>
      </c>
      <c r="H981" t="str">
        <f>IFERROR(MATCH(SMALL(Cálculos!$AJ$5:$AJ$1000,977),Cálculos!$AJ$5:$AJ$1000,0)+4,"")</f>
        <v/>
      </c>
    </row>
    <row r="982">
      <c r="B982" s="5" t="str">
        <f>IF($H982="","",INDEX('Detalle individual'!$B:$B,$H982))</f>
        <v/>
      </c>
      <c r="C982" s="5" t="str">
        <f>IF($H982="","",INDEX('Detalle individual'!$A:$A,$H982))</f>
        <v/>
      </c>
      <c r="D982" s="5" t="str">
        <f>IF($H982="","",INDEX('Detalle individual'!$E:$E,$H982))</f>
        <v/>
      </c>
      <c r="E982" s="5" t="str">
        <f>IF($H982="","",INDEX('Detalle individual'!$C:$C,$H982))</f>
        <v/>
      </c>
      <c r="F982" s="5" t="str">
        <f>IF($H982="","",INDEX('Detalle individual'!$D:$D,$H982))</f>
        <v/>
      </c>
      <c r="G982" s="5" t="str">
        <f>IF($H982="","",INDEX('Detalle individual'!$F:$F,$H982))</f>
        <v/>
      </c>
      <c r="H982" t="str">
        <f>IFERROR(MATCH(SMALL(Cálculos!$AJ$5:$AJ$1000,978),Cálculos!$AJ$5:$AJ$1000,0)+4,"")</f>
        <v/>
      </c>
    </row>
    <row r="983">
      <c r="B983" s="5" t="str">
        <f>IF($H983="","",INDEX('Detalle individual'!$B:$B,$H983))</f>
        <v/>
      </c>
      <c r="C983" s="5" t="str">
        <f>IF($H983="","",INDEX('Detalle individual'!$A:$A,$H983))</f>
        <v/>
      </c>
      <c r="D983" s="5" t="str">
        <f>IF($H983="","",INDEX('Detalle individual'!$E:$E,$H983))</f>
        <v/>
      </c>
      <c r="E983" s="5" t="str">
        <f>IF($H983="","",INDEX('Detalle individual'!$C:$C,$H983))</f>
        <v/>
      </c>
      <c r="F983" s="5" t="str">
        <f>IF($H983="","",INDEX('Detalle individual'!$D:$D,$H983))</f>
        <v/>
      </c>
      <c r="G983" s="5" t="str">
        <f>IF($H983="","",INDEX('Detalle individual'!$F:$F,$H983))</f>
        <v/>
      </c>
      <c r="H983" t="str">
        <f>IFERROR(MATCH(SMALL(Cálculos!$AJ$5:$AJ$1000,979),Cálculos!$AJ$5:$AJ$1000,0)+4,"")</f>
        <v/>
      </c>
    </row>
    <row r="984">
      <c r="B984" s="5" t="str">
        <f>IF($H984="","",INDEX('Detalle individual'!$B:$B,$H984))</f>
        <v/>
      </c>
      <c r="C984" s="5" t="str">
        <f>IF($H984="","",INDEX('Detalle individual'!$A:$A,$H984))</f>
        <v/>
      </c>
      <c r="D984" s="5" t="str">
        <f>IF($H984="","",INDEX('Detalle individual'!$E:$E,$H984))</f>
        <v/>
      </c>
      <c r="E984" s="5" t="str">
        <f>IF($H984="","",INDEX('Detalle individual'!$C:$C,$H984))</f>
        <v/>
      </c>
      <c r="F984" s="5" t="str">
        <f>IF($H984="","",INDEX('Detalle individual'!$D:$D,$H984))</f>
        <v/>
      </c>
      <c r="G984" s="5" t="str">
        <f>IF($H984="","",INDEX('Detalle individual'!$F:$F,$H984))</f>
        <v/>
      </c>
      <c r="H984" t="str">
        <f>IFERROR(MATCH(SMALL(Cálculos!$AJ$5:$AJ$1000,980),Cálculos!$AJ$5:$AJ$1000,0)+4,"")</f>
        <v/>
      </c>
    </row>
    <row r="985">
      <c r="B985" s="5" t="str">
        <f>IF($H985="","",INDEX('Detalle individual'!$B:$B,$H985))</f>
        <v/>
      </c>
      <c r="C985" s="5" t="str">
        <f>IF($H985="","",INDEX('Detalle individual'!$A:$A,$H985))</f>
        <v/>
      </c>
      <c r="D985" s="5" t="str">
        <f>IF($H985="","",INDEX('Detalle individual'!$E:$E,$H985))</f>
        <v/>
      </c>
      <c r="E985" s="5" t="str">
        <f>IF($H985="","",INDEX('Detalle individual'!$C:$C,$H985))</f>
        <v/>
      </c>
      <c r="F985" s="5" t="str">
        <f>IF($H985="","",INDEX('Detalle individual'!$D:$D,$H985))</f>
        <v/>
      </c>
      <c r="G985" s="5" t="str">
        <f>IF($H985="","",INDEX('Detalle individual'!$F:$F,$H985))</f>
        <v/>
      </c>
      <c r="H985" t="str">
        <f>IFERROR(MATCH(SMALL(Cálculos!$AJ$5:$AJ$1000,981),Cálculos!$AJ$5:$AJ$1000,0)+4,"")</f>
        <v/>
      </c>
    </row>
    <row r="986">
      <c r="B986" s="5" t="str">
        <f>IF($H986="","",INDEX('Detalle individual'!$B:$B,$H986))</f>
        <v/>
      </c>
      <c r="C986" s="5" t="str">
        <f>IF($H986="","",INDEX('Detalle individual'!$A:$A,$H986))</f>
        <v/>
      </c>
      <c r="D986" s="5" t="str">
        <f>IF($H986="","",INDEX('Detalle individual'!$E:$E,$H986))</f>
        <v/>
      </c>
      <c r="E986" s="5" t="str">
        <f>IF($H986="","",INDEX('Detalle individual'!$C:$C,$H986))</f>
        <v/>
      </c>
      <c r="F986" s="5" t="str">
        <f>IF($H986="","",INDEX('Detalle individual'!$D:$D,$H986))</f>
        <v/>
      </c>
      <c r="G986" s="5" t="str">
        <f>IF($H986="","",INDEX('Detalle individual'!$F:$F,$H986))</f>
        <v/>
      </c>
      <c r="H986" t="str">
        <f>IFERROR(MATCH(SMALL(Cálculos!$AJ$5:$AJ$1000,982),Cálculos!$AJ$5:$AJ$1000,0)+4,"")</f>
        <v/>
      </c>
    </row>
    <row r="987">
      <c r="B987" s="5" t="str">
        <f>IF($H987="","",INDEX('Detalle individual'!$B:$B,$H987))</f>
        <v/>
      </c>
      <c r="C987" s="5" t="str">
        <f>IF($H987="","",INDEX('Detalle individual'!$A:$A,$H987))</f>
        <v/>
      </c>
      <c r="D987" s="5" t="str">
        <f>IF($H987="","",INDEX('Detalle individual'!$E:$E,$H987))</f>
        <v/>
      </c>
      <c r="E987" s="5" t="str">
        <f>IF($H987="","",INDEX('Detalle individual'!$C:$C,$H987))</f>
        <v/>
      </c>
      <c r="F987" s="5" t="str">
        <f>IF($H987="","",INDEX('Detalle individual'!$D:$D,$H987))</f>
        <v/>
      </c>
      <c r="G987" s="5" t="str">
        <f>IF($H987="","",INDEX('Detalle individual'!$F:$F,$H987))</f>
        <v/>
      </c>
      <c r="H987" t="str">
        <f>IFERROR(MATCH(SMALL(Cálculos!$AJ$5:$AJ$1000,983),Cálculos!$AJ$5:$AJ$1000,0)+4,"")</f>
        <v/>
      </c>
    </row>
    <row r="988">
      <c r="B988" s="5" t="str">
        <f>IF($H988="","",INDEX('Detalle individual'!$B:$B,$H988))</f>
        <v/>
      </c>
      <c r="C988" s="5" t="str">
        <f>IF($H988="","",INDEX('Detalle individual'!$A:$A,$H988))</f>
        <v/>
      </c>
      <c r="D988" s="5" t="str">
        <f>IF($H988="","",INDEX('Detalle individual'!$E:$E,$H988))</f>
        <v/>
      </c>
      <c r="E988" s="5" t="str">
        <f>IF($H988="","",INDEX('Detalle individual'!$C:$C,$H988))</f>
        <v/>
      </c>
      <c r="F988" s="5" t="str">
        <f>IF($H988="","",INDEX('Detalle individual'!$D:$D,$H988))</f>
        <v/>
      </c>
      <c r="G988" s="5" t="str">
        <f>IF($H988="","",INDEX('Detalle individual'!$F:$F,$H988))</f>
        <v/>
      </c>
      <c r="H988" t="str">
        <f>IFERROR(MATCH(SMALL(Cálculos!$AJ$5:$AJ$1000,984),Cálculos!$AJ$5:$AJ$1000,0)+4,"")</f>
        <v/>
      </c>
    </row>
    <row r="989">
      <c r="B989" s="5" t="str">
        <f>IF($H989="","",INDEX('Detalle individual'!$B:$B,$H989))</f>
        <v/>
      </c>
      <c r="C989" s="5" t="str">
        <f>IF($H989="","",INDEX('Detalle individual'!$A:$A,$H989))</f>
        <v/>
      </c>
      <c r="D989" s="5" t="str">
        <f>IF($H989="","",INDEX('Detalle individual'!$E:$E,$H989))</f>
        <v/>
      </c>
      <c r="E989" s="5" t="str">
        <f>IF($H989="","",INDEX('Detalle individual'!$C:$C,$H989))</f>
        <v/>
      </c>
      <c r="F989" s="5" t="str">
        <f>IF($H989="","",INDEX('Detalle individual'!$D:$D,$H989))</f>
        <v/>
      </c>
      <c r="G989" s="5" t="str">
        <f>IF($H989="","",INDEX('Detalle individual'!$F:$F,$H989))</f>
        <v/>
      </c>
      <c r="H989" t="str">
        <f>IFERROR(MATCH(SMALL(Cálculos!$AJ$5:$AJ$1000,985),Cálculos!$AJ$5:$AJ$1000,0)+4,"")</f>
        <v/>
      </c>
    </row>
    <row r="990">
      <c r="B990" s="5" t="str">
        <f>IF($H990="","",INDEX('Detalle individual'!$B:$B,$H990))</f>
        <v/>
      </c>
      <c r="C990" s="5" t="str">
        <f>IF($H990="","",INDEX('Detalle individual'!$A:$A,$H990))</f>
        <v/>
      </c>
      <c r="D990" s="5" t="str">
        <f>IF($H990="","",INDEX('Detalle individual'!$E:$E,$H990))</f>
        <v/>
      </c>
      <c r="E990" s="5" t="str">
        <f>IF($H990="","",INDEX('Detalle individual'!$C:$C,$H990))</f>
        <v/>
      </c>
      <c r="F990" s="5" t="str">
        <f>IF($H990="","",INDEX('Detalle individual'!$D:$D,$H990))</f>
        <v/>
      </c>
      <c r="G990" s="5" t="str">
        <f>IF($H990="","",INDEX('Detalle individual'!$F:$F,$H990))</f>
        <v/>
      </c>
      <c r="H990" t="str">
        <f>IFERROR(MATCH(SMALL(Cálculos!$AJ$5:$AJ$1000,986),Cálculos!$AJ$5:$AJ$1000,0)+4,"")</f>
        <v/>
      </c>
    </row>
    <row r="991">
      <c r="B991" s="5" t="str">
        <f>IF($H991="","",INDEX('Detalle individual'!$B:$B,$H991))</f>
        <v/>
      </c>
      <c r="C991" s="5" t="str">
        <f>IF($H991="","",INDEX('Detalle individual'!$A:$A,$H991))</f>
        <v/>
      </c>
      <c r="D991" s="5" t="str">
        <f>IF($H991="","",INDEX('Detalle individual'!$E:$E,$H991))</f>
        <v/>
      </c>
      <c r="E991" s="5" t="str">
        <f>IF($H991="","",INDEX('Detalle individual'!$C:$C,$H991))</f>
        <v/>
      </c>
      <c r="F991" s="5" t="str">
        <f>IF($H991="","",INDEX('Detalle individual'!$D:$D,$H991))</f>
        <v/>
      </c>
      <c r="G991" s="5" t="str">
        <f>IF($H991="","",INDEX('Detalle individual'!$F:$F,$H991))</f>
        <v/>
      </c>
      <c r="H991" t="str">
        <f>IFERROR(MATCH(SMALL(Cálculos!$AJ$5:$AJ$1000,987),Cálculos!$AJ$5:$AJ$1000,0)+4,"")</f>
        <v/>
      </c>
    </row>
    <row r="992">
      <c r="B992" s="5" t="str">
        <f>IF($H992="","",INDEX('Detalle individual'!$B:$B,$H992))</f>
        <v/>
      </c>
      <c r="C992" s="5" t="str">
        <f>IF($H992="","",INDEX('Detalle individual'!$A:$A,$H992))</f>
        <v/>
      </c>
      <c r="D992" s="5" t="str">
        <f>IF($H992="","",INDEX('Detalle individual'!$E:$E,$H992))</f>
        <v/>
      </c>
      <c r="E992" s="5" t="str">
        <f>IF($H992="","",INDEX('Detalle individual'!$C:$C,$H992))</f>
        <v/>
      </c>
      <c r="F992" s="5" t="str">
        <f>IF($H992="","",INDEX('Detalle individual'!$D:$D,$H992))</f>
        <v/>
      </c>
      <c r="G992" s="5" t="str">
        <f>IF($H992="","",INDEX('Detalle individual'!$F:$F,$H992))</f>
        <v/>
      </c>
      <c r="H992" t="str">
        <f>IFERROR(MATCH(SMALL(Cálculos!$AJ$5:$AJ$1000,988),Cálculos!$AJ$5:$AJ$1000,0)+4,"")</f>
        <v/>
      </c>
    </row>
    <row r="993">
      <c r="B993" s="5" t="str">
        <f>IF($H993="","",INDEX('Detalle individual'!$B:$B,$H993))</f>
        <v/>
      </c>
      <c r="C993" s="5" t="str">
        <f>IF($H993="","",INDEX('Detalle individual'!$A:$A,$H993))</f>
        <v/>
      </c>
      <c r="D993" s="5" t="str">
        <f>IF($H993="","",INDEX('Detalle individual'!$E:$E,$H993))</f>
        <v/>
      </c>
      <c r="E993" s="5" t="str">
        <f>IF($H993="","",INDEX('Detalle individual'!$C:$C,$H993))</f>
        <v/>
      </c>
      <c r="F993" s="5" t="str">
        <f>IF($H993="","",INDEX('Detalle individual'!$D:$D,$H993))</f>
        <v/>
      </c>
      <c r="G993" s="5" t="str">
        <f>IF($H993="","",INDEX('Detalle individual'!$F:$F,$H993))</f>
        <v/>
      </c>
      <c r="H993" t="str">
        <f>IFERROR(MATCH(SMALL(Cálculos!$AJ$5:$AJ$1000,989),Cálculos!$AJ$5:$AJ$1000,0)+4,"")</f>
        <v/>
      </c>
    </row>
    <row r="994">
      <c r="B994" s="5" t="str">
        <f>IF($H994="","",INDEX('Detalle individual'!$B:$B,$H994))</f>
        <v/>
      </c>
      <c r="C994" s="5" t="str">
        <f>IF($H994="","",INDEX('Detalle individual'!$A:$A,$H994))</f>
        <v/>
      </c>
      <c r="D994" s="5" t="str">
        <f>IF($H994="","",INDEX('Detalle individual'!$E:$E,$H994))</f>
        <v/>
      </c>
      <c r="E994" s="5" t="str">
        <f>IF($H994="","",INDEX('Detalle individual'!$C:$C,$H994))</f>
        <v/>
      </c>
      <c r="F994" s="5" t="str">
        <f>IF($H994="","",INDEX('Detalle individual'!$D:$D,$H994))</f>
        <v/>
      </c>
      <c r="G994" s="5" t="str">
        <f>IF($H994="","",INDEX('Detalle individual'!$F:$F,$H994))</f>
        <v/>
      </c>
      <c r="H994" t="str">
        <f>IFERROR(MATCH(SMALL(Cálculos!$AJ$5:$AJ$1000,990),Cálculos!$AJ$5:$AJ$1000,0)+4,"")</f>
        <v/>
      </c>
    </row>
    <row r="995">
      <c r="B995" s="5" t="str">
        <f>IF($H995="","",INDEX('Detalle individual'!$B:$B,$H995))</f>
        <v/>
      </c>
      <c r="C995" s="5" t="str">
        <f>IF($H995="","",INDEX('Detalle individual'!$A:$A,$H995))</f>
        <v/>
      </c>
      <c r="D995" s="5" t="str">
        <f>IF($H995="","",INDEX('Detalle individual'!$E:$E,$H995))</f>
        <v/>
      </c>
      <c r="E995" s="5" t="str">
        <f>IF($H995="","",INDEX('Detalle individual'!$C:$C,$H995))</f>
        <v/>
      </c>
      <c r="F995" s="5" t="str">
        <f>IF($H995="","",INDEX('Detalle individual'!$D:$D,$H995))</f>
        <v/>
      </c>
      <c r="G995" s="5" t="str">
        <f>IF($H995="","",INDEX('Detalle individual'!$F:$F,$H995))</f>
        <v/>
      </c>
      <c r="H995" t="str">
        <f>IFERROR(MATCH(SMALL(Cálculos!$AJ$5:$AJ$1000,991),Cálculos!$AJ$5:$AJ$1000,0)+4,"")</f>
        <v/>
      </c>
    </row>
    <row r="996">
      <c r="B996" s="5" t="str">
        <f>IF($H996="","",INDEX('Detalle individual'!$B:$B,$H996))</f>
        <v/>
      </c>
      <c r="C996" s="5" t="str">
        <f>IF($H996="","",INDEX('Detalle individual'!$A:$A,$H996))</f>
        <v/>
      </c>
      <c r="D996" s="5" t="str">
        <f>IF($H996="","",INDEX('Detalle individual'!$E:$E,$H996))</f>
        <v/>
      </c>
      <c r="E996" s="5" t="str">
        <f>IF($H996="","",INDEX('Detalle individual'!$C:$C,$H996))</f>
        <v/>
      </c>
      <c r="F996" s="5" t="str">
        <f>IF($H996="","",INDEX('Detalle individual'!$D:$D,$H996))</f>
        <v/>
      </c>
      <c r="G996" s="5" t="str">
        <f>IF($H996="","",INDEX('Detalle individual'!$F:$F,$H996))</f>
        <v/>
      </c>
      <c r="H996" t="str">
        <f>IFERROR(MATCH(SMALL(Cálculos!$AJ$5:$AJ$1000,992),Cálculos!$AJ$5:$AJ$1000,0)+4,"")</f>
        <v/>
      </c>
    </row>
    <row r="997">
      <c r="B997" s="5" t="str">
        <f>IF($H997="","",INDEX('Detalle individual'!$B:$B,$H997))</f>
        <v/>
      </c>
      <c r="C997" s="5" t="str">
        <f>IF($H997="","",INDEX('Detalle individual'!$A:$A,$H997))</f>
        <v/>
      </c>
      <c r="D997" s="5" t="str">
        <f>IF($H997="","",INDEX('Detalle individual'!$E:$E,$H997))</f>
        <v/>
      </c>
      <c r="E997" s="5" t="str">
        <f>IF($H997="","",INDEX('Detalle individual'!$C:$C,$H997))</f>
        <v/>
      </c>
      <c r="F997" s="5" t="str">
        <f>IF($H997="","",INDEX('Detalle individual'!$D:$D,$H997))</f>
        <v/>
      </c>
      <c r="G997" s="5" t="str">
        <f>IF($H997="","",INDEX('Detalle individual'!$F:$F,$H997))</f>
        <v/>
      </c>
      <c r="H997" t="str">
        <f>IFERROR(MATCH(SMALL(Cálculos!$AJ$5:$AJ$1000,993),Cálculos!$AJ$5:$AJ$1000,0)+4,"")</f>
        <v/>
      </c>
    </row>
    <row r="998">
      <c r="B998" s="5" t="str">
        <f>IF($H998="","",INDEX('Detalle individual'!$B:$B,$H998))</f>
        <v/>
      </c>
      <c r="C998" s="5" t="str">
        <f>IF($H998="","",INDEX('Detalle individual'!$A:$A,$H998))</f>
        <v/>
      </c>
      <c r="D998" s="5" t="str">
        <f>IF($H998="","",INDEX('Detalle individual'!$E:$E,$H998))</f>
        <v/>
      </c>
      <c r="E998" s="5" t="str">
        <f>IF($H998="","",INDEX('Detalle individual'!$C:$C,$H998))</f>
        <v/>
      </c>
      <c r="F998" s="5" t="str">
        <f>IF($H998="","",INDEX('Detalle individual'!$D:$D,$H998))</f>
        <v/>
      </c>
      <c r="G998" s="5" t="str">
        <f>IF($H998="","",INDEX('Detalle individual'!$F:$F,$H998))</f>
        <v/>
      </c>
      <c r="H998" t="str">
        <f>IFERROR(MATCH(SMALL(Cálculos!$AJ$5:$AJ$1000,994),Cálculos!$AJ$5:$AJ$1000,0)+4,"")</f>
        <v/>
      </c>
    </row>
    <row r="999">
      <c r="B999" s="5" t="str">
        <f>IF($H999="","",INDEX('Detalle individual'!$B:$B,$H999))</f>
        <v/>
      </c>
      <c r="C999" s="5" t="str">
        <f>IF($H999="","",INDEX('Detalle individual'!$A:$A,$H999))</f>
        <v/>
      </c>
      <c r="D999" s="5" t="str">
        <f>IF($H999="","",INDEX('Detalle individual'!$E:$E,$H999))</f>
        <v/>
      </c>
      <c r="E999" s="5" t="str">
        <f>IF($H999="","",INDEX('Detalle individual'!$C:$C,$H999))</f>
        <v/>
      </c>
      <c r="F999" s="5" t="str">
        <f>IF($H999="","",INDEX('Detalle individual'!$D:$D,$H999))</f>
        <v/>
      </c>
      <c r="G999" s="5" t="str">
        <f>IF($H999="","",INDEX('Detalle individual'!$F:$F,$H999))</f>
        <v/>
      </c>
      <c r="H999" t="str">
        <f>IFERROR(MATCH(SMALL(Cálculos!$AJ$5:$AJ$1000,995),Cálculos!$AJ$5:$AJ$1000,0)+4,"")</f>
        <v/>
      </c>
    </row>
    <row r="1000">
      <c r="B1000" s="5" t="str">
        <f>IF($H1000="","",INDEX('Detalle individual'!$B:$B,$H1000))</f>
        <v/>
      </c>
      <c r="C1000" s="5" t="str">
        <f>IF($H1000="","",INDEX('Detalle individual'!$A:$A,$H1000))</f>
        <v/>
      </c>
      <c r="D1000" s="5" t="str">
        <f>IF($H1000="","",INDEX('Detalle individual'!$E:$E,$H1000))</f>
        <v/>
      </c>
      <c r="E1000" s="5" t="str">
        <f>IF($H1000="","",INDEX('Detalle individual'!$C:$C,$H1000))</f>
        <v/>
      </c>
      <c r="F1000" s="5" t="str">
        <f>IF($H1000="","",INDEX('Detalle individual'!$D:$D,$H1000))</f>
        <v/>
      </c>
      <c r="G1000" s="5" t="str">
        <f>IF($H1000="","",INDEX('Detalle individual'!$F:$F,$H1000))</f>
        <v/>
      </c>
      <c r="H1000" t="str">
        <f>IFERROR(MATCH(SMALL(Cálculos!$AJ$5:$AJ$1000,996),Cálculos!$AJ$5:$AJ$1000,0)+4,"")</f>
        <v/>
      </c>
    </row>
  </sheetData>
  <autoFilter ref="B4:G100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42" customWidth="1" style="38" min="1" max="1"/>
    <col width="12" customWidth="1" style="38" min="2" max="2"/>
    <col width="46" customWidth="1" style="38" min="3" max="3"/>
    <col width="50" customWidth="1" style="38" min="4" max="4"/>
    <col width="36" customWidth="1" style="38" min="5" max="5"/>
    <col width="18" customWidth="1" style="38" min="6" max="6"/>
    <col hidden="1" width="8" customWidth="1" style="38" min="7" max="7"/>
    <col width="11" customWidth="1" style="38" min="8" max="8"/>
    <col hidden="1" width="13" customWidth="1" style="38" min="10" max="10"/>
  </cols>
  <sheetData>
    <row r="1" ht="21" customHeight="1" s="38">
      <c r="A1" s="1" t="inlineStr">
        <is>
          <t>LISTADO DE COLABORADORES QUE COMPLETARON LA EVALUACIÓN</t>
        </is>
      </c>
    </row>
    <row r="2">
      <c r="A2" s="2" t="inlineStr">
        <is>
          <t>Nota considerada: la más alta de cada colaborador (se actualiza automáticamente).</t>
        </is>
      </c>
    </row>
    <row r="3">
      <c r="A3" s="27" t="str">
        <f>"Total: "&amp;COUNT(J5:J1000)&amp;" colaboradores"</f>
        <v>Total: 283 colaboradores</v>
      </c>
    </row>
    <row r="4" ht="28.8" customHeight="1" s="38">
      <c r="A4" s="3" t="inlineStr">
        <is>
          <t>Nombre del Colaborador</t>
        </is>
      </c>
      <c r="B4" s="3" t="inlineStr">
        <is>
          <t>Código de Empleado</t>
        </is>
      </c>
      <c r="C4" s="3" t="inlineStr">
        <is>
          <t>Cargo</t>
        </is>
      </c>
      <c r="D4" s="3" t="inlineStr">
        <is>
          <t>Departamento</t>
        </is>
      </c>
      <c r="E4" s="3" t="inlineStr">
        <is>
          <t>Gerencia Asignada</t>
        </is>
      </c>
      <c r="F4" s="3" t="inlineStr">
        <is>
          <t>Fecha de finalización</t>
        </is>
      </c>
      <c r="G4" s="3" t="inlineStr">
        <is>
          <t>Nota</t>
        </is>
      </c>
      <c r="H4" s="3" t="inlineStr">
        <is>
          <t>N° de intentos</t>
        </is>
      </c>
    </row>
    <row r="5">
      <c r="A5" s="5" t="str">
        <f>IF($J5="","",INDEX('Detalle individual'!$B:$B,$J5))</f>
        <v>MARIA ELENA VALLE BENAVIDES</v>
      </c>
      <c r="B5" s="5" t="str">
        <f>IF($J5="","",INDEX('Detalle individual'!$A:$A,$J5))</f>
        <v>865</v>
      </c>
      <c r="C5" s="5" t="str">
        <f>IF($J5="","",INDEX('Detalle individual'!$E:$E,$J5))</f>
        <v>ASISTENTE DE AUDITORIA INTERNA</v>
      </c>
      <c r="D5" s="5" t="str">
        <f>IF($J5="","",INDEX('Detalle individual'!$C:$C,$J5))</f>
        <v>DEPARTAMENTO DE AUDITORIA INTERNA</v>
      </c>
      <c r="E5" s="5" t="str">
        <f>IF($J5="","",INDEX('Detalle individual'!$D:$D,$J5))</f>
        <v>Auditoría Interna</v>
      </c>
      <c r="F5" s="23">
        <f>IF($J5="","",INDEX('Detalle individual'!$H:$H,$J5))</f>
        <v>46296.68074074074</v>
      </c>
      <c r="G5" s="28">
        <f>IF($J5="","",INDEX('Detalle individual'!$J:$J,$J5))</f>
        <v>100</v>
      </c>
      <c r="H5" s="28">
        <f>IF($J5="","",INDEX('Detalle individual'!$L:$L,$J5))</f>
        <v>1</v>
      </c>
      <c r="J5">
        <f>IFERROR(MATCH(SMALL(Cálculos!$AI$5:$AI$1000,1),Cálculos!$AI$5:$AI$1000,0)+4,"")</f>
        <v>129</v>
      </c>
    </row>
    <row r="6">
      <c r="A6" s="5" t="str">
        <f>IF($J6="","",INDEX('Detalle individual'!$B:$B,$J6))</f>
        <v>MARLON ANTONIO BONILLA GARCIA</v>
      </c>
      <c r="B6" s="5" t="str">
        <f>IF($J6="","",INDEX('Detalle individual'!$A:$A,$J6))</f>
        <v>750</v>
      </c>
      <c r="C6" s="5" t="str">
        <f>IF($J6="","",INDEX('Detalle individual'!$E:$E,$J6))</f>
        <v>ASISTENTE DE AUDITORIA INTERNA</v>
      </c>
      <c r="D6" s="5" t="str">
        <f>IF($J6="","",INDEX('Detalle individual'!$C:$C,$J6))</f>
        <v>DEPARTAMENTO DE AUDITORIA INTERNA</v>
      </c>
      <c r="E6" s="5" t="str">
        <f>IF($J6="","",INDEX('Detalle individual'!$D:$D,$J6))</f>
        <v>Auditoría Interna</v>
      </c>
      <c r="F6" s="23">
        <f>IF($J6="","",INDEX('Detalle individual'!$H:$H,$J6))</f>
        <v>46296.62321759259</v>
      </c>
      <c r="G6" s="28">
        <f>IF($J6="","",INDEX('Detalle individual'!$J:$J,$J6))</f>
        <v>100</v>
      </c>
      <c r="H6" s="28">
        <f>IF($J6="","",INDEX('Detalle individual'!$L:$L,$J6))</f>
        <v>1</v>
      </c>
      <c r="J6">
        <f>IFERROR(MATCH(SMALL(Cálculos!$AI$5:$AI$1000,2),Cálculos!$AI$5:$AI$1000,0)+4,"")</f>
        <v>128</v>
      </c>
    </row>
    <row r="7">
      <c r="A7" s="5" t="str">
        <f>IF($J7="","",INDEX('Detalle individual'!$B:$B,$J7))</f>
        <v>MAYRA LISSETTE LOPEZ SANCHEZ</v>
      </c>
      <c r="B7" s="5" t="str">
        <f>IF($J7="","",INDEX('Detalle individual'!$A:$A,$J7))</f>
        <v>424</v>
      </c>
      <c r="C7" s="5" t="str">
        <f>IF($J7="","",INDEX('Detalle individual'!$E:$E,$J7))</f>
        <v>SUPERVISOR DE AUDITORIA INTERNA</v>
      </c>
      <c r="D7" s="5" t="str">
        <f>IF($J7="","",INDEX('Detalle individual'!$C:$C,$J7))</f>
        <v>DEPARTAMENTO DE AUDITORIA INTERNA</v>
      </c>
      <c r="E7" s="5" t="str">
        <f>IF($J7="","",INDEX('Detalle individual'!$D:$D,$J7))</f>
        <v>Auditoría Interna</v>
      </c>
      <c r="F7" s="23">
        <f>IF($J7="","",INDEX('Detalle individual'!$H:$H,$J7))</f>
        <v>46304.404328703706</v>
      </c>
      <c r="G7" s="28">
        <f>IF($J7="","",INDEX('Detalle individual'!$J:$J,$J7))</f>
        <v>90</v>
      </c>
      <c r="H7" s="28">
        <f>IF($J7="","",INDEX('Detalle individual'!$L:$L,$J7))</f>
        <v>1</v>
      </c>
      <c r="J7">
        <f>IFERROR(MATCH(SMALL(Cálculos!$AI$5:$AI$1000,3),Cálculos!$AI$5:$AI$1000,0)+4,"")</f>
        <v>124</v>
      </c>
    </row>
    <row r="8">
      <c r="A8" s="5" t="str">
        <f>IF($J8="","",INDEX('Detalle individual'!$B:$B,$J8))</f>
        <v>MERALYS CHAVEZ RODRIGUEZ</v>
      </c>
      <c r="B8" s="5" t="str">
        <f>IF($J8="","",INDEX('Detalle individual'!$A:$A,$J8))</f>
        <v>330</v>
      </c>
      <c r="C8" s="5" t="str">
        <f>IF($J8="","",INDEX('Detalle individual'!$E:$E,$J8))</f>
        <v>AUDITOR INTERNO</v>
      </c>
      <c r="D8" s="5" t="str">
        <f>IF($J8="","",INDEX('Detalle individual'!$C:$C,$J8))</f>
        <v>DEPARTAMENTO DE AUDITORIA INTERNA</v>
      </c>
      <c r="E8" s="5" t="str">
        <f>IF($J8="","",INDEX('Detalle individual'!$D:$D,$J8))</f>
        <v>Auditoría Interna</v>
      </c>
      <c r="F8" s="23">
        <f>IF($J8="","",INDEX('Detalle individual'!$H:$H,$J8))</f>
        <v>46307.652766203704</v>
      </c>
      <c r="G8" s="28">
        <f>IF($J8="","",INDEX('Detalle individual'!$J:$J,$J8))</f>
        <v>100</v>
      </c>
      <c r="H8" s="28">
        <f>IF($J8="","",INDEX('Detalle individual'!$L:$L,$J8))</f>
        <v>1</v>
      </c>
      <c r="J8">
        <f>IFERROR(MATCH(SMALL(Cálculos!$AI$5:$AI$1000,4),Cálculos!$AI$5:$AI$1000,0)+4,"")</f>
        <v>123</v>
      </c>
    </row>
    <row r="9">
      <c r="A9" s="5" t="str">
        <f>IF($J9="","",INDEX('Detalle individual'!$B:$B,$J9))</f>
        <v>NELSON DANILO BENITEZ MENDEZ</v>
      </c>
      <c r="B9" s="5" t="str">
        <f>IF($J9="","",INDEX('Detalle individual'!$A:$A,$J9))</f>
        <v>534</v>
      </c>
      <c r="C9" s="5" t="str">
        <f>IF($J9="","",INDEX('Detalle individual'!$E:$E,$J9))</f>
        <v>AUDITOR DE SISTEMAS</v>
      </c>
      <c r="D9" s="5" t="str">
        <f>IF($J9="","",INDEX('Detalle individual'!$C:$C,$J9))</f>
        <v>DEPARTAMENTO DE AUDITORIA INTERNA</v>
      </c>
      <c r="E9" s="5" t="str">
        <f>IF($J9="","",INDEX('Detalle individual'!$D:$D,$J9))</f>
        <v>Auditoría Interna</v>
      </c>
      <c r="F9" s="23">
        <f>IF($J9="","",INDEX('Detalle individual'!$H:$H,$J9))</f>
        <v>46307.43875</v>
      </c>
      <c r="G9" s="28">
        <f>IF($J9="","",INDEX('Detalle individual'!$J:$J,$J9))</f>
        <v>100</v>
      </c>
      <c r="H9" s="28">
        <f>IF($J9="","",INDEX('Detalle individual'!$L:$L,$J9))</f>
        <v>1</v>
      </c>
      <c r="J9">
        <f>IFERROR(MATCH(SMALL(Cálculos!$AI$5:$AI$1000,5),Cálculos!$AI$5:$AI$1000,0)+4,"")</f>
        <v>125</v>
      </c>
    </row>
    <row r="10">
      <c r="A10" s="5" t="str">
        <f>IF($J10="","",INDEX('Detalle individual'!$B:$B,$J10))</f>
        <v>PATRICIA GUADALUPE SEGOVIA RAMIREZ</v>
      </c>
      <c r="B10" s="5" t="str">
        <f>IF($J10="","",INDEX('Detalle individual'!$A:$A,$J10))</f>
        <v>742</v>
      </c>
      <c r="C10" s="5" t="str">
        <f>IF($J10="","",INDEX('Detalle individual'!$E:$E,$J10))</f>
        <v>ASISTENTE DE AUDITORIA INTERNA</v>
      </c>
      <c r="D10" s="5" t="str">
        <f>IF($J10="","",INDEX('Detalle individual'!$C:$C,$J10))</f>
        <v>DEPARTAMENTO DE AUDITORIA INTERNA</v>
      </c>
      <c r="E10" s="5" t="str">
        <f>IF($J10="","",INDEX('Detalle individual'!$D:$D,$J10))</f>
        <v>Auditoría Interna</v>
      </c>
      <c r="F10" s="23">
        <f>IF($J10="","",INDEX('Detalle individual'!$H:$H,$J10))</f>
        <v>46304.40319444444</v>
      </c>
      <c r="G10" s="28">
        <f>IF($J10="","",INDEX('Detalle individual'!$J:$J,$J10))</f>
        <v>90</v>
      </c>
      <c r="H10" s="28">
        <f>IF($J10="","",INDEX('Detalle individual'!$L:$L,$J10))</f>
        <v>1</v>
      </c>
      <c r="J10">
        <f>IFERROR(MATCH(SMALL(Cálculos!$AI$5:$AI$1000,6),Cálculos!$AI$5:$AI$1000,0)+4,"")</f>
        <v>127</v>
      </c>
    </row>
    <row r="11">
      <c r="A11" s="5" t="str">
        <f>IF($J11="","",INDEX('Detalle individual'!$B:$B,$J11))</f>
        <v>ZORAIDA LORENA LOPEZ MEDINA</v>
      </c>
      <c r="B11" s="5" t="str">
        <f>IF($J11="","",INDEX('Detalle individual'!$A:$A,$J11))</f>
        <v>548</v>
      </c>
      <c r="C11" s="5" t="str">
        <f>IF($J11="","",INDEX('Detalle individual'!$E:$E,$J11))</f>
        <v>ASISTENTE DE AUDITORIA INTERNA</v>
      </c>
      <c r="D11" s="5" t="str">
        <f>IF($J11="","",INDEX('Detalle individual'!$C:$C,$J11))</f>
        <v>DEPARTAMENTO DE AUDITORIA INTERNA</v>
      </c>
      <c r="E11" s="5" t="str">
        <f>IF($J11="","",INDEX('Detalle individual'!$D:$D,$J11))</f>
        <v>Auditoría Interna</v>
      </c>
      <c r="F11" s="23">
        <f>IF($J11="","",INDEX('Detalle individual'!$H:$H,$J11))</f>
        <v>46296.711550925924</v>
      </c>
      <c r="G11" s="28">
        <f>IF($J11="","",INDEX('Detalle individual'!$J:$J,$J11))</f>
        <v>100</v>
      </c>
      <c r="H11" s="28">
        <f>IF($J11="","",INDEX('Detalle individual'!$L:$L,$J11))</f>
        <v>1</v>
      </c>
      <c r="J11">
        <f>IFERROR(MATCH(SMALL(Cálculos!$AI$5:$AI$1000,7),Cálculos!$AI$5:$AI$1000,0)+4,"")</f>
        <v>126</v>
      </c>
    </row>
    <row r="12">
      <c r="A12" s="5" t="str">
        <f>IF($J12="","",INDEX('Detalle individual'!$B:$B,$J12))</f>
        <v>CLAUDIA MARIA GIMENEZ PEREZ</v>
      </c>
      <c r="B12" s="5" t="str">
        <f>IF($J12="","",INDEX('Detalle individual'!$A:$A,$J12))</f>
        <v>53</v>
      </c>
      <c r="C12" s="5" t="str">
        <f>IF($J12="","",INDEX('Detalle individual'!$E:$E,$J12))</f>
        <v>ASISTENTE DEL CONSEJO DE ADMINISTRACION</v>
      </c>
      <c r="D12" s="5" t="str">
        <f>IF($J12="","",INDEX('Detalle individual'!$C:$C,$J12))</f>
        <v>CONSEJO DE ADMINISTRACION</v>
      </c>
      <c r="E12" s="5" t="str">
        <f>IF($J12="","",INDEX('Detalle individual'!$D:$D,$J12))</f>
        <v>Consejo de Administración</v>
      </c>
      <c r="F12" s="23">
        <f>IF($J12="","",INDEX('Detalle individual'!$H:$H,$J12))</f>
        <v>46300.658009259256</v>
      </c>
      <c r="G12" s="28">
        <f>IF($J12="","",INDEX('Detalle individual'!$J:$J,$J12))</f>
        <v>90</v>
      </c>
      <c r="H12" s="28">
        <f>IF($J12="","",INDEX('Detalle individual'!$L:$L,$J12))</f>
        <v>1</v>
      </c>
      <c r="J12">
        <f>IFERROR(MATCH(SMALL(Cálculos!$AI$5:$AI$1000,8),Cálculos!$AI$5:$AI$1000,0)+4,"")</f>
        <v>296</v>
      </c>
    </row>
    <row r="13">
      <c r="A13" s="5" t="str">
        <f>IF($J13="","",INDEX('Detalle individual'!$B:$B,$J13))</f>
        <v>GLADIS OSIRIS VALLE HERNANDEZ</v>
      </c>
      <c r="B13" s="5" t="str">
        <f>IF($J13="","",INDEX('Detalle individual'!$A:$A,$J13))</f>
        <v>609</v>
      </c>
      <c r="C13" s="5" t="str">
        <f>IF($J13="","",INDEX('Detalle individual'!$E:$E,$J13))</f>
        <v>ENFERMERA</v>
      </c>
      <c r="D13" s="5" t="str">
        <f>IF($J13="","",INDEX('Detalle individual'!$C:$C,$J13))</f>
        <v>CLINICA EMPRESARIAL</v>
      </c>
      <c r="E13" s="5" t="str">
        <f>IF($J13="","",INDEX('Detalle individual'!$D:$D,$J13))</f>
        <v>Gerencia Administrativa</v>
      </c>
      <c r="F13" s="23">
        <f>IF($J13="","",INDEX('Detalle individual'!$H:$H,$J13))</f>
        <v>46305.41128472222</v>
      </c>
      <c r="G13" s="28">
        <f>IF($J13="","",INDEX('Detalle individual'!$J:$J,$J13))</f>
        <v>100</v>
      </c>
      <c r="H13" s="28">
        <f>IF($J13="","",INDEX('Detalle individual'!$L:$L,$J13))</f>
        <v>1</v>
      </c>
      <c r="J13">
        <f>IFERROR(MATCH(SMALL(Cálculos!$AI$5:$AI$1000,9),Cálculos!$AI$5:$AI$1000,0)+4,"")</f>
        <v>55</v>
      </c>
    </row>
    <row r="14">
      <c r="A14" s="5" t="str">
        <f>IF($J14="","",INDEX('Detalle individual'!$B:$B,$J14))</f>
        <v>LORENA ELIZABETH GALDAMEZ NUÑEZ</v>
      </c>
      <c r="B14" s="5" t="str">
        <f>IF($J14="","",INDEX('Detalle individual'!$A:$A,$J14))</f>
        <v>590</v>
      </c>
      <c r="C14" s="5" t="str">
        <f>IF($J14="","",INDEX('Detalle individual'!$E:$E,$J14))</f>
        <v>MEDICO</v>
      </c>
      <c r="D14" s="5" t="str">
        <f>IF($J14="","",INDEX('Detalle individual'!$C:$C,$J14))</f>
        <v>CLINICA EMPRESARIAL</v>
      </c>
      <c r="E14" s="5" t="str">
        <f>IF($J14="","",INDEX('Detalle individual'!$D:$D,$J14))</f>
        <v>Gerencia Administrativa</v>
      </c>
      <c r="F14" s="23">
        <f>IF($J14="","",INDEX('Detalle individual'!$H:$H,$J14))</f>
        <v>46305.408738425926</v>
      </c>
      <c r="G14" s="28">
        <f>IF($J14="","",INDEX('Detalle individual'!$J:$J,$J14))</f>
        <v>100</v>
      </c>
      <c r="H14" s="28">
        <f>IF($J14="","",INDEX('Detalle individual'!$L:$L,$J14))</f>
        <v>1</v>
      </c>
      <c r="J14">
        <f>IFERROR(MATCH(SMALL(Cálculos!$AI$5:$AI$1000,10),Cálculos!$AI$5:$AI$1000,0)+4,"")</f>
        <v>54</v>
      </c>
    </row>
    <row r="15">
      <c r="A15" s="5" t="str">
        <f>IF($J15="","",INDEX('Detalle individual'!$B:$B,$J15))</f>
        <v>ALEJANDRO JOSE ARGUETA CORTEZ</v>
      </c>
      <c r="B15" s="5" t="str">
        <f>IF($J15="","",INDEX('Detalle individual'!$A:$A,$J15))</f>
        <v>949</v>
      </c>
      <c r="C15" s="5" t="str">
        <f>IF($J15="","",INDEX('Detalle individual'!$E:$E,$J15))</f>
        <v>AUXILIAR DE CUSTODIA DE VALORES</v>
      </c>
      <c r="D15" s="5" t="str">
        <f>IF($J15="","",INDEX('Detalle individual'!$C:$C,$J15))</f>
        <v>DEPARTAMENTO DE CUSTODIA DE GARANTÍA Y VALORES</v>
      </c>
      <c r="E15" s="5" t="str">
        <f>IF($J15="","",INDEX('Detalle individual'!$D:$D,$J15))</f>
        <v>Gerencia Administrativa</v>
      </c>
      <c r="F15" s="23">
        <f>IF($J15="","",INDEX('Detalle individual'!$H:$H,$J15))</f>
        <v>46304.682708333334</v>
      </c>
      <c r="G15" s="28">
        <f>IF($J15="","",INDEX('Detalle individual'!$J:$J,$J15))</f>
        <v>100</v>
      </c>
      <c r="H15" s="28">
        <f>IF($J15="","",INDEX('Detalle individual'!$L:$L,$J15))</f>
        <v>1</v>
      </c>
      <c r="J15">
        <f>IFERROR(MATCH(SMALL(Cálculos!$AI$5:$AI$1000,11),Cálculos!$AI$5:$AI$1000,0)+4,"")</f>
        <v>47</v>
      </c>
    </row>
    <row r="16">
      <c r="A16" s="5" t="str">
        <f>IF($J16="","",INDEX('Detalle individual'!$B:$B,$J16))</f>
        <v>CARLOS ALBERTO VELASQUEZ ALVARADO</v>
      </c>
      <c r="B16" s="5" t="str">
        <f>IF($J16="","",INDEX('Detalle individual'!$A:$A,$J16))</f>
        <v>678</v>
      </c>
      <c r="C16" s="5" t="str">
        <f>IF($J16="","",INDEX('Detalle individual'!$E:$E,$J16))</f>
        <v>ANALISTA DE ARCHIVO CENTRAL</v>
      </c>
      <c r="D16" s="5" t="str">
        <f>IF($J16="","",INDEX('Detalle individual'!$C:$C,$J16))</f>
        <v>DEPARTAMENTO DE CUSTODIA DE GARANTÍA Y VALORES</v>
      </c>
      <c r="E16" s="5" t="str">
        <f>IF($J16="","",INDEX('Detalle individual'!$D:$D,$J16))</f>
        <v>Gerencia Administrativa</v>
      </c>
      <c r="F16" s="23">
        <f>IF($J16="","",INDEX('Detalle individual'!$H:$H,$J16))</f>
        <v>46304.422789351855</v>
      </c>
      <c r="G16" s="28">
        <f>IF($J16="","",INDEX('Detalle individual'!$J:$J,$J16))</f>
        <v>100</v>
      </c>
      <c r="H16" s="28">
        <f>IF($J16="","",INDEX('Detalle individual'!$L:$L,$J16))</f>
        <v>1</v>
      </c>
      <c r="J16">
        <f>IFERROR(MATCH(SMALL(Cálculos!$AI$5:$AI$1000,12),Cálculos!$AI$5:$AI$1000,0)+4,"")</f>
        <v>44</v>
      </c>
    </row>
    <row r="17">
      <c r="A17" s="5" t="str">
        <f>IF($J17="","",INDEX('Detalle individual'!$B:$B,$J17))</f>
        <v>HUGO ROLANDO VELASCO RIVERA</v>
      </c>
      <c r="B17" s="5" t="str">
        <f>IF($J17="","",INDEX('Detalle individual'!$A:$A,$J17))</f>
        <v>973</v>
      </c>
      <c r="C17" s="5" t="str">
        <f>IF($J17="","",INDEX('Detalle individual'!$E:$E,$J17))</f>
        <v>AUXILIAR DE CUSTODIA DE VALORES</v>
      </c>
      <c r="D17" s="5" t="str">
        <f>IF($J17="","",INDEX('Detalle individual'!$C:$C,$J17))</f>
        <v>DEPARTAMENTO DE CUSTODIA DE GARANTÍA Y VALORES</v>
      </c>
      <c r="E17" s="5" t="str">
        <f>IF($J17="","",INDEX('Detalle individual'!$D:$D,$J17))</f>
        <v>Gerencia Administrativa</v>
      </c>
      <c r="F17" s="23">
        <f>IF($J17="","",INDEX('Detalle individual'!$H:$H,$J17))</f>
        <v>46298.51430555555</v>
      </c>
      <c r="G17" s="28">
        <f>IF($J17="","",INDEX('Detalle individual'!$J:$J,$J17))</f>
        <v>100</v>
      </c>
      <c r="H17" s="28">
        <f>IF($J17="","",INDEX('Detalle individual'!$L:$L,$J17))</f>
        <v>1</v>
      </c>
      <c r="J17">
        <f>IFERROR(MATCH(SMALL(Cálculos!$AI$5:$AI$1000,13),Cálculos!$AI$5:$AI$1000,0)+4,"")</f>
        <v>48</v>
      </c>
    </row>
    <row r="18">
      <c r="A18" s="5" t="str">
        <f>IF($J18="","",INDEX('Detalle individual'!$B:$B,$J18))</f>
        <v>JESICA XIOMARA RAMOS PEÑA</v>
      </c>
      <c r="B18" s="5" t="str">
        <f>IF($J18="","",INDEX('Detalle individual'!$A:$A,$J18))</f>
        <v>539</v>
      </c>
      <c r="C18" s="5" t="str">
        <f>IF($J18="","",INDEX('Detalle individual'!$E:$E,$J18))</f>
        <v>JEFE DE CUSTODIA DE GARANTÍA Y VALORES</v>
      </c>
      <c r="D18" s="5" t="str">
        <f>IF($J18="","",INDEX('Detalle individual'!$C:$C,$J18))</f>
        <v>DEPARTAMENTO DE CUSTODIA DE GARANTÍA Y VALORES</v>
      </c>
      <c r="E18" s="5" t="str">
        <f>IF($J18="","",INDEX('Detalle individual'!$D:$D,$J18))</f>
        <v>Gerencia Administrativa</v>
      </c>
      <c r="F18" s="23">
        <f>IF($J18="","",INDEX('Detalle individual'!$H:$H,$J18))</f>
        <v>46304.70379629629</v>
      </c>
      <c r="G18" s="28">
        <f>IF($J18="","",INDEX('Detalle individual'!$J:$J,$J18))</f>
        <v>100</v>
      </c>
      <c r="H18" s="28">
        <f>IF($J18="","",INDEX('Detalle individual'!$L:$L,$J18))</f>
        <v>1</v>
      </c>
      <c r="J18">
        <f>IFERROR(MATCH(SMALL(Cálculos!$AI$5:$AI$1000,14),Cálculos!$AI$5:$AI$1000,0)+4,"")</f>
        <v>43</v>
      </c>
    </row>
    <row r="19">
      <c r="A19" s="5" t="str">
        <f>IF($J19="","",INDEX('Detalle individual'!$B:$B,$J19))</f>
        <v>JOSE FRANCISCO ZECEÑA MUÑOZ</v>
      </c>
      <c r="B19" s="5" t="str">
        <f>IF($J19="","",INDEX('Detalle individual'!$A:$A,$J19))</f>
        <v>934</v>
      </c>
      <c r="C19" s="5" t="str">
        <f>IF($J19="","",INDEX('Detalle individual'!$E:$E,$J19))</f>
        <v>AUXILIAR DE CUSTODIA DE VALORES</v>
      </c>
      <c r="D19" s="5" t="str">
        <f>IF($J19="","",INDEX('Detalle individual'!$C:$C,$J19))</f>
        <v>DEPARTAMENTO DE CUSTODIA DE GARANTÍA Y VALORES</v>
      </c>
      <c r="E19" s="5" t="str">
        <f>IF($J19="","",INDEX('Detalle individual'!$D:$D,$J19))</f>
        <v>Gerencia Administrativa</v>
      </c>
      <c r="F19" s="23">
        <f>IF($J19="","",INDEX('Detalle individual'!$H:$H,$J19))</f>
        <v>46304.67644675926</v>
      </c>
      <c r="G19" s="28">
        <f>IF($J19="","",INDEX('Detalle individual'!$J:$J,$J19))</f>
        <v>100</v>
      </c>
      <c r="H19" s="28">
        <f>IF($J19="","",INDEX('Detalle individual'!$L:$L,$J19))</f>
        <v>1</v>
      </c>
      <c r="J19">
        <f>IFERROR(MATCH(SMALL(Cálculos!$AI$5:$AI$1000,15),Cálculos!$AI$5:$AI$1000,0)+4,"")</f>
        <v>46</v>
      </c>
    </row>
    <row r="20">
      <c r="A20" s="5" t="str">
        <f>IF($J20="","",INDEX('Detalle individual'!$B:$B,$J20))</f>
        <v>RAFAEL ERNESTO LOPEZ MARTINEZ</v>
      </c>
      <c r="B20" s="5" t="str">
        <f>IF($J20="","",INDEX('Detalle individual'!$A:$A,$J20))</f>
        <v>740</v>
      </c>
      <c r="C20" s="5" t="str">
        <f>IF($J20="","",INDEX('Detalle individual'!$E:$E,$J20))</f>
        <v>ASISTENTE ADMINISTRATIVO CUSTODIA DE GARANTIA Y VALORES</v>
      </c>
      <c r="D20" s="5" t="str">
        <f>IF($J20="","",INDEX('Detalle individual'!$C:$C,$J20))</f>
        <v>DEPARTAMENTO DE CUSTODIA DE GARANTÍA Y VALORES</v>
      </c>
      <c r="E20" s="5" t="str">
        <f>IF($J20="","",INDEX('Detalle individual'!$D:$D,$J20))</f>
        <v>Gerencia Administrativa</v>
      </c>
      <c r="F20" s="23">
        <f>IF($J20="","",INDEX('Detalle individual'!$H:$H,$J20))</f>
        <v>46304.685949074075</v>
      </c>
      <c r="G20" s="28">
        <f>IF($J20="","",INDEX('Detalle individual'!$J:$J,$J20))</f>
        <v>100</v>
      </c>
      <c r="H20" s="28">
        <f>IF($J20="","",INDEX('Detalle individual'!$L:$L,$J20))</f>
        <v>1</v>
      </c>
      <c r="J20">
        <f>IFERROR(MATCH(SMALL(Cálculos!$AI$5:$AI$1000,16),Cálculos!$AI$5:$AI$1000,0)+4,"")</f>
        <v>45</v>
      </c>
    </row>
    <row r="21">
      <c r="A21" s="5" t="str">
        <f>IF($J21="","",INDEX('Detalle individual'!$B:$B,$J21))</f>
        <v>CARLOS EDUARDO SERVELLON PEREZ</v>
      </c>
      <c r="B21" s="5" t="str">
        <f>IF($J21="","",INDEX('Detalle individual'!$A:$A,$J21))</f>
        <v>919</v>
      </c>
      <c r="C21" s="5" t="str">
        <f>IF($J21="","",INDEX('Detalle individual'!$E:$E,$J21))</f>
        <v>AUXILIAR DE EDUCACION Y RESPONSABILIDAD SOCIAL</v>
      </c>
      <c r="D21" s="5" t="str">
        <f>IF($J21="","",INDEX('Detalle individual'!$C:$C,$J21))</f>
        <v>DEPARTAMENTO DE EDUCACION Y RESPONSABILIDAD SOCIAL</v>
      </c>
      <c r="E21" s="5" t="str">
        <f>IF($J21="","",INDEX('Detalle individual'!$D:$D,$J21))</f>
        <v>Gerencia Administrativa</v>
      </c>
      <c r="F21" s="23">
        <f>IF($J21="","",INDEX('Detalle individual'!$H:$H,$J21))</f>
        <v>46310.511469907404</v>
      </c>
      <c r="G21" s="28">
        <f>IF($J21="","",INDEX('Detalle individual'!$J:$J,$J21))</f>
        <v>100</v>
      </c>
      <c r="H21" s="28">
        <f>IF($J21="","",INDEX('Detalle individual'!$L:$L,$J21))</f>
        <v>1</v>
      </c>
      <c r="J21">
        <f>IFERROR(MATCH(SMALL(Cálculos!$AI$5:$AI$1000,17),Cálculos!$AI$5:$AI$1000,0)+4,"")</f>
        <v>58</v>
      </c>
    </row>
    <row r="22">
      <c r="A22" s="5" t="str">
        <f>IF($J22="","",INDEX('Detalle individual'!$B:$B,$J22))</f>
        <v>STEPHANIE CAROLINA MALDONADO FLORES</v>
      </c>
      <c r="B22" s="5" t="str">
        <f>IF($J22="","",INDEX('Detalle individual'!$A:$A,$J22))</f>
        <v>853</v>
      </c>
      <c r="C22" s="5" t="str">
        <f>IF($J22="","",INDEX('Detalle individual'!$E:$E,$J22))</f>
        <v>ASISTENTE TECNICO DEPARTAMENTO DE EDUCACION Y RESPONSABILIDA</v>
      </c>
      <c r="D22" s="5" t="str">
        <f>IF($J22="","",INDEX('Detalle individual'!$C:$C,$J22))</f>
        <v>DEPARTAMENTO DE EDUCACION Y RESPONSABILIDAD SOCIAL</v>
      </c>
      <c r="E22" s="5" t="str">
        <f>IF($J22="","",INDEX('Detalle individual'!$D:$D,$J22))</f>
        <v>Gerencia Administrativa</v>
      </c>
      <c r="F22" s="23">
        <f>IF($J22="","",INDEX('Detalle individual'!$H:$H,$J22))</f>
        <v>46301.64635416667</v>
      </c>
      <c r="G22" s="28">
        <f>IF($J22="","",INDEX('Detalle individual'!$J:$J,$J22))</f>
        <v>100</v>
      </c>
      <c r="H22" s="28">
        <f>IF($J22="","",INDEX('Detalle individual'!$L:$L,$J22))</f>
        <v>1</v>
      </c>
      <c r="J22">
        <f>IFERROR(MATCH(SMALL(Cálculos!$AI$5:$AI$1000,18),Cálculos!$AI$5:$AI$1000,0)+4,"")</f>
        <v>57</v>
      </c>
    </row>
    <row r="23">
      <c r="A23" s="5" t="str">
        <f>IF($J23="","",INDEX('Detalle individual'!$B:$B,$J23))</f>
        <v>ZULEYMA ALEJANDRA VASQUEZ MARIN</v>
      </c>
      <c r="B23" s="5" t="str">
        <f>IF($J23="","",INDEX('Detalle individual'!$A:$A,$J23))</f>
        <v>847</v>
      </c>
      <c r="C23" s="5" t="str">
        <f>IF($J23="","",INDEX('Detalle individual'!$E:$E,$J23))</f>
        <v>JEFE DE EDUCACION Y RESPONSABILIDAD SOCIAL</v>
      </c>
      <c r="D23" s="5" t="str">
        <f>IF($J23="","",INDEX('Detalle individual'!$C:$C,$J23))</f>
        <v>DEPARTAMENTO DE EDUCACION Y RESPONSABILIDAD SOCIAL</v>
      </c>
      <c r="E23" s="5" t="str">
        <f>IF($J23="","",INDEX('Detalle individual'!$D:$D,$J23))</f>
        <v>Gerencia Administrativa</v>
      </c>
      <c r="F23" s="23">
        <f>IF($J23="","",INDEX('Detalle individual'!$H:$H,$J23))</f>
        <v>46309.741215277776</v>
      </c>
      <c r="G23" s="28">
        <f>IF($J23="","",INDEX('Detalle individual'!$J:$J,$J23))</f>
        <v>100</v>
      </c>
      <c r="H23" s="28">
        <f>IF($J23="","",INDEX('Detalle individual'!$L:$L,$J23))</f>
        <v>1</v>
      </c>
      <c r="J23">
        <f>IFERROR(MATCH(SMALL(Cálculos!$AI$5:$AI$1000,19),Cálculos!$AI$5:$AI$1000,0)+4,"")</f>
        <v>56</v>
      </c>
    </row>
    <row r="24">
      <c r="A24" s="5" t="str">
        <f>IF($J24="","",INDEX('Detalle individual'!$B:$B,$J24))</f>
        <v>CARLOS ALEJANDRO MARAVILLA MENDEZ</v>
      </c>
      <c r="B24" s="5" t="str">
        <f>IF($J24="","",INDEX('Detalle individual'!$A:$A,$J24))</f>
        <v>901</v>
      </c>
      <c r="C24" s="5" t="str">
        <f>IF($J24="","",INDEX('Detalle individual'!$E:$E,$J24))</f>
        <v>OPERADOR DE MONITOREO DE LOS SISTEMAS DE SEGURIDAD</v>
      </c>
      <c r="D24" s="5" t="str">
        <f>IF($J24="","",INDEX('Detalle individual'!$C:$C,$J24))</f>
        <v>DEPARTAMENTO DE SEGURIDAD</v>
      </c>
      <c r="E24" s="5" t="str">
        <f>IF($J24="","",INDEX('Detalle individual'!$D:$D,$J24))</f>
        <v>Gerencia Administrativa</v>
      </c>
      <c r="F24" s="23">
        <f>IF($J24="","",INDEX('Detalle individual'!$H:$H,$J24))</f>
        <v>46296.45633101852</v>
      </c>
      <c r="G24" s="28">
        <f>IF($J24="","",INDEX('Detalle individual'!$J:$J,$J24))</f>
        <v>100</v>
      </c>
      <c r="H24" s="28">
        <f>IF($J24="","",INDEX('Detalle individual'!$L:$L,$J24))</f>
        <v>1</v>
      </c>
      <c r="J24">
        <f>IFERROR(MATCH(SMALL(Cálculos!$AI$5:$AI$1000,20),Cálculos!$AI$5:$AI$1000,0)+4,"")</f>
        <v>53</v>
      </c>
    </row>
    <row r="25">
      <c r="A25" s="5" t="str">
        <f>IF($J25="","",INDEX('Detalle individual'!$B:$B,$J25))</f>
        <v>SERGIO ARTURO CALDERON SALAZAR</v>
      </c>
      <c r="B25" s="5" t="str">
        <f>IF($J25="","",INDEX('Detalle individual'!$A:$A,$J25))</f>
        <v>452</v>
      </c>
      <c r="C25" s="5" t="str">
        <f>IF($J25="","",INDEX('Detalle individual'!$E:$E,$J25))</f>
        <v>COORDINADOR DE SEGURIDAD</v>
      </c>
      <c r="D25" s="5" t="str">
        <f>IF($J25="","",INDEX('Detalle individual'!$C:$C,$J25))</f>
        <v>DEPARTAMENTO DE SEGURIDAD</v>
      </c>
      <c r="E25" s="5" t="str">
        <f>IF($J25="","",INDEX('Detalle individual'!$D:$D,$J25))</f>
        <v>Gerencia Administrativa</v>
      </c>
      <c r="F25" s="23">
        <f>IF($J25="","",INDEX('Detalle individual'!$H:$H,$J25))</f>
        <v>46296.46072916667</v>
      </c>
      <c r="G25" s="28">
        <f>IF($J25="","",INDEX('Detalle individual'!$J:$J,$J25))</f>
        <v>90</v>
      </c>
      <c r="H25" s="28">
        <f>IF($J25="","",INDEX('Detalle individual'!$L:$L,$J25))</f>
        <v>1</v>
      </c>
      <c r="J25">
        <f>IFERROR(MATCH(SMALL(Cálculos!$AI$5:$AI$1000,21),Cálculos!$AI$5:$AI$1000,0)+4,"")</f>
        <v>52</v>
      </c>
    </row>
    <row r="26">
      <c r="A26" s="5" t="str">
        <f>IF($J26="","",INDEX('Detalle individual'!$B:$B,$J26))</f>
        <v>ANDRES VLADIMIR LUNA GUEVARA</v>
      </c>
      <c r="B26" s="5" t="str">
        <f>IF($J26="","",INDEX('Detalle individual'!$A:$A,$J26))</f>
        <v>926</v>
      </c>
      <c r="C26" s="5" t="str">
        <f>IF($J26="","",INDEX('Detalle individual'!$E:$E,$J26))</f>
        <v>MENSAJERO</v>
      </c>
      <c r="D26" s="5" t="str">
        <f>IF($J26="","",INDEX('Detalle individual'!$C:$C,$J26))</f>
        <v>DEPARTAMENTO DE SERVICIOS GENERALES</v>
      </c>
      <c r="E26" s="5" t="str">
        <f>IF($J26="","",INDEX('Detalle individual'!$D:$D,$J26))</f>
        <v>Gerencia Administrativa</v>
      </c>
      <c r="F26" s="23">
        <f>IF($J26="","",INDEX('Detalle individual'!$H:$H,$J26))</f>
        <v>46300.60789351852</v>
      </c>
      <c r="G26" s="28">
        <f>IF($J26="","",INDEX('Detalle individual'!$J:$J,$J26))</f>
        <v>90</v>
      </c>
      <c r="H26" s="28">
        <f>IF($J26="","",INDEX('Detalle individual'!$L:$L,$J26))</f>
        <v>1</v>
      </c>
      <c r="J26">
        <f>IFERROR(MATCH(SMALL(Cálculos!$AI$5:$AI$1000,22),Cálculos!$AI$5:$AI$1000,0)+4,"")</f>
        <v>40</v>
      </c>
    </row>
    <row r="27">
      <c r="A27" s="5" t="str">
        <f>IF($J27="","",INDEX('Detalle individual'!$B:$B,$J27))</f>
        <v>BELLY EMERSON RIVERA ASCENCIO</v>
      </c>
      <c r="B27" s="5" t="str">
        <f>IF($J27="","",INDEX('Detalle individual'!$A:$A,$J27))</f>
        <v>875</v>
      </c>
      <c r="C27" s="5" t="str">
        <f>IF($J27="","",INDEX('Detalle individual'!$E:$E,$J27))</f>
        <v>SERVICIOS VARIOS</v>
      </c>
      <c r="D27" s="5" t="str">
        <f>IF($J27="","",INDEX('Detalle individual'!$C:$C,$J27))</f>
        <v>DEPARTAMENTO DE SERVICIOS GENERALES</v>
      </c>
      <c r="E27" s="5" t="str">
        <f>IF($J27="","",INDEX('Detalle individual'!$D:$D,$J27))</f>
        <v>Gerencia Administrativa</v>
      </c>
      <c r="F27" s="23">
        <f>IF($J27="","",INDEX('Detalle individual'!$H:$H,$J27))</f>
        <v>46298.41583333333</v>
      </c>
      <c r="G27" s="28">
        <f>IF($J27="","",INDEX('Detalle individual'!$J:$J,$J27))</f>
        <v>100</v>
      </c>
      <c r="H27" s="28">
        <f>IF($J27="","",INDEX('Detalle individual'!$L:$L,$J27))</f>
        <v>1</v>
      </c>
      <c r="J27">
        <f>IFERROR(MATCH(SMALL(Cálculos!$AI$5:$AI$1000,23),Cálculos!$AI$5:$AI$1000,0)+4,"")</f>
        <v>39</v>
      </c>
    </row>
    <row r="28">
      <c r="A28" s="5" t="str">
        <f>IF($J28="","",INDEX('Detalle individual'!$B:$B,$J28))</f>
        <v>CELINA CECILIA ANZORA BERNAL</v>
      </c>
      <c r="B28" s="5" t="str">
        <f>IF($J28="","",INDEX('Detalle individual'!$A:$A,$J28))</f>
        <v>387</v>
      </c>
      <c r="C28" s="5" t="str">
        <f>IF($J28="","",INDEX('Detalle individual'!$E:$E,$J28))</f>
        <v>SERVICIOS VARIOS</v>
      </c>
      <c r="D28" s="5" t="str">
        <f>IF($J28="","",INDEX('Detalle individual'!$C:$C,$J28))</f>
        <v>DEPARTAMENTO DE SERVICIOS GENERALES</v>
      </c>
      <c r="E28" s="5" t="str">
        <f>IF($J28="","",INDEX('Detalle individual'!$D:$D,$J28))</f>
        <v>Gerencia Administrativa</v>
      </c>
      <c r="F28" s="23">
        <f>IF($J28="","",INDEX('Detalle individual'!$H:$H,$J28))</f>
        <v>46298.4184375</v>
      </c>
      <c r="G28" s="28">
        <f>IF($J28="","",INDEX('Detalle individual'!$J:$J,$J28))</f>
        <v>90</v>
      </c>
      <c r="H28" s="28">
        <f>IF($J28="","",INDEX('Detalle individual'!$L:$L,$J28))</f>
        <v>1</v>
      </c>
      <c r="J28">
        <f>IFERROR(MATCH(SMALL(Cálculos!$AI$5:$AI$1000,24),Cálculos!$AI$5:$AI$1000,0)+4,"")</f>
        <v>29</v>
      </c>
    </row>
    <row r="29">
      <c r="A29" s="5" t="str">
        <f>IF($J29="","",INDEX('Detalle individual'!$B:$B,$J29))</f>
        <v>CHRISTIAN GEORGE FIGUEROA BLANCO</v>
      </c>
      <c r="B29" s="5" t="str">
        <f>IF($J29="","",INDEX('Detalle individual'!$A:$A,$J29))</f>
        <v>803</v>
      </c>
      <c r="C29" s="5" t="str">
        <f>IF($J29="","",INDEX('Detalle individual'!$E:$E,$J29))</f>
        <v>MENSAJERO</v>
      </c>
      <c r="D29" s="5" t="str">
        <f>IF($J29="","",INDEX('Detalle individual'!$C:$C,$J29))</f>
        <v>DEPARTAMENTO DE SERVICIOS GENERALES</v>
      </c>
      <c r="E29" s="5" t="str">
        <f>IF($J29="","",INDEX('Detalle individual'!$D:$D,$J29))</f>
        <v>Gerencia Administrativa</v>
      </c>
      <c r="F29" s="23">
        <f>IF($J29="","",INDEX('Detalle individual'!$H:$H,$J29))</f>
        <v>46300.70883101852</v>
      </c>
      <c r="G29" s="28">
        <f>IF($J29="","",INDEX('Detalle individual'!$J:$J,$J29))</f>
        <v>60</v>
      </c>
      <c r="H29" s="28">
        <f>IF($J29="","",INDEX('Detalle individual'!$L:$L,$J29))</f>
        <v>1</v>
      </c>
      <c r="J29">
        <f>IFERROR(MATCH(SMALL(Cálculos!$AI$5:$AI$1000,25),Cálculos!$AI$5:$AI$1000,0)+4,"")</f>
        <v>36</v>
      </c>
    </row>
    <row r="30">
      <c r="A30" s="5" t="str">
        <f>IF($J30="","",INDEX('Detalle individual'!$B:$B,$J30))</f>
        <v>GEOVANNY GABRIEL RODRIGUEZ SOLORZANO</v>
      </c>
      <c r="B30" s="5" t="str">
        <f>IF($J30="","",INDEX('Detalle individual'!$A:$A,$J30))</f>
        <v>972</v>
      </c>
      <c r="C30" s="5" t="str">
        <f>IF($J30="","",INDEX('Detalle individual'!$E:$E,$J30))</f>
        <v>AUXILIAR DE ACTIVO FIJO Y ALMACEN</v>
      </c>
      <c r="D30" s="5" t="str">
        <f>IF($J30="","",INDEX('Detalle individual'!$C:$C,$J30))</f>
        <v>DEPARTAMENTO DE SERVICIOS GENERALES</v>
      </c>
      <c r="E30" s="5" t="str">
        <f>IF($J30="","",INDEX('Detalle individual'!$D:$D,$J30))</f>
        <v>Gerencia Administrativa</v>
      </c>
      <c r="F30" s="23">
        <f>IF($J30="","",INDEX('Detalle individual'!$H:$H,$J30))</f>
        <v>46304.520787037036</v>
      </c>
      <c r="G30" s="28">
        <f>IF($J30="","",INDEX('Detalle individual'!$J:$J,$J30))</f>
        <v>90</v>
      </c>
      <c r="H30" s="28">
        <f>IF($J30="","",INDEX('Detalle individual'!$L:$L,$J30))</f>
        <v>1</v>
      </c>
      <c r="J30">
        <f>IFERROR(MATCH(SMALL(Cálculos!$AI$5:$AI$1000,26),Cálculos!$AI$5:$AI$1000,0)+4,"")</f>
        <v>42</v>
      </c>
    </row>
    <row r="31">
      <c r="A31" s="5" t="str">
        <f>IF($J31="","",INDEX('Detalle individual'!$B:$B,$J31))</f>
        <v>GERMAN ALBERTO CAMPOS TORRES</v>
      </c>
      <c r="B31" s="5" t="str">
        <f>IF($J31="","",INDEX('Detalle individual'!$A:$A,$J31))</f>
        <v>830</v>
      </c>
      <c r="C31" s="5" t="str">
        <f>IF($J31="","",INDEX('Detalle individual'!$E:$E,$J31))</f>
        <v>TECNICO EN MANTENIMIENTO</v>
      </c>
      <c r="D31" s="5" t="str">
        <f>IF($J31="","",INDEX('Detalle individual'!$C:$C,$J31))</f>
        <v>DEPARTAMENTO DE SERVICIOS GENERALES</v>
      </c>
      <c r="E31" s="5" t="str">
        <f>IF($J31="","",INDEX('Detalle individual'!$D:$D,$J31))</f>
        <v>Gerencia Administrativa</v>
      </c>
      <c r="F31" s="23">
        <f>IF($J31="","",INDEX('Detalle individual'!$H:$H,$J31))</f>
        <v>46307.402291666665</v>
      </c>
      <c r="G31" s="28">
        <f>IF($J31="","",INDEX('Detalle individual'!$J:$J,$J31))</f>
        <v>100</v>
      </c>
      <c r="H31" s="28">
        <f>IF($J31="","",INDEX('Detalle individual'!$L:$L,$J31))</f>
        <v>2</v>
      </c>
      <c r="J31">
        <f>IFERROR(MATCH(SMALL(Cálculos!$AI$5:$AI$1000,27),Cálculos!$AI$5:$AI$1000,0)+4,"")</f>
        <v>37</v>
      </c>
    </row>
    <row r="32">
      <c r="A32" s="5" t="str">
        <f>IF($J32="","",INDEX('Detalle individual'!$B:$B,$J32))</f>
        <v>ILIANA CAROLINA FLAMENCO FLORES</v>
      </c>
      <c r="B32" s="5" t="str">
        <f>IF($J32="","",INDEX('Detalle individual'!$A:$A,$J32))</f>
        <v>684</v>
      </c>
      <c r="C32" s="5" t="str">
        <f>IF($J32="","",INDEX('Detalle individual'!$E:$E,$J32))</f>
        <v>SERVICIOS VARIOS</v>
      </c>
      <c r="D32" s="5" t="str">
        <f>IF($J32="","",INDEX('Detalle individual'!$C:$C,$J32))</f>
        <v>DEPARTAMENTO DE SERVICIOS GENERALES</v>
      </c>
      <c r="E32" s="5" t="str">
        <f>IF($J32="","",INDEX('Detalle individual'!$D:$D,$J32))</f>
        <v>Gerencia Administrativa</v>
      </c>
      <c r="F32" s="23">
        <f>IF($J32="","",INDEX('Detalle individual'!$H:$H,$J32))</f>
        <v>46298.300208333334</v>
      </c>
      <c r="G32" s="28">
        <f>IF($J32="","",INDEX('Detalle individual'!$J:$J,$J32))</f>
        <v>80</v>
      </c>
      <c r="H32" s="28">
        <f>IF($J32="","",INDEX('Detalle individual'!$L:$L,$J32))</f>
        <v>1</v>
      </c>
      <c r="J32">
        <f>IFERROR(MATCH(SMALL(Cálculos!$AI$5:$AI$1000,28),Cálculos!$AI$5:$AI$1000,0)+4,"")</f>
        <v>35</v>
      </c>
    </row>
    <row r="33">
      <c r="A33" s="5" t="str">
        <f>IF($J33="","",INDEX('Detalle individual'!$B:$B,$J33))</f>
        <v>JESUS REYES GUZMAN FUENTES</v>
      </c>
      <c r="B33" s="5" t="str">
        <f>IF($J33="","",INDEX('Detalle individual'!$A:$A,$J33))</f>
        <v>224</v>
      </c>
      <c r="C33" s="5" t="str">
        <f>IF($J33="","",INDEX('Detalle individual'!$E:$E,$J33))</f>
        <v>MENSAJERO</v>
      </c>
      <c r="D33" s="5" t="str">
        <f>IF($J33="","",INDEX('Detalle individual'!$C:$C,$J33))</f>
        <v>DEPARTAMENTO DE SERVICIOS GENERALES</v>
      </c>
      <c r="E33" s="5" t="str">
        <f>IF($J33="","",INDEX('Detalle individual'!$D:$D,$J33))</f>
        <v>Gerencia Administrativa</v>
      </c>
      <c r="F33" s="23">
        <f>IF($J33="","",INDEX('Detalle individual'!$H:$H,$J33))</f>
        <v>46297.84905092593</v>
      </c>
      <c r="G33" s="28">
        <f>IF($J33="","",INDEX('Detalle individual'!$J:$J,$J33))</f>
        <v>80</v>
      </c>
      <c r="H33" s="28">
        <f>IF($J33="","",INDEX('Detalle individual'!$L:$L,$J33))</f>
        <v>1</v>
      </c>
      <c r="J33">
        <f>IFERROR(MATCH(SMALL(Cálculos!$AI$5:$AI$1000,29),Cálculos!$AI$5:$AI$1000,0)+4,"")</f>
        <v>28</v>
      </c>
    </row>
    <row r="34">
      <c r="A34" s="5" t="str">
        <f>IF($J34="","",INDEX('Detalle individual'!$B:$B,$J34))</f>
        <v>JONATHAN ENRIQUE AQUINO SANCHEZ</v>
      </c>
      <c r="B34" s="5" t="str">
        <f>IF($J34="","",INDEX('Detalle individual'!$A:$A,$J34))</f>
        <v>852</v>
      </c>
      <c r="C34" s="5" t="str">
        <f>IF($J34="","",INDEX('Detalle individual'!$E:$E,$J34))</f>
        <v>SERVICIOS VARIOS</v>
      </c>
      <c r="D34" s="5" t="str">
        <f>IF($J34="","",INDEX('Detalle individual'!$C:$C,$J34))</f>
        <v>DEPARTAMENTO DE SERVICIOS GENERALES</v>
      </c>
      <c r="E34" s="5" t="str">
        <f>IF($J34="","",INDEX('Detalle individual'!$D:$D,$J34))</f>
        <v>Gerencia Administrativa</v>
      </c>
      <c r="F34" s="23">
        <f>IF($J34="","",INDEX('Detalle individual'!$H:$H,$J34))</f>
        <v>46300.53921296296</v>
      </c>
      <c r="G34" s="28">
        <f>IF($J34="","",INDEX('Detalle individual'!$J:$J,$J34))</f>
        <v>90</v>
      </c>
      <c r="H34" s="28">
        <f>IF($J34="","",INDEX('Detalle individual'!$L:$L,$J34))</f>
        <v>1</v>
      </c>
      <c r="J34">
        <f>IFERROR(MATCH(SMALL(Cálculos!$AI$5:$AI$1000,30),Cálculos!$AI$5:$AI$1000,0)+4,"")</f>
        <v>38</v>
      </c>
    </row>
    <row r="35">
      <c r="A35" s="5" t="str">
        <f>IF($J35="","",INDEX('Detalle individual'!$B:$B,$J35))</f>
        <v>JOSE ROSALIO GARCIA SOTO</v>
      </c>
      <c r="B35" s="5" t="str">
        <f>IF($J35="","",INDEX('Detalle individual'!$A:$A,$J35))</f>
        <v>587</v>
      </c>
      <c r="C35" s="5" t="str">
        <f>IF($J35="","",INDEX('Detalle individual'!$E:$E,$J35))</f>
        <v>JARDINERO</v>
      </c>
      <c r="D35" s="5" t="str">
        <f>IF($J35="","",INDEX('Detalle individual'!$C:$C,$J35))</f>
        <v>DEPARTAMENTO DE SERVICIOS GENERALES</v>
      </c>
      <c r="E35" s="5" t="str">
        <f>IF($J35="","",INDEX('Detalle individual'!$D:$D,$J35))</f>
        <v>Gerencia Administrativa</v>
      </c>
      <c r="F35" s="23">
        <f>IF($J35="","",INDEX('Detalle individual'!$H:$H,$J35))</f>
        <v>46298.41559027778</v>
      </c>
      <c r="G35" s="28">
        <f>IF($J35="","",INDEX('Detalle individual'!$J:$J,$J35))</f>
        <v>90</v>
      </c>
      <c r="H35" s="28">
        <f>IF($J35="","",INDEX('Detalle individual'!$L:$L,$J35))</f>
        <v>1</v>
      </c>
      <c r="J35">
        <f>IFERROR(MATCH(SMALL(Cálculos!$AI$5:$AI$1000,31),Cálculos!$AI$5:$AI$1000,0)+4,"")</f>
        <v>33</v>
      </c>
    </row>
    <row r="36">
      <c r="A36" s="5" t="str">
        <f>IF($J36="","",INDEX('Detalle individual'!$B:$B,$J36))</f>
        <v>LEONEL EDGARDO SALAZAR RAMIREZ</v>
      </c>
      <c r="B36" s="5" t="str">
        <f>IF($J36="","",INDEX('Detalle individual'!$A:$A,$J36))</f>
        <v>55</v>
      </c>
      <c r="C36" s="5" t="str">
        <f>IF($J36="","",INDEX('Detalle individual'!$E:$E,$J36))</f>
        <v>MENSAJERO</v>
      </c>
      <c r="D36" s="5" t="str">
        <f>IF($J36="","",INDEX('Detalle individual'!$C:$C,$J36))</f>
        <v>DEPARTAMENTO DE SERVICIOS GENERALES</v>
      </c>
      <c r="E36" s="5" t="str">
        <f>IF($J36="","",INDEX('Detalle individual'!$D:$D,$J36))</f>
        <v>Gerencia Administrativa</v>
      </c>
      <c r="F36" s="23">
        <f>IF($J36="","",INDEX('Detalle individual'!$H:$H,$J36))</f>
        <v>46300.81421296296</v>
      </c>
      <c r="G36" s="28">
        <f>IF($J36="","",INDEX('Detalle individual'!$J:$J,$J36))</f>
        <v>90</v>
      </c>
      <c r="H36" s="28">
        <f>IF($J36="","",INDEX('Detalle individual'!$L:$L,$J36))</f>
        <v>1</v>
      </c>
      <c r="J36">
        <f>IFERROR(MATCH(SMALL(Cálculos!$AI$5:$AI$1000,32),Cálculos!$AI$5:$AI$1000,0)+4,"")</f>
        <v>26</v>
      </c>
    </row>
    <row r="37">
      <c r="A37" s="5" t="str">
        <f>IF($J37="","",INDEX('Detalle individual'!$B:$B,$J37))</f>
        <v>MAIRA ELIZABETH PEREZ LEIVA</v>
      </c>
      <c r="B37" s="5" t="str">
        <f>IF($J37="","",INDEX('Detalle individual'!$A:$A,$J37))</f>
        <v>599</v>
      </c>
      <c r="C37" s="5" t="str">
        <f>IF($J37="","",INDEX('Detalle individual'!$E:$E,$J37))</f>
        <v>JEFE DE SERVICIOS GENERALES</v>
      </c>
      <c r="D37" s="5" t="str">
        <f>IF($J37="","",INDEX('Detalle individual'!$C:$C,$J37))</f>
        <v>DEPARTAMENTO DE SERVICIOS GENERALES</v>
      </c>
      <c r="E37" s="5" t="str">
        <f>IF($J37="","",INDEX('Detalle individual'!$D:$D,$J37))</f>
        <v>Gerencia Administrativa</v>
      </c>
      <c r="F37" s="23">
        <f>IF($J37="","",INDEX('Detalle individual'!$H:$H,$J37))</f>
        <v>46300.748703703706</v>
      </c>
      <c r="G37" s="28">
        <f>IF($J37="","",INDEX('Detalle individual'!$J:$J,$J37))</f>
        <v>100</v>
      </c>
      <c r="H37" s="28">
        <f>IF($J37="","",INDEX('Detalle individual'!$L:$L,$J37))</f>
        <v>1</v>
      </c>
      <c r="J37">
        <f>IFERROR(MATCH(SMALL(Cálculos!$AI$5:$AI$1000,33),Cálculos!$AI$5:$AI$1000,0)+4,"")</f>
        <v>34</v>
      </c>
    </row>
    <row r="38">
      <c r="A38" s="5" t="str">
        <f>IF($J38="","",INDEX('Detalle individual'!$B:$B,$J38))</f>
        <v>MARGARITA GUADALUPE HENRIQUEZ ELIAS</v>
      </c>
      <c r="B38" s="5" t="str">
        <f>IF($J38="","",INDEX('Detalle individual'!$A:$A,$J38))</f>
        <v>522</v>
      </c>
      <c r="C38" s="5" t="str">
        <f>IF($J38="","",INDEX('Detalle individual'!$E:$E,$J38))</f>
        <v>SERVICIOS VARIOS</v>
      </c>
      <c r="D38" s="5" t="str">
        <f>IF($J38="","",INDEX('Detalle individual'!$C:$C,$J38))</f>
        <v>DEPARTAMENTO DE SERVICIOS GENERALES</v>
      </c>
      <c r="E38" s="5" t="str">
        <f>IF($J38="","",INDEX('Detalle individual'!$D:$D,$J38))</f>
        <v>Gerencia Administrativa</v>
      </c>
      <c r="F38" s="23">
        <f>IF($J38="","",INDEX('Detalle individual'!$H:$H,$J38))</f>
        <v>46297.85355324074</v>
      </c>
      <c r="G38" s="28">
        <f>IF($J38="","",INDEX('Detalle individual'!$J:$J,$J38))</f>
        <v>85</v>
      </c>
      <c r="H38" s="28">
        <f>IF($J38="","",INDEX('Detalle individual'!$L:$L,$J38))</f>
        <v>1</v>
      </c>
      <c r="J38">
        <f>IFERROR(MATCH(SMALL(Cálculos!$AI$5:$AI$1000,34),Cálculos!$AI$5:$AI$1000,0)+4,"")</f>
        <v>32</v>
      </c>
    </row>
    <row r="39">
      <c r="A39" s="5" t="str">
        <f>IF($J39="","",INDEX('Detalle individual'!$B:$B,$J39))</f>
        <v>MARIA GUADALUPE MARTINEZ MURCIA</v>
      </c>
      <c r="B39" s="5" t="str">
        <f>IF($J39="","",INDEX('Detalle individual'!$A:$A,$J39))</f>
        <v>222</v>
      </c>
      <c r="C39" s="5" t="str">
        <f>IF($J39="","",INDEX('Detalle individual'!$E:$E,$J39))</f>
        <v>AUXILIAR DE COMPRAS</v>
      </c>
      <c r="D39" s="5" t="str">
        <f>IF($J39="","",INDEX('Detalle individual'!$C:$C,$J39))</f>
        <v>DEPARTAMENTO DE SERVICIOS GENERALES</v>
      </c>
      <c r="E39" s="5" t="str">
        <f>IF($J39="","",INDEX('Detalle individual'!$D:$D,$J39))</f>
        <v>Gerencia Administrativa</v>
      </c>
      <c r="F39" s="23">
        <f>IF($J39="","",INDEX('Detalle individual'!$H:$H,$J39))</f>
        <v>46300.665671296294</v>
      </c>
      <c r="G39" s="28">
        <f>IF($J39="","",INDEX('Detalle individual'!$J:$J,$J39))</f>
        <v>100</v>
      </c>
      <c r="H39" s="28">
        <f>IF($J39="","",INDEX('Detalle individual'!$L:$L,$J39))</f>
        <v>1</v>
      </c>
      <c r="J39">
        <f>IFERROR(MATCH(SMALL(Cálculos!$AI$5:$AI$1000,35),Cálculos!$AI$5:$AI$1000,0)+4,"")</f>
        <v>27</v>
      </c>
    </row>
    <row r="40">
      <c r="A40" s="5" t="str">
        <f>IF($J40="","",INDEX('Detalle individual'!$B:$B,$J40))</f>
        <v>MARIO ROSALES VASQUEZ</v>
      </c>
      <c r="B40" s="5" t="str">
        <f>IF($J40="","",INDEX('Detalle individual'!$A:$A,$J40))</f>
        <v>430</v>
      </c>
      <c r="C40" s="5" t="str">
        <f>IF($J40="","",INDEX('Detalle individual'!$E:$E,$J40))</f>
        <v>MENSAJERO</v>
      </c>
      <c r="D40" s="5" t="str">
        <f>IF($J40="","",INDEX('Detalle individual'!$C:$C,$J40))</f>
        <v>DEPARTAMENTO DE SERVICIOS GENERALES</v>
      </c>
      <c r="E40" s="5" t="str">
        <f>IF($J40="","",INDEX('Detalle individual'!$D:$D,$J40))</f>
        <v>Gerencia Administrativa</v>
      </c>
      <c r="F40" s="23">
        <f>IF($J40="","",INDEX('Detalle individual'!$H:$H,$J40))</f>
        <v>46300.40560185185</v>
      </c>
      <c r="G40" s="28">
        <f>IF($J40="","",INDEX('Detalle individual'!$J:$J,$J40))</f>
        <v>100</v>
      </c>
      <c r="H40" s="28">
        <f>IF($J40="","",INDEX('Detalle individual'!$L:$L,$J40))</f>
        <v>2</v>
      </c>
      <c r="J40">
        <f>IFERROR(MATCH(SMALL(Cálculos!$AI$5:$AI$1000,36),Cálculos!$AI$5:$AI$1000,0)+4,"")</f>
        <v>30</v>
      </c>
    </row>
    <row r="41">
      <c r="A41" s="5" t="str">
        <f>IF($J41="","",INDEX('Detalle individual'!$B:$B,$J41))</f>
        <v>MAURICIO ANTONIO RAMIREZ PEREZ</v>
      </c>
      <c r="B41" s="5" t="str">
        <f>IF($J41="","",INDEX('Detalle individual'!$A:$A,$J41))</f>
        <v>436</v>
      </c>
      <c r="C41" s="5" t="str">
        <f>IF($J41="","",INDEX('Detalle individual'!$E:$E,$J41))</f>
        <v>AUXILIAR DE MANTENIMIENTO</v>
      </c>
      <c r="D41" s="5" t="str">
        <f>IF($J41="","",INDEX('Detalle individual'!$C:$C,$J41))</f>
        <v>DEPARTAMENTO DE SERVICIOS GENERALES</v>
      </c>
      <c r="E41" s="5" t="str">
        <f>IF($J41="","",INDEX('Detalle individual'!$D:$D,$J41))</f>
        <v>Gerencia Administrativa</v>
      </c>
      <c r="F41" s="23">
        <f>IF($J41="","",INDEX('Detalle individual'!$H:$H,$J41))</f>
        <v>46306.43788194445</v>
      </c>
      <c r="G41" s="28">
        <f>IF($J41="","",INDEX('Detalle individual'!$J:$J,$J41))</f>
        <v>90</v>
      </c>
      <c r="H41" s="28">
        <f>IF($J41="","",INDEX('Detalle individual'!$L:$L,$J41))</f>
        <v>1</v>
      </c>
      <c r="J41">
        <f>IFERROR(MATCH(SMALL(Cálculos!$AI$5:$AI$1000,37),Cálculos!$AI$5:$AI$1000,0)+4,"")</f>
        <v>31</v>
      </c>
    </row>
    <row r="42">
      <c r="A42" s="5" t="str">
        <f>IF($J42="","",INDEX('Detalle individual'!$B:$B,$J42))</f>
        <v>XIOMARA JEANNETTE ESCOBAR PORTILLO</v>
      </c>
      <c r="B42" s="5" t="str">
        <f>IF($J42="","",INDEX('Detalle individual'!$A:$A,$J42))</f>
        <v>959</v>
      </c>
      <c r="C42" s="5" t="str">
        <f>IF($J42="","",INDEX('Detalle individual'!$E:$E,$J42))</f>
        <v>SERVICIOS VARIOS</v>
      </c>
      <c r="D42" s="5" t="str">
        <f>IF($J42="","",INDEX('Detalle individual'!$C:$C,$J42))</f>
        <v>DEPARTAMENTO DE SERVICIOS GENERALES</v>
      </c>
      <c r="E42" s="5" t="str">
        <f>IF($J42="","",INDEX('Detalle individual'!$D:$D,$J42))</f>
        <v>Gerencia Administrativa</v>
      </c>
      <c r="F42" s="23">
        <f>IF($J42="","",INDEX('Detalle individual'!$H:$H,$J42))</f>
        <v>46297.78946759259</v>
      </c>
      <c r="G42" s="28">
        <f>IF($J42="","",INDEX('Detalle individual'!$J:$J,$J42))</f>
        <v>90</v>
      </c>
      <c r="H42" s="28">
        <f>IF($J42="","",INDEX('Detalle individual'!$L:$L,$J42))</f>
        <v>1</v>
      </c>
      <c r="J42">
        <f>IFERROR(MATCH(SMALL(Cálculos!$AI$5:$AI$1000,38),Cálculos!$AI$5:$AI$1000,0)+4,"")</f>
        <v>41</v>
      </c>
    </row>
    <row r="43">
      <c r="A43" s="5" t="str">
        <f>IF($J43="","",INDEX('Detalle individual'!$B:$B,$J43))</f>
        <v>HELEN GLORIBEL PLATERO SANCHEZ</v>
      </c>
      <c r="B43" s="5" t="str">
        <f>IF($J43="","",INDEX('Detalle individual'!$A:$A,$J43))</f>
        <v>962</v>
      </c>
      <c r="C43" s="5" t="str">
        <f>IF($J43="","",INDEX('Detalle individual'!$E:$E,$J43))</f>
        <v>ANALISTA DE DESARROLLO ORGANIZACIONAL</v>
      </c>
      <c r="D43" s="5" t="str">
        <f>IF($J43="","",INDEX('Detalle individual'!$C:$C,$J43))</f>
        <v>DEPARTAMENTO DE TALENTO HUMANO</v>
      </c>
      <c r="E43" s="5" t="str">
        <f>IF($J43="","",INDEX('Detalle individual'!$D:$D,$J43))</f>
        <v>Gerencia Administrativa</v>
      </c>
      <c r="F43" s="23">
        <f>IF($J43="","",INDEX('Detalle individual'!$H:$H,$J43))</f>
        <v>46304.52142361111</v>
      </c>
      <c r="G43" s="28">
        <f>IF($J43="","",INDEX('Detalle individual'!$J:$J,$J43))</f>
        <v>90</v>
      </c>
      <c r="H43" s="28">
        <f>IF($J43="","",INDEX('Detalle individual'!$L:$L,$J43))</f>
        <v>1</v>
      </c>
      <c r="J43">
        <f>IFERROR(MATCH(SMALL(Cálculos!$AI$5:$AI$1000,39),Cálculos!$AI$5:$AI$1000,0)+4,"")</f>
        <v>51</v>
      </c>
    </row>
    <row r="44">
      <c r="A44" s="5" t="str">
        <f>IF($J44="","",INDEX('Detalle individual'!$B:$B,$J44))</f>
        <v>NELSON KILDER QUIJADA ECHEVERRIA</v>
      </c>
      <c r="B44" s="5" t="str">
        <f>IF($J44="","",INDEX('Detalle individual'!$A:$A,$J44))</f>
        <v>948</v>
      </c>
      <c r="C44" s="5" t="str">
        <f>IF($J44="","",INDEX('Detalle individual'!$E:$E,$J44))</f>
        <v>ASISTENTE TECNICO DE TALENTO HUMANO</v>
      </c>
      <c r="D44" s="5" t="str">
        <f>IF($J44="","",INDEX('Detalle individual'!$C:$C,$J44))</f>
        <v>DEPARTAMENTO DE TALENTO HUMANO</v>
      </c>
      <c r="E44" s="5" t="str">
        <f>IF($J44="","",INDEX('Detalle individual'!$D:$D,$J44))</f>
        <v>Gerencia Administrativa</v>
      </c>
      <c r="F44" s="23">
        <f>IF($J44="","",INDEX('Detalle individual'!$H:$H,$J44))</f>
        <v>46304.406006944446</v>
      </c>
      <c r="G44" s="28">
        <f>IF($J44="","",INDEX('Detalle individual'!$J:$J,$J44))</f>
        <v>100</v>
      </c>
      <c r="H44" s="28">
        <f>IF($J44="","",INDEX('Detalle individual'!$L:$L,$J44))</f>
        <v>1</v>
      </c>
      <c r="J44">
        <f>IFERROR(MATCH(SMALL(Cálculos!$AI$5:$AI$1000,40),Cálculos!$AI$5:$AI$1000,0)+4,"")</f>
        <v>50</v>
      </c>
    </row>
    <row r="45">
      <c r="A45" s="5" t="str">
        <f>IF($J45="","",INDEX('Detalle individual'!$B:$B,$J45))</f>
        <v>CARLA EUGENIA HERNANDEZ MENJIVAR</v>
      </c>
      <c r="B45" s="5" t="str">
        <f>IF($J45="","",INDEX('Detalle individual'!$A:$A,$J45))</f>
        <v>349</v>
      </c>
      <c r="C45" s="5" t="str">
        <f>IF($J45="","",INDEX('Detalle individual'!$E:$E,$J45))</f>
        <v>GERENTE ADMINISTRATIVA</v>
      </c>
      <c r="D45" s="5" t="str">
        <f>IF($J45="","",INDEX('Detalle individual'!$C:$C,$J45))</f>
        <v>GERENCIA ADMINISTRATIVA</v>
      </c>
      <c r="E45" s="5" t="str">
        <f>IF($J45="","",INDEX('Detalle individual'!$D:$D,$J45))</f>
        <v>Gerencia Administrativa</v>
      </c>
      <c r="F45" s="23">
        <f>IF($J45="","",INDEX('Detalle individual'!$H:$H,$J45))</f>
        <v>46297.63836805556</v>
      </c>
      <c r="G45" s="28">
        <f>IF($J45="","",INDEX('Detalle individual'!$J:$J,$J45))</f>
        <v>100</v>
      </c>
      <c r="H45" s="28">
        <f>IF($J45="","",INDEX('Detalle individual'!$L:$L,$J45))</f>
        <v>1</v>
      </c>
      <c r="J45">
        <f>IFERROR(MATCH(SMALL(Cálculos!$AI$5:$AI$1000,41),Cálculos!$AI$5:$AI$1000,0)+4,"")</f>
        <v>6</v>
      </c>
    </row>
    <row r="46">
      <c r="A46" s="5" t="str">
        <f>IF($J46="","",INDEX('Detalle individual'!$B:$B,$J46))</f>
        <v>MARTA LILLIAN VIGIL QUIJANO</v>
      </c>
      <c r="B46" s="5" t="str">
        <f>IF($J46="","",INDEX('Detalle individual'!$A:$A,$J46))</f>
        <v>45</v>
      </c>
      <c r="C46" s="5" t="str">
        <f>IF($J46="","",INDEX('Detalle individual'!$E:$E,$J46))</f>
        <v>ASISTENTE ADMINISTRATIVO DE GERENCIA ADMINISTRATIVA</v>
      </c>
      <c r="D46" s="5" t="str">
        <f>IF($J46="","",INDEX('Detalle individual'!$C:$C,$J46))</f>
        <v>GERENCIA ADMINISTRATIVA</v>
      </c>
      <c r="E46" s="5" t="str">
        <f>IF($J46="","",INDEX('Detalle individual'!$D:$D,$J46))</f>
        <v>Gerencia Administrativa</v>
      </c>
      <c r="F46" s="23">
        <f>IF($J46="","",INDEX('Detalle individual'!$H:$H,$J46))</f>
        <v>46307.43666666667</v>
      </c>
      <c r="G46" s="28">
        <f>IF($J46="","",INDEX('Detalle individual'!$J:$J,$J46))</f>
        <v>100</v>
      </c>
      <c r="H46" s="28">
        <f>IF($J46="","",INDEX('Detalle individual'!$L:$L,$J46))</f>
        <v>1</v>
      </c>
      <c r="J46">
        <f>IFERROR(MATCH(SMALL(Cálculos!$AI$5:$AI$1000,42),Cálculos!$AI$5:$AI$1000,0)+4,"")</f>
        <v>25</v>
      </c>
    </row>
    <row r="47">
      <c r="A47" s="5" t="str">
        <f>IF($J47="","",INDEX('Detalle individual'!$B:$B,$J47))</f>
        <v>ALMA BEATRIZ RAMIREZ SANDOVAL</v>
      </c>
      <c r="B47" s="5" t="str">
        <f>IF($J47="","",INDEX('Detalle individual'!$A:$A,$J47))</f>
        <v>850</v>
      </c>
      <c r="C47" s="5" t="str">
        <f>IF($J47="","",INDEX('Detalle individual'!$E:$E,$J47))</f>
        <v>CONTADOR DE AGENCIA NO MONETARIA</v>
      </c>
      <c r="D47" s="5" t="str">
        <f>IF($J47="","",INDEX('Detalle individual'!$C:$C,$J47))</f>
        <v>DEPARTAMENTO DE CONTABILIDAD</v>
      </c>
      <c r="E47" s="5" t="str">
        <f>IF($J47="","",INDEX('Detalle individual'!$D:$D,$J47))</f>
        <v>Gerencia de Finanzas y Planificación</v>
      </c>
      <c r="F47" s="23">
        <f>IF($J47="","",INDEX('Detalle individual'!$H:$H,$J47))</f>
        <v>46304.4002662037</v>
      </c>
      <c r="G47" s="28">
        <f>IF($J47="","",INDEX('Detalle individual'!$J:$J,$J47))</f>
        <v>90</v>
      </c>
      <c r="H47" s="28">
        <f>IF($J47="","",INDEX('Detalle individual'!$L:$L,$J47))</f>
        <v>1</v>
      </c>
      <c r="J47">
        <f>IFERROR(MATCH(SMALL(Cálculos!$AI$5:$AI$1000,43),Cálculos!$AI$5:$AI$1000,0)+4,"")</f>
        <v>95</v>
      </c>
    </row>
    <row r="48">
      <c r="A48" s="5" t="str">
        <f>IF($J48="","",INDEX('Detalle individual'!$B:$B,$J48))</f>
        <v>BRIAN ADONAY BARRERA ALVARADO</v>
      </c>
      <c r="B48" s="5" t="str">
        <f>IF($J48="","",INDEX('Detalle individual'!$A:$A,$J48))</f>
        <v>784</v>
      </c>
      <c r="C48" s="5" t="str">
        <f>IF($J48="","",INDEX('Detalle individual'!$E:$E,$J48))</f>
        <v>CONTADOR DE AGENCIAS</v>
      </c>
      <c r="D48" s="5" t="str">
        <f>IF($J48="","",INDEX('Detalle individual'!$C:$C,$J48))</f>
        <v>DEPARTAMENTO DE CONTABILIDAD</v>
      </c>
      <c r="E48" s="5" t="str">
        <f>IF($J48="","",INDEX('Detalle individual'!$D:$D,$J48))</f>
        <v>Gerencia de Finanzas y Planificación</v>
      </c>
      <c r="F48" s="23">
        <f>IF($J48="","",INDEX('Detalle individual'!$H:$H,$J48))</f>
        <v>46296.62540509259</v>
      </c>
      <c r="G48" s="28">
        <f>IF($J48="","",INDEX('Detalle individual'!$J:$J,$J48))</f>
        <v>100</v>
      </c>
      <c r="H48" s="28">
        <f>IF($J48="","",INDEX('Detalle individual'!$L:$L,$J48))</f>
        <v>1</v>
      </c>
      <c r="J48">
        <f>IFERROR(MATCH(SMALL(Cálculos!$AI$5:$AI$1000,44),Cálculos!$AI$5:$AI$1000,0)+4,"")</f>
        <v>94</v>
      </c>
    </row>
    <row r="49">
      <c r="A49" s="5" t="str">
        <f>IF($J49="","",INDEX('Detalle individual'!$B:$B,$J49))</f>
        <v>CLAUDIA MARLENE CABRERA SANCHEZ</v>
      </c>
      <c r="B49" s="5" t="str">
        <f>IF($J49="","",INDEX('Detalle individual'!$A:$A,$J49))</f>
        <v>235</v>
      </c>
      <c r="C49" s="5" t="str">
        <f>IF($J49="","",INDEX('Detalle individual'!$E:$E,$J49))</f>
        <v>SUPERVISOR DE CONTABILIDAD</v>
      </c>
      <c r="D49" s="5" t="str">
        <f>IF($J49="","",INDEX('Detalle individual'!$C:$C,$J49))</f>
        <v>DEPARTAMENTO DE CONTABILIDAD</v>
      </c>
      <c r="E49" s="5" t="str">
        <f>IF($J49="","",INDEX('Detalle individual'!$D:$D,$J49))</f>
        <v>Gerencia de Finanzas y Planificación</v>
      </c>
      <c r="F49" s="23">
        <f>IF($J49="","",INDEX('Detalle individual'!$H:$H,$J49))</f>
        <v>46310.569606481484</v>
      </c>
      <c r="G49" s="28">
        <f>IF($J49="","",INDEX('Detalle individual'!$J:$J,$J49))</f>
        <v>100</v>
      </c>
      <c r="H49" s="28">
        <f>IF($J49="","",INDEX('Detalle individual'!$L:$L,$J49))</f>
        <v>1</v>
      </c>
      <c r="J49">
        <f>IFERROR(MATCH(SMALL(Cálculos!$AI$5:$AI$1000,45),Cálculos!$AI$5:$AI$1000,0)+4,"")</f>
        <v>86</v>
      </c>
    </row>
    <row r="50">
      <c r="A50" s="5" t="str">
        <f>IF($J50="","",INDEX('Detalle individual'!$B:$B,$J50))</f>
        <v>DANIEL ENRIQUE FLORES RAMIREZ</v>
      </c>
      <c r="B50" s="5" t="str">
        <f>IF($J50="","",INDEX('Detalle individual'!$A:$A,$J50))</f>
        <v>676</v>
      </c>
      <c r="C50" s="5" t="str">
        <f>IF($J50="","",INDEX('Detalle individual'!$E:$E,$J50))</f>
        <v>ASISTENTE TECNICO DE TARJETA DE CREDITO Y DEBITO</v>
      </c>
      <c r="D50" s="5" t="str">
        <f>IF($J50="","",INDEX('Detalle individual'!$C:$C,$J50))</f>
        <v>DEPARTAMENTO DE CONTABILIDAD</v>
      </c>
      <c r="E50" s="5" t="str">
        <f>IF($J50="","",INDEX('Detalle individual'!$D:$D,$J50))</f>
        <v>Gerencia de Finanzas y Planificación</v>
      </c>
      <c r="F50" s="23">
        <f>IF($J50="","",INDEX('Detalle individual'!$H:$H,$J50))</f>
        <v>46304.36083333333</v>
      </c>
      <c r="G50" s="28">
        <f>IF($J50="","",INDEX('Detalle individual'!$J:$J,$J50))</f>
        <v>100</v>
      </c>
      <c r="H50" s="28">
        <f>IF($J50="","",INDEX('Detalle individual'!$L:$L,$J50))</f>
        <v>1</v>
      </c>
      <c r="J50">
        <f>IFERROR(MATCH(SMALL(Cálculos!$AI$5:$AI$1000,46),Cálculos!$AI$5:$AI$1000,0)+4,"")</f>
        <v>90</v>
      </c>
    </row>
    <row r="51">
      <c r="A51" s="5" t="str">
        <f>IF($J51="","",INDEX('Detalle individual'!$B:$B,$J51))</f>
        <v>ERICK RODRIGO ORTIZ TURCIOS</v>
      </c>
      <c r="B51" s="5" t="str">
        <f>IF($J51="","",INDEX('Detalle individual'!$A:$A,$J51))</f>
        <v>778</v>
      </c>
      <c r="C51" s="5" t="str">
        <f>IF($J51="","",INDEX('Detalle individual'!$E:$E,$J51))</f>
        <v>ASISTENTE TECNICO DE AGENCIA CENTRAL</v>
      </c>
      <c r="D51" s="5" t="str">
        <f>IF($J51="","",INDEX('Detalle individual'!$C:$C,$J51))</f>
        <v>DEPARTAMENTO DE CONTABILIDAD</v>
      </c>
      <c r="E51" s="5" t="str">
        <f>IF($J51="","",INDEX('Detalle individual'!$D:$D,$J51))</f>
        <v>Gerencia de Finanzas y Planificación</v>
      </c>
      <c r="F51" s="23">
        <f>IF($J51="","",INDEX('Detalle individual'!$H:$H,$J51))</f>
        <v>46304.33385416667</v>
      </c>
      <c r="G51" s="28">
        <f>IF($J51="","",INDEX('Detalle individual'!$J:$J,$J51))</f>
        <v>100</v>
      </c>
      <c r="H51" s="28">
        <f>IF($J51="","",INDEX('Detalle individual'!$L:$L,$J51))</f>
        <v>1</v>
      </c>
      <c r="J51">
        <f>IFERROR(MATCH(SMALL(Cálculos!$AI$5:$AI$1000,47),Cálculos!$AI$5:$AI$1000,0)+4,"")</f>
        <v>93</v>
      </c>
    </row>
    <row r="52">
      <c r="A52" s="5" t="str">
        <f>IF($J52="","",INDEX('Detalle individual'!$B:$B,$J52))</f>
        <v>JENNIFER MARCELA MORALES TORRES</v>
      </c>
      <c r="B52" s="5" t="str">
        <f>IF($J52="","",INDEX('Detalle individual'!$A:$A,$J52))</f>
        <v>749</v>
      </c>
      <c r="C52" s="5" t="str">
        <f>IF($J52="","",INDEX('Detalle individual'!$E:$E,$J52))</f>
        <v>CONTADOR BANCARIO</v>
      </c>
      <c r="D52" s="5" t="str">
        <f>IF($J52="","",INDEX('Detalle individual'!$C:$C,$J52))</f>
        <v>DEPARTAMENTO DE CONTABILIDAD</v>
      </c>
      <c r="E52" s="5" t="str">
        <f>IF($J52="","",INDEX('Detalle individual'!$D:$D,$J52))</f>
        <v>Gerencia de Finanzas y Planificación</v>
      </c>
      <c r="F52" s="23">
        <f>IF($J52="","",INDEX('Detalle individual'!$H:$H,$J52))</f>
        <v>46307.39042824074</v>
      </c>
      <c r="G52" s="28">
        <f>IF($J52="","",INDEX('Detalle individual'!$J:$J,$J52))</f>
        <v>100</v>
      </c>
      <c r="H52" s="28">
        <f>IF($J52="","",INDEX('Detalle individual'!$L:$L,$J52))</f>
        <v>1</v>
      </c>
      <c r="J52">
        <f>IFERROR(MATCH(SMALL(Cálculos!$AI$5:$AI$1000,48),Cálculos!$AI$5:$AI$1000,0)+4,"")</f>
        <v>92</v>
      </c>
    </row>
    <row r="53">
      <c r="A53" s="5" t="str">
        <f>IF($J53="","",INDEX('Detalle individual'!$B:$B,$J53))</f>
        <v>JORDAN ALEXANDER FLORES HERRERA</v>
      </c>
      <c r="B53" s="5" t="str">
        <f>IF($J53="","",INDEX('Detalle individual'!$A:$A,$J53))</f>
        <v>916</v>
      </c>
      <c r="C53" s="5" t="str">
        <f>IF($J53="","",INDEX('Detalle individual'!$E:$E,$J53))</f>
        <v>AUXILIAR CONTABLE DE DIGITALIZACION</v>
      </c>
      <c r="D53" s="5" t="str">
        <f>IF($J53="","",INDEX('Detalle individual'!$C:$C,$J53))</f>
        <v>DEPARTAMENTO DE CONTABILIDAD</v>
      </c>
      <c r="E53" s="5" t="str">
        <f>IF($J53="","",INDEX('Detalle individual'!$D:$D,$J53))</f>
        <v>Gerencia de Finanzas y Planificación</v>
      </c>
      <c r="F53" s="23">
        <f>IF($J53="","",INDEX('Detalle individual'!$H:$H,$J53))</f>
        <v>46309.38695601852</v>
      </c>
      <c r="G53" s="28">
        <f>IF($J53="","",INDEX('Detalle individual'!$J:$J,$J53))</f>
        <v>100</v>
      </c>
      <c r="H53" s="28">
        <f>IF($J53="","",INDEX('Detalle individual'!$L:$L,$J53))</f>
        <v>1</v>
      </c>
      <c r="J53">
        <f>IFERROR(MATCH(SMALL(Cálculos!$AI$5:$AI$1000,49),Cálculos!$AI$5:$AI$1000,0)+4,"")</f>
        <v>97</v>
      </c>
    </row>
    <row r="54">
      <c r="A54" s="5" t="str">
        <f>IF($J54="","",INDEX('Detalle individual'!$B:$B,$J54))</f>
        <v>JOSUE ELIAZAR MARTINEZ RECINOS</v>
      </c>
      <c r="B54" s="5" t="str">
        <f>IF($J54="","",INDEX('Detalle individual'!$A:$A,$J54))</f>
        <v>872</v>
      </c>
      <c r="C54" s="5" t="str">
        <f>IF($J54="","",INDEX('Detalle individual'!$E:$E,$J54))</f>
        <v>CONTADOR DE AGENCIAS</v>
      </c>
      <c r="D54" s="5" t="str">
        <f>IF($J54="","",INDEX('Detalle individual'!$C:$C,$J54))</f>
        <v>DEPARTAMENTO DE CONTABILIDAD</v>
      </c>
      <c r="E54" s="5" t="str">
        <f>IF($J54="","",INDEX('Detalle individual'!$D:$D,$J54))</f>
        <v>Gerencia de Finanzas y Planificación</v>
      </c>
      <c r="F54" s="23">
        <f>IF($J54="","",INDEX('Detalle individual'!$H:$H,$J54))</f>
        <v>46301.438738425924</v>
      </c>
      <c r="G54" s="28">
        <f>IF($J54="","",INDEX('Detalle individual'!$J:$J,$J54))</f>
        <v>100</v>
      </c>
      <c r="H54" s="28">
        <f>IF($J54="","",INDEX('Detalle individual'!$L:$L,$J54))</f>
        <v>1</v>
      </c>
      <c r="J54">
        <f>IFERROR(MATCH(SMALL(Cálculos!$AI$5:$AI$1000,50),Cálculos!$AI$5:$AI$1000,0)+4,"")</f>
        <v>96</v>
      </c>
    </row>
    <row r="55">
      <c r="A55" s="5" t="str">
        <f>IF($J55="","",INDEX('Detalle individual'!$B:$B,$J55))</f>
        <v>MARTA ELIZABETH RODRIGUEZ INESTROZA</v>
      </c>
      <c r="B55" s="5" t="str">
        <f>IF($J55="","",INDEX('Detalle individual'!$A:$A,$J55))</f>
        <v>373</v>
      </c>
      <c r="C55" s="5" t="str">
        <f>IF($J55="","",INDEX('Detalle individual'!$E:$E,$J55))</f>
        <v>CONTADOR GENERAL</v>
      </c>
      <c r="D55" s="5" t="str">
        <f>IF($J55="","",INDEX('Detalle individual'!$C:$C,$J55))</f>
        <v>DEPARTAMENTO DE CONTABILIDAD</v>
      </c>
      <c r="E55" s="5" t="str">
        <f>IF($J55="","",INDEX('Detalle individual'!$D:$D,$J55))</f>
        <v>Gerencia de Finanzas y Planificación</v>
      </c>
      <c r="F55" s="23">
        <f>IF($J55="","",INDEX('Detalle individual'!$H:$H,$J55))</f>
        <v>46296.82847222222</v>
      </c>
      <c r="G55" s="28">
        <f>IF($J55="","",INDEX('Detalle individual'!$J:$J,$J55))</f>
        <v>100</v>
      </c>
      <c r="H55" s="28">
        <f>IF($J55="","",INDEX('Detalle individual'!$L:$L,$J55))</f>
        <v>1</v>
      </c>
      <c r="J55">
        <f>IFERROR(MATCH(SMALL(Cálculos!$AI$5:$AI$1000,51),Cálculos!$AI$5:$AI$1000,0)+4,"")</f>
        <v>87</v>
      </c>
    </row>
    <row r="56">
      <c r="A56" s="5" t="str">
        <f>IF($J56="","",INDEX('Detalle individual'!$B:$B,$J56))</f>
        <v>MILAGRO TRINIDAD ROMERO MONTERROSA</v>
      </c>
      <c r="B56" s="5" t="str">
        <f>IF($J56="","",INDEX('Detalle individual'!$A:$A,$J56))</f>
        <v>571</v>
      </c>
      <c r="C56" s="5" t="str">
        <f>IF($J56="","",INDEX('Detalle individual'!$E:$E,$J56))</f>
        <v>ASISTENTE TECNICO DE IMPUESTOS</v>
      </c>
      <c r="D56" s="5" t="str">
        <f>IF($J56="","",INDEX('Detalle individual'!$C:$C,$J56))</f>
        <v>DEPARTAMENTO DE CONTABILIDAD</v>
      </c>
      <c r="E56" s="5" t="str">
        <f>IF($J56="","",INDEX('Detalle individual'!$D:$D,$J56))</f>
        <v>Gerencia de Finanzas y Planificación</v>
      </c>
      <c r="F56" s="23">
        <f>IF($J56="","",INDEX('Detalle individual'!$H:$H,$J56))</f>
        <v>46310.56497685185</v>
      </c>
      <c r="G56" s="28">
        <f>IF($J56="","",INDEX('Detalle individual'!$J:$J,$J56))</f>
        <v>100</v>
      </c>
      <c r="H56" s="28">
        <f>IF($J56="","",INDEX('Detalle individual'!$L:$L,$J56))</f>
        <v>1</v>
      </c>
      <c r="J56">
        <f>IFERROR(MATCH(SMALL(Cálculos!$AI$5:$AI$1000,52),Cálculos!$AI$5:$AI$1000,0)+4,"")</f>
        <v>89</v>
      </c>
    </row>
    <row r="57">
      <c r="A57" s="5" t="str">
        <f>IF($J57="","",INDEX('Detalle individual'!$B:$B,$J57))</f>
        <v>ROSSEMARY YAMILETH LOBATO MARTINEZ</v>
      </c>
      <c r="B57" s="5" t="str">
        <f>IF($J57="","",INDEX('Detalle individual'!$A:$A,$J57))</f>
        <v>733</v>
      </c>
      <c r="C57" s="5" t="str">
        <f>IF($J57="","",INDEX('Detalle individual'!$E:$E,$J57))</f>
        <v>ASISTENTE TECNICO DE PAGOS</v>
      </c>
      <c r="D57" s="5" t="str">
        <f>IF($J57="","",INDEX('Detalle individual'!$C:$C,$J57))</f>
        <v>DEPARTAMENTO DE CONTABILIDAD</v>
      </c>
      <c r="E57" s="5" t="str">
        <f>IF($J57="","",INDEX('Detalle individual'!$D:$D,$J57))</f>
        <v>Gerencia de Finanzas y Planificación</v>
      </c>
      <c r="F57" s="23">
        <f>IF($J57="","",INDEX('Detalle individual'!$H:$H,$J57))</f>
        <v>46300.31707175926</v>
      </c>
      <c r="G57" s="28">
        <f>IF($J57="","",INDEX('Detalle individual'!$J:$J,$J57))</f>
        <v>100</v>
      </c>
      <c r="H57" s="28">
        <f>IF($J57="","",INDEX('Detalle individual'!$L:$L,$J57))</f>
        <v>1</v>
      </c>
      <c r="J57">
        <f>IFERROR(MATCH(SMALL(Cálculos!$AI$5:$AI$1000,53),Cálculos!$AI$5:$AI$1000,0)+4,"")</f>
        <v>91</v>
      </c>
    </row>
    <row r="58">
      <c r="A58" s="5" t="str">
        <f>IF($J58="","",INDEX('Detalle individual'!$B:$B,$J58))</f>
        <v>RUBIA ESTELA LEIVA SIBRIAN</v>
      </c>
      <c r="B58" s="5" t="str">
        <f>IF($J58="","",INDEX('Detalle individual'!$A:$A,$J58))</f>
        <v>70</v>
      </c>
      <c r="C58" s="5" t="str">
        <f>IF($J58="","",INDEX('Detalle individual'!$E:$E,$J58))</f>
        <v>ASISTENTE TECNICO DE PAGOS</v>
      </c>
      <c r="D58" s="5" t="str">
        <f>IF($J58="","",INDEX('Detalle individual'!$C:$C,$J58))</f>
        <v>DEPARTAMENTO DE CONTABILIDAD</v>
      </c>
      <c r="E58" s="5" t="str">
        <f>IF($J58="","",INDEX('Detalle individual'!$D:$D,$J58))</f>
        <v>Gerencia de Finanzas y Planificación</v>
      </c>
      <c r="F58" s="23">
        <f>IF($J58="","",INDEX('Detalle individual'!$H:$H,$J58))</f>
        <v>46309.709386574075</v>
      </c>
      <c r="G58" s="28">
        <f>IF($J58="","",INDEX('Detalle individual'!$J:$J,$J58))</f>
        <v>100</v>
      </c>
      <c r="H58" s="28">
        <f>IF($J58="","",INDEX('Detalle individual'!$L:$L,$J58))</f>
        <v>1</v>
      </c>
      <c r="J58">
        <f>IFERROR(MATCH(SMALL(Cálculos!$AI$5:$AI$1000,54),Cálculos!$AI$5:$AI$1000,0)+4,"")</f>
        <v>85</v>
      </c>
    </row>
    <row r="59">
      <c r="A59" s="5" t="str">
        <f>IF($J59="","",INDEX('Detalle individual'!$B:$B,$J59))</f>
        <v>THELMA JUDITH QUINTANILLA VALLE</v>
      </c>
      <c r="B59" s="5" t="str">
        <f>IF($J59="","",INDEX('Detalle individual'!$A:$A,$J59))</f>
        <v>374</v>
      </c>
      <c r="C59" s="5" t="str">
        <f>IF($J59="","",INDEX('Detalle individual'!$E:$E,$J59))</f>
        <v>AUXILIAR CONTABLE DE DIGITALIZACION</v>
      </c>
      <c r="D59" s="5" t="str">
        <f>IF($J59="","",INDEX('Detalle individual'!$C:$C,$J59))</f>
        <v>DEPARTAMENTO DE CONTABILIDAD</v>
      </c>
      <c r="E59" s="5" t="str">
        <f>IF($J59="","",INDEX('Detalle individual'!$D:$D,$J59))</f>
        <v>Gerencia de Finanzas y Planificación</v>
      </c>
      <c r="F59" s="23">
        <f>IF($J59="","",INDEX('Detalle individual'!$H:$H,$J59))</f>
        <v>46309.386967592596</v>
      </c>
      <c r="G59" s="28">
        <f>IF($J59="","",INDEX('Detalle individual'!$J:$J,$J59))</f>
        <v>85</v>
      </c>
      <c r="H59" s="28">
        <f>IF($J59="","",INDEX('Detalle individual'!$L:$L,$J59))</f>
        <v>1</v>
      </c>
      <c r="J59">
        <f>IFERROR(MATCH(SMALL(Cálculos!$AI$5:$AI$1000,55),Cálculos!$AI$5:$AI$1000,0)+4,"")</f>
        <v>88</v>
      </c>
    </row>
    <row r="60">
      <c r="A60" s="5" t="str">
        <f>IF($J60="","",INDEX('Detalle individual'!$B:$B,$J60))</f>
        <v>EFRAIN ANTONIO AYALA LOPEZ</v>
      </c>
      <c r="B60" s="5" t="str">
        <f>IF($J60="","",INDEX('Detalle individual'!$A:$A,$J60))</f>
        <v>946</v>
      </c>
      <c r="C60" s="5" t="str">
        <f>IF($J60="","",INDEX('Detalle individual'!$E:$E,$J60))</f>
        <v>JEFE DE PLANIFICACION Y ANALISIS</v>
      </c>
      <c r="D60" s="5" t="str">
        <f>IF($J60="","",INDEX('Detalle individual'!$C:$C,$J60))</f>
        <v>DEPARTAMENTO DE PLANIFICACIÓN Y ANALISIS</v>
      </c>
      <c r="E60" s="5" t="str">
        <f>IF($J60="","",INDEX('Detalle individual'!$D:$D,$J60))</f>
        <v>Gerencia de Finanzas y Planificación</v>
      </c>
      <c r="F60" s="23">
        <f>IF($J60="","",INDEX('Detalle individual'!$H:$H,$J60))</f>
        <v>46305.53491898148</v>
      </c>
      <c r="G60" s="28">
        <f>IF($J60="","",INDEX('Detalle individual'!$J:$J,$J60))</f>
        <v>100</v>
      </c>
      <c r="H60" s="28">
        <f>IF($J60="","",INDEX('Detalle individual'!$L:$L,$J60))</f>
        <v>1</v>
      </c>
      <c r="J60">
        <f>IFERROR(MATCH(SMALL(Cálculos!$AI$5:$AI$1000,56),Cálculos!$AI$5:$AI$1000,0)+4,"")</f>
        <v>100</v>
      </c>
    </row>
    <row r="61">
      <c r="A61" s="5" t="str">
        <f>IF($J61="","",INDEX('Detalle individual'!$B:$B,$J61))</f>
        <v>ESTER ALEYDA GODOY CAMPOS</v>
      </c>
      <c r="B61" s="5" t="str">
        <f>IF($J61="","",INDEX('Detalle individual'!$A:$A,$J61))</f>
        <v>191</v>
      </c>
      <c r="C61" s="5" t="str">
        <f>IF($J61="","",INDEX('Detalle individual'!$E:$E,$J61))</f>
        <v>ASISTENTE TECNICO DE PLANIFICACION</v>
      </c>
      <c r="D61" s="5" t="str">
        <f>IF($J61="","",INDEX('Detalle individual'!$C:$C,$J61))</f>
        <v>DEPARTAMENTO DE PLANIFICACIÓN Y ANALISIS</v>
      </c>
      <c r="E61" s="5" t="str">
        <f>IF($J61="","",INDEX('Detalle individual'!$D:$D,$J61))</f>
        <v>Gerencia de Finanzas y Planificación</v>
      </c>
      <c r="F61" s="23">
        <f>IF($J61="","",INDEX('Detalle individual'!$H:$H,$J61))</f>
        <v>46307.665983796294</v>
      </c>
      <c r="G61" s="28">
        <f>IF($J61="","",INDEX('Detalle individual'!$J:$J,$J61))</f>
        <v>100</v>
      </c>
      <c r="H61" s="28">
        <f>IF($J61="","",INDEX('Detalle individual'!$L:$L,$J61))</f>
        <v>1</v>
      </c>
      <c r="J61">
        <f>IFERROR(MATCH(SMALL(Cálculos!$AI$5:$AI$1000,57),Cálculos!$AI$5:$AI$1000,0)+4,"")</f>
        <v>98</v>
      </c>
    </row>
    <row r="62">
      <c r="A62" s="5" t="str">
        <f>IF($J62="","",INDEX('Detalle individual'!$B:$B,$J62))</f>
        <v>RAFAEL ANDRES MARAVILLA GUERRA</v>
      </c>
      <c r="B62" s="5" t="str">
        <f>IF($J62="","",INDEX('Detalle individual'!$A:$A,$J62))</f>
        <v>839</v>
      </c>
      <c r="C62" s="5" t="str">
        <f>IF($J62="","",INDEX('Detalle individual'!$E:$E,$J62))</f>
        <v>ASISTENTE DE ANALISIS Y NORMATIVAS</v>
      </c>
      <c r="D62" s="5" t="str">
        <f>IF($J62="","",INDEX('Detalle individual'!$C:$C,$J62))</f>
        <v>DEPARTAMENTO DE PLANIFICACIÓN Y ANALISIS</v>
      </c>
      <c r="E62" s="5" t="str">
        <f>IF($J62="","",INDEX('Detalle individual'!$D:$D,$J62))</f>
        <v>Gerencia de Finanzas y Planificación</v>
      </c>
      <c r="F62" s="23">
        <f>IF($J62="","",INDEX('Detalle individual'!$H:$H,$J62))</f>
        <v>46311.627291666664</v>
      </c>
      <c r="G62" s="28">
        <f>IF($J62="","",INDEX('Detalle individual'!$J:$J,$J62))</f>
        <v>100</v>
      </c>
      <c r="H62" s="28">
        <f>IF($J62="","",INDEX('Detalle individual'!$L:$L,$J62))</f>
        <v>1</v>
      </c>
      <c r="J62">
        <f>IFERROR(MATCH(SMALL(Cálculos!$AI$5:$AI$1000,58),Cálculos!$AI$5:$AI$1000,0)+4,"")</f>
        <v>99</v>
      </c>
    </row>
    <row r="63">
      <c r="A63" s="5" t="str">
        <f>IF($J63="","",INDEX('Detalle individual'!$B:$B,$J63))</f>
        <v>JOSE AUGUSTO DE LA O GALLEGOS</v>
      </c>
      <c r="B63" s="5" t="str">
        <f>IF($J63="","",INDEX('Detalle individual'!$A:$A,$J63))</f>
        <v>524</v>
      </c>
      <c r="C63" s="5" t="str">
        <f>IF($J63="","",INDEX('Detalle individual'!$E:$E,$J63))</f>
        <v>GERENTE DE FINANZAS Y PLANIFICACION</v>
      </c>
      <c r="D63" s="5" t="str">
        <f>IF($J63="","",INDEX('Detalle individual'!$C:$C,$J63))</f>
        <v>GERENCIA DE FINANZAS Y PLANIFICACIÓN</v>
      </c>
      <c r="E63" s="5" t="str">
        <f>IF($J63="","",INDEX('Detalle individual'!$D:$D,$J63))</f>
        <v>Gerencia de Finanzas y Planificación</v>
      </c>
      <c r="F63" s="23">
        <f>IF($J63="","",INDEX('Detalle individual'!$H:$H,$J63))</f>
        <v>46296.429560185185</v>
      </c>
      <c r="G63" s="28">
        <f>IF($J63="","",INDEX('Detalle individual'!$J:$J,$J63))</f>
        <v>100</v>
      </c>
      <c r="H63" s="28">
        <f>IF($J63="","",INDEX('Detalle individual'!$L:$L,$J63))</f>
        <v>1</v>
      </c>
      <c r="J63">
        <f>IFERROR(MATCH(SMALL(Cálculos!$AI$5:$AI$1000,59),Cálculos!$AI$5:$AI$1000,0)+4,"")</f>
        <v>8</v>
      </c>
    </row>
    <row r="64">
      <c r="A64" s="5" t="str">
        <f>IF($J64="","",INDEX('Detalle individual'!$B:$B,$J64))</f>
        <v>PAULA MARIA CALDERON PEREZ</v>
      </c>
      <c r="B64" s="5" t="str">
        <f>IF($J64="","",INDEX('Detalle individual'!$A:$A,$J64))</f>
        <v>942</v>
      </c>
      <c r="C64" s="5" t="str">
        <f>IF($J64="","",INDEX('Detalle individual'!$E:$E,$J64))</f>
        <v>ASISTENTE DE GERENCIA DE FINANZAS</v>
      </c>
      <c r="D64" s="5" t="str">
        <f>IF($J64="","",INDEX('Detalle individual'!$C:$C,$J64))</f>
        <v>GERENCIA DE FINANZAS Y PLANIFICACIÓN</v>
      </c>
      <c r="E64" s="5" t="str">
        <f>IF($J64="","",INDEX('Detalle individual'!$D:$D,$J64))</f>
        <v>Gerencia de Finanzas y Planificación</v>
      </c>
      <c r="F64" s="23">
        <f>IF($J64="","",INDEX('Detalle individual'!$H:$H,$J64))</f>
        <v>46305.470555555556</v>
      </c>
      <c r="G64" s="28">
        <f>IF($J64="","",INDEX('Detalle individual'!$J:$J,$J64))</f>
        <v>100</v>
      </c>
      <c r="H64" s="28">
        <f>IF($J64="","",INDEX('Detalle individual'!$L:$L,$J64))</f>
        <v>1</v>
      </c>
      <c r="J64">
        <f>IFERROR(MATCH(SMALL(Cálculos!$AI$5:$AI$1000,60),Cálculos!$AI$5:$AI$1000,0)+4,"")</f>
        <v>84</v>
      </c>
    </row>
    <row r="65">
      <c r="A65" s="5" t="str">
        <f>IF($J65="","",INDEX('Detalle individual'!$B:$B,$J65))</f>
        <v>ALEXANDRA DANIELA PINEDA JIMENEZ</v>
      </c>
      <c r="B65" s="5" t="str">
        <f>IF($J65="","",INDEX('Detalle individual'!$A:$A,$J65))</f>
        <v>958</v>
      </c>
      <c r="C65" s="5" t="str">
        <f>IF($J65="","",INDEX('Detalle individual'!$E:$E,$J65))</f>
        <v>AUXILIAR DE ATENCION A ASOCIADOS</v>
      </c>
      <c r="D65" s="5" t="str">
        <f>IF($J65="","",INDEX('Detalle individual'!$C:$C,$J65))</f>
        <v>AGENCIA CENTRAL</v>
      </c>
      <c r="E65" s="5" t="str">
        <f>IF($J65="","",INDEX('Detalle individual'!$D:$D,$J65))</f>
        <v>Gerencia de Negocios</v>
      </c>
      <c r="F65" s="23">
        <f>IF($J65="","",INDEX('Detalle individual'!$H:$H,$J65))</f>
        <v>46305.39554398148</v>
      </c>
      <c r="G65" s="28">
        <f>IF($J65="","",INDEX('Detalle individual'!$J:$J,$J65))</f>
        <v>75</v>
      </c>
      <c r="H65" s="28">
        <f>IF($J65="","",INDEX('Detalle individual'!$L:$L,$J65))</f>
        <v>1</v>
      </c>
      <c r="J65">
        <f>IFERROR(MATCH(SMALL(Cálculos!$AI$5:$AI$1000,61),Cálculos!$AI$5:$AI$1000,0)+4,"")</f>
        <v>205</v>
      </c>
    </row>
    <row r="66">
      <c r="A66" s="5" t="str">
        <f>IF($J66="","",INDEX('Detalle individual'!$B:$B,$J66))</f>
        <v>ANA SILVIA ROQUE SANCHEZ</v>
      </c>
      <c r="B66" s="5" t="str">
        <f>IF($J66="","",INDEX('Detalle individual'!$A:$A,$J66))</f>
        <v>542</v>
      </c>
      <c r="C66" s="5" t="str">
        <f>IF($J66="","",INDEX('Detalle individual'!$E:$E,$J66))</f>
        <v>EJECUTIVA DE SEGUROS</v>
      </c>
      <c r="D66" s="5" t="str">
        <f>IF($J66="","",INDEX('Detalle individual'!$C:$C,$J66))</f>
        <v>AGENCIA CENTRAL</v>
      </c>
      <c r="E66" s="5" t="str">
        <f>IF($J66="","",INDEX('Detalle individual'!$D:$D,$J66))</f>
        <v>Gerencia de Negocios</v>
      </c>
      <c r="F66" s="23">
        <f>IF($J66="","",INDEX('Detalle individual'!$H:$H,$J66))</f>
        <v>46302.67400462963</v>
      </c>
      <c r="G66" s="28">
        <f>IF($J66="","",INDEX('Detalle individual'!$J:$J,$J66))</f>
        <v>95</v>
      </c>
      <c r="H66" s="28">
        <f>IF($J66="","",INDEX('Detalle individual'!$L:$L,$J66))</f>
        <v>1</v>
      </c>
      <c r="J66">
        <f>IFERROR(MATCH(SMALL(Cálculos!$AI$5:$AI$1000,62),Cálculos!$AI$5:$AI$1000,0)+4,"")</f>
        <v>197</v>
      </c>
    </row>
    <row r="67">
      <c r="A67" s="5" t="str">
        <f>IF($J67="","",INDEX('Detalle individual'!$B:$B,$J67))</f>
        <v>ANGELA GABRIELA REYES MOLINA</v>
      </c>
      <c r="B67" s="5" t="str">
        <f>IF($J67="","",INDEX('Detalle individual'!$A:$A,$J67))</f>
        <v>956</v>
      </c>
      <c r="C67" s="5" t="str">
        <f>IF($J67="","",INDEX('Detalle individual'!$E:$E,$J67))</f>
        <v>CAJERO</v>
      </c>
      <c r="D67" s="5" t="str">
        <f>IF($J67="","",INDEX('Detalle individual'!$C:$C,$J67))</f>
        <v>AGENCIA CENTRAL</v>
      </c>
      <c r="E67" s="5" t="str">
        <f>IF($J67="","",INDEX('Detalle individual'!$D:$D,$J67))</f>
        <v>Gerencia de Negocios</v>
      </c>
      <c r="F67" s="23">
        <f>IF($J67="","",INDEX('Detalle individual'!$H:$H,$J67))</f>
        <v>46309.366736111115</v>
      </c>
      <c r="G67" s="28">
        <f>IF($J67="","",INDEX('Detalle individual'!$J:$J,$J67))</f>
        <v>100</v>
      </c>
      <c r="H67" s="28">
        <f>IF($J67="","",INDEX('Detalle individual'!$L:$L,$J67))</f>
        <v>1</v>
      </c>
      <c r="J67">
        <f>IFERROR(MATCH(SMALL(Cálculos!$AI$5:$AI$1000,63),Cálculos!$AI$5:$AI$1000,0)+4,"")</f>
        <v>204</v>
      </c>
    </row>
    <row r="68">
      <c r="A68" s="5" t="str">
        <f>IF($J68="","",INDEX('Detalle individual'!$B:$B,$J68))</f>
        <v>BLANCA ARACELY MORENO HERNANDEZ</v>
      </c>
      <c r="B68" s="5" t="str">
        <f>IF($J68="","",INDEX('Detalle individual'!$A:$A,$J68))</f>
        <v>385</v>
      </c>
      <c r="C68" s="5" t="str">
        <f>IF($J68="","",INDEX('Detalle individual'!$E:$E,$J68))</f>
        <v>AUXILIAR DE OPERACIONES Y ATENCION EN AGENCIA</v>
      </c>
      <c r="D68" s="5" t="str">
        <f>IF($J68="","",INDEX('Detalle individual'!$C:$C,$J68))</f>
        <v>AGENCIA CENTRAL</v>
      </c>
      <c r="E68" s="5" t="str">
        <f>IF($J68="","",INDEX('Detalle individual'!$D:$D,$J68))</f>
        <v>Gerencia de Negocios</v>
      </c>
      <c r="F68" s="23">
        <f>IF($J68="","",INDEX('Detalle individual'!$H:$H,$J68))</f>
        <v>46311.50697916667</v>
      </c>
      <c r="G68" s="28">
        <f>IF($J68="","",INDEX('Detalle individual'!$J:$J,$J68))</f>
        <v>100</v>
      </c>
      <c r="H68" s="28">
        <f>IF($J68="","",INDEX('Detalle individual'!$L:$L,$J68))</f>
        <v>1</v>
      </c>
      <c r="J68">
        <f>IFERROR(MATCH(SMALL(Cálculos!$AI$5:$AI$1000,64),Cálculos!$AI$5:$AI$1000,0)+4,"")</f>
        <v>195</v>
      </c>
    </row>
    <row r="69">
      <c r="A69" s="5" t="str">
        <f>IF($J69="","",INDEX('Detalle individual'!$B:$B,$J69))</f>
        <v>CAROLINA ELIZABETH RAMIREZ PONCE</v>
      </c>
      <c r="B69" s="5" t="str">
        <f>IF($J69="","",INDEX('Detalle individual'!$A:$A,$J69))</f>
        <v>33</v>
      </c>
      <c r="C69" s="5" t="str">
        <f>IF($J69="","",INDEX('Detalle individual'!$E:$E,$J69))</f>
        <v>SUBJEFE DE AGENCIA</v>
      </c>
      <c r="D69" s="5" t="str">
        <f>IF($J69="","",INDEX('Detalle individual'!$C:$C,$J69))</f>
        <v>AGENCIA CENTRAL</v>
      </c>
      <c r="E69" s="5" t="str">
        <f>IF($J69="","",INDEX('Detalle individual'!$D:$D,$J69))</f>
        <v>Gerencia de Negocios</v>
      </c>
      <c r="F69" s="23">
        <f>IF($J69="","",INDEX('Detalle individual'!$H:$H,$J69))</f>
        <v>46308.61247685185</v>
      </c>
      <c r="G69" s="28">
        <f>IF($J69="","",INDEX('Detalle individual'!$J:$J,$J69))</f>
        <v>100</v>
      </c>
      <c r="H69" s="28">
        <f>IF($J69="","",INDEX('Detalle individual'!$L:$L,$J69))</f>
        <v>1</v>
      </c>
      <c r="J69">
        <f>IFERROR(MATCH(SMALL(Cálculos!$AI$5:$AI$1000,65),Cálculos!$AI$5:$AI$1000,0)+4,"")</f>
        <v>191</v>
      </c>
    </row>
    <row r="70">
      <c r="A70" s="5" t="str">
        <f>IF($J70="","",INDEX('Detalle individual'!$B:$B,$J70))</f>
        <v>ELSY GUADALUPE COREA AGUILUZ</v>
      </c>
      <c r="B70" s="5" t="str">
        <f>IF($J70="","",INDEX('Detalle individual'!$A:$A,$J70))</f>
        <v>253</v>
      </c>
      <c r="C70" s="5" t="str">
        <f>IF($J70="","",INDEX('Detalle individual'!$E:$E,$J70))</f>
        <v>EJECUTIVO DE NEGOCIOS</v>
      </c>
      <c r="D70" s="5" t="str">
        <f>IF($J70="","",INDEX('Detalle individual'!$C:$C,$J70))</f>
        <v>AGENCIA CENTRAL</v>
      </c>
      <c r="E70" s="5" t="str">
        <f>IF($J70="","",INDEX('Detalle individual'!$D:$D,$J70))</f>
        <v>Gerencia de Negocios</v>
      </c>
      <c r="F70" s="23">
        <f>IF($J70="","",INDEX('Detalle individual'!$H:$H,$J70))</f>
        <v>46311.719502314816</v>
      </c>
      <c r="G70" s="28">
        <f>IF($J70="","",INDEX('Detalle individual'!$J:$J,$J70))</f>
        <v>100</v>
      </c>
      <c r="H70" s="28">
        <f>IF($J70="","",INDEX('Detalle individual'!$L:$L,$J70))</f>
        <v>1</v>
      </c>
      <c r="J70">
        <f>IFERROR(MATCH(SMALL(Cálculos!$AI$5:$AI$1000,66),Cálculos!$AI$5:$AI$1000,0)+4,"")</f>
        <v>194</v>
      </c>
    </row>
    <row r="71">
      <c r="A71" s="5" t="str">
        <f>IF($J71="","",INDEX('Detalle individual'!$B:$B,$J71))</f>
        <v>ESTHER ABIGAIL FLORES GRANDE</v>
      </c>
      <c r="B71" s="5" t="str">
        <f>IF($J71="","",INDEX('Detalle individual'!$A:$A,$J71))</f>
        <v>857</v>
      </c>
      <c r="C71" s="5" t="str">
        <f>IF($J71="","",INDEX('Detalle individual'!$E:$E,$J71))</f>
        <v>AUXILIAR DE OPERACIONES Y ATENCION EN AGENCIA</v>
      </c>
      <c r="D71" s="5" t="str">
        <f>IF($J71="","",INDEX('Detalle individual'!$C:$C,$J71))</f>
        <v>AGENCIA CENTRAL</v>
      </c>
      <c r="E71" s="5" t="str">
        <f>IF($J71="","",INDEX('Detalle individual'!$D:$D,$J71))</f>
        <v>Gerencia de Negocios</v>
      </c>
      <c r="F71" s="23">
        <f>IF($J71="","",INDEX('Detalle individual'!$H:$H,$J71))</f>
        <v>46310.55657407407</v>
      </c>
      <c r="G71" s="28">
        <f>IF($J71="","",INDEX('Detalle individual'!$J:$J,$J71))</f>
        <v>100</v>
      </c>
      <c r="H71" s="28">
        <f>IF($J71="","",INDEX('Detalle individual'!$L:$L,$J71))</f>
        <v>1</v>
      </c>
      <c r="J71">
        <f>IFERROR(MATCH(SMALL(Cálculos!$AI$5:$AI$1000,67),Cálculos!$AI$5:$AI$1000,0)+4,"")</f>
        <v>202</v>
      </c>
    </row>
    <row r="72">
      <c r="A72" s="5" t="str">
        <f>IF($J72="","",INDEX('Detalle individual'!$B:$B,$J72))</f>
        <v>GRISELDA DEL CARMEN DOMINGUEZ MERINO</v>
      </c>
      <c r="B72" s="5" t="str">
        <f>IF($J72="","",INDEX('Detalle individual'!$A:$A,$J72))</f>
        <v>49</v>
      </c>
      <c r="C72" s="5" t="str">
        <f>IF($J72="","",INDEX('Detalle individual'!$E:$E,$J72))</f>
        <v>EJECUTIVO DE NEGOCIOS</v>
      </c>
      <c r="D72" s="5" t="str">
        <f>IF($J72="","",INDEX('Detalle individual'!$C:$C,$J72))</f>
        <v>AGENCIA CENTRAL</v>
      </c>
      <c r="E72" s="5" t="str">
        <f>IF($J72="","",INDEX('Detalle individual'!$D:$D,$J72))</f>
        <v>Gerencia de Negocios</v>
      </c>
      <c r="F72" s="23">
        <f>IF($J72="","",INDEX('Detalle individual'!$H:$H,$J72))</f>
        <v>46310.66540509259</v>
      </c>
      <c r="G72" s="28">
        <f>IF($J72="","",INDEX('Detalle individual'!$J:$J,$J72))</f>
        <v>100</v>
      </c>
      <c r="H72" s="28">
        <f>IF($J72="","",INDEX('Detalle individual'!$L:$L,$J72))</f>
        <v>1</v>
      </c>
      <c r="J72">
        <f>IFERROR(MATCH(SMALL(Cálculos!$AI$5:$AI$1000,68),Cálculos!$AI$5:$AI$1000,0)+4,"")</f>
        <v>192</v>
      </c>
    </row>
    <row r="73">
      <c r="A73" s="5" t="str">
        <f>IF($J73="","",INDEX('Detalle individual'!$B:$B,$J73))</f>
        <v>JAZMIN ABIGAIL VASQUEZ AVELAR</v>
      </c>
      <c r="B73" s="5" t="str">
        <f>IF($J73="","",INDEX('Detalle individual'!$A:$A,$J73))</f>
        <v>848</v>
      </c>
      <c r="C73" s="5" t="str">
        <f>IF($J73="","",INDEX('Detalle individual'!$E:$E,$J73))</f>
        <v>CAJERO</v>
      </c>
      <c r="D73" s="5" t="str">
        <f>IF($J73="","",INDEX('Detalle individual'!$C:$C,$J73))</f>
        <v>AGENCIA CENTRAL</v>
      </c>
      <c r="E73" s="5" t="str">
        <f>IF($J73="","",INDEX('Detalle individual'!$D:$D,$J73))</f>
        <v>Gerencia de Negocios</v>
      </c>
      <c r="F73" s="23">
        <f>IF($J73="","",INDEX('Detalle individual'!$H:$H,$J73))</f>
        <v>46311.484826388885</v>
      </c>
      <c r="G73" s="28">
        <f>IF($J73="","",INDEX('Detalle individual'!$J:$J,$J73))</f>
        <v>100</v>
      </c>
      <c r="H73" s="28">
        <f>IF($J73="","",INDEX('Detalle individual'!$L:$L,$J73))</f>
        <v>1</v>
      </c>
      <c r="J73">
        <f>IFERROR(MATCH(SMALL(Cálculos!$AI$5:$AI$1000,69),Cálculos!$AI$5:$AI$1000,0)+4,"")</f>
        <v>201</v>
      </c>
    </row>
    <row r="74">
      <c r="A74" s="5" t="str">
        <f>IF($J74="","",INDEX('Detalle individual'!$B:$B,$J74))</f>
        <v>JESUS ADRIAN MENA AVALOS</v>
      </c>
      <c r="B74" s="5" t="str">
        <f>IF($J74="","",INDEX('Detalle individual'!$A:$A,$J74))</f>
        <v>953</v>
      </c>
      <c r="C74" s="5" t="str">
        <f>IF($J74="","",INDEX('Detalle individual'!$E:$E,$J74))</f>
        <v>CAJERO</v>
      </c>
      <c r="D74" s="5" t="str">
        <f>IF($J74="","",INDEX('Detalle individual'!$C:$C,$J74))</f>
        <v>AGENCIA CENTRAL</v>
      </c>
      <c r="E74" s="5" t="str">
        <f>IF($J74="","",INDEX('Detalle individual'!$D:$D,$J74))</f>
        <v>Gerencia de Negocios</v>
      </c>
      <c r="F74" s="23">
        <f>IF($J74="","",INDEX('Detalle individual'!$H:$H,$J74))</f>
        <v>46302.62670138889</v>
      </c>
      <c r="G74" s="28">
        <f>IF($J74="","",INDEX('Detalle individual'!$J:$J,$J74))</f>
        <v>100</v>
      </c>
      <c r="H74" s="28">
        <f>IF($J74="","",INDEX('Detalle individual'!$L:$L,$J74))</f>
        <v>1</v>
      </c>
      <c r="J74">
        <f>IFERROR(MATCH(SMALL(Cálculos!$AI$5:$AI$1000,70),Cálculos!$AI$5:$AI$1000,0)+4,"")</f>
        <v>203</v>
      </c>
    </row>
    <row r="75">
      <c r="A75" s="5" t="str">
        <f>IF($J75="","",INDEX('Detalle individual'!$B:$B,$J75))</f>
        <v>KATHERINE MICHELLE LOPEZ LOPEZ</v>
      </c>
      <c r="B75" s="5" t="str">
        <f>IF($J75="","",INDEX('Detalle individual'!$A:$A,$J75))</f>
        <v>768</v>
      </c>
      <c r="C75" s="5" t="str">
        <f>IF($J75="","",INDEX('Detalle individual'!$E:$E,$J75))</f>
        <v>AUXILIAR DE OPERACIONES Y ATENCION EN AGENCIA</v>
      </c>
      <c r="D75" s="5" t="str">
        <f>IF($J75="","",INDEX('Detalle individual'!$C:$C,$J75))</f>
        <v>AGENCIA CENTRAL</v>
      </c>
      <c r="E75" s="5" t="str">
        <f>IF($J75="","",INDEX('Detalle individual'!$D:$D,$J75))</f>
        <v>Gerencia de Negocios</v>
      </c>
      <c r="F75" s="23">
        <f>IF($J75="","",INDEX('Detalle individual'!$H:$H,$J75))</f>
        <v>46310.65997685185</v>
      </c>
      <c r="G75" s="28">
        <f>IF($J75="","",INDEX('Detalle individual'!$J:$J,$J75))</f>
        <v>100</v>
      </c>
      <c r="H75" s="28">
        <f>IF($J75="","",INDEX('Detalle individual'!$L:$L,$J75))</f>
        <v>1</v>
      </c>
      <c r="J75">
        <f>IFERROR(MATCH(SMALL(Cálculos!$AI$5:$AI$1000,71),Cálculos!$AI$5:$AI$1000,0)+4,"")</f>
        <v>200</v>
      </c>
    </row>
    <row r="76">
      <c r="A76" s="5" t="str">
        <f>IF($J76="","",INDEX('Detalle individual'!$B:$B,$J76))</f>
        <v>KEVIN ARTURO ANDRADE PALACIOS</v>
      </c>
      <c r="B76" s="5" t="str">
        <f>IF($J76="","",INDEX('Detalle individual'!$A:$A,$J76))</f>
        <v>976</v>
      </c>
      <c r="C76" s="5" t="str">
        <f>IF($J76="","",INDEX('Detalle individual'!$E:$E,$J76))</f>
        <v>CAJERO</v>
      </c>
      <c r="D76" s="5" t="str">
        <f>IF($J76="","",INDEX('Detalle individual'!$C:$C,$J76))</f>
        <v>AGENCIA CENTRAL</v>
      </c>
      <c r="E76" s="5" t="str">
        <f>IF($J76="","",INDEX('Detalle individual'!$D:$D,$J76))</f>
        <v>Gerencia de Negocios</v>
      </c>
      <c r="F76" s="23">
        <f>IF($J76="","",INDEX('Detalle individual'!$H:$H,$J76))</f>
        <v>46302.59866898148</v>
      </c>
      <c r="G76" s="28">
        <f>IF($J76="","",INDEX('Detalle individual'!$J:$J,$J76))</f>
        <v>100</v>
      </c>
      <c r="H76" s="28">
        <f>IF($J76="","",INDEX('Detalle individual'!$L:$L,$J76))</f>
        <v>1</v>
      </c>
      <c r="J76">
        <f>IFERROR(MATCH(SMALL(Cálculos!$AI$5:$AI$1000,72),Cálculos!$AI$5:$AI$1000,0)+4,"")</f>
        <v>208</v>
      </c>
    </row>
    <row r="77">
      <c r="A77" s="5" t="str">
        <f>IF($J77="","",INDEX('Detalle individual'!$B:$B,$J77))</f>
        <v>LEIDY VANESSA GUZMAN SERVELLON</v>
      </c>
      <c r="B77" s="5" t="str">
        <f>IF($J77="","",INDEX('Detalle individual'!$A:$A,$J77))</f>
        <v>974</v>
      </c>
      <c r="C77" s="5" t="str">
        <f>IF($J77="","",INDEX('Detalle individual'!$E:$E,$J77))</f>
        <v>CAJERO</v>
      </c>
      <c r="D77" s="5" t="str">
        <f>IF($J77="","",INDEX('Detalle individual'!$C:$C,$J77))</f>
        <v>AGENCIA CENTRAL</v>
      </c>
      <c r="E77" s="5" t="str">
        <f>IF($J77="","",INDEX('Detalle individual'!$D:$D,$J77))</f>
        <v>Gerencia de Negocios</v>
      </c>
      <c r="F77" s="23">
        <f>IF($J77="","",INDEX('Detalle individual'!$H:$H,$J77))</f>
        <v>46311.477488425924</v>
      </c>
      <c r="G77" s="28">
        <f>IF($J77="","",INDEX('Detalle individual'!$J:$J,$J77))</f>
        <v>80</v>
      </c>
      <c r="H77" s="28">
        <f>IF($J77="","",INDEX('Detalle individual'!$L:$L,$J77))</f>
        <v>1</v>
      </c>
      <c r="J77">
        <f>IFERROR(MATCH(SMALL(Cálculos!$AI$5:$AI$1000,73),Cálculos!$AI$5:$AI$1000,0)+4,"")</f>
        <v>207</v>
      </c>
    </row>
    <row r="78">
      <c r="A78" s="5" t="str">
        <f>IF($J78="","",INDEX('Detalle individual'!$B:$B,$J78))</f>
        <v>LETICIA ESMERALDA ROSA</v>
      </c>
      <c r="B78" s="5" t="str">
        <f>IF($J78="","",INDEX('Detalle individual'!$A:$A,$J78))</f>
        <v>234</v>
      </c>
      <c r="C78" s="5" t="str">
        <f>IF($J78="","",INDEX('Detalle individual'!$E:$E,$J78))</f>
        <v>EJECUTIVO DE NEGOCIOS</v>
      </c>
      <c r="D78" s="5" t="str">
        <f>IF($J78="","",INDEX('Detalle individual'!$C:$C,$J78))</f>
        <v>AGENCIA CENTRAL</v>
      </c>
      <c r="E78" s="5" t="str">
        <f>IF($J78="","",INDEX('Detalle individual'!$D:$D,$J78))</f>
        <v>Gerencia de Negocios</v>
      </c>
      <c r="F78" s="23">
        <f>IF($J78="","",INDEX('Detalle individual'!$H:$H,$J78))</f>
        <v>46311.71462962963</v>
      </c>
      <c r="G78" s="28">
        <f>IF($J78="","",INDEX('Detalle individual'!$J:$J,$J78))</f>
        <v>90</v>
      </c>
      <c r="H78" s="28">
        <f>IF($J78="","",INDEX('Detalle individual'!$L:$L,$J78))</f>
        <v>1</v>
      </c>
      <c r="J78">
        <f>IFERROR(MATCH(SMALL(Cálculos!$AI$5:$AI$1000,74),Cálculos!$AI$5:$AI$1000,0)+4,"")</f>
        <v>193</v>
      </c>
    </row>
    <row r="79">
      <c r="A79" s="5" t="str">
        <f>IF($J79="","",INDEX('Detalle individual'!$B:$B,$J79))</f>
        <v>LORENA DEL CARMEN MEJIA HERRERA</v>
      </c>
      <c r="B79" s="5" t="str">
        <f>IF($J79="","",INDEX('Detalle individual'!$A:$A,$J79))</f>
        <v>960</v>
      </c>
      <c r="C79" s="5" t="str">
        <f>IF($J79="","",INDEX('Detalle individual'!$E:$E,$J79))</f>
        <v>CAJERO</v>
      </c>
      <c r="D79" s="5" t="str">
        <f>IF($J79="","",INDEX('Detalle individual'!$C:$C,$J79))</f>
        <v>AGENCIA CENTRAL</v>
      </c>
      <c r="E79" s="5" t="str">
        <f>IF($J79="","",INDEX('Detalle individual'!$D:$D,$J79))</f>
        <v>Gerencia de Negocios</v>
      </c>
      <c r="F79" s="23">
        <f>IF($J79="","",INDEX('Detalle individual'!$H:$H,$J79))</f>
        <v>46302.48327546296</v>
      </c>
      <c r="G79" s="28">
        <f>IF($J79="","",INDEX('Detalle individual'!$J:$J,$J79))</f>
        <v>100</v>
      </c>
      <c r="H79" s="28">
        <f>IF($J79="","",INDEX('Detalle individual'!$L:$L,$J79))</f>
        <v>1</v>
      </c>
      <c r="J79">
        <f>IFERROR(MATCH(SMALL(Cálculos!$AI$5:$AI$1000,75),Cálculos!$AI$5:$AI$1000,0)+4,"")</f>
        <v>206</v>
      </c>
    </row>
    <row r="80">
      <c r="A80" s="5" t="str">
        <f>IF($J80="","",INDEX('Detalle individual'!$B:$B,$J80))</f>
        <v>MARIA DE LOS ANGELES OSORIO GIL</v>
      </c>
      <c r="B80" s="5" t="str">
        <f>IF($J80="","",INDEX('Detalle individual'!$A:$A,$J80))</f>
        <v>757</v>
      </c>
      <c r="C80" s="5" t="str">
        <f>IF($J80="","",INDEX('Detalle individual'!$E:$E,$J80))</f>
        <v>CAJERO</v>
      </c>
      <c r="D80" s="5" t="str">
        <f>IF($J80="","",INDEX('Detalle individual'!$C:$C,$J80))</f>
        <v>AGENCIA CENTRAL</v>
      </c>
      <c r="E80" s="5" t="str">
        <f>IF($J80="","",INDEX('Detalle individual'!$D:$D,$J80))</f>
        <v>Gerencia de Negocios</v>
      </c>
      <c r="F80" s="23">
        <f>IF($J80="","",INDEX('Detalle individual'!$H:$H,$J80))</f>
        <v>46303.443460648145</v>
      </c>
      <c r="G80" s="28">
        <f>IF($J80="","",INDEX('Detalle individual'!$J:$J,$J80))</f>
        <v>100</v>
      </c>
      <c r="H80" s="28">
        <f>IF($J80="","",INDEX('Detalle individual'!$L:$L,$J80))</f>
        <v>1</v>
      </c>
      <c r="J80">
        <f>IFERROR(MATCH(SMALL(Cálculos!$AI$5:$AI$1000,76),Cálculos!$AI$5:$AI$1000,0)+4,"")</f>
        <v>199</v>
      </c>
    </row>
    <row r="81">
      <c r="A81" s="5" t="str">
        <f>IF($J81="","",INDEX('Detalle individual'!$B:$B,$J81))</f>
        <v>CLAUDIA ELENA GUARDADO VARELA</v>
      </c>
      <c r="B81" s="5" t="str">
        <f>IF($J81="","",INDEX('Detalle individual'!$A:$A,$J81))</f>
        <v>543</v>
      </c>
      <c r="C81" s="5" t="str">
        <f>IF($J81="","",INDEX('Detalle individual'!$E:$E,$J81))</f>
        <v>EJECUTIVA DE SEGUROS</v>
      </c>
      <c r="D81" s="5" t="str">
        <f>IF($J81="","",INDEX('Detalle individual'!$C:$C,$J81))</f>
        <v>AGENCIA COLEGIO MEDICO</v>
      </c>
      <c r="E81" s="5" t="str">
        <f>IF($J81="","",INDEX('Detalle individual'!$D:$D,$J81))</f>
        <v>Gerencia de Negocios</v>
      </c>
      <c r="F81" s="23">
        <f>IF($J81="","",INDEX('Detalle individual'!$H:$H,$J81))</f>
        <v>46305.407002314816</v>
      </c>
      <c r="G81" s="28">
        <f>IF($J81="","",INDEX('Detalle individual'!$J:$J,$J81))</f>
        <v>100</v>
      </c>
      <c r="H81" s="28">
        <f>IF($J81="","",INDEX('Detalle individual'!$L:$L,$J81))</f>
        <v>1</v>
      </c>
      <c r="J81">
        <f>IFERROR(MATCH(SMALL(Cálculos!$AI$5:$AI$1000,77),Cálculos!$AI$5:$AI$1000,0)+4,"")</f>
        <v>215</v>
      </c>
    </row>
    <row r="82">
      <c r="A82" s="5" t="str">
        <f>IF($J82="","",INDEX('Detalle individual'!$B:$B,$J82))</f>
        <v>FLOR IMELDA VILLALOBOS ARDON</v>
      </c>
      <c r="B82" s="5" t="str">
        <f>IF($J82="","",INDEX('Detalle individual'!$A:$A,$J82))</f>
        <v>26</v>
      </c>
      <c r="C82" s="5" t="str">
        <f>IF($J82="","",INDEX('Detalle individual'!$E:$E,$J82))</f>
        <v>EJECUTIVO DE NEGOCIOS</v>
      </c>
      <c r="D82" s="5" t="str">
        <f>IF($J82="","",INDEX('Detalle individual'!$C:$C,$J82))</f>
        <v>AGENCIA COLEGIO MEDICO</v>
      </c>
      <c r="E82" s="5" t="str">
        <f>IF($J82="","",INDEX('Detalle individual'!$D:$D,$J82))</f>
        <v>Gerencia de Negocios</v>
      </c>
      <c r="F82" s="23">
        <f>IF($J82="","",INDEX('Detalle individual'!$H:$H,$J82))</f>
        <v>46310.516377314816</v>
      </c>
      <c r="G82" s="28">
        <f>IF($J82="","",INDEX('Detalle individual'!$J:$J,$J82))</f>
        <v>100</v>
      </c>
      <c r="H82" s="28">
        <f>IF($J82="","",INDEX('Detalle individual'!$L:$L,$J82))</f>
        <v>1</v>
      </c>
      <c r="J82">
        <f>IFERROR(MATCH(SMALL(Cálculos!$AI$5:$AI$1000,78),Cálculos!$AI$5:$AI$1000,0)+4,"")</f>
        <v>209</v>
      </c>
    </row>
    <row r="83">
      <c r="A83" s="5" t="str">
        <f>IF($J83="","",INDEX('Detalle individual'!$B:$B,$J83))</f>
        <v>GABRIELA CONCEPCION GARCIA GUTIERREZ</v>
      </c>
      <c r="B83" s="5" t="str">
        <f>IF($J83="","",INDEX('Detalle individual'!$A:$A,$J83))</f>
        <v>975</v>
      </c>
      <c r="C83" s="5" t="str">
        <f>IF($J83="","",INDEX('Detalle individual'!$E:$E,$J83))</f>
        <v>AUXILIAR DE ATENCION AL ASOCIADO EN AGENCIA</v>
      </c>
      <c r="D83" s="5" t="str">
        <f>IF($J83="","",INDEX('Detalle individual'!$C:$C,$J83))</f>
        <v>AGENCIA COLEGIO MEDICO</v>
      </c>
      <c r="E83" s="5" t="str">
        <f>IF($J83="","",INDEX('Detalle individual'!$D:$D,$J83))</f>
        <v>Gerencia de Negocios</v>
      </c>
      <c r="F83" s="23">
        <f>IF($J83="","",INDEX('Detalle individual'!$H:$H,$J83))</f>
        <v>46305.4796412037</v>
      </c>
      <c r="G83" s="28">
        <f>IF($J83="","",INDEX('Detalle individual'!$J:$J,$J83))</f>
        <v>90</v>
      </c>
      <c r="H83" s="28">
        <f>IF($J83="","",INDEX('Detalle individual'!$L:$L,$J83))</f>
        <v>1</v>
      </c>
      <c r="J83">
        <f>IFERROR(MATCH(SMALL(Cálculos!$AI$5:$AI$1000,79),Cálculos!$AI$5:$AI$1000,0)+4,"")</f>
        <v>220</v>
      </c>
    </row>
    <row r="84">
      <c r="A84" s="5" t="str">
        <f>IF($J84="","",INDEX('Detalle individual'!$B:$B,$J84))</f>
        <v>JACQUELINE ADRIANA CHAVEZ SARAVIA</v>
      </c>
      <c r="B84" s="5" t="str">
        <f>IF($J84="","",INDEX('Detalle individual'!$A:$A,$J84))</f>
        <v>811</v>
      </c>
      <c r="C84" s="5" t="str">
        <f>IF($J84="","",INDEX('Detalle individual'!$E:$E,$J84))</f>
        <v>CAJERO</v>
      </c>
      <c r="D84" s="5" t="str">
        <f>IF($J84="","",INDEX('Detalle individual'!$C:$C,$J84))</f>
        <v>AGENCIA COLEGIO MEDICO</v>
      </c>
      <c r="E84" s="5" t="str">
        <f>IF($J84="","",INDEX('Detalle individual'!$D:$D,$J84))</f>
        <v>Gerencia de Negocios</v>
      </c>
      <c r="F84" s="23">
        <f>IF($J84="","",INDEX('Detalle individual'!$H:$H,$J84))</f>
        <v>46305.465902777774</v>
      </c>
      <c r="G84" s="28">
        <f>IF($J84="","",INDEX('Detalle individual'!$J:$J,$J84))</f>
        <v>90</v>
      </c>
      <c r="H84" s="28">
        <f>IF($J84="","",INDEX('Detalle individual'!$L:$L,$J84))</f>
        <v>1</v>
      </c>
      <c r="J84">
        <f>IFERROR(MATCH(SMALL(Cálculos!$AI$5:$AI$1000,80),Cálculos!$AI$5:$AI$1000,0)+4,"")</f>
        <v>216</v>
      </c>
    </row>
    <row r="85">
      <c r="A85" s="5" t="str">
        <f>IF($J85="","",INDEX('Detalle individual'!$B:$B,$J85))</f>
        <v>JAQUELIN JAZMIN ROMERO FLORES</v>
      </c>
      <c r="B85" s="5" t="str">
        <f>IF($J85="","",INDEX('Detalle individual'!$A:$A,$J85))</f>
        <v>971</v>
      </c>
      <c r="C85" s="5" t="str">
        <f>IF($J85="","",INDEX('Detalle individual'!$E:$E,$J85))</f>
        <v>CAJERO</v>
      </c>
      <c r="D85" s="5" t="str">
        <f>IF($J85="","",INDEX('Detalle individual'!$C:$C,$J85))</f>
        <v>AGENCIA COLEGIO MEDICO</v>
      </c>
      <c r="E85" s="5" t="str">
        <f>IF($J85="","",INDEX('Detalle individual'!$D:$D,$J85))</f>
        <v>Gerencia de Negocios</v>
      </c>
      <c r="F85" s="23">
        <f>IF($J85="","",INDEX('Detalle individual'!$H:$H,$J85))</f>
        <v>46305.44142361111</v>
      </c>
      <c r="G85" s="28">
        <f>IF($J85="","",INDEX('Detalle individual'!$J:$J,$J85))</f>
        <v>100</v>
      </c>
      <c r="H85" s="28">
        <f>IF($J85="","",INDEX('Detalle individual'!$L:$L,$J85))</f>
        <v>1</v>
      </c>
      <c r="J85">
        <f>IFERROR(MATCH(SMALL(Cálculos!$AI$5:$AI$1000,81),Cálculos!$AI$5:$AI$1000,0)+4,"")</f>
        <v>219</v>
      </c>
    </row>
    <row r="86">
      <c r="A86" s="5" t="str">
        <f>IF($J86="","",INDEX('Detalle individual'!$B:$B,$J86))</f>
        <v>KRISSIA ANDREA DOMINGUEZ OSORIO</v>
      </c>
      <c r="B86" s="5" t="str">
        <f>IF($J86="","",INDEX('Detalle individual'!$A:$A,$J86))</f>
        <v>841</v>
      </c>
      <c r="C86" s="5" t="str">
        <f>IF($J86="","",INDEX('Detalle individual'!$E:$E,$J86))</f>
        <v>CAJERO</v>
      </c>
      <c r="D86" s="5" t="str">
        <f>IF($J86="","",INDEX('Detalle individual'!$C:$C,$J86))</f>
        <v>AGENCIA COLEGIO MEDICO</v>
      </c>
      <c r="E86" s="5" t="str">
        <f>IF($J86="","",INDEX('Detalle individual'!$D:$D,$J86))</f>
        <v>Gerencia de Negocios</v>
      </c>
      <c r="F86" s="23">
        <f>IF($J86="","",INDEX('Detalle individual'!$H:$H,$J86))</f>
        <v>46305.39891203704</v>
      </c>
      <c r="G86" s="28">
        <f>IF($J86="","",INDEX('Detalle individual'!$J:$J,$J86))</f>
        <v>100</v>
      </c>
      <c r="H86" s="28">
        <f>IF($J86="","",INDEX('Detalle individual'!$L:$L,$J86))</f>
        <v>1</v>
      </c>
      <c r="J86">
        <f>IFERROR(MATCH(SMALL(Cálculos!$AI$5:$AI$1000,82),Cálculos!$AI$5:$AI$1000,0)+4,"")</f>
        <v>217</v>
      </c>
    </row>
    <row r="87">
      <c r="A87" s="5" t="str">
        <f>IF($J87="","",INDEX('Detalle individual'!$B:$B,$J87))</f>
        <v>MARTHA ESPERANZA VALTEZ GARCIA</v>
      </c>
      <c r="B87" s="5" t="str">
        <f>IF($J87="","",INDEX('Detalle individual'!$A:$A,$J87))</f>
        <v>536</v>
      </c>
      <c r="C87" s="5" t="str">
        <f>IF($J87="","",INDEX('Detalle individual'!$E:$E,$J87))</f>
        <v>CAJERO</v>
      </c>
      <c r="D87" s="5" t="str">
        <f>IF($J87="","",INDEX('Detalle individual'!$C:$C,$J87))</f>
        <v>AGENCIA COLEGIO MEDICO</v>
      </c>
      <c r="E87" s="5" t="str">
        <f>IF($J87="","",INDEX('Detalle individual'!$D:$D,$J87))</f>
        <v>Gerencia de Negocios</v>
      </c>
      <c r="F87" s="23">
        <f>IF($J87="","",INDEX('Detalle individual'!$H:$H,$J87))</f>
        <v>46305.51391203704</v>
      </c>
      <c r="G87" s="28">
        <f>IF($J87="","",INDEX('Detalle individual'!$J:$J,$J87))</f>
        <v>100</v>
      </c>
      <c r="H87" s="28">
        <f>IF($J87="","",INDEX('Detalle individual'!$L:$L,$J87))</f>
        <v>1</v>
      </c>
      <c r="J87">
        <f>IFERROR(MATCH(SMALL(Cálculos!$AI$5:$AI$1000,83),Cálculos!$AI$5:$AI$1000,0)+4,"")</f>
        <v>214</v>
      </c>
    </row>
    <row r="88">
      <c r="A88" s="5" t="str">
        <f>IF($J88="","",INDEX('Detalle individual'!$B:$B,$J88))</f>
        <v>MERCI ANTONIA CERON MEJIA</v>
      </c>
      <c r="B88" s="5" t="str">
        <f>IF($J88="","",INDEX('Detalle individual'!$A:$A,$J88))</f>
        <v>190</v>
      </c>
      <c r="C88" s="5" t="str">
        <f>IF($J88="","",INDEX('Detalle individual'!$E:$E,$J88))</f>
        <v>EJECUTIVO DE NEGOCIOS</v>
      </c>
      <c r="D88" s="5" t="str">
        <f>IF($J88="","",INDEX('Detalle individual'!$C:$C,$J88))</f>
        <v>AGENCIA COLEGIO MEDICO</v>
      </c>
      <c r="E88" s="5" t="str">
        <f>IF($J88="","",INDEX('Detalle individual'!$D:$D,$J88))</f>
        <v>Gerencia de Negocios</v>
      </c>
      <c r="F88" s="23">
        <f>IF($J88="","",INDEX('Detalle individual'!$H:$H,$J88))</f>
        <v>46305.513344907406</v>
      </c>
      <c r="G88" s="28">
        <f>IF($J88="","",INDEX('Detalle individual'!$J:$J,$J88))</f>
        <v>100</v>
      </c>
      <c r="H88" s="28">
        <f>IF($J88="","",INDEX('Detalle individual'!$L:$L,$J88))</f>
        <v>1</v>
      </c>
      <c r="J88">
        <f>IFERROR(MATCH(SMALL(Cálculos!$AI$5:$AI$1000,84),Cálculos!$AI$5:$AI$1000,0)+4,"")</f>
        <v>211</v>
      </c>
    </row>
    <row r="89">
      <c r="A89" s="5" t="str">
        <f>IF($J89="","",INDEX('Detalle individual'!$B:$B,$J89))</f>
        <v>PATRICIA ESMERALDA PORTILLO CESPEDES</v>
      </c>
      <c r="B89" s="5" t="str">
        <f>IF($J89="","",INDEX('Detalle individual'!$A:$A,$J89))</f>
        <v>360</v>
      </c>
      <c r="C89" s="5" t="str">
        <f>IF($J89="","",INDEX('Detalle individual'!$E:$E,$J89))</f>
        <v>JEFE DE AGENCIA</v>
      </c>
      <c r="D89" s="5" t="str">
        <f>IF($J89="","",INDEX('Detalle individual'!$C:$C,$J89))</f>
        <v>AGENCIA COLEGIO MEDICO</v>
      </c>
      <c r="E89" s="5" t="str">
        <f>IF($J89="","",INDEX('Detalle individual'!$D:$D,$J89))</f>
        <v>Gerencia de Negocios</v>
      </c>
      <c r="F89" s="23">
        <f>IF($J89="","",INDEX('Detalle individual'!$H:$H,$J89))</f>
        <v>46296.47634259259</v>
      </c>
      <c r="G89" s="28">
        <f>IF($J89="","",INDEX('Detalle individual'!$J:$J,$J89))</f>
        <v>100</v>
      </c>
      <c r="H89" s="28">
        <f>IF($J89="","",INDEX('Detalle individual'!$L:$L,$J89))</f>
        <v>1</v>
      </c>
      <c r="J89">
        <f>IFERROR(MATCH(SMALL(Cálculos!$AI$5:$AI$1000,85),Cálculos!$AI$5:$AI$1000,0)+4,"")</f>
        <v>212</v>
      </c>
    </row>
    <row r="90">
      <c r="A90" s="5" t="str">
        <f>IF($J90="","",INDEX('Detalle individual'!$B:$B,$J90))</f>
        <v>WILBER ERNESTO DIAZ GONZALEZ</v>
      </c>
      <c r="B90" s="5" t="str">
        <f>IF($J90="","",INDEX('Detalle individual'!$A:$A,$J90))</f>
        <v>890</v>
      </c>
      <c r="C90" s="5" t="str">
        <f>IF($J90="","",INDEX('Detalle individual'!$E:$E,$J90))</f>
        <v>CAJERO</v>
      </c>
      <c r="D90" s="5" t="str">
        <f>IF($J90="","",INDEX('Detalle individual'!$C:$C,$J90))</f>
        <v>AGENCIA COLEGIO MEDICO</v>
      </c>
      <c r="E90" s="5" t="str">
        <f>IF($J90="","",INDEX('Detalle individual'!$D:$D,$J90))</f>
        <v>Gerencia de Negocios</v>
      </c>
      <c r="F90" s="23">
        <f>IF($J90="","",INDEX('Detalle individual'!$H:$H,$J90))</f>
        <v>46307.43005787037</v>
      </c>
      <c r="G90" s="28">
        <f>IF($J90="","",INDEX('Detalle individual'!$J:$J,$J90))</f>
        <v>90</v>
      </c>
      <c r="H90" s="28">
        <f>IF($J90="","",INDEX('Detalle individual'!$L:$L,$J90))</f>
        <v>1</v>
      </c>
      <c r="J90">
        <f>IFERROR(MATCH(SMALL(Cálculos!$AI$5:$AI$1000,86),Cálculos!$AI$5:$AI$1000,0)+4,"")</f>
        <v>218</v>
      </c>
    </row>
    <row r="91">
      <c r="A91" s="5" t="str">
        <f>IF($J91="","",INDEX('Detalle individual'!$B:$B,$J91))</f>
        <v>YANIRA ELIZABETH ORTEGA MIRANDA</v>
      </c>
      <c r="B91" s="5" t="str">
        <f>IF($J91="","",INDEX('Detalle individual'!$A:$A,$J91))</f>
        <v>29</v>
      </c>
      <c r="C91" s="5" t="str">
        <f>IF($J91="","",INDEX('Detalle individual'!$E:$E,$J91))</f>
        <v>SUBJEFE DE AGENCIA</v>
      </c>
      <c r="D91" s="5" t="str">
        <f>IF($J91="","",INDEX('Detalle individual'!$C:$C,$J91))</f>
        <v>AGENCIA COLEGIO MEDICO</v>
      </c>
      <c r="E91" s="5" t="str">
        <f>IF($J91="","",INDEX('Detalle individual'!$D:$D,$J91))</f>
        <v>Gerencia de Negocios</v>
      </c>
      <c r="F91" s="23">
        <f>IF($J91="","",INDEX('Detalle individual'!$H:$H,$J91))</f>
        <v>46305.43096064815</v>
      </c>
      <c r="G91" s="28">
        <f>IF($J91="","",INDEX('Detalle individual'!$J:$J,$J91))</f>
        <v>100</v>
      </c>
      <c r="H91" s="28">
        <f>IF($J91="","",INDEX('Detalle individual'!$L:$L,$J91))</f>
        <v>1</v>
      </c>
      <c r="J91">
        <f>IFERROR(MATCH(SMALL(Cálculos!$AI$5:$AI$1000,87),Cálculos!$AI$5:$AI$1000,0)+4,"")</f>
        <v>210</v>
      </c>
    </row>
    <row r="92">
      <c r="A92" s="5" t="str">
        <f>IF($J92="","",INDEX('Detalle individual'!$B:$B,$J92))</f>
        <v>ALFREDO ARMANDO RAMOS ESCOBAR</v>
      </c>
      <c r="B92" s="5" t="str">
        <f>IF($J92="","",INDEX('Detalle individual'!$A:$A,$J92))</f>
        <v>674</v>
      </c>
      <c r="C92" s="5" t="str">
        <f>IF($J92="","",INDEX('Detalle individual'!$E:$E,$J92))</f>
        <v>CAJERO</v>
      </c>
      <c r="D92" s="5" t="str">
        <f>IF($J92="","",INDEX('Detalle individual'!$C:$C,$J92))</f>
        <v>AGENCIA COLONIA MEDICA</v>
      </c>
      <c r="E92" s="5" t="str">
        <f>IF($J92="","",INDEX('Detalle individual'!$D:$D,$J92))</f>
        <v>Gerencia de Negocios</v>
      </c>
      <c r="F92" s="23">
        <f>IF($J92="","",INDEX('Detalle individual'!$H:$H,$J92))</f>
        <v>46310.535219907404</v>
      </c>
      <c r="G92" s="28">
        <f>IF($J92="","",INDEX('Detalle individual'!$J:$J,$J92))</f>
        <v>100</v>
      </c>
      <c r="H92" s="28">
        <f>IF($J92="","",INDEX('Detalle individual'!$L:$L,$J92))</f>
        <v>1</v>
      </c>
      <c r="J92">
        <f>IFERROR(MATCH(SMALL(Cálculos!$AI$5:$AI$1000,88),Cálculos!$AI$5:$AI$1000,0)+4,"")</f>
        <v>263</v>
      </c>
    </row>
    <row r="93">
      <c r="A93" s="5" t="str">
        <f>IF($J93="","",INDEX('Detalle individual'!$B:$B,$J93))</f>
        <v>ANA MARGARITA SERRANO RUBIO</v>
      </c>
      <c r="B93" s="5" t="str">
        <f>IF($J93="","",INDEX('Detalle individual'!$A:$A,$J93))</f>
        <v>19</v>
      </c>
      <c r="C93" s="5" t="str">
        <f>IF($J93="","",INDEX('Detalle individual'!$E:$E,$J93))</f>
        <v>CAJERO</v>
      </c>
      <c r="D93" s="5" t="str">
        <f>IF($J93="","",INDEX('Detalle individual'!$C:$C,$J93))</f>
        <v>AGENCIA COLONIA MEDICA</v>
      </c>
      <c r="E93" s="5" t="str">
        <f>IF($J93="","",INDEX('Detalle individual'!$D:$D,$J93))</f>
        <v>Gerencia de Negocios</v>
      </c>
      <c r="F93" s="23">
        <f>IF($J93="","",INDEX('Detalle individual'!$H:$H,$J93))</f>
        <v>46310.54141203704</v>
      </c>
      <c r="G93" s="28">
        <f>IF($J93="","",INDEX('Detalle individual'!$J:$J,$J93))</f>
        <v>100</v>
      </c>
      <c r="H93" s="28">
        <f>IF($J93="","",INDEX('Detalle individual'!$L:$L,$J93))</f>
        <v>1</v>
      </c>
      <c r="J93">
        <f>IFERROR(MATCH(SMALL(Cálculos!$AI$5:$AI$1000,89),Cálculos!$AI$5:$AI$1000,0)+4,"")</f>
        <v>257</v>
      </c>
    </row>
    <row r="94">
      <c r="A94" s="5" t="str">
        <f>IF($J94="","",INDEX('Detalle individual'!$B:$B,$J94))</f>
        <v>CARMEN DE JESÚS GONZÁLEZ BLANCO</v>
      </c>
      <c r="B94" s="5" t="str">
        <f>IF($J94="","",INDEX('Detalle individual'!$A:$A,$J94))</f>
        <v>412</v>
      </c>
      <c r="C94" s="5" t="str">
        <f>IF($J94="","",INDEX('Detalle individual'!$E:$E,$J94))</f>
        <v>EJECUTIVA DE SEGUROS</v>
      </c>
      <c r="D94" s="5" t="str">
        <f>IF($J94="","",INDEX('Detalle individual'!$C:$C,$J94))</f>
        <v>AGENCIA COLONIA MEDICA</v>
      </c>
      <c r="E94" s="5" t="str">
        <f>IF($J94="","",INDEX('Detalle individual'!$D:$D,$J94))</f>
        <v>Gerencia de Negocios</v>
      </c>
      <c r="F94" s="23">
        <f>IF($J94="","",INDEX('Detalle individual'!$H:$H,$J94))</f>
        <v>46302.63581018519</v>
      </c>
      <c r="G94" s="28">
        <f>IF($J94="","",INDEX('Detalle individual'!$J:$J,$J94))</f>
        <v>100</v>
      </c>
      <c r="H94" s="28">
        <f>IF($J94="","",INDEX('Detalle individual'!$L:$L,$J94))</f>
        <v>1</v>
      </c>
      <c r="J94">
        <f>IFERROR(MATCH(SMALL(Cálculos!$AI$5:$AI$1000,90),Cálculos!$AI$5:$AI$1000,0)+4,"")</f>
        <v>261</v>
      </c>
    </row>
    <row r="95">
      <c r="A95" s="5" t="str">
        <f>IF($J95="","",INDEX('Detalle individual'!$B:$B,$J95))</f>
        <v>DIANA MARISOL BATRES BARAHONA</v>
      </c>
      <c r="B95" s="5" t="str">
        <f>IF($J95="","",INDEX('Detalle individual'!$A:$A,$J95))</f>
        <v>728</v>
      </c>
      <c r="C95" s="5" t="str">
        <f>IF($J95="","",INDEX('Detalle individual'!$E:$E,$J95))</f>
        <v>SUBJEFE DE AGENCIA</v>
      </c>
      <c r="D95" s="5" t="str">
        <f>IF($J95="","",INDEX('Detalle individual'!$C:$C,$J95))</f>
        <v>AGENCIA COLONIA MEDICA</v>
      </c>
      <c r="E95" s="5" t="str">
        <f>IF($J95="","",INDEX('Detalle individual'!$D:$D,$J95))</f>
        <v>Gerencia de Negocios</v>
      </c>
      <c r="F95" s="23">
        <f>IF($J95="","",INDEX('Detalle individual'!$H:$H,$J95))</f>
        <v>46300.68400462963</v>
      </c>
      <c r="G95" s="28">
        <f>IF($J95="","",INDEX('Detalle individual'!$J:$J,$J95))</f>
        <v>100</v>
      </c>
      <c r="H95" s="28">
        <f>IF($J95="","",INDEX('Detalle individual'!$L:$L,$J95))</f>
        <v>1</v>
      </c>
      <c r="J95">
        <f>IFERROR(MATCH(SMALL(Cálculos!$AI$5:$AI$1000,91),Cálculos!$AI$5:$AI$1000,0)+4,"")</f>
        <v>265</v>
      </c>
    </row>
    <row r="96">
      <c r="A96" s="5" t="str">
        <f>IF($J96="","",INDEX('Detalle individual'!$B:$B,$J96))</f>
        <v>FLOR DE MARIA ROSALES SORTO</v>
      </c>
      <c r="B96" s="5" t="str">
        <f>IF($J96="","",INDEX('Detalle individual'!$A:$A,$J96))</f>
        <v>873</v>
      </c>
      <c r="C96" s="5" t="str">
        <f>IF($J96="","",INDEX('Detalle individual'!$E:$E,$J96))</f>
        <v>CAJERO</v>
      </c>
      <c r="D96" s="5" t="str">
        <f>IF($J96="","",INDEX('Detalle individual'!$C:$C,$J96))</f>
        <v>AGENCIA COLONIA MEDICA</v>
      </c>
      <c r="E96" s="5" t="str">
        <f>IF($J96="","",INDEX('Detalle individual'!$D:$D,$J96))</f>
        <v>Gerencia de Negocios</v>
      </c>
      <c r="F96" s="23">
        <f>IF($J96="","",INDEX('Detalle individual'!$H:$H,$J96))</f>
        <v>46310.52071759259</v>
      </c>
      <c r="G96" s="28">
        <f>IF($J96="","",INDEX('Detalle individual'!$J:$J,$J96))</f>
        <v>100</v>
      </c>
      <c r="H96" s="28">
        <f>IF($J96="","",INDEX('Detalle individual'!$L:$L,$J96))</f>
        <v>1</v>
      </c>
      <c r="J96">
        <f>IFERROR(MATCH(SMALL(Cálculos!$AI$5:$AI$1000,92),Cálculos!$AI$5:$AI$1000,0)+4,"")</f>
        <v>269</v>
      </c>
    </row>
    <row r="97">
      <c r="A97" s="5" t="str">
        <f>IF($J97="","",INDEX('Detalle individual'!$B:$B,$J97))</f>
        <v>FLOR DEL CARMEN GONZALEZ HERNANDEZ</v>
      </c>
      <c r="B97" s="5" t="str">
        <f>IF($J97="","",INDEX('Detalle individual'!$A:$A,$J97))</f>
        <v>913</v>
      </c>
      <c r="C97" s="5" t="str">
        <f>IF($J97="","",INDEX('Detalle individual'!$E:$E,$J97))</f>
        <v>SERVICIOS VARIOS</v>
      </c>
      <c r="D97" s="5" t="str">
        <f>IF($J97="","",INDEX('Detalle individual'!$C:$C,$J97))</f>
        <v>AGENCIA COLONIA MEDICA</v>
      </c>
      <c r="E97" s="5" t="str">
        <f>IF($J97="","",INDEX('Detalle individual'!$D:$D,$J97))</f>
        <v>Gerencia de Negocios</v>
      </c>
      <c r="F97" s="23">
        <f>IF($J97="","",INDEX('Detalle individual'!$H:$H,$J97))</f>
        <v>46310.53796296296</v>
      </c>
      <c r="G97" s="28">
        <f>IF($J97="","",INDEX('Detalle individual'!$J:$J,$J97))</f>
        <v>100</v>
      </c>
      <c r="H97" s="28">
        <f>IF($J97="","",INDEX('Detalle individual'!$L:$L,$J97))</f>
        <v>1</v>
      </c>
      <c r="J97">
        <f>IFERROR(MATCH(SMALL(Cálculos!$AI$5:$AI$1000,93),Cálculos!$AI$5:$AI$1000,0)+4,"")</f>
        <v>271</v>
      </c>
    </row>
    <row r="98">
      <c r="A98" s="5" t="str">
        <f>IF($J98="","",INDEX('Detalle individual'!$B:$B,$J98))</f>
        <v>INGRID PAOLA CORADO HERNANDEZ</v>
      </c>
      <c r="B98" s="5" t="str">
        <f>IF($J98="","",INDEX('Detalle individual'!$A:$A,$J98))</f>
        <v>722</v>
      </c>
      <c r="C98" s="5" t="str">
        <f>IF($J98="","",INDEX('Detalle individual'!$E:$E,$J98))</f>
        <v>CAJERO</v>
      </c>
      <c r="D98" s="5" t="str">
        <f>IF($J98="","",INDEX('Detalle individual'!$C:$C,$J98))</f>
        <v>AGENCIA COLONIA MEDICA</v>
      </c>
      <c r="E98" s="5" t="str">
        <f>IF($J98="","",INDEX('Detalle individual'!$D:$D,$J98))</f>
        <v>Gerencia de Negocios</v>
      </c>
      <c r="F98" s="23">
        <f>IF($J98="","",INDEX('Detalle individual'!$H:$H,$J98))</f>
        <v>46308.57957175926</v>
      </c>
      <c r="G98" s="28">
        <f>IF($J98="","",INDEX('Detalle individual'!$J:$J,$J98))</f>
        <v>90</v>
      </c>
      <c r="H98" s="28">
        <f>IF($J98="","",INDEX('Detalle individual'!$L:$L,$J98))</f>
        <v>1</v>
      </c>
      <c r="J98">
        <f>IFERROR(MATCH(SMALL(Cálculos!$AI$5:$AI$1000,94),Cálculos!$AI$5:$AI$1000,0)+4,"")</f>
        <v>264</v>
      </c>
    </row>
    <row r="99">
      <c r="A99" s="5" t="str">
        <f>IF($J99="","",INDEX('Detalle individual'!$B:$B,$J99))</f>
        <v>JACQUELINE GUADALUPE CEA ALVARADO</v>
      </c>
      <c r="B99" s="5" t="str">
        <f>IF($J99="","",INDEX('Detalle individual'!$A:$A,$J99))</f>
        <v>933</v>
      </c>
      <c r="C99" s="5" t="str">
        <f>IF($J99="","",INDEX('Detalle individual'!$E:$E,$J99))</f>
        <v>EJECUTIVO DE NEGOCIOS</v>
      </c>
      <c r="D99" s="5" t="str">
        <f>IF($J99="","",INDEX('Detalle individual'!$C:$C,$J99))</f>
        <v>AGENCIA COLONIA MEDICA</v>
      </c>
      <c r="E99" s="5" t="str">
        <f>IF($J99="","",INDEX('Detalle individual'!$D:$D,$J99))</f>
        <v>Gerencia de Negocios</v>
      </c>
      <c r="F99" s="23">
        <f>IF($J99="","",INDEX('Detalle individual'!$H:$H,$J99))</f>
        <v>46311.71008101852</v>
      </c>
      <c r="G99" s="28">
        <f>IF($J99="","",INDEX('Detalle individual'!$J:$J,$J99))</f>
        <v>90</v>
      </c>
      <c r="H99" s="28">
        <f>IF($J99="","",INDEX('Detalle individual'!$L:$L,$J99))</f>
        <v>1</v>
      </c>
      <c r="J99">
        <f>IFERROR(MATCH(SMALL(Cálculos!$AI$5:$AI$1000,95),Cálculos!$AI$5:$AI$1000,0)+4,"")</f>
        <v>272</v>
      </c>
    </row>
    <row r="100">
      <c r="A100" s="5" t="str">
        <f>IF($J100="","",INDEX('Detalle individual'!$B:$B,$J100))</f>
        <v>JENNIFFER IVETTE MORALES PEREZ</v>
      </c>
      <c r="B100" s="5" t="str">
        <f>IF($J100="","",INDEX('Detalle individual'!$A:$A,$J100))</f>
        <v>308</v>
      </c>
      <c r="C100" s="5" t="str">
        <f>IF($J100="","",INDEX('Detalle individual'!$E:$E,$J100))</f>
        <v>EJECUTIVO DE NEGOCIOS</v>
      </c>
      <c r="D100" s="5" t="str">
        <f>IF($J100="","",INDEX('Detalle individual'!$C:$C,$J100))</f>
        <v>AGENCIA COLONIA MEDICA</v>
      </c>
      <c r="E100" s="5" t="str">
        <f>IF($J100="","",INDEX('Detalle individual'!$D:$D,$J100))</f>
        <v>Gerencia de Negocios</v>
      </c>
      <c r="F100" s="23">
        <f>IF($J100="","",INDEX('Detalle individual'!$H:$H,$J100))</f>
        <v>46297.714895833335</v>
      </c>
      <c r="G100" s="28">
        <f>IF($J100="","",INDEX('Detalle individual'!$J:$J,$J100))</f>
        <v>95</v>
      </c>
      <c r="H100" s="28">
        <f>IF($J100="","",INDEX('Detalle individual'!$L:$L,$J100))</f>
        <v>1</v>
      </c>
      <c r="J100">
        <f>IFERROR(MATCH(SMALL(Cálculos!$AI$5:$AI$1000,96),Cálculos!$AI$5:$AI$1000,0)+4,"")</f>
        <v>260</v>
      </c>
    </row>
    <row r="101">
      <c r="A101" s="5" t="str">
        <f>IF($J101="","",INDEX('Detalle individual'!$B:$B,$J101))</f>
        <v>JULIO ENRIQUE CAMPOS ANDRADE</v>
      </c>
      <c r="B101" s="5" t="str">
        <f>IF($J101="","",INDEX('Detalle individual'!$A:$A,$J101))</f>
        <v>624</v>
      </c>
      <c r="C101" s="5" t="str">
        <f>IF($J101="","",INDEX('Detalle individual'!$E:$E,$J101))</f>
        <v>EJECUTIVO DE NEGOCIOS</v>
      </c>
      <c r="D101" s="5" t="str">
        <f>IF($J101="","",INDEX('Detalle individual'!$C:$C,$J101))</f>
        <v>AGENCIA COLONIA MEDICA</v>
      </c>
      <c r="E101" s="5" t="str">
        <f>IF($J101="","",INDEX('Detalle individual'!$D:$D,$J101))</f>
        <v>Gerencia de Negocios</v>
      </c>
      <c r="F101" s="23">
        <f>IF($J101="","",INDEX('Detalle individual'!$H:$H,$J101))</f>
        <v>46310.516701388886</v>
      </c>
      <c r="G101" s="28">
        <f>IF($J101="","",INDEX('Detalle individual'!$J:$J,$J101))</f>
        <v>90</v>
      </c>
      <c r="H101" s="28">
        <f>IF($J101="","",INDEX('Detalle individual'!$L:$L,$J101))</f>
        <v>1</v>
      </c>
      <c r="J101">
        <f>IFERROR(MATCH(SMALL(Cálculos!$AI$5:$AI$1000,97),Cálculos!$AI$5:$AI$1000,0)+4,"")</f>
        <v>262</v>
      </c>
    </row>
    <row r="102">
      <c r="A102" s="5" t="str">
        <f>IF($J102="","",INDEX('Detalle individual'!$B:$B,$J102))</f>
        <v>JULIO RAFAEL FLORES HENRIQUEZ</v>
      </c>
      <c r="B102" s="5" t="str">
        <f>IF($J102="","",INDEX('Detalle individual'!$A:$A,$J102))</f>
        <v>179</v>
      </c>
      <c r="C102" s="5" t="str">
        <f>IF($J102="","",INDEX('Detalle individual'!$E:$E,$J102))</f>
        <v>JEFE DE AGENCIA</v>
      </c>
      <c r="D102" s="5" t="str">
        <f>IF($J102="","",INDEX('Detalle individual'!$C:$C,$J102))</f>
        <v>AGENCIA COLONIA MEDICA</v>
      </c>
      <c r="E102" s="5" t="str">
        <f>IF($J102="","",INDEX('Detalle individual'!$D:$D,$J102))</f>
        <v>Gerencia de Negocios</v>
      </c>
      <c r="F102" s="23">
        <f>IF($J102="","",INDEX('Detalle individual'!$H:$H,$J102))</f>
        <v>46309.36565972222</v>
      </c>
      <c r="G102" s="28">
        <f>IF($J102="","",INDEX('Detalle individual'!$J:$J,$J102))</f>
        <v>100</v>
      </c>
      <c r="H102" s="28">
        <f>IF($J102="","",INDEX('Detalle individual'!$L:$L,$J102))</f>
        <v>1</v>
      </c>
      <c r="J102">
        <f>IFERROR(MATCH(SMALL(Cálculos!$AI$5:$AI$1000,98),Cálculos!$AI$5:$AI$1000,0)+4,"")</f>
        <v>259</v>
      </c>
    </row>
    <row r="103">
      <c r="A103" s="5" t="str">
        <f>IF($J103="","",INDEX('Detalle individual'!$B:$B,$J103))</f>
        <v>PATRICIA JEANNETTE FLORES MARTINEZ</v>
      </c>
      <c r="B103" s="5" t="str">
        <f>IF($J103="","",INDEX('Detalle individual'!$A:$A,$J103))</f>
        <v>89</v>
      </c>
      <c r="C103" s="5" t="str">
        <f>IF($J103="","",INDEX('Detalle individual'!$E:$E,$J103))</f>
        <v>AUXILIAR DE OPERACIONES Y ATENCION EN AGENCIA</v>
      </c>
      <c r="D103" s="5" t="str">
        <f>IF($J103="","",INDEX('Detalle individual'!$C:$C,$J103))</f>
        <v>AGENCIA COLONIA MEDICA</v>
      </c>
      <c r="E103" s="5" t="str">
        <f>IF($J103="","",INDEX('Detalle individual'!$D:$D,$J103))</f>
        <v>Gerencia de Negocios</v>
      </c>
      <c r="F103" s="23">
        <f>IF($J103="","",INDEX('Detalle individual'!$H:$H,$J103))</f>
        <v>46302.64712962963</v>
      </c>
      <c r="G103" s="28">
        <f>IF($J103="","",INDEX('Detalle individual'!$J:$J,$J103))</f>
        <v>100</v>
      </c>
      <c r="H103" s="28">
        <f>IF($J103="","",INDEX('Detalle individual'!$L:$L,$J103))</f>
        <v>1</v>
      </c>
      <c r="J103">
        <f>IFERROR(MATCH(SMALL(Cálculos!$AI$5:$AI$1000,99),Cálculos!$AI$5:$AI$1000,0)+4,"")</f>
        <v>258</v>
      </c>
    </row>
    <row r="104">
      <c r="A104" s="5" t="str">
        <f>IF($J104="","",INDEX('Detalle individual'!$B:$B,$J104))</f>
        <v>STEFFANY MARIELOS MIRO HERNANDEZ</v>
      </c>
      <c r="B104" s="5" t="str">
        <f>IF($J104="","",INDEX('Detalle individual'!$A:$A,$J104))</f>
        <v>855</v>
      </c>
      <c r="C104" s="5" t="str">
        <f>IF($J104="","",INDEX('Detalle individual'!$E:$E,$J104))</f>
        <v>CAJERO</v>
      </c>
      <c r="D104" s="5" t="str">
        <f>IF($J104="","",INDEX('Detalle individual'!$C:$C,$J104))</f>
        <v>AGENCIA COLONIA MEDICA</v>
      </c>
      <c r="E104" s="5" t="str">
        <f>IF($J104="","",INDEX('Detalle individual'!$D:$D,$J104))</f>
        <v>Gerencia de Negocios</v>
      </c>
      <c r="F104" s="23">
        <f>IF($J104="","",INDEX('Detalle individual'!$H:$H,$J104))</f>
        <v>46310.52695601852</v>
      </c>
      <c r="G104" s="28">
        <f>IF($J104="","",INDEX('Detalle individual'!$J:$J,$J104))</f>
        <v>100</v>
      </c>
      <c r="H104" s="28">
        <f>IF($J104="","",INDEX('Detalle individual'!$L:$L,$J104))</f>
        <v>1</v>
      </c>
      <c r="J104">
        <f>IFERROR(MATCH(SMALL(Cálculos!$AI$5:$AI$1000,100),Cálculos!$AI$5:$AI$1000,0)+4,"")</f>
        <v>268</v>
      </c>
    </row>
    <row r="105">
      <c r="A105" s="5" t="str">
        <f>IF($J105="","",INDEX('Detalle individual'!$B:$B,$J105))</f>
        <v>YESENIA LISSETH BARAHONA VALLE</v>
      </c>
      <c r="B105" s="5" t="str">
        <f>IF($J105="","",INDEX('Detalle individual'!$A:$A,$J105))</f>
        <v>891</v>
      </c>
      <c r="C105" s="5" t="str">
        <f>IF($J105="","",INDEX('Detalle individual'!$E:$E,$J105))</f>
        <v>AUXILIAR DE ATENCION AL ASOCIADO EN AGENCIA</v>
      </c>
      <c r="D105" s="5" t="str">
        <f>IF($J105="","",INDEX('Detalle individual'!$C:$C,$J105))</f>
        <v>AGENCIA COLONIA MEDICA</v>
      </c>
      <c r="E105" s="5" t="str">
        <f>IF($J105="","",INDEX('Detalle individual'!$D:$D,$J105))</f>
        <v>Gerencia de Negocios</v>
      </c>
      <c r="F105" s="23">
        <f>IF($J105="","",INDEX('Detalle individual'!$H:$H,$J105))</f>
        <v>46310.54554398148</v>
      </c>
      <c r="G105" s="28">
        <f>IF($J105="","",INDEX('Detalle individual'!$J:$J,$J105))</f>
        <v>100</v>
      </c>
      <c r="H105" s="28">
        <f>IF($J105="","",INDEX('Detalle individual'!$L:$L,$J105))</f>
        <v>2</v>
      </c>
      <c r="J105">
        <f>IFERROR(MATCH(SMALL(Cálculos!$AI$5:$AI$1000,101),Cálculos!$AI$5:$AI$1000,0)+4,"")</f>
        <v>270</v>
      </c>
    </row>
    <row r="106">
      <c r="A106" s="5" t="str">
        <f>IF($J106="","",INDEX('Detalle individual'!$B:$B,$J106))</f>
        <v>YHANA MILET VALLE HERNANDEZ</v>
      </c>
      <c r="B106" s="5" t="str">
        <f>IF($J106="","",INDEX('Detalle individual'!$A:$A,$J106))</f>
        <v>735</v>
      </c>
      <c r="C106" s="5" t="str">
        <f>IF($J106="","",INDEX('Detalle individual'!$E:$E,$J106))</f>
        <v>CAJERO</v>
      </c>
      <c r="D106" s="5" t="str">
        <f>IF($J106="","",INDEX('Detalle individual'!$C:$C,$J106))</f>
        <v>AGENCIA COLONIA MEDICA</v>
      </c>
      <c r="E106" s="5" t="str">
        <f>IF($J106="","",INDEX('Detalle individual'!$D:$D,$J106))</f>
        <v>Gerencia de Negocios</v>
      </c>
      <c r="F106" s="23">
        <f>IF($J106="","",INDEX('Detalle individual'!$H:$H,$J106))</f>
        <v>46310.531226851854</v>
      </c>
      <c r="G106" s="28">
        <f>IF($J106="","",INDEX('Detalle individual'!$J:$J,$J106))</f>
        <v>100</v>
      </c>
      <c r="H106" s="28">
        <f>IF($J106="","",INDEX('Detalle individual'!$L:$L,$J106))</f>
        <v>1</v>
      </c>
      <c r="J106">
        <f>IFERROR(MATCH(SMALL(Cálculos!$AI$5:$AI$1000,102),Cálculos!$AI$5:$AI$1000,0)+4,"")</f>
        <v>266</v>
      </c>
    </row>
    <row r="107">
      <c r="A107" s="5" t="str">
        <f>IF($J107="","",INDEX('Detalle individual'!$B:$B,$J107))</f>
        <v>ZULMA BEATRIZ RIVAS RIVERA</v>
      </c>
      <c r="B107" s="5" t="str">
        <f>IF($J107="","",INDEX('Detalle individual'!$A:$A,$J107))</f>
        <v>801</v>
      </c>
      <c r="C107" s="5" t="str">
        <f>IF($J107="","",INDEX('Detalle individual'!$E:$E,$J107))</f>
        <v>CAJERO</v>
      </c>
      <c r="D107" s="5" t="str">
        <f>IF($J107="","",INDEX('Detalle individual'!$C:$C,$J107))</f>
        <v>AGENCIA COLONIA MEDICA</v>
      </c>
      <c r="E107" s="5" t="str">
        <f>IF($J107="","",INDEX('Detalle individual'!$D:$D,$J107))</f>
        <v>Gerencia de Negocios</v>
      </c>
      <c r="F107" s="23">
        <f>IF($J107="","",INDEX('Detalle individual'!$H:$H,$J107))</f>
        <v>46300.688368055555</v>
      </c>
      <c r="G107" s="28">
        <f>IF($J107="","",INDEX('Detalle individual'!$J:$J,$J107))</f>
        <v>100</v>
      </c>
      <c r="H107" s="28">
        <f>IF($J107="","",INDEX('Detalle individual'!$L:$L,$J107))</f>
        <v>1</v>
      </c>
      <c r="J107">
        <f>IFERROR(MATCH(SMALL(Cálculos!$AI$5:$AI$1000,103),Cálculos!$AI$5:$AI$1000,0)+4,"")</f>
        <v>267</v>
      </c>
    </row>
    <row r="108">
      <c r="A108" s="5" t="str">
        <f>IF($J108="","",INDEX('Detalle individual'!$B:$B,$J108))</f>
        <v>CLELIA DESIREE CAMPOS COSS</v>
      </c>
      <c r="B108" s="5" t="str">
        <f>IF($J108="","",INDEX('Detalle individual'!$A:$A,$J108))</f>
        <v>657</v>
      </c>
      <c r="C108" s="5" t="str">
        <f>IF($J108="","",INDEX('Detalle individual'!$E:$E,$J108))</f>
        <v>SERVICIOS VARIOS</v>
      </c>
      <c r="D108" s="5" t="str">
        <f>IF($J108="","",INDEX('Detalle individual'!$C:$C,$J108))</f>
        <v>AGENCIA MERLIOT</v>
      </c>
      <c r="E108" s="5" t="str">
        <f>IF($J108="","",INDEX('Detalle individual'!$D:$D,$J108))</f>
        <v>Gerencia de Negocios</v>
      </c>
      <c r="F108" s="23">
        <f>IF($J108="","",INDEX('Detalle individual'!$H:$H,$J108))</f>
        <v>46310.52479166666</v>
      </c>
      <c r="G108" s="28">
        <f>IF($J108="","",INDEX('Detalle individual'!$J:$J,$J108))</f>
        <v>100</v>
      </c>
      <c r="H108" s="28">
        <f>IF($J108="","",INDEX('Detalle individual'!$L:$L,$J108))</f>
        <v>1</v>
      </c>
      <c r="J108">
        <f>IFERROR(MATCH(SMALL(Cálculos!$AI$5:$AI$1000,104),Cálculos!$AI$5:$AI$1000,0)+4,"")</f>
        <v>247</v>
      </c>
    </row>
    <row r="109">
      <c r="A109" s="5" t="str">
        <f>IF($J109="","",INDEX('Detalle individual'!$B:$B,$J109))</f>
        <v>DIANA VANESSA RODRIGUEZ SORIANO</v>
      </c>
      <c r="B109" s="5" t="str">
        <f>IF($J109="","",INDEX('Detalle individual'!$A:$A,$J109))</f>
        <v>892</v>
      </c>
      <c r="C109" s="5" t="str">
        <f>IF($J109="","",INDEX('Detalle individual'!$E:$E,$J109))</f>
        <v>EJECUTIVA DE SEGUROS</v>
      </c>
      <c r="D109" s="5" t="str">
        <f>IF($J109="","",INDEX('Detalle individual'!$C:$C,$J109))</f>
        <v>AGENCIA MERLIOT</v>
      </c>
      <c r="E109" s="5" t="str">
        <f>IF($J109="","",INDEX('Detalle individual'!$D:$D,$J109))</f>
        <v>Gerencia de Negocios</v>
      </c>
      <c r="F109" s="23">
        <f>IF($J109="","",INDEX('Detalle individual'!$H:$H,$J109))</f>
        <v>46303.39013888889</v>
      </c>
      <c r="G109" s="28">
        <f>IF($J109="","",INDEX('Detalle individual'!$J:$J,$J109))</f>
        <v>100</v>
      </c>
      <c r="H109" s="28">
        <f>IF($J109="","",INDEX('Detalle individual'!$L:$L,$J109))</f>
        <v>1</v>
      </c>
      <c r="J109">
        <f>IFERROR(MATCH(SMALL(Cálculos!$AI$5:$AI$1000,105),Cálculos!$AI$5:$AI$1000,0)+4,"")</f>
        <v>251</v>
      </c>
    </row>
    <row r="110">
      <c r="A110" s="5" t="str">
        <f>IF($J110="","",INDEX('Detalle individual'!$B:$B,$J110))</f>
        <v>FATIMA BERENICE MEDINA ESCALANTE</v>
      </c>
      <c r="B110" s="5" t="str">
        <f>IF($J110="","",INDEX('Detalle individual'!$A:$A,$J110))</f>
        <v>343</v>
      </c>
      <c r="C110" s="5" t="str">
        <f>IF($J110="","",INDEX('Detalle individual'!$E:$E,$J110))</f>
        <v>JEFE DE AGENCIA</v>
      </c>
      <c r="D110" s="5" t="str">
        <f>IF($J110="","",INDEX('Detalle individual'!$C:$C,$J110))</f>
        <v>AGENCIA MERLIOT</v>
      </c>
      <c r="E110" s="5" t="str">
        <f>IF($J110="","",INDEX('Detalle individual'!$D:$D,$J110))</f>
        <v>Gerencia de Negocios</v>
      </c>
      <c r="F110" s="23">
        <f>IF($J110="","",INDEX('Detalle individual'!$H:$H,$J110))</f>
        <v>46302.70259259259</v>
      </c>
      <c r="G110" s="28">
        <f>IF($J110="","",INDEX('Detalle individual'!$J:$J,$J110))</f>
        <v>100</v>
      </c>
      <c r="H110" s="28">
        <f>IF($J110="","",INDEX('Detalle individual'!$L:$L,$J110))</f>
        <v>1</v>
      </c>
      <c r="J110">
        <f>IFERROR(MATCH(SMALL(Cálculos!$AI$5:$AI$1000,106),Cálculos!$AI$5:$AI$1000,0)+4,"")</f>
        <v>246</v>
      </c>
    </row>
    <row r="111">
      <c r="A111" s="5" t="str">
        <f>IF($J111="","",INDEX('Detalle individual'!$B:$B,$J111))</f>
        <v>GLADYS LISETH HERNANDEZ CRUZ</v>
      </c>
      <c r="B111" s="5" t="str">
        <f>IF($J111="","",INDEX('Detalle individual'!$A:$A,$J111))</f>
        <v>909</v>
      </c>
      <c r="C111" s="5" t="str">
        <f>IF($J111="","",INDEX('Detalle individual'!$E:$E,$J111))</f>
        <v>CAJERO</v>
      </c>
      <c r="D111" s="5" t="str">
        <f>IF($J111="","",INDEX('Detalle individual'!$C:$C,$J111))</f>
        <v>AGENCIA MERLIOT</v>
      </c>
      <c r="E111" s="5" t="str">
        <f>IF($J111="","",INDEX('Detalle individual'!$D:$D,$J111))</f>
        <v>Gerencia de Negocios</v>
      </c>
      <c r="F111" s="23">
        <f>IF($J111="","",INDEX('Detalle individual'!$H:$H,$J111))</f>
        <v>46302.70457175926</v>
      </c>
      <c r="G111" s="28">
        <f>IF($J111="","",INDEX('Detalle individual'!$J:$J,$J111))</f>
        <v>100</v>
      </c>
      <c r="H111" s="28">
        <f>IF($J111="","",INDEX('Detalle individual'!$L:$L,$J111))</f>
        <v>1</v>
      </c>
      <c r="J111">
        <f>IFERROR(MATCH(SMALL(Cálculos!$AI$5:$AI$1000,107),Cálculos!$AI$5:$AI$1000,0)+4,"")</f>
        <v>252</v>
      </c>
    </row>
    <row r="112">
      <c r="A112" s="5" t="str">
        <f>IF($J112="","",INDEX('Detalle individual'!$B:$B,$J112))</f>
        <v>JENNIFFER MIREYA AYALA ZEPEDA</v>
      </c>
      <c r="B112" s="5" t="str">
        <f>IF($J112="","",INDEX('Detalle individual'!$A:$A,$J112))</f>
        <v>700</v>
      </c>
      <c r="C112" s="5" t="str">
        <f>IF($J112="","",INDEX('Detalle individual'!$E:$E,$J112))</f>
        <v>SUBJEFE DE AGENCIA</v>
      </c>
      <c r="D112" s="5" t="str">
        <f>IF($J112="","",INDEX('Detalle individual'!$C:$C,$J112))</f>
        <v>AGENCIA MERLIOT</v>
      </c>
      <c r="E112" s="5" t="str">
        <f>IF($J112="","",INDEX('Detalle individual'!$D:$D,$J112))</f>
        <v>Gerencia de Negocios</v>
      </c>
      <c r="F112" s="23">
        <f>IF($J112="","",INDEX('Detalle individual'!$H:$H,$J112))</f>
        <v>46302.561886574076</v>
      </c>
      <c r="G112" s="28">
        <f>IF($J112="","",INDEX('Detalle individual'!$J:$J,$J112))</f>
        <v>100</v>
      </c>
      <c r="H112" s="28">
        <f>IF($J112="","",INDEX('Detalle individual'!$L:$L,$J112))</f>
        <v>1</v>
      </c>
      <c r="J112">
        <f>IFERROR(MATCH(SMALL(Cálculos!$AI$5:$AI$1000,108),Cálculos!$AI$5:$AI$1000,0)+4,"")</f>
        <v>249</v>
      </c>
    </row>
    <row r="113">
      <c r="A113" s="5" t="str">
        <f>IF($J113="","",INDEX('Detalle individual'!$B:$B,$J113))</f>
        <v>JOSSELYN IVONNE GARCIA HERNANDEZ</v>
      </c>
      <c r="B113" s="5" t="str">
        <f>IF($J113="","",INDEX('Detalle individual'!$A:$A,$J113))</f>
        <v>944</v>
      </c>
      <c r="C113" s="5" t="str">
        <f>IF($J113="","",INDEX('Detalle individual'!$E:$E,$J113))</f>
        <v>AUXILIAR DE ATENCION A ASOCIADOS</v>
      </c>
      <c r="D113" s="5" t="str">
        <f>IF($J113="","",INDEX('Detalle individual'!$C:$C,$J113))</f>
        <v>AGENCIA MERLIOT</v>
      </c>
      <c r="E113" s="5" t="str">
        <f>IF($J113="","",INDEX('Detalle individual'!$D:$D,$J113))</f>
        <v>Gerencia de Negocios</v>
      </c>
      <c r="F113" s="23">
        <f>IF($J113="","",INDEX('Detalle individual'!$H:$H,$J113))</f>
        <v>46296.67511574074</v>
      </c>
      <c r="G113" s="28">
        <f>IF($J113="","",INDEX('Detalle individual'!$J:$J,$J113))</f>
        <v>75</v>
      </c>
      <c r="H113" s="28">
        <f>IF($J113="","",INDEX('Detalle individual'!$L:$L,$J113))</f>
        <v>1</v>
      </c>
      <c r="J113">
        <f>IFERROR(MATCH(SMALL(Cálculos!$AI$5:$AI$1000,109),Cálculos!$AI$5:$AI$1000,0)+4,"")</f>
        <v>255</v>
      </c>
    </row>
    <row r="114">
      <c r="A114" s="5" t="str">
        <f>IF($J114="","",INDEX('Detalle individual'!$B:$B,$J114))</f>
        <v>KELLY IDALIA CHAVEZ ABREGO</v>
      </c>
      <c r="B114" s="5" t="str">
        <f>IF($J114="","",INDEX('Detalle individual'!$A:$A,$J114))</f>
        <v>827</v>
      </c>
      <c r="C114" s="5" t="str">
        <f>IF($J114="","",INDEX('Detalle individual'!$E:$E,$J114))</f>
        <v>CAJERO</v>
      </c>
      <c r="D114" s="5" t="str">
        <f>IF($J114="","",INDEX('Detalle individual'!$C:$C,$J114))</f>
        <v>AGENCIA MERLIOT</v>
      </c>
      <c r="E114" s="5" t="str">
        <f>IF($J114="","",INDEX('Detalle individual'!$D:$D,$J114))</f>
        <v>Gerencia de Negocios</v>
      </c>
      <c r="F114" s="23">
        <f>IF($J114="","",INDEX('Detalle individual'!$H:$H,$J114))</f>
        <v>46302.58609953704</v>
      </c>
      <c r="G114" s="28">
        <f>IF($J114="","",INDEX('Detalle individual'!$J:$J,$J114))</f>
        <v>100</v>
      </c>
      <c r="H114" s="28">
        <f>IF($J114="","",INDEX('Detalle individual'!$L:$L,$J114))</f>
        <v>1</v>
      </c>
      <c r="J114">
        <f>IFERROR(MATCH(SMALL(Cálculos!$AI$5:$AI$1000,110),Cálculos!$AI$5:$AI$1000,0)+4,"")</f>
        <v>250</v>
      </c>
    </row>
    <row r="115">
      <c r="A115" s="5" t="str">
        <f>IF($J115="","",INDEX('Detalle individual'!$B:$B,$J115))</f>
        <v>MADELINE ADRIANA GOMEZ GARCIA</v>
      </c>
      <c r="B115" s="5" t="str">
        <f>IF($J115="","",INDEX('Detalle individual'!$A:$A,$J115))</f>
        <v>922</v>
      </c>
      <c r="C115" s="5" t="str">
        <f>IF($J115="","",INDEX('Detalle individual'!$E:$E,$J115))</f>
        <v>CAJERO</v>
      </c>
      <c r="D115" s="5" t="str">
        <f>IF($J115="","",INDEX('Detalle individual'!$C:$C,$J115))</f>
        <v>AGENCIA MERLIOT</v>
      </c>
      <c r="E115" s="5" t="str">
        <f>IF($J115="","",INDEX('Detalle individual'!$D:$D,$J115))</f>
        <v>Gerencia de Negocios</v>
      </c>
      <c r="F115" s="23">
        <f>IF($J115="","",INDEX('Detalle individual'!$H:$H,$J115))</f>
        <v>46302.57753472222</v>
      </c>
      <c r="G115" s="28">
        <f>IF($J115="","",INDEX('Detalle individual'!$J:$J,$J115))</f>
        <v>100</v>
      </c>
      <c r="H115" s="28">
        <f>IF($J115="","",INDEX('Detalle individual'!$L:$L,$J115))</f>
        <v>1</v>
      </c>
      <c r="J115">
        <f>IFERROR(MATCH(SMALL(Cálculos!$AI$5:$AI$1000,111),Cálculos!$AI$5:$AI$1000,0)+4,"")</f>
        <v>253</v>
      </c>
    </row>
    <row r="116">
      <c r="A116" s="5" t="str">
        <f>IF($J116="","",INDEX('Detalle individual'!$B:$B,$J116))</f>
        <v>MARISELA GUADALUPE MEJIA CRUZ</v>
      </c>
      <c r="B116" s="5" t="str">
        <f>IF($J116="","",INDEX('Detalle individual'!$A:$A,$J116))</f>
        <v>936</v>
      </c>
      <c r="C116" s="5" t="str">
        <f>IF($J116="","",INDEX('Detalle individual'!$E:$E,$J116))</f>
        <v>CAJERO</v>
      </c>
      <c r="D116" s="5" t="str">
        <f>IF($J116="","",INDEX('Detalle individual'!$C:$C,$J116))</f>
        <v>AGENCIA MERLIOT</v>
      </c>
      <c r="E116" s="5" t="str">
        <f>IF($J116="","",INDEX('Detalle individual'!$D:$D,$J116))</f>
        <v>Gerencia de Negocios</v>
      </c>
      <c r="F116" s="23">
        <f>IF($J116="","",INDEX('Detalle individual'!$H:$H,$J116))</f>
        <v>46302.637037037035</v>
      </c>
      <c r="G116" s="28">
        <f>IF($J116="","",INDEX('Detalle individual'!$J:$J,$J116))</f>
        <v>100</v>
      </c>
      <c r="H116" s="28">
        <f>IF($J116="","",INDEX('Detalle individual'!$L:$L,$J116))</f>
        <v>1</v>
      </c>
      <c r="J116">
        <f>IFERROR(MATCH(SMALL(Cálculos!$AI$5:$AI$1000,112),Cálculos!$AI$5:$AI$1000,0)+4,"")</f>
        <v>254</v>
      </c>
    </row>
    <row r="117">
      <c r="A117" s="5" t="str">
        <f>IF($J117="","",INDEX('Detalle individual'!$B:$B,$J117))</f>
        <v>MAVERICK JOSSIMAR GONZALEZ MUÑOZ</v>
      </c>
      <c r="B117" s="5" t="str">
        <f>IF($J117="","",INDEX('Detalle individual'!$A:$A,$J117))</f>
        <v>967</v>
      </c>
      <c r="C117" s="5" t="str">
        <f>IF($J117="","",INDEX('Detalle individual'!$E:$E,$J117))</f>
        <v>CAJERO</v>
      </c>
      <c r="D117" s="5" t="str">
        <f>IF($J117="","",INDEX('Detalle individual'!$C:$C,$J117))</f>
        <v>AGENCIA MERLIOT</v>
      </c>
      <c r="E117" s="5" t="str">
        <f>IF($J117="","",INDEX('Detalle individual'!$D:$D,$J117))</f>
        <v>Gerencia de Negocios</v>
      </c>
      <c r="F117" s="23">
        <f>IF($J117="","",INDEX('Detalle individual'!$H:$H,$J117))</f>
        <v>46302.58998842593</v>
      </c>
      <c r="G117" s="28">
        <f>IF($J117="","",INDEX('Detalle individual'!$J:$J,$J117))</f>
        <v>100</v>
      </c>
      <c r="H117" s="28">
        <f>IF($J117="","",INDEX('Detalle individual'!$L:$L,$J117))</f>
        <v>1</v>
      </c>
      <c r="J117">
        <f>IFERROR(MATCH(SMALL(Cálculos!$AI$5:$AI$1000,113),Cálculos!$AI$5:$AI$1000,0)+4,"")</f>
        <v>256</v>
      </c>
    </row>
    <row r="118">
      <c r="A118" s="5" t="str">
        <f>IF($J118="","",INDEX('Detalle individual'!$B:$B,$J118))</f>
        <v>MILTON ALEXANDER CUELLAR GARCIA</v>
      </c>
      <c r="B118" s="5" t="str">
        <f>IF($J118="","",INDEX('Detalle individual'!$A:$A,$J118))</f>
        <v>671</v>
      </c>
      <c r="C118" s="5" t="str">
        <f>IF($J118="","",INDEX('Detalle individual'!$E:$E,$J118))</f>
        <v>CAJERO</v>
      </c>
      <c r="D118" s="5" t="str">
        <f>IF($J118="","",INDEX('Detalle individual'!$C:$C,$J118))</f>
        <v>AGENCIA MERLIOT</v>
      </c>
      <c r="E118" s="5" t="str">
        <f>IF($J118="","",INDEX('Detalle individual'!$D:$D,$J118))</f>
        <v>Gerencia de Negocios</v>
      </c>
      <c r="F118" s="23">
        <f>IF($J118="","",INDEX('Detalle individual'!$H:$H,$J118))</f>
        <v>46296.55247685185</v>
      </c>
      <c r="G118" s="28">
        <f>IF($J118="","",INDEX('Detalle individual'!$J:$J,$J118))</f>
        <v>70</v>
      </c>
      <c r="H118" s="28">
        <f>IF($J118="","",INDEX('Detalle individual'!$L:$L,$J118))</f>
        <v>1</v>
      </c>
      <c r="J118">
        <f>IFERROR(MATCH(SMALL(Cálculos!$AI$5:$AI$1000,114),Cálculos!$AI$5:$AI$1000,0)+4,"")</f>
        <v>248</v>
      </c>
    </row>
    <row r="119">
      <c r="A119" s="5" t="str">
        <f>IF($J119="","",INDEX('Detalle individual'!$B:$B,$J119))</f>
        <v>NURIA LISSETH AGUILAR AGUILAR</v>
      </c>
      <c r="B119" s="5" t="str">
        <f>IF($J119="","",INDEX('Detalle individual'!$A:$A,$J119))</f>
        <v>251</v>
      </c>
      <c r="C119" s="5" t="str">
        <f>IF($J119="","",INDEX('Detalle individual'!$E:$E,$J119))</f>
        <v>EJECUTIVO DE NEGOCIOS</v>
      </c>
      <c r="D119" s="5" t="str">
        <f>IF($J119="","",INDEX('Detalle individual'!$C:$C,$J119))</f>
        <v>AGENCIA MERLIOT</v>
      </c>
      <c r="E119" s="5" t="str">
        <f>IF($J119="","",INDEX('Detalle individual'!$D:$D,$J119))</f>
        <v>Gerencia de Negocios</v>
      </c>
      <c r="F119" s="23">
        <f>IF($J119="","",INDEX('Detalle individual'!$H:$H,$J119))</f>
        <v>46303.46199074074</v>
      </c>
      <c r="G119" s="28">
        <f>IF($J119="","",INDEX('Detalle individual'!$J:$J,$J119))</f>
        <v>100</v>
      </c>
      <c r="H119" s="28">
        <f>IF($J119="","",INDEX('Detalle individual'!$L:$L,$J119))</f>
        <v>1</v>
      </c>
      <c r="J119">
        <f>IFERROR(MATCH(SMALL(Cálculos!$AI$5:$AI$1000,115),Cálculos!$AI$5:$AI$1000,0)+4,"")</f>
        <v>245</v>
      </c>
    </row>
    <row r="120">
      <c r="A120" s="5" t="str">
        <f>IF($J120="","",INDEX('Detalle individual'!$B:$B,$J120))</f>
        <v>PATRICIA GUADALUPE GUARDADO OSEGUEDA</v>
      </c>
      <c r="B120" s="5" t="str">
        <f>IF($J120="","",INDEX('Detalle individual'!$A:$A,$J120))</f>
        <v>159</v>
      </c>
      <c r="C120" s="5" t="str">
        <f>IF($J120="","",INDEX('Detalle individual'!$E:$E,$J120))</f>
        <v>EJECUTIVO DE NEGOCIOS</v>
      </c>
      <c r="D120" s="5" t="str">
        <f>IF($J120="","",INDEX('Detalle individual'!$C:$C,$J120))</f>
        <v>AGENCIA MERLIOT</v>
      </c>
      <c r="E120" s="5" t="str">
        <f>IF($J120="","",INDEX('Detalle individual'!$D:$D,$J120))</f>
        <v>Gerencia de Negocios</v>
      </c>
      <c r="F120" s="23">
        <f>IF($J120="","",INDEX('Detalle individual'!$H:$H,$J120))</f>
        <v>46303.39640046296</v>
      </c>
      <c r="G120" s="28">
        <f>IF($J120="","",INDEX('Detalle individual'!$J:$J,$J120))</f>
        <v>100</v>
      </c>
      <c r="H120" s="28">
        <f>IF($J120="","",INDEX('Detalle individual'!$L:$L,$J120))</f>
        <v>1</v>
      </c>
      <c r="J120">
        <f>IFERROR(MATCH(SMALL(Cálculos!$AI$5:$AI$1000,116),Cálculos!$AI$5:$AI$1000,0)+4,"")</f>
        <v>244</v>
      </c>
    </row>
    <row r="121">
      <c r="A121" s="5" t="str">
        <f>IF($J121="","",INDEX('Detalle individual'!$B:$B,$J121))</f>
        <v>ERIKA IVETH MANCIA HERNANDEZ</v>
      </c>
      <c r="B121" s="5" t="str">
        <f>IF($J121="","",INDEX('Detalle individual'!$A:$A,$J121))</f>
        <v>955</v>
      </c>
      <c r="C121" s="5" t="str">
        <f>IF($J121="","",INDEX('Detalle individual'!$E:$E,$J121))</f>
        <v>CAJERO</v>
      </c>
      <c r="D121" s="5" t="str">
        <f>IF($J121="","",INDEX('Detalle individual'!$C:$C,$J121))</f>
        <v>AGENCIA PLAZA MUNDO</v>
      </c>
      <c r="E121" s="5" t="str">
        <f>IF($J121="","",INDEX('Detalle individual'!$D:$D,$J121))</f>
        <v>Gerencia de Negocios</v>
      </c>
      <c r="F121" s="23">
        <f>IF($J121="","",INDEX('Detalle individual'!$H:$H,$J121))</f>
        <v>46309.404699074075</v>
      </c>
      <c r="G121" s="28">
        <f>IF($J121="","",INDEX('Detalle individual'!$J:$J,$J121))</f>
        <v>100</v>
      </c>
      <c r="H121" s="28">
        <f>IF($J121="","",INDEX('Detalle individual'!$L:$L,$J121))</f>
        <v>1</v>
      </c>
      <c r="J121">
        <f>IFERROR(MATCH(SMALL(Cálculos!$AI$5:$AI$1000,117),Cálculos!$AI$5:$AI$1000,0)+4,"")</f>
        <v>280</v>
      </c>
    </row>
    <row r="122">
      <c r="A122" s="5" t="str">
        <f>IF($J122="","",INDEX('Detalle individual'!$B:$B,$J122))</f>
        <v>GABRIELA JEANNETTE BOLAÑOS HERRERA</v>
      </c>
      <c r="B122" s="5" t="str">
        <f>IF($J122="","",INDEX('Detalle individual'!$A:$A,$J122))</f>
        <v>616</v>
      </c>
      <c r="C122" s="5" t="str">
        <f>IF($J122="","",INDEX('Detalle individual'!$E:$E,$J122))</f>
        <v>EJECUTIVA DE SEGUROS</v>
      </c>
      <c r="D122" s="5" t="str">
        <f>IF($J122="","",INDEX('Detalle individual'!$C:$C,$J122))</f>
        <v>AGENCIA PLAZA MUNDO</v>
      </c>
      <c r="E122" s="5" t="str">
        <f>IF($J122="","",INDEX('Detalle individual'!$D:$D,$J122))</f>
        <v>Gerencia de Negocios</v>
      </c>
      <c r="F122" s="23">
        <f>IF($J122="","",INDEX('Detalle individual'!$H:$H,$J122))</f>
        <v>46308.41873842593</v>
      </c>
      <c r="G122" s="28">
        <f>IF($J122="","",INDEX('Detalle individual'!$J:$J,$J122))</f>
        <v>100</v>
      </c>
      <c r="H122" s="28">
        <f>IF($J122="","",INDEX('Detalle individual'!$L:$L,$J122))</f>
        <v>1</v>
      </c>
      <c r="J122">
        <f>IFERROR(MATCH(SMALL(Cálculos!$AI$5:$AI$1000,118),Cálculos!$AI$5:$AI$1000,0)+4,"")</f>
        <v>276</v>
      </c>
    </row>
    <row r="123">
      <c r="A123" s="5" t="str">
        <f>IF($J123="","",INDEX('Detalle individual'!$B:$B,$J123))</f>
        <v>NANCY CAROLINA FUENTES SORTO</v>
      </c>
      <c r="B123" s="5" t="str">
        <f>IF($J123="","",INDEX('Detalle individual'!$A:$A,$J123))</f>
        <v>675</v>
      </c>
      <c r="C123" s="5" t="str">
        <f>IF($J123="","",INDEX('Detalle individual'!$E:$E,$J123))</f>
        <v>CAJERO</v>
      </c>
      <c r="D123" s="5" t="str">
        <f>IF($J123="","",INDEX('Detalle individual'!$C:$C,$J123))</f>
        <v>AGENCIA PLAZA MUNDO</v>
      </c>
      <c r="E123" s="5" t="str">
        <f>IF($J123="","",INDEX('Detalle individual'!$D:$D,$J123))</f>
        <v>Gerencia de Negocios</v>
      </c>
      <c r="F123" s="23">
        <f>IF($J123="","",INDEX('Detalle individual'!$H:$H,$J123))</f>
        <v>46309.394328703704</v>
      </c>
      <c r="G123" s="28">
        <f>IF($J123="","",INDEX('Detalle individual'!$J:$J,$J123))</f>
        <v>90</v>
      </c>
      <c r="H123" s="28">
        <f>IF($J123="","",INDEX('Detalle individual'!$L:$L,$J123))</f>
        <v>1</v>
      </c>
      <c r="J123">
        <f>IFERROR(MATCH(SMALL(Cálculos!$AI$5:$AI$1000,119),Cálculos!$AI$5:$AI$1000,0)+4,"")</f>
        <v>277</v>
      </c>
    </row>
    <row r="124">
      <c r="A124" s="5" t="str">
        <f>IF($J124="","",INDEX('Detalle individual'!$B:$B,$J124))</f>
        <v>NORMA ARACELY GUILLEN</v>
      </c>
      <c r="B124" s="5" t="str">
        <f>IF($J124="","",INDEX('Detalle individual'!$A:$A,$J124))</f>
        <v>331</v>
      </c>
      <c r="C124" s="5" t="str">
        <f>IF($J124="","",INDEX('Detalle individual'!$E:$E,$J124))</f>
        <v>SUBJEFE DE AGENCIA</v>
      </c>
      <c r="D124" s="5" t="str">
        <f>IF($J124="","",INDEX('Detalle individual'!$C:$C,$J124))</f>
        <v>AGENCIA PLAZA MUNDO</v>
      </c>
      <c r="E124" s="5" t="str">
        <f>IF($J124="","",INDEX('Detalle individual'!$D:$D,$J124))</f>
        <v>Gerencia de Negocios</v>
      </c>
      <c r="F124" s="23">
        <f>IF($J124="","",INDEX('Detalle individual'!$H:$H,$J124))</f>
        <v>46307.440046296295</v>
      </c>
      <c r="G124" s="28">
        <f>IF($J124="","",INDEX('Detalle individual'!$J:$J,$J124))</f>
        <v>100</v>
      </c>
      <c r="H124" s="28">
        <f>IF($J124="","",INDEX('Detalle individual'!$L:$L,$J124))</f>
        <v>1</v>
      </c>
      <c r="J124">
        <f>IFERROR(MATCH(SMALL(Cálculos!$AI$5:$AI$1000,120),Cálculos!$AI$5:$AI$1000,0)+4,"")</f>
        <v>274</v>
      </c>
    </row>
    <row r="125">
      <c r="A125" s="5" t="str">
        <f>IF($J125="","",INDEX('Detalle individual'!$B:$B,$J125))</f>
        <v>PAOLA JEANNETTE ROMERO HERNANDEZ</v>
      </c>
      <c r="B125" s="5" t="str">
        <f>IF($J125="","",INDEX('Detalle individual'!$A:$A,$J125))</f>
        <v>876</v>
      </c>
      <c r="C125" s="5" t="str">
        <f>IF($J125="","",INDEX('Detalle individual'!$E:$E,$J125))</f>
        <v>CAJERO</v>
      </c>
      <c r="D125" s="5" t="str">
        <f>IF($J125="","",INDEX('Detalle individual'!$C:$C,$J125))</f>
        <v>AGENCIA PLAZA MUNDO</v>
      </c>
      <c r="E125" s="5" t="str">
        <f>IF($J125="","",INDEX('Detalle individual'!$D:$D,$J125))</f>
        <v>Gerencia de Negocios</v>
      </c>
      <c r="F125" s="23">
        <f>IF($J125="","",INDEX('Detalle individual'!$H:$H,$J125))</f>
        <v>46309.408229166664</v>
      </c>
      <c r="G125" s="28">
        <f>IF($J125="","",INDEX('Detalle individual'!$J:$J,$J125))</f>
        <v>100</v>
      </c>
      <c r="H125" s="28">
        <f>IF($J125="","",INDEX('Detalle individual'!$L:$L,$J125))</f>
        <v>1</v>
      </c>
      <c r="J125">
        <f>IFERROR(MATCH(SMALL(Cálculos!$AI$5:$AI$1000,121),Cálculos!$AI$5:$AI$1000,0)+4,"")</f>
        <v>279</v>
      </c>
    </row>
    <row r="126">
      <c r="A126" s="5" t="str">
        <f>IF($J126="","",INDEX('Detalle individual'!$B:$B,$J126))</f>
        <v>ROSARIO DEL CARMEN PEREZ LOPEZ</v>
      </c>
      <c r="B126" s="5" t="str">
        <f>IF($J126="","",INDEX('Detalle individual'!$A:$A,$J126))</f>
        <v>535</v>
      </c>
      <c r="C126" s="5" t="str">
        <f>IF($J126="","",INDEX('Detalle individual'!$E:$E,$J126))</f>
        <v>JEFE DE AGENCIA</v>
      </c>
      <c r="D126" s="5" t="str">
        <f>IF($J126="","",INDEX('Detalle individual'!$C:$C,$J126))</f>
        <v>AGENCIA PLAZA MUNDO</v>
      </c>
      <c r="E126" s="5" t="str">
        <f>IF($J126="","",INDEX('Detalle individual'!$D:$D,$J126))</f>
        <v>Gerencia de Negocios</v>
      </c>
      <c r="F126" s="23">
        <f>IF($J126="","",INDEX('Detalle individual'!$H:$H,$J126))</f>
        <v>46307.40383101852</v>
      </c>
      <c r="G126" s="28">
        <f>IF($J126="","",INDEX('Detalle individual'!$J:$J,$J126))</f>
        <v>100</v>
      </c>
      <c r="H126" s="28">
        <f>IF($J126="","",INDEX('Detalle individual'!$L:$L,$J126))</f>
        <v>1</v>
      </c>
      <c r="J126">
        <f>IFERROR(MATCH(SMALL(Cálculos!$AI$5:$AI$1000,122),Cálculos!$AI$5:$AI$1000,0)+4,"")</f>
        <v>275</v>
      </c>
    </row>
    <row r="127">
      <c r="A127" s="5" t="str">
        <f>IF($J127="","",INDEX('Detalle individual'!$B:$B,$J127))</f>
        <v>WALTER ALBERTO BARAHONA DIAZ</v>
      </c>
      <c r="B127" s="5" t="str">
        <f>IF($J127="","",INDEX('Detalle individual'!$A:$A,$J127))</f>
        <v>748</v>
      </c>
      <c r="C127" s="5" t="str">
        <f>IF($J127="","",INDEX('Detalle individual'!$E:$E,$J127))</f>
        <v>CAJERO</v>
      </c>
      <c r="D127" s="5" t="str">
        <f>IF($J127="","",INDEX('Detalle individual'!$C:$C,$J127))</f>
        <v>AGENCIA PLAZA MUNDO</v>
      </c>
      <c r="E127" s="5" t="str">
        <f>IF($J127="","",INDEX('Detalle individual'!$D:$D,$J127))</f>
        <v>Gerencia de Negocios</v>
      </c>
      <c r="F127" s="23">
        <f>IF($J127="","",INDEX('Detalle individual'!$H:$H,$J127))</f>
        <v>46309.40075231482</v>
      </c>
      <c r="G127" s="28">
        <f>IF($J127="","",INDEX('Detalle individual'!$J:$J,$J127))</f>
        <v>100</v>
      </c>
      <c r="H127" s="28">
        <f>IF($J127="","",INDEX('Detalle individual'!$L:$L,$J127))</f>
        <v>1</v>
      </c>
      <c r="J127">
        <f>IFERROR(MATCH(SMALL(Cálculos!$AI$5:$AI$1000,123),Cálculos!$AI$5:$AI$1000,0)+4,"")</f>
        <v>278</v>
      </c>
    </row>
    <row r="128">
      <c r="A128" s="5" t="str">
        <f>IF($J128="","",INDEX('Detalle individual'!$B:$B,$J128))</f>
        <v>ZOILA AYDEE LARIOS</v>
      </c>
      <c r="B128" s="5" t="str">
        <f>IF($J128="","",INDEX('Detalle individual'!$A:$A,$J128))</f>
        <v>59</v>
      </c>
      <c r="C128" s="5" t="str">
        <f>IF($J128="","",INDEX('Detalle individual'!$E:$E,$J128))</f>
        <v>SERVICIOS VARIOS</v>
      </c>
      <c r="D128" s="5" t="str">
        <f>IF($J128="","",INDEX('Detalle individual'!$C:$C,$J128))</f>
        <v>AGENCIA PLAZA MUNDO</v>
      </c>
      <c r="E128" s="5" t="str">
        <f>IF($J128="","",INDEX('Detalle individual'!$D:$D,$J128))</f>
        <v>Gerencia de Negocios</v>
      </c>
      <c r="F128" s="23">
        <f>IF($J128="","",INDEX('Detalle individual'!$H:$H,$J128))</f>
        <v>46310.64591435185</v>
      </c>
      <c r="G128" s="28">
        <f>IF($J128="","",INDEX('Detalle individual'!$J:$J,$J128))</f>
        <v>100</v>
      </c>
      <c r="H128" s="28">
        <f>IF($J128="","",INDEX('Detalle individual'!$L:$L,$J128))</f>
        <v>1</v>
      </c>
      <c r="J128">
        <f>IFERROR(MATCH(SMALL(Cálculos!$AI$5:$AI$1000,124),Cálculos!$AI$5:$AI$1000,0)+4,"")</f>
        <v>273</v>
      </c>
    </row>
    <row r="129">
      <c r="A129" s="5" t="str">
        <f>IF($J129="","",INDEX('Detalle individual'!$B:$B,$J129))</f>
        <v>DIEGO GERARDO GUANDIQUE TORRES</v>
      </c>
      <c r="B129" s="5" t="str">
        <f>IF($J129="","",INDEX('Detalle individual'!$A:$A,$J129))</f>
        <v>776</v>
      </c>
      <c r="C129" s="5" t="str">
        <f>IF($J129="","",INDEX('Detalle individual'!$E:$E,$J129))</f>
        <v>CAJERO</v>
      </c>
      <c r="D129" s="5" t="str">
        <f>IF($J129="","",INDEX('Detalle individual'!$C:$C,$J129))</f>
        <v>AGENCIA SAN MIGUEL</v>
      </c>
      <c r="E129" s="5" t="str">
        <f>IF($J129="","",INDEX('Detalle individual'!$D:$D,$J129))</f>
        <v>Gerencia de Negocios</v>
      </c>
      <c r="F129" s="23">
        <f>IF($J129="","",INDEX('Detalle individual'!$H:$H,$J129))</f>
        <v>46296.44540509259</v>
      </c>
      <c r="G129" s="28">
        <f>IF($J129="","",INDEX('Detalle individual'!$J:$J,$J129))</f>
        <v>100</v>
      </c>
      <c r="H129" s="28">
        <f>IF($J129="","",INDEX('Detalle individual'!$L:$L,$J129))</f>
        <v>2</v>
      </c>
      <c r="J129">
        <f>IFERROR(MATCH(SMALL(Cálculos!$AI$5:$AI$1000,125),Cálculos!$AI$5:$AI$1000,0)+4,"")</f>
        <v>225</v>
      </c>
    </row>
    <row r="130">
      <c r="A130" s="5" t="str">
        <f>IF($J130="","",INDEX('Detalle individual'!$B:$B,$J130))</f>
        <v>JOSE MANUEL SERRANO ROVIRA</v>
      </c>
      <c r="B130" s="5" t="str">
        <f>IF($J130="","",INDEX('Detalle individual'!$A:$A,$J130))</f>
        <v>200</v>
      </c>
      <c r="C130" s="5" t="str">
        <f>IF($J130="","",INDEX('Detalle individual'!$E:$E,$J130))</f>
        <v>JEFE DE AGENCIA</v>
      </c>
      <c r="D130" s="5" t="str">
        <f>IF($J130="","",INDEX('Detalle individual'!$C:$C,$J130))</f>
        <v>AGENCIA SAN MIGUEL</v>
      </c>
      <c r="E130" s="5" t="str">
        <f>IF($J130="","",INDEX('Detalle individual'!$D:$D,$J130))</f>
        <v>Gerencia de Negocios</v>
      </c>
      <c r="F130" s="23">
        <f>IF($J130="","",INDEX('Detalle individual'!$H:$H,$J130))</f>
        <v>46296.49199074074</v>
      </c>
      <c r="G130" s="28">
        <f>IF($J130="","",INDEX('Detalle individual'!$J:$J,$J130))</f>
        <v>90</v>
      </c>
      <c r="H130" s="28">
        <f>IF($J130="","",INDEX('Detalle individual'!$L:$L,$J130))</f>
        <v>1</v>
      </c>
      <c r="J130">
        <f>IFERROR(MATCH(SMALL(Cálculos!$AI$5:$AI$1000,126),Cálculos!$AI$5:$AI$1000,0)+4,"")</f>
        <v>222</v>
      </c>
    </row>
    <row r="131">
      <c r="A131" s="5" t="str">
        <f>IF($J131="","",INDEX('Detalle individual'!$B:$B,$J131))</f>
        <v>LEIBY NATHALY ROMERO VANEGAS</v>
      </c>
      <c r="B131" s="5" t="str">
        <f>IF($J131="","",INDEX('Detalle individual'!$A:$A,$J131))</f>
        <v>545</v>
      </c>
      <c r="C131" s="5" t="str">
        <f>IF($J131="","",INDEX('Detalle individual'!$E:$E,$J131))</f>
        <v>SUBJEFE DE AGENCIA</v>
      </c>
      <c r="D131" s="5" t="str">
        <f>IF($J131="","",INDEX('Detalle individual'!$C:$C,$J131))</f>
        <v>AGENCIA SAN MIGUEL</v>
      </c>
      <c r="E131" s="5" t="str">
        <f>IF($J131="","",INDEX('Detalle individual'!$D:$D,$J131))</f>
        <v>Gerencia de Negocios</v>
      </c>
      <c r="F131" s="23">
        <f>IF($J131="","",INDEX('Detalle individual'!$H:$H,$J131))</f>
        <v>46296.45449074074</v>
      </c>
      <c r="G131" s="28">
        <f>IF($J131="","",INDEX('Detalle individual'!$J:$J,$J131))</f>
        <v>100</v>
      </c>
      <c r="H131" s="28">
        <f>IF($J131="","",INDEX('Detalle individual'!$L:$L,$J131))</f>
        <v>1</v>
      </c>
      <c r="J131">
        <f>IFERROR(MATCH(SMALL(Cálculos!$AI$5:$AI$1000,127),Cálculos!$AI$5:$AI$1000,0)+4,"")</f>
        <v>224</v>
      </c>
    </row>
    <row r="132">
      <c r="A132" s="5" t="str">
        <f>IF($J132="","",INDEX('Detalle individual'!$B:$B,$J132))</f>
        <v>MARCELA GUADALUPE CRESPO BENAVIDEZ</v>
      </c>
      <c r="B132" s="5" t="str">
        <f>IF($J132="","",INDEX('Detalle individual'!$A:$A,$J132))</f>
        <v>807</v>
      </c>
      <c r="C132" s="5" t="str">
        <f>IF($J132="","",INDEX('Detalle individual'!$E:$E,$J132))</f>
        <v>EJECUTIVA DE SEGUROS</v>
      </c>
      <c r="D132" s="5" t="str">
        <f>IF($J132="","",INDEX('Detalle individual'!$C:$C,$J132))</f>
        <v>AGENCIA SAN MIGUEL</v>
      </c>
      <c r="E132" s="5" t="str">
        <f>IF($J132="","",INDEX('Detalle individual'!$D:$D,$J132))</f>
        <v>Gerencia de Negocios</v>
      </c>
      <c r="F132" s="23">
        <f>IF($J132="","",INDEX('Detalle individual'!$H:$H,$J132))</f>
        <v>46296.45224537037</v>
      </c>
      <c r="G132" s="28">
        <f>IF($J132="","",INDEX('Detalle individual'!$J:$J,$J132))</f>
        <v>100</v>
      </c>
      <c r="H132" s="28">
        <f>IF($J132="","",INDEX('Detalle individual'!$L:$L,$J132))</f>
        <v>1</v>
      </c>
      <c r="J132">
        <f>IFERROR(MATCH(SMALL(Cálculos!$AI$5:$AI$1000,128),Cálculos!$AI$5:$AI$1000,0)+4,"")</f>
        <v>227</v>
      </c>
    </row>
    <row r="133">
      <c r="A133" s="5" t="str">
        <f>IF($J133="","",INDEX('Detalle individual'!$B:$B,$J133))</f>
        <v>MARCELINA YAMILETH LOPEZ VASQUEZ</v>
      </c>
      <c r="B133" s="5" t="str">
        <f>IF($J133="","",INDEX('Detalle individual'!$A:$A,$J133))</f>
        <v>777</v>
      </c>
      <c r="C133" s="5" t="str">
        <f>IF($J133="","",INDEX('Detalle individual'!$E:$E,$J133))</f>
        <v>CAJERO</v>
      </c>
      <c r="D133" s="5" t="str">
        <f>IF($J133="","",INDEX('Detalle individual'!$C:$C,$J133))</f>
        <v>AGENCIA SAN MIGUEL</v>
      </c>
      <c r="E133" s="5" t="str">
        <f>IF($J133="","",INDEX('Detalle individual'!$D:$D,$J133))</f>
        <v>Gerencia de Negocios</v>
      </c>
      <c r="F133" s="23">
        <f>IF($J133="","",INDEX('Detalle individual'!$H:$H,$J133))</f>
        <v>46296.45806712963</v>
      </c>
      <c r="G133" s="28">
        <f>IF($J133="","",INDEX('Detalle individual'!$J:$J,$J133))</f>
        <v>100</v>
      </c>
      <c r="H133" s="28">
        <f>IF($J133="","",INDEX('Detalle individual'!$L:$L,$J133))</f>
        <v>1</v>
      </c>
      <c r="J133">
        <f>IFERROR(MATCH(SMALL(Cálculos!$AI$5:$AI$1000,129),Cálculos!$AI$5:$AI$1000,0)+4,"")</f>
        <v>226</v>
      </c>
    </row>
    <row r="134">
      <c r="A134" s="5" t="str">
        <f>IF($J134="","",INDEX('Detalle individual'!$B:$B,$J134))</f>
        <v>MARTHA LORENA GONZALEZ GONZALEZ</v>
      </c>
      <c r="B134" s="5" t="str">
        <f>IF($J134="","",INDEX('Detalle individual'!$A:$A,$J134))</f>
        <v>390</v>
      </c>
      <c r="C134" s="5" t="str">
        <f>IF($J134="","",INDEX('Detalle individual'!$E:$E,$J134))</f>
        <v>AUXILIAR DE OPERACIONES Y ATENCION EN AGENCIA</v>
      </c>
      <c r="D134" s="5" t="str">
        <f>IF($J134="","",INDEX('Detalle individual'!$C:$C,$J134))</f>
        <v>AGENCIA SAN MIGUEL</v>
      </c>
      <c r="E134" s="5" t="str">
        <f>IF($J134="","",INDEX('Detalle individual'!$D:$D,$J134))</f>
        <v>Gerencia de Negocios</v>
      </c>
      <c r="F134" s="23">
        <f>IF($J134="","",INDEX('Detalle individual'!$H:$H,$J134))</f>
        <v>46296.44844907407</v>
      </c>
      <c r="G134" s="28">
        <f>IF($J134="","",INDEX('Detalle individual'!$J:$J,$J134))</f>
        <v>100</v>
      </c>
      <c r="H134" s="28">
        <f>IF($J134="","",INDEX('Detalle individual'!$L:$L,$J134))</f>
        <v>1</v>
      </c>
      <c r="J134">
        <f>IFERROR(MATCH(SMALL(Cálculos!$AI$5:$AI$1000,130),Cálculos!$AI$5:$AI$1000,0)+4,"")</f>
        <v>223</v>
      </c>
    </row>
    <row r="135">
      <c r="A135" s="5" t="str">
        <f>IF($J135="","",INDEX('Detalle individual'!$B:$B,$J135))</f>
        <v>THELMA ESPERANZA FIGUEROA SORTO</v>
      </c>
      <c r="B135" s="5" t="str">
        <f>IF($J135="","",INDEX('Detalle individual'!$A:$A,$J135))</f>
        <v>197</v>
      </c>
      <c r="C135" s="5" t="str">
        <f>IF($J135="","",INDEX('Detalle individual'!$E:$E,$J135))</f>
        <v>EJECUTIVO DE NEGOCIOS</v>
      </c>
      <c r="D135" s="5" t="str">
        <f>IF($J135="","",INDEX('Detalle individual'!$C:$C,$J135))</f>
        <v>AGENCIA SAN MIGUEL</v>
      </c>
      <c r="E135" s="5" t="str">
        <f>IF($J135="","",INDEX('Detalle individual'!$D:$D,$J135))</f>
        <v>Gerencia de Negocios</v>
      </c>
      <c r="F135" s="23">
        <f>IF($J135="","",INDEX('Detalle individual'!$H:$H,$J135))</f>
        <v>46296.44064814815</v>
      </c>
      <c r="G135" s="28">
        <f>IF($J135="","",INDEX('Detalle individual'!$J:$J,$J135))</f>
        <v>100</v>
      </c>
      <c r="H135" s="28">
        <f>IF($J135="","",INDEX('Detalle individual'!$L:$L,$J135))</f>
        <v>1</v>
      </c>
      <c r="J135">
        <f>IFERROR(MATCH(SMALL(Cálculos!$AI$5:$AI$1000,131),Cálculos!$AI$5:$AI$1000,0)+4,"")</f>
        <v>221</v>
      </c>
    </row>
    <row r="136">
      <c r="A136" s="5" t="str">
        <f>IF($J136="","",INDEX('Detalle individual'!$B:$B,$J136))</f>
        <v>ANA MARIA GIRON</v>
      </c>
      <c r="B136" s="5" t="str">
        <f>IF($J136="","",INDEX('Detalle individual'!$A:$A,$J136))</f>
        <v>168</v>
      </c>
      <c r="C136" s="5" t="str">
        <f>IF($J136="","",INDEX('Detalle individual'!$E:$E,$J136))</f>
        <v>EJECUTIVO DE NEGOCIOS</v>
      </c>
      <c r="D136" s="5" t="str">
        <f>IF($J136="","",INDEX('Detalle individual'!$C:$C,$J136))</f>
        <v>AGENCIA SANTA ANA</v>
      </c>
      <c r="E136" s="5" t="str">
        <f>IF($J136="","",INDEX('Detalle individual'!$D:$D,$J136))</f>
        <v>Gerencia de Negocios</v>
      </c>
      <c r="F136" s="23">
        <f>IF($J136="","",INDEX('Detalle individual'!$H:$H,$J136))</f>
        <v>46311.49398148148</v>
      </c>
      <c r="G136" s="28">
        <f>IF($J136="","",INDEX('Detalle individual'!$J:$J,$J136))</f>
        <v>100</v>
      </c>
      <c r="H136" s="28">
        <f>IF($J136="","",INDEX('Detalle individual'!$L:$L,$J136))</f>
        <v>1</v>
      </c>
      <c r="J136">
        <f>IFERROR(MATCH(SMALL(Cálculos!$AI$5:$AI$1000,132),Cálculos!$AI$5:$AI$1000,0)+4,"")</f>
        <v>229</v>
      </c>
    </row>
    <row r="137">
      <c r="A137" s="5" t="str">
        <f>IF($J137="","",INDEX('Detalle individual'!$B:$B,$J137))</f>
        <v>ANDREA YAMILETH ESCOBAR CHICA</v>
      </c>
      <c r="B137" s="5" t="str">
        <f>IF($J137="","",INDEX('Detalle individual'!$A:$A,$J137))</f>
        <v>818</v>
      </c>
      <c r="C137" s="5" t="str">
        <f>IF($J137="","",INDEX('Detalle individual'!$E:$E,$J137))</f>
        <v>CAJERO</v>
      </c>
      <c r="D137" s="5" t="str">
        <f>IF($J137="","",INDEX('Detalle individual'!$C:$C,$J137))</f>
        <v>AGENCIA SANTA ANA</v>
      </c>
      <c r="E137" s="5" t="str">
        <f>IF($J137="","",INDEX('Detalle individual'!$D:$D,$J137))</f>
        <v>Gerencia de Negocios</v>
      </c>
      <c r="F137" s="23">
        <f>IF($J137="","",INDEX('Detalle individual'!$H:$H,$J137))</f>
        <v>46309.62991898148</v>
      </c>
      <c r="G137" s="28">
        <f>IF($J137="","",INDEX('Detalle individual'!$J:$J,$J137))</f>
        <v>90</v>
      </c>
      <c r="H137" s="28">
        <f>IF($J137="","",INDEX('Detalle individual'!$L:$L,$J137))</f>
        <v>1</v>
      </c>
      <c r="J137">
        <f>IFERROR(MATCH(SMALL(Cálculos!$AI$5:$AI$1000,133),Cálculos!$AI$5:$AI$1000,0)+4,"")</f>
        <v>233</v>
      </c>
    </row>
    <row r="138">
      <c r="A138" s="5" t="str">
        <f>IF($J138="","",INDEX('Detalle individual'!$B:$B,$J138))</f>
        <v>GLENDA MARAYA SALAZAR GONZALEZ</v>
      </c>
      <c r="B138" s="5" t="str">
        <f>IF($J138="","",INDEX('Detalle individual'!$A:$A,$J138))</f>
        <v>295</v>
      </c>
      <c r="C138" s="5" t="str">
        <f>IF($J138="","",INDEX('Detalle individual'!$E:$E,$J138))</f>
        <v>JEFE DE AGENCIA</v>
      </c>
      <c r="D138" s="5" t="str">
        <f>IF($J138="","",INDEX('Detalle individual'!$C:$C,$J138))</f>
        <v>AGENCIA SANTA ANA</v>
      </c>
      <c r="E138" s="5" t="str">
        <f>IF($J138="","",INDEX('Detalle individual'!$D:$D,$J138))</f>
        <v>Gerencia de Negocios</v>
      </c>
      <c r="F138" s="23">
        <f>IF($J138="","",INDEX('Detalle individual'!$H:$H,$J138))</f>
        <v>46309.339270833334</v>
      </c>
      <c r="G138" s="28">
        <f>IF($J138="","",INDEX('Detalle individual'!$J:$J,$J138))</f>
        <v>100</v>
      </c>
      <c r="H138" s="28">
        <f>IF($J138="","",INDEX('Detalle individual'!$L:$L,$J138))</f>
        <v>1</v>
      </c>
      <c r="J138">
        <f>IFERROR(MATCH(SMALL(Cálculos!$AI$5:$AI$1000,134),Cálculos!$AI$5:$AI$1000,0)+4,"")</f>
        <v>230</v>
      </c>
    </row>
    <row r="139">
      <c r="A139" s="5" t="str">
        <f>IF($J139="","",INDEX('Detalle individual'!$B:$B,$J139))</f>
        <v>IRVIN ADEMIR PERAZA MOLINA</v>
      </c>
      <c r="B139" s="5" t="str">
        <f>IF($J139="","",INDEX('Detalle individual'!$A:$A,$J139))</f>
        <v>747</v>
      </c>
      <c r="C139" s="5" t="str">
        <f>IF($J139="","",INDEX('Detalle individual'!$E:$E,$J139))</f>
        <v>EJECUTIVO DE SEGUROS</v>
      </c>
      <c r="D139" s="5" t="str">
        <f>IF($J139="","",INDEX('Detalle individual'!$C:$C,$J139))</f>
        <v>AGENCIA SANTA ANA</v>
      </c>
      <c r="E139" s="5" t="str">
        <f>IF($J139="","",INDEX('Detalle individual'!$D:$D,$J139))</f>
        <v>Gerencia de Negocios</v>
      </c>
      <c r="F139" s="23">
        <f>IF($J139="","",INDEX('Detalle individual'!$H:$H,$J139))</f>
        <v>46311.456400462965</v>
      </c>
      <c r="G139" s="28">
        <f>IF($J139="","",INDEX('Detalle individual'!$J:$J,$J139))</f>
        <v>100</v>
      </c>
      <c r="H139" s="28">
        <f>IF($J139="","",INDEX('Detalle individual'!$L:$L,$J139))</f>
        <v>1</v>
      </c>
      <c r="J139">
        <f>IFERROR(MATCH(SMALL(Cálculos!$AI$5:$AI$1000,135),Cálculos!$AI$5:$AI$1000,0)+4,"")</f>
        <v>232</v>
      </c>
    </row>
    <row r="140">
      <c r="A140" s="5" t="str">
        <f>IF($J140="","",INDEX('Detalle individual'!$B:$B,$J140))</f>
        <v>JEANNETTE ANGELINNE HERNANDEZ MEJIA</v>
      </c>
      <c r="B140" s="5" t="str">
        <f>IF($J140="","",INDEX('Detalle individual'!$A:$A,$J140))</f>
        <v>312</v>
      </c>
      <c r="C140" s="5" t="str">
        <f>IF($J140="","",INDEX('Detalle individual'!$E:$E,$J140))</f>
        <v>SUBJEFE DE AGENCIA</v>
      </c>
      <c r="D140" s="5" t="str">
        <f>IF($J140="","",INDEX('Detalle individual'!$C:$C,$J140))</f>
        <v>AGENCIA SANTA ANA</v>
      </c>
      <c r="E140" s="5" t="str">
        <f>IF($J140="","",INDEX('Detalle individual'!$D:$D,$J140))</f>
        <v>Gerencia de Negocios</v>
      </c>
      <c r="F140" s="23">
        <f>IF($J140="","",INDEX('Detalle individual'!$H:$H,$J140))</f>
        <v>46309.46179398148</v>
      </c>
      <c r="G140" s="28">
        <f>IF($J140="","",INDEX('Detalle individual'!$J:$J,$J140))</f>
        <v>100</v>
      </c>
      <c r="H140" s="28">
        <f>IF($J140="","",INDEX('Detalle individual'!$L:$L,$J140))</f>
        <v>1</v>
      </c>
      <c r="J140">
        <f>IFERROR(MATCH(SMALL(Cálculos!$AI$5:$AI$1000,136),Cálculos!$AI$5:$AI$1000,0)+4,"")</f>
        <v>231</v>
      </c>
    </row>
    <row r="141">
      <c r="A141" s="5" t="str">
        <f>IF($J141="","",INDEX('Detalle individual'!$B:$B,$J141))</f>
        <v>JOSE CRISTOBAL LOPEZ ESQUIVEL</v>
      </c>
      <c r="B141" s="5" t="str">
        <f>IF($J141="","",INDEX('Detalle individual'!$A:$A,$J141))</f>
        <v>910</v>
      </c>
      <c r="C141" s="5" t="str">
        <f>IF($J141="","",INDEX('Detalle individual'!$E:$E,$J141))</f>
        <v>MENSAJERO</v>
      </c>
      <c r="D141" s="5" t="str">
        <f>IF($J141="","",INDEX('Detalle individual'!$C:$C,$J141))</f>
        <v>AGENCIA SANTA ANA</v>
      </c>
      <c r="E141" s="5" t="str">
        <f>IF($J141="","",INDEX('Detalle individual'!$D:$D,$J141))</f>
        <v>Gerencia de Negocios</v>
      </c>
      <c r="F141" s="23">
        <f>IF($J141="","",INDEX('Detalle individual'!$H:$H,$J141))</f>
        <v>46311.47555555555</v>
      </c>
      <c r="G141" s="28">
        <f>IF($J141="","",INDEX('Detalle individual'!$J:$J,$J141))</f>
        <v>100</v>
      </c>
      <c r="H141" s="28">
        <f>IF($J141="","",INDEX('Detalle individual'!$L:$L,$J141))</f>
        <v>1</v>
      </c>
      <c r="J141">
        <f>IFERROR(MATCH(SMALL(Cálculos!$AI$5:$AI$1000,137),Cálculos!$AI$5:$AI$1000,0)+4,"")</f>
        <v>235</v>
      </c>
    </row>
    <row r="142">
      <c r="A142" s="5" t="str">
        <f>IF($J142="","",INDEX('Detalle individual'!$B:$B,$J142))</f>
        <v>LUIS GERARDO DUEÑAS VALLE</v>
      </c>
      <c r="B142" s="5" t="str">
        <f>IF($J142="","",INDEX('Detalle individual'!$A:$A,$J142))</f>
        <v>954</v>
      </c>
      <c r="C142" s="5" t="str">
        <f>IF($J142="","",INDEX('Detalle individual'!$E:$E,$J142))</f>
        <v>CAJERO</v>
      </c>
      <c r="D142" s="5" t="str">
        <f>IF($J142="","",INDEX('Detalle individual'!$C:$C,$J142))</f>
        <v>AGENCIA SANTA ANA</v>
      </c>
      <c r="E142" s="5" t="str">
        <f>IF($J142="","",INDEX('Detalle individual'!$D:$D,$J142))</f>
        <v>Gerencia de Negocios</v>
      </c>
      <c r="F142" s="23">
        <f>IF($J142="","",INDEX('Detalle individual'!$H:$H,$J142))</f>
        <v>46309.63957175926</v>
      </c>
      <c r="G142" s="28">
        <f>IF($J142="","",INDEX('Detalle individual'!$J:$J,$J142))</f>
        <v>90</v>
      </c>
      <c r="H142" s="28">
        <f>IF($J142="","",INDEX('Detalle individual'!$L:$L,$J142))</f>
        <v>1</v>
      </c>
      <c r="J142">
        <f>IFERROR(MATCH(SMALL(Cálculos!$AI$5:$AI$1000,138),Cálculos!$AI$5:$AI$1000,0)+4,"")</f>
        <v>236</v>
      </c>
    </row>
    <row r="143">
      <c r="A143" s="5" t="str">
        <f>IF($J143="","",INDEX('Detalle individual'!$B:$B,$J143))</f>
        <v>SOFIA AZMINIA MENA ARGUETA</v>
      </c>
      <c r="B143" s="5" t="str">
        <f>IF($J143="","",INDEX('Detalle individual'!$A:$A,$J143))</f>
        <v>840</v>
      </c>
      <c r="C143" s="5" t="str">
        <f>IF($J143="","",INDEX('Detalle individual'!$E:$E,$J143))</f>
        <v>CAJERO</v>
      </c>
      <c r="D143" s="5" t="str">
        <f>IF($J143="","",INDEX('Detalle individual'!$C:$C,$J143))</f>
        <v>AGENCIA SANTA ANA</v>
      </c>
      <c r="E143" s="5" t="str">
        <f>IF($J143="","",INDEX('Detalle individual'!$D:$D,$J143))</f>
        <v>Gerencia de Negocios</v>
      </c>
      <c r="F143" s="23">
        <f>IF($J143="","",INDEX('Detalle individual'!$H:$H,$J143))</f>
        <v>46311.4675</v>
      </c>
      <c r="G143" s="28">
        <f>IF($J143="","",INDEX('Detalle individual'!$J:$J,$J143))</f>
        <v>100</v>
      </c>
      <c r="H143" s="28">
        <f>IF($J143="","",INDEX('Detalle individual'!$L:$L,$J143))</f>
        <v>1</v>
      </c>
      <c r="J143">
        <f>IFERROR(MATCH(SMALL(Cálculos!$AI$5:$AI$1000,139),Cálculos!$AI$5:$AI$1000,0)+4,"")</f>
        <v>234</v>
      </c>
    </row>
    <row r="144">
      <c r="A144" s="5" t="str">
        <f>IF($J144="","",INDEX('Detalle individual'!$B:$B,$J144))</f>
        <v>JESSICA YAMILETH LEIVA VASQUEZ</v>
      </c>
      <c r="B144" s="5" t="str">
        <f>IF($J144="","",INDEX('Detalle individual'!$A:$A,$J144))</f>
        <v>575</v>
      </c>
      <c r="C144" s="5" t="str">
        <f>IF($J144="","",INDEX('Detalle individual'!$E:$E,$J144))</f>
        <v>EJECUTIVA DE SEGUROS</v>
      </c>
      <c r="D144" s="5" t="str">
        <f>IF($J144="","",INDEX('Detalle individual'!$C:$C,$J144))</f>
        <v>AGENCIA SONSONATE</v>
      </c>
      <c r="E144" s="5" t="str">
        <f>IF($J144="","",INDEX('Detalle individual'!$D:$D,$J144))</f>
        <v>Gerencia de Negocios</v>
      </c>
      <c r="F144" s="23">
        <f>IF($J144="","",INDEX('Detalle individual'!$H:$H,$J144))</f>
        <v>46310.63890046296</v>
      </c>
      <c r="G144" s="28">
        <f>IF($J144="","",INDEX('Detalle individual'!$J:$J,$J144))</f>
        <v>100</v>
      </c>
      <c r="H144" s="28">
        <f>IF($J144="","",INDEX('Detalle individual'!$L:$L,$J144))</f>
        <v>1</v>
      </c>
      <c r="J144">
        <f>IFERROR(MATCH(SMALL(Cálculos!$AI$5:$AI$1000,140),Cálculos!$AI$5:$AI$1000,0)+4,"")</f>
        <v>241</v>
      </c>
    </row>
    <row r="145">
      <c r="A145" s="5" t="str">
        <f>IF($J145="","",INDEX('Detalle individual'!$B:$B,$J145))</f>
        <v>JOSE ALEXANDER TORRES PEREZ</v>
      </c>
      <c r="B145" s="5" t="str">
        <f>IF($J145="","",INDEX('Detalle individual'!$A:$A,$J145))</f>
        <v>448</v>
      </c>
      <c r="C145" s="5" t="str">
        <f>IF($J145="","",INDEX('Detalle individual'!$E:$E,$J145))</f>
        <v>MENSAJERO</v>
      </c>
      <c r="D145" s="5" t="str">
        <f>IF($J145="","",INDEX('Detalle individual'!$C:$C,$J145))</f>
        <v>AGENCIA SONSONATE</v>
      </c>
      <c r="E145" s="5" t="str">
        <f>IF($J145="","",INDEX('Detalle individual'!$D:$D,$J145))</f>
        <v>Gerencia de Negocios</v>
      </c>
      <c r="F145" s="23">
        <f>IF($J145="","",INDEX('Detalle individual'!$H:$H,$J145))</f>
        <v>46311.41554398148</v>
      </c>
      <c r="G145" s="28">
        <f>IF($J145="","",INDEX('Detalle individual'!$J:$J,$J145))</f>
        <v>100</v>
      </c>
      <c r="H145" s="28">
        <f>IF($J145="","",INDEX('Detalle individual'!$L:$L,$J145))</f>
        <v>1</v>
      </c>
      <c r="J145">
        <f>IFERROR(MATCH(SMALL(Cálculos!$AI$5:$AI$1000,141),Cálculos!$AI$5:$AI$1000,0)+4,"")</f>
        <v>238</v>
      </c>
    </row>
    <row r="146">
      <c r="A146" s="5" t="str">
        <f>IF($J146="","",INDEX('Detalle individual'!$B:$B,$J146))</f>
        <v>JOSUE ALEXANDER PEREZ HENRIQUEZ</v>
      </c>
      <c r="B146" s="5" t="str">
        <f>IF($J146="","",INDEX('Detalle individual'!$A:$A,$J146))</f>
        <v>559</v>
      </c>
      <c r="C146" s="5" t="str">
        <f>IF($J146="","",INDEX('Detalle individual'!$E:$E,$J146))</f>
        <v>EJECUTIVO DE NEGOCIOS</v>
      </c>
      <c r="D146" s="5" t="str">
        <f>IF($J146="","",INDEX('Detalle individual'!$C:$C,$J146))</f>
        <v>AGENCIA SONSONATE</v>
      </c>
      <c r="E146" s="5" t="str">
        <f>IF($J146="","",INDEX('Detalle individual'!$D:$D,$J146))</f>
        <v>Gerencia de Negocios</v>
      </c>
      <c r="F146" s="23">
        <f>IF($J146="","",INDEX('Detalle individual'!$H:$H,$J146))</f>
        <v>46310.63688657407</v>
      </c>
      <c r="G146" s="28">
        <f>IF($J146="","",INDEX('Detalle individual'!$J:$J,$J146))</f>
        <v>100</v>
      </c>
      <c r="H146" s="28">
        <f>IF($J146="","",INDEX('Detalle individual'!$L:$L,$J146))</f>
        <v>1</v>
      </c>
      <c r="J146">
        <f>IFERROR(MATCH(SMALL(Cálculos!$AI$5:$AI$1000,142),Cálculos!$AI$5:$AI$1000,0)+4,"")</f>
        <v>240</v>
      </c>
    </row>
    <row r="147">
      <c r="A147" s="5" t="str">
        <f>IF($J147="","",INDEX('Detalle individual'!$B:$B,$J147))</f>
        <v>KARLA MARCELA ESCOBAR TRIGUEROS</v>
      </c>
      <c r="B147" s="5" t="str">
        <f>IF($J147="","",INDEX('Detalle individual'!$A:$A,$J147))</f>
        <v>849</v>
      </c>
      <c r="C147" s="5" t="str">
        <f>IF($J147="","",INDEX('Detalle individual'!$E:$E,$J147))</f>
        <v>CAJERO</v>
      </c>
      <c r="D147" s="5" t="str">
        <f>IF($J147="","",INDEX('Detalle individual'!$C:$C,$J147))</f>
        <v>AGENCIA SONSONATE</v>
      </c>
      <c r="E147" s="5" t="str">
        <f>IF($J147="","",INDEX('Detalle individual'!$D:$D,$J147))</f>
        <v>Gerencia de Negocios</v>
      </c>
      <c r="F147" s="23">
        <f>IF($J147="","",INDEX('Detalle individual'!$H:$H,$J147))</f>
        <v>46311.571493055555</v>
      </c>
      <c r="G147" s="28">
        <f>IF($J147="","",INDEX('Detalle individual'!$J:$J,$J147))</f>
        <v>100</v>
      </c>
      <c r="H147" s="28">
        <f>IF($J147="","",INDEX('Detalle individual'!$L:$L,$J147))</f>
        <v>1</v>
      </c>
      <c r="J147">
        <f>IFERROR(MATCH(SMALL(Cálculos!$AI$5:$AI$1000,143),Cálculos!$AI$5:$AI$1000,0)+4,"")</f>
        <v>243</v>
      </c>
    </row>
    <row r="148">
      <c r="A148" s="5" t="str">
        <f>IF($J148="","",INDEX('Detalle individual'!$B:$B,$J148))</f>
        <v>MARIA ANGELICA ESCOBAR RENDEROS</v>
      </c>
      <c r="B148" s="5" t="str">
        <f>IF($J148="","",INDEX('Detalle individual'!$A:$A,$J148))</f>
        <v>287</v>
      </c>
      <c r="C148" s="5" t="str">
        <f>IF($J148="","",INDEX('Detalle individual'!$E:$E,$J148))</f>
        <v>JEFE DE AGENCIA</v>
      </c>
      <c r="D148" s="5" t="str">
        <f>IF($J148="","",INDEX('Detalle individual'!$C:$C,$J148))</f>
        <v>AGENCIA SONSONATE</v>
      </c>
      <c r="E148" s="5" t="str">
        <f>IF($J148="","",INDEX('Detalle individual'!$D:$D,$J148))</f>
        <v>Gerencia de Negocios</v>
      </c>
      <c r="F148" s="23">
        <f>IF($J148="","",INDEX('Detalle individual'!$H:$H,$J148))</f>
        <v>46310.63381944445</v>
      </c>
      <c r="G148" s="28">
        <f>IF($J148="","",INDEX('Detalle individual'!$J:$J,$J148))</f>
        <v>100</v>
      </c>
      <c r="H148" s="28">
        <f>IF($J148="","",INDEX('Detalle individual'!$L:$L,$J148))</f>
        <v>1</v>
      </c>
      <c r="J148">
        <f>IFERROR(MATCH(SMALL(Cálculos!$AI$5:$AI$1000,144),Cálculos!$AI$5:$AI$1000,0)+4,"")</f>
        <v>237</v>
      </c>
    </row>
    <row r="149">
      <c r="A149" s="5" t="str">
        <f>IF($J149="","",INDEX('Detalle individual'!$B:$B,$J149))</f>
        <v>MIGUEL ANGEL LEON MENA</v>
      </c>
      <c r="B149" s="5" t="str">
        <f>IF($J149="","",INDEX('Detalle individual'!$A:$A,$J149))</f>
        <v>755</v>
      </c>
      <c r="C149" s="5" t="str">
        <f>IF($J149="","",INDEX('Detalle individual'!$E:$E,$J149))</f>
        <v>CAJERO</v>
      </c>
      <c r="D149" s="5" t="str">
        <f>IF($J149="","",INDEX('Detalle individual'!$C:$C,$J149))</f>
        <v>AGENCIA SONSONATE</v>
      </c>
      <c r="E149" s="5" t="str">
        <f>IF($J149="","",INDEX('Detalle individual'!$D:$D,$J149))</f>
        <v>Gerencia de Negocios</v>
      </c>
      <c r="F149" s="23">
        <f>IF($J149="","",INDEX('Detalle individual'!$H:$H,$J149))</f>
        <v>46308.456412037034</v>
      </c>
      <c r="G149" s="28">
        <f>IF($J149="","",INDEX('Detalle individual'!$J:$J,$J149))</f>
        <v>80</v>
      </c>
      <c r="H149" s="28">
        <f>IF($J149="","",INDEX('Detalle individual'!$L:$L,$J149))</f>
        <v>1</v>
      </c>
      <c r="J149">
        <f>IFERROR(MATCH(SMALL(Cálculos!$AI$5:$AI$1000,145),Cálculos!$AI$5:$AI$1000,0)+4,"")</f>
        <v>242</v>
      </c>
    </row>
    <row r="150">
      <c r="A150" s="5" t="str">
        <f>IF($J150="","",INDEX('Detalle individual'!$B:$B,$J150))</f>
        <v>XIOMARA BEATRIZ MARTINEZ SERMEÑO</v>
      </c>
      <c r="B150" s="5" t="str">
        <f>IF($J150="","",INDEX('Detalle individual'!$A:$A,$J150))</f>
        <v>526</v>
      </c>
      <c r="C150" s="5" t="str">
        <f>IF($J150="","",INDEX('Detalle individual'!$E:$E,$J150))</f>
        <v>SUBJEFE DE AGENCIA</v>
      </c>
      <c r="D150" s="5" t="str">
        <f>IF($J150="","",INDEX('Detalle individual'!$C:$C,$J150))</f>
        <v>AGENCIA SONSONATE</v>
      </c>
      <c r="E150" s="5" t="str">
        <f>IF($J150="","",INDEX('Detalle individual'!$D:$D,$J150))</f>
        <v>Gerencia de Negocios</v>
      </c>
      <c r="F150" s="23">
        <f>IF($J150="","",INDEX('Detalle individual'!$H:$H,$J150))</f>
        <v>46310.63746527778</v>
      </c>
      <c r="G150" s="28">
        <f>IF($J150="","",INDEX('Detalle individual'!$J:$J,$J150))</f>
        <v>100</v>
      </c>
      <c r="H150" s="28">
        <f>IF($J150="","",INDEX('Detalle individual'!$L:$L,$J150))</f>
        <v>1</v>
      </c>
      <c r="J150">
        <f>IFERROR(MATCH(SMALL(Cálculos!$AI$5:$AI$1000,146),Cálculos!$AI$5:$AI$1000,0)+4,"")</f>
        <v>239</v>
      </c>
    </row>
    <row r="151">
      <c r="A151" s="5" t="str">
        <f>IF($J151="","",INDEX('Detalle individual'!$B:$B,$J151))</f>
        <v>EDUARDO JOSE GAMEZ VILLATORO</v>
      </c>
      <c r="B151" s="5" t="str">
        <f>IF($J151="","",INDEX('Detalle individual'!$A:$A,$J151))</f>
        <v>970</v>
      </c>
      <c r="C151" s="5" t="str">
        <f>IF($J151="","",INDEX('Detalle individual'!$E:$E,$J151))</f>
        <v>CAJERO</v>
      </c>
      <c r="D151" s="5" t="str">
        <f>IF($J151="","",INDEX('Detalle individual'!$C:$C,$J151))</f>
        <v>AGENCIA USULUTAN</v>
      </c>
      <c r="E151" s="5" t="str">
        <f>IF($J151="","",INDEX('Detalle individual'!$D:$D,$J151))</f>
        <v>Gerencia de Negocios</v>
      </c>
      <c r="F151" s="23">
        <f>IF($J151="","",INDEX('Detalle individual'!$H:$H,$J151))</f>
        <v>46309.37625</v>
      </c>
      <c r="G151" s="28">
        <f>IF($J151="","",INDEX('Detalle individual'!$J:$J,$J151))</f>
        <v>100</v>
      </c>
      <c r="H151" s="28">
        <f>IF($J151="","",INDEX('Detalle individual'!$L:$L,$J151))</f>
        <v>1</v>
      </c>
      <c r="J151">
        <f>IFERROR(MATCH(SMALL(Cálculos!$AI$5:$AI$1000,147),Cálculos!$AI$5:$AI$1000,0)+4,"")</f>
        <v>287</v>
      </c>
    </row>
    <row r="152">
      <c r="A152" s="5" t="str">
        <f>IF($J152="","",INDEX('Detalle individual'!$B:$B,$J152))</f>
        <v>FATIMA LISSETTE HERNANDEZ MEJIA</v>
      </c>
      <c r="B152" s="5" t="str">
        <f>IF($J152="","",INDEX('Detalle individual'!$A:$A,$J152))</f>
        <v>961</v>
      </c>
      <c r="C152" s="5" t="str">
        <f>IF($J152="","",INDEX('Detalle individual'!$E:$E,$J152))</f>
        <v>CAJERO</v>
      </c>
      <c r="D152" s="5" t="str">
        <f>IF($J152="","",INDEX('Detalle individual'!$C:$C,$J152))</f>
        <v>AGENCIA USULUTAN</v>
      </c>
      <c r="E152" s="5" t="str">
        <f>IF($J152="","",INDEX('Detalle individual'!$D:$D,$J152))</f>
        <v>Gerencia de Negocios</v>
      </c>
      <c r="F152" s="23">
        <f>IF($J152="","",INDEX('Detalle individual'!$H:$H,$J152))</f>
        <v>46303.544328703705</v>
      </c>
      <c r="G152" s="28">
        <f>IF($J152="","",INDEX('Detalle individual'!$J:$J,$J152))</f>
        <v>100</v>
      </c>
      <c r="H152" s="28">
        <f>IF($J152="","",INDEX('Detalle individual'!$L:$L,$J152))</f>
        <v>1</v>
      </c>
      <c r="J152">
        <f>IFERROR(MATCH(SMALL(Cálculos!$AI$5:$AI$1000,148),Cálculos!$AI$5:$AI$1000,0)+4,"")</f>
        <v>286</v>
      </c>
    </row>
    <row r="153">
      <c r="A153" s="5" t="str">
        <f>IF($J153="","",INDEX('Detalle individual'!$B:$B,$J153))</f>
        <v>HECTOR MAURICIO GONZÁLEZ VÁSQUEZ</v>
      </c>
      <c r="B153" s="5" t="str">
        <f>IF($J153="","",INDEX('Detalle individual'!$A:$A,$J153))</f>
        <v>912</v>
      </c>
      <c r="C153" s="5" t="str">
        <f>IF($J153="","",INDEX('Detalle individual'!$E:$E,$J153))</f>
        <v>EJECUTIVO DE SEGUROS</v>
      </c>
      <c r="D153" s="5" t="str">
        <f>IF($J153="","",INDEX('Detalle individual'!$C:$C,$J153))</f>
        <v>AGENCIA USULUTAN</v>
      </c>
      <c r="E153" s="5" t="str">
        <f>IF($J153="","",INDEX('Detalle individual'!$D:$D,$J153))</f>
        <v>Gerencia de Negocios</v>
      </c>
      <c r="F153" s="23">
        <f>IF($J153="","",INDEX('Detalle individual'!$H:$H,$J153))</f>
        <v>46303.45730324074</v>
      </c>
      <c r="G153" s="28">
        <f>IF($J153="","",INDEX('Detalle individual'!$J:$J,$J153))</f>
        <v>100</v>
      </c>
      <c r="H153" s="28">
        <f>IF($J153="","",INDEX('Detalle individual'!$L:$L,$J153))</f>
        <v>1</v>
      </c>
      <c r="J153">
        <f>IFERROR(MATCH(SMALL(Cálculos!$AI$5:$AI$1000,149),Cálculos!$AI$5:$AI$1000,0)+4,"")</f>
        <v>283</v>
      </c>
    </row>
    <row r="154">
      <c r="A154" s="5" t="str">
        <f>IF($J154="","",INDEX('Detalle individual'!$B:$B,$J154))</f>
        <v>LUCIANO DE JESUS SARAVIA BELTRAN</v>
      </c>
      <c r="B154" s="5" t="str">
        <f>IF($J154="","",INDEX('Detalle individual'!$A:$A,$J154))</f>
        <v>456</v>
      </c>
      <c r="C154" s="5" t="str">
        <f>IF($J154="","",INDEX('Detalle individual'!$E:$E,$J154))</f>
        <v>MENSAJERO</v>
      </c>
      <c r="D154" s="5" t="str">
        <f>IF($J154="","",INDEX('Detalle individual'!$C:$C,$J154))</f>
        <v>AGENCIA USULUTAN</v>
      </c>
      <c r="E154" s="5" t="str">
        <f>IF($J154="","",INDEX('Detalle individual'!$D:$D,$J154))</f>
        <v>Gerencia de Negocios</v>
      </c>
      <c r="F154" s="23">
        <f>IF($J154="","",INDEX('Detalle individual'!$H:$H,$J154))</f>
        <v>46301.51369212963</v>
      </c>
      <c r="G154" s="28">
        <f>IF($J154="","",INDEX('Detalle individual'!$J:$J,$J154))</f>
        <v>100</v>
      </c>
      <c r="H154" s="28">
        <f>IF($J154="","",INDEX('Detalle individual'!$L:$L,$J154))</f>
        <v>2</v>
      </c>
      <c r="J154">
        <f>IFERROR(MATCH(SMALL(Cálculos!$AI$5:$AI$1000,150),Cálculos!$AI$5:$AI$1000,0)+4,"")</f>
        <v>281</v>
      </c>
    </row>
    <row r="155">
      <c r="A155" s="5" t="str">
        <f>IF($J155="","",INDEX('Detalle individual'!$B:$B,$J155))</f>
        <v>LUIS MANUEL VALENCIA GUERRERO</v>
      </c>
      <c r="B155" s="5" t="str">
        <f>IF($J155="","",INDEX('Detalle individual'!$A:$A,$J155))</f>
        <v>917</v>
      </c>
      <c r="C155" s="5" t="str">
        <f>IF($J155="","",INDEX('Detalle individual'!$E:$E,$J155))</f>
        <v>SUBJEFE DE AGENCIA</v>
      </c>
      <c r="D155" s="5" t="str">
        <f>IF($J155="","",INDEX('Detalle individual'!$C:$C,$J155))</f>
        <v>AGENCIA USULUTAN</v>
      </c>
      <c r="E155" s="5" t="str">
        <f>IF($J155="","",INDEX('Detalle individual'!$D:$D,$J155))</f>
        <v>Gerencia de Negocios</v>
      </c>
      <c r="F155" s="23">
        <f>IF($J155="","",INDEX('Detalle individual'!$H:$H,$J155))</f>
        <v>46309.4197337963</v>
      </c>
      <c r="G155" s="28">
        <f>IF($J155="","",INDEX('Detalle individual'!$J:$J,$J155))</f>
        <v>100</v>
      </c>
      <c r="H155" s="28">
        <f>IF($J155="","",INDEX('Detalle individual'!$L:$L,$J155))</f>
        <v>1</v>
      </c>
      <c r="J155">
        <f>IFERROR(MATCH(SMALL(Cálculos!$AI$5:$AI$1000,151),Cálculos!$AI$5:$AI$1000,0)+4,"")</f>
        <v>284</v>
      </c>
    </row>
    <row r="156">
      <c r="A156" s="5" t="str">
        <f>IF($J156="","",INDEX('Detalle individual'!$B:$B,$J156))</f>
        <v>MELVIN ELISEO HERNANDEZ MACHADO</v>
      </c>
      <c r="B156" s="5" t="str">
        <f>IF($J156="","",INDEX('Detalle individual'!$A:$A,$J156))</f>
        <v>951</v>
      </c>
      <c r="C156" s="5" t="str">
        <f>IF($J156="","",INDEX('Detalle individual'!$E:$E,$J156))</f>
        <v>EJECUTIVO DE NEGOCIOS</v>
      </c>
      <c r="D156" s="5" t="str">
        <f>IF($J156="","",INDEX('Detalle individual'!$C:$C,$J156))</f>
        <v>AGENCIA USULUTAN</v>
      </c>
      <c r="E156" s="5" t="str">
        <f>IF($J156="","",INDEX('Detalle individual'!$D:$D,$J156))</f>
        <v>Gerencia de Negocios</v>
      </c>
      <c r="F156" s="23">
        <f>IF($J156="","",INDEX('Detalle individual'!$H:$H,$J156))</f>
        <v>46309.3825462963</v>
      </c>
      <c r="G156" s="28">
        <f>IF($J156="","",INDEX('Detalle individual'!$J:$J,$J156))</f>
        <v>100</v>
      </c>
      <c r="H156" s="28">
        <f>IF($J156="","",INDEX('Detalle individual'!$L:$L,$J156))</f>
        <v>1</v>
      </c>
      <c r="J156">
        <f>IFERROR(MATCH(SMALL(Cálculos!$AI$5:$AI$1000,152),Cálculos!$AI$5:$AI$1000,0)+4,"")</f>
        <v>285</v>
      </c>
    </row>
    <row r="157">
      <c r="A157" s="5" t="str">
        <f>IF($J157="","",INDEX('Detalle individual'!$B:$B,$J157))</f>
        <v>WENDY YAMILETH MARQUEZ VASQUEZ</v>
      </c>
      <c r="B157" s="5" t="str">
        <f>IF($J157="","",INDEX('Detalle individual'!$A:$A,$J157))</f>
        <v>903</v>
      </c>
      <c r="C157" s="5" t="str">
        <f>IF($J157="","",INDEX('Detalle individual'!$E:$E,$J157))</f>
        <v>JEFE DE AGENCIA</v>
      </c>
      <c r="D157" s="5" t="str">
        <f>IF($J157="","",INDEX('Detalle individual'!$C:$C,$J157))</f>
        <v>AGENCIA USULUTAN</v>
      </c>
      <c r="E157" s="5" t="str">
        <f>IF($J157="","",INDEX('Detalle individual'!$D:$D,$J157))</f>
        <v>Gerencia de Negocios</v>
      </c>
      <c r="F157" s="23">
        <f>IF($J157="","",INDEX('Detalle individual'!$H:$H,$J157))</f>
        <v>46301.432337962964</v>
      </c>
      <c r="G157" s="28">
        <f>IF($J157="","",INDEX('Detalle individual'!$J:$J,$J157))</f>
        <v>100</v>
      </c>
      <c r="H157" s="28">
        <f>IF($J157="","",INDEX('Detalle individual'!$L:$L,$J157))</f>
        <v>1</v>
      </c>
      <c r="J157">
        <f>IFERROR(MATCH(SMALL(Cálculos!$AI$5:$AI$1000,153),Cálculos!$AI$5:$AI$1000,0)+4,"")</f>
        <v>282</v>
      </c>
    </row>
    <row r="158">
      <c r="A158" s="5" t="str">
        <f>IF($J158="","",INDEX('Detalle individual'!$B:$B,$J158))</f>
        <v>ANTONIO ALEXANDER ALFARO ARGUETA</v>
      </c>
      <c r="B158" s="5" t="str">
        <f>IF($J158="","",INDEX('Detalle individual'!$A:$A,$J158))</f>
        <v>669</v>
      </c>
      <c r="C158" s="5" t="str">
        <f>IF($J158="","",INDEX('Detalle individual'!$E:$E,$J158))</f>
        <v>EJECUTIVO DE NEGOCIOS</v>
      </c>
      <c r="D158" s="5" t="str">
        <f>IF($J158="","",INDEX('Detalle individual'!$C:$C,$J158))</f>
        <v>DEPARTAMENTO COMERCIAL DE TARJETA DE CREDITO Y DEBITO</v>
      </c>
      <c r="E158" s="5" t="str">
        <f>IF($J158="","",INDEX('Detalle individual'!$D:$D,$J158))</f>
        <v>Gerencia de Negocios</v>
      </c>
      <c r="F158" s="23">
        <f>IF($J158="","",INDEX('Detalle individual'!$H:$H,$J158))</f>
        <v>46305.48725694444</v>
      </c>
      <c r="G158" s="28">
        <f>IF($J158="","",INDEX('Detalle individual'!$J:$J,$J158))</f>
        <v>90</v>
      </c>
      <c r="H158" s="28">
        <f>IF($J158="","",INDEX('Detalle individual'!$L:$L,$J158))</f>
        <v>1</v>
      </c>
      <c r="J158">
        <f>IFERROR(MATCH(SMALL(Cálculos!$AI$5:$AI$1000,154),Cálculos!$AI$5:$AI$1000,0)+4,"")</f>
        <v>180</v>
      </c>
    </row>
    <row r="159">
      <c r="A159" s="5" t="str">
        <f>IF($J159="","",INDEX('Detalle individual'!$B:$B,$J159))</f>
        <v>CLAUDIA VERONICA LARA RODAS</v>
      </c>
      <c r="B159" s="5" t="str">
        <f>IF($J159="","",INDEX('Detalle individual'!$A:$A,$J159))</f>
        <v>422</v>
      </c>
      <c r="C159" s="5" t="str">
        <f>IF($J159="","",INDEX('Detalle individual'!$E:$E,$J159))</f>
        <v>ASISTENTE COMERCIAL DE TARJETA DE CREDITO</v>
      </c>
      <c r="D159" s="5" t="str">
        <f>IF($J159="","",INDEX('Detalle individual'!$C:$C,$J159))</f>
        <v>DEPARTAMENTO COMERCIAL DE TARJETA DE CREDITO Y DEBITO</v>
      </c>
      <c r="E159" s="5" t="str">
        <f>IF($J159="","",INDEX('Detalle individual'!$D:$D,$J159))</f>
        <v>Gerencia de Negocios</v>
      </c>
      <c r="F159" s="23">
        <f>IF($J159="","",INDEX('Detalle individual'!$H:$H,$J159))</f>
        <v>46304.41396990741</v>
      </c>
      <c r="G159" s="28">
        <f>IF($J159="","",INDEX('Detalle individual'!$J:$J,$J159))</f>
        <v>100</v>
      </c>
      <c r="H159" s="28">
        <f>IF($J159="","",INDEX('Detalle individual'!$L:$L,$J159))</f>
        <v>1</v>
      </c>
      <c r="J159">
        <f>IFERROR(MATCH(SMALL(Cálculos!$AI$5:$AI$1000,155),Cálculos!$AI$5:$AI$1000,0)+4,"")</f>
        <v>176</v>
      </c>
    </row>
    <row r="160">
      <c r="A160" s="5" t="str">
        <f>IF($J160="","",INDEX('Detalle individual'!$B:$B,$J160))</f>
        <v>GABRIEL FRANCISCO MOLINA DIAZ</v>
      </c>
      <c r="B160" s="5" t="str">
        <f>IF($J160="","",INDEX('Detalle individual'!$A:$A,$J160))</f>
        <v>858</v>
      </c>
      <c r="C160" s="5" t="str">
        <f>IF($J160="","",INDEX('Detalle individual'!$E:$E,$J160))</f>
        <v>EJECUTIVO DE NEGOCIOS</v>
      </c>
      <c r="D160" s="5" t="str">
        <f>IF($J160="","",INDEX('Detalle individual'!$C:$C,$J160))</f>
        <v>DEPARTAMENTO COMERCIAL DE TARJETA DE CREDITO Y DEBITO</v>
      </c>
      <c r="E160" s="5" t="str">
        <f>IF($J160="","",INDEX('Detalle individual'!$D:$D,$J160))</f>
        <v>Gerencia de Negocios</v>
      </c>
      <c r="F160" s="23">
        <f>IF($J160="","",INDEX('Detalle individual'!$H:$H,$J160))</f>
        <v>46305.49159722222</v>
      </c>
      <c r="G160" s="28">
        <f>IF($J160="","",INDEX('Detalle individual'!$J:$J,$J160))</f>
        <v>95</v>
      </c>
      <c r="H160" s="28">
        <f>IF($J160="","",INDEX('Detalle individual'!$L:$L,$J160))</f>
        <v>1</v>
      </c>
      <c r="J160">
        <f>IFERROR(MATCH(SMALL(Cálculos!$AI$5:$AI$1000,156),Cálculos!$AI$5:$AI$1000,0)+4,"")</f>
        <v>183</v>
      </c>
    </row>
    <row r="161">
      <c r="A161" s="5" t="str">
        <f>IF($J161="","",INDEX('Detalle individual'!$B:$B,$J161))</f>
        <v>GABRIELA ALEJANDRA RODRIGUEZ ARIAS</v>
      </c>
      <c r="B161" s="5" t="str">
        <f>IF($J161="","",INDEX('Detalle individual'!$A:$A,$J161))</f>
        <v>654</v>
      </c>
      <c r="C161" s="5" t="str">
        <f>IF($J161="","",INDEX('Detalle individual'!$E:$E,$J161))</f>
        <v>AUXILIAR DE ATENCION AL CLIENTE</v>
      </c>
      <c r="D161" s="5" t="str">
        <f>IF($J161="","",INDEX('Detalle individual'!$C:$C,$J161))</f>
        <v>DEPARTAMENTO COMERCIAL DE TARJETA DE CREDITO Y DEBITO</v>
      </c>
      <c r="E161" s="5" t="str">
        <f>IF($J161="","",INDEX('Detalle individual'!$D:$D,$J161))</f>
        <v>Gerencia de Negocios</v>
      </c>
      <c r="F161" s="23">
        <f>IF($J161="","",INDEX('Detalle individual'!$H:$H,$J161))</f>
        <v>46304.678506944445</v>
      </c>
      <c r="G161" s="28">
        <f>IF($J161="","",INDEX('Detalle individual'!$J:$J,$J161))</f>
        <v>80</v>
      </c>
      <c r="H161" s="28">
        <f>IF($J161="","",INDEX('Detalle individual'!$L:$L,$J161))</f>
        <v>1</v>
      </c>
      <c r="J161">
        <f>IFERROR(MATCH(SMALL(Cálculos!$AI$5:$AI$1000,157),Cálculos!$AI$5:$AI$1000,0)+4,"")</f>
        <v>178</v>
      </c>
    </row>
    <row r="162">
      <c r="A162" s="5" t="str">
        <f>IF($J162="","",INDEX('Detalle individual'!$B:$B,$J162))</f>
        <v>JOSE ALEXANDER ABREGO</v>
      </c>
      <c r="B162" s="5" t="str">
        <f>IF($J162="","",INDEX('Detalle individual'!$A:$A,$J162))</f>
        <v>655</v>
      </c>
      <c r="C162" s="5" t="str">
        <f>IF($J162="","",INDEX('Detalle individual'!$E:$E,$J162))</f>
        <v>EJECUTIVO DE NEGOCIOS</v>
      </c>
      <c r="D162" s="5" t="str">
        <f>IF($J162="","",INDEX('Detalle individual'!$C:$C,$J162))</f>
        <v>DEPARTAMENTO COMERCIAL DE TARJETA DE CREDITO Y DEBITO</v>
      </c>
      <c r="E162" s="5" t="str">
        <f>IF($J162="","",INDEX('Detalle individual'!$D:$D,$J162))</f>
        <v>Gerencia de Negocios</v>
      </c>
      <c r="F162" s="23">
        <f>IF($J162="","",INDEX('Detalle individual'!$H:$H,$J162))</f>
        <v>46305.51431712963</v>
      </c>
      <c r="G162" s="28">
        <f>IF($J162="","",INDEX('Detalle individual'!$J:$J,$J162))</f>
        <v>65</v>
      </c>
      <c r="H162" s="28">
        <f>IF($J162="","",INDEX('Detalle individual'!$L:$L,$J162))</f>
        <v>1</v>
      </c>
      <c r="J162">
        <f>IFERROR(MATCH(SMALL(Cálculos!$AI$5:$AI$1000,158),Cálculos!$AI$5:$AI$1000,0)+4,"")</f>
        <v>179</v>
      </c>
    </row>
    <row r="163">
      <c r="A163" s="5" t="str">
        <f>IF($J163="","",INDEX('Detalle individual'!$B:$B,$J163))</f>
        <v>KAREN MARCELA BARILLAS MOLINA</v>
      </c>
      <c r="B163" s="5" t="str">
        <f>IF($J163="","",INDEX('Detalle individual'!$A:$A,$J163))</f>
        <v>715</v>
      </c>
      <c r="C163" s="5" t="str">
        <f>IF($J163="","",INDEX('Detalle individual'!$E:$E,$J163))</f>
        <v>AUXILIAR DE ATENCION AL TARJETAHABIENTE</v>
      </c>
      <c r="D163" s="5" t="str">
        <f>IF($J163="","",INDEX('Detalle individual'!$C:$C,$J163))</f>
        <v>DEPARTAMENTO COMERCIAL DE TARJETA DE CREDITO Y DEBITO</v>
      </c>
      <c r="E163" s="5" t="str">
        <f>IF($J163="","",INDEX('Detalle individual'!$D:$D,$J163))</f>
        <v>Gerencia de Negocios</v>
      </c>
      <c r="F163" s="23">
        <f>IF($J163="","",INDEX('Detalle individual'!$H:$H,$J163))</f>
        <v>46297.71334490741</v>
      </c>
      <c r="G163" s="28">
        <f>IF($J163="","",INDEX('Detalle individual'!$J:$J,$J163))</f>
        <v>85</v>
      </c>
      <c r="H163" s="28">
        <f>IF($J163="","",INDEX('Detalle individual'!$L:$L,$J163))</f>
        <v>1</v>
      </c>
      <c r="J163">
        <f>IFERROR(MATCH(SMALL(Cálculos!$AI$5:$AI$1000,159),Cálculos!$AI$5:$AI$1000,0)+4,"")</f>
        <v>181</v>
      </c>
    </row>
    <row r="164">
      <c r="A164" s="5" t="str">
        <f>IF($J164="","",INDEX('Detalle individual'!$B:$B,$J164))</f>
        <v>LIDIA PATRICIA MORALES AVALOS</v>
      </c>
      <c r="B164" s="5" t="str">
        <f>IF($J164="","",INDEX('Detalle individual'!$A:$A,$J164))</f>
        <v>533</v>
      </c>
      <c r="C164" s="5" t="str">
        <f>IF($J164="","",INDEX('Detalle individual'!$E:$E,$J164))</f>
        <v>JEFE COMERCIAL DE TARJETA DE CREDITO</v>
      </c>
      <c r="D164" s="5" t="str">
        <f>IF($J164="","",INDEX('Detalle individual'!$C:$C,$J164))</f>
        <v>DEPARTAMENTO COMERCIAL DE TARJETA DE CREDITO Y DEBITO</v>
      </c>
      <c r="E164" s="5" t="str">
        <f>IF($J164="","",INDEX('Detalle individual'!$D:$D,$J164))</f>
        <v>Gerencia de Negocios</v>
      </c>
      <c r="F164" s="23">
        <f>IF($J164="","",INDEX('Detalle individual'!$H:$H,$J164))</f>
        <v>46304.7809837963</v>
      </c>
      <c r="G164" s="28">
        <f>IF($J164="","",INDEX('Detalle individual'!$J:$J,$J164))</f>
        <v>90</v>
      </c>
      <c r="H164" s="28">
        <f>IF($J164="","",INDEX('Detalle individual'!$L:$L,$J164))</f>
        <v>1</v>
      </c>
      <c r="J164">
        <f>IFERROR(MATCH(SMALL(Cálculos!$AI$5:$AI$1000,160),Cálculos!$AI$5:$AI$1000,0)+4,"")</f>
        <v>177</v>
      </c>
    </row>
    <row r="165">
      <c r="A165" s="5" t="str">
        <f>IF($J165="","",INDEX('Detalle individual'!$B:$B,$J165))</f>
        <v>ALAN RODRIGO BENITEZ RODRIGUEZ</v>
      </c>
      <c r="B165" s="5" t="str">
        <f>IF($J165="","",INDEX('Detalle individual'!$A:$A,$J165))</f>
        <v>981</v>
      </c>
      <c r="C165" s="5" t="str">
        <f>IF($J165="","",INDEX('Detalle individual'!$E:$E,$J165))</f>
        <v>PASANTE</v>
      </c>
      <c r="D165" s="5" t="str">
        <f>IF($J165="","",INDEX('Detalle individual'!$C:$C,$J165))</f>
        <v>DEPARTAMENTO DE ATENCION A ASOCIADO Y CLIENTE</v>
      </c>
      <c r="E165" s="5" t="str">
        <f>IF($J165="","",INDEX('Detalle individual'!$D:$D,$J165))</f>
        <v>Gerencia de Negocios</v>
      </c>
      <c r="F165" s="23">
        <f>IF($J165="","",INDEX('Detalle individual'!$H:$H,$J165))</f>
        <v>46310.70625</v>
      </c>
      <c r="G165" s="28">
        <f>IF($J165="","",INDEX('Detalle individual'!$J:$J,$J165))</f>
        <v>100</v>
      </c>
      <c r="H165" s="28">
        <f>IF($J165="","",INDEX('Detalle individual'!$L:$L,$J165))</f>
        <v>1</v>
      </c>
      <c r="J165">
        <f>IFERROR(MATCH(SMALL(Cálculos!$AI$5:$AI$1000,161),Cálculos!$AI$5:$AI$1000,0)+4,"")</f>
        <v>144</v>
      </c>
    </row>
    <row r="166">
      <c r="A166" s="5" t="str">
        <f>IF($J166="","",INDEX('Detalle individual'!$B:$B,$J166))</f>
        <v>EDGARDO ISAIAS PEÑATE RIVAS</v>
      </c>
      <c r="B166" s="5" t="str">
        <f>IF($J166="","",INDEX('Detalle individual'!$A:$A,$J166))</f>
        <v>712</v>
      </c>
      <c r="C166" s="5" t="str">
        <f>IF($J166="","",INDEX('Detalle individual'!$E:$E,$J166))</f>
        <v>ASISTENTE TECNICO DEL FONDO DE SOLIDARIDAD</v>
      </c>
      <c r="D166" s="5" t="str">
        <f>IF($J166="","",INDEX('Detalle individual'!$C:$C,$J166))</f>
        <v>DEPARTAMENTO DE ATENCION A ASOCIADO Y CLIENTE</v>
      </c>
      <c r="E166" s="5" t="str">
        <f>IF($J166="","",INDEX('Detalle individual'!$D:$D,$J166))</f>
        <v>Gerencia de Negocios</v>
      </c>
      <c r="F166" s="23">
        <f>IF($J166="","",INDEX('Detalle individual'!$H:$H,$J166))</f>
        <v>46304.37650462963</v>
      </c>
      <c r="G166" s="28">
        <f>IF($J166="","",INDEX('Detalle individual'!$J:$J,$J166))</f>
        <v>100</v>
      </c>
      <c r="H166" s="28">
        <f>IF($J166="","",INDEX('Detalle individual'!$L:$L,$J166))</f>
        <v>1</v>
      </c>
      <c r="J166">
        <f>IFERROR(MATCH(SMALL(Cálculos!$AI$5:$AI$1000,162),Cálculos!$AI$5:$AI$1000,0)+4,"")</f>
        <v>140</v>
      </c>
    </row>
    <row r="167">
      <c r="A167" s="5" t="str">
        <f>IF($J167="","",INDEX('Detalle individual'!$B:$B,$J167))</f>
        <v>EMERSON ULISES BELTRAN CORTEZ</v>
      </c>
      <c r="B167" s="5" t="str">
        <f>IF($J167="","",INDEX('Detalle individual'!$A:$A,$J167))</f>
        <v>887</v>
      </c>
      <c r="C167" s="5" t="str">
        <f>IF($J167="","",INDEX('Detalle individual'!$E:$E,$J167))</f>
        <v>AUXILIAR DE ATENCION A ASOCIADOS</v>
      </c>
      <c r="D167" s="5" t="str">
        <f>IF($J167="","",INDEX('Detalle individual'!$C:$C,$J167))</f>
        <v>DEPARTAMENTO DE ATENCION A ASOCIADO Y CLIENTE</v>
      </c>
      <c r="E167" s="5" t="str">
        <f>IF($J167="","",INDEX('Detalle individual'!$D:$D,$J167))</f>
        <v>Gerencia de Negocios</v>
      </c>
      <c r="F167" s="23">
        <f>IF($J167="","",INDEX('Detalle individual'!$H:$H,$J167))</f>
        <v>46308.64163194445</v>
      </c>
      <c r="G167" s="28">
        <f>IF($J167="","",INDEX('Detalle individual'!$J:$J,$J167))</f>
        <v>100</v>
      </c>
      <c r="H167" s="28">
        <f>IF($J167="","",INDEX('Detalle individual'!$L:$L,$J167))</f>
        <v>1</v>
      </c>
      <c r="J167">
        <f>IFERROR(MATCH(SMALL(Cálculos!$AI$5:$AI$1000,163),Cálculos!$AI$5:$AI$1000,0)+4,"")</f>
        <v>142</v>
      </c>
    </row>
    <row r="168">
      <c r="A168" s="5" t="str">
        <f>IF($J168="","",INDEX('Detalle individual'!$B:$B,$J168))</f>
        <v>FABIOLA ELIZABETH TICAS GOMEZ</v>
      </c>
      <c r="B168" s="5" t="str">
        <f>IF($J168="","",INDEX('Detalle individual'!$A:$A,$J168))</f>
        <v>945</v>
      </c>
      <c r="C168" s="5" t="str">
        <f>IF($J168="","",INDEX('Detalle individual'!$E:$E,$J168))</f>
        <v>RECEPCIONISTA</v>
      </c>
      <c r="D168" s="5" t="str">
        <f>IF($J168="","",INDEX('Detalle individual'!$C:$C,$J168))</f>
        <v>DEPARTAMENTO DE ATENCION A ASOCIADO Y CLIENTE</v>
      </c>
      <c r="E168" s="5" t="str">
        <f>IF($J168="","",INDEX('Detalle individual'!$D:$D,$J168))</f>
        <v>Gerencia de Negocios</v>
      </c>
      <c r="F168" s="23">
        <f>IF($J168="","",INDEX('Detalle individual'!$H:$H,$J168))</f>
        <v>46309.409166666665</v>
      </c>
      <c r="G168" s="28">
        <f>IF($J168="","",INDEX('Detalle individual'!$J:$J,$J168))</f>
        <v>100</v>
      </c>
      <c r="H168" s="28">
        <f>IF($J168="","",INDEX('Detalle individual'!$L:$L,$J168))</f>
        <v>1</v>
      </c>
      <c r="J168">
        <f>IFERROR(MATCH(SMALL(Cálculos!$AI$5:$AI$1000,164),Cálculos!$AI$5:$AI$1000,0)+4,"")</f>
        <v>143</v>
      </c>
    </row>
    <row r="169">
      <c r="A169" s="5" t="str">
        <f>IF($J169="","",INDEX('Detalle individual'!$B:$B,$J169))</f>
        <v>JENNIFER ROXANA AYALA AYALA</v>
      </c>
      <c r="B169" s="5" t="str">
        <f>IF($J169="","",INDEX('Detalle individual'!$A:$A,$J169))</f>
        <v>986</v>
      </c>
      <c r="C169" s="5" t="str">
        <f>IF($J169="","",INDEX('Detalle individual'!$E:$E,$J169))</f>
        <v>ASISTENTE TECNICO DEL FONDO DE SOLIDARIDAD</v>
      </c>
      <c r="D169" s="5" t="str">
        <f>IF($J169="","",INDEX('Detalle individual'!$C:$C,$J169))</f>
        <v>DEPARTAMENTO DE ATENCION A ASOCIADO Y CLIENTE</v>
      </c>
      <c r="E169" s="5" t="str">
        <f>IF($J169="","",INDEX('Detalle individual'!$D:$D,$J169))</f>
        <v>Gerencia de Negocios</v>
      </c>
      <c r="F169" s="23">
        <f>IF($J169="","",INDEX('Detalle individual'!$H:$H,$J169))</f>
        <v>46308.713692129626</v>
      </c>
      <c r="G169" s="28">
        <f>IF($J169="","",INDEX('Detalle individual'!$J:$J,$J169))</f>
        <v>80</v>
      </c>
      <c r="H169" s="28">
        <f>IF($J169="","",INDEX('Detalle individual'!$L:$L,$J169))</f>
        <v>1</v>
      </c>
      <c r="J169">
        <f>IFERROR(MATCH(SMALL(Cálculos!$AI$5:$AI$1000,165),Cálculos!$AI$5:$AI$1000,0)+4,"")</f>
        <v>297</v>
      </c>
    </row>
    <row r="170">
      <c r="A170" s="5" t="str">
        <f>IF($J170="","",INDEX('Detalle individual'!$B:$B,$J170))</f>
        <v>KARLA PATRICIA ROBLES CORTEZ</v>
      </c>
      <c r="B170" s="5" t="str">
        <f>IF($J170="","",INDEX('Detalle individual'!$A:$A,$J170))</f>
        <v>744</v>
      </c>
      <c r="C170" s="5" t="str">
        <f>IF($J170="","",INDEX('Detalle individual'!$E:$E,$J170))</f>
        <v>ASISTENTE TECNICO DE AFILIACION</v>
      </c>
      <c r="D170" s="5" t="str">
        <f>IF($J170="","",INDEX('Detalle individual'!$C:$C,$J170))</f>
        <v>DEPARTAMENTO DE ATENCION A ASOCIADO Y CLIENTE</v>
      </c>
      <c r="E170" s="5" t="str">
        <f>IF($J170="","",INDEX('Detalle individual'!$D:$D,$J170))</f>
        <v>Gerencia de Negocios</v>
      </c>
      <c r="F170" s="23">
        <f>IF($J170="","",INDEX('Detalle individual'!$H:$H,$J170))</f>
        <v>46308.622615740744</v>
      </c>
      <c r="G170" s="28">
        <f>IF($J170="","",INDEX('Detalle individual'!$J:$J,$J170))</f>
        <v>90</v>
      </c>
      <c r="H170" s="28">
        <f>IF($J170="","",INDEX('Detalle individual'!$L:$L,$J170))</f>
        <v>1</v>
      </c>
      <c r="J170">
        <f>IFERROR(MATCH(SMALL(Cálculos!$AI$5:$AI$1000,166),Cálculos!$AI$5:$AI$1000,0)+4,"")</f>
        <v>141</v>
      </c>
    </row>
    <row r="171">
      <c r="A171" s="5" t="str">
        <f>IF($J171="","",INDEX('Detalle individual'!$B:$B,$J171))</f>
        <v>MARIA FRANCISCA DE LA LUZ HERNANDEZ HERNANDEZ</v>
      </c>
      <c r="B171" s="5" t="str">
        <f>IF($J171="","",INDEX('Detalle individual'!$A:$A,$J171))</f>
        <v>166</v>
      </c>
      <c r="C171" s="5" t="str">
        <f>IF($J171="","",INDEX('Detalle individual'!$E:$E,$J171))</f>
        <v>JEFE DE ATENCION A ASOCIADOS Y CLIENTES</v>
      </c>
      <c r="D171" s="5" t="str">
        <f>IF($J171="","",INDEX('Detalle individual'!$C:$C,$J171))</f>
        <v>DEPARTAMENTO DE ATENCION A ASOCIADO Y CLIENTE</v>
      </c>
      <c r="E171" s="5" t="str">
        <f>IF($J171="","",INDEX('Detalle individual'!$D:$D,$J171))</f>
        <v>Gerencia de Negocios</v>
      </c>
      <c r="F171" s="23">
        <f>IF($J171="","",INDEX('Detalle individual'!$H:$H,$J171))</f>
        <v>46301.489282407405</v>
      </c>
      <c r="G171" s="28">
        <f>IF($J171="","",INDEX('Detalle individual'!$J:$J,$J171))</f>
        <v>100</v>
      </c>
      <c r="H171" s="28">
        <f>IF($J171="","",INDEX('Detalle individual'!$L:$L,$J171))</f>
        <v>1</v>
      </c>
      <c r="J171">
        <f>IFERROR(MATCH(SMALL(Cálculos!$AI$5:$AI$1000,167),Cálculos!$AI$5:$AI$1000,0)+4,"")</f>
        <v>139</v>
      </c>
    </row>
    <row r="172">
      <c r="A172" s="5" t="str">
        <f>IF($J172="","",INDEX('Detalle individual'!$B:$B,$J172))</f>
        <v>ANA ESTER ERAZO ORTIZ</v>
      </c>
      <c r="B172" s="5" t="str">
        <f>IF($J172="","",INDEX('Detalle individual'!$A:$A,$J172))</f>
        <v>207</v>
      </c>
      <c r="C172" s="5" t="str">
        <f>IF($J172="","",INDEX('Detalle individual'!$E:$E,$J172))</f>
        <v>ANALISTA DE CREDITOS</v>
      </c>
      <c r="D172" s="5" t="str">
        <f>IF($J172="","",INDEX('Detalle individual'!$C:$C,$J172))</f>
        <v>DEPARTAMENTO DE CREDITOS</v>
      </c>
      <c r="E172" s="5" t="str">
        <f>IF($J172="","",INDEX('Detalle individual'!$D:$D,$J172))</f>
        <v>Gerencia de Negocios</v>
      </c>
      <c r="F172" s="23">
        <f>IF($J172="","",INDEX('Detalle individual'!$H:$H,$J172))</f>
        <v>46309.40052083333</v>
      </c>
      <c r="G172" s="28">
        <f>IF($J172="","",INDEX('Detalle individual'!$J:$J,$J172))</f>
        <v>100</v>
      </c>
      <c r="H172" s="28">
        <f>IF($J172="","",INDEX('Detalle individual'!$L:$L,$J172))</f>
        <v>1</v>
      </c>
      <c r="J172">
        <f>IFERROR(MATCH(SMALL(Cálculos!$AI$5:$AI$1000,168),Cálculos!$AI$5:$AI$1000,0)+4,"")</f>
        <v>152</v>
      </c>
    </row>
    <row r="173">
      <c r="A173" s="5" t="str">
        <f>IF($J173="","",INDEX('Detalle individual'!$B:$B,$J173))</f>
        <v>ANA EVELYN ROQUE GALEANO</v>
      </c>
      <c r="B173" s="5" t="str">
        <f>IF($J173="","",INDEX('Detalle individual'!$A:$A,$J173))</f>
        <v>345</v>
      </c>
      <c r="C173" s="5" t="str">
        <f>IF($J173="","",INDEX('Detalle individual'!$E:$E,$J173))</f>
        <v>AUXILIAR DE CREDITOS</v>
      </c>
      <c r="D173" s="5" t="str">
        <f>IF($J173="","",INDEX('Detalle individual'!$C:$C,$J173))</f>
        <v>DEPARTAMENTO DE CREDITOS</v>
      </c>
      <c r="E173" s="5" t="str">
        <f>IF($J173="","",INDEX('Detalle individual'!$D:$D,$J173))</f>
        <v>Gerencia de Negocios</v>
      </c>
      <c r="F173" s="23">
        <f>IF($J173="","",INDEX('Detalle individual'!$H:$H,$J173))</f>
        <v>46297.65186342593</v>
      </c>
      <c r="G173" s="28">
        <f>IF($J173="","",INDEX('Detalle individual'!$J:$J,$J173))</f>
        <v>90</v>
      </c>
      <c r="H173" s="28">
        <f>IF($J173="","",INDEX('Detalle individual'!$L:$L,$J173))</f>
        <v>1</v>
      </c>
      <c r="J173">
        <f>IFERROR(MATCH(SMALL(Cálculos!$AI$5:$AI$1000,169),Cálculos!$AI$5:$AI$1000,0)+4,"")</f>
        <v>153</v>
      </c>
    </row>
    <row r="174">
      <c r="A174" s="5" t="str">
        <f>IF($J174="","",INDEX('Detalle individual'!$B:$B,$J174))</f>
        <v>CINDIA IVETTE ZEPEDA VASQUEZ</v>
      </c>
      <c r="B174" s="5" t="str">
        <f>IF($J174="","",INDEX('Detalle individual'!$A:$A,$J174))</f>
        <v>492</v>
      </c>
      <c r="C174" s="5" t="str">
        <f>IF($J174="","",INDEX('Detalle individual'!$E:$E,$J174))</f>
        <v>AUXILIAR DE CREDITOS</v>
      </c>
      <c r="D174" s="5" t="str">
        <f>IF($J174="","",INDEX('Detalle individual'!$C:$C,$J174))</f>
        <v>DEPARTAMENTO DE CREDITOS</v>
      </c>
      <c r="E174" s="5" t="str">
        <f>IF($J174="","",INDEX('Detalle individual'!$D:$D,$J174))</f>
        <v>Gerencia de Negocios</v>
      </c>
      <c r="F174" s="23">
        <f>IF($J174="","",INDEX('Detalle individual'!$H:$H,$J174))</f>
        <v>46297.66012731481</v>
      </c>
      <c r="G174" s="28">
        <f>IF($J174="","",INDEX('Detalle individual'!$J:$J,$J174))</f>
        <v>100</v>
      </c>
      <c r="H174" s="28">
        <f>IF($J174="","",INDEX('Detalle individual'!$L:$L,$J174))</f>
        <v>1</v>
      </c>
      <c r="J174">
        <f>IFERROR(MATCH(SMALL(Cálculos!$AI$5:$AI$1000,170),Cálculos!$AI$5:$AI$1000,0)+4,"")</f>
        <v>156</v>
      </c>
    </row>
    <row r="175">
      <c r="A175" s="5" t="str">
        <f>IF($J175="","",INDEX('Detalle individual'!$B:$B,$J175))</f>
        <v>DAYANA ABIGAIL CHAVEZ CORDOVA</v>
      </c>
      <c r="B175" s="5" t="str">
        <f>IF($J175="","",INDEX('Detalle individual'!$A:$A,$J175))</f>
        <v>837</v>
      </c>
      <c r="C175" s="5" t="str">
        <f>IF($J175="","",INDEX('Detalle individual'!$E:$E,$J175))</f>
        <v>GESTOR DE EXPEDIENTES</v>
      </c>
      <c r="D175" s="5" t="str">
        <f>IF($J175="","",INDEX('Detalle individual'!$C:$C,$J175))</f>
        <v>DEPARTAMENTO DE CREDITOS</v>
      </c>
      <c r="E175" s="5" t="str">
        <f>IF($J175="","",INDEX('Detalle individual'!$D:$D,$J175))</f>
        <v>Gerencia de Negocios</v>
      </c>
      <c r="F175" s="23">
        <f>IF($J175="","",INDEX('Detalle individual'!$H:$H,$J175))</f>
        <v>46302.48523148148</v>
      </c>
      <c r="G175" s="28">
        <f>IF($J175="","",INDEX('Detalle individual'!$J:$J,$J175))</f>
        <v>100</v>
      </c>
      <c r="H175" s="28">
        <f>IF($J175="","",INDEX('Detalle individual'!$L:$L,$J175))</f>
        <v>1</v>
      </c>
      <c r="J175">
        <f>IFERROR(MATCH(SMALL(Cálculos!$AI$5:$AI$1000,171),Cálculos!$AI$5:$AI$1000,0)+4,"")</f>
        <v>162</v>
      </c>
    </row>
    <row r="176">
      <c r="A176" s="5" t="str">
        <f>IF($J176="","",INDEX('Detalle individual'!$B:$B,$J176))</f>
        <v>INGRID ALEJANDRINA LISSETH GUZMAN SANCHEZ</v>
      </c>
      <c r="B176" s="5" t="str">
        <f>IF($J176="","",INDEX('Detalle individual'!$A:$A,$J176))</f>
        <v>719</v>
      </c>
      <c r="C176" s="5" t="str">
        <f>IF($J176="","",INDEX('Detalle individual'!$E:$E,$J176))</f>
        <v>AUXILIAR DE CREDITOS</v>
      </c>
      <c r="D176" s="5" t="str">
        <f>IF($J176="","",INDEX('Detalle individual'!$C:$C,$J176))</f>
        <v>DEPARTAMENTO DE CREDITOS</v>
      </c>
      <c r="E176" s="5" t="str">
        <f>IF($J176="","",INDEX('Detalle individual'!$D:$D,$J176))</f>
        <v>Gerencia de Negocios</v>
      </c>
      <c r="F176" s="23">
        <f>IF($J176="","",INDEX('Detalle individual'!$H:$H,$J176))</f>
        <v>46298.41878472222</v>
      </c>
      <c r="G176" s="28">
        <f>IF($J176="","",INDEX('Detalle individual'!$J:$J,$J176))</f>
        <v>100</v>
      </c>
      <c r="H176" s="28">
        <f>IF($J176="","",INDEX('Detalle individual'!$L:$L,$J176))</f>
        <v>1</v>
      </c>
      <c r="J176">
        <f>IFERROR(MATCH(SMALL(Cálculos!$AI$5:$AI$1000,172),Cálculos!$AI$5:$AI$1000,0)+4,"")</f>
        <v>157</v>
      </c>
    </row>
    <row r="177">
      <c r="A177" s="5" t="str">
        <f>IF($J177="","",INDEX('Detalle individual'!$B:$B,$J177))</f>
        <v>JUAN ANTONIO DE JESUS NUNFIO</v>
      </c>
      <c r="B177" s="5" t="str">
        <f>IF($J177="","",INDEX('Detalle individual'!$A:$A,$J177))</f>
        <v>780</v>
      </c>
      <c r="C177" s="5" t="str">
        <f>IF($J177="","",INDEX('Detalle individual'!$E:$E,$J177))</f>
        <v>ANALISTA DE CREDITOS</v>
      </c>
      <c r="D177" s="5" t="str">
        <f>IF($J177="","",INDEX('Detalle individual'!$C:$C,$J177))</f>
        <v>DEPARTAMENTO DE CREDITOS</v>
      </c>
      <c r="E177" s="5" t="str">
        <f>IF($J177="","",INDEX('Detalle individual'!$D:$D,$J177))</f>
        <v>Gerencia de Negocios</v>
      </c>
      <c r="F177" s="23">
        <f>IF($J177="","",INDEX('Detalle individual'!$H:$H,$J177))</f>
        <v>46301.65928240741</v>
      </c>
      <c r="G177" s="28">
        <f>IF($J177="","",INDEX('Detalle individual'!$J:$J,$J177))</f>
        <v>100</v>
      </c>
      <c r="H177" s="28">
        <f>IF($J177="","",INDEX('Detalle individual'!$L:$L,$J177))</f>
        <v>1</v>
      </c>
      <c r="J177">
        <f>IFERROR(MATCH(SMALL(Cálculos!$AI$5:$AI$1000,173),Cálculos!$AI$5:$AI$1000,0)+4,"")</f>
        <v>159</v>
      </c>
    </row>
    <row r="178">
      <c r="A178" s="5" t="str">
        <f>IF($J178="","",INDEX('Detalle individual'!$B:$B,$J178))</f>
        <v>KARLA VANESSA GARCIA OLIVA</v>
      </c>
      <c r="B178" s="5" t="str">
        <f>IF($J178="","",INDEX('Detalle individual'!$A:$A,$J178))</f>
        <v>809</v>
      </c>
      <c r="C178" s="5" t="str">
        <f>IF($J178="","",INDEX('Detalle individual'!$E:$E,$J178))</f>
        <v>ANALISTA DE CREDITOS</v>
      </c>
      <c r="D178" s="5" t="str">
        <f>IF($J178="","",INDEX('Detalle individual'!$C:$C,$J178))</f>
        <v>DEPARTAMENTO DE CREDITOS</v>
      </c>
      <c r="E178" s="5" t="str">
        <f>IF($J178="","",INDEX('Detalle individual'!$D:$D,$J178))</f>
        <v>Gerencia de Negocios</v>
      </c>
      <c r="F178" s="23">
        <f>IF($J178="","",INDEX('Detalle individual'!$H:$H,$J178))</f>
        <v>46307.384097222224</v>
      </c>
      <c r="G178" s="28">
        <f>IF($J178="","",INDEX('Detalle individual'!$J:$J,$J178))</f>
        <v>100</v>
      </c>
      <c r="H178" s="28">
        <f>IF($J178="","",INDEX('Detalle individual'!$L:$L,$J178))</f>
        <v>1</v>
      </c>
      <c r="J178">
        <f>IFERROR(MATCH(SMALL(Cálculos!$AI$5:$AI$1000,174),Cálculos!$AI$5:$AI$1000,0)+4,"")</f>
        <v>161</v>
      </c>
    </row>
    <row r="179">
      <c r="A179" s="5" t="str">
        <f>IF($J179="","",INDEX('Detalle individual'!$B:$B,$J179))</f>
        <v>MABEL GERALDINE RAMIREZ PORTILLO</v>
      </c>
      <c r="B179" s="5" t="str">
        <f>IF($J179="","",INDEX('Detalle individual'!$A:$A,$J179))</f>
        <v>377</v>
      </c>
      <c r="C179" s="5" t="str">
        <f>IF($J179="","",INDEX('Detalle individual'!$E:$E,$J179))</f>
        <v>SUPERVISOR DE ANALISTAS DE CREDITOS</v>
      </c>
      <c r="D179" s="5" t="str">
        <f>IF($J179="","",INDEX('Detalle individual'!$C:$C,$J179))</f>
        <v>DEPARTAMENTO DE CREDITOS</v>
      </c>
      <c r="E179" s="5" t="str">
        <f>IF($J179="","",INDEX('Detalle individual'!$D:$D,$J179))</f>
        <v>Gerencia de Negocios</v>
      </c>
      <c r="F179" s="23">
        <f>IF($J179="","",INDEX('Detalle individual'!$H:$H,$J179))</f>
        <v>46308.57119212963</v>
      </c>
      <c r="G179" s="28">
        <f>IF($J179="","",INDEX('Detalle individual'!$J:$J,$J179))</f>
        <v>100</v>
      </c>
      <c r="H179" s="28">
        <f>IF($J179="","",INDEX('Detalle individual'!$L:$L,$J179))</f>
        <v>1</v>
      </c>
      <c r="J179">
        <f>IFERROR(MATCH(SMALL(Cálculos!$AI$5:$AI$1000,175),Cálculos!$AI$5:$AI$1000,0)+4,"")</f>
        <v>154</v>
      </c>
    </row>
    <row r="180">
      <c r="A180" s="5" t="str">
        <f>IF($J180="","",INDEX('Detalle individual'!$B:$B,$J180))</f>
        <v>MARIA LILIAN MENJIVAR GUARDADO</v>
      </c>
      <c r="B180" s="5" t="str">
        <f>IF($J180="","",INDEX('Detalle individual'!$A:$A,$J180))</f>
        <v>979</v>
      </c>
      <c r="C180" s="5" t="str">
        <f>IF($J180="","",INDEX('Detalle individual'!$E:$E,$J180))</f>
        <v>ANALISTA DE CREDITOS</v>
      </c>
      <c r="D180" s="5" t="str">
        <f>IF($J180="","",INDEX('Detalle individual'!$C:$C,$J180))</f>
        <v>DEPARTAMENTO DE CREDITOS</v>
      </c>
      <c r="E180" s="5" t="str">
        <f>IF($J180="","",INDEX('Detalle individual'!$D:$D,$J180))</f>
        <v>Gerencia de Negocios</v>
      </c>
      <c r="F180" s="23">
        <f>IF($J180="","",INDEX('Detalle individual'!$H:$H,$J180))</f>
        <v>46307.37511574074</v>
      </c>
      <c r="G180" s="28">
        <f>IF($J180="","",INDEX('Detalle individual'!$J:$J,$J180))</f>
        <v>100</v>
      </c>
      <c r="H180" s="28">
        <f>IF($J180="","",INDEX('Detalle individual'!$L:$L,$J180))</f>
        <v>1</v>
      </c>
      <c r="J180">
        <f>IFERROR(MATCH(SMALL(Cálculos!$AI$5:$AI$1000,176),Cálculos!$AI$5:$AI$1000,0)+4,"")</f>
        <v>164</v>
      </c>
    </row>
    <row r="181">
      <c r="A181" s="5" t="str">
        <f>IF($J181="","",INDEX('Detalle individual'!$B:$B,$J181))</f>
        <v>MARIO LEONEL CANDRAY FLORES</v>
      </c>
      <c r="B181" s="5" t="str">
        <f>IF($J181="","",INDEX('Detalle individual'!$A:$A,$J181))</f>
        <v>939</v>
      </c>
      <c r="C181" s="5" t="str">
        <f>IF($J181="","",INDEX('Detalle individual'!$E:$E,$J181))</f>
        <v>ANALISTA DE CREDITOS</v>
      </c>
      <c r="D181" s="5" t="str">
        <f>IF($J181="","",INDEX('Detalle individual'!$C:$C,$J181))</f>
        <v>DEPARTAMENTO DE CREDITOS</v>
      </c>
      <c r="E181" s="5" t="str">
        <f>IF($J181="","",INDEX('Detalle individual'!$D:$D,$J181))</f>
        <v>Gerencia de Negocios</v>
      </c>
      <c r="F181" s="23">
        <f>IF($J181="","",INDEX('Detalle individual'!$H:$H,$J181))</f>
        <v>46307.37395833333</v>
      </c>
      <c r="G181" s="28">
        <f>IF($J181="","",INDEX('Detalle individual'!$J:$J,$J181))</f>
        <v>100</v>
      </c>
      <c r="H181" s="28">
        <f>IF($J181="","",INDEX('Detalle individual'!$L:$L,$J181))</f>
        <v>1</v>
      </c>
      <c r="J181">
        <f>IFERROR(MATCH(SMALL(Cálculos!$AI$5:$AI$1000,177),Cálculos!$AI$5:$AI$1000,0)+4,"")</f>
        <v>163</v>
      </c>
    </row>
    <row r="182">
      <c r="A182" s="5" t="str">
        <f>IF($J182="","",INDEX('Detalle individual'!$B:$B,$J182))</f>
        <v>ROSALBA RODRIGUEZ JIMENEZ</v>
      </c>
      <c r="B182" s="5" t="str">
        <f>IF($J182="","",INDEX('Detalle individual'!$A:$A,$J182))</f>
        <v>470</v>
      </c>
      <c r="C182" s="5" t="str">
        <f>IF($J182="","",INDEX('Detalle individual'!$E:$E,$J182))</f>
        <v>ANALISTA DE CREDITOS</v>
      </c>
      <c r="D182" s="5" t="str">
        <f>IF($J182="","",INDEX('Detalle individual'!$C:$C,$J182))</f>
        <v>DEPARTAMENTO DE CREDITOS</v>
      </c>
      <c r="E182" s="5" t="str">
        <f>IF($J182="","",INDEX('Detalle individual'!$D:$D,$J182))</f>
        <v>Gerencia de Negocios</v>
      </c>
      <c r="F182" s="23">
        <f>IF($J182="","",INDEX('Detalle individual'!$H:$H,$J182))</f>
        <v>46304.409317129626</v>
      </c>
      <c r="G182" s="28">
        <f>IF($J182="","",INDEX('Detalle individual'!$J:$J,$J182))</f>
        <v>100</v>
      </c>
      <c r="H182" s="28">
        <f>IF($J182="","",INDEX('Detalle individual'!$L:$L,$J182))</f>
        <v>1</v>
      </c>
      <c r="J182">
        <f>IFERROR(MATCH(SMALL(Cálculos!$AI$5:$AI$1000,178),Cálculos!$AI$5:$AI$1000,0)+4,"")</f>
        <v>155</v>
      </c>
    </row>
    <row r="183">
      <c r="A183" s="5" t="str">
        <f>IF($J183="","",INDEX('Detalle individual'!$B:$B,$J183))</f>
        <v>SOFIA SOLEDAD CASTRO VALLE</v>
      </c>
      <c r="B183" s="5" t="str">
        <f>IF($J183="","",INDEX('Detalle individual'!$A:$A,$J183))</f>
        <v>781</v>
      </c>
      <c r="C183" s="5" t="str">
        <f>IF($J183="","",INDEX('Detalle individual'!$E:$E,$J183))</f>
        <v>AUXILIAR DE CREDITOS</v>
      </c>
      <c r="D183" s="5" t="str">
        <f>IF($J183="","",INDEX('Detalle individual'!$C:$C,$J183))</f>
        <v>DEPARTAMENTO DE CREDITOS</v>
      </c>
      <c r="E183" s="5" t="str">
        <f>IF($J183="","",INDEX('Detalle individual'!$D:$D,$J183))</f>
        <v>Gerencia de Negocios</v>
      </c>
      <c r="F183" s="23">
        <f>IF($J183="","",INDEX('Detalle individual'!$H:$H,$J183))</f>
        <v>46304.444606481484</v>
      </c>
      <c r="G183" s="28">
        <f>IF($J183="","",INDEX('Detalle individual'!$J:$J,$J183))</f>
        <v>90</v>
      </c>
      <c r="H183" s="28">
        <f>IF($J183="","",INDEX('Detalle individual'!$L:$L,$J183))</f>
        <v>1</v>
      </c>
      <c r="J183">
        <f>IFERROR(MATCH(SMALL(Cálculos!$AI$5:$AI$1000,179),Cálculos!$AI$5:$AI$1000,0)+4,"")</f>
        <v>160</v>
      </c>
    </row>
    <row r="184">
      <c r="A184" s="5" t="str">
        <f>IF($J184="","",INDEX('Detalle individual'!$B:$B,$J184))</f>
        <v>YANETH HERNANDEZ YANES</v>
      </c>
      <c r="B184" s="5" t="str">
        <f>IF($J184="","",INDEX('Detalle individual'!$A:$A,$J184))</f>
        <v>730</v>
      </c>
      <c r="C184" s="5" t="str">
        <f>IF($J184="","",INDEX('Detalle individual'!$E:$E,$J184))</f>
        <v>JEFE DE CREDITOS</v>
      </c>
      <c r="D184" s="5" t="str">
        <f>IF($J184="","",INDEX('Detalle individual'!$C:$C,$J184))</f>
        <v>DEPARTAMENTO DE CREDITOS</v>
      </c>
      <c r="E184" s="5" t="str">
        <f>IF($J184="","",INDEX('Detalle individual'!$D:$D,$J184))</f>
        <v>Gerencia de Negocios</v>
      </c>
      <c r="F184" s="23">
        <f>IF($J184="","",INDEX('Detalle individual'!$H:$H,$J184))</f>
        <v>46305.56736111111</v>
      </c>
      <c r="G184" s="28">
        <f>IF($J184="","",INDEX('Detalle individual'!$J:$J,$J184))</f>
        <v>100</v>
      </c>
      <c r="H184" s="28">
        <f>IF($J184="","",INDEX('Detalle individual'!$L:$L,$J184))</f>
        <v>1</v>
      </c>
      <c r="J184">
        <f>IFERROR(MATCH(SMALL(Cálculos!$AI$5:$AI$1000,180),Cálculos!$AI$5:$AI$1000,0)+4,"")</f>
        <v>158</v>
      </c>
    </row>
    <row r="185">
      <c r="A185" s="5" t="str">
        <f>IF($J185="","",INDEX('Detalle individual'!$B:$B,$J185))</f>
        <v>ALEJANDRA ABIGAIL RAMIREZ ROMERO</v>
      </c>
      <c r="B185" s="5" t="str">
        <f>IF($J185="","",INDEX('Detalle individual'!$A:$A,$J185))</f>
        <v>982</v>
      </c>
      <c r="C185" s="5" t="str">
        <f>IF($J185="","",INDEX('Detalle individual'!$E:$E,$J185))</f>
        <v>DISEÑADOR GRAFICO</v>
      </c>
      <c r="D185" s="5" t="str">
        <f>IF($J185="","",INDEX('Detalle individual'!$C:$C,$J185))</f>
        <v>DEPARTAMENTO DE MERCADEO</v>
      </c>
      <c r="E185" s="5" t="str">
        <f>IF($J185="","",INDEX('Detalle individual'!$D:$D,$J185))</f>
        <v>Gerencia de Negocios</v>
      </c>
      <c r="F185" s="23">
        <f>IF($J185="","",INDEX('Detalle individual'!$H:$H,$J185))</f>
        <v>46301.64126157408</v>
      </c>
      <c r="G185" s="28">
        <f>IF($J185="","",INDEX('Detalle individual'!$J:$J,$J185))</f>
        <v>100</v>
      </c>
      <c r="H185" s="28">
        <f>IF($J185="","",INDEX('Detalle individual'!$L:$L,$J185))</f>
        <v>1</v>
      </c>
      <c r="J185">
        <f>IFERROR(MATCH(SMALL(Cálculos!$AI$5:$AI$1000,181),Cálculos!$AI$5:$AI$1000,0)+4,"")</f>
        <v>151</v>
      </c>
    </row>
    <row r="186">
      <c r="A186" s="5" t="str">
        <f>IF($J186="","",INDEX('Detalle individual'!$B:$B,$J186))</f>
        <v>CARMEN MARIA GUTIERREZ ESTRADA</v>
      </c>
      <c r="B186" s="5" t="str">
        <f>IF($J186="","",INDEX('Detalle individual'!$A:$A,$J186))</f>
        <v>591</v>
      </c>
      <c r="C186" s="5" t="str">
        <f>IF($J186="","",INDEX('Detalle individual'!$E:$E,$J186))</f>
        <v>JEFE DE MERCADEO</v>
      </c>
      <c r="D186" s="5" t="str">
        <f>IF($J186="","",INDEX('Detalle individual'!$C:$C,$J186))</f>
        <v>DEPARTAMENTO DE MERCADEO</v>
      </c>
      <c r="E186" s="5" t="str">
        <f>IF($J186="","",INDEX('Detalle individual'!$D:$D,$J186))</f>
        <v>Gerencia de Negocios</v>
      </c>
      <c r="F186" s="23">
        <f>IF($J186="","",INDEX('Detalle individual'!$H:$H,$J186))</f>
        <v>46310.66862268518</v>
      </c>
      <c r="G186" s="28">
        <f>IF($J186="","",INDEX('Detalle individual'!$J:$J,$J186))</f>
        <v>80</v>
      </c>
      <c r="H186" s="28">
        <f>IF($J186="","",INDEX('Detalle individual'!$L:$L,$J186))</f>
        <v>1</v>
      </c>
      <c r="J186">
        <f>IFERROR(MATCH(SMALL(Cálculos!$AI$5:$AI$1000,182),Cálculos!$AI$5:$AI$1000,0)+4,"")</f>
        <v>147</v>
      </c>
    </row>
    <row r="187">
      <c r="A187" s="5" t="str">
        <f>IF($J187="","",INDEX('Detalle individual'!$B:$B,$J187))</f>
        <v>GERARDO ALEXANDER MARTINEZ RIVERA</v>
      </c>
      <c r="B187" s="5" t="str">
        <f>IF($J187="","",INDEX('Detalle individual'!$A:$A,$J187))</f>
        <v>897</v>
      </c>
      <c r="C187" s="5" t="str">
        <f>IF($J187="","",INDEX('Detalle individual'!$E:$E,$J187))</f>
        <v>ANALISTA DE COMUNICACIONES</v>
      </c>
      <c r="D187" s="5" t="str">
        <f>IF($J187="","",INDEX('Detalle individual'!$C:$C,$J187))</f>
        <v>DEPARTAMENTO DE MERCADEO</v>
      </c>
      <c r="E187" s="5" t="str">
        <f>IF($J187="","",INDEX('Detalle individual'!$D:$D,$J187))</f>
        <v>Gerencia de Negocios</v>
      </c>
      <c r="F187" s="23">
        <f>IF($J187="","",INDEX('Detalle individual'!$H:$H,$J187))</f>
        <v>46311.45481481482</v>
      </c>
      <c r="G187" s="28">
        <f>IF($J187="","",INDEX('Detalle individual'!$J:$J,$J187))</f>
        <v>100</v>
      </c>
      <c r="H187" s="28">
        <f>IF($J187="","",INDEX('Detalle individual'!$L:$L,$J187))</f>
        <v>1</v>
      </c>
      <c r="J187">
        <f>IFERROR(MATCH(SMALL(Cálculos!$AI$5:$AI$1000,183),Cálculos!$AI$5:$AI$1000,0)+4,"")</f>
        <v>150</v>
      </c>
    </row>
    <row r="188">
      <c r="A188" s="5" t="str">
        <f>IF($J188="","",INDEX('Detalle individual'!$B:$B,$J188))</f>
        <v>IVONNE LISSETH DE JESUS RODRIGUEZ FLORES</v>
      </c>
      <c r="B188" s="5" t="str">
        <f>IF($J188="","",INDEX('Detalle individual'!$A:$A,$J188))</f>
        <v>219</v>
      </c>
      <c r="C188" s="5" t="str">
        <f>IF($J188="","",INDEX('Detalle individual'!$E:$E,$J188))</f>
        <v>ASISTENTE TELEMARKETING</v>
      </c>
      <c r="D188" s="5" t="str">
        <f>IF($J188="","",INDEX('Detalle individual'!$C:$C,$J188))</f>
        <v>DEPARTAMENTO DE MERCADEO</v>
      </c>
      <c r="E188" s="5" t="str">
        <f>IF($J188="","",INDEX('Detalle individual'!$D:$D,$J188))</f>
        <v>Gerencia de Negocios</v>
      </c>
      <c r="F188" s="23">
        <f>IF($J188="","",INDEX('Detalle individual'!$H:$H,$J188))</f>
        <v>46308.39677083334</v>
      </c>
      <c r="G188" s="28">
        <f>IF($J188="","",INDEX('Detalle individual'!$J:$J,$J188))</f>
        <v>95</v>
      </c>
      <c r="H188" s="28">
        <f>IF($J188="","",INDEX('Detalle individual'!$L:$L,$J188))</f>
        <v>1</v>
      </c>
      <c r="J188">
        <f>IFERROR(MATCH(SMALL(Cálculos!$AI$5:$AI$1000,184),Cálculos!$AI$5:$AI$1000,0)+4,"")</f>
        <v>145</v>
      </c>
    </row>
    <row r="189">
      <c r="A189" s="5" t="str">
        <f>IF($J189="","",INDEX('Detalle individual'!$B:$B,$J189))</f>
        <v>JOSE CARLOS IRENEO HERNANDEZ RODRIGUEZ</v>
      </c>
      <c r="B189" s="5" t="str">
        <f>IF($J189="","",INDEX('Detalle individual'!$A:$A,$J189))</f>
        <v>361</v>
      </c>
      <c r="C189" s="5" t="str">
        <f>IF($J189="","",INDEX('Detalle individual'!$E:$E,$J189))</f>
        <v>ASISTENTE TECNICO DE MERCADEO</v>
      </c>
      <c r="D189" s="5" t="str">
        <f>IF($J189="","",INDEX('Detalle individual'!$C:$C,$J189))</f>
        <v>DEPARTAMENTO DE MERCADEO</v>
      </c>
      <c r="E189" s="5" t="str">
        <f>IF($J189="","",INDEX('Detalle individual'!$D:$D,$J189))</f>
        <v>Gerencia de Negocios</v>
      </c>
      <c r="F189" s="23">
        <f>IF($J189="","",INDEX('Detalle individual'!$H:$H,$J189))</f>
        <v>46311.418587962966</v>
      </c>
      <c r="G189" s="28">
        <f>IF($J189="","",INDEX('Detalle individual'!$J:$J,$J189))</f>
        <v>95</v>
      </c>
      <c r="H189" s="28">
        <f>IF($J189="","",INDEX('Detalle individual'!$L:$L,$J189))</f>
        <v>1</v>
      </c>
      <c r="J189">
        <f>IFERROR(MATCH(SMALL(Cálculos!$AI$5:$AI$1000,185),Cálculos!$AI$5:$AI$1000,0)+4,"")</f>
        <v>146</v>
      </c>
    </row>
    <row r="190">
      <c r="A190" s="5" t="str">
        <f>IF($J190="","",INDEX('Detalle individual'!$B:$B,$J190))</f>
        <v>LUIS FAUSTONY VASQUEZ CIENFUEGOS</v>
      </c>
      <c r="B190" s="5" t="str">
        <f>IF($J190="","",INDEX('Detalle individual'!$A:$A,$J190))</f>
        <v>723</v>
      </c>
      <c r="C190" s="5" t="str">
        <f>IF($J190="","",INDEX('Detalle individual'!$E:$E,$J190))</f>
        <v>GESTOR DE DOCUMENTOS</v>
      </c>
      <c r="D190" s="5" t="str">
        <f>IF($J190="","",INDEX('Detalle individual'!$C:$C,$J190))</f>
        <v>DEPARTAMENTO DE MERCADEO</v>
      </c>
      <c r="E190" s="5" t="str">
        <f>IF($J190="","",INDEX('Detalle individual'!$D:$D,$J190))</f>
        <v>Gerencia de Negocios</v>
      </c>
      <c r="F190" s="23">
        <f>IF($J190="","",INDEX('Detalle individual'!$H:$H,$J190))</f>
        <v>46311.71099537037</v>
      </c>
      <c r="G190" s="28">
        <f>IF($J190="","",INDEX('Detalle individual'!$J:$J,$J190))</f>
        <v>90</v>
      </c>
      <c r="H190" s="28">
        <f>IF($J190="","",INDEX('Detalle individual'!$L:$L,$J190))</f>
        <v>1</v>
      </c>
      <c r="J190">
        <f>IFERROR(MATCH(SMALL(Cálculos!$AI$5:$AI$1000,186),Cálculos!$AI$5:$AI$1000,0)+4,"")</f>
        <v>148</v>
      </c>
    </row>
    <row r="191">
      <c r="A191" s="5" t="str">
        <f>IF($J191="","",INDEX('Detalle individual'!$B:$B,$J191))</f>
        <v>MARIA ALEJANDRA BATRES ALVARADO</v>
      </c>
      <c r="B191" s="5" t="str">
        <f>IF($J191="","",INDEX('Detalle individual'!$A:$A,$J191))</f>
        <v>895</v>
      </c>
      <c r="C191" s="5" t="str">
        <f>IF($J191="","",INDEX('Detalle individual'!$E:$E,$J191))</f>
        <v>DISEÑADOR GRAFICO</v>
      </c>
      <c r="D191" s="5" t="str">
        <f>IF($J191="","",INDEX('Detalle individual'!$C:$C,$J191))</f>
        <v>DEPARTAMENTO DE MERCADEO</v>
      </c>
      <c r="E191" s="5" t="str">
        <f>IF($J191="","",INDEX('Detalle individual'!$D:$D,$J191))</f>
        <v>Gerencia de Negocios</v>
      </c>
      <c r="F191" s="23">
        <f>IF($J191="","",INDEX('Detalle individual'!$H:$H,$J191))</f>
        <v>46311.42974537037</v>
      </c>
      <c r="G191" s="28">
        <f>IF($J191="","",INDEX('Detalle individual'!$J:$J,$J191))</f>
        <v>100</v>
      </c>
      <c r="H191" s="28">
        <f>IF($J191="","",INDEX('Detalle individual'!$L:$L,$J191))</f>
        <v>1</v>
      </c>
      <c r="J191">
        <f>IFERROR(MATCH(SMALL(Cálculos!$AI$5:$AI$1000,187),Cálculos!$AI$5:$AI$1000,0)+4,"")</f>
        <v>149</v>
      </c>
    </row>
    <row r="192">
      <c r="A192" s="5" t="str">
        <f>IF($J192="","",INDEX('Detalle individual'!$B:$B,$J192))</f>
        <v>CARLOS ALEXANDER ROMERO ROMERO</v>
      </c>
      <c r="B192" s="5" t="str">
        <f>IF($J192="","",INDEX('Detalle individual'!$A:$A,$J192))</f>
        <v>639</v>
      </c>
      <c r="C192" s="5" t="str">
        <f>IF($J192="","",INDEX('Detalle individual'!$E:$E,$J192))</f>
        <v>GESTOR DE CARTERA DE SEGUROS</v>
      </c>
      <c r="D192" s="5" t="str">
        <f>IF($J192="","",INDEX('Detalle individual'!$C:$C,$J192))</f>
        <v>DEPARTAMENTO DE SEGUROS</v>
      </c>
      <c r="E192" s="5" t="str">
        <f>IF($J192="","",INDEX('Detalle individual'!$D:$D,$J192))</f>
        <v>Gerencia de Negocios</v>
      </c>
      <c r="F192" s="23">
        <f>IF($J192="","",INDEX('Detalle individual'!$H:$H,$J192))</f>
        <v>46305.51787037037</v>
      </c>
      <c r="G192" s="28">
        <f>IF($J192="","",INDEX('Detalle individual'!$J:$J,$J192))</f>
        <v>100</v>
      </c>
      <c r="H192" s="28">
        <f>IF($J192="","",INDEX('Detalle individual'!$L:$L,$J192))</f>
        <v>1</v>
      </c>
      <c r="J192">
        <f>IFERROR(MATCH(SMALL(Cálculos!$AI$5:$AI$1000,188),Cálculos!$AI$5:$AI$1000,0)+4,"")</f>
        <v>167</v>
      </c>
    </row>
    <row r="193">
      <c r="A193" s="5" t="str">
        <f>IF($J193="","",INDEX('Detalle individual'!$B:$B,$J193))</f>
        <v>CLAUDIA MARISOL MADRID BARRIENTOS</v>
      </c>
      <c r="B193" s="5" t="str">
        <f>IF($J193="","",INDEX('Detalle individual'!$A:$A,$J193))</f>
        <v>544</v>
      </c>
      <c r="C193" s="5" t="str">
        <f>IF($J193="","",INDEX('Detalle individual'!$E:$E,$J193))</f>
        <v>GESTOR DE RECLAMOS Y SUSCRIPCIONES</v>
      </c>
      <c r="D193" s="5" t="str">
        <f>IF($J193="","",INDEX('Detalle individual'!$C:$C,$J193))</f>
        <v>DEPARTAMENTO DE SEGUROS</v>
      </c>
      <c r="E193" s="5" t="str">
        <f>IF($J193="","",INDEX('Detalle individual'!$D:$D,$J193))</f>
        <v>Gerencia de Negocios</v>
      </c>
      <c r="F193" s="23">
        <f>IF($J193="","",INDEX('Detalle individual'!$H:$H,$J193))</f>
        <v>46309.43305555556</v>
      </c>
      <c r="G193" s="28">
        <f>IF($J193="","",INDEX('Detalle individual'!$J:$J,$J193))</f>
        <v>90</v>
      </c>
      <c r="H193" s="28">
        <f>IF($J193="","",INDEX('Detalle individual'!$L:$L,$J193))</f>
        <v>1</v>
      </c>
      <c r="J193">
        <f>IFERROR(MATCH(SMALL(Cálculos!$AI$5:$AI$1000,189),Cálculos!$AI$5:$AI$1000,0)+4,"")</f>
        <v>165</v>
      </c>
    </row>
    <row r="194">
      <c r="A194" s="5" t="str">
        <f>IF($J194="","",INDEX('Detalle individual'!$B:$B,$J194))</f>
        <v>CLELIA LIZETH ORTIZ GALDAMEZ</v>
      </c>
      <c r="B194" s="5" t="str">
        <f>IF($J194="","",INDEX('Detalle individual'!$A:$A,$J194))</f>
        <v>589</v>
      </c>
      <c r="C194" s="5" t="str">
        <f>IF($J194="","",INDEX('Detalle individual'!$E:$E,$J194))</f>
        <v>AUXILIAR DE ADMINISTRACION DE SEGUROS</v>
      </c>
      <c r="D194" s="5" t="str">
        <f>IF($J194="","",INDEX('Detalle individual'!$C:$C,$J194))</f>
        <v>DEPARTAMENTO DE SEGUROS</v>
      </c>
      <c r="E194" s="5" t="str">
        <f>IF($J194="","",INDEX('Detalle individual'!$D:$D,$J194))</f>
        <v>Gerencia de Negocios</v>
      </c>
      <c r="F194" s="23">
        <f>IF($J194="","",INDEX('Detalle individual'!$H:$H,$J194))</f>
        <v>46301.68011574074</v>
      </c>
      <c r="G194" s="28">
        <f>IF($J194="","",INDEX('Detalle individual'!$J:$J,$J194))</f>
        <v>90</v>
      </c>
      <c r="H194" s="28">
        <f>IF($J194="","",INDEX('Detalle individual'!$L:$L,$J194))</f>
        <v>1</v>
      </c>
      <c r="J194">
        <f>IFERROR(MATCH(SMALL(Cálculos!$AI$5:$AI$1000,190),Cálculos!$AI$5:$AI$1000,0)+4,"")</f>
        <v>166</v>
      </c>
    </row>
    <row r="195">
      <c r="A195" s="5" t="str">
        <f>IF($J195="","",INDEX('Detalle individual'!$B:$B,$J195))</f>
        <v>HENRY OSWALDO PINEDA GARCIA</v>
      </c>
      <c r="B195" s="5" t="str">
        <f>IF($J195="","",INDEX('Detalle individual'!$A:$A,$J195))</f>
        <v>894</v>
      </c>
      <c r="C195" s="5" t="str">
        <f>IF($J195="","",INDEX('Detalle individual'!$E:$E,$J195))</f>
        <v>EJECUTIVO MOVIL DE SEGUROS</v>
      </c>
      <c r="D195" s="5" t="str">
        <f>IF($J195="","",INDEX('Detalle individual'!$C:$C,$J195))</f>
        <v>DEPARTAMENTO DE SEGUROS</v>
      </c>
      <c r="E195" s="5" t="str">
        <f>IF($J195="","",INDEX('Detalle individual'!$D:$D,$J195))</f>
        <v>Gerencia de Negocios</v>
      </c>
      <c r="F195" s="23">
        <f>IF($J195="","",INDEX('Detalle individual'!$H:$H,$J195))</f>
        <v>46296.431875</v>
      </c>
      <c r="G195" s="28">
        <f>IF($J195="","",INDEX('Detalle individual'!$J:$J,$J195))</f>
        <v>100</v>
      </c>
      <c r="H195" s="28">
        <f>IF($J195="","",INDEX('Detalle individual'!$L:$L,$J195))</f>
        <v>2</v>
      </c>
      <c r="J195">
        <f>IFERROR(MATCH(SMALL(Cálculos!$AI$5:$AI$1000,191),Cálculos!$AI$5:$AI$1000,0)+4,"")</f>
        <v>175</v>
      </c>
    </row>
    <row r="196">
      <c r="A196" s="5" t="str">
        <f>IF($J196="","",INDEX('Detalle individual'!$B:$B,$J196))</f>
        <v>JENNIFER BETSABE MARAVILLA MORENO</v>
      </c>
      <c r="B196" s="5" t="str">
        <f>IF($J196="","",INDEX('Detalle individual'!$A:$A,$J196))</f>
        <v>869</v>
      </c>
      <c r="C196" s="5" t="str">
        <f>IF($J196="","",INDEX('Detalle individual'!$E:$E,$J196))</f>
        <v>EJECUTIVO DE VENTA DE SEGUROS</v>
      </c>
      <c r="D196" s="5" t="str">
        <f>IF($J196="","",INDEX('Detalle individual'!$C:$C,$J196))</f>
        <v>DEPARTAMENTO DE SEGUROS</v>
      </c>
      <c r="E196" s="5" t="str">
        <f>IF($J196="","",INDEX('Detalle individual'!$D:$D,$J196))</f>
        <v>Gerencia de Negocios</v>
      </c>
      <c r="F196" s="23">
        <f>IF($J196="","",INDEX('Detalle individual'!$H:$H,$J196))</f>
        <v>46296.68630787037</v>
      </c>
      <c r="G196" s="28">
        <f>IF($J196="","",INDEX('Detalle individual'!$J:$J,$J196))</f>
        <v>100</v>
      </c>
      <c r="H196" s="28">
        <f>IF($J196="","",INDEX('Detalle individual'!$L:$L,$J196))</f>
        <v>1</v>
      </c>
      <c r="J196">
        <f>IFERROR(MATCH(SMALL(Cálculos!$AI$5:$AI$1000,192),Cálculos!$AI$5:$AI$1000,0)+4,"")</f>
        <v>174</v>
      </c>
    </row>
    <row r="197">
      <c r="A197" s="5" t="str">
        <f>IF($J197="","",INDEX('Detalle individual'!$B:$B,$J197))</f>
        <v>JENNYFER AYLIN ESCOBAR ZAMORA</v>
      </c>
      <c r="B197" s="5" t="str">
        <f>IF($J197="","",INDEX('Detalle individual'!$A:$A,$J197))</f>
        <v>792</v>
      </c>
      <c r="C197" s="5" t="str">
        <f>IF($J197="","",INDEX('Detalle individual'!$E:$E,$J197))</f>
        <v>COORDINADOR COMERCIAL DE SEGUROS</v>
      </c>
      <c r="D197" s="5" t="str">
        <f>IF($J197="","",INDEX('Detalle individual'!$C:$C,$J197))</f>
        <v>DEPARTAMENTO DE SEGUROS</v>
      </c>
      <c r="E197" s="5" t="str">
        <f>IF($J197="","",INDEX('Detalle individual'!$D:$D,$J197))</f>
        <v>Gerencia de Negocios</v>
      </c>
      <c r="F197" s="23">
        <f>IF($J197="","",INDEX('Detalle individual'!$H:$H,$J197))</f>
        <v>46309.485625</v>
      </c>
      <c r="G197" s="28">
        <f>IF($J197="","",INDEX('Detalle individual'!$J:$J,$J197))</f>
        <v>100</v>
      </c>
      <c r="H197" s="28">
        <f>IF($J197="","",INDEX('Detalle individual'!$L:$L,$J197))</f>
        <v>1</v>
      </c>
      <c r="J197">
        <f>IFERROR(MATCH(SMALL(Cálculos!$AI$5:$AI$1000,193),Cálculos!$AI$5:$AI$1000,0)+4,"")</f>
        <v>170</v>
      </c>
    </row>
    <row r="198">
      <c r="A198" s="5" t="str">
        <f>IF($J198="","",INDEX('Detalle individual'!$B:$B,$J198))</f>
        <v>JUANA HAZEL GARCIA COREAS</v>
      </c>
      <c r="B198" s="5" t="str">
        <f>IF($J198="","",INDEX('Detalle individual'!$A:$A,$J198))</f>
        <v>805</v>
      </c>
      <c r="C198" s="5" t="str">
        <f>IF($J198="","",INDEX('Detalle individual'!$E:$E,$J198))</f>
        <v>EJECUTIVO DE VENTA DE SEGUROS</v>
      </c>
      <c r="D198" s="5" t="str">
        <f>IF($J198="","",INDEX('Detalle individual'!$C:$C,$J198))</f>
        <v>DEPARTAMENTO DE SEGUROS</v>
      </c>
      <c r="E198" s="5" t="str">
        <f>IF($J198="","",INDEX('Detalle individual'!$D:$D,$J198))</f>
        <v>Gerencia de Negocios</v>
      </c>
      <c r="F198" s="23">
        <f>IF($J198="","",INDEX('Detalle individual'!$H:$H,$J198))</f>
        <v>46309.48584490741</v>
      </c>
      <c r="G198" s="28">
        <f>IF($J198="","",INDEX('Detalle individual'!$J:$J,$J198))</f>
        <v>100</v>
      </c>
      <c r="H198" s="28">
        <f>IF($J198="","",INDEX('Detalle individual'!$L:$L,$J198))</f>
        <v>1</v>
      </c>
      <c r="J198">
        <f>IFERROR(MATCH(SMALL(Cálculos!$AI$5:$AI$1000,194),Cálculos!$AI$5:$AI$1000,0)+4,"")</f>
        <v>173</v>
      </c>
    </row>
    <row r="199">
      <c r="A199" s="5" t="str">
        <f>IF($J199="","",INDEX('Detalle individual'!$B:$B,$J199))</f>
        <v>KRIZIA BETSABE FLORES MARTINEZ</v>
      </c>
      <c r="B199" s="5" t="str">
        <f>IF($J199="","",INDEX('Detalle individual'!$A:$A,$J199))</f>
        <v>793</v>
      </c>
      <c r="C199" s="5" t="str">
        <f>IF($J199="","",INDEX('Detalle individual'!$E:$E,$J199))</f>
        <v>JEFE DE SEGUROS</v>
      </c>
      <c r="D199" s="5" t="str">
        <f>IF($J199="","",INDEX('Detalle individual'!$C:$C,$J199))</f>
        <v>DEPARTAMENTO DE SEGUROS</v>
      </c>
      <c r="E199" s="5" t="str">
        <f>IF($J199="","",INDEX('Detalle individual'!$D:$D,$J199))</f>
        <v>Gerencia de Negocios</v>
      </c>
      <c r="F199" s="23">
        <f>IF($J199="","",INDEX('Detalle individual'!$H:$H,$J199))</f>
        <v>46297.49109953704</v>
      </c>
      <c r="G199" s="28">
        <f>IF($J199="","",INDEX('Detalle individual'!$J:$J,$J199))</f>
        <v>90</v>
      </c>
      <c r="H199" s="28">
        <f>IF($J199="","",INDEX('Detalle individual'!$L:$L,$J199))</f>
        <v>1</v>
      </c>
      <c r="J199">
        <f>IFERROR(MATCH(SMALL(Cálculos!$AI$5:$AI$1000,195),Cálculos!$AI$5:$AI$1000,0)+4,"")</f>
        <v>171</v>
      </c>
    </row>
    <row r="200">
      <c r="A200" s="5" t="str">
        <f>IF($J200="","",INDEX('Detalle individual'!$B:$B,$J200))</f>
        <v>LISSETTE MARICELA SANCHEZ MOLINA</v>
      </c>
      <c r="B200" s="5" t="str">
        <f>IF($J200="","",INDEX('Detalle individual'!$A:$A,$J200))</f>
        <v>643</v>
      </c>
      <c r="C200" s="5" t="str">
        <f>IF($J200="","",INDEX('Detalle individual'!$E:$E,$J200))</f>
        <v>ASISTENTE DE SEGUROS</v>
      </c>
      <c r="D200" s="5" t="str">
        <f>IF($J200="","",INDEX('Detalle individual'!$C:$C,$J200))</f>
        <v>DEPARTAMENTO DE SEGUROS</v>
      </c>
      <c r="E200" s="5" t="str">
        <f>IF($J200="","",INDEX('Detalle individual'!$D:$D,$J200))</f>
        <v>Gerencia de Negocios</v>
      </c>
      <c r="F200" s="23">
        <f>IF($J200="","",INDEX('Detalle individual'!$H:$H,$J200))</f>
        <v>46309.639328703706</v>
      </c>
      <c r="G200" s="28">
        <f>IF($J200="","",INDEX('Detalle individual'!$J:$J,$J200))</f>
        <v>100</v>
      </c>
      <c r="H200" s="28">
        <f>IF($J200="","",INDEX('Detalle individual'!$L:$L,$J200))</f>
        <v>1</v>
      </c>
      <c r="J200">
        <f>IFERROR(MATCH(SMALL(Cálculos!$AI$5:$AI$1000,196),Cálculos!$AI$5:$AI$1000,0)+4,"")</f>
        <v>168</v>
      </c>
    </row>
    <row r="201">
      <c r="A201" s="5" t="str">
        <f>IF($J201="","",INDEX('Detalle individual'!$B:$B,$J201))</f>
        <v>RAUL ERNESTO PALACIOS LANDAVERDE</v>
      </c>
      <c r="B201" s="5" t="str">
        <f>IF($J201="","",INDEX('Detalle individual'!$A:$A,$J201))</f>
        <v>689</v>
      </c>
      <c r="C201" s="5" t="str">
        <f>IF($J201="","",INDEX('Detalle individual'!$E:$E,$J201))</f>
        <v>TECNICO DEL SEGURO DE SALUD</v>
      </c>
      <c r="D201" s="5" t="str">
        <f>IF($J201="","",INDEX('Detalle individual'!$C:$C,$J201))</f>
        <v>DEPARTAMENTO DE SEGUROS</v>
      </c>
      <c r="E201" s="5" t="str">
        <f>IF($J201="","",INDEX('Detalle individual'!$D:$D,$J201))</f>
        <v>Gerencia de Negocios</v>
      </c>
      <c r="F201" s="23">
        <f>IF($J201="","",INDEX('Detalle individual'!$H:$H,$J201))</f>
        <v>46296.46570601852</v>
      </c>
      <c r="G201" s="28">
        <f>IF($J201="","",INDEX('Detalle individual'!$J:$J,$J201))</f>
        <v>100</v>
      </c>
      <c r="H201" s="28">
        <f>IF($J201="","",INDEX('Detalle individual'!$L:$L,$J201))</f>
        <v>1</v>
      </c>
      <c r="J201">
        <f>IFERROR(MATCH(SMALL(Cálculos!$AI$5:$AI$1000,197),Cálculos!$AI$5:$AI$1000,0)+4,"")</f>
        <v>169</v>
      </c>
    </row>
    <row r="202">
      <c r="A202" s="5" t="str">
        <f>IF($J202="","",INDEX('Detalle individual'!$B:$B,$J202))</f>
        <v>HECTOR JOSE MENJIVAR SOMOZA</v>
      </c>
      <c r="B202" s="5" t="str">
        <f>IF($J202="","",INDEX('Detalle individual'!$A:$A,$J202))</f>
        <v>583</v>
      </c>
      <c r="C202" s="5" t="str">
        <f>IF($J202="","",INDEX('Detalle individual'!$E:$E,$J202))</f>
        <v>ANALISTA DE INTELIGENCIA DE NEGOCIOS</v>
      </c>
      <c r="D202" s="5" t="str">
        <f>IF($J202="","",INDEX('Detalle individual'!$C:$C,$J202))</f>
        <v>GERENCIA DE NEGOCIOS</v>
      </c>
      <c r="E202" s="5" t="str">
        <f>IF($J202="","",INDEX('Detalle individual'!$D:$D,$J202))</f>
        <v>Gerencia de Negocios</v>
      </c>
      <c r="F202" s="23">
        <f>IF($J202="","",INDEX('Detalle individual'!$H:$H,$J202))</f>
        <v>46296.48710648148</v>
      </c>
      <c r="G202" s="28">
        <f>IF($J202="","",INDEX('Detalle individual'!$J:$J,$J202))</f>
        <v>100</v>
      </c>
      <c r="H202" s="28">
        <f>IF($J202="","",INDEX('Detalle individual'!$L:$L,$J202))</f>
        <v>1</v>
      </c>
      <c r="J202">
        <f>IFERROR(MATCH(SMALL(Cálculos!$AI$5:$AI$1000,198),Cálculos!$AI$5:$AI$1000,0)+4,"")</f>
        <v>136</v>
      </c>
    </row>
    <row r="203">
      <c r="A203" s="5" t="str">
        <f>IF($J203="","",INDEX('Detalle individual'!$B:$B,$J203))</f>
        <v>JOSE HUMBERTO BARILLAS BURGOS</v>
      </c>
      <c r="B203" s="5" t="str">
        <f>IF($J203="","",INDEX('Detalle individual'!$A:$A,$J203))</f>
        <v>741</v>
      </c>
      <c r="C203" s="5" t="str">
        <f>IF($J203="","",INDEX('Detalle individual'!$E:$E,$J203))</f>
        <v>GERENTE DE NEGOCIOS</v>
      </c>
      <c r="D203" s="5" t="str">
        <f>IF($J203="","",INDEX('Detalle individual'!$C:$C,$J203))</f>
        <v>GERENCIA DE NEGOCIOS</v>
      </c>
      <c r="E203" s="5" t="str">
        <f>IF($J203="","",INDEX('Detalle individual'!$D:$D,$J203))</f>
        <v>Gerencia de Negocios</v>
      </c>
      <c r="F203" s="23">
        <f>IF($J203="","",INDEX('Detalle individual'!$H:$H,$J203))</f>
        <v>46310.61981481482</v>
      </c>
      <c r="G203" s="28">
        <f>IF($J203="","",INDEX('Detalle individual'!$J:$J,$J203))</f>
        <v>100</v>
      </c>
      <c r="H203" s="28">
        <f>IF($J203="","",INDEX('Detalle individual'!$L:$L,$J203))</f>
        <v>1</v>
      </c>
      <c r="J203">
        <f>IFERROR(MATCH(SMALL(Cálculos!$AI$5:$AI$1000,199),Cálculos!$AI$5:$AI$1000,0)+4,"")</f>
        <v>11</v>
      </c>
    </row>
    <row r="204">
      <c r="A204" s="5" t="str">
        <f>IF($J204="","",INDEX('Detalle individual'!$B:$B,$J204))</f>
        <v>VICTOR ADONAY PEREZ CASTILLO</v>
      </c>
      <c r="B204" s="5" t="str">
        <f>IF($J204="","",INDEX('Detalle individual'!$A:$A,$J204))</f>
        <v>633</v>
      </c>
      <c r="C204" s="5" t="str">
        <f>IF($J204="","",INDEX('Detalle individual'!$E:$E,$J204))</f>
        <v>ASISTENTE PARA CANALES ELECTRONICOS Y OPERACIONES EN AGENCIA</v>
      </c>
      <c r="D204" s="5" t="str">
        <f>IF($J204="","",INDEX('Detalle individual'!$C:$C,$J204))</f>
        <v>GERENCIA DE NEGOCIOS</v>
      </c>
      <c r="E204" s="5" t="str">
        <f>IF($J204="","",INDEX('Detalle individual'!$D:$D,$J204))</f>
        <v>Gerencia de Negocios</v>
      </c>
      <c r="F204" s="23">
        <f>IF($J204="","",INDEX('Detalle individual'!$H:$H,$J204))</f>
        <v>46296.453680555554</v>
      </c>
      <c r="G204" s="28">
        <f>IF($J204="","",INDEX('Detalle individual'!$J:$J,$J204))</f>
        <v>100</v>
      </c>
      <c r="H204" s="28">
        <f>IF($J204="","",INDEX('Detalle individual'!$L:$L,$J204))</f>
        <v>2</v>
      </c>
      <c r="J204">
        <f>IFERROR(MATCH(SMALL(Cálculos!$AI$5:$AI$1000,200),Cálculos!$AI$5:$AI$1000,0)+4,"")</f>
        <v>137</v>
      </c>
    </row>
    <row r="205">
      <c r="A205" s="5" t="str">
        <f>IF($J205="","",INDEX('Detalle individual'!$B:$B,$J205))</f>
        <v>WANDA ILIANA MORENO QUINTEROS</v>
      </c>
      <c r="B205" s="5" t="str">
        <f>IF($J205="","",INDEX('Detalle individual'!$A:$A,$J205))</f>
        <v>782</v>
      </c>
      <c r="C205" s="5" t="str">
        <f>IF($J205="","",INDEX('Detalle individual'!$E:$E,$J205))</f>
        <v>ADMINISTRADOR DE PLATAFORMAS Y TRANSFORMACION DIGITAL DE CRE</v>
      </c>
      <c r="D205" s="5" t="str">
        <f>IF($J205="","",INDEX('Detalle individual'!$C:$C,$J205))</f>
        <v>GERENCIA DE NEGOCIOS</v>
      </c>
      <c r="E205" s="5" t="str">
        <f>IF($J205="","",INDEX('Detalle individual'!$D:$D,$J205))</f>
        <v>Gerencia de Negocios</v>
      </c>
      <c r="F205" s="23">
        <f>IF($J205="","",INDEX('Detalle individual'!$H:$H,$J205))</f>
        <v>46301.440300925926</v>
      </c>
      <c r="G205" s="28">
        <f>IF($J205="","",INDEX('Detalle individual'!$J:$J,$J205))</f>
        <v>100</v>
      </c>
      <c r="H205" s="28">
        <f>IF($J205="","",INDEX('Detalle individual'!$L:$L,$J205))</f>
        <v>1</v>
      </c>
      <c r="J205">
        <f>IFERROR(MATCH(SMALL(Cálculos!$AI$5:$AI$1000,201),Cálculos!$AI$5:$AI$1000,0)+4,"")</f>
        <v>138</v>
      </c>
    </row>
    <row r="206">
      <c r="A206" s="5" t="str">
        <f>IF($J206="","",INDEX('Detalle individual'!$B:$B,$J206))</f>
        <v>JUAN CARLOS AGUILAR ASCENCIO</v>
      </c>
      <c r="B206" s="5" t="str">
        <f>IF($J206="","",INDEX('Detalle individual'!$A:$A,$J206))</f>
        <v>581</v>
      </c>
      <c r="C206" s="5" t="str">
        <f>IF($J206="","",INDEX('Detalle individual'!$E:$E,$J206))</f>
        <v>CAJERO MOVIL</v>
      </c>
      <c r="D206" s="5" t="str">
        <f>IF($J206="","",INDEX('Detalle individual'!$C:$C,$J206))</f>
        <v>SUB GERENCIA DE CANALES</v>
      </c>
      <c r="E206" s="5" t="str">
        <f>IF($J206="","",INDEX('Detalle individual'!$D:$D,$J206))</f>
        <v>Gerencia de Negocios</v>
      </c>
      <c r="F206" s="23">
        <f>IF($J206="","",INDEX('Detalle individual'!$H:$H,$J206))</f>
        <v>46309.67239583333</v>
      </c>
      <c r="G206" s="28">
        <f>IF($J206="","",INDEX('Detalle individual'!$J:$J,$J206))</f>
        <v>100</v>
      </c>
      <c r="H206" s="28">
        <f>IF($J206="","",INDEX('Detalle individual'!$L:$L,$J206))</f>
        <v>1</v>
      </c>
      <c r="J206">
        <f>IFERROR(MATCH(SMALL(Cálculos!$AI$5:$AI$1000,202),Cálculos!$AI$5:$AI$1000,0)+4,"")</f>
        <v>185</v>
      </c>
    </row>
    <row r="207">
      <c r="A207" s="5" t="str">
        <f>IF($J207="","",INDEX('Detalle individual'!$B:$B,$J207))</f>
        <v>LUIS FERNANDO MORAN GARCIA</v>
      </c>
      <c r="B207" s="5" t="str">
        <f>IF($J207="","",INDEX('Detalle individual'!$A:$A,$J207))</f>
        <v>651</v>
      </c>
      <c r="C207" s="5" t="str">
        <f>IF($J207="","",INDEX('Detalle individual'!$E:$E,$J207))</f>
        <v>JEFE MOVIL DE AGENCIAS</v>
      </c>
      <c r="D207" s="5" t="str">
        <f>IF($J207="","",INDEX('Detalle individual'!$C:$C,$J207))</f>
        <v>SUB GERENCIA DE CANALES</v>
      </c>
      <c r="E207" s="5" t="str">
        <f>IF($J207="","",INDEX('Detalle individual'!$D:$D,$J207))</f>
        <v>Gerencia de Negocios</v>
      </c>
      <c r="F207" s="23">
        <f>IF($J207="","",INDEX('Detalle individual'!$H:$H,$J207))</f>
        <v>46309.67240740741</v>
      </c>
      <c r="G207" s="28">
        <f>IF($J207="","",INDEX('Detalle individual'!$J:$J,$J207))</f>
        <v>100</v>
      </c>
      <c r="H207" s="28">
        <f>IF($J207="","",INDEX('Detalle individual'!$L:$L,$J207))</f>
        <v>1</v>
      </c>
      <c r="J207">
        <f>IFERROR(MATCH(SMALL(Cálculos!$AI$5:$AI$1000,203),Cálculos!$AI$5:$AI$1000,0)+4,"")</f>
        <v>187</v>
      </c>
    </row>
    <row r="208">
      <c r="A208" s="5" t="str">
        <f>IF($J208="","",INDEX('Detalle individual'!$B:$B,$J208))</f>
        <v>LUIS MARCELO CRUZ VIGIL</v>
      </c>
      <c r="B208" s="5" t="str">
        <f>IF($J208="","",INDEX('Detalle individual'!$A:$A,$J208))</f>
        <v>215</v>
      </c>
      <c r="C208" s="5" t="str">
        <f>IF($J208="","",INDEX('Detalle individual'!$E:$E,$J208))</f>
        <v>SUB GERENTE DE CANALES</v>
      </c>
      <c r="D208" s="5" t="str">
        <f>IF($J208="","",INDEX('Detalle individual'!$C:$C,$J208))</f>
        <v>SUB GERENCIA DE CANALES</v>
      </c>
      <c r="E208" s="5" t="str">
        <f>IF($J208="","",INDEX('Detalle individual'!$D:$D,$J208))</f>
        <v>Gerencia de Negocios</v>
      </c>
      <c r="F208" s="23">
        <f>IF($J208="","",INDEX('Detalle individual'!$H:$H,$J208))</f>
        <v>46300.41096064815</v>
      </c>
      <c r="G208" s="28">
        <f>IF($J208="","",INDEX('Detalle individual'!$J:$J,$J208))</f>
        <v>100</v>
      </c>
      <c r="H208" s="28">
        <f>IF($J208="","",INDEX('Detalle individual'!$L:$L,$J208))</f>
        <v>1</v>
      </c>
      <c r="J208">
        <f>IFERROR(MATCH(SMALL(Cálculos!$AI$5:$AI$1000,204),Cálculos!$AI$5:$AI$1000,0)+4,"")</f>
        <v>184</v>
      </c>
    </row>
    <row r="209">
      <c r="A209" s="5" t="str">
        <f>IF($J209="","",INDEX('Detalle individual'!$B:$B,$J209))</f>
        <v>NANCY ROCIO MENJIVAR RIVAS</v>
      </c>
      <c r="B209" s="5" t="str">
        <f>IF($J209="","",INDEX('Detalle individual'!$A:$A,$J209))</f>
        <v>585</v>
      </c>
      <c r="C209" s="5" t="str">
        <f>IF($J209="","",INDEX('Detalle individual'!$E:$E,$J209))</f>
        <v>EJECUTIVO MOVIL DE SEGUROS</v>
      </c>
      <c r="D209" s="5" t="str">
        <f>IF($J209="","",INDEX('Detalle individual'!$C:$C,$J209))</f>
        <v>SUB GERENCIA DE CANALES</v>
      </c>
      <c r="E209" s="5" t="str">
        <f>IF($J209="","",INDEX('Detalle individual'!$D:$D,$J209))</f>
        <v>Gerencia de Negocios</v>
      </c>
      <c r="F209" s="23">
        <f>IF($J209="","",INDEX('Detalle individual'!$H:$H,$J209))</f>
        <v>46302.479097222225</v>
      </c>
      <c r="G209" s="28">
        <f>IF($J209="","",INDEX('Detalle individual'!$J:$J,$J209))</f>
        <v>100</v>
      </c>
      <c r="H209" s="28">
        <f>IF($J209="","",INDEX('Detalle individual'!$L:$L,$J209))</f>
        <v>1</v>
      </c>
      <c r="J209">
        <f>IFERROR(MATCH(SMALL(Cálculos!$AI$5:$AI$1000,205),Cálculos!$AI$5:$AI$1000,0)+4,"")</f>
        <v>186</v>
      </c>
    </row>
    <row r="210">
      <c r="A210" s="5" t="str">
        <f>IF($J210="","",INDEX('Detalle individual'!$B:$B,$J210))</f>
        <v>REBECA ABIGAIL VEGA FLORES</v>
      </c>
      <c r="B210" s="5" t="str">
        <f>IF($J210="","",INDEX('Detalle individual'!$A:$A,$J210))</f>
        <v>854</v>
      </c>
      <c r="C210" s="5" t="str">
        <f>IF($J210="","",INDEX('Detalle individual'!$E:$E,$J210))</f>
        <v>CAJERO MOVIL</v>
      </c>
      <c r="D210" s="5" t="str">
        <f>IF($J210="","",INDEX('Detalle individual'!$C:$C,$J210))</f>
        <v>SUB GERENCIA DE CANALES</v>
      </c>
      <c r="E210" s="5" t="str">
        <f>IF($J210="","",INDEX('Detalle individual'!$D:$D,$J210))</f>
        <v>Gerencia de Negocios</v>
      </c>
      <c r="F210" s="23">
        <f>IF($J210="","",INDEX('Detalle individual'!$H:$H,$J210))</f>
        <v>46309.67223379629</v>
      </c>
      <c r="G210" s="28">
        <f>IF($J210="","",INDEX('Detalle individual'!$J:$J,$J210))</f>
        <v>100</v>
      </c>
      <c r="H210" s="28">
        <f>IF($J210="","",INDEX('Detalle individual'!$L:$L,$J210))</f>
        <v>1</v>
      </c>
      <c r="J210">
        <f>IFERROR(MATCH(SMALL(Cálculos!$AI$5:$AI$1000,206),Cálculos!$AI$5:$AI$1000,0)+4,"")</f>
        <v>189</v>
      </c>
    </row>
    <row r="211">
      <c r="A211" s="5" t="str">
        <f>IF($J211="","",INDEX('Detalle individual'!$B:$B,$J211))</f>
        <v>SAMUEL ALBERTO SALGUERO RODRIGUEZ</v>
      </c>
      <c r="B211" s="5" t="str">
        <f>IF($J211="","",INDEX('Detalle individual'!$A:$A,$J211))</f>
        <v>968</v>
      </c>
      <c r="C211" s="5" t="str">
        <f>IF($J211="","",INDEX('Detalle individual'!$E:$E,$J211))</f>
        <v>CAJERO MOVIL</v>
      </c>
      <c r="D211" s="5" t="str">
        <f>IF($J211="","",INDEX('Detalle individual'!$C:$C,$J211))</f>
        <v>SUB GERENCIA DE CANALES</v>
      </c>
      <c r="E211" s="5" t="str">
        <f>IF($J211="","",INDEX('Detalle individual'!$D:$D,$J211))</f>
        <v>Gerencia de Negocios</v>
      </c>
      <c r="F211" s="23">
        <f>IF($J211="","",INDEX('Detalle individual'!$H:$H,$J211))</f>
        <v>46309.38234953704</v>
      </c>
      <c r="G211" s="28">
        <f>IF($J211="","",INDEX('Detalle individual'!$J:$J,$J211))</f>
        <v>90</v>
      </c>
      <c r="H211" s="28">
        <f>IF($J211="","",INDEX('Detalle individual'!$L:$L,$J211))</f>
        <v>1</v>
      </c>
      <c r="J211">
        <f>IFERROR(MATCH(SMALL(Cálculos!$AI$5:$AI$1000,207),Cálculos!$AI$5:$AI$1000,0)+4,"")</f>
        <v>190</v>
      </c>
    </row>
    <row r="212">
      <c r="A212" s="5" t="str">
        <f>IF($J212="","",INDEX('Detalle individual'!$B:$B,$J212))</f>
        <v>SANDRA VERONICA ACEVEDO BELTRAN</v>
      </c>
      <c r="B212" s="5" t="str">
        <f>IF($J212="","",INDEX('Detalle individual'!$A:$A,$J212))</f>
        <v>713</v>
      </c>
      <c r="C212" s="5" t="str">
        <f>IF($J212="","",INDEX('Detalle individual'!$E:$E,$J212))</f>
        <v>ASISTENTE PARA CORRESPONSALES FINANCIEROS</v>
      </c>
      <c r="D212" s="5" t="str">
        <f>IF($J212="","",INDEX('Detalle individual'!$C:$C,$J212))</f>
        <v>SUB GERENCIA DE CANALES</v>
      </c>
      <c r="E212" s="5" t="str">
        <f>IF($J212="","",INDEX('Detalle individual'!$D:$D,$J212))</f>
        <v>Gerencia de Negocios</v>
      </c>
      <c r="F212" s="23">
        <f>IF($J212="","",INDEX('Detalle individual'!$H:$H,$J212))</f>
        <v>46309.68292824074</v>
      </c>
      <c r="G212" s="28">
        <f>IF($J212="","",INDEX('Detalle individual'!$J:$J,$J212))</f>
        <v>100</v>
      </c>
      <c r="H212" s="28">
        <f>IF($J212="","",INDEX('Detalle individual'!$L:$L,$J212))</f>
        <v>1</v>
      </c>
      <c r="J212">
        <f>IFERROR(MATCH(SMALL(Cálculos!$AI$5:$AI$1000,208),Cálculos!$AI$5:$AI$1000,0)+4,"")</f>
        <v>188</v>
      </c>
    </row>
    <row r="213">
      <c r="A213" s="5" t="str">
        <f>IF($J213="","",INDEX('Detalle individual'!$B:$B,$J213))</f>
        <v>FIDEL ISAIAS CASTELLON CALVIO</v>
      </c>
      <c r="B213" s="5" t="str">
        <f>IF($J213="","",INDEX('Detalle individual'!$A:$A,$J213))</f>
        <v>914</v>
      </c>
      <c r="C213" s="5" t="str">
        <f>IF($J213="","",INDEX('Detalle individual'!$E:$E,$J213))</f>
        <v>ADMINISTRADOR DE MONITOR PLUS Y ANALISTA DE CUMPLIMIENTO</v>
      </c>
      <c r="D213" s="5" t="str">
        <f>IF($J213="","",INDEX('Detalle individual'!$C:$C,$J213))</f>
        <v>OFICIALIA DE CUMPLIMIENTO</v>
      </c>
      <c r="E213" s="5" t="str">
        <f>IF($J213="","",INDEX('Detalle individual'!$D:$D,$J213))</f>
        <v>Gerencia de Oficialía de Cumplimiento</v>
      </c>
      <c r="F213" s="23">
        <f>IF($J213="","",INDEX('Detalle individual'!$H:$H,$J213))</f>
        <v>46296.47803240741</v>
      </c>
      <c r="G213" s="28">
        <f>IF($J213="","",INDEX('Detalle individual'!$J:$J,$J213))</f>
        <v>100</v>
      </c>
      <c r="H213" s="28">
        <f>IF($J213="","",INDEX('Detalle individual'!$L:$L,$J213))</f>
        <v>1</v>
      </c>
      <c r="J213">
        <f>IFERROR(MATCH(SMALL(Cálculos!$AI$5:$AI$1000,209),Cálculos!$AI$5:$AI$1000,0)+4,"")</f>
        <v>132</v>
      </c>
    </row>
    <row r="214">
      <c r="A214" s="5" t="str">
        <f>IF($J214="","",INDEX('Detalle individual'!$B:$B,$J214))</f>
        <v>GEORGI ROBERTO CASTILLO CHACON</v>
      </c>
      <c r="B214" s="5" t="str">
        <f>IF($J214="","",INDEX('Detalle individual'!$A:$A,$J214))</f>
        <v>862</v>
      </c>
      <c r="C214" s="5" t="str">
        <f>IF($J214="","",INDEX('Detalle individual'!$E:$E,$J214))</f>
        <v>GERENTE DE OFICIALIA DE CUMPLIMIENTO</v>
      </c>
      <c r="D214" s="5" t="str">
        <f>IF($J214="","",INDEX('Detalle individual'!$C:$C,$J214))</f>
        <v>OFICIALIA DE CUMPLIMIENTO</v>
      </c>
      <c r="E214" s="5" t="str">
        <f>IF($J214="","",INDEX('Detalle individual'!$D:$D,$J214))</f>
        <v>Gerencia de Oficialía de Cumplimiento</v>
      </c>
      <c r="F214" s="23">
        <f>IF($J214="","",INDEX('Detalle individual'!$H:$H,$J214))</f>
        <v>46296.47738425926</v>
      </c>
      <c r="G214" s="28">
        <f>IF($J214="","",INDEX('Detalle individual'!$J:$J,$J214))</f>
        <v>100</v>
      </c>
      <c r="H214" s="28">
        <f>IF($J214="","",INDEX('Detalle individual'!$L:$L,$J214))</f>
        <v>1</v>
      </c>
      <c r="J214">
        <f>IFERROR(MATCH(SMALL(Cálculos!$AI$5:$AI$1000,210),Cálculos!$AI$5:$AI$1000,0)+4,"")</f>
        <v>10</v>
      </c>
    </row>
    <row r="215">
      <c r="A215" s="5" t="str">
        <f>IF($J215="","",INDEX('Detalle individual'!$B:$B,$J215))</f>
        <v>JOHANNA LISSETH ROMERO RIVAS</v>
      </c>
      <c r="B215" s="5" t="str">
        <f>IF($J215="","",INDEX('Detalle individual'!$A:$A,$J215))</f>
        <v>860</v>
      </c>
      <c r="C215" s="5" t="str">
        <f>IF($J215="","",INDEX('Detalle individual'!$E:$E,$J215))</f>
        <v>ANALISTA DE OFICIALIA DE CUMPLIMIENTO Y OFICIAL DE CUMPLIMIE</v>
      </c>
      <c r="D215" s="5" t="str">
        <f>IF($J215="","",INDEX('Detalle individual'!$C:$C,$J215))</f>
        <v>OFICIALIA DE CUMPLIMIENTO</v>
      </c>
      <c r="E215" s="5" t="str">
        <f>IF($J215="","",INDEX('Detalle individual'!$D:$D,$J215))</f>
        <v>Gerencia de Oficialía de Cumplimiento</v>
      </c>
      <c r="F215" s="23">
        <f>IF($J215="","",INDEX('Detalle individual'!$H:$H,$J215))</f>
        <v>46296.48637731482</v>
      </c>
      <c r="G215" s="28">
        <f>IF($J215="","",INDEX('Detalle individual'!$J:$J,$J215))</f>
        <v>100</v>
      </c>
      <c r="H215" s="28">
        <f>IF($J215="","",INDEX('Detalle individual'!$L:$L,$J215))</f>
        <v>1</v>
      </c>
      <c r="J215">
        <f>IFERROR(MATCH(SMALL(Cálculos!$AI$5:$AI$1000,211),Cálculos!$AI$5:$AI$1000,0)+4,"")</f>
        <v>131</v>
      </c>
    </row>
    <row r="216">
      <c r="A216" s="5" t="str">
        <f>IF($J216="","",INDEX('Detalle individual'!$B:$B,$J216))</f>
        <v>JORGE MATEO GUTIERREZ FLORES</v>
      </c>
      <c r="B216" s="5" t="str">
        <f>IF($J216="","",INDEX('Detalle individual'!$A:$A,$J216))</f>
        <v>985</v>
      </c>
      <c r="C216" s="5" t="str">
        <f>IF($J216="","",INDEX('Detalle individual'!$E:$E,$J216))</f>
        <v>PASANTE</v>
      </c>
      <c r="D216" s="5" t="str">
        <f>IF($J216="","",INDEX('Detalle individual'!$C:$C,$J216))</f>
        <v>OFICIALIA DE CUMPLIMIENTO</v>
      </c>
      <c r="E216" s="5" t="str">
        <f>IF($J216="","",INDEX('Detalle individual'!$D:$D,$J216))</f>
        <v>Gerencia de Oficialía de Cumplimiento</v>
      </c>
      <c r="F216" s="23">
        <f>IF($J216="","",INDEX('Detalle individual'!$H:$H,$J216))</f>
        <v>46296.4949537037</v>
      </c>
      <c r="G216" s="28">
        <f>IF($J216="","",INDEX('Detalle individual'!$J:$J,$J216))</f>
        <v>100</v>
      </c>
      <c r="H216" s="28">
        <f>IF($J216="","",INDEX('Detalle individual'!$L:$L,$J216))</f>
        <v>1</v>
      </c>
      <c r="J216">
        <f>IFERROR(MATCH(SMALL(Cálculos!$AI$5:$AI$1000,212),Cálculos!$AI$5:$AI$1000,0)+4,"")</f>
        <v>135</v>
      </c>
    </row>
    <row r="217">
      <c r="A217" s="5" t="str">
        <f>IF($J217="","",INDEX('Detalle individual'!$B:$B,$J217))</f>
        <v>JOSSELINE LIZBETH VENTURA RIVAS</v>
      </c>
      <c r="B217" s="5" t="str">
        <f>IF($J217="","",INDEX('Detalle individual'!$A:$A,$J217))</f>
        <v>443</v>
      </c>
      <c r="C217" s="5" t="str">
        <f>IF($J217="","",INDEX('Detalle individual'!$E:$E,$J217))</f>
        <v>ANALISTA DE CUMPLIMIENTO</v>
      </c>
      <c r="D217" s="5" t="str">
        <f>IF($J217="","",INDEX('Detalle individual'!$C:$C,$J217))</f>
        <v>OFICIALIA DE CUMPLIMIENTO</v>
      </c>
      <c r="E217" s="5" t="str">
        <f>IF($J217="","",INDEX('Detalle individual'!$D:$D,$J217))</f>
        <v>Gerencia de Oficialía de Cumplimiento</v>
      </c>
      <c r="F217" s="23">
        <f>IF($J217="","",INDEX('Detalle individual'!$H:$H,$J217))</f>
        <v>46296.491481481484</v>
      </c>
      <c r="G217" s="28">
        <f>IF($J217="","",INDEX('Detalle individual'!$J:$J,$J217))</f>
        <v>100</v>
      </c>
      <c r="H217" s="28">
        <f>IF($J217="","",INDEX('Detalle individual'!$L:$L,$J217))</f>
        <v>1</v>
      </c>
      <c r="J217">
        <f>IFERROR(MATCH(SMALL(Cálculos!$AI$5:$AI$1000,213),Cálculos!$AI$5:$AI$1000,0)+4,"")</f>
        <v>130</v>
      </c>
    </row>
    <row r="218">
      <c r="A218" s="5" t="str">
        <f>IF($J218="","",INDEX('Detalle individual'!$B:$B,$J218))</f>
        <v>LILIAN LISET MAGAÑA SANTOS</v>
      </c>
      <c r="B218" s="5" t="str">
        <f>IF($J218="","",INDEX('Detalle individual'!$A:$A,$J218))</f>
        <v>983</v>
      </c>
      <c r="C218" s="5" t="str">
        <f>IF($J218="","",INDEX('Detalle individual'!$E:$E,$J218))</f>
        <v>PASANTE</v>
      </c>
      <c r="D218" s="5" t="str">
        <f>IF($J218="","",INDEX('Detalle individual'!$C:$C,$J218))</f>
        <v>OFICIALIA DE CUMPLIMIENTO</v>
      </c>
      <c r="E218" s="5" t="str">
        <f>IF($J218="","",INDEX('Detalle individual'!$D:$D,$J218))</f>
        <v>Gerencia de Oficialía de Cumplimiento</v>
      </c>
      <c r="F218" s="23">
        <f>IF($J218="","",INDEX('Detalle individual'!$H:$H,$J218))</f>
        <v>46296.49747685185</v>
      </c>
      <c r="G218" s="28">
        <f>IF($J218="","",INDEX('Detalle individual'!$J:$J,$J218))</f>
        <v>100</v>
      </c>
      <c r="H218" s="28">
        <f>IF($J218="","",INDEX('Detalle individual'!$L:$L,$J218))</f>
        <v>1</v>
      </c>
      <c r="J218">
        <f>IFERROR(MATCH(SMALL(Cálculos!$AI$5:$AI$1000,214),Cálculos!$AI$5:$AI$1000,0)+4,"")</f>
        <v>133</v>
      </c>
    </row>
    <row r="219">
      <c r="A219" s="5" t="str">
        <f>IF($J219="","",INDEX('Detalle individual'!$B:$B,$J219))</f>
        <v>NICO EDUARDO CIUDAD REAL MOOIJ</v>
      </c>
      <c r="B219" s="5" t="str">
        <f>IF($J219="","",INDEX('Detalle individual'!$A:$A,$J219))</f>
        <v>984</v>
      </c>
      <c r="C219" s="5" t="str">
        <f>IF($J219="","",INDEX('Detalle individual'!$E:$E,$J219))</f>
        <v>PASANTE</v>
      </c>
      <c r="D219" s="5" t="str">
        <f>IF($J219="","",INDEX('Detalle individual'!$C:$C,$J219))</f>
        <v>OFICIALIA DE CUMPLIMIENTO</v>
      </c>
      <c r="E219" s="5" t="str">
        <f>IF($J219="","",INDEX('Detalle individual'!$D:$D,$J219))</f>
        <v>Gerencia de Oficialía de Cumplimiento</v>
      </c>
      <c r="F219" s="23">
        <f>IF($J219="","",INDEX('Detalle individual'!$H:$H,$J219))</f>
        <v>46296.48002314815</v>
      </c>
      <c r="G219" s="28">
        <f>IF($J219="","",INDEX('Detalle individual'!$J:$J,$J219))</f>
        <v>100</v>
      </c>
      <c r="H219" s="28">
        <f>IF($J219="","",INDEX('Detalle individual'!$L:$L,$J219))</f>
        <v>1</v>
      </c>
      <c r="J219">
        <f>IFERROR(MATCH(SMALL(Cálculos!$AI$5:$AI$1000,215),Cálculos!$AI$5:$AI$1000,0)+4,"")</f>
        <v>134</v>
      </c>
    </row>
    <row r="220">
      <c r="A220" s="5" t="str">
        <f>IF($J220="","",INDEX('Detalle individual'!$B:$B,$J220))</f>
        <v>GEMA YESENIA VILLALOBOS HERNANDEZ</v>
      </c>
      <c r="B220" s="5" t="str">
        <f>IF($J220="","",INDEX('Detalle individual'!$A:$A,$J220))</f>
        <v>477</v>
      </c>
      <c r="C220" s="5" t="str">
        <f>IF($J220="","",INDEX('Detalle individual'!$E:$E,$J220))</f>
        <v>ANALISTA DE CARTERAS</v>
      </c>
      <c r="D220" s="5" t="str">
        <f>IF($J220="","",INDEX('Detalle individual'!$C:$C,$J220))</f>
        <v>ADMINISTRACIÓN DE CARTERAS</v>
      </c>
      <c r="E220" s="5" t="str">
        <f>IF($J220="","",INDEX('Detalle individual'!$D:$D,$J220))</f>
        <v>Gerencia de Operaciones</v>
      </c>
      <c r="F220" s="23">
        <f>IF($J220="","",INDEX('Detalle individual'!$H:$H,$J220))</f>
        <v>46307.65584490741</v>
      </c>
      <c r="G220" s="28">
        <f>IF($J220="","",INDEX('Detalle individual'!$J:$J,$J220))</f>
        <v>100</v>
      </c>
      <c r="H220" s="28">
        <f>IF($J220="","",INDEX('Detalle individual'!$L:$L,$J220))</f>
        <v>1</v>
      </c>
      <c r="J220">
        <f>IFERROR(MATCH(SMALL(Cálculos!$AI$5:$AI$1000,216),Cálculos!$AI$5:$AI$1000,0)+4,"")</f>
        <v>80</v>
      </c>
    </row>
    <row r="221">
      <c r="A221" s="5" t="str">
        <f>IF($J221="","",INDEX('Detalle individual'!$B:$B,$J221))</f>
        <v>LOYDA ARACELY RAMOS CAÑENGUEZ</v>
      </c>
      <c r="B221" s="5" t="str">
        <f>IF($J221="","",INDEX('Detalle individual'!$A:$A,$J221))</f>
        <v>931</v>
      </c>
      <c r="C221" s="5" t="str">
        <f>IF($J221="","",INDEX('Detalle individual'!$E:$E,$J221))</f>
        <v>ANALISTA DE PRESTAMOS</v>
      </c>
      <c r="D221" s="5" t="str">
        <f>IF($J221="","",INDEX('Detalle individual'!$C:$C,$J221))</f>
        <v>ADMINISTRACIÓN DE CARTERAS</v>
      </c>
      <c r="E221" s="5" t="str">
        <f>IF($J221="","",INDEX('Detalle individual'!$D:$D,$J221))</f>
        <v>Gerencia de Operaciones</v>
      </c>
      <c r="F221" s="23">
        <f>IF($J221="","",INDEX('Detalle individual'!$H:$H,$J221))</f>
        <v>46304.56716435185</v>
      </c>
      <c r="G221" s="28">
        <f>IF($J221="","",INDEX('Detalle individual'!$J:$J,$J221))</f>
        <v>100</v>
      </c>
      <c r="H221" s="28">
        <f>IF($J221="","",INDEX('Detalle individual'!$L:$L,$J221))</f>
        <v>1</v>
      </c>
      <c r="J221">
        <f>IFERROR(MATCH(SMALL(Cálculos!$AI$5:$AI$1000,217),Cálculos!$AI$5:$AI$1000,0)+4,"")</f>
        <v>83</v>
      </c>
    </row>
    <row r="222">
      <c r="A222" s="5" t="str">
        <f>IF($J222="","",INDEX('Detalle individual'!$B:$B,$J222))</f>
        <v>PAMELA GIOVANNA AGUILAR SERBELLON</v>
      </c>
      <c r="B222" s="5" t="str">
        <f>IF($J222="","",INDEX('Detalle individual'!$A:$A,$J222))</f>
        <v>572</v>
      </c>
      <c r="C222" s="5" t="str">
        <f>IF($J222="","",INDEX('Detalle individual'!$E:$E,$J222))</f>
        <v>GESTOR DE COBROS Y PAGOS DE SEGUROS</v>
      </c>
      <c r="D222" s="5" t="str">
        <f>IF($J222="","",INDEX('Detalle individual'!$C:$C,$J222))</f>
        <v>ADMINISTRACIÓN DE CARTERAS</v>
      </c>
      <c r="E222" s="5" t="str">
        <f>IF($J222="","",INDEX('Detalle individual'!$D:$D,$J222))</f>
        <v>Gerencia de Operaciones</v>
      </c>
      <c r="F222" s="23">
        <f>IF($J222="","",INDEX('Detalle individual'!$H:$H,$J222))</f>
        <v>46304.51201388889</v>
      </c>
      <c r="G222" s="28">
        <f>IF($J222="","",INDEX('Detalle individual'!$J:$J,$J222))</f>
        <v>100</v>
      </c>
      <c r="H222" s="28">
        <f>IF($J222="","",INDEX('Detalle individual'!$L:$L,$J222))</f>
        <v>1</v>
      </c>
      <c r="J222">
        <f>IFERROR(MATCH(SMALL(Cálculos!$AI$5:$AI$1000,218),Cálculos!$AI$5:$AI$1000,0)+4,"")</f>
        <v>81</v>
      </c>
    </row>
    <row r="223">
      <c r="A223" s="5" t="str">
        <f>IF($J223="","",INDEX('Detalle individual'!$B:$B,$J223))</f>
        <v>RICARDO JOSUE CACAO ROVELO</v>
      </c>
      <c r="B223" s="5" t="str">
        <f>IF($J223="","",INDEX('Detalle individual'!$A:$A,$J223))</f>
        <v>732</v>
      </c>
      <c r="C223" s="5" t="str">
        <f>IF($J223="","",INDEX('Detalle individual'!$E:$E,$J223))</f>
        <v>ANALISTA DE CARTERAS</v>
      </c>
      <c r="D223" s="5" t="str">
        <f>IF($J223="","",INDEX('Detalle individual'!$C:$C,$J223))</f>
        <v>ADMINISTRACIÓN DE CARTERAS</v>
      </c>
      <c r="E223" s="5" t="str">
        <f>IF($J223="","",INDEX('Detalle individual'!$D:$D,$J223))</f>
        <v>Gerencia de Operaciones</v>
      </c>
      <c r="F223" s="23">
        <f>IF($J223="","",INDEX('Detalle individual'!$H:$H,$J223))</f>
        <v>46311.675671296296</v>
      </c>
      <c r="G223" s="28">
        <f>IF($J223="","",INDEX('Detalle individual'!$J:$J,$J223))</f>
        <v>100</v>
      </c>
      <c r="H223" s="28">
        <f>IF($J223="","",INDEX('Detalle individual'!$L:$L,$J223))</f>
        <v>1</v>
      </c>
      <c r="J223">
        <f>IFERROR(MATCH(SMALL(Cálculos!$AI$5:$AI$1000,219),Cálculos!$AI$5:$AI$1000,0)+4,"")</f>
        <v>82</v>
      </c>
    </row>
    <row r="224">
      <c r="A224" s="5" t="str">
        <f>IF($J224="","",INDEX('Detalle individual'!$B:$B,$J224))</f>
        <v>YANETH MARLENY LANDAVERDE MORALES</v>
      </c>
      <c r="B224" s="5" t="str">
        <f>IF($J224="","",INDEX('Detalle individual'!$A:$A,$J224))</f>
        <v>16</v>
      </c>
      <c r="C224" s="5" t="str">
        <f>IF($J224="","",INDEX('Detalle individual'!$E:$E,$J224))</f>
        <v>JEFE DE ADMINISTRACION DE CARTERA</v>
      </c>
      <c r="D224" s="5" t="str">
        <f>IF($J224="","",INDEX('Detalle individual'!$C:$C,$J224))</f>
        <v>ADMINISTRACIÓN DE CARTERAS</v>
      </c>
      <c r="E224" s="5" t="str">
        <f>IF($J224="","",INDEX('Detalle individual'!$D:$D,$J224))</f>
        <v>Gerencia de Operaciones</v>
      </c>
      <c r="F224" s="23">
        <f>IF($J224="","",INDEX('Detalle individual'!$H:$H,$J224))</f>
        <v>46307.675532407404</v>
      </c>
      <c r="G224" s="28">
        <f>IF($J224="","",INDEX('Detalle individual'!$J:$J,$J224))</f>
        <v>100</v>
      </c>
      <c r="H224" s="28">
        <f>IF($J224="","",INDEX('Detalle individual'!$L:$L,$J224))</f>
        <v>1</v>
      </c>
      <c r="J224">
        <f>IFERROR(MATCH(SMALL(Cálculos!$AI$5:$AI$1000,220),Cálculos!$AI$5:$AI$1000,0)+4,"")</f>
        <v>79</v>
      </c>
    </row>
    <row r="225">
      <c r="A225" s="5" t="str">
        <f>IF($J225="","",INDEX('Detalle individual'!$B:$B,$J225))</f>
        <v>HELLEN ESTEFANI RODRIGUEZ GARCIA</v>
      </c>
      <c r="B225" s="5" t="str">
        <f>IF($J225="","",INDEX('Detalle individual'!$A:$A,$J225))</f>
        <v>773</v>
      </c>
      <c r="C225" s="5" t="str">
        <f>IF($J225="","",INDEX('Detalle individual'!$E:$E,$J225))</f>
        <v>ASISTENTE COMPENSADOR DE CHEQUES</v>
      </c>
      <c r="D225" s="5" t="str">
        <f>IF($J225="","",INDEX('Detalle individual'!$C:$C,$J225))</f>
        <v>DEPARTAMENTO DE DEPOSITOS</v>
      </c>
      <c r="E225" s="5" t="str">
        <f>IF($J225="","",INDEX('Detalle individual'!$D:$D,$J225))</f>
        <v>Gerencia de Operaciones</v>
      </c>
      <c r="F225" s="23">
        <f>IF($J225="","",INDEX('Detalle individual'!$H:$H,$J225))</f>
        <v>46297.47550925926</v>
      </c>
      <c r="G225" s="28">
        <f>IF($J225="","",INDEX('Detalle individual'!$J:$J,$J225))</f>
        <v>95</v>
      </c>
      <c r="H225" s="28">
        <f>IF($J225="","",INDEX('Detalle individual'!$L:$L,$J225))</f>
        <v>1</v>
      </c>
      <c r="J225">
        <f>IFERROR(MATCH(SMALL(Cálculos!$AI$5:$AI$1000,221),Cálculos!$AI$5:$AI$1000,0)+4,"")</f>
        <v>77</v>
      </c>
    </row>
    <row r="226">
      <c r="A226" s="5" t="str">
        <f>IF($J226="","",INDEX('Detalle individual'!$B:$B,$J226))</f>
        <v>LUCILA MARGARITA CORCIO QUINTANILLA</v>
      </c>
      <c r="B226" s="5" t="str">
        <f>IF($J226="","",INDEX('Detalle individual'!$A:$A,$J226))</f>
        <v>632</v>
      </c>
      <c r="C226" s="5" t="str">
        <f>IF($J226="","",INDEX('Detalle individual'!$E:$E,$J226))</f>
        <v>ASISTENTE COMPENSADOR DE CHEQUES</v>
      </c>
      <c r="D226" s="5" t="str">
        <f>IF($J226="","",INDEX('Detalle individual'!$C:$C,$J226))</f>
        <v>DEPARTAMENTO DE DEPOSITOS</v>
      </c>
      <c r="E226" s="5" t="str">
        <f>IF($J226="","",INDEX('Detalle individual'!$D:$D,$J226))</f>
        <v>Gerencia de Operaciones</v>
      </c>
      <c r="F226" s="23">
        <f>IF($J226="","",INDEX('Detalle individual'!$H:$H,$J226))</f>
        <v>46296.57800925926</v>
      </c>
      <c r="G226" s="28">
        <f>IF($J226="","",INDEX('Detalle individual'!$J:$J,$J226))</f>
        <v>100</v>
      </c>
      <c r="H226" s="28">
        <f>IF($J226="","",INDEX('Detalle individual'!$L:$L,$J226))</f>
        <v>1</v>
      </c>
      <c r="J226">
        <f>IFERROR(MATCH(SMALL(Cálculos!$AI$5:$AI$1000,222),Cálculos!$AI$5:$AI$1000,0)+4,"")</f>
        <v>76</v>
      </c>
    </row>
    <row r="227">
      <c r="A227" s="5" t="str">
        <f>IF($J227="","",INDEX('Detalle individual'!$B:$B,$J227))</f>
        <v>MARIO ANTONIO NAVARRO PINEDA</v>
      </c>
      <c r="B227" s="5" t="str">
        <f>IF($J227="","",INDEX('Detalle individual'!$A:$A,$J227))</f>
        <v>284</v>
      </c>
      <c r="C227" s="5" t="str">
        <f>IF($J227="","",INDEX('Detalle individual'!$E:$E,$J227))</f>
        <v>JEFE DE DEPOSITOS</v>
      </c>
      <c r="D227" s="5" t="str">
        <f>IF($J227="","",INDEX('Detalle individual'!$C:$C,$J227))</f>
        <v>DEPARTAMENTO DE DEPOSITOS</v>
      </c>
      <c r="E227" s="5" t="str">
        <f>IF($J227="","",INDEX('Detalle individual'!$D:$D,$J227))</f>
        <v>Gerencia de Operaciones</v>
      </c>
      <c r="F227" s="23">
        <f>IF($J227="","",INDEX('Detalle individual'!$H:$H,$J227))</f>
        <v>46305.513344907406</v>
      </c>
      <c r="G227" s="28">
        <f>IF($J227="","",INDEX('Detalle individual'!$J:$J,$J227))</f>
        <v>100</v>
      </c>
      <c r="H227" s="28">
        <f>IF($J227="","",INDEX('Detalle individual'!$L:$L,$J227))</f>
        <v>1</v>
      </c>
      <c r="J227">
        <f>IFERROR(MATCH(SMALL(Cálculos!$AI$5:$AI$1000,223),Cálculos!$AI$5:$AI$1000,0)+4,"")</f>
        <v>75</v>
      </c>
    </row>
    <row r="228">
      <c r="A228" s="5" t="str">
        <f>IF($J228="","",INDEX('Detalle individual'!$B:$B,$J228))</f>
        <v>WALTER OSWALDO SANCHEZ RIVAS</v>
      </c>
      <c r="B228" s="5" t="str">
        <f>IF($J228="","",INDEX('Detalle individual'!$A:$A,$J228))</f>
        <v>787</v>
      </c>
      <c r="C228" s="5" t="str">
        <f>IF($J228="","",INDEX('Detalle individual'!$E:$E,$J228))</f>
        <v>ASISTENTE COMPENSADOR DE CHEQUES</v>
      </c>
      <c r="D228" s="5" t="str">
        <f>IF($J228="","",INDEX('Detalle individual'!$C:$C,$J228))</f>
        <v>DEPARTAMENTO DE DEPOSITOS</v>
      </c>
      <c r="E228" s="5" t="str">
        <f>IF($J228="","",INDEX('Detalle individual'!$D:$D,$J228))</f>
        <v>Gerencia de Operaciones</v>
      </c>
      <c r="F228" s="23">
        <f>IF($J228="","",INDEX('Detalle individual'!$H:$H,$J228))</f>
        <v>46304.692928240744</v>
      </c>
      <c r="G228" s="28">
        <f>IF($J228="","",INDEX('Detalle individual'!$J:$J,$J228))</f>
        <v>100</v>
      </c>
      <c r="H228" s="28">
        <f>IF($J228="","",INDEX('Detalle individual'!$L:$L,$J228))</f>
        <v>1</v>
      </c>
      <c r="J228">
        <f>IFERROR(MATCH(SMALL(Cálculos!$AI$5:$AI$1000,224),Cálculos!$AI$5:$AI$1000,0)+4,"")</f>
        <v>78</v>
      </c>
    </row>
    <row r="229">
      <c r="A229" s="5" t="str">
        <f>IF($J229="","",INDEX('Detalle individual'!$B:$B,$J229))</f>
        <v>ANA GRISELDA SIGÜENZA MARTINEZ</v>
      </c>
      <c r="B229" s="5" t="str">
        <f>IF($J229="","",INDEX('Detalle individual'!$A:$A,$J229))</f>
        <v>528</v>
      </c>
      <c r="C229" s="5" t="str">
        <f>IF($J229="","",INDEX('Detalle individual'!$E:$E,$J229))</f>
        <v>AUXILIAR DE DEPARTAMENTO DE SOLUCIONES FINANCIERAS</v>
      </c>
      <c r="D229" s="5" t="str">
        <f>IF($J229="","",INDEX('Detalle individual'!$C:$C,$J229))</f>
        <v>DEPARTAMENTO DE SOLUCIONES FINANCIERAS</v>
      </c>
      <c r="E229" s="5" t="str">
        <f>IF($J229="","",INDEX('Detalle individual'!$D:$D,$J229))</f>
        <v>Gerencia de Operaciones</v>
      </c>
      <c r="F229" s="23">
        <f>IF($J229="","",INDEX('Detalle individual'!$H:$H,$J229))</f>
        <v>46305.54105324074</v>
      </c>
      <c r="G229" s="28">
        <f>IF($J229="","",INDEX('Detalle individual'!$J:$J,$J229))</f>
        <v>100</v>
      </c>
      <c r="H229" s="28">
        <f>IF($J229="","",INDEX('Detalle individual'!$L:$L,$J229))</f>
        <v>1</v>
      </c>
      <c r="J229">
        <f>IFERROR(MATCH(SMALL(Cálculos!$AI$5:$AI$1000,225),Cálculos!$AI$5:$AI$1000,0)+4,"")</f>
        <v>66</v>
      </c>
    </row>
    <row r="230">
      <c r="A230" s="5" t="str">
        <f>IF($J230="","",INDEX('Detalle individual'!$B:$B,$J230))</f>
        <v>ANA SILVIA MARTINEZ RODRIGUEZ</v>
      </c>
      <c r="B230" s="5" t="str">
        <f>IF($J230="","",INDEX('Detalle individual'!$A:$A,$J230))</f>
        <v>289</v>
      </c>
      <c r="C230" s="5" t="str">
        <f>IF($J230="","",INDEX('Detalle individual'!$E:$E,$J230))</f>
        <v>EJECUTIVO DE SOLUCIONES FINANCIERAS</v>
      </c>
      <c r="D230" s="5" t="str">
        <f>IF($J230="","",INDEX('Detalle individual'!$C:$C,$J230))</f>
        <v>DEPARTAMENTO DE SOLUCIONES FINANCIERAS</v>
      </c>
      <c r="E230" s="5" t="str">
        <f>IF($J230="","",INDEX('Detalle individual'!$D:$D,$J230))</f>
        <v>Gerencia de Operaciones</v>
      </c>
      <c r="F230" s="23">
        <f>IF($J230="","",INDEX('Detalle individual'!$H:$H,$J230))</f>
        <v>46305.41322916667</v>
      </c>
      <c r="G230" s="28">
        <f>IF($J230="","",INDEX('Detalle individual'!$J:$J,$J230))</f>
        <v>100</v>
      </c>
      <c r="H230" s="28">
        <f>IF($J230="","",INDEX('Detalle individual'!$L:$L,$J230))</f>
        <v>1</v>
      </c>
      <c r="J230">
        <f>IFERROR(MATCH(SMALL(Cálculos!$AI$5:$AI$1000,226),Cálculos!$AI$5:$AI$1000,0)+4,"")</f>
        <v>62</v>
      </c>
    </row>
    <row r="231">
      <c r="A231" s="5" t="str">
        <f>IF($J231="","",INDEX('Detalle individual'!$B:$B,$J231))</f>
        <v>CARLOS ROBERTO AGUILAR SANTOS</v>
      </c>
      <c r="B231" s="5" t="str">
        <f>IF($J231="","",INDEX('Detalle individual'!$A:$A,$J231))</f>
        <v>472</v>
      </c>
      <c r="C231" s="5" t="str">
        <f>IF($J231="","",INDEX('Detalle individual'!$E:$E,$J231))</f>
        <v>JEFE DE SOLUCIONES FINANCIERAS</v>
      </c>
      <c r="D231" s="5" t="str">
        <f>IF($J231="","",INDEX('Detalle individual'!$C:$C,$J231))</f>
        <v>DEPARTAMENTO DE SOLUCIONES FINANCIERAS</v>
      </c>
      <c r="E231" s="5" t="str">
        <f>IF($J231="","",INDEX('Detalle individual'!$D:$D,$J231))</f>
        <v>Gerencia de Operaciones</v>
      </c>
      <c r="F231" s="23">
        <f>IF($J231="","",INDEX('Detalle individual'!$H:$H,$J231))</f>
        <v>46304.37534722222</v>
      </c>
      <c r="G231" s="28">
        <f>IF($J231="","",INDEX('Detalle individual'!$J:$J,$J231))</f>
        <v>100</v>
      </c>
      <c r="H231" s="28">
        <f>IF($J231="","",INDEX('Detalle individual'!$L:$L,$J231))</f>
        <v>1</v>
      </c>
      <c r="J231">
        <f>IFERROR(MATCH(SMALL(Cálculos!$AI$5:$AI$1000,227),Cálculos!$AI$5:$AI$1000,0)+4,"")</f>
        <v>65</v>
      </c>
    </row>
    <row r="232">
      <c r="A232" s="5" t="str">
        <f>IF($J232="","",INDEX('Detalle individual'!$B:$B,$J232))</f>
        <v>ILIANA DESIREE ALFARO</v>
      </c>
      <c r="B232" s="5" t="str">
        <f>IF($J232="","",INDEX('Detalle individual'!$A:$A,$J232))</f>
        <v>439</v>
      </c>
      <c r="C232" s="5" t="str">
        <f>IF($J232="","",INDEX('Detalle individual'!$E:$E,$J232))</f>
        <v>EJECUTIVO DE SOLUCIONES FINANCIERAS</v>
      </c>
      <c r="D232" s="5" t="str">
        <f>IF($J232="","",INDEX('Detalle individual'!$C:$C,$J232))</f>
        <v>DEPARTAMENTO DE SOLUCIONES FINANCIERAS</v>
      </c>
      <c r="E232" s="5" t="str">
        <f>IF($J232="","",INDEX('Detalle individual'!$D:$D,$J232))</f>
        <v>Gerencia de Operaciones</v>
      </c>
      <c r="F232" s="23">
        <f>IF($J232="","",INDEX('Detalle individual'!$H:$H,$J232))</f>
        <v>46304.38547453703</v>
      </c>
      <c r="G232" s="28">
        <f>IF($J232="","",INDEX('Detalle individual'!$J:$J,$J232))</f>
        <v>80</v>
      </c>
      <c r="H232" s="28">
        <f>IF($J232="","",INDEX('Detalle individual'!$L:$L,$J232))</f>
        <v>1</v>
      </c>
      <c r="J232">
        <f>IFERROR(MATCH(SMALL(Cálculos!$AI$5:$AI$1000,228),Cálculos!$AI$5:$AI$1000,0)+4,"")</f>
        <v>64</v>
      </c>
    </row>
    <row r="233">
      <c r="A233" s="5" t="str">
        <f>IF($J233="","",INDEX('Detalle individual'!$B:$B,$J233))</f>
        <v>JUAN PABLO HENRIQUEZ RAMIREZ</v>
      </c>
      <c r="B233" s="5" t="str">
        <f>IF($J233="","",INDEX('Detalle individual'!$A:$A,$J233))</f>
        <v>573</v>
      </c>
      <c r="C233" s="5" t="str">
        <f>IF($J233="","",INDEX('Detalle individual'!$E:$E,$J233))</f>
        <v>EJECUTIVO DE SOLUCIONES FINANCIERAS</v>
      </c>
      <c r="D233" s="5" t="str">
        <f>IF($J233="","",INDEX('Detalle individual'!$C:$C,$J233))</f>
        <v>DEPARTAMENTO DE SOLUCIONES FINANCIERAS</v>
      </c>
      <c r="E233" s="5" t="str">
        <f>IF($J233="","",INDEX('Detalle individual'!$D:$D,$J233))</f>
        <v>Gerencia de Operaciones</v>
      </c>
      <c r="F233" s="23">
        <f>IF($J233="","",INDEX('Detalle individual'!$H:$H,$J233))</f>
        <v>46309.38841435185</v>
      </c>
      <c r="G233" s="28">
        <f>IF($J233="","",INDEX('Detalle individual'!$J:$J,$J233))</f>
        <v>90</v>
      </c>
      <c r="H233" s="28">
        <f>IF($J233="","",INDEX('Detalle individual'!$L:$L,$J233))</f>
        <v>1</v>
      </c>
      <c r="J233">
        <f>IFERROR(MATCH(SMALL(Cálculos!$AI$5:$AI$1000,229),Cálculos!$AI$5:$AI$1000,0)+4,"")</f>
        <v>67</v>
      </c>
    </row>
    <row r="234">
      <c r="A234" s="5" t="str">
        <f>IF($J234="","",INDEX('Detalle individual'!$B:$B,$J234))</f>
        <v>ROSA ELIZABETH RIVAS AGUILUZ</v>
      </c>
      <c r="B234" s="5" t="str">
        <f>IF($J234="","",INDEX('Detalle individual'!$A:$A,$J234))</f>
        <v>182</v>
      </c>
      <c r="C234" s="5" t="str">
        <f>IF($J234="","",INDEX('Detalle individual'!$E:$E,$J234))</f>
        <v>EJECUTIVO DE SOLUCIONES FINANCIERAS</v>
      </c>
      <c r="D234" s="5" t="str">
        <f>IF($J234="","",INDEX('Detalle individual'!$C:$C,$J234))</f>
        <v>DEPARTAMENTO DE SOLUCIONES FINANCIERAS</v>
      </c>
      <c r="E234" s="5" t="str">
        <f>IF($J234="","",INDEX('Detalle individual'!$D:$D,$J234))</f>
        <v>Gerencia de Operaciones</v>
      </c>
      <c r="F234" s="23">
        <f>IF($J234="","",INDEX('Detalle individual'!$H:$H,$J234))</f>
        <v>46307.56962962963</v>
      </c>
      <c r="G234" s="28">
        <f>IF($J234="","",INDEX('Detalle individual'!$J:$J,$J234))</f>
        <v>70</v>
      </c>
      <c r="H234" s="28">
        <f>IF($J234="","",INDEX('Detalle individual'!$L:$L,$J234))</f>
        <v>1</v>
      </c>
      <c r="J234">
        <f>IFERROR(MATCH(SMALL(Cálculos!$AI$5:$AI$1000,230),Cálculos!$AI$5:$AI$1000,0)+4,"")</f>
        <v>60</v>
      </c>
    </row>
    <row r="235">
      <c r="A235" s="5" t="str">
        <f>IF($J235="","",INDEX('Detalle individual'!$B:$B,$J235))</f>
        <v>SANDRA GUADALUPE ROQUE SANCHEZ</v>
      </c>
      <c r="B235" s="5" t="str">
        <f>IF($J235="","",INDEX('Detalle individual'!$A:$A,$J235))</f>
        <v>298</v>
      </c>
      <c r="C235" s="5" t="str">
        <f>IF($J235="","",INDEX('Detalle individual'!$E:$E,$J235))</f>
        <v>EJECUTIVO DE SOLUCIONES FINANCIERAS</v>
      </c>
      <c r="D235" s="5" t="str">
        <f>IF($J235="","",INDEX('Detalle individual'!$C:$C,$J235))</f>
        <v>DEPARTAMENTO DE SOLUCIONES FINANCIERAS</v>
      </c>
      <c r="E235" s="5" t="str">
        <f>IF($J235="","",INDEX('Detalle individual'!$D:$D,$J235))</f>
        <v>Gerencia de Operaciones</v>
      </c>
      <c r="F235" s="23">
        <f>IF($J235="","",INDEX('Detalle individual'!$H:$H,$J235))</f>
        <v>46307.58479166667</v>
      </c>
      <c r="G235" s="28">
        <f>IF($J235="","",INDEX('Detalle individual'!$J:$J,$J235))</f>
        <v>80</v>
      </c>
      <c r="H235" s="28">
        <f>IF($J235="","",INDEX('Detalle individual'!$L:$L,$J235))</f>
        <v>1</v>
      </c>
      <c r="J235">
        <f>IFERROR(MATCH(SMALL(Cálculos!$AI$5:$AI$1000,231),Cálculos!$AI$5:$AI$1000,0)+4,"")</f>
        <v>63</v>
      </c>
    </row>
    <row r="236">
      <c r="A236" s="5" t="str">
        <f>IF($J236="","",INDEX('Detalle individual'!$B:$B,$J236))</f>
        <v>XOCHILT VERONICA NOUBLEAU</v>
      </c>
      <c r="B236" s="5" t="str">
        <f>IF($J236="","",INDEX('Detalle individual'!$A:$A,$J236))</f>
        <v>263</v>
      </c>
      <c r="C236" s="5" t="str">
        <f>IF($J236="","",INDEX('Detalle individual'!$E:$E,$J236))</f>
        <v>EJECUTIVO DE SOLUCIONES FINANCIERAS</v>
      </c>
      <c r="D236" s="5" t="str">
        <f>IF($J236="","",INDEX('Detalle individual'!$C:$C,$J236))</f>
        <v>DEPARTAMENTO DE SOLUCIONES FINANCIERAS</v>
      </c>
      <c r="E236" s="5" t="str">
        <f>IF($J236="","",INDEX('Detalle individual'!$D:$D,$J236))</f>
        <v>Gerencia de Operaciones</v>
      </c>
      <c r="F236" s="23">
        <f>IF($J236="","",INDEX('Detalle individual'!$H:$H,$J236))</f>
        <v>46307.60011574074</v>
      </c>
      <c r="G236" s="28">
        <f>IF($J236="","",INDEX('Detalle individual'!$J:$J,$J236))</f>
        <v>100</v>
      </c>
      <c r="H236" s="28">
        <f>IF($J236="","",INDEX('Detalle individual'!$L:$L,$J236))</f>
        <v>1</v>
      </c>
      <c r="J236">
        <f>IFERROR(MATCH(SMALL(Cálculos!$AI$5:$AI$1000,232),Cálculos!$AI$5:$AI$1000,0)+4,"")</f>
        <v>61</v>
      </c>
    </row>
    <row r="237">
      <c r="A237" s="5" t="str">
        <f>IF($J237="","",INDEX('Detalle individual'!$B:$B,$J237))</f>
        <v>YENIS MARILU ESCOBAR SORTO</v>
      </c>
      <c r="B237" s="5" t="str">
        <f>IF($J237="","",INDEX('Detalle individual'!$A:$A,$J237))</f>
        <v>34</v>
      </c>
      <c r="C237" s="5" t="str">
        <f>IF($J237="","",INDEX('Detalle individual'!$E:$E,$J237))</f>
        <v>EJECUTIVO DE SOLUCIONES FINANCIERAS</v>
      </c>
      <c r="D237" s="5" t="str">
        <f>IF($J237="","",INDEX('Detalle individual'!$C:$C,$J237))</f>
        <v>DEPARTAMENTO DE SOLUCIONES FINANCIERAS</v>
      </c>
      <c r="E237" s="5" t="str">
        <f>IF($J237="","",INDEX('Detalle individual'!$D:$D,$J237))</f>
        <v>Gerencia de Operaciones</v>
      </c>
      <c r="F237" s="23">
        <f>IF($J237="","",INDEX('Detalle individual'!$H:$H,$J237))</f>
        <v>46309.354155092595</v>
      </c>
      <c r="G237" s="28">
        <f>IF($J237="","",INDEX('Detalle individual'!$J:$J,$J237))</f>
        <v>70</v>
      </c>
      <c r="H237" s="28">
        <f>IF($J237="","",INDEX('Detalle individual'!$L:$L,$J237))</f>
        <v>1</v>
      </c>
      <c r="J237">
        <f>IFERROR(MATCH(SMALL(Cálculos!$AI$5:$AI$1000,233),Cálculos!$AI$5:$AI$1000,0)+4,"")</f>
        <v>59</v>
      </c>
    </row>
    <row r="238">
      <c r="A238" s="5" t="str">
        <f>IF($J238="","",INDEX('Detalle individual'!$B:$B,$J238))</f>
        <v>ANA BEATRIZ QUINTEROS AVELAR</v>
      </c>
      <c r="B238" s="5" t="str">
        <f>IF($J238="","",INDEX('Detalle individual'!$A:$A,$J238))</f>
        <v>725</v>
      </c>
      <c r="C238" s="5" t="str">
        <f>IF($J238="","",INDEX('Detalle individual'!$E:$E,$J238))</f>
        <v>ASISTENTE TECNICO DE OPERACIONES DE TARJETAS</v>
      </c>
      <c r="D238" s="5" t="str">
        <f>IF($J238="","",INDEX('Detalle individual'!$C:$C,$J238))</f>
        <v>DEPARTAMENTO DE TARJETA DE CREDITO Y DEBITO</v>
      </c>
      <c r="E238" s="5" t="str">
        <f>IF($J238="","",INDEX('Detalle individual'!$D:$D,$J238))</f>
        <v>Gerencia de Operaciones</v>
      </c>
      <c r="F238" s="23">
        <f>IF($J238="","",INDEX('Detalle individual'!$H:$H,$J238))</f>
        <v>46309.65164351852</v>
      </c>
      <c r="G238" s="28">
        <f>IF($J238="","",INDEX('Detalle individual'!$J:$J,$J238))</f>
        <v>100</v>
      </c>
      <c r="H238" s="28">
        <f>IF($J238="","",INDEX('Detalle individual'!$L:$L,$J238))</f>
        <v>1</v>
      </c>
      <c r="J238">
        <f>IFERROR(MATCH(SMALL(Cálculos!$AI$5:$AI$1000,234),Cálculos!$AI$5:$AI$1000,0)+4,"")</f>
        <v>72</v>
      </c>
    </row>
    <row r="239">
      <c r="A239" s="5" t="str">
        <f>IF($J239="","",INDEX('Detalle individual'!$B:$B,$J239))</f>
        <v>ANDREA CAROLINA RUMUALDO MARTINEZ</v>
      </c>
      <c r="B239" s="5" t="str">
        <f>IF($J239="","",INDEX('Detalle individual'!$A:$A,$J239))</f>
        <v>952</v>
      </c>
      <c r="C239" s="5" t="str">
        <f>IF($J239="","",INDEX('Detalle individual'!$E:$E,$J239))</f>
        <v>AUXILIAR DE CONTROL DE CALIDAD</v>
      </c>
      <c r="D239" s="5" t="str">
        <f>IF($J239="","",INDEX('Detalle individual'!$C:$C,$J239))</f>
        <v>DEPARTAMENTO DE TARJETA DE CREDITO Y DEBITO</v>
      </c>
      <c r="E239" s="5" t="str">
        <f>IF($J239="","",INDEX('Detalle individual'!$D:$D,$J239))</f>
        <v>Gerencia de Operaciones</v>
      </c>
      <c r="F239" s="23">
        <f>IF($J239="","",INDEX('Detalle individual'!$H:$H,$J239))</f>
        <v>46296.65724537037</v>
      </c>
      <c r="G239" s="28">
        <f>IF($J239="","",INDEX('Detalle individual'!$J:$J,$J239))</f>
        <v>100</v>
      </c>
      <c r="H239" s="28">
        <f>IF($J239="","",INDEX('Detalle individual'!$L:$L,$J239))</f>
        <v>1</v>
      </c>
      <c r="J239">
        <f>IFERROR(MATCH(SMALL(Cálculos!$AI$5:$AI$1000,235),Cálculos!$AI$5:$AI$1000,0)+4,"")</f>
        <v>73</v>
      </c>
    </row>
    <row r="240">
      <c r="A240" s="5" t="str">
        <f>IF($J240="","",INDEX('Detalle individual'!$B:$B,$J240))</f>
        <v>CLAUDIA CAROLINA HERNANDEZ DE PAZ</v>
      </c>
      <c r="B240" s="5" t="str">
        <f>IF($J240="","",INDEX('Detalle individual'!$A:$A,$J240))</f>
        <v>389</v>
      </c>
      <c r="C240" s="5" t="str">
        <f>IF($J240="","",INDEX('Detalle individual'!$E:$E,$J240))</f>
        <v>ASISTENTE TECNICO DE INTERCAMBIO DE TARJETAS</v>
      </c>
      <c r="D240" s="5" t="str">
        <f>IF($J240="","",INDEX('Detalle individual'!$C:$C,$J240))</f>
        <v>DEPARTAMENTO DE TARJETA DE CREDITO Y DEBITO</v>
      </c>
      <c r="E240" s="5" t="str">
        <f>IF($J240="","",INDEX('Detalle individual'!$D:$D,$J240))</f>
        <v>Gerencia de Operaciones</v>
      </c>
      <c r="F240" s="23">
        <f>IF($J240="","",INDEX('Detalle individual'!$H:$H,$J240))</f>
        <v>46311.516226851854</v>
      </c>
      <c r="G240" s="28">
        <f>IF($J240="","",INDEX('Detalle individual'!$J:$J,$J240))</f>
        <v>100</v>
      </c>
      <c r="H240" s="28">
        <f>IF($J240="","",INDEX('Detalle individual'!$L:$L,$J240))</f>
        <v>1</v>
      </c>
      <c r="J240">
        <f>IFERROR(MATCH(SMALL(Cálculos!$AI$5:$AI$1000,236),Cálculos!$AI$5:$AI$1000,0)+4,"")</f>
        <v>69</v>
      </c>
    </row>
    <row r="241">
      <c r="A241" s="5" t="str">
        <f>IF($J241="","",INDEX('Detalle individual'!$B:$B,$J241))</f>
        <v>FATIMA ELIZABETH LEMUS RODRIGUEZ</v>
      </c>
      <c r="B241" s="5" t="str">
        <f>IF($J241="","",INDEX('Detalle individual'!$A:$A,$J241))</f>
        <v>980</v>
      </c>
      <c r="C241" s="5" t="str">
        <f>IF($J241="","",INDEX('Detalle individual'!$E:$E,$J241))</f>
        <v>AUXILIAR DE EMISION DE TARJETA</v>
      </c>
      <c r="D241" s="5" t="str">
        <f>IF($J241="","",INDEX('Detalle individual'!$C:$C,$J241))</f>
        <v>DEPARTAMENTO DE TARJETA DE CREDITO Y DEBITO</v>
      </c>
      <c r="E241" s="5" t="str">
        <f>IF($J241="","",INDEX('Detalle individual'!$D:$D,$J241))</f>
        <v>Gerencia de Operaciones</v>
      </c>
      <c r="F241" s="23">
        <f>IF($J241="","",INDEX('Detalle individual'!$H:$H,$J241))</f>
        <v>46296.71346064815</v>
      </c>
      <c r="G241" s="28">
        <f>IF($J241="","",INDEX('Detalle individual'!$J:$J,$J241))</f>
        <v>100</v>
      </c>
      <c r="H241" s="28">
        <f>IF($J241="","",INDEX('Detalle individual'!$L:$L,$J241))</f>
        <v>1</v>
      </c>
      <c r="J241">
        <f>IFERROR(MATCH(SMALL(Cálculos!$AI$5:$AI$1000,237),Cálculos!$AI$5:$AI$1000,0)+4,"")</f>
        <v>74</v>
      </c>
    </row>
    <row r="242">
      <c r="A242" s="5" t="str">
        <f>IF($J242="","",INDEX('Detalle individual'!$B:$B,$J242))</f>
        <v>LUIS ALEXANDER RAMIREZ MONTALVO</v>
      </c>
      <c r="B242" s="5" t="str">
        <f>IF($J242="","",INDEX('Detalle individual'!$A:$A,$J242))</f>
        <v>459</v>
      </c>
      <c r="C242" s="5" t="str">
        <f>IF($J242="","",INDEX('Detalle individual'!$E:$E,$J242))</f>
        <v>ASISTENTE TECNICO DE EMISION DE TARJETA</v>
      </c>
      <c r="D242" s="5" t="str">
        <f>IF($J242="","",INDEX('Detalle individual'!$C:$C,$J242))</f>
        <v>DEPARTAMENTO DE TARJETA DE CREDITO Y DEBITO</v>
      </c>
      <c r="E242" s="5" t="str">
        <f>IF($J242="","",INDEX('Detalle individual'!$D:$D,$J242))</f>
        <v>Gerencia de Operaciones</v>
      </c>
      <c r="F242" s="23">
        <f>IF($J242="","",INDEX('Detalle individual'!$H:$H,$J242))</f>
        <v>46304.57939814815</v>
      </c>
      <c r="G242" s="28">
        <f>IF($J242="","",INDEX('Detalle individual'!$J:$J,$J242))</f>
        <v>95</v>
      </c>
      <c r="H242" s="28">
        <f>IF($J242="","",INDEX('Detalle individual'!$L:$L,$J242))</f>
        <v>1</v>
      </c>
      <c r="J242">
        <f>IFERROR(MATCH(SMALL(Cálculos!$AI$5:$AI$1000,238),Cálculos!$AI$5:$AI$1000,0)+4,"")</f>
        <v>71</v>
      </c>
    </row>
    <row r="243">
      <c r="A243" s="5" t="str">
        <f>IF($J243="","",INDEX('Detalle individual'!$B:$B,$J243))</f>
        <v>ROQUE RAFAEL REYES ESPINAL</v>
      </c>
      <c r="B243" s="5" t="str">
        <f>IF($J243="","",INDEX('Detalle individual'!$A:$A,$J243))</f>
        <v>41</v>
      </c>
      <c r="C243" s="5" t="str">
        <f>IF($J243="","",INDEX('Detalle individual'!$E:$E,$J243))</f>
        <v>GERENTE DE OPERACIONES</v>
      </c>
      <c r="D243" s="5" t="str">
        <f>IF($J243="","",INDEX('Detalle individual'!$C:$C,$J243))</f>
        <v>GERENCIA DE OPERACIONES</v>
      </c>
      <c r="E243" s="5" t="str">
        <f>IF($J243="","",INDEX('Detalle individual'!$D:$D,$J243))</f>
        <v>Gerencia de Operaciones</v>
      </c>
      <c r="F243" s="23">
        <f>IF($J243="","",INDEX('Detalle individual'!$H:$H,$J243))</f>
        <v>46311.81412037037</v>
      </c>
      <c r="G243" s="28">
        <f>IF($J243="","",INDEX('Detalle individual'!$J:$J,$J243))</f>
        <v>100</v>
      </c>
      <c r="H243" s="28">
        <f>IF($J243="","",INDEX('Detalle individual'!$L:$L,$J243))</f>
        <v>1</v>
      </c>
      <c r="J243">
        <f>IFERROR(MATCH(SMALL(Cálculos!$AI$5:$AI$1000,239),Cálculos!$AI$5:$AI$1000,0)+4,"")</f>
        <v>7</v>
      </c>
    </row>
    <row r="244">
      <c r="A244" s="5" t="str">
        <f>IF($J244="","",INDEX('Detalle individual'!$B:$B,$J244))</f>
        <v>PEDRO ERNESTO MORÁN RAMÍREZ</v>
      </c>
      <c r="B244" s="5" t="str">
        <f>IF($J244="","",INDEX('Detalle individual'!$A:$A,$J244))</f>
        <v>409</v>
      </c>
      <c r="C244" s="5" t="str">
        <f>IF($J244="","",INDEX('Detalle individual'!$E:$E,$J244))</f>
        <v>ADMINISTRADOR DE BASE DE DATOS</v>
      </c>
      <c r="D244" s="5" t="str">
        <f>IF($J244="","",INDEX('Detalle individual'!$C:$C,$J244))</f>
        <v>ADMINISTRACION DE BASE DE DATOS</v>
      </c>
      <c r="E244" s="5" t="str">
        <f>IF($J244="","",INDEX('Detalle individual'!$D:$D,$J244))</f>
        <v>Gerencia de Sistemas</v>
      </c>
      <c r="F244" s="23">
        <f>IF($J244="","",INDEX('Detalle individual'!$H:$H,$J244))</f>
        <v>46300.696018518516</v>
      </c>
      <c r="G244" s="28">
        <f>IF($J244="","",INDEX('Detalle individual'!$J:$J,$J244))</f>
        <v>95</v>
      </c>
      <c r="H244" s="28">
        <f>IF($J244="","",INDEX('Detalle individual'!$L:$L,$J244))</f>
        <v>1</v>
      </c>
      <c r="J244">
        <f>IFERROR(MATCH(SMALL(Cálculos!$AI$5:$AI$1000,240),Cálculos!$AI$5:$AI$1000,0)+4,"")</f>
        <v>122</v>
      </c>
    </row>
    <row r="245">
      <c r="A245" s="5" t="str">
        <f>IF($J245="","",INDEX('Detalle individual'!$B:$B,$J245))</f>
        <v>ALEJANDRA VERONICA CENTENO LOPEZ</v>
      </c>
      <c r="B245" s="5" t="str">
        <f>IF($J245="","",INDEX('Detalle individual'!$A:$A,$J245))</f>
        <v>899</v>
      </c>
      <c r="C245" s="5" t="str">
        <f>IF($J245="","",INDEX('Detalle individual'!$E:$E,$J245))</f>
        <v>ANALISTA PROGRAMADOR</v>
      </c>
      <c r="D245" s="5" t="str">
        <f>IF($J245="","",INDEX('Detalle individual'!$C:$C,$J245))</f>
        <v>DEPARTAMENTO DE ANALISIS Y PROGRAMACIÓN</v>
      </c>
      <c r="E245" s="5" t="str">
        <f>IF($J245="","",INDEX('Detalle individual'!$D:$D,$J245))</f>
        <v>Gerencia de Sistemas</v>
      </c>
      <c r="F245" s="23">
        <f>IF($J245="","",INDEX('Detalle individual'!$H:$H,$J245))</f>
        <v>46310.69614583333</v>
      </c>
      <c r="G245" s="28">
        <f>IF($J245="","",INDEX('Detalle individual'!$J:$J,$J245))</f>
        <v>100</v>
      </c>
      <c r="H245" s="28">
        <f>IF($J245="","",INDEX('Detalle individual'!$L:$L,$J245))</f>
        <v>1</v>
      </c>
      <c r="J245">
        <f>IFERROR(MATCH(SMALL(Cálculos!$AI$5:$AI$1000,241),Cálculos!$AI$5:$AI$1000,0)+4,"")</f>
        <v>121</v>
      </c>
    </row>
    <row r="246">
      <c r="A246" s="5" t="str">
        <f>IF($J246="","",INDEX('Detalle individual'!$B:$B,$J246))</f>
        <v>BYRON WILFREDO MENJIVAR MELENDEZ</v>
      </c>
      <c r="B246" s="5" t="str">
        <f>IF($J246="","",INDEX('Detalle individual'!$A:$A,$J246))</f>
        <v>806</v>
      </c>
      <c r="C246" s="5" t="str">
        <f>IF($J246="","",INDEX('Detalle individual'!$E:$E,$J246))</f>
        <v>ANALISTA PROGRAMADOR</v>
      </c>
      <c r="D246" s="5" t="str">
        <f>IF($J246="","",INDEX('Detalle individual'!$C:$C,$J246))</f>
        <v>DEPARTAMENTO DE ANALISIS Y PROGRAMACIÓN</v>
      </c>
      <c r="E246" s="5" t="str">
        <f>IF($J246="","",INDEX('Detalle individual'!$D:$D,$J246))</f>
        <v>Gerencia de Sistemas</v>
      </c>
      <c r="F246" s="23">
        <f>IF($J246="","",INDEX('Detalle individual'!$H:$H,$J246))</f>
        <v>46304.384618055556</v>
      </c>
      <c r="G246" s="28">
        <f>IF($J246="","",INDEX('Detalle individual'!$J:$J,$J246))</f>
        <v>100</v>
      </c>
      <c r="H246" s="28">
        <f>IF($J246="","",INDEX('Detalle individual'!$L:$L,$J246))</f>
        <v>1</v>
      </c>
      <c r="J246">
        <f>IFERROR(MATCH(SMALL(Cálculos!$AI$5:$AI$1000,242),Cálculos!$AI$5:$AI$1000,0)+4,"")</f>
        <v>118</v>
      </c>
    </row>
    <row r="247">
      <c r="A247" s="5" t="str">
        <f>IF($J247="","",INDEX('Detalle individual'!$B:$B,$J247))</f>
        <v>CARLOS FRANCISCO HERNANDEZ MUÑOZ</v>
      </c>
      <c r="B247" s="5" t="str">
        <f>IF($J247="","",INDEX('Detalle individual'!$A:$A,$J247))</f>
        <v>680</v>
      </c>
      <c r="C247" s="5" t="str">
        <f>IF($J247="","",INDEX('Detalle individual'!$E:$E,$J247))</f>
        <v>ANALISTA QA</v>
      </c>
      <c r="D247" s="5" t="str">
        <f>IF($J247="","",INDEX('Detalle individual'!$C:$C,$J247))</f>
        <v>DEPARTAMENTO DE ANALISIS Y PROGRAMACIÓN</v>
      </c>
      <c r="E247" s="5" t="str">
        <f>IF($J247="","",INDEX('Detalle individual'!$D:$D,$J247))</f>
        <v>Gerencia de Sistemas</v>
      </c>
      <c r="F247" s="23">
        <f>IF($J247="","",INDEX('Detalle individual'!$H:$H,$J247))</f>
        <v>46300.39171296296</v>
      </c>
      <c r="G247" s="28">
        <f>IF($J247="","",INDEX('Detalle individual'!$J:$J,$J247))</f>
        <v>100</v>
      </c>
      <c r="H247" s="28">
        <f>IF($J247="","",INDEX('Detalle individual'!$L:$L,$J247))</f>
        <v>1</v>
      </c>
      <c r="J247">
        <f>IFERROR(MATCH(SMALL(Cálculos!$AI$5:$AI$1000,243),Cálculos!$AI$5:$AI$1000,0)+4,"")</f>
        <v>115</v>
      </c>
    </row>
    <row r="248">
      <c r="A248" s="5" t="str">
        <f>IF($J248="","",INDEX('Detalle individual'!$B:$B,$J248))</f>
        <v>CELINA MARGARITA GUTIERREZ RODRIGUEZ</v>
      </c>
      <c r="B248" s="5" t="str">
        <f>IF($J248="","",INDEX('Detalle individual'!$A:$A,$J248))</f>
        <v>239</v>
      </c>
      <c r="C248" s="5" t="str">
        <f>IF($J248="","",INDEX('Detalle individual'!$E:$E,$J248))</f>
        <v>ANALISTA PROGRAMADOR SENIOR</v>
      </c>
      <c r="D248" s="5" t="str">
        <f>IF($J248="","",INDEX('Detalle individual'!$C:$C,$J248))</f>
        <v>DEPARTAMENTO DE ANALISIS Y PROGRAMACIÓN</v>
      </c>
      <c r="E248" s="5" t="str">
        <f>IF($J248="","",INDEX('Detalle individual'!$D:$D,$J248))</f>
        <v>Gerencia de Sistemas</v>
      </c>
      <c r="F248" s="23">
        <f>IF($J248="","",INDEX('Detalle individual'!$H:$H,$J248))</f>
        <v>46296.65938657407</v>
      </c>
      <c r="G248" s="28">
        <f>IF($J248="","",INDEX('Detalle individual'!$J:$J,$J248))</f>
        <v>100</v>
      </c>
      <c r="H248" s="28">
        <f>IF($J248="","",INDEX('Detalle individual'!$L:$L,$J248))</f>
        <v>1</v>
      </c>
      <c r="J248">
        <f>IFERROR(MATCH(SMALL(Cálculos!$AI$5:$AI$1000,244),Cálculos!$AI$5:$AI$1000,0)+4,"")</f>
        <v>111</v>
      </c>
    </row>
    <row r="249">
      <c r="A249" s="5" t="str">
        <f>IF($J249="","",INDEX('Detalle individual'!$B:$B,$J249))</f>
        <v>CLAUDIA MARGARITA CAMPOS GONZÁLEZ</v>
      </c>
      <c r="B249" s="5" t="str">
        <f>IF($J249="","",INDEX('Detalle individual'!$A:$A,$J249))</f>
        <v>410</v>
      </c>
      <c r="C249" s="5" t="str">
        <f>IF($J249="","",INDEX('Detalle individual'!$E:$E,$J249))</f>
        <v>JEFE DE ANALISIS Y PROGRAMACION</v>
      </c>
      <c r="D249" s="5" t="str">
        <f>IF($J249="","",INDEX('Detalle individual'!$C:$C,$J249))</f>
        <v>DEPARTAMENTO DE ANALISIS Y PROGRAMACIÓN</v>
      </c>
      <c r="E249" s="5" t="str">
        <f>IF($J249="","",INDEX('Detalle individual'!$D:$D,$J249))</f>
        <v>Gerencia de Sistemas</v>
      </c>
      <c r="F249" s="23">
        <f>IF($J249="","",INDEX('Detalle individual'!$H:$H,$J249))</f>
        <v>46307.69321759259</v>
      </c>
      <c r="G249" s="28">
        <f>IF($J249="","",INDEX('Detalle individual'!$J:$J,$J249))</f>
        <v>100</v>
      </c>
      <c r="H249" s="28">
        <f>IF($J249="","",INDEX('Detalle individual'!$L:$L,$J249))</f>
        <v>1</v>
      </c>
      <c r="J249">
        <f>IFERROR(MATCH(SMALL(Cálculos!$AI$5:$AI$1000,245),Cálculos!$AI$5:$AI$1000,0)+4,"")</f>
        <v>113</v>
      </c>
    </row>
    <row r="250">
      <c r="A250" s="5" t="str">
        <f>IF($J250="","",INDEX('Detalle individual'!$B:$B,$J250))</f>
        <v>GLADIS EVELIN CASTILLO TORRES</v>
      </c>
      <c r="B250" s="5" t="str">
        <f>IF($J250="","",INDEX('Detalle individual'!$A:$A,$J250))</f>
        <v>474</v>
      </c>
      <c r="C250" s="5" t="str">
        <f>IF($J250="","",INDEX('Detalle individual'!$E:$E,$J250))</f>
        <v>ANALISTA PROGRAMADOR SENIOR</v>
      </c>
      <c r="D250" s="5" t="str">
        <f>IF($J250="","",INDEX('Detalle individual'!$C:$C,$J250))</f>
        <v>DEPARTAMENTO DE ANALISIS Y PROGRAMACIÓN</v>
      </c>
      <c r="E250" s="5" t="str">
        <f>IF($J250="","",INDEX('Detalle individual'!$D:$D,$J250))</f>
        <v>Gerencia de Sistemas</v>
      </c>
      <c r="F250" s="23">
        <f>IF($J250="","",INDEX('Detalle individual'!$H:$H,$J250))</f>
        <v>46297.48825231481</v>
      </c>
      <c r="G250" s="28">
        <f>IF($J250="","",INDEX('Detalle individual'!$J:$J,$J250))</f>
        <v>100</v>
      </c>
      <c r="H250" s="28">
        <f>IF($J250="","",INDEX('Detalle individual'!$L:$L,$J250))</f>
        <v>1</v>
      </c>
      <c r="J250">
        <f>IFERROR(MATCH(SMALL(Cálculos!$AI$5:$AI$1000,246),Cálculos!$AI$5:$AI$1000,0)+4,"")</f>
        <v>114</v>
      </c>
    </row>
    <row r="251">
      <c r="A251" s="5" t="str">
        <f>IF($J251="","",INDEX('Detalle individual'!$B:$B,$J251))</f>
        <v>HILDA MARGARITA ABREGO BRAN</v>
      </c>
      <c r="B251" s="5" t="str">
        <f>IF($J251="","",INDEX('Detalle individual'!$A:$A,$J251))</f>
        <v>320</v>
      </c>
      <c r="C251" s="5" t="str">
        <f>IF($J251="","",INDEX('Detalle individual'!$E:$E,$J251))</f>
        <v>ANALISTA QA</v>
      </c>
      <c r="D251" s="5" t="str">
        <f>IF($J251="","",INDEX('Detalle individual'!$C:$C,$J251))</f>
        <v>DEPARTAMENTO DE ANALISIS Y PROGRAMACIÓN</v>
      </c>
      <c r="E251" s="5" t="str">
        <f>IF($J251="","",INDEX('Detalle individual'!$D:$D,$J251))</f>
        <v>Gerencia de Sistemas</v>
      </c>
      <c r="F251" s="23">
        <f>IF($J251="","",INDEX('Detalle individual'!$H:$H,$J251))</f>
        <v>46296.59023148148</v>
      </c>
      <c r="G251" s="28">
        <f>IF($J251="","",INDEX('Detalle individual'!$J:$J,$J251))</f>
        <v>100</v>
      </c>
      <c r="H251" s="28">
        <f>IF($J251="","",INDEX('Detalle individual'!$L:$L,$J251))</f>
        <v>1</v>
      </c>
      <c r="J251">
        <f>IFERROR(MATCH(SMALL(Cálculos!$AI$5:$AI$1000,247),Cálculos!$AI$5:$AI$1000,0)+4,"")</f>
        <v>112</v>
      </c>
    </row>
    <row r="252">
      <c r="A252" s="5" t="str">
        <f>IF($J252="","",INDEX('Detalle individual'!$B:$B,$J252))</f>
        <v>JEAN HARRY MIRANDA ARAUJO</v>
      </c>
      <c r="B252" s="5" t="str">
        <f>IF($J252="","",INDEX('Detalle individual'!$A:$A,$J252))</f>
        <v>752</v>
      </c>
      <c r="C252" s="5" t="str">
        <f>IF($J252="","",INDEX('Detalle individual'!$E:$E,$J252))</f>
        <v>ANALISTA PROGRAMADOR</v>
      </c>
      <c r="D252" s="5" t="str">
        <f>IF($J252="","",INDEX('Detalle individual'!$C:$C,$J252))</f>
        <v>DEPARTAMENTO DE ANALISIS Y PROGRAMACIÓN</v>
      </c>
      <c r="E252" s="5" t="str">
        <f>IF($J252="","",INDEX('Detalle individual'!$D:$D,$J252))</f>
        <v>Gerencia de Sistemas</v>
      </c>
      <c r="F252" s="23">
        <f>IF($J252="","",INDEX('Detalle individual'!$H:$H,$J252))</f>
        <v>46307.43311342593</v>
      </c>
      <c r="G252" s="28">
        <f>IF($J252="","",INDEX('Detalle individual'!$J:$J,$J252))</f>
        <v>100</v>
      </c>
      <c r="H252" s="28">
        <f>IF($J252="","",INDEX('Detalle individual'!$L:$L,$J252))</f>
        <v>1</v>
      </c>
      <c r="J252">
        <f>IFERROR(MATCH(SMALL(Cálculos!$AI$5:$AI$1000,248),Cálculos!$AI$5:$AI$1000,0)+4,"")</f>
        <v>116</v>
      </c>
    </row>
    <row r="253">
      <c r="A253" s="5" t="str">
        <f>IF($J253="","",INDEX('Detalle individual'!$B:$B,$J253))</f>
        <v>JONATHAN ALEXIS BERRIOS MENJIVAR</v>
      </c>
      <c r="B253" s="5" t="str">
        <f>IF($J253="","",INDEX('Detalle individual'!$A:$A,$J253))</f>
        <v>783</v>
      </c>
      <c r="C253" s="5" t="str">
        <f>IF($J253="","",INDEX('Detalle individual'!$E:$E,$J253))</f>
        <v>ANALISTA PROGRAMADOR</v>
      </c>
      <c r="D253" s="5" t="str">
        <f>IF($J253="","",INDEX('Detalle individual'!$C:$C,$J253))</f>
        <v>DEPARTAMENTO DE ANALISIS Y PROGRAMACIÓN</v>
      </c>
      <c r="E253" s="5" t="str">
        <f>IF($J253="","",INDEX('Detalle individual'!$D:$D,$J253))</f>
        <v>Gerencia de Sistemas</v>
      </c>
      <c r="F253" s="23">
        <f>IF($J253="","",INDEX('Detalle individual'!$H:$H,$J253))</f>
        <v>46304.40027777778</v>
      </c>
      <c r="G253" s="28">
        <f>IF($J253="","",INDEX('Detalle individual'!$J:$J,$J253))</f>
        <v>100</v>
      </c>
      <c r="H253" s="28">
        <f>IF($J253="","",INDEX('Detalle individual'!$L:$L,$J253))</f>
        <v>1</v>
      </c>
      <c r="J253">
        <f>IFERROR(MATCH(SMALL(Cálculos!$AI$5:$AI$1000,249),Cálculos!$AI$5:$AI$1000,0)+4,"")</f>
        <v>117</v>
      </c>
    </row>
    <row r="254">
      <c r="A254" s="5" t="str">
        <f>IF($J254="","",INDEX('Detalle individual'!$B:$B,$J254))</f>
        <v>MILAGRO NATIVIDAD ESCOBAR MELENDEZ</v>
      </c>
      <c r="B254" s="5" t="str">
        <f>IF($J254="","",INDEX('Detalle individual'!$A:$A,$J254))</f>
        <v>879</v>
      </c>
      <c r="C254" s="5" t="str">
        <f>IF($J254="","",INDEX('Detalle individual'!$E:$E,$J254))</f>
        <v>ANALISTA PROGRAMADOR</v>
      </c>
      <c r="D254" s="5" t="str">
        <f>IF($J254="","",INDEX('Detalle individual'!$C:$C,$J254))</f>
        <v>DEPARTAMENTO DE ANALISIS Y PROGRAMACIÓN</v>
      </c>
      <c r="E254" s="5" t="str">
        <f>IF($J254="","",INDEX('Detalle individual'!$D:$D,$J254))</f>
        <v>Gerencia de Sistemas</v>
      </c>
      <c r="F254" s="23">
        <f>IF($J254="","",INDEX('Detalle individual'!$H:$H,$J254))</f>
        <v>46304.394837962966</v>
      </c>
      <c r="G254" s="28">
        <f>IF($J254="","",INDEX('Detalle individual'!$J:$J,$J254))</f>
        <v>100</v>
      </c>
      <c r="H254" s="28">
        <f>IF($J254="","",INDEX('Detalle individual'!$L:$L,$J254))</f>
        <v>1</v>
      </c>
      <c r="J254">
        <f>IFERROR(MATCH(SMALL(Cálculos!$AI$5:$AI$1000,250),Cálculos!$AI$5:$AI$1000,0)+4,"")</f>
        <v>120</v>
      </c>
    </row>
    <row r="255">
      <c r="A255" s="5" t="str">
        <f>IF($J255="","",INDEX('Detalle individual'!$B:$B,$J255))</f>
        <v>RODRIGO FERNANDO FIGUEROA RIVAS</v>
      </c>
      <c r="B255" s="5" t="str">
        <f>IF($J255="","",INDEX('Detalle individual'!$A:$A,$J255))</f>
        <v>824</v>
      </c>
      <c r="C255" s="5" t="str">
        <f>IF($J255="","",INDEX('Detalle individual'!$E:$E,$J255))</f>
        <v>ANALISTA PROGRAMADOR JUNIOR</v>
      </c>
      <c r="D255" s="5" t="str">
        <f>IF($J255="","",INDEX('Detalle individual'!$C:$C,$J255))</f>
        <v>DEPARTAMENTO DE ANALISIS Y PROGRAMACIÓN</v>
      </c>
      <c r="E255" s="5" t="str">
        <f>IF($J255="","",INDEX('Detalle individual'!$D:$D,$J255))</f>
        <v>Gerencia de Sistemas</v>
      </c>
      <c r="F255" s="23">
        <f>IF($J255="","",INDEX('Detalle individual'!$H:$H,$J255))</f>
        <v>46304.38784722222</v>
      </c>
      <c r="G255" s="28">
        <f>IF($J255="","",INDEX('Detalle individual'!$J:$J,$J255))</f>
        <v>100</v>
      </c>
      <c r="H255" s="28">
        <f>IF($J255="","",INDEX('Detalle individual'!$L:$L,$J255))</f>
        <v>1</v>
      </c>
      <c r="J255">
        <f>IFERROR(MATCH(SMALL(Cálculos!$AI$5:$AI$1000,251),Cálculos!$AI$5:$AI$1000,0)+4,"")</f>
        <v>119</v>
      </c>
    </row>
    <row r="256">
      <c r="A256" s="5" t="str">
        <f>IF($J256="","",INDEX('Detalle individual'!$B:$B,$J256))</f>
        <v>CARLOS ALFONSO MOLINA CARDONA</v>
      </c>
      <c r="B256" s="5" t="str">
        <f>IF($J256="","",INDEX('Detalle individual'!$A:$A,$J256))</f>
        <v>281</v>
      </c>
      <c r="C256" s="5" t="str">
        <f>IF($J256="","",INDEX('Detalle individual'!$E:$E,$J256))</f>
        <v>OPERADOR DE SISTEMAS</v>
      </c>
      <c r="D256" s="5" t="str">
        <f>IF($J256="","",INDEX('Detalle individual'!$C:$C,$J256))</f>
        <v>DEPARTAMENTO DE OPERACIONES Y SOPORTE TECNICO</v>
      </c>
      <c r="E256" s="5" t="str">
        <f>IF($J256="","",INDEX('Detalle individual'!$D:$D,$J256))</f>
        <v>Gerencia de Sistemas</v>
      </c>
      <c r="F256" s="23">
        <f>IF($J256="","",INDEX('Detalle individual'!$H:$H,$J256))</f>
        <v>46300.48065972222</v>
      </c>
      <c r="G256" s="28">
        <f>IF($J256="","",INDEX('Detalle individual'!$J:$J,$J256))</f>
        <v>100</v>
      </c>
      <c r="H256" s="28">
        <f>IF($J256="","",INDEX('Detalle individual'!$L:$L,$J256))</f>
        <v>1</v>
      </c>
      <c r="J256">
        <f>IFERROR(MATCH(SMALL(Cálculos!$AI$5:$AI$1000,252),Cálculos!$AI$5:$AI$1000,0)+4,"")</f>
        <v>108</v>
      </c>
    </row>
    <row r="257">
      <c r="A257" s="5" t="str">
        <f>IF($J257="","",INDEX('Detalle individual'!$B:$B,$J257))</f>
        <v>CARLOS ORLANDO GARCIA VELASQUEZ</v>
      </c>
      <c r="B257" s="5" t="str">
        <f>IF($J257="","",INDEX('Detalle individual'!$A:$A,$J257))</f>
        <v>221</v>
      </c>
      <c r="C257" s="5" t="str">
        <f>IF($J257="","",INDEX('Detalle individual'!$E:$E,$J257))</f>
        <v>TECNICO EN SOPORTE</v>
      </c>
      <c r="D257" s="5" t="str">
        <f>IF($J257="","",INDEX('Detalle individual'!$C:$C,$J257))</f>
        <v>DEPARTAMENTO DE OPERACIONES Y SOPORTE TECNICO</v>
      </c>
      <c r="E257" s="5" t="str">
        <f>IF($J257="","",INDEX('Detalle individual'!$D:$D,$J257))</f>
        <v>Gerencia de Sistemas</v>
      </c>
      <c r="F257" s="23">
        <f>IF($J257="","",INDEX('Detalle individual'!$H:$H,$J257))</f>
        <v>46300.58950231481</v>
      </c>
      <c r="G257" s="28">
        <f>IF($J257="","",INDEX('Detalle individual'!$J:$J,$J257))</f>
        <v>100</v>
      </c>
      <c r="H257" s="28">
        <f>IF($J257="","",INDEX('Detalle individual'!$L:$L,$J257))</f>
        <v>1</v>
      </c>
      <c r="J257">
        <f>IFERROR(MATCH(SMALL(Cálculos!$AI$5:$AI$1000,253),Cálculos!$AI$5:$AI$1000,0)+4,"")</f>
        <v>106</v>
      </c>
    </row>
    <row r="258">
      <c r="A258" s="5" t="str">
        <f>IF($J258="","",INDEX('Detalle individual'!$B:$B,$J258))</f>
        <v>EDGAR MARGARITO POZO SHUPAN</v>
      </c>
      <c r="B258" s="5" t="str">
        <f>IF($J258="","",INDEX('Detalle individual'!$A:$A,$J258))</f>
        <v>259</v>
      </c>
      <c r="C258" s="5" t="str">
        <f>IF($J258="","",INDEX('Detalle individual'!$E:$E,$J258))</f>
        <v>TECNICO EN SOPORTE</v>
      </c>
      <c r="D258" s="5" t="str">
        <f>IF($J258="","",INDEX('Detalle individual'!$C:$C,$J258))</f>
        <v>DEPARTAMENTO DE OPERACIONES Y SOPORTE TECNICO</v>
      </c>
      <c r="E258" s="5" t="str">
        <f>IF($J258="","",INDEX('Detalle individual'!$D:$D,$J258))</f>
        <v>Gerencia de Sistemas</v>
      </c>
      <c r="F258" s="23">
        <f>IF($J258="","",INDEX('Detalle individual'!$H:$H,$J258))</f>
        <v>46300.63810185185</v>
      </c>
      <c r="G258" s="28">
        <f>IF($J258="","",INDEX('Detalle individual'!$J:$J,$J258))</f>
        <v>100</v>
      </c>
      <c r="H258" s="28">
        <f>IF($J258="","",INDEX('Detalle individual'!$L:$L,$J258))</f>
        <v>1</v>
      </c>
      <c r="J258">
        <f>IFERROR(MATCH(SMALL(Cálculos!$AI$5:$AI$1000,254),Cálculos!$AI$5:$AI$1000,0)+4,"")</f>
        <v>107</v>
      </c>
    </row>
    <row r="259">
      <c r="A259" s="5" t="str">
        <f>IF($J259="","",INDEX('Detalle individual'!$B:$B,$J259))</f>
        <v>JORGE ALBERTO BARRERA</v>
      </c>
      <c r="B259" s="5" t="str">
        <f>IF($J259="","",INDEX('Detalle individual'!$A:$A,$J259))</f>
        <v>880</v>
      </c>
      <c r="C259" s="5" t="str">
        <f>IF($J259="","",INDEX('Detalle individual'!$E:$E,$J259))</f>
        <v>JEFE DE OPERACIONES Y SOPORTE TECNICO</v>
      </c>
      <c r="D259" s="5" t="str">
        <f>IF($J259="","",INDEX('Detalle individual'!$C:$C,$J259))</f>
        <v>DEPARTAMENTO DE OPERACIONES Y SOPORTE TECNICO</v>
      </c>
      <c r="E259" s="5" t="str">
        <f>IF($J259="","",INDEX('Detalle individual'!$D:$D,$J259))</f>
        <v>Gerencia de Sistemas</v>
      </c>
      <c r="F259" s="23">
        <f>IF($J259="","",INDEX('Detalle individual'!$H:$H,$J259))</f>
        <v>46300.5841087963</v>
      </c>
      <c r="G259" s="28">
        <f>IF($J259="","",INDEX('Detalle individual'!$J:$J,$J259))</f>
        <v>100</v>
      </c>
      <c r="H259" s="28">
        <f>IF($J259="","",INDEX('Detalle individual'!$L:$L,$J259))</f>
        <v>1</v>
      </c>
      <c r="J259">
        <f>IFERROR(MATCH(SMALL(Cálculos!$AI$5:$AI$1000,255),Cálculos!$AI$5:$AI$1000,0)+4,"")</f>
        <v>110</v>
      </c>
    </row>
    <row r="260">
      <c r="A260" s="5" t="str">
        <f>IF($J260="","",INDEX('Detalle individual'!$B:$B,$J260))</f>
        <v>JUAN JOSE LOPEZ ALFARO</v>
      </c>
      <c r="B260" s="5" t="str">
        <f>IF($J260="","",INDEX('Detalle individual'!$A:$A,$J260))</f>
        <v>119</v>
      </c>
      <c r="C260" s="5" t="str">
        <f>IF($J260="","",INDEX('Detalle individual'!$E:$E,$J260))</f>
        <v>OPERADOR DE SISTEMAS</v>
      </c>
      <c r="D260" s="5" t="str">
        <f>IF($J260="","",INDEX('Detalle individual'!$C:$C,$J260))</f>
        <v>DEPARTAMENTO DE OPERACIONES Y SOPORTE TECNICO</v>
      </c>
      <c r="E260" s="5" t="str">
        <f>IF($J260="","",INDEX('Detalle individual'!$D:$D,$J260))</f>
        <v>Gerencia de Sistemas</v>
      </c>
      <c r="F260" s="23">
        <f>IF($J260="","",INDEX('Detalle individual'!$H:$H,$J260))</f>
        <v>46302.441828703704</v>
      </c>
      <c r="G260" s="28">
        <f>IF($J260="","",INDEX('Detalle individual'!$J:$J,$J260))</f>
        <v>100</v>
      </c>
      <c r="H260" s="28">
        <f>IF($J260="","",INDEX('Detalle individual'!$L:$L,$J260))</f>
        <v>1</v>
      </c>
      <c r="J260">
        <f>IFERROR(MATCH(SMALL(Cálculos!$AI$5:$AI$1000,256),Cálculos!$AI$5:$AI$1000,0)+4,"")</f>
        <v>105</v>
      </c>
    </row>
    <row r="261">
      <c r="A261" s="5" t="str">
        <f>IF($J261="","",INDEX('Detalle individual'!$B:$B,$J261))</f>
        <v>JULIO ADOLFO MOLINA ARRIOLA</v>
      </c>
      <c r="B261" s="5" t="str">
        <f>IF($J261="","",INDEX('Detalle individual'!$A:$A,$J261))</f>
        <v>490</v>
      </c>
      <c r="C261" s="5" t="str">
        <f>IF($J261="","",INDEX('Detalle individual'!$E:$E,$J261))</f>
        <v>OPERADOR DE SISTEMAS</v>
      </c>
      <c r="D261" s="5" t="str">
        <f>IF($J261="","",INDEX('Detalle individual'!$C:$C,$J261))</f>
        <v>DEPARTAMENTO DE OPERACIONES Y SOPORTE TECNICO</v>
      </c>
      <c r="E261" s="5" t="str">
        <f>IF($J261="","",INDEX('Detalle individual'!$D:$D,$J261))</f>
        <v>Gerencia de Sistemas</v>
      </c>
      <c r="F261" s="23">
        <f>IF($J261="","",INDEX('Detalle individual'!$H:$H,$J261))</f>
        <v>46301.436527777776</v>
      </c>
      <c r="G261" s="28">
        <f>IF($J261="","",INDEX('Detalle individual'!$J:$J,$J261))</f>
        <v>100</v>
      </c>
      <c r="H261" s="28">
        <f>IF($J261="","",INDEX('Detalle individual'!$L:$L,$J261))</f>
        <v>1</v>
      </c>
      <c r="J261">
        <f>IFERROR(MATCH(SMALL(Cálculos!$AI$5:$AI$1000,257),Cálculos!$AI$5:$AI$1000,0)+4,"")</f>
        <v>109</v>
      </c>
    </row>
    <row r="262">
      <c r="A262" s="5" t="str">
        <f>IF($J262="","",INDEX('Detalle individual'!$B:$B,$J262))</f>
        <v>ALEX VIRGILIO AGUILAR ARIAS</v>
      </c>
      <c r="B262" s="5" t="str">
        <f>IF($J262="","",INDEX('Detalle individual'!$A:$A,$J262))</f>
        <v>878</v>
      </c>
      <c r="C262" s="5" t="str">
        <f>IF($J262="","",INDEX('Detalle individual'!$E:$E,$J262))</f>
        <v>GERENTE DE SISTEMAS</v>
      </c>
      <c r="D262" s="5" t="str">
        <f>IF($J262="","",INDEX('Detalle individual'!$C:$C,$J262))</f>
        <v>GERENCIA DE SISTEMAS</v>
      </c>
      <c r="E262" s="5" t="str">
        <f>IF($J262="","",INDEX('Detalle individual'!$D:$D,$J262))</f>
        <v>Gerencia de Sistemas</v>
      </c>
      <c r="F262" s="23">
        <f>IF($J262="","",INDEX('Detalle individual'!$H:$H,$J262))</f>
        <v>46310.696747685186</v>
      </c>
      <c r="G262" s="28">
        <f>IF($J262="","",INDEX('Detalle individual'!$J:$J,$J262))</f>
        <v>100</v>
      </c>
      <c r="H262" s="28">
        <f>IF($J262="","",INDEX('Detalle individual'!$L:$L,$J262))</f>
        <v>1</v>
      </c>
      <c r="J262">
        <f>IFERROR(MATCH(SMALL(Cálculos!$AI$5:$AI$1000,258),Cálculos!$AI$5:$AI$1000,0)+4,"")</f>
        <v>9</v>
      </c>
    </row>
    <row r="263">
      <c r="A263" s="5" t="str">
        <f>IF($J263="","",INDEX('Detalle individual'!$B:$B,$J263))</f>
        <v>FERMIN ABIEL VIERA LINARES</v>
      </c>
      <c r="B263" s="5" t="str">
        <f>IF($J263="","",INDEX('Detalle individual'!$A:$A,$J263))</f>
        <v>804</v>
      </c>
      <c r="C263" s="5" t="str">
        <f>IF($J263="","",INDEX('Detalle individual'!$E:$E,$J263))</f>
        <v>ANALISTA DE CAMBIOS Y SEGURIDAD</v>
      </c>
      <c r="D263" s="5" t="str">
        <f>IF($J263="","",INDEX('Detalle individual'!$C:$C,$J263))</f>
        <v>GERENCIA DE SISTEMAS</v>
      </c>
      <c r="E263" s="5" t="str">
        <f>IF($J263="","",INDEX('Detalle individual'!$D:$D,$J263))</f>
        <v>Gerencia de Sistemas</v>
      </c>
      <c r="F263" s="23">
        <f>IF($J263="","",INDEX('Detalle individual'!$H:$H,$J263))</f>
        <v>46304.407905092594</v>
      </c>
      <c r="G263" s="28">
        <f>IF($J263="","",INDEX('Detalle individual'!$J:$J,$J263))</f>
        <v>100</v>
      </c>
      <c r="H263" s="28">
        <f>IF($J263="","",INDEX('Detalle individual'!$L:$L,$J263))</f>
        <v>1</v>
      </c>
      <c r="J263">
        <f>IFERROR(MATCH(SMALL(Cálculos!$AI$5:$AI$1000,259),Cálculos!$AI$5:$AI$1000,0)+4,"")</f>
        <v>102</v>
      </c>
    </row>
    <row r="264">
      <c r="A264" s="5" t="str">
        <f>IF($J264="","",INDEX('Detalle individual'!$B:$B,$J264))</f>
        <v>FLOR MARISELA TORRES VELASQUEZ</v>
      </c>
      <c r="B264" s="5" t="str">
        <f>IF($J264="","",INDEX('Detalle individual'!$A:$A,$J264))</f>
        <v>393</v>
      </c>
      <c r="C264" s="5" t="str">
        <f>IF($J264="","",INDEX('Detalle individual'!$E:$E,$J264))</f>
        <v>LIDER DE PROYECTOS TECNOLOGICOS</v>
      </c>
      <c r="D264" s="5" t="str">
        <f>IF($J264="","",INDEX('Detalle individual'!$C:$C,$J264))</f>
        <v>GERENCIA DE SISTEMAS</v>
      </c>
      <c r="E264" s="5" t="str">
        <f>IF($J264="","",INDEX('Detalle individual'!$D:$D,$J264))</f>
        <v>Gerencia de Sistemas</v>
      </c>
      <c r="F264" s="23">
        <f>IF($J264="","",INDEX('Detalle individual'!$H:$H,$J264))</f>
        <v>46307.48341435185</v>
      </c>
      <c r="G264" s="28">
        <f>IF($J264="","",INDEX('Detalle individual'!$J:$J,$J264))</f>
        <v>100</v>
      </c>
      <c r="H264" s="28">
        <f>IF($J264="","",INDEX('Detalle individual'!$L:$L,$J264))</f>
        <v>1</v>
      </c>
      <c r="J264">
        <f>IFERROR(MATCH(SMALL(Cálculos!$AI$5:$AI$1000,260),Cálculos!$AI$5:$AI$1000,0)+4,"")</f>
        <v>101</v>
      </c>
    </row>
    <row r="265">
      <c r="A265" s="5" t="str">
        <f>IF($J265="","",INDEX('Detalle individual'!$B:$B,$J265))</f>
        <v>ISMAEL HUMBERTO GUERRERO FLORES</v>
      </c>
      <c r="B265" s="5" t="str">
        <f>IF($J265="","",INDEX('Detalle individual'!$A:$A,$J265))</f>
        <v>883</v>
      </c>
      <c r="C265" s="5" t="str">
        <f>IF($J265="","",INDEX('Detalle individual'!$E:$E,$J265))</f>
        <v>ADMINISTRADOR DE SEGURIDAD INFORMATICA</v>
      </c>
      <c r="D265" s="5" t="str">
        <f>IF($J265="","",INDEX('Detalle individual'!$C:$C,$J265))</f>
        <v>GERENCIA DE SISTEMAS</v>
      </c>
      <c r="E265" s="5" t="str">
        <f>IF($J265="","",INDEX('Detalle individual'!$D:$D,$J265))</f>
        <v>Gerencia de Sistemas</v>
      </c>
      <c r="F265" s="23">
        <f>IF($J265="","",INDEX('Detalle individual'!$H:$H,$J265))</f>
        <v>46300.58474537037</v>
      </c>
      <c r="G265" s="28">
        <f>IF($J265="","",INDEX('Detalle individual'!$J:$J,$J265))</f>
        <v>95</v>
      </c>
      <c r="H265" s="28">
        <f>IF($J265="","",INDEX('Detalle individual'!$L:$L,$J265))</f>
        <v>1</v>
      </c>
      <c r="J265">
        <f>IFERROR(MATCH(SMALL(Cálculos!$AI$5:$AI$1000,261),Cálculos!$AI$5:$AI$1000,0)+4,"")</f>
        <v>103</v>
      </c>
    </row>
    <row r="266">
      <c r="A266" s="5" t="str">
        <f>IF($J266="","",INDEX('Detalle individual'!$B:$B,$J266))</f>
        <v>HENRRY DANIEL ESCAMILLA ZALDAÑA</v>
      </c>
      <c r="B266" s="5" t="str">
        <f>IF($J266="","",INDEX('Detalle individual'!$A:$A,$J266))</f>
        <v>928</v>
      </c>
      <c r="C266" s="5" t="str">
        <f>IF($J266="","",INDEX('Detalle individual'!$E:$E,$J266))</f>
        <v>JEFE DE ADMINISTRACION DE RIESGOS</v>
      </c>
      <c r="D266" s="5" t="str">
        <f>IF($J266="","",INDEX('Detalle individual'!$C:$C,$J266))</f>
        <v>ADMINISTRACION DE RIESGOS</v>
      </c>
      <c r="E266" s="5" t="str">
        <f>IF($J266="","",INDEX('Detalle individual'!$D:$D,$J266))</f>
        <v>Gerencia General</v>
      </c>
      <c r="F266" s="23">
        <f>IF($J266="","",INDEX('Detalle individual'!$H:$H,$J266))</f>
        <v>46305.39865740741</v>
      </c>
      <c r="G266" s="28">
        <f>IF($J266="","",INDEX('Detalle individual'!$J:$J,$J266))</f>
        <v>100</v>
      </c>
      <c r="H266" s="28">
        <f>IF($J266="","",INDEX('Detalle individual'!$L:$L,$J266))</f>
        <v>1</v>
      </c>
      <c r="J266">
        <f>IFERROR(MATCH(SMALL(Cálculos!$AI$5:$AI$1000,262),Cálculos!$AI$5:$AI$1000,0)+4,"")</f>
        <v>17</v>
      </c>
    </row>
    <row r="267">
      <c r="A267" s="5" t="str">
        <f>IF($J267="","",INDEX('Detalle individual'!$B:$B,$J267))</f>
        <v>MELVIN ENRIQUE PORTILLO VALLE</v>
      </c>
      <c r="B267" s="5" t="str">
        <f>IF($J267="","",INDEX('Detalle individual'!$A:$A,$J267))</f>
        <v>290</v>
      </c>
      <c r="C267" s="5" t="str">
        <f>IF($J267="","",INDEX('Detalle individual'!$E:$E,$J267))</f>
        <v>ANALISTA DE RIESGOS FINANCIEROS</v>
      </c>
      <c r="D267" s="5" t="str">
        <f>IF($J267="","",INDEX('Detalle individual'!$C:$C,$J267))</f>
        <v>ADMINISTRACION DE RIESGOS</v>
      </c>
      <c r="E267" s="5" t="str">
        <f>IF($J267="","",INDEX('Detalle individual'!$D:$D,$J267))</f>
        <v>Gerencia General</v>
      </c>
      <c r="F267" s="23">
        <f>IF($J267="","",INDEX('Detalle individual'!$H:$H,$J267))</f>
        <v>46304.40962962963</v>
      </c>
      <c r="G267" s="28">
        <f>IF($J267="","",INDEX('Detalle individual'!$J:$J,$J267))</f>
        <v>100</v>
      </c>
      <c r="H267" s="28">
        <f>IF($J267="","",INDEX('Detalle individual'!$L:$L,$J267))</f>
        <v>1</v>
      </c>
      <c r="J267">
        <f>IFERROR(MATCH(SMALL(Cálculos!$AI$5:$AI$1000,263),Cálculos!$AI$5:$AI$1000,0)+4,"")</f>
        <v>14</v>
      </c>
    </row>
    <row r="268">
      <c r="A268" s="5" t="str">
        <f>IF($J268="","",INDEX('Detalle individual'!$B:$B,$J268))</f>
        <v>SARA PATRICIA GONZALEZ JIMENEZ</v>
      </c>
      <c r="B268" s="5" t="str">
        <f>IF($J268="","",INDEX('Detalle individual'!$A:$A,$J268))</f>
        <v>408</v>
      </c>
      <c r="C268" s="5" t="str">
        <f>IF($J268="","",INDEX('Detalle individual'!$E:$E,$J268))</f>
        <v>ASISTENTE TECNICO DE RIESGOS</v>
      </c>
      <c r="D268" s="5" t="str">
        <f>IF($J268="","",INDEX('Detalle individual'!$C:$C,$J268))</f>
        <v>ADMINISTRACION DE RIESGOS</v>
      </c>
      <c r="E268" s="5" t="str">
        <f>IF($J268="","",INDEX('Detalle individual'!$D:$D,$J268))</f>
        <v>Gerencia General</v>
      </c>
      <c r="F268" s="23">
        <f>IF($J268="","",INDEX('Detalle individual'!$H:$H,$J268))</f>
        <v>46296.438796296294</v>
      </c>
      <c r="G268" s="28">
        <f>IF($J268="","",INDEX('Detalle individual'!$J:$J,$J268))</f>
        <v>100</v>
      </c>
      <c r="H268" s="28">
        <f>IF($J268="","",INDEX('Detalle individual'!$L:$L,$J268))</f>
        <v>1</v>
      </c>
      <c r="J268">
        <f>IFERROR(MATCH(SMALL(Cálculos!$AI$5:$AI$1000,264),Cálculos!$AI$5:$AI$1000,0)+4,"")</f>
        <v>15</v>
      </c>
    </row>
    <row r="269">
      <c r="A269" s="5" t="str">
        <f>IF($J269="","",INDEX('Detalle individual'!$B:$B,$J269))</f>
        <v>SILVIA IVETH MARTINEZ RAMIREZ</v>
      </c>
      <c r="B269" s="5" t="str">
        <f>IF($J269="","",INDEX('Detalle individual'!$A:$A,$J269))</f>
        <v>433</v>
      </c>
      <c r="C269" s="5" t="str">
        <f>IF($J269="","",INDEX('Detalle individual'!$E:$E,$J269))</f>
        <v>ANALISTA DE RIESGO OPERACIONAL</v>
      </c>
      <c r="D269" s="5" t="str">
        <f>IF($J269="","",INDEX('Detalle individual'!$C:$C,$J269))</f>
        <v>ADMINISTRACION DE RIESGOS</v>
      </c>
      <c r="E269" s="5" t="str">
        <f>IF($J269="","",INDEX('Detalle individual'!$D:$D,$J269))</f>
        <v>Gerencia General</v>
      </c>
      <c r="F269" s="23">
        <f>IF($J269="","",INDEX('Detalle individual'!$H:$H,$J269))</f>
        <v>46300.6309837963</v>
      </c>
      <c r="G269" s="28">
        <f>IF($J269="","",INDEX('Detalle individual'!$J:$J,$J269))</f>
        <v>100</v>
      </c>
      <c r="H269" s="28">
        <f>IF($J269="","",INDEX('Detalle individual'!$L:$L,$J269))</f>
        <v>1</v>
      </c>
      <c r="J269">
        <f>IFERROR(MATCH(SMALL(Cálculos!$AI$5:$AI$1000,265),Cálculos!$AI$5:$AI$1000,0)+4,"")</f>
        <v>16</v>
      </c>
    </row>
    <row r="270">
      <c r="A270" s="5" t="str">
        <f>IF($J270="","",INDEX('Detalle individual'!$B:$B,$J270))</f>
        <v>CLAUDIA CAROLINA HENRIQUEZ VELASCO</v>
      </c>
      <c r="B270" s="5" t="str">
        <f>IF($J270="","",INDEX('Detalle individual'!$A:$A,$J270))</f>
        <v>318</v>
      </c>
      <c r="C270" s="5" t="str">
        <f>IF($J270="","",INDEX('Detalle individual'!$E:$E,$J270))</f>
        <v>JEFE DE PROCESOS</v>
      </c>
      <c r="D270" s="5" t="str">
        <f>IF($J270="","",INDEX('Detalle individual'!$C:$C,$J270))</f>
        <v>DEPARTAMENTO DE PROCESOS</v>
      </c>
      <c r="E270" s="5" t="str">
        <f>IF($J270="","",INDEX('Detalle individual'!$D:$D,$J270))</f>
        <v>Gerencia General</v>
      </c>
      <c r="F270" s="23">
        <f>IF($J270="","",INDEX('Detalle individual'!$H:$H,$J270))</f>
        <v>46296.44149305556</v>
      </c>
      <c r="G270" s="28">
        <f>IF($J270="","",INDEX('Detalle individual'!$J:$J,$J270))</f>
        <v>100</v>
      </c>
      <c r="H270" s="28">
        <f>IF($J270="","",INDEX('Detalle individual'!$L:$L,$J270))</f>
        <v>1</v>
      </c>
      <c r="J270">
        <f>IFERROR(MATCH(SMALL(Cálculos!$AI$5:$AI$1000,266),Cálculos!$AI$5:$AI$1000,0)+4,"")</f>
        <v>18</v>
      </c>
    </row>
    <row r="271">
      <c r="A271" s="5" t="str">
        <f>IF($J271="","",INDEX('Detalle individual'!$B:$B,$J271))</f>
        <v>HECTOR SEBASTIAN LOPEZ GRANADOS</v>
      </c>
      <c r="B271" s="5" t="str">
        <f>IF($J271="","",INDEX('Detalle individual'!$A:$A,$J271))</f>
        <v>932</v>
      </c>
      <c r="C271" s="5" t="str">
        <f>IF($J271="","",INDEX('Detalle individual'!$E:$E,$J271))</f>
        <v>ASISTENTE TECNICO DE PROCESOS</v>
      </c>
      <c r="D271" s="5" t="str">
        <f>IF($J271="","",INDEX('Detalle individual'!$C:$C,$J271))</f>
        <v>DEPARTAMENTO DE PROCESOS</v>
      </c>
      <c r="E271" s="5" t="str">
        <f>IF($J271="","",INDEX('Detalle individual'!$D:$D,$J271))</f>
        <v>Gerencia General</v>
      </c>
      <c r="F271" s="23">
        <f>IF($J271="","",INDEX('Detalle individual'!$H:$H,$J271))</f>
        <v>46296.44143518519</v>
      </c>
      <c r="G271" s="28">
        <f>IF($J271="","",INDEX('Detalle individual'!$J:$J,$J271))</f>
        <v>100</v>
      </c>
      <c r="H271" s="28">
        <f>IF($J271="","",INDEX('Detalle individual'!$L:$L,$J271))</f>
        <v>1</v>
      </c>
      <c r="J271">
        <f>IFERROR(MATCH(SMALL(Cálculos!$AI$5:$AI$1000,267),Cálculos!$AI$5:$AI$1000,0)+4,"")</f>
        <v>20</v>
      </c>
    </row>
    <row r="272">
      <c r="A272" s="5" t="str">
        <f>IF($J272="","",INDEX('Detalle individual'!$B:$B,$J272))</f>
        <v>MAURICIO EDGARDO MIRANDA CAMPOS</v>
      </c>
      <c r="B272" s="5" t="str">
        <f>IF($J272="","",INDEX('Detalle individual'!$A:$A,$J272))</f>
        <v>817</v>
      </c>
      <c r="C272" s="5" t="str">
        <f>IF($J272="","",INDEX('Detalle individual'!$E:$E,$J272))</f>
        <v>ANALISTA DE PROCESOS</v>
      </c>
      <c r="D272" s="5" t="str">
        <f>IF($J272="","",INDEX('Detalle individual'!$C:$C,$J272))</f>
        <v>DEPARTAMENTO DE PROCESOS</v>
      </c>
      <c r="E272" s="5" t="str">
        <f>IF($J272="","",INDEX('Detalle individual'!$D:$D,$J272))</f>
        <v>Gerencia General</v>
      </c>
      <c r="F272" s="23">
        <f>IF($J272="","",INDEX('Detalle individual'!$H:$H,$J272))</f>
        <v>46296.44137731481</v>
      </c>
      <c r="G272" s="28">
        <f>IF($J272="","",INDEX('Detalle individual'!$J:$J,$J272))</f>
        <v>100</v>
      </c>
      <c r="H272" s="28">
        <f>IF($J272="","",INDEX('Detalle individual'!$L:$L,$J272))</f>
        <v>1</v>
      </c>
      <c r="J272">
        <f>IFERROR(MATCH(SMALL(Cálculos!$AI$5:$AI$1000,268),Cálculos!$AI$5:$AI$1000,0)+4,"")</f>
        <v>19</v>
      </c>
    </row>
    <row r="273">
      <c r="A273" s="5" t="str">
        <f>IF($J273="","",INDEX('Detalle individual'!$B:$B,$J273))</f>
        <v>ANTONIA SARAI BELTRAN CARBALLO</v>
      </c>
      <c r="B273" s="5" t="str">
        <f>IF($J273="","",INDEX('Detalle individual'!$A:$A,$J273))</f>
        <v>17</v>
      </c>
      <c r="C273" s="5" t="str">
        <f>IF($J273="","",INDEX('Detalle individual'!$E:$E,$J273))</f>
        <v>ASISTENTE ADMINISTRATIVO DE GERENCIA GENERAL</v>
      </c>
      <c r="D273" s="5" t="str">
        <f>IF($J273="","",INDEX('Detalle individual'!$C:$C,$J273))</f>
        <v>GERENCIA GENERAL</v>
      </c>
      <c r="E273" s="5" t="str">
        <f>IF($J273="","",INDEX('Detalle individual'!$D:$D,$J273))</f>
        <v>Gerencia General</v>
      </c>
      <c r="F273" s="23">
        <f>IF($J273="","",INDEX('Detalle individual'!$H:$H,$J273))</f>
        <v>46305.40980324074</v>
      </c>
      <c r="G273" s="28">
        <f>IF($J273="","",INDEX('Detalle individual'!$J:$J,$J273))</f>
        <v>100</v>
      </c>
      <c r="H273" s="28">
        <f>IF($J273="","",INDEX('Detalle individual'!$L:$L,$J273))</f>
        <v>1</v>
      </c>
      <c r="J273">
        <f>IFERROR(MATCH(SMALL(Cálculos!$AI$5:$AI$1000,269),Cálculos!$AI$5:$AI$1000,0)+4,"")</f>
        <v>13</v>
      </c>
    </row>
    <row r="274">
      <c r="A274" s="5" t="str">
        <f>IF($J274="","",INDEX('Detalle individual'!$B:$B,$J274))</f>
        <v>NELSON ULISES CAMPOS FLORES</v>
      </c>
      <c r="B274" s="5" t="str">
        <f>IF($J274="","",INDEX('Detalle individual'!$A:$A,$J274))</f>
        <v>977</v>
      </c>
      <c r="C274" s="5" t="str">
        <f>IF($J274="","",INDEX('Detalle individual'!$E:$E,$J274))</f>
        <v>GERENTE GENERAL</v>
      </c>
      <c r="D274" s="5" t="str">
        <f>IF($J274="","",INDEX('Detalle individual'!$C:$C,$J274))</f>
        <v>GERENCIA GENERAL</v>
      </c>
      <c r="E274" s="5" t="str">
        <f>IF($J274="","",INDEX('Detalle individual'!$D:$D,$J274))</f>
        <v>Gerencia General</v>
      </c>
      <c r="F274" s="23" t="str">
        <f>IF($J274="","",INDEX('Detalle individual'!$H:$H,$J274))</f>
        <v/>
      </c>
      <c r="G274" s="28" t="str">
        <f>IF($J274="","",INDEX('Detalle individual'!$J:$J,$J274))</f>
        <v/>
      </c>
      <c r="H274" s="28">
        <f>IF($J274="","",INDEX('Detalle individual'!$L:$L,$J274))</f>
        <v>1</v>
      </c>
      <c r="J274">
        <f>IFERROR(MATCH(SMALL(Cálculos!$AI$5:$AI$1000,270),Cálculos!$AI$5:$AI$1000,0)+4,"")</f>
        <v>5</v>
      </c>
    </row>
    <row r="275">
      <c r="A275" s="5" t="str">
        <f>IF($J275="","",INDEX('Detalle individual'!$B:$B,$J275))</f>
        <v>JENNIFER GEORGINA ALVARADO HERNANDEZ</v>
      </c>
      <c r="B275" s="5" t="str">
        <f>IF($J275="","",INDEX('Detalle individual'!$A:$A,$J275))</f>
        <v>907</v>
      </c>
      <c r="C275" s="5" t="str">
        <f>IF($J275="","",INDEX('Detalle individual'!$E:$E,$J275))</f>
        <v>ANALISTA DE MONITOREO DEL FRAUDE DIGITAL</v>
      </c>
      <c r="D275" s="5" t="str">
        <f>IF($J275="","",INDEX('Detalle individual'!$C:$C,$J275))</f>
        <v>OFICIALIA DE SEGURIDAD DE LA INFORMACION</v>
      </c>
      <c r="E275" s="5" t="str">
        <f>IF($J275="","",INDEX('Detalle individual'!$D:$D,$J275))</f>
        <v>Gerencia General</v>
      </c>
      <c r="F275" s="23">
        <f>IF($J275="","",INDEX('Detalle individual'!$H:$H,$J275))</f>
        <v>46296.44850694444</v>
      </c>
      <c r="G275" s="28">
        <f>IF($J275="","",INDEX('Detalle individual'!$J:$J,$J275))</f>
        <v>85</v>
      </c>
      <c r="H275" s="28">
        <f>IF($J275="","",INDEX('Detalle individual'!$L:$L,$J275))</f>
        <v>1</v>
      </c>
      <c r="J275">
        <f>IFERROR(MATCH(SMALL(Cálculos!$AI$5:$AI$1000,271),Cálculos!$AI$5:$AI$1000,0)+4,"")</f>
        <v>22</v>
      </c>
    </row>
    <row r="276">
      <c r="A276" s="5" t="str">
        <f>IF($J276="","",INDEX('Detalle individual'!$B:$B,$J276))</f>
        <v>MARIA AZUCENA BONILLA RIVERA</v>
      </c>
      <c r="B276" s="5" t="str">
        <f>IF($J276="","",INDEX('Detalle individual'!$A:$A,$J276))</f>
        <v>710</v>
      </c>
      <c r="C276" s="5" t="str">
        <f>IF($J276="","",INDEX('Detalle individual'!$E:$E,$J276))</f>
        <v>OFICIAL DE SEGURIDAD DE LA INFORMACION</v>
      </c>
      <c r="D276" s="5" t="str">
        <f>IF($J276="","",INDEX('Detalle individual'!$C:$C,$J276))</f>
        <v>OFICIALIA DE SEGURIDAD DE LA INFORMACION</v>
      </c>
      <c r="E276" s="5" t="str">
        <f>IF($J276="","",INDEX('Detalle individual'!$D:$D,$J276))</f>
        <v>Gerencia General</v>
      </c>
      <c r="F276" s="23">
        <f>IF($J276="","",INDEX('Detalle individual'!$H:$H,$J276))</f>
        <v>46296.448969907404</v>
      </c>
      <c r="G276" s="28">
        <f>IF($J276="","",INDEX('Detalle individual'!$J:$J,$J276))</f>
        <v>100</v>
      </c>
      <c r="H276" s="28">
        <f>IF($J276="","",INDEX('Detalle individual'!$L:$L,$J276))</f>
        <v>1</v>
      </c>
      <c r="J276">
        <f>IFERROR(MATCH(SMALL(Cálculos!$AI$5:$AI$1000,272),Cálculos!$AI$5:$AI$1000,0)+4,"")</f>
        <v>21</v>
      </c>
    </row>
    <row r="277">
      <c r="A277" s="5" t="str">
        <f>IF($J277="","",INDEX('Detalle individual'!$B:$B,$J277))</f>
        <v>MARVIN ALONSO FRANCO RAMIREZ</v>
      </c>
      <c r="B277" s="5" t="str">
        <f>IF($J277="","",INDEX('Detalle individual'!$A:$A,$J277))</f>
        <v>918</v>
      </c>
      <c r="C277" s="5" t="str">
        <f>IF($J277="","",INDEX('Detalle individual'!$E:$E,$J277))</f>
        <v>ANALISTA DE SEGURIDAD DE LA INFORMACION</v>
      </c>
      <c r="D277" s="5" t="str">
        <f>IF($J277="","",INDEX('Detalle individual'!$C:$C,$J277))</f>
        <v>OFICIALIA DE SEGURIDAD DE LA INFORMACION</v>
      </c>
      <c r="E277" s="5" t="str">
        <f>IF($J277="","",INDEX('Detalle individual'!$D:$D,$J277))</f>
        <v>Gerencia General</v>
      </c>
      <c r="F277" s="23">
        <f>IF($J277="","",INDEX('Detalle individual'!$H:$H,$J277))</f>
        <v>46296.44851851852</v>
      </c>
      <c r="G277" s="28">
        <f>IF($J277="","",INDEX('Detalle individual'!$J:$J,$J277))</f>
        <v>100</v>
      </c>
      <c r="H277" s="28">
        <f>IF($J277="","",INDEX('Detalle individual'!$L:$L,$J277))</f>
        <v>1</v>
      </c>
      <c r="J277">
        <f>IFERROR(MATCH(SMALL(Cálculos!$AI$5:$AI$1000,273),Cálculos!$AI$5:$AI$1000,0)+4,"")</f>
        <v>23</v>
      </c>
    </row>
    <row r="278">
      <c r="A278" s="5" t="str">
        <f>IF($J278="","",INDEX('Detalle individual'!$B:$B,$J278))</f>
        <v>VALERIA MICHELLE QUINTANILLA FLORES</v>
      </c>
      <c r="B278" s="5" t="str">
        <f>IF($J278="","",INDEX('Detalle individual'!$A:$A,$J278))</f>
        <v>950</v>
      </c>
      <c r="C278" s="5" t="str">
        <f>IF($J278="","",INDEX('Detalle individual'!$E:$E,$J278))</f>
        <v>ANALISTA TECNICO DE PROTECCION DE DATOS</v>
      </c>
      <c r="D278" s="5" t="str">
        <f>IF($J278="","",INDEX('Detalle individual'!$C:$C,$J278))</f>
        <v>OFICIALIA DE SEGURIDAD DE LA INFORMACION</v>
      </c>
      <c r="E278" s="5" t="str">
        <f>IF($J278="","",INDEX('Detalle individual'!$D:$D,$J278))</f>
        <v>Gerencia General</v>
      </c>
      <c r="F278" s="23">
        <f>IF($J278="","",INDEX('Detalle individual'!$H:$H,$J278))</f>
        <v>46296.44909722222</v>
      </c>
      <c r="G278" s="28">
        <f>IF($J278="","",INDEX('Detalle individual'!$J:$J,$J278))</f>
        <v>100</v>
      </c>
      <c r="H278" s="28">
        <f>IF($J278="","",INDEX('Detalle individual'!$L:$L,$J278))</f>
        <v>1</v>
      </c>
      <c r="J278">
        <f>IFERROR(MATCH(SMALL(Cálculos!$AI$5:$AI$1000,274),Cálculos!$AI$5:$AI$1000,0)+4,"")</f>
        <v>24</v>
      </c>
    </row>
    <row r="279">
      <c r="A279" s="5" t="str">
        <f>IF($J279="","",INDEX('Detalle individual'!$B:$B,$J279))</f>
        <v>ALEJANDRA MARIA GONZALEZ BENAVIDES</v>
      </c>
      <c r="B279" s="5" t="str">
        <f>IF($J279="","",INDEX('Detalle individual'!$A:$A,$J279))</f>
        <v>893</v>
      </c>
      <c r="C279" s="5" t="str">
        <f>IF($J279="","",INDEX('Detalle individual'!$E:$E,$J279))</f>
        <v>AUXILIAR JURIDICO JUDICIAL</v>
      </c>
      <c r="D279" s="5" t="str">
        <f>IF($J279="","",INDEX('Detalle individual'!$C:$C,$J279))</f>
        <v>DEPARTAMENTO LEGAL</v>
      </c>
      <c r="E279" s="5" t="str">
        <f>IF($J279="","",INDEX('Detalle individual'!$D:$D,$J279))</f>
        <v>Gerencia Legal y Cumplimiento Normativo</v>
      </c>
      <c r="F279" s="23">
        <f>IF($J279="","",INDEX('Detalle individual'!$H:$H,$J279))</f>
        <v>46304.703680555554</v>
      </c>
      <c r="G279" s="28">
        <f>IF($J279="","",INDEX('Detalle individual'!$J:$J,$J279))</f>
        <v>100</v>
      </c>
      <c r="H279" s="28">
        <f>IF($J279="","",INDEX('Detalle individual'!$L:$L,$J279))</f>
        <v>1</v>
      </c>
      <c r="J279">
        <f>IFERROR(MATCH(SMALL(Cálculos!$AI$5:$AI$1000,275),Cálculos!$AI$5:$AI$1000,0)+4,"")</f>
        <v>293</v>
      </c>
    </row>
    <row r="280">
      <c r="A280" s="5" t="str">
        <f>IF($J280="","",INDEX('Detalle individual'!$B:$B,$J280))</f>
        <v>ANDREA RAQUEL MONTOYA ALARCON</v>
      </c>
      <c r="B280" s="5" t="str">
        <f>IF($J280="","",INDEX('Detalle individual'!$A:$A,$J280))</f>
        <v>814</v>
      </c>
      <c r="C280" s="5" t="str">
        <f>IF($J280="","",INDEX('Detalle individual'!$E:$E,$J280))</f>
        <v>AUXILIAR JURIDICO DE ESCRITURACION</v>
      </c>
      <c r="D280" s="5" t="str">
        <f>IF($J280="","",INDEX('Detalle individual'!$C:$C,$J280))</f>
        <v>DEPARTAMENTO LEGAL</v>
      </c>
      <c r="E280" s="5" t="str">
        <f>IF($J280="","",INDEX('Detalle individual'!$D:$D,$J280))</f>
        <v>Gerencia Legal y Cumplimiento Normativo</v>
      </c>
      <c r="F280" s="23">
        <f>IF($J280="","",INDEX('Detalle individual'!$H:$H,$J280))</f>
        <v>46307.421319444446</v>
      </c>
      <c r="G280" s="28">
        <f>IF($J280="","",INDEX('Detalle individual'!$J:$J,$J280))</f>
        <v>100</v>
      </c>
      <c r="H280" s="28">
        <f>IF($J280="","",INDEX('Detalle individual'!$L:$L,$J280))</f>
        <v>1</v>
      </c>
      <c r="J280">
        <f>IFERROR(MATCH(SMALL(Cálculos!$AI$5:$AI$1000,276),Cálculos!$AI$5:$AI$1000,0)+4,"")</f>
        <v>290</v>
      </c>
    </row>
    <row r="281">
      <c r="A281" s="5" t="str">
        <f>IF($J281="","",INDEX('Detalle individual'!$B:$B,$J281))</f>
        <v>CARLOS RENE CASTILLO GAMEZ</v>
      </c>
      <c r="B281" s="5" t="str">
        <f>IF($J281="","",INDEX('Detalle individual'!$A:$A,$J281))</f>
        <v>592</v>
      </c>
      <c r="C281" s="5" t="str">
        <f>IF($J281="","",INDEX('Detalle individual'!$E:$E,$J281))</f>
        <v>ASISTENTE TECNICO LEGAL</v>
      </c>
      <c r="D281" s="5" t="str">
        <f>IF($J281="","",INDEX('Detalle individual'!$C:$C,$J281))</f>
        <v>DEPARTAMENTO LEGAL</v>
      </c>
      <c r="E281" s="5" t="str">
        <f>IF($J281="","",INDEX('Detalle individual'!$D:$D,$J281))</f>
        <v>Gerencia Legal y Cumplimiento Normativo</v>
      </c>
      <c r="F281" s="23">
        <f>IF($J281="","",INDEX('Detalle individual'!$H:$H,$J281))</f>
        <v>46308.62107638889</v>
      </c>
      <c r="G281" s="28">
        <f>IF($J281="","",INDEX('Detalle individual'!$J:$J,$J281))</f>
        <v>100</v>
      </c>
      <c r="H281" s="28">
        <f>IF($J281="","",INDEX('Detalle individual'!$L:$L,$J281))</f>
        <v>1</v>
      </c>
      <c r="J281">
        <f>IFERROR(MATCH(SMALL(Cálculos!$AI$5:$AI$1000,277),Cálculos!$AI$5:$AI$1000,0)+4,"")</f>
        <v>289</v>
      </c>
    </row>
    <row r="282">
      <c r="A282" s="5" t="str">
        <f>IF($J282="","",INDEX('Detalle individual'!$B:$B,$J282))</f>
        <v>CHRISTIAN ENRIQUE CAMPOS PRIVADO</v>
      </c>
      <c r="B282" s="5" t="str">
        <f>IF($J282="","",INDEX('Detalle individual'!$A:$A,$J282))</f>
        <v>905</v>
      </c>
      <c r="C282" s="5" t="str">
        <f>IF($J282="","",INDEX('Detalle individual'!$E:$E,$J282))</f>
        <v>ASISTENTE TECNICO LEGAL</v>
      </c>
      <c r="D282" s="5" t="str">
        <f>IF($J282="","",INDEX('Detalle individual'!$C:$C,$J282))</f>
        <v>DEPARTAMENTO LEGAL</v>
      </c>
      <c r="E282" s="5" t="str">
        <f>IF($J282="","",INDEX('Detalle individual'!$D:$D,$J282))</f>
        <v>Gerencia Legal y Cumplimiento Normativo</v>
      </c>
      <c r="F282" s="23">
        <f>IF($J282="","",INDEX('Detalle individual'!$H:$H,$J282))</f>
        <v>46307.645</v>
      </c>
      <c r="G282" s="28">
        <f>IF($J282="","",INDEX('Detalle individual'!$J:$J,$J282))</f>
        <v>100</v>
      </c>
      <c r="H282" s="28">
        <f>IF($J282="","",INDEX('Detalle individual'!$L:$L,$J282))</f>
        <v>1</v>
      </c>
      <c r="J282">
        <f>IFERROR(MATCH(SMALL(Cálculos!$AI$5:$AI$1000,278),Cálculos!$AI$5:$AI$1000,0)+4,"")</f>
        <v>294</v>
      </c>
    </row>
    <row r="283">
      <c r="A283" s="5" t="str">
        <f>IF($J283="","",INDEX('Detalle individual'!$B:$B,$J283))</f>
        <v>DANIELA MARIA FUENTES MEDINA</v>
      </c>
      <c r="B283" s="5" t="str">
        <f>IF($J283="","",INDEX('Detalle individual'!$A:$A,$J283))</f>
        <v>843</v>
      </c>
      <c r="C283" s="5" t="str">
        <f>IF($J283="","",INDEX('Detalle individual'!$E:$E,$J283))</f>
        <v>AUXILIAR JURIDICO DE CONTRATACION</v>
      </c>
      <c r="D283" s="5" t="str">
        <f>IF($J283="","",INDEX('Detalle individual'!$C:$C,$J283))</f>
        <v>DEPARTAMENTO LEGAL</v>
      </c>
      <c r="E283" s="5" t="str">
        <f>IF($J283="","",INDEX('Detalle individual'!$D:$D,$J283))</f>
        <v>Gerencia Legal y Cumplimiento Normativo</v>
      </c>
      <c r="F283" s="23">
        <f>IF($J283="","",INDEX('Detalle individual'!$H:$H,$J283))</f>
        <v>46307.39480324074</v>
      </c>
      <c r="G283" s="28">
        <f>IF($J283="","",INDEX('Detalle individual'!$J:$J,$J283))</f>
        <v>100</v>
      </c>
      <c r="H283" s="28">
        <f>IF($J283="","",INDEX('Detalle individual'!$L:$L,$J283))</f>
        <v>1</v>
      </c>
      <c r="J283">
        <f>IFERROR(MATCH(SMALL(Cálculos!$AI$5:$AI$1000,279),Cálculos!$AI$5:$AI$1000,0)+4,"")</f>
        <v>292</v>
      </c>
    </row>
    <row r="284">
      <c r="A284" s="5" t="str">
        <f>IF($J284="","",INDEX('Detalle individual'!$B:$B,$J284))</f>
        <v>GABRIELA LOURDES AREVALO SANCHEZ</v>
      </c>
      <c r="B284" s="5" t="str">
        <f>IF($J284="","",INDEX('Detalle individual'!$A:$A,$J284))</f>
        <v>929</v>
      </c>
      <c r="C284" s="5" t="str">
        <f>IF($J284="","",INDEX('Detalle individual'!$E:$E,$J284))</f>
        <v>AUXILIAR JURIDICO DE CONTRATACION</v>
      </c>
      <c r="D284" s="5" t="str">
        <f>IF($J284="","",INDEX('Detalle individual'!$C:$C,$J284))</f>
        <v>DEPARTAMENTO LEGAL</v>
      </c>
      <c r="E284" s="5" t="str">
        <f>IF($J284="","",INDEX('Detalle individual'!$D:$D,$J284))</f>
        <v>Gerencia Legal y Cumplimiento Normativo</v>
      </c>
      <c r="F284" s="23">
        <f>IF($J284="","",INDEX('Detalle individual'!$H:$H,$J284))</f>
        <v>46300.628483796296</v>
      </c>
      <c r="G284" s="28">
        <f>IF($J284="","",INDEX('Detalle individual'!$J:$J,$J284))</f>
        <v>90</v>
      </c>
      <c r="H284" s="28">
        <f>IF($J284="","",INDEX('Detalle individual'!$L:$L,$J284))</f>
        <v>1</v>
      </c>
      <c r="J284">
        <f>IFERROR(MATCH(SMALL(Cálculos!$AI$5:$AI$1000,280),Cálculos!$AI$5:$AI$1000,0)+4,"")</f>
        <v>295</v>
      </c>
    </row>
    <row r="285">
      <c r="A285" s="5" t="str">
        <f>IF($J285="","",INDEX('Detalle individual'!$B:$B,$J285))</f>
        <v>JUAN JOSE CAÑAS COMAYAGUA</v>
      </c>
      <c r="B285" s="5" t="str">
        <f>IF($J285="","",INDEX('Detalle individual'!$A:$A,$J285))</f>
        <v>442</v>
      </c>
      <c r="C285" s="5" t="str">
        <f>IF($J285="","",INDEX('Detalle individual'!$E:$E,$J285))</f>
        <v>JEFE DE DEPARTAMENTO LEGAL</v>
      </c>
      <c r="D285" s="5" t="str">
        <f>IF($J285="","",INDEX('Detalle individual'!$C:$C,$J285))</f>
        <v>DEPARTAMENTO LEGAL</v>
      </c>
      <c r="E285" s="5" t="str">
        <f>IF($J285="","",INDEX('Detalle individual'!$D:$D,$J285))</f>
        <v>Gerencia Legal y Cumplimiento Normativo</v>
      </c>
      <c r="F285" s="23">
        <f>IF($J285="","",INDEX('Detalle individual'!$H:$H,$J285))</f>
        <v>46306.60649305556</v>
      </c>
      <c r="G285" s="28">
        <f>IF($J285="","",INDEX('Detalle individual'!$J:$J,$J285))</f>
        <v>100</v>
      </c>
      <c r="H285" s="28">
        <f>IF($J285="","",INDEX('Detalle individual'!$L:$L,$J285))</f>
        <v>1</v>
      </c>
      <c r="J285">
        <f>IFERROR(MATCH(SMALL(Cálculos!$AI$5:$AI$1000,281),Cálculos!$AI$5:$AI$1000,0)+4,"")</f>
        <v>288</v>
      </c>
    </row>
    <row r="286">
      <c r="A286" s="5" t="str">
        <f>IF($J286="","",INDEX('Detalle individual'!$B:$B,$J286))</f>
        <v>NICOLLE ALEXANDRA MARINERO GALLARDO</v>
      </c>
      <c r="B286" s="5" t="str">
        <f>IF($J286="","",INDEX('Detalle individual'!$A:$A,$J286))</f>
        <v>831</v>
      </c>
      <c r="C286" s="5" t="str">
        <f>IF($J286="","",INDEX('Detalle individual'!$E:$E,$J286))</f>
        <v>AUXILIAR JURIDICO NOTARIAL</v>
      </c>
      <c r="D286" s="5" t="str">
        <f>IF($J286="","",INDEX('Detalle individual'!$C:$C,$J286))</f>
        <v>DEPARTAMENTO LEGAL</v>
      </c>
      <c r="E286" s="5" t="str">
        <f>IF($J286="","",INDEX('Detalle individual'!$D:$D,$J286))</f>
        <v>Gerencia Legal y Cumplimiento Normativo</v>
      </c>
      <c r="F286" s="23">
        <f>IF($J286="","",INDEX('Detalle individual'!$H:$H,$J286))</f>
        <v>46307.4125462963</v>
      </c>
      <c r="G286" s="28">
        <f>IF($J286="","",INDEX('Detalle individual'!$J:$J,$J286))</f>
        <v>90</v>
      </c>
      <c r="H286" s="28">
        <f>IF($J286="","",INDEX('Detalle individual'!$L:$L,$J286))</f>
        <v>1</v>
      </c>
      <c r="J286">
        <f>IFERROR(MATCH(SMALL(Cálculos!$AI$5:$AI$1000,282),Cálculos!$AI$5:$AI$1000,0)+4,"")</f>
        <v>291</v>
      </c>
    </row>
    <row r="287">
      <c r="A287" s="5" t="str">
        <f>IF($J287="","",INDEX('Detalle individual'!$B:$B,$J287))</f>
        <v>ANDREA VICTORIA MAYORGA RODRIGUEZ</v>
      </c>
      <c r="B287" s="5" t="str">
        <f>IF($J287="","",INDEX('Detalle individual'!$A:$A,$J287))</f>
        <v>570</v>
      </c>
      <c r="C287" s="5" t="str">
        <f>IF($J287="","",INDEX('Detalle individual'!$E:$E,$J287))</f>
        <v>GERENTE LEGAL Y DE CUMPLIMIENTO NORMATIVO</v>
      </c>
      <c r="D287" s="5" t="str">
        <f>IF($J287="","",INDEX('Detalle individual'!$C:$C,$J287))</f>
        <v>GERENCIA LEGAL Y DE CUMPLIMIENTO NORMATIVO</v>
      </c>
      <c r="E287" s="5" t="str">
        <f>IF($J287="","",INDEX('Detalle individual'!$D:$D,$J287))</f>
        <v>Gerencia Legal y Cumplimiento Normativo</v>
      </c>
      <c r="F287" s="23">
        <f>IF($J287="","",INDEX('Detalle individual'!$H:$H,$J287))</f>
        <v>46304.69452546296</v>
      </c>
      <c r="G287" s="28">
        <f>IF($J287="","",INDEX('Detalle individual'!$J:$J,$J287))</f>
        <v>100</v>
      </c>
      <c r="H287" s="28">
        <f>IF($J287="","",INDEX('Detalle individual'!$L:$L,$J287))</f>
        <v>1</v>
      </c>
      <c r="J287">
        <f>IFERROR(MATCH(SMALL(Cálculos!$AI$5:$AI$1000,283),Cálculos!$AI$5:$AI$1000,0)+4,"")</f>
        <v>12</v>
      </c>
    </row>
    <row r="288">
      <c r="A288" s="5" t="str">
        <f>IF($J288="","",INDEX('Detalle individual'!$B:$B,$J288))</f>
        <v/>
      </c>
      <c r="B288" s="5" t="str">
        <f>IF($J288="","",INDEX('Detalle individual'!$A:$A,$J288))</f>
        <v/>
      </c>
      <c r="C288" s="5" t="str">
        <f>IF($J288="","",INDEX('Detalle individual'!$E:$E,$J288))</f>
        <v/>
      </c>
      <c r="D288" s="5" t="str">
        <f>IF($J288="","",INDEX('Detalle individual'!$C:$C,$J288))</f>
        <v/>
      </c>
      <c r="E288" s="5" t="str">
        <f>IF($J288="","",INDEX('Detalle individual'!$D:$D,$J288))</f>
        <v/>
      </c>
      <c r="F288" s="23" t="str">
        <f>IF($J288="","",INDEX('Detalle individual'!$H:$H,$J288))</f>
        <v/>
      </c>
      <c r="G288" s="28" t="str">
        <f>IF($J288="","",INDEX('Detalle individual'!$J:$J,$J288))</f>
        <v/>
      </c>
      <c r="H288" s="28" t="str">
        <f>IF($J288="","",INDEX('Detalle individual'!$L:$L,$J288))</f>
        <v/>
      </c>
      <c r="J288" t="str">
        <f>IFERROR(MATCH(SMALL(Cálculos!$AI$5:$AI$1000,284),Cálculos!$AI$5:$AI$1000,0)+4,"")</f>
        <v/>
      </c>
    </row>
    <row r="289">
      <c r="A289" s="5" t="str">
        <f>IF($J289="","",INDEX('Detalle individual'!$B:$B,$J289))</f>
        <v/>
      </c>
      <c r="B289" s="5" t="str">
        <f>IF($J289="","",INDEX('Detalle individual'!$A:$A,$J289))</f>
        <v/>
      </c>
      <c r="C289" s="5" t="str">
        <f>IF($J289="","",INDEX('Detalle individual'!$E:$E,$J289))</f>
        <v/>
      </c>
      <c r="D289" s="5" t="str">
        <f>IF($J289="","",INDEX('Detalle individual'!$C:$C,$J289))</f>
        <v/>
      </c>
      <c r="E289" s="5" t="str">
        <f>IF($J289="","",INDEX('Detalle individual'!$D:$D,$J289))</f>
        <v/>
      </c>
      <c r="F289" s="23" t="str">
        <f>IF($J289="","",INDEX('Detalle individual'!$H:$H,$J289))</f>
        <v/>
      </c>
      <c r="G289" s="28" t="str">
        <f>IF($J289="","",INDEX('Detalle individual'!$J:$J,$J289))</f>
        <v/>
      </c>
      <c r="H289" s="28" t="str">
        <f>IF($J289="","",INDEX('Detalle individual'!$L:$L,$J289))</f>
        <v/>
      </c>
      <c r="J289" t="str">
        <f>IFERROR(MATCH(SMALL(Cálculos!$AI$5:$AI$1000,285),Cálculos!$AI$5:$AI$1000,0)+4,"")</f>
        <v/>
      </c>
    </row>
    <row r="290">
      <c r="A290" s="5" t="str">
        <f>IF($J290="","",INDEX('Detalle individual'!$B:$B,$J290))</f>
        <v/>
      </c>
      <c r="B290" s="5" t="str">
        <f>IF($J290="","",INDEX('Detalle individual'!$A:$A,$J290))</f>
        <v/>
      </c>
      <c r="C290" s="5" t="str">
        <f>IF($J290="","",INDEX('Detalle individual'!$E:$E,$J290))</f>
        <v/>
      </c>
      <c r="D290" s="5" t="str">
        <f>IF($J290="","",INDEX('Detalle individual'!$C:$C,$J290))</f>
        <v/>
      </c>
      <c r="E290" s="5" t="str">
        <f>IF($J290="","",INDEX('Detalle individual'!$D:$D,$J290))</f>
        <v/>
      </c>
      <c r="F290" s="23" t="str">
        <f>IF($J290="","",INDEX('Detalle individual'!$H:$H,$J290))</f>
        <v/>
      </c>
      <c r="G290" s="28" t="str">
        <f>IF($J290="","",INDEX('Detalle individual'!$J:$J,$J290))</f>
        <v/>
      </c>
      <c r="H290" s="28" t="str">
        <f>IF($J290="","",INDEX('Detalle individual'!$L:$L,$J290))</f>
        <v/>
      </c>
      <c r="J290" t="str">
        <f>IFERROR(MATCH(SMALL(Cálculos!$AI$5:$AI$1000,286),Cálculos!$AI$5:$AI$1000,0)+4,"")</f>
        <v/>
      </c>
    </row>
    <row r="291">
      <c r="A291" s="5" t="str">
        <f>IF($J291="","",INDEX('Detalle individual'!$B:$B,$J291))</f>
        <v/>
      </c>
      <c r="B291" s="5" t="str">
        <f>IF($J291="","",INDEX('Detalle individual'!$A:$A,$J291))</f>
        <v/>
      </c>
      <c r="C291" s="5" t="str">
        <f>IF($J291="","",INDEX('Detalle individual'!$E:$E,$J291))</f>
        <v/>
      </c>
      <c r="D291" s="5" t="str">
        <f>IF($J291="","",INDEX('Detalle individual'!$C:$C,$J291))</f>
        <v/>
      </c>
      <c r="E291" s="5" t="str">
        <f>IF($J291="","",INDEX('Detalle individual'!$D:$D,$J291))</f>
        <v/>
      </c>
      <c r="F291" s="23" t="str">
        <f>IF($J291="","",INDEX('Detalle individual'!$H:$H,$J291))</f>
        <v/>
      </c>
      <c r="G291" s="28" t="str">
        <f>IF($J291="","",INDEX('Detalle individual'!$J:$J,$J291))</f>
        <v/>
      </c>
      <c r="H291" s="28" t="str">
        <f>IF($J291="","",INDEX('Detalle individual'!$L:$L,$J291))</f>
        <v/>
      </c>
      <c r="J291" t="str">
        <f>IFERROR(MATCH(SMALL(Cálculos!$AI$5:$AI$1000,287),Cálculos!$AI$5:$AI$1000,0)+4,"")</f>
        <v/>
      </c>
    </row>
    <row r="292">
      <c r="A292" s="5" t="str">
        <f>IF($J292="","",INDEX('Detalle individual'!$B:$B,$J292))</f>
        <v/>
      </c>
      <c r="B292" s="5" t="str">
        <f>IF($J292="","",INDEX('Detalle individual'!$A:$A,$J292))</f>
        <v/>
      </c>
      <c r="C292" s="5" t="str">
        <f>IF($J292="","",INDEX('Detalle individual'!$E:$E,$J292))</f>
        <v/>
      </c>
      <c r="D292" s="5" t="str">
        <f>IF($J292="","",INDEX('Detalle individual'!$C:$C,$J292))</f>
        <v/>
      </c>
      <c r="E292" s="5" t="str">
        <f>IF($J292="","",INDEX('Detalle individual'!$D:$D,$J292))</f>
        <v/>
      </c>
      <c r="F292" s="23" t="str">
        <f>IF($J292="","",INDEX('Detalle individual'!$H:$H,$J292))</f>
        <v/>
      </c>
      <c r="G292" s="28" t="str">
        <f>IF($J292="","",INDEX('Detalle individual'!$J:$J,$J292))</f>
        <v/>
      </c>
      <c r="H292" s="28" t="str">
        <f>IF($J292="","",INDEX('Detalle individual'!$L:$L,$J292))</f>
        <v/>
      </c>
      <c r="J292" t="str">
        <f>IFERROR(MATCH(SMALL(Cálculos!$AI$5:$AI$1000,288),Cálculos!$AI$5:$AI$1000,0)+4,"")</f>
        <v/>
      </c>
    </row>
    <row r="293">
      <c r="A293" s="5" t="str">
        <f>IF($J293="","",INDEX('Detalle individual'!$B:$B,$J293))</f>
        <v/>
      </c>
      <c r="B293" s="5" t="str">
        <f>IF($J293="","",INDEX('Detalle individual'!$A:$A,$J293))</f>
        <v/>
      </c>
      <c r="C293" s="5" t="str">
        <f>IF($J293="","",INDEX('Detalle individual'!$E:$E,$J293))</f>
        <v/>
      </c>
      <c r="D293" s="5" t="str">
        <f>IF($J293="","",INDEX('Detalle individual'!$C:$C,$J293))</f>
        <v/>
      </c>
      <c r="E293" s="5" t="str">
        <f>IF($J293="","",INDEX('Detalle individual'!$D:$D,$J293))</f>
        <v/>
      </c>
      <c r="F293" s="23" t="str">
        <f>IF($J293="","",INDEX('Detalle individual'!$H:$H,$J293))</f>
        <v/>
      </c>
      <c r="G293" s="28" t="str">
        <f>IF($J293="","",INDEX('Detalle individual'!$J:$J,$J293))</f>
        <v/>
      </c>
      <c r="H293" s="28" t="str">
        <f>IF($J293="","",INDEX('Detalle individual'!$L:$L,$J293))</f>
        <v/>
      </c>
      <c r="J293" t="str">
        <f>IFERROR(MATCH(SMALL(Cálculos!$AI$5:$AI$1000,289),Cálculos!$AI$5:$AI$1000,0)+4,"")</f>
        <v/>
      </c>
    </row>
    <row r="294">
      <c r="A294" s="5" t="str">
        <f>IF($J294="","",INDEX('Detalle individual'!$B:$B,$J294))</f>
        <v/>
      </c>
      <c r="B294" s="5" t="str">
        <f>IF($J294="","",INDEX('Detalle individual'!$A:$A,$J294))</f>
        <v/>
      </c>
      <c r="C294" s="5" t="str">
        <f>IF($J294="","",INDEX('Detalle individual'!$E:$E,$J294))</f>
        <v/>
      </c>
      <c r="D294" s="5" t="str">
        <f>IF($J294="","",INDEX('Detalle individual'!$C:$C,$J294))</f>
        <v/>
      </c>
      <c r="E294" s="5" t="str">
        <f>IF($J294="","",INDEX('Detalle individual'!$D:$D,$J294))</f>
        <v/>
      </c>
      <c r="F294" s="23" t="str">
        <f>IF($J294="","",INDEX('Detalle individual'!$H:$H,$J294))</f>
        <v/>
      </c>
      <c r="G294" s="28" t="str">
        <f>IF($J294="","",INDEX('Detalle individual'!$J:$J,$J294))</f>
        <v/>
      </c>
      <c r="H294" s="28" t="str">
        <f>IF($J294="","",INDEX('Detalle individual'!$L:$L,$J294))</f>
        <v/>
      </c>
      <c r="J294" t="str">
        <f>IFERROR(MATCH(SMALL(Cálculos!$AI$5:$AI$1000,290),Cálculos!$AI$5:$AI$1000,0)+4,"")</f>
        <v/>
      </c>
    </row>
    <row r="295">
      <c r="A295" s="5" t="str">
        <f>IF($J295="","",INDEX('Detalle individual'!$B:$B,$J295))</f>
        <v/>
      </c>
      <c r="B295" s="5" t="str">
        <f>IF($J295="","",INDEX('Detalle individual'!$A:$A,$J295))</f>
        <v/>
      </c>
      <c r="C295" s="5" t="str">
        <f>IF($J295="","",INDEX('Detalle individual'!$E:$E,$J295))</f>
        <v/>
      </c>
      <c r="D295" s="5" t="str">
        <f>IF($J295="","",INDEX('Detalle individual'!$C:$C,$J295))</f>
        <v/>
      </c>
      <c r="E295" s="5" t="str">
        <f>IF($J295="","",INDEX('Detalle individual'!$D:$D,$J295))</f>
        <v/>
      </c>
      <c r="F295" s="23" t="str">
        <f>IF($J295="","",INDEX('Detalle individual'!$H:$H,$J295))</f>
        <v/>
      </c>
      <c r="G295" s="28" t="str">
        <f>IF($J295="","",INDEX('Detalle individual'!$J:$J,$J295))</f>
        <v/>
      </c>
      <c r="H295" s="28" t="str">
        <f>IF($J295="","",INDEX('Detalle individual'!$L:$L,$J295))</f>
        <v/>
      </c>
      <c r="J295" t="str">
        <f>IFERROR(MATCH(SMALL(Cálculos!$AI$5:$AI$1000,291),Cálculos!$AI$5:$AI$1000,0)+4,"")</f>
        <v/>
      </c>
    </row>
    <row r="296">
      <c r="A296" s="5" t="str">
        <f>IF($J296="","",INDEX('Detalle individual'!$B:$B,$J296))</f>
        <v/>
      </c>
      <c r="B296" s="5" t="str">
        <f>IF($J296="","",INDEX('Detalle individual'!$A:$A,$J296))</f>
        <v/>
      </c>
      <c r="C296" s="5" t="str">
        <f>IF($J296="","",INDEX('Detalle individual'!$E:$E,$J296))</f>
        <v/>
      </c>
      <c r="D296" s="5" t="str">
        <f>IF($J296="","",INDEX('Detalle individual'!$C:$C,$J296))</f>
        <v/>
      </c>
      <c r="E296" s="5" t="str">
        <f>IF($J296="","",INDEX('Detalle individual'!$D:$D,$J296))</f>
        <v/>
      </c>
      <c r="F296" s="23" t="str">
        <f>IF($J296="","",INDEX('Detalle individual'!$H:$H,$J296))</f>
        <v/>
      </c>
      <c r="G296" s="28" t="str">
        <f>IF($J296="","",INDEX('Detalle individual'!$J:$J,$J296))</f>
        <v/>
      </c>
      <c r="H296" s="28" t="str">
        <f>IF($J296="","",INDEX('Detalle individual'!$L:$L,$J296))</f>
        <v/>
      </c>
      <c r="J296" t="str">
        <f>IFERROR(MATCH(SMALL(Cálculos!$AI$5:$AI$1000,292),Cálculos!$AI$5:$AI$1000,0)+4,"")</f>
        <v/>
      </c>
    </row>
    <row r="297">
      <c r="A297" s="5" t="str">
        <f>IF($J297="","",INDEX('Detalle individual'!$B:$B,$J297))</f>
        <v/>
      </c>
      <c r="B297" s="5" t="str">
        <f>IF($J297="","",INDEX('Detalle individual'!$A:$A,$J297))</f>
        <v/>
      </c>
      <c r="C297" s="5" t="str">
        <f>IF($J297="","",INDEX('Detalle individual'!$E:$E,$J297))</f>
        <v/>
      </c>
      <c r="D297" s="5" t="str">
        <f>IF($J297="","",INDEX('Detalle individual'!$C:$C,$J297))</f>
        <v/>
      </c>
      <c r="E297" s="5" t="str">
        <f>IF($J297="","",INDEX('Detalle individual'!$D:$D,$J297))</f>
        <v/>
      </c>
      <c r="F297" s="23" t="str">
        <f>IF($J297="","",INDEX('Detalle individual'!$H:$H,$J297))</f>
        <v/>
      </c>
      <c r="G297" s="28" t="str">
        <f>IF($J297="","",INDEX('Detalle individual'!$J:$J,$J297))</f>
        <v/>
      </c>
      <c r="H297" s="28" t="str">
        <f>IF($J297="","",INDEX('Detalle individual'!$L:$L,$J297))</f>
        <v/>
      </c>
      <c r="J297" t="str">
        <f>IFERROR(MATCH(SMALL(Cálculos!$AI$5:$AI$1000,293),Cálculos!$AI$5:$AI$1000,0)+4,"")</f>
        <v/>
      </c>
    </row>
    <row r="298">
      <c r="A298" s="5" t="str">
        <f>IF($J298="","",INDEX('Detalle individual'!$B:$B,$J298))</f>
        <v/>
      </c>
      <c r="B298" s="5" t="str">
        <f>IF($J298="","",INDEX('Detalle individual'!$A:$A,$J298))</f>
        <v/>
      </c>
      <c r="C298" s="5" t="str">
        <f>IF($J298="","",INDEX('Detalle individual'!$E:$E,$J298))</f>
        <v/>
      </c>
      <c r="D298" s="5" t="str">
        <f>IF($J298="","",INDEX('Detalle individual'!$C:$C,$J298))</f>
        <v/>
      </c>
      <c r="E298" s="5" t="str">
        <f>IF($J298="","",INDEX('Detalle individual'!$D:$D,$J298))</f>
        <v/>
      </c>
      <c r="F298" s="23" t="str">
        <f>IF($J298="","",INDEX('Detalle individual'!$H:$H,$J298))</f>
        <v/>
      </c>
      <c r="G298" s="28" t="str">
        <f>IF($J298="","",INDEX('Detalle individual'!$J:$J,$J298))</f>
        <v/>
      </c>
      <c r="H298" s="28" t="str">
        <f>IF($J298="","",INDEX('Detalle individual'!$L:$L,$J298))</f>
        <v/>
      </c>
      <c r="J298" t="str">
        <f>IFERROR(MATCH(SMALL(Cálculos!$AI$5:$AI$1000,294),Cálculos!$AI$5:$AI$1000,0)+4,"")</f>
        <v/>
      </c>
    </row>
    <row r="299">
      <c r="A299" s="5" t="str">
        <f>IF($J299="","",INDEX('Detalle individual'!$B:$B,$J299))</f>
        <v/>
      </c>
      <c r="B299" s="5" t="str">
        <f>IF($J299="","",INDEX('Detalle individual'!$A:$A,$J299))</f>
        <v/>
      </c>
      <c r="C299" s="5" t="str">
        <f>IF($J299="","",INDEX('Detalle individual'!$E:$E,$J299))</f>
        <v/>
      </c>
      <c r="D299" s="5" t="str">
        <f>IF($J299="","",INDEX('Detalle individual'!$C:$C,$J299))</f>
        <v/>
      </c>
      <c r="E299" s="5" t="str">
        <f>IF($J299="","",INDEX('Detalle individual'!$D:$D,$J299))</f>
        <v/>
      </c>
      <c r="F299" s="23" t="str">
        <f>IF($J299="","",INDEX('Detalle individual'!$H:$H,$J299))</f>
        <v/>
      </c>
      <c r="G299" s="28" t="str">
        <f>IF($J299="","",INDEX('Detalle individual'!$J:$J,$J299))</f>
        <v/>
      </c>
      <c r="H299" s="28" t="str">
        <f>IF($J299="","",INDEX('Detalle individual'!$L:$L,$J299))</f>
        <v/>
      </c>
      <c r="J299" t="str">
        <f>IFERROR(MATCH(SMALL(Cálculos!$AI$5:$AI$1000,295),Cálculos!$AI$5:$AI$1000,0)+4,"")</f>
        <v/>
      </c>
    </row>
    <row r="300">
      <c r="A300" s="5" t="str">
        <f>IF($J300="","",INDEX('Detalle individual'!$B:$B,$J300))</f>
        <v/>
      </c>
      <c r="B300" s="5" t="str">
        <f>IF($J300="","",INDEX('Detalle individual'!$A:$A,$J300))</f>
        <v/>
      </c>
      <c r="C300" s="5" t="str">
        <f>IF($J300="","",INDEX('Detalle individual'!$E:$E,$J300))</f>
        <v/>
      </c>
      <c r="D300" s="5" t="str">
        <f>IF($J300="","",INDEX('Detalle individual'!$C:$C,$J300))</f>
        <v/>
      </c>
      <c r="E300" s="5" t="str">
        <f>IF($J300="","",INDEX('Detalle individual'!$D:$D,$J300))</f>
        <v/>
      </c>
      <c r="F300" s="23" t="str">
        <f>IF($J300="","",INDEX('Detalle individual'!$H:$H,$J300))</f>
        <v/>
      </c>
      <c r="G300" s="28" t="str">
        <f>IF($J300="","",INDEX('Detalle individual'!$J:$J,$J300))</f>
        <v/>
      </c>
      <c r="H300" s="28" t="str">
        <f>IF($J300="","",INDEX('Detalle individual'!$L:$L,$J300))</f>
        <v/>
      </c>
      <c r="J300" t="str">
        <f>IFERROR(MATCH(SMALL(Cálculos!$AI$5:$AI$1000,296),Cálculos!$AI$5:$AI$1000,0)+4,"")</f>
        <v/>
      </c>
    </row>
    <row r="301">
      <c r="A301" s="5" t="str">
        <f>IF($J301="","",INDEX('Detalle individual'!$B:$B,$J301))</f>
        <v/>
      </c>
      <c r="B301" s="5" t="str">
        <f>IF($J301="","",INDEX('Detalle individual'!$A:$A,$J301))</f>
        <v/>
      </c>
      <c r="C301" s="5" t="str">
        <f>IF($J301="","",INDEX('Detalle individual'!$E:$E,$J301))</f>
        <v/>
      </c>
      <c r="D301" s="5" t="str">
        <f>IF($J301="","",INDEX('Detalle individual'!$C:$C,$J301))</f>
        <v/>
      </c>
      <c r="E301" s="5" t="str">
        <f>IF($J301="","",INDEX('Detalle individual'!$D:$D,$J301))</f>
        <v/>
      </c>
      <c r="F301" s="23" t="str">
        <f>IF($J301="","",INDEX('Detalle individual'!$H:$H,$J301))</f>
        <v/>
      </c>
      <c r="G301" s="28" t="str">
        <f>IF($J301="","",INDEX('Detalle individual'!$J:$J,$J301))</f>
        <v/>
      </c>
      <c r="H301" s="28" t="str">
        <f>IF($J301="","",INDEX('Detalle individual'!$L:$L,$J301))</f>
        <v/>
      </c>
      <c r="J301" t="str">
        <f>IFERROR(MATCH(SMALL(Cálculos!$AI$5:$AI$1000,297),Cálculos!$AI$5:$AI$1000,0)+4,"")</f>
        <v/>
      </c>
    </row>
    <row r="302">
      <c r="A302" s="5" t="str">
        <f>IF($J302="","",INDEX('Detalle individual'!$B:$B,$J302))</f>
        <v/>
      </c>
      <c r="B302" s="5" t="str">
        <f>IF($J302="","",INDEX('Detalle individual'!$A:$A,$J302))</f>
        <v/>
      </c>
      <c r="C302" s="5" t="str">
        <f>IF($J302="","",INDEX('Detalle individual'!$E:$E,$J302))</f>
        <v/>
      </c>
      <c r="D302" s="5" t="str">
        <f>IF($J302="","",INDEX('Detalle individual'!$C:$C,$J302))</f>
        <v/>
      </c>
      <c r="E302" s="5" t="str">
        <f>IF($J302="","",INDEX('Detalle individual'!$D:$D,$J302))</f>
        <v/>
      </c>
      <c r="F302" s="23" t="str">
        <f>IF($J302="","",INDEX('Detalle individual'!$H:$H,$J302))</f>
        <v/>
      </c>
      <c r="G302" s="28" t="str">
        <f>IF($J302="","",INDEX('Detalle individual'!$J:$J,$J302))</f>
        <v/>
      </c>
      <c r="H302" s="28" t="str">
        <f>IF($J302="","",INDEX('Detalle individual'!$L:$L,$J302))</f>
        <v/>
      </c>
      <c r="J302" t="str">
        <f>IFERROR(MATCH(SMALL(Cálculos!$AI$5:$AI$1000,298),Cálculos!$AI$5:$AI$1000,0)+4,"")</f>
        <v/>
      </c>
    </row>
    <row r="303">
      <c r="A303" s="5" t="str">
        <f>IF($J303="","",INDEX('Detalle individual'!$B:$B,$J303))</f>
        <v/>
      </c>
      <c r="B303" s="5" t="str">
        <f>IF($J303="","",INDEX('Detalle individual'!$A:$A,$J303))</f>
        <v/>
      </c>
      <c r="C303" s="5" t="str">
        <f>IF($J303="","",INDEX('Detalle individual'!$E:$E,$J303))</f>
        <v/>
      </c>
      <c r="D303" s="5" t="str">
        <f>IF($J303="","",INDEX('Detalle individual'!$C:$C,$J303))</f>
        <v/>
      </c>
      <c r="E303" s="5" t="str">
        <f>IF($J303="","",INDEX('Detalle individual'!$D:$D,$J303))</f>
        <v/>
      </c>
      <c r="F303" s="23" t="str">
        <f>IF($J303="","",INDEX('Detalle individual'!$H:$H,$J303))</f>
        <v/>
      </c>
      <c r="G303" s="28" t="str">
        <f>IF($J303="","",INDEX('Detalle individual'!$J:$J,$J303))</f>
        <v/>
      </c>
      <c r="H303" s="28" t="str">
        <f>IF($J303="","",INDEX('Detalle individual'!$L:$L,$J303))</f>
        <v/>
      </c>
      <c r="J303" t="str">
        <f>IFERROR(MATCH(SMALL(Cálculos!$AI$5:$AI$1000,299),Cálculos!$AI$5:$AI$1000,0)+4,"")</f>
        <v/>
      </c>
    </row>
    <row r="304">
      <c r="A304" s="5" t="str">
        <f>IF($J304="","",INDEX('Detalle individual'!$B:$B,$J304))</f>
        <v/>
      </c>
      <c r="B304" s="5" t="str">
        <f>IF($J304="","",INDEX('Detalle individual'!$A:$A,$J304))</f>
        <v/>
      </c>
      <c r="C304" s="5" t="str">
        <f>IF($J304="","",INDEX('Detalle individual'!$E:$E,$J304))</f>
        <v/>
      </c>
      <c r="D304" s="5" t="str">
        <f>IF($J304="","",INDEX('Detalle individual'!$C:$C,$J304))</f>
        <v/>
      </c>
      <c r="E304" s="5" t="str">
        <f>IF($J304="","",INDEX('Detalle individual'!$D:$D,$J304))</f>
        <v/>
      </c>
      <c r="F304" s="23" t="str">
        <f>IF($J304="","",INDEX('Detalle individual'!$H:$H,$J304))</f>
        <v/>
      </c>
      <c r="G304" s="28" t="str">
        <f>IF($J304="","",INDEX('Detalle individual'!$J:$J,$J304))</f>
        <v/>
      </c>
      <c r="H304" s="28" t="str">
        <f>IF($J304="","",INDEX('Detalle individual'!$L:$L,$J304))</f>
        <v/>
      </c>
      <c r="J304" t="str">
        <f>IFERROR(MATCH(SMALL(Cálculos!$AI$5:$AI$1000,300),Cálculos!$AI$5:$AI$1000,0)+4,"")</f>
        <v/>
      </c>
    </row>
    <row r="305">
      <c r="A305" s="5" t="str">
        <f>IF($J305="","",INDEX('Detalle individual'!$B:$B,$J305))</f>
        <v/>
      </c>
      <c r="B305" s="5" t="str">
        <f>IF($J305="","",INDEX('Detalle individual'!$A:$A,$J305))</f>
        <v/>
      </c>
      <c r="C305" s="5" t="str">
        <f>IF($J305="","",INDEX('Detalle individual'!$E:$E,$J305))</f>
        <v/>
      </c>
      <c r="D305" s="5" t="str">
        <f>IF($J305="","",INDEX('Detalle individual'!$C:$C,$J305))</f>
        <v/>
      </c>
      <c r="E305" s="5" t="str">
        <f>IF($J305="","",INDEX('Detalle individual'!$D:$D,$J305))</f>
        <v/>
      </c>
      <c r="F305" s="23" t="str">
        <f>IF($J305="","",INDEX('Detalle individual'!$H:$H,$J305))</f>
        <v/>
      </c>
      <c r="G305" s="28" t="str">
        <f>IF($J305="","",INDEX('Detalle individual'!$J:$J,$J305))</f>
        <v/>
      </c>
      <c r="H305" s="28" t="str">
        <f>IF($J305="","",INDEX('Detalle individual'!$L:$L,$J305))</f>
        <v/>
      </c>
      <c r="J305" t="str">
        <f>IFERROR(MATCH(SMALL(Cálculos!$AI$5:$AI$1000,301),Cálculos!$AI$5:$AI$1000,0)+4,"")</f>
        <v/>
      </c>
    </row>
    <row r="306">
      <c r="A306" s="5" t="str">
        <f>IF($J306="","",INDEX('Detalle individual'!$B:$B,$J306))</f>
        <v/>
      </c>
      <c r="B306" s="5" t="str">
        <f>IF($J306="","",INDEX('Detalle individual'!$A:$A,$J306))</f>
        <v/>
      </c>
      <c r="C306" s="5" t="str">
        <f>IF($J306="","",INDEX('Detalle individual'!$E:$E,$J306))</f>
        <v/>
      </c>
      <c r="D306" s="5" t="str">
        <f>IF($J306="","",INDEX('Detalle individual'!$C:$C,$J306))</f>
        <v/>
      </c>
      <c r="E306" s="5" t="str">
        <f>IF($J306="","",INDEX('Detalle individual'!$D:$D,$J306))</f>
        <v/>
      </c>
      <c r="F306" s="23" t="str">
        <f>IF($J306="","",INDEX('Detalle individual'!$H:$H,$J306))</f>
        <v/>
      </c>
      <c r="G306" s="28" t="str">
        <f>IF($J306="","",INDEX('Detalle individual'!$J:$J,$J306))</f>
        <v/>
      </c>
      <c r="H306" s="28" t="str">
        <f>IF($J306="","",INDEX('Detalle individual'!$L:$L,$J306))</f>
        <v/>
      </c>
      <c r="J306" t="str">
        <f>IFERROR(MATCH(SMALL(Cálculos!$AI$5:$AI$1000,302),Cálculos!$AI$5:$AI$1000,0)+4,"")</f>
        <v/>
      </c>
    </row>
    <row r="307">
      <c r="A307" s="5" t="str">
        <f>IF($J307="","",INDEX('Detalle individual'!$B:$B,$J307))</f>
        <v/>
      </c>
      <c r="B307" s="5" t="str">
        <f>IF($J307="","",INDEX('Detalle individual'!$A:$A,$J307))</f>
        <v/>
      </c>
      <c r="C307" s="5" t="str">
        <f>IF($J307="","",INDEX('Detalle individual'!$E:$E,$J307))</f>
        <v/>
      </c>
      <c r="D307" s="5" t="str">
        <f>IF($J307="","",INDEX('Detalle individual'!$C:$C,$J307))</f>
        <v/>
      </c>
      <c r="E307" s="5" t="str">
        <f>IF($J307="","",INDEX('Detalle individual'!$D:$D,$J307))</f>
        <v/>
      </c>
      <c r="F307" s="23" t="str">
        <f>IF($J307="","",INDEX('Detalle individual'!$H:$H,$J307))</f>
        <v/>
      </c>
      <c r="G307" s="28" t="str">
        <f>IF($J307="","",INDEX('Detalle individual'!$J:$J,$J307))</f>
        <v/>
      </c>
      <c r="H307" s="28" t="str">
        <f>IF($J307="","",INDEX('Detalle individual'!$L:$L,$J307))</f>
        <v/>
      </c>
      <c r="J307" t="str">
        <f>IFERROR(MATCH(SMALL(Cálculos!$AI$5:$AI$1000,303),Cálculos!$AI$5:$AI$1000,0)+4,"")</f>
        <v/>
      </c>
    </row>
    <row r="308">
      <c r="A308" s="5" t="str">
        <f>IF($J308="","",INDEX('Detalle individual'!$B:$B,$J308))</f>
        <v/>
      </c>
      <c r="B308" s="5" t="str">
        <f>IF($J308="","",INDEX('Detalle individual'!$A:$A,$J308))</f>
        <v/>
      </c>
      <c r="C308" s="5" t="str">
        <f>IF($J308="","",INDEX('Detalle individual'!$E:$E,$J308))</f>
        <v/>
      </c>
      <c r="D308" s="5" t="str">
        <f>IF($J308="","",INDEX('Detalle individual'!$C:$C,$J308))</f>
        <v/>
      </c>
      <c r="E308" s="5" t="str">
        <f>IF($J308="","",INDEX('Detalle individual'!$D:$D,$J308))</f>
        <v/>
      </c>
      <c r="F308" s="23" t="str">
        <f>IF($J308="","",INDEX('Detalle individual'!$H:$H,$J308))</f>
        <v/>
      </c>
      <c r="G308" s="28" t="str">
        <f>IF($J308="","",INDEX('Detalle individual'!$J:$J,$J308))</f>
        <v/>
      </c>
      <c r="H308" s="28" t="str">
        <f>IF($J308="","",INDEX('Detalle individual'!$L:$L,$J308))</f>
        <v/>
      </c>
      <c r="J308" t="str">
        <f>IFERROR(MATCH(SMALL(Cálculos!$AI$5:$AI$1000,304),Cálculos!$AI$5:$AI$1000,0)+4,"")</f>
        <v/>
      </c>
    </row>
    <row r="309">
      <c r="A309" s="5" t="str">
        <f>IF($J309="","",INDEX('Detalle individual'!$B:$B,$J309))</f>
        <v/>
      </c>
      <c r="B309" s="5" t="str">
        <f>IF($J309="","",INDEX('Detalle individual'!$A:$A,$J309))</f>
        <v/>
      </c>
      <c r="C309" s="5" t="str">
        <f>IF($J309="","",INDEX('Detalle individual'!$E:$E,$J309))</f>
        <v/>
      </c>
      <c r="D309" s="5" t="str">
        <f>IF($J309="","",INDEX('Detalle individual'!$C:$C,$J309))</f>
        <v/>
      </c>
      <c r="E309" s="5" t="str">
        <f>IF($J309="","",INDEX('Detalle individual'!$D:$D,$J309))</f>
        <v/>
      </c>
      <c r="F309" s="23" t="str">
        <f>IF($J309="","",INDEX('Detalle individual'!$H:$H,$J309))</f>
        <v/>
      </c>
      <c r="G309" s="28" t="str">
        <f>IF($J309="","",INDEX('Detalle individual'!$J:$J,$J309))</f>
        <v/>
      </c>
      <c r="H309" s="28" t="str">
        <f>IF($J309="","",INDEX('Detalle individual'!$L:$L,$J309))</f>
        <v/>
      </c>
      <c r="J309" t="str">
        <f>IFERROR(MATCH(SMALL(Cálculos!$AI$5:$AI$1000,305),Cálculos!$AI$5:$AI$1000,0)+4,"")</f>
        <v/>
      </c>
    </row>
    <row r="310">
      <c r="A310" s="5" t="str">
        <f>IF($J310="","",INDEX('Detalle individual'!$B:$B,$J310))</f>
        <v/>
      </c>
      <c r="B310" s="5" t="str">
        <f>IF($J310="","",INDEX('Detalle individual'!$A:$A,$J310))</f>
        <v/>
      </c>
      <c r="C310" s="5" t="str">
        <f>IF($J310="","",INDEX('Detalle individual'!$E:$E,$J310))</f>
        <v/>
      </c>
      <c r="D310" s="5" t="str">
        <f>IF($J310="","",INDEX('Detalle individual'!$C:$C,$J310))</f>
        <v/>
      </c>
      <c r="E310" s="5" t="str">
        <f>IF($J310="","",INDEX('Detalle individual'!$D:$D,$J310))</f>
        <v/>
      </c>
      <c r="F310" s="23" t="str">
        <f>IF($J310="","",INDEX('Detalle individual'!$H:$H,$J310))</f>
        <v/>
      </c>
      <c r="G310" s="28" t="str">
        <f>IF($J310="","",INDEX('Detalle individual'!$J:$J,$J310))</f>
        <v/>
      </c>
      <c r="H310" s="28" t="str">
        <f>IF($J310="","",INDEX('Detalle individual'!$L:$L,$J310))</f>
        <v/>
      </c>
      <c r="J310" t="str">
        <f>IFERROR(MATCH(SMALL(Cálculos!$AI$5:$AI$1000,306),Cálculos!$AI$5:$AI$1000,0)+4,"")</f>
        <v/>
      </c>
    </row>
    <row r="311">
      <c r="A311" s="5" t="str">
        <f>IF($J311="","",INDEX('Detalle individual'!$B:$B,$J311))</f>
        <v/>
      </c>
      <c r="B311" s="5" t="str">
        <f>IF($J311="","",INDEX('Detalle individual'!$A:$A,$J311))</f>
        <v/>
      </c>
      <c r="C311" s="5" t="str">
        <f>IF($J311="","",INDEX('Detalle individual'!$E:$E,$J311))</f>
        <v/>
      </c>
      <c r="D311" s="5" t="str">
        <f>IF($J311="","",INDEX('Detalle individual'!$C:$C,$J311))</f>
        <v/>
      </c>
      <c r="E311" s="5" t="str">
        <f>IF($J311="","",INDEX('Detalle individual'!$D:$D,$J311))</f>
        <v/>
      </c>
      <c r="F311" s="23" t="str">
        <f>IF($J311="","",INDEX('Detalle individual'!$H:$H,$J311))</f>
        <v/>
      </c>
      <c r="G311" s="28" t="str">
        <f>IF($J311="","",INDEX('Detalle individual'!$J:$J,$J311))</f>
        <v/>
      </c>
      <c r="H311" s="28" t="str">
        <f>IF($J311="","",INDEX('Detalle individual'!$L:$L,$J311))</f>
        <v/>
      </c>
      <c r="J311" t="str">
        <f>IFERROR(MATCH(SMALL(Cálculos!$AI$5:$AI$1000,307),Cálculos!$AI$5:$AI$1000,0)+4,"")</f>
        <v/>
      </c>
    </row>
    <row r="312">
      <c r="A312" s="5" t="str">
        <f>IF($J312="","",INDEX('Detalle individual'!$B:$B,$J312))</f>
        <v/>
      </c>
      <c r="B312" s="5" t="str">
        <f>IF($J312="","",INDEX('Detalle individual'!$A:$A,$J312))</f>
        <v/>
      </c>
      <c r="C312" s="5" t="str">
        <f>IF($J312="","",INDEX('Detalle individual'!$E:$E,$J312))</f>
        <v/>
      </c>
      <c r="D312" s="5" t="str">
        <f>IF($J312="","",INDEX('Detalle individual'!$C:$C,$J312))</f>
        <v/>
      </c>
      <c r="E312" s="5" t="str">
        <f>IF($J312="","",INDEX('Detalle individual'!$D:$D,$J312))</f>
        <v/>
      </c>
      <c r="F312" s="23" t="str">
        <f>IF($J312="","",INDEX('Detalle individual'!$H:$H,$J312))</f>
        <v/>
      </c>
      <c r="G312" s="28" t="str">
        <f>IF($J312="","",INDEX('Detalle individual'!$J:$J,$J312))</f>
        <v/>
      </c>
      <c r="H312" s="28" t="str">
        <f>IF($J312="","",INDEX('Detalle individual'!$L:$L,$J312))</f>
        <v/>
      </c>
      <c r="J312" t="str">
        <f>IFERROR(MATCH(SMALL(Cálculos!$AI$5:$AI$1000,308),Cálculos!$AI$5:$AI$1000,0)+4,"")</f>
        <v/>
      </c>
    </row>
    <row r="313">
      <c r="A313" s="5" t="str">
        <f>IF($J313="","",INDEX('Detalle individual'!$B:$B,$J313))</f>
        <v/>
      </c>
      <c r="B313" s="5" t="str">
        <f>IF($J313="","",INDEX('Detalle individual'!$A:$A,$J313))</f>
        <v/>
      </c>
      <c r="C313" s="5" t="str">
        <f>IF($J313="","",INDEX('Detalle individual'!$E:$E,$J313))</f>
        <v/>
      </c>
      <c r="D313" s="5" t="str">
        <f>IF($J313="","",INDEX('Detalle individual'!$C:$C,$J313))</f>
        <v/>
      </c>
      <c r="E313" s="5" t="str">
        <f>IF($J313="","",INDEX('Detalle individual'!$D:$D,$J313))</f>
        <v/>
      </c>
      <c r="F313" s="23" t="str">
        <f>IF($J313="","",INDEX('Detalle individual'!$H:$H,$J313))</f>
        <v/>
      </c>
      <c r="G313" s="28" t="str">
        <f>IF($J313="","",INDEX('Detalle individual'!$J:$J,$J313))</f>
        <v/>
      </c>
      <c r="H313" s="28" t="str">
        <f>IF($J313="","",INDEX('Detalle individual'!$L:$L,$J313))</f>
        <v/>
      </c>
      <c r="J313" t="str">
        <f>IFERROR(MATCH(SMALL(Cálculos!$AI$5:$AI$1000,309),Cálculos!$AI$5:$AI$1000,0)+4,"")</f>
        <v/>
      </c>
    </row>
    <row r="314">
      <c r="A314" s="5" t="str">
        <f>IF($J314="","",INDEX('Detalle individual'!$B:$B,$J314))</f>
        <v/>
      </c>
      <c r="B314" s="5" t="str">
        <f>IF($J314="","",INDEX('Detalle individual'!$A:$A,$J314))</f>
        <v/>
      </c>
      <c r="C314" s="5" t="str">
        <f>IF($J314="","",INDEX('Detalle individual'!$E:$E,$J314))</f>
        <v/>
      </c>
      <c r="D314" s="5" t="str">
        <f>IF($J314="","",INDEX('Detalle individual'!$C:$C,$J314))</f>
        <v/>
      </c>
      <c r="E314" s="5" t="str">
        <f>IF($J314="","",INDEX('Detalle individual'!$D:$D,$J314))</f>
        <v/>
      </c>
      <c r="F314" s="23" t="str">
        <f>IF($J314="","",INDEX('Detalle individual'!$H:$H,$J314))</f>
        <v/>
      </c>
      <c r="G314" s="28" t="str">
        <f>IF($J314="","",INDEX('Detalle individual'!$J:$J,$J314))</f>
        <v/>
      </c>
      <c r="H314" s="28" t="str">
        <f>IF($J314="","",INDEX('Detalle individual'!$L:$L,$J314))</f>
        <v/>
      </c>
      <c r="J314" t="str">
        <f>IFERROR(MATCH(SMALL(Cálculos!$AI$5:$AI$1000,310),Cálculos!$AI$5:$AI$1000,0)+4,"")</f>
        <v/>
      </c>
    </row>
    <row r="315">
      <c r="A315" s="5" t="str">
        <f>IF($J315="","",INDEX('Detalle individual'!$B:$B,$J315))</f>
        <v/>
      </c>
      <c r="B315" s="5" t="str">
        <f>IF($J315="","",INDEX('Detalle individual'!$A:$A,$J315))</f>
        <v/>
      </c>
      <c r="C315" s="5" t="str">
        <f>IF($J315="","",INDEX('Detalle individual'!$E:$E,$J315))</f>
        <v/>
      </c>
      <c r="D315" s="5" t="str">
        <f>IF($J315="","",INDEX('Detalle individual'!$C:$C,$J315))</f>
        <v/>
      </c>
      <c r="E315" s="5" t="str">
        <f>IF($J315="","",INDEX('Detalle individual'!$D:$D,$J315))</f>
        <v/>
      </c>
      <c r="F315" s="23" t="str">
        <f>IF($J315="","",INDEX('Detalle individual'!$H:$H,$J315))</f>
        <v/>
      </c>
      <c r="G315" s="28" t="str">
        <f>IF($J315="","",INDEX('Detalle individual'!$J:$J,$J315))</f>
        <v/>
      </c>
      <c r="H315" s="28" t="str">
        <f>IF($J315="","",INDEX('Detalle individual'!$L:$L,$J315))</f>
        <v/>
      </c>
      <c r="J315" t="str">
        <f>IFERROR(MATCH(SMALL(Cálculos!$AI$5:$AI$1000,311),Cálculos!$AI$5:$AI$1000,0)+4,"")</f>
        <v/>
      </c>
    </row>
    <row r="316">
      <c r="A316" s="5" t="str">
        <f>IF($J316="","",INDEX('Detalle individual'!$B:$B,$J316))</f>
        <v/>
      </c>
      <c r="B316" s="5" t="str">
        <f>IF($J316="","",INDEX('Detalle individual'!$A:$A,$J316))</f>
        <v/>
      </c>
      <c r="C316" s="5" t="str">
        <f>IF($J316="","",INDEX('Detalle individual'!$E:$E,$J316))</f>
        <v/>
      </c>
      <c r="D316" s="5" t="str">
        <f>IF($J316="","",INDEX('Detalle individual'!$C:$C,$J316))</f>
        <v/>
      </c>
      <c r="E316" s="5" t="str">
        <f>IF($J316="","",INDEX('Detalle individual'!$D:$D,$J316))</f>
        <v/>
      </c>
      <c r="F316" s="23" t="str">
        <f>IF($J316="","",INDEX('Detalle individual'!$H:$H,$J316))</f>
        <v/>
      </c>
      <c r="G316" s="28" t="str">
        <f>IF($J316="","",INDEX('Detalle individual'!$J:$J,$J316))</f>
        <v/>
      </c>
      <c r="H316" s="28" t="str">
        <f>IF($J316="","",INDEX('Detalle individual'!$L:$L,$J316))</f>
        <v/>
      </c>
      <c r="J316" t="str">
        <f>IFERROR(MATCH(SMALL(Cálculos!$AI$5:$AI$1000,312),Cálculos!$AI$5:$AI$1000,0)+4,"")</f>
        <v/>
      </c>
    </row>
    <row r="317">
      <c r="A317" s="5" t="str">
        <f>IF($J317="","",INDEX('Detalle individual'!$B:$B,$J317))</f>
        <v/>
      </c>
      <c r="B317" s="5" t="str">
        <f>IF($J317="","",INDEX('Detalle individual'!$A:$A,$J317))</f>
        <v/>
      </c>
      <c r="C317" s="5" t="str">
        <f>IF($J317="","",INDEX('Detalle individual'!$E:$E,$J317))</f>
        <v/>
      </c>
      <c r="D317" s="5" t="str">
        <f>IF($J317="","",INDEX('Detalle individual'!$C:$C,$J317))</f>
        <v/>
      </c>
      <c r="E317" s="5" t="str">
        <f>IF($J317="","",INDEX('Detalle individual'!$D:$D,$J317))</f>
        <v/>
      </c>
      <c r="F317" s="23" t="str">
        <f>IF($J317="","",INDEX('Detalle individual'!$H:$H,$J317))</f>
        <v/>
      </c>
      <c r="G317" s="28" t="str">
        <f>IF($J317="","",INDEX('Detalle individual'!$J:$J,$J317))</f>
        <v/>
      </c>
      <c r="H317" s="28" t="str">
        <f>IF($J317="","",INDEX('Detalle individual'!$L:$L,$J317))</f>
        <v/>
      </c>
      <c r="J317" t="str">
        <f>IFERROR(MATCH(SMALL(Cálculos!$AI$5:$AI$1000,313),Cálculos!$AI$5:$AI$1000,0)+4,"")</f>
        <v/>
      </c>
    </row>
    <row r="318">
      <c r="A318" s="5" t="str">
        <f>IF($J318="","",INDEX('Detalle individual'!$B:$B,$J318))</f>
        <v/>
      </c>
      <c r="B318" s="5" t="str">
        <f>IF($J318="","",INDEX('Detalle individual'!$A:$A,$J318))</f>
        <v/>
      </c>
      <c r="C318" s="5" t="str">
        <f>IF($J318="","",INDEX('Detalle individual'!$E:$E,$J318))</f>
        <v/>
      </c>
      <c r="D318" s="5" t="str">
        <f>IF($J318="","",INDEX('Detalle individual'!$C:$C,$J318))</f>
        <v/>
      </c>
      <c r="E318" s="5" t="str">
        <f>IF($J318="","",INDEX('Detalle individual'!$D:$D,$J318))</f>
        <v/>
      </c>
      <c r="F318" s="23" t="str">
        <f>IF($J318="","",INDEX('Detalle individual'!$H:$H,$J318))</f>
        <v/>
      </c>
      <c r="G318" s="28" t="str">
        <f>IF($J318="","",INDEX('Detalle individual'!$J:$J,$J318))</f>
        <v/>
      </c>
      <c r="H318" s="28" t="str">
        <f>IF($J318="","",INDEX('Detalle individual'!$L:$L,$J318))</f>
        <v/>
      </c>
      <c r="J318" t="str">
        <f>IFERROR(MATCH(SMALL(Cálculos!$AI$5:$AI$1000,314),Cálculos!$AI$5:$AI$1000,0)+4,"")</f>
        <v/>
      </c>
    </row>
    <row r="319">
      <c r="A319" s="5" t="str">
        <f>IF($J319="","",INDEX('Detalle individual'!$B:$B,$J319))</f>
        <v/>
      </c>
      <c r="B319" s="5" t="str">
        <f>IF($J319="","",INDEX('Detalle individual'!$A:$A,$J319))</f>
        <v/>
      </c>
      <c r="C319" s="5" t="str">
        <f>IF($J319="","",INDEX('Detalle individual'!$E:$E,$J319))</f>
        <v/>
      </c>
      <c r="D319" s="5" t="str">
        <f>IF($J319="","",INDEX('Detalle individual'!$C:$C,$J319))</f>
        <v/>
      </c>
      <c r="E319" s="5" t="str">
        <f>IF($J319="","",INDEX('Detalle individual'!$D:$D,$J319))</f>
        <v/>
      </c>
      <c r="F319" s="23" t="str">
        <f>IF($J319="","",INDEX('Detalle individual'!$H:$H,$J319))</f>
        <v/>
      </c>
      <c r="G319" s="28" t="str">
        <f>IF($J319="","",INDEX('Detalle individual'!$J:$J,$J319))</f>
        <v/>
      </c>
      <c r="H319" s="28" t="str">
        <f>IF($J319="","",INDEX('Detalle individual'!$L:$L,$J319))</f>
        <v/>
      </c>
      <c r="J319" t="str">
        <f>IFERROR(MATCH(SMALL(Cálculos!$AI$5:$AI$1000,315),Cálculos!$AI$5:$AI$1000,0)+4,"")</f>
        <v/>
      </c>
    </row>
    <row r="320">
      <c r="A320" s="5" t="str">
        <f>IF($J320="","",INDEX('Detalle individual'!$B:$B,$J320))</f>
        <v/>
      </c>
      <c r="B320" s="5" t="str">
        <f>IF($J320="","",INDEX('Detalle individual'!$A:$A,$J320))</f>
        <v/>
      </c>
      <c r="C320" s="5" t="str">
        <f>IF($J320="","",INDEX('Detalle individual'!$E:$E,$J320))</f>
        <v/>
      </c>
      <c r="D320" s="5" t="str">
        <f>IF($J320="","",INDEX('Detalle individual'!$C:$C,$J320))</f>
        <v/>
      </c>
      <c r="E320" s="5" t="str">
        <f>IF($J320="","",INDEX('Detalle individual'!$D:$D,$J320))</f>
        <v/>
      </c>
      <c r="F320" s="23" t="str">
        <f>IF($J320="","",INDEX('Detalle individual'!$H:$H,$J320))</f>
        <v/>
      </c>
      <c r="G320" s="28" t="str">
        <f>IF($J320="","",INDEX('Detalle individual'!$J:$J,$J320))</f>
        <v/>
      </c>
      <c r="H320" s="28" t="str">
        <f>IF($J320="","",INDEX('Detalle individual'!$L:$L,$J320))</f>
        <v/>
      </c>
      <c r="J320" t="str">
        <f>IFERROR(MATCH(SMALL(Cálculos!$AI$5:$AI$1000,316),Cálculos!$AI$5:$AI$1000,0)+4,"")</f>
        <v/>
      </c>
    </row>
    <row r="321">
      <c r="A321" s="5" t="str">
        <f>IF($J321="","",INDEX('Detalle individual'!$B:$B,$J321))</f>
        <v/>
      </c>
      <c r="B321" s="5" t="str">
        <f>IF($J321="","",INDEX('Detalle individual'!$A:$A,$J321))</f>
        <v/>
      </c>
      <c r="C321" s="5" t="str">
        <f>IF($J321="","",INDEX('Detalle individual'!$E:$E,$J321))</f>
        <v/>
      </c>
      <c r="D321" s="5" t="str">
        <f>IF($J321="","",INDEX('Detalle individual'!$C:$C,$J321))</f>
        <v/>
      </c>
      <c r="E321" s="5" t="str">
        <f>IF($J321="","",INDEX('Detalle individual'!$D:$D,$J321))</f>
        <v/>
      </c>
      <c r="F321" s="23" t="str">
        <f>IF($J321="","",INDEX('Detalle individual'!$H:$H,$J321))</f>
        <v/>
      </c>
      <c r="G321" s="28" t="str">
        <f>IF($J321="","",INDEX('Detalle individual'!$J:$J,$J321))</f>
        <v/>
      </c>
      <c r="H321" s="28" t="str">
        <f>IF($J321="","",INDEX('Detalle individual'!$L:$L,$J321))</f>
        <v/>
      </c>
      <c r="J321" t="str">
        <f>IFERROR(MATCH(SMALL(Cálculos!$AI$5:$AI$1000,317),Cálculos!$AI$5:$AI$1000,0)+4,"")</f>
        <v/>
      </c>
    </row>
    <row r="322">
      <c r="A322" s="5" t="str">
        <f>IF($J322="","",INDEX('Detalle individual'!$B:$B,$J322))</f>
        <v/>
      </c>
      <c r="B322" s="5" t="str">
        <f>IF($J322="","",INDEX('Detalle individual'!$A:$A,$J322))</f>
        <v/>
      </c>
      <c r="C322" s="5" t="str">
        <f>IF($J322="","",INDEX('Detalle individual'!$E:$E,$J322))</f>
        <v/>
      </c>
      <c r="D322" s="5" t="str">
        <f>IF($J322="","",INDEX('Detalle individual'!$C:$C,$J322))</f>
        <v/>
      </c>
      <c r="E322" s="5" t="str">
        <f>IF($J322="","",INDEX('Detalle individual'!$D:$D,$J322))</f>
        <v/>
      </c>
      <c r="F322" s="23" t="str">
        <f>IF($J322="","",INDEX('Detalle individual'!$H:$H,$J322))</f>
        <v/>
      </c>
      <c r="G322" s="28" t="str">
        <f>IF($J322="","",INDEX('Detalle individual'!$J:$J,$J322))</f>
        <v/>
      </c>
      <c r="H322" s="28" t="str">
        <f>IF($J322="","",INDEX('Detalle individual'!$L:$L,$J322))</f>
        <v/>
      </c>
      <c r="J322" t="str">
        <f>IFERROR(MATCH(SMALL(Cálculos!$AI$5:$AI$1000,318),Cálculos!$AI$5:$AI$1000,0)+4,"")</f>
        <v/>
      </c>
    </row>
    <row r="323">
      <c r="A323" s="5" t="str">
        <f>IF($J323="","",INDEX('Detalle individual'!$B:$B,$J323))</f>
        <v/>
      </c>
      <c r="B323" s="5" t="str">
        <f>IF($J323="","",INDEX('Detalle individual'!$A:$A,$J323))</f>
        <v/>
      </c>
      <c r="C323" s="5" t="str">
        <f>IF($J323="","",INDEX('Detalle individual'!$E:$E,$J323))</f>
        <v/>
      </c>
      <c r="D323" s="5" t="str">
        <f>IF($J323="","",INDEX('Detalle individual'!$C:$C,$J323))</f>
        <v/>
      </c>
      <c r="E323" s="5" t="str">
        <f>IF($J323="","",INDEX('Detalle individual'!$D:$D,$J323))</f>
        <v/>
      </c>
      <c r="F323" s="23" t="str">
        <f>IF($J323="","",INDEX('Detalle individual'!$H:$H,$J323))</f>
        <v/>
      </c>
      <c r="G323" s="28" t="str">
        <f>IF($J323="","",INDEX('Detalle individual'!$J:$J,$J323))</f>
        <v/>
      </c>
      <c r="H323" s="28" t="str">
        <f>IF($J323="","",INDEX('Detalle individual'!$L:$L,$J323))</f>
        <v/>
      </c>
      <c r="J323" t="str">
        <f>IFERROR(MATCH(SMALL(Cálculos!$AI$5:$AI$1000,319),Cálculos!$AI$5:$AI$1000,0)+4,"")</f>
        <v/>
      </c>
    </row>
    <row r="324">
      <c r="A324" s="5" t="str">
        <f>IF($J324="","",INDEX('Detalle individual'!$B:$B,$J324))</f>
        <v/>
      </c>
      <c r="B324" s="5" t="str">
        <f>IF($J324="","",INDEX('Detalle individual'!$A:$A,$J324))</f>
        <v/>
      </c>
      <c r="C324" s="5" t="str">
        <f>IF($J324="","",INDEX('Detalle individual'!$E:$E,$J324))</f>
        <v/>
      </c>
      <c r="D324" s="5" t="str">
        <f>IF($J324="","",INDEX('Detalle individual'!$C:$C,$J324))</f>
        <v/>
      </c>
      <c r="E324" s="5" t="str">
        <f>IF($J324="","",INDEX('Detalle individual'!$D:$D,$J324))</f>
        <v/>
      </c>
      <c r="F324" s="23" t="str">
        <f>IF($J324="","",INDEX('Detalle individual'!$H:$H,$J324))</f>
        <v/>
      </c>
      <c r="G324" s="28" t="str">
        <f>IF($J324="","",INDEX('Detalle individual'!$J:$J,$J324))</f>
        <v/>
      </c>
      <c r="H324" s="28" t="str">
        <f>IF($J324="","",INDEX('Detalle individual'!$L:$L,$J324))</f>
        <v/>
      </c>
      <c r="J324" t="str">
        <f>IFERROR(MATCH(SMALL(Cálculos!$AI$5:$AI$1000,320),Cálculos!$AI$5:$AI$1000,0)+4,"")</f>
        <v/>
      </c>
    </row>
    <row r="325">
      <c r="A325" s="5" t="str">
        <f>IF($J325="","",INDEX('Detalle individual'!$B:$B,$J325))</f>
        <v/>
      </c>
      <c r="B325" s="5" t="str">
        <f>IF($J325="","",INDEX('Detalle individual'!$A:$A,$J325))</f>
        <v/>
      </c>
      <c r="C325" s="5" t="str">
        <f>IF($J325="","",INDEX('Detalle individual'!$E:$E,$J325))</f>
        <v/>
      </c>
      <c r="D325" s="5" t="str">
        <f>IF($J325="","",INDEX('Detalle individual'!$C:$C,$J325))</f>
        <v/>
      </c>
      <c r="E325" s="5" t="str">
        <f>IF($J325="","",INDEX('Detalle individual'!$D:$D,$J325))</f>
        <v/>
      </c>
      <c r="F325" s="23" t="str">
        <f>IF($J325="","",INDEX('Detalle individual'!$H:$H,$J325))</f>
        <v/>
      </c>
      <c r="G325" s="28" t="str">
        <f>IF($J325="","",INDEX('Detalle individual'!$J:$J,$J325))</f>
        <v/>
      </c>
      <c r="H325" s="28" t="str">
        <f>IF($J325="","",INDEX('Detalle individual'!$L:$L,$J325))</f>
        <v/>
      </c>
      <c r="J325" t="str">
        <f>IFERROR(MATCH(SMALL(Cálculos!$AI$5:$AI$1000,321),Cálculos!$AI$5:$AI$1000,0)+4,"")</f>
        <v/>
      </c>
    </row>
    <row r="326">
      <c r="A326" s="5" t="str">
        <f>IF($J326="","",INDEX('Detalle individual'!$B:$B,$J326))</f>
        <v/>
      </c>
      <c r="B326" s="5" t="str">
        <f>IF($J326="","",INDEX('Detalle individual'!$A:$A,$J326))</f>
        <v/>
      </c>
      <c r="C326" s="5" t="str">
        <f>IF($J326="","",INDEX('Detalle individual'!$E:$E,$J326))</f>
        <v/>
      </c>
      <c r="D326" s="5" t="str">
        <f>IF($J326="","",INDEX('Detalle individual'!$C:$C,$J326))</f>
        <v/>
      </c>
      <c r="E326" s="5" t="str">
        <f>IF($J326="","",INDEX('Detalle individual'!$D:$D,$J326))</f>
        <v/>
      </c>
      <c r="F326" s="23" t="str">
        <f>IF($J326="","",INDEX('Detalle individual'!$H:$H,$J326))</f>
        <v/>
      </c>
      <c r="G326" s="28" t="str">
        <f>IF($J326="","",INDEX('Detalle individual'!$J:$J,$J326))</f>
        <v/>
      </c>
      <c r="H326" s="28" t="str">
        <f>IF($J326="","",INDEX('Detalle individual'!$L:$L,$J326))</f>
        <v/>
      </c>
      <c r="J326" t="str">
        <f>IFERROR(MATCH(SMALL(Cálculos!$AI$5:$AI$1000,322),Cálculos!$AI$5:$AI$1000,0)+4,"")</f>
        <v/>
      </c>
    </row>
    <row r="327">
      <c r="A327" s="5" t="str">
        <f>IF($J327="","",INDEX('Detalle individual'!$B:$B,$J327))</f>
        <v/>
      </c>
      <c r="B327" s="5" t="str">
        <f>IF($J327="","",INDEX('Detalle individual'!$A:$A,$J327))</f>
        <v/>
      </c>
      <c r="C327" s="5" t="str">
        <f>IF($J327="","",INDEX('Detalle individual'!$E:$E,$J327))</f>
        <v/>
      </c>
      <c r="D327" s="5" t="str">
        <f>IF($J327="","",INDEX('Detalle individual'!$C:$C,$J327))</f>
        <v/>
      </c>
      <c r="E327" s="5" t="str">
        <f>IF($J327="","",INDEX('Detalle individual'!$D:$D,$J327))</f>
        <v/>
      </c>
      <c r="F327" s="23" t="str">
        <f>IF($J327="","",INDEX('Detalle individual'!$H:$H,$J327))</f>
        <v/>
      </c>
      <c r="G327" s="28" t="str">
        <f>IF($J327="","",INDEX('Detalle individual'!$J:$J,$J327))</f>
        <v/>
      </c>
      <c r="H327" s="28" t="str">
        <f>IF($J327="","",INDEX('Detalle individual'!$L:$L,$J327))</f>
        <v/>
      </c>
      <c r="J327" t="str">
        <f>IFERROR(MATCH(SMALL(Cálculos!$AI$5:$AI$1000,323),Cálculos!$AI$5:$AI$1000,0)+4,"")</f>
        <v/>
      </c>
    </row>
    <row r="328">
      <c r="A328" s="5" t="str">
        <f>IF($J328="","",INDEX('Detalle individual'!$B:$B,$J328))</f>
        <v/>
      </c>
      <c r="B328" s="5" t="str">
        <f>IF($J328="","",INDEX('Detalle individual'!$A:$A,$J328))</f>
        <v/>
      </c>
      <c r="C328" s="5" t="str">
        <f>IF($J328="","",INDEX('Detalle individual'!$E:$E,$J328))</f>
        <v/>
      </c>
      <c r="D328" s="5" t="str">
        <f>IF($J328="","",INDEX('Detalle individual'!$C:$C,$J328))</f>
        <v/>
      </c>
      <c r="E328" s="5" t="str">
        <f>IF($J328="","",INDEX('Detalle individual'!$D:$D,$J328))</f>
        <v/>
      </c>
      <c r="F328" s="23" t="str">
        <f>IF($J328="","",INDEX('Detalle individual'!$H:$H,$J328))</f>
        <v/>
      </c>
      <c r="G328" s="28" t="str">
        <f>IF($J328="","",INDEX('Detalle individual'!$J:$J,$J328))</f>
        <v/>
      </c>
      <c r="H328" s="28" t="str">
        <f>IF($J328="","",INDEX('Detalle individual'!$L:$L,$J328))</f>
        <v/>
      </c>
      <c r="J328" t="str">
        <f>IFERROR(MATCH(SMALL(Cálculos!$AI$5:$AI$1000,324),Cálculos!$AI$5:$AI$1000,0)+4,"")</f>
        <v/>
      </c>
    </row>
    <row r="329">
      <c r="A329" s="5" t="str">
        <f>IF($J329="","",INDEX('Detalle individual'!$B:$B,$J329))</f>
        <v/>
      </c>
      <c r="B329" s="5" t="str">
        <f>IF($J329="","",INDEX('Detalle individual'!$A:$A,$J329))</f>
        <v/>
      </c>
      <c r="C329" s="5" t="str">
        <f>IF($J329="","",INDEX('Detalle individual'!$E:$E,$J329))</f>
        <v/>
      </c>
      <c r="D329" s="5" t="str">
        <f>IF($J329="","",INDEX('Detalle individual'!$C:$C,$J329))</f>
        <v/>
      </c>
      <c r="E329" s="5" t="str">
        <f>IF($J329="","",INDEX('Detalle individual'!$D:$D,$J329))</f>
        <v/>
      </c>
      <c r="F329" s="23" t="str">
        <f>IF($J329="","",INDEX('Detalle individual'!$H:$H,$J329))</f>
        <v/>
      </c>
      <c r="G329" s="28" t="str">
        <f>IF($J329="","",INDEX('Detalle individual'!$J:$J,$J329))</f>
        <v/>
      </c>
      <c r="H329" s="28" t="str">
        <f>IF($J329="","",INDEX('Detalle individual'!$L:$L,$J329))</f>
        <v/>
      </c>
      <c r="J329" t="str">
        <f>IFERROR(MATCH(SMALL(Cálculos!$AI$5:$AI$1000,325),Cálculos!$AI$5:$AI$1000,0)+4,"")</f>
        <v/>
      </c>
    </row>
    <row r="330">
      <c r="A330" s="5" t="str">
        <f>IF($J330="","",INDEX('Detalle individual'!$B:$B,$J330))</f>
        <v/>
      </c>
      <c r="B330" s="5" t="str">
        <f>IF($J330="","",INDEX('Detalle individual'!$A:$A,$J330))</f>
        <v/>
      </c>
      <c r="C330" s="5" t="str">
        <f>IF($J330="","",INDEX('Detalle individual'!$E:$E,$J330))</f>
        <v/>
      </c>
      <c r="D330" s="5" t="str">
        <f>IF($J330="","",INDEX('Detalle individual'!$C:$C,$J330))</f>
        <v/>
      </c>
      <c r="E330" s="5" t="str">
        <f>IF($J330="","",INDEX('Detalle individual'!$D:$D,$J330))</f>
        <v/>
      </c>
      <c r="F330" s="23" t="str">
        <f>IF($J330="","",INDEX('Detalle individual'!$H:$H,$J330))</f>
        <v/>
      </c>
      <c r="G330" s="28" t="str">
        <f>IF($J330="","",INDEX('Detalle individual'!$J:$J,$J330))</f>
        <v/>
      </c>
      <c r="H330" s="28" t="str">
        <f>IF($J330="","",INDEX('Detalle individual'!$L:$L,$J330))</f>
        <v/>
      </c>
      <c r="J330" t="str">
        <f>IFERROR(MATCH(SMALL(Cálculos!$AI$5:$AI$1000,326),Cálculos!$AI$5:$AI$1000,0)+4,"")</f>
        <v/>
      </c>
    </row>
    <row r="331">
      <c r="A331" s="5" t="str">
        <f>IF($J331="","",INDEX('Detalle individual'!$B:$B,$J331))</f>
        <v/>
      </c>
      <c r="B331" s="5" t="str">
        <f>IF($J331="","",INDEX('Detalle individual'!$A:$A,$J331))</f>
        <v/>
      </c>
      <c r="C331" s="5" t="str">
        <f>IF($J331="","",INDEX('Detalle individual'!$E:$E,$J331))</f>
        <v/>
      </c>
      <c r="D331" s="5" t="str">
        <f>IF($J331="","",INDEX('Detalle individual'!$C:$C,$J331))</f>
        <v/>
      </c>
      <c r="E331" s="5" t="str">
        <f>IF($J331="","",INDEX('Detalle individual'!$D:$D,$J331))</f>
        <v/>
      </c>
      <c r="F331" s="23" t="str">
        <f>IF($J331="","",INDEX('Detalle individual'!$H:$H,$J331))</f>
        <v/>
      </c>
      <c r="G331" s="28" t="str">
        <f>IF($J331="","",INDEX('Detalle individual'!$J:$J,$J331))</f>
        <v/>
      </c>
      <c r="H331" s="28" t="str">
        <f>IF($J331="","",INDEX('Detalle individual'!$L:$L,$J331))</f>
        <v/>
      </c>
      <c r="J331" t="str">
        <f>IFERROR(MATCH(SMALL(Cálculos!$AI$5:$AI$1000,327),Cálculos!$AI$5:$AI$1000,0)+4,"")</f>
        <v/>
      </c>
    </row>
    <row r="332">
      <c r="A332" s="5" t="str">
        <f>IF($J332="","",INDEX('Detalle individual'!$B:$B,$J332))</f>
        <v/>
      </c>
      <c r="B332" s="5" t="str">
        <f>IF($J332="","",INDEX('Detalle individual'!$A:$A,$J332))</f>
        <v/>
      </c>
      <c r="C332" s="5" t="str">
        <f>IF($J332="","",INDEX('Detalle individual'!$E:$E,$J332))</f>
        <v/>
      </c>
      <c r="D332" s="5" t="str">
        <f>IF($J332="","",INDEX('Detalle individual'!$C:$C,$J332))</f>
        <v/>
      </c>
      <c r="E332" s="5" t="str">
        <f>IF($J332="","",INDEX('Detalle individual'!$D:$D,$J332))</f>
        <v/>
      </c>
      <c r="F332" s="23" t="str">
        <f>IF($J332="","",INDEX('Detalle individual'!$H:$H,$J332))</f>
        <v/>
      </c>
      <c r="G332" s="28" t="str">
        <f>IF($J332="","",INDEX('Detalle individual'!$J:$J,$J332))</f>
        <v/>
      </c>
      <c r="H332" s="28" t="str">
        <f>IF($J332="","",INDEX('Detalle individual'!$L:$L,$J332))</f>
        <v/>
      </c>
      <c r="J332" t="str">
        <f>IFERROR(MATCH(SMALL(Cálculos!$AI$5:$AI$1000,328),Cálculos!$AI$5:$AI$1000,0)+4,"")</f>
        <v/>
      </c>
    </row>
    <row r="333">
      <c r="A333" s="5" t="str">
        <f>IF($J333="","",INDEX('Detalle individual'!$B:$B,$J333))</f>
        <v/>
      </c>
      <c r="B333" s="5" t="str">
        <f>IF($J333="","",INDEX('Detalle individual'!$A:$A,$J333))</f>
        <v/>
      </c>
      <c r="C333" s="5" t="str">
        <f>IF($J333="","",INDEX('Detalle individual'!$E:$E,$J333))</f>
        <v/>
      </c>
      <c r="D333" s="5" t="str">
        <f>IF($J333="","",INDEX('Detalle individual'!$C:$C,$J333))</f>
        <v/>
      </c>
      <c r="E333" s="5" t="str">
        <f>IF($J333="","",INDEX('Detalle individual'!$D:$D,$J333))</f>
        <v/>
      </c>
      <c r="F333" s="23" t="str">
        <f>IF($J333="","",INDEX('Detalle individual'!$H:$H,$J333))</f>
        <v/>
      </c>
      <c r="G333" s="28" t="str">
        <f>IF($J333="","",INDEX('Detalle individual'!$J:$J,$J333))</f>
        <v/>
      </c>
      <c r="H333" s="28" t="str">
        <f>IF($J333="","",INDEX('Detalle individual'!$L:$L,$J333))</f>
        <v/>
      </c>
      <c r="J333" t="str">
        <f>IFERROR(MATCH(SMALL(Cálculos!$AI$5:$AI$1000,329),Cálculos!$AI$5:$AI$1000,0)+4,"")</f>
        <v/>
      </c>
    </row>
    <row r="334">
      <c r="A334" s="5" t="str">
        <f>IF($J334="","",INDEX('Detalle individual'!$B:$B,$J334))</f>
        <v/>
      </c>
      <c r="B334" s="5" t="str">
        <f>IF($J334="","",INDEX('Detalle individual'!$A:$A,$J334))</f>
        <v/>
      </c>
      <c r="C334" s="5" t="str">
        <f>IF($J334="","",INDEX('Detalle individual'!$E:$E,$J334))</f>
        <v/>
      </c>
      <c r="D334" s="5" t="str">
        <f>IF($J334="","",INDEX('Detalle individual'!$C:$C,$J334))</f>
        <v/>
      </c>
      <c r="E334" s="5" t="str">
        <f>IF($J334="","",INDEX('Detalle individual'!$D:$D,$J334))</f>
        <v/>
      </c>
      <c r="F334" s="23" t="str">
        <f>IF($J334="","",INDEX('Detalle individual'!$H:$H,$J334))</f>
        <v/>
      </c>
      <c r="G334" s="28" t="str">
        <f>IF($J334="","",INDEX('Detalle individual'!$J:$J,$J334))</f>
        <v/>
      </c>
      <c r="H334" s="28" t="str">
        <f>IF($J334="","",INDEX('Detalle individual'!$L:$L,$J334))</f>
        <v/>
      </c>
      <c r="J334" t="str">
        <f>IFERROR(MATCH(SMALL(Cálculos!$AI$5:$AI$1000,330),Cálculos!$AI$5:$AI$1000,0)+4,"")</f>
        <v/>
      </c>
    </row>
    <row r="335">
      <c r="A335" s="5" t="str">
        <f>IF($J335="","",INDEX('Detalle individual'!$B:$B,$J335))</f>
        <v/>
      </c>
      <c r="B335" s="5" t="str">
        <f>IF($J335="","",INDEX('Detalle individual'!$A:$A,$J335))</f>
        <v/>
      </c>
      <c r="C335" s="5" t="str">
        <f>IF($J335="","",INDEX('Detalle individual'!$E:$E,$J335))</f>
        <v/>
      </c>
      <c r="D335" s="5" t="str">
        <f>IF($J335="","",INDEX('Detalle individual'!$C:$C,$J335))</f>
        <v/>
      </c>
      <c r="E335" s="5" t="str">
        <f>IF($J335="","",INDEX('Detalle individual'!$D:$D,$J335))</f>
        <v/>
      </c>
      <c r="F335" s="23" t="str">
        <f>IF($J335="","",INDEX('Detalle individual'!$H:$H,$J335))</f>
        <v/>
      </c>
      <c r="G335" s="28" t="str">
        <f>IF($J335="","",INDEX('Detalle individual'!$J:$J,$J335))</f>
        <v/>
      </c>
      <c r="H335" s="28" t="str">
        <f>IF($J335="","",INDEX('Detalle individual'!$L:$L,$J335))</f>
        <v/>
      </c>
      <c r="J335" t="str">
        <f>IFERROR(MATCH(SMALL(Cálculos!$AI$5:$AI$1000,331),Cálculos!$AI$5:$AI$1000,0)+4,"")</f>
        <v/>
      </c>
    </row>
    <row r="336">
      <c r="A336" s="5" t="str">
        <f>IF($J336="","",INDEX('Detalle individual'!$B:$B,$J336))</f>
        <v/>
      </c>
      <c r="B336" s="5" t="str">
        <f>IF($J336="","",INDEX('Detalle individual'!$A:$A,$J336))</f>
        <v/>
      </c>
      <c r="C336" s="5" t="str">
        <f>IF($J336="","",INDEX('Detalle individual'!$E:$E,$J336))</f>
        <v/>
      </c>
      <c r="D336" s="5" t="str">
        <f>IF($J336="","",INDEX('Detalle individual'!$C:$C,$J336))</f>
        <v/>
      </c>
      <c r="E336" s="5" t="str">
        <f>IF($J336="","",INDEX('Detalle individual'!$D:$D,$J336))</f>
        <v/>
      </c>
      <c r="F336" s="23" t="str">
        <f>IF($J336="","",INDEX('Detalle individual'!$H:$H,$J336))</f>
        <v/>
      </c>
      <c r="G336" s="28" t="str">
        <f>IF($J336="","",INDEX('Detalle individual'!$J:$J,$J336))</f>
        <v/>
      </c>
      <c r="H336" s="28" t="str">
        <f>IF($J336="","",INDEX('Detalle individual'!$L:$L,$J336))</f>
        <v/>
      </c>
      <c r="J336" t="str">
        <f>IFERROR(MATCH(SMALL(Cálculos!$AI$5:$AI$1000,332),Cálculos!$AI$5:$AI$1000,0)+4,"")</f>
        <v/>
      </c>
    </row>
    <row r="337">
      <c r="A337" s="5" t="str">
        <f>IF($J337="","",INDEX('Detalle individual'!$B:$B,$J337))</f>
        <v/>
      </c>
      <c r="B337" s="5" t="str">
        <f>IF($J337="","",INDEX('Detalle individual'!$A:$A,$J337))</f>
        <v/>
      </c>
      <c r="C337" s="5" t="str">
        <f>IF($J337="","",INDEX('Detalle individual'!$E:$E,$J337))</f>
        <v/>
      </c>
      <c r="D337" s="5" t="str">
        <f>IF($J337="","",INDEX('Detalle individual'!$C:$C,$J337))</f>
        <v/>
      </c>
      <c r="E337" s="5" t="str">
        <f>IF($J337="","",INDEX('Detalle individual'!$D:$D,$J337))</f>
        <v/>
      </c>
      <c r="F337" s="23" t="str">
        <f>IF($J337="","",INDEX('Detalle individual'!$H:$H,$J337))</f>
        <v/>
      </c>
      <c r="G337" s="28" t="str">
        <f>IF($J337="","",INDEX('Detalle individual'!$J:$J,$J337))</f>
        <v/>
      </c>
      <c r="H337" s="28" t="str">
        <f>IF($J337="","",INDEX('Detalle individual'!$L:$L,$J337))</f>
        <v/>
      </c>
      <c r="J337" t="str">
        <f>IFERROR(MATCH(SMALL(Cálculos!$AI$5:$AI$1000,333),Cálculos!$AI$5:$AI$1000,0)+4,"")</f>
        <v/>
      </c>
    </row>
    <row r="338">
      <c r="A338" s="5" t="str">
        <f>IF($J338="","",INDEX('Detalle individual'!$B:$B,$J338))</f>
        <v/>
      </c>
      <c r="B338" s="5" t="str">
        <f>IF($J338="","",INDEX('Detalle individual'!$A:$A,$J338))</f>
        <v/>
      </c>
      <c r="C338" s="5" t="str">
        <f>IF($J338="","",INDEX('Detalle individual'!$E:$E,$J338))</f>
        <v/>
      </c>
      <c r="D338" s="5" t="str">
        <f>IF($J338="","",INDEX('Detalle individual'!$C:$C,$J338))</f>
        <v/>
      </c>
      <c r="E338" s="5" t="str">
        <f>IF($J338="","",INDEX('Detalle individual'!$D:$D,$J338))</f>
        <v/>
      </c>
      <c r="F338" s="23" t="str">
        <f>IF($J338="","",INDEX('Detalle individual'!$H:$H,$J338))</f>
        <v/>
      </c>
      <c r="G338" s="28" t="str">
        <f>IF($J338="","",INDEX('Detalle individual'!$J:$J,$J338))</f>
        <v/>
      </c>
      <c r="H338" s="28" t="str">
        <f>IF($J338="","",INDEX('Detalle individual'!$L:$L,$J338))</f>
        <v/>
      </c>
      <c r="J338" t="str">
        <f>IFERROR(MATCH(SMALL(Cálculos!$AI$5:$AI$1000,334),Cálculos!$AI$5:$AI$1000,0)+4,"")</f>
        <v/>
      </c>
    </row>
    <row r="339">
      <c r="A339" s="5" t="str">
        <f>IF($J339="","",INDEX('Detalle individual'!$B:$B,$J339))</f>
        <v/>
      </c>
      <c r="B339" s="5" t="str">
        <f>IF($J339="","",INDEX('Detalle individual'!$A:$A,$J339))</f>
        <v/>
      </c>
      <c r="C339" s="5" t="str">
        <f>IF($J339="","",INDEX('Detalle individual'!$E:$E,$J339))</f>
        <v/>
      </c>
      <c r="D339" s="5" t="str">
        <f>IF($J339="","",INDEX('Detalle individual'!$C:$C,$J339))</f>
        <v/>
      </c>
      <c r="E339" s="5" t="str">
        <f>IF($J339="","",INDEX('Detalle individual'!$D:$D,$J339))</f>
        <v/>
      </c>
      <c r="F339" s="23" t="str">
        <f>IF($J339="","",INDEX('Detalle individual'!$H:$H,$J339))</f>
        <v/>
      </c>
      <c r="G339" s="28" t="str">
        <f>IF($J339="","",INDEX('Detalle individual'!$J:$J,$J339))</f>
        <v/>
      </c>
      <c r="H339" s="28" t="str">
        <f>IF($J339="","",INDEX('Detalle individual'!$L:$L,$J339))</f>
        <v/>
      </c>
      <c r="J339" t="str">
        <f>IFERROR(MATCH(SMALL(Cálculos!$AI$5:$AI$1000,335),Cálculos!$AI$5:$AI$1000,0)+4,"")</f>
        <v/>
      </c>
    </row>
    <row r="340">
      <c r="A340" s="5" t="str">
        <f>IF($J340="","",INDEX('Detalle individual'!$B:$B,$J340))</f>
        <v/>
      </c>
      <c r="B340" s="5" t="str">
        <f>IF($J340="","",INDEX('Detalle individual'!$A:$A,$J340))</f>
        <v/>
      </c>
      <c r="C340" s="5" t="str">
        <f>IF($J340="","",INDEX('Detalle individual'!$E:$E,$J340))</f>
        <v/>
      </c>
      <c r="D340" s="5" t="str">
        <f>IF($J340="","",INDEX('Detalle individual'!$C:$C,$J340))</f>
        <v/>
      </c>
      <c r="E340" s="5" t="str">
        <f>IF($J340="","",INDEX('Detalle individual'!$D:$D,$J340))</f>
        <v/>
      </c>
      <c r="F340" s="23" t="str">
        <f>IF($J340="","",INDEX('Detalle individual'!$H:$H,$J340))</f>
        <v/>
      </c>
      <c r="G340" s="28" t="str">
        <f>IF($J340="","",INDEX('Detalle individual'!$J:$J,$J340))</f>
        <v/>
      </c>
      <c r="H340" s="28" t="str">
        <f>IF($J340="","",INDEX('Detalle individual'!$L:$L,$J340))</f>
        <v/>
      </c>
      <c r="J340" t="str">
        <f>IFERROR(MATCH(SMALL(Cálculos!$AI$5:$AI$1000,336),Cálculos!$AI$5:$AI$1000,0)+4,"")</f>
        <v/>
      </c>
    </row>
    <row r="341">
      <c r="A341" s="5" t="str">
        <f>IF($J341="","",INDEX('Detalle individual'!$B:$B,$J341))</f>
        <v/>
      </c>
      <c r="B341" s="5" t="str">
        <f>IF($J341="","",INDEX('Detalle individual'!$A:$A,$J341))</f>
        <v/>
      </c>
      <c r="C341" s="5" t="str">
        <f>IF($J341="","",INDEX('Detalle individual'!$E:$E,$J341))</f>
        <v/>
      </c>
      <c r="D341" s="5" t="str">
        <f>IF($J341="","",INDEX('Detalle individual'!$C:$C,$J341))</f>
        <v/>
      </c>
      <c r="E341" s="5" t="str">
        <f>IF($J341="","",INDEX('Detalle individual'!$D:$D,$J341))</f>
        <v/>
      </c>
      <c r="F341" s="23" t="str">
        <f>IF($J341="","",INDEX('Detalle individual'!$H:$H,$J341))</f>
        <v/>
      </c>
      <c r="G341" s="28" t="str">
        <f>IF($J341="","",INDEX('Detalle individual'!$J:$J,$J341))</f>
        <v/>
      </c>
      <c r="H341" s="28" t="str">
        <f>IF($J341="","",INDEX('Detalle individual'!$L:$L,$J341))</f>
        <v/>
      </c>
      <c r="J341" t="str">
        <f>IFERROR(MATCH(SMALL(Cálculos!$AI$5:$AI$1000,337),Cálculos!$AI$5:$AI$1000,0)+4,"")</f>
        <v/>
      </c>
    </row>
    <row r="342">
      <c r="A342" s="5" t="str">
        <f>IF($J342="","",INDEX('Detalle individual'!$B:$B,$J342))</f>
        <v/>
      </c>
      <c r="B342" s="5" t="str">
        <f>IF($J342="","",INDEX('Detalle individual'!$A:$A,$J342))</f>
        <v/>
      </c>
      <c r="C342" s="5" t="str">
        <f>IF($J342="","",INDEX('Detalle individual'!$E:$E,$J342))</f>
        <v/>
      </c>
      <c r="D342" s="5" t="str">
        <f>IF($J342="","",INDEX('Detalle individual'!$C:$C,$J342))</f>
        <v/>
      </c>
      <c r="E342" s="5" t="str">
        <f>IF($J342="","",INDEX('Detalle individual'!$D:$D,$J342))</f>
        <v/>
      </c>
      <c r="F342" s="23" t="str">
        <f>IF($J342="","",INDEX('Detalle individual'!$H:$H,$J342))</f>
        <v/>
      </c>
      <c r="G342" s="28" t="str">
        <f>IF($J342="","",INDEX('Detalle individual'!$J:$J,$J342))</f>
        <v/>
      </c>
      <c r="H342" s="28" t="str">
        <f>IF($J342="","",INDEX('Detalle individual'!$L:$L,$J342))</f>
        <v/>
      </c>
      <c r="J342" t="str">
        <f>IFERROR(MATCH(SMALL(Cálculos!$AI$5:$AI$1000,338),Cálculos!$AI$5:$AI$1000,0)+4,"")</f>
        <v/>
      </c>
    </row>
    <row r="343">
      <c r="A343" s="5" t="str">
        <f>IF($J343="","",INDEX('Detalle individual'!$B:$B,$J343))</f>
        <v/>
      </c>
      <c r="B343" s="5" t="str">
        <f>IF($J343="","",INDEX('Detalle individual'!$A:$A,$J343))</f>
        <v/>
      </c>
      <c r="C343" s="5" t="str">
        <f>IF($J343="","",INDEX('Detalle individual'!$E:$E,$J343))</f>
        <v/>
      </c>
      <c r="D343" s="5" t="str">
        <f>IF($J343="","",INDEX('Detalle individual'!$C:$C,$J343))</f>
        <v/>
      </c>
      <c r="E343" s="5" t="str">
        <f>IF($J343="","",INDEX('Detalle individual'!$D:$D,$J343))</f>
        <v/>
      </c>
      <c r="F343" s="23" t="str">
        <f>IF($J343="","",INDEX('Detalle individual'!$H:$H,$J343))</f>
        <v/>
      </c>
      <c r="G343" s="28" t="str">
        <f>IF($J343="","",INDEX('Detalle individual'!$J:$J,$J343))</f>
        <v/>
      </c>
      <c r="H343" s="28" t="str">
        <f>IF($J343="","",INDEX('Detalle individual'!$L:$L,$J343))</f>
        <v/>
      </c>
      <c r="J343" t="str">
        <f>IFERROR(MATCH(SMALL(Cálculos!$AI$5:$AI$1000,339),Cálculos!$AI$5:$AI$1000,0)+4,"")</f>
        <v/>
      </c>
    </row>
    <row r="344">
      <c r="A344" s="5" t="str">
        <f>IF($J344="","",INDEX('Detalle individual'!$B:$B,$J344))</f>
        <v/>
      </c>
      <c r="B344" s="5" t="str">
        <f>IF($J344="","",INDEX('Detalle individual'!$A:$A,$J344))</f>
        <v/>
      </c>
      <c r="C344" s="5" t="str">
        <f>IF($J344="","",INDEX('Detalle individual'!$E:$E,$J344))</f>
        <v/>
      </c>
      <c r="D344" s="5" t="str">
        <f>IF($J344="","",INDEX('Detalle individual'!$C:$C,$J344))</f>
        <v/>
      </c>
      <c r="E344" s="5" t="str">
        <f>IF($J344="","",INDEX('Detalle individual'!$D:$D,$J344))</f>
        <v/>
      </c>
      <c r="F344" s="23" t="str">
        <f>IF($J344="","",INDEX('Detalle individual'!$H:$H,$J344))</f>
        <v/>
      </c>
      <c r="G344" s="28" t="str">
        <f>IF($J344="","",INDEX('Detalle individual'!$J:$J,$J344))</f>
        <v/>
      </c>
      <c r="H344" s="28" t="str">
        <f>IF($J344="","",INDEX('Detalle individual'!$L:$L,$J344))</f>
        <v/>
      </c>
      <c r="J344" t="str">
        <f>IFERROR(MATCH(SMALL(Cálculos!$AI$5:$AI$1000,340),Cálculos!$AI$5:$AI$1000,0)+4,"")</f>
        <v/>
      </c>
    </row>
    <row r="345">
      <c r="A345" s="5" t="str">
        <f>IF($J345="","",INDEX('Detalle individual'!$B:$B,$J345))</f>
        <v/>
      </c>
      <c r="B345" s="5" t="str">
        <f>IF($J345="","",INDEX('Detalle individual'!$A:$A,$J345))</f>
        <v/>
      </c>
      <c r="C345" s="5" t="str">
        <f>IF($J345="","",INDEX('Detalle individual'!$E:$E,$J345))</f>
        <v/>
      </c>
      <c r="D345" s="5" t="str">
        <f>IF($J345="","",INDEX('Detalle individual'!$C:$C,$J345))</f>
        <v/>
      </c>
      <c r="E345" s="5" t="str">
        <f>IF($J345="","",INDEX('Detalle individual'!$D:$D,$J345))</f>
        <v/>
      </c>
      <c r="F345" s="23" t="str">
        <f>IF($J345="","",INDEX('Detalle individual'!$H:$H,$J345))</f>
        <v/>
      </c>
      <c r="G345" s="28" t="str">
        <f>IF($J345="","",INDEX('Detalle individual'!$J:$J,$J345))</f>
        <v/>
      </c>
      <c r="H345" s="28" t="str">
        <f>IF($J345="","",INDEX('Detalle individual'!$L:$L,$J345))</f>
        <v/>
      </c>
      <c r="J345" t="str">
        <f>IFERROR(MATCH(SMALL(Cálculos!$AI$5:$AI$1000,341),Cálculos!$AI$5:$AI$1000,0)+4,"")</f>
        <v/>
      </c>
    </row>
    <row r="346">
      <c r="A346" s="5" t="str">
        <f>IF($J346="","",INDEX('Detalle individual'!$B:$B,$J346))</f>
        <v/>
      </c>
      <c r="B346" s="5" t="str">
        <f>IF($J346="","",INDEX('Detalle individual'!$A:$A,$J346))</f>
        <v/>
      </c>
      <c r="C346" s="5" t="str">
        <f>IF($J346="","",INDEX('Detalle individual'!$E:$E,$J346))</f>
        <v/>
      </c>
      <c r="D346" s="5" t="str">
        <f>IF($J346="","",INDEX('Detalle individual'!$C:$C,$J346))</f>
        <v/>
      </c>
      <c r="E346" s="5" t="str">
        <f>IF($J346="","",INDEX('Detalle individual'!$D:$D,$J346))</f>
        <v/>
      </c>
      <c r="F346" s="23" t="str">
        <f>IF($J346="","",INDEX('Detalle individual'!$H:$H,$J346))</f>
        <v/>
      </c>
      <c r="G346" s="28" t="str">
        <f>IF($J346="","",INDEX('Detalle individual'!$J:$J,$J346))</f>
        <v/>
      </c>
      <c r="H346" s="28" t="str">
        <f>IF($J346="","",INDEX('Detalle individual'!$L:$L,$J346))</f>
        <v/>
      </c>
      <c r="J346" t="str">
        <f>IFERROR(MATCH(SMALL(Cálculos!$AI$5:$AI$1000,342),Cálculos!$AI$5:$AI$1000,0)+4,"")</f>
        <v/>
      </c>
    </row>
    <row r="347">
      <c r="A347" s="5" t="str">
        <f>IF($J347="","",INDEX('Detalle individual'!$B:$B,$J347))</f>
        <v/>
      </c>
      <c r="B347" s="5" t="str">
        <f>IF($J347="","",INDEX('Detalle individual'!$A:$A,$J347))</f>
        <v/>
      </c>
      <c r="C347" s="5" t="str">
        <f>IF($J347="","",INDEX('Detalle individual'!$E:$E,$J347))</f>
        <v/>
      </c>
      <c r="D347" s="5" t="str">
        <f>IF($J347="","",INDEX('Detalle individual'!$C:$C,$J347))</f>
        <v/>
      </c>
      <c r="E347" s="5" t="str">
        <f>IF($J347="","",INDEX('Detalle individual'!$D:$D,$J347))</f>
        <v/>
      </c>
      <c r="F347" s="23" t="str">
        <f>IF($J347="","",INDEX('Detalle individual'!$H:$H,$J347))</f>
        <v/>
      </c>
      <c r="G347" s="28" t="str">
        <f>IF($J347="","",INDEX('Detalle individual'!$J:$J,$J347))</f>
        <v/>
      </c>
      <c r="H347" s="28" t="str">
        <f>IF($J347="","",INDEX('Detalle individual'!$L:$L,$J347))</f>
        <v/>
      </c>
      <c r="J347" t="str">
        <f>IFERROR(MATCH(SMALL(Cálculos!$AI$5:$AI$1000,343),Cálculos!$AI$5:$AI$1000,0)+4,"")</f>
        <v/>
      </c>
    </row>
    <row r="348">
      <c r="A348" s="5" t="str">
        <f>IF($J348="","",INDEX('Detalle individual'!$B:$B,$J348))</f>
        <v/>
      </c>
      <c r="B348" s="5" t="str">
        <f>IF($J348="","",INDEX('Detalle individual'!$A:$A,$J348))</f>
        <v/>
      </c>
      <c r="C348" s="5" t="str">
        <f>IF($J348="","",INDEX('Detalle individual'!$E:$E,$J348))</f>
        <v/>
      </c>
      <c r="D348" s="5" t="str">
        <f>IF($J348="","",INDEX('Detalle individual'!$C:$C,$J348))</f>
        <v/>
      </c>
      <c r="E348" s="5" t="str">
        <f>IF($J348="","",INDEX('Detalle individual'!$D:$D,$J348))</f>
        <v/>
      </c>
      <c r="F348" s="23" t="str">
        <f>IF($J348="","",INDEX('Detalle individual'!$H:$H,$J348))</f>
        <v/>
      </c>
      <c r="G348" s="28" t="str">
        <f>IF($J348="","",INDEX('Detalle individual'!$J:$J,$J348))</f>
        <v/>
      </c>
      <c r="H348" s="28" t="str">
        <f>IF($J348="","",INDEX('Detalle individual'!$L:$L,$J348))</f>
        <v/>
      </c>
      <c r="J348" t="str">
        <f>IFERROR(MATCH(SMALL(Cálculos!$AI$5:$AI$1000,344),Cálculos!$AI$5:$AI$1000,0)+4,"")</f>
        <v/>
      </c>
    </row>
    <row r="349">
      <c r="A349" s="5" t="str">
        <f>IF($J349="","",INDEX('Detalle individual'!$B:$B,$J349))</f>
        <v/>
      </c>
      <c r="B349" s="5" t="str">
        <f>IF($J349="","",INDEX('Detalle individual'!$A:$A,$J349))</f>
        <v/>
      </c>
      <c r="C349" s="5" t="str">
        <f>IF($J349="","",INDEX('Detalle individual'!$E:$E,$J349))</f>
        <v/>
      </c>
      <c r="D349" s="5" t="str">
        <f>IF($J349="","",INDEX('Detalle individual'!$C:$C,$J349))</f>
        <v/>
      </c>
      <c r="E349" s="5" t="str">
        <f>IF($J349="","",INDEX('Detalle individual'!$D:$D,$J349))</f>
        <v/>
      </c>
      <c r="F349" s="23" t="str">
        <f>IF($J349="","",INDEX('Detalle individual'!$H:$H,$J349))</f>
        <v/>
      </c>
      <c r="G349" s="28" t="str">
        <f>IF($J349="","",INDEX('Detalle individual'!$J:$J,$J349))</f>
        <v/>
      </c>
      <c r="H349" s="28" t="str">
        <f>IF($J349="","",INDEX('Detalle individual'!$L:$L,$J349))</f>
        <v/>
      </c>
      <c r="J349" t="str">
        <f>IFERROR(MATCH(SMALL(Cálculos!$AI$5:$AI$1000,345),Cálculos!$AI$5:$AI$1000,0)+4,"")</f>
        <v/>
      </c>
    </row>
    <row r="350">
      <c r="A350" s="5" t="str">
        <f>IF($J350="","",INDEX('Detalle individual'!$B:$B,$J350))</f>
        <v/>
      </c>
      <c r="B350" s="5" t="str">
        <f>IF($J350="","",INDEX('Detalle individual'!$A:$A,$J350))</f>
        <v/>
      </c>
      <c r="C350" s="5" t="str">
        <f>IF($J350="","",INDEX('Detalle individual'!$E:$E,$J350))</f>
        <v/>
      </c>
      <c r="D350" s="5" t="str">
        <f>IF($J350="","",INDEX('Detalle individual'!$C:$C,$J350))</f>
        <v/>
      </c>
      <c r="E350" s="5" t="str">
        <f>IF($J350="","",INDEX('Detalle individual'!$D:$D,$J350))</f>
        <v/>
      </c>
      <c r="F350" s="23" t="str">
        <f>IF($J350="","",INDEX('Detalle individual'!$H:$H,$J350))</f>
        <v/>
      </c>
      <c r="G350" s="28" t="str">
        <f>IF($J350="","",INDEX('Detalle individual'!$J:$J,$J350))</f>
        <v/>
      </c>
      <c r="H350" s="28" t="str">
        <f>IF($J350="","",INDEX('Detalle individual'!$L:$L,$J350))</f>
        <v/>
      </c>
      <c r="J350" t="str">
        <f>IFERROR(MATCH(SMALL(Cálculos!$AI$5:$AI$1000,346),Cálculos!$AI$5:$AI$1000,0)+4,"")</f>
        <v/>
      </c>
    </row>
    <row r="351">
      <c r="A351" s="5" t="str">
        <f>IF($J351="","",INDEX('Detalle individual'!$B:$B,$J351))</f>
        <v/>
      </c>
      <c r="B351" s="5" t="str">
        <f>IF($J351="","",INDEX('Detalle individual'!$A:$A,$J351))</f>
        <v/>
      </c>
      <c r="C351" s="5" t="str">
        <f>IF($J351="","",INDEX('Detalle individual'!$E:$E,$J351))</f>
        <v/>
      </c>
      <c r="D351" s="5" t="str">
        <f>IF($J351="","",INDEX('Detalle individual'!$C:$C,$J351))</f>
        <v/>
      </c>
      <c r="E351" s="5" t="str">
        <f>IF($J351="","",INDEX('Detalle individual'!$D:$D,$J351))</f>
        <v/>
      </c>
      <c r="F351" s="23" t="str">
        <f>IF($J351="","",INDEX('Detalle individual'!$H:$H,$J351))</f>
        <v/>
      </c>
      <c r="G351" s="28" t="str">
        <f>IF($J351="","",INDEX('Detalle individual'!$J:$J,$J351))</f>
        <v/>
      </c>
      <c r="H351" s="28" t="str">
        <f>IF($J351="","",INDEX('Detalle individual'!$L:$L,$J351))</f>
        <v/>
      </c>
      <c r="J351" t="str">
        <f>IFERROR(MATCH(SMALL(Cálculos!$AI$5:$AI$1000,347),Cálculos!$AI$5:$AI$1000,0)+4,"")</f>
        <v/>
      </c>
    </row>
    <row r="352">
      <c r="A352" s="5" t="str">
        <f>IF($J352="","",INDEX('Detalle individual'!$B:$B,$J352))</f>
        <v/>
      </c>
      <c r="B352" s="5" t="str">
        <f>IF($J352="","",INDEX('Detalle individual'!$A:$A,$J352))</f>
        <v/>
      </c>
      <c r="C352" s="5" t="str">
        <f>IF($J352="","",INDEX('Detalle individual'!$E:$E,$J352))</f>
        <v/>
      </c>
      <c r="D352" s="5" t="str">
        <f>IF($J352="","",INDEX('Detalle individual'!$C:$C,$J352))</f>
        <v/>
      </c>
      <c r="E352" s="5" t="str">
        <f>IF($J352="","",INDEX('Detalle individual'!$D:$D,$J352))</f>
        <v/>
      </c>
      <c r="F352" s="23" t="str">
        <f>IF($J352="","",INDEX('Detalle individual'!$H:$H,$J352))</f>
        <v/>
      </c>
      <c r="G352" s="28" t="str">
        <f>IF($J352="","",INDEX('Detalle individual'!$J:$J,$J352))</f>
        <v/>
      </c>
      <c r="H352" s="28" t="str">
        <f>IF($J352="","",INDEX('Detalle individual'!$L:$L,$J352))</f>
        <v/>
      </c>
      <c r="J352" t="str">
        <f>IFERROR(MATCH(SMALL(Cálculos!$AI$5:$AI$1000,348),Cálculos!$AI$5:$AI$1000,0)+4,"")</f>
        <v/>
      </c>
    </row>
    <row r="353">
      <c r="A353" s="5" t="str">
        <f>IF($J353="","",INDEX('Detalle individual'!$B:$B,$J353))</f>
        <v/>
      </c>
      <c r="B353" s="5" t="str">
        <f>IF($J353="","",INDEX('Detalle individual'!$A:$A,$J353))</f>
        <v/>
      </c>
      <c r="C353" s="5" t="str">
        <f>IF($J353="","",INDEX('Detalle individual'!$E:$E,$J353))</f>
        <v/>
      </c>
      <c r="D353" s="5" t="str">
        <f>IF($J353="","",INDEX('Detalle individual'!$C:$C,$J353))</f>
        <v/>
      </c>
      <c r="E353" s="5" t="str">
        <f>IF($J353="","",INDEX('Detalle individual'!$D:$D,$J353))</f>
        <v/>
      </c>
      <c r="F353" s="23" t="str">
        <f>IF($J353="","",INDEX('Detalle individual'!$H:$H,$J353))</f>
        <v/>
      </c>
      <c r="G353" s="28" t="str">
        <f>IF($J353="","",INDEX('Detalle individual'!$J:$J,$J353))</f>
        <v/>
      </c>
      <c r="H353" s="28" t="str">
        <f>IF($J353="","",INDEX('Detalle individual'!$L:$L,$J353))</f>
        <v/>
      </c>
      <c r="J353" t="str">
        <f>IFERROR(MATCH(SMALL(Cálculos!$AI$5:$AI$1000,349),Cálculos!$AI$5:$AI$1000,0)+4,"")</f>
        <v/>
      </c>
    </row>
    <row r="354">
      <c r="A354" s="5" t="str">
        <f>IF($J354="","",INDEX('Detalle individual'!$B:$B,$J354))</f>
        <v/>
      </c>
      <c r="B354" s="5" t="str">
        <f>IF($J354="","",INDEX('Detalle individual'!$A:$A,$J354))</f>
        <v/>
      </c>
      <c r="C354" s="5" t="str">
        <f>IF($J354="","",INDEX('Detalle individual'!$E:$E,$J354))</f>
        <v/>
      </c>
      <c r="D354" s="5" t="str">
        <f>IF($J354="","",INDEX('Detalle individual'!$C:$C,$J354))</f>
        <v/>
      </c>
      <c r="E354" s="5" t="str">
        <f>IF($J354="","",INDEX('Detalle individual'!$D:$D,$J354))</f>
        <v/>
      </c>
      <c r="F354" s="23" t="str">
        <f>IF($J354="","",INDEX('Detalle individual'!$H:$H,$J354))</f>
        <v/>
      </c>
      <c r="G354" s="28" t="str">
        <f>IF($J354="","",INDEX('Detalle individual'!$J:$J,$J354))</f>
        <v/>
      </c>
      <c r="H354" s="28" t="str">
        <f>IF($J354="","",INDEX('Detalle individual'!$L:$L,$J354))</f>
        <v/>
      </c>
      <c r="J354" t="str">
        <f>IFERROR(MATCH(SMALL(Cálculos!$AI$5:$AI$1000,350),Cálculos!$AI$5:$AI$1000,0)+4,"")</f>
        <v/>
      </c>
    </row>
    <row r="355">
      <c r="A355" s="5" t="str">
        <f>IF($J355="","",INDEX('Detalle individual'!$B:$B,$J355))</f>
        <v/>
      </c>
      <c r="B355" s="5" t="str">
        <f>IF($J355="","",INDEX('Detalle individual'!$A:$A,$J355))</f>
        <v/>
      </c>
      <c r="C355" s="5" t="str">
        <f>IF($J355="","",INDEX('Detalle individual'!$E:$E,$J355))</f>
        <v/>
      </c>
      <c r="D355" s="5" t="str">
        <f>IF($J355="","",INDEX('Detalle individual'!$C:$C,$J355))</f>
        <v/>
      </c>
      <c r="E355" s="5" t="str">
        <f>IF($J355="","",INDEX('Detalle individual'!$D:$D,$J355))</f>
        <v/>
      </c>
      <c r="F355" s="23" t="str">
        <f>IF($J355="","",INDEX('Detalle individual'!$H:$H,$J355))</f>
        <v/>
      </c>
      <c r="G355" s="28" t="str">
        <f>IF($J355="","",INDEX('Detalle individual'!$J:$J,$J355))</f>
        <v/>
      </c>
      <c r="H355" s="28" t="str">
        <f>IF($J355="","",INDEX('Detalle individual'!$L:$L,$J355))</f>
        <v/>
      </c>
      <c r="J355" t="str">
        <f>IFERROR(MATCH(SMALL(Cálculos!$AI$5:$AI$1000,351),Cálculos!$AI$5:$AI$1000,0)+4,"")</f>
        <v/>
      </c>
    </row>
    <row r="356">
      <c r="A356" s="5" t="str">
        <f>IF($J356="","",INDEX('Detalle individual'!$B:$B,$J356))</f>
        <v/>
      </c>
      <c r="B356" s="5" t="str">
        <f>IF($J356="","",INDEX('Detalle individual'!$A:$A,$J356))</f>
        <v/>
      </c>
      <c r="C356" s="5" t="str">
        <f>IF($J356="","",INDEX('Detalle individual'!$E:$E,$J356))</f>
        <v/>
      </c>
      <c r="D356" s="5" t="str">
        <f>IF($J356="","",INDEX('Detalle individual'!$C:$C,$J356))</f>
        <v/>
      </c>
      <c r="E356" s="5" t="str">
        <f>IF($J356="","",INDEX('Detalle individual'!$D:$D,$J356))</f>
        <v/>
      </c>
      <c r="F356" s="23" t="str">
        <f>IF($J356="","",INDEX('Detalle individual'!$H:$H,$J356))</f>
        <v/>
      </c>
      <c r="G356" s="28" t="str">
        <f>IF($J356="","",INDEX('Detalle individual'!$J:$J,$J356))</f>
        <v/>
      </c>
      <c r="H356" s="28" t="str">
        <f>IF($J356="","",INDEX('Detalle individual'!$L:$L,$J356))</f>
        <v/>
      </c>
      <c r="J356" t="str">
        <f>IFERROR(MATCH(SMALL(Cálculos!$AI$5:$AI$1000,352),Cálculos!$AI$5:$AI$1000,0)+4,"")</f>
        <v/>
      </c>
    </row>
    <row r="357">
      <c r="A357" s="5" t="str">
        <f>IF($J357="","",INDEX('Detalle individual'!$B:$B,$J357))</f>
        <v/>
      </c>
      <c r="B357" s="5" t="str">
        <f>IF($J357="","",INDEX('Detalle individual'!$A:$A,$J357))</f>
        <v/>
      </c>
      <c r="C357" s="5" t="str">
        <f>IF($J357="","",INDEX('Detalle individual'!$E:$E,$J357))</f>
        <v/>
      </c>
      <c r="D357" s="5" t="str">
        <f>IF($J357="","",INDEX('Detalle individual'!$C:$C,$J357))</f>
        <v/>
      </c>
      <c r="E357" s="5" t="str">
        <f>IF($J357="","",INDEX('Detalle individual'!$D:$D,$J357))</f>
        <v/>
      </c>
      <c r="F357" s="23" t="str">
        <f>IF($J357="","",INDEX('Detalle individual'!$H:$H,$J357))</f>
        <v/>
      </c>
      <c r="G357" s="28" t="str">
        <f>IF($J357="","",INDEX('Detalle individual'!$J:$J,$J357))</f>
        <v/>
      </c>
      <c r="H357" s="28" t="str">
        <f>IF($J357="","",INDEX('Detalle individual'!$L:$L,$J357))</f>
        <v/>
      </c>
      <c r="J357" t="str">
        <f>IFERROR(MATCH(SMALL(Cálculos!$AI$5:$AI$1000,353),Cálculos!$AI$5:$AI$1000,0)+4,"")</f>
        <v/>
      </c>
    </row>
    <row r="358">
      <c r="A358" s="5" t="str">
        <f>IF($J358="","",INDEX('Detalle individual'!$B:$B,$J358))</f>
        <v/>
      </c>
      <c r="B358" s="5" t="str">
        <f>IF($J358="","",INDEX('Detalle individual'!$A:$A,$J358))</f>
        <v/>
      </c>
      <c r="C358" s="5" t="str">
        <f>IF($J358="","",INDEX('Detalle individual'!$E:$E,$J358))</f>
        <v/>
      </c>
      <c r="D358" s="5" t="str">
        <f>IF($J358="","",INDEX('Detalle individual'!$C:$C,$J358))</f>
        <v/>
      </c>
      <c r="E358" s="5" t="str">
        <f>IF($J358="","",INDEX('Detalle individual'!$D:$D,$J358))</f>
        <v/>
      </c>
      <c r="F358" s="23" t="str">
        <f>IF($J358="","",INDEX('Detalle individual'!$H:$H,$J358))</f>
        <v/>
      </c>
      <c r="G358" s="28" t="str">
        <f>IF($J358="","",INDEX('Detalle individual'!$J:$J,$J358))</f>
        <v/>
      </c>
      <c r="H358" s="28" t="str">
        <f>IF($J358="","",INDEX('Detalle individual'!$L:$L,$J358))</f>
        <v/>
      </c>
      <c r="J358" t="str">
        <f>IFERROR(MATCH(SMALL(Cálculos!$AI$5:$AI$1000,354),Cálculos!$AI$5:$AI$1000,0)+4,"")</f>
        <v/>
      </c>
    </row>
    <row r="359">
      <c r="A359" s="5" t="str">
        <f>IF($J359="","",INDEX('Detalle individual'!$B:$B,$J359))</f>
        <v/>
      </c>
      <c r="B359" s="5" t="str">
        <f>IF($J359="","",INDEX('Detalle individual'!$A:$A,$J359))</f>
        <v/>
      </c>
      <c r="C359" s="5" t="str">
        <f>IF($J359="","",INDEX('Detalle individual'!$E:$E,$J359))</f>
        <v/>
      </c>
      <c r="D359" s="5" t="str">
        <f>IF($J359="","",INDEX('Detalle individual'!$C:$C,$J359))</f>
        <v/>
      </c>
      <c r="E359" s="5" t="str">
        <f>IF($J359="","",INDEX('Detalle individual'!$D:$D,$J359))</f>
        <v/>
      </c>
      <c r="F359" s="23" t="str">
        <f>IF($J359="","",INDEX('Detalle individual'!$H:$H,$J359))</f>
        <v/>
      </c>
      <c r="G359" s="28" t="str">
        <f>IF($J359="","",INDEX('Detalle individual'!$J:$J,$J359))</f>
        <v/>
      </c>
      <c r="H359" s="28" t="str">
        <f>IF($J359="","",INDEX('Detalle individual'!$L:$L,$J359))</f>
        <v/>
      </c>
      <c r="J359" t="str">
        <f>IFERROR(MATCH(SMALL(Cálculos!$AI$5:$AI$1000,355),Cálculos!$AI$5:$AI$1000,0)+4,"")</f>
        <v/>
      </c>
    </row>
    <row r="360">
      <c r="A360" s="5" t="str">
        <f>IF($J360="","",INDEX('Detalle individual'!$B:$B,$J360))</f>
        <v/>
      </c>
      <c r="B360" s="5" t="str">
        <f>IF($J360="","",INDEX('Detalle individual'!$A:$A,$J360))</f>
        <v/>
      </c>
      <c r="C360" s="5" t="str">
        <f>IF($J360="","",INDEX('Detalle individual'!$E:$E,$J360))</f>
        <v/>
      </c>
      <c r="D360" s="5" t="str">
        <f>IF($J360="","",INDEX('Detalle individual'!$C:$C,$J360))</f>
        <v/>
      </c>
      <c r="E360" s="5" t="str">
        <f>IF($J360="","",INDEX('Detalle individual'!$D:$D,$J360))</f>
        <v/>
      </c>
      <c r="F360" s="23" t="str">
        <f>IF($J360="","",INDEX('Detalle individual'!$H:$H,$J360))</f>
        <v/>
      </c>
      <c r="G360" s="28" t="str">
        <f>IF($J360="","",INDEX('Detalle individual'!$J:$J,$J360))</f>
        <v/>
      </c>
      <c r="H360" s="28" t="str">
        <f>IF($J360="","",INDEX('Detalle individual'!$L:$L,$J360))</f>
        <v/>
      </c>
      <c r="J360" t="str">
        <f>IFERROR(MATCH(SMALL(Cálculos!$AI$5:$AI$1000,356),Cálculos!$AI$5:$AI$1000,0)+4,"")</f>
        <v/>
      </c>
    </row>
    <row r="361">
      <c r="A361" s="5" t="str">
        <f>IF($J361="","",INDEX('Detalle individual'!$B:$B,$J361))</f>
        <v/>
      </c>
      <c r="B361" s="5" t="str">
        <f>IF($J361="","",INDEX('Detalle individual'!$A:$A,$J361))</f>
        <v/>
      </c>
      <c r="C361" s="5" t="str">
        <f>IF($J361="","",INDEX('Detalle individual'!$E:$E,$J361))</f>
        <v/>
      </c>
      <c r="D361" s="5" t="str">
        <f>IF($J361="","",INDEX('Detalle individual'!$C:$C,$J361))</f>
        <v/>
      </c>
      <c r="E361" s="5" t="str">
        <f>IF($J361="","",INDEX('Detalle individual'!$D:$D,$J361))</f>
        <v/>
      </c>
      <c r="F361" s="23" t="str">
        <f>IF($J361="","",INDEX('Detalle individual'!$H:$H,$J361))</f>
        <v/>
      </c>
      <c r="G361" s="28" t="str">
        <f>IF($J361="","",INDEX('Detalle individual'!$J:$J,$J361))</f>
        <v/>
      </c>
      <c r="H361" s="28" t="str">
        <f>IF($J361="","",INDEX('Detalle individual'!$L:$L,$J361))</f>
        <v/>
      </c>
      <c r="J361" t="str">
        <f>IFERROR(MATCH(SMALL(Cálculos!$AI$5:$AI$1000,357),Cálculos!$AI$5:$AI$1000,0)+4,"")</f>
        <v/>
      </c>
    </row>
    <row r="362">
      <c r="A362" s="5" t="str">
        <f>IF($J362="","",INDEX('Detalle individual'!$B:$B,$J362))</f>
        <v/>
      </c>
      <c r="B362" s="5" t="str">
        <f>IF($J362="","",INDEX('Detalle individual'!$A:$A,$J362))</f>
        <v/>
      </c>
      <c r="C362" s="5" t="str">
        <f>IF($J362="","",INDEX('Detalle individual'!$E:$E,$J362))</f>
        <v/>
      </c>
      <c r="D362" s="5" t="str">
        <f>IF($J362="","",INDEX('Detalle individual'!$C:$C,$J362))</f>
        <v/>
      </c>
      <c r="E362" s="5" t="str">
        <f>IF($J362="","",INDEX('Detalle individual'!$D:$D,$J362))</f>
        <v/>
      </c>
      <c r="F362" s="23" t="str">
        <f>IF($J362="","",INDEX('Detalle individual'!$H:$H,$J362))</f>
        <v/>
      </c>
      <c r="G362" s="28" t="str">
        <f>IF($J362="","",INDEX('Detalle individual'!$J:$J,$J362))</f>
        <v/>
      </c>
      <c r="H362" s="28" t="str">
        <f>IF($J362="","",INDEX('Detalle individual'!$L:$L,$J362))</f>
        <v/>
      </c>
      <c r="J362" t="str">
        <f>IFERROR(MATCH(SMALL(Cálculos!$AI$5:$AI$1000,358),Cálculos!$AI$5:$AI$1000,0)+4,"")</f>
        <v/>
      </c>
    </row>
    <row r="363">
      <c r="A363" s="5" t="str">
        <f>IF($J363="","",INDEX('Detalle individual'!$B:$B,$J363))</f>
        <v/>
      </c>
      <c r="B363" s="5" t="str">
        <f>IF($J363="","",INDEX('Detalle individual'!$A:$A,$J363))</f>
        <v/>
      </c>
      <c r="C363" s="5" t="str">
        <f>IF($J363="","",INDEX('Detalle individual'!$E:$E,$J363))</f>
        <v/>
      </c>
      <c r="D363" s="5" t="str">
        <f>IF($J363="","",INDEX('Detalle individual'!$C:$C,$J363))</f>
        <v/>
      </c>
      <c r="E363" s="5" t="str">
        <f>IF($J363="","",INDEX('Detalle individual'!$D:$D,$J363))</f>
        <v/>
      </c>
      <c r="F363" s="23" t="str">
        <f>IF($J363="","",INDEX('Detalle individual'!$H:$H,$J363))</f>
        <v/>
      </c>
      <c r="G363" s="28" t="str">
        <f>IF($J363="","",INDEX('Detalle individual'!$J:$J,$J363))</f>
        <v/>
      </c>
      <c r="H363" s="28" t="str">
        <f>IF($J363="","",INDEX('Detalle individual'!$L:$L,$J363))</f>
        <v/>
      </c>
      <c r="J363" t="str">
        <f>IFERROR(MATCH(SMALL(Cálculos!$AI$5:$AI$1000,359),Cálculos!$AI$5:$AI$1000,0)+4,"")</f>
        <v/>
      </c>
    </row>
    <row r="364">
      <c r="A364" s="5" t="str">
        <f>IF($J364="","",INDEX('Detalle individual'!$B:$B,$J364))</f>
        <v/>
      </c>
      <c r="B364" s="5" t="str">
        <f>IF($J364="","",INDEX('Detalle individual'!$A:$A,$J364))</f>
        <v/>
      </c>
      <c r="C364" s="5" t="str">
        <f>IF($J364="","",INDEX('Detalle individual'!$E:$E,$J364))</f>
        <v/>
      </c>
      <c r="D364" s="5" t="str">
        <f>IF($J364="","",INDEX('Detalle individual'!$C:$C,$J364))</f>
        <v/>
      </c>
      <c r="E364" s="5" t="str">
        <f>IF($J364="","",INDEX('Detalle individual'!$D:$D,$J364))</f>
        <v/>
      </c>
      <c r="F364" s="23" t="str">
        <f>IF($J364="","",INDEX('Detalle individual'!$H:$H,$J364))</f>
        <v/>
      </c>
      <c r="G364" s="28" t="str">
        <f>IF($J364="","",INDEX('Detalle individual'!$J:$J,$J364))</f>
        <v/>
      </c>
      <c r="H364" s="28" t="str">
        <f>IF($J364="","",INDEX('Detalle individual'!$L:$L,$J364))</f>
        <v/>
      </c>
      <c r="J364" t="str">
        <f>IFERROR(MATCH(SMALL(Cálculos!$AI$5:$AI$1000,360),Cálculos!$AI$5:$AI$1000,0)+4,"")</f>
        <v/>
      </c>
    </row>
    <row r="365">
      <c r="A365" s="5" t="str">
        <f>IF($J365="","",INDEX('Detalle individual'!$B:$B,$J365))</f>
        <v/>
      </c>
      <c r="B365" s="5" t="str">
        <f>IF($J365="","",INDEX('Detalle individual'!$A:$A,$J365))</f>
        <v/>
      </c>
      <c r="C365" s="5" t="str">
        <f>IF($J365="","",INDEX('Detalle individual'!$E:$E,$J365))</f>
        <v/>
      </c>
      <c r="D365" s="5" t="str">
        <f>IF($J365="","",INDEX('Detalle individual'!$C:$C,$J365))</f>
        <v/>
      </c>
      <c r="E365" s="5" t="str">
        <f>IF($J365="","",INDEX('Detalle individual'!$D:$D,$J365))</f>
        <v/>
      </c>
      <c r="F365" s="23" t="str">
        <f>IF($J365="","",INDEX('Detalle individual'!$H:$H,$J365))</f>
        <v/>
      </c>
      <c r="G365" s="28" t="str">
        <f>IF($J365="","",INDEX('Detalle individual'!$J:$J,$J365))</f>
        <v/>
      </c>
      <c r="H365" s="28" t="str">
        <f>IF($J365="","",INDEX('Detalle individual'!$L:$L,$J365))</f>
        <v/>
      </c>
      <c r="J365" t="str">
        <f>IFERROR(MATCH(SMALL(Cálculos!$AI$5:$AI$1000,361),Cálculos!$AI$5:$AI$1000,0)+4,"")</f>
        <v/>
      </c>
    </row>
    <row r="366">
      <c r="A366" s="5" t="str">
        <f>IF($J366="","",INDEX('Detalle individual'!$B:$B,$J366))</f>
        <v/>
      </c>
      <c r="B366" s="5" t="str">
        <f>IF($J366="","",INDEX('Detalle individual'!$A:$A,$J366))</f>
        <v/>
      </c>
      <c r="C366" s="5" t="str">
        <f>IF($J366="","",INDEX('Detalle individual'!$E:$E,$J366))</f>
        <v/>
      </c>
      <c r="D366" s="5" t="str">
        <f>IF($J366="","",INDEX('Detalle individual'!$C:$C,$J366))</f>
        <v/>
      </c>
      <c r="E366" s="5" t="str">
        <f>IF($J366="","",INDEX('Detalle individual'!$D:$D,$J366))</f>
        <v/>
      </c>
      <c r="F366" s="23" t="str">
        <f>IF($J366="","",INDEX('Detalle individual'!$H:$H,$J366))</f>
        <v/>
      </c>
      <c r="G366" s="28" t="str">
        <f>IF($J366="","",INDEX('Detalle individual'!$J:$J,$J366))</f>
        <v/>
      </c>
      <c r="H366" s="28" t="str">
        <f>IF($J366="","",INDEX('Detalle individual'!$L:$L,$J366))</f>
        <v/>
      </c>
      <c r="J366" t="str">
        <f>IFERROR(MATCH(SMALL(Cálculos!$AI$5:$AI$1000,362),Cálculos!$AI$5:$AI$1000,0)+4,"")</f>
        <v/>
      </c>
    </row>
    <row r="367">
      <c r="A367" s="5" t="str">
        <f>IF($J367="","",INDEX('Detalle individual'!$B:$B,$J367))</f>
        <v/>
      </c>
      <c r="B367" s="5" t="str">
        <f>IF($J367="","",INDEX('Detalle individual'!$A:$A,$J367))</f>
        <v/>
      </c>
      <c r="C367" s="5" t="str">
        <f>IF($J367="","",INDEX('Detalle individual'!$E:$E,$J367))</f>
        <v/>
      </c>
      <c r="D367" s="5" t="str">
        <f>IF($J367="","",INDEX('Detalle individual'!$C:$C,$J367))</f>
        <v/>
      </c>
      <c r="E367" s="5" t="str">
        <f>IF($J367="","",INDEX('Detalle individual'!$D:$D,$J367))</f>
        <v/>
      </c>
      <c r="F367" s="23" t="str">
        <f>IF($J367="","",INDEX('Detalle individual'!$H:$H,$J367))</f>
        <v/>
      </c>
      <c r="G367" s="28" t="str">
        <f>IF($J367="","",INDEX('Detalle individual'!$J:$J,$J367))</f>
        <v/>
      </c>
      <c r="H367" s="28" t="str">
        <f>IF($J367="","",INDEX('Detalle individual'!$L:$L,$J367))</f>
        <v/>
      </c>
      <c r="J367" t="str">
        <f>IFERROR(MATCH(SMALL(Cálculos!$AI$5:$AI$1000,363),Cálculos!$AI$5:$AI$1000,0)+4,"")</f>
        <v/>
      </c>
    </row>
    <row r="368">
      <c r="A368" s="5" t="str">
        <f>IF($J368="","",INDEX('Detalle individual'!$B:$B,$J368))</f>
        <v/>
      </c>
      <c r="B368" s="5" t="str">
        <f>IF($J368="","",INDEX('Detalle individual'!$A:$A,$J368))</f>
        <v/>
      </c>
      <c r="C368" s="5" t="str">
        <f>IF($J368="","",INDEX('Detalle individual'!$E:$E,$J368))</f>
        <v/>
      </c>
      <c r="D368" s="5" t="str">
        <f>IF($J368="","",INDEX('Detalle individual'!$C:$C,$J368))</f>
        <v/>
      </c>
      <c r="E368" s="5" t="str">
        <f>IF($J368="","",INDEX('Detalle individual'!$D:$D,$J368))</f>
        <v/>
      </c>
      <c r="F368" s="23" t="str">
        <f>IF($J368="","",INDEX('Detalle individual'!$H:$H,$J368))</f>
        <v/>
      </c>
      <c r="G368" s="28" t="str">
        <f>IF($J368="","",INDEX('Detalle individual'!$J:$J,$J368))</f>
        <v/>
      </c>
      <c r="H368" s="28" t="str">
        <f>IF($J368="","",INDEX('Detalle individual'!$L:$L,$J368))</f>
        <v/>
      </c>
      <c r="J368" t="str">
        <f>IFERROR(MATCH(SMALL(Cálculos!$AI$5:$AI$1000,364),Cálculos!$AI$5:$AI$1000,0)+4,"")</f>
        <v/>
      </c>
    </row>
    <row r="369">
      <c r="A369" s="5" t="str">
        <f>IF($J369="","",INDEX('Detalle individual'!$B:$B,$J369))</f>
        <v/>
      </c>
      <c r="B369" s="5" t="str">
        <f>IF($J369="","",INDEX('Detalle individual'!$A:$A,$J369))</f>
        <v/>
      </c>
      <c r="C369" s="5" t="str">
        <f>IF($J369="","",INDEX('Detalle individual'!$E:$E,$J369))</f>
        <v/>
      </c>
      <c r="D369" s="5" t="str">
        <f>IF($J369="","",INDEX('Detalle individual'!$C:$C,$J369))</f>
        <v/>
      </c>
      <c r="E369" s="5" t="str">
        <f>IF($J369="","",INDEX('Detalle individual'!$D:$D,$J369))</f>
        <v/>
      </c>
      <c r="F369" s="23" t="str">
        <f>IF($J369="","",INDEX('Detalle individual'!$H:$H,$J369))</f>
        <v/>
      </c>
      <c r="G369" s="28" t="str">
        <f>IF($J369="","",INDEX('Detalle individual'!$J:$J,$J369))</f>
        <v/>
      </c>
      <c r="H369" s="28" t="str">
        <f>IF($J369="","",INDEX('Detalle individual'!$L:$L,$J369))</f>
        <v/>
      </c>
      <c r="J369" t="str">
        <f>IFERROR(MATCH(SMALL(Cálculos!$AI$5:$AI$1000,365),Cálculos!$AI$5:$AI$1000,0)+4,"")</f>
        <v/>
      </c>
    </row>
    <row r="370">
      <c r="A370" s="5" t="str">
        <f>IF($J370="","",INDEX('Detalle individual'!$B:$B,$J370))</f>
        <v/>
      </c>
      <c r="B370" s="5" t="str">
        <f>IF($J370="","",INDEX('Detalle individual'!$A:$A,$J370))</f>
        <v/>
      </c>
      <c r="C370" s="5" t="str">
        <f>IF($J370="","",INDEX('Detalle individual'!$E:$E,$J370))</f>
        <v/>
      </c>
      <c r="D370" s="5" t="str">
        <f>IF($J370="","",INDEX('Detalle individual'!$C:$C,$J370))</f>
        <v/>
      </c>
      <c r="E370" s="5" t="str">
        <f>IF($J370="","",INDEX('Detalle individual'!$D:$D,$J370))</f>
        <v/>
      </c>
      <c r="F370" s="23" t="str">
        <f>IF($J370="","",INDEX('Detalle individual'!$H:$H,$J370))</f>
        <v/>
      </c>
      <c r="G370" s="28" t="str">
        <f>IF($J370="","",INDEX('Detalle individual'!$J:$J,$J370))</f>
        <v/>
      </c>
      <c r="H370" s="28" t="str">
        <f>IF($J370="","",INDEX('Detalle individual'!$L:$L,$J370))</f>
        <v/>
      </c>
      <c r="J370" t="str">
        <f>IFERROR(MATCH(SMALL(Cálculos!$AI$5:$AI$1000,366),Cálculos!$AI$5:$AI$1000,0)+4,"")</f>
        <v/>
      </c>
    </row>
    <row r="371">
      <c r="A371" s="5" t="str">
        <f>IF($J371="","",INDEX('Detalle individual'!$B:$B,$J371))</f>
        <v/>
      </c>
      <c r="B371" s="5" t="str">
        <f>IF($J371="","",INDEX('Detalle individual'!$A:$A,$J371))</f>
        <v/>
      </c>
      <c r="C371" s="5" t="str">
        <f>IF($J371="","",INDEX('Detalle individual'!$E:$E,$J371))</f>
        <v/>
      </c>
      <c r="D371" s="5" t="str">
        <f>IF($J371="","",INDEX('Detalle individual'!$C:$C,$J371))</f>
        <v/>
      </c>
      <c r="E371" s="5" t="str">
        <f>IF($J371="","",INDEX('Detalle individual'!$D:$D,$J371))</f>
        <v/>
      </c>
      <c r="F371" s="23" t="str">
        <f>IF($J371="","",INDEX('Detalle individual'!$H:$H,$J371))</f>
        <v/>
      </c>
      <c r="G371" s="28" t="str">
        <f>IF($J371="","",INDEX('Detalle individual'!$J:$J,$J371))</f>
        <v/>
      </c>
      <c r="H371" s="28" t="str">
        <f>IF($J371="","",INDEX('Detalle individual'!$L:$L,$J371))</f>
        <v/>
      </c>
      <c r="J371" t="str">
        <f>IFERROR(MATCH(SMALL(Cálculos!$AI$5:$AI$1000,367),Cálculos!$AI$5:$AI$1000,0)+4,"")</f>
        <v/>
      </c>
    </row>
    <row r="372">
      <c r="A372" s="5" t="str">
        <f>IF($J372="","",INDEX('Detalle individual'!$B:$B,$J372))</f>
        <v/>
      </c>
      <c r="B372" s="5" t="str">
        <f>IF($J372="","",INDEX('Detalle individual'!$A:$A,$J372))</f>
        <v/>
      </c>
      <c r="C372" s="5" t="str">
        <f>IF($J372="","",INDEX('Detalle individual'!$E:$E,$J372))</f>
        <v/>
      </c>
      <c r="D372" s="5" t="str">
        <f>IF($J372="","",INDEX('Detalle individual'!$C:$C,$J372))</f>
        <v/>
      </c>
      <c r="E372" s="5" t="str">
        <f>IF($J372="","",INDEX('Detalle individual'!$D:$D,$J372))</f>
        <v/>
      </c>
      <c r="F372" s="23" t="str">
        <f>IF($J372="","",INDEX('Detalle individual'!$H:$H,$J372))</f>
        <v/>
      </c>
      <c r="G372" s="28" t="str">
        <f>IF($J372="","",INDEX('Detalle individual'!$J:$J,$J372))</f>
        <v/>
      </c>
      <c r="H372" s="28" t="str">
        <f>IF($J372="","",INDEX('Detalle individual'!$L:$L,$J372))</f>
        <v/>
      </c>
      <c r="J372" t="str">
        <f>IFERROR(MATCH(SMALL(Cálculos!$AI$5:$AI$1000,368),Cálculos!$AI$5:$AI$1000,0)+4,"")</f>
        <v/>
      </c>
    </row>
    <row r="373">
      <c r="A373" s="5" t="str">
        <f>IF($J373="","",INDEX('Detalle individual'!$B:$B,$J373))</f>
        <v/>
      </c>
      <c r="B373" s="5" t="str">
        <f>IF($J373="","",INDEX('Detalle individual'!$A:$A,$J373))</f>
        <v/>
      </c>
      <c r="C373" s="5" t="str">
        <f>IF($J373="","",INDEX('Detalle individual'!$E:$E,$J373))</f>
        <v/>
      </c>
      <c r="D373" s="5" t="str">
        <f>IF($J373="","",INDEX('Detalle individual'!$C:$C,$J373))</f>
        <v/>
      </c>
      <c r="E373" s="5" t="str">
        <f>IF($J373="","",INDEX('Detalle individual'!$D:$D,$J373))</f>
        <v/>
      </c>
      <c r="F373" s="23" t="str">
        <f>IF($J373="","",INDEX('Detalle individual'!$H:$H,$J373))</f>
        <v/>
      </c>
      <c r="G373" s="28" t="str">
        <f>IF($J373="","",INDEX('Detalle individual'!$J:$J,$J373))</f>
        <v/>
      </c>
      <c r="H373" s="28" t="str">
        <f>IF($J373="","",INDEX('Detalle individual'!$L:$L,$J373))</f>
        <v/>
      </c>
      <c r="J373" t="str">
        <f>IFERROR(MATCH(SMALL(Cálculos!$AI$5:$AI$1000,369),Cálculos!$AI$5:$AI$1000,0)+4,"")</f>
        <v/>
      </c>
    </row>
    <row r="374">
      <c r="A374" s="5" t="str">
        <f>IF($J374="","",INDEX('Detalle individual'!$B:$B,$J374))</f>
        <v/>
      </c>
      <c r="B374" s="5" t="str">
        <f>IF($J374="","",INDEX('Detalle individual'!$A:$A,$J374))</f>
        <v/>
      </c>
      <c r="C374" s="5" t="str">
        <f>IF($J374="","",INDEX('Detalle individual'!$E:$E,$J374))</f>
        <v/>
      </c>
      <c r="D374" s="5" t="str">
        <f>IF($J374="","",INDEX('Detalle individual'!$C:$C,$J374))</f>
        <v/>
      </c>
      <c r="E374" s="5" t="str">
        <f>IF($J374="","",INDEX('Detalle individual'!$D:$D,$J374))</f>
        <v/>
      </c>
      <c r="F374" s="23" t="str">
        <f>IF($J374="","",INDEX('Detalle individual'!$H:$H,$J374))</f>
        <v/>
      </c>
      <c r="G374" s="28" t="str">
        <f>IF($J374="","",INDEX('Detalle individual'!$J:$J,$J374))</f>
        <v/>
      </c>
      <c r="H374" s="28" t="str">
        <f>IF($J374="","",INDEX('Detalle individual'!$L:$L,$J374))</f>
        <v/>
      </c>
      <c r="J374" t="str">
        <f>IFERROR(MATCH(SMALL(Cálculos!$AI$5:$AI$1000,370),Cálculos!$AI$5:$AI$1000,0)+4,"")</f>
        <v/>
      </c>
    </row>
    <row r="375">
      <c r="A375" s="5" t="str">
        <f>IF($J375="","",INDEX('Detalle individual'!$B:$B,$J375))</f>
        <v/>
      </c>
      <c r="B375" s="5" t="str">
        <f>IF($J375="","",INDEX('Detalle individual'!$A:$A,$J375))</f>
        <v/>
      </c>
      <c r="C375" s="5" t="str">
        <f>IF($J375="","",INDEX('Detalle individual'!$E:$E,$J375))</f>
        <v/>
      </c>
      <c r="D375" s="5" t="str">
        <f>IF($J375="","",INDEX('Detalle individual'!$C:$C,$J375))</f>
        <v/>
      </c>
      <c r="E375" s="5" t="str">
        <f>IF($J375="","",INDEX('Detalle individual'!$D:$D,$J375))</f>
        <v/>
      </c>
      <c r="F375" s="23" t="str">
        <f>IF($J375="","",INDEX('Detalle individual'!$H:$H,$J375))</f>
        <v/>
      </c>
      <c r="G375" s="28" t="str">
        <f>IF($J375="","",INDEX('Detalle individual'!$J:$J,$J375))</f>
        <v/>
      </c>
      <c r="H375" s="28" t="str">
        <f>IF($J375="","",INDEX('Detalle individual'!$L:$L,$J375))</f>
        <v/>
      </c>
      <c r="J375" t="str">
        <f>IFERROR(MATCH(SMALL(Cálculos!$AI$5:$AI$1000,371),Cálculos!$AI$5:$AI$1000,0)+4,"")</f>
        <v/>
      </c>
    </row>
    <row r="376">
      <c r="A376" s="5" t="str">
        <f>IF($J376="","",INDEX('Detalle individual'!$B:$B,$J376))</f>
        <v/>
      </c>
      <c r="B376" s="5" t="str">
        <f>IF($J376="","",INDEX('Detalle individual'!$A:$A,$J376))</f>
        <v/>
      </c>
      <c r="C376" s="5" t="str">
        <f>IF($J376="","",INDEX('Detalle individual'!$E:$E,$J376))</f>
        <v/>
      </c>
      <c r="D376" s="5" t="str">
        <f>IF($J376="","",INDEX('Detalle individual'!$C:$C,$J376))</f>
        <v/>
      </c>
      <c r="E376" s="5" t="str">
        <f>IF($J376="","",INDEX('Detalle individual'!$D:$D,$J376))</f>
        <v/>
      </c>
      <c r="F376" s="23" t="str">
        <f>IF($J376="","",INDEX('Detalle individual'!$H:$H,$J376))</f>
        <v/>
      </c>
      <c r="G376" s="28" t="str">
        <f>IF($J376="","",INDEX('Detalle individual'!$J:$J,$J376))</f>
        <v/>
      </c>
      <c r="H376" s="28" t="str">
        <f>IF($J376="","",INDEX('Detalle individual'!$L:$L,$J376))</f>
        <v/>
      </c>
      <c r="J376" t="str">
        <f>IFERROR(MATCH(SMALL(Cálculos!$AI$5:$AI$1000,372),Cálculos!$AI$5:$AI$1000,0)+4,"")</f>
        <v/>
      </c>
    </row>
    <row r="377">
      <c r="A377" s="5" t="str">
        <f>IF($J377="","",INDEX('Detalle individual'!$B:$B,$J377))</f>
        <v/>
      </c>
      <c r="B377" s="5" t="str">
        <f>IF($J377="","",INDEX('Detalle individual'!$A:$A,$J377))</f>
        <v/>
      </c>
      <c r="C377" s="5" t="str">
        <f>IF($J377="","",INDEX('Detalle individual'!$E:$E,$J377))</f>
        <v/>
      </c>
      <c r="D377" s="5" t="str">
        <f>IF($J377="","",INDEX('Detalle individual'!$C:$C,$J377))</f>
        <v/>
      </c>
      <c r="E377" s="5" t="str">
        <f>IF($J377="","",INDEX('Detalle individual'!$D:$D,$J377))</f>
        <v/>
      </c>
      <c r="F377" s="23" t="str">
        <f>IF($J377="","",INDEX('Detalle individual'!$H:$H,$J377))</f>
        <v/>
      </c>
      <c r="G377" s="28" t="str">
        <f>IF($J377="","",INDEX('Detalle individual'!$J:$J,$J377))</f>
        <v/>
      </c>
      <c r="H377" s="28" t="str">
        <f>IF($J377="","",INDEX('Detalle individual'!$L:$L,$J377))</f>
        <v/>
      </c>
      <c r="J377" t="str">
        <f>IFERROR(MATCH(SMALL(Cálculos!$AI$5:$AI$1000,373),Cálculos!$AI$5:$AI$1000,0)+4,"")</f>
        <v/>
      </c>
    </row>
    <row r="378">
      <c r="A378" s="5" t="str">
        <f>IF($J378="","",INDEX('Detalle individual'!$B:$B,$J378))</f>
        <v/>
      </c>
      <c r="B378" s="5" t="str">
        <f>IF($J378="","",INDEX('Detalle individual'!$A:$A,$J378))</f>
        <v/>
      </c>
      <c r="C378" s="5" t="str">
        <f>IF($J378="","",INDEX('Detalle individual'!$E:$E,$J378))</f>
        <v/>
      </c>
      <c r="D378" s="5" t="str">
        <f>IF($J378="","",INDEX('Detalle individual'!$C:$C,$J378))</f>
        <v/>
      </c>
      <c r="E378" s="5" t="str">
        <f>IF($J378="","",INDEX('Detalle individual'!$D:$D,$J378))</f>
        <v/>
      </c>
      <c r="F378" s="23" t="str">
        <f>IF($J378="","",INDEX('Detalle individual'!$H:$H,$J378))</f>
        <v/>
      </c>
      <c r="G378" s="28" t="str">
        <f>IF($J378="","",INDEX('Detalle individual'!$J:$J,$J378))</f>
        <v/>
      </c>
      <c r="H378" s="28" t="str">
        <f>IF($J378="","",INDEX('Detalle individual'!$L:$L,$J378))</f>
        <v/>
      </c>
      <c r="J378" t="str">
        <f>IFERROR(MATCH(SMALL(Cálculos!$AI$5:$AI$1000,374),Cálculos!$AI$5:$AI$1000,0)+4,"")</f>
        <v/>
      </c>
    </row>
    <row r="379">
      <c r="A379" s="5" t="str">
        <f>IF($J379="","",INDEX('Detalle individual'!$B:$B,$J379))</f>
        <v/>
      </c>
      <c r="B379" s="5" t="str">
        <f>IF($J379="","",INDEX('Detalle individual'!$A:$A,$J379))</f>
        <v/>
      </c>
      <c r="C379" s="5" t="str">
        <f>IF($J379="","",INDEX('Detalle individual'!$E:$E,$J379))</f>
        <v/>
      </c>
      <c r="D379" s="5" t="str">
        <f>IF($J379="","",INDEX('Detalle individual'!$C:$C,$J379))</f>
        <v/>
      </c>
      <c r="E379" s="5" t="str">
        <f>IF($J379="","",INDEX('Detalle individual'!$D:$D,$J379))</f>
        <v/>
      </c>
      <c r="F379" s="23" t="str">
        <f>IF($J379="","",INDEX('Detalle individual'!$H:$H,$J379))</f>
        <v/>
      </c>
      <c r="G379" s="28" t="str">
        <f>IF($J379="","",INDEX('Detalle individual'!$J:$J,$J379))</f>
        <v/>
      </c>
      <c r="H379" s="28" t="str">
        <f>IF($J379="","",INDEX('Detalle individual'!$L:$L,$J379))</f>
        <v/>
      </c>
      <c r="J379" t="str">
        <f>IFERROR(MATCH(SMALL(Cálculos!$AI$5:$AI$1000,375),Cálculos!$AI$5:$AI$1000,0)+4,"")</f>
        <v/>
      </c>
    </row>
    <row r="380">
      <c r="A380" s="5" t="str">
        <f>IF($J380="","",INDEX('Detalle individual'!$B:$B,$J380))</f>
        <v/>
      </c>
      <c r="B380" s="5" t="str">
        <f>IF($J380="","",INDEX('Detalle individual'!$A:$A,$J380))</f>
        <v/>
      </c>
      <c r="C380" s="5" t="str">
        <f>IF($J380="","",INDEX('Detalle individual'!$E:$E,$J380))</f>
        <v/>
      </c>
      <c r="D380" s="5" t="str">
        <f>IF($J380="","",INDEX('Detalle individual'!$C:$C,$J380))</f>
        <v/>
      </c>
      <c r="E380" s="5" t="str">
        <f>IF($J380="","",INDEX('Detalle individual'!$D:$D,$J380))</f>
        <v/>
      </c>
      <c r="F380" s="23" t="str">
        <f>IF($J380="","",INDEX('Detalle individual'!$H:$H,$J380))</f>
        <v/>
      </c>
      <c r="G380" s="28" t="str">
        <f>IF($J380="","",INDEX('Detalle individual'!$J:$J,$J380))</f>
        <v/>
      </c>
      <c r="H380" s="28" t="str">
        <f>IF($J380="","",INDEX('Detalle individual'!$L:$L,$J380))</f>
        <v/>
      </c>
      <c r="J380" t="str">
        <f>IFERROR(MATCH(SMALL(Cálculos!$AI$5:$AI$1000,376),Cálculos!$AI$5:$AI$1000,0)+4,"")</f>
        <v/>
      </c>
    </row>
    <row r="381">
      <c r="A381" s="5" t="str">
        <f>IF($J381="","",INDEX('Detalle individual'!$B:$B,$J381))</f>
        <v/>
      </c>
      <c r="B381" s="5" t="str">
        <f>IF($J381="","",INDEX('Detalle individual'!$A:$A,$J381))</f>
        <v/>
      </c>
      <c r="C381" s="5" t="str">
        <f>IF($J381="","",INDEX('Detalle individual'!$E:$E,$J381))</f>
        <v/>
      </c>
      <c r="D381" s="5" t="str">
        <f>IF($J381="","",INDEX('Detalle individual'!$C:$C,$J381))</f>
        <v/>
      </c>
      <c r="E381" s="5" t="str">
        <f>IF($J381="","",INDEX('Detalle individual'!$D:$D,$J381))</f>
        <v/>
      </c>
      <c r="F381" s="23" t="str">
        <f>IF($J381="","",INDEX('Detalle individual'!$H:$H,$J381))</f>
        <v/>
      </c>
      <c r="G381" s="28" t="str">
        <f>IF($J381="","",INDEX('Detalle individual'!$J:$J,$J381))</f>
        <v/>
      </c>
      <c r="H381" s="28" t="str">
        <f>IF($J381="","",INDEX('Detalle individual'!$L:$L,$J381))</f>
        <v/>
      </c>
      <c r="J381" t="str">
        <f>IFERROR(MATCH(SMALL(Cálculos!$AI$5:$AI$1000,377),Cálculos!$AI$5:$AI$1000,0)+4,"")</f>
        <v/>
      </c>
    </row>
    <row r="382">
      <c r="A382" s="5" t="str">
        <f>IF($J382="","",INDEX('Detalle individual'!$B:$B,$J382))</f>
        <v/>
      </c>
      <c r="B382" s="5" t="str">
        <f>IF($J382="","",INDEX('Detalle individual'!$A:$A,$J382))</f>
        <v/>
      </c>
      <c r="C382" s="5" t="str">
        <f>IF($J382="","",INDEX('Detalle individual'!$E:$E,$J382))</f>
        <v/>
      </c>
      <c r="D382" s="5" t="str">
        <f>IF($J382="","",INDEX('Detalle individual'!$C:$C,$J382))</f>
        <v/>
      </c>
      <c r="E382" s="5" t="str">
        <f>IF($J382="","",INDEX('Detalle individual'!$D:$D,$J382))</f>
        <v/>
      </c>
      <c r="F382" s="23" t="str">
        <f>IF($J382="","",INDEX('Detalle individual'!$H:$H,$J382))</f>
        <v/>
      </c>
      <c r="G382" s="28" t="str">
        <f>IF($J382="","",INDEX('Detalle individual'!$J:$J,$J382))</f>
        <v/>
      </c>
      <c r="H382" s="28" t="str">
        <f>IF($J382="","",INDEX('Detalle individual'!$L:$L,$J382))</f>
        <v/>
      </c>
      <c r="J382" t="str">
        <f>IFERROR(MATCH(SMALL(Cálculos!$AI$5:$AI$1000,378),Cálculos!$AI$5:$AI$1000,0)+4,"")</f>
        <v/>
      </c>
    </row>
    <row r="383">
      <c r="A383" s="5" t="str">
        <f>IF($J383="","",INDEX('Detalle individual'!$B:$B,$J383))</f>
        <v/>
      </c>
      <c r="B383" s="5" t="str">
        <f>IF($J383="","",INDEX('Detalle individual'!$A:$A,$J383))</f>
        <v/>
      </c>
      <c r="C383" s="5" t="str">
        <f>IF($J383="","",INDEX('Detalle individual'!$E:$E,$J383))</f>
        <v/>
      </c>
      <c r="D383" s="5" t="str">
        <f>IF($J383="","",INDEX('Detalle individual'!$C:$C,$J383))</f>
        <v/>
      </c>
      <c r="E383" s="5" t="str">
        <f>IF($J383="","",INDEX('Detalle individual'!$D:$D,$J383))</f>
        <v/>
      </c>
      <c r="F383" s="23" t="str">
        <f>IF($J383="","",INDEX('Detalle individual'!$H:$H,$J383))</f>
        <v/>
      </c>
      <c r="G383" s="28" t="str">
        <f>IF($J383="","",INDEX('Detalle individual'!$J:$J,$J383))</f>
        <v/>
      </c>
      <c r="H383" s="28" t="str">
        <f>IF($J383="","",INDEX('Detalle individual'!$L:$L,$J383))</f>
        <v/>
      </c>
      <c r="J383" t="str">
        <f>IFERROR(MATCH(SMALL(Cálculos!$AI$5:$AI$1000,379),Cálculos!$AI$5:$AI$1000,0)+4,"")</f>
        <v/>
      </c>
    </row>
    <row r="384">
      <c r="A384" s="5" t="str">
        <f>IF($J384="","",INDEX('Detalle individual'!$B:$B,$J384))</f>
        <v/>
      </c>
      <c r="B384" s="5" t="str">
        <f>IF($J384="","",INDEX('Detalle individual'!$A:$A,$J384))</f>
        <v/>
      </c>
      <c r="C384" s="5" t="str">
        <f>IF($J384="","",INDEX('Detalle individual'!$E:$E,$J384))</f>
        <v/>
      </c>
      <c r="D384" s="5" t="str">
        <f>IF($J384="","",INDEX('Detalle individual'!$C:$C,$J384))</f>
        <v/>
      </c>
      <c r="E384" s="5" t="str">
        <f>IF($J384="","",INDEX('Detalle individual'!$D:$D,$J384))</f>
        <v/>
      </c>
      <c r="F384" s="23" t="str">
        <f>IF($J384="","",INDEX('Detalle individual'!$H:$H,$J384))</f>
        <v/>
      </c>
      <c r="G384" s="28" t="str">
        <f>IF($J384="","",INDEX('Detalle individual'!$J:$J,$J384))</f>
        <v/>
      </c>
      <c r="H384" s="28" t="str">
        <f>IF($J384="","",INDEX('Detalle individual'!$L:$L,$J384))</f>
        <v/>
      </c>
      <c r="J384" t="str">
        <f>IFERROR(MATCH(SMALL(Cálculos!$AI$5:$AI$1000,380),Cálculos!$AI$5:$AI$1000,0)+4,"")</f>
        <v/>
      </c>
    </row>
    <row r="385">
      <c r="A385" s="5" t="str">
        <f>IF($J385="","",INDEX('Detalle individual'!$B:$B,$J385))</f>
        <v/>
      </c>
      <c r="B385" s="5" t="str">
        <f>IF($J385="","",INDEX('Detalle individual'!$A:$A,$J385))</f>
        <v/>
      </c>
      <c r="C385" s="5" t="str">
        <f>IF($J385="","",INDEX('Detalle individual'!$E:$E,$J385))</f>
        <v/>
      </c>
      <c r="D385" s="5" t="str">
        <f>IF($J385="","",INDEX('Detalle individual'!$C:$C,$J385))</f>
        <v/>
      </c>
      <c r="E385" s="5" t="str">
        <f>IF($J385="","",INDEX('Detalle individual'!$D:$D,$J385))</f>
        <v/>
      </c>
      <c r="F385" s="23" t="str">
        <f>IF($J385="","",INDEX('Detalle individual'!$H:$H,$J385))</f>
        <v/>
      </c>
      <c r="G385" s="28" t="str">
        <f>IF($J385="","",INDEX('Detalle individual'!$J:$J,$J385))</f>
        <v/>
      </c>
      <c r="H385" s="28" t="str">
        <f>IF($J385="","",INDEX('Detalle individual'!$L:$L,$J385))</f>
        <v/>
      </c>
      <c r="J385" t="str">
        <f>IFERROR(MATCH(SMALL(Cálculos!$AI$5:$AI$1000,381),Cálculos!$AI$5:$AI$1000,0)+4,"")</f>
        <v/>
      </c>
    </row>
    <row r="386">
      <c r="A386" s="5" t="str">
        <f>IF($J386="","",INDEX('Detalle individual'!$B:$B,$J386))</f>
        <v/>
      </c>
      <c r="B386" s="5" t="str">
        <f>IF($J386="","",INDEX('Detalle individual'!$A:$A,$J386))</f>
        <v/>
      </c>
      <c r="C386" s="5" t="str">
        <f>IF($J386="","",INDEX('Detalle individual'!$E:$E,$J386))</f>
        <v/>
      </c>
      <c r="D386" s="5" t="str">
        <f>IF($J386="","",INDEX('Detalle individual'!$C:$C,$J386))</f>
        <v/>
      </c>
      <c r="E386" s="5" t="str">
        <f>IF($J386="","",INDEX('Detalle individual'!$D:$D,$J386))</f>
        <v/>
      </c>
      <c r="F386" s="23" t="str">
        <f>IF($J386="","",INDEX('Detalle individual'!$H:$H,$J386))</f>
        <v/>
      </c>
      <c r="G386" s="28" t="str">
        <f>IF($J386="","",INDEX('Detalle individual'!$J:$J,$J386))</f>
        <v/>
      </c>
      <c r="H386" s="28" t="str">
        <f>IF($J386="","",INDEX('Detalle individual'!$L:$L,$J386))</f>
        <v/>
      </c>
      <c r="J386" t="str">
        <f>IFERROR(MATCH(SMALL(Cálculos!$AI$5:$AI$1000,382),Cálculos!$AI$5:$AI$1000,0)+4,"")</f>
        <v/>
      </c>
    </row>
    <row r="387">
      <c r="A387" s="5" t="str">
        <f>IF($J387="","",INDEX('Detalle individual'!$B:$B,$J387))</f>
        <v/>
      </c>
      <c r="B387" s="5" t="str">
        <f>IF($J387="","",INDEX('Detalle individual'!$A:$A,$J387))</f>
        <v/>
      </c>
      <c r="C387" s="5" t="str">
        <f>IF($J387="","",INDEX('Detalle individual'!$E:$E,$J387))</f>
        <v/>
      </c>
      <c r="D387" s="5" t="str">
        <f>IF($J387="","",INDEX('Detalle individual'!$C:$C,$J387))</f>
        <v/>
      </c>
      <c r="E387" s="5" t="str">
        <f>IF($J387="","",INDEX('Detalle individual'!$D:$D,$J387))</f>
        <v/>
      </c>
      <c r="F387" s="23" t="str">
        <f>IF($J387="","",INDEX('Detalle individual'!$H:$H,$J387))</f>
        <v/>
      </c>
      <c r="G387" s="28" t="str">
        <f>IF($J387="","",INDEX('Detalle individual'!$J:$J,$J387))</f>
        <v/>
      </c>
      <c r="H387" s="28" t="str">
        <f>IF($J387="","",INDEX('Detalle individual'!$L:$L,$J387))</f>
        <v/>
      </c>
      <c r="J387" t="str">
        <f>IFERROR(MATCH(SMALL(Cálculos!$AI$5:$AI$1000,383),Cálculos!$AI$5:$AI$1000,0)+4,"")</f>
        <v/>
      </c>
    </row>
    <row r="388">
      <c r="A388" s="5" t="str">
        <f>IF($J388="","",INDEX('Detalle individual'!$B:$B,$J388))</f>
        <v/>
      </c>
      <c r="B388" s="5" t="str">
        <f>IF($J388="","",INDEX('Detalle individual'!$A:$A,$J388))</f>
        <v/>
      </c>
      <c r="C388" s="5" t="str">
        <f>IF($J388="","",INDEX('Detalle individual'!$E:$E,$J388))</f>
        <v/>
      </c>
      <c r="D388" s="5" t="str">
        <f>IF($J388="","",INDEX('Detalle individual'!$C:$C,$J388))</f>
        <v/>
      </c>
      <c r="E388" s="5" t="str">
        <f>IF($J388="","",INDEX('Detalle individual'!$D:$D,$J388))</f>
        <v/>
      </c>
      <c r="F388" s="23" t="str">
        <f>IF($J388="","",INDEX('Detalle individual'!$H:$H,$J388))</f>
        <v/>
      </c>
      <c r="G388" s="28" t="str">
        <f>IF($J388="","",INDEX('Detalle individual'!$J:$J,$J388))</f>
        <v/>
      </c>
      <c r="H388" s="28" t="str">
        <f>IF($J388="","",INDEX('Detalle individual'!$L:$L,$J388))</f>
        <v/>
      </c>
      <c r="J388" t="str">
        <f>IFERROR(MATCH(SMALL(Cálculos!$AI$5:$AI$1000,384),Cálculos!$AI$5:$AI$1000,0)+4,"")</f>
        <v/>
      </c>
    </row>
    <row r="389">
      <c r="A389" s="5" t="str">
        <f>IF($J389="","",INDEX('Detalle individual'!$B:$B,$J389))</f>
        <v/>
      </c>
      <c r="B389" s="5" t="str">
        <f>IF($J389="","",INDEX('Detalle individual'!$A:$A,$J389))</f>
        <v/>
      </c>
      <c r="C389" s="5" t="str">
        <f>IF($J389="","",INDEX('Detalle individual'!$E:$E,$J389))</f>
        <v/>
      </c>
      <c r="D389" s="5" t="str">
        <f>IF($J389="","",INDEX('Detalle individual'!$C:$C,$J389))</f>
        <v/>
      </c>
      <c r="E389" s="5" t="str">
        <f>IF($J389="","",INDEX('Detalle individual'!$D:$D,$J389))</f>
        <v/>
      </c>
      <c r="F389" s="23" t="str">
        <f>IF($J389="","",INDEX('Detalle individual'!$H:$H,$J389))</f>
        <v/>
      </c>
      <c r="G389" s="28" t="str">
        <f>IF($J389="","",INDEX('Detalle individual'!$J:$J,$J389))</f>
        <v/>
      </c>
      <c r="H389" s="28" t="str">
        <f>IF($J389="","",INDEX('Detalle individual'!$L:$L,$J389))</f>
        <v/>
      </c>
      <c r="J389" t="str">
        <f>IFERROR(MATCH(SMALL(Cálculos!$AI$5:$AI$1000,385),Cálculos!$AI$5:$AI$1000,0)+4,"")</f>
        <v/>
      </c>
    </row>
    <row r="390">
      <c r="A390" s="5" t="str">
        <f>IF($J390="","",INDEX('Detalle individual'!$B:$B,$J390))</f>
        <v/>
      </c>
      <c r="B390" s="5" t="str">
        <f>IF($J390="","",INDEX('Detalle individual'!$A:$A,$J390))</f>
        <v/>
      </c>
      <c r="C390" s="5" t="str">
        <f>IF($J390="","",INDEX('Detalle individual'!$E:$E,$J390))</f>
        <v/>
      </c>
      <c r="D390" s="5" t="str">
        <f>IF($J390="","",INDEX('Detalle individual'!$C:$C,$J390))</f>
        <v/>
      </c>
      <c r="E390" s="5" t="str">
        <f>IF($J390="","",INDEX('Detalle individual'!$D:$D,$J390))</f>
        <v/>
      </c>
      <c r="F390" s="23" t="str">
        <f>IF($J390="","",INDEX('Detalle individual'!$H:$H,$J390))</f>
        <v/>
      </c>
      <c r="G390" s="28" t="str">
        <f>IF($J390="","",INDEX('Detalle individual'!$J:$J,$J390))</f>
        <v/>
      </c>
      <c r="H390" s="28" t="str">
        <f>IF($J390="","",INDEX('Detalle individual'!$L:$L,$J390))</f>
        <v/>
      </c>
      <c r="J390" t="str">
        <f>IFERROR(MATCH(SMALL(Cálculos!$AI$5:$AI$1000,386),Cálculos!$AI$5:$AI$1000,0)+4,"")</f>
        <v/>
      </c>
    </row>
    <row r="391">
      <c r="A391" s="5" t="str">
        <f>IF($J391="","",INDEX('Detalle individual'!$B:$B,$J391))</f>
        <v/>
      </c>
      <c r="B391" s="5" t="str">
        <f>IF($J391="","",INDEX('Detalle individual'!$A:$A,$J391))</f>
        <v/>
      </c>
      <c r="C391" s="5" t="str">
        <f>IF($J391="","",INDEX('Detalle individual'!$E:$E,$J391))</f>
        <v/>
      </c>
      <c r="D391" s="5" t="str">
        <f>IF($J391="","",INDEX('Detalle individual'!$C:$C,$J391))</f>
        <v/>
      </c>
      <c r="E391" s="5" t="str">
        <f>IF($J391="","",INDEX('Detalle individual'!$D:$D,$J391))</f>
        <v/>
      </c>
      <c r="F391" s="23" t="str">
        <f>IF($J391="","",INDEX('Detalle individual'!$H:$H,$J391))</f>
        <v/>
      </c>
      <c r="G391" s="28" t="str">
        <f>IF($J391="","",INDEX('Detalle individual'!$J:$J,$J391))</f>
        <v/>
      </c>
      <c r="H391" s="28" t="str">
        <f>IF($J391="","",INDEX('Detalle individual'!$L:$L,$J391))</f>
        <v/>
      </c>
      <c r="J391" t="str">
        <f>IFERROR(MATCH(SMALL(Cálculos!$AI$5:$AI$1000,387),Cálculos!$AI$5:$AI$1000,0)+4,"")</f>
        <v/>
      </c>
    </row>
    <row r="392">
      <c r="A392" s="5" t="str">
        <f>IF($J392="","",INDEX('Detalle individual'!$B:$B,$J392))</f>
        <v/>
      </c>
      <c r="B392" s="5" t="str">
        <f>IF($J392="","",INDEX('Detalle individual'!$A:$A,$J392))</f>
        <v/>
      </c>
      <c r="C392" s="5" t="str">
        <f>IF($J392="","",INDEX('Detalle individual'!$E:$E,$J392))</f>
        <v/>
      </c>
      <c r="D392" s="5" t="str">
        <f>IF($J392="","",INDEX('Detalle individual'!$C:$C,$J392))</f>
        <v/>
      </c>
      <c r="E392" s="5" t="str">
        <f>IF($J392="","",INDEX('Detalle individual'!$D:$D,$J392))</f>
        <v/>
      </c>
      <c r="F392" s="23" t="str">
        <f>IF($J392="","",INDEX('Detalle individual'!$H:$H,$J392))</f>
        <v/>
      </c>
      <c r="G392" s="28" t="str">
        <f>IF($J392="","",INDEX('Detalle individual'!$J:$J,$J392))</f>
        <v/>
      </c>
      <c r="H392" s="28" t="str">
        <f>IF($J392="","",INDEX('Detalle individual'!$L:$L,$J392))</f>
        <v/>
      </c>
      <c r="J392" t="str">
        <f>IFERROR(MATCH(SMALL(Cálculos!$AI$5:$AI$1000,388),Cálculos!$AI$5:$AI$1000,0)+4,"")</f>
        <v/>
      </c>
    </row>
    <row r="393">
      <c r="A393" s="5" t="str">
        <f>IF($J393="","",INDEX('Detalle individual'!$B:$B,$J393))</f>
        <v/>
      </c>
      <c r="B393" s="5" t="str">
        <f>IF($J393="","",INDEX('Detalle individual'!$A:$A,$J393))</f>
        <v/>
      </c>
      <c r="C393" s="5" t="str">
        <f>IF($J393="","",INDEX('Detalle individual'!$E:$E,$J393))</f>
        <v/>
      </c>
      <c r="D393" s="5" t="str">
        <f>IF($J393="","",INDEX('Detalle individual'!$C:$C,$J393))</f>
        <v/>
      </c>
      <c r="E393" s="5" t="str">
        <f>IF($J393="","",INDEX('Detalle individual'!$D:$D,$J393))</f>
        <v/>
      </c>
      <c r="F393" s="23" t="str">
        <f>IF($J393="","",INDEX('Detalle individual'!$H:$H,$J393))</f>
        <v/>
      </c>
      <c r="G393" s="28" t="str">
        <f>IF($J393="","",INDEX('Detalle individual'!$J:$J,$J393))</f>
        <v/>
      </c>
      <c r="H393" s="28" t="str">
        <f>IF($J393="","",INDEX('Detalle individual'!$L:$L,$J393))</f>
        <v/>
      </c>
      <c r="J393" t="str">
        <f>IFERROR(MATCH(SMALL(Cálculos!$AI$5:$AI$1000,389),Cálculos!$AI$5:$AI$1000,0)+4,"")</f>
        <v/>
      </c>
    </row>
    <row r="394">
      <c r="A394" s="5" t="str">
        <f>IF($J394="","",INDEX('Detalle individual'!$B:$B,$J394))</f>
        <v/>
      </c>
      <c r="B394" s="5" t="str">
        <f>IF($J394="","",INDEX('Detalle individual'!$A:$A,$J394))</f>
        <v/>
      </c>
      <c r="C394" s="5" t="str">
        <f>IF($J394="","",INDEX('Detalle individual'!$E:$E,$J394))</f>
        <v/>
      </c>
      <c r="D394" s="5" t="str">
        <f>IF($J394="","",INDEX('Detalle individual'!$C:$C,$J394))</f>
        <v/>
      </c>
      <c r="E394" s="5" t="str">
        <f>IF($J394="","",INDEX('Detalle individual'!$D:$D,$J394))</f>
        <v/>
      </c>
      <c r="F394" s="23" t="str">
        <f>IF($J394="","",INDEX('Detalle individual'!$H:$H,$J394))</f>
        <v/>
      </c>
      <c r="G394" s="28" t="str">
        <f>IF($J394="","",INDEX('Detalle individual'!$J:$J,$J394))</f>
        <v/>
      </c>
      <c r="H394" s="28" t="str">
        <f>IF($J394="","",INDEX('Detalle individual'!$L:$L,$J394))</f>
        <v/>
      </c>
      <c r="J394" t="str">
        <f>IFERROR(MATCH(SMALL(Cálculos!$AI$5:$AI$1000,390),Cálculos!$AI$5:$AI$1000,0)+4,"")</f>
        <v/>
      </c>
    </row>
    <row r="395">
      <c r="A395" s="5" t="str">
        <f>IF($J395="","",INDEX('Detalle individual'!$B:$B,$J395))</f>
        <v/>
      </c>
      <c r="B395" s="5" t="str">
        <f>IF($J395="","",INDEX('Detalle individual'!$A:$A,$J395))</f>
        <v/>
      </c>
      <c r="C395" s="5" t="str">
        <f>IF($J395="","",INDEX('Detalle individual'!$E:$E,$J395))</f>
        <v/>
      </c>
      <c r="D395" s="5" t="str">
        <f>IF($J395="","",INDEX('Detalle individual'!$C:$C,$J395))</f>
        <v/>
      </c>
      <c r="E395" s="5" t="str">
        <f>IF($J395="","",INDEX('Detalle individual'!$D:$D,$J395))</f>
        <v/>
      </c>
      <c r="F395" s="23" t="str">
        <f>IF($J395="","",INDEX('Detalle individual'!$H:$H,$J395))</f>
        <v/>
      </c>
      <c r="G395" s="28" t="str">
        <f>IF($J395="","",INDEX('Detalle individual'!$J:$J,$J395))</f>
        <v/>
      </c>
      <c r="H395" s="28" t="str">
        <f>IF($J395="","",INDEX('Detalle individual'!$L:$L,$J395))</f>
        <v/>
      </c>
      <c r="J395" t="str">
        <f>IFERROR(MATCH(SMALL(Cálculos!$AI$5:$AI$1000,391),Cálculos!$AI$5:$AI$1000,0)+4,"")</f>
        <v/>
      </c>
    </row>
    <row r="396">
      <c r="A396" s="5" t="str">
        <f>IF($J396="","",INDEX('Detalle individual'!$B:$B,$J396))</f>
        <v/>
      </c>
      <c r="B396" s="5" t="str">
        <f>IF($J396="","",INDEX('Detalle individual'!$A:$A,$J396))</f>
        <v/>
      </c>
      <c r="C396" s="5" t="str">
        <f>IF($J396="","",INDEX('Detalle individual'!$E:$E,$J396))</f>
        <v/>
      </c>
      <c r="D396" s="5" t="str">
        <f>IF($J396="","",INDEX('Detalle individual'!$C:$C,$J396))</f>
        <v/>
      </c>
      <c r="E396" s="5" t="str">
        <f>IF($J396="","",INDEX('Detalle individual'!$D:$D,$J396))</f>
        <v/>
      </c>
      <c r="F396" s="23" t="str">
        <f>IF($J396="","",INDEX('Detalle individual'!$H:$H,$J396))</f>
        <v/>
      </c>
      <c r="G396" s="28" t="str">
        <f>IF($J396="","",INDEX('Detalle individual'!$J:$J,$J396))</f>
        <v/>
      </c>
      <c r="H396" s="28" t="str">
        <f>IF($J396="","",INDEX('Detalle individual'!$L:$L,$J396))</f>
        <v/>
      </c>
      <c r="J396" t="str">
        <f>IFERROR(MATCH(SMALL(Cálculos!$AI$5:$AI$1000,392),Cálculos!$AI$5:$AI$1000,0)+4,"")</f>
        <v/>
      </c>
    </row>
    <row r="397">
      <c r="A397" s="5" t="str">
        <f>IF($J397="","",INDEX('Detalle individual'!$B:$B,$J397))</f>
        <v/>
      </c>
      <c r="B397" s="5" t="str">
        <f>IF($J397="","",INDEX('Detalle individual'!$A:$A,$J397))</f>
        <v/>
      </c>
      <c r="C397" s="5" t="str">
        <f>IF($J397="","",INDEX('Detalle individual'!$E:$E,$J397))</f>
        <v/>
      </c>
      <c r="D397" s="5" t="str">
        <f>IF($J397="","",INDEX('Detalle individual'!$C:$C,$J397))</f>
        <v/>
      </c>
      <c r="E397" s="5" t="str">
        <f>IF($J397="","",INDEX('Detalle individual'!$D:$D,$J397))</f>
        <v/>
      </c>
      <c r="F397" s="23" t="str">
        <f>IF($J397="","",INDEX('Detalle individual'!$H:$H,$J397))</f>
        <v/>
      </c>
      <c r="G397" s="28" t="str">
        <f>IF($J397="","",INDEX('Detalle individual'!$J:$J,$J397))</f>
        <v/>
      </c>
      <c r="H397" s="28" t="str">
        <f>IF($J397="","",INDEX('Detalle individual'!$L:$L,$J397))</f>
        <v/>
      </c>
      <c r="J397" t="str">
        <f>IFERROR(MATCH(SMALL(Cálculos!$AI$5:$AI$1000,393),Cálculos!$AI$5:$AI$1000,0)+4,"")</f>
        <v/>
      </c>
    </row>
    <row r="398">
      <c r="A398" s="5" t="str">
        <f>IF($J398="","",INDEX('Detalle individual'!$B:$B,$J398))</f>
        <v/>
      </c>
      <c r="B398" s="5" t="str">
        <f>IF($J398="","",INDEX('Detalle individual'!$A:$A,$J398))</f>
        <v/>
      </c>
      <c r="C398" s="5" t="str">
        <f>IF($J398="","",INDEX('Detalle individual'!$E:$E,$J398))</f>
        <v/>
      </c>
      <c r="D398" s="5" t="str">
        <f>IF($J398="","",INDEX('Detalle individual'!$C:$C,$J398))</f>
        <v/>
      </c>
      <c r="E398" s="5" t="str">
        <f>IF($J398="","",INDEX('Detalle individual'!$D:$D,$J398))</f>
        <v/>
      </c>
      <c r="F398" s="23" t="str">
        <f>IF($J398="","",INDEX('Detalle individual'!$H:$H,$J398))</f>
        <v/>
      </c>
      <c r="G398" s="28" t="str">
        <f>IF($J398="","",INDEX('Detalle individual'!$J:$J,$J398))</f>
        <v/>
      </c>
      <c r="H398" s="28" t="str">
        <f>IF($J398="","",INDEX('Detalle individual'!$L:$L,$J398))</f>
        <v/>
      </c>
      <c r="J398" t="str">
        <f>IFERROR(MATCH(SMALL(Cálculos!$AI$5:$AI$1000,394),Cálculos!$AI$5:$AI$1000,0)+4,"")</f>
        <v/>
      </c>
    </row>
    <row r="399">
      <c r="A399" s="5" t="str">
        <f>IF($J399="","",INDEX('Detalle individual'!$B:$B,$J399))</f>
        <v/>
      </c>
      <c r="B399" s="5" t="str">
        <f>IF($J399="","",INDEX('Detalle individual'!$A:$A,$J399))</f>
        <v/>
      </c>
      <c r="C399" s="5" t="str">
        <f>IF($J399="","",INDEX('Detalle individual'!$E:$E,$J399))</f>
        <v/>
      </c>
      <c r="D399" s="5" t="str">
        <f>IF($J399="","",INDEX('Detalle individual'!$C:$C,$J399))</f>
        <v/>
      </c>
      <c r="E399" s="5" t="str">
        <f>IF($J399="","",INDEX('Detalle individual'!$D:$D,$J399))</f>
        <v/>
      </c>
      <c r="F399" s="23" t="str">
        <f>IF($J399="","",INDEX('Detalle individual'!$H:$H,$J399))</f>
        <v/>
      </c>
      <c r="G399" s="28" t="str">
        <f>IF($J399="","",INDEX('Detalle individual'!$J:$J,$J399))</f>
        <v/>
      </c>
      <c r="H399" s="28" t="str">
        <f>IF($J399="","",INDEX('Detalle individual'!$L:$L,$J399))</f>
        <v/>
      </c>
      <c r="J399" t="str">
        <f>IFERROR(MATCH(SMALL(Cálculos!$AI$5:$AI$1000,395),Cálculos!$AI$5:$AI$1000,0)+4,"")</f>
        <v/>
      </c>
    </row>
    <row r="400">
      <c r="A400" s="5" t="str">
        <f>IF($J400="","",INDEX('Detalle individual'!$B:$B,$J400))</f>
        <v/>
      </c>
      <c r="B400" s="5" t="str">
        <f>IF($J400="","",INDEX('Detalle individual'!$A:$A,$J400))</f>
        <v/>
      </c>
      <c r="C400" s="5" t="str">
        <f>IF($J400="","",INDEX('Detalle individual'!$E:$E,$J400))</f>
        <v/>
      </c>
      <c r="D400" s="5" t="str">
        <f>IF($J400="","",INDEX('Detalle individual'!$C:$C,$J400))</f>
        <v/>
      </c>
      <c r="E400" s="5" t="str">
        <f>IF($J400="","",INDEX('Detalle individual'!$D:$D,$J400))</f>
        <v/>
      </c>
      <c r="F400" s="23" t="str">
        <f>IF($J400="","",INDEX('Detalle individual'!$H:$H,$J400))</f>
        <v/>
      </c>
      <c r="G400" s="28" t="str">
        <f>IF($J400="","",INDEX('Detalle individual'!$J:$J,$J400))</f>
        <v/>
      </c>
      <c r="H400" s="28" t="str">
        <f>IF($J400="","",INDEX('Detalle individual'!$L:$L,$J400))</f>
        <v/>
      </c>
      <c r="J400" t="str">
        <f>IFERROR(MATCH(SMALL(Cálculos!$AI$5:$AI$1000,396),Cálculos!$AI$5:$AI$1000,0)+4,"")</f>
        <v/>
      </c>
    </row>
    <row r="401">
      <c r="A401" s="5" t="str">
        <f>IF($J401="","",INDEX('Detalle individual'!$B:$B,$J401))</f>
        <v/>
      </c>
      <c r="B401" s="5" t="str">
        <f>IF($J401="","",INDEX('Detalle individual'!$A:$A,$J401))</f>
        <v/>
      </c>
      <c r="C401" s="5" t="str">
        <f>IF($J401="","",INDEX('Detalle individual'!$E:$E,$J401))</f>
        <v/>
      </c>
      <c r="D401" s="5" t="str">
        <f>IF($J401="","",INDEX('Detalle individual'!$C:$C,$J401))</f>
        <v/>
      </c>
      <c r="E401" s="5" t="str">
        <f>IF($J401="","",INDEX('Detalle individual'!$D:$D,$J401))</f>
        <v/>
      </c>
      <c r="F401" s="23" t="str">
        <f>IF($J401="","",INDEX('Detalle individual'!$H:$H,$J401))</f>
        <v/>
      </c>
      <c r="G401" s="28" t="str">
        <f>IF($J401="","",INDEX('Detalle individual'!$J:$J,$J401))</f>
        <v/>
      </c>
      <c r="H401" s="28" t="str">
        <f>IF($J401="","",INDEX('Detalle individual'!$L:$L,$J401))</f>
        <v/>
      </c>
      <c r="J401" t="str">
        <f>IFERROR(MATCH(SMALL(Cálculos!$AI$5:$AI$1000,397),Cálculos!$AI$5:$AI$1000,0)+4,"")</f>
        <v/>
      </c>
    </row>
    <row r="402">
      <c r="A402" s="5" t="str">
        <f>IF($J402="","",INDEX('Detalle individual'!$B:$B,$J402))</f>
        <v/>
      </c>
      <c r="B402" s="5" t="str">
        <f>IF($J402="","",INDEX('Detalle individual'!$A:$A,$J402))</f>
        <v/>
      </c>
      <c r="C402" s="5" t="str">
        <f>IF($J402="","",INDEX('Detalle individual'!$E:$E,$J402))</f>
        <v/>
      </c>
      <c r="D402" s="5" t="str">
        <f>IF($J402="","",INDEX('Detalle individual'!$C:$C,$J402))</f>
        <v/>
      </c>
      <c r="E402" s="5" t="str">
        <f>IF($J402="","",INDEX('Detalle individual'!$D:$D,$J402))</f>
        <v/>
      </c>
      <c r="F402" s="23" t="str">
        <f>IF($J402="","",INDEX('Detalle individual'!$H:$H,$J402))</f>
        <v/>
      </c>
      <c r="G402" s="28" t="str">
        <f>IF($J402="","",INDEX('Detalle individual'!$J:$J,$J402))</f>
        <v/>
      </c>
      <c r="H402" s="28" t="str">
        <f>IF($J402="","",INDEX('Detalle individual'!$L:$L,$J402))</f>
        <v/>
      </c>
      <c r="J402" t="str">
        <f>IFERROR(MATCH(SMALL(Cálculos!$AI$5:$AI$1000,398),Cálculos!$AI$5:$AI$1000,0)+4,"")</f>
        <v/>
      </c>
    </row>
    <row r="403">
      <c r="A403" s="5" t="str">
        <f>IF($J403="","",INDEX('Detalle individual'!$B:$B,$J403))</f>
        <v/>
      </c>
      <c r="B403" s="5" t="str">
        <f>IF($J403="","",INDEX('Detalle individual'!$A:$A,$J403))</f>
        <v/>
      </c>
      <c r="C403" s="5" t="str">
        <f>IF($J403="","",INDEX('Detalle individual'!$E:$E,$J403))</f>
        <v/>
      </c>
      <c r="D403" s="5" t="str">
        <f>IF($J403="","",INDEX('Detalle individual'!$C:$C,$J403))</f>
        <v/>
      </c>
      <c r="E403" s="5" t="str">
        <f>IF($J403="","",INDEX('Detalle individual'!$D:$D,$J403))</f>
        <v/>
      </c>
      <c r="F403" s="23" t="str">
        <f>IF($J403="","",INDEX('Detalle individual'!$H:$H,$J403))</f>
        <v/>
      </c>
      <c r="G403" s="28" t="str">
        <f>IF($J403="","",INDEX('Detalle individual'!$J:$J,$J403))</f>
        <v/>
      </c>
      <c r="H403" s="28" t="str">
        <f>IF($J403="","",INDEX('Detalle individual'!$L:$L,$J403))</f>
        <v/>
      </c>
      <c r="J403" t="str">
        <f>IFERROR(MATCH(SMALL(Cálculos!$AI$5:$AI$1000,399),Cálculos!$AI$5:$AI$1000,0)+4,"")</f>
        <v/>
      </c>
    </row>
    <row r="404">
      <c r="A404" s="5" t="str">
        <f>IF($J404="","",INDEX('Detalle individual'!$B:$B,$J404))</f>
        <v/>
      </c>
      <c r="B404" s="5" t="str">
        <f>IF($J404="","",INDEX('Detalle individual'!$A:$A,$J404))</f>
        <v/>
      </c>
      <c r="C404" s="5" t="str">
        <f>IF($J404="","",INDEX('Detalle individual'!$E:$E,$J404))</f>
        <v/>
      </c>
      <c r="D404" s="5" t="str">
        <f>IF($J404="","",INDEX('Detalle individual'!$C:$C,$J404))</f>
        <v/>
      </c>
      <c r="E404" s="5" t="str">
        <f>IF($J404="","",INDEX('Detalle individual'!$D:$D,$J404))</f>
        <v/>
      </c>
      <c r="F404" s="23" t="str">
        <f>IF($J404="","",INDEX('Detalle individual'!$H:$H,$J404))</f>
        <v/>
      </c>
      <c r="G404" s="28" t="str">
        <f>IF($J404="","",INDEX('Detalle individual'!$J:$J,$J404))</f>
        <v/>
      </c>
      <c r="H404" s="28" t="str">
        <f>IF($J404="","",INDEX('Detalle individual'!$L:$L,$J404))</f>
        <v/>
      </c>
      <c r="J404" t="str">
        <f>IFERROR(MATCH(SMALL(Cálculos!$AI$5:$AI$1000,400),Cálculos!$AI$5:$AI$1000,0)+4,"")</f>
        <v/>
      </c>
    </row>
    <row r="405">
      <c r="A405" s="5" t="str">
        <f>IF($J405="","",INDEX('Detalle individual'!$B:$B,$J405))</f>
        <v/>
      </c>
      <c r="B405" s="5" t="str">
        <f>IF($J405="","",INDEX('Detalle individual'!$A:$A,$J405))</f>
        <v/>
      </c>
      <c r="C405" s="5" t="str">
        <f>IF($J405="","",INDEX('Detalle individual'!$E:$E,$J405))</f>
        <v/>
      </c>
      <c r="D405" s="5" t="str">
        <f>IF($J405="","",INDEX('Detalle individual'!$C:$C,$J405))</f>
        <v/>
      </c>
      <c r="E405" s="5" t="str">
        <f>IF($J405="","",INDEX('Detalle individual'!$D:$D,$J405))</f>
        <v/>
      </c>
      <c r="F405" s="23" t="str">
        <f>IF($J405="","",INDEX('Detalle individual'!$H:$H,$J405))</f>
        <v/>
      </c>
      <c r="G405" s="28" t="str">
        <f>IF($J405="","",INDEX('Detalle individual'!$J:$J,$J405))</f>
        <v/>
      </c>
      <c r="H405" s="28" t="str">
        <f>IF($J405="","",INDEX('Detalle individual'!$L:$L,$J405))</f>
        <v/>
      </c>
      <c r="J405" t="str">
        <f>IFERROR(MATCH(SMALL(Cálculos!$AI$5:$AI$1000,401),Cálculos!$AI$5:$AI$1000,0)+4,"")</f>
        <v/>
      </c>
    </row>
    <row r="406">
      <c r="A406" s="5" t="str">
        <f>IF($J406="","",INDEX('Detalle individual'!$B:$B,$J406))</f>
        <v/>
      </c>
      <c r="B406" s="5" t="str">
        <f>IF($J406="","",INDEX('Detalle individual'!$A:$A,$J406))</f>
        <v/>
      </c>
      <c r="C406" s="5" t="str">
        <f>IF($J406="","",INDEX('Detalle individual'!$E:$E,$J406))</f>
        <v/>
      </c>
      <c r="D406" s="5" t="str">
        <f>IF($J406="","",INDEX('Detalle individual'!$C:$C,$J406))</f>
        <v/>
      </c>
      <c r="E406" s="5" t="str">
        <f>IF($J406="","",INDEX('Detalle individual'!$D:$D,$J406))</f>
        <v/>
      </c>
      <c r="F406" s="23" t="str">
        <f>IF($J406="","",INDEX('Detalle individual'!$H:$H,$J406))</f>
        <v/>
      </c>
      <c r="G406" s="28" t="str">
        <f>IF($J406="","",INDEX('Detalle individual'!$J:$J,$J406))</f>
        <v/>
      </c>
      <c r="H406" s="28" t="str">
        <f>IF($J406="","",INDEX('Detalle individual'!$L:$L,$J406))</f>
        <v/>
      </c>
      <c r="J406" t="str">
        <f>IFERROR(MATCH(SMALL(Cálculos!$AI$5:$AI$1000,402),Cálculos!$AI$5:$AI$1000,0)+4,"")</f>
        <v/>
      </c>
    </row>
    <row r="407">
      <c r="A407" s="5" t="str">
        <f>IF($J407="","",INDEX('Detalle individual'!$B:$B,$J407))</f>
        <v/>
      </c>
      <c r="B407" s="5" t="str">
        <f>IF($J407="","",INDEX('Detalle individual'!$A:$A,$J407))</f>
        <v/>
      </c>
      <c r="C407" s="5" t="str">
        <f>IF($J407="","",INDEX('Detalle individual'!$E:$E,$J407))</f>
        <v/>
      </c>
      <c r="D407" s="5" t="str">
        <f>IF($J407="","",INDEX('Detalle individual'!$C:$C,$J407))</f>
        <v/>
      </c>
      <c r="E407" s="5" t="str">
        <f>IF($J407="","",INDEX('Detalle individual'!$D:$D,$J407))</f>
        <v/>
      </c>
      <c r="F407" s="23" t="str">
        <f>IF($J407="","",INDEX('Detalle individual'!$H:$H,$J407))</f>
        <v/>
      </c>
      <c r="G407" s="28" t="str">
        <f>IF($J407="","",INDEX('Detalle individual'!$J:$J,$J407))</f>
        <v/>
      </c>
      <c r="H407" s="28" t="str">
        <f>IF($J407="","",INDEX('Detalle individual'!$L:$L,$J407))</f>
        <v/>
      </c>
      <c r="J407" t="str">
        <f>IFERROR(MATCH(SMALL(Cálculos!$AI$5:$AI$1000,403),Cálculos!$AI$5:$AI$1000,0)+4,"")</f>
        <v/>
      </c>
    </row>
    <row r="408">
      <c r="A408" s="5" t="str">
        <f>IF($J408="","",INDEX('Detalle individual'!$B:$B,$J408))</f>
        <v/>
      </c>
      <c r="B408" s="5" t="str">
        <f>IF($J408="","",INDEX('Detalle individual'!$A:$A,$J408))</f>
        <v/>
      </c>
      <c r="C408" s="5" t="str">
        <f>IF($J408="","",INDEX('Detalle individual'!$E:$E,$J408))</f>
        <v/>
      </c>
      <c r="D408" s="5" t="str">
        <f>IF($J408="","",INDEX('Detalle individual'!$C:$C,$J408))</f>
        <v/>
      </c>
      <c r="E408" s="5" t="str">
        <f>IF($J408="","",INDEX('Detalle individual'!$D:$D,$J408))</f>
        <v/>
      </c>
      <c r="F408" s="23" t="str">
        <f>IF($J408="","",INDEX('Detalle individual'!$H:$H,$J408))</f>
        <v/>
      </c>
      <c r="G408" s="28" t="str">
        <f>IF($J408="","",INDEX('Detalle individual'!$J:$J,$J408))</f>
        <v/>
      </c>
      <c r="H408" s="28" t="str">
        <f>IF($J408="","",INDEX('Detalle individual'!$L:$L,$J408))</f>
        <v/>
      </c>
      <c r="J408" t="str">
        <f>IFERROR(MATCH(SMALL(Cálculos!$AI$5:$AI$1000,404),Cálculos!$AI$5:$AI$1000,0)+4,"")</f>
        <v/>
      </c>
    </row>
    <row r="409">
      <c r="A409" s="5" t="str">
        <f>IF($J409="","",INDEX('Detalle individual'!$B:$B,$J409))</f>
        <v/>
      </c>
      <c r="B409" s="5" t="str">
        <f>IF($J409="","",INDEX('Detalle individual'!$A:$A,$J409))</f>
        <v/>
      </c>
      <c r="C409" s="5" t="str">
        <f>IF($J409="","",INDEX('Detalle individual'!$E:$E,$J409))</f>
        <v/>
      </c>
      <c r="D409" s="5" t="str">
        <f>IF($J409="","",INDEX('Detalle individual'!$C:$C,$J409))</f>
        <v/>
      </c>
      <c r="E409" s="5" t="str">
        <f>IF($J409="","",INDEX('Detalle individual'!$D:$D,$J409))</f>
        <v/>
      </c>
      <c r="F409" s="23" t="str">
        <f>IF($J409="","",INDEX('Detalle individual'!$H:$H,$J409))</f>
        <v/>
      </c>
      <c r="G409" s="28" t="str">
        <f>IF($J409="","",INDEX('Detalle individual'!$J:$J,$J409))</f>
        <v/>
      </c>
      <c r="H409" s="28" t="str">
        <f>IF($J409="","",INDEX('Detalle individual'!$L:$L,$J409))</f>
        <v/>
      </c>
      <c r="J409" t="str">
        <f>IFERROR(MATCH(SMALL(Cálculos!$AI$5:$AI$1000,405),Cálculos!$AI$5:$AI$1000,0)+4,"")</f>
        <v/>
      </c>
    </row>
    <row r="410">
      <c r="A410" s="5" t="str">
        <f>IF($J410="","",INDEX('Detalle individual'!$B:$B,$J410))</f>
        <v/>
      </c>
      <c r="B410" s="5" t="str">
        <f>IF($J410="","",INDEX('Detalle individual'!$A:$A,$J410))</f>
        <v/>
      </c>
      <c r="C410" s="5" t="str">
        <f>IF($J410="","",INDEX('Detalle individual'!$E:$E,$J410))</f>
        <v/>
      </c>
      <c r="D410" s="5" t="str">
        <f>IF($J410="","",INDEX('Detalle individual'!$C:$C,$J410))</f>
        <v/>
      </c>
      <c r="E410" s="5" t="str">
        <f>IF($J410="","",INDEX('Detalle individual'!$D:$D,$J410))</f>
        <v/>
      </c>
      <c r="F410" s="23" t="str">
        <f>IF($J410="","",INDEX('Detalle individual'!$H:$H,$J410))</f>
        <v/>
      </c>
      <c r="G410" s="28" t="str">
        <f>IF($J410="","",INDEX('Detalle individual'!$J:$J,$J410))</f>
        <v/>
      </c>
      <c r="H410" s="28" t="str">
        <f>IF($J410="","",INDEX('Detalle individual'!$L:$L,$J410))</f>
        <v/>
      </c>
      <c r="J410" t="str">
        <f>IFERROR(MATCH(SMALL(Cálculos!$AI$5:$AI$1000,406),Cálculos!$AI$5:$AI$1000,0)+4,"")</f>
        <v/>
      </c>
    </row>
    <row r="411">
      <c r="A411" s="5" t="str">
        <f>IF($J411="","",INDEX('Detalle individual'!$B:$B,$J411))</f>
        <v/>
      </c>
      <c r="B411" s="5" t="str">
        <f>IF($J411="","",INDEX('Detalle individual'!$A:$A,$J411))</f>
        <v/>
      </c>
      <c r="C411" s="5" t="str">
        <f>IF($J411="","",INDEX('Detalle individual'!$E:$E,$J411))</f>
        <v/>
      </c>
      <c r="D411" s="5" t="str">
        <f>IF($J411="","",INDEX('Detalle individual'!$C:$C,$J411))</f>
        <v/>
      </c>
      <c r="E411" s="5" t="str">
        <f>IF($J411="","",INDEX('Detalle individual'!$D:$D,$J411))</f>
        <v/>
      </c>
      <c r="F411" s="23" t="str">
        <f>IF($J411="","",INDEX('Detalle individual'!$H:$H,$J411))</f>
        <v/>
      </c>
      <c r="G411" s="28" t="str">
        <f>IF($J411="","",INDEX('Detalle individual'!$J:$J,$J411))</f>
        <v/>
      </c>
      <c r="H411" s="28" t="str">
        <f>IF($J411="","",INDEX('Detalle individual'!$L:$L,$J411))</f>
        <v/>
      </c>
      <c r="J411" t="str">
        <f>IFERROR(MATCH(SMALL(Cálculos!$AI$5:$AI$1000,407),Cálculos!$AI$5:$AI$1000,0)+4,"")</f>
        <v/>
      </c>
    </row>
    <row r="412">
      <c r="A412" s="5" t="str">
        <f>IF($J412="","",INDEX('Detalle individual'!$B:$B,$J412))</f>
        <v/>
      </c>
      <c r="B412" s="5" t="str">
        <f>IF($J412="","",INDEX('Detalle individual'!$A:$A,$J412))</f>
        <v/>
      </c>
      <c r="C412" s="5" t="str">
        <f>IF($J412="","",INDEX('Detalle individual'!$E:$E,$J412))</f>
        <v/>
      </c>
      <c r="D412" s="5" t="str">
        <f>IF($J412="","",INDEX('Detalle individual'!$C:$C,$J412))</f>
        <v/>
      </c>
      <c r="E412" s="5" t="str">
        <f>IF($J412="","",INDEX('Detalle individual'!$D:$D,$J412))</f>
        <v/>
      </c>
      <c r="F412" s="23" t="str">
        <f>IF($J412="","",INDEX('Detalle individual'!$H:$H,$J412))</f>
        <v/>
      </c>
      <c r="G412" s="28" t="str">
        <f>IF($J412="","",INDEX('Detalle individual'!$J:$J,$J412))</f>
        <v/>
      </c>
      <c r="H412" s="28" t="str">
        <f>IF($J412="","",INDEX('Detalle individual'!$L:$L,$J412))</f>
        <v/>
      </c>
      <c r="J412" t="str">
        <f>IFERROR(MATCH(SMALL(Cálculos!$AI$5:$AI$1000,408),Cálculos!$AI$5:$AI$1000,0)+4,"")</f>
        <v/>
      </c>
    </row>
    <row r="413">
      <c r="A413" s="5" t="str">
        <f>IF($J413="","",INDEX('Detalle individual'!$B:$B,$J413))</f>
        <v/>
      </c>
      <c r="B413" s="5" t="str">
        <f>IF($J413="","",INDEX('Detalle individual'!$A:$A,$J413))</f>
        <v/>
      </c>
      <c r="C413" s="5" t="str">
        <f>IF($J413="","",INDEX('Detalle individual'!$E:$E,$J413))</f>
        <v/>
      </c>
      <c r="D413" s="5" t="str">
        <f>IF($J413="","",INDEX('Detalle individual'!$C:$C,$J413))</f>
        <v/>
      </c>
      <c r="E413" s="5" t="str">
        <f>IF($J413="","",INDEX('Detalle individual'!$D:$D,$J413))</f>
        <v/>
      </c>
      <c r="F413" s="23" t="str">
        <f>IF($J413="","",INDEX('Detalle individual'!$H:$H,$J413))</f>
        <v/>
      </c>
      <c r="G413" s="28" t="str">
        <f>IF($J413="","",INDEX('Detalle individual'!$J:$J,$J413))</f>
        <v/>
      </c>
      <c r="H413" s="28" t="str">
        <f>IF($J413="","",INDEX('Detalle individual'!$L:$L,$J413))</f>
        <v/>
      </c>
      <c r="J413" t="str">
        <f>IFERROR(MATCH(SMALL(Cálculos!$AI$5:$AI$1000,409),Cálculos!$AI$5:$AI$1000,0)+4,"")</f>
        <v/>
      </c>
    </row>
    <row r="414">
      <c r="A414" s="5" t="str">
        <f>IF($J414="","",INDEX('Detalle individual'!$B:$B,$J414))</f>
        <v/>
      </c>
      <c r="B414" s="5" t="str">
        <f>IF($J414="","",INDEX('Detalle individual'!$A:$A,$J414))</f>
        <v/>
      </c>
      <c r="C414" s="5" t="str">
        <f>IF($J414="","",INDEX('Detalle individual'!$E:$E,$J414))</f>
        <v/>
      </c>
      <c r="D414" s="5" t="str">
        <f>IF($J414="","",INDEX('Detalle individual'!$C:$C,$J414))</f>
        <v/>
      </c>
      <c r="E414" s="5" t="str">
        <f>IF($J414="","",INDEX('Detalle individual'!$D:$D,$J414))</f>
        <v/>
      </c>
      <c r="F414" s="23" t="str">
        <f>IF($J414="","",INDEX('Detalle individual'!$H:$H,$J414))</f>
        <v/>
      </c>
      <c r="G414" s="28" t="str">
        <f>IF($J414="","",INDEX('Detalle individual'!$J:$J,$J414))</f>
        <v/>
      </c>
      <c r="H414" s="28" t="str">
        <f>IF($J414="","",INDEX('Detalle individual'!$L:$L,$J414))</f>
        <v/>
      </c>
      <c r="J414" t="str">
        <f>IFERROR(MATCH(SMALL(Cálculos!$AI$5:$AI$1000,410),Cálculos!$AI$5:$AI$1000,0)+4,"")</f>
        <v/>
      </c>
    </row>
    <row r="415">
      <c r="A415" s="5" t="str">
        <f>IF($J415="","",INDEX('Detalle individual'!$B:$B,$J415))</f>
        <v/>
      </c>
      <c r="B415" s="5" t="str">
        <f>IF($J415="","",INDEX('Detalle individual'!$A:$A,$J415))</f>
        <v/>
      </c>
      <c r="C415" s="5" t="str">
        <f>IF($J415="","",INDEX('Detalle individual'!$E:$E,$J415))</f>
        <v/>
      </c>
      <c r="D415" s="5" t="str">
        <f>IF($J415="","",INDEX('Detalle individual'!$C:$C,$J415))</f>
        <v/>
      </c>
      <c r="E415" s="5" t="str">
        <f>IF($J415="","",INDEX('Detalle individual'!$D:$D,$J415))</f>
        <v/>
      </c>
      <c r="F415" s="23" t="str">
        <f>IF($J415="","",INDEX('Detalle individual'!$H:$H,$J415))</f>
        <v/>
      </c>
      <c r="G415" s="28" t="str">
        <f>IF($J415="","",INDEX('Detalle individual'!$J:$J,$J415))</f>
        <v/>
      </c>
      <c r="H415" s="28" t="str">
        <f>IF($J415="","",INDEX('Detalle individual'!$L:$L,$J415))</f>
        <v/>
      </c>
      <c r="J415" t="str">
        <f>IFERROR(MATCH(SMALL(Cálculos!$AI$5:$AI$1000,411),Cálculos!$AI$5:$AI$1000,0)+4,"")</f>
        <v/>
      </c>
    </row>
    <row r="416">
      <c r="A416" s="5" t="str">
        <f>IF($J416="","",INDEX('Detalle individual'!$B:$B,$J416))</f>
        <v/>
      </c>
      <c r="B416" s="5" t="str">
        <f>IF($J416="","",INDEX('Detalle individual'!$A:$A,$J416))</f>
        <v/>
      </c>
      <c r="C416" s="5" t="str">
        <f>IF($J416="","",INDEX('Detalle individual'!$E:$E,$J416))</f>
        <v/>
      </c>
      <c r="D416" s="5" t="str">
        <f>IF($J416="","",INDEX('Detalle individual'!$C:$C,$J416))</f>
        <v/>
      </c>
      <c r="E416" s="5" t="str">
        <f>IF($J416="","",INDEX('Detalle individual'!$D:$D,$J416))</f>
        <v/>
      </c>
      <c r="F416" s="23" t="str">
        <f>IF($J416="","",INDEX('Detalle individual'!$H:$H,$J416))</f>
        <v/>
      </c>
      <c r="G416" s="28" t="str">
        <f>IF($J416="","",INDEX('Detalle individual'!$J:$J,$J416))</f>
        <v/>
      </c>
      <c r="H416" s="28" t="str">
        <f>IF($J416="","",INDEX('Detalle individual'!$L:$L,$J416))</f>
        <v/>
      </c>
      <c r="J416" t="str">
        <f>IFERROR(MATCH(SMALL(Cálculos!$AI$5:$AI$1000,412),Cálculos!$AI$5:$AI$1000,0)+4,"")</f>
        <v/>
      </c>
    </row>
    <row r="417">
      <c r="A417" s="5" t="str">
        <f>IF($J417="","",INDEX('Detalle individual'!$B:$B,$J417))</f>
        <v/>
      </c>
      <c r="B417" s="5" t="str">
        <f>IF($J417="","",INDEX('Detalle individual'!$A:$A,$J417))</f>
        <v/>
      </c>
      <c r="C417" s="5" t="str">
        <f>IF($J417="","",INDEX('Detalle individual'!$E:$E,$J417))</f>
        <v/>
      </c>
      <c r="D417" s="5" t="str">
        <f>IF($J417="","",INDEX('Detalle individual'!$C:$C,$J417))</f>
        <v/>
      </c>
      <c r="E417" s="5" t="str">
        <f>IF($J417="","",INDEX('Detalle individual'!$D:$D,$J417))</f>
        <v/>
      </c>
      <c r="F417" s="23" t="str">
        <f>IF($J417="","",INDEX('Detalle individual'!$H:$H,$J417))</f>
        <v/>
      </c>
      <c r="G417" s="28" t="str">
        <f>IF($J417="","",INDEX('Detalle individual'!$J:$J,$J417))</f>
        <v/>
      </c>
      <c r="H417" s="28" t="str">
        <f>IF($J417="","",INDEX('Detalle individual'!$L:$L,$J417))</f>
        <v/>
      </c>
      <c r="J417" t="str">
        <f>IFERROR(MATCH(SMALL(Cálculos!$AI$5:$AI$1000,413),Cálculos!$AI$5:$AI$1000,0)+4,"")</f>
        <v/>
      </c>
    </row>
    <row r="418">
      <c r="A418" s="5" t="str">
        <f>IF($J418="","",INDEX('Detalle individual'!$B:$B,$J418))</f>
        <v/>
      </c>
      <c r="B418" s="5" t="str">
        <f>IF($J418="","",INDEX('Detalle individual'!$A:$A,$J418))</f>
        <v/>
      </c>
      <c r="C418" s="5" t="str">
        <f>IF($J418="","",INDEX('Detalle individual'!$E:$E,$J418))</f>
        <v/>
      </c>
      <c r="D418" s="5" t="str">
        <f>IF($J418="","",INDEX('Detalle individual'!$C:$C,$J418))</f>
        <v/>
      </c>
      <c r="E418" s="5" t="str">
        <f>IF($J418="","",INDEX('Detalle individual'!$D:$D,$J418))</f>
        <v/>
      </c>
      <c r="F418" s="23" t="str">
        <f>IF($J418="","",INDEX('Detalle individual'!$H:$H,$J418))</f>
        <v/>
      </c>
      <c r="G418" s="28" t="str">
        <f>IF($J418="","",INDEX('Detalle individual'!$J:$J,$J418))</f>
        <v/>
      </c>
      <c r="H418" s="28" t="str">
        <f>IF($J418="","",INDEX('Detalle individual'!$L:$L,$J418))</f>
        <v/>
      </c>
      <c r="J418" t="str">
        <f>IFERROR(MATCH(SMALL(Cálculos!$AI$5:$AI$1000,414),Cálculos!$AI$5:$AI$1000,0)+4,"")</f>
        <v/>
      </c>
    </row>
    <row r="419">
      <c r="A419" s="5" t="str">
        <f>IF($J419="","",INDEX('Detalle individual'!$B:$B,$J419))</f>
        <v/>
      </c>
      <c r="B419" s="5" t="str">
        <f>IF($J419="","",INDEX('Detalle individual'!$A:$A,$J419))</f>
        <v/>
      </c>
      <c r="C419" s="5" t="str">
        <f>IF($J419="","",INDEX('Detalle individual'!$E:$E,$J419))</f>
        <v/>
      </c>
      <c r="D419" s="5" t="str">
        <f>IF($J419="","",INDEX('Detalle individual'!$C:$C,$J419))</f>
        <v/>
      </c>
      <c r="E419" s="5" t="str">
        <f>IF($J419="","",INDEX('Detalle individual'!$D:$D,$J419))</f>
        <v/>
      </c>
      <c r="F419" s="23" t="str">
        <f>IF($J419="","",INDEX('Detalle individual'!$H:$H,$J419))</f>
        <v/>
      </c>
      <c r="G419" s="28" t="str">
        <f>IF($J419="","",INDEX('Detalle individual'!$J:$J,$J419))</f>
        <v/>
      </c>
      <c r="H419" s="28" t="str">
        <f>IF($J419="","",INDEX('Detalle individual'!$L:$L,$J419))</f>
        <v/>
      </c>
      <c r="J419" t="str">
        <f>IFERROR(MATCH(SMALL(Cálculos!$AI$5:$AI$1000,415),Cálculos!$AI$5:$AI$1000,0)+4,"")</f>
        <v/>
      </c>
    </row>
    <row r="420">
      <c r="A420" s="5" t="str">
        <f>IF($J420="","",INDEX('Detalle individual'!$B:$B,$J420))</f>
        <v/>
      </c>
      <c r="B420" s="5" t="str">
        <f>IF($J420="","",INDEX('Detalle individual'!$A:$A,$J420))</f>
        <v/>
      </c>
      <c r="C420" s="5" t="str">
        <f>IF($J420="","",INDEX('Detalle individual'!$E:$E,$J420))</f>
        <v/>
      </c>
      <c r="D420" s="5" t="str">
        <f>IF($J420="","",INDEX('Detalle individual'!$C:$C,$J420))</f>
        <v/>
      </c>
      <c r="E420" s="5" t="str">
        <f>IF($J420="","",INDEX('Detalle individual'!$D:$D,$J420))</f>
        <v/>
      </c>
      <c r="F420" s="23" t="str">
        <f>IF($J420="","",INDEX('Detalle individual'!$H:$H,$J420))</f>
        <v/>
      </c>
      <c r="G420" s="28" t="str">
        <f>IF($J420="","",INDEX('Detalle individual'!$J:$J,$J420))</f>
        <v/>
      </c>
      <c r="H420" s="28" t="str">
        <f>IF($J420="","",INDEX('Detalle individual'!$L:$L,$J420))</f>
        <v/>
      </c>
      <c r="J420" t="str">
        <f>IFERROR(MATCH(SMALL(Cálculos!$AI$5:$AI$1000,416),Cálculos!$AI$5:$AI$1000,0)+4,"")</f>
        <v/>
      </c>
    </row>
    <row r="421">
      <c r="A421" s="5" t="str">
        <f>IF($J421="","",INDEX('Detalle individual'!$B:$B,$J421))</f>
        <v/>
      </c>
      <c r="B421" s="5" t="str">
        <f>IF($J421="","",INDEX('Detalle individual'!$A:$A,$J421))</f>
        <v/>
      </c>
      <c r="C421" s="5" t="str">
        <f>IF($J421="","",INDEX('Detalle individual'!$E:$E,$J421))</f>
        <v/>
      </c>
      <c r="D421" s="5" t="str">
        <f>IF($J421="","",INDEX('Detalle individual'!$C:$C,$J421))</f>
        <v/>
      </c>
      <c r="E421" s="5" t="str">
        <f>IF($J421="","",INDEX('Detalle individual'!$D:$D,$J421))</f>
        <v/>
      </c>
      <c r="F421" s="23" t="str">
        <f>IF($J421="","",INDEX('Detalle individual'!$H:$H,$J421))</f>
        <v/>
      </c>
      <c r="G421" s="28" t="str">
        <f>IF($J421="","",INDEX('Detalle individual'!$J:$J,$J421))</f>
        <v/>
      </c>
      <c r="H421" s="28" t="str">
        <f>IF($J421="","",INDEX('Detalle individual'!$L:$L,$J421))</f>
        <v/>
      </c>
      <c r="J421" t="str">
        <f>IFERROR(MATCH(SMALL(Cálculos!$AI$5:$AI$1000,417),Cálculos!$AI$5:$AI$1000,0)+4,"")</f>
        <v/>
      </c>
    </row>
    <row r="422">
      <c r="A422" s="5" t="str">
        <f>IF($J422="","",INDEX('Detalle individual'!$B:$B,$J422))</f>
        <v/>
      </c>
      <c r="B422" s="5" t="str">
        <f>IF($J422="","",INDEX('Detalle individual'!$A:$A,$J422))</f>
        <v/>
      </c>
      <c r="C422" s="5" t="str">
        <f>IF($J422="","",INDEX('Detalle individual'!$E:$E,$J422))</f>
        <v/>
      </c>
      <c r="D422" s="5" t="str">
        <f>IF($J422="","",INDEX('Detalle individual'!$C:$C,$J422))</f>
        <v/>
      </c>
      <c r="E422" s="5" t="str">
        <f>IF($J422="","",INDEX('Detalle individual'!$D:$D,$J422))</f>
        <v/>
      </c>
      <c r="F422" s="23" t="str">
        <f>IF($J422="","",INDEX('Detalle individual'!$H:$H,$J422))</f>
        <v/>
      </c>
      <c r="G422" s="28" t="str">
        <f>IF($J422="","",INDEX('Detalle individual'!$J:$J,$J422))</f>
        <v/>
      </c>
      <c r="H422" s="28" t="str">
        <f>IF($J422="","",INDEX('Detalle individual'!$L:$L,$J422))</f>
        <v/>
      </c>
      <c r="J422" t="str">
        <f>IFERROR(MATCH(SMALL(Cálculos!$AI$5:$AI$1000,418),Cálculos!$AI$5:$AI$1000,0)+4,"")</f>
        <v/>
      </c>
    </row>
    <row r="423">
      <c r="A423" s="5" t="str">
        <f>IF($J423="","",INDEX('Detalle individual'!$B:$B,$J423))</f>
        <v/>
      </c>
      <c r="B423" s="5" t="str">
        <f>IF($J423="","",INDEX('Detalle individual'!$A:$A,$J423))</f>
        <v/>
      </c>
      <c r="C423" s="5" t="str">
        <f>IF($J423="","",INDEX('Detalle individual'!$E:$E,$J423))</f>
        <v/>
      </c>
      <c r="D423" s="5" t="str">
        <f>IF($J423="","",INDEX('Detalle individual'!$C:$C,$J423))</f>
        <v/>
      </c>
      <c r="E423" s="5" t="str">
        <f>IF($J423="","",INDEX('Detalle individual'!$D:$D,$J423))</f>
        <v/>
      </c>
      <c r="F423" s="23" t="str">
        <f>IF($J423="","",INDEX('Detalle individual'!$H:$H,$J423))</f>
        <v/>
      </c>
      <c r="G423" s="28" t="str">
        <f>IF($J423="","",INDEX('Detalle individual'!$J:$J,$J423))</f>
        <v/>
      </c>
      <c r="H423" s="28" t="str">
        <f>IF($J423="","",INDEX('Detalle individual'!$L:$L,$J423))</f>
        <v/>
      </c>
      <c r="J423" t="str">
        <f>IFERROR(MATCH(SMALL(Cálculos!$AI$5:$AI$1000,419),Cálculos!$AI$5:$AI$1000,0)+4,"")</f>
        <v/>
      </c>
    </row>
    <row r="424">
      <c r="A424" s="5" t="str">
        <f>IF($J424="","",INDEX('Detalle individual'!$B:$B,$J424))</f>
        <v/>
      </c>
      <c r="B424" s="5" t="str">
        <f>IF($J424="","",INDEX('Detalle individual'!$A:$A,$J424))</f>
        <v/>
      </c>
      <c r="C424" s="5" t="str">
        <f>IF($J424="","",INDEX('Detalle individual'!$E:$E,$J424))</f>
        <v/>
      </c>
      <c r="D424" s="5" t="str">
        <f>IF($J424="","",INDEX('Detalle individual'!$C:$C,$J424))</f>
        <v/>
      </c>
      <c r="E424" s="5" t="str">
        <f>IF($J424="","",INDEX('Detalle individual'!$D:$D,$J424))</f>
        <v/>
      </c>
      <c r="F424" s="23" t="str">
        <f>IF($J424="","",INDEX('Detalle individual'!$H:$H,$J424))</f>
        <v/>
      </c>
      <c r="G424" s="28" t="str">
        <f>IF($J424="","",INDEX('Detalle individual'!$J:$J,$J424))</f>
        <v/>
      </c>
      <c r="H424" s="28" t="str">
        <f>IF($J424="","",INDEX('Detalle individual'!$L:$L,$J424))</f>
        <v/>
      </c>
      <c r="J424" t="str">
        <f>IFERROR(MATCH(SMALL(Cálculos!$AI$5:$AI$1000,420),Cálculos!$AI$5:$AI$1000,0)+4,"")</f>
        <v/>
      </c>
    </row>
    <row r="425">
      <c r="A425" s="5" t="str">
        <f>IF($J425="","",INDEX('Detalle individual'!$B:$B,$J425))</f>
        <v/>
      </c>
      <c r="B425" s="5" t="str">
        <f>IF($J425="","",INDEX('Detalle individual'!$A:$A,$J425))</f>
        <v/>
      </c>
      <c r="C425" s="5" t="str">
        <f>IF($J425="","",INDEX('Detalle individual'!$E:$E,$J425))</f>
        <v/>
      </c>
      <c r="D425" s="5" t="str">
        <f>IF($J425="","",INDEX('Detalle individual'!$C:$C,$J425))</f>
        <v/>
      </c>
      <c r="E425" s="5" t="str">
        <f>IF($J425="","",INDEX('Detalle individual'!$D:$D,$J425))</f>
        <v/>
      </c>
      <c r="F425" s="23" t="str">
        <f>IF($J425="","",INDEX('Detalle individual'!$H:$H,$J425))</f>
        <v/>
      </c>
      <c r="G425" s="28" t="str">
        <f>IF($J425="","",INDEX('Detalle individual'!$J:$J,$J425))</f>
        <v/>
      </c>
      <c r="H425" s="28" t="str">
        <f>IF($J425="","",INDEX('Detalle individual'!$L:$L,$J425))</f>
        <v/>
      </c>
      <c r="J425" t="str">
        <f>IFERROR(MATCH(SMALL(Cálculos!$AI$5:$AI$1000,421),Cálculos!$AI$5:$AI$1000,0)+4,"")</f>
        <v/>
      </c>
    </row>
    <row r="426">
      <c r="A426" s="5" t="str">
        <f>IF($J426="","",INDEX('Detalle individual'!$B:$B,$J426))</f>
        <v/>
      </c>
      <c r="B426" s="5" t="str">
        <f>IF($J426="","",INDEX('Detalle individual'!$A:$A,$J426))</f>
        <v/>
      </c>
      <c r="C426" s="5" t="str">
        <f>IF($J426="","",INDEX('Detalle individual'!$E:$E,$J426))</f>
        <v/>
      </c>
      <c r="D426" s="5" t="str">
        <f>IF($J426="","",INDEX('Detalle individual'!$C:$C,$J426))</f>
        <v/>
      </c>
      <c r="E426" s="5" t="str">
        <f>IF($J426="","",INDEX('Detalle individual'!$D:$D,$J426))</f>
        <v/>
      </c>
      <c r="F426" s="23" t="str">
        <f>IF($J426="","",INDEX('Detalle individual'!$H:$H,$J426))</f>
        <v/>
      </c>
      <c r="G426" s="28" t="str">
        <f>IF($J426="","",INDEX('Detalle individual'!$J:$J,$J426))</f>
        <v/>
      </c>
      <c r="H426" s="28" t="str">
        <f>IF($J426="","",INDEX('Detalle individual'!$L:$L,$J426))</f>
        <v/>
      </c>
      <c r="J426" t="str">
        <f>IFERROR(MATCH(SMALL(Cálculos!$AI$5:$AI$1000,422),Cálculos!$AI$5:$AI$1000,0)+4,"")</f>
        <v/>
      </c>
    </row>
    <row r="427">
      <c r="A427" s="5" t="str">
        <f>IF($J427="","",INDEX('Detalle individual'!$B:$B,$J427))</f>
        <v/>
      </c>
      <c r="B427" s="5" t="str">
        <f>IF($J427="","",INDEX('Detalle individual'!$A:$A,$J427))</f>
        <v/>
      </c>
      <c r="C427" s="5" t="str">
        <f>IF($J427="","",INDEX('Detalle individual'!$E:$E,$J427))</f>
        <v/>
      </c>
      <c r="D427" s="5" t="str">
        <f>IF($J427="","",INDEX('Detalle individual'!$C:$C,$J427))</f>
        <v/>
      </c>
      <c r="E427" s="5" t="str">
        <f>IF($J427="","",INDEX('Detalle individual'!$D:$D,$J427))</f>
        <v/>
      </c>
      <c r="F427" s="23" t="str">
        <f>IF($J427="","",INDEX('Detalle individual'!$H:$H,$J427))</f>
        <v/>
      </c>
      <c r="G427" s="28" t="str">
        <f>IF($J427="","",INDEX('Detalle individual'!$J:$J,$J427))</f>
        <v/>
      </c>
      <c r="H427" s="28" t="str">
        <f>IF($J427="","",INDEX('Detalle individual'!$L:$L,$J427))</f>
        <v/>
      </c>
      <c r="J427" t="str">
        <f>IFERROR(MATCH(SMALL(Cálculos!$AI$5:$AI$1000,423),Cálculos!$AI$5:$AI$1000,0)+4,"")</f>
        <v/>
      </c>
    </row>
    <row r="428">
      <c r="A428" s="5" t="str">
        <f>IF($J428="","",INDEX('Detalle individual'!$B:$B,$J428))</f>
        <v/>
      </c>
      <c r="B428" s="5" t="str">
        <f>IF($J428="","",INDEX('Detalle individual'!$A:$A,$J428))</f>
        <v/>
      </c>
      <c r="C428" s="5" t="str">
        <f>IF($J428="","",INDEX('Detalle individual'!$E:$E,$J428))</f>
        <v/>
      </c>
      <c r="D428" s="5" t="str">
        <f>IF($J428="","",INDEX('Detalle individual'!$C:$C,$J428))</f>
        <v/>
      </c>
      <c r="E428" s="5" t="str">
        <f>IF($J428="","",INDEX('Detalle individual'!$D:$D,$J428))</f>
        <v/>
      </c>
      <c r="F428" s="23" t="str">
        <f>IF($J428="","",INDEX('Detalle individual'!$H:$H,$J428))</f>
        <v/>
      </c>
      <c r="G428" s="28" t="str">
        <f>IF($J428="","",INDEX('Detalle individual'!$J:$J,$J428))</f>
        <v/>
      </c>
      <c r="H428" s="28" t="str">
        <f>IF($J428="","",INDEX('Detalle individual'!$L:$L,$J428))</f>
        <v/>
      </c>
      <c r="J428" t="str">
        <f>IFERROR(MATCH(SMALL(Cálculos!$AI$5:$AI$1000,424),Cálculos!$AI$5:$AI$1000,0)+4,"")</f>
        <v/>
      </c>
    </row>
    <row r="429">
      <c r="A429" s="5" t="str">
        <f>IF($J429="","",INDEX('Detalle individual'!$B:$B,$J429))</f>
        <v/>
      </c>
      <c r="B429" s="5" t="str">
        <f>IF($J429="","",INDEX('Detalle individual'!$A:$A,$J429))</f>
        <v/>
      </c>
      <c r="C429" s="5" t="str">
        <f>IF($J429="","",INDEX('Detalle individual'!$E:$E,$J429))</f>
        <v/>
      </c>
      <c r="D429" s="5" t="str">
        <f>IF($J429="","",INDEX('Detalle individual'!$C:$C,$J429))</f>
        <v/>
      </c>
      <c r="E429" s="5" t="str">
        <f>IF($J429="","",INDEX('Detalle individual'!$D:$D,$J429))</f>
        <v/>
      </c>
      <c r="F429" s="23" t="str">
        <f>IF($J429="","",INDEX('Detalle individual'!$H:$H,$J429))</f>
        <v/>
      </c>
      <c r="G429" s="28" t="str">
        <f>IF($J429="","",INDEX('Detalle individual'!$J:$J,$J429))</f>
        <v/>
      </c>
      <c r="H429" s="28" t="str">
        <f>IF($J429="","",INDEX('Detalle individual'!$L:$L,$J429))</f>
        <v/>
      </c>
      <c r="J429" t="str">
        <f>IFERROR(MATCH(SMALL(Cálculos!$AI$5:$AI$1000,425),Cálculos!$AI$5:$AI$1000,0)+4,"")</f>
        <v/>
      </c>
    </row>
    <row r="430">
      <c r="A430" s="5" t="str">
        <f>IF($J430="","",INDEX('Detalle individual'!$B:$B,$J430))</f>
        <v/>
      </c>
      <c r="B430" s="5" t="str">
        <f>IF($J430="","",INDEX('Detalle individual'!$A:$A,$J430))</f>
        <v/>
      </c>
      <c r="C430" s="5" t="str">
        <f>IF($J430="","",INDEX('Detalle individual'!$E:$E,$J430))</f>
        <v/>
      </c>
      <c r="D430" s="5" t="str">
        <f>IF($J430="","",INDEX('Detalle individual'!$C:$C,$J430))</f>
        <v/>
      </c>
      <c r="E430" s="5" t="str">
        <f>IF($J430="","",INDEX('Detalle individual'!$D:$D,$J430))</f>
        <v/>
      </c>
      <c r="F430" s="23" t="str">
        <f>IF($J430="","",INDEX('Detalle individual'!$H:$H,$J430))</f>
        <v/>
      </c>
      <c r="G430" s="28" t="str">
        <f>IF($J430="","",INDEX('Detalle individual'!$J:$J,$J430))</f>
        <v/>
      </c>
      <c r="H430" s="28" t="str">
        <f>IF($J430="","",INDEX('Detalle individual'!$L:$L,$J430))</f>
        <v/>
      </c>
      <c r="J430" t="str">
        <f>IFERROR(MATCH(SMALL(Cálculos!$AI$5:$AI$1000,426),Cálculos!$AI$5:$AI$1000,0)+4,"")</f>
        <v/>
      </c>
    </row>
    <row r="431">
      <c r="A431" s="5" t="str">
        <f>IF($J431="","",INDEX('Detalle individual'!$B:$B,$J431))</f>
        <v/>
      </c>
      <c r="B431" s="5" t="str">
        <f>IF($J431="","",INDEX('Detalle individual'!$A:$A,$J431))</f>
        <v/>
      </c>
      <c r="C431" s="5" t="str">
        <f>IF($J431="","",INDEX('Detalle individual'!$E:$E,$J431))</f>
        <v/>
      </c>
      <c r="D431" s="5" t="str">
        <f>IF($J431="","",INDEX('Detalle individual'!$C:$C,$J431))</f>
        <v/>
      </c>
      <c r="E431" s="5" t="str">
        <f>IF($J431="","",INDEX('Detalle individual'!$D:$D,$J431))</f>
        <v/>
      </c>
      <c r="F431" s="23" t="str">
        <f>IF($J431="","",INDEX('Detalle individual'!$H:$H,$J431))</f>
        <v/>
      </c>
      <c r="G431" s="28" t="str">
        <f>IF($J431="","",INDEX('Detalle individual'!$J:$J,$J431))</f>
        <v/>
      </c>
      <c r="H431" s="28" t="str">
        <f>IF($J431="","",INDEX('Detalle individual'!$L:$L,$J431))</f>
        <v/>
      </c>
      <c r="J431" t="str">
        <f>IFERROR(MATCH(SMALL(Cálculos!$AI$5:$AI$1000,427),Cálculos!$AI$5:$AI$1000,0)+4,"")</f>
        <v/>
      </c>
    </row>
    <row r="432">
      <c r="A432" s="5" t="str">
        <f>IF($J432="","",INDEX('Detalle individual'!$B:$B,$J432))</f>
        <v/>
      </c>
      <c r="B432" s="5" t="str">
        <f>IF($J432="","",INDEX('Detalle individual'!$A:$A,$J432))</f>
        <v/>
      </c>
      <c r="C432" s="5" t="str">
        <f>IF($J432="","",INDEX('Detalle individual'!$E:$E,$J432))</f>
        <v/>
      </c>
      <c r="D432" s="5" t="str">
        <f>IF($J432="","",INDEX('Detalle individual'!$C:$C,$J432))</f>
        <v/>
      </c>
      <c r="E432" s="5" t="str">
        <f>IF($J432="","",INDEX('Detalle individual'!$D:$D,$J432))</f>
        <v/>
      </c>
      <c r="F432" s="23" t="str">
        <f>IF($J432="","",INDEX('Detalle individual'!$H:$H,$J432))</f>
        <v/>
      </c>
      <c r="G432" s="28" t="str">
        <f>IF($J432="","",INDEX('Detalle individual'!$J:$J,$J432))</f>
        <v/>
      </c>
      <c r="H432" s="28" t="str">
        <f>IF($J432="","",INDEX('Detalle individual'!$L:$L,$J432))</f>
        <v/>
      </c>
      <c r="J432" t="str">
        <f>IFERROR(MATCH(SMALL(Cálculos!$AI$5:$AI$1000,428),Cálculos!$AI$5:$AI$1000,0)+4,"")</f>
        <v/>
      </c>
    </row>
    <row r="433">
      <c r="A433" s="5" t="str">
        <f>IF($J433="","",INDEX('Detalle individual'!$B:$B,$J433))</f>
        <v/>
      </c>
      <c r="B433" s="5" t="str">
        <f>IF($J433="","",INDEX('Detalle individual'!$A:$A,$J433))</f>
        <v/>
      </c>
      <c r="C433" s="5" t="str">
        <f>IF($J433="","",INDEX('Detalle individual'!$E:$E,$J433))</f>
        <v/>
      </c>
      <c r="D433" s="5" t="str">
        <f>IF($J433="","",INDEX('Detalle individual'!$C:$C,$J433))</f>
        <v/>
      </c>
      <c r="E433" s="5" t="str">
        <f>IF($J433="","",INDEX('Detalle individual'!$D:$D,$J433))</f>
        <v/>
      </c>
      <c r="F433" s="23" t="str">
        <f>IF($J433="","",INDEX('Detalle individual'!$H:$H,$J433))</f>
        <v/>
      </c>
      <c r="G433" s="28" t="str">
        <f>IF($J433="","",INDEX('Detalle individual'!$J:$J,$J433))</f>
        <v/>
      </c>
      <c r="H433" s="28" t="str">
        <f>IF($J433="","",INDEX('Detalle individual'!$L:$L,$J433))</f>
        <v/>
      </c>
      <c r="J433" t="str">
        <f>IFERROR(MATCH(SMALL(Cálculos!$AI$5:$AI$1000,429),Cálculos!$AI$5:$AI$1000,0)+4,"")</f>
        <v/>
      </c>
    </row>
    <row r="434">
      <c r="A434" s="5" t="str">
        <f>IF($J434="","",INDEX('Detalle individual'!$B:$B,$J434))</f>
        <v/>
      </c>
      <c r="B434" s="5" t="str">
        <f>IF($J434="","",INDEX('Detalle individual'!$A:$A,$J434))</f>
        <v/>
      </c>
      <c r="C434" s="5" t="str">
        <f>IF($J434="","",INDEX('Detalle individual'!$E:$E,$J434))</f>
        <v/>
      </c>
      <c r="D434" s="5" t="str">
        <f>IF($J434="","",INDEX('Detalle individual'!$C:$C,$J434))</f>
        <v/>
      </c>
      <c r="E434" s="5" t="str">
        <f>IF($J434="","",INDEX('Detalle individual'!$D:$D,$J434))</f>
        <v/>
      </c>
      <c r="F434" s="23" t="str">
        <f>IF($J434="","",INDEX('Detalle individual'!$H:$H,$J434))</f>
        <v/>
      </c>
      <c r="G434" s="28" t="str">
        <f>IF($J434="","",INDEX('Detalle individual'!$J:$J,$J434))</f>
        <v/>
      </c>
      <c r="H434" s="28" t="str">
        <f>IF($J434="","",INDEX('Detalle individual'!$L:$L,$J434))</f>
        <v/>
      </c>
      <c r="J434" t="str">
        <f>IFERROR(MATCH(SMALL(Cálculos!$AI$5:$AI$1000,430),Cálculos!$AI$5:$AI$1000,0)+4,"")</f>
        <v/>
      </c>
    </row>
    <row r="435">
      <c r="A435" s="5" t="str">
        <f>IF($J435="","",INDEX('Detalle individual'!$B:$B,$J435))</f>
        <v/>
      </c>
      <c r="B435" s="5" t="str">
        <f>IF($J435="","",INDEX('Detalle individual'!$A:$A,$J435))</f>
        <v/>
      </c>
      <c r="C435" s="5" t="str">
        <f>IF($J435="","",INDEX('Detalle individual'!$E:$E,$J435))</f>
        <v/>
      </c>
      <c r="D435" s="5" t="str">
        <f>IF($J435="","",INDEX('Detalle individual'!$C:$C,$J435))</f>
        <v/>
      </c>
      <c r="E435" s="5" t="str">
        <f>IF($J435="","",INDEX('Detalle individual'!$D:$D,$J435))</f>
        <v/>
      </c>
      <c r="F435" s="23" t="str">
        <f>IF($J435="","",INDEX('Detalle individual'!$H:$H,$J435))</f>
        <v/>
      </c>
      <c r="G435" s="28" t="str">
        <f>IF($J435="","",INDEX('Detalle individual'!$J:$J,$J435))</f>
        <v/>
      </c>
      <c r="H435" s="28" t="str">
        <f>IF($J435="","",INDEX('Detalle individual'!$L:$L,$J435))</f>
        <v/>
      </c>
      <c r="J435" t="str">
        <f>IFERROR(MATCH(SMALL(Cálculos!$AI$5:$AI$1000,431),Cálculos!$AI$5:$AI$1000,0)+4,"")</f>
        <v/>
      </c>
    </row>
    <row r="436">
      <c r="A436" s="5" t="str">
        <f>IF($J436="","",INDEX('Detalle individual'!$B:$B,$J436))</f>
        <v/>
      </c>
      <c r="B436" s="5" t="str">
        <f>IF($J436="","",INDEX('Detalle individual'!$A:$A,$J436))</f>
        <v/>
      </c>
      <c r="C436" s="5" t="str">
        <f>IF($J436="","",INDEX('Detalle individual'!$E:$E,$J436))</f>
        <v/>
      </c>
      <c r="D436" s="5" t="str">
        <f>IF($J436="","",INDEX('Detalle individual'!$C:$C,$J436))</f>
        <v/>
      </c>
      <c r="E436" s="5" t="str">
        <f>IF($J436="","",INDEX('Detalle individual'!$D:$D,$J436))</f>
        <v/>
      </c>
      <c r="F436" s="23" t="str">
        <f>IF($J436="","",INDEX('Detalle individual'!$H:$H,$J436))</f>
        <v/>
      </c>
      <c r="G436" s="28" t="str">
        <f>IF($J436="","",INDEX('Detalle individual'!$J:$J,$J436))</f>
        <v/>
      </c>
      <c r="H436" s="28" t="str">
        <f>IF($J436="","",INDEX('Detalle individual'!$L:$L,$J436))</f>
        <v/>
      </c>
      <c r="J436" t="str">
        <f>IFERROR(MATCH(SMALL(Cálculos!$AI$5:$AI$1000,432),Cálculos!$AI$5:$AI$1000,0)+4,"")</f>
        <v/>
      </c>
    </row>
    <row r="437">
      <c r="A437" s="5" t="str">
        <f>IF($J437="","",INDEX('Detalle individual'!$B:$B,$J437))</f>
        <v/>
      </c>
      <c r="B437" s="5" t="str">
        <f>IF($J437="","",INDEX('Detalle individual'!$A:$A,$J437))</f>
        <v/>
      </c>
      <c r="C437" s="5" t="str">
        <f>IF($J437="","",INDEX('Detalle individual'!$E:$E,$J437))</f>
        <v/>
      </c>
      <c r="D437" s="5" t="str">
        <f>IF($J437="","",INDEX('Detalle individual'!$C:$C,$J437))</f>
        <v/>
      </c>
      <c r="E437" s="5" t="str">
        <f>IF($J437="","",INDEX('Detalle individual'!$D:$D,$J437))</f>
        <v/>
      </c>
      <c r="F437" s="23" t="str">
        <f>IF($J437="","",INDEX('Detalle individual'!$H:$H,$J437))</f>
        <v/>
      </c>
      <c r="G437" s="28" t="str">
        <f>IF($J437="","",INDEX('Detalle individual'!$J:$J,$J437))</f>
        <v/>
      </c>
      <c r="H437" s="28" t="str">
        <f>IF($J437="","",INDEX('Detalle individual'!$L:$L,$J437))</f>
        <v/>
      </c>
      <c r="J437" t="str">
        <f>IFERROR(MATCH(SMALL(Cálculos!$AI$5:$AI$1000,433),Cálculos!$AI$5:$AI$1000,0)+4,"")</f>
        <v/>
      </c>
    </row>
    <row r="438">
      <c r="A438" s="5" t="str">
        <f>IF($J438="","",INDEX('Detalle individual'!$B:$B,$J438))</f>
        <v/>
      </c>
      <c r="B438" s="5" t="str">
        <f>IF($J438="","",INDEX('Detalle individual'!$A:$A,$J438))</f>
        <v/>
      </c>
      <c r="C438" s="5" t="str">
        <f>IF($J438="","",INDEX('Detalle individual'!$E:$E,$J438))</f>
        <v/>
      </c>
      <c r="D438" s="5" t="str">
        <f>IF($J438="","",INDEX('Detalle individual'!$C:$C,$J438))</f>
        <v/>
      </c>
      <c r="E438" s="5" t="str">
        <f>IF($J438="","",INDEX('Detalle individual'!$D:$D,$J438))</f>
        <v/>
      </c>
      <c r="F438" s="23" t="str">
        <f>IF($J438="","",INDEX('Detalle individual'!$H:$H,$J438))</f>
        <v/>
      </c>
      <c r="G438" s="28" t="str">
        <f>IF($J438="","",INDEX('Detalle individual'!$J:$J,$J438))</f>
        <v/>
      </c>
      <c r="H438" s="28" t="str">
        <f>IF($J438="","",INDEX('Detalle individual'!$L:$L,$J438))</f>
        <v/>
      </c>
      <c r="J438" t="str">
        <f>IFERROR(MATCH(SMALL(Cálculos!$AI$5:$AI$1000,434),Cálculos!$AI$5:$AI$1000,0)+4,"")</f>
        <v/>
      </c>
    </row>
    <row r="439">
      <c r="A439" s="5" t="str">
        <f>IF($J439="","",INDEX('Detalle individual'!$B:$B,$J439))</f>
        <v/>
      </c>
      <c r="B439" s="5" t="str">
        <f>IF($J439="","",INDEX('Detalle individual'!$A:$A,$J439))</f>
        <v/>
      </c>
      <c r="C439" s="5" t="str">
        <f>IF($J439="","",INDEX('Detalle individual'!$E:$E,$J439))</f>
        <v/>
      </c>
      <c r="D439" s="5" t="str">
        <f>IF($J439="","",INDEX('Detalle individual'!$C:$C,$J439))</f>
        <v/>
      </c>
      <c r="E439" s="5" t="str">
        <f>IF($J439="","",INDEX('Detalle individual'!$D:$D,$J439))</f>
        <v/>
      </c>
      <c r="F439" s="23" t="str">
        <f>IF($J439="","",INDEX('Detalle individual'!$H:$H,$J439))</f>
        <v/>
      </c>
      <c r="G439" s="28" t="str">
        <f>IF($J439="","",INDEX('Detalle individual'!$J:$J,$J439))</f>
        <v/>
      </c>
      <c r="H439" s="28" t="str">
        <f>IF($J439="","",INDEX('Detalle individual'!$L:$L,$J439))</f>
        <v/>
      </c>
      <c r="J439" t="str">
        <f>IFERROR(MATCH(SMALL(Cálculos!$AI$5:$AI$1000,435),Cálculos!$AI$5:$AI$1000,0)+4,"")</f>
        <v/>
      </c>
    </row>
    <row r="440">
      <c r="A440" s="5" t="str">
        <f>IF($J440="","",INDEX('Detalle individual'!$B:$B,$J440))</f>
        <v/>
      </c>
      <c r="B440" s="5" t="str">
        <f>IF($J440="","",INDEX('Detalle individual'!$A:$A,$J440))</f>
        <v/>
      </c>
      <c r="C440" s="5" t="str">
        <f>IF($J440="","",INDEX('Detalle individual'!$E:$E,$J440))</f>
        <v/>
      </c>
      <c r="D440" s="5" t="str">
        <f>IF($J440="","",INDEX('Detalle individual'!$C:$C,$J440))</f>
        <v/>
      </c>
      <c r="E440" s="5" t="str">
        <f>IF($J440="","",INDEX('Detalle individual'!$D:$D,$J440))</f>
        <v/>
      </c>
      <c r="F440" s="23" t="str">
        <f>IF($J440="","",INDEX('Detalle individual'!$H:$H,$J440))</f>
        <v/>
      </c>
      <c r="G440" s="28" t="str">
        <f>IF($J440="","",INDEX('Detalle individual'!$J:$J,$J440))</f>
        <v/>
      </c>
      <c r="H440" s="28" t="str">
        <f>IF($J440="","",INDEX('Detalle individual'!$L:$L,$J440))</f>
        <v/>
      </c>
      <c r="J440" t="str">
        <f>IFERROR(MATCH(SMALL(Cálculos!$AI$5:$AI$1000,436),Cálculos!$AI$5:$AI$1000,0)+4,"")</f>
        <v/>
      </c>
    </row>
    <row r="441">
      <c r="A441" s="5" t="str">
        <f>IF($J441="","",INDEX('Detalle individual'!$B:$B,$J441))</f>
        <v/>
      </c>
      <c r="B441" s="5" t="str">
        <f>IF($J441="","",INDEX('Detalle individual'!$A:$A,$J441))</f>
        <v/>
      </c>
      <c r="C441" s="5" t="str">
        <f>IF($J441="","",INDEX('Detalle individual'!$E:$E,$J441))</f>
        <v/>
      </c>
      <c r="D441" s="5" t="str">
        <f>IF($J441="","",INDEX('Detalle individual'!$C:$C,$J441))</f>
        <v/>
      </c>
      <c r="E441" s="5" t="str">
        <f>IF($J441="","",INDEX('Detalle individual'!$D:$D,$J441))</f>
        <v/>
      </c>
      <c r="F441" s="23" t="str">
        <f>IF($J441="","",INDEX('Detalle individual'!$H:$H,$J441))</f>
        <v/>
      </c>
      <c r="G441" s="28" t="str">
        <f>IF($J441="","",INDEX('Detalle individual'!$J:$J,$J441))</f>
        <v/>
      </c>
      <c r="H441" s="28" t="str">
        <f>IF($J441="","",INDEX('Detalle individual'!$L:$L,$J441))</f>
        <v/>
      </c>
      <c r="J441" t="str">
        <f>IFERROR(MATCH(SMALL(Cálculos!$AI$5:$AI$1000,437),Cálculos!$AI$5:$AI$1000,0)+4,"")</f>
        <v/>
      </c>
    </row>
    <row r="442">
      <c r="A442" s="5" t="str">
        <f>IF($J442="","",INDEX('Detalle individual'!$B:$B,$J442))</f>
        <v/>
      </c>
      <c r="B442" s="5" t="str">
        <f>IF($J442="","",INDEX('Detalle individual'!$A:$A,$J442))</f>
        <v/>
      </c>
      <c r="C442" s="5" t="str">
        <f>IF($J442="","",INDEX('Detalle individual'!$E:$E,$J442))</f>
        <v/>
      </c>
      <c r="D442" s="5" t="str">
        <f>IF($J442="","",INDEX('Detalle individual'!$C:$C,$J442))</f>
        <v/>
      </c>
      <c r="E442" s="5" t="str">
        <f>IF($J442="","",INDEX('Detalle individual'!$D:$D,$J442))</f>
        <v/>
      </c>
      <c r="F442" s="23" t="str">
        <f>IF($J442="","",INDEX('Detalle individual'!$H:$H,$J442))</f>
        <v/>
      </c>
      <c r="G442" s="28" t="str">
        <f>IF($J442="","",INDEX('Detalle individual'!$J:$J,$J442))</f>
        <v/>
      </c>
      <c r="H442" s="28" t="str">
        <f>IF($J442="","",INDEX('Detalle individual'!$L:$L,$J442))</f>
        <v/>
      </c>
      <c r="J442" t="str">
        <f>IFERROR(MATCH(SMALL(Cálculos!$AI$5:$AI$1000,438),Cálculos!$AI$5:$AI$1000,0)+4,"")</f>
        <v/>
      </c>
    </row>
    <row r="443">
      <c r="A443" s="5" t="str">
        <f>IF($J443="","",INDEX('Detalle individual'!$B:$B,$J443))</f>
        <v/>
      </c>
      <c r="B443" s="5" t="str">
        <f>IF($J443="","",INDEX('Detalle individual'!$A:$A,$J443))</f>
        <v/>
      </c>
      <c r="C443" s="5" t="str">
        <f>IF($J443="","",INDEX('Detalle individual'!$E:$E,$J443))</f>
        <v/>
      </c>
      <c r="D443" s="5" t="str">
        <f>IF($J443="","",INDEX('Detalle individual'!$C:$C,$J443))</f>
        <v/>
      </c>
      <c r="E443" s="5" t="str">
        <f>IF($J443="","",INDEX('Detalle individual'!$D:$D,$J443))</f>
        <v/>
      </c>
      <c r="F443" s="23" t="str">
        <f>IF($J443="","",INDEX('Detalle individual'!$H:$H,$J443))</f>
        <v/>
      </c>
      <c r="G443" s="28" t="str">
        <f>IF($J443="","",INDEX('Detalle individual'!$J:$J,$J443))</f>
        <v/>
      </c>
      <c r="H443" s="28" t="str">
        <f>IF($J443="","",INDEX('Detalle individual'!$L:$L,$J443))</f>
        <v/>
      </c>
      <c r="J443" t="str">
        <f>IFERROR(MATCH(SMALL(Cálculos!$AI$5:$AI$1000,439),Cálculos!$AI$5:$AI$1000,0)+4,"")</f>
        <v/>
      </c>
    </row>
    <row r="444">
      <c r="A444" s="5" t="str">
        <f>IF($J444="","",INDEX('Detalle individual'!$B:$B,$J444))</f>
        <v/>
      </c>
      <c r="B444" s="5" t="str">
        <f>IF($J444="","",INDEX('Detalle individual'!$A:$A,$J444))</f>
        <v/>
      </c>
      <c r="C444" s="5" t="str">
        <f>IF($J444="","",INDEX('Detalle individual'!$E:$E,$J444))</f>
        <v/>
      </c>
      <c r="D444" s="5" t="str">
        <f>IF($J444="","",INDEX('Detalle individual'!$C:$C,$J444))</f>
        <v/>
      </c>
      <c r="E444" s="5" t="str">
        <f>IF($J444="","",INDEX('Detalle individual'!$D:$D,$J444))</f>
        <v/>
      </c>
      <c r="F444" s="23" t="str">
        <f>IF($J444="","",INDEX('Detalle individual'!$H:$H,$J444))</f>
        <v/>
      </c>
      <c r="G444" s="28" t="str">
        <f>IF($J444="","",INDEX('Detalle individual'!$J:$J,$J444))</f>
        <v/>
      </c>
      <c r="H444" s="28" t="str">
        <f>IF($J444="","",INDEX('Detalle individual'!$L:$L,$J444))</f>
        <v/>
      </c>
      <c r="J444" t="str">
        <f>IFERROR(MATCH(SMALL(Cálculos!$AI$5:$AI$1000,440),Cálculos!$AI$5:$AI$1000,0)+4,"")</f>
        <v/>
      </c>
    </row>
    <row r="445">
      <c r="A445" s="5" t="str">
        <f>IF($J445="","",INDEX('Detalle individual'!$B:$B,$J445))</f>
        <v/>
      </c>
      <c r="B445" s="5" t="str">
        <f>IF($J445="","",INDEX('Detalle individual'!$A:$A,$J445))</f>
        <v/>
      </c>
      <c r="C445" s="5" t="str">
        <f>IF($J445="","",INDEX('Detalle individual'!$E:$E,$J445))</f>
        <v/>
      </c>
      <c r="D445" s="5" t="str">
        <f>IF($J445="","",INDEX('Detalle individual'!$C:$C,$J445))</f>
        <v/>
      </c>
      <c r="E445" s="5" t="str">
        <f>IF($J445="","",INDEX('Detalle individual'!$D:$D,$J445))</f>
        <v/>
      </c>
      <c r="F445" s="23" t="str">
        <f>IF($J445="","",INDEX('Detalle individual'!$H:$H,$J445))</f>
        <v/>
      </c>
      <c r="G445" s="28" t="str">
        <f>IF($J445="","",INDEX('Detalle individual'!$J:$J,$J445))</f>
        <v/>
      </c>
      <c r="H445" s="28" t="str">
        <f>IF($J445="","",INDEX('Detalle individual'!$L:$L,$J445))</f>
        <v/>
      </c>
      <c r="J445" t="str">
        <f>IFERROR(MATCH(SMALL(Cálculos!$AI$5:$AI$1000,441),Cálculos!$AI$5:$AI$1000,0)+4,"")</f>
        <v/>
      </c>
    </row>
    <row r="446">
      <c r="A446" s="5" t="str">
        <f>IF($J446="","",INDEX('Detalle individual'!$B:$B,$J446))</f>
        <v/>
      </c>
      <c r="B446" s="5" t="str">
        <f>IF($J446="","",INDEX('Detalle individual'!$A:$A,$J446))</f>
        <v/>
      </c>
      <c r="C446" s="5" t="str">
        <f>IF($J446="","",INDEX('Detalle individual'!$E:$E,$J446))</f>
        <v/>
      </c>
      <c r="D446" s="5" t="str">
        <f>IF($J446="","",INDEX('Detalle individual'!$C:$C,$J446))</f>
        <v/>
      </c>
      <c r="E446" s="5" t="str">
        <f>IF($J446="","",INDEX('Detalle individual'!$D:$D,$J446))</f>
        <v/>
      </c>
      <c r="F446" s="23" t="str">
        <f>IF($J446="","",INDEX('Detalle individual'!$H:$H,$J446))</f>
        <v/>
      </c>
      <c r="G446" s="28" t="str">
        <f>IF($J446="","",INDEX('Detalle individual'!$J:$J,$J446))</f>
        <v/>
      </c>
      <c r="H446" s="28" t="str">
        <f>IF($J446="","",INDEX('Detalle individual'!$L:$L,$J446))</f>
        <v/>
      </c>
      <c r="J446" t="str">
        <f>IFERROR(MATCH(SMALL(Cálculos!$AI$5:$AI$1000,442),Cálculos!$AI$5:$AI$1000,0)+4,"")</f>
        <v/>
      </c>
    </row>
    <row r="447">
      <c r="A447" s="5" t="str">
        <f>IF($J447="","",INDEX('Detalle individual'!$B:$B,$J447))</f>
        <v/>
      </c>
      <c r="B447" s="5" t="str">
        <f>IF($J447="","",INDEX('Detalle individual'!$A:$A,$J447))</f>
        <v/>
      </c>
      <c r="C447" s="5" t="str">
        <f>IF($J447="","",INDEX('Detalle individual'!$E:$E,$J447))</f>
        <v/>
      </c>
      <c r="D447" s="5" t="str">
        <f>IF($J447="","",INDEX('Detalle individual'!$C:$C,$J447))</f>
        <v/>
      </c>
      <c r="E447" s="5" t="str">
        <f>IF($J447="","",INDEX('Detalle individual'!$D:$D,$J447))</f>
        <v/>
      </c>
      <c r="F447" s="23" t="str">
        <f>IF($J447="","",INDEX('Detalle individual'!$H:$H,$J447))</f>
        <v/>
      </c>
      <c r="G447" s="28" t="str">
        <f>IF($J447="","",INDEX('Detalle individual'!$J:$J,$J447))</f>
        <v/>
      </c>
      <c r="H447" s="28" t="str">
        <f>IF($J447="","",INDEX('Detalle individual'!$L:$L,$J447))</f>
        <v/>
      </c>
      <c r="J447" t="str">
        <f>IFERROR(MATCH(SMALL(Cálculos!$AI$5:$AI$1000,443),Cálculos!$AI$5:$AI$1000,0)+4,"")</f>
        <v/>
      </c>
    </row>
    <row r="448">
      <c r="A448" s="5" t="str">
        <f>IF($J448="","",INDEX('Detalle individual'!$B:$B,$J448))</f>
        <v/>
      </c>
      <c r="B448" s="5" t="str">
        <f>IF($J448="","",INDEX('Detalle individual'!$A:$A,$J448))</f>
        <v/>
      </c>
      <c r="C448" s="5" t="str">
        <f>IF($J448="","",INDEX('Detalle individual'!$E:$E,$J448))</f>
        <v/>
      </c>
      <c r="D448" s="5" t="str">
        <f>IF($J448="","",INDEX('Detalle individual'!$C:$C,$J448))</f>
        <v/>
      </c>
      <c r="E448" s="5" t="str">
        <f>IF($J448="","",INDEX('Detalle individual'!$D:$D,$J448))</f>
        <v/>
      </c>
      <c r="F448" s="23" t="str">
        <f>IF($J448="","",INDEX('Detalle individual'!$H:$H,$J448))</f>
        <v/>
      </c>
      <c r="G448" s="28" t="str">
        <f>IF($J448="","",INDEX('Detalle individual'!$J:$J,$J448))</f>
        <v/>
      </c>
      <c r="H448" s="28" t="str">
        <f>IF($J448="","",INDEX('Detalle individual'!$L:$L,$J448))</f>
        <v/>
      </c>
      <c r="J448" t="str">
        <f>IFERROR(MATCH(SMALL(Cálculos!$AI$5:$AI$1000,444),Cálculos!$AI$5:$AI$1000,0)+4,"")</f>
        <v/>
      </c>
    </row>
    <row r="449">
      <c r="A449" s="5" t="str">
        <f>IF($J449="","",INDEX('Detalle individual'!$B:$B,$J449))</f>
        <v/>
      </c>
      <c r="B449" s="5" t="str">
        <f>IF($J449="","",INDEX('Detalle individual'!$A:$A,$J449))</f>
        <v/>
      </c>
      <c r="C449" s="5" t="str">
        <f>IF($J449="","",INDEX('Detalle individual'!$E:$E,$J449))</f>
        <v/>
      </c>
      <c r="D449" s="5" t="str">
        <f>IF($J449="","",INDEX('Detalle individual'!$C:$C,$J449))</f>
        <v/>
      </c>
      <c r="E449" s="5" t="str">
        <f>IF($J449="","",INDEX('Detalle individual'!$D:$D,$J449))</f>
        <v/>
      </c>
      <c r="F449" s="23" t="str">
        <f>IF($J449="","",INDEX('Detalle individual'!$H:$H,$J449))</f>
        <v/>
      </c>
      <c r="G449" s="28" t="str">
        <f>IF($J449="","",INDEX('Detalle individual'!$J:$J,$J449))</f>
        <v/>
      </c>
      <c r="H449" s="28" t="str">
        <f>IF($J449="","",INDEX('Detalle individual'!$L:$L,$J449))</f>
        <v/>
      </c>
      <c r="J449" t="str">
        <f>IFERROR(MATCH(SMALL(Cálculos!$AI$5:$AI$1000,445),Cálculos!$AI$5:$AI$1000,0)+4,"")</f>
        <v/>
      </c>
    </row>
    <row r="450">
      <c r="A450" s="5" t="str">
        <f>IF($J450="","",INDEX('Detalle individual'!$B:$B,$J450))</f>
        <v/>
      </c>
      <c r="B450" s="5" t="str">
        <f>IF($J450="","",INDEX('Detalle individual'!$A:$A,$J450))</f>
        <v/>
      </c>
      <c r="C450" s="5" t="str">
        <f>IF($J450="","",INDEX('Detalle individual'!$E:$E,$J450))</f>
        <v/>
      </c>
      <c r="D450" s="5" t="str">
        <f>IF($J450="","",INDEX('Detalle individual'!$C:$C,$J450))</f>
        <v/>
      </c>
      <c r="E450" s="5" t="str">
        <f>IF($J450="","",INDEX('Detalle individual'!$D:$D,$J450))</f>
        <v/>
      </c>
      <c r="F450" s="23" t="str">
        <f>IF($J450="","",INDEX('Detalle individual'!$H:$H,$J450))</f>
        <v/>
      </c>
      <c r="G450" s="28" t="str">
        <f>IF($J450="","",INDEX('Detalle individual'!$J:$J,$J450))</f>
        <v/>
      </c>
      <c r="H450" s="28" t="str">
        <f>IF($J450="","",INDEX('Detalle individual'!$L:$L,$J450))</f>
        <v/>
      </c>
      <c r="J450" t="str">
        <f>IFERROR(MATCH(SMALL(Cálculos!$AI$5:$AI$1000,446),Cálculos!$AI$5:$AI$1000,0)+4,"")</f>
        <v/>
      </c>
    </row>
    <row r="451">
      <c r="A451" s="5" t="str">
        <f>IF($J451="","",INDEX('Detalle individual'!$B:$B,$J451))</f>
        <v/>
      </c>
      <c r="B451" s="5" t="str">
        <f>IF($J451="","",INDEX('Detalle individual'!$A:$A,$J451))</f>
        <v/>
      </c>
      <c r="C451" s="5" t="str">
        <f>IF($J451="","",INDEX('Detalle individual'!$E:$E,$J451))</f>
        <v/>
      </c>
      <c r="D451" s="5" t="str">
        <f>IF($J451="","",INDEX('Detalle individual'!$C:$C,$J451))</f>
        <v/>
      </c>
      <c r="E451" s="5" t="str">
        <f>IF($J451="","",INDEX('Detalle individual'!$D:$D,$J451))</f>
        <v/>
      </c>
      <c r="F451" s="23" t="str">
        <f>IF($J451="","",INDEX('Detalle individual'!$H:$H,$J451))</f>
        <v/>
      </c>
      <c r="G451" s="28" t="str">
        <f>IF($J451="","",INDEX('Detalle individual'!$J:$J,$J451))</f>
        <v/>
      </c>
      <c r="H451" s="28" t="str">
        <f>IF($J451="","",INDEX('Detalle individual'!$L:$L,$J451))</f>
        <v/>
      </c>
      <c r="J451" t="str">
        <f>IFERROR(MATCH(SMALL(Cálculos!$AI$5:$AI$1000,447),Cálculos!$AI$5:$AI$1000,0)+4,"")</f>
        <v/>
      </c>
    </row>
    <row r="452">
      <c r="A452" s="5" t="str">
        <f>IF($J452="","",INDEX('Detalle individual'!$B:$B,$J452))</f>
        <v/>
      </c>
      <c r="B452" s="5" t="str">
        <f>IF($J452="","",INDEX('Detalle individual'!$A:$A,$J452))</f>
        <v/>
      </c>
      <c r="C452" s="5" t="str">
        <f>IF($J452="","",INDEX('Detalle individual'!$E:$E,$J452))</f>
        <v/>
      </c>
      <c r="D452" s="5" t="str">
        <f>IF($J452="","",INDEX('Detalle individual'!$C:$C,$J452))</f>
        <v/>
      </c>
      <c r="E452" s="5" t="str">
        <f>IF($J452="","",INDEX('Detalle individual'!$D:$D,$J452))</f>
        <v/>
      </c>
      <c r="F452" s="23" t="str">
        <f>IF($J452="","",INDEX('Detalle individual'!$H:$H,$J452))</f>
        <v/>
      </c>
      <c r="G452" s="28" t="str">
        <f>IF($J452="","",INDEX('Detalle individual'!$J:$J,$J452))</f>
        <v/>
      </c>
      <c r="H452" s="28" t="str">
        <f>IF($J452="","",INDEX('Detalle individual'!$L:$L,$J452))</f>
        <v/>
      </c>
      <c r="J452" t="str">
        <f>IFERROR(MATCH(SMALL(Cálculos!$AI$5:$AI$1000,448),Cálculos!$AI$5:$AI$1000,0)+4,"")</f>
        <v/>
      </c>
    </row>
    <row r="453">
      <c r="A453" s="5" t="str">
        <f>IF($J453="","",INDEX('Detalle individual'!$B:$B,$J453))</f>
        <v/>
      </c>
      <c r="B453" s="5" t="str">
        <f>IF($J453="","",INDEX('Detalle individual'!$A:$A,$J453))</f>
        <v/>
      </c>
      <c r="C453" s="5" t="str">
        <f>IF($J453="","",INDEX('Detalle individual'!$E:$E,$J453))</f>
        <v/>
      </c>
      <c r="D453" s="5" t="str">
        <f>IF($J453="","",INDEX('Detalle individual'!$C:$C,$J453))</f>
        <v/>
      </c>
      <c r="E453" s="5" t="str">
        <f>IF($J453="","",INDEX('Detalle individual'!$D:$D,$J453))</f>
        <v/>
      </c>
      <c r="F453" s="23" t="str">
        <f>IF($J453="","",INDEX('Detalle individual'!$H:$H,$J453))</f>
        <v/>
      </c>
      <c r="G453" s="28" t="str">
        <f>IF($J453="","",INDEX('Detalle individual'!$J:$J,$J453))</f>
        <v/>
      </c>
      <c r="H453" s="28" t="str">
        <f>IF($J453="","",INDEX('Detalle individual'!$L:$L,$J453))</f>
        <v/>
      </c>
      <c r="J453" t="str">
        <f>IFERROR(MATCH(SMALL(Cálculos!$AI$5:$AI$1000,449),Cálculos!$AI$5:$AI$1000,0)+4,"")</f>
        <v/>
      </c>
    </row>
    <row r="454">
      <c r="A454" s="5" t="str">
        <f>IF($J454="","",INDEX('Detalle individual'!$B:$B,$J454))</f>
        <v/>
      </c>
      <c r="B454" s="5" t="str">
        <f>IF($J454="","",INDEX('Detalle individual'!$A:$A,$J454))</f>
        <v/>
      </c>
      <c r="C454" s="5" t="str">
        <f>IF($J454="","",INDEX('Detalle individual'!$E:$E,$J454))</f>
        <v/>
      </c>
      <c r="D454" s="5" t="str">
        <f>IF($J454="","",INDEX('Detalle individual'!$C:$C,$J454))</f>
        <v/>
      </c>
      <c r="E454" s="5" t="str">
        <f>IF($J454="","",INDEX('Detalle individual'!$D:$D,$J454))</f>
        <v/>
      </c>
      <c r="F454" s="23" t="str">
        <f>IF($J454="","",INDEX('Detalle individual'!$H:$H,$J454))</f>
        <v/>
      </c>
      <c r="G454" s="28" t="str">
        <f>IF($J454="","",INDEX('Detalle individual'!$J:$J,$J454))</f>
        <v/>
      </c>
      <c r="H454" s="28" t="str">
        <f>IF($J454="","",INDEX('Detalle individual'!$L:$L,$J454))</f>
        <v/>
      </c>
      <c r="J454" t="str">
        <f>IFERROR(MATCH(SMALL(Cálculos!$AI$5:$AI$1000,450),Cálculos!$AI$5:$AI$1000,0)+4,"")</f>
        <v/>
      </c>
    </row>
    <row r="455">
      <c r="A455" s="5" t="str">
        <f>IF($J455="","",INDEX('Detalle individual'!$B:$B,$J455))</f>
        <v/>
      </c>
      <c r="B455" s="5" t="str">
        <f>IF($J455="","",INDEX('Detalle individual'!$A:$A,$J455))</f>
        <v/>
      </c>
      <c r="C455" s="5" t="str">
        <f>IF($J455="","",INDEX('Detalle individual'!$E:$E,$J455))</f>
        <v/>
      </c>
      <c r="D455" s="5" t="str">
        <f>IF($J455="","",INDEX('Detalle individual'!$C:$C,$J455))</f>
        <v/>
      </c>
      <c r="E455" s="5" t="str">
        <f>IF($J455="","",INDEX('Detalle individual'!$D:$D,$J455))</f>
        <v/>
      </c>
      <c r="F455" s="23" t="str">
        <f>IF($J455="","",INDEX('Detalle individual'!$H:$H,$J455))</f>
        <v/>
      </c>
      <c r="G455" s="28" t="str">
        <f>IF($J455="","",INDEX('Detalle individual'!$J:$J,$J455))</f>
        <v/>
      </c>
      <c r="H455" s="28" t="str">
        <f>IF($J455="","",INDEX('Detalle individual'!$L:$L,$J455))</f>
        <v/>
      </c>
      <c r="J455" t="str">
        <f>IFERROR(MATCH(SMALL(Cálculos!$AI$5:$AI$1000,451),Cálculos!$AI$5:$AI$1000,0)+4,"")</f>
        <v/>
      </c>
    </row>
    <row r="456">
      <c r="A456" s="5" t="str">
        <f>IF($J456="","",INDEX('Detalle individual'!$B:$B,$J456))</f>
        <v/>
      </c>
      <c r="B456" s="5" t="str">
        <f>IF($J456="","",INDEX('Detalle individual'!$A:$A,$J456))</f>
        <v/>
      </c>
      <c r="C456" s="5" t="str">
        <f>IF($J456="","",INDEX('Detalle individual'!$E:$E,$J456))</f>
        <v/>
      </c>
      <c r="D456" s="5" t="str">
        <f>IF($J456="","",INDEX('Detalle individual'!$C:$C,$J456))</f>
        <v/>
      </c>
      <c r="E456" s="5" t="str">
        <f>IF($J456="","",INDEX('Detalle individual'!$D:$D,$J456))</f>
        <v/>
      </c>
      <c r="F456" s="23" t="str">
        <f>IF($J456="","",INDEX('Detalle individual'!$H:$H,$J456))</f>
        <v/>
      </c>
      <c r="G456" s="28" t="str">
        <f>IF($J456="","",INDEX('Detalle individual'!$J:$J,$J456))</f>
        <v/>
      </c>
      <c r="H456" s="28" t="str">
        <f>IF($J456="","",INDEX('Detalle individual'!$L:$L,$J456))</f>
        <v/>
      </c>
      <c r="J456" t="str">
        <f>IFERROR(MATCH(SMALL(Cálculos!$AI$5:$AI$1000,452),Cálculos!$AI$5:$AI$1000,0)+4,"")</f>
        <v/>
      </c>
    </row>
    <row r="457">
      <c r="A457" s="5" t="str">
        <f>IF($J457="","",INDEX('Detalle individual'!$B:$B,$J457))</f>
        <v/>
      </c>
      <c r="B457" s="5" t="str">
        <f>IF($J457="","",INDEX('Detalle individual'!$A:$A,$J457))</f>
        <v/>
      </c>
      <c r="C457" s="5" t="str">
        <f>IF($J457="","",INDEX('Detalle individual'!$E:$E,$J457))</f>
        <v/>
      </c>
      <c r="D457" s="5" t="str">
        <f>IF($J457="","",INDEX('Detalle individual'!$C:$C,$J457))</f>
        <v/>
      </c>
      <c r="E457" s="5" t="str">
        <f>IF($J457="","",INDEX('Detalle individual'!$D:$D,$J457))</f>
        <v/>
      </c>
      <c r="F457" s="23" t="str">
        <f>IF($J457="","",INDEX('Detalle individual'!$H:$H,$J457))</f>
        <v/>
      </c>
      <c r="G457" s="28" t="str">
        <f>IF($J457="","",INDEX('Detalle individual'!$J:$J,$J457))</f>
        <v/>
      </c>
      <c r="H457" s="28" t="str">
        <f>IF($J457="","",INDEX('Detalle individual'!$L:$L,$J457))</f>
        <v/>
      </c>
      <c r="J457" t="str">
        <f>IFERROR(MATCH(SMALL(Cálculos!$AI$5:$AI$1000,453),Cálculos!$AI$5:$AI$1000,0)+4,"")</f>
        <v/>
      </c>
    </row>
    <row r="458">
      <c r="A458" s="5" t="str">
        <f>IF($J458="","",INDEX('Detalle individual'!$B:$B,$J458))</f>
        <v/>
      </c>
      <c r="B458" s="5" t="str">
        <f>IF($J458="","",INDEX('Detalle individual'!$A:$A,$J458))</f>
        <v/>
      </c>
      <c r="C458" s="5" t="str">
        <f>IF($J458="","",INDEX('Detalle individual'!$E:$E,$J458))</f>
        <v/>
      </c>
      <c r="D458" s="5" t="str">
        <f>IF($J458="","",INDEX('Detalle individual'!$C:$C,$J458))</f>
        <v/>
      </c>
      <c r="E458" s="5" t="str">
        <f>IF($J458="","",INDEX('Detalle individual'!$D:$D,$J458))</f>
        <v/>
      </c>
      <c r="F458" s="23" t="str">
        <f>IF($J458="","",INDEX('Detalle individual'!$H:$H,$J458))</f>
        <v/>
      </c>
      <c r="G458" s="28" t="str">
        <f>IF($J458="","",INDEX('Detalle individual'!$J:$J,$J458))</f>
        <v/>
      </c>
      <c r="H458" s="28" t="str">
        <f>IF($J458="","",INDEX('Detalle individual'!$L:$L,$J458))</f>
        <v/>
      </c>
      <c r="J458" t="str">
        <f>IFERROR(MATCH(SMALL(Cálculos!$AI$5:$AI$1000,454),Cálculos!$AI$5:$AI$1000,0)+4,"")</f>
        <v/>
      </c>
    </row>
    <row r="459">
      <c r="A459" s="5" t="str">
        <f>IF($J459="","",INDEX('Detalle individual'!$B:$B,$J459))</f>
        <v/>
      </c>
      <c r="B459" s="5" t="str">
        <f>IF($J459="","",INDEX('Detalle individual'!$A:$A,$J459))</f>
        <v/>
      </c>
      <c r="C459" s="5" t="str">
        <f>IF($J459="","",INDEX('Detalle individual'!$E:$E,$J459))</f>
        <v/>
      </c>
      <c r="D459" s="5" t="str">
        <f>IF($J459="","",INDEX('Detalle individual'!$C:$C,$J459))</f>
        <v/>
      </c>
      <c r="E459" s="5" t="str">
        <f>IF($J459="","",INDEX('Detalle individual'!$D:$D,$J459))</f>
        <v/>
      </c>
      <c r="F459" s="23" t="str">
        <f>IF($J459="","",INDEX('Detalle individual'!$H:$H,$J459))</f>
        <v/>
      </c>
      <c r="G459" s="28" t="str">
        <f>IF($J459="","",INDEX('Detalle individual'!$J:$J,$J459))</f>
        <v/>
      </c>
      <c r="H459" s="28" t="str">
        <f>IF($J459="","",INDEX('Detalle individual'!$L:$L,$J459))</f>
        <v/>
      </c>
      <c r="J459" t="str">
        <f>IFERROR(MATCH(SMALL(Cálculos!$AI$5:$AI$1000,455),Cálculos!$AI$5:$AI$1000,0)+4,"")</f>
        <v/>
      </c>
    </row>
    <row r="460">
      <c r="A460" s="5" t="str">
        <f>IF($J460="","",INDEX('Detalle individual'!$B:$B,$J460))</f>
        <v/>
      </c>
      <c r="B460" s="5" t="str">
        <f>IF($J460="","",INDEX('Detalle individual'!$A:$A,$J460))</f>
        <v/>
      </c>
      <c r="C460" s="5" t="str">
        <f>IF($J460="","",INDEX('Detalle individual'!$E:$E,$J460))</f>
        <v/>
      </c>
      <c r="D460" s="5" t="str">
        <f>IF($J460="","",INDEX('Detalle individual'!$C:$C,$J460))</f>
        <v/>
      </c>
      <c r="E460" s="5" t="str">
        <f>IF($J460="","",INDEX('Detalle individual'!$D:$D,$J460))</f>
        <v/>
      </c>
      <c r="F460" s="23" t="str">
        <f>IF($J460="","",INDEX('Detalle individual'!$H:$H,$J460))</f>
        <v/>
      </c>
      <c r="G460" s="28" t="str">
        <f>IF($J460="","",INDEX('Detalle individual'!$J:$J,$J460))</f>
        <v/>
      </c>
      <c r="H460" s="28" t="str">
        <f>IF($J460="","",INDEX('Detalle individual'!$L:$L,$J460))</f>
        <v/>
      </c>
      <c r="J460" t="str">
        <f>IFERROR(MATCH(SMALL(Cálculos!$AI$5:$AI$1000,456),Cálculos!$AI$5:$AI$1000,0)+4,"")</f>
        <v/>
      </c>
    </row>
    <row r="461">
      <c r="A461" s="5" t="str">
        <f>IF($J461="","",INDEX('Detalle individual'!$B:$B,$J461))</f>
        <v/>
      </c>
      <c r="B461" s="5" t="str">
        <f>IF($J461="","",INDEX('Detalle individual'!$A:$A,$J461))</f>
        <v/>
      </c>
      <c r="C461" s="5" t="str">
        <f>IF($J461="","",INDEX('Detalle individual'!$E:$E,$J461))</f>
        <v/>
      </c>
      <c r="D461" s="5" t="str">
        <f>IF($J461="","",INDEX('Detalle individual'!$C:$C,$J461))</f>
        <v/>
      </c>
      <c r="E461" s="5" t="str">
        <f>IF($J461="","",INDEX('Detalle individual'!$D:$D,$J461))</f>
        <v/>
      </c>
      <c r="F461" s="23" t="str">
        <f>IF($J461="","",INDEX('Detalle individual'!$H:$H,$J461))</f>
        <v/>
      </c>
      <c r="G461" s="28" t="str">
        <f>IF($J461="","",INDEX('Detalle individual'!$J:$J,$J461))</f>
        <v/>
      </c>
      <c r="H461" s="28" t="str">
        <f>IF($J461="","",INDEX('Detalle individual'!$L:$L,$J461))</f>
        <v/>
      </c>
      <c r="J461" t="str">
        <f>IFERROR(MATCH(SMALL(Cálculos!$AI$5:$AI$1000,457),Cálculos!$AI$5:$AI$1000,0)+4,"")</f>
        <v/>
      </c>
    </row>
    <row r="462">
      <c r="A462" s="5" t="str">
        <f>IF($J462="","",INDEX('Detalle individual'!$B:$B,$J462))</f>
        <v/>
      </c>
      <c r="B462" s="5" t="str">
        <f>IF($J462="","",INDEX('Detalle individual'!$A:$A,$J462))</f>
        <v/>
      </c>
      <c r="C462" s="5" t="str">
        <f>IF($J462="","",INDEX('Detalle individual'!$E:$E,$J462))</f>
        <v/>
      </c>
      <c r="D462" s="5" t="str">
        <f>IF($J462="","",INDEX('Detalle individual'!$C:$C,$J462))</f>
        <v/>
      </c>
      <c r="E462" s="5" t="str">
        <f>IF($J462="","",INDEX('Detalle individual'!$D:$D,$J462))</f>
        <v/>
      </c>
      <c r="F462" s="23" t="str">
        <f>IF($J462="","",INDEX('Detalle individual'!$H:$H,$J462))</f>
        <v/>
      </c>
      <c r="G462" s="28" t="str">
        <f>IF($J462="","",INDEX('Detalle individual'!$J:$J,$J462))</f>
        <v/>
      </c>
      <c r="H462" s="28" t="str">
        <f>IF($J462="","",INDEX('Detalle individual'!$L:$L,$J462))</f>
        <v/>
      </c>
      <c r="J462" t="str">
        <f>IFERROR(MATCH(SMALL(Cálculos!$AI$5:$AI$1000,458),Cálculos!$AI$5:$AI$1000,0)+4,"")</f>
        <v/>
      </c>
    </row>
    <row r="463">
      <c r="A463" s="5" t="str">
        <f>IF($J463="","",INDEX('Detalle individual'!$B:$B,$J463))</f>
        <v/>
      </c>
      <c r="B463" s="5" t="str">
        <f>IF($J463="","",INDEX('Detalle individual'!$A:$A,$J463))</f>
        <v/>
      </c>
      <c r="C463" s="5" t="str">
        <f>IF($J463="","",INDEX('Detalle individual'!$E:$E,$J463))</f>
        <v/>
      </c>
      <c r="D463" s="5" t="str">
        <f>IF($J463="","",INDEX('Detalle individual'!$C:$C,$J463))</f>
        <v/>
      </c>
      <c r="E463" s="5" t="str">
        <f>IF($J463="","",INDEX('Detalle individual'!$D:$D,$J463))</f>
        <v/>
      </c>
      <c r="F463" s="23" t="str">
        <f>IF($J463="","",INDEX('Detalle individual'!$H:$H,$J463))</f>
        <v/>
      </c>
      <c r="G463" s="28" t="str">
        <f>IF($J463="","",INDEX('Detalle individual'!$J:$J,$J463))</f>
        <v/>
      </c>
      <c r="H463" s="28" t="str">
        <f>IF($J463="","",INDEX('Detalle individual'!$L:$L,$J463))</f>
        <v/>
      </c>
      <c r="J463" t="str">
        <f>IFERROR(MATCH(SMALL(Cálculos!$AI$5:$AI$1000,459),Cálculos!$AI$5:$AI$1000,0)+4,"")</f>
        <v/>
      </c>
    </row>
    <row r="464">
      <c r="A464" s="5" t="str">
        <f>IF($J464="","",INDEX('Detalle individual'!$B:$B,$J464))</f>
        <v/>
      </c>
      <c r="B464" s="5" t="str">
        <f>IF($J464="","",INDEX('Detalle individual'!$A:$A,$J464))</f>
        <v/>
      </c>
      <c r="C464" s="5" t="str">
        <f>IF($J464="","",INDEX('Detalle individual'!$E:$E,$J464))</f>
        <v/>
      </c>
      <c r="D464" s="5" t="str">
        <f>IF($J464="","",INDEX('Detalle individual'!$C:$C,$J464))</f>
        <v/>
      </c>
      <c r="E464" s="5" t="str">
        <f>IF($J464="","",INDEX('Detalle individual'!$D:$D,$J464))</f>
        <v/>
      </c>
      <c r="F464" s="23" t="str">
        <f>IF($J464="","",INDEX('Detalle individual'!$H:$H,$J464))</f>
        <v/>
      </c>
      <c r="G464" s="28" t="str">
        <f>IF($J464="","",INDEX('Detalle individual'!$J:$J,$J464))</f>
        <v/>
      </c>
      <c r="H464" s="28" t="str">
        <f>IF($J464="","",INDEX('Detalle individual'!$L:$L,$J464))</f>
        <v/>
      </c>
      <c r="J464" t="str">
        <f>IFERROR(MATCH(SMALL(Cálculos!$AI$5:$AI$1000,460),Cálculos!$AI$5:$AI$1000,0)+4,"")</f>
        <v/>
      </c>
    </row>
    <row r="465">
      <c r="A465" s="5" t="str">
        <f>IF($J465="","",INDEX('Detalle individual'!$B:$B,$J465))</f>
        <v/>
      </c>
      <c r="B465" s="5" t="str">
        <f>IF($J465="","",INDEX('Detalle individual'!$A:$A,$J465))</f>
        <v/>
      </c>
      <c r="C465" s="5" t="str">
        <f>IF($J465="","",INDEX('Detalle individual'!$E:$E,$J465))</f>
        <v/>
      </c>
      <c r="D465" s="5" t="str">
        <f>IF($J465="","",INDEX('Detalle individual'!$C:$C,$J465))</f>
        <v/>
      </c>
      <c r="E465" s="5" t="str">
        <f>IF($J465="","",INDEX('Detalle individual'!$D:$D,$J465))</f>
        <v/>
      </c>
      <c r="F465" s="23" t="str">
        <f>IF($J465="","",INDEX('Detalle individual'!$H:$H,$J465))</f>
        <v/>
      </c>
      <c r="G465" s="28" t="str">
        <f>IF($J465="","",INDEX('Detalle individual'!$J:$J,$J465))</f>
        <v/>
      </c>
      <c r="H465" s="28" t="str">
        <f>IF($J465="","",INDEX('Detalle individual'!$L:$L,$J465))</f>
        <v/>
      </c>
      <c r="J465" t="str">
        <f>IFERROR(MATCH(SMALL(Cálculos!$AI$5:$AI$1000,461),Cálculos!$AI$5:$AI$1000,0)+4,"")</f>
        <v/>
      </c>
    </row>
    <row r="466">
      <c r="A466" s="5" t="str">
        <f>IF($J466="","",INDEX('Detalle individual'!$B:$B,$J466))</f>
        <v/>
      </c>
      <c r="B466" s="5" t="str">
        <f>IF($J466="","",INDEX('Detalle individual'!$A:$A,$J466))</f>
        <v/>
      </c>
      <c r="C466" s="5" t="str">
        <f>IF($J466="","",INDEX('Detalle individual'!$E:$E,$J466))</f>
        <v/>
      </c>
      <c r="D466" s="5" t="str">
        <f>IF($J466="","",INDEX('Detalle individual'!$C:$C,$J466))</f>
        <v/>
      </c>
      <c r="E466" s="5" t="str">
        <f>IF($J466="","",INDEX('Detalle individual'!$D:$D,$J466))</f>
        <v/>
      </c>
      <c r="F466" s="23" t="str">
        <f>IF($J466="","",INDEX('Detalle individual'!$H:$H,$J466))</f>
        <v/>
      </c>
      <c r="G466" s="28" t="str">
        <f>IF($J466="","",INDEX('Detalle individual'!$J:$J,$J466))</f>
        <v/>
      </c>
      <c r="H466" s="28" t="str">
        <f>IF($J466="","",INDEX('Detalle individual'!$L:$L,$J466))</f>
        <v/>
      </c>
      <c r="J466" t="str">
        <f>IFERROR(MATCH(SMALL(Cálculos!$AI$5:$AI$1000,462),Cálculos!$AI$5:$AI$1000,0)+4,"")</f>
        <v/>
      </c>
    </row>
    <row r="467">
      <c r="A467" s="5" t="str">
        <f>IF($J467="","",INDEX('Detalle individual'!$B:$B,$J467))</f>
        <v/>
      </c>
      <c r="B467" s="5" t="str">
        <f>IF($J467="","",INDEX('Detalle individual'!$A:$A,$J467))</f>
        <v/>
      </c>
      <c r="C467" s="5" t="str">
        <f>IF($J467="","",INDEX('Detalle individual'!$E:$E,$J467))</f>
        <v/>
      </c>
      <c r="D467" s="5" t="str">
        <f>IF($J467="","",INDEX('Detalle individual'!$C:$C,$J467))</f>
        <v/>
      </c>
      <c r="E467" s="5" t="str">
        <f>IF($J467="","",INDEX('Detalle individual'!$D:$D,$J467))</f>
        <v/>
      </c>
      <c r="F467" s="23" t="str">
        <f>IF($J467="","",INDEX('Detalle individual'!$H:$H,$J467))</f>
        <v/>
      </c>
      <c r="G467" s="28" t="str">
        <f>IF($J467="","",INDEX('Detalle individual'!$J:$J,$J467))</f>
        <v/>
      </c>
      <c r="H467" s="28" t="str">
        <f>IF($J467="","",INDEX('Detalle individual'!$L:$L,$J467))</f>
        <v/>
      </c>
      <c r="J467" t="str">
        <f>IFERROR(MATCH(SMALL(Cálculos!$AI$5:$AI$1000,463),Cálculos!$AI$5:$AI$1000,0)+4,"")</f>
        <v/>
      </c>
    </row>
    <row r="468">
      <c r="A468" s="5" t="str">
        <f>IF($J468="","",INDEX('Detalle individual'!$B:$B,$J468))</f>
        <v/>
      </c>
      <c r="B468" s="5" t="str">
        <f>IF($J468="","",INDEX('Detalle individual'!$A:$A,$J468))</f>
        <v/>
      </c>
      <c r="C468" s="5" t="str">
        <f>IF($J468="","",INDEX('Detalle individual'!$E:$E,$J468))</f>
        <v/>
      </c>
      <c r="D468" s="5" t="str">
        <f>IF($J468="","",INDEX('Detalle individual'!$C:$C,$J468))</f>
        <v/>
      </c>
      <c r="E468" s="5" t="str">
        <f>IF($J468="","",INDEX('Detalle individual'!$D:$D,$J468))</f>
        <v/>
      </c>
      <c r="F468" s="23" t="str">
        <f>IF($J468="","",INDEX('Detalle individual'!$H:$H,$J468))</f>
        <v/>
      </c>
      <c r="G468" s="28" t="str">
        <f>IF($J468="","",INDEX('Detalle individual'!$J:$J,$J468))</f>
        <v/>
      </c>
      <c r="H468" s="28" t="str">
        <f>IF($J468="","",INDEX('Detalle individual'!$L:$L,$J468))</f>
        <v/>
      </c>
      <c r="J468" t="str">
        <f>IFERROR(MATCH(SMALL(Cálculos!$AI$5:$AI$1000,464),Cálculos!$AI$5:$AI$1000,0)+4,"")</f>
        <v/>
      </c>
    </row>
    <row r="469">
      <c r="A469" s="5" t="str">
        <f>IF($J469="","",INDEX('Detalle individual'!$B:$B,$J469))</f>
        <v/>
      </c>
      <c r="B469" s="5" t="str">
        <f>IF($J469="","",INDEX('Detalle individual'!$A:$A,$J469))</f>
        <v/>
      </c>
      <c r="C469" s="5" t="str">
        <f>IF($J469="","",INDEX('Detalle individual'!$E:$E,$J469))</f>
        <v/>
      </c>
      <c r="D469" s="5" t="str">
        <f>IF($J469="","",INDEX('Detalle individual'!$C:$C,$J469))</f>
        <v/>
      </c>
      <c r="E469" s="5" t="str">
        <f>IF($J469="","",INDEX('Detalle individual'!$D:$D,$J469))</f>
        <v/>
      </c>
      <c r="F469" s="23" t="str">
        <f>IF($J469="","",INDEX('Detalle individual'!$H:$H,$J469))</f>
        <v/>
      </c>
      <c r="G469" s="28" t="str">
        <f>IF($J469="","",INDEX('Detalle individual'!$J:$J,$J469))</f>
        <v/>
      </c>
      <c r="H469" s="28" t="str">
        <f>IF($J469="","",INDEX('Detalle individual'!$L:$L,$J469))</f>
        <v/>
      </c>
      <c r="J469" t="str">
        <f>IFERROR(MATCH(SMALL(Cálculos!$AI$5:$AI$1000,465),Cálculos!$AI$5:$AI$1000,0)+4,"")</f>
        <v/>
      </c>
    </row>
    <row r="470">
      <c r="A470" s="5" t="str">
        <f>IF($J470="","",INDEX('Detalle individual'!$B:$B,$J470))</f>
        <v/>
      </c>
      <c r="B470" s="5" t="str">
        <f>IF($J470="","",INDEX('Detalle individual'!$A:$A,$J470))</f>
        <v/>
      </c>
      <c r="C470" s="5" t="str">
        <f>IF($J470="","",INDEX('Detalle individual'!$E:$E,$J470))</f>
        <v/>
      </c>
      <c r="D470" s="5" t="str">
        <f>IF($J470="","",INDEX('Detalle individual'!$C:$C,$J470))</f>
        <v/>
      </c>
      <c r="E470" s="5" t="str">
        <f>IF($J470="","",INDEX('Detalle individual'!$D:$D,$J470))</f>
        <v/>
      </c>
      <c r="F470" s="23" t="str">
        <f>IF($J470="","",INDEX('Detalle individual'!$H:$H,$J470))</f>
        <v/>
      </c>
      <c r="G470" s="28" t="str">
        <f>IF($J470="","",INDEX('Detalle individual'!$J:$J,$J470))</f>
        <v/>
      </c>
      <c r="H470" s="28" t="str">
        <f>IF($J470="","",INDEX('Detalle individual'!$L:$L,$J470))</f>
        <v/>
      </c>
      <c r="J470" t="str">
        <f>IFERROR(MATCH(SMALL(Cálculos!$AI$5:$AI$1000,466),Cálculos!$AI$5:$AI$1000,0)+4,"")</f>
        <v/>
      </c>
    </row>
    <row r="471">
      <c r="A471" s="5" t="str">
        <f>IF($J471="","",INDEX('Detalle individual'!$B:$B,$J471))</f>
        <v/>
      </c>
      <c r="B471" s="5" t="str">
        <f>IF($J471="","",INDEX('Detalle individual'!$A:$A,$J471))</f>
        <v/>
      </c>
      <c r="C471" s="5" t="str">
        <f>IF($J471="","",INDEX('Detalle individual'!$E:$E,$J471))</f>
        <v/>
      </c>
      <c r="D471" s="5" t="str">
        <f>IF($J471="","",INDEX('Detalle individual'!$C:$C,$J471))</f>
        <v/>
      </c>
      <c r="E471" s="5" t="str">
        <f>IF($J471="","",INDEX('Detalle individual'!$D:$D,$J471))</f>
        <v/>
      </c>
      <c r="F471" s="23" t="str">
        <f>IF($J471="","",INDEX('Detalle individual'!$H:$H,$J471))</f>
        <v/>
      </c>
      <c r="G471" s="28" t="str">
        <f>IF($J471="","",INDEX('Detalle individual'!$J:$J,$J471))</f>
        <v/>
      </c>
      <c r="H471" s="28" t="str">
        <f>IF($J471="","",INDEX('Detalle individual'!$L:$L,$J471))</f>
        <v/>
      </c>
      <c r="J471" t="str">
        <f>IFERROR(MATCH(SMALL(Cálculos!$AI$5:$AI$1000,467),Cálculos!$AI$5:$AI$1000,0)+4,"")</f>
        <v/>
      </c>
    </row>
    <row r="472">
      <c r="A472" s="5" t="str">
        <f>IF($J472="","",INDEX('Detalle individual'!$B:$B,$J472))</f>
        <v/>
      </c>
      <c r="B472" s="5" t="str">
        <f>IF($J472="","",INDEX('Detalle individual'!$A:$A,$J472))</f>
        <v/>
      </c>
      <c r="C472" s="5" t="str">
        <f>IF($J472="","",INDEX('Detalle individual'!$E:$E,$J472))</f>
        <v/>
      </c>
      <c r="D472" s="5" t="str">
        <f>IF($J472="","",INDEX('Detalle individual'!$C:$C,$J472))</f>
        <v/>
      </c>
      <c r="E472" s="5" t="str">
        <f>IF($J472="","",INDEX('Detalle individual'!$D:$D,$J472))</f>
        <v/>
      </c>
      <c r="F472" s="23" t="str">
        <f>IF($J472="","",INDEX('Detalle individual'!$H:$H,$J472))</f>
        <v/>
      </c>
      <c r="G472" s="28" t="str">
        <f>IF($J472="","",INDEX('Detalle individual'!$J:$J,$J472))</f>
        <v/>
      </c>
      <c r="H472" s="28" t="str">
        <f>IF($J472="","",INDEX('Detalle individual'!$L:$L,$J472))</f>
        <v/>
      </c>
      <c r="J472" t="str">
        <f>IFERROR(MATCH(SMALL(Cálculos!$AI$5:$AI$1000,468),Cálculos!$AI$5:$AI$1000,0)+4,"")</f>
        <v/>
      </c>
    </row>
    <row r="473">
      <c r="A473" s="5" t="str">
        <f>IF($J473="","",INDEX('Detalle individual'!$B:$B,$J473))</f>
        <v/>
      </c>
      <c r="B473" s="5" t="str">
        <f>IF($J473="","",INDEX('Detalle individual'!$A:$A,$J473))</f>
        <v/>
      </c>
      <c r="C473" s="5" t="str">
        <f>IF($J473="","",INDEX('Detalle individual'!$E:$E,$J473))</f>
        <v/>
      </c>
      <c r="D473" s="5" t="str">
        <f>IF($J473="","",INDEX('Detalle individual'!$C:$C,$J473))</f>
        <v/>
      </c>
      <c r="E473" s="5" t="str">
        <f>IF($J473="","",INDEX('Detalle individual'!$D:$D,$J473))</f>
        <v/>
      </c>
      <c r="F473" s="23" t="str">
        <f>IF($J473="","",INDEX('Detalle individual'!$H:$H,$J473))</f>
        <v/>
      </c>
      <c r="G473" s="28" t="str">
        <f>IF($J473="","",INDEX('Detalle individual'!$J:$J,$J473))</f>
        <v/>
      </c>
      <c r="H473" s="28" t="str">
        <f>IF($J473="","",INDEX('Detalle individual'!$L:$L,$J473))</f>
        <v/>
      </c>
      <c r="J473" t="str">
        <f>IFERROR(MATCH(SMALL(Cálculos!$AI$5:$AI$1000,469),Cálculos!$AI$5:$AI$1000,0)+4,"")</f>
        <v/>
      </c>
    </row>
    <row r="474">
      <c r="A474" s="5" t="str">
        <f>IF($J474="","",INDEX('Detalle individual'!$B:$B,$J474))</f>
        <v/>
      </c>
      <c r="B474" s="5" t="str">
        <f>IF($J474="","",INDEX('Detalle individual'!$A:$A,$J474))</f>
        <v/>
      </c>
      <c r="C474" s="5" t="str">
        <f>IF($J474="","",INDEX('Detalle individual'!$E:$E,$J474))</f>
        <v/>
      </c>
      <c r="D474" s="5" t="str">
        <f>IF($J474="","",INDEX('Detalle individual'!$C:$C,$J474))</f>
        <v/>
      </c>
      <c r="E474" s="5" t="str">
        <f>IF($J474="","",INDEX('Detalle individual'!$D:$D,$J474))</f>
        <v/>
      </c>
      <c r="F474" s="23" t="str">
        <f>IF($J474="","",INDEX('Detalle individual'!$H:$H,$J474))</f>
        <v/>
      </c>
      <c r="G474" s="28" t="str">
        <f>IF($J474="","",INDEX('Detalle individual'!$J:$J,$J474))</f>
        <v/>
      </c>
      <c r="H474" s="28" t="str">
        <f>IF($J474="","",INDEX('Detalle individual'!$L:$L,$J474))</f>
        <v/>
      </c>
      <c r="J474" t="str">
        <f>IFERROR(MATCH(SMALL(Cálculos!$AI$5:$AI$1000,470),Cálculos!$AI$5:$AI$1000,0)+4,"")</f>
        <v/>
      </c>
    </row>
    <row r="475">
      <c r="A475" s="5" t="str">
        <f>IF($J475="","",INDEX('Detalle individual'!$B:$B,$J475))</f>
        <v/>
      </c>
      <c r="B475" s="5" t="str">
        <f>IF($J475="","",INDEX('Detalle individual'!$A:$A,$J475))</f>
        <v/>
      </c>
      <c r="C475" s="5" t="str">
        <f>IF($J475="","",INDEX('Detalle individual'!$E:$E,$J475))</f>
        <v/>
      </c>
      <c r="D475" s="5" t="str">
        <f>IF($J475="","",INDEX('Detalle individual'!$C:$C,$J475))</f>
        <v/>
      </c>
      <c r="E475" s="5" t="str">
        <f>IF($J475="","",INDEX('Detalle individual'!$D:$D,$J475))</f>
        <v/>
      </c>
      <c r="F475" s="23" t="str">
        <f>IF($J475="","",INDEX('Detalle individual'!$H:$H,$J475))</f>
        <v/>
      </c>
      <c r="G475" s="28" t="str">
        <f>IF($J475="","",INDEX('Detalle individual'!$J:$J,$J475))</f>
        <v/>
      </c>
      <c r="H475" s="28" t="str">
        <f>IF($J475="","",INDEX('Detalle individual'!$L:$L,$J475))</f>
        <v/>
      </c>
      <c r="J475" t="str">
        <f>IFERROR(MATCH(SMALL(Cálculos!$AI$5:$AI$1000,471),Cálculos!$AI$5:$AI$1000,0)+4,"")</f>
        <v/>
      </c>
    </row>
    <row r="476">
      <c r="A476" s="5" t="str">
        <f>IF($J476="","",INDEX('Detalle individual'!$B:$B,$J476))</f>
        <v/>
      </c>
      <c r="B476" s="5" t="str">
        <f>IF($J476="","",INDEX('Detalle individual'!$A:$A,$J476))</f>
        <v/>
      </c>
      <c r="C476" s="5" t="str">
        <f>IF($J476="","",INDEX('Detalle individual'!$E:$E,$J476))</f>
        <v/>
      </c>
      <c r="D476" s="5" t="str">
        <f>IF($J476="","",INDEX('Detalle individual'!$C:$C,$J476))</f>
        <v/>
      </c>
      <c r="E476" s="5" t="str">
        <f>IF($J476="","",INDEX('Detalle individual'!$D:$D,$J476))</f>
        <v/>
      </c>
      <c r="F476" s="23" t="str">
        <f>IF($J476="","",INDEX('Detalle individual'!$H:$H,$J476))</f>
        <v/>
      </c>
      <c r="G476" s="28" t="str">
        <f>IF($J476="","",INDEX('Detalle individual'!$J:$J,$J476))</f>
        <v/>
      </c>
      <c r="H476" s="28" t="str">
        <f>IF($J476="","",INDEX('Detalle individual'!$L:$L,$J476))</f>
        <v/>
      </c>
      <c r="J476" t="str">
        <f>IFERROR(MATCH(SMALL(Cálculos!$AI$5:$AI$1000,472),Cálculos!$AI$5:$AI$1000,0)+4,"")</f>
        <v/>
      </c>
    </row>
    <row r="477">
      <c r="A477" s="5" t="str">
        <f>IF($J477="","",INDEX('Detalle individual'!$B:$B,$J477))</f>
        <v/>
      </c>
      <c r="B477" s="5" t="str">
        <f>IF($J477="","",INDEX('Detalle individual'!$A:$A,$J477))</f>
        <v/>
      </c>
      <c r="C477" s="5" t="str">
        <f>IF($J477="","",INDEX('Detalle individual'!$E:$E,$J477))</f>
        <v/>
      </c>
      <c r="D477" s="5" t="str">
        <f>IF($J477="","",INDEX('Detalle individual'!$C:$C,$J477))</f>
        <v/>
      </c>
      <c r="E477" s="5" t="str">
        <f>IF($J477="","",INDEX('Detalle individual'!$D:$D,$J477))</f>
        <v/>
      </c>
      <c r="F477" s="23" t="str">
        <f>IF($J477="","",INDEX('Detalle individual'!$H:$H,$J477))</f>
        <v/>
      </c>
      <c r="G477" s="28" t="str">
        <f>IF($J477="","",INDEX('Detalle individual'!$J:$J,$J477))</f>
        <v/>
      </c>
      <c r="H477" s="28" t="str">
        <f>IF($J477="","",INDEX('Detalle individual'!$L:$L,$J477))</f>
        <v/>
      </c>
      <c r="J477" t="str">
        <f>IFERROR(MATCH(SMALL(Cálculos!$AI$5:$AI$1000,473),Cálculos!$AI$5:$AI$1000,0)+4,"")</f>
        <v/>
      </c>
    </row>
    <row r="478">
      <c r="A478" s="5" t="str">
        <f>IF($J478="","",INDEX('Detalle individual'!$B:$B,$J478))</f>
        <v/>
      </c>
      <c r="B478" s="5" t="str">
        <f>IF($J478="","",INDEX('Detalle individual'!$A:$A,$J478))</f>
        <v/>
      </c>
      <c r="C478" s="5" t="str">
        <f>IF($J478="","",INDEX('Detalle individual'!$E:$E,$J478))</f>
        <v/>
      </c>
      <c r="D478" s="5" t="str">
        <f>IF($J478="","",INDEX('Detalle individual'!$C:$C,$J478))</f>
        <v/>
      </c>
      <c r="E478" s="5" t="str">
        <f>IF($J478="","",INDEX('Detalle individual'!$D:$D,$J478))</f>
        <v/>
      </c>
      <c r="F478" s="23" t="str">
        <f>IF($J478="","",INDEX('Detalle individual'!$H:$H,$J478))</f>
        <v/>
      </c>
      <c r="G478" s="28" t="str">
        <f>IF($J478="","",INDEX('Detalle individual'!$J:$J,$J478))</f>
        <v/>
      </c>
      <c r="H478" s="28" t="str">
        <f>IF($J478="","",INDEX('Detalle individual'!$L:$L,$J478))</f>
        <v/>
      </c>
      <c r="J478" t="str">
        <f>IFERROR(MATCH(SMALL(Cálculos!$AI$5:$AI$1000,474),Cálculos!$AI$5:$AI$1000,0)+4,"")</f>
        <v/>
      </c>
    </row>
    <row r="479">
      <c r="A479" s="5" t="str">
        <f>IF($J479="","",INDEX('Detalle individual'!$B:$B,$J479))</f>
        <v/>
      </c>
      <c r="B479" s="5" t="str">
        <f>IF($J479="","",INDEX('Detalle individual'!$A:$A,$J479))</f>
        <v/>
      </c>
      <c r="C479" s="5" t="str">
        <f>IF($J479="","",INDEX('Detalle individual'!$E:$E,$J479))</f>
        <v/>
      </c>
      <c r="D479" s="5" t="str">
        <f>IF($J479="","",INDEX('Detalle individual'!$C:$C,$J479))</f>
        <v/>
      </c>
      <c r="E479" s="5" t="str">
        <f>IF($J479="","",INDEX('Detalle individual'!$D:$D,$J479))</f>
        <v/>
      </c>
      <c r="F479" s="23" t="str">
        <f>IF($J479="","",INDEX('Detalle individual'!$H:$H,$J479))</f>
        <v/>
      </c>
      <c r="G479" s="28" t="str">
        <f>IF($J479="","",INDEX('Detalle individual'!$J:$J,$J479))</f>
        <v/>
      </c>
      <c r="H479" s="28" t="str">
        <f>IF($J479="","",INDEX('Detalle individual'!$L:$L,$J479))</f>
        <v/>
      </c>
      <c r="J479" t="str">
        <f>IFERROR(MATCH(SMALL(Cálculos!$AI$5:$AI$1000,475),Cálculos!$AI$5:$AI$1000,0)+4,"")</f>
        <v/>
      </c>
    </row>
    <row r="480">
      <c r="A480" s="5" t="str">
        <f>IF($J480="","",INDEX('Detalle individual'!$B:$B,$J480))</f>
        <v/>
      </c>
      <c r="B480" s="5" t="str">
        <f>IF($J480="","",INDEX('Detalle individual'!$A:$A,$J480))</f>
        <v/>
      </c>
      <c r="C480" s="5" t="str">
        <f>IF($J480="","",INDEX('Detalle individual'!$E:$E,$J480))</f>
        <v/>
      </c>
      <c r="D480" s="5" t="str">
        <f>IF($J480="","",INDEX('Detalle individual'!$C:$C,$J480))</f>
        <v/>
      </c>
      <c r="E480" s="5" t="str">
        <f>IF($J480="","",INDEX('Detalle individual'!$D:$D,$J480))</f>
        <v/>
      </c>
      <c r="F480" s="23" t="str">
        <f>IF($J480="","",INDEX('Detalle individual'!$H:$H,$J480))</f>
        <v/>
      </c>
      <c r="G480" s="28" t="str">
        <f>IF($J480="","",INDEX('Detalle individual'!$J:$J,$J480))</f>
        <v/>
      </c>
      <c r="H480" s="28" t="str">
        <f>IF($J480="","",INDEX('Detalle individual'!$L:$L,$J480))</f>
        <v/>
      </c>
      <c r="J480" t="str">
        <f>IFERROR(MATCH(SMALL(Cálculos!$AI$5:$AI$1000,476),Cálculos!$AI$5:$AI$1000,0)+4,"")</f>
        <v/>
      </c>
    </row>
    <row r="481">
      <c r="A481" s="5" t="str">
        <f>IF($J481="","",INDEX('Detalle individual'!$B:$B,$J481))</f>
        <v/>
      </c>
      <c r="B481" s="5" t="str">
        <f>IF($J481="","",INDEX('Detalle individual'!$A:$A,$J481))</f>
        <v/>
      </c>
      <c r="C481" s="5" t="str">
        <f>IF($J481="","",INDEX('Detalle individual'!$E:$E,$J481))</f>
        <v/>
      </c>
      <c r="D481" s="5" t="str">
        <f>IF($J481="","",INDEX('Detalle individual'!$C:$C,$J481))</f>
        <v/>
      </c>
      <c r="E481" s="5" t="str">
        <f>IF($J481="","",INDEX('Detalle individual'!$D:$D,$J481))</f>
        <v/>
      </c>
      <c r="F481" s="23" t="str">
        <f>IF($J481="","",INDEX('Detalle individual'!$H:$H,$J481))</f>
        <v/>
      </c>
      <c r="G481" s="28" t="str">
        <f>IF($J481="","",INDEX('Detalle individual'!$J:$J,$J481))</f>
        <v/>
      </c>
      <c r="H481" s="28" t="str">
        <f>IF($J481="","",INDEX('Detalle individual'!$L:$L,$J481))</f>
        <v/>
      </c>
      <c r="J481" t="str">
        <f>IFERROR(MATCH(SMALL(Cálculos!$AI$5:$AI$1000,477),Cálculos!$AI$5:$AI$1000,0)+4,"")</f>
        <v/>
      </c>
    </row>
    <row r="482">
      <c r="A482" s="5" t="str">
        <f>IF($J482="","",INDEX('Detalle individual'!$B:$B,$J482))</f>
        <v/>
      </c>
      <c r="B482" s="5" t="str">
        <f>IF($J482="","",INDEX('Detalle individual'!$A:$A,$J482))</f>
        <v/>
      </c>
      <c r="C482" s="5" t="str">
        <f>IF($J482="","",INDEX('Detalle individual'!$E:$E,$J482))</f>
        <v/>
      </c>
      <c r="D482" s="5" t="str">
        <f>IF($J482="","",INDEX('Detalle individual'!$C:$C,$J482))</f>
        <v/>
      </c>
      <c r="E482" s="5" t="str">
        <f>IF($J482="","",INDEX('Detalle individual'!$D:$D,$J482))</f>
        <v/>
      </c>
      <c r="F482" s="23" t="str">
        <f>IF($J482="","",INDEX('Detalle individual'!$H:$H,$J482))</f>
        <v/>
      </c>
      <c r="G482" s="28" t="str">
        <f>IF($J482="","",INDEX('Detalle individual'!$J:$J,$J482))</f>
        <v/>
      </c>
      <c r="H482" s="28" t="str">
        <f>IF($J482="","",INDEX('Detalle individual'!$L:$L,$J482))</f>
        <v/>
      </c>
      <c r="J482" t="str">
        <f>IFERROR(MATCH(SMALL(Cálculos!$AI$5:$AI$1000,478),Cálculos!$AI$5:$AI$1000,0)+4,"")</f>
        <v/>
      </c>
    </row>
    <row r="483">
      <c r="A483" s="5" t="str">
        <f>IF($J483="","",INDEX('Detalle individual'!$B:$B,$J483))</f>
        <v/>
      </c>
      <c r="B483" s="5" t="str">
        <f>IF($J483="","",INDEX('Detalle individual'!$A:$A,$J483))</f>
        <v/>
      </c>
      <c r="C483" s="5" t="str">
        <f>IF($J483="","",INDEX('Detalle individual'!$E:$E,$J483))</f>
        <v/>
      </c>
      <c r="D483" s="5" t="str">
        <f>IF($J483="","",INDEX('Detalle individual'!$C:$C,$J483))</f>
        <v/>
      </c>
      <c r="E483" s="5" t="str">
        <f>IF($J483="","",INDEX('Detalle individual'!$D:$D,$J483))</f>
        <v/>
      </c>
      <c r="F483" s="23" t="str">
        <f>IF($J483="","",INDEX('Detalle individual'!$H:$H,$J483))</f>
        <v/>
      </c>
      <c r="G483" s="28" t="str">
        <f>IF($J483="","",INDEX('Detalle individual'!$J:$J,$J483))</f>
        <v/>
      </c>
      <c r="H483" s="28" t="str">
        <f>IF($J483="","",INDEX('Detalle individual'!$L:$L,$J483))</f>
        <v/>
      </c>
      <c r="J483" t="str">
        <f>IFERROR(MATCH(SMALL(Cálculos!$AI$5:$AI$1000,479),Cálculos!$AI$5:$AI$1000,0)+4,"")</f>
        <v/>
      </c>
    </row>
    <row r="484">
      <c r="A484" s="5" t="str">
        <f>IF($J484="","",INDEX('Detalle individual'!$B:$B,$J484))</f>
        <v/>
      </c>
      <c r="B484" s="5" t="str">
        <f>IF($J484="","",INDEX('Detalle individual'!$A:$A,$J484))</f>
        <v/>
      </c>
      <c r="C484" s="5" t="str">
        <f>IF($J484="","",INDEX('Detalle individual'!$E:$E,$J484))</f>
        <v/>
      </c>
      <c r="D484" s="5" t="str">
        <f>IF($J484="","",INDEX('Detalle individual'!$C:$C,$J484))</f>
        <v/>
      </c>
      <c r="E484" s="5" t="str">
        <f>IF($J484="","",INDEX('Detalle individual'!$D:$D,$J484))</f>
        <v/>
      </c>
      <c r="F484" s="23" t="str">
        <f>IF($J484="","",INDEX('Detalle individual'!$H:$H,$J484))</f>
        <v/>
      </c>
      <c r="G484" s="28" t="str">
        <f>IF($J484="","",INDEX('Detalle individual'!$J:$J,$J484))</f>
        <v/>
      </c>
      <c r="H484" s="28" t="str">
        <f>IF($J484="","",INDEX('Detalle individual'!$L:$L,$J484))</f>
        <v/>
      </c>
      <c r="J484" t="str">
        <f>IFERROR(MATCH(SMALL(Cálculos!$AI$5:$AI$1000,480),Cálculos!$AI$5:$AI$1000,0)+4,"")</f>
        <v/>
      </c>
    </row>
    <row r="485">
      <c r="A485" s="5" t="str">
        <f>IF($J485="","",INDEX('Detalle individual'!$B:$B,$J485))</f>
        <v/>
      </c>
      <c r="B485" s="5" t="str">
        <f>IF($J485="","",INDEX('Detalle individual'!$A:$A,$J485))</f>
        <v/>
      </c>
      <c r="C485" s="5" t="str">
        <f>IF($J485="","",INDEX('Detalle individual'!$E:$E,$J485))</f>
        <v/>
      </c>
      <c r="D485" s="5" t="str">
        <f>IF($J485="","",INDEX('Detalle individual'!$C:$C,$J485))</f>
        <v/>
      </c>
      <c r="E485" s="5" t="str">
        <f>IF($J485="","",INDEX('Detalle individual'!$D:$D,$J485))</f>
        <v/>
      </c>
      <c r="F485" s="23" t="str">
        <f>IF($J485="","",INDEX('Detalle individual'!$H:$H,$J485))</f>
        <v/>
      </c>
      <c r="G485" s="28" t="str">
        <f>IF($J485="","",INDEX('Detalle individual'!$J:$J,$J485))</f>
        <v/>
      </c>
      <c r="H485" s="28" t="str">
        <f>IF($J485="","",INDEX('Detalle individual'!$L:$L,$J485))</f>
        <v/>
      </c>
      <c r="J485" t="str">
        <f>IFERROR(MATCH(SMALL(Cálculos!$AI$5:$AI$1000,481),Cálculos!$AI$5:$AI$1000,0)+4,"")</f>
        <v/>
      </c>
    </row>
    <row r="486">
      <c r="A486" s="5" t="str">
        <f>IF($J486="","",INDEX('Detalle individual'!$B:$B,$J486))</f>
        <v/>
      </c>
      <c r="B486" s="5" t="str">
        <f>IF($J486="","",INDEX('Detalle individual'!$A:$A,$J486))</f>
        <v/>
      </c>
      <c r="C486" s="5" t="str">
        <f>IF($J486="","",INDEX('Detalle individual'!$E:$E,$J486))</f>
        <v/>
      </c>
      <c r="D486" s="5" t="str">
        <f>IF($J486="","",INDEX('Detalle individual'!$C:$C,$J486))</f>
        <v/>
      </c>
      <c r="E486" s="5" t="str">
        <f>IF($J486="","",INDEX('Detalle individual'!$D:$D,$J486))</f>
        <v/>
      </c>
      <c r="F486" s="23" t="str">
        <f>IF($J486="","",INDEX('Detalle individual'!$H:$H,$J486))</f>
        <v/>
      </c>
      <c r="G486" s="28" t="str">
        <f>IF($J486="","",INDEX('Detalle individual'!$J:$J,$J486))</f>
        <v/>
      </c>
      <c r="H486" s="28" t="str">
        <f>IF($J486="","",INDEX('Detalle individual'!$L:$L,$J486))</f>
        <v/>
      </c>
      <c r="J486" t="str">
        <f>IFERROR(MATCH(SMALL(Cálculos!$AI$5:$AI$1000,482),Cálculos!$AI$5:$AI$1000,0)+4,"")</f>
        <v/>
      </c>
    </row>
    <row r="487">
      <c r="A487" s="5" t="str">
        <f>IF($J487="","",INDEX('Detalle individual'!$B:$B,$J487))</f>
        <v/>
      </c>
      <c r="B487" s="5" t="str">
        <f>IF($J487="","",INDEX('Detalle individual'!$A:$A,$J487))</f>
        <v/>
      </c>
      <c r="C487" s="5" t="str">
        <f>IF($J487="","",INDEX('Detalle individual'!$E:$E,$J487))</f>
        <v/>
      </c>
      <c r="D487" s="5" t="str">
        <f>IF($J487="","",INDEX('Detalle individual'!$C:$C,$J487))</f>
        <v/>
      </c>
      <c r="E487" s="5" t="str">
        <f>IF($J487="","",INDEX('Detalle individual'!$D:$D,$J487))</f>
        <v/>
      </c>
      <c r="F487" s="23" t="str">
        <f>IF($J487="","",INDEX('Detalle individual'!$H:$H,$J487))</f>
        <v/>
      </c>
      <c r="G487" s="28" t="str">
        <f>IF($J487="","",INDEX('Detalle individual'!$J:$J,$J487))</f>
        <v/>
      </c>
      <c r="H487" s="28" t="str">
        <f>IF($J487="","",INDEX('Detalle individual'!$L:$L,$J487))</f>
        <v/>
      </c>
      <c r="J487" t="str">
        <f>IFERROR(MATCH(SMALL(Cálculos!$AI$5:$AI$1000,483),Cálculos!$AI$5:$AI$1000,0)+4,"")</f>
        <v/>
      </c>
    </row>
    <row r="488">
      <c r="A488" s="5" t="str">
        <f>IF($J488="","",INDEX('Detalle individual'!$B:$B,$J488))</f>
        <v/>
      </c>
      <c r="B488" s="5" t="str">
        <f>IF($J488="","",INDEX('Detalle individual'!$A:$A,$J488))</f>
        <v/>
      </c>
      <c r="C488" s="5" t="str">
        <f>IF($J488="","",INDEX('Detalle individual'!$E:$E,$J488))</f>
        <v/>
      </c>
      <c r="D488" s="5" t="str">
        <f>IF($J488="","",INDEX('Detalle individual'!$C:$C,$J488))</f>
        <v/>
      </c>
      <c r="E488" s="5" t="str">
        <f>IF($J488="","",INDEX('Detalle individual'!$D:$D,$J488))</f>
        <v/>
      </c>
      <c r="F488" s="23" t="str">
        <f>IF($J488="","",INDEX('Detalle individual'!$H:$H,$J488))</f>
        <v/>
      </c>
      <c r="G488" s="28" t="str">
        <f>IF($J488="","",INDEX('Detalle individual'!$J:$J,$J488))</f>
        <v/>
      </c>
      <c r="H488" s="28" t="str">
        <f>IF($J488="","",INDEX('Detalle individual'!$L:$L,$J488))</f>
        <v/>
      </c>
      <c r="J488" t="str">
        <f>IFERROR(MATCH(SMALL(Cálculos!$AI$5:$AI$1000,484),Cálculos!$AI$5:$AI$1000,0)+4,"")</f>
        <v/>
      </c>
    </row>
    <row r="489">
      <c r="A489" s="5" t="str">
        <f>IF($J489="","",INDEX('Detalle individual'!$B:$B,$J489))</f>
        <v/>
      </c>
      <c r="B489" s="5" t="str">
        <f>IF($J489="","",INDEX('Detalle individual'!$A:$A,$J489))</f>
        <v/>
      </c>
      <c r="C489" s="5" t="str">
        <f>IF($J489="","",INDEX('Detalle individual'!$E:$E,$J489))</f>
        <v/>
      </c>
      <c r="D489" s="5" t="str">
        <f>IF($J489="","",INDEX('Detalle individual'!$C:$C,$J489))</f>
        <v/>
      </c>
      <c r="E489" s="5" t="str">
        <f>IF($J489="","",INDEX('Detalle individual'!$D:$D,$J489))</f>
        <v/>
      </c>
      <c r="F489" s="23" t="str">
        <f>IF($J489="","",INDEX('Detalle individual'!$H:$H,$J489))</f>
        <v/>
      </c>
      <c r="G489" s="28" t="str">
        <f>IF($J489="","",INDEX('Detalle individual'!$J:$J,$J489))</f>
        <v/>
      </c>
      <c r="H489" s="28" t="str">
        <f>IF($J489="","",INDEX('Detalle individual'!$L:$L,$J489))</f>
        <v/>
      </c>
      <c r="J489" t="str">
        <f>IFERROR(MATCH(SMALL(Cálculos!$AI$5:$AI$1000,485),Cálculos!$AI$5:$AI$1000,0)+4,"")</f>
        <v/>
      </c>
    </row>
    <row r="490">
      <c r="A490" s="5" t="str">
        <f>IF($J490="","",INDEX('Detalle individual'!$B:$B,$J490))</f>
        <v/>
      </c>
      <c r="B490" s="5" t="str">
        <f>IF($J490="","",INDEX('Detalle individual'!$A:$A,$J490))</f>
        <v/>
      </c>
      <c r="C490" s="5" t="str">
        <f>IF($J490="","",INDEX('Detalle individual'!$E:$E,$J490))</f>
        <v/>
      </c>
      <c r="D490" s="5" t="str">
        <f>IF($J490="","",INDEX('Detalle individual'!$C:$C,$J490))</f>
        <v/>
      </c>
      <c r="E490" s="5" t="str">
        <f>IF($J490="","",INDEX('Detalle individual'!$D:$D,$J490))</f>
        <v/>
      </c>
      <c r="F490" s="23" t="str">
        <f>IF($J490="","",INDEX('Detalle individual'!$H:$H,$J490))</f>
        <v/>
      </c>
      <c r="G490" s="28" t="str">
        <f>IF($J490="","",INDEX('Detalle individual'!$J:$J,$J490))</f>
        <v/>
      </c>
      <c r="H490" s="28" t="str">
        <f>IF($J490="","",INDEX('Detalle individual'!$L:$L,$J490))</f>
        <v/>
      </c>
      <c r="J490" t="str">
        <f>IFERROR(MATCH(SMALL(Cálculos!$AI$5:$AI$1000,486),Cálculos!$AI$5:$AI$1000,0)+4,"")</f>
        <v/>
      </c>
    </row>
    <row r="491">
      <c r="A491" s="5" t="str">
        <f>IF($J491="","",INDEX('Detalle individual'!$B:$B,$J491))</f>
        <v/>
      </c>
      <c r="B491" s="5" t="str">
        <f>IF($J491="","",INDEX('Detalle individual'!$A:$A,$J491))</f>
        <v/>
      </c>
      <c r="C491" s="5" t="str">
        <f>IF($J491="","",INDEX('Detalle individual'!$E:$E,$J491))</f>
        <v/>
      </c>
      <c r="D491" s="5" t="str">
        <f>IF($J491="","",INDEX('Detalle individual'!$C:$C,$J491))</f>
        <v/>
      </c>
      <c r="E491" s="5" t="str">
        <f>IF($J491="","",INDEX('Detalle individual'!$D:$D,$J491))</f>
        <v/>
      </c>
      <c r="F491" s="23" t="str">
        <f>IF($J491="","",INDEX('Detalle individual'!$H:$H,$J491))</f>
        <v/>
      </c>
      <c r="G491" s="28" t="str">
        <f>IF($J491="","",INDEX('Detalle individual'!$J:$J,$J491))</f>
        <v/>
      </c>
      <c r="H491" s="28" t="str">
        <f>IF($J491="","",INDEX('Detalle individual'!$L:$L,$J491))</f>
        <v/>
      </c>
      <c r="J491" t="str">
        <f>IFERROR(MATCH(SMALL(Cálculos!$AI$5:$AI$1000,487),Cálculos!$AI$5:$AI$1000,0)+4,"")</f>
        <v/>
      </c>
    </row>
    <row r="492">
      <c r="A492" s="5" t="str">
        <f>IF($J492="","",INDEX('Detalle individual'!$B:$B,$J492))</f>
        <v/>
      </c>
      <c r="B492" s="5" t="str">
        <f>IF($J492="","",INDEX('Detalle individual'!$A:$A,$J492))</f>
        <v/>
      </c>
      <c r="C492" s="5" t="str">
        <f>IF($J492="","",INDEX('Detalle individual'!$E:$E,$J492))</f>
        <v/>
      </c>
      <c r="D492" s="5" t="str">
        <f>IF($J492="","",INDEX('Detalle individual'!$C:$C,$J492))</f>
        <v/>
      </c>
      <c r="E492" s="5" t="str">
        <f>IF($J492="","",INDEX('Detalle individual'!$D:$D,$J492))</f>
        <v/>
      </c>
      <c r="F492" s="23" t="str">
        <f>IF($J492="","",INDEX('Detalle individual'!$H:$H,$J492))</f>
        <v/>
      </c>
      <c r="G492" s="28" t="str">
        <f>IF($J492="","",INDEX('Detalle individual'!$J:$J,$J492))</f>
        <v/>
      </c>
      <c r="H492" s="28" t="str">
        <f>IF($J492="","",INDEX('Detalle individual'!$L:$L,$J492))</f>
        <v/>
      </c>
      <c r="J492" t="str">
        <f>IFERROR(MATCH(SMALL(Cálculos!$AI$5:$AI$1000,488),Cálculos!$AI$5:$AI$1000,0)+4,"")</f>
        <v/>
      </c>
    </row>
    <row r="493">
      <c r="A493" s="5" t="str">
        <f>IF($J493="","",INDEX('Detalle individual'!$B:$B,$J493))</f>
        <v/>
      </c>
      <c r="B493" s="5" t="str">
        <f>IF($J493="","",INDEX('Detalle individual'!$A:$A,$J493))</f>
        <v/>
      </c>
      <c r="C493" s="5" t="str">
        <f>IF($J493="","",INDEX('Detalle individual'!$E:$E,$J493))</f>
        <v/>
      </c>
      <c r="D493" s="5" t="str">
        <f>IF($J493="","",INDEX('Detalle individual'!$C:$C,$J493))</f>
        <v/>
      </c>
      <c r="E493" s="5" t="str">
        <f>IF($J493="","",INDEX('Detalle individual'!$D:$D,$J493))</f>
        <v/>
      </c>
      <c r="F493" s="23" t="str">
        <f>IF($J493="","",INDEX('Detalle individual'!$H:$H,$J493))</f>
        <v/>
      </c>
      <c r="G493" s="28" t="str">
        <f>IF($J493="","",INDEX('Detalle individual'!$J:$J,$J493))</f>
        <v/>
      </c>
      <c r="H493" s="28" t="str">
        <f>IF($J493="","",INDEX('Detalle individual'!$L:$L,$J493))</f>
        <v/>
      </c>
      <c r="J493" t="str">
        <f>IFERROR(MATCH(SMALL(Cálculos!$AI$5:$AI$1000,489),Cálculos!$AI$5:$AI$1000,0)+4,"")</f>
        <v/>
      </c>
    </row>
    <row r="494">
      <c r="A494" s="5" t="str">
        <f>IF($J494="","",INDEX('Detalle individual'!$B:$B,$J494))</f>
        <v/>
      </c>
      <c r="B494" s="5" t="str">
        <f>IF($J494="","",INDEX('Detalle individual'!$A:$A,$J494))</f>
        <v/>
      </c>
      <c r="C494" s="5" t="str">
        <f>IF($J494="","",INDEX('Detalle individual'!$E:$E,$J494))</f>
        <v/>
      </c>
      <c r="D494" s="5" t="str">
        <f>IF($J494="","",INDEX('Detalle individual'!$C:$C,$J494))</f>
        <v/>
      </c>
      <c r="E494" s="5" t="str">
        <f>IF($J494="","",INDEX('Detalle individual'!$D:$D,$J494))</f>
        <v/>
      </c>
      <c r="F494" s="23" t="str">
        <f>IF($J494="","",INDEX('Detalle individual'!$H:$H,$J494))</f>
        <v/>
      </c>
      <c r="G494" s="28" t="str">
        <f>IF($J494="","",INDEX('Detalle individual'!$J:$J,$J494))</f>
        <v/>
      </c>
      <c r="H494" s="28" t="str">
        <f>IF($J494="","",INDEX('Detalle individual'!$L:$L,$J494))</f>
        <v/>
      </c>
      <c r="J494" t="str">
        <f>IFERROR(MATCH(SMALL(Cálculos!$AI$5:$AI$1000,490),Cálculos!$AI$5:$AI$1000,0)+4,"")</f>
        <v/>
      </c>
    </row>
    <row r="495">
      <c r="A495" s="5" t="str">
        <f>IF($J495="","",INDEX('Detalle individual'!$B:$B,$J495))</f>
        <v/>
      </c>
      <c r="B495" s="5" t="str">
        <f>IF($J495="","",INDEX('Detalle individual'!$A:$A,$J495))</f>
        <v/>
      </c>
      <c r="C495" s="5" t="str">
        <f>IF($J495="","",INDEX('Detalle individual'!$E:$E,$J495))</f>
        <v/>
      </c>
      <c r="D495" s="5" t="str">
        <f>IF($J495="","",INDEX('Detalle individual'!$C:$C,$J495))</f>
        <v/>
      </c>
      <c r="E495" s="5" t="str">
        <f>IF($J495="","",INDEX('Detalle individual'!$D:$D,$J495))</f>
        <v/>
      </c>
      <c r="F495" s="23" t="str">
        <f>IF($J495="","",INDEX('Detalle individual'!$H:$H,$J495))</f>
        <v/>
      </c>
      <c r="G495" s="28" t="str">
        <f>IF($J495="","",INDEX('Detalle individual'!$J:$J,$J495))</f>
        <v/>
      </c>
      <c r="H495" s="28" t="str">
        <f>IF($J495="","",INDEX('Detalle individual'!$L:$L,$J495))</f>
        <v/>
      </c>
      <c r="J495" t="str">
        <f>IFERROR(MATCH(SMALL(Cálculos!$AI$5:$AI$1000,491),Cálculos!$AI$5:$AI$1000,0)+4,"")</f>
        <v/>
      </c>
    </row>
    <row r="496">
      <c r="A496" s="5" t="str">
        <f>IF($J496="","",INDEX('Detalle individual'!$B:$B,$J496))</f>
        <v/>
      </c>
      <c r="B496" s="5" t="str">
        <f>IF($J496="","",INDEX('Detalle individual'!$A:$A,$J496))</f>
        <v/>
      </c>
      <c r="C496" s="5" t="str">
        <f>IF($J496="","",INDEX('Detalle individual'!$E:$E,$J496))</f>
        <v/>
      </c>
      <c r="D496" s="5" t="str">
        <f>IF($J496="","",INDEX('Detalle individual'!$C:$C,$J496))</f>
        <v/>
      </c>
      <c r="E496" s="5" t="str">
        <f>IF($J496="","",INDEX('Detalle individual'!$D:$D,$J496))</f>
        <v/>
      </c>
      <c r="F496" s="23" t="str">
        <f>IF($J496="","",INDEX('Detalle individual'!$H:$H,$J496))</f>
        <v/>
      </c>
      <c r="G496" s="28" t="str">
        <f>IF($J496="","",INDEX('Detalle individual'!$J:$J,$J496))</f>
        <v/>
      </c>
      <c r="H496" s="28" t="str">
        <f>IF($J496="","",INDEX('Detalle individual'!$L:$L,$J496))</f>
        <v/>
      </c>
      <c r="J496" t="str">
        <f>IFERROR(MATCH(SMALL(Cálculos!$AI$5:$AI$1000,492),Cálculos!$AI$5:$AI$1000,0)+4,"")</f>
        <v/>
      </c>
    </row>
    <row r="497">
      <c r="A497" s="5" t="str">
        <f>IF($J497="","",INDEX('Detalle individual'!$B:$B,$J497))</f>
        <v/>
      </c>
      <c r="B497" s="5" t="str">
        <f>IF($J497="","",INDEX('Detalle individual'!$A:$A,$J497))</f>
        <v/>
      </c>
      <c r="C497" s="5" t="str">
        <f>IF($J497="","",INDEX('Detalle individual'!$E:$E,$J497))</f>
        <v/>
      </c>
      <c r="D497" s="5" t="str">
        <f>IF($J497="","",INDEX('Detalle individual'!$C:$C,$J497))</f>
        <v/>
      </c>
      <c r="E497" s="5" t="str">
        <f>IF($J497="","",INDEX('Detalle individual'!$D:$D,$J497))</f>
        <v/>
      </c>
      <c r="F497" s="23" t="str">
        <f>IF($J497="","",INDEX('Detalle individual'!$H:$H,$J497))</f>
        <v/>
      </c>
      <c r="G497" s="28" t="str">
        <f>IF($J497="","",INDEX('Detalle individual'!$J:$J,$J497))</f>
        <v/>
      </c>
      <c r="H497" s="28" t="str">
        <f>IF($J497="","",INDEX('Detalle individual'!$L:$L,$J497))</f>
        <v/>
      </c>
      <c r="J497" t="str">
        <f>IFERROR(MATCH(SMALL(Cálculos!$AI$5:$AI$1000,493),Cálculos!$AI$5:$AI$1000,0)+4,"")</f>
        <v/>
      </c>
    </row>
    <row r="498">
      <c r="A498" s="5" t="str">
        <f>IF($J498="","",INDEX('Detalle individual'!$B:$B,$J498))</f>
        <v/>
      </c>
      <c r="B498" s="5" t="str">
        <f>IF($J498="","",INDEX('Detalle individual'!$A:$A,$J498))</f>
        <v/>
      </c>
      <c r="C498" s="5" t="str">
        <f>IF($J498="","",INDEX('Detalle individual'!$E:$E,$J498))</f>
        <v/>
      </c>
      <c r="D498" s="5" t="str">
        <f>IF($J498="","",INDEX('Detalle individual'!$C:$C,$J498))</f>
        <v/>
      </c>
      <c r="E498" s="5" t="str">
        <f>IF($J498="","",INDEX('Detalle individual'!$D:$D,$J498))</f>
        <v/>
      </c>
      <c r="F498" s="23" t="str">
        <f>IF($J498="","",INDEX('Detalle individual'!$H:$H,$J498))</f>
        <v/>
      </c>
      <c r="G498" s="28" t="str">
        <f>IF($J498="","",INDEX('Detalle individual'!$J:$J,$J498))</f>
        <v/>
      </c>
      <c r="H498" s="28" t="str">
        <f>IF($J498="","",INDEX('Detalle individual'!$L:$L,$J498))</f>
        <v/>
      </c>
      <c r="J498" t="str">
        <f>IFERROR(MATCH(SMALL(Cálculos!$AI$5:$AI$1000,494),Cálculos!$AI$5:$AI$1000,0)+4,"")</f>
        <v/>
      </c>
    </row>
    <row r="499">
      <c r="A499" s="5" t="str">
        <f>IF($J499="","",INDEX('Detalle individual'!$B:$B,$J499))</f>
        <v/>
      </c>
      <c r="B499" s="5" t="str">
        <f>IF($J499="","",INDEX('Detalle individual'!$A:$A,$J499))</f>
        <v/>
      </c>
      <c r="C499" s="5" t="str">
        <f>IF($J499="","",INDEX('Detalle individual'!$E:$E,$J499))</f>
        <v/>
      </c>
      <c r="D499" s="5" t="str">
        <f>IF($J499="","",INDEX('Detalle individual'!$C:$C,$J499))</f>
        <v/>
      </c>
      <c r="E499" s="5" t="str">
        <f>IF($J499="","",INDEX('Detalle individual'!$D:$D,$J499))</f>
        <v/>
      </c>
      <c r="F499" s="23" t="str">
        <f>IF($J499="","",INDEX('Detalle individual'!$H:$H,$J499))</f>
        <v/>
      </c>
      <c r="G499" s="28" t="str">
        <f>IF($J499="","",INDEX('Detalle individual'!$J:$J,$J499))</f>
        <v/>
      </c>
      <c r="H499" s="28" t="str">
        <f>IF($J499="","",INDEX('Detalle individual'!$L:$L,$J499))</f>
        <v/>
      </c>
      <c r="J499" t="str">
        <f>IFERROR(MATCH(SMALL(Cálculos!$AI$5:$AI$1000,495),Cálculos!$AI$5:$AI$1000,0)+4,"")</f>
        <v/>
      </c>
    </row>
    <row r="500">
      <c r="A500" s="5" t="str">
        <f>IF($J500="","",INDEX('Detalle individual'!$B:$B,$J500))</f>
        <v/>
      </c>
      <c r="B500" s="5" t="str">
        <f>IF($J500="","",INDEX('Detalle individual'!$A:$A,$J500))</f>
        <v/>
      </c>
      <c r="C500" s="5" t="str">
        <f>IF($J500="","",INDEX('Detalle individual'!$E:$E,$J500))</f>
        <v/>
      </c>
      <c r="D500" s="5" t="str">
        <f>IF($J500="","",INDEX('Detalle individual'!$C:$C,$J500))</f>
        <v/>
      </c>
      <c r="E500" s="5" t="str">
        <f>IF($J500="","",INDEX('Detalle individual'!$D:$D,$J500))</f>
        <v/>
      </c>
      <c r="F500" s="23" t="str">
        <f>IF($J500="","",INDEX('Detalle individual'!$H:$H,$J500))</f>
        <v/>
      </c>
      <c r="G500" s="28" t="str">
        <f>IF($J500="","",INDEX('Detalle individual'!$J:$J,$J500))</f>
        <v/>
      </c>
      <c r="H500" s="28" t="str">
        <f>IF($J500="","",INDEX('Detalle individual'!$L:$L,$J500))</f>
        <v/>
      </c>
      <c r="J500" t="str">
        <f>IFERROR(MATCH(SMALL(Cálculos!$AI$5:$AI$1000,496),Cálculos!$AI$5:$AI$1000,0)+4,"")</f>
        <v/>
      </c>
    </row>
    <row r="501">
      <c r="A501" s="5" t="str">
        <f>IF($J501="","",INDEX('Detalle individual'!$B:$B,$J501))</f>
        <v/>
      </c>
      <c r="B501" s="5" t="str">
        <f>IF($J501="","",INDEX('Detalle individual'!$A:$A,$J501))</f>
        <v/>
      </c>
      <c r="C501" s="5" t="str">
        <f>IF($J501="","",INDEX('Detalle individual'!$E:$E,$J501))</f>
        <v/>
      </c>
      <c r="D501" s="5" t="str">
        <f>IF($J501="","",INDEX('Detalle individual'!$C:$C,$J501))</f>
        <v/>
      </c>
      <c r="E501" s="5" t="str">
        <f>IF($J501="","",INDEX('Detalle individual'!$D:$D,$J501))</f>
        <v/>
      </c>
      <c r="F501" s="23" t="str">
        <f>IF($J501="","",INDEX('Detalle individual'!$H:$H,$J501))</f>
        <v/>
      </c>
      <c r="G501" s="28" t="str">
        <f>IF($J501="","",INDEX('Detalle individual'!$J:$J,$J501))</f>
        <v/>
      </c>
      <c r="H501" s="28" t="str">
        <f>IF($J501="","",INDEX('Detalle individual'!$L:$L,$J501))</f>
        <v/>
      </c>
      <c r="J501" t="str">
        <f>IFERROR(MATCH(SMALL(Cálculos!$AI$5:$AI$1000,497),Cálculos!$AI$5:$AI$1000,0)+4,"")</f>
        <v/>
      </c>
    </row>
    <row r="502">
      <c r="A502" s="5" t="str">
        <f>IF($J502="","",INDEX('Detalle individual'!$B:$B,$J502))</f>
        <v/>
      </c>
      <c r="B502" s="5" t="str">
        <f>IF($J502="","",INDEX('Detalle individual'!$A:$A,$J502))</f>
        <v/>
      </c>
      <c r="C502" s="5" t="str">
        <f>IF($J502="","",INDEX('Detalle individual'!$E:$E,$J502))</f>
        <v/>
      </c>
      <c r="D502" s="5" t="str">
        <f>IF($J502="","",INDEX('Detalle individual'!$C:$C,$J502))</f>
        <v/>
      </c>
      <c r="E502" s="5" t="str">
        <f>IF($J502="","",INDEX('Detalle individual'!$D:$D,$J502))</f>
        <v/>
      </c>
      <c r="F502" s="23" t="str">
        <f>IF($J502="","",INDEX('Detalle individual'!$H:$H,$J502))</f>
        <v/>
      </c>
      <c r="G502" s="28" t="str">
        <f>IF($J502="","",INDEX('Detalle individual'!$J:$J,$J502))</f>
        <v/>
      </c>
      <c r="H502" s="28" t="str">
        <f>IF($J502="","",INDEX('Detalle individual'!$L:$L,$J502))</f>
        <v/>
      </c>
      <c r="J502" t="str">
        <f>IFERROR(MATCH(SMALL(Cálculos!$AI$5:$AI$1000,498),Cálculos!$AI$5:$AI$1000,0)+4,"")</f>
        <v/>
      </c>
    </row>
    <row r="503">
      <c r="A503" s="5" t="str">
        <f>IF($J503="","",INDEX('Detalle individual'!$B:$B,$J503))</f>
        <v/>
      </c>
      <c r="B503" s="5" t="str">
        <f>IF($J503="","",INDEX('Detalle individual'!$A:$A,$J503))</f>
        <v/>
      </c>
      <c r="C503" s="5" t="str">
        <f>IF($J503="","",INDEX('Detalle individual'!$E:$E,$J503))</f>
        <v/>
      </c>
      <c r="D503" s="5" t="str">
        <f>IF($J503="","",INDEX('Detalle individual'!$C:$C,$J503))</f>
        <v/>
      </c>
      <c r="E503" s="5" t="str">
        <f>IF($J503="","",INDEX('Detalle individual'!$D:$D,$J503))</f>
        <v/>
      </c>
      <c r="F503" s="23" t="str">
        <f>IF($J503="","",INDEX('Detalle individual'!$H:$H,$J503))</f>
        <v/>
      </c>
      <c r="G503" s="28" t="str">
        <f>IF($J503="","",INDEX('Detalle individual'!$J:$J,$J503))</f>
        <v/>
      </c>
      <c r="H503" s="28" t="str">
        <f>IF($J503="","",INDEX('Detalle individual'!$L:$L,$J503))</f>
        <v/>
      </c>
      <c r="J503" t="str">
        <f>IFERROR(MATCH(SMALL(Cálculos!$AI$5:$AI$1000,499),Cálculos!$AI$5:$AI$1000,0)+4,"")</f>
        <v/>
      </c>
    </row>
    <row r="504">
      <c r="A504" s="5" t="str">
        <f>IF($J504="","",INDEX('Detalle individual'!$B:$B,$J504))</f>
        <v/>
      </c>
      <c r="B504" s="5" t="str">
        <f>IF($J504="","",INDEX('Detalle individual'!$A:$A,$J504))</f>
        <v/>
      </c>
      <c r="C504" s="5" t="str">
        <f>IF($J504="","",INDEX('Detalle individual'!$E:$E,$J504))</f>
        <v/>
      </c>
      <c r="D504" s="5" t="str">
        <f>IF($J504="","",INDEX('Detalle individual'!$C:$C,$J504))</f>
        <v/>
      </c>
      <c r="E504" s="5" t="str">
        <f>IF($J504="","",INDEX('Detalle individual'!$D:$D,$J504))</f>
        <v/>
      </c>
      <c r="F504" s="23" t="str">
        <f>IF($J504="","",INDEX('Detalle individual'!$H:$H,$J504))</f>
        <v/>
      </c>
      <c r="G504" s="28" t="str">
        <f>IF($J504="","",INDEX('Detalle individual'!$J:$J,$J504))</f>
        <v/>
      </c>
      <c r="H504" s="28" t="str">
        <f>IF($J504="","",INDEX('Detalle individual'!$L:$L,$J504))</f>
        <v/>
      </c>
      <c r="J504" t="str">
        <f>IFERROR(MATCH(SMALL(Cálculos!$AI$5:$AI$1000,500),Cálculos!$AI$5:$AI$1000,0)+4,"")</f>
        <v/>
      </c>
    </row>
    <row r="505">
      <c r="A505" s="5" t="str">
        <f>IF($J505="","",INDEX('Detalle individual'!$B:$B,$J505))</f>
        <v/>
      </c>
      <c r="B505" s="5" t="str">
        <f>IF($J505="","",INDEX('Detalle individual'!$A:$A,$J505))</f>
        <v/>
      </c>
      <c r="C505" s="5" t="str">
        <f>IF($J505="","",INDEX('Detalle individual'!$E:$E,$J505))</f>
        <v/>
      </c>
      <c r="D505" s="5" t="str">
        <f>IF($J505="","",INDEX('Detalle individual'!$C:$C,$J505))</f>
        <v/>
      </c>
      <c r="E505" s="5" t="str">
        <f>IF($J505="","",INDEX('Detalle individual'!$D:$D,$J505))</f>
        <v/>
      </c>
      <c r="F505" s="23" t="str">
        <f>IF($J505="","",INDEX('Detalle individual'!$H:$H,$J505))</f>
        <v/>
      </c>
      <c r="G505" s="28" t="str">
        <f>IF($J505="","",INDEX('Detalle individual'!$J:$J,$J505))</f>
        <v/>
      </c>
      <c r="H505" s="28" t="str">
        <f>IF($J505="","",INDEX('Detalle individual'!$L:$L,$J505))</f>
        <v/>
      </c>
      <c r="J505" t="str">
        <f>IFERROR(MATCH(SMALL(Cálculos!$AI$5:$AI$1000,501),Cálculos!$AI$5:$AI$1000,0)+4,"")</f>
        <v/>
      </c>
    </row>
    <row r="506">
      <c r="A506" s="5" t="str">
        <f>IF($J506="","",INDEX('Detalle individual'!$B:$B,$J506))</f>
        <v/>
      </c>
      <c r="B506" s="5" t="str">
        <f>IF($J506="","",INDEX('Detalle individual'!$A:$A,$J506))</f>
        <v/>
      </c>
      <c r="C506" s="5" t="str">
        <f>IF($J506="","",INDEX('Detalle individual'!$E:$E,$J506))</f>
        <v/>
      </c>
      <c r="D506" s="5" t="str">
        <f>IF($J506="","",INDEX('Detalle individual'!$C:$C,$J506))</f>
        <v/>
      </c>
      <c r="E506" s="5" t="str">
        <f>IF($J506="","",INDEX('Detalle individual'!$D:$D,$J506))</f>
        <v/>
      </c>
      <c r="F506" s="23" t="str">
        <f>IF($J506="","",INDEX('Detalle individual'!$H:$H,$J506))</f>
        <v/>
      </c>
      <c r="G506" s="28" t="str">
        <f>IF($J506="","",INDEX('Detalle individual'!$J:$J,$J506))</f>
        <v/>
      </c>
      <c r="H506" s="28" t="str">
        <f>IF($J506="","",INDEX('Detalle individual'!$L:$L,$J506))</f>
        <v/>
      </c>
      <c r="J506" t="str">
        <f>IFERROR(MATCH(SMALL(Cálculos!$AI$5:$AI$1000,502),Cálculos!$AI$5:$AI$1000,0)+4,"")</f>
        <v/>
      </c>
    </row>
    <row r="507">
      <c r="A507" s="5" t="str">
        <f>IF($J507="","",INDEX('Detalle individual'!$B:$B,$J507))</f>
        <v/>
      </c>
      <c r="B507" s="5" t="str">
        <f>IF($J507="","",INDEX('Detalle individual'!$A:$A,$J507))</f>
        <v/>
      </c>
      <c r="C507" s="5" t="str">
        <f>IF($J507="","",INDEX('Detalle individual'!$E:$E,$J507))</f>
        <v/>
      </c>
      <c r="D507" s="5" t="str">
        <f>IF($J507="","",INDEX('Detalle individual'!$C:$C,$J507))</f>
        <v/>
      </c>
      <c r="E507" s="5" t="str">
        <f>IF($J507="","",INDEX('Detalle individual'!$D:$D,$J507))</f>
        <v/>
      </c>
      <c r="F507" s="23" t="str">
        <f>IF($J507="","",INDEX('Detalle individual'!$H:$H,$J507))</f>
        <v/>
      </c>
      <c r="G507" s="28" t="str">
        <f>IF($J507="","",INDEX('Detalle individual'!$J:$J,$J507))</f>
        <v/>
      </c>
      <c r="H507" s="28" t="str">
        <f>IF($J507="","",INDEX('Detalle individual'!$L:$L,$J507))</f>
        <v/>
      </c>
      <c r="J507" t="str">
        <f>IFERROR(MATCH(SMALL(Cálculos!$AI$5:$AI$1000,503),Cálculos!$AI$5:$AI$1000,0)+4,"")</f>
        <v/>
      </c>
    </row>
    <row r="508">
      <c r="A508" s="5" t="str">
        <f>IF($J508="","",INDEX('Detalle individual'!$B:$B,$J508))</f>
        <v/>
      </c>
      <c r="B508" s="5" t="str">
        <f>IF($J508="","",INDEX('Detalle individual'!$A:$A,$J508))</f>
        <v/>
      </c>
      <c r="C508" s="5" t="str">
        <f>IF($J508="","",INDEX('Detalle individual'!$E:$E,$J508))</f>
        <v/>
      </c>
      <c r="D508" s="5" t="str">
        <f>IF($J508="","",INDEX('Detalle individual'!$C:$C,$J508))</f>
        <v/>
      </c>
      <c r="E508" s="5" t="str">
        <f>IF($J508="","",INDEX('Detalle individual'!$D:$D,$J508))</f>
        <v/>
      </c>
      <c r="F508" s="23" t="str">
        <f>IF($J508="","",INDEX('Detalle individual'!$H:$H,$J508))</f>
        <v/>
      </c>
      <c r="G508" s="28" t="str">
        <f>IF($J508="","",INDEX('Detalle individual'!$J:$J,$J508))</f>
        <v/>
      </c>
      <c r="H508" s="28" t="str">
        <f>IF($J508="","",INDEX('Detalle individual'!$L:$L,$J508))</f>
        <v/>
      </c>
      <c r="J508" t="str">
        <f>IFERROR(MATCH(SMALL(Cálculos!$AI$5:$AI$1000,504),Cálculos!$AI$5:$AI$1000,0)+4,"")</f>
        <v/>
      </c>
    </row>
    <row r="509">
      <c r="A509" s="5" t="str">
        <f>IF($J509="","",INDEX('Detalle individual'!$B:$B,$J509))</f>
        <v/>
      </c>
      <c r="B509" s="5" t="str">
        <f>IF($J509="","",INDEX('Detalle individual'!$A:$A,$J509))</f>
        <v/>
      </c>
      <c r="C509" s="5" t="str">
        <f>IF($J509="","",INDEX('Detalle individual'!$E:$E,$J509))</f>
        <v/>
      </c>
      <c r="D509" s="5" t="str">
        <f>IF($J509="","",INDEX('Detalle individual'!$C:$C,$J509))</f>
        <v/>
      </c>
      <c r="E509" s="5" t="str">
        <f>IF($J509="","",INDEX('Detalle individual'!$D:$D,$J509))</f>
        <v/>
      </c>
      <c r="F509" s="23" t="str">
        <f>IF($J509="","",INDEX('Detalle individual'!$H:$H,$J509))</f>
        <v/>
      </c>
      <c r="G509" s="28" t="str">
        <f>IF($J509="","",INDEX('Detalle individual'!$J:$J,$J509))</f>
        <v/>
      </c>
      <c r="H509" s="28" t="str">
        <f>IF($J509="","",INDEX('Detalle individual'!$L:$L,$J509))</f>
        <v/>
      </c>
      <c r="J509" t="str">
        <f>IFERROR(MATCH(SMALL(Cálculos!$AI$5:$AI$1000,505),Cálculos!$AI$5:$AI$1000,0)+4,"")</f>
        <v/>
      </c>
    </row>
    <row r="510">
      <c r="A510" s="5" t="str">
        <f>IF($J510="","",INDEX('Detalle individual'!$B:$B,$J510))</f>
        <v/>
      </c>
      <c r="B510" s="5" t="str">
        <f>IF($J510="","",INDEX('Detalle individual'!$A:$A,$J510))</f>
        <v/>
      </c>
      <c r="C510" s="5" t="str">
        <f>IF($J510="","",INDEX('Detalle individual'!$E:$E,$J510))</f>
        <v/>
      </c>
      <c r="D510" s="5" t="str">
        <f>IF($J510="","",INDEX('Detalle individual'!$C:$C,$J510))</f>
        <v/>
      </c>
      <c r="E510" s="5" t="str">
        <f>IF($J510="","",INDEX('Detalle individual'!$D:$D,$J510))</f>
        <v/>
      </c>
      <c r="F510" s="23" t="str">
        <f>IF($J510="","",INDEX('Detalle individual'!$H:$H,$J510))</f>
        <v/>
      </c>
      <c r="G510" s="28" t="str">
        <f>IF($J510="","",INDEX('Detalle individual'!$J:$J,$J510))</f>
        <v/>
      </c>
      <c r="H510" s="28" t="str">
        <f>IF($J510="","",INDEX('Detalle individual'!$L:$L,$J510))</f>
        <v/>
      </c>
      <c r="J510" t="str">
        <f>IFERROR(MATCH(SMALL(Cálculos!$AI$5:$AI$1000,506),Cálculos!$AI$5:$AI$1000,0)+4,"")</f>
        <v/>
      </c>
    </row>
    <row r="511">
      <c r="A511" s="5" t="str">
        <f>IF($J511="","",INDEX('Detalle individual'!$B:$B,$J511))</f>
        <v/>
      </c>
      <c r="B511" s="5" t="str">
        <f>IF($J511="","",INDEX('Detalle individual'!$A:$A,$J511))</f>
        <v/>
      </c>
      <c r="C511" s="5" t="str">
        <f>IF($J511="","",INDEX('Detalle individual'!$E:$E,$J511))</f>
        <v/>
      </c>
      <c r="D511" s="5" t="str">
        <f>IF($J511="","",INDEX('Detalle individual'!$C:$C,$J511))</f>
        <v/>
      </c>
      <c r="E511" s="5" t="str">
        <f>IF($J511="","",INDEX('Detalle individual'!$D:$D,$J511))</f>
        <v/>
      </c>
      <c r="F511" s="23" t="str">
        <f>IF($J511="","",INDEX('Detalle individual'!$H:$H,$J511))</f>
        <v/>
      </c>
      <c r="G511" s="28" t="str">
        <f>IF($J511="","",INDEX('Detalle individual'!$J:$J,$J511))</f>
        <v/>
      </c>
      <c r="H511" s="28" t="str">
        <f>IF($J511="","",INDEX('Detalle individual'!$L:$L,$J511))</f>
        <v/>
      </c>
      <c r="J511" t="str">
        <f>IFERROR(MATCH(SMALL(Cálculos!$AI$5:$AI$1000,507),Cálculos!$AI$5:$AI$1000,0)+4,"")</f>
        <v/>
      </c>
    </row>
    <row r="512">
      <c r="A512" s="5" t="str">
        <f>IF($J512="","",INDEX('Detalle individual'!$B:$B,$J512))</f>
        <v/>
      </c>
      <c r="B512" s="5" t="str">
        <f>IF($J512="","",INDEX('Detalle individual'!$A:$A,$J512))</f>
        <v/>
      </c>
      <c r="C512" s="5" t="str">
        <f>IF($J512="","",INDEX('Detalle individual'!$E:$E,$J512))</f>
        <v/>
      </c>
      <c r="D512" s="5" t="str">
        <f>IF($J512="","",INDEX('Detalle individual'!$C:$C,$J512))</f>
        <v/>
      </c>
      <c r="E512" s="5" t="str">
        <f>IF($J512="","",INDEX('Detalle individual'!$D:$D,$J512))</f>
        <v/>
      </c>
      <c r="F512" s="23" t="str">
        <f>IF($J512="","",INDEX('Detalle individual'!$H:$H,$J512))</f>
        <v/>
      </c>
      <c r="G512" s="28" t="str">
        <f>IF($J512="","",INDEX('Detalle individual'!$J:$J,$J512))</f>
        <v/>
      </c>
      <c r="H512" s="28" t="str">
        <f>IF($J512="","",INDEX('Detalle individual'!$L:$L,$J512))</f>
        <v/>
      </c>
      <c r="J512" t="str">
        <f>IFERROR(MATCH(SMALL(Cálculos!$AI$5:$AI$1000,508),Cálculos!$AI$5:$AI$1000,0)+4,"")</f>
        <v/>
      </c>
    </row>
    <row r="513">
      <c r="A513" s="5" t="str">
        <f>IF($J513="","",INDEX('Detalle individual'!$B:$B,$J513))</f>
        <v/>
      </c>
      <c r="B513" s="5" t="str">
        <f>IF($J513="","",INDEX('Detalle individual'!$A:$A,$J513))</f>
        <v/>
      </c>
      <c r="C513" s="5" t="str">
        <f>IF($J513="","",INDEX('Detalle individual'!$E:$E,$J513))</f>
        <v/>
      </c>
      <c r="D513" s="5" t="str">
        <f>IF($J513="","",INDEX('Detalle individual'!$C:$C,$J513))</f>
        <v/>
      </c>
      <c r="E513" s="5" t="str">
        <f>IF($J513="","",INDEX('Detalle individual'!$D:$D,$J513))</f>
        <v/>
      </c>
      <c r="F513" s="23" t="str">
        <f>IF($J513="","",INDEX('Detalle individual'!$H:$H,$J513))</f>
        <v/>
      </c>
      <c r="G513" s="28" t="str">
        <f>IF($J513="","",INDEX('Detalle individual'!$J:$J,$J513))</f>
        <v/>
      </c>
      <c r="H513" s="28" t="str">
        <f>IF($J513="","",INDEX('Detalle individual'!$L:$L,$J513))</f>
        <v/>
      </c>
      <c r="J513" t="str">
        <f>IFERROR(MATCH(SMALL(Cálculos!$AI$5:$AI$1000,509),Cálculos!$AI$5:$AI$1000,0)+4,"")</f>
        <v/>
      </c>
    </row>
    <row r="514">
      <c r="A514" s="5" t="str">
        <f>IF($J514="","",INDEX('Detalle individual'!$B:$B,$J514))</f>
        <v/>
      </c>
      <c r="B514" s="5" t="str">
        <f>IF($J514="","",INDEX('Detalle individual'!$A:$A,$J514))</f>
        <v/>
      </c>
      <c r="C514" s="5" t="str">
        <f>IF($J514="","",INDEX('Detalle individual'!$E:$E,$J514))</f>
        <v/>
      </c>
      <c r="D514" s="5" t="str">
        <f>IF($J514="","",INDEX('Detalle individual'!$C:$C,$J514))</f>
        <v/>
      </c>
      <c r="E514" s="5" t="str">
        <f>IF($J514="","",INDEX('Detalle individual'!$D:$D,$J514))</f>
        <v/>
      </c>
      <c r="F514" s="23" t="str">
        <f>IF($J514="","",INDEX('Detalle individual'!$H:$H,$J514))</f>
        <v/>
      </c>
      <c r="G514" s="28" t="str">
        <f>IF($J514="","",INDEX('Detalle individual'!$J:$J,$J514))</f>
        <v/>
      </c>
      <c r="H514" s="28" t="str">
        <f>IF($J514="","",INDEX('Detalle individual'!$L:$L,$J514))</f>
        <v/>
      </c>
      <c r="J514" t="str">
        <f>IFERROR(MATCH(SMALL(Cálculos!$AI$5:$AI$1000,510),Cálculos!$AI$5:$AI$1000,0)+4,"")</f>
        <v/>
      </c>
    </row>
    <row r="515">
      <c r="A515" s="5" t="str">
        <f>IF($J515="","",INDEX('Detalle individual'!$B:$B,$J515))</f>
        <v/>
      </c>
      <c r="B515" s="5" t="str">
        <f>IF($J515="","",INDEX('Detalle individual'!$A:$A,$J515))</f>
        <v/>
      </c>
      <c r="C515" s="5" t="str">
        <f>IF($J515="","",INDEX('Detalle individual'!$E:$E,$J515))</f>
        <v/>
      </c>
      <c r="D515" s="5" t="str">
        <f>IF($J515="","",INDEX('Detalle individual'!$C:$C,$J515))</f>
        <v/>
      </c>
      <c r="E515" s="5" t="str">
        <f>IF($J515="","",INDEX('Detalle individual'!$D:$D,$J515))</f>
        <v/>
      </c>
      <c r="F515" s="23" t="str">
        <f>IF($J515="","",INDEX('Detalle individual'!$H:$H,$J515))</f>
        <v/>
      </c>
      <c r="G515" s="28" t="str">
        <f>IF($J515="","",INDEX('Detalle individual'!$J:$J,$J515))</f>
        <v/>
      </c>
      <c r="H515" s="28" t="str">
        <f>IF($J515="","",INDEX('Detalle individual'!$L:$L,$J515))</f>
        <v/>
      </c>
      <c r="J515" t="str">
        <f>IFERROR(MATCH(SMALL(Cálculos!$AI$5:$AI$1000,511),Cálculos!$AI$5:$AI$1000,0)+4,"")</f>
        <v/>
      </c>
    </row>
    <row r="516">
      <c r="A516" s="5" t="str">
        <f>IF($J516="","",INDEX('Detalle individual'!$B:$B,$J516))</f>
        <v/>
      </c>
      <c r="B516" s="5" t="str">
        <f>IF($J516="","",INDEX('Detalle individual'!$A:$A,$J516))</f>
        <v/>
      </c>
      <c r="C516" s="5" t="str">
        <f>IF($J516="","",INDEX('Detalle individual'!$E:$E,$J516))</f>
        <v/>
      </c>
      <c r="D516" s="5" t="str">
        <f>IF($J516="","",INDEX('Detalle individual'!$C:$C,$J516))</f>
        <v/>
      </c>
      <c r="E516" s="5" t="str">
        <f>IF($J516="","",INDEX('Detalle individual'!$D:$D,$J516))</f>
        <v/>
      </c>
      <c r="F516" s="23" t="str">
        <f>IF($J516="","",INDEX('Detalle individual'!$H:$H,$J516))</f>
        <v/>
      </c>
      <c r="G516" s="28" t="str">
        <f>IF($J516="","",INDEX('Detalle individual'!$J:$J,$J516))</f>
        <v/>
      </c>
      <c r="H516" s="28" t="str">
        <f>IF($J516="","",INDEX('Detalle individual'!$L:$L,$J516))</f>
        <v/>
      </c>
      <c r="J516" t="str">
        <f>IFERROR(MATCH(SMALL(Cálculos!$AI$5:$AI$1000,512),Cálculos!$AI$5:$AI$1000,0)+4,"")</f>
        <v/>
      </c>
    </row>
    <row r="517">
      <c r="A517" s="5" t="str">
        <f>IF($J517="","",INDEX('Detalle individual'!$B:$B,$J517))</f>
        <v/>
      </c>
      <c r="B517" s="5" t="str">
        <f>IF($J517="","",INDEX('Detalle individual'!$A:$A,$J517))</f>
        <v/>
      </c>
      <c r="C517" s="5" t="str">
        <f>IF($J517="","",INDEX('Detalle individual'!$E:$E,$J517))</f>
        <v/>
      </c>
      <c r="D517" s="5" t="str">
        <f>IF($J517="","",INDEX('Detalle individual'!$C:$C,$J517))</f>
        <v/>
      </c>
      <c r="E517" s="5" t="str">
        <f>IF($J517="","",INDEX('Detalle individual'!$D:$D,$J517))</f>
        <v/>
      </c>
      <c r="F517" s="23" t="str">
        <f>IF($J517="","",INDEX('Detalle individual'!$H:$H,$J517))</f>
        <v/>
      </c>
      <c r="G517" s="28" t="str">
        <f>IF($J517="","",INDEX('Detalle individual'!$J:$J,$J517))</f>
        <v/>
      </c>
      <c r="H517" s="28" t="str">
        <f>IF($J517="","",INDEX('Detalle individual'!$L:$L,$J517))</f>
        <v/>
      </c>
      <c r="J517" t="str">
        <f>IFERROR(MATCH(SMALL(Cálculos!$AI$5:$AI$1000,513),Cálculos!$AI$5:$AI$1000,0)+4,"")</f>
        <v/>
      </c>
    </row>
    <row r="518">
      <c r="A518" s="5" t="str">
        <f>IF($J518="","",INDEX('Detalle individual'!$B:$B,$J518))</f>
        <v/>
      </c>
      <c r="B518" s="5" t="str">
        <f>IF($J518="","",INDEX('Detalle individual'!$A:$A,$J518))</f>
        <v/>
      </c>
      <c r="C518" s="5" t="str">
        <f>IF($J518="","",INDEX('Detalle individual'!$E:$E,$J518))</f>
        <v/>
      </c>
      <c r="D518" s="5" t="str">
        <f>IF($J518="","",INDEX('Detalle individual'!$C:$C,$J518))</f>
        <v/>
      </c>
      <c r="E518" s="5" t="str">
        <f>IF($J518="","",INDEX('Detalle individual'!$D:$D,$J518))</f>
        <v/>
      </c>
      <c r="F518" s="23" t="str">
        <f>IF($J518="","",INDEX('Detalle individual'!$H:$H,$J518))</f>
        <v/>
      </c>
      <c r="G518" s="28" t="str">
        <f>IF($J518="","",INDEX('Detalle individual'!$J:$J,$J518))</f>
        <v/>
      </c>
      <c r="H518" s="28" t="str">
        <f>IF($J518="","",INDEX('Detalle individual'!$L:$L,$J518))</f>
        <v/>
      </c>
      <c r="J518" t="str">
        <f>IFERROR(MATCH(SMALL(Cálculos!$AI$5:$AI$1000,514),Cálculos!$AI$5:$AI$1000,0)+4,"")</f>
        <v/>
      </c>
    </row>
    <row r="519">
      <c r="A519" s="5" t="str">
        <f>IF($J519="","",INDEX('Detalle individual'!$B:$B,$J519))</f>
        <v/>
      </c>
      <c r="B519" s="5" t="str">
        <f>IF($J519="","",INDEX('Detalle individual'!$A:$A,$J519))</f>
        <v/>
      </c>
      <c r="C519" s="5" t="str">
        <f>IF($J519="","",INDEX('Detalle individual'!$E:$E,$J519))</f>
        <v/>
      </c>
      <c r="D519" s="5" t="str">
        <f>IF($J519="","",INDEX('Detalle individual'!$C:$C,$J519))</f>
        <v/>
      </c>
      <c r="E519" s="5" t="str">
        <f>IF($J519="","",INDEX('Detalle individual'!$D:$D,$J519))</f>
        <v/>
      </c>
      <c r="F519" s="23" t="str">
        <f>IF($J519="","",INDEX('Detalle individual'!$H:$H,$J519))</f>
        <v/>
      </c>
      <c r="G519" s="28" t="str">
        <f>IF($J519="","",INDEX('Detalle individual'!$J:$J,$J519))</f>
        <v/>
      </c>
      <c r="H519" s="28" t="str">
        <f>IF($J519="","",INDEX('Detalle individual'!$L:$L,$J519))</f>
        <v/>
      </c>
      <c r="J519" t="str">
        <f>IFERROR(MATCH(SMALL(Cálculos!$AI$5:$AI$1000,515),Cálculos!$AI$5:$AI$1000,0)+4,"")</f>
        <v/>
      </c>
    </row>
    <row r="520">
      <c r="A520" s="5" t="str">
        <f>IF($J520="","",INDEX('Detalle individual'!$B:$B,$J520))</f>
        <v/>
      </c>
      <c r="B520" s="5" t="str">
        <f>IF($J520="","",INDEX('Detalle individual'!$A:$A,$J520))</f>
        <v/>
      </c>
      <c r="C520" s="5" t="str">
        <f>IF($J520="","",INDEX('Detalle individual'!$E:$E,$J520))</f>
        <v/>
      </c>
      <c r="D520" s="5" t="str">
        <f>IF($J520="","",INDEX('Detalle individual'!$C:$C,$J520))</f>
        <v/>
      </c>
      <c r="E520" s="5" t="str">
        <f>IF($J520="","",INDEX('Detalle individual'!$D:$D,$J520))</f>
        <v/>
      </c>
      <c r="F520" s="23" t="str">
        <f>IF($J520="","",INDEX('Detalle individual'!$H:$H,$J520))</f>
        <v/>
      </c>
      <c r="G520" s="28" t="str">
        <f>IF($J520="","",INDEX('Detalle individual'!$J:$J,$J520))</f>
        <v/>
      </c>
      <c r="H520" s="28" t="str">
        <f>IF($J520="","",INDEX('Detalle individual'!$L:$L,$J520))</f>
        <v/>
      </c>
      <c r="J520" t="str">
        <f>IFERROR(MATCH(SMALL(Cálculos!$AI$5:$AI$1000,516),Cálculos!$AI$5:$AI$1000,0)+4,"")</f>
        <v/>
      </c>
    </row>
    <row r="521">
      <c r="A521" s="5" t="str">
        <f>IF($J521="","",INDEX('Detalle individual'!$B:$B,$J521))</f>
        <v/>
      </c>
      <c r="B521" s="5" t="str">
        <f>IF($J521="","",INDEX('Detalle individual'!$A:$A,$J521))</f>
        <v/>
      </c>
      <c r="C521" s="5" t="str">
        <f>IF($J521="","",INDEX('Detalle individual'!$E:$E,$J521))</f>
        <v/>
      </c>
      <c r="D521" s="5" t="str">
        <f>IF($J521="","",INDEX('Detalle individual'!$C:$C,$J521))</f>
        <v/>
      </c>
      <c r="E521" s="5" t="str">
        <f>IF($J521="","",INDEX('Detalle individual'!$D:$D,$J521))</f>
        <v/>
      </c>
      <c r="F521" s="23" t="str">
        <f>IF($J521="","",INDEX('Detalle individual'!$H:$H,$J521))</f>
        <v/>
      </c>
      <c r="G521" s="28" t="str">
        <f>IF($J521="","",INDEX('Detalle individual'!$J:$J,$J521))</f>
        <v/>
      </c>
      <c r="H521" s="28" t="str">
        <f>IF($J521="","",INDEX('Detalle individual'!$L:$L,$J521))</f>
        <v/>
      </c>
      <c r="J521" t="str">
        <f>IFERROR(MATCH(SMALL(Cálculos!$AI$5:$AI$1000,517),Cálculos!$AI$5:$AI$1000,0)+4,"")</f>
        <v/>
      </c>
    </row>
    <row r="522">
      <c r="A522" s="5" t="str">
        <f>IF($J522="","",INDEX('Detalle individual'!$B:$B,$J522))</f>
        <v/>
      </c>
      <c r="B522" s="5" t="str">
        <f>IF($J522="","",INDEX('Detalle individual'!$A:$A,$J522))</f>
        <v/>
      </c>
      <c r="C522" s="5" t="str">
        <f>IF($J522="","",INDEX('Detalle individual'!$E:$E,$J522))</f>
        <v/>
      </c>
      <c r="D522" s="5" t="str">
        <f>IF($J522="","",INDEX('Detalle individual'!$C:$C,$J522))</f>
        <v/>
      </c>
      <c r="E522" s="5" t="str">
        <f>IF($J522="","",INDEX('Detalle individual'!$D:$D,$J522))</f>
        <v/>
      </c>
      <c r="F522" s="23" t="str">
        <f>IF($J522="","",INDEX('Detalle individual'!$H:$H,$J522))</f>
        <v/>
      </c>
      <c r="G522" s="28" t="str">
        <f>IF($J522="","",INDEX('Detalle individual'!$J:$J,$J522))</f>
        <v/>
      </c>
      <c r="H522" s="28" t="str">
        <f>IF($J522="","",INDEX('Detalle individual'!$L:$L,$J522))</f>
        <v/>
      </c>
      <c r="J522" t="str">
        <f>IFERROR(MATCH(SMALL(Cálculos!$AI$5:$AI$1000,518),Cálculos!$AI$5:$AI$1000,0)+4,"")</f>
        <v/>
      </c>
    </row>
    <row r="523">
      <c r="A523" s="5" t="str">
        <f>IF($J523="","",INDEX('Detalle individual'!$B:$B,$J523))</f>
        <v/>
      </c>
      <c r="B523" s="5" t="str">
        <f>IF($J523="","",INDEX('Detalle individual'!$A:$A,$J523))</f>
        <v/>
      </c>
      <c r="C523" s="5" t="str">
        <f>IF($J523="","",INDEX('Detalle individual'!$E:$E,$J523))</f>
        <v/>
      </c>
      <c r="D523" s="5" t="str">
        <f>IF($J523="","",INDEX('Detalle individual'!$C:$C,$J523))</f>
        <v/>
      </c>
      <c r="E523" s="5" t="str">
        <f>IF($J523="","",INDEX('Detalle individual'!$D:$D,$J523))</f>
        <v/>
      </c>
      <c r="F523" s="23" t="str">
        <f>IF($J523="","",INDEX('Detalle individual'!$H:$H,$J523))</f>
        <v/>
      </c>
      <c r="G523" s="28" t="str">
        <f>IF($J523="","",INDEX('Detalle individual'!$J:$J,$J523))</f>
        <v/>
      </c>
      <c r="H523" s="28" t="str">
        <f>IF($J523="","",INDEX('Detalle individual'!$L:$L,$J523))</f>
        <v/>
      </c>
      <c r="J523" t="str">
        <f>IFERROR(MATCH(SMALL(Cálculos!$AI$5:$AI$1000,519),Cálculos!$AI$5:$AI$1000,0)+4,"")</f>
        <v/>
      </c>
    </row>
    <row r="524">
      <c r="A524" s="5" t="str">
        <f>IF($J524="","",INDEX('Detalle individual'!$B:$B,$J524))</f>
        <v/>
      </c>
      <c r="B524" s="5" t="str">
        <f>IF($J524="","",INDEX('Detalle individual'!$A:$A,$J524))</f>
        <v/>
      </c>
      <c r="C524" s="5" t="str">
        <f>IF($J524="","",INDEX('Detalle individual'!$E:$E,$J524))</f>
        <v/>
      </c>
      <c r="D524" s="5" t="str">
        <f>IF($J524="","",INDEX('Detalle individual'!$C:$C,$J524))</f>
        <v/>
      </c>
      <c r="E524" s="5" t="str">
        <f>IF($J524="","",INDEX('Detalle individual'!$D:$D,$J524))</f>
        <v/>
      </c>
      <c r="F524" s="23" t="str">
        <f>IF($J524="","",INDEX('Detalle individual'!$H:$H,$J524))</f>
        <v/>
      </c>
      <c r="G524" s="28" t="str">
        <f>IF($J524="","",INDEX('Detalle individual'!$J:$J,$J524))</f>
        <v/>
      </c>
      <c r="H524" s="28" t="str">
        <f>IF($J524="","",INDEX('Detalle individual'!$L:$L,$J524))</f>
        <v/>
      </c>
      <c r="J524" t="str">
        <f>IFERROR(MATCH(SMALL(Cálculos!$AI$5:$AI$1000,520),Cálculos!$AI$5:$AI$1000,0)+4,"")</f>
        <v/>
      </c>
    </row>
    <row r="525">
      <c r="A525" s="5" t="str">
        <f>IF($J525="","",INDEX('Detalle individual'!$B:$B,$J525))</f>
        <v/>
      </c>
      <c r="B525" s="5" t="str">
        <f>IF($J525="","",INDEX('Detalle individual'!$A:$A,$J525))</f>
        <v/>
      </c>
      <c r="C525" s="5" t="str">
        <f>IF($J525="","",INDEX('Detalle individual'!$E:$E,$J525))</f>
        <v/>
      </c>
      <c r="D525" s="5" t="str">
        <f>IF($J525="","",INDEX('Detalle individual'!$C:$C,$J525))</f>
        <v/>
      </c>
      <c r="E525" s="5" t="str">
        <f>IF($J525="","",INDEX('Detalle individual'!$D:$D,$J525))</f>
        <v/>
      </c>
      <c r="F525" s="23" t="str">
        <f>IF($J525="","",INDEX('Detalle individual'!$H:$H,$J525))</f>
        <v/>
      </c>
      <c r="G525" s="28" t="str">
        <f>IF($J525="","",INDEX('Detalle individual'!$J:$J,$J525))</f>
        <v/>
      </c>
      <c r="H525" s="28" t="str">
        <f>IF($J525="","",INDEX('Detalle individual'!$L:$L,$J525))</f>
        <v/>
      </c>
      <c r="J525" t="str">
        <f>IFERROR(MATCH(SMALL(Cálculos!$AI$5:$AI$1000,521),Cálculos!$AI$5:$AI$1000,0)+4,"")</f>
        <v/>
      </c>
    </row>
    <row r="526">
      <c r="A526" s="5" t="str">
        <f>IF($J526="","",INDEX('Detalle individual'!$B:$B,$J526))</f>
        <v/>
      </c>
      <c r="B526" s="5" t="str">
        <f>IF($J526="","",INDEX('Detalle individual'!$A:$A,$J526))</f>
        <v/>
      </c>
      <c r="C526" s="5" t="str">
        <f>IF($J526="","",INDEX('Detalle individual'!$E:$E,$J526))</f>
        <v/>
      </c>
      <c r="D526" s="5" t="str">
        <f>IF($J526="","",INDEX('Detalle individual'!$C:$C,$J526))</f>
        <v/>
      </c>
      <c r="E526" s="5" t="str">
        <f>IF($J526="","",INDEX('Detalle individual'!$D:$D,$J526))</f>
        <v/>
      </c>
      <c r="F526" s="23" t="str">
        <f>IF($J526="","",INDEX('Detalle individual'!$H:$H,$J526))</f>
        <v/>
      </c>
      <c r="G526" s="28" t="str">
        <f>IF($J526="","",INDEX('Detalle individual'!$J:$J,$J526))</f>
        <v/>
      </c>
      <c r="H526" s="28" t="str">
        <f>IF($J526="","",INDEX('Detalle individual'!$L:$L,$J526))</f>
        <v/>
      </c>
      <c r="J526" t="str">
        <f>IFERROR(MATCH(SMALL(Cálculos!$AI$5:$AI$1000,522),Cálculos!$AI$5:$AI$1000,0)+4,"")</f>
        <v/>
      </c>
    </row>
    <row r="527">
      <c r="A527" s="5" t="str">
        <f>IF($J527="","",INDEX('Detalle individual'!$B:$B,$J527))</f>
        <v/>
      </c>
      <c r="B527" s="5" t="str">
        <f>IF($J527="","",INDEX('Detalle individual'!$A:$A,$J527))</f>
        <v/>
      </c>
      <c r="C527" s="5" t="str">
        <f>IF($J527="","",INDEX('Detalle individual'!$E:$E,$J527))</f>
        <v/>
      </c>
      <c r="D527" s="5" t="str">
        <f>IF($J527="","",INDEX('Detalle individual'!$C:$C,$J527))</f>
        <v/>
      </c>
      <c r="E527" s="5" t="str">
        <f>IF($J527="","",INDEX('Detalle individual'!$D:$D,$J527))</f>
        <v/>
      </c>
      <c r="F527" s="23" t="str">
        <f>IF($J527="","",INDEX('Detalle individual'!$H:$H,$J527))</f>
        <v/>
      </c>
      <c r="G527" s="28" t="str">
        <f>IF($J527="","",INDEX('Detalle individual'!$J:$J,$J527))</f>
        <v/>
      </c>
      <c r="H527" s="28" t="str">
        <f>IF($J527="","",INDEX('Detalle individual'!$L:$L,$J527))</f>
        <v/>
      </c>
      <c r="J527" t="str">
        <f>IFERROR(MATCH(SMALL(Cálculos!$AI$5:$AI$1000,523),Cálculos!$AI$5:$AI$1000,0)+4,"")</f>
        <v/>
      </c>
    </row>
    <row r="528">
      <c r="A528" s="5" t="str">
        <f>IF($J528="","",INDEX('Detalle individual'!$B:$B,$J528))</f>
        <v/>
      </c>
      <c r="B528" s="5" t="str">
        <f>IF($J528="","",INDEX('Detalle individual'!$A:$A,$J528))</f>
        <v/>
      </c>
      <c r="C528" s="5" t="str">
        <f>IF($J528="","",INDEX('Detalle individual'!$E:$E,$J528))</f>
        <v/>
      </c>
      <c r="D528" s="5" t="str">
        <f>IF($J528="","",INDEX('Detalle individual'!$C:$C,$J528))</f>
        <v/>
      </c>
      <c r="E528" s="5" t="str">
        <f>IF($J528="","",INDEX('Detalle individual'!$D:$D,$J528))</f>
        <v/>
      </c>
      <c r="F528" s="23" t="str">
        <f>IF($J528="","",INDEX('Detalle individual'!$H:$H,$J528))</f>
        <v/>
      </c>
      <c r="G528" s="28" t="str">
        <f>IF($J528="","",INDEX('Detalle individual'!$J:$J,$J528))</f>
        <v/>
      </c>
      <c r="H528" s="28" t="str">
        <f>IF($J528="","",INDEX('Detalle individual'!$L:$L,$J528))</f>
        <v/>
      </c>
      <c r="J528" t="str">
        <f>IFERROR(MATCH(SMALL(Cálculos!$AI$5:$AI$1000,524),Cálculos!$AI$5:$AI$1000,0)+4,"")</f>
        <v/>
      </c>
    </row>
    <row r="529">
      <c r="A529" s="5" t="str">
        <f>IF($J529="","",INDEX('Detalle individual'!$B:$B,$J529))</f>
        <v/>
      </c>
      <c r="B529" s="5" t="str">
        <f>IF($J529="","",INDEX('Detalle individual'!$A:$A,$J529))</f>
        <v/>
      </c>
      <c r="C529" s="5" t="str">
        <f>IF($J529="","",INDEX('Detalle individual'!$E:$E,$J529))</f>
        <v/>
      </c>
      <c r="D529" s="5" t="str">
        <f>IF($J529="","",INDEX('Detalle individual'!$C:$C,$J529))</f>
        <v/>
      </c>
      <c r="E529" s="5" t="str">
        <f>IF($J529="","",INDEX('Detalle individual'!$D:$D,$J529))</f>
        <v/>
      </c>
      <c r="F529" s="23" t="str">
        <f>IF($J529="","",INDEX('Detalle individual'!$H:$H,$J529))</f>
        <v/>
      </c>
      <c r="G529" s="28" t="str">
        <f>IF($J529="","",INDEX('Detalle individual'!$J:$J,$J529))</f>
        <v/>
      </c>
      <c r="H529" s="28" t="str">
        <f>IF($J529="","",INDEX('Detalle individual'!$L:$L,$J529))</f>
        <v/>
      </c>
      <c r="J529" t="str">
        <f>IFERROR(MATCH(SMALL(Cálculos!$AI$5:$AI$1000,525),Cálculos!$AI$5:$AI$1000,0)+4,"")</f>
        <v/>
      </c>
    </row>
    <row r="530">
      <c r="A530" s="5" t="str">
        <f>IF($J530="","",INDEX('Detalle individual'!$B:$B,$J530))</f>
        <v/>
      </c>
      <c r="B530" s="5" t="str">
        <f>IF($J530="","",INDEX('Detalle individual'!$A:$A,$J530))</f>
        <v/>
      </c>
      <c r="C530" s="5" t="str">
        <f>IF($J530="","",INDEX('Detalle individual'!$E:$E,$J530))</f>
        <v/>
      </c>
      <c r="D530" s="5" t="str">
        <f>IF($J530="","",INDEX('Detalle individual'!$C:$C,$J530))</f>
        <v/>
      </c>
      <c r="E530" s="5" t="str">
        <f>IF($J530="","",INDEX('Detalle individual'!$D:$D,$J530))</f>
        <v/>
      </c>
      <c r="F530" s="23" t="str">
        <f>IF($J530="","",INDEX('Detalle individual'!$H:$H,$J530))</f>
        <v/>
      </c>
      <c r="G530" s="28" t="str">
        <f>IF($J530="","",INDEX('Detalle individual'!$J:$J,$J530))</f>
        <v/>
      </c>
      <c r="H530" s="28" t="str">
        <f>IF($J530="","",INDEX('Detalle individual'!$L:$L,$J530))</f>
        <v/>
      </c>
      <c r="J530" t="str">
        <f>IFERROR(MATCH(SMALL(Cálculos!$AI$5:$AI$1000,526),Cálculos!$AI$5:$AI$1000,0)+4,"")</f>
        <v/>
      </c>
    </row>
    <row r="531">
      <c r="A531" s="5" t="str">
        <f>IF($J531="","",INDEX('Detalle individual'!$B:$B,$J531))</f>
        <v/>
      </c>
      <c r="B531" s="5" t="str">
        <f>IF($J531="","",INDEX('Detalle individual'!$A:$A,$J531))</f>
        <v/>
      </c>
      <c r="C531" s="5" t="str">
        <f>IF($J531="","",INDEX('Detalle individual'!$E:$E,$J531))</f>
        <v/>
      </c>
      <c r="D531" s="5" t="str">
        <f>IF($J531="","",INDEX('Detalle individual'!$C:$C,$J531))</f>
        <v/>
      </c>
      <c r="E531" s="5" t="str">
        <f>IF($J531="","",INDEX('Detalle individual'!$D:$D,$J531))</f>
        <v/>
      </c>
      <c r="F531" s="23" t="str">
        <f>IF($J531="","",INDEX('Detalle individual'!$H:$H,$J531))</f>
        <v/>
      </c>
      <c r="G531" s="28" t="str">
        <f>IF($J531="","",INDEX('Detalle individual'!$J:$J,$J531))</f>
        <v/>
      </c>
      <c r="H531" s="28" t="str">
        <f>IF($J531="","",INDEX('Detalle individual'!$L:$L,$J531))</f>
        <v/>
      </c>
      <c r="J531" t="str">
        <f>IFERROR(MATCH(SMALL(Cálculos!$AI$5:$AI$1000,527),Cálculos!$AI$5:$AI$1000,0)+4,"")</f>
        <v/>
      </c>
    </row>
    <row r="532">
      <c r="A532" s="5" t="str">
        <f>IF($J532="","",INDEX('Detalle individual'!$B:$B,$J532))</f>
        <v/>
      </c>
      <c r="B532" s="5" t="str">
        <f>IF($J532="","",INDEX('Detalle individual'!$A:$A,$J532))</f>
        <v/>
      </c>
      <c r="C532" s="5" t="str">
        <f>IF($J532="","",INDEX('Detalle individual'!$E:$E,$J532))</f>
        <v/>
      </c>
      <c r="D532" s="5" t="str">
        <f>IF($J532="","",INDEX('Detalle individual'!$C:$C,$J532))</f>
        <v/>
      </c>
      <c r="E532" s="5" t="str">
        <f>IF($J532="","",INDEX('Detalle individual'!$D:$D,$J532))</f>
        <v/>
      </c>
      <c r="F532" s="23" t="str">
        <f>IF($J532="","",INDEX('Detalle individual'!$H:$H,$J532))</f>
        <v/>
      </c>
      <c r="G532" s="28" t="str">
        <f>IF($J532="","",INDEX('Detalle individual'!$J:$J,$J532))</f>
        <v/>
      </c>
      <c r="H532" s="28" t="str">
        <f>IF($J532="","",INDEX('Detalle individual'!$L:$L,$J532))</f>
        <v/>
      </c>
      <c r="J532" t="str">
        <f>IFERROR(MATCH(SMALL(Cálculos!$AI$5:$AI$1000,528),Cálculos!$AI$5:$AI$1000,0)+4,"")</f>
        <v/>
      </c>
    </row>
    <row r="533">
      <c r="A533" s="5" t="str">
        <f>IF($J533="","",INDEX('Detalle individual'!$B:$B,$J533))</f>
        <v/>
      </c>
      <c r="B533" s="5" t="str">
        <f>IF($J533="","",INDEX('Detalle individual'!$A:$A,$J533))</f>
        <v/>
      </c>
      <c r="C533" s="5" t="str">
        <f>IF($J533="","",INDEX('Detalle individual'!$E:$E,$J533))</f>
        <v/>
      </c>
      <c r="D533" s="5" t="str">
        <f>IF($J533="","",INDEX('Detalle individual'!$C:$C,$J533))</f>
        <v/>
      </c>
      <c r="E533" s="5" t="str">
        <f>IF($J533="","",INDEX('Detalle individual'!$D:$D,$J533))</f>
        <v/>
      </c>
      <c r="F533" s="23" t="str">
        <f>IF($J533="","",INDEX('Detalle individual'!$H:$H,$J533))</f>
        <v/>
      </c>
      <c r="G533" s="28" t="str">
        <f>IF($J533="","",INDEX('Detalle individual'!$J:$J,$J533))</f>
        <v/>
      </c>
      <c r="H533" s="28" t="str">
        <f>IF($J533="","",INDEX('Detalle individual'!$L:$L,$J533))</f>
        <v/>
      </c>
      <c r="J533" t="str">
        <f>IFERROR(MATCH(SMALL(Cálculos!$AI$5:$AI$1000,529),Cálculos!$AI$5:$AI$1000,0)+4,"")</f>
        <v/>
      </c>
    </row>
    <row r="534">
      <c r="A534" s="5" t="str">
        <f>IF($J534="","",INDEX('Detalle individual'!$B:$B,$J534))</f>
        <v/>
      </c>
      <c r="B534" s="5" t="str">
        <f>IF($J534="","",INDEX('Detalle individual'!$A:$A,$J534))</f>
        <v/>
      </c>
      <c r="C534" s="5" t="str">
        <f>IF($J534="","",INDEX('Detalle individual'!$E:$E,$J534))</f>
        <v/>
      </c>
      <c r="D534" s="5" t="str">
        <f>IF($J534="","",INDEX('Detalle individual'!$C:$C,$J534))</f>
        <v/>
      </c>
      <c r="E534" s="5" t="str">
        <f>IF($J534="","",INDEX('Detalle individual'!$D:$D,$J534))</f>
        <v/>
      </c>
      <c r="F534" s="23" t="str">
        <f>IF($J534="","",INDEX('Detalle individual'!$H:$H,$J534))</f>
        <v/>
      </c>
      <c r="G534" s="28" t="str">
        <f>IF($J534="","",INDEX('Detalle individual'!$J:$J,$J534))</f>
        <v/>
      </c>
      <c r="H534" s="28" t="str">
        <f>IF($J534="","",INDEX('Detalle individual'!$L:$L,$J534))</f>
        <v/>
      </c>
      <c r="J534" t="str">
        <f>IFERROR(MATCH(SMALL(Cálculos!$AI$5:$AI$1000,530),Cálculos!$AI$5:$AI$1000,0)+4,"")</f>
        <v/>
      </c>
    </row>
    <row r="535">
      <c r="A535" s="5" t="str">
        <f>IF($J535="","",INDEX('Detalle individual'!$B:$B,$J535))</f>
        <v/>
      </c>
      <c r="B535" s="5" t="str">
        <f>IF($J535="","",INDEX('Detalle individual'!$A:$A,$J535))</f>
        <v/>
      </c>
      <c r="C535" s="5" t="str">
        <f>IF($J535="","",INDEX('Detalle individual'!$E:$E,$J535))</f>
        <v/>
      </c>
      <c r="D535" s="5" t="str">
        <f>IF($J535="","",INDEX('Detalle individual'!$C:$C,$J535))</f>
        <v/>
      </c>
      <c r="E535" s="5" t="str">
        <f>IF($J535="","",INDEX('Detalle individual'!$D:$D,$J535))</f>
        <v/>
      </c>
      <c r="F535" s="23" t="str">
        <f>IF($J535="","",INDEX('Detalle individual'!$H:$H,$J535))</f>
        <v/>
      </c>
      <c r="G535" s="28" t="str">
        <f>IF($J535="","",INDEX('Detalle individual'!$J:$J,$J535))</f>
        <v/>
      </c>
      <c r="H535" s="28" t="str">
        <f>IF($J535="","",INDEX('Detalle individual'!$L:$L,$J535))</f>
        <v/>
      </c>
      <c r="J535" t="str">
        <f>IFERROR(MATCH(SMALL(Cálculos!$AI$5:$AI$1000,531),Cálculos!$AI$5:$AI$1000,0)+4,"")</f>
        <v/>
      </c>
    </row>
    <row r="536">
      <c r="A536" s="5" t="str">
        <f>IF($J536="","",INDEX('Detalle individual'!$B:$B,$J536))</f>
        <v/>
      </c>
      <c r="B536" s="5" t="str">
        <f>IF($J536="","",INDEX('Detalle individual'!$A:$A,$J536))</f>
        <v/>
      </c>
      <c r="C536" s="5" t="str">
        <f>IF($J536="","",INDEX('Detalle individual'!$E:$E,$J536))</f>
        <v/>
      </c>
      <c r="D536" s="5" t="str">
        <f>IF($J536="","",INDEX('Detalle individual'!$C:$C,$J536))</f>
        <v/>
      </c>
      <c r="E536" s="5" t="str">
        <f>IF($J536="","",INDEX('Detalle individual'!$D:$D,$J536))</f>
        <v/>
      </c>
      <c r="F536" s="23" t="str">
        <f>IF($J536="","",INDEX('Detalle individual'!$H:$H,$J536))</f>
        <v/>
      </c>
      <c r="G536" s="28" t="str">
        <f>IF($J536="","",INDEX('Detalle individual'!$J:$J,$J536))</f>
        <v/>
      </c>
      <c r="H536" s="28" t="str">
        <f>IF($J536="","",INDEX('Detalle individual'!$L:$L,$J536))</f>
        <v/>
      </c>
      <c r="J536" t="str">
        <f>IFERROR(MATCH(SMALL(Cálculos!$AI$5:$AI$1000,532),Cálculos!$AI$5:$AI$1000,0)+4,"")</f>
        <v/>
      </c>
    </row>
    <row r="537">
      <c r="A537" s="5" t="str">
        <f>IF($J537="","",INDEX('Detalle individual'!$B:$B,$J537))</f>
        <v/>
      </c>
      <c r="B537" s="5" t="str">
        <f>IF($J537="","",INDEX('Detalle individual'!$A:$A,$J537))</f>
        <v/>
      </c>
      <c r="C537" s="5" t="str">
        <f>IF($J537="","",INDEX('Detalle individual'!$E:$E,$J537))</f>
        <v/>
      </c>
      <c r="D537" s="5" t="str">
        <f>IF($J537="","",INDEX('Detalle individual'!$C:$C,$J537))</f>
        <v/>
      </c>
      <c r="E537" s="5" t="str">
        <f>IF($J537="","",INDEX('Detalle individual'!$D:$D,$J537))</f>
        <v/>
      </c>
      <c r="F537" s="23" t="str">
        <f>IF($J537="","",INDEX('Detalle individual'!$H:$H,$J537))</f>
        <v/>
      </c>
      <c r="G537" s="28" t="str">
        <f>IF($J537="","",INDEX('Detalle individual'!$J:$J,$J537))</f>
        <v/>
      </c>
      <c r="H537" s="28" t="str">
        <f>IF($J537="","",INDEX('Detalle individual'!$L:$L,$J537))</f>
        <v/>
      </c>
      <c r="J537" t="str">
        <f>IFERROR(MATCH(SMALL(Cálculos!$AI$5:$AI$1000,533),Cálculos!$AI$5:$AI$1000,0)+4,"")</f>
        <v/>
      </c>
    </row>
    <row r="538">
      <c r="A538" s="5" t="str">
        <f>IF($J538="","",INDEX('Detalle individual'!$B:$B,$J538))</f>
        <v/>
      </c>
      <c r="B538" s="5" t="str">
        <f>IF($J538="","",INDEX('Detalle individual'!$A:$A,$J538))</f>
        <v/>
      </c>
      <c r="C538" s="5" t="str">
        <f>IF($J538="","",INDEX('Detalle individual'!$E:$E,$J538))</f>
        <v/>
      </c>
      <c r="D538" s="5" t="str">
        <f>IF($J538="","",INDEX('Detalle individual'!$C:$C,$J538))</f>
        <v/>
      </c>
      <c r="E538" s="5" t="str">
        <f>IF($J538="","",INDEX('Detalle individual'!$D:$D,$J538))</f>
        <v/>
      </c>
      <c r="F538" s="23" t="str">
        <f>IF($J538="","",INDEX('Detalle individual'!$H:$H,$J538))</f>
        <v/>
      </c>
      <c r="G538" s="28" t="str">
        <f>IF($J538="","",INDEX('Detalle individual'!$J:$J,$J538))</f>
        <v/>
      </c>
      <c r="H538" s="28" t="str">
        <f>IF($J538="","",INDEX('Detalle individual'!$L:$L,$J538))</f>
        <v/>
      </c>
      <c r="J538" t="str">
        <f>IFERROR(MATCH(SMALL(Cálculos!$AI$5:$AI$1000,534),Cálculos!$AI$5:$AI$1000,0)+4,"")</f>
        <v/>
      </c>
    </row>
    <row r="539">
      <c r="A539" s="5" t="str">
        <f>IF($J539="","",INDEX('Detalle individual'!$B:$B,$J539))</f>
        <v/>
      </c>
      <c r="B539" s="5" t="str">
        <f>IF($J539="","",INDEX('Detalle individual'!$A:$A,$J539))</f>
        <v/>
      </c>
      <c r="C539" s="5" t="str">
        <f>IF($J539="","",INDEX('Detalle individual'!$E:$E,$J539))</f>
        <v/>
      </c>
      <c r="D539" s="5" t="str">
        <f>IF($J539="","",INDEX('Detalle individual'!$C:$C,$J539))</f>
        <v/>
      </c>
      <c r="E539" s="5" t="str">
        <f>IF($J539="","",INDEX('Detalle individual'!$D:$D,$J539))</f>
        <v/>
      </c>
      <c r="F539" s="23" t="str">
        <f>IF($J539="","",INDEX('Detalle individual'!$H:$H,$J539))</f>
        <v/>
      </c>
      <c r="G539" s="28" t="str">
        <f>IF($J539="","",INDEX('Detalle individual'!$J:$J,$J539))</f>
        <v/>
      </c>
      <c r="H539" s="28" t="str">
        <f>IF($J539="","",INDEX('Detalle individual'!$L:$L,$J539))</f>
        <v/>
      </c>
      <c r="J539" t="str">
        <f>IFERROR(MATCH(SMALL(Cálculos!$AI$5:$AI$1000,535),Cálculos!$AI$5:$AI$1000,0)+4,"")</f>
        <v/>
      </c>
    </row>
    <row r="540">
      <c r="A540" s="5" t="str">
        <f>IF($J540="","",INDEX('Detalle individual'!$B:$B,$J540))</f>
        <v/>
      </c>
      <c r="B540" s="5" t="str">
        <f>IF($J540="","",INDEX('Detalle individual'!$A:$A,$J540))</f>
        <v/>
      </c>
      <c r="C540" s="5" t="str">
        <f>IF($J540="","",INDEX('Detalle individual'!$E:$E,$J540))</f>
        <v/>
      </c>
      <c r="D540" s="5" t="str">
        <f>IF($J540="","",INDEX('Detalle individual'!$C:$C,$J540))</f>
        <v/>
      </c>
      <c r="E540" s="5" t="str">
        <f>IF($J540="","",INDEX('Detalle individual'!$D:$D,$J540))</f>
        <v/>
      </c>
      <c r="F540" s="23" t="str">
        <f>IF($J540="","",INDEX('Detalle individual'!$H:$H,$J540))</f>
        <v/>
      </c>
      <c r="G540" s="28" t="str">
        <f>IF($J540="","",INDEX('Detalle individual'!$J:$J,$J540))</f>
        <v/>
      </c>
      <c r="H540" s="28" t="str">
        <f>IF($J540="","",INDEX('Detalle individual'!$L:$L,$J540))</f>
        <v/>
      </c>
      <c r="J540" t="str">
        <f>IFERROR(MATCH(SMALL(Cálculos!$AI$5:$AI$1000,536),Cálculos!$AI$5:$AI$1000,0)+4,"")</f>
        <v/>
      </c>
    </row>
    <row r="541">
      <c r="A541" s="5" t="str">
        <f>IF($J541="","",INDEX('Detalle individual'!$B:$B,$J541))</f>
        <v/>
      </c>
      <c r="B541" s="5" t="str">
        <f>IF($J541="","",INDEX('Detalle individual'!$A:$A,$J541))</f>
        <v/>
      </c>
      <c r="C541" s="5" t="str">
        <f>IF($J541="","",INDEX('Detalle individual'!$E:$E,$J541))</f>
        <v/>
      </c>
      <c r="D541" s="5" t="str">
        <f>IF($J541="","",INDEX('Detalle individual'!$C:$C,$J541))</f>
        <v/>
      </c>
      <c r="E541" s="5" t="str">
        <f>IF($J541="","",INDEX('Detalle individual'!$D:$D,$J541))</f>
        <v/>
      </c>
      <c r="F541" s="23" t="str">
        <f>IF($J541="","",INDEX('Detalle individual'!$H:$H,$J541))</f>
        <v/>
      </c>
      <c r="G541" s="28" t="str">
        <f>IF($J541="","",INDEX('Detalle individual'!$J:$J,$J541))</f>
        <v/>
      </c>
      <c r="H541" s="28" t="str">
        <f>IF($J541="","",INDEX('Detalle individual'!$L:$L,$J541))</f>
        <v/>
      </c>
      <c r="J541" t="str">
        <f>IFERROR(MATCH(SMALL(Cálculos!$AI$5:$AI$1000,537),Cálculos!$AI$5:$AI$1000,0)+4,"")</f>
        <v/>
      </c>
    </row>
    <row r="542">
      <c r="A542" s="5" t="str">
        <f>IF($J542="","",INDEX('Detalle individual'!$B:$B,$J542))</f>
        <v/>
      </c>
      <c r="B542" s="5" t="str">
        <f>IF($J542="","",INDEX('Detalle individual'!$A:$A,$J542))</f>
        <v/>
      </c>
      <c r="C542" s="5" t="str">
        <f>IF($J542="","",INDEX('Detalle individual'!$E:$E,$J542))</f>
        <v/>
      </c>
      <c r="D542" s="5" t="str">
        <f>IF($J542="","",INDEX('Detalle individual'!$C:$C,$J542))</f>
        <v/>
      </c>
      <c r="E542" s="5" t="str">
        <f>IF($J542="","",INDEX('Detalle individual'!$D:$D,$J542))</f>
        <v/>
      </c>
      <c r="F542" s="23" t="str">
        <f>IF($J542="","",INDEX('Detalle individual'!$H:$H,$J542))</f>
        <v/>
      </c>
      <c r="G542" s="28" t="str">
        <f>IF($J542="","",INDEX('Detalle individual'!$J:$J,$J542))</f>
        <v/>
      </c>
      <c r="H542" s="28" t="str">
        <f>IF($J542="","",INDEX('Detalle individual'!$L:$L,$J542))</f>
        <v/>
      </c>
      <c r="J542" t="str">
        <f>IFERROR(MATCH(SMALL(Cálculos!$AI$5:$AI$1000,538),Cálculos!$AI$5:$AI$1000,0)+4,"")</f>
        <v/>
      </c>
    </row>
    <row r="543">
      <c r="A543" s="5" t="str">
        <f>IF($J543="","",INDEX('Detalle individual'!$B:$B,$J543))</f>
        <v/>
      </c>
      <c r="B543" s="5" t="str">
        <f>IF($J543="","",INDEX('Detalle individual'!$A:$A,$J543))</f>
        <v/>
      </c>
      <c r="C543" s="5" t="str">
        <f>IF($J543="","",INDEX('Detalle individual'!$E:$E,$J543))</f>
        <v/>
      </c>
      <c r="D543" s="5" t="str">
        <f>IF($J543="","",INDEX('Detalle individual'!$C:$C,$J543))</f>
        <v/>
      </c>
      <c r="E543" s="5" t="str">
        <f>IF($J543="","",INDEX('Detalle individual'!$D:$D,$J543))</f>
        <v/>
      </c>
      <c r="F543" s="23" t="str">
        <f>IF($J543="","",INDEX('Detalle individual'!$H:$H,$J543))</f>
        <v/>
      </c>
      <c r="G543" s="28" t="str">
        <f>IF($J543="","",INDEX('Detalle individual'!$J:$J,$J543))</f>
        <v/>
      </c>
      <c r="H543" s="28" t="str">
        <f>IF($J543="","",INDEX('Detalle individual'!$L:$L,$J543))</f>
        <v/>
      </c>
      <c r="J543" t="str">
        <f>IFERROR(MATCH(SMALL(Cálculos!$AI$5:$AI$1000,539),Cálculos!$AI$5:$AI$1000,0)+4,"")</f>
        <v/>
      </c>
    </row>
    <row r="544">
      <c r="A544" s="5" t="str">
        <f>IF($J544="","",INDEX('Detalle individual'!$B:$B,$J544))</f>
        <v/>
      </c>
      <c r="B544" s="5" t="str">
        <f>IF($J544="","",INDEX('Detalle individual'!$A:$A,$J544))</f>
        <v/>
      </c>
      <c r="C544" s="5" t="str">
        <f>IF($J544="","",INDEX('Detalle individual'!$E:$E,$J544))</f>
        <v/>
      </c>
      <c r="D544" s="5" t="str">
        <f>IF($J544="","",INDEX('Detalle individual'!$C:$C,$J544))</f>
        <v/>
      </c>
      <c r="E544" s="5" t="str">
        <f>IF($J544="","",INDEX('Detalle individual'!$D:$D,$J544))</f>
        <v/>
      </c>
      <c r="F544" s="23" t="str">
        <f>IF($J544="","",INDEX('Detalle individual'!$H:$H,$J544))</f>
        <v/>
      </c>
      <c r="G544" s="28" t="str">
        <f>IF($J544="","",INDEX('Detalle individual'!$J:$J,$J544))</f>
        <v/>
      </c>
      <c r="H544" s="28" t="str">
        <f>IF($J544="","",INDEX('Detalle individual'!$L:$L,$J544))</f>
        <v/>
      </c>
      <c r="J544" t="str">
        <f>IFERROR(MATCH(SMALL(Cálculos!$AI$5:$AI$1000,540),Cálculos!$AI$5:$AI$1000,0)+4,"")</f>
        <v/>
      </c>
    </row>
    <row r="545">
      <c r="A545" s="5" t="str">
        <f>IF($J545="","",INDEX('Detalle individual'!$B:$B,$J545))</f>
        <v/>
      </c>
      <c r="B545" s="5" t="str">
        <f>IF($J545="","",INDEX('Detalle individual'!$A:$A,$J545))</f>
        <v/>
      </c>
      <c r="C545" s="5" t="str">
        <f>IF($J545="","",INDEX('Detalle individual'!$E:$E,$J545))</f>
        <v/>
      </c>
      <c r="D545" s="5" t="str">
        <f>IF($J545="","",INDEX('Detalle individual'!$C:$C,$J545))</f>
        <v/>
      </c>
      <c r="E545" s="5" t="str">
        <f>IF($J545="","",INDEX('Detalle individual'!$D:$D,$J545))</f>
        <v/>
      </c>
      <c r="F545" s="23" t="str">
        <f>IF($J545="","",INDEX('Detalle individual'!$H:$H,$J545))</f>
        <v/>
      </c>
      <c r="G545" s="28" t="str">
        <f>IF($J545="","",INDEX('Detalle individual'!$J:$J,$J545))</f>
        <v/>
      </c>
      <c r="H545" s="28" t="str">
        <f>IF($J545="","",INDEX('Detalle individual'!$L:$L,$J545))</f>
        <v/>
      </c>
      <c r="J545" t="str">
        <f>IFERROR(MATCH(SMALL(Cálculos!$AI$5:$AI$1000,541),Cálculos!$AI$5:$AI$1000,0)+4,"")</f>
        <v/>
      </c>
    </row>
    <row r="546">
      <c r="A546" s="5" t="str">
        <f>IF($J546="","",INDEX('Detalle individual'!$B:$B,$J546))</f>
        <v/>
      </c>
      <c r="B546" s="5" t="str">
        <f>IF($J546="","",INDEX('Detalle individual'!$A:$A,$J546))</f>
        <v/>
      </c>
      <c r="C546" s="5" t="str">
        <f>IF($J546="","",INDEX('Detalle individual'!$E:$E,$J546))</f>
        <v/>
      </c>
      <c r="D546" s="5" t="str">
        <f>IF($J546="","",INDEX('Detalle individual'!$C:$C,$J546))</f>
        <v/>
      </c>
      <c r="E546" s="5" t="str">
        <f>IF($J546="","",INDEX('Detalle individual'!$D:$D,$J546))</f>
        <v/>
      </c>
      <c r="F546" s="23" t="str">
        <f>IF($J546="","",INDEX('Detalle individual'!$H:$H,$J546))</f>
        <v/>
      </c>
      <c r="G546" s="28" t="str">
        <f>IF($J546="","",INDEX('Detalle individual'!$J:$J,$J546))</f>
        <v/>
      </c>
      <c r="H546" s="28" t="str">
        <f>IF($J546="","",INDEX('Detalle individual'!$L:$L,$J546))</f>
        <v/>
      </c>
      <c r="J546" t="str">
        <f>IFERROR(MATCH(SMALL(Cálculos!$AI$5:$AI$1000,542),Cálculos!$AI$5:$AI$1000,0)+4,"")</f>
        <v/>
      </c>
    </row>
    <row r="547">
      <c r="A547" s="5" t="str">
        <f>IF($J547="","",INDEX('Detalle individual'!$B:$B,$J547))</f>
        <v/>
      </c>
      <c r="B547" s="5" t="str">
        <f>IF($J547="","",INDEX('Detalle individual'!$A:$A,$J547))</f>
        <v/>
      </c>
      <c r="C547" s="5" t="str">
        <f>IF($J547="","",INDEX('Detalle individual'!$E:$E,$J547))</f>
        <v/>
      </c>
      <c r="D547" s="5" t="str">
        <f>IF($J547="","",INDEX('Detalle individual'!$C:$C,$J547))</f>
        <v/>
      </c>
      <c r="E547" s="5" t="str">
        <f>IF($J547="","",INDEX('Detalle individual'!$D:$D,$J547))</f>
        <v/>
      </c>
      <c r="F547" s="23" t="str">
        <f>IF($J547="","",INDEX('Detalle individual'!$H:$H,$J547))</f>
        <v/>
      </c>
      <c r="G547" s="28" t="str">
        <f>IF($J547="","",INDEX('Detalle individual'!$J:$J,$J547))</f>
        <v/>
      </c>
      <c r="H547" s="28" t="str">
        <f>IF($J547="","",INDEX('Detalle individual'!$L:$L,$J547))</f>
        <v/>
      </c>
      <c r="J547" t="str">
        <f>IFERROR(MATCH(SMALL(Cálculos!$AI$5:$AI$1000,543),Cálculos!$AI$5:$AI$1000,0)+4,"")</f>
        <v/>
      </c>
    </row>
    <row r="548">
      <c r="A548" s="5" t="str">
        <f>IF($J548="","",INDEX('Detalle individual'!$B:$B,$J548))</f>
        <v/>
      </c>
      <c r="B548" s="5" t="str">
        <f>IF($J548="","",INDEX('Detalle individual'!$A:$A,$J548))</f>
        <v/>
      </c>
      <c r="C548" s="5" t="str">
        <f>IF($J548="","",INDEX('Detalle individual'!$E:$E,$J548))</f>
        <v/>
      </c>
      <c r="D548" s="5" t="str">
        <f>IF($J548="","",INDEX('Detalle individual'!$C:$C,$J548))</f>
        <v/>
      </c>
      <c r="E548" s="5" t="str">
        <f>IF($J548="","",INDEX('Detalle individual'!$D:$D,$J548))</f>
        <v/>
      </c>
      <c r="F548" s="23" t="str">
        <f>IF($J548="","",INDEX('Detalle individual'!$H:$H,$J548))</f>
        <v/>
      </c>
      <c r="G548" s="28" t="str">
        <f>IF($J548="","",INDEX('Detalle individual'!$J:$J,$J548))</f>
        <v/>
      </c>
      <c r="H548" s="28" t="str">
        <f>IF($J548="","",INDEX('Detalle individual'!$L:$L,$J548))</f>
        <v/>
      </c>
      <c r="J548" t="str">
        <f>IFERROR(MATCH(SMALL(Cálculos!$AI$5:$AI$1000,544),Cálculos!$AI$5:$AI$1000,0)+4,"")</f>
        <v/>
      </c>
    </row>
    <row r="549">
      <c r="A549" s="5" t="str">
        <f>IF($J549="","",INDEX('Detalle individual'!$B:$B,$J549))</f>
        <v/>
      </c>
      <c r="B549" s="5" t="str">
        <f>IF($J549="","",INDEX('Detalle individual'!$A:$A,$J549))</f>
        <v/>
      </c>
      <c r="C549" s="5" t="str">
        <f>IF($J549="","",INDEX('Detalle individual'!$E:$E,$J549))</f>
        <v/>
      </c>
      <c r="D549" s="5" t="str">
        <f>IF($J549="","",INDEX('Detalle individual'!$C:$C,$J549))</f>
        <v/>
      </c>
      <c r="E549" s="5" t="str">
        <f>IF($J549="","",INDEX('Detalle individual'!$D:$D,$J549))</f>
        <v/>
      </c>
      <c r="F549" s="23" t="str">
        <f>IF($J549="","",INDEX('Detalle individual'!$H:$H,$J549))</f>
        <v/>
      </c>
      <c r="G549" s="28" t="str">
        <f>IF($J549="","",INDEX('Detalle individual'!$J:$J,$J549))</f>
        <v/>
      </c>
      <c r="H549" s="28" t="str">
        <f>IF($J549="","",INDEX('Detalle individual'!$L:$L,$J549))</f>
        <v/>
      </c>
      <c r="J549" t="str">
        <f>IFERROR(MATCH(SMALL(Cálculos!$AI$5:$AI$1000,545),Cálculos!$AI$5:$AI$1000,0)+4,"")</f>
        <v/>
      </c>
    </row>
    <row r="550">
      <c r="A550" s="5" t="str">
        <f>IF($J550="","",INDEX('Detalle individual'!$B:$B,$J550))</f>
        <v/>
      </c>
      <c r="B550" s="5" t="str">
        <f>IF($J550="","",INDEX('Detalle individual'!$A:$A,$J550))</f>
        <v/>
      </c>
      <c r="C550" s="5" t="str">
        <f>IF($J550="","",INDEX('Detalle individual'!$E:$E,$J550))</f>
        <v/>
      </c>
      <c r="D550" s="5" t="str">
        <f>IF($J550="","",INDEX('Detalle individual'!$C:$C,$J550))</f>
        <v/>
      </c>
      <c r="E550" s="5" t="str">
        <f>IF($J550="","",INDEX('Detalle individual'!$D:$D,$J550))</f>
        <v/>
      </c>
      <c r="F550" s="23" t="str">
        <f>IF($J550="","",INDEX('Detalle individual'!$H:$H,$J550))</f>
        <v/>
      </c>
      <c r="G550" s="28" t="str">
        <f>IF($J550="","",INDEX('Detalle individual'!$J:$J,$J550))</f>
        <v/>
      </c>
      <c r="H550" s="28" t="str">
        <f>IF($J550="","",INDEX('Detalle individual'!$L:$L,$J550))</f>
        <v/>
      </c>
      <c r="J550" t="str">
        <f>IFERROR(MATCH(SMALL(Cálculos!$AI$5:$AI$1000,546),Cálculos!$AI$5:$AI$1000,0)+4,"")</f>
        <v/>
      </c>
    </row>
    <row r="551">
      <c r="A551" s="5" t="str">
        <f>IF($J551="","",INDEX('Detalle individual'!$B:$B,$J551))</f>
        <v/>
      </c>
      <c r="B551" s="5" t="str">
        <f>IF($J551="","",INDEX('Detalle individual'!$A:$A,$J551))</f>
        <v/>
      </c>
      <c r="C551" s="5" t="str">
        <f>IF($J551="","",INDEX('Detalle individual'!$E:$E,$J551))</f>
        <v/>
      </c>
      <c r="D551" s="5" t="str">
        <f>IF($J551="","",INDEX('Detalle individual'!$C:$C,$J551))</f>
        <v/>
      </c>
      <c r="E551" s="5" t="str">
        <f>IF($J551="","",INDEX('Detalle individual'!$D:$D,$J551))</f>
        <v/>
      </c>
      <c r="F551" s="23" t="str">
        <f>IF($J551="","",INDEX('Detalle individual'!$H:$H,$J551))</f>
        <v/>
      </c>
      <c r="G551" s="28" t="str">
        <f>IF($J551="","",INDEX('Detalle individual'!$J:$J,$J551))</f>
        <v/>
      </c>
      <c r="H551" s="28" t="str">
        <f>IF($J551="","",INDEX('Detalle individual'!$L:$L,$J551))</f>
        <v/>
      </c>
      <c r="J551" t="str">
        <f>IFERROR(MATCH(SMALL(Cálculos!$AI$5:$AI$1000,547),Cálculos!$AI$5:$AI$1000,0)+4,"")</f>
        <v/>
      </c>
    </row>
    <row r="552">
      <c r="A552" s="5" t="str">
        <f>IF($J552="","",INDEX('Detalle individual'!$B:$B,$J552))</f>
        <v/>
      </c>
      <c r="B552" s="5" t="str">
        <f>IF($J552="","",INDEX('Detalle individual'!$A:$A,$J552))</f>
        <v/>
      </c>
      <c r="C552" s="5" t="str">
        <f>IF($J552="","",INDEX('Detalle individual'!$E:$E,$J552))</f>
        <v/>
      </c>
      <c r="D552" s="5" t="str">
        <f>IF($J552="","",INDEX('Detalle individual'!$C:$C,$J552))</f>
        <v/>
      </c>
      <c r="E552" s="5" t="str">
        <f>IF($J552="","",INDEX('Detalle individual'!$D:$D,$J552))</f>
        <v/>
      </c>
      <c r="F552" s="23" t="str">
        <f>IF($J552="","",INDEX('Detalle individual'!$H:$H,$J552))</f>
        <v/>
      </c>
      <c r="G552" s="28" t="str">
        <f>IF($J552="","",INDEX('Detalle individual'!$J:$J,$J552))</f>
        <v/>
      </c>
      <c r="H552" s="28" t="str">
        <f>IF($J552="","",INDEX('Detalle individual'!$L:$L,$J552))</f>
        <v/>
      </c>
      <c r="J552" t="str">
        <f>IFERROR(MATCH(SMALL(Cálculos!$AI$5:$AI$1000,548),Cálculos!$AI$5:$AI$1000,0)+4,"")</f>
        <v/>
      </c>
    </row>
    <row r="553">
      <c r="A553" s="5" t="str">
        <f>IF($J553="","",INDEX('Detalle individual'!$B:$B,$J553))</f>
        <v/>
      </c>
      <c r="B553" s="5" t="str">
        <f>IF($J553="","",INDEX('Detalle individual'!$A:$A,$J553))</f>
        <v/>
      </c>
      <c r="C553" s="5" t="str">
        <f>IF($J553="","",INDEX('Detalle individual'!$E:$E,$J553))</f>
        <v/>
      </c>
      <c r="D553" s="5" t="str">
        <f>IF($J553="","",INDEX('Detalle individual'!$C:$C,$J553))</f>
        <v/>
      </c>
      <c r="E553" s="5" t="str">
        <f>IF($J553="","",INDEX('Detalle individual'!$D:$D,$J553))</f>
        <v/>
      </c>
      <c r="F553" s="23" t="str">
        <f>IF($J553="","",INDEX('Detalle individual'!$H:$H,$J553))</f>
        <v/>
      </c>
      <c r="G553" s="28" t="str">
        <f>IF($J553="","",INDEX('Detalle individual'!$J:$J,$J553))</f>
        <v/>
      </c>
      <c r="H553" s="28" t="str">
        <f>IF($J553="","",INDEX('Detalle individual'!$L:$L,$J553))</f>
        <v/>
      </c>
      <c r="J553" t="str">
        <f>IFERROR(MATCH(SMALL(Cálculos!$AI$5:$AI$1000,549),Cálculos!$AI$5:$AI$1000,0)+4,"")</f>
        <v/>
      </c>
    </row>
    <row r="554">
      <c r="A554" s="5" t="str">
        <f>IF($J554="","",INDEX('Detalle individual'!$B:$B,$J554))</f>
        <v/>
      </c>
      <c r="B554" s="5" t="str">
        <f>IF($J554="","",INDEX('Detalle individual'!$A:$A,$J554))</f>
        <v/>
      </c>
      <c r="C554" s="5" t="str">
        <f>IF($J554="","",INDEX('Detalle individual'!$E:$E,$J554))</f>
        <v/>
      </c>
      <c r="D554" s="5" t="str">
        <f>IF($J554="","",INDEX('Detalle individual'!$C:$C,$J554))</f>
        <v/>
      </c>
      <c r="E554" s="5" t="str">
        <f>IF($J554="","",INDEX('Detalle individual'!$D:$D,$J554))</f>
        <v/>
      </c>
      <c r="F554" s="23" t="str">
        <f>IF($J554="","",INDEX('Detalle individual'!$H:$H,$J554))</f>
        <v/>
      </c>
      <c r="G554" s="28" t="str">
        <f>IF($J554="","",INDEX('Detalle individual'!$J:$J,$J554))</f>
        <v/>
      </c>
      <c r="H554" s="28" t="str">
        <f>IF($J554="","",INDEX('Detalle individual'!$L:$L,$J554))</f>
        <v/>
      </c>
      <c r="J554" t="str">
        <f>IFERROR(MATCH(SMALL(Cálculos!$AI$5:$AI$1000,550),Cálculos!$AI$5:$AI$1000,0)+4,"")</f>
        <v/>
      </c>
    </row>
    <row r="555">
      <c r="A555" s="5" t="str">
        <f>IF($J555="","",INDEX('Detalle individual'!$B:$B,$J555))</f>
        <v/>
      </c>
      <c r="B555" s="5" t="str">
        <f>IF($J555="","",INDEX('Detalle individual'!$A:$A,$J555))</f>
        <v/>
      </c>
      <c r="C555" s="5" t="str">
        <f>IF($J555="","",INDEX('Detalle individual'!$E:$E,$J555))</f>
        <v/>
      </c>
      <c r="D555" s="5" t="str">
        <f>IF($J555="","",INDEX('Detalle individual'!$C:$C,$J555))</f>
        <v/>
      </c>
      <c r="E555" s="5" t="str">
        <f>IF($J555="","",INDEX('Detalle individual'!$D:$D,$J555))</f>
        <v/>
      </c>
      <c r="F555" s="23" t="str">
        <f>IF($J555="","",INDEX('Detalle individual'!$H:$H,$J555))</f>
        <v/>
      </c>
      <c r="G555" s="28" t="str">
        <f>IF($J555="","",INDEX('Detalle individual'!$J:$J,$J555))</f>
        <v/>
      </c>
      <c r="H555" s="28" t="str">
        <f>IF($J555="","",INDEX('Detalle individual'!$L:$L,$J555))</f>
        <v/>
      </c>
      <c r="J555" t="str">
        <f>IFERROR(MATCH(SMALL(Cálculos!$AI$5:$AI$1000,551),Cálculos!$AI$5:$AI$1000,0)+4,"")</f>
        <v/>
      </c>
    </row>
    <row r="556">
      <c r="A556" s="5" t="str">
        <f>IF($J556="","",INDEX('Detalle individual'!$B:$B,$J556))</f>
        <v/>
      </c>
      <c r="B556" s="5" t="str">
        <f>IF($J556="","",INDEX('Detalle individual'!$A:$A,$J556))</f>
        <v/>
      </c>
      <c r="C556" s="5" t="str">
        <f>IF($J556="","",INDEX('Detalle individual'!$E:$E,$J556))</f>
        <v/>
      </c>
      <c r="D556" s="5" t="str">
        <f>IF($J556="","",INDEX('Detalle individual'!$C:$C,$J556))</f>
        <v/>
      </c>
      <c r="E556" s="5" t="str">
        <f>IF($J556="","",INDEX('Detalle individual'!$D:$D,$J556))</f>
        <v/>
      </c>
      <c r="F556" s="23" t="str">
        <f>IF($J556="","",INDEX('Detalle individual'!$H:$H,$J556))</f>
        <v/>
      </c>
      <c r="G556" s="28" t="str">
        <f>IF($J556="","",INDEX('Detalle individual'!$J:$J,$J556))</f>
        <v/>
      </c>
      <c r="H556" s="28" t="str">
        <f>IF($J556="","",INDEX('Detalle individual'!$L:$L,$J556))</f>
        <v/>
      </c>
      <c r="J556" t="str">
        <f>IFERROR(MATCH(SMALL(Cálculos!$AI$5:$AI$1000,552),Cálculos!$AI$5:$AI$1000,0)+4,"")</f>
        <v/>
      </c>
    </row>
    <row r="557">
      <c r="A557" s="5" t="str">
        <f>IF($J557="","",INDEX('Detalle individual'!$B:$B,$J557))</f>
        <v/>
      </c>
      <c r="B557" s="5" t="str">
        <f>IF($J557="","",INDEX('Detalle individual'!$A:$A,$J557))</f>
        <v/>
      </c>
      <c r="C557" s="5" t="str">
        <f>IF($J557="","",INDEX('Detalle individual'!$E:$E,$J557))</f>
        <v/>
      </c>
      <c r="D557" s="5" t="str">
        <f>IF($J557="","",INDEX('Detalle individual'!$C:$C,$J557))</f>
        <v/>
      </c>
      <c r="E557" s="5" t="str">
        <f>IF($J557="","",INDEX('Detalle individual'!$D:$D,$J557))</f>
        <v/>
      </c>
      <c r="F557" s="23" t="str">
        <f>IF($J557="","",INDEX('Detalle individual'!$H:$H,$J557))</f>
        <v/>
      </c>
      <c r="G557" s="28" t="str">
        <f>IF($J557="","",INDEX('Detalle individual'!$J:$J,$J557))</f>
        <v/>
      </c>
      <c r="H557" s="28" t="str">
        <f>IF($J557="","",INDEX('Detalle individual'!$L:$L,$J557))</f>
        <v/>
      </c>
      <c r="J557" t="str">
        <f>IFERROR(MATCH(SMALL(Cálculos!$AI$5:$AI$1000,553),Cálculos!$AI$5:$AI$1000,0)+4,"")</f>
        <v/>
      </c>
    </row>
    <row r="558">
      <c r="A558" s="5" t="str">
        <f>IF($J558="","",INDEX('Detalle individual'!$B:$B,$J558))</f>
        <v/>
      </c>
      <c r="B558" s="5" t="str">
        <f>IF($J558="","",INDEX('Detalle individual'!$A:$A,$J558))</f>
        <v/>
      </c>
      <c r="C558" s="5" t="str">
        <f>IF($J558="","",INDEX('Detalle individual'!$E:$E,$J558))</f>
        <v/>
      </c>
      <c r="D558" s="5" t="str">
        <f>IF($J558="","",INDEX('Detalle individual'!$C:$C,$J558))</f>
        <v/>
      </c>
      <c r="E558" s="5" t="str">
        <f>IF($J558="","",INDEX('Detalle individual'!$D:$D,$J558))</f>
        <v/>
      </c>
      <c r="F558" s="23" t="str">
        <f>IF($J558="","",INDEX('Detalle individual'!$H:$H,$J558))</f>
        <v/>
      </c>
      <c r="G558" s="28" t="str">
        <f>IF($J558="","",INDEX('Detalle individual'!$J:$J,$J558))</f>
        <v/>
      </c>
      <c r="H558" s="28" t="str">
        <f>IF($J558="","",INDEX('Detalle individual'!$L:$L,$J558))</f>
        <v/>
      </c>
      <c r="J558" t="str">
        <f>IFERROR(MATCH(SMALL(Cálculos!$AI$5:$AI$1000,554),Cálculos!$AI$5:$AI$1000,0)+4,"")</f>
        <v/>
      </c>
    </row>
    <row r="559">
      <c r="A559" s="5" t="str">
        <f>IF($J559="","",INDEX('Detalle individual'!$B:$B,$J559))</f>
        <v/>
      </c>
      <c r="B559" s="5" t="str">
        <f>IF($J559="","",INDEX('Detalle individual'!$A:$A,$J559))</f>
        <v/>
      </c>
      <c r="C559" s="5" t="str">
        <f>IF($J559="","",INDEX('Detalle individual'!$E:$E,$J559))</f>
        <v/>
      </c>
      <c r="D559" s="5" t="str">
        <f>IF($J559="","",INDEX('Detalle individual'!$C:$C,$J559))</f>
        <v/>
      </c>
      <c r="E559" s="5" t="str">
        <f>IF($J559="","",INDEX('Detalle individual'!$D:$D,$J559))</f>
        <v/>
      </c>
      <c r="F559" s="23" t="str">
        <f>IF($J559="","",INDEX('Detalle individual'!$H:$H,$J559))</f>
        <v/>
      </c>
      <c r="G559" s="28" t="str">
        <f>IF($J559="","",INDEX('Detalle individual'!$J:$J,$J559))</f>
        <v/>
      </c>
      <c r="H559" s="28" t="str">
        <f>IF($J559="","",INDEX('Detalle individual'!$L:$L,$J559))</f>
        <v/>
      </c>
      <c r="J559" t="str">
        <f>IFERROR(MATCH(SMALL(Cálculos!$AI$5:$AI$1000,555),Cálculos!$AI$5:$AI$1000,0)+4,"")</f>
        <v/>
      </c>
    </row>
    <row r="560">
      <c r="A560" s="5" t="str">
        <f>IF($J560="","",INDEX('Detalle individual'!$B:$B,$J560))</f>
        <v/>
      </c>
      <c r="B560" s="5" t="str">
        <f>IF($J560="","",INDEX('Detalle individual'!$A:$A,$J560))</f>
        <v/>
      </c>
      <c r="C560" s="5" t="str">
        <f>IF($J560="","",INDEX('Detalle individual'!$E:$E,$J560))</f>
        <v/>
      </c>
      <c r="D560" s="5" t="str">
        <f>IF($J560="","",INDEX('Detalle individual'!$C:$C,$J560))</f>
        <v/>
      </c>
      <c r="E560" s="5" t="str">
        <f>IF($J560="","",INDEX('Detalle individual'!$D:$D,$J560))</f>
        <v/>
      </c>
      <c r="F560" s="23" t="str">
        <f>IF($J560="","",INDEX('Detalle individual'!$H:$H,$J560))</f>
        <v/>
      </c>
      <c r="G560" s="28" t="str">
        <f>IF($J560="","",INDEX('Detalle individual'!$J:$J,$J560))</f>
        <v/>
      </c>
      <c r="H560" s="28" t="str">
        <f>IF($J560="","",INDEX('Detalle individual'!$L:$L,$J560))</f>
        <v/>
      </c>
      <c r="J560" t="str">
        <f>IFERROR(MATCH(SMALL(Cálculos!$AI$5:$AI$1000,556),Cálculos!$AI$5:$AI$1000,0)+4,"")</f>
        <v/>
      </c>
    </row>
    <row r="561">
      <c r="A561" s="5" t="str">
        <f>IF($J561="","",INDEX('Detalle individual'!$B:$B,$J561))</f>
        <v/>
      </c>
      <c r="B561" s="5" t="str">
        <f>IF($J561="","",INDEX('Detalle individual'!$A:$A,$J561))</f>
        <v/>
      </c>
      <c r="C561" s="5" t="str">
        <f>IF($J561="","",INDEX('Detalle individual'!$E:$E,$J561))</f>
        <v/>
      </c>
      <c r="D561" s="5" t="str">
        <f>IF($J561="","",INDEX('Detalle individual'!$C:$C,$J561))</f>
        <v/>
      </c>
      <c r="E561" s="5" t="str">
        <f>IF($J561="","",INDEX('Detalle individual'!$D:$D,$J561))</f>
        <v/>
      </c>
      <c r="F561" s="23" t="str">
        <f>IF($J561="","",INDEX('Detalle individual'!$H:$H,$J561))</f>
        <v/>
      </c>
      <c r="G561" s="28" t="str">
        <f>IF($J561="","",INDEX('Detalle individual'!$J:$J,$J561))</f>
        <v/>
      </c>
      <c r="H561" s="28" t="str">
        <f>IF($J561="","",INDEX('Detalle individual'!$L:$L,$J561))</f>
        <v/>
      </c>
      <c r="J561" t="str">
        <f>IFERROR(MATCH(SMALL(Cálculos!$AI$5:$AI$1000,557),Cálculos!$AI$5:$AI$1000,0)+4,"")</f>
        <v/>
      </c>
    </row>
    <row r="562">
      <c r="A562" s="5" t="str">
        <f>IF($J562="","",INDEX('Detalle individual'!$B:$B,$J562))</f>
        <v/>
      </c>
      <c r="B562" s="5" t="str">
        <f>IF($J562="","",INDEX('Detalle individual'!$A:$A,$J562))</f>
        <v/>
      </c>
      <c r="C562" s="5" t="str">
        <f>IF($J562="","",INDEX('Detalle individual'!$E:$E,$J562))</f>
        <v/>
      </c>
      <c r="D562" s="5" t="str">
        <f>IF($J562="","",INDEX('Detalle individual'!$C:$C,$J562))</f>
        <v/>
      </c>
      <c r="E562" s="5" t="str">
        <f>IF($J562="","",INDEX('Detalle individual'!$D:$D,$J562))</f>
        <v/>
      </c>
      <c r="F562" s="23" t="str">
        <f>IF($J562="","",INDEX('Detalle individual'!$H:$H,$J562))</f>
        <v/>
      </c>
      <c r="G562" s="28" t="str">
        <f>IF($J562="","",INDEX('Detalle individual'!$J:$J,$J562))</f>
        <v/>
      </c>
      <c r="H562" s="28" t="str">
        <f>IF($J562="","",INDEX('Detalle individual'!$L:$L,$J562))</f>
        <v/>
      </c>
      <c r="J562" t="str">
        <f>IFERROR(MATCH(SMALL(Cálculos!$AI$5:$AI$1000,558),Cálculos!$AI$5:$AI$1000,0)+4,"")</f>
        <v/>
      </c>
    </row>
    <row r="563">
      <c r="A563" s="5" t="str">
        <f>IF($J563="","",INDEX('Detalle individual'!$B:$B,$J563))</f>
        <v/>
      </c>
      <c r="B563" s="5" t="str">
        <f>IF($J563="","",INDEX('Detalle individual'!$A:$A,$J563))</f>
        <v/>
      </c>
      <c r="C563" s="5" t="str">
        <f>IF($J563="","",INDEX('Detalle individual'!$E:$E,$J563))</f>
        <v/>
      </c>
      <c r="D563" s="5" t="str">
        <f>IF($J563="","",INDEX('Detalle individual'!$C:$C,$J563))</f>
        <v/>
      </c>
      <c r="E563" s="5" t="str">
        <f>IF($J563="","",INDEX('Detalle individual'!$D:$D,$J563))</f>
        <v/>
      </c>
      <c r="F563" s="23" t="str">
        <f>IF($J563="","",INDEX('Detalle individual'!$H:$H,$J563))</f>
        <v/>
      </c>
      <c r="G563" s="28" t="str">
        <f>IF($J563="","",INDEX('Detalle individual'!$J:$J,$J563))</f>
        <v/>
      </c>
      <c r="H563" s="28" t="str">
        <f>IF($J563="","",INDEX('Detalle individual'!$L:$L,$J563))</f>
        <v/>
      </c>
      <c r="J563" t="str">
        <f>IFERROR(MATCH(SMALL(Cálculos!$AI$5:$AI$1000,559),Cálculos!$AI$5:$AI$1000,0)+4,"")</f>
        <v/>
      </c>
    </row>
    <row r="564">
      <c r="A564" s="5" t="str">
        <f>IF($J564="","",INDEX('Detalle individual'!$B:$B,$J564))</f>
        <v/>
      </c>
      <c r="B564" s="5" t="str">
        <f>IF($J564="","",INDEX('Detalle individual'!$A:$A,$J564))</f>
        <v/>
      </c>
      <c r="C564" s="5" t="str">
        <f>IF($J564="","",INDEX('Detalle individual'!$E:$E,$J564))</f>
        <v/>
      </c>
      <c r="D564" s="5" t="str">
        <f>IF($J564="","",INDEX('Detalle individual'!$C:$C,$J564))</f>
        <v/>
      </c>
      <c r="E564" s="5" t="str">
        <f>IF($J564="","",INDEX('Detalle individual'!$D:$D,$J564))</f>
        <v/>
      </c>
      <c r="F564" s="23" t="str">
        <f>IF($J564="","",INDEX('Detalle individual'!$H:$H,$J564))</f>
        <v/>
      </c>
      <c r="G564" s="28" t="str">
        <f>IF($J564="","",INDEX('Detalle individual'!$J:$J,$J564))</f>
        <v/>
      </c>
      <c r="H564" s="28" t="str">
        <f>IF($J564="","",INDEX('Detalle individual'!$L:$L,$J564))</f>
        <v/>
      </c>
      <c r="J564" t="str">
        <f>IFERROR(MATCH(SMALL(Cálculos!$AI$5:$AI$1000,560),Cálculos!$AI$5:$AI$1000,0)+4,"")</f>
        <v/>
      </c>
    </row>
    <row r="565">
      <c r="A565" s="5" t="str">
        <f>IF($J565="","",INDEX('Detalle individual'!$B:$B,$J565))</f>
        <v/>
      </c>
      <c r="B565" s="5" t="str">
        <f>IF($J565="","",INDEX('Detalle individual'!$A:$A,$J565))</f>
        <v/>
      </c>
      <c r="C565" s="5" t="str">
        <f>IF($J565="","",INDEX('Detalle individual'!$E:$E,$J565))</f>
        <v/>
      </c>
      <c r="D565" s="5" t="str">
        <f>IF($J565="","",INDEX('Detalle individual'!$C:$C,$J565))</f>
        <v/>
      </c>
      <c r="E565" s="5" t="str">
        <f>IF($J565="","",INDEX('Detalle individual'!$D:$D,$J565))</f>
        <v/>
      </c>
      <c r="F565" s="23" t="str">
        <f>IF($J565="","",INDEX('Detalle individual'!$H:$H,$J565))</f>
        <v/>
      </c>
      <c r="G565" s="28" t="str">
        <f>IF($J565="","",INDEX('Detalle individual'!$J:$J,$J565))</f>
        <v/>
      </c>
      <c r="H565" s="28" t="str">
        <f>IF($J565="","",INDEX('Detalle individual'!$L:$L,$J565))</f>
        <v/>
      </c>
      <c r="J565" t="str">
        <f>IFERROR(MATCH(SMALL(Cálculos!$AI$5:$AI$1000,561),Cálculos!$AI$5:$AI$1000,0)+4,"")</f>
        <v/>
      </c>
    </row>
    <row r="566">
      <c r="A566" s="5" t="str">
        <f>IF($J566="","",INDEX('Detalle individual'!$B:$B,$J566))</f>
        <v/>
      </c>
      <c r="B566" s="5" t="str">
        <f>IF($J566="","",INDEX('Detalle individual'!$A:$A,$J566))</f>
        <v/>
      </c>
      <c r="C566" s="5" t="str">
        <f>IF($J566="","",INDEX('Detalle individual'!$E:$E,$J566))</f>
        <v/>
      </c>
      <c r="D566" s="5" t="str">
        <f>IF($J566="","",INDEX('Detalle individual'!$C:$C,$J566))</f>
        <v/>
      </c>
      <c r="E566" s="5" t="str">
        <f>IF($J566="","",INDEX('Detalle individual'!$D:$D,$J566))</f>
        <v/>
      </c>
      <c r="F566" s="23" t="str">
        <f>IF($J566="","",INDEX('Detalle individual'!$H:$H,$J566))</f>
        <v/>
      </c>
      <c r="G566" s="28" t="str">
        <f>IF($J566="","",INDEX('Detalle individual'!$J:$J,$J566))</f>
        <v/>
      </c>
      <c r="H566" s="28" t="str">
        <f>IF($J566="","",INDEX('Detalle individual'!$L:$L,$J566))</f>
        <v/>
      </c>
      <c r="J566" t="str">
        <f>IFERROR(MATCH(SMALL(Cálculos!$AI$5:$AI$1000,562),Cálculos!$AI$5:$AI$1000,0)+4,"")</f>
        <v/>
      </c>
    </row>
    <row r="567">
      <c r="A567" s="5" t="str">
        <f>IF($J567="","",INDEX('Detalle individual'!$B:$B,$J567))</f>
        <v/>
      </c>
      <c r="B567" s="5" t="str">
        <f>IF($J567="","",INDEX('Detalle individual'!$A:$A,$J567))</f>
        <v/>
      </c>
      <c r="C567" s="5" t="str">
        <f>IF($J567="","",INDEX('Detalle individual'!$E:$E,$J567))</f>
        <v/>
      </c>
      <c r="D567" s="5" t="str">
        <f>IF($J567="","",INDEX('Detalle individual'!$C:$C,$J567))</f>
        <v/>
      </c>
      <c r="E567" s="5" t="str">
        <f>IF($J567="","",INDEX('Detalle individual'!$D:$D,$J567))</f>
        <v/>
      </c>
      <c r="F567" s="23" t="str">
        <f>IF($J567="","",INDEX('Detalle individual'!$H:$H,$J567))</f>
        <v/>
      </c>
      <c r="G567" s="28" t="str">
        <f>IF($J567="","",INDEX('Detalle individual'!$J:$J,$J567))</f>
        <v/>
      </c>
      <c r="H567" s="28" t="str">
        <f>IF($J567="","",INDEX('Detalle individual'!$L:$L,$J567))</f>
        <v/>
      </c>
      <c r="J567" t="str">
        <f>IFERROR(MATCH(SMALL(Cálculos!$AI$5:$AI$1000,563),Cálculos!$AI$5:$AI$1000,0)+4,"")</f>
        <v/>
      </c>
    </row>
    <row r="568">
      <c r="A568" s="5" t="str">
        <f>IF($J568="","",INDEX('Detalle individual'!$B:$B,$J568))</f>
        <v/>
      </c>
      <c r="B568" s="5" t="str">
        <f>IF($J568="","",INDEX('Detalle individual'!$A:$A,$J568))</f>
        <v/>
      </c>
      <c r="C568" s="5" t="str">
        <f>IF($J568="","",INDEX('Detalle individual'!$E:$E,$J568))</f>
        <v/>
      </c>
      <c r="D568" s="5" t="str">
        <f>IF($J568="","",INDEX('Detalle individual'!$C:$C,$J568))</f>
        <v/>
      </c>
      <c r="E568" s="5" t="str">
        <f>IF($J568="","",INDEX('Detalle individual'!$D:$D,$J568))</f>
        <v/>
      </c>
      <c r="F568" s="23" t="str">
        <f>IF($J568="","",INDEX('Detalle individual'!$H:$H,$J568))</f>
        <v/>
      </c>
      <c r="G568" s="28" t="str">
        <f>IF($J568="","",INDEX('Detalle individual'!$J:$J,$J568))</f>
        <v/>
      </c>
      <c r="H568" s="28" t="str">
        <f>IF($J568="","",INDEX('Detalle individual'!$L:$L,$J568))</f>
        <v/>
      </c>
      <c r="J568" t="str">
        <f>IFERROR(MATCH(SMALL(Cálculos!$AI$5:$AI$1000,564),Cálculos!$AI$5:$AI$1000,0)+4,"")</f>
        <v/>
      </c>
    </row>
    <row r="569">
      <c r="A569" s="5" t="str">
        <f>IF($J569="","",INDEX('Detalle individual'!$B:$B,$J569))</f>
        <v/>
      </c>
      <c r="B569" s="5" t="str">
        <f>IF($J569="","",INDEX('Detalle individual'!$A:$A,$J569))</f>
        <v/>
      </c>
      <c r="C569" s="5" t="str">
        <f>IF($J569="","",INDEX('Detalle individual'!$E:$E,$J569))</f>
        <v/>
      </c>
      <c r="D569" s="5" t="str">
        <f>IF($J569="","",INDEX('Detalle individual'!$C:$C,$J569))</f>
        <v/>
      </c>
      <c r="E569" s="5" t="str">
        <f>IF($J569="","",INDEX('Detalle individual'!$D:$D,$J569))</f>
        <v/>
      </c>
      <c r="F569" s="23" t="str">
        <f>IF($J569="","",INDEX('Detalle individual'!$H:$H,$J569))</f>
        <v/>
      </c>
      <c r="G569" s="28" t="str">
        <f>IF($J569="","",INDEX('Detalle individual'!$J:$J,$J569))</f>
        <v/>
      </c>
      <c r="H569" s="28" t="str">
        <f>IF($J569="","",INDEX('Detalle individual'!$L:$L,$J569))</f>
        <v/>
      </c>
      <c r="J569" t="str">
        <f>IFERROR(MATCH(SMALL(Cálculos!$AI$5:$AI$1000,565),Cálculos!$AI$5:$AI$1000,0)+4,"")</f>
        <v/>
      </c>
    </row>
    <row r="570">
      <c r="A570" s="5" t="str">
        <f>IF($J570="","",INDEX('Detalle individual'!$B:$B,$J570))</f>
        <v/>
      </c>
      <c r="B570" s="5" t="str">
        <f>IF($J570="","",INDEX('Detalle individual'!$A:$A,$J570))</f>
        <v/>
      </c>
      <c r="C570" s="5" t="str">
        <f>IF($J570="","",INDEX('Detalle individual'!$E:$E,$J570))</f>
        <v/>
      </c>
      <c r="D570" s="5" t="str">
        <f>IF($J570="","",INDEX('Detalle individual'!$C:$C,$J570))</f>
        <v/>
      </c>
      <c r="E570" s="5" t="str">
        <f>IF($J570="","",INDEX('Detalle individual'!$D:$D,$J570))</f>
        <v/>
      </c>
      <c r="F570" s="23" t="str">
        <f>IF($J570="","",INDEX('Detalle individual'!$H:$H,$J570))</f>
        <v/>
      </c>
      <c r="G570" s="28" t="str">
        <f>IF($J570="","",INDEX('Detalle individual'!$J:$J,$J570))</f>
        <v/>
      </c>
      <c r="H570" s="28" t="str">
        <f>IF($J570="","",INDEX('Detalle individual'!$L:$L,$J570))</f>
        <v/>
      </c>
      <c r="J570" t="str">
        <f>IFERROR(MATCH(SMALL(Cálculos!$AI$5:$AI$1000,566),Cálculos!$AI$5:$AI$1000,0)+4,"")</f>
        <v/>
      </c>
    </row>
    <row r="571">
      <c r="A571" s="5" t="str">
        <f>IF($J571="","",INDEX('Detalle individual'!$B:$B,$J571))</f>
        <v/>
      </c>
      <c r="B571" s="5" t="str">
        <f>IF($J571="","",INDEX('Detalle individual'!$A:$A,$J571))</f>
        <v/>
      </c>
      <c r="C571" s="5" t="str">
        <f>IF($J571="","",INDEX('Detalle individual'!$E:$E,$J571))</f>
        <v/>
      </c>
      <c r="D571" s="5" t="str">
        <f>IF($J571="","",INDEX('Detalle individual'!$C:$C,$J571))</f>
        <v/>
      </c>
      <c r="E571" s="5" t="str">
        <f>IF($J571="","",INDEX('Detalle individual'!$D:$D,$J571))</f>
        <v/>
      </c>
      <c r="F571" s="23" t="str">
        <f>IF($J571="","",INDEX('Detalle individual'!$H:$H,$J571))</f>
        <v/>
      </c>
      <c r="G571" s="28" t="str">
        <f>IF($J571="","",INDEX('Detalle individual'!$J:$J,$J571))</f>
        <v/>
      </c>
      <c r="H571" s="28" t="str">
        <f>IF($J571="","",INDEX('Detalle individual'!$L:$L,$J571))</f>
        <v/>
      </c>
      <c r="J571" t="str">
        <f>IFERROR(MATCH(SMALL(Cálculos!$AI$5:$AI$1000,567),Cálculos!$AI$5:$AI$1000,0)+4,"")</f>
        <v/>
      </c>
    </row>
    <row r="572">
      <c r="A572" s="5" t="str">
        <f>IF($J572="","",INDEX('Detalle individual'!$B:$B,$J572))</f>
        <v/>
      </c>
      <c r="B572" s="5" t="str">
        <f>IF($J572="","",INDEX('Detalle individual'!$A:$A,$J572))</f>
        <v/>
      </c>
      <c r="C572" s="5" t="str">
        <f>IF($J572="","",INDEX('Detalle individual'!$E:$E,$J572))</f>
        <v/>
      </c>
      <c r="D572" s="5" t="str">
        <f>IF($J572="","",INDEX('Detalle individual'!$C:$C,$J572))</f>
        <v/>
      </c>
      <c r="E572" s="5" t="str">
        <f>IF($J572="","",INDEX('Detalle individual'!$D:$D,$J572))</f>
        <v/>
      </c>
      <c r="F572" s="23" t="str">
        <f>IF($J572="","",INDEX('Detalle individual'!$H:$H,$J572))</f>
        <v/>
      </c>
      <c r="G572" s="28" t="str">
        <f>IF($J572="","",INDEX('Detalle individual'!$J:$J,$J572))</f>
        <v/>
      </c>
      <c r="H572" s="28" t="str">
        <f>IF($J572="","",INDEX('Detalle individual'!$L:$L,$J572))</f>
        <v/>
      </c>
      <c r="J572" t="str">
        <f>IFERROR(MATCH(SMALL(Cálculos!$AI$5:$AI$1000,568),Cálculos!$AI$5:$AI$1000,0)+4,"")</f>
        <v/>
      </c>
    </row>
    <row r="573">
      <c r="A573" s="5" t="str">
        <f>IF($J573="","",INDEX('Detalle individual'!$B:$B,$J573))</f>
        <v/>
      </c>
      <c r="B573" s="5" t="str">
        <f>IF($J573="","",INDEX('Detalle individual'!$A:$A,$J573))</f>
        <v/>
      </c>
      <c r="C573" s="5" t="str">
        <f>IF($J573="","",INDEX('Detalle individual'!$E:$E,$J573))</f>
        <v/>
      </c>
      <c r="D573" s="5" t="str">
        <f>IF($J573="","",INDEX('Detalle individual'!$C:$C,$J573))</f>
        <v/>
      </c>
      <c r="E573" s="5" t="str">
        <f>IF($J573="","",INDEX('Detalle individual'!$D:$D,$J573))</f>
        <v/>
      </c>
      <c r="F573" s="23" t="str">
        <f>IF($J573="","",INDEX('Detalle individual'!$H:$H,$J573))</f>
        <v/>
      </c>
      <c r="G573" s="28" t="str">
        <f>IF($J573="","",INDEX('Detalle individual'!$J:$J,$J573))</f>
        <v/>
      </c>
      <c r="H573" s="28" t="str">
        <f>IF($J573="","",INDEX('Detalle individual'!$L:$L,$J573))</f>
        <v/>
      </c>
      <c r="J573" t="str">
        <f>IFERROR(MATCH(SMALL(Cálculos!$AI$5:$AI$1000,569),Cálculos!$AI$5:$AI$1000,0)+4,"")</f>
        <v/>
      </c>
    </row>
    <row r="574">
      <c r="A574" s="5" t="str">
        <f>IF($J574="","",INDEX('Detalle individual'!$B:$B,$J574))</f>
        <v/>
      </c>
      <c r="B574" s="5" t="str">
        <f>IF($J574="","",INDEX('Detalle individual'!$A:$A,$J574))</f>
        <v/>
      </c>
      <c r="C574" s="5" t="str">
        <f>IF($J574="","",INDEX('Detalle individual'!$E:$E,$J574))</f>
        <v/>
      </c>
      <c r="D574" s="5" t="str">
        <f>IF($J574="","",INDEX('Detalle individual'!$C:$C,$J574))</f>
        <v/>
      </c>
      <c r="E574" s="5" t="str">
        <f>IF($J574="","",INDEX('Detalle individual'!$D:$D,$J574))</f>
        <v/>
      </c>
      <c r="F574" s="23" t="str">
        <f>IF($J574="","",INDEX('Detalle individual'!$H:$H,$J574))</f>
        <v/>
      </c>
      <c r="G574" s="28" t="str">
        <f>IF($J574="","",INDEX('Detalle individual'!$J:$J,$J574))</f>
        <v/>
      </c>
      <c r="H574" s="28" t="str">
        <f>IF($J574="","",INDEX('Detalle individual'!$L:$L,$J574))</f>
        <v/>
      </c>
      <c r="J574" t="str">
        <f>IFERROR(MATCH(SMALL(Cálculos!$AI$5:$AI$1000,570),Cálculos!$AI$5:$AI$1000,0)+4,"")</f>
        <v/>
      </c>
    </row>
    <row r="575">
      <c r="A575" s="5" t="str">
        <f>IF($J575="","",INDEX('Detalle individual'!$B:$B,$J575))</f>
        <v/>
      </c>
      <c r="B575" s="5" t="str">
        <f>IF($J575="","",INDEX('Detalle individual'!$A:$A,$J575))</f>
        <v/>
      </c>
      <c r="C575" s="5" t="str">
        <f>IF($J575="","",INDEX('Detalle individual'!$E:$E,$J575))</f>
        <v/>
      </c>
      <c r="D575" s="5" t="str">
        <f>IF($J575="","",INDEX('Detalle individual'!$C:$C,$J575))</f>
        <v/>
      </c>
      <c r="E575" s="5" t="str">
        <f>IF($J575="","",INDEX('Detalle individual'!$D:$D,$J575))</f>
        <v/>
      </c>
      <c r="F575" s="23" t="str">
        <f>IF($J575="","",INDEX('Detalle individual'!$H:$H,$J575))</f>
        <v/>
      </c>
      <c r="G575" s="28" t="str">
        <f>IF($J575="","",INDEX('Detalle individual'!$J:$J,$J575))</f>
        <v/>
      </c>
      <c r="H575" s="28" t="str">
        <f>IF($J575="","",INDEX('Detalle individual'!$L:$L,$J575))</f>
        <v/>
      </c>
      <c r="J575" t="str">
        <f>IFERROR(MATCH(SMALL(Cálculos!$AI$5:$AI$1000,571),Cálculos!$AI$5:$AI$1000,0)+4,"")</f>
        <v/>
      </c>
    </row>
    <row r="576">
      <c r="A576" s="5" t="str">
        <f>IF($J576="","",INDEX('Detalle individual'!$B:$B,$J576))</f>
        <v/>
      </c>
      <c r="B576" s="5" t="str">
        <f>IF($J576="","",INDEX('Detalle individual'!$A:$A,$J576))</f>
        <v/>
      </c>
      <c r="C576" s="5" t="str">
        <f>IF($J576="","",INDEX('Detalle individual'!$E:$E,$J576))</f>
        <v/>
      </c>
      <c r="D576" s="5" t="str">
        <f>IF($J576="","",INDEX('Detalle individual'!$C:$C,$J576))</f>
        <v/>
      </c>
      <c r="E576" s="5" t="str">
        <f>IF($J576="","",INDEX('Detalle individual'!$D:$D,$J576))</f>
        <v/>
      </c>
      <c r="F576" s="23" t="str">
        <f>IF($J576="","",INDEX('Detalle individual'!$H:$H,$J576))</f>
        <v/>
      </c>
      <c r="G576" s="28" t="str">
        <f>IF($J576="","",INDEX('Detalle individual'!$J:$J,$J576))</f>
        <v/>
      </c>
      <c r="H576" s="28" t="str">
        <f>IF($J576="","",INDEX('Detalle individual'!$L:$L,$J576))</f>
        <v/>
      </c>
      <c r="J576" t="str">
        <f>IFERROR(MATCH(SMALL(Cálculos!$AI$5:$AI$1000,572),Cálculos!$AI$5:$AI$1000,0)+4,"")</f>
        <v/>
      </c>
    </row>
    <row r="577">
      <c r="A577" s="5" t="str">
        <f>IF($J577="","",INDEX('Detalle individual'!$B:$B,$J577))</f>
        <v/>
      </c>
      <c r="B577" s="5" t="str">
        <f>IF($J577="","",INDEX('Detalle individual'!$A:$A,$J577))</f>
        <v/>
      </c>
      <c r="C577" s="5" t="str">
        <f>IF($J577="","",INDEX('Detalle individual'!$E:$E,$J577))</f>
        <v/>
      </c>
      <c r="D577" s="5" t="str">
        <f>IF($J577="","",INDEX('Detalle individual'!$C:$C,$J577))</f>
        <v/>
      </c>
      <c r="E577" s="5" t="str">
        <f>IF($J577="","",INDEX('Detalle individual'!$D:$D,$J577))</f>
        <v/>
      </c>
      <c r="F577" s="23" t="str">
        <f>IF($J577="","",INDEX('Detalle individual'!$H:$H,$J577))</f>
        <v/>
      </c>
      <c r="G577" s="28" t="str">
        <f>IF($J577="","",INDEX('Detalle individual'!$J:$J,$J577))</f>
        <v/>
      </c>
      <c r="H577" s="28" t="str">
        <f>IF($J577="","",INDEX('Detalle individual'!$L:$L,$J577))</f>
        <v/>
      </c>
      <c r="J577" t="str">
        <f>IFERROR(MATCH(SMALL(Cálculos!$AI$5:$AI$1000,573),Cálculos!$AI$5:$AI$1000,0)+4,"")</f>
        <v/>
      </c>
    </row>
    <row r="578">
      <c r="A578" s="5" t="str">
        <f>IF($J578="","",INDEX('Detalle individual'!$B:$B,$J578))</f>
        <v/>
      </c>
      <c r="B578" s="5" t="str">
        <f>IF($J578="","",INDEX('Detalle individual'!$A:$A,$J578))</f>
        <v/>
      </c>
      <c r="C578" s="5" t="str">
        <f>IF($J578="","",INDEX('Detalle individual'!$E:$E,$J578))</f>
        <v/>
      </c>
      <c r="D578" s="5" t="str">
        <f>IF($J578="","",INDEX('Detalle individual'!$C:$C,$J578))</f>
        <v/>
      </c>
      <c r="E578" s="5" t="str">
        <f>IF($J578="","",INDEX('Detalle individual'!$D:$D,$J578))</f>
        <v/>
      </c>
      <c r="F578" s="23" t="str">
        <f>IF($J578="","",INDEX('Detalle individual'!$H:$H,$J578))</f>
        <v/>
      </c>
      <c r="G578" s="28" t="str">
        <f>IF($J578="","",INDEX('Detalle individual'!$J:$J,$J578))</f>
        <v/>
      </c>
      <c r="H578" s="28" t="str">
        <f>IF($J578="","",INDEX('Detalle individual'!$L:$L,$J578))</f>
        <v/>
      </c>
      <c r="J578" t="str">
        <f>IFERROR(MATCH(SMALL(Cálculos!$AI$5:$AI$1000,574),Cálculos!$AI$5:$AI$1000,0)+4,"")</f>
        <v/>
      </c>
    </row>
    <row r="579">
      <c r="A579" s="5" t="str">
        <f>IF($J579="","",INDEX('Detalle individual'!$B:$B,$J579))</f>
        <v/>
      </c>
      <c r="B579" s="5" t="str">
        <f>IF($J579="","",INDEX('Detalle individual'!$A:$A,$J579))</f>
        <v/>
      </c>
      <c r="C579" s="5" t="str">
        <f>IF($J579="","",INDEX('Detalle individual'!$E:$E,$J579))</f>
        <v/>
      </c>
      <c r="D579" s="5" t="str">
        <f>IF($J579="","",INDEX('Detalle individual'!$C:$C,$J579))</f>
        <v/>
      </c>
      <c r="E579" s="5" t="str">
        <f>IF($J579="","",INDEX('Detalle individual'!$D:$D,$J579))</f>
        <v/>
      </c>
      <c r="F579" s="23" t="str">
        <f>IF($J579="","",INDEX('Detalle individual'!$H:$H,$J579))</f>
        <v/>
      </c>
      <c r="G579" s="28" t="str">
        <f>IF($J579="","",INDEX('Detalle individual'!$J:$J,$J579))</f>
        <v/>
      </c>
      <c r="H579" s="28" t="str">
        <f>IF($J579="","",INDEX('Detalle individual'!$L:$L,$J579))</f>
        <v/>
      </c>
      <c r="J579" t="str">
        <f>IFERROR(MATCH(SMALL(Cálculos!$AI$5:$AI$1000,575),Cálculos!$AI$5:$AI$1000,0)+4,"")</f>
        <v/>
      </c>
    </row>
    <row r="580">
      <c r="A580" s="5" t="str">
        <f>IF($J580="","",INDEX('Detalle individual'!$B:$B,$J580))</f>
        <v/>
      </c>
      <c r="B580" s="5" t="str">
        <f>IF($J580="","",INDEX('Detalle individual'!$A:$A,$J580))</f>
        <v/>
      </c>
      <c r="C580" s="5" t="str">
        <f>IF($J580="","",INDEX('Detalle individual'!$E:$E,$J580))</f>
        <v/>
      </c>
      <c r="D580" s="5" t="str">
        <f>IF($J580="","",INDEX('Detalle individual'!$C:$C,$J580))</f>
        <v/>
      </c>
      <c r="E580" s="5" t="str">
        <f>IF($J580="","",INDEX('Detalle individual'!$D:$D,$J580))</f>
        <v/>
      </c>
      <c r="F580" s="23" t="str">
        <f>IF($J580="","",INDEX('Detalle individual'!$H:$H,$J580))</f>
        <v/>
      </c>
      <c r="G580" s="28" t="str">
        <f>IF($J580="","",INDEX('Detalle individual'!$J:$J,$J580))</f>
        <v/>
      </c>
      <c r="H580" s="28" t="str">
        <f>IF($J580="","",INDEX('Detalle individual'!$L:$L,$J580))</f>
        <v/>
      </c>
      <c r="J580" t="str">
        <f>IFERROR(MATCH(SMALL(Cálculos!$AI$5:$AI$1000,576),Cálculos!$AI$5:$AI$1000,0)+4,"")</f>
        <v/>
      </c>
    </row>
    <row r="581">
      <c r="A581" s="5" t="str">
        <f>IF($J581="","",INDEX('Detalle individual'!$B:$B,$J581))</f>
        <v/>
      </c>
      <c r="B581" s="5" t="str">
        <f>IF($J581="","",INDEX('Detalle individual'!$A:$A,$J581))</f>
        <v/>
      </c>
      <c r="C581" s="5" t="str">
        <f>IF($J581="","",INDEX('Detalle individual'!$E:$E,$J581))</f>
        <v/>
      </c>
      <c r="D581" s="5" t="str">
        <f>IF($J581="","",INDEX('Detalle individual'!$C:$C,$J581))</f>
        <v/>
      </c>
      <c r="E581" s="5" t="str">
        <f>IF($J581="","",INDEX('Detalle individual'!$D:$D,$J581))</f>
        <v/>
      </c>
      <c r="F581" s="23" t="str">
        <f>IF($J581="","",INDEX('Detalle individual'!$H:$H,$J581))</f>
        <v/>
      </c>
      <c r="G581" s="28" t="str">
        <f>IF($J581="","",INDEX('Detalle individual'!$J:$J,$J581))</f>
        <v/>
      </c>
      <c r="H581" s="28" t="str">
        <f>IF($J581="","",INDEX('Detalle individual'!$L:$L,$J581))</f>
        <v/>
      </c>
      <c r="J581" t="str">
        <f>IFERROR(MATCH(SMALL(Cálculos!$AI$5:$AI$1000,577),Cálculos!$AI$5:$AI$1000,0)+4,"")</f>
        <v/>
      </c>
    </row>
    <row r="582">
      <c r="A582" s="5" t="str">
        <f>IF($J582="","",INDEX('Detalle individual'!$B:$B,$J582))</f>
        <v/>
      </c>
      <c r="B582" s="5" t="str">
        <f>IF($J582="","",INDEX('Detalle individual'!$A:$A,$J582))</f>
        <v/>
      </c>
      <c r="C582" s="5" t="str">
        <f>IF($J582="","",INDEX('Detalle individual'!$E:$E,$J582))</f>
        <v/>
      </c>
      <c r="D582" s="5" t="str">
        <f>IF($J582="","",INDEX('Detalle individual'!$C:$C,$J582))</f>
        <v/>
      </c>
      <c r="E582" s="5" t="str">
        <f>IF($J582="","",INDEX('Detalle individual'!$D:$D,$J582))</f>
        <v/>
      </c>
      <c r="F582" s="23" t="str">
        <f>IF($J582="","",INDEX('Detalle individual'!$H:$H,$J582))</f>
        <v/>
      </c>
      <c r="G582" s="28" t="str">
        <f>IF($J582="","",INDEX('Detalle individual'!$J:$J,$J582))</f>
        <v/>
      </c>
      <c r="H582" s="28" t="str">
        <f>IF($J582="","",INDEX('Detalle individual'!$L:$L,$J582))</f>
        <v/>
      </c>
      <c r="J582" t="str">
        <f>IFERROR(MATCH(SMALL(Cálculos!$AI$5:$AI$1000,578),Cálculos!$AI$5:$AI$1000,0)+4,"")</f>
        <v/>
      </c>
    </row>
    <row r="583">
      <c r="A583" s="5" t="str">
        <f>IF($J583="","",INDEX('Detalle individual'!$B:$B,$J583))</f>
        <v/>
      </c>
      <c r="B583" s="5" t="str">
        <f>IF($J583="","",INDEX('Detalle individual'!$A:$A,$J583))</f>
        <v/>
      </c>
      <c r="C583" s="5" t="str">
        <f>IF($J583="","",INDEX('Detalle individual'!$E:$E,$J583))</f>
        <v/>
      </c>
      <c r="D583" s="5" t="str">
        <f>IF($J583="","",INDEX('Detalle individual'!$C:$C,$J583))</f>
        <v/>
      </c>
      <c r="E583" s="5" t="str">
        <f>IF($J583="","",INDEX('Detalle individual'!$D:$D,$J583))</f>
        <v/>
      </c>
      <c r="F583" s="23" t="str">
        <f>IF($J583="","",INDEX('Detalle individual'!$H:$H,$J583))</f>
        <v/>
      </c>
      <c r="G583" s="28" t="str">
        <f>IF($J583="","",INDEX('Detalle individual'!$J:$J,$J583))</f>
        <v/>
      </c>
      <c r="H583" s="28" t="str">
        <f>IF($J583="","",INDEX('Detalle individual'!$L:$L,$J583))</f>
        <v/>
      </c>
      <c r="J583" t="str">
        <f>IFERROR(MATCH(SMALL(Cálculos!$AI$5:$AI$1000,579),Cálculos!$AI$5:$AI$1000,0)+4,"")</f>
        <v/>
      </c>
    </row>
    <row r="584">
      <c r="A584" s="5" t="str">
        <f>IF($J584="","",INDEX('Detalle individual'!$B:$B,$J584))</f>
        <v/>
      </c>
      <c r="B584" s="5" t="str">
        <f>IF($J584="","",INDEX('Detalle individual'!$A:$A,$J584))</f>
        <v/>
      </c>
      <c r="C584" s="5" t="str">
        <f>IF($J584="","",INDEX('Detalle individual'!$E:$E,$J584))</f>
        <v/>
      </c>
      <c r="D584" s="5" t="str">
        <f>IF($J584="","",INDEX('Detalle individual'!$C:$C,$J584))</f>
        <v/>
      </c>
      <c r="E584" s="5" t="str">
        <f>IF($J584="","",INDEX('Detalle individual'!$D:$D,$J584))</f>
        <v/>
      </c>
      <c r="F584" s="23" t="str">
        <f>IF($J584="","",INDEX('Detalle individual'!$H:$H,$J584))</f>
        <v/>
      </c>
      <c r="G584" s="28" t="str">
        <f>IF($J584="","",INDEX('Detalle individual'!$J:$J,$J584))</f>
        <v/>
      </c>
      <c r="H584" s="28" t="str">
        <f>IF($J584="","",INDEX('Detalle individual'!$L:$L,$J584))</f>
        <v/>
      </c>
      <c r="J584" t="str">
        <f>IFERROR(MATCH(SMALL(Cálculos!$AI$5:$AI$1000,580),Cálculos!$AI$5:$AI$1000,0)+4,"")</f>
        <v/>
      </c>
    </row>
    <row r="585">
      <c r="A585" s="5" t="str">
        <f>IF($J585="","",INDEX('Detalle individual'!$B:$B,$J585))</f>
        <v/>
      </c>
      <c r="B585" s="5" t="str">
        <f>IF($J585="","",INDEX('Detalle individual'!$A:$A,$J585))</f>
        <v/>
      </c>
      <c r="C585" s="5" t="str">
        <f>IF($J585="","",INDEX('Detalle individual'!$E:$E,$J585))</f>
        <v/>
      </c>
      <c r="D585" s="5" t="str">
        <f>IF($J585="","",INDEX('Detalle individual'!$C:$C,$J585))</f>
        <v/>
      </c>
      <c r="E585" s="5" t="str">
        <f>IF($J585="","",INDEX('Detalle individual'!$D:$D,$J585))</f>
        <v/>
      </c>
      <c r="F585" s="23" t="str">
        <f>IF($J585="","",INDEX('Detalle individual'!$H:$H,$J585))</f>
        <v/>
      </c>
      <c r="G585" s="28" t="str">
        <f>IF($J585="","",INDEX('Detalle individual'!$J:$J,$J585))</f>
        <v/>
      </c>
      <c r="H585" s="28" t="str">
        <f>IF($J585="","",INDEX('Detalle individual'!$L:$L,$J585))</f>
        <v/>
      </c>
      <c r="J585" t="str">
        <f>IFERROR(MATCH(SMALL(Cálculos!$AI$5:$AI$1000,581),Cálculos!$AI$5:$AI$1000,0)+4,"")</f>
        <v/>
      </c>
    </row>
    <row r="586">
      <c r="A586" s="5" t="str">
        <f>IF($J586="","",INDEX('Detalle individual'!$B:$B,$J586))</f>
        <v/>
      </c>
      <c r="B586" s="5" t="str">
        <f>IF($J586="","",INDEX('Detalle individual'!$A:$A,$J586))</f>
        <v/>
      </c>
      <c r="C586" s="5" t="str">
        <f>IF($J586="","",INDEX('Detalle individual'!$E:$E,$J586))</f>
        <v/>
      </c>
      <c r="D586" s="5" t="str">
        <f>IF($J586="","",INDEX('Detalle individual'!$C:$C,$J586))</f>
        <v/>
      </c>
      <c r="E586" s="5" t="str">
        <f>IF($J586="","",INDEX('Detalle individual'!$D:$D,$J586))</f>
        <v/>
      </c>
      <c r="F586" s="23" t="str">
        <f>IF($J586="","",INDEX('Detalle individual'!$H:$H,$J586))</f>
        <v/>
      </c>
      <c r="G586" s="28" t="str">
        <f>IF($J586="","",INDEX('Detalle individual'!$J:$J,$J586))</f>
        <v/>
      </c>
      <c r="H586" s="28" t="str">
        <f>IF($J586="","",INDEX('Detalle individual'!$L:$L,$J586))</f>
        <v/>
      </c>
      <c r="J586" t="str">
        <f>IFERROR(MATCH(SMALL(Cálculos!$AI$5:$AI$1000,582),Cálculos!$AI$5:$AI$1000,0)+4,"")</f>
        <v/>
      </c>
    </row>
    <row r="587">
      <c r="A587" s="5" t="str">
        <f>IF($J587="","",INDEX('Detalle individual'!$B:$B,$J587))</f>
        <v/>
      </c>
      <c r="B587" s="5" t="str">
        <f>IF($J587="","",INDEX('Detalle individual'!$A:$A,$J587))</f>
        <v/>
      </c>
      <c r="C587" s="5" t="str">
        <f>IF($J587="","",INDEX('Detalle individual'!$E:$E,$J587))</f>
        <v/>
      </c>
      <c r="D587" s="5" t="str">
        <f>IF($J587="","",INDEX('Detalle individual'!$C:$C,$J587))</f>
        <v/>
      </c>
      <c r="E587" s="5" t="str">
        <f>IF($J587="","",INDEX('Detalle individual'!$D:$D,$J587))</f>
        <v/>
      </c>
      <c r="F587" s="23" t="str">
        <f>IF($J587="","",INDEX('Detalle individual'!$H:$H,$J587))</f>
        <v/>
      </c>
      <c r="G587" s="28" t="str">
        <f>IF($J587="","",INDEX('Detalle individual'!$J:$J,$J587))</f>
        <v/>
      </c>
      <c r="H587" s="28" t="str">
        <f>IF($J587="","",INDEX('Detalle individual'!$L:$L,$J587))</f>
        <v/>
      </c>
      <c r="J587" t="str">
        <f>IFERROR(MATCH(SMALL(Cálculos!$AI$5:$AI$1000,583),Cálculos!$AI$5:$AI$1000,0)+4,"")</f>
        <v/>
      </c>
    </row>
    <row r="588">
      <c r="A588" s="5" t="str">
        <f>IF($J588="","",INDEX('Detalle individual'!$B:$B,$J588))</f>
        <v/>
      </c>
      <c r="B588" s="5" t="str">
        <f>IF($J588="","",INDEX('Detalle individual'!$A:$A,$J588))</f>
        <v/>
      </c>
      <c r="C588" s="5" t="str">
        <f>IF($J588="","",INDEX('Detalle individual'!$E:$E,$J588))</f>
        <v/>
      </c>
      <c r="D588" s="5" t="str">
        <f>IF($J588="","",INDEX('Detalle individual'!$C:$C,$J588))</f>
        <v/>
      </c>
      <c r="E588" s="5" t="str">
        <f>IF($J588="","",INDEX('Detalle individual'!$D:$D,$J588))</f>
        <v/>
      </c>
      <c r="F588" s="23" t="str">
        <f>IF($J588="","",INDEX('Detalle individual'!$H:$H,$J588))</f>
        <v/>
      </c>
      <c r="G588" s="28" t="str">
        <f>IF($J588="","",INDEX('Detalle individual'!$J:$J,$J588))</f>
        <v/>
      </c>
      <c r="H588" s="28" t="str">
        <f>IF($J588="","",INDEX('Detalle individual'!$L:$L,$J588))</f>
        <v/>
      </c>
      <c r="J588" t="str">
        <f>IFERROR(MATCH(SMALL(Cálculos!$AI$5:$AI$1000,584),Cálculos!$AI$5:$AI$1000,0)+4,"")</f>
        <v/>
      </c>
    </row>
    <row r="589">
      <c r="A589" s="5" t="str">
        <f>IF($J589="","",INDEX('Detalle individual'!$B:$B,$J589))</f>
        <v/>
      </c>
      <c r="B589" s="5" t="str">
        <f>IF($J589="","",INDEX('Detalle individual'!$A:$A,$J589))</f>
        <v/>
      </c>
      <c r="C589" s="5" t="str">
        <f>IF($J589="","",INDEX('Detalle individual'!$E:$E,$J589))</f>
        <v/>
      </c>
      <c r="D589" s="5" t="str">
        <f>IF($J589="","",INDEX('Detalle individual'!$C:$C,$J589))</f>
        <v/>
      </c>
      <c r="E589" s="5" t="str">
        <f>IF($J589="","",INDEX('Detalle individual'!$D:$D,$J589))</f>
        <v/>
      </c>
      <c r="F589" s="23" t="str">
        <f>IF($J589="","",INDEX('Detalle individual'!$H:$H,$J589))</f>
        <v/>
      </c>
      <c r="G589" s="28" t="str">
        <f>IF($J589="","",INDEX('Detalle individual'!$J:$J,$J589))</f>
        <v/>
      </c>
      <c r="H589" s="28" t="str">
        <f>IF($J589="","",INDEX('Detalle individual'!$L:$L,$J589))</f>
        <v/>
      </c>
      <c r="J589" t="str">
        <f>IFERROR(MATCH(SMALL(Cálculos!$AI$5:$AI$1000,585),Cálculos!$AI$5:$AI$1000,0)+4,"")</f>
        <v/>
      </c>
    </row>
    <row r="590">
      <c r="A590" s="5" t="str">
        <f>IF($J590="","",INDEX('Detalle individual'!$B:$B,$J590))</f>
        <v/>
      </c>
      <c r="B590" s="5" t="str">
        <f>IF($J590="","",INDEX('Detalle individual'!$A:$A,$J590))</f>
        <v/>
      </c>
      <c r="C590" s="5" t="str">
        <f>IF($J590="","",INDEX('Detalle individual'!$E:$E,$J590))</f>
        <v/>
      </c>
      <c r="D590" s="5" t="str">
        <f>IF($J590="","",INDEX('Detalle individual'!$C:$C,$J590))</f>
        <v/>
      </c>
      <c r="E590" s="5" t="str">
        <f>IF($J590="","",INDEX('Detalle individual'!$D:$D,$J590))</f>
        <v/>
      </c>
      <c r="F590" s="23" t="str">
        <f>IF($J590="","",INDEX('Detalle individual'!$H:$H,$J590))</f>
        <v/>
      </c>
      <c r="G590" s="28" t="str">
        <f>IF($J590="","",INDEX('Detalle individual'!$J:$J,$J590))</f>
        <v/>
      </c>
      <c r="H590" s="28" t="str">
        <f>IF($J590="","",INDEX('Detalle individual'!$L:$L,$J590))</f>
        <v/>
      </c>
      <c r="J590" t="str">
        <f>IFERROR(MATCH(SMALL(Cálculos!$AI$5:$AI$1000,586),Cálculos!$AI$5:$AI$1000,0)+4,"")</f>
        <v/>
      </c>
    </row>
    <row r="591">
      <c r="A591" s="5" t="str">
        <f>IF($J591="","",INDEX('Detalle individual'!$B:$B,$J591))</f>
        <v/>
      </c>
      <c r="B591" s="5" t="str">
        <f>IF($J591="","",INDEX('Detalle individual'!$A:$A,$J591))</f>
        <v/>
      </c>
      <c r="C591" s="5" t="str">
        <f>IF($J591="","",INDEX('Detalle individual'!$E:$E,$J591))</f>
        <v/>
      </c>
      <c r="D591" s="5" t="str">
        <f>IF($J591="","",INDEX('Detalle individual'!$C:$C,$J591))</f>
        <v/>
      </c>
      <c r="E591" s="5" t="str">
        <f>IF($J591="","",INDEX('Detalle individual'!$D:$D,$J591))</f>
        <v/>
      </c>
      <c r="F591" s="23" t="str">
        <f>IF($J591="","",INDEX('Detalle individual'!$H:$H,$J591))</f>
        <v/>
      </c>
      <c r="G591" s="28" t="str">
        <f>IF($J591="","",INDEX('Detalle individual'!$J:$J,$J591))</f>
        <v/>
      </c>
      <c r="H591" s="28" t="str">
        <f>IF($J591="","",INDEX('Detalle individual'!$L:$L,$J591))</f>
        <v/>
      </c>
      <c r="J591" t="str">
        <f>IFERROR(MATCH(SMALL(Cálculos!$AI$5:$AI$1000,587),Cálculos!$AI$5:$AI$1000,0)+4,"")</f>
        <v/>
      </c>
    </row>
    <row r="592">
      <c r="A592" s="5" t="str">
        <f>IF($J592="","",INDEX('Detalle individual'!$B:$B,$J592))</f>
        <v/>
      </c>
      <c r="B592" s="5" t="str">
        <f>IF($J592="","",INDEX('Detalle individual'!$A:$A,$J592))</f>
        <v/>
      </c>
      <c r="C592" s="5" t="str">
        <f>IF($J592="","",INDEX('Detalle individual'!$E:$E,$J592))</f>
        <v/>
      </c>
      <c r="D592" s="5" t="str">
        <f>IF($J592="","",INDEX('Detalle individual'!$C:$C,$J592))</f>
        <v/>
      </c>
      <c r="E592" s="5" t="str">
        <f>IF($J592="","",INDEX('Detalle individual'!$D:$D,$J592))</f>
        <v/>
      </c>
      <c r="F592" s="23" t="str">
        <f>IF($J592="","",INDEX('Detalle individual'!$H:$H,$J592))</f>
        <v/>
      </c>
      <c r="G592" s="28" t="str">
        <f>IF($J592="","",INDEX('Detalle individual'!$J:$J,$J592))</f>
        <v/>
      </c>
      <c r="H592" s="28" t="str">
        <f>IF($J592="","",INDEX('Detalle individual'!$L:$L,$J592))</f>
        <v/>
      </c>
      <c r="J592" t="str">
        <f>IFERROR(MATCH(SMALL(Cálculos!$AI$5:$AI$1000,588),Cálculos!$AI$5:$AI$1000,0)+4,"")</f>
        <v/>
      </c>
    </row>
    <row r="593">
      <c r="A593" s="5" t="str">
        <f>IF($J593="","",INDEX('Detalle individual'!$B:$B,$J593))</f>
        <v/>
      </c>
      <c r="B593" s="5" t="str">
        <f>IF($J593="","",INDEX('Detalle individual'!$A:$A,$J593))</f>
        <v/>
      </c>
      <c r="C593" s="5" t="str">
        <f>IF($J593="","",INDEX('Detalle individual'!$E:$E,$J593))</f>
        <v/>
      </c>
      <c r="D593" s="5" t="str">
        <f>IF($J593="","",INDEX('Detalle individual'!$C:$C,$J593))</f>
        <v/>
      </c>
      <c r="E593" s="5" t="str">
        <f>IF($J593="","",INDEX('Detalle individual'!$D:$D,$J593))</f>
        <v/>
      </c>
      <c r="F593" s="23" t="str">
        <f>IF($J593="","",INDEX('Detalle individual'!$H:$H,$J593))</f>
        <v/>
      </c>
      <c r="G593" s="28" t="str">
        <f>IF($J593="","",INDEX('Detalle individual'!$J:$J,$J593))</f>
        <v/>
      </c>
      <c r="H593" s="28" t="str">
        <f>IF($J593="","",INDEX('Detalle individual'!$L:$L,$J593))</f>
        <v/>
      </c>
      <c r="J593" t="str">
        <f>IFERROR(MATCH(SMALL(Cálculos!$AI$5:$AI$1000,589),Cálculos!$AI$5:$AI$1000,0)+4,"")</f>
        <v/>
      </c>
    </row>
    <row r="594">
      <c r="A594" s="5" t="str">
        <f>IF($J594="","",INDEX('Detalle individual'!$B:$B,$J594))</f>
        <v/>
      </c>
      <c r="B594" s="5" t="str">
        <f>IF($J594="","",INDEX('Detalle individual'!$A:$A,$J594))</f>
        <v/>
      </c>
      <c r="C594" s="5" t="str">
        <f>IF($J594="","",INDEX('Detalle individual'!$E:$E,$J594))</f>
        <v/>
      </c>
      <c r="D594" s="5" t="str">
        <f>IF($J594="","",INDEX('Detalle individual'!$C:$C,$J594))</f>
        <v/>
      </c>
      <c r="E594" s="5" t="str">
        <f>IF($J594="","",INDEX('Detalle individual'!$D:$D,$J594))</f>
        <v/>
      </c>
      <c r="F594" s="23" t="str">
        <f>IF($J594="","",INDEX('Detalle individual'!$H:$H,$J594))</f>
        <v/>
      </c>
      <c r="G594" s="28" t="str">
        <f>IF($J594="","",INDEX('Detalle individual'!$J:$J,$J594))</f>
        <v/>
      </c>
      <c r="H594" s="28" t="str">
        <f>IF($J594="","",INDEX('Detalle individual'!$L:$L,$J594))</f>
        <v/>
      </c>
      <c r="J594" t="str">
        <f>IFERROR(MATCH(SMALL(Cálculos!$AI$5:$AI$1000,590),Cálculos!$AI$5:$AI$1000,0)+4,"")</f>
        <v/>
      </c>
    </row>
    <row r="595">
      <c r="A595" s="5" t="str">
        <f>IF($J595="","",INDEX('Detalle individual'!$B:$B,$J595))</f>
        <v/>
      </c>
      <c r="B595" s="5" t="str">
        <f>IF($J595="","",INDEX('Detalle individual'!$A:$A,$J595))</f>
        <v/>
      </c>
      <c r="C595" s="5" t="str">
        <f>IF($J595="","",INDEX('Detalle individual'!$E:$E,$J595))</f>
        <v/>
      </c>
      <c r="D595" s="5" t="str">
        <f>IF($J595="","",INDEX('Detalle individual'!$C:$C,$J595))</f>
        <v/>
      </c>
      <c r="E595" s="5" t="str">
        <f>IF($J595="","",INDEX('Detalle individual'!$D:$D,$J595))</f>
        <v/>
      </c>
      <c r="F595" s="23" t="str">
        <f>IF($J595="","",INDEX('Detalle individual'!$H:$H,$J595))</f>
        <v/>
      </c>
      <c r="G595" s="28" t="str">
        <f>IF($J595="","",INDEX('Detalle individual'!$J:$J,$J595))</f>
        <v/>
      </c>
      <c r="H595" s="28" t="str">
        <f>IF($J595="","",INDEX('Detalle individual'!$L:$L,$J595))</f>
        <v/>
      </c>
      <c r="J595" t="str">
        <f>IFERROR(MATCH(SMALL(Cálculos!$AI$5:$AI$1000,591),Cálculos!$AI$5:$AI$1000,0)+4,"")</f>
        <v/>
      </c>
    </row>
    <row r="596">
      <c r="A596" s="5" t="str">
        <f>IF($J596="","",INDEX('Detalle individual'!$B:$B,$J596))</f>
        <v/>
      </c>
      <c r="B596" s="5" t="str">
        <f>IF($J596="","",INDEX('Detalle individual'!$A:$A,$J596))</f>
        <v/>
      </c>
      <c r="C596" s="5" t="str">
        <f>IF($J596="","",INDEX('Detalle individual'!$E:$E,$J596))</f>
        <v/>
      </c>
      <c r="D596" s="5" t="str">
        <f>IF($J596="","",INDEX('Detalle individual'!$C:$C,$J596))</f>
        <v/>
      </c>
      <c r="E596" s="5" t="str">
        <f>IF($J596="","",INDEX('Detalle individual'!$D:$D,$J596))</f>
        <v/>
      </c>
      <c r="F596" s="23" t="str">
        <f>IF($J596="","",INDEX('Detalle individual'!$H:$H,$J596))</f>
        <v/>
      </c>
      <c r="G596" s="28" t="str">
        <f>IF($J596="","",INDEX('Detalle individual'!$J:$J,$J596))</f>
        <v/>
      </c>
      <c r="H596" s="28" t="str">
        <f>IF($J596="","",INDEX('Detalle individual'!$L:$L,$J596))</f>
        <v/>
      </c>
      <c r="J596" t="str">
        <f>IFERROR(MATCH(SMALL(Cálculos!$AI$5:$AI$1000,592),Cálculos!$AI$5:$AI$1000,0)+4,"")</f>
        <v/>
      </c>
    </row>
    <row r="597">
      <c r="A597" s="5" t="str">
        <f>IF($J597="","",INDEX('Detalle individual'!$B:$B,$J597))</f>
        <v/>
      </c>
      <c r="B597" s="5" t="str">
        <f>IF($J597="","",INDEX('Detalle individual'!$A:$A,$J597))</f>
        <v/>
      </c>
      <c r="C597" s="5" t="str">
        <f>IF($J597="","",INDEX('Detalle individual'!$E:$E,$J597))</f>
        <v/>
      </c>
      <c r="D597" s="5" t="str">
        <f>IF($J597="","",INDEX('Detalle individual'!$C:$C,$J597))</f>
        <v/>
      </c>
      <c r="E597" s="5" t="str">
        <f>IF($J597="","",INDEX('Detalle individual'!$D:$D,$J597))</f>
        <v/>
      </c>
      <c r="F597" s="23" t="str">
        <f>IF($J597="","",INDEX('Detalle individual'!$H:$H,$J597))</f>
        <v/>
      </c>
      <c r="G597" s="28" t="str">
        <f>IF($J597="","",INDEX('Detalle individual'!$J:$J,$J597))</f>
        <v/>
      </c>
      <c r="H597" s="28" t="str">
        <f>IF($J597="","",INDEX('Detalle individual'!$L:$L,$J597))</f>
        <v/>
      </c>
      <c r="J597" t="str">
        <f>IFERROR(MATCH(SMALL(Cálculos!$AI$5:$AI$1000,593),Cálculos!$AI$5:$AI$1000,0)+4,"")</f>
        <v/>
      </c>
    </row>
    <row r="598">
      <c r="A598" s="5" t="str">
        <f>IF($J598="","",INDEX('Detalle individual'!$B:$B,$J598))</f>
        <v/>
      </c>
      <c r="B598" s="5" t="str">
        <f>IF($J598="","",INDEX('Detalle individual'!$A:$A,$J598))</f>
        <v/>
      </c>
      <c r="C598" s="5" t="str">
        <f>IF($J598="","",INDEX('Detalle individual'!$E:$E,$J598))</f>
        <v/>
      </c>
      <c r="D598" s="5" t="str">
        <f>IF($J598="","",INDEX('Detalle individual'!$C:$C,$J598))</f>
        <v/>
      </c>
      <c r="E598" s="5" t="str">
        <f>IF($J598="","",INDEX('Detalle individual'!$D:$D,$J598))</f>
        <v/>
      </c>
      <c r="F598" s="23" t="str">
        <f>IF($J598="","",INDEX('Detalle individual'!$H:$H,$J598))</f>
        <v/>
      </c>
      <c r="G598" s="28" t="str">
        <f>IF($J598="","",INDEX('Detalle individual'!$J:$J,$J598))</f>
        <v/>
      </c>
      <c r="H598" s="28" t="str">
        <f>IF($J598="","",INDEX('Detalle individual'!$L:$L,$J598))</f>
        <v/>
      </c>
      <c r="J598" t="str">
        <f>IFERROR(MATCH(SMALL(Cálculos!$AI$5:$AI$1000,594),Cálculos!$AI$5:$AI$1000,0)+4,"")</f>
        <v/>
      </c>
    </row>
    <row r="599">
      <c r="A599" s="5" t="str">
        <f>IF($J599="","",INDEX('Detalle individual'!$B:$B,$J599))</f>
        <v/>
      </c>
      <c r="B599" s="5" t="str">
        <f>IF($J599="","",INDEX('Detalle individual'!$A:$A,$J599))</f>
        <v/>
      </c>
      <c r="C599" s="5" t="str">
        <f>IF($J599="","",INDEX('Detalle individual'!$E:$E,$J599))</f>
        <v/>
      </c>
      <c r="D599" s="5" t="str">
        <f>IF($J599="","",INDEX('Detalle individual'!$C:$C,$J599))</f>
        <v/>
      </c>
      <c r="E599" s="5" t="str">
        <f>IF($J599="","",INDEX('Detalle individual'!$D:$D,$J599))</f>
        <v/>
      </c>
      <c r="F599" s="23" t="str">
        <f>IF($J599="","",INDEX('Detalle individual'!$H:$H,$J599))</f>
        <v/>
      </c>
      <c r="G599" s="28" t="str">
        <f>IF($J599="","",INDEX('Detalle individual'!$J:$J,$J599))</f>
        <v/>
      </c>
      <c r="H599" s="28" t="str">
        <f>IF($J599="","",INDEX('Detalle individual'!$L:$L,$J599))</f>
        <v/>
      </c>
      <c r="J599" t="str">
        <f>IFERROR(MATCH(SMALL(Cálculos!$AI$5:$AI$1000,595),Cálculos!$AI$5:$AI$1000,0)+4,"")</f>
        <v/>
      </c>
    </row>
    <row r="600">
      <c r="A600" s="5" t="str">
        <f>IF($J600="","",INDEX('Detalle individual'!$B:$B,$J600))</f>
        <v/>
      </c>
      <c r="B600" s="5" t="str">
        <f>IF($J600="","",INDEX('Detalle individual'!$A:$A,$J600))</f>
        <v/>
      </c>
      <c r="C600" s="5" t="str">
        <f>IF($J600="","",INDEX('Detalle individual'!$E:$E,$J600))</f>
        <v/>
      </c>
      <c r="D600" s="5" t="str">
        <f>IF($J600="","",INDEX('Detalle individual'!$C:$C,$J600))</f>
        <v/>
      </c>
      <c r="E600" s="5" t="str">
        <f>IF($J600="","",INDEX('Detalle individual'!$D:$D,$J600))</f>
        <v/>
      </c>
      <c r="F600" s="23" t="str">
        <f>IF($J600="","",INDEX('Detalle individual'!$H:$H,$J600))</f>
        <v/>
      </c>
      <c r="G600" s="28" t="str">
        <f>IF($J600="","",INDEX('Detalle individual'!$J:$J,$J600))</f>
        <v/>
      </c>
      <c r="H600" s="28" t="str">
        <f>IF($J600="","",INDEX('Detalle individual'!$L:$L,$J600))</f>
        <v/>
      </c>
      <c r="J600" t="str">
        <f>IFERROR(MATCH(SMALL(Cálculos!$AI$5:$AI$1000,596),Cálculos!$AI$5:$AI$1000,0)+4,"")</f>
        <v/>
      </c>
    </row>
    <row r="601">
      <c r="A601" s="5" t="str">
        <f>IF($J601="","",INDEX('Detalle individual'!$B:$B,$J601))</f>
        <v/>
      </c>
      <c r="B601" s="5" t="str">
        <f>IF($J601="","",INDEX('Detalle individual'!$A:$A,$J601))</f>
        <v/>
      </c>
      <c r="C601" s="5" t="str">
        <f>IF($J601="","",INDEX('Detalle individual'!$E:$E,$J601))</f>
        <v/>
      </c>
      <c r="D601" s="5" t="str">
        <f>IF($J601="","",INDEX('Detalle individual'!$C:$C,$J601))</f>
        <v/>
      </c>
      <c r="E601" s="5" t="str">
        <f>IF($J601="","",INDEX('Detalle individual'!$D:$D,$J601))</f>
        <v/>
      </c>
      <c r="F601" s="23" t="str">
        <f>IF($J601="","",INDEX('Detalle individual'!$H:$H,$J601))</f>
        <v/>
      </c>
      <c r="G601" s="28" t="str">
        <f>IF($J601="","",INDEX('Detalle individual'!$J:$J,$J601))</f>
        <v/>
      </c>
      <c r="H601" s="28" t="str">
        <f>IF($J601="","",INDEX('Detalle individual'!$L:$L,$J601))</f>
        <v/>
      </c>
      <c r="J601" t="str">
        <f>IFERROR(MATCH(SMALL(Cálculos!$AI$5:$AI$1000,597),Cálculos!$AI$5:$AI$1000,0)+4,"")</f>
        <v/>
      </c>
    </row>
    <row r="602">
      <c r="A602" s="5" t="str">
        <f>IF($J602="","",INDEX('Detalle individual'!$B:$B,$J602))</f>
        <v/>
      </c>
      <c r="B602" s="5" t="str">
        <f>IF($J602="","",INDEX('Detalle individual'!$A:$A,$J602))</f>
        <v/>
      </c>
      <c r="C602" s="5" t="str">
        <f>IF($J602="","",INDEX('Detalle individual'!$E:$E,$J602))</f>
        <v/>
      </c>
      <c r="D602" s="5" t="str">
        <f>IF($J602="","",INDEX('Detalle individual'!$C:$C,$J602))</f>
        <v/>
      </c>
      <c r="E602" s="5" t="str">
        <f>IF($J602="","",INDEX('Detalle individual'!$D:$D,$J602))</f>
        <v/>
      </c>
      <c r="F602" s="23" t="str">
        <f>IF($J602="","",INDEX('Detalle individual'!$H:$H,$J602))</f>
        <v/>
      </c>
      <c r="G602" s="28" t="str">
        <f>IF($J602="","",INDEX('Detalle individual'!$J:$J,$J602))</f>
        <v/>
      </c>
      <c r="H602" s="28" t="str">
        <f>IF($J602="","",INDEX('Detalle individual'!$L:$L,$J602))</f>
        <v/>
      </c>
      <c r="J602" t="str">
        <f>IFERROR(MATCH(SMALL(Cálculos!$AI$5:$AI$1000,598),Cálculos!$AI$5:$AI$1000,0)+4,"")</f>
        <v/>
      </c>
    </row>
    <row r="603">
      <c r="A603" s="5" t="str">
        <f>IF($J603="","",INDEX('Detalle individual'!$B:$B,$J603))</f>
        <v/>
      </c>
      <c r="B603" s="5" t="str">
        <f>IF($J603="","",INDEX('Detalle individual'!$A:$A,$J603))</f>
        <v/>
      </c>
      <c r="C603" s="5" t="str">
        <f>IF($J603="","",INDEX('Detalle individual'!$E:$E,$J603))</f>
        <v/>
      </c>
      <c r="D603" s="5" t="str">
        <f>IF($J603="","",INDEX('Detalle individual'!$C:$C,$J603))</f>
        <v/>
      </c>
      <c r="E603" s="5" t="str">
        <f>IF($J603="","",INDEX('Detalle individual'!$D:$D,$J603))</f>
        <v/>
      </c>
      <c r="F603" s="23" t="str">
        <f>IF($J603="","",INDEX('Detalle individual'!$H:$H,$J603))</f>
        <v/>
      </c>
      <c r="G603" s="28" t="str">
        <f>IF($J603="","",INDEX('Detalle individual'!$J:$J,$J603))</f>
        <v/>
      </c>
      <c r="H603" s="28" t="str">
        <f>IF($J603="","",INDEX('Detalle individual'!$L:$L,$J603))</f>
        <v/>
      </c>
      <c r="J603" t="str">
        <f>IFERROR(MATCH(SMALL(Cálculos!$AI$5:$AI$1000,599),Cálculos!$AI$5:$AI$1000,0)+4,"")</f>
        <v/>
      </c>
    </row>
    <row r="604">
      <c r="A604" s="5" t="str">
        <f>IF($J604="","",INDEX('Detalle individual'!$B:$B,$J604))</f>
        <v/>
      </c>
      <c r="B604" s="5" t="str">
        <f>IF($J604="","",INDEX('Detalle individual'!$A:$A,$J604))</f>
        <v/>
      </c>
      <c r="C604" s="5" t="str">
        <f>IF($J604="","",INDEX('Detalle individual'!$E:$E,$J604))</f>
        <v/>
      </c>
      <c r="D604" s="5" t="str">
        <f>IF($J604="","",INDEX('Detalle individual'!$C:$C,$J604))</f>
        <v/>
      </c>
      <c r="E604" s="5" t="str">
        <f>IF($J604="","",INDEX('Detalle individual'!$D:$D,$J604))</f>
        <v/>
      </c>
      <c r="F604" s="23" t="str">
        <f>IF($J604="","",INDEX('Detalle individual'!$H:$H,$J604))</f>
        <v/>
      </c>
      <c r="G604" s="28" t="str">
        <f>IF($J604="","",INDEX('Detalle individual'!$J:$J,$J604))</f>
        <v/>
      </c>
      <c r="H604" s="28" t="str">
        <f>IF($J604="","",INDEX('Detalle individual'!$L:$L,$J604))</f>
        <v/>
      </c>
      <c r="J604" t="str">
        <f>IFERROR(MATCH(SMALL(Cálculos!$AI$5:$AI$1000,600),Cálculos!$AI$5:$AI$1000,0)+4,"")</f>
        <v/>
      </c>
    </row>
    <row r="605">
      <c r="A605" s="5" t="str">
        <f>IF($J605="","",INDEX('Detalle individual'!$B:$B,$J605))</f>
        <v/>
      </c>
      <c r="B605" s="5" t="str">
        <f>IF($J605="","",INDEX('Detalle individual'!$A:$A,$J605))</f>
        <v/>
      </c>
      <c r="C605" s="5" t="str">
        <f>IF($J605="","",INDEX('Detalle individual'!$E:$E,$J605))</f>
        <v/>
      </c>
      <c r="D605" s="5" t="str">
        <f>IF($J605="","",INDEX('Detalle individual'!$C:$C,$J605))</f>
        <v/>
      </c>
      <c r="E605" s="5" t="str">
        <f>IF($J605="","",INDEX('Detalle individual'!$D:$D,$J605))</f>
        <v/>
      </c>
      <c r="F605" s="23" t="str">
        <f>IF($J605="","",INDEX('Detalle individual'!$H:$H,$J605))</f>
        <v/>
      </c>
      <c r="G605" s="28" t="str">
        <f>IF($J605="","",INDEX('Detalle individual'!$J:$J,$J605))</f>
        <v/>
      </c>
      <c r="H605" s="28" t="str">
        <f>IF($J605="","",INDEX('Detalle individual'!$L:$L,$J605))</f>
        <v/>
      </c>
      <c r="J605" t="str">
        <f>IFERROR(MATCH(SMALL(Cálculos!$AI$5:$AI$1000,601),Cálculos!$AI$5:$AI$1000,0)+4,"")</f>
        <v/>
      </c>
    </row>
    <row r="606">
      <c r="A606" s="5" t="str">
        <f>IF($J606="","",INDEX('Detalle individual'!$B:$B,$J606))</f>
        <v/>
      </c>
      <c r="B606" s="5" t="str">
        <f>IF($J606="","",INDEX('Detalle individual'!$A:$A,$J606))</f>
        <v/>
      </c>
      <c r="C606" s="5" t="str">
        <f>IF($J606="","",INDEX('Detalle individual'!$E:$E,$J606))</f>
        <v/>
      </c>
      <c r="D606" s="5" t="str">
        <f>IF($J606="","",INDEX('Detalle individual'!$C:$C,$J606))</f>
        <v/>
      </c>
      <c r="E606" s="5" t="str">
        <f>IF($J606="","",INDEX('Detalle individual'!$D:$D,$J606))</f>
        <v/>
      </c>
      <c r="F606" s="23" t="str">
        <f>IF($J606="","",INDEX('Detalle individual'!$H:$H,$J606))</f>
        <v/>
      </c>
      <c r="G606" s="28" t="str">
        <f>IF($J606="","",INDEX('Detalle individual'!$J:$J,$J606))</f>
        <v/>
      </c>
      <c r="H606" s="28" t="str">
        <f>IF($J606="","",INDEX('Detalle individual'!$L:$L,$J606))</f>
        <v/>
      </c>
      <c r="J606" t="str">
        <f>IFERROR(MATCH(SMALL(Cálculos!$AI$5:$AI$1000,602),Cálculos!$AI$5:$AI$1000,0)+4,"")</f>
        <v/>
      </c>
    </row>
    <row r="607">
      <c r="A607" s="5" t="str">
        <f>IF($J607="","",INDEX('Detalle individual'!$B:$B,$J607))</f>
        <v/>
      </c>
      <c r="B607" s="5" t="str">
        <f>IF($J607="","",INDEX('Detalle individual'!$A:$A,$J607))</f>
        <v/>
      </c>
      <c r="C607" s="5" t="str">
        <f>IF($J607="","",INDEX('Detalle individual'!$E:$E,$J607))</f>
        <v/>
      </c>
      <c r="D607" s="5" t="str">
        <f>IF($J607="","",INDEX('Detalle individual'!$C:$C,$J607))</f>
        <v/>
      </c>
      <c r="E607" s="5" t="str">
        <f>IF($J607="","",INDEX('Detalle individual'!$D:$D,$J607))</f>
        <v/>
      </c>
      <c r="F607" s="23" t="str">
        <f>IF($J607="","",INDEX('Detalle individual'!$H:$H,$J607))</f>
        <v/>
      </c>
      <c r="G607" s="28" t="str">
        <f>IF($J607="","",INDEX('Detalle individual'!$J:$J,$J607))</f>
        <v/>
      </c>
      <c r="H607" s="28" t="str">
        <f>IF($J607="","",INDEX('Detalle individual'!$L:$L,$J607))</f>
        <v/>
      </c>
      <c r="J607" t="str">
        <f>IFERROR(MATCH(SMALL(Cálculos!$AI$5:$AI$1000,603),Cálculos!$AI$5:$AI$1000,0)+4,"")</f>
        <v/>
      </c>
    </row>
    <row r="608">
      <c r="A608" s="5" t="str">
        <f>IF($J608="","",INDEX('Detalle individual'!$B:$B,$J608))</f>
        <v/>
      </c>
      <c r="B608" s="5" t="str">
        <f>IF($J608="","",INDEX('Detalle individual'!$A:$A,$J608))</f>
        <v/>
      </c>
      <c r="C608" s="5" t="str">
        <f>IF($J608="","",INDEX('Detalle individual'!$E:$E,$J608))</f>
        <v/>
      </c>
      <c r="D608" s="5" t="str">
        <f>IF($J608="","",INDEX('Detalle individual'!$C:$C,$J608))</f>
        <v/>
      </c>
      <c r="E608" s="5" t="str">
        <f>IF($J608="","",INDEX('Detalle individual'!$D:$D,$J608))</f>
        <v/>
      </c>
      <c r="F608" s="23" t="str">
        <f>IF($J608="","",INDEX('Detalle individual'!$H:$H,$J608))</f>
        <v/>
      </c>
      <c r="G608" s="28" t="str">
        <f>IF($J608="","",INDEX('Detalle individual'!$J:$J,$J608))</f>
        <v/>
      </c>
      <c r="H608" s="28" t="str">
        <f>IF($J608="","",INDEX('Detalle individual'!$L:$L,$J608))</f>
        <v/>
      </c>
      <c r="J608" t="str">
        <f>IFERROR(MATCH(SMALL(Cálculos!$AI$5:$AI$1000,604),Cálculos!$AI$5:$AI$1000,0)+4,"")</f>
        <v/>
      </c>
    </row>
    <row r="609">
      <c r="A609" s="5" t="str">
        <f>IF($J609="","",INDEX('Detalle individual'!$B:$B,$J609))</f>
        <v/>
      </c>
      <c r="B609" s="5" t="str">
        <f>IF($J609="","",INDEX('Detalle individual'!$A:$A,$J609))</f>
        <v/>
      </c>
      <c r="C609" s="5" t="str">
        <f>IF($J609="","",INDEX('Detalle individual'!$E:$E,$J609))</f>
        <v/>
      </c>
      <c r="D609" s="5" t="str">
        <f>IF($J609="","",INDEX('Detalle individual'!$C:$C,$J609))</f>
        <v/>
      </c>
      <c r="E609" s="5" t="str">
        <f>IF($J609="","",INDEX('Detalle individual'!$D:$D,$J609))</f>
        <v/>
      </c>
      <c r="F609" s="23" t="str">
        <f>IF($J609="","",INDEX('Detalle individual'!$H:$H,$J609))</f>
        <v/>
      </c>
      <c r="G609" s="28" t="str">
        <f>IF($J609="","",INDEX('Detalle individual'!$J:$J,$J609))</f>
        <v/>
      </c>
      <c r="H609" s="28" t="str">
        <f>IF($J609="","",INDEX('Detalle individual'!$L:$L,$J609))</f>
        <v/>
      </c>
      <c r="J609" t="str">
        <f>IFERROR(MATCH(SMALL(Cálculos!$AI$5:$AI$1000,605),Cálculos!$AI$5:$AI$1000,0)+4,"")</f>
        <v/>
      </c>
    </row>
    <row r="610">
      <c r="A610" s="5" t="str">
        <f>IF($J610="","",INDEX('Detalle individual'!$B:$B,$J610))</f>
        <v/>
      </c>
      <c r="B610" s="5" t="str">
        <f>IF($J610="","",INDEX('Detalle individual'!$A:$A,$J610))</f>
        <v/>
      </c>
      <c r="C610" s="5" t="str">
        <f>IF($J610="","",INDEX('Detalle individual'!$E:$E,$J610))</f>
        <v/>
      </c>
      <c r="D610" s="5" t="str">
        <f>IF($J610="","",INDEX('Detalle individual'!$C:$C,$J610))</f>
        <v/>
      </c>
      <c r="E610" s="5" t="str">
        <f>IF($J610="","",INDEX('Detalle individual'!$D:$D,$J610))</f>
        <v/>
      </c>
      <c r="F610" s="23" t="str">
        <f>IF($J610="","",INDEX('Detalle individual'!$H:$H,$J610))</f>
        <v/>
      </c>
      <c r="G610" s="28" t="str">
        <f>IF($J610="","",INDEX('Detalle individual'!$J:$J,$J610))</f>
        <v/>
      </c>
      <c r="H610" s="28" t="str">
        <f>IF($J610="","",INDEX('Detalle individual'!$L:$L,$J610))</f>
        <v/>
      </c>
      <c r="J610" t="str">
        <f>IFERROR(MATCH(SMALL(Cálculos!$AI$5:$AI$1000,606),Cálculos!$AI$5:$AI$1000,0)+4,"")</f>
        <v/>
      </c>
    </row>
    <row r="611">
      <c r="A611" s="5" t="str">
        <f>IF($J611="","",INDEX('Detalle individual'!$B:$B,$J611))</f>
        <v/>
      </c>
      <c r="B611" s="5" t="str">
        <f>IF($J611="","",INDEX('Detalle individual'!$A:$A,$J611))</f>
        <v/>
      </c>
      <c r="C611" s="5" t="str">
        <f>IF($J611="","",INDEX('Detalle individual'!$E:$E,$J611))</f>
        <v/>
      </c>
      <c r="D611" s="5" t="str">
        <f>IF($J611="","",INDEX('Detalle individual'!$C:$C,$J611))</f>
        <v/>
      </c>
      <c r="E611" s="5" t="str">
        <f>IF($J611="","",INDEX('Detalle individual'!$D:$D,$J611))</f>
        <v/>
      </c>
      <c r="F611" s="23" t="str">
        <f>IF($J611="","",INDEX('Detalle individual'!$H:$H,$J611))</f>
        <v/>
      </c>
      <c r="G611" s="28" t="str">
        <f>IF($J611="","",INDEX('Detalle individual'!$J:$J,$J611))</f>
        <v/>
      </c>
      <c r="H611" s="28" t="str">
        <f>IF($J611="","",INDEX('Detalle individual'!$L:$L,$J611))</f>
        <v/>
      </c>
      <c r="J611" t="str">
        <f>IFERROR(MATCH(SMALL(Cálculos!$AI$5:$AI$1000,607),Cálculos!$AI$5:$AI$1000,0)+4,"")</f>
        <v/>
      </c>
    </row>
    <row r="612">
      <c r="A612" s="5" t="str">
        <f>IF($J612="","",INDEX('Detalle individual'!$B:$B,$J612))</f>
        <v/>
      </c>
      <c r="B612" s="5" t="str">
        <f>IF($J612="","",INDEX('Detalle individual'!$A:$A,$J612))</f>
        <v/>
      </c>
      <c r="C612" s="5" t="str">
        <f>IF($J612="","",INDEX('Detalle individual'!$E:$E,$J612))</f>
        <v/>
      </c>
      <c r="D612" s="5" t="str">
        <f>IF($J612="","",INDEX('Detalle individual'!$C:$C,$J612))</f>
        <v/>
      </c>
      <c r="E612" s="5" t="str">
        <f>IF($J612="","",INDEX('Detalle individual'!$D:$D,$J612))</f>
        <v/>
      </c>
      <c r="F612" s="23" t="str">
        <f>IF($J612="","",INDEX('Detalle individual'!$H:$H,$J612))</f>
        <v/>
      </c>
      <c r="G612" s="28" t="str">
        <f>IF($J612="","",INDEX('Detalle individual'!$J:$J,$J612))</f>
        <v/>
      </c>
      <c r="H612" s="28" t="str">
        <f>IF($J612="","",INDEX('Detalle individual'!$L:$L,$J612))</f>
        <v/>
      </c>
      <c r="J612" t="str">
        <f>IFERROR(MATCH(SMALL(Cálculos!$AI$5:$AI$1000,608),Cálculos!$AI$5:$AI$1000,0)+4,"")</f>
        <v/>
      </c>
    </row>
    <row r="613">
      <c r="A613" s="5" t="str">
        <f>IF($J613="","",INDEX('Detalle individual'!$B:$B,$J613))</f>
        <v/>
      </c>
      <c r="B613" s="5" t="str">
        <f>IF($J613="","",INDEX('Detalle individual'!$A:$A,$J613))</f>
        <v/>
      </c>
      <c r="C613" s="5" t="str">
        <f>IF($J613="","",INDEX('Detalle individual'!$E:$E,$J613))</f>
        <v/>
      </c>
      <c r="D613" s="5" t="str">
        <f>IF($J613="","",INDEX('Detalle individual'!$C:$C,$J613))</f>
        <v/>
      </c>
      <c r="E613" s="5" t="str">
        <f>IF($J613="","",INDEX('Detalle individual'!$D:$D,$J613))</f>
        <v/>
      </c>
      <c r="F613" s="23" t="str">
        <f>IF($J613="","",INDEX('Detalle individual'!$H:$H,$J613))</f>
        <v/>
      </c>
      <c r="G613" s="28" t="str">
        <f>IF($J613="","",INDEX('Detalle individual'!$J:$J,$J613))</f>
        <v/>
      </c>
      <c r="H613" s="28" t="str">
        <f>IF($J613="","",INDEX('Detalle individual'!$L:$L,$J613))</f>
        <v/>
      </c>
      <c r="J613" t="str">
        <f>IFERROR(MATCH(SMALL(Cálculos!$AI$5:$AI$1000,609),Cálculos!$AI$5:$AI$1000,0)+4,"")</f>
        <v/>
      </c>
    </row>
    <row r="614">
      <c r="A614" s="5" t="str">
        <f>IF($J614="","",INDEX('Detalle individual'!$B:$B,$J614))</f>
        <v/>
      </c>
      <c r="B614" s="5" t="str">
        <f>IF($J614="","",INDEX('Detalle individual'!$A:$A,$J614))</f>
        <v/>
      </c>
      <c r="C614" s="5" t="str">
        <f>IF($J614="","",INDEX('Detalle individual'!$E:$E,$J614))</f>
        <v/>
      </c>
      <c r="D614" s="5" t="str">
        <f>IF($J614="","",INDEX('Detalle individual'!$C:$C,$J614))</f>
        <v/>
      </c>
      <c r="E614" s="5" t="str">
        <f>IF($J614="","",INDEX('Detalle individual'!$D:$D,$J614))</f>
        <v/>
      </c>
      <c r="F614" s="23" t="str">
        <f>IF($J614="","",INDEX('Detalle individual'!$H:$H,$J614))</f>
        <v/>
      </c>
      <c r="G614" s="28" t="str">
        <f>IF($J614="","",INDEX('Detalle individual'!$J:$J,$J614))</f>
        <v/>
      </c>
      <c r="H614" s="28" t="str">
        <f>IF($J614="","",INDEX('Detalle individual'!$L:$L,$J614))</f>
        <v/>
      </c>
      <c r="J614" t="str">
        <f>IFERROR(MATCH(SMALL(Cálculos!$AI$5:$AI$1000,610),Cálculos!$AI$5:$AI$1000,0)+4,"")</f>
        <v/>
      </c>
    </row>
    <row r="615">
      <c r="A615" s="5" t="str">
        <f>IF($J615="","",INDEX('Detalle individual'!$B:$B,$J615))</f>
        <v/>
      </c>
      <c r="B615" s="5" t="str">
        <f>IF($J615="","",INDEX('Detalle individual'!$A:$A,$J615))</f>
        <v/>
      </c>
      <c r="C615" s="5" t="str">
        <f>IF($J615="","",INDEX('Detalle individual'!$E:$E,$J615))</f>
        <v/>
      </c>
      <c r="D615" s="5" t="str">
        <f>IF($J615="","",INDEX('Detalle individual'!$C:$C,$J615))</f>
        <v/>
      </c>
      <c r="E615" s="5" t="str">
        <f>IF($J615="","",INDEX('Detalle individual'!$D:$D,$J615))</f>
        <v/>
      </c>
      <c r="F615" s="23" t="str">
        <f>IF($J615="","",INDEX('Detalle individual'!$H:$H,$J615))</f>
        <v/>
      </c>
      <c r="G615" s="28" t="str">
        <f>IF($J615="","",INDEX('Detalle individual'!$J:$J,$J615))</f>
        <v/>
      </c>
      <c r="H615" s="28" t="str">
        <f>IF($J615="","",INDEX('Detalle individual'!$L:$L,$J615))</f>
        <v/>
      </c>
      <c r="J615" t="str">
        <f>IFERROR(MATCH(SMALL(Cálculos!$AI$5:$AI$1000,611),Cálculos!$AI$5:$AI$1000,0)+4,"")</f>
        <v/>
      </c>
    </row>
    <row r="616">
      <c r="A616" s="5" t="str">
        <f>IF($J616="","",INDEX('Detalle individual'!$B:$B,$J616))</f>
        <v/>
      </c>
      <c r="B616" s="5" t="str">
        <f>IF($J616="","",INDEX('Detalle individual'!$A:$A,$J616))</f>
        <v/>
      </c>
      <c r="C616" s="5" t="str">
        <f>IF($J616="","",INDEX('Detalle individual'!$E:$E,$J616))</f>
        <v/>
      </c>
      <c r="D616" s="5" t="str">
        <f>IF($J616="","",INDEX('Detalle individual'!$C:$C,$J616))</f>
        <v/>
      </c>
      <c r="E616" s="5" t="str">
        <f>IF($J616="","",INDEX('Detalle individual'!$D:$D,$J616))</f>
        <v/>
      </c>
      <c r="F616" s="23" t="str">
        <f>IF($J616="","",INDEX('Detalle individual'!$H:$H,$J616))</f>
        <v/>
      </c>
      <c r="G616" s="28" t="str">
        <f>IF($J616="","",INDEX('Detalle individual'!$J:$J,$J616))</f>
        <v/>
      </c>
      <c r="H616" s="28" t="str">
        <f>IF($J616="","",INDEX('Detalle individual'!$L:$L,$J616))</f>
        <v/>
      </c>
      <c r="J616" t="str">
        <f>IFERROR(MATCH(SMALL(Cálculos!$AI$5:$AI$1000,612),Cálculos!$AI$5:$AI$1000,0)+4,"")</f>
        <v/>
      </c>
    </row>
    <row r="617">
      <c r="A617" s="5" t="str">
        <f>IF($J617="","",INDEX('Detalle individual'!$B:$B,$J617))</f>
        <v/>
      </c>
      <c r="B617" s="5" t="str">
        <f>IF($J617="","",INDEX('Detalle individual'!$A:$A,$J617))</f>
        <v/>
      </c>
      <c r="C617" s="5" t="str">
        <f>IF($J617="","",INDEX('Detalle individual'!$E:$E,$J617))</f>
        <v/>
      </c>
      <c r="D617" s="5" t="str">
        <f>IF($J617="","",INDEX('Detalle individual'!$C:$C,$J617))</f>
        <v/>
      </c>
      <c r="E617" s="5" t="str">
        <f>IF($J617="","",INDEX('Detalle individual'!$D:$D,$J617))</f>
        <v/>
      </c>
      <c r="F617" s="23" t="str">
        <f>IF($J617="","",INDEX('Detalle individual'!$H:$H,$J617))</f>
        <v/>
      </c>
      <c r="G617" s="28" t="str">
        <f>IF($J617="","",INDEX('Detalle individual'!$J:$J,$J617))</f>
        <v/>
      </c>
      <c r="H617" s="28" t="str">
        <f>IF($J617="","",INDEX('Detalle individual'!$L:$L,$J617))</f>
        <v/>
      </c>
      <c r="J617" t="str">
        <f>IFERROR(MATCH(SMALL(Cálculos!$AI$5:$AI$1000,613),Cálculos!$AI$5:$AI$1000,0)+4,"")</f>
        <v/>
      </c>
    </row>
    <row r="618">
      <c r="A618" s="5" t="str">
        <f>IF($J618="","",INDEX('Detalle individual'!$B:$B,$J618))</f>
        <v/>
      </c>
      <c r="B618" s="5" t="str">
        <f>IF($J618="","",INDEX('Detalle individual'!$A:$A,$J618))</f>
        <v/>
      </c>
      <c r="C618" s="5" t="str">
        <f>IF($J618="","",INDEX('Detalle individual'!$E:$E,$J618))</f>
        <v/>
      </c>
      <c r="D618" s="5" t="str">
        <f>IF($J618="","",INDEX('Detalle individual'!$C:$C,$J618))</f>
        <v/>
      </c>
      <c r="E618" s="5" t="str">
        <f>IF($J618="","",INDEX('Detalle individual'!$D:$D,$J618))</f>
        <v/>
      </c>
      <c r="F618" s="23" t="str">
        <f>IF($J618="","",INDEX('Detalle individual'!$H:$H,$J618))</f>
        <v/>
      </c>
      <c r="G618" s="28" t="str">
        <f>IF($J618="","",INDEX('Detalle individual'!$J:$J,$J618))</f>
        <v/>
      </c>
      <c r="H618" s="28" t="str">
        <f>IF($J618="","",INDEX('Detalle individual'!$L:$L,$J618))</f>
        <v/>
      </c>
      <c r="J618" t="str">
        <f>IFERROR(MATCH(SMALL(Cálculos!$AI$5:$AI$1000,614),Cálculos!$AI$5:$AI$1000,0)+4,"")</f>
        <v/>
      </c>
    </row>
    <row r="619">
      <c r="A619" s="5" t="str">
        <f>IF($J619="","",INDEX('Detalle individual'!$B:$B,$J619))</f>
        <v/>
      </c>
      <c r="B619" s="5" t="str">
        <f>IF($J619="","",INDEX('Detalle individual'!$A:$A,$J619))</f>
        <v/>
      </c>
      <c r="C619" s="5" t="str">
        <f>IF($J619="","",INDEX('Detalle individual'!$E:$E,$J619))</f>
        <v/>
      </c>
      <c r="D619" s="5" t="str">
        <f>IF($J619="","",INDEX('Detalle individual'!$C:$C,$J619))</f>
        <v/>
      </c>
      <c r="E619" s="5" t="str">
        <f>IF($J619="","",INDEX('Detalle individual'!$D:$D,$J619))</f>
        <v/>
      </c>
      <c r="F619" s="23" t="str">
        <f>IF($J619="","",INDEX('Detalle individual'!$H:$H,$J619))</f>
        <v/>
      </c>
      <c r="G619" s="28" t="str">
        <f>IF($J619="","",INDEX('Detalle individual'!$J:$J,$J619))</f>
        <v/>
      </c>
      <c r="H619" s="28" t="str">
        <f>IF($J619="","",INDEX('Detalle individual'!$L:$L,$J619))</f>
        <v/>
      </c>
      <c r="J619" t="str">
        <f>IFERROR(MATCH(SMALL(Cálculos!$AI$5:$AI$1000,615),Cálculos!$AI$5:$AI$1000,0)+4,"")</f>
        <v/>
      </c>
    </row>
    <row r="620">
      <c r="A620" s="5" t="str">
        <f>IF($J620="","",INDEX('Detalle individual'!$B:$B,$J620))</f>
        <v/>
      </c>
      <c r="B620" s="5" t="str">
        <f>IF($J620="","",INDEX('Detalle individual'!$A:$A,$J620))</f>
        <v/>
      </c>
      <c r="C620" s="5" t="str">
        <f>IF($J620="","",INDEX('Detalle individual'!$E:$E,$J620))</f>
        <v/>
      </c>
      <c r="D620" s="5" t="str">
        <f>IF($J620="","",INDEX('Detalle individual'!$C:$C,$J620))</f>
        <v/>
      </c>
      <c r="E620" s="5" t="str">
        <f>IF($J620="","",INDEX('Detalle individual'!$D:$D,$J620))</f>
        <v/>
      </c>
      <c r="F620" s="23" t="str">
        <f>IF($J620="","",INDEX('Detalle individual'!$H:$H,$J620))</f>
        <v/>
      </c>
      <c r="G620" s="28" t="str">
        <f>IF($J620="","",INDEX('Detalle individual'!$J:$J,$J620))</f>
        <v/>
      </c>
      <c r="H620" s="28" t="str">
        <f>IF($J620="","",INDEX('Detalle individual'!$L:$L,$J620))</f>
        <v/>
      </c>
      <c r="J620" t="str">
        <f>IFERROR(MATCH(SMALL(Cálculos!$AI$5:$AI$1000,616),Cálculos!$AI$5:$AI$1000,0)+4,"")</f>
        <v/>
      </c>
    </row>
    <row r="621">
      <c r="A621" s="5" t="str">
        <f>IF($J621="","",INDEX('Detalle individual'!$B:$B,$J621))</f>
        <v/>
      </c>
      <c r="B621" s="5" t="str">
        <f>IF($J621="","",INDEX('Detalle individual'!$A:$A,$J621))</f>
        <v/>
      </c>
      <c r="C621" s="5" t="str">
        <f>IF($J621="","",INDEX('Detalle individual'!$E:$E,$J621))</f>
        <v/>
      </c>
      <c r="D621" s="5" t="str">
        <f>IF($J621="","",INDEX('Detalle individual'!$C:$C,$J621))</f>
        <v/>
      </c>
      <c r="E621" s="5" t="str">
        <f>IF($J621="","",INDEX('Detalle individual'!$D:$D,$J621))</f>
        <v/>
      </c>
      <c r="F621" s="23" t="str">
        <f>IF($J621="","",INDEX('Detalle individual'!$H:$H,$J621))</f>
        <v/>
      </c>
      <c r="G621" s="28" t="str">
        <f>IF($J621="","",INDEX('Detalle individual'!$J:$J,$J621))</f>
        <v/>
      </c>
      <c r="H621" s="28" t="str">
        <f>IF($J621="","",INDEX('Detalle individual'!$L:$L,$J621))</f>
        <v/>
      </c>
      <c r="J621" t="str">
        <f>IFERROR(MATCH(SMALL(Cálculos!$AI$5:$AI$1000,617),Cálculos!$AI$5:$AI$1000,0)+4,"")</f>
        <v/>
      </c>
    </row>
    <row r="622">
      <c r="A622" s="5" t="str">
        <f>IF($J622="","",INDEX('Detalle individual'!$B:$B,$J622))</f>
        <v/>
      </c>
      <c r="B622" s="5" t="str">
        <f>IF($J622="","",INDEX('Detalle individual'!$A:$A,$J622))</f>
        <v/>
      </c>
      <c r="C622" s="5" t="str">
        <f>IF($J622="","",INDEX('Detalle individual'!$E:$E,$J622))</f>
        <v/>
      </c>
      <c r="D622" s="5" t="str">
        <f>IF($J622="","",INDEX('Detalle individual'!$C:$C,$J622))</f>
        <v/>
      </c>
      <c r="E622" s="5" t="str">
        <f>IF($J622="","",INDEX('Detalle individual'!$D:$D,$J622))</f>
        <v/>
      </c>
      <c r="F622" s="23" t="str">
        <f>IF($J622="","",INDEX('Detalle individual'!$H:$H,$J622))</f>
        <v/>
      </c>
      <c r="G622" s="28" t="str">
        <f>IF($J622="","",INDEX('Detalle individual'!$J:$J,$J622))</f>
        <v/>
      </c>
      <c r="H622" s="28" t="str">
        <f>IF($J622="","",INDEX('Detalle individual'!$L:$L,$J622))</f>
        <v/>
      </c>
      <c r="J622" t="str">
        <f>IFERROR(MATCH(SMALL(Cálculos!$AI$5:$AI$1000,618),Cálculos!$AI$5:$AI$1000,0)+4,"")</f>
        <v/>
      </c>
    </row>
    <row r="623">
      <c r="A623" s="5" t="str">
        <f>IF($J623="","",INDEX('Detalle individual'!$B:$B,$J623))</f>
        <v/>
      </c>
      <c r="B623" s="5" t="str">
        <f>IF($J623="","",INDEX('Detalle individual'!$A:$A,$J623))</f>
        <v/>
      </c>
      <c r="C623" s="5" t="str">
        <f>IF($J623="","",INDEX('Detalle individual'!$E:$E,$J623))</f>
        <v/>
      </c>
      <c r="D623" s="5" t="str">
        <f>IF($J623="","",INDEX('Detalle individual'!$C:$C,$J623))</f>
        <v/>
      </c>
      <c r="E623" s="5" t="str">
        <f>IF($J623="","",INDEX('Detalle individual'!$D:$D,$J623))</f>
        <v/>
      </c>
      <c r="F623" s="23" t="str">
        <f>IF($J623="","",INDEX('Detalle individual'!$H:$H,$J623))</f>
        <v/>
      </c>
      <c r="G623" s="28" t="str">
        <f>IF($J623="","",INDEX('Detalle individual'!$J:$J,$J623))</f>
        <v/>
      </c>
      <c r="H623" s="28" t="str">
        <f>IF($J623="","",INDEX('Detalle individual'!$L:$L,$J623))</f>
        <v/>
      </c>
      <c r="J623" t="str">
        <f>IFERROR(MATCH(SMALL(Cálculos!$AI$5:$AI$1000,619),Cálculos!$AI$5:$AI$1000,0)+4,"")</f>
        <v/>
      </c>
    </row>
    <row r="624">
      <c r="A624" s="5" t="str">
        <f>IF($J624="","",INDEX('Detalle individual'!$B:$B,$J624))</f>
        <v/>
      </c>
      <c r="B624" s="5" t="str">
        <f>IF($J624="","",INDEX('Detalle individual'!$A:$A,$J624))</f>
        <v/>
      </c>
      <c r="C624" s="5" t="str">
        <f>IF($J624="","",INDEX('Detalle individual'!$E:$E,$J624))</f>
        <v/>
      </c>
      <c r="D624" s="5" t="str">
        <f>IF($J624="","",INDEX('Detalle individual'!$C:$C,$J624))</f>
        <v/>
      </c>
      <c r="E624" s="5" t="str">
        <f>IF($J624="","",INDEX('Detalle individual'!$D:$D,$J624))</f>
        <v/>
      </c>
      <c r="F624" s="23" t="str">
        <f>IF($J624="","",INDEX('Detalle individual'!$H:$H,$J624))</f>
        <v/>
      </c>
      <c r="G624" s="28" t="str">
        <f>IF($J624="","",INDEX('Detalle individual'!$J:$J,$J624))</f>
        <v/>
      </c>
      <c r="H624" s="28" t="str">
        <f>IF($J624="","",INDEX('Detalle individual'!$L:$L,$J624))</f>
        <v/>
      </c>
      <c r="J624" t="str">
        <f>IFERROR(MATCH(SMALL(Cálculos!$AI$5:$AI$1000,620),Cálculos!$AI$5:$AI$1000,0)+4,"")</f>
        <v/>
      </c>
    </row>
    <row r="625">
      <c r="A625" s="5" t="str">
        <f>IF($J625="","",INDEX('Detalle individual'!$B:$B,$J625))</f>
        <v/>
      </c>
      <c r="B625" s="5" t="str">
        <f>IF($J625="","",INDEX('Detalle individual'!$A:$A,$J625))</f>
        <v/>
      </c>
      <c r="C625" s="5" t="str">
        <f>IF($J625="","",INDEX('Detalle individual'!$E:$E,$J625))</f>
        <v/>
      </c>
      <c r="D625" s="5" t="str">
        <f>IF($J625="","",INDEX('Detalle individual'!$C:$C,$J625))</f>
        <v/>
      </c>
      <c r="E625" s="5" t="str">
        <f>IF($J625="","",INDEX('Detalle individual'!$D:$D,$J625))</f>
        <v/>
      </c>
      <c r="F625" s="23" t="str">
        <f>IF($J625="","",INDEX('Detalle individual'!$H:$H,$J625))</f>
        <v/>
      </c>
      <c r="G625" s="28" t="str">
        <f>IF($J625="","",INDEX('Detalle individual'!$J:$J,$J625))</f>
        <v/>
      </c>
      <c r="H625" s="28" t="str">
        <f>IF($J625="","",INDEX('Detalle individual'!$L:$L,$J625))</f>
        <v/>
      </c>
      <c r="J625" t="str">
        <f>IFERROR(MATCH(SMALL(Cálculos!$AI$5:$AI$1000,621),Cálculos!$AI$5:$AI$1000,0)+4,"")</f>
        <v/>
      </c>
    </row>
    <row r="626">
      <c r="A626" s="5" t="str">
        <f>IF($J626="","",INDEX('Detalle individual'!$B:$B,$J626))</f>
        <v/>
      </c>
      <c r="B626" s="5" t="str">
        <f>IF($J626="","",INDEX('Detalle individual'!$A:$A,$J626))</f>
        <v/>
      </c>
      <c r="C626" s="5" t="str">
        <f>IF($J626="","",INDEX('Detalle individual'!$E:$E,$J626))</f>
        <v/>
      </c>
      <c r="D626" s="5" t="str">
        <f>IF($J626="","",INDEX('Detalle individual'!$C:$C,$J626))</f>
        <v/>
      </c>
      <c r="E626" s="5" t="str">
        <f>IF($J626="","",INDEX('Detalle individual'!$D:$D,$J626))</f>
        <v/>
      </c>
      <c r="F626" s="23" t="str">
        <f>IF($J626="","",INDEX('Detalle individual'!$H:$H,$J626))</f>
        <v/>
      </c>
      <c r="G626" s="28" t="str">
        <f>IF($J626="","",INDEX('Detalle individual'!$J:$J,$J626))</f>
        <v/>
      </c>
      <c r="H626" s="28" t="str">
        <f>IF($J626="","",INDEX('Detalle individual'!$L:$L,$J626))</f>
        <v/>
      </c>
      <c r="J626" t="str">
        <f>IFERROR(MATCH(SMALL(Cálculos!$AI$5:$AI$1000,622),Cálculos!$AI$5:$AI$1000,0)+4,"")</f>
        <v/>
      </c>
    </row>
    <row r="627">
      <c r="A627" s="5" t="str">
        <f>IF($J627="","",INDEX('Detalle individual'!$B:$B,$J627))</f>
        <v/>
      </c>
      <c r="B627" s="5" t="str">
        <f>IF($J627="","",INDEX('Detalle individual'!$A:$A,$J627))</f>
        <v/>
      </c>
      <c r="C627" s="5" t="str">
        <f>IF($J627="","",INDEX('Detalle individual'!$E:$E,$J627))</f>
        <v/>
      </c>
      <c r="D627" s="5" t="str">
        <f>IF($J627="","",INDEX('Detalle individual'!$C:$C,$J627))</f>
        <v/>
      </c>
      <c r="E627" s="5" t="str">
        <f>IF($J627="","",INDEX('Detalle individual'!$D:$D,$J627))</f>
        <v/>
      </c>
      <c r="F627" s="23" t="str">
        <f>IF($J627="","",INDEX('Detalle individual'!$H:$H,$J627))</f>
        <v/>
      </c>
      <c r="G627" s="28" t="str">
        <f>IF($J627="","",INDEX('Detalle individual'!$J:$J,$J627))</f>
        <v/>
      </c>
      <c r="H627" s="28" t="str">
        <f>IF($J627="","",INDEX('Detalle individual'!$L:$L,$J627))</f>
        <v/>
      </c>
      <c r="J627" t="str">
        <f>IFERROR(MATCH(SMALL(Cálculos!$AI$5:$AI$1000,623),Cálculos!$AI$5:$AI$1000,0)+4,"")</f>
        <v/>
      </c>
    </row>
    <row r="628">
      <c r="A628" s="5" t="str">
        <f>IF($J628="","",INDEX('Detalle individual'!$B:$B,$J628))</f>
        <v/>
      </c>
      <c r="B628" s="5" t="str">
        <f>IF($J628="","",INDEX('Detalle individual'!$A:$A,$J628))</f>
        <v/>
      </c>
      <c r="C628" s="5" t="str">
        <f>IF($J628="","",INDEX('Detalle individual'!$E:$E,$J628))</f>
        <v/>
      </c>
      <c r="D628" s="5" t="str">
        <f>IF($J628="","",INDEX('Detalle individual'!$C:$C,$J628))</f>
        <v/>
      </c>
      <c r="E628" s="5" t="str">
        <f>IF($J628="","",INDEX('Detalle individual'!$D:$D,$J628))</f>
        <v/>
      </c>
      <c r="F628" s="23" t="str">
        <f>IF($J628="","",INDEX('Detalle individual'!$H:$H,$J628))</f>
        <v/>
      </c>
      <c r="G628" s="28" t="str">
        <f>IF($J628="","",INDEX('Detalle individual'!$J:$J,$J628))</f>
        <v/>
      </c>
      <c r="H628" s="28" t="str">
        <f>IF($J628="","",INDEX('Detalle individual'!$L:$L,$J628))</f>
        <v/>
      </c>
      <c r="J628" t="str">
        <f>IFERROR(MATCH(SMALL(Cálculos!$AI$5:$AI$1000,624),Cálculos!$AI$5:$AI$1000,0)+4,"")</f>
        <v/>
      </c>
    </row>
    <row r="629">
      <c r="A629" s="5" t="str">
        <f>IF($J629="","",INDEX('Detalle individual'!$B:$B,$J629))</f>
        <v/>
      </c>
      <c r="B629" s="5" t="str">
        <f>IF($J629="","",INDEX('Detalle individual'!$A:$A,$J629))</f>
        <v/>
      </c>
      <c r="C629" s="5" t="str">
        <f>IF($J629="","",INDEX('Detalle individual'!$E:$E,$J629))</f>
        <v/>
      </c>
      <c r="D629" s="5" t="str">
        <f>IF($J629="","",INDEX('Detalle individual'!$C:$C,$J629))</f>
        <v/>
      </c>
      <c r="E629" s="5" t="str">
        <f>IF($J629="","",INDEX('Detalle individual'!$D:$D,$J629))</f>
        <v/>
      </c>
      <c r="F629" s="23" t="str">
        <f>IF($J629="","",INDEX('Detalle individual'!$H:$H,$J629))</f>
        <v/>
      </c>
      <c r="G629" s="28" t="str">
        <f>IF($J629="","",INDEX('Detalle individual'!$J:$J,$J629))</f>
        <v/>
      </c>
      <c r="H629" s="28" t="str">
        <f>IF($J629="","",INDEX('Detalle individual'!$L:$L,$J629))</f>
        <v/>
      </c>
      <c r="J629" t="str">
        <f>IFERROR(MATCH(SMALL(Cálculos!$AI$5:$AI$1000,625),Cálculos!$AI$5:$AI$1000,0)+4,"")</f>
        <v/>
      </c>
    </row>
    <row r="630">
      <c r="A630" s="5" t="str">
        <f>IF($J630="","",INDEX('Detalle individual'!$B:$B,$J630))</f>
        <v/>
      </c>
      <c r="B630" s="5" t="str">
        <f>IF($J630="","",INDEX('Detalle individual'!$A:$A,$J630))</f>
        <v/>
      </c>
      <c r="C630" s="5" t="str">
        <f>IF($J630="","",INDEX('Detalle individual'!$E:$E,$J630))</f>
        <v/>
      </c>
      <c r="D630" s="5" t="str">
        <f>IF($J630="","",INDEX('Detalle individual'!$C:$C,$J630))</f>
        <v/>
      </c>
      <c r="E630" s="5" t="str">
        <f>IF($J630="","",INDEX('Detalle individual'!$D:$D,$J630))</f>
        <v/>
      </c>
      <c r="F630" s="23" t="str">
        <f>IF($J630="","",INDEX('Detalle individual'!$H:$H,$J630))</f>
        <v/>
      </c>
      <c r="G630" s="28" t="str">
        <f>IF($J630="","",INDEX('Detalle individual'!$J:$J,$J630))</f>
        <v/>
      </c>
      <c r="H630" s="28" t="str">
        <f>IF($J630="","",INDEX('Detalle individual'!$L:$L,$J630))</f>
        <v/>
      </c>
      <c r="J630" t="str">
        <f>IFERROR(MATCH(SMALL(Cálculos!$AI$5:$AI$1000,626),Cálculos!$AI$5:$AI$1000,0)+4,"")</f>
        <v/>
      </c>
    </row>
    <row r="631">
      <c r="A631" s="5" t="str">
        <f>IF($J631="","",INDEX('Detalle individual'!$B:$B,$J631))</f>
        <v/>
      </c>
      <c r="B631" s="5" t="str">
        <f>IF($J631="","",INDEX('Detalle individual'!$A:$A,$J631))</f>
        <v/>
      </c>
      <c r="C631" s="5" t="str">
        <f>IF($J631="","",INDEX('Detalle individual'!$E:$E,$J631))</f>
        <v/>
      </c>
      <c r="D631" s="5" t="str">
        <f>IF($J631="","",INDEX('Detalle individual'!$C:$C,$J631))</f>
        <v/>
      </c>
      <c r="E631" s="5" t="str">
        <f>IF($J631="","",INDEX('Detalle individual'!$D:$D,$J631))</f>
        <v/>
      </c>
      <c r="F631" s="23" t="str">
        <f>IF($J631="","",INDEX('Detalle individual'!$H:$H,$J631))</f>
        <v/>
      </c>
      <c r="G631" s="28" t="str">
        <f>IF($J631="","",INDEX('Detalle individual'!$J:$J,$J631))</f>
        <v/>
      </c>
      <c r="H631" s="28" t="str">
        <f>IF($J631="","",INDEX('Detalle individual'!$L:$L,$J631))</f>
        <v/>
      </c>
      <c r="J631" t="str">
        <f>IFERROR(MATCH(SMALL(Cálculos!$AI$5:$AI$1000,627),Cálculos!$AI$5:$AI$1000,0)+4,"")</f>
        <v/>
      </c>
    </row>
    <row r="632">
      <c r="A632" s="5" t="str">
        <f>IF($J632="","",INDEX('Detalle individual'!$B:$B,$J632))</f>
        <v/>
      </c>
      <c r="B632" s="5" t="str">
        <f>IF($J632="","",INDEX('Detalle individual'!$A:$A,$J632))</f>
        <v/>
      </c>
      <c r="C632" s="5" t="str">
        <f>IF($J632="","",INDEX('Detalle individual'!$E:$E,$J632))</f>
        <v/>
      </c>
      <c r="D632" s="5" t="str">
        <f>IF($J632="","",INDEX('Detalle individual'!$C:$C,$J632))</f>
        <v/>
      </c>
      <c r="E632" s="5" t="str">
        <f>IF($J632="","",INDEX('Detalle individual'!$D:$D,$J632))</f>
        <v/>
      </c>
      <c r="F632" s="23" t="str">
        <f>IF($J632="","",INDEX('Detalle individual'!$H:$H,$J632))</f>
        <v/>
      </c>
      <c r="G632" s="28" t="str">
        <f>IF($J632="","",INDEX('Detalle individual'!$J:$J,$J632))</f>
        <v/>
      </c>
      <c r="H632" s="28" t="str">
        <f>IF($J632="","",INDEX('Detalle individual'!$L:$L,$J632))</f>
        <v/>
      </c>
      <c r="J632" t="str">
        <f>IFERROR(MATCH(SMALL(Cálculos!$AI$5:$AI$1000,628),Cálculos!$AI$5:$AI$1000,0)+4,"")</f>
        <v/>
      </c>
    </row>
    <row r="633">
      <c r="A633" s="5" t="str">
        <f>IF($J633="","",INDEX('Detalle individual'!$B:$B,$J633))</f>
        <v/>
      </c>
      <c r="B633" s="5" t="str">
        <f>IF($J633="","",INDEX('Detalle individual'!$A:$A,$J633))</f>
        <v/>
      </c>
      <c r="C633" s="5" t="str">
        <f>IF($J633="","",INDEX('Detalle individual'!$E:$E,$J633))</f>
        <v/>
      </c>
      <c r="D633" s="5" t="str">
        <f>IF($J633="","",INDEX('Detalle individual'!$C:$C,$J633))</f>
        <v/>
      </c>
      <c r="E633" s="5" t="str">
        <f>IF($J633="","",INDEX('Detalle individual'!$D:$D,$J633))</f>
        <v/>
      </c>
      <c r="F633" s="23" t="str">
        <f>IF($J633="","",INDEX('Detalle individual'!$H:$H,$J633))</f>
        <v/>
      </c>
      <c r="G633" s="28" t="str">
        <f>IF($J633="","",INDEX('Detalle individual'!$J:$J,$J633))</f>
        <v/>
      </c>
      <c r="H633" s="28" t="str">
        <f>IF($J633="","",INDEX('Detalle individual'!$L:$L,$J633))</f>
        <v/>
      </c>
      <c r="J633" t="str">
        <f>IFERROR(MATCH(SMALL(Cálculos!$AI$5:$AI$1000,629),Cálculos!$AI$5:$AI$1000,0)+4,"")</f>
        <v/>
      </c>
    </row>
    <row r="634">
      <c r="A634" s="5" t="str">
        <f>IF($J634="","",INDEX('Detalle individual'!$B:$B,$J634))</f>
        <v/>
      </c>
      <c r="B634" s="5" t="str">
        <f>IF($J634="","",INDEX('Detalle individual'!$A:$A,$J634))</f>
        <v/>
      </c>
      <c r="C634" s="5" t="str">
        <f>IF($J634="","",INDEX('Detalle individual'!$E:$E,$J634))</f>
        <v/>
      </c>
      <c r="D634" s="5" t="str">
        <f>IF($J634="","",INDEX('Detalle individual'!$C:$C,$J634))</f>
        <v/>
      </c>
      <c r="E634" s="5" t="str">
        <f>IF($J634="","",INDEX('Detalle individual'!$D:$D,$J634))</f>
        <v/>
      </c>
      <c r="F634" s="23" t="str">
        <f>IF($J634="","",INDEX('Detalle individual'!$H:$H,$J634))</f>
        <v/>
      </c>
      <c r="G634" s="28" t="str">
        <f>IF($J634="","",INDEX('Detalle individual'!$J:$J,$J634))</f>
        <v/>
      </c>
      <c r="H634" s="28" t="str">
        <f>IF($J634="","",INDEX('Detalle individual'!$L:$L,$J634))</f>
        <v/>
      </c>
      <c r="J634" t="str">
        <f>IFERROR(MATCH(SMALL(Cálculos!$AI$5:$AI$1000,630),Cálculos!$AI$5:$AI$1000,0)+4,"")</f>
        <v/>
      </c>
    </row>
    <row r="635">
      <c r="A635" s="5" t="str">
        <f>IF($J635="","",INDEX('Detalle individual'!$B:$B,$J635))</f>
        <v/>
      </c>
      <c r="B635" s="5" t="str">
        <f>IF($J635="","",INDEX('Detalle individual'!$A:$A,$J635))</f>
        <v/>
      </c>
      <c r="C635" s="5" t="str">
        <f>IF($J635="","",INDEX('Detalle individual'!$E:$E,$J635))</f>
        <v/>
      </c>
      <c r="D635" s="5" t="str">
        <f>IF($J635="","",INDEX('Detalle individual'!$C:$C,$J635))</f>
        <v/>
      </c>
      <c r="E635" s="5" t="str">
        <f>IF($J635="","",INDEX('Detalle individual'!$D:$D,$J635))</f>
        <v/>
      </c>
      <c r="F635" s="23" t="str">
        <f>IF($J635="","",INDEX('Detalle individual'!$H:$H,$J635))</f>
        <v/>
      </c>
      <c r="G635" s="28" t="str">
        <f>IF($J635="","",INDEX('Detalle individual'!$J:$J,$J635))</f>
        <v/>
      </c>
      <c r="H635" s="28" t="str">
        <f>IF($J635="","",INDEX('Detalle individual'!$L:$L,$J635))</f>
        <v/>
      </c>
      <c r="J635" t="str">
        <f>IFERROR(MATCH(SMALL(Cálculos!$AI$5:$AI$1000,631),Cálculos!$AI$5:$AI$1000,0)+4,"")</f>
        <v/>
      </c>
    </row>
    <row r="636">
      <c r="A636" s="5" t="str">
        <f>IF($J636="","",INDEX('Detalle individual'!$B:$B,$J636))</f>
        <v/>
      </c>
      <c r="B636" s="5" t="str">
        <f>IF($J636="","",INDEX('Detalle individual'!$A:$A,$J636))</f>
        <v/>
      </c>
      <c r="C636" s="5" t="str">
        <f>IF($J636="","",INDEX('Detalle individual'!$E:$E,$J636))</f>
        <v/>
      </c>
      <c r="D636" s="5" t="str">
        <f>IF($J636="","",INDEX('Detalle individual'!$C:$C,$J636))</f>
        <v/>
      </c>
      <c r="E636" s="5" t="str">
        <f>IF($J636="","",INDEX('Detalle individual'!$D:$D,$J636))</f>
        <v/>
      </c>
      <c r="F636" s="23" t="str">
        <f>IF($J636="","",INDEX('Detalle individual'!$H:$H,$J636))</f>
        <v/>
      </c>
      <c r="G636" s="28" t="str">
        <f>IF($J636="","",INDEX('Detalle individual'!$J:$J,$J636))</f>
        <v/>
      </c>
      <c r="H636" s="28" t="str">
        <f>IF($J636="","",INDEX('Detalle individual'!$L:$L,$J636))</f>
        <v/>
      </c>
      <c r="J636" t="str">
        <f>IFERROR(MATCH(SMALL(Cálculos!$AI$5:$AI$1000,632),Cálculos!$AI$5:$AI$1000,0)+4,"")</f>
        <v/>
      </c>
    </row>
    <row r="637">
      <c r="A637" s="5" t="str">
        <f>IF($J637="","",INDEX('Detalle individual'!$B:$B,$J637))</f>
        <v/>
      </c>
      <c r="B637" s="5" t="str">
        <f>IF($J637="","",INDEX('Detalle individual'!$A:$A,$J637))</f>
        <v/>
      </c>
      <c r="C637" s="5" t="str">
        <f>IF($J637="","",INDEX('Detalle individual'!$E:$E,$J637))</f>
        <v/>
      </c>
      <c r="D637" s="5" t="str">
        <f>IF($J637="","",INDEX('Detalle individual'!$C:$C,$J637))</f>
        <v/>
      </c>
      <c r="E637" s="5" t="str">
        <f>IF($J637="","",INDEX('Detalle individual'!$D:$D,$J637))</f>
        <v/>
      </c>
      <c r="F637" s="23" t="str">
        <f>IF($J637="","",INDEX('Detalle individual'!$H:$H,$J637))</f>
        <v/>
      </c>
      <c r="G637" s="28" t="str">
        <f>IF($J637="","",INDEX('Detalle individual'!$J:$J,$J637))</f>
        <v/>
      </c>
      <c r="H637" s="28" t="str">
        <f>IF($J637="","",INDEX('Detalle individual'!$L:$L,$J637))</f>
        <v/>
      </c>
      <c r="J637" t="str">
        <f>IFERROR(MATCH(SMALL(Cálculos!$AI$5:$AI$1000,633),Cálculos!$AI$5:$AI$1000,0)+4,"")</f>
        <v/>
      </c>
    </row>
    <row r="638">
      <c r="A638" s="5" t="str">
        <f>IF($J638="","",INDEX('Detalle individual'!$B:$B,$J638))</f>
        <v/>
      </c>
      <c r="B638" s="5" t="str">
        <f>IF($J638="","",INDEX('Detalle individual'!$A:$A,$J638))</f>
        <v/>
      </c>
      <c r="C638" s="5" t="str">
        <f>IF($J638="","",INDEX('Detalle individual'!$E:$E,$J638))</f>
        <v/>
      </c>
      <c r="D638" s="5" t="str">
        <f>IF($J638="","",INDEX('Detalle individual'!$C:$C,$J638))</f>
        <v/>
      </c>
      <c r="E638" s="5" t="str">
        <f>IF($J638="","",INDEX('Detalle individual'!$D:$D,$J638))</f>
        <v/>
      </c>
      <c r="F638" s="23" t="str">
        <f>IF($J638="","",INDEX('Detalle individual'!$H:$H,$J638))</f>
        <v/>
      </c>
      <c r="G638" s="28" t="str">
        <f>IF($J638="","",INDEX('Detalle individual'!$J:$J,$J638))</f>
        <v/>
      </c>
      <c r="H638" s="28" t="str">
        <f>IF($J638="","",INDEX('Detalle individual'!$L:$L,$J638))</f>
        <v/>
      </c>
      <c r="J638" t="str">
        <f>IFERROR(MATCH(SMALL(Cálculos!$AI$5:$AI$1000,634),Cálculos!$AI$5:$AI$1000,0)+4,"")</f>
        <v/>
      </c>
    </row>
    <row r="639">
      <c r="A639" s="5" t="str">
        <f>IF($J639="","",INDEX('Detalle individual'!$B:$B,$J639))</f>
        <v/>
      </c>
      <c r="B639" s="5" t="str">
        <f>IF($J639="","",INDEX('Detalle individual'!$A:$A,$J639))</f>
        <v/>
      </c>
      <c r="C639" s="5" t="str">
        <f>IF($J639="","",INDEX('Detalle individual'!$E:$E,$J639))</f>
        <v/>
      </c>
      <c r="D639" s="5" t="str">
        <f>IF($J639="","",INDEX('Detalle individual'!$C:$C,$J639))</f>
        <v/>
      </c>
      <c r="E639" s="5" t="str">
        <f>IF($J639="","",INDEX('Detalle individual'!$D:$D,$J639))</f>
        <v/>
      </c>
      <c r="F639" s="23" t="str">
        <f>IF($J639="","",INDEX('Detalle individual'!$H:$H,$J639))</f>
        <v/>
      </c>
      <c r="G639" s="28" t="str">
        <f>IF($J639="","",INDEX('Detalle individual'!$J:$J,$J639))</f>
        <v/>
      </c>
      <c r="H639" s="28" t="str">
        <f>IF($J639="","",INDEX('Detalle individual'!$L:$L,$J639))</f>
        <v/>
      </c>
      <c r="J639" t="str">
        <f>IFERROR(MATCH(SMALL(Cálculos!$AI$5:$AI$1000,635),Cálculos!$AI$5:$AI$1000,0)+4,"")</f>
        <v/>
      </c>
    </row>
    <row r="640">
      <c r="A640" s="5" t="str">
        <f>IF($J640="","",INDEX('Detalle individual'!$B:$B,$J640))</f>
        <v/>
      </c>
      <c r="B640" s="5" t="str">
        <f>IF($J640="","",INDEX('Detalle individual'!$A:$A,$J640))</f>
        <v/>
      </c>
      <c r="C640" s="5" t="str">
        <f>IF($J640="","",INDEX('Detalle individual'!$E:$E,$J640))</f>
        <v/>
      </c>
      <c r="D640" s="5" t="str">
        <f>IF($J640="","",INDEX('Detalle individual'!$C:$C,$J640))</f>
        <v/>
      </c>
      <c r="E640" s="5" t="str">
        <f>IF($J640="","",INDEX('Detalle individual'!$D:$D,$J640))</f>
        <v/>
      </c>
      <c r="F640" s="23" t="str">
        <f>IF($J640="","",INDEX('Detalle individual'!$H:$H,$J640))</f>
        <v/>
      </c>
      <c r="G640" s="28" t="str">
        <f>IF($J640="","",INDEX('Detalle individual'!$J:$J,$J640))</f>
        <v/>
      </c>
      <c r="H640" s="28" t="str">
        <f>IF($J640="","",INDEX('Detalle individual'!$L:$L,$J640))</f>
        <v/>
      </c>
      <c r="J640" t="str">
        <f>IFERROR(MATCH(SMALL(Cálculos!$AI$5:$AI$1000,636),Cálculos!$AI$5:$AI$1000,0)+4,"")</f>
        <v/>
      </c>
    </row>
    <row r="641">
      <c r="A641" s="5" t="str">
        <f>IF($J641="","",INDEX('Detalle individual'!$B:$B,$J641))</f>
        <v/>
      </c>
      <c r="B641" s="5" t="str">
        <f>IF($J641="","",INDEX('Detalle individual'!$A:$A,$J641))</f>
        <v/>
      </c>
      <c r="C641" s="5" t="str">
        <f>IF($J641="","",INDEX('Detalle individual'!$E:$E,$J641))</f>
        <v/>
      </c>
      <c r="D641" s="5" t="str">
        <f>IF($J641="","",INDEX('Detalle individual'!$C:$C,$J641))</f>
        <v/>
      </c>
      <c r="E641" s="5" t="str">
        <f>IF($J641="","",INDEX('Detalle individual'!$D:$D,$J641))</f>
        <v/>
      </c>
      <c r="F641" s="23" t="str">
        <f>IF($J641="","",INDEX('Detalle individual'!$H:$H,$J641))</f>
        <v/>
      </c>
      <c r="G641" s="28" t="str">
        <f>IF($J641="","",INDEX('Detalle individual'!$J:$J,$J641))</f>
        <v/>
      </c>
      <c r="H641" s="28" t="str">
        <f>IF($J641="","",INDEX('Detalle individual'!$L:$L,$J641))</f>
        <v/>
      </c>
      <c r="J641" t="str">
        <f>IFERROR(MATCH(SMALL(Cálculos!$AI$5:$AI$1000,637),Cálculos!$AI$5:$AI$1000,0)+4,"")</f>
        <v/>
      </c>
    </row>
    <row r="642">
      <c r="A642" s="5" t="str">
        <f>IF($J642="","",INDEX('Detalle individual'!$B:$B,$J642))</f>
        <v/>
      </c>
      <c r="B642" s="5" t="str">
        <f>IF($J642="","",INDEX('Detalle individual'!$A:$A,$J642))</f>
        <v/>
      </c>
      <c r="C642" s="5" t="str">
        <f>IF($J642="","",INDEX('Detalle individual'!$E:$E,$J642))</f>
        <v/>
      </c>
      <c r="D642" s="5" t="str">
        <f>IF($J642="","",INDEX('Detalle individual'!$C:$C,$J642))</f>
        <v/>
      </c>
      <c r="E642" s="5" t="str">
        <f>IF($J642="","",INDEX('Detalle individual'!$D:$D,$J642))</f>
        <v/>
      </c>
      <c r="F642" s="23" t="str">
        <f>IF($J642="","",INDEX('Detalle individual'!$H:$H,$J642))</f>
        <v/>
      </c>
      <c r="G642" s="28" t="str">
        <f>IF($J642="","",INDEX('Detalle individual'!$J:$J,$J642))</f>
        <v/>
      </c>
      <c r="H642" s="28" t="str">
        <f>IF($J642="","",INDEX('Detalle individual'!$L:$L,$J642))</f>
        <v/>
      </c>
      <c r="J642" t="str">
        <f>IFERROR(MATCH(SMALL(Cálculos!$AI$5:$AI$1000,638),Cálculos!$AI$5:$AI$1000,0)+4,"")</f>
        <v/>
      </c>
    </row>
    <row r="643">
      <c r="A643" s="5" t="str">
        <f>IF($J643="","",INDEX('Detalle individual'!$B:$B,$J643))</f>
        <v/>
      </c>
      <c r="B643" s="5" t="str">
        <f>IF($J643="","",INDEX('Detalle individual'!$A:$A,$J643))</f>
        <v/>
      </c>
      <c r="C643" s="5" t="str">
        <f>IF($J643="","",INDEX('Detalle individual'!$E:$E,$J643))</f>
        <v/>
      </c>
      <c r="D643" s="5" t="str">
        <f>IF($J643="","",INDEX('Detalle individual'!$C:$C,$J643))</f>
        <v/>
      </c>
      <c r="E643" s="5" t="str">
        <f>IF($J643="","",INDEX('Detalle individual'!$D:$D,$J643))</f>
        <v/>
      </c>
      <c r="F643" s="23" t="str">
        <f>IF($J643="","",INDEX('Detalle individual'!$H:$H,$J643))</f>
        <v/>
      </c>
      <c r="G643" s="28" t="str">
        <f>IF($J643="","",INDEX('Detalle individual'!$J:$J,$J643))</f>
        <v/>
      </c>
      <c r="H643" s="28" t="str">
        <f>IF($J643="","",INDEX('Detalle individual'!$L:$L,$J643))</f>
        <v/>
      </c>
      <c r="J643" t="str">
        <f>IFERROR(MATCH(SMALL(Cálculos!$AI$5:$AI$1000,639),Cálculos!$AI$5:$AI$1000,0)+4,"")</f>
        <v/>
      </c>
    </row>
    <row r="644">
      <c r="A644" s="5" t="str">
        <f>IF($J644="","",INDEX('Detalle individual'!$B:$B,$J644))</f>
        <v/>
      </c>
      <c r="B644" s="5" t="str">
        <f>IF($J644="","",INDEX('Detalle individual'!$A:$A,$J644))</f>
        <v/>
      </c>
      <c r="C644" s="5" t="str">
        <f>IF($J644="","",INDEX('Detalle individual'!$E:$E,$J644))</f>
        <v/>
      </c>
      <c r="D644" s="5" t="str">
        <f>IF($J644="","",INDEX('Detalle individual'!$C:$C,$J644))</f>
        <v/>
      </c>
      <c r="E644" s="5" t="str">
        <f>IF($J644="","",INDEX('Detalle individual'!$D:$D,$J644))</f>
        <v/>
      </c>
      <c r="F644" s="23" t="str">
        <f>IF($J644="","",INDEX('Detalle individual'!$H:$H,$J644))</f>
        <v/>
      </c>
      <c r="G644" s="28" t="str">
        <f>IF($J644="","",INDEX('Detalle individual'!$J:$J,$J644))</f>
        <v/>
      </c>
      <c r="H644" s="28" t="str">
        <f>IF($J644="","",INDEX('Detalle individual'!$L:$L,$J644))</f>
        <v/>
      </c>
      <c r="J644" t="str">
        <f>IFERROR(MATCH(SMALL(Cálculos!$AI$5:$AI$1000,640),Cálculos!$AI$5:$AI$1000,0)+4,"")</f>
        <v/>
      </c>
    </row>
    <row r="645">
      <c r="A645" s="5" t="str">
        <f>IF($J645="","",INDEX('Detalle individual'!$B:$B,$J645))</f>
        <v/>
      </c>
      <c r="B645" s="5" t="str">
        <f>IF($J645="","",INDEX('Detalle individual'!$A:$A,$J645))</f>
        <v/>
      </c>
      <c r="C645" s="5" t="str">
        <f>IF($J645="","",INDEX('Detalle individual'!$E:$E,$J645))</f>
        <v/>
      </c>
      <c r="D645" s="5" t="str">
        <f>IF($J645="","",INDEX('Detalle individual'!$C:$C,$J645))</f>
        <v/>
      </c>
      <c r="E645" s="5" t="str">
        <f>IF($J645="","",INDEX('Detalle individual'!$D:$D,$J645))</f>
        <v/>
      </c>
      <c r="F645" s="23" t="str">
        <f>IF($J645="","",INDEX('Detalle individual'!$H:$H,$J645))</f>
        <v/>
      </c>
      <c r="G645" s="28" t="str">
        <f>IF($J645="","",INDEX('Detalle individual'!$J:$J,$J645))</f>
        <v/>
      </c>
      <c r="H645" s="28" t="str">
        <f>IF($J645="","",INDEX('Detalle individual'!$L:$L,$J645))</f>
        <v/>
      </c>
      <c r="J645" t="str">
        <f>IFERROR(MATCH(SMALL(Cálculos!$AI$5:$AI$1000,641),Cálculos!$AI$5:$AI$1000,0)+4,"")</f>
        <v/>
      </c>
    </row>
    <row r="646">
      <c r="A646" s="5" t="str">
        <f>IF($J646="","",INDEX('Detalle individual'!$B:$B,$J646))</f>
        <v/>
      </c>
      <c r="B646" s="5" t="str">
        <f>IF($J646="","",INDEX('Detalle individual'!$A:$A,$J646))</f>
        <v/>
      </c>
      <c r="C646" s="5" t="str">
        <f>IF($J646="","",INDEX('Detalle individual'!$E:$E,$J646))</f>
        <v/>
      </c>
      <c r="D646" s="5" t="str">
        <f>IF($J646="","",INDEX('Detalle individual'!$C:$C,$J646))</f>
        <v/>
      </c>
      <c r="E646" s="5" t="str">
        <f>IF($J646="","",INDEX('Detalle individual'!$D:$D,$J646))</f>
        <v/>
      </c>
      <c r="F646" s="23" t="str">
        <f>IF($J646="","",INDEX('Detalle individual'!$H:$H,$J646))</f>
        <v/>
      </c>
      <c r="G646" s="28" t="str">
        <f>IF($J646="","",INDEX('Detalle individual'!$J:$J,$J646))</f>
        <v/>
      </c>
      <c r="H646" s="28" t="str">
        <f>IF($J646="","",INDEX('Detalle individual'!$L:$L,$J646))</f>
        <v/>
      </c>
      <c r="J646" t="str">
        <f>IFERROR(MATCH(SMALL(Cálculos!$AI$5:$AI$1000,642),Cálculos!$AI$5:$AI$1000,0)+4,"")</f>
        <v/>
      </c>
    </row>
    <row r="647">
      <c r="A647" s="5" t="str">
        <f>IF($J647="","",INDEX('Detalle individual'!$B:$B,$J647))</f>
        <v/>
      </c>
      <c r="B647" s="5" t="str">
        <f>IF($J647="","",INDEX('Detalle individual'!$A:$A,$J647))</f>
        <v/>
      </c>
      <c r="C647" s="5" t="str">
        <f>IF($J647="","",INDEX('Detalle individual'!$E:$E,$J647))</f>
        <v/>
      </c>
      <c r="D647" s="5" t="str">
        <f>IF($J647="","",INDEX('Detalle individual'!$C:$C,$J647))</f>
        <v/>
      </c>
      <c r="E647" s="5" t="str">
        <f>IF($J647="","",INDEX('Detalle individual'!$D:$D,$J647))</f>
        <v/>
      </c>
      <c r="F647" s="23" t="str">
        <f>IF($J647="","",INDEX('Detalle individual'!$H:$H,$J647))</f>
        <v/>
      </c>
      <c r="G647" s="28" t="str">
        <f>IF($J647="","",INDEX('Detalle individual'!$J:$J,$J647))</f>
        <v/>
      </c>
      <c r="H647" s="28" t="str">
        <f>IF($J647="","",INDEX('Detalle individual'!$L:$L,$J647))</f>
        <v/>
      </c>
      <c r="J647" t="str">
        <f>IFERROR(MATCH(SMALL(Cálculos!$AI$5:$AI$1000,643),Cálculos!$AI$5:$AI$1000,0)+4,"")</f>
        <v/>
      </c>
    </row>
    <row r="648">
      <c r="A648" s="5" t="str">
        <f>IF($J648="","",INDEX('Detalle individual'!$B:$B,$J648))</f>
        <v/>
      </c>
      <c r="B648" s="5" t="str">
        <f>IF($J648="","",INDEX('Detalle individual'!$A:$A,$J648))</f>
        <v/>
      </c>
      <c r="C648" s="5" t="str">
        <f>IF($J648="","",INDEX('Detalle individual'!$E:$E,$J648))</f>
        <v/>
      </c>
      <c r="D648" s="5" t="str">
        <f>IF($J648="","",INDEX('Detalle individual'!$C:$C,$J648))</f>
        <v/>
      </c>
      <c r="E648" s="5" t="str">
        <f>IF($J648="","",INDEX('Detalle individual'!$D:$D,$J648))</f>
        <v/>
      </c>
      <c r="F648" s="23" t="str">
        <f>IF($J648="","",INDEX('Detalle individual'!$H:$H,$J648))</f>
        <v/>
      </c>
      <c r="G648" s="28" t="str">
        <f>IF($J648="","",INDEX('Detalle individual'!$J:$J,$J648))</f>
        <v/>
      </c>
      <c r="H648" s="28" t="str">
        <f>IF($J648="","",INDEX('Detalle individual'!$L:$L,$J648))</f>
        <v/>
      </c>
      <c r="J648" t="str">
        <f>IFERROR(MATCH(SMALL(Cálculos!$AI$5:$AI$1000,644),Cálculos!$AI$5:$AI$1000,0)+4,"")</f>
        <v/>
      </c>
    </row>
    <row r="649">
      <c r="A649" s="5" t="str">
        <f>IF($J649="","",INDEX('Detalle individual'!$B:$B,$J649))</f>
        <v/>
      </c>
      <c r="B649" s="5" t="str">
        <f>IF($J649="","",INDEX('Detalle individual'!$A:$A,$J649))</f>
        <v/>
      </c>
      <c r="C649" s="5" t="str">
        <f>IF($J649="","",INDEX('Detalle individual'!$E:$E,$J649))</f>
        <v/>
      </c>
      <c r="D649" s="5" t="str">
        <f>IF($J649="","",INDEX('Detalle individual'!$C:$C,$J649))</f>
        <v/>
      </c>
      <c r="E649" s="5" t="str">
        <f>IF($J649="","",INDEX('Detalle individual'!$D:$D,$J649))</f>
        <v/>
      </c>
      <c r="F649" s="23" t="str">
        <f>IF($J649="","",INDEX('Detalle individual'!$H:$H,$J649))</f>
        <v/>
      </c>
      <c r="G649" s="28" t="str">
        <f>IF($J649="","",INDEX('Detalle individual'!$J:$J,$J649))</f>
        <v/>
      </c>
      <c r="H649" s="28" t="str">
        <f>IF($J649="","",INDEX('Detalle individual'!$L:$L,$J649))</f>
        <v/>
      </c>
      <c r="J649" t="str">
        <f>IFERROR(MATCH(SMALL(Cálculos!$AI$5:$AI$1000,645),Cálculos!$AI$5:$AI$1000,0)+4,"")</f>
        <v/>
      </c>
    </row>
    <row r="650">
      <c r="A650" s="5" t="str">
        <f>IF($J650="","",INDEX('Detalle individual'!$B:$B,$J650))</f>
        <v/>
      </c>
      <c r="B650" s="5" t="str">
        <f>IF($J650="","",INDEX('Detalle individual'!$A:$A,$J650))</f>
        <v/>
      </c>
      <c r="C650" s="5" t="str">
        <f>IF($J650="","",INDEX('Detalle individual'!$E:$E,$J650))</f>
        <v/>
      </c>
      <c r="D650" s="5" t="str">
        <f>IF($J650="","",INDEX('Detalle individual'!$C:$C,$J650))</f>
        <v/>
      </c>
      <c r="E650" s="5" t="str">
        <f>IF($J650="","",INDEX('Detalle individual'!$D:$D,$J650))</f>
        <v/>
      </c>
      <c r="F650" s="23" t="str">
        <f>IF($J650="","",INDEX('Detalle individual'!$H:$H,$J650))</f>
        <v/>
      </c>
      <c r="G650" s="28" t="str">
        <f>IF($J650="","",INDEX('Detalle individual'!$J:$J,$J650))</f>
        <v/>
      </c>
      <c r="H650" s="28" t="str">
        <f>IF($J650="","",INDEX('Detalle individual'!$L:$L,$J650))</f>
        <v/>
      </c>
      <c r="J650" t="str">
        <f>IFERROR(MATCH(SMALL(Cálculos!$AI$5:$AI$1000,646),Cálculos!$AI$5:$AI$1000,0)+4,"")</f>
        <v/>
      </c>
    </row>
    <row r="651">
      <c r="A651" s="5" t="str">
        <f>IF($J651="","",INDEX('Detalle individual'!$B:$B,$J651))</f>
        <v/>
      </c>
      <c r="B651" s="5" t="str">
        <f>IF($J651="","",INDEX('Detalle individual'!$A:$A,$J651))</f>
        <v/>
      </c>
      <c r="C651" s="5" t="str">
        <f>IF($J651="","",INDEX('Detalle individual'!$E:$E,$J651))</f>
        <v/>
      </c>
      <c r="D651" s="5" t="str">
        <f>IF($J651="","",INDEX('Detalle individual'!$C:$C,$J651))</f>
        <v/>
      </c>
      <c r="E651" s="5" t="str">
        <f>IF($J651="","",INDEX('Detalle individual'!$D:$D,$J651))</f>
        <v/>
      </c>
      <c r="F651" s="23" t="str">
        <f>IF($J651="","",INDEX('Detalle individual'!$H:$H,$J651))</f>
        <v/>
      </c>
      <c r="G651" s="28" t="str">
        <f>IF($J651="","",INDEX('Detalle individual'!$J:$J,$J651))</f>
        <v/>
      </c>
      <c r="H651" s="28" t="str">
        <f>IF($J651="","",INDEX('Detalle individual'!$L:$L,$J651))</f>
        <v/>
      </c>
      <c r="J651" t="str">
        <f>IFERROR(MATCH(SMALL(Cálculos!$AI$5:$AI$1000,647),Cálculos!$AI$5:$AI$1000,0)+4,"")</f>
        <v/>
      </c>
    </row>
    <row r="652">
      <c r="A652" s="5" t="str">
        <f>IF($J652="","",INDEX('Detalle individual'!$B:$B,$J652))</f>
        <v/>
      </c>
      <c r="B652" s="5" t="str">
        <f>IF($J652="","",INDEX('Detalle individual'!$A:$A,$J652))</f>
        <v/>
      </c>
      <c r="C652" s="5" t="str">
        <f>IF($J652="","",INDEX('Detalle individual'!$E:$E,$J652))</f>
        <v/>
      </c>
      <c r="D652" s="5" t="str">
        <f>IF($J652="","",INDEX('Detalle individual'!$C:$C,$J652))</f>
        <v/>
      </c>
      <c r="E652" s="5" t="str">
        <f>IF($J652="","",INDEX('Detalle individual'!$D:$D,$J652))</f>
        <v/>
      </c>
      <c r="F652" s="23" t="str">
        <f>IF($J652="","",INDEX('Detalle individual'!$H:$H,$J652))</f>
        <v/>
      </c>
      <c r="G652" s="28" t="str">
        <f>IF($J652="","",INDEX('Detalle individual'!$J:$J,$J652))</f>
        <v/>
      </c>
      <c r="H652" s="28" t="str">
        <f>IF($J652="","",INDEX('Detalle individual'!$L:$L,$J652))</f>
        <v/>
      </c>
      <c r="J652" t="str">
        <f>IFERROR(MATCH(SMALL(Cálculos!$AI$5:$AI$1000,648),Cálculos!$AI$5:$AI$1000,0)+4,"")</f>
        <v/>
      </c>
    </row>
    <row r="653">
      <c r="A653" s="5" t="str">
        <f>IF($J653="","",INDEX('Detalle individual'!$B:$B,$J653))</f>
        <v/>
      </c>
      <c r="B653" s="5" t="str">
        <f>IF($J653="","",INDEX('Detalle individual'!$A:$A,$J653))</f>
        <v/>
      </c>
      <c r="C653" s="5" t="str">
        <f>IF($J653="","",INDEX('Detalle individual'!$E:$E,$J653))</f>
        <v/>
      </c>
      <c r="D653" s="5" t="str">
        <f>IF($J653="","",INDEX('Detalle individual'!$C:$C,$J653))</f>
        <v/>
      </c>
      <c r="E653" s="5" t="str">
        <f>IF($J653="","",INDEX('Detalle individual'!$D:$D,$J653))</f>
        <v/>
      </c>
      <c r="F653" s="23" t="str">
        <f>IF($J653="","",INDEX('Detalle individual'!$H:$H,$J653))</f>
        <v/>
      </c>
      <c r="G653" s="28" t="str">
        <f>IF($J653="","",INDEX('Detalle individual'!$J:$J,$J653))</f>
        <v/>
      </c>
      <c r="H653" s="28" t="str">
        <f>IF($J653="","",INDEX('Detalle individual'!$L:$L,$J653))</f>
        <v/>
      </c>
      <c r="J653" t="str">
        <f>IFERROR(MATCH(SMALL(Cálculos!$AI$5:$AI$1000,649),Cálculos!$AI$5:$AI$1000,0)+4,"")</f>
        <v/>
      </c>
    </row>
    <row r="654">
      <c r="A654" s="5" t="str">
        <f>IF($J654="","",INDEX('Detalle individual'!$B:$B,$J654))</f>
        <v/>
      </c>
      <c r="B654" s="5" t="str">
        <f>IF($J654="","",INDEX('Detalle individual'!$A:$A,$J654))</f>
        <v/>
      </c>
      <c r="C654" s="5" t="str">
        <f>IF($J654="","",INDEX('Detalle individual'!$E:$E,$J654))</f>
        <v/>
      </c>
      <c r="D654" s="5" t="str">
        <f>IF($J654="","",INDEX('Detalle individual'!$C:$C,$J654))</f>
        <v/>
      </c>
      <c r="E654" s="5" t="str">
        <f>IF($J654="","",INDEX('Detalle individual'!$D:$D,$J654))</f>
        <v/>
      </c>
      <c r="F654" s="23" t="str">
        <f>IF($J654="","",INDEX('Detalle individual'!$H:$H,$J654))</f>
        <v/>
      </c>
      <c r="G654" s="28" t="str">
        <f>IF($J654="","",INDEX('Detalle individual'!$J:$J,$J654))</f>
        <v/>
      </c>
      <c r="H654" s="28" t="str">
        <f>IF($J654="","",INDEX('Detalle individual'!$L:$L,$J654))</f>
        <v/>
      </c>
      <c r="J654" t="str">
        <f>IFERROR(MATCH(SMALL(Cálculos!$AI$5:$AI$1000,650),Cálculos!$AI$5:$AI$1000,0)+4,"")</f>
        <v/>
      </c>
    </row>
    <row r="655">
      <c r="A655" s="5" t="str">
        <f>IF($J655="","",INDEX('Detalle individual'!$B:$B,$J655))</f>
        <v/>
      </c>
      <c r="B655" s="5" t="str">
        <f>IF($J655="","",INDEX('Detalle individual'!$A:$A,$J655))</f>
        <v/>
      </c>
      <c r="C655" s="5" t="str">
        <f>IF($J655="","",INDEX('Detalle individual'!$E:$E,$J655))</f>
        <v/>
      </c>
      <c r="D655" s="5" t="str">
        <f>IF($J655="","",INDEX('Detalle individual'!$C:$C,$J655))</f>
        <v/>
      </c>
      <c r="E655" s="5" t="str">
        <f>IF($J655="","",INDEX('Detalle individual'!$D:$D,$J655))</f>
        <v/>
      </c>
      <c r="F655" s="23" t="str">
        <f>IF($J655="","",INDEX('Detalle individual'!$H:$H,$J655))</f>
        <v/>
      </c>
      <c r="G655" s="28" t="str">
        <f>IF($J655="","",INDEX('Detalle individual'!$J:$J,$J655))</f>
        <v/>
      </c>
      <c r="H655" s="28" t="str">
        <f>IF($J655="","",INDEX('Detalle individual'!$L:$L,$J655))</f>
        <v/>
      </c>
      <c r="J655" t="str">
        <f>IFERROR(MATCH(SMALL(Cálculos!$AI$5:$AI$1000,651),Cálculos!$AI$5:$AI$1000,0)+4,"")</f>
        <v/>
      </c>
    </row>
    <row r="656">
      <c r="A656" s="5" t="str">
        <f>IF($J656="","",INDEX('Detalle individual'!$B:$B,$J656))</f>
        <v/>
      </c>
      <c r="B656" s="5" t="str">
        <f>IF($J656="","",INDEX('Detalle individual'!$A:$A,$J656))</f>
        <v/>
      </c>
      <c r="C656" s="5" t="str">
        <f>IF($J656="","",INDEX('Detalle individual'!$E:$E,$J656))</f>
        <v/>
      </c>
      <c r="D656" s="5" t="str">
        <f>IF($J656="","",INDEX('Detalle individual'!$C:$C,$J656))</f>
        <v/>
      </c>
      <c r="E656" s="5" t="str">
        <f>IF($J656="","",INDEX('Detalle individual'!$D:$D,$J656))</f>
        <v/>
      </c>
      <c r="F656" s="23" t="str">
        <f>IF($J656="","",INDEX('Detalle individual'!$H:$H,$J656))</f>
        <v/>
      </c>
      <c r="G656" s="28" t="str">
        <f>IF($J656="","",INDEX('Detalle individual'!$J:$J,$J656))</f>
        <v/>
      </c>
      <c r="H656" s="28" t="str">
        <f>IF($J656="","",INDEX('Detalle individual'!$L:$L,$J656))</f>
        <v/>
      </c>
      <c r="J656" t="str">
        <f>IFERROR(MATCH(SMALL(Cálculos!$AI$5:$AI$1000,652),Cálculos!$AI$5:$AI$1000,0)+4,"")</f>
        <v/>
      </c>
    </row>
    <row r="657">
      <c r="A657" s="5" t="str">
        <f>IF($J657="","",INDEX('Detalle individual'!$B:$B,$J657))</f>
        <v/>
      </c>
      <c r="B657" s="5" t="str">
        <f>IF($J657="","",INDEX('Detalle individual'!$A:$A,$J657))</f>
        <v/>
      </c>
      <c r="C657" s="5" t="str">
        <f>IF($J657="","",INDEX('Detalle individual'!$E:$E,$J657))</f>
        <v/>
      </c>
      <c r="D657" s="5" t="str">
        <f>IF($J657="","",INDEX('Detalle individual'!$C:$C,$J657))</f>
        <v/>
      </c>
      <c r="E657" s="5" t="str">
        <f>IF($J657="","",INDEX('Detalle individual'!$D:$D,$J657))</f>
        <v/>
      </c>
      <c r="F657" s="23" t="str">
        <f>IF($J657="","",INDEX('Detalle individual'!$H:$H,$J657))</f>
        <v/>
      </c>
      <c r="G657" s="28" t="str">
        <f>IF($J657="","",INDEX('Detalle individual'!$J:$J,$J657))</f>
        <v/>
      </c>
      <c r="H657" s="28" t="str">
        <f>IF($J657="","",INDEX('Detalle individual'!$L:$L,$J657))</f>
        <v/>
      </c>
      <c r="J657" t="str">
        <f>IFERROR(MATCH(SMALL(Cálculos!$AI$5:$AI$1000,653),Cálculos!$AI$5:$AI$1000,0)+4,"")</f>
        <v/>
      </c>
    </row>
    <row r="658">
      <c r="A658" s="5" t="str">
        <f>IF($J658="","",INDEX('Detalle individual'!$B:$B,$J658))</f>
        <v/>
      </c>
      <c r="B658" s="5" t="str">
        <f>IF($J658="","",INDEX('Detalle individual'!$A:$A,$J658))</f>
        <v/>
      </c>
      <c r="C658" s="5" t="str">
        <f>IF($J658="","",INDEX('Detalle individual'!$E:$E,$J658))</f>
        <v/>
      </c>
      <c r="D658" s="5" t="str">
        <f>IF($J658="","",INDEX('Detalle individual'!$C:$C,$J658))</f>
        <v/>
      </c>
      <c r="E658" s="5" t="str">
        <f>IF($J658="","",INDEX('Detalle individual'!$D:$D,$J658))</f>
        <v/>
      </c>
      <c r="F658" s="23" t="str">
        <f>IF($J658="","",INDEX('Detalle individual'!$H:$H,$J658))</f>
        <v/>
      </c>
      <c r="G658" s="28" t="str">
        <f>IF($J658="","",INDEX('Detalle individual'!$J:$J,$J658))</f>
        <v/>
      </c>
      <c r="H658" s="28" t="str">
        <f>IF($J658="","",INDEX('Detalle individual'!$L:$L,$J658))</f>
        <v/>
      </c>
      <c r="J658" t="str">
        <f>IFERROR(MATCH(SMALL(Cálculos!$AI$5:$AI$1000,654),Cálculos!$AI$5:$AI$1000,0)+4,"")</f>
        <v/>
      </c>
    </row>
    <row r="659">
      <c r="A659" s="5" t="str">
        <f>IF($J659="","",INDEX('Detalle individual'!$B:$B,$J659))</f>
        <v/>
      </c>
      <c r="B659" s="5" t="str">
        <f>IF($J659="","",INDEX('Detalle individual'!$A:$A,$J659))</f>
        <v/>
      </c>
      <c r="C659" s="5" t="str">
        <f>IF($J659="","",INDEX('Detalle individual'!$E:$E,$J659))</f>
        <v/>
      </c>
      <c r="D659" s="5" t="str">
        <f>IF($J659="","",INDEX('Detalle individual'!$C:$C,$J659))</f>
        <v/>
      </c>
      <c r="E659" s="5" t="str">
        <f>IF($J659="","",INDEX('Detalle individual'!$D:$D,$J659))</f>
        <v/>
      </c>
      <c r="F659" s="23" t="str">
        <f>IF($J659="","",INDEX('Detalle individual'!$H:$H,$J659))</f>
        <v/>
      </c>
      <c r="G659" s="28" t="str">
        <f>IF($J659="","",INDEX('Detalle individual'!$J:$J,$J659))</f>
        <v/>
      </c>
      <c r="H659" s="28" t="str">
        <f>IF($J659="","",INDEX('Detalle individual'!$L:$L,$J659))</f>
        <v/>
      </c>
      <c r="J659" t="str">
        <f>IFERROR(MATCH(SMALL(Cálculos!$AI$5:$AI$1000,655),Cálculos!$AI$5:$AI$1000,0)+4,"")</f>
        <v/>
      </c>
    </row>
    <row r="660">
      <c r="A660" s="5" t="str">
        <f>IF($J660="","",INDEX('Detalle individual'!$B:$B,$J660))</f>
        <v/>
      </c>
      <c r="B660" s="5" t="str">
        <f>IF($J660="","",INDEX('Detalle individual'!$A:$A,$J660))</f>
        <v/>
      </c>
      <c r="C660" s="5" t="str">
        <f>IF($J660="","",INDEX('Detalle individual'!$E:$E,$J660))</f>
        <v/>
      </c>
      <c r="D660" s="5" t="str">
        <f>IF($J660="","",INDEX('Detalle individual'!$C:$C,$J660))</f>
        <v/>
      </c>
      <c r="E660" s="5" t="str">
        <f>IF($J660="","",INDEX('Detalle individual'!$D:$D,$J660))</f>
        <v/>
      </c>
      <c r="F660" s="23" t="str">
        <f>IF($J660="","",INDEX('Detalle individual'!$H:$H,$J660))</f>
        <v/>
      </c>
      <c r="G660" s="28" t="str">
        <f>IF($J660="","",INDEX('Detalle individual'!$J:$J,$J660))</f>
        <v/>
      </c>
      <c r="H660" s="28" t="str">
        <f>IF($J660="","",INDEX('Detalle individual'!$L:$L,$J660))</f>
        <v/>
      </c>
      <c r="J660" t="str">
        <f>IFERROR(MATCH(SMALL(Cálculos!$AI$5:$AI$1000,656),Cálculos!$AI$5:$AI$1000,0)+4,"")</f>
        <v/>
      </c>
    </row>
    <row r="661">
      <c r="A661" s="5" t="str">
        <f>IF($J661="","",INDEX('Detalle individual'!$B:$B,$J661))</f>
        <v/>
      </c>
      <c r="B661" s="5" t="str">
        <f>IF($J661="","",INDEX('Detalle individual'!$A:$A,$J661))</f>
        <v/>
      </c>
      <c r="C661" s="5" t="str">
        <f>IF($J661="","",INDEX('Detalle individual'!$E:$E,$J661))</f>
        <v/>
      </c>
      <c r="D661" s="5" t="str">
        <f>IF($J661="","",INDEX('Detalle individual'!$C:$C,$J661))</f>
        <v/>
      </c>
      <c r="E661" s="5" t="str">
        <f>IF($J661="","",INDEX('Detalle individual'!$D:$D,$J661))</f>
        <v/>
      </c>
      <c r="F661" s="23" t="str">
        <f>IF($J661="","",INDEX('Detalle individual'!$H:$H,$J661))</f>
        <v/>
      </c>
      <c r="G661" s="28" t="str">
        <f>IF($J661="","",INDEX('Detalle individual'!$J:$J,$J661))</f>
        <v/>
      </c>
      <c r="H661" s="28" t="str">
        <f>IF($J661="","",INDEX('Detalle individual'!$L:$L,$J661))</f>
        <v/>
      </c>
      <c r="J661" t="str">
        <f>IFERROR(MATCH(SMALL(Cálculos!$AI$5:$AI$1000,657),Cálculos!$AI$5:$AI$1000,0)+4,"")</f>
        <v/>
      </c>
    </row>
    <row r="662">
      <c r="A662" s="5" t="str">
        <f>IF($J662="","",INDEX('Detalle individual'!$B:$B,$J662))</f>
        <v/>
      </c>
      <c r="B662" s="5" t="str">
        <f>IF($J662="","",INDEX('Detalle individual'!$A:$A,$J662))</f>
        <v/>
      </c>
      <c r="C662" s="5" t="str">
        <f>IF($J662="","",INDEX('Detalle individual'!$E:$E,$J662))</f>
        <v/>
      </c>
      <c r="D662" s="5" t="str">
        <f>IF($J662="","",INDEX('Detalle individual'!$C:$C,$J662))</f>
        <v/>
      </c>
      <c r="E662" s="5" t="str">
        <f>IF($J662="","",INDEX('Detalle individual'!$D:$D,$J662))</f>
        <v/>
      </c>
      <c r="F662" s="23" t="str">
        <f>IF($J662="","",INDEX('Detalle individual'!$H:$H,$J662))</f>
        <v/>
      </c>
      <c r="G662" s="28" t="str">
        <f>IF($J662="","",INDEX('Detalle individual'!$J:$J,$J662))</f>
        <v/>
      </c>
      <c r="H662" s="28" t="str">
        <f>IF($J662="","",INDEX('Detalle individual'!$L:$L,$J662))</f>
        <v/>
      </c>
      <c r="J662" t="str">
        <f>IFERROR(MATCH(SMALL(Cálculos!$AI$5:$AI$1000,658),Cálculos!$AI$5:$AI$1000,0)+4,"")</f>
        <v/>
      </c>
    </row>
    <row r="663">
      <c r="A663" s="5" t="str">
        <f>IF($J663="","",INDEX('Detalle individual'!$B:$B,$J663))</f>
        <v/>
      </c>
      <c r="B663" s="5" t="str">
        <f>IF($J663="","",INDEX('Detalle individual'!$A:$A,$J663))</f>
        <v/>
      </c>
      <c r="C663" s="5" t="str">
        <f>IF($J663="","",INDEX('Detalle individual'!$E:$E,$J663))</f>
        <v/>
      </c>
      <c r="D663" s="5" t="str">
        <f>IF($J663="","",INDEX('Detalle individual'!$C:$C,$J663))</f>
        <v/>
      </c>
      <c r="E663" s="5" t="str">
        <f>IF($J663="","",INDEX('Detalle individual'!$D:$D,$J663))</f>
        <v/>
      </c>
      <c r="F663" s="23" t="str">
        <f>IF($J663="","",INDEX('Detalle individual'!$H:$H,$J663))</f>
        <v/>
      </c>
      <c r="G663" s="28" t="str">
        <f>IF($J663="","",INDEX('Detalle individual'!$J:$J,$J663))</f>
        <v/>
      </c>
      <c r="H663" s="28" t="str">
        <f>IF($J663="","",INDEX('Detalle individual'!$L:$L,$J663))</f>
        <v/>
      </c>
      <c r="J663" t="str">
        <f>IFERROR(MATCH(SMALL(Cálculos!$AI$5:$AI$1000,659),Cálculos!$AI$5:$AI$1000,0)+4,"")</f>
        <v/>
      </c>
    </row>
    <row r="664">
      <c r="A664" s="5" t="str">
        <f>IF($J664="","",INDEX('Detalle individual'!$B:$B,$J664))</f>
        <v/>
      </c>
      <c r="B664" s="5" t="str">
        <f>IF($J664="","",INDEX('Detalle individual'!$A:$A,$J664))</f>
        <v/>
      </c>
      <c r="C664" s="5" t="str">
        <f>IF($J664="","",INDEX('Detalle individual'!$E:$E,$J664))</f>
        <v/>
      </c>
      <c r="D664" s="5" t="str">
        <f>IF($J664="","",INDEX('Detalle individual'!$C:$C,$J664))</f>
        <v/>
      </c>
      <c r="E664" s="5" t="str">
        <f>IF($J664="","",INDEX('Detalle individual'!$D:$D,$J664))</f>
        <v/>
      </c>
      <c r="F664" s="23" t="str">
        <f>IF($J664="","",INDEX('Detalle individual'!$H:$H,$J664))</f>
        <v/>
      </c>
      <c r="G664" s="28" t="str">
        <f>IF($J664="","",INDEX('Detalle individual'!$J:$J,$J664))</f>
        <v/>
      </c>
      <c r="H664" s="28" t="str">
        <f>IF($J664="","",INDEX('Detalle individual'!$L:$L,$J664))</f>
        <v/>
      </c>
      <c r="J664" t="str">
        <f>IFERROR(MATCH(SMALL(Cálculos!$AI$5:$AI$1000,660),Cálculos!$AI$5:$AI$1000,0)+4,"")</f>
        <v/>
      </c>
    </row>
    <row r="665">
      <c r="A665" s="5" t="str">
        <f>IF($J665="","",INDEX('Detalle individual'!$B:$B,$J665))</f>
        <v/>
      </c>
      <c r="B665" s="5" t="str">
        <f>IF($J665="","",INDEX('Detalle individual'!$A:$A,$J665))</f>
        <v/>
      </c>
      <c r="C665" s="5" t="str">
        <f>IF($J665="","",INDEX('Detalle individual'!$E:$E,$J665))</f>
        <v/>
      </c>
      <c r="D665" s="5" t="str">
        <f>IF($J665="","",INDEX('Detalle individual'!$C:$C,$J665))</f>
        <v/>
      </c>
      <c r="E665" s="5" t="str">
        <f>IF($J665="","",INDEX('Detalle individual'!$D:$D,$J665))</f>
        <v/>
      </c>
      <c r="F665" s="23" t="str">
        <f>IF($J665="","",INDEX('Detalle individual'!$H:$H,$J665))</f>
        <v/>
      </c>
      <c r="G665" s="28" t="str">
        <f>IF($J665="","",INDEX('Detalle individual'!$J:$J,$J665))</f>
        <v/>
      </c>
      <c r="H665" s="28" t="str">
        <f>IF($J665="","",INDEX('Detalle individual'!$L:$L,$J665))</f>
        <v/>
      </c>
      <c r="J665" t="str">
        <f>IFERROR(MATCH(SMALL(Cálculos!$AI$5:$AI$1000,661),Cálculos!$AI$5:$AI$1000,0)+4,"")</f>
        <v/>
      </c>
    </row>
    <row r="666">
      <c r="A666" s="5" t="str">
        <f>IF($J666="","",INDEX('Detalle individual'!$B:$B,$J666))</f>
        <v/>
      </c>
      <c r="B666" s="5" t="str">
        <f>IF($J666="","",INDEX('Detalle individual'!$A:$A,$J666))</f>
        <v/>
      </c>
      <c r="C666" s="5" t="str">
        <f>IF($J666="","",INDEX('Detalle individual'!$E:$E,$J666))</f>
        <v/>
      </c>
      <c r="D666" s="5" t="str">
        <f>IF($J666="","",INDEX('Detalle individual'!$C:$C,$J666))</f>
        <v/>
      </c>
      <c r="E666" s="5" t="str">
        <f>IF($J666="","",INDEX('Detalle individual'!$D:$D,$J666))</f>
        <v/>
      </c>
      <c r="F666" s="23" t="str">
        <f>IF($J666="","",INDEX('Detalle individual'!$H:$H,$J666))</f>
        <v/>
      </c>
      <c r="G666" s="28" t="str">
        <f>IF($J666="","",INDEX('Detalle individual'!$J:$J,$J666))</f>
        <v/>
      </c>
      <c r="H666" s="28" t="str">
        <f>IF($J666="","",INDEX('Detalle individual'!$L:$L,$J666))</f>
        <v/>
      </c>
      <c r="J666" t="str">
        <f>IFERROR(MATCH(SMALL(Cálculos!$AI$5:$AI$1000,662),Cálculos!$AI$5:$AI$1000,0)+4,"")</f>
        <v/>
      </c>
    </row>
    <row r="667">
      <c r="A667" s="5" t="str">
        <f>IF($J667="","",INDEX('Detalle individual'!$B:$B,$J667))</f>
        <v/>
      </c>
      <c r="B667" s="5" t="str">
        <f>IF($J667="","",INDEX('Detalle individual'!$A:$A,$J667))</f>
        <v/>
      </c>
      <c r="C667" s="5" t="str">
        <f>IF($J667="","",INDEX('Detalle individual'!$E:$E,$J667))</f>
        <v/>
      </c>
      <c r="D667" s="5" t="str">
        <f>IF($J667="","",INDEX('Detalle individual'!$C:$C,$J667))</f>
        <v/>
      </c>
      <c r="E667" s="5" t="str">
        <f>IF($J667="","",INDEX('Detalle individual'!$D:$D,$J667))</f>
        <v/>
      </c>
      <c r="F667" s="23" t="str">
        <f>IF($J667="","",INDEX('Detalle individual'!$H:$H,$J667))</f>
        <v/>
      </c>
      <c r="G667" s="28" t="str">
        <f>IF($J667="","",INDEX('Detalle individual'!$J:$J,$J667))</f>
        <v/>
      </c>
      <c r="H667" s="28" t="str">
        <f>IF($J667="","",INDEX('Detalle individual'!$L:$L,$J667))</f>
        <v/>
      </c>
      <c r="J667" t="str">
        <f>IFERROR(MATCH(SMALL(Cálculos!$AI$5:$AI$1000,663),Cálculos!$AI$5:$AI$1000,0)+4,"")</f>
        <v/>
      </c>
    </row>
    <row r="668">
      <c r="A668" s="5" t="str">
        <f>IF($J668="","",INDEX('Detalle individual'!$B:$B,$J668))</f>
        <v/>
      </c>
      <c r="B668" s="5" t="str">
        <f>IF($J668="","",INDEX('Detalle individual'!$A:$A,$J668))</f>
        <v/>
      </c>
      <c r="C668" s="5" t="str">
        <f>IF($J668="","",INDEX('Detalle individual'!$E:$E,$J668))</f>
        <v/>
      </c>
      <c r="D668" s="5" t="str">
        <f>IF($J668="","",INDEX('Detalle individual'!$C:$C,$J668))</f>
        <v/>
      </c>
      <c r="E668" s="5" t="str">
        <f>IF($J668="","",INDEX('Detalle individual'!$D:$D,$J668))</f>
        <v/>
      </c>
      <c r="F668" s="23" t="str">
        <f>IF($J668="","",INDEX('Detalle individual'!$H:$H,$J668))</f>
        <v/>
      </c>
      <c r="G668" s="28" t="str">
        <f>IF($J668="","",INDEX('Detalle individual'!$J:$J,$J668))</f>
        <v/>
      </c>
      <c r="H668" s="28" t="str">
        <f>IF($J668="","",INDEX('Detalle individual'!$L:$L,$J668))</f>
        <v/>
      </c>
      <c r="J668" t="str">
        <f>IFERROR(MATCH(SMALL(Cálculos!$AI$5:$AI$1000,664),Cálculos!$AI$5:$AI$1000,0)+4,"")</f>
        <v/>
      </c>
    </row>
    <row r="669">
      <c r="A669" s="5" t="str">
        <f>IF($J669="","",INDEX('Detalle individual'!$B:$B,$J669))</f>
        <v/>
      </c>
      <c r="B669" s="5" t="str">
        <f>IF($J669="","",INDEX('Detalle individual'!$A:$A,$J669))</f>
        <v/>
      </c>
      <c r="C669" s="5" t="str">
        <f>IF($J669="","",INDEX('Detalle individual'!$E:$E,$J669))</f>
        <v/>
      </c>
      <c r="D669" s="5" t="str">
        <f>IF($J669="","",INDEX('Detalle individual'!$C:$C,$J669))</f>
        <v/>
      </c>
      <c r="E669" s="5" t="str">
        <f>IF($J669="","",INDEX('Detalle individual'!$D:$D,$J669))</f>
        <v/>
      </c>
      <c r="F669" s="23" t="str">
        <f>IF($J669="","",INDEX('Detalle individual'!$H:$H,$J669))</f>
        <v/>
      </c>
      <c r="G669" s="28" t="str">
        <f>IF($J669="","",INDEX('Detalle individual'!$J:$J,$J669))</f>
        <v/>
      </c>
      <c r="H669" s="28" t="str">
        <f>IF($J669="","",INDEX('Detalle individual'!$L:$L,$J669))</f>
        <v/>
      </c>
      <c r="J669" t="str">
        <f>IFERROR(MATCH(SMALL(Cálculos!$AI$5:$AI$1000,665),Cálculos!$AI$5:$AI$1000,0)+4,"")</f>
        <v/>
      </c>
    </row>
    <row r="670">
      <c r="A670" s="5" t="str">
        <f>IF($J670="","",INDEX('Detalle individual'!$B:$B,$J670))</f>
        <v/>
      </c>
      <c r="B670" s="5" t="str">
        <f>IF($J670="","",INDEX('Detalle individual'!$A:$A,$J670))</f>
        <v/>
      </c>
      <c r="C670" s="5" t="str">
        <f>IF($J670="","",INDEX('Detalle individual'!$E:$E,$J670))</f>
        <v/>
      </c>
      <c r="D670" s="5" t="str">
        <f>IF($J670="","",INDEX('Detalle individual'!$C:$C,$J670))</f>
        <v/>
      </c>
      <c r="E670" s="5" t="str">
        <f>IF($J670="","",INDEX('Detalle individual'!$D:$D,$J670))</f>
        <v/>
      </c>
      <c r="F670" s="23" t="str">
        <f>IF($J670="","",INDEX('Detalle individual'!$H:$H,$J670))</f>
        <v/>
      </c>
      <c r="G670" s="28" t="str">
        <f>IF($J670="","",INDEX('Detalle individual'!$J:$J,$J670))</f>
        <v/>
      </c>
      <c r="H670" s="28" t="str">
        <f>IF($J670="","",INDEX('Detalle individual'!$L:$L,$J670))</f>
        <v/>
      </c>
      <c r="J670" t="str">
        <f>IFERROR(MATCH(SMALL(Cálculos!$AI$5:$AI$1000,666),Cálculos!$AI$5:$AI$1000,0)+4,"")</f>
        <v/>
      </c>
    </row>
    <row r="671">
      <c r="A671" s="5" t="str">
        <f>IF($J671="","",INDEX('Detalle individual'!$B:$B,$J671))</f>
        <v/>
      </c>
      <c r="B671" s="5" t="str">
        <f>IF($J671="","",INDEX('Detalle individual'!$A:$A,$J671))</f>
        <v/>
      </c>
      <c r="C671" s="5" t="str">
        <f>IF($J671="","",INDEX('Detalle individual'!$E:$E,$J671))</f>
        <v/>
      </c>
      <c r="D671" s="5" t="str">
        <f>IF($J671="","",INDEX('Detalle individual'!$C:$C,$J671))</f>
        <v/>
      </c>
      <c r="E671" s="5" t="str">
        <f>IF($J671="","",INDEX('Detalle individual'!$D:$D,$J671))</f>
        <v/>
      </c>
      <c r="F671" s="23" t="str">
        <f>IF($J671="","",INDEX('Detalle individual'!$H:$H,$J671))</f>
        <v/>
      </c>
      <c r="G671" s="28" t="str">
        <f>IF($J671="","",INDEX('Detalle individual'!$J:$J,$J671))</f>
        <v/>
      </c>
      <c r="H671" s="28" t="str">
        <f>IF($J671="","",INDEX('Detalle individual'!$L:$L,$J671))</f>
        <v/>
      </c>
      <c r="J671" t="str">
        <f>IFERROR(MATCH(SMALL(Cálculos!$AI$5:$AI$1000,667),Cálculos!$AI$5:$AI$1000,0)+4,"")</f>
        <v/>
      </c>
    </row>
    <row r="672">
      <c r="A672" s="5" t="str">
        <f>IF($J672="","",INDEX('Detalle individual'!$B:$B,$J672))</f>
        <v/>
      </c>
      <c r="B672" s="5" t="str">
        <f>IF($J672="","",INDEX('Detalle individual'!$A:$A,$J672))</f>
        <v/>
      </c>
      <c r="C672" s="5" t="str">
        <f>IF($J672="","",INDEX('Detalle individual'!$E:$E,$J672))</f>
        <v/>
      </c>
      <c r="D672" s="5" t="str">
        <f>IF($J672="","",INDEX('Detalle individual'!$C:$C,$J672))</f>
        <v/>
      </c>
      <c r="E672" s="5" t="str">
        <f>IF($J672="","",INDEX('Detalle individual'!$D:$D,$J672))</f>
        <v/>
      </c>
      <c r="F672" s="23" t="str">
        <f>IF($J672="","",INDEX('Detalle individual'!$H:$H,$J672))</f>
        <v/>
      </c>
      <c r="G672" s="28" t="str">
        <f>IF($J672="","",INDEX('Detalle individual'!$J:$J,$J672))</f>
        <v/>
      </c>
      <c r="H672" s="28" t="str">
        <f>IF($J672="","",INDEX('Detalle individual'!$L:$L,$J672))</f>
        <v/>
      </c>
      <c r="J672" t="str">
        <f>IFERROR(MATCH(SMALL(Cálculos!$AI$5:$AI$1000,668),Cálculos!$AI$5:$AI$1000,0)+4,"")</f>
        <v/>
      </c>
    </row>
    <row r="673">
      <c r="A673" s="5" t="str">
        <f>IF($J673="","",INDEX('Detalle individual'!$B:$B,$J673))</f>
        <v/>
      </c>
      <c r="B673" s="5" t="str">
        <f>IF($J673="","",INDEX('Detalle individual'!$A:$A,$J673))</f>
        <v/>
      </c>
      <c r="C673" s="5" t="str">
        <f>IF($J673="","",INDEX('Detalle individual'!$E:$E,$J673))</f>
        <v/>
      </c>
      <c r="D673" s="5" t="str">
        <f>IF($J673="","",INDEX('Detalle individual'!$C:$C,$J673))</f>
        <v/>
      </c>
      <c r="E673" s="5" t="str">
        <f>IF($J673="","",INDEX('Detalle individual'!$D:$D,$J673))</f>
        <v/>
      </c>
      <c r="F673" s="23" t="str">
        <f>IF($J673="","",INDEX('Detalle individual'!$H:$H,$J673))</f>
        <v/>
      </c>
      <c r="G673" s="28" t="str">
        <f>IF($J673="","",INDEX('Detalle individual'!$J:$J,$J673))</f>
        <v/>
      </c>
      <c r="H673" s="28" t="str">
        <f>IF($J673="","",INDEX('Detalle individual'!$L:$L,$J673))</f>
        <v/>
      </c>
      <c r="J673" t="str">
        <f>IFERROR(MATCH(SMALL(Cálculos!$AI$5:$AI$1000,669),Cálculos!$AI$5:$AI$1000,0)+4,"")</f>
        <v/>
      </c>
    </row>
    <row r="674">
      <c r="A674" s="5" t="str">
        <f>IF($J674="","",INDEX('Detalle individual'!$B:$B,$J674))</f>
        <v/>
      </c>
      <c r="B674" s="5" t="str">
        <f>IF($J674="","",INDEX('Detalle individual'!$A:$A,$J674))</f>
        <v/>
      </c>
      <c r="C674" s="5" t="str">
        <f>IF($J674="","",INDEX('Detalle individual'!$E:$E,$J674))</f>
        <v/>
      </c>
      <c r="D674" s="5" t="str">
        <f>IF($J674="","",INDEX('Detalle individual'!$C:$C,$J674))</f>
        <v/>
      </c>
      <c r="E674" s="5" t="str">
        <f>IF($J674="","",INDEX('Detalle individual'!$D:$D,$J674))</f>
        <v/>
      </c>
      <c r="F674" s="23" t="str">
        <f>IF($J674="","",INDEX('Detalle individual'!$H:$H,$J674))</f>
        <v/>
      </c>
      <c r="G674" s="28" t="str">
        <f>IF($J674="","",INDEX('Detalle individual'!$J:$J,$J674))</f>
        <v/>
      </c>
      <c r="H674" s="28" t="str">
        <f>IF($J674="","",INDEX('Detalle individual'!$L:$L,$J674))</f>
        <v/>
      </c>
      <c r="J674" t="str">
        <f>IFERROR(MATCH(SMALL(Cálculos!$AI$5:$AI$1000,670),Cálculos!$AI$5:$AI$1000,0)+4,"")</f>
        <v/>
      </c>
    </row>
    <row r="675">
      <c r="A675" s="5" t="str">
        <f>IF($J675="","",INDEX('Detalle individual'!$B:$B,$J675))</f>
        <v/>
      </c>
      <c r="B675" s="5" t="str">
        <f>IF($J675="","",INDEX('Detalle individual'!$A:$A,$J675))</f>
        <v/>
      </c>
      <c r="C675" s="5" t="str">
        <f>IF($J675="","",INDEX('Detalle individual'!$E:$E,$J675))</f>
        <v/>
      </c>
      <c r="D675" s="5" t="str">
        <f>IF($J675="","",INDEX('Detalle individual'!$C:$C,$J675))</f>
        <v/>
      </c>
      <c r="E675" s="5" t="str">
        <f>IF($J675="","",INDEX('Detalle individual'!$D:$D,$J675))</f>
        <v/>
      </c>
      <c r="F675" s="23" t="str">
        <f>IF($J675="","",INDEX('Detalle individual'!$H:$H,$J675))</f>
        <v/>
      </c>
      <c r="G675" s="28" t="str">
        <f>IF($J675="","",INDEX('Detalle individual'!$J:$J,$J675))</f>
        <v/>
      </c>
      <c r="H675" s="28" t="str">
        <f>IF($J675="","",INDEX('Detalle individual'!$L:$L,$J675))</f>
        <v/>
      </c>
      <c r="J675" t="str">
        <f>IFERROR(MATCH(SMALL(Cálculos!$AI$5:$AI$1000,671),Cálculos!$AI$5:$AI$1000,0)+4,"")</f>
        <v/>
      </c>
    </row>
    <row r="676">
      <c r="A676" s="5" t="str">
        <f>IF($J676="","",INDEX('Detalle individual'!$B:$B,$J676))</f>
        <v/>
      </c>
      <c r="B676" s="5" t="str">
        <f>IF($J676="","",INDEX('Detalle individual'!$A:$A,$J676))</f>
        <v/>
      </c>
      <c r="C676" s="5" t="str">
        <f>IF($J676="","",INDEX('Detalle individual'!$E:$E,$J676))</f>
        <v/>
      </c>
      <c r="D676" s="5" t="str">
        <f>IF($J676="","",INDEX('Detalle individual'!$C:$C,$J676))</f>
        <v/>
      </c>
      <c r="E676" s="5" t="str">
        <f>IF($J676="","",INDEX('Detalle individual'!$D:$D,$J676))</f>
        <v/>
      </c>
      <c r="F676" s="23" t="str">
        <f>IF($J676="","",INDEX('Detalle individual'!$H:$H,$J676))</f>
        <v/>
      </c>
      <c r="G676" s="28" t="str">
        <f>IF($J676="","",INDEX('Detalle individual'!$J:$J,$J676))</f>
        <v/>
      </c>
      <c r="H676" s="28" t="str">
        <f>IF($J676="","",INDEX('Detalle individual'!$L:$L,$J676))</f>
        <v/>
      </c>
      <c r="J676" t="str">
        <f>IFERROR(MATCH(SMALL(Cálculos!$AI$5:$AI$1000,672),Cálculos!$AI$5:$AI$1000,0)+4,"")</f>
        <v/>
      </c>
    </row>
    <row r="677">
      <c r="A677" s="5" t="str">
        <f>IF($J677="","",INDEX('Detalle individual'!$B:$B,$J677))</f>
        <v/>
      </c>
      <c r="B677" s="5" t="str">
        <f>IF($J677="","",INDEX('Detalle individual'!$A:$A,$J677))</f>
        <v/>
      </c>
      <c r="C677" s="5" t="str">
        <f>IF($J677="","",INDEX('Detalle individual'!$E:$E,$J677))</f>
        <v/>
      </c>
      <c r="D677" s="5" t="str">
        <f>IF($J677="","",INDEX('Detalle individual'!$C:$C,$J677))</f>
        <v/>
      </c>
      <c r="E677" s="5" t="str">
        <f>IF($J677="","",INDEX('Detalle individual'!$D:$D,$J677))</f>
        <v/>
      </c>
      <c r="F677" s="23" t="str">
        <f>IF($J677="","",INDEX('Detalle individual'!$H:$H,$J677))</f>
        <v/>
      </c>
      <c r="G677" s="28" t="str">
        <f>IF($J677="","",INDEX('Detalle individual'!$J:$J,$J677))</f>
        <v/>
      </c>
      <c r="H677" s="28" t="str">
        <f>IF($J677="","",INDEX('Detalle individual'!$L:$L,$J677))</f>
        <v/>
      </c>
      <c r="J677" t="str">
        <f>IFERROR(MATCH(SMALL(Cálculos!$AI$5:$AI$1000,673),Cálculos!$AI$5:$AI$1000,0)+4,"")</f>
        <v/>
      </c>
    </row>
    <row r="678">
      <c r="A678" s="5" t="str">
        <f>IF($J678="","",INDEX('Detalle individual'!$B:$B,$J678))</f>
        <v/>
      </c>
      <c r="B678" s="5" t="str">
        <f>IF($J678="","",INDEX('Detalle individual'!$A:$A,$J678))</f>
        <v/>
      </c>
      <c r="C678" s="5" t="str">
        <f>IF($J678="","",INDEX('Detalle individual'!$E:$E,$J678))</f>
        <v/>
      </c>
      <c r="D678" s="5" t="str">
        <f>IF($J678="","",INDEX('Detalle individual'!$C:$C,$J678))</f>
        <v/>
      </c>
      <c r="E678" s="5" t="str">
        <f>IF($J678="","",INDEX('Detalle individual'!$D:$D,$J678))</f>
        <v/>
      </c>
      <c r="F678" s="23" t="str">
        <f>IF($J678="","",INDEX('Detalle individual'!$H:$H,$J678))</f>
        <v/>
      </c>
      <c r="G678" s="28" t="str">
        <f>IF($J678="","",INDEX('Detalle individual'!$J:$J,$J678))</f>
        <v/>
      </c>
      <c r="H678" s="28" t="str">
        <f>IF($J678="","",INDEX('Detalle individual'!$L:$L,$J678))</f>
        <v/>
      </c>
      <c r="J678" t="str">
        <f>IFERROR(MATCH(SMALL(Cálculos!$AI$5:$AI$1000,674),Cálculos!$AI$5:$AI$1000,0)+4,"")</f>
        <v/>
      </c>
    </row>
    <row r="679">
      <c r="A679" s="5" t="str">
        <f>IF($J679="","",INDEX('Detalle individual'!$B:$B,$J679))</f>
        <v/>
      </c>
      <c r="B679" s="5" t="str">
        <f>IF($J679="","",INDEX('Detalle individual'!$A:$A,$J679))</f>
        <v/>
      </c>
      <c r="C679" s="5" t="str">
        <f>IF($J679="","",INDEX('Detalle individual'!$E:$E,$J679))</f>
        <v/>
      </c>
      <c r="D679" s="5" t="str">
        <f>IF($J679="","",INDEX('Detalle individual'!$C:$C,$J679))</f>
        <v/>
      </c>
      <c r="E679" s="5" t="str">
        <f>IF($J679="","",INDEX('Detalle individual'!$D:$D,$J679))</f>
        <v/>
      </c>
      <c r="F679" s="23" t="str">
        <f>IF($J679="","",INDEX('Detalle individual'!$H:$H,$J679))</f>
        <v/>
      </c>
      <c r="G679" s="28" t="str">
        <f>IF($J679="","",INDEX('Detalle individual'!$J:$J,$J679))</f>
        <v/>
      </c>
      <c r="H679" s="28" t="str">
        <f>IF($J679="","",INDEX('Detalle individual'!$L:$L,$J679))</f>
        <v/>
      </c>
      <c r="J679" t="str">
        <f>IFERROR(MATCH(SMALL(Cálculos!$AI$5:$AI$1000,675),Cálculos!$AI$5:$AI$1000,0)+4,"")</f>
        <v/>
      </c>
    </row>
    <row r="680">
      <c r="A680" s="5" t="str">
        <f>IF($J680="","",INDEX('Detalle individual'!$B:$B,$J680))</f>
        <v/>
      </c>
      <c r="B680" s="5" t="str">
        <f>IF($J680="","",INDEX('Detalle individual'!$A:$A,$J680))</f>
        <v/>
      </c>
      <c r="C680" s="5" t="str">
        <f>IF($J680="","",INDEX('Detalle individual'!$E:$E,$J680))</f>
        <v/>
      </c>
      <c r="D680" s="5" t="str">
        <f>IF($J680="","",INDEX('Detalle individual'!$C:$C,$J680))</f>
        <v/>
      </c>
      <c r="E680" s="5" t="str">
        <f>IF($J680="","",INDEX('Detalle individual'!$D:$D,$J680))</f>
        <v/>
      </c>
      <c r="F680" s="23" t="str">
        <f>IF($J680="","",INDEX('Detalle individual'!$H:$H,$J680))</f>
        <v/>
      </c>
      <c r="G680" s="28" t="str">
        <f>IF($J680="","",INDEX('Detalle individual'!$J:$J,$J680))</f>
        <v/>
      </c>
      <c r="H680" s="28" t="str">
        <f>IF($J680="","",INDEX('Detalle individual'!$L:$L,$J680))</f>
        <v/>
      </c>
      <c r="J680" t="str">
        <f>IFERROR(MATCH(SMALL(Cálculos!$AI$5:$AI$1000,676),Cálculos!$AI$5:$AI$1000,0)+4,"")</f>
        <v/>
      </c>
    </row>
    <row r="681">
      <c r="A681" s="5" t="str">
        <f>IF($J681="","",INDEX('Detalle individual'!$B:$B,$J681))</f>
        <v/>
      </c>
      <c r="B681" s="5" t="str">
        <f>IF($J681="","",INDEX('Detalle individual'!$A:$A,$J681))</f>
        <v/>
      </c>
      <c r="C681" s="5" t="str">
        <f>IF($J681="","",INDEX('Detalle individual'!$E:$E,$J681))</f>
        <v/>
      </c>
      <c r="D681" s="5" t="str">
        <f>IF($J681="","",INDEX('Detalle individual'!$C:$C,$J681))</f>
        <v/>
      </c>
      <c r="E681" s="5" t="str">
        <f>IF($J681="","",INDEX('Detalle individual'!$D:$D,$J681))</f>
        <v/>
      </c>
      <c r="F681" s="23" t="str">
        <f>IF($J681="","",INDEX('Detalle individual'!$H:$H,$J681))</f>
        <v/>
      </c>
      <c r="G681" s="28" t="str">
        <f>IF($J681="","",INDEX('Detalle individual'!$J:$J,$J681))</f>
        <v/>
      </c>
      <c r="H681" s="28" t="str">
        <f>IF($J681="","",INDEX('Detalle individual'!$L:$L,$J681))</f>
        <v/>
      </c>
      <c r="J681" t="str">
        <f>IFERROR(MATCH(SMALL(Cálculos!$AI$5:$AI$1000,677),Cálculos!$AI$5:$AI$1000,0)+4,"")</f>
        <v/>
      </c>
    </row>
    <row r="682">
      <c r="A682" s="5" t="str">
        <f>IF($J682="","",INDEX('Detalle individual'!$B:$B,$J682))</f>
        <v/>
      </c>
      <c r="B682" s="5" t="str">
        <f>IF($J682="","",INDEX('Detalle individual'!$A:$A,$J682))</f>
        <v/>
      </c>
      <c r="C682" s="5" t="str">
        <f>IF($J682="","",INDEX('Detalle individual'!$E:$E,$J682))</f>
        <v/>
      </c>
      <c r="D682" s="5" t="str">
        <f>IF($J682="","",INDEX('Detalle individual'!$C:$C,$J682))</f>
        <v/>
      </c>
      <c r="E682" s="5" t="str">
        <f>IF($J682="","",INDEX('Detalle individual'!$D:$D,$J682))</f>
        <v/>
      </c>
      <c r="F682" s="23" t="str">
        <f>IF($J682="","",INDEX('Detalle individual'!$H:$H,$J682))</f>
        <v/>
      </c>
      <c r="G682" s="28" t="str">
        <f>IF($J682="","",INDEX('Detalle individual'!$J:$J,$J682))</f>
        <v/>
      </c>
      <c r="H682" s="28" t="str">
        <f>IF($J682="","",INDEX('Detalle individual'!$L:$L,$J682))</f>
        <v/>
      </c>
      <c r="J682" t="str">
        <f>IFERROR(MATCH(SMALL(Cálculos!$AI$5:$AI$1000,678),Cálculos!$AI$5:$AI$1000,0)+4,"")</f>
        <v/>
      </c>
    </row>
    <row r="683">
      <c r="A683" s="5" t="str">
        <f>IF($J683="","",INDEX('Detalle individual'!$B:$B,$J683))</f>
        <v/>
      </c>
      <c r="B683" s="5" t="str">
        <f>IF($J683="","",INDEX('Detalle individual'!$A:$A,$J683))</f>
        <v/>
      </c>
      <c r="C683" s="5" t="str">
        <f>IF($J683="","",INDEX('Detalle individual'!$E:$E,$J683))</f>
        <v/>
      </c>
      <c r="D683" s="5" t="str">
        <f>IF($J683="","",INDEX('Detalle individual'!$C:$C,$J683))</f>
        <v/>
      </c>
      <c r="E683" s="5" t="str">
        <f>IF($J683="","",INDEX('Detalle individual'!$D:$D,$J683))</f>
        <v/>
      </c>
      <c r="F683" s="23" t="str">
        <f>IF($J683="","",INDEX('Detalle individual'!$H:$H,$J683))</f>
        <v/>
      </c>
      <c r="G683" s="28" t="str">
        <f>IF($J683="","",INDEX('Detalle individual'!$J:$J,$J683))</f>
        <v/>
      </c>
      <c r="H683" s="28" t="str">
        <f>IF($J683="","",INDEX('Detalle individual'!$L:$L,$J683))</f>
        <v/>
      </c>
      <c r="J683" t="str">
        <f>IFERROR(MATCH(SMALL(Cálculos!$AI$5:$AI$1000,679),Cálculos!$AI$5:$AI$1000,0)+4,"")</f>
        <v/>
      </c>
    </row>
    <row r="684">
      <c r="A684" s="5" t="str">
        <f>IF($J684="","",INDEX('Detalle individual'!$B:$B,$J684))</f>
        <v/>
      </c>
      <c r="B684" s="5" t="str">
        <f>IF($J684="","",INDEX('Detalle individual'!$A:$A,$J684))</f>
        <v/>
      </c>
      <c r="C684" s="5" t="str">
        <f>IF($J684="","",INDEX('Detalle individual'!$E:$E,$J684))</f>
        <v/>
      </c>
      <c r="D684" s="5" t="str">
        <f>IF($J684="","",INDEX('Detalle individual'!$C:$C,$J684))</f>
        <v/>
      </c>
      <c r="E684" s="5" t="str">
        <f>IF($J684="","",INDEX('Detalle individual'!$D:$D,$J684))</f>
        <v/>
      </c>
      <c r="F684" s="23" t="str">
        <f>IF($J684="","",INDEX('Detalle individual'!$H:$H,$J684))</f>
        <v/>
      </c>
      <c r="G684" s="28" t="str">
        <f>IF($J684="","",INDEX('Detalle individual'!$J:$J,$J684))</f>
        <v/>
      </c>
      <c r="H684" s="28" t="str">
        <f>IF($J684="","",INDEX('Detalle individual'!$L:$L,$J684))</f>
        <v/>
      </c>
      <c r="J684" t="str">
        <f>IFERROR(MATCH(SMALL(Cálculos!$AI$5:$AI$1000,680),Cálculos!$AI$5:$AI$1000,0)+4,"")</f>
        <v/>
      </c>
    </row>
    <row r="685">
      <c r="A685" s="5" t="str">
        <f>IF($J685="","",INDEX('Detalle individual'!$B:$B,$J685))</f>
        <v/>
      </c>
      <c r="B685" s="5" t="str">
        <f>IF($J685="","",INDEX('Detalle individual'!$A:$A,$J685))</f>
        <v/>
      </c>
      <c r="C685" s="5" t="str">
        <f>IF($J685="","",INDEX('Detalle individual'!$E:$E,$J685))</f>
        <v/>
      </c>
      <c r="D685" s="5" t="str">
        <f>IF($J685="","",INDEX('Detalle individual'!$C:$C,$J685))</f>
        <v/>
      </c>
      <c r="E685" s="5" t="str">
        <f>IF($J685="","",INDEX('Detalle individual'!$D:$D,$J685))</f>
        <v/>
      </c>
      <c r="F685" s="23" t="str">
        <f>IF($J685="","",INDEX('Detalle individual'!$H:$H,$J685))</f>
        <v/>
      </c>
      <c r="G685" s="28" t="str">
        <f>IF($J685="","",INDEX('Detalle individual'!$J:$J,$J685))</f>
        <v/>
      </c>
      <c r="H685" s="28" t="str">
        <f>IF($J685="","",INDEX('Detalle individual'!$L:$L,$J685))</f>
        <v/>
      </c>
      <c r="J685" t="str">
        <f>IFERROR(MATCH(SMALL(Cálculos!$AI$5:$AI$1000,681),Cálculos!$AI$5:$AI$1000,0)+4,"")</f>
        <v/>
      </c>
    </row>
    <row r="686">
      <c r="A686" s="5" t="str">
        <f>IF($J686="","",INDEX('Detalle individual'!$B:$B,$J686))</f>
        <v/>
      </c>
      <c r="B686" s="5" t="str">
        <f>IF($J686="","",INDEX('Detalle individual'!$A:$A,$J686))</f>
        <v/>
      </c>
      <c r="C686" s="5" t="str">
        <f>IF($J686="","",INDEX('Detalle individual'!$E:$E,$J686))</f>
        <v/>
      </c>
      <c r="D686" s="5" t="str">
        <f>IF($J686="","",INDEX('Detalle individual'!$C:$C,$J686))</f>
        <v/>
      </c>
      <c r="E686" s="5" t="str">
        <f>IF($J686="","",INDEX('Detalle individual'!$D:$D,$J686))</f>
        <v/>
      </c>
      <c r="F686" s="23" t="str">
        <f>IF($J686="","",INDEX('Detalle individual'!$H:$H,$J686))</f>
        <v/>
      </c>
      <c r="G686" s="28" t="str">
        <f>IF($J686="","",INDEX('Detalle individual'!$J:$J,$J686))</f>
        <v/>
      </c>
      <c r="H686" s="28" t="str">
        <f>IF($J686="","",INDEX('Detalle individual'!$L:$L,$J686))</f>
        <v/>
      </c>
      <c r="J686" t="str">
        <f>IFERROR(MATCH(SMALL(Cálculos!$AI$5:$AI$1000,682),Cálculos!$AI$5:$AI$1000,0)+4,"")</f>
        <v/>
      </c>
    </row>
    <row r="687">
      <c r="A687" s="5" t="str">
        <f>IF($J687="","",INDEX('Detalle individual'!$B:$B,$J687))</f>
        <v/>
      </c>
      <c r="B687" s="5" t="str">
        <f>IF($J687="","",INDEX('Detalle individual'!$A:$A,$J687))</f>
        <v/>
      </c>
      <c r="C687" s="5" t="str">
        <f>IF($J687="","",INDEX('Detalle individual'!$E:$E,$J687))</f>
        <v/>
      </c>
      <c r="D687" s="5" t="str">
        <f>IF($J687="","",INDEX('Detalle individual'!$C:$C,$J687))</f>
        <v/>
      </c>
      <c r="E687" s="5" t="str">
        <f>IF($J687="","",INDEX('Detalle individual'!$D:$D,$J687))</f>
        <v/>
      </c>
      <c r="F687" s="23" t="str">
        <f>IF($J687="","",INDEX('Detalle individual'!$H:$H,$J687))</f>
        <v/>
      </c>
      <c r="G687" s="28" t="str">
        <f>IF($J687="","",INDEX('Detalle individual'!$J:$J,$J687))</f>
        <v/>
      </c>
      <c r="H687" s="28" t="str">
        <f>IF($J687="","",INDEX('Detalle individual'!$L:$L,$J687))</f>
        <v/>
      </c>
      <c r="J687" t="str">
        <f>IFERROR(MATCH(SMALL(Cálculos!$AI$5:$AI$1000,683),Cálculos!$AI$5:$AI$1000,0)+4,"")</f>
        <v/>
      </c>
    </row>
    <row r="688">
      <c r="A688" s="5" t="str">
        <f>IF($J688="","",INDEX('Detalle individual'!$B:$B,$J688))</f>
        <v/>
      </c>
      <c r="B688" s="5" t="str">
        <f>IF($J688="","",INDEX('Detalle individual'!$A:$A,$J688))</f>
        <v/>
      </c>
      <c r="C688" s="5" t="str">
        <f>IF($J688="","",INDEX('Detalle individual'!$E:$E,$J688))</f>
        <v/>
      </c>
      <c r="D688" s="5" t="str">
        <f>IF($J688="","",INDEX('Detalle individual'!$C:$C,$J688))</f>
        <v/>
      </c>
      <c r="E688" s="5" t="str">
        <f>IF($J688="","",INDEX('Detalle individual'!$D:$D,$J688))</f>
        <v/>
      </c>
      <c r="F688" s="23" t="str">
        <f>IF($J688="","",INDEX('Detalle individual'!$H:$H,$J688))</f>
        <v/>
      </c>
      <c r="G688" s="28" t="str">
        <f>IF($J688="","",INDEX('Detalle individual'!$J:$J,$J688))</f>
        <v/>
      </c>
      <c r="H688" s="28" t="str">
        <f>IF($J688="","",INDEX('Detalle individual'!$L:$L,$J688))</f>
        <v/>
      </c>
      <c r="J688" t="str">
        <f>IFERROR(MATCH(SMALL(Cálculos!$AI$5:$AI$1000,684),Cálculos!$AI$5:$AI$1000,0)+4,"")</f>
        <v/>
      </c>
    </row>
    <row r="689">
      <c r="A689" s="5" t="str">
        <f>IF($J689="","",INDEX('Detalle individual'!$B:$B,$J689))</f>
        <v/>
      </c>
      <c r="B689" s="5" t="str">
        <f>IF($J689="","",INDEX('Detalle individual'!$A:$A,$J689))</f>
        <v/>
      </c>
      <c r="C689" s="5" t="str">
        <f>IF($J689="","",INDEX('Detalle individual'!$E:$E,$J689))</f>
        <v/>
      </c>
      <c r="D689" s="5" t="str">
        <f>IF($J689="","",INDEX('Detalle individual'!$C:$C,$J689))</f>
        <v/>
      </c>
      <c r="E689" s="5" t="str">
        <f>IF($J689="","",INDEX('Detalle individual'!$D:$D,$J689))</f>
        <v/>
      </c>
      <c r="F689" s="23" t="str">
        <f>IF($J689="","",INDEX('Detalle individual'!$H:$H,$J689))</f>
        <v/>
      </c>
      <c r="G689" s="28" t="str">
        <f>IF($J689="","",INDEX('Detalle individual'!$J:$J,$J689))</f>
        <v/>
      </c>
      <c r="H689" s="28" t="str">
        <f>IF($J689="","",INDEX('Detalle individual'!$L:$L,$J689))</f>
        <v/>
      </c>
      <c r="J689" t="str">
        <f>IFERROR(MATCH(SMALL(Cálculos!$AI$5:$AI$1000,685),Cálculos!$AI$5:$AI$1000,0)+4,"")</f>
        <v/>
      </c>
    </row>
    <row r="690">
      <c r="A690" s="5" t="str">
        <f>IF($J690="","",INDEX('Detalle individual'!$B:$B,$J690))</f>
        <v/>
      </c>
      <c r="B690" s="5" t="str">
        <f>IF($J690="","",INDEX('Detalle individual'!$A:$A,$J690))</f>
        <v/>
      </c>
      <c r="C690" s="5" t="str">
        <f>IF($J690="","",INDEX('Detalle individual'!$E:$E,$J690))</f>
        <v/>
      </c>
      <c r="D690" s="5" t="str">
        <f>IF($J690="","",INDEX('Detalle individual'!$C:$C,$J690))</f>
        <v/>
      </c>
      <c r="E690" s="5" t="str">
        <f>IF($J690="","",INDEX('Detalle individual'!$D:$D,$J690))</f>
        <v/>
      </c>
      <c r="F690" s="23" t="str">
        <f>IF($J690="","",INDEX('Detalle individual'!$H:$H,$J690))</f>
        <v/>
      </c>
      <c r="G690" s="28" t="str">
        <f>IF($J690="","",INDEX('Detalle individual'!$J:$J,$J690))</f>
        <v/>
      </c>
      <c r="H690" s="28" t="str">
        <f>IF($J690="","",INDEX('Detalle individual'!$L:$L,$J690))</f>
        <v/>
      </c>
      <c r="J690" t="str">
        <f>IFERROR(MATCH(SMALL(Cálculos!$AI$5:$AI$1000,686),Cálculos!$AI$5:$AI$1000,0)+4,"")</f>
        <v/>
      </c>
    </row>
    <row r="691">
      <c r="A691" s="5" t="str">
        <f>IF($J691="","",INDEX('Detalle individual'!$B:$B,$J691))</f>
        <v/>
      </c>
      <c r="B691" s="5" t="str">
        <f>IF($J691="","",INDEX('Detalle individual'!$A:$A,$J691))</f>
        <v/>
      </c>
      <c r="C691" s="5" t="str">
        <f>IF($J691="","",INDEX('Detalle individual'!$E:$E,$J691))</f>
        <v/>
      </c>
      <c r="D691" s="5" t="str">
        <f>IF($J691="","",INDEX('Detalle individual'!$C:$C,$J691))</f>
        <v/>
      </c>
      <c r="E691" s="5" t="str">
        <f>IF($J691="","",INDEX('Detalle individual'!$D:$D,$J691))</f>
        <v/>
      </c>
      <c r="F691" s="23" t="str">
        <f>IF($J691="","",INDEX('Detalle individual'!$H:$H,$J691))</f>
        <v/>
      </c>
      <c r="G691" s="28" t="str">
        <f>IF($J691="","",INDEX('Detalle individual'!$J:$J,$J691))</f>
        <v/>
      </c>
      <c r="H691" s="28" t="str">
        <f>IF($J691="","",INDEX('Detalle individual'!$L:$L,$J691))</f>
        <v/>
      </c>
      <c r="J691" t="str">
        <f>IFERROR(MATCH(SMALL(Cálculos!$AI$5:$AI$1000,687),Cálculos!$AI$5:$AI$1000,0)+4,"")</f>
        <v/>
      </c>
    </row>
    <row r="692">
      <c r="A692" s="5" t="str">
        <f>IF($J692="","",INDEX('Detalle individual'!$B:$B,$J692))</f>
        <v/>
      </c>
      <c r="B692" s="5" t="str">
        <f>IF($J692="","",INDEX('Detalle individual'!$A:$A,$J692))</f>
        <v/>
      </c>
      <c r="C692" s="5" t="str">
        <f>IF($J692="","",INDEX('Detalle individual'!$E:$E,$J692))</f>
        <v/>
      </c>
      <c r="D692" s="5" t="str">
        <f>IF($J692="","",INDEX('Detalle individual'!$C:$C,$J692))</f>
        <v/>
      </c>
      <c r="E692" s="5" t="str">
        <f>IF($J692="","",INDEX('Detalle individual'!$D:$D,$J692))</f>
        <v/>
      </c>
      <c r="F692" s="23" t="str">
        <f>IF($J692="","",INDEX('Detalle individual'!$H:$H,$J692))</f>
        <v/>
      </c>
      <c r="G692" s="28" t="str">
        <f>IF($J692="","",INDEX('Detalle individual'!$J:$J,$J692))</f>
        <v/>
      </c>
      <c r="H692" s="28" t="str">
        <f>IF($J692="","",INDEX('Detalle individual'!$L:$L,$J692))</f>
        <v/>
      </c>
      <c r="J692" t="str">
        <f>IFERROR(MATCH(SMALL(Cálculos!$AI$5:$AI$1000,688),Cálculos!$AI$5:$AI$1000,0)+4,"")</f>
        <v/>
      </c>
    </row>
    <row r="693">
      <c r="A693" s="5" t="str">
        <f>IF($J693="","",INDEX('Detalle individual'!$B:$B,$J693))</f>
        <v/>
      </c>
      <c r="B693" s="5" t="str">
        <f>IF($J693="","",INDEX('Detalle individual'!$A:$A,$J693))</f>
        <v/>
      </c>
      <c r="C693" s="5" t="str">
        <f>IF($J693="","",INDEX('Detalle individual'!$E:$E,$J693))</f>
        <v/>
      </c>
      <c r="D693" s="5" t="str">
        <f>IF($J693="","",INDEX('Detalle individual'!$C:$C,$J693))</f>
        <v/>
      </c>
      <c r="E693" s="5" t="str">
        <f>IF($J693="","",INDEX('Detalle individual'!$D:$D,$J693))</f>
        <v/>
      </c>
      <c r="F693" s="23" t="str">
        <f>IF($J693="","",INDEX('Detalle individual'!$H:$H,$J693))</f>
        <v/>
      </c>
      <c r="G693" s="28" t="str">
        <f>IF($J693="","",INDEX('Detalle individual'!$J:$J,$J693))</f>
        <v/>
      </c>
      <c r="H693" s="28" t="str">
        <f>IF($J693="","",INDEX('Detalle individual'!$L:$L,$J693))</f>
        <v/>
      </c>
      <c r="J693" t="str">
        <f>IFERROR(MATCH(SMALL(Cálculos!$AI$5:$AI$1000,689),Cálculos!$AI$5:$AI$1000,0)+4,"")</f>
        <v/>
      </c>
    </row>
    <row r="694">
      <c r="A694" s="5" t="str">
        <f>IF($J694="","",INDEX('Detalle individual'!$B:$B,$J694))</f>
        <v/>
      </c>
      <c r="B694" s="5" t="str">
        <f>IF($J694="","",INDEX('Detalle individual'!$A:$A,$J694))</f>
        <v/>
      </c>
      <c r="C694" s="5" t="str">
        <f>IF($J694="","",INDEX('Detalle individual'!$E:$E,$J694))</f>
        <v/>
      </c>
      <c r="D694" s="5" t="str">
        <f>IF($J694="","",INDEX('Detalle individual'!$C:$C,$J694))</f>
        <v/>
      </c>
      <c r="E694" s="5" t="str">
        <f>IF($J694="","",INDEX('Detalle individual'!$D:$D,$J694))</f>
        <v/>
      </c>
      <c r="F694" s="23" t="str">
        <f>IF($J694="","",INDEX('Detalle individual'!$H:$H,$J694))</f>
        <v/>
      </c>
      <c r="G694" s="28" t="str">
        <f>IF($J694="","",INDEX('Detalle individual'!$J:$J,$J694))</f>
        <v/>
      </c>
      <c r="H694" s="28" t="str">
        <f>IF($J694="","",INDEX('Detalle individual'!$L:$L,$J694))</f>
        <v/>
      </c>
      <c r="J694" t="str">
        <f>IFERROR(MATCH(SMALL(Cálculos!$AI$5:$AI$1000,690),Cálculos!$AI$5:$AI$1000,0)+4,"")</f>
        <v/>
      </c>
    </row>
    <row r="695">
      <c r="A695" s="5" t="str">
        <f>IF($J695="","",INDEX('Detalle individual'!$B:$B,$J695))</f>
        <v/>
      </c>
      <c r="B695" s="5" t="str">
        <f>IF($J695="","",INDEX('Detalle individual'!$A:$A,$J695))</f>
        <v/>
      </c>
      <c r="C695" s="5" t="str">
        <f>IF($J695="","",INDEX('Detalle individual'!$E:$E,$J695))</f>
        <v/>
      </c>
      <c r="D695" s="5" t="str">
        <f>IF($J695="","",INDEX('Detalle individual'!$C:$C,$J695))</f>
        <v/>
      </c>
      <c r="E695" s="5" t="str">
        <f>IF($J695="","",INDEX('Detalle individual'!$D:$D,$J695))</f>
        <v/>
      </c>
      <c r="F695" s="23" t="str">
        <f>IF($J695="","",INDEX('Detalle individual'!$H:$H,$J695))</f>
        <v/>
      </c>
      <c r="G695" s="28" t="str">
        <f>IF($J695="","",INDEX('Detalle individual'!$J:$J,$J695))</f>
        <v/>
      </c>
      <c r="H695" s="28" t="str">
        <f>IF($J695="","",INDEX('Detalle individual'!$L:$L,$J695))</f>
        <v/>
      </c>
      <c r="J695" t="str">
        <f>IFERROR(MATCH(SMALL(Cálculos!$AI$5:$AI$1000,691),Cálculos!$AI$5:$AI$1000,0)+4,"")</f>
        <v/>
      </c>
    </row>
    <row r="696">
      <c r="A696" s="5" t="str">
        <f>IF($J696="","",INDEX('Detalle individual'!$B:$B,$J696))</f>
        <v/>
      </c>
      <c r="B696" s="5" t="str">
        <f>IF($J696="","",INDEX('Detalle individual'!$A:$A,$J696))</f>
        <v/>
      </c>
      <c r="C696" s="5" t="str">
        <f>IF($J696="","",INDEX('Detalle individual'!$E:$E,$J696))</f>
        <v/>
      </c>
      <c r="D696" s="5" t="str">
        <f>IF($J696="","",INDEX('Detalle individual'!$C:$C,$J696))</f>
        <v/>
      </c>
      <c r="E696" s="5" t="str">
        <f>IF($J696="","",INDEX('Detalle individual'!$D:$D,$J696))</f>
        <v/>
      </c>
      <c r="F696" s="23" t="str">
        <f>IF($J696="","",INDEX('Detalle individual'!$H:$H,$J696))</f>
        <v/>
      </c>
      <c r="G696" s="28" t="str">
        <f>IF($J696="","",INDEX('Detalle individual'!$J:$J,$J696))</f>
        <v/>
      </c>
      <c r="H696" s="28" t="str">
        <f>IF($J696="","",INDEX('Detalle individual'!$L:$L,$J696))</f>
        <v/>
      </c>
      <c r="J696" t="str">
        <f>IFERROR(MATCH(SMALL(Cálculos!$AI$5:$AI$1000,692),Cálculos!$AI$5:$AI$1000,0)+4,"")</f>
        <v/>
      </c>
    </row>
    <row r="697">
      <c r="A697" s="5" t="str">
        <f>IF($J697="","",INDEX('Detalle individual'!$B:$B,$J697))</f>
        <v/>
      </c>
      <c r="B697" s="5" t="str">
        <f>IF($J697="","",INDEX('Detalle individual'!$A:$A,$J697))</f>
        <v/>
      </c>
      <c r="C697" s="5" t="str">
        <f>IF($J697="","",INDEX('Detalle individual'!$E:$E,$J697))</f>
        <v/>
      </c>
      <c r="D697" s="5" t="str">
        <f>IF($J697="","",INDEX('Detalle individual'!$C:$C,$J697))</f>
        <v/>
      </c>
      <c r="E697" s="5" t="str">
        <f>IF($J697="","",INDEX('Detalle individual'!$D:$D,$J697))</f>
        <v/>
      </c>
      <c r="F697" s="23" t="str">
        <f>IF($J697="","",INDEX('Detalle individual'!$H:$H,$J697))</f>
        <v/>
      </c>
      <c r="G697" s="28" t="str">
        <f>IF($J697="","",INDEX('Detalle individual'!$J:$J,$J697))</f>
        <v/>
      </c>
      <c r="H697" s="28" t="str">
        <f>IF($J697="","",INDEX('Detalle individual'!$L:$L,$J697))</f>
        <v/>
      </c>
      <c r="J697" t="str">
        <f>IFERROR(MATCH(SMALL(Cálculos!$AI$5:$AI$1000,693),Cálculos!$AI$5:$AI$1000,0)+4,"")</f>
        <v/>
      </c>
    </row>
    <row r="698">
      <c r="A698" s="5" t="str">
        <f>IF($J698="","",INDEX('Detalle individual'!$B:$B,$J698))</f>
        <v/>
      </c>
      <c r="B698" s="5" t="str">
        <f>IF($J698="","",INDEX('Detalle individual'!$A:$A,$J698))</f>
        <v/>
      </c>
      <c r="C698" s="5" t="str">
        <f>IF($J698="","",INDEX('Detalle individual'!$E:$E,$J698))</f>
        <v/>
      </c>
      <c r="D698" s="5" t="str">
        <f>IF($J698="","",INDEX('Detalle individual'!$C:$C,$J698))</f>
        <v/>
      </c>
      <c r="E698" s="5" t="str">
        <f>IF($J698="","",INDEX('Detalle individual'!$D:$D,$J698))</f>
        <v/>
      </c>
      <c r="F698" s="23" t="str">
        <f>IF($J698="","",INDEX('Detalle individual'!$H:$H,$J698))</f>
        <v/>
      </c>
      <c r="G698" s="28" t="str">
        <f>IF($J698="","",INDEX('Detalle individual'!$J:$J,$J698))</f>
        <v/>
      </c>
      <c r="H698" s="28" t="str">
        <f>IF($J698="","",INDEX('Detalle individual'!$L:$L,$J698))</f>
        <v/>
      </c>
      <c r="J698" t="str">
        <f>IFERROR(MATCH(SMALL(Cálculos!$AI$5:$AI$1000,694),Cálculos!$AI$5:$AI$1000,0)+4,"")</f>
        <v/>
      </c>
    </row>
    <row r="699">
      <c r="A699" s="5" t="str">
        <f>IF($J699="","",INDEX('Detalle individual'!$B:$B,$J699))</f>
        <v/>
      </c>
      <c r="B699" s="5" t="str">
        <f>IF($J699="","",INDEX('Detalle individual'!$A:$A,$J699))</f>
        <v/>
      </c>
      <c r="C699" s="5" t="str">
        <f>IF($J699="","",INDEX('Detalle individual'!$E:$E,$J699))</f>
        <v/>
      </c>
      <c r="D699" s="5" t="str">
        <f>IF($J699="","",INDEX('Detalle individual'!$C:$C,$J699))</f>
        <v/>
      </c>
      <c r="E699" s="5" t="str">
        <f>IF($J699="","",INDEX('Detalle individual'!$D:$D,$J699))</f>
        <v/>
      </c>
      <c r="F699" s="23" t="str">
        <f>IF($J699="","",INDEX('Detalle individual'!$H:$H,$J699))</f>
        <v/>
      </c>
      <c r="G699" s="28" t="str">
        <f>IF($J699="","",INDEX('Detalle individual'!$J:$J,$J699))</f>
        <v/>
      </c>
      <c r="H699" s="28" t="str">
        <f>IF($J699="","",INDEX('Detalle individual'!$L:$L,$J699))</f>
        <v/>
      </c>
      <c r="J699" t="str">
        <f>IFERROR(MATCH(SMALL(Cálculos!$AI$5:$AI$1000,695),Cálculos!$AI$5:$AI$1000,0)+4,"")</f>
        <v/>
      </c>
    </row>
    <row r="700">
      <c r="A700" s="5" t="str">
        <f>IF($J700="","",INDEX('Detalle individual'!$B:$B,$J700))</f>
        <v/>
      </c>
      <c r="B700" s="5" t="str">
        <f>IF($J700="","",INDEX('Detalle individual'!$A:$A,$J700))</f>
        <v/>
      </c>
      <c r="C700" s="5" t="str">
        <f>IF($J700="","",INDEX('Detalle individual'!$E:$E,$J700))</f>
        <v/>
      </c>
      <c r="D700" s="5" t="str">
        <f>IF($J700="","",INDEX('Detalle individual'!$C:$C,$J700))</f>
        <v/>
      </c>
      <c r="E700" s="5" t="str">
        <f>IF($J700="","",INDEX('Detalle individual'!$D:$D,$J700))</f>
        <v/>
      </c>
      <c r="F700" s="23" t="str">
        <f>IF($J700="","",INDEX('Detalle individual'!$H:$H,$J700))</f>
        <v/>
      </c>
      <c r="G700" s="28" t="str">
        <f>IF($J700="","",INDEX('Detalle individual'!$J:$J,$J700))</f>
        <v/>
      </c>
      <c r="H700" s="28" t="str">
        <f>IF($J700="","",INDEX('Detalle individual'!$L:$L,$J700))</f>
        <v/>
      </c>
      <c r="J700" t="str">
        <f>IFERROR(MATCH(SMALL(Cálculos!$AI$5:$AI$1000,696),Cálculos!$AI$5:$AI$1000,0)+4,"")</f>
        <v/>
      </c>
    </row>
    <row r="701">
      <c r="A701" s="5" t="str">
        <f>IF($J701="","",INDEX('Detalle individual'!$B:$B,$J701))</f>
        <v/>
      </c>
      <c r="B701" s="5" t="str">
        <f>IF($J701="","",INDEX('Detalle individual'!$A:$A,$J701))</f>
        <v/>
      </c>
      <c r="C701" s="5" t="str">
        <f>IF($J701="","",INDEX('Detalle individual'!$E:$E,$J701))</f>
        <v/>
      </c>
      <c r="D701" s="5" t="str">
        <f>IF($J701="","",INDEX('Detalle individual'!$C:$C,$J701))</f>
        <v/>
      </c>
      <c r="E701" s="5" t="str">
        <f>IF($J701="","",INDEX('Detalle individual'!$D:$D,$J701))</f>
        <v/>
      </c>
      <c r="F701" s="23" t="str">
        <f>IF($J701="","",INDEX('Detalle individual'!$H:$H,$J701))</f>
        <v/>
      </c>
      <c r="G701" s="28" t="str">
        <f>IF($J701="","",INDEX('Detalle individual'!$J:$J,$J701))</f>
        <v/>
      </c>
      <c r="H701" s="28" t="str">
        <f>IF($J701="","",INDEX('Detalle individual'!$L:$L,$J701))</f>
        <v/>
      </c>
      <c r="J701" t="str">
        <f>IFERROR(MATCH(SMALL(Cálculos!$AI$5:$AI$1000,697),Cálculos!$AI$5:$AI$1000,0)+4,"")</f>
        <v/>
      </c>
    </row>
    <row r="702">
      <c r="A702" s="5" t="str">
        <f>IF($J702="","",INDEX('Detalle individual'!$B:$B,$J702))</f>
        <v/>
      </c>
      <c r="B702" s="5" t="str">
        <f>IF($J702="","",INDEX('Detalle individual'!$A:$A,$J702))</f>
        <v/>
      </c>
      <c r="C702" s="5" t="str">
        <f>IF($J702="","",INDEX('Detalle individual'!$E:$E,$J702))</f>
        <v/>
      </c>
      <c r="D702" s="5" t="str">
        <f>IF($J702="","",INDEX('Detalle individual'!$C:$C,$J702))</f>
        <v/>
      </c>
      <c r="E702" s="5" t="str">
        <f>IF($J702="","",INDEX('Detalle individual'!$D:$D,$J702))</f>
        <v/>
      </c>
      <c r="F702" s="23" t="str">
        <f>IF($J702="","",INDEX('Detalle individual'!$H:$H,$J702))</f>
        <v/>
      </c>
      <c r="G702" s="28" t="str">
        <f>IF($J702="","",INDEX('Detalle individual'!$J:$J,$J702))</f>
        <v/>
      </c>
      <c r="H702" s="28" t="str">
        <f>IF($J702="","",INDEX('Detalle individual'!$L:$L,$J702))</f>
        <v/>
      </c>
      <c r="J702" t="str">
        <f>IFERROR(MATCH(SMALL(Cálculos!$AI$5:$AI$1000,698),Cálculos!$AI$5:$AI$1000,0)+4,"")</f>
        <v/>
      </c>
    </row>
    <row r="703">
      <c r="A703" s="5" t="str">
        <f>IF($J703="","",INDEX('Detalle individual'!$B:$B,$J703))</f>
        <v/>
      </c>
      <c r="B703" s="5" t="str">
        <f>IF($J703="","",INDEX('Detalle individual'!$A:$A,$J703))</f>
        <v/>
      </c>
      <c r="C703" s="5" t="str">
        <f>IF($J703="","",INDEX('Detalle individual'!$E:$E,$J703))</f>
        <v/>
      </c>
      <c r="D703" s="5" t="str">
        <f>IF($J703="","",INDEX('Detalle individual'!$C:$C,$J703))</f>
        <v/>
      </c>
      <c r="E703" s="5" t="str">
        <f>IF($J703="","",INDEX('Detalle individual'!$D:$D,$J703))</f>
        <v/>
      </c>
      <c r="F703" s="23" t="str">
        <f>IF($J703="","",INDEX('Detalle individual'!$H:$H,$J703))</f>
        <v/>
      </c>
      <c r="G703" s="28" t="str">
        <f>IF($J703="","",INDEX('Detalle individual'!$J:$J,$J703))</f>
        <v/>
      </c>
      <c r="H703" s="28" t="str">
        <f>IF($J703="","",INDEX('Detalle individual'!$L:$L,$J703))</f>
        <v/>
      </c>
      <c r="J703" t="str">
        <f>IFERROR(MATCH(SMALL(Cálculos!$AI$5:$AI$1000,699),Cálculos!$AI$5:$AI$1000,0)+4,"")</f>
        <v/>
      </c>
    </row>
    <row r="704">
      <c r="A704" s="5" t="str">
        <f>IF($J704="","",INDEX('Detalle individual'!$B:$B,$J704))</f>
        <v/>
      </c>
      <c r="B704" s="5" t="str">
        <f>IF($J704="","",INDEX('Detalle individual'!$A:$A,$J704))</f>
        <v/>
      </c>
      <c r="C704" s="5" t="str">
        <f>IF($J704="","",INDEX('Detalle individual'!$E:$E,$J704))</f>
        <v/>
      </c>
      <c r="D704" s="5" t="str">
        <f>IF($J704="","",INDEX('Detalle individual'!$C:$C,$J704))</f>
        <v/>
      </c>
      <c r="E704" s="5" t="str">
        <f>IF($J704="","",INDEX('Detalle individual'!$D:$D,$J704))</f>
        <v/>
      </c>
      <c r="F704" s="23" t="str">
        <f>IF($J704="","",INDEX('Detalle individual'!$H:$H,$J704))</f>
        <v/>
      </c>
      <c r="G704" s="28" t="str">
        <f>IF($J704="","",INDEX('Detalle individual'!$J:$J,$J704))</f>
        <v/>
      </c>
      <c r="H704" s="28" t="str">
        <f>IF($J704="","",INDEX('Detalle individual'!$L:$L,$J704))</f>
        <v/>
      </c>
      <c r="J704" t="str">
        <f>IFERROR(MATCH(SMALL(Cálculos!$AI$5:$AI$1000,700),Cálculos!$AI$5:$AI$1000,0)+4,"")</f>
        <v/>
      </c>
    </row>
    <row r="705">
      <c r="A705" s="5" t="str">
        <f>IF($J705="","",INDEX('Detalle individual'!$B:$B,$J705))</f>
        <v/>
      </c>
      <c r="B705" s="5" t="str">
        <f>IF($J705="","",INDEX('Detalle individual'!$A:$A,$J705))</f>
        <v/>
      </c>
      <c r="C705" s="5" t="str">
        <f>IF($J705="","",INDEX('Detalle individual'!$E:$E,$J705))</f>
        <v/>
      </c>
      <c r="D705" s="5" t="str">
        <f>IF($J705="","",INDEX('Detalle individual'!$C:$C,$J705))</f>
        <v/>
      </c>
      <c r="E705" s="5" t="str">
        <f>IF($J705="","",INDEX('Detalle individual'!$D:$D,$J705))</f>
        <v/>
      </c>
      <c r="F705" s="23" t="str">
        <f>IF($J705="","",INDEX('Detalle individual'!$H:$H,$J705))</f>
        <v/>
      </c>
      <c r="G705" s="28" t="str">
        <f>IF($J705="","",INDEX('Detalle individual'!$J:$J,$J705))</f>
        <v/>
      </c>
      <c r="H705" s="28" t="str">
        <f>IF($J705="","",INDEX('Detalle individual'!$L:$L,$J705))</f>
        <v/>
      </c>
      <c r="J705" t="str">
        <f>IFERROR(MATCH(SMALL(Cálculos!$AI$5:$AI$1000,701),Cálculos!$AI$5:$AI$1000,0)+4,"")</f>
        <v/>
      </c>
    </row>
    <row r="706">
      <c r="A706" s="5" t="str">
        <f>IF($J706="","",INDEX('Detalle individual'!$B:$B,$J706))</f>
        <v/>
      </c>
      <c r="B706" s="5" t="str">
        <f>IF($J706="","",INDEX('Detalle individual'!$A:$A,$J706))</f>
        <v/>
      </c>
      <c r="C706" s="5" t="str">
        <f>IF($J706="","",INDEX('Detalle individual'!$E:$E,$J706))</f>
        <v/>
      </c>
      <c r="D706" s="5" t="str">
        <f>IF($J706="","",INDEX('Detalle individual'!$C:$C,$J706))</f>
        <v/>
      </c>
      <c r="E706" s="5" t="str">
        <f>IF($J706="","",INDEX('Detalle individual'!$D:$D,$J706))</f>
        <v/>
      </c>
      <c r="F706" s="23" t="str">
        <f>IF($J706="","",INDEX('Detalle individual'!$H:$H,$J706))</f>
        <v/>
      </c>
      <c r="G706" s="28" t="str">
        <f>IF($J706="","",INDEX('Detalle individual'!$J:$J,$J706))</f>
        <v/>
      </c>
      <c r="H706" s="28" t="str">
        <f>IF($J706="","",INDEX('Detalle individual'!$L:$L,$J706))</f>
        <v/>
      </c>
      <c r="J706" t="str">
        <f>IFERROR(MATCH(SMALL(Cálculos!$AI$5:$AI$1000,702),Cálculos!$AI$5:$AI$1000,0)+4,"")</f>
        <v/>
      </c>
    </row>
    <row r="707">
      <c r="A707" s="5" t="str">
        <f>IF($J707="","",INDEX('Detalle individual'!$B:$B,$J707))</f>
        <v/>
      </c>
      <c r="B707" s="5" t="str">
        <f>IF($J707="","",INDEX('Detalle individual'!$A:$A,$J707))</f>
        <v/>
      </c>
      <c r="C707" s="5" t="str">
        <f>IF($J707="","",INDEX('Detalle individual'!$E:$E,$J707))</f>
        <v/>
      </c>
      <c r="D707" s="5" t="str">
        <f>IF($J707="","",INDEX('Detalle individual'!$C:$C,$J707))</f>
        <v/>
      </c>
      <c r="E707" s="5" t="str">
        <f>IF($J707="","",INDEX('Detalle individual'!$D:$D,$J707))</f>
        <v/>
      </c>
      <c r="F707" s="23" t="str">
        <f>IF($J707="","",INDEX('Detalle individual'!$H:$H,$J707))</f>
        <v/>
      </c>
      <c r="G707" s="28" t="str">
        <f>IF($J707="","",INDEX('Detalle individual'!$J:$J,$J707))</f>
        <v/>
      </c>
      <c r="H707" s="28" t="str">
        <f>IF($J707="","",INDEX('Detalle individual'!$L:$L,$J707))</f>
        <v/>
      </c>
      <c r="J707" t="str">
        <f>IFERROR(MATCH(SMALL(Cálculos!$AI$5:$AI$1000,703),Cálculos!$AI$5:$AI$1000,0)+4,"")</f>
        <v/>
      </c>
    </row>
    <row r="708">
      <c r="A708" s="5" t="str">
        <f>IF($J708="","",INDEX('Detalle individual'!$B:$B,$J708))</f>
        <v/>
      </c>
      <c r="B708" s="5" t="str">
        <f>IF($J708="","",INDEX('Detalle individual'!$A:$A,$J708))</f>
        <v/>
      </c>
      <c r="C708" s="5" t="str">
        <f>IF($J708="","",INDEX('Detalle individual'!$E:$E,$J708))</f>
        <v/>
      </c>
      <c r="D708" s="5" t="str">
        <f>IF($J708="","",INDEX('Detalle individual'!$C:$C,$J708))</f>
        <v/>
      </c>
      <c r="E708" s="5" t="str">
        <f>IF($J708="","",INDEX('Detalle individual'!$D:$D,$J708))</f>
        <v/>
      </c>
      <c r="F708" s="23" t="str">
        <f>IF($J708="","",INDEX('Detalle individual'!$H:$H,$J708))</f>
        <v/>
      </c>
      <c r="G708" s="28" t="str">
        <f>IF($J708="","",INDEX('Detalle individual'!$J:$J,$J708))</f>
        <v/>
      </c>
      <c r="H708" s="28" t="str">
        <f>IF($J708="","",INDEX('Detalle individual'!$L:$L,$J708))</f>
        <v/>
      </c>
      <c r="J708" t="str">
        <f>IFERROR(MATCH(SMALL(Cálculos!$AI$5:$AI$1000,704),Cálculos!$AI$5:$AI$1000,0)+4,"")</f>
        <v/>
      </c>
    </row>
    <row r="709">
      <c r="A709" s="5" t="str">
        <f>IF($J709="","",INDEX('Detalle individual'!$B:$B,$J709))</f>
        <v/>
      </c>
      <c r="B709" s="5" t="str">
        <f>IF($J709="","",INDEX('Detalle individual'!$A:$A,$J709))</f>
        <v/>
      </c>
      <c r="C709" s="5" t="str">
        <f>IF($J709="","",INDEX('Detalle individual'!$E:$E,$J709))</f>
        <v/>
      </c>
      <c r="D709" s="5" t="str">
        <f>IF($J709="","",INDEX('Detalle individual'!$C:$C,$J709))</f>
        <v/>
      </c>
      <c r="E709" s="5" t="str">
        <f>IF($J709="","",INDEX('Detalle individual'!$D:$D,$J709))</f>
        <v/>
      </c>
      <c r="F709" s="23" t="str">
        <f>IF($J709="","",INDEX('Detalle individual'!$H:$H,$J709))</f>
        <v/>
      </c>
      <c r="G709" s="28" t="str">
        <f>IF($J709="","",INDEX('Detalle individual'!$J:$J,$J709))</f>
        <v/>
      </c>
      <c r="H709" s="28" t="str">
        <f>IF($J709="","",INDEX('Detalle individual'!$L:$L,$J709))</f>
        <v/>
      </c>
      <c r="J709" t="str">
        <f>IFERROR(MATCH(SMALL(Cálculos!$AI$5:$AI$1000,705),Cálculos!$AI$5:$AI$1000,0)+4,"")</f>
        <v/>
      </c>
    </row>
    <row r="710">
      <c r="A710" s="5" t="str">
        <f>IF($J710="","",INDEX('Detalle individual'!$B:$B,$J710))</f>
        <v/>
      </c>
      <c r="B710" s="5" t="str">
        <f>IF($J710="","",INDEX('Detalle individual'!$A:$A,$J710))</f>
        <v/>
      </c>
      <c r="C710" s="5" t="str">
        <f>IF($J710="","",INDEX('Detalle individual'!$E:$E,$J710))</f>
        <v/>
      </c>
      <c r="D710" s="5" t="str">
        <f>IF($J710="","",INDEX('Detalle individual'!$C:$C,$J710))</f>
        <v/>
      </c>
      <c r="E710" s="5" t="str">
        <f>IF($J710="","",INDEX('Detalle individual'!$D:$D,$J710))</f>
        <v/>
      </c>
      <c r="F710" s="23" t="str">
        <f>IF($J710="","",INDEX('Detalle individual'!$H:$H,$J710))</f>
        <v/>
      </c>
      <c r="G710" s="28" t="str">
        <f>IF($J710="","",INDEX('Detalle individual'!$J:$J,$J710))</f>
        <v/>
      </c>
      <c r="H710" s="28" t="str">
        <f>IF($J710="","",INDEX('Detalle individual'!$L:$L,$J710))</f>
        <v/>
      </c>
      <c r="J710" t="str">
        <f>IFERROR(MATCH(SMALL(Cálculos!$AI$5:$AI$1000,706),Cálculos!$AI$5:$AI$1000,0)+4,"")</f>
        <v/>
      </c>
    </row>
    <row r="711">
      <c r="A711" s="5" t="str">
        <f>IF($J711="","",INDEX('Detalle individual'!$B:$B,$J711))</f>
        <v/>
      </c>
      <c r="B711" s="5" t="str">
        <f>IF($J711="","",INDEX('Detalle individual'!$A:$A,$J711))</f>
        <v/>
      </c>
      <c r="C711" s="5" t="str">
        <f>IF($J711="","",INDEX('Detalle individual'!$E:$E,$J711))</f>
        <v/>
      </c>
      <c r="D711" s="5" t="str">
        <f>IF($J711="","",INDEX('Detalle individual'!$C:$C,$J711))</f>
        <v/>
      </c>
      <c r="E711" s="5" t="str">
        <f>IF($J711="","",INDEX('Detalle individual'!$D:$D,$J711))</f>
        <v/>
      </c>
      <c r="F711" s="23" t="str">
        <f>IF($J711="","",INDEX('Detalle individual'!$H:$H,$J711))</f>
        <v/>
      </c>
      <c r="G711" s="28" t="str">
        <f>IF($J711="","",INDEX('Detalle individual'!$J:$J,$J711))</f>
        <v/>
      </c>
      <c r="H711" s="28" t="str">
        <f>IF($J711="","",INDEX('Detalle individual'!$L:$L,$J711))</f>
        <v/>
      </c>
      <c r="J711" t="str">
        <f>IFERROR(MATCH(SMALL(Cálculos!$AI$5:$AI$1000,707),Cálculos!$AI$5:$AI$1000,0)+4,"")</f>
        <v/>
      </c>
    </row>
    <row r="712">
      <c r="A712" s="5" t="str">
        <f>IF($J712="","",INDEX('Detalle individual'!$B:$B,$J712))</f>
        <v/>
      </c>
      <c r="B712" s="5" t="str">
        <f>IF($J712="","",INDEX('Detalle individual'!$A:$A,$J712))</f>
        <v/>
      </c>
      <c r="C712" s="5" t="str">
        <f>IF($J712="","",INDEX('Detalle individual'!$E:$E,$J712))</f>
        <v/>
      </c>
      <c r="D712" s="5" t="str">
        <f>IF($J712="","",INDEX('Detalle individual'!$C:$C,$J712))</f>
        <v/>
      </c>
      <c r="E712" s="5" t="str">
        <f>IF($J712="","",INDEX('Detalle individual'!$D:$D,$J712))</f>
        <v/>
      </c>
      <c r="F712" s="23" t="str">
        <f>IF($J712="","",INDEX('Detalle individual'!$H:$H,$J712))</f>
        <v/>
      </c>
      <c r="G712" s="28" t="str">
        <f>IF($J712="","",INDEX('Detalle individual'!$J:$J,$J712))</f>
        <v/>
      </c>
      <c r="H712" s="28" t="str">
        <f>IF($J712="","",INDEX('Detalle individual'!$L:$L,$J712))</f>
        <v/>
      </c>
      <c r="J712" t="str">
        <f>IFERROR(MATCH(SMALL(Cálculos!$AI$5:$AI$1000,708),Cálculos!$AI$5:$AI$1000,0)+4,"")</f>
        <v/>
      </c>
    </row>
    <row r="713">
      <c r="A713" s="5" t="str">
        <f>IF($J713="","",INDEX('Detalle individual'!$B:$B,$J713))</f>
        <v/>
      </c>
      <c r="B713" s="5" t="str">
        <f>IF($J713="","",INDEX('Detalle individual'!$A:$A,$J713))</f>
        <v/>
      </c>
      <c r="C713" s="5" t="str">
        <f>IF($J713="","",INDEX('Detalle individual'!$E:$E,$J713))</f>
        <v/>
      </c>
      <c r="D713" s="5" t="str">
        <f>IF($J713="","",INDEX('Detalle individual'!$C:$C,$J713))</f>
        <v/>
      </c>
      <c r="E713" s="5" t="str">
        <f>IF($J713="","",INDEX('Detalle individual'!$D:$D,$J713))</f>
        <v/>
      </c>
      <c r="F713" s="23" t="str">
        <f>IF($J713="","",INDEX('Detalle individual'!$H:$H,$J713))</f>
        <v/>
      </c>
      <c r="G713" s="28" t="str">
        <f>IF($J713="","",INDEX('Detalle individual'!$J:$J,$J713))</f>
        <v/>
      </c>
      <c r="H713" s="28" t="str">
        <f>IF($J713="","",INDEX('Detalle individual'!$L:$L,$J713))</f>
        <v/>
      </c>
      <c r="J713" t="str">
        <f>IFERROR(MATCH(SMALL(Cálculos!$AI$5:$AI$1000,709),Cálculos!$AI$5:$AI$1000,0)+4,"")</f>
        <v/>
      </c>
    </row>
    <row r="714">
      <c r="A714" s="5" t="str">
        <f>IF($J714="","",INDEX('Detalle individual'!$B:$B,$J714))</f>
        <v/>
      </c>
      <c r="B714" s="5" t="str">
        <f>IF($J714="","",INDEX('Detalle individual'!$A:$A,$J714))</f>
        <v/>
      </c>
      <c r="C714" s="5" t="str">
        <f>IF($J714="","",INDEX('Detalle individual'!$E:$E,$J714))</f>
        <v/>
      </c>
      <c r="D714" s="5" t="str">
        <f>IF($J714="","",INDEX('Detalle individual'!$C:$C,$J714))</f>
        <v/>
      </c>
      <c r="E714" s="5" t="str">
        <f>IF($J714="","",INDEX('Detalle individual'!$D:$D,$J714))</f>
        <v/>
      </c>
      <c r="F714" s="23" t="str">
        <f>IF($J714="","",INDEX('Detalle individual'!$H:$H,$J714))</f>
        <v/>
      </c>
      <c r="G714" s="28" t="str">
        <f>IF($J714="","",INDEX('Detalle individual'!$J:$J,$J714))</f>
        <v/>
      </c>
      <c r="H714" s="28" t="str">
        <f>IF($J714="","",INDEX('Detalle individual'!$L:$L,$J714))</f>
        <v/>
      </c>
      <c r="J714" t="str">
        <f>IFERROR(MATCH(SMALL(Cálculos!$AI$5:$AI$1000,710),Cálculos!$AI$5:$AI$1000,0)+4,"")</f>
        <v/>
      </c>
    </row>
    <row r="715">
      <c r="A715" s="5" t="str">
        <f>IF($J715="","",INDEX('Detalle individual'!$B:$B,$J715))</f>
        <v/>
      </c>
      <c r="B715" s="5" t="str">
        <f>IF($J715="","",INDEX('Detalle individual'!$A:$A,$J715))</f>
        <v/>
      </c>
      <c r="C715" s="5" t="str">
        <f>IF($J715="","",INDEX('Detalle individual'!$E:$E,$J715))</f>
        <v/>
      </c>
      <c r="D715" s="5" t="str">
        <f>IF($J715="","",INDEX('Detalle individual'!$C:$C,$J715))</f>
        <v/>
      </c>
      <c r="E715" s="5" t="str">
        <f>IF($J715="","",INDEX('Detalle individual'!$D:$D,$J715))</f>
        <v/>
      </c>
      <c r="F715" s="23" t="str">
        <f>IF($J715="","",INDEX('Detalle individual'!$H:$H,$J715))</f>
        <v/>
      </c>
      <c r="G715" s="28" t="str">
        <f>IF($J715="","",INDEX('Detalle individual'!$J:$J,$J715))</f>
        <v/>
      </c>
      <c r="H715" s="28" t="str">
        <f>IF($J715="","",INDEX('Detalle individual'!$L:$L,$J715))</f>
        <v/>
      </c>
      <c r="J715" t="str">
        <f>IFERROR(MATCH(SMALL(Cálculos!$AI$5:$AI$1000,711),Cálculos!$AI$5:$AI$1000,0)+4,"")</f>
        <v/>
      </c>
    </row>
    <row r="716">
      <c r="A716" s="5" t="str">
        <f>IF($J716="","",INDEX('Detalle individual'!$B:$B,$J716))</f>
        <v/>
      </c>
      <c r="B716" s="5" t="str">
        <f>IF($J716="","",INDEX('Detalle individual'!$A:$A,$J716))</f>
        <v/>
      </c>
      <c r="C716" s="5" t="str">
        <f>IF($J716="","",INDEX('Detalle individual'!$E:$E,$J716))</f>
        <v/>
      </c>
      <c r="D716" s="5" t="str">
        <f>IF($J716="","",INDEX('Detalle individual'!$C:$C,$J716))</f>
        <v/>
      </c>
      <c r="E716" s="5" t="str">
        <f>IF($J716="","",INDEX('Detalle individual'!$D:$D,$J716))</f>
        <v/>
      </c>
      <c r="F716" s="23" t="str">
        <f>IF($J716="","",INDEX('Detalle individual'!$H:$H,$J716))</f>
        <v/>
      </c>
      <c r="G716" s="28" t="str">
        <f>IF($J716="","",INDEX('Detalle individual'!$J:$J,$J716))</f>
        <v/>
      </c>
      <c r="H716" s="28" t="str">
        <f>IF($J716="","",INDEX('Detalle individual'!$L:$L,$J716))</f>
        <v/>
      </c>
      <c r="J716" t="str">
        <f>IFERROR(MATCH(SMALL(Cálculos!$AI$5:$AI$1000,712),Cálculos!$AI$5:$AI$1000,0)+4,"")</f>
        <v/>
      </c>
    </row>
    <row r="717">
      <c r="A717" s="5" t="str">
        <f>IF($J717="","",INDEX('Detalle individual'!$B:$B,$J717))</f>
        <v/>
      </c>
      <c r="B717" s="5" t="str">
        <f>IF($J717="","",INDEX('Detalle individual'!$A:$A,$J717))</f>
        <v/>
      </c>
      <c r="C717" s="5" t="str">
        <f>IF($J717="","",INDEX('Detalle individual'!$E:$E,$J717))</f>
        <v/>
      </c>
      <c r="D717" s="5" t="str">
        <f>IF($J717="","",INDEX('Detalle individual'!$C:$C,$J717))</f>
        <v/>
      </c>
      <c r="E717" s="5" t="str">
        <f>IF($J717="","",INDEX('Detalle individual'!$D:$D,$J717))</f>
        <v/>
      </c>
      <c r="F717" s="23" t="str">
        <f>IF($J717="","",INDEX('Detalle individual'!$H:$H,$J717))</f>
        <v/>
      </c>
      <c r="G717" s="28" t="str">
        <f>IF($J717="","",INDEX('Detalle individual'!$J:$J,$J717))</f>
        <v/>
      </c>
      <c r="H717" s="28" t="str">
        <f>IF($J717="","",INDEX('Detalle individual'!$L:$L,$J717))</f>
        <v/>
      </c>
      <c r="J717" t="str">
        <f>IFERROR(MATCH(SMALL(Cálculos!$AI$5:$AI$1000,713),Cálculos!$AI$5:$AI$1000,0)+4,"")</f>
        <v/>
      </c>
    </row>
    <row r="718">
      <c r="A718" s="5" t="str">
        <f>IF($J718="","",INDEX('Detalle individual'!$B:$B,$J718))</f>
        <v/>
      </c>
      <c r="B718" s="5" t="str">
        <f>IF($J718="","",INDEX('Detalle individual'!$A:$A,$J718))</f>
        <v/>
      </c>
      <c r="C718" s="5" t="str">
        <f>IF($J718="","",INDEX('Detalle individual'!$E:$E,$J718))</f>
        <v/>
      </c>
      <c r="D718" s="5" t="str">
        <f>IF($J718="","",INDEX('Detalle individual'!$C:$C,$J718))</f>
        <v/>
      </c>
      <c r="E718" s="5" t="str">
        <f>IF($J718="","",INDEX('Detalle individual'!$D:$D,$J718))</f>
        <v/>
      </c>
      <c r="F718" s="23" t="str">
        <f>IF($J718="","",INDEX('Detalle individual'!$H:$H,$J718))</f>
        <v/>
      </c>
      <c r="G718" s="28" t="str">
        <f>IF($J718="","",INDEX('Detalle individual'!$J:$J,$J718))</f>
        <v/>
      </c>
      <c r="H718" s="28" t="str">
        <f>IF($J718="","",INDEX('Detalle individual'!$L:$L,$J718))</f>
        <v/>
      </c>
      <c r="J718" t="str">
        <f>IFERROR(MATCH(SMALL(Cálculos!$AI$5:$AI$1000,714),Cálculos!$AI$5:$AI$1000,0)+4,"")</f>
        <v/>
      </c>
    </row>
    <row r="719">
      <c r="A719" s="5" t="str">
        <f>IF($J719="","",INDEX('Detalle individual'!$B:$B,$J719))</f>
        <v/>
      </c>
      <c r="B719" s="5" t="str">
        <f>IF($J719="","",INDEX('Detalle individual'!$A:$A,$J719))</f>
        <v/>
      </c>
      <c r="C719" s="5" t="str">
        <f>IF($J719="","",INDEX('Detalle individual'!$E:$E,$J719))</f>
        <v/>
      </c>
      <c r="D719" s="5" t="str">
        <f>IF($J719="","",INDEX('Detalle individual'!$C:$C,$J719))</f>
        <v/>
      </c>
      <c r="E719" s="5" t="str">
        <f>IF($J719="","",INDEX('Detalle individual'!$D:$D,$J719))</f>
        <v/>
      </c>
      <c r="F719" s="23" t="str">
        <f>IF($J719="","",INDEX('Detalle individual'!$H:$H,$J719))</f>
        <v/>
      </c>
      <c r="G719" s="28" t="str">
        <f>IF($J719="","",INDEX('Detalle individual'!$J:$J,$J719))</f>
        <v/>
      </c>
      <c r="H719" s="28" t="str">
        <f>IF($J719="","",INDEX('Detalle individual'!$L:$L,$J719))</f>
        <v/>
      </c>
      <c r="J719" t="str">
        <f>IFERROR(MATCH(SMALL(Cálculos!$AI$5:$AI$1000,715),Cálculos!$AI$5:$AI$1000,0)+4,"")</f>
        <v/>
      </c>
    </row>
    <row r="720">
      <c r="A720" s="5" t="str">
        <f>IF($J720="","",INDEX('Detalle individual'!$B:$B,$J720))</f>
        <v/>
      </c>
      <c r="B720" s="5" t="str">
        <f>IF($J720="","",INDEX('Detalle individual'!$A:$A,$J720))</f>
        <v/>
      </c>
      <c r="C720" s="5" t="str">
        <f>IF($J720="","",INDEX('Detalle individual'!$E:$E,$J720))</f>
        <v/>
      </c>
      <c r="D720" s="5" t="str">
        <f>IF($J720="","",INDEX('Detalle individual'!$C:$C,$J720))</f>
        <v/>
      </c>
      <c r="E720" s="5" t="str">
        <f>IF($J720="","",INDEX('Detalle individual'!$D:$D,$J720))</f>
        <v/>
      </c>
      <c r="F720" s="23" t="str">
        <f>IF($J720="","",INDEX('Detalle individual'!$H:$H,$J720))</f>
        <v/>
      </c>
      <c r="G720" s="28" t="str">
        <f>IF($J720="","",INDEX('Detalle individual'!$J:$J,$J720))</f>
        <v/>
      </c>
      <c r="H720" s="28" t="str">
        <f>IF($J720="","",INDEX('Detalle individual'!$L:$L,$J720))</f>
        <v/>
      </c>
      <c r="J720" t="str">
        <f>IFERROR(MATCH(SMALL(Cálculos!$AI$5:$AI$1000,716),Cálculos!$AI$5:$AI$1000,0)+4,"")</f>
        <v/>
      </c>
    </row>
    <row r="721">
      <c r="A721" s="5" t="str">
        <f>IF($J721="","",INDEX('Detalle individual'!$B:$B,$J721))</f>
        <v/>
      </c>
      <c r="B721" s="5" t="str">
        <f>IF($J721="","",INDEX('Detalle individual'!$A:$A,$J721))</f>
        <v/>
      </c>
      <c r="C721" s="5" t="str">
        <f>IF($J721="","",INDEX('Detalle individual'!$E:$E,$J721))</f>
        <v/>
      </c>
      <c r="D721" s="5" t="str">
        <f>IF($J721="","",INDEX('Detalle individual'!$C:$C,$J721))</f>
        <v/>
      </c>
      <c r="E721" s="5" t="str">
        <f>IF($J721="","",INDEX('Detalle individual'!$D:$D,$J721))</f>
        <v/>
      </c>
      <c r="F721" s="23" t="str">
        <f>IF($J721="","",INDEX('Detalle individual'!$H:$H,$J721))</f>
        <v/>
      </c>
      <c r="G721" s="28" t="str">
        <f>IF($J721="","",INDEX('Detalle individual'!$J:$J,$J721))</f>
        <v/>
      </c>
      <c r="H721" s="28" t="str">
        <f>IF($J721="","",INDEX('Detalle individual'!$L:$L,$J721))</f>
        <v/>
      </c>
      <c r="J721" t="str">
        <f>IFERROR(MATCH(SMALL(Cálculos!$AI$5:$AI$1000,717),Cálculos!$AI$5:$AI$1000,0)+4,"")</f>
        <v/>
      </c>
    </row>
    <row r="722">
      <c r="A722" s="5" t="str">
        <f>IF($J722="","",INDEX('Detalle individual'!$B:$B,$J722))</f>
        <v/>
      </c>
      <c r="B722" s="5" t="str">
        <f>IF($J722="","",INDEX('Detalle individual'!$A:$A,$J722))</f>
        <v/>
      </c>
      <c r="C722" s="5" t="str">
        <f>IF($J722="","",INDEX('Detalle individual'!$E:$E,$J722))</f>
        <v/>
      </c>
      <c r="D722" s="5" t="str">
        <f>IF($J722="","",INDEX('Detalle individual'!$C:$C,$J722))</f>
        <v/>
      </c>
      <c r="E722" s="5" t="str">
        <f>IF($J722="","",INDEX('Detalle individual'!$D:$D,$J722))</f>
        <v/>
      </c>
      <c r="F722" s="23" t="str">
        <f>IF($J722="","",INDEX('Detalle individual'!$H:$H,$J722))</f>
        <v/>
      </c>
      <c r="G722" s="28" t="str">
        <f>IF($J722="","",INDEX('Detalle individual'!$J:$J,$J722))</f>
        <v/>
      </c>
      <c r="H722" s="28" t="str">
        <f>IF($J722="","",INDEX('Detalle individual'!$L:$L,$J722))</f>
        <v/>
      </c>
      <c r="J722" t="str">
        <f>IFERROR(MATCH(SMALL(Cálculos!$AI$5:$AI$1000,718),Cálculos!$AI$5:$AI$1000,0)+4,"")</f>
        <v/>
      </c>
    </row>
    <row r="723">
      <c r="A723" s="5" t="str">
        <f>IF($J723="","",INDEX('Detalle individual'!$B:$B,$J723))</f>
        <v/>
      </c>
      <c r="B723" s="5" t="str">
        <f>IF($J723="","",INDEX('Detalle individual'!$A:$A,$J723))</f>
        <v/>
      </c>
      <c r="C723" s="5" t="str">
        <f>IF($J723="","",INDEX('Detalle individual'!$E:$E,$J723))</f>
        <v/>
      </c>
      <c r="D723" s="5" t="str">
        <f>IF($J723="","",INDEX('Detalle individual'!$C:$C,$J723))</f>
        <v/>
      </c>
      <c r="E723" s="5" t="str">
        <f>IF($J723="","",INDEX('Detalle individual'!$D:$D,$J723))</f>
        <v/>
      </c>
      <c r="F723" s="23" t="str">
        <f>IF($J723="","",INDEX('Detalle individual'!$H:$H,$J723))</f>
        <v/>
      </c>
      <c r="G723" s="28" t="str">
        <f>IF($J723="","",INDEX('Detalle individual'!$J:$J,$J723))</f>
        <v/>
      </c>
      <c r="H723" s="28" t="str">
        <f>IF($J723="","",INDEX('Detalle individual'!$L:$L,$J723))</f>
        <v/>
      </c>
      <c r="J723" t="str">
        <f>IFERROR(MATCH(SMALL(Cálculos!$AI$5:$AI$1000,719),Cálculos!$AI$5:$AI$1000,0)+4,"")</f>
        <v/>
      </c>
    </row>
    <row r="724">
      <c r="A724" s="5" t="str">
        <f>IF($J724="","",INDEX('Detalle individual'!$B:$B,$J724))</f>
        <v/>
      </c>
      <c r="B724" s="5" t="str">
        <f>IF($J724="","",INDEX('Detalle individual'!$A:$A,$J724))</f>
        <v/>
      </c>
      <c r="C724" s="5" t="str">
        <f>IF($J724="","",INDEX('Detalle individual'!$E:$E,$J724))</f>
        <v/>
      </c>
      <c r="D724" s="5" t="str">
        <f>IF($J724="","",INDEX('Detalle individual'!$C:$C,$J724))</f>
        <v/>
      </c>
      <c r="E724" s="5" t="str">
        <f>IF($J724="","",INDEX('Detalle individual'!$D:$D,$J724))</f>
        <v/>
      </c>
      <c r="F724" s="23" t="str">
        <f>IF($J724="","",INDEX('Detalle individual'!$H:$H,$J724))</f>
        <v/>
      </c>
      <c r="G724" s="28" t="str">
        <f>IF($J724="","",INDEX('Detalle individual'!$J:$J,$J724))</f>
        <v/>
      </c>
      <c r="H724" s="28" t="str">
        <f>IF($J724="","",INDEX('Detalle individual'!$L:$L,$J724))</f>
        <v/>
      </c>
      <c r="J724" t="str">
        <f>IFERROR(MATCH(SMALL(Cálculos!$AI$5:$AI$1000,720),Cálculos!$AI$5:$AI$1000,0)+4,"")</f>
        <v/>
      </c>
    </row>
    <row r="725">
      <c r="A725" s="5" t="str">
        <f>IF($J725="","",INDEX('Detalle individual'!$B:$B,$J725))</f>
        <v/>
      </c>
      <c r="B725" s="5" t="str">
        <f>IF($J725="","",INDEX('Detalle individual'!$A:$A,$J725))</f>
        <v/>
      </c>
      <c r="C725" s="5" t="str">
        <f>IF($J725="","",INDEX('Detalle individual'!$E:$E,$J725))</f>
        <v/>
      </c>
      <c r="D725" s="5" t="str">
        <f>IF($J725="","",INDEX('Detalle individual'!$C:$C,$J725))</f>
        <v/>
      </c>
      <c r="E725" s="5" t="str">
        <f>IF($J725="","",INDEX('Detalle individual'!$D:$D,$J725))</f>
        <v/>
      </c>
      <c r="F725" s="23" t="str">
        <f>IF($J725="","",INDEX('Detalle individual'!$H:$H,$J725))</f>
        <v/>
      </c>
      <c r="G725" s="28" t="str">
        <f>IF($J725="","",INDEX('Detalle individual'!$J:$J,$J725))</f>
        <v/>
      </c>
      <c r="H725" s="28" t="str">
        <f>IF($J725="","",INDEX('Detalle individual'!$L:$L,$J725))</f>
        <v/>
      </c>
      <c r="J725" t="str">
        <f>IFERROR(MATCH(SMALL(Cálculos!$AI$5:$AI$1000,721),Cálculos!$AI$5:$AI$1000,0)+4,"")</f>
        <v/>
      </c>
    </row>
    <row r="726">
      <c r="A726" s="5" t="str">
        <f>IF($J726="","",INDEX('Detalle individual'!$B:$B,$J726))</f>
        <v/>
      </c>
      <c r="B726" s="5" t="str">
        <f>IF($J726="","",INDEX('Detalle individual'!$A:$A,$J726))</f>
        <v/>
      </c>
      <c r="C726" s="5" t="str">
        <f>IF($J726="","",INDEX('Detalle individual'!$E:$E,$J726))</f>
        <v/>
      </c>
      <c r="D726" s="5" t="str">
        <f>IF($J726="","",INDEX('Detalle individual'!$C:$C,$J726))</f>
        <v/>
      </c>
      <c r="E726" s="5" t="str">
        <f>IF($J726="","",INDEX('Detalle individual'!$D:$D,$J726))</f>
        <v/>
      </c>
      <c r="F726" s="23" t="str">
        <f>IF($J726="","",INDEX('Detalle individual'!$H:$H,$J726))</f>
        <v/>
      </c>
      <c r="G726" s="28" t="str">
        <f>IF($J726="","",INDEX('Detalle individual'!$J:$J,$J726))</f>
        <v/>
      </c>
      <c r="H726" s="28" t="str">
        <f>IF($J726="","",INDEX('Detalle individual'!$L:$L,$J726))</f>
        <v/>
      </c>
      <c r="J726" t="str">
        <f>IFERROR(MATCH(SMALL(Cálculos!$AI$5:$AI$1000,722),Cálculos!$AI$5:$AI$1000,0)+4,"")</f>
        <v/>
      </c>
    </row>
    <row r="727">
      <c r="A727" s="5" t="str">
        <f>IF($J727="","",INDEX('Detalle individual'!$B:$B,$J727))</f>
        <v/>
      </c>
      <c r="B727" s="5" t="str">
        <f>IF($J727="","",INDEX('Detalle individual'!$A:$A,$J727))</f>
        <v/>
      </c>
      <c r="C727" s="5" t="str">
        <f>IF($J727="","",INDEX('Detalle individual'!$E:$E,$J727))</f>
        <v/>
      </c>
      <c r="D727" s="5" t="str">
        <f>IF($J727="","",INDEX('Detalle individual'!$C:$C,$J727))</f>
        <v/>
      </c>
      <c r="E727" s="5" t="str">
        <f>IF($J727="","",INDEX('Detalle individual'!$D:$D,$J727))</f>
        <v/>
      </c>
      <c r="F727" s="23" t="str">
        <f>IF($J727="","",INDEX('Detalle individual'!$H:$H,$J727))</f>
        <v/>
      </c>
      <c r="G727" s="28" t="str">
        <f>IF($J727="","",INDEX('Detalle individual'!$J:$J,$J727))</f>
        <v/>
      </c>
      <c r="H727" s="28" t="str">
        <f>IF($J727="","",INDEX('Detalle individual'!$L:$L,$J727))</f>
        <v/>
      </c>
      <c r="J727" t="str">
        <f>IFERROR(MATCH(SMALL(Cálculos!$AI$5:$AI$1000,723),Cálculos!$AI$5:$AI$1000,0)+4,"")</f>
        <v/>
      </c>
    </row>
    <row r="728">
      <c r="A728" s="5" t="str">
        <f>IF($J728="","",INDEX('Detalle individual'!$B:$B,$J728))</f>
        <v/>
      </c>
      <c r="B728" s="5" t="str">
        <f>IF($J728="","",INDEX('Detalle individual'!$A:$A,$J728))</f>
        <v/>
      </c>
      <c r="C728" s="5" t="str">
        <f>IF($J728="","",INDEX('Detalle individual'!$E:$E,$J728))</f>
        <v/>
      </c>
      <c r="D728" s="5" t="str">
        <f>IF($J728="","",INDEX('Detalle individual'!$C:$C,$J728))</f>
        <v/>
      </c>
      <c r="E728" s="5" t="str">
        <f>IF($J728="","",INDEX('Detalle individual'!$D:$D,$J728))</f>
        <v/>
      </c>
      <c r="F728" s="23" t="str">
        <f>IF($J728="","",INDEX('Detalle individual'!$H:$H,$J728))</f>
        <v/>
      </c>
      <c r="G728" s="28" t="str">
        <f>IF($J728="","",INDEX('Detalle individual'!$J:$J,$J728))</f>
        <v/>
      </c>
      <c r="H728" s="28" t="str">
        <f>IF($J728="","",INDEX('Detalle individual'!$L:$L,$J728))</f>
        <v/>
      </c>
      <c r="J728" t="str">
        <f>IFERROR(MATCH(SMALL(Cálculos!$AI$5:$AI$1000,724),Cálculos!$AI$5:$AI$1000,0)+4,"")</f>
        <v/>
      </c>
    </row>
    <row r="729">
      <c r="A729" s="5" t="str">
        <f>IF($J729="","",INDEX('Detalle individual'!$B:$B,$J729))</f>
        <v/>
      </c>
      <c r="B729" s="5" t="str">
        <f>IF($J729="","",INDEX('Detalle individual'!$A:$A,$J729))</f>
        <v/>
      </c>
      <c r="C729" s="5" t="str">
        <f>IF($J729="","",INDEX('Detalle individual'!$E:$E,$J729))</f>
        <v/>
      </c>
      <c r="D729" s="5" t="str">
        <f>IF($J729="","",INDEX('Detalle individual'!$C:$C,$J729))</f>
        <v/>
      </c>
      <c r="E729" s="5" t="str">
        <f>IF($J729="","",INDEX('Detalle individual'!$D:$D,$J729))</f>
        <v/>
      </c>
      <c r="F729" s="23" t="str">
        <f>IF($J729="","",INDEX('Detalle individual'!$H:$H,$J729))</f>
        <v/>
      </c>
      <c r="G729" s="28" t="str">
        <f>IF($J729="","",INDEX('Detalle individual'!$J:$J,$J729))</f>
        <v/>
      </c>
      <c r="H729" s="28" t="str">
        <f>IF($J729="","",INDEX('Detalle individual'!$L:$L,$J729))</f>
        <v/>
      </c>
      <c r="J729" t="str">
        <f>IFERROR(MATCH(SMALL(Cálculos!$AI$5:$AI$1000,725),Cálculos!$AI$5:$AI$1000,0)+4,"")</f>
        <v/>
      </c>
    </row>
    <row r="730">
      <c r="A730" s="5" t="str">
        <f>IF($J730="","",INDEX('Detalle individual'!$B:$B,$J730))</f>
        <v/>
      </c>
      <c r="B730" s="5" t="str">
        <f>IF($J730="","",INDEX('Detalle individual'!$A:$A,$J730))</f>
        <v/>
      </c>
      <c r="C730" s="5" t="str">
        <f>IF($J730="","",INDEX('Detalle individual'!$E:$E,$J730))</f>
        <v/>
      </c>
      <c r="D730" s="5" t="str">
        <f>IF($J730="","",INDEX('Detalle individual'!$C:$C,$J730))</f>
        <v/>
      </c>
      <c r="E730" s="5" t="str">
        <f>IF($J730="","",INDEX('Detalle individual'!$D:$D,$J730))</f>
        <v/>
      </c>
      <c r="F730" s="23" t="str">
        <f>IF($J730="","",INDEX('Detalle individual'!$H:$H,$J730))</f>
        <v/>
      </c>
      <c r="G730" s="28" t="str">
        <f>IF($J730="","",INDEX('Detalle individual'!$J:$J,$J730))</f>
        <v/>
      </c>
      <c r="H730" s="28" t="str">
        <f>IF($J730="","",INDEX('Detalle individual'!$L:$L,$J730))</f>
        <v/>
      </c>
      <c r="J730" t="str">
        <f>IFERROR(MATCH(SMALL(Cálculos!$AI$5:$AI$1000,726),Cálculos!$AI$5:$AI$1000,0)+4,"")</f>
        <v/>
      </c>
    </row>
    <row r="731">
      <c r="A731" s="5" t="str">
        <f>IF($J731="","",INDEX('Detalle individual'!$B:$B,$J731))</f>
        <v/>
      </c>
      <c r="B731" s="5" t="str">
        <f>IF($J731="","",INDEX('Detalle individual'!$A:$A,$J731))</f>
        <v/>
      </c>
      <c r="C731" s="5" t="str">
        <f>IF($J731="","",INDEX('Detalle individual'!$E:$E,$J731))</f>
        <v/>
      </c>
      <c r="D731" s="5" t="str">
        <f>IF($J731="","",INDEX('Detalle individual'!$C:$C,$J731))</f>
        <v/>
      </c>
      <c r="E731" s="5" t="str">
        <f>IF($J731="","",INDEX('Detalle individual'!$D:$D,$J731))</f>
        <v/>
      </c>
      <c r="F731" s="23" t="str">
        <f>IF($J731="","",INDEX('Detalle individual'!$H:$H,$J731))</f>
        <v/>
      </c>
      <c r="G731" s="28" t="str">
        <f>IF($J731="","",INDEX('Detalle individual'!$J:$J,$J731))</f>
        <v/>
      </c>
      <c r="H731" s="28" t="str">
        <f>IF($J731="","",INDEX('Detalle individual'!$L:$L,$J731))</f>
        <v/>
      </c>
      <c r="J731" t="str">
        <f>IFERROR(MATCH(SMALL(Cálculos!$AI$5:$AI$1000,727),Cálculos!$AI$5:$AI$1000,0)+4,"")</f>
        <v/>
      </c>
    </row>
    <row r="732">
      <c r="A732" s="5" t="str">
        <f>IF($J732="","",INDEX('Detalle individual'!$B:$B,$J732))</f>
        <v/>
      </c>
      <c r="B732" s="5" t="str">
        <f>IF($J732="","",INDEX('Detalle individual'!$A:$A,$J732))</f>
        <v/>
      </c>
      <c r="C732" s="5" t="str">
        <f>IF($J732="","",INDEX('Detalle individual'!$E:$E,$J732))</f>
        <v/>
      </c>
      <c r="D732" s="5" t="str">
        <f>IF($J732="","",INDEX('Detalle individual'!$C:$C,$J732))</f>
        <v/>
      </c>
      <c r="E732" s="5" t="str">
        <f>IF($J732="","",INDEX('Detalle individual'!$D:$D,$J732))</f>
        <v/>
      </c>
      <c r="F732" s="23" t="str">
        <f>IF($J732="","",INDEX('Detalle individual'!$H:$H,$J732))</f>
        <v/>
      </c>
      <c r="G732" s="28" t="str">
        <f>IF($J732="","",INDEX('Detalle individual'!$J:$J,$J732))</f>
        <v/>
      </c>
      <c r="H732" s="28" t="str">
        <f>IF($J732="","",INDEX('Detalle individual'!$L:$L,$J732))</f>
        <v/>
      </c>
      <c r="J732" t="str">
        <f>IFERROR(MATCH(SMALL(Cálculos!$AI$5:$AI$1000,728),Cálculos!$AI$5:$AI$1000,0)+4,"")</f>
        <v/>
      </c>
    </row>
    <row r="733">
      <c r="A733" s="5" t="str">
        <f>IF($J733="","",INDEX('Detalle individual'!$B:$B,$J733))</f>
        <v/>
      </c>
      <c r="B733" s="5" t="str">
        <f>IF($J733="","",INDEX('Detalle individual'!$A:$A,$J733))</f>
        <v/>
      </c>
      <c r="C733" s="5" t="str">
        <f>IF($J733="","",INDEX('Detalle individual'!$E:$E,$J733))</f>
        <v/>
      </c>
      <c r="D733" s="5" t="str">
        <f>IF($J733="","",INDEX('Detalle individual'!$C:$C,$J733))</f>
        <v/>
      </c>
      <c r="E733" s="5" t="str">
        <f>IF($J733="","",INDEX('Detalle individual'!$D:$D,$J733))</f>
        <v/>
      </c>
      <c r="F733" s="23" t="str">
        <f>IF($J733="","",INDEX('Detalle individual'!$H:$H,$J733))</f>
        <v/>
      </c>
      <c r="G733" s="28" t="str">
        <f>IF($J733="","",INDEX('Detalle individual'!$J:$J,$J733))</f>
        <v/>
      </c>
      <c r="H733" s="28" t="str">
        <f>IF($J733="","",INDEX('Detalle individual'!$L:$L,$J733))</f>
        <v/>
      </c>
      <c r="J733" t="str">
        <f>IFERROR(MATCH(SMALL(Cálculos!$AI$5:$AI$1000,729),Cálculos!$AI$5:$AI$1000,0)+4,"")</f>
        <v/>
      </c>
    </row>
    <row r="734">
      <c r="A734" s="5" t="str">
        <f>IF($J734="","",INDEX('Detalle individual'!$B:$B,$J734))</f>
        <v/>
      </c>
      <c r="B734" s="5" t="str">
        <f>IF($J734="","",INDEX('Detalle individual'!$A:$A,$J734))</f>
        <v/>
      </c>
      <c r="C734" s="5" t="str">
        <f>IF($J734="","",INDEX('Detalle individual'!$E:$E,$J734))</f>
        <v/>
      </c>
      <c r="D734" s="5" t="str">
        <f>IF($J734="","",INDEX('Detalle individual'!$C:$C,$J734))</f>
        <v/>
      </c>
      <c r="E734" s="5" t="str">
        <f>IF($J734="","",INDEX('Detalle individual'!$D:$D,$J734))</f>
        <v/>
      </c>
      <c r="F734" s="23" t="str">
        <f>IF($J734="","",INDEX('Detalle individual'!$H:$H,$J734))</f>
        <v/>
      </c>
      <c r="G734" s="28" t="str">
        <f>IF($J734="","",INDEX('Detalle individual'!$J:$J,$J734))</f>
        <v/>
      </c>
      <c r="H734" s="28" t="str">
        <f>IF($J734="","",INDEX('Detalle individual'!$L:$L,$J734))</f>
        <v/>
      </c>
      <c r="J734" t="str">
        <f>IFERROR(MATCH(SMALL(Cálculos!$AI$5:$AI$1000,730),Cálculos!$AI$5:$AI$1000,0)+4,"")</f>
        <v/>
      </c>
    </row>
    <row r="735">
      <c r="A735" s="5" t="str">
        <f>IF($J735="","",INDEX('Detalle individual'!$B:$B,$J735))</f>
        <v/>
      </c>
      <c r="B735" s="5" t="str">
        <f>IF($J735="","",INDEX('Detalle individual'!$A:$A,$J735))</f>
        <v/>
      </c>
      <c r="C735" s="5" t="str">
        <f>IF($J735="","",INDEX('Detalle individual'!$E:$E,$J735))</f>
        <v/>
      </c>
      <c r="D735" s="5" t="str">
        <f>IF($J735="","",INDEX('Detalle individual'!$C:$C,$J735))</f>
        <v/>
      </c>
      <c r="E735" s="5" t="str">
        <f>IF($J735="","",INDEX('Detalle individual'!$D:$D,$J735))</f>
        <v/>
      </c>
      <c r="F735" s="23" t="str">
        <f>IF($J735="","",INDEX('Detalle individual'!$H:$H,$J735))</f>
        <v/>
      </c>
      <c r="G735" s="28" t="str">
        <f>IF($J735="","",INDEX('Detalle individual'!$J:$J,$J735))</f>
        <v/>
      </c>
      <c r="H735" s="28" t="str">
        <f>IF($J735="","",INDEX('Detalle individual'!$L:$L,$J735))</f>
        <v/>
      </c>
      <c r="J735" t="str">
        <f>IFERROR(MATCH(SMALL(Cálculos!$AI$5:$AI$1000,731),Cálculos!$AI$5:$AI$1000,0)+4,"")</f>
        <v/>
      </c>
    </row>
    <row r="736">
      <c r="A736" s="5" t="str">
        <f>IF($J736="","",INDEX('Detalle individual'!$B:$B,$J736))</f>
        <v/>
      </c>
      <c r="B736" s="5" t="str">
        <f>IF($J736="","",INDEX('Detalle individual'!$A:$A,$J736))</f>
        <v/>
      </c>
      <c r="C736" s="5" t="str">
        <f>IF($J736="","",INDEX('Detalle individual'!$E:$E,$J736))</f>
        <v/>
      </c>
      <c r="D736" s="5" t="str">
        <f>IF($J736="","",INDEX('Detalle individual'!$C:$C,$J736))</f>
        <v/>
      </c>
      <c r="E736" s="5" t="str">
        <f>IF($J736="","",INDEX('Detalle individual'!$D:$D,$J736))</f>
        <v/>
      </c>
      <c r="F736" s="23" t="str">
        <f>IF($J736="","",INDEX('Detalle individual'!$H:$H,$J736))</f>
        <v/>
      </c>
      <c r="G736" s="28" t="str">
        <f>IF($J736="","",INDEX('Detalle individual'!$J:$J,$J736))</f>
        <v/>
      </c>
      <c r="H736" s="28" t="str">
        <f>IF($J736="","",INDEX('Detalle individual'!$L:$L,$J736))</f>
        <v/>
      </c>
      <c r="J736" t="str">
        <f>IFERROR(MATCH(SMALL(Cálculos!$AI$5:$AI$1000,732),Cálculos!$AI$5:$AI$1000,0)+4,"")</f>
        <v/>
      </c>
    </row>
    <row r="737">
      <c r="A737" s="5" t="str">
        <f>IF($J737="","",INDEX('Detalle individual'!$B:$B,$J737))</f>
        <v/>
      </c>
      <c r="B737" s="5" t="str">
        <f>IF($J737="","",INDEX('Detalle individual'!$A:$A,$J737))</f>
        <v/>
      </c>
      <c r="C737" s="5" t="str">
        <f>IF($J737="","",INDEX('Detalle individual'!$E:$E,$J737))</f>
        <v/>
      </c>
      <c r="D737" s="5" t="str">
        <f>IF($J737="","",INDEX('Detalle individual'!$C:$C,$J737))</f>
        <v/>
      </c>
      <c r="E737" s="5" t="str">
        <f>IF($J737="","",INDEX('Detalle individual'!$D:$D,$J737))</f>
        <v/>
      </c>
      <c r="F737" s="23" t="str">
        <f>IF($J737="","",INDEX('Detalle individual'!$H:$H,$J737))</f>
        <v/>
      </c>
      <c r="G737" s="28" t="str">
        <f>IF($J737="","",INDEX('Detalle individual'!$J:$J,$J737))</f>
        <v/>
      </c>
      <c r="H737" s="28" t="str">
        <f>IF($J737="","",INDEX('Detalle individual'!$L:$L,$J737))</f>
        <v/>
      </c>
      <c r="J737" t="str">
        <f>IFERROR(MATCH(SMALL(Cálculos!$AI$5:$AI$1000,733),Cálculos!$AI$5:$AI$1000,0)+4,"")</f>
        <v/>
      </c>
    </row>
    <row r="738">
      <c r="A738" s="5" t="str">
        <f>IF($J738="","",INDEX('Detalle individual'!$B:$B,$J738))</f>
        <v/>
      </c>
      <c r="B738" s="5" t="str">
        <f>IF($J738="","",INDEX('Detalle individual'!$A:$A,$J738))</f>
        <v/>
      </c>
      <c r="C738" s="5" t="str">
        <f>IF($J738="","",INDEX('Detalle individual'!$E:$E,$J738))</f>
        <v/>
      </c>
      <c r="D738" s="5" t="str">
        <f>IF($J738="","",INDEX('Detalle individual'!$C:$C,$J738))</f>
        <v/>
      </c>
      <c r="E738" s="5" t="str">
        <f>IF($J738="","",INDEX('Detalle individual'!$D:$D,$J738))</f>
        <v/>
      </c>
      <c r="F738" s="23" t="str">
        <f>IF($J738="","",INDEX('Detalle individual'!$H:$H,$J738))</f>
        <v/>
      </c>
      <c r="G738" s="28" t="str">
        <f>IF($J738="","",INDEX('Detalle individual'!$J:$J,$J738))</f>
        <v/>
      </c>
      <c r="H738" s="28" t="str">
        <f>IF($J738="","",INDEX('Detalle individual'!$L:$L,$J738))</f>
        <v/>
      </c>
      <c r="J738" t="str">
        <f>IFERROR(MATCH(SMALL(Cálculos!$AI$5:$AI$1000,734),Cálculos!$AI$5:$AI$1000,0)+4,"")</f>
        <v/>
      </c>
    </row>
    <row r="739">
      <c r="A739" s="5" t="str">
        <f>IF($J739="","",INDEX('Detalle individual'!$B:$B,$J739))</f>
        <v/>
      </c>
      <c r="B739" s="5" t="str">
        <f>IF($J739="","",INDEX('Detalle individual'!$A:$A,$J739))</f>
        <v/>
      </c>
      <c r="C739" s="5" t="str">
        <f>IF($J739="","",INDEX('Detalle individual'!$E:$E,$J739))</f>
        <v/>
      </c>
      <c r="D739" s="5" t="str">
        <f>IF($J739="","",INDEX('Detalle individual'!$C:$C,$J739))</f>
        <v/>
      </c>
      <c r="E739" s="5" t="str">
        <f>IF($J739="","",INDEX('Detalle individual'!$D:$D,$J739))</f>
        <v/>
      </c>
      <c r="F739" s="23" t="str">
        <f>IF($J739="","",INDEX('Detalle individual'!$H:$H,$J739))</f>
        <v/>
      </c>
      <c r="G739" s="28" t="str">
        <f>IF($J739="","",INDEX('Detalle individual'!$J:$J,$J739))</f>
        <v/>
      </c>
      <c r="H739" s="28" t="str">
        <f>IF($J739="","",INDEX('Detalle individual'!$L:$L,$J739))</f>
        <v/>
      </c>
      <c r="J739" t="str">
        <f>IFERROR(MATCH(SMALL(Cálculos!$AI$5:$AI$1000,735),Cálculos!$AI$5:$AI$1000,0)+4,"")</f>
        <v/>
      </c>
    </row>
    <row r="740">
      <c r="A740" s="5" t="str">
        <f>IF($J740="","",INDEX('Detalle individual'!$B:$B,$J740))</f>
        <v/>
      </c>
      <c r="B740" s="5" t="str">
        <f>IF($J740="","",INDEX('Detalle individual'!$A:$A,$J740))</f>
        <v/>
      </c>
      <c r="C740" s="5" t="str">
        <f>IF($J740="","",INDEX('Detalle individual'!$E:$E,$J740))</f>
        <v/>
      </c>
      <c r="D740" s="5" t="str">
        <f>IF($J740="","",INDEX('Detalle individual'!$C:$C,$J740))</f>
        <v/>
      </c>
      <c r="E740" s="5" t="str">
        <f>IF($J740="","",INDEX('Detalle individual'!$D:$D,$J740))</f>
        <v/>
      </c>
      <c r="F740" s="23" t="str">
        <f>IF($J740="","",INDEX('Detalle individual'!$H:$H,$J740))</f>
        <v/>
      </c>
      <c r="G740" s="28" t="str">
        <f>IF($J740="","",INDEX('Detalle individual'!$J:$J,$J740))</f>
        <v/>
      </c>
      <c r="H740" s="28" t="str">
        <f>IF($J740="","",INDEX('Detalle individual'!$L:$L,$J740))</f>
        <v/>
      </c>
      <c r="J740" t="str">
        <f>IFERROR(MATCH(SMALL(Cálculos!$AI$5:$AI$1000,736),Cálculos!$AI$5:$AI$1000,0)+4,"")</f>
        <v/>
      </c>
    </row>
    <row r="741">
      <c r="A741" s="5" t="str">
        <f>IF($J741="","",INDEX('Detalle individual'!$B:$B,$J741))</f>
        <v/>
      </c>
      <c r="B741" s="5" t="str">
        <f>IF($J741="","",INDEX('Detalle individual'!$A:$A,$J741))</f>
        <v/>
      </c>
      <c r="C741" s="5" t="str">
        <f>IF($J741="","",INDEX('Detalle individual'!$E:$E,$J741))</f>
        <v/>
      </c>
      <c r="D741" s="5" t="str">
        <f>IF($J741="","",INDEX('Detalle individual'!$C:$C,$J741))</f>
        <v/>
      </c>
      <c r="E741" s="5" t="str">
        <f>IF($J741="","",INDEX('Detalle individual'!$D:$D,$J741))</f>
        <v/>
      </c>
      <c r="F741" s="23" t="str">
        <f>IF($J741="","",INDEX('Detalle individual'!$H:$H,$J741))</f>
        <v/>
      </c>
      <c r="G741" s="28" t="str">
        <f>IF($J741="","",INDEX('Detalle individual'!$J:$J,$J741))</f>
        <v/>
      </c>
      <c r="H741" s="28" t="str">
        <f>IF($J741="","",INDEX('Detalle individual'!$L:$L,$J741))</f>
        <v/>
      </c>
      <c r="J741" t="str">
        <f>IFERROR(MATCH(SMALL(Cálculos!$AI$5:$AI$1000,737),Cálculos!$AI$5:$AI$1000,0)+4,"")</f>
        <v/>
      </c>
    </row>
    <row r="742">
      <c r="A742" s="5" t="str">
        <f>IF($J742="","",INDEX('Detalle individual'!$B:$B,$J742))</f>
        <v/>
      </c>
      <c r="B742" s="5" t="str">
        <f>IF($J742="","",INDEX('Detalle individual'!$A:$A,$J742))</f>
        <v/>
      </c>
      <c r="C742" s="5" t="str">
        <f>IF($J742="","",INDEX('Detalle individual'!$E:$E,$J742))</f>
        <v/>
      </c>
      <c r="D742" s="5" t="str">
        <f>IF($J742="","",INDEX('Detalle individual'!$C:$C,$J742))</f>
        <v/>
      </c>
      <c r="E742" s="5" t="str">
        <f>IF($J742="","",INDEX('Detalle individual'!$D:$D,$J742))</f>
        <v/>
      </c>
      <c r="F742" s="23" t="str">
        <f>IF($J742="","",INDEX('Detalle individual'!$H:$H,$J742))</f>
        <v/>
      </c>
      <c r="G742" s="28" t="str">
        <f>IF($J742="","",INDEX('Detalle individual'!$J:$J,$J742))</f>
        <v/>
      </c>
      <c r="H742" s="28" t="str">
        <f>IF($J742="","",INDEX('Detalle individual'!$L:$L,$J742))</f>
        <v/>
      </c>
      <c r="J742" t="str">
        <f>IFERROR(MATCH(SMALL(Cálculos!$AI$5:$AI$1000,738),Cálculos!$AI$5:$AI$1000,0)+4,"")</f>
        <v/>
      </c>
    </row>
    <row r="743">
      <c r="A743" s="5" t="str">
        <f>IF($J743="","",INDEX('Detalle individual'!$B:$B,$J743))</f>
        <v/>
      </c>
      <c r="B743" s="5" t="str">
        <f>IF($J743="","",INDEX('Detalle individual'!$A:$A,$J743))</f>
        <v/>
      </c>
      <c r="C743" s="5" t="str">
        <f>IF($J743="","",INDEX('Detalle individual'!$E:$E,$J743))</f>
        <v/>
      </c>
      <c r="D743" s="5" t="str">
        <f>IF($J743="","",INDEX('Detalle individual'!$C:$C,$J743))</f>
        <v/>
      </c>
      <c r="E743" s="5" t="str">
        <f>IF($J743="","",INDEX('Detalle individual'!$D:$D,$J743))</f>
        <v/>
      </c>
      <c r="F743" s="23" t="str">
        <f>IF($J743="","",INDEX('Detalle individual'!$H:$H,$J743))</f>
        <v/>
      </c>
      <c r="G743" s="28" t="str">
        <f>IF($J743="","",INDEX('Detalle individual'!$J:$J,$J743))</f>
        <v/>
      </c>
      <c r="H743" s="28" t="str">
        <f>IF($J743="","",INDEX('Detalle individual'!$L:$L,$J743))</f>
        <v/>
      </c>
      <c r="J743" t="str">
        <f>IFERROR(MATCH(SMALL(Cálculos!$AI$5:$AI$1000,739),Cálculos!$AI$5:$AI$1000,0)+4,"")</f>
        <v/>
      </c>
    </row>
    <row r="744">
      <c r="A744" s="5" t="str">
        <f>IF($J744="","",INDEX('Detalle individual'!$B:$B,$J744))</f>
        <v/>
      </c>
      <c r="B744" s="5" t="str">
        <f>IF($J744="","",INDEX('Detalle individual'!$A:$A,$J744))</f>
        <v/>
      </c>
      <c r="C744" s="5" t="str">
        <f>IF($J744="","",INDEX('Detalle individual'!$E:$E,$J744))</f>
        <v/>
      </c>
      <c r="D744" s="5" t="str">
        <f>IF($J744="","",INDEX('Detalle individual'!$C:$C,$J744))</f>
        <v/>
      </c>
      <c r="E744" s="5" t="str">
        <f>IF($J744="","",INDEX('Detalle individual'!$D:$D,$J744))</f>
        <v/>
      </c>
      <c r="F744" s="23" t="str">
        <f>IF($J744="","",INDEX('Detalle individual'!$H:$H,$J744))</f>
        <v/>
      </c>
      <c r="G744" s="28" t="str">
        <f>IF($J744="","",INDEX('Detalle individual'!$J:$J,$J744))</f>
        <v/>
      </c>
      <c r="H744" s="28" t="str">
        <f>IF($J744="","",INDEX('Detalle individual'!$L:$L,$J744))</f>
        <v/>
      </c>
      <c r="J744" t="str">
        <f>IFERROR(MATCH(SMALL(Cálculos!$AI$5:$AI$1000,740),Cálculos!$AI$5:$AI$1000,0)+4,"")</f>
        <v/>
      </c>
    </row>
    <row r="745">
      <c r="A745" s="5" t="str">
        <f>IF($J745="","",INDEX('Detalle individual'!$B:$B,$J745))</f>
        <v/>
      </c>
      <c r="B745" s="5" t="str">
        <f>IF($J745="","",INDEX('Detalle individual'!$A:$A,$J745))</f>
        <v/>
      </c>
      <c r="C745" s="5" t="str">
        <f>IF($J745="","",INDEX('Detalle individual'!$E:$E,$J745))</f>
        <v/>
      </c>
      <c r="D745" s="5" t="str">
        <f>IF($J745="","",INDEX('Detalle individual'!$C:$C,$J745))</f>
        <v/>
      </c>
      <c r="E745" s="5" t="str">
        <f>IF($J745="","",INDEX('Detalle individual'!$D:$D,$J745))</f>
        <v/>
      </c>
      <c r="F745" s="23" t="str">
        <f>IF($J745="","",INDEX('Detalle individual'!$H:$H,$J745))</f>
        <v/>
      </c>
      <c r="G745" s="28" t="str">
        <f>IF($J745="","",INDEX('Detalle individual'!$J:$J,$J745))</f>
        <v/>
      </c>
      <c r="H745" s="28" t="str">
        <f>IF($J745="","",INDEX('Detalle individual'!$L:$L,$J745))</f>
        <v/>
      </c>
      <c r="J745" t="str">
        <f>IFERROR(MATCH(SMALL(Cálculos!$AI$5:$AI$1000,741),Cálculos!$AI$5:$AI$1000,0)+4,"")</f>
        <v/>
      </c>
    </row>
    <row r="746">
      <c r="A746" s="5" t="str">
        <f>IF($J746="","",INDEX('Detalle individual'!$B:$B,$J746))</f>
        <v/>
      </c>
      <c r="B746" s="5" t="str">
        <f>IF($J746="","",INDEX('Detalle individual'!$A:$A,$J746))</f>
        <v/>
      </c>
      <c r="C746" s="5" t="str">
        <f>IF($J746="","",INDEX('Detalle individual'!$E:$E,$J746))</f>
        <v/>
      </c>
      <c r="D746" s="5" t="str">
        <f>IF($J746="","",INDEX('Detalle individual'!$C:$C,$J746))</f>
        <v/>
      </c>
      <c r="E746" s="5" t="str">
        <f>IF($J746="","",INDEX('Detalle individual'!$D:$D,$J746))</f>
        <v/>
      </c>
      <c r="F746" s="23" t="str">
        <f>IF($J746="","",INDEX('Detalle individual'!$H:$H,$J746))</f>
        <v/>
      </c>
      <c r="G746" s="28" t="str">
        <f>IF($J746="","",INDEX('Detalle individual'!$J:$J,$J746))</f>
        <v/>
      </c>
      <c r="H746" s="28" t="str">
        <f>IF($J746="","",INDEX('Detalle individual'!$L:$L,$J746))</f>
        <v/>
      </c>
      <c r="J746" t="str">
        <f>IFERROR(MATCH(SMALL(Cálculos!$AI$5:$AI$1000,742),Cálculos!$AI$5:$AI$1000,0)+4,"")</f>
        <v/>
      </c>
    </row>
    <row r="747">
      <c r="A747" s="5" t="str">
        <f>IF($J747="","",INDEX('Detalle individual'!$B:$B,$J747))</f>
        <v/>
      </c>
      <c r="B747" s="5" t="str">
        <f>IF($J747="","",INDEX('Detalle individual'!$A:$A,$J747))</f>
        <v/>
      </c>
      <c r="C747" s="5" t="str">
        <f>IF($J747="","",INDEX('Detalle individual'!$E:$E,$J747))</f>
        <v/>
      </c>
      <c r="D747" s="5" t="str">
        <f>IF($J747="","",INDEX('Detalle individual'!$C:$C,$J747))</f>
        <v/>
      </c>
      <c r="E747" s="5" t="str">
        <f>IF($J747="","",INDEX('Detalle individual'!$D:$D,$J747))</f>
        <v/>
      </c>
      <c r="F747" s="23" t="str">
        <f>IF($J747="","",INDEX('Detalle individual'!$H:$H,$J747))</f>
        <v/>
      </c>
      <c r="G747" s="28" t="str">
        <f>IF($J747="","",INDEX('Detalle individual'!$J:$J,$J747))</f>
        <v/>
      </c>
      <c r="H747" s="28" t="str">
        <f>IF($J747="","",INDEX('Detalle individual'!$L:$L,$J747))</f>
        <v/>
      </c>
      <c r="J747" t="str">
        <f>IFERROR(MATCH(SMALL(Cálculos!$AI$5:$AI$1000,743),Cálculos!$AI$5:$AI$1000,0)+4,"")</f>
        <v/>
      </c>
    </row>
    <row r="748">
      <c r="A748" s="5" t="str">
        <f>IF($J748="","",INDEX('Detalle individual'!$B:$B,$J748))</f>
        <v/>
      </c>
      <c r="B748" s="5" t="str">
        <f>IF($J748="","",INDEX('Detalle individual'!$A:$A,$J748))</f>
        <v/>
      </c>
      <c r="C748" s="5" t="str">
        <f>IF($J748="","",INDEX('Detalle individual'!$E:$E,$J748))</f>
        <v/>
      </c>
      <c r="D748" s="5" t="str">
        <f>IF($J748="","",INDEX('Detalle individual'!$C:$C,$J748))</f>
        <v/>
      </c>
      <c r="E748" s="5" t="str">
        <f>IF($J748="","",INDEX('Detalle individual'!$D:$D,$J748))</f>
        <v/>
      </c>
      <c r="F748" s="23" t="str">
        <f>IF($J748="","",INDEX('Detalle individual'!$H:$H,$J748))</f>
        <v/>
      </c>
      <c r="G748" s="28" t="str">
        <f>IF($J748="","",INDEX('Detalle individual'!$J:$J,$J748))</f>
        <v/>
      </c>
      <c r="H748" s="28" t="str">
        <f>IF($J748="","",INDEX('Detalle individual'!$L:$L,$J748))</f>
        <v/>
      </c>
      <c r="J748" t="str">
        <f>IFERROR(MATCH(SMALL(Cálculos!$AI$5:$AI$1000,744),Cálculos!$AI$5:$AI$1000,0)+4,"")</f>
        <v/>
      </c>
    </row>
    <row r="749">
      <c r="A749" s="5" t="str">
        <f>IF($J749="","",INDEX('Detalle individual'!$B:$B,$J749))</f>
        <v/>
      </c>
      <c r="B749" s="5" t="str">
        <f>IF($J749="","",INDEX('Detalle individual'!$A:$A,$J749))</f>
        <v/>
      </c>
      <c r="C749" s="5" t="str">
        <f>IF($J749="","",INDEX('Detalle individual'!$E:$E,$J749))</f>
        <v/>
      </c>
      <c r="D749" s="5" t="str">
        <f>IF($J749="","",INDEX('Detalle individual'!$C:$C,$J749))</f>
        <v/>
      </c>
      <c r="E749" s="5" t="str">
        <f>IF($J749="","",INDEX('Detalle individual'!$D:$D,$J749))</f>
        <v/>
      </c>
      <c r="F749" s="23" t="str">
        <f>IF($J749="","",INDEX('Detalle individual'!$H:$H,$J749))</f>
        <v/>
      </c>
      <c r="G749" s="28" t="str">
        <f>IF($J749="","",INDEX('Detalle individual'!$J:$J,$J749))</f>
        <v/>
      </c>
      <c r="H749" s="28" t="str">
        <f>IF($J749="","",INDEX('Detalle individual'!$L:$L,$J749))</f>
        <v/>
      </c>
      <c r="J749" t="str">
        <f>IFERROR(MATCH(SMALL(Cálculos!$AI$5:$AI$1000,745),Cálculos!$AI$5:$AI$1000,0)+4,"")</f>
        <v/>
      </c>
    </row>
    <row r="750">
      <c r="A750" s="5" t="str">
        <f>IF($J750="","",INDEX('Detalle individual'!$B:$B,$J750))</f>
        <v/>
      </c>
      <c r="B750" s="5" t="str">
        <f>IF($J750="","",INDEX('Detalle individual'!$A:$A,$J750))</f>
        <v/>
      </c>
      <c r="C750" s="5" t="str">
        <f>IF($J750="","",INDEX('Detalle individual'!$E:$E,$J750))</f>
        <v/>
      </c>
      <c r="D750" s="5" t="str">
        <f>IF($J750="","",INDEX('Detalle individual'!$C:$C,$J750))</f>
        <v/>
      </c>
      <c r="E750" s="5" t="str">
        <f>IF($J750="","",INDEX('Detalle individual'!$D:$D,$J750))</f>
        <v/>
      </c>
      <c r="F750" s="23" t="str">
        <f>IF($J750="","",INDEX('Detalle individual'!$H:$H,$J750))</f>
        <v/>
      </c>
      <c r="G750" s="28" t="str">
        <f>IF($J750="","",INDEX('Detalle individual'!$J:$J,$J750))</f>
        <v/>
      </c>
      <c r="H750" s="28" t="str">
        <f>IF($J750="","",INDEX('Detalle individual'!$L:$L,$J750))</f>
        <v/>
      </c>
      <c r="J750" t="str">
        <f>IFERROR(MATCH(SMALL(Cálculos!$AI$5:$AI$1000,746),Cálculos!$AI$5:$AI$1000,0)+4,"")</f>
        <v/>
      </c>
    </row>
    <row r="751">
      <c r="A751" s="5" t="str">
        <f>IF($J751="","",INDEX('Detalle individual'!$B:$B,$J751))</f>
        <v/>
      </c>
      <c r="B751" s="5" t="str">
        <f>IF($J751="","",INDEX('Detalle individual'!$A:$A,$J751))</f>
        <v/>
      </c>
      <c r="C751" s="5" t="str">
        <f>IF($J751="","",INDEX('Detalle individual'!$E:$E,$J751))</f>
        <v/>
      </c>
      <c r="D751" s="5" t="str">
        <f>IF($J751="","",INDEX('Detalle individual'!$C:$C,$J751))</f>
        <v/>
      </c>
      <c r="E751" s="5" t="str">
        <f>IF($J751="","",INDEX('Detalle individual'!$D:$D,$J751))</f>
        <v/>
      </c>
      <c r="F751" s="23" t="str">
        <f>IF($J751="","",INDEX('Detalle individual'!$H:$H,$J751))</f>
        <v/>
      </c>
      <c r="G751" s="28" t="str">
        <f>IF($J751="","",INDEX('Detalle individual'!$J:$J,$J751))</f>
        <v/>
      </c>
      <c r="H751" s="28" t="str">
        <f>IF($J751="","",INDEX('Detalle individual'!$L:$L,$J751))</f>
        <v/>
      </c>
      <c r="J751" t="str">
        <f>IFERROR(MATCH(SMALL(Cálculos!$AI$5:$AI$1000,747),Cálculos!$AI$5:$AI$1000,0)+4,"")</f>
        <v/>
      </c>
    </row>
    <row r="752">
      <c r="A752" s="5" t="str">
        <f>IF($J752="","",INDEX('Detalle individual'!$B:$B,$J752))</f>
        <v/>
      </c>
      <c r="B752" s="5" t="str">
        <f>IF($J752="","",INDEX('Detalle individual'!$A:$A,$J752))</f>
        <v/>
      </c>
      <c r="C752" s="5" t="str">
        <f>IF($J752="","",INDEX('Detalle individual'!$E:$E,$J752))</f>
        <v/>
      </c>
      <c r="D752" s="5" t="str">
        <f>IF($J752="","",INDEX('Detalle individual'!$C:$C,$J752))</f>
        <v/>
      </c>
      <c r="E752" s="5" t="str">
        <f>IF($J752="","",INDEX('Detalle individual'!$D:$D,$J752))</f>
        <v/>
      </c>
      <c r="F752" s="23" t="str">
        <f>IF($J752="","",INDEX('Detalle individual'!$H:$H,$J752))</f>
        <v/>
      </c>
      <c r="G752" s="28" t="str">
        <f>IF($J752="","",INDEX('Detalle individual'!$J:$J,$J752))</f>
        <v/>
      </c>
      <c r="H752" s="28" t="str">
        <f>IF($J752="","",INDEX('Detalle individual'!$L:$L,$J752))</f>
        <v/>
      </c>
      <c r="J752" t="str">
        <f>IFERROR(MATCH(SMALL(Cálculos!$AI$5:$AI$1000,748),Cálculos!$AI$5:$AI$1000,0)+4,"")</f>
        <v/>
      </c>
    </row>
    <row r="753">
      <c r="A753" s="5" t="str">
        <f>IF($J753="","",INDEX('Detalle individual'!$B:$B,$J753))</f>
        <v/>
      </c>
      <c r="B753" s="5" t="str">
        <f>IF($J753="","",INDEX('Detalle individual'!$A:$A,$J753))</f>
        <v/>
      </c>
      <c r="C753" s="5" t="str">
        <f>IF($J753="","",INDEX('Detalle individual'!$E:$E,$J753))</f>
        <v/>
      </c>
      <c r="D753" s="5" t="str">
        <f>IF($J753="","",INDEX('Detalle individual'!$C:$C,$J753))</f>
        <v/>
      </c>
      <c r="E753" s="5" t="str">
        <f>IF($J753="","",INDEX('Detalle individual'!$D:$D,$J753))</f>
        <v/>
      </c>
      <c r="F753" s="23" t="str">
        <f>IF($J753="","",INDEX('Detalle individual'!$H:$H,$J753))</f>
        <v/>
      </c>
      <c r="G753" s="28" t="str">
        <f>IF($J753="","",INDEX('Detalle individual'!$J:$J,$J753))</f>
        <v/>
      </c>
      <c r="H753" s="28" t="str">
        <f>IF($J753="","",INDEX('Detalle individual'!$L:$L,$J753))</f>
        <v/>
      </c>
      <c r="J753" t="str">
        <f>IFERROR(MATCH(SMALL(Cálculos!$AI$5:$AI$1000,749),Cálculos!$AI$5:$AI$1000,0)+4,"")</f>
        <v/>
      </c>
    </row>
    <row r="754">
      <c r="A754" s="5" t="str">
        <f>IF($J754="","",INDEX('Detalle individual'!$B:$B,$J754))</f>
        <v/>
      </c>
      <c r="B754" s="5" t="str">
        <f>IF($J754="","",INDEX('Detalle individual'!$A:$A,$J754))</f>
        <v/>
      </c>
      <c r="C754" s="5" t="str">
        <f>IF($J754="","",INDEX('Detalle individual'!$E:$E,$J754))</f>
        <v/>
      </c>
      <c r="D754" s="5" t="str">
        <f>IF($J754="","",INDEX('Detalle individual'!$C:$C,$J754))</f>
        <v/>
      </c>
      <c r="E754" s="5" t="str">
        <f>IF($J754="","",INDEX('Detalle individual'!$D:$D,$J754))</f>
        <v/>
      </c>
      <c r="F754" s="23" t="str">
        <f>IF($J754="","",INDEX('Detalle individual'!$H:$H,$J754))</f>
        <v/>
      </c>
      <c r="G754" s="28" t="str">
        <f>IF($J754="","",INDEX('Detalle individual'!$J:$J,$J754))</f>
        <v/>
      </c>
      <c r="H754" s="28" t="str">
        <f>IF($J754="","",INDEX('Detalle individual'!$L:$L,$J754))</f>
        <v/>
      </c>
      <c r="J754" t="str">
        <f>IFERROR(MATCH(SMALL(Cálculos!$AI$5:$AI$1000,750),Cálculos!$AI$5:$AI$1000,0)+4,"")</f>
        <v/>
      </c>
    </row>
    <row r="755">
      <c r="A755" s="5" t="str">
        <f>IF($J755="","",INDEX('Detalle individual'!$B:$B,$J755))</f>
        <v/>
      </c>
      <c r="B755" s="5" t="str">
        <f>IF($J755="","",INDEX('Detalle individual'!$A:$A,$J755))</f>
        <v/>
      </c>
      <c r="C755" s="5" t="str">
        <f>IF($J755="","",INDEX('Detalle individual'!$E:$E,$J755))</f>
        <v/>
      </c>
      <c r="D755" s="5" t="str">
        <f>IF($J755="","",INDEX('Detalle individual'!$C:$C,$J755))</f>
        <v/>
      </c>
      <c r="E755" s="5" t="str">
        <f>IF($J755="","",INDEX('Detalle individual'!$D:$D,$J755))</f>
        <v/>
      </c>
      <c r="F755" s="23" t="str">
        <f>IF($J755="","",INDEX('Detalle individual'!$H:$H,$J755))</f>
        <v/>
      </c>
      <c r="G755" s="28" t="str">
        <f>IF($J755="","",INDEX('Detalle individual'!$J:$J,$J755))</f>
        <v/>
      </c>
      <c r="H755" s="28" t="str">
        <f>IF($J755="","",INDEX('Detalle individual'!$L:$L,$J755))</f>
        <v/>
      </c>
      <c r="J755" t="str">
        <f>IFERROR(MATCH(SMALL(Cálculos!$AI$5:$AI$1000,751),Cálculos!$AI$5:$AI$1000,0)+4,"")</f>
        <v/>
      </c>
    </row>
    <row r="756">
      <c r="A756" s="5" t="str">
        <f>IF($J756="","",INDEX('Detalle individual'!$B:$B,$J756))</f>
        <v/>
      </c>
      <c r="B756" s="5" t="str">
        <f>IF($J756="","",INDEX('Detalle individual'!$A:$A,$J756))</f>
        <v/>
      </c>
      <c r="C756" s="5" t="str">
        <f>IF($J756="","",INDEX('Detalle individual'!$E:$E,$J756))</f>
        <v/>
      </c>
      <c r="D756" s="5" t="str">
        <f>IF($J756="","",INDEX('Detalle individual'!$C:$C,$J756))</f>
        <v/>
      </c>
      <c r="E756" s="5" t="str">
        <f>IF($J756="","",INDEX('Detalle individual'!$D:$D,$J756))</f>
        <v/>
      </c>
      <c r="F756" s="23" t="str">
        <f>IF($J756="","",INDEX('Detalle individual'!$H:$H,$J756))</f>
        <v/>
      </c>
      <c r="G756" s="28" t="str">
        <f>IF($J756="","",INDEX('Detalle individual'!$J:$J,$J756))</f>
        <v/>
      </c>
      <c r="H756" s="28" t="str">
        <f>IF($J756="","",INDEX('Detalle individual'!$L:$L,$J756))</f>
        <v/>
      </c>
      <c r="J756" t="str">
        <f>IFERROR(MATCH(SMALL(Cálculos!$AI$5:$AI$1000,752),Cálculos!$AI$5:$AI$1000,0)+4,"")</f>
        <v/>
      </c>
    </row>
    <row r="757">
      <c r="A757" s="5" t="str">
        <f>IF($J757="","",INDEX('Detalle individual'!$B:$B,$J757))</f>
        <v/>
      </c>
      <c r="B757" s="5" t="str">
        <f>IF($J757="","",INDEX('Detalle individual'!$A:$A,$J757))</f>
        <v/>
      </c>
      <c r="C757" s="5" t="str">
        <f>IF($J757="","",INDEX('Detalle individual'!$E:$E,$J757))</f>
        <v/>
      </c>
      <c r="D757" s="5" t="str">
        <f>IF($J757="","",INDEX('Detalle individual'!$C:$C,$J757))</f>
        <v/>
      </c>
      <c r="E757" s="5" t="str">
        <f>IF($J757="","",INDEX('Detalle individual'!$D:$D,$J757))</f>
        <v/>
      </c>
      <c r="F757" s="23" t="str">
        <f>IF($J757="","",INDEX('Detalle individual'!$H:$H,$J757))</f>
        <v/>
      </c>
      <c r="G757" s="28" t="str">
        <f>IF($J757="","",INDEX('Detalle individual'!$J:$J,$J757))</f>
        <v/>
      </c>
      <c r="H757" s="28" t="str">
        <f>IF($J757="","",INDEX('Detalle individual'!$L:$L,$J757))</f>
        <v/>
      </c>
      <c r="J757" t="str">
        <f>IFERROR(MATCH(SMALL(Cálculos!$AI$5:$AI$1000,753),Cálculos!$AI$5:$AI$1000,0)+4,"")</f>
        <v/>
      </c>
    </row>
    <row r="758">
      <c r="A758" s="5" t="str">
        <f>IF($J758="","",INDEX('Detalle individual'!$B:$B,$J758))</f>
        <v/>
      </c>
      <c r="B758" s="5" t="str">
        <f>IF($J758="","",INDEX('Detalle individual'!$A:$A,$J758))</f>
        <v/>
      </c>
      <c r="C758" s="5" t="str">
        <f>IF($J758="","",INDEX('Detalle individual'!$E:$E,$J758))</f>
        <v/>
      </c>
      <c r="D758" s="5" t="str">
        <f>IF($J758="","",INDEX('Detalle individual'!$C:$C,$J758))</f>
        <v/>
      </c>
      <c r="E758" s="5" t="str">
        <f>IF($J758="","",INDEX('Detalle individual'!$D:$D,$J758))</f>
        <v/>
      </c>
      <c r="F758" s="23" t="str">
        <f>IF($J758="","",INDEX('Detalle individual'!$H:$H,$J758))</f>
        <v/>
      </c>
      <c r="G758" s="28" t="str">
        <f>IF($J758="","",INDEX('Detalle individual'!$J:$J,$J758))</f>
        <v/>
      </c>
      <c r="H758" s="28" t="str">
        <f>IF($J758="","",INDEX('Detalle individual'!$L:$L,$J758))</f>
        <v/>
      </c>
      <c r="J758" t="str">
        <f>IFERROR(MATCH(SMALL(Cálculos!$AI$5:$AI$1000,754),Cálculos!$AI$5:$AI$1000,0)+4,"")</f>
        <v/>
      </c>
    </row>
    <row r="759">
      <c r="A759" s="5" t="str">
        <f>IF($J759="","",INDEX('Detalle individual'!$B:$B,$J759))</f>
        <v/>
      </c>
      <c r="B759" s="5" t="str">
        <f>IF($J759="","",INDEX('Detalle individual'!$A:$A,$J759))</f>
        <v/>
      </c>
      <c r="C759" s="5" t="str">
        <f>IF($J759="","",INDEX('Detalle individual'!$E:$E,$J759))</f>
        <v/>
      </c>
      <c r="D759" s="5" t="str">
        <f>IF($J759="","",INDEX('Detalle individual'!$C:$C,$J759))</f>
        <v/>
      </c>
      <c r="E759" s="5" t="str">
        <f>IF($J759="","",INDEX('Detalle individual'!$D:$D,$J759))</f>
        <v/>
      </c>
      <c r="F759" s="23" t="str">
        <f>IF($J759="","",INDEX('Detalle individual'!$H:$H,$J759))</f>
        <v/>
      </c>
      <c r="G759" s="28" t="str">
        <f>IF($J759="","",INDEX('Detalle individual'!$J:$J,$J759))</f>
        <v/>
      </c>
      <c r="H759" s="28" t="str">
        <f>IF($J759="","",INDEX('Detalle individual'!$L:$L,$J759))</f>
        <v/>
      </c>
      <c r="J759" t="str">
        <f>IFERROR(MATCH(SMALL(Cálculos!$AI$5:$AI$1000,755),Cálculos!$AI$5:$AI$1000,0)+4,"")</f>
        <v/>
      </c>
    </row>
    <row r="760">
      <c r="A760" s="5" t="str">
        <f>IF($J760="","",INDEX('Detalle individual'!$B:$B,$J760))</f>
        <v/>
      </c>
      <c r="B760" s="5" t="str">
        <f>IF($J760="","",INDEX('Detalle individual'!$A:$A,$J760))</f>
        <v/>
      </c>
      <c r="C760" s="5" t="str">
        <f>IF($J760="","",INDEX('Detalle individual'!$E:$E,$J760))</f>
        <v/>
      </c>
      <c r="D760" s="5" t="str">
        <f>IF($J760="","",INDEX('Detalle individual'!$C:$C,$J760))</f>
        <v/>
      </c>
      <c r="E760" s="5" t="str">
        <f>IF($J760="","",INDEX('Detalle individual'!$D:$D,$J760))</f>
        <v/>
      </c>
      <c r="F760" s="23" t="str">
        <f>IF($J760="","",INDEX('Detalle individual'!$H:$H,$J760))</f>
        <v/>
      </c>
      <c r="G760" s="28" t="str">
        <f>IF($J760="","",INDEX('Detalle individual'!$J:$J,$J760))</f>
        <v/>
      </c>
      <c r="H760" s="28" t="str">
        <f>IF($J760="","",INDEX('Detalle individual'!$L:$L,$J760))</f>
        <v/>
      </c>
      <c r="J760" t="str">
        <f>IFERROR(MATCH(SMALL(Cálculos!$AI$5:$AI$1000,756),Cálculos!$AI$5:$AI$1000,0)+4,"")</f>
        <v/>
      </c>
    </row>
    <row r="761">
      <c r="A761" s="5" t="str">
        <f>IF($J761="","",INDEX('Detalle individual'!$B:$B,$J761))</f>
        <v/>
      </c>
      <c r="B761" s="5" t="str">
        <f>IF($J761="","",INDEX('Detalle individual'!$A:$A,$J761))</f>
        <v/>
      </c>
      <c r="C761" s="5" t="str">
        <f>IF($J761="","",INDEX('Detalle individual'!$E:$E,$J761))</f>
        <v/>
      </c>
      <c r="D761" s="5" t="str">
        <f>IF($J761="","",INDEX('Detalle individual'!$C:$C,$J761))</f>
        <v/>
      </c>
      <c r="E761" s="5" t="str">
        <f>IF($J761="","",INDEX('Detalle individual'!$D:$D,$J761))</f>
        <v/>
      </c>
      <c r="F761" s="23" t="str">
        <f>IF($J761="","",INDEX('Detalle individual'!$H:$H,$J761))</f>
        <v/>
      </c>
      <c r="G761" s="28" t="str">
        <f>IF($J761="","",INDEX('Detalle individual'!$J:$J,$J761))</f>
        <v/>
      </c>
      <c r="H761" s="28" t="str">
        <f>IF($J761="","",INDEX('Detalle individual'!$L:$L,$J761))</f>
        <v/>
      </c>
      <c r="J761" t="str">
        <f>IFERROR(MATCH(SMALL(Cálculos!$AI$5:$AI$1000,757),Cálculos!$AI$5:$AI$1000,0)+4,"")</f>
        <v/>
      </c>
    </row>
    <row r="762">
      <c r="A762" s="5" t="str">
        <f>IF($J762="","",INDEX('Detalle individual'!$B:$B,$J762))</f>
        <v/>
      </c>
      <c r="B762" s="5" t="str">
        <f>IF($J762="","",INDEX('Detalle individual'!$A:$A,$J762))</f>
        <v/>
      </c>
      <c r="C762" s="5" t="str">
        <f>IF($J762="","",INDEX('Detalle individual'!$E:$E,$J762))</f>
        <v/>
      </c>
      <c r="D762" s="5" t="str">
        <f>IF($J762="","",INDEX('Detalle individual'!$C:$C,$J762))</f>
        <v/>
      </c>
      <c r="E762" s="5" t="str">
        <f>IF($J762="","",INDEX('Detalle individual'!$D:$D,$J762))</f>
        <v/>
      </c>
      <c r="F762" s="23" t="str">
        <f>IF($J762="","",INDEX('Detalle individual'!$H:$H,$J762))</f>
        <v/>
      </c>
      <c r="G762" s="28" t="str">
        <f>IF($J762="","",INDEX('Detalle individual'!$J:$J,$J762))</f>
        <v/>
      </c>
      <c r="H762" s="28" t="str">
        <f>IF($J762="","",INDEX('Detalle individual'!$L:$L,$J762))</f>
        <v/>
      </c>
      <c r="J762" t="str">
        <f>IFERROR(MATCH(SMALL(Cálculos!$AI$5:$AI$1000,758),Cálculos!$AI$5:$AI$1000,0)+4,"")</f>
        <v/>
      </c>
    </row>
    <row r="763">
      <c r="A763" s="5" t="str">
        <f>IF($J763="","",INDEX('Detalle individual'!$B:$B,$J763))</f>
        <v/>
      </c>
      <c r="B763" s="5" t="str">
        <f>IF($J763="","",INDEX('Detalle individual'!$A:$A,$J763))</f>
        <v/>
      </c>
      <c r="C763" s="5" t="str">
        <f>IF($J763="","",INDEX('Detalle individual'!$E:$E,$J763))</f>
        <v/>
      </c>
      <c r="D763" s="5" t="str">
        <f>IF($J763="","",INDEX('Detalle individual'!$C:$C,$J763))</f>
        <v/>
      </c>
      <c r="E763" s="5" t="str">
        <f>IF($J763="","",INDEX('Detalle individual'!$D:$D,$J763))</f>
        <v/>
      </c>
      <c r="F763" s="23" t="str">
        <f>IF($J763="","",INDEX('Detalle individual'!$H:$H,$J763))</f>
        <v/>
      </c>
      <c r="G763" s="28" t="str">
        <f>IF($J763="","",INDEX('Detalle individual'!$J:$J,$J763))</f>
        <v/>
      </c>
      <c r="H763" s="28" t="str">
        <f>IF($J763="","",INDEX('Detalle individual'!$L:$L,$J763))</f>
        <v/>
      </c>
      <c r="J763" t="str">
        <f>IFERROR(MATCH(SMALL(Cálculos!$AI$5:$AI$1000,759),Cálculos!$AI$5:$AI$1000,0)+4,"")</f>
        <v/>
      </c>
    </row>
    <row r="764">
      <c r="A764" s="5" t="str">
        <f>IF($J764="","",INDEX('Detalle individual'!$B:$B,$J764))</f>
        <v/>
      </c>
      <c r="B764" s="5" t="str">
        <f>IF($J764="","",INDEX('Detalle individual'!$A:$A,$J764))</f>
        <v/>
      </c>
      <c r="C764" s="5" t="str">
        <f>IF($J764="","",INDEX('Detalle individual'!$E:$E,$J764))</f>
        <v/>
      </c>
      <c r="D764" s="5" t="str">
        <f>IF($J764="","",INDEX('Detalle individual'!$C:$C,$J764))</f>
        <v/>
      </c>
      <c r="E764" s="5" t="str">
        <f>IF($J764="","",INDEX('Detalle individual'!$D:$D,$J764))</f>
        <v/>
      </c>
      <c r="F764" s="23" t="str">
        <f>IF($J764="","",INDEX('Detalle individual'!$H:$H,$J764))</f>
        <v/>
      </c>
      <c r="G764" s="28" t="str">
        <f>IF($J764="","",INDEX('Detalle individual'!$J:$J,$J764))</f>
        <v/>
      </c>
      <c r="H764" s="28" t="str">
        <f>IF($J764="","",INDEX('Detalle individual'!$L:$L,$J764))</f>
        <v/>
      </c>
      <c r="J764" t="str">
        <f>IFERROR(MATCH(SMALL(Cálculos!$AI$5:$AI$1000,760),Cálculos!$AI$5:$AI$1000,0)+4,"")</f>
        <v/>
      </c>
    </row>
    <row r="765">
      <c r="A765" s="5" t="str">
        <f>IF($J765="","",INDEX('Detalle individual'!$B:$B,$J765))</f>
        <v/>
      </c>
      <c r="B765" s="5" t="str">
        <f>IF($J765="","",INDEX('Detalle individual'!$A:$A,$J765))</f>
        <v/>
      </c>
      <c r="C765" s="5" t="str">
        <f>IF($J765="","",INDEX('Detalle individual'!$E:$E,$J765))</f>
        <v/>
      </c>
      <c r="D765" s="5" t="str">
        <f>IF($J765="","",INDEX('Detalle individual'!$C:$C,$J765))</f>
        <v/>
      </c>
      <c r="E765" s="5" t="str">
        <f>IF($J765="","",INDEX('Detalle individual'!$D:$D,$J765))</f>
        <v/>
      </c>
      <c r="F765" s="23" t="str">
        <f>IF($J765="","",INDEX('Detalle individual'!$H:$H,$J765))</f>
        <v/>
      </c>
      <c r="G765" s="28" t="str">
        <f>IF($J765="","",INDEX('Detalle individual'!$J:$J,$J765))</f>
        <v/>
      </c>
      <c r="H765" s="28" t="str">
        <f>IF($J765="","",INDEX('Detalle individual'!$L:$L,$J765))</f>
        <v/>
      </c>
      <c r="J765" t="str">
        <f>IFERROR(MATCH(SMALL(Cálculos!$AI$5:$AI$1000,761),Cálculos!$AI$5:$AI$1000,0)+4,"")</f>
        <v/>
      </c>
    </row>
    <row r="766">
      <c r="A766" s="5" t="str">
        <f>IF($J766="","",INDEX('Detalle individual'!$B:$B,$J766))</f>
        <v/>
      </c>
      <c r="B766" s="5" t="str">
        <f>IF($J766="","",INDEX('Detalle individual'!$A:$A,$J766))</f>
        <v/>
      </c>
      <c r="C766" s="5" t="str">
        <f>IF($J766="","",INDEX('Detalle individual'!$E:$E,$J766))</f>
        <v/>
      </c>
      <c r="D766" s="5" t="str">
        <f>IF($J766="","",INDEX('Detalle individual'!$C:$C,$J766))</f>
        <v/>
      </c>
      <c r="E766" s="5" t="str">
        <f>IF($J766="","",INDEX('Detalle individual'!$D:$D,$J766))</f>
        <v/>
      </c>
      <c r="F766" s="23" t="str">
        <f>IF($J766="","",INDEX('Detalle individual'!$H:$H,$J766))</f>
        <v/>
      </c>
      <c r="G766" s="28" t="str">
        <f>IF($J766="","",INDEX('Detalle individual'!$J:$J,$J766))</f>
        <v/>
      </c>
      <c r="H766" s="28" t="str">
        <f>IF($J766="","",INDEX('Detalle individual'!$L:$L,$J766))</f>
        <v/>
      </c>
      <c r="J766" t="str">
        <f>IFERROR(MATCH(SMALL(Cálculos!$AI$5:$AI$1000,762),Cálculos!$AI$5:$AI$1000,0)+4,"")</f>
        <v/>
      </c>
    </row>
    <row r="767">
      <c r="A767" s="5" t="str">
        <f>IF($J767="","",INDEX('Detalle individual'!$B:$B,$J767))</f>
        <v/>
      </c>
      <c r="B767" s="5" t="str">
        <f>IF($J767="","",INDEX('Detalle individual'!$A:$A,$J767))</f>
        <v/>
      </c>
      <c r="C767" s="5" t="str">
        <f>IF($J767="","",INDEX('Detalle individual'!$E:$E,$J767))</f>
        <v/>
      </c>
      <c r="D767" s="5" t="str">
        <f>IF($J767="","",INDEX('Detalle individual'!$C:$C,$J767))</f>
        <v/>
      </c>
      <c r="E767" s="5" t="str">
        <f>IF($J767="","",INDEX('Detalle individual'!$D:$D,$J767))</f>
        <v/>
      </c>
      <c r="F767" s="23" t="str">
        <f>IF($J767="","",INDEX('Detalle individual'!$H:$H,$J767))</f>
        <v/>
      </c>
      <c r="G767" s="28" t="str">
        <f>IF($J767="","",INDEX('Detalle individual'!$J:$J,$J767))</f>
        <v/>
      </c>
      <c r="H767" s="28" t="str">
        <f>IF($J767="","",INDEX('Detalle individual'!$L:$L,$J767))</f>
        <v/>
      </c>
      <c r="J767" t="str">
        <f>IFERROR(MATCH(SMALL(Cálculos!$AI$5:$AI$1000,763),Cálculos!$AI$5:$AI$1000,0)+4,"")</f>
        <v/>
      </c>
    </row>
    <row r="768">
      <c r="A768" s="5" t="str">
        <f>IF($J768="","",INDEX('Detalle individual'!$B:$B,$J768))</f>
        <v/>
      </c>
      <c r="B768" s="5" t="str">
        <f>IF($J768="","",INDEX('Detalle individual'!$A:$A,$J768))</f>
        <v/>
      </c>
      <c r="C768" s="5" t="str">
        <f>IF($J768="","",INDEX('Detalle individual'!$E:$E,$J768))</f>
        <v/>
      </c>
      <c r="D768" s="5" t="str">
        <f>IF($J768="","",INDEX('Detalle individual'!$C:$C,$J768))</f>
        <v/>
      </c>
      <c r="E768" s="5" t="str">
        <f>IF($J768="","",INDEX('Detalle individual'!$D:$D,$J768))</f>
        <v/>
      </c>
      <c r="F768" s="23" t="str">
        <f>IF($J768="","",INDEX('Detalle individual'!$H:$H,$J768))</f>
        <v/>
      </c>
      <c r="G768" s="28" t="str">
        <f>IF($J768="","",INDEX('Detalle individual'!$J:$J,$J768))</f>
        <v/>
      </c>
      <c r="H768" s="28" t="str">
        <f>IF($J768="","",INDEX('Detalle individual'!$L:$L,$J768))</f>
        <v/>
      </c>
      <c r="J768" t="str">
        <f>IFERROR(MATCH(SMALL(Cálculos!$AI$5:$AI$1000,764),Cálculos!$AI$5:$AI$1000,0)+4,"")</f>
        <v/>
      </c>
    </row>
    <row r="769">
      <c r="A769" s="5" t="str">
        <f>IF($J769="","",INDEX('Detalle individual'!$B:$B,$J769))</f>
        <v/>
      </c>
      <c r="B769" s="5" t="str">
        <f>IF($J769="","",INDEX('Detalle individual'!$A:$A,$J769))</f>
        <v/>
      </c>
      <c r="C769" s="5" t="str">
        <f>IF($J769="","",INDEX('Detalle individual'!$E:$E,$J769))</f>
        <v/>
      </c>
      <c r="D769" s="5" t="str">
        <f>IF($J769="","",INDEX('Detalle individual'!$C:$C,$J769))</f>
        <v/>
      </c>
      <c r="E769" s="5" t="str">
        <f>IF($J769="","",INDEX('Detalle individual'!$D:$D,$J769))</f>
        <v/>
      </c>
      <c r="F769" s="23" t="str">
        <f>IF($J769="","",INDEX('Detalle individual'!$H:$H,$J769))</f>
        <v/>
      </c>
      <c r="G769" s="28" t="str">
        <f>IF($J769="","",INDEX('Detalle individual'!$J:$J,$J769))</f>
        <v/>
      </c>
      <c r="H769" s="28" t="str">
        <f>IF($J769="","",INDEX('Detalle individual'!$L:$L,$J769))</f>
        <v/>
      </c>
      <c r="J769" t="str">
        <f>IFERROR(MATCH(SMALL(Cálculos!$AI$5:$AI$1000,765),Cálculos!$AI$5:$AI$1000,0)+4,"")</f>
        <v/>
      </c>
    </row>
    <row r="770">
      <c r="A770" s="5" t="str">
        <f>IF($J770="","",INDEX('Detalle individual'!$B:$B,$J770))</f>
        <v/>
      </c>
      <c r="B770" s="5" t="str">
        <f>IF($J770="","",INDEX('Detalle individual'!$A:$A,$J770))</f>
        <v/>
      </c>
      <c r="C770" s="5" t="str">
        <f>IF($J770="","",INDEX('Detalle individual'!$E:$E,$J770))</f>
        <v/>
      </c>
      <c r="D770" s="5" t="str">
        <f>IF($J770="","",INDEX('Detalle individual'!$C:$C,$J770))</f>
        <v/>
      </c>
      <c r="E770" s="5" t="str">
        <f>IF($J770="","",INDEX('Detalle individual'!$D:$D,$J770))</f>
        <v/>
      </c>
      <c r="F770" s="23" t="str">
        <f>IF($J770="","",INDEX('Detalle individual'!$H:$H,$J770))</f>
        <v/>
      </c>
      <c r="G770" s="28" t="str">
        <f>IF($J770="","",INDEX('Detalle individual'!$J:$J,$J770))</f>
        <v/>
      </c>
      <c r="H770" s="28" t="str">
        <f>IF($J770="","",INDEX('Detalle individual'!$L:$L,$J770))</f>
        <v/>
      </c>
      <c r="J770" t="str">
        <f>IFERROR(MATCH(SMALL(Cálculos!$AI$5:$AI$1000,766),Cálculos!$AI$5:$AI$1000,0)+4,"")</f>
        <v/>
      </c>
    </row>
    <row r="771">
      <c r="A771" s="5" t="str">
        <f>IF($J771="","",INDEX('Detalle individual'!$B:$B,$J771))</f>
        <v/>
      </c>
      <c r="B771" s="5" t="str">
        <f>IF($J771="","",INDEX('Detalle individual'!$A:$A,$J771))</f>
        <v/>
      </c>
      <c r="C771" s="5" t="str">
        <f>IF($J771="","",INDEX('Detalle individual'!$E:$E,$J771))</f>
        <v/>
      </c>
      <c r="D771" s="5" t="str">
        <f>IF($J771="","",INDEX('Detalle individual'!$C:$C,$J771))</f>
        <v/>
      </c>
      <c r="E771" s="5" t="str">
        <f>IF($J771="","",INDEX('Detalle individual'!$D:$D,$J771))</f>
        <v/>
      </c>
      <c r="F771" s="23" t="str">
        <f>IF($J771="","",INDEX('Detalle individual'!$H:$H,$J771))</f>
        <v/>
      </c>
      <c r="G771" s="28" t="str">
        <f>IF($J771="","",INDEX('Detalle individual'!$J:$J,$J771))</f>
        <v/>
      </c>
      <c r="H771" s="28" t="str">
        <f>IF($J771="","",INDEX('Detalle individual'!$L:$L,$J771))</f>
        <v/>
      </c>
      <c r="J771" t="str">
        <f>IFERROR(MATCH(SMALL(Cálculos!$AI$5:$AI$1000,767),Cálculos!$AI$5:$AI$1000,0)+4,"")</f>
        <v/>
      </c>
    </row>
    <row r="772">
      <c r="A772" s="5" t="str">
        <f>IF($J772="","",INDEX('Detalle individual'!$B:$B,$J772))</f>
        <v/>
      </c>
      <c r="B772" s="5" t="str">
        <f>IF($J772="","",INDEX('Detalle individual'!$A:$A,$J772))</f>
        <v/>
      </c>
      <c r="C772" s="5" t="str">
        <f>IF($J772="","",INDEX('Detalle individual'!$E:$E,$J772))</f>
        <v/>
      </c>
      <c r="D772" s="5" t="str">
        <f>IF($J772="","",INDEX('Detalle individual'!$C:$C,$J772))</f>
        <v/>
      </c>
      <c r="E772" s="5" t="str">
        <f>IF($J772="","",INDEX('Detalle individual'!$D:$D,$J772))</f>
        <v/>
      </c>
      <c r="F772" s="23" t="str">
        <f>IF($J772="","",INDEX('Detalle individual'!$H:$H,$J772))</f>
        <v/>
      </c>
      <c r="G772" s="28" t="str">
        <f>IF($J772="","",INDEX('Detalle individual'!$J:$J,$J772))</f>
        <v/>
      </c>
      <c r="H772" s="28" t="str">
        <f>IF($J772="","",INDEX('Detalle individual'!$L:$L,$J772))</f>
        <v/>
      </c>
      <c r="J772" t="str">
        <f>IFERROR(MATCH(SMALL(Cálculos!$AI$5:$AI$1000,768),Cálculos!$AI$5:$AI$1000,0)+4,"")</f>
        <v/>
      </c>
    </row>
    <row r="773">
      <c r="A773" s="5" t="str">
        <f>IF($J773="","",INDEX('Detalle individual'!$B:$B,$J773))</f>
        <v/>
      </c>
      <c r="B773" s="5" t="str">
        <f>IF($J773="","",INDEX('Detalle individual'!$A:$A,$J773))</f>
        <v/>
      </c>
      <c r="C773" s="5" t="str">
        <f>IF($J773="","",INDEX('Detalle individual'!$E:$E,$J773))</f>
        <v/>
      </c>
      <c r="D773" s="5" t="str">
        <f>IF($J773="","",INDEX('Detalle individual'!$C:$C,$J773))</f>
        <v/>
      </c>
      <c r="E773" s="5" t="str">
        <f>IF($J773="","",INDEX('Detalle individual'!$D:$D,$J773))</f>
        <v/>
      </c>
      <c r="F773" s="23" t="str">
        <f>IF($J773="","",INDEX('Detalle individual'!$H:$H,$J773))</f>
        <v/>
      </c>
      <c r="G773" s="28" t="str">
        <f>IF($J773="","",INDEX('Detalle individual'!$J:$J,$J773))</f>
        <v/>
      </c>
      <c r="H773" s="28" t="str">
        <f>IF($J773="","",INDEX('Detalle individual'!$L:$L,$J773))</f>
        <v/>
      </c>
      <c r="J773" t="str">
        <f>IFERROR(MATCH(SMALL(Cálculos!$AI$5:$AI$1000,769),Cálculos!$AI$5:$AI$1000,0)+4,"")</f>
        <v/>
      </c>
    </row>
    <row r="774">
      <c r="A774" s="5" t="str">
        <f>IF($J774="","",INDEX('Detalle individual'!$B:$B,$J774))</f>
        <v/>
      </c>
      <c r="B774" s="5" t="str">
        <f>IF($J774="","",INDEX('Detalle individual'!$A:$A,$J774))</f>
        <v/>
      </c>
      <c r="C774" s="5" t="str">
        <f>IF($J774="","",INDEX('Detalle individual'!$E:$E,$J774))</f>
        <v/>
      </c>
      <c r="D774" s="5" t="str">
        <f>IF($J774="","",INDEX('Detalle individual'!$C:$C,$J774))</f>
        <v/>
      </c>
      <c r="E774" s="5" t="str">
        <f>IF($J774="","",INDEX('Detalle individual'!$D:$D,$J774))</f>
        <v/>
      </c>
      <c r="F774" s="23" t="str">
        <f>IF($J774="","",INDEX('Detalle individual'!$H:$H,$J774))</f>
        <v/>
      </c>
      <c r="G774" s="28" t="str">
        <f>IF($J774="","",INDEX('Detalle individual'!$J:$J,$J774))</f>
        <v/>
      </c>
      <c r="H774" s="28" t="str">
        <f>IF($J774="","",INDEX('Detalle individual'!$L:$L,$J774))</f>
        <v/>
      </c>
      <c r="J774" t="str">
        <f>IFERROR(MATCH(SMALL(Cálculos!$AI$5:$AI$1000,770),Cálculos!$AI$5:$AI$1000,0)+4,"")</f>
        <v/>
      </c>
    </row>
    <row r="775">
      <c r="A775" s="5" t="str">
        <f>IF($J775="","",INDEX('Detalle individual'!$B:$B,$J775))</f>
        <v/>
      </c>
      <c r="B775" s="5" t="str">
        <f>IF($J775="","",INDEX('Detalle individual'!$A:$A,$J775))</f>
        <v/>
      </c>
      <c r="C775" s="5" t="str">
        <f>IF($J775="","",INDEX('Detalle individual'!$E:$E,$J775))</f>
        <v/>
      </c>
      <c r="D775" s="5" t="str">
        <f>IF($J775="","",INDEX('Detalle individual'!$C:$C,$J775))</f>
        <v/>
      </c>
      <c r="E775" s="5" t="str">
        <f>IF($J775="","",INDEX('Detalle individual'!$D:$D,$J775))</f>
        <v/>
      </c>
      <c r="F775" s="23" t="str">
        <f>IF($J775="","",INDEX('Detalle individual'!$H:$H,$J775))</f>
        <v/>
      </c>
      <c r="G775" s="28" t="str">
        <f>IF($J775="","",INDEX('Detalle individual'!$J:$J,$J775))</f>
        <v/>
      </c>
      <c r="H775" s="28" t="str">
        <f>IF($J775="","",INDEX('Detalle individual'!$L:$L,$J775))</f>
        <v/>
      </c>
      <c r="J775" t="str">
        <f>IFERROR(MATCH(SMALL(Cálculos!$AI$5:$AI$1000,771),Cálculos!$AI$5:$AI$1000,0)+4,"")</f>
        <v/>
      </c>
    </row>
    <row r="776">
      <c r="A776" s="5" t="str">
        <f>IF($J776="","",INDEX('Detalle individual'!$B:$B,$J776))</f>
        <v/>
      </c>
      <c r="B776" s="5" t="str">
        <f>IF($J776="","",INDEX('Detalle individual'!$A:$A,$J776))</f>
        <v/>
      </c>
      <c r="C776" s="5" t="str">
        <f>IF($J776="","",INDEX('Detalle individual'!$E:$E,$J776))</f>
        <v/>
      </c>
      <c r="D776" s="5" t="str">
        <f>IF($J776="","",INDEX('Detalle individual'!$C:$C,$J776))</f>
        <v/>
      </c>
      <c r="E776" s="5" t="str">
        <f>IF($J776="","",INDEX('Detalle individual'!$D:$D,$J776))</f>
        <v/>
      </c>
      <c r="F776" s="23" t="str">
        <f>IF($J776="","",INDEX('Detalle individual'!$H:$H,$J776))</f>
        <v/>
      </c>
      <c r="G776" s="28" t="str">
        <f>IF($J776="","",INDEX('Detalle individual'!$J:$J,$J776))</f>
        <v/>
      </c>
      <c r="H776" s="28" t="str">
        <f>IF($J776="","",INDEX('Detalle individual'!$L:$L,$J776))</f>
        <v/>
      </c>
      <c r="J776" t="str">
        <f>IFERROR(MATCH(SMALL(Cálculos!$AI$5:$AI$1000,772),Cálculos!$AI$5:$AI$1000,0)+4,"")</f>
        <v/>
      </c>
    </row>
    <row r="777">
      <c r="A777" s="5" t="str">
        <f>IF($J777="","",INDEX('Detalle individual'!$B:$B,$J777))</f>
        <v/>
      </c>
      <c r="B777" s="5" t="str">
        <f>IF($J777="","",INDEX('Detalle individual'!$A:$A,$J777))</f>
        <v/>
      </c>
      <c r="C777" s="5" t="str">
        <f>IF($J777="","",INDEX('Detalle individual'!$E:$E,$J777))</f>
        <v/>
      </c>
      <c r="D777" s="5" t="str">
        <f>IF($J777="","",INDEX('Detalle individual'!$C:$C,$J777))</f>
        <v/>
      </c>
      <c r="E777" s="5" t="str">
        <f>IF($J777="","",INDEX('Detalle individual'!$D:$D,$J777))</f>
        <v/>
      </c>
      <c r="F777" s="23" t="str">
        <f>IF($J777="","",INDEX('Detalle individual'!$H:$H,$J777))</f>
        <v/>
      </c>
      <c r="G777" s="28" t="str">
        <f>IF($J777="","",INDEX('Detalle individual'!$J:$J,$J777))</f>
        <v/>
      </c>
      <c r="H777" s="28" t="str">
        <f>IF($J777="","",INDEX('Detalle individual'!$L:$L,$J777))</f>
        <v/>
      </c>
      <c r="J777" t="str">
        <f>IFERROR(MATCH(SMALL(Cálculos!$AI$5:$AI$1000,773),Cálculos!$AI$5:$AI$1000,0)+4,"")</f>
        <v/>
      </c>
    </row>
    <row r="778">
      <c r="A778" s="5" t="str">
        <f>IF($J778="","",INDEX('Detalle individual'!$B:$B,$J778))</f>
        <v/>
      </c>
      <c r="B778" s="5" t="str">
        <f>IF($J778="","",INDEX('Detalle individual'!$A:$A,$J778))</f>
        <v/>
      </c>
      <c r="C778" s="5" t="str">
        <f>IF($J778="","",INDEX('Detalle individual'!$E:$E,$J778))</f>
        <v/>
      </c>
      <c r="D778" s="5" t="str">
        <f>IF($J778="","",INDEX('Detalle individual'!$C:$C,$J778))</f>
        <v/>
      </c>
      <c r="E778" s="5" t="str">
        <f>IF($J778="","",INDEX('Detalle individual'!$D:$D,$J778))</f>
        <v/>
      </c>
      <c r="F778" s="23" t="str">
        <f>IF($J778="","",INDEX('Detalle individual'!$H:$H,$J778))</f>
        <v/>
      </c>
      <c r="G778" s="28" t="str">
        <f>IF($J778="","",INDEX('Detalle individual'!$J:$J,$J778))</f>
        <v/>
      </c>
      <c r="H778" s="28" t="str">
        <f>IF($J778="","",INDEX('Detalle individual'!$L:$L,$J778))</f>
        <v/>
      </c>
      <c r="J778" t="str">
        <f>IFERROR(MATCH(SMALL(Cálculos!$AI$5:$AI$1000,774),Cálculos!$AI$5:$AI$1000,0)+4,"")</f>
        <v/>
      </c>
    </row>
    <row r="779">
      <c r="A779" s="5" t="str">
        <f>IF($J779="","",INDEX('Detalle individual'!$B:$B,$J779))</f>
        <v/>
      </c>
      <c r="B779" s="5" t="str">
        <f>IF($J779="","",INDEX('Detalle individual'!$A:$A,$J779))</f>
        <v/>
      </c>
      <c r="C779" s="5" t="str">
        <f>IF($J779="","",INDEX('Detalle individual'!$E:$E,$J779))</f>
        <v/>
      </c>
      <c r="D779" s="5" t="str">
        <f>IF($J779="","",INDEX('Detalle individual'!$C:$C,$J779))</f>
        <v/>
      </c>
      <c r="E779" s="5" t="str">
        <f>IF($J779="","",INDEX('Detalle individual'!$D:$D,$J779))</f>
        <v/>
      </c>
      <c r="F779" s="23" t="str">
        <f>IF($J779="","",INDEX('Detalle individual'!$H:$H,$J779))</f>
        <v/>
      </c>
      <c r="G779" s="28" t="str">
        <f>IF($J779="","",INDEX('Detalle individual'!$J:$J,$J779))</f>
        <v/>
      </c>
      <c r="H779" s="28" t="str">
        <f>IF($J779="","",INDEX('Detalle individual'!$L:$L,$J779))</f>
        <v/>
      </c>
      <c r="J779" t="str">
        <f>IFERROR(MATCH(SMALL(Cálculos!$AI$5:$AI$1000,775),Cálculos!$AI$5:$AI$1000,0)+4,"")</f>
        <v/>
      </c>
    </row>
    <row r="780">
      <c r="A780" s="5" t="str">
        <f>IF($J780="","",INDEX('Detalle individual'!$B:$B,$J780))</f>
        <v/>
      </c>
      <c r="B780" s="5" t="str">
        <f>IF($J780="","",INDEX('Detalle individual'!$A:$A,$J780))</f>
        <v/>
      </c>
      <c r="C780" s="5" t="str">
        <f>IF($J780="","",INDEX('Detalle individual'!$E:$E,$J780))</f>
        <v/>
      </c>
      <c r="D780" s="5" t="str">
        <f>IF($J780="","",INDEX('Detalle individual'!$C:$C,$J780))</f>
        <v/>
      </c>
      <c r="E780" s="5" t="str">
        <f>IF($J780="","",INDEX('Detalle individual'!$D:$D,$J780))</f>
        <v/>
      </c>
      <c r="F780" s="23" t="str">
        <f>IF($J780="","",INDEX('Detalle individual'!$H:$H,$J780))</f>
        <v/>
      </c>
      <c r="G780" s="28" t="str">
        <f>IF($J780="","",INDEX('Detalle individual'!$J:$J,$J780))</f>
        <v/>
      </c>
      <c r="H780" s="28" t="str">
        <f>IF($J780="","",INDEX('Detalle individual'!$L:$L,$J780))</f>
        <v/>
      </c>
      <c r="J780" t="str">
        <f>IFERROR(MATCH(SMALL(Cálculos!$AI$5:$AI$1000,776),Cálculos!$AI$5:$AI$1000,0)+4,"")</f>
        <v/>
      </c>
    </row>
    <row r="781">
      <c r="A781" s="5" t="str">
        <f>IF($J781="","",INDEX('Detalle individual'!$B:$B,$J781))</f>
        <v/>
      </c>
      <c r="B781" s="5" t="str">
        <f>IF($J781="","",INDEX('Detalle individual'!$A:$A,$J781))</f>
        <v/>
      </c>
      <c r="C781" s="5" t="str">
        <f>IF($J781="","",INDEX('Detalle individual'!$E:$E,$J781))</f>
        <v/>
      </c>
      <c r="D781" s="5" t="str">
        <f>IF($J781="","",INDEX('Detalle individual'!$C:$C,$J781))</f>
        <v/>
      </c>
      <c r="E781" s="5" t="str">
        <f>IF($J781="","",INDEX('Detalle individual'!$D:$D,$J781))</f>
        <v/>
      </c>
      <c r="F781" s="23" t="str">
        <f>IF($J781="","",INDEX('Detalle individual'!$H:$H,$J781))</f>
        <v/>
      </c>
      <c r="G781" s="28" t="str">
        <f>IF($J781="","",INDEX('Detalle individual'!$J:$J,$J781))</f>
        <v/>
      </c>
      <c r="H781" s="28" t="str">
        <f>IF($J781="","",INDEX('Detalle individual'!$L:$L,$J781))</f>
        <v/>
      </c>
      <c r="J781" t="str">
        <f>IFERROR(MATCH(SMALL(Cálculos!$AI$5:$AI$1000,777),Cálculos!$AI$5:$AI$1000,0)+4,"")</f>
        <v/>
      </c>
    </row>
    <row r="782">
      <c r="A782" s="5" t="str">
        <f>IF($J782="","",INDEX('Detalle individual'!$B:$B,$J782))</f>
        <v/>
      </c>
      <c r="B782" s="5" t="str">
        <f>IF($J782="","",INDEX('Detalle individual'!$A:$A,$J782))</f>
        <v/>
      </c>
      <c r="C782" s="5" t="str">
        <f>IF($J782="","",INDEX('Detalle individual'!$E:$E,$J782))</f>
        <v/>
      </c>
      <c r="D782" s="5" t="str">
        <f>IF($J782="","",INDEX('Detalle individual'!$C:$C,$J782))</f>
        <v/>
      </c>
      <c r="E782" s="5" t="str">
        <f>IF($J782="","",INDEX('Detalle individual'!$D:$D,$J782))</f>
        <v/>
      </c>
      <c r="F782" s="23" t="str">
        <f>IF($J782="","",INDEX('Detalle individual'!$H:$H,$J782))</f>
        <v/>
      </c>
      <c r="G782" s="28" t="str">
        <f>IF($J782="","",INDEX('Detalle individual'!$J:$J,$J782))</f>
        <v/>
      </c>
      <c r="H782" s="28" t="str">
        <f>IF($J782="","",INDEX('Detalle individual'!$L:$L,$J782))</f>
        <v/>
      </c>
      <c r="J782" t="str">
        <f>IFERROR(MATCH(SMALL(Cálculos!$AI$5:$AI$1000,778),Cálculos!$AI$5:$AI$1000,0)+4,"")</f>
        <v/>
      </c>
    </row>
    <row r="783">
      <c r="A783" s="5" t="str">
        <f>IF($J783="","",INDEX('Detalle individual'!$B:$B,$J783))</f>
        <v/>
      </c>
      <c r="B783" s="5" t="str">
        <f>IF($J783="","",INDEX('Detalle individual'!$A:$A,$J783))</f>
        <v/>
      </c>
      <c r="C783" s="5" t="str">
        <f>IF($J783="","",INDEX('Detalle individual'!$E:$E,$J783))</f>
        <v/>
      </c>
      <c r="D783" s="5" t="str">
        <f>IF($J783="","",INDEX('Detalle individual'!$C:$C,$J783))</f>
        <v/>
      </c>
      <c r="E783" s="5" t="str">
        <f>IF($J783="","",INDEX('Detalle individual'!$D:$D,$J783))</f>
        <v/>
      </c>
      <c r="F783" s="23" t="str">
        <f>IF($J783="","",INDEX('Detalle individual'!$H:$H,$J783))</f>
        <v/>
      </c>
      <c r="G783" s="28" t="str">
        <f>IF($J783="","",INDEX('Detalle individual'!$J:$J,$J783))</f>
        <v/>
      </c>
      <c r="H783" s="28" t="str">
        <f>IF($J783="","",INDEX('Detalle individual'!$L:$L,$J783))</f>
        <v/>
      </c>
      <c r="J783" t="str">
        <f>IFERROR(MATCH(SMALL(Cálculos!$AI$5:$AI$1000,779),Cálculos!$AI$5:$AI$1000,0)+4,"")</f>
        <v/>
      </c>
    </row>
    <row r="784">
      <c r="A784" s="5" t="str">
        <f>IF($J784="","",INDEX('Detalle individual'!$B:$B,$J784))</f>
        <v/>
      </c>
      <c r="B784" s="5" t="str">
        <f>IF($J784="","",INDEX('Detalle individual'!$A:$A,$J784))</f>
        <v/>
      </c>
      <c r="C784" s="5" t="str">
        <f>IF($J784="","",INDEX('Detalle individual'!$E:$E,$J784))</f>
        <v/>
      </c>
      <c r="D784" s="5" t="str">
        <f>IF($J784="","",INDEX('Detalle individual'!$C:$C,$J784))</f>
        <v/>
      </c>
      <c r="E784" s="5" t="str">
        <f>IF($J784="","",INDEX('Detalle individual'!$D:$D,$J784))</f>
        <v/>
      </c>
      <c r="F784" s="23" t="str">
        <f>IF($J784="","",INDEX('Detalle individual'!$H:$H,$J784))</f>
        <v/>
      </c>
      <c r="G784" s="28" t="str">
        <f>IF($J784="","",INDEX('Detalle individual'!$J:$J,$J784))</f>
        <v/>
      </c>
      <c r="H784" s="28" t="str">
        <f>IF($J784="","",INDEX('Detalle individual'!$L:$L,$J784))</f>
        <v/>
      </c>
      <c r="J784" t="str">
        <f>IFERROR(MATCH(SMALL(Cálculos!$AI$5:$AI$1000,780),Cálculos!$AI$5:$AI$1000,0)+4,"")</f>
        <v/>
      </c>
    </row>
    <row r="785">
      <c r="A785" s="5" t="str">
        <f>IF($J785="","",INDEX('Detalle individual'!$B:$B,$J785))</f>
        <v/>
      </c>
      <c r="B785" s="5" t="str">
        <f>IF($J785="","",INDEX('Detalle individual'!$A:$A,$J785))</f>
        <v/>
      </c>
      <c r="C785" s="5" t="str">
        <f>IF($J785="","",INDEX('Detalle individual'!$E:$E,$J785))</f>
        <v/>
      </c>
      <c r="D785" s="5" t="str">
        <f>IF($J785="","",INDEX('Detalle individual'!$C:$C,$J785))</f>
        <v/>
      </c>
      <c r="E785" s="5" t="str">
        <f>IF($J785="","",INDEX('Detalle individual'!$D:$D,$J785))</f>
        <v/>
      </c>
      <c r="F785" s="23" t="str">
        <f>IF($J785="","",INDEX('Detalle individual'!$H:$H,$J785))</f>
        <v/>
      </c>
      <c r="G785" s="28" t="str">
        <f>IF($J785="","",INDEX('Detalle individual'!$J:$J,$J785))</f>
        <v/>
      </c>
      <c r="H785" s="28" t="str">
        <f>IF($J785="","",INDEX('Detalle individual'!$L:$L,$J785))</f>
        <v/>
      </c>
      <c r="J785" t="str">
        <f>IFERROR(MATCH(SMALL(Cálculos!$AI$5:$AI$1000,781),Cálculos!$AI$5:$AI$1000,0)+4,"")</f>
        <v/>
      </c>
    </row>
    <row r="786">
      <c r="A786" s="5" t="str">
        <f>IF($J786="","",INDEX('Detalle individual'!$B:$B,$J786))</f>
        <v/>
      </c>
      <c r="B786" s="5" t="str">
        <f>IF($J786="","",INDEX('Detalle individual'!$A:$A,$J786))</f>
        <v/>
      </c>
      <c r="C786" s="5" t="str">
        <f>IF($J786="","",INDEX('Detalle individual'!$E:$E,$J786))</f>
        <v/>
      </c>
      <c r="D786" s="5" t="str">
        <f>IF($J786="","",INDEX('Detalle individual'!$C:$C,$J786))</f>
        <v/>
      </c>
      <c r="E786" s="5" t="str">
        <f>IF($J786="","",INDEX('Detalle individual'!$D:$D,$J786))</f>
        <v/>
      </c>
      <c r="F786" s="23" t="str">
        <f>IF($J786="","",INDEX('Detalle individual'!$H:$H,$J786))</f>
        <v/>
      </c>
      <c r="G786" s="28" t="str">
        <f>IF($J786="","",INDEX('Detalle individual'!$J:$J,$J786))</f>
        <v/>
      </c>
      <c r="H786" s="28" t="str">
        <f>IF($J786="","",INDEX('Detalle individual'!$L:$L,$J786))</f>
        <v/>
      </c>
      <c r="J786" t="str">
        <f>IFERROR(MATCH(SMALL(Cálculos!$AI$5:$AI$1000,782),Cálculos!$AI$5:$AI$1000,0)+4,"")</f>
        <v/>
      </c>
    </row>
    <row r="787">
      <c r="A787" s="5" t="str">
        <f>IF($J787="","",INDEX('Detalle individual'!$B:$B,$J787))</f>
        <v/>
      </c>
      <c r="B787" s="5" t="str">
        <f>IF($J787="","",INDEX('Detalle individual'!$A:$A,$J787))</f>
        <v/>
      </c>
      <c r="C787" s="5" t="str">
        <f>IF($J787="","",INDEX('Detalle individual'!$E:$E,$J787))</f>
        <v/>
      </c>
      <c r="D787" s="5" t="str">
        <f>IF($J787="","",INDEX('Detalle individual'!$C:$C,$J787))</f>
        <v/>
      </c>
      <c r="E787" s="5" t="str">
        <f>IF($J787="","",INDEX('Detalle individual'!$D:$D,$J787))</f>
        <v/>
      </c>
      <c r="F787" s="23" t="str">
        <f>IF($J787="","",INDEX('Detalle individual'!$H:$H,$J787))</f>
        <v/>
      </c>
      <c r="G787" s="28" t="str">
        <f>IF($J787="","",INDEX('Detalle individual'!$J:$J,$J787))</f>
        <v/>
      </c>
      <c r="H787" s="28" t="str">
        <f>IF($J787="","",INDEX('Detalle individual'!$L:$L,$J787))</f>
        <v/>
      </c>
      <c r="J787" t="str">
        <f>IFERROR(MATCH(SMALL(Cálculos!$AI$5:$AI$1000,783),Cálculos!$AI$5:$AI$1000,0)+4,"")</f>
        <v/>
      </c>
    </row>
    <row r="788">
      <c r="A788" s="5" t="str">
        <f>IF($J788="","",INDEX('Detalle individual'!$B:$B,$J788))</f>
        <v/>
      </c>
      <c r="B788" s="5" t="str">
        <f>IF($J788="","",INDEX('Detalle individual'!$A:$A,$J788))</f>
        <v/>
      </c>
      <c r="C788" s="5" t="str">
        <f>IF($J788="","",INDEX('Detalle individual'!$E:$E,$J788))</f>
        <v/>
      </c>
      <c r="D788" s="5" t="str">
        <f>IF($J788="","",INDEX('Detalle individual'!$C:$C,$J788))</f>
        <v/>
      </c>
      <c r="E788" s="5" t="str">
        <f>IF($J788="","",INDEX('Detalle individual'!$D:$D,$J788))</f>
        <v/>
      </c>
      <c r="F788" s="23" t="str">
        <f>IF($J788="","",INDEX('Detalle individual'!$H:$H,$J788))</f>
        <v/>
      </c>
      <c r="G788" s="28" t="str">
        <f>IF($J788="","",INDEX('Detalle individual'!$J:$J,$J788))</f>
        <v/>
      </c>
      <c r="H788" s="28" t="str">
        <f>IF($J788="","",INDEX('Detalle individual'!$L:$L,$J788))</f>
        <v/>
      </c>
      <c r="J788" t="str">
        <f>IFERROR(MATCH(SMALL(Cálculos!$AI$5:$AI$1000,784),Cálculos!$AI$5:$AI$1000,0)+4,"")</f>
        <v/>
      </c>
    </row>
    <row r="789">
      <c r="A789" s="5" t="str">
        <f>IF($J789="","",INDEX('Detalle individual'!$B:$B,$J789))</f>
        <v/>
      </c>
      <c r="B789" s="5" t="str">
        <f>IF($J789="","",INDEX('Detalle individual'!$A:$A,$J789))</f>
        <v/>
      </c>
      <c r="C789" s="5" t="str">
        <f>IF($J789="","",INDEX('Detalle individual'!$E:$E,$J789))</f>
        <v/>
      </c>
      <c r="D789" s="5" t="str">
        <f>IF($J789="","",INDEX('Detalle individual'!$C:$C,$J789))</f>
        <v/>
      </c>
      <c r="E789" s="5" t="str">
        <f>IF($J789="","",INDEX('Detalle individual'!$D:$D,$J789))</f>
        <v/>
      </c>
      <c r="F789" s="23" t="str">
        <f>IF($J789="","",INDEX('Detalle individual'!$H:$H,$J789))</f>
        <v/>
      </c>
      <c r="G789" s="28" t="str">
        <f>IF($J789="","",INDEX('Detalle individual'!$J:$J,$J789))</f>
        <v/>
      </c>
      <c r="H789" s="28" t="str">
        <f>IF($J789="","",INDEX('Detalle individual'!$L:$L,$J789))</f>
        <v/>
      </c>
      <c r="J789" t="str">
        <f>IFERROR(MATCH(SMALL(Cálculos!$AI$5:$AI$1000,785),Cálculos!$AI$5:$AI$1000,0)+4,"")</f>
        <v/>
      </c>
    </row>
    <row r="790">
      <c r="A790" s="5" t="str">
        <f>IF($J790="","",INDEX('Detalle individual'!$B:$B,$J790))</f>
        <v/>
      </c>
      <c r="B790" s="5" t="str">
        <f>IF($J790="","",INDEX('Detalle individual'!$A:$A,$J790))</f>
        <v/>
      </c>
      <c r="C790" s="5" t="str">
        <f>IF($J790="","",INDEX('Detalle individual'!$E:$E,$J790))</f>
        <v/>
      </c>
      <c r="D790" s="5" t="str">
        <f>IF($J790="","",INDEX('Detalle individual'!$C:$C,$J790))</f>
        <v/>
      </c>
      <c r="E790" s="5" t="str">
        <f>IF($J790="","",INDEX('Detalle individual'!$D:$D,$J790))</f>
        <v/>
      </c>
      <c r="F790" s="23" t="str">
        <f>IF($J790="","",INDEX('Detalle individual'!$H:$H,$J790))</f>
        <v/>
      </c>
      <c r="G790" s="28" t="str">
        <f>IF($J790="","",INDEX('Detalle individual'!$J:$J,$J790))</f>
        <v/>
      </c>
      <c r="H790" s="28" t="str">
        <f>IF($J790="","",INDEX('Detalle individual'!$L:$L,$J790))</f>
        <v/>
      </c>
      <c r="J790" t="str">
        <f>IFERROR(MATCH(SMALL(Cálculos!$AI$5:$AI$1000,786),Cálculos!$AI$5:$AI$1000,0)+4,"")</f>
        <v/>
      </c>
    </row>
    <row r="791">
      <c r="A791" s="5" t="str">
        <f>IF($J791="","",INDEX('Detalle individual'!$B:$B,$J791))</f>
        <v/>
      </c>
      <c r="B791" s="5" t="str">
        <f>IF($J791="","",INDEX('Detalle individual'!$A:$A,$J791))</f>
        <v/>
      </c>
      <c r="C791" s="5" t="str">
        <f>IF($J791="","",INDEX('Detalle individual'!$E:$E,$J791))</f>
        <v/>
      </c>
      <c r="D791" s="5" t="str">
        <f>IF($J791="","",INDEX('Detalle individual'!$C:$C,$J791))</f>
        <v/>
      </c>
      <c r="E791" s="5" t="str">
        <f>IF($J791="","",INDEX('Detalle individual'!$D:$D,$J791))</f>
        <v/>
      </c>
      <c r="F791" s="23" t="str">
        <f>IF($J791="","",INDEX('Detalle individual'!$H:$H,$J791))</f>
        <v/>
      </c>
      <c r="G791" s="28" t="str">
        <f>IF($J791="","",INDEX('Detalle individual'!$J:$J,$J791))</f>
        <v/>
      </c>
      <c r="H791" s="28" t="str">
        <f>IF($J791="","",INDEX('Detalle individual'!$L:$L,$J791))</f>
        <v/>
      </c>
      <c r="J791" t="str">
        <f>IFERROR(MATCH(SMALL(Cálculos!$AI$5:$AI$1000,787),Cálculos!$AI$5:$AI$1000,0)+4,"")</f>
        <v/>
      </c>
    </row>
    <row r="792">
      <c r="A792" s="5" t="str">
        <f>IF($J792="","",INDEX('Detalle individual'!$B:$B,$J792))</f>
        <v/>
      </c>
      <c r="B792" s="5" t="str">
        <f>IF($J792="","",INDEX('Detalle individual'!$A:$A,$J792))</f>
        <v/>
      </c>
      <c r="C792" s="5" t="str">
        <f>IF($J792="","",INDEX('Detalle individual'!$E:$E,$J792))</f>
        <v/>
      </c>
      <c r="D792" s="5" t="str">
        <f>IF($J792="","",INDEX('Detalle individual'!$C:$C,$J792))</f>
        <v/>
      </c>
      <c r="E792" s="5" t="str">
        <f>IF($J792="","",INDEX('Detalle individual'!$D:$D,$J792))</f>
        <v/>
      </c>
      <c r="F792" s="23" t="str">
        <f>IF($J792="","",INDEX('Detalle individual'!$H:$H,$J792))</f>
        <v/>
      </c>
      <c r="G792" s="28" t="str">
        <f>IF($J792="","",INDEX('Detalle individual'!$J:$J,$J792))</f>
        <v/>
      </c>
      <c r="H792" s="28" t="str">
        <f>IF($J792="","",INDEX('Detalle individual'!$L:$L,$J792))</f>
        <v/>
      </c>
      <c r="J792" t="str">
        <f>IFERROR(MATCH(SMALL(Cálculos!$AI$5:$AI$1000,788),Cálculos!$AI$5:$AI$1000,0)+4,"")</f>
        <v/>
      </c>
    </row>
    <row r="793">
      <c r="A793" s="5" t="str">
        <f>IF($J793="","",INDEX('Detalle individual'!$B:$B,$J793))</f>
        <v/>
      </c>
      <c r="B793" s="5" t="str">
        <f>IF($J793="","",INDEX('Detalle individual'!$A:$A,$J793))</f>
        <v/>
      </c>
      <c r="C793" s="5" t="str">
        <f>IF($J793="","",INDEX('Detalle individual'!$E:$E,$J793))</f>
        <v/>
      </c>
      <c r="D793" s="5" t="str">
        <f>IF($J793="","",INDEX('Detalle individual'!$C:$C,$J793))</f>
        <v/>
      </c>
      <c r="E793" s="5" t="str">
        <f>IF($J793="","",INDEX('Detalle individual'!$D:$D,$J793))</f>
        <v/>
      </c>
      <c r="F793" s="23" t="str">
        <f>IF($J793="","",INDEX('Detalle individual'!$H:$H,$J793))</f>
        <v/>
      </c>
      <c r="G793" s="28" t="str">
        <f>IF($J793="","",INDEX('Detalle individual'!$J:$J,$J793))</f>
        <v/>
      </c>
      <c r="H793" s="28" t="str">
        <f>IF($J793="","",INDEX('Detalle individual'!$L:$L,$J793))</f>
        <v/>
      </c>
      <c r="J793" t="str">
        <f>IFERROR(MATCH(SMALL(Cálculos!$AI$5:$AI$1000,789),Cálculos!$AI$5:$AI$1000,0)+4,"")</f>
        <v/>
      </c>
    </row>
    <row r="794">
      <c r="A794" s="5" t="str">
        <f>IF($J794="","",INDEX('Detalle individual'!$B:$B,$J794))</f>
        <v/>
      </c>
      <c r="B794" s="5" t="str">
        <f>IF($J794="","",INDEX('Detalle individual'!$A:$A,$J794))</f>
        <v/>
      </c>
      <c r="C794" s="5" t="str">
        <f>IF($J794="","",INDEX('Detalle individual'!$E:$E,$J794))</f>
        <v/>
      </c>
      <c r="D794" s="5" t="str">
        <f>IF($J794="","",INDEX('Detalle individual'!$C:$C,$J794))</f>
        <v/>
      </c>
      <c r="E794" s="5" t="str">
        <f>IF($J794="","",INDEX('Detalle individual'!$D:$D,$J794))</f>
        <v/>
      </c>
      <c r="F794" s="23" t="str">
        <f>IF($J794="","",INDEX('Detalle individual'!$H:$H,$J794))</f>
        <v/>
      </c>
      <c r="G794" s="28" t="str">
        <f>IF($J794="","",INDEX('Detalle individual'!$J:$J,$J794))</f>
        <v/>
      </c>
      <c r="H794" s="28" t="str">
        <f>IF($J794="","",INDEX('Detalle individual'!$L:$L,$J794))</f>
        <v/>
      </c>
      <c r="J794" t="str">
        <f>IFERROR(MATCH(SMALL(Cálculos!$AI$5:$AI$1000,790),Cálculos!$AI$5:$AI$1000,0)+4,"")</f>
        <v/>
      </c>
    </row>
    <row r="795">
      <c r="A795" s="5" t="str">
        <f>IF($J795="","",INDEX('Detalle individual'!$B:$B,$J795))</f>
        <v/>
      </c>
      <c r="B795" s="5" t="str">
        <f>IF($J795="","",INDEX('Detalle individual'!$A:$A,$J795))</f>
        <v/>
      </c>
      <c r="C795" s="5" t="str">
        <f>IF($J795="","",INDEX('Detalle individual'!$E:$E,$J795))</f>
        <v/>
      </c>
      <c r="D795" s="5" t="str">
        <f>IF($J795="","",INDEX('Detalle individual'!$C:$C,$J795))</f>
        <v/>
      </c>
      <c r="E795" s="5" t="str">
        <f>IF($J795="","",INDEX('Detalle individual'!$D:$D,$J795))</f>
        <v/>
      </c>
      <c r="F795" s="23" t="str">
        <f>IF($J795="","",INDEX('Detalle individual'!$H:$H,$J795))</f>
        <v/>
      </c>
      <c r="G795" s="28" t="str">
        <f>IF($J795="","",INDEX('Detalle individual'!$J:$J,$J795))</f>
        <v/>
      </c>
      <c r="H795" s="28" t="str">
        <f>IF($J795="","",INDEX('Detalle individual'!$L:$L,$J795))</f>
        <v/>
      </c>
      <c r="J795" t="str">
        <f>IFERROR(MATCH(SMALL(Cálculos!$AI$5:$AI$1000,791),Cálculos!$AI$5:$AI$1000,0)+4,"")</f>
        <v/>
      </c>
    </row>
    <row r="796">
      <c r="A796" s="5" t="str">
        <f>IF($J796="","",INDEX('Detalle individual'!$B:$B,$J796))</f>
        <v/>
      </c>
      <c r="B796" s="5" t="str">
        <f>IF($J796="","",INDEX('Detalle individual'!$A:$A,$J796))</f>
        <v/>
      </c>
      <c r="C796" s="5" t="str">
        <f>IF($J796="","",INDEX('Detalle individual'!$E:$E,$J796))</f>
        <v/>
      </c>
      <c r="D796" s="5" t="str">
        <f>IF($J796="","",INDEX('Detalle individual'!$C:$C,$J796))</f>
        <v/>
      </c>
      <c r="E796" s="5" t="str">
        <f>IF($J796="","",INDEX('Detalle individual'!$D:$D,$J796))</f>
        <v/>
      </c>
      <c r="F796" s="23" t="str">
        <f>IF($J796="","",INDEX('Detalle individual'!$H:$H,$J796))</f>
        <v/>
      </c>
      <c r="G796" s="28" t="str">
        <f>IF($J796="","",INDEX('Detalle individual'!$J:$J,$J796))</f>
        <v/>
      </c>
      <c r="H796" s="28" t="str">
        <f>IF($J796="","",INDEX('Detalle individual'!$L:$L,$J796))</f>
        <v/>
      </c>
      <c r="J796" t="str">
        <f>IFERROR(MATCH(SMALL(Cálculos!$AI$5:$AI$1000,792),Cálculos!$AI$5:$AI$1000,0)+4,"")</f>
        <v/>
      </c>
    </row>
    <row r="797">
      <c r="A797" s="5" t="str">
        <f>IF($J797="","",INDEX('Detalle individual'!$B:$B,$J797))</f>
        <v/>
      </c>
      <c r="B797" s="5" t="str">
        <f>IF($J797="","",INDEX('Detalle individual'!$A:$A,$J797))</f>
        <v/>
      </c>
      <c r="C797" s="5" t="str">
        <f>IF($J797="","",INDEX('Detalle individual'!$E:$E,$J797))</f>
        <v/>
      </c>
      <c r="D797" s="5" t="str">
        <f>IF($J797="","",INDEX('Detalle individual'!$C:$C,$J797))</f>
        <v/>
      </c>
      <c r="E797" s="5" t="str">
        <f>IF($J797="","",INDEX('Detalle individual'!$D:$D,$J797))</f>
        <v/>
      </c>
      <c r="F797" s="23" t="str">
        <f>IF($J797="","",INDEX('Detalle individual'!$H:$H,$J797))</f>
        <v/>
      </c>
      <c r="G797" s="28" t="str">
        <f>IF($J797="","",INDEX('Detalle individual'!$J:$J,$J797))</f>
        <v/>
      </c>
      <c r="H797" s="28" t="str">
        <f>IF($J797="","",INDEX('Detalle individual'!$L:$L,$J797))</f>
        <v/>
      </c>
      <c r="J797" t="str">
        <f>IFERROR(MATCH(SMALL(Cálculos!$AI$5:$AI$1000,793),Cálculos!$AI$5:$AI$1000,0)+4,"")</f>
        <v/>
      </c>
    </row>
    <row r="798">
      <c r="A798" s="5" t="str">
        <f>IF($J798="","",INDEX('Detalle individual'!$B:$B,$J798))</f>
        <v/>
      </c>
      <c r="B798" s="5" t="str">
        <f>IF($J798="","",INDEX('Detalle individual'!$A:$A,$J798))</f>
        <v/>
      </c>
      <c r="C798" s="5" t="str">
        <f>IF($J798="","",INDEX('Detalle individual'!$E:$E,$J798))</f>
        <v/>
      </c>
      <c r="D798" s="5" t="str">
        <f>IF($J798="","",INDEX('Detalle individual'!$C:$C,$J798))</f>
        <v/>
      </c>
      <c r="E798" s="5" t="str">
        <f>IF($J798="","",INDEX('Detalle individual'!$D:$D,$J798))</f>
        <v/>
      </c>
      <c r="F798" s="23" t="str">
        <f>IF($J798="","",INDEX('Detalle individual'!$H:$H,$J798))</f>
        <v/>
      </c>
      <c r="G798" s="28" t="str">
        <f>IF($J798="","",INDEX('Detalle individual'!$J:$J,$J798))</f>
        <v/>
      </c>
      <c r="H798" s="28" t="str">
        <f>IF($J798="","",INDEX('Detalle individual'!$L:$L,$J798))</f>
        <v/>
      </c>
      <c r="J798" t="str">
        <f>IFERROR(MATCH(SMALL(Cálculos!$AI$5:$AI$1000,794),Cálculos!$AI$5:$AI$1000,0)+4,"")</f>
        <v/>
      </c>
    </row>
    <row r="799">
      <c r="A799" s="5" t="str">
        <f>IF($J799="","",INDEX('Detalle individual'!$B:$B,$J799))</f>
        <v/>
      </c>
      <c r="B799" s="5" t="str">
        <f>IF($J799="","",INDEX('Detalle individual'!$A:$A,$J799))</f>
        <v/>
      </c>
      <c r="C799" s="5" t="str">
        <f>IF($J799="","",INDEX('Detalle individual'!$E:$E,$J799))</f>
        <v/>
      </c>
      <c r="D799" s="5" t="str">
        <f>IF($J799="","",INDEX('Detalle individual'!$C:$C,$J799))</f>
        <v/>
      </c>
      <c r="E799" s="5" t="str">
        <f>IF($J799="","",INDEX('Detalle individual'!$D:$D,$J799))</f>
        <v/>
      </c>
      <c r="F799" s="23" t="str">
        <f>IF($J799="","",INDEX('Detalle individual'!$H:$H,$J799))</f>
        <v/>
      </c>
      <c r="G799" s="28" t="str">
        <f>IF($J799="","",INDEX('Detalle individual'!$J:$J,$J799))</f>
        <v/>
      </c>
      <c r="H799" s="28" t="str">
        <f>IF($J799="","",INDEX('Detalle individual'!$L:$L,$J799))</f>
        <v/>
      </c>
      <c r="J799" t="str">
        <f>IFERROR(MATCH(SMALL(Cálculos!$AI$5:$AI$1000,795),Cálculos!$AI$5:$AI$1000,0)+4,"")</f>
        <v/>
      </c>
    </row>
    <row r="800">
      <c r="A800" s="5" t="str">
        <f>IF($J800="","",INDEX('Detalle individual'!$B:$B,$J800))</f>
        <v/>
      </c>
      <c r="B800" s="5" t="str">
        <f>IF($J800="","",INDEX('Detalle individual'!$A:$A,$J800))</f>
        <v/>
      </c>
      <c r="C800" s="5" t="str">
        <f>IF($J800="","",INDEX('Detalle individual'!$E:$E,$J800))</f>
        <v/>
      </c>
      <c r="D800" s="5" t="str">
        <f>IF($J800="","",INDEX('Detalle individual'!$C:$C,$J800))</f>
        <v/>
      </c>
      <c r="E800" s="5" t="str">
        <f>IF($J800="","",INDEX('Detalle individual'!$D:$D,$J800))</f>
        <v/>
      </c>
      <c r="F800" s="23" t="str">
        <f>IF($J800="","",INDEX('Detalle individual'!$H:$H,$J800))</f>
        <v/>
      </c>
      <c r="G800" s="28" t="str">
        <f>IF($J800="","",INDEX('Detalle individual'!$J:$J,$J800))</f>
        <v/>
      </c>
      <c r="H800" s="28" t="str">
        <f>IF($J800="","",INDEX('Detalle individual'!$L:$L,$J800))</f>
        <v/>
      </c>
      <c r="J800" t="str">
        <f>IFERROR(MATCH(SMALL(Cálculos!$AI$5:$AI$1000,796),Cálculos!$AI$5:$AI$1000,0)+4,"")</f>
        <v/>
      </c>
    </row>
    <row r="801">
      <c r="A801" s="5" t="str">
        <f>IF($J801="","",INDEX('Detalle individual'!$B:$B,$J801))</f>
        <v/>
      </c>
      <c r="B801" s="5" t="str">
        <f>IF($J801="","",INDEX('Detalle individual'!$A:$A,$J801))</f>
        <v/>
      </c>
      <c r="C801" s="5" t="str">
        <f>IF($J801="","",INDEX('Detalle individual'!$E:$E,$J801))</f>
        <v/>
      </c>
      <c r="D801" s="5" t="str">
        <f>IF($J801="","",INDEX('Detalle individual'!$C:$C,$J801))</f>
        <v/>
      </c>
      <c r="E801" s="5" t="str">
        <f>IF($J801="","",INDEX('Detalle individual'!$D:$D,$J801))</f>
        <v/>
      </c>
      <c r="F801" s="23" t="str">
        <f>IF($J801="","",INDEX('Detalle individual'!$H:$H,$J801))</f>
        <v/>
      </c>
      <c r="G801" s="28" t="str">
        <f>IF($J801="","",INDEX('Detalle individual'!$J:$J,$J801))</f>
        <v/>
      </c>
      <c r="H801" s="28" t="str">
        <f>IF($J801="","",INDEX('Detalle individual'!$L:$L,$J801))</f>
        <v/>
      </c>
      <c r="J801" t="str">
        <f>IFERROR(MATCH(SMALL(Cálculos!$AI$5:$AI$1000,797),Cálculos!$AI$5:$AI$1000,0)+4,"")</f>
        <v/>
      </c>
    </row>
    <row r="802">
      <c r="A802" s="5" t="str">
        <f>IF($J802="","",INDEX('Detalle individual'!$B:$B,$J802))</f>
        <v/>
      </c>
      <c r="B802" s="5" t="str">
        <f>IF($J802="","",INDEX('Detalle individual'!$A:$A,$J802))</f>
        <v/>
      </c>
      <c r="C802" s="5" t="str">
        <f>IF($J802="","",INDEX('Detalle individual'!$E:$E,$J802))</f>
        <v/>
      </c>
      <c r="D802" s="5" t="str">
        <f>IF($J802="","",INDEX('Detalle individual'!$C:$C,$J802))</f>
        <v/>
      </c>
      <c r="E802" s="5" t="str">
        <f>IF($J802="","",INDEX('Detalle individual'!$D:$D,$J802))</f>
        <v/>
      </c>
      <c r="F802" s="23" t="str">
        <f>IF($J802="","",INDEX('Detalle individual'!$H:$H,$J802))</f>
        <v/>
      </c>
      <c r="G802" s="28" t="str">
        <f>IF($J802="","",INDEX('Detalle individual'!$J:$J,$J802))</f>
        <v/>
      </c>
      <c r="H802" s="28" t="str">
        <f>IF($J802="","",INDEX('Detalle individual'!$L:$L,$J802))</f>
        <v/>
      </c>
      <c r="J802" t="str">
        <f>IFERROR(MATCH(SMALL(Cálculos!$AI$5:$AI$1000,798),Cálculos!$AI$5:$AI$1000,0)+4,"")</f>
        <v/>
      </c>
    </row>
    <row r="803">
      <c r="A803" s="5" t="str">
        <f>IF($J803="","",INDEX('Detalle individual'!$B:$B,$J803))</f>
        <v/>
      </c>
      <c r="B803" s="5" t="str">
        <f>IF($J803="","",INDEX('Detalle individual'!$A:$A,$J803))</f>
        <v/>
      </c>
      <c r="C803" s="5" t="str">
        <f>IF($J803="","",INDEX('Detalle individual'!$E:$E,$J803))</f>
        <v/>
      </c>
      <c r="D803" s="5" t="str">
        <f>IF($J803="","",INDEX('Detalle individual'!$C:$C,$J803))</f>
        <v/>
      </c>
      <c r="E803" s="5" t="str">
        <f>IF($J803="","",INDEX('Detalle individual'!$D:$D,$J803))</f>
        <v/>
      </c>
      <c r="F803" s="23" t="str">
        <f>IF($J803="","",INDEX('Detalle individual'!$H:$H,$J803))</f>
        <v/>
      </c>
      <c r="G803" s="28" t="str">
        <f>IF($J803="","",INDEX('Detalle individual'!$J:$J,$J803))</f>
        <v/>
      </c>
      <c r="H803" s="28" t="str">
        <f>IF($J803="","",INDEX('Detalle individual'!$L:$L,$J803))</f>
        <v/>
      </c>
      <c r="J803" t="str">
        <f>IFERROR(MATCH(SMALL(Cálculos!$AI$5:$AI$1000,799),Cálculos!$AI$5:$AI$1000,0)+4,"")</f>
        <v/>
      </c>
    </row>
    <row r="804">
      <c r="A804" s="5" t="str">
        <f>IF($J804="","",INDEX('Detalle individual'!$B:$B,$J804))</f>
        <v/>
      </c>
      <c r="B804" s="5" t="str">
        <f>IF($J804="","",INDEX('Detalle individual'!$A:$A,$J804))</f>
        <v/>
      </c>
      <c r="C804" s="5" t="str">
        <f>IF($J804="","",INDEX('Detalle individual'!$E:$E,$J804))</f>
        <v/>
      </c>
      <c r="D804" s="5" t="str">
        <f>IF($J804="","",INDEX('Detalle individual'!$C:$C,$J804))</f>
        <v/>
      </c>
      <c r="E804" s="5" t="str">
        <f>IF($J804="","",INDEX('Detalle individual'!$D:$D,$J804))</f>
        <v/>
      </c>
      <c r="F804" s="23" t="str">
        <f>IF($J804="","",INDEX('Detalle individual'!$H:$H,$J804))</f>
        <v/>
      </c>
      <c r="G804" s="28" t="str">
        <f>IF($J804="","",INDEX('Detalle individual'!$J:$J,$J804))</f>
        <v/>
      </c>
      <c r="H804" s="28" t="str">
        <f>IF($J804="","",INDEX('Detalle individual'!$L:$L,$J804))</f>
        <v/>
      </c>
      <c r="J804" t="str">
        <f>IFERROR(MATCH(SMALL(Cálculos!$AI$5:$AI$1000,800),Cálculos!$AI$5:$AI$1000,0)+4,"")</f>
        <v/>
      </c>
    </row>
    <row r="805">
      <c r="A805" s="5" t="str">
        <f>IF($J805="","",INDEX('Detalle individual'!$B:$B,$J805))</f>
        <v/>
      </c>
      <c r="B805" s="5" t="str">
        <f>IF($J805="","",INDEX('Detalle individual'!$A:$A,$J805))</f>
        <v/>
      </c>
      <c r="C805" s="5" t="str">
        <f>IF($J805="","",INDEX('Detalle individual'!$E:$E,$J805))</f>
        <v/>
      </c>
      <c r="D805" s="5" t="str">
        <f>IF($J805="","",INDEX('Detalle individual'!$C:$C,$J805))</f>
        <v/>
      </c>
      <c r="E805" s="5" t="str">
        <f>IF($J805="","",INDEX('Detalle individual'!$D:$D,$J805))</f>
        <v/>
      </c>
      <c r="F805" s="23" t="str">
        <f>IF($J805="","",INDEX('Detalle individual'!$H:$H,$J805))</f>
        <v/>
      </c>
      <c r="G805" s="28" t="str">
        <f>IF($J805="","",INDEX('Detalle individual'!$J:$J,$J805))</f>
        <v/>
      </c>
      <c r="H805" s="28" t="str">
        <f>IF($J805="","",INDEX('Detalle individual'!$L:$L,$J805))</f>
        <v/>
      </c>
      <c r="J805" t="str">
        <f>IFERROR(MATCH(SMALL(Cálculos!$AI$5:$AI$1000,801),Cálculos!$AI$5:$AI$1000,0)+4,"")</f>
        <v/>
      </c>
    </row>
    <row r="806">
      <c r="A806" s="5" t="str">
        <f>IF($J806="","",INDEX('Detalle individual'!$B:$B,$J806))</f>
        <v/>
      </c>
      <c r="B806" s="5" t="str">
        <f>IF($J806="","",INDEX('Detalle individual'!$A:$A,$J806))</f>
        <v/>
      </c>
      <c r="C806" s="5" t="str">
        <f>IF($J806="","",INDEX('Detalle individual'!$E:$E,$J806))</f>
        <v/>
      </c>
      <c r="D806" s="5" t="str">
        <f>IF($J806="","",INDEX('Detalle individual'!$C:$C,$J806))</f>
        <v/>
      </c>
      <c r="E806" s="5" t="str">
        <f>IF($J806="","",INDEX('Detalle individual'!$D:$D,$J806))</f>
        <v/>
      </c>
      <c r="F806" s="23" t="str">
        <f>IF($J806="","",INDEX('Detalle individual'!$H:$H,$J806))</f>
        <v/>
      </c>
      <c r="G806" s="28" t="str">
        <f>IF($J806="","",INDEX('Detalle individual'!$J:$J,$J806))</f>
        <v/>
      </c>
      <c r="H806" s="28" t="str">
        <f>IF($J806="","",INDEX('Detalle individual'!$L:$L,$J806))</f>
        <v/>
      </c>
      <c r="J806" t="str">
        <f>IFERROR(MATCH(SMALL(Cálculos!$AI$5:$AI$1000,802),Cálculos!$AI$5:$AI$1000,0)+4,"")</f>
        <v/>
      </c>
    </row>
    <row r="807">
      <c r="A807" s="5" t="str">
        <f>IF($J807="","",INDEX('Detalle individual'!$B:$B,$J807))</f>
        <v/>
      </c>
      <c r="B807" s="5" t="str">
        <f>IF($J807="","",INDEX('Detalle individual'!$A:$A,$J807))</f>
        <v/>
      </c>
      <c r="C807" s="5" t="str">
        <f>IF($J807="","",INDEX('Detalle individual'!$E:$E,$J807))</f>
        <v/>
      </c>
      <c r="D807" s="5" t="str">
        <f>IF($J807="","",INDEX('Detalle individual'!$C:$C,$J807))</f>
        <v/>
      </c>
      <c r="E807" s="5" t="str">
        <f>IF($J807="","",INDEX('Detalle individual'!$D:$D,$J807))</f>
        <v/>
      </c>
      <c r="F807" s="23" t="str">
        <f>IF($J807="","",INDEX('Detalle individual'!$H:$H,$J807))</f>
        <v/>
      </c>
      <c r="G807" s="28" t="str">
        <f>IF($J807="","",INDEX('Detalle individual'!$J:$J,$J807))</f>
        <v/>
      </c>
      <c r="H807" s="28" t="str">
        <f>IF($J807="","",INDEX('Detalle individual'!$L:$L,$J807))</f>
        <v/>
      </c>
      <c r="J807" t="str">
        <f>IFERROR(MATCH(SMALL(Cálculos!$AI$5:$AI$1000,803),Cálculos!$AI$5:$AI$1000,0)+4,"")</f>
        <v/>
      </c>
    </row>
    <row r="808">
      <c r="A808" s="5" t="str">
        <f>IF($J808="","",INDEX('Detalle individual'!$B:$B,$J808))</f>
        <v/>
      </c>
      <c r="B808" s="5" t="str">
        <f>IF($J808="","",INDEX('Detalle individual'!$A:$A,$J808))</f>
        <v/>
      </c>
      <c r="C808" s="5" t="str">
        <f>IF($J808="","",INDEX('Detalle individual'!$E:$E,$J808))</f>
        <v/>
      </c>
      <c r="D808" s="5" t="str">
        <f>IF($J808="","",INDEX('Detalle individual'!$C:$C,$J808))</f>
        <v/>
      </c>
      <c r="E808" s="5" t="str">
        <f>IF($J808="","",INDEX('Detalle individual'!$D:$D,$J808))</f>
        <v/>
      </c>
      <c r="F808" s="23" t="str">
        <f>IF($J808="","",INDEX('Detalle individual'!$H:$H,$J808))</f>
        <v/>
      </c>
      <c r="G808" s="28" t="str">
        <f>IF($J808="","",INDEX('Detalle individual'!$J:$J,$J808))</f>
        <v/>
      </c>
      <c r="H808" s="28" t="str">
        <f>IF($J808="","",INDEX('Detalle individual'!$L:$L,$J808))</f>
        <v/>
      </c>
      <c r="J808" t="str">
        <f>IFERROR(MATCH(SMALL(Cálculos!$AI$5:$AI$1000,804),Cálculos!$AI$5:$AI$1000,0)+4,"")</f>
        <v/>
      </c>
    </row>
    <row r="809">
      <c r="A809" s="5" t="str">
        <f>IF($J809="","",INDEX('Detalle individual'!$B:$B,$J809))</f>
        <v/>
      </c>
      <c r="B809" s="5" t="str">
        <f>IF($J809="","",INDEX('Detalle individual'!$A:$A,$J809))</f>
        <v/>
      </c>
      <c r="C809" s="5" t="str">
        <f>IF($J809="","",INDEX('Detalle individual'!$E:$E,$J809))</f>
        <v/>
      </c>
      <c r="D809" s="5" t="str">
        <f>IF($J809="","",INDEX('Detalle individual'!$C:$C,$J809))</f>
        <v/>
      </c>
      <c r="E809" s="5" t="str">
        <f>IF($J809="","",INDEX('Detalle individual'!$D:$D,$J809))</f>
        <v/>
      </c>
      <c r="F809" s="23" t="str">
        <f>IF($J809="","",INDEX('Detalle individual'!$H:$H,$J809))</f>
        <v/>
      </c>
      <c r="G809" s="28" t="str">
        <f>IF($J809="","",INDEX('Detalle individual'!$J:$J,$J809))</f>
        <v/>
      </c>
      <c r="H809" s="28" t="str">
        <f>IF($J809="","",INDEX('Detalle individual'!$L:$L,$J809))</f>
        <v/>
      </c>
      <c r="J809" t="str">
        <f>IFERROR(MATCH(SMALL(Cálculos!$AI$5:$AI$1000,805),Cálculos!$AI$5:$AI$1000,0)+4,"")</f>
        <v/>
      </c>
    </row>
    <row r="810">
      <c r="A810" s="5" t="str">
        <f>IF($J810="","",INDEX('Detalle individual'!$B:$B,$J810))</f>
        <v/>
      </c>
      <c r="B810" s="5" t="str">
        <f>IF($J810="","",INDEX('Detalle individual'!$A:$A,$J810))</f>
        <v/>
      </c>
      <c r="C810" s="5" t="str">
        <f>IF($J810="","",INDEX('Detalle individual'!$E:$E,$J810))</f>
        <v/>
      </c>
      <c r="D810" s="5" t="str">
        <f>IF($J810="","",INDEX('Detalle individual'!$C:$C,$J810))</f>
        <v/>
      </c>
      <c r="E810" s="5" t="str">
        <f>IF($J810="","",INDEX('Detalle individual'!$D:$D,$J810))</f>
        <v/>
      </c>
      <c r="F810" s="23" t="str">
        <f>IF($J810="","",INDEX('Detalle individual'!$H:$H,$J810))</f>
        <v/>
      </c>
      <c r="G810" s="28" t="str">
        <f>IF($J810="","",INDEX('Detalle individual'!$J:$J,$J810))</f>
        <v/>
      </c>
      <c r="H810" s="28" t="str">
        <f>IF($J810="","",INDEX('Detalle individual'!$L:$L,$J810))</f>
        <v/>
      </c>
      <c r="J810" t="str">
        <f>IFERROR(MATCH(SMALL(Cálculos!$AI$5:$AI$1000,806),Cálculos!$AI$5:$AI$1000,0)+4,"")</f>
        <v/>
      </c>
    </row>
    <row r="811">
      <c r="A811" s="5" t="str">
        <f>IF($J811="","",INDEX('Detalle individual'!$B:$B,$J811))</f>
        <v/>
      </c>
      <c r="B811" s="5" t="str">
        <f>IF($J811="","",INDEX('Detalle individual'!$A:$A,$J811))</f>
        <v/>
      </c>
      <c r="C811" s="5" t="str">
        <f>IF($J811="","",INDEX('Detalle individual'!$E:$E,$J811))</f>
        <v/>
      </c>
      <c r="D811" s="5" t="str">
        <f>IF($J811="","",INDEX('Detalle individual'!$C:$C,$J811))</f>
        <v/>
      </c>
      <c r="E811" s="5" t="str">
        <f>IF($J811="","",INDEX('Detalle individual'!$D:$D,$J811))</f>
        <v/>
      </c>
      <c r="F811" s="23" t="str">
        <f>IF($J811="","",INDEX('Detalle individual'!$H:$H,$J811))</f>
        <v/>
      </c>
      <c r="G811" s="28" t="str">
        <f>IF($J811="","",INDEX('Detalle individual'!$J:$J,$J811))</f>
        <v/>
      </c>
      <c r="H811" s="28" t="str">
        <f>IF($J811="","",INDEX('Detalle individual'!$L:$L,$J811))</f>
        <v/>
      </c>
      <c r="J811" t="str">
        <f>IFERROR(MATCH(SMALL(Cálculos!$AI$5:$AI$1000,807),Cálculos!$AI$5:$AI$1000,0)+4,"")</f>
        <v/>
      </c>
    </row>
    <row r="812">
      <c r="A812" s="5" t="str">
        <f>IF($J812="","",INDEX('Detalle individual'!$B:$B,$J812))</f>
        <v/>
      </c>
      <c r="B812" s="5" t="str">
        <f>IF($J812="","",INDEX('Detalle individual'!$A:$A,$J812))</f>
        <v/>
      </c>
      <c r="C812" s="5" t="str">
        <f>IF($J812="","",INDEX('Detalle individual'!$E:$E,$J812))</f>
        <v/>
      </c>
      <c r="D812" s="5" t="str">
        <f>IF($J812="","",INDEX('Detalle individual'!$C:$C,$J812))</f>
        <v/>
      </c>
      <c r="E812" s="5" t="str">
        <f>IF($J812="","",INDEX('Detalle individual'!$D:$D,$J812))</f>
        <v/>
      </c>
      <c r="F812" s="23" t="str">
        <f>IF($J812="","",INDEX('Detalle individual'!$H:$H,$J812))</f>
        <v/>
      </c>
      <c r="G812" s="28" t="str">
        <f>IF($J812="","",INDEX('Detalle individual'!$J:$J,$J812))</f>
        <v/>
      </c>
      <c r="H812" s="28" t="str">
        <f>IF($J812="","",INDEX('Detalle individual'!$L:$L,$J812))</f>
        <v/>
      </c>
      <c r="J812" t="str">
        <f>IFERROR(MATCH(SMALL(Cálculos!$AI$5:$AI$1000,808),Cálculos!$AI$5:$AI$1000,0)+4,"")</f>
        <v/>
      </c>
    </row>
    <row r="813">
      <c r="A813" s="5" t="str">
        <f>IF($J813="","",INDEX('Detalle individual'!$B:$B,$J813))</f>
        <v/>
      </c>
      <c r="B813" s="5" t="str">
        <f>IF($J813="","",INDEX('Detalle individual'!$A:$A,$J813))</f>
        <v/>
      </c>
      <c r="C813" s="5" t="str">
        <f>IF($J813="","",INDEX('Detalle individual'!$E:$E,$J813))</f>
        <v/>
      </c>
      <c r="D813" s="5" t="str">
        <f>IF($J813="","",INDEX('Detalle individual'!$C:$C,$J813))</f>
        <v/>
      </c>
      <c r="E813" s="5" t="str">
        <f>IF($J813="","",INDEX('Detalle individual'!$D:$D,$J813))</f>
        <v/>
      </c>
      <c r="F813" s="23" t="str">
        <f>IF($J813="","",INDEX('Detalle individual'!$H:$H,$J813))</f>
        <v/>
      </c>
      <c r="G813" s="28" t="str">
        <f>IF($J813="","",INDEX('Detalle individual'!$J:$J,$J813))</f>
        <v/>
      </c>
      <c r="H813" s="28" t="str">
        <f>IF($J813="","",INDEX('Detalle individual'!$L:$L,$J813))</f>
        <v/>
      </c>
      <c r="J813" t="str">
        <f>IFERROR(MATCH(SMALL(Cálculos!$AI$5:$AI$1000,809),Cálculos!$AI$5:$AI$1000,0)+4,"")</f>
        <v/>
      </c>
    </row>
    <row r="814">
      <c r="A814" s="5" t="str">
        <f>IF($J814="","",INDEX('Detalle individual'!$B:$B,$J814))</f>
        <v/>
      </c>
      <c r="B814" s="5" t="str">
        <f>IF($J814="","",INDEX('Detalle individual'!$A:$A,$J814))</f>
        <v/>
      </c>
      <c r="C814" s="5" t="str">
        <f>IF($J814="","",INDEX('Detalle individual'!$E:$E,$J814))</f>
        <v/>
      </c>
      <c r="D814" s="5" t="str">
        <f>IF($J814="","",INDEX('Detalle individual'!$C:$C,$J814))</f>
        <v/>
      </c>
      <c r="E814" s="5" t="str">
        <f>IF($J814="","",INDEX('Detalle individual'!$D:$D,$J814))</f>
        <v/>
      </c>
      <c r="F814" s="23" t="str">
        <f>IF($J814="","",INDEX('Detalle individual'!$H:$H,$J814))</f>
        <v/>
      </c>
      <c r="G814" s="28" t="str">
        <f>IF($J814="","",INDEX('Detalle individual'!$J:$J,$J814))</f>
        <v/>
      </c>
      <c r="H814" s="28" t="str">
        <f>IF($J814="","",INDEX('Detalle individual'!$L:$L,$J814))</f>
        <v/>
      </c>
      <c r="J814" t="str">
        <f>IFERROR(MATCH(SMALL(Cálculos!$AI$5:$AI$1000,810),Cálculos!$AI$5:$AI$1000,0)+4,"")</f>
        <v/>
      </c>
    </row>
    <row r="815">
      <c r="A815" s="5" t="str">
        <f>IF($J815="","",INDEX('Detalle individual'!$B:$B,$J815))</f>
        <v/>
      </c>
      <c r="B815" s="5" t="str">
        <f>IF($J815="","",INDEX('Detalle individual'!$A:$A,$J815))</f>
        <v/>
      </c>
      <c r="C815" s="5" t="str">
        <f>IF($J815="","",INDEX('Detalle individual'!$E:$E,$J815))</f>
        <v/>
      </c>
      <c r="D815" s="5" t="str">
        <f>IF($J815="","",INDEX('Detalle individual'!$C:$C,$J815))</f>
        <v/>
      </c>
      <c r="E815" s="5" t="str">
        <f>IF($J815="","",INDEX('Detalle individual'!$D:$D,$J815))</f>
        <v/>
      </c>
      <c r="F815" s="23" t="str">
        <f>IF($J815="","",INDEX('Detalle individual'!$H:$H,$J815))</f>
        <v/>
      </c>
      <c r="G815" s="28" t="str">
        <f>IF($J815="","",INDEX('Detalle individual'!$J:$J,$J815))</f>
        <v/>
      </c>
      <c r="H815" s="28" t="str">
        <f>IF($J815="","",INDEX('Detalle individual'!$L:$L,$J815))</f>
        <v/>
      </c>
      <c r="J815" t="str">
        <f>IFERROR(MATCH(SMALL(Cálculos!$AI$5:$AI$1000,811),Cálculos!$AI$5:$AI$1000,0)+4,"")</f>
        <v/>
      </c>
    </row>
    <row r="816">
      <c r="A816" s="5" t="str">
        <f>IF($J816="","",INDEX('Detalle individual'!$B:$B,$J816))</f>
        <v/>
      </c>
      <c r="B816" s="5" t="str">
        <f>IF($J816="","",INDEX('Detalle individual'!$A:$A,$J816))</f>
        <v/>
      </c>
      <c r="C816" s="5" t="str">
        <f>IF($J816="","",INDEX('Detalle individual'!$E:$E,$J816))</f>
        <v/>
      </c>
      <c r="D816" s="5" t="str">
        <f>IF($J816="","",INDEX('Detalle individual'!$C:$C,$J816))</f>
        <v/>
      </c>
      <c r="E816" s="5" t="str">
        <f>IF($J816="","",INDEX('Detalle individual'!$D:$D,$J816))</f>
        <v/>
      </c>
      <c r="F816" s="23" t="str">
        <f>IF($J816="","",INDEX('Detalle individual'!$H:$H,$J816))</f>
        <v/>
      </c>
      <c r="G816" s="28" t="str">
        <f>IF($J816="","",INDEX('Detalle individual'!$J:$J,$J816))</f>
        <v/>
      </c>
      <c r="H816" s="28" t="str">
        <f>IF($J816="","",INDEX('Detalle individual'!$L:$L,$J816))</f>
        <v/>
      </c>
      <c r="J816" t="str">
        <f>IFERROR(MATCH(SMALL(Cálculos!$AI$5:$AI$1000,812),Cálculos!$AI$5:$AI$1000,0)+4,"")</f>
        <v/>
      </c>
    </row>
    <row r="817">
      <c r="A817" s="5" t="str">
        <f>IF($J817="","",INDEX('Detalle individual'!$B:$B,$J817))</f>
        <v/>
      </c>
      <c r="B817" s="5" t="str">
        <f>IF($J817="","",INDEX('Detalle individual'!$A:$A,$J817))</f>
        <v/>
      </c>
      <c r="C817" s="5" t="str">
        <f>IF($J817="","",INDEX('Detalle individual'!$E:$E,$J817))</f>
        <v/>
      </c>
      <c r="D817" s="5" t="str">
        <f>IF($J817="","",INDEX('Detalle individual'!$C:$C,$J817))</f>
        <v/>
      </c>
      <c r="E817" s="5" t="str">
        <f>IF($J817="","",INDEX('Detalle individual'!$D:$D,$J817))</f>
        <v/>
      </c>
      <c r="F817" s="23" t="str">
        <f>IF($J817="","",INDEX('Detalle individual'!$H:$H,$J817))</f>
        <v/>
      </c>
      <c r="G817" s="28" t="str">
        <f>IF($J817="","",INDEX('Detalle individual'!$J:$J,$J817))</f>
        <v/>
      </c>
      <c r="H817" s="28" t="str">
        <f>IF($J817="","",INDEX('Detalle individual'!$L:$L,$J817))</f>
        <v/>
      </c>
      <c r="J817" t="str">
        <f>IFERROR(MATCH(SMALL(Cálculos!$AI$5:$AI$1000,813),Cálculos!$AI$5:$AI$1000,0)+4,"")</f>
        <v/>
      </c>
    </row>
    <row r="818">
      <c r="A818" s="5" t="str">
        <f>IF($J818="","",INDEX('Detalle individual'!$B:$B,$J818))</f>
        <v/>
      </c>
      <c r="B818" s="5" t="str">
        <f>IF($J818="","",INDEX('Detalle individual'!$A:$A,$J818))</f>
        <v/>
      </c>
      <c r="C818" s="5" t="str">
        <f>IF($J818="","",INDEX('Detalle individual'!$E:$E,$J818))</f>
        <v/>
      </c>
      <c r="D818" s="5" t="str">
        <f>IF($J818="","",INDEX('Detalle individual'!$C:$C,$J818))</f>
        <v/>
      </c>
      <c r="E818" s="5" t="str">
        <f>IF($J818="","",INDEX('Detalle individual'!$D:$D,$J818))</f>
        <v/>
      </c>
      <c r="F818" s="23" t="str">
        <f>IF($J818="","",INDEX('Detalle individual'!$H:$H,$J818))</f>
        <v/>
      </c>
      <c r="G818" s="28" t="str">
        <f>IF($J818="","",INDEX('Detalle individual'!$J:$J,$J818))</f>
        <v/>
      </c>
      <c r="H818" s="28" t="str">
        <f>IF($J818="","",INDEX('Detalle individual'!$L:$L,$J818))</f>
        <v/>
      </c>
      <c r="J818" t="str">
        <f>IFERROR(MATCH(SMALL(Cálculos!$AI$5:$AI$1000,814),Cálculos!$AI$5:$AI$1000,0)+4,"")</f>
        <v/>
      </c>
    </row>
    <row r="819">
      <c r="A819" s="5" t="str">
        <f>IF($J819="","",INDEX('Detalle individual'!$B:$B,$J819))</f>
        <v/>
      </c>
      <c r="B819" s="5" t="str">
        <f>IF($J819="","",INDEX('Detalle individual'!$A:$A,$J819))</f>
        <v/>
      </c>
      <c r="C819" s="5" t="str">
        <f>IF($J819="","",INDEX('Detalle individual'!$E:$E,$J819))</f>
        <v/>
      </c>
      <c r="D819" s="5" t="str">
        <f>IF($J819="","",INDEX('Detalle individual'!$C:$C,$J819))</f>
        <v/>
      </c>
      <c r="E819" s="5" t="str">
        <f>IF($J819="","",INDEX('Detalle individual'!$D:$D,$J819))</f>
        <v/>
      </c>
      <c r="F819" s="23" t="str">
        <f>IF($J819="","",INDEX('Detalle individual'!$H:$H,$J819))</f>
        <v/>
      </c>
      <c r="G819" s="28" t="str">
        <f>IF($J819="","",INDEX('Detalle individual'!$J:$J,$J819))</f>
        <v/>
      </c>
      <c r="H819" s="28" t="str">
        <f>IF($J819="","",INDEX('Detalle individual'!$L:$L,$J819))</f>
        <v/>
      </c>
      <c r="J819" t="str">
        <f>IFERROR(MATCH(SMALL(Cálculos!$AI$5:$AI$1000,815),Cálculos!$AI$5:$AI$1000,0)+4,"")</f>
        <v/>
      </c>
    </row>
    <row r="820">
      <c r="A820" s="5" t="str">
        <f>IF($J820="","",INDEX('Detalle individual'!$B:$B,$J820))</f>
        <v/>
      </c>
      <c r="B820" s="5" t="str">
        <f>IF($J820="","",INDEX('Detalle individual'!$A:$A,$J820))</f>
        <v/>
      </c>
      <c r="C820" s="5" t="str">
        <f>IF($J820="","",INDEX('Detalle individual'!$E:$E,$J820))</f>
        <v/>
      </c>
      <c r="D820" s="5" t="str">
        <f>IF($J820="","",INDEX('Detalle individual'!$C:$C,$J820))</f>
        <v/>
      </c>
      <c r="E820" s="5" t="str">
        <f>IF($J820="","",INDEX('Detalle individual'!$D:$D,$J820))</f>
        <v/>
      </c>
      <c r="F820" s="23" t="str">
        <f>IF($J820="","",INDEX('Detalle individual'!$H:$H,$J820))</f>
        <v/>
      </c>
      <c r="G820" s="28" t="str">
        <f>IF($J820="","",INDEX('Detalle individual'!$J:$J,$J820))</f>
        <v/>
      </c>
      <c r="H820" s="28" t="str">
        <f>IF($J820="","",INDEX('Detalle individual'!$L:$L,$J820))</f>
        <v/>
      </c>
      <c r="J820" t="str">
        <f>IFERROR(MATCH(SMALL(Cálculos!$AI$5:$AI$1000,816),Cálculos!$AI$5:$AI$1000,0)+4,"")</f>
        <v/>
      </c>
    </row>
    <row r="821">
      <c r="A821" s="5" t="str">
        <f>IF($J821="","",INDEX('Detalle individual'!$B:$B,$J821))</f>
        <v/>
      </c>
      <c r="B821" s="5" t="str">
        <f>IF($J821="","",INDEX('Detalle individual'!$A:$A,$J821))</f>
        <v/>
      </c>
      <c r="C821" s="5" t="str">
        <f>IF($J821="","",INDEX('Detalle individual'!$E:$E,$J821))</f>
        <v/>
      </c>
      <c r="D821" s="5" t="str">
        <f>IF($J821="","",INDEX('Detalle individual'!$C:$C,$J821))</f>
        <v/>
      </c>
      <c r="E821" s="5" t="str">
        <f>IF($J821="","",INDEX('Detalle individual'!$D:$D,$J821))</f>
        <v/>
      </c>
      <c r="F821" s="23" t="str">
        <f>IF($J821="","",INDEX('Detalle individual'!$H:$H,$J821))</f>
        <v/>
      </c>
      <c r="G821" s="28" t="str">
        <f>IF($J821="","",INDEX('Detalle individual'!$J:$J,$J821))</f>
        <v/>
      </c>
      <c r="H821" s="28" t="str">
        <f>IF($J821="","",INDEX('Detalle individual'!$L:$L,$J821))</f>
        <v/>
      </c>
      <c r="J821" t="str">
        <f>IFERROR(MATCH(SMALL(Cálculos!$AI$5:$AI$1000,817),Cálculos!$AI$5:$AI$1000,0)+4,"")</f>
        <v/>
      </c>
    </row>
    <row r="822">
      <c r="A822" s="5" t="str">
        <f>IF($J822="","",INDEX('Detalle individual'!$B:$B,$J822))</f>
        <v/>
      </c>
      <c r="B822" s="5" t="str">
        <f>IF($J822="","",INDEX('Detalle individual'!$A:$A,$J822))</f>
        <v/>
      </c>
      <c r="C822" s="5" t="str">
        <f>IF($J822="","",INDEX('Detalle individual'!$E:$E,$J822))</f>
        <v/>
      </c>
      <c r="D822" s="5" t="str">
        <f>IF($J822="","",INDEX('Detalle individual'!$C:$C,$J822))</f>
        <v/>
      </c>
      <c r="E822" s="5" t="str">
        <f>IF($J822="","",INDEX('Detalle individual'!$D:$D,$J822))</f>
        <v/>
      </c>
      <c r="F822" s="23" t="str">
        <f>IF($J822="","",INDEX('Detalle individual'!$H:$H,$J822))</f>
        <v/>
      </c>
      <c r="G822" s="28" t="str">
        <f>IF($J822="","",INDEX('Detalle individual'!$J:$J,$J822))</f>
        <v/>
      </c>
      <c r="H822" s="28" t="str">
        <f>IF($J822="","",INDEX('Detalle individual'!$L:$L,$J822))</f>
        <v/>
      </c>
      <c r="J822" t="str">
        <f>IFERROR(MATCH(SMALL(Cálculos!$AI$5:$AI$1000,818),Cálculos!$AI$5:$AI$1000,0)+4,"")</f>
        <v/>
      </c>
    </row>
    <row r="823">
      <c r="A823" s="5" t="str">
        <f>IF($J823="","",INDEX('Detalle individual'!$B:$B,$J823))</f>
        <v/>
      </c>
      <c r="B823" s="5" t="str">
        <f>IF($J823="","",INDEX('Detalle individual'!$A:$A,$J823))</f>
        <v/>
      </c>
      <c r="C823" s="5" t="str">
        <f>IF($J823="","",INDEX('Detalle individual'!$E:$E,$J823))</f>
        <v/>
      </c>
      <c r="D823" s="5" t="str">
        <f>IF($J823="","",INDEX('Detalle individual'!$C:$C,$J823))</f>
        <v/>
      </c>
      <c r="E823" s="5" t="str">
        <f>IF($J823="","",INDEX('Detalle individual'!$D:$D,$J823))</f>
        <v/>
      </c>
      <c r="F823" s="23" t="str">
        <f>IF($J823="","",INDEX('Detalle individual'!$H:$H,$J823))</f>
        <v/>
      </c>
      <c r="G823" s="28" t="str">
        <f>IF($J823="","",INDEX('Detalle individual'!$J:$J,$J823))</f>
        <v/>
      </c>
      <c r="H823" s="28" t="str">
        <f>IF($J823="","",INDEX('Detalle individual'!$L:$L,$J823))</f>
        <v/>
      </c>
      <c r="J823" t="str">
        <f>IFERROR(MATCH(SMALL(Cálculos!$AI$5:$AI$1000,819),Cálculos!$AI$5:$AI$1000,0)+4,"")</f>
        <v/>
      </c>
    </row>
    <row r="824">
      <c r="A824" s="5" t="str">
        <f>IF($J824="","",INDEX('Detalle individual'!$B:$B,$J824))</f>
        <v/>
      </c>
      <c r="B824" s="5" t="str">
        <f>IF($J824="","",INDEX('Detalle individual'!$A:$A,$J824))</f>
        <v/>
      </c>
      <c r="C824" s="5" t="str">
        <f>IF($J824="","",INDEX('Detalle individual'!$E:$E,$J824))</f>
        <v/>
      </c>
      <c r="D824" s="5" t="str">
        <f>IF($J824="","",INDEX('Detalle individual'!$C:$C,$J824))</f>
        <v/>
      </c>
      <c r="E824" s="5" t="str">
        <f>IF($J824="","",INDEX('Detalle individual'!$D:$D,$J824))</f>
        <v/>
      </c>
      <c r="F824" s="23" t="str">
        <f>IF($J824="","",INDEX('Detalle individual'!$H:$H,$J824))</f>
        <v/>
      </c>
      <c r="G824" s="28" t="str">
        <f>IF($J824="","",INDEX('Detalle individual'!$J:$J,$J824))</f>
        <v/>
      </c>
      <c r="H824" s="28" t="str">
        <f>IF($J824="","",INDEX('Detalle individual'!$L:$L,$J824))</f>
        <v/>
      </c>
      <c r="J824" t="str">
        <f>IFERROR(MATCH(SMALL(Cálculos!$AI$5:$AI$1000,820),Cálculos!$AI$5:$AI$1000,0)+4,"")</f>
        <v/>
      </c>
    </row>
    <row r="825">
      <c r="A825" s="5" t="str">
        <f>IF($J825="","",INDEX('Detalle individual'!$B:$B,$J825))</f>
        <v/>
      </c>
      <c r="B825" s="5" t="str">
        <f>IF($J825="","",INDEX('Detalle individual'!$A:$A,$J825))</f>
        <v/>
      </c>
      <c r="C825" s="5" t="str">
        <f>IF($J825="","",INDEX('Detalle individual'!$E:$E,$J825))</f>
        <v/>
      </c>
      <c r="D825" s="5" t="str">
        <f>IF($J825="","",INDEX('Detalle individual'!$C:$C,$J825))</f>
        <v/>
      </c>
      <c r="E825" s="5" t="str">
        <f>IF($J825="","",INDEX('Detalle individual'!$D:$D,$J825))</f>
        <v/>
      </c>
      <c r="F825" s="23" t="str">
        <f>IF($J825="","",INDEX('Detalle individual'!$H:$H,$J825))</f>
        <v/>
      </c>
      <c r="G825" s="28" t="str">
        <f>IF($J825="","",INDEX('Detalle individual'!$J:$J,$J825))</f>
        <v/>
      </c>
      <c r="H825" s="28" t="str">
        <f>IF($J825="","",INDEX('Detalle individual'!$L:$L,$J825))</f>
        <v/>
      </c>
      <c r="J825" t="str">
        <f>IFERROR(MATCH(SMALL(Cálculos!$AI$5:$AI$1000,821),Cálculos!$AI$5:$AI$1000,0)+4,"")</f>
        <v/>
      </c>
    </row>
    <row r="826">
      <c r="A826" s="5" t="str">
        <f>IF($J826="","",INDEX('Detalle individual'!$B:$B,$J826))</f>
        <v/>
      </c>
      <c r="B826" s="5" t="str">
        <f>IF($J826="","",INDEX('Detalle individual'!$A:$A,$J826))</f>
        <v/>
      </c>
      <c r="C826" s="5" t="str">
        <f>IF($J826="","",INDEX('Detalle individual'!$E:$E,$J826))</f>
        <v/>
      </c>
      <c r="D826" s="5" t="str">
        <f>IF($J826="","",INDEX('Detalle individual'!$C:$C,$J826))</f>
        <v/>
      </c>
      <c r="E826" s="5" t="str">
        <f>IF($J826="","",INDEX('Detalle individual'!$D:$D,$J826))</f>
        <v/>
      </c>
      <c r="F826" s="23" t="str">
        <f>IF($J826="","",INDEX('Detalle individual'!$H:$H,$J826))</f>
        <v/>
      </c>
      <c r="G826" s="28" t="str">
        <f>IF($J826="","",INDEX('Detalle individual'!$J:$J,$J826))</f>
        <v/>
      </c>
      <c r="H826" s="28" t="str">
        <f>IF($J826="","",INDEX('Detalle individual'!$L:$L,$J826))</f>
        <v/>
      </c>
      <c r="J826" t="str">
        <f>IFERROR(MATCH(SMALL(Cálculos!$AI$5:$AI$1000,822),Cálculos!$AI$5:$AI$1000,0)+4,"")</f>
        <v/>
      </c>
    </row>
    <row r="827">
      <c r="A827" s="5" t="str">
        <f>IF($J827="","",INDEX('Detalle individual'!$B:$B,$J827))</f>
        <v/>
      </c>
      <c r="B827" s="5" t="str">
        <f>IF($J827="","",INDEX('Detalle individual'!$A:$A,$J827))</f>
        <v/>
      </c>
      <c r="C827" s="5" t="str">
        <f>IF($J827="","",INDEX('Detalle individual'!$E:$E,$J827))</f>
        <v/>
      </c>
      <c r="D827" s="5" t="str">
        <f>IF($J827="","",INDEX('Detalle individual'!$C:$C,$J827))</f>
        <v/>
      </c>
      <c r="E827" s="5" t="str">
        <f>IF($J827="","",INDEX('Detalle individual'!$D:$D,$J827))</f>
        <v/>
      </c>
      <c r="F827" s="23" t="str">
        <f>IF($J827="","",INDEX('Detalle individual'!$H:$H,$J827))</f>
        <v/>
      </c>
      <c r="G827" s="28" t="str">
        <f>IF($J827="","",INDEX('Detalle individual'!$J:$J,$J827))</f>
        <v/>
      </c>
      <c r="H827" s="28" t="str">
        <f>IF($J827="","",INDEX('Detalle individual'!$L:$L,$J827))</f>
        <v/>
      </c>
      <c r="J827" t="str">
        <f>IFERROR(MATCH(SMALL(Cálculos!$AI$5:$AI$1000,823),Cálculos!$AI$5:$AI$1000,0)+4,"")</f>
        <v/>
      </c>
    </row>
    <row r="828">
      <c r="A828" s="5" t="str">
        <f>IF($J828="","",INDEX('Detalle individual'!$B:$B,$J828))</f>
        <v/>
      </c>
      <c r="B828" s="5" t="str">
        <f>IF($J828="","",INDEX('Detalle individual'!$A:$A,$J828))</f>
        <v/>
      </c>
      <c r="C828" s="5" t="str">
        <f>IF($J828="","",INDEX('Detalle individual'!$E:$E,$J828))</f>
        <v/>
      </c>
      <c r="D828" s="5" t="str">
        <f>IF($J828="","",INDEX('Detalle individual'!$C:$C,$J828))</f>
        <v/>
      </c>
      <c r="E828" s="5" t="str">
        <f>IF($J828="","",INDEX('Detalle individual'!$D:$D,$J828))</f>
        <v/>
      </c>
      <c r="F828" s="23" t="str">
        <f>IF($J828="","",INDEX('Detalle individual'!$H:$H,$J828))</f>
        <v/>
      </c>
      <c r="G828" s="28" t="str">
        <f>IF($J828="","",INDEX('Detalle individual'!$J:$J,$J828))</f>
        <v/>
      </c>
      <c r="H828" s="28" t="str">
        <f>IF($J828="","",INDEX('Detalle individual'!$L:$L,$J828))</f>
        <v/>
      </c>
      <c r="J828" t="str">
        <f>IFERROR(MATCH(SMALL(Cálculos!$AI$5:$AI$1000,824),Cálculos!$AI$5:$AI$1000,0)+4,"")</f>
        <v/>
      </c>
    </row>
    <row r="829">
      <c r="A829" s="5" t="str">
        <f>IF($J829="","",INDEX('Detalle individual'!$B:$B,$J829))</f>
        <v/>
      </c>
      <c r="B829" s="5" t="str">
        <f>IF($J829="","",INDEX('Detalle individual'!$A:$A,$J829))</f>
        <v/>
      </c>
      <c r="C829" s="5" t="str">
        <f>IF($J829="","",INDEX('Detalle individual'!$E:$E,$J829))</f>
        <v/>
      </c>
      <c r="D829" s="5" t="str">
        <f>IF($J829="","",INDEX('Detalle individual'!$C:$C,$J829))</f>
        <v/>
      </c>
      <c r="E829" s="5" t="str">
        <f>IF($J829="","",INDEX('Detalle individual'!$D:$D,$J829))</f>
        <v/>
      </c>
      <c r="F829" s="23" t="str">
        <f>IF($J829="","",INDEX('Detalle individual'!$H:$H,$J829))</f>
        <v/>
      </c>
      <c r="G829" s="28" t="str">
        <f>IF($J829="","",INDEX('Detalle individual'!$J:$J,$J829))</f>
        <v/>
      </c>
      <c r="H829" s="28" t="str">
        <f>IF($J829="","",INDEX('Detalle individual'!$L:$L,$J829))</f>
        <v/>
      </c>
      <c r="J829" t="str">
        <f>IFERROR(MATCH(SMALL(Cálculos!$AI$5:$AI$1000,825),Cálculos!$AI$5:$AI$1000,0)+4,"")</f>
        <v/>
      </c>
    </row>
    <row r="830">
      <c r="A830" s="5" t="str">
        <f>IF($J830="","",INDEX('Detalle individual'!$B:$B,$J830))</f>
        <v/>
      </c>
      <c r="B830" s="5" t="str">
        <f>IF($J830="","",INDEX('Detalle individual'!$A:$A,$J830))</f>
        <v/>
      </c>
      <c r="C830" s="5" t="str">
        <f>IF($J830="","",INDEX('Detalle individual'!$E:$E,$J830))</f>
        <v/>
      </c>
      <c r="D830" s="5" t="str">
        <f>IF($J830="","",INDEX('Detalle individual'!$C:$C,$J830))</f>
        <v/>
      </c>
      <c r="E830" s="5" t="str">
        <f>IF($J830="","",INDEX('Detalle individual'!$D:$D,$J830))</f>
        <v/>
      </c>
      <c r="F830" s="23" t="str">
        <f>IF($J830="","",INDEX('Detalle individual'!$H:$H,$J830))</f>
        <v/>
      </c>
      <c r="G830" s="28" t="str">
        <f>IF($J830="","",INDEX('Detalle individual'!$J:$J,$J830))</f>
        <v/>
      </c>
      <c r="H830" s="28" t="str">
        <f>IF($J830="","",INDEX('Detalle individual'!$L:$L,$J830))</f>
        <v/>
      </c>
      <c r="J830" t="str">
        <f>IFERROR(MATCH(SMALL(Cálculos!$AI$5:$AI$1000,826),Cálculos!$AI$5:$AI$1000,0)+4,"")</f>
        <v/>
      </c>
    </row>
    <row r="831">
      <c r="A831" s="5" t="str">
        <f>IF($J831="","",INDEX('Detalle individual'!$B:$B,$J831))</f>
        <v/>
      </c>
      <c r="B831" s="5" t="str">
        <f>IF($J831="","",INDEX('Detalle individual'!$A:$A,$J831))</f>
        <v/>
      </c>
      <c r="C831" s="5" t="str">
        <f>IF($J831="","",INDEX('Detalle individual'!$E:$E,$J831))</f>
        <v/>
      </c>
      <c r="D831" s="5" t="str">
        <f>IF($J831="","",INDEX('Detalle individual'!$C:$C,$J831))</f>
        <v/>
      </c>
      <c r="E831" s="5" t="str">
        <f>IF($J831="","",INDEX('Detalle individual'!$D:$D,$J831))</f>
        <v/>
      </c>
      <c r="F831" s="23" t="str">
        <f>IF($J831="","",INDEX('Detalle individual'!$H:$H,$J831))</f>
        <v/>
      </c>
      <c r="G831" s="28" t="str">
        <f>IF($J831="","",INDEX('Detalle individual'!$J:$J,$J831))</f>
        <v/>
      </c>
      <c r="H831" s="28" t="str">
        <f>IF($J831="","",INDEX('Detalle individual'!$L:$L,$J831))</f>
        <v/>
      </c>
      <c r="J831" t="str">
        <f>IFERROR(MATCH(SMALL(Cálculos!$AI$5:$AI$1000,827),Cálculos!$AI$5:$AI$1000,0)+4,"")</f>
        <v/>
      </c>
    </row>
    <row r="832">
      <c r="A832" s="5" t="str">
        <f>IF($J832="","",INDEX('Detalle individual'!$B:$B,$J832))</f>
        <v/>
      </c>
      <c r="B832" s="5" t="str">
        <f>IF($J832="","",INDEX('Detalle individual'!$A:$A,$J832))</f>
        <v/>
      </c>
      <c r="C832" s="5" t="str">
        <f>IF($J832="","",INDEX('Detalle individual'!$E:$E,$J832))</f>
        <v/>
      </c>
      <c r="D832" s="5" t="str">
        <f>IF($J832="","",INDEX('Detalle individual'!$C:$C,$J832))</f>
        <v/>
      </c>
      <c r="E832" s="5" t="str">
        <f>IF($J832="","",INDEX('Detalle individual'!$D:$D,$J832))</f>
        <v/>
      </c>
      <c r="F832" s="23" t="str">
        <f>IF($J832="","",INDEX('Detalle individual'!$H:$H,$J832))</f>
        <v/>
      </c>
      <c r="G832" s="28" t="str">
        <f>IF($J832="","",INDEX('Detalle individual'!$J:$J,$J832))</f>
        <v/>
      </c>
      <c r="H832" s="28" t="str">
        <f>IF($J832="","",INDEX('Detalle individual'!$L:$L,$J832))</f>
        <v/>
      </c>
      <c r="J832" t="str">
        <f>IFERROR(MATCH(SMALL(Cálculos!$AI$5:$AI$1000,828),Cálculos!$AI$5:$AI$1000,0)+4,"")</f>
        <v/>
      </c>
    </row>
    <row r="833">
      <c r="A833" s="5" t="str">
        <f>IF($J833="","",INDEX('Detalle individual'!$B:$B,$J833))</f>
        <v/>
      </c>
      <c r="B833" s="5" t="str">
        <f>IF($J833="","",INDEX('Detalle individual'!$A:$A,$J833))</f>
        <v/>
      </c>
      <c r="C833" s="5" t="str">
        <f>IF($J833="","",INDEX('Detalle individual'!$E:$E,$J833))</f>
        <v/>
      </c>
      <c r="D833" s="5" t="str">
        <f>IF($J833="","",INDEX('Detalle individual'!$C:$C,$J833))</f>
        <v/>
      </c>
      <c r="E833" s="5" t="str">
        <f>IF($J833="","",INDEX('Detalle individual'!$D:$D,$J833))</f>
        <v/>
      </c>
      <c r="F833" s="23" t="str">
        <f>IF($J833="","",INDEX('Detalle individual'!$H:$H,$J833))</f>
        <v/>
      </c>
      <c r="G833" s="28" t="str">
        <f>IF($J833="","",INDEX('Detalle individual'!$J:$J,$J833))</f>
        <v/>
      </c>
      <c r="H833" s="28" t="str">
        <f>IF($J833="","",INDEX('Detalle individual'!$L:$L,$J833))</f>
        <v/>
      </c>
      <c r="J833" t="str">
        <f>IFERROR(MATCH(SMALL(Cálculos!$AI$5:$AI$1000,829),Cálculos!$AI$5:$AI$1000,0)+4,"")</f>
        <v/>
      </c>
    </row>
    <row r="834">
      <c r="A834" s="5" t="str">
        <f>IF($J834="","",INDEX('Detalle individual'!$B:$B,$J834))</f>
        <v/>
      </c>
      <c r="B834" s="5" t="str">
        <f>IF($J834="","",INDEX('Detalle individual'!$A:$A,$J834))</f>
        <v/>
      </c>
      <c r="C834" s="5" t="str">
        <f>IF($J834="","",INDEX('Detalle individual'!$E:$E,$J834))</f>
        <v/>
      </c>
      <c r="D834" s="5" t="str">
        <f>IF($J834="","",INDEX('Detalle individual'!$C:$C,$J834))</f>
        <v/>
      </c>
      <c r="E834" s="5" t="str">
        <f>IF($J834="","",INDEX('Detalle individual'!$D:$D,$J834))</f>
        <v/>
      </c>
      <c r="F834" s="23" t="str">
        <f>IF($J834="","",INDEX('Detalle individual'!$H:$H,$J834))</f>
        <v/>
      </c>
      <c r="G834" s="28" t="str">
        <f>IF($J834="","",INDEX('Detalle individual'!$J:$J,$J834))</f>
        <v/>
      </c>
      <c r="H834" s="28" t="str">
        <f>IF($J834="","",INDEX('Detalle individual'!$L:$L,$J834))</f>
        <v/>
      </c>
      <c r="J834" t="str">
        <f>IFERROR(MATCH(SMALL(Cálculos!$AI$5:$AI$1000,830),Cálculos!$AI$5:$AI$1000,0)+4,"")</f>
        <v/>
      </c>
    </row>
    <row r="835">
      <c r="A835" s="5" t="str">
        <f>IF($J835="","",INDEX('Detalle individual'!$B:$B,$J835))</f>
        <v/>
      </c>
      <c r="B835" s="5" t="str">
        <f>IF($J835="","",INDEX('Detalle individual'!$A:$A,$J835))</f>
        <v/>
      </c>
      <c r="C835" s="5" t="str">
        <f>IF($J835="","",INDEX('Detalle individual'!$E:$E,$J835))</f>
        <v/>
      </c>
      <c r="D835" s="5" t="str">
        <f>IF($J835="","",INDEX('Detalle individual'!$C:$C,$J835))</f>
        <v/>
      </c>
      <c r="E835" s="5" t="str">
        <f>IF($J835="","",INDEX('Detalle individual'!$D:$D,$J835))</f>
        <v/>
      </c>
      <c r="F835" s="23" t="str">
        <f>IF($J835="","",INDEX('Detalle individual'!$H:$H,$J835))</f>
        <v/>
      </c>
      <c r="G835" s="28" t="str">
        <f>IF($J835="","",INDEX('Detalle individual'!$J:$J,$J835))</f>
        <v/>
      </c>
      <c r="H835" s="28" t="str">
        <f>IF($J835="","",INDEX('Detalle individual'!$L:$L,$J835))</f>
        <v/>
      </c>
      <c r="J835" t="str">
        <f>IFERROR(MATCH(SMALL(Cálculos!$AI$5:$AI$1000,831),Cálculos!$AI$5:$AI$1000,0)+4,"")</f>
        <v/>
      </c>
    </row>
    <row r="836">
      <c r="A836" s="5" t="str">
        <f>IF($J836="","",INDEX('Detalle individual'!$B:$B,$J836))</f>
        <v/>
      </c>
      <c r="B836" s="5" t="str">
        <f>IF($J836="","",INDEX('Detalle individual'!$A:$A,$J836))</f>
        <v/>
      </c>
      <c r="C836" s="5" t="str">
        <f>IF($J836="","",INDEX('Detalle individual'!$E:$E,$J836))</f>
        <v/>
      </c>
      <c r="D836" s="5" t="str">
        <f>IF($J836="","",INDEX('Detalle individual'!$C:$C,$J836))</f>
        <v/>
      </c>
      <c r="E836" s="5" t="str">
        <f>IF($J836="","",INDEX('Detalle individual'!$D:$D,$J836))</f>
        <v/>
      </c>
      <c r="F836" s="23" t="str">
        <f>IF($J836="","",INDEX('Detalle individual'!$H:$H,$J836))</f>
        <v/>
      </c>
      <c r="G836" s="28" t="str">
        <f>IF($J836="","",INDEX('Detalle individual'!$J:$J,$J836))</f>
        <v/>
      </c>
      <c r="H836" s="28" t="str">
        <f>IF($J836="","",INDEX('Detalle individual'!$L:$L,$J836))</f>
        <v/>
      </c>
      <c r="J836" t="str">
        <f>IFERROR(MATCH(SMALL(Cálculos!$AI$5:$AI$1000,832),Cálculos!$AI$5:$AI$1000,0)+4,"")</f>
        <v/>
      </c>
    </row>
    <row r="837">
      <c r="A837" s="5" t="str">
        <f>IF($J837="","",INDEX('Detalle individual'!$B:$B,$J837))</f>
        <v/>
      </c>
      <c r="B837" s="5" t="str">
        <f>IF($J837="","",INDEX('Detalle individual'!$A:$A,$J837))</f>
        <v/>
      </c>
      <c r="C837" s="5" t="str">
        <f>IF($J837="","",INDEX('Detalle individual'!$E:$E,$J837))</f>
        <v/>
      </c>
      <c r="D837" s="5" t="str">
        <f>IF($J837="","",INDEX('Detalle individual'!$C:$C,$J837))</f>
        <v/>
      </c>
      <c r="E837" s="5" t="str">
        <f>IF($J837="","",INDEX('Detalle individual'!$D:$D,$J837))</f>
        <v/>
      </c>
      <c r="F837" s="23" t="str">
        <f>IF($J837="","",INDEX('Detalle individual'!$H:$H,$J837))</f>
        <v/>
      </c>
      <c r="G837" s="28" t="str">
        <f>IF($J837="","",INDEX('Detalle individual'!$J:$J,$J837))</f>
        <v/>
      </c>
      <c r="H837" s="28" t="str">
        <f>IF($J837="","",INDEX('Detalle individual'!$L:$L,$J837))</f>
        <v/>
      </c>
      <c r="J837" t="str">
        <f>IFERROR(MATCH(SMALL(Cálculos!$AI$5:$AI$1000,833),Cálculos!$AI$5:$AI$1000,0)+4,"")</f>
        <v/>
      </c>
    </row>
    <row r="838">
      <c r="A838" s="5" t="str">
        <f>IF($J838="","",INDEX('Detalle individual'!$B:$B,$J838))</f>
        <v/>
      </c>
      <c r="B838" s="5" t="str">
        <f>IF($J838="","",INDEX('Detalle individual'!$A:$A,$J838))</f>
        <v/>
      </c>
      <c r="C838" s="5" t="str">
        <f>IF($J838="","",INDEX('Detalle individual'!$E:$E,$J838))</f>
        <v/>
      </c>
      <c r="D838" s="5" t="str">
        <f>IF($J838="","",INDEX('Detalle individual'!$C:$C,$J838))</f>
        <v/>
      </c>
      <c r="E838" s="5" t="str">
        <f>IF($J838="","",INDEX('Detalle individual'!$D:$D,$J838))</f>
        <v/>
      </c>
      <c r="F838" s="23" t="str">
        <f>IF($J838="","",INDEX('Detalle individual'!$H:$H,$J838))</f>
        <v/>
      </c>
      <c r="G838" s="28" t="str">
        <f>IF($J838="","",INDEX('Detalle individual'!$J:$J,$J838))</f>
        <v/>
      </c>
      <c r="H838" s="28" t="str">
        <f>IF($J838="","",INDEX('Detalle individual'!$L:$L,$J838))</f>
        <v/>
      </c>
      <c r="J838" t="str">
        <f>IFERROR(MATCH(SMALL(Cálculos!$AI$5:$AI$1000,834),Cálculos!$AI$5:$AI$1000,0)+4,"")</f>
        <v/>
      </c>
    </row>
    <row r="839">
      <c r="A839" s="5" t="str">
        <f>IF($J839="","",INDEX('Detalle individual'!$B:$B,$J839))</f>
        <v/>
      </c>
      <c r="B839" s="5" t="str">
        <f>IF($J839="","",INDEX('Detalle individual'!$A:$A,$J839))</f>
        <v/>
      </c>
      <c r="C839" s="5" t="str">
        <f>IF($J839="","",INDEX('Detalle individual'!$E:$E,$J839))</f>
        <v/>
      </c>
      <c r="D839" s="5" t="str">
        <f>IF($J839="","",INDEX('Detalle individual'!$C:$C,$J839))</f>
        <v/>
      </c>
      <c r="E839" s="5" t="str">
        <f>IF($J839="","",INDEX('Detalle individual'!$D:$D,$J839))</f>
        <v/>
      </c>
      <c r="F839" s="23" t="str">
        <f>IF($J839="","",INDEX('Detalle individual'!$H:$H,$J839))</f>
        <v/>
      </c>
      <c r="G839" s="28" t="str">
        <f>IF($J839="","",INDEX('Detalle individual'!$J:$J,$J839))</f>
        <v/>
      </c>
      <c r="H839" s="28" t="str">
        <f>IF($J839="","",INDEX('Detalle individual'!$L:$L,$J839))</f>
        <v/>
      </c>
      <c r="J839" t="str">
        <f>IFERROR(MATCH(SMALL(Cálculos!$AI$5:$AI$1000,835),Cálculos!$AI$5:$AI$1000,0)+4,"")</f>
        <v/>
      </c>
    </row>
    <row r="840">
      <c r="A840" s="5" t="str">
        <f>IF($J840="","",INDEX('Detalle individual'!$B:$B,$J840))</f>
        <v/>
      </c>
      <c r="B840" s="5" t="str">
        <f>IF($J840="","",INDEX('Detalle individual'!$A:$A,$J840))</f>
        <v/>
      </c>
      <c r="C840" s="5" t="str">
        <f>IF($J840="","",INDEX('Detalle individual'!$E:$E,$J840))</f>
        <v/>
      </c>
      <c r="D840" s="5" t="str">
        <f>IF($J840="","",INDEX('Detalle individual'!$C:$C,$J840))</f>
        <v/>
      </c>
      <c r="E840" s="5" t="str">
        <f>IF($J840="","",INDEX('Detalle individual'!$D:$D,$J840))</f>
        <v/>
      </c>
      <c r="F840" s="23" t="str">
        <f>IF($J840="","",INDEX('Detalle individual'!$H:$H,$J840))</f>
        <v/>
      </c>
      <c r="G840" s="28" t="str">
        <f>IF($J840="","",INDEX('Detalle individual'!$J:$J,$J840))</f>
        <v/>
      </c>
      <c r="H840" s="28" t="str">
        <f>IF($J840="","",INDEX('Detalle individual'!$L:$L,$J840))</f>
        <v/>
      </c>
      <c r="J840" t="str">
        <f>IFERROR(MATCH(SMALL(Cálculos!$AI$5:$AI$1000,836),Cálculos!$AI$5:$AI$1000,0)+4,"")</f>
        <v/>
      </c>
    </row>
    <row r="841">
      <c r="A841" s="5" t="str">
        <f>IF($J841="","",INDEX('Detalle individual'!$B:$B,$J841))</f>
        <v/>
      </c>
      <c r="B841" s="5" t="str">
        <f>IF($J841="","",INDEX('Detalle individual'!$A:$A,$J841))</f>
        <v/>
      </c>
      <c r="C841" s="5" t="str">
        <f>IF($J841="","",INDEX('Detalle individual'!$E:$E,$J841))</f>
        <v/>
      </c>
      <c r="D841" s="5" t="str">
        <f>IF($J841="","",INDEX('Detalle individual'!$C:$C,$J841))</f>
        <v/>
      </c>
      <c r="E841" s="5" t="str">
        <f>IF($J841="","",INDEX('Detalle individual'!$D:$D,$J841))</f>
        <v/>
      </c>
      <c r="F841" s="23" t="str">
        <f>IF($J841="","",INDEX('Detalle individual'!$H:$H,$J841))</f>
        <v/>
      </c>
      <c r="G841" s="28" t="str">
        <f>IF($J841="","",INDEX('Detalle individual'!$J:$J,$J841))</f>
        <v/>
      </c>
      <c r="H841" s="28" t="str">
        <f>IF($J841="","",INDEX('Detalle individual'!$L:$L,$J841))</f>
        <v/>
      </c>
      <c r="J841" t="str">
        <f>IFERROR(MATCH(SMALL(Cálculos!$AI$5:$AI$1000,837),Cálculos!$AI$5:$AI$1000,0)+4,"")</f>
        <v/>
      </c>
    </row>
    <row r="842">
      <c r="A842" s="5" t="str">
        <f>IF($J842="","",INDEX('Detalle individual'!$B:$B,$J842))</f>
        <v/>
      </c>
      <c r="B842" s="5" t="str">
        <f>IF($J842="","",INDEX('Detalle individual'!$A:$A,$J842))</f>
        <v/>
      </c>
      <c r="C842" s="5" t="str">
        <f>IF($J842="","",INDEX('Detalle individual'!$E:$E,$J842))</f>
        <v/>
      </c>
      <c r="D842" s="5" t="str">
        <f>IF($J842="","",INDEX('Detalle individual'!$C:$C,$J842))</f>
        <v/>
      </c>
      <c r="E842" s="5" t="str">
        <f>IF($J842="","",INDEX('Detalle individual'!$D:$D,$J842))</f>
        <v/>
      </c>
      <c r="F842" s="23" t="str">
        <f>IF($J842="","",INDEX('Detalle individual'!$H:$H,$J842))</f>
        <v/>
      </c>
      <c r="G842" s="28" t="str">
        <f>IF($J842="","",INDEX('Detalle individual'!$J:$J,$J842))</f>
        <v/>
      </c>
      <c r="H842" s="28" t="str">
        <f>IF($J842="","",INDEX('Detalle individual'!$L:$L,$J842))</f>
        <v/>
      </c>
      <c r="J842" t="str">
        <f>IFERROR(MATCH(SMALL(Cálculos!$AI$5:$AI$1000,838),Cálculos!$AI$5:$AI$1000,0)+4,"")</f>
        <v/>
      </c>
    </row>
    <row r="843">
      <c r="A843" s="5" t="str">
        <f>IF($J843="","",INDEX('Detalle individual'!$B:$B,$J843))</f>
        <v/>
      </c>
      <c r="B843" s="5" t="str">
        <f>IF($J843="","",INDEX('Detalle individual'!$A:$A,$J843))</f>
        <v/>
      </c>
      <c r="C843" s="5" t="str">
        <f>IF($J843="","",INDEX('Detalle individual'!$E:$E,$J843))</f>
        <v/>
      </c>
      <c r="D843" s="5" t="str">
        <f>IF($J843="","",INDEX('Detalle individual'!$C:$C,$J843))</f>
        <v/>
      </c>
      <c r="E843" s="5" t="str">
        <f>IF($J843="","",INDEX('Detalle individual'!$D:$D,$J843))</f>
        <v/>
      </c>
      <c r="F843" s="23" t="str">
        <f>IF($J843="","",INDEX('Detalle individual'!$H:$H,$J843))</f>
        <v/>
      </c>
      <c r="G843" s="28" t="str">
        <f>IF($J843="","",INDEX('Detalle individual'!$J:$J,$J843))</f>
        <v/>
      </c>
      <c r="H843" s="28" t="str">
        <f>IF($J843="","",INDEX('Detalle individual'!$L:$L,$J843))</f>
        <v/>
      </c>
      <c r="J843" t="str">
        <f>IFERROR(MATCH(SMALL(Cálculos!$AI$5:$AI$1000,839),Cálculos!$AI$5:$AI$1000,0)+4,"")</f>
        <v/>
      </c>
    </row>
    <row r="844">
      <c r="A844" s="5" t="str">
        <f>IF($J844="","",INDEX('Detalle individual'!$B:$B,$J844))</f>
        <v/>
      </c>
      <c r="B844" s="5" t="str">
        <f>IF($J844="","",INDEX('Detalle individual'!$A:$A,$J844))</f>
        <v/>
      </c>
      <c r="C844" s="5" t="str">
        <f>IF($J844="","",INDEX('Detalle individual'!$E:$E,$J844))</f>
        <v/>
      </c>
      <c r="D844" s="5" t="str">
        <f>IF($J844="","",INDEX('Detalle individual'!$C:$C,$J844))</f>
        <v/>
      </c>
      <c r="E844" s="5" t="str">
        <f>IF($J844="","",INDEX('Detalle individual'!$D:$D,$J844))</f>
        <v/>
      </c>
      <c r="F844" s="23" t="str">
        <f>IF($J844="","",INDEX('Detalle individual'!$H:$H,$J844))</f>
        <v/>
      </c>
      <c r="G844" s="28" t="str">
        <f>IF($J844="","",INDEX('Detalle individual'!$J:$J,$J844))</f>
        <v/>
      </c>
      <c r="H844" s="28" t="str">
        <f>IF($J844="","",INDEX('Detalle individual'!$L:$L,$J844))</f>
        <v/>
      </c>
      <c r="J844" t="str">
        <f>IFERROR(MATCH(SMALL(Cálculos!$AI$5:$AI$1000,840),Cálculos!$AI$5:$AI$1000,0)+4,"")</f>
        <v/>
      </c>
    </row>
    <row r="845">
      <c r="A845" s="5" t="str">
        <f>IF($J845="","",INDEX('Detalle individual'!$B:$B,$J845))</f>
        <v/>
      </c>
      <c r="B845" s="5" t="str">
        <f>IF($J845="","",INDEX('Detalle individual'!$A:$A,$J845))</f>
        <v/>
      </c>
      <c r="C845" s="5" t="str">
        <f>IF($J845="","",INDEX('Detalle individual'!$E:$E,$J845))</f>
        <v/>
      </c>
      <c r="D845" s="5" t="str">
        <f>IF($J845="","",INDEX('Detalle individual'!$C:$C,$J845))</f>
        <v/>
      </c>
      <c r="E845" s="5" t="str">
        <f>IF($J845="","",INDEX('Detalle individual'!$D:$D,$J845))</f>
        <v/>
      </c>
      <c r="F845" s="23" t="str">
        <f>IF($J845="","",INDEX('Detalle individual'!$H:$H,$J845))</f>
        <v/>
      </c>
      <c r="G845" s="28" t="str">
        <f>IF($J845="","",INDEX('Detalle individual'!$J:$J,$J845))</f>
        <v/>
      </c>
      <c r="H845" s="28" t="str">
        <f>IF($J845="","",INDEX('Detalle individual'!$L:$L,$J845))</f>
        <v/>
      </c>
      <c r="J845" t="str">
        <f>IFERROR(MATCH(SMALL(Cálculos!$AI$5:$AI$1000,841),Cálculos!$AI$5:$AI$1000,0)+4,"")</f>
        <v/>
      </c>
    </row>
    <row r="846">
      <c r="A846" s="5" t="str">
        <f>IF($J846="","",INDEX('Detalle individual'!$B:$B,$J846))</f>
        <v/>
      </c>
      <c r="B846" s="5" t="str">
        <f>IF($J846="","",INDEX('Detalle individual'!$A:$A,$J846))</f>
        <v/>
      </c>
      <c r="C846" s="5" t="str">
        <f>IF($J846="","",INDEX('Detalle individual'!$E:$E,$J846))</f>
        <v/>
      </c>
      <c r="D846" s="5" t="str">
        <f>IF($J846="","",INDEX('Detalle individual'!$C:$C,$J846))</f>
        <v/>
      </c>
      <c r="E846" s="5" t="str">
        <f>IF($J846="","",INDEX('Detalle individual'!$D:$D,$J846))</f>
        <v/>
      </c>
      <c r="F846" s="23" t="str">
        <f>IF($J846="","",INDEX('Detalle individual'!$H:$H,$J846))</f>
        <v/>
      </c>
      <c r="G846" s="28" t="str">
        <f>IF($J846="","",INDEX('Detalle individual'!$J:$J,$J846))</f>
        <v/>
      </c>
      <c r="H846" s="28" t="str">
        <f>IF($J846="","",INDEX('Detalle individual'!$L:$L,$J846))</f>
        <v/>
      </c>
      <c r="J846" t="str">
        <f>IFERROR(MATCH(SMALL(Cálculos!$AI$5:$AI$1000,842),Cálculos!$AI$5:$AI$1000,0)+4,"")</f>
        <v/>
      </c>
    </row>
    <row r="847">
      <c r="A847" s="5" t="str">
        <f>IF($J847="","",INDEX('Detalle individual'!$B:$B,$J847))</f>
        <v/>
      </c>
      <c r="B847" s="5" t="str">
        <f>IF($J847="","",INDEX('Detalle individual'!$A:$A,$J847))</f>
        <v/>
      </c>
      <c r="C847" s="5" t="str">
        <f>IF($J847="","",INDEX('Detalle individual'!$E:$E,$J847))</f>
        <v/>
      </c>
      <c r="D847" s="5" t="str">
        <f>IF($J847="","",INDEX('Detalle individual'!$C:$C,$J847))</f>
        <v/>
      </c>
      <c r="E847" s="5" t="str">
        <f>IF($J847="","",INDEX('Detalle individual'!$D:$D,$J847))</f>
        <v/>
      </c>
      <c r="F847" s="23" t="str">
        <f>IF($J847="","",INDEX('Detalle individual'!$H:$H,$J847))</f>
        <v/>
      </c>
      <c r="G847" s="28" t="str">
        <f>IF($J847="","",INDEX('Detalle individual'!$J:$J,$J847))</f>
        <v/>
      </c>
      <c r="H847" s="28" t="str">
        <f>IF($J847="","",INDEX('Detalle individual'!$L:$L,$J847))</f>
        <v/>
      </c>
      <c r="J847" t="str">
        <f>IFERROR(MATCH(SMALL(Cálculos!$AI$5:$AI$1000,843),Cálculos!$AI$5:$AI$1000,0)+4,"")</f>
        <v/>
      </c>
    </row>
    <row r="848">
      <c r="A848" s="5" t="str">
        <f>IF($J848="","",INDEX('Detalle individual'!$B:$B,$J848))</f>
        <v/>
      </c>
      <c r="B848" s="5" t="str">
        <f>IF($J848="","",INDEX('Detalle individual'!$A:$A,$J848))</f>
        <v/>
      </c>
      <c r="C848" s="5" t="str">
        <f>IF($J848="","",INDEX('Detalle individual'!$E:$E,$J848))</f>
        <v/>
      </c>
      <c r="D848" s="5" t="str">
        <f>IF($J848="","",INDEX('Detalle individual'!$C:$C,$J848))</f>
        <v/>
      </c>
      <c r="E848" s="5" t="str">
        <f>IF($J848="","",INDEX('Detalle individual'!$D:$D,$J848))</f>
        <v/>
      </c>
      <c r="F848" s="23" t="str">
        <f>IF($J848="","",INDEX('Detalle individual'!$H:$H,$J848))</f>
        <v/>
      </c>
      <c r="G848" s="28" t="str">
        <f>IF($J848="","",INDEX('Detalle individual'!$J:$J,$J848))</f>
        <v/>
      </c>
      <c r="H848" s="28" t="str">
        <f>IF($J848="","",INDEX('Detalle individual'!$L:$L,$J848))</f>
        <v/>
      </c>
      <c r="J848" t="str">
        <f>IFERROR(MATCH(SMALL(Cálculos!$AI$5:$AI$1000,844),Cálculos!$AI$5:$AI$1000,0)+4,"")</f>
        <v/>
      </c>
    </row>
    <row r="849">
      <c r="A849" s="5" t="str">
        <f>IF($J849="","",INDEX('Detalle individual'!$B:$B,$J849))</f>
        <v/>
      </c>
      <c r="B849" s="5" t="str">
        <f>IF($J849="","",INDEX('Detalle individual'!$A:$A,$J849))</f>
        <v/>
      </c>
      <c r="C849" s="5" t="str">
        <f>IF($J849="","",INDEX('Detalle individual'!$E:$E,$J849))</f>
        <v/>
      </c>
      <c r="D849" s="5" t="str">
        <f>IF($J849="","",INDEX('Detalle individual'!$C:$C,$J849))</f>
        <v/>
      </c>
      <c r="E849" s="5" t="str">
        <f>IF($J849="","",INDEX('Detalle individual'!$D:$D,$J849))</f>
        <v/>
      </c>
      <c r="F849" s="23" t="str">
        <f>IF($J849="","",INDEX('Detalle individual'!$H:$H,$J849))</f>
        <v/>
      </c>
      <c r="G849" s="28" t="str">
        <f>IF($J849="","",INDEX('Detalle individual'!$J:$J,$J849))</f>
        <v/>
      </c>
      <c r="H849" s="28" t="str">
        <f>IF($J849="","",INDEX('Detalle individual'!$L:$L,$J849))</f>
        <v/>
      </c>
      <c r="J849" t="str">
        <f>IFERROR(MATCH(SMALL(Cálculos!$AI$5:$AI$1000,845),Cálculos!$AI$5:$AI$1000,0)+4,"")</f>
        <v/>
      </c>
    </row>
    <row r="850">
      <c r="A850" s="5" t="str">
        <f>IF($J850="","",INDEX('Detalle individual'!$B:$B,$J850))</f>
        <v/>
      </c>
      <c r="B850" s="5" t="str">
        <f>IF($J850="","",INDEX('Detalle individual'!$A:$A,$J850))</f>
        <v/>
      </c>
      <c r="C850" s="5" t="str">
        <f>IF($J850="","",INDEX('Detalle individual'!$E:$E,$J850))</f>
        <v/>
      </c>
      <c r="D850" s="5" t="str">
        <f>IF($J850="","",INDEX('Detalle individual'!$C:$C,$J850))</f>
        <v/>
      </c>
      <c r="E850" s="5" t="str">
        <f>IF($J850="","",INDEX('Detalle individual'!$D:$D,$J850))</f>
        <v/>
      </c>
      <c r="F850" s="23" t="str">
        <f>IF($J850="","",INDEX('Detalle individual'!$H:$H,$J850))</f>
        <v/>
      </c>
      <c r="G850" s="28" t="str">
        <f>IF($J850="","",INDEX('Detalle individual'!$J:$J,$J850))</f>
        <v/>
      </c>
      <c r="H850" s="28" t="str">
        <f>IF($J850="","",INDEX('Detalle individual'!$L:$L,$J850))</f>
        <v/>
      </c>
      <c r="J850" t="str">
        <f>IFERROR(MATCH(SMALL(Cálculos!$AI$5:$AI$1000,846),Cálculos!$AI$5:$AI$1000,0)+4,"")</f>
        <v/>
      </c>
    </row>
    <row r="851">
      <c r="A851" s="5" t="str">
        <f>IF($J851="","",INDEX('Detalle individual'!$B:$B,$J851))</f>
        <v/>
      </c>
      <c r="B851" s="5" t="str">
        <f>IF($J851="","",INDEX('Detalle individual'!$A:$A,$J851))</f>
        <v/>
      </c>
      <c r="C851" s="5" t="str">
        <f>IF($J851="","",INDEX('Detalle individual'!$E:$E,$J851))</f>
        <v/>
      </c>
      <c r="D851" s="5" t="str">
        <f>IF($J851="","",INDEX('Detalle individual'!$C:$C,$J851))</f>
        <v/>
      </c>
      <c r="E851" s="5" t="str">
        <f>IF($J851="","",INDEX('Detalle individual'!$D:$D,$J851))</f>
        <v/>
      </c>
      <c r="F851" s="23" t="str">
        <f>IF($J851="","",INDEX('Detalle individual'!$H:$H,$J851))</f>
        <v/>
      </c>
      <c r="G851" s="28" t="str">
        <f>IF($J851="","",INDEX('Detalle individual'!$J:$J,$J851))</f>
        <v/>
      </c>
      <c r="H851" s="28" t="str">
        <f>IF($J851="","",INDEX('Detalle individual'!$L:$L,$J851))</f>
        <v/>
      </c>
      <c r="J851" t="str">
        <f>IFERROR(MATCH(SMALL(Cálculos!$AI$5:$AI$1000,847),Cálculos!$AI$5:$AI$1000,0)+4,"")</f>
        <v/>
      </c>
    </row>
    <row r="852">
      <c r="A852" s="5" t="str">
        <f>IF($J852="","",INDEX('Detalle individual'!$B:$B,$J852))</f>
        <v/>
      </c>
      <c r="B852" s="5" t="str">
        <f>IF($J852="","",INDEX('Detalle individual'!$A:$A,$J852))</f>
        <v/>
      </c>
      <c r="C852" s="5" t="str">
        <f>IF($J852="","",INDEX('Detalle individual'!$E:$E,$J852))</f>
        <v/>
      </c>
      <c r="D852" s="5" t="str">
        <f>IF($J852="","",INDEX('Detalle individual'!$C:$C,$J852))</f>
        <v/>
      </c>
      <c r="E852" s="5" t="str">
        <f>IF($J852="","",INDEX('Detalle individual'!$D:$D,$J852))</f>
        <v/>
      </c>
      <c r="F852" s="23" t="str">
        <f>IF($J852="","",INDEX('Detalle individual'!$H:$H,$J852))</f>
        <v/>
      </c>
      <c r="G852" s="28" t="str">
        <f>IF($J852="","",INDEX('Detalle individual'!$J:$J,$J852))</f>
        <v/>
      </c>
      <c r="H852" s="28" t="str">
        <f>IF($J852="","",INDEX('Detalle individual'!$L:$L,$J852))</f>
        <v/>
      </c>
      <c r="J852" t="str">
        <f>IFERROR(MATCH(SMALL(Cálculos!$AI$5:$AI$1000,848),Cálculos!$AI$5:$AI$1000,0)+4,"")</f>
        <v/>
      </c>
    </row>
    <row r="853">
      <c r="A853" s="5" t="str">
        <f>IF($J853="","",INDEX('Detalle individual'!$B:$B,$J853))</f>
        <v/>
      </c>
      <c r="B853" s="5" t="str">
        <f>IF($J853="","",INDEX('Detalle individual'!$A:$A,$J853))</f>
        <v/>
      </c>
      <c r="C853" s="5" t="str">
        <f>IF($J853="","",INDEX('Detalle individual'!$E:$E,$J853))</f>
        <v/>
      </c>
      <c r="D853" s="5" t="str">
        <f>IF($J853="","",INDEX('Detalle individual'!$C:$C,$J853))</f>
        <v/>
      </c>
      <c r="E853" s="5" t="str">
        <f>IF($J853="","",INDEX('Detalle individual'!$D:$D,$J853))</f>
        <v/>
      </c>
      <c r="F853" s="23" t="str">
        <f>IF($J853="","",INDEX('Detalle individual'!$H:$H,$J853))</f>
        <v/>
      </c>
      <c r="G853" s="28" t="str">
        <f>IF($J853="","",INDEX('Detalle individual'!$J:$J,$J853))</f>
        <v/>
      </c>
      <c r="H853" s="28" t="str">
        <f>IF($J853="","",INDEX('Detalle individual'!$L:$L,$J853))</f>
        <v/>
      </c>
      <c r="J853" t="str">
        <f>IFERROR(MATCH(SMALL(Cálculos!$AI$5:$AI$1000,849),Cálculos!$AI$5:$AI$1000,0)+4,"")</f>
        <v/>
      </c>
    </row>
    <row r="854">
      <c r="A854" s="5" t="str">
        <f>IF($J854="","",INDEX('Detalle individual'!$B:$B,$J854))</f>
        <v/>
      </c>
      <c r="B854" s="5" t="str">
        <f>IF($J854="","",INDEX('Detalle individual'!$A:$A,$J854))</f>
        <v/>
      </c>
      <c r="C854" s="5" t="str">
        <f>IF($J854="","",INDEX('Detalle individual'!$E:$E,$J854))</f>
        <v/>
      </c>
      <c r="D854" s="5" t="str">
        <f>IF($J854="","",INDEX('Detalle individual'!$C:$C,$J854))</f>
        <v/>
      </c>
      <c r="E854" s="5" t="str">
        <f>IF($J854="","",INDEX('Detalle individual'!$D:$D,$J854))</f>
        <v/>
      </c>
      <c r="F854" s="23" t="str">
        <f>IF($J854="","",INDEX('Detalle individual'!$H:$H,$J854))</f>
        <v/>
      </c>
      <c r="G854" s="28" t="str">
        <f>IF($J854="","",INDEX('Detalle individual'!$J:$J,$J854))</f>
        <v/>
      </c>
      <c r="H854" s="28" t="str">
        <f>IF($J854="","",INDEX('Detalle individual'!$L:$L,$J854))</f>
        <v/>
      </c>
      <c r="J854" t="str">
        <f>IFERROR(MATCH(SMALL(Cálculos!$AI$5:$AI$1000,850),Cálculos!$AI$5:$AI$1000,0)+4,"")</f>
        <v/>
      </c>
    </row>
    <row r="855">
      <c r="A855" s="5" t="str">
        <f>IF($J855="","",INDEX('Detalle individual'!$B:$B,$J855))</f>
        <v/>
      </c>
      <c r="B855" s="5" t="str">
        <f>IF($J855="","",INDEX('Detalle individual'!$A:$A,$J855))</f>
        <v/>
      </c>
      <c r="C855" s="5" t="str">
        <f>IF($J855="","",INDEX('Detalle individual'!$E:$E,$J855))</f>
        <v/>
      </c>
      <c r="D855" s="5" t="str">
        <f>IF($J855="","",INDEX('Detalle individual'!$C:$C,$J855))</f>
        <v/>
      </c>
      <c r="E855" s="5" t="str">
        <f>IF($J855="","",INDEX('Detalle individual'!$D:$D,$J855))</f>
        <v/>
      </c>
      <c r="F855" s="23" t="str">
        <f>IF($J855="","",INDEX('Detalle individual'!$H:$H,$J855))</f>
        <v/>
      </c>
      <c r="G855" s="28" t="str">
        <f>IF($J855="","",INDEX('Detalle individual'!$J:$J,$J855))</f>
        <v/>
      </c>
      <c r="H855" s="28" t="str">
        <f>IF($J855="","",INDEX('Detalle individual'!$L:$L,$J855))</f>
        <v/>
      </c>
      <c r="J855" t="str">
        <f>IFERROR(MATCH(SMALL(Cálculos!$AI$5:$AI$1000,851),Cálculos!$AI$5:$AI$1000,0)+4,"")</f>
        <v/>
      </c>
    </row>
    <row r="856">
      <c r="A856" s="5" t="str">
        <f>IF($J856="","",INDEX('Detalle individual'!$B:$B,$J856))</f>
        <v/>
      </c>
      <c r="B856" s="5" t="str">
        <f>IF($J856="","",INDEX('Detalle individual'!$A:$A,$J856))</f>
        <v/>
      </c>
      <c r="C856" s="5" t="str">
        <f>IF($J856="","",INDEX('Detalle individual'!$E:$E,$J856))</f>
        <v/>
      </c>
      <c r="D856" s="5" t="str">
        <f>IF($J856="","",INDEX('Detalle individual'!$C:$C,$J856))</f>
        <v/>
      </c>
      <c r="E856" s="5" t="str">
        <f>IF($J856="","",INDEX('Detalle individual'!$D:$D,$J856))</f>
        <v/>
      </c>
      <c r="F856" s="23" t="str">
        <f>IF($J856="","",INDEX('Detalle individual'!$H:$H,$J856))</f>
        <v/>
      </c>
      <c r="G856" s="28" t="str">
        <f>IF($J856="","",INDEX('Detalle individual'!$J:$J,$J856))</f>
        <v/>
      </c>
      <c r="H856" s="28" t="str">
        <f>IF($J856="","",INDEX('Detalle individual'!$L:$L,$J856))</f>
        <v/>
      </c>
      <c r="J856" t="str">
        <f>IFERROR(MATCH(SMALL(Cálculos!$AI$5:$AI$1000,852),Cálculos!$AI$5:$AI$1000,0)+4,"")</f>
        <v/>
      </c>
    </row>
    <row r="857">
      <c r="A857" s="5" t="str">
        <f>IF($J857="","",INDEX('Detalle individual'!$B:$B,$J857))</f>
        <v/>
      </c>
      <c r="B857" s="5" t="str">
        <f>IF($J857="","",INDEX('Detalle individual'!$A:$A,$J857))</f>
        <v/>
      </c>
      <c r="C857" s="5" t="str">
        <f>IF($J857="","",INDEX('Detalle individual'!$E:$E,$J857))</f>
        <v/>
      </c>
      <c r="D857" s="5" t="str">
        <f>IF($J857="","",INDEX('Detalle individual'!$C:$C,$J857))</f>
        <v/>
      </c>
      <c r="E857" s="5" t="str">
        <f>IF($J857="","",INDEX('Detalle individual'!$D:$D,$J857))</f>
        <v/>
      </c>
      <c r="F857" s="23" t="str">
        <f>IF($J857="","",INDEX('Detalle individual'!$H:$H,$J857))</f>
        <v/>
      </c>
      <c r="G857" s="28" t="str">
        <f>IF($J857="","",INDEX('Detalle individual'!$J:$J,$J857))</f>
        <v/>
      </c>
      <c r="H857" s="28" t="str">
        <f>IF($J857="","",INDEX('Detalle individual'!$L:$L,$J857))</f>
        <v/>
      </c>
      <c r="J857" t="str">
        <f>IFERROR(MATCH(SMALL(Cálculos!$AI$5:$AI$1000,853),Cálculos!$AI$5:$AI$1000,0)+4,"")</f>
        <v/>
      </c>
    </row>
    <row r="858">
      <c r="A858" s="5" t="str">
        <f>IF($J858="","",INDEX('Detalle individual'!$B:$B,$J858))</f>
        <v/>
      </c>
      <c r="B858" s="5" t="str">
        <f>IF($J858="","",INDEX('Detalle individual'!$A:$A,$J858))</f>
        <v/>
      </c>
      <c r="C858" s="5" t="str">
        <f>IF($J858="","",INDEX('Detalle individual'!$E:$E,$J858))</f>
        <v/>
      </c>
      <c r="D858" s="5" t="str">
        <f>IF($J858="","",INDEX('Detalle individual'!$C:$C,$J858))</f>
        <v/>
      </c>
      <c r="E858" s="5" t="str">
        <f>IF($J858="","",INDEX('Detalle individual'!$D:$D,$J858))</f>
        <v/>
      </c>
      <c r="F858" s="23" t="str">
        <f>IF($J858="","",INDEX('Detalle individual'!$H:$H,$J858))</f>
        <v/>
      </c>
      <c r="G858" s="28" t="str">
        <f>IF($J858="","",INDEX('Detalle individual'!$J:$J,$J858))</f>
        <v/>
      </c>
      <c r="H858" s="28" t="str">
        <f>IF($J858="","",INDEX('Detalle individual'!$L:$L,$J858))</f>
        <v/>
      </c>
      <c r="J858" t="str">
        <f>IFERROR(MATCH(SMALL(Cálculos!$AI$5:$AI$1000,854),Cálculos!$AI$5:$AI$1000,0)+4,"")</f>
        <v/>
      </c>
    </row>
    <row r="859">
      <c r="A859" s="5" t="str">
        <f>IF($J859="","",INDEX('Detalle individual'!$B:$B,$J859))</f>
        <v/>
      </c>
      <c r="B859" s="5" t="str">
        <f>IF($J859="","",INDEX('Detalle individual'!$A:$A,$J859))</f>
        <v/>
      </c>
      <c r="C859" s="5" t="str">
        <f>IF($J859="","",INDEX('Detalle individual'!$E:$E,$J859))</f>
        <v/>
      </c>
      <c r="D859" s="5" t="str">
        <f>IF($J859="","",INDEX('Detalle individual'!$C:$C,$J859))</f>
        <v/>
      </c>
      <c r="E859" s="5" t="str">
        <f>IF($J859="","",INDEX('Detalle individual'!$D:$D,$J859))</f>
        <v/>
      </c>
      <c r="F859" s="23" t="str">
        <f>IF($J859="","",INDEX('Detalle individual'!$H:$H,$J859))</f>
        <v/>
      </c>
      <c r="G859" s="28" t="str">
        <f>IF($J859="","",INDEX('Detalle individual'!$J:$J,$J859))</f>
        <v/>
      </c>
      <c r="H859" s="28" t="str">
        <f>IF($J859="","",INDEX('Detalle individual'!$L:$L,$J859))</f>
        <v/>
      </c>
      <c r="J859" t="str">
        <f>IFERROR(MATCH(SMALL(Cálculos!$AI$5:$AI$1000,855),Cálculos!$AI$5:$AI$1000,0)+4,"")</f>
        <v/>
      </c>
    </row>
    <row r="860">
      <c r="A860" s="5" t="str">
        <f>IF($J860="","",INDEX('Detalle individual'!$B:$B,$J860))</f>
        <v/>
      </c>
      <c r="B860" s="5" t="str">
        <f>IF($J860="","",INDEX('Detalle individual'!$A:$A,$J860))</f>
        <v/>
      </c>
      <c r="C860" s="5" t="str">
        <f>IF($J860="","",INDEX('Detalle individual'!$E:$E,$J860))</f>
        <v/>
      </c>
      <c r="D860" s="5" t="str">
        <f>IF($J860="","",INDEX('Detalle individual'!$C:$C,$J860))</f>
        <v/>
      </c>
      <c r="E860" s="5" t="str">
        <f>IF($J860="","",INDEX('Detalle individual'!$D:$D,$J860))</f>
        <v/>
      </c>
      <c r="F860" s="23" t="str">
        <f>IF($J860="","",INDEX('Detalle individual'!$H:$H,$J860))</f>
        <v/>
      </c>
      <c r="G860" s="28" t="str">
        <f>IF($J860="","",INDEX('Detalle individual'!$J:$J,$J860))</f>
        <v/>
      </c>
      <c r="H860" s="28" t="str">
        <f>IF($J860="","",INDEX('Detalle individual'!$L:$L,$J860))</f>
        <v/>
      </c>
      <c r="J860" t="str">
        <f>IFERROR(MATCH(SMALL(Cálculos!$AI$5:$AI$1000,856),Cálculos!$AI$5:$AI$1000,0)+4,"")</f>
        <v/>
      </c>
    </row>
    <row r="861">
      <c r="A861" s="5" t="str">
        <f>IF($J861="","",INDEX('Detalle individual'!$B:$B,$J861))</f>
        <v/>
      </c>
      <c r="B861" s="5" t="str">
        <f>IF($J861="","",INDEX('Detalle individual'!$A:$A,$J861))</f>
        <v/>
      </c>
      <c r="C861" s="5" t="str">
        <f>IF($J861="","",INDEX('Detalle individual'!$E:$E,$J861))</f>
        <v/>
      </c>
      <c r="D861" s="5" t="str">
        <f>IF($J861="","",INDEX('Detalle individual'!$C:$C,$J861))</f>
        <v/>
      </c>
      <c r="E861" s="5" t="str">
        <f>IF($J861="","",INDEX('Detalle individual'!$D:$D,$J861))</f>
        <v/>
      </c>
      <c r="F861" s="23" t="str">
        <f>IF($J861="","",INDEX('Detalle individual'!$H:$H,$J861))</f>
        <v/>
      </c>
      <c r="G861" s="28" t="str">
        <f>IF($J861="","",INDEX('Detalle individual'!$J:$J,$J861))</f>
        <v/>
      </c>
      <c r="H861" s="28" t="str">
        <f>IF($J861="","",INDEX('Detalle individual'!$L:$L,$J861))</f>
        <v/>
      </c>
      <c r="J861" t="str">
        <f>IFERROR(MATCH(SMALL(Cálculos!$AI$5:$AI$1000,857),Cálculos!$AI$5:$AI$1000,0)+4,"")</f>
        <v/>
      </c>
    </row>
    <row r="862">
      <c r="A862" s="5" t="str">
        <f>IF($J862="","",INDEX('Detalle individual'!$B:$B,$J862))</f>
        <v/>
      </c>
      <c r="B862" s="5" t="str">
        <f>IF($J862="","",INDEX('Detalle individual'!$A:$A,$J862))</f>
        <v/>
      </c>
      <c r="C862" s="5" t="str">
        <f>IF($J862="","",INDEX('Detalle individual'!$E:$E,$J862))</f>
        <v/>
      </c>
      <c r="D862" s="5" t="str">
        <f>IF($J862="","",INDEX('Detalle individual'!$C:$C,$J862))</f>
        <v/>
      </c>
      <c r="E862" s="5" t="str">
        <f>IF($J862="","",INDEX('Detalle individual'!$D:$D,$J862))</f>
        <v/>
      </c>
      <c r="F862" s="23" t="str">
        <f>IF($J862="","",INDEX('Detalle individual'!$H:$H,$J862))</f>
        <v/>
      </c>
      <c r="G862" s="28" t="str">
        <f>IF($J862="","",INDEX('Detalle individual'!$J:$J,$J862))</f>
        <v/>
      </c>
      <c r="H862" s="28" t="str">
        <f>IF($J862="","",INDEX('Detalle individual'!$L:$L,$J862))</f>
        <v/>
      </c>
      <c r="J862" t="str">
        <f>IFERROR(MATCH(SMALL(Cálculos!$AI$5:$AI$1000,858),Cálculos!$AI$5:$AI$1000,0)+4,"")</f>
        <v/>
      </c>
    </row>
    <row r="863">
      <c r="A863" s="5" t="str">
        <f>IF($J863="","",INDEX('Detalle individual'!$B:$B,$J863))</f>
        <v/>
      </c>
      <c r="B863" s="5" t="str">
        <f>IF($J863="","",INDEX('Detalle individual'!$A:$A,$J863))</f>
        <v/>
      </c>
      <c r="C863" s="5" t="str">
        <f>IF($J863="","",INDEX('Detalle individual'!$E:$E,$J863))</f>
        <v/>
      </c>
      <c r="D863" s="5" t="str">
        <f>IF($J863="","",INDEX('Detalle individual'!$C:$C,$J863))</f>
        <v/>
      </c>
      <c r="E863" s="5" t="str">
        <f>IF($J863="","",INDEX('Detalle individual'!$D:$D,$J863))</f>
        <v/>
      </c>
      <c r="F863" s="23" t="str">
        <f>IF($J863="","",INDEX('Detalle individual'!$H:$H,$J863))</f>
        <v/>
      </c>
      <c r="G863" s="28" t="str">
        <f>IF($J863="","",INDEX('Detalle individual'!$J:$J,$J863))</f>
        <v/>
      </c>
      <c r="H863" s="28" t="str">
        <f>IF($J863="","",INDEX('Detalle individual'!$L:$L,$J863))</f>
        <v/>
      </c>
      <c r="J863" t="str">
        <f>IFERROR(MATCH(SMALL(Cálculos!$AI$5:$AI$1000,859),Cálculos!$AI$5:$AI$1000,0)+4,"")</f>
        <v/>
      </c>
    </row>
    <row r="864">
      <c r="A864" s="5" t="str">
        <f>IF($J864="","",INDEX('Detalle individual'!$B:$B,$J864))</f>
        <v/>
      </c>
      <c r="B864" s="5" t="str">
        <f>IF($J864="","",INDEX('Detalle individual'!$A:$A,$J864))</f>
        <v/>
      </c>
      <c r="C864" s="5" t="str">
        <f>IF($J864="","",INDEX('Detalle individual'!$E:$E,$J864))</f>
        <v/>
      </c>
      <c r="D864" s="5" t="str">
        <f>IF($J864="","",INDEX('Detalle individual'!$C:$C,$J864))</f>
        <v/>
      </c>
      <c r="E864" s="5" t="str">
        <f>IF($J864="","",INDEX('Detalle individual'!$D:$D,$J864))</f>
        <v/>
      </c>
      <c r="F864" s="23" t="str">
        <f>IF($J864="","",INDEX('Detalle individual'!$H:$H,$J864))</f>
        <v/>
      </c>
      <c r="G864" s="28" t="str">
        <f>IF($J864="","",INDEX('Detalle individual'!$J:$J,$J864))</f>
        <v/>
      </c>
      <c r="H864" s="28" t="str">
        <f>IF($J864="","",INDEX('Detalle individual'!$L:$L,$J864))</f>
        <v/>
      </c>
      <c r="J864" t="str">
        <f>IFERROR(MATCH(SMALL(Cálculos!$AI$5:$AI$1000,860),Cálculos!$AI$5:$AI$1000,0)+4,"")</f>
        <v/>
      </c>
    </row>
    <row r="865">
      <c r="A865" s="5" t="str">
        <f>IF($J865="","",INDEX('Detalle individual'!$B:$B,$J865))</f>
        <v/>
      </c>
      <c r="B865" s="5" t="str">
        <f>IF($J865="","",INDEX('Detalle individual'!$A:$A,$J865))</f>
        <v/>
      </c>
      <c r="C865" s="5" t="str">
        <f>IF($J865="","",INDEX('Detalle individual'!$E:$E,$J865))</f>
        <v/>
      </c>
      <c r="D865" s="5" t="str">
        <f>IF($J865="","",INDEX('Detalle individual'!$C:$C,$J865))</f>
        <v/>
      </c>
      <c r="E865" s="5" t="str">
        <f>IF($J865="","",INDEX('Detalle individual'!$D:$D,$J865))</f>
        <v/>
      </c>
      <c r="F865" s="23" t="str">
        <f>IF($J865="","",INDEX('Detalle individual'!$H:$H,$J865))</f>
        <v/>
      </c>
      <c r="G865" s="28" t="str">
        <f>IF($J865="","",INDEX('Detalle individual'!$J:$J,$J865))</f>
        <v/>
      </c>
      <c r="H865" s="28" t="str">
        <f>IF($J865="","",INDEX('Detalle individual'!$L:$L,$J865))</f>
        <v/>
      </c>
      <c r="J865" t="str">
        <f>IFERROR(MATCH(SMALL(Cálculos!$AI$5:$AI$1000,861),Cálculos!$AI$5:$AI$1000,0)+4,"")</f>
        <v/>
      </c>
    </row>
    <row r="866">
      <c r="A866" s="5" t="str">
        <f>IF($J866="","",INDEX('Detalle individual'!$B:$B,$J866))</f>
        <v/>
      </c>
      <c r="B866" s="5" t="str">
        <f>IF($J866="","",INDEX('Detalle individual'!$A:$A,$J866))</f>
        <v/>
      </c>
      <c r="C866" s="5" t="str">
        <f>IF($J866="","",INDEX('Detalle individual'!$E:$E,$J866))</f>
        <v/>
      </c>
      <c r="D866" s="5" t="str">
        <f>IF($J866="","",INDEX('Detalle individual'!$C:$C,$J866))</f>
        <v/>
      </c>
      <c r="E866" s="5" t="str">
        <f>IF($J866="","",INDEX('Detalle individual'!$D:$D,$J866))</f>
        <v/>
      </c>
      <c r="F866" s="23" t="str">
        <f>IF($J866="","",INDEX('Detalle individual'!$H:$H,$J866))</f>
        <v/>
      </c>
      <c r="G866" s="28" t="str">
        <f>IF($J866="","",INDEX('Detalle individual'!$J:$J,$J866))</f>
        <v/>
      </c>
      <c r="H866" s="28" t="str">
        <f>IF($J866="","",INDEX('Detalle individual'!$L:$L,$J866))</f>
        <v/>
      </c>
      <c r="J866" t="str">
        <f>IFERROR(MATCH(SMALL(Cálculos!$AI$5:$AI$1000,862),Cálculos!$AI$5:$AI$1000,0)+4,"")</f>
        <v/>
      </c>
    </row>
    <row r="867">
      <c r="A867" s="5" t="str">
        <f>IF($J867="","",INDEX('Detalle individual'!$B:$B,$J867))</f>
        <v/>
      </c>
      <c r="B867" s="5" t="str">
        <f>IF($J867="","",INDEX('Detalle individual'!$A:$A,$J867))</f>
        <v/>
      </c>
      <c r="C867" s="5" t="str">
        <f>IF($J867="","",INDEX('Detalle individual'!$E:$E,$J867))</f>
        <v/>
      </c>
      <c r="D867" s="5" t="str">
        <f>IF($J867="","",INDEX('Detalle individual'!$C:$C,$J867))</f>
        <v/>
      </c>
      <c r="E867" s="5" t="str">
        <f>IF($J867="","",INDEX('Detalle individual'!$D:$D,$J867))</f>
        <v/>
      </c>
      <c r="F867" s="23" t="str">
        <f>IF($J867="","",INDEX('Detalle individual'!$H:$H,$J867))</f>
        <v/>
      </c>
      <c r="G867" s="28" t="str">
        <f>IF($J867="","",INDEX('Detalle individual'!$J:$J,$J867))</f>
        <v/>
      </c>
      <c r="H867" s="28" t="str">
        <f>IF($J867="","",INDEX('Detalle individual'!$L:$L,$J867))</f>
        <v/>
      </c>
      <c r="J867" t="str">
        <f>IFERROR(MATCH(SMALL(Cálculos!$AI$5:$AI$1000,863),Cálculos!$AI$5:$AI$1000,0)+4,"")</f>
        <v/>
      </c>
    </row>
    <row r="868">
      <c r="A868" s="5" t="str">
        <f>IF($J868="","",INDEX('Detalle individual'!$B:$B,$J868))</f>
        <v/>
      </c>
      <c r="B868" s="5" t="str">
        <f>IF($J868="","",INDEX('Detalle individual'!$A:$A,$J868))</f>
        <v/>
      </c>
      <c r="C868" s="5" t="str">
        <f>IF($J868="","",INDEX('Detalle individual'!$E:$E,$J868))</f>
        <v/>
      </c>
      <c r="D868" s="5" t="str">
        <f>IF($J868="","",INDEX('Detalle individual'!$C:$C,$J868))</f>
        <v/>
      </c>
      <c r="E868" s="5" t="str">
        <f>IF($J868="","",INDEX('Detalle individual'!$D:$D,$J868))</f>
        <v/>
      </c>
      <c r="F868" s="23" t="str">
        <f>IF($J868="","",INDEX('Detalle individual'!$H:$H,$J868))</f>
        <v/>
      </c>
      <c r="G868" s="28" t="str">
        <f>IF($J868="","",INDEX('Detalle individual'!$J:$J,$J868))</f>
        <v/>
      </c>
      <c r="H868" s="28" t="str">
        <f>IF($J868="","",INDEX('Detalle individual'!$L:$L,$J868))</f>
        <v/>
      </c>
      <c r="J868" t="str">
        <f>IFERROR(MATCH(SMALL(Cálculos!$AI$5:$AI$1000,864),Cálculos!$AI$5:$AI$1000,0)+4,"")</f>
        <v/>
      </c>
    </row>
    <row r="869">
      <c r="A869" s="5" t="str">
        <f>IF($J869="","",INDEX('Detalle individual'!$B:$B,$J869))</f>
        <v/>
      </c>
      <c r="B869" s="5" t="str">
        <f>IF($J869="","",INDEX('Detalle individual'!$A:$A,$J869))</f>
        <v/>
      </c>
      <c r="C869" s="5" t="str">
        <f>IF($J869="","",INDEX('Detalle individual'!$E:$E,$J869))</f>
        <v/>
      </c>
      <c r="D869" s="5" t="str">
        <f>IF($J869="","",INDEX('Detalle individual'!$C:$C,$J869))</f>
        <v/>
      </c>
      <c r="E869" s="5" t="str">
        <f>IF($J869="","",INDEX('Detalle individual'!$D:$D,$J869))</f>
        <v/>
      </c>
      <c r="F869" s="23" t="str">
        <f>IF($J869="","",INDEX('Detalle individual'!$H:$H,$J869))</f>
        <v/>
      </c>
      <c r="G869" s="28" t="str">
        <f>IF($J869="","",INDEX('Detalle individual'!$J:$J,$J869))</f>
        <v/>
      </c>
      <c r="H869" s="28" t="str">
        <f>IF($J869="","",INDEX('Detalle individual'!$L:$L,$J869))</f>
        <v/>
      </c>
      <c r="J869" t="str">
        <f>IFERROR(MATCH(SMALL(Cálculos!$AI$5:$AI$1000,865),Cálculos!$AI$5:$AI$1000,0)+4,"")</f>
        <v/>
      </c>
    </row>
    <row r="870">
      <c r="A870" s="5" t="str">
        <f>IF($J870="","",INDEX('Detalle individual'!$B:$B,$J870))</f>
        <v/>
      </c>
      <c r="B870" s="5" t="str">
        <f>IF($J870="","",INDEX('Detalle individual'!$A:$A,$J870))</f>
        <v/>
      </c>
      <c r="C870" s="5" t="str">
        <f>IF($J870="","",INDEX('Detalle individual'!$E:$E,$J870))</f>
        <v/>
      </c>
      <c r="D870" s="5" t="str">
        <f>IF($J870="","",INDEX('Detalle individual'!$C:$C,$J870))</f>
        <v/>
      </c>
      <c r="E870" s="5" t="str">
        <f>IF($J870="","",INDEX('Detalle individual'!$D:$D,$J870))</f>
        <v/>
      </c>
      <c r="F870" s="23" t="str">
        <f>IF($J870="","",INDEX('Detalle individual'!$H:$H,$J870))</f>
        <v/>
      </c>
      <c r="G870" s="28" t="str">
        <f>IF($J870="","",INDEX('Detalle individual'!$J:$J,$J870))</f>
        <v/>
      </c>
      <c r="H870" s="28" t="str">
        <f>IF($J870="","",INDEX('Detalle individual'!$L:$L,$J870))</f>
        <v/>
      </c>
      <c r="J870" t="str">
        <f>IFERROR(MATCH(SMALL(Cálculos!$AI$5:$AI$1000,866),Cálculos!$AI$5:$AI$1000,0)+4,"")</f>
        <v/>
      </c>
    </row>
    <row r="871">
      <c r="A871" s="5" t="str">
        <f>IF($J871="","",INDEX('Detalle individual'!$B:$B,$J871))</f>
        <v/>
      </c>
      <c r="B871" s="5" t="str">
        <f>IF($J871="","",INDEX('Detalle individual'!$A:$A,$J871))</f>
        <v/>
      </c>
      <c r="C871" s="5" t="str">
        <f>IF($J871="","",INDEX('Detalle individual'!$E:$E,$J871))</f>
        <v/>
      </c>
      <c r="D871" s="5" t="str">
        <f>IF($J871="","",INDEX('Detalle individual'!$C:$C,$J871))</f>
        <v/>
      </c>
      <c r="E871" s="5" t="str">
        <f>IF($J871="","",INDEX('Detalle individual'!$D:$D,$J871))</f>
        <v/>
      </c>
      <c r="F871" s="23" t="str">
        <f>IF($J871="","",INDEX('Detalle individual'!$H:$H,$J871))</f>
        <v/>
      </c>
      <c r="G871" s="28" t="str">
        <f>IF($J871="","",INDEX('Detalle individual'!$J:$J,$J871))</f>
        <v/>
      </c>
      <c r="H871" s="28" t="str">
        <f>IF($J871="","",INDEX('Detalle individual'!$L:$L,$J871))</f>
        <v/>
      </c>
      <c r="J871" t="str">
        <f>IFERROR(MATCH(SMALL(Cálculos!$AI$5:$AI$1000,867),Cálculos!$AI$5:$AI$1000,0)+4,"")</f>
        <v/>
      </c>
    </row>
    <row r="872">
      <c r="A872" s="5" t="str">
        <f>IF($J872="","",INDEX('Detalle individual'!$B:$B,$J872))</f>
        <v/>
      </c>
      <c r="B872" s="5" t="str">
        <f>IF($J872="","",INDEX('Detalle individual'!$A:$A,$J872))</f>
        <v/>
      </c>
      <c r="C872" s="5" t="str">
        <f>IF($J872="","",INDEX('Detalle individual'!$E:$E,$J872))</f>
        <v/>
      </c>
      <c r="D872" s="5" t="str">
        <f>IF($J872="","",INDEX('Detalle individual'!$C:$C,$J872))</f>
        <v/>
      </c>
      <c r="E872" s="5" t="str">
        <f>IF($J872="","",INDEX('Detalle individual'!$D:$D,$J872))</f>
        <v/>
      </c>
      <c r="F872" s="23" t="str">
        <f>IF($J872="","",INDEX('Detalle individual'!$H:$H,$J872))</f>
        <v/>
      </c>
      <c r="G872" s="28" t="str">
        <f>IF($J872="","",INDEX('Detalle individual'!$J:$J,$J872))</f>
        <v/>
      </c>
      <c r="H872" s="28" t="str">
        <f>IF($J872="","",INDEX('Detalle individual'!$L:$L,$J872))</f>
        <v/>
      </c>
      <c r="J872" t="str">
        <f>IFERROR(MATCH(SMALL(Cálculos!$AI$5:$AI$1000,868),Cálculos!$AI$5:$AI$1000,0)+4,"")</f>
        <v/>
      </c>
    </row>
    <row r="873">
      <c r="A873" s="5" t="str">
        <f>IF($J873="","",INDEX('Detalle individual'!$B:$B,$J873))</f>
        <v/>
      </c>
      <c r="B873" s="5" t="str">
        <f>IF($J873="","",INDEX('Detalle individual'!$A:$A,$J873))</f>
        <v/>
      </c>
      <c r="C873" s="5" t="str">
        <f>IF($J873="","",INDEX('Detalle individual'!$E:$E,$J873))</f>
        <v/>
      </c>
      <c r="D873" s="5" t="str">
        <f>IF($J873="","",INDEX('Detalle individual'!$C:$C,$J873))</f>
        <v/>
      </c>
      <c r="E873" s="5" t="str">
        <f>IF($J873="","",INDEX('Detalle individual'!$D:$D,$J873))</f>
        <v/>
      </c>
      <c r="F873" s="23" t="str">
        <f>IF($J873="","",INDEX('Detalle individual'!$H:$H,$J873))</f>
        <v/>
      </c>
      <c r="G873" s="28" t="str">
        <f>IF($J873="","",INDEX('Detalle individual'!$J:$J,$J873))</f>
        <v/>
      </c>
      <c r="H873" s="28" t="str">
        <f>IF($J873="","",INDEX('Detalle individual'!$L:$L,$J873))</f>
        <v/>
      </c>
      <c r="J873" t="str">
        <f>IFERROR(MATCH(SMALL(Cálculos!$AI$5:$AI$1000,869),Cálculos!$AI$5:$AI$1000,0)+4,"")</f>
        <v/>
      </c>
    </row>
    <row r="874">
      <c r="A874" s="5" t="str">
        <f>IF($J874="","",INDEX('Detalle individual'!$B:$B,$J874))</f>
        <v/>
      </c>
      <c r="B874" s="5" t="str">
        <f>IF($J874="","",INDEX('Detalle individual'!$A:$A,$J874))</f>
        <v/>
      </c>
      <c r="C874" s="5" t="str">
        <f>IF($J874="","",INDEX('Detalle individual'!$E:$E,$J874))</f>
        <v/>
      </c>
      <c r="D874" s="5" t="str">
        <f>IF($J874="","",INDEX('Detalle individual'!$C:$C,$J874))</f>
        <v/>
      </c>
      <c r="E874" s="5" t="str">
        <f>IF($J874="","",INDEX('Detalle individual'!$D:$D,$J874))</f>
        <v/>
      </c>
      <c r="F874" s="23" t="str">
        <f>IF($J874="","",INDEX('Detalle individual'!$H:$H,$J874))</f>
        <v/>
      </c>
      <c r="G874" s="28" t="str">
        <f>IF($J874="","",INDEX('Detalle individual'!$J:$J,$J874))</f>
        <v/>
      </c>
      <c r="H874" s="28" t="str">
        <f>IF($J874="","",INDEX('Detalle individual'!$L:$L,$J874))</f>
        <v/>
      </c>
      <c r="J874" t="str">
        <f>IFERROR(MATCH(SMALL(Cálculos!$AI$5:$AI$1000,870),Cálculos!$AI$5:$AI$1000,0)+4,"")</f>
        <v/>
      </c>
    </row>
    <row r="875">
      <c r="A875" s="5" t="str">
        <f>IF($J875="","",INDEX('Detalle individual'!$B:$B,$J875))</f>
        <v/>
      </c>
      <c r="B875" s="5" t="str">
        <f>IF($J875="","",INDEX('Detalle individual'!$A:$A,$J875))</f>
        <v/>
      </c>
      <c r="C875" s="5" t="str">
        <f>IF($J875="","",INDEX('Detalle individual'!$E:$E,$J875))</f>
        <v/>
      </c>
      <c r="D875" s="5" t="str">
        <f>IF($J875="","",INDEX('Detalle individual'!$C:$C,$J875))</f>
        <v/>
      </c>
      <c r="E875" s="5" t="str">
        <f>IF($J875="","",INDEX('Detalle individual'!$D:$D,$J875))</f>
        <v/>
      </c>
      <c r="F875" s="23" t="str">
        <f>IF($J875="","",INDEX('Detalle individual'!$H:$H,$J875))</f>
        <v/>
      </c>
      <c r="G875" s="28" t="str">
        <f>IF($J875="","",INDEX('Detalle individual'!$J:$J,$J875))</f>
        <v/>
      </c>
      <c r="H875" s="28" t="str">
        <f>IF($J875="","",INDEX('Detalle individual'!$L:$L,$J875))</f>
        <v/>
      </c>
      <c r="J875" t="str">
        <f>IFERROR(MATCH(SMALL(Cálculos!$AI$5:$AI$1000,871),Cálculos!$AI$5:$AI$1000,0)+4,"")</f>
        <v/>
      </c>
    </row>
    <row r="876">
      <c r="A876" s="5" t="str">
        <f>IF($J876="","",INDEX('Detalle individual'!$B:$B,$J876))</f>
        <v/>
      </c>
      <c r="B876" s="5" t="str">
        <f>IF($J876="","",INDEX('Detalle individual'!$A:$A,$J876))</f>
        <v/>
      </c>
      <c r="C876" s="5" t="str">
        <f>IF($J876="","",INDEX('Detalle individual'!$E:$E,$J876))</f>
        <v/>
      </c>
      <c r="D876" s="5" t="str">
        <f>IF($J876="","",INDEX('Detalle individual'!$C:$C,$J876))</f>
        <v/>
      </c>
      <c r="E876" s="5" t="str">
        <f>IF($J876="","",INDEX('Detalle individual'!$D:$D,$J876))</f>
        <v/>
      </c>
      <c r="F876" s="23" t="str">
        <f>IF($J876="","",INDEX('Detalle individual'!$H:$H,$J876))</f>
        <v/>
      </c>
      <c r="G876" s="28" t="str">
        <f>IF($J876="","",INDEX('Detalle individual'!$J:$J,$J876))</f>
        <v/>
      </c>
      <c r="H876" s="28" t="str">
        <f>IF($J876="","",INDEX('Detalle individual'!$L:$L,$J876))</f>
        <v/>
      </c>
      <c r="J876" t="str">
        <f>IFERROR(MATCH(SMALL(Cálculos!$AI$5:$AI$1000,872),Cálculos!$AI$5:$AI$1000,0)+4,"")</f>
        <v/>
      </c>
    </row>
    <row r="877">
      <c r="A877" s="5" t="str">
        <f>IF($J877="","",INDEX('Detalle individual'!$B:$B,$J877))</f>
        <v/>
      </c>
      <c r="B877" s="5" t="str">
        <f>IF($J877="","",INDEX('Detalle individual'!$A:$A,$J877))</f>
        <v/>
      </c>
      <c r="C877" s="5" t="str">
        <f>IF($J877="","",INDEX('Detalle individual'!$E:$E,$J877))</f>
        <v/>
      </c>
      <c r="D877" s="5" t="str">
        <f>IF($J877="","",INDEX('Detalle individual'!$C:$C,$J877))</f>
        <v/>
      </c>
      <c r="E877" s="5" t="str">
        <f>IF($J877="","",INDEX('Detalle individual'!$D:$D,$J877))</f>
        <v/>
      </c>
      <c r="F877" s="23" t="str">
        <f>IF($J877="","",INDEX('Detalle individual'!$H:$H,$J877))</f>
        <v/>
      </c>
      <c r="G877" s="28" t="str">
        <f>IF($J877="","",INDEX('Detalle individual'!$J:$J,$J877))</f>
        <v/>
      </c>
      <c r="H877" s="28" t="str">
        <f>IF($J877="","",INDEX('Detalle individual'!$L:$L,$J877))</f>
        <v/>
      </c>
      <c r="J877" t="str">
        <f>IFERROR(MATCH(SMALL(Cálculos!$AI$5:$AI$1000,873),Cálculos!$AI$5:$AI$1000,0)+4,"")</f>
        <v/>
      </c>
    </row>
    <row r="878">
      <c r="A878" s="5" t="str">
        <f>IF($J878="","",INDEX('Detalle individual'!$B:$B,$J878))</f>
        <v/>
      </c>
      <c r="B878" s="5" t="str">
        <f>IF($J878="","",INDEX('Detalle individual'!$A:$A,$J878))</f>
        <v/>
      </c>
      <c r="C878" s="5" t="str">
        <f>IF($J878="","",INDEX('Detalle individual'!$E:$E,$J878))</f>
        <v/>
      </c>
      <c r="D878" s="5" t="str">
        <f>IF($J878="","",INDEX('Detalle individual'!$C:$C,$J878))</f>
        <v/>
      </c>
      <c r="E878" s="5" t="str">
        <f>IF($J878="","",INDEX('Detalle individual'!$D:$D,$J878))</f>
        <v/>
      </c>
      <c r="F878" s="23" t="str">
        <f>IF($J878="","",INDEX('Detalle individual'!$H:$H,$J878))</f>
        <v/>
      </c>
      <c r="G878" s="28" t="str">
        <f>IF($J878="","",INDEX('Detalle individual'!$J:$J,$J878))</f>
        <v/>
      </c>
      <c r="H878" s="28" t="str">
        <f>IF($J878="","",INDEX('Detalle individual'!$L:$L,$J878))</f>
        <v/>
      </c>
      <c r="J878" t="str">
        <f>IFERROR(MATCH(SMALL(Cálculos!$AI$5:$AI$1000,874),Cálculos!$AI$5:$AI$1000,0)+4,"")</f>
        <v/>
      </c>
    </row>
    <row r="879">
      <c r="A879" s="5" t="str">
        <f>IF($J879="","",INDEX('Detalle individual'!$B:$B,$J879))</f>
        <v/>
      </c>
      <c r="B879" s="5" t="str">
        <f>IF($J879="","",INDEX('Detalle individual'!$A:$A,$J879))</f>
        <v/>
      </c>
      <c r="C879" s="5" t="str">
        <f>IF($J879="","",INDEX('Detalle individual'!$E:$E,$J879))</f>
        <v/>
      </c>
      <c r="D879" s="5" t="str">
        <f>IF($J879="","",INDEX('Detalle individual'!$C:$C,$J879))</f>
        <v/>
      </c>
      <c r="E879" s="5" t="str">
        <f>IF($J879="","",INDEX('Detalle individual'!$D:$D,$J879))</f>
        <v/>
      </c>
      <c r="F879" s="23" t="str">
        <f>IF($J879="","",INDEX('Detalle individual'!$H:$H,$J879))</f>
        <v/>
      </c>
      <c r="G879" s="28" t="str">
        <f>IF($J879="","",INDEX('Detalle individual'!$J:$J,$J879))</f>
        <v/>
      </c>
      <c r="H879" s="28" t="str">
        <f>IF($J879="","",INDEX('Detalle individual'!$L:$L,$J879))</f>
        <v/>
      </c>
      <c r="J879" t="str">
        <f>IFERROR(MATCH(SMALL(Cálculos!$AI$5:$AI$1000,875),Cálculos!$AI$5:$AI$1000,0)+4,"")</f>
        <v/>
      </c>
    </row>
    <row r="880">
      <c r="A880" s="5" t="str">
        <f>IF($J880="","",INDEX('Detalle individual'!$B:$B,$J880))</f>
        <v/>
      </c>
      <c r="B880" s="5" t="str">
        <f>IF($J880="","",INDEX('Detalle individual'!$A:$A,$J880))</f>
        <v/>
      </c>
      <c r="C880" s="5" t="str">
        <f>IF($J880="","",INDEX('Detalle individual'!$E:$E,$J880))</f>
        <v/>
      </c>
      <c r="D880" s="5" t="str">
        <f>IF($J880="","",INDEX('Detalle individual'!$C:$C,$J880))</f>
        <v/>
      </c>
      <c r="E880" s="5" t="str">
        <f>IF($J880="","",INDEX('Detalle individual'!$D:$D,$J880))</f>
        <v/>
      </c>
      <c r="F880" s="23" t="str">
        <f>IF($J880="","",INDEX('Detalle individual'!$H:$H,$J880))</f>
        <v/>
      </c>
      <c r="G880" s="28" t="str">
        <f>IF($J880="","",INDEX('Detalle individual'!$J:$J,$J880))</f>
        <v/>
      </c>
      <c r="H880" s="28" t="str">
        <f>IF($J880="","",INDEX('Detalle individual'!$L:$L,$J880))</f>
        <v/>
      </c>
      <c r="J880" t="str">
        <f>IFERROR(MATCH(SMALL(Cálculos!$AI$5:$AI$1000,876),Cálculos!$AI$5:$AI$1000,0)+4,"")</f>
        <v/>
      </c>
    </row>
    <row r="881">
      <c r="A881" s="5" t="str">
        <f>IF($J881="","",INDEX('Detalle individual'!$B:$B,$J881))</f>
        <v/>
      </c>
      <c r="B881" s="5" t="str">
        <f>IF($J881="","",INDEX('Detalle individual'!$A:$A,$J881))</f>
        <v/>
      </c>
      <c r="C881" s="5" t="str">
        <f>IF($J881="","",INDEX('Detalle individual'!$E:$E,$J881))</f>
        <v/>
      </c>
      <c r="D881" s="5" t="str">
        <f>IF($J881="","",INDEX('Detalle individual'!$C:$C,$J881))</f>
        <v/>
      </c>
      <c r="E881" s="5" t="str">
        <f>IF($J881="","",INDEX('Detalle individual'!$D:$D,$J881))</f>
        <v/>
      </c>
      <c r="F881" s="23" t="str">
        <f>IF($J881="","",INDEX('Detalle individual'!$H:$H,$J881))</f>
        <v/>
      </c>
      <c r="G881" s="28" t="str">
        <f>IF($J881="","",INDEX('Detalle individual'!$J:$J,$J881))</f>
        <v/>
      </c>
      <c r="H881" s="28" t="str">
        <f>IF($J881="","",INDEX('Detalle individual'!$L:$L,$J881))</f>
        <v/>
      </c>
      <c r="J881" t="str">
        <f>IFERROR(MATCH(SMALL(Cálculos!$AI$5:$AI$1000,877),Cálculos!$AI$5:$AI$1000,0)+4,"")</f>
        <v/>
      </c>
    </row>
    <row r="882">
      <c r="A882" s="5" t="str">
        <f>IF($J882="","",INDEX('Detalle individual'!$B:$B,$J882))</f>
        <v/>
      </c>
      <c r="B882" s="5" t="str">
        <f>IF($J882="","",INDEX('Detalle individual'!$A:$A,$J882))</f>
        <v/>
      </c>
      <c r="C882" s="5" t="str">
        <f>IF($J882="","",INDEX('Detalle individual'!$E:$E,$J882))</f>
        <v/>
      </c>
      <c r="D882" s="5" t="str">
        <f>IF($J882="","",INDEX('Detalle individual'!$C:$C,$J882))</f>
        <v/>
      </c>
      <c r="E882" s="5" t="str">
        <f>IF($J882="","",INDEX('Detalle individual'!$D:$D,$J882))</f>
        <v/>
      </c>
      <c r="F882" s="23" t="str">
        <f>IF($J882="","",INDEX('Detalle individual'!$H:$H,$J882))</f>
        <v/>
      </c>
      <c r="G882" s="28" t="str">
        <f>IF($J882="","",INDEX('Detalle individual'!$J:$J,$J882))</f>
        <v/>
      </c>
      <c r="H882" s="28" t="str">
        <f>IF($J882="","",INDEX('Detalle individual'!$L:$L,$J882))</f>
        <v/>
      </c>
      <c r="J882" t="str">
        <f>IFERROR(MATCH(SMALL(Cálculos!$AI$5:$AI$1000,878),Cálculos!$AI$5:$AI$1000,0)+4,"")</f>
        <v/>
      </c>
    </row>
    <row r="883">
      <c r="A883" s="5" t="str">
        <f>IF($J883="","",INDEX('Detalle individual'!$B:$B,$J883))</f>
        <v/>
      </c>
      <c r="B883" s="5" t="str">
        <f>IF($J883="","",INDEX('Detalle individual'!$A:$A,$J883))</f>
        <v/>
      </c>
      <c r="C883" s="5" t="str">
        <f>IF($J883="","",INDEX('Detalle individual'!$E:$E,$J883))</f>
        <v/>
      </c>
      <c r="D883" s="5" t="str">
        <f>IF($J883="","",INDEX('Detalle individual'!$C:$C,$J883))</f>
        <v/>
      </c>
      <c r="E883" s="5" t="str">
        <f>IF($J883="","",INDEX('Detalle individual'!$D:$D,$J883))</f>
        <v/>
      </c>
      <c r="F883" s="23" t="str">
        <f>IF($J883="","",INDEX('Detalle individual'!$H:$H,$J883))</f>
        <v/>
      </c>
      <c r="G883" s="28" t="str">
        <f>IF($J883="","",INDEX('Detalle individual'!$J:$J,$J883))</f>
        <v/>
      </c>
      <c r="H883" s="28" t="str">
        <f>IF($J883="","",INDEX('Detalle individual'!$L:$L,$J883))</f>
        <v/>
      </c>
      <c r="J883" t="str">
        <f>IFERROR(MATCH(SMALL(Cálculos!$AI$5:$AI$1000,879),Cálculos!$AI$5:$AI$1000,0)+4,"")</f>
        <v/>
      </c>
    </row>
    <row r="884">
      <c r="A884" s="5" t="str">
        <f>IF($J884="","",INDEX('Detalle individual'!$B:$B,$J884))</f>
        <v/>
      </c>
      <c r="B884" s="5" t="str">
        <f>IF($J884="","",INDEX('Detalle individual'!$A:$A,$J884))</f>
        <v/>
      </c>
      <c r="C884" s="5" t="str">
        <f>IF($J884="","",INDEX('Detalle individual'!$E:$E,$J884))</f>
        <v/>
      </c>
      <c r="D884" s="5" t="str">
        <f>IF($J884="","",INDEX('Detalle individual'!$C:$C,$J884))</f>
        <v/>
      </c>
      <c r="E884" s="5" t="str">
        <f>IF($J884="","",INDEX('Detalle individual'!$D:$D,$J884))</f>
        <v/>
      </c>
      <c r="F884" s="23" t="str">
        <f>IF($J884="","",INDEX('Detalle individual'!$H:$H,$J884))</f>
        <v/>
      </c>
      <c r="G884" s="28" t="str">
        <f>IF($J884="","",INDEX('Detalle individual'!$J:$J,$J884))</f>
        <v/>
      </c>
      <c r="H884" s="28" t="str">
        <f>IF($J884="","",INDEX('Detalle individual'!$L:$L,$J884))</f>
        <v/>
      </c>
      <c r="J884" t="str">
        <f>IFERROR(MATCH(SMALL(Cálculos!$AI$5:$AI$1000,880),Cálculos!$AI$5:$AI$1000,0)+4,"")</f>
        <v/>
      </c>
    </row>
    <row r="885">
      <c r="A885" s="5" t="str">
        <f>IF($J885="","",INDEX('Detalle individual'!$B:$B,$J885))</f>
        <v/>
      </c>
      <c r="B885" s="5" t="str">
        <f>IF($J885="","",INDEX('Detalle individual'!$A:$A,$J885))</f>
        <v/>
      </c>
      <c r="C885" s="5" t="str">
        <f>IF($J885="","",INDEX('Detalle individual'!$E:$E,$J885))</f>
        <v/>
      </c>
      <c r="D885" s="5" t="str">
        <f>IF($J885="","",INDEX('Detalle individual'!$C:$C,$J885))</f>
        <v/>
      </c>
      <c r="E885" s="5" t="str">
        <f>IF($J885="","",INDEX('Detalle individual'!$D:$D,$J885))</f>
        <v/>
      </c>
      <c r="F885" s="23" t="str">
        <f>IF($J885="","",INDEX('Detalle individual'!$H:$H,$J885))</f>
        <v/>
      </c>
      <c r="G885" s="28" t="str">
        <f>IF($J885="","",INDEX('Detalle individual'!$J:$J,$J885))</f>
        <v/>
      </c>
      <c r="H885" s="28" t="str">
        <f>IF($J885="","",INDEX('Detalle individual'!$L:$L,$J885))</f>
        <v/>
      </c>
      <c r="J885" t="str">
        <f>IFERROR(MATCH(SMALL(Cálculos!$AI$5:$AI$1000,881),Cálculos!$AI$5:$AI$1000,0)+4,"")</f>
        <v/>
      </c>
    </row>
    <row r="886">
      <c r="A886" s="5" t="str">
        <f>IF($J886="","",INDEX('Detalle individual'!$B:$B,$J886))</f>
        <v/>
      </c>
      <c r="B886" s="5" t="str">
        <f>IF($J886="","",INDEX('Detalle individual'!$A:$A,$J886))</f>
        <v/>
      </c>
      <c r="C886" s="5" t="str">
        <f>IF($J886="","",INDEX('Detalle individual'!$E:$E,$J886))</f>
        <v/>
      </c>
      <c r="D886" s="5" t="str">
        <f>IF($J886="","",INDEX('Detalle individual'!$C:$C,$J886))</f>
        <v/>
      </c>
      <c r="E886" s="5" t="str">
        <f>IF($J886="","",INDEX('Detalle individual'!$D:$D,$J886))</f>
        <v/>
      </c>
      <c r="F886" s="23" t="str">
        <f>IF($J886="","",INDEX('Detalle individual'!$H:$H,$J886))</f>
        <v/>
      </c>
      <c r="G886" s="28" t="str">
        <f>IF($J886="","",INDEX('Detalle individual'!$J:$J,$J886))</f>
        <v/>
      </c>
      <c r="H886" s="28" t="str">
        <f>IF($J886="","",INDEX('Detalle individual'!$L:$L,$J886))</f>
        <v/>
      </c>
      <c r="J886" t="str">
        <f>IFERROR(MATCH(SMALL(Cálculos!$AI$5:$AI$1000,882),Cálculos!$AI$5:$AI$1000,0)+4,"")</f>
        <v/>
      </c>
    </row>
    <row r="887">
      <c r="A887" s="5" t="str">
        <f>IF($J887="","",INDEX('Detalle individual'!$B:$B,$J887))</f>
        <v/>
      </c>
      <c r="B887" s="5" t="str">
        <f>IF($J887="","",INDEX('Detalle individual'!$A:$A,$J887))</f>
        <v/>
      </c>
      <c r="C887" s="5" t="str">
        <f>IF($J887="","",INDEX('Detalle individual'!$E:$E,$J887))</f>
        <v/>
      </c>
      <c r="D887" s="5" t="str">
        <f>IF($J887="","",INDEX('Detalle individual'!$C:$C,$J887))</f>
        <v/>
      </c>
      <c r="E887" s="5" t="str">
        <f>IF($J887="","",INDEX('Detalle individual'!$D:$D,$J887))</f>
        <v/>
      </c>
      <c r="F887" s="23" t="str">
        <f>IF($J887="","",INDEX('Detalle individual'!$H:$H,$J887))</f>
        <v/>
      </c>
      <c r="G887" s="28" t="str">
        <f>IF($J887="","",INDEX('Detalle individual'!$J:$J,$J887))</f>
        <v/>
      </c>
      <c r="H887" s="28" t="str">
        <f>IF($J887="","",INDEX('Detalle individual'!$L:$L,$J887))</f>
        <v/>
      </c>
      <c r="J887" t="str">
        <f>IFERROR(MATCH(SMALL(Cálculos!$AI$5:$AI$1000,883),Cálculos!$AI$5:$AI$1000,0)+4,"")</f>
        <v/>
      </c>
    </row>
    <row r="888">
      <c r="A888" s="5" t="str">
        <f>IF($J888="","",INDEX('Detalle individual'!$B:$B,$J888))</f>
        <v/>
      </c>
      <c r="B888" s="5" t="str">
        <f>IF($J888="","",INDEX('Detalle individual'!$A:$A,$J888))</f>
        <v/>
      </c>
      <c r="C888" s="5" t="str">
        <f>IF($J888="","",INDEX('Detalle individual'!$E:$E,$J888))</f>
        <v/>
      </c>
      <c r="D888" s="5" t="str">
        <f>IF($J888="","",INDEX('Detalle individual'!$C:$C,$J888))</f>
        <v/>
      </c>
      <c r="E888" s="5" t="str">
        <f>IF($J888="","",INDEX('Detalle individual'!$D:$D,$J888))</f>
        <v/>
      </c>
      <c r="F888" s="23" t="str">
        <f>IF($J888="","",INDEX('Detalle individual'!$H:$H,$J888))</f>
        <v/>
      </c>
      <c r="G888" s="28" t="str">
        <f>IF($J888="","",INDEX('Detalle individual'!$J:$J,$J888))</f>
        <v/>
      </c>
      <c r="H888" s="28" t="str">
        <f>IF($J888="","",INDEX('Detalle individual'!$L:$L,$J888))</f>
        <v/>
      </c>
      <c r="J888" t="str">
        <f>IFERROR(MATCH(SMALL(Cálculos!$AI$5:$AI$1000,884),Cálculos!$AI$5:$AI$1000,0)+4,"")</f>
        <v/>
      </c>
    </row>
    <row r="889">
      <c r="A889" s="5" t="str">
        <f>IF($J889="","",INDEX('Detalle individual'!$B:$B,$J889))</f>
        <v/>
      </c>
      <c r="B889" s="5" t="str">
        <f>IF($J889="","",INDEX('Detalle individual'!$A:$A,$J889))</f>
        <v/>
      </c>
      <c r="C889" s="5" t="str">
        <f>IF($J889="","",INDEX('Detalle individual'!$E:$E,$J889))</f>
        <v/>
      </c>
      <c r="D889" s="5" t="str">
        <f>IF($J889="","",INDEX('Detalle individual'!$C:$C,$J889))</f>
        <v/>
      </c>
      <c r="E889" s="5" t="str">
        <f>IF($J889="","",INDEX('Detalle individual'!$D:$D,$J889))</f>
        <v/>
      </c>
      <c r="F889" s="23" t="str">
        <f>IF($J889="","",INDEX('Detalle individual'!$H:$H,$J889))</f>
        <v/>
      </c>
      <c r="G889" s="28" t="str">
        <f>IF($J889="","",INDEX('Detalle individual'!$J:$J,$J889))</f>
        <v/>
      </c>
      <c r="H889" s="28" t="str">
        <f>IF($J889="","",INDEX('Detalle individual'!$L:$L,$J889))</f>
        <v/>
      </c>
      <c r="J889" t="str">
        <f>IFERROR(MATCH(SMALL(Cálculos!$AI$5:$AI$1000,885),Cálculos!$AI$5:$AI$1000,0)+4,"")</f>
        <v/>
      </c>
    </row>
    <row r="890">
      <c r="A890" s="5" t="str">
        <f>IF($J890="","",INDEX('Detalle individual'!$B:$B,$J890))</f>
        <v/>
      </c>
      <c r="B890" s="5" t="str">
        <f>IF($J890="","",INDEX('Detalle individual'!$A:$A,$J890))</f>
        <v/>
      </c>
      <c r="C890" s="5" t="str">
        <f>IF($J890="","",INDEX('Detalle individual'!$E:$E,$J890))</f>
        <v/>
      </c>
      <c r="D890" s="5" t="str">
        <f>IF($J890="","",INDEX('Detalle individual'!$C:$C,$J890))</f>
        <v/>
      </c>
      <c r="E890" s="5" t="str">
        <f>IF($J890="","",INDEX('Detalle individual'!$D:$D,$J890))</f>
        <v/>
      </c>
      <c r="F890" s="23" t="str">
        <f>IF($J890="","",INDEX('Detalle individual'!$H:$H,$J890))</f>
        <v/>
      </c>
      <c r="G890" s="28" t="str">
        <f>IF($J890="","",INDEX('Detalle individual'!$J:$J,$J890))</f>
        <v/>
      </c>
      <c r="H890" s="28" t="str">
        <f>IF($J890="","",INDEX('Detalle individual'!$L:$L,$J890))</f>
        <v/>
      </c>
      <c r="J890" t="str">
        <f>IFERROR(MATCH(SMALL(Cálculos!$AI$5:$AI$1000,886),Cálculos!$AI$5:$AI$1000,0)+4,"")</f>
        <v/>
      </c>
    </row>
    <row r="891">
      <c r="A891" s="5" t="str">
        <f>IF($J891="","",INDEX('Detalle individual'!$B:$B,$J891))</f>
        <v/>
      </c>
      <c r="B891" s="5" t="str">
        <f>IF($J891="","",INDEX('Detalle individual'!$A:$A,$J891))</f>
        <v/>
      </c>
      <c r="C891" s="5" t="str">
        <f>IF($J891="","",INDEX('Detalle individual'!$E:$E,$J891))</f>
        <v/>
      </c>
      <c r="D891" s="5" t="str">
        <f>IF($J891="","",INDEX('Detalle individual'!$C:$C,$J891))</f>
        <v/>
      </c>
      <c r="E891" s="5" t="str">
        <f>IF($J891="","",INDEX('Detalle individual'!$D:$D,$J891))</f>
        <v/>
      </c>
      <c r="F891" s="23" t="str">
        <f>IF($J891="","",INDEX('Detalle individual'!$H:$H,$J891))</f>
        <v/>
      </c>
      <c r="G891" s="28" t="str">
        <f>IF($J891="","",INDEX('Detalle individual'!$J:$J,$J891))</f>
        <v/>
      </c>
      <c r="H891" s="28" t="str">
        <f>IF($J891="","",INDEX('Detalle individual'!$L:$L,$J891))</f>
        <v/>
      </c>
      <c r="J891" t="str">
        <f>IFERROR(MATCH(SMALL(Cálculos!$AI$5:$AI$1000,887),Cálculos!$AI$5:$AI$1000,0)+4,"")</f>
        <v/>
      </c>
    </row>
    <row r="892">
      <c r="A892" s="5" t="str">
        <f>IF($J892="","",INDEX('Detalle individual'!$B:$B,$J892))</f>
        <v/>
      </c>
      <c r="B892" s="5" t="str">
        <f>IF($J892="","",INDEX('Detalle individual'!$A:$A,$J892))</f>
        <v/>
      </c>
      <c r="C892" s="5" t="str">
        <f>IF($J892="","",INDEX('Detalle individual'!$E:$E,$J892))</f>
        <v/>
      </c>
      <c r="D892" s="5" t="str">
        <f>IF($J892="","",INDEX('Detalle individual'!$C:$C,$J892))</f>
        <v/>
      </c>
      <c r="E892" s="5" t="str">
        <f>IF($J892="","",INDEX('Detalle individual'!$D:$D,$J892))</f>
        <v/>
      </c>
      <c r="F892" s="23" t="str">
        <f>IF($J892="","",INDEX('Detalle individual'!$H:$H,$J892))</f>
        <v/>
      </c>
      <c r="G892" s="28" t="str">
        <f>IF($J892="","",INDEX('Detalle individual'!$J:$J,$J892))</f>
        <v/>
      </c>
      <c r="H892" s="28" t="str">
        <f>IF($J892="","",INDEX('Detalle individual'!$L:$L,$J892))</f>
        <v/>
      </c>
      <c r="J892" t="str">
        <f>IFERROR(MATCH(SMALL(Cálculos!$AI$5:$AI$1000,888),Cálculos!$AI$5:$AI$1000,0)+4,"")</f>
        <v/>
      </c>
    </row>
    <row r="893">
      <c r="A893" s="5" t="str">
        <f>IF($J893="","",INDEX('Detalle individual'!$B:$B,$J893))</f>
        <v/>
      </c>
      <c r="B893" s="5" t="str">
        <f>IF($J893="","",INDEX('Detalle individual'!$A:$A,$J893))</f>
        <v/>
      </c>
      <c r="C893" s="5" t="str">
        <f>IF($J893="","",INDEX('Detalle individual'!$E:$E,$J893))</f>
        <v/>
      </c>
      <c r="D893" s="5" t="str">
        <f>IF($J893="","",INDEX('Detalle individual'!$C:$C,$J893))</f>
        <v/>
      </c>
      <c r="E893" s="5" t="str">
        <f>IF($J893="","",INDEX('Detalle individual'!$D:$D,$J893))</f>
        <v/>
      </c>
      <c r="F893" s="23" t="str">
        <f>IF($J893="","",INDEX('Detalle individual'!$H:$H,$J893))</f>
        <v/>
      </c>
      <c r="G893" s="28" t="str">
        <f>IF($J893="","",INDEX('Detalle individual'!$J:$J,$J893))</f>
        <v/>
      </c>
      <c r="H893" s="28" t="str">
        <f>IF($J893="","",INDEX('Detalle individual'!$L:$L,$J893))</f>
        <v/>
      </c>
      <c r="J893" t="str">
        <f>IFERROR(MATCH(SMALL(Cálculos!$AI$5:$AI$1000,889),Cálculos!$AI$5:$AI$1000,0)+4,"")</f>
        <v/>
      </c>
    </row>
    <row r="894">
      <c r="A894" s="5" t="str">
        <f>IF($J894="","",INDEX('Detalle individual'!$B:$B,$J894))</f>
        <v/>
      </c>
      <c r="B894" s="5" t="str">
        <f>IF($J894="","",INDEX('Detalle individual'!$A:$A,$J894))</f>
        <v/>
      </c>
      <c r="C894" s="5" t="str">
        <f>IF($J894="","",INDEX('Detalle individual'!$E:$E,$J894))</f>
        <v/>
      </c>
      <c r="D894" s="5" t="str">
        <f>IF($J894="","",INDEX('Detalle individual'!$C:$C,$J894))</f>
        <v/>
      </c>
      <c r="E894" s="5" t="str">
        <f>IF($J894="","",INDEX('Detalle individual'!$D:$D,$J894))</f>
        <v/>
      </c>
      <c r="F894" s="23" t="str">
        <f>IF($J894="","",INDEX('Detalle individual'!$H:$H,$J894))</f>
        <v/>
      </c>
      <c r="G894" s="28" t="str">
        <f>IF($J894="","",INDEX('Detalle individual'!$J:$J,$J894))</f>
        <v/>
      </c>
      <c r="H894" s="28" t="str">
        <f>IF($J894="","",INDEX('Detalle individual'!$L:$L,$J894))</f>
        <v/>
      </c>
      <c r="J894" t="str">
        <f>IFERROR(MATCH(SMALL(Cálculos!$AI$5:$AI$1000,890),Cálculos!$AI$5:$AI$1000,0)+4,"")</f>
        <v/>
      </c>
    </row>
    <row r="895">
      <c r="A895" s="5" t="str">
        <f>IF($J895="","",INDEX('Detalle individual'!$B:$B,$J895))</f>
        <v/>
      </c>
      <c r="B895" s="5" t="str">
        <f>IF($J895="","",INDEX('Detalle individual'!$A:$A,$J895))</f>
        <v/>
      </c>
      <c r="C895" s="5" t="str">
        <f>IF($J895="","",INDEX('Detalle individual'!$E:$E,$J895))</f>
        <v/>
      </c>
      <c r="D895" s="5" t="str">
        <f>IF($J895="","",INDEX('Detalle individual'!$C:$C,$J895))</f>
        <v/>
      </c>
      <c r="E895" s="5" t="str">
        <f>IF($J895="","",INDEX('Detalle individual'!$D:$D,$J895))</f>
        <v/>
      </c>
      <c r="F895" s="23" t="str">
        <f>IF($J895="","",INDEX('Detalle individual'!$H:$H,$J895))</f>
        <v/>
      </c>
      <c r="G895" s="28" t="str">
        <f>IF($J895="","",INDEX('Detalle individual'!$J:$J,$J895))</f>
        <v/>
      </c>
      <c r="H895" s="28" t="str">
        <f>IF($J895="","",INDEX('Detalle individual'!$L:$L,$J895))</f>
        <v/>
      </c>
      <c r="J895" t="str">
        <f>IFERROR(MATCH(SMALL(Cálculos!$AI$5:$AI$1000,891),Cálculos!$AI$5:$AI$1000,0)+4,"")</f>
        <v/>
      </c>
    </row>
    <row r="896">
      <c r="A896" s="5" t="str">
        <f>IF($J896="","",INDEX('Detalle individual'!$B:$B,$J896))</f>
        <v/>
      </c>
      <c r="B896" s="5" t="str">
        <f>IF($J896="","",INDEX('Detalle individual'!$A:$A,$J896))</f>
        <v/>
      </c>
      <c r="C896" s="5" t="str">
        <f>IF($J896="","",INDEX('Detalle individual'!$E:$E,$J896))</f>
        <v/>
      </c>
      <c r="D896" s="5" t="str">
        <f>IF($J896="","",INDEX('Detalle individual'!$C:$C,$J896))</f>
        <v/>
      </c>
      <c r="E896" s="5" t="str">
        <f>IF($J896="","",INDEX('Detalle individual'!$D:$D,$J896))</f>
        <v/>
      </c>
      <c r="F896" s="23" t="str">
        <f>IF($J896="","",INDEX('Detalle individual'!$H:$H,$J896))</f>
        <v/>
      </c>
      <c r="G896" s="28" t="str">
        <f>IF($J896="","",INDEX('Detalle individual'!$J:$J,$J896))</f>
        <v/>
      </c>
      <c r="H896" s="28" t="str">
        <f>IF($J896="","",INDEX('Detalle individual'!$L:$L,$J896))</f>
        <v/>
      </c>
      <c r="J896" t="str">
        <f>IFERROR(MATCH(SMALL(Cálculos!$AI$5:$AI$1000,892),Cálculos!$AI$5:$AI$1000,0)+4,"")</f>
        <v/>
      </c>
    </row>
    <row r="897">
      <c r="A897" s="5" t="str">
        <f>IF($J897="","",INDEX('Detalle individual'!$B:$B,$J897))</f>
        <v/>
      </c>
      <c r="B897" s="5" t="str">
        <f>IF($J897="","",INDEX('Detalle individual'!$A:$A,$J897))</f>
        <v/>
      </c>
      <c r="C897" s="5" t="str">
        <f>IF($J897="","",INDEX('Detalle individual'!$E:$E,$J897))</f>
        <v/>
      </c>
      <c r="D897" s="5" t="str">
        <f>IF($J897="","",INDEX('Detalle individual'!$C:$C,$J897))</f>
        <v/>
      </c>
      <c r="E897" s="5" t="str">
        <f>IF($J897="","",INDEX('Detalle individual'!$D:$D,$J897))</f>
        <v/>
      </c>
      <c r="F897" s="23" t="str">
        <f>IF($J897="","",INDEX('Detalle individual'!$H:$H,$J897))</f>
        <v/>
      </c>
      <c r="G897" s="28" t="str">
        <f>IF($J897="","",INDEX('Detalle individual'!$J:$J,$J897))</f>
        <v/>
      </c>
      <c r="H897" s="28" t="str">
        <f>IF($J897="","",INDEX('Detalle individual'!$L:$L,$J897))</f>
        <v/>
      </c>
      <c r="J897" t="str">
        <f>IFERROR(MATCH(SMALL(Cálculos!$AI$5:$AI$1000,893),Cálculos!$AI$5:$AI$1000,0)+4,"")</f>
        <v/>
      </c>
    </row>
    <row r="898">
      <c r="A898" s="5" t="str">
        <f>IF($J898="","",INDEX('Detalle individual'!$B:$B,$J898))</f>
        <v/>
      </c>
      <c r="B898" s="5" t="str">
        <f>IF($J898="","",INDEX('Detalle individual'!$A:$A,$J898))</f>
        <v/>
      </c>
      <c r="C898" s="5" t="str">
        <f>IF($J898="","",INDEX('Detalle individual'!$E:$E,$J898))</f>
        <v/>
      </c>
      <c r="D898" s="5" t="str">
        <f>IF($J898="","",INDEX('Detalle individual'!$C:$C,$J898))</f>
        <v/>
      </c>
      <c r="E898" s="5" t="str">
        <f>IF($J898="","",INDEX('Detalle individual'!$D:$D,$J898))</f>
        <v/>
      </c>
      <c r="F898" s="23" t="str">
        <f>IF($J898="","",INDEX('Detalle individual'!$H:$H,$J898))</f>
        <v/>
      </c>
      <c r="G898" s="28" t="str">
        <f>IF($J898="","",INDEX('Detalle individual'!$J:$J,$J898))</f>
        <v/>
      </c>
      <c r="H898" s="28" t="str">
        <f>IF($J898="","",INDEX('Detalle individual'!$L:$L,$J898))</f>
        <v/>
      </c>
      <c r="J898" t="str">
        <f>IFERROR(MATCH(SMALL(Cálculos!$AI$5:$AI$1000,894),Cálculos!$AI$5:$AI$1000,0)+4,"")</f>
        <v/>
      </c>
    </row>
    <row r="899">
      <c r="A899" s="5" t="str">
        <f>IF($J899="","",INDEX('Detalle individual'!$B:$B,$J899))</f>
        <v/>
      </c>
      <c r="B899" s="5" t="str">
        <f>IF($J899="","",INDEX('Detalle individual'!$A:$A,$J899))</f>
        <v/>
      </c>
      <c r="C899" s="5" t="str">
        <f>IF($J899="","",INDEX('Detalle individual'!$E:$E,$J899))</f>
        <v/>
      </c>
      <c r="D899" s="5" t="str">
        <f>IF($J899="","",INDEX('Detalle individual'!$C:$C,$J899))</f>
        <v/>
      </c>
      <c r="E899" s="5" t="str">
        <f>IF($J899="","",INDEX('Detalle individual'!$D:$D,$J899))</f>
        <v/>
      </c>
      <c r="F899" s="23" t="str">
        <f>IF($J899="","",INDEX('Detalle individual'!$H:$H,$J899))</f>
        <v/>
      </c>
      <c r="G899" s="28" t="str">
        <f>IF($J899="","",INDEX('Detalle individual'!$J:$J,$J899))</f>
        <v/>
      </c>
      <c r="H899" s="28" t="str">
        <f>IF($J899="","",INDEX('Detalle individual'!$L:$L,$J899))</f>
        <v/>
      </c>
      <c r="J899" t="str">
        <f>IFERROR(MATCH(SMALL(Cálculos!$AI$5:$AI$1000,895),Cálculos!$AI$5:$AI$1000,0)+4,"")</f>
        <v/>
      </c>
    </row>
    <row r="900">
      <c r="A900" s="5" t="str">
        <f>IF($J900="","",INDEX('Detalle individual'!$B:$B,$J900))</f>
        <v/>
      </c>
      <c r="B900" s="5" t="str">
        <f>IF($J900="","",INDEX('Detalle individual'!$A:$A,$J900))</f>
        <v/>
      </c>
      <c r="C900" s="5" t="str">
        <f>IF($J900="","",INDEX('Detalle individual'!$E:$E,$J900))</f>
        <v/>
      </c>
      <c r="D900" s="5" t="str">
        <f>IF($J900="","",INDEX('Detalle individual'!$C:$C,$J900))</f>
        <v/>
      </c>
      <c r="E900" s="5" t="str">
        <f>IF($J900="","",INDEX('Detalle individual'!$D:$D,$J900))</f>
        <v/>
      </c>
      <c r="F900" s="23" t="str">
        <f>IF($J900="","",INDEX('Detalle individual'!$H:$H,$J900))</f>
        <v/>
      </c>
      <c r="G900" s="28" t="str">
        <f>IF($J900="","",INDEX('Detalle individual'!$J:$J,$J900))</f>
        <v/>
      </c>
      <c r="H900" s="28" t="str">
        <f>IF($J900="","",INDEX('Detalle individual'!$L:$L,$J900))</f>
        <v/>
      </c>
      <c r="J900" t="str">
        <f>IFERROR(MATCH(SMALL(Cálculos!$AI$5:$AI$1000,896),Cálculos!$AI$5:$AI$1000,0)+4,"")</f>
        <v/>
      </c>
    </row>
    <row r="901">
      <c r="A901" s="5" t="str">
        <f>IF($J901="","",INDEX('Detalle individual'!$B:$B,$J901))</f>
        <v/>
      </c>
      <c r="B901" s="5" t="str">
        <f>IF($J901="","",INDEX('Detalle individual'!$A:$A,$J901))</f>
        <v/>
      </c>
      <c r="C901" s="5" t="str">
        <f>IF($J901="","",INDEX('Detalle individual'!$E:$E,$J901))</f>
        <v/>
      </c>
      <c r="D901" s="5" t="str">
        <f>IF($J901="","",INDEX('Detalle individual'!$C:$C,$J901))</f>
        <v/>
      </c>
      <c r="E901" s="5" t="str">
        <f>IF($J901="","",INDEX('Detalle individual'!$D:$D,$J901))</f>
        <v/>
      </c>
      <c r="F901" s="23" t="str">
        <f>IF($J901="","",INDEX('Detalle individual'!$H:$H,$J901))</f>
        <v/>
      </c>
      <c r="G901" s="28" t="str">
        <f>IF($J901="","",INDEX('Detalle individual'!$J:$J,$J901))</f>
        <v/>
      </c>
      <c r="H901" s="28" t="str">
        <f>IF($J901="","",INDEX('Detalle individual'!$L:$L,$J901))</f>
        <v/>
      </c>
      <c r="J901" t="str">
        <f>IFERROR(MATCH(SMALL(Cálculos!$AI$5:$AI$1000,897),Cálculos!$AI$5:$AI$1000,0)+4,"")</f>
        <v/>
      </c>
    </row>
    <row r="902">
      <c r="A902" s="5" t="str">
        <f>IF($J902="","",INDEX('Detalle individual'!$B:$B,$J902))</f>
        <v/>
      </c>
      <c r="B902" s="5" t="str">
        <f>IF($J902="","",INDEX('Detalle individual'!$A:$A,$J902))</f>
        <v/>
      </c>
      <c r="C902" s="5" t="str">
        <f>IF($J902="","",INDEX('Detalle individual'!$E:$E,$J902))</f>
        <v/>
      </c>
      <c r="D902" s="5" t="str">
        <f>IF($J902="","",INDEX('Detalle individual'!$C:$C,$J902))</f>
        <v/>
      </c>
      <c r="E902" s="5" t="str">
        <f>IF($J902="","",INDEX('Detalle individual'!$D:$D,$J902))</f>
        <v/>
      </c>
      <c r="F902" s="23" t="str">
        <f>IF($J902="","",INDEX('Detalle individual'!$H:$H,$J902))</f>
        <v/>
      </c>
      <c r="G902" s="28" t="str">
        <f>IF($J902="","",INDEX('Detalle individual'!$J:$J,$J902))</f>
        <v/>
      </c>
      <c r="H902" s="28" t="str">
        <f>IF($J902="","",INDEX('Detalle individual'!$L:$L,$J902))</f>
        <v/>
      </c>
      <c r="J902" t="str">
        <f>IFERROR(MATCH(SMALL(Cálculos!$AI$5:$AI$1000,898),Cálculos!$AI$5:$AI$1000,0)+4,"")</f>
        <v/>
      </c>
    </row>
    <row r="903">
      <c r="A903" s="5" t="str">
        <f>IF($J903="","",INDEX('Detalle individual'!$B:$B,$J903))</f>
        <v/>
      </c>
      <c r="B903" s="5" t="str">
        <f>IF($J903="","",INDEX('Detalle individual'!$A:$A,$J903))</f>
        <v/>
      </c>
      <c r="C903" s="5" t="str">
        <f>IF($J903="","",INDEX('Detalle individual'!$E:$E,$J903))</f>
        <v/>
      </c>
      <c r="D903" s="5" t="str">
        <f>IF($J903="","",INDEX('Detalle individual'!$C:$C,$J903))</f>
        <v/>
      </c>
      <c r="E903" s="5" t="str">
        <f>IF($J903="","",INDEX('Detalle individual'!$D:$D,$J903))</f>
        <v/>
      </c>
      <c r="F903" s="23" t="str">
        <f>IF($J903="","",INDEX('Detalle individual'!$H:$H,$J903))</f>
        <v/>
      </c>
      <c r="G903" s="28" t="str">
        <f>IF($J903="","",INDEX('Detalle individual'!$J:$J,$J903))</f>
        <v/>
      </c>
      <c r="H903" s="28" t="str">
        <f>IF($J903="","",INDEX('Detalle individual'!$L:$L,$J903))</f>
        <v/>
      </c>
      <c r="J903" t="str">
        <f>IFERROR(MATCH(SMALL(Cálculos!$AI$5:$AI$1000,899),Cálculos!$AI$5:$AI$1000,0)+4,"")</f>
        <v/>
      </c>
    </row>
    <row r="904">
      <c r="A904" s="5" t="str">
        <f>IF($J904="","",INDEX('Detalle individual'!$B:$B,$J904))</f>
        <v/>
      </c>
      <c r="B904" s="5" t="str">
        <f>IF($J904="","",INDEX('Detalle individual'!$A:$A,$J904))</f>
        <v/>
      </c>
      <c r="C904" s="5" t="str">
        <f>IF($J904="","",INDEX('Detalle individual'!$E:$E,$J904))</f>
        <v/>
      </c>
      <c r="D904" s="5" t="str">
        <f>IF($J904="","",INDEX('Detalle individual'!$C:$C,$J904))</f>
        <v/>
      </c>
      <c r="E904" s="5" t="str">
        <f>IF($J904="","",INDEX('Detalle individual'!$D:$D,$J904))</f>
        <v/>
      </c>
      <c r="F904" s="23" t="str">
        <f>IF($J904="","",INDEX('Detalle individual'!$H:$H,$J904))</f>
        <v/>
      </c>
      <c r="G904" s="28" t="str">
        <f>IF($J904="","",INDEX('Detalle individual'!$J:$J,$J904))</f>
        <v/>
      </c>
      <c r="H904" s="28" t="str">
        <f>IF($J904="","",INDEX('Detalle individual'!$L:$L,$J904))</f>
        <v/>
      </c>
      <c r="J904" t="str">
        <f>IFERROR(MATCH(SMALL(Cálculos!$AI$5:$AI$1000,900),Cálculos!$AI$5:$AI$1000,0)+4,"")</f>
        <v/>
      </c>
    </row>
    <row r="905">
      <c r="A905" s="5" t="str">
        <f>IF($J905="","",INDEX('Detalle individual'!$B:$B,$J905))</f>
        <v/>
      </c>
      <c r="B905" s="5" t="str">
        <f>IF($J905="","",INDEX('Detalle individual'!$A:$A,$J905))</f>
        <v/>
      </c>
      <c r="C905" s="5" t="str">
        <f>IF($J905="","",INDEX('Detalle individual'!$E:$E,$J905))</f>
        <v/>
      </c>
      <c r="D905" s="5" t="str">
        <f>IF($J905="","",INDEX('Detalle individual'!$C:$C,$J905))</f>
        <v/>
      </c>
      <c r="E905" s="5" t="str">
        <f>IF($J905="","",INDEX('Detalle individual'!$D:$D,$J905))</f>
        <v/>
      </c>
      <c r="F905" s="23" t="str">
        <f>IF($J905="","",INDEX('Detalle individual'!$H:$H,$J905))</f>
        <v/>
      </c>
      <c r="G905" s="28" t="str">
        <f>IF($J905="","",INDEX('Detalle individual'!$J:$J,$J905))</f>
        <v/>
      </c>
      <c r="H905" s="28" t="str">
        <f>IF($J905="","",INDEX('Detalle individual'!$L:$L,$J905))</f>
        <v/>
      </c>
      <c r="J905" t="str">
        <f>IFERROR(MATCH(SMALL(Cálculos!$AI$5:$AI$1000,901),Cálculos!$AI$5:$AI$1000,0)+4,"")</f>
        <v/>
      </c>
    </row>
    <row r="906">
      <c r="A906" s="5" t="str">
        <f>IF($J906="","",INDEX('Detalle individual'!$B:$B,$J906))</f>
        <v/>
      </c>
      <c r="B906" s="5" t="str">
        <f>IF($J906="","",INDEX('Detalle individual'!$A:$A,$J906))</f>
        <v/>
      </c>
      <c r="C906" s="5" t="str">
        <f>IF($J906="","",INDEX('Detalle individual'!$E:$E,$J906))</f>
        <v/>
      </c>
      <c r="D906" s="5" t="str">
        <f>IF($J906="","",INDEX('Detalle individual'!$C:$C,$J906))</f>
        <v/>
      </c>
      <c r="E906" s="5" t="str">
        <f>IF($J906="","",INDEX('Detalle individual'!$D:$D,$J906))</f>
        <v/>
      </c>
      <c r="F906" s="23" t="str">
        <f>IF($J906="","",INDEX('Detalle individual'!$H:$H,$J906))</f>
        <v/>
      </c>
      <c r="G906" s="28" t="str">
        <f>IF($J906="","",INDEX('Detalle individual'!$J:$J,$J906))</f>
        <v/>
      </c>
      <c r="H906" s="28" t="str">
        <f>IF($J906="","",INDEX('Detalle individual'!$L:$L,$J906))</f>
        <v/>
      </c>
      <c r="J906" t="str">
        <f>IFERROR(MATCH(SMALL(Cálculos!$AI$5:$AI$1000,902),Cálculos!$AI$5:$AI$1000,0)+4,"")</f>
        <v/>
      </c>
    </row>
    <row r="907">
      <c r="A907" s="5" t="str">
        <f>IF($J907="","",INDEX('Detalle individual'!$B:$B,$J907))</f>
        <v/>
      </c>
      <c r="B907" s="5" t="str">
        <f>IF($J907="","",INDEX('Detalle individual'!$A:$A,$J907))</f>
        <v/>
      </c>
      <c r="C907" s="5" t="str">
        <f>IF($J907="","",INDEX('Detalle individual'!$E:$E,$J907))</f>
        <v/>
      </c>
      <c r="D907" s="5" t="str">
        <f>IF($J907="","",INDEX('Detalle individual'!$C:$C,$J907))</f>
        <v/>
      </c>
      <c r="E907" s="5" t="str">
        <f>IF($J907="","",INDEX('Detalle individual'!$D:$D,$J907))</f>
        <v/>
      </c>
      <c r="F907" s="23" t="str">
        <f>IF($J907="","",INDEX('Detalle individual'!$H:$H,$J907))</f>
        <v/>
      </c>
      <c r="G907" s="28" t="str">
        <f>IF($J907="","",INDEX('Detalle individual'!$J:$J,$J907))</f>
        <v/>
      </c>
      <c r="H907" s="28" t="str">
        <f>IF($J907="","",INDEX('Detalle individual'!$L:$L,$J907))</f>
        <v/>
      </c>
      <c r="J907" t="str">
        <f>IFERROR(MATCH(SMALL(Cálculos!$AI$5:$AI$1000,903),Cálculos!$AI$5:$AI$1000,0)+4,"")</f>
        <v/>
      </c>
    </row>
    <row r="908">
      <c r="A908" s="5" t="str">
        <f>IF($J908="","",INDEX('Detalle individual'!$B:$B,$J908))</f>
        <v/>
      </c>
      <c r="B908" s="5" t="str">
        <f>IF($J908="","",INDEX('Detalle individual'!$A:$A,$J908))</f>
        <v/>
      </c>
      <c r="C908" s="5" t="str">
        <f>IF($J908="","",INDEX('Detalle individual'!$E:$E,$J908))</f>
        <v/>
      </c>
      <c r="D908" s="5" t="str">
        <f>IF($J908="","",INDEX('Detalle individual'!$C:$C,$J908))</f>
        <v/>
      </c>
      <c r="E908" s="5" t="str">
        <f>IF($J908="","",INDEX('Detalle individual'!$D:$D,$J908))</f>
        <v/>
      </c>
      <c r="F908" s="23" t="str">
        <f>IF($J908="","",INDEX('Detalle individual'!$H:$H,$J908))</f>
        <v/>
      </c>
      <c r="G908" s="28" t="str">
        <f>IF($J908="","",INDEX('Detalle individual'!$J:$J,$J908))</f>
        <v/>
      </c>
      <c r="H908" s="28" t="str">
        <f>IF($J908="","",INDEX('Detalle individual'!$L:$L,$J908))</f>
        <v/>
      </c>
      <c r="J908" t="str">
        <f>IFERROR(MATCH(SMALL(Cálculos!$AI$5:$AI$1000,904),Cálculos!$AI$5:$AI$1000,0)+4,"")</f>
        <v/>
      </c>
    </row>
    <row r="909">
      <c r="A909" s="5" t="str">
        <f>IF($J909="","",INDEX('Detalle individual'!$B:$B,$J909))</f>
        <v/>
      </c>
      <c r="B909" s="5" t="str">
        <f>IF($J909="","",INDEX('Detalle individual'!$A:$A,$J909))</f>
        <v/>
      </c>
      <c r="C909" s="5" t="str">
        <f>IF($J909="","",INDEX('Detalle individual'!$E:$E,$J909))</f>
        <v/>
      </c>
      <c r="D909" s="5" t="str">
        <f>IF($J909="","",INDEX('Detalle individual'!$C:$C,$J909))</f>
        <v/>
      </c>
      <c r="E909" s="5" t="str">
        <f>IF($J909="","",INDEX('Detalle individual'!$D:$D,$J909))</f>
        <v/>
      </c>
      <c r="F909" s="23" t="str">
        <f>IF($J909="","",INDEX('Detalle individual'!$H:$H,$J909))</f>
        <v/>
      </c>
      <c r="G909" s="28" t="str">
        <f>IF($J909="","",INDEX('Detalle individual'!$J:$J,$J909))</f>
        <v/>
      </c>
      <c r="H909" s="28" t="str">
        <f>IF($J909="","",INDEX('Detalle individual'!$L:$L,$J909))</f>
        <v/>
      </c>
      <c r="J909" t="str">
        <f>IFERROR(MATCH(SMALL(Cálculos!$AI$5:$AI$1000,905),Cálculos!$AI$5:$AI$1000,0)+4,"")</f>
        <v/>
      </c>
    </row>
    <row r="910">
      <c r="A910" s="5" t="str">
        <f>IF($J910="","",INDEX('Detalle individual'!$B:$B,$J910))</f>
        <v/>
      </c>
      <c r="B910" s="5" t="str">
        <f>IF($J910="","",INDEX('Detalle individual'!$A:$A,$J910))</f>
        <v/>
      </c>
      <c r="C910" s="5" t="str">
        <f>IF($J910="","",INDEX('Detalle individual'!$E:$E,$J910))</f>
        <v/>
      </c>
      <c r="D910" s="5" t="str">
        <f>IF($J910="","",INDEX('Detalle individual'!$C:$C,$J910))</f>
        <v/>
      </c>
      <c r="E910" s="5" t="str">
        <f>IF($J910="","",INDEX('Detalle individual'!$D:$D,$J910))</f>
        <v/>
      </c>
      <c r="F910" s="23" t="str">
        <f>IF($J910="","",INDEX('Detalle individual'!$H:$H,$J910))</f>
        <v/>
      </c>
      <c r="G910" s="28" t="str">
        <f>IF($J910="","",INDEX('Detalle individual'!$J:$J,$J910))</f>
        <v/>
      </c>
      <c r="H910" s="28" t="str">
        <f>IF($J910="","",INDEX('Detalle individual'!$L:$L,$J910))</f>
        <v/>
      </c>
      <c r="J910" t="str">
        <f>IFERROR(MATCH(SMALL(Cálculos!$AI$5:$AI$1000,906),Cálculos!$AI$5:$AI$1000,0)+4,"")</f>
        <v/>
      </c>
    </row>
    <row r="911">
      <c r="A911" s="5" t="str">
        <f>IF($J911="","",INDEX('Detalle individual'!$B:$B,$J911))</f>
        <v/>
      </c>
      <c r="B911" s="5" t="str">
        <f>IF($J911="","",INDEX('Detalle individual'!$A:$A,$J911))</f>
        <v/>
      </c>
      <c r="C911" s="5" t="str">
        <f>IF($J911="","",INDEX('Detalle individual'!$E:$E,$J911))</f>
        <v/>
      </c>
      <c r="D911" s="5" t="str">
        <f>IF($J911="","",INDEX('Detalle individual'!$C:$C,$J911))</f>
        <v/>
      </c>
      <c r="E911" s="5" t="str">
        <f>IF($J911="","",INDEX('Detalle individual'!$D:$D,$J911))</f>
        <v/>
      </c>
      <c r="F911" s="23" t="str">
        <f>IF($J911="","",INDEX('Detalle individual'!$H:$H,$J911))</f>
        <v/>
      </c>
      <c r="G911" s="28" t="str">
        <f>IF($J911="","",INDEX('Detalle individual'!$J:$J,$J911))</f>
        <v/>
      </c>
      <c r="H911" s="28" t="str">
        <f>IF($J911="","",INDEX('Detalle individual'!$L:$L,$J911))</f>
        <v/>
      </c>
      <c r="J911" t="str">
        <f>IFERROR(MATCH(SMALL(Cálculos!$AI$5:$AI$1000,907),Cálculos!$AI$5:$AI$1000,0)+4,"")</f>
        <v/>
      </c>
    </row>
    <row r="912">
      <c r="A912" s="5" t="str">
        <f>IF($J912="","",INDEX('Detalle individual'!$B:$B,$J912))</f>
        <v/>
      </c>
      <c r="B912" s="5" t="str">
        <f>IF($J912="","",INDEX('Detalle individual'!$A:$A,$J912))</f>
        <v/>
      </c>
      <c r="C912" s="5" t="str">
        <f>IF($J912="","",INDEX('Detalle individual'!$E:$E,$J912))</f>
        <v/>
      </c>
      <c r="D912" s="5" t="str">
        <f>IF($J912="","",INDEX('Detalle individual'!$C:$C,$J912))</f>
        <v/>
      </c>
      <c r="E912" s="5" t="str">
        <f>IF($J912="","",INDEX('Detalle individual'!$D:$D,$J912))</f>
        <v/>
      </c>
      <c r="F912" s="23" t="str">
        <f>IF($J912="","",INDEX('Detalle individual'!$H:$H,$J912))</f>
        <v/>
      </c>
      <c r="G912" s="28" t="str">
        <f>IF($J912="","",INDEX('Detalle individual'!$J:$J,$J912))</f>
        <v/>
      </c>
      <c r="H912" s="28" t="str">
        <f>IF($J912="","",INDEX('Detalle individual'!$L:$L,$J912))</f>
        <v/>
      </c>
      <c r="J912" t="str">
        <f>IFERROR(MATCH(SMALL(Cálculos!$AI$5:$AI$1000,908),Cálculos!$AI$5:$AI$1000,0)+4,"")</f>
        <v/>
      </c>
    </row>
    <row r="913">
      <c r="A913" s="5" t="str">
        <f>IF($J913="","",INDEX('Detalle individual'!$B:$B,$J913))</f>
        <v/>
      </c>
      <c r="B913" s="5" t="str">
        <f>IF($J913="","",INDEX('Detalle individual'!$A:$A,$J913))</f>
        <v/>
      </c>
      <c r="C913" s="5" t="str">
        <f>IF($J913="","",INDEX('Detalle individual'!$E:$E,$J913))</f>
        <v/>
      </c>
      <c r="D913" s="5" t="str">
        <f>IF($J913="","",INDEX('Detalle individual'!$C:$C,$J913))</f>
        <v/>
      </c>
      <c r="E913" s="5" t="str">
        <f>IF($J913="","",INDEX('Detalle individual'!$D:$D,$J913))</f>
        <v/>
      </c>
      <c r="F913" s="23" t="str">
        <f>IF($J913="","",INDEX('Detalle individual'!$H:$H,$J913))</f>
        <v/>
      </c>
      <c r="G913" s="28" t="str">
        <f>IF($J913="","",INDEX('Detalle individual'!$J:$J,$J913))</f>
        <v/>
      </c>
      <c r="H913" s="28" t="str">
        <f>IF($J913="","",INDEX('Detalle individual'!$L:$L,$J913))</f>
        <v/>
      </c>
      <c r="J913" t="str">
        <f>IFERROR(MATCH(SMALL(Cálculos!$AI$5:$AI$1000,909),Cálculos!$AI$5:$AI$1000,0)+4,"")</f>
        <v/>
      </c>
    </row>
    <row r="914">
      <c r="A914" s="5" t="str">
        <f>IF($J914="","",INDEX('Detalle individual'!$B:$B,$J914))</f>
        <v/>
      </c>
      <c r="B914" s="5" t="str">
        <f>IF($J914="","",INDEX('Detalle individual'!$A:$A,$J914))</f>
        <v/>
      </c>
      <c r="C914" s="5" t="str">
        <f>IF($J914="","",INDEX('Detalle individual'!$E:$E,$J914))</f>
        <v/>
      </c>
      <c r="D914" s="5" t="str">
        <f>IF($J914="","",INDEX('Detalle individual'!$C:$C,$J914))</f>
        <v/>
      </c>
      <c r="E914" s="5" t="str">
        <f>IF($J914="","",INDEX('Detalle individual'!$D:$D,$J914))</f>
        <v/>
      </c>
      <c r="F914" s="23" t="str">
        <f>IF($J914="","",INDEX('Detalle individual'!$H:$H,$J914))</f>
        <v/>
      </c>
      <c r="G914" s="28" t="str">
        <f>IF($J914="","",INDEX('Detalle individual'!$J:$J,$J914))</f>
        <v/>
      </c>
      <c r="H914" s="28" t="str">
        <f>IF($J914="","",INDEX('Detalle individual'!$L:$L,$J914))</f>
        <v/>
      </c>
      <c r="J914" t="str">
        <f>IFERROR(MATCH(SMALL(Cálculos!$AI$5:$AI$1000,910),Cálculos!$AI$5:$AI$1000,0)+4,"")</f>
        <v/>
      </c>
    </row>
    <row r="915">
      <c r="A915" s="5" t="str">
        <f>IF($J915="","",INDEX('Detalle individual'!$B:$B,$J915))</f>
        <v/>
      </c>
      <c r="B915" s="5" t="str">
        <f>IF($J915="","",INDEX('Detalle individual'!$A:$A,$J915))</f>
        <v/>
      </c>
      <c r="C915" s="5" t="str">
        <f>IF($J915="","",INDEX('Detalle individual'!$E:$E,$J915))</f>
        <v/>
      </c>
      <c r="D915" s="5" t="str">
        <f>IF($J915="","",INDEX('Detalle individual'!$C:$C,$J915))</f>
        <v/>
      </c>
      <c r="E915" s="5" t="str">
        <f>IF($J915="","",INDEX('Detalle individual'!$D:$D,$J915))</f>
        <v/>
      </c>
      <c r="F915" s="23" t="str">
        <f>IF($J915="","",INDEX('Detalle individual'!$H:$H,$J915))</f>
        <v/>
      </c>
      <c r="G915" s="28" t="str">
        <f>IF($J915="","",INDEX('Detalle individual'!$J:$J,$J915))</f>
        <v/>
      </c>
      <c r="H915" s="28" t="str">
        <f>IF($J915="","",INDEX('Detalle individual'!$L:$L,$J915))</f>
        <v/>
      </c>
      <c r="J915" t="str">
        <f>IFERROR(MATCH(SMALL(Cálculos!$AI$5:$AI$1000,911),Cálculos!$AI$5:$AI$1000,0)+4,"")</f>
        <v/>
      </c>
    </row>
    <row r="916">
      <c r="A916" s="5" t="str">
        <f>IF($J916="","",INDEX('Detalle individual'!$B:$B,$J916))</f>
        <v/>
      </c>
      <c r="B916" s="5" t="str">
        <f>IF($J916="","",INDEX('Detalle individual'!$A:$A,$J916))</f>
        <v/>
      </c>
      <c r="C916" s="5" t="str">
        <f>IF($J916="","",INDEX('Detalle individual'!$E:$E,$J916))</f>
        <v/>
      </c>
      <c r="D916" s="5" t="str">
        <f>IF($J916="","",INDEX('Detalle individual'!$C:$C,$J916))</f>
        <v/>
      </c>
      <c r="E916" s="5" t="str">
        <f>IF($J916="","",INDEX('Detalle individual'!$D:$D,$J916))</f>
        <v/>
      </c>
      <c r="F916" s="23" t="str">
        <f>IF($J916="","",INDEX('Detalle individual'!$H:$H,$J916))</f>
        <v/>
      </c>
      <c r="G916" s="28" t="str">
        <f>IF($J916="","",INDEX('Detalle individual'!$J:$J,$J916))</f>
        <v/>
      </c>
      <c r="H916" s="28" t="str">
        <f>IF($J916="","",INDEX('Detalle individual'!$L:$L,$J916))</f>
        <v/>
      </c>
      <c r="J916" t="str">
        <f>IFERROR(MATCH(SMALL(Cálculos!$AI$5:$AI$1000,912),Cálculos!$AI$5:$AI$1000,0)+4,"")</f>
        <v/>
      </c>
    </row>
    <row r="917">
      <c r="A917" s="5" t="str">
        <f>IF($J917="","",INDEX('Detalle individual'!$B:$B,$J917))</f>
        <v/>
      </c>
      <c r="B917" s="5" t="str">
        <f>IF($J917="","",INDEX('Detalle individual'!$A:$A,$J917))</f>
        <v/>
      </c>
      <c r="C917" s="5" t="str">
        <f>IF($J917="","",INDEX('Detalle individual'!$E:$E,$J917))</f>
        <v/>
      </c>
      <c r="D917" s="5" t="str">
        <f>IF($J917="","",INDEX('Detalle individual'!$C:$C,$J917))</f>
        <v/>
      </c>
      <c r="E917" s="5" t="str">
        <f>IF($J917="","",INDEX('Detalle individual'!$D:$D,$J917))</f>
        <v/>
      </c>
      <c r="F917" s="23" t="str">
        <f>IF($J917="","",INDEX('Detalle individual'!$H:$H,$J917))</f>
        <v/>
      </c>
      <c r="G917" s="28" t="str">
        <f>IF($J917="","",INDEX('Detalle individual'!$J:$J,$J917))</f>
        <v/>
      </c>
      <c r="H917" s="28" t="str">
        <f>IF($J917="","",INDEX('Detalle individual'!$L:$L,$J917))</f>
        <v/>
      </c>
      <c r="J917" t="str">
        <f>IFERROR(MATCH(SMALL(Cálculos!$AI$5:$AI$1000,913),Cálculos!$AI$5:$AI$1000,0)+4,"")</f>
        <v/>
      </c>
    </row>
    <row r="918">
      <c r="A918" s="5" t="str">
        <f>IF($J918="","",INDEX('Detalle individual'!$B:$B,$J918))</f>
        <v/>
      </c>
      <c r="B918" s="5" t="str">
        <f>IF($J918="","",INDEX('Detalle individual'!$A:$A,$J918))</f>
        <v/>
      </c>
      <c r="C918" s="5" t="str">
        <f>IF($J918="","",INDEX('Detalle individual'!$E:$E,$J918))</f>
        <v/>
      </c>
      <c r="D918" s="5" t="str">
        <f>IF($J918="","",INDEX('Detalle individual'!$C:$C,$J918))</f>
        <v/>
      </c>
      <c r="E918" s="5" t="str">
        <f>IF($J918="","",INDEX('Detalle individual'!$D:$D,$J918))</f>
        <v/>
      </c>
      <c r="F918" s="23" t="str">
        <f>IF($J918="","",INDEX('Detalle individual'!$H:$H,$J918))</f>
        <v/>
      </c>
      <c r="G918" s="28" t="str">
        <f>IF($J918="","",INDEX('Detalle individual'!$J:$J,$J918))</f>
        <v/>
      </c>
      <c r="H918" s="28" t="str">
        <f>IF($J918="","",INDEX('Detalle individual'!$L:$L,$J918))</f>
        <v/>
      </c>
      <c r="J918" t="str">
        <f>IFERROR(MATCH(SMALL(Cálculos!$AI$5:$AI$1000,914),Cálculos!$AI$5:$AI$1000,0)+4,"")</f>
        <v/>
      </c>
    </row>
    <row r="919">
      <c r="A919" s="5" t="str">
        <f>IF($J919="","",INDEX('Detalle individual'!$B:$B,$J919))</f>
        <v/>
      </c>
      <c r="B919" s="5" t="str">
        <f>IF($J919="","",INDEX('Detalle individual'!$A:$A,$J919))</f>
        <v/>
      </c>
      <c r="C919" s="5" t="str">
        <f>IF($J919="","",INDEX('Detalle individual'!$E:$E,$J919))</f>
        <v/>
      </c>
      <c r="D919" s="5" t="str">
        <f>IF($J919="","",INDEX('Detalle individual'!$C:$C,$J919))</f>
        <v/>
      </c>
      <c r="E919" s="5" t="str">
        <f>IF($J919="","",INDEX('Detalle individual'!$D:$D,$J919))</f>
        <v/>
      </c>
      <c r="F919" s="23" t="str">
        <f>IF($J919="","",INDEX('Detalle individual'!$H:$H,$J919))</f>
        <v/>
      </c>
      <c r="G919" s="28" t="str">
        <f>IF($J919="","",INDEX('Detalle individual'!$J:$J,$J919))</f>
        <v/>
      </c>
      <c r="H919" s="28" t="str">
        <f>IF($J919="","",INDEX('Detalle individual'!$L:$L,$J919))</f>
        <v/>
      </c>
      <c r="J919" t="str">
        <f>IFERROR(MATCH(SMALL(Cálculos!$AI$5:$AI$1000,915),Cálculos!$AI$5:$AI$1000,0)+4,"")</f>
        <v/>
      </c>
    </row>
    <row r="920">
      <c r="A920" s="5" t="str">
        <f>IF($J920="","",INDEX('Detalle individual'!$B:$B,$J920))</f>
        <v/>
      </c>
      <c r="B920" s="5" t="str">
        <f>IF($J920="","",INDEX('Detalle individual'!$A:$A,$J920))</f>
        <v/>
      </c>
      <c r="C920" s="5" t="str">
        <f>IF($J920="","",INDEX('Detalle individual'!$E:$E,$J920))</f>
        <v/>
      </c>
      <c r="D920" s="5" t="str">
        <f>IF($J920="","",INDEX('Detalle individual'!$C:$C,$J920))</f>
        <v/>
      </c>
      <c r="E920" s="5" t="str">
        <f>IF($J920="","",INDEX('Detalle individual'!$D:$D,$J920))</f>
        <v/>
      </c>
      <c r="F920" s="23" t="str">
        <f>IF($J920="","",INDEX('Detalle individual'!$H:$H,$J920))</f>
        <v/>
      </c>
      <c r="G920" s="28" t="str">
        <f>IF($J920="","",INDEX('Detalle individual'!$J:$J,$J920))</f>
        <v/>
      </c>
      <c r="H920" s="28" t="str">
        <f>IF($J920="","",INDEX('Detalle individual'!$L:$L,$J920))</f>
        <v/>
      </c>
      <c r="J920" t="str">
        <f>IFERROR(MATCH(SMALL(Cálculos!$AI$5:$AI$1000,916),Cálculos!$AI$5:$AI$1000,0)+4,"")</f>
        <v/>
      </c>
    </row>
    <row r="921">
      <c r="A921" s="5" t="str">
        <f>IF($J921="","",INDEX('Detalle individual'!$B:$B,$J921))</f>
        <v/>
      </c>
      <c r="B921" s="5" t="str">
        <f>IF($J921="","",INDEX('Detalle individual'!$A:$A,$J921))</f>
        <v/>
      </c>
      <c r="C921" s="5" t="str">
        <f>IF($J921="","",INDEX('Detalle individual'!$E:$E,$J921))</f>
        <v/>
      </c>
      <c r="D921" s="5" t="str">
        <f>IF($J921="","",INDEX('Detalle individual'!$C:$C,$J921))</f>
        <v/>
      </c>
      <c r="E921" s="5" t="str">
        <f>IF($J921="","",INDEX('Detalle individual'!$D:$D,$J921))</f>
        <v/>
      </c>
      <c r="F921" s="23" t="str">
        <f>IF($J921="","",INDEX('Detalle individual'!$H:$H,$J921))</f>
        <v/>
      </c>
      <c r="G921" s="28" t="str">
        <f>IF($J921="","",INDEX('Detalle individual'!$J:$J,$J921))</f>
        <v/>
      </c>
      <c r="H921" s="28" t="str">
        <f>IF($J921="","",INDEX('Detalle individual'!$L:$L,$J921))</f>
        <v/>
      </c>
      <c r="J921" t="str">
        <f>IFERROR(MATCH(SMALL(Cálculos!$AI$5:$AI$1000,917),Cálculos!$AI$5:$AI$1000,0)+4,"")</f>
        <v/>
      </c>
    </row>
    <row r="922">
      <c r="A922" s="5" t="str">
        <f>IF($J922="","",INDEX('Detalle individual'!$B:$B,$J922))</f>
        <v/>
      </c>
      <c r="B922" s="5" t="str">
        <f>IF($J922="","",INDEX('Detalle individual'!$A:$A,$J922))</f>
        <v/>
      </c>
      <c r="C922" s="5" t="str">
        <f>IF($J922="","",INDEX('Detalle individual'!$E:$E,$J922))</f>
        <v/>
      </c>
      <c r="D922" s="5" t="str">
        <f>IF($J922="","",INDEX('Detalle individual'!$C:$C,$J922))</f>
        <v/>
      </c>
      <c r="E922" s="5" t="str">
        <f>IF($J922="","",INDEX('Detalle individual'!$D:$D,$J922))</f>
        <v/>
      </c>
      <c r="F922" s="23" t="str">
        <f>IF($J922="","",INDEX('Detalle individual'!$H:$H,$J922))</f>
        <v/>
      </c>
      <c r="G922" s="28" t="str">
        <f>IF($J922="","",INDEX('Detalle individual'!$J:$J,$J922))</f>
        <v/>
      </c>
      <c r="H922" s="28" t="str">
        <f>IF($J922="","",INDEX('Detalle individual'!$L:$L,$J922))</f>
        <v/>
      </c>
      <c r="J922" t="str">
        <f>IFERROR(MATCH(SMALL(Cálculos!$AI$5:$AI$1000,918),Cálculos!$AI$5:$AI$1000,0)+4,"")</f>
        <v/>
      </c>
    </row>
    <row r="923">
      <c r="A923" s="5" t="str">
        <f>IF($J923="","",INDEX('Detalle individual'!$B:$B,$J923))</f>
        <v/>
      </c>
      <c r="B923" s="5" t="str">
        <f>IF($J923="","",INDEX('Detalle individual'!$A:$A,$J923))</f>
        <v/>
      </c>
      <c r="C923" s="5" t="str">
        <f>IF($J923="","",INDEX('Detalle individual'!$E:$E,$J923))</f>
        <v/>
      </c>
      <c r="D923" s="5" t="str">
        <f>IF($J923="","",INDEX('Detalle individual'!$C:$C,$J923))</f>
        <v/>
      </c>
      <c r="E923" s="5" t="str">
        <f>IF($J923="","",INDEX('Detalle individual'!$D:$D,$J923))</f>
        <v/>
      </c>
      <c r="F923" s="23" t="str">
        <f>IF($J923="","",INDEX('Detalle individual'!$H:$H,$J923))</f>
        <v/>
      </c>
      <c r="G923" s="28" t="str">
        <f>IF($J923="","",INDEX('Detalle individual'!$J:$J,$J923))</f>
        <v/>
      </c>
      <c r="H923" s="28" t="str">
        <f>IF($J923="","",INDEX('Detalle individual'!$L:$L,$J923))</f>
        <v/>
      </c>
      <c r="J923" t="str">
        <f>IFERROR(MATCH(SMALL(Cálculos!$AI$5:$AI$1000,919),Cálculos!$AI$5:$AI$1000,0)+4,"")</f>
        <v/>
      </c>
    </row>
    <row r="924">
      <c r="A924" s="5" t="str">
        <f>IF($J924="","",INDEX('Detalle individual'!$B:$B,$J924))</f>
        <v/>
      </c>
      <c r="B924" s="5" t="str">
        <f>IF($J924="","",INDEX('Detalle individual'!$A:$A,$J924))</f>
        <v/>
      </c>
      <c r="C924" s="5" t="str">
        <f>IF($J924="","",INDEX('Detalle individual'!$E:$E,$J924))</f>
        <v/>
      </c>
      <c r="D924" s="5" t="str">
        <f>IF($J924="","",INDEX('Detalle individual'!$C:$C,$J924))</f>
        <v/>
      </c>
      <c r="E924" s="5" t="str">
        <f>IF($J924="","",INDEX('Detalle individual'!$D:$D,$J924))</f>
        <v/>
      </c>
      <c r="F924" s="23" t="str">
        <f>IF($J924="","",INDEX('Detalle individual'!$H:$H,$J924))</f>
        <v/>
      </c>
      <c r="G924" s="28" t="str">
        <f>IF($J924="","",INDEX('Detalle individual'!$J:$J,$J924))</f>
        <v/>
      </c>
      <c r="H924" s="28" t="str">
        <f>IF($J924="","",INDEX('Detalle individual'!$L:$L,$J924))</f>
        <v/>
      </c>
      <c r="J924" t="str">
        <f>IFERROR(MATCH(SMALL(Cálculos!$AI$5:$AI$1000,920),Cálculos!$AI$5:$AI$1000,0)+4,"")</f>
        <v/>
      </c>
    </row>
    <row r="925">
      <c r="A925" s="5" t="str">
        <f>IF($J925="","",INDEX('Detalle individual'!$B:$B,$J925))</f>
        <v/>
      </c>
      <c r="B925" s="5" t="str">
        <f>IF($J925="","",INDEX('Detalle individual'!$A:$A,$J925))</f>
        <v/>
      </c>
      <c r="C925" s="5" t="str">
        <f>IF($J925="","",INDEX('Detalle individual'!$E:$E,$J925))</f>
        <v/>
      </c>
      <c r="D925" s="5" t="str">
        <f>IF($J925="","",INDEX('Detalle individual'!$C:$C,$J925))</f>
        <v/>
      </c>
      <c r="E925" s="5" t="str">
        <f>IF($J925="","",INDEX('Detalle individual'!$D:$D,$J925))</f>
        <v/>
      </c>
      <c r="F925" s="23" t="str">
        <f>IF($J925="","",INDEX('Detalle individual'!$H:$H,$J925))</f>
        <v/>
      </c>
      <c r="G925" s="28" t="str">
        <f>IF($J925="","",INDEX('Detalle individual'!$J:$J,$J925))</f>
        <v/>
      </c>
      <c r="H925" s="28" t="str">
        <f>IF($J925="","",INDEX('Detalle individual'!$L:$L,$J925))</f>
        <v/>
      </c>
      <c r="J925" t="str">
        <f>IFERROR(MATCH(SMALL(Cálculos!$AI$5:$AI$1000,921),Cálculos!$AI$5:$AI$1000,0)+4,"")</f>
        <v/>
      </c>
    </row>
    <row r="926">
      <c r="A926" s="5" t="str">
        <f>IF($J926="","",INDEX('Detalle individual'!$B:$B,$J926))</f>
        <v/>
      </c>
      <c r="B926" s="5" t="str">
        <f>IF($J926="","",INDEX('Detalle individual'!$A:$A,$J926))</f>
        <v/>
      </c>
      <c r="C926" s="5" t="str">
        <f>IF($J926="","",INDEX('Detalle individual'!$E:$E,$J926))</f>
        <v/>
      </c>
      <c r="D926" s="5" t="str">
        <f>IF($J926="","",INDEX('Detalle individual'!$C:$C,$J926))</f>
        <v/>
      </c>
      <c r="E926" s="5" t="str">
        <f>IF($J926="","",INDEX('Detalle individual'!$D:$D,$J926))</f>
        <v/>
      </c>
      <c r="F926" s="23" t="str">
        <f>IF($J926="","",INDEX('Detalle individual'!$H:$H,$J926))</f>
        <v/>
      </c>
      <c r="G926" s="28" t="str">
        <f>IF($J926="","",INDEX('Detalle individual'!$J:$J,$J926))</f>
        <v/>
      </c>
      <c r="H926" s="28" t="str">
        <f>IF($J926="","",INDEX('Detalle individual'!$L:$L,$J926))</f>
        <v/>
      </c>
      <c r="J926" t="str">
        <f>IFERROR(MATCH(SMALL(Cálculos!$AI$5:$AI$1000,922),Cálculos!$AI$5:$AI$1000,0)+4,"")</f>
        <v/>
      </c>
    </row>
    <row r="927">
      <c r="A927" s="5" t="str">
        <f>IF($J927="","",INDEX('Detalle individual'!$B:$B,$J927))</f>
        <v/>
      </c>
      <c r="B927" s="5" t="str">
        <f>IF($J927="","",INDEX('Detalle individual'!$A:$A,$J927))</f>
        <v/>
      </c>
      <c r="C927" s="5" t="str">
        <f>IF($J927="","",INDEX('Detalle individual'!$E:$E,$J927))</f>
        <v/>
      </c>
      <c r="D927" s="5" t="str">
        <f>IF($J927="","",INDEX('Detalle individual'!$C:$C,$J927))</f>
        <v/>
      </c>
      <c r="E927" s="5" t="str">
        <f>IF($J927="","",INDEX('Detalle individual'!$D:$D,$J927))</f>
        <v/>
      </c>
      <c r="F927" s="23" t="str">
        <f>IF($J927="","",INDEX('Detalle individual'!$H:$H,$J927))</f>
        <v/>
      </c>
      <c r="G927" s="28" t="str">
        <f>IF($J927="","",INDEX('Detalle individual'!$J:$J,$J927))</f>
        <v/>
      </c>
      <c r="H927" s="28" t="str">
        <f>IF($J927="","",INDEX('Detalle individual'!$L:$L,$J927))</f>
        <v/>
      </c>
      <c r="J927" t="str">
        <f>IFERROR(MATCH(SMALL(Cálculos!$AI$5:$AI$1000,923),Cálculos!$AI$5:$AI$1000,0)+4,"")</f>
        <v/>
      </c>
    </row>
    <row r="928">
      <c r="A928" s="5" t="str">
        <f>IF($J928="","",INDEX('Detalle individual'!$B:$B,$J928))</f>
        <v/>
      </c>
      <c r="B928" s="5" t="str">
        <f>IF($J928="","",INDEX('Detalle individual'!$A:$A,$J928))</f>
        <v/>
      </c>
      <c r="C928" s="5" t="str">
        <f>IF($J928="","",INDEX('Detalle individual'!$E:$E,$J928))</f>
        <v/>
      </c>
      <c r="D928" s="5" t="str">
        <f>IF($J928="","",INDEX('Detalle individual'!$C:$C,$J928))</f>
        <v/>
      </c>
      <c r="E928" s="5" t="str">
        <f>IF($J928="","",INDEX('Detalle individual'!$D:$D,$J928))</f>
        <v/>
      </c>
      <c r="F928" s="23" t="str">
        <f>IF($J928="","",INDEX('Detalle individual'!$H:$H,$J928))</f>
        <v/>
      </c>
      <c r="G928" s="28" t="str">
        <f>IF($J928="","",INDEX('Detalle individual'!$J:$J,$J928))</f>
        <v/>
      </c>
      <c r="H928" s="28" t="str">
        <f>IF($J928="","",INDEX('Detalle individual'!$L:$L,$J928))</f>
        <v/>
      </c>
      <c r="J928" t="str">
        <f>IFERROR(MATCH(SMALL(Cálculos!$AI$5:$AI$1000,924),Cálculos!$AI$5:$AI$1000,0)+4,"")</f>
        <v/>
      </c>
    </row>
    <row r="929">
      <c r="A929" s="5" t="str">
        <f>IF($J929="","",INDEX('Detalle individual'!$B:$B,$J929))</f>
        <v/>
      </c>
      <c r="B929" s="5" t="str">
        <f>IF($J929="","",INDEX('Detalle individual'!$A:$A,$J929))</f>
        <v/>
      </c>
      <c r="C929" s="5" t="str">
        <f>IF($J929="","",INDEX('Detalle individual'!$E:$E,$J929))</f>
        <v/>
      </c>
      <c r="D929" s="5" t="str">
        <f>IF($J929="","",INDEX('Detalle individual'!$C:$C,$J929))</f>
        <v/>
      </c>
      <c r="E929" s="5" t="str">
        <f>IF($J929="","",INDEX('Detalle individual'!$D:$D,$J929))</f>
        <v/>
      </c>
      <c r="F929" s="23" t="str">
        <f>IF($J929="","",INDEX('Detalle individual'!$H:$H,$J929))</f>
        <v/>
      </c>
      <c r="G929" s="28" t="str">
        <f>IF($J929="","",INDEX('Detalle individual'!$J:$J,$J929))</f>
        <v/>
      </c>
      <c r="H929" s="28" t="str">
        <f>IF($J929="","",INDEX('Detalle individual'!$L:$L,$J929))</f>
        <v/>
      </c>
      <c r="J929" t="str">
        <f>IFERROR(MATCH(SMALL(Cálculos!$AI$5:$AI$1000,925),Cálculos!$AI$5:$AI$1000,0)+4,"")</f>
        <v/>
      </c>
    </row>
    <row r="930">
      <c r="A930" s="5" t="str">
        <f>IF($J930="","",INDEX('Detalle individual'!$B:$B,$J930))</f>
        <v/>
      </c>
      <c r="B930" s="5" t="str">
        <f>IF($J930="","",INDEX('Detalle individual'!$A:$A,$J930))</f>
        <v/>
      </c>
      <c r="C930" s="5" t="str">
        <f>IF($J930="","",INDEX('Detalle individual'!$E:$E,$J930))</f>
        <v/>
      </c>
      <c r="D930" s="5" t="str">
        <f>IF($J930="","",INDEX('Detalle individual'!$C:$C,$J930))</f>
        <v/>
      </c>
      <c r="E930" s="5" t="str">
        <f>IF($J930="","",INDEX('Detalle individual'!$D:$D,$J930))</f>
        <v/>
      </c>
      <c r="F930" s="23" t="str">
        <f>IF($J930="","",INDEX('Detalle individual'!$H:$H,$J930))</f>
        <v/>
      </c>
      <c r="G930" s="28" t="str">
        <f>IF($J930="","",INDEX('Detalle individual'!$J:$J,$J930))</f>
        <v/>
      </c>
      <c r="H930" s="28" t="str">
        <f>IF($J930="","",INDEX('Detalle individual'!$L:$L,$J930))</f>
        <v/>
      </c>
      <c r="J930" t="str">
        <f>IFERROR(MATCH(SMALL(Cálculos!$AI$5:$AI$1000,926),Cálculos!$AI$5:$AI$1000,0)+4,"")</f>
        <v/>
      </c>
    </row>
    <row r="931">
      <c r="A931" s="5" t="str">
        <f>IF($J931="","",INDEX('Detalle individual'!$B:$B,$J931))</f>
        <v/>
      </c>
      <c r="B931" s="5" t="str">
        <f>IF($J931="","",INDEX('Detalle individual'!$A:$A,$J931))</f>
        <v/>
      </c>
      <c r="C931" s="5" t="str">
        <f>IF($J931="","",INDEX('Detalle individual'!$E:$E,$J931))</f>
        <v/>
      </c>
      <c r="D931" s="5" t="str">
        <f>IF($J931="","",INDEX('Detalle individual'!$C:$C,$J931))</f>
        <v/>
      </c>
      <c r="E931" s="5" t="str">
        <f>IF($J931="","",INDEX('Detalle individual'!$D:$D,$J931))</f>
        <v/>
      </c>
      <c r="F931" s="23" t="str">
        <f>IF($J931="","",INDEX('Detalle individual'!$H:$H,$J931))</f>
        <v/>
      </c>
      <c r="G931" s="28" t="str">
        <f>IF($J931="","",INDEX('Detalle individual'!$J:$J,$J931))</f>
        <v/>
      </c>
      <c r="H931" s="28" t="str">
        <f>IF($J931="","",INDEX('Detalle individual'!$L:$L,$J931))</f>
        <v/>
      </c>
      <c r="J931" t="str">
        <f>IFERROR(MATCH(SMALL(Cálculos!$AI$5:$AI$1000,927),Cálculos!$AI$5:$AI$1000,0)+4,"")</f>
        <v/>
      </c>
    </row>
    <row r="932">
      <c r="A932" s="5" t="str">
        <f>IF($J932="","",INDEX('Detalle individual'!$B:$B,$J932))</f>
        <v/>
      </c>
      <c r="B932" s="5" t="str">
        <f>IF($J932="","",INDEX('Detalle individual'!$A:$A,$J932))</f>
        <v/>
      </c>
      <c r="C932" s="5" t="str">
        <f>IF($J932="","",INDEX('Detalle individual'!$E:$E,$J932))</f>
        <v/>
      </c>
      <c r="D932" s="5" t="str">
        <f>IF($J932="","",INDEX('Detalle individual'!$C:$C,$J932))</f>
        <v/>
      </c>
      <c r="E932" s="5" t="str">
        <f>IF($J932="","",INDEX('Detalle individual'!$D:$D,$J932))</f>
        <v/>
      </c>
      <c r="F932" s="23" t="str">
        <f>IF($J932="","",INDEX('Detalle individual'!$H:$H,$J932))</f>
        <v/>
      </c>
      <c r="G932" s="28" t="str">
        <f>IF($J932="","",INDEX('Detalle individual'!$J:$J,$J932))</f>
        <v/>
      </c>
      <c r="H932" s="28" t="str">
        <f>IF($J932="","",INDEX('Detalle individual'!$L:$L,$J932))</f>
        <v/>
      </c>
      <c r="J932" t="str">
        <f>IFERROR(MATCH(SMALL(Cálculos!$AI$5:$AI$1000,928),Cálculos!$AI$5:$AI$1000,0)+4,"")</f>
        <v/>
      </c>
    </row>
    <row r="933">
      <c r="A933" s="5" t="str">
        <f>IF($J933="","",INDEX('Detalle individual'!$B:$B,$J933))</f>
        <v/>
      </c>
      <c r="B933" s="5" t="str">
        <f>IF($J933="","",INDEX('Detalle individual'!$A:$A,$J933))</f>
        <v/>
      </c>
      <c r="C933" s="5" t="str">
        <f>IF($J933="","",INDEX('Detalle individual'!$E:$E,$J933))</f>
        <v/>
      </c>
      <c r="D933" s="5" t="str">
        <f>IF($J933="","",INDEX('Detalle individual'!$C:$C,$J933))</f>
        <v/>
      </c>
      <c r="E933" s="5" t="str">
        <f>IF($J933="","",INDEX('Detalle individual'!$D:$D,$J933))</f>
        <v/>
      </c>
      <c r="F933" s="23" t="str">
        <f>IF($J933="","",INDEX('Detalle individual'!$H:$H,$J933))</f>
        <v/>
      </c>
      <c r="G933" s="28" t="str">
        <f>IF($J933="","",INDEX('Detalle individual'!$J:$J,$J933))</f>
        <v/>
      </c>
      <c r="H933" s="28" t="str">
        <f>IF($J933="","",INDEX('Detalle individual'!$L:$L,$J933))</f>
        <v/>
      </c>
      <c r="J933" t="str">
        <f>IFERROR(MATCH(SMALL(Cálculos!$AI$5:$AI$1000,929),Cálculos!$AI$5:$AI$1000,0)+4,"")</f>
        <v/>
      </c>
    </row>
    <row r="934">
      <c r="A934" s="5" t="str">
        <f>IF($J934="","",INDEX('Detalle individual'!$B:$B,$J934))</f>
        <v/>
      </c>
      <c r="B934" s="5" t="str">
        <f>IF($J934="","",INDEX('Detalle individual'!$A:$A,$J934))</f>
        <v/>
      </c>
      <c r="C934" s="5" t="str">
        <f>IF($J934="","",INDEX('Detalle individual'!$E:$E,$J934))</f>
        <v/>
      </c>
      <c r="D934" s="5" t="str">
        <f>IF($J934="","",INDEX('Detalle individual'!$C:$C,$J934))</f>
        <v/>
      </c>
      <c r="E934" s="5" t="str">
        <f>IF($J934="","",INDEX('Detalle individual'!$D:$D,$J934))</f>
        <v/>
      </c>
      <c r="F934" s="23" t="str">
        <f>IF($J934="","",INDEX('Detalle individual'!$H:$H,$J934))</f>
        <v/>
      </c>
      <c r="G934" s="28" t="str">
        <f>IF($J934="","",INDEX('Detalle individual'!$J:$J,$J934))</f>
        <v/>
      </c>
      <c r="H934" s="28" t="str">
        <f>IF($J934="","",INDEX('Detalle individual'!$L:$L,$J934))</f>
        <v/>
      </c>
      <c r="J934" t="str">
        <f>IFERROR(MATCH(SMALL(Cálculos!$AI$5:$AI$1000,930),Cálculos!$AI$5:$AI$1000,0)+4,"")</f>
        <v/>
      </c>
    </row>
    <row r="935">
      <c r="A935" s="5" t="str">
        <f>IF($J935="","",INDEX('Detalle individual'!$B:$B,$J935))</f>
        <v/>
      </c>
      <c r="B935" s="5" t="str">
        <f>IF($J935="","",INDEX('Detalle individual'!$A:$A,$J935))</f>
        <v/>
      </c>
      <c r="C935" s="5" t="str">
        <f>IF($J935="","",INDEX('Detalle individual'!$E:$E,$J935))</f>
        <v/>
      </c>
      <c r="D935" s="5" t="str">
        <f>IF($J935="","",INDEX('Detalle individual'!$C:$C,$J935))</f>
        <v/>
      </c>
      <c r="E935" s="5" t="str">
        <f>IF($J935="","",INDEX('Detalle individual'!$D:$D,$J935))</f>
        <v/>
      </c>
      <c r="F935" s="23" t="str">
        <f>IF($J935="","",INDEX('Detalle individual'!$H:$H,$J935))</f>
        <v/>
      </c>
      <c r="G935" s="28" t="str">
        <f>IF($J935="","",INDEX('Detalle individual'!$J:$J,$J935))</f>
        <v/>
      </c>
      <c r="H935" s="28" t="str">
        <f>IF($J935="","",INDEX('Detalle individual'!$L:$L,$J935))</f>
        <v/>
      </c>
      <c r="J935" t="str">
        <f>IFERROR(MATCH(SMALL(Cálculos!$AI$5:$AI$1000,931),Cálculos!$AI$5:$AI$1000,0)+4,"")</f>
        <v/>
      </c>
    </row>
    <row r="936">
      <c r="A936" s="5" t="str">
        <f>IF($J936="","",INDEX('Detalle individual'!$B:$B,$J936))</f>
        <v/>
      </c>
      <c r="B936" s="5" t="str">
        <f>IF($J936="","",INDEX('Detalle individual'!$A:$A,$J936))</f>
        <v/>
      </c>
      <c r="C936" s="5" t="str">
        <f>IF($J936="","",INDEX('Detalle individual'!$E:$E,$J936))</f>
        <v/>
      </c>
      <c r="D936" s="5" t="str">
        <f>IF($J936="","",INDEX('Detalle individual'!$C:$C,$J936))</f>
        <v/>
      </c>
      <c r="E936" s="5" t="str">
        <f>IF($J936="","",INDEX('Detalle individual'!$D:$D,$J936))</f>
        <v/>
      </c>
      <c r="F936" s="23" t="str">
        <f>IF($J936="","",INDEX('Detalle individual'!$H:$H,$J936))</f>
        <v/>
      </c>
      <c r="G936" s="28" t="str">
        <f>IF($J936="","",INDEX('Detalle individual'!$J:$J,$J936))</f>
        <v/>
      </c>
      <c r="H936" s="28" t="str">
        <f>IF($J936="","",INDEX('Detalle individual'!$L:$L,$J936))</f>
        <v/>
      </c>
      <c r="J936" t="str">
        <f>IFERROR(MATCH(SMALL(Cálculos!$AI$5:$AI$1000,932),Cálculos!$AI$5:$AI$1000,0)+4,"")</f>
        <v/>
      </c>
    </row>
    <row r="937">
      <c r="A937" s="5" t="str">
        <f>IF($J937="","",INDEX('Detalle individual'!$B:$B,$J937))</f>
        <v/>
      </c>
      <c r="B937" s="5" t="str">
        <f>IF($J937="","",INDEX('Detalle individual'!$A:$A,$J937))</f>
        <v/>
      </c>
      <c r="C937" s="5" t="str">
        <f>IF($J937="","",INDEX('Detalle individual'!$E:$E,$J937))</f>
        <v/>
      </c>
      <c r="D937" s="5" t="str">
        <f>IF($J937="","",INDEX('Detalle individual'!$C:$C,$J937))</f>
        <v/>
      </c>
      <c r="E937" s="5" t="str">
        <f>IF($J937="","",INDEX('Detalle individual'!$D:$D,$J937))</f>
        <v/>
      </c>
      <c r="F937" s="23" t="str">
        <f>IF($J937="","",INDEX('Detalle individual'!$H:$H,$J937))</f>
        <v/>
      </c>
      <c r="G937" s="28" t="str">
        <f>IF($J937="","",INDEX('Detalle individual'!$J:$J,$J937))</f>
        <v/>
      </c>
      <c r="H937" s="28" t="str">
        <f>IF($J937="","",INDEX('Detalle individual'!$L:$L,$J937))</f>
        <v/>
      </c>
      <c r="J937" t="str">
        <f>IFERROR(MATCH(SMALL(Cálculos!$AI$5:$AI$1000,933),Cálculos!$AI$5:$AI$1000,0)+4,"")</f>
        <v/>
      </c>
    </row>
    <row r="938">
      <c r="A938" s="5" t="str">
        <f>IF($J938="","",INDEX('Detalle individual'!$B:$B,$J938))</f>
        <v/>
      </c>
      <c r="B938" s="5" t="str">
        <f>IF($J938="","",INDEX('Detalle individual'!$A:$A,$J938))</f>
        <v/>
      </c>
      <c r="C938" s="5" t="str">
        <f>IF($J938="","",INDEX('Detalle individual'!$E:$E,$J938))</f>
        <v/>
      </c>
      <c r="D938" s="5" t="str">
        <f>IF($J938="","",INDEX('Detalle individual'!$C:$C,$J938))</f>
        <v/>
      </c>
      <c r="E938" s="5" t="str">
        <f>IF($J938="","",INDEX('Detalle individual'!$D:$D,$J938))</f>
        <v/>
      </c>
      <c r="F938" s="23" t="str">
        <f>IF($J938="","",INDEX('Detalle individual'!$H:$H,$J938))</f>
        <v/>
      </c>
      <c r="G938" s="28" t="str">
        <f>IF($J938="","",INDEX('Detalle individual'!$J:$J,$J938))</f>
        <v/>
      </c>
      <c r="H938" s="28" t="str">
        <f>IF($J938="","",INDEX('Detalle individual'!$L:$L,$J938))</f>
        <v/>
      </c>
      <c r="J938" t="str">
        <f>IFERROR(MATCH(SMALL(Cálculos!$AI$5:$AI$1000,934),Cálculos!$AI$5:$AI$1000,0)+4,"")</f>
        <v/>
      </c>
    </row>
    <row r="939">
      <c r="A939" s="5" t="str">
        <f>IF($J939="","",INDEX('Detalle individual'!$B:$B,$J939))</f>
        <v/>
      </c>
      <c r="B939" s="5" t="str">
        <f>IF($J939="","",INDEX('Detalle individual'!$A:$A,$J939))</f>
        <v/>
      </c>
      <c r="C939" s="5" t="str">
        <f>IF($J939="","",INDEX('Detalle individual'!$E:$E,$J939))</f>
        <v/>
      </c>
      <c r="D939" s="5" t="str">
        <f>IF($J939="","",INDEX('Detalle individual'!$C:$C,$J939))</f>
        <v/>
      </c>
      <c r="E939" s="5" t="str">
        <f>IF($J939="","",INDEX('Detalle individual'!$D:$D,$J939))</f>
        <v/>
      </c>
      <c r="F939" s="23" t="str">
        <f>IF($J939="","",INDEX('Detalle individual'!$H:$H,$J939))</f>
        <v/>
      </c>
      <c r="G939" s="28" t="str">
        <f>IF($J939="","",INDEX('Detalle individual'!$J:$J,$J939))</f>
        <v/>
      </c>
      <c r="H939" s="28" t="str">
        <f>IF($J939="","",INDEX('Detalle individual'!$L:$L,$J939))</f>
        <v/>
      </c>
      <c r="J939" t="str">
        <f>IFERROR(MATCH(SMALL(Cálculos!$AI$5:$AI$1000,935),Cálculos!$AI$5:$AI$1000,0)+4,"")</f>
        <v/>
      </c>
    </row>
    <row r="940">
      <c r="A940" s="5" t="str">
        <f>IF($J940="","",INDEX('Detalle individual'!$B:$B,$J940))</f>
        <v/>
      </c>
      <c r="B940" s="5" t="str">
        <f>IF($J940="","",INDEX('Detalle individual'!$A:$A,$J940))</f>
        <v/>
      </c>
      <c r="C940" s="5" t="str">
        <f>IF($J940="","",INDEX('Detalle individual'!$E:$E,$J940))</f>
        <v/>
      </c>
      <c r="D940" s="5" t="str">
        <f>IF($J940="","",INDEX('Detalle individual'!$C:$C,$J940))</f>
        <v/>
      </c>
      <c r="E940" s="5" t="str">
        <f>IF($J940="","",INDEX('Detalle individual'!$D:$D,$J940))</f>
        <v/>
      </c>
      <c r="F940" s="23" t="str">
        <f>IF($J940="","",INDEX('Detalle individual'!$H:$H,$J940))</f>
        <v/>
      </c>
      <c r="G940" s="28" t="str">
        <f>IF($J940="","",INDEX('Detalle individual'!$J:$J,$J940))</f>
        <v/>
      </c>
      <c r="H940" s="28" t="str">
        <f>IF($J940="","",INDEX('Detalle individual'!$L:$L,$J940))</f>
        <v/>
      </c>
      <c r="J940" t="str">
        <f>IFERROR(MATCH(SMALL(Cálculos!$AI$5:$AI$1000,936),Cálculos!$AI$5:$AI$1000,0)+4,"")</f>
        <v/>
      </c>
    </row>
    <row r="941">
      <c r="A941" s="5" t="str">
        <f>IF($J941="","",INDEX('Detalle individual'!$B:$B,$J941))</f>
        <v/>
      </c>
      <c r="B941" s="5" t="str">
        <f>IF($J941="","",INDEX('Detalle individual'!$A:$A,$J941))</f>
        <v/>
      </c>
      <c r="C941" s="5" t="str">
        <f>IF($J941="","",INDEX('Detalle individual'!$E:$E,$J941))</f>
        <v/>
      </c>
      <c r="D941" s="5" t="str">
        <f>IF($J941="","",INDEX('Detalle individual'!$C:$C,$J941))</f>
        <v/>
      </c>
      <c r="E941" s="5" t="str">
        <f>IF($J941="","",INDEX('Detalle individual'!$D:$D,$J941))</f>
        <v/>
      </c>
      <c r="F941" s="23" t="str">
        <f>IF($J941="","",INDEX('Detalle individual'!$H:$H,$J941))</f>
        <v/>
      </c>
      <c r="G941" s="28" t="str">
        <f>IF($J941="","",INDEX('Detalle individual'!$J:$J,$J941))</f>
        <v/>
      </c>
      <c r="H941" s="28" t="str">
        <f>IF($J941="","",INDEX('Detalle individual'!$L:$L,$J941))</f>
        <v/>
      </c>
      <c r="J941" t="str">
        <f>IFERROR(MATCH(SMALL(Cálculos!$AI$5:$AI$1000,937),Cálculos!$AI$5:$AI$1000,0)+4,"")</f>
        <v/>
      </c>
    </row>
    <row r="942">
      <c r="A942" s="5" t="str">
        <f>IF($J942="","",INDEX('Detalle individual'!$B:$B,$J942))</f>
        <v/>
      </c>
      <c r="B942" s="5" t="str">
        <f>IF($J942="","",INDEX('Detalle individual'!$A:$A,$J942))</f>
        <v/>
      </c>
      <c r="C942" s="5" t="str">
        <f>IF($J942="","",INDEX('Detalle individual'!$E:$E,$J942))</f>
        <v/>
      </c>
      <c r="D942" s="5" t="str">
        <f>IF($J942="","",INDEX('Detalle individual'!$C:$C,$J942))</f>
        <v/>
      </c>
      <c r="E942" s="5" t="str">
        <f>IF($J942="","",INDEX('Detalle individual'!$D:$D,$J942))</f>
        <v/>
      </c>
      <c r="F942" s="23" t="str">
        <f>IF($J942="","",INDEX('Detalle individual'!$H:$H,$J942))</f>
        <v/>
      </c>
      <c r="G942" s="28" t="str">
        <f>IF($J942="","",INDEX('Detalle individual'!$J:$J,$J942))</f>
        <v/>
      </c>
      <c r="H942" s="28" t="str">
        <f>IF($J942="","",INDEX('Detalle individual'!$L:$L,$J942))</f>
        <v/>
      </c>
      <c r="J942" t="str">
        <f>IFERROR(MATCH(SMALL(Cálculos!$AI$5:$AI$1000,938),Cálculos!$AI$5:$AI$1000,0)+4,"")</f>
        <v/>
      </c>
    </row>
    <row r="943">
      <c r="A943" s="5" t="str">
        <f>IF($J943="","",INDEX('Detalle individual'!$B:$B,$J943))</f>
        <v/>
      </c>
      <c r="B943" s="5" t="str">
        <f>IF($J943="","",INDEX('Detalle individual'!$A:$A,$J943))</f>
        <v/>
      </c>
      <c r="C943" s="5" t="str">
        <f>IF($J943="","",INDEX('Detalle individual'!$E:$E,$J943))</f>
        <v/>
      </c>
      <c r="D943" s="5" t="str">
        <f>IF($J943="","",INDEX('Detalle individual'!$C:$C,$J943))</f>
        <v/>
      </c>
      <c r="E943" s="5" t="str">
        <f>IF($J943="","",INDEX('Detalle individual'!$D:$D,$J943))</f>
        <v/>
      </c>
      <c r="F943" s="23" t="str">
        <f>IF($J943="","",INDEX('Detalle individual'!$H:$H,$J943))</f>
        <v/>
      </c>
      <c r="G943" s="28" t="str">
        <f>IF($J943="","",INDEX('Detalle individual'!$J:$J,$J943))</f>
        <v/>
      </c>
      <c r="H943" s="28" t="str">
        <f>IF($J943="","",INDEX('Detalle individual'!$L:$L,$J943))</f>
        <v/>
      </c>
      <c r="J943" t="str">
        <f>IFERROR(MATCH(SMALL(Cálculos!$AI$5:$AI$1000,939),Cálculos!$AI$5:$AI$1000,0)+4,"")</f>
        <v/>
      </c>
    </row>
    <row r="944">
      <c r="A944" s="5" t="str">
        <f>IF($J944="","",INDEX('Detalle individual'!$B:$B,$J944))</f>
        <v/>
      </c>
      <c r="B944" s="5" t="str">
        <f>IF($J944="","",INDEX('Detalle individual'!$A:$A,$J944))</f>
        <v/>
      </c>
      <c r="C944" s="5" t="str">
        <f>IF($J944="","",INDEX('Detalle individual'!$E:$E,$J944))</f>
        <v/>
      </c>
      <c r="D944" s="5" t="str">
        <f>IF($J944="","",INDEX('Detalle individual'!$C:$C,$J944))</f>
        <v/>
      </c>
      <c r="E944" s="5" t="str">
        <f>IF($J944="","",INDEX('Detalle individual'!$D:$D,$J944))</f>
        <v/>
      </c>
      <c r="F944" s="23" t="str">
        <f>IF($J944="","",INDEX('Detalle individual'!$H:$H,$J944))</f>
        <v/>
      </c>
      <c r="G944" s="28" t="str">
        <f>IF($J944="","",INDEX('Detalle individual'!$J:$J,$J944))</f>
        <v/>
      </c>
      <c r="H944" s="28" t="str">
        <f>IF($J944="","",INDEX('Detalle individual'!$L:$L,$J944))</f>
        <v/>
      </c>
      <c r="J944" t="str">
        <f>IFERROR(MATCH(SMALL(Cálculos!$AI$5:$AI$1000,940),Cálculos!$AI$5:$AI$1000,0)+4,"")</f>
        <v/>
      </c>
    </row>
    <row r="945">
      <c r="A945" s="5" t="str">
        <f>IF($J945="","",INDEX('Detalle individual'!$B:$B,$J945))</f>
        <v/>
      </c>
      <c r="B945" s="5" t="str">
        <f>IF($J945="","",INDEX('Detalle individual'!$A:$A,$J945))</f>
        <v/>
      </c>
      <c r="C945" s="5" t="str">
        <f>IF($J945="","",INDEX('Detalle individual'!$E:$E,$J945))</f>
        <v/>
      </c>
      <c r="D945" s="5" t="str">
        <f>IF($J945="","",INDEX('Detalle individual'!$C:$C,$J945))</f>
        <v/>
      </c>
      <c r="E945" s="5" t="str">
        <f>IF($J945="","",INDEX('Detalle individual'!$D:$D,$J945))</f>
        <v/>
      </c>
      <c r="F945" s="23" t="str">
        <f>IF($J945="","",INDEX('Detalle individual'!$H:$H,$J945))</f>
        <v/>
      </c>
      <c r="G945" s="28" t="str">
        <f>IF($J945="","",INDEX('Detalle individual'!$J:$J,$J945))</f>
        <v/>
      </c>
      <c r="H945" s="28" t="str">
        <f>IF($J945="","",INDEX('Detalle individual'!$L:$L,$J945))</f>
        <v/>
      </c>
      <c r="J945" t="str">
        <f>IFERROR(MATCH(SMALL(Cálculos!$AI$5:$AI$1000,941),Cálculos!$AI$5:$AI$1000,0)+4,"")</f>
        <v/>
      </c>
    </row>
    <row r="946">
      <c r="A946" s="5" t="str">
        <f>IF($J946="","",INDEX('Detalle individual'!$B:$B,$J946))</f>
        <v/>
      </c>
      <c r="B946" s="5" t="str">
        <f>IF($J946="","",INDEX('Detalle individual'!$A:$A,$J946))</f>
        <v/>
      </c>
      <c r="C946" s="5" t="str">
        <f>IF($J946="","",INDEX('Detalle individual'!$E:$E,$J946))</f>
        <v/>
      </c>
      <c r="D946" s="5" t="str">
        <f>IF($J946="","",INDEX('Detalle individual'!$C:$C,$J946))</f>
        <v/>
      </c>
      <c r="E946" s="5" t="str">
        <f>IF($J946="","",INDEX('Detalle individual'!$D:$D,$J946))</f>
        <v/>
      </c>
      <c r="F946" s="23" t="str">
        <f>IF($J946="","",INDEX('Detalle individual'!$H:$H,$J946))</f>
        <v/>
      </c>
      <c r="G946" s="28" t="str">
        <f>IF($J946="","",INDEX('Detalle individual'!$J:$J,$J946))</f>
        <v/>
      </c>
      <c r="H946" s="28" t="str">
        <f>IF($J946="","",INDEX('Detalle individual'!$L:$L,$J946))</f>
        <v/>
      </c>
      <c r="J946" t="str">
        <f>IFERROR(MATCH(SMALL(Cálculos!$AI$5:$AI$1000,942),Cálculos!$AI$5:$AI$1000,0)+4,"")</f>
        <v/>
      </c>
    </row>
    <row r="947">
      <c r="A947" s="5" t="str">
        <f>IF($J947="","",INDEX('Detalle individual'!$B:$B,$J947))</f>
        <v/>
      </c>
      <c r="B947" s="5" t="str">
        <f>IF($J947="","",INDEX('Detalle individual'!$A:$A,$J947))</f>
        <v/>
      </c>
      <c r="C947" s="5" t="str">
        <f>IF($J947="","",INDEX('Detalle individual'!$E:$E,$J947))</f>
        <v/>
      </c>
      <c r="D947" s="5" t="str">
        <f>IF($J947="","",INDEX('Detalle individual'!$C:$C,$J947))</f>
        <v/>
      </c>
      <c r="E947" s="5" t="str">
        <f>IF($J947="","",INDEX('Detalle individual'!$D:$D,$J947))</f>
        <v/>
      </c>
      <c r="F947" s="23" t="str">
        <f>IF($J947="","",INDEX('Detalle individual'!$H:$H,$J947))</f>
        <v/>
      </c>
      <c r="G947" s="28" t="str">
        <f>IF($J947="","",INDEX('Detalle individual'!$J:$J,$J947))</f>
        <v/>
      </c>
      <c r="H947" s="28" t="str">
        <f>IF($J947="","",INDEX('Detalle individual'!$L:$L,$J947))</f>
        <v/>
      </c>
      <c r="J947" t="str">
        <f>IFERROR(MATCH(SMALL(Cálculos!$AI$5:$AI$1000,943),Cálculos!$AI$5:$AI$1000,0)+4,"")</f>
        <v/>
      </c>
    </row>
    <row r="948">
      <c r="A948" s="5" t="str">
        <f>IF($J948="","",INDEX('Detalle individual'!$B:$B,$J948))</f>
        <v/>
      </c>
      <c r="B948" s="5" t="str">
        <f>IF($J948="","",INDEX('Detalle individual'!$A:$A,$J948))</f>
        <v/>
      </c>
      <c r="C948" s="5" t="str">
        <f>IF($J948="","",INDEX('Detalle individual'!$E:$E,$J948))</f>
        <v/>
      </c>
      <c r="D948" s="5" t="str">
        <f>IF($J948="","",INDEX('Detalle individual'!$C:$C,$J948))</f>
        <v/>
      </c>
      <c r="E948" s="5" t="str">
        <f>IF($J948="","",INDEX('Detalle individual'!$D:$D,$J948))</f>
        <v/>
      </c>
      <c r="F948" s="23" t="str">
        <f>IF($J948="","",INDEX('Detalle individual'!$H:$H,$J948))</f>
        <v/>
      </c>
      <c r="G948" s="28" t="str">
        <f>IF($J948="","",INDEX('Detalle individual'!$J:$J,$J948))</f>
        <v/>
      </c>
      <c r="H948" s="28" t="str">
        <f>IF($J948="","",INDEX('Detalle individual'!$L:$L,$J948))</f>
        <v/>
      </c>
      <c r="J948" t="str">
        <f>IFERROR(MATCH(SMALL(Cálculos!$AI$5:$AI$1000,944),Cálculos!$AI$5:$AI$1000,0)+4,"")</f>
        <v/>
      </c>
    </row>
    <row r="949">
      <c r="A949" s="5" t="str">
        <f>IF($J949="","",INDEX('Detalle individual'!$B:$B,$J949))</f>
        <v/>
      </c>
      <c r="B949" s="5" t="str">
        <f>IF($J949="","",INDEX('Detalle individual'!$A:$A,$J949))</f>
        <v/>
      </c>
      <c r="C949" s="5" t="str">
        <f>IF($J949="","",INDEX('Detalle individual'!$E:$E,$J949))</f>
        <v/>
      </c>
      <c r="D949" s="5" t="str">
        <f>IF($J949="","",INDEX('Detalle individual'!$C:$C,$J949))</f>
        <v/>
      </c>
      <c r="E949" s="5" t="str">
        <f>IF($J949="","",INDEX('Detalle individual'!$D:$D,$J949))</f>
        <v/>
      </c>
      <c r="F949" s="23" t="str">
        <f>IF($J949="","",INDEX('Detalle individual'!$H:$H,$J949))</f>
        <v/>
      </c>
      <c r="G949" s="28" t="str">
        <f>IF($J949="","",INDEX('Detalle individual'!$J:$J,$J949))</f>
        <v/>
      </c>
      <c r="H949" s="28" t="str">
        <f>IF($J949="","",INDEX('Detalle individual'!$L:$L,$J949))</f>
        <v/>
      </c>
      <c r="J949" t="str">
        <f>IFERROR(MATCH(SMALL(Cálculos!$AI$5:$AI$1000,945),Cálculos!$AI$5:$AI$1000,0)+4,"")</f>
        <v/>
      </c>
    </row>
    <row r="950">
      <c r="A950" s="5" t="str">
        <f>IF($J950="","",INDEX('Detalle individual'!$B:$B,$J950))</f>
        <v/>
      </c>
      <c r="B950" s="5" t="str">
        <f>IF($J950="","",INDEX('Detalle individual'!$A:$A,$J950))</f>
        <v/>
      </c>
      <c r="C950" s="5" t="str">
        <f>IF($J950="","",INDEX('Detalle individual'!$E:$E,$J950))</f>
        <v/>
      </c>
      <c r="D950" s="5" t="str">
        <f>IF($J950="","",INDEX('Detalle individual'!$C:$C,$J950))</f>
        <v/>
      </c>
      <c r="E950" s="5" t="str">
        <f>IF($J950="","",INDEX('Detalle individual'!$D:$D,$J950))</f>
        <v/>
      </c>
      <c r="F950" s="23" t="str">
        <f>IF($J950="","",INDEX('Detalle individual'!$H:$H,$J950))</f>
        <v/>
      </c>
      <c r="G950" s="28" t="str">
        <f>IF($J950="","",INDEX('Detalle individual'!$J:$J,$J950))</f>
        <v/>
      </c>
      <c r="H950" s="28" t="str">
        <f>IF($J950="","",INDEX('Detalle individual'!$L:$L,$J950))</f>
        <v/>
      </c>
      <c r="J950" t="str">
        <f>IFERROR(MATCH(SMALL(Cálculos!$AI$5:$AI$1000,946),Cálculos!$AI$5:$AI$1000,0)+4,"")</f>
        <v/>
      </c>
    </row>
    <row r="951">
      <c r="A951" s="5" t="str">
        <f>IF($J951="","",INDEX('Detalle individual'!$B:$B,$J951))</f>
        <v/>
      </c>
      <c r="B951" s="5" t="str">
        <f>IF($J951="","",INDEX('Detalle individual'!$A:$A,$J951))</f>
        <v/>
      </c>
      <c r="C951" s="5" t="str">
        <f>IF($J951="","",INDEX('Detalle individual'!$E:$E,$J951))</f>
        <v/>
      </c>
      <c r="D951" s="5" t="str">
        <f>IF($J951="","",INDEX('Detalle individual'!$C:$C,$J951))</f>
        <v/>
      </c>
      <c r="E951" s="5" t="str">
        <f>IF($J951="","",INDEX('Detalle individual'!$D:$D,$J951))</f>
        <v/>
      </c>
      <c r="F951" s="23" t="str">
        <f>IF($J951="","",INDEX('Detalle individual'!$H:$H,$J951))</f>
        <v/>
      </c>
      <c r="G951" s="28" t="str">
        <f>IF($J951="","",INDEX('Detalle individual'!$J:$J,$J951))</f>
        <v/>
      </c>
      <c r="H951" s="28" t="str">
        <f>IF($J951="","",INDEX('Detalle individual'!$L:$L,$J951))</f>
        <v/>
      </c>
      <c r="J951" t="str">
        <f>IFERROR(MATCH(SMALL(Cálculos!$AI$5:$AI$1000,947),Cálculos!$AI$5:$AI$1000,0)+4,"")</f>
        <v/>
      </c>
    </row>
    <row r="952">
      <c r="A952" s="5" t="str">
        <f>IF($J952="","",INDEX('Detalle individual'!$B:$B,$J952))</f>
        <v/>
      </c>
      <c r="B952" s="5" t="str">
        <f>IF($J952="","",INDEX('Detalle individual'!$A:$A,$J952))</f>
        <v/>
      </c>
      <c r="C952" s="5" t="str">
        <f>IF($J952="","",INDEX('Detalle individual'!$E:$E,$J952))</f>
        <v/>
      </c>
      <c r="D952" s="5" t="str">
        <f>IF($J952="","",INDEX('Detalle individual'!$C:$C,$J952))</f>
        <v/>
      </c>
      <c r="E952" s="5" t="str">
        <f>IF($J952="","",INDEX('Detalle individual'!$D:$D,$J952))</f>
        <v/>
      </c>
      <c r="F952" s="23" t="str">
        <f>IF($J952="","",INDEX('Detalle individual'!$H:$H,$J952))</f>
        <v/>
      </c>
      <c r="G952" s="28" t="str">
        <f>IF($J952="","",INDEX('Detalle individual'!$J:$J,$J952))</f>
        <v/>
      </c>
      <c r="H952" s="28" t="str">
        <f>IF($J952="","",INDEX('Detalle individual'!$L:$L,$J952))</f>
        <v/>
      </c>
      <c r="J952" t="str">
        <f>IFERROR(MATCH(SMALL(Cálculos!$AI$5:$AI$1000,948),Cálculos!$AI$5:$AI$1000,0)+4,"")</f>
        <v/>
      </c>
    </row>
    <row r="953">
      <c r="A953" s="5" t="str">
        <f>IF($J953="","",INDEX('Detalle individual'!$B:$B,$J953))</f>
        <v/>
      </c>
      <c r="B953" s="5" t="str">
        <f>IF($J953="","",INDEX('Detalle individual'!$A:$A,$J953))</f>
        <v/>
      </c>
      <c r="C953" s="5" t="str">
        <f>IF($J953="","",INDEX('Detalle individual'!$E:$E,$J953))</f>
        <v/>
      </c>
      <c r="D953" s="5" t="str">
        <f>IF($J953="","",INDEX('Detalle individual'!$C:$C,$J953))</f>
        <v/>
      </c>
      <c r="E953" s="5" t="str">
        <f>IF($J953="","",INDEX('Detalle individual'!$D:$D,$J953))</f>
        <v/>
      </c>
      <c r="F953" s="23" t="str">
        <f>IF($J953="","",INDEX('Detalle individual'!$H:$H,$J953))</f>
        <v/>
      </c>
      <c r="G953" s="28" t="str">
        <f>IF($J953="","",INDEX('Detalle individual'!$J:$J,$J953))</f>
        <v/>
      </c>
      <c r="H953" s="28" t="str">
        <f>IF($J953="","",INDEX('Detalle individual'!$L:$L,$J953))</f>
        <v/>
      </c>
      <c r="J953" t="str">
        <f>IFERROR(MATCH(SMALL(Cálculos!$AI$5:$AI$1000,949),Cálculos!$AI$5:$AI$1000,0)+4,"")</f>
        <v/>
      </c>
    </row>
    <row r="954">
      <c r="A954" s="5" t="str">
        <f>IF($J954="","",INDEX('Detalle individual'!$B:$B,$J954))</f>
        <v/>
      </c>
      <c r="B954" s="5" t="str">
        <f>IF($J954="","",INDEX('Detalle individual'!$A:$A,$J954))</f>
        <v/>
      </c>
      <c r="C954" s="5" t="str">
        <f>IF($J954="","",INDEX('Detalle individual'!$E:$E,$J954))</f>
        <v/>
      </c>
      <c r="D954" s="5" t="str">
        <f>IF($J954="","",INDEX('Detalle individual'!$C:$C,$J954))</f>
        <v/>
      </c>
      <c r="E954" s="5" t="str">
        <f>IF($J954="","",INDEX('Detalle individual'!$D:$D,$J954))</f>
        <v/>
      </c>
      <c r="F954" s="23" t="str">
        <f>IF($J954="","",INDEX('Detalle individual'!$H:$H,$J954))</f>
        <v/>
      </c>
      <c r="G954" s="28" t="str">
        <f>IF($J954="","",INDEX('Detalle individual'!$J:$J,$J954))</f>
        <v/>
      </c>
      <c r="H954" s="28" t="str">
        <f>IF($J954="","",INDEX('Detalle individual'!$L:$L,$J954))</f>
        <v/>
      </c>
      <c r="J954" t="str">
        <f>IFERROR(MATCH(SMALL(Cálculos!$AI$5:$AI$1000,950),Cálculos!$AI$5:$AI$1000,0)+4,"")</f>
        <v/>
      </c>
    </row>
    <row r="955">
      <c r="A955" s="5" t="str">
        <f>IF($J955="","",INDEX('Detalle individual'!$B:$B,$J955))</f>
        <v/>
      </c>
      <c r="B955" s="5" t="str">
        <f>IF($J955="","",INDEX('Detalle individual'!$A:$A,$J955))</f>
        <v/>
      </c>
      <c r="C955" s="5" t="str">
        <f>IF($J955="","",INDEX('Detalle individual'!$E:$E,$J955))</f>
        <v/>
      </c>
      <c r="D955" s="5" t="str">
        <f>IF($J955="","",INDEX('Detalle individual'!$C:$C,$J955))</f>
        <v/>
      </c>
      <c r="E955" s="5" t="str">
        <f>IF($J955="","",INDEX('Detalle individual'!$D:$D,$J955))</f>
        <v/>
      </c>
      <c r="F955" s="23" t="str">
        <f>IF($J955="","",INDEX('Detalle individual'!$H:$H,$J955))</f>
        <v/>
      </c>
      <c r="G955" s="28" t="str">
        <f>IF($J955="","",INDEX('Detalle individual'!$J:$J,$J955))</f>
        <v/>
      </c>
      <c r="H955" s="28" t="str">
        <f>IF($J955="","",INDEX('Detalle individual'!$L:$L,$J955))</f>
        <v/>
      </c>
      <c r="J955" t="str">
        <f>IFERROR(MATCH(SMALL(Cálculos!$AI$5:$AI$1000,951),Cálculos!$AI$5:$AI$1000,0)+4,"")</f>
        <v/>
      </c>
    </row>
    <row r="956">
      <c r="A956" s="5" t="str">
        <f>IF($J956="","",INDEX('Detalle individual'!$B:$B,$J956))</f>
        <v/>
      </c>
      <c r="B956" s="5" t="str">
        <f>IF($J956="","",INDEX('Detalle individual'!$A:$A,$J956))</f>
        <v/>
      </c>
      <c r="C956" s="5" t="str">
        <f>IF($J956="","",INDEX('Detalle individual'!$E:$E,$J956))</f>
        <v/>
      </c>
      <c r="D956" s="5" t="str">
        <f>IF($J956="","",INDEX('Detalle individual'!$C:$C,$J956))</f>
        <v/>
      </c>
      <c r="E956" s="5" t="str">
        <f>IF($J956="","",INDEX('Detalle individual'!$D:$D,$J956))</f>
        <v/>
      </c>
      <c r="F956" s="23" t="str">
        <f>IF($J956="","",INDEX('Detalle individual'!$H:$H,$J956))</f>
        <v/>
      </c>
      <c r="G956" s="28" t="str">
        <f>IF($J956="","",INDEX('Detalle individual'!$J:$J,$J956))</f>
        <v/>
      </c>
      <c r="H956" s="28" t="str">
        <f>IF($J956="","",INDEX('Detalle individual'!$L:$L,$J956))</f>
        <v/>
      </c>
      <c r="J956" t="str">
        <f>IFERROR(MATCH(SMALL(Cálculos!$AI$5:$AI$1000,952),Cálculos!$AI$5:$AI$1000,0)+4,"")</f>
        <v/>
      </c>
    </row>
    <row r="957">
      <c r="A957" s="5" t="str">
        <f>IF($J957="","",INDEX('Detalle individual'!$B:$B,$J957))</f>
        <v/>
      </c>
      <c r="B957" s="5" t="str">
        <f>IF($J957="","",INDEX('Detalle individual'!$A:$A,$J957))</f>
        <v/>
      </c>
      <c r="C957" s="5" t="str">
        <f>IF($J957="","",INDEX('Detalle individual'!$E:$E,$J957))</f>
        <v/>
      </c>
      <c r="D957" s="5" t="str">
        <f>IF($J957="","",INDEX('Detalle individual'!$C:$C,$J957))</f>
        <v/>
      </c>
      <c r="E957" s="5" t="str">
        <f>IF($J957="","",INDEX('Detalle individual'!$D:$D,$J957))</f>
        <v/>
      </c>
      <c r="F957" s="23" t="str">
        <f>IF($J957="","",INDEX('Detalle individual'!$H:$H,$J957))</f>
        <v/>
      </c>
      <c r="G957" s="28" t="str">
        <f>IF($J957="","",INDEX('Detalle individual'!$J:$J,$J957))</f>
        <v/>
      </c>
      <c r="H957" s="28" t="str">
        <f>IF($J957="","",INDEX('Detalle individual'!$L:$L,$J957))</f>
        <v/>
      </c>
      <c r="J957" t="str">
        <f>IFERROR(MATCH(SMALL(Cálculos!$AI$5:$AI$1000,953),Cálculos!$AI$5:$AI$1000,0)+4,"")</f>
        <v/>
      </c>
    </row>
    <row r="958">
      <c r="A958" s="5" t="str">
        <f>IF($J958="","",INDEX('Detalle individual'!$B:$B,$J958))</f>
        <v/>
      </c>
      <c r="B958" s="5" t="str">
        <f>IF($J958="","",INDEX('Detalle individual'!$A:$A,$J958))</f>
        <v/>
      </c>
      <c r="C958" s="5" t="str">
        <f>IF($J958="","",INDEX('Detalle individual'!$E:$E,$J958))</f>
        <v/>
      </c>
      <c r="D958" s="5" t="str">
        <f>IF($J958="","",INDEX('Detalle individual'!$C:$C,$J958))</f>
        <v/>
      </c>
      <c r="E958" s="5" t="str">
        <f>IF($J958="","",INDEX('Detalle individual'!$D:$D,$J958))</f>
        <v/>
      </c>
      <c r="F958" s="23" t="str">
        <f>IF($J958="","",INDEX('Detalle individual'!$H:$H,$J958))</f>
        <v/>
      </c>
      <c r="G958" s="28" t="str">
        <f>IF($J958="","",INDEX('Detalle individual'!$J:$J,$J958))</f>
        <v/>
      </c>
      <c r="H958" s="28" t="str">
        <f>IF($J958="","",INDEX('Detalle individual'!$L:$L,$J958))</f>
        <v/>
      </c>
      <c r="J958" t="str">
        <f>IFERROR(MATCH(SMALL(Cálculos!$AI$5:$AI$1000,954),Cálculos!$AI$5:$AI$1000,0)+4,"")</f>
        <v/>
      </c>
    </row>
    <row r="959">
      <c r="A959" s="5" t="str">
        <f>IF($J959="","",INDEX('Detalle individual'!$B:$B,$J959))</f>
        <v/>
      </c>
      <c r="B959" s="5" t="str">
        <f>IF($J959="","",INDEX('Detalle individual'!$A:$A,$J959))</f>
        <v/>
      </c>
      <c r="C959" s="5" t="str">
        <f>IF($J959="","",INDEX('Detalle individual'!$E:$E,$J959))</f>
        <v/>
      </c>
      <c r="D959" s="5" t="str">
        <f>IF($J959="","",INDEX('Detalle individual'!$C:$C,$J959))</f>
        <v/>
      </c>
      <c r="E959" s="5" t="str">
        <f>IF($J959="","",INDEX('Detalle individual'!$D:$D,$J959))</f>
        <v/>
      </c>
      <c r="F959" s="23" t="str">
        <f>IF($J959="","",INDEX('Detalle individual'!$H:$H,$J959))</f>
        <v/>
      </c>
      <c r="G959" s="28" t="str">
        <f>IF($J959="","",INDEX('Detalle individual'!$J:$J,$J959))</f>
        <v/>
      </c>
      <c r="H959" s="28" t="str">
        <f>IF($J959="","",INDEX('Detalle individual'!$L:$L,$J959))</f>
        <v/>
      </c>
      <c r="J959" t="str">
        <f>IFERROR(MATCH(SMALL(Cálculos!$AI$5:$AI$1000,955),Cálculos!$AI$5:$AI$1000,0)+4,"")</f>
        <v/>
      </c>
    </row>
    <row r="960">
      <c r="A960" s="5" t="str">
        <f>IF($J960="","",INDEX('Detalle individual'!$B:$B,$J960))</f>
        <v/>
      </c>
      <c r="B960" s="5" t="str">
        <f>IF($J960="","",INDEX('Detalle individual'!$A:$A,$J960))</f>
        <v/>
      </c>
      <c r="C960" s="5" t="str">
        <f>IF($J960="","",INDEX('Detalle individual'!$E:$E,$J960))</f>
        <v/>
      </c>
      <c r="D960" s="5" t="str">
        <f>IF($J960="","",INDEX('Detalle individual'!$C:$C,$J960))</f>
        <v/>
      </c>
      <c r="E960" s="5" t="str">
        <f>IF($J960="","",INDEX('Detalle individual'!$D:$D,$J960))</f>
        <v/>
      </c>
      <c r="F960" s="23" t="str">
        <f>IF($J960="","",INDEX('Detalle individual'!$H:$H,$J960))</f>
        <v/>
      </c>
      <c r="G960" s="28" t="str">
        <f>IF($J960="","",INDEX('Detalle individual'!$J:$J,$J960))</f>
        <v/>
      </c>
      <c r="H960" s="28" t="str">
        <f>IF($J960="","",INDEX('Detalle individual'!$L:$L,$J960))</f>
        <v/>
      </c>
      <c r="J960" t="str">
        <f>IFERROR(MATCH(SMALL(Cálculos!$AI$5:$AI$1000,956),Cálculos!$AI$5:$AI$1000,0)+4,"")</f>
        <v/>
      </c>
    </row>
    <row r="961">
      <c r="A961" s="5" t="str">
        <f>IF($J961="","",INDEX('Detalle individual'!$B:$B,$J961))</f>
        <v/>
      </c>
      <c r="B961" s="5" t="str">
        <f>IF($J961="","",INDEX('Detalle individual'!$A:$A,$J961))</f>
        <v/>
      </c>
      <c r="C961" s="5" t="str">
        <f>IF($J961="","",INDEX('Detalle individual'!$E:$E,$J961))</f>
        <v/>
      </c>
      <c r="D961" s="5" t="str">
        <f>IF($J961="","",INDEX('Detalle individual'!$C:$C,$J961))</f>
        <v/>
      </c>
      <c r="E961" s="5" t="str">
        <f>IF($J961="","",INDEX('Detalle individual'!$D:$D,$J961))</f>
        <v/>
      </c>
      <c r="F961" s="23" t="str">
        <f>IF($J961="","",INDEX('Detalle individual'!$H:$H,$J961))</f>
        <v/>
      </c>
      <c r="G961" s="28" t="str">
        <f>IF($J961="","",INDEX('Detalle individual'!$J:$J,$J961))</f>
        <v/>
      </c>
      <c r="H961" s="28" t="str">
        <f>IF($J961="","",INDEX('Detalle individual'!$L:$L,$J961))</f>
        <v/>
      </c>
      <c r="J961" t="str">
        <f>IFERROR(MATCH(SMALL(Cálculos!$AI$5:$AI$1000,957),Cálculos!$AI$5:$AI$1000,0)+4,"")</f>
        <v/>
      </c>
    </row>
    <row r="962">
      <c r="A962" s="5" t="str">
        <f>IF($J962="","",INDEX('Detalle individual'!$B:$B,$J962))</f>
        <v/>
      </c>
      <c r="B962" s="5" t="str">
        <f>IF($J962="","",INDEX('Detalle individual'!$A:$A,$J962))</f>
        <v/>
      </c>
      <c r="C962" s="5" t="str">
        <f>IF($J962="","",INDEX('Detalle individual'!$E:$E,$J962))</f>
        <v/>
      </c>
      <c r="D962" s="5" t="str">
        <f>IF($J962="","",INDEX('Detalle individual'!$C:$C,$J962))</f>
        <v/>
      </c>
      <c r="E962" s="5" t="str">
        <f>IF($J962="","",INDEX('Detalle individual'!$D:$D,$J962))</f>
        <v/>
      </c>
      <c r="F962" s="23" t="str">
        <f>IF($J962="","",INDEX('Detalle individual'!$H:$H,$J962))</f>
        <v/>
      </c>
      <c r="G962" s="28" t="str">
        <f>IF($J962="","",INDEX('Detalle individual'!$J:$J,$J962))</f>
        <v/>
      </c>
      <c r="H962" s="28" t="str">
        <f>IF($J962="","",INDEX('Detalle individual'!$L:$L,$J962))</f>
        <v/>
      </c>
      <c r="J962" t="str">
        <f>IFERROR(MATCH(SMALL(Cálculos!$AI$5:$AI$1000,958),Cálculos!$AI$5:$AI$1000,0)+4,"")</f>
        <v/>
      </c>
    </row>
    <row r="963">
      <c r="A963" s="5" t="str">
        <f>IF($J963="","",INDEX('Detalle individual'!$B:$B,$J963))</f>
        <v/>
      </c>
      <c r="B963" s="5" t="str">
        <f>IF($J963="","",INDEX('Detalle individual'!$A:$A,$J963))</f>
        <v/>
      </c>
      <c r="C963" s="5" t="str">
        <f>IF($J963="","",INDEX('Detalle individual'!$E:$E,$J963))</f>
        <v/>
      </c>
      <c r="D963" s="5" t="str">
        <f>IF($J963="","",INDEX('Detalle individual'!$C:$C,$J963))</f>
        <v/>
      </c>
      <c r="E963" s="5" t="str">
        <f>IF($J963="","",INDEX('Detalle individual'!$D:$D,$J963))</f>
        <v/>
      </c>
      <c r="F963" s="23" t="str">
        <f>IF($J963="","",INDEX('Detalle individual'!$H:$H,$J963))</f>
        <v/>
      </c>
      <c r="G963" s="28" t="str">
        <f>IF($J963="","",INDEX('Detalle individual'!$J:$J,$J963))</f>
        <v/>
      </c>
      <c r="H963" s="28" t="str">
        <f>IF($J963="","",INDEX('Detalle individual'!$L:$L,$J963))</f>
        <v/>
      </c>
      <c r="J963" t="str">
        <f>IFERROR(MATCH(SMALL(Cálculos!$AI$5:$AI$1000,959),Cálculos!$AI$5:$AI$1000,0)+4,"")</f>
        <v/>
      </c>
    </row>
    <row r="964">
      <c r="A964" s="5" t="str">
        <f>IF($J964="","",INDEX('Detalle individual'!$B:$B,$J964))</f>
        <v/>
      </c>
      <c r="B964" s="5" t="str">
        <f>IF($J964="","",INDEX('Detalle individual'!$A:$A,$J964))</f>
        <v/>
      </c>
      <c r="C964" s="5" t="str">
        <f>IF($J964="","",INDEX('Detalle individual'!$E:$E,$J964))</f>
        <v/>
      </c>
      <c r="D964" s="5" t="str">
        <f>IF($J964="","",INDEX('Detalle individual'!$C:$C,$J964))</f>
        <v/>
      </c>
      <c r="E964" s="5" t="str">
        <f>IF($J964="","",INDEX('Detalle individual'!$D:$D,$J964))</f>
        <v/>
      </c>
      <c r="F964" s="23" t="str">
        <f>IF($J964="","",INDEX('Detalle individual'!$H:$H,$J964))</f>
        <v/>
      </c>
      <c r="G964" s="28" t="str">
        <f>IF($J964="","",INDEX('Detalle individual'!$J:$J,$J964))</f>
        <v/>
      </c>
      <c r="H964" s="28" t="str">
        <f>IF($J964="","",INDEX('Detalle individual'!$L:$L,$J964))</f>
        <v/>
      </c>
      <c r="J964" t="str">
        <f>IFERROR(MATCH(SMALL(Cálculos!$AI$5:$AI$1000,960),Cálculos!$AI$5:$AI$1000,0)+4,"")</f>
        <v/>
      </c>
    </row>
    <row r="965">
      <c r="A965" s="5" t="str">
        <f>IF($J965="","",INDEX('Detalle individual'!$B:$B,$J965))</f>
        <v/>
      </c>
      <c r="B965" s="5" t="str">
        <f>IF($J965="","",INDEX('Detalle individual'!$A:$A,$J965))</f>
        <v/>
      </c>
      <c r="C965" s="5" t="str">
        <f>IF($J965="","",INDEX('Detalle individual'!$E:$E,$J965))</f>
        <v/>
      </c>
      <c r="D965" s="5" t="str">
        <f>IF($J965="","",INDEX('Detalle individual'!$C:$C,$J965))</f>
        <v/>
      </c>
      <c r="E965" s="5" t="str">
        <f>IF($J965="","",INDEX('Detalle individual'!$D:$D,$J965))</f>
        <v/>
      </c>
      <c r="F965" s="23" t="str">
        <f>IF($J965="","",INDEX('Detalle individual'!$H:$H,$J965))</f>
        <v/>
      </c>
      <c r="G965" s="28" t="str">
        <f>IF($J965="","",INDEX('Detalle individual'!$J:$J,$J965))</f>
        <v/>
      </c>
      <c r="H965" s="28" t="str">
        <f>IF($J965="","",INDEX('Detalle individual'!$L:$L,$J965))</f>
        <v/>
      </c>
      <c r="J965" t="str">
        <f>IFERROR(MATCH(SMALL(Cálculos!$AI$5:$AI$1000,961),Cálculos!$AI$5:$AI$1000,0)+4,"")</f>
        <v/>
      </c>
    </row>
    <row r="966">
      <c r="A966" s="5" t="str">
        <f>IF($J966="","",INDEX('Detalle individual'!$B:$B,$J966))</f>
        <v/>
      </c>
      <c r="B966" s="5" t="str">
        <f>IF($J966="","",INDEX('Detalle individual'!$A:$A,$J966))</f>
        <v/>
      </c>
      <c r="C966" s="5" t="str">
        <f>IF($J966="","",INDEX('Detalle individual'!$E:$E,$J966))</f>
        <v/>
      </c>
      <c r="D966" s="5" t="str">
        <f>IF($J966="","",INDEX('Detalle individual'!$C:$C,$J966))</f>
        <v/>
      </c>
      <c r="E966" s="5" t="str">
        <f>IF($J966="","",INDEX('Detalle individual'!$D:$D,$J966))</f>
        <v/>
      </c>
      <c r="F966" s="23" t="str">
        <f>IF($J966="","",INDEX('Detalle individual'!$H:$H,$J966))</f>
        <v/>
      </c>
      <c r="G966" s="28" t="str">
        <f>IF($J966="","",INDEX('Detalle individual'!$J:$J,$J966))</f>
        <v/>
      </c>
      <c r="H966" s="28" t="str">
        <f>IF($J966="","",INDEX('Detalle individual'!$L:$L,$J966))</f>
        <v/>
      </c>
      <c r="J966" t="str">
        <f>IFERROR(MATCH(SMALL(Cálculos!$AI$5:$AI$1000,962),Cálculos!$AI$5:$AI$1000,0)+4,"")</f>
        <v/>
      </c>
    </row>
    <row r="967">
      <c r="A967" s="5" t="str">
        <f>IF($J967="","",INDEX('Detalle individual'!$B:$B,$J967))</f>
        <v/>
      </c>
      <c r="B967" s="5" t="str">
        <f>IF($J967="","",INDEX('Detalle individual'!$A:$A,$J967))</f>
        <v/>
      </c>
      <c r="C967" s="5" t="str">
        <f>IF($J967="","",INDEX('Detalle individual'!$E:$E,$J967))</f>
        <v/>
      </c>
      <c r="D967" s="5" t="str">
        <f>IF($J967="","",INDEX('Detalle individual'!$C:$C,$J967))</f>
        <v/>
      </c>
      <c r="E967" s="5" t="str">
        <f>IF($J967="","",INDEX('Detalle individual'!$D:$D,$J967))</f>
        <v/>
      </c>
      <c r="F967" s="23" t="str">
        <f>IF($J967="","",INDEX('Detalle individual'!$H:$H,$J967))</f>
        <v/>
      </c>
      <c r="G967" s="28" t="str">
        <f>IF($J967="","",INDEX('Detalle individual'!$J:$J,$J967))</f>
        <v/>
      </c>
      <c r="H967" s="28" t="str">
        <f>IF($J967="","",INDEX('Detalle individual'!$L:$L,$J967))</f>
        <v/>
      </c>
      <c r="J967" t="str">
        <f>IFERROR(MATCH(SMALL(Cálculos!$AI$5:$AI$1000,963),Cálculos!$AI$5:$AI$1000,0)+4,"")</f>
        <v/>
      </c>
    </row>
    <row r="968">
      <c r="A968" s="5" t="str">
        <f>IF($J968="","",INDEX('Detalle individual'!$B:$B,$J968))</f>
        <v/>
      </c>
      <c r="B968" s="5" t="str">
        <f>IF($J968="","",INDEX('Detalle individual'!$A:$A,$J968))</f>
        <v/>
      </c>
      <c r="C968" s="5" t="str">
        <f>IF($J968="","",INDEX('Detalle individual'!$E:$E,$J968))</f>
        <v/>
      </c>
      <c r="D968" s="5" t="str">
        <f>IF($J968="","",INDEX('Detalle individual'!$C:$C,$J968))</f>
        <v/>
      </c>
      <c r="E968" s="5" t="str">
        <f>IF($J968="","",INDEX('Detalle individual'!$D:$D,$J968))</f>
        <v/>
      </c>
      <c r="F968" s="23" t="str">
        <f>IF($J968="","",INDEX('Detalle individual'!$H:$H,$J968))</f>
        <v/>
      </c>
      <c r="G968" s="28" t="str">
        <f>IF($J968="","",INDEX('Detalle individual'!$J:$J,$J968))</f>
        <v/>
      </c>
      <c r="H968" s="28" t="str">
        <f>IF($J968="","",INDEX('Detalle individual'!$L:$L,$J968))</f>
        <v/>
      </c>
      <c r="J968" t="str">
        <f>IFERROR(MATCH(SMALL(Cálculos!$AI$5:$AI$1000,964),Cálculos!$AI$5:$AI$1000,0)+4,"")</f>
        <v/>
      </c>
    </row>
    <row r="969">
      <c r="A969" s="5" t="str">
        <f>IF($J969="","",INDEX('Detalle individual'!$B:$B,$J969))</f>
        <v/>
      </c>
      <c r="B969" s="5" t="str">
        <f>IF($J969="","",INDEX('Detalle individual'!$A:$A,$J969))</f>
        <v/>
      </c>
      <c r="C969" s="5" t="str">
        <f>IF($J969="","",INDEX('Detalle individual'!$E:$E,$J969))</f>
        <v/>
      </c>
      <c r="D969" s="5" t="str">
        <f>IF($J969="","",INDEX('Detalle individual'!$C:$C,$J969))</f>
        <v/>
      </c>
      <c r="E969" s="5" t="str">
        <f>IF($J969="","",INDEX('Detalle individual'!$D:$D,$J969))</f>
        <v/>
      </c>
      <c r="F969" s="23" t="str">
        <f>IF($J969="","",INDEX('Detalle individual'!$H:$H,$J969))</f>
        <v/>
      </c>
      <c r="G969" s="28" t="str">
        <f>IF($J969="","",INDEX('Detalle individual'!$J:$J,$J969))</f>
        <v/>
      </c>
      <c r="H969" s="28" t="str">
        <f>IF($J969="","",INDEX('Detalle individual'!$L:$L,$J969))</f>
        <v/>
      </c>
      <c r="J969" t="str">
        <f>IFERROR(MATCH(SMALL(Cálculos!$AI$5:$AI$1000,965),Cálculos!$AI$5:$AI$1000,0)+4,"")</f>
        <v/>
      </c>
    </row>
    <row r="970">
      <c r="A970" s="5" t="str">
        <f>IF($J970="","",INDEX('Detalle individual'!$B:$B,$J970))</f>
        <v/>
      </c>
      <c r="B970" s="5" t="str">
        <f>IF($J970="","",INDEX('Detalle individual'!$A:$A,$J970))</f>
        <v/>
      </c>
      <c r="C970" s="5" t="str">
        <f>IF($J970="","",INDEX('Detalle individual'!$E:$E,$J970))</f>
        <v/>
      </c>
      <c r="D970" s="5" t="str">
        <f>IF($J970="","",INDEX('Detalle individual'!$C:$C,$J970))</f>
        <v/>
      </c>
      <c r="E970" s="5" t="str">
        <f>IF($J970="","",INDEX('Detalle individual'!$D:$D,$J970))</f>
        <v/>
      </c>
      <c r="F970" s="23" t="str">
        <f>IF($J970="","",INDEX('Detalle individual'!$H:$H,$J970))</f>
        <v/>
      </c>
      <c r="G970" s="28" t="str">
        <f>IF($J970="","",INDEX('Detalle individual'!$J:$J,$J970))</f>
        <v/>
      </c>
      <c r="H970" s="28" t="str">
        <f>IF($J970="","",INDEX('Detalle individual'!$L:$L,$J970))</f>
        <v/>
      </c>
      <c r="J970" t="str">
        <f>IFERROR(MATCH(SMALL(Cálculos!$AI$5:$AI$1000,966),Cálculos!$AI$5:$AI$1000,0)+4,"")</f>
        <v/>
      </c>
    </row>
    <row r="971">
      <c r="A971" s="5" t="str">
        <f>IF($J971="","",INDEX('Detalle individual'!$B:$B,$J971))</f>
        <v/>
      </c>
      <c r="B971" s="5" t="str">
        <f>IF($J971="","",INDEX('Detalle individual'!$A:$A,$J971))</f>
        <v/>
      </c>
      <c r="C971" s="5" t="str">
        <f>IF($J971="","",INDEX('Detalle individual'!$E:$E,$J971))</f>
        <v/>
      </c>
      <c r="D971" s="5" t="str">
        <f>IF($J971="","",INDEX('Detalle individual'!$C:$C,$J971))</f>
        <v/>
      </c>
      <c r="E971" s="5" t="str">
        <f>IF($J971="","",INDEX('Detalle individual'!$D:$D,$J971))</f>
        <v/>
      </c>
      <c r="F971" s="23" t="str">
        <f>IF($J971="","",INDEX('Detalle individual'!$H:$H,$J971))</f>
        <v/>
      </c>
      <c r="G971" s="28" t="str">
        <f>IF($J971="","",INDEX('Detalle individual'!$J:$J,$J971))</f>
        <v/>
      </c>
      <c r="H971" s="28" t="str">
        <f>IF($J971="","",INDEX('Detalle individual'!$L:$L,$J971))</f>
        <v/>
      </c>
      <c r="J971" t="str">
        <f>IFERROR(MATCH(SMALL(Cálculos!$AI$5:$AI$1000,967),Cálculos!$AI$5:$AI$1000,0)+4,"")</f>
        <v/>
      </c>
    </row>
    <row r="972">
      <c r="A972" s="5" t="str">
        <f>IF($J972="","",INDEX('Detalle individual'!$B:$B,$J972))</f>
        <v/>
      </c>
      <c r="B972" s="5" t="str">
        <f>IF($J972="","",INDEX('Detalle individual'!$A:$A,$J972))</f>
        <v/>
      </c>
      <c r="C972" s="5" t="str">
        <f>IF($J972="","",INDEX('Detalle individual'!$E:$E,$J972))</f>
        <v/>
      </c>
      <c r="D972" s="5" t="str">
        <f>IF($J972="","",INDEX('Detalle individual'!$C:$C,$J972))</f>
        <v/>
      </c>
      <c r="E972" s="5" t="str">
        <f>IF($J972="","",INDEX('Detalle individual'!$D:$D,$J972))</f>
        <v/>
      </c>
      <c r="F972" s="23" t="str">
        <f>IF($J972="","",INDEX('Detalle individual'!$H:$H,$J972))</f>
        <v/>
      </c>
      <c r="G972" s="28" t="str">
        <f>IF($J972="","",INDEX('Detalle individual'!$J:$J,$J972))</f>
        <v/>
      </c>
      <c r="H972" s="28" t="str">
        <f>IF($J972="","",INDEX('Detalle individual'!$L:$L,$J972))</f>
        <v/>
      </c>
      <c r="J972" t="str">
        <f>IFERROR(MATCH(SMALL(Cálculos!$AI$5:$AI$1000,968),Cálculos!$AI$5:$AI$1000,0)+4,"")</f>
        <v/>
      </c>
    </row>
    <row r="973">
      <c r="A973" s="5" t="str">
        <f>IF($J973="","",INDEX('Detalle individual'!$B:$B,$J973))</f>
        <v/>
      </c>
      <c r="B973" s="5" t="str">
        <f>IF($J973="","",INDEX('Detalle individual'!$A:$A,$J973))</f>
        <v/>
      </c>
      <c r="C973" s="5" t="str">
        <f>IF($J973="","",INDEX('Detalle individual'!$E:$E,$J973))</f>
        <v/>
      </c>
      <c r="D973" s="5" t="str">
        <f>IF($J973="","",INDEX('Detalle individual'!$C:$C,$J973))</f>
        <v/>
      </c>
      <c r="E973" s="5" t="str">
        <f>IF($J973="","",INDEX('Detalle individual'!$D:$D,$J973))</f>
        <v/>
      </c>
      <c r="F973" s="23" t="str">
        <f>IF($J973="","",INDEX('Detalle individual'!$H:$H,$J973))</f>
        <v/>
      </c>
      <c r="G973" s="28" t="str">
        <f>IF($J973="","",INDEX('Detalle individual'!$J:$J,$J973))</f>
        <v/>
      </c>
      <c r="H973" s="28" t="str">
        <f>IF($J973="","",INDEX('Detalle individual'!$L:$L,$J973))</f>
        <v/>
      </c>
      <c r="J973" t="str">
        <f>IFERROR(MATCH(SMALL(Cálculos!$AI$5:$AI$1000,969),Cálculos!$AI$5:$AI$1000,0)+4,"")</f>
        <v/>
      </c>
    </row>
    <row r="974">
      <c r="A974" s="5" t="str">
        <f>IF($J974="","",INDEX('Detalle individual'!$B:$B,$J974))</f>
        <v/>
      </c>
      <c r="B974" s="5" t="str">
        <f>IF($J974="","",INDEX('Detalle individual'!$A:$A,$J974))</f>
        <v/>
      </c>
      <c r="C974" s="5" t="str">
        <f>IF($J974="","",INDEX('Detalle individual'!$E:$E,$J974))</f>
        <v/>
      </c>
      <c r="D974" s="5" t="str">
        <f>IF($J974="","",INDEX('Detalle individual'!$C:$C,$J974))</f>
        <v/>
      </c>
      <c r="E974" s="5" t="str">
        <f>IF($J974="","",INDEX('Detalle individual'!$D:$D,$J974))</f>
        <v/>
      </c>
      <c r="F974" s="23" t="str">
        <f>IF($J974="","",INDEX('Detalle individual'!$H:$H,$J974))</f>
        <v/>
      </c>
      <c r="G974" s="28" t="str">
        <f>IF($J974="","",INDEX('Detalle individual'!$J:$J,$J974))</f>
        <v/>
      </c>
      <c r="H974" s="28" t="str">
        <f>IF($J974="","",INDEX('Detalle individual'!$L:$L,$J974))</f>
        <v/>
      </c>
      <c r="J974" t="str">
        <f>IFERROR(MATCH(SMALL(Cálculos!$AI$5:$AI$1000,970),Cálculos!$AI$5:$AI$1000,0)+4,"")</f>
        <v/>
      </c>
    </row>
    <row r="975">
      <c r="A975" s="5" t="str">
        <f>IF($J975="","",INDEX('Detalle individual'!$B:$B,$J975))</f>
        <v/>
      </c>
      <c r="B975" s="5" t="str">
        <f>IF($J975="","",INDEX('Detalle individual'!$A:$A,$J975))</f>
        <v/>
      </c>
      <c r="C975" s="5" t="str">
        <f>IF($J975="","",INDEX('Detalle individual'!$E:$E,$J975))</f>
        <v/>
      </c>
      <c r="D975" s="5" t="str">
        <f>IF($J975="","",INDEX('Detalle individual'!$C:$C,$J975))</f>
        <v/>
      </c>
      <c r="E975" s="5" t="str">
        <f>IF($J975="","",INDEX('Detalle individual'!$D:$D,$J975))</f>
        <v/>
      </c>
      <c r="F975" s="23" t="str">
        <f>IF($J975="","",INDEX('Detalle individual'!$H:$H,$J975))</f>
        <v/>
      </c>
      <c r="G975" s="28" t="str">
        <f>IF($J975="","",INDEX('Detalle individual'!$J:$J,$J975))</f>
        <v/>
      </c>
      <c r="H975" s="28" t="str">
        <f>IF($J975="","",INDEX('Detalle individual'!$L:$L,$J975))</f>
        <v/>
      </c>
      <c r="J975" t="str">
        <f>IFERROR(MATCH(SMALL(Cálculos!$AI$5:$AI$1000,971),Cálculos!$AI$5:$AI$1000,0)+4,"")</f>
        <v/>
      </c>
    </row>
    <row r="976">
      <c r="A976" s="5" t="str">
        <f>IF($J976="","",INDEX('Detalle individual'!$B:$B,$J976))</f>
        <v/>
      </c>
      <c r="B976" s="5" t="str">
        <f>IF($J976="","",INDEX('Detalle individual'!$A:$A,$J976))</f>
        <v/>
      </c>
      <c r="C976" s="5" t="str">
        <f>IF($J976="","",INDEX('Detalle individual'!$E:$E,$J976))</f>
        <v/>
      </c>
      <c r="D976" s="5" t="str">
        <f>IF($J976="","",INDEX('Detalle individual'!$C:$C,$J976))</f>
        <v/>
      </c>
      <c r="E976" s="5" t="str">
        <f>IF($J976="","",INDEX('Detalle individual'!$D:$D,$J976))</f>
        <v/>
      </c>
      <c r="F976" s="23" t="str">
        <f>IF($J976="","",INDEX('Detalle individual'!$H:$H,$J976))</f>
        <v/>
      </c>
      <c r="G976" s="28" t="str">
        <f>IF($J976="","",INDEX('Detalle individual'!$J:$J,$J976))</f>
        <v/>
      </c>
      <c r="H976" s="28" t="str">
        <f>IF($J976="","",INDEX('Detalle individual'!$L:$L,$J976))</f>
        <v/>
      </c>
      <c r="J976" t="str">
        <f>IFERROR(MATCH(SMALL(Cálculos!$AI$5:$AI$1000,972),Cálculos!$AI$5:$AI$1000,0)+4,"")</f>
        <v/>
      </c>
    </row>
    <row r="977">
      <c r="A977" s="5" t="str">
        <f>IF($J977="","",INDEX('Detalle individual'!$B:$B,$J977))</f>
        <v/>
      </c>
      <c r="B977" s="5" t="str">
        <f>IF($J977="","",INDEX('Detalle individual'!$A:$A,$J977))</f>
        <v/>
      </c>
      <c r="C977" s="5" t="str">
        <f>IF($J977="","",INDEX('Detalle individual'!$E:$E,$J977))</f>
        <v/>
      </c>
      <c r="D977" s="5" t="str">
        <f>IF($J977="","",INDEX('Detalle individual'!$C:$C,$J977))</f>
        <v/>
      </c>
      <c r="E977" s="5" t="str">
        <f>IF($J977="","",INDEX('Detalle individual'!$D:$D,$J977))</f>
        <v/>
      </c>
      <c r="F977" s="23" t="str">
        <f>IF($J977="","",INDEX('Detalle individual'!$H:$H,$J977))</f>
        <v/>
      </c>
      <c r="G977" s="28" t="str">
        <f>IF($J977="","",INDEX('Detalle individual'!$J:$J,$J977))</f>
        <v/>
      </c>
      <c r="H977" s="28" t="str">
        <f>IF($J977="","",INDEX('Detalle individual'!$L:$L,$J977))</f>
        <v/>
      </c>
      <c r="J977" t="str">
        <f>IFERROR(MATCH(SMALL(Cálculos!$AI$5:$AI$1000,973),Cálculos!$AI$5:$AI$1000,0)+4,"")</f>
        <v/>
      </c>
    </row>
    <row r="978">
      <c r="A978" s="5" t="str">
        <f>IF($J978="","",INDEX('Detalle individual'!$B:$B,$J978))</f>
        <v/>
      </c>
      <c r="B978" s="5" t="str">
        <f>IF($J978="","",INDEX('Detalle individual'!$A:$A,$J978))</f>
        <v/>
      </c>
      <c r="C978" s="5" t="str">
        <f>IF($J978="","",INDEX('Detalle individual'!$E:$E,$J978))</f>
        <v/>
      </c>
      <c r="D978" s="5" t="str">
        <f>IF($J978="","",INDEX('Detalle individual'!$C:$C,$J978))</f>
        <v/>
      </c>
      <c r="E978" s="5" t="str">
        <f>IF($J978="","",INDEX('Detalle individual'!$D:$D,$J978))</f>
        <v/>
      </c>
      <c r="F978" s="23" t="str">
        <f>IF($J978="","",INDEX('Detalle individual'!$H:$H,$J978))</f>
        <v/>
      </c>
      <c r="G978" s="28" t="str">
        <f>IF($J978="","",INDEX('Detalle individual'!$J:$J,$J978))</f>
        <v/>
      </c>
      <c r="H978" s="28" t="str">
        <f>IF($J978="","",INDEX('Detalle individual'!$L:$L,$J978))</f>
        <v/>
      </c>
      <c r="J978" t="str">
        <f>IFERROR(MATCH(SMALL(Cálculos!$AI$5:$AI$1000,974),Cálculos!$AI$5:$AI$1000,0)+4,"")</f>
        <v/>
      </c>
    </row>
    <row r="979">
      <c r="A979" s="5" t="str">
        <f>IF($J979="","",INDEX('Detalle individual'!$B:$B,$J979))</f>
        <v/>
      </c>
      <c r="B979" s="5" t="str">
        <f>IF($J979="","",INDEX('Detalle individual'!$A:$A,$J979))</f>
        <v/>
      </c>
      <c r="C979" s="5" t="str">
        <f>IF($J979="","",INDEX('Detalle individual'!$E:$E,$J979))</f>
        <v/>
      </c>
      <c r="D979" s="5" t="str">
        <f>IF($J979="","",INDEX('Detalle individual'!$C:$C,$J979))</f>
        <v/>
      </c>
      <c r="E979" s="5" t="str">
        <f>IF($J979="","",INDEX('Detalle individual'!$D:$D,$J979))</f>
        <v/>
      </c>
      <c r="F979" s="23" t="str">
        <f>IF($J979="","",INDEX('Detalle individual'!$H:$H,$J979))</f>
        <v/>
      </c>
      <c r="G979" s="28" t="str">
        <f>IF($J979="","",INDEX('Detalle individual'!$J:$J,$J979))</f>
        <v/>
      </c>
      <c r="H979" s="28" t="str">
        <f>IF($J979="","",INDEX('Detalle individual'!$L:$L,$J979))</f>
        <v/>
      </c>
      <c r="J979" t="str">
        <f>IFERROR(MATCH(SMALL(Cálculos!$AI$5:$AI$1000,975),Cálculos!$AI$5:$AI$1000,0)+4,"")</f>
        <v/>
      </c>
    </row>
    <row r="980">
      <c r="A980" s="5" t="str">
        <f>IF($J980="","",INDEX('Detalle individual'!$B:$B,$J980))</f>
        <v/>
      </c>
      <c r="B980" s="5" t="str">
        <f>IF($J980="","",INDEX('Detalle individual'!$A:$A,$J980))</f>
        <v/>
      </c>
      <c r="C980" s="5" t="str">
        <f>IF($J980="","",INDEX('Detalle individual'!$E:$E,$J980))</f>
        <v/>
      </c>
      <c r="D980" s="5" t="str">
        <f>IF($J980="","",INDEX('Detalle individual'!$C:$C,$J980))</f>
        <v/>
      </c>
      <c r="E980" s="5" t="str">
        <f>IF($J980="","",INDEX('Detalle individual'!$D:$D,$J980))</f>
        <v/>
      </c>
      <c r="F980" s="23" t="str">
        <f>IF($J980="","",INDEX('Detalle individual'!$H:$H,$J980))</f>
        <v/>
      </c>
      <c r="G980" s="28" t="str">
        <f>IF($J980="","",INDEX('Detalle individual'!$J:$J,$J980))</f>
        <v/>
      </c>
      <c r="H980" s="28" t="str">
        <f>IF($J980="","",INDEX('Detalle individual'!$L:$L,$J980))</f>
        <v/>
      </c>
      <c r="J980" t="str">
        <f>IFERROR(MATCH(SMALL(Cálculos!$AI$5:$AI$1000,976),Cálculos!$AI$5:$AI$1000,0)+4,"")</f>
        <v/>
      </c>
    </row>
    <row r="981">
      <c r="A981" s="5" t="str">
        <f>IF($J981="","",INDEX('Detalle individual'!$B:$B,$J981))</f>
        <v/>
      </c>
      <c r="B981" s="5" t="str">
        <f>IF($J981="","",INDEX('Detalle individual'!$A:$A,$J981))</f>
        <v/>
      </c>
      <c r="C981" s="5" t="str">
        <f>IF($J981="","",INDEX('Detalle individual'!$E:$E,$J981))</f>
        <v/>
      </c>
      <c r="D981" s="5" t="str">
        <f>IF($J981="","",INDEX('Detalle individual'!$C:$C,$J981))</f>
        <v/>
      </c>
      <c r="E981" s="5" t="str">
        <f>IF($J981="","",INDEX('Detalle individual'!$D:$D,$J981))</f>
        <v/>
      </c>
      <c r="F981" s="23" t="str">
        <f>IF($J981="","",INDEX('Detalle individual'!$H:$H,$J981))</f>
        <v/>
      </c>
      <c r="G981" s="28" t="str">
        <f>IF($J981="","",INDEX('Detalle individual'!$J:$J,$J981))</f>
        <v/>
      </c>
      <c r="H981" s="28" t="str">
        <f>IF($J981="","",INDEX('Detalle individual'!$L:$L,$J981))</f>
        <v/>
      </c>
      <c r="J981" t="str">
        <f>IFERROR(MATCH(SMALL(Cálculos!$AI$5:$AI$1000,977),Cálculos!$AI$5:$AI$1000,0)+4,"")</f>
        <v/>
      </c>
    </row>
    <row r="982">
      <c r="A982" s="5" t="str">
        <f>IF($J982="","",INDEX('Detalle individual'!$B:$B,$J982))</f>
        <v/>
      </c>
      <c r="B982" s="5" t="str">
        <f>IF($J982="","",INDEX('Detalle individual'!$A:$A,$J982))</f>
        <v/>
      </c>
      <c r="C982" s="5" t="str">
        <f>IF($J982="","",INDEX('Detalle individual'!$E:$E,$J982))</f>
        <v/>
      </c>
      <c r="D982" s="5" t="str">
        <f>IF($J982="","",INDEX('Detalle individual'!$C:$C,$J982))</f>
        <v/>
      </c>
      <c r="E982" s="5" t="str">
        <f>IF($J982="","",INDEX('Detalle individual'!$D:$D,$J982))</f>
        <v/>
      </c>
      <c r="F982" s="23" t="str">
        <f>IF($J982="","",INDEX('Detalle individual'!$H:$H,$J982))</f>
        <v/>
      </c>
      <c r="G982" s="28" t="str">
        <f>IF($J982="","",INDEX('Detalle individual'!$J:$J,$J982))</f>
        <v/>
      </c>
      <c r="H982" s="28" t="str">
        <f>IF($J982="","",INDEX('Detalle individual'!$L:$L,$J982))</f>
        <v/>
      </c>
      <c r="J982" t="str">
        <f>IFERROR(MATCH(SMALL(Cálculos!$AI$5:$AI$1000,978),Cálculos!$AI$5:$AI$1000,0)+4,"")</f>
        <v/>
      </c>
    </row>
    <row r="983">
      <c r="A983" s="5" t="str">
        <f>IF($J983="","",INDEX('Detalle individual'!$B:$B,$J983))</f>
        <v/>
      </c>
      <c r="B983" s="5" t="str">
        <f>IF($J983="","",INDEX('Detalle individual'!$A:$A,$J983))</f>
        <v/>
      </c>
      <c r="C983" s="5" t="str">
        <f>IF($J983="","",INDEX('Detalle individual'!$E:$E,$J983))</f>
        <v/>
      </c>
      <c r="D983" s="5" t="str">
        <f>IF($J983="","",INDEX('Detalle individual'!$C:$C,$J983))</f>
        <v/>
      </c>
      <c r="E983" s="5" t="str">
        <f>IF($J983="","",INDEX('Detalle individual'!$D:$D,$J983))</f>
        <v/>
      </c>
      <c r="F983" s="23" t="str">
        <f>IF($J983="","",INDEX('Detalle individual'!$H:$H,$J983))</f>
        <v/>
      </c>
      <c r="G983" s="28" t="str">
        <f>IF($J983="","",INDEX('Detalle individual'!$J:$J,$J983))</f>
        <v/>
      </c>
      <c r="H983" s="28" t="str">
        <f>IF($J983="","",INDEX('Detalle individual'!$L:$L,$J983))</f>
        <v/>
      </c>
      <c r="J983" t="str">
        <f>IFERROR(MATCH(SMALL(Cálculos!$AI$5:$AI$1000,979),Cálculos!$AI$5:$AI$1000,0)+4,"")</f>
        <v/>
      </c>
    </row>
    <row r="984">
      <c r="A984" s="5" t="str">
        <f>IF($J984="","",INDEX('Detalle individual'!$B:$B,$J984))</f>
        <v/>
      </c>
      <c r="B984" s="5" t="str">
        <f>IF($J984="","",INDEX('Detalle individual'!$A:$A,$J984))</f>
        <v/>
      </c>
      <c r="C984" s="5" t="str">
        <f>IF($J984="","",INDEX('Detalle individual'!$E:$E,$J984))</f>
        <v/>
      </c>
      <c r="D984" s="5" t="str">
        <f>IF($J984="","",INDEX('Detalle individual'!$C:$C,$J984))</f>
        <v/>
      </c>
      <c r="E984" s="5" t="str">
        <f>IF($J984="","",INDEX('Detalle individual'!$D:$D,$J984))</f>
        <v/>
      </c>
      <c r="F984" s="23" t="str">
        <f>IF($J984="","",INDEX('Detalle individual'!$H:$H,$J984))</f>
        <v/>
      </c>
      <c r="G984" s="28" t="str">
        <f>IF($J984="","",INDEX('Detalle individual'!$J:$J,$J984))</f>
        <v/>
      </c>
      <c r="H984" s="28" t="str">
        <f>IF($J984="","",INDEX('Detalle individual'!$L:$L,$J984))</f>
        <v/>
      </c>
      <c r="J984" t="str">
        <f>IFERROR(MATCH(SMALL(Cálculos!$AI$5:$AI$1000,980),Cálculos!$AI$5:$AI$1000,0)+4,"")</f>
        <v/>
      </c>
    </row>
    <row r="985">
      <c r="A985" s="5" t="str">
        <f>IF($J985="","",INDEX('Detalle individual'!$B:$B,$J985))</f>
        <v/>
      </c>
      <c r="B985" s="5" t="str">
        <f>IF($J985="","",INDEX('Detalle individual'!$A:$A,$J985))</f>
        <v/>
      </c>
      <c r="C985" s="5" t="str">
        <f>IF($J985="","",INDEX('Detalle individual'!$E:$E,$J985))</f>
        <v/>
      </c>
      <c r="D985" s="5" t="str">
        <f>IF($J985="","",INDEX('Detalle individual'!$C:$C,$J985))</f>
        <v/>
      </c>
      <c r="E985" s="5" t="str">
        <f>IF($J985="","",INDEX('Detalle individual'!$D:$D,$J985))</f>
        <v/>
      </c>
      <c r="F985" s="23" t="str">
        <f>IF($J985="","",INDEX('Detalle individual'!$H:$H,$J985))</f>
        <v/>
      </c>
      <c r="G985" s="28" t="str">
        <f>IF($J985="","",INDEX('Detalle individual'!$J:$J,$J985))</f>
        <v/>
      </c>
      <c r="H985" s="28" t="str">
        <f>IF($J985="","",INDEX('Detalle individual'!$L:$L,$J985))</f>
        <v/>
      </c>
      <c r="J985" t="str">
        <f>IFERROR(MATCH(SMALL(Cálculos!$AI$5:$AI$1000,981),Cálculos!$AI$5:$AI$1000,0)+4,"")</f>
        <v/>
      </c>
    </row>
    <row r="986">
      <c r="A986" s="5" t="str">
        <f>IF($J986="","",INDEX('Detalle individual'!$B:$B,$J986))</f>
        <v/>
      </c>
      <c r="B986" s="5" t="str">
        <f>IF($J986="","",INDEX('Detalle individual'!$A:$A,$J986))</f>
        <v/>
      </c>
      <c r="C986" s="5" t="str">
        <f>IF($J986="","",INDEX('Detalle individual'!$E:$E,$J986))</f>
        <v/>
      </c>
      <c r="D986" s="5" t="str">
        <f>IF($J986="","",INDEX('Detalle individual'!$C:$C,$J986))</f>
        <v/>
      </c>
      <c r="E986" s="5" t="str">
        <f>IF($J986="","",INDEX('Detalle individual'!$D:$D,$J986))</f>
        <v/>
      </c>
      <c r="F986" s="23" t="str">
        <f>IF($J986="","",INDEX('Detalle individual'!$H:$H,$J986))</f>
        <v/>
      </c>
      <c r="G986" s="28" t="str">
        <f>IF($J986="","",INDEX('Detalle individual'!$J:$J,$J986))</f>
        <v/>
      </c>
      <c r="H986" s="28" t="str">
        <f>IF($J986="","",INDEX('Detalle individual'!$L:$L,$J986))</f>
        <v/>
      </c>
      <c r="J986" t="str">
        <f>IFERROR(MATCH(SMALL(Cálculos!$AI$5:$AI$1000,982),Cálculos!$AI$5:$AI$1000,0)+4,"")</f>
        <v/>
      </c>
    </row>
    <row r="987">
      <c r="A987" s="5" t="str">
        <f>IF($J987="","",INDEX('Detalle individual'!$B:$B,$J987))</f>
        <v/>
      </c>
      <c r="B987" s="5" t="str">
        <f>IF($J987="","",INDEX('Detalle individual'!$A:$A,$J987))</f>
        <v/>
      </c>
      <c r="C987" s="5" t="str">
        <f>IF($J987="","",INDEX('Detalle individual'!$E:$E,$J987))</f>
        <v/>
      </c>
      <c r="D987" s="5" t="str">
        <f>IF($J987="","",INDEX('Detalle individual'!$C:$C,$J987))</f>
        <v/>
      </c>
      <c r="E987" s="5" t="str">
        <f>IF($J987="","",INDEX('Detalle individual'!$D:$D,$J987))</f>
        <v/>
      </c>
      <c r="F987" s="23" t="str">
        <f>IF($J987="","",INDEX('Detalle individual'!$H:$H,$J987))</f>
        <v/>
      </c>
      <c r="G987" s="28" t="str">
        <f>IF($J987="","",INDEX('Detalle individual'!$J:$J,$J987))</f>
        <v/>
      </c>
      <c r="H987" s="28" t="str">
        <f>IF($J987="","",INDEX('Detalle individual'!$L:$L,$J987))</f>
        <v/>
      </c>
      <c r="J987" t="str">
        <f>IFERROR(MATCH(SMALL(Cálculos!$AI$5:$AI$1000,983),Cálculos!$AI$5:$AI$1000,0)+4,"")</f>
        <v/>
      </c>
    </row>
    <row r="988">
      <c r="A988" s="5" t="str">
        <f>IF($J988="","",INDEX('Detalle individual'!$B:$B,$J988))</f>
        <v/>
      </c>
      <c r="B988" s="5" t="str">
        <f>IF($J988="","",INDEX('Detalle individual'!$A:$A,$J988))</f>
        <v/>
      </c>
      <c r="C988" s="5" t="str">
        <f>IF($J988="","",INDEX('Detalle individual'!$E:$E,$J988))</f>
        <v/>
      </c>
      <c r="D988" s="5" t="str">
        <f>IF($J988="","",INDEX('Detalle individual'!$C:$C,$J988))</f>
        <v/>
      </c>
      <c r="E988" s="5" t="str">
        <f>IF($J988="","",INDEX('Detalle individual'!$D:$D,$J988))</f>
        <v/>
      </c>
      <c r="F988" s="23" t="str">
        <f>IF($J988="","",INDEX('Detalle individual'!$H:$H,$J988))</f>
        <v/>
      </c>
      <c r="G988" s="28" t="str">
        <f>IF($J988="","",INDEX('Detalle individual'!$J:$J,$J988))</f>
        <v/>
      </c>
      <c r="H988" s="28" t="str">
        <f>IF($J988="","",INDEX('Detalle individual'!$L:$L,$J988))</f>
        <v/>
      </c>
      <c r="J988" t="str">
        <f>IFERROR(MATCH(SMALL(Cálculos!$AI$5:$AI$1000,984),Cálculos!$AI$5:$AI$1000,0)+4,"")</f>
        <v/>
      </c>
    </row>
    <row r="989">
      <c r="A989" s="5" t="str">
        <f>IF($J989="","",INDEX('Detalle individual'!$B:$B,$J989))</f>
        <v/>
      </c>
      <c r="B989" s="5" t="str">
        <f>IF($J989="","",INDEX('Detalle individual'!$A:$A,$J989))</f>
        <v/>
      </c>
      <c r="C989" s="5" t="str">
        <f>IF($J989="","",INDEX('Detalle individual'!$E:$E,$J989))</f>
        <v/>
      </c>
      <c r="D989" s="5" t="str">
        <f>IF($J989="","",INDEX('Detalle individual'!$C:$C,$J989))</f>
        <v/>
      </c>
      <c r="E989" s="5" t="str">
        <f>IF($J989="","",INDEX('Detalle individual'!$D:$D,$J989))</f>
        <v/>
      </c>
      <c r="F989" s="23" t="str">
        <f>IF($J989="","",INDEX('Detalle individual'!$H:$H,$J989))</f>
        <v/>
      </c>
      <c r="G989" s="28" t="str">
        <f>IF($J989="","",INDEX('Detalle individual'!$J:$J,$J989))</f>
        <v/>
      </c>
      <c r="H989" s="28" t="str">
        <f>IF($J989="","",INDEX('Detalle individual'!$L:$L,$J989))</f>
        <v/>
      </c>
      <c r="J989" t="str">
        <f>IFERROR(MATCH(SMALL(Cálculos!$AI$5:$AI$1000,985),Cálculos!$AI$5:$AI$1000,0)+4,"")</f>
        <v/>
      </c>
    </row>
    <row r="990">
      <c r="A990" s="5" t="str">
        <f>IF($J990="","",INDEX('Detalle individual'!$B:$B,$J990))</f>
        <v/>
      </c>
      <c r="B990" s="5" t="str">
        <f>IF($J990="","",INDEX('Detalle individual'!$A:$A,$J990))</f>
        <v/>
      </c>
      <c r="C990" s="5" t="str">
        <f>IF($J990="","",INDEX('Detalle individual'!$E:$E,$J990))</f>
        <v/>
      </c>
      <c r="D990" s="5" t="str">
        <f>IF($J990="","",INDEX('Detalle individual'!$C:$C,$J990))</f>
        <v/>
      </c>
      <c r="E990" s="5" t="str">
        <f>IF($J990="","",INDEX('Detalle individual'!$D:$D,$J990))</f>
        <v/>
      </c>
      <c r="F990" s="23" t="str">
        <f>IF($J990="","",INDEX('Detalle individual'!$H:$H,$J990))</f>
        <v/>
      </c>
      <c r="G990" s="28" t="str">
        <f>IF($J990="","",INDEX('Detalle individual'!$J:$J,$J990))</f>
        <v/>
      </c>
      <c r="H990" s="28" t="str">
        <f>IF($J990="","",INDEX('Detalle individual'!$L:$L,$J990))</f>
        <v/>
      </c>
      <c r="J990" t="str">
        <f>IFERROR(MATCH(SMALL(Cálculos!$AI$5:$AI$1000,986),Cálculos!$AI$5:$AI$1000,0)+4,"")</f>
        <v/>
      </c>
    </row>
    <row r="991">
      <c r="A991" s="5" t="str">
        <f>IF($J991="","",INDEX('Detalle individual'!$B:$B,$J991))</f>
        <v/>
      </c>
      <c r="B991" s="5" t="str">
        <f>IF($J991="","",INDEX('Detalle individual'!$A:$A,$J991))</f>
        <v/>
      </c>
      <c r="C991" s="5" t="str">
        <f>IF($J991="","",INDEX('Detalle individual'!$E:$E,$J991))</f>
        <v/>
      </c>
      <c r="D991" s="5" t="str">
        <f>IF($J991="","",INDEX('Detalle individual'!$C:$C,$J991))</f>
        <v/>
      </c>
      <c r="E991" s="5" t="str">
        <f>IF($J991="","",INDEX('Detalle individual'!$D:$D,$J991))</f>
        <v/>
      </c>
      <c r="F991" s="23" t="str">
        <f>IF($J991="","",INDEX('Detalle individual'!$H:$H,$J991))</f>
        <v/>
      </c>
      <c r="G991" s="28" t="str">
        <f>IF($J991="","",INDEX('Detalle individual'!$J:$J,$J991))</f>
        <v/>
      </c>
      <c r="H991" s="28" t="str">
        <f>IF($J991="","",INDEX('Detalle individual'!$L:$L,$J991))</f>
        <v/>
      </c>
      <c r="J991" t="str">
        <f>IFERROR(MATCH(SMALL(Cálculos!$AI$5:$AI$1000,987),Cálculos!$AI$5:$AI$1000,0)+4,"")</f>
        <v/>
      </c>
    </row>
    <row r="992">
      <c r="A992" s="5" t="str">
        <f>IF($J992="","",INDEX('Detalle individual'!$B:$B,$J992))</f>
        <v/>
      </c>
      <c r="B992" s="5" t="str">
        <f>IF($J992="","",INDEX('Detalle individual'!$A:$A,$J992))</f>
        <v/>
      </c>
      <c r="C992" s="5" t="str">
        <f>IF($J992="","",INDEX('Detalle individual'!$E:$E,$J992))</f>
        <v/>
      </c>
      <c r="D992" s="5" t="str">
        <f>IF($J992="","",INDEX('Detalle individual'!$C:$C,$J992))</f>
        <v/>
      </c>
      <c r="E992" s="5" t="str">
        <f>IF($J992="","",INDEX('Detalle individual'!$D:$D,$J992))</f>
        <v/>
      </c>
      <c r="F992" s="23" t="str">
        <f>IF($J992="","",INDEX('Detalle individual'!$H:$H,$J992))</f>
        <v/>
      </c>
      <c r="G992" s="28" t="str">
        <f>IF($J992="","",INDEX('Detalle individual'!$J:$J,$J992))</f>
        <v/>
      </c>
      <c r="H992" s="28" t="str">
        <f>IF($J992="","",INDEX('Detalle individual'!$L:$L,$J992))</f>
        <v/>
      </c>
      <c r="J992" t="str">
        <f>IFERROR(MATCH(SMALL(Cálculos!$AI$5:$AI$1000,988),Cálculos!$AI$5:$AI$1000,0)+4,"")</f>
        <v/>
      </c>
    </row>
    <row r="993">
      <c r="A993" s="5" t="str">
        <f>IF($J993="","",INDEX('Detalle individual'!$B:$B,$J993))</f>
        <v/>
      </c>
      <c r="B993" s="5" t="str">
        <f>IF($J993="","",INDEX('Detalle individual'!$A:$A,$J993))</f>
        <v/>
      </c>
      <c r="C993" s="5" t="str">
        <f>IF($J993="","",INDEX('Detalle individual'!$E:$E,$J993))</f>
        <v/>
      </c>
      <c r="D993" s="5" t="str">
        <f>IF($J993="","",INDEX('Detalle individual'!$C:$C,$J993))</f>
        <v/>
      </c>
      <c r="E993" s="5" t="str">
        <f>IF($J993="","",INDEX('Detalle individual'!$D:$D,$J993))</f>
        <v/>
      </c>
      <c r="F993" s="23" t="str">
        <f>IF($J993="","",INDEX('Detalle individual'!$H:$H,$J993))</f>
        <v/>
      </c>
      <c r="G993" s="28" t="str">
        <f>IF($J993="","",INDEX('Detalle individual'!$J:$J,$J993))</f>
        <v/>
      </c>
      <c r="H993" s="28" t="str">
        <f>IF($J993="","",INDEX('Detalle individual'!$L:$L,$J993))</f>
        <v/>
      </c>
      <c r="J993" t="str">
        <f>IFERROR(MATCH(SMALL(Cálculos!$AI$5:$AI$1000,989),Cálculos!$AI$5:$AI$1000,0)+4,"")</f>
        <v/>
      </c>
    </row>
    <row r="994">
      <c r="A994" s="5" t="str">
        <f>IF($J994="","",INDEX('Detalle individual'!$B:$B,$J994))</f>
        <v/>
      </c>
      <c r="B994" s="5" t="str">
        <f>IF($J994="","",INDEX('Detalle individual'!$A:$A,$J994))</f>
        <v/>
      </c>
      <c r="C994" s="5" t="str">
        <f>IF($J994="","",INDEX('Detalle individual'!$E:$E,$J994))</f>
        <v/>
      </c>
      <c r="D994" s="5" t="str">
        <f>IF($J994="","",INDEX('Detalle individual'!$C:$C,$J994))</f>
        <v/>
      </c>
      <c r="E994" s="5" t="str">
        <f>IF($J994="","",INDEX('Detalle individual'!$D:$D,$J994))</f>
        <v/>
      </c>
      <c r="F994" s="23" t="str">
        <f>IF($J994="","",INDEX('Detalle individual'!$H:$H,$J994))</f>
        <v/>
      </c>
      <c r="G994" s="28" t="str">
        <f>IF($J994="","",INDEX('Detalle individual'!$J:$J,$J994))</f>
        <v/>
      </c>
      <c r="H994" s="28" t="str">
        <f>IF($J994="","",INDEX('Detalle individual'!$L:$L,$J994))</f>
        <v/>
      </c>
      <c r="J994" t="str">
        <f>IFERROR(MATCH(SMALL(Cálculos!$AI$5:$AI$1000,990),Cálculos!$AI$5:$AI$1000,0)+4,"")</f>
        <v/>
      </c>
    </row>
    <row r="995">
      <c r="A995" s="5" t="str">
        <f>IF($J995="","",INDEX('Detalle individual'!$B:$B,$J995))</f>
        <v/>
      </c>
      <c r="B995" s="5" t="str">
        <f>IF($J995="","",INDEX('Detalle individual'!$A:$A,$J995))</f>
        <v/>
      </c>
      <c r="C995" s="5" t="str">
        <f>IF($J995="","",INDEX('Detalle individual'!$E:$E,$J995))</f>
        <v/>
      </c>
      <c r="D995" s="5" t="str">
        <f>IF($J995="","",INDEX('Detalle individual'!$C:$C,$J995))</f>
        <v/>
      </c>
      <c r="E995" s="5" t="str">
        <f>IF($J995="","",INDEX('Detalle individual'!$D:$D,$J995))</f>
        <v/>
      </c>
      <c r="F995" s="23" t="str">
        <f>IF($J995="","",INDEX('Detalle individual'!$H:$H,$J995))</f>
        <v/>
      </c>
      <c r="G995" s="28" t="str">
        <f>IF($J995="","",INDEX('Detalle individual'!$J:$J,$J995))</f>
        <v/>
      </c>
      <c r="H995" s="28" t="str">
        <f>IF($J995="","",INDEX('Detalle individual'!$L:$L,$J995))</f>
        <v/>
      </c>
      <c r="J995" t="str">
        <f>IFERROR(MATCH(SMALL(Cálculos!$AI$5:$AI$1000,991),Cálculos!$AI$5:$AI$1000,0)+4,"")</f>
        <v/>
      </c>
    </row>
    <row r="996">
      <c r="A996" s="5" t="str">
        <f>IF($J996="","",INDEX('Detalle individual'!$B:$B,$J996))</f>
        <v/>
      </c>
      <c r="B996" s="5" t="str">
        <f>IF($J996="","",INDEX('Detalle individual'!$A:$A,$J996))</f>
        <v/>
      </c>
      <c r="C996" s="5" t="str">
        <f>IF($J996="","",INDEX('Detalle individual'!$E:$E,$J996))</f>
        <v/>
      </c>
      <c r="D996" s="5" t="str">
        <f>IF($J996="","",INDEX('Detalle individual'!$C:$C,$J996))</f>
        <v/>
      </c>
      <c r="E996" s="5" t="str">
        <f>IF($J996="","",INDEX('Detalle individual'!$D:$D,$J996))</f>
        <v/>
      </c>
      <c r="F996" s="23" t="str">
        <f>IF($J996="","",INDEX('Detalle individual'!$H:$H,$J996))</f>
        <v/>
      </c>
      <c r="G996" s="28" t="str">
        <f>IF($J996="","",INDEX('Detalle individual'!$J:$J,$J996))</f>
        <v/>
      </c>
      <c r="H996" s="28" t="str">
        <f>IF($J996="","",INDEX('Detalle individual'!$L:$L,$J996))</f>
        <v/>
      </c>
      <c r="J996" t="str">
        <f>IFERROR(MATCH(SMALL(Cálculos!$AI$5:$AI$1000,992),Cálculos!$AI$5:$AI$1000,0)+4,"")</f>
        <v/>
      </c>
    </row>
    <row r="997">
      <c r="A997" s="5" t="str">
        <f>IF($J997="","",INDEX('Detalle individual'!$B:$B,$J997))</f>
        <v/>
      </c>
      <c r="B997" s="5" t="str">
        <f>IF($J997="","",INDEX('Detalle individual'!$A:$A,$J997))</f>
        <v/>
      </c>
      <c r="C997" s="5" t="str">
        <f>IF($J997="","",INDEX('Detalle individual'!$E:$E,$J997))</f>
        <v/>
      </c>
      <c r="D997" s="5" t="str">
        <f>IF($J997="","",INDEX('Detalle individual'!$C:$C,$J997))</f>
        <v/>
      </c>
      <c r="E997" s="5" t="str">
        <f>IF($J997="","",INDEX('Detalle individual'!$D:$D,$J997))</f>
        <v/>
      </c>
      <c r="F997" s="23" t="str">
        <f>IF($J997="","",INDEX('Detalle individual'!$H:$H,$J997))</f>
        <v/>
      </c>
      <c r="G997" s="28" t="str">
        <f>IF($J997="","",INDEX('Detalle individual'!$J:$J,$J997))</f>
        <v/>
      </c>
      <c r="H997" s="28" t="str">
        <f>IF($J997="","",INDEX('Detalle individual'!$L:$L,$J997))</f>
        <v/>
      </c>
      <c r="J997" t="str">
        <f>IFERROR(MATCH(SMALL(Cálculos!$AI$5:$AI$1000,993),Cálculos!$AI$5:$AI$1000,0)+4,"")</f>
        <v/>
      </c>
    </row>
    <row r="998">
      <c r="A998" s="5" t="str">
        <f>IF($J998="","",INDEX('Detalle individual'!$B:$B,$J998))</f>
        <v/>
      </c>
      <c r="B998" s="5" t="str">
        <f>IF($J998="","",INDEX('Detalle individual'!$A:$A,$J998))</f>
        <v/>
      </c>
      <c r="C998" s="5" t="str">
        <f>IF($J998="","",INDEX('Detalle individual'!$E:$E,$J998))</f>
        <v/>
      </c>
      <c r="D998" s="5" t="str">
        <f>IF($J998="","",INDEX('Detalle individual'!$C:$C,$J998))</f>
        <v/>
      </c>
      <c r="E998" s="5" t="str">
        <f>IF($J998="","",INDEX('Detalle individual'!$D:$D,$J998))</f>
        <v/>
      </c>
      <c r="F998" s="23" t="str">
        <f>IF($J998="","",INDEX('Detalle individual'!$H:$H,$J998))</f>
        <v/>
      </c>
      <c r="G998" s="28" t="str">
        <f>IF($J998="","",INDEX('Detalle individual'!$J:$J,$J998))</f>
        <v/>
      </c>
      <c r="H998" s="28" t="str">
        <f>IF($J998="","",INDEX('Detalle individual'!$L:$L,$J998))</f>
        <v/>
      </c>
      <c r="J998" t="str">
        <f>IFERROR(MATCH(SMALL(Cálculos!$AI$5:$AI$1000,994),Cálculos!$AI$5:$AI$1000,0)+4,"")</f>
        <v/>
      </c>
    </row>
    <row r="999">
      <c r="A999" s="5" t="str">
        <f>IF($J999="","",INDEX('Detalle individual'!$B:$B,$J999))</f>
        <v/>
      </c>
      <c r="B999" s="5" t="str">
        <f>IF($J999="","",INDEX('Detalle individual'!$A:$A,$J999))</f>
        <v/>
      </c>
      <c r="C999" s="5" t="str">
        <f>IF($J999="","",INDEX('Detalle individual'!$E:$E,$J999))</f>
        <v/>
      </c>
      <c r="D999" s="5" t="str">
        <f>IF($J999="","",INDEX('Detalle individual'!$C:$C,$J999))</f>
        <v/>
      </c>
      <c r="E999" s="5" t="str">
        <f>IF($J999="","",INDEX('Detalle individual'!$D:$D,$J999))</f>
        <v/>
      </c>
      <c r="F999" s="23" t="str">
        <f>IF($J999="","",INDEX('Detalle individual'!$H:$H,$J999))</f>
        <v/>
      </c>
      <c r="G999" s="28" t="str">
        <f>IF($J999="","",INDEX('Detalle individual'!$J:$J,$J999))</f>
        <v/>
      </c>
      <c r="H999" s="28" t="str">
        <f>IF($J999="","",INDEX('Detalle individual'!$L:$L,$J999))</f>
        <v/>
      </c>
      <c r="J999" t="str">
        <f>IFERROR(MATCH(SMALL(Cálculos!$AI$5:$AI$1000,995),Cálculos!$AI$5:$AI$1000,0)+4,"")</f>
        <v/>
      </c>
    </row>
    <row r="1000">
      <c r="A1000" s="5" t="str">
        <f>IF($J1000="","",INDEX('Detalle individual'!$B:$B,$J1000))</f>
        <v/>
      </c>
      <c r="B1000" s="5" t="str">
        <f>IF($J1000="","",INDEX('Detalle individual'!$A:$A,$J1000))</f>
        <v/>
      </c>
      <c r="C1000" s="5" t="str">
        <f>IF($J1000="","",INDEX('Detalle individual'!$E:$E,$J1000))</f>
        <v/>
      </c>
      <c r="D1000" s="5" t="str">
        <f>IF($J1000="","",INDEX('Detalle individual'!$C:$C,$J1000))</f>
        <v/>
      </c>
      <c r="E1000" s="5" t="str">
        <f>IF($J1000="","",INDEX('Detalle individual'!$D:$D,$J1000))</f>
        <v/>
      </c>
      <c r="F1000" s="23" t="str">
        <f>IF($J1000="","",INDEX('Detalle individual'!$H:$H,$J1000))</f>
        <v/>
      </c>
      <c r="G1000" s="28" t="str">
        <f>IF($J1000="","",INDEX('Detalle individual'!$J:$J,$J1000))</f>
        <v/>
      </c>
      <c r="H1000" s="28" t="str">
        <f>IF($J1000="","",INDEX('Detalle individual'!$L:$L,$J1000))</f>
        <v/>
      </c>
      <c r="J1000" t="str">
        <f>IFERROR(MATCH(SMALL(Cálculos!$AI$5:$AI$1000,996),Cálculos!$AI$5:$AI$1000,0)+4,"")</f>
        <v/>
      </c>
    </row>
  </sheetData>
  <autoFilter ref="A4:H100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10" customWidth="1" style="38" min="1" max="1"/>
    <col width="38" customWidth="1" style="38" min="2" max="2"/>
    <col width="44" customWidth="1" style="38" min="3" max="3"/>
    <col width="32" customWidth="1" style="38" min="4" max="4"/>
    <col width="11" customWidth="1" style="38" min="5" max="5"/>
    <col width="19" customWidth="1" style="38" min="6" max="7"/>
    <col width="14" customWidth="1" style="38" min="8" max="8"/>
    <col width="8" customWidth="1" style="38" min="9" max="9"/>
    <col width="16" customWidth="1" style="38" min="10" max="10"/>
    <col hidden="1" width="13" customWidth="1" style="38" min="12" max="12"/>
  </cols>
  <sheetData>
    <row r="1" ht="21" customHeight="1" s="38">
      <c r="A1" s="1" t="inlineStr">
        <is>
          <t>HISTORIAL DE INTENTOS — COLABORADORES QUE REALIZARON EL EXAMEN MÁS DE UNA VEZ</t>
        </is>
      </c>
    </row>
    <row r="2">
      <c r="A2" s="2" t="inlineStr">
        <is>
          <t>Se considera la NOTA MÁS ALTA de cada colaborador (si hay empate, el primer intento con esa nota).</t>
        </is>
      </c>
    </row>
    <row r="3">
      <c r="A3" s="27" t="str">
        <f>"Colaboradores con más de un intento: "&amp;SUMPRODUCT((Cálculos!$AQ$5:$AQ$1000&lt;&gt;"")/COUNTIF('Base Exámenes'!$C$5:$C$1000,'Base Exámenes'!$C$5:$C$1000&amp;""))</f>
        <v>Colaboradores con más de un intento: 7</v>
      </c>
    </row>
    <row r="4">
      <c r="A4" s="3" t="inlineStr">
        <is>
          <t>Código</t>
        </is>
      </c>
      <c r="B4" s="3" t="inlineStr">
        <is>
          <t>Nombre del colaborador</t>
        </is>
      </c>
      <c r="C4" s="3" t="inlineStr">
        <is>
          <t>Departamento</t>
        </is>
      </c>
      <c r="D4" s="3" t="inlineStr">
        <is>
          <t>Gerencia</t>
        </is>
      </c>
      <c r="E4" s="3" t="inlineStr">
        <is>
          <t>Intento N°</t>
        </is>
      </c>
      <c r="F4" s="3" t="inlineStr">
        <is>
          <t>Hora de inicio</t>
        </is>
      </c>
      <c r="G4" s="3" t="inlineStr">
        <is>
          <t>Hora de finalización</t>
        </is>
      </c>
      <c r="H4" s="3" t="inlineStr">
        <is>
          <t>Duración (min)</t>
        </is>
      </c>
      <c r="I4" s="3" t="inlineStr">
        <is>
          <t>Nota</t>
        </is>
      </c>
      <c r="J4" s="3" t="inlineStr">
        <is>
          <t>Nota considerada</t>
        </is>
      </c>
    </row>
    <row r="5">
      <c r="A5" s="5" t="str">
        <f>IF($L5="","",TRIM(INDEX('Base Exámenes'!$C:$C,$L5)))</f>
        <v>894</v>
      </c>
      <c r="B5" s="5" t="str">
        <f>IF($L5="","",IFERROR(INDEX('Detalle individual'!$B:$B,MATCH($A5,'Detalle individual'!$A:$A,0)),TRIM(INDEX('Base Exámenes'!$A:$A,$L5))))</f>
        <v>HENRY OSWALDO PINEDA GARCIA</v>
      </c>
      <c r="C5" s="5" t="str">
        <f>IF($L5="","",IFERROR(INDEX('Detalle individual'!$C:$C,MATCH($A5,'Detalle individual'!$A:$A,0)),TRIM(INDEX('Base Exámenes'!$B:$B,$L5))))</f>
        <v>DEPARTAMENTO DE SEGUROS</v>
      </c>
      <c r="D5" s="5" t="str">
        <f>IF($L5="","",IFERROR(INDEX('Detalle individual'!$D:$D,MATCH($A5,'Detalle individual'!$A:$A,0)),"(no está en Base Oficial)"))</f>
        <v>Gerencia de Negocios</v>
      </c>
      <c r="E5" s="5">
        <f>IF($L5="","",COUNTIFS('Base Exámenes'!$C$5:$C$1000,INDEX('Base Exámenes'!$C:$C,$L5),'Base Exámenes'!$D$5:$D$1000,"&lt;="&amp;INDEX('Base Exámenes'!$D:$D,$L5)))</f>
        <v>1</v>
      </c>
      <c r="F5" s="23">
        <f>IF($L5="","",INDEX('Base Exámenes'!$D:$D,$L5))</f>
        <v>46296.426412037035</v>
      </c>
      <c r="G5" s="23">
        <f>IF($L5="","",INDEX('Base Exámenes'!$E:$E,$L5))</f>
        <v>46296.431875</v>
      </c>
      <c r="H5" s="24">
        <f>IF($L5="","",INDEX('Base Exámenes'!$F:$F,$L5))</f>
        <v>7.86666666666667</v>
      </c>
      <c r="I5" s="5">
        <f>IF($L5="","",INDEX('Base Exámenes'!$G:$G,$L5))</f>
        <v>100</v>
      </c>
      <c r="J5" s="5" t="str">
        <f>IF($L5="","",IF($L5-4=MATCH(INDEX('Base Exámenes'!$C:$C,$L5)&amp;"|"&amp;_xlfn.MAXIFS('Base Exámenes'!$G$5:$G$1000,'Base Exámenes'!$C$5:$C$1000,INDEX('Base Exámenes'!$C:$C,$L5)),'Base Exámenes'!$I$5:$I$1000,0),"Sí",""))</f>
        <v>Sí</v>
      </c>
      <c r="L5">
        <f>IFERROR(MATCH(SMALL(Cálculos!$AQ$5:$AQ$1000,1),Cálculos!$AQ$5:$AQ$1000,0)+4,"")</f>
        <v>6</v>
      </c>
    </row>
    <row r="6">
      <c r="A6" s="5" t="str">
        <f>IF($L6="","",TRIM(INDEX('Base Exámenes'!$C:$C,$L6)))</f>
        <v>894</v>
      </c>
      <c r="B6" s="5" t="str">
        <f>IF($L6="","",IFERROR(INDEX('Detalle individual'!$B:$B,MATCH($A6,'Detalle individual'!$A:$A,0)),TRIM(INDEX('Base Exámenes'!$A:$A,$L6))))</f>
        <v>HENRY OSWALDO PINEDA GARCIA</v>
      </c>
      <c r="C6" s="5" t="str">
        <f>IF($L6="","",IFERROR(INDEX('Detalle individual'!$C:$C,MATCH($A6,'Detalle individual'!$A:$A,0)),TRIM(INDEX('Base Exámenes'!$B:$B,$L6))))</f>
        <v>DEPARTAMENTO DE SEGUROS</v>
      </c>
      <c r="D6" s="5" t="str">
        <f>IF($L6="","",IFERROR(INDEX('Detalle individual'!$D:$D,MATCH($A6,'Detalle individual'!$A:$A,0)),"(no está en Base Oficial)"))</f>
        <v>Gerencia de Negocios</v>
      </c>
      <c r="E6" s="5">
        <f>IF($L6="","",COUNTIFS('Base Exámenes'!$C$5:$C$1000,INDEX('Base Exámenes'!$C:$C,$L6),'Base Exámenes'!$D$5:$D$1000,"&lt;="&amp;INDEX('Base Exámenes'!$D:$D,$L6)))</f>
        <v>2</v>
      </c>
      <c r="F6" s="23">
        <f>IF($L6="","",INDEX('Base Exámenes'!$D:$D,$L6))</f>
        <v>46309.386354166665</v>
      </c>
      <c r="G6" s="23">
        <f>IF($L6="","",INDEX('Base Exámenes'!$E:$E,$L6))</f>
        <v>46309.38825231481</v>
      </c>
      <c r="H6" s="24">
        <f>IF($L6="","",INDEX('Base Exámenes'!$F:$F,$L6))</f>
        <v>2.73333333333333</v>
      </c>
      <c r="I6" s="5">
        <f>IF($L6="","",INDEX('Base Exámenes'!$G:$G,$L6))</f>
        <v>100</v>
      </c>
      <c r="J6" s="5" t="str">
        <f>IF($L6="","",IF($L6-4=MATCH(INDEX('Base Exámenes'!$C:$C,$L6)&amp;"|"&amp;_xlfn.MAXIFS('Base Exámenes'!$G$5:$G$1000,'Base Exámenes'!$C$5:$C$1000,INDEX('Base Exámenes'!$C:$C,$L6)),'Base Exámenes'!$I$5:$I$1000,0),"Sí",""))</f>
        <v/>
      </c>
      <c r="L6">
        <f>IFERROR(MATCH(SMALL(Cálculos!$AQ$5:$AQ$1000,2),Cálculos!$AQ$5:$AQ$1000,0)+4,"")</f>
        <v>224</v>
      </c>
    </row>
    <row r="7">
      <c r="A7" s="5" t="str">
        <f>IF($L7="","",TRIM(INDEX('Base Exámenes'!$C:$C,$L7)))</f>
        <v>776</v>
      </c>
      <c r="B7" s="5" t="str">
        <f>IF($L7="","",IFERROR(INDEX('Detalle individual'!$B:$B,MATCH($A7,'Detalle individual'!$A:$A,0)),TRIM(INDEX('Base Exámenes'!$A:$A,$L7))))</f>
        <v>DIEGO GERARDO GUANDIQUE TORRES</v>
      </c>
      <c r="C7" s="5" t="str">
        <f>IF($L7="","",IFERROR(INDEX('Detalle individual'!$C:$C,MATCH($A7,'Detalle individual'!$A:$A,0)),TRIM(INDEX('Base Exámenes'!$B:$B,$L7))))</f>
        <v>AGENCIA SAN MIGUEL</v>
      </c>
      <c r="D7" s="5" t="str">
        <f>IF($L7="","",IFERROR(INDEX('Detalle individual'!$D:$D,MATCH($A7,'Detalle individual'!$A:$A,0)),"(no está en Base Oficial)"))</f>
        <v>Gerencia de Negocios</v>
      </c>
      <c r="E7" s="5">
        <f>IF($L7="","",COUNTIFS('Base Exámenes'!$C$5:$C$1000,INDEX('Base Exámenes'!$C:$C,$L7),'Base Exámenes'!$D$5:$D$1000,"&lt;="&amp;INDEX('Base Exámenes'!$D:$D,$L7)))</f>
        <v>1</v>
      </c>
      <c r="F7" s="23">
        <f>IF($L7="","",INDEX('Base Exámenes'!$D:$D,$L7))</f>
        <v>46296.44304398148</v>
      </c>
      <c r="G7" s="23">
        <f>IF($L7="","",INDEX('Base Exámenes'!$E:$E,$L7))</f>
        <v>46296.44540509259</v>
      </c>
      <c r="H7" s="24">
        <f>IF($L7="","",INDEX('Base Exámenes'!$F:$F,$L7))</f>
        <v>3.4</v>
      </c>
      <c r="I7" s="5">
        <f>IF($L7="","",INDEX('Base Exámenes'!$G:$G,$L7))</f>
        <v>100</v>
      </c>
      <c r="J7" s="5" t="str">
        <f>IF($L7="","",IF($L7-4=MATCH(INDEX('Base Exámenes'!$C:$C,$L7)&amp;"|"&amp;_xlfn.MAXIFS('Base Exámenes'!$G$5:$G$1000,'Base Exámenes'!$C$5:$C$1000,INDEX('Base Exámenes'!$C:$C,$L7)),'Base Exámenes'!$I$5:$I$1000,0),"Sí",""))</f>
        <v>Sí</v>
      </c>
      <c r="L7">
        <f>IFERROR(MATCH(SMALL(Cálculos!$AQ$5:$AQ$1000,3),Cálculos!$AQ$5:$AQ$1000,0)+4,"")</f>
        <v>12</v>
      </c>
    </row>
    <row r="8">
      <c r="A8" s="5" t="str">
        <f>IF($L8="","",TRIM(INDEX('Base Exámenes'!$C:$C,$L8)))</f>
        <v>776</v>
      </c>
      <c r="B8" s="5" t="str">
        <f>IF($L8="","",IFERROR(INDEX('Detalle individual'!$B:$B,MATCH($A8,'Detalle individual'!$A:$A,0)),TRIM(INDEX('Base Exámenes'!$A:$A,$L8))))</f>
        <v>DIEGO GERARDO GUANDIQUE TORRES</v>
      </c>
      <c r="C8" s="5" t="str">
        <f>IF($L8="","",IFERROR(INDEX('Detalle individual'!$C:$C,MATCH($A8,'Detalle individual'!$A:$A,0)),TRIM(INDEX('Base Exámenes'!$B:$B,$L8))))</f>
        <v>AGENCIA SAN MIGUEL</v>
      </c>
      <c r="D8" s="5" t="str">
        <f>IF($L8="","",IFERROR(INDEX('Detalle individual'!$D:$D,MATCH($A8,'Detalle individual'!$A:$A,0)),"(no está en Base Oficial)"))</f>
        <v>Gerencia de Negocios</v>
      </c>
      <c r="E8" s="5">
        <f>IF($L8="","",COUNTIFS('Base Exámenes'!$C$5:$C$1000,INDEX('Base Exámenes'!$C:$C,$L8),'Base Exámenes'!$D$5:$D$1000,"&lt;="&amp;INDEX('Base Exámenes'!$D:$D,$L8)))</f>
        <v>2</v>
      </c>
      <c r="F8" s="23">
        <f>IF($L8="","",INDEX('Base Exámenes'!$D:$D,$L8))</f>
        <v>46308.460752314815</v>
      </c>
      <c r="G8" s="23">
        <f>IF($L8="","",INDEX('Base Exámenes'!$E:$E,$L8))</f>
        <v>46308.46273148148</v>
      </c>
      <c r="H8" s="24">
        <f>IF($L8="","",INDEX('Base Exámenes'!$F:$F,$L8))</f>
        <v>2.85</v>
      </c>
      <c r="I8" s="5">
        <f>IF($L8="","",INDEX('Base Exámenes'!$G:$G,$L8))</f>
        <v>100</v>
      </c>
      <c r="J8" s="5" t="str">
        <f>IF($L8="","",IF($L8-4=MATCH(INDEX('Base Exámenes'!$C:$C,$L8)&amp;"|"&amp;_xlfn.MAXIFS('Base Exámenes'!$G$5:$G$1000,'Base Exámenes'!$C$5:$C$1000,INDEX('Base Exámenes'!$C:$C,$L8)),'Base Exámenes'!$I$5:$I$1000,0),"Sí",""))</f>
        <v/>
      </c>
      <c r="L8">
        <f>IFERROR(MATCH(SMALL(Cálculos!$AQ$5:$AQ$1000,4),Cálculos!$AQ$5:$AQ$1000,0)+4,"")</f>
        <v>207</v>
      </c>
    </row>
    <row r="9">
      <c r="A9" s="5" t="str">
        <f>IF($L9="","",TRIM(INDEX('Base Exámenes'!$C:$C,$L9)))</f>
        <v>633</v>
      </c>
      <c r="B9" s="5" t="str">
        <f>IF($L9="","",IFERROR(INDEX('Detalle individual'!$B:$B,MATCH($A9,'Detalle individual'!$A:$A,0)),TRIM(INDEX('Base Exámenes'!$A:$A,$L9))))</f>
        <v>VICTOR ADONAY PEREZ CASTILLO</v>
      </c>
      <c r="C9" s="5" t="str">
        <f>IF($L9="","",IFERROR(INDEX('Detalle individual'!$C:$C,MATCH($A9,'Detalle individual'!$A:$A,0)),TRIM(INDEX('Base Exámenes'!$B:$B,$L9))))</f>
        <v>GERENCIA DE NEGOCIOS</v>
      </c>
      <c r="D9" s="5" t="str">
        <f>IF($L9="","",IFERROR(INDEX('Detalle individual'!$D:$D,MATCH($A9,'Detalle individual'!$A:$A,0)),"(no está en Base Oficial)"))</f>
        <v>Gerencia de Negocios</v>
      </c>
      <c r="E9" s="5">
        <f>IF($L9="","",COUNTIFS('Base Exámenes'!$C$5:$C$1000,INDEX('Base Exámenes'!$C:$C,$L9),'Base Exámenes'!$D$5:$D$1000,"&lt;="&amp;INDEX('Base Exámenes'!$D:$D,$L9)))</f>
        <v>1</v>
      </c>
      <c r="F9" s="23">
        <f>IF($L9="","",INDEX('Base Exámenes'!$D:$D,$L9))</f>
        <v>46296.45108796296</v>
      </c>
      <c r="G9" s="23">
        <f>IF($L9="","",INDEX('Base Exámenes'!$E:$E,$L9))</f>
        <v>46296.453680555554</v>
      </c>
      <c r="H9" s="24">
        <f>IF($L9="","",INDEX('Base Exámenes'!$F:$F,$L9))</f>
        <v>3.73333333333333</v>
      </c>
      <c r="I9" s="5">
        <f>IF($L9="","",INDEX('Base Exámenes'!$G:$G,$L9))</f>
        <v>100</v>
      </c>
      <c r="J9" s="5" t="str">
        <f>IF($L9="","",IF($L9-4=MATCH(INDEX('Base Exámenes'!$C:$C,$L9)&amp;"|"&amp;_xlfn.MAXIFS('Base Exámenes'!$G$5:$G$1000,'Base Exámenes'!$C$5:$C$1000,INDEX('Base Exámenes'!$C:$C,$L9)),'Base Exámenes'!$I$5:$I$1000,0),"Sí",""))</f>
        <v>Sí</v>
      </c>
      <c r="L9">
        <f>IFERROR(MATCH(SMALL(Cálculos!$AQ$5:$AQ$1000,5),Cálculos!$AQ$5:$AQ$1000,0)+4,"")</f>
        <v>19</v>
      </c>
    </row>
    <row r="10">
      <c r="A10" s="5" t="str">
        <f>IF($L10="","",TRIM(INDEX('Base Exámenes'!$C:$C,$L10)))</f>
        <v>633</v>
      </c>
      <c r="B10" s="5" t="str">
        <f>IF($L10="","",IFERROR(INDEX('Detalle individual'!$B:$B,MATCH($A10,'Detalle individual'!$A:$A,0)),TRIM(INDEX('Base Exámenes'!$A:$A,$L10))))</f>
        <v>VICTOR ADONAY PEREZ CASTILLO</v>
      </c>
      <c r="C10" s="5" t="str">
        <f>IF($L10="","",IFERROR(INDEX('Detalle individual'!$C:$C,MATCH($A10,'Detalle individual'!$A:$A,0)),TRIM(INDEX('Base Exámenes'!$B:$B,$L10))))</f>
        <v>GERENCIA DE NEGOCIOS</v>
      </c>
      <c r="D10" s="5" t="str">
        <f>IF($L10="","",IFERROR(INDEX('Detalle individual'!$D:$D,MATCH($A10,'Detalle individual'!$A:$A,0)),"(no está en Base Oficial)"))</f>
        <v>Gerencia de Negocios</v>
      </c>
      <c r="E10" s="5">
        <f>IF($L10="","",COUNTIFS('Base Exámenes'!$C$5:$C$1000,INDEX('Base Exámenes'!$C:$C,$L10),'Base Exámenes'!$D$5:$D$1000,"&lt;="&amp;INDEX('Base Exámenes'!$D:$D,$L10)))</f>
        <v>2</v>
      </c>
      <c r="F10" s="23">
        <f>IF($L10="","",INDEX('Base Exámenes'!$D:$D,$L10))</f>
        <v>46304.37530092592</v>
      </c>
      <c r="G10" s="23">
        <f>IF($L10="","",INDEX('Base Exámenes'!$E:$E,$L10))</f>
        <v>46304.37832175926</v>
      </c>
      <c r="H10" s="24">
        <f>IF($L10="","",INDEX('Base Exámenes'!$F:$F,$L10))</f>
        <v>4.35</v>
      </c>
      <c r="I10" s="5">
        <f>IF($L10="","",INDEX('Base Exámenes'!$G:$G,$L10))</f>
        <v>100</v>
      </c>
      <c r="J10" s="5" t="str">
        <f>IF($L10="","",IF($L10-4=MATCH(INDEX('Base Exámenes'!$C:$C,$L10)&amp;"|"&amp;_xlfn.MAXIFS('Base Exámenes'!$G$5:$G$1000,'Base Exámenes'!$C$5:$C$1000,INDEX('Base Exámenes'!$C:$C,$L10)),'Base Exámenes'!$I$5:$I$1000,0),"Sí",""))</f>
        <v/>
      </c>
      <c r="L10">
        <f>IFERROR(MATCH(SMALL(Cálculos!$AQ$5:$AQ$1000,6),Cálculos!$AQ$5:$AQ$1000,0)+4,"")</f>
        <v>125</v>
      </c>
    </row>
    <row r="11">
      <c r="A11" s="5" t="str">
        <f>IF($L11="","",TRIM(INDEX('Base Exámenes'!$C:$C,$L11)))</f>
        <v>430</v>
      </c>
      <c r="B11" s="5" t="str">
        <f>IF($L11="","",IFERROR(INDEX('Detalle individual'!$B:$B,MATCH($A11,'Detalle individual'!$A:$A,0)),TRIM(INDEX('Base Exámenes'!$A:$A,$L11))))</f>
        <v>MARIO ROSALES VASQUEZ</v>
      </c>
      <c r="C11" s="5" t="str">
        <f>IF($L11="","",IFERROR(INDEX('Detalle individual'!$C:$C,MATCH($A11,'Detalle individual'!$A:$A,0)),TRIM(INDEX('Base Exámenes'!$B:$B,$L11))))</f>
        <v>DEPARTAMENTO DE SERVICIOS GENERALES</v>
      </c>
      <c r="D11" s="5" t="str">
        <f>IF($L11="","",IFERROR(INDEX('Detalle individual'!$D:$D,MATCH($A11,'Detalle individual'!$A:$A,0)),"(no está en Base Oficial)"))</f>
        <v>Gerencia Administrativa</v>
      </c>
      <c r="E11" s="5">
        <f>IF($L11="","",COUNTIFS('Base Exámenes'!$C$5:$C$1000,INDEX('Base Exámenes'!$C:$C,$L11),'Base Exámenes'!$D$5:$D$1000,"&lt;="&amp;INDEX('Base Exámenes'!$D:$D,$L11)))</f>
        <v>1</v>
      </c>
      <c r="F11" s="23">
        <f>IF($L11="","",INDEX('Base Exámenes'!$D:$D,$L11))</f>
        <v>46298.33667824074</v>
      </c>
      <c r="G11" s="23">
        <f>IF($L11="","",INDEX('Base Exámenes'!$E:$E,$L11))</f>
        <v>46298.34488425926</v>
      </c>
      <c r="H11" s="24">
        <f>IF($L11="","",INDEX('Base Exámenes'!$F:$F,$L11))</f>
        <v>11.8166666666667</v>
      </c>
      <c r="I11" s="5">
        <f>IF($L11="","",INDEX('Base Exámenes'!$G:$G,$L11))</f>
        <v>40</v>
      </c>
      <c r="J11" s="5" t="str">
        <f>IF($L11="","",IF($L11-4=MATCH(INDEX('Base Exámenes'!$C:$C,$L11)&amp;"|"&amp;_xlfn.MAXIFS('Base Exámenes'!$G$5:$G$1000,'Base Exámenes'!$C$5:$C$1000,INDEX('Base Exámenes'!$C:$C,$L11)),'Base Exámenes'!$I$5:$I$1000,0),"Sí",""))</f>
        <v/>
      </c>
      <c r="L11">
        <f>IFERROR(MATCH(SMALL(Cálculos!$AQ$5:$AQ$1000,7),Cálculos!$AQ$5:$AQ$1000,0)+4,"")</f>
        <v>60</v>
      </c>
    </row>
    <row r="12">
      <c r="A12" s="5" t="str">
        <f>IF($L12="","",TRIM(INDEX('Base Exámenes'!$C:$C,$L12)))</f>
        <v>430</v>
      </c>
      <c r="B12" s="5" t="str">
        <f>IF($L12="","",IFERROR(INDEX('Detalle individual'!$B:$B,MATCH($A12,'Detalle individual'!$A:$A,0)),TRIM(INDEX('Base Exámenes'!$A:$A,$L12))))</f>
        <v>MARIO ROSALES VASQUEZ</v>
      </c>
      <c r="C12" s="5" t="str">
        <f>IF($L12="","",IFERROR(INDEX('Detalle individual'!$C:$C,MATCH($A12,'Detalle individual'!$A:$A,0)),TRIM(INDEX('Base Exámenes'!$B:$B,$L12))))</f>
        <v>DEPARTAMENTO DE SERVICIOS GENERALES</v>
      </c>
      <c r="D12" s="5" t="str">
        <f>IF($L12="","",IFERROR(INDEX('Detalle individual'!$D:$D,MATCH($A12,'Detalle individual'!$A:$A,0)),"(no está en Base Oficial)"))</f>
        <v>Gerencia Administrativa</v>
      </c>
      <c r="E12" s="5">
        <f>IF($L12="","",COUNTIFS('Base Exámenes'!$C$5:$C$1000,INDEX('Base Exámenes'!$C:$C,$L12),'Base Exámenes'!$D$5:$D$1000,"&lt;="&amp;INDEX('Base Exámenes'!$D:$D,$L12)))</f>
        <v>2</v>
      </c>
      <c r="F12" s="23">
        <f>IF($L12="","",INDEX('Base Exámenes'!$D:$D,$L12))</f>
        <v>46300.399930555555</v>
      </c>
      <c r="G12" s="23">
        <f>IF($L12="","",INDEX('Base Exámenes'!$E:$E,$L12))</f>
        <v>46300.40560185185</v>
      </c>
      <c r="H12" s="24">
        <f>IF($L12="","",INDEX('Base Exámenes'!$F:$F,$L12))</f>
        <v>8.16666666666667</v>
      </c>
      <c r="I12" s="5">
        <f>IF($L12="","",INDEX('Base Exámenes'!$G:$G,$L12))</f>
        <v>100</v>
      </c>
      <c r="J12" s="5" t="str">
        <f>IF($L12="","",IF($L12-4=MATCH(INDEX('Base Exámenes'!$C:$C,$L12)&amp;"|"&amp;_xlfn.MAXIFS('Base Exámenes'!$G$5:$G$1000,'Base Exámenes'!$C$5:$C$1000,INDEX('Base Exámenes'!$C:$C,$L12)),'Base Exámenes'!$I$5:$I$1000,0),"Sí",""))</f>
        <v>Sí</v>
      </c>
      <c r="L12">
        <f>IFERROR(MATCH(SMALL(Cálculos!$AQ$5:$AQ$1000,8),Cálculos!$AQ$5:$AQ$1000,0)+4,"")</f>
        <v>69</v>
      </c>
    </row>
    <row r="13">
      <c r="A13" s="5" t="str">
        <f>IF($L13="","",TRIM(INDEX('Base Exámenes'!$C:$C,$L13)))</f>
        <v>830</v>
      </c>
      <c r="B13" s="5" t="str">
        <f>IF($L13="","",IFERROR(INDEX('Detalle individual'!$B:$B,MATCH($A13,'Detalle individual'!$A:$A,0)),TRIM(INDEX('Base Exámenes'!$A:$A,$L13))))</f>
        <v>GERMAN ALBERTO CAMPOS TORRES</v>
      </c>
      <c r="C13" s="5" t="str">
        <f>IF($L13="","",IFERROR(INDEX('Detalle individual'!$C:$C,MATCH($A13,'Detalle individual'!$A:$A,0)),TRIM(INDEX('Base Exámenes'!$B:$B,$L13))))</f>
        <v>DEPARTAMENTO DE SERVICIOS GENERALES</v>
      </c>
      <c r="D13" s="5" t="str">
        <f>IF($L13="","",IFERROR(INDEX('Detalle individual'!$D:$D,MATCH($A13,'Detalle individual'!$A:$A,0)),"(no está en Base Oficial)"))</f>
        <v>Gerencia Administrativa</v>
      </c>
      <c r="E13" s="5">
        <f>IF($L13="","",COUNTIFS('Base Exámenes'!$C$5:$C$1000,INDEX('Base Exámenes'!$C:$C,$L13),'Base Exámenes'!$D$5:$D$1000,"&lt;="&amp;INDEX('Base Exámenes'!$D:$D,$L13)))</f>
        <v>1</v>
      </c>
      <c r="F13" s="23">
        <f>IF($L13="","",INDEX('Base Exámenes'!$D:$D,$L13))</f>
        <v>46300.394525462965</v>
      </c>
      <c r="G13" s="23">
        <f>IF($L13="","",INDEX('Base Exámenes'!$E:$E,$L13))</f>
        <v>46300.39962962963</v>
      </c>
      <c r="H13" s="24">
        <f>IF($L13="","",INDEX('Base Exámenes'!$F:$F,$L13))</f>
        <v>7.35</v>
      </c>
      <c r="I13" s="5">
        <f>IF($L13="","",INDEX('Base Exámenes'!$G:$G,$L13))</f>
        <v>95</v>
      </c>
      <c r="J13" s="5" t="str">
        <f>IF($L13="","",IF($L13-4=MATCH(INDEX('Base Exámenes'!$C:$C,$L13)&amp;"|"&amp;_xlfn.MAXIFS('Base Exámenes'!$G$5:$G$1000,'Base Exámenes'!$C$5:$C$1000,INDEX('Base Exámenes'!$C:$C,$L13)),'Base Exámenes'!$I$5:$I$1000,0),"Sí",""))</f>
        <v/>
      </c>
      <c r="L13">
        <f>IFERROR(MATCH(SMALL(Cálculos!$AQ$5:$AQ$1000,9),Cálculos!$AQ$5:$AQ$1000,0)+4,"")</f>
        <v>68</v>
      </c>
    </row>
    <row r="14">
      <c r="A14" s="5" t="str">
        <f>IF($L14="","",TRIM(INDEX('Base Exámenes'!$C:$C,$L14)))</f>
        <v>830</v>
      </c>
      <c r="B14" s="5" t="str">
        <f>IF($L14="","",IFERROR(INDEX('Detalle individual'!$B:$B,MATCH($A14,'Detalle individual'!$A:$A,0)),TRIM(INDEX('Base Exámenes'!$A:$A,$L14))))</f>
        <v>GERMAN ALBERTO CAMPOS TORRES</v>
      </c>
      <c r="C14" s="5" t="str">
        <f>IF($L14="","",IFERROR(INDEX('Detalle individual'!$C:$C,MATCH($A14,'Detalle individual'!$A:$A,0)),TRIM(INDEX('Base Exámenes'!$B:$B,$L14))))</f>
        <v>DEPARTAMENTO DE SERVICIOS GENERALES</v>
      </c>
      <c r="D14" s="5" t="str">
        <f>IF($L14="","",IFERROR(INDEX('Detalle individual'!$D:$D,MATCH($A14,'Detalle individual'!$A:$A,0)),"(no está en Base Oficial)"))</f>
        <v>Gerencia Administrativa</v>
      </c>
      <c r="E14" s="5">
        <f>IF($L14="","",COUNTIFS('Base Exámenes'!$C$5:$C$1000,INDEX('Base Exámenes'!$C:$C,$L14),'Base Exámenes'!$D$5:$D$1000,"&lt;="&amp;INDEX('Base Exámenes'!$D:$D,$L14)))</f>
        <v>2</v>
      </c>
      <c r="F14" s="23">
        <f>IF($L14="","",INDEX('Base Exámenes'!$D:$D,$L14))</f>
        <v>46307.39894675926</v>
      </c>
      <c r="G14" s="23">
        <f>IF($L14="","",INDEX('Base Exámenes'!$E:$E,$L14))</f>
        <v>46307.402291666665</v>
      </c>
      <c r="H14" s="24">
        <f>IF($L14="","",INDEX('Base Exámenes'!$F:$F,$L14))</f>
        <v>4.81666666666667</v>
      </c>
      <c r="I14" s="5">
        <f>IF($L14="","",INDEX('Base Exámenes'!$G:$G,$L14))</f>
        <v>100</v>
      </c>
      <c r="J14" s="5" t="str">
        <f>IF($L14="","",IF($L14-4=MATCH(INDEX('Base Exámenes'!$C:$C,$L14)&amp;"|"&amp;_xlfn.MAXIFS('Base Exámenes'!$G$5:$G$1000,'Base Exámenes'!$C$5:$C$1000,INDEX('Base Exámenes'!$C:$C,$L14)),'Base Exámenes'!$I$5:$I$1000,0),"Sí",""))</f>
        <v>Sí</v>
      </c>
      <c r="L14">
        <f>IFERROR(MATCH(SMALL(Cálculos!$AQ$5:$AQ$1000,10),Cálculos!$AQ$5:$AQ$1000,0)+4,"")</f>
        <v>185</v>
      </c>
    </row>
    <row r="15">
      <c r="A15" s="5" t="str">
        <f>IF($L15="","",TRIM(INDEX('Base Exámenes'!$C:$C,$L15)))</f>
        <v>456</v>
      </c>
      <c r="B15" s="5" t="str">
        <f>IF($L15="","",IFERROR(INDEX('Detalle individual'!$B:$B,MATCH($A15,'Detalle individual'!$A:$A,0)),TRIM(INDEX('Base Exámenes'!$A:$A,$L15))))</f>
        <v>LUCIANO DE JESUS SARAVIA BELTRAN</v>
      </c>
      <c r="C15" s="5" t="str">
        <f>IF($L15="","",IFERROR(INDEX('Detalle individual'!$C:$C,MATCH($A15,'Detalle individual'!$A:$A,0)),TRIM(INDEX('Base Exámenes'!$B:$B,$L15))))</f>
        <v>AGENCIA USULUTAN</v>
      </c>
      <c r="D15" s="5" t="str">
        <f>IF($L15="","",IFERROR(INDEX('Detalle individual'!$D:$D,MATCH($A15,'Detalle individual'!$A:$A,0)),"(no está en Base Oficial)"))</f>
        <v>Gerencia de Negocios</v>
      </c>
      <c r="E15" s="5">
        <f>IF($L15="","",COUNTIFS('Base Exámenes'!$C$5:$C$1000,INDEX('Base Exámenes'!$C:$C,$L15),'Base Exámenes'!$D$5:$D$1000,"&lt;="&amp;INDEX('Base Exámenes'!$D:$D,$L15)))</f>
        <v>1</v>
      </c>
      <c r="F15" s="23">
        <f>IF($L15="","",INDEX('Base Exámenes'!$D:$D,$L15))</f>
        <v>46301.486979166664</v>
      </c>
      <c r="G15" s="23">
        <f>IF($L15="","",INDEX('Base Exámenes'!$E:$E,$L15))</f>
        <v>46301.49184027778</v>
      </c>
      <c r="H15" s="24">
        <f>IF($L15="","",INDEX('Base Exámenes'!$F:$F,$L15))</f>
        <v>7</v>
      </c>
      <c r="I15" s="5">
        <f>IF($L15="","",INDEX('Base Exámenes'!$G:$G,$L15))</f>
        <v>80</v>
      </c>
      <c r="J15" s="5" t="str">
        <f>IF($L15="","",IF($L15-4=MATCH(INDEX('Base Exámenes'!$C:$C,$L15)&amp;"|"&amp;_xlfn.MAXIFS('Base Exámenes'!$G$5:$G$1000,'Base Exámenes'!$C$5:$C$1000,INDEX('Base Exámenes'!$C:$C,$L15)),'Base Exámenes'!$I$5:$I$1000,0),"Sí",""))</f>
        <v/>
      </c>
      <c r="L15">
        <f>IFERROR(MATCH(SMALL(Cálculos!$AQ$5:$AQ$1000,11),Cálculos!$AQ$5:$AQ$1000,0)+4,"")</f>
        <v>93</v>
      </c>
    </row>
    <row r="16">
      <c r="A16" s="5" t="str">
        <f>IF($L16="","",TRIM(INDEX('Base Exámenes'!$C:$C,$L16)))</f>
        <v>456</v>
      </c>
      <c r="B16" s="5" t="str">
        <f>IF($L16="","",IFERROR(INDEX('Detalle individual'!$B:$B,MATCH($A16,'Detalle individual'!$A:$A,0)),TRIM(INDEX('Base Exámenes'!$A:$A,$L16))))</f>
        <v>LUCIANO DE JESUS SARAVIA BELTRAN</v>
      </c>
      <c r="C16" s="5" t="str">
        <f>IF($L16="","",IFERROR(INDEX('Detalle individual'!$C:$C,MATCH($A16,'Detalle individual'!$A:$A,0)),TRIM(INDEX('Base Exámenes'!$B:$B,$L16))))</f>
        <v>AGENCIA USULUTAN</v>
      </c>
      <c r="D16" s="5" t="str">
        <f>IF($L16="","",IFERROR(INDEX('Detalle individual'!$D:$D,MATCH($A16,'Detalle individual'!$A:$A,0)),"(no está en Base Oficial)"))</f>
        <v>Gerencia de Negocios</v>
      </c>
      <c r="E16" s="5">
        <f>IF($L16="","",COUNTIFS('Base Exámenes'!$C$5:$C$1000,INDEX('Base Exámenes'!$C:$C,$L16),'Base Exámenes'!$D$5:$D$1000,"&lt;="&amp;INDEX('Base Exámenes'!$D:$D,$L16)))</f>
        <v>2</v>
      </c>
      <c r="F16" s="23">
        <f>IF($L16="","",INDEX('Base Exámenes'!$D:$D,$L16))</f>
        <v>46301.5078587963</v>
      </c>
      <c r="G16" s="23">
        <f>IF($L16="","",INDEX('Base Exámenes'!$E:$E,$L16))</f>
        <v>46301.51369212963</v>
      </c>
      <c r="H16" s="24">
        <f>IF($L16="","",INDEX('Base Exámenes'!$F:$F,$L16))</f>
        <v>8.4</v>
      </c>
      <c r="I16" s="5">
        <f>IF($L16="","",INDEX('Base Exámenes'!$G:$G,$L16))</f>
        <v>100</v>
      </c>
      <c r="J16" s="5" t="str">
        <f>IF($L16="","",IF($L16-4=MATCH(INDEX('Base Exámenes'!$C:$C,$L16)&amp;"|"&amp;_xlfn.MAXIFS('Base Exámenes'!$G$5:$G$1000,'Base Exámenes'!$C$5:$C$1000,INDEX('Base Exámenes'!$C:$C,$L16)),'Base Exámenes'!$I$5:$I$1000,0),"Sí",""))</f>
        <v>Sí</v>
      </c>
      <c r="L16">
        <f>IFERROR(MATCH(SMALL(Cálculos!$AQ$5:$AQ$1000,12),Cálculos!$AQ$5:$AQ$1000,0)+4,"")</f>
        <v>94</v>
      </c>
    </row>
    <row r="17">
      <c r="A17" s="5" t="str">
        <f>IF($L17="","",TRIM(INDEX('Base Exámenes'!$C:$C,$L17)))</f>
        <v>891</v>
      </c>
      <c r="B17" s="5" t="str">
        <f>IF($L17="","",IFERROR(INDEX('Detalle individual'!$B:$B,MATCH($A17,'Detalle individual'!$A:$A,0)),TRIM(INDEX('Base Exámenes'!$A:$A,$L17))))</f>
        <v>YESENIA LISSETH BARAHONA VALLE</v>
      </c>
      <c r="C17" s="5" t="str">
        <f>IF($L17="","",IFERROR(INDEX('Detalle individual'!$C:$C,MATCH($A17,'Detalle individual'!$A:$A,0)),TRIM(INDEX('Base Exámenes'!$B:$B,$L17))))</f>
        <v>AGENCIA COLONIA MEDICA</v>
      </c>
      <c r="D17" s="5" t="str">
        <f>IF($L17="","",IFERROR(INDEX('Detalle individual'!$D:$D,MATCH($A17,'Detalle individual'!$A:$A,0)),"(no está en Base Oficial)"))</f>
        <v>Gerencia de Negocios</v>
      </c>
      <c r="E17" s="5">
        <f>IF($L17="","",COUNTIFS('Base Exámenes'!$C$5:$C$1000,INDEX('Base Exámenes'!$C:$C,$L17),'Base Exámenes'!$D$5:$D$1000,"&lt;="&amp;INDEX('Base Exámenes'!$D:$D,$L17)))</f>
        <v>1</v>
      </c>
      <c r="F17" s="23">
        <f>IF($L17="","",INDEX('Base Exámenes'!$D:$D,$L17))</f>
        <v>46310.542592592596</v>
      </c>
      <c r="G17" s="23">
        <f>IF($L17="","",INDEX('Base Exámenes'!$E:$E,$L17))</f>
        <v>46310.54554398148</v>
      </c>
      <c r="H17" s="24">
        <f>IF($L17="","",INDEX('Base Exámenes'!$F:$F,$L17))</f>
        <v>4.25</v>
      </c>
      <c r="I17" s="5">
        <f>IF($L17="","",INDEX('Base Exámenes'!$G:$G,$L17))</f>
        <v>100</v>
      </c>
      <c r="J17" s="5" t="str">
        <f>IF($L17="","",IF($L17-4=MATCH(INDEX('Base Exámenes'!$C:$C,$L17)&amp;"|"&amp;_xlfn.MAXIFS('Base Exámenes'!$G$5:$G$1000,'Base Exámenes'!$C$5:$C$1000,INDEX('Base Exámenes'!$C:$C,$L17)),'Base Exámenes'!$I$5:$I$1000,0),"Sí",""))</f>
        <v>Sí</v>
      </c>
      <c r="L17">
        <f>IFERROR(MATCH(SMALL(Cálculos!$AQ$5:$AQ$1000,13),Cálculos!$AQ$5:$AQ$1000,0)+4,"")</f>
        <v>257</v>
      </c>
    </row>
    <row r="18">
      <c r="A18" s="5" t="str">
        <f>IF($L18="","",TRIM(INDEX('Base Exámenes'!$C:$C,$L18)))</f>
        <v>891</v>
      </c>
      <c r="B18" s="5" t="str">
        <f>IF($L18="","",IFERROR(INDEX('Detalle individual'!$B:$B,MATCH($A18,'Detalle individual'!$A:$A,0)),TRIM(INDEX('Base Exámenes'!$A:$A,$L18))))</f>
        <v>YESENIA LISSETH BARAHONA VALLE</v>
      </c>
      <c r="C18" s="5" t="str">
        <f>IF($L18="","",IFERROR(INDEX('Detalle individual'!$C:$C,MATCH($A18,'Detalle individual'!$A:$A,0)),TRIM(INDEX('Base Exámenes'!$B:$B,$L18))))</f>
        <v>AGENCIA COLONIA MEDICA</v>
      </c>
      <c r="D18" s="5" t="str">
        <f>IF($L18="","",IFERROR(INDEX('Detalle individual'!$D:$D,MATCH($A18,'Detalle individual'!$A:$A,0)),"(no está en Base Oficial)"))</f>
        <v>Gerencia de Negocios</v>
      </c>
      <c r="E18" s="5">
        <f>IF($L18="","",COUNTIFS('Base Exámenes'!$C$5:$C$1000,INDEX('Base Exámenes'!$C:$C,$L18),'Base Exámenes'!$D$5:$D$1000,"&lt;="&amp;INDEX('Base Exámenes'!$D:$D,$L18)))</f>
        <v>2</v>
      </c>
      <c r="F18" s="23">
        <f>IF($L18="","",INDEX('Base Exámenes'!$D:$D,$L18))</f>
        <v>46310.56686342593</v>
      </c>
      <c r="G18" s="23">
        <f>IF($L18="","",INDEX('Base Exámenes'!$E:$E,$L18))</f>
        <v>46310.57136574074</v>
      </c>
      <c r="H18" s="24">
        <f>IF($L18="","",INDEX('Base Exámenes'!$F:$F,$L18))</f>
        <v>6.48333333333333</v>
      </c>
      <c r="I18" s="5">
        <f>IF($L18="","",INDEX('Base Exámenes'!$G:$G,$L18))</f>
        <v>100</v>
      </c>
      <c r="J18" s="5" t="str">
        <f>IF($L18="","",IF($L18-4=MATCH(INDEX('Base Exámenes'!$C:$C,$L18)&amp;"|"&amp;_xlfn.MAXIFS('Base Exámenes'!$G$5:$G$1000,'Base Exámenes'!$C$5:$C$1000,INDEX('Base Exámenes'!$C:$C,$L18)),'Base Exámenes'!$I$5:$I$1000,0),"Sí",""))</f>
        <v/>
      </c>
      <c r="L18">
        <f>IFERROR(MATCH(SMALL(Cálculos!$AQ$5:$AQ$1000,14),Cálculos!$AQ$5:$AQ$1000,0)+4,"")</f>
        <v>261</v>
      </c>
    </row>
    <row r="19">
      <c r="A19" s="5" t="str">
        <f>IF($L19="","",TRIM(INDEX('Base Exámenes'!$C:$C,$L19)))</f>
        <v/>
      </c>
      <c r="B19" s="5" t="str">
        <f>IF($L19="","",IFERROR(INDEX('Detalle individual'!$B:$B,MATCH($A19,'Detalle individual'!$A:$A,0)),TRIM(INDEX('Base Exámenes'!$A:$A,$L19))))</f>
        <v/>
      </c>
      <c r="C19" s="5" t="str">
        <f>IF($L19="","",IFERROR(INDEX('Detalle individual'!$C:$C,MATCH($A19,'Detalle individual'!$A:$A,0)),TRIM(INDEX('Base Exámenes'!$B:$B,$L19))))</f>
        <v/>
      </c>
      <c r="D19" s="5" t="str">
        <f>IF($L19="","",IFERROR(INDEX('Detalle individual'!$D:$D,MATCH($A19,'Detalle individual'!$A:$A,0)),"(no está en Base Oficial)"))</f>
        <v/>
      </c>
      <c r="E19" s="5" t="str">
        <f>IF($L19="","",COUNTIFS('Base Exámenes'!$C$5:$C$1000,INDEX('Base Exámenes'!$C:$C,$L19),'Base Exámenes'!$D$5:$D$1000,"&lt;="&amp;INDEX('Base Exámenes'!$D:$D,$L19)))</f>
        <v/>
      </c>
      <c r="F19" s="23" t="str">
        <f>IF($L19="","",INDEX('Base Exámenes'!$D:$D,$L19))</f>
        <v/>
      </c>
      <c r="G19" s="23" t="str">
        <f>IF($L19="","",INDEX('Base Exámenes'!$E:$E,$L19))</f>
        <v/>
      </c>
      <c r="H19" s="24" t="str">
        <f>IF($L19="","",INDEX('Base Exámenes'!$F:$F,$L19))</f>
        <v/>
      </c>
      <c r="I19" s="5" t="str">
        <f>IF($L19="","",INDEX('Base Exámenes'!$G:$G,$L19))</f>
        <v/>
      </c>
      <c r="J19" s="5" t="str">
        <f>IF($L19="","",IF($L19-4=MATCH(INDEX('Base Exámenes'!$C:$C,$L19)&amp;"|"&amp;_xlfn.MAXIFS('Base Exámenes'!$G$5:$G$1000,'Base Exámenes'!$C$5:$C$1000,INDEX('Base Exámenes'!$C:$C,$L19)),'Base Exámenes'!$I$5:$I$1000,0),"Sí",""))</f>
        <v/>
      </c>
      <c r="L19" t="str">
        <f>IFERROR(MATCH(SMALL(Cálculos!$AQ$5:$AQ$1000,15),Cálculos!$AQ$5:$AQ$1000,0)+4,"")</f>
        <v/>
      </c>
    </row>
    <row r="20">
      <c r="A20" s="5" t="str">
        <f>IF($L20="","",TRIM(INDEX('Base Exámenes'!$C:$C,$L20)))</f>
        <v/>
      </c>
      <c r="B20" s="5" t="str">
        <f>IF($L20="","",IFERROR(INDEX('Detalle individual'!$B:$B,MATCH($A20,'Detalle individual'!$A:$A,0)),TRIM(INDEX('Base Exámenes'!$A:$A,$L20))))</f>
        <v/>
      </c>
      <c r="C20" s="5" t="str">
        <f>IF($L20="","",IFERROR(INDEX('Detalle individual'!$C:$C,MATCH($A20,'Detalle individual'!$A:$A,0)),TRIM(INDEX('Base Exámenes'!$B:$B,$L20))))</f>
        <v/>
      </c>
      <c r="D20" s="5" t="str">
        <f>IF($L20="","",IFERROR(INDEX('Detalle individual'!$D:$D,MATCH($A20,'Detalle individual'!$A:$A,0)),"(no está en Base Oficial)"))</f>
        <v/>
      </c>
      <c r="E20" s="5" t="str">
        <f>IF($L20="","",COUNTIFS('Base Exámenes'!$C$5:$C$1000,INDEX('Base Exámenes'!$C:$C,$L20),'Base Exámenes'!$D$5:$D$1000,"&lt;="&amp;INDEX('Base Exámenes'!$D:$D,$L20)))</f>
        <v/>
      </c>
      <c r="F20" s="23" t="str">
        <f>IF($L20="","",INDEX('Base Exámenes'!$D:$D,$L20))</f>
        <v/>
      </c>
      <c r="G20" s="23" t="str">
        <f>IF($L20="","",INDEX('Base Exámenes'!$E:$E,$L20))</f>
        <v/>
      </c>
      <c r="H20" s="24" t="str">
        <f>IF($L20="","",INDEX('Base Exámenes'!$F:$F,$L20))</f>
        <v/>
      </c>
      <c r="I20" s="5" t="str">
        <f>IF($L20="","",INDEX('Base Exámenes'!$G:$G,$L20))</f>
        <v/>
      </c>
      <c r="J20" s="5" t="str">
        <f>IF($L20="","",IF($L20-4=MATCH(INDEX('Base Exámenes'!$C:$C,$L20)&amp;"|"&amp;_xlfn.MAXIFS('Base Exámenes'!$G$5:$G$1000,'Base Exámenes'!$C$5:$C$1000,INDEX('Base Exámenes'!$C:$C,$L20)),'Base Exámenes'!$I$5:$I$1000,0),"Sí",""))</f>
        <v/>
      </c>
      <c r="L20" t="str">
        <f>IFERROR(MATCH(SMALL(Cálculos!$AQ$5:$AQ$1000,16),Cálculos!$AQ$5:$AQ$1000,0)+4,"")</f>
        <v/>
      </c>
    </row>
    <row r="21">
      <c r="A21" s="5" t="str">
        <f>IF($L21="","",TRIM(INDEX('Base Exámenes'!$C:$C,$L21)))</f>
        <v/>
      </c>
      <c r="B21" s="5" t="str">
        <f>IF($L21="","",IFERROR(INDEX('Detalle individual'!$B:$B,MATCH($A21,'Detalle individual'!$A:$A,0)),TRIM(INDEX('Base Exámenes'!$A:$A,$L21))))</f>
        <v/>
      </c>
      <c r="C21" s="5" t="str">
        <f>IF($L21="","",IFERROR(INDEX('Detalle individual'!$C:$C,MATCH($A21,'Detalle individual'!$A:$A,0)),TRIM(INDEX('Base Exámenes'!$B:$B,$L21))))</f>
        <v/>
      </c>
      <c r="D21" s="5" t="str">
        <f>IF($L21="","",IFERROR(INDEX('Detalle individual'!$D:$D,MATCH($A21,'Detalle individual'!$A:$A,0)),"(no está en Base Oficial)"))</f>
        <v/>
      </c>
      <c r="E21" s="5" t="str">
        <f>IF($L21="","",COUNTIFS('Base Exámenes'!$C$5:$C$1000,INDEX('Base Exámenes'!$C:$C,$L21),'Base Exámenes'!$D$5:$D$1000,"&lt;="&amp;INDEX('Base Exámenes'!$D:$D,$L21)))</f>
        <v/>
      </c>
      <c r="F21" s="23" t="str">
        <f>IF($L21="","",INDEX('Base Exámenes'!$D:$D,$L21))</f>
        <v/>
      </c>
      <c r="G21" s="23" t="str">
        <f>IF($L21="","",INDEX('Base Exámenes'!$E:$E,$L21))</f>
        <v/>
      </c>
      <c r="H21" s="24" t="str">
        <f>IF($L21="","",INDEX('Base Exámenes'!$F:$F,$L21))</f>
        <v/>
      </c>
      <c r="I21" s="5" t="str">
        <f>IF($L21="","",INDEX('Base Exámenes'!$G:$G,$L21))</f>
        <v/>
      </c>
      <c r="J21" s="5" t="str">
        <f>IF($L21="","",IF($L21-4=MATCH(INDEX('Base Exámenes'!$C:$C,$L21)&amp;"|"&amp;_xlfn.MAXIFS('Base Exámenes'!$G$5:$G$1000,'Base Exámenes'!$C$5:$C$1000,INDEX('Base Exámenes'!$C:$C,$L21)),'Base Exámenes'!$I$5:$I$1000,0),"Sí",""))</f>
        <v/>
      </c>
      <c r="L21" t="str">
        <f>IFERROR(MATCH(SMALL(Cálculos!$AQ$5:$AQ$1000,17),Cálculos!$AQ$5:$AQ$1000,0)+4,"")</f>
        <v/>
      </c>
    </row>
    <row r="22">
      <c r="A22" s="5" t="str">
        <f>IF($L22="","",TRIM(INDEX('Base Exámenes'!$C:$C,$L22)))</f>
        <v/>
      </c>
      <c r="B22" s="5" t="str">
        <f>IF($L22="","",IFERROR(INDEX('Detalle individual'!$B:$B,MATCH($A22,'Detalle individual'!$A:$A,0)),TRIM(INDEX('Base Exámenes'!$A:$A,$L22))))</f>
        <v/>
      </c>
      <c r="C22" s="5" t="str">
        <f>IF($L22="","",IFERROR(INDEX('Detalle individual'!$C:$C,MATCH($A22,'Detalle individual'!$A:$A,0)),TRIM(INDEX('Base Exámenes'!$B:$B,$L22))))</f>
        <v/>
      </c>
      <c r="D22" s="5" t="str">
        <f>IF($L22="","",IFERROR(INDEX('Detalle individual'!$D:$D,MATCH($A22,'Detalle individual'!$A:$A,0)),"(no está en Base Oficial)"))</f>
        <v/>
      </c>
      <c r="E22" s="5" t="str">
        <f>IF($L22="","",COUNTIFS('Base Exámenes'!$C$5:$C$1000,INDEX('Base Exámenes'!$C:$C,$L22),'Base Exámenes'!$D$5:$D$1000,"&lt;="&amp;INDEX('Base Exámenes'!$D:$D,$L22)))</f>
        <v/>
      </c>
      <c r="F22" s="23" t="str">
        <f>IF($L22="","",INDEX('Base Exámenes'!$D:$D,$L22))</f>
        <v/>
      </c>
      <c r="G22" s="23" t="str">
        <f>IF($L22="","",INDEX('Base Exámenes'!$E:$E,$L22))</f>
        <v/>
      </c>
      <c r="H22" s="24" t="str">
        <f>IF($L22="","",INDEX('Base Exámenes'!$F:$F,$L22))</f>
        <v/>
      </c>
      <c r="I22" s="5" t="str">
        <f>IF($L22="","",INDEX('Base Exámenes'!$G:$G,$L22))</f>
        <v/>
      </c>
      <c r="J22" s="5" t="str">
        <f>IF($L22="","",IF($L22-4=MATCH(INDEX('Base Exámenes'!$C:$C,$L22)&amp;"|"&amp;_xlfn.MAXIFS('Base Exámenes'!$G$5:$G$1000,'Base Exámenes'!$C$5:$C$1000,INDEX('Base Exámenes'!$C:$C,$L22)),'Base Exámenes'!$I$5:$I$1000,0),"Sí",""))</f>
        <v/>
      </c>
      <c r="L22" t="str">
        <f>IFERROR(MATCH(SMALL(Cálculos!$AQ$5:$AQ$1000,18),Cálculos!$AQ$5:$AQ$1000,0)+4,"")</f>
        <v/>
      </c>
    </row>
    <row r="23">
      <c r="A23" s="5" t="str">
        <f>IF($L23="","",TRIM(INDEX('Base Exámenes'!$C:$C,$L23)))</f>
        <v/>
      </c>
      <c r="B23" s="5" t="str">
        <f>IF($L23="","",IFERROR(INDEX('Detalle individual'!$B:$B,MATCH($A23,'Detalle individual'!$A:$A,0)),TRIM(INDEX('Base Exámenes'!$A:$A,$L23))))</f>
        <v/>
      </c>
      <c r="C23" s="5" t="str">
        <f>IF($L23="","",IFERROR(INDEX('Detalle individual'!$C:$C,MATCH($A23,'Detalle individual'!$A:$A,0)),TRIM(INDEX('Base Exámenes'!$B:$B,$L23))))</f>
        <v/>
      </c>
      <c r="D23" s="5" t="str">
        <f>IF($L23="","",IFERROR(INDEX('Detalle individual'!$D:$D,MATCH($A23,'Detalle individual'!$A:$A,0)),"(no está en Base Oficial)"))</f>
        <v/>
      </c>
      <c r="E23" s="5" t="str">
        <f>IF($L23="","",COUNTIFS('Base Exámenes'!$C$5:$C$1000,INDEX('Base Exámenes'!$C:$C,$L23),'Base Exámenes'!$D$5:$D$1000,"&lt;="&amp;INDEX('Base Exámenes'!$D:$D,$L23)))</f>
        <v/>
      </c>
      <c r="F23" s="23" t="str">
        <f>IF($L23="","",INDEX('Base Exámenes'!$D:$D,$L23))</f>
        <v/>
      </c>
      <c r="G23" s="23" t="str">
        <f>IF($L23="","",INDEX('Base Exámenes'!$E:$E,$L23))</f>
        <v/>
      </c>
      <c r="H23" s="24" t="str">
        <f>IF($L23="","",INDEX('Base Exámenes'!$F:$F,$L23))</f>
        <v/>
      </c>
      <c r="I23" s="5" t="str">
        <f>IF($L23="","",INDEX('Base Exámenes'!$G:$G,$L23))</f>
        <v/>
      </c>
      <c r="J23" s="5" t="str">
        <f>IF($L23="","",IF($L23-4=MATCH(INDEX('Base Exámenes'!$C:$C,$L23)&amp;"|"&amp;_xlfn.MAXIFS('Base Exámenes'!$G$5:$G$1000,'Base Exámenes'!$C$5:$C$1000,INDEX('Base Exámenes'!$C:$C,$L23)),'Base Exámenes'!$I$5:$I$1000,0),"Sí",""))</f>
        <v/>
      </c>
      <c r="L23" t="str">
        <f>IFERROR(MATCH(SMALL(Cálculos!$AQ$5:$AQ$1000,19),Cálculos!$AQ$5:$AQ$1000,0)+4,"")</f>
        <v/>
      </c>
    </row>
    <row r="24">
      <c r="A24" s="5" t="str">
        <f>IF($L24="","",TRIM(INDEX('Base Exámenes'!$C:$C,$L24)))</f>
        <v/>
      </c>
      <c r="B24" s="5" t="str">
        <f>IF($L24="","",IFERROR(INDEX('Detalle individual'!$B:$B,MATCH($A24,'Detalle individual'!$A:$A,0)),TRIM(INDEX('Base Exámenes'!$A:$A,$L24))))</f>
        <v/>
      </c>
      <c r="C24" s="5" t="str">
        <f>IF($L24="","",IFERROR(INDEX('Detalle individual'!$C:$C,MATCH($A24,'Detalle individual'!$A:$A,0)),TRIM(INDEX('Base Exámenes'!$B:$B,$L24))))</f>
        <v/>
      </c>
      <c r="D24" s="5" t="str">
        <f>IF($L24="","",IFERROR(INDEX('Detalle individual'!$D:$D,MATCH($A24,'Detalle individual'!$A:$A,0)),"(no está en Base Oficial)"))</f>
        <v/>
      </c>
      <c r="E24" s="5" t="str">
        <f>IF($L24="","",COUNTIFS('Base Exámenes'!$C$5:$C$1000,INDEX('Base Exámenes'!$C:$C,$L24),'Base Exámenes'!$D$5:$D$1000,"&lt;="&amp;INDEX('Base Exámenes'!$D:$D,$L24)))</f>
        <v/>
      </c>
      <c r="F24" s="23" t="str">
        <f>IF($L24="","",INDEX('Base Exámenes'!$D:$D,$L24))</f>
        <v/>
      </c>
      <c r="G24" s="23" t="str">
        <f>IF($L24="","",INDEX('Base Exámenes'!$E:$E,$L24))</f>
        <v/>
      </c>
      <c r="H24" s="24" t="str">
        <f>IF($L24="","",INDEX('Base Exámenes'!$F:$F,$L24))</f>
        <v/>
      </c>
      <c r="I24" s="5" t="str">
        <f>IF($L24="","",INDEX('Base Exámenes'!$G:$G,$L24))</f>
        <v/>
      </c>
      <c r="J24" s="5" t="str">
        <f>IF($L24="","",IF($L24-4=MATCH(INDEX('Base Exámenes'!$C:$C,$L24)&amp;"|"&amp;_xlfn.MAXIFS('Base Exámenes'!$G$5:$G$1000,'Base Exámenes'!$C$5:$C$1000,INDEX('Base Exámenes'!$C:$C,$L24)),'Base Exámenes'!$I$5:$I$1000,0),"Sí",""))</f>
        <v/>
      </c>
      <c r="L24" t="str">
        <f>IFERROR(MATCH(SMALL(Cálculos!$AQ$5:$AQ$1000,20),Cálculos!$AQ$5:$AQ$1000,0)+4,"")</f>
        <v/>
      </c>
    </row>
    <row r="25">
      <c r="A25" s="5" t="str">
        <f>IF($L25="","",TRIM(INDEX('Base Exámenes'!$C:$C,$L25)))</f>
        <v/>
      </c>
      <c r="B25" s="5" t="str">
        <f>IF($L25="","",IFERROR(INDEX('Detalle individual'!$B:$B,MATCH($A25,'Detalle individual'!$A:$A,0)),TRIM(INDEX('Base Exámenes'!$A:$A,$L25))))</f>
        <v/>
      </c>
      <c r="C25" s="5" t="str">
        <f>IF($L25="","",IFERROR(INDEX('Detalle individual'!$C:$C,MATCH($A25,'Detalle individual'!$A:$A,0)),TRIM(INDEX('Base Exámenes'!$B:$B,$L25))))</f>
        <v/>
      </c>
      <c r="D25" s="5" t="str">
        <f>IF($L25="","",IFERROR(INDEX('Detalle individual'!$D:$D,MATCH($A25,'Detalle individual'!$A:$A,0)),"(no está en Base Oficial)"))</f>
        <v/>
      </c>
      <c r="E25" s="5" t="str">
        <f>IF($L25="","",COUNTIFS('Base Exámenes'!$C$5:$C$1000,INDEX('Base Exámenes'!$C:$C,$L25),'Base Exámenes'!$D$5:$D$1000,"&lt;="&amp;INDEX('Base Exámenes'!$D:$D,$L25)))</f>
        <v/>
      </c>
      <c r="F25" s="23" t="str">
        <f>IF($L25="","",INDEX('Base Exámenes'!$D:$D,$L25))</f>
        <v/>
      </c>
      <c r="G25" s="23" t="str">
        <f>IF($L25="","",INDEX('Base Exámenes'!$E:$E,$L25))</f>
        <v/>
      </c>
      <c r="H25" s="24" t="str">
        <f>IF($L25="","",INDEX('Base Exámenes'!$F:$F,$L25))</f>
        <v/>
      </c>
      <c r="I25" s="5" t="str">
        <f>IF($L25="","",INDEX('Base Exámenes'!$G:$G,$L25))</f>
        <v/>
      </c>
      <c r="J25" s="5" t="str">
        <f>IF($L25="","",IF($L25-4=MATCH(INDEX('Base Exámenes'!$C:$C,$L25)&amp;"|"&amp;_xlfn.MAXIFS('Base Exámenes'!$G$5:$G$1000,'Base Exámenes'!$C$5:$C$1000,INDEX('Base Exámenes'!$C:$C,$L25)),'Base Exámenes'!$I$5:$I$1000,0),"Sí",""))</f>
        <v/>
      </c>
      <c r="L25" t="str">
        <f>IFERROR(MATCH(SMALL(Cálculos!$AQ$5:$AQ$1000,21),Cálculos!$AQ$5:$AQ$1000,0)+4,"")</f>
        <v/>
      </c>
    </row>
    <row r="26">
      <c r="A26" s="5" t="str">
        <f>IF($L26="","",TRIM(INDEX('Base Exámenes'!$C:$C,$L26)))</f>
        <v/>
      </c>
      <c r="B26" s="5" t="str">
        <f>IF($L26="","",IFERROR(INDEX('Detalle individual'!$B:$B,MATCH($A26,'Detalle individual'!$A:$A,0)),TRIM(INDEX('Base Exámenes'!$A:$A,$L26))))</f>
        <v/>
      </c>
      <c r="C26" s="5" t="str">
        <f>IF($L26="","",IFERROR(INDEX('Detalle individual'!$C:$C,MATCH($A26,'Detalle individual'!$A:$A,0)),TRIM(INDEX('Base Exámenes'!$B:$B,$L26))))</f>
        <v/>
      </c>
      <c r="D26" s="5" t="str">
        <f>IF($L26="","",IFERROR(INDEX('Detalle individual'!$D:$D,MATCH($A26,'Detalle individual'!$A:$A,0)),"(no está en Base Oficial)"))</f>
        <v/>
      </c>
      <c r="E26" s="5" t="str">
        <f>IF($L26="","",COUNTIFS('Base Exámenes'!$C$5:$C$1000,INDEX('Base Exámenes'!$C:$C,$L26),'Base Exámenes'!$D$5:$D$1000,"&lt;="&amp;INDEX('Base Exámenes'!$D:$D,$L26)))</f>
        <v/>
      </c>
      <c r="F26" s="23" t="str">
        <f>IF($L26="","",INDEX('Base Exámenes'!$D:$D,$L26))</f>
        <v/>
      </c>
      <c r="G26" s="23" t="str">
        <f>IF($L26="","",INDEX('Base Exámenes'!$E:$E,$L26))</f>
        <v/>
      </c>
      <c r="H26" s="24" t="str">
        <f>IF($L26="","",INDEX('Base Exámenes'!$F:$F,$L26))</f>
        <v/>
      </c>
      <c r="I26" s="5" t="str">
        <f>IF($L26="","",INDEX('Base Exámenes'!$G:$G,$L26))</f>
        <v/>
      </c>
      <c r="J26" s="5" t="str">
        <f>IF($L26="","",IF($L26-4=MATCH(INDEX('Base Exámenes'!$C:$C,$L26)&amp;"|"&amp;_xlfn.MAXIFS('Base Exámenes'!$G$5:$G$1000,'Base Exámenes'!$C$5:$C$1000,INDEX('Base Exámenes'!$C:$C,$L26)),'Base Exámenes'!$I$5:$I$1000,0),"Sí",""))</f>
        <v/>
      </c>
      <c r="L26" t="str">
        <f>IFERROR(MATCH(SMALL(Cálculos!$AQ$5:$AQ$1000,22),Cálculos!$AQ$5:$AQ$1000,0)+4,"")</f>
        <v/>
      </c>
    </row>
    <row r="27">
      <c r="A27" s="5" t="str">
        <f>IF($L27="","",TRIM(INDEX('Base Exámenes'!$C:$C,$L27)))</f>
        <v/>
      </c>
      <c r="B27" s="5" t="str">
        <f>IF($L27="","",IFERROR(INDEX('Detalle individual'!$B:$B,MATCH($A27,'Detalle individual'!$A:$A,0)),TRIM(INDEX('Base Exámenes'!$A:$A,$L27))))</f>
        <v/>
      </c>
      <c r="C27" s="5" t="str">
        <f>IF($L27="","",IFERROR(INDEX('Detalle individual'!$C:$C,MATCH($A27,'Detalle individual'!$A:$A,0)),TRIM(INDEX('Base Exámenes'!$B:$B,$L27))))</f>
        <v/>
      </c>
      <c r="D27" s="5" t="str">
        <f>IF($L27="","",IFERROR(INDEX('Detalle individual'!$D:$D,MATCH($A27,'Detalle individual'!$A:$A,0)),"(no está en Base Oficial)"))</f>
        <v/>
      </c>
      <c r="E27" s="5" t="str">
        <f>IF($L27="","",COUNTIFS('Base Exámenes'!$C$5:$C$1000,INDEX('Base Exámenes'!$C:$C,$L27),'Base Exámenes'!$D$5:$D$1000,"&lt;="&amp;INDEX('Base Exámenes'!$D:$D,$L27)))</f>
        <v/>
      </c>
      <c r="F27" s="23" t="str">
        <f>IF($L27="","",INDEX('Base Exámenes'!$D:$D,$L27))</f>
        <v/>
      </c>
      <c r="G27" s="23" t="str">
        <f>IF($L27="","",INDEX('Base Exámenes'!$E:$E,$L27))</f>
        <v/>
      </c>
      <c r="H27" s="24" t="str">
        <f>IF($L27="","",INDEX('Base Exámenes'!$F:$F,$L27))</f>
        <v/>
      </c>
      <c r="I27" s="5" t="str">
        <f>IF($L27="","",INDEX('Base Exámenes'!$G:$G,$L27))</f>
        <v/>
      </c>
      <c r="J27" s="5" t="str">
        <f>IF($L27="","",IF($L27-4=MATCH(INDEX('Base Exámenes'!$C:$C,$L27)&amp;"|"&amp;_xlfn.MAXIFS('Base Exámenes'!$G$5:$G$1000,'Base Exámenes'!$C$5:$C$1000,INDEX('Base Exámenes'!$C:$C,$L27)),'Base Exámenes'!$I$5:$I$1000,0),"Sí",""))</f>
        <v/>
      </c>
      <c r="L27" t="str">
        <f>IFERROR(MATCH(SMALL(Cálculos!$AQ$5:$AQ$1000,23),Cálculos!$AQ$5:$AQ$1000,0)+4,"")</f>
        <v/>
      </c>
    </row>
    <row r="28">
      <c r="A28" s="5" t="str">
        <f>IF($L28="","",TRIM(INDEX('Base Exámenes'!$C:$C,$L28)))</f>
        <v/>
      </c>
      <c r="B28" s="5" t="str">
        <f>IF($L28="","",IFERROR(INDEX('Detalle individual'!$B:$B,MATCH($A28,'Detalle individual'!$A:$A,0)),TRIM(INDEX('Base Exámenes'!$A:$A,$L28))))</f>
        <v/>
      </c>
      <c r="C28" s="5" t="str">
        <f>IF($L28="","",IFERROR(INDEX('Detalle individual'!$C:$C,MATCH($A28,'Detalle individual'!$A:$A,0)),TRIM(INDEX('Base Exámenes'!$B:$B,$L28))))</f>
        <v/>
      </c>
      <c r="D28" s="5" t="str">
        <f>IF($L28="","",IFERROR(INDEX('Detalle individual'!$D:$D,MATCH($A28,'Detalle individual'!$A:$A,0)),"(no está en Base Oficial)"))</f>
        <v/>
      </c>
      <c r="E28" s="5" t="str">
        <f>IF($L28="","",COUNTIFS('Base Exámenes'!$C$5:$C$1000,INDEX('Base Exámenes'!$C:$C,$L28),'Base Exámenes'!$D$5:$D$1000,"&lt;="&amp;INDEX('Base Exámenes'!$D:$D,$L28)))</f>
        <v/>
      </c>
      <c r="F28" s="23" t="str">
        <f>IF($L28="","",INDEX('Base Exámenes'!$D:$D,$L28))</f>
        <v/>
      </c>
      <c r="G28" s="23" t="str">
        <f>IF($L28="","",INDEX('Base Exámenes'!$E:$E,$L28))</f>
        <v/>
      </c>
      <c r="H28" s="24" t="str">
        <f>IF($L28="","",INDEX('Base Exámenes'!$F:$F,$L28))</f>
        <v/>
      </c>
      <c r="I28" s="5" t="str">
        <f>IF($L28="","",INDEX('Base Exámenes'!$G:$G,$L28))</f>
        <v/>
      </c>
      <c r="J28" s="5" t="str">
        <f>IF($L28="","",IF($L28-4=MATCH(INDEX('Base Exámenes'!$C:$C,$L28)&amp;"|"&amp;_xlfn.MAXIFS('Base Exámenes'!$G$5:$G$1000,'Base Exámenes'!$C$5:$C$1000,INDEX('Base Exámenes'!$C:$C,$L28)),'Base Exámenes'!$I$5:$I$1000,0),"Sí",""))</f>
        <v/>
      </c>
      <c r="L28" t="str">
        <f>IFERROR(MATCH(SMALL(Cálculos!$AQ$5:$AQ$1000,24),Cálculos!$AQ$5:$AQ$1000,0)+4,"")</f>
        <v/>
      </c>
    </row>
    <row r="29">
      <c r="A29" s="5" t="str">
        <f>IF($L29="","",TRIM(INDEX('Base Exámenes'!$C:$C,$L29)))</f>
        <v/>
      </c>
      <c r="B29" s="5" t="str">
        <f>IF($L29="","",IFERROR(INDEX('Detalle individual'!$B:$B,MATCH($A29,'Detalle individual'!$A:$A,0)),TRIM(INDEX('Base Exámenes'!$A:$A,$L29))))</f>
        <v/>
      </c>
      <c r="C29" s="5" t="str">
        <f>IF($L29="","",IFERROR(INDEX('Detalle individual'!$C:$C,MATCH($A29,'Detalle individual'!$A:$A,0)),TRIM(INDEX('Base Exámenes'!$B:$B,$L29))))</f>
        <v/>
      </c>
      <c r="D29" s="5" t="str">
        <f>IF($L29="","",IFERROR(INDEX('Detalle individual'!$D:$D,MATCH($A29,'Detalle individual'!$A:$A,0)),"(no está en Base Oficial)"))</f>
        <v/>
      </c>
      <c r="E29" s="5" t="str">
        <f>IF($L29="","",COUNTIFS('Base Exámenes'!$C$5:$C$1000,INDEX('Base Exámenes'!$C:$C,$L29),'Base Exámenes'!$D$5:$D$1000,"&lt;="&amp;INDEX('Base Exámenes'!$D:$D,$L29)))</f>
        <v/>
      </c>
      <c r="F29" s="23" t="str">
        <f>IF($L29="","",INDEX('Base Exámenes'!$D:$D,$L29))</f>
        <v/>
      </c>
      <c r="G29" s="23" t="str">
        <f>IF($L29="","",INDEX('Base Exámenes'!$E:$E,$L29))</f>
        <v/>
      </c>
      <c r="H29" s="24" t="str">
        <f>IF($L29="","",INDEX('Base Exámenes'!$F:$F,$L29))</f>
        <v/>
      </c>
      <c r="I29" s="5" t="str">
        <f>IF($L29="","",INDEX('Base Exámenes'!$G:$G,$L29))</f>
        <v/>
      </c>
      <c r="J29" s="5" t="str">
        <f>IF($L29="","",IF($L29-4=MATCH(INDEX('Base Exámenes'!$C:$C,$L29)&amp;"|"&amp;_xlfn.MAXIFS('Base Exámenes'!$G$5:$G$1000,'Base Exámenes'!$C$5:$C$1000,INDEX('Base Exámenes'!$C:$C,$L29)),'Base Exámenes'!$I$5:$I$1000,0),"Sí",""))</f>
        <v/>
      </c>
      <c r="L29" t="str">
        <f>IFERROR(MATCH(SMALL(Cálculos!$AQ$5:$AQ$1000,25),Cálculos!$AQ$5:$AQ$1000,0)+4,"")</f>
        <v/>
      </c>
    </row>
    <row r="30">
      <c r="A30" s="5" t="str">
        <f>IF($L30="","",TRIM(INDEX('Base Exámenes'!$C:$C,$L30)))</f>
        <v/>
      </c>
      <c r="B30" s="5" t="str">
        <f>IF($L30="","",IFERROR(INDEX('Detalle individual'!$B:$B,MATCH($A30,'Detalle individual'!$A:$A,0)),TRIM(INDEX('Base Exámenes'!$A:$A,$L30))))</f>
        <v/>
      </c>
      <c r="C30" s="5" t="str">
        <f>IF($L30="","",IFERROR(INDEX('Detalle individual'!$C:$C,MATCH($A30,'Detalle individual'!$A:$A,0)),TRIM(INDEX('Base Exámenes'!$B:$B,$L30))))</f>
        <v/>
      </c>
      <c r="D30" s="5" t="str">
        <f>IF($L30="","",IFERROR(INDEX('Detalle individual'!$D:$D,MATCH($A30,'Detalle individual'!$A:$A,0)),"(no está en Base Oficial)"))</f>
        <v/>
      </c>
      <c r="E30" s="5" t="str">
        <f>IF($L30="","",COUNTIFS('Base Exámenes'!$C$5:$C$1000,INDEX('Base Exámenes'!$C:$C,$L30),'Base Exámenes'!$D$5:$D$1000,"&lt;="&amp;INDEX('Base Exámenes'!$D:$D,$L30)))</f>
        <v/>
      </c>
      <c r="F30" s="23" t="str">
        <f>IF($L30="","",INDEX('Base Exámenes'!$D:$D,$L30))</f>
        <v/>
      </c>
      <c r="G30" s="23" t="str">
        <f>IF($L30="","",INDEX('Base Exámenes'!$E:$E,$L30))</f>
        <v/>
      </c>
      <c r="H30" s="24" t="str">
        <f>IF($L30="","",INDEX('Base Exámenes'!$F:$F,$L30))</f>
        <v/>
      </c>
      <c r="I30" s="5" t="str">
        <f>IF($L30="","",INDEX('Base Exámenes'!$G:$G,$L30))</f>
        <v/>
      </c>
      <c r="J30" s="5" t="str">
        <f>IF($L30="","",IF($L30-4=MATCH(INDEX('Base Exámenes'!$C:$C,$L30)&amp;"|"&amp;_xlfn.MAXIFS('Base Exámenes'!$G$5:$G$1000,'Base Exámenes'!$C$5:$C$1000,INDEX('Base Exámenes'!$C:$C,$L30)),'Base Exámenes'!$I$5:$I$1000,0),"Sí",""))</f>
        <v/>
      </c>
      <c r="L30" t="str">
        <f>IFERROR(MATCH(SMALL(Cálculos!$AQ$5:$AQ$1000,26),Cálculos!$AQ$5:$AQ$1000,0)+4,"")</f>
        <v/>
      </c>
    </row>
    <row r="31">
      <c r="A31" s="5" t="str">
        <f>IF($L31="","",TRIM(INDEX('Base Exámenes'!$C:$C,$L31)))</f>
        <v/>
      </c>
      <c r="B31" s="5" t="str">
        <f>IF($L31="","",IFERROR(INDEX('Detalle individual'!$B:$B,MATCH($A31,'Detalle individual'!$A:$A,0)),TRIM(INDEX('Base Exámenes'!$A:$A,$L31))))</f>
        <v/>
      </c>
      <c r="C31" s="5" t="str">
        <f>IF($L31="","",IFERROR(INDEX('Detalle individual'!$C:$C,MATCH($A31,'Detalle individual'!$A:$A,0)),TRIM(INDEX('Base Exámenes'!$B:$B,$L31))))</f>
        <v/>
      </c>
      <c r="D31" s="5" t="str">
        <f>IF($L31="","",IFERROR(INDEX('Detalle individual'!$D:$D,MATCH($A31,'Detalle individual'!$A:$A,0)),"(no está en Base Oficial)"))</f>
        <v/>
      </c>
      <c r="E31" s="5" t="str">
        <f>IF($L31="","",COUNTIFS('Base Exámenes'!$C$5:$C$1000,INDEX('Base Exámenes'!$C:$C,$L31),'Base Exámenes'!$D$5:$D$1000,"&lt;="&amp;INDEX('Base Exámenes'!$D:$D,$L31)))</f>
        <v/>
      </c>
      <c r="F31" s="23" t="str">
        <f>IF($L31="","",INDEX('Base Exámenes'!$D:$D,$L31))</f>
        <v/>
      </c>
      <c r="G31" s="23" t="str">
        <f>IF($L31="","",INDEX('Base Exámenes'!$E:$E,$L31))</f>
        <v/>
      </c>
      <c r="H31" s="24" t="str">
        <f>IF($L31="","",INDEX('Base Exámenes'!$F:$F,$L31))</f>
        <v/>
      </c>
      <c r="I31" s="5" t="str">
        <f>IF($L31="","",INDEX('Base Exámenes'!$G:$G,$L31))</f>
        <v/>
      </c>
      <c r="J31" s="5" t="str">
        <f>IF($L31="","",IF($L31-4=MATCH(INDEX('Base Exámenes'!$C:$C,$L31)&amp;"|"&amp;_xlfn.MAXIFS('Base Exámenes'!$G$5:$G$1000,'Base Exámenes'!$C$5:$C$1000,INDEX('Base Exámenes'!$C:$C,$L31)),'Base Exámenes'!$I$5:$I$1000,0),"Sí",""))</f>
        <v/>
      </c>
      <c r="L31" t="str">
        <f>IFERROR(MATCH(SMALL(Cálculos!$AQ$5:$AQ$1000,27),Cálculos!$AQ$5:$AQ$1000,0)+4,"")</f>
        <v/>
      </c>
    </row>
    <row r="32">
      <c r="A32" s="5" t="str">
        <f>IF($L32="","",TRIM(INDEX('Base Exámenes'!$C:$C,$L32)))</f>
        <v/>
      </c>
      <c r="B32" s="5" t="str">
        <f>IF($L32="","",IFERROR(INDEX('Detalle individual'!$B:$B,MATCH($A32,'Detalle individual'!$A:$A,0)),TRIM(INDEX('Base Exámenes'!$A:$A,$L32))))</f>
        <v/>
      </c>
      <c r="C32" s="5" t="str">
        <f>IF($L32="","",IFERROR(INDEX('Detalle individual'!$C:$C,MATCH($A32,'Detalle individual'!$A:$A,0)),TRIM(INDEX('Base Exámenes'!$B:$B,$L32))))</f>
        <v/>
      </c>
      <c r="D32" s="5" t="str">
        <f>IF($L32="","",IFERROR(INDEX('Detalle individual'!$D:$D,MATCH($A32,'Detalle individual'!$A:$A,0)),"(no está en Base Oficial)"))</f>
        <v/>
      </c>
      <c r="E32" s="5" t="str">
        <f>IF($L32="","",COUNTIFS('Base Exámenes'!$C$5:$C$1000,INDEX('Base Exámenes'!$C:$C,$L32),'Base Exámenes'!$D$5:$D$1000,"&lt;="&amp;INDEX('Base Exámenes'!$D:$D,$L32)))</f>
        <v/>
      </c>
      <c r="F32" s="23" t="str">
        <f>IF($L32="","",INDEX('Base Exámenes'!$D:$D,$L32))</f>
        <v/>
      </c>
      <c r="G32" s="23" t="str">
        <f>IF($L32="","",INDEX('Base Exámenes'!$E:$E,$L32))</f>
        <v/>
      </c>
      <c r="H32" s="24" t="str">
        <f>IF($L32="","",INDEX('Base Exámenes'!$F:$F,$L32))</f>
        <v/>
      </c>
      <c r="I32" s="5" t="str">
        <f>IF($L32="","",INDEX('Base Exámenes'!$G:$G,$L32))</f>
        <v/>
      </c>
      <c r="J32" s="5" t="str">
        <f>IF($L32="","",IF($L32-4=MATCH(INDEX('Base Exámenes'!$C:$C,$L32)&amp;"|"&amp;_xlfn.MAXIFS('Base Exámenes'!$G$5:$G$1000,'Base Exámenes'!$C$5:$C$1000,INDEX('Base Exámenes'!$C:$C,$L32)),'Base Exámenes'!$I$5:$I$1000,0),"Sí",""))</f>
        <v/>
      </c>
      <c r="L32" t="str">
        <f>IFERROR(MATCH(SMALL(Cálculos!$AQ$5:$AQ$1000,28),Cálculos!$AQ$5:$AQ$1000,0)+4,"")</f>
        <v/>
      </c>
    </row>
    <row r="33">
      <c r="A33" s="5" t="str">
        <f>IF($L33="","",TRIM(INDEX('Base Exámenes'!$C:$C,$L33)))</f>
        <v/>
      </c>
      <c r="B33" s="5" t="str">
        <f>IF($L33="","",IFERROR(INDEX('Detalle individual'!$B:$B,MATCH($A33,'Detalle individual'!$A:$A,0)),TRIM(INDEX('Base Exámenes'!$A:$A,$L33))))</f>
        <v/>
      </c>
      <c r="C33" s="5" t="str">
        <f>IF($L33="","",IFERROR(INDEX('Detalle individual'!$C:$C,MATCH($A33,'Detalle individual'!$A:$A,0)),TRIM(INDEX('Base Exámenes'!$B:$B,$L33))))</f>
        <v/>
      </c>
      <c r="D33" s="5" t="str">
        <f>IF($L33="","",IFERROR(INDEX('Detalle individual'!$D:$D,MATCH($A33,'Detalle individual'!$A:$A,0)),"(no está en Base Oficial)"))</f>
        <v/>
      </c>
      <c r="E33" s="5" t="str">
        <f>IF($L33="","",COUNTIFS('Base Exámenes'!$C$5:$C$1000,INDEX('Base Exámenes'!$C:$C,$L33),'Base Exámenes'!$D$5:$D$1000,"&lt;="&amp;INDEX('Base Exámenes'!$D:$D,$L33)))</f>
        <v/>
      </c>
      <c r="F33" s="23" t="str">
        <f>IF($L33="","",INDEX('Base Exámenes'!$D:$D,$L33))</f>
        <v/>
      </c>
      <c r="G33" s="23" t="str">
        <f>IF($L33="","",INDEX('Base Exámenes'!$E:$E,$L33))</f>
        <v/>
      </c>
      <c r="H33" s="24" t="str">
        <f>IF($L33="","",INDEX('Base Exámenes'!$F:$F,$L33))</f>
        <v/>
      </c>
      <c r="I33" s="5" t="str">
        <f>IF($L33="","",INDEX('Base Exámenes'!$G:$G,$L33))</f>
        <v/>
      </c>
      <c r="J33" s="5" t="str">
        <f>IF($L33="","",IF($L33-4=MATCH(INDEX('Base Exámenes'!$C:$C,$L33)&amp;"|"&amp;_xlfn.MAXIFS('Base Exámenes'!$G$5:$G$1000,'Base Exámenes'!$C$5:$C$1000,INDEX('Base Exámenes'!$C:$C,$L33)),'Base Exámenes'!$I$5:$I$1000,0),"Sí",""))</f>
        <v/>
      </c>
      <c r="L33" t="str">
        <f>IFERROR(MATCH(SMALL(Cálculos!$AQ$5:$AQ$1000,29),Cálculos!$AQ$5:$AQ$1000,0)+4,"")</f>
        <v/>
      </c>
    </row>
    <row r="34">
      <c r="A34" s="5" t="str">
        <f>IF($L34="","",TRIM(INDEX('Base Exámenes'!$C:$C,$L34)))</f>
        <v/>
      </c>
      <c r="B34" s="5" t="str">
        <f>IF($L34="","",IFERROR(INDEX('Detalle individual'!$B:$B,MATCH($A34,'Detalle individual'!$A:$A,0)),TRIM(INDEX('Base Exámenes'!$A:$A,$L34))))</f>
        <v/>
      </c>
      <c r="C34" s="5" t="str">
        <f>IF($L34="","",IFERROR(INDEX('Detalle individual'!$C:$C,MATCH($A34,'Detalle individual'!$A:$A,0)),TRIM(INDEX('Base Exámenes'!$B:$B,$L34))))</f>
        <v/>
      </c>
      <c r="D34" s="5" t="str">
        <f>IF($L34="","",IFERROR(INDEX('Detalle individual'!$D:$D,MATCH($A34,'Detalle individual'!$A:$A,0)),"(no está en Base Oficial)"))</f>
        <v/>
      </c>
      <c r="E34" s="5" t="str">
        <f>IF($L34="","",COUNTIFS('Base Exámenes'!$C$5:$C$1000,INDEX('Base Exámenes'!$C:$C,$L34),'Base Exámenes'!$D$5:$D$1000,"&lt;="&amp;INDEX('Base Exámenes'!$D:$D,$L34)))</f>
        <v/>
      </c>
      <c r="F34" s="23" t="str">
        <f>IF($L34="","",INDEX('Base Exámenes'!$D:$D,$L34))</f>
        <v/>
      </c>
      <c r="G34" s="23" t="str">
        <f>IF($L34="","",INDEX('Base Exámenes'!$E:$E,$L34))</f>
        <v/>
      </c>
      <c r="H34" s="24" t="str">
        <f>IF($L34="","",INDEX('Base Exámenes'!$F:$F,$L34))</f>
        <v/>
      </c>
      <c r="I34" s="5" t="str">
        <f>IF($L34="","",INDEX('Base Exámenes'!$G:$G,$L34))</f>
        <v/>
      </c>
      <c r="J34" s="5" t="str">
        <f>IF($L34="","",IF($L34-4=MATCH(INDEX('Base Exámenes'!$C:$C,$L34)&amp;"|"&amp;_xlfn.MAXIFS('Base Exámenes'!$G$5:$G$1000,'Base Exámenes'!$C$5:$C$1000,INDEX('Base Exámenes'!$C:$C,$L34)),'Base Exámenes'!$I$5:$I$1000,0),"Sí",""))</f>
        <v/>
      </c>
      <c r="L34" t="str">
        <f>IFERROR(MATCH(SMALL(Cálculos!$AQ$5:$AQ$1000,30),Cálculos!$AQ$5:$AQ$1000,0)+4,"")</f>
        <v/>
      </c>
    </row>
    <row r="35">
      <c r="A35" s="5" t="str">
        <f>IF($L35="","",TRIM(INDEX('Base Exámenes'!$C:$C,$L35)))</f>
        <v/>
      </c>
      <c r="B35" s="5" t="str">
        <f>IF($L35="","",IFERROR(INDEX('Detalle individual'!$B:$B,MATCH($A35,'Detalle individual'!$A:$A,0)),TRIM(INDEX('Base Exámenes'!$A:$A,$L35))))</f>
        <v/>
      </c>
      <c r="C35" s="5" t="str">
        <f>IF($L35="","",IFERROR(INDEX('Detalle individual'!$C:$C,MATCH($A35,'Detalle individual'!$A:$A,0)),TRIM(INDEX('Base Exámenes'!$B:$B,$L35))))</f>
        <v/>
      </c>
      <c r="D35" s="5" t="str">
        <f>IF($L35="","",IFERROR(INDEX('Detalle individual'!$D:$D,MATCH($A35,'Detalle individual'!$A:$A,0)),"(no está en Base Oficial)"))</f>
        <v/>
      </c>
      <c r="E35" s="5" t="str">
        <f>IF($L35="","",COUNTIFS('Base Exámenes'!$C$5:$C$1000,INDEX('Base Exámenes'!$C:$C,$L35),'Base Exámenes'!$D$5:$D$1000,"&lt;="&amp;INDEX('Base Exámenes'!$D:$D,$L35)))</f>
        <v/>
      </c>
      <c r="F35" s="23" t="str">
        <f>IF($L35="","",INDEX('Base Exámenes'!$D:$D,$L35))</f>
        <v/>
      </c>
      <c r="G35" s="23" t="str">
        <f>IF($L35="","",INDEX('Base Exámenes'!$E:$E,$L35))</f>
        <v/>
      </c>
      <c r="H35" s="24" t="str">
        <f>IF($L35="","",INDEX('Base Exámenes'!$F:$F,$L35))</f>
        <v/>
      </c>
      <c r="I35" s="5" t="str">
        <f>IF($L35="","",INDEX('Base Exámenes'!$G:$G,$L35))</f>
        <v/>
      </c>
      <c r="J35" s="5" t="str">
        <f>IF($L35="","",IF($L35-4=MATCH(INDEX('Base Exámenes'!$C:$C,$L35)&amp;"|"&amp;_xlfn.MAXIFS('Base Exámenes'!$G$5:$G$1000,'Base Exámenes'!$C$5:$C$1000,INDEX('Base Exámenes'!$C:$C,$L35)),'Base Exámenes'!$I$5:$I$1000,0),"Sí",""))</f>
        <v/>
      </c>
      <c r="L35" t="str">
        <f>IFERROR(MATCH(SMALL(Cálculos!$AQ$5:$AQ$1000,31),Cálculos!$AQ$5:$AQ$1000,0)+4,"")</f>
        <v/>
      </c>
    </row>
    <row r="36">
      <c r="A36" s="5" t="str">
        <f>IF($L36="","",TRIM(INDEX('Base Exámenes'!$C:$C,$L36)))</f>
        <v/>
      </c>
      <c r="B36" s="5" t="str">
        <f>IF($L36="","",IFERROR(INDEX('Detalle individual'!$B:$B,MATCH($A36,'Detalle individual'!$A:$A,0)),TRIM(INDEX('Base Exámenes'!$A:$A,$L36))))</f>
        <v/>
      </c>
      <c r="C36" s="5" t="str">
        <f>IF($L36="","",IFERROR(INDEX('Detalle individual'!$C:$C,MATCH($A36,'Detalle individual'!$A:$A,0)),TRIM(INDEX('Base Exámenes'!$B:$B,$L36))))</f>
        <v/>
      </c>
      <c r="D36" s="5" t="str">
        <f>IF($L36="","",IFERROR(INDEX('Detalle individual'!$D:$D,MATCH($A36,'Detalle individual'!$A:$A,0)),"(no está en Base Oficial)"))</f>
        <v/>
      </c>
      <c r="E36" s="5" t="str">
        <f>IF($L36="","",COUNTIFS('Base Exámenes'!$C$5:$C$1000,INDEX('Base Exámenes'!$C:$C,$L36),'Base Exámenes'!$D$5:$D$1000,"&lt;="&amp;INDEX('Base Exámenes'!$D:$D,$L36)))</f>
        <v/>
      </c>
      <c r="F36" s="23" t="str">
        <f>IF($L36="","",INDEX('Base Exámenes'!$D:$D,$L36))</f>
        <v/>
      </c>
      <c r="G36" s="23" t="str">
        <f>IF($L36="","",INDEX('Base Exámenes'!$E:$E,$L36))</f>
        <v/>
      </c>
      <c r="H36" s="24" t="str">
        <f>IF($L36="","",INDEX('Base Exámenes'!$F:$F,$L36))</f>
        <v/>
      </c>
      <c r="I36" s="5" t="str">
        <f>IF($L36="","",INDEX('Base Exámenes'!$G:$G,$L36))</f>
        <v/>
      </c>
      <c r="J36" s="5" t="str">
        <f>IF($L36="","",IF($L36-4=MATCH(INDEX('Base Exámenes'!$C:$C,$L36)&amp;"|"&amp;_xlfn.MAXIFS('Base Exámenes'!$G$5:$G$1000,'Base Exámenes'!$C$5:$C$1000,INDEX('Base Exámenes'!$C:$C,$L36)),'Base Exámenes'!$I$5:$I$1000,0),"Sí",""))</f>
        <v/>
      </c>
      <c r="L36" t="str">
        <f>IFERROR(MATCH(SMALL(Cálculos!$AQ$5:$AQ$1000,32),Cálculos!$AQ$5:$AQ$1000,0)+4,"")</f>
        <v/>
      </c>
    </row>
    <row r="37">
      <c r="A37" s="5" t="str">
        <f>IF($L37="","",TRIM(INDEX('Base Exámenes'!$C:$C,$L37)))</f>
        <v/>
      </c>
      <c r="B37" s="5" t="str">
        <f>IF($L37="","",IFERROR(INDEX('Detalle individual'!$B:$B,MATCH($A37,'Detalle individual'!$A:$A,0)),TRIM(INDEX('Base Exámenes'!$A:$A,$L37))))</f>
        <v/>
      </c>
      <c r="C37" s="5" t="str">
        <f>IF($L37="","",IFERROR(INDEX('Detalle individual'!$C:$C,MATCH($A37,'Detalle individual'!$A:$A,0)),TRIM(INDEX('Base Exámenes'!$B:$B,$L37))))</f>
        <v/>
      </c>
      <c r="D37" s="5" t="str">
        <f>IF($L37="","",IFERROR(INDEX('Detalle individual'!$D:$D,MATCH($A37,'Detalle individual'!$A:$A,0)),"(no está en Base Oficial)"))</f>
        <v/>
      </c>
      <c r="E37" s="5" t="str">
        <f>IF($L37="","",COUNTIFS('Base Exámenes'!$C$5:$C$1000,INDEX('Base Exámenes'!$C:$C,$L37),'Base Exámenes'!$D$5:$D$1000,"&lt;="&amp;INDEX('Base Exámenes'!$D:$D,$L37)))</f>
        <v/>
      </c>
      <c r="F37" s="23" t="str">
        <f>IF($L37="","",INDEX('Base Exámenes'!$D:$D,$L37))</f>
        <v/>
      </c>
      <c r="G37" s="23" t="str">
        <f>IF($L37="","",INDEX('Base Exámenes'!$E:$E,$L37))</f>
        <v/>
      </c>
      <c r="H37" s="24" t="str">
        <f>IF($L37="","",INDEX('Base Exámenes'!$F:$F,$L37))</f>
        <v/>
      </c>
      <c r="I37" s="5" t="str">
        <f>IF($L37="","",INDEX('Base Exámenes'!$G:$G,$L37))</f>
        <v/>
      </c>
      <c r="J37" s="5" t="str">
        <f>IF($L37="","",IF($L37-4=MATCH(INDEX('Base Exámenes'!$C:$C,$L37)&amp;"|"&amp;_xlfn.MAXIFS('Base Exámenes'!$G$5:$G$1000,'Base Exámenes'!$C$5:$C$1000,INDEX('Base Exámenes'!$C:$C,$L37)),'Base Exámenes'!$I$5:$I$1000,0),"Sí",""))</f>
        <v/>
      </c>
      <c r="L37" t="str">
        <f>IFERROR(MATCH(SMALL(Cálculos!$AQ$5:$AQ$1000,33),Cálculos!$AQ$5:$AQ$1000,0)+4,"")</f>
        <v/>
      </c>
    </row>
    <row r="38">
      <c r="A38" s="5" t="str">
        <f>IF($L38="","",TRIM(INDEX('Base Exámenes'!$C:$C,$L38)))</f>
        <v/>
      </c>
      <c r="B38" s="5" t="str">
        <f>IF($L38="","",IFERROR(INDEX('Detalle individual'!$B:$B,MATCH($A38,'Detalle individual'!$A:$A,0)),TRIM(INDEX('Base Exámenes'!$A:$A,$L38))))</f>
        <v/>
      </c>
      <c r="C38" s="5" t="str">
        <f>IF($L38="","",IFERROR(INDEX('Detalle individual'!$C:$C,MATCH($A38,'Detalle individual'!$A:$A,0)),TRIM(INDEX('Base Exámenes'!$B:$B,$L38))))</f>
        <v/>
      </c>
      <c r="D38" s="5" t="str">
        <f>IF($L38="","",IFERROR(INDEX('Detalle individual'!$D:$D,MATCH($A38,'Detalle individual'!$A:$A,0)),"(no está en Base Oficial)"))</f>
        <v/>
      </c>
      <c r="E38" s="5" t="str">
        <f>IF($L38="","",COUNTIFS('Base Exámenes'!$C$5:$C$1000,INDEX('Base Exámenes'!$C:$C,$L38),'Base Exámenes'!$D$5:$D$1000,"&lt;="&amp;INDEX('Base Exámenes'!$D:$D,$L38)))</f>
        <v/>
      </c>
      <c r="F38" s="23" t="str">
        <f>IF($L38="","",INDEX('Base Exámenes'!$D:$D,$L38))</f>
        <v/>
      </c>
      <c r="G38" s="23" t="str">
        <f>IF($L38="","",INDEX('Base Exámenes'!$E:$E,$L38))</f>
        <v/>
      </c>
      <c r="H38" s="24" t="str">
        <f>IF($L38="","",INDEX('Base Exámenes'!$F:$F,$L38))</f>
        <v/>
      </c>
      <c r="I38" s="5" t="str">
        <f>IF($L38="","",INDEX('Base Exámenes'!$G:$G,$L38))</f>
        <v/>
      </c>
      <c r="J38" s="5" t="str">
        <f>IF($L38="","",IF($L38-4=MATCH(INDEX('Base Exámenes'!$C:$C,$L38)&amp;"|"&amp;_xlfn.MAXIFS('Base Exámenes'!$G$5:$G$1000,'Base Exámenes'!$C$5:$C$1000,INDEX('Base Exámenes'!$C:$C,$L38)),'Base Exámenes'!$I$5:$I$1000,0),"Sí",""))</f>
        <v/>
      </c>
      <c r="L38" t="str">
        <f>IFERROR(MATCH(SMALL(Cálculos!$AQ$5:$AQ$1000,34),Cálculos!$AQ$5:$AQ$1000,0)+4,"")</f>
        <v/>
      </c>
    </row>
    <row r="39">
      <c r="A39" s="5" t="str">
        <f>IF($L39="","",TRIM(INDEX('Base Exámenes'!$C:$C,$L39)))</f>
        <v/>
      </c>
      <c r="B39" s="5" t="str">
        <f>IF($L39="","",IFERROR(INDEX('Detalle individual'!$B:$B,MATCH($A39,'Detalle individual'!$A:$A,0)),TRIM(INDEX('Base Exámenes'!$A:$A,$L39))))</f>
        <v/>
      </c>
      <c r="C39" s="5" t="str">
        <f>IF($L39="","",IFERROR(INDEX('Detalle individual'!$C:$C,MATCH($A39,'Detalle individual'!$A:$A,0)),TRIM(INDEX('Base Exámenes'!$B:$B,$L39))))</f>
        <v/>
      </c>
      <c r="D39" s="5" t="str">
        <f>IF($L39="","",IFERROR(INDEX('Detalle individual'!$D:$D,MATCH($A39,'Detalle individual'!$A:$A,0)),"(no está en Base Oficial)"))</f>
        <v/>
      </c>
      <c r="E39" s="5" t="str">
        <f>IF($L39="","",COUNTIFS('Base Exámenes'!$C$5:$C$1000,INDEX('Base Exámenes'!$C:$C,$L39),'Base Exámenes'!$D$5:$D$1000,"&lt;="&amp;INDEX('Base Exámenes'!$D:$D,$L39)))</f>
        <v/>
      </c>
      <c r="F39" s="23" t="str">
        <f>IF($L39="","",INDEX('Base Exámenes'!$D:$D,$L39))</f>
        <v/>
      </c>
      <c r="G39" s="23" t="str">
        <f>IF($L39="","",INDEX('Base Exámenes'!$E:$E,$L39))</f>
        <v/>
      </c>
      <c r="H39" s="24" t="str">
        <f>IF($L39="","",INDEX('Base Exámenes'!$F:$F,$L39))</f>
        <v/>
      </c>
      <c r="I39" s="5" t="str">
        <f>IF($L39="","",INDEX('Base Exámenes'!$G:$G,$L39))</f>
        <v/>
      </c>
      <c r="J39" s="5" t="str">
        <f>IF($L39="","",IF($L39-4=MATCH(INDEX('Base Exámenes'!$C:$C,$L39)&amp;"|"&amp;_xlfn.MAXIFS('Base Exámenes'!$G$5:$G$1000,'Base Exámenes'!$C$5:$C$1000,INDEX('Base Exámenes'!$C:$C,$L39)),'Base Exámenes'!$I$5:$I$1000,0),"Sí",""))</f>
        <v/>
      </c>
      <c r="L39" t="str">
        <f>IFERROR(MATCH(SMALL(Cálculos!$AQ$5:$AQ$1000,35),Cálculos!$AQ$5:$AQ$1000,0)+4,"")</f>
        <v/>
      </c>
    </row>
    <row r="40">
      <c r="A40" s="5" t="str">
        <f>IF($L40="","",TRIM(INDEX('Base Exámenes'!$C:$C,$L40)))</f>
        <v/>
      </c>
      <c r="B40" s="5" t="str">
        <f>IF($L40="","",IFERROR(INDEX('Detalle individual'!$B:$B,MATCH($A40,'Detalle individual'!$A:$A,0)),TRIM(INDEX('Base Exámenes'!$A:$A,$L40))))</f>
        <v/>
      </c>
      <c r="C40" s="5" t="str">
        <f>IF($L40="","",IFERROR(INDEX('Detalle individual'!$C:$C,MATCH($A40,'Detalle individual'!$A:$A,0)),TRIM(INDEX('Base Exámenes'!$B:$B,$L40))))</f>
        <v/>
      </c>
      <c r="D40" s="5" t="str">
        <f>IF($L40="","",IFERROR(INDEX('Detalle individual'!$D:$D,MATCH($A40,'Detalle individual'!$A:$A,0)),"(no está en Base Oficial)"))</f>
        <v/>
      </c>
      <c r="E40" s="5" t="str">
        <f>IF($L40="","",COUNTIFS('Base Exámenes'!$C$5:$C$1000,INDEX('Base Exámenes'!$C:$C,$L40),'Base Exámenes'!$D$5:$D$1000,"&lt;="&amp;INDEX('Base Exámenes'!$D:$D,$L40)))</f>
        <v/>
      </c>
      <c r="F40" s="23" t="str">
        <f>IF($L40="","",INDEX('Base Exámenes'!$D:$D,$L40))</f>
        <v/>
      </c>
      <c r="G40" s="23" t="str">
        <f>IF($L40="","",INDEX('Base Exámenes'!$E:$E,$L40))</f>
        <v/>
      </c>
      <c r="H40" s="24" t="str">
        <f>IF($L40="","",INDEX('Base Exámenes'!$F:$F,$L40))</f>
        <v/>
      </c>
      <c r="I40" s="5" t="str">
        <f>IF($L40="","",INDEX('Base Exámenes'!$G:$G,$L40))</f>
        <v/>
      </c>
      <c r="J40" s="5" t="str">
        <f>IF($L40="","",IF($L40-4=MATCH(INDEX('Base Exámenes'!$C:$C,$L40)&amp;"|"&amp;_xlfn.MAXIFS('Base Exámenes'!$G$5:$G$1000,'Base Exámenes'!$C$5:$C$1000,INDEX('Base Exámenes'!$C:$C,$L40)),'Base Exámenes'!$I$5:$I$1000,0),"Sí",""))</f>
        <v/>
      </c>
      <c r="L40" t="str">
        <f>IFERROR(MATCH(SMALL(Cálculos!$AQ$5:$AQ$1000,36),Cálculos!$AQ$5:$AQ$1000,0)+4,"")</f>
        <v/>
      </c>
    </row>
    <row r="41">
      <c r="A41" s="5" t="str">
        <f>IF($L41="","",TRIM(INDEX('Base Exámenes'!$C:$C,$L41)))</f>
        <v/>
      </c>
      <c r="B41" s="5" t="str">
        <f>IF($L41="","",IFERROR(INDEX('Detalle individual'!$B:$B,MATCH($A41,'Detalle individual'!$A:$A,0)),TRIM(INDEX('Base Exámenes'!$A:$A,$L41))))</f>
        <v/>
      </c>
      <c r="C41" s="5" t="str">
        <f>IF($L41="","",IFERROR(INDEX('Detalle individual'!$C:$C,MATCH($A41,'Detalle individual'!$A:$A,0)),TRIM(INDEX('Base Exámenes'!$B:$B,$L41))))</f>
        <v/>
      </c>
      <c r="D41" s="5" t="str">
        <f>IF($L41="","",IFERROR(INDEX('Detalle individual'!$D:$D,MATCH($A41,'Detalle individual'!$A:$A,0)),"(no está en Base Oficial)"))</f>
        <v/>
      </c>
      <c r="E41" s="5" t="str">
        <f>IF($L41="","",COUNTIFS('Base Exámenes'!$C$5:$C$1000,INDEX('Base Exámenes'!$C:$C,$L41),'Base Exámenes'!$D$5:$D$1000,"&lt;="&amp;INDEX('Base Exámenes'!$D:$D,$L41)))</f>
        <v/>
      </c>
      <c r="F41" s="23" t="str">
        <f>IF($L41="","",INDEX('Base Exámenes'!$D:$D,$L41))</f>
        <v/>
      </c>
      <c r="G41" s="23" t="str">
        <f>IF($L41="","",INDEX('Base Exámenes'!$E:$E,$L41))</f>
        <v/>
      </c>
      <c r="H41" s="24" t="str">
        <f>IF($L41="","",INDEX('Base Exámenes'!$F:$F,$L41))</f>
        <v/>
      </c>
      <c r="I41" s="5" t="str">
        <f>IF($L41="","",INDEX('Base Exámenes'!$G:$G,$L41))</f>
        <v/>
      </c>
      <c r="J41" s="5" t="str">
        <f>IF($L41="","",IF($L41-4=MATCH(INDEX('Base Exámenes'!$C:$C,$L41)&amp;"|"&amp;_xlfn.MAXIFS('Base Exámenes'!$G$5:$G$1000,'Base Exámenes'!$C$5:$C$1000,INDEX('Base Exámenes'!$C:$C,$L41)),'Base Exámenes'!$I$5:$I$1000,0),"Sí",""))</f>
        <v/>
      </c>
      <c r="L41" t="str">
        <f>IFERROR(MATCH(SMALL(Cálculos!$AQ$5:$AQ$1000,37),Cálculos!$AQ$5:$AQ$1000,0)+4,"")</f>
        <v/>
      </c>
    </row>
    <row r="42">
      <c r="A42" s="5" t="str">
        <f>IF($L42="","",TRIM(INDEX('Base Exámenes'!$C:$C,$L42)))</f>
        <v/>
      </c>
      <c r="B42" s="5" t="str">
        <f>IF($L42="","",IFERROR(INDEX('Detalle individual'!$B:$B,MATCH($A42,'Detalle individual'!$A:$A,0)),TRIM(INDEX('Base Exámenes'!$A:$A,$L42))))</f>
        <v/>
      </c>
      <c r="C42" s="5" t="str">
        <f>IF($L42="","",IFERROR(INDEX('Detalle individual'!$C:$C,MATCH($A42,'Detalle individual'!$A:$A,0)),TRIM(INDEX('Base Exámenes'!$B:$B,$L42))))</f>
        <v/>
      </c>
      <c r="D42" s="5" t="str">
        <f>IF($L42="","",IFERROR(INDEX('Detalle individual'!$D:$D,MATCH($A42,'Detalle individual'!$A:$A,0)),"(no está en Base Oficial)"))</f>
        <v/>
      </c>
      <c r="E42" s="5" t="str">
        <f>IF($L42="","",COUNTIFS('Base Exámenes'!$C$5:$C$1000,INDEX('Base Exámenes'!$C:$C,$L42),'Base Exámenes'!$D$5:$D$1000,"&lt;="&amp;INDEX('Base Exámenes'!$D:$D,$L42)))</f>
        <v/>
      </c>
      <c r="F42" s="23" t="str">
        <f>IF($L42="","",INDEX('Base Exámenes'!$D:$D,$L42))</f>
        <v/>
      </c>
      <c r="G42" s="23" t="str">
        <f>IF($L42="","",INDEX('Base Exámenes'!$E:$E,$L42))</f>
        <v/>
      </c>
      <c r="H42" s="24" t="str">
        <f>IF($L42="","",INDEX('Base Exámenes'!$F:$F,$L42))</f>
        <v/>
      </c>
      <c r="I42" s="5" t="str">
        <f>IF($L42="","",INDEX('Base Exámenes'!$G:$G,$L42))</f>
        <v/>
      </c>
      <c r="J42" s="5" t="str">
        <f>IF($L42="","",IF($L42-4=MATCH(INDEX('Base Exámenes'!$C:$C,$L42)&amp;"|"&amp;_xlfn.MAXIFS('Base Exámenes'!$G$5:$G$1000,'Base Exámenes'!$C$5:$C$1000,INDEX('Base Exámenes'!$C:$C,$L42)),'Base Exámenes'!$I$5:$I$1000,0),"Sí",""))</f>
        <v/>
      </c>
      <c r="L42" t="str">
        <f>IFERROR(MATCH(SMALL(Cálculos!$AQ$5:$AQ$1000,38),Cálculos!$AQ$5:$AQ$1000,0)+4,"")</f>
        <v/>
      </c>
    </row>
    <row r="43">
      <c r="A43" s="5" t="str">
        <f>IF($L43="","",TRIM(INDEX('Base Exámenes'!$C:$C,$L43)))</f>
        <v/>
      </c>
      <c r="B43" s="5" t="str">
        <f>IF($L43="","",IFERROR(INDEX('Detalle individual'!$B:$B,MATCH($A43,'Detalle individual'!$A:$A,0)),TRIM(INDEX('Base Exámenes'!$A:$A,$L43))))</f>
        <v/>
      </c>
      <c r="C43" s="5" t="str">
        <f>IF($L43="","",IFERROR(INDEX('Detalle individual'!$C:$C,MATCH($A43,'Detalle individual'!$A:$A,0)),TRIM(INDEX('Base Exámenes'!$B:$B,$L43))))</f>
        <v/>
      </c>
      <c r="D43" s="5" t="str">
        <f>IF($L43="","",IFERROR(INDEX('Detalle individual'!$D:$D,MATCH($A43,'Detalle individual'!$A:$A,0)),"(no está en Base Oficial)"))</f>
        <v/>
      </c>
      <c r="E43" s="5" t="str">
        <f>IF($L43="","",COUNTIFS('Base Exámenes'!$C$5:$C$1000,INDEX('Base Exámenes'!$C:$C,$L43),'Base Exámenes'!$D$5:$D$1000,"&lt;="&amp;INDEX('Base Exámenes'!$D:$D,$L43)))</f>
        <v/>
      </c>
      <c r="F43" s="23" t="str">
        <f>IF($L43="","",INDEX('Base Exámenes'!$D:$D,$L43))</f>
        <v/>
      </c>
      <c r="G43" s="23" t="str">
        <f>IF($L43="","",INDEX('Base Exámenes'!$E:$E,$L43))</f>
        <v/>
      </c>
      <c r="H43" s="24" t="str">
        <f>IF($L43="","",INDEX('Base Exámenes'!$F:$F,$L43))</f>
        <v/>
      </c>
      <c r="I43" s="5" t="str">
        <f>IF($L43="","",INDEX('Base Exámenes'!$G:$G,$L43))</f>
        <v/>
      </c>
      <c r="J43" s="5" t="str">
        <f>IF($L43="","",IF($L43-4=MATCH(INDEX('Base Exámenes'!$C:$C,$L43)&amp;"|"&amp;_xlfn.MAXIFS('Base Exámenes'!$G$5:$G$1000,'Base Exámenes'!$C$5:$C$1000,INDEX('Base Exámenes'!$C:$C,$L43)),'Base Exámenes'!$I$5:$I$1000,0),"Sí",""))</f>
        <v/>
      </c>
      <c r="L43" t="str">
        <f>IFERROR(MATCH(SMALL(Cálculos!$AQ$5:$AQ$1000,39),Cálculos!$AQ$5:$AQ$1000,0)+4,"")</f>
        <v/>
      </c>
    </row>
    <row r="44">
      <c r="A44" s="5" t="str">
        <f>IF($L44="","",TRIM(INDEX('Base Exámenes'!$C:$C,$L44)))</f>
        <v/>
      </c>
      <c r="B44" s="5" t="str">
        <f>IF($L44="","",IFERROR(INDEX('Detalle individual'!$B:$B,MATCH($A44,'Detalle individual'!$A:$A,0)),TRIM(INDEX('Base Exámenes'!$A:$A,$L44))))</f>
        <v/>
      </c>
      <c r="C44" s="5" t="str">
        <f>IF($L44="","",IFERROR(INDEX('Detalle individual'!$C:$C,MATCH($A44,'Detalle individual'!$A:$A,0)),TRIM(INDEX('Base Exámenes'!$B:$B,$L44))))</f>
        <v/>
      </c>
      <c r="D44" s="5" t="str">
        <f>IF($L44="","",IFERROR(INDEX('Detalle individual'!$D:$D,MATCH($A44,'Detalle individual'!$A:$A,0)),"(no está en Base Oficial)"))</f>
        <v/>
      </c>
      <c r="E44" s="5" t="str">
        <f>IF($L44="","",COUNTIFS('Base Exámenes'!$C$5:$C$1000,INDEX('Base Exámenes'!$C:$C,$L44),'Base Exámenes'!$D$5:$D$1000,"&lt;="&amp;INDEX('Base Exámenes'!$D:$D,$L44)))</f>
        <v/>
      </c>
      <c r="F44" s="23" t="str">
        <f>IF($L44="","",INDEX('Base Exámenes'!$D:$D,$L44))</f>
        <v/>
      </c>
      <c r="G44" s="23" t="str">
        <f>IF($L44="","",INDEX('Base Exámenes'!$E:$E,$L44))</f>
        <v/>
      </c>
      <c r="H44" s="24" t="str">
        <f>IF($L44="","",INDEX('Base Exámenes'!$F:$F,$L44))</f>
        <v/>
      </c>
      <c r="I44" s="5" t="str">
        <f>IF($L44="","",INDEX('Base Exámenes'!$G:$G,$L44))</f>
        <v/>
      </c>
      <c r="J44" s="5" t="str">
        <f>IF($L44="","",IF($L44-4=MATCH(INDEX('Base Exámenes'!$C:$C,$L44)&amp;"|"&amp;_xlfn.MAXIFS('Base Exámenes'!$G$5:$G$1000,'Base Exámenes'!$C$5:$C$1000,INDEX('Base Exámenes'!$C:$C,$L44)),'Base Exámenes'!$I$5:$I$1000,0),"Sí",""))</f>
        <v/>
      </c>
      <c r="L44" t="str">
        <f>IFERROR(MATCH(SMALL(Cálculos!$AQ$5:$AQ$1000,40),Cálculos!$AQ$5:$AQ$1000,0)+4,"")</f>
        <v/>
      </c>
    </row>
    <row r="45">
      <c r="A45" s="5" t="str">
        <f>IF($L45="","",TRIM(INDEX('Base Exámenes'!$C:$C,$L45)))</f>
        <v/>
      </c>
      <c r="B45" s="5" t="str">
        <f>IF($L45="","",IFERROR(INDEX('Detalle individual'!$B:$B,MATCH($A45,'Detalle individual'!$A:$A,0)),TRIM(INDEX('Base Exámenes'!$A:$A,$L45))))</f>
        <v/>
      </c>
      <c r="C45" s="5" t="str">
        <f>IF($L45="","",IFERROR(INDEX('Detalle individual'!$C:$C,MATCH($A45,'Detalle individual'!$A:$A,0)),TRIM(INDEX('Base Exámenes'!$B:$B,$L45))))</f>
        <v/>
      </c>
      <c r="D45" s="5" t="str">
        <f>IF($L45="","",IFERROR(INDEX('Detalle individual'!$D:$D,MATCH($A45,'Detalle individual'!$A:$A,0)),"(no está en Base Oficial)"))</f>
        <v/>
      </c>
      <c r="E45" s="5" t="str">
        <f>IF($L45="","",COUNTIFS('Base Exámenes'!$C$5:$C$1000,INDEX('Base Exámenes'!$C:$C,$L45),'Base Exámenes'!$D$5:$D$1000,"&lt;="&amp;INDEX('Base Exámenes'!$D:$D,$L45)))</f>
        <v/>
      </c>
      <c r="F45" s="23" t="str">
        <f>IF($L45="","",INDEX('Base Exámenes'!$D:$D,$L45))</f>
        <v/>
      </c>
      <c r="G45" s="23" t="str">
        <f>IF($L45="","",INDEX('Base Exámenes'!$E:$E,$L45))</f>
        <v/>
      </c>
      <c r="H45" s="24" t="str">
        <f>IF($L45="","",INDEX('Base Exámenes'!$F:$F,$L45))</f>
        <v/>
      </c>
      <c r="I45" s="5" t="str">
        <f>IF($L45="","",INDEX('Base Exámenes'!$G:$G,$L45))</f>
        <v/>
      </c>
      <c r="J45" s="5" t="str">
        <f>IF($L45="","",IF($L45-4=MATCH(INDEX('Base Exámenes'!$C:$C,$L45)&amp;"|"&amp;_xlfn.MAXIFS('Base Exámenes'!$G$5:$G$1000,'Base Exámenes'!$C$5:$C$1000,INDEX('Base Exámenes'!$C:$C,$L45)),'Base Exámenes'!$I$5:$I$1000,0),"Sí",""))</f>
        <v/>
      </c>
      <c r="L45" t="str">
        <f>IFERROR(MATCH(SMALL(Cálculos!$AQ$5:$AQ$1000,41),Cálculos!$AQ$5:$AQ$1000,0)+4,"")</f>
        <v/>
      </c>
    </row>
    <row r="46">
      <c r="A46" s="5" t="str">
        <f>IF($L46="","",TRIM(INDEX('Base Exámenes'!$C:$C,$L46)))</f>
        <v/>
      </c>
      <c r="B46" s="5" t="str">
        <f>IF($L46="","",IFERROR(INDEX('Detalle individual'!$B:$B,MATCH($A46,'Detalle individual'!$A:$A,0)),TRIM(INDEX('Base Exámenes'!$A:$A,$L46))))</f>
        <v/>
      </c>
      <c r="C46" s="5" t="str">
        <f>IF($L46="","",IFERROR(INDEX('Detalle individual'!$C:$C,MATCH($A46,'Detalle individual'!$A:$A,0)),TRIM(INDEX('Base Exámenes'!$B:$B,$L46))))</f>
        <v/>
      </c>
      <c r="D46" s="5" t="str">
        <f>IF($L46="","",IFERROR(INDEX('Detalle individual'!$D:$D,MATCH($A46,'Detalle individual'!$A:$A,0)),"(no está en Base Oficial)"))</f>
        <v/>
      </c>
      <c r="E46" s="5" t="str">
        <f>IF($L46="","",COUNTIFS('Base Exámenes'!$C$5:$C$1000,INDEX('Base Exámenes'!$C:$C,$L46),'Base Exámenes'!$D$5:$D$1000,"&lt;="&amp;INDEX('Base Exámenes'!$D:$D,$L46)))</f>
        <v/>
      </c>
      <c r="F46" s="23" t="str">
        <f>IF($L46="","",INDEX('Base Exámenes'!$D:$D,$L46))</f>
        <v/>
      </c>
      <c r="G46" s="23" t="str">
        <f>IF($L46="","",INDEX('Base Exámenes'!$E:$E,$L46))</f>
        <v/>
      </c>
      <c r="H46" s="24" t="str">
        <f>IF($L46="","",INDEX('Base Exámenes'!$F:$F,$L46))</f>
        <v/>
      </c>
      <c r="I46" s="5" t="str">
        <f>IF($L46="","",INDEX('Base Exámenes'!$G:$G,$L46))</f>
        <v/>
      </c>
      <c r="J46" s="5" t="str">
        <f>IF($L46="","",IF($L46-4=MATCH(INDEX('Base Exámenes'!$C:$C,$L46)&amp;"|"&amp;_xlfn.MAXIFS('Base Exámenes'!$G$5:$G$1000,'Base Exámenes'!$C$5:$C$1000,INDEX('Base Exámenes'!$C:$C,$L46)),'Base Exámenes'!$I$5:$I$1000,0),"Sí",""))</f>
        <v/>
      </c>
      <c r="L46" t="str">
        <f>IFERROR(MATCH(SMALL(Cálculos!$AQ$5:$AQ$1000,42),Cálculos!$AQ$5:$AQ$1000,0)+4,"")</f>
        <v/>
      </c>
    </row>
    <row r="47">
      <c r="A47" s="5" t="str">
        <f>IF($L47="","",TRIM(INDEX('Base Exámenes'!$C:$C,$L47)))</f>
        <v/>
      </c>
      <c r="B47" s="5" t="str">
        <f>IF($L47="","",IFERROR(INDEX('Detalle individual'!$B:$B,MATCH($A47,'Detalle individual'!$A:$A,0)),TRIM(INDEX('Base Exámenes'!$A:$A,$L47))))</f>
        <v/>
      </c>
      <c r="C47" s="5" t="str">
        <f>IF($L47="","",IFERROR(INDEX('Detalle individual'!$C:$C,MATCH($A47,'Detalle individual'!$A:$A,0)),TRIM(INDEX('Base Exámenes'!$B:$B,$L47))))</f>
        <v/>
      </c>
      <c r="D47" s="5" t="str">
        <f>IF($L47="","",IFERROR(INDEX('Detalle individual'!$D:$D,MATCH($A47,'Detalle individual'!$A:$A,0)),"(no está en Base Oficial)"))</f>
        <v/>
      </c>
      <c r="E47" s="5" t="str">
        <f>IF($L47="","",COUNTIFS('Base Exámenes'!$C$5:$C$1000,INDEX('Base Exámenes'!$C:$C,$L47),'Base Exámenes'!$D$5:$D$1000,"&lt;="&amp;INDEX('Base Exámenes'!$D:$D,$L47)))</f>
        <v/>
      </c>
      <c r="F47" s="23" t="str">
        <f>IF($L47="","",INDEX('Base Exámenes'!$D:$D,$L47))</f>
        <v/>
      </c>
      <c r="G47" s="23" t="str">
        <f>IF($L47="","",INDEX('Base Exámenes'!$E:$E,$L47))</f>
        <v/>
      </c>
      <c r="H47" s="24" t="str">
        <f>IF($L47="","",INDEX('Base Exámenes'!$F:$F,$L47))</f>
        <v/>
      </c>
      <c r="I47" s="5" t="str">
        <f>IF($L47="","",INDEX('Base Exámenes'!$G:$G,$L47))</f>
        <v/>
      </c>
      <c r="J47" s="5" t="str">
        <f>IF($L47="","",IF($L47-4=MATCH(INDEX('Base Exámenes'!$C:$C,$L47)&amp;"|"&amp;_xlfn.MAXIFS('Base Exámenes'!$G$5:$G$1000,'Base Exámenes'!$C$5:$C$1000,INDEX('Base Exámenes'!$C:$C,$L47)),'Base Exámenes'!$I$5:$I$1000,0),"Sí",""))</f>
        <v/>
      </c>
      <c r="L47" t="str">
        <f>IFERROR(MATCH(SMALL(Cálculos!$AQ$5:$AQ$1000,43),Cálculos!$AQ$5:$AQ$1000,0)+4,"")</f>
        <v/>
      </c>
    </row>
    <row r="48">
      <c r="A48" s="5" t="str">
        <f>IF($L48="","",TRIM(INDEX('Base Exámenes'!$C:$C,$L48)))</f>
        <v/>
      </c>
      <c r="B48" s="5" t="str">
        <f>IF($L48="","",IFERROR(INDEX('Detalle individual'!$B:$B,MATCH($A48,'Detalle individual'!$A:$A,0)),TRIM(INDEX('Base Exámenes'!$A:$A,$L48))))</f>
        <v/>
      </c>
      <c r="C48" s="5" t="str">
        <f>IF($L48="","",IFERROR(INDEX('Detalle individual'!$C:$C,MATCH($A48,'Detalle individual'!$A:$A,0)),TRIM(INDEX('Base Exámenes'!$B:$B,$L48))))</f>
        <v/>
      </c>
      <c r="D48" s="5" t="str">
        <f>IF($L48="","",IFERROR(INDEX('Detalle individual'!$D:$D,MATCH($A48,'Detalle individual'!$A:$A,0)),"(no está en Base Oficial)"))</f>
        <v/>
      </c>
      <c r="E48" s="5" t="str">
        <f>IF($L48="","",COUNTIFS('Base Exámenes'!$C$5:$C$1000,INDEX('Base Exámenes'!$C:$C,$L48),'Base Exámenes'!$D$5:$D$1000,"&lt;="&amp;INDEX('Base Exámenes'!$D:$D,$L48)))</f>
        <v/>
      </c>
      <c r="F48" s="23" t="str">
        <f>IF($L48="","",INDEX('Base Exámenes'!$D:$D,$L48))</f>
        <v/>
      </c>
      <c r="G48" s="23" t="str">
        <f>IF($L48="","",INDEX('Base Exámenes'!$E:$E,$L48))</f>
        <v/>
      </c>
      <c r="H48" s="24" t="str">
        <f>IF($L48="","",INDEX('Base Exámenes'!$F:$F,$L48))</f>
        <v/>
      </c>
      <c r="I48" s="5" t="str">
        <f>IF($L48="","",INDEX('Base Exámenes'!$G:$G,$L48))</f>
        <v/>
      </c>
      <c r="J48" s="5" t="str">
        <f>IF($L48="","",IF($L48-4=MATCH(INDEX('Base Exámenes'!$C:$C,$L48)&amp;"|"&amp;_xlfn.MAXIFS('Base Exámenes'!$G$5:$G$1000,'Base Exámenes'!$C$5:$C$1000,INDEX('Base Exámenes'!$C:$C,$L48)),'Base Exámenes'!$I$5:$I$1000,0),"Sí",""))</f>
        <v/>
      </c>
      <c r="L48" t="str">
        <f>IFERROR(MATCH(SMALL(Cálculos!$AQ$5:$AQ$1000,44),Cálculos!$AQ$5:$AQ$1000,0)+4,"")</f>
        <v/>
      </c>
    </row>
    <row r="49">
      <c r="A49" s="5" t="str">
        <f>IF($L49="","",TRIM(INDEX('Base Exámenes'!$C:$C,$L49)))</f>
        <v/>
      </c>
      <c r="B49" s="5" t="str">
        <f>IF($L49="","",IFERROR(INDEX('Detalle individual'!$B:$B,MATCH($A49,'Detalle individual'!$A:$A,0)),TRIM(INDEX('Base Exámenes'!$A:$A,$L49))))</f>
        <v/>
      </c>
      <c r="C49" s="5" t="str">
        <f>IF($L49="","",IFERROR(INDEX('Detalle individual'!$C:$C,MATCH($A49,'Detalle individual'!$A:$A,0)),TRIM(INDEX('Base Exámenes'!$B:$B,$L49))))</f>
        <v/>
      </c>
      <c r="D49" s="5" t="str">
        <f>IF($L49="","",IFERROR(INDEX('Detalle individual'!$D:$D,MATCH($A49,'Detalle individual'!$A:$A,0)),"(no está en Base Oficial)"))</f>
        <v/>
      </c>
      <c r="E49" s="5" t="str">
        <f>IF($L49="","",COUNTIFS('Base Exámenes'!$C$5:$C$1000,INDEX('Base Exámenes'!$C:$C,$L49),'Base Exámenes'!$D$5:$D$1000,"&lt;="&amp;INDEX('Base Exámenes'!$D:$D,$L49)))</f>
        <v/>
      </c>
      <c r="F49" s="23" t="str">
        <f>IF($L49="","",INDEX('Base Exámenes'!$D:$D,$L49))</f>
        <v/>
      </c>
      <c r="G49" s="23" t="str">
        <f>IF($L49="","",INDEX('Base Exámenes'!$E:$E,$L49))</f>
        <v/>
      </c>
      <c r="H49" s="24" t="str">
        <f>IF($L49="","",INDEX('Base Exámenes'!$F:$F,$L49))</f>
        <v/>
      </c>
      <c r="I49" s="5" t="str">
        <f>IF($L49="","",INDEX('Base Exámenes'!$G:$G,$L49))</f>
        <v/>
      </c>
      <c r="J49" s="5" t="str">
        <f>IF($L49="","",IF($L49-4=MATCH(INDEX('Base Exámenes'!$C:$C,$L49)&amp;"|"&amp;_xlfn.MAXIFS('Base Exámenes'!$G$5:$G$1000,'Base Exámenes'!$C$5:$C$1000,INDEX('Base Exámenes'!$C:$C,$L49)),'Base Exámenes'!$I$5:$I$1000,0),"Sí",""))</f>
        <v/>
      </c>
      <c r="L49" t="str">
        <f>IFERROR(MATCH(SMALL(Cálculos!$AQ$5:$AQ$1000,45),Cálculos!$AQ$5:$AQ$1000,0)+4,"")</f>
        <v/>
      </c>
    </row>
    <row r="50">
      <c r="A50" s="5" t="str">
        <f>IF($L50="","",TRIM(INDEX('Base Exámenes'!$C:$C,$L50)))</f>
        <v/>
      </c>
      <c r="B50" s="5" t="str">
        <f>IF($L50="","",IFERROR(INDEX('Detalle individual'!$B:$B,MATCH($A50,'Detalle individual'!$A:$A,0)),TRIM(INDEX('Base Exámenes'!$A:$A,$L50))))</f>
        <v/>
      </c>
      <c r="C50" s="5" t="str">
        <f>IF($L50="","",IFERROR(INDEX('Detalle individual'!$C:$C,MATCH($A50,'Detalle individual'!$A:$A,0)),TRIM(INDEX('Base Exámenes'!$B:$B,$L50))))</f>
        <v/>
      </c>
      <c r="D50" s="5" t="str">
        <f>IF($L50="","",IFERROR(INDEX('Detalle individual'!$D:$D,MATCH($A50,'Detalle individual'!$A:$A,0)),"(no está en Base Oficial)"))</f>
        <v/>
      </c>
      <c r="E50" s="5" t="str">
        <f>IF($L50="","",COUNTIFS('Base Exámenes'!$C$5:$C$1000,INDEX('Base Exámenes'!$C:$C,$L50),'Base Exámenes'!$D$5:$D$1000,"&lt;="&amp;INDEX('Base Exámenes'!$D:$D,$L50)))</f>
        <v/>
      </c>
      <c r="F50" s="23" t="str">
        <f>IF($L50="","",INDEX('Base Exámenes'!$D:$D,$L50))</f>
        <v/>
      </c>
      <c r="G50" s="23" t="str">
        <f>IF($L50="","",INDEX('Base Exámenes'!$E:$E,$L50))</f>
        <v/>
      </c>
      <c r="H50" s="24" t="str">
        <f>IF($L50="","",INDEX('Base Exámenes'!$F:$F,$L50))</f>
        <v/>
      </c>
      <c r="I50" s="5" t="str">
        <f>IF($L50="","",INDEX('Base Exámenes'!$G:$G,$L50))</f>
        <v/>
      </c>
      <c r="J50" s="5" t="str">
        <f>IF($L50="","",IF($L50-4=MATCH(INDEX('Base Exámenes'!$C:$C,$L50)&amp;"|"&amp;_xlfn.MAXIFS('Base Exámenes'!$G$5:$G$1000,'Base Exámenes'!$C$5:$C$1000,INDEX('Base Exámenes'!$C:$C,$L50)),'Base Exámenes'!$I$5:$I$1000,0),"Sí",""))</f>
        <v/>
      </c>
      <c r="L50" t="str">
        <f>IFERROR(MATCH(SMALL(Cálculos!$AQ$5:$AQ$1000,46),Cálculos!$AQ$5:$AQ$1000,0)+4,"")</f>
        <v/>
      </c>
    </row>
    <row r="51">
      <c r="A51" s="5" t="str">
        <f>IF($L51="","",TRIM(INDEX('Base Exámenes'!$C:$C,$L51)))</f>
        <v/>
      </c>
      <c r="B51" s="5" t="str">
        <f>IF($L51="","",IFERROR(INDEX('Detalle individual'!$B:$B,MATCH($A51,'Detalle individual'!$A:$A,0)),TRIM(INDEX('Base Exámenes'!$A:$A,$L51))))</f>
        <v/>
      </c>
      <c r="C51" s="5" t="str">
        <f>IF($L51="","",IFERROR(INDEX('Detalle individual'!$C:$C,MATCH($A51,'Detalle individual'!$A:$A,0)),TRIM(INDEX('Base Exámenes'!$B:$B,$L51))))</f>
        <v/>
      </c>
      <c r="D51" s="5" t="str">
        <f>IF($L51="","",IFERROR(INDEX('Detalle individual'!$D:$D,MATCH($A51,'Detalle individual'!$A:$A,0)),"(no está en Base Oficial)"))</f>
        <v/>
      </c>
      <c r="E51" s="5" t="str">
        <f>IF($L51="","",COUNTIFS('Base Exámenes'!$C$5:$C$1000,INDEX('Base Exámenes'!$C:$C,$L51),'Base Exámenes'!$D$5:$D$1000,"&lt;="&amp;INDEX('Base Exámenes'!$D:$D,$L51)))</f>
        <v/>
      </c>
      <c r="F51" s="23" t="str">
        <f>IF($L51="","",INDEX('Base Exámenes'!$D:$D,$L51))</f>
        <v/>
      </c>
      <c r="G51" s="23" t="str">
        <f>IF($L51="","",INDEX('Base Exámenes'!$E:$E,$L51))</f>
        <v/>
      </c>
      <c r="H51" s="24" t="str">
        <f>IF($L51="","",INDEX('Base Exámenes'!$F:$F,$L51))</f>
        <v/>
      </c>
      <c r="I51" s="5" t="str">
        <f>IF($L51="","",INDEX('Base Exámenes'!$G:$G,$L51))</f>
        <v/>
      </c>
      <c r="J51" s="5" t="str">
        <f>IF($L51="","",IF($L51-4=MATCH(INDEX('Base Exámenes'!$C:$C,$L51)&amp;"|"&amp;_xlfn.MAXIFS('Base Exámenes'!$G$5:$G$1000,'Base Exámenes'!$C$5:$C$1000,INDEX('Base Exámenes'!$C:$C,$L51)),'Base Exámenes'!$I$5:$I$1000,0),"Sí",""))</f>
        <v/>
      </c>
      <c r="L51" t="str">
        <f>IFERROR(MATCH(SMALL(Cálculos!$AQ$5:$AQ$1000,47),Cálculos!$AQ$5:$AQ$1000,0)+4,"")</f>
        <v/>
      </c>
    </row>
    <row r="52">
      <c r="A52" s="5" t="str">
        <f>IF($L52="","",TRIM(INDEX('Base Exámenes'!$C:$C,$L52)))</f>
        <v/>
      </c>
      <c r="B52" s="5" t="str">
        <f>IF($L52="","",IFERROR(INDEX('Detalle individual'!$B:$B,MATCH($A52,'Detalle individual'!$A:$A,0)),TRIM(INDEX('Base Exámenes'!$A:$A,$L52))))</f>
        <v/>
      </c>
      <c r="C52" s="5" t="str">
        <f>IF($L52="","",IFERROR(INDEX('Detalle individual'!$C:$C,MATCH($A52,'Detalle individual'!$A:$A,0)),TRIM(INDEX('Base Exámenes'!$B:$B,$L52))))</f>
        <v/>
      </c>
      <c r="D52" s="5" t="str">
        <f>IF($L52="","",IFERROR(INDEX('Detalle individual'!$D:$D,MATCH($A52,'Detalle individual'!$A:$A,0)),"(no está en Base Oficial)"))</f>
        <v/>
      </c>
      <c r="E52" s="5" t="str">
        <f>IF($L52="","",COUNTIFS('Base Exámenes'!$C$5:$C$1000,INDEX('Base Exámenes'!$C:$C,$L52),'Base Exámenes'!$D$5:$D$1000,"&lt;="&amp;INDEX('Base Exámenes'!$D:$D,$L52)))</f>
        <v/>
      </c>
      <c r="F52" s="23" t="str">
        <f>IF($L52="","",INDEX('Base Exámenes'!$D:$D,$L52))</f>
        <v/>
      </c>
      <c r="G52" s="23" t="str">
        <f>IF($L52="","",INDEX('Base Exámenes'!$E:$E,$L52))</f>
        <v/>
      </c>
      <c r="H52" s="24" t="str">
        <f>IF($L52="","",INDEX('Base Exámenes'!$F:$F,$L52))</f>
        <v/>
      </c>
      <c r="I52" s="5" t="str">
        <f>IF($L52="","",INDEX('Base Exámenes'!$G:$G,$L52))</f>
        <v/>
      </c>
      <c r="J52" s="5" t="str">
        <f>IF($L52="","",IF($L52-4=MATCH(INDEX('Base Exámenes'!$C:$C,$L52)&amp;"|"&amp;_xlfn.MAXIFS('Base Exámenes'!$G$5:$G$1000,'Base Exámenes'!$C$5:$C$1000,INDEX('Base Exámenes'!$C:$C,$L52)),'Base Exámenes'!$I$5:$I$1000,0),"Sí",""))</f>
        <v/>
      </c>
      <c r="L52" t="str">
        <f>IFERROR(MATCH(SMALL(Cálculos!$AQ$5:$AQ$1000,48),Cálculos!$AQ$5:$AQ$1000,0)+4,"")</f>
        <v/>
      </c>
    </row>
    <row r="53">
      <c r="A53" s="5" t="str">
        <f>IF($L53="","",TRIM(INDEX('Base Exámenes'!$C:$C,$L53)))</f>
        <v/>
      </c>
      <c r="B53" s="5" t="str">
        <f>IF($L53="","",IFERROR(INDEX('Detalle individual'!$B:$B,MATCH($A53,'Detalle individual'!$A:$A,0)),TRIM(INDEX('Base Exámenes'!$A:$A,$L53))))</f>
        <v/>
      </c>
      <c r="C53" s="5" t="str">
        <f>IF($L53="","",IFERROR(INDEX('Detalle individual'!$C:$C,MATCH($A53,'Detalle individual'!$A:$A,0)),TRIM(INDEX('Base Exámenes'!$B:$B,$L53))))</f>
        <v/>
      </c>
      <c r="D53" s="5" t="str">
        <f>IF($L53="","",IFERROR(INDEX('Detalle individual'!$D:$D,MATCH($A53,'Detalle individual'!$A:$A,0)),"(no está en Base Oficial)"))</f>
        <v/>
      </c>
      <c r="E53" s="5" t="str">
        <f>IF($L53="","",COUNTIFS('Base Exámenes'!$C$5:$C$1000,INDEX('Base Exámenes'!$C:$C,$L53),'Base Exámenes'!$D$5:$D$1000,"&lt;="&amp;INDEX('Base Exámenes'!$D:$D,$L53)))</f>
        <v/>
      </c>
      <c r="F53" s="23" t="str">
        <f>IF($L53="","",INDEX('Base Exámenes'!$D:$D,$L53))</f>
        <v/>
      </c>
      <c r="G53" s="23" t="str">
        <f>IF($L53="","",INDEX('Base Exámenes'!$E:$E,$L53))</f>
        <v/>
      </c>
      <c r="H53" s="24" t="str">
        <f>IF($L53="","",INDEX('Base Exámenes'!$F:$F,$L53))</f>
        <v/>
      </c>
      <c r="I53" s="5" t="str">
        <f>IF($L53="","",INDEX('Base Exámenes'!$G:$G,$L53))</f>
        <v/>
      </c>
      <c r="J53" s="5" t="str">
        <f>IF($L53="","",IF($L53-4=MATCH(INDEX('Base Exámenes'!$C:$C,$L53)&amp;"|"&amp;_xlfn.MAXIFS('Base Exámenes'!$G$5:$G$1000,'Base Exámenes'!$C$5:$C$1000,INDEX('Base Exámenes'!$C:$C,$L53)),'Base Exámenes'!$I$5:$I$1000,0),"Sí",""))</f>
        <v/>
      </c>
      <c r="L53" t="str">
        <f>IFERROR(MATCH(SMALL(Cálculos!$AQ$5:$AQ$1000,49),Cálculos!$AQ$5:$AQ$1000,0)+4,"")</f>
        <v/>
      </c>
    </row>
    <row r="54">
      <c r="A54" s="5" t="str">
        <f>IF($L54="","",TRIM(INDEX('Base Exámenes'!$C:$C,$L54)))</f>
        <v/>
      </c>
      <c r="B54" s="5" t="str">
        <f>IF($L54="","",IFERROR(INDEX('Detalle individual'!$B:$B,MATCH($A54,'Detalle individual'!$A:$A,0)),TRIM(INDEX('Base Exámenes'!$A:$A,$L54))))</f>
        <v/>
      </c>
      <c r="C54" s="5" t="str">
        <f>IF($L54="","",IFERROR(INDEX('Detalle individual'!$C:$C,MATCH($A54,'Detalle individual'!$A:$A,0)),TRIM(INDEX('Base Exámenes'!$B:$B,$L54))))</f>
        <v/>
      </c>
      <c r="D54" s="5" t="str">
        <f>IF($L54="","",IFERROR(INDEX('Detalle individual'!$D:$D,MATCH($A54,'Detalle individual'!$A:$A,0)),"(no está en Base Oficial)"))</f>
        <v/>
      </c>
      <c r="E54" s="5" t="str">
        <f>IF($L54="","",COUNTIFS('Base Exámenes'!$C$5:$C$1000,INDEX('Base Exámenes'!$C:$C,$L54),'Base Exámenes'!$D$5:$D$1000,"&lt;="&amp;INDEX('Base Exámenes'!$D:$D,$L54)))</f>
        <v/>
      </c>
      <c r="F54" s="23" t="str">
        <f>IF($L54="","",INDEX('Base Exámenes'!$D:$D,$L54))</f>
        <v/>
      </c>
      <c r="G54" s="23" t="str">
        <f>IF($L54="","",INDEX('Base Exámenes'!$E:$E,$L54))</f>
        <v/>
      </c>
      <c r="H54" s="24" t="str">
        <f>IF($L54="","",INDEX('Base Exámenes'!$F:$F,$L54))</f>
        <v/>
      </c>
      <c r="I54" s="5" t="str">
        <f>IF($L54="","",INDEX('Base Exámenes'!$G:$G,$L54))</f>
        <v/>
      </c>
      <c r="J54" s="5" t="str">
        <f>IF($L54="","",IF($L54-4=MATCH(INDEX('Base Exámenes'!$C:$C,$L54)&amp;"|"&amp;_xlfn.MAXIFS('Base Exámenes'!$G$5:$G$1000,'Base Exámenes'!$C$5:$C$1000,INDEX('Base Exámenes'!$C:$C,$L54)),'Base Exámenes'!$I$5:$I$1000,0),"Sí",""))</f>
        <v/>
      </c>
      <c r="L54" t="str">
        <f>IFERROR(MATCH(SMALL(Cálculos!$AQ$5:$AQ$1000,50),Cálculos!$AQ$5:$AQ$1000,0)+4,"")</f>
        <v/>
      </c>
    </row>
    <row r="55">
      <c r="A55" s="5" t="str">
        <f>IF($L55="","",TRIM(INDEX('Base Exámenes'!$C:$C,$L55)))</f>
        <v/>
      </c>
      <c r="B55" s="5" t="str">
        <f>IF($L55="","",IFERROR(INDEX('Detalle individual'!$B:$B,MATCH($A55,'Detalle individual'!$A:$A,0)),TRIM(INDEX('Base Exámenes'!$A:$A,$L55))))</f>
        <v/>
      </c>
      <c r="C55" s="5" t="str">
        <f>IF($L55="","",IFERROR(INDEX('Detalle individual'!$C:$C,MATCH($A55,'Detalle individual'!$A:$A,0)),TRIM(INDEX('Base Exámenes'!$B:$B,$L55))))</f>
        <v/>
      </c>
      <c r="D55" s="5" t="str">
        <f>IF($L55="","",IFERROR(INDEX('Detalle individual'!$D:$D,MATCH($A55,'Detalle individual'!$A:$A,0)),"(no está en Base Oficial)"))</f>
        <v/>
      </c>
      <c r="E55" s="5" t="str">
        <f>IF($L55="","",COUNTIFS('Base Exámenes'!$C$5:$C$1000,INDEX('Base Exámenes'!$C:$C,$L55),'Base Exámenes'!$D$5:$D$1000,"&lt;="&amp;INDEX('Base Exámenes'!$D:$D,$L55)))</f>
        <v/>
      </c>
      <c r="F55" s="23" t="str">
        <f>IF($L55="","",INDEX('Base Exámenes'!$D:$D,$L55))</f>
        <v/>
      </c>
      <c r="G55" s="23" t="str">
        <f>IF($L55="","",INDEX('Base Exámenes'!$E:$E,$L55))</f>
        <v/>
      </c>
      <c r="H55" s="24" t="str">
        <f>IF($L55="","",INDEX('Base Exámenes'!$F:$F,$L55))</f>
        <v/>
      </c>
      <c r="I55" s="5" t="str">
        <f>IF($L55="","",INDEX('Base Exámenes'!$G:$G,$L55))</f>
        <v/>
      </c>
      <c r="J55" s="5" t="str">
        <f>IF($L55="","",IF($L55-4=MATCH(INDEX('Base Exámenes'!$C:$C,$L55)&amp;"|"&amp;_xlfn.MAXIFS('Base Exámenes'!$G$5:$G$1000,'Base Exámenes'!$C$5:$C$1000,INDEX('Base Exámenes'!$C:$C,$L55)),'Base Exámenes'!$I$5:$I$1000,0),"Sí",""))</f>
        <v/>
      </c>
      <c r="L55" t="str">
        <f>IFERROR(MATCH(SMALL(Cálculos!$AQ$5:$AQ$1000,51),Cálculos!$AQ$5:$AQ$1000,0)+4,"")</f>
        <v/>
      </c>
    </row>
    <row r="56">
      <c r="A56" s="5" t="str">
        <f>IF($L56="","",TRIM(INDEX('Base Exámenes'!$C:$C,$L56)))</f>
        <v/>
      </c>
      <c r="B56" s="5" t="str">
        <f>IF($L56="","",IFERROR(INDEX('Detalle individual'!$B:$B,MATCH($A56,'Detalle individual'!$A:$A,0)),TRIM(INDEX('Base Exámenes'!$A:$A,$L56))))</f>
        <v/>
      </c>
      <c r="C56" s="5" t="str">
        <f>IF($L56="","",IFERROR(INDEX('Detalle individual'!$C:$C,MATCH($A56,'Detalle individual'!$A:$A,0)),TRIM(INDEX('Base Exámenes'!$B:$B,$L56))))</f>
        <v/>
      </c>
      <c r="D56" s="5" t="str">
        <f>IF($L56="","",IFERROR(INDEX('Detalle individual'!$D:$D,MATCH($A56,'Detalle individual'!$A:$A,0)),"(no está en Base Oficial)"))</f>
        <v/>
      </c>
      <c r="E56" s="5" t="str">
        <f>IF($L56="","",COUNTIFS('Base Exámenes'!$C$5:$C$1000,INDEX('Base Exámenes'!$C:$C,$L56),'Base Exámenes'!$D$5:$D$1000,"&lt;="&amp;INDEX('Base Exámenes'!$D:$D,$L56)))</f>
        <v/>
      </c>
      <c r="F56" s="23" t="str">
        <f>IF($L56="","",INDEX('Base Exámenes'!$D:$D,$L56))</f>
        <v/>
      </c>
      <c r="G56" s="23" t="str">
        <f>IF($L56="","",INDEX('Base Exámenes'!$E:$E,$L56))</f>
        <v/>
      </c>
      <c r="H56" s="24" t="str">
        <f>IF($L56="","",INDEX('Base Exámenes'!$F:$F,$L56))</f>
        <v/>
      </c>
      <c r="I56" s="5" t="str">
        <f>IF($L56="","",INDEX('Base Exámenes'!$G:$G,$L56))</f>
        <v/>
      </c>
      <c r="J56" s="5" t="str">
        <f>IF($L56="","",IF($L56-4=MATCH(INDEX('Base Exámenes'!$C:$C,$L56)&amp;"|"&amp;_xlfn.MAXIFS('Base Exámenes'!$G$5:$G$1000,'Base Exámenes'!$C$5:$C$1000,INDEX('Base Exámenes'!$C:$C,$L56)),'Base Exámenes'!$I$5:$I$1000,0),"Sí",""))</f>
        <v/>
      </c>
      <c r="L56" t="str">
        <f>IFERROR(MATCH(SMALL(Cálculos!$AQ$5:$AQ$1000,52),Cálculos!$AQ$5:$AQ$1000,0)+4,"")</f>
        <v/>
      </c>
    </row>
    <row r="57">
      <c r="A57" s="5" t="str">
        <f>IF($L57="","",TRIM(INDEX('Base Exámenes'!$C:$C,$L57)))</f>
        <v/>
      </c>
      <c r="B57" s="5" t="str">
        <f>IF($L57="","",IFERROR(INDEX('Detalle individual'!$B:$B,MATCH($A57,'Detalle individual'!$A:$A,0)),TRIM(INDEX('Base Exámenes'!$A:$A,$L57))))</f>
        <v/>
      </c>
      <c r="C57" s="5" t="str">
        <f>IF($L57="","",IFERROR(INDEX('Detalle individual'!$C:$C,MATCH($A57,'Detalle individual'!$A:$A,0)),TRIM(INDEX('Base Exámenes'!$B:$B,$L57))))</f>
        <v/>
      </c>
      <c r="D57" s="5" t="str">
        <f>IF($L57="","",IFERROR(INDEX('Detalle individual'!$D:$D,MATCH($A57,'Detalle individual'!$A:$A,0)),"(no está en Base Oficial)"))</f>
        <v/>
      </c>
      <c r="E57" s="5" t="str">
        <f>IF($L57="","",COUNTIFS('Base Exámenes'!$C$5:$C$1000,INDEX('Base Exámenes'!$C:$C,$L57),'Base Exámenes'!$D$5:$D$1000,"&lt;="&amp;INDEX('Base Exámenes'!$D:$D,$L57)))</f>
        <v/>
      </c>
      <c r="F57" s="23" t="str">
        <f>IF($L57="","",INDEX('Base Exámenes'!$D:$D,$L57))</f>
        <v/>
      </c>
      <c r="G57" s="23" t="str">
        <f>IF($L57="","",INDEX('Base Exámenes'!$E:$E,$L57))</f>
        <v/>
      </c>
      <c r="H57" s="24" t="str">
        <f>IF($L57="","",INDEX('Base Exámenes'!$F:$F,$L57))</f>
        <v/>
      </c>
      <c r="I57" s="5" t="str">
        <f>IF($L57="","",INDEX('Base Exámenes'!$G:$G,$L57))</f>
        <v/>
      </c>
      <c r="J57" s="5" t="str">
        <f>IF($L57="","",IF($L57-4=MATCH(INDEX('Base Exámenes'!$C:$C,$L57)&amp;"|"&amp;_xlfn.MAXIFS('Base Exámenes'!$G$5:$G$1000,'Base Exámenes'!$C$5:$C$1000,INDEX('Base Exámenes'!$C:$C,$L57)),'Base Exámenes'!$I$5:$I$1000,0),"Sí",""))</f>
        <v/>
      </c>
      <c r="L57" t="str">
        <f>IFERROR(MATCH(SMALL(Cálculos!$AQ$5:$AQ$1000,53),Cálculos!$AQ$5:$AQ$1000,0)+4,"")</f>
        <v/>
      </c>
    </row>
    <row r="58">
      <c r="A58" s="5" t="str">
        <f>IF($L58="","",TRIM(INDEX('Base Exámenes'!$C:$C,$L58)))</f>
        <v/>
      </c>
      <c r="B58" s="5" t="str">
        <f>IF($L58="","",IFERROR(INDEX('Detalle individual'!$B:$B,MATCH($A58,'Detalle individual'!$A:$A,0)),TRIM(INDEX('Base Exámenes'!$A:$A,$L58))))</f>
        <v/>
      </c>
      <c r="C58" s="5" t="str">
        <f>IF($L58="","",IFERROR(INDEX('Detalle individual'!$C:$C,MATCH($A58,'Detalle individual'!$A:$A,0)),TRIM(INDEX('Base Exámenes'!$B:$B,$L58))))</f>
        <v/>
      </c>
      <c r="D58" s="5" t="str">
        <f>IF($L58="","",IFERROR(INDEX('Detalle individual'!$D:$D,MATCH($A58,'Detalle individual'!$A:$A,0)),"(no está en Base Oficial)"))</f>
        <v/>
      </c>
      <c r="E58" s="5" t="str">
        <f>IF($L58="","",COUNTIFS('Base Exámenes'!$C$5:$C$1000,INDEX('Base Exámenes'!$C:$C,$L58),'Base Exámenes'!$D$5:$D$1000,"&lt;="&amp;INDEX('Base Exámenes'!$D:$D,$L58)))</f>
        <v/>
      </c>
      <c r="F58" s="23" t="str">
        <f>IF($L58="","",INDEX('Base Exámenes'!$D:$D,$L58))</f>
        <v/>
      </c>
      <c r="G58" s="23" t="str">
        <f>IF($L58="","",INDEX('Base Exámenes'!$E:$E,$L58))</f>
        <v/>
      </c>
      <c r="H58" s="24" t="str">
        <f>IF($L58="","",INDEX('Base Exámenes'!$F:$F,$L58))</f>
        <v/>
      </c>
      <c r="I58" s="5" t="str">
        <f>IF($L58="","",INDEX('Base Exámenes'!$G:$G,$L58))</f>
        <v/>
      </c>
      <c r="J58" s="5" t="str">
        <f>IF($L58="","",IF($L58-4=MATCH(INDEX('Base Exámenes'!$C:$C,$L58)&amp;"|"&amp;_xlfn.MAXIFS('Base Exámenes'!$G$5:$G$1000,'Base Exámenes'!$C$5:$C$1000,INDEX('Base Exámenes'!$C:$C,$L58)),'Base Exámenes'!$I$5:$I$1000,0),"Sí",""))</f>
        <v/>
      </c>
      <c r="L58" t="str">
        <f>IFERROR(MATCH(SMALL(Cálculos!$AQ$5:$AQ$1000,54),Cálculos!$AQ$5:$AQ$1000,0)+4,"")</f>
        <v/>
      </c>
    </row>
    <row r="59">
      <c r="A59" s="5" t="str">
        <f>IF($L59="","",TRIM(INDEX('Base Exámenes'!$C:$C,$L59)))</f>
        <v/>
      </c>
      <c r="B59" s="5" t="str">
        <f>IF($L59="","",IFERROR(INDEX('Detalle individual'!$B:$B,MATCH($A59,'Detalle individual'!$A:$A,0)),TRIM(INDEX('Base Exámenes'!$A:$A,$L59))))</f>
        <v/>
      </c>
      <c r="C59" s="5" t="str">
        <f>IF($L59="","",IFERROR(INDEX('Detalle individual'!$C:$C,MATCH($A59,'Detalle individual'!$A:$A,0)),TRIM(INDEX('Base Exámenes'!$B:$B,$L59))))</f>
        <v/>
      </c>
      <c r="D59" s="5" t="str">
        <f>IF($L59="","",IFERROR(INDEX('Detalle individual'!$D:$D,MATCH($A59,'Detalle individual'!$A:$A,0)),"(no está en Base Oficial)"))</f>
        <v/>
      </c>
      <c r="E59" s="5" t="str">
        <f>IF($L59="","",COUNTIFS('Base Exámenes'!$C$5:$C$1000,INDEX('Base Exámenes'!$C:$C,$L59),'Base Exámenes'!$D$5:$D$1000,"&lt;="&amp;INDEX('Base Exámenes'!$D:$D,$L59)))</f>
        <v/>
      </c>
      <c r="F59" s="23" t="str">
        <f>IF($L59="","",INDEX('Base Exámenes'!$D:$D,$L59))</f>
        <v/>
      </c>
      <c r="G59" s="23" t="str">
        <f>IF($L59="","",INDEX('Base Exámenes'!$E:$E,$L59))</f>
        <v/>
      </c>
      <c r="H59" s="24" t="str">
        <f>IF($L59="","",INDEX('Base Exámenes'!$F:$F,$L59))</f>
        <v/>
      </c>
      <c r="I59" s="5" t="str">
        <f>IF($L59="","",INDEX('Base Exámenes'!$G:$G,$L59))</f>
        <v/>
      </c>
      <c r="J59" s="5" t="str">
        <f>IF($L59="","",IF($L59-4=MATCH(INDEX('Base Exámenes'!$C:$C,$L59)&amp;"|"&amp;_xlfn.MAXIFS('Base Exámenes'!$G$5:$G$1000,'Base Exámenes'!$C$5:$C$1000,INDEX('Base Exámenes'!$C:$C,$L59)),'Base Exámenes'!$I$5:$I$1000,0),"Sí",""))</f>
        <v/>
      </c>
      <c r="L59" t="str">
        <f>IFERROR(MATCH(SMALL(Cálculos!$AQ$5:$AQ$1000,55),Cálculos!$AQ$5:$AQ$1000,0)+4,"")</f>
        <v/>
      </c>
    </row>
    <row r="60">
      <c r="A60" s="5" t="str">
        <f>IF($L60="","",TRIM(INDEX('Base Exámenes'!$C:$C,$L60)))</f>
        <v/>
      </c>
      <c r="B60" s="5" t="str">
        <f>IF($L60="","",IFERROR(INDEX('Detalle individual'!$B:$B,MATCH($A60,'Detalle individual'!$A:$A,0)),TRIM(INDEX('Base Exámenes'!$A:$A,$L60))))</f>
        <v/>
      </c>
      <c r="C60" s="5" t="str">
        <f>IF($L60="","",IFERROR(INDEX('Detalle individual'!$C:$C,MATCH($A60,'Detalle individual'!$A:$A,0)),TRIM(INDEX('Base Exámenes'!$B:$B,$L60))))</f>
        <v/>
      </c>
      <c r="D60" s="5" t="str">
        <f>IF($L60="","",IFERROR(INDEX('Detalle individual'!$D:$D,MATCH($A60,'Detalle individual'!$A:$A,0)),"(no está en Base Oficial)"))</f>
        <v/>
      </c>
      <c r="E60" s="5" t="str">
        <f>IF($L60="","",COUNTIFS('Base Exámenes'!$C$5:$C$1000,INDEX('Base Exámenes'!$C:$C,$L60),'Base Exámenes'!$D$5:$D$1000,"&lt;="&amp;INDEX('Base Exámenes'!$D:$D,$L60)))</f>
        <v/>
      </c>
      <c r="F60" s="23" t="str">
        <f>IF($L60="","",INDEX('Base Exámenes'!$D:$D,$L60))</f>
        <v/>
      </c>
      <c r="G60" s="23" t="str">
        <f>IF($L60="","",INDEX('Base Exámenes'!$E:$E,$L60))</f>
        <v/>
      </c>
      <c r="H60" s="24" t="str">
        <f>IF($L60="","",INDEX('Base Exámenes'!$F:$F,$L60))</f>
        <v/>
      </c>
      <c r="I60" s="5" t="str">
        <f>IF($L60="","",INDEX('Base Exámenes'!$G:$G,$L60))</f>
        <v/>
      </c>
      <c r="J60" s="5" t="str">
        <f>IF($L60="","",IF($L60-4=MATCH(INDEX('Base Exámenes'!$C:$C,$L60)&amp;"|"&amp;_xlfn.MAXIFS('Base Exámenes'!$G$5:$G$1000,'Base Exámenes'!$C$5:$C$1000,INDEX('Base Exámenes'!$C:$C,$L60)),'Base Exámenes'!$I$5:$I$1000,0),"Sí",""))</f>
        <v/>
      </c>
      <c r="L60" t="str">
        <f>IFERROR(MATCH(SMALL(Cálculos!$AQ$5:$AQ$1000,56),Cálculos!$AQ$5:$AQ$1000,0)+4,"")</f>
        <v/>
      </c>
    </row>
    <row r="61">
      <c r="A61" s="5" t="str">
        <f>IF($L61="","",TRIM(INDEX('Base Exámenes'!$C:$C,$L61)))</f>
        <v/>
      </c>
      <c r="B61" s="5" t="str">
        <f>IF($L61="","",IFERROR(INDEX('Detalle individual'!$B:$B,MATCH($A61,'Detalle individual'!$A:$A,0)),TRIM(INDEX('Base Exámenes'!$A:$A,$L61))))</f>
        <v/>
      </c>
      <c r="C61" s="5" t="str">
        <f>IF($L61="","",IFERROR(INDEX('Detalle individual'!$C:$C,MATCH($A61,'Detalle individual'!$A:$A,0)),TRIM(INDEX('Base Exámenes'!$B:$B,$L61))))</f>
        <v/>
      </c>
      <c r="D61" s="5" t="str">
        <f>IF($L61="","",IFERROR(INDEX('Detalle individual'!$D:$D,MATCH($A61,'Detalle individual'!$A:$A,0)),"(no está en Base Oficial)"))</f>
        <v/>
      </c>
      <c r="E61" s="5" t="str">
        <f>IF($L61="","",COUNTIFS('Base Exámenes'!$C$5:$C$1000,INDEX('Base Exámenes'!$C:$C,$L61),'Base Exámenes'!$D$5:$D$1000,"&lt;="&amp;INDEX('Base Exámenes'!$D:$D,$L61)))</f>
        <v/>
      </c>
      <c r="F61" s="23" t="str">
        <f>IF($L61="","",INDEX('Base Exámenes'!$D:$D,$L61))</f>
        <v/>
      </c>
      <c r="G61" s="23" t="str">
        <f>IF($L61="","",INDEX('Base Exámenes'!$E:$E,$L61))</f>
        <v/>
      </c>
      <c r="H61" s="24" t="str">
        <f>IF($L61="","",INDEX('Base Exámenes'!$F:$F,$L61))</f>
        <v/>
      </c>
      <c r="I61" s="5" t="str">
        <f>IF($L61="","",INDEX('Base Exámenes'!$G:$G,$L61))</f>
        <v/>
      </c>
      <c r="J61" s="5" t="str">
        <f>IF($L61="","",IF($L61-4=MATCH(INDEX('Base Exámenes'!$C:$C,$L61)&amp;"|"&amp;_xlfn.MAXIFS('Base Exámenes'!$G$5:$G$1000,'Base Exámenes'!$C$5:$C$1000,INDEX('Base Exámenes'!$C:$C,$L61)),'Base Exámenes'!$I$5:$I$1000,0),"Sí",""))</f>
        <v/>
      </c>
      <c r="L61" t="str">
        <f>IFERROR(MATCH(SMALL(Cálculos!$AQ$5:$AQ$1000,57),Cálculos!$AQ$5:$AQ$1000,0)+4,"")</f>
        <v/>
      </c>
    </row>
    <row r="62">
      <c r="A62" s="5" t="str">
        <f>IF($L62="","",TRIM(INDEX('Base Exámenes'!$C:$C,$L62)))</f>
        <v/>
      </c>
      <c r="B62" s="5" t="str">
        <f>IF($L62="","",IFERROR(INDEX('Detalle individual'!$B:$B,MATCH($A62,'Detalle individual'!$A:$A,0)),TRIM(INDEX('Base Exámenes'!$A:$A,$L62))))</f>
        <v/>
      </c>
      <c r="C62" s="5" t="str">
        <f>IF($L62="","",IFERROR(INDEX('Detalle individual'!$C:$C,MATCH($A62,'Detalle individual'!$A:$A,0)),TRIM(INDEX('Base Exámenes'!$B:$B,$L62))))</f>
        <v/>
      </c>
      <c r="D62" s="5" t="str">
        <f>IF($L62="","",IFERROR(INDEX('Detalle individual'!$D:$D,MATCH($A62,'Detalle individual'!$A:$A,0)),"(no está en Base Oficial)"))</f>
        <v/>
      </c>
      <c r="E62" s="5" t="str">
        <f>IF($L62="","",COUNTIFS('Base Exámenes'!$C$5:$C$1000,INDEX('Base Exámenes'!$C:$C,$L62),'Base Exámenes'!$D$5:$D$1000,"&lt;="&amp;INDEX('Base Exámenes'!$D:$D,$L62)))</f>
        <v/>
      </c>
      <c r="F62" s="23" t="str">
        <f>IF($L62="","",INDEX('Base Exámenes'!$D:$D,$L62))</f>
        <v/>
      </c>
      <c r="G62" s="23" t="str">
        <f>IF($L62="","",INDEX('Base Exámenes'!$E:$E,$L62))</f>
        <v/>
      </c>
      <c r="H62" s="24" t="str">
        <f>IF($L62="","",INDEX('Base Exámenes'!$F:$F,$L62))</f>
        <v/>
      </c>
      <c r="I62" s="5" t="str">
        <f>IF($L62="","",INDEX('Base Exámenes'!$G:$G,$L62))</f>
        <v/>
      </c>
      <c r="J62" s="5" t="str">
        <f>IF($L62="","",IF($L62-4=MATCH(INDEX('Base Exámenes'!$C:$C,$L62)&amp;"|"&amp;_xlfn.MAXIFS('Base Exámenes'!$G$5:$G$1000,'Base Exámenes'!$C$5:$C$1000,INDEX('Base Exámenes'!$C:$C,$L62)),'Base Exámenes'!$I$5:$I$1000,0),"Sí",""))</f>
        <v/>
      </c>
      <c r="L62" t="str">
        <f>IFERROR(MATCH(SMALL(Cálculos!$AQ$5:$AQ$1000,58),Cálculos!$AQ$5:$AQ$1000,0)+4,"")</f>
        <v/>
      </c>
    </row>
    <row r="63">
      <c r="A63" s="5" t="str">
        <f>IF($L63="","",TRIM(INDEX('Base Exámenes'!$C:$C,$L63)))</f>
        <v/>
      </c>
      <c r="B63" s="5" t="str">
        <f>IF($L63="","",IFERROR(INDEX('Detalle individual'!$B:$B,MATCH($A63,'Detalle individual'!$A:$A,0)),TRIM(INDEX('Base Exámenes'!$A:$A,$L63))))</f>
        <v/>
      </c>
      <c r="C63" s="5" t="str">
        <f>IF($L63="","",IFERROR(INDEX('Detalle individual'!$C:$C,MATCH($A63,'Detalle individual'!$A:$A,0)),TRIM(INDEX('Base Exámenes'!$B:$B,$L63))))</f>
        <v/>
      </c>
      <c r="D63" s="5" t="str">
        <f>IF($L63="","",IFERROR(INDEX('Detalle individual'!$D:$D,MATCH($A63,'Detalle individual'!$A:$A,0)),"(no está en Base Oficial)"))</f>
        <v/>
      </c>
      <c r="E63" s="5" t="str">
        <f>IF($L63="","",COUNTIFS('Base Exámenes'!$C$5:$C$1000,INDEX('Base Exámenes'!$C:$C,$L63),'Base Exámenes'!$D$5:$D$1000,"&lt;="&amp;INDEX('Base Exámenes'!$D:$D,$L63)))</f>
        <v/>
      </c>
      <c r="F63" s="23" t="str">
        <f>IF($L63="","",INDEX('Base Exámenes'!$D:$D,$L63))</f>
        <v/>
      </c>
      <c r="G63" s="23" t="str">
        <f>IF($L63="","",INDEX('Base Exámenes'!$E:$E,$L63))</f>
        <v/>
      </c>
      <c r="H63" s="24" t="str">
        <f>IF($L63="","",INDEX('Base Exámenes'!$F:$F,$L63))</f>
        <v/>
      </c>
      <c r="I63" s="5" t="str">
        <f>IF($L63="","",INDEX('Base Exámenes'!$G:$G,$L63))</f>
        <v/>
      </c>
      <c r="J63" s="5" t="str">
        <f>IF($L63="","",IF($L63-4=MATCH(INDEX('Base Exámenes'!$C:$C,$L63)&amp;"|"&amp;_xlfn.MAXIFS('Base Exámenes'!$G$5:$G$1000,'Base Exámenes'!$C$5:$C$1000,INDEX('Base Exámenes'!$C:$C,$L63)),'Base Exámenes'!$I$5:$I$1000,0),"Sí",""))</f>
        <v/>
      </c>
      <c r="L63" t="str">
        <f>IFERROR(MATCH(SMALL(Cálculos!$AQ$5:$AQ$1000,59),Cálculos!$AQ$5:$AQ$1000,0)+4,"")</f>
        <v/>
      </c>
    </row>
    <row r="64">
      <c r="A64" s="5" t="str">
        <f>IF($L64="","",TRIM(INDEX('Base Exámenes'!$C:$C,$L64)))</f>
        <v/>
      </c>
      <c r="B64" s="5" t="str">
        <f>IF($L64="","",IFERROR(INDEX('Detalle individual'!$B:$B,MATCH($A64,'Detalle individual'!$A:$A,0)),TRIM(INDEX('Base Exámenes'!$A:$A,$L64))))</f>
        <v/>
      </c>
      <c r="C64" s="5" t="str">
        <f>IF($L64="","",IFERROR(INDEX('Detalle individual'!$C:$C,MATCH($A64,'Detalle individual'!$A:$A,0)),TRIM(INDEX('Base Exámenes'!$B:$B,$L64))))</f>
        <v/>
      </c>
      <c r="D64" s="5" t="str">
        <f>IF($L64="","",IFERROR(INDEX('Detalle individual'!$D:$D,MATCH($A64,'Detalle individual'!$A:$A,0)),"(no está en Base Oficial)"))</f>
        <v/>
      </c>
      <c r="E64" s="5" t="str">
        <f>IF($L64="","",COUNTIFS('Base Exámenes'!$C$5:$C$1000,INDEX('Base Exámenes'!$C:$C,$L64),'Base Exámenes'!$D$5:$D$1000,"&lt;="&amp;INDEX('Base Exámenes'!$D:$D,$L64)))</f>
        <v/>
      </c>
      <c r="F64" s="23" t="str">
        <f>IF($L64="","",INDEX('Base Exámenes'!$D:$D,$L64))</f>
        <v/>
      </c>
      <c r="G64" s="23" t="str">
        <f>IF($L64="","",INDEX('Base Exámenes'!$E:$E,$L64))</f>
        <v/>
      </c>
      <c r="H64" s="24" t="str">
        <f>IF($L64="","",INDEX('Base Exámenes'!$F:$F,$L64))</f>
        <v/>
      </c>
      <c r="I64" s="5" t="str">
        <f>IF($L64="","",INDEX('Base Exámenes'!$G:$G,$L64))</f>
        <v/>
      </c>
      <c r="J64" s="5" t="str">
        <f>IF($L64="","",IF($L64-4=MATCH(INDEX('Base Exámenes'!$C:$C,$L64)&amp;"|"&amp;_xlfn.MAXIFS('Base Exámenes'!$G$5:$G$1000,'Base Exámenes'!$C$5:$C$1000,INDEX('Base Exámenes'!$C:$C,$L64)),'Base Exámenes'!$I$5:$I$1000,0),"Sí",""))</f>
        <v/>
      </c>
      <c r="L64" t="str">
        <f>IFERROR(MATCH(SMALL(Cálculos!$AQ$5:$AQ$1000,60),Cálculos!$AQ$5:$AQ$1000,0)+4,"")</f>
        <v/>
      </c>
    </row>
    <row r="65">
      <c r="A65" s="5" t="str">
        <f>IF($L65="","",TRIM(INDEX('Base Exámenes'!$C:$C,$L65)))</f>
        <v/>
      </c>
      <c r="B65" s="5" t="str">
        <f>IF($L65="","",IFERROR(INDEX('Detalle individual'!$B:$B,MATCH($A65,'Detalle individual'!$A:$A,0)),TRIM(INDEX('Base Exámenes'!$A:$A,$L65))))</f>
        <v/>
      </c>
      <c r="C65" s="5" t="str">
        <f>IF($L65="","",IFERROR(INDEX('Detalle individual'!$C:$C,MATCH($A65,'Detalle individual'!$A:$A,0)),TRIM(INDEX('Base Exámenes'!$B:$B,$L65))))</f>
        <v/>
      </c>
      <c r="D65" s="5" t="str">
        <f>IF($L65="","",IFERROR(INDEX('Detalle individual'!$D:$D,MATCH($A65,'Detalle individual'!$A:$A,0)),"(no está en Base Oficial)"))</f>
        <v/>
      </c>
      <c r="E65" s="5" t="str">
        <f>IF($L65="","",COUNTIFS('Base Exámenes'!$C$5:$C$1000,INDEX('Base Exámenes'!$C:$C,$L65),'Base Exámenes'!$D$5:$D$1000,"&lt;="&amp;INDEX('Base Exámenes'!$D:$D,$L65)))</f>
        <v/>
      </c>
      <c r="F65" s="23" t="str">
        <f>IF($L65="","",INDEX('Base Exámenes'!$D:$D,$L65))</f>
        <v/>
      </c>
      <c r="G65" s="23" t="str">
        <f>IF($L65="","",INDEX('Base Exámenes'!$E:$E,$L65))</f>
        <v/>
      </c>
      <c r="H65" s="24" t="str">
        <f>IF($L65="","",INDEX('Base Exámenes'!$F:$F,$L65))</f>
        <v/>
      </c>
      <c r="I65" s="5" t="str">
        <f>IF($L65="","",INDEX('Base Exámenes'!$G:$G,$L65))</f>
        <v/>
      </c>
      <c r="J65" s="5" t="str">
        <f>IF($L65="","",IF($L65-4=MATCH(INDEX('Base Exámenes'!$C:$C,$L65)&amp;"|"&amp;_xlfn.MAXIFS('Base Exámenes'!$G$5:$G$1000,'Base Exámenes'!$C$5:$C$1000,INDEX('Base Exámenes'!$C:$C,$L65)),'Base Exámenes'!$I$5:$I$1000,0),"Sí",""))</f>
        <v/>
      </c>
      <c r="L65" t="str">
        <f>IFERROR(MATCH(SMALL(Cálculos!$AQ$5:$AQ$1000,61),Cálculos!$AQ$5:$AQ$1000,0)+4,"")</f>
        <v/>
      </c>
    </row>
    <row r="66">
      <c r="A66" s="5" t="str">
        <f>IF($L66="","",TRIM(INDEX('Base Exámenes'!$C:$C,$L66)))</f>
        <v/>
      </c>
      <c r="B66" s="5" t="str">
        <f>IF($L66="","",IFERROR(INDEX('Detalle individual'!$B:$B,MATCH($A66,'Detalle individual'!$A:$A,0)),TRIM(INDEX('Base Exámenes'!$A:$A,$L66))))</f>
        <v/>
      </c>
      <c r="C66" s="5" t="str">
        <f>IF($L66="","",IFERROR(INDEX('Detalle individual'!$C:$C,MATCH($A66,'Detalle individual'!$A:$A,0)),TRIM(INDEX('Base Exámenes'!$B:$B,$L66))))</f>
        <v/>
      </c>
      <c r="D66" s="5" t="str">
        <f>IF($L66="","",IFERROR(INDEX('Detalle individual'!$D:$D,MATCH($A66,'Detalle individual'!$A:$A,0)),"(no está en Base Oficial)"))</f>
        <v/>
      </c>
      <c r="E66" s="5" t="str">
        <f>IF($L66="","",COUNTIFS('Base Exámenes'!$C$5:$C$1000,INDEX('Base Exámenes'!$C:$C,$L66),'Base Exámenes'!$D$5:$D$1000,"&lt;="&amp;INDEX('Base Exámenes'!$D:$D,$L66)))</f>
        <v/>
      </c>
      <c r="F66" s="23" t="str">
        <f>IF($L66="","",INDEX('Base Exámenes'!$D:$D,$L66))</f>
        <v/>
      </c>
      <c r="G66" s="23" t="str">
        <f>IF($L66="","",INDEX('Base Exámenes'!$E:$E,$L66))</f>
        <v/>
      </c>
      <c r="H66" s="24" t="str">
        <f>IF($L66="","",INDEX('Base Exámenes'!$F:$F,$L66))</f>
        <v/>
      </c>
      <c r="I66" s="5" t="str">
        <f>IF($L66="","",INDEX('Base Exámenes'!$G:$G,$L66))</f>
        <v/>
      </c>
      <c r="J66" s="5" t="str">
        <f>IF($L66="","",IF($L66-4=MATCH(INDEX('Base Exámenes'!$C:$C,$L66)&amp;"|"&amp;_xlfn.MAXIFS('Base Exámenes'!$G$5:$G$1000,'Base Exámenes'!$C$5:$C$1000,INDEX('Base Exámenes'!$C:$C,$L66)),'Base Exámenes'!$I$5:$I$1000,0),"Sí",""))</f>
        <v/>
      </c>
      <c r="L66" t="str">
        <f>IFERROR(MATCH(SMALL(Cálculos!$AQ$5:$AQ$1000,62),Cálculos!$AQ$5:$AQ$1000,0)+4,"")</f>
        <v/>
      </c>
    </row>
    <row r="67">
      <c r="A67" s="5" t="str">
        <f>IF($L67="","",TRIM(INDEX('Base Exámenes'!$C:$C,$L67)))</f>
        <v/>
      </c>
      <c r="B67" s="5" t="str">
        <f>IF($L67="","",IFERROR(INDEX('Detalle individual'!$B:$B,MATCH($A67,'Detalle individual'!$A:$A,0)),TRIM(INDEX('Base Exámenes'!$A:$A,$L67))))</f>
        <v/>
      </c>
      <c r="C67" s="5" t="str">
        <f>IF($L67="","",IFERROR(INDEX('Detalle individual'!$C:$C,MATCH($A67,'Detalle individual'!$A:$A,0)),TRIM(INDEX('Base Exámenes'!$B:$B,$L67))))</f>
        <v/>
      </c>
      <c r="D67" s="5" t="str">
        <f>IF($L67="","",IFERROR(INDEX('Detalle individual'!$D:$D,MATCH($A67,'Detalle individual'!$A:$A,0)),"(no está en Base Oficial)"))</f>
        <v/>
      </c>
      <c r="E67" s="5" t="str">
        <f>IF($L67="","",COUNTIFS('Base Exámenes'!$C$5:$C$1000,INDEX('Base Exámenes'!$C:$C,$L67),'Base Exámenes'!$D$5:$D$1000,"&lt;="&amp;INDEX('Base Exámenes'!$D:$D,$L67)))</f>
        <v/>
      </c>
      <c r="F67" s="23" t="str">
        <f>IF($L67="","",INDEX('Base Exámenes'!$D:$D,$L67))</f>
        <v/>
      </c>
      <c r="G67" s="23" t="str">
        <f>IF($L67="","",INDEX('Base Exámenes'!$E:$E,$L67))</f>
        <v/>
      </c>
      <c r="H67" s="24" t="str">
        <f>IF($L67="","",INDEX('Base Exámenes'!$F:$F,$L67))</f>
        <v/>
      </c>
      <c r="I67" s="5" t="str">
        <f>IF($L67="","",INDEX('Base Exámenes'!$G:$G,$L67))</f>
        <v/>
      </c>
      <c r="J67" s="5" t="str">
        <f>IF($L67="","",IF($L67-4=MATCH(INDEX('Base Exámenes'!$C:$C,$L67)&amp;"|"&amp;_xlfn.MAXIFS('Base Exámenes'!$G$5:$G$1000,'Base Exámenes'!$C$5:$C$1000,INDEX('Base Exámenes'!$C:$C,$L67)),'Base Exámenes'!$I$5:$I$1000,0),"Sí",""))</f>
        <v/>
      </c>
      <c r="L67" t="str">
        <f>IFERROR(MATCH(SMALL(Cálculos!$AQ$5:$AQ$1000,63),Cálculos!$AQ$5:$AQ$1000,0)+4,"")</f>
        <v/>
      </c>
    </row>
    <row r="68">
      <c r="A68" s="5" t="str">
        <f>IF($L68="","",TRIM(INDEX('Base Exámenes'!$C:$C,$L68)))</f>
        <v/>
      </c>
      <c r="B68" s="5" t="str">
        <f>IF($L68="","",IFERROR(INDEX('Detalle individual'!$B:$B,MATCH($A68,'Detalle individual'!$A:$A,0)),TRIM(INDEX('Base Exámenes'!$A:$A,$L68))))</f>
        <v/>
      </c>
      <c r="C68" s="5" t="str">
        <f>IF($L68="","",IFERROR(INDEX('Detalle individual'!$C:$C,MATCH($A68,'Detalle individual'!$A:$A,0)),TRIM(INDEX('Base Exámenes'!$B:$B,$L68))))</f>
        <v/>
      </c>
      <c r="D68" s="5" t="str">
        <f>IF($L68="","",IFERROR(INDEX('Detalle individual'!$D:$D,MATCH($A68,'Detalle individual'!$A:$A,0)),"(no está en Base Oficial)"))</f>
        <v/>
      </c>
      <c r="E68" s="5" t="str">
        <f>IF($L68="","",COUNTIFS('Base Exámenes'!$C$5:$C$1000,INDEX('Base Exámenes'!$C:$C,$L68),'Base Exámenes'!$D$5:$D$1000,"&lt;="&amp;INDEX('Base Exámenes'!$D:$D,$L68)))</f>
        <v/>
      </c>
      <c r="F68" s="23" t="str">
        <f>IF($L68="","",INDEX('Base Exámenes'!$D:$D,$L68))</f>
        <v/>
      </c>
      <c r="G68" s="23" t="str">
        <f>IF($L68="","",INDEX('Base Exámenes'!$E:$E,$L68))</f>
        <v/>
      </c>
      <c r="H68" s="24" t="str">
        <f>IF($L68="","",INDEX('Base Exámenes'!$F:$F,$L68))</f>
        <v/>
      </c>
      <c r="I68" s="5" t="str">
        <f>IF($L68="","",INDEX('Base Exámenes'!$G:$G,$L68))</f>
        <v/>
      </c>
      <c r="J68" s="5" t="str">
        <f>IF($L68="","",IF($L68-4=MATCH(INDEX('Base Exámenes'!$C:$C,$L68)&amp;"|"&amp;_xlfn.MAXIFS('Base Exámenes'!$G$5:$G$1000,'Base Exámenes'!$C$5:$C$1000,INDEX('Base Exámenes'!$C:$C,$L68)),'Base Exámenes'!$I$5:$I$1000,0),"Sí",""))</f>
        <v/>
      </c>
      <c r="L68" t="str">
        <f>IFERROR(MATCH(SMALL(Cálculos!$AQ$5:$AQ$1000,64),Cálculos!$AQ$5:$AQ$1000,0)+4,"")</f>
        <v/>
      </c>
    </row>
    <row r="69">
      <c r="A69" s="5" t="str">
        <f>IF($L69="","",TRIM(INDEX('Base Exámenes'!$C:$C,$L69)))</f>
        <v/>
      </c>
      <c r="B69" s="5" t="str">
        <f>IF($L69="","",IFERROR(INDEX('Detalle individual'!$B:$B,MATCH($A69,'Detalle individual'!$A:$A,0)),TRIM(INDEX('Base Exámenes'!$A:$A,$L69))))</f>
        <v/>
      </c>
      <c r="C69" s="5" t="str">
        <f>IF($L69="","",IFERROR(INDEX('Detalle individual'!$C:$C,MATCH($A69,'Detalle individual'!$A:$A,0)),TRIM(INDEX('Base Exámenes'!$B:$B,$L69))))</f>
        <v/>
      </c>
      <c r="D69" s="5" t="str">
        <f>IF($L69="","",IFERROR(INDEX('Detalle individual'!$D:$D,MATCH($A69,'Detalle individual'!$A:$A,0)),"(no está en Base Oficial)"))</f>
        <v/>
      </c>
      <c r="E69" s="5" t="str">
        <f>IF($L69="","",COUNTIFS('Base Exámenes'!$C$5:$C$1000,INDEX('Base Exámenes'!$C:$C,$L69),'Base Exámenes'!$D$5:$D$1000,"&lt;="&amp;INDEX('Base Exámenes'!$D:$D,$L69)))</f>
        <v/>
      </c>
      <c r="F69" s="23" t="str">
        <f>IF($L69="","",INDEX('Base Exámenes'!$D:$D,$L69))</f>
        <v/>
      </c>
      <c r="G69" s="23" t="str">
        <f>IF($L69="","",INDEX('Base Exámenes'!$E:$E,$L69))</f>
        <v/>
      </c>
      <c r="H69" s="24" t="str">
        <f>IF($L69="","",INDEX('Base Exámenes'!$F:$F,$L69))</f>
        <v/>
      </c>
      <c r="I69" s="5" t="str">
        <f>IF($L69="","",INDEX('Base Exámenes'!$G:$G,$L69))</f>
        <v/>
      </c>
      <c r="J69" s="5" t="str">
        <f>IF($L69="","",IF($L69-4=MATCH(INDEX('Base Exámenes'!$C:$C,$L69)&amp;"|"&amp;_xlfn.MAXIFS('Base Exámenes'!$G$5:$G$1000,'Base Exámenes'!$C$5:$C$1000,INDEX('Base Exámenes'!$C:$C,$L69)),'Base Exámenes'!$I$5:$I$1000,0),"Sí",""))</f>
        <v/>
      </c>
      <c r="L69" t="str">
        <f>IFERROR(MATCH(SMALL(Cálculos!$AQ$5:$AQ$1000,65),Cálculos!$AQ$5:$AQ$1000,0)+4,"")</f>
        <v/>
      </c>
    </row>
    <row r="70">
      <c r="A70" s="5" t="str">
        <f>IF($L70="","",TRIM(INDEX('Base Exámenes'!$C:$C,$L70)))</f>
        <v/>
      </c>
      <c r="B70" s="5" t="str">
        <f>IF($L70="","",IFERROR(INDEX('Detalle individual'!$B:$B,MATCH($A70,'Detalle individual'!$A:$A,0)),TRIM(INDEX('Base Exámenes'!$A:$A,$L70))))</f>
        <v/>
      </c>
      <c r="C70" s="5" t="str">
        <f>IF($L70="","",IFERROR(INDEX('Detalle individual'!$C:$C,MATCH($A70,'Detalle individual'!$A:$A,0)),TRIM(INDEX('Base Exámenes'!$B:$B,$L70))))</f>
        <v/>
      </c>
      <c r="D70" s="5" t="str">
        <f>IF($L70="","",IFERROR(INDEX('Detalle individual'!$D:$D,MATCH($A70,'Detalle individual'!$A:$A,0)),"(no está en Base Oficial)"))</f>
        <v/>
      </c>
      <c r="E70" s="5" t="str">
        <f>IF($L70="","",COUNTIFS('Base Exámenes'!$C$5:$C$1000,INDEX('Base Exámenes'!$C:$C,$L70),'Base Exámenes'!$D$5:$D$1000,"&lt;="&amp;INDEX('Base Exámenes'!$D:$D,$L70)))</f>
        <v/>
      </c>
      <c r="F70" s="23" t="str">
        <f>IF($L70="","",INDEX('Base Exámenes'!$D:$D,$L70))</f>
        <v/>
      </c>
      <c r="G70" s="23" t="str">
        <f>IF($L70="","",INDEX('Base Exámenes'!$E:$E,$L70))</f>
        <v/>
      </c>
      <c r="H70" s="24" t="str">
        <f>IF($L70="","",INDEX('Base Exámenes'!$F:$F,$L70))</f>
        <v/>
      </c>
      <c r="I70" s="5" t="str">
        <f>IF($L70="","",INDEX('Base Exámenes'!$G:$G,$L70))</f>
        <v/>
      </c>
      <c r="J70" s="5" t="str">
        <f>IF($L70="","",IF($L70-4=MATCH(INDEX('Base Exámenes'!$C:$C,$L70)&amp;"|"&amp;_xlfn.MAXIFS('Base Exámenes'!$G$5:$G$1000,'Base Exámenes'!$C$5:$C$1000,INDEX('Base Exámenes'!$C:$C,$L70)),'Base Exámenes'!$I$5:$I$1000,0),"Sí",""))</f>
        <v/>
      </c>
      <c r="L70" t="str">
        <f>IFERROR(MATCH(SMALL(Cálculos!$AQ$5:$AQ$1000,66),Cálculos!$AQ$5:$AQ$1000,0)+4,"")</f>
        <v/>
      </c>
    </row>
    <row r="71">
      <c r="A71" s="5" t="str">
        <f>IF($L71="","",TRIM(INDEX('Base Exámenes'!$C:$C,$L71)))</f>
        <v/>
      </c>
      <c r="B71" s="5" t="str">
        <f>IF($L71="","",IFERROR(INDEX('Detalle individual'!$B:$B,MATCH($A71,'Detalle individual'!$A:$A,0)),TRIM(INDEX('Base Exámenes'!$A:$A,$L71))))</f>
        <v/>
      </c>
      <c r="C71" s="5" t="str">
        <f>IF($L71="","",IFERROR(INDEX('Detalle individual'!$C:$C,MATCH($A71,'Detalle individual'!$A:$A,0)),TRIM(INDEX('Base Exámenes'!$B:$B,$L71))))</f>
        <v/>
      </c>
      <c r="D71" s="5" t="str">
        <f>IF($L71="","",IFERROR(INDEX('Detalle individual'!$D:$D,MATCH($A71,'Detalle individual'!$A:$A,0)),"(no está en Base Oficial)"))</f>
        <v/>
      </c>
      <c r="E71" s="5" t="str">
        <f>IF($L71="","",COUNTIFS('Base Exámenes'!$C$5:$C$1000,INDEX('Base Exámenes'!$C:$C,$L71),'Base Exámenes'!$D$5:$D$1000,"&lt;="&amp;INDEX('Base Exámenes'!$D:$D,$L71)))</f>
        <v/>
      </c>
      <c r="F71" s="23" t="str">
        <f>IF($L71="","",INDEX('Base Exámenes'!$D:$D,$L71))</f>
        <v/>
      </c>
      <c r="G71" s="23" t="str">
        <f>IF($L71="","",INDEX('Base Exámenes'!$E:$E,$L71))</f>
        <v/>
      </c>
      <c r="H71" s="24" t="str">
        <f>IF($L71="","",INDEX('Base Exámenes'!$F:$F,$L71))</f>
        <v/>
      </c>
      <c r="I71" s="5" t="str">
        <f>IF($L71="","",INDEX('Base Exámenes'!$G:$G,$L71))</f>
        <v/>
      </c>
      <c r="J71" s="5" t="str">
        <f>IF($L71="","",IF($L71-4=MATCH(INDEX('Base Exámenes'!$C:$C,$L71)&amp;"|"&amp;_xlfn.MAXIFS('Base Exámenes'!$G$5:$G$1000,'Base Exámenes'!$C$5:$C$1000,INDEX('Base Exámenes'!$C:$C,$L71)),'Base Exámenes'!$I$5:$I$1000,0),"Sí",""))</f>
        <v/>
      </c>
      <c r="L71" t="str">
        <f>IFERROR(MATCH(SMALL(Cálculos!$AQ$5:$AQ$1000,67),Cálculos!$AQ$5:$AQ$1000,0)+4,"")</f>
        <v/>
      </c>
    </row>
    <row r="72">
      <c r="A72" s="5" t="str">
        <f>IF($L72="","",TRIM(INDEX('Base Exámenes'!$C:$C,$L72)))</f>
        <v/>
      </c>
      <c r="B72" s="5" t="str">
        <f>IF($L72="","",IFERROR(INDEX('Detalle individual'!$B:$B,MATCH($A72,'Detalle individual'!$A:$A,0)),TRIM(INDEX('Base Exámenes'!$A:$A,$L72))))</f>
        <v/>
      </c>
      <c r="C72" s="5" t="str">
        <f>IF($L72="","",IFERROR(INDEX('Detalle individual'!$C:$C,MATCH($A72,'Detalle individual'!$A:$A,0)),TRIM(INDEX('Base Exámenes'!$B:$B,$L72))))</f>
        <v/>
      </c>
      <c r="D72" s="5" t="str">
        <f>IF($L72="","",IFERROR(INDEX('Detalle individual'!$D:$D,MATCH($A72,'Detalle individual'!$A:$A,0)),"(no está en Base Oficial)"))</f>
        <v/>
      </c>
      <c r="E72" s="5" t="str">
        <f>IF($L72="","",COUNTIFS('Base Exámenes'!$C$5:$C$1000,INDEX('Base Exámenes'!$C:$C,$L72),'Base Exámenes'!$D$5:$D$1000,"&lt;="&amp;INDEX('Base Exámenes'!$D:$D,$L72)))</f>
        <v/>
      </c>
      <c r="F72" s="23" t="str">
        <f>IF($L72="","",INDEX('Base Exámenes'!$D:$D,$L72))</f>
        <v/>
      </c>
      <c r="G72" s="23" t="str">
        <f>IF($L72="","",INDEX('Base Exámenes'!$E:$E,$L72))</f>
        <v/>
      </c>
      <c r="H72" s="24" t="str">
        <f>IF($L72="","",INDEX('Base Exámenes'!$F:$F,$L72))</f>
        <v/>
      </c>
      <c r="I72" s="5" t="str">
        <f>IF($L72="","",INDEX('Base Exámenes'!$G:$G,$L72))</f>
        <v/>
      </c>
      <c r="J72" s="5" t="str">
        <f>IF($L72="","",IF($L72-4=MATCH(INDEX('Base Exámenes'!$C:$C,$L72)&amp;"|"&amp;_xlfn.MAXIFS('Base Exámenes'!$G$5:$G$1000,'Base Exámenes'!$C$5:$C$1000,INDEX('Base Exámenes'!$C:$C,$L72)),'Base Exámenes'!$I$5:$I$1000,0),"Sí",""))</f>
        <v/>
      </c>
      <c r="L72" t="str">
        <f>IFERROR(MATCH(SMALL(Cálculos!$AQ$5:$AQ$1000,68),Cálculos!$AQ$5:$AQ$1000,0)+4,"")</f>
        <v/>
      </c>
    </row>
    <row r="73">
      <c r="A73" s="5" t="str">
        <f>IF($L73="","",TRIM(INDEX('Base Exámenes'!$C:$C,$L73)))</f>
        <v/>
      </c>
      <c r="B73" s="5" t="str">
        <f>IF($L73="","",IFERROR(INDEX('Detalle individual'!$B:$B,MATCH($A73,'Detalle individual'!$A:$A,0)),TRIM(INDEX('Base Exámenes'!$A:$A,$L73))))</f>
        <v/>
      </c>
      <c r="C73" s="5" t="str">
        <f>IF($L73="","",IFERROR(INDEX('Detalle individual'!$C:$C,MATCH($A73,'Detalle individual'!$A:$A,0)),TRIM(INDEX('Base Exámenes'!$B:$B,$L73))))</f>
        <v/>
      </c>
      <c r="D73" s="5" t="str">
        <f>IF($L73="","",IFERROR(INDEX('Detalle individual'!$D:$D,MATCH($A73,'Detalle individual'!$A:$A,0)),"(no está en Base Oficial)"))</f>
        <v/>
      </c>
      <c r="E73" s="5" t="str">
        <f>IF($L73="","",COUNTIFS('Base Exámenes'!$C$5:$C$1000,INDEX('Base Exámenes'!$C:$C,$L73),'Base Exámenes'!$D$5:$D$1000,"&lt;="&amp;INDEX('Base Exámenes'!$D:$D,$L73)))</f>
        <v/>
      </c>
      <c r="F73" s="23" t="str">
        <f>IF($L73="","",INDEX('Base Exámenes'!$D:$D,$L73))</f>
        <v/>
      </c>
      <c r="G73" s="23" t="str">
        <f>IF($L73="","",INDEX('Base Exámenes'!$E:$E,$L73))</f>
        <v/>
      </c>
      <c r="H73" s="24" t="str">
        <f>IF($L73="","",INDEX('Base Exámenes'!$F:$F,$L73))</f>
        <v/>
      </c>
      <c r="I73" s="5" t="str">
        <f>IF($L73="","",INDEX('Base Exámenes'!$G:$G,$L73))</f>
        <v/>
      </c>
      <c r="J73" s="5" t="str">
        <f>IF($L73="","",IF($L73-4=MATCH(INDEX('Base Exámenes'!$C:$C,$L73)&amp;"|"&amp;_xlfn.MAXIFS('Base Exámenes'!$G$5:$G$1000,'Base Exámenes'!$C$5:$C$1000,INDEX('Base Exámenes'!$C:$C,$L73)),'Base Exámenes'!$I$5:$I$1000,0),"Sí",""))</f>
        <v/>
      </c>
      <c r="L73" t="str">
        <f>IFERROR(MATCH(SMALL(Cálculos!$AQ$5:$AQ$1000,69),Cálculos!$AQ$5:$AQ$1000,0)+4,"")</f>
        <v/>
      </c>
    </row>
    <row r="74">
      <c r="A74" s="5" t="str">
        <f>IF($L74="","",TRIM(INDEX('Base Exámenes'!$C:$C,$L74)))</f>
        <v/>
      </c>
      <c r="B74" s="5" t="str">
        <f>IF($L74="","",IFERROR(INDEX('Detalle individual'!$B:$B,MATCH($A74,'Detalle individual'!$A:$A,0)),TRIM(INDEX('Base Exámenes'!$A:$A,$L74))))</f>
        <v/>
      </c>
      <c r="C74" s="5" t="str">
        <f>IF($L74="","",IFERROR(INDEX('Detalle individual'!$C:$C,MATCH($A74,'Detalle individual'!$A:$A,0)),TRIM(INDEX('Base Exámenes'!$B:$B,$L74))))</f>
        <v/>
      </c>
      <c r="D74" s="5" t="str">
        <f>IF($L74="","",IFERROR(INDEX('Detalle individual'!$D:$D,MATCH($A74,'Detalle individual'!$A:$A,0)),"(no está en Base Oficial)"))</f>
        <v/>
      </c>
      <c r="E74" s="5" t="str">
        <f>IF($L74="","",COUNTIFS('Base Exámenes'!$C$5:$C$1000,INDEX('Base Exámenes'!$C:$C,$L74),'Base Exámenes'!$D$5:$D$1000,"&lt;="&amp;INDEX('Base Exámenes'!$D:$D,$L74)))</f>
        <v/>
      </c>
      <c r="F74" s="23" t="str">
        <f>IF($L74="","",INDEX('Base Exámenes'!$D:$D,$L74))</f>
        <v/>
      </c>
      <c r="G74" s="23" t="str">
        <f>IF($L74="","",INDEX('Base Exámenes'!$E:$E,$L74))</f>
        <v/>
      </c>
      <c r="H74" s="24" t="str">
        <f>IF($L74="","",INDEX('Base Exámenes'!$F:$F,$L74))</f>
        <v/>
      </c>
      <c r="I74" s="5" t="str">
        <f>IF($L74="","",INDEX('Base Exámenes'!$G:$G,$L74))</f>
        <v/>
      </c>
      <c r="J74" s="5" t="str">
        <f>IF($L74="","",IF($L74-4=MATCH(INDEX('Base Exámenes'!$C:$C,$L74)&amp;"|"&amp;_xlfn.MAXIFS('Base Exámenes'!$G$5:$G$1000,'Base Exámenes'!$C$5:$C$1000,INDEX('Base Exámenes'!$C:$C,$L74)),'Base Exámenes'!$I$5:$I$1000,0),"Sí",""))</f>
        <v/>
      </c>
      <c r="L74" t="str">
        <f>IFERROR(MATCH(SMALL(Cálculos!$AQ$5:$AQ$1000,70),Cálculos!$AQ$5:$AQ$1000,0)+4,"")</f>
        <v/>
      </c>
    </row>
    <row r="75">
      <c r="A75" s="5" t="str">
        <f>IF($L75="","",TRIM(INDEX('Base Exámenes'!$C:$C,$L75)))</f>
        <v/>
      </c>
      <c r="B75" s="5" t="str">
        <f>IF($L75="","",IFERROR(INDEX('Detalle individual'!$B:$B,MATCH($A75,'Detalle individual'!$A:$A,0)),TRIM(INDEX('Base Exámenes'!$A:$A,$L75))))</f>
        <v/>
      </c>
      <c r="C75" s="5" t="str">
        <f>IF($L75="","",IFERROR(INDEX('Detalle individual'!$C:$C,MATCH($A75,'Detalle individual'!$A:$A,0)),TRIM(INDEX('Base Exámenes'!$B:$B,$L75))))</f>
        <v/>
      </c>
      <c r="D75" s="5" t="str">
        <f>IF($L75="","",IFERROR(INDEX('Detalle individual'!$D:$D,MATCH($A75,'Detalle individual'!$A:$A,0)),"(no está en Base Oficial)"))</f>
        <v/>
      </c>
      <c r="E75" s="5" t="str">
        <f>IF($L75="","",COUNTIFS('Base Exámenes'!$C$5:$C$1000,INDEX('Base Exámenes'!$C:$C,$L75),'Base Exámenes'!$D$5:$D$1000,"&lt;="&amp;INDEX('Base Exámenes'!$D:$D,$L75)))</f>
        <v/>
      </c>
      <c r="F75" s="23" t="str">
        <f>IF($L75="","",INDEX('Base Exámenes'!$D:$D,$L75))</f>
        <v/>
      </c>
      <c r="G75" s="23" t="str">
        <f>IF($L75="","",INDEX('Base Exámenes'!$E:$E,$L75))</f>
        <v/>
      </c>
      <c r="H75" s="24" t="str">
        <f>IF($L75="","",INDEX('Base Exámenes'!$F:$F,$L75))</f>
        <v/>
      </c>
      <c r="I75" s="5" t="str">
        <f>IF($L75="","",INDEX('Base Exámenes'!$G:$G,$L75))</f>
        <v/>
      </c>
      <c r="J75" s="5" t="str">
        <f>IF($L75="","",IF($L75-4=MATCH(INDEX('Base Exámenes'!$C:$C,$L75)&amp;"|"&amp;_xlfn.MAXIFS('Base Exámenes'!$G$5:$G$1000,'Base Exámenes'!$C$5:$C$1000,INDEX('Base Exámenes'!$C:$C,$L75)),'Base Exámenes'!$I$5:$I$1000,0),"Sí",""))</f>
        <v/>
      </c>
      <c r="L75" t="str">
        <f>IFERROR(MATCH(SMALL(Cálculos!$AQ$5:$AQ$1000,71),Cálculos!$AQ$5:$AQ$1000,0)+4,"")</f>
        <v/>
      </c>
    </row>
    <row r="76">
      <c r="A76" s="5" t="str">
        <f>IF($L76="","",TRIM(INDEX('Base Exámenes'!$C:$C,$L76)))</f>
        <v/>
      </c>
      <c r="B76" s="5" t="str">
        <f>IF($L76="","",IFERROR(INDEX('Detalle individual'!$B:$B,MATCH($A76,'Detalle individual'!$A:$A,0)),TRIM(INDEX('Base Exámenes'!$A:$A,$L76))))</f>
        <v/>
      </c>
      <c r="C76" s="5" t="str">
        <f>IF($L76="","",IFERROR(INDEX('Detalle individual'!$C:$C,MATCH($A76,'Detalle individual'!$A:$A,0)),TRIM(INDEX('Base Exámenes'!$B:$B,$L76))))</f>
        <v/>
      </c>
      <c r="D76" s="5" t="str">
        <f>IF($L76="","",IFERROR(INDEX('Detalle individual'!$D:$D,MATCH($A76,'Detalle individual'!$A:$A,0)),"(no está en Base Oficial)"))</f>
        <v/>
      </c>
      <c r="E76" s="5" t="str">
        <f>IF($L76="","",COUNTIFS('Base Exámenes'!$C$5:$C$1000,INDEX('Base Exámenes'!$C:$C,$L76),'Base Exámenes'!$D$5:$D$1000,"&lt;="&amp;INDEX('Base Exámenes'!$D:$D,$L76)))</f>
        <v/>
      </c>
      <c r="F76" s="23" t="str">
        <f>IF($L76="","",INDEX('Base Exámenes'!$D:$D,$L76))</f>
        <v/>
      </c>
      <c r="G76" s="23" t="str">
        <f>IF($L76="","",INDEX('Base Exámenes'!$E:$E,$L76))</f>
        <v/>
      </c>
      <c r="H76" s="24" t="str">
        <f>IF($L76="","",INDEX('Base Exámenes'!$F:$F,$L76))</f>
        <v/>
      </c>
      <c r="I76" s="5" t="str">
        <f>IF($L76="","",INDEX('Base Exámenes'!$G:$G,$L76))</f>
        <v/>
      </c>
      <c r="J76" s="5" t="str">
        <f>IF($L76="","",IF($L76-4=MATCH(INDEX('Base Exámenes'!$C:$C,$L76)&amp;"|"&amp;_xlfn.MAXIFS('Base Exámenes'!$G$5:$G$1000,'Base Exámenes'!$C$5:$C$1000,INDEX('Base Exámenes'!$C:$C,$L76)),'Base Exámenes'!$I$5:$I$1000,0),"Sí",""))</f>
        <v/>
      </c>
      <c r="L76" t="str">
        <f>IFERROR(MATCH(SMALL(Cálculos!$AQ$5:$AQ$1000,72),Cálculos!$AQ$5:$AQ$1000,0)+4,"")</f>
        <v/>
      </c>
    </row>
    <row r="77">
      <c r="A77" s="5" t="str">
        <f>IF($L77="","",TRIM(INDEX('Base Exámenes'!$C:$C,$L77)))</f>
        <v/>
      </c>
      <c r="B77" s="5" t="str">
        <f>IF($L77="","",IFERROR(INDEX('Detalle individual'!$B:$B,MATCH($A77,'Detalle individual'!$A:$A,0)),TRIM(INDEX('Base Exámenes'!$A:$A,$L77))))</f>
        <v/>
      </c>
      <c r="C77" s="5" t="str">
        <f>IF($L77="","",IFERROR(INDEX('Detalle individual'!$C:$C,MATCH($A77,'Detalle individual'!$A:$A,0)),TRIM(INDEX('Base Exámenes'!$B:$B,$L77))))</f>
        <v/>
      </c>
      <c r="D77" s="5" t="str">
        <f>IF($L77="","",IFERROR(INDEX('Detalle individual'!$D:$D,MATCH($A77,'Detalle individual'!$A:$A,0)),"(no está en Base Oficial)"))</f>
        <v/>
      </c>
      <c r="E77" s="5" t="str">
        <f>IF($L77="","",COUNTIFS('Base Exámenes'!$C$5:$C$1000,INDEX('Base Exámenes'!$C:$C,$L77),'Base Exámenes'!$D$5:$D$1000,"&lt;="&amp;INDEX('Base Exámenes'!$D:$D,$L77)))</f>
        <v/>
      </c>
      <c r="F77" s="23" t="str">
        <f>IF($L77="","",INDEX('Base Exámenes'!$D:$D,$L77))</f>
        <v/>
      </c>
      <c r="G77" s="23" t="str">
        <f>IF($L77="","",INDEX('Base Exámenes'!$E:$E,$L77))</f>
        <v/>
      </c>
      <c r="H77" s="24" t="str">
        <f>IF($L77="","",INDEX('Base Exámenes'!$F:$F,$L77))</f>
        <v/>
      </c>
      <c r="I77" s="5" t="str">
        <f>IF($L77="","",INDEX('Base Exámenes'!$G:$G,$L77))</f>
        <v/>
      </c>
      <c r="J77" s="5" t="str">
        <f>IF($L77="","",IF($L77-4=MATCH(INDEX('Base Exámenes'!$C:$C,$L77)&amp;"|"&amp;_xlfn.MAXIFS('Base Exámenes'!$G$5:$G$1000,'Base Exámenes'!$C$5:$C$1000,INDEX('Base Exámenes'!$C:$C,$L77)),'Base Exámenes'!$I$5:$I$1000,0),"Sí",""))</f>
        <v/>
      </c>
      <c r="L77" t="str">
        <f>IFERROR(MATCH(SMALL(Cálculos!$AQ$5:$AQ$1000,73),Cálculos!$AQ$5:$AQ$1000,0)+4,"")</f>
        <v/>
      </c>
    </row>
    <row r="78">
      <c r="A78" s="5" t="str">
        <f>IF($L78="","",TRIM(INDEX('Base Exámenes'!$C:$C,$L78)))</f>
        <v/>
      </c>
      <c r="B78" s="5" t="str">
        <f>IF($L78="","",IFERROR(INDEX('Detalle individual'!$B:$B,MATCH($A78,'Detalle individual'!$A:$A,0)),TRIM(INDEX('Base Exámenes'!$A:$A,$L78))))</f>
        <v/>
      </c>
      <c r="C78" s="5" t="str">
        <f>IF($L78="","",IFERROR(INDEX('Detalle individual'!$C:$C,MATCH($A78,'Detalle individual'!$A:$A,0)),TRIM(INDEX('Base Exámenes'!$B:$B,$L78))))</f>
        <v/>
      </c>
      <c r="D78" s="5" t="str">
        <f>IF($L78="","",IFERROR(INDEX('Detalle individual'!$D:$D,MATCH($A78,'Detalle individual'!$A:$A,0)),"(no está en Base Oficial)"))</f>
        <v/>
      </c>
      <c r="E78" s="5" t="str">
        <f>IF($L78="","",COUNTIFS('Base Exámenes'!$C$5:$C$1000,INDEX('Base Exámenes'!$C:$C,$L78),'Base Exámenes'!$D$5:$D$1000,"&lt;="&amp;INDEX('Base Exámenes'!$D:$D,$L78)))</f>
        <v/>
      </c>
      <c r="F78" s="23" t="str">
        <f>IF($L78="","",INDEX('Base Exámenes'!$D:$D,$L78))</f>
        <v/>
      </c>
      <c r="G78" s="23" t="str">
        <f>IF($L78="","",INDEX('Base Exámenes'!$E:$E,$L78))</f>
        <v/>
      </c>
      <c r="H78" s="24" t="str">
        <f>IF($L78="","",INDEX('Base Exámenes'!$F:$F,$L78))</f>
        <v/>
      </c>
      <c r="I78" s="5" t="str">
        <f>IF($L78="","",INDEX('Base Exámenes'!$G:$G,$L78))</f>
        <v/>
      </c>
      <c r="J78" s="5" t="str">
        <f>IF($L78="","",IF($L78-4=MATCH(INDEX('Base Exámenes'!$C:$C,$L78)&amp;"|"&amp;_xlfn.MAXIFS('Base Exámenes'!$G$5:$G$1000,'Base Exámenes'!$C$5:$C$1000,INDEX('Base Exámenes'!$C:$C,$L78)),'Base Exámenes'!$I$5:$I$1000,0),"Sí",""))</f>
        <v/>
      </c>
      <c r="L78" t="str">
        <f>IFERROR(MATCH(SMALL(Cálculos!$AQ$5:$AQ$1000,74),Cálculos!$AQ$5:$AQ$1000,0)+4,"")</f>
        <v/>
      </c>
    </row>
    <row r="79">
      <c r="A79" s="5" t="str">
        <f>IF($L79="","",TRIM(INDEX('Base Exámenes'!$C:$C,$L79)))</f>
        <v/>
      </c>
      <c r="B79" s="5" t="str">
        <f>IF($L79="","",IFERROR(INDEX('Detalle individual'!$B:$B,MATCH($A79,'Detalle individual'!$A:$A,0)),TRIM(INDEX('Base Exámenes'!$A:$A,$L79))))</f>
        <v/>
      </c>
      <c r="C79" s="5" t="str">
        <f>IF($L79="","",IFERROR(INDEX('Detalle individual'!$C:$C,MATCH($A79,'Detalle individual'!$A:$A,0)),TRIM(INDEX('Base Exámenes'!$B:$B,$L79))))</f>
        <v/>
      </c>
      <c r="D79" s="5" t="str">
        <f>IF($L79="","",IFERROR(INDEX('Detalle individual'!$D:$D,MATCH($A79,'Detalle individual'!$A:$A,0)),"(no está en Base Oficial)"))</f>
        <v/>
      </c>
      <c r="E79" s="5" t="str">
        <f>IF($L79="","",COUNTIFS('Base Exámenes'!$C$5:$C$1000,INDEX('Base Exámenes'!$C:$C,$L79),'Base Exámenes'!$D$5:$D$1000,"&lt;="&amp;INDEX('Base Exámenes'!$D:$D,$L79)))</f>
        <v/>
      </c>
      <c r="F79" s="23" t="str">
        <f>IF($L79="","",INDEX('Base Exámenes'!$D:$D,$L79))</f>
        <v/>
      </c>
      <c r="G79" s="23" t="str">
        <f>IF($L79="","",INDEX('Base Exámenes'!$E:$E,$L79))</f>
        <v/>
      </c>
      <c r="H79" s="24" t="str">
        <f>IF($L79="","",INDEX('Base Exámenes'!$F:$F,$L79))</f>
        <v/>
      </c>
      <c r="I79" s="5" t="str">
        <f>IF($L79="","",INDEX('Base Exámenes'!$G:$G,$L79))</f>
        <v/>
      </c>
      <c r="J79" s="5" t="str">
        <f>IF($L79="","",IF($L79-4=MATCH(INDEX('Base Exámenes'!$C:$C,$L79)&amp;"|"&amp;_xlfn.MAXIFS('Base Exámenes'!$G$5:$G$1000,'Base Exámenes'!$C$5:$C$1000,INDEX('Base Exámenes'!$C:$C,$L79)),'Base Exámenes'!$I$5:$I$1000,0),"Sí",""))</f>
        <v/>
      </c>
      <c r="L79" t="str">
        <f>IFERROR(MATCH(SMALL(Cálculos!$AQ$5:$AQ$1000,75),Cálculos!$AQ$5:$AQ$1000,0)+4,"")</f>
        <v/>
      </c>
    </row>
    <row r="80">
      <c r="A80" s="5" t="str">
        <f>IF($L80="","",TRIM(INDEX('Base Exámenes'!$C:$C,$L80)))</f>
        <v/>
      </c>
      <c r="B80" s="5" t="str">
        <f>IF($L80="","",IFERROR(INDEX('Detalle individual'!$B:$B,MATCH($A80,'Detalle individual'!$A:$A,0)),TRIM(INDEX('Base Exámenes'!$A:$A,$L80))))</f>
        <v/>
      </c>
      <c r="C80" s="5" t="str">
        <f>IF($L80="","",IFERROR(INDEX('Detalle individual'!$C:$C,MATCH($A80,'Detalle individual'!$A:$A,0)),TRIM(INDEX('Base Exámenes'!$B:$B,$L80))))</f>
        <v/>
      </c>
      <c r="D80" s="5" t="str">
        <f>IF($L80="","",IFERROR(INDEX('Detalle individual'!$D:$D,MATCH($A80,'Detalle individual'!$A:$A,0)),"(no está en Base Oficial)"))</f>
        <v/>
      </c>
      <c r="E80" s="5" t="str">
        <f>IF($L80="","",COUNTIFS('Base Exámenes'!$C$5:$C$1000,INDEX('Base Exámenes'!$C:$C,$L80),'Base Exámenes'!$D$5:$D$1000,"&lt;="&amp;INDEX('Base Exámenes'!$D:$D,$L80)))</f>
        <v/>
      </c>
      <c r="F80" s="23" t="str">
        <f>IF($L80="","",INDEX('Base Exámenes'!$D:$D,$L80))</f>
        <v/>
      </c>
      <c r="G80" s="23" t="str">
        <f>IF($L80="","",INDEX('Base Exámenes'!$E:$E,$L80))</f>
        <v/>
      </c>
      <c r="H80" s="24" t="str">
        <f>IF($L80="","",INDEX('Base Exámenes'!$F:$F,$L80))</f>
        <v/>
      </c>
      <c r="I80" s="5" t="str">
        <f>IF($L80="","",INDEX('Base Exámenes'!$G:$G,$L80))</f>
        <v/>
      </c>
      <c r="J80" s="5" t="str">
        <f>IF($L80="","",IF($L80-4=MATCH(INDEX('Base Exámenes'!$C:$C,$L80)&amp;"|"&amp;_xlfn.MAXIFS('Base Exámenes'!$G$5:$G$1000,'Base Exámenes'!$C$5:$C$1000,INDEX('Base Exámenes'!$C:$C,$L80)),'Base Exámenes'!$I$5:$I$1000,0),"Sí",""))</f>
        <v/>
      </c>
      <c r="L80" t="str">
        <f>IFERROR(MATCH(SMALL(Cálculos!$AQ$5:$AQ$1000,76),Cálculos!$AQ$5:$AQ$1000,0)+4,"")</f>
        <v/>
      </c>
    </row>
    <row r="81">
      <c r="A81" s="5" t="str">
        <f>IF($L81="","",TRIM(INDEX('Base Exámenes'!$C:$C,$L81)))</f>
        <v/>
      </c>
      <c r="B81" s="5" t="str">
        <f>IF($L81="","",IFERROR(INDEX('Detalle individual'!$B:$B,MATCH($A81,'Detalle individual'!$A:$A,0)),TRIM(INDEX('Base Exámenes'!$A:$A,$L81))))</f>
        <v/>
      </c>
      <c r="C81" s="5" t="str">
        <f>IF($L81="","",IFERROR(INDEX('Detalle individual'!$C:$C,MATCH($A81,'Detalle individual'!$A:$A,0)),TRIM(INDEX('Base Exámenes'!$B:$B,$L81))))</f>
        <v/>
      </c>
      <c r="D81" s="5" t="str">
        <f>IF($L81="","",IFERROR(INDEX('Detalle individual'!$D:$D,MATCH($A81,'Detalle individual'!$A:$A,0)),"(no está en Base Oficial)"))</f>
        <v/>
      </c>
      <c r="E81" s="5" t="str">
        <f>IF($L81="","",COUNTIFS('Base Exámenes'!$C$5:$C$1000,INDEX('Base Exámenes'!$C:$C,$L81),'Base Exámenes'!$D$5:$D$1000,"&lt;="&amp;INDEX('Base Exámenes'!$D:$D,$L81)))</f>
        <v/>
      </c>
      <c r="F81" s="23" t="str">
        <f>IF($L81="","",INDEX('Base Exámenes'!$D:$D,$L81))</f>
        <v/>
      </c>
      <c r="G81" s="23" t="str">
        <f>IF($L81="","",INDEX('Base Exámenes'!$E:$E,$L81))</f>
        <v/>
      </c>
      <c r="H81" s="24" t="str">
        <f>IF($L81="","",INDEX('Base Exámenes'!$F:$F,$L81))</f>
        <v/>
      </c>
      <c r="I81" s="5" t="str">
        <f>IF($L81="","",INDEX('Base Exámenes'!$G:$G,$L81))</f>
        <v/>
      </c>
      <c r="J81" s="5" t="str">
        <f>IF($L81="","",IF($L81-4=MATCH(INDEX('Base Exámenes'!$C:$C,$L81)&amp;"|"&amp;_xlfn.MAXIFS('Base Exámenes'!$G$5:$G$1000,'Base Exámenes'!$C$5:$C$1000,INDEX('Base Exámenes'!$C:$C,$L81)),'Base Exámenes'!$I$5:$I$1000,0),"Sí",""))</f>
        <v/>
      </c>
      <c r="L81" t="str">
        <f>IFERROR(MATCH(SMALL(Cálculos!$AQ$5:$AQ$1000,77),Cálculos!$AQ$5:$AQ$1000,0)+4,"")</f>
        <v/>
      </c>
    </row>
    <row r="82">
      <c r="A82" s="5" t="str">
        <f>IF($L82="","",TRIM(INDEX('Base Exámenes'!$C:$C,$L82)))</f>
        <v/>
      </c>
      <c r="B82" s="5" t="str">
        <f>IF($L82="","",IFERROR(INDEX('Detalle individual'!$B:$B,MATCH($A82,'Detalle individual'!$A:$A,0)),TRIM(INDEX('Base Exámenes'!$A:$A,$L82))))</f>
        <v/>
      </c>
      <c r="C82" s="5" t="str">
        <f>IF($L82="","",IFERROR(INDEX('Detalle individual'!$C:$C,MATCH($A82,'Detalle individual'!$A:$A,0)),TRIM(INDEX('Base Exámenes'!$B:$B,$L82))))</f>
        <v/>
      </c>
      <c r="D82" s="5" t="str">
        <f>IF($L82="","",IFERROR(INDEX('Detalle individual'!$D:$D,MATCH($A82,'Detalle individual'!$A:$A,0)),"(no está en Base Oficial)"))</f>
        <v/>
      </c>
      <c r="E82" s="5" t="str">
        <f>IF($L82="","",COUNTIFS('Base Exámenes'!$C$5:$C$1000,INDEX('Base Exámenes'!$C:$C,$L82),'Base Exámenes'!$D$5:$D$1000,"&lt;="&amp;INDEX('Base Exámenes'!$D:$D,$L82)))</f>
        <v/>
      </c>
      <c r="F82" s="23" t="str">
        <f>IF($L82="","",INDEX('Base Exámenes'!$D:$D,$L82))</f>
        <v/>
      </c>
      <c r="G82" s="23" t="str">
        <f>IF($L82="","",INDEX('Base Exámenes'!$E:$E,$L82))</f>
        <v/>
      </c>
      <c r="H82" s="24" t="str">
        <f>IF($L82="","",INDEX('Base Exámenes'!$F:$F,$L82))</f>
        <v/>
      </c>
      <c r="I82" s="5" t="str">
        <f>IF($L82="","",INDEX('Base Exámenes'!$G:$G,$L82))</f>
        <v/>
      </c>
      <c r="J82" s="5" t="str">
        <f>IF($L82="","",IF($L82-4=MATCH(INDEX('Base Exámenes'!$C:$C,$L82)&amp;"|"&amp;_xlfn.MAXIFS('Base Exámenes'!$G$5:$G$1000,'Base Exámenes'!$C$5:$C$1000,INDEX('Base Exámenes'!$C:$C,$L82)),'Base Exámenes'!$I$5:$I$1000,0),"Sí",""))</f>
        <v/>
      </c>
      <c r="L82" t="str">
        <f>IFERROR(MATCH(SMALL(Cálculos!$AQ$5:$AQ$1000,78),Cálculos!$AQ$5:$AQ$1000,0)+4,"")</f>
        <v/>
      </c>
    </row>
    <row r="83">
      <c r="A83" s="5" t="str">
        <f>IF($L83="","",TRIM(INDEX('Base Exámenes'!$C:$C,$L83)))</f>
        <v/>
      </c>
      <c r="B83" s="5" t="str">
        <f>IF($L83="","",IFERROR(INDEX('Detalle individual'!$B:$B,MATCH($A83,'Detalle individual'!$A:$A,0)),TRIM(INDEX('Base Exámenes'!$A:$A,$L83))))</f>
        <v/>
      </c>
      <c r="C83" s="5" t="str">
        <f>IF($L83="","",IFERROR(INDEX('Detalle individual'!$C:$C,MATCH($A83,'Detalle individual'!$A:$A,0)),TRIM(INDEX('Base Exámenes'!$B:$B,$L83))))</f>
        <v/>
      </c>
      <c r="D83" s="5" t="str">
        <f>IF($L83="","",IFERROR(INDEX('Detalle individual'!$D:$D,MATCH($A83,'Detalle individual'!$A:$A,0)),"(no está en Base Oficial)"))</f>
        <v/>
      </c>
      <c r="E83" s="5" t="str">
        <f>IF($L83="","",COUNTIFS('Base Exámenes'!$C$5:$C$1000,INDEX('Base Exámenes'!$C:$C,$L83),'Base Exámenes'!$D$5:$D$1000,"&lt;="&amp;INDEX('Base Exámenes'!$D:$D,$L83)))</f>
        <v/>
      </c>
      <c r="F83" s="23" t="str">
        <f>IF($L83="","",INDEX('Base Exámenes'!$D:$D,$L83))</f>
        <v/>
      </c>
      <c r="G83" s="23" t="str">
        <f>IF($L83="","",INDEX('Base Exámenes'!$E:$E,$L83))</f>
        <v/>
      </c>
      <c r="H83" s="24" t="str">
        <f>IF($L83="","",INDEX('Base Exámenes'!$F:$F,$L83))</f>
        <v/>
      </c>
      <c r="I83" s="5" t="str">
        <f>IF($L83="","",INDEX('Base Exámenes'!$G:$G,$L83))</f>
        <v/>
      </c>
      <c r="J83" s="5" t="str">
        <f>IF($L83="","",IF($L83-4=MATCH(INDEX('Base Exámenes'!$C:$C,$L83)&amp;"|"&amp;_xlfn.MAXIFS('Base Exámenes'!$G$5:$G$1000,'Base Exámenes'!$C$5:$C$1000,INDEX('Base Exámenes'!$C:$C,$L83)),'Base Exámenes'!$I$5:$I$1000,0),"Sí",""))</f>
        <v/>
      </c>
      <c r="L83" t="str">
        <f>IFERROR(MATCH(SMALL(Cálculos!$AQ$5:$AQ$1000,79),Cálculos!$AQ$5:$AQ$1000,0)+4,"")</f>
        <v/>
      </c>
    </row>
    <row r="84">
      <c r="A84" s="5" t="str">
        <f>IF($L84="","",TRIM(INDEX('Base Exámenes'!$C:$C,$L84)))</f>
        <v/>
      </c>
      <c r="B84" s="5" t="str">
        <f>IF($L84="","",IFERROR(INDEX('Detalle individual'!$B:$B,MATCH($A84,'Detalle individual'!$A:$A,0)),TRIM(INDEX('Base Exámenes'!$A:$A,$L84))))</f>
        <v/>
      </c>
      <c r="C84" s="5" t="str">
        <f>IF($L84="","",IFERROR(INDEX('Detalle individual'!$C:$C,MATCH($A84,'Detalle individual'!$A:$A,0)),TRIM(INDEX('Base Exámenes'!$B:$B,$L84))))</f>
        <v/>
      </c>
      <c r="D84" s="5" t="str">
        <f>IF($L84="","",IFERROR(INDEX('Detalle individual'!$D:$D,MATCH($A84,'Detalle individual'!$A:$A,0)),"(no está en Base Oficial)"))</f>
        <v/>
      </c>
      <c r="E84" s="5" t="str">
        <f>IF($L84="","",COUNTIFS('Base Exámenes'!$C$5:$C$1000,INDEX('Base Exámenes'!$C:$C,$L84),'Base Exámenes'!$D$5:$D$1000,"&lt;="&amp;INDEX('Base Exámenes'!$D:$D,$L84)))</f>
        <v/>
      </c>
      <c r="F84" s="23" t="str">
        <f>IF($L84="","",INDEX('Base Exámenes'!$D:$D,$L84))</f>
        <v/>
      </c>
      <c r="G84" s="23" t="str">
        <f>IF($L84="","",INDEX('Base Exámenes'!$E:$E,$L84))</f>
        <v/>
      </c>
      <c r="H84" s="24" t="str">
        <f>IF($L84="","",INDEX('Base Exámenes'!$F:$F,$L84))</f>
        <v/>
      </c>
      <c r="I84" s="5" t="str">
        <f>IF($L84="","",INDEX('Base Exámenes'!$G:$G,$L84))</f>
        <v/>
      </c>
      <c r="J84" s="5" t="str">
        <f>IF($L84="","",IF($L84-4=MATCH(INDEX('Base Exámenes'!$C:$C,$L84)&amp;"|"&amp;_xlfn.MAXIFS('Base Exámenes'!$G$5:$G$1000,'Base Exámenes'!$C$5:$C$1000,INDEX('Base Exámenes'!$C:$C,$L84)),'Base Exámenes'!$I$5:$I$1000,0),"Sí",""))</f>
        <v/>
      </c>
      <c r="L84" t="str">
        <f>IFERROR(MATCH(SMALL(Cálculos!$AQ$5:$AQ$1000,80),Cálculos!$AQ$5:$AQ$1000,0)+4,"")</f>
        <v/>
      </c>
    </row>
    <row r="85">
      <c r="A85" s="5" t="str">
        <f>IF($L85="","",TRIM(INDEX('Base Exámenes'!$C:$C,$L85)))</f>
        <v/>
      </c>
      <c r="B85" s="5" t="str">
        <f>IF($L85="","",IFERROR(INDEX('Detalle individual'!$B:$B,MATCH($A85,'Detalle individual'!$A:$A,0)),TRIM(INDEX('Base Exámenes'!$A:$A,$L85))))</f>
        <v/>
      </c>
      <c r="C85" s="5" t="str">
        <f>IF($L85="","",IFERROR(INDEX('Detalle individual'!$C:$C,MATCH($A85,'Detalle individual'!$A:$A,0)),TRIM(INDEX('Base Exámenes'!$B:$B,$L85))))</f>
        <v/>
      </c>
      <c r="D85" s="5" t="str">
        <f>IF($L85="","",IFERROR(INDEX('Detalle individual'!$D:$D,MATCH($A85,'Detalle individual'!$A:$A,0)),"(no está en Base Oficial)"))</f>
        <v/>
      </c>
      <c r="E85" s="5" t="str">
        <f>IF($L85="","",COUNTIFS('Base Exámenes'!$C$5:$C$1000,INDEX('Base Exámenes'!$C:$C,$L85),'Base Exámenes'!$D$5:$D$1000,"&lt;="&amp;INDEX('Base Exámenes'!$D:$D,$L85)))</f>
        <v/>
      </c>
      <c r="F85" s="23" t="str">
        <f>IF($L85="","",INDEX('Base Exámenes'!$D:$D,$L85))</f>
        <v/>
      </c>
      <c r="G85" s="23" t="str">
        <f>IF($L85="","",INDEX('Base Exámenes'!$E:$E,$L85))</f>
        <v/>
      </c>
      <c r="H85" s="24" t="str">
        <f>IF($L85="","",INDEX('Base Exámenes'!$F:$F,$L85))</f>
        <v/>
      </c>
      <c r="I85" s="5" t="str">
        <f>IF($L85="","",INDEX('Base Exámenes'!$G:$G,$L85))</f>
        <v/>
      </c>
      <c r="J85" s="5" t="str">
        <f>IF($L85="","",IF($L85-4=MATCH(INDEX('Base Exámenes'!$C:$C,$L85)&amp;"|"&amp;_xlfn.MAXIFS('Base Exámenes'!$G$5:$G$1000,'Base Exámenes'!$C$5:$C$1000,INDEX('Base Exámenes'!$C:$C,$L85)),'Base Exámenes'!$I$5:$I$1000,0),"Sí",""))</f>
        <v/>
      </c>
      <c r="L85" t="str">
        <f>IFERROR(MATCH(SMALL(Cálculos!$AQ$5:$AQ$1000,81),Cálculos!$AQ$5:$AQ$1000,0)+4,"")</f>
        <v/>
      </c>
    </row>
    <row r="86">
      <c r="A86" s="5" t="str">
        <f>IF($L86="","",TRIM(INDEX('Base Exámenes'!$C:$C,$L86)))</f>
        <v/>
      </c>
      <c r="B86" s="5" t="str">
        <f>IF($L86="","",IFERROR(INDEX('Detalle individual'!$B:$B,MATCH($A86,'Detalle individual'!$A:$A,0)),TRIM(INDEX('Base Exámenes'!$A:$A,$L86))))</f>
        <v/>
      </c>
      <c r="C86" s="5" t="str">
        <f>IF($L86="","",IFERROR(INDEX('Detalle individual'!$C:$C,MATCH($A86,'Detalle individual'!$A:$A,0)),TRIM(INDEX('Base Exámenes'!$B:$B,$L86))))</f>
        <v/>
      </c>
      <c r="D86" s="5" t="str">
        <f>IF($L86="","",IFERROR(INDEX('Detalle individual'!$D:$D,MATCH($A86,'Detalle individual'!$A:$A,0)),"(no está en Base Oficial)"))</f>
        <v/>
      </c>
      <c r="E86" s="5" t="str">
        <f>IF($L86="","",COUNTIFS('Base Exámenes'!$C$5:$C$1000,INDEX('Base Exámenes'!$C:$C,$L86),'Base Exámenes'!$D$5:$D$1000,"&lt;="&amp;INDEX('Base Exámenes'!$D:$D,$L86)))</f>
        <v/>
      </c>
      <c r="F86" s="23" t="str">
        <f>IF($L86="","",INDEX('Base Exámenes'!$D:$D,$L86))</f>
        <v/>
      </c>
      <c r="G86" s="23" t="str">
        <f>IF($L86="","",INDEX('Base Exámenes'!$E:$E,$L86))</f>
        <v/>
      </c>
      <c r="H86" s="24" t="str">
        <f>IF($L86="","",INDEX('Base Exámenes'!$F:$F,$L86))</f>
        <v/>
      </c>
      <c r="I86" s="5" t="str">
        <f>IF($L86="","",INDEX('Base Exámenes'!$G:$G,$L86))</f>
        <v/>
      </c>
      <c r="J86" s="5" t="str">
        <f>IF($L86="","",IF($L86-4=MATCH(INDEX('Base Exámenes'!$C:$C,$L86)&amp;"|"&amp;_xlfn.MAXIFS('Base Exámenes'!$G$5:$G$1000,'Base Exámenes'!$C$5:$C$1000,INDEX('Base Exámenes'!$C:$C,$L86)),'Base Exámenes'!$I$5:$I$1000,0),"Sí",""))</f>
        <v/>
      </c>
      <c r="L86" t="str">
        <f>IFERROR(MATCH(SMALL(Cálculos!$AQ$5:$AQ$1000,82),Cálculos!$AQ$5:$AQ$1000,0)+4,"")</f>
        <v/>
      </c>
    </row>
    <row r="87">
      <c r="A87" s="5" t="str">
        <f>IF($L87="","",TRIM(INDEX('Base Exámenes'!$C:$C,$L87)))</f>
        <v/>
      </c>
      <c r="B87" s="5" t="str">
        <f>IF($L87="","",IFERROR(INDEX('Detalle individual'!$B:$B,MATCH($A87,'Detalle individual'!$A:$A,0)),TRIM(INDEX('Base Exámenes'!$A:$A,$L87))))</f>
        <v/>
      </c>
      <c r="C87" s="5" t="str">
        <f>IF($L87="","",IFERROR(INDEX('Detalle individual'!$C:$C,MATCH($A87,'Detalle individual'!$A:$A,0)),TRIM(INDEX('Base Exámenes'!$B:$B,$L87))))</f>
        <v/>
      </c>
      <c r="D87" s="5" t="str">
        <f>IF($L87="","",IFERROR(INDEX('Detalle individual'!$D:$D,MATCH($A87,'Detalle individual'!$A:$A,0)),"(no está en Base Oficial)"))</f>
        <v/>
      </c>
      <c r="E87" s="5" t="str">
        <f>IF($L87="","",COUNTIFS('Base Exámenes'!$C$5:$C$1000,INDEX('Base Exámenes'!$C:$C,$L87),'Base Exámenes'!$D$5:$D$1000,"&lt;="&amp;INDEX('Base Exámenes'!$D:$D,$L87)))</f>
        <v/>
      </c>
      <c r="F87" s="23" t="str">
        <f>IF($L87="","",INDEX('Base Exámenes'!$D:$D,$L87))</f>
        <v/>
      </c>
      <c r="G87" s="23" t="str">
        <f>IF($L87="","",INDEX('Base Exámenes'!$E:$E,$L87))</f>
        <v/>
      </c>
      <c r="H87" s="24" t="str">
        <f>IF($L87="","",INDEX('Base Exámenes'!$F:$F,$L87))</f>
        <v/>
      </c>
      <c r="I87" s="5" t="str">
        <f>IF($L87="","",INDEX('Base Exámenes'!$G:$G,$L87))</f>
        <v/>
      </c>
      <c r="J87" s="5" t="str">
        <f>IF($L87="","",IF($L87-4=MATCH(INDEX('Base Exámenes'!$C:$C,$L87)&amp;"|"&amp;_xlfn.MAXIFS('Base Exámenes'!$G$5:$G$1000,'Base Exámenes'!$C$5:$C$1000,INDEX('Base Exámenes'!$C:$C,$L87)),'Base Exámenes'!$I$5:$I$1000,0),"Sí",""))</f>
        <v/>
      </c>
      <c r="L87" t="str">
        <f>IFERROR(MATCH(SMALL(Cálculos!$AQ$5:$AQ$1000,83),Cálculos!$AQ$5:$AQ$1000,0)+4,"")</f>
        <v/>
      </c>
    </row>
    <row r="88">
      <c r="A88" s="5" t="str">
        <f>IF($L88="","",TRIM(INDEX('Base Exámenes'!$C:$C,$L88)))</f>
        <v/>
      </c>
      <c r="B88" s="5" t="str">
        <f>IF($L88="","",IFERROR(INDEX('Detalle individual'!$B:$B,MATCH($A88,'Detalle individual'!$A:$A,0)),TRIM(INDEX('Base Exámenes'!$A:$A,$L88))))</f>
        <v/>
      </c>
      <c r="C88" s="5" t="str">
        <f>IF($L88="","",IFERROR(INDEX('Detalle individual'!$C:$C,MATCH($A88,'Detalle individual'!$A:$A,0)),TRIM(INDEX('Base Exámenes'!$B:$B,$L88))))</f>
        <v/>
      </c>
      <c r="D88" s="5" t="str">
        <f>IF($L88="","",IFERROR(INDEX('Detalle individual'!$D:$D,MATCH($A88,'Detalle individual'!$A:$A,0)),"(no está en Base Oficial)"))</f>
        <v/>
      </c>
      <c r="E88" s="5" t="str">
        <f>IF($L88="","",COUNTIFS('Base Exámenes'!$C$5:$C$1000,INDEX('Base Exámenes'!$C:$C,$L88),'Base Exámenes'!$D$5:$D$1000,"&lt;="&amp;INDEX('Base Exámenes'!$D:$D,$L88)))</f>
        <v/>
      </c>
      <c r="F88" s="23" t="str">
        <f>IF($L88="","",INDEX('Base Exámenes'!$D:$D,$L88))</f>
        <v/>
      </c>
      <c r="G88" s="23" t="str">
        <f>IF($L88="","",INDEX('Base Exámenes'!$E:$E,$L88))</f>
        <v/>
      </c>
      <c r="H88" s="24" t="str">
        <f>IF($L88="","",INDEX('Base Exámenes'!$F:$F,$L88))</f>
        <v/>
      </c>
      <c r="I88" s="5" t="str">
        <f>IF($L88="","",INDEX('Base Exámenes'!$G:$G,$L88))</f>
        <v/>
      </c>
      <c r="J88" s="5" t="str">
        <f>IF($L88="","",IF($L88-4=MATCH(INDEX('Base Exámenes'!$C:$C,$L88)&amp;"|"&amp;_xlfn.MAXIFS('Base Exámenes'!$G$5:$G$1000,'Base Exámenes'!$C$5:$C$1000,INDEX('Base Exámenes'!$C:$C,$L88)),'Base Exámenes'!$I$5:$I$1000,0),"Sí",""))</f>
        <v/>
      </c>
      <c r="L88" t="str">
        <f>IFERROR(MATCH(SMALL(Cálculos!$AQ$5:$AQ$1000,84),Cálculos!$AQ$5:$AQ$1000,0)+4,"")</f>
        <v/>
      </c>
    </row>
    <row r="89">
      <c r="A89" s="5" t="str">
        <f>IF($L89="","",TRIM(INDEX('Base Exámenes'!$C:$C,$L89)))</f>
        <v/>
      </c>
      <c r="B89" s="5" t="str">
        <f>IF($L89="","",IFERROR(INDEX('Detalle individual'!$B:$B,MATCH($A89,'Detalle individual'!$A:$A,0)),TRIM(INDEX('Base Exámenes'!$A:$A,$L89))))</f>
        <v/>
      </c>
      <c r="C89" s="5" t="str">
        <f>IF($L89="","",IFERROR(INDEX('Detalle individual'!$C:$C,MATCH($A89,'Detalle individual'!$A:$A,0)),TRIM(INDEX('Base Exámenes'!$B:$B,$L89))))</f>
        <v/>
      </c>
      <c r="D89" s="5" t="str">
        <f>IF($L89="","",IFERROR(INDEX('Detalle individual'!$D:$D,MATCH($A89,'Detalle individual'!$A:$A,0)),"(no está en Base Oficial)"))</f>
        <v/>
      </c>
      <c r="E89" s="5" t="str">
        <f>IF($L89="","",COUNTIFS('Base Exámenes'!$C$5:$C$1000,INDEX('Base Exámenes'!$C:$C,$L89),'Base Exámenes'!$D$5:$D$1000,"&lt;="&amp;INDEX('Base Exámenes'!$D:$D,$L89)))</f>
        <v/>
      </c>
      <c r="F89" s="23" t="str">
        <f>IF($L89="","",INDEX('Base Exámenes'!$D:$D,$L89))</f>
        <v/>
      </c>
      <c r="G89" s="23" t="str">
        <f>IF($L89="","",INDEX('Base Exámenes'!$E:$E,$L89))</f>
        <v/>
      </c>
      <c r="H89" s="24" t="str">
        <f>IF($L89="","",INDEX('Base Exámenes'!$F:$F,$L89))</f>
        <v/>
      </c>
      <c r="I89" s="5" t="str">
        <f>IF($L89="","",INDEX('Base Exámenes'!$G:$G,$L89))</f>
        <v/>
      </c>
      <c r="J89" s="5" t="str">
        <f>IF($L89="","",IF($L89-4=MATCH(INDEX('Base Exámenes'!$C:$C,$L89)&amp;"|"&amp;_xlfn.MAXIFS('Base Exámenes'!$G$5:$G$1000,'Base Exámenes'!$C$5:$C$1000,INDEX('Base Exámenes'!$C:$C,$L89)),'Base Exámenes'!$I$5:$I$1000,0),"Sí",""))</f>
        <v/>
      </c>
      <c r="L89" t="str">
        <f>IFERROR(MATCH(SMALL(Cálculos!$AQ$5:$AQ$1000,85),Cálculos!$AQ$5:$AQ$1000,0)+4,"")</f>
        <v/>
      </c>
    </row>
    <row r="90">
      <c r="A90" s="5" t="str">
        <f>IF($L90="","",TRIM(INDEX('Base Exámenes'!$C:$C,$L90)))</f>
        <v/>
      </c>
      <c r="B90" s="5" t="str">
        <f>IF($L90="","",IFERROR(INDEX('Detalle individual'!$B:$B,MATCH($A90,'Detalle individual'!$A:$A,0)),TRIM(INDEX('Base Exámenes'!$A:$A,$L90))))</f>
        <v/>
      </c>
      <c r="C90" s="5" t="str">
        <f>IF($L90="","",IFERROR(INDEX('Detalle individual'!$C:$C,MATCH($A90,'Detalle individual'!$A:$A,0)),TRIM(INDEX('Base Exámenes'!$B:$B,$L90))))</f>
        <v/>
      </c>
      <c r="D90" s="5" t="str">
        <f>IF($L90="","",IFERROR(INDEX('Detalle individual'!$D:$D,MATCH($A90,'Detalle individual'!$A:$A,0)),"(no está en Base Oficial)"))</f>
        <v/>
      </c>
      <c r="E90" s="5" t="str">
        <f>IF($L90="","",COUNTIFS('Base Exámenes'!$C$5:$C$1000,INDEX('Base Exámenes'!$C:$C,$L90),'Base Exámenes'!$D$5:$D$1000,"&lt;="&amp;INDEX('Base Exámenes'!$D:$D,$L90)))</f>
        <v/>
      </c>
      <c r="F90" s="23" t="str">
        <f>IF($L90="","",INDEX('Base Exámenes'!$D:$D,$L90))</f>
        <v/>
      </c>
      <c r="G90" s="23" t="str">
        <f>IF($L90="","",INDEX('Base Exámenes'!$E:$E,$L90))</f>
        <v/>
      </c>
      <c r="H90" s="24" t="str">
        <f>IF($L90="","",INDEX('Base Exámenes'!$F:$F,$L90))</f>
        <v/>
      </c>
      <c r="I90" s="5" t="str">
        <f>IF($L90="","",INDEX('Base Exámenes'!$G:$G,$L90))</f>
        <v/>
      </c>
      <c r="J90" s="5" t="str">
        <f>IF($L90="","",IF($L90-4=MATCH(INDEX('Base Exámenes'!$C:$C,$L90)&amp;"|"&amp;_xlfn.MAXIFS('Base Exámenes'!$G$5:$G$1000,'Base Exámenes'!$C$5:$C$1000,INDEX('Base Exámenes'!$C:$C,$L90)),'Base Exámenes'!$I$5:$I$1000,0),"Sí",""))</f>
        <v/>
      </c>
      <c r="L90" t="str">
        <f>IFERROR(MATCH(SMALL(Cálculos!$AQ$5:$AQ$1000,86),Cálculos!$AQ$5:$AQ$1000,0)+4,"")</f>
        <v/>
      </c>
    </row>
    <row r="91">
      <c r="A91" s="5" t="str">
        <f>IF($L91="","",TRIM(INDEX('Base Exámenes'!$C:$C,$L91)))</f>
        <v/>
      </c>
      <c r="B91" s="5" t="str">
        <f>IF($L91="","",IFERROR(INDEX('Detalle individual'!$B:$B,MATCH($A91,'Detalle individual'!$A:$A,0)),TRIM(INDEX('Base Exámenes'!$A:$A,$L91))))</f>
        <v/>
      </c>
      <c r="C91" s="5" t="str">
        <f>IF($L91="","",IFERROR(INDEX('Detalle individual'!$C:$C,MATCH($A91,'Detalle individual'!$A:$A,0)),TRIM(INDEX('Base Exámenes'!$B:$B,$L91))))</f>
        <v/>
      </c>
      <c r="D91" s="5" t="str">
        <f>IF($L91="","",IFERROR(INDEX('Detalle individual'!$D:$D,MATCH($A91,'Detalle individual'!$A:$A,0)),"(no está en Base Oficial)"))</f>
        <v/>
      </c>
      <c r="E91" s="5" t="str">
        <f>IF($L91="","",COUNTIFS('Base Exámenes'!$C$5:$C$1000,INDEX('Base Exámenes'!$C:$C,$L91),'Base Exámenes'!$D$5:$D$1000,"&lt;="&amp;INDEX('Base Exámenes'!$D:$D,$L91)))</f>
        <v/>
      </c>
      <c r="F91" s="23" t="str">
        <f>IF($L91="","",INDEX('Base Exámenes'!$D:$D,$L91))</f>
        <v/>
      </c>
      <c r="G91" s="23" t="str">
        <f>IF($L91="","",INDEX('Base Exámenes'!$E:$E,$L91))</f>
        <v/>
      </c>
      <c r="H91" s="24" t="str">
        <f>IF($L91="","",INDEX('Base Exámenes'!$F:$F,$L91))</f>
        <v/>
      </c>
      <c r="I91" s="5" t="str">
        <f>IF($L91="","",INDEX('Base Exámenes'!$G:$G,$L91))</f>
        <v/>
      </c>
      <c r="J91" s="5" t="str">
        <f>IF($L91="","",IF($L91-4=MATCH(INDEX('Base Exámenes'!$C:$C,$L91)&amp;"|"&amp;_xlfn.MAXIFS('Base Exámenes'!$G$5:$G$1000,'Base Exámenes'!$C$5:$C$1000,INDEX('Base Exámenes'!$C:$C,$L91)),'Base Exámenes'!$I$5:$I$1000,0),"Sí",""))</f>
        <v/>
      </c>
      <c r="L91" t="str">
        <f>IFERROR(MATCH(SMALL(Cálculos!$AQ$5:$AQ$1000,87),Cálculos!$AQ$5:$AQ$1000,0)+4,"")</f>
        <v/>
      </c>
    </row>
    <row r="92">
      <c r="A92" s="5" t="str">
        <f>IF($L92="","",TRIM(INDEX('Base Exámenes'!$C:$C,$L92)))</f>
        <v/>
      </c>
      <c r="B92" s="5" t="str">
        <f>IF($L92="","",IFERROR(INDEX('Detalle individual'!$B:$B,MATCH($A92,'Detalle individual'!$A:$A,0)),TRIM(INDEX('Base Exámenes'!$A:$A,$L92))))</f>
        <v/>
      </c>
      <c r="C92" s="5" t="str">
        <f>IF($L92="","",IFERROR(INDEX('Detalle individual'!$C:$C,MATCH($A92,'Detalle individual'!$A:$A,0)),TRIM(INDEX('Base Exámenes'!$B:$B,$L92))))</f>
        <v/>
      </c>
      <c r="D92" s="5" t="str">
        <f>IF($L92="","",IFERROR(INDEX('Detalle individual'!$D:$D,MATCH($A92,'Detalle individual'!$A:$A,0)),"(no está en Base Oficial)"))</f>
        <v/>
      </c>
      <c r="E92" s="5" t="str">
        <f>IF($L92="","",COUNTIFS('Base Exámenes'!$C$5:$C$1000,INDEX('Base Exámenes'!$C:$C,$L92),'Base Exámenes'!$D$5:$D$1000,"&lt;="&amp;INDEX('Base Exámenes'!$D:$D,$L92)))</f>
        <v/>
      </c>
      <c r="F92" s="23" t="str">
        <f>IF($L92="","",INDEX('Base Exámenes'!$D:$D,$L92))</f>
        <v/>
      </c>
      <c r="G92" s="23" t="str">
        <f>IF($L92="","",INDEX('Base Exámenes'!$E:$E,$L92))</f>
        <v/>
      </c>
      <c r="H92" s="24" t="str">
        <f>IF($L92="","",INDEX('Base Exámenes'!$F:$F,$L92))</f>
        <v/>
      </c>
      <c r="I92" s="5" t="str">
        <f>IF($L92="","",INDEX('Base Exámenes'!$G:$G,$L92))</f>
        <v/>
      </c>
      <c r="J92" s="5" t="str">
        <f>IF($L92="","",IF($L92-4=MATCH(INDEX('Base Exámenes'!$C:$C,$L92)&amp;"|"&amp;_xlfn.MAXIFS('Base Exámenes'!$G$5:$G$1000,'Base Exámenes'!$C$5:$C$1000,INDEX('Base Exámenes'!$C:$C,$L92)),'Base Exámenes'!$I$5:$I$1000,0),"Sí",""))</f>
        <v/>
      </c>
      <c r="L92" t="str">
        <f>IFERROR(MATCH(SMALL(Cálculos!$AQ$5:$AQ$1000,88),Cálculos!$AQ$5:$AQ$1000,0)+4,"")</f>
        <v/>
      </c>
    </row>
    <row r="93">
      <c r="A93" s="5" t="str">
        <f>IF($L93="","",TRIM(INDEX('Base Exámenes'!$C:$C,$L93)))</f>
        <v/>
      </c>
      <c r="B93" s="5" t="str">
        <f>IF($L93="","",IFERROR(INDEX('Detalle individual'!$B:$B,MATCH($A93,'Detalle individual'!$A:$A,0)),TRIM(INDEX('Base Exámenes'!$A:$A,$L93))))</f>
        <v/>
      </c>
      <c r="C93" s="5" t="str">
        <f>IF($L93="","",IFERROR(INDEX('Detalle individual'!$C:$C,MATCH($A93,'Detalle individual'!$A:$A,0)),TRIM(INDEX('Base Exámenes'!$B:$B,$L93))))</f>
        <v/>
      </c>
      <c r="D93" s="5" t="str">
        <f>IF($L93="","",IFERROR(INDEX('Detalle individual'!$D:$D,MATCH($A93,'Detalle individual'!$A:$A,0)),"(no está en Base Oficial)"))</f>
        <v/>
      </c>
      <c r="E93" s="5" t="str">
        <f>IF($L93="","",COUNTIFS('Base Exámenes'!$C$5:$C$1000,INDEX('Base Exámenes'!$C:$C,$L93),'Base Exámenes'!$D$5:$D$1000,"&lt;="&amp;INDEX('Base Exámenes'!$D:$D,$L93)))</f>
        <v/>
      </c>
      <c r="F93" s="23" t="str">
        <f>IF($L93="","",INDEX('Base Exámenes'!$D:$D,$L93))</f>
        <v/>
      </c>
      <c r="G93" s="23" t="str">
        <f>IF($L93="","",INDEX('Base Exámenes'!$E:$E,$L93))</f>
        <v/>
      </c>
      <c r="H93" s="24" t="str">
        <f>IF($L93="","",INDEX('Base Exámenes'!$F:$F,$L93))</f>
        <v/>
      </c>
      <c r="I93" s="5" t="str">
        <f>IF($L93="","",INDEX('Base Exámenes'!$G:$G,$L93))</f>
        <v/>
      </c>
      <c r="J93" s="5" t="str">
        <f>IF($L93="","",IF($L93-4=MATCH(INDEX('Base Exámenes'!$C:$C,$L93)&amp;"|"&amp;_xlfn.MAXIFS('Base Exámenes'!$G$5:$G$1000,'Base Exámenes'!$C$5:$C$1000,INDEX('Base Exámenes'!$C:$C,$L93)),'Base Exámenes'!$I$5:$I$1000,0),"Sí",""))</f>
        <v/>
      </c>
      <c r="L93" t="str">
        <f>IFERROR(MATCH(SMALL(Cálculos!$AQ$5:$AQ$1000,89),Cálculos!$AQ$5:$AQ$1000,0)+4,"")</f>
        <v/>
      </c>
    </row>
    <row r="94">
      <c r="A94" s="5" t="str">
        <f>IF($L94="","",TRIM(INDEX('Base Exámenes'!$C:$C,$L94)))</f>
        <v/>
      </c>
      <c r="B94" s="5" t="str">
        <f>IF($L94="","",IFERROR(INDEX('Detalle individual'!$B:$B,MATCH($A94,'Detalle individual'!$A:$A,0)),TRIM(INDEX('Base Exámenes'!$A:$A,$L94))))</f>
        <v/>
      </c>
      <c r="C94" s="5" t="str">
        <f>IF($L94="","",IFERROR(INDEX('Detalle individual'!$C:$C,MATCH($A94,'Detalle individual'!$A:$A,0)),TRIM(INDEX('Base Exámenes'!$B:$B,$L94))))</f>
        <v/>
      </c>
      <c r="D94" s="5" t="str">
        <f>IF($L94="","",IFERROR(INDEX('Detalle individual'!$D:$D,MATCH($A94,'Detalle individual'!$A:$A,0)),"(no está en Base Oficial)"))</f>
        <v/>
      </c>
      <c r="E94" s="5" t="str">
        <f>IF($L94="","",COUNTIFS('Base Exámenes'!$C$5:$C$1000,INDEX('Base Exámenes'!$C:$C,$L94),'Base Exámenes'!$D$5:$D$1000,"&lt;="&amp;INDEX('Base Exámenes'!$D:$D,$L94)))</f>
        <v/>
      </c>
      <c r="F94" s="23" t="str">
        <f>IF($L94="","",INDEX('Base Exámenes'!$D:$D,$L94))</f>
        <v/>
      </c>
      <c r="G94" s="23" t="str">
        <f>IF($L94="","",INDEX('Base Exámenes'!$E:$E,$L94))</f>
        <v/>
      </c>
      <c r="H94" s="24" t="str">
        <f>IF($L94="","",INDEX('Base Exámenes'!$F:$F,$L94))</f>
        <v/>
      </c>
      <c r="I94" s="5" t="str">
        <f>IF($L94="","",INDEX('Base Exámenes'!$G:$G,$L94))</f>
        <v/>
      </c>
      <c r="J94" s="5" t="str">
        <f>IF($L94="","",IF($L94-4=MATCH(INDEX('Base Exámenes'!$C:$C,$L94)&amp;"|"&amp;_xlfn.MAXIFS('Base Exámenes'!$G$5:$G$1000,'Base Exámenes'!$C$5:$C$1000,INDEX('Base Exámenes'!$C:$C,$L94)),'Base Exámenes'!$I$5:$I$1000,0),"Sí",""))</f>
        <v/>
      </c>
      <c r="L94" t="str">
        <f>IFERROR(MATCH(SMALL(Cálculos!$AQ$5:$AQ$1000,90),Cálculos!$AQ$5:$AQ$1000,0)+4,"")</f>
        <v/>
      </c>
    </row>
    <row r="95">
      <c r="A95" s="5" t="str">
        <f>IF($L95="","",TRIM(INDEX('Base Exámenes'!$C:$C,$L95)))</f>
        <v/>
      </c>
      <c r="B95" s="5" t="str">
        <f>IF($L95="","",IFERROR(INDEX('Detalle individual'!$B:$B,MATCH($A95,'Detalle individual'!$A:$A,0)),TRIM(INDEX('Base Exámenes'!$A:$A,$L95))))</f>
        <v/>
      </c>
      <c r="C95" s="5" t="str">
        <f>IF($L95="","",IFERROR(INDEX('Detalle individual'!$C:$C,MATCH($A95,'Detalle individual'!$A:$A,0)),TRIM(INDEX('Base Exámenes'!$B:$B,$L95))))</f>
        <v/>
      </c>
      <c r="D95" s="5" t="str">
        <f>IF($L95="","",IFERROR(INDEX('Detalle individual'!$D:$D,MATCH($A95,'Detalle individual'!$A:$A,0)),"(no está en Base Oficial)"))</f>
        <v/>
      </c>
      <c r="E95" s="5" t="str">
        <f>IF($L95="","",COUNTIFS('Base Exámenes'!$C$5:$C$1000,INDEX('Base Exámenes'!$C:$C,$L95),'Base Exámenes'!$D$5:$D$1000,"&lt;="&amp;INDEX('Base Exámenes'!$D:$D,$L95)))</f>
        <v/>
      </c>
      <c r="F95" s="23" t="str">
        <f>IF($L95="","",INDEX('Base Exámenes'!$D:$D,$L95))</f>
        <v/>
      </c>
      <c r="G95" s="23" t="str">
        <f>IF($L95="","",INDEX('Base Exámenes'!$E:$E,$L95))</f>
        <v/>
      </c>
      <c r="H95" s="24" t="str">
        <f>IF($L95="","",INDEX('Base Exámenes'!$F:$F,$L95))</f>
        <v/>
      </c>
      <c r="I95" s="5" t="str">
        <f>IF($L95="","",INDEX('Base Exámenes'!$G:$G,$L95))</f>
        <v/>
      </c>
      <c r="J95" s="5" t="str">
        <f>IF($L95="","",IF($L95-4=MATCH(INDEX('Base Exámenes'!$C:$C,$L95)&amp;"|"&amp;_xlfn.MAXIFS('Base Exámenes'!$G$5:$G$1000,'Base Exámenes'!$C$5:$C$1000,INDEX('Base Exámenes'!$C:$C,$L95)),'Base Exámenes'!$I$5:$I$1000,0),"Sí",""))</f>
        <v/>
      </c>
      <c r="L95" t="str">
        <f>IFERROR(MATCH(SMALL(Cálculos!$AQ$5:$AQ$1000,91),Cálculos!$AQ$5:$AQ$1000,0)+4,"")</f>
        <v/>
      </c>
    </row>
    <row r="96">
      <c r="A96" s="5" t="str">
        <f>IF($L96="","",TRIM(INDEX('Base Exámenes'!$C:$C,$L96)))</f>
        <v/>
      </c>
      <c r="B96" s="5" t="str">
        <f>IF($L96="","",IFERROR(INDEX('Detalle individual'!$B:$B,MATCH($A96,'Detalle individual'!$A:$A,0)),TRIM(INDEX('Base Exámenes'!$A:$A,$L96))))</f>
        <v/>
      </c>
      <c r="C96" s="5" t="str">
        <f>IF($L96="","",IFERROR(INDEX('Detalle individual'!$C:$C,MATCH($A96,'Detalle individual'!$A:$A,0)),TRIM(INDEX('Base Exámenes'!$B:$B,$L96))))</f>
        <v/>
      </c>
      <c r="D96" s="5" t="str">
        <f>IF($L96="","",IFERROR(INDEX('Detalle individual'!$D:$D,MATCH($A96,'Detalle individual'!$A:$A,0)),"(no está en Base Oficial)"))</f>
        <v/>
      </c>
      <c r="E96" s="5" t="str">
        <f>IF($L96="","",COUNTIFS('Base Exámenes'!$C$5:$C$1000,INDEX('Base Exámenes'!$C:$C,$L96),'Base Exámenes'!$D$5:$D$1000,"&lt;="&amp;INDEX('Base Exámenes'!$D:$D,$L96)))</f>
        <v/>
      </c>
      <c r="F96" s="23" t="str">
        <f>IF($L96="","",INDEX('Base Exámenes'!$D:$D,$L96))</f>
        <v/>
      </c>
      <c r="G96" s="23" t="str">
        <f>IF($L96="","",INDEX('Base Exámenes'!$E:$E,$L96))</f>
        <v/>
      </c>
      <c r="H96" s="24" t="str">
        <f>IF($L96="","",INDEX('Base Exámenes'!$F:$F,$L96))</f>
        <v/>
      </c>
      <c r="I96" s="5" t="str">
        <f>IF($L96="","",INDEX('Base Exámenes'!$G:$G,$L96))</f>
        <v/>
      </c>
      <c r="J96" s="5" t="str">
        <f>IF($L96="","",IF($L96-4=MATCH(INDEX('Base Exámenes'!$C:$C,$L96)&amp;"|"&amp;_xlfn.MAXIFS('Base Exámenes'!$G$5:$G$1000,'Base Exámenes'!$C$5:$C$1000,INDEX('Base Exámenes'!$C:$C,$L96)),'Base Exámenes'!$I$5:$I$1000,0),"Sí",""))</f>
        <v/>
      </c>
      <c r="L96" t="str">
        <f>IFERROR(MATCH(SMALL(Cálculos!$AQ$5:$AQ$1000,92),Cálculos!$AQ$5:$AQ$1000,0)+4,"")</f>
        <v/>
      </c>
    </row>
    <row r="97">
      <c r="A97" s="5" t="str">
        <f>IF($L97="","",TRIM(INDEX('Base Exámenes'!$C:$C,$L97)))</f>
        <v/>
      </c>
      <c r="B97" s="5" t="str">
        <f>IF($L97="","",IFERROR(INDEX('Detalle individual'!$B:$B,MATCH($A97,'Detalle individual'!$A:$A,0)),TRIM(INDEX('Base Exámenes'!$A:$A,$L97))))</f>
        <v/>
      </c>
      <c r="C97" s="5" t="str">
        <f>IF($L97="","",IFERROR(INDEX('Detalle individual'!$C:$C,MATCH($A97,'Detalle individual'!$A:$A,0)),TRIM(INDEX('Base Exámenes'!$B:$B,$L97))))</f>
        <v/>
      </c>
      <c r="D97" s="5" t="str">
        <f>IF($L97="","",IFERROR(INDEX('Detalle individual'!$D:$D,MATCH($A97,'Detalle individual'!$A:$A,0)),"(no está en Base Oficial)"))</f>
        <v/>
      </c>
      <c r="E97" s="5" t="str">
        <f>IF($L97="","",COUNTIFS('Base Exámenes'!$C$5:$C$1000,INDEX('Base Exámenes'!$C:$C,$L97),'Base Exámenes'!$D$5:$D$1000,"&lt;="&amp;INDEX('Base Exámenes'!$D:$D,$L97)))</f>
        <v/>
      </c>
      <c r="F97" s="23" t="str">
        <f>IF($L97="","",INDEX('Base Exámenes'!$D:$D,$L97))</f>
        <v/>
      </c>
      <c r="G97" s="23" t="str">
        <f>IF($L97="","",INDEX('Base Exámenes'!$E:$E,$L97))</f>
        <v/>
      </c>
      <c r="H97" s="24" t="str">
        <f>IF($L97="","",INDEX('Base Exámenes'!$F:$F,$L97))</f>
        <v/>
      </c>
      <c r="I97" s="5" t="str">
        <f>IF($L97="","",INDEX('Base Exámenes'!$G:$G,$L97))</f>
        <v/>
      </c>
      <c r="J97" s="5" t="str">
        <f>IF($L97="","",IF($L97-4=MATCH(INDEX('Base Exámenes'!$C:$C,$L97)&amp;"|"&amp;_xlfn.MAXIFS('Base Exámenes'!$G$5:$G$1000,'Base Exámenes'!$C$5:$C$1000,INDEX('Base Exámenes'!$C:$C,$L97)),'Base Exámenes'!$I$5:$I$1000,0),"Sí",""))</f>
        <v/>
      </c>
      <c r="L97" t="str">
        <f>IFERROR(MATCH(SMALL(Cálculos!$AQ$5:$AQ$1000,93),Cálculos!$AQ$5:$AQ$1000,0)+4,"")</f>
        <v/>
      </c>
    </row>
    <row r="98">
      <c r="A98" s="5" t="str">
        <f>IF($L98="","",TRIM(INDEX('Base Exámenes'!$C:$C,$L98)))</f>
        <v/>
      </c>
      <c r="B98" s="5" t="str">
        <f>IF($L98="","",IFERROR(INDEX('Detalle individual'!$B:$B,MATCH($A98,'Detalle individual'!$A:$A,0)),TRIM(INDEX('Base Exámenes'!$A:$A,$L98))))</f>
        <v/>
      </c>
      <c r="C98" s="5" t="str">
        <f>IF($L98="","",IFERROR(INDEX('Detalle individual'!$C:$C,MATCH($A98,'Detalle individual'!$A:$A,0)),TRIM(INDEX('Base Exámenes'!$B:$B,$L98))))</f>
        <v/>
      </c>
      <c r="D98" s="5" t="str">
        <f>IF($L98="","",IFERROR(INDEX('Detalle individual'!$D:$D,MATCH($A98,'Detalle individual'!$A:$A,0)),"(no está en Base Oficial)"))</f>
        <v/>
      </c>
      <c r="E98" s="5" t="str">
        <f>IF($L98="","",COUNTIFS('Base Exámenes'!$C$5:$C$1000,INDEX('Base Exámenes'!$C:$C,$L98),'Base Exámenes'!$D$5:$D$1000,"&lt;="&amp;INDEX('Base Exámenes'!$D:$D,$L98)))</f>
        <v/>
      </c>
      <c r="F98" s="23" t="str">
        <f>IF($L98="","",INDEX('Base Exámenes'!$D:$D,$L98))</f>
        <v/>
      </c>
      <c r="G98" s="23" t="str">
        <f>IF($L98="","",INDEX('Base Exámenes'!$E:$E,$L98))</f>
        <v/>
      </c>
      <c r="H98" s="24" t="str">
        <f>IF($L98="","",INDEX('Base Exámenes'!$F:$F,$L98))</f>
        <v/>
      </c>
      <c r="I98" s="5" t="str">
        <f>IF($L98="","",INDEX('Base Exámenes'!$G:$G,$L98))</f>
        <v/>
      </c>
      <c r="J98" s="5" t="str">
        <f>IF($L98="","",IF($L98-4=MATCH(INDEX('Base Exámenes'!$C:$C,$L98)&amp;"|"&amp;_xlfn.MAXIFS('Base Exámenes'!$G$5:$G$1000,'Base Exámenes'!$C$5:$C$1000,INDEX('Base Exámenes'!$C:$C,$L98)),'Base Exámenes'!$I$5:$I$1000,0),"Sí",""))</f>
        <v/>
      </c>
      <c r="L98" t="str">
        <f>IFERROR(MATCH(SMALL(Cálculos!$AQ$5:$AQ$1000,94),Cálculos!$AQ$5:$AQ$1000,0)+4,"")</f>
        <v/>
      </c>
    </row>
    <row r="99">
      <c r="A99" s="5" t="str">
        <f>IF($L99="","",TRIM(INDEX('Base Exámenes'!$C:$C,$L99)))</f>
        <v/>
      </c>
      <c r="B99" s="5" t="str">
        <f>IF($L99="","",IFERROR(INDEX('Detalle individual'!$B:$B,MATCH($A99,'Detalle individual'!$A:$A,0)),TRIM(INDEX('Base Exámenes'!$A:$A,$L99))))</f>
        <v/>
      </c>
      <c r="C99" s="5" t="str">
        <f>IF($L99="","",IFERROR(INDEX('Detalle individual'!$C:$C,MATCH($A99,'Detalle individual'!$A:$A,0)),TRIM(INDEX('Base Exámenes'!$B:$B,$L99))))</f>
        <v/>
      </c>
      <c r="D99" s="5" t="str">
        <f>IF($L99="","",IFERROR(INDEX('Detalle individual'!$D:$D,MATCH($A99,'Detalle individual'!$A:$A,0)),"(no está en Base Oficial)"))</f>
        <v/>
      </c>
      <c r="E99" s="5" t="str">
        <f>IF($L99="","",COUNTIFS('Base Exámenes'!$C$5:$C$1000,INDEX('Base Exámenes'!$C:$C,$L99),'Base Exámenes'!$D$5:$D$1000,"&lt;="&amp;INDEX('Base Exámenes'!$D:$D,$L99)))</f>
        <v/>
      </c>
      <c r="F99" s="23" t="str">
        <f>IF($L99="","",INDEX('Base Exámenes'!$D:$D,$L99))</f>
        <v/>
      </c>
      <c r="G99" s="23" t="str">
        <f>IF($L99="","",INDEX('Base Exámenes'!$E:$E,$L99))</f>
        <v/>
      </c>
      <c r="H99" s="24" t="str">
        <f>IF($L99="","",INDEX('Base Exámenes'!$F:$F,$L99))</f>
        <v/>
      </c>
      <c r="I99" s="5" t="str">
        <f>IF($L99="","",INDEX('Base Exámenes'!$G:$G,$L99))</f>
        <v/>
      </c>
      <c r="J99" s="5" t="str">
        <f>IF($L99="","",IF($L99-4=MATCH(INDEX('Base Exámenes'!$C:$C,$L99)&amp;"|"&amp;_xlfn.MAXIFS('Base Exámenes'!$G$5:$G$1000,'Base Exámenes'!$C$5:$C$1000,INDEX('Base Exámenes'!$C:$C,$L99)),'Base Exámenes'!$I$5:$I$1000,0),"Sí",""))</f>
        <v/>
      </c>
      <c r="L99" t="str">
        <f>IFERROR(MATCH(SMALL(Cálculos!$AQ$5:$AQ$1000,95),Cálculos!$AQ$5:$AQ$1000,0)+4,"")</f>
        <v/>
      </c>
    </row>
    <row r="100">
      <c r="A100" s="5" t="str">
        <f>IF($L100="","",TRIM(INDEX('Base Exámenes'!$C:$C,$L100)))</f>
        <v/>
      </c>
      <c r="B100" s="5" t="str">
        <f>IF($L100="","",IFERROR(INDEX('Detalle individual'!$B:$B,MATCH($A100,'Detalle individual'!$A:$A,0)),TRIM(INDEX('Base Exámenes'!$A:$A,$L100))))</f>
        <v/>
      </c>
      <c r="C100" s="5" t="str">
        <f>IF($L100="","",IFERROR(INDEX('Detalle individual'!$C:$C,MATCH($A100,'Detalle individual'!$A:$A,0)),TRIM(INDEX('Base Exámenes'!$B:$B,$L100))))</f>
        <v/>
      </c>
      <c r="D100" s="5" t="str">
        <f>IF($L100="","",IFERROR(INDEX('Detalle individual'!$D:$D,MATCH($A100,'Detalle individual'!$A:$A,0)),"(no está en Base Oficial)"))</f>
        <v/>
      </c>
      <c r="E100" s="5" t="str">
        <f>IF($L100="","",COUNTIFS('Base Exámenes'!$C$5:$C$1000,INDEX('Base Exámenes'!$C:$C,$L100),'Base Exámenes'!$D$5:$D$1000,"&lt;="&amp;INDEX('Base Exámenes'!$D:$D,$L100)))</f>
        <v/>
      </c>
      <c r="F100" s="23" t="str">
        <f>IF($L100="","",INDEX('Base Exámenes'!$D:$D,$L100))</f>
        <v/>
      </c>
      <c r="G100" s="23" t="str">
        <f>IF($L100="","",INDEX('Base Exámenes'!$E:$E,$L100))</f>
        <v/>
      </c>
      <c r="H100" s="24" t="str">
        <f>IF($L100="","",INDEX('Base Exámenes'!$F:$F,$L100))</f>
        <v/>
      </c>
      <c r="I100" s="5" t="str">
        <f>IF($L100="","",INDEX('Base Exámenes'!$G:$G,$L100))</f>
        <v/>
      </c>
      <c r="J100" s="5" t="str">
        <f>IF($L100="","",IF($L100-4=MATCH(INDEX('Base Exámenes'!$C:$C,$L100)&amp;"|"&amp;_xlfn.MAXIFS('Base Exámenes'!$G$5:$G$1000,'Base Exámenes'!$C$5:$C$1000,INDEX('Base Exámenes'!$C:$C,$L100)),'Base Exámenes'!$I$5:$I$1000,0),"Sí",""))</f>
        <v/>
      </c>
      <c r="L100" t="str">
        <f>IFERROR(MATCH(SMALL(Cálculos!$AQ$5:$AQ$1000,96),Cálculos!$AQ$5:$AQ$1000,0)+4,"")</f>
        <v/>
      </c>
    </row>
    <row r="101">
      <c r="A101" s="5" t="str">
        <f>IF($L101="","",TRIM(INDEX('Base Exámenes'!$C:$C,$L101)))</f>
        <v/>
      </c>
      <c r="B101" s="5" t="str">
        <f>IF($L101="","",IFERROR(INDEX('Detalle individual'!$B:$B,MATCH($A101,'Detalle individual'!$A:$A,0)),TRIM(INDEX('Base Exámenes'!$A:$A,$L101))))</f>
        <v/>
      </c>
      <c r="C101" s="5" t="str">
        <f>IF($L101="","",IFERROR(INDEX('Detalle individual'!$C:$C,MATCH($A101,'Detalle individual'!$A:$A,0)),TRIM(INDEX('Base Exámenes'!$B:$B,$L101))))</f>
        <v/>
      </c>
      <c r="D101" s="5" t="str">
        <f>IF($L101="","",IFERROR(INDEX('Detalle individual'!$D:$D,MATCH($A101,'Detalle individual'!$A:$A,0)),"(no está en Base Oficial)"))</f>
        <v/>
      </c>
      <c r="E101" s="5" t="str">
        <f>IF($L101="","",COUNTIFS('Base Exámenes'!$C$5:$C$1000,INDEX('Base Exámenes'!$C:$C,$L101),'Base Exámenes'!$D$5:$D$1000,"&lt;="&amp;INDEX('Base Exámenes'!$D:$D,$L101)))</f>
        <v/>
      </c>
      <c r="F101" s="23" t="str">
        <f>IF($L101="","",INDEX('Base Exámenes'!$D:$D,$L101))</f>
        <v/>
      </c>
      <c r="G101" s="23" t="str">
        <f>IF($L101="","",INDEX('Base Exámenes'!$E:$E,$L101))</f>
        <v/>
      </c>
      <c r="H101" s="24" t="str">
        <f>IF($L101="","",INDEX('Base Exámenes'!$F:$F,$L101))</f>
        <v/>
      </c>
      <c r="I101" s="5" t="str">
        <f>IF($L101="","",INDEX('Base Exámenes'!$G:$G,$L101))</f>
        <v/>
      </c>
      <c r="J101" s="5" t="str">
        <f>IF($L101="","",IF($L101-4=MATCH(INDEX('Base Exámenes'!$C:$C,$L101)&amp;"|"&amp;_xlfn.MAXIFS('Base Exámenes'!$G$5:$G$1000,'Base Exámenes'!$C$5:$C$1000,INDEX('Base Exámenes'!$C:$C,$L101)),'Base Exámenes'!$I$5:$I$1000,0),"Sí",""))</f>
        <v/>
      </c>
      <c r="L101" t="str">
        <f>IFERROR(MATCH(SMALL(Cálculos!$AQ$5:$AQ$1000,97),Cálculos!$AQ$5:$AQ$1000,0)+4,"")</f>
        <v/>
      </c>
    </row>
    <row r="102">
      <c r="A102" s="5" t="str">
        <f>IF($L102="","",TRIM(INDEX('Base Exámenes'!$C:$C,$L102)))</f>
        <v/>
      </c>
      <c r="B102" s="5" t="str">
        <f>IF($L102="","",IFERROR(INDEX('Detalle individual'!$B:$B,MATCH($A102,'Detalle individual'!$A:$A,0)),TRIM(INDEX('Base Exámenes'!$A:$A,$L102))))</f>
        <v/>
      </c>
      <c r="C102" s="5" t="str">
        <f>IF($L102="","",IFERROR(INDEX('Detalle individual'!$C:$C,MATCH($A102,'Detalle individual'!$A:$A,0)),TRIM(INDEX('Base Exámenes'!$B:$B,$L102))))</f>
        <v/>
      </c>
      <c r="D102" s="5" t="str">
        <f>IF($L102="","",IFERROR(INDEX('Detalle individual'!$D:$D,MATCH($A102,'Detalle individual'!$A:$A,0)),"(no está en Base Oficial)"))</f>
        <v/>
      </c>
      <c r="E102" s="5" t="str">
        <f>IF($L102="","",COUNTIFS('Base Exámenes'!$C$5:$C$1000,INDEX('Base Exámenes'!$C:$C,$L102),'Base Exámenes'!$D$5:$D$1000,"&lt;="&amp;INDEX('Base Exámenes'!$D:$D,$L102)))</f>
        <v/>
      </c>
      <c r="F102" s="23" t="str">
        <f>IF($L102="","",INDEX('Base Exámenes'!$D:$D,$L102))</f>
        <v/>
      </c>
      <c r="G102" s="23" t="str">
        <f>IF($L102="","",INDEX('Base Exámenes'!$E:$E,$L102))</f>
        <v/>
      </c>
      <c r="H102" s="24" t="str">
        <f>IF($L102="","",INDEX('Base Exámenes'!$F:$F,$L102))</f>
        <v/>
      </c>
      <c r="I102" s="5" t="str">
        <f>IF($L102="","",INDEX('Base Exámenes'!$G:$G,$L102))</f>
        <v/>
      </c>
      <c r="J102" s="5" t="str">
        <f>IF($L102="","",IF($L102-4=MATCH(INDEX('Base Exámenes'!$C:$C,$L102)&amp;"|"&amp;_xlfn.MAXIFS('Base Exámenes'!$G$5:$G$1000,'Base Exámenes'!$C$5:$C$1000,INDEX('Base Exámenes'!$C:$C,$L102)),'Base Exámenes'!$I$5:$I$1000,0),"Sí",""))</f>
        <v/>
      </c>
      <c r="L102" t="str">
        <f>IFERROR(MATCH(SMALL(Cálculos!$AQ$5:$AQ$1000,98),Cálculos!$AQ$5:$AQ$1000,0)+4,"")</f>
        <v/>
      </c>
    </row>
    <row r="103">
      <c r="A103" s="5" t="str">
        <f>IF($L103="","",TRIM(INDEX('Base Exámenes'!$C:$C,$L103)))</f>
        <v/>
      </c>
      <c r="B103" s="5" t="str">
        <f>IF($L103="","",IFERROR(INDEX('Detalle individual'!$B:$B,MATCH($A103,'Detalle individual'!$A:$A,0)),TRIM(INDEX('Base Exámenes'!$A:$A,$L103))))</f>
        <v/>
      </c>
      <c r="C103" s="5" t="str">
        <f>IF($L103="","",IFERROR(INDEX('Detalle individual'!$C:$C,MATCH($A103,'Detalle individual'!$A:$A,0)),TRIM(INDEX('Base Exámenes'!$B:$B,$L103))))</f>
        <v/>
      </c>
      <c r="D103" s="5" t="str">
        <f>IF($L103="","",IFERROR(INDEX('Detalle individual'!$D:$D,MATCH($A103,'Detalle individual'!$A:$A,0)),"(no está en Base Oficial)"))</f>
        <v/>
      </c>
      <c r="E103" s="5" t="str">
        <f>IF($L103="","",COUNTIFS('Base Exámenes'!$C$5:$C$1000,INDEX('Base Exámenes'!$C:$C,$L103),'Base Exámenes'!$D$5:$D$1000,"&lt;="&amp;INDEX('Base Exámenes'!$D:$D,$L103)))</f>
        <v/>
      </c>
      <c r="F103" s="23" t="str">
        <f>IF($L103="","",INDEX('Base Exámenes'!$D:$D,$L103))</f>
        <v/>
      </c>
      <c r="G103" s="23" t="str">
        <f>IF($L103="","",INDEX('Base Exámenes'!$E:$E,$L103))</f>
        <v/>
      </c>
      <c r="H103" s="24" t="str">
        <f>IF($L103="","",INDEX('Base Exámenes'!$F:$F,$L103))</f>
        <v/>
      </c>
      <c r="I103" s="5" t="str">
        <f>IF($L103="","",INDEX('Base Exámenes'!$G:$G,$L103))</f>
        <v/>
      </c>
      <c r="J103" s="5" t="str">
        <f>IF($L103="","",IF($L103-4=MATCH(INDEX('Base Exámenes'!$C:$C,$L103)&amp;"|"&amp;_xlfn.MAXIFS('Base Exámenes'!$G$5:$G$1000,'Base Exámenes'!$C$5:$C$1000,INDEX('Base Exámenes'!$C:$C,$L103)),'Base Exámenes'!$I$5:$I$1000,0),"Sí",""))</f>
        <v/>
      </c>
      <c r="L103" t="str">
        <f>IFERROR(MATCH(SMALL(Cálculos!$AQ$5:$AQ$1000,99),Cálculos!$AQ$5:$AQ$1000,0)+4,"")</f>
        <v/>
      </c>
    </row>
    <row r="104">
      <c r="A104" s="5" t="str">
        <f>IF($L104="","",TRIM(INDEX('Base Exámenes'!$C:$C,$L104)))</f>
        <v/>
      </c>
      <c r="B104" s="5" t="str">
        <f>IF($L104="","",IFERROR(INDEX('Detalle individual'!$B:$B,MATCH($A104,'Detalle individual'!$A:$A,0)),TRIM(INDEX('Base Exámenes'!$A:$A,$L104))))</f>
        <v/>
      </c>
      <c r="C104" s="5" t="str">
        <f>IF($L104="","",IFERROR(INDEX('Detalle individual'!$C:$C,MATCH($A104,'Detalle individual'!$A:$A,0)),TRIM(INDEX('Base Exámenes'!$B:$B,$L104))))</f>
        <v/>
      </c>
      <c r="D104" s="5" t="str">
        <f>IF($L104="","",IFERROR(INDEX('Detalle individual'!$D:$D,MATCH($A104,'Detalle individual'!$A:$A,0)),"(no está en Base Oficial)"))</f>
        <v/>
      </c>
      <c r="E104" s="5" t="str">
        <f>IF($L104="","",COUNTIFS('Base Exámenes'!$C$5:$C$1000,INDEX('Base Exámenes'!$C:$C,$L104),'Base Exámenes'!$D$5:$D$1000,"&lt;="&amp;INDEX('Base Exámenes'!$D:$D,$L104)))</f>
        <v/>
      </c>
      <c r="F104" s="23" t="str">
        <f>IF($L104="","",INDEX('Base Exámenes'!$D:$D,$L104))</f>
        <v/>
      </c>
      <c r="G104" s="23" t="str">
        <f>IF($L104="","",INDEX('Base Exámenes'!$E:$E,$L104))</f>
        <v/>
      </c>
      <c r="H104" s="24" t="str">
        <f>IF($L104="","",INDEX('Base Exámenes'!$F:$F,$L104))</f>
        <v/>
      </c>
      <c r="I104" s="5" t="str">
        <f>IF($L104="","",INDEX('Base Exámenes'!$G:$G,$L104))</f>
        <v/>
      </c>
      <c r="J104" s="5" t="str">
        <f>IF($L104="","",IF($L104-4=MATCH(INDEX('Base Exámenes'!$C:$C,$L104)&amp;"|"&amp;_xlfn.MAXIFS('Base Exámenes'!$G$5:$G$1000,'Base Exámenes'!$C$5:$C$1000,INDEX('Base Exámenes'!$C:$C,$L104)),'Base Exámenes'!$I$5:$I$1000,0),"Sí",""))</f>
        <v/>
      </c>
      <c r="L104" t="str">
        <f>IFERROR(MATCH(SMALL(Cálculos!$AQ$5:$AQ$1000,100),Cálculos!$AQ$5:$AQ$1000,0)+4,"")</f>
        <v/>
      </c>
    </row>
    <row r="105">
      <c r="A105" s="5" t="str">
        <f>IF($L105="","",TRIM(INDEX('Base Exámenes'!$C:$C,$L105)))</f>
        <v/>
      </c>
      <c r="B105" s="5" t="str">
        <f>IF($L105="","",IFERROR(INDEX('Detalle individual'!$B:$B,MATCH($A105,'Detalle individual'!$A:$A,0)),TRIM(INDEX('Base Exámenes'!$A:$A,$L105))))</f>
        <v/>
      </c>
      <c r="C105" s="5" t="str">
        <f>IF($L105="","",IFERROR(INDEX('Detalle individual'!$C:$C,MATCH($A105,'Detalle individual'!$A:$A,0)),TRIM(INDEX('Base Exámenes'!$B:$B,$L105))))</f>
        <v/>
      </c>
      <c r="D105" s="5" t="str">
        <f>IF($L105="","",IFERROR(INDEX('Detalle individual'!$D:$D,MATCH($A105,'Detalle individual'!$A:$A,0)),"(no está en Base Oficial)"))</f>
        <v/>
      </c>
      <c r="E105" s="5" t="str">
        <f>IF($L105="","",COUNTIFS('Base Exámenes'!$C$5:$C$1000,INDEX('Base Exámenes'!$C:$C,$L105),'Base Exámenes'!$D$5:$D$1000,"&lt;="&amp;INDEX('Base Exámenes'!$D:$D,$L105)))</f>
        <v/>
      </c>
      <c r="F105" s="23" t="str">
        <f>IF($L105="","",INDEX('Base Exámenes'!$D:$D,$L105))</f>
        <v/>
      </c>
      <c r="G105" s="23" t="str">
        <f>IF($L105="","",INDEX('Base Exámenes'!$E:$E,$L105))</f>
        <v/>
      </c>
      <c r="H105" s="24" t="str">
        <f>IF($L105="","",INDEX('Base Exámenes'!$F:$F,$L105))</f>
        <v/>
      </c>
      <c r="I105" s="5" t="str">
        <f>IF($L105="","",INDEX('Base Exámenes'!$G:$G,$L105))</f>
        <v/>
      </c>
      <c r="J105" s="5" t="str">
        <f>IF($L105="","",IF($L105-4=MATCH(INDEX('Base Exámenes'!$C:$C,$L105)&amp;"|"&amp;_xlfn.MAXIFS('Base Exámenes'!$G$5:$G$1000,'Base Exámenes'!$C$5:$C$1000,INDEX('Base Exámenes'!$C:$C,$L105)),'Base Exámenes'!$I$5:$I$1000,0),"Sí",""))</f>
        <v/>
      </c>
      <c r="L105" t="str">
        <f>IFERROR(MATCH(SMALL(Cálculos!$AQ$5:$AQ$1000,101),Cálculos!$AQ$5:$AQ$1000,0)+4,"")</f>
        <v/>
      </c>
    </row>
    <row r="106">
      <c r="A106" s="5" t="str">
        <f>IF($L106="","",TRIM(INDEX('Base Exámenes'!$C:$C,$L106)))</f>
        <v/>
      </c>
      <c r="B106" s="5" t="str">
        <f>IF($L106="","",IFERROR(INDEX('Detalle individual'!$B:$B,MATCH($A106,'Detalle individual'!$A:$A,0)),TRIM(INDEX('Base Exámenes'!$A:$A,$L106))))</f>
        <v/>
      </c>
      <c r="C106" s="5" t="str">
        <f>IF($L106="","",IFERROR(INDEX('Detalle individual'!$C:$C,MATCH($A106,'Detalle individual'!$A:$A,0)),TRIM(INDEX('Base Exámenes'!$B:$B,$L106))))</f>
        <v/>
      </c>
      <c r="D106" s="5" t="str">
        <f>IF($L106="","",IFERROR(INDEX('Detalle individual'!$D:$D,MATCH($A106,'Detalle individual'!$A:$A,0)),"(no está en Base Oficial)"))</f>
        <v/>
      </c>
      <c r="E106" s="5" t="str">
        <f>IF($L106="","",COUNTIFS('Base Exámenes'!$C$5:$C$1000,INDEX('Base Exámenes'!$C:$C,$L106),'Base Exámenes'!$D$5:$D$1000,"&lt;="&amp;INDEX('Base Exámenes'!$D:$D,$L106)))</f>
        <v/>
      </c>
      <c r="F106" s="23" t="str">
        <f>IF($L106="","",INDEX('Base Exámenes'!$D:$D,$L106))</f>
        <v/>
      </c>
      <c r="G106" s="23" t="str">
        <f>IF($L106="","",INDEX('Base Exámenes'!$E:$E,$L106))</f>
        <v/>
      </c>
      <c r="H106" s="24" t="str">
        <f>IF($L106="","",INDEX('Base Exámenes'!$F:$F,$L106))</f>
        <v/>
      </c>
      <c r="I106" s="5" t="str">
        <f>IF($L106="","",INDEX('Base Exámenes'!$G:$G,$L106))</f>
        <v/>
      </c>
      <c r="J106" s="5" t="str">
        <f>IF($L106="","",IF($L106-4=MATCH(INDEX('Base Exámenes'!$C:$C,$L106)&amp;"|"&amp;_xlfn.MAXIFS('Base Exámenes'!$G$5:$G$1000,'Base Exámenes'!$C$5:$C$1000,INDEX('Base Exámenes'!$C:$C,$L106)),'Base Exámenes'!$I$5:$I$1000,0),"Sí",""))</f>
        <v/>
      </c>
      <c r="L106" t="str">
        <f>IFERROR(MATCH(SMALL(Cálculos!$AQ$5:$AQ$1000,102),Cálculos!$AQ$5:$AQ$1000,0)+4,"")</f>
        <v/>
      </c>
    </row>
    <row r="107">
      <c r="A107" s="5" t="str">
        <f>IF($L107="","",TRIM(INDEX('Base Exámenes'!$C:$C,$L107)))</f>
        <v/>
      </c>
      <c r="B107" s="5" t="str">
        <f>IF($L107="","",IFERROR(INDEX('Detalle individual'!$B:$B,MATCH($A107,'Detalle individual'!$A:$A,0)),TRIM(INDEX('Base Exámenes'!$A:$A,$L107))))</f>
        <v/>
      </c>
      <c r="C107" s="5" t="str">
        <f>IF($L107="","",IFERROR(INDEX('Detalle individual'!$C:$C,MATCH($A107,'Detalle individual'!$A:$A,0)),TRIM(INDEX('Base Exámenes'!$B:$B,$L107))))</f>
        <v/>
      </c>
      <c r="D107" s="5" t="str">
        <f>IF($L107="","",IFERROR(INDEX('Detalle individual'!$D:$D,MATCH($A107,'Detalle individual'!$A:$A,0)),"(no está en Base Oficial)"))</f>
        <v/>
      </c>
      <c r="E107" s="5" t="str">
        <f>IF($L107="","",COUNTIFS('Base Exámenes'!$C$5:$C$1000,INDEX('Base Exámenes'!$C:$C,$L107),'Base Exámenes'!$D$5:$D$1000,"&lt;="&amp;INDEX('Base Exámenes'!$D:$D,$L107)))</f>
        <v/>
      </c>
      <c r="F107" s="23" t="str">
        <f>IF($L107="","",INDEX('Base Exámenes'!$D:$D,$L107))</f>
        <v/>
      </c>
      <c r="G107" s="23" t="str">
        <f>IF($L107="","",INDEX('Base Exámenes'!$E:$E,$L107))</f>
        <v/>
      </c>
      <c r="H107" s="24" t="str">
        <f>IF($L107="","",INDEX('Base Exámenes'!$F:$F,$L107))</f>
        <v/>
      </c>
      <c r="I107" s="5" t="str">
        <f>IF($L107="","",INDEX('Base Exámenes'!$G:$G,$L107))</f>
        <v/>
      </c>
      <c r="J107" s="5" t="str">
        <f>IF($L107="","",IF($L107-4=MATCH(INDEX('Base Exámenes'!$C:$C,$L107)&amp;"|"&amp;_xlfn.MAXIFS('Base Exámenes'!$G$5:$G$1000,'Base Exámenes'!$C$5:$C$1000,INDEX('Base Exámenes'!$C:$C,$L107)),'Base Exámenes'!$I$5:$I$1000,0),"Sí",""))</f>
        <v/>
      </c>
      <c r="L107" t="str">
        <f>IFERROR(MATCH(SMALL(Cálculos!$AQ$5:$AQ$1000,103),Cálculos!$AQ$5:$AQ$1000,0)+4,"")</f>
        <v/>
      </c>
    </row>
    <row r="108">
      <c r="A108" s="5" t="str">
        <f>IF($L108="","",TRIM(INDEX('Base Exámenes'!$C:$C,$L108)))</f>
        <v/>
      </c>
      <c r="B108" s="5" t="str">
        <f>IF($L108="","",IFERROR(INDEX('Detalle individual'!$B:$B,MATCH($A108,'Detalle individual'!$A:$A,0)),TRIM(INDEX('Base Exámenes'!$A:$A,$L108))))</f>
        <v/>
      </c>
      <c r="C108" s="5" t="str">
        <f>IF($L108="","",IFERROR(INDEX('Detalle individual'!$C:$C,MATCH($A108,'Detalle individual'!$A:$A,0)),TRIM(INDEX('Base Exámenes'!$B:$B,$L108))))</f>
        <v/>
      </c>
      <c r="D108" s="5" t="str">
        <f>IF($L108="","",IFERROR(INDEX('Detalle individual'!$D:$D,MATCH($A108,'Detalle individual'!$A:$A,0)),"(no está en Base Oficial)"))</f>
        <v/>
      </c>
      <c r="E108" s="5" t="str">
        <f>IF($L108="","",COUNTIFS('Base Exámenes'!$C$5:$C$1000,INDEX('Base Exámenes'!$C:$C,$L108),'Base Exámenes'!$D$5:$D$1000,"&lt;="&amp;INDEX('Base Exámenes'!$D:$D,$L108)))</f>
        <v/>
      </c>
      <c r="F108" s="23" t="str">
        <f>IF($L108="","",INDEX('Base Exámenes'!$D:$D,$L108))</f>
        <v/>
      </c>
      <c r="G108" s="23" t="str">
        <f>IF($L108="","",INDEX('Base Exámenes'!$E:$E,$L108))</f>
        <v/>
      </c>
      <c r="H108" s="24" t="str">
        <f>IF($L108="","",INDEX('Base Exámenes'!$F:$F,$L108))</f>
        <v/>
      </c>
      <c r="I108" s="5" t="str">
        <f>IF($L108="","",INDEX('Base Exámenes'!$G:$G,$L108))</f>
        <v/>
      </c>
      <c r="J108" s="5" t="str">
        <f>IF($L108="","",IF($L108-4=MATCH(INDEX('Base Exámenes'!$C:$C,$L108)&amp;"|"&amp;_xlfn.MAXIFS('Base Exámenes'!$G$5:$G$1000,'Base Exámenes'!$C$5:$C$1000,INDEX('Base Exámenes'!$C:$C,$L108)),'Base Exámenes'!$I$5:$I$1000,0),"Sí",""))</f>
        <v/>
      </c>
      <c r="L108" t="str">
        <f>IFERROR(MATCH(SMALL(Cálculos!$AQ$5:$AQ$1000,104),Cálculos!$AQ$5:$AQ$1000,0)+4,"")</f>
        <v/>
      </c>
    </row>
    <row r="109">
      <c r="A109" s="5" t="str">
        <f>IF($L109="","",TRIM(INDEX('Base Exámenes'!$C:$C,$L109)))</f>
        <v/>
      </c>
      <c r="B109" s="5" t="str">
        <f>IF($L109="","",IFERROR(INDEX('Detalle individual'!$B:$B,MATCH($A109,'Detalle individual'!$A:$A,0)),TRIM(INDEX('Base Exámenes'!$A:$A,$L109))))</f>
        <v/>
      </c>
      <c r="C109" s="5" t="str">
        <f>IF($L109="","",IFERROR(INDEX('Detalle individual'!$C:$C,MATCH($A109,'Detalle individual'!$A:$A,0)),TRIM(INDEX('Base Exámenes'!$B:$B,$L109))))</f>
        <v/>
      </c>
      <c r="D109" s="5" t="str">
        <f>IF($L109="","",IFERROR(INDEX('Detalle individual'!$D:$D,MATCH($A109,'Detalle individual'!$A:$A,0)),"(no está en Base Oficial)"))</f>
        <v/>
      </c>
      <c r="E109" s="5" t="str">
        <f>IF($L109="","",COUNTIFS('Base Exámenes'!$C$5:$C$1000,INDEX('Base Exámenes'!$C:$C,$L109),'Base Exámenes'!$D$5:$D$1000,"&lt;="&amp;INDEX('Base Exámenes'!$D:$D,$L109)))</f>
        <v/>
      </c>
      <c r="F109" s="23" t="str">
        <f>IF($L109="","",INDEX('Base Exámenes'!$D:$D,$L109))</f>
        <v/>
      </c>
      <c r="G109" s="23" t="str">
        <f>IF($L109="","",INDEX('Base Exámenes'!$E:$E,$L109))</f>
        <v/>
      </c>
      <c r="H109" s="24" t="str">
        <f>IF($L109="","",INDEX('Base Exámenes'!$F:$F,$L109))</f>
        <v/>
      </c>
      <c r="I109" s="5" t="str">
        <f>IF($L109="","",INDEX('Base Exámenes'!$G:$G,$L109))</f>
        <v/>
      </c>
      <c r="J109" s="5" t="str">
        <f>IF($L109="","",IF($L109-4=MATCH(INDEX('Base Exámenes'!$C:$C,$L109)&amp;"|"&amp;_xlfn.MAXIFS('Base Exámenes'!$G$5:$G$1000,'Base Exámenes'!$C$5:$C$1000,INDEX('Base Exámenes'!$C:$C,$L109)),'Base Exámenes'!$I$5:$I$1000,0),"Sí",""))</f>
        <v/>
      </c>
      <c r="L109" t="str">
        <f>IFERROR(MATCH(SMALL(Cálculos!$AQ$5:$AQ$1000,105),Cálculos!$AQ$5:$AQ$1000,0)+4,"")</f>
        <v/>
      </c>
    </row>
    <row r="110">
      <c r="A110" s="5" t="str">
        <f>IF($L110="","",TRIM(INDEX('Base Exámenes'!$C:$C,$L110)))</f>
        <v/>
      </c>
      <c r="B110" s="5" t="str">
        <f>IF($L110="","",IFERROR(INDEX('Detalle individual'!$B:$B,MATCH($A110,'Detalle individual'!$A:$A,0)),TRIM(INDEX('Base Exámenes'!$A:$A,$L110))))</f>
        <v/>
      </c>
      <c r="C110" s="5" t="str">
        <f>IF($L110="","",IFERROR(INDEX('Detalle individual'!$C:$C,MATCH($A110,'Detalle individual'!$A:$A,0)),TRIM(INDEX('Base Exámenes'!$B:$B,$L110))))</f>
        <v/>
      </c>
      <c r="D110" s="5" t="str">
        <f>IF($L110="","",IFERROR(INDEX('Detalle individual'!$D:$D,MATCH($A110,'Detalle individual'!$A:$A,0)),"(no está en Base Oficial)"))</f>
        <v/>
      </c>
      <c r="E110" s="5" t="str">
        <f>IF($L110="","",COUNTIFS('Base Exámenes'!$C$5:$C$1000,INDEX('Base Exámenes'!$C:$C,$L110),'Base Exámenes'!$D$5:$D$1000,"&lt;="&amp;INDEX('Base Exámenes'!$D:$D,$L110)))</f>
        <v/>
      </c>
      <c r="F110" s="23" t="str">
        <f>IF($L110="","",INDEX('Base Exámenes'!$D:$D,$L110))</f>
        <v/>
      </c>
      <c r="G110" s="23" t="str">
        <f>IF($L110="","",INDEX('Base Exámenes'!$E:$E,$L110))</f>
        <v/>
      </c>
      <c r="H110" s="24" t="str">
        <f>IF($L110="","",INDEX('Base Exámenes'!$F:$F,$L110))</f>
        <v/>
      </c>
      <c r="I110" s="5" t="str">
        <f>IF($L110="","",INDEX('Base Exámenes'!$G:$G,$L110))</f>
        <v/>
      </c>
      <c r="J110" s="5" t="str">
        <f>IF($L110="","",IF($L110-4=MATCH(INDEX('Base Exámenes'!$C:$C,$L110)&amp;"|"&amp;_xlfn.MAXIFS('Base Exámenes'!$G$5:$G$1000,'Base Exámenes'!$C$5:$C$1000,INDEX('Base Exámenes'!$C:$C,$L110)),'Base Exámenes'!$I$5:$I$1000,0),"Sí",""))</f>
        <v/>
      </c>
      <c r="L110" t="str">
        <f>IFERROR(MATCH(SMALL(Cálculos!$AQ$5:$AQ$1000,106),Cálculos!$AQ$5:$AQ$1000,0)+4,"")</f>
        <v/>
      </c>
    </row>
    <row r="111">
      <c r="A111" s="5" t="str">
        <f>IF($L111="","",TRIM(INDEX('Base Exámenes'!$C:$C,$L111)))</f>
        <v/>
      </c>
      <c r="B111" s="5" t="str">
        <f>IF($L111="","",IFERROR(INDEX('Detalle individual'!$B:$B,MATCH($A111,'Detalle individual'!$A:$A,0)),TRIM(INDEX('Base Exámenes'!$A:$A,$L111))))</f>
        <v/>
      </c>
      <c r="C111" s="5" t="str">
        <f>IF($L111="","",IFERROR(INDEX('Detalle individual'!$C:$C,MATCH($A111,'Detalle individual'!$A:$A,0)),TRIM(INDEX('Base Exámenes'!$B:$B,$L111))))</f>
        <v/>
      </c>
      <c r="D111" s="5" t="str">
        <f>IF($L111="","",IFERROR(INDEX('Detalle individual'!$D:$D,MATCH($A111,'Detalle individual'!$A:$A,0)),"(no está en Base Oficial)"))</f>
        <v/>
      </c>
      <c r="E111" s="5" t="str">
        <f>IF($L111="","",COUNTIFS('Base Exámenes'!$C$5:$C$1000,INDEX('Base Exámenes'!$C:$C,$L111),'Base Exámenes'!$D$5:$D$1000,"&lt;="&amp;INDEX('Base Exámenes'!$D:$D,$L111)))</f>
        <v/>
      </c>
      <c r="F111" s="23" t="str">
        <f>IF($L111="","",INDEX('Base Exámenes'!$D:$D,$L111))</f>
        <v/>
      </c>
      <c r="G111" s="23" t="str">
        <f>IF($L111="","",INDEX('Base Exámenes'!$E:$E,$L111))</f>
        <v/>
      </c>
      <c r="H111" s="24" t="str">
        <f>IF($L111="","",INDEX('Base Exámenes'!$F:$F,$L111))</f>
        <v/>
      </c>
      <c r="I111" s="5" t="str">
        <f>IF($L111="","",INDEX('Base Exámenes'!$G:$G,$L111))</f>
        <v/>
      </c>
      <c r="J111" s="5" t="str">
        <f>IF($L111="","",IF($L111-4=MATCH(INDEX('Base Exámenes'!$C:$C,$L111)&amp;"|"&amp;_xlfn.MAXIFS('Base Exámenes'!$G$5:$G$1000,'Base Exámenes'!$C$5:$C$1000,INDEX('Base Exámenes'!$C:$C,$L111)),'Base Exámenes'!$I$5:$I$1000,0),"Sí",""))</f>
        <v/>
      </c>
      <c r="L111" t="str">
        <f>IFERROR(MATCH(SMALL(Cálculos!$AQ$5:$AQ$1000,107),Cálculos!$AQ$5:$AQ$1000,0)+4,"")</f>
        <v/>
      </c>
    </row>
    <row r="112">
      <c r="A112" s="5" t="str">
        <f>IF($L112="","",TRIM(INDEX('Base Exámenes'!$C:$C,$L112)))</f>
        <v/>
      </c>
      <c r="B112" s="5" t="str">
        <f>IF($L112="","",IFERROR(INDEX('Detalle individual'!$B:$B,MATCH($A112,'Detalle individual'!$A:$A,0)),TRIM(INDEX('Base Exámenes'!$A:$A,$L112))))</f>
        <v/>
      </c>
      <c r="C112" s="5" t="str">
        <f>IF($L112="","",IFERROR(INDEX('Detalle individual'!$C:$C,MATCH($A112,'Detalle individual'!$A:$A,0)),TRIM(INDEX('Base Exámenes'!$B:$B,$L112))))</f>
        <v/>
      </c>
      <c r="D112" s="5" t="str">
        <f>IF($L112="","",IFERROR(INDEX('Detalle individual'!$D:$D,MATCH($A112,'Detalle individual'!$A:$A,0)),"(no está en Base Oficial)"))</f>
        <v/>
      </c>
      <c r="E112" s="5" t="str">
        <f>IF($L112="","",COUNTIFS('Base Exámenes'!$C$5:$C$1000,INDEX('Base Exámenes'!$C:$C,$L112),'Base Exámenes'!$D$5:$D$1000,"&lt;="&amp;INDEX('Base Exámenes'!$D:$D,$L112)))</f>
        <v/>
      </c>
      <c r="F112" s="23" t="str">
        <f>IF($L112="","",INDEX('Base Exámenes'!$D:$D,$L112))</f>
        <v/>
      </c>
      <c r="G112" s="23" t="str">
        <f>IF($L112="","",INDEX('Base Exámenes'!$E:$E,$L112))</f>
        <v/>
      </c>
      <c r="H112" s="24" t="str">
        <f>IF($L112="","",INDEX('Base Exámenes'!$F:$F,$L112))</f>
        <v/>
      </c>
      <c r="I112" s="5" t="str">
        <f>IF($L112="","",INDEX('Base Exámenes'!$G:$G,$L112))</f>
        <v/>
      </c>
      <c r="J112" s="5" t="str">
        <f>IF($L112="","",IF($L112-4=MATCH(INDEX('Base Exámenes'!$C:$C,$L112)&amp;"|"&amp;_xlfn.MAXIFS('Base Exámenes'!$G$5:$G$1000,'Base Exámenes'!$C$5:$C$1000,INDEX('Base Exámenes'!$C:$C,$L112)),'Base Exámenes'!$I$5:$I$1000,0),"Sí",""))</f>
        <v/>
      </c>
      <c r="L112" t="str">
        <f>IFERROR(MATCH(SMALL(Cálculos!$AQ$5:$AQ$1000,108),Cálculos!$AQ$5:$AQ$1000,0)+4,"")</f>
        <v/>
      </c>
    </row>
    <row r="113">
      <c r="A113" s="5" t="str">
        <f>IF($L113="","",TRIM(INDEX('Base Exámenes'!$C:$C,$L113)))</f>
        <v/>
      </c>
      <c r="B113" s="5" t="str">
        <f>IF($L113="","",IFERROR(INDEX('Detalle individual'!$B:$B,MATCH($A113,'Detalle individual'!$A:$A,0)),TRIM(INDEX('Base Exámenes'!$A:$A,$L113))))</f>
        <v/>
      </c>
      <c r="C113" s="5" t="str">
        <f>IF($L113="","",IFERROR(INDEX('Detalle individual'!$C:$C,MATCH($A113,'Detalle individual'!$A:$A,0)),TRIM(INDEX('Base Exámenes'!$B:$B,$L113))))</f>
        <v/>
      </c>
      <c r="D113" s="5" t="str">
        <f>IF($L113="","",IFERROR(INDEX('Detalle individual'!$D:$D,MATCH($A113,'Detalle individual'!$A:$A,0)),"(no está en Base Oficial)"))</f>
        <v/>
      </c>
      <c r="E113" s="5" t="str">
        <f>IF($L113="","",COUNTIFS('Base Exámenes'!$C$5:$C$1000,INDEX('Base Exámenes'!$C:$C,$L113),'Base Exámenes'!$D$5:$D$1000,"&lt;="&amp;INDEX('Base Exámenes'!$D:$D,$L113)))</f>
        <v/>
      </c>
      <c r="F113" s="23" t="str">
        <f>IF($L113="","",INDEX('Base Exámenes'!$D:$D,$L113))</f>
        <v/>
      </c>
      <c r="G113" s="23" t="str">
        <f>IF($L113="","",INDEX('Base Exámenes'!$E:$E,$L113))</f>
        <v/>
      </c>
      <c r="H113" s="24" t="str">
        <f>IF($L113="","",INDEX('Base Exámenes'!$F:$F,$L113))</f>
        <v/>
      </c>
      <c r="I113" s="5" t="str">
        <f>IF($L113="","",INDEX('Base Exámenes'!$G:$G,$L113))</f>
        <v/>
      </c>
      <c r="J113" s="5" t="str">
        <f>IF($L113="","",IF($L113-4=MATCH(INDEX('Base Exámenes'!$C:$C,$L113)&amp;"|"&amp;_xlfn.MAXIFS('Base Exámenes'!$G$5:$G$1000,'Base Exámenes'!$C$5:$C$1000,INDEX('Base Exámenes'!$C:$C,$L113)),'Base Exámenes'!$I$5:$I$1000,0),"Sí",""))</f>
        <v/>
      </c>
      <c r="L113" t="str">
        <f>IFERROR(MATCH(SMALL(Cálculos!$AQ$5:$AQ$1000,109),Cálculos!$AQ$5:$AQ$1000,0)+4,"")</f>
        <v/>
      </c>
    </row>
    <row r="114">
      <c r="A114" s="5" t="str">
        <f>IF($L114="","",TRIM(INDEX('Base Exámenes'!$C:$C,$L114)))</f>
        <v/>
      </c>
      <c r="B114" s="5" t="str">
        <f>IF($L114="","",IFERROR(INDEX('Detalle individual'!$B:$B,MATCH($A114,'Detalle individual'!$A:$A,0)),TRIM(INDEX('Base Exámenes'!$A:$A,$L114))))</f>
        <v/>
      </c>
      <c r="C114" s="5" t="str">
        <f>IF($L114="","",IFERROR(INDEX('Detalle individual'!$C:$C,MATCH($A114,'Detalle individual'!$A:$A,0)),TRIM(INDEX('Base Exámenes'!$B:$B,$L114))))</f>
        <v/>
      </c>
      <c r="D114" s="5" t="str">
        <f>IF($L114="","",IFERROR(INDEX('Detalle individual'!$D:$D,MATCH($A114,'Detalle individual'!$A:$A,0)),"(no está en Base Oficial)"))</f>
        <v/>
      </c>
      <c r="E114" s="5" t="str">
        <f>IF($L114="","",COUNTIFS('Base Exámenes'!$C$5:$C$1000,INDEX('Base Exámenes'!$C:$C,$L114),'Base Exámenes'!$D$5:$D$1000,"&lt;="&amp;INDEX('Base Exámenes'!$D:$D,$L114)))</f>
        <v/>
      </c>
      <c r="F114" s="23" t="str">
        <f>IF($L114="","",INDEX('Base Exámenes'!$D:$D,$L114))</f>
        <v/>
      </c>
      <c r="G114" s="23" t="str">
        <f>IF($L114="","",INDEX('Base Exámenes'!$E:$E,$L114))</f>
        <v/>
      </c>
      <c r="H114" s="24" t="str">
        <f>IF($L114="","",INDEX('Base Exámenes'!$F:$F,$L114))</f>
        <v/>
      </c>
      <c r="I114" s="5" t="str">
        <f>IF($L114="","",INDEX('Base Exámenes'!$G:$G,$L114))</f>
        <v/>
      </c>
      <c r="J114" s="5" t="str">
        <f>IF($L114="","",IF($L114-4=MATCH(INDEX('Base Exámenes'!$C:$C,$L114)&amp;"|"&amp;_xlfn.MAXIFS('Base Exámenes'!$G$5:$G$1000,'Base Exámenes'!$C$5:$C$1000,INDEX('Base Exámenes'!$C:$C,$L114)),'Base Exámenes'!$I$5:$I$1000,0),"Sí",""))</f>
        <v/>
      </c>
      <c r="L114" t="str">
        <f>IFERROR(MATCH(SMALL(Cálculos!$AQ$5:$AQ$1000,110),Cálculos!$AQ$5:$AQ$1000,0)+4,"")</f>
        <v/>
      </c>
    </row>
    <row r="115">
      <c r="A115" s="5" t="str">
        <f>IF($L115="","",TRIM(INDEX('Base Exámenes'!$C:$C,$L115)))</f>
        <v/>
      </c>
      <c r="B115" s="5" t="str">
        <f>IF($L115="","",IFERROR(INDEX('Detalle individual'!$B:$B,MATCH($A115,'Detalle individual'!$A:$A,0)),TRIM(INDEX('Base Exámenes'!$A:$A,$L115))))</f>
        <v/>
      </c>
      <c r="C115" s="5" t="str">
        <f>IF($L115="","",IFERROR(INDEX('Detalle individual'!$C:$C,MATCH($A115,'Detalle individual'!$A:$A,0)),TRIM(INDEX('Base Exámenes'!$B:$B,$L115))))</f>
        <v/>
      </c>
      <c r="D115" s="5" t="str">
        <f>IF($L115="","",IFERROR(INDEX('Detalle individual'!$D:$D,MATCH($A115,'Detalle individual'!$A:$A,0)),"(no está en Base Oficial)"))</f>
        <v/>
      </c>
      <c r="E115" s="5" t="str">
        <f>IF($L115="","",COUNTIFS('Base Exámenes'!$C$5:$C$1000,INDEX('Base Exámenes'!$C:$C,$L115),'Base Exámenes'!$D$5:$D$1000,"&lt;="&amp;INDEX('Base Exámenes'!$D:$D,$L115)))</f>
        <v/>
      </c>
      <c r="F115" s="23" t="str">
        <f>IF($L115="","",INDEX('Base Exámenes'!$D:$D,$L115))</f>
        <v/>
      </c>
      <c r="G115" s="23" t="str">
        <f>IF($L115="","",INDEX('Base Exámenes'!$E:$E,$L115))</f>
        <v/>
      </c>
      <c r="H115" s="24" t="str">
        <f>IF($L115="","",INDEX('Base Exámenes'!$F:$F,$L115))</f>
        <v/>
      </c>
      <c r="I115" s="5" t="str">
        <f>IF($L115="","",INDEX('Base Exámenes'!$G:$G,$L115))</f>
        <v/>
      </c>
      <c r="J115" s="5" t="str">
        <f>IF($L115="","",IF($L115-4=MATCH(INDEX('Base Exámenes'!$C:$C,$L115)&amp;"|"&amp;_xlfn.MAXIFS('Base Exámenes'!$G$5:$G$1000,'Base Exámenes'!$C$5:$C$1000,INDEX('Base Exámenes'!$C:$C,$L115)),'Base Exámenes'!$I$5:$I$1000,0),"Sí",""))</f>
        <v/>
      </c>
      <c r="L115" t="str">
        <f>IFERROR(MATCH(SMALL(Cálculos!$AQ$5:$AQ$1000,111),Cálculos!$AQ$5:$AQ$1000,0)+4,"")</f>
        <v/>
      </c>
    </row>
    <row r="116">
      <c r="A116" s="5" t="str">
        <f>IF($L116="","",TRIM(INDEX('Base Exámenes'!$C:$C,$L116)))</f>
        <v/>
      </c>
      <c r="B116" s="5" t="str">
        <f>IF($L116="","",IFERROR(INDEX('Detalle individual'!$B:$B,MATCH($A116,'Detalle individual'!$A:$A,0)),TRIM(INDEX('Base Exámenes'!$A:$A,$L116))))</f>
        <v/>
      </c>
      <c r="C116" s="5" t="str">
        <f>IF($L116="","",IFERROR(INDEX('Detalle individual'!$C:$C,MATCH($A116,'Detalle individual'!$A:$A,0)),TRIM(INDEX('Base Exámenes'!$B:$B,$L116))))</f>
        <v/>
      </c>
      <c r="D116" s="5" t="str">
        <f>IF($L116="","",IFERROR(INDEX('Detalle individual'!$D:$D,MATCH($A116,'Detalle individual'!$A:$A,0)),"(no está en Base Oficial)"))</f>
        <v/>
      </c>
      <c r="E116" s="5" t="str">
        <f>IF($L116="","",COUNTIFS('Base Exámenes'!$C$5:$C$1000,INDEX('Base Exámenes'!$C:$C,$L116),'Base Exámenes'!$D$5:$D$1000,"&lt;="&amp;INDEX('Base Exámenes'!$D:$D,$L116)))</f>
        <v/>
      </c>
      <c r="F116" s="23" t="str">
        <f>IF($L116="","",INDEX('Base Exámenes'!$D:$D,$L116))</f>
        <v/>
      </c>
      <c r="G116" s="23" t="str">
        <f>IF($L116="","",INDEX('Base Exámenes'!$E:$E,$L116))</f>
        <v/>
      </c>
      <c r="H116" s="24" t="str">
        <f>IF($L116="","",INDEX('Base Exámenes'!$F:$F,$L116))</f>
        <v/>
      </c>
      <c r="I116" s="5" t="str">
        <f>IF($L116="","",INDEX('Base Exámenes'!$G:$G,$L116))</f>
        <v/>
      </c>
      <c r="J116" s="5" t="str">
        <f>IF($L116="","",IF($L116-4=MATCH(INDEX('Base Exámenes'!$C:$C,$L116)&amp;"|"&amp;_xlfn.MAXIFS('Base Exámenes'!$G$5:$G$1000,'Base Exámenes'!$C$5:$C$1000,INDEX('Base Exámenes'!$C:$C,$L116)),'Base Exámenes'!$I$5:$I$1000,0),"Sí",""))</f>
        <v/>
      </c>
      <c r="L116" t="str">
        <f>IFERROR(MATCH(SMALL(Cálculos!$AQ$5:$AQ$1000,112),Cálculos!$AQ$5:$AQ$1000,0)+4,"")</f>
        <v/>
      </c>
    </row>
    <row r="117">
      <c r="A117" s="5" t="str">
        <f>IF($L117="","",TRIM(INDEX('Base Exámenes'!$C:$C,$L117)))</f>
        <v/>
      </c>
      <c r="B117" s="5" t="str">
        <f>IF($L117="","",IFERROR(INDEX('Detalle individual'!$B:$B,MATCH($A117,'Detalle individual'!$A:$A,0)),TRIM(INDEX('Base Exámenes'!$A:$A,$L117))))</f>
        <v/>
      </c>
      <c r="C117" s="5" t="str">
        <f>IF($L117="","",IFERROR(INDEX('Detalle individual'!$C:$C,MATCH($A117,'Detalle individual'!$A:$A,0)),TRIM(INDEX('Base Exámenes'!$B:$B,$L117))))</f>
        <v/>
      </c>
      <c r="D117" s="5" t="str">
        <f>IF($L117="","",IFERROR(INDEX('Detalle individual'!$D:$D,MATCH($A117,'Detalle individual'!$A:$A,0)),"(no está en Base Oficial)"))</f>
        <v/>
      </c>
      <c r="E117" s="5" t="str">
        <f>IF($L117="","",COUNTIFS('Base Exámenes'!$C$5:$C$1000,INDEX('Base Exámenes'!$C:$C,$L117),'Base Exámenes'!$D$5:$D$1000,"&lt;="&amp;INDEX('Base Exámenes'!$D:$D,$L117)))</f>
        <v/>
      </c>
      <c r="F117" s="23" t="str">
        <f>IF($L117="","",INDEX('Base Exámenes'!$D:$D,$L117))</f>
        <v/>
      </c>
      <c r="G117" s="23" t="str">
        <f>IF($L117="","",INDEX('Base Exámenes'!$E:$E,$L117))</f>
        <v/>
      </c>
      <c r="H117" s="24" t="str">
        <f>IF($L117="","",INDEX('Base Exámenes'!$F:$F,$L117))</f>
        <v/>
      </c>
      <c r="I117" s="5" t="str">
        <f>IF($L117="","",INDEX('Base Exámenes'!$G:$G,$L117))</f>
        <v/>
      </c>
      <c r="J117" s="5" t="str">
        <f>IF($L117="","",IF($L117-4=MATCH(INDEX('Base Exámenes'!$C:$C,$L117)&amp;"|"&amp;_xlfn.MAXIFS('Base Exámenes'!$G$5:$G$1000,'Base Exámenes'!$C$5:$C$1000,INDEX('Base Exámenes'!$C:$C,$L117)),'Base Exámenes'!$I$5:$I$1000,0),"Sí",""))</f>
        <v/>
      </c>
      <c r="L117" t="str">
        <f>IFERROR(MATCH(SMALL(Cálculos!$AQ$5:$AQ$1000,113),Cálculos!$AQ$5:$AQ$1000,0)+4,"")</f>
        <v/>
      </c>
    </row>
    <row r="118">
      <c r="A118" s="5" t="str">
        <f>IF($L118="","",TRIM(INDEX('Base Exámenes'!$C:$C,$L118)))</f>
        <v/>
      </c>
      <c r="B118" s="5" t="str">
        <f>IF($L118="","",IFERROR(INDEX('Detalle individual'!$B:$B,MATCH($A118,'Detalle individual'!$A:$A,0)),TRIM(INDEX('Base Exámenes'!$A:$A,$L118))))</f>
        <v/>
      </c>
      <c r="C118" s="5" t="str">
        <f>IF($L118="","",IFERROR(INDEX('Detalle individual'!$C:$C,MATCH($A118,'Detalle individual'!$A:$A,0)),TRIM(INDEX('Base Exámenes'!$B:$B,$L118))))</f>
        <v/>
      </c>
      <c r="D118" s="5" t="str">
        <f>IF($L118="","",IFERROR(INDEX('Detalle individual'!$D:$D,MATCH($A118,'Detalle individual'!$A:$A,0)),"(no está en Base Oficial)"))</f>
        <v/>
      </c>
      <c r="E118" s="5" t="str">
        <f>IF($L118="","",COUNTIFS('Base Exámenes'!$C$5:$C$1000,INDEX('Base Exámenes'!$C:$C,$L118),'Base Exámenes'!$D$5:$D$1000,"&lt;="&amp;INDEX('Base Exámenes'!$D:$D,$L118)))</f>
        <v/>
      </c>
      <c r="F118" s="23" t="str">
        <f>IF($L118="","",INDEX('Base Exámenes'!$D:$D,$L118))</f>
        <v/>
      </c>
      <c r="G118" s="23" t="str">
        <f>IF($L118="","",INDEX('Base Exámenes'!$E:$E,$L118))</f>
        <v/>
      </c>
      <c r="H118" s="24" t="str">
        <f>IF($L118="","",INDEX('Base Exámenes'!$F:$F,$L118))</f>
        <v/>
      </c>
      <c r="I118" s="5" t="str">
        <f>IF($L118="","",INDEX('Base Exámenes'!$G:$G,$L118))</f>
        <v/>
      </c>
      <c r="J118" s="5" t="str">
        <f>IF($L118="","",IF($L118-4=MATCH(INDEX('Base Exámenes'!$C:$C,$L118)&amp;"|"&amp;_xlfn.MAXIFS('Base Exámenes'!$G$5:$G$1000,'Base Exámenes'!$C$5:$C$1000,INDEX('Base Exámenes'!$C:$C,$L118)),'Base Exámenes'!$I$5:$I$1000,0),"Sí",""))</f>
        <v/>
      </c>
      <c r="L118" t="str">
        <f>IFERROR(MATCH(SMALL(Cálculos!$AQ$5:$AQ$1000,114),Cálculos!$AQ$5:$AQ$1000,0)+4,"")</f>
        <v/>
      </c>
    </row>
    <row r="119">
      <c r="A119" s="5" t="str">
        <f>IF($L119="","",TRIM(INDEX('Base Exámenes'!$C:$C,$L119)))</f>
        <v/>
      </c>
      <c r="B119" s="5" t="str">
        <f>IF($L119="","",IFERROR(INDEX('Detalle individual'!$B:$B,MATCH($A119,'Detalle individual'!$A:$A,0)),TRIM(INDEX('Base Exámenes'!$A:$A,$L119))))</f>
        <v/>
      </c>
      <c r="C119" s="5" t="str">
        <f>IF($L119="","",IFERROR(INDEX('Detalle individual'!$C:$C,MATCH($A119,'Detalle individual'!$A:$A,0)),TRIM(INDEX('Base Exámenes'!$B:$B,$L119))))</f>
        <v/>
      </c>
      <c r="D119" s="5" t="str">
        <f>IF($L119="","",IFERROR(INDEX('Detalle individual'!$D:$D,MATCH($A119,'Detalle individual'!$A:$A,0)),"(no está en Base Oficial)"))</f>
        <v/>
      </c>
      <c r="E119" s="5" t="str">
        <f>IF($L119="","",COUNTIFS('Base Exámenes'!$C$5:$C$1000,INDEX('Base Exámenes'!$C:$C,$L119),'Base Exámenes'!$D$5:$D$1000,"&lt;="&amp;INDEX('Base Exámenes'!$D:$D,$L119)))</f>
        <v/>
      </c>
      <c r="F119" s="23" t="str">
        <f>IF($L119="","",INDEX('Base Exámenes'!$D:$D,$L119))</f>
        <v/>
      </c>
      <c r="G119" s="23" t="str">
        <f>IF($L119="","",INDEX('Base Exámenes'!$E:$E,$L119))</f>
        <v/>
      </c>
      <c r="H119" s="24" t="str">
        <f>IF($L119="","",INDEX('Base Exámenes'!$F:$F,$L119))</f>
        <v/>
      </c>
      <c r="I119" s="5" t="str">
        <f>IF($L119="","",INDEX('Base Exámenes'!$G:$G,$L119))</f>
        <v/>
      </c>
      <c r="J119" s="5" t="str">
        <f>IF($L119="","",IF($L119-4=MATCH(INDEX('Base Exámenes'!$C:$C,$L119)&amp;"|"&amp;_xlfn.MAXIFS('Base Exámenes'!$G$5:$G$1000,'Base Exámenes'!$C$5:$C$1000,INDEX('Base Exámenes'!$C:$C,$L119)),'Base Exámenes'!$I$5:$I$1000,0),"Sí",""))</f>
        <v/>
      </c>
      <c r="L119" t="str">
        <f>IFERROR(MATCH(SMALL(Cálculos!$AQ$5:$AQ$1000,115),Cálculos!$AQ$5:$AQ$1000,0)+4,"")</f>
        <v/>
      </c>
    </row>
    <row r="120">
      <c r="A120" s="5" t="str">
        <f>IF($L120="","",TRIM(INDEX('Base Exámenes'!$C:$C,$L120)))</f>
        <v/>
      </c>
      <c r="B120" s="5" t="str">
        <f>IF($L120="","",IFERROR(INDEX('Detalle individual'!$B:$B,MATCH($A120,'Detalle individual'!$A:$A,0)),TRIM(INDEX('Base Exámenes'!$A:$A,$L120))))</f>
        <v/>
      </c>
      <c r="C120" s="5" t="str">
        <f>IF($L120="","",IFERROR(INDEX('Detalle individual'!$C:$C,MATCH($A120,'Detalle individual'!$A:$A,0)),TRIM(INDEX('Base Exámenes'!$B:$B,$L120))))</f>
        <v/>
      </c>
      <c r="D120" s="5" t="str">
        <f>IF($L120="","",IFERROR(INDEX('Detalle individual'!$D:$D,MATCH($A120,'Detalle individual'!$A:$A,0)),"(no está en Base Oficial)"))</f>
        <v/>
      </c>
      <c r="E120" s="5" t="str">
        <f>IF($L120="","",COUNTIFS('Base Exámenes'!$C$5:$C$1000,INDEX('Base Exámenes'!$C:$C,$L120),'Base Exámenes'!$D$5:$D$1000,"&lt;="&amp;INDEX('Base Exámenes'!$D:$D,$L120)))</f>
        <v/>
      </c>
      <c r="F120" s="23" t="str">
        <f>IF($L120="","",INDEX('Base Exámenes'!$D:$D,$L120))</f>
        <v/>
      </c>
      <c r="G120" s="23" t="str">
        <f>IF($L120="","",INDEX('Base Exámenes'!$E:$E,$L120))</f>
        <v/>
      </c>
      <c r="H120" s="24" t="str">
        <f>IF($L120="","",INDEX('Base Exámenes'!$F:$F,$L120))</f>
        <v/>
      </c>
      <c r="I120" s="5" t="str">
        <f>IF($L120="","",INDEX('Base Exámenes'!$G:$G,$L120))</f>
        <v/>
      </c>
      <c r="J120" s="5" t="str">
        <f>IF($L120="","",IF($L120-4=MATCH(INDEX('Base Exámenes'!$C:$C,$L120)&amp;"|"&amp;_xlfn.MAXIFS('Base Exámenes'!$G$5:$G$1000,'Base Exámenes'!$C$5:$C$1000,INDEX('Base Exámenes'!$C:$C,$L120)),'Base Exámenes'!$I$5:$I$1000,0),"Sí",""))</f>
        <v/>
      </c>
      <c r="L120" t="str">
        <f>IFERROR(MATCH(SMALL(Cálculos!$AQ$5:$AQ$1000,116),Cálculos!$AQ$5:$AQ$1000,0)+4,"")</f>
        <v/>
      </c>
    </row>
    <row r="121">
      <c r="A121" s="5" t="str">
        <f>IF($L121="","",TRIM(INDEX('Base Exámenes'!$C:$C,$L121)))</f>
        <v/>
      </c>
      <c r="B121" s="5" t="str">
        <f>IF($L121="","",IFERROR(INDEX('Detalle individual'!$B:$B,MATCH($A121,'Detalle individual'!$A:$A,0)),TRIM(INDEX('Base Exámenes'!$A:$A,$L121))))</f>
        <v/>
      </c>
      <c r="C121" s="5" t="str">
        <f>IF($L121="","",IFERROR(INDEX('Detalle individual'!$C:$C,MATCH($A121,'Detalle individual'!$A:$A,0)),TRIM(INDEX('Base Exámenes'!$B:$B,$L121))))</f>
        <v/>
      </c>
      <c r="D121" s="5" t="str">
        <f>IF($L121="","",IFERROR(INDEX('Detalle individual'!$D:$D,MATCH($A121,'Detalle individual'!$A:$A,0)),"(no está en Base Oficial)"))</f>
        <v/>
      </c>
      <c r="E121" s="5" t="str">
        <f>IF($L121="","",COUNTIFS('Base Exámenes'!$C$5:$C$1000,INDEX('Base Exámenes'!$C:$C,$L121),'Base Exámenes'!$D$5:$D$1000,"&lt;="&amp;INDEX('Base Exámenes'!$D:$D,$L121)))</f>
        <v/>
      </c>
      <c r="F121" s="23" t="str">
        <f>IF($L121="","",INDEX('Base Exámenes'!$D:$D,$L121))</f>
        <v/>
      </c>
      <c r="G121" s="23" t="str">
        <f>IF($L121="","",INDEX('Base Exámenes'!$E:$E,$L121))</f>
        <v/>
      </c>
      <c r="H121" s="24" t="str">
        <f>IF($L121="","",INDEX('Base Exámenes'!$F:$F,$L121))</f>
        <v/>
      </c>
      <c r="I121" s="5" t="str">
        <f>IF($L121="","",INDEX('Base Exámenes'!$G:$G,$L121))</f>
        <v/>
      </c>
      <c r="J121" s="5" t="str">
        <f>IF($L121="","",IF($L121-4=MATCH(INDEX('Base Exámenes'!$C:$C,$L121)&amp;"|"&amp;_xlfn.MAXIFS('Base Exámenes'!$G$5:$G$1000,'Base Exámenes'!$C$5:$C$1000,INDEX('Base Exámenes'!$C:$C,$L121)),'Base Exámenes'!$I$5:$I$1000,0),"Sí",""))</f>
        <v/>
      </c>
      <c r="L121" t="str">
        <f>IFERROR(MATCH(SMALL(Cálculos!$AQ$5:$AQ$1000,117),Cálculos!$AQ$5:$AQ$1000,0)+4,"")</f>
        <v/>
      </c>
    </row>
    <row r="122">
      <c r="A122" s="5" t="str">
        <f>IF($L122="","",TRIM(INDEX('Base Exámenes'!$C:$C,$L122)))</f>
        <v/>
      </c>
      <c r="B122" s="5" t="str">
        <f>IF($L122="","",IFERROR(INDEX('Detalle individual'!$B:$B,MATCH($A122,'Detalle individual'!$A:$A,0)),TRIM(INDEX('Base Exámenes'!$A:$A,$L122))))</f>
        <v/>
      </c>
      <c r="C122" s="5" t="str">
        <f>IF($L122="","",IFERROR(INDEX('Detalle individual'!$C:$C,MATCH($A122,'Detalle individual'!$A:$A,0)),TRIM(INDEX('Base Exámenes'!$B:$B,$L122))))</f>
        <v/>
      </c>
      <c r="D122" s="5" t="str">
        <f>IF($L122="","",IFERROR(INDEX('Detalle individual'!$D:$D,MATCH($A122,'Detalle individual'!$A:$A,0)),"(no está en Base Oficial)"))</f>
        <v/>
      </c>
      <c r="E122" s="5" t="str">
        <f>IF($L122="","",COUNTIFS('Base Exámenes'!$C$5:$C$1000,INDEX('Base Exámenes'!$C:$C,$L122),'Base Exámenes'!$D$5:$D$1000,"&lt;="&amp;INDEX('Base Exámenes'!$D:$D,$L122)))</f>
        <v/>
      </c>
      <c r="F122" s="23" t="str">
        <f>IF($L122="","",INDEX('Base Exámenes'!$D:$D,$L122))</f>
        <v/>
      </c>
      <c r="G122" s="23" t="str">
        <f>IF($L122="","",INDEX('Base Exámenes'!$E:$E,$L122))</f>
        <v/>
      </c>
      <c r="H122" s="24" t="str">
        <f>IF($L122="","",INDEX('Base Exámenes'!$F:$F,$L122))</f>
        <v/>
      </c>
      <c r="I122" s="5" t="str">
        <f>IF($L122="","",INDEX('Base Exámenes'!$G:$G,$L122))</f>
        <v/>
      </c>
      <c r="J122" s="5" t="str">
        <f>IF($L122="","",IF($L122-4=MATCH(INDEX('Base Exámenes'!$C:$C,$L122)&amp;"|"&amp;_xlfn.MAXIFS('Base Exámenes'!$G$5:$G$1000,'Base Exámenes'!$C$5:$C$1000,INDEX('Base Exámenes'!$C:$C,$L122)),'Base Exámenes'!$I$5:$I$1000,0),"Sí",""))</f>
        <v/>
      </c>
      <c r="L122" t="str">
        <f>IFERROR(MATCH(SMALL(Cálculos!$AQ$5:$AQ$1000,118),Cálculos!$AQ$5:$AQ$1000,0)+4,"")</f>
        <v/>
      </c>
    </row>
    <row r="123">
      <c r="A123" s="5" t="str">
        <f>IF($L123="","",TRIM(INDEX('Base Exámenes'!$C:$C,$L123)))</f>
        <v/>
      </c>
      <c r="B123" s="5" t="str">
        <f>IF($L123="","",IFERROR(INDEX('Detalle individual'!$B:$B,MATCH($A123,'Detalle individual'!$A:$A,0)),TRIM(INDEX('Base Exámenes'!$A:$A,$L123))))</f>
        <v/>
      </c>
      <c r="C123" s="5" t="str">
        <f>IF($L123="","",IFERROR(INDEX('Detalle individual'!$C:$C,MATCH($A123,'Detalle individual'!$A:$A,0)),TRIM(INDEX('Base Exámenes'!$B:$B,$L123))))</f>
        <v/>
      </c>
      <c r="D123" s="5" t="str">
        <f>IF($L123="","",IFERROR(INDEX('Detalle individual'!$D:$D,MATCH($A123,'Detalle individual'!$A:$A,0)),"(no está en Base Oficial)"))</f>
        <v/>
      </c>
      <c r="E123" s="5" t="str">
        <f>IF($L123="","",COUNTIFS('Base Exámenes'!$C$5:$C$1000,INDEX('Base Exámenes'!$C:$C,$L123),'Base Exámenes'!$D$5:$D$1000,"&lt;="&amp;INDEX('Base Exámenes'!$D:$D,$L123)))</f>
        <v/>
      </c>
      <c r="F123" s="23" t="str">
        <f>IF($L123="","",INDEX('Base Exámenes'!$D:$D,$L123))</f>
        <v/>
      </c>
      <c r="G123" s="23" t="str">
        <f>IF($L123="","",INDEX('Base Exámenes'!$E:$E,$L123))</f>
        <v/>
      </c>
      <c r="H123" s="24" t="str">
        <f>IF($L123="","",INDEX('Base Exámenes'!$F:$F,$L123))</f>
        <v/>
      </c>
      <c r="I123" s="5" t="str">
        <f>IF($L123="","",INDEX('Base Exámenes'!$G:$G,$L123))</f>
        <v/>
      </c>
      <c r="J123" s="5" t="str">
        <f>IF($L123="","",IF($L123-4=MATCH(INDEX('Base Exámenes'!$C:$C,$L123)&amp;"|"&amp;_xlfn.MAXIFS('Base Exámenes'!$G$5:$G$1000,'Base Exámenes'!$C$5:$C$1000,INDEX('Base Exámenes'!$C:$C,$L123)),'Base Exámenes'!$I$5:$I$1000,0),"Sí",""))</f>
        <v/>
      </c>
      <c r="L123" t="str">
        <f>IFERROR(MATCH(SMALL(Cálculos!$AQ$5:$AQ$1000,119),Cálculos!$AQ$5:$AQ$1000,0)+4,"")</f>
        <v/>
      </c>
    </row>
    <row r="124">
      <c r="A124" s="5" t="str">
        <f>IF($L124="","",TRIM(INDEX('Base Exámenes'!$C:$C,$L124)))</f>
        <v/>
      </c>
      <c r="B124" s="5" t="str">
        <f>IF($L124="","",IFERROR(INDEX('Detalle individual'!$B:$B,MATCH($A124,'Detalle individual'!$A:$A,0)),TRIM(INDEX('Base Exámenes'!$A:$A,$L124))))</f>
        <v/>
      </c>
      <c r="C124" s="5" t="str">
        <f>IF($L124="","",IFERROR(INDEX('Detalle individual'!$C:$C,MATCH($A124,'Detalle individual'!$A:$A,0)),TRIM(INDEX('Base Exámenes'!$B:$B,$L124))))</f>
        <v/>
      </c>
      <c r="D124" s="5" t="str">
        <f>IF($L124="","",IFERROR(INDEX('Detalle individual'!$D:$D,MATCH($A124,'Detalle individual'!$A:$A,0)),"(no está en Base Oficial)"))</f>
        <v/>
      </c>
      <c r="E124" s="5" t="str">
        <f>IF($L124="","",COUNTIFS('Base Exámenes'!$C$5:$C$1000,INDEX('Base Exámenes'!$C:$C,$L124),'Base Exámenes'!$D$5:$D$1000,"&lt;="&amp;INDEX('Base Exámenes'!$D:$D,$L124)))</f>
        <v/>
      </c>
      <c r="F124" s="23" t="str">
        <f>IF($L124="","",INDEX('Base Exámenes'!$D:$D,$L124))</f>
        <v/>
      </c>
      <c r="G124" s="23" t="str">
        <f>IF($L124="","",INDEX('Base Exámenes'!$E:$E,$L124))</f>
        <v/>
      </c>
      <c r="H124" s="24" t="str">
        <f>IF($L124="","",INDEX('Base Exámenes'!$F:$F,$L124))</f>
        <v/>
      </c>
      <c r="I124" s="5" t="str">
        <f>IF($L124="","",INDEX('Base Exámenes'!$G:$G,$L124))</f>
        <v/>
      </c>
      <c r="J124" s="5" t="str">
        <f>IF($L124="","",IF($L124-4=MATCH(INDEX('Base Exámenes'!$C:$C,$L124)&amp;"|"&amp;_xlfn.MAXIFS('Base Exámenes'!$G$5:$G$1000,'Base Exámenes'!$C$5:$C$1000,INDEX('Base Exámenes'!$C:$C,$L124)),'Base Exámenes'!$I$5:$I$1000,0),"Sí",""))</f>
        <v/>
      </c>
      <c r="L124" t="str">
        <f>IFERROR(MATCH(SMALL(Cálculos!$AQ$5:$AQ$1000,120),Cálculos!$AQ$5:$AQ$1000,0)+4,"")</f>
        <v/>
      </c>
    </row>
    <row r="125">
      <c r="A125" s="5" t="str">
        <f>IF($L125="","",TRIM(INDEX('Base Exámenes'!$C:$C,$L125)))</f>
        <v/>
      </c>
      <c r="B125" s="5" t="str">
        <f>IF($L125="","",IFERROR(INDEX('Detalle individual'!$B:$B,MATCH($A125,'Detalle individual'!$A:$A,0)),TRIM(INDEX('Base Exámenes'!$A:$A,$L125))))</f>
        <v/>
      </c>
      <c r="C125" s="5" t="str">
        <f>IF($L125="","",IFERROR(INDEX('Detalle individual'!$C:$C,MATCH($A125,'Detalle individual'!$A:$A,0)),TRIM(INDEX('Base Exámenes'!$B:$B,$L125))))</f>
        <v/>
      </c>
      <c r="D125" s="5" t="str">
        <f>IF($L125="","",IFERROR(INDEX('Detalle individual'!$D:$D,MATCH($A125,'Detalle individual'!$A:$A,0)),"(no está en Base Oficial)"))</f>
        <v/>
      </c>
      <c r="E125" s="5" t="str">
        <f>IF($L125="","",COUNTIFS('Base Exámenes'!$C$5:$C$1000,INDEX('Base Exámenes'!$C:$C,$L125),'Base Exámenes'!$D$5:$D$1000,"&lt;="&amp;INDEX('Base Exámenes'!$D:$D,$L125)))</f>
        <v/>
      </c>
      <c r="F125" s="23" t="str">
        <f>IF($L125="","",INDEX('Base Exámenes'!$D:$D,$L125))</f>
        <v/>
      </c>
      <c r="G125" s="23" t="str">
        <f>IF($L125="","",INDEX('Base Exámenes'!$E:$E,$L125))</f>
        <v/>
      </c>
      <c r="H125" s="24" t="str">
        <f>IF($L125="","",INDEX('Base Exámenes'!$F:$F,$L125))</f>
        <v/>
      </c>
      <c r="I125" s="5" t="str">
        <f>IF($L125="","",INDEX('Base Exámenes'!$G:$G,$L125))</f>
        <v/>
      </c>
      <c r="J125" s="5" t="str">
        <f>IF($L125="","",IF($L125-4=MATCH(INDEX('Base Exámenes'!$C:$C,$L125)&amp;"|"&amp;_xlfn.MAXIFS('Base Exámenes'!$G$5:$G$1000,'Base Exámenes'!$C$5:$C$1000,INDEX('Base Exámenes'!$C:$C,$L125)),'Base Exámenes'!$I$5:$I$1000,0),"Sí",""))</f>
        <v/>
      </c>
      <c r="L125" t="str">
        <f>IFERROR(MATCH(SMALL(Cálculos!$AQ$5:$AQ$1000,121),Cálculos!$AQ$5:$AQ$1000,0)+4,"")</f>
        <v/>
      </c>
    </row>
    <row r="126">
      <c r="A126" s="5" t="str">
        <f>IF($L126="","",TRIM(INDEX('Base Exámenes'!$C:$C,$L126)))</f>
        <v/>
      </c>
      <c r="B126" s="5" t="str">
        <f>IF($L126="","",IFERROR(INDEX('Detalle individual'!$B:$B,MATCH($A126,'Detalle individual'!$A:$A,0)),TRIM(INDEX('Base Exámenes'!$A:$A,$L126))))</f>
        <v/>
      </c>
      <c r="C126" s="5" t="str">
        <f>IF($L126="","",IFERROR(INDEX('Detalle individual'!$C:$C,MATCH($A126,'Detalle individual'!$A:$A,0)),TRIM(INDEX('Base Exámenes'!$B:$B,$L126))))</f>
        <v/>
      </c>
      <c r="D126" s="5" t="str">
        <f>IF($L126="","",IFERROR(INDEX('Detalle individual'!$D:$D,MATCH($A126,'Detalle individual'!$A:$A,0)),"(no está en Base Oficial)"))</f>
        <v/>
      </c>
      <c r="E126" s="5" t="str">
        <f>IF($L126="","",COUNTIFS('Base Exámenes'!$C$5:$C$1000,INDEX('Base Exámenes'!$C:$C,$L126),'Base Exámenes'!$D$5:$D$1000,"&lt;="&amp;INDEX('Base Exámenes'!$D:$D,$L126)))</f>
        <v/>
      </c>
      <c r="F126" s="23" t="str">
        <f>IF($L126="","",INDEX('Base Exámenes'!$D:$D,$L126))</f>
        <v/>
      </c>
      <c r="G126" s="23" t="str">
        <f>IF($L126="","",INDEX('Base Exámenes'!$E:$E,$L126))</f>
        <v/>
      </c>
      <c r="H126" s="24" t="str">
        <f>IF($L126="","",INDEX('Base Exámenes'!$F:$F,$L126))</f>
        <v/>
      </c>
      <c r="I126" s="5" t="str">
        <f>IF($L126="","",INDEX('Base Exámenes'!$G:$G,$L126))</f>
        <v/>
      </c>
      <c r="J126" s="5" t="str">
        <f>IF($L126="","",IF($L126-4=MATCH(INDEX('Base Exámenes'!$C:$C,$L126)&amp;"|"&amp;_xlfn.MAXIFS('Base Exámenes'!$G$5:$G$1000,'Base Exámenes'!$C$5:$C$1000,INDEX('Base Exámenes'!$C:$C,$L126)),'Base Exámenes'!$I$5:$I$1000,0),"Sí",""))</f>
        <v/>
      </c>
      <c r="L126" t="str">
        <f>IFERROR(MATCH(SMALL(Cálculos!$AQ$5:$AQ$1000,122),Cálculos!$AQ$5:$AQ$1000,0)+4,"")</f>
        <v/>
      </c>
    </row>
    <row r="127">
      <c r="A127" s="5" t="str">
        <f>IF($L127="","",TRIM(INDEX('Base Exámenes'!$C:$C,$L127)))</f>
        <v/>
      </c>
      <c r="B127" s="5" t="str">
        <f>IF($L127="","",IFERROR(INDEX('Detalle individual'!$B:$B,MATCH($A127,'Detalle individual'!$A:$A,0)),TRIM(INDEX('Base Exámenes'!$A:$A,$L127))))</f>
        <v/>
      </c>
      <c r="C127" s="5" t="str">
        <f>IF($L127="","",IFERROR(INDEX('Detalle individual'!$C:$C,MATCH($A127,'Detalle individual'!$A:$A,0)),TRIM(INDEX('Base Exámenes'!$B:$B,$L127))))</f>
        <v/>
      </c>
      <c r="D127" s="5" t="str">
        <f>IF($L127="","",IFERROR(INDEX('Detalle individual'!$D:$D,MATCH($A127,'Detalle individual'!$A:$A,0)),"(no está en Base Oficial)"))</f>
        <v/>
      </c>
      <c r="E127" s="5" t="str">
        <f>IF($L127="","",COUNTIFS('Base Exámenes'!$C$5:$C$1000,INDEX('Base Exámenes'!$C:$C,$L127),'Base Exámenes'!$D$5:$D$1000,"&lt;="&amp;INDEX('Base Exámenes'!$D:$D,$L127)))</f>
        <v/>
      </c>
      <c r="F127" s="23" t="str">
        <f>IF($L127="","",INDEX('Base Exámenes'!$D:$D,$L127))</f>
        <v/>
      </c>
      <c r="G127" s="23" t="str">
        <f>IF($L127="","",INDEX('Base Exámenes'!$E:$E,$L127))</f>
        <v/>
      </c>
      <c r="H127" s="24" t="str">
        <f>IF($L127="","",INDEX('Base Exámenes'!$F:$F,$L127))</f>
        <v/>
      </c>
      <c r="I127" s="5" t="str">
        <f>IF($L127="","",INDEX('Base Exámenes'!$G:$G,$L127))</f>
        <v/>
      </c>
      <c r="J127" s="5" t="str">
        <f>IF($L127="","",IF($L127-4=MATCH(INDEX('Base Exámenes'!$C:$C,$L127)&amp;"|"&amp;_xlfn.MAXIFS('Base Exámenes'!$G$5:$G$1000,'Base Exámenes'!$C$5:$C$1000,INDEX('Base Exámenes'!$C:$C,$L127)),'Base Exámenes'!$I$5:$I$1000,0),"Sí",""))</f>
        <v/>
      </c>
      <c r="L127" t="str">
        <f>IFERROR(MATCH(SMALL(Cálculos!$AQ$5:$AQ$1000,123),Cálculos!$AQ$5:$AQ$1000,0)+4,"")</f>
        <v/>
      </c>
    </row>
    <row r="128">
      <c r="A128" s="5" t="str">
        <f>IF($L128="","",TRIM(INDEX('Base Exámenes'!$C:$C,$L128)))</f>
        <v/>
      </c>
      <c r="B128" s="5" t="str">
        <f>IF($L128="","",IFERROR(INDEX('Detalle individual'!$B:$B,MATCH($A128,'Detalle individual'!$A:$A,0)),TRIM(INDEX('Base Exámenes'!$A:$A,$L128))))</f>
        <v/>
      </c>
      <c r="C128" s="5" t="str">
        <f>IF($L128="","",IFERROR(INDEX('Detalle individual'!$C:$C,MATCH($A128,'Detalle individual'!$A:$A,0)),TRIM(INDEX('Base Exámenes'!$B:$B,$L128))))</f>
        <v/>
      </c>
      <c r="D128" s="5" t="str">
        <f>IF($L128="","",IFERROR(INDEX('Detalle individual'!$D:$D,MATCH($A128,'Detalle individual'!$A:$A,0)),"(no está en Base Oficial)"))</f>
        <v/>
      </c>
      <c r="E128" s="5" t="str">
        <f>IF($L128="","",COUNTIFS('Base Exámenes'!$C$5:$C$1000,INDEX('Base Exámenes'!$C:$C,$L128),'Base Exámenes'!$D$5:$D$1000,"&lt;="&amp;INDEX('Base Exámenes'!$D:$D,$L128)))</f>
        <v/>
      </c>
      <c r="F128" s="23" t="str">
        <f>IF($L128="","",INDEX('Base Exámenes'!$D:$D,$L128))</f>
        <v/>
      </c>
      <c r="G128" s="23" t="str">
        <f>IF($L128="","",INDEX('Base Exámenes'!$E:$E,$L128))</f>
        <v/>
      </c>
      <c r="H128" s="24" t="str">
        <f>IF($L128="","",INDEX('Base Exámenes'!$F:$F,$L128))</f>
        <v/>
      </c>
      <c r="I128" s="5" t="str">
        <f>IF($L128="","",INDEX('Base Exámenes'!$G:$G,$L128))</f>
        <v/>
      </c>
      <c r="J128" s="5" t="str">
        <f>IF($L128="","",IF($L128-4=MATCH(INDEX('Base Exámenes'!$C:$C,$L128)&amp;"|"&amp;_xlfn.MAXIFS('Base Exámenes'!$G$5:$G$1000,'Base Exámenes'!$C$5:$C$1000,INDEX('Base Exámenes'!$C:$C,$L128)),'Base Exámenes'!$I$5:$I$1000,0),"Sí",""))</f>
        <v/>
      </c>
      <c r="L128" t="str">
        <f>IFERROR(MATCH(SMALL(Cálculos!$AQ$5:$AQ$1000,124),Cálculos!$AQ$5:$AQ$1000,0)+4,"")</f>
        <v/>
      </c>
    </row>
    <row r="129">
      <c r="A129" s="5" t="str">
        <f>IF($L129="","",TRIM(INDEX('Base Exámenes'!$C:$C,$L129)))</f>
        <v/>
      </c>
      <c r="B129" s="5" t="str">
        <f>IF($L129="","",IFERROR(INDEX('Detalle individual'!$B:$B,MATCH($A129,'Detalle individual'!$A:$A,0)),TRIM(INDEX('Base Exámenes'!$A:$A,$L129))))</f>
        <v/>
      </c>
      <c r="C129" s="5" t="str">
        <f>IF($L129="","",IFERROR(INDEX('Detalle individual'!$C:$C,MATCH($A129,'Detalle individual'!$A:$A,0)),TRIM(INDEX('Base Exámenes'!$B:$B,$L129))))</f>
        <v/>
      </c>
      <c r="D129" s="5" t="str">
        <f>IF($L129="","",IFERROR(INDEX('Detalle individual'!$D:$D,MATCH($A129,'Detalle individual'!$A:$A,0)),"(no está en Base Oficial)"))</f>
        <v/>
      </c>
      <c r="E129" s="5" t="str">
        <f>IF($L129="","",COUNTIFS('Base Exámenes'!$C$5:$C$1000,INDEX('Base Exámenes'!$C:$C,$L129),'Base Exámenes'!$D$5:$D$1000,"&lt;="&amp;INDEX('Base Exámenes'!$D:$D,$L129)))</f>
        <v/>
      </c>
      <c r="F129" s="23" t="str">
        <f>IF($L129="","",INDEX('Base Exámenes'!$D:$D,$L129))</f>
        <v/>
      </c>
      <c r="G129" s="23" t="str">
        <f>IF($L129="","",INDEX('Base Exámenes'!$E:$E,$L129))</f>
        <v/>
      </c>
      <c r="H129" s="24" t="str">
        <f>IF($L129="","",INDEX('Base Exámenes'!$F:$F,$L129))</f>
        <v/>
      </c>
      <c r="I129" s="5" t="str">
        <f>IF($L129="","",INDEX('Base Exámenes'!$G:$G,$L129))</f>
        <v/>
      </c>
      <c r="J129" s="5" t="str">
        <f>IF($L129="","",IF($L129-4=MATCH(INDEX('Base Exámenes'!$C:$C,$L129)&amp;"|"&amp;_xlfn.MAXIFS('Base Exámenes'!$G$5:$G$1000,'Base Exámenes'!$C$5:$C$1000,INDEX('Base Exámenes'!$C:$C,$L129)),'Base Exámenes'!$I$5:$I$1000,0),"Sí",""))</f>
        <v/>
      </c>
      <c r="L129" t="str">
        <f>IFERROR(MATCH(SMALL(Cálculos!$AQ$5:$AQ$1000,125),Cálculos!$AQ$5:$AQ$1000,0)+4,"")</f>
        <v/>
      </c>
    </row>
    <row r="130">
      <c r="A130" s="5" t="str">
        <f>IF($L130="","",TRIM(INDEX('Base Exámenes'!$C:$C,$L130)))</f>
        <v/>
      </c>
      <c r="B130" s="5" t="str">
        <f>IF($L130="","",IFERROR(INDEX('Detalle individual'!$B:$B,MATCH($A130,'Detalle individual'!$A:$A,0)),TRIM(INDEX('Base Exámenes'!$A:$A,$L130))))</f>
        <v/>
      </c>
      <c r="C130" s="5" t="str">
        <f>IF($L130="","",IFERROR(INDEX('Detalle individual'!$C:$C,MATCH($A130,'Detalle individual'!$A:$A,0)),TRIM(INDEX('Base Exámenes'!$B:$B,$L130))))</f>
        <v/>
      </c>
      <c r="D130" s="5" t="str">
        <f>IF($L130="","",IFERROR(INDEX('Detalle individual'!$D:$D,MATCH($A130,'Detalle individual'!$A:$A,0)),"(no está en Base Oficial)"))</f>
        <v/>
      </c>
      <c r="E130" s="5" t="str">
        <f>IF($L130="","",COUNTIFS('Base Exámenes'!$C$5:$C$1000,INDEX('Base Exámenes'!$C:$C,$L130),'Base Exámenes'!$D$5:$D$1000,"&lt;="&amp;INDEX('Base Exámenes'!$D:$D,$L130)))</f>
        <v/>
      </c>
      <c r="F130" s="23" t="str">
        <f>IF($L130="","",INDEX('Base Exámenes'!$D:$D,$L130))</f>
        <v/>
      </c>
      <c r="G130" s="23" t="str">
        <f>IF($L130="","",INDEX('Base Exámenes'!$E:$E,$L130))</f>
        <v/>
      </c>
      <c r="H130" s="24" t="str">
        <f>IF($L130="","",INDEX('Base Exámenes'!$F:$F,$L130))</f>
        <v/>
      </c>
      <c r="I130" s="5" t="str">
        <f>IF($L130="","",INDEX('Base Exámenes'!$G:$G,$L130))</f>
        <v/>
      </c>
      <c r="J130" s="5" t="str">
        <f>IF($L130="","",IF($L130-4=MATCH(INDEX('Base Exámenes'!$C:$C,$L130)&amp;"|"&amp;_xlfn.MAXIFS('Base Exámenes'!$G$5:$G$1000,'Base Exámenes'!$C$5:$C$1000,INDEX('Base Exámenes'!$C:$C,$L130)),'Base Exámenes'!$I$5:$I$1000,0),"Sí",""))</f>
        <v/>
      </c>
      <c r="L130" t="str">
        <f>IFERROR(MATCH(SMALL(Cálculos!$AQ$5:$AQ$1000,126),Cálculos!$AQ$5:$AQ$1000,0)+4,"")</f>
        <v/>
      </c>
    </row>
    <row r="131">
      <c r="A131" s="5" t="str">
        <f>IF($L131="","",TRIM(INDEX('Base Exámenes'!$C:$C,$L131)))</f>
        <v/>
      </c>
      <c r="B131" s="5" t="str">
        <f>IF($L131="","",IFERROR(INDEX('Detalle individual'!$B:$B,MATCH($A131,'Detalle individual'!$A:$A,0)),TRIM(INDEX('Base Exámenes'!$A:$A,$L131))))</f>
        <v/>
      </c>
      <c r="C131" s="5" t="str">
        <f>IF($L131="","",IFERROR(INDEX('Detalle individual'!$C:$C,MATCH($A131,'Detalle individual'!$A:$A,0)),TRIM(INDEX('Base Exámenes'!$B:$B,$L131))))</f>
        <v/>
      </c>
      <c r="D131" s="5" t="str">
        <f>IF($L131="","",IFERROR(INDEX('Detalle individual'!$D:$D,MATCH($A131,'Detalle individual'!$A:$A,0)),"(no está en Base Oficial)"))</f>
        <v/>
      </c>
      <c r="E131" s="5" t="str">
        <f>IF($L131="","",COUNTIFS('Base Exámenes'!$C$5:$C$1000,INDEX('Base Exámenes'!$C:$C,$L131),'Base Exámenes'!$D$5:$D$1000,"&lt;="&amp;INDEX('Base Exámenes'!$D:$D,$L131)))</f>
        <v/>
      </c>
      <c r="F131" s="23" t="str">
        <f>IF($L131="","",INDEX('Base Exámenes'!$D:$D,$L131))</f>
        <v/>
      </c>
      <c r="G131" s="23" t="str">
        <f>IF($L131="","",INDEX('Base Exámenes'!$E:$E,$L131))</f>
        <v/>
      </c>
      <c r="H131" s="24" t="str">
        <f>IF($L131="","",INDEX('Base Exámenes'!$F:$F,$L131))</f>
        <v/>
      </c>
      <c r="I131" s="5" t="str">
        <f>IF($L131="","",INDEX('Base Exámenes'!$G:$G,$L131))</f>
        <v/>
      </c>
      <c r="J131" s="5" t="str">
        <f>IF($L131="","",IF($L131-4=MATCH(INDEX('Base Exámenes'!$C:$C,$L131)&amp;"|"&amp;_xlfn.MAXIFS('Base Exámenes'!$G$5:$G$1000,'Base Exámenes'!$C$5:$C$1000,INDEX('Base Exámenes'!$C:$C,$L131)),'Base Exámenes'!$I$5:$I$1000,0),"Sí",""))</f>
        <v/>
      </c>
      <c r="L131" t="str">
        <f>IFERROR(MATCH(SMALL(Cálculos!$AQ$5:$AQ$1000,127),Cálculos!$AQ$5:$AQ$1000,0)+4,"")</f>
        <v/>
      </c>
    </row>
    <row r="132">
      <c r="A132" s="5" t="str">
        <f>IF($L132="","",TRIM(INDEX('Base Exámenes'!$C:$C,$L132)))</f>
        <v/>
      </c>
      <c r="B132" s="5" t="str">
        <f>IF($L132="","",IFERROR(INDEX('Detalle individual'!$B:$B,MATCH($A132,'Detalle individual'!$A:$A,0)),TRIM(INDEX('Base Exámenes'!$A:$A,$L132))))</f>
        <v/>
      </c>
      <c r="C132" s="5" t="str">
        <f>IF($L132="","",IFERROR(INDEX('Detalle individual'!$C:$C,MATCH($A132,'Detalle individual'!$A:$A,0)),TRIM(INDEX('Base Exámenes'!$B:$B,$L132))))</f>
        <v/>
      </c>
      <c r="D132" s="5" t="str">
        <f>IF($L132="","",IFERROR(INDEX('Detalle individual'!$D:$D,MATCH($A132,'Detalle individual'!$A:$A,0)),"(no está en Base Oficial)"))</f>
        <v/>
      </c>
      <c r="E132" s="5" t="str">
        <f>IF($L132="","",COUNTIFS('Base Exámenes'!$C$5:$C$1000,INDEX('Base Exámenes'!$C:$C,$L132),'Base Exámenes'!$D$5:$D$1000,"&lt;="&amp;INDEX('Base Exámenes'!$D:$D,$L132)))</f>
        <v/>
      </c>
      <c r="F132" s="23" t="str">
        <f>IF($L132="","",INDEX('Base Exámenes'!$D:$D,$L132))</f>
        <v/>
      </c>
      <c r="G132" s="23" t="str">
        <f>IF($L132="","",INDEX('Base Exámenes'!$E:$E,$L132))</f>
        <v/>
      </c>
      <c r="H132" s="24" t="str">
        <f>IF($L132="","",INDEX('Base Exámenes'!$F:$F,$L132))</f>
        <v/>
      </c>
      <c r="I132" s="5" t="str">
        <f>IF($L132="","",INDEX('Base Exámenes'!$G:$G,$L132))</f>
        <v/>
      </c>
      <c r="J132" s="5" t="str">
        <f>IF($L132="","",IF($L132-4=MATCH(INDEX('Base Exámenes'!$C:$C,$L132)&amp;"|"&amp;_xlfn.MAXIFS('Base Exámenes'!$G$5:$G$1000,'Base Exámenes'!$C$5:$C$1000,INDEX('Base Exámenes'!$C:$C,$L132)),'Base Exámenes'!$I$5:$I$1000,0),"Sí",""))</f>
        <v/>
      </c>
      <c r="L132" t="str">
        <f>IFERROR(MATCH(SMALL(Cálculos!$AQ$5:$AQ$1000,128),Cálculos!$AQ$5:$AQ$1000,0)+4,"")</f>
        <v/>
      </c>
    </row>
    <row r="133">
      <c r="A133" s="5" t="str">
        <f>IF($L133="","",TRIM(INDEX('Base Exámenes'!$C:$C,$L133)))</f>
        <v/>
      </c>
      <c r="B133" s="5" t="str">
        <f>IF($L133="","",IFERROR(INDEX('Detalle individual'!$B:$B,MATCH($A133,'Detalle individual'!$A:$A,0)),TRIM(INDEX('Base Exámenes'!$A:$A,$L133))))</f>
        <v/>
      </c>
      <c r="C133" s="5" t="str">
        <f>IF($L133="","",IFERROR(INDEX('Detalle individual'!$C:$C,MATCH($A133,'Detalle individual'!$A:$A,0)),TRIM(INDEX('Base Exámenes'!$B:$B,$L133))))</f>
        <v/>
      </c>
      <c r="D133" s="5" t="str">
        <f>IF($L133="","",IFERROR(INDEX('Detalle individual'!$D:$D,MATCH($A133,'Detalle individual'!$A:$A,0)),"(no está en Base Oficial)"))</f>
        <v/>
      </c>
      <c r="E133" s="5" t="str">
        <f>IF($L133="","",COUNTIFS('Base Exámenes'!$C$5:$C$1000,INDEX('Base Exámenes'!$C:$C,$L133),'Base Exámenes'!$D$5:$D$1000,"&lt;="&amp;INDEX('Base Exámenes'!$D:$D,$L133)))</f>
        <v/>
      </c>
      <c r="F133" s="23" t="str">
        <f>IF($L133="","",INDEX('Base Exámenes'!$D:$D,$L133))</f>
        <v/>
      </c>
      <c r="G133" s="23" t="str">
        <f>IF($L133="","",INDEX('Base Exámenes'!$E:$E,$L133))</f>
        <v/>
      </c>
      <c r="H133" s="24" t="str">
        <f>IF($L133="","",INDEX('Base Exámenes'!$F:$F,$L133))</f>
        <v/>
      </c>
      <c r="I133" s="5" t="str">
        <f>IF($L133="","",INDEX('Base Exámenes'!$G:$G,$L133))</f>
        <v/>
      </c>
      <c r="J133" s="5" t="str">
        <f>IF($L133="","",IF($L133-4=MATCH(INDEX('Base Exámenes'!$C:$C,$L133)&amp;"|"&amp;_xlfn.MAXIFS('Base Exámenes'!$G$5:$G$1000,'Base Exámenes'!$C$5:$C$1000,INDEX('Base Exámenes'!$C:$C,$L133)),'Base Exámenes'!$I$5:$I$1000,0),"Sí",""))</f>
        <v/>
      </c>
      <c r="L133" t="str">
        <f>IFERROR(MATCH(SMALL(Cálculos!$AQ$5:$AQ$1000,129),Cálculos!$AQ$5:$AQ$1000,0)+4,"")</f>
        <v/>
      </c>
    </row>
    <row r="134">
      <c r="A134" s="5" t="str">
        <f>IF($L134="","",TRIM(INDEX('Base Exámenes'!$C:$C,$L134)))</f>
        <v/>
      </c>
      <c r="B134" s="5" t="str">
        <f>IF($L134="","",IFERROR(INDEX('Detalle individual'!$B:$B,MATCH($A134,'Detalle individual'!$A:$A,0)),TRIM(INDEX('Base Exámenes'!$A:$A,$L134))))</f>
        <v/>
      </c>
      <c r="C134" s="5" t="str">
        <f>IF($L134="","",IFERROR(INDEX('Detalle individual'!$C:$C,MATCH($A134,'Detalle individual'!$A:$A,0)),TRIM(INDEX('Base Exámenes'!$B:$B,$L134))))</f>
        <v/>
      </c>
      <c r="D134" s="5" t="str">
        <f>IF($L134="","",IFERROR(INDEX('Detalle individual'!$D:$D,MATCH($A134,'Detalle individual'!$A:$A,0)),"(no está en Base Oficial)"))</f>
        <v/>
      </c>
      <c r="E134" s="5" t="str">
        <f>IF($L134="","",COUNTIFS('Base Exámenes'!$C$5:$C$1000,INDEX('Base Exámenes'!$C:$C,$L134),'Base Exámenes'!$D$5:$D$1000,"&lt;="&amp;INDEX('Base Exámenes'!$D:$D,$L134)))</f>
        <v/>
      </c>
      <c r="F134" s="23" t="str">
        <f>IF($L134="","",INDEX('Base Exámenes'!$D:$D,$L134))</f>
        <v/>
      </c>
      <c r="G134" s="23" t="str">
        <f>IF($L134="","",INDEX('Base Exámenes'!$E:$E,$L134))</f>
        <v/>
      </c>
      <c r="H134" s="24" t="str">
        <f>IF($L134="","",INDEX('Base Exámenes'!$F:$F,$L134))</f>
        <v/>
      </c>
      <c r="I134" s="5" t="str">
        <f>IF($L134="","",INDEX('Base Exámenes'!$G:$G,$L134))</f>
        <v/>
      </c>
      <c r="J134" s="5" t="str">
        <f>IF($L134="","",IF($L134-4=MATCH(INDEX('Base Exámenes'!$C:$C,$L134)&amp;"|"&amp;_xlfn.MAXIFS('Base Exámenes'!$G$5:$G$1000,'Base Exámenes'!$C$5:$C$1000,INDEX('Base Exámenes'!$C:$C,$L134)),'Base Exámenes'!$I$5:$I$1000,0),"Sí",""))</f>
        <v/>
      </c>
      <c r="L134" t="str">
        <f>IFERROR(MATCH(SMALL(Cálculos!$AQ$5:$AQ$1000,130),Cálculos!$AQ$5:$AQ$1000,0)+4,"")</f>
        <v/>
      </c>
    </row>
    <row r="135">
      <c r="A135" s="5" t="str">
        <f>IF($L135="","",TRIM(INDEX('Base Exámenes'!$C:$C,$L135)))</f>
        <v/>
      </c>
      <c r="B135" s="5" t="str">
        <f>IF($L135="","",IFERROR(INDEX('Detalle individual'!$B:$B,MATCH($A135,'Detalle individual'!$A:$A,0)),TRIM(INDEX('Base Exámenes'!$A:$A,$L135))))</f>
        <v/>
      </c>
      <c r="C135" s="5" t="str">
        <f>IF($L135="","",IFERROR(INDEX('Detalle individual'!$C:$C,MATCH($A135,'Detalle individual'!$A:$A,0)),TRIM(INDEX('Base Exámenes'!$B:$B,$L135))))</f>
        <v/>
      </c>
      <c r="D135" s="5" t="str">
        <f>IF($L135="","",IFERROR(INDEX('Detalle individual'!$D:$D,MATCH($A135,'Detalle individual'!$A:$A,0)),"(no está en Base Oficial)"))</f>
        <v/>
      </c>
      <c r="E135" s="5" t="str">
        <f>IF($L135="","",COUNTIFS('Base Exámenes'!$C$5:$C$1000,INDEX('Base Exámenes'!$C:$C,$L135),'Base Exámenes'!$D$5:$D$1000,"&lt;="&amp;INDEX('Base Exámenes'!$D:$D,$L135)))</f>
        <v/>
      </c>
      <c r="F135" s="23" t="str">
        <f>IF($L135="","",INDEX('Base Exámenes'!$D:$D,$L135))</f>
        <v/>
      </c>
      <c r="G135" s="23" t="str">
        <f>IF($L135="","",INDEX('Base Exámenes'!$E:$E,$L135))</f>
        <v/>
      </c>
      <c r="H135" s="24" t="str">
        <f>IF($L135="","",INDEX('Base Exámenes'!$F:$F,$L135))</f>
        <v/>
      </c>
      <c r="I135" s="5" t="str">
        <f>IF($L135="","",INDEX('Base Exámenes'!$G:$G,$L135))</f>
        <v/>
      </c>
      <c r="J135" s="5" t="str">
        <f>IF($L135="","",IF($L135-4=MATCH(INDEX('Base Exámenes'!$C:$C,$L135)&amp;"|"&amp;_xlfn.MAXIFS('Base Exámenes'!$G$5:$G$1000,'Base Exámenes'!$C$5:$C$1000,INDEX('Base Exámenes'!$C:$C,$L135)),'Base Exámenes'!$I$5:$I$1000,0),"Sí",""))</f>
        <v/>
      </c>
      <c r="L135" t="str">
        <f>IFERROR(MATCH(SMALL(Cálculos!$AQ$5:$AQ$1000,131),Cálculos!$AQ$5:$AQ$1000,0)+4,"")</f>
        <v/>
      </c>
    </row>
    <row r="136">
      <c r="A136" s="5" t="str">
        <f>IF($L136="","",TRIM(INDEX('Base Exámenes'!$C:$C,$L136)))</f>
        <v/>
      </c>
      <c r="B136" s="5" t="str">
        <f>IF($L136="","",IFERROR(INDEX('Detalle individual'!$B:$B,MATCH($A136,'Detalle individual'!$A:$A,0)),TRIM(INDEX('Base Exámenes'!$A:$A,$L136))))</f>
        <v/>
      </c>
      <c r="C136" s="5" t="str">
        <f>IF($L136="","",IFERROR(INDEX('Detalle individual'!$C:$C,MATCH($A136,'Detalle individual'!$A:$A,0)),TRIM(INDEX('Base Exámenes'!$B:$B,$L136))))</f>
        <v/>
      </c>
      <c r="D136" s="5" t="str">
        <f>IF($L136="","",IFERROR(INDEX('Detalle individual'!$D:$D,MATCH($A136,'Detalle individual'!$A:$A,0)),"(no está en Base Oficial)"))</f>
        <v/>
      </c>
      <c r="E136" s="5" t="str">
        <f>IF($L136="","",COUNTIFS('Base Exámenes'!$C$5:$C$1000,INDEX('Base Exámenes'!$C:$C,$L136),'Base Exámenes'!$D$5:$D$1000,"&lt;="&amp;INDEX('Base Exámenes'!$D:$D,$L136)))</f>
        <v/>
      </c>
      <c r="F136" s="23" t="str">
        <f>IF($L136="","",INDEX('Base Exámenes'!$D:$D,$L136))</f>
        <v/>
      </c>
      <c r="G136" s="23" t="str">
        <f>IF($L136="","",INDEX('Base Exámenes'!$E:$E,$L136))</f>
        <v/>
      </c>
      <c r="H136" s="24" t="str">
        <f>IF($L136="","",INDEX('Base Exámenes'!$F:$F,$L136))</f>
        <v/>
      </c>
      <c r="I136" s="5" t="str">
        <f>IF($L136="","",INDEX('Base Exámenes'!$G:$G,$L136))</f>
        <v/>
      </c>
      <c r="J136" s="5" t="str">
        <f>IF($L136="","",IF($L136-4=MATCH(INDEX('Base Exámenes'!$C:$C,$L136)&amp;"|"&amp;_xlfn.MAXIFS('Base Exámenes'!$G$5:$G$1000,'Base Exámenes'!$C$5:$C$1000,INDEX('Base Exámenes'!$C:$C,$L136)),'Base Exámenes'!$I$5:$I$1000,0),"Sí",""))</f>
        <v/>
      </c>
      <c r="L136" t="str">
        <f>IFERROR(MATCH(SMALL(Cálculos!$AQ$5:$AQ$1000,132),Cálculos!$AQ$5:$AQ$1000,0)+4,"")</f>
        <v/>
      </c>
    </row>
    <row r="137">
      <c r="A137" s="5" t="str">
        <f>IF($L137="","",TRIM(INDEX('Base Exámenes'!$C:$C,$L137)))</f>
        <v/>
      </c>
      <c r="B137" s="5" t="str">
        <f>IF($L137="","",IFERROR(INDEX('Detalle individual'!$B:$B,MATCH($A137,'Detalle individual'!$A:$A,0)),TRIM(INDEX('Base Exámenes'!$A:$A,$L137))))</f>
        <v/>
      </c>
      <c r="C137" s="5" t="str">
        <f>IF($L137="","",IFERROR(INDEX('Detalle individual'!$C:$C,MATCH($A137,'Detalle individual'!$A:$A,0)),TRIM(INDEX('Base Exámenes'!$B:$B,$L137))))</f>
        <v/>
      </c>
      <c r="D137" s="5" t="str">
        <f>IF($L137="","",IFERROR(INDEX('Detalle individual'!$D:$D,MATCH($A137,'Detalle individual'!$A:$A,0)),"(no está en Base Oficial)"))</f>
        <v/>
      </c>
      <c r="E137" s="5" t="str">
        <f>IF($L137="","",COUNTIFS('Base Exámenes'!$C$5:$C$1000,INDEX('Base Exámenes'!$C:$C,$L137),'Base Exámenes'!$D$5:$D$1000,"&lt;="&amp;INDEX('Base Exámenes'!$D:$D,$L137)))</f>
        <v/>
      </c>
      <c r="F137" s="23" t="str">
        <f>IF($L137="","",INDEX('Base Exámenes'!$D:$D,$L137))</f>
        <v/>
      </c>
      <c r="G137" s="23" t="str">
        <f>IF($L137="","",INDEX('Base Exámenes'!$E:$E,$L137))</f>
        <v/>
      </c>
      <c r="H137" s="24" t="str">
        <f>IF($L137="","",INDEX('Base Exámenes'!$F:$F,$L137))</f>
        <v/>
      </c>
      <c r="I137" s="5" t="str">
        <f>IF($L137="","",INDEX('Base Exámenes'!$G:$G,$L137))</f>
        <v/>
      </c>
      <c r="J137" s="5" t="str">
        <f>IF($L137="","",IF($L137-4=MATCH(INDEX('Base Exámenes'!$C:$C,$L137)&amp;"|"&amp;_xlfn.MAXIFS('Base Exámenes'!$G$5:$G$1000,'Base Exámenes'!$C$5:$C$1000,INDEX('Base Exámenes'!$C:$C,$L137)),'Base Exámenes'!$I$5:$I$1000,0),"Sí",""))</f>
        <v/>
      </c>
      <c r="L137" t="str">
        <f>IFERROR(MATCH(SMALL(Cálculos!$AQ$5:$AQ$1000,133),Cálculos!$AQ$5:$AQ$1000,0)+4,"")</f>
        <v/>
      </c>
    </row>
    <row r="138">
      <c r="A138" s="5" t="str">
        <f>IF($L138="","",TRIM(INDEX('Base Exámenes'!$C:$C,$L138)))</f>
        <v/>
      </c>
      <c r="B138" s="5" t="str">
        <f>IF($L138="","",IFERROR(INDEX('Detalle individual'!$B:$B,MATCH($A138,'Detalle individual'!$A:$A,0)),TRIM(INDEX('Base Exámenes'!$A:$A,$L138))))</f>
        <v/>
      </c>
      <c r="C138" s="5" t="str">
        <f>IF($L138="","",IFERROR(INDEX('Detalle individual'!$C:$C,MATCH($A138,'Detalle individual'!$A:$A,0)),TRIM(INDEX('Base Exámenes'!$B:$B,$L138))))</f>
        <v/>
      </c>
      <c r="D138" s="5" t="str">
        <f>IF($L138="","",IFERROR(INDEX('Detalle individual'!$D:$D,MATCH($A138,'Detalle individual'!$A:$A,0)),"(no está en Base Oficial)"))</f>
        <v/>
      </c>
      <c r="E138" s="5" t="str">
        <f>IF($L138="","",COUNTIFS('Base Exámenes'!$C$5:$C$1000,INDEX('Base Exámenes'!$C:$C,$L138),'Base Exámenes'!$D$5:$D$1000,"&lt;="&amp;INDEX('Base Exámenes'!$D:$D,$L138)))</f>
        <v/>
      </c>
      <c r="F138" s="23" t="str">
        <f>IF($L138="","",INDEX('Base Exámenes'!$D:$D,$L138))</f>
        <v/>
      </c>
      <c r="G138" s="23" t="str">
        <f>IF($L138="","",INDEX('Base Exámenes'!$E:$E,$L138))</f>
        <v/>
      </c>
      <c r="H138" s="24" t="str">
        <f>IF($L138="","",INDEX('Base Exámenes'!$F:$F,$L138))</f>
        <v/>
      </c>
      <c r="I138" s="5" t="str">
        <f>IF($L138="","",INDEX('Base Exámenes'!$G:$G,$L138))</f>
        <v/>
      </c>
      <c r="J138" s="5" t="str">
        <f>IF($L138="","",IF($L138-4=MATCH(INDEX('Base Exámenes'!$C:$C,$L138)&amp;"|"&amp;_xlfn.MAXIFS('Base Exámenes'!$G$5:$G$1000,'Base Exámenes'!$C$5:$C$1000,INDEX('Base Exámenes'!$C:$C,$L138)),'Base Exámenes'!$I$5:$I$1000,0),"Sí",""))</f>
        <v/>
      </c>
      <c r="L138" t="str">
        <f>IFERROR(MATCH(SMALL(Cálculos!$AQ$5:$AQ$1000,134),Cálculos!$AQ$5:$AQ$1000,0)+4,"")</f>
        <v/>
      </c>
    </row>
    <row r="139">
      <c r="A139" s="5" t="str">
        <f>IF($L139="","",TRIM(INDEX('Base Exámenes'!$C:$C,$L139)))</f>
        <v/>
      </c>
      <c r="B139" s="5" t="str">
        <f>IF($L139="","",IFERROR(INDEX('Detalle individual'!$B:$B,MATCH($A139,'Detalle individual'!$A:$A,0)),TRIM(INDEX('Base Exámenes'!$A:$A,$L139))))</f>
        <v/>
      </c>
      <c r="C139" s="5" t="str">
        <f>IF($L139="","",IFERROR(INDEX('Detalle individual'!$C:$C,MATCH($A139,'Detalle individual'!$A:$A,0)),TRIM(INDEX('Base Exámenes'!$B:$B,$L139))))</f>
        <v/>
      </c>
      <c r="D139" s="5" t="str">
        <f>IF($L139="","",IFERROR(INDEX('Detalle individual'!$D:$D,MATCH($A139,'Detalle individual'!$A:$A,0)),"(no está en Base Oficial)"))</f>
        <v/>
      </c>
      <c r="E139" s="5" t="str">
        <f>IF($L139="","",COUNTIFS('Base Exámenes'!$C$5:$C$1000,INDEX('Base Exámenes'!$C:$C,$L139),'Base Exámenes'!$D$5:$D$1000,"&lt;="&amp;INDEX('Base Exámenes'!$D:$D,$L139)))</f>
        <v/>
      </c>
      <c r="F139" s="23" t="str">
        <f>IF($L139="","",INDEX('Base Exámenes'!$D:$D,$L139))</f>
        <v/>
      </c>
      <c r="G139" s="23" t="str">
        <f>IF($L139="","",INDEX('Base Exámenes'!$E:$E,$L139))</f>
        <v/>
      </c>
      <c r="H139" s="24" t="str">
        <f>IF($L139="","",INDEX('Base Exámenes'!$F:$F,$L139))</f>
        <v/>
      </c>
      <c r="I139" s="5" t="str">
        <f>IF($L139="","",INDEX('Base Exámenes'!$G:$G,$L139))</f>
        <v/>
      </c>
      <c r="J139" s="5" t="str">
        <f>IF($L139="","",IF($L139-4=MATCH(INDEX('Base Exámenes'!$C:$C,$L139)&amp;"|"&amp;_xlfn.MAXIFS('Base Exámenes'!$G$5:$G$1000,'Base Exámenes'!$C$5:$C$1000,INDEX('Base Exámenes'!$C:$C,$L139)),'Base Exámenes'!$I$5:$I$1000,0),"Sí",""))</f>
        <v/>
      </c>
      <c r="L139" t="str">
        <f>IFERROR(MATCH(SMALL(Cálculos!$AQ$5:$AQ$1000,135),Cálculos!$AQ$5:$AQ$1000,0)+4,"")</f>
        <v/>
      </c>
    </row>
    <row r="140">
      <c r="A140" s="5" t="str">
        <f>IF($L140="","",TRIM(INDEX('Base Exámenes'!$C:$C,$L140)))</f>
        <v/>
      </c>
      <c r="B140" s="5" t="str">
        <f>IF($L140="","",IFERROR(INDEX('Detalle individual'!$B:$B,MATCH($A140,'Detalle individual'!$A:$A,0)),TRIM(INDEX('Base Exámenes'!$A:$A,$L140))))</f>
        <v/>
      </c>
      <c r="C140" s="5" t="str">
        <f>IF($L140="","",IFERROR(INDEX('Detalle individual'!$C:$C,MATCH($A140,'Detalle individual'!$A:$A,0)),TRIM(INDEX('Base Exámenes'!$B:$B,$L140))))</f>
        <v/>
      </c>
      <c r="D140" s="5" t="str">
        <f>IF($L140="","",IFERROR(INDEX('Detalle individual'!$D:$D,MATCH($A140,'Detalle individual'!$A:$A,0)),"(no está en Base Oficial)"))</f>
        <v/>
      </c>
      <c r="E140" s="5" t="str">
        <f>IF($L140="","",COUNTIFS('Base Exámenes'!$C$5:$C$1000,INDEX('Base Exámenes'!$C:$C,$L140),'Base Exámenes'!$D$5:$D$1000,"&lt;="&amp;INDEX('Base Exámenes'!$D:$D,$L140)))</f>
        <v/>
      </c>
      <c r="F140" s="23" t="str">
        <f>IF($L140="","",INDEX('Base Exámenes'!$D:$D,$L140))</f>
        <v/>
      </c>
      <c r="G140" s="23" t="str">
        <f>IF($L140="","",INDEX('Base Exámenes'!$E:$E,$L140))</f>
        <v/>
      </c>
      <c r="H140" s="24" t="str">
        <f>IF($L140="","",INDEX('Base Exámenes'!$F:$F,$L140))</f>
        <v/>
      </c>
      <c r="I140" s="5" t="str">
        <f>IF($L140="","",INDEX('Base Exámenes'!$G:$G,$L140))</f>
        <v/>
      </c>
      <c r="J140" s="5" t="str">
        <f>IF($L140="","",IF($L140-4=MATCH(INDEX('Base Exámenes'!$C:$C,$L140)&amp;"|"&amp;_xlfn.MAXIFS('Base Exámenes'!$G$5:$G$1000,'Base Exámenes'!$C$5:$C$1000,INDEX('Base Exámenes'!$C:$C,$L140)),'Base Exámenes'!$I$5:$I$1000,0),"Sí",""))</f>
        <v/>
      </c>
      <c r="L140" t="str">
        <f>IFERROR(MATCH(SMALL(Cálculos!$AQ$5:$AQ$1000,136),Cálculos!$AQ$5:$AQ$1000,0)+4,"")</f>
        <v/>
      </c>
    </row>
    <row r="141">
      <c r="A141" s="5" t="str">
        <f>IF($L141="","",TRIM(INDEX('Base Exámenes'!$C:$C,$L141)))</f>
        <v/>
      </c>
      <c r="B141" s="5" t="str">
        <f>IF($L141="","",IFERROR(INDEX('Detalle individual'!$B:$B,MATCH($A141,'Detalle individual'!$A:$A,0)),TRIM(INDEX('Base Exámenes'!$A:$A,$L141))))</f>
        <v/>
      </c>
      <c r="C141" s="5" t="str">
        <f>IF($L141="","",IFERROR(INDEX('Detalle individual'!$C:$C,MATCH($A141,'Detalle individual'!$A:$A,0)),TRIM(INDEX('Base Exámenes'!$B:$B,$L141))))</f>
        <v/>
      </c>
      <c r="D141" s="5" t="str">
        <f>IF($L141="","",IFERROR(INDEX('Detalle individual'!$D:$D,MATCH($A141,'Detalle individual'!$A:$A,0)),"(no está en Base Oficial)"))</f>
        <v/>
      </c>
      <c r="E141" s="5" t="str">
        <f>IF($L141="","",COUNTIFS('Base Exámenes'!$C$5:$C$1000,INDEX('Base Exámenes'!$C:$C,$L141),'Base Exámenes'!$D$5:$D$1000,"&lt;="&amp;INDEX('Base Exámenes'!$D:$D,$L141)))</f>
        <v/>
      </c>
      <c r="F141" s="23" t="str">
        <f>IF($L141="","",INDEX('Base Exámenes'!$D:$D,$L141))</f>
        <v/>
      </c>
      <c r="G141" s="23" t="str">
        <f>IF($L141="","",INDEX('Base Exámenes'!$E:$E,$L141))</f>
        <v/>
      </c>
      <c r="H141" s="24" t="str">
        <f>IF($L141="","",INDEX('Base Exámenes'!$F:$F,$L141))</f>
        <v/>
      </c>
      <c r="I141" s="5" t="str">
        <f>IF($L141="","",INDEX('Base Exámenes'!$G:$G,$L141))</f>
        <v/>
      </c>
      <c r="J141" s="5" t="str">
        <f>IF($L141="","",IF($L141-4=MATCH(INDEX('Base Exámenes'!$C:$C,$L141)&amp;"|"&amp;_xlfn.MAXIFS('Base Exámenes'!$G$5:$G$1000,'Base Exámenes'!$C$5:$C$1000,INDEX('Base Exámenes'!$C:$C,$L141)),'Base Exámenes'!$I$5:$I$1000,0),"Sí",""))</f>
        <v/>
      </c>
      <c r="L141" t="str">
        <f>IFERROR(MATCH(SMALL(Cálculos!$AQ$5:$AQ$1000,137),Cálculos!$AQ$5:$AQ$1000,0)+4,"")</f>
        <v/>
      </c>
    </row>
    <row r="142">
      <c r="A142" s="5" t="str">
        <f>IF($L142="","",TRIM(INDEX('Base Exámenes'!$C:$C,$L142)))</f>
        <v/>
      </c>
      <c r="B142" s="5" t="str">
        <f>IF($L142="","",IFERROR(INDEX('Detalle individual'!$B:$B,MATCH($A142,'Detalle individual'!$A:$A,0)),TRIM(INDEX('Base Exámenes'!$A:$A,$L142))))</f>
        <v/>
      </c>
      <c r="C142" s="5" t="str">
        <f>IF($L142="","",IFERROR(INDEX('Detalle individual'!$C:$C,MATCH($A142,'Detalle individual'!$A:$A,0)),TRIM(INDEX('Base Exámenes'!$B:$B,$L142))))</f>
        <v/>
      </c>
      <c r="D142" s="5" t="str">
        <f>IF($L142="","",IFERROR(INDEX('Detalle individual'!$D:$D,MATCH($A142,'Detalle individual'!$A:$A,0)),"(no está en Base Oficial)"))</f>
        <v/>
      </c>
      <c r="E142" s="5" t="str">
        <f>IF($L142="","",COUNTIFS('Base Exámenes'!$C$5:$C$1000,INDEX('Base Exámenes'!$C:$C,$L142),'Base Exámenes'!$D$5:$D$1000,"&lt;="&amp;INDEX('Base Exámenes'!$D:$D,$L142)))</f>
        <v/>
      </c>
      <c r="F142" s="23" t="str">
        <f>IF($L142="","",INDEX('Base Exámenes'!$D:$D,$L142))</f>
        <v/>
      </c>
      <c r="G142" s="23" t="str">
        <f>IF($L142="","",INDEX('Base Exámenes'!$E:$E,$L142))</f>
        <v/>
      </c>
      <c r="H142" s="24" t="str">
        <f>IF($L142="","",INDEX('Base Exámenes'!$F:$F,$L142))</f>
        <v/>
      </c>
      <c r="I142" s="5" t="str">
        <f>IF($L142="","",INDEX('Base Exámenes'!$G:$G,$L142))</f>
        <v/>
      </c>
      <c r="J142" s="5" t="str">
        <f>IF($L142="","",IF($L142-4=MATCH(INDEX('Base Exámenes'!$C:$C,$L142)&amp;"|"&amp;_xlfn.MAXIFS('Base Exámenes'!$G$5:$G$1000,'Base Exámenes'!$C$5:$C$1000,INDEX('Base Exámenes'!$C:$C,$L142)),'Base Exámenes'!$I$5:$I$1000,0),"Sí",""))</f>
        <v/>
      </c>
      <c r="L142" t="str">
        <f>IFERROR(MATCH(SMALL(Cálculos!$AQ$5:$AQ$1000,138),Cálculos!$AQ$5:$AQ$1000,0)+4,"")</f>
        <v/>
      </c>
    </row>
    <row r="143">
      <c r="A143" s="5" t="str">
        <f>IF($L143="","",TRIM(INDEX('Base Exámenes'!$C:$C,$L143)))</f>
        <v/>
      </c>
      <c r="B143" s="5" t="str">
        <f>IF($L143="","",IFERROR(INDEX('Detalle individual'!$B:$B,MATCH($A143,'Detalle individual'!$A:$A,0)),TRIM(INDEX('Base Exámenes'!$A:$A,$L143))))</f>
        <v/>
      </c>
      <c r="C143" s="5" t="str">
        <f>IF($L143="","",IFERROR(INDEX('Detalle individual'!$C:$C,MATCH($A143,'Detalle individual'!$A:$A,0)),TRIM(INDEX('Base Exámenes'!$B:$B,$L143))))</f>
        <v/>
      </c>
      <c r="D143" s="5" t="str">
        <f>IF($L143="","",IFERROR(INDEX('Detalle individual'!$D:$D,MATCH($A143,'Detalle individual'!$A:$A,0)),"(no está en Base Oficial)"))</f>
        <v/>
      </c>
      <c r="E143" s="5" t="str">
        <f>IF($L143="","",COUNTIFS('Base Exámenes'!$C$5:$C$1000,INDEX('Base Exámenes'!$C:$C,$L143),'Base Exámenes'!$D$5:$D$1000,"&lt;="&amp;INDEX('Base Exámenes'!$D:$D,$L143)))</f>
        <v/>
      </c>
      <c r="F143" s="23" t="str">
        <f>IF($L143="","",INDEX('Base Exámenes'!$D:$D,$L143))</f>
        <v/>
      </c>
      <c r="G143" s="23" t="str">
        <f>IF($L143="","",INDEX('Base Exámenes'!$E:$E,$L143))</f>
        <v/>
      </c>
      <c r="H143" s="24" t="str">
        <f>IF($L143="","",INDEX('Base Exámenes'!$F:$F,$L143))</f>
        <v/>
      </c>
      <c r="I143" s="5" t="str">
        <f>IF($L143="","",INDEX('Base Exámenes'!$G:$G,$L143))</f>
        <v/>
      </c>
      <c r="J143" s="5" t="str">
        <f>IF($L143="","",IF($L143-4=MATCH(INDEX('Base Exámenes'!$C:$C,$L143)&amp;"|"&amp;_xlfn.MAXIFS('Base Exámenes'!$G$5:$G$1000,'Base Exámenes'!$C$5:$C$1000,INDEX('Base Exámenes'!$C:$C,$L143)),'Base Exámenes'!$I$5:$I$1000,0),"Sí",""))</f>
        <v/>
      </c>
      <c r="L143" t="str">
        <f>IFERROR(MATCH(SMALL(Cálculos!$AQ$5:$AQ$1000,139),Cálculos!$AQ$5:$AQ$1000,0)+4,"")</f>
        <v/>
      </c>
    </row>
    <row r="144">
      <c r="A144" s="5" t="str">
        <f>IF($L144="","",TRIM(INDEX('Base Exámenes'!$C:$C,$L144)))</f>
        <v/>
      </c>
      <c r="B144" s="5" t="str">
        <f>IF($L144="","",IFERROR(INDEX('Detalle individual'!$B:$B,MATCH($A144,'Detalle individual'!$A:$A,0)),TRIM(INDEX('Base Exámenes'!$A:$A,$L144))))</f>
        <v/>
      </c>
      <c r="C144" s="5" t="str">
        <f>IF($L144="","",IFERROR(INDEX('Detalle individual'!$C:$C,MATCH($A144,'Detalle individual'!$A:$A,0)),TRIM(INDEX('Base Exámenes'!$B:$B,$L144))))</f>
        <v/>
      </c>
      <c r="D144" s="5" t="str">
        <f>IF($L144="","",IFERROR(INDEX('Detalle individual'!$D:$D,MATCH($A144,'Detalle individual'!$A:$A,0)),"(no está en Base Oficial)"))</f>
        <v/>
      </c>
      <c r="E144" s="5" t="str">
        <f>IF($L144="","",COUNTIFS('Base Exámenes'!$C$5:$C$1000,INDEX('Base Exámenes'!$C:$C,$L144),'Base Exámenes'!$D$5:$D$1000,"&lt;="&amp;INDEX('Base Exámenes'!$D:$D,$L144)))</f>
        <v/>
      </c>
      <c r="F144" s="23" t="str">
        <f>IF($L144="","",INDEX('Base Exámenes'!$D:$D,$L144))</f>
        <v/>
      </c>
      <c r="G144" s="23" t="str">
        <f>IF($L144="","",INDEX('Base Exámenes'!$E:$E,$L144))</f>
        <v/>
      </c>
      <c r="H144" s="24" t="str">
        <f>IF($L144="","",INDEX('Base Exámenes'!$F:$F,$L144))</f>
        <v/>
      </c>
      <c r="I144" s="5" t="str">
        <f>IF($L144="","",INDEX('Base Exámenes'!$G:$G,$L144))</f>
        <v/>
      </c>
      <c r="J144" s="5" t="str">
        <f>IF($L144="","",IF($L144-4=MATCH(INDEX('Base Exámenes'!$C:$C,$L144)&amp;"|"&amp;_xlfn.MAXIFS('Base Exámenes'!$G$5:$G$1000,'Base Exámenes'!$C$5:$C$1000,INDEX('Base Exámenes'!$C:$C,$L144)),'Base Exámenes'!$I$5:$I$1000,0),"Sí",""))</f>
        <v/>
      </c>
      <c r="L144" t="str">
        <f>IFERROR(MATCH(SMALL(Cálculos!$AQ$5:$AQ$1000,140),Cálculos!$AQ$5:$AQ$1000,0)+4,"")</f>
        <v/>
      </c>
    </row>
    <row r="145">
      <c r="A145" s="5" t="str">
        <f>IF($L145="","",TRIM(INDEX('Base Exámenes'!$C:$C,$L145)))</f>
        <v/>
      </c>
      <c r="B145" s="5" t="str">
        <f>IF($L145="","",IFERROR(INDEX('Detalle individual'!$B:$B,MATCH($A145,'Detalle individual'!$A:$A,0)),TRIM(INDEX('Base Exámenes'!$A:$A,$L145))))</f>
        <v/>
      </c>
      <c r="C145" s="5" t="str">
        <f>IF($L145="","",IFERROR(INDEX('Detalle individual'!$C:$C,MATCH($A145,'Detalle individual'!$A:$A,0)),TRIM(INDEX('Base Exámenes'!$B:$B,$L145))))</f>
        <v/>
      </c>
      <c r="D145" s="5" t="str">
        <f>IF($L145="","",IFERROR(INDEX('Detalle individual'!$D:$D,MATCH($A145,'Detalle individual'!$A:$A,0)),"(no está en Base Oficial)"))</f>
        <v/>
      </c>
      <c r="E145" s="5" t="str">
        <f>IF($L145="","",COUNTIFS('Base Exámenes'!$C$5:$C$1000,INDEX('Base Exámenes'!$C:$C,$L145),'Base Exámenes'!$D$5:$D$1000,"&lt;="&amp;INDEX('Base Exámenes'!$D:$D,$L145)))</f>
        <v/>
      </c>
      <c r="F145" s="23" t="str">
        <f>IF($L145="","",INDEX('Base Exámenes'!$D:$D,$L145))</f>
        <v/>
      </c>
      <c r="G145" s="23" t="str">
        <f>IF($L145="","",INDEX('Base Exámenes'!$E:$E,$L145))</f>
        <v/>
      </c>
      <c r="H145" s="24" t="str">
        <f>IF($L145="","",INDEX('Base Exámenes'!$F:$F,$L145))</f>
        <v/>
      </c>
      <c r="I145" s="5" t="str">
        <f>IF($L145="","",INDEX('Base Exámenes'!$G:$G,$L145))</f>
        <v/>
      </c>
      <c r="J145" s="5" t="str">
        <f>IF($L145="","",IF($L145-4=MATCH(INDEX('Base Exámenes'!$C:$C,$L145)&amp;"|"&amp;_xlfn.MAXIFS('Base Exámenes'!$G$5:$G$1000,'Base Exámenes'!$C$5:$C$1000,INDEX('Base Exámenes'!$C:$C,$L145)),'Base Exámenes'!$I$5:$I$1000,0),"Sí",""))</f>
        <v/>
      </c>
      <c r="L145" t="str">
        <f>IFERROR(MATCH(SMALL(Cálculos!$AQ$5:$AQ$1000,141),Cálculos!$AQ$5:$AQ$1000,0)+4,"")</f>
        <v/>
      </c>
    </row>
    <row r="146">
      <c r="A146" s="5" t="str">
        <f>IF($L146="","",TRIM(INDEX('Base Exámenes'!$C:$C,$L146)))</f>
        <v/>
      </c>
      <c r="B146" s="5" t="str">
        <f>IF($L146="","",IFERROR(INDEX('Detalle individual'!$B:$B,MATCH($A146,'Detalle individual'!$A:$A,0)),TRIM(INDEX('Base Exámenes'!$A:$A,$L146))))</f>
        <v/>
      </c>
      <c r="C146" s="5" t="str">
        <f>IF($L146="","",IFERROR(INDEX('Detalle individual'!$C:$C,MATCH($A146,'Detalle individual'!$A:$A,0)),TRIM(INDEX('Base Exámenes'!$B:$B,$L146))))</f>
        <v/>
      </c>
      <c r="D146" s="5" t="str">
        <f>IF($L146="","",IFERROR(INDEX('Detalle individual'!$D:$D,MATCH($A146,'Detalle individual'!$A:$A,0)),"(no está en Base Oficial)"))</f>
        <v/>
      </c>
      <c r="E146" s="5" t="str">
        <f>IF($L146="","",COUNTIFS('Base Exámenes'!$C$5:$C$1000,INDEX('Base Exámenes'!$C:$C,$L146),'Base Exámenes'!$D$5:$D$1000,"&lt;="&amp;INDEX('Base Exámenes'!$D:$D,$L146)))</f>
        <v/>
      </c>
      <c r="F146" s="23" t="str">
        <f>IF($L146="","",INDEX('Base Exámenes'!$D:$D,$L146))</f>
        <v/>
      </c>
      <c r="G146" s="23" t="str">
        <f>IF($L146="","",INDEX('Base Exámenes'!$E:$E,$L146))</f>
        <v/>
      </c>
      <c r="H146" s="24" t="str">
        <f>IF($L146="","",INDEX('Base Exámenes'!$F:$F,$L146))</f>
        <v/>
      </c>
      <c r="I146" s="5" t="str">
        <f>IF($L146="","",INDEX('Base Exámenes'!$G:$G,$L146))</f>
        <v/>
      </c>
      <c r="J146" s="5" t="str">
        <f>IF($L146="","",IF($L146-4=MATCH(INDEX('Base Exámenes'!$C:$C,$L146)&amp;"|"&amp;_xlfn.MAXIFS('Base Exámenes'!$G$5:$G$1000,'Base Exámenes'!$C$5:$C$1000,INDEX('Base Exámenes'!$C:$C,$L146)),'Base Exámenes'!$I$5:$I$1000,0),"Sí",""))</f>
        <v/>
      </c>
      <c r="L146" t="str">
        <f>IFERROR(MATCH(SMALL(Cálculos!$AQ$5:$AQ$1000,142),Cálculos!$AQ$5:$AQ$1000,0)+4,"")</f>
        <v/>
      </c>
    </row>
    <row r="147">
      <c r="A147" s="5" t="str">
        <f>IF($L147="","",TRIM(INDEX('Base Exámenes'!$C:$C,$L147)))</f>
        <v/>
      </c>
      <c r="B147" s="5" t="str">
        <f>IF($L147="","",IFERROR(INDEX('Detalle individual'!$B:$B,MATCH($A147,'Detalle individual'!$A:$A,0)),TRIM(INDEX('Base Exámenes'!$A:$A,$L147))))</f>
        <v/>
      </c>
      <c r="C147" s="5" t="str">
        <f>IF($L147="","",IFERROR(INDEX('Detalle individual'!$C:$C,MATCH($A147,'Detalle individual'!$A:$A,0)),TRIM(INDEX('Base Exámenes'!$B:$B,$L147))))</f>
        <v/>
      </c>
      <c r="D147" s="5" t="str">
        <f>IF($L147="","",IFERROR(INDEX('Detalle individual'!$D:$D,MATCH($A147,'Detalle individual'!$A:$A,0)),"(no está en Base Oficial)"))</f>
        <v/>
      </c>
      <c r="E147" s="5" t="str">
        <f>IF($L147="","",COUNTIFS('Base Exámenes'!$C$5:$C$1000,INDEX('Base Exámenes'!$C:$C,$L147),'Base Exámenes'!$D$5:$D$1000,"&lt;="&amp;INDEX('Base Exámenes'!$D:$D,$L147)))</f>
        <v/>
      </c>
      <c r="F147" s="23" t="str">
        <f>IF($L147="","",INDEX('Base Exámenes'!$D:$D,$L147))</f>
        <v/>
      </c>
      <c r="G147" s="23" t="str">
        <f>IF($L147="","",INDEX('Base Exámenes'!$E:$E,$L147))</f>
        <v/>
      </c>
      <c r="H147" s="24" t="str">
        <f>IF($L147="","",INDEX('Base Exámenes'!$F:$F,$L147))</f>
        <v/>
      </c>
      <c r="I147" s="5" t="str">
        <f>IF($L147="","",INDEX('Base Exámenes'!$G:$G,$L147))</f>
        <v/>
      </c>
      <c r="J147" s="5" t="str">
        <f>IF($L147="","",IF($L147-4=MATCH(INDEX('Base Exámenes'!$C:$C,$L147)&amp;"|"&amp;_xlfn.MAXIFS('Base Exámenes'!$G$5:$G$1000,'Base Exámenes'!$C$5:$C$1000,INDEX('Base Exámenes'!$C:$C,$L147)),'Base Exámenes'!$I$5:$I$1000,0),"Sí",""))</f>
        <v/>
      </c>
      <c r="L147" t="str">
        <f>IFERROR(MATCH(SMALL(Cálculos!$AQ$5:$AQ$1000,143),Cálculos!$AQ$5:$AQ$1000,0)+4,"")</f>
        <v/>
      </c>
    </row>
    <row r="148">
      <c r="A148" s="5" t="str">
        <f>IF($L148="","",TRIM(INDEX('Base Exámenes'!$C:$C,$L148)))</f>
        <v/>
      </c>
      <c r="B148" s="5" t="str">
        <f>IF($L148="","",IFERROR(INDEX('Detalle individual'!$B:$B,MATCH($A148,'Detalle individual'!$A:$A,0)),TRIM(INDEX('Base Exámenes'!$A:$A,$L148))))</f>
        <v/>
      </c>
      <c r="C148" s="5" t="str">
        <f>IF($L148="","",IFERROR(INDEX('Detalle individual'!$C:$C,MATCH($A148,'Detalle individual'!$A:$A,0)),TRIM(INDEX('Base Exámenes'!$B:$B,$L148))))</f>
        <v/>
      </c>
      <c r="D148" s="5" t="str">
        <f>IF($L148="","",IFERROR(INDEX('Detalle individual'!$D:$D,MATCH($A148,'Detalle individual'!$A:$A,0)),"(no está en Base Oficial)"))</f>
        <v/>
      </c>
      <c r="E148" s="5" t="str">
        <f>IF($L148="","",COUNTIFS('Base Exámenes'!$C$5:$C$1000,INDEX('Base Exámenes'!$C:$C,$L148),'Base Exámenes'!$D$5:$D$1000,"&lt;="&amp;INDEX('Base Exámenes'!$D:$D,$L148)))</f>
        <v/>
      </c>
      <c r="F148" s="23" t="str">
        <f>IF($L148="","",INDEX('Base Exámenes'!$D:$D,$L148))</f>
        <v/>
      </c>
      <c r="G148" s="23" t="str">
        <f>IF($L148="","",INDEX('Base Exámenes'!$E:$E,$L148))</f>
        <v/>
      </c>
      <c r="H148" s="24" t="str">
        <f>IF($L148="","",INDEX('Base Exámenes'!$F:$F,$L148))</f>
        <v/>
      </c>
      <c r="I148" s="5" t="str">
        <f>IF($L148="","",INDEX('Base Exámenes'!$G:$G,$L148))</f>
        <v/>
      </c>
      <c r="J148" s="5" t="str">
        <f>IF($L148="","",IF($L148-4=MATCH(INDEX('Base Exámenes'!$C:$C,$L148)&amp;"|"&amp;_xlfn.MAXIFS('Base Exámenes'!$G$5:$G$1000,'Base Exámenes'!$C$5:$C$1000,INDEX('Base Exámenes'!$C:$C,$L148)),'Base Exámenes'!$I$5:$I$1000,0),"Sí",""))</f>
        <v/>
      </c>
      <c r="L148" t="str">
        <f>IFERROR(MATCH(SMALL(Cálculos!$AQ$5:$AQ$1000,144),Cálculos!$AQ$5:$AQ$1000,0)+4,"")</f>
        <v/>
      </c>
    </row>
    <row r="149">
      <c r="A149" s="5" t="str">
        <f>IF($L149="","",TRIM(INDEX('Base Exámenes'!$C:$C,$L149)))</f>
        <v/>
      </c>
      <c r="B149" s="5" t="str">
        <f>IF($L149="","",IFERROR(INDEX('Detalle individual'!$B:$B,MATCH($A149,'Detalle individual'!$A:$A,0)),TRIM(INDEX('Base Exámenes'!$A:$A,$L149))))</f>
        <v/>
      </c>
      <c r="C149" s="5" t="str">
        <f>IF($L149="","",IFERROR(INDEX('Detalle individual'!$C:$C,MATCH($A149,'Detalle individual'!$A:$A,0)),TRIM(INDEX('Base Exámenes'!$B:$B,$L149))))</f>
        <v/>
      </c>
      <c r="D149" s="5" t="str">
        <f>IF($L149="","",IFERROR(INDEX('Detalle individual'!$D:$D,MATCH($A149,'Detalle individual'!$A:$A,0)),"(no está en Base Oficial)"))</f>
        <v/>
      </c>
      <c r="E149" s="5" t="str">
        <f>IF($L149="","",COUNTIFS('Base Exámenes'!$C$5:$C$1000,INDEX('Base Exámenes'!$C:$C,$L149),'Base Exámenes'!$D$5:$D$1000,"&lt;="&amp;INDEX('Base Exámenes'!$D:$D,$L149)))</f>
        <v/>
      </c>
      <c r="F149" s="23" t="str">
        <f>IF($L149="","",INDEX('Base Exámenes'!$D:$D,$L149))</f>
        <v/>
      </c>
      <c r="G149" s="23" t="str">
        <f>IF($L149="","",INDEX('Base Exámenes'!$E:$E,$L149))</f>
        <v/>
      </c>
      <c r="H149" s="24" t="str">
        <f>IF($L149="","",INDEX('Base Exámenes'!$F:$F,$L149))</f>
        <v/>
      </c>
      <c r="I149" s="5" t="str">
        <f>IF($L149="","",INDEX('Base Exámenes'!$G:$G,$L149))</f>
        <v/>
      </c>
      <c r="J149" s="5" t="str">
        <f>IF($L149="","",IF($L149-4=MATCH(INDEX('Base Exámenes'!$C:$C,$L149)&amp;"|"&amp;_xlfn.MAXIFS('Base Exámenes'!$G$5:$G$1000,'Base Exámenes'!$C$5:$C$1000,INDEX('Base Exámenes'!$C:$C,$L149)),'Base Exámenes'!$I$5:$I$1000,0),"Sí",""))</f>
        <v/>
      </c>
      <c r="L149" t="str">
        <f>IFERROR(MATCH(SMALL(Cálculos!$AQ$5:$AQ$1000,145),Cálculos!$AQ$5:$AQ$1000,0)+4,"")</f>
        <v/>
      </c>
    </row>
    <row r="150">
      <c r="A150" s="5" t="str">
        <f>IF($L150="","",TRIM(INDEX('Base Exámenes'!$C:$C,$L150)))</f>
        <v/>
      </c>
      <c r="B150" s="5" t="str">
        <f>IF($L150="","",IFERROR(INDEX('Detalle individual'!$B:$B,MATCH($A150,'Detalle individual'!$A:$A,0)),TRIM(INDEX('Base Exámenes'!$A:$A,$L150))))</f>
        <v/>
      </c>
      <c r="C150" s="5" t="str">
        <f>IF($L150="","",IFERROR(INDEX('Detalle individual'!$C:$C,MATCH($A150,'Detalle individual'!$A:$A,0)),TRIM(INDEX('Base Exámenes'!$B:$B,$L150))))</f>
        <v/>
      </c>
      <c r="D150" s="5" t="str">
        <f>IF($L150="","",IFERROR(INDEX('Detalle individual'!$D:$D,MATCH($A150,'Detalle individual'!$A:$A,0)),"(no está en Base Oficial)"))</f>
        <v/>
      </c>
      <c r="E150" s="5" t="str">
        <f>IF($L150="","",COUNTIFS('Base Exámenes'!$C$5:$C$1000,INDEX('Base Exámenes'!$C:$C,$L150),'Base Exámenes'!$D$5:$D$1000,"&lt;="&amp;INDEX('Base Exámenes'!$D:$D,$L150)))</f>
        <v/>
      </c>
      <c r="F150" s="23" t="str">
        <f>IF($L150="","",INDEX('Base Exámenes'!$D:$D,$L150))</f>
        <v/>
      </c>
      <c r="G150" s="23" t="str">
        <f>IF($L150="","",INDEX('Base Exámenes'!$E:$E,$L150))</f>
        <v/>
      </c>
      <c r="H150" s="24" t="str">
        <f>IF($L150="","",INDEX('Base Exámenes'!$F:$F,$L150))</f>
        <v/>
      </c>
      <c r="I150" s="5" t="str">
        <f>IF($L150="","",INDEX('Base Exámenes'!$G:$G,$L150))</f>
        <v/>
      </c>
      <c r="J150" s="5" t="str">
        <f>IF($L150="","",IF($L150-4=MATCH(INDEX('Base Exámenes'!$C:$C,$L150)&amp;"|"&amp;_xlfn.MAXIFS('Base Exámenes'!$G$5:$G$1000,'Base Exámenes'!$C$5:$C$1000,INDEX('Base Exámenes'!$C:$C,$L150)),'Base Exámenes'!$I$5:$I$1000,0),"Sí",""))</f>
        <v/>
      </c>
      <c r="L150" t="str">
        <f>IFERROR(MATCH(SMALL(Cálculos!$AQ$5:$AQ$1000,146),Cálculos!$AQ$5:$AQ$1000,0)+4,"")</f>
        <v/>
      </c>
    </row>
    <row r="151">
      <c r="A151" s="5" t="str">
        <f>IF($L151="","",TRIM(INDEX('Base Exámenes'!$C:$C,$L151)))</f>
        <v/>
      </c>
      <c r="B151" s="5" t="str">
        <f>IF($L151="","",IFERROR(INDEX('Detalle individual'!$B:$B,MATCH($A151,'Detalle individual'!$A:$A,0)),TRIM(INDEX('Base Exámenes'!$A:$A,$L151))))</f>
        <v/>
      </c>
      <c r="C151" s="5" t="str">
        <f>IF($L151="","",IFERROR(INDEX('Detalle individual'!$C:$C,MATCH($A151,'Detalle individual'!$A:$A,0)),TRIM(INDEX('Base Exámenes'!$B:$B,$L151))))</f>
        <v/>
      </c>
      <c r="D151" s="5" t="str">
        <f>IF($L151="","",IFERROR(INDEX('Detalle individual'!$D:$D,MATCH($A151,'Detalle individual'!$A:$A,0)),"(no está en Base Oficial)"))</f>
        <v/>
      </c>
      <c r="E151" s="5" t="str">
        <f>IF($L151="","",COUNTIFS('Base Exámenes'!$C$5:$C$1000,INDEX('Base Exámenes'!$C:$C,$L151),'Base Exámenes'!$D$5:$D$1000,"&lt;="&amp;INDEX('Base Exámenes'!$D:$D,$L151)))</f>
        <v/>
      </c>
      <c r="F151" s="23" t="str">
        <f>IF($L151="","",INDEX('Base Exámenes'!$D:$D,$L151))</f>
        <v/>
      </c>
      <c r="G151" s="23" t="str">
        <f>IF($L151="","",INDEX('Base Exámenes'!$E:$E,$L151))</f>
        <v/>
      </c>
      <c r="H151" s="24" t="str">
        <f>IF($L151="","",INDEX('Base Exámenes'!$F:$F,$L151))</f>
        <v/>
      </c>
      <c r="I151" s="5" t="str">
        <f>IF($L151="","",INDEX('Base Exámenes'!$G:$G,$L151))</f>
        <v/>
      </c>
      <c r="J151" s="5" t="str">
        <f>IF($L151="","",IF($L151-4=MATCH(INDEX('Base Exámenes'!$C:$C,$L151)&amp;"|"&amp;_xlfn.MAXIFS('Base Exámenes'!$G$5:$G$1000,'Base Exámenes'!$C$5:$C$1000,INDEX('Base Exámenes'!$C:$C,$L151)),'Base Exámenes'!$I$5:$I$1000,0),"Sí",""))</f>
        <v/>
      </c>
      <c r="L151" t="str">
        <f>IFERROR(MATCH(SMALL(Cálculos!$AQ$5:$AQ$1000,147),Cálculos!$AQ$5:$AQ$1000,0)+4,"")</f>
        <v/>
      </c>
    </row>
    <row r="152">
      <c r="A152" s="5" t="str">
        <f>IF($L152="","",TRIM(INDEX('Base Exámenes'!$C:$C,$L152)))</f>
        <v/>
      </c>
      <c r="B152" s="5" t="str">
        <f>IF($L152="","",IFERROR(INDEX('Detalle individual'!$B:$B,MATCH($A152,'Detalle individual'!$A:$A,0)),TRIM(INDEX('Base Exámenes'!$A:$A,$L152))))</f>
        <v/>
      </c>
      <c r="C152" s="5" t="str">
        <f>IF($L152="","",IFERROR(INDEX('Detalle individual'!$C:$C,MATCH($A152,'Detalle individual'!$A:$A,0)),TRIM(INDEX('Base Exámenes'!$B:$B,$L152))))</f>
        <v/>
      </c>
      <c r="D152" s="5" t="str">
        <f>IF($L152="","",IFERROR(INDEX('Detalle individual'!$D:$D,MATCH($A152,'Detalle individual'!$A:$A,0)),"(no está en Base Oficial)"))</f>
        <v/>
      </c>
      <c r="E152" s="5" t="str">
        <f>IF($L152="","",COUNTIFS('Base Exámenes'!$C$5:$C$1000,INDEX('Base Exámenes'!$C:$C,$L152),'Base Exámenes'!$D$5:$D$1000,"&lt;="&amp;INDEX('Base Exámenes'!$D:$D,$L152)))</f>
        <v/>
      </c>
      <c r="F152" s="23" t="str">
        <f>IF($L152="","",INDEX('Base Exámenes'!$D:$D,$L152))</f>
        <v/>
      </c>
      <c r="G152" s="23" t="str">
        <f>IF($L152="","",INDEX('Base Exámenes'!$E:$E,$L152))</f>
        <v/>
      </c>
      <c r="H152" s="24" t="str">
        <f>IF($L152="","",INDEX('Base Exámenes'!$F:$F,$L152))</f>
        <v/>
      </c>
      <c r="I152" s="5" t="str">
        <f>IF($L152="","",INDEX('Base Exámenes'!$G:$G,$L152))</f>
        <v/>
      </c>
      <c r="J152" s="5" t="str">
        <f>IF($L152="","",IF($L152-4=MATCH(INDEX('Base Exámenes'!$C:$C,$L152)&amp;"|"&amp;_xlfn.MAXIFS('Base Exámenes'!$G$5:$G$1000,'Base Exámenes'!$C$5:$C$1000,INDEX('Base Exámenes'!$C:$C,$L152)),'Base Exámenes'!$I$5:$I$1000,0),"Sí",""))</f>
        <v/>
      </c>
      <c r="L152" t="str">
        <f>IFERROR(MATCH(SMALL(Cálculos!$AQ$5:$AQ$1000,148),Cálculos!$AQ$5:$AQ$1000,0)+4,"")</f>
        <v/>
      </c>
    </row>
    <row r="153">
      <c r="A153" s="5" t="str">
        <f>IF($L153="","",TRIM(INDEX('Base Exámenes'!$C:$C,$L153)))</f>
        <v/>
      </c>
      <c r="B153" s="5" t="str">
        <f>IF($L153="","",IFERROR(INDEX('Detalle individual'!$B:$B,MATCH($A153,'Detalle individual'!$A:$A,0)),TRIM(INDEX('Base Exámenes'!$A:$A,$L153))))</f>
        <v/>
      </c>
      <c r="C153" s="5" t="str">
        <f>IF($L153="","",IFERROR(INDEX('Detalle individual'!$C:$C,MATCH($A153,'Detalle individual'!$A:$A,0)),TRIM(INDEX('Base Exámenes'!$B:$B,$L153))))</f>
        <v/>
      </c>
      <c r="D153" s="5" t="str">
        <f>IF($L153="","",IFERROR(INDEX('Detalle individual'!$D:$D,MATCH($A153,'Detalle individual'!$A:$A,0)),"(no está en Base Oficial)"))</f>
        <v/>
      </c>
      <c r="E153" s="5" t="str">
        <f>IF($L153="","",COUNTIFS('Base Exámenes'!$C$5:$C$1000,INDEX('Base Exámenes'!$C:$C,$L153),'Base Exámenes'!$D$5:$D$1000,"&lt;="&amp;INDEX('Base Exámenes'!$D:$D,$L153)))</f>
        <v/>
      </c>
      <c r="F153" s="23" t="str">
        <f>IF($L153="","",INDEX('Base Exámenes'!$D:$D,$L153))</f>
        <v/>
      </c>
      <c r="G153" s="23" t="str">
        <f>IF($L153="","",INDEX('Base Exámenes'!$E:$E,$L153))</f>
        <v/>
      </c>
      <c r="H153" s="24" t="str">
        <f>IF($L153="","",INDEX('Base Exámenes'!$F:$F,$L153))</f>
        <v/>
      </c>
      <c r="I153" s="5" t="str">
        <f>IF($L153="","",INDEX('Base Exámenes'!$G:$G,$L153))</f>
        <v/>
      </c>
      <c r="J153" s="5" t="str">
        <f>IF($L153="","",IF($L153-4=MATCH(INDEX('Base Exámenes'!$C:$C,$L153)&amp;"|"&amp;_xlfn.MAXIFS('Base Exámenes'!$G$5:$G$1000,'Base Exámenes'!$C$5:$C$1000,INDEX('Base Exámenes'!$C:$C,$L153)),'Base Exámenes'!$I$5:$I$1000,0),"Sí",""))</f>
        <v/>
      </c>
      <c r="L153" t="str">
        <f>IFERROR(MATCH(SMALL(Cálculos!$AQ$5:$AQ$1000,149),Cálculos!$AQ$5:$AQ$1000,0)+4,"")</f>
        <v/>
      </c>
    </row>
    <row r="154">
      <c r="A154" s="5" t="str">
        <f>IF($L154="","",TRIM(INDEX('Base Exámenes'!$C:$C,$L154)))</f>
        <v/>
      </c>
      <c r="B154" s="5" t="str">
        <f>IF($L154="","",IFERROR(INDEX('Detalle individual'!$B:$B,MATCH($A154,'Detalle individual'!$A:$A,0)),TRIM(INDEX('Base Exámenes'!$A:$A,$L154))))</f>
        <v/>
      </c>
      <c r="C154" s="5" t="str">
        <f>IF($L154="","",IFERROR(INDEX('Detalle individual'!$C:$C,MATCH($A154,'Detalle individual'!$A:$A,0)),TRIM(INDEX('Base Exámenes'!$B:$B,$L154))))</f>
        <v/>
      </c>
      <c r="D154" s="5" t="str">
        <f>IF($L154="","",IFERROR(INDEX('Detalle individual'!$D:$D,MATCH($A154,'Detalle individual'!$A:$A,0)),"(no está en Base Oficial)"))</f>
        <v/>
      </c>
      <c r="E154" s="5" t="str">
        <f>IF($L154="","",COUNTIFS('Base Exámenes'!$C$5:$C$1000,INDEX('Base Exámenes'!$C:$C,$L154),'Base Exámenes'!$D$5:$D$1000,"&lt;="&amp;INDEX('Base Exámenes'!$D:$D,$L154)))</f>
        <v/>
      </c>
      <c r="F154" s="23" t="str">
        <f>IF($L154="","",INDEX('Base Exámenes'!$D:$D,$L154))</f>
        <v/>
      </c>
      <c r="G154" s="23" t="str">
        <f>IF($L154="","",INDEX('Base Exámenes'!$E:$E,$L154))</f>
        <v/>
      </c>
      <c r="H154" s="24" t="str">
        <f>IF($L154="","",INDEX('Base Exámenes'!$F:$F,$L154))</f>
        <v/>
      </c>
      <c r="I154" s="5" t="str">
        <f>IF($L154="","",INDEX('Base Exámenes'!$G:$G,$L154))</f>
        <v/>
      </c>
      <c r="J154" s="5" t="str">
        <f>IF($L154="","",IF($L154-4=MATCH(INDEX('Base Exámenes'!$C:$C,$L154)&amp;"|"&amp;_xlfn.MAXIFS('Base Exámenes'!$G$5:$G$1000,'Base Exámenes'!$C$5:$C$1000,INDEX('Base Exámenes'!$C:$C,$L154)),'Base Exámenes'!$I$5:$I$1000,0),"Sí",""))</f>
        <v/>
      </c>
      <c r="L154" t="str">
        <f>IFERROR(MATCH(SMALL(Cálculos!$AQ$5:$AQ$1000,150),Cálculos!$AQ$5:$AQ$1000,0)+4,"")</f>
        <v/>
      </c>
    </row>
    <row r="155">
      <c r="A155" s="5" t="str">
        <f>IF($L155="","",TRIM(INDEX('Base Exámenes'!$C:$C,$L155)))</f>
        <v/>
      </c>
      <c r="B155" s="5" t="str">
        <f>IF($L155="","",IFERROR(INDEX('Detalle individual'!$B:$B,MATCH($A155,'Detalle individual'!$A:$A,0)),TRIM(INDEX('Base Exámenes'!$A:$A,$L155))))</f>
        <v/>
      </c>
      <c r="C155" s="5" t="str">
        <f>IF($L155="","",IFERROR(INDEX('Detalle individual'!$C:$C,MATCH($A155,'Detalle individual'!$A:$A,0)),TRIM(INDEX('Base Exámenes'!$B:$B,$L155))))</f>
        <v/>
      </c>
      <c r="D155" s="5" t="str">
        <f>IF($L155="","",IFERROR(INDEX('Detalle individual'!$D:$D,MATCH($A155,'Detalle individual'!$A:$A,0)),"(no está en Base Oficial)"))</f>
        <v/>
      </c>
      <c r="E155" s="5" t="str">
        <f>IF($L155="","",COUNTIFS('Base Exámenes'!$C$5:$C$1000,INDEX('Base Exámenes'!$C:$C,$L155),'Base Exámenes'!$D$5:$D$1000,"&lt;="&amp;INDEX('Base Exámenes'!$D:$D,$L155)))</f>
        <v/>
      </c>
      <c r="F155" s="23" t="str">
        <f>IF($L155="","",INDEX('Base Exámenes'!$D:$D,$L155))</f>
        <v/>
      </c>
      <c r="G155" s="23" t="str">
        <f>IF($L155="","",INDEX('Base Exámenes'!$E:$E,$L155))</f>
        <v/>
      </c>
      <c r="H155" s="24" t="str">
        <f>IF($L155="","",INDEX('Base Exámenes'!$F:$F,$L155))</f>
        <v/>
      </c>
      <c r="I155" s="5" t="str">
        <f>IF($L155="","",INDEX('Base Exámenes'!$G:$G,$L155))</f>
        <v/>
      </c>
      <c r="J155" s="5" t="str">
        <f>IF($L155="","",IF($L155-4=MATCH(INDEX('Base Exámenes'!$C:$C,$L155)&amp;"|"&amp;_xlfn.MAXIFS('Base Exámenes'!$G$5:$G$1000,'Base Exámenes'!$C$5:$C$1000,INDEX('Base Exámenes'!$C:$C,$L155)),'Base Exámenes'!$I$5:$I$1000,0),"Sí",""))</f>
        <v/>
      </c>
      <c r="L155" t="str">
        <f>IFERROR(MATCH(SMALL(Cálculos!$AQ$5:$AQ$1000,151),Cálculos!$AQ$5:$AQ$1000,0)+4,"")</f>
        <v/>
      </c>
    </row>
    <row r="156">
      <c r="A156" s="5" t="str">
        <f>IF($L156="","",TRIM(INDEX('Base Exámenes'!$C:$C,$L156)))</f>
        <v/>
      </c>
      <c r="B156" s="5" t="str">
        <f>IF($L156="","",IFERROR(INDEX('Detalle individual'!$B:$B,MATCH($A156,'Detalle individual'!$A:$A,0)),TRIM(INDEX('Base Exámenes'!$A:$A,$L156))))</f>
        <v/>
      </c>
      <c r="C156" s="5" t="str">
        <f>IF($L156="","",IFERROR(INDEX('Detalle individual'!$C:$C,MATCH($A156,'Detalle individual'!$A:$A,0)),TRIM(INDEX('Base Exámenes'!$B:$B,$L156))))</f>
        <v/>
      </c>
      <c r="D156" s="5" t="str">
        <f>IF($L156="","",IFERROR(INDEX('Detalle individual'!$D:$D,MATCH($A156,'Detalle individual'!$A:$A,0)),"(no está en Base Oficial)"))</f>
        <v/>
      </c>
      <c r="E156" s="5" t="str">
        <f>IF($L156="","",COUNTIFS('Base Exámenes'!$C$5:$C$1000,INDEX('Base Exámenes'!$C:$C,$L156),'Base Exámenes'!$D$5:$D$1000,"&lt;="&amp;INDEX('Base Exámenes'!$D:$D,$L156)))</f>
        <v/>
      </c>
      <c r="F156" s="23" t="str">
        <f>IF($L156="","",INDEX('Base Exámenes'!$D:$D,$L156))</f>
        <v/>
      </c>
      <c r="G156" s="23" t="str">
        <f>IF($L156="","",INDEX('Base Exámenes'!$E:$E,$L156))</f>
        <v/>
      </c>
      <c r="H156" s="24" t="str">
        <f>IF($L156="","",INDEX('Base Exámenes'!$F:$F,$L156))</f>
        <v/>
      </c>
      <c r="I156" s="5" t="str">
        <f>IF($L156="","",INDEX('Base Exámenes'!$G:$G,$L156))</f>
        <v/>
      </c>
      <c r="J156" s="5" t="str">
        <f>IF($L156="","",IF($L156-4=MATCH(INDEX('Base Exámenes'!$C:$C,$L156)&amp;"|"&amp;_xlfn.MAXIFS('Base Exámenes'!$G$5:$G$1000,'Base Exámenes'!$C$5:$C$1000,INDEX('Base Exámenes'!$C:$C,$L156)),'Base Exámenes'!$I$5:$I$1000,0),"Sí",""))</f>
        <v/>
      </c>
      <c r="L156" t="str">
        <f>IFERROR(MATCH(SMALL(Cálculos!$AQ$5:$AQ$1000,152),Cálculos!$AQ$5:$AQ$1000,0)+4,"")</f>
        <v/>
      </c>
    </row>
    <row r="157">
      <c r="A157" s="5" t="str">
        <f>IF($L157="","",TRIM(INDEX('Base Exámenes'!$C:$C,$L157)))</f>
        <v/>
      </c>
      <c r="B157" s="5" t="str">
        <f>IF($L157="","",IFERROR(INDEX('Detalle individual'!$B:$B,MATCH($A157,'Detalle individual'!$A:$A,0)),TRIM(INDEX('Base Exámenes'!$A:$A,$L157))))</f>
        <v/>
      </c>
      <c r="C157" s="5" t="str">
        <f>IF($L157="","",IFERROR(INDEX('Detalle individual'!$C:$C,MATCH($A157,'Detalle individual'!$A:$A,0)),TRIM(INDEX('Base Exámenes'!$B:$B,$L157))))</f>
        <v/>
      </c>
      <c r="D157" s="5" t="str">
        <f>IF($L157="","",IFERROR(INDEX('Detalle individual'!$D:$D,MATCH($A157,'Detalle individual'!$A:$A,0)),"(no está en Base Oficial)"))</f>
        <v/>
      </c>
      <c r="E157" s="5" t="str">
        <f>IF($L157="","",COUNTIFS('Base Exámenes'!$C$5:$C$1000,INDEX('Base Exámenes'!$C:$C,$L157),'Base Exámenes'!$D$5:$D$1000,"&lt;="&amp;INDEX('Base Exámenes'!$D:$D,$L157)))</f>
        <v/>
      </c>
      <c r="F157" s="23" t="str">
        <f>IF($L157="","",INDEX('Base Exámenes'!$D:$D,$L157))</f>
        <v/>
      </c>
      <c r="G157" s="23" t="str">
        <f>IF($L157="","",INDEX('Base Exámenes'!$E:$E,$L157))</f>
        <v/>
      </c>
      <c r="H157" s="24" t="str">
        <f>IF($L157="","",INDEX('Base Exámenes'!$F:$F,$L157))</f>
        <v/>
      </c>
      <c r="I157" s="5" t="str">
        <f>IF($L157="","",INDEX('Base Exámenes'!$G:$G,$L157))</f>
        <v/>
      </c>
      <c r="J157" s="5" t="str">
        <f>IF($L157="","",IF($L157-4=MATCH(INDEX('Base Exámenes'!$C:$C,$L157)&amp;"|"&amp;_xlfn.MAXIFS('Base Exámenes'!$G$5:$G$1000,'Base Exámenes'!$C$5:$C$1000,INDEX('Base Exámenes'!$C:$C,$L157)),'Base Exámenes'!$I$5:$I$1000,0),"Sí",""))</f>
        <v/>
      </c>
      <c r="L157" t="str">
        <f>IFERROR(MATCH(SMALL(Cálculos!$AQ$5:$AQ$1000,153),Cálculos!$AQ$5:$AQ$1000,0)+4,"")</f>
        <v/>
      </c>
    </row>
    <row r="158">
      <c r="A158" s="5" t="str">
        <f>IF($L158="","",TRIM(INDEX('Base Exámenes'!$C:$C,$L158)))</f>
        <v/>
      </c>
      <c r="B158" s="5" t="str">
        <f>IF($L158="","",IFERROR(INDEX('Detalle individual'!$B:$B,MATCH($A158,'Detalle individual'!$A:$A,0)),TRIM(INDEX('Base Exámenes'!$A:$A,$L158))))</f>
        <v/>
      </c>
      <c r="C158" s="5" t="str">
        <f>IF($L158="","",IFERROR(INDEX('Detalle individual'!$C:$C,MATCH($A158,'Detalle individual'!$A:$A,0)),TRIM(INDEX('Base Exámenes'!$B:$B,$L158))))</f>
        <v/>
      </c>
      <c r="D158" s="5" t="str">
        <f>IF($L158="","",IFERROR(INDEX('Detalle individual'!$D:$D,MATCH($A158,'Detalle individual'!$A:$A,0)),"(no está en Base Oficial)"))</f>
        <v/>
      </c>
      <c r="E158" s="5" t="str">
        <f>IF($L158="","",COUNTIFS('Base Exámenes'!$C$5:$C$1000,INDEX('Base Exámenes'!$C:$C,$L158),'Base Exámenes'!$D$5:$D$1000,"&lt;="&amp;INDEX('Base Exámenes'!$D:$D,$L158)))</f>
        <v/>
      </c>
      <c r="F158" s="23" t="str">
        <f>IF($L158="","",INDEX('Base Exámenes'!$D:$D,$L158))</f>
        <v/>
      </c>
      <c r="G158" s="23" t="str">
        <f>IF($L158="","",INDEX('Base Exámenes'!$E:$E,$L158))</f>
        <v/>
      </c>
      <c r="H158" s="24" t="str">
        <f>IF($L158="","",INDEX('Base Exámenes'!$F:$F,$L158))</f>
        <v/>
      </c>
      <c r="I158" s="5" t="str">
        <f>IF($L158="","",INDEX('Base Exámenes'!$G:$G,$L158))</f>
        <v/>
      </c>
      <c r="J158" s="5" t="str">
        <f>IF($L158="","",IF($L158-4=MATCH(INDEX('Base Exámenes'!$C:$C,$L158)&amp;"|"&amp;_xlfn.MAXIFS('Base Exámenes'!$G$5:$G$1000,'Base Exámenes'!$C$5:$C$1000,INDEX('Base Exámenes'!$C:$C,$L158)),'Base Exámenes'!$I$5:$I$1000,0),"Sí",""))</f>
        <v/>
      </c>
      <c r="L158" t="str">
        <f>IFERROR(MATCH(SMALL(Cálculos!$AQ$5:$AQ$1000,154),Cálculos!$AQ$5:$AQ$1000,0)+4,"")</f>
        <v/>
      </c>
    </row>
    <row r="159">
      <c r="A159" s="5" t="str">
        <f>IF($L159="","",TRIM(INDEX('Base Exámenes'!$C:$C,$L159)))</f>
        <v/>
      </c>
      <c r="B159" s="5" t="str">
        <f>IF($L159="","",IFERROR(INDEX('Detalle individual'!$B:$B,MATCH($A159,'Detalle individual'!$A:$A,0)),TRIM(INDEX('Base Exámenes'!$A:$A,$L159))))</f>
        <v/>
      </c>
      <c r="C159" s="5" t="str">
        <f>IF($L159="","",IFERROR(INDEX('Detalle individual'!$C:$C,MATCH($A159,'Detalle individual'!$A:$A,0)),TRIM(INDEX('Base Exámenes'!$B:$B,$L159))))</f>
        <v/>
      </c>
      <c r="D159" s="5" t="str">
        <f>IF($L159="","",IFERROR(INDEX('Detalle individual'!$D:$D,MATCH($A159,'Detalle individual'!$A:$A,0)),"(no está en Base Oficial)"))</f>
        <v/>
      </c>
      <c r="E159" s="5" t="str">
        <f>IF($L159="","",COUNTIFS('Base Exámenes'!$C$5:$C$1000,INDEX('Base Exámenes'!$C:$C,$L159),'Base Exámenes'!$D$5:$D$1000,"&lt;="&amp;INDEX('Base Exámenes'!$D:$D,$L159)))</f>
        <v/>
      </c>
      <c r="F159" s="23" t="str">
        <f>IF($L159="","",INDEX('Base Exámenes'!$D:$D,$L159))</f>
        <v/>
      </c>
      <c r="G159" s="23" t="str">
        <f>IF($L159="","",INDEX('Base Exámenes'!$E:$E,$L159))</f>
        <v/>
      </c>
      <c r="H159" s="24" t="str">
        <f>IF($L159="","",INDEX('Base Exámenes'!$F:$F,$L159))</f>
        <v/>
      </c>
      <c r="I159" s="5" t="str">
        <f>IF($L159="","",INDEX('Base Exámenes'!$G:$G,$L159))</f>
        <v/>
      </c>
      <c r="J159" s="5" t="str">
        <f>IF($L159="","",IF($L159-4=MATCH(INDEX('Base Exámenes'!$C:$C,$L159)&amp;"|"&amp;_xlfn.MAXIFS('Base Exámenes'!$G$5:$G$1000,'Base Exámenes'!$C$5:$C$1000,INDEX('Base Exámenes'!$C:$C,$L159)),'Base Exámenes'!$I$5:$I$1000,0),"Sí",""))</f>
        <v/>
      </c>
      <c r="L159" t="str">
        <f>IFERROR(MATCH(SMALL(Cálculos!$AQ$5:$AQ$1000,155),Cálculos!$AQ$5:$AQ$1000,0)+4,"")</f>
        <v/>
      </c>
    </row>
    <row r="160">
      <c r="A160" s="5" t="str">
        <f>IF($L160="","",TRIM(INDEX('Base Exámenes'!$C:$C,$L160)))</f>
        <v/>
      </c>
      <c r="B160" s="5" t="str">
        <f>IF($L160="","",IFERROR(INDEX('Detalle individual'!$B:$B,MATCH($A160,'Detalle individual'!$A:$A,0)),TRIM(INDEX('Base Exámenes'!$A:$A,$L160))))</f>
        <v/>
      </c>
      <c r="C160" s="5" t="str">
        <f>IF($L160="","",IFERROR(INDEX('Detalle individual'!$C:$C,MATCH($A160,'Detalle individual'!$A:$A,0)),TRIM(INDEX('Base Exámenes'!$B:$B,$L160))))</f>
        <v/>
      </c>
      <c r="D160" s="5" t="str">
        <f>IF($L160="","",IFERROR(INDEX('Detalle individual'!$D:$D,MATCH($A160,'Detalle individual'!$A:$A,0)),"(no está en Base Oficial)"))</f>
        <v/>
      </c>
      <c r="E160" s="5" t="str">
        <f>IF($L160="","",COUNTIFS('Base Exámenes'!$C$5:$C$1000,INDEX('Base Exámenes'!$C:$C,$L160),'Base Exámenes'!$D$5:$D$1000,"&lt;="&amp;INDEX('Base Exámenes'!$D:$D,$L160)))</f>
        <v/>
      </c>
      <c r="F160" s="23" t="str">
        <f>IF($L160="","",INDEX('Base Exámenes'!$D:$D,$L160))</f>
        <v/>
      </c>
      <c r="G160" s="23" t="str">
        <f>IF($L160="","",INDEX('Base Exámenes'!$E:$E,$L160))</f>
        <v/>
      </c>
      <c r="H160" s="24" t="str">
        <f>IF($L160="","",INDEX('Base Exámenes'!$F:$F,$L160))</f>
        <v/>
      </c>
      <c r="I160" s="5" t="str">
        <f>IF($L160="","",INDEX('Base Exámenes'!$G:$G,$L160))</f>
        <v/>
      </c>
      <c r="J160" s="5" t="str">
        <f>IF($L160="","",IF($L160-4=MATCH(INDEX('Base Exámenes'!$C:$C,$L160)&amp;"|"&amp;_xlfn.MAXIFS('Base Exámenes'!$G$5:$G$1000,'Base Exámenes'!$C$5:$C$1000,INDEX('Base Exámenes'!$C:$C,$L160)),'Base Exámenes'!$I$5:$I$1000,0),"Sí",""))</f>
        <v/>
      </c>
      <c r="L160" t="str">
        <f>IFERROR(MATCH(SMALL(Cálculos!$AQ$5:$AQ$1000,156),Cálculos!$AQ$5:$AQ$1000,0)+4,"")</f>
        <v/>
      </c>
    </row>
    <row r="161">
      <c r="A161" s="5" t="str">
        <f>IF($L161="","",TRIM(INDEX('Base Exámenes'!$C:$C,$L161)))</f>
        <v/>
      </c>
      <c r="B161" s="5" t="str">
        <f>IF($L161="","",IFERROR(INDEX('Detalle individual'!$B:$B,MATCH($A161,'Detalle individual'!$A:$A,0)),TRIM(INDEX('Base Exámenes'!$A:$A,$L161))))</f>
        <v/>
      </c>
      <c r="C161" s="5" t="str">
        <f>IF($L161="","",IFERROR(INDEX('Detalle individual'!$C:$C,MATCH($A161,'Detalle individual'!$A:$A,0)),TRIM(INDEX('Base Exámenes'!$B:$B,$L161))))</f>
        <v/>
      </c>
      <c r="D161" s="5" t="str">
        <f>IF($L161="","",IFERROR(INDEX('Detalle individual'!$D:$D,MATCH($A161,'Detalle individual'!$A:$A,0)),"(no está en Base Oficial)"))</f>
        <v/>
      </c>
      <c r="E161" s="5" t="str">
        <f>IF($L161="","",COUNTIFS('Base Exámenes'!$C$5:$C$1000,INDEX('Base Exámenes'!$C:$C,$L161),'Base Exámenes'!$D$5:$D$1000,"&lt;="&amp;INDEX('Base Exámenes'!$D:$D,$L161)))</f>
        <v/>
      </c>
      <c r="F161" s="23" t="str">
        <f>IF($L161="","",INDEX('Base Exámenes'!$D:$D,$L161))</f>
        <v/>
      </c>
      <c r="G161" s="23" t="str">
        <f>IF($L161="","",INDEX('Base Exámenes'!$E:$E,$L161))</f>
        <v/>
      </c>
      <c r="H161" s="24" t="str">
        <f>IF($L161="","",INDEX('Base Exámenes'!$F:$F,$L161))</f>
        <v/>
      </c>
      <c r="I161" s="5" t="str">
        <f>IF($L161="","",INDEX('Base Exámenes'!$G:$G,$L161))</f>
        <v/>
      </c>
      <c r="J161" s="5" t="str">
        <f>IF($L161="","",IF($L161-4=MATCH(INDEX('Base Exámenes'!$C:$C,$L161)&amp;"|"&amp;_xlfn.MAXIFS('Base Exámenes'!$G$5:$G$1000,'Base Exámenes'!$C$5:$C$1000,INDEX('Base Exámenes'!$C:$C,$L161)),'Base Exámenes'!$I$5:$I$1000,0),"Sí",""))</f>
        <v/>
      </c>
      <c r="L161" t="str">
        <f>IFERROR(MATCH(SMALL(Cálculos!$AQ$5:$AQ$1000,157),Cálculos!$AQ$5:$AQ$1000,0)+4,"")</f>
        <v/>
      </c>
    </row>
    <row r="162">
      <c r="A162" s="5" t="str">
        <f>IF($L162="","",TRIM(INDEX('Base Exámenes'!$C:$C,$L162)))</f>
        <v/>
      </c>
      <c r="B162" s="5" t="str">
        <f>IF($L162="","",IFERROR(INDEX('Detalle individual'!$B:$B,MATCH($A162,'Detalle individual'!$A:$A,0)),TRIM(INDEX('Base Exámenes'!$A:$A,$L162))))</f>
        <v/>
      </c>
      <c r="C162" s="5" t="str">
        <f>IF($L162="","",IFERROR(INDEX('Detalle individual'!$C:$C,MATCH($A162,'Detalle individual'!$A:$A,0)),TRIM(INDEX('Base Exámenes'!$B:$B,$L162))))</f>
        <v/>
      </c>
      <c r="D162" s="5" t="str">
        <f>IF($L162="","",IFERROR(INDEX('Detalle individual'!$D:$D,MATCH($A162,'Detalle individual'!$A:$A,0)),"(no está en Base Oficial)"))</f>
        <v/>
      </c>
      <c r="E162" s="5" t="str">
        <f>IF($L162="","",COUNTIFS('Base Exámenes'!$C$5:$C$1000,INDEX('Base Exámenes'!$C:$C,$L162),'Base Exámenes'!$D$5:$D$1000,"&lt;="&amp;INDEX('Base Exámenes'!$D:$D,$L162)))</f>
        <v/>
      </c>
      <c r="F162" s="23" t="str">
        <f>IF($L162="","",INDEX('Base Exámenes'!$D:$D,$L162))</f>
        <v/>
      </c>
      <c r="G162" s="23" t="str">
        <f>IF($L162="","",INDEX('Base Exámenes'!$E:$E,$L162))</f>
        <v/>
      </c>
      <c r="H162" s="24" t="str">
        <f>IF($L162="","",INDEX('Base Exámenes'!$F:$F,$L162))</f>
        <v/>
      </c>
      <c r="I162" s="5" t="str">
        <f>IF($L162="","",INDEX('Base Exámenes'!$G:$G,$L162))</f>
        <v/>
      </c>
      <c r="J162" s="5" t="str">
        <f>IF($L162="","",IF($L162-4=MATCH(INDEX('Base Exámenes'!$C:$C,$L162)&amp;"|"&amp;_xlfn.MAXIFS('Base Exámenes'!$G$5:$G$1000,'Base Exámenes'!$C$5:$C$1000,INDEX('Base Exámenes'!$C:$C,$L162)),'Base Exámenes'!$I$5:$I$1000,0),"Sí",""))</f>
        <v/>
      </c>
      <c r="L162" t="str">
        <f>IFERROR(MATCH(SMALL(Cálculos!$AQ$5:$AQ$1000,158),Cálculos!$AQ$5:$AQ$1000,0)+4,"")</f>
        <v/>
      </c>
    </row>
    <row r="163">
      <c r="A163" s="5" t="str">
        <f>IF($L163="","",TRIM(INDEX('Base Exámenes'!$C:$C,$L163)))</f>
        <v/>
      </c>
      <c r="B163" s="5" t="str">
        <f>IF($L163="","",IFERROR(INDEX('Detalle individual'!$B:$B,MATCH($A163,'Detalle individual'!$A:$A,0)),TRIM(INDEX('Base Exámenes'!$A:$A,$L163))))</f>
        <v/>
      </c>
      <c r="C163" s="5" t="str">
        <f>IF($L163="","",IFERROR(INDEX('Detalle individual'!$C:$C,MATCH($A163,'Detalle individual'!$A:$A,0)),TRIM(INDEX('Base Exámenes'!$B:$B,$L163))))</f>
        <v/>
      </c>
      <c r="D163" s="5" t="str">
        <f>IF($L163="","",IFERROR(INDEX('Detalle individual'!$D:$D,MATCH($A163,'Detalle individual'!$A:$A,0)),"(no está en Base Oficial)"))</f>
        <v/>
      </c>
      <c r="E163" s="5" t="str">
        <f>IF($L163="","",COUNTIFS('Base Exámenes'!$C$5:$C$1000,INDEX('Base Exámenes'!$C:$C,$L163),'Base Exámenes'!$D$5:$D$1000,"&lt;="&amp;INDEX('Base Exámenes'!$D:$D,$L163)))</f>
        <v/>
      </c>
      <c r="F163" s="23" t="str">
        <f>IF($L163="","",INDEX('Base Exámenes'!$D:$D,$L163))</f>
        <v/>
      </c>
      <c r="G163" s="23" t="str">
        <f>IF($L163="","",INDEX('Base Exámenes'!$E:$E,$L163))</f>
        <v/>
      </c>
      <c r="H163" s="24" t="str">
        <f>IF($L163="","",INDEX('Base Exámenes'!$F:$F,$L163))</f>
        <v/>
      </c>
      <c r="I163" s="5" t="str">
        <f>IF($L163="","",INDEX('Base Exámenes'!$G:$G,$L163))</f>
        <v/>
      </c>
      <c r="J163" s="5" t="str">
        <f>IF($L163="","",IF($L163-4=MATCH(INDEX('Base Exámenes'!$C:$C,$L163)&amp;"|"&amp;_xlfn.MAXIFS('Base Exámenes'!$G$5:$G$1000,'Base Exámenes'!$C$5:$C$1000,INDEX('Base Exámenes'!$C:$C,$L163)),'Base Exámenes'!$I$5:$I$1000,0),"Sí",""))</f>
        <v/>
      </c>
      <c r="L163" t="str">
        <f>IFERROR(MATCH(SMALL(Cálculos!$AQ$5:$AQ$1000,159),Cálculos!$AQ$5:$AQ$1000,0)+4,"")</f>
        <v/>
      </c>
    </row>
    <row r="164">
      <c r="A164" s="5" t="str">
        <f>IF($L164="","",TRIM(INDEX('Base Exámenes'!$C:$C,$L164)))</f>
        <v/>
      </c>
      <c r="B164" s="5" t="str">
        <f>IF($L164="","",IFERROR(INDEX('Detalle individual'!$B:$B,MATCH($A164,'Detalle individual'!$A:$A,0)),TRIM(INDEX('Base Exámenes'!$A:$A,$L164))))</f>
        <v/>
      </c>
      <c r="C164" s="5" t="str">
        <f>IF($L164="","",IFERROR(INDEX('Detalle individual'!$C:$C,MATCH($A164,'Detalle individual'!$A:$A,0)),TRIM(INDEX('Base Exámenes'!$B:$B,$L164))))</f>
        <v/>
      </c>
      <c r="D164" s="5" t="str">
        <f>IF($L164="","",IFERROR(INDEX('Detalle individual'!$D:$D,MATCH($A164,'Detalle individual'!$A:$A,0)),"(no está en Base Oficial)"))</f>
        <v/>
      </c>
      <c r="E164" s="5" t="str">
        <f>IF($L164="","",COUNTIFS('Base Exámenes'!$C$5:$C$1000,INDEX('Base Exámenes'!$C:$C,$L164),'Base Exámenes'!$D$5:$D$1000,"&lt;="&amp;INDEX('Base Exámenes'!$D:$D,$L164)))</f>
        <v/>
      </c>
      <c r="F164" s="23" t="str">
        <f>IF($L164="","",INDEX('Base Exámenes'!$D:$D,$L164))</f>
        <v/>
      </c>
      <c r="G164" s="23" t="str">
        <f>IF($L164="","",INDEX('Base Exámenes'!$E:$E,$L164))</f>
        <v/>
      </c>
      <c r="H164" s="24" t="str">
        <f>IF($L164="","",INDEX('Base Exámenes'!$F:$F,$L164))</f>
        <v/>
      </c>
      <c r="I164" s="5" t="str">
        <f>IF($L164="","",INDEX('Base Exámenes'!$G:$G,$L164))</f>
        <v/>
      </c>
      <c r="J164" s="5" t="str">
        <f>IF($L164="","",IF($L164-4=MATCH(INDEX('Base Exámenes'!$C:$C,$L164)&amp;"|"&amp;_xlfn.MAXIFS('Base Exámenes'!$G$5:$G$1000,'Base Exámenes'!$C$5:$C$1000,INDEX('Base Exámenes'!$C:$C,$L164)),'Base Exámenes'!$I$5:$I$1000,0),"Sí",""))</f>
        <v/>
      </c>
      <c r="L164" t="str">
        <f>IFERROR(MATCH(SMALL(Cálculos!$AQ$5:$AQ$1000,160),Cálculos!$AQ$5:$AQ$1000,0)+4,"")</f>
        <v/>
      </c>
    </row>
    <row r="165">
      <c r="A165" s="5" t="str">
        <f>IF($L165="","",TRIM(INDEX('Base Exámenes'!$C:$C,$L165)))</f>
        <v/>
      </c>
      <c r="B165" s="5" t="str">
        <f>IF($L165="","",IFERROR(INDEX('Detalle individual'!$B:$B,MATCH($A165,'Detalle individual'!$A:$A,0)),TRIM(INDEX('Base Exámenes'!$A:$A,$L165))))</f>
        <v/>
      </c>
      <c r="C165" s="5" t="str">
        <f>IF($L165="","",IFERROR(INDEX('Detalle individual'!$C:$C,MATCH($A165,'Detalle individual'!$A:$A,0)),TRIM(INDEX('Base Exámenes'!$B:$B,$L165))))</f>
        <v/>
      </c>
      <c r="D165" s="5" t="str">
        <f>IF($L165="","",IFERROR(INDEX('Detalle individual'!$D:$D,MATCH($A165,'Detalle individual'!$A:$A,0)),"(no está en Base Oficial)"))</f>
        <v/>
      </c>
      <c r="E165" s="5" t="str">
        <f>IF($L165="","",COUNTIFS('Base Exámenes'!$C$5:$C$1000,INDEX('Base Exámenes'!$C:$C,$L165),'Base Exámenes'!$D$5:$D$1000,"&lt;="&amp;INDEX('Base Exámenes'!$D:$D,$L165)))</f>
        <v/>
      </c>
      <c r="F165" s="23" t="str">
        <f>IF($L165="","",INDEX('Base Exámenes'!$D:$D,$L165))</f>
        <v/>
      </c>
      <c r="G165" s="23" t="str">
        <f>IF($L165="","",INDEX('Base Exámenes'!$E:$E,$L165))</f>
        <v/>
      </c>
      <c r="H165" s="24" t="str">
        <f>IF($L165="","",INDEX('Base Exámenes'!$F:$F,$L165))</f>
        <v/>
      </c>
      <c r="I165" s="5" t="str">
        <f>IF($L165="","",INDEX('Base Exámenes'!$G:$G,$L165))</f>
        <v/>
      </c>
      <c r="J165" s="5" t="str">
        <f>IF($L165="","",IF($L165-4=MATCH(INDEX('Base Exámenes'!$C:$C,$L165)&amp;"|"&amp;_xlfn.MAXIFS('Base Exámenes'!$G$5:$G$1000,'Base Exámenes'!$C$5:$C$1000,INDEX('Base Exámenes'!$C:$C,$L165)),'Base Exámenes'!$I$5:$I$1000,0),"Sí",""))</f>
        <v/>
      </c>
      <c r="L165" t="str">
        <f>IFERROR(MATCH(SMALL(Cálculos!$AQ$5:$AQ$1000,161),Cálculos!$AQ$5:$AQ$1000,0)+4,"")</f>
        <v/>
      </c>
    </row>
    <row r="166">
      <c r="A166" s="5" t="str">
        <f>IF($L166="","",TRIM(INDEX('Base Exámenes'!$C:$C,$L166)))</f>
        <v/>
      </c>
      <c r="B166" s="5" t="str">
        <f>IF($L166="","",IFERROR(INDEX('Detalle individual'!$B:$B,MATCH($A166,'Detalle individual'!$A:$A,0)),TRIM(INDEX('Base Exámenes'!$A:$A,$L166))))</f>
        <v/>
      </c>
      <c r="C166" s="5" t="str">
        <f>IF($L166="","",IFERROR(INDEX('Detalle individual'!$C:$C,MATCH($A166,'Detalle individual'!$A:$A,0)),TRIM(INDEX('Base Exámenes'!$B:$B,$L166))))</f>
        <v/>
      </c>
      <c r="D166" s="5" t="str">
        <f>IF($L166="","",IFERROR(INDEX('Detalle individual'!$D:$D,MATCH($A166,'Detalle individual'!$A:$A,0)),"(no está en Base Oficial)"))</f>
        <v/>
      </c>
      <c r="E166" s="5" t="str">
        <f>IF($L166="","",COUNTIFS('Base Exámenes'!$C$5:$C$1000,INDEX('Base Exámenes'!$C:$C,$L166),'Base Exámenes'!$D$5:$D$1000,"&lt;="&amp;INDEX('Base Exámenes'!$D:$D,$L166)))</f>
        <v/>
      </c>
      <c r="F166" s="23" t="str">
        <f>IF($L166="","",INDEX('Base Exámenes'!$D:$D,$L166))</f>
        <v/>
      </c>
      <c r="G166" s="23" t="str">
        <f>IF($L166="","",INDEX('Base Exámenes'!$E:$E,$L166))</f>
        <v/>
      </c>
      <c r="H166" s="24" t="str">
        <f>IF($L166="","",INDEX('Base Exámenes'!$F:$F,$L166))</f>
        <v/>
      </c>
      <c r="I166" s="5" t="str">
        <f>IF($L166="","",INDEX('Base Exámenes'!$G:$G,$L166))</f>
        <v/>
      </c>
      <c r="J166" s="5" t="str">
        <f>IF($L166="","",IF($L166-4=MATCH(INDEX('Base Exámenes'!$C:$C,$L166)&amp;"|"&amp;_xlfn.MAXIFS('Base Exámenes'!$G$5:$G$1000,'Base Exámenes'!$C$5:$C$1000,INDEX('Base Exámenes'!$C:$C,$L166)),'Base Exámenes'!$I$5:$I$1000,0),"Sí",""))</f>
        <v/>
      </c>
      <c r="L166" t="str">
        <f>IFERROR(MATCH(SMALL(Cálculos!$AQ$5:$AQ$1000,162),Cálculos!$AQ$5:$AQ$1000,0)+4,"")</f>
        <v/>
      </c>
    </row>
    <row r="167">
      <c r="A167" s="5" t="str">
        <f>IF($L167="","",TRIM(INDEX('Base Exámenes'!$C:$C,$L167)))</f>
        <v/>
      </c>
      <c r="B167" s="5" t="str">
        <f>IF($L167="","",IFERROR(INDEX('Detalle individual'!$B:$B,MATCH($A167,'Detalle individual'!$A:$A,0)),TRIM(INDEX('Base Exámenes'!$A:$A,$L167))))</f>
        <v/>
      </c>
      <c r="C167" s="5" t="str">
        <f>IF($L167="","",IFERROR(INDEX('Detalle individual'!$C:$C,MATCH($A167,'Detalle individual'!$A:$A,0)),TRIM(INDEX('Base Exámenes'!$B:$B,$L167))))</f>
        <v/>
      </c>
      <c r="D167" s="5" t="str">
        <f>IF($L167="","",IFERROR(INDEX('Detalle individual'!$D:$D,MATCH($A167,'Detalle individual'!$A:$A,0)),"(no está en Base Oficial)"))</f>
        <v/>
      </c>
      <c r="E167" s="5" t="str">
        <f>IF($L167="","",COUNTIFS('Base Exámenes'!$C$5:$C$1000,INDEX('Base Exámenes'!$C:$C,$L167),'Base Exámenes'!$D$5:$D$1000,"&lt;="&amp;INDEX('Base Exámenes'!$D:$D,$L167)))</f>
        <v/>
      </c>
      <c r="F167" s="23" t="str">
        <f>IF($L167="","",INDEX('Base Exámenes'!$D:$D,$L167))</f>
        <v/>
      </c>
      <c r="G167" s="23" t="str">
        <f>IF($L167="","",INDEX('Base Exámenes'!$E:$E,$L167))</f>
        <v/>
      </c>
      <c r="H167" s="24" t="str">
        <f>IF($L167="","",INDEX('Base Exámenes'!$F:$F,$L167))</f>
        <v/>
      </c>
      <c r="I167" s="5" t="str">
        <f>IF($L167="","",INDEX('Base Exámenes'!$G:$G,$L167))</f>
        <v/>
      </c>
      <c r="J167" s="5" t="str">
        <f>IF($L167="","",IF($L167-4=MATCH(INDEX('Base Exámenes'!$C:$C,$L167)&amp;"|"&amp;_xlfn.MAXIFS('Base Exámenes'!$G$5:$G$1000,'Base Exámenes'!$C$5:$C$1000,INDEX('Base Exámenes'!$C:$C,$L167)),'Base Exámenes'!$I$5:$I$1000,0),"Sí",""))</f>
        <v/>
      </c>
      <c r="L167" t="str">
        <f>IFERROR(MATCH(SMALL(Cálculos!$AQ$5:$AQ$1000,163),Cálculos!$AQ$5:$AQ$1000,0)+4,"")</f>
        <v/>
      </c>
    </row>
    <row r="168">
      <c r="A168" s="5" t="str">
        <f>IF($L168="","",TRIM(INDEX('Base Exámenes'!$C:$C,$L168)))</f>
        <v/>
      </c>
      <c r="B168" s="5" t="str">
        <f>IF($L168="","",IFERROR(INDEX('Detalle individual'!$B:$B,MATCH($A168,'Detalle individual'!$A:$A,0)),TRIM(INDEX('Base Exámenes'!$A:$A,$L168))))</f>
        <v/>
      </c>
      <c r="C168" s="5" t="str">
        <f>IF($L168="","",IFERROR(INDEX('Detalle individual'!$C:$C,MATCH($A168,'Detalle individual'!$A:$A,0)),TRIM(INDEX('Base Exámenes'!$B:$B,$L168))))</f>
        <v/>
      </c>
      <c r="D168" s="5" t="str">
        <f>IF($L168="","",IFERROR(INDEX('Detalle individual'!$D:$D,MATCH($A168,'Detalle individual'!$A:$A,0)),"(no está en Base Oficial)"))</f>
        <v/>
      </c>
      <c r="E168" s="5" t="str">
        <f>IF($L168="","",COUNTIFS('Base Exámenes'!$C$5:$C$1000,INDEX('Base Exámenes'!$C:$C,$L168),'Base Exámenes'!$D$5:$D$1000,"&lt;="&amp;INDEX('Base Exámenes'!$D:$D,$L168)))</f>
        <v/>
      </c>
      <c r="F168" s="23" t="str">
        <f>IF($L168="","",INDEX('Base Exámenes'!$D:$D,$L168))</f>
        <v/>
      </c>
      <c r="G168" s="23" t="str">
        <f>IF($L168="","",INDEX('Base Exámenes'!$E:$E,$L168))</f>
        <v/>
      </c>
      <c r="H168" s="24" t="str">
        <f>IF($L168="","",INDEX('Base Exámenes'!$F:$F,$L168))</f>
        <v/>
      </c>
      <c r="I168" s="5" t="str">
        <f>IF($L168="","",INDEX('Base Exámenes'!$G:$G,$L168))</f>
        <v/>
      </c>
      <c r="J168" s="5" t="str">
        <f>IF($L168="","",IF($L168-4=MATCH(INDEX('Base Exámenes'!$C:$C,$L168)&amp;"|"&amp;_xlfn.MAXIFS('Base Exámenes'!$G$5:$G$1000,'Base Exámenes'!$C$5:$C$1000,INDEX('Base Exámenes'!$C:$C,$L168)),'Base Exámenes'!$I$5:$I$1000,0),"Sí",""))</f>
        <v/>
      </c>
      <c r="L168" t="str">
        <f>IFERROR(MATCH(SMALL(Cálculos!$AQ$5:$AQ$1000,164),Cálculos!$AQ$5:$AQ$1000,0)+4,"")</f>
        <v/>
      </c>
    </row>
    <row r="169">
      <c r="A169" s="5" t="str">
        <f>IF($L169="","",TRIM(INDEX('Base Exámenes'!$C:$C,$L169)))</f>
        <v/>
      </c>
      <c r="B169" s="5" t="str">
        <f>IF($L169="","",IFERROR(INDEX('Detalle individual'!$B:$B,MATCH($A169,'Detalle individual'!$A:$A,0)),TRIM(INDEX('Base Exámenes'!$A:$A,$L169))))</f>
        <v/>
      </c>
      <c r="C169" s="5" t="str">
        <f>IF($L169="","",IFERROR(INDEX('Detalle individual'!$C:$C,MATCH($A169,'Detalle individual'!$A:$A,0)),TRIM(INDEX('Base Exámenes'!$B:$B,$L169))))</f>
        <v/>
      </c>
      <c r="D169" s="5" t="str">
        <f>IF($L169="","",IFERROR(INDEX('Detalle individual'!$D:$D,MATCH($A169,'Detalle individual'!$A:$A,0)),"(no está en Base Oficial)"))</f>
        <v/>
      </c>
      <c r="E169" s="5" t="str">
        <f>IF($L169="","",COUNTIFS('Base Exámenes'!$C$5:$C$1000,INDEX('Base Exámenes'!$C:$C,$L169),'Base Exámenes'!$D$5:$D$1000,"&lt;="&amp;INDEX('Base Exámenes'!$D:$D,$L169)))</f>
        <v/>
      </c>
      <c r="F169" s="23" t="str">
        <f>IF($L169="","",INDEX('Base Exámenes'!$D:$D,$L169))</f>
        <v/>
      </c>
      <c r="G169" s="23" t="str">
        <f>IF($L169="","",INDEX('Base Exámenes'!$E:$E,$L169))</f>
        <v/>
      </c>
      <c r="H169" s="24" t="str">
        <f>IF($L169="","",INDEX('Base Exámenes'!$F:$F,$L169))</f>
        <v/>
      </c>
      <c r="I169" s="5" t="str">
        <f>IF($L169="","",INDEX('Base Exámenes'!$G:$G,$L169))</f>
        <v/>
      </c>
      <c r="J169" s="5" t="str">
        <f>IF($L169="","",IF($L169-4=MATCH(INDEX('Base Exámenes'!$C:$C,$L169)&amp;"|"&amp;_xlfn.MAXIFS('Base Exámenes'!$G$5:$G$1000,'Base Exámenes'!$C$5:$C$1000,INDEX('Base Exámenes'!$C:$C,$L169)),'Base Exámenes'!$I$5:$I$1000,0),"Sí",""))</f>
        <v/>
      </c>
      <c r="L169" t="str">
        <f>IFERROR(MATCH(SMALL(Cálculos!$AQ$5:$AQ$1000,165),Cálculos!$AQ$5:$AQ$1000,0)+4,"")</f>
        <v/>
      </c>
    </row>
    <row r="170">
      <c r="A170" s="5" t="str">
        <f>IF($L170="","",TRIM(INDEX('Base Exámenes'!$C:$C,$L170)))</f>
        <v/>
      </c>
      <c r="B170" s="5" t="str">
        <f>IF($L170="","",IFERROR(INDEX('Detalle individual'!$B:$B,MATCH($A170,'Detalle individual'!$A:$A,0)),TRIM(INDEX('Base Exámenes'!$A:$A,$L170))))</f>
        <v/>
      </c>
      <c r="C170" s="5" t="str">
        <f>IF($L170="","",IFERROR(INDEX('Detalle individual'!$C:$C,MATCH($A170,'Detalle individual'!$A:$A,0)),TRIM(INDEX('Base Exámenes'!$B:$B,$L170))))</f>
        <v/>
      </c>
      <c r="D170" s="5" t="str">
        <f>IF($L170="","",IFERROR(INDEX('Detalle individual'!$D:$D,MATCH($A170,'Detalle individual'!$A:$A,0)),"(no está en Base Oficial)"))</f>
        <v/>
      </c>
      <c r="E170" s="5" t="str">
        <f>IF($L170="","",COUNTIFS('Base Exámenes'!$C$5:$C$1000,INDEX('Base Exámenes'!$C:$C,$L170),'Base Exámenes'!$D$5:$D$1000,"&lt;="&amp;INDEX('Base Exámenes'!$D:$D,$L170)))</f>
        <v/>
      </c>
      <c r="F170" s="23" t="str">
        <f>IF($L170="","",INDEX('Base Exámenes'!$D:$D,$L170))</f>
        <v/>
      </c>
      <c r="G170" s="23" t="str">
        <f>IF($L170="","",INDEX('Base Exámenes'!$E:$E,$L170))</f>
        <v/>
      </c>
      <c r="H170" s="24" t="str">
        <f>IF($L170="","",INDEX('Base Exámenes'!$F:$F,$L170))</f>
        <v/>
      </c>
      <c r="I170" s="5" t="str">
        <f>IF($L170="","",INDEX('Base Exámenes'!$G:$G,$L170))</f>
        <v/>
      </c>
      <c r="J170" s="5" t="str">
        <f>IF($L170="","",IF($L170-4=MATCH(INDEX('Base Exámenes'!$C:$C,$L170)&amp;"|"&amp;_xlfn.MAXIFS('Base Exámenes'!$G$5:$G$1000,'Base Exámenes'!$C$5:$C$1000,INDEX('Base Exámenes'!$C:$C,$L170)),'Base Exámenes'!$I$5:$I$1000,0),"Sí",""))</f>
        <v/>
      </c>
      <c r="L170" t="str">
        <f>IFERROR(MATCH(SMALL(Cálculos!$AQ$5:$AQ$1000,166),Cálculos!$AQ$5:$AQ$1000,0)+4,"")</f>
        <v/>
      </c>
    </row>
    <row r="171">
      <c r="A171" s="5" t="str">
        <f>IF($L171="","",TRIM(INDEX('Base Exámenes'!$C:$C,$L171)))</f>
        <v/>
      </c>
      <c r="B171" s="5" t="str">
        <f>IF($L171="","",IFERROR(INDEX('Detalle individual'!$B:$B,MATCH($A171,'Detalle individual'!$A:$A,0)),TRIM(INDEX('Base Exámenes'!$A:$A,$L171))))</f>
        <v/>
      </c>
      <c r="C171" s="5" t="str">
        <f>IF($L171="","",IFERROR(INDEX('Detalle individual'!$C:$C,MATCH($A171,'Detalle individual'!$A:$A,0)),TRIM(INDEX('Base Exámenes'!$B:$B,$L171))))</f>
        <v/>
      </c>
      <c r="D171" s="5" t="str">
        <f>IF($L171="","",IFERROR(INDEX('Detalle individual'!$D:$D,MATCH($A171,'Detalle individual'!$A:$A,0)),"(no está en Base Oficial)"))</f>
        <v/>
      </c>
      <c r="E171" s="5" t="str">
        <f>IF($L171="","",COUNTIFS('Base Exámenes'!$C$5:$C$1000,INDEX('Base Exámenes'!$C:$C,$L171),'Base Exámenes'!$D$5:$D$1000,"&lt;="&amp;INDEX('Base Exámenes'!$D:$D,$L171)))</f>
        <v/>
      </c>
      <c r="F171" s="23" t="str">
        <f>IF($L171="","",INDEX('Base Exámenes'!$D:$D,$L171))</f>
        <v/>
      </c>
      <c r="G171" s="23" t="str">
        <f>IF($L171="","",INDEX('Base Exámenes'!$E:$E,$L171))</f>
        <v/>
      </c>
      <c r="H171" s="24" t="str">
        <f>IF($L171="","",INDEX('Base Exámenes'!$F:$F,$L171))</f>
        <v/>
      </c>
      <c r="I171" s="5" t="str">
        <f>IF($L171="","",INDEX('Base Exámenes'!$G:$G,$L171))</f>
        <v/>
      </c>
      <c r="J171" s="5" t="str">
        <f>IF($L171="","",IF($L171-4=MATCH(INDEX('Base Exámenes'!$C:$C,$L171)&amp;"|"&amp;_xlfn.MAXIFS('Base Exámenes'!$G$5:$G$1000,'Base Exámenes'!$C$5:$C$1000,INDEX('Base Exámenes'!$C:$C,$L171)),'Base Exámenes'!$I$5:$I$1000,0),"Sí",""))</f>
        <v/>
      </c>
      <c r="L171" t="str">
        <f>IFERROR(MATCH(SMALL(Cálculos!$AQ$5:$AQ$1000,167),Cálculos!$AQ$5:$AQ$1000,0)+4,"")</f>
        <v/>
      </c>
    </row>
    <row r="172">
      <c r="A172" s="5" t="str">
        <f>IF($L172="","",TRIM(INDEX('Base Exámenes'!$C:$C,$L172)))</f>
        <v/>
      </c>
      <c r="B172" s="5" t="str">
        <f>IF($L172="","",IFERROR(INDEX('Detalle individual'!$B:$B,MATCH($A172,'Detalle individual'!$A:$A,0)),TRIM(INDEX('Base Exámenes'!$A:$A,$L172))))</f>
        <v/>
      </c>
      <c r="C172" s="5" t="str">
        <f>IF($L172="","",IFERROR(INDEX('Detalle individual'!$C:$C,MATCH($A172,'Detalle individual'!$A:$A,0)),TRIM(INDEX('Base Exámenes'!$B:$B,$L172))))</f>
        <v/>
      </c>
      <c r="D172" s="5" t="str">
        <f>IF($L172="","",IFERROR(INDEX('Detalle individual'!$D:$D,MATCH($A172,'Detalle individual'!$A:$A,0)),"(no está en Base Oficial)"))</f>
        <v/>
      </c>
      <c r="E172" s="5" t="str">
        <f>IF($L172="","",COUNTIFS('Base Exámenes'!$C$5:$C$1000,INDEX('Base Exámenes'!$C:$C,$L172),'Base Exámenes'!$D$5:$D$1000,"&lt;="&amp;INDEX('Base Exámenes'!$D:$D,$L172)))</f>
        <v/>
      </c>
      <c r="F172" s="23" t="str">
        <f>IF($L172="","",INDEX('Base Exámenes'!$D:$D,$L172))</f>
        <v/>
      </c>
      <c r="G172" s="23" t="str">
        <f>IF($L172="","",INDEX('Base Exámenes'!$E:$E,$L172))</f>
        <v/>
      </c>
      <c r="H172" s="24" t="str">
        <f>IF($L172="","",INDEX('Base Exámenes'!$F:$F,$L172))</f>
        <v/>
      </c>
      <c r="I172" s="5" t="str">
        <f>IF($L172="","",INDEX('Base Exámenes'!$G:$G,$L172))</f>
        <v/>
      </c>
      <c r="J172" s="5" t="str">
        <f>IF($L172="","",IF($L172-4=MATCH(INDEX('Base Exámenes'!$C:$C,$L172)&amp;"|"&amp;_xlfn.MAXIFS('Base Exámenes'!$G$5:$G$1000,'Base Exámenes'!$C$5:$C$1000,INDEX('Base Exámenes'!$C:$C,$L172)),'Base Exámenes'!$I$5:$I$1000,0),"Sí",""))</f>
        <v/>
      </c>
      <c r="L172" t="str">
        <f>IFERROR(MATCH(SMALL(Cálculos!$AQ$5:$AQ$1000,168),Cálculos!$AQ$5:$AQ$1000,0)+4,"")</f>
        <v/>
      </c>
    </row>
    <row r="173">
      <c r="A173" s="5" t="str">
        <f>IF($L173="","",TRIM(INDEX('Base Exámenes'!$C:$C,$L173)))</f>
        <v/>
      </c>
      <c r="B173" s="5" t="str">
        <f>IF($L173="","",IFERROR(INDEX('Detalle individual'!$B:$B,MATCH($A173,'Detalle individual'!$A:$A,0)),TRIM(INDEX('Base Exámenes'!$A:$A,$L173))))</f>
        <v/>
      </c>
      <c r="C173" s="5" t="str">
        <f>IF($L173="","",IFERROR(INDEX('Detalle individual'!$C:$C,MATCH($A173,'Detalle individual'!$A:$A,0)),TRIM(INDEX('Base Exámenes'!$B:$B,$L173))))</f>
        <v/>
      </c>
      <c r="D173" s="5" t="str">
        <f>IF($L173="","",IFERROR(INDEX('Detalle individual'!$D:$D,MATCH($A173,'Detalle individual'!$A:$A,0)),"(no está en Base Oficial)"))</f>
        <v/>
      </c>
      <c r="E173" s="5" t="str">
        <f>IF($L173="","",COUNTIFS('Base Exámenes'!$C$5:$C$1000,INDEX('Base Exámenes'!$C:$C,$L173),'Base Exámenes'!$D$5:$D$1000,"&lt;="&amp;INDEX('Base Exámenes'!$D:$D,$L173)))</f>
        <v/>
      </c>
      <c r="F173" s="23" t="str">
        <f>IF($L173="","",INDEX('Base Exámenes'!$D:$D,$L173))</f>
        <v/>
      </c>
      <c r="G173" s="23" t="str">
        <f>IF($L173="","",INDEX('Base Exámenes'!$E:$E,$L173))</f>
        <v/>
      </c>
      <c r="H173" s="24" t="str">
        <f>IF($L173="","",INDEX('Base Exámenes'!$F:$F,$L173))</f>
        <v/>
      </c>
      <c r="I173" s="5" t="str">
        <f>IF($L173="","",INDEX('Base Exámenes'!$G:$G,$L173))</f>
        <v/>
      </c>
      <c r="J173" s="5" t="str">
        <f>IF($L173="","",IF($L173-4=MATCH(INDEX('Base Exámenes'!$C:$C,$L173)&amp;"|"&amp;_xlfn.MAXIFS('Base Exámenes'!$G$5:$G$1000,'Base Exámenes'!$C$5:$C$1000,INDEX('Base Exámenes'!$C:$C,$L173)),'Base Exámenes'!$I$5:$I$1000,0),"Sí",""))</f>
        <v/>
      </c>
      <c r="L173" t="str">
        <f>IFERROR(MATCH(SMALL(Cálculos!$AQ$5:$AQ$1000,169),Cálculos!$AQ$5:$AQ$1000,0)+4,"")</f>
        <v/>
      </c>
    </row>
    <row r="174">
      <c r="A174" s="5" t="str">
        <f>IF($L174="","",TRIM(INDEX('Base Exámenes'!$C:$C,$L174)))</f>
        <v/>
      </c>
      <c r="B174" s="5" t="str">
        <f>IF($L174="","",IFERROR(INDEX('Detalle individual'!$B:$B,MATCH($A174,'Detalle individual'!$A:$A,0)),TRIM(INDEX('Base Exámenes'!$A:$A,$L174))))</f>
        <v/>
      </c>
      <c r="C174" s="5" t="str">
        <f>IF($L174="","",IFERROR(INDEX('Detalle individual'!$C:$C,MATCH($A174,'Detalle individual'!$A:$A,0)),TRIM(INDEX('Base Exámenes'!$B:$B,$L174))))</f>
        <v/>
      </c>
      <c r="D174" s="5" t="str">
        <f>IF($L174="","",IFERROR(INDEX('Detalle individual'!$D:$D,MATCH($A174,'Detalle individual'!$A:$A,0)),"(no está en Base Oficial)"))</f>
        <v/>
      </c>
      <c r="E174" s="5" t="str">
        <f>IF($L174="","",COUNTIFS('Base Exámenes'!$C$5:$C$1000,INDEX('Base Exámenes'!$C:$C,$L174),'Base Exámenes'!$D$5:$D$1000,"&lt;="&amp;INDEX('Base Exámenes'!$D:$D,$L174)))</f>
        <v/>
      </c>
      <c r="F174" s="23" t="str">
        <f>IF($L174="","",INDEX('Base Exámenes'!$D:$D,$L174))</f>
        <v/>
      </c>
      <c r="G174" s="23" t="str">
        <f>IF($L174="","",INDEX('Base Exámenes'!$E:$E,$L174))</f>
        <v/>
      </c>
      <c r="H174" s="24" t="str">
        <f>IF($L174="","",INDEX('Base Exámenes'!$F:$F,$L174))</f>
        <v/>
      </c>
      <c r="I174" s="5" t="str">
        <f>IF($L174="","",INDEX('Base Exámenes'!$G:$G,$L174))</f>
        <v/>
      </c>
      <c r="J174" s="5" t="str">
        <f>IF($L174="","",IF($L174-4=MATCH(INDEX('Base Exámenes'!$C:$C,$L174)&amp;"|"&amp;_xlfn.MAXIFS('Base Exámenes'!$G$5:$G$1000,'Base Exámenes'!$C$5:$C$1000,INDEX('Base Exámenes'!$C:$C,$L174)),'Base Exámenes'!$I$5:$I$1000,0),"Sí",""))</f>
        <v/>
      </c>
      <c r="L174" t="str">
        <f>IFERROR(MATCH(SMALL(Cálculos!$AQ$5:$AQ$1000,170),Cálculos!$AQ$5:$AQ$1000,0)+4,"")</f>
        <v/>
      </c>
    </row>
    <row r="175">
      <c r="A175" s="5" t="str">
        <f>IF($L175="","",TRIM(INDEX('Base Exámenes'!$C:$C,$L175)))</f>
        <v/>
      </c>
      <c r="B175" s="5" t="str">
        <f>IF($L175="","",IFERROR(INDEX('Detalle individual'!$B:$B,MATCH($A175,'Detalle individual'!$A:$A,0)),TRIM(INDEX('Base Exámenes'!$A:$A,$L175))))</f>
        <v/>
      </c>
      <c r="C175" s="5" t="str">
        <f>IF($L175="","",IFERROR(INDEX('Detalle individual'!$C:$C,MATCH($A175,'Detalle individual'!$A:$A,0)),TRIM(INDEX('Base Exámenes'!$B:$B,$L175))))</f>
        <v/>
      </c>
      <c r="D175" s="5" t="str">
        <f>IF($L175="","",IFERROR(INDEX('Detalle individual'!$D:$D,MATCH($A175,'Detalle individual'!$A:$A,0)),"(no está en Base Oficial)"))</f>
        <v/>
      </c>
      <c r="E175" s="5" t="str">
        <f>IF($L175="","",COUNTIFS('Base Exámenes'!$C$5:$C$1000,INDEX('Base Exámenes'!$C:$C,$L175),'Base Exámenes'!$D$5:$D$1000,"&lt;="&amp;INDEX('Base Exámenes'!$D:$D,$L175)))</f>
        <v/>
      </c>
      <c r="F175" s="23" t="str">
        <f>IF($L175="","",INDEX('Base Exámenes'!$D:$D,$L175))</f>
        <v/>
      </c>
      <c r="G175" s="23" t="str">
        <f>IF($L175="","",INDEX('Base Exámenes'!$E:$E,$L175))</f>
        <v/>
      </c>
      <c r="H175" s="24" t="str">
        <f>IF($L175="","",INDEX('Base Exámenes'!$F:$F,$L175))</f>
        <v/>
      </c>
      <c r="I175" s="5" t="str">
        <f>IF($L175="","",INDEX('Base Exámenes'!$G:$G,$L175))</f>
        <v/>
      </c>
      <c r="J175" s="5" t="str">
        <f>IF($L175="","",IF($L175-4=MATCH(INDEX('Base Exámenes'!$C:$C,$L175)&amp;"|"&amp;_xlfn.MAXIFS('Base Exámenes'!$G$5:$G$1000,'Base Exámenes'!$C$5:$C$1000,INDEX('Base Exámenes'!$C:$C,$L175)),'Base Exámenes'!$I$5:$I$1000,0),"Sí",""))</f>
        <v/>
      </c>
      <c r="L175" t="str">
        <f>IFERROR(MATCH(SMALL(Cálculos!$AQ$5:$AQ$1000,171),Cálculos!$AQ$5:$AQ$1000,0)+4,"")</f>
        <v/>
      </c>
    </row>
    <row r="176">
      <c r="A176" s="5" t="str">
        <f>IF($L176="","",TRIM(INDEX('Base Exámenes'!$C:$C,$L176)))</f>
        <v/>
      </c>
      <c r="B176" s="5" t="str">
        <f>IF($L176="","",IFERROR(INDEX('Detalle individual'!$B:$B,MATCH($A176,'Detalle individual'!$A:$A,0)),TRIM(INDEX('Base Exámenes'!$A:$A,$L176))))</f>
        <v/>
      </c>
      <c r="C176" s="5" t="str">
        <f>IF($L176="","",IFERROR(INDEX('Detalle individual'!$C:$C,MATCH($A176,'Detalle individual'!$A:$A,0)),TRIM(INDEX('Base Exámenes'!$B:$B,$L176))))</f>
        <v/>
      </c>
      <c r="D176" s="5" t="str">
        <f>IF($L176="","",IFERROR(INDEX('Detalle individual'!$D:$D,MATCH($A176,'Detalle individual'!$A:$A,0)),"(no está en Base Oficial)"))</f>
        <v/>
      </c>
      <c r="E176" s="5" t="str">
        <f>IF($L176="","",COUNTIFS('Base Exámenes'!$C$5:$C$1000,INDEX('Base Exámenes'!$C:$C,$L176),'Base Exámenes'!$D$5:$D$1000,"&lt;="&amp;INDEX('Base Exámenes'!$D:$D,$L176)))</f>
        <v/>
      </c>
      <c r="F176" s="23" t="str">
        <f>IF($L176="","",INDEX('Base Exámenes'!$D:$D,$L176))</f>
        <v/>
      </c>
      <c r="G176" s="23" t="str">
        <f>IF($L176="","",INDEX('Base Exámenes'!$E:$E,$L176))</f>
        <v/>
      </c>
      <c r="H176" s="24" t="str">
        <f>IF($L176="","",INDEX('Base Exámenes'!$F:$F,$L176))</f>
        <v/>
      </c>
      <c r="I176" s="5" t="str">
        <f>IF($L176="","",INDEX('Base Exámenes'!$G:$G,$L176))</f>
        <v/>
      </c>
      <c r="J176" s="5" t="str">
        <f>IF($L176="","",IF($L176-4=MATCH(INDEX('Base Exámenes'!$C:$C,$L176)&amp;"|"&amp;_xlfn.MAXIFS('Base Exámenes'!$G$5:$G$1000,'Base Exámenes'!$C$5:$C$1000,INDEX('Base Exámenes'!$C:$C,$L176)),'Base Exámenes'!$I$5:$I$1000,0),"Sí",""))</f>
        <v/>
      </c>
      <c r="L176" t="str">
        <f>IFERROR(MATCH(SMALL(Cálculos!$AQ$5:$AQ$1000,172),Cálculos!$AQ$5:$AQ$1000,0)+4,"")</f>
        <v/>
      </c>
    </row>
    <row r="177">
      <c r="A177" s="5" t="str">
        <f>IF($L177="","",TRIM(INDEX('Base Exámenes'!$C:$C,$L177)))</f>
        <v/>
      </c>
      <c r="B177" s="5" t="str">
        <f>IF($L177="","",IFERROR(INDEX('Detalle individual'!$B:$B,MATCH($A177,'Detalle individual'!$A:$A,0)),TRIM(INDEX('Base Exámenes'!$A:$A,$L177))))</f>
        <v/>
      </c>
      <c r="C177" s="5" t="str">
        <f>IF($L177="","",IFERROR(INDEX('Detalle individual'!$C:$C,MATCH($A177,'Detalle individual'!$A:$A,0)),TRIM(INDEX('Base Exámenes'!$B:$B,$L177))))</f>
        <v/>
      </c>
      <c r="D177" s="5" t="str">
        <f>IF($L177="","",IFERROR(INDEX('Detalle individual'!$D:$D,MATCH($A177,'Detalle individual'!$A:$A,0)),"(no está en Base Oficial)"))</f>
        <v/>
      </c>
      <c r="E177" s="5" t="str">
        <f>IF($L177="","",COUNTIFS('Base Exámenes'!$C$5:$C$1000,INDEX('Base Exámenes'!$C:$C,$L177),'Base Exámenes'!$D$5:$D$1000,"&lt;="&amp;INDEX('Base Exámenes'!$D:$D,$L177)))</f>
        <v/>
      </c>
      <c r="F177" s="23" t="str">
        <f>IF($L177="","",INDEX('Base Exámenes'!$D:$D,$L177))</f>
        <v/>
      </c>
      <c r="G177" s="23" t="str">
        <f>IF($L177="","",INDEX('Base Exámenes'!$E:$E,$L177))</f>
        <v/>
      </c>
      <c r="H177" s="24" t="str">
        <f>IF($L177="","",INDEX('Base Exámenes'!$F:$F,$L177))</f>
        <v/>
      </c>
      <c r="I177" s="5" t="str">
        <f>IF($L177="","",INDEX('Base Exámenes'!$G:$G,$L177))</f>
        <v/>
      </c>
      <c r="J177" s="5" t="str">
        <f>IF($L177="","",IF($L177-4=MATCH(INDEX('Base Exámenes'!$C:$C,$L177)&amp;"|"&amp;_xlfn.MAXIFS('Base Exámenes'!$G$5:$G$1000,'Base Exámenes'!$C$5:$C$1000,INDEX('Base Exámenes'!$C:$C,$L177)),'Base Exámenes'!$I$5:$I$1000,0),"Sí",""))</f>
        <v/>
      </c>
      <c r="L177" t="str">
        <f>IFERROR(MATCH(SMALL(Cálculos!$AQ$5:$AQ$1000,173),Cálculos!$AQ$5:$AQ$1000,0)+4,"")</f>
        <v/>
      </c>
    </row>
    <row r="178">
      <c r="A178" s="5" t="str">
        <f>IF($L178="","",TRIM(INDEX('Base Exámenes'!$C:$C,$L178)))</f>
        <v/>
      </c>
      <c r="B178" s="5" t="str">
        <f>IF($L178="","",IFERROR(INDEX('Detalle individual'!$B:$B,MATCH($A178,'Detalle individual'!$A:$A,0)),TRIM(INDEX('Base Exámenes'!$A:$A,$L178))))</f>
        <v/>
      </c>
      <c r="C178" s="5" t="str">
        <f>IF($L178="","",IFERROR(INDEX('Detalle individual'!$C:$C,MATCH($A178,'Detalle individual'!$A:$A,0)),TRIM(INDEX('Base Exámenes'!$B:$B,$L178))))</f>
        <v/>
      </c>
      <c r="D178" s="5" t="str">
        <f>IF($L178="","",IFERROR(INDEX('Detalle individual'!$D:$D,MATCH($A178,'Detalle individual'!$A:$A,0)),"(no está en Base Oficial)"))</f>
        <v/>
      </c>
      <c r="E178" s="5" t="str">
        <f>IF($L178="","",COUNTIFS('Base Exámenes'!$C$5:$C$1000,INDEX('Base Exámenes'!$C:$C,$L178),'Base Exámenes'!$D$5:$D$1000,"&lt;="&amp;INDEX('Base Exámenes'!$D:$D,$L178)))</f>
        <v/>
      </c>
      <c r="F178" s="23" t="str">
        <f>IF($L178="","",INDEX('Base Exámenes'!$D:$D,$L178))</f>
        <v/>
      </c>
      <c r="G178" s="23" t="str">
        <f>IF($L178="","",INDEX('Base Exámenes'!$E:$E,$L178))</f>
        <v/>
      </c>
      <c r="H178" s="24" t="str">
        <f>IF($L178="","",INDEX('Base Exámenes'!$F:$F,$L178))</f>
        <v/>
      </c>
      <c r="I178" s="5" t="str">
        <f>IF($L178="","",INDEX('Base Exámenes'!$G:$G,$L178))</f>
        <v/>
      </c>
      <c r="J178" s="5" t="str">
        <f>IF($L178="","",IF($L178-4=MATCH(INDEX('Base Exámenes'!$C:$C,$L178)&amp;"|"&amp;_xlfn.MAXIFS('Base Exámenes'!$G$5:$G$1000,'Base Exámenes'!$C$5:$C$1000,INDEX('Base Exámenes'!$C:$C,$L178)),'Base Exámenes'!$I$5:$I$1000,0),"Sí",""))</f>
        <v/>
      </c>
      <c r="L178" t="str">
        <f>IFERROR(MATCH(SMALL(Cálculos!$AQ$5:$AQ$1000,174),Cálculos!$AQ$5:$AQ$1000,0)+4,"")</f>
        <v/>
      </c>
    </row>
    <row r="179">
      <c r="A179" s="5" t="str">
        <f>IF($L179="","",TRIM(INDEX('Base Exámenes'!$C:$C,$L179)))</f>
        <v/>
      </c>
      <c r="B179" s="5" t="str">
        <f>IF($L179="","",IFERROR(INDEX('Detalle individual'!$B:$B,MATCH($A179,'Detalle individual'!$A:$A,0)),TRIM(INDEX('Base Exámenes'!$A:$A,$L179))))</f>
        <v/>
      </c>
      <c r="C179" s="5" t="str">
        <f>IF($L179="","",IFERROR(INDEX('Detalle individual'!$C:$C,MATCH($A179,'Detalle individual'!$A:$A,0)),TRIM(INDEX('Base Exámenes'!$B:$B,$L179))))</f>
        <v/>
      </c>
      <c r="D179" s="5" t="str">
        <f>IF($L179="","",IFERROR(INDEX('Detalle individual'!$D:$D,MATCH($A179,'Detalle individual'!$A:$A,0)),"(no está en Base Oficial)"))</f>
        <v/>
      </c>
      <c r="E179" s="5" t="str">
        <f>IF($L179="","",COUNTIFS('Base Exámenes'!$C$5:$C$1000,INDEX('Base Exámenes'!$C:$C,$L179),'Base Exámenes'!$D$5:$D$1000,"&lt;="&amp;INDEX('Base Exámenes'!$D:$D,$L179)))</f>
        <v/>
      </c>
      <c r="F179" s="23" t="str">
        <f>IF($L179="","",INDEX('Base Exámenes'!$D:$D,$L179))</f>
        <v/>
      </c>
      <c r="G179" s="23" t="str">
        <f>IF($L179="","",INDEX('Base Exámenes'!$E:$E,$L179))</f>
        <v/>
      </c>
      <c r="H179" s="24" t="str">
        <f>IF($L179="","",INDEX('Base Exámenes'!$F:$F,$L179))</f>
        <v/>
      </c>
      <c r="I179" s="5" t="str">
        <f>IF($L179="","",INDEX('Base Exámenes'!$G:$G,$L179))</f>
        <v/>
      </c>
      <c r="J179" s="5" t="str">
        <f>IF($L179="","",IF($L179-4=MATCH(INDEX('Base Exámenes'!$C:$C,$L179)&amp;"|"&amp;_xlfn.MAXIFS('Base Exámenes'!$G$5:$G$1000,'Base Exámenes'!$C$5:$C$1000,INDEX('Base Exámenes'!$C:$C,$L179)),'Base Exámenes'!$I$5:$I$1000,0),"Sí",""))</f>
        <v/>
      </c>
      <c r="L179" t="str">
        <f>IFERROR(MATCH(SMALL(Cálculos!$AQ$5:$AQ$1000,175),Cálculos!$AQ$5:$AQ$1000,0)+4,"")</f>
        <v/>
      </c>
    </row>
    <row r="180">
      <c r="A180" s="5" t="str">
        <f>IF($L180="","",TRIM(INDEX('Base Exámenes'!$C:$C,$L180)))</f>
        <v/>
      </c>
      <c r="B180" s="5" t="str">
        <f>IF($L180="","",IFERROR(INDEX('Detalle individual'!$B:$B,MATCH($A180,'Detalle individual'!$A:$A,0)),TRIM(INDEX('Base Exámenes'!$A:$A,$L180))))</f>
        <v/>
      </c>
      <c r="C180" s="5" t="str">
        <f>IF($L180="","",IFERROR(INDEX('Detalle individual'!$C:$C,MATCH($A180,'Detalle individual'!$A:$A,0)),TRIM(INDEX('Base Exámenes'!$B:$B,$L180))))</f>
        <v/>
      </c>
      <c r="D180" s="5" t="str">
        <f>IF($L180="","",IFERROR(INDEX('Detalle individual'!$D:$D,MATCH($A180,'Detalle individual'!$A:$A,0)),"(no está en Base Oficial)"))</f>
        <v/>
      </c>
      <c r="E180" s="5" t="str">
        <f>IF($L180="","",COUNTIFS('Base Exámenes'!$C$5:$C$1000,INDEX('Base Exámenes'!$C:$C,$L180),'Base Exámenes'!$D$5:$D$1000,"&lt;="&amp;INDEX('Base Exámenes'!$D:$D,$L180)))</f>
        <v/>
      </c>
      <c r="F180" s="23" t="str">
        <f>IF($L180="","",INDEX('Base Exámenes'!$D:$D,$L180))</f>
        <v/>
      </c>
      <c r="G180" s="23" t="str">
        <f>IF($L180="","",INDEX('Base Exámenes'!$E:$E,$L180))</f>
        <v/>
      </c>
      <c r="H180" s="24" t="str">
        <f>IF($L180="","",INDEX('Base Exámenes'!$F:$F,$L180))</f>
        <v/>
      </c>
      <c r="I180" s="5" t="str">
        <f>IF($L180="","",INDEX('Base Exámenes'!$G:$G,$L180))</f>
        <v/>
      </c>
      <c r="J180" s="5" t="str">
        <f>IF($L180="","",IF($L180-4=MATCH(INDEX('Base Exámenes'!$C:$C,$L180)&amp;"|"&amp;_xlfn.MAXIFS('Base Exámenes'!$G$5:$G$1000,'Base Exámenes'!$C$5:$C$1000,INDEX('Base Exámenes'!$C:$C,$L180)),'Base Exámenes'!$I$5:$I$1000,0),"Sí",""))</f>
        <v/>
      </c>
      <c r="L180" t="str">
        <f>IFERROR(MATCH(SMALL(Cálculos!$AQ$5:$AQ$1000,176),Cálculos!$AQ$5:$AQ$1000,0)+4,"")</f>
        <v/>
      </c>
    </row>
    <row r="181">
      <c r="A181" s="5" t="str">
        <f>IF($L181="","",TRIM(INDEX('Base Exámenes'!$C:$C,$L181)))</f>
        <v/>
      </c>
      <c r="B181" s="5" t="str">
        <f>IF($L181="","",IFERROR(INDEX('Detalle individual'!$B:$B,MATCH($A181,'Detalle individual'!$A:$A,0)),TRIM(INDEX('Base Exámenes'!$A:$A,$L181))))</f>
        <v/>
      </c>
      <c r="C181" s="5" t="str">
        <f>IF($L181="","",IFERROR(INDEX('Detalle individual'!$C:$C,MATCH($A181,'Detalle individual'!$A:$A,0)),TRIM(INDEX('Base Exámenes'!$B:$B,$L181))))</f>
        <v/>
      </c>
      <c r="D181" s="5" t="str">
        <f>IF($L181="","",IFERROR(INDEX('Detalle individual'!$D:$D,MATCH($A181,'Detalle individual'!$A:$A,0)),"(no está en Base Oficial)"))</f>
        <v/>
      </c>
      <c r="E181" s="5" t="str">
        <f>IF($L181="","",COUNTIFS('Base Exámenes'!$C$5:$C$1000,INDEX('Base Exámenes'!$C:$C,$L181),'Base Exámenes'!$D$5:$D$1000,"&lt;="&amp;INDEX('Base Exámenes'!$D:$D,$L181)))</f>
        <v/>
      </c>
      <c r="F181" s="23" t="str">
        <f>IF($L181="","",INDEX('Base Exámenes'!$D:$D,$L181))</f>
        <v/>
      </c>
      <c r="G181" s="23" t="str">
        <f>IF($L181="","",INDEX('Base Exámenes'!$E:$E,$L181))</f>
        <v/>
      </c>
      <c r="H181" s="24" t="str">
        <f>IF($L181="","",INDEX('Base Exámenes'!$F:$F,$L181))</f>
        <v/>
      </c>
      <c r="I181" s="5" t="str">
        <f>IF($L181="","",INDEX('Base Exámenes'!$G:$G,$L181))</f>
        <v/>
      </c>
      <c r="J181" s="5" t="str">
        <f>IF($L181="","",IF($L181-4=MATCH(INDEX('Base Exámenes'!$C:$C,$L181)&amp;"|"&amp;_xlfn.MAXIFS('Base Exámenes'!$G$5:$G$1000,'Base Exámenes'!$C$5:$C$1000,INDEX('Base Exámenes'!$C:$C,$L181)),'Base Exámenes'!$I$5:$I$1000,0),"Sí",""))</f>
        <v/>
      </c>
      <c r="L181" t="str">
        <f>IFERROR(MATCH(SMALL(Cálculos!$AQ$5:$AQ$1000,177),Cálculos!$AQ$5:$AQ$1000,0)+4,"")</f>
        <v/>
      </c>
    </row>
    <row r="182">
      <c r="A182" s="5" t="str">
        <f>IF($L182="","",TRIM(INDEX('Base Exámenes'!$C:$C,$L182)))</f>
        <v/>
      </c>
      <c r="B182" s="5" t="str">
        <f>IF($L182="","",IFERROR(INDEX('Detalle individual'!$B:$B,MATCH($A182,'Detalle individual'!$A:$A,0)),TRIM(INDEX('Base Exámenes'!$A:$A,$L182))))</f>
        <v/>
      </c>
      <c r="C182" s="5" t="str">
        <f>IF($L182="","",IFERROR(INDEX('Detalle individual'!$C:$C,MATCH($A182,'Detalle individual'!$A:$A,0)),TRIM(INDEX('Base Exámenes'!$B:$B,$L182))))</f>
        <v/>
      </c>
      <c r="D182" s="5" t="str">
        <f>IF($L182="","",IFERROR(INDEX('Detalle individual'!$D:$D,MATCH($A182,'Detalle individual'!$A:$A,0)),"(no está en Base Oficial)"))</f>
        <v/>
      </c>
      <c r="E182" s="5" t="str">
        <f>IF($L182="","",COUNTIFS('Base Exámenes'!$C$5:$C$1000,INDEX('Base Exámenes'!$C:$C,$L182),'Base Exámenes'!$D$5:$D$1000,"&lt;="&amp;INDEX('Base Exámenes'!$D:$D,$L182)))</f>
        <v/>
      </c>
      <c r="F182" s="23" t="str">
        <f>IF($L182="","",INDEX('Base Exámenes'!$D:$D,$L182))</f>
        <v/>
      </c>
      <c r="G182" s="23" t="str">
        <f>IF($L182="","",INDEX('Base Exámenes'!$E:$E,$L182))</f>
        <v/>
      </c>
      <c r="H182" s="24" t="str">
        <f>IF($L182="","",INDEX('Base Exámenes'!$F:$F,$L182))</f>
        <v/>
      </c>
      <c r="I182" s="5" t="str">
        <f>IF($L182="","",INDEX('Base Exámenes'!$G:$G,$L182))</f>
        <v/>
      </c>
      <c r="J182" s="5" t="str">
        <f>IF($L182="","",IF($L182-4=MATCH(INDEX('Base Exámenes'!$C:$C,$L182)&amp;"|"&amp;_xlfn.MAXIFS('Base Exámenes'!$G$5:$G$1000,'Base Exámenes'!$C$5:$C$1000,INDEX('Base Exámenes'!$C:$C,$L182)),'Base Exámenes'!$I$5:$I$1000,0),"Sí",""))</f>
        <v/>
      </c>
      <c r="L182" t="str">
        <f>IFERROR(MATCH(SMALL(Cálculos!$AQ$5:$AQ$1000,178),Cálculos!$AQ$5:$AQ$1000,0)+4,"")</f>
        <v/>
      </c>
    </row>
    <row r="183">
      <c r="A183" s="5" t="str">
        <f>IF($L183="","",TRIM(INDEX('Base Exámenes'!$C:$C,$L183)))</f>
        <v/>
      </c>
      <c r="B183" s="5" t="str">
        <f>IF($L183="","",IFERROR(INDEX('Detalle individual'!$B:$B,MATCH($A183,'Detalle individual'!$A:$A,0)),TRIM(INDEX('Base Exámenes'!$A:$A,$L183))))</f>
        <v/>
      </c>
      <c r="C183" s="5" t="str">
        <f>IF($L183="","",IFERROR(INDEX('Detalle individual'!$C:$C,MATCH($A183,'Detalle individual'!$A:$A,0)),TRIM(INDEX('Base Exámenes'!$B:$B,$L183))))</f>
        <v/>
      </c>
      <c r="D183" s="5" t="str">
        <f>IF($L183="","",IFERROR(INDEX('Detalle individual'!$D:$D,MATCH($A183,'Detalle individual'!$A:$A,0)),"(no está en Base Oficial)"))</f>
        <v/>
      </c>
      <c r="E183" s="5" t="str">
        <f>IF($L183="","",COUNTIFS('Base Exámenes'!$C$5:$C$1000,INDEX('Base Exámenes'!$C:$C,$L183),'Base Exámenes'!$D$5:$D$1000,"&lt;="&amp;INDEX('Base Exámenes'!$D:$D,$L183)))</f>
        <v/>
      </c>
      <c r="F183" s="23" t="str">
        <f>IF($L183="","",INDEX('Base Exámenes'!$D:$D,$L183))</f>
        <v/>
      </c>
      <c r="G183" s="23" t="str">
        <f>IF($L183="","",INDEX('Base Exámenes'!$E:$E,$L183))</f>
        <v/>
      </c>
      <c r="H183" s="24" t="str">
        <f>IF($L183="","",INDEX('Base Exámenes'!$F:$F,$L183))</f>
        <v/>
      </c>
      <c r="I183" s="5" t="str">
        <f>IF($L183="","",INDEX('Base Exámenes'!$G:$G,$L183))</f>
        <v/>
      </c>
      <c r="J183" s="5" t="str">
        <f>IF($L183="","",IF($L183-4=MATCH(INDEX('Base Exámenes'!$C:$C,$L183)&amp;"|"&amp;_xlfn.MAXIFS('Base Exámenes'!$G$5:$G$1000,'Base Exámenes'!$C$5:$C$1000,INDEX('Base Exámenes'!$C:$C,$L183)),'Base Exámenes'!$I$5:$I$1000,0),"Sí",""))</f>
        <v/>
      </c>
      <c r="L183" t="str">
        <f>IFERROR(MATCH(SMALL(Cálculos!$AQ$5:$AQ$1000,179),Cálculos!$AQ$5:$AQ$1000,0)+4,"")</f>
        <v/>
      </c>
    </row>
    <row r="184">
      <c r="A184" s="5" t="str">
        <f>IF($L184="","",TRIM(INDEX('Base Exámenes'!$C:$C,$L184)))</f>
        <v/>
      </c>
      <c r="B184" s="5" t="str">
        <f>IF($L184="","",IFERROR(INDEX('Detalle individual'!$B:$B,MATCH($A184,'Detalle individual'!$A:$A,0)),TRIM(INDEX('Base Exámenes'!$A:$A,$L184))))</f>
        <v/>
      </c>
      <c r="C184" s="5" t="str">
        <f>IF($L184="","",IFERROR(INDEX('Detalle individual'!$C:$C,MATCH($A184,'Detalle individual'!$A:$A,0)),TRIM(INDEX('Base Exámenes'!$B:$B,$L184))))</f>
        <v/>
      </c>
      <c r="D184" s="5" t="str">
        <f>IF($L184="","",IFERROR(INDEX('Detalle individual'!$D:$D,MATCH($A184,'Detalle individual'!$A:$A,0)),"(no está en Base Oficial)"))</f>
        <v/>
      </c>
      <c r="E184" s="5" t="str">
        <f>IF($L184="","",COUNTIFS('Base Exámenes'!$C$5:$C$1000,INDEX('Base Exámenes'!$C:$C,$L184),'Base Exámenes'!$D$5:$D$1000,"&lt;="&amp;INDEX('Base Exámenes'!$D:$D,$L184)))</f>
        <v/>
      </c>
      <c r="F184" s="23" t="str">
        <f>IF($L184="","",INDEX('Base Exámenes'!$D:$D,$L184))</f>
        <v/>
      </c>
      <c r="G184" s="23" t="str">
        <f>IF($L184="","",INDEX('Base Exámenes'!$E:$E,$L184))</f>
        <v/>
      </c>
      <c r="H184" s="24" t="str">
        <f>IF($L184="","",INDEX('Base Exámenes'!$F:$F,$L184))</f>
        <v/>
      </c>
      <c r="I184" s="5" t="str">
        <f>IF($L184="","",INDEX('Base Exámenes'!$G:$G,$L184))</f>
        <v/>
      </c>
      <c r="J184" s="5" t="str">
        <f>IF($L184="","",IF($L184-4=MATCH(INDEX('Base Exámenes'!$C:$C,$L184)&amp;"|"&amp;_xlfn.MAXIFS('Base Exámenes'!$G$5:$G$1000,'Base Exámenes'!$C$5:$C$1000,INDEX('Base Exámenes'!$C:$C,$L184)),'Base Exámenes'!$I$5:$I$1000,0),"Sí",""))</f>
        <v/>
      </c>
      <c r="L184" t="str">
        <f>IFERROR(MATCH(SMALL(Cálculos!$AQ$5:$AQ$1000,180),Cálculos!$AQ$5:$AQ$1000,0)+4,"")</f>
        <v/>
      </c>
    </row>
    <row r="185">
      <c r="A185" s="5" t="str">
        <f>IF($L185="","",TRIM(INDEX('Base Exámenes'!$C:$C,$L185)))</f>
        <v/>
      </c>
      <c r="B185" s="5" t="str">
        <f>IF($L185="","",IFERROR(INDEX('Detalle individual'!$B:$B,MATCH($A185,'Detalle individual'!$A:$A,0)),TRIM(INDEX('Base Exámenes'!$A:$A,$L185))))</f>
        <v/>
      </c>
      <c r="C185" s="5" t="str">
        <f>IF($L185="","",IFERROR(INDEX('Detalle individual'!$C:$C,MATCH($A185,'Detalle individual'!$A:$A,0)),TRIM(INDEX('Base Exámenes'!$B:$B,$L185))))</f>
        <v/>
      </c>
      <c r="D185" s="5" t="str">
        <f>IF($L185="","",IFERROR(INDEX('Detalle individual'!$D:$D,MATCH($A185,'Detalle individual'!$A:$A,0)),"(no está en Base Oficial)"))</f>
        <v/>
      </c>
      <c r="E185" s="5" t="str">
        <f>IF($L185="","",COUNTIFS('Base Exámenes'!$C$5:$C$1000,INDEX('Base Exámenes'!$C:$C,$L185),'Base Exámenes'!$D$5:$D$1000,"&lt;="&amp;INDEX('Base Exámenes'!$D:$D,$L185)))</f>
        <v/>
      </c>
      <c r="F185" s="23" t="str">
        <f>IF($L185="","",INDEX('Base Exámenes'!$D:$D,$L185))</f>
        <v/>
      </c>
      <c r="G185" s="23" t="str">
        <f>IF($L185="","",INDEX('Base Exámenes'!$E:$E,$L185))</f>
        <v/>
      </c>
      <c r="H185" s="24" t="str">
        <f>IF($L185="","",INDEX('Base Exámenes'!$F:$F,$L185))</f>
        <v/>
      </c>
      <c r="I185" s="5" t="str">
        <f>IF($L185="","",INDEX('Base Exámenes'!$G:$G,$L185))</f>
        <v/>
      </c>
      <c r="J185" s="5" t="str">
        <f>IF($L185="","",IF($L185-4=MATCH(INDEX('Base Exámenes'!$C:$C,$L185)&amp;"|"&amp;_xlfn.MAXIFS('Base Exámenes'!$G$5:$G$1000,'Base Exámenes'!$C$5:$C$1000,INDEX('Base Exámenes'!$C:$C,$L185)),'Base Exámenes'!$I$5:$I$1000,0),"Sí",""))</f>
        <v/>
      </c>
      <c r="L185" t="str">
        <f>IFERROR(MATCH(SMALL(Cálculos!$AQ$5:$AQ$1000,181),Cálculos!$AQ$5:$AQ$1000,0)+4,"")</f>
        <v/>
      </c>
    </row>
    <row r="186">
      <c r="A186" s="5" t="str">
        <f>IF($L186="","",TRIM(INDEX('Base Exámenes'!$C:$C,$L186)))</f>
        <v/>
      </c>
      <c r="B186" s="5" t="str">
        <f>IF($L186="","",IFERROR(INDEX('Detalle individual'!$B:$B,MATCH($A186,'Detalle individual'!$A:$A,0)),TRIM(INDEX('Base Exámenes'!$A:$A,$L186))))</f>
        <v/>
      </c>
      <c r="C186" s="5" t="str">
        <f>IF($L186="","",IFERROR(INDEX('Detalle individual'!$C:$C,MATCH($A186,'Detalle individual'!$A:$A,0)),TRIM(INDEX('Base Exámenes'!$B:$B,$L186))))</f>
        <v/>
      </c>
      <c r="D186" s="5" t="str">
        <f>IF($L186="","",IFERROR(INDEX('Detalle individual'!$D:$D,MATCH($A186,'Detalle individual'!$A:$A,0)),"(no está en Base Oficial)"))</f>
        <v/>
      </c>
      <c r="E186" s="5" t="str">
        <f>IF($L186="","",COUNTIFS('Base Exámenes'!$C$5:$C$1000,INDEX('Base Exámenes'!$C:$C,$L186),'Base Exámenes'!$D$5:$D$1000,"&lt;="&amp;INDEX('Base Exámenes'!$D:$D,$L186)))</f>
        <v/>
      </c>
      <c r="F186" s="23" t="str">
        <f>IF($L186="","",INDEX('Base Exámenes'!$D:$D,$L186))</f>
        <v/>
      </c>
      <c r="G186" s="23" t="str">
        <f>IF($L186="","",INDEX('Base Exámenes'!$E:$E,$L186))</f>
        <v/>
      </c>
      <c r="H186" s="24" t="str">
        <f>IF($L186="","",INDEX('Base Exámenes'!$F:$F,$L186))</f>
        <v/>
      </c>
      <c r="I186" s="5" t="str">
        <f>IF($L186="","",INDEX('Base Exámenes'!$G:$G,$L186))</f>
        <v/>
      </c>
      <c r="J186" s="5" t="str">
        <f>IF($L186="","",IF($L186-4=MATCH(INDEX('Base Exámenes'!$C:$C,$L186)&amp;"|"&amp;_xlfn.MAXIFS('Base Exámenes'!$G$5:$G$1000,'Base Exámenes'!$C$5:$C$1000,INDEX('Base Exámenes'!$C:$C,$L186)),'Base Exámenes'!$I$5:$I$1000,0),"Sí",""))</f>
        <v/>
      </c>
      <c r="L186" t="str">
        <f>IFERROR(MATCH(SMALL(Cálculos!$AQ$5:$AQ$1000,182),Cálculos!$AQ$5:$AQ$1000,0)+4,"")</f>
        <v/>
      </c>
    </row>
    <row r="187">
      <c r="A187" s="5" t="str">
        <f>IF($L187="","",TRIM(INDEX('Base Exámenes'!$C:$C,$L187)))</f>
        <v/>
      </c>
      <c r="B187" s="5" t="str">
        <f>IF($L187="","",IFERROR(INDEX('Detalle individual'!$B:$B,MATCH($A187,'Detalle individual'!$A:$A,0)),TRIM(INDEX('Base Exámenes'!$A:$A,$L187))))</f>
        <v/>
      </c>
      <c r="C187" s="5" t="str">
        <f>IF($L187="","",IFERROR(INDEX('Detalle individual'!$C:$C,MATCH($A187,'Detalle individual'!$A:$A,0)),TRIM(INDEX('Base Exámenes'!$B:$B,$L187))))</f>
        <v/>
      </c>
      <c r="D187" s="5" t="str">
        <f>IF($L187="","",IFERROR(INDEX('Detalle individual'!$D:$D,MATCH($A187,'Detalle individual'!$A:$A,0)),"(no está en Base Oficial)"))</f>
        <v/>
      </c>
      <c r="E187" s="5" t="str">
        <f>IF($L187="","",COUNTIFS('Base Exámenes'!$C$5:$C$1000,INDEX('Base Exámenes'!$C:$C,$L187),'Base Exámenes'!$D$5:$D$1000,"&lt;="&amp;INDEX('Base Exámenes'!$D:$D,$L187)))</f>
        <v/>
      </c>
      <c r="F187" s="23" t="str">
        <f>IF($L187="","",INDEX('Base Exámenes'!$D:$D,$L187))</f>
        <v/>
      </c>
      <c r="G187" s="23" t="str">
        <f>IF($L187="","",INDEX('Base Exámenes'!$E:$E,$L187))</f>
        <v/>
      </c>
      <c r="H187" s="24" t="str">
        <f>IF($L187="","",INDEX('Base Exámenes'!$F:$F,$L187))</f>
        <v/>
      </c>
      <c r="I187" s="5" t="str">
        <f>IF($L187="","",INDEX('Base Exámenes'!$G:$G,$L187))</f>
        <v/>
      </c>
      <c r="J187" s="5" t="str">
        <f>IF($L187="","",IF($L187-4=MATCH(INDEX('Base Exámenes'!$C:$C,$L187)&amp;"|"&amp;_xlfn.MAXIFS('Base Exámenes'!$G$5:$G$1000,'Base Exámenes'!$C$5:$C$1000,INDEX('Base Exámenes'!$C:$C,$L187)),'Base Exámenes'!$I$5:$I$1000,0),"Sí",""))</f>
        <v/>
      </c>
      <c r="L187" t="str">
        <f>IFERROR(MATCH(SMALL(Cálculos!$AQ$5:$AQ$1000,183),Cálculos!$AQ$5:$AQ$1000,0)+4,"")</f>
        <v/>
      </c>
    </row>
    <row r="188">
      <c r="A188" s="5" t="str">
        <f>IF($L188="","",TRIM(INDEX('Base Exámenes'!$C:$C,$L188)))</f>
        <v/>
      </c>
      <c r="B188" s="5" t="str">
        <f>IF($L188="","",IFERROR(INDEX('Detalle individual'!$B:$B,MATCH($A188,'Detalle individual'!$A:$A,0)),TRIM(INDEX('Base Exámenes'!$A:$A,$L188))))</f>
        <v/>
      </c>
      <c r="C188" s="5" t="str">
        <f>IF($L188="","",IFERROR(INDEX('Detalle individual'!$C:$C,MATCH($A188,'Detalle individual'!$A:$A,0)),TRIM(INDEX('Base Exámenes'!$B:$B,$L188))))</f>
        <v/>
      </c>
      <c r="D188" s="5" t="str">
        <f>IF($L188="","",IFERROR(INDEX('Detalle individual'!$D:$D,MATCH($A188,'Detalle individual'!$A:$A,0)),"(no está en Base Oficial)"))</f>
        <v/>
      </c>
      <c r="E188" s="5" t="str">
        <f>IF($L188="","",COUNTIFS('Base Exámenes'!$C$5:$C$1000,INDEX('Base Exámenes'!$C:$C,$L188),'Base Exámenes'!$D$5:$D$1000,"&lt;="&amp;INDEX('Base Exámenes'!$D:$D,$L188)))</f>
        <v/>
      </c>
      <c r="F188" s="23" t="str">
        <f>IF($L188="","",INDEX('Base Exámenes'!$D:$D,$L188))</f>
        <v/>
      </c>
      <c r="G188" s="23" t="str">
        <f>IF($L188="","",INDEX('Base Exámenes'!$E:$E,$L188))</f>
        <v/>
      </c>
      <c r="H188" s="24" t="str">
        <f>IF($L188="","",INDEX('Base Exámenes'!$F:$F,$L188))</f>
        <v/>
      </c>
      <c r="I188" s="5" t="str">
        <f>IF($L188="","",INDEX('Base Exámenes'!$G:$G,$L188))</f>
        <v/>
      </c>
      <c r="J188" s="5" t="str">
        <f>IF($L188="","",IF($L188-4=MATCH(INDEX('Base Exámenes'!$C:$C,$L188)&amp;"|"&amp;_xlfn.MAXIFS('Base Exámenes'!$G$5:$G$1000,'Base Exámenes'!$C$5:$C$1000,INDEX('Base Exámenes'!$C:$C,$L188)),'Base Exámenes'!$I$5:$I$1000,0),"Sí",""))</f>
        <v/>
      </c>
      <c r="L188" t="str">
        <f>IFERROR(MATCH(SMALL(Cálculos!$AQ$5:$AQ$1000,184),Cálculos!$AQ$5:$AQ$1000,0)+4,"")</f>
        <v/>
      </c>
    </row>
    <row r="189">
      <c r="A189" s="5" t="str">
        <f>IF($L189="","",TRIM(INDEX('Base Exámenes'!$C:$C,$L189)))</f>
        <v/>
      </c>
      <c r="B189" s="5" t="str">
        <f>IF($L189="","",IFERROR(INDEX('Detalle individual'!$B:$B,MATCH($A189,'Detalle individual'!$A:$A,0)),TRIM(INDEX('Base Exámenes'!$A:$A,$L189))))</f>
        <v/>
      </c>
      <c r="C189" s="5" t="str">
        <f>IF($L189="","",IFERROR(INDEX('Detalle individual'!$C:$C,MATCH($A189,'Detalle individual'!$A:$A,0)),TRIM(INDEX('Base Exámenes'!$B:$B,$L189))))</f>
        <v/>
      </c>
      <c r="D189" s="5" t="str">
        <f>IF($L189="","",IFERROR(INDEX('Detalle individual'!$D:$D,MATCH($A189,'Detalle individual'!$A:$A,0)),"(no está en Base Oficial)"))</f>
        <v/>
      </c>
      <c r="E189" s="5" t="str">
        <f>IF($L189="","",COUNTIFS('Base Exámenes'!$C$5:$C$1000,INDEX('Base Exámenes'!$C:$C,$L189),'Base Exámenes'!$D$5:$D$1000,"&lt;="&amp;INDEX('Base Exámenes'!$D:$D,$L189)))</f>
        <v/>
      </c>
      <c r="F189" s="23" t="str">
        <f>IF($L189="","",INDEX('Base Exámenes'!$D:$D,$L189))</f>
        <v/>
      </c>
      <c r="G189" s="23" t="str">
        <f>IF($L189="","",INDEX('Base Exámenes'!$E:$E,$L189))</f>
        <v/>
      </c>
      <c r="H189" s="24" t="str">
        <f>IF($L189="","",INDEX('Base Exámenes'!$F:$F,$L189))</f>
        <v/>
      </c>
      <c r="I189" s="5" t="str">
        <f>IF($L189="","",INDEX('Base Exámenes'!$G:$G,$L189))</f>
        <v/>
      </c>
      <c r="J189" s="5" t="str">
        <f>IF($L189="","",IF($L189-4=MATCH(INDEX('Base Exámenes'!$C:$C,$L189)&amp;"|"&amp;_xlfn.MAXIFS('Base Exámenes'!$G$5:$G$1000,'Base Exámenes'!$C$5:$C$1000,INDEX('Base Exámenes'!$C:$C,$L189)),'Base Exámenes'!$I$5:$I$1000,0),"Sí",""))</f>
        <v/>
      </c>
      <c r="L189" t="str">
        <f>IFERROR(MATCH(SMALL(Cálculos!$AQ$5:$AQ$1000,185),Cálculos!$AQ$5:$AQ$1000,0)+4,"")</f>
        <v/>
      </c>
    </row>
    <row r="190">
      <c r="A190" s="5" t="str">
        <f>IF($L190="","",TRIM(INDEX('Base Exámenes'!$C:$C,$L190)))</f>
        <v/>
      </c>
      <c r="B190" s="5" t="str">
        <f>IF($L190="","",IFERROR(INDEX('Detalle individual'!$B:$B,MATCH($A190,'Detalle individual'!$A:$A,0)),TRIM(INDEX('Base Exámenes'!$A:$A,$L190))))</f>
        <v/>
      </c>
      <c r="C190" s="5" t="str">
        <f>IF($L190="","",IFERROR(INDEX('Detalle individual'!$C:$C,MATCH($A190,'Detalle individual'!$A:$A,0)),TRIM(INDEX('Base Exámenes'!$B:$B,$L190))))</f>
        <v/>
      </c>
      <c r="D190" s="5" t="str">
        <f>IF($L190="","",IFERROR(INDEX('Detalle individual'!$D:$D,MATCH($A190,'Detalle individual'!$A:$A,0)),"(no está en Base Oficial)"))</f>
        <v/>
      </c>
      <c r="E190" s="5" t="str">
        <f>IF($L190="","",COUNTIFS('Base Exámenes'!$C$5:$C$1000,INDEX('Base Exámenes'!$C:$C,$L190),'Base Exámenes'!$D$5:$D$1000,"&lt;="&amp;INDEX('Base Exámenes'!$D:$D,$L190)))</f>
        <v/>
      </c>
      <c r="F190" s="23" t="str">
        <f>IF($L190="","",INDEX('Base Exámenes'!$D:$D,$L190))</f>
        <v/>
      </c>
      <c r="G190" s="23" t="str">
        <f>IF($L190="","",INDEX('Base Exámenes'!$E:$E,$L190))</f>
        <v/>
      </c>
      <c r="H190" s="24" t="str">
        <f>IF($L190="","",INDEX('Base Exámenes'!$F:$F,$L190))</f>
        <v/>
      </c>
      <c r="I190" s="5" t="str">
        <f>IF($L190="","",INDEX('Base Exámenes'!$G:$G,$L190))</f>
        <v/>
      </c>
      <c r="J190" s="5" t="str">
        <f>IF($L190="","",IF($L190-4=MATCH(INDEX('Base Exámenes'!$C:$C,$L190)&amp;"|"&amp;_xlfn.MAXIFS('Base Exámenes'!$G$5:$G$1000,'Base Exámenes'!$C$5:$C$1000,INDEX('Base Exámenes'!$C:$C,$L190)),'Base Exámenes'!$I$5:$I$1000,0),"Sí",""))</f>
        <v/>
      </c>
      <c r="L190" t="str">
        <f>IFERROR(MATCH(SMALL(Cálculos!$AQ$5:$AQ$1000,186),Cálculos!$AQ$5:$AQ$1000,0)+4,"")</f>
        <v/>
      </c>
    </row>
    <row r="191">
      <c r="A191" s="5" t="str">
        <f>IF($L191="","",TRIM(INDEX('Base Exámenes'!$C:$C,$L191)))</f>
        <v/>
      </c>
      <c r="B191" s="5" t="str">
        <f>IF($L191="","",IFERROR(INDEX('Detalle individual'!$B:$B,MATCH($A191,'Detalle individual'!$A:$A,0)),TRIM(INDEX('Base Exámenes'!$A:$A,$L191))))</f>
        <v/>
      </c>
      <c r="C191" s="5" t="str">
        <f>IF($L191="","",IFERROR(INDEX('Detalle individual'!$C:$C,MATCH($A191,'Detalle individual'!$A:$A,0)),TRIM(INDEX('Base Exámenes'!$B:$B,$L191))))</f>
        <v/>
      </c>
      <c r="D191" s="5" t="str">
        <f>IF($L191="","",IFERROR(INDEX('Detalle individual'!$D:$D,MATCH($A191,'Detalle individual'!$A:$A,0)),"(no está en Base Oficial)"))</f>
        <v/>
      </c>
      <c r="E191" s="5" t="str">
        <f>IF($L191="","",COUNTIFS('Base Exámenes'!$C$5:$C$1000,INDEX('Base Exámenes'!$C:$C,$L191),'Base Exámenes'!$D$5:$D$1000,"&lt;="&amp;INDEX('Base Exámenes'!$D:$D,$L191)))</f>
        <v/>
      </c>
      <c r="F191" s="23" t="str">
        <f>IF($L191="","",INDEX('Base Exámenes'!$D:$D,$L191))</f>
        <v/>
      </c>
      <c r="G191" s="23" t="str">
        <f>IF($L191="","",INDEX('Base Exámenes'!$E:$E,$L191))</f>
        <v/>
      </c>
      <c r="H191" s="24" t="str">
        <f>IF($L191="","",INDEX('Base Exámenes'!$F:$F,$L191))</f>
        <v/>
      </c>
      <c r="I191" s="5" t="str">
        <f>IF($L191="","",INDEX('Base Exámenes'!$G:$G,$L191))</f>
        <v/>
      </c>
      <c r="J191" s="5" t="str">
        <f>IF($L191="","",IF($L191-4=MATCH(INDEX('Base Exámenes'!$C:$C,$L191)&amp;"|"&amp;_xlfn.MAXIFS('Base Exámenes'!$G$5:$G$1000,'Base Exámenes'!$C$5:$C$1000,INDEX('Base Exámenes'!$C:$C,$L191)),'Base Exámenes'!$I$5:$I$1000,0),"Sí",""))</f>
        <v/>
      </c>
      <c r="L191" t="str">
        <f>IFERROR(MATCH(SMALL(Cálculos!$AQ$5:$AQ$1000,187),Cálculos!$AQ$5:$AQ$1000,0)+4,"")</f>
        <v/>
      </c>
    </row>
    <row r="192">
      <c r="A192" s="5" t="str">
        <f>IF($L192="","",TRIM(INDEX('Base Exámenes'!$C:$C,$L192)))</f>
        <v/>
      </c>
      <c r="B192" s="5" t="str">
        <f>IF($L192="","",IFERROR(INDEX('Detalle individual'!$B:$B,MATCH($A192,'Detalle individual'!$A:$A,0)),TRIM(INDEX('Base Exámenes'!$A:$A,$L192))))</f>
        <v/>
      </c>
      <c r="C192" s="5" t="str">
        <f>IF($L192="","",IFERROR(INDEX('Detalle individual'!$C:$C,MATCH($A192,'Detalle individual'!$A:$A,0)),TRIM(INDEX('Base Exámenes'!$B:$B,$L192))))</f>
        <v/>
      </c>
      <c r="D192" s="5" t="str">
        <f>IF($L192="","",IFERROR(INDEX('Detalle individual'!$D:$D,MATCH($A192,'Detalle individual'!$A:$A,0)),"(no está en Base Oficial)"))</f>
        <v/>
      </c>
      <c r="E192" s="5" t="str">
        <f>IF($L192="","",COUNTIFS('Base Exámenes'!$C$5:$C$1000,INDEX('Base Exámenes'!$C:$C,$L192),'Base Exámenes'!$D$5:$D$1000,"&lt;="&amp;INDEX('Base Exámenes'!$D:$D,$L192)))</f>
        <v/>
      </c>
      <c r="F192" s="23" t="str">
        <f>IF($L192="","",INDEX('Base Exámenes'!$D:$D,$L192))</f>
        <v/>
      </c>
      <c r="G192" s="23" t="str">
        <f>IF($L192="","",INDEX('Base Exámenes'!$E:$E,$L192))</f>
        <v/>
      </c>
      <c r="H192" s="24" t="str">
        <f>IF($L192="","",INDEX('Base Exámenes'!$F:$F,$L192))</f>
        <v/>
      </c>
      <c r="I192" s="5" t="str">
        <f>IF($L192="","",INDEX('Base Exámenes'!$G:$G,$L192))</f>
        <v/>
      </c>
      <c r="J192" s="5" t="str">
        <f>IF($L192="","",IF($L192-4=MATCH(INDEX('Base Exámenes'!$C:$C,$L192)&amp;"|"&amp;_xlfn.MAXIFS('Base Exámenes'!$G$5:$G$1000,'Base Exámenes'!$C$5:$C$1000,INDEX('Base Exámenes'!$C:$C,$L192)),'Base Exámenes'!$I$5:$I$1000,0),"Sí",""))</f>
        <v/>
      </c>
      <c r="L192" t="str">
        <f>IFERROR(MATCH(SMALL(Cálculos!$AQ$5:$AQ$1000,188),Cálculos!$AQ$5:$AQ$1000,0)+4,"")</f>
        <v/>
      </c>
    </row>
    <row r="193">
      <c r="A193" s="5" t="str">
        <f>IF($L193="","",TRIM(INDEX('Base Exámenes'!$C:$C,$L193)))</f>
        <v/>
      </c>
      <c r="B193" s="5" t="str">
        <f>IF($L193="","",IFERROR(INDEX('Detalle individual'!$B:$B,MATCH($A193,'Detalle individual'!$A:$A,0)),TRIM(INDEX('Base Exámenes'!$A:$A,$L193))))</f>
        <v/>
      </c>
      <c r="C193" s="5" t="str">
        <f>IF($L193="","",IFERROR(INDEX('Detalle individual'!$C:$C,MATCH($A193,'Detalle individual'!$A:$A,0)),TRIM(INDEX('Base Exámenes'!$B:$B,$L193))))</f>
        <v/>
      </c>
      <c r="D193" s="5" t="str">
        <f>IF($L193="","",IFERROR(INDEX('Detalle individual'!$D:$D,MATCH($A193,'Detalle individual'!$A:$A,0)),"(no está en Base Oficial)"))</f>
        <v/>
      </c>
      <c r="E193" s="5" t="str">
        <f>IF($L193="","",COUNTIFS('Base Exámenes'!$C$5:$C$1000,INDEX('Base Exámenes'!$C:$C,$L193),'Base Exámenes'!$D$5:$D$1000,"&lt;="&amp;INDEX('Base Exámenes'!$D:$D,$L193)))</f>
        <v/>
      </c>
      <c r="F193" s="23" t="str">
        <f>IF($L193="","",INDEX('Base Exámenes'!$D:$D,$L193))</f>
        <v/>
      </c>
      <c r="G193" s="23" t="str">
        <f>IF($L193="","",INDEX('Base Exámenes'!$E:$E,$L193))</f>
        <v/>
      </c>
      <c r="H193" s="24" t="str">
        <f>IF($L193="","",INDEX('Base Exámenes'!$F:$F,$L193))</f>
        <v/>
      </c>
      <c r="I193" s="5" t="str">
        <f>IF($L193="","",INDEX('Base Exámenes'!$G:$G,$L193))</f>
        <v/>
      </c>
      <c r="J193" s="5" t="str">
        <f>IF($L193="","",IF($L193-4=MATCH(INDEX('Base Exámenes'!$C:$C,$L193)&amp;"|"&amp;_xlfn.MAXIFS('Base Exámenes'!$G$5:$G$1000,'Base Exámenes'!$C$5:$C$1000,INDEX('Base Exámenes'!$C:$C,$L193)),'Base Exámenes'!$I$5:$I$1000,0),"Sí",""))</f>
        <v/>
      </c>
      <c r="L193" t="str">
        <f>IFERROR(MATCH(SMALL(Cálculos!$AQ$5:$AQ$1000,189),Cálculos!$AQ$5:$AQ$1000,0)+4,"")</f>
        <v/>
      </c>
    </row>
    <row r="194">
      <c r="A194" s="5" t="str">
        <f>IF($L194="","",TRIM(INDEX('Base Exámenes'!$C:$C,$L194)))</f>
        <v/>
      </c>
      <c r="B194" s="5" t="str">
        <f>IF($L194="","",IFERROR(INDEX('Detalle individual'!$B:$B,MATCH($A194,'Detalle individual'!$A:$A,0)),TRIM(INDEX('Base Exámenes'!$A:$A,$L194))))</f>
        <v/>
      </c>
      <c r="C194" s="5" t="str">
        <f>IF($L194="","",IFERROR(INDEX('Detalle individual'!$C:$C,MATCH($A194,'Detalle individual'!$A:$A,0)),TRIM(INDEX('Base Exámenes'!$B:$B,$L194))))</f>
        <v/>
      </c>
      <c r="D194" s="5" t="str">
        <f>IF($L194="","",IFERROR(INDEX('Detalle individual'!$D:$D,MATCH($A194,'Detalle individual'!$A:$A,0)),"(no está en Base Oficial)"))</f>
        <v/>
      </c>
      <c r="E194" s="5" t="str">
        <f>IF($L194="","",COUNTIFS('Base Exámenes'!$C$5:$C$1000,INDEX('Base Exámenes'!$C:$C,$L194),'Base Exámenes'!$D$5:$D$1000,"&lt;="&amp;INDEX('Base Exámenes'!$D:$D,$L194)))</f>
        <v/>
      </c>
      <c r="F194" s="23" t="str">
        <f>IF($L194="","",INDEX('Base Exámenes'!$D:$D,$L194))</f>
        <v/>
      </c>
      <c r="G194" s="23" t="str">
        <f>IF($L194="","",INDEX('Base Exámenes'!$E:$E,$L194))</f>
        <v/>
      </c>
      <c r="H194" s="24" t="str">
        <f>IF($L194="","",INDEX('Base Exámenes'!$F:$F,$L194))</f>
        <v/>
      </c>
      <c r="I194" s="5" t="str">
        <f>IF($L194="","",INDEX('Base Exámenes'!$G:$G,$L194))</f>
        <v/>
      </c>
      <c r="J194" s="5" t="str">
        <f>IF($L194="","",IF($L194-4=MATCH(INDEX('Base Exámenes'!$C:$C,$L194)&amp;"|"&amp;_xlfn.MAXIFS('Base Exámenes'!$G$5:$G$1000,'Base Exámenes'!$C$5:$C$1000,INDEX('Base Exámenes'!$C:$C,$L194)),'Base Exámenes'!$I$5:$I$1000,0),"Sí",""))</f>
        <v/>
      </c>
      <c r="L194" t="str">
        <f>IFERROR(MATCH(SMALL(Cálculos!$AQ$5:$AQ$1000,190),Cálculos!$AQ$5:$AQ$1000,0)+4,"")</f>
        <v/>
      </c>
    </row>
    <row r="195">
      <c r="A195" s="5" t="str">
        <f>IF($L195="","",TRIM(INDEX('Base Exámenes'!$C:$C,$L195)))</f>
        <v/>
      </c>
      <c r="B195" s="5" t="str">
        <f>IF($L195="","",IFERROR(INDEX('Detalle individual'!$B:$B,MATCH($A195,'Detalle individual'!$A:$A,0)),TRIM(INDEX('Base Exámenes'!$A:$A,$L195))))</f>
        <v/>
      </c>
      <c r="C195" s="5" t="str">
        <f>IF($L195="","",IFERROR(INDEX('Detalle individual'!$C:$C,MATCH($A195,'Detalle individual'!$A:$A,0)),TRIM(INDEX('Base Exámenes'!$B:$B,$L195))))</f>
        <v/>
      </c>
      <c r="D195" s="5" t="str">
        <f>IF($L195="","",IFERROR(INDEX('Detalle individual'!$D:$D,MATCH($A195,'Detalle individual'!$A:$A,0)),"(no está en Base Oficial)"))</f>
        <v/>
      </c>
      <c r="E195" s="5" t="str">
        <f>IF($L195="","",COUNTIFS('Base Exámenes'!$C$5:$C$1000,INDEX('Base Exámenes'!$C:$C,$L195),'Base Exámenes'!$D$5:$D$1000,"&lt;="&amp;INDEX('Base Exámenes'!$D:$D,$L195)))</f>
        <v/>
      </c>
      <c r="F195" s="23" t="str">
        <f>IF($L195="","",INDEX('Base Exámenes'!$D:$D,$L195))</f>
        <v/>
      </c>
      <c r="G195" s="23" t="str">
        <f>IF($L195="","",INDEX('Base Exámenes'!$E:$E,$L195))</f>
        <v/>
      </c>
      <c r="H195" s="24" t="str">
        <f>IF($L195="","",INDEX('Base Exámenes'!$F:$F,$L195))</f>
        <v/>
      </c>
      <c r="I195" s="5" t="str">
        <f>IF($L195="","",INDEX('Base Exámenes'!$G:$G,$L195))</f>
        <v/>
      </c>
      <c r="J195" s="5" t="str">
        <f>IF($L195="","",IF($L195-4=MATCH(INDEX('Base Exámenes'!$C:$C,$L195)&amp;"|"&amp;_xlfn.MAXIFS('Base Exámenes'!$G$5:$G$1000,'Base Exámenes'!$C$5:$C$1000,INDEX('Base Exámenes'!$C:$C,$L195)),'Base Exámenes'!$I$5:$I$1000,0),"Sí",""))</f>
        <v/>
      </c>
      <c r="L195" t="str">
        <f>IFERROR(MATCH(SMALL(Cálculos!$AQ$5:$AQ$1000,191),Cálculos!$AQ$5:$AQ$1000,0)+4,"")</f>
        <v/>
      </c>
    </row>
    <row r="196">
      <c r="A196" s="5" t="str">
        <f>IF($L196="","",TRIM(INDEX('Base Exámenes'!$C:$C,$L196)))</f>
        <v/>
      </c>
      <c r="B196" s="5" t="str">
        <f>IF($L196="","",IFERROR(INDEX('Detalle individual'!$B:$B,MATCH($A196,'Detalle individual'!$A:$A,0)),TRIM(INDEX('Base Exámenes'!$A:$A,$L196))))</f>
        <v/>
      </c>
      <c r="C196" s="5" t="str">
        <f>IF($L196="","",IFERROR(INDEX('Detalle individual'!$C:$C,MATCH($A196,'Detalle individual'!$A:$A,0)),TRIM(INDEX('Base Exámenes'!$B:$B,$L196))))</f>
        <v/>
      </c>
      <c r="D196" s="5" t="str">
        <f>IF($L196="","",IFERROR(INDEX('Detalle individual'!$D:$D,MATCH($A196,'Detalle individual'!$A:$A,0)),"(no está en Base Oficial)"))</f>
        <v/>
      </c>
      <c r="E196" s="5" t="str">
        <f>IF($L196="","",COUNTIFS('Base Exámenes'!$C$5:$C$1000,INDEX('Base Exámenes'!$C:$C,$L196),'Base Exámenes'!$D$5:$D$1000,"&lt;="&amp;INDEX('Base Exámenes'!$D:$D,$L196)))</f>
        <v/>
      </c>
      <c r="F196" s="23" t="str">
        <f>IF($L196="","",INDEX('Base Exámenes'!$D:$D,$L196))</f>
        <v/>
      </c>
      <c r="G196" s="23" t="str">
        <f>IF($L196="","",INDEX('Base Exámenes'!$E:$E,$L196))</f>
        <v/>
      </c>
      <c r="H196" s="24" t="str">
        <f>IF($L196="","",INDEX('Base Exámenes'!$F:$F,$L196))</f>
        <v/>
      </c>
      <c r="I196" s="5" t="str">
        <f>IF($L196="","",INDEX('Base Exámenes'!$G:$G,$L196))</f>
        <v/>
      </c>
      <c r="J196" s="5" t="str">
        <f>IF($L196="","",IF($L196-4=MATCH(INDEX('Base Exámenes'!$C:$C,$L196)&amp;"|"&amp;_xlfn.MAXIFS('Base Exámenes'!$G$5:$G$1000,'Base Exámenes'!$C$5:$C$1000,INDEX('Base Exámenes'!$C:$C,$L196)),'Base Exámenes'!$I$5:$I$1000,0),"Sí",""))</f>
        <v/>
      </c>
      <c r="L196" t="str">
        <f>IFERROR(MATCH(SMALL(Cálculos!$AQ$5:$AQ$1000,192),Cálculos!$AQ$5:$AQ$1000,0)+4,"")</f>
        <v/>
      </c>
    </row>
    <row r="197">
      <c r="A197" s="5" t="str">
        <f>IF($L197="","",TRIM(INDEX('Base Exámenes'!$C:$C,$L197)))</f>
        <v/>
      </c>
      <c r="B197" s="5" t="str">
        <f>IF($L197="","",IFERROR(INDEX('Detalle individual'!$B:$B,MATCH($A197,'Detalle individual'!$A:$A,0)),TRIM(INDEX('Base Exámenes'!$A:$A,$L197))))</f>
        <v/>
      </c>
      <c r="C197" s="5" t="str">
        <f>IF($L197="","",IFERROR(INDEX('Detalle individual'!$C:$C,MATCH($A197,'Detalle individual'!$A:$A,0)),TRIM(INDEX('Base Exámenes'!$B:$B,$L197))))</f>
        <v/>
      </c>
      <c r="D197" s="5" t="str">
        <f>IF($L197="","",IFERROR(INDEX('Detalle individual'!$D:$D,MATCH($A197,'Detalle individual'!$A:$A,0)),"(no está en Base Oficial)"))</f>
        <v/>
      </c>
      <c r="E197" s="5" t="str">
        <f>IF($L197="","",COUNTIFS('Base Exámenes'!$C$5:$C$1000,INDEX('Base Exámenes'!$C:$C,$L197),'Base Exámenes'!$D$5:$D$1000,"&lt;="&amp;INDEX('Base Exámenes'!$D:$D,$L197)))</f>
        <v/>
      </c>
      <c r="F197" s="23" t="str">
        <f>IF($L197="","",INDEX('Base Exámenes'!$D:$D,$L197))</f>
        <v/>
      </c>
      <c r="G197" s="23" t="str">
        <f>IF($L197="","",INDEX('Base Exámenes'!$E:$E,$L197))</f>
        <v/>
      </c>
      <c r="H197" s="24" t="str">
        <f>IF($L197="","",INDEX('Base Exámenes'!$F:$F,$L197))</f>
        <v/>
      </c>
      <c r="I197" s="5" t="str">
        <f>IF($L197="","",INDEX('Base Exámenes'!$G:$G,$L197))</f>
        <v/>
      </c>
      <c r="J197" s="5" t="str">
        <f>IF($L197="","",IF($L197-4=MATCH(INDEX('Base Exámenes'!$C:$C,$L197)&amp;"|"&amp;_xlfn.MAXIFS('Base Exámenes'!$G$5:$G$1000,'Base Exámenes'!$C$5:$C$1000,INDEX('Base Exámenes'!$C:$C,$L197)),'Base Exámenes'!$I$5:$I$1000,0),"Sí",""))</f>
        <v/>
      </c>
      <c r="L197" t="str">
        <f>IFERROR(MATCH(SMALL(Cálculos!$AQ$5:$AQ$1000,193),Cálculos!$AQ$5:$AQ$1000,0)+4,"")</f>
        <v/>
      </c>
    </row>
    <row r="198">
      <c r="A198" s="5" t="str">
        <f>IF($L198="","",TRIM(INDEX('Base Exámenes'!$C:$C,$L198)))</f>
        <v/>
      </c>
      <c r="B198" s="5" t="str">
        <f>IF($L198="","",IFERROR(INDEX('Detalle individual'!$B:$B,MATCH($A198,'Detalle individual'!$A:$A,0)),TRIM(INDEX('Base Exámenes'!$A:$A,$L198))))</f>
        <v/>
      </c>
      <c r="C198" s="5" t="str">
        <f>IF($L198="","",IFERROR(INDEX('Detalle individual'!$C:$C,MATCH($A198,'Detalle individual'!$A:$A,0)),TRIM(INDEX('Base Exámenes'!$B:$B,$L198))))</f>
        <v/>
      </c>
      <c r="D198" s="5" t="str">
        <f>IF($L198="","",IFERROR(INDEX('Detalle individual'!$D:$D,MATCH($A198,'Detalle individual'!$A:$A,0)),"(no está en Base Oficial)"))</f>
        <v/>
      </c>
      <c r="E198" s="5" t="str">
        <f>IF($L198="","",COUNTIFS('Base Exámenes'!$C$5:$C$1000,INDEX('Base Exámenes'!$C:$C,$L198),'Base Exámenes'!$D$5:$D$1000,"&lt;="&amp;INDEX('Base Exámenes'!$D:$D,$L198)))</f>
        <v/>
      </c>
      <c r="F198" s="23" t="str">
        <f>IF($L198="","",INDEX('Base Exámenes'!$D:$D,$L198))</f>
        <v/>
      </c>
      <c r="G198" s="23" t="str">
        <f>IF($L198="","",INDEX('Base Exámenes'!$E:$E,$L198))</f>
        <v/>
      </c>
      <c r="H198" s="24" t="str">
        <f>IF($L198="","",INDEX('Base Exámenes'!$F:$F,$L198))</f>
        <v/>
      </c>
      <c r="I198" s="5" t="str">
        <f>IF($L198="","",INDEX('Base Exámenes'!$G:$G,$L198))</f>
        <v/>
      </c>
      <c r="J198" s="5" t="str">
        <f>IF($L198="","",IF($L198-4=MATCH(INDEX('Base Exámenes'!$C:$C,$L198)&amp;"|"&amp;_xlfn.MAXIFS('Base Exámenes'!$G$5:$G$1000,'Base Exámenes'!$C$5:$C$1000,INDEX('Base Exámenes'!$C:$C,$L198)),'Base Exámenes'!$I$5:$I$1000,0),"Sí",""))</f>
        <v/>
      </c>
      <c r="L198" t="str">
        <f>IFERROR(MATCH(SMALL(Cálculos!$AQ$5:$AQ$1000,194),Cálculos!$AQ$5:$AQ$1000,0)+4,"")</f>
        <v/>
      </c>
    </row>
    <row r="199">
      <c r="A199" s="5" t="str">
        <f>IF($L199="","",TRIM(INDEX('Base Exámenes'!$C:$C,$L199)))</f>
        <v/>
      </c>
      <c r="B199" s="5" t="str">
        <f>IF($L199="","",IFERROR(INDEX('Detalle individual'!$B:$B,MATCH($A199,'Detalle individual'!$A:$A,0)),TRIM(INDEX('Base Exámenes'!$A:$A,$L199))))</f>
        <v/>
      </c>
      <c r="C199" s="5" t="str">
        <f>IF($L199="","",IFERROR(INDEX('Detalle individual'!$C:$C,MATCH($A199,'Detalle individual'!$A:$A,0)),TRIM(INDEX('Base Exámenes'!$B:$B,$L199))))</f>
        <v/>
      </c>
      <c r="D199" s="5" t="str">
        <f>IF($L199="","",IFERROR(INDEX('Detalle individual'!$D:$D,MATCH($A199,'Detalle individual'!$A:$A,0)),"(no está en Base Oficial)"))</f>
        <v/>
      </c>
      <c r="E199" s="5" t="str">
        <f>IF($L199="","",COUNTIFS('Base Exámenes'!$C$5:$C$1000,INDEX('Base Exámenes'!$C:$C,$L199),'Base Exámenes'!$D$5:$D$1000,"&lt;="&amp;INDEX('Base Exámenes'!$D:$D,$L199)))</f>
        <v/>
      </c>
      <c r="F199" s="23" t="str">
        <f>IF($L199="","",INDEX('Base Exámenes'!$D:$D,$L199))</f>
        <v/>
      </c>
      <c r="G199" s="23" t="str">
        <f>IF($L199="","",INDEX('Base Exámenes'!$E:$E,$L199))</f>
        <v/>
      </c>
      <c r="H199" s="24" t="str">
        <f>IF($L199="","",INDEX('Base Exámenes'!$F:$F,$L199))</f>
        <v/>
      </c>
      <c r="I199" s="5" t="str">
        <f>IF($L199="","",INDEX('Base Exámenes'!$G:$G,$L199))</f>
        <v/>
      </c>
      <c r="J199" s="5" t="str">
        <f>IF($L199="","",IF($L199-4=MATCH(INDEX('Base Exámenes'!$C:$C,$L199)&amp;"|"&amp;_xlfn.MAXIFS('Base Exámenes'!$G$5:$G$1000,'Base Exámenes'!$C$5:$C$1000,INDEX('Base Exámenes'!$C:$C,$L199)),'Base Exámenes'!$I$5:$I$1000,0),"Sí",""))</f>
        <v/>
      </c>
      <c r="L199" t="str">
        <f>IFERROR(MATCH(SMALL(Cálculos!$AQ$5:$AQ$1000,195),Cálculos!$AQ$5:$AQ$1000,0)+4,"")</f>
        <v/>
      </c>
    </row>
    <row r="200">
      <c r="A200" s="5" t="str">
        <f>IF($L200="","",TRIM(INDEX('Base Exámenes'!$C:$C,$L200)))</f>
        <v/>
      </c>
      <c r="B200" s="5" t="str">
        <f>IF($L200="","",IFERROR(INDEX('Detalle individual'!$B:$B,MATCH($A200,'Detalle individual'!$A:$A,0)),TRIM(INDEX('Base Exámenes'!$A:$A,$L200))))</f>
        <v/>
      </c>
      <c r="C200" s="5" t="str">
        <f>IF($L200="","",IFERROR(INDEX('Detalle individual'!$C:$C,MATCH($A200,'Detalle individual'!$A:$A,0)),TRIM(INDEX('Base Exámenes'!$B:$B,$L200))))</f>
        <v/>
      </c>
      <c r="D200" s="5" t="str">
        <f>IF($L200="","",IFERROR(INDEX('Detalle individual'!$D:$D,MATCH($A200,'Detalle individual'!$A:$A,0)),"(no está en Base Oficial)"))</f>
        <v/>
      </c>
      <c r="E200" s="5" t="str">
        <f>IF($L200="","",COUNTIFS('Base Exámenes'!$C$5:$C$1000,INDEX('Base Exámenes'!$C:$C,$L200),'Base Exámenes'!$D$5:$D$1000,"&lt;="&amp;INDEX('Base Exámenes'!$D:$D,$L200)))</f>
        <v/>
      </c>
      <c r="F200" s="23" t="str">
        <f>IF($L200="","",INDEX('Base Exámenes'!$D:$D,$L200))</f>
        <v/>
      </c>
      <c r="G200" s="23" t="str">
        <f>IF($L200="","",INDEX('Base Exámenes'!$E:$E,$L200))</f>
        <v/>
      </c>
      <c r="H200" s="24" t="str">
        <f>IF($L200="","",INDEX('Base Exámenes'!$F:$F,$L200))</f>
        <v/>
      </c>
      <c r="I200" s="5" t="str">
        <f>IF($L200="","",INDEX('Base Exámenes'!$G:$G,$L200))</f>
        <v/>
      </c>
      <c r="J200" s="5" t="str">
        <f>IF($L200="","",IF($L200-4=MATCH(INDEX('Base Exámenes'!$C:$C,$L200)&amp;"|"&amp;_xlfn.MAXIFS('Base Exámenes'!$G$5:$G$1000,'Base Exámenes'!$C$5:$C$1000,INDEX('Base Exámenes'!$C:$C,$L200)),'Base Exámenes'!$I$5:$I$1000,0),"Sí",""))</f>
        <v/>
      </c>
      <c r="L200" t="str">
        <f>IFERROR(MATCH(SMALL(Cálculos!$AQ$5:$AQ$1000,196),Cálculos!$AQ$5:$AQ$1000,0)+4,"")</f>
        <v/>
      </c>
    </row>
    <row r="201">
      <c r="A201" s="5" t="str">
        <f>IF($L201="","",TRIM(INDEX('Base Exámenes'!$C:$C,$L201)))</f>
        <v/>
      </c>
      <c r="B201" s="5" t="str">
        <f>IF($L201="","",IFERROR(INDEX('Detalle individual'!$B:$B,MATCH($A201,'Detalle individual'!$A:$A,0)),TRIM(INDEX('Base Exámenes'!$A:$A,$L201))))</f>
        <v/>
      </c>
      <c r="C201" s="5" t="str">
        <f>IF($L201="","",IFERROR(INDEX('Detalle individual'!$C:$C,MATCH($A201,'Detalle individual'!$A:$A,0)),TRIM(INDEX('Base Exámenes'!$B:$B,$L201))))</f>
        <v/>
      </c>
      <c r="D201" s="5" t="str">
        <f>IF($L201="","",IFERROR(INDEX('Detalle individual'!$D:$D,MATCH($A201,'Detalle individual'!$A:$A,0)),"(no está en Base Oficial)"))</f>
        <v/>
      </c>
      <c r="E201" s="5" t="str">
        <f>IF($L201="","",COUNTIFS('Base Exámenes'!$C$5:$C$1000,INDEX('Base Exámenes'!$C:$C,$L201),'Base Exámenes'!$D$5:$D$1000,"&lt;="&amp;INDEX('Base Exámenes'!$D:$D,$L201)))</f>
        <v/>
      </c>
      <c r="F201" s="23" t="str">
        <f>IF($L201="","",INDEX('Base Exámenes'!$D:$D,$L201))</f>
        <v/>
      </c>
      <c r="G201" s="23" t="str">
        <f>IF($L201="","",INDEX('Base Exámenes'!$E:$E,$L201))</f>
        <v/>
      </c>
      <c r="H201" s="24" t="str">
        <f>IF($L201="","",INDEX('Base Exámenes'!$F:$F,$L201))</f>
        <v/>
      </c>
      <c r="I201" s="5" t="str">
        <f>IF($L201="","",INDEX('Base Exámenes'!$G:$G,$L201))</f>
        <v/>
      </c>
      <c r="J201" s="5" t="str">
        <f>IF($L201="","",IF($L201-4=MATCH(INDEX('Base Exámenes'!$C:$C,$L201)&amp;"|"&amp;_xlfn.MAXIFS('Base Exámenes'!$G$5:$G$1000,'Base Exámenes'!$C$5:$C$1000,INDEX('Base Exámenes'!$C:$C,$L201)),'Base Exámenes'!$I$5:$I$1000,0),"Sí",""))</f>
        <v/>
      </c>
      <c r="L201" t="str">
        <f>IFERROR(MATCH(SMALL(Cálculos!$AQ$5:$AQ$1000,197),Cálculos!$AQ$5:$AQ$1000,0)+4,"")</f>
        <v/>
      </c>
    </row>
    <row r="202">
      <c r="A202" s="5" t="str">
        <f>IF($L202="","",TRIM(INDEX('Base Exámenes'!$C:$C,$L202)))</f>
        <v/>
      </c>
      <c r="B202" s="5" t="str">
        <f>IF($L202="","",IFERROR(INDEX('Detalle individual'!$B:$B,MATCH($A202,'Detalle individual'!$A:$A,0)),TRIM(INDEX('Base Exámenes'!$A:$A,$L202))))</f>
        <v/>
      </c>
      <c r="C202" s="5" t="str">
        <f>IF($L202="","",IFERROR(INDEX('Detalle individual'!$C:$C,MATCH($A202,'Detalle individual'!$A:$A,0)),TRIM(INDEX('Base Exámenes'!$B:$B,$L202))))</f>
        <v/>
      </c>
      <c r="D202" s="5" t="str">
        <f>IF($L202="","",IFERROR(INDEX('Detalle individual'!$D:$D,MATCH($A202,'Detalle individual'!$A:$A,0)),"(no está en Base Oficial)"))</f>
        <v/>
      </c>
      <c r="E202" s="5" t="str">
        <f>IF($L202="","",COUNTIFS('Base Exámenes'!$C$5:$C$1000,INDEX('Base Exámenes'!$C:$C,$L202),'Base Exámenes'!$D$5:$D$1000,"&lt;="&amp;INDEX('Base Exámenes'!$D:$D,$L202)))</f>
        <v/>
      </c>
      <c r="F202" s="23" t="str">
        <f>IF($L202="","",INDEX('Base Exámenes'!$D:$D,$L202))</f>
        <v/>
      </c>
      <c r="G202" s="23" t="str">
        <f>IF($L202="","",INDEX('Base Exámenes'!$E:$E,$L202))</f>
        <v/>
      </c>
      <c r="H202" s="24" t="str">
        <f>IF($L202="","",INDEX('Base Exámenes'!$F:$F,$L202))</f>
        <v/>
      </c>
      <c r="I202" s="5" t="str">
        <f>IF($L202="","",INDEX('Base Exámenes'!$G:$G,$L202))</f>
        <v/>
      </c>
      <c r="J202" s="5" t="str">
        <f>IF($L202="","",IF($L202-4=MATCH(INDEX('Base Exámenes'!$C:$C,$L202)&amp;"|"&amp;_xlfn.MAXIFS('Base Exámenes'!$G$5:$G$1000,'Base Exámenes'!$C$5:$C$1000,INDEX('Base Exámenes'!$C:$C,$L202)),'Base Exámenes'!$I$5:$I$1000,0),"Sí",""))</f>
        <v/>
      </c>
      <c r="L202" t="str">
        <f>IFERROR(MATCH(SMALL(Cálculos!$AQ$5:$AQ$1000,198),Cálculos!$AQ$5:$AQ$1000,0)+4,"")</f>
        <v/>
      </c>
    </row>
    <row r="203">
      <c r="A203" s="5" t="str">
        <f>IF($L203="","",TRIM(INDEX('Base Exámenes'!$C:$C,$L203)))</f>
        <v/>
      </c>
      <c r="B203" s="5" t="str">
        <f>IF($L203="","",IFERROR(INDEX('Detalle individual'!$B:$B,MATCH($A203,'Detalle individual'!$A:$A,0)),TRIM(INDEX('Base Exámenes'!$A:$A,$L203))))</f>
        <v/>
      </c>
      <c r="C203" s="5" t="str">
        <f>IF($L203="","",IFERROR(INDEX('Detalle individual'!$C:$C,MATCH($A203,'Detalle individual'!$A:$A,0)),TRIM(INDEX('Base Exámenes'!$B:$B,$L203))))</f>
        <v/>
      </c>
      <c r="D203" s="5" t="str">
        <f>IF($L203="","",IFERROR(INDEX('Detalle individual'!$D:$D,MATCH($A203,'Detalle individual'!$A:$A,0)),"(no está en Base Oficial)"))</f>
        <v/>
      </c>
      <c r="E203" s="5" t="str">
        <f>IF($L203="","",COUNTIFS('Base Exámenes'!$C$5:$C$1000,INDEX('Base Exámenes'!$C:$C,$L203),'Base Exámenes'!$D$5:$D$1000,"&lt;="&amp;INDEX('Base Exámenes'!$D:$D,$L203)))</f>
        <v/>
      </c>
      <c r="F203" s="23" t="str">
        <f>IF($L203="","",INDEX('Base Exámenes'!$D:$D,$L203))</f>
        <v/>
      </c>
      <c r="G203" s="23" t="str">
        <f>IF($L203="","",INDEX('Base Exámenes'!$E:$E,$L203))</f>
        <v/>
      </c>
      <c r="H203" s="24" t="str">
        <f>IF($L203="","",INDEX('Base Exámenes'!$F:$F,$L203))</f>
        <v/>
      </c>
      <c r="I203" s="5" t="str">
        <f>IF($L203="","",INDEX('Base Exámenes'!$G:$G,$L203))</f>
        <v/>
      </c>
      <c r="J203" s="5" t="str">
        <f>IF($L203="","",IF($L203-4=MATCH(INDEX('Base Exámenes'!$C:$C,$L203)&amp;"|"&amp;_xlfn.MAXIFS('Base Exámenes'!$G$5:$G$1000,'Base Exámenes'!$C$5:$C$1000,INDEX('Base Exámenes'!$C:$C,$L203)),'Base Exámenes'!$I$5:$I$1000,0),"Sí",""))</f>
        <v/>
      </c>
      <c r="L203" t="str">
        <f>IFERROR(MATCH(SMALL(Cálculos!$AQ$5:$AQ$1000,199),Cálculos!$AQ$5:$AQ$1000,0)+4,"")</f>
        <v/>
      </c>
    </row>
    <row r="204">
      <c r="A204" s="5" t="str">
        <f>IF($L204="","",TRIM(INDEX('Base Exámenes'!$C:$C,$L204)))</f>
        <v/>
      </c>
      <c r="B204" s="5" t="str">
        <f>IF($L204="","",IFERROR(INDEX('Detalle individual'!$B:$B,MATCH($A204,'Detalle individual'!$A:$A,0)),TRIM(INDEX('Base Exámenes'!$A:$A,$L204))))</f>
        <v/>
      </c>
      <c r="C204" s="5" t="str">
        <f>IF($L204="","",IFERROR(INDEX('Detalle individual'!$C:$C,MATCH($A204,'Detalle individual'!$A:$A,0)),TRIM(INDEX('Base Exámenes'!$B:$B,$L204))))</f>
        <v/>
      </c>
      <c r="D204" s="5" t="str">
        <f>IF($L204="","",IFERROR(INDEX('Detalle individual'!$D:$D,MATCH($A204,'Detalle individual'!$A:$A,0)),"(no está en Base Oficial)"))</f>
        <v/>
      </c>
      <c r="E204" s="5" t="str">
        <f>IF($L204="","",COUNTIFS('Base Exámenes'!$C$5:$C$1000,INDEX('Base Exámenes'!$C:$C,$L204),'Base Exámenes'!$D$5:$D$1000,"&lt;="&amp;INDEX('Base Exámenes'!$D:$D,$L204)))</f>
        <v/>
      </c>
      <c r="F204" s="23" t="str">
        <f>IF($L204="","",INDEX('Base Exámenes'!$D:$D,$L204))</f>
        <v/>
      </c>
      <c r="G204" s="23" t="str">
        <f>IF($L204="","",INDEX('Base Exámenes'!$E:$E,$L204))</f>
        <v/>
      </c>
      <c r="H204" s="24" t="str">
        <f>IF($L204="","",INDEX('Base Exámenes'!$F:$F,$L204))</f>
        <v/>
      </c>
      <c r="I204" s="5" t="str">
        <f>IF($L204="","",INDEX('Base Exámenes'!$G:$G,$L204))</f>
        <v/>
      </c>
      <c r="J204" s="5" t="str">
        <f>IF($L204="","",IF($L204-4=MATCH(INDEX('Base Exámenes'!$C:$C,$L204)&amp;"|"&amp;_xlfn.MAXIFS('Base Exámenes'!$G$5:$G$1000,'Base Exámenes'!$C$5:$C$1000,INDEX('Base Exámenes'!$C:$C,$L204)),'Base Exámenes'!$I$5:$I$1000,0),"Sí",""))</f>
        <v/>
      </c>
      <c r="L204" t="str">
        <f>IFERROR(MATCH(SMALL(Cálculos!$AQ$5:$AQ$1000,200),Cálculos!$AQ$5:$AQ$1000,0)+4,"")</f>
        <v/>
      </c>
    </row>
    <row r="205">
      <c r="A205" s="5" t="str">
        <f>IF($L205="","",TRIM(INDEX('Base Exámenes'!$C:$C,$L205)))</f>
        <v/>
      </c>
      <c r="B205" s="5" t="str">
        <f>IF($L205="","",IFERROR(INDEX('Detalle individual'!$B:$B,MATCH($A205,'Detalle individual'!$A:$A,0)),TRIM(INDEX('Base Exámenes'!$A:$A,$L205))))</f>
        <v/>
      </c>
      <c r="C205" s="5" t="str">
        <f>IF($L205="","",IFERROR(INDEX('Detalle individual'!$C:$C,MATCH($A205,'Detalle individual'!$A:$A,0)),TRIM(INDEX('Base Exámenes'!$B:$B,$L205))))</f>
        <v/>
      </c>
      <c r="D205" s="5" t="str">
        <f>IF($L205="","",IFERROR(INDEX('Detalle individual'!$D:$D,MATCH($A205,'Detalle individual'!$A:$A,0)),"(no está en Base Oficial)"))</f>
        <v/>
      </c>
      <c r="E205" s="5" t="str">
        <f>IF($L205="","",COUNTIFS('Base Exámenes'!$C$5:$C$1000,INDEX('Base Exámenes'!$C:$C,$L205),'Base Exámenes'!$D$5:$D$1000,"&lt;="&amp;INDEX('Base Exámenes'!$D:$D,$L205)))</f>
        <v/>
      </c>
      <c r="F205" s="23" t="str">
        <f>IF($L205="","",INDEX('Base Exámenes'!$D:$D,$L205))</f>
        <v/>
      </c>
      <c r="G205" s="23" t="str">
        <f>IF($L205="","",INDEX('Base Exámenes'!$E:$E,$L205))</f>
        <v/>
      </c>
      <c r="H205" s="24" t="str">
        <f>IF($L205="","",INDEX('Base Exámenes'!$F:$F,$L205))</f>
        <v/>
      </c>
      <c r="I205" s="5" t="str">
        <f>IF($L205="","",INDEX('Base Exámenes'!$G:$G,$L205))</f>
        <v/>
      </c>
      <c r="J205" s="5" t="str">
        <f>IF($L205="","",IF($L205-4=MATCH(INDEX('Base Exámenes'!$C:$C,$L205)&amp;"|"&amp;_xlfn.MAXIFS('Base Exámenes'!$G$5:$G$1000,'Base Exámenes'!$C$5:$C$1000,INDEX('Base Exámenes'!$C:$C,$L205)),'Base Exámenes'!$I$5:$I$1000,0),"Sí",""))</f>
        <v/>
      </c>
      <c r="L205" t="str">
        <f>IFERROR(MATCH(SMALL(Cálculos!$AQ$5:$AQ$1000,201),Cálculos!$AQ$5:$AQ$1000,0)+4,"")</f>
        <v/>
      </c>
    </row>
    <row r="206">
      <c r="A206" s="5" t="str">
        <f>IF($L206="","",TRIM(INDEX('Base Exámenes'!$C:$C,$L206)))</f>
        <v/>
      </c>
      <c r="B206" s="5" t="str">
        <f>IF($L206="","",IFERROR(INDEX('Detalle individual'!$B:$B,MATCH($A206,'Detalle individual'!$A:$A,0)),TRIM(INDEX('Base Exámenes'!$A:$A,$L206))))</f>
        <v/>
      </c>
      <c r="C206" s="5" t="str">
        <f>IF($L206="","",IFERROR(INDEX('Detalle individual'!$C:$C,MATCH($A206,'Detalle individual'!$A:$A,0)),TRIM(INDEX('Base Exámenes'!$B:$B,$L206))))</f>
        <v/>
      </c>
      <c r="D206" s="5" t="str">
        <f>IF($L206="","",IFERROR(INDEX('Detalle individual'!$D:$D,MATCH($A206,'Detalle individual'!$A:$A,0)),"(no está en Base Oficial)"))</f>
        <v/>
      </c>
      <c r="E206" s="5" t="str">
        <f>IF($L206="","",COUNTIFS('Base Exámenes'!$C$5:$C$1000,INDEX('Base Exámenes'!$C:$C,$L206),'Base Exámenes'!$D$5:$D$1000,"&lt;="&amp;INDEX('Base Exámenes'!$D:$D,$L206)))</f>
        <v/>
      </c>
      <c r="F206" s="23" t="str">
        <f>IF($L206="","",INDEX('Base Exámenes'!$D:$D,$L206))</f>
        <v/>
      </c>
      <c r="G206" s="23" t="str">
        <f>IF($L206="","",INDEX('Base Exámenes'!$E:$E,$L206))</f>
        <v/>
      </c>
      <c r="H206" s="24" t="str">
        <f>IF($L206="","",INDEX('Base Exámenes'!$F:$F,$L206))</f>
        <v/>
      </c>
      <c r="I206" s="5" t="str">
        <f>IF($L206="","",INDEX('Base Exámenes'!$G:$G,$L206))</f>
        <v/>
      </c>
      <c r="J206" s="5" t="str">
        <f>IF($L206="","",IF($L206-4=MATCH(INDEX('Base Exámenes'!$C:$C,$L206)&amp;"|"&amp;_xlfn.MAXIFS('Base Exámenes'!$G$5:$G$1000,'Base Exámenes'!$C$5:$C$1000,INDEX('Base Exámenes'!$C:$C,$L206)),'Base Exámenes'!$I$5:$I$1000,0),"Sí",""))</f>
        <v/>
      </c>
      <c r="L206" t="str">
        <f>IFERROR(MATCH(SMALL(Cálculos!$AQ$5:$AQ$1000,202),Cálculos!$AQ$5:$AQ$1000,0)+4,"")</f>
        <v/>
      </c>
    </row>
    <row r="207">
      <c r="A207" s="5" t="str">
        <f>IF($L207="","",TRIM(INDEX('Base Exámenes'!$C:$C,$L207)))</f>
        <v/>
      </c>
      <c r="B207" s="5" t="str">
        <f>IF($L207="","",IFERROR(INDEX('Detalle individual'!$B:$B,MATCH($A207,'Detalle individual'!$A:$A,0)),TRIM(INDEX('Base Exámenes'!$A:$A,$L207))))</f>
        <v/>
      </c>
      <c r="C207" s="5" t="str">
        <f>IF($L207="","",IFERROR(INDEX('Detalle individual'!$C:$C,MATCH($A207,'Detalle individual'!$A:$A,0)),TRIM(INDEX('Base Exámenes'!$B:$B,$L207))))</f>
        <v/>
      </c>
      <c r="D207" s="5" t="str">
        <f>IF($L207="","",IFERROR(INDEX('Detalle individual'!$D:$D,MATCH($A207,'Detalle individual'!$A:$A,0)),"(no está en Base Oficial)"))</f>
        <v/>
      </c>
      <c r="E207" s="5" t="str">
        <f>IF($L207="","",COUNTIFS('Base Exámenes'!$C$5:$C$1000,INDEX('Base Exámenes'!$C:$C,$L207),'Base Exámenes'!$D$5:$D$1000,"&lt;="&amp;INDEX('Base Exámenes'!$D:$D,$L207)))</f>
        <v/>
      </c>
      <c r="F207" s="23" t="str">
        <f>IF($L207="","",INDEX('Base Exámenes'!$D:$D,$L207))</f>
        <v/>
      </c>
      <c r="G207" s="23" t="str">
        <f>IF($L207="","",INDEX('Base Exámenes'!$E:$E,$L207))</f>
        <v/>
      </c>
      <c r="H207" s="24" t="str">
        <f>IF($L207="","",INDEX('Base Exámenes'!$F:$F,$L207))</f>
        <v/>
      </c>
      <c r="I207" s="5" t="str">
        <f>IF($L207="","",INDEX('Base Exámenes'!$G:$G,$L207))</f>
        <v/>
      </c>
      <c r="J207" s="5" t="str">
        <f>IF($L207="","",IF($L207-4=MATCH(INDEX('Base Exámenes'!$C:$C,$L207)&amp;"|"&amp;_xlfn.MAXIFS('Base Exámenes'!$G$5:$G$1000,'Base Exámenes'!$C$5:$C$1000,INDEX('Base Exámenes'!$C:$C,$L207)),'Base Exámenes'!$I$5:$I$1000,0),"Sí",""))</f>
        <v/>
      </c>
      <c r="L207" t="str">
        <f>IFERROR(MATCH(SMALL(Cálculos!$AQ$5:$AQ$1000,203),Cálculos!$AQ$5:$AQ$1000,0)+4,"")</f>
        <v/>
      </c>
    </row>
    <row r="208">
      <c r="A208" s="5" t="str">
        <f>IF($L208="","",TRIM(INDEX('Base Exámenes'!$C:$C,$L208)))</f>
        <v/>
      </c>
      <c r="B208" s="5" t="str">
        <f>IF($L208="","",IFERROR(INDEX('Detalle individual'!$B:$B,MATCH($A208,'Detalle individual'!$A:$A,0)),TRIM(INDEX('Base Exámenes'!$A:$A,$L208))))</f>
        <v/>
      </c>
      <c r="C208" s="5" t="str">
        <f>IF($L208="","",IFERROR(INDEX('Detalle individual'!$C:$C,MATCH($A208,'Detalle individual'!$A:$A,0)),TRIM(INDEX('Base Exámenes'!$B:$B,$L208))))</f>
        <v/>
      </c>
      <c r="D208" s="5" t="str">
        <f>IF($L208="","",IFERROR(INDEX('Detalle individual'!$D:$D,MATCH($A208,'Detalle individual'!$A:$A,0)),"(no está en Base Oficial)"))</f>
        <v/>
      </c>
      <c r="E208" s="5" t="str">
        <f>IF($L208="","",COUNTIFS('Base Exámenes'!$C$5:$C$1000,INDEX('Base Exámenes'!$C:$C,$L208),'Base Exámenes'!$D$5:$D$1000,"&lt;="&amp;INDEX('Base Exámenes'!$D:$D,$L208)))</f>
        <v/>
      </c>
      <c r="F208" s="23" t="str">
        <f>IF($L208="","",INDEX('Base Exámenes'!$D:$D,$L208))</f>
        <v/>
      </c>
      <c r="G208" s="23" t="str">
        <f>IF($L208="","",INDEX('Base Exámenes'!$E:$E,$L208))</f>
        <v/>
      </c>
      <c r="H208" s="24" t="str">
        <f>IF($L208="","",INDEX('Base Exámenes'!$F:$F,$L208))</f>
        <v/>
      </c>
      <c r="I208" s="5" t="str">
        <f>IF($L208="","",INDEX('Base Exámenes'!$G:$G,$L208))</f>
        <v/>
      </c>
      <c r="J208" s="5" t="str">
        <f>IF($L208="","",IF($L208-4=MATCH(INDEX('Base Exámenes'!$C:$C,$L208)&amp;"|"&amp;_xlfn.MAXIFS('Base Exámenes'!$G$5:$G$1000,'Base Exámenes'!$C$5:$C$1000,INDEX('Base Exámenes'!$C:$C,$L208)),'Base Exámenes'!$I$5:$I$1000,0),"Sí",""))</f>
        <v/>
      </c>
      <c r="L208" t="str">
        <f>IFERROR(MATCH(SMALL(Cálculos!$AQ$5:$AQ$1000,204),Cálculos!$AQ$5:$AQ$1000,0)+4,"")</f>
        <v/>
      </c>
    </row>
    <row r="209">
      <c r="A209" s="5" t="str">
        <f>IF($L209="","",TRIM(INDEX('Base Exámenes'!$C:$C,$L209)))</f>
        <v/>
      </c>
      <c r="B209" s="5" t="str">
        <f>IF($L209="","",IFERROR(INDEX('Detalle individual'!$B:$B,MATCH($A209,'Detalle individual'!$A:$A,0)),TRIM(INDEX('Base Exámenes'!$A:$A,$L209))))</f>
        <v/>
      </c>
      <c r="C209" s="5" t="str">
        <f>IF($L209="","",IFERROR(INDEX('Detalle individual'!$C:$C,MATCH($A209,'Detalle individual'!$A:$A,0)),TRIM(INDEX('Base Exámenes'!$B:$B,$L209))))</f>
        <v/>
      </c>
      <c r="D209" s="5" t="str">
        <f>IF($L209="","",IFERROR(INDEX('Detalle individual'!$D:$D,MATCH($A209,'Detalle individual'!$A:$A,0)),"(no está en Base Oficial)"))</f>
        <v/>
      </c>
      <c r="E209" s="5" t="str">
        <f>IF($L209="","",COUNTIFS('Base Exámenes'!$C$5:$C$1000,INDEX('Base Exámenes'!$C:$C,$L209),'Base Exámenes'!$D$5:$D$1000,"&lt;="&amp;INDEX('Base Exámenes'!$D:$D,$L209)))</f>
        <v/>
      </c>
      <c r="F209" s="23" t="str">
        <f>IF($L209="","",INDEX('Base Exámenes'!$D:$D,$L209))</f>
        <v/>
      </c>
      <c r="G209" s="23" t="str">
        <f>IF($L209="","",INDEX('Base Exámenes'!$E:$E,$L209))</f>
        <v/>
      </c>
      <c r="H209" s="24" t="str">
        <f>IF($L209="","",INDEX('Base Exámenes'!$F:$F,$L209))</f>
        <v/>
      </c>
      <c r="I209" s="5" t="str">
        <f>IF($L209="","",INDEX('Base Exámenes'!$G:$G,$L209))</f>
        <v/>
      </c>
      <c r="J209" s="5" t="str">
        <f>IF($L209="","",IF($L209-4=MATCH(INDEX('Base Exámenes'!$C:$C,$L209)&amp;"|"&amp;_xlfn.MAXIFS('Base Exámenes'!$G$5:$G$1000,'Base Exámenes'!$C$5:$C$1000,INDEX('Base Exámenes'!$C:$C,$L209)),'Base Exámenes'!$I$5:$I$1000,0),"Sí",""))</f>
        <v/>
      </c>
      <c r="L209" t="str">
        <f>IFERROR(MATCH(SMALL(Cálculos!$AQ$5:$AQ$1000,205),Cálculos!$AQ$5:$AQ$1000,0)+4,"")</f>
        <v/>
      </c>
    </row>
    <row r="210">
      <c r="A210" s="5" t="str">
        <f>IF($L210="","",TRIM(INDEX('Base Exámenes'!$C:$C,$L210)))</f>
        <v/>
      </c>
      <c r="B210" s="5" t="str">
        <f>IF($L210="","",IFERROR(INDEX('Detalle individual'!$B:$B,MATCH($A210,'Detalle individual'!$A:$A,0)),TRIM(INDEX('Base Exámenes'!$A:$A,$L210))))</f>
        <v/>
      </c>
      <c r="C210" s="5" t="str">
        <f>IF($L210="","",IFERROR(INDEX('Detalle individual'!$C:$C,MATCH($A210,'Detalle individual'!$A:$A,0)),TRIM(INDEX('Base Exámenes'!$B:$B,$L210))))</f>
        <v/>
      </c>
      <c r="D210" s="5" t="str">
        <f>IF($L210="","",IFERROR(INDEX('Detalle individual'!$D:$D,MATCH($A210,'Detalle individual'!$A:$A,0)),"(no está en Base Oficial)"))</f>
        <v/>
      </c>
      <c r="E210" s="5" t="str">
        <f>IF($L210="","",COUNTIFS('Base Exámenes'!$C$5:$C$1000,INDEX('Base Exámenes'!$C:$C,$L210),'Base Exámenes'!$D$5:$D$1000,"&lt;="&amp;INDEX('Base Exámenes'!$D:$D,$L210)))</f>
        <v/>
      </c>
      <c r="F210" s="23" t="str">
        <f>IF($L210="","",INDEX('Base Exámenes'!$D:$D,$L210))</f>
        <v/>
      </c>
      <c r="G210" s="23" t="str">
        <f>IF($L210="","",INDEX('Base Exámenes'!$E:$E,$L210))</f>
        <v/>
      </c>
      <c r="H210" s="24" t="str">
        <f>IF($L210="","",INDEX('Base Exámenes'!$F:$F,$L210))</f>
        <v/>
      </c>
      <c r="I210" s="5" t="str">
        <f>IF($L210="","",INDEX('Base Exámenes'!$G:$G,$L210))</f>
        <v/>
      </c>
      <c r="J210" s="5" t="str">
        <f>IF($L210="","",IF($L210-4=MATCH(INDEX('Base Exámenes'!$C:$C,$L210)&amp;"|"&amp;_xlfn.MAXIFS('Base Exámenes'!$G$5:$G$1000,'Base Exámenes'!$C$5:$C$1000,INDEX('Base Exámenes'!$C:$C,$L210)),'Base Exámenes'!$I$5:$I$1000,0),"Sí",""))</f>
        <v/>
      </c>
      <c r="L210" t="str">
        <f>IFERROR(MATCH(SMALL(Cálculos!$AQ$5:$AQ$1000,206),Cálculos!$AQ$5:$AQ$1000,0)+4,"")</f>
        <v/>
      </c>
    </row>
    <row r="211">
      <c r="A211" s="5" t="str">
        <f>IF($L211="","",TRIM(INDEX('Base Exámenes'!$C:$C,$L211)))</f>
        <v/>
      </c>
      <c r="B211" s="5" t="str">
        <f>IF($L211="","",IFERROR(INDEX('Detalle individual'!$B:$B,MATCH($A211,'Detalle individual'!$A:$A,0)),TRIM(INDEX('Base Exámenes'!$A:$A,$L211))))</f>
        <v/>
      </c>
      <c r="C211" s="5" t="str">
        <f>IF($L211="","",IFERROR(INDEX('Detalle individual'!$C:$C,MATCH($A211,'Detalle individual'!$A:$A,0)),TRIM(INDEX('Base Exámenes'!$B:$B,$L211))))</f>
        <v/>
      </c>
      <c r="D211" s="5" t="str">
        <f>IF($L211="","",IFERROR(INDEX('Detalle individual'!$D:$D,MATCH($A211,'Detalle individual'!$A:$A,0)),"(no está en Base Oficial)"))</f>
        <v/>
      </c>
      <c r="E211" s="5" t="str">
        <f>IF($L211="","",COUNTIFS('Base Exámenes'!$C$5:$C$1000,INDEX('Base Exámenes'!$C:$C,$L211),'Base Exámenes'!$D$5:$D$1000,"&lt;="&amp;INDEX('Base Exámenes'!$D:$D,$L211)))</f>
        <v/>
      </c>
      <c r="F211" s="23" t="str">
        <f>IF($L211="","",INDEX('Base Exámenes'!$D:$D,$L211))</f>
        <v/>
      </c>
      <c r="G211" s="23" t="str">
        <f>IF($L211="","",INDEX('Base Exámenes'!$E:$E,$L211))</f>
        <v/>
      </c>
      <c r="H211" s="24" t="str">
        <f>IF($L211="","",INDEX('Base Exámenes'!$F:$F,$L211))</f>
        <v/>
      </c>
      <c r="I211" s="5" t="str">
        <f>IF($L211="","",INDEX('Base Exámenes'!$G:$G,$L211))</f>
        <v/>
      </c>
      <c r="J211" s="5" t="str">
        <f>IF($L211="","",IF($L211-4=MATCH(INDEX('Base Exámenes'!$C:$C,$L211)&amp;"|"&amp;_xlfn.MAXIFS('Base Exámenes'!$G$5:$G$1000,'Base Exámenes'!$C$5:$C$1000,INDEX('Base Exámenes'!$C:$C,$L211)),'Base Exámenes'!$I$5:$I$1000,0),"Sí",""))</f>
        <v/>
      </c>
      <c r="L211" t="str">
        <f>IFERROR(MATCH(SMALL(Cálculos!$AQ$5:$AQ$1000,207),Cálculos!$AQ$5:$AQ$1000,0)+4,"")</f>
        <v/>
      </c>
    </row>
    <row r="212">
      <c r="A212" s="5" t="str">
        <f>IF($L212="","",TRIM(INDEX('Base Exámenes'!$C:$C,$L212)))</f>
        <v/>
      </c>
      <c r="B212" s="5" t="str">
        <f>IF($L212="","",IFERROR(INDEX('Detalle individual'!$B:$B,MATCH($A212,'Detalle individual'!$A:$A,0)),TRIM(INDEX('Base Exámenes'!$A:$A,$L212))))</f>
        <v/>
      </c>
      <c r="C212" s="5" t="str">
        <f>IF($L212="","",IFERROR(INDEX('Detalle individual'!$C:$C,MATCH($A212,'Detalle individual'!$A:$A,0)),TRIM(INDEX('Base Exámenes'!$B:$B,$L212))))</f>
        <v/>
      </c>
      <c r="D212" s="5" t="str">
        <f>IF($L212="","",IFERROR(INDEX('Detalle individual'!$D:$D,MATCH($A212,'Detalle individual'!$A:$A,0)),"(no está en Base Oficial)"))</f>
        <v/>
      </c>
      <c r="E212" s="5" t="str">
        <f>IF($L212="","",COUNTIFS('Base Exámenes'!$C$5:$C$1000,INDEX('Base Exámenes'!$C:$C,$L212),'Base Exámenes'!$D$5:$D$1000,"&lt;="&amp;INDEX('Base Exámenes'!$D:$D,$L212)))</f>
        <v/>
      </c>
      <c r="F212" s="23" t="str">
        <f>IF($L212="","",INDEX('Base Exámenes'!$D:$D,$L212))</f>
        <v/>
      </c>
      <c r="G212" s="23" t="str">
        <f>IF($L212="","",INDEX('Base Exámenes'!$E:$E,$L212))</f>
        <v/>
      </c>
      <c r="H212" s="24" t="str">
        <f>IF($L212="","",INDEX('Base Exámenes'!$F:$F,$L212))</f>
        <v/>
      </c>
      <c r="I212" s="5" t="str">
        <f>IF($L212="","",INDEX('Base Exámenes'!$G:$G,$L212))</f>
        <v/>
      </c>
      <c r="J212" s="5" t="str">
        <f>IF($L212="","",IF($L212-4=MATCH(INDEX('Base Exámenes'!$C:$C,$L212)&amp;"|"&amp;_xlfn.MAXIFS('Base Exámenes'!$G$5:$G$1000,'Base Exámenes'!$C$5:$C$1000,INDEX('Base Exámenes'!$C:$C,$L212)),'Base Exámenes'!$I$5:$I$1000,0),"Sí",""))</f>
        <v/>
      </c>
      <c r="L212" t="str">
        <f>IFERROR(MATCH(SMALL(Cálculos!$AQ$5:$AQ$1000,208),Cálculos!$AQ$5:$AQ$1000,0)+4,"")</f>
        <v/>
      </c>
    </row>
    <row r="213">
      <c r="A213" s="5" t="str">
        <f>IF($L213="","",TRIM(INDEX('Base Exámenes'!$C:$C,$L213)))</f>
        <v/>
      </c>
      <c r="B213" s="5" t="str">
        <f>IF($L213="","",IFERROR(INDEX('Detalle individual'!$B:$B,MATCH($A213,'Detalle individual'!$A:$A,0)),TRIM(INDEX('Base Exámenes'!$A:$A,$L213))))</f>
        <v/>
      </c>
      <c r="C213" s="5" t="str">
        <f>IF($L213="","",IFERROR(INDEX('Detalle individual'!$C:$C,MATCH($A213,'Detalle individual'!$A:$A,0)),TRIM(INDEX('Base Exámenes'!$B:$B,$L213))))</f>
        <v/>
      </c>
      <c r="D213" s="5" t="str">
        <f>IF($L213="","",IFERROR(INDEX('Detalle individual'!$D:$D,MATCH($A213,'Detalle individual'!$A:$A,0)),"(no está en Base Oficial)"))</f>
        <v/>
      </c>
      <c r="E213" s="5" t="str">
        <f>IF($L213="","",COUNTIFS('Base Exámenes'!$C$5:$C$1000,INDEX('Base Exámenes'!$C:$C,$L213),'Base Exámenes'!$D$5:$D$1000,"&lt;="&amp;INDEX('Base Exámenes'!$D:$D,$L213)))</f>
        <v/>
      </c>
      <c r="F213" s="23" t="str">
        <f>IF($L213="","",INDEX('Base Exámenes'!$D:$D,$L213))</f>
        <v/>
      </c>
      <c r="G213" s="23" t="str">
        <f>IF($L213="","",INDEX('Base Exámenes'!$E:$E,$L213))</f>
        <v/>
      </c>
      <c r="H213" s="24" t="str">
        <f>IF($L213="","",INDEX('Base Exámenes'!$F:$F,$L213))</f>
        <v/>
      </c>
      <c r="I213" s="5" t="str">
        <f>IF($L213="","",INDEX('Base Exámenes'!$G:$G,$L213))</f>
        <v/>
      </c>
      <c r="J213" s="5" t="str">
        <f>IF($L213="","",IF($L213-4=MATCH(INDEX('Base Exámenes'!$C:$C,$L213)&amp;"|"&amp;_xlfn.MAXIFS('Base Exámenes'!$G$5:$G$1000,'Base Exámenes'!$C$5:$C$1000,INDEX('Base Exámenes'!$C:$C,$L213)),'Base Exámenes'!$I$5:$I$1000,0),"Sí",""))</f>
        <v/>
      </c>
      <c r="L213" t="str">
        <f>IFERROR(MATCH(SMALL(Cálculos!$AQ$5:$AQ$1000,209),Cálculos!$AQ$5:$AQ$1000,0)+4,"")</f>
        <v/>
      </c>
    </row>
    <row r="214">
      <c r="A214" s="5" t="str">
        <f>IF($L214="","",TRIM(INDEX('Base Exámenes'!$C:$C,$L214)))</f>
        <v/>
      </c>
      <c r="B214" s="5" t="str">
        <f>IF($L214="","",IFERROR(INDEX('Detalle individual'!$B:$B,MATCH($A214,'Detalle individual'!$A:$A,0)),TRIM(INDEX('Base Exámenes'!$A:$A,$L214))))</f>
        <v/>
      </c>
      <c r="C214" s="5" t="str">
        <f>IF($L214="","",IFERROR(INDEX('Detalle individual'!$C:$C,MATCH($A214,'Detalle individual'!$A:$A,0)),TRIM(INDEX('Base Exámenes'!$B:$B,$L214))))</f>
        <v/>
      </c>
      <c r="D214" s="5" t="str">
        <f>IF($L214="","",IFERROR(INDEX('Detalle individual'!$D:$D,MATCH($A214,'Detalle individual'!$A:$A,0)),"(no está en Base Oficial)"))</f>
        <v/>
      </c>
      <c r="E214" s="5" t="str">
        <f>IF($L214="","",COUNTIFS('Base Exámenes'!$C$5:$C$1000,INDEX('Base Exámenes'!$C:$C,$L214),'Base Exámenes'!$D$5:$D$1000,"&lt;="&amp;INDEX('Base Exámenes'!$D:$D,$L214)))</f>
        <v/>
      </c>
      <c r="F214" s="23" t="str">
        <f>IF($L214="","",INDEX('Base Exámenes'!$D:$D,$L214))</f>
        <v/>
      </c>
      <c r="G214" s="23" t="str">
        <f>IF($L214="","",INDEX('Base Exámenes'!$E:$E,$L214))</f>
        <v/>
      </c>
      <c r="H214" s="24" t="str">
        <f>IF($L214="","",INDEX('Base Exámenes'!$F:$F,$L214))</f>
        <v/>
      </c>
      <c r="I214" s="5" t="str">
        <f>IF($L214="","",INDEX('Base Exámenes'!$G:$G,$L214))</f>
        <v/>
      </c>
      <c r="J214" s="5" t="str">
        <f>IF($L214="","",IF($L214-4=MATCH(INDEX('Base Exámenes'!$C:$C,$L214)&amp;"|"&amp;_xlfn.MAXIFS('Base Exámenes'!$G$5:$G$1000,'Base Exámenes'!$C$5:$C$1000,INDEX('Base Exámenes'!$C:$C,$L214)),'Base Exámenes'!$I$5:$I$1000,0),"Sí",""))</f>
        <v/>
      </c>
      <c r="L214" t="str">
        <f>IFERROR(MATCH(SMALL(Cálculos!$AQ$5:$AQ$1000,210),Cálculos!$AQ$5:$AQ$1000,0)+4,"")</f>
        <v/>
      </c>
    </row>
    <row r="215">
      <c r="A215" s="5" t="str">
        <f>IF($L215="","",TRIM(INDEX('Base Exámenes'!$C:$C,$L215)))</f>
        <v/>
      </c>
      <c r="B215" s="5" t="str">
        <f>IF($L215="","",IFERROR(INDEX('Detalle individual'!$B:$B,MATCH($A215,'Detalle individual'!$A:$A,0)),TRIM(INDEX('Base Exámenes'!$A:$A,$L215))))</f>
        <v/>
      </c>
      <c r="C215" s="5" t="str">
        <f>IF($L215="","",IFERROR(INDEX('Detalle individual'!$C:$C,MATCH($A215,'Detalle individual'!$A:$A,0)),TRIM(INDEX('Base Exámenes'!$B:$B,$L215))))</f>
        <v/>
      </c>
      <c r="D215" s="5" t="str">
        <f>IF($L215="","",IFERROR(INDEX('Detalle individual'!$D:$D,MATCH($A215,'Detalle individual'!$A:$A,0)),"(no está en Base Oficial)"))</f>
        <v/>
      </c>
      <c r="E215" s="5" t="str">
        <f>IF($L215="","",COUNTIFS('Base Exámenes'!$C$5:$C$1000,INDEX('Base Exámenes'!$C:$C,$L215),'Base Exámenes'!$D$5:$D$1000,"&lt;="&amp;INDEX('Base Exámenes'!$D:$D,$L215)))</f>
        <v/>
      </c>
      <c r="F215" s="23" t="str">
        <f>IF($L215="","",INDEX('Base Exámenes'!$D:$D,$L215))</f>
        <v/>
      </c>
      <c r="G215" s="23" t="str">
        <f>IF($L215="","",INDEX('Base Exámenes'!$E:$E,$L215))</f>
        <v/>
      </c>
      <c r="H215" s="24" t="str">
        <f>IF($L215="","",INDEX('Base Exámenes'!$F:$F,$L215))</f>
        <v/>
      </c>
      <c r="I215" s="5" t="str">
        <f>IF($L215="","",INDEX('Base Exámenes'!$G:$G,$L215))</f>
        <v/>
      </c>
      <c r="J215" s="5" t="str">
        <f>IF($L215="","",IF($L215-4=MATCH(INDEX('Base Exámenes'!$C:$C,$L215)&amp;"|"&amp;_xlfn.MAXIFS('Base Exámenes'!$G$5:$G$1000,'Base Exámenes'!$C$5:$C$1000,INDEX('Base Exámenes'!$C:$C,$L215)),'Base Exámenes'!$I$5:$I$1000,0),"Sí",""))</f>
        <v/>
      </c>
      <c r="L215" t="str">
        <f>IFERROR(MATCH(SMALL(Cálculos!$AQ$5:$AQ$1000,211),Cálculos!$AQ$5:$AQ$1000,0)+4,"")</f>
        <v/>
      </c>
    </row>
    <row r="216">
      <c r="A216" s="5" t="str">
        <f>IF($L216="","",TRIM(INDEX('Base Exámenes'!$C:$C,$L216)))</f>
        <v/>
      </c>
      <c r="B216" s="5" t="str">
        <f>IF($L216="","",IFERROR(INDEX('Detalle individual'!$B:$B,MATCH($A216,'Detalle individual'!$A:$A,0)),TRIM(INDEX('Base Exámenes'!$A:$A,$L216))))</f>
        <v/>
      </c>
      <c r="C216" s="5" t="str">
        <f>IF($L216="","",IFERROR(INDEX('Detalle individual'!$C:$C,MATCH($A216,'Detalle individual'!$A:$A,0)),TRIM(INDEX('Base Exámenes'!$B:$B,$L216))))</f>
        <v/>
      </c>
      <c r="D216" s="5" t="str">
        <f>IF($L216="","",IFERROR(INDEX('Detalle individual'!$D:$D,MATCH($A216,'Detalle individual'!$A:$A,0)),"(no está en Base Oficial)"))</f>
        <v/>
      </c>
      <c r="E216" s="5" t="str">
        <f>IF($L216="","",COUNTIFS('Base Exámenes'!$C$5:$C$1000,INDEX('Base Exámenes'!$C:$C,$L216),'Base Exámenes'!$D$5:$D$1000,"&lt;="&amp;INDEX('Base Exámenes'!$D:$D,$L216)))</f>
        <v/>
      </c>
      <c r="F216" s="23" t="str">
        <f>IF($L216="","",INDEX('Base Exámenes'!$D:$D,$L216))</f>
        <v/>
      </c>
      <c r="G216" s="23" t="str">
        <f>IF($L216="","",INDEX('Base Exámenes'!$E:$E,$L216))</f>
        <v/>
      </c>
      <c r="H216" s="24" t="str">
        <f>IF($L216="","",INDEX('Base Exámenes'!$F:$F,$L216))</f>
        <v/>
      </c>
      <c r="I216" s="5" t="str">
        <f>IF($L216="","",INDEX('Base Exámenes'!$G:$G,$L216))</f>
        <v/>
      </c>
      <c r="J216" s="5" t="str">
        <f>IF($L216="","",IF($L216-4=MATCH(INDEX('Base Exámenes'!$C:$C,$L216)&amp;"|"&amp;_xlfn.MAXIFS('Base Exámenes'!$G$5:$G$1000,'Base Exámenes'!$C$5:$C$1000,INDEX('Base Exámenes'!$C:$C,$L216)),'Base Exámenes'!$I$5:$I$1000,0),"Sí",""))</f>
        <v/>
      </c>
      <c r="L216" t="str">
        <f>IFERROR(MATCH(SMALL(Cálculos!$AQ$5:$AQ$1000,212),Cálculos!$AQ$5:$AQ$1000,0)+4,"")</f>
        <v/>
      </c>
    </row>
    <row r="217">
      <c r="A217" s="5" t="str">
        <f>IF($L217="","",TRIM(INDEX('Base Exámenes'!$C:$C,$L217)))</f>
        <v/>
      </c>
      <c r="B217" s="5" t="str">
        <f>IF($L217="","",IFERROR(INDEX('Detalle individual'!$B:$B,MATCH($A217,'Detalle individual'!$A:$A,0)),TRIM(INDEX('Base Exámenes'!$A:$A,$L217))))</f>
        <v/>
      </c>
      <c r="C217" s="5" t="str">
        <f>IF($L217="","",IFERROR(INDEX('Detalle individual'!$C:$C,MATCH($A217,'Detalle individual'!$A:$A,0)),TRIM(INDEX('Base Exámenes'!$B:$B,$L217))))</f>
        <v/>
      </c>
      <c r="D217" s="5" t="str">
        <f>IF($L217="","",IFERROR(INDEX('Detalle individual'!$D:$D,MATCH($A217,'Detalle individual'!$A:$A,0)),"(no está en Base Oficial)"))</f>
        <v/>
      </c>
      <c r="E217" s="5" t="str">
        <f>IF($L217="","",COUNTIFS('Base Exámenes'!$C$5:$C$1000,INDEX('Base Exámenes'!$C:$C,$L217),'Base Exámenes'!$D$5:$D$1000,"&lt;="&amp;INDEX('Base Exámenes'!$D:$D,$L217)))</f>
        <v/>
      </c>
      <c r="F217" s="23" t="str">
        <f>IF($L217="","",INDEX('Base Exámenes'!$D:$D,$L217))</f>
        <v/>
      </c>
      <c r="G217" s="23" t="str">
        <f>IF($L217="","",INDEX('Base Exámenes'!$E:$E,$L217))</f>
        <v/>
      </c>
      <c r="H217" s="24" t="str">
        <f>IF($L217="","",INDEX('Base Exámenes'!$F:$F,$L217))</f>
        <v/>
      </c>
      <c r="I217" s="5" t="str">
        <f>IF($L217="","",INDEX('Base Exámenes'!$G:$G,$L217))</f>
        <v/>
      </c>
      <c r="J217" s="5" t="str">
        <f>IF($L217="","",IF($L217-4=MATCH(INDEX('Base Exámenes'!$C:$C,$L217)&amp;"|"&amp;_xlfn.MAXIFS('Base Exámenes'!$G$5:$G$1000,'Base Exámenes'!$C$5:$C$1000,INDEX('Base Exámenes'!$C:$C,$L217)),'Base Exámenes'!$I$5:$I$1000,0),"Sí",""))</f>
        <v/>
      </c>
      <c r="L217" t="str">
        <f>IFERROR(MATCH(SMALL(Cálculos!$AQ$5:$AQ$1000,213),Cálculos!$AQ$5:$AQ$1000,0)+4,"")</f>
        <v/>
      </c>
    </row>
    <row r="218">
      <c r="A218" s="5" t="str">
        <f>IF($L218="","",TRIM(INDEX('Base Exámenes'!$C:$C,$L218)))</f>
        <v/>
      </c>
      <c r="B218" s="5" t="str">
        <f>IF($L218="","",IFERROR(INDEX('Detalle individual'!$B:$B,MATCH($A218,'Detalle individual'!$A:$A,0)),TRIM(INDEX('Base Exámenes'!$A:$A,$L218))))</f>
        <v/>
      </c>
      <c r="C218" s="5" t="str">
        <f>IF($L218="","",IFERROR(INDEX('Detalle individual'!$C:$C,MATCH($A218,'Detalle individual'!$A:$A,0)),TRIM(INDEX('Base Exámenes'!$B:$B,$L218))))</f>
        <v/>
      </c>
      <c r="D218" s="5" t="str">
        <f>IF($L218="","",IFERROR(INDEX('Detalle individual'!$D:$D,MATCH($A218,'Detalle individual'!$A:$A,0)),"(no está en Base Oficial)"))</f>
        <v/>
      </c>
      <c r="E218" s="5" t="str">
        <f>IF($L218="","",COUNTIFS('Base Exámenes'!$C$5:$C$1000,INDEX('Base Exámenes'!$C:$C,$L218),'Base Exámenes'!$D$5:$D$1000,"&lt;="&amp;INDEX('Base Exámenes'!$D:$D,$L218)))</f>
        <v/>
      </c>
      <c r="F218" s="23" t="str">
        <f>IF($L218="","",INDEX('Base Exámenes'!$D:$D,$L218))</f>
        <v/>
      </c>
      <c r="G218" s="23" t="str">
        <f>IF($L218="","",INDEX('Base Exámenes'!$E:$E,$L218))</f>
        <v/>
      </c>
      <c r="H218" s="24" t="str">
        <f>IF($L218="","",INDEX('Base Exámenes'!$F:$F,$L218))</f>
        <v/>
      </c>
      <c r="I218" s="5" t="str">
        <f>IF($L218="","",INDEX('Base Exámenes'!$G:$G,$L218))</f>
        <v/>
      </c>
      <c r="J218" s="5" t="str">
        <f>IF($L218="","",IF($L218-4=MATCH(INDEX('Base Exámenes'!$C:$C,$L218)&amp;"|"&amp;_xlfn.MAXIFS('Base Exámenes'!$G$5:$G$1000,'Base Exámenes'!$C$5:$C$1000,INDEX('Base Exámenes'!$C:$C,$L218)),'Base Exámenes'!$I$5:$I$1000,0),"Sí",""))</f>
        <v/>
      </c>
      <c r="L218" t="str">
        <f>IFERROR(MATCH(SMALL(Cálculos!$AQ$5:$AQ$1000,214),Cálculos!$AQ$5:$AQ$1000,0)+4,"")</f>
        <v/>
      </c>
    </row>
    <row r="219">
      <c r="A219" s="5" t="str">
        <f>IF($L219="","",TRIM(INDEX('Base Exámenes'!$C:$C,$L219)))</f>
        <v/>
      </c>
      <c r="B219" s="5" t="str">
        <f>IF($L219="","",IFERROR(INDEX('Detalle individual'!$B:$B,MATCH($A219,'Detalle individual'!$A:$A,0)),TRIM(INDEX('Base Exámenes'!$A:$A,$L219))))</f>
        <v/>
      </c>
      <c r="C219" s="5" t="str">
        <f>IF($L219="","",IFERROR(INDEX('Detalle individual'!$C:$C,MATCH($A219,'Detalle individual'!$A:$A,0)),TRIM(INDEX('Base Exámenes'!$B:$B,$L219))))</f>
        <v/>
      </c>
      <c r="D219" s="5" t="str">
        <f>IF($L219="","",IFERROR(INDEX('Detalle individual'!$D:$D,MATCH($A219,'Detalle individual'!$A:$A,0)),"(no está en Base Oficial)"))</f>
        <v/>
      </c>
      <c r="E219" s="5" t="str">
        <f>IF($L219="","",COUNTIFS('Base Exámenes'!$C$5:$C$1000,INDEX('Base Exámenes'!$C:$C,$L219),'Base Exámenes'!$D$5:$D$1000,"&lt;="&amp;INDEX('Base Exámenes'!$D:$D,$L219)))</f>
        <v/>
      </c>
      <c r="F219" s="23" t="str">
        <f>IF($L219="","",INDEX('Base Exámenes'!$D:$D,$L219))</f>
        <v/>
      </c>
      <c r="G219" s="23" t="str">
        <f>IF($L219="","",INDEX('Base Exámenes'!$E:$E,$L219))</f>
        <v/>
      </c>
      <c r="H219" s="24" t="str">
        <f>IF($L219="","",INDEX('Base Exámenes'!$F:$F,$L219))</f>
        <v/>
      </c>
      <c r="I219" s="5" t="str">
        <f>IF($L219="","",INDEX('Base Exámenes'!$G:$G,$L219))</f>
        <v/>
      </c>
      <c r="J219" s="5" t="str">
        <f>IF($L219="","",IF($L219-4=MATCH(INDEX('Base Exámenes'!$C:$C,$L219)&amp;"|"&amp;_xlfn.MAXIFS('Base Exámenes'!$G$5:$G$1000,'Base Exámenes'!$C$5:$C$1000,INDEX('Base Exámenes'!$C:$C,$L219)),'Base Exámenes'!$I$5:$I$1000,0),"Sí",""))</f>
        <v/>
      </c>
      <c r="L219" t="str">
        <f>IFERROR(MATCH(SMALL(Cálculos!$AQ$5:$AQ$1000,215),Cálculos!$AQ$5:$AQ$1000,0)+4,"")</f>
        <v/>
      </c>
    </row>
    <row r="220">
      <c r="A220" s="5" t="str">
        <f>IF($L220="","",TRIM(INDEX('Base Exámenes'!$C:$C,$L220)))</f>
        <v/>
      </c>
      <c r="B220" s="5" t="str">
        <f>IF($L220="","",IFERROR(INDEX('Detalle individual'!$B:$B,MATCH($A220,'Detalle individual'!$A:$A,0)),TRIM(INDEX('Base Exámenes'!$A:$A,$L220))))</f>
        <v/>
      </c>
      <c r="C220" s="5" t="str">
        <f>IF($L220="","",IFERROR(INDEX('Detalle individual'!$C:$C,MATCH($A220,'Detalle individual'!$A:$A,0)),TRIM(INDEX('Base Exámenes'!$B:$B,$L220))))</f>
        <v/>
      </c>
      <c r="D220" s="5" t="str">
        <f>IF($L220="","",IFERROR(INDEX('Detalle individual'!$D:$D,MATCH($A220,'Detalle individual'!$A:$A,0)),"(no está en Base Oficial)"))</f>
        <v/>
      </c>
      <c r="E220" s="5" t="str">
        <f>IF($L220="","",COUNTIFS('Base Exámenes'!$C$5:$C$1000,INDEX('Base Exámenes'!$C:$C,$L220),'Base Exámenes'!$D$5:$D$1000,"&lt;="&amp;INDEX('Base Exámenes'!$D:$D,$L220)))</f>
        <v/>
      </c>
      <c r="F220" s="23" t="str">
        <f>IF($L220="","",INDEX('Base Exámenes'!$D:$D,$L220))</f>
        <v/>
      </c>
      <c r="G220" s="23" t="str">
        <f>IF($L220="","",INDEX('Base Exámenes'!$E:$E,$L220))</f>
        <v/>
      </c>
      <c r="H220" s="24" t="str">
        <f>IF($L220="","",INDEX('Base Exámenes'!$F:$F,$L220))</f>
        <v/>
      </c>
      <c r="I220" s="5" t="str">
        <f>IF($L220="","",INDEX('Base Exámenes'!$G:$G,$L220))</f>
        <v/>
      </c>
      <c r="J220" s="5" t="str">
        <f>IF($L220="","",IF($L220-4=MATCH(INDEX('Base Exámenes'!$C:$C,$L220)&amp;"|"&amp;_xlfn.MAXIFS('Base Exámenes'!$G$5:$G$1000,'Base Exámenes'!$C$5:$C$1000,INDEX('Base Exámenes'!$C:$C,$L220)),'Base Exámenes'!$I$5:$I$1000,0),"Sí",""))</f>
        <v/>
      </c>
      <c r="L220" t="str">
        <f>IFERROR(MATCH(SMALL(Cálculos!$AQ$5:$AQ$1000,216),Cálculos!$AQ$5:$AQ$1000,0)+4,"")</f>
        <v/>
      </c>
    </row>
    <row r="221">
      <c r="A221" s="5" t="str">
        <f>IF($L221="","",TRIM(INDEX('Base Exámenes'!$C:$C,$L221)))</f>
        <v/>
      </c>
      <c r="B221" s="5" t="str">
        <f>IF($L221="","",IFERROR(INDEX('Detalle individual'!$B:$B,MATCH($A221,'Detalle individual'!$A:$A,0)),TRIM(INDEX('Base Exámenes'!$A:$A,$L221))))</f>
        <v/>
      </c>
      <c r="C221" s="5" t="str">
        <f>IF($L221="","",IFERROR(INDEX('Detalle individual'!$C:$C,MATCH($A221,'Detalle individual'!$A:$A,0)),TRIM(INDEX('Base Exámenes'!$B:$B,$L221))))</f>
        <v/>
      </c>
      <c r="D221" s="5" t="str">
        <f>IF($L221="","",IFERROR(INDEX('Detalle individual'!$D:$D,MATCH($A221,'Detalle individual'!$A:$A,0)),"(no está en Base Oficial)"))</f>
        <v/>
      </c>
      <c r="E221" s="5" t="str">
        <f>IF($L221="","",COUNTIFS('Base Exámenes'!$C$5:$C$1000,INDEX('Base Exámenes'!$C:$C,$L221),'Base Exámenes'!$D$5:$D$1000,"&lt;="&amp;INDEX('Base Exámenes'!$D:$D,$L221)))</f>
        <v/>
      </c>
      <c r="F221" s="23" t="str">
        <f>IF($L221="","",INDEX('Base Exámenes'!$D:$D,$L221))</f>
        <v/>
      </c>
      <c r="G221" s="23" t="str">
        <f>IF($L221="","",INDEX('Base Exámenes'!$E:$E,$L221))</f>
        <v/>
      </c>
      <c r="H221" s="24" t="str">
        <f>IF($L221="","",INDEX('Base Exámenes'!$F:$F,$L221))</f>
        <v/>
      </c>
      <c r="I221" s="5" t="str">
        <f>IF($L221="","",INDEX('Base Exámenes'!$G:$G,$L221))</f>
        <v/>
      </c>
      <c r="J221" s="5" t="str">
        <f>IF($L221="","",IF($L221-4=MATCH(INDEX('Base Exámenes'!$C:$C,$L221)&amp;"|"&amp;_xlfn.MAXIFS('Base Exámenes'!$G$5:$G$1000,'Base Exámenes'!$C$5:$C$1000,INDEX('Base Exámenes'!$C:$C,$L221)),'Base Exámenes'!$I$5:$I$1000,0),"Sí",""))</f>
        <v/>
      </c>
      <c r="L221" t="str">
        <f>IFERROR(MATCH(SMALL(Cálculos!$AQ$5:$AQ$1000,217),Cálculos!$AQ$5:$AQ$1000,0)+4,"")</f>
        <v/>
      </c>
    </row>
    <row r="222">
      <c r="A222" s="5" t="str">
        <f>IF($L222="","",TRIM(INDEX('Base Exámenes'!$C:$C,$L222)))</f>
        <v/>
      </c>
      <c r="B222" s="5" t="str">
        <f>IF($L222="","",IFERROR(INDEX('Detalle individual'!$B:$B,MATCH($A222,'Detalle individual'!$A:$A,0)),TRIM(INDEX('Base Exámenes'!$A:$A,$L222))))</f>
        <v/>
      </c>
      <c r="C222" s="5" t="str">
        <f>IF($L222="","",IFERROR(INDEX('Detalle individual'!$C:$C,MATCH($A222,'Detalle individual'!$A:$A,0)),TRIM(INDEX('Base Exámenes'!$B:$B,$L222))))</f>
        <v/>
      </c>
      <c r="D222" s="5" t="str">
        <f>IF($L222="","",IFERROR(INDEX('Detalle individual'!$D:$D,MATCH($A222,'Detalle individual'!$A:$A,0)),"(no está en Base Oficial)"))</f>
        <v/>
      </c>
      <c r="E222" s="5" t="str">
        <f>IF($L222="","",COUNTIFS('Base Exámenes'!$C$5:$C$1000,INDEX('Base Exámenes'!$C:$C,$L222),'Base Exámenes'!$D$5:$D$1000,"&lt;="&amp;INDEX('Base Exámenes'!$D:$D,$L222)))</f>
        <v/>
      </c>
      <c r="F222" s="23" t="str">
        <f>IF($L222="","",INDEX('Base Exámenes'!$D:$D,$L222))</f>
        <v/>
      </c>
      <c r="G222" s="23" t="str">
        <f>IF($L222="","",INDEX('Base Exámenes'!$E:$E,$L222))</f>
        <v/>
      </c>
      <c r="H222" s="24" t="str">
        <f>IF($L222="","",INDEX('Base Exámenes'!$F:$F,$L222))</f>
        <v/>
      </c>
      <c r="I222" s="5" t="str">
        <f>IF($L222="","",INDEX('Base Exámenes'!$G:$G,$L222))</f>
        <v/>
      </c>
      <c r="J222" s="5" t="str">
        <f>IF($L222="","",IF($L222-4=MATCH(INDEX('Base Exámenes'!$C:$C,$L222)&amp;"|"&amp;_xlfn.MAXIFS('Base Exámenes'!$G$5:$G$1000,'Base Exámenes'!$C$5:$C$1000,INDEX('Base Exámenes'!$C:$C,$L222)),'Base Exámenes'!$I$5:$I$1000,0),"Sí",""))</f>
        <v/>
      </c>
      <c r="L222" t="str">
        <f>IFERROR(MATCH(SMALL(Cálculos!$AQ$5:$AQ$1000,218),Cálculos!$AQ$5:$AQ$1000,0)+4,"")</f>
        <v/>
      </c>
    </row>
    <row r="223">
      <c r="A223" s="5" t="str">
        <f>IF($L223="","",TRIM(INDEX('Base Exámenes'!$C:$C,$L223)))</f>
        <v/>
      </c>
      <c r="B223" s="5" t="str">
        <f>IF($L223="","",IFERROR(INDEX('Detalle individual'!$B:$B,MATCH($A223,'Detalle individual'!$A:$A,0)),TRIM(INDEX('Base Exámenes'!$A:$A,$L223))))</f>
        <v/>
      </c>
      <c r="C223" s="5" t="str">
        <f>IF($L223="","",IFERROR(INDEX('Detalle individual'!$C:$C,MATCH($A223,'Detalle individual'!$A:$A,0)),TRIM(INDEX('Base Exámenes'!$B:$B,$L223))))</f>
        <v/>
      </c>
      <c r="D223" s="5" t="str">
        <f>IF($L223="","",IFERROR(INDEX('Detalle individual'!$D:$D,MATCH($A223,'Detalle individual'!$A:$A,0)),"(no está en Base Oficial)"))</f>
        <v/>
      </c>
      <c r="E223" s="5" t="str">
        <f>IF($L223="","",COUNTIFS('Base Exámenes'!$C$5:$C$1000,INDEX('Base Exámenes'!$C:$C,$L223),'Base Exámenes'!$D$5:$D$1000,"&lt;="&amp;INDEX('Base Exámenes'!$D:$D,$L223)))</f>
        <v/>
      </c>
      <c r="F223" s="23" t="str">
        <f>IF($L223="","",INDEX('Base Exámenes'!$D:$D,$L223))</f>
        <v/>
      </c>
      <c r="G223" s="23" t="str">
        <f>IF($L223="","",INDEX('Base Exámenes'!$E:$E,$L223))</f>
        <v/>
      </c>
      <c r="H223" s="24" t="str">
        <f>IF($L223="","",INDEX('Base Exámenes'!$F:$F,$L223))</f>
        <v/>
      </c>
      <c r="I223" s="5" t="str">
        <f>IF($L223="","",INDEX('Base Exámenes'!$G:$G,$L223))</f>
        <v/>
      </c>
      <c r="J223" s="5" t="str">
        <f>IF($L223="","",IF($L223-4=MATCH(INDEX('Base Exámenes'!$C:$C,$L223)&amp;"|"&amp;_xlfn.MAXIFS('Base Exámenes'!$G$5:$G$1000,'Base Exámenes'!$C$5:$C$1000,INDEX('Base Exámenes'!$C:$C,$L223)),'Base Exámenes'!$I$5:$I$1000,0),"Sí",""))</f>
        <v/>
      </c>
      <c r="L223" t="str">
        <f>IFERROR(MATCH(SMALL(Cálculos!$AQ$5:$AQ$1000,219),Cálculos!$AQ$5:$AQ$1000,0)+4,"")</f>
        <v/>
      </c>
    </row>
    <row r="224">
      <c r="A224" s="5" t="str">
        <f>IF($L224="","",TRIM(INDEX('Base Exámenes'!$C:$C,$L224)))</f>
        <v/>
      </c>
      <c r="B224" s="5" t="str">
        <f>IF($L224="","",IFERROR(INDEX('Detalle individual'!$B:$B,MATCH($A224,'Detalle individual'!$A:$A,0)),TRIM(INDEX('Base Exámenes'!$A:$A,$L224))))</f>
        <v/>
      </c>
      <c r="C224" s="5" t="str">
        <f>IF($L224="","",IFERROR(INDEX('Detalle individual'!$C:$C,MATCH($A224,'Detalle individual'!$A:$A,0)),TRIM(INDEX('Base Exámenes'!$B:$B,$L224))))</f>
        <v/>
      </c>
      <c r="D224" s="5" t="str">
        <f>IF($L224="","",IFERROR(INDEX('Detalle individual'!$D:$D,MATCH($A224,'Detalle individual'!$A:$A,0)),"(no está en Base Oficial)"))</f>
        <v/>
      </c>
      <c r="E224" s="5" t="str">
        <f>IF($L224="","",COUNTIFS('Base Exámenes'!$C$5:$C$1000,INDEX('Base Exámenes'!$C:$C,$L224),'Base Exámenes'!$D$5:$D$1000,"&lt;="&amp;INDEX('Base Exámenes'!$D:$D,$L224)))</f>
        <v/>
      </c>
      <c r="F224" s="23" t="str">
        <f>IF($L224="","",INDEX('Base Exámenes'!$D:$D,$L224))</f>
        <v/>
      </c>
      <c r="G224" s="23" t="str">
        <f>IF($L224="","",INDEX('Base Exámenes'!$E:$E,$L224))</f>
        <v/>
      </c>
      <c r="H224" s="24" t="str">
        <f>IF($L224="","",INDEX('Base Exámenes'!$F:$F,$L224))</f>
        <v/>
      </c>
      <c r="I224" s="5" t="str">
        <f>IF($L224="","",INDEX('Base Exámenes'!$G:$G,$L224))</f>
        <v/>
      </c>
      <c r="J224" s="5" t="str">
        <f>IF($L224="","",IF($L224-4=MATCH(INDEX('Base Exámenes'!$C:$C,$L224)&amp;"|"&amp;_xlfn.MAXIFS('Base Exámenes'!$G$5:$G$1000,'Base Exámenes'!$C$5:$C$1000,INDEX('Base Exámenes'!$C:$C,$L224)),'Base Exámenes'!$I$5:$I$1000,0),"Sí",""))</f>
        <v/>
      </c>
      <c r="L224" t="str">
        <f>IFERROR(MATCH(SMALL(Cálculos!$AQ$5:$AQ$1000,220),Cálculos!$AQ$5:$AQ$1000,0)+4,"")</f>
        <v/>
      </c>
    </row>
    <row r="225">
      <c r="A225" s="5" t="str">
        <f>IF($L225="","",TRIM(INDEX('Base Exámenes'!$C:$C,$L225)))</f>
        <v/>
      </c>
      <c r="B225" s="5" t="str">
        <f>IF($L225="","",IFERROR(INDEX('Detalle individual'!$B:$B,MATCH($A225,'Detalle individual'!$A:$A,0)),TRIM(INDEX('Base Exámenes'!$A:$A,$L225))))</f>
        <v/>
      </c>
      <c r="C225" s="5" t="str">
        <f>IF($L225="","",IFERROR(INDEX('Detalle individual'!$C:$C,MATCH($A225,'Detalle individual'!$A:$A,0)),TRIM(INDEX('Base Exámenes'!$B:$B,$L225))))</f>
        <v/>
      </c>
      <c r="D225" s="5" t="str">
        <f>IF($L225="","",IFERROR(INDEX('Detalle individual'!$D:$D,MATCH($A225,'Detalle individual'!$A:$A,0)),"(no está en Base Oficial)"))</f>
        <v/>
      </c>
      <c r="E225" s="5" t="str">
        <f>IF($L225="","",COUNTIFS('Base Exámenes'!$C$5:$C$1000,INDEX('Base Exámenes'!$C:$C,$L225),'Base Exámenes'!$D$5:$D$1000,"&lt;="&amp;INDEX('Base Exámenes'!$D:$D,$L225)))</f>
        <v/>
      </c>
      <c r="F225" s="23" t="str">
        <f>IF($L225="","",INDEX('Base Exámenes'!$D:$D,$L225))</f>
        <v/>
      </c>
      <c r="G225" s="23" t="str">
        <f>IF($L225="","",INDEX('Base Exámenes'!$E:$E,$L225))</f>
        <v/>
      </c>
      <c r="H225" s="24" t="str">
        <f>IF($L225="","",INDEX('Base Exámenes'!$F:$F,$L225))</f>
        <v/>
      </c>
      <c r="I225" s="5" t="str">
        <f>IF($L225="","",INDEX('Base Exámenes'!$G:$G,$L225))</f>
        <v/>
      </c>
      <c r="J225" s="5" t="str">
        <f>IF($L225="","",IF($L225-4=MATCH(INDEX('Base Exámenes'!$C:$C,$L225)&amp;"|"&amp;_xlfn.MAXIFS('Base Exámenes'!$G$5:$G$1000,'Base Exámenes'!$C$5:$C$1000,INDEX('Base Exámenes'!$C:$C,$L225)),'Base Exámenes'!$I$5:$I$1000,0),"Sí",""))</f>
        <v/>
      </c>
      <c r="L225" t="str">
        <f>IFERROR(MATCH(SMALL(Cálculos!$AQ$5:$AQ$1000,221),Cálculos!$AQ$5:$AQ$1000,0)+4,"")</f>
        <v/>
      </c>
    </row>
    <row r="226">
      <c r="A226" s="5" t="str">
        <f>IF($L226="","",TRIM(INDEX('Base Exámenes'!$C:$C,$L226)))</f>
        <v/>
      </c>
      <c r="B226" s="5" t="str">
        <f>IF($L226="","",IFERROR(INDEX('Detalle individual'!$B:$B,MATCH($A226,'Detalle individual'!$A:$A,0)),TRIM(INDEX('Base Exámenes'!$A:$A,$L226))))</f>
        <v/>
      </c>
      <c r="C226" s="5" t="str">
        <f>IF($L226="","",IFERROR(INDEX('Detalle individual'!$C:$C,MATCH($A226,'Detalle individual'!$A:$A,0)),TRIM(INDEX('Base Exámenes'!$B:$B,$L226))))</f>
        <v/>
      </c>
      <c r="D226" s="5" t="str">
        <f>IF($L226="","",IFERROR(INDEX('Detalle individual'!$D:$D,MATCH($A226,'Detalle individual'!$A:$A,0)),"(no está en Base Oficial)"))</f>
        <v/>
      </c>
      <c r="E226" s="5" t="str">
        <f>IF($L226="","",COUNTIFS('Base Exámenes'!$C$5:$C$1000,INDEX('Base Exámenes'!$C:$C,$L226),'Base Exámenes'!$D$5:$D$1000,"&lt;="&amp;INDEX('Base Exámenes'!$D:$D,$L226)))</f>
        <v/>
      </c>
      <c r="F226" s="23" t="str">
        <f>IF($L226="","",INDEX('Base Exámenes'!$D:$D,$L226))</f>
        <v/>
      </c>
      <c r="G226" s="23" t="str">
        <f>IF($L226="","",INDEX('Base Exámenes'!$E:$E,$L226))</f>
        <v/>
      </c>
      <c r="H226" s="24" t="str">
        <f>IF($L226="","",INDEX('Base Exámenes'!$F:$F,$L226))</f>
        <v/>
      </c>
      <c r="I226" s="5" t="str">
        <f>IF($L226="","",INDEX('Base Exámenes'!$G:$G,$L226))</f>
        <v/>
      </c>
      <c r="J226" s="5" t="str">
        <f>IF($L226="","",IF($L226-4=MATCH(INDEX('Base Exámenes'!$C:$C,$L226)&amp;"|"&amp;_xlfn.MAXIFS('Base Exámenes'!$G$5:$G$1000,'Base Exámenes'!$C$5:$C$1000,INDEX('Base Exámenes'!$C:$C,$L226)),'Base Exámenes'!$I$5:$I$1000,0),"Sí",""))</f>
        <v/>
      </c>
      <c r="L226" t="str">
        <f>IFERROR(MATCH(SMALL(Cálculos!$AQ$5:$AQ$1000,222),Cálculos!$AQ$5:$AQ$1000,0)+4,"")</f>
        <v/>
      </c>
    </row>
    <row r="227">
      <c r="A227" s="5" t="str">
        <f>IF($L227="","",TRIM(INDEX('Base Exámenes'!$C:$C,$L227)))</f>
        <v/>
      </c>
      <c r="B227" s="5" t="str">
        <f>IF($L227="","",IFERROR(INDEX('Detalle individual'!$B:$B,MATCH($A227,'Detalle individual'!$A:$A,0)),TRIM(INDEX('Base Exámenes'!$A:$A,$L227))))</f>
        <v/>
      </c>
      <c r="C227" s="5" t="str">
        <f>IF($L227="","",IFERROR(INDEX('Detalle individual'!$C:$C,MATCH($A227,'Detalle individual'!$A:$A,0)),TRIM(INDEX('Base Exámenes'!$B:$B,$L227))))</f>
        <v/>
      </c>
      <c r="D227" s="5" t="str">
        <f>IF($L227="","",IFERROR(INDEX('Detalle individual'!$D:$D,MATCH($A227,'Detalle individual'!$A:$A,0)),"(no está en Base Oficial)"))</f>
        <v/>
      </c>
      <c r="E227" s="5" t="str">
        <f>IF($L227="","",COUNTIFS('Base Exámenes'!$C$5:$C$1000,INDEX('Base Exámenes'!$C:$C,$L227),'Base Exámenes'!$D$5:$D$1000,"&lt;="&amp;INDEX('Base Exámenes'!$D:$D,$L227)))</f>
        <v/>
      </c>
      <c r="F227" s="23" t="str">
        <f>IF($L227="","",INDEX('Base Exámenes'!$D:$D,$L227))</f>
        <v/>
      </c>
      <c r="G227" s="23" t="str">
        <f>IF($L227="","",INDEX('Base Exámenes'!$E:$E,$L227))</f>
        <v/>
      </c>
      <c r="H227" s="24" t="str">
        <f>IF($L227="","",INDEX('Base Exámenes'!$F:$F,$L227))</f>
        <v/>
      </c>
      <c r="I227" s="5" t="str">
        <f>IF($L227="","",INDEX('Base Exámenes'!$G:$G,$L227))</f>
        <v/>
      </c>
      <c r="J227" s="5" t="str">
        <f>IF($L227="","",IF($L227-4=MATCH(INDEX('Base Exámenes'!$C:$C,$L227)&amp;"|"&amp;_xlfn.MAXIFS('Base Exámenes'!$G$5:$G$1000,'Base Exámenes'!$C$5:$C$1000,INDEX('Base Exámenes'!$C:$C,$L227)),'Base Exámenes'!$I$5:$I$1000,0),"Sí",""))</f>
        <v/>
      </c>
      <c r="L227" t="str">
        <f>IFERROR(MATCH(SMALL(Cálculos!$AQ$5:$AQ$1000,223),Cálculos!$AQ$5:$AQ$1000,0)+4,"")</f>
        <v/>
      </c>
    </row>
    <row r="228">
      <c r="A228" s="5" t="str">
        <f>IF($L228="","",TRIM(INDEX('Base Exámenes'!$C:$C,$L228)))</f>
        <v/>
      </c>
      <c r="B228" s="5" t="str">
        <f>IF($L228="","",IFERROR(INDEX('Detalle individual'!$B:$B,MATCH($A228,'Detalle individual'!$A:$A,0)),TRIM(INDEX('Base Exámenes'!$A:$A,$L228))))</f>
        <v/>
      </c>
      <c r="C228" s="5" t="str">
        <f>IF($L228="","",IFERROR(INDEX('Detalle individual'!$C:$C,MATCH($A228,'Detalle individual'!$A:$A,0)),TRIM(INDEX('Base Exámenes'!$B:$B,$L228))))</f>
        <v/>
      </c>
      <c r="D228" s="5" t="str">
        <f>IF($L228="","",IFERROR(INDEX('Detalle individual'!$D:$D,MATCH($A228,'Detalle individual'!$A:$A,0)),"(no está en Base Oficial)"))</f>
        <v/>
      </c>
      <c r="E228" s="5" t="str">
        <f>IF($L228="","",COUNTIFS('Base Exámenes'!$C$5:$C$1000,INDEX('Base Exámenes'!$C:$C,$L228),'Base Exámenes'!$D$5:$D$1000,"&lt;="&amp;INDEX('Base Exámenes'!$D:$D,$L228)))</f>
        <v/>
      </c>
      <c r="F228" s="23" t="str">
        <f>IF($L228="","",INDEX('Base Exámenes'!$D:$D,$L228))</f>
        <v/>
      </c>
      <c r="G228" s="23" t="str">
        <f>IF($L228="","",INDEX('Base Exámenes'!$E:$E,$L228))</f>
        <v/>
      </c>
      <c r="H228" s="24" t="str">
        <f>IF($L228="","",INDEX('Base Exámenes'!$F:$F,$L228))</f>
        <v/>
      </c>
      <c r="I228" s="5" t="str">
        <f>IF($L228="","",INDEX('Base Exámenes'!$G:$G,$L228))</f>
        <v/>
      </c>
      <c r="J228" s="5" t="str">
        <f>IF($L228="","",IF($L228-4=MATCH(INDEX('Base Exámenes'!$C:$C,$L228)&amp;"|"&amp;_xlfn.MAXIFS('Base Exámenes'!$G$5:$G$1000,'Base Exámenes'!$C$5:$C$1000,INDEX('Base Exámenes'!$C:$C,$L228)),'Base Exámenes'!$I$5:$I$1000,0),"Sí",""))</f>
        <v/>
      </c>
      <c r="L228" t="str">
        <f>IFERROR(MATCH(SMALL(Cálculos!$AQ$5:$AQ$1000,224),Cálculos!$AQ$5:$AQ$1000,0)+4,"")</f>
        <v/>
      </c>
    </row>
    <row r="229">
      <c r="A229" s="5" t="str">
        <f>IF($L229="","",TRIM(INDEX('Base Exámenes'!$C:$C,$L229)))</f>
        <v/>
      </c>
      <c r="B229" s="5" t="str">
        <f>IF($L229="","",IFERROR(INDEX('Detalle individual'!$B:$B,MATCH($A229,'Detalle individual'!$A:$A,0)),TRIM(INDEX('Base Exámenes'!$A:$A,$L229))))</f>
        <v/>
      </c>
      <c r="C229" s="5" t="str">
        <f>IF($L229="","",IFERROR(INDEX('Detalle individual'!$C:$C,MATCH($A229,'Detalle individual'!$A:$A,0)),TRIM(INDEX('Base Exámenes'!$B:$B,$L229))))</f>
        <v/>
      </c>
      <c r="D229" s="5" t="str">
        <f>IF($L229="","",IFERROR(INDEX('Detalle individual'!$D:$D,MATCH($A229,'Detalle individual'!$A:$A,0)),"(no está en Base Oficial)"))</f>
        <v/>
      </c>
      <c r="E229" s="5" t="str">
        <f>IF($L229="","",COUNTIFS('Base Exámenes'!$C$5:$C$1000,INDEX('Base Exámenes'!$C:$C,$L229),'Base Exámenes'!$D$5:$D$1000,"&lt;="&amp;INDEX('Base Exámenes'!$D:$D,$L229)))</f>
        <v/>
      </c>
      <c r="F229" s="23" t="str">
        <f>IF($L229="","",INDEX('Base Exámenes'!$D:$D,$L229))</f>
        <v/>
      </c>
      <c r="G229" s="23" t="str">
        <f>IF($L229="","",INDEX('Base Exámenes'!$E:$E,$L229))</f>
        <v/>
      </c>
      <c r="H229" s="24" t="str">
        <f>IF($L229="","",INDEX('Base Exámenes'!$F:$F,$L229))</f>
        <v/>
      </c>
      <c r="I229" s="5" t="str">
        <f>IF($L229="","",INDEX('Base Exámenes'!$G:$G,$L229))</f>
        <v/>
      </c>
      <c r="J229" s="5" t="str">
        <f>IF($L229="","",IF($L229-4=MATCH(INDEX('Base Exámenes'!$C:$C,$L229)&amp;"|"&amp;_xlfn.MAXIFS('Base Exámenes'!$G$5:$G$1000,'Base Exámenes'!$C$5:$C$1000,INDEX('Base Exámenes'!$C:$C,$L229)),'Base Exámenes'!$I$5:$I$1000,0),"Sí",""))</f>
        <v/>
      </c>
      <c r="L229" t="str">
        <f>IFERROR(MATCH(SMALL(Cálculos!$AQ$5:$AQ$1000,225),Cálculos!$AQ$5:$AQ$1000,0)+4,"")</f>
        <v/>
      </c>
    </row>
    <row r="230">
      <c r="A230" s="5" t="str">
        <f>IF($L230="","",TRIM(INDEX('Base Exámenes'!$C:$C,$L230)))</f>
        <v/>
      </c>
      <c r="B230" s="5" t="str">
        <f>IF($L230="","",IFERROR(INDEX('Detalle individual'!$B:$B,MATCH($A230,'Detalle individual'!$A:$A,0)),TRIM(INDEX('Base Exámenes'!$A:$A,$L230))))</f>
        <v/>
      </c>
      <c r="C230" s="5" t="str">
        <f>IF($L230="","",IFERROR(INDEX('Detalle individual'!$C:$C,MATCH($A230,'Detalle individual'!$A:$A,0)),TRIM(INDEX('Base Exámenes'!$B:$B,$L230))))</f>
        <v/>
      </c>
      <c r="D230" s="5" t="str">
        <f>IF($L230="","",IFERROR(INDEX('Detalle individual'!$D:$D,MATCH($A230,'Detalle individual'!$A:$A,0)),"(no está en Base Oficial)"))</f>
        <v/>
      </c>
      <c r="E230" s="5" t="str">
        <f>IF($L230="","",COUNTIFS('Base Exámenes'!$C$5:$C$1000,INDEX('Base Exámenes'!$C:$C,$L230),'Base Exámenes'!$D$5:$D$1000,"&lt;="&amp;INDEX('Base Exámenes'!$D:$D,$L230)))</f>
        <v/>
      </c>
      <c r="F230" s="23" t="str">
        <f>IF($L230="","",INDEX('Base Exámenes'!$D:$D,$L230))</f>
        <v/>
      </c>
      <c r="G230" s="23" t="str">
        <f>IF($L230="","",INDEX('Base Exámenes'!$E:$E,$L230))</f>
        <v/>
      </c>
      <c r="H230" s="24" t="str">
        <f>IF($L230="","",INDEX('Base Exámenes'!$F:$F,$L230))</f>
        <v/>
      </c>
      <c r="I230" s="5" t="str">
        <f>IF($L230="","",INDEX('Base Exámenes'!$G:$G,$L230))</f>
        <v/>
      </c>
      <c r="J230" s="5" t="str">
        <f>IF($L230="","",IF($L230-4=MATCH(INDEX('Base Exámenes'!$C:$C,$L230)&amp;"|"&amp;_xlfn.MAXIFS('Base Exámenes'!$G$5:$G$1000,'Base Exámenes'!$C$5:$C$1000,INDEX('Base Exámenes'!$C:$C,$L230)),'Base Exámenes'!$I$5:$I$1000,0),"Sí",""))</f>
        <v/>
      </c>
      <c r="L230" t="str">
        <f>IFERROR(MATCH(SMALL(Cálculos!$AQ$5:$AQ$1000,226),Cálculos!$AQ$5:$AQ$1000,0)+4,"")</f>
        <v/>
      </c>
    </row>
    <row r="231">
      <c r="A231" s="5" t="str">
        <f>IF($L231="","",TRIM(INDEX('Base Exámenes'!$C:$C,$L231)))</f>
        <v/>
      </c>
      <c r="B231" s="5" t="str">
        <f>IF($L231="","",IFERROR(INDEX('Detalle individual'!$B:$B,MATCH($A231,'Detalle individual'!$A:$A,0)),TRIM(INDEX('Base Exámenes'!$A:$A,$L231))))</f>
        <v/>
      </c>
      <c r="C231" s="5" t="str">
        <f>IF($L231="","",IFERROR(INDEX('Detalle individual'!$C:$C,MATCH($A231,'Detalle individual'!$A:$A,0)),TRIM(INDEX('Base Exámenes'!$B:$B,$L231))))</f>
        <v/>
      </c>
      <c r="D231" s="5" t="str">
        <f>IF($L231="","",IFERROR(INDEX('Detalle individual'!$D:$D,MATCH($A231,'Detalle individual'!$A:$A,0)),"(no está en Base Oficial)"))</f>
        <v/>
      </c>
      <c r="E231" s="5" t="str">
        <f>IF($L231="","",COUNTIFS('Base Exámenes'!$C$5:$C$1000,INDEX('Base Exámenes'!$C:$C,$L231),'Base Exámenes'!$D$5:$D$1000,"&lt;="&amp;INDEX('Base Exámenes'!$D:$D,$L231)))</f>
        <v/>
      </c>
      <c r="F231" s="23" t="str">
        <f>IF($L231="","",INDEX('Base Exámenes'!$D:$D,$L231))</f>
        <v/>
      </c>
      <c r="G231" s="23" t="str">
        <f>IF($L231="","",INDEX('Base Exámenes'!$E:$E,$L231))</f>
        <v/>
      </c>
      <c r="H231" s="24" t="str">
        <f>IF($L231="","",INDEX('Base Exámenes'!$F:$F,$L231))</f>
        <v/>
      </c>
      <c r="I231" s="5" t="str">
        <f>IF($L231="","",INDEX('Base Exámenes'!$G:$G,$L231))</f>
        <v/>
      </c>
      <c r="J231" s="5" t="str">
        <f>IF($L231="","",IF($L231-4=MATCH(INDEX('Base Exámenes'!$C:$C,$L231)&amp;"|"&amp;_xlfn.MAXIFS('Base Exámenes'!$G$5:$G$1000,'Base Exámenes'!$C$5:$C$1000,INDEX('Base Exámenes'!$C:$C,$L231)),'Base Exámenes'!$I$5:$I$1000,0),"Sí",""))</f>
        <v/>
      </c>
      <c r="L231" t="str">
        <f>IFERROR(MATCH(SMALL(Cálculos!$AQ$5:$AQ$1000,227),Cálculos!$AQ$5:$AQ$1000,0)+4,"")</f>
        <v/>
      </c>
    </row>
    <row r="232">
      <c r="A232" s="5" t="str">
        <f>IF($L232="","",TRIM(INDEX('Base Exámenes'!$C:$C,$L232)))</f>
        <v/>
      </c>
      <c r="B232" s="5" t="str">
        <f>IF($L232="","",IFERROR(INDEX('Detalle individual'!$B:$B,MATCH($A232,'Detalle individual'!$A:$A,0)),TRIM(INDEX('Base Exámenes'!$A:$A,$L232))))</f>
        <v/>
      </c>
      <c r="C232" s="5" t="str">
        <f>IF($L232="","",IFERROR(INDEX('Detalle individual'!$C:$C,MATCH($A232,'Detalle individual'!$A:$A,0)),TRIM(INDEX('Base Exámenes'!$B:$B,$L232))))</f>
        <v/>
      </c>
      <c r="D232" s="5" t="str">
        <f>IF($L232="","",IFERROR(INDEX('Detalle individual'!$D:$D,MATCH($A232,'Detalle individual'!$A:$A,0)),"(no está en Base Oficial)"))</f>
        <v/>
      </c>
      <c r="E232" s="5" t="str">
        <f>IF($L232="","",COUNTIFS('Base Exámenes'!$C$5:$C$1000,INDEX('Base Exámenes'!$C:$C,$L232),'Base Exámenes'!$D$5:$D$1000,"&lt;="&amp;INDEX('Base Exámenes'!$D:$D,$L232)))</f>
        <v/>
      </c>
      <c r="F232" s="23" t="str">
        <f>IF($L232="","",INDEX('Base Exámenes'!$D:$D,$L232))</f>
        <v/>
      </c>
      <c r="G232" s="23" t="str">
        <f>IF($L232="","",INDEX('Base Exámenes'!$E:$E,$L232))</f>
        <v/>
      </c>
      <c r="H232" s="24" t="str">
        <f>IF($L232="","",INDEX('Base Exámenes'!$F:$F,$L232))</f>
        <v/>
      </c>
      <c r="I232" s="5" t="str">
        <f>IF($L232="","",INDEX('Base Exámenes'!$G:$G,$L232))</f>
        <v/>
      </c>
      <c r="J232" s="5" t="str">
        <f>IF($L232="","",IF($L232-4=MATCH(INDEX('Base Exámenes'!$C:$C,$L232)&amp;"|"&amp;_xlfn.MAXIFS('Base Exámenes'!$G$5:$G$1000,'Base Exámenes'!$C$5:$C$1000,INDEX('Base Exámenes'!$C:$C,$L232)),'Base Exámenes'!$I$5:$I$1000,0),"Sí",""))</f>
        <v/>
      </c>
      <c r="L232" t="str">
        <f>IFERROR(MATCH(SMALL(Cálculos!$AQ$5:$AQ$1000,228),Cálculos!$AQ$5:$AQ$1000,0)+4,"")</f>
        <v/>
      </c>
    </row>
    <row r="233">
      <c r="A233" s="5" t="str">
        <f>IF($L233="","",TRIM(INDEX('Base Exámenes'!$C:$C,$L233)))</f>
        <v/>
      </c>
      <c r="B233" s="5" t="str">
        <f>IF($L233="","",IFERROR(INDEX('Detalle individual'!$B:$B,MATCH($A233,'Detalle individual'!$A:$A,0)),TRIM(INDEX('Base Exámenes'!$A:$A,$L233))))</f>
        <v/>
      </c>
      <c r="C233" s="5" t="str">
        <f>IF($L233="","",IFERROR(INDEX('Detalle individual'!$C:$C,MATCH($A233,'Detalle individual'!$A:$A,0)),TRIM(INDEX('Base Exámenes'!$B:$B,$L233))))</f>
        <v/>
      </c>
      <c r="D233" s="5" t="str">
        <f>IF($L233="","",IFERROR(INDEX('Detalle individual'!$D:$D,MATCH($A233,'Detalle individual'!$A:$A,0)),"(no está en Base Oficial)"))</f>
        <v/>
      </c>
      <c r="E233" s="5" t="str">
        <f>IF($L233="","",COUNTIFS('Base Exámenes'!$C$5:$C$1000,INDEX('Base Exámenes'!$C:$C,$L233),'Base Exámenes'!$D$5:$D$1000,"&lt;="&amp;INDEX('Base Exámenes'!$D:$D,$L233)))</f>
        <v/>
      </c>
      <c r="F233" s="23" t="str">
        <f>IF($L233="","",INDEX('Base Exámenes'!$D:$D,$L233))</f>
        <v/>
      </c>
      <c r="G233" s="23" t="str">
        <f>IF($L233="","",INDEX('Base Exámenes'!$E:$E,$L233))</f>
        <v/>
      </c>
      <c r="H233" s="24" t="str">
        <f>IF($L233="","",INDEX('Base Exámenes'!$F:$F,$L233))</f>
        <v/>
      </c>
      <c r="I233" s="5" t="str">
        <f>IF($L233="","",INDEX('Base Exámenes'!$G:$G,$L233))</f>
        <v/>
      </c>
      <c r="J233" s="5" t="str">
        <f>IF($L233="","",IF($L233-4=MATCH(INDEX('Base Exámenes'!$C:$C,$L233)&amp;"|"&amp;_xlfn.MAXIFS('Base Exámenes'!$G$5:$G$1000,'Base Exámenes'!$C$5:$C$1000,INDEX('Base Exámenes'!$C:$C,$L233)),'Base Exámenes'!$I$5:$I$1000,0),"Sí",""))</f>
        <v/>
      </c>
      <c r="L233" t="str">
        <f>IFERROR(MATCH(SMALL(Cálculos!$AQ$5:$AQ$1000,229),Cálculos!$AQ$5:$AQ$1000,0)+4,"")</f>
        <v/>
      </c>
    </row>
    <row r="234">
      <c r="A234" s="5" t="str">
        <f>IF($L234="","",TRIM(INDEX('Base Exámenes'!$C:$C,$L234)))</f>
        <v/>
      </c>
      <c r="B234" s="5" t="str">
        <f>IF($L234="","",IFERROR(INDEX('Detalle individual'!$B:$B,MATCH($A234,'Detalle individual'!$A:$A,0)),TRIM(INDEX('Base Exámenes'!$A:$A,$L234))))</f>
        <v/>
      </c>
      <c r="C234" s="5" t="str">
        <f>IF($L234="","",IFERROR(INDEX('Detalle individual'!$C:$C,MATCH($A234,'Detalle individual'!$A:$A,0)),TRIM(INDEX('Base Exámenes'!$B:$B,$L234))))</f>
        <v/>
      </c>
      <c r="D234" s="5" t="str">
        <f>IF($L234="","",IFERROR(INDEX('Detalle individual'!$D:$D,MATCH($A234,'Detalle individual'!$A:$A,0)),"(no está en Base Oficial)"))</f>
        <v/>
      </c>
      <c r="E234" s="5" t="str">
        <f>IF($L234="","",COUNTIFS('Base Exámenes'!$C$5:$C$1000,INDEX('Base Exámenes'!$C:$C,$L234),'Base Exámenes'!$D$5:$D$1000,"&lt;="&amp;INDEX('Base Exámenes'!$D:$D,$L234)))</f>
        <v/>
      </c>
      <c r="F234" s="23" t="str">
        <f>IF($L234="","",INDEX('Base Exámenes'!$D:$D,$L234))</f>
        <v/>
      </c>
      <c r="G234" s="23" t="str">
        <f>IF($L234="","",INDEX('Base Exámenes'!$E:$E,$L234))</f>
        <v/>
      </c>
      <c r="H234" s="24" t="str">
        <f>IF($L234="","",INDEX('Base Exámenes'!$F:$F,$L234))</f>
        <v/>
      </c>
      <c r="I234" s="5" t="str">
        <f>IF($L234="","",INDEX('Base Exámenes'!$G:$G,$L234))</f>
        <v/>
      </c>
      <c r="J234" s="5" t="str">
        <f>IF($L234="","",IF($L234-4=MATCH(INDEX('Base Exámenes'!$C:$C,$L234)&amp;"|"&amp;_xlfn.MAXIFS('Base Exámenes'!$G$5:$G$1000,'Base Exámenes'!$C$5:$C$1000,INDEX('Base Exámenes'!$C:$C,$L234)),'Base Exámenes'!$I$5:$I$1000,0),"Sí",""))</f>
        <v/>
      </c>
      <c r="L234" t="str">
        <f>IFERROR(MATCH(SMALL(Cálculos!$AQ$5:$AQ$1000,230),Cálculos!$AQ$5:$AQ$1000,0)+4,"")</f>
        <v/>
      </c>
    </row>
    <row r="235">
      <c r="A235" s="5" t="str">
        <f>IF($L235="","",TRIM(INDEX('Base Exámenes'!$C:$C,$L235)))</f>
        <v/>
      </c>
      <c r="B235" s="5" t="str">
        <f>IF($L235="","",IFERROR(INDEX('Detalle individual'!$B:$B,MATCH($A235,'Detalle individual'!$A:$A,0)),TRIM(INDEX('Base Exámenes'!$A:$A,$L235))))</f>
        <v/>
      </c>
      <c r="C235" s="5" t="str">
        <f>IF($L235="","",IFERROR(INDEX('Detalle individual'!$C:$C,MATCH($A235,'Detalle individual'!$A:$A,0)),TRIM(INDEX('Base Exámenes'!$B:$B,$L235))))</f>
        <v/>
      </c>
      <c r="D235" s="5" t="str">
        <f>IF($L235="","",IFERROR(INDEX('Detalle individual'!$D:$D,MATCH($A235,'Detalle individual'!$A:$A,0)),"(no está en Base Oficial)"))</f>
        <v/>
      </c>
      <c r="E235" s="5" t="str">
        <f>IF($L235="","",COUNTIFS('Base Exámenes'!$C$5:$C$1000,INDEX('Base Exámenes'!$C:$C,$L235),'Base Exámenes'!$D$5:$D$1000,"&lt;="&amp;INDEX('Base Exámenes'!$D:$D,$L235)))</f>
        <v/>
      </c>
      <c r="F235" s="23" t="str">
        <f>IF($L235="","",INDEX('Base Exámenes'!$D:$D,$L235))</f>
        <v/>
      </c>
      <c r="G235" s="23" t="str">
        <f>IF($L235="","",INDEX('Base Exámenes'!$E:$E,$L235))</f>
        <v/>
      </c>
      <c r="H235" s="24" t="str">
        <f>IF($L235="","",INDEX('Base Exámenes'!$F:$F,$L235))</f>
        <v/>
      </c>
      <c r="I235" s="5" t="str">
        <f>IF($L235="","",INDEX('Base Exámenes'!$G:$G,$L235))</f>
        <v/>
      </c>
      <c r="J235" s="5" t="str">
        <f>IF($L235="","",IF($L235-4=MATCH(INDEX('Base Exámenes'!$C:$C,$L235)&amp;"|"&amp;_xlfn.MAXIFS('Base Exámenes'!$G$5:$G$1000,'Base Exámenes'!$C$5:$C$1000,INDEX('Base Exámenes'!$C:$C,$L235)),'Base Exámenes'!$I$5:$I$1000,0),"Sí",""))</f>
        <v/>
      </c>
      <c r="L235" t="str">
        <f>IFERROR(MATCH(SMALL(Cálculos!$AQ$5:$AQ$1000,231),Cálculos!$AQ$5:$AQ$1000,0)+4,"")</f>
        <v/>
      </c>
    </row>
    <row r="236">
      <c r="A236" s="5" t="str">
        <f>IF($L236="","",TRIM(INDEX('Base Exámenes'!$C:$C,$L236)))</f>
        <v/>
      </c>
      <c r="B236" s="5" t="str">
        <f>IF($L236="","",IFERROR(INDEX('Detalle individual'!$B:$B,MATCH($A236,'Detalle individual'!$A:$A,0)),TRIM(INDEX('Base Exámenes'!$A:$A,$L236))))</f>
        <v/>
      </c>
      <c r="C236" s="5" t="str">
        <f>IF($L236="","",IFERROR(INDEX('Detalle individual'!$C:$C,MATCH($A236,'Detalle individual'!$A:$A,0)),TRIM(INDEX('Base Exámenes'!$B:$B,$L236))))</f>
        <v/>
      </c>
      <c r="D236" s="5" t="str">
        <f>IF($L236="","",IFERROR(INDEX('Detalle individual'!$D:$D,MATCH($A236,'Detalle individual'!$A:$A,0)),"(no está en Base Oficial)"))</f>
        <v/>
      </c>
      <c r="E236" s="5" t="str">
        <f>IF($L236="","",COUNTIFS('Base Exámenes'!$C$5:$C$1000,INDEX('Base Exámenes'!$C:$C,$L236),'Base Exámenes'!$D$5:$D$1000,"&lt;="&amp;INDEX('Base Exámenes'!$D:$D,$L236)))</f>
        <v/>
      </c>
      <c r="F236" s="23" t="str">
        <f>IF($L236="","",INDEX('Base Exámenes'!$D:$D,$L236))</f>
        <v/>
      </c>
      <c r="G236" s="23" t="str">
        <f>IF($L236="","",INDEX('Base Exámenes'!$E:$E,$L236))</f>
        <v/>
      </c>
      <c r="H236" s="24" t="str">
        <f>IF($L236="","",INDEX('Base Exámenes'!$F:$F,$L236))</f>
        <v/>
      </c>
      <c r="I236" s="5" t="str">
        <f>IF($L236="","",INDEX('Base Exámenes'!$G:$G,$L236))</f>
        <v/>
      </c>
      <c r="J236" s="5" t="str">
        <f>IF($L236="","",IF($L236-4=MATCH(INDEX('Base Exámenes'!$C:$C,$L236)&amp;"|"&amp;_xlfn.MAXIFS('Base Exámenes'!$G$5:$G$1000,'Base Exámenes'!$C$5:$C$1000,INDEX('Base Exámenes'!$C:$C,$L236)),'Base Exámenes'!$I$5:$I$1000,0),"Sí",""))</f>
        <v/>
      </c>
      <c r="L236" t="str">
        <f>IFERROR(MATCH(SMALL(Cálculos!$AQ$5:$AQ$1000,232),Cálculos!$AQ$5:$AQ$1000,0)+4,"")</f>
        <v/>
      </c>
    </row>
    <row r="237">
      <c r="A237" s="5" t="str">
        <f>IF($L237="","",TRIM(INDEX('Base Exámenes'!$C:$C,$L237)))</f>
        <v/>
      </c>
      <c r="B237" s="5" t="str">
        <f>IF($L237="","",IFERROR(INDEX('Detalle individual'!$B:$B,MATCH($A237,'Detalle individual'!$A:$A,0)),TRIM(INDEX('Base Exámenes'!$A:$A,$L237))))</f>
        <v/>
      </c>
      <c r="C237" s="5" t="str">
        <f>IF($L237="","",IFERROR(INDEX('Detalle individual'!$C:$C,MATCH($A237,'Detalle individual'!$A:$A,0)),TRIM(INDEX('Base Exámenes'!$B:$B,$L237))))</f>
        <v/>
      </c>
      <c r="D237" s="5" t="str">
        <f>IF($L237="","",IFERROR(INDEX('Detalle individual'!$D:$D,MATCH($A237,'Detalle individual'!$A:$A,0)),"(no está en Base Oficial)"))</f>
        <v/>
      </c>
      <c r="E237" s="5" t="str">
        <f>IF($L237="","",COUNTIFS('Base Exámenes'!$C$5:$C$1000,INDEX('Base Exámenes'!$C:$C,$L237),'Base Exámenes'!$D$5:$D$1000,"&lt;="&amp;INDEX('Base Exámenes'!$D:$D,$L237)))</f>
        <v/>
      </c>
      <c r="F237" s="23" t="str">
        <f>IF($L237="","",INDEX('Base Exámenes'!$D:$D,$L237))</f>
        <v/>
      </c>
      <c r="G237" s="23" t="str">
        <f>IF($L237="","",INDEX('Base Exámenes'!$E:$E,$L237))</f>
        <v/>
      </c>
      <c r="H237" s="24" t="str">
        <f>IF($L237="","",INDEX('Base Exámenes'!$F:$F,$L237))</f>
        <v/>
      </c>
      <c r="I237" s="5" t="str">
        <f>IF($L237="","",INDEX('Base Exámenes'!$G:$G,$L237))</f>
        <v/>
      </c>
      <c r="J237" s="5" t="str">
        <f>IF($L237="","",IF($L237-4=MATCH(INDEX('Base Exámenes'!$C:$C,$L237)&amp;"|"&amp;_xlfn.MAXIFS('Base Exámenes'!$G$5:$G$1000,'Base Exámenes'!$C$5:$C$1000,INDEX('Base Exámenes'!$C:$C,$L237)),'Base Exámenes'!$I$5:$I$1000,0),"Sí",""))</f>
        <v/>
      </c>
      <c r="L237" t="str">
        <f>IFERROR(MATCH(SMALL(Cálculos!$AQ$5:$AQ$1000,233),Cálculos!$AQ$5:$AQ$1000,0)+4,"")</f>
        <v/>
      </c>
    </row>
    <row r="238">
      <c r="A238" s="5" t="str">
        <f>IF($L238="","",TRIM(INDEX('Base Exámenes'!$C:$C,$L238)))</f>
        <v/>
      </c>
      <c r="B238" s="5" t="str">
        <f>IF($L238="","",IFERROR(INDEX('Detalle individual'!$B:$B,MATCH($A238,'Detalle individual'!$A:$A,0)),TRIM(INDEX('Base Exámenes'!$A:$A,$L238))))</f>
        <v/>
      </c>
      <c r="C238" s="5" t="str">
        <f>IF($L238="","",IFERROR(INDEX('Detalle individual'!$C:$C,MATCH($A238,'Detalle individual'!$A:$A,0)),TRIM(INDEX('Base Exámenes'!$B:$B,$L238))))</f>
        <v/>
      </c>
      <c r="D238" s="5" t="str">
        <f>IF($L238="","",IFERROR(INDEX('Detalle individual'!$D:$D,MATCH($A238,'Detalle individual'!$A:$A,0)),"(no está en Base Oficial)"))</f>
        <v/>
      </c>
      <c r="E238" s="5" t="str">
        <f>IF($L238="","",COUNTIFS('Base Exámenes'!$C$5:$C$1000,INDEX('Base Exámenes'!$C:$C,$L238),'Base Exámenes'!$D$5:$D$1000,"&lt;="&amp;INDEX('Base Exámenes'!$D:$D,$L238)))</f>
        <v/>
      </c>
      <c r="F238" s="23" t="str">
        <f>IF($L238="","",INDEX('Base Exámenes'!$D:$D,$L238))</f>
        <v/>
      </c>
      <c r="G238" s="23" t="str">
        <f>IF($L238="","",INDEX('Base Exámenes'!$E:$E,$L238))</f>
        <v/>
      </c>
      <c r="H238" s="24" t="str">
        <f>IF($L238="","",INDEX('Base Exámenes'!$F:$F,$L238))</f>
        <v/>
      </c>
      <c r="I238" s="5" t="str">
        <f>IF($L238="","",INDEX('Base Exámenes'!$G:$G,$L238))</f>
        <v/>
      </c>
      <c r="J238" s="5" t="str">
        <f>IF($L238="","",IF($L238-4=MATCH(INDEX('Base Exámenes'!$C:$C,$L238)&amp;"|"&amp;_xlfn.MAXIFS('Base Exámenes'!$G$5:$G$1000,'Base Exámenes'!$C$5:$C$1000,INDEX('Base Exámenes'!$C:$C,$L238)),'Base Exámenes'!$I$5:$I$1000,0),"Sí",""))</f>
        <v/>
      </c>
      <c r="L238" t="str">
        <f>IFERROR(MATCH(SMALL(Cálculos!$AQ$5:$AQ$1000,234),Cálculos!$AQ$5:$AQ$1000,0)+4,"")</f>
        <v/>
      </c>
    </row>
    <row r="239">
      <c r="A239" s="5" t="str">
        <f>IF($L239="","",TRIM(INDEX('Base Exámenes'!$C:$C,$L239)))</f>
        <v/>
      </c>
      <c r="B239" s="5" t="str">
        <f>IF($L239="","",IFERROR(INDEX('Detalle individual'!$B:$B,MATCH($A239,'Detalle individual'!$A:$A,0)),TRIM(INDEX('Base Exámenes'!$A:$A,$L239))))</f>
        <v/>
      </c>
      <c r="C239" s="5" t="str">
        <f>IF($L239="","",IFERROR(INDEX('Detalle individual'!$C:$C,MATCH($A239,'Detalle individual'!$A:$A,0)),TRIM(INDEX('Base Exámenes'!$B:$B,$L239))))</f>
        <v/>
      </c>
      <c r="D239" s="5" t="str">
        <f>IF($L239="","",IFERROR(INDEX('Detalle individual'!$D:$D,MATCH($A239,'Detalle individual'!$A:$A,0)),"(no está en Base Oficial)"))</f>
        <v/>
      </c>
      <c r="E239" s="5" t="str">
        <f>IF($L239="","",COUNTIFS('Base Exámenes'!$C$5:$C$1000,INDEX('Base Exámenes'!$C:$C,$L239),'Base Exámenes'!$D$5:$D$1000,"&lt;="&amp;INDEX('Base Exámenes'!$D:$D,$L239)))</f>
        <v/>
      </c>
      <c r="F239" s="23" t="str">
        <f>IF($L239="","",INDEX('Base Exámenes'!$D:$D,$L239))</f>
        <v/>
      </c>
      <c r="G239" s="23" t="str">
        <f>IF($L239="","",INDEX('Base Exámenes'!$E:$E,$L239))</f>
        <v/>
      </c>
      <c r="H239" s="24" t="str">
        <f>IF($L239="","",INDEX('Base Exámenes'!$F:$F,$L239))</f>
        <v/>
      </c>
      <c r="I239" s="5" t="str">
        <f>IF($L239="","",INDEX('Base Exámenes'!$G:$G,$L239))</f>
        <v/>
      </c>
      <c r="J239" s="5" t="str">
        <f>IF($L239="","",IF($L239-4=MATCH(INDEX('Base Exámenes'!$C:$C,$L239)&amp;"|"&amp;_xlfn.MAXIFS('Base Exámenes'!$G$5:$G$1000,'Base Exámenes'!$C$5:$C$1000,INDEX('Base Exámenes'!$C:$C,$L239)),'Base Exámenes'!$I$5:$I$1000,0),"Sí",""))</f>
        <v/>
      </c>
      <c r="L239" t="str">
        <f>IFERROR(MATCH(SMALL(Cálculos!$AQ$5:$AQ$1000,235),Cálculos!$AQ$5:$AQ$1000,0)+4,"")</f>
        <v/>
      </c>
    </row>
    <row r="240">
      <c r="A240" s="5" t="str">
        <f>IF($L240="","",TRIM(INDEX('Base Exámenes'!$C:$C,$L240)))</f>
        <v/>
      </c>
      <c r="B240" s="5" t="str">
        <f>IF($L240="","",IFERROR(INDEX('Detalle individual'!$B:$B,MATCH($A240,'Detalle individual'!$A:$A,0)),TRIM(INDEX('Base Exámenes'!$A:$A,$L240))))</f>
        <v/>
      </c>
      <c r="C240" s="5" t="str">
        <f>IF($L240="","",IFERROR(INDEX('Detalle individual'!$C:$C,MATCH($A240,'Detalle individual'!$A:$A,0)),TRIM(INDEX('Base Exámenes'!$B:$B,$L240))))</f>
        <v/>
      </c>
      <c r="D240" s="5" t="str">
        <f>IF($L240="","",IFERROR(INDEX('Detalle individual'!$D:$D,MATCH($A240,'Detalle individual'!$A:$A,0)),"(no está en Base Oficial)"))</f>
        <v/>
      </c>
      <c r="E240" s="5" t="str">
        <f>IF($L240="","",COUNTIFS('Base Exámenes'!$C$5:$C$1000,INDEX('Base Exámenes'!$C:$C,$L240),'Base Exámenes'!$D$5:$D$1000,"&lt;="&amp;INDEX('Base Exámenes'!$D:$D,$L240)))</f>
        <v/>
      </c>
      <c r="F240" s="23" t="str">
        <f>IF($L240="","",INDEX('Base Exámenes'!$D:$D,$L240))</f>
        <v/>
      </c>
      <c r="G240" s="23" t="str">
        <f>IF($L240="","",INDEX('Base Exámenes'!$E:$E,$L240))</f>
        <v/>
      </c>
      <c r="H240" s="24" t="str">
        <f>IF($L240="","",INDEX('Base Exámenes'!$F:$F,$L240))</f>
        <v/>
      </c>
      <c r="I240" s="5" t="str">
        <f>IF($L240="","",INDEX('Base Exámenes'!$G:$G,$L240))</f>
        <v/>
      </c>
      <c r="J240" s="5" t="str">
        <f>IF($L240="","",IF($L240-4=MATCH(INDEX('Base Exámenes'!$C:$C,$L240)&amp;"|"&amp;_xlfn.MAXIFS('Base Exámenes'!$G$5:$G$1000,'Base Exámenes'!$C$5:$C$1000,INDEX('Base Exámenes'!$C:$C,$L240)),'Base Exámenes'!$I$5:$I$1000,0),"Sí",""))</f>
        <v/>
      </c>
      <c r="L240" t="str">
        <f>IFERROR(MATCH(SMALL(Cálculos!$AQ$5:$AQ$1000,236),Cálculos!$AQ$5:$AQ$1000,0)+4,"")</f>
        <v/>
      </c>
    </row>
    <row r="241">
      <c r="A241" s="5" t="str">
        <f>IF($L241="","",TRIM(INDEX('Base Exámenes'!$C:$C,$L241)))</f>
        <v/>
      </c>
      <c r="B241" s="5" t="str">
        <f>IF($L241="","",IFERROR(INDEX('Detalle individual'!$B:$B,MATCH($A241,'Detalle individual'!$A:$A,0)),TRIM(INDEX('Base Exámenes'!$A:$A,$L241))))</f>
        <v/>
      </c>
      <c r="C241" s="5" t="str">
        <f>IF($L241="","",IFERROR(INDEX('Detalle individual'!$C:$C,MATCH($A241,'Detalle individual'!$A:$A,0)),TRIM(INDEX('Base Exámenes'!$B:$B,$L241))))</f>
        <v/>
      </c>
      <c r="D241" s="5" t="str">
        <f>IF($L241="","",IFERROR(INDEX('Detalle individual'!$D:$D,MATCH($A241,'Detalle individual'!$A:$A,0)),"(no está en Base Oficial)"))</f>
        <v/>
      </c>
      <c r="E241" s="5" t="str">
        <f>IF($L241="","",COUNTIFS('Base Exámenes'!$C$5:$C$1000,INDEX('Base Exámenes'!$C:$C,$L241),'Base Exámenes'!$D$5:$D$1000,"&lt;="&amp;INDEX('Base Exámenes'!$D:$D,$L241)))</f>
        <v/>
      </c>
      <c r="F241" s="23" t="str">
        <f>IF($L241="","",INDEX('Base Exámenes'!$D:$D,$L241))</f>
        <v/>
      </c>
      <c r="G241" s="23" t="str">
        <f>IF($L241="","",INDEX('Base Exámenes'!$E:$E,$L241))</f>
        <v/>
      </c>
      <c r="H241" s="24" t="str">
        <f>IF($L241="","",INDEX('Base Exámenes'!$F:$F,$L241))</f>
        <v/>
      </c>
      <c r="I241" s="5" t="str">
        <f>IF($L241="","",INDEX('Base Exámenes'!$G:$G,$L241))</f>
        <v/>
      </c>
      <c r="J241" s="5" t="str">
        <f>IF($L241="","",IF($L241-4=MATCH(INDEX('Base Exámenes'!$C:$C,$L241)&amp;"|"&amp;_xlfn.MAXIFS('Base Exámenes'!$G$5:$G$1000,'Base Exámenes'!$C$5:$C$1000,INDEX('Base Exámenes'!$C:$C,$L241)),'Base Exámenes'!$I$5:$I$1000,0),"Sí",""))</f>
        <v/>
      </c>
      <c r="L241" t="str">
        <f>IFERROR(MATCH(SMALL(Cálculos!$AQ$5:$AQ$1000,237),Cálculos!$AQ$5:$AQ$1000,0)+4,"")</f>
        <v/>
      </c>
    </row>
    <row r="242">
      <c r="A242" s="5" t="str">
        <f>IF($L242="","",TRIM(INDEX('Base Exámenes'!$C:$C,$L242)))</f>
        <v/>
      </c>
      <c r="B242" s="5" t="str">
        <f>IF($L242="","",IFERROR(INDEX('Detalle individual'!$B:$B,MATCH($A242,'Detalle individual'!$A:$A,0)),TRIM(INDEX('Base Exámenes'!$A:$A,$L242))))</f>
        <v/>
      </c>
      <c r="C242" s="5" t="str">
        <f>IF($L242="","",IFERROR(INDEX('Detalle individual'!$C:$C,MATCH($A242,'Detalle individual'!$A:$A,0)),TRIM(INDEX('Base Exámenes'!$B:$B,$L242))))</f>
        <v/>
      </c>
      <c r="D242" s="5" t="str">
        <f>IF($L242="","",IFERROR(INDEX('Detalle individual'!$D:$D,MATCH($A242,'Detalle individual'!$A:$A,0)),"(no está en Base Oficial)"))</f>
        <v/>
      </c>
      <c r="E242" s="5" t="str">
        <f>IF($L242="","",COUNTIFS('Base Exámenes'!$C$5:$C$1000,INDEX('Base Exámenes'!$C:$C,$L242),'Base Exámenes'!$D$5:$D$1000,"&lt;="&amp;INDEX('Base Exámenes'!$D:$D,$L242)))</f>
        <v/>
      </c>
      <c r="F242" s="23" t="str">
        <f>IF($L242="","",INDEX('Base Exámenes'!$D:$D,$L242))</f>
        <v/>
      </c>
      <c r="G242" s="23" t="str">
        <f>IF($L242="","",INDEX('Base Exámenes'!$E:$E,$L242))</f>
        <v/>
      </c>
      <c r="H242" s="24" t="str">
        <f>IF($L242="","",INDEX('Base Exámenes'!$F:$F,$L242))</f>
        <v/>
      </c>
      <c r="I242" s="5" t="str">
        <f>IF($L242="","",INDEX('Base Exámenes'!$G:$G,$L242))</f>
        <v/>
      </c>
      <c r="J242" s="5" t="str">
        <f>IF($L242="","",IF($L242-4=MATCH(INDEX('Base Exámenes'!$C:$C,$L242)&amp;"|"&amp;_xlfn.MAXIFS('Base Exámenes'!$G$5:$G$1000,'Base Exámenes'!$C$5:$C$1000,INDEX('Base Exámenes'!$C:$C,$L242)),'Base Exámenes'!$I$5:$I$1000,0),"Sí",""))</f>
        <v/>
      </c>
      <c r="L242" t="str">
        <f>IFERROR(MATCH(SMALL(Cálculos!$AQ$5:$AQ$1000,238),Cálculos!$AQ$5:$AQ$1000,0)+4,"")</f>
        <v/>
      </c>
    </row>
    <row r="243">
      <c r="A243" s="5" t="str">
        <f>IF($L243="","",TRIM(INDEX('Base Exámenes'!$C:$C,$L243)))</f>
        <v/>
      </c>
      <c r="B243" s="5" t="str">
        <f>IF($L243="","",IFERROR(INDEX('Detalle individual'!$B:$B,MATCH($A243,'Detalle individual'!$A:$A,0)),TRIM(INDEX('Base Exámenes'!$A:$A,$L243))))</f>
        <v/>
      </c>
      <c r="C243" s="5" t="str">
        <f>IF($L243="","",IFERROR(INDEX('Detalle individual'!$C:$C,MATCH($A243,'Detalle individual'!$A:$A,0)),TRIM(INDEX('Base Exámenes'!$B:$B,$L243))))</f>
        <v/>
      </c>
      <c r="D243" s="5" t="str">
        <f>IF($L243="","",IFERROR(INDEX('Detalle individual'!$D:$D,MATCH($A243,'Detalle individual'!$A:$A,0)),"(no está en Base Oficial)"))</f>
        <v/>
      </c>
      <c r="E243" s="5" t="str">
        <f>IF($L243="","",COUNTIFS('Base Exámenes'!$C$5:$C$1000,INDEX('Base Exámenes'!$C:$C,$L243),'Base Exámenes'!$D$5:$D$1000,"&lt;="&amp;INDEX('Base Exámenes'!$D:$D,$L243)))</f>
        <v/>
      </c>
      <c r="F243" s="23" t="str">
        <f>IF($L243="","",INDEX('Base Exámenes'!$D:$D,$L243))</f>
        <v/>
      </c>
      <c r="G243" s="23" t="str">
        <f>IF($L243="","",INDEX('Base Exámenes'!$E:$E,$L243))</f>
        <v/>
      </c>
      <c r="H243" s="24" t="str">
        <f>IF($L243="","",INDEX('Base Exámenes'!$F:$F,$L243))</f>
        <v/>
      </c>
      <c r="I243" s="5" t="str">
        <f>IF($L243="","",INDEX('Base Exámenes'!$G:$G,$L243))</f>
        <v/>
      </c>
      <c r="J243" s="5" t="str">
        <f>IF($L243="","",IF($L243-4=MATCH(INDEX('Base Exámenes'!$C:$C,$L243)&amp;"|"&amp;_xlfn.MAXIFS('Base Exámenes'!$G$5:$G$1000,'Base Exámenes'!$C$5:$C$1000,INDEX('Base Exámenes'!$C:$C,$L243)),'Base Exámenes'!$I$5:$I$1000,0),"Sí",""))</f>
        <v/>
      </c>
      <c r="L243" t="str">
        <f>IFERROR(MATCH(SMALL(Cálculos!$AQ$5:$AQ$1000,239),Cálculos!$AQ$5:$AQ$1000,0)+4,"")</f>
        <v/>
      </c>
    </row>
    <row r="244">
      <c r="A244" s="5" t="str">
        <f>IF($L244="","",TRIM(INDEX('Base Exámenes'!$C:$C,$L244)))</f>
        <v/>
      </c>
      <c r="B244" s="5" t="str">
        <f>IF($L244="","",IFERROR(INDEX('Detalle individual'!$B:$B,MATCH($A244,'Detalle individual'!$A:$A,0)),TRIM(INDEX('Base Exámenes'!$A:$A,$L244))))</f>
        <v/>
      </c>
      <c r="C244" s="5" t="str">
        <f>IF($L244="","",IFERROR(INDEX('Detalle individual'!$C:$C,MATCH($A244,'Detalle individual'!$A:$A,0)),TRIM(INDEX('Base Exámenes'!$B:$B,$L244))))</f>
        <v/>
      </c>
      <c r="D244" s="5" t="str">
        <f>IF($L244="","",IFERROR(INDEX('Detalle individual'!$D:$D,MATCH($A244,'Detalle individual'!$A:$A,0)),"(no está en Base Oficial)"))</f>
        <v/>
      </c>
      <c r="E244" s="5" t="str">
        <f>IF($L244="","",COUNTIFS('Base Exámenes'!$C$5:$C$1000,INDEX('Base Exámenes'!$C:$C,$L244),'Base Exámenes'!$D$5:$D$1000,"&lt;="&amp;INDEX('Base Exámenes'!$D:$D,$L244)))</f>
        <v/>
      </c>
      <c r="F244" s="23" t="str">
        <f>IF($L244="","",INDEX('Base Exámenes'!$D:$D,$L244))</f>
        <v/>
      </c>
      <c r="G244" s="23" t="str">
        <f>IF($L244="","",INDEX('Base Exámenes'!$E:$E,$L244))</f>
        <v/>
      </c>
      <c r="H244" s="24" t="str">
        <f>IF($L244="","",INDEX('Base Exámenes'!$F:$F,$L244))</f>
        <v/>
      </c>
      <c r="I244" s="5" t="str">
        <f>IF($L244="","",INDEX('Base Exámenes'!$G:$G,$L244))</f>
        <v/>
      </c>
      <c r="J244" s="5" t="str">
        <f>IF($L244="","",IF($L244-4=MATCH(INDEX('Base Exámenes'!$C:$C,$L244)&amp;"|"&amp;_xlfn.MAXIFS('Base Exámenes'!$G$5:$G$1000,'Base Exámenes'!$C$5:$C$1000,INDEX('Base Exámenes'!$C:$C,$L244)),'Base Exámenes'!$I$5:$I$1000,0),"Sí",""))</f>
        <v/>
      </c>
      <c r="L244" t="str">
        <f>IFERROR(MATCH(SMALL(Cálculos!$AQ$5:$AQ$1000,240),Cálculos!$AQ$5:$AQ$1000,0)+4,"")</f>
        <v/>
      </c>
    </row>
    <row r="245">
      <c r="A245" s="5" t="str">
        <f>IF($L245="","",TRIM(INDEX('Base Exámenes'!$C:$C,$L245)))</f>
        <v/>
      </c>
      <c r="B245" s="5" t="str">
        <f>IF($L245="","",IFERROR(INDEX('Detalle individual'!$B:$B,MATCH($A245,'Detalle individual'!$A:$A,0)),TRIM(INDEX('Base Exámenes'!$A:$A,$L245))))</f>
        <v/>
      </c>
      <c r="C245" s="5" t="str">
        <f>IF($L245="","",IFERROR(INDEX('Detalle individual'!$C:$C,MATCH($A245,'Detalle individual'!$A:$A,0)),TRIM(INDEX('Base Exámenes'!$B:$B,$L245))))</f>
        <v/>
      </c>
      <c r="D245" s="5" t="str">
        <f>IF($L245="","",IFERROR(INDEX('Detalle individual'!$D:$D,MATCH($A245,'Detalle individual'!$A:$A,0)),"(no está en Base Oficial)"))</f>
        <v/>
      </c>
      <c r="E245" s="5" t="str">
        <f>IF($L245="","",COUNTIFS('Base Exámenes'!$C$5:$C$1000,INDEX('Base Exámenes'!$C:$C,$L245),'Base Exámenes'!$D$5:$D$1000,"&lt;="&amp;INDEX('Base Exámenes'!$D:$D,$L245)))</f>
        <v/>
      </c>
      <c r="F245" s="23" t="str">
        <f>IF($L245="","",INDEX('Base Exámenes'!$D:$D,$L245))</f>
        <v/>
      </c>
      <c r="G245" s="23" t="str">
        <f>IF($L245="","",INDEX('Base Exámenes'!$E:$E,$L245))</f>
        <v/>
      </c>
      <c r="H245" s="24" t="str">
        <f>IF($L245="","",INDEX('Base Exámenes'!$F:$F,$L245))</f>
        <v/>
      </c>
      <c r="I245" s="5" t="str">
        <f>IF($L245="","",INDEX('Base Exámenes'!$G:$G,$L245))</f>
        <v/>
      </c>
      <c r="J245" s="5" t="str">
        <f>IF($L245="","",IF($L245-4=MATCH(INDEX('Base Exámenes'!$C:$C,$L245)&amp;"|"&amp;_xlfn.MAXIFS('Base Exámenes'!$G$5:$G$1000,'Base Exámenes'!$C$5:$C$1000,INDEX('Base Exámenes'!$C:$C,$L245)),'Base Exámenes'!$I$5:$I$1000,0),"Sí",""))</f>
        <v/>
      </c>
      <c r="L245" t="str">
        <f>IFERROR(MATCH(SMALL(Cálculos!$AQ$5:$AQ$1000,241),Cálculos!$AQ$5:$AQ$1000,0)+4,"")</f>
        <v/>
      </c>
    </row>
    <row r="246">
      <c r="A246" s="5" t="str">
        <f>IF($L246="","",TRIM(INDEX('Base Exámenes'!$C:$C,$L246)))</f>
        <v/>
      </c>
      <c r="B246" s="5" t="str">
        <f>IF($L246="","",IFERROR(INDEX('Detalle individual'!$B:$B,MATCH($A246,'Detalle individual'!$A:$A,0)),TRIM(INDEX('Base Exámenes'!$A:$A,$L246))))</f>
        <v/>
      </c>
      <c r="C246" s="5" t="str">
        <f>IF($L246="","",IFERROR(INDEX('Detalle individual'!$C:$C,MATCH($A246,'Detalle individual'!$A:$A,0)),TRIM(INDEX('Base Exámenes'!$B:$B,$L246))))</f>
        <v/>
      </c>
      <c r="D246" s="5" t="str">
        <f>IF($L246="","",IFERROR(INDEX('Detalle individual'!$D:$D,MATCH($A246,'Detalle individual'!$A:$A,0)),"(no está en Base Oficial)"))</f>
        <v/>
      </c>
      <c r="E246" s="5" t="str">
        <f>IF($L246="","",COUNTIFS('Base Exámenes'!$C$5:$C$1000,INDEX('Base Exámenes'!$C:$C,$L246),'Base Exámenes'!$D$5:$D$1000,"&lt;="&amp;INDEX('Base Exámenes'!$D:$D,$L246)))</f>
        <v/>
      </c>
      <c r="F246" s="23" t="str">
        <f>IF($L246="","",INDEX('Base Exámenes'!$D:$D,$L246))</f>
        <v/>
      </c>
      <c r="G246" s="23" t="str">
        <f>IF($L246="","",INDEX('Base Exámenes'!$E:$E,$L246))</f>
        <v/>
      </c>
      <c r="H246" s="24" t="str">
        <f>IF($L246="","",INDEX('Base Exámenes'!$F:$F,$L246))</f>
        <v/>
      </c>
      <c r="I246" s="5" t="str">
        <f>IF($L246="","",INDEX('Base Exámenes'!$G:$G,$L246))</f>
        <v/>
      </c>
      <c r="J246" s="5" t="str">
        <f>IF($L246="","",IF($L246-4=MATCH(INDEX('Base Exámenes'!$C:$C,$L246)&amp;"|"&amp;_xlfn.MAXIFS('Base Exámenes'!$G$5:$G$1000,'Base Exámenes'!$C$5:$C$1000,INDEX('Base Exámenes'!$C:$C,$L246)),'Base Exámenes'!$I$5:$I$1000,0),"Sí",""))</f>
        <v/>
      </c>
      <c r="L246" t="str">
        <f>IFERROR(MATCH(SMALL(Cálculos!$AQ$5:$AQ$1000,242),Cálculos!$AQ$5:$AQ$1000,0)+4,"")</f>
        <v/>
      </c>
    </row>
    <row r="247">
      <c r="A247" s="5" t="str">
        <f>IF($L247="","",TRIM(INDEX('Base Exámenes'!$C:$C,$L247)))</f>
        <v/>
      </c>
      <c r="B247" s="5" t="str">
        <f>IF($L247="","",IFERROR(INDEX('Detalle individual'!$B:$B,MATCH($A247,'Detalle individual'!$A:$A,0)),TRIM(INDEX('Base Exámenes'!$A:$A,$L247))))</f>
        <v/>
      </c>
      <c r="C247" s="5" t="str">
        <f>IF($L247="","",IFERROR(INDEX('Detalle individual'!$C:$C,MATCH($A247,'Detalle individual'!$A:$A,0)),TRIM(INDEX('Base Exámenes'!$B:$B,$L247))))</f>
        <v/>
      </c>
      <c r="D247" s="5" t="str">
        <f>IF($L247="","",IFERROR(INDEX('Detalle individual'!$D:$D,MATCH($A247,'Detalle individual'!$A:$A,0)),"(no está en Base Oficial)"))</f>
        <v/>
      </c>
      <c r="E247" s="5" t="str">
        <f>IF($L247="","",COUNTIFS('Base Exámenes'!$C$5:$C$1000,INDEX('Base Exámenes'!$C:$C,$L247),'Base Exámenes'!$D$5:$D$1000,"&lt;="&amp;INDEX('Base Exámenes'!$D:$D,$L247)))</f>
        <v/>
      </c>
      <c r="F247" s="23" t="str">
        <f>IF($L247="","",INDEX('Base Exámenes'!$D:$D,$L247))</f>
        <v/>
      </c>
      <c r="G247" s="23" t="str">
        <f>IF($L247="","",INDEX('Base Exámenes'!$E:$E,$L247))</f>
        <v/>
      </c>
      <c r="H247" s="24" t="str">
        <f>IF($L247="","",INDEX('Base Exámenes'!$F:$F,$L247))</f>
        <v/>
      </c>
      <c r="I247" s="5" t="str">
        <f>IF($L247="","",INDEX('Base Exámenes'!$G:$G,$L247))</f>
        <v/>
      </c>
      <c r="J247" s="5" t="str">
        <f>IF($L247="","",IF($L247-4=MATCH(INDEX('Base Exámenes'!$C:$C,$L247)&amp;"|"&amp;_xlfn.MAXIFS('Base Exámenes'!$G$5:$G$1000,'Base Exámenes'!$C$5:$C$1000,INDEX('Base Exámenes'!$C:$C,$L247)),'Base Exámenes'!$I$5:$I$1000,0),"Sí",""))</f>
        <v/>
      </c>
      <c r="L247" t="str">
        <f>IFERROR(MATCH(SMALL(Cálculos!$AQ$5:$AQ$1000,243),Cálculos!$AQ$5:$AQ$1000,0)+4,"")</f>
        <v/>
      </c>
    </row>
    <row r="248">
      <c r="A248" s="5" t="str">
        <f>IF($L248="","",TRIM(INDEX('Base Exámenes'!$C:$C,$L248)))</f>
        <v/>
      </c>
      <c r="B248" s="5" t="str">
        <f>IF($L248="","",IFERROR(INDEX('Detalle individual'!$B:$B,MATCH($A248,'Detalle individual'!$A:$A,0)),TRIM(INDEX('Base Exámenes'!$A:$A,$L248))))</f>
        <v/>
      </c>
      <c r="C248" s="5" t="str">
        <f>IF($L248="","",IFERROR(INDEX('Detalle individual'!$C:$C,MATCH($A248,'Detalle individual'!$A:$A,0)),TRIM(INDEX('Base Exámenes'!$B:$B,$L248))))</f>
        <v/>
      </c>
      <c r="D248" s="5" t="str">
        <f>IF($L248="","",IFERROR(INDEX('Detalle individual'!$D:$D,MATCH($A248,'Detalle individual'!$A:$A,0)),"(no está en Base Oficial)"))</f>
        <v/>
      </c>
      <c r="E248" s="5" t="str">
        <f>IF($L248="","",COUNTIFS('Base Exámenes'!$C$5:$C$1000,INDEX('Base Exámenes'!$C:$C,$L248),'Base Exámenes'!$D$5:$D$1000,"&lt;="&amp;INDEX('Base Exámenes'!$D:$D,$L248)))</f>
        <v/>
      </c>
      <c r="F248" s="23" t="str">
        <f>IF($L248="","",INDEX('Base Exámenes'!$D:$D,$L248))</f>
        <v/>
      </c>
      <c r="G248" s="23" t="str">
        <f>IF($L248="","",INDEX('Base Exámenes'!$E:$E,$L248))</f>
        <v/>
      </c>
      <c r="H248" s="24" t="str">
        <f>IF($L248="","",INDEX('Base Exámenes'!$F:$F,$L248))</f>
        <v/>
      </c>
      <c r="I248" s="5" t="str">
        <f>IF($L248="","",INDEX('Base Exámenes'!$G:$G,$L248))</f>
        <v/>
      </c>
      <c r="J248" s="5" t="str">
        <f>IF($L248="","",IF($L248-4=MATCH(INDEX('Base Exámenes'!$C:$C,$L248)&amp;"|"&amp;_xlfn.MAXIFS('Base Exámenes'!$G$5:$G$1000,'Base Exámenes'!$C$5:$C$1000,INDEX('Base Exámenes'!$C:$C,$L248)),'Base Exámenes'!$I$5:$I$1000,0),"Sí",""))</f>
        <v/>
      </c>
      <c r="L248" t="str">
        <f>IFERROR(MATCH(SMALL(Cálculos!$AQ$5:$AQ$1000,244),Cálculos!$AQ$5:$AQ$1000,0)+4,"")</f>
        <v/>
      </c>
    </row>
    <row r="249">
      <c r="A249" s="5" t="str">
        <f>IF($L249="","",TRIM(INDEX('Base Exámenes'!$C:$C,$L249)))</f>
        <v/>
      </c>
      <c r="B249" s="5" t="str">
        <f>IF($L249="","",IFERROR(INDEX('Detalle individual'!$B:$B,MATCH($A249,'Detalle individual'!$A:$A,0)),TRIM(INDEX('Base Exámenes'!$A:$A,$L249))))</f>
        <v/>
      </c>
      <c r="C249" s="5" t="str">
        <f>IF($L249="","",IFERROR(INDEX('Detalle individual'!$C:$C,MATCH($A249,'Detalle individual'!$A:$A,0)),TRIM(INDEX('Base Exámenes'!$B:$B,$L249))))</f>
        <v/>
      </c>
      <c r="D249" s="5" t="str">
        <f>IF($L249="","",IFERROR(INDEX('Detalle individual'!$D:$D,MATCH($A249,'Detalle individual'!$A:$A,0)),"(no está en Base Oficial)"))</f>
        <v/>
      </c>
      <c r="E249" s="5" t="str">
        <f>IF($L249="","",COUNTIFS('Base Exámenes'!$C$5:$C$1000,INDEX('Base Exámenes'!$C:$C,$L249),'Base Exámenes'!$D$5:$D$1000,"&lt;="&amp;INDEX('Base Exámenes'!$D:$D,$L249)))</f>
        <v/>
      </c>
      <c r="F249" s="23" t="str">
        <f>IF($L249="","",INDEX('Base Exámenes'!$D:$D,$L249))</f>
        <v/>
      </c>
      <c r="G249" s="23" t="str">
        <f>IF($L249="","",INDEX('Base Exámenes'!$E:$E,$L249))</f>
        <v/>
      </c>
      <c r="H249" s="24" t="str">
        <f>IF($L249="","",INDEX('Base Exámenes'!$F:$F,$L249))</f>
        <v/>
      </c>
      <c r="I249" s="5" t="str">
        <f>IF($L249="","",INDEX('Base Exámenes'!$G:$G,$L249))</f>
        <v/>
      </c>
      <c r="J249" s="5" t="str">
        <f>IF($L249="","",IF($L249-4=MATCH(INDEX('Base Exámenes'!$C:$C,$L249)&amp;"|"&amp;_xlfn.MAXIFS('Base Exámenes'!$G$5:$G$1000,'Base Exámenes'!$C$5:$C$1000,INDEX('Base Exámenes'!$C:$C,$L249)),'Base Exámenes'!$I$5:$I$1000,0),"Sí",""))</f>
        <v/>
      </c>
      <c r="L249" t="str">
        <f>IFERROR(MATCH(SMALL(Cálculos!$AQ$5:$AQ$1000,245),Cálculos!$AQ$5:$AQ$1000,0)+4,"")</f>
        <v/>
      </c>
    </row>
    <row r="250">
      <c r="A250" s="5" t="str">
        <f>IF($L250="","",TRIM(INDEX('Base Exámenes'!$C:$C,$L250)))</f>
        <v/>
      </c>
      <c r="B250" s="5" t="str">
        <f>IF($L250="","",IFERROR(INDEX('Detalle individual'!$B:$B,MATCH($A250,'Detalle individual'!$A:$A,0)),TRIM(INDEX('Base Exámenes'!$A:$A,$L250))))</f>
        <v/>
      </c>
      <c r="C250" s="5" t="str">
        <f>IF($L250="","",IFERROR(INDEX('Detalle individual'!$C:$C,MATCH($A250,'Detalle individual'!$A:$A,0)),TRIM(INDEX('Base Exámenes'!$B:$B,$L250))))</f>
        <v/>
      </c>
      <c r="D250" s="5" t="str">
        <f>IF($L250="","",IFERROR(INDEX('Detalle individual'!$D:$D,MATCH($A250,'Detalle individual'!$A:$A,0)),"(no está en Base Oficial)"))</f>
        <v/>
      </c>
      <c r="E250" s="5" t="str">
        <f>IF($L250="","",COUNTIFS('Base Exámenes'!$C$5:$C$1000,INDEX('Base Exámenes'!$C:$C,$L250),'Base Exámenes'!$D$5:$D$1000,"&lt;="&amp;INDEX('Base Exámenes'!$D:$D,$L250)))</f>
        <v/>
      </c>
      <c r="F250" s="23" t="str">
        <f>IF($L250="","",INDEX('Base Exámenes'!$D:$D,$L250))</f>
        <v/>
      </c>
      <c r="G250" s="23" t="str">
        <f>IF($L250="","",INDEX('Base Exámenes'!$E:$E,$L250))</f>
        <v/>
      </c>
      <c r="H250" s="24" t="str">
        <f>IF($L250="","",INDEX('Base Exámenes'!$F:$F,$L250))</f>
        <v/>
      </c>
      <c r="I250" s="5" t="str">
        <f>IF($L250="","",INDEX('Base Exámenes'!$G:$G,$L250))</f>
        <v/>
      </c>
      <c r="J250" s="5" t="str">
        <f>IF($L250="","",IF($L250-4=MATCH(INDEX('Base Exámenes'!$C:$C,$L250)&amp;"|"&amp;_xlfn.MAXIFS('Base Exámenes'!$G$5:$G$1000,'Base Exámenes'!$C$5:$C$1000,INDEX('Base Exámenes'!$C:$C,$L250)),'Base Exámenes'!$I$5:$I$1000,0),"Sí",""))</f>
        <v/>
      </c>
      <c r="L250" t="str">
        <f>IFERROR(MATCH(SMALL(Cálculos!$AQ$5:$AQ$1000,246),Cálculos!$AQ$5:$AQ$1000,0)+4,"")</f>
        <v/>
      </c>
    </row>
    <row r="251">
      <c r="A251" s="5" t="str">
        <f>IF($L251="","",TRIM(INDEX('Base Exámenes'!$C:$C,$L251)))</f>
        <v/>
      </c>
      <c r="B251" s="5" t="str">
        <f>IF($L251="","",IFERROR(INDEX('Detalle individual'!$B:$B,MATCH($A251,'Detalle individual'!$A:$A,0)),TRIM(INDEX('Base Exámenes'!$A:$A,$L251))))</f>
        <v/>
      </c>
      <c r="C251" s="5" t="str">
        <f>IF($L251="","",IFERROR(INDEX('Detalle individual'!$C:$C,MATCH($A251,'Detalle individual'!$A:$A,0)),TRIM(INDEX('Base Exámenes'!$B:$B,$L251))))</f>
        <v/>
      </c>
      <c r="D251" s="5" t="str">
        <f>IF($L251="","",IFERROR(INDEX('Detalle individual'!$D:$D,MATCH($A251,'Detalle individual'!$A:$A,0)),"(no está en Base Oficial)"))</f>
        <v/>
      </c>
      <c r="E251" s="5" t="str">
        <f>IF($L251="","",COUNTIFS('Base Exámenes'!$C$5:$C$1000,INDEX('Base Exámenes'!$C:$C,$L251),'Base Exámenes'!$D$5:$D$1000,"&lt;="&amp;INDEX('Base Exámenes'!$D:$D,$L251)))</f>
        <v/>
      </c>
      <c r="F251" s="23" t="str">
        <f>IF($L251="","",INDEX('Base Exámenes'!$D:$D,$L251))</f>
        <v/>
      </c>
      <c r="G251" s="23" t="str">
        <f>IF($L251="","",INDEX('Base Exámenes'!$E:$E,$L251))</f>
        <v/>
      </c>
      <c r="H251" s="24" t="str">
        <f>IF($L251="","",INDEX('Base Exámenes'!$F:$F,$L251))</f>
        <v/>
      </c>
      <c r="I251" s="5" t="str">
        <f>IF($L251="","",INDEX('Base Exámenes'!$G:$G,$L251))</f>
        <v/>
      </c>
      <c r="J251" s="5" t="str">
        <f>IF($L251="","",IF($L251-4=MATCH(INDEX('Base Exámenes'!$C:$C,$L251)&amp;"|"&amp;_xlfn.MAXIFS('Base Exámenes'!$G$5:$G$1000,'Base Exámenes'!$C$5:$C$1000,INDEX('Base Exámenes'!$C:$C,$L251)),'Base Exámenes'!$I$5:$I$1000,0),"Sí",""))</f>
        <v/>
      </c>
      <c r="L251" t="str">
        <f>IFERROR(MATCH(SMALL(Cálculos!$AQ$5:$AQ$1000,247),Cálculos!$AQ$5:$AQ$1000,0)+4,"")</f>
        <v/>
      </c>
    </row>
    <row r="252">
      <c r="A252" s="5" t="str">
        <f>IF($L252="","",TRIM(INDEX('Base Exámenes'!$C:$C,$L252)))</f>
        <v/>
      </c>
      <c r="B252" s="5" t="str">
        <f>IF($L252="","",IFERROR(INDEX('Detalle individual'!$B:$B,MATCH($A252,'Detalle individual'!$A:$A,0)),TRIM(INDEX('Base Exámenes'!$A:$A,$L252))))</f>
        <v/>
      </c>
      <c r="C252" s="5" t="str">
        <f>IF($L252="","",IFERROR(INDEX('Detalle individual'!$C:$C,MATCH($A252,'Detalle individual'!$A:$A,0)),TRIM(INDEX('Base Exámenes'!$B:$B,$L252))))</f>
        <v/>
      </c>
      <c r="D252" s="5" t="str">
        <f>IF($L252="","",IFERROR(INDEX('Detalle individual'!$D:$D,MATCH($A252,'Detalle individual'!$A:$A,0)),"(no está en Base Oficial)"))</f>
        <v/>
      </c>
      <c r="E252" s="5" t="str">
        <f>IF($L252="","",COUNTIFS('Base Exámenes'!$C$5:$C$1000,INDEX('Base Exámenes'!$C:$C,$L252),'Base Exámenes'!$D$5:$D$1000,"&lt;="&amp;INDEX('Base Exámenes'!$D:$D,$L252)))</f>
        <v/>
      </c>
      <c r="F252" s="23" t="str">
        <f>IF($L252="","",INDEX('Base Exámenes'!$D:$D,$L252))</f>
        <v/>
      </c>
      <c r="G252" s="23" t="str">
        <f>IF($L252="","",INDEX('Base Exámenes'!$E:$E,$L252))</f>
        <v/>
      </c>
      <c r="H252" s="24" t="str">
        <f>IF($L252="","",INDEX('Base Exámenes'!$F:$F,$L252))</f>
        <v/>
      </c>
      <c r="I252" s="5" t="str">
        <f>IF($L252="","",INDEX('Base Exámenes'!$G:$G,$L252))</f>
        <v/>
      </c>
      <c r="J252" s="5" t="str">
        <f>IF($L252="","",IF($L252-4=MATCH(INDEX('Base Exámenes'!$C:$C,$L252)&amp;"|"&amp;_xlfn.MAXIFS('Base Exámenes'!$G$5:$G$1000,'Base Exámenes'!$C$5:$C$1000,INDEX('Base Exámenes'!$C:$C,$L252)),'Base Exámenes'!$I$5:$I$1000,0),"Sí",""))</f>
        <v/>
      </c>
      <c r="L252" t="str">
        <f>IFERROR(MATCH(SMALL(Cálculos!$AQ$5:$AQ$1000,248),Cálculos!$AQ$5:$AQ$1000,0)+4,"")</f>
        <v/>
      </c>
    </row>
    <row r="253">
      <c r="A253" s="5" t="str">
        <f>IF($L253="","",TRIM(INDEX('Base Exámenes'!$C:$C,$L253)))</f>
        <v/>
      </c>
      <c r="B253" s="5" t="str">
        <f>IF($L253="","",IFERROR(INDEX('Detalle individual'!$B:$B,MATCH($A253,'Detalle individual'!$A:$A,0)),TRIM(INDEX('Base Exámenes'!$A:$A,$L253))))</f>
        <v/>
      </c>
      <c r="C253" s="5" t="str">
        <f>IF($L253="","",IFERROR(INDEX('Detalle individual'!$C:$C,MATCH($A253,'Detalle individual'!$A:$A,0)),TRIM(INDEX('Base Exámenes'!$B:$B,$L253))))</f>
        <v/>
      </c>
      <c r="D253" s="5" t="str">
        <f>IF($L253="","",IFERROR(INDEX('Detalle individual'!$D:$D,MATCH($A253,'Detalle individual'!$A:$A,0)),"(no está en Base Oficial)"))</f>
        <v/>
      </c>
      <c r="E253" s="5" t="str">
        <f>IF($L253="","",COUNTIFS('Base Exámenes'!$C$5:$C$1000,INDEX('Base Exámenes'!$C:$C,$L253),'Base Exámenes'!$D$5:$D$1000,"&lt;="&amp;INDEX('Base Exámenes'!$D:$D,$L253)))</f>
        <v/>
      </c>
      <c r="F253" s="23" t="str">
        <f>IF($L253="","",INDEX('Base Exámenes'!$D:$D,$L253))</f>
        <v/>
      </c>
      <c r="G253" s="23" t="str">
        <f>IF($L253="","",INDEX('Base Exámenes'!$E:$E,$L253))</f>
        <v/>
      </c>
      <c r="H253" s="24" t="str">
        <f>IF($L253="","",INDEX('Base Exámenes'!$F:$F,$L253))</f>
        <v/>
      </c>
      <c r="I253" s="5" t="str">
        <f>IF($L253="","",INDEX('Base Exámenes'!$G:$G,$L253))</f>
        <v/>
      </c>
      <c r="J253" s="5" t="str">
        <f>IF($L253="","",IF($L253-4=MATCH(INDEX('Base Exámenes'!$C:$C,$L253)&amp;"|"&amp;_xlfn.MAXIFS('Base Exámenes'!$G$5:$G$1000,'Base Exámenes'!$C$5:$C$1000,INDEX('Base Exámenes'!$C:$C,$L253)),'Base Exámenes'!$I$5:$I$1000,0),"Sí",""))</f>
        <v/>
      </c>
      <c r="L253" t="str">
        <f>IFERROR(MATCH(SMALL(Cálculos!$AQ$5:$AQ$1000,249),Cálculos!$AQ$5:$AQ$1000,0)+4,"")</f>
        <v/>
      </c>
    </row>
    <row r="254">
      <c r="A254" s="5" t="str">
        <f>IF($L254="","",TRIM(INDEX('Base Exámenes'!$C:$C,$L254)))</f>
        <v/>
      </c>
      <c r="B254" s="5" t="str">
        <f>IF($L254="","",IFERROR(INDEX('Detalle individual'!$B:$B,MATCH($A254,'Detalle individual'!$A:$A,0)),TRIM(INDEX('Base Exámenes'!$A:$A,$L254))))</f>
        <v/>
      </c>
      <c r="C254" s="5" t="str">
        <f>IF($L254="","",IFERROR(INDEX('Detalle individual'!$C:$C,MATCH($A254,'Detalle individual'!$A:$A,0)),TRIM(INDEX('Base Exámenes'!$B:$B,$L254))))</f>
        <v/>
      </c>
      <c r="D254" s="5" t="str">
        <f>IF($L254="","",IFERROR(INDEX('Detalle individual'!$D:$D,MATCH($A254,'Detalle individual'!$A:$A,0)),"(no está en Base Oficial)"))</f>
        <v/>
      </c>
      <c r="E254" s="5" t="str">
        <f>IF($L254="","",COUNTIFS('Base Exámenes'!$C$5:$C$1000,INDEX('Base Exámenes'!$C:$C,$L254),'Base Exámenes'!$D$5:$D$1000,"&lt;="&amp;INDEX('Base Exámenes'!$D:$D,$L254)))</f>
        <v/>
      </c>
      <c r="F254" s="23" t="str">
        <f>IF($L254="","",INDEX('Base Exámenes'!$D:$D,$L254))</f>
        <v/>
      </c>
      <c r="G254" s="23" t="str">
        <f>IF($L254="","",INDEX('Base Exámenes'!$E:$E,$L254))</f>
        <v/>
      </c>
      <c r="H254" s="24" t="str">
        <f>IF($L254="","",INDEX('Base Exámenes'!$F:$F,$L254))</f>
        <v/>
      </c>
      <c r="I254" s="5" t="str">
        <f>IF($L254="","",INDEX('Base Exámenes'!$G:$G,$L254))</f>
        <v/>
      </c>
      <c r="J254" s="5" t="str">
        <f>IF($L254="","",IF($L254-4=MATCH(INDEX('Base Exámenes'!$C:$C,$L254)&amp;"|"&amp;_xlfn.MAXIFS('Base Exámenes'!$G$5:$G$1000,'Base Exámenes'!$C$5:$C$1000,INDEX('Base Exámenes'!$C:$C,$L254)),'Base Exámenes'!$I$5:$I$1000,0),"Sí",""))</f>
        <v/>
      </c>
      <c r="L254" t="str">
        <f>IFERROR(MATCH(SMALL(Cálculos!$AQ$5:$AQ$1000,250),Cálculos!$AQ$5:$AQ$1000,0)+4,"")</f>
        <v/>
      </c>
    </row>
    <row r="255">
      <c r="A255" s="5" t="str">
        <f>IF($L255="","",TRIM(INDEX('Base Exámenes'!$C:$C,$L255)))</f>
        <v/>
      </c>
      <c r="B255" s="5" t="str">
        <f>IF($L255="","",IFERROR(INDEX('Detalle individual'!$B:$B,MATCH($A255,'Detalle individual'!$A:$A,0)),TRIM(INDEX('Base Exámenes'!$A:$A,$L255))))</f>
        <v/>
      </c>
      <c r="C255" s="5" t="str">
        <f>IF($L255="","",IFERROR(INDEX('Detalle individual'!$C:$C,MATCH($A255,'Detalle individual'!$A:$A,0)),TRIM(INDEX('Base Exámenes'!$B:$B,$L255))))</f>
        <v/>
      </c>
      <c r="D255" s="5" t="str">
        <f>IF($L255="","",IFERROR(INDEX('Detalle individual'!$D:$D,MATCH($A255,'Detalle individual'!$A:$A,0)),"(no está en Base Oficial)"))</f>
        <v/>
      </c>
      <c r="E255" s="5" t="str">
        <f>IF($L255="","",COUNTIFS('Base Exámenes'!$C$5:$C$1000,INDEX('Base Exámenes'!$C:$C,$L255),'Base Exámenes'!$D$5:$D$1000,"&lt;="&amp;INDEX('Base Exámenes'!$D:$D,$L255)))</f>
        <v/>
      </c>
      <c r="F255" s="23" t="str">
        <f>IF($L255="","",INDEX('Base Exámenes'!$D:$D,$L255))</f>
        <v/>
      </c>
      <c r="G255" s="23" t="str">
        <f>IF($L255="","",INDEX('Base Exámenes'!$E:$E,$L255))</f>
        <v/>
      </c>
      <c r="H255" s="24" t="str">
        <f>IF($L255="","",INDEX('Base Exámenes'!$F:$F,$L255))</f>
        <v/>
      </c>
      <c r="I255" s="5" t="str">
        <f>IF($L255="","",INDEX('Base Exámenes'!$G:$G,$L255))</f>
        <v/>
      </c>
      <c r="J255" s="5" t="str">
        <f>IF($L255="","",IF($L255-4=MATCH(INDEX('Base Exámenes'!$C:$C,$L255)&amp;"|"&amp;_xlfn.MAXIFS('Base Exámenes'!$G$5:$G$1000,'Base Exámenes'!$C$5:$C$1000,INDEX('Base Exámenes'!$C:$C,$L255)),'Base Exámenes'!$I$5:$I$1000,0),"Sí",""))</f>
        <v/>
      </c>
      <c r="L255" t="str">
        <f>IFERROR(MATCH(SMALL(Cálculos!$AQ$5:$AQ$1000,251),Cálculos!$AQ$5:$AQ$1000,0)+4,"")</f>
        <v/>
      </c>
    </row>
    <row r="256">
      <c r="A256" s="5" t="str">
        <f>IF($L256="","",TRIM(INDEX('Base Exámenes'!$C:$C,$L256)))</f>
        <v/>
      </c>
      <c r="B256" s="5" t="str">
        <f>IF($L256="","",IFERROR(INDEX('Detalle individual'!$B:$B,MATCH($A256,'Detalle individual'!$A:$A,0)),TRIM(INDEX('Base Exámenes'!$A:$A,$L256))))</f>
        <v/>
      </c>
      <c r="C256" s="5" t="str">
        <f>IF($L256="","",IFERROR(INDEX('Detalle individual'!$C:$C,MATCH($A256,'Detalle individual'!$A:$A,0)),TRIM(INDEX('Base Exámenes'!$B:$B,$L256))))</f>
        <v/>
      </c>
      <c r="D256" s="5" t="str">
        <f>IF($L256="","",IFERROR(INDEX('Detalle individual'!$D:$D,MATCH($A256,'Detalle individual'!$A:$A,0)),"(no está en Base Oficial)"))</f>
        <v/>
      </c>
      <c r="E256" s="5" t="str">
        <f>IF($L256="","",COUNTIFS('Base Exámenes'!$C$5:$C$1000,INDEX('Base Exámenes'!$C:$C,$L256),'Base Exámenes'!$D$5:$D$1000,"&lt;="&amp;INDEX('Base Exámenes'!$D:$D,$L256)))</f>
        <v/>
      </c>
      <c r="F256" s="23" t="str">
        <f>IF($L256="","",INDEX('Base Exámenes'!$D:$D,$L256))</f>
        <v/>
      </c>
      <c r="G256" s="23" t="str">
        <f>IF($L256="","",INDEX('Base Exámenes'!$E:$E,$L256))</f>
        <v/>
      </c>
      <c r="H256" s="24" t="str">
        <f>IF($L256="","",INDEX('Base Exámenes'!$F:$F,$L256))</f>
        <v/>
      </c>
      <c r="I256" s="5" t="str">
        <f>IF($L256="","",INDEX('Base Exámenes'!$G:$G,$L256))</f>
        <v/>
      </c>
      <c r="J256" s="5" t="str">
        <f>IF($L256="","",IF($L256-4=MATCH(INDEX('Base Exámenes'!$C:$C,$L256)&amp;"|"&amp;_xlfn.MAXIFS('Base Exámenes'!$G$5:$G$1000,'Base Exámenes'!$C$5:$C$1000,INDEX('Base Exámenes'!$C:$C,$L256)),'Base Exámenes'!$I$5:$I$1000,0),"Sí",""))</f>
        <v/>
      </c>
      <c r="L256" t="str">
        <f>IFERROR(MATCH(SMALL(Cálculos!$AQ$5:$AQ$1000,252),Cálculos!$AQ$5:$AQ$1000,0)+4,"")</f>
        <v/>
      </c>
    </row>
    <row r="257">
      <c r="A257" s="5" t="str">
        <f>IF($L257="","",TRIM(INDEX('Base Exámenes'!$C:$C,$L257)))</f>
        <v/>
      </c>
      <c r="B257" s="5" t="str">
        <f>IF($L257="","",IFERROR(INDEX('Detalle individual'!$B:$B,MATCH($A257,'Detalle individual'!$A:$A,0)),TRIM(INDEX('Base Exámenes'!$A:$A,$L257))))</f>
        <v/>
      </c>
      <c r="C257" s="5" t="str">
        <f>IF($L257="","",IFERROR(INDEX('Detalle individual'!$C:$C,MATCH($A257,'Detalle individual'!$A:$A,0)),TRIM(INDEX('Base Exámenes'!$B:$B,$L257))))</f>
        <v/>
      </c>
      <c r="D257" s="5" t="str">
        <f>IF($L257="","",IFERROR(INDEX('Detalle individual'!$D:$D,MATCH($A257,'Detalle individual'!$A:$A,0)),"(no está en Base Oficial)"))</f>
        <v/>
      </c>
      <c r="E257" s="5" t="str">
        <f>IF($L257="","",COUNTIFS('Base Exámenes'!$C$5:$C$1000,INDEX('Base Exámenes'!$C:$C,$L257),'Base Exámenes'!$D$5:$D$1000,"&lt;="&amp;INDEX('Base Exámenes'!$D:$D,$L257)))</f>
        <v/>
      </c>
      <c r="F257" s="23" t="str">
        <f>IF($L257="","",INDEX('Base Exámenes'!$D:$D,$L257))</f>
        <v/>
      </c>
      <c r="G257" s="23" t="str">
        <f>IF($L257="","",INDEX('Base Exámenes'!$E:$E,$L257))</f>
        <v/>
      </c>
      <c r="H257" s="24" t="str">
        <f>IF($L257="","",INDEX('Base Exámenes'!$F:$F,$L257))</f>
        <v/>
      </c>
      <c r="I257" s="5" t="str">
        <f>IF($L257="","",INDEX('Base Exámenes'!$G:$G,$L257))</f>
        <v/>
      </c>
      <c r="J257" s="5" t="str">
        <f>IF($L257="","",IF($L257-4=MATCH(INDEX('Base Exámenes'!$C:$C,$L257)&amp;"|"&amp;_xlfn.MAXIFS('Base Exámenes'!$G$5:$G$1000,'Base Exámenes'!$C$5:$C$1000,INDEX('Base Exámenes'!$C:$C,$L257)),'Base Exámenes'!$I$5:$I$1000,0),"Sí",""))</f>
        <v/>
      </c>
      <c r="L257" t="str">
        <f>IFERROR(MATCH(SMALL(Cálculos!$AQ$5:$AQ$1000,253),Cálculos!$AQ$5:$AQ$1000,0)+4,"")</f>
        <v/>
      </c>
    </row>
    <row r="258">
      <c r="A258" s="5" t="str">
        <f>IF($L258="","",TRIM(INDEX('Base Exámenes'!$C:$C,$L258)))</f>
        <v/>
      </c>
      <c r="B258" s="5" t="str">
        <f>IF($L258="","",IFERROR(INDEX('Detalle individual'!$B:$B,MATCH($A258,'Detalle individual'!$A:$A,0)),TRIM(INDEX('Base Exámenes'!$A:$A,$L258))))</f>
        <v/>
      </c>
      <c r="C258" s="5" t="str">
        <f>IF($L258="","",IFERROR(INDEX('Detalle individual'!$C:$C,MATCH($A258,'Detalle individual'!$A:$A,0)),TRIM(INDEX('Base Exámenes'!$B:$B,$L258))))</f>
        <v/>
      </c>
      <c r="D258" s="5" t="str">
        <f>IF($L258="","",IFERROR(INDEX('Detalle individual'!$D:$D,MATCH($A258,'Detalle individual'!$A:$A,0)),"(no está en Base Oficial)"))</f>
        <v/>
      </c>
      <c r="E258" s="5" t="str">
        <f>IF($L258="","",COUNTIFS('Base Exámenes'!$C$5:$C$1000,INDEX('Base Exámenes'!$C:$C,$L258),'Base Exámenes'!$D$5:$D$1000,"&lt;="&amp;INDEX('Base Exámenes'!$D:$D,$L258)))</f>
        <v/>
      </c>
      <c r="F258" s="23" t="str">
        <f>IF($L258="","",INDEX('Base Exámenes'!$D:$D,$L258))</f>
        <v/>
      </c>
      <c r="G258" s="23" t="str">
        <f>IF($L258="","",INDEX('Base Exámenes'!$E:$E,$L258))</f>
        <v/>
      </c>
      <c r="H258" s="24" t="str">
        <f>IF($L258="","",INDEX('Base Exámenes'!$F:$F,$L258))</f>
        <v/>
      </c>
      <c r="I258" s="5" t="str">
        <f>IF($L258="","",INDEX('Base Exámenes'!$G:$G,$L258))</f>
        <v/>
      </c>
      <c r="J258" s="5" t="str">
        <f>IF($L258="","",IF($L258-4=MATCH(INDEX('Base Exámenes'!$C:$C,$L258)&amp;"|"&amp;_xlfn.MAXIFS('Base Exámenes'!$G$5:$G$1000,'Base Exámenes'!$C$5:$C$1000,INDEX('Base Exámenes'!$C:$C,$L258)),'Base Exámenes'!$I$5:$I$1000,0),"Sí",""))</f>
        <v/>
      </c>
      <c r="L258" t="str">
        <f>IFERROR(MATCH(SMALL(Cálculos!$AQ$5:$AQ$1000,254),Cálculos!$AQ$5:$AQ$1000,0)+4,"")</f>
        <v/>
      </c>
    </row>
    <row r="259">
      <c r="A259" s="5" t="str">
        <f>IF($L259="","",TRIM(INDEX('Base Exámenes'!$C:$C,$L259)))</f>
        <v/>
      </c>
      <c r="B259" s="5" t="str">
        <f>IF($L259="","",IFERROR(INDEX('Detalle individual'!$B:$B,MATCH($A259,'Detalle individual'!$A:$A,0)),TRIM(INDEX('Base Exámenes'!$A:$A,$L259))))</f>
        <v/>
      </c>
      <c r="C259" s="5" t="str">
        <f>IF($L259="","",IFERROR(INDEX('Detalle individual'!$C:$C,MATCH($A259,'Detalle individual'!$A:$A,0)),TRIM(INDEX('Base Exámenes'!$B:$B,$L259))))</f>
        <v/>
      </c>
      <c r="D259" s="5" t="str">
        <f>IF($L259="","",IFERROR(INDEX('Detalle individual'!$D:$D,MATCH($A259,'Detalle individual'!$A:$A,0)),"(no está en Base Oficial)"))</f>
        <v/>
      </c>
      <c r="E259" s="5" t="str">
        <f>IF($L259="","",COUNTIFS('Base Exámenes'!$C$5:$C$1000,INDEX('Base Exámenes'!$C:$C,$L259),'Base Exámenes'!$D$5:$D$1000,"&lt;="&amp;INDEX('Base Exámenes'!$D:$D,$L259)))</f>
        <v/>
      </c>
      <c r="F259" s="23" t="str">
        <f>IF($L259="","",INDEX('Base Exámenes'!$D:$D,$L259))</f>
        <v/>
      </c>
      <c r="G259" s="23" t="str">
        <f>IF($L259="","",INDEX('Base Exámenes'!$E:$E,$L259))</f>
        <v/>
      </c>
      <c r="H259" s="24" t="str">
        <f>IF($L259="","",INDEX('Base Exámenes'!$F:$F,$L259))</f>
        <v/>
      </c>
      <c r="I259" s="5" t="str">
        <f>IF($L259="","",INDEX('Base Exámenes'!$G:$G,$L259))</f>
        <v/>
      </c>
      <c r="J259" s="5" t="str">
        <f>IF($L259="","",IF($L259-4=MATCH(INDEX('Base Exámenes'!$C:$C,$L259)&amp;"|"&amp;_xlfn.MAXIFS('Base Exámenes'!$G$5:$G$1000,'Base Exámenes'!$C$5:$C$1000,INDEX('Base Exámenes'!$C:$C,$L259)),'Base Exámenes'!$I$5:$I$1000,0),"Sí",""))</f>
        <v/>
      </c>
      <c r="L259" t="str">
        <f>IFERROR(MATCH(SMALL(Cálculos!$AQ$5:$AQ$1000,255),Cálculos!$AQ$5:$AQ$1000,0)+4,"")</f>
        <v/>
      </c>
    </row>
    <row r="260">
      <c r="A260" s="5" t="str">
        <f>IF($L260="","",TRIM(INDEX('Base Exámenes'!$C:$C,$L260)))</f>
        <v/>
      </c>
      <c r="B260" s="5" t="str">
        <f>IF($L260="","",IFERROR(INDEX('Detalle individual'!$B:$B,MATCH($A260,'Detalle individual'!$A:$A,0)),TRIM(INDEX('Base Exámenes'!$A:$A,$L260))))</f>
        <v/>
      </c>
      <c r="C260" s="5" t="str">
        <f>IF($L260="","",IFERROR(INDEX('Detalle individual'!$C:$C,MATCH($A260,'Detalle individual'!$A:$A,0)),TRIM(INDEX('Base Exámenes'!$B:$B,$L260))))</f>
        <v/>
      </c>
      <c r="D260" s="5" t="str">
        <f>IF($L260="","",IFERROR(INDEX('Detalle individual'!$D:$D,MATCH($A260,'Detalle individual'!$A:$A,0)),"(no está en Base Oficial)"))</f>
        <v/>
      </c>
      <c r="E260" s="5" t="str">
        <f>IF($L260="","",COUNTIFS('Base Exámenes'!$C$5:$C$1000,INDEX('Base Exámenes'!$C:$C,$L260),'Base Exámenes'!$D$5:$D$1000,"&lt;="&amp;INDEX('Base Exámenes'!$D:$D,$L260)))</f>
        <v/>
      </c>
      <c r="F260" s="23" t="str">
        <f>IF($L260="","",INDEX('Base Exámenes'!$D:$D,$L260))</f>
        <v/>
      </c>
      <c r="G260" s="23" t="str">
        <f>IF($L260="","",INDEX('Base Exámenes'!$E:$E,$L260))</f>
        <v/>
      </c>
      <c r="H260" s="24" t="str">
        <f>IF($L260="","",INDEX('Base Exámenes'!$F:$F,$L260))</f>
        <v/>
      </c>
      <c r="I260" s="5" t="str">
        <f>IF($L260="","",INDEX('Base Exámenes'!$G:$G,$L260))</f>
        <v/>
      </c>
      <c r="J260" s="5" t="str">
        <f>IF($L260="","",IF($L260-4=MATCH(INDEX('Base Exámenes'!$C:$C,$L260)&amp;"|"&amp;_xlfn.MAXIFS('Base Exámenes'!$G$5:$G$1000,'Base Exámenes'!$C$5:$C$1000,INDEX('Base Exámenes'!$C:$C,$L260)),'Base Exámenes'!$I$5:$I$1000,0),"Sí",""))</f>
        <v/>
      </c>
      <c r="L260" t="str">
        <f>IFERROR(MATCH(SMALL(Cálculos!$AQ$5:$AQ$1000,256),Cálculos!$AQ$5:$AQ$1000,0)+4,"")</f>
        <v/>
      </c>
    </row>
    <row r="261">
      <c r="A261" s="5" t="str">
        <f>IF($L261="","",TRIM(INDEX('Base Exámenes'!$C:$C,$L261)))</f>
        <v/>
      </c>
      <c r="B261" s="5" t="str">
        <f>IF($L261="","",IFERROR(INDEX('Detalle individual'!$B:$B,MATCH($A261,'Detalle individual'!$A:$A,0)),TRIM(INDEX('Base Exámenes'!$A:$A,$L261))))</f>
        <v/>
      </c>
      <c r="C261" s="5" t="str">
        <f>IF($L261="","",IFERROR(INDEX('Detalle individual'!$C:$C,MATCH($A261,'Detalle individual'!$A:$A,0)),TRIM(INDEX('Base Exámenes'!$B:$B,$L261))))</f>
        <v/>
      </c>
      <c r="D261" s="5" t="str">
        <f>IF($L261="","",IFERROR(INDEX('Detalle individual'!$D:$D,MATCH($A261,'Detalle individual'!$A:$A,0)),"(no está en Base Oficial)"))</f>
        <v/>
      </c>
      <c r="E261" s="5" t="str">
        <f>IF($L261="","",COUNTIFS('Base Exámenes'!$C$5:$C$1000,INDEX('Base Exámenes'!$C:$C,$L261),'Base Exámenes'!$D$5:$D$1000,"&lt;="&amp;INDEX('Base Exámenes'!$D:$D,$L261)))</f>
        <v/>
      </c>
      <c r="F261" s="23" t="str">
        <f>IF($L261="","",INDEX('Base Exámenes'!$D:$D,$L261))</f>
        <v/>
      </c>
      <c r="G261" s="23" t="str">
        <f>IF($L261="","",INDEX('Base Exámenes'!$E:$E,$L261))</f>
        <v/>
      </c>
      <c r="H261" s="24" t="str">
        <f>IF($L261="","",INDEX('Base Exámenes'!$F:$F,$L261))</f>
        <v/>
      </c>
      <c r="I261" s="5" t="str">
        <f>IF($L261="","",INDEX('Base Exámenes'!$G:$G,$L261))</f>
        <v/>
      </c>
      <c r="J261" s="5" t="str">
        <f>IF($L261="","",IF($L261-4=MATCH(INDEX('Base Exámenes'!$C:$C,$L261)&amp;"|"&amp;_xlfn.MAXIFS('Base Exámenes'!$G$5:$G$1000,'Base Exámenes'!$C$5:$C$1000,INDEX('Base Exámenes'!$C:$C,$L261)),'Base Exámenes'!$I$5:$I$1000,0),"Sí",""))</f>
        <v/>
      </c>
      <c r="L261" t="str">
        <f>IFERROR(MATCH(SMALL(Cálculos!$AQ$5:$AQ$1000,257),Cálculos!$AQ$5:$AQ$1000,0)+4,"")</f>
        <v/>
      </c>
    </row>
    <row r="262">
      <c r="A262" s="5" t="str">
        <f>IF($L262="","",TRIM(INDEX('Base Exámenes'!$C:$C,$L262)))</f>
        <v/>
      </c>
      <c r="B262" s="5" t="str">
        <f>IF($L262="","",IFERROR(INDEX('Detalle individual'!$B:$B,MATCH($A262,'Detalle individual'!$A:$A,0)),TRIM(INDEX('Base Exámenes'!$A:$A,$L262))))</f>
        <v/>
      </c>
      <c r="C262" s="5" t="str">
        <f>IF($L262="","",IFERROR(INDEX('Detalle individual'!$C:$C,MATCH($A262,'Detalle individual'!$A:$A,0)),TRIM(INDEX('Base Exámenes'!$B:$B,$L262))))</f>
        <v/>
      </c>
      <c r="D262" s="5" t="str">
        <f>IF($L262="","",IFERROR(INDEX('Detalle individual'!$D:$D,MATCH($A262,'Detalle individual'!$A:$A,0)),"(no está en Base Oficial)"))</f>
        <v/>
      </c>
      <c r="E262" s="5" t="str">
        <f>IF($L262="","",COUNTIFS('Base Exámenes'!$C$5:$C$1000,INDEX('Base Exámenes'!$C:$C,$L262),'Base Exámenes'!$D$5:$D$1000,"&lt;="&amp;INDEX('Base Exámenes'!$D:$D,$L262)))</f>
        <v/>
      </c>
      <c r="F262" s="23" t="str">
        <f>IF($L262="","",INDEX('Base Exámenes'!$D:$D,$L262))</f>
        <v/>
      </c>
      <c r="G262" s="23" t="str">
        <f>IF($L262="","",INDEX('Base Exámenes'!$E:$E,$L262))</f>
        <v/>
      </c>
      <c r="H262" s="24" t="str">
        <f>IF($L262="","",INDEX('Base Exámenes'!$F:$F,$L262))</f>
        <v/>
      </c>
      <c r="I262" s="5" t="str">
        <f>IF($L262="","",INDEX('Base Exámenes'!$G:$G,$L262))</f>
        <v/>
      </c>
      <c r="J262" s="5" t="str">
        <f>IF($L262="","",IF($L262-4=MATCH(INDEX('Base Exámenes'!$C:$C,$L262)&amp;"|"&amp;_xlfn.MAXIFS('Base Exámenes'!$G$5:$G$1000,'Base Exámenes'!$C$5:$C$1000,INDEX('Base Exámenes'!$C:$C,$L262)),'Base Exámenes'!$I$5:$I$1000,0),"Sí",""))</f>
        <v/>
      </c>
      <c r="L262" t="str">
        <f>IFERROR(MATCH(SMALL(Cálculos!$AQ$5:$AQ$1000,258),Cálculos!$AQ$5:$AQ$1000,0)+4,"")</f>
        <v/>
      </c>
    </row>
    <row r="263">
      <c r="A263" s="5" t="str">
        <f>IF($L263="","",TRIM(INDEX('Base Exámenes'!$C:$C,$L263)))</f>
        <v/>
      </c>
      <c r="B263" s="5" t="str">
        <f>IF($L263="","",IFERROR(INDEX('Detalle individual'!$B:$B,MATCH($A263,'Detalle individual'!$A:$A,0)),TRIM(INDEX('Base Exámenes'!$A:$A,$L263))))</f>
        <v/>
      </c>
      <c r="C263" s="5" t="str">
        <f>IF($L263="","",IFERROR(INDEX('Detalle individual'!$C:$C,MATCH($A263,'Detalle individual'!$A:$A,0)),TRIM(INDEX('Base Exámenes'!$B:$B,$L263))))</f>
        <v/>
      </c>
      <c r="D263" s="5" t="str">
        <f>IF($L263="","",IFERROR(INDEX('Detalle individual'!$D:$D,MATCH($A263,'Detalle individual'!$A:$A,0)),"(no está en Base Oficial)"))</f>
        <v/>
      </c>
      <c r="E263" s="5" t="str">
        <f>IF($L263="","",COUNTIFS('Base Exámenes'!$C$5:$C$1000,INDEX('Base Exámenes'!$C:$C,$L263),'Base Exámenes'!$D$5:$D$1000,"&lt;="&amp;INDEX('Base Exámenes'!$D:$D,$L263)))</f>
        <v/>
      </c>
      <c r="F263" s="23" t="str">
        <f>IF($L263="","",INDEX('Base Exámenes'!$D:$D,$L263))</f>
        <v/>
      </c>
      <c r="G263" s="23" t="str">
        <f>IF($L263="","",INDEX('Base Exámenes'!$E:$E,$L263))</f>
        <v/>
      </c>
      <c r="H263" s="24" t="str">
        <f>IF($L263="","",INDEX('Base Exámenes'!$F:$F,$L263))</f>
        <v/>
      </c>
      <c r="I263" s="5" t="str">
        <f>IF($L263="","",INDEX('Base Exámenes'!$G:$G,$L263))</f>
        <v/>
      </c>
      <c r="J263" s="5" t="str">
        <f>IF($L263="","",IF($L263-4=MATCH(INDEX('Base Exámenes'!$C:$C,$L263)&amp;"|"&amp;_xlfn.MAXIFS('Base Exámenes'!$G$5:$G$1000,'Base Exámenes'!$C$5:$C$1000,INDEX('Base Exámenes'!$C:$C,$L263)),'Base Exámenes'!$I$5:$I$1000,0),"Sí",""))</f>
        <v/>
      </c>
      <c r="L263" t="str">
        <f>IFERROR(MATCH(SMALL(Cálculos!$AQ$5:$AQ$1000,259),Cálculos!$AQ$5:$AQ$1000,0)+4,"")</f>
        <v/>
      </c>
    </row>
    <row r="264">
      <c r="A264" s="5" t="str">
        <f>IF($L264="","",TRIM(INDEX('Base Exámenes'!$C:$C,$L264)))</f>
        <v/>
      </c>
      <c r="B264" s="5" t="str">
        <f>IF($L264="","",IFERROR(INDEX('Detalle individual'!$B:$B,MATCH($A264,'Detalle individual'!$A:$A,0)),TRIM(INDEX('Base Exámenes'!$A:$A,$L264))))</f>
        <v/>
      </c>
      <c r="C264" s="5" t="str">
        <f>IF($L264="","",IFERROR(INDEX('Detalle individual'!$C:$C,MATCH($A264,'Detalle individual'!$A:$A,0)),TRIM(INDEX('Base Exámenes'!$B:$B,$L264))))</f>
        <v/>
      </c>
      <c r="D264" s="5" t="str">
        <f>IF($L264="","",IFERROR(INDEX('Detalle individual'!$D:$D,MATCH($A264,'Detalle individual'!$A:$A,0)),"(no está en Base Oficial)"))</f>
        <v/>
      </c>
      <c r="E264" s="5" t="str">
        <f>IF($L264="","",COUNTIFS('Base Exámenes'!$C$5:$C$1000,INDEX('Base Exámenes'!$C:$C,$L264),'Base Exámenes'!$D$5:$D$1000,"&lt;="&amp;INDEX('Base Exámenes'!$D:$D,$L264)))</f>
        <v/>
      </c>
      <c r="F264" s="23" t="str">
        <f>IF($L264="","",INDEX('Base Exámenes'!$D:$D,$L264))</f>
        <v/>
      </c>
      <c r="G264" s="23" t="str">
        <f>IF($L264="","",INDEX('Base Exámenes'!$E:$E,$L264))</f>
        <v/>
      </c>
      <c r="H264" s="24" t="str">
        <f>IF($L264="","",INDEX('Base Exámenes'!$F:$F,$L264))</f>
        <v/>
      </c>
      <c r="I264" s="5" t="str">
        <f>IF($L264="","",INDEX('Base Exámenes'!$G:$G,$L264))</f>
        <v/>
      </c>
      <c r="J264" s="5" t="str">
        <f>IF($L264="","",IF($L264-4=MATCH(INDEX('Base Exámenes'!$C:$C,$L264)&amp;"|"&amp;_xlfn.MAXIFS('Base Exámenes'!$G$5:$G$1000,'Base Exámenes'!$C$5:$C$1000,INDEX('Base Exámenes'!$C:$C,$L264)),'Base Exámenes'!$I$5:$I$1000,0),"Sí",""))</f>
        <v/>
      </c>
      <c r="L264" t="str">
        <f>IFERROR(MATCH(SMALL(Cálculos!$AQ$5:$AQ$1000,260),Cálculos!$AQ$5:$AQ$1000,0)+4,"")</f>
        <v/>
      </c>
    </row>
    <row r="265">
      <c r="A265" s="5" t="str">
        <f>IF($L265="","",TRIM(INDEX('Base Exámenes'!$C:$C,$L265)))</f>
        <v/>
      </c>
      <c r="B265" s="5" t="str">
        <f>IF($L265="","",IFERROR(INDEX('Detalle individual'!$B:$B,MATCH($A265,'Detalle individual'!$A:$A,0)),TRIM(INDEX('Base Exámenes'!$A:$A,$L265))))</f>
        <v/>
      </c>
      <c r="C265" s="5" t="str">
        <f>IF($L265="","",IFERROR(INDEX('Detalle individual'!$C:$C,MATCH($A265,'Detalle individual'!$A:$A,0)),TRIM(INDEX('Base Exámenes'!$B:$B,$L265))))</f>
        <v/>
      </c>
      <c r="D265" s="5" t="str">
        <f>IF($L265="","",IFERROR(INDEX('Detalle individual'!$D:$D,MATCH($A265,'Detalle individual'!$A:$A,0)),"(no está en Base Oficial)"))</f>
        <v/>
      </c>
      <c r="E265" s="5" t="str">
        <f>IF($L265="","",COUNTIFS('Base Exámenes'!$C$5:$C$1000,INDEX('Base Exámenes'!$C:$C,$L265),'Base Exámenes'!$D$5:$D$1000,"&lt;="&amp;INDEX('Base Exámenes'!$D:$D,$L265)))</f>
        <v/>
      </c>
      <c r="F265" s="23" t="str">
        <f>IF($L265="","",INDEX('Base Exámenes'!$D:$D,$L265))</f>
        <v/>
      </c>
      <c r="G265" s="23" t="str">
        <f>IF($L265="","",INDEX('Base Exámenes'!$E:$E,$L265))</f>
        <v/>
      </c>
      <c r="H265" s="24" t="str">
        <f>IF($L265="","",INDEX('Base Exámenes'!$F:$F,$L265))</f>
        <v/>
      </c>
      <c r="I265" s="5" t="str">
        <f>IF($L265="","",INDEX('Base Exámenes'!$G:$G,$L265))</f>
        <v/>
      </c>
      <c r="J265" s="5" t="str">
        <f>IF($L265="","",IF($L265-4=MATCH(INDEX('Base Exámenes'!$C:$C,$L265)&amp;"|"&amp;_xlfn.MAXIFS('Base Exámenes'!$G$5:$G$1000,'Base Exámenes'!$C$5:$C$1000,INDEX('Base Exámenes'!$C:$C,$L265)),'Base Exámenes'!$I$5:$I$1000,0),"Sí",""))</f>
        <v/>
      </c>
      <c r="L265" t="str">
        <f>IFERROR(MATCH(SMALL(Cálculos!$AQ$5:$AQ$1000,261),Cálculos!$AQ$5:$AQ$1000,0)+4,"")</f>
        <v/>
      </c>
    </row>
    <row r="266">
      <c r="A266" s="5" t="str">
        <f>IF($L266="","",TRIM(INDEX('Base Exámenes'!$C:$C,$L266)))</f>
        <v/>
      </c>
      <c r="B266" s="5" t="str">
        <f>IF($L266="","",IFERROR(INDEX('Detalle individual'!$B:$B,MATCH($A266,'Detalle individual'!$A:$A,0)),TRIM(INDEX('Base Exámenes'!$A:$A,$L266))))</f>
        <v/>
      </c>
      <c r="C266" s="5" t="str">
        <f>IF($L266="","",IFERROR(INDEX('Detalle individual'!$C:$C,MATCH($A266,'Detalle individual'!$A:$A,0)),TRIM(INDEX('Base Exámenes'!$B:$B,$L266))))</f>
        <v/>
      </c>
      <c r="D266" s="5" t="str">
        <f>IF($L266="","",IFERROR(INDEX('Detalle individual'!$D:$D,MATCH($A266,'Detalle individual'!$A:$A,0)),"(no está en Base Oficial)"))</f>
        <v/>
      </c>
      <c r="E266" s="5" t="str">
        <f>IF($L266="","",COUNTIFS('Base Exámenes'!$C$5:$C$1000,INDEX('Base Exámenes'!$C:$C,$L266),'Base Exámenes'!$D$5:$D$1000,"&lt;="&amp;INDEX('Base Exámenes'!$D:$D,$L266)))</f>
        <v/>
      </c>
      <c r="F266" s="23" t="str">
        <f>IF($L266="","",INDEX('Base Exámenes'!$D:$D,$L266))</f>
        <v/>
      </c>
      <c r="G266" s="23" t="str">
        <f>IF($L266="","",INDEX('Base Exámenes'!$E:$E,$L266))</f>
        <v/>
      </c>
      <c r="H266" s="24" t="str">
        <f>IF($L266="","",INDEX('Base Exámenes'!$F:$F,$L266))</f>
        <v/>
      </c>
      <c r="I266" s="5" t="str">
        <f>IF($L266="","",INDEX('Base Exámenes'!$G:$G,$L266))</f>
        <v/>
      </c>
      <c r="J266" s="5" t="str">
        <f>IF($L266="","",IF($L266-4=MATCH(INDEX('Base Exámenes'!$C:$C,$L266)&amp;"|"&amp;_xlfn.MAXIFS('Base Exámenes'!$G$5:$G$1000,'Base Exámenes'!$C$5:$C$1000,INDEX('Base Exámenes'!$C:$C,$L266)),'Base Exámenes'!$I$5:$I$1000,0),"Sí",""))</f>
        <v/>
      </c>
      <c r="L266" t="str">
        <f>IFERROR(MATCH(SMALL(Cálculos!$AQ$5:$AQ$1000,262),Cálculos!$AQ$5:$AQ$1000,0)+4,"")</f>
        <v/>
      </c>
    </row>
    <row r="267">
      <c r="A267" s="5" t="str">
        <f>IF($L267="","",TRIM(INDEX('Base Exámenes'!$C:$C,$L267)))</f>
        <v/>
      </c>
      <c r="B267" s="5" t="str">
        <f>IF($L267="","",IFERROR(INDEX('Detalle individual'!$B:$B,MATCH($A267,'Detalle individual'!$A:$A,0)),TRIM(INDEX('Base Exámenes'!$A:$A,$L267))))</f>
        <v/>
      </c>
      <c r="C267" s="5" t="str">
        <f>IF($L267="","",IFERROR(INDEX('Detalle individual'!$C:$C,MATCH($A267,'Detalle individual'!$A:$A,0)),TRIM(INDEX('Base Exámenes'!$B:$B,$L267))))</f>
        <v/>
      </c>
      <c r="D267" s="5" t="str">
        <f>IF($L267="","",IFERROR(INDEX('Detalle individual'!$D:$D,MATCH($A267,'Detalle individual'!$A:$A,0)),"(no está en Base Oficial)"))</f>
        <v/>
      </c>
      <c r="E267" s="5" t="str">
        <f>IF($L267="","",COUNTIFS('Base Exámenes'!$C$5:$C$1000,INDEX('Base Exámenes'!$C:$C,$L267),'Base Exámenes'!$D$5:$D$1000,"&lt;="&amp;INDEX('Base Exámenes'!$D:$D,$L267)))</f>
        <v/>
      </c>
      <c r="F267" s="23" t="str">
        <f>IF($L267="","",INDEX('Base Exámenes'!$D:$D,$L267))</f>
        <v/>
      </c>
      <c r="G267" s="23" t="str">
        <f>IF($L267="","",INDEX('Base Exámenes'!$E:$E,$L267))</f>
        <v/>
      </c>
      <c r="H267" s="24" t="str">
        <f>IF($L267="","",INDEX('Base Exámenes'!$F:$F,$L267))</f>
        <v/>
      </c>
      <c r="I267" s="5" t="str">
        <f>IF($L267="","",INDEX('Base Exámenes'!$G:$G,$L267))</f>
        <v/>
      </c>
      <c r="J267" s="5" t="str">
        <f>IF($L267="","",IF($L267-4=MATCH(INDEX('Base Exámenes'!$C:$C,$L267)&amp;"|"&amp;_xlfn.MAXIFS('Base Exámenes'!$G$5:$G$1000,'Base Exámenes'!$C$5:$C$1000,INDEX('Base Exámenes'!$C:$C,$L267)),'Base Exámenes'!$I$5:$I$1000,0),"Sí",""))</f>
        <v/>
      </c>
      <c r="L267" t="str">
        <f>IFERROR(MATCH(SMALL(Cálculos!$AQ$5:$AQ$1000,263),Cálculos!$AQ$5:$AQ$1000,0)+4,"")</f>
        <v/>
      </c>
    </row>
    <row r="268">
      <c r="A268" s="5" t="str">
        <f>IF($L268="","",TRIM(INDEX('Base Exámenes'!$C:$C,$L268)))</f>
        <v/>
      </c>
      <c r="B268" s="5" t="str">
        <f>IF($L268="","",IFERROR(INDEX('Detalle individual'!$B:$B,MATCH($A268,'Detalle individual'!$A:$A,0)),TRIM(INDEX('Base Exámenes'!$A:$A,$L268))))</f>
        <v/>
      </c>
      <c r="C268" s="5" t="str">
        <f>IF($L268="","",IFERROR(INDEX('Detalle individual'!$C:$C,MATCH($A268,'Detalle individual'!$A:$A,0)),TRIM(INDEX('Base Exámenes'!$B:$B,$L268))))</f>
        <v/>
      </c>
      <c r="D268" s="5" t="str">
        <f>IF($L268="","",IFERROR(INDEX('Detalle individual'!$D:$D,MATCH($A268,'Detalle individual'!$A:$A,0)),"(no está en Base Oficial)"))</f>
        <v/>
      </c>
      <c r="E268" s="5" t="str">
        <f>IF($L268="","",COUNTIFS('Base Exámenes'!$C$5:$C$1000,INDEX('Base Exámenes'!$C:$C,$L268),'Base Exámenes'!$D$5:$D$1000,"&lt;="&amp;INDEX('Base Exámenes'!$D:$D,$L268)))</f>
        <v/>
      </c>
      <c r="F268" s="23" t="str">
        <f>IF($L268="","",INDEX('Base Exámenes'!$D:$D,$L268))</f>
        <v/>
      </c>
      <c r="G268" s="23" t="str">
        <f>IF($L268="","",INDEX('Base Exámenes'!$E:$E,$L268))</f>
        <v/>
      </c>
      <c r="H268" s="24" t="str">
        <f>IF($L268="","",INDEX('Base Exámenes'!$F:$F,$L268))</f>
        <v/>
      </c>
      <c r="I268" s="5" t="str">
        <f>IF($L268="","",INDEX('Base Exámenes'!$G:$G,$L268))</f>
        <v/>
      </c>
      <c r="J268" s="5" t="str">
        <f>IF($L268="","",IF($L268-4=MATCH(INDEX('Base Exámenes'!$C:$C,$L268)&amp;"|"&amp;_xlfn.MAXIFS('Base Exámenes'!$G$5:$G$1000,'Base Exámenes'!$C$5:$C$1000,INDEX('Base Exámenes'!$C:$C,$L268)),'Base Exámenes'!$I$5:$I$1000,0),"Sí",""))</f>
        <v/>
      </c>
      <c r="L268" t="str">
        <f>IFERROR(MATCH(SMALL(Cálculos!$AQ$5:$AQ$1000,264),Cálculos!$AQ$5:$AQ$1000,0)+4,"")</f>
        <v/>
      </c>
    </row>
    <row r="269">
      <c r="A269" s="5" t="str">
        <f>IF($L269="","",TRIM(INDEX('Base Exámenes'!$C:$C,$L269)))</f>
        <v/>
      </c>
      <c r="B269" s="5" t="str">
        <f>IF($L269="","",IFERROR(INDEX('Detalle individual'!$B:$B,MATCH($A269,'Detalle individual'!$A:$A,0)),TRIM(INDEX('Base Exámenes'!$A:$A,$L269))))</f>
        <v/>
      </c>
      <c r="C269" s="5" t="str">
        <f>IF($L269="","",IFERROR(INDEX('Detalle individual'!$C:$C,MATCH($A269,'Detalle individual'!$A:$A,0)),TRIM(INDEX('Base Exámenes'!$B:$B,$L269))))</f>
        <v/>
      </c>
      <c r="D269" s="5" t="str">
        <f>IF($L269="","",IFERROR(INDEX('Detalle individual'!$D:$D,MATCH($A269,'Detalle individual'!$A:$A,0)),"(no está en Base Oficial)"))</f>
        <v/>
      </c>
      <c r="E269" s="5" t="str">
        <f>IF($L269="","",COUNTIFS('Base Exámenes'!$C$5:$C$1000,INDEX('Base Exámenes'!$C:$C,$L269),'Base Exámenes'!$D$5:$D$1000,"&lt;="&amp;INDEX('Base Exámenes'!$D:$D,$L269)))</f>
        <v/>
      </c>
      <c r="F269" s="23" t="str">
        <f>IF($L269="","",INDEX('Base Exámenes'!$D:$D,$L269))</f>
        <v/>
      </c>
      <c r="G269" s="23" t="str">
        <f>IF($L269="","",INDEX('Base Exámenes'!$E:$E,$L269))</f>
        <v/>
      </c>
      <c r="H269" s="24" t="str">
        <f>IF($L269="","",INDEX('Base Exámenes'!$F:$F,$L269))</f>
        <v/>
      </c>
      <c r="I269" s="5" t="str">
        <f>IF($L269="","",INDEX('Base Exámenes'!$G:$G,$L269))</f>
        <v/>
      </c>
      <c r="J269" s="5" t="str">
        <f>IF($L269="","",IF($L269-4=MATCH(INDEX('Base Exámenes'!$C:$C,$L269)&amp;"|"&amp;_xlfn.MAXIFS('Base Exámenes'!$G$5:$G$1000,'Base Exámenes'!$C$5:$C$1000,INDEX('Base Exámenes'!$C:$C,$L269)),'Base Exámenes'!$I$5:$I$1000,0),"Sí",""))</f>
        <v/>
      </c>
      <c r="L269" t="str">
        <f>IFERROR(MATCH(SMALL(Cálculos!$AQ$5:$AQ$1000,265),Cálculos!$AQ$5:$AQ$1000,0)+4,"")</f>
        <v/>
      </c>
    </row>
    <row r="270">
      <c r="A270" s="5" t="str">
        <f>IF($L270="","",TRIM(INDEX('Base Exámenes'!$C:$C,$L270)))</f>
        <v/>
      </c>
      <c r="B270" s="5" t="str">
        <f>IF($L270="","",IFERROR(INDEX('Detalle individual'!$B:$B,MATCH($A270,'Detalle individual'!$A:$A,0)),TRIM(INDEX('Base Exámenes'!$A:$A,$L270))))</f>
        <v/>
      </c>
      <c r="C270" s="5" t="str">
        <f>IF($L270="","",IFERROR(INDEX('Detalle individual'!$C:$C,MATCH($A270,'Detalle individual'!$A:$A,0)),TRIM(INDEX('Base Exámenes'!$B:$B,$L270))))</f>
        <v/>
      </c>
      <c r="D270" s="5" t="str">
        <f>IF($L270="","",IFERROR(INDEX('Detalle individual'!$D:$D,MATCH($A270,'Detalle individual'!$A:$A,0)),"(no está en Base Oficial)"))</f>
        <v/>
      </c>
      <c r="E270" s="5" t="str">
        <f>IF($L270="","",COUNTIFS('Base Exámenes'!$C$5:$C$1000,INDEX('Base Exámenes'!$C:$C,$L270),'Base Exámenes'!$D$5:$D$1000,"&lt;="&amp;INDEX('Base Exámenes'!$D:$D,$L270)))</f>
        <v/>
      </c>
      <c r="F270" s="23" t="str">
        <f>IF($L270="","",INDEX('Base Exámenes'!$D:$D,$L270))</f>
        <v/>
      </c>
      <c r="G270" s="23" t="str">
        <f>IF($L270="","",INDEX('Base Exámenes'!$E:$E,$L270))</f>
        <v/>
      </c>
      <c r="H270" s="24" t="str">
        <f>IF($L270="","",INDEX('Base Exámenes'!$F:$F,$L270))</f>
        <v/>
      </c>
      <c r="I270" s="5" t="str">
        <f>IF($L270="","",INDEX('Base Exámenes'!$G:$G,$L270))</f>
        <v/>
      </c>
      <c r="J270" s="5" t="str">
        <f>IF($L270="","",IF($L270-4=MATCH(INDEX('Base Exámenes'!$C:$C,$L270)&amp;"|"&amp;_xlfn.MAXIFS('Base Exámenes'!$G$5:$G$1000,'Base Exámenes'!$C$5:$C$1000,INDEX('Base Exámenes'!$C:$C,$L270)),'Base Exámenes'!$I$5:$I$1000,0),"Sí",""))</f>
        <v/>
      </c>
      <c r="L270" t="str">
        <f>IFERROR(MATCH(SMALL(Cálculos!$AQ$5:$AQ$1000,266),Cálculos!$AQ$5:$AQ$1000,0)+4,"")</f>
        <v/>
      </c>
    </row>
    <row r="271">
      <c r="A271" s="5" t="str">
        <f>IF($L271="","",TRIM(INDEX('Base Exámenes'!$C:$C,$L271)))</f>
        <v/>
      </c>
      <c r="B271" s="5" t="str">
        <f>IF($L271="","",IFERROR(INDEX('Detalle individual'!$B:$B,MATCH($A271,'Detalle individual'!$A:$A,0)),TRIM(INDEX('Base Exámenes'!$A:$A,$L271))))</f>
        <v/>
      </c>
      <c r="C271" s="5" t="str">
        <f>IF($L271="","",IFERROR(INDEX('Detalle individual'!$C:$C,MATCH($A271,'Detalle individual'!$A:$A,0)),TRIM(INDEX('Base Exámenes'!$B:$B,$L271))))</f>
        <v/>
      </c>
      <c r="D271" s="5" t="str">
        <f>IF($L271="","",IFERROR(INDEX('Detalle individual'!$D:$D,MATCH($A271,'Detalle individual'!$A:$A,0)),"(no está en Base Oficial)"))</f>
        <v/>
      </c>
      <c r="E271" s="5" t="str">
        <f>IF($L271="","",COUNTIFS('Base Exámenes'!$C$5:$C$1000,INDEX('Base Exámenes'!$C:$C,$L271),'Base Exámenes'!$D$5:$D$1000,"&lt;="&amp;INDEX('Base Exámenes'!$D:$D,$L271)))</f>
        <v/>
      </c>
      <c r="F271" s="23" t="str">
        <f>IF($L271="","",INDEX('Base Exámenes'!$D:$D,$L271))</f>
        <v/>
      </c>
      <c r="G271" s="23" t="str">
        <f>IF($L271="","",INDEX('Base Exámenes'!$E:$E,$L271))</f>
        <v/>
      </c>
      <c r="H271" s="24" t="str">
        <f>IF($L271="","",INDEX('Base Exámenes'!$F:$F,$L271))</f>
        <v/>
      </c>
      <c r="I271" s="5" t="str">
        <f>IF($L271="","",INDEX('Base Exámenes'!$G:$G,$L271))</f>
        <v/>
      </c>
      <c r="J271" s="5" t="str">
        <f>IF($L271="","",IF($L271-4=MATCH(INDEX('Base Exámenes'!$C:$C,$L271)&amp;"|"&amp;_xlfn.MAXIFS('Base Exámenes'!$G$5:$G$1000,'Base Exámenes'!$C$5:$C$1000,INDEX('Base Exámenes'!$C:$C,$L271)),'Base Exámenes'!$I$5:$I$1000,0),"Sí",""))</f>
        <v/>
      </c>
      <c r="L271" t="str">
        <f>IFERROR(MATCH(SMALL(Cálculos!$AQ$5:$AQ$1000,267),Cálculos!$AQ$5:$AQ$1000,0)+4,"")</f>
        <v/>
      </c>
    </row>
    <row r="272">
      <c r="A272" s="5" t="str">
        <f>IF($L272="","",TRIM(INDEX('Base Exámenes'!$C:$C,$L272)))</f>
        <v/>
      </c>
      <c r="B272" s="5" t="str">
        <f>IF($L272="","",IFERROR(INDEX('Detalle individual'!$B:$B,MATCH($A272,'Detalle individual'!$A:$A,0)),TRIM(INDEX('Base Exámenes'!$A:$A,$L272))))</f>
        <v/>
      </c>
      <c r="C272" s="5" t="str">
        <f>IF($L272="","",IFERROR(INDEX('Detalle individual'!$C:$C,MATCH($A272,'Detalle individual'!$A:$A,0)),TRIM(INDEX('Base Exámenes'!$B:$B,$L272))))</f>
        <v/>
      </c>
      <c r="D272" s="5" t="str">
        <f>IF($L272="","",IFERROR(INDEX('Detalle individual'!$D:$D,MATCH($A272,'Detalle individual'!$A:$A,0)),"(no está en Base Oficial)"))</f>
        <v/>
      </c>
      <c r="E272" s="5" t="str">
        <f>IF($L272="","",COUNTIFS('Base Exámenes'!$C$5:$C$1000,INDEX('Base Exámenes'!$C:$C,$L272),'Base Exámenes'!$D$5:$D$1000,"&lt;="&amp;INDEX('Base Exámenes'!$D:$D,$L272)))</f>
        <v/>
      </c>
      <c r="F272" s="23" t="str">
        <f>IF($L272="","",INDEX('Base Exámenes'!$D:$D,$L272))</f>
        <v/>
      </c>
      <c r="G272" s="23" t="str">
        <f>IF($L272="","",INDEX('Base Exámenes'!$E:$E,$L272))</f>
        <v/>
      </c>
      <c r="H272" s="24" t="str">
        <f>IF($L272="","",INDEX('Base Exámenes'!$F:$F,$L272))</f>
        <v/>
      </c>
      <c r="I272" s="5" t="str">
        <f>IF($L272="","",INDEX('Base Exámenes'!$G:$G,$L272))</f>
        <v/>
      </c>
      <c r="J272" s="5" t="str">
        <f>IF($L272="","",IF($L272-4=MATCH(INDEX('Base Exámenes'!$C:$C,$L272)&amp;"|"&amp;_xlfn.MAXIFS('Base Exámenes'!$G$5:$G$1000,'Base Exámenes'!$C$5:$C$1000,INDEX('Base Exámenes'!$C:$C,$L272)),'Base Exámenes'!$I$5:$I$1000,0),"Sí",""))</f>
        <v/>
      </c>
      <c r="L272" t="str">
        <f>IFERROR(MATCH(SMALL(Cálculos!$AQ$5:$AQ$1000,268),Cálculos!$AQ$5:$AQ$1000,0)+4,"")</f>
        <v/>
      </c>
    </row>
    <row r="273">
      <c r="A273" s="5" t="str">
        <f>IF($L273="","",TRIM(INDEX('Base Exámenes'!$C:$C,$L273)))</f>
        <v/>
      </c>
      <c r="B273" s="5" t="str">
        <f>IF($L273="","",IFERROR(INDEX('Detalle individual'!$B:$B,MATCH($A273,'Detalle individual'!$A:$A,0)),TRIM(INDEX('Base Exámenes'!$A:$A,$L273))))</f>
        <v/>
      </c>
      <c r="C273" s="5" t="str">
        <f>IF($L273="","",IFERROR(INDEX('Detalle individual'!$C:$C,MATCH($A273,'Detalle individual'!$A:$A,0)),TRIM(INDEX('Base Exámenes'!$B:$B,$L273))))</f>
        <v/>
      </c>
      <c r="D273" s="5" t="str">
        <f>IF($L273="","",IFERROR(INDEX('Detalle individual'!$D:$D,MATCH($A273,'Detalle individual'!$A:$A,0)),"(no está en Base Oficial)"))</f>
        <v/>
      </c>
      <c r="E273" s="5" t="str">
        <f>IF($L273="","",COUNTIFS('Base Exámenes'!$C$5:$C$1000,INDEX('Base Exámenes'!$C:$C,$L273),'Base Exámenes'!$D$5:$D$1000,"&lt;="&amp;INDEX('Base Exámenes'!$D:$D,$L273)))</f>
        <v/>
      </c>
      <c r="F273" s="23" t="str">
        <f>IF($L273="","",INDEX('Base Exámenes'!$D:$D,$L273))</f>
        <v/>
      </c>
      <c r="G273" s="23" t="str">
        <f>IF($L273="","",INDEX('Base Exámenes'!$E:$E,$L273))</f>
        <v/>
      </c>
      <c r="H273" s="24" t="str">
        <f>IF($L273="","",INDEX('Base Exámenes'!$F:$F,$L273))</f>
        <v/>
      </c>
      <c r="I273" s="5" t="str">
        <f>IF($L273="","",INDEX('Base Exámenes'!$G:$G,$L273))</f>
        <v/>
      </c>
      <c r="J273" s="5" t="str">
        <f>IF($L273="","",IF($L273-4=MATCH(INDEX('Base Exámenes'!$C:$C,$L273)&amp;"|"&amp;_xlfn.MAXIFS('Base Exámenes'!$G$5:$G$1000,'Base Exámenes'!$C$5:$C$1000,INDEX('Base Exámenes'!$C:$C,$L273)),'Base Exámenes'!$I$5:$I$1000,0),"Sí",""))</f>
        <v/>
      </c>
      <c r="L273" t="str">
        <f>IFERROR(MATCH(SMALL(Cálculos!$AQ$5:$AQ$1000,269),Cálculos!$AQ$5:$AQ$1000,0)+4,"")</f>
        <v/>
      </c>
    </row>
    <row r="274">
      <c r="A274" s="5" t="str">
        <f>IF($L274="","",TRIM(INDEX('Base Exámenes'!$C:$C,$L274)))</f>
        <v/>
      </c>
      <c r="B274" s="5" t="str">
        <f>IF($L274="","",IFERROR(INDEX('Detalle individual'!$B:$B,MATCH($A274,'Detalle individual'!$A:$A,0)),TRIM(INDEX('Base Exámenes'!$A:$A,$L274))))</f>
        <v/>
      </c>
      <c r="C274" s="5" t="str">
        <f>IF($L274="","",IFERROR(INDEX('Detalle individual'!$C:$C,MATCH($A274,'Detalle individual'!$A:$A,0)),TRIM(INDEX('Base Exámenes'!$B:$B,$L274))))</f>
        <v/>
      </c>
      <c r="D274" s="5" t="str">
        <f>IF($L274="","",IFERROR(INDEX('Detalle individual'!$D:$D,MATCH($A274,'Detalle individual'!$A:$A,0)),"(no está en Base Oficial)"))</f>
        <v/>
      </c>
      <c r="E274" s="5" t="str">
        <f>IF($L274="","",COUNTIFS('Base Exámenes'!$C$5:$C$1000,INDEX('Base Exámenes'!$C:$C,$L274),'Base Exámenes'!$D$5:$D$1000,"&lt;="&amp;INDEX('Base Exámenes'!$D:$D,$L274)))</f>
        <v/>
      </c>
      <c r="F274" s="23" t="str">
        <f>IF($L274="","",INDEX('Base Exámenes'!$D:$D,$L274))</f>
        <v/>
      </c>
      <c r="G274" s="23" t="str">
        <f>IF($L274="","",INDEX('Base Exámenes'!$E:$E,$L274))</f>
        <v/>
      </c>
      <c r="H274" s="24" t="str">
        <f>IF($L274="","",INDEX('Base Exámenes'!$F:$F,$L274))</f>
        <v/>
      </c>
      <c r="I274" s="5" t="str">
        <f>IF($L274="","",INDEX('Base Exámenes'!$G:$G,$L274))</f>
        <v/>
      </c>
      <c r="J274" s="5" t="str">
        <f>IF($L274="","",IF($L274-4=MATCH(INDEX('Base Exámenes'!$C:$C,$L274)&amp;"|"&amp;_xlfn.MAXIFS('Base Exámenes'!$G$5:$G$1000,'Base Exámenes'!$C$5:$C$1000,INDEX('Base Exámenes'!$C:$C,$L274)),'Base Exámenes'!$I$5:$I$1000,0),"Sí",""))</f>
        <v/>
      </c>
      <c r="L274" t="str">
        <f>IFERROR(MATCH(SMALL(Cálculos!$AQ$5:$AQ$1000,270),Cálculos!$AQ$5:$AQ$1000,0)+4,"")</f>
        <v/>
      </c>
    </row>
    <row r="275">
      <c r="A275" s="5" t="str">
        <f>IF($L275="","",TRIM(INDEX('Base Exámenes'!$C:$C,$L275)))</f>
        <v/>
      </c>
      <c r="B275" s="5" t="str">
        <f>IF($L275="","",IFERROR(INDEX('Detalle individual'!$B:$B,MATCH($A275,'Detalle individual'!$A:$A,0)),TRIM(INDEX('Base Exámenes'!$A:$A,$L275))))</f>
        <v/>
      </c>
      <c r="C275" s="5" t="str">
        <f>IF($L275="","",IFERROR(INDEX('Detalle individual'!$C:$C,MATCH($A275,'Detalle individual'!$A:$A,0)),TRIM(INDEX('Base Exámenes'!$B:$B,$L275))))</f>
        <v/>
      </c>
      <c r="D275" s="5" t="str">
        <f>IF($L275="","",IFERROR(INDEX('Detalle individual'!$D:$D,MATCH($A275,'Detalle individual'!$A:$A,0)),"(no está en Base Oficial)"))</f>
        <v/>
      </c>
      <c r="E275" s="5" t="str">
        <f>IF($L275="","",COUNTIFS('Base Exámenes'!$C$5:$C$1000,INDEX('Base Exámenes'!$C:$C,$L275),'Base Exámenes'!$D$5:$D$1000,"&lt;="&amp;INDEX('Base Exámenes'!$D:$D,$L275)))</f>
        <v/>
      </c>
      <c r="F275" s="23" t="str">
        <f>IF($L275="","",INDEX('Base Exámenes'!$D:$D,$L275))</f>
        <v/>
      </c>
      <c r="G275" s="23" t="str">
        <f>IF($L275="","",INDEX('Base Exámenes'!$E:$E,$L275))</f>
        <v/>
      </c>
      <c r="H275" s="24" t="str">
        <f>IF($L275="","",INDEX('Base Exámenes'!$F:$F,$L275))</f>
        <v/>
      </c>
      <c r="I275" s="5" t="str">
        <f>IF($L275="","",INDEX('Base Exámenes'!$G:$G,$L275))</f>
        <v/>
      </c>
      <c r="J275" s="5" t="str">
        <f>IF($L275="","",IF($L275-4=MATCH(INDEX('Base Exámenes'!$C:$C,$L275)&amp;"|"&amp;_xlfn.MAXIFS('Base Exámenes'!$G$5:$G$1000,'Base Exámenes'!$C$5:$C$1000,INDEX('Base Exámenes'!$C:$C,$L275)),'Base Exámenes'!$I$5:$I$1000,0),"Sí",""))</f>
        <v/>
      </c>
      <c r="L275" t="str">
        <f>IFERROR(MATCH(SMALL(Cálculos!$AQ$5:$AQ$1000,271),Cálculos!$AQ$5:$AQ$1000,0)+4,"")</f>
        <v/>
      </c>
    </row>
    <row r="276">
      <c r="A276" s="5" t="str">
        <f>IF($L276="","",TRIM(INDEX('Base Exámenes'!$C:$C,$L276)))</f>
        <v/>
      </c>
      <c r="B276" s="5" t="str">
        <f>IF($L276="","",IFERROR(INDEX('Detalle individual'!$B:$B,MATCH($A276,'Detalle individual'!$A:$A,0)),TRIM(INDEX('Base Exámenes'!$A:$A,$L276))))</f>
        <v/>
      </c>
      <c r="C276" s="5" t="str">
        <f>IF($L276="","",IFERROR(INDEX('Detalle individual'!$C:$C,MATCH($A276,'Detalle individual'!$A:$A,0)),TRIM(INDEX('Base Exámenes'!$B:$B,$L276))))</f>
        <v/>
      </c>
      <c r="D276" s="5" t="str">
        <f>IF($L276="","",IFERROR(INDEX('Detalle individual'!$D:$D,MATCH($A276,'Detalle individual'!$A:$A,0)),"(no está en Base Oficial)"))</f>
        <v/>
      </c>
      <c r="E276" s="5" t="str">
        <f>IF($L276="","",COUNTIFS('Base Exámenes'!$C$5:$C$1000,INDEX('Base Exámenes'!$C:$C,$L276),'Base Exámenes'!$D$5:$D$1000,"&lt;="&amp;INDEX('Base Exámenes'!$D:$D,$L276)))</f>
        <v/>
      </c>
      <c r="F276" s="23" t="str">
        <f>IF($L276="","",INDEX('Base Exámenes'!$D:$D,$L276))</f>
        <v/>
      </c>
      <c r="G276" s="23" t="str">
        <f>IF($L276="","",INDEX('Base Exámenes'!$E:$E,$L276))</f>
        <v/>
      </c>
      <c r="H276" s="24" t="str">
        <f>IF($L276="","",INDEX('Base Exámenes'!$F:$F,$L276))</f>
        <v/>
      </c>
      <c r="I276" s="5" t="str">
        <f>IF($L276="","",INDEX('Base Exámenes'!$G:$G,$L276))</f>
        <v/>
      </c>
      <c r="J276" s="5" t="str">
        <f>IF($L276="","",IF($L276-4=MATCH(INDEX('Base Exámenes'!$C:$C,$L276)&amp;"|"&amp;_xlfn.MAXIFS('Base Exámenes'!$G$5:$G$1000,'Base Exámenes'!$C$5:$C$1000,INDEX('Base Exámenes'!$C:$C,$L276)),'Base Exámenes'!$I$5:$I$1000,0),"Sí",""))</f>
        <v/>
      </c>
      <c r="L276" t="str">
        <f>IFERROR(MATCH(SMALL(Cálculos!$AQ$5:$AQ$1000,272),Cálculos!$AQ$5:$AQ$1000,0)+4,"")</f>
        <v/>
      </c>
    </row>
    <row r="277">
      <c r="A277" s="5" t="str">
        <f>IF($L277="","",TRIM(INDEX('Base Exámenes'!$C:$C,$L277)))</f>
        <v/>
      </c>
      <c r="B277" s="5" t="str">
        <f>IF($L277="","",IFERROR(INDEX('Detalle individual'!$B:$B,MATCH($A277,'Detalle individual'!$A:$A,0)),TRIM(INDEX('Base Exámenes'!$A:$A,$L277))))</f>
        <v/>
      </c>
      <c r="C277" s="5" t="str">
        <f>IF($L277="","",IFERROR(INDEX('Detalle individual'!$C:$C,MATCH($A277,'Detalle individual'!$A:$A,0)),TRIM(INDEX('Base Exámenes'!$B:$B,$L277))))</f>
        <v/>
      </c>
      <c r="D277" s="5" t="str">
        <f>IF($L277="","",IFERROR(INDEX('Detalle individual'!$D:$D,MATCH($A277,'Detalle individual'!$A:$A,0)),"(no está en Base Oficial)"))</f>
        <v/>
      </c>
      <c r="E277" s="5" t="str">
        <f>IF($L277="","",COUNTIFS('Base Exámenes'!$C$5:$C$1000,INDEX('Base Exámenes'!$C:$C,$L277),'Base Exámenes'!$D$5:$D$1000,"&lt;="&amp;INDEX('Base Exámenes'!$D:$D,$L277)))</f>
        <v/>
      </c>
      <c r="F277" s="23" t="str">
        <f>IF($L277="","",INDEX('Base Exámenes'!$D:$D,$L277))</f>
        <v/>
      </c>
      <c r="G277" s="23" t="str">
        <f>IF($L277="","",INDEX('Base Exámenes'!$E:$E,$L277))</f>
        <v/>
      </c>
      <c r="H277" s="24" t="str">
        <f>IF($L277="","",INDEX('Base Exámenes'!$F:$F,$L277))</f>
        <v/>
      </c>
      <c r="I277" s="5" t="str">
        <f>IF($L277="","",INDEX('Base Exámenes'!$G:$G,$L277))</f>
        <v/>
      </c>
      <c r="J277" s="5" t="str">
        <f>IF($L277="","",IF($L277-4=MATCH(INDEX('Base Exámenes'!$C:$C,$L277)&amp;"|"&amp;_xlfn.MAXIFS('Base Exámenes'!$G$5:$G$1000,'Base Exámenes'!$C$5:$C$1000,INDEX('Base Exámenes'!$C:$C,$L277)),'Base Exámenes'!$I$5:$I$1000,0),"Sí",""))</f>
        <v/>
      </c>
      <c r="L277" t="str">
        <f>IFERROR(MATCH(SMALL(Cálculos!$AQ$5:$AQ$1000,273),Cálculos!$AQ$5:$AQ$1000,0)+4,"")</f>
        <v/>
      </c>
    </row>
    <row r="278">
      <c r="A278" s="5" t="str">
        <f>IF($L278="","",TRIM(INDEX('Base Exámenes'!$C:$C,$L278)))</f>
        <v/>
      </c>
      <c r="B278" s="5" t="str">
        <f>IF($L278="","",IFERROR(INDEX('Detalle individual'!$B:$B,MATCH($A278,'Detalle individual'!$A:$A,0)),TRIM(INDEX('Base Exámenes'!$A:$A,$L278))))</f>
        <v/>
      </c>
      <c r="C278" s="5" t="str">
        <f>IF($L278="","",IFERROR(INDEX('Detalle individual'!$C:$C,MATCH($A278,'Detalle individual'!$A:$A,0)),TRIM(INDEX('Base Exámenes'!$B:$B,$L278))))</f>
        <v/>
      </c>
      <c r="D278" s="5" t="str">
        <f>IF($L278="","",IFERROR(INDEX('Detalle individual'!$D:$D,MATCH($A278,'Detalle individual'!$A:$A,0)),"(no está en Base Oficial)"))</f>
        <v/>
      </c>
      <c r="E278" s="5" t="str">
        <f>IF($L278="","",COUNTIFS('Base Exámenes'!$C$5:$C$1000,INDEX('Base Exámenes'!$C:$C,$L278),'Base Exámenes'!$D$5:$D$1000,"&lt;="&amp;INDEX('Base Exámenes'!$D:$D,$L278)))</f>
        <v/>
      </c>
      <c r="F278" s="23" t="str">
        <f>IF($L278="","",INDEX('Base Exámenes'!$D:$D,$L278))</f>
        <v/>
      </c>
      <c r="G278" s="23" t="str">
        <f>IF($L278="","",INDEX('Base Exámenes'!$E:$E,$L278))</f>
        <v/>
      </c>
      <c r="H278" s="24" t="str">
        <f>IF($L278="","",INDEX('Base Exámenes'!$F:$F,$L278))</f>
        <v/>
      </c>
      <c r="I278" s="5" t="str">
        <f>IF($L278="","",INDEX('Base Exámenes'!$G:$G,$L278))</f>
        <v/>
      </c>
      <c r="J278" s="5" t="str">
        <f>IF($L278="","",IF($L278-4=MATCH(INDEX('Base Exámenes'!$C:$C,$L278)&amp;"|"&amp;_xlfn.MAXIFS('Base Exámenes'!$G$5:$G$1000,'Base Exámenes'!$C$5:$C$1000,INDEX('Base Exámenes'!$C:$C,$L278)),'Base Exámenes'!$I$5:$I$1000,0),"Sí",""))</f>
        <v/>
      </c>
      <c r="L278" t="str">
        <f>IFERROR(MATCH(SMALL(Cálculos!$AQ$5:$AQ$1000,274),Cálculos!$AQ$5:$AQ$1000,0)+4,"")</f>
        <v/>
      </c>
    </row>
    <row r="279">
      <c r="A279" s="5" t="str">
        <f>IF($L279="","",TRIM(INDEX('Base Exámenes'!$C:$C,$L279)))</f>
        <v/>
      </c>
      <c r="B279" s="5" t="str">
        <f>IF($L279="","",IFERROR(INDEX('Detalle individual'!$B:$B,MATCH($A279,'Detalle individual'!$A:$A,0)),TRIM(INDEX('Base Exámenes'!$A:$A,$L279))))</f>
        <v/>
      </c>
      <c r="C279" s="5" t="str">
        <f>IF($L279="","",IFERROR(INDEX('Detalle individual'!$C:$C,MATCH($A279,'Detalle individual'!$A:$A,0)),TRIM(INDEX('Base Exámenes'!$B:$B,$L279))))</f>
        <v/>
      </c>
      <c r="D279" s="5" t="str">
        <f>IF($L279="","",IFERROR(INDEX('Detalle individual'!$D:$D,MATCH($A279,'Detalle individual'!$A:$A,0)),"(no está en Base Oficial)"))</f>
        <v/>
      </c>
      <c r="E279" s="5" t="str">
        <f>IF($L279="","",COUNTIFS('Base Exámenes'!$C$5:$C$1000,INDEX('Base Exámenes'!$C:$C,$L279),'Base Exámenes'!$D$5:$D$1000,"&lt;="&amp;INDEX('Base Exámenes'!$D:$D,$L279)))</f>
        <v/>
      </c>
      <c r="F279" s="23" t="str">
        <f>IF($L279="","",INDEX('Base Exámenes'!$D:$D,$L279))</f>
        <v/>
      </c>
      <c r="G279" s="23" t="str">
        <f>IF($L279="","",INDEX('Base Exámenes'!$E:$E,$L279))</f>
        <v/>
      </c>
      <c r="H279" s="24" t="str">
        <f>IF($L279="","",INDEX('Base Exámenes'!$F:$F,$L279))</f>
        <v/>
      </c>
      <c r="I279" s="5" t="str">
        <f>IF($L279="","",INDEX('Base Exámenes'!$G:$G,$L279))</f>
        <v/>
      </c>
      <c r="J279" s="5" t="str">
        <f>IF($L279="","",IF($L279-4=MATCH(INDEX('Base Exámenes'!$C:$C,$L279)&amp;"|"&amp;_xlfn.MAXIFS('Base Exámenes'!$G$5:$G$1000,'Base Exámenes'!$C$5:$C$1000,INDEX('Base Exámenes'!$C:$C,$L279)),'Base Exámenes'!$I$5:$I$1000,0),"Sí",""))</f>
        <v/>
      </c>
      <c r="L279" t="str">
        <f>IFERROR(MATCH(SMALL(Cálculos!$AQ$5:$AQ$1000,275),Cálculos!$AQ$5:$AQ$1000,0)+4,"")</f>
        <v/>
      </c>
    </row>
    <row r="280">
      <c r="A280" s="5" t="str">
        <f>IF($L280="","",TRIM(INDEX('Base Exámenes'!$C:$C,$L280)))</f>
        <v/>
      </c>
      <c r="B280" s="5" t="str">
        <f>IF($L280="","",IFERROR(INDEX('Detalle individual'!$B:$B,MATCH($A280,'Detalle individual'!$A:$A,0)),TRIM(INDEX('Base Exámenes'!$A:$A,$L280))))</f>
        <v/>
      </c>
      <c r="C280" s="5" t="str">
        <f>IF($L280="","",IFERROR(INDEX('Detalle individual'!$C:$C,MATCH($A280,'Detalle individual'!$A:$A,0)),TRIM(INDEX('Base Exámenes'!$B:$B,$L280))))</f>
        <v/>
      </c>
      <c r="D280" s="5" t="str">
        <f>IF($L280="","",IFERROR(INDEX('Detalle individual'!$D:$D,MATCH($A280,'Detalle individual'!$A:$A,0)),"(no está en Base Oficial)"))</f>
        <v/>
      </c>
      <c r="E280" s="5" t="str">
        <f>IF($L280="","",COUNTIFS('Base Exámenes'!$C$5:$C$1000,INDEX('Base Exámenes'!$C:$C,$L280),'Base Exámenes'!$D$5:$D$1000,"&lt;="&amp;INDEX('Base Exámenes'!$D:$D,$L280)))</f>
        <v/>
      </c>
      <c r="F280" s="23" t="str">
        <f>IF($L280="","",INDEX('Base Exámenes'!$D:$D,$L280))</f>
        <v/>
      </c>
      <c r="G280" s="23" t="str">
        <f>IF($L280="","",INDEX('Base Exámenes'!$E:$E,$L280))</f>
        <v/>
      </c>
      <c r="H280" s="24" t="str">
        <f>IF($L280="","",INDEX('Base Exámenes'!$F:$F,$L280))</f>
        <v/>
      </c>
      <c r="I280" s="5" t="str">
        <f>IF($L280="","",INDEX('Base Exámenes'!$G:$G,$L280))</f>
        <v/>
      </c>
      <c r="J280" s="5" t="str">
        <f>IF($L280="","",IF($L280-4=MATCH(INDEX('Base Exámenes'!$C:$C,$L280)&amp;"|"&amp;_xlfn.MAXIFS('Base Exámenes'!$G$5:$G$1000,'Base Exámenes'!$C$5:$C$1000,INDEX('Base Exámenes'!$C:$C,$L280)),'Base Exámenes'!$I$5:$I$1000,0),"Sí",""))</f>
        <v/>
      </c>
      <c r="L280" t="str">
        <f>IFERROR(MATCH(SMALL(Cálculos!$AQ$5:$AQ$1000,276),Cálculos!$AQ$5:$AQ$1000,0)+4,"")</f>
        <v/>
      </c>
    </row>
    <row r="281">
      <c r="A281" s="5" t="str">
        <f>IF($L281="","",TRIM(INDEX('Base Exámenes'!$C:$C,$L281)))</f>
        <v/>
      </c>
      <c r="B281" s="5" t="str">
        <f>IF($L281="","",IFERROR(INDEX('Detalle individual'!$B:$B,MATCH($A281,'Detalle individual'!$A:$A,0)),TRIM(INDEX('Base Exámenes'!$A:$A,$L281))))</f>
        <v/>
      </c>
      <c r="C281" s="5" t="str">
        <f>IF($L281="","",IFERROR(INDEX('Detalle individual'!$C:$C,MATCH($A281,'Detalle individual'!$A:$A,0)),TRIM(INDEX('Base Exámenes'!$B:$B,$L281))))</f>
        <v/>
      </c>
      <c r="D281" s="5" t="str">
        <f>IF($L281="","",IFERROR(INDEX('Detalle individual'!$D:$D,MATCH($A281,'Detalle individual'!$A:$A,0)),"(no está en Base Oficial)"))</f>
        <v/>
      </c>
      <c r="E281" s="5" t="str">
        <f>IF($L281="","",COUNTIFS('Base Exámenes'!$C$5:$C$1000,INDEX('Base Exámenes'!$C:$C,$L281),'Base Exámenes'!$D$5:$D$1000,"&lt;="&amp;INDEX('Base Exámenes'!$D:$D,$L281)))</f>
        <v/>
      </c>
      <c r="F281" s="23" t="str">
        <f>IF($L281="","",INDEX('Base Exámenes'!$D:$D,$L281))</f>
        <v/>
      </c>
      <c r="G281" s="23" t="str">
        <f>IF($L281="","",INDEX('Base Exámenes'!$E:$E,$L281))</f>
        <v/>
      </c>
      <c r="H281" s="24" t="str">
        <f>IF($L281="","",INDEX('Base Exámenes'!$F:$F,$L281))</f>
        <v/>
      </c>
      <c r="I281" s="5" t="str">
        <f>IF($L281="","",INDEX('Base Exámenes'!$G:$G,$L281))</f>
        <v/>
      </c>
      <c r="J281" s="5" t="str">
        <f>IF($L281="","",IF($L281-4=MATCH(INDEX('Base Exámenes'!$C:$C,$L281)&amp;"|"&amp;_xlfn.MAXIFS('Base Exámenes'!$G$5:$G$1000,'Base Exámenes'!$C$5:$C$1000,INDEX('Base Exámenes'!$C:$C,$L281)),'Base Exámenes'!$I$5:$I$1000,0),"Sí",""))</f>
        <v/>
      </c>
      <c r="L281" t="str">
        <f>IFERROR(MATCH(SMALL(Cálculos!$AQ$5:$AQ$1000,277),Cálculos!$AQ$5:$AQ$1000,0)+4,"")</f>
        <v/>
      </c>
    </row>
    <row r="282">
      <c r="A282" s="5" t="str">
        <f>IF($L282="","",TRIM(INDEX('Base Exámenes'!$C:$C,$L282)))</f>
        <v/>
      </c>
      <c r="B282" s="5" t="str">
        <f>IF($L282="","",IFERROR(INDEX('Detalle individual'!$B:$B,MATCH($A282,'Detalle individual'!$A:$A,0)),TRIM(INDEX('Base Exámenes'!$A:$A,$L282))))</f>
        <v/>
      </c>
      <c r="C282" s="5" t="str">
        <f>IF($L282="","",IFERROR(INDEX('Detalle individual'!$C:$C,MATCH($A282,'Detalle individual'!$A:$A,0)),TRIM(INDEX('Base Exámenes'!$B:$B,$L282))))</f>
        <v/>
      </c>
      <c r="D282" s="5" t="str">
        <f>IF($L282="","",IFERROR(INDEX('Detalle individual'!$D:$D,MATCH($A282,'Detalle individual'!$A:$A,0)),"(no está en Base Oficial)"))</f>
        <v/>
      </c>
      <c r="E282" s="5" t="str">
        <f>IF($L282="","",COUNTIFS('Base Exámenes'!$C$5:$C$1000,INDEX('Base Exámenes'!$C:$C,$L282),'Base Exámenes'!$D$5:$D$1000,"&lt;="&amp;INDEX('Base Exámenes'!$D:$D,$L282)))</f>
        <v/>
      </c>
      <c r="F282" s="23" t="str">
        <f>IF($L282="","",INDEX('Base Exámenes'!$D:$D,$L282))</f>
        <v/>
      </c>
      <c r="G282" s="23" t="str">
        <f>IF($L282="","",INDEX('Base Exámenes'!$E:$E,$L282))</f>
        <v/>
      </c>
      <c r="H282" s="24" t="str">
        <f>IF($L282="","",INDEX('Base Exámenes'!$F:$F,$L282))</f>
        <v/>
      </c>
      <c r="I282" s="5" t="str">
        <f>IF($L282="","",INDEX('Base Exámenes'!$G:$G,$L282))</f>
        <v/>
      </c>
      <c r="J282" s="5" t="str">
        <f>IF($L282="","",IF($L282-4=MATCH(INDEX('Base Exámenes'!$C:$C,$L282)&amp;"|"&amp;_xlfn.MAXIFS('Base Exámenes'!$G$5:$G$1000,'Base Exámenes'!$C$5:$C$1000,INDEX('Base Exámenes'!$C:$C,$L282)),'Base Exámenes'!$I$5:$I$1000,0),"Sí",""))</f>
        <v/>
      </c>
      <c r="L282" t="str">
        <f>IFERROR(MATCH(SMALL(Cálculos!$AQ$5:$AQ$1000,278),Cálculos!$AQ$5:$AQ$1000,0)+4,"")</f>
        <v/>
      </c>
    </row>
    <row r="283">
      <c r="A283" s="5" t="str">
        <f>IF($L283="","",TRIM(INDEX('Base Exámenes'!$C:$C,$L283)))</f>
        <v/>
      </c>
      <c r="B283" s="5" t="str">
        <f>IF($L283="","",IFERROR(INDEX('Detalle individual'!$B:$B,MATCH($A283,'Detalle individual'!$A:$A,0)),TRIM(INDEX('Base Exámenes'!$A:$A,$L283))))</f>
        <v/>
      </c>
      <c r="C283" s="5" t="str">
        <f>IF($L283="","",IFERROR(INDEX('Detalle individual'!$C:$C,MATCH($A283,'Detalle individual'!$A:$A,0)),TRIM(INDEX('Base Exámenes'!$B:$B,$L283))))</f>
        <v/>
      </c>
      <c r="D283" s="5" t="str">
        <f>IF($L283="","",IFERROR(INDEX('Detalle individual'!$D:$D,MATCH($A283,'Detalle individual'!$A:$A,0)),"(no está en Base Oficial)"))</f>
        <v/>
      </c>
      <c r="E283" s="5" t="str">
        <f>IF($L283="","",COUNTIFS('Base Exámenes'!$C$5:$C$1000,INDEX('Base Exámenes'!$C:$C,$L283),'Base Exámenes'!$D$5:$D$1000,"&lt;="&amp;INDEX('Base Exámenes'!$D:$D,$L283)))</f>
        <v/>
      </c>
      <c r="F283" s="23" t="str">
        <f>IF($L283="","",INDEX('Base Exámenes'!$D:$D,$L283))</f>
        <v/>
      </c>
      <c r="G283" s="23" t="str">
        <f>IF($L283="","",INDEX('Base Exámenes'!$E:$E,$L283))</f>
        <v/>
      </c>
      <c r="H283" s="24" t="str">
        <f>IF($L283="","",INDEX('Base Exámenes'!$F:$F,$L283))</f>
        <v/>
      </c>
      <c r="I283" s="5" t="str">
        <f>IF($L283="","",INDEX('Base Exámenes'!$G:$G,$L283))</f>
        <v/>
      </c>
      <c r="J283" s="5" t="str">
        <f>IF($L283="","",IF($L283-4=MATCH(INDEX('Base Exámenes'!$C:$C,$L283)&amp;"|"&amp;_xlfn.MAXIFS('Base Exámenes'!$G$5:$G$1000,'Base Exámenes'!$C$5:$C$1000,INDEX('Base Exámenes'!$C:$C,$L283)),'Base Exámenes'!$I$5:$I$1000,0),"Sí",""))</f>
        <v/>
      </c>
      <c r="L283" t="str">
        <f>IFERROR(MATCH(SMALL(Cálculos!$AQ$5:$AQ$1000,279),Cálculos!$AQ$5:$AQ$1000,0)+4,"")</f>
        <v/>
      </c>
    </row>
    <row r="284">
      <c r="A284" s="5" t="str">
        <f>IF($L284="","",TRIM(INDEX('Base Exámenes'!$C:$C,$L284)))</f>
        <v/>
      </c>
      <c r="B284" s="5" t="str">
        <f>IF($L284="","",IFERROR(INDEX('Detalle individual'!$B:$B,MATCH($A284,'Detalle individual'!$A:$A,0)),TRIM(INDEX('Base Exámenes'!$A:$A,$L284))))</f>
        <v/>
      </c>
      <c r="C284" s="5" t="str">
        <f>IF($L284="","",IFERROR(INDEX('Detalle individual'!$C:$C,MATCH($A284,'Detalle individual'!$A:$A,0)),TRIM(INDEX('Base Exámenes'!$B:$B,$L284))))</f>
        <v/>
      </c>
      <c r="D284" s="5" t="str">
        <f>IF($L284="","",IFERROR(INDEX('Detalle individual'!$D:$D,MATCH($A284,'Detalle individual'!$A:$A,0)),"(no está en Base Oficial)"))</f>
        <v/>
      </c>
      <c r="E284" s="5" t="str">
        <f>IF($L284="","",COUNTIFS('Base Exámenes'!$C$5:$C$1000,INDEX('Base Exámenes'!$C:$C,$L284),'Base Exámenes'!$D$5:$D$1000,"&lt;="&amp;INDEX('Base Exámenes'!$D:$D,$L284)))</f>
        <v/>
      </c>
      <c r="F284" s="23" t="str">
        <f>IF($L284="","",INDEX('Base Exámenes'!$D:$D,$L284))</f>
        <v/>
      </c>
      <c r="G284" s="23" t="str">
        <f>IF($L284="","",INDEX('Base Exámenes'!$E:$E,$L284))</f>
        <v/>
      </c>
      <c r="H284" s="24" t="str">
        <f>IF($L284="","",INDEX('Base Exámenes'!$F:$F,$L284))</f>
        <v/>
      </c>
      <c r="I284" s="5" t="str">
        <f>IF($L284="","",INDEX('Base Exámenes'!$G:$G,$L284))</f>
        <v/>
      </c>
      <c r="J284" s="5" t="str">
        <f>IF($L284="","",IF($L284-4=MATCH(INDEX('Base Exámenes'!$C:$C,$L284)&amp;"|"&amp;_xlfn.MAXIFS('Base Exámenes'!$G$5:$G$1000,'Base Exámenes'!$C$5:$C$1000,INDEX('Base Exámenes'!$C:$C,$L284)),'Base Exámenes'!$I$5:$I$1000,0),"Sí",""))</f>
        <v/>
      </c>
      <c r="L284" t="str">
        <f>IFERROR(MATCH(SMALL(Cálculos!$AQ$5:$AQ$1000,280),Cálculos!$AQ$5:$AQ$1000,0)+4,"")</f>
        <v/>
      </c>
    </row>
    <row r="285">
      <c r="A285" s="5" t="str">
        <f>IF($L285="","",TRIM(INDEX('Base Exámenes'!$C:$C,$L285)))</f>
        <v/>
      </c>
      <c r="B285" s="5" t="str">
        <f>IF($L285="","",IFERROR(INDEX('Detalle individual'!$B:$B,MATCH($A285,'Detalle individual'!$A:$A,0)),TRIM(INDEX('Base Exámenes'!$A:$A,$L285))))</f>
        <v/>
      </c>
      <c r="C285" s="5" t="str">
        <f>IF($L285="","",IFERROR(INDEX('Detalle individual'!$C:$C,MATCH($A285,'Detalle individual'!$A:$A,0)),TRIM(INDEX('Base Exámenes'!$B:$B,$L285))))</f>
        <v/>
      </c>
      <c r="D285" s="5" t="str">
        <f>IF($L285="","",IFERROR(INDEX('Detalle individual'!$D:$D,MATCH($A285,'Detalle individual'!$A:$A,0)),"(no está en Base Oficial)"))</f>
        <v/>
      </c>
      <c r="E285" s="5" t="str">
        <f>IF($L285="","",COUNTIFS('Base Exámenes'!$C$5:$C$1000,INDEX('Base Exámenes'!$C:$C,$L285),'Base Exámenes'!$D$5:$D$1000,"&lt;="&amp;INDEX('Base Exámenes'!$D:$D,$L285)))</f>
        <v/>
      </c>
      <c r="F285" s="23" t="str">
        <f>IF($L285="","",INDEX('Base Exámenes'!$D:$D,$L285))</f>
        <v/>
      </c>
      <c r="G285" s="23" t="str">
        <f>IF($L285="","",INDEX('Base Exámenes'!$E:$E,$L285))</f>
        <v/>
      </c>
      <c r="H285" s="24" t="str">
        <f>IF($L285="","",INDEX('Base Exámenes'!$F:$F,$L285))</f>
        <v/>
      </c>
      <c r="I285" s="5" t="str">
        <f>IF($L285="","",INDEX('Base Exámenes'!$G:$G,$L285))</f>
        <v/>
      </c>
      <c r="J285" s="5" t="str">
        <f>IF($L285="","",IF($L285-4=MATCH(INDEX('Base Exámenes'!$C:$C,$L285)&amp;"|"&amp;_xlfn.MAXIFS('Base Exámenes'!$G$5:$G$1000,'Base Exámenes'!$C$5:$C$1000,INDEX('Base Exámenes'!$C:$C,$L285)),'Base Exámenes'!$I$5:$I$1000,0),"Sí",""))</f>
        <v/>
      </c>
      <c r="L285" t="str">
        <f>IFERROR(MATCH(SMALL(Cálculos!$AQ$5:$AQ$1000,281),Cálculos!$AQ$5:$AQ$1000,0)+4,"")</f>
        <v/>
      </c>
    </row>
    <row r="286">
      <c r="A286" s="5" t="str">
        <f>IF($L286="","",TRIM(INDEX('Base Exámenes'!$C:$C,$L286)))</f>
        <v/>
      </c>
      <c r="B286" s="5" t="str">
        <f>IF($L286="","",IFERROR(INDEX('Detalle individual'!$B:$B,MATCH($A286,'Detalle individual'!$A:$A,0)),TRIM(INDEX('Base Exámenes'!$A:$A,$L286))))</f>
        <v/>
      </c>
      <c r="C286" s="5" t="str">
        <f>IF($L286="","",IFERROR(INDEX('Detalle individual'!$C:$C,MATCH($A286,'Detalle individual'!$A:$A,0)),TRIM(INDEX('Base Exámenes'!$B:$B,$L286))))</f>
        <v/>
      </c>
      <c r="D286" s="5" t="str">
        <f>IF($L286="","",IFERROR(INDEX('Detalle individual'!$D:$D,MATCH($A286,'Detalle individual'!$A:$A,0)),"(no está en Base Oficial)"))</f>
        <v/>
      </c>
      <c r="E286" s="5" t="str">
        <f>IF($L286="","",COUNTIFS('Base Exámenes'!$C$5:$C$1000,INDEX('Base Exámenes'!$C:$C,$L286),'Base Exámenes'!$D$5:$D$1000,"&lt;="&amp;INDEX('Base Exámenes'!$D:$D,$L286)))</f>
        <v/>
      </c>
      <c r="F286" s="23" t="str">
        <f>IF($L286="","",INDEX('Base Exámenes'!$D:$D,$L286))</f>
        <v/>
      </c>
      <c r="G286" s="23" t="str">
        <f>IF($L286="","",INDEX('Base Exámenes'!$E:$E,$L286))</f>
        <v/>
      </c>
      <c r="H286" s="24" t="str">
        <f>IF($L286="","",INDEX('Base Exámenes'!$F:$F,$L286))</f>
        <v/>
      </c>
      <c r="I286" s="5" t="str">
        <f>IF($L286="","",INDEX('Base Exámenes'!$G:$G,$L286))</f>
        <v/>
      </c>
      <c r="J286" s="5" t="str">
        <f>IF($L286="","",IF($L286-4=MATCH(INDEX('Base Exámenes'!$C:$C,$L286)&amp;"|"&amp;_xlfn.MAXIFS('Base Exámenes'!$G$5:$G$1000,'Base Exámenes'!$C$5:$C$1000,INDEX('Base Exámenes'!$C:$C,$L286)),'Base Exámenes'!$I$5:$I$1000,0),"Sí",""))</f>
        <v/>
      </c>
      <c r="L286" t="str">
        <f>IFERROR(MATCH(SMALL(Cálculos!$AQ$5:$AQ$1000,282),Cálculos!$AQ$5:$AQ$1000,0)+4,"")</f>
        <v/>
      </c>
    </row>
    <row r="287">
      <c r="A287" s="5" t="str">
        <f>IF($L287="","",TRIM(INDEX('Base Exámenes'!$C:$C,$L287)))</f>
        <v/>
      </c>
      <c r="B287" s="5" t="str">
        <f>IF($L287="","",IFERROR(INDEX('Detalle individual'!$B:$B,MATCH($A287,'Detalle individual'!$A:$A,0)),TRIM(INDEX('Base Exámenes'!$A:$A,$L287))))</f>
        <v/>
      </c>
      <c r="C287" s="5" t="str">
        <f>IF($L287="","",IFERROR(INDEX('Detalle individual'!$C:$C,MATCH($A287,'Detalle individual'!$A:$A,0)),TRIM(INDEX('Base Exámenes'!$B:$B,$L287))))</f>
        <v/>
      </c>
      <c r="D287" s="5" t="str">
        <f>IF($L287="","",IFERROR(INDEX('Detalle individual'!$D:$D,MATCH($A287,'Detalle individual'!$A:$A,0)),"(no está en Base Oficial)"))</f>
        <v/>
      </c>
      <c r="E287" s="5" t="str">
        <f>IF($L287="","",COUNTIFS('Base Exámenes'!$C$5:$C$1000,INDEX('Base Exámenes'!$C:$C,$L287),'Base Exámenes'!$D$5:$D$1000,"&lt;="&amp;INDEX('Base Exámenes'!$D:$D,$L287)))</f>
        <v/>
      </c>
      <c r="F287" s="23" t="str">
        <f>IF($L287="","",INDEX('Base Exámenes'!$D:$D,$L287))</f>
        <v/>
      </c>
      <c r="G287" s="23" t="str">
        <f>IF($L287="","",INDEX('Base Exámenes'!$E:$E,$L287))</f>
        <v/>
      </c>
      <c r="H287" s="24" t="str">
        <f>IF($L287="","",INDEX('Base Exámenes'!$F:$F,$L287))</f>
        <v/>
      </c>
      <c r="I287" s="5" t="str">
        <f>IF($L287="","",INDEX('Base Exámenes'!$G:$G,$L287))</f>
        <v/>
      </c>
      <c r="J287" s="5" t="str">
        <f>IF($L287="","",IF($L287-4=MATCH(INDEX('Base Exámenes'!$C:$C,$L287)&amp;"|"&amp;_xlfn.MAXIFS('Base Exámenes'!$G$5:$G$1000,'Base Exámenes'!$C$5:$C$1000,INDEX('Base Exámenes'!$C:$C,$L287)),'Base Exámenes'!$I$5:$I$1000,0),"Sí",""))</f>
        <v/>
      </c>
      <c r="L287" t="str">
        <f>IFERROR(MATCH(SMALL(Cálculos!$AQ$5:$AQ$1000,283),Cálculos!$AQ$5:$AQ$1000,0)+4,"")</f>
        <v/>
      </c>
    </row>
    <row r="288">
      <c r="A288" s="5" t="str">
        <f>IF($L288="","",TRIM(INDEX('Base Exámenes'!$C:$C,$L288)))</f>
        <v/>
      </c>
      <c r="B288" s="5" t="str">
        <f>IF($L288="","",IFERROR(INDEX('Detalle individual'!$B:$B,MATCH($A288,'Detalle individual'!$A:$A,0)),TRIM(INDEX('Base Exámenes'!$A:$A,$L288))))</f>
        <v/>
      </c>
      <c r="C288" s="5" t="str">
        <f>IF($L288="","",IFERROR(INDEX('Detalle individual'!$C:$C,MATCH($A288,'Detalle individual'!$A:$A,0)),TRIM(INDEX('Base Exámenes'!$B:$B,$L288))))</f>
        <v/>
      </c>
      <c r="D288" s="5" t="str">
        <f>IF($L288="","",IFERROR(INDEX('Detalle individual'!$D:$D,MATCH($A288,'Detalle individual'!$A:$A,0)),"(no está en Base Oficial)"))</f>
        <v/>
      </c>
      <c r="E288" s="5" t="str">
        <f>IF($L288="","",COUNTIFS('Base Exámenes'!$C$5:$C$1000,INDEX('Base Exámenes'!$C:$C,$L288),'Base Exámenes'!$D$5:$D$1000,"&lt;="&amp;INDEX('Base Exámenes'!$D:$D,$L288)))</f>
        <v/>
      </c>
      <c r="F288" s="23" t="str">
        <f>IF($L288="","",INDEX('Base Exámenes'!$D:$D,$L288))</f>
        <v/>
      </c>
      <c r="G288" s="23" t="str">
        <f>IF($L288="","",INDEX('Base Exámenes'!$E:$E,$L288))</f>
        <v/>
      </c>
      <c r="H288" s="24" t="str">
        <f>IF($L288="","",INDEX('Base Exámenes'!$F:$F,$L288))</f>
        <v/>
      </c>
      <c r="I288" s="5" t="str">
        <f>IF($L288="","",INDEX('Base Exámenes'!$G:$G,$L288))</f>
        <v/>
      </c>
      <c r="J288" s="5" t="str">
        <f>IF($L288="","",IF($L288-4=MATCH(INDEX('Base Exámenes'!$C:$C,$L288)&amp;"|"&amp;_xlfn.MAXIFS('Base Exámenes'!$G$5:$G$1000,'Base Exámenes'!$C$5:$C$1000,INDEX('Base Exámenes'!$C:$C,$L288)),'Base Exámenes'!$I$5:$I$1000,0),"Sí",""))</f>
        <v/>
      </c>
      <c r="L288" t="str">
        <f>IFERROR(MATCH(SMALL(Cálculos!$AQ$5:$AQ$1000,284),Cálculos!$AQ$5:$AQ$1000,0)+4,"")</f>
        <v/>
      </c>
    </row>
    <row r="289">
      <c r="A289" s="5" t="str">
        <f>IF($L289="","",TRIM(INDEX('Base Exámenes'!$C:$C,$L289)))</f>
        <v/>
      </c>
      <c r="B289" s="5" t="str">
        <f>IF($L289="","",IFERROR(INDEX('Detalle individual'!$B:$B,MATCH($A289,'Detalle individual'!$A:$A,0)),TRIM(INDEX('Base Exámenes'!$A:$A,$L289))))</f>
        <v/>
      </c>
      <c r="C289" s="5" t="str">
        <f>IF($L289="","",IFERROR(INDEX('Detalle individual'!$C:$C,MATCH($A289,'Detalle individual'!$A:$A,0)),TRIM(INDEX('Base Exámenes'!$B:$B,$L289))))</f>
        <v/>
      </c>
      <c r="D289" s="5" t="str">
        <f>IF($L289="","",IFERROR(INDEX('Detalle individual'!$D:$D,MATCH($A289,'Detalle individual'!$A:$A,0)),"(no está en Base Oficial)"))</f>
        <v/>
      </c>
      <c r="E289" s="5" t="str">
        <f>IF($L289="","",COUNTIFS('Base Exámenes'!$C$5:$C$1000,INDEX('Base Exámenes'!$C:$C,$L289),'Base Exámenes'!$D$5:$D$1000,"&lt;="&amp;INDEX('Base Exámenes'!$D:$D,$L289)))</f>
        <v/>
      </c>
      <c r="F289" s="23" t="str">
        <f>IF($L289="","",INDEX('Base Exámenes'!$D:$D,$L289))</f>
        <v/>
      </c>
      <c r="G289" s="23" t="str">
        <f>IF($L289="","",INDEX('Base Exámenes'!$E:$E,$L289))</f>
        <v/>
      </c>
      <c r="H289" s="24" t="str">
        <f>IF($L289="","",INDEX('Base Exámenes'!$F:$F,$L289))</f>
        <v/>
      </c>
      <c r="I289" s="5" t="str">
        <f>IF($L289="","",INDEX('Base Exámenes'!$G:$G,$L289))</f>
        <v/>
      </c>
      <c r="J289" s="5" t="str">
        <f>IF($L289="","",IF($L289-4=MATCH(INDEX('Base Exámenes'!$C:$C,$L289)&amp;"|"&amp;_xlfn.MAXIFS('Base Exámenes'!$G$5:$G$1000,'Base Exámenes'!$C$5:$C$1000,INDEX('Base Exámenes'!$C:$C,$L289)),'Base Exámenes'!$I$5:$I$1000,0),"Sí",""))</f>
        <v/>
      </c>
      <c r="L289" t="str">
        <f>IFERROR(MATCH(SMALL(Cálculos!$AQ$5:$AQ$1000,285),Cálculos!$AQ$5:$AQ$1000,0)+4,"")</f>
        <v/>
      </c>
    </row>
    <row r="290">
      <c r="A290" s="5" t="str">
        <f>IF($L290="","",TRIM(INDEX('Base Exámenes'!$C:$C,$L290)))</f>
        <v/>
      </c>
      <c r="B290" s="5" t="str">
        <f>IF($L290="","",IFERROR(INDEX('Detalle individual'!$B:$B,MATCH($A290,'Detalle individual'!$A:$A,0)),TRIM(INDEX('Base Exámenes'!$A:$A,$L290))))</f>
        <v/>
      </c>
      <c r="C290" s="5" t="str">
        <f>IF($L290="","",IFERROR(INDEX('Detalle individual'!$C:$C,MATCH($A290,'Detalle individual'!$A:$A,0)),TRIM(INDEX('Base Exámenes'!$B:$B,$L290))))</f>
        <v/>
      </c>
      <c r="D290" s="5" t="str">
        <f>IF($L290="","",IFERROR(INDEX('Detalle individual'!$D:$D,MATCH($A290,'Detalle individual'!$A:$A,0)),"(no está en Base Oficial)"))</f>
        <v/>
      </c>
      <c r="E290" s="5" t="str">
        <f>IF($L290="","",COUNTIFS('Base Exámenes'!$C$5:$C$1000,INDEX('Base Exámenes'!$C:$C,$L290),'Base Exámenes'!$D$5:$D$1000,"&lt;="&amp;INDEX('Base Exámenes'!$D:$D,$L290)))</f>
        <v/>
      </c>
      <c r="F290" s="23" t="str">
        <f>IF($L290="","",INDEX('Base Exámenes'!$D:$D,$L290))</f>
        <v/>
      </c>
      <c r="G290" s="23" t="str">
        <f>IF($L290="","",INDEX('Base Exámenes'!$E:$E,$L290))</f>
        <v/>
      </c>
      <c r="H290" s="24" t="str">
        <f>IF($L290="","",INDEX('Base Exámenes'!$F:$F,$L290))</f>
        <v/>
      </c>
      <c r="I290" s="5" t="str">
        <f>IF($L290="","",INDEX('Base Exámenes'!$G:$G,$L290))</f>
        <v/>
      </c>
      <c r="J290" s="5" t="str">
        <f>IF($L290="","",IF($L290-4=MATCH(INDEX('Base Exámenes'!$C:$C,$L290)&amp;"|"&amp;_xlfn.MAXIFS('Base Exámenes'!$G$5:$G$1000,'Base Exámenes'!$C$5:$C$1000,INDEX('Base Exámenes'!$C:$C,$L290)),'Base Exámenes'!$I$5:$I$1000,0),"Sí",""))</f>
        <v/>
      </c>
      <c r="L290" t="str">
        <f>IFERROR(MATCH(SMALL(Cálculos!$AQ$5:$AQ$1000,286),Cálculos!$AQ$5:$AQ$1000,0)+4,"")</f>
        <v/>
      </c>
    </row>
    <row r="291">
      <c r="A291" s="5" t="str">
        <f>IF($L291="","",TRIM(INDEX('Base Exámenes'!$C:$C,$L291)))</f>
        <v/>
      </c>
      <c r="B291" s="5" t="str">
        <f>IF($L291="","",IFERROR(INDEX('Detalle individual'!$B:$B,MATCH($A291,'Detalle individual'!$A:$A,0)),TRIM(INDEX('Base Exámenes'!$A:$A,$L291))))</f>
        <v/>
      </c>
      <c r="C291" s="5" t="str">
        <f>IF($L291="","",IFERROR(INDEX('Detalle individual'!$C:$C,MATCH($A291,'Detalle individual'!$A:$A,0)),TRIM(INDEX('Base Exámenes'!$B:$B,$L291))))</f>
        <v/>
      </c>
      <c r="D291" s="5" t="str">
        <f>IF($L291="","",IFERROR(INDEX('Detalle individual'!$D:$D,MATCH($A291,'Detalle individual'!$A:$A,0)),"(no está en Base Oficial)"))</f>
        <v/>
      </c>
      <c r="E291" s="5" t="str">
        <f>IF($L291="","",COUNTIFS('Base Exámenes'!$C$5:$C$1000,INDEX('Base Exámenes'!$C:$C,$L291),'Base Exámenes'!$D$5:$D$1000,"&lt;="&amp;INDEX('Base Exámenes'!$D:$D,$L291)))</f>
        <v/>
      </c>
      <c r="F291" s="23" t="str">
        <f>IF($L291="","",INDEX('Base Exámenes'!$D:$D,$L291))</f>
        <v/>
      </c>
      <c r="G291" s="23" t="str">
        <f>IF($L291="","",INDEX('Base Exámenes'!$E:$E,$L291))</f>
        <v/>
      </c>
      <c r="H291" s="24" t="str">
        <f>IF($L291="","",INDEX('Base Exámenes'!$F:$F,$L291))</f>
        <v/>
      </c>
      <c r="I291" s="5" t="str">
        <f>IF($L291="","",INDEX('Base Exámenes'!$G:$G,$L291))</f>
        <v/>
      </c>
      <c r="J291" s="5" t="str">
        <f>IF($L291="","",IF($L291-4=MATCH(INDEX('Base Exámenes'!$C:$C,$L291)&amp;"|"&amp;_xlfn.MAXIFS('Base Exámenes'!$G$5:$G$1000,'Base Exámenes'!$C$5:$C$1000,INDEX('Base Exámenes'!$C:$C,$L291)),'Base Exámenes'!$I$5:$I$1000,0),"Sí",""))</f>
        <v/>
      </c>
      <c r="L291" t="str">
        <f>IFERROR(MATCH(SMALL(Cálculos!$AQ$5:$AQ$1000,287),Cálculos!$AQ$5:$AQ$1000,0)+4,"")</f>
        <v/>
      </c>
    </row>
    <row r="292">
      <c r="A292" s="5" t="str">
        <f>IF($L292="","",TRIM(INDEX('Base Exámenes'!$C:$C,$L292)))</f>
        <v/>
      </c>
      <c r="B292" s="5" t="str">
        <f>IF($L292="","",IFERROR(INDEX('Detalle individual'!$B:$B,MATCH($A292,'Detalle individual'!$A:$A,0)),TRIM(INDEX('Base Exámenes'!$A:$A,$L292))))</f>
        <v/>
      </c>
      <c r="C292" s="5" t="str">
        <f>IF($L292="","",IFERROR(INDEX('Detalle individual'!$C:$C,MATCH($A292,'Detalle individual'!$A:$A,0)),TRIM(INDEX('Base Exámenes'!$B:$B,$L292))))</f>
        <v/>
      </c>
      <c r="D292" s="5" t="str">
        <f>IF($L292="","",IFERROR(INDEX('Detalle individual'!$D:$D,MATCH($A292,'Detalle individual'!$A:$A,0)),"(no está en Base Oficial)"))</f>
        <v/>
      </c>
      <c r="E292" s="5" t="str">
        <f>IF($L292="","",COUNTIFS('Base Exámenes'!$C$5:$C$1000,INDEX('Base Exámenes'!$C:$C,$L292),'Base Exámenes'!$D$5:$D$1000,"&lt;="&amp;INDEX('Base Exámenes'!$D:$D,$L292)))</f>
        <v/>
      </c>
      <c r="F292" s="23" t="str">
        <f>IF($L292="","",INDEX('Base Exámenes'!$D:$D,$L292))</f>
        <v/>
      </c>
      <c r="G292" s="23" t="str">
        <f>IF($L292="","",INDEX('Base Exámenes'!$E:$E,$L292))</f>
        <v/>
      </c>
      <c r="H292" s="24" t="str">
        <f>IF($L292="","",INDEX('Base Exámenes'!$F:$F,$L292))</f>
        <v/>
      </c>
      <c r="I292" s="5" t="str">
        <f>IF($L292="","",INDEX('Base Exámenes'!$G:$G,$L292))</f>
        <v/>
      </c>
      <c r="J292" s="5" t="str">
        <f>IF($L292="","",IF($L292-4=MATCH(INDEX('Base Exámenes'!$C:$C,$L292)&amp;"|"&amp;_xlfn.MAXIFS('Base Exámenes'!$G$5:$G$1000,'Base Exámenes'!$C$5:$C$1000,INDEX('Base Exámenes'!$C:$C,$L292)),'Base Exámenes'!$I$5:$I$1000,0),"Sí",""))</f>
        <v/>
      </c>
      <c r="L292" t="str">
        <f>IFERROR(MATCH(SMALL(Cálculos!$AQ$5:$AQ$1000,288),Cálculos!$AQ$5:$AQ$1000,0)+4,"")</f>
        <v/>
      </c>
    </row>
    <row r="293">
      <c r="A293" s="5" t="str">
        <f>IF($L293="","",TRIM(INDEX('Base Exámenes'!$C:$C,$L293)))</f>
        <v/>
      </c>
      <c r="B293" s="5" t="str">
        <f>IF($L293="","",IFERROR(INDEX('Detalle individual'!$B:$B,MATCH($A293,'Detalle individual'!$A:$A,0)),TRIM(INDEX('Base Exámenes'!$A:$A,$L293))))</f>
        <v/>
      </c>
      <c r="C293" s="5" t="str">
        <f>IF($L293="","",IFERROR(INDEX('Detalle individual'!$C:$C,MATCH($A293,'Detalle individual'!$A:$A,0)),TRIM(INDEX('Base Exámenes'!$B:$B,$L293))))</f>
        <v/>
      </c>
      <c r="D293" s="5" t="str">
        <f>IF($L293="","",IFERROR(INDEX('Detalle individual'!$D:$D,MATCH($A293,'Detalle individual'!$A:$A,0)),"(no está en Base Oficial)"))</f>
        <v/>
      </c>
      <c r="E293" s="5" t="str">
        <f>IF($L293="","",COUNTIFS('Base Exámenes'!$C$5:$C$1000,INDEX('Base Exámenes'!$C:$C,$L293),'Base Exámenes'!$D$5:$D$1000,"&lt;="&amp;INDEX('Base Exámenes'!$D:$D,$L293)))</f>
        <v/>
      </c>
      <c r="F293" s="23" t="str">
        <f>IF($L293="","",INDEX('Base Exámenes'!$D:$D,$L293))</f>
        <v/>
      </c>
      <c r="G293" s="23" t="str">
        <f>IF($L293="","",INDEX('Base Exámenes'!$E:$E,$L293))</f>
        <v/>
      </c>
      <c r="H293" s="24" t="str">
        <f>IF($L293="","",INDEX('Base Exámenes'!$F:$F,$L293))</f>
        <v/>
      </c>
      <c r="I293" s="5" t="str">
        <f>IF($L293="","",INDEX('Base Exámenes'!$G:$G,$L293))</f>
        <v/>
      </c>
      <c r="J293" s="5" t="str">
        <f>IF($L293="","",IF($L293-4=MATCH(INDEX('Base Exámenes'!$C:$C,$L293)&amp;"|"&amp;_xlfn.MAXIFS('Base Exámenes'!$G$5:$G$1000,'Base Exámenes'!$C$5:$C$1000,INDEX('Base Exámenes'!$C:$C,$L293)),'Base Exámenes'!$I$5:$I$1000,0),"Sí",""))</f>
        <v/>
      </c>
      <c r="L293" t="str">
        <f>IFERROR(MATCH(SMALL(Cálculos!$AQ$5:$AQ$1000,289),Cálculos!$AQ$5:$AQ$1000,0)+4,"")</f>
        <v/>
      </c>
    </row>
    <row r="294">
      <c r="A294" s="5" t="str">
        <f>IF($L294="","",TRIM(INDEX('Base Exámenes'!$C:$C,$L294)))</f>
        <v/>
      </c>
      <c r="B294" s="5" t="str">
        <f>IF($L294="","",IFERROR(INDEX('Detalle individual'!$B:$B,MATCH($A294,'Detalle individual'!$A:$A,0)),TRIM(INDEX('Base Exámenes'!$A:$A,$L294))))</f>
        <v/>
      </c>
      <c r="C294" s="5" t="str">
        <f>IF($L294="","",IFERROR(INDEX('Detalle individual'!$C:$C,MATCH($A294,'Detalle individual'!$A:$A,0)),TRIM(INDEX('Base Exámenes'!$B:$B,$L294))))</f>
        <v/>
      </c>
      <c r="D294" s="5" t="str">
        <f>IF($L294="","",IFERROR(INDEX('Detalle individual'!$D:$D,MATCH($A294,'Detalle individual'!$A:$A,0)),"(no está en Base Oficial)"))</f>
        <v/>
      </c>
      <c r="E294" s="5" t="str">
        <f>IF($L294="","",COUNTIFS('Base Exámenes'!$C$5:$C$1000,INDEX('Base Exámenes'!$C:$C,$L294),'Base Exámenes'!$D$5:$D$1000,"&lt;="&amp;INDEX('Base Exámenes'!$D:$D,$L294)))</f>
        <v/>
      </c>
      <c r="F294" s="23" t="str">
        <f>IF($L294="","",INDEX('Base Exámenes'!$D:$D,$L294))</f>
        <v/>
      </c>
      <c r="G294" s="23" t="str">
        <f>IF($L294="","",INDEX('Base Exámenes'!$E:$E,$L294))</f>
        <v/>
      </c>
      <c r="H294" s="24" t="str">
        <f>IF($L294="","",INDEX('Base Exámenes'!$F:$F,$L294))</f>
        <v/>
      </c>
      <c r="I294" s="5" t="str">
        <f>IF($L294="","",INDEX('Base Exámenes'!$G:$G,$L294))</f>
        <v/>
      </c>
      <c r="J294" s="5" t="str">
        <f>IF($L294="","",IF($L294-4=MATCH(INDEX('Base Exámenes'!$C:$C,$L294)&amp;"|"&amp;_xlfn.MAXIFS('Base Exámenes'!$G$5:$G$1000,'Base Exámenes'!$C$5:$C$1000,INDEX('Base Exámenes'!$C:$C,$L294)),'Base Exámenes'!$I$5:$I$1000,0),"Sí",""))</f>
        <v/>
      </c>
      <c r="L294" t="str">
        <f>IFERROR(MATCH(SMALL(Cálculos!$AQ$5:$AQ$1000,290),Cálculos!$AQ$5:$AQ$1000,0)+4,"")</f>
        <v/>
      </c>
    </row>
    <row r="295">
      <c r="A295" s="5" t="str">
        <f>IF($L295="","",TRIM(INDEX('Base Exámenes'!$C:$C,$L295)))</f>
        <v/>
      </c>
      <c r="B295" s="5" t="str">
        <f>IF($L295="","",IFERROR(INDEX('Detalle individual'!$B:$B,MATCH($A295,'Detalle individual'!$A:$A,0)),TRIM(INDEX('Base Exámenes'!$A:$A,$L295))))</f>
        <v/>
      </c>
      <c r="C295" s="5" t="str">
        <f>IF($L295="","",IFERROR(INDEX('Detalle individual'!$C:$C,MATCH($A295,'Detalle individual'!$A:$A,0)),TRIM(INDEX('Base Exámenes'!$B:$B,$L295))))</f>
        <v/>
      </c>
      <c r="D295" s="5" t="str">
        <f>IF($L295="","",IFERROR(INDEX('Detalle individual'!$D:$D,MATCH($A295,'Detalle individual'!$A:$A,0)),"(no está en Base Oficial)"))</f>
        <v/>
      </c>
      <c r="E295" s="5" t="str">
        <f>IF($L295="","",COUNTIFS('Base Exámenes'!$C$5:$C$1000,INDEX('Base Exámenes'!$C:$C,$L295),'Base Exámenes'!$D$5:$D$1000,"&lt;="&amp;INDEX('Base Exámenes'!$D:$D,$L295)))</f>
        <v/>
      </c>
      <c r="F295" s="23" t="str">
        <f>IF($L295="","",INDEX('Base Exámenes'!$D:$D,$L295))</f>
        <v/>
      </c>
      <c r="G295" s="23" t="str">
        <f>IF($L295="","",INDEX('Base Exámenes'!$E:$E,$L295))</f>
        <v/>
      </c>
      <c r="H295" s="24" t="str">
        <f>IF($L295="","",INDEX('Base Exámenes'!$F:$F,$L295))</f>
        <v/>
      </c>
      <c r="I295" s="5" t="str">
        <f>IF($L295="","",INDEX('Base Exámenes'!$G:$G,$L295))</f>
        <v/>
      </c>
      <c r="J295" s="5" t="str">
        <f>IF($L295="","",IF($L295-4=MATCH(INDEX('Base Exámenes'!$C:$C,$L295)&amp;"|"&amp;_xlfn.MAXIFS('Base Exámenes'!$G$5:$G$1000,'Base Exámenes'!$C$5:$C$1000,INDEX('Base Exámenes'!$C:$C,$L295)),'Base Exámenes'!$I$5:$I$1000,0),"Sí",""))</f>
        <v/>
      </c>
      <c r="L295" t="str">
        <f>IFERROR(MATCH(SMALL(Cálculos!$AQ$5:$AQ$1000,291),Cálculos!$AQ$5:$AQ$1000,0)+4,"")</f>
        <v/>
      </c>
    </row>
    <row r="296">
      <c r="A296" s="5" t="str">
        <f>IF($L296="","",TRIM(INDEX('Base Exámenes'!$C:$C,$L296)))</f>
        <v/>
      </c>
      <c r="B296" s="5" t="str">
        <f>IF($L296="","",IFERROR(INDEX('Detalle individual'!$B:$B,MATCH($A296,'Detalle individual'!$A:$A,0)),TRIM(INDEX('Base Exámenes'!$A:$A,$L296))))</f>
        <v/>
      </c>
      <c r="C296" s="5" t="str">
        <f>IF($L296="","",IFERROR(INDEX('Detalle individual'!$C:$C,MATCH($A296,'Detalle individual'!$A:$A,0)),TRIM(INDEX('Base Exámenes'!$B:$B,$L296))))</f>
        <v/>
      </c>
      <c r="D296" s="5" t="str">
        <f>IF($L296="","",IFERROR(INDEX('Detalle individual'!$D:$D,MATCH($A296,'Detalle individual'!$A:$A,0)),"(no está en Base Oficial)"))</f>
        <v/>
      </c>
      <c r="E296" s="5" t="str">
        <f>IF($L296="","",COUNTIFS('Base Exámenes'!$C$5:$C$1000,INDEX('Base Exámenes'!$C:$C,$L296),'Base Exámenes'!$D$5:$D$1000,"&lt;="&amp;INDEX('Base Exámenes'!$D:$D,$L296)))</f>
        <v/>
      </c>
      <c r="F296" s="23" t="str">
        <f>IF($L296="","",INDEX('Base Exámenes'!$D:$D,$L296))</f>
        <v/>
      </c>
      <c r="G296" s="23" t="str">
        <f>IF($L296="","",INDEX('Base Exámenes'!$E:$E,$L296))</f>
        <v/>
      </c>
      <c r="H296" s="24" t="str">
        <f>IF($L296="","",INDEX('Base Exámenes'!$F:$F,$L296))</f>
        <v/>
      </c>
      <c r="I296" s="5" t="str">
        <f>IF($L296="","",INDEX('Base Exámenes'!$G:$G,$L296))</f>
        <v/>
      </c>
      <c r="J296" s="5" t="str">
        <f>IF($L296="","",IF($L296-4=MATCH(INDEX('Base Exámenes'!$C:$C,$L296)&amp;"|"&amp;_xlfn.MAXIFS('Base Exámenes'!$G$5:$G$1000,'Base Exámenes'!$C$5:$C$1000,INDEX('Base Exámenes'!$C:$C,$L296)),'Base Exámenes'!$I$5:$I$1000,0),"Sí",""))</f>
        <v/>
      </c>
      <c r="L296" t="str">
        <f>IFERROR(MATCH(SMALL(Cálculos!$AQ$5:$AQ$1000,292),Cálculos!$AQ$5:$AQ$1000,0)+4,"")</f>
        <v/>
      </c>
    </row>
    <row r="297">
      <c r="A297" s="5" t="str">
        <f>IF($L297="","",TRIM(INDEX('Base Exámenes'!$C:$C,$L297)))</f>
        <v/>
      </c>
      <c r="B297" s="5" t="str">
        <f>IF($L297="","",IFERROR(INDEX('Detalle individual'!$B:$B,MATCH($A297,'Detalle individual'!$A:$A,0)),TRIM(INDEX('Base Exámenes'!$A:$A,$L297))))</f>
        <v/>
      </c>
      <c r="C297" s="5" t="str">
        <f>IF($L297="","",IFERROR(INDEX('Detalle individual'!$C:$C,MATCH($A297,'Detalle individual'!$A:$A,0)),TRIM(INDEX('Base Exámenes'!$B:$B,$L297))))</f>
        <v/>
      </c>
      <c r="D297" s="5" t="str">
        <f>IF($L297="","",IFERROR(INDEX('Detalle individual'!$D:$D,MATCH($A297,'Detalle individual'!$A:$A,0)),"(no está en Base Oficial)"))</f>
        <v/>
      </c>
      <c r="E297" s="5" t="str">
        <f>IF($L297="","",COUNTIFS('Base Exámenes'!$C$5:$C$1000,INDEX('Base Exámenes'!$C:$C,$L297),'Base Exámenes'!$D$5:$D$1000,"&lt;="&amp;INDEX('Base Exámenes'!$D:$D,$L297)))</f>
        <v/>
      </c>
      <c r="F297" s="23" t="str">
        <f>IF($L297="","",INDEX('Base Exámenes'!$D:$D,$L297))</f>
        <v/>
      </c>
      <c r="G297" s="23" t="str">
        <f>IF($L297="","",INDEX('Base Exámenes'!$E:$E,$L297))</f>
        <v/>
      </c>
      <c r="H297" s="24" t="str">
        <f>IF($L297="","",INDEX('Base Exámenes'!$F:$F,$L297))</f>
        <v/>
      </c>
      <c r="I297" s="5" t="str">
        <f>IF($L297="","",INDEX('Base Exámenes'!$G:$G,$L297))</f>
        <v/>
      </c>
      <c r="J297" s="5" t="str">
        <f>IF($L297="","",IF($L297-4=MATCH(INDEX('Base Exámenes'!$C:$C,$L297)&amp;"|"&amp;_xlfn.MAXIFS('Base Exámenes'!$G$5:$G$1000,'Base Exámenes'!$C$5:$C$1000,INDEX('Base Exámenes'!$C:$C,$L297)),'Base Exámenes'!$I$5:$I$1000,0),"Sí",""))</f>
        <v/>
      </c>
      <c r="L297" t="str">
        <f>IFERROR(MATCH(SMALL(Cálculos!$AQ$5:$AQ$1000,293),Cálculos!$AQ$5:$AQ$1000,0)+4,"")</f>
        <v/>
      </c>
    </row>
    <row r="298">
      <c r="A298" s="5" t="str">
        <f>IF($L298="","",TRIM(INDEX('Base Exámenes'!$C:$C,$L298)))</f>
        <v/>
      </c>
      <c r="B298" s="5" t="str">
        <f>IF($L298="","",IFERROR(INDEX('Detalle individual'!$B:$B,MATCH($A298,'Detalle individual'!$A:$A,0)),TRIM(INDEX('Base Exámenes'!$A:$A,$L298))))</f>
        <v/>
      </c>
      <c r="C298" s="5" t="str">
        <f>IF($L298="","",IFERROR(INDEX('Detalle individual'!$C:$C,MATCH($A298,'Detalle individual'!$A:$A,0)),TRIM(INDEX('Base Exámenes'!$B:$B,$L298))))</f>
        <v/>
      </c>
      <c r="D298" s="5" t="str">
        <f>IF($L298="","",IFERROR(INDEX('Detalle individual'!$D:$D,MATCH($A298,'Detalle individual'!$A:$A,0)),"(no está en Base Oficial)"))</f>
        <v/>
      </c>
      <c r="E298" s="5" t="str">
        <f>IF($L298="","",COUNTIFS('Base Exámenes'!$C$5:$C$1000,INDEX('Base Exámenes'!$C:$C,$L298),'Base Exámenes'!$D$5:$D$1000,"&lt;="&amp;INDEX('Base Exámenes'!$D:$D,$L298)))</f>
        <v/>
      </c>
      <c r="F298" s="23" t="str">
        <f>IF($L298="","",INDEX('Base Exámenes'!$D:$D,$L298))</f>
        <v/>
      </c>
      <c r="G298" s="23" t="str">
        <f>IF($L298="","",INDEX('Base Exámenes'!$E:$E,$L298))</f>
        <v/>
      </c>
      <c r="H298" s="24" t="str">
        <f>IF($L298="","",INDEX('Base Exámenes'!$F:$F,$L298))</f>
        <v/>
      </c>
      <c r="I298" s="5" t="str">
        <f>IF($L298="","",INDEX('Base Exámenes'!$G:$G,$L298))</f>
        <v/>
      </c>
      <c r="J298" s="5" t="str">
        <f>IF($L298="","",IF($L298-4=MATCH(INDEX('Base Exámenes'!$C:$C,$L298)&amp;"|"&amp;_xlfn.MAXIFS('Base Exámenes'!$G$5:$G$1000,'Base Exámenes'!$C$5:$C$1000,INDEX('Base Exámenes'!$C:$C,$L298)),'Base Exámenes'!$I$5:$I$1000,0),"Sí",""))</f>
        <v/>
      </c>
      <c r="L298" t="str">
        <f>IFERROR(MATCH(SMALL(Cálculos!$AQ$5:$AQ$1000,294),Cálculos!$AQ$5:$AQ$1000,0)+4,"")</f>
        <v/>
      </c>
    </row>
    <row r="299">
      <c r="A299" s="5" t="str">
        <f>IF($L299="","",TRIM(INDEX('Base Exámenes'!$C:$C,$L299)))</f>
        <v/>
      </c>
      <c r="B299" s="5" t="str">
        <f>IF($L299="","",IFERROR(INDEX('Detalle individual'!$B:$B,MATCH($A299,'Detalle individual'!$A:$A,0)),TRIM(INDEX('Base Exámenes'!$A:$A,$L299))))</f>
        <v/>
      </c>
      <c r="C299" s="5" t="str">
        <f>IF($L299="","",IFERROR(INDEX('Detalle individual'!$C:$C,MATCH($A299,'Detalle individual'!$A:$A,0)),TRIM(INDEX('Base Exámenes'!$B:$B,$L299))))</f>
        <v/>
      </c>
      <c r="D299" s="5" t="str">
        <f>IF($L299="","",IFERROR(INDEX('Detalle individual'!$D:$D,MATCH($A299,'Detalle individual'!$A:$A,0)),"(no está en Base Oficial)"))</f>
        <v/>
      </c>
      <c r="E299" s="5" t="str">
        <f>IF($L299="","",COUNTIFS('Base Exámenes'!$C$5:$C$1000,INDEX('Base Exámenes'!$C:$C,$L299),'Base Exámenes'!$D$5:$D$1000,"&lt;="&amp;INDEX('Base Exámenes'!$D:$D,$L299)))</f>
        <v/>
      </c>
      <c r="F299" s="23" t="str">
        <f>IF($L299="","",INDEX('Base Exámenes'!$D:$D,$L299))</f>
        <v/>
      </c>
      <c r="G299" s="23" t="str">
        <f>IF($L299="","",INDEX('Base Exámenes'!$E:$E,$L299))</f>
        <v/>
      </c>
      <c r="H299" s="24" t="str">
        <f>IF($L299="","",INDEX('Base Exámenes'!$F:$F,$L299))</f>
        <v/>
      </c>
      <c r="I299" s="5" t="str">
        <f>IF($L299="","",INDEX('Base Exámenes'!$G:$G,$L299))</f>
        <v/>
      </c>
      <c r="J299" s="5" t="str">
        <f>IF($L299="","",IF($L299-4=MATCH(INDEX('Base Exámenes'!$C:$C,$L299)&amp;"|"&amp;_xlfn.MAXIFS('Base Exámenes'!$G$5:$G$1000,'Base Exámenes'!$C$5:$C$1000,INDEX('Base Exámenes'!$C:$C,$L299)),'Base Exámenes'!$I$5:$I$1000,0),"Sí",""))</f>
        <v/>
      </c>
      <c r="L299" t="str">
        <f>IFERROR(MATCH(SMALL(Cálculos!$AQ$5:$AQ$1000,295),Cálculos!$AQ$5:$AQ$1000,0)+4,"")</f>
        <v/>
      </c>
    </row>
    <row r="300">
      <c r="A300" s="5" t="str">
        <f>IF($L300="","",TRIM(INDEX('Base Exámenes'!$C:$C,$L300)))</f>
        <v/>
      </c>
      <c r="B300" s="5" t="str">
        <f>IF($L300="","",IFERROR(INDEX('Detalle individual'!$B:$B,MATCH($A300,'Detalle individual'!$A:$A,0)),TRIM(INDEX('Base Exámenes'!$A:$A,$L300))))</f>
        <v/>
      </c>
      <c r="C300" s="5" t="str">
        <f>IF($L300="","",IFERROR(INDEX('Detalle individual'!$C:$C,MATCH($A300,'Detalle individual'!$A:$A,0)),TRIM(INDEX('Base Exámenes'!$B:$B,$L300))))</f>
        <v/>
      </c>
      <c r="D300" s="5" t="str">
        <f>IF($L300="","",IFERROR(INDEX('Detalle individual'!$D:$D,MATCH($A300,'Detalle individual'!$A:$A,0)),"(no está en Base Oficial)"))</f>
        <v/>
      </c>
      <c r="E300" s="5" t="str">
        <f>IF($L300="","",COUNTIFS('Base Exámenes'!$C$5:$C$1000,INDEX('Base Exámenes'!$C:$C,$L300),'Base Exámenes'!$D$5:$D$1000,"&lt;="&amp;INDEX('Base Exámenes'!$D:$D,$L300)))</f>
        <v/>
      </c>
      <c r="F300" s="23" t="str">
        <f>IF($L300="","",INDEX('Base Exámenes'!$D:$D,$L300))</f>
        <v/>
      </c>
      <c r="G300" s="23" t="str">
        <f>IF($L300="","",INDEX('Base Exámenes'!$E:$E,$L300))</f>
        <v/>
      </c>
      <c r="H300" s="24" t="str">
        <f>IF($L300="","",INDEX('Base Exámenes'!$F:$F,$L300))</f>
        <v/>
      </c>
      <c r="I300" s="5" t="str">
        <f>IF($L300="","",INDEX('Base Exámenes'!$G:$G,$L300))</f>
        <v/>
      </c>
      <c r="J300" s="5" t="str">
        <f>IF($L300="","",IF($L300-4=MATCH(INDEX('Base Exámenes'!$C:$C,$L300)&amp;"|"&amp;_xlfn.MAXIFS('Base Exámenes'!$G$5:$G$1000,'Base Exámenes'!$C$5:$C$1000,INDEX('Base Exámenes'!$C:$C,$L300)),'Base Exámenes'!$I$5:$I$1000,0),"Sí",""))</f>
        <v/>
      </c>
      <c r="L300" t="str">
        <f>IFERROR(MATCH(SMALL(Cálculos!$AQ$5:$AQ$1000,296),Cálculos!$AQ$5:$AQ$1000,0)+4,"")</f>
        <v/>
      </c>
    </row>
    <row r="301">
      <c r="A301" s="5" t="str">
        <f>IF($L301="","",TRIM(INDEX('Base Exámenes'!$C:$C,$L301)))</f>
        <v/>
      </c>
      <c r="B301" s="5" t="str">
        <f>IF($L301="","",IFERROR(INDEX('Detalle individual'!$B:$B,MATCH($A301,'Detalle individual'!$A:$A,0)),TRIM(INDEX('Base Exámenes'!$A:$A,$L301))))</f>
        <v/>
      </c>
      <c r="C301" s="5" t="str">
        <f>IF($L301="","",IFERROR(INDEX('Detalle individual'!$C:$C,MATCH($A301,'Detalle individual'!$A:$A,0)),TRIM(INDEX('Base Exámenes'!$B:$B,$L301))))</f>
        <v/>
      </c>
      <c r="D301" s="5" t="str">
        <f>IF($L301="","",IFERROR(INDEX('Detalle individual'!$D:$D,MATCH($A301,'Detalle individual'!$A:$A,0)),"(no está en Base Oficial)"))</f>
        <v/>
      </c>
      <c r="E301" s="5" t="str">
        <f>IF($L301="","",COUNTIFS('Base Exámenes'!$C$5:$C$1000,INDEX('Base Exámenes'!$C:$C,$L301),'Base Exámenes'!$D$5:$D$1000,"&lt;="&amp;INDEX('Base Exámenes'!$D:$D,$L301)))</f>
        <v/>
      </c>
      <c r="F301" s="23" t="str">
        <f>IF($L301="","",INDEX('Base Exámenes'!$D:$D,$L301))</f>
        <v/>
      </c>
      <c r="G301" s="23" t="str">
        <f>IF($L301="","",INDEX('Base Exámenes'!$E:$E,$L301))</f>
        <v/>
      </c>
      <c r="H301" s="24" t="str">
        <f>IF($L301="","",INDEX('Base Exámenes'!$F:$F,$L301))</f>
        <v/>
      </c>
      <c r="I301" s="5" t="str">
        <f>IF($L301="","",INDEX('Base Exámenes'!$G:$G,$L301))</f>
        <v/>
      </c>
      <c r="J301" s="5" t="str">
        <f>IF($L301="","",IF($L301-4=MATCH(INDEX('Base Exámenes'!$C:$C,$L301)&amp;"|"&amp;_xlfn.MAXIFS('Base Exámenes'!$G$5:$G$1000,'Base Exámenes'!$C$5:$C$1000,INDEX('Base Exámenes'!$C:$C,$L301)),'Base Exámenes'!$I$5:$I$1000,0),"Sí",""))</f>
        <v/>
      </c>
      <c r="L301" t="str">
        <f>IFERROR(MATCH(SMALL(Cálculos!$AQ$5:$AQ$1000,297),Cálculos!$AQ$5:$AQ$1000,0)+4,"")</f>
        <v/>
      </c>
    </row>
    <row r="302">
      <c r="A302" s="5" t="str">
        <f>IF($L302="","",TRIM(INDEX('Base Exámenes'!$C:$C,$L302)))</f>
        <v/>
      </c>
      <c r="B302" s="5" t="str">
        <f>IF($L302="","",IFERROR(INDEX('Detalle individual'!$B:$B,MATCH($A302,'Detalle individual'!$A:$A,0)),TRIM(INDEX('Base Exámenes'!$A:$A,$L302))))</f>
        <v/>
      </c>
      <c r="C302" s="5" t="str">
        <f>IF($L302="","",IFERROR(INDEX('Detalle individual'!$C:$C,MATCH($A302,'Detalle individual'!$A:$A,0)),TRIM(INDEX('Base Exámenes'!$B:$B,$L302))))</f>
        <v/>
      </c>
      <c r="D302" s="5" t="str">
        <f>IF($L302="","",IFERROR(INDEX('Detalle individual'!$D:$D,MATCH($A302,'Detalle individual'!$A:$A,0)),"(no está en Base Oficial)"))</f>
        <v/>
      </c>
      <c r="E302" s="5" t="str">
        <f>IF($L302="","",COUNTIFS('Base Exámenes'!$C$5:$C$1000,INDEX('Base Exámenes'!$C:$C,$L302),'Base Exámenes'!$D$5:$D$1000,"&lt;="&amp;INDEX('Base Exámenes'!$D:$D,$L302)))</f>
        <v/>
      </c>
      <c r="F302" s="23" t="str">
        <f>IF($L302="","",INDEX('Base Exámenes'!$D:$D,$L302))</f>
        <v/>
      </c>
      <c r="G302" s="23" t="str">
        <f>IF($L302="","",INDEX('Base Exámenes'!$E:$E,$L302))</f>
        <v/>
      </c>
      <c r="H302" s="24" t="str">
        <f>IF($L302="","",INDEX('Base Exámenes'!$F:$F,$L302))</f>
        <v/>
      </c>
      <c r="I302" s="5" t="str">
        <f>IF($L302="","",INDEX('Base Exámenes'!$G:$G,$L302))</f>
        <v/>
      </c>
      <c r="J302" s="5" t="str">
        <f>IF($L302="","",IF($L302-4=MATCH(INDEX('Base Exámenes'!$C:$C,$L302)&amp;"|"&amp;_xlfn.MAXIFS('Base Exámenes'!$G$5:$G$1000,'Base Exámenes'!$C$5:$C$1000,INDEX('Base Exámenes'!$C:$C,$L302)),'Base Exámenes'!$I$5:$I$1000,0),"Sí",""))</f>
        <v/>
      </c>
      <c r="L302" t="str">
        <f>IFERROR(MATCH(SMALL(Cálculos!$AQ$5:$AQ$1000,298),Cálculos!$AQ$5:$AQ$1000,0)+4,"")</f>
        <v/>
      </c>
    </row>
    <row r="303">
      <c r="A303" s="5" t="str">
        <f>IF($L303="","",TRIM(INDEX('Base Exámenes'!$C:$C,$L303)))</f>
        <v/>
      </c>
      <c r="B303" s="5" t="str">
        <f>IF($L303="","",IFERROR(INDEX('Detalle individual'!$B:$B,MATCH($A303,'Detalle individual'!$A:$A,0)),TRIM(INDEX('Base Exámenes'!$A:$A,$L303))))</f>
        <v/>
      </c>
      <c r="C303" s="5" t="str">
        <f>IF($L303="","",IFERROR(INDEX('Detalle individual'!$C:$C,MATCH($A303,'Detalle individual'!$A:$A,0)),TRIM(INDEX('Base Exámenes'!$B:$B,$L303))))</f>
        <v/>
      </c>
      <c r="D303" s="5" t="str">
        <f>IF($L303="","",IFERROR(INDEX('Detalle individual'!$D:$D,MATCH($A303,'Detalle individual'!$A:$A,0)),"(no está en Base Oficial)"))</f>
        <v/>
      </c>
      <c r="E303" s="5" t="str">
        <f>IF($L303="","",COUNTIFS('Base Exámenes'!$C$5:$C$1000,INDEX('Base Exámenes'!$C:$C,$L303),'Base Exámenes'!$D$5:$D$1000,"&lt;="&amp;INDEX('Base Exámenes'!$D:$D,$L303)))</f>
        <v/>
      </c>
      <c r="F303" s="23" t="str">
        <f>IF($L303="","",INDEX('Base Exámenes'!$D:$D,$L303))</f>
        <v/>
      </c>
      <c r="G303" s="23" t="str">
        <f>IF($L303="","",INDEX('Base Exámenes'!$E:$E,$L303))</f>
        <v/>
      </c>
      <c r="H303" s="24" t="str">
        <f>IF($L303="","",INDEX('Base Exámenes'!$F:$F,$L303))</f>
        <v/>
      </c>
      <c r="I303" s="5" t="str">
        <f>IF($L303="","",INDEX('Base Exámenes'!$G:$G,$L303))</f>
        <v/>
      </c>
      <c r="J303" s="5" t="str">
        <f>IF($L303="","",IF($L303-4=MATCH(INDEX('Base Exámenes'!$C:$C,$L303)&amp;"|"&amp;_xlfn.MAXIFS('Base Exámenes'!$G$5:$G$1000,'Base Exámenes'!$C$5:$C$1000,INDEX('Base Exámenes'!$C:$C,$L303)),'Base Exámenes'!$I$5:$I$1000,0),"Sí",""))</f>
        <v/>
      </c>
      <c r="L303" t="str">
        <f>IFERROR(MATCH(SMALL(Cálculos!$AQ$5:$AQ$1000,299),Cálculos!$AQ$5:$AQ$1000,0)+4,"")</f>
        <v/>
      </c>
    </row>
    <row r="304">
      <c r="A304" s="5" t="str">
        <f>IF($L304="","",TRIM(INDEX('Base Exámenes'!$C:$C,$L304)))</f>
        <v/>
      </c>
      <c r="B304" s="5" t="str">
        <f>IF($L304="","",IFERROR(INDEX('Detalle individual'!$B:$B,MATCH($A304,'Detalle individual'!$A:$A,0)),TRIM(INDEX('Base Exámenes'!$A:$A,$L304))))</f>
        <v/>
      </c>
      <c r="C304" s="5" t="str">
        <f>IF($L304="","",IFERROR(INDEX('Detalle individual'!$C:$C,MATCH($A304,'Detalle individual'!$A:$A,0)),TRIM(INDEX('Base Exámenes'!$B:$B,$L304))))</f>
        <v/>
      </c>
      <c r="D304" s="5" t="str">
        <f>IF($L304="","",IFERROR(INDEX('Detalle individual'!$D:$D,MATCH($A304,'Detalle individual'!$A:$A,0)),"(no está en Base Oficial)"))</f>
        <v/>
      </c>
      <c r="E304" s="5" t="str">
        <f>IF($L304="","",COUNTIFS('Base Exámenes'!$C$5:$C$1000,INDEX('Base Exámenes'!$C:$C,$L304),'Base Exámenes'!$D$5:$D$1000,"&lt;="&amp;INDEX('Base Exámenes'!$D:$D,$L304)))</f>
        <v/>
      </c>
      <c r="F304" s="23" t="str">
        <f>IF($L304="","",INDEX('Base Exámenes'!$D:$D,$L304))</f>
        <v/>
      </c>
      <c r="G304" s="23" t="str">
        <f>IF($L304="","",INDEX('Base Exámenes'!$E:$E,$L304))</f>
        <v/>
      </c>
      <c r="H304" s="24" t="str">
        <f>IF($L304="","",INDEX('Base Exámenes'!$F:$F,$L304))</f>
        <v/>
      </c>
      <c r="I304" s="5" t="str">
        <f>IF($L304="","",INDEX('Base Exámenes'!$G:$G,$L304))</f>
        <v/>
      </c>
      <c r="J304" s="5" t="str">
        <f>IF($L304="","",IF($L304-4=MATCH(INDEX('Base Exámenes'!$C:$C,$L304)&amp;"|"&amp;_xlfn.MAXIFS('Base Exámenes'!$G$5:$G$1000,'Base Exámenes'!$C$5:$C$1000,INDEX('Base Exámenes'!$C:$C,$L304)),'Base Exámenes'!$I$5:$I$1000,0),"Sí",""))</f>
        <v/>
      </c>
      <c r="L304" t="str">
        <f>IFERROR(MATCH(SMALL(Cálculos!$AQ$5:$AQ$1000,300),Cálculos!$AQ$5:$AQ$1000,0)+4,"")</f>
        <v/>
      </c>
    </row>
  </sheetData>
  <autoFilter ref="A4:J304"/>
  <conditionalFormatting sqref="A5:J304">
    <cfRule type="expression" priority="1" dxfId="0">
      <formula>$J5="Sí"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100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Cálculos auxiliares para dashboards y gráficos (no editar)</t>
        </is>
      </c>
    </row>
    <row r="4">
      <c r="A4" t="inlineStr">
        <is>
          <t>Gerencia</t>
        </is>
      </c>
      <c r="B4" t="inlineStr">
        <is>
          <t>Esperado</t>
        </is>
      </c>
      <c r="C4" t="inlineStr">
        <is>
          <t>Completados</t>
        </is>
      </c>
      <c r="D4" t="inlineStr">
        <is>
          <t>Pendientes</t>
        </is>
      </c>
      <c r="E4" t="inlineStr">
        <is>
          <t>% Cumplimiento</t>
        </is>
      </c>
      <c r="L4" t="inlineStr">
        <is>
          <t>Completados</t>
        </is>
      </c>
      <c r="M4" t="inlineStr">
        <is>
          <t>Pendientes</t>
        </is>
      </c>
      <c r="R4" t="inlineStr">
        <is>
          <t>Pendientes</t>
        </is>
      </c>
      <c r="V4" t="inlineStr">
        <is>
          <t>Lista gerencias</t>
        </is>
      </c>
      <c r="W4" t="inlineStr">
        <is>
          <t>Lista departamentos</t>
        </is>
      </c>
      <c r="X4" t="inlineStr">
        <is>
          <t>Lista estado</t>
        </is>
      </c>
      <c r="Z4" t="inlineStr">
        <is>
          <t>Orden/filtro colaboradores</t>
        </is>
      </c>
      <c r="AB4" t="inlineStr">
        <is>
          <t>Clave depto</t>
        </is>
      </c>
      <c r="AC4" t="inlineStr">
        <is>
          <t>Clave gerencia</t>
        </is>
      </c>
      <c r="AE4" t="inlineStr">
        <is>
          <t>Fila depto</t>
        </is>
      </c>
      <c r="AF4" t="inlineStr">
        <is>
          <t>Fila gerencia</t>
        </is>
      </c>
      <c r="AH4" t="inlineStr">
        <is>
          <t>Clave pendiente</t>
        </is>
      </c>
      <c r="AI4" t="inlineStr">
        <is>
          <t>Clave completado</t>
        </is>
      </c>
      <c r="AJ4" t="inlineStr">
        <is>
          <t>Clave justificado</t>
        </is>
      </c>
      <c r="AK4" t="inlineStr">
        <is>
          <t>Clave inicio</t>
        </is>
      </c>
      <c r="AL4" t="inlineStr">
        <is>
          <t>Clave fin</t>
        </is>
      </c>
      <c r="AM4" t="inlineStr">
        <is>
          <t>Clave nota</t>
        </is>
      </c>
      <c r="AO4" t="inlineStr">
        <is>
          <t>Clave top depto</t>
        </is>
      </c>
      <c r="AQ4" t="inlineStr">
        <is>
          <t>Clave historial</t>
        </is>
      </c>
      <c r="AS4" t="inlineStr">
        <is>
          <t>Lista situación</t>
        </is>
      </c>
      <c r="AU4" t="inlineStr">
        <is>
          <t>Estado</t>
        </is>
      </c>
      <c r="AV4" t="inlineStr">
        <is>
          <t>Colaboradores</t>
        </is>
      </c>
      <c r="AX4" t="inlineStr">
        <is>
          <t>Gerencia</t>
        </is>
      </c>
      <c r="AY4" t="inlineStr">
        <is>
          <t>Completado</t>
        </is>
      </c>
      <c r="AZ4" t="inlineStr">
        <is>
          <t>Pendiente</t>
        </is>
      </c>
      <c r="BA4" t="inlineStr">
        <is>
          <t>Vacaciones</t>
        </is>
      </c>
      <c r="BB4" t="inlineStr">
        <is>
          <t>Incapacidad</t>
        </is>
      </c>
      <c r="BC4" t="inlineStr">
        <is>
          <t>Incapacidad por maternidad</t>
        </is>
      </c>
      <c r="BD4" t="inlineStr">
        <is>
          <t>Renuncia</t>
        </is>
      </c>
      <c r="BF4" t="inlineStr">
        <is>
          <t>Clave agencia 100%</t>
        </is>
      </c>
    </row>
    <row r="5">
      <c r="A5" t="str">
        <f>IF('Consolidado por Gerencia'!A5="","",'Consolidado por Gerencia'!A5)</f>
        <v>Auditoría Interna</v>
      </c>
      <c r="B5">
        <f>IF($A5="","",'Consolidado por Gerencia'!B5)</f>
        <v>7</v>
      </c>
      <c r="C5">
        <f>IF($A5="","",'Consolidado por Gerencia'!C5)</f>
        <v>7</v>
      </c>
      <c r="D5">
        <f>IF($A5="","",'Consolidado por Gerencia'!D5)</f>
        <v>0</v>
      </c>
      <c r="E5">
        <f>IF($A5="","",IF(B5&gt;0,C5/B5,0))</f>
        <v>1</v>
      </c>
      <c r="F5">
        <f>IF($A5="","",E5*1000000+B5*10+(100-ROW())/1000)</f>
        <v>1000070.095</v>
      </c>
      <c r="G5">
        <f>IF($A5="","",D5*1000+(100-ROW())/1000)</f>
        <v>0.095</v>
      </c>
      <c r="I5" t="n">
        <v>1</v>
      </c>
      <c r="J5">
        <f>IF(I5&gt;COUNT($F$5:$F$24),"",MATCH(LARGE($F$5:$F$24,I5),$F$5:$F$24,0))</f>
        <v>5</v>
      </c>
      <c r="K5" t="str">
        <f>IF(J5="","",INDEX($A$5:$A$24,J5)&amp;"   "&amp;TEXT(INDEX($E$5:$E$24,J5),"0%"))</f>
        <v>Gerencia de Negocios   100%</v>
      </c>
      <c r="L5">
        <f>IF(J5="","",INDEX($C$5:$C$24,J5))</f>
        <v>148</v>
      </c>
      <c r="M5">
        <f>IF(J5="","",INDEX($D$5:$D$24,J5))</f>
        <v>0</v>
      </c>
      <c r="P5">
        <f>IF(I5&gt;COUNT($G$5:$G$24),"",MATCH(LARGE($G$5:$G$24,I5),$G$5:$G$24,0))</f>
        <v>1</v>
      </c>
      <c r="Q5" t="str">
        <f>IF(P5="","",INDEX($A$5:$A$24,P5))</f>
        <v>Auditoría Interna</v>
      </c>
      <c r="R5">
        <f>IF(P5="","",INDEX($D$5:$D$24,P5))</f>
        <v>0</v>
      </c>
      <c r="V5" t="inlineStr">
        <is>
          <t>Todas las gerencias</t>
        </is>
      </c>
      <c r="W5" t="inlineStr">
        <is>
          <t>Todos los departamentos</t>
        </is>
      </c>
      <c r="X5" t="inlineStr">
        <is>
          <t>Todos</t>
        </is>
      </c>
      <c r="Z5">
        <f>IF('Detalle individual'!A5="","",IF(AND(OR('Estado por Colaborador'!$D$4="Todas las gerencias",'Detalle individual'!D5='Estado por Colaborador'!$D$4),OR('Estado por Colaborador'!$D$5="Todos los departamentos",TRIM('Detalle individual'!C5)='Estado por Colaborador'!$D$5),OR('Estado por Colaborador'!$D$6="Todos",'Detalle individual'!F5='Estado por Colaborador'!$D$6)),IF('Detalle individual'!F5="Completado",30000000,IF('Detalle individual'!F5="Pendiente",0,15000000))+COUNTIF('Detalle individual'!$C$5:$C$1000,"&lt;"&amp;'Detalle individual'!C5)*10000+ROW(),""))</f>
        <v>39750005</v>
      </c>
      <c r="AB5">
        <f>IF('Detalle individual'!C5="","",IF(COUNTIF('Detalle individual'!$C$5:C5,'Detalle individual'!C5)=1,COUNTIF('Detalle individual'!$C$5:$C$1000,"&lt;"&amp;'Detalle individual'!C5),""))</f>
        <v>975</v>
      </c>
      <c r="AC5">
        <f>IF('Detalle individual'!D5="","",IF(COUNTIF('Detalle individual'!$D$5:D5,'Detalle individual'!D5)=1,COUNTIF('Detalle individual'!$D$5:$D$1000,"&lt;"&amp;'Detalle individual'!D5),""))</f>
        <v>974</v>
      </c>
      <c r="AE5">
        <f>IFERROR(MATCH(SMALL($AB$5:$AB$1000,1),$AB$5:$AB$1000,0)+4,"")</f>
        <v>122</v>
      </c>
      <c r="AF5">
        <f>IFERROR(MATCH(SMALL($AC$5:$AC$1000,1),$AC$5:$AC$1000,0)+4,"")</f>
        <v>123</v>
      </c>
      <c r="AH5" t="str">
        <f>IF('Detalle individual'!F5="Pendiente",COUNTIF('Detalle individual'!$D$5:$D$1000,"&lt;"&amp;'Detalle individual'!D5)*1000000+COUNTIF('Detalle individual'!$C$5:$C$1000,"&lt;"&amp;'Detalle individual'!C5)*1000+COUNTIF('Detalle individual'!$B$5:$B$1000,"&lt;"&amp;'Detalle individual'!B5)+ROW()/10000,"")</f>
        <v/>
      </c>
      <c r="AI5">
        <f>IF('Detalle individual'!F5="Completado",COUNTIF('Detalle individual'!$D$5:$D$1000,"&lt;"&amp;'Detalle individual'!D5)*1000000+COUNTIF('Detalle individual'!$C$5:$C$1000,"&lt;"&amp;'Detalle individual'!C5)*1000+COUNTIF('Detalle individual'!$B$5:$B$1000,"&lt;"&amp;'Detalle individual'!B5)+ROW()/10000,"")</f>
        <v>974975938.0005</v>
      </c>
      <c r="AJ5" t="str">
        <f>IF(AND('Detalle individual'!F5&lt;&gt;"",'Detalle individual'!F5&lt;&gt;"Completado",'Detalle individual'!F5&lt;&gt;"Pendiente"),COUNTIF('Detalle individual'!$D$5:$D$1000,"&lt;"&amp;'Detalle individual'!D5)*1000000+COUNTIF('Detalle individual'!$C$5:$C$1000,"&lt;"&amp;'Detalle individual'!C5)*1000+COUNTIF('Detalle individual'!$B$5:$B$1000,"&lt;"&amp;'Detalle individual'!B5)+ROW()/10000,"")</f>
        <v/>
      </c>
      <c r="AK5">
        <f>IF(OR('Base Exámenes'!C5="",'Base Exámenes'!D5=""),"",IF(COUNTIF('Base Exámenes'!$C$5:C5,'Base Exámenes'!C5)=1,'Base Exámenes'!D5+ROW()/1000000000,""))</f>
        <v>46296.42706018518</v>
      </c>
      <c r="AL5">
        <f>IF(OR('Base Exámenes'!C5="",'Base Exámenes'!E5=""),"",IF(COUNTIF('Base Exámenes'!$C$5:C5,'Base Exámenes'!C5)=1,'Base Exámenes'!E5+ROW()/1000000000,""))</f>
        <v>46296.429560185185</v>
      </c>
      <c r="AM5">
        <f>IF(OR('Base Exámenes'!C5="",'Base Exámenes'!G5=""),"",IF(ROW()-4=MATCH('Base Exámenes'!C5&amp;"|"&amp;_xlfn.MAXIFS('Base Exámenes'!$G$5:$G$1000,'Base Exámenes'!$C$5:$C$1000,'Base Exámenes'!C5),'Base Exámenes'!$I$5:$I$1000,0),'Base Exámenes'!G5*1000000+(-1)*'Base Exámenes'!D5,""))</f>
        <v>99953703.5729398</v>
      </c>
      <c r="AO5">
        <f>IF('Consolidado por área'!G5="Completo",'Consolidado por área'!L5+ROW()/1000000000,"")</f>
        <v>46300.696018518516</v>
      </c>
      <c r="AQ5" t="str">
        <f>IF('Base Exámenes'!C5="","",IF(COUNTIF('Base Exámenes'!$C$5:$C$1000,'Base Exámenes'!C5)&lt;2,"",MATCH('Base Exámenes'!C5,'Base Exámenes'!$C$5:$C$1000,0)*10000+ROW()))</f>
        <v/>
      </c>
      <c r="AS5" t="inlineStr">
        <is>
          <t>Vacaciones</t>
        </is>
      </c>
      <c r="AU5" t="inlineStr">
        <is>
          <t>Completado</t>
        </is>
      </c>
      <c r="AV5">
        <f>COUNTIF('Detalle individual'!$F$5:$F$1000,AU5)</f>
        <v>283</v>
      </c>
      <c r="AX5" t="str">
        <f>IF('Consolidado por Gerencia'!A5="","",'Consolidado por Gerencia'!A5)</f>
        <v>Auditoría Interna</v>
      </c>
      <c r="AY5">
        <f>IF($AX5="","",COUNTIFS('Detalle individual'!$D$5:$D$1000,$AX5,'Detalle individual'!$F$5:$F$1000,AY$4))</f>
        <v>7</v>
      </c>
      <c r="AZ5">
        <f>IF($AX5="","",COUNTIFS('Detalle individual'!$D$5:$D$1000,$AX5,'Detalle individual'!$F$5:$F$1000,AZ$4))</f>
        <v>0</v>
      </c>
      <c r="BA5">
        <f>IF($AX5="","",COUNTIFS('Detalle individual'!$D$5:$D$1000,$AX5,'Detalle individual'!$F$5:$F$1000,BA$4))</f>
        <v>0</v>
      </c>
      <c r="BB5">
        <f>IF($AX5="","",COUNTIFS('Detalle individual'!$D$5:$D$1000,$AX5,'Detalle individual'!$F$5:$F$1000,BB$4))</f>
        <v>0</v>
      </c>
      <c r="BC5">
        <f>IF($AX5="","",COUNTIFS('Detalle individual'!$D$5:$D$1000,$AX5,'Detalle individual'!$F$5:$F$1000,BC$4))</f>
        <v>0</v>
      </c>
      <c r="BD5">
        <f>IF($AX5="","",COUNTIFS('Detalle individual'!$D$5:$D$1000,$AX5,'Detalle individual'!$F$5:$F$1000,BD$4))</f>
        <v>0</v>
      </c>
      <c r="BF5" t="str">
        <f>IF(AND('Consolidado por área'!G5="Completo",LEFT(TRIM('Consolidado por área'!A5),7)="AGENCIA"),'Consolidado por área'!L5+ROW()/1000000000,"")</f>
        <v/>
      </c>
    </row>
    <row r="6">
      <c r="A6" t="str">
        <f>IF('Consolidado por Gerencia'!A6="","",'Consolidado por Gerencia'!A6)</f>
        <v>Consejo de Administración</v>
      </c>
      <c r="B6">
        <f>IF($A6="","",'Consolidado por Gerencia'!B6)</f>
        <v>1</v>
      </c>
      <c r="C6">
        <f>IF($A6="","",'Consolidado por Gerencia'!C6)</f>
        <v>1</v>
      </c>
      <c r="D6">
        <f>IF($A6="","",'Consolidado por Gerencia'!D6)</f>
        <v>0</v>
      </c>
      <c r="E6">
        <f>IF($A6="","",IF(B6&gt;0,C6/B6,0))</f>
        <v>1</v>
      </c>
      <c r="F6">
        <f>IF($A6="","",E6*1000000+B6*10+(100-ROW())/1000)</f>
        <v>1000010.094</v>
      </c>
      <c r="G6">
        <f>IF($A6="","",D6*1000+(100-ROW())/1000)</f>
        <v>0.094</v>
      </c>
      <c r="I6" t="n">
        <v>2</v>
      </c>
      <c r="J6">
        <f>IF(I6&gt;COUNT($F$5:$F$24),"",MATCH(LARGE($F$5:$F$24,I6),$F$5:$F$24,0))</f>
        <v>3</v>
      </c>
      <c r="K6" t="str">
        <f>IF(J6="","",INDEX($A$5:$A$24,J6)&amp;"   "&amp;TEXT(INDEX($E$5:$E$24,J6),"0%"))</f>
        <v>Gerencia Administrativa   100%</v>
      </c>
      <c r="L6">
        <f>IF(J6="","",INDEX($C$5:$C$24,J6))</f>
        <v>34</v>
      </c>
      <c r="M6">
        <f>IF(J6="","",INDEX($D$5:$D$24,J6))</f>
        <v>0</v>
      </c>
      <c r="P6">
        <f>IF(I6&gt;COUNT($G$5:$G$24),"",MATCH(LARGE($G$5:$G$24,I6),$G$5:$G$24,0))</f>
        <v>2</v>
      </c>
      <c r="Q6" t="str">
        <f>IF(P6="","",INDEX($A$5:$A$24,P6))</f>
        <v>Consejo de Administración</v>
      </c>
      <c r="R6">
        <f>IF(P6="","",INDEX($D$5:$D$24,P6))</f>
        <v>0</v>
      </c>
      <c r="V6" t="str">
        <f>A5</f>
        <v>Auditoría Interna</v>
      </c>
      <c r="W6" t="str">
        <f>A30</f>
        <v>ADMINISTRACION DE BASE DE DATOS</v>
      </c>
      <c r="X6" t="inlineStr">
        <is>
          <t>Completado</t>
        </is>
      </c>
      <c r="Z6">
        <f>IF('Detalle individual'!A6="","",IF(AND(OR('Estado por Colaborador'!$D$4="Todas las gerencias",'Detalle individual'!D6='Estado por Colaborador'!$D$4),OR('Estado por Colaborador'!$D$5="Todos los departamentos",TRIM('Detalle individual'!C6)='Estado por Colaborador'!$D$5),OR('Estado por Colaborador'!$D$6="Todos",'Detalle individual'!F6='Estado por Colaborador'!$D$6)),IF('Detalle individual'!F6="Completado",30000000,IF('Detalle individual'!F6="Pendiente",0,15000000))+COUNTIF('Detalle individual'!$C$5:$C$1000,"&lt;"&amp;'Detalle individual'!C6)*10000+ROW(),""))</f>
        <v>39620006</v>
      </c>
      <c r="AB6">
        <f>IF('Detalle individual'!C6="","",IF(COUNTIF('Detalle individual'!$C$5:C6,'Detalle individual'!C6)=1,COUNTIF('Detalle individual'!$C$5:$C$1000,"&lt;"&amp;'Detalle individual'!C6),""))</f>
        <v>962</v>
      </c>
      <c r="AC6">
        <f>IF('Detalle individual'!D6="","",IF(COUNTIF('Detalle individual'!$D$5:D6,'Detalle individual'!D6)=1,COUNTIF('Detalle individual'!$D$5:$D$1000,"&lt;"&amp;'Detalle individual'!D6),""))</f>
        <v>711</v>
      </c>
      <c r="AE6">
        <f>IFERROR(MATCH(SMALL($AB$5:$AB$1000,2),$AB$5:$AB$1000,0)+4,"")</f>
        <v>79</v>
      </c>
      <c r="AF6">
        <f>IFERROR(MATCH(SMALL($AC$5:$AC$1000,2),$AC$5:$AC$1000,0)+4,"")</f>
        <v>296</v>
      </c>
      <c r="AH6" t="str">
        <f>IF('Detalle individual'!F6="Pendiente",COUNTIF('Detalle individual'!$D$5:$D$1000,"&lt;"&amp;'Detalle individual'!D6)*1000000+COUNTIF('Detalle individual'!$C$5:$C$1000,"&lt;"&amp;'Detalle individual'!C6)*1000+COUNTIF('Detalle individual'!$B$5:$B$1000,"&lt;"&amp;'Detalle individual'!B6)+ROW()/10000,"")</f>
        <v/>
      </c>
      <c r="AI6">
        <f>IF('Detalle individual'!F6="Completado",COUNTIF('Detalle individual'!$D$5:$D$1000,"&lt;"&amp;'Detalle individual'!D6)*1000000+COUNTIF('Detalle individual'!$C$5:$C$1000,"&lt;"&amp;'Detalle individual'!C6)*1000+COUNTIF('Detalle individual'!$B$5:$B$1000,"&lt;"&amp;'Detalle individual'!B6)+ROW()/10000,"")</f>
        <v>711962733.0006</v>
      </c>
      <c r="AJ6" t="str">
        <f>IF(AND('Detalle individual'!F6&lt;&gt;"",'Detalle individual'!F6&lt;&gt;"Completado",'Detalle individual'!F6&lt;&gt;"Pendiente"),COUNTIF('Detalle individual'!$D$5:$D$1000,"&lt;"&amp;'Detalle individual'!D6)*1000000+COUNTIF('Detalle individual'!$C$5:$C$1000,"&lt;"&amp;'Detalle individual'!C6)*1000+COUNTIF('Detalle individual'!$B$5:$B$1000,"&lt;"&amp;'Detalle individual'!B6)+ROW()/10000,"")</f>
        <v/>
      </c>
      <c r="AK6">
        <f>IF(OR('Base Exámenes'!C6="",'Base Exámenes'!D6=""),"",IF(COUNTIF('Base Exámenes'!$C$5:C6,'Base Exámenes'!C6)=1,'Base Exámenes'!D6+ROW()/1000000000,""))</f>
        <v>46296.42641204861</v>
      </c>
      <c r="AL6">
        <f>IF(OR('Base Exámenes'!C6="",'Base Exámenes'!E6=""),"",IF(COUNTIF('Base Exámenes'!$C$5:C6,'Base Exámenes'!C6)=1,'Base Exámenes'!E6+ROW()/1000000000,""))</f>
        <v>46296.43187501157</v>
      </c>
      <c r="AM6">
        <f>IF(OR('Base Exámenes'!C6="",'Base Exámenes'!G6=""),"",IF(ROW()-4=MATCH('Base Exámenes'!C6&amp;"|"&amp;_xlfn.MAXIFS('Base Exámenes'!$G$5:$G$1000,'Base Exámenes'!$C$5:$C$1000,'Base Exámenes'!C6),'Base Exámenes'!$I$5:$I$1000,0),'Base Exámenes'!G6*1000000+(-1)*'Base Exámenes'!D6,""))</f>
        <v>99953703.573588</v>
      </c>
      <c r="AO6">
        <f>IF('Consolidado por área'!G6="Completo",'Consolidado por área'!L6+ROW()/1000000000,"")</f>
        <v>46311.67567130787</v>
      </c>
      <c r="AQ6">
        <f>IF('Base Exámenes'!C6="","",IF(COUNTIF('Base Exámenes'!$C$5:$C$1000,'Base Exámenes'!C6)&lt;2,"",MATCH('Base Exámenes'!C6,'Base Exámenes'!$C$5:$C$1000,0)*10000+ROW()))</f>
        <v>20006</v>
      </c>
      <c r="AS6" t="inlineStr">
        <is>
          <t>Incapacidad</t>
        </is>
      </c>
      <c r="AU6" t="inlineStr">
        <is>
          <t>Pendiente</t>
        </is>
      </c>
      <c r="AV6">
        <f>COUNTIF('Detalle individual'!$F$5:$F$1000,AU6)</f>
        <v>0</v>
      </c>
      <c r="AX6" t="str">
        <f>IF('Consolidado por Gerencia'!A6="","",'Consolidado por Gerencia'!A6)</f>
        <v>Consejo de Administración</v>
      </c>
      <c r="AY6">
        <f>IF($AX6="","",COUNTIFS('Detalle individual'!$D$5:$D$1000,$AX6,'Detalle individual'!$F$5:$F$1000,AY$4))</f>
        <v>1</v>
      </c>
      <c r="AZ6">
        <f>IF($AX6="","",COUNTIFS('Detalle individual'!$D$5:$D$1000,$AX6,'Detalle individual'!$F$5:$F$1000,AZ$4))</f>
        <v>0</v>
      </c>
      <c r="BA6">
        <f>IF($AX6="","",COUNTIFS('Detalle individual'!$D$5:$D$1000,$AX6,'Detalle individual'!$F$5:$F$1000,BA$4))</f>
        <v>0</v>
      </c>
      <c r="BB6">
        <f>IF($AX6="","",COUNTIFS('Detalle individual'!$D$5:$D$1000,$AX6,'Detalle individual'!$F$5:$F$1000,BB$4))</f>
        <v>0</v>
      </c>
      <c r="BC6">
        <f>IF($AX6="","",COUNTIFS('Detalle individual'!$D$5:$D$1000,$AX6,'Detalle individual'!$F$5:$F$1000,BC$4))</f>
        <v>0</v>
      </c>
      <c r="BD6">
        <f>IF($AX6="","",COUNTIFS('Detalle individual'!$D$5:$D$1000,$AX6,'Detalle individual'!$F$5:$F$1000,BD$4))</f>
        <v>0</v>
      </c>
      <c r="BF6" t="str">
        <f>IF(AND('Consolidado por área'!G6="Completo",LEFT(TRIM('Consolidado por área'!A6),7)="AGENCIA"),'Consolidado por área'!L6+ROW()/1000000000,"")</f>
        <v/>
      </c>
    </row>
    <row r="7">
      <c r="A7" t="str">
        <f>IF('Consolidado por Gerencia'!A7="","",'Consolidado por Gerencia'!A7)</f>
        <v>Gerencia Administrativa</v>
      </c>
      <c r="B7">
        <f>IF($A7="","",'Consolidado por Gerencia'!B7)</f>
        <v>34</v>
      </c>
      <c r="C7">
        <f>IF($A7="","",'Consolidado por Gerencia'!C7)</f>
        <v>34</v>
      </c>
      <c r="D7">
        <f>IF($A7="","",'Consolidado por Gerencia'!D7)</f>
        <v>0</v>
      </c>
      <c r="E7">
        <f>IF($A7="","",IF(B7&gt;0,C7/B7,0))</f>
        <v>1</v>
      </c>
      <c r="F7">
        <f>IF($A7="","",E7*1000000+B7*10+(100-ROW())/1000)</f>
        <v>1000340.093</v>
      </c>
      <c r="G7">
        <f>IF($A7="","",D7*1000+(100-ROW())/1000)</f>
        <v>0.093</v>
      </c>
      <c r="I7" t="n">
        <v>3</v>
      </c>
      <c r="J7">
        <f>IF(I7&gt;COUNT($F$5:$F$24),"",MATCH(LARGE($F$5:$F$24,I7),$F$5:$F$24,0))</f>
        <v>7</v>
      </c>
      <c r="K7" t="str">
        <f>IF(J7="","",INDEX($A$5:$A$24,J7)&amp;"   "&amp;TEXT(INDEX($E$5:$E$24,J7),"0%"))</f>
        <v>Gerencia de Operaciones   100%</v>
      </c>
      <c r="L7">
        <f>IF(J7="","",INDEX($C$5:$C$24,J7))</f>
        <v>24</v>
      </c>
      <c r="M7">
        <f>IF(J7="","",INDEX($D$5:$D$24,J7))</f>
        <v>0</v>
      </c>
      <c r="P7">
        <f>IF(I7&gt;COUNT($G$5:$G$24),"",MATCH(LARGE($G$5:$G$24,I7),$G$5:$G$24,0))</f>
        <v>3</v>
      </c>
      <c r="Q7" t="str">
        <f>IF(P7="","",INDEX($A$5:$A$24,P7))</f>
        <v>Gerencia Administrativa</v>
      </c>
      <c r="R7">
        <f>IF(P7="","",INDEX($D$5:$D$24,P7))</f>
        <v>0</v>
      </c>
      <c r="V7" t="str">
        <f>A6</f>
        <v>Consejo de Administración</v>
      </c>
      <c r="W7" t="str">
        <f>A31</f>
        <v>ADMINISTRACIÓN DE CARTERAS</v>
      </c>
      <c r="X7" t="inlineStr">
        <is>
          <t>Pendiente</t>
        </is>
      </c>
      <c r="Z7">
        <f>IF('Detalle individual'!A7="","",IF(AND(OR('Estado por Colaborador'!$D$4="Todas las gerencias",'Detalle individual'!D7='Estado por Colaborador'!$D$4),OR('Estado por Colaborador'!$D$5="Todos los departamentos",TRIM('Detalle individual'!C7)='Estado por Colaborador'!$D$5),OR('Estado por Colaborador'!$D$6="Todos",'Detalle individual'!F7='Estado por Colaborador'!$D$6)),IF('Detalle individual'!F7="Completado",30000000,IF('Detalle individual'!F7="Pendiente",0,15000000))+COUNTIF('Detalle individual'!$C$5:$C$1000,"&lt;"&amp;'Detalle individual'!C7)*10000+ROW(),""))</f>
        <v>39700007</v>
      </c>
      <c r="AB7">
        <f>IF('Detalle individual'!C7="","",IF(COUNTIF('Detalle individual'!$C$5:C7,'Detalle individual'!C7)=1,COUNTIF('Detalle individual'!$C$5:$C$1000,"&lt;"&amp;'Detalle individual'!C7),""))</f>
        <v>970</v>
      </c>
      <c r="AC7">
        <f>IF('Detalle individual'!D7="","",IF(COUNTIF('Detalle individual'!$D$5:D7,'Detalle individual'!D7)=1,COUNTIF('Detalle individual'!$D$5:$D$1000,"&lt;"&amp;'Detalle individual'!D7),""))</f>
        <v>925</v>
      </c>
      <c r="AE7">
        <f>IFERROR(MATCH(SMALL($AB$5:$AB$1000,3),$AB$5:$AB$1000,0)+4,"")</f>
        <v>14</v>
      </c>
      <c r="AF7">
        <f>IFERROR(MATCH(SMALL($AC$5:$AC$1000,3),$AC$5:$AC$1000,0)+4,"")</f>
        <v>6</v>
      </c>
      <c r="AH7" t="str">
        <f>IF('Detalle individual'!F7="Pendiente",COUNTIF('Detalle individual'!$D$5:$D$1000,"&lt;"&amp;'Detalle individual'!D7)*1000000+COUNTIF('Detalle individual'!$C$5:$C$1000,"&lt;"&amp;'Detalle individual'!C7)*1000+COUNTIF('Detalle individual'!$B$5:$B$1000,"&lt;"&amp;'Detalle individual'!B7)+ROW()/10000,"")</f>
        <v/>
      </c>
      <c r="AI7">
        <f>IF('Detalle individual'!F7="Completado",COUNTIF('Detalle individual'!$D$5:$D$1000,"&lt;"&amp;'Detalle individual'!D7)*1000000+COUNTIF('Detalle individual'!$C$5:$C$1000,"&lt;"&amp;'Detalle individual'!C7)*1000+COUNTIF('Detalle individual'!$B$5:$B$1000,"&lt;"&amp;'Detalle individual'!B7)+ROW()/10000,"")</f>
        <v>925970957.0007</v>
      </c>
      <c r="AJ7" t="str">
        <f>IF(AND('Detalle individual'!F7&lt;&gt;"",'Detalle individual'!F7&lt;&gt;"Completado",'Detalle individual'!F7&lt;&gt;"Pendiente"),COUNTIF('Detalle individual'!$D$5:$D$1000,"&lt;"&amp;'Detalle individual'!D7)*1000000+COUNTIF('Detalle individual'!$C$5:$C$1000,"&lt;"&amp;'Detalle individual'!C7)*1000+COUNTIF('Detalle individual'!$B$5:$B$1000,"&lt;"&amp;'Detalle individual'!B7)+ROW()/10000,"")</f>
        <v/>
      </c>
      <c r="AK7">
        <f>IF(OR('Base Exámenes'!C7="",'Base Exámenes'!D7=""),"",IF(COUNTIF('Base Exámenes'!$C$5:C7,'Base Exámenes'!C7)=1,'Base Exámenes'!D7+ROW()/1000000000,""))</f>
        <v>46296.436678252314</v>
      </c>
      <c r="AL7">
        <f>IF(OR('Base Exámenes'!C7="",'Base Exámenes'!E7=""),"",IF(COUNTIF('Base Exámenes'!$C$5:C7,'Base Exámenes'!C7)=1,'Base Exámenes'!E7+ROW()/1000000000,""))</f>
        <v>46296.43879630787</v>
      </c>
      <c r="AM7">
        <f>IF(OR('Base Exámenes'!C7="",'Base Exámenes'!G7=""),"",IF(ROW()-4=MATCH('Base Exámenes'!C7&amp;"|"&amp;_xlfn.MAXIFS('Base Exámenes'!$G$5:$G$1000,'Base Exámenes'!$C$5:$C$1000,'Base Exámenes'!C7),'Base Exámenes'!$I$5:$I$1000,0),'Base Exámenes'!G7*1000000+(-1)*'Base Exámenes'!D7,""))</f>
        <v>99953703.5633218</v>
      </c>
      <c r="AO7">
        <f>IF('Consolidado por área'!G7="Completo",'Consolidado por área'!L7+ROW()/1000000000,"")</f>
        <v>46305.398657418984</v>
      </c>
      <c r="AQ7" t="str">
        <f>IF('Base Exámenes'!C7="","",IF(COUNTIF('Base Exámenes'!$C$5:$C$1000,'Base Exámenes'!C7)&lt;2,"",MATCH('Base Exámenes'!C7,'Base Exámenes'!$C$5:$C$1000,0)*10000+ROW()))</f>
        <v/>
      </c>
      <c r="AS7" t="inlineStr">
        <is>
          <t>Incapacidad por maternidad</t>
        </is>
      </c>
      <c r="AU7" t="inlineStr">
        <is>
          <t>Vacaciones</t>
        </is>
      </c>
      <c r="AV7">
        <f>COUNTIF('Detalle individual'!$F$5:$F$1000,AU7)</f>
        <v>4</v>
      </c>
      <c r="AX7" t="str">
        <f>IF('Consolidado por Gerencia'!A7="","",'Consolidado por Gerencia'!A7)</f>
        <v>Gerencia Administrativa</v>
      </c>
      <c r="AY7">
        <f>IF($AX7="","",COUNTIFS('Detalle individual'!$D$5:$D$1000,$AX7,'Detalle individual'!$F$5:$F$1000,AY$4))</f>
        <v>34</v>
      </c>
      <c r="AZ7">
        <f>IF($AX7="","",COUNTIFS('Detalle individual'!$D$5:$D$1000,$AX7,'Detalle individual'!$F$5:$F$1000,AZ$4))</f>
        <v>0</v>
      </c>
      <c r="BA7">
        <f>IF($AX7="","",COUNTIFS('Detalle individual'!$D$5:$D$1000,$AX7,'Detalle individual'!$F$5:$F$1000,BA$4))</f>
        <v>1</v>
      </c>
      <c r="BB7">
        <f>IF($AX7="","",COUNTIFS('Detalle individual'!$D$5:$D$1000,$AX7,'Detalle individual'!$F$5:$F$1000,BB$4))</f>
        <v>0</v>
      </c>
      <c r="BC7">
        <f>IF($AX7="","",COUNTIFS('Detalle individual'!$D$5:$D$1000,$AX7,'Detalle individual'!$F$5:$F$1000,BC$4))</f>
        <v>0</v>
      </c>
      <c r="BD7">
        <f>IF($AX7="","",COUNTIFS('Detalle individual'!$D$5:$D$1000,$AX7,'Detalle individual'!$F$5:$F$1000,BD$4))</f>
        <v>0</v>
      </c>
      <c r="BF7" t="str">
        <f>IF(AND('Consolidado por área'!G7="Completo",LEFT(TRIM('Consolidado por área'!A7),7)="AGENCIA"),'Consolidado por área'!L7+ROW()/1000000000,"")</f>
        <v/>
      </c>
    </row>
    <row r="8">
      <c r="A8" t="str">
        <f>IF('Consolidado por Gerencia'!A8="","",'Consolidado por Gerencia'!A8)</f>
        <v>Gerencia de Finanzas y Planificación</v>
      </c>
      <c r="B8">
        <f>IF($A8="","",'Consolidado por Gerencia'!B8)</f>
        <v>18</v>
      </c>
      <c r="C8">
        <f>IF($A8="","",'Consolidado por Gerencia'!C8)</f>
        <v>18</v>
      </c>
      <c r="D8">
        <f>IF($A8="","",'Consolidado por Gerencia'!D8)</f>
        <v>0</v>
      </c>
      <c r="E8">
        <f>IF($A8="","",IF(B8&gt;0,C8/B8,0))</f>
        <v>1</v>
      </c>
      <c r="F8">
        <f>IF($A8="","",E8*1000000+B8*10+(100-ROW())/1000)</f>
        <v>1000180.092</v>
      </c>
      <c r="G8">
        <f>IF($A8="","",D8*1000+(100-ROW())/1000)</f>
        <v>0.092</v>
      </c>
      <c r="I8" t="n">
        <v>4</v>
      </c>
      <c r="J8">
        <f>IF(I8&gt;COUNT($F$5:$F$24),"",MATCH(LARGE($F$5:$F$24,I8),$F$5:$F$24,0))</f>
        <v>8</v>
      </c>
      <c r="K8" t="str">
        <f>IF(J8="","",INDEX($A$5:$A$24,J8)&amp;"   "&amp;TEXT(INDEX($E$5:$E$24,J8),"0%"))</f>
        <v>Gerencia de Sistemas   100%</v>
      </c>
      <c r="L8">
        <f>IF(J8="","",INDEX($C$5:$C$24,J8))</f>
        <v>22</v>
      </c>
      <c r="M8">
        <f>IF(J8="","",INDEX($D$5:$D$24,J8))</f>
        <v>0</v>
      </c>
      <c r="P8">
        <f>IF(I8&gt;COUNT($G$5:$G$24),"",MATCH(LARGE($G$5:$G$24,I8),$G$5:$G$24,0))</f>
        <v>4</v>
      </c>
      <c r="Q8" t="str">
        <f>IF(P8="","",INDEX($A$5:$A$24,P8))</f>
        <v>Gerencia de Finanzas y Planificación</v>
      </c>
      <c r="R8">
        <f>IF(P8="","",INDEX($D$5:$D$24,P8))</f>
        <v>0</v>
      </c>
      <c r="V8" t="str">
        <f>A7</f>
        <v>Gerencia Administrativa</v>
      </c>
      <c r="W8" t="str">
        <f>A32</f>
        <v>ADMINISTRACION DE RIESGOS</v>
      </c>
      <c r="X8" t="inlineStr">
        <is>
          <t>Vacaciones</t>
        </is>
      </c>
      <c r="Z8">
        <f>IF('Detalle individual'!A8="","",IF(AND(OR('Estado por Colaborador'!$D$4="Todas las gerencias",'Detalle individual'!D8='Estado por Colaborador'!$D$4),OR('Estado por Colaborador'!$D$5="Todos los departamentos",TRIM('Detalle individual'!C8)='Estado por Colaborador'!$D$5),OR('Estado por Colaborador'!$D$6="Todos",'Detalle individual'!F8='Estado por Colaborador'!$D$6)),IF('Detalle individual'!F8="Completado",30000000,IF('Detalle individual'!F8="Pendiente",0,15000000))+COUNTIF('Detalle individual'!$C$5:$C$1000,"&lt;"&amp;'Detalle individual'!C8)*10000+ROW(),""))</f>
        <v>39640008</v>
      </c>
      <c r="AB8">
        <f>IF('Detalle individual'!C8="","",IF(COUNTIF('Detalle individual'!$C$5:C8,'Detalle individual'!C8)=1,COUNTIF('Detalle individual'!$C$5:$C$1000,"&lt;"&amp;'Detalle individual'!C8),""))</f>
        <v>964</v>
      </c>
      <c r="AC8">
        <f>IF('Detalle individual'!D8="","",IF(COUNTIF('Detalle individual'!$D$5:D8,'Detalle individual'!D8)=1,COUNTIF('Detalle individual'!$D$5:$D$1000,"&lt;"&amp;'Detalle individual'!D8),""))</f>
        <v>746</v>
      </c>
      <c r="AE8">
        <f>IFERROR(MATCH(SMALL($AB$5:$AB$1000,4),$AB$5:$AB$1000,0)+4,"")</f>
        <v>191</v>
      </c>
      <c r="AF8">
        <f>IFERROR(MATCH(SMALL($AC$5:$AC$1000,4),$AC$5:$AC$1000,0)+4,"")</f>
        <v>8</v>
      </c>
      <c r="AH8" t="str">
        <f>IF('Detalle individual'!F8="Pendiente",COUNTIF('Detalle individual'!$D$5:$D$1000,"&lt;"&amp;'Detalle individual'!D8)*1000000+COUNTIF('Detalle individual'!$C$5:$C$1000,"&lt;"&amp;'Detalle individual'!C8)*1000+COUNTIF('Detalle individual'!$B$5:$B$1000,"&lt;"&amp;'Detalle individual'!B8)+ROW()/10000,"")</f>
        <v/>
      </c>
      <c r="AI8">
        <f>IF('Detalle individual'!F8="Completado",COUNTIF('Detalle individual'!$D$5:$D$1000,"&lt;"&amp;'Detalle individual'!D8)*1000000+COUNTIF('Detalle individual'!$C$5:$C$1000,"&lt;"&amp;'Detalle individual'!C8)*1000+COUNTIF('Detalle individual'!$B$5:$B$1000,"&lt;"&amp;'Detalle individual'!B8)+ROW()/10000,"")</f>
        <v>746964849.0008</v>
      </c>
      <c r="AJ8" t="str">
        <f>IF(AND('Detalle individual'!F8&lt;&gt;"",'Detalle individual'!F8&lt;&gt;"Completado",'Detalle individual'!F8&lt;&gt;"Pendiente"),COUNTIF('Detalle individual'!$D$5:$D$1000,"&lt;"&amp;'Detalle individual'!D8)*1000000+COUNTIF('Detalle individual'!$C$5:$C$1000,"&lt;"&amp;'Detalle individual'!C8)*1000+COUNTIF('Detalle individual'!$B$5:$B$1000,"&lt;"&amp;'Detalle individual'!B8)+ROW()/10000,"")</f>
        <v/>
      </c>
      <c r="AK8">
        <f>IF(OR('Base Exámenes'!C8="",'Base Exámenes'!D8=""),"",IF(COUNTIF('Base Exámenes'!$C$5:C8,'Base Exámenes'!C8)=1,'Base Exámenes'!D8+ROW()/1000000000,""))</f>
        <v>46296.43491899306</v>
      </c>
      <c r="AL8">
        <f>IF(OR('Base Exámenes'!C8="",'Base Exámenes'!E8=""),"",IF(COUNTIF('Base Exámenes'!$C$5:C8,'Base Exámenes'!C8)=1,'Base Exámenes'!E8+ROW()/1000000000,""))</f>
        <v>46296.440648159725</v>
      </c>
      <c r="AM8">
        <f>IF(OR('Base Exámenes'!C8="",'Base Exámenes'!G8=""),"",IF(ROW()-4=MATCH('Base Exámenes'!C8&amp;"|"&amp;_xlfn.MAXIFS('Base Exámenes'!$G$5:$G$1000,'Base Exámenes'!$C$5:$C$1000,'Base Exámenes'!C8),'Base Exámenes'!$I$5:$I$1000,0),'Base Exámenes'!G8*1000000+(-1)*'Base Exámenes'!D8,""))</f>
        <v>99953703.565081</v>
      </c>
      <c r="AO8">
        <f>IF('Consolidado por área'!G8="Completo",'Consolidado por área'!L8+ROW()/1000000000,"")</f>
        <v>46311.71950232639</v>
      </c>
      <c r="AQ8" t="str">
        <f>IF('Base Exámenes'!C8="","",IF(COUNTIF('Base Exámenes'!$C$5:$C$1000,'Base Exámenes'!C8)&lt;2,"",MATCH('Base Exámenes'!C8,'Base Exámenes'!$C$5:$C$1000,0)*10000+ROW()))</f>
        <v/>
      </c>
      <c r="AS8" t="inlineStr">
        <is>
          <t>Renuncia</t>
        </is>
      </c>
      <c r="AU8" t="inlineStr">
        <is>
          <t>Incapacidad</t>
        </is>
      </c>
      <c r="AV8">
        <f>COUNTIF('Detalle individual'!$F$5:$F$1000,AU8)</f>
        <v>1</v>
      </c>
      <c r="AX8" t="str">
        <f>IF('Consolidado por Gerencia'!A8="","",'Consolidado por Gerencia'!A8)</f>
        <v>Gerencia de Finanzas y Planificación</v>
      </c>
      <c r="AY8">
        <f>IF($AX8="","",COUNTIFS('Detalle individual'!$D$5:$D$1000,$AX8,'Detalle individual'!$F$5:$F$1000,AY$4))</f>
        <v>18</v>
      </c>
      <c r="AZ8">
        <f>IF($AX8="","",COUNTIFS('Detalle individual'!$D$5:$D$1000,$AX8,'Detalle individual'!$F$5:$F$1000,AZ$4))</f>
        <v>0</v>
      </c>
      <c r="BA8">
        <f>IF($AX8="","",COUNTIFS('Detalle individual'!$D$5:$D$1000,$AX8,'Detalle individual'!$F$5:$F$1000,BA$4))</f>
        <v>0</v>
      </c>
      <c r="BB8">
        <f>IF($AX8="","",COUNTIFS('Detalle individual'!$D$5:$D$1000,$AX8,'Detalle individual'!$F$5:$F$1000,BB$4))</f>
        <v>0</v>
      </c>
      <c r="BC8">
        <f>IF($AX8="","",COUNTIFS('Detalle individual'!$D$5:$D$1000,$AX8,'Detalle individual'!$F$5:$F$1000,BC$4))</f>
        <v>0</v>
      </c>
      <c r="BD8">
        <f>IF($AX8="","",COUNTIFS('Detalle individual'!$D$5:$D$1000,$AX8,'Detalle individual'!$F$5:$F$1000,BD$4))</f>
        <v>0</v>
      </c>
      <c r="BF8">
        <f>IF(AND('Consolidado por área'!G8="Completo",LEFT(TRIM('Consolidado por área'!A8),7)="AGENCIA"),'Consolidado por área'!L8+ROW()/1000000000,"")</f>
        <v>46311.71950232639</v>
      </c>
    </row>
    <row r="9">
      <c r="A9" t="str">
        <f>IF('Consolidado por Gerencia'!A9="","",'Consolidado por Gerencia'!A9)</f>
        <v>Gerencia de Negocios</v>
      </c>
      <c r="B9">
        <f>IF($A9="","",'Consolidado por Gerencia'!B9)</f>
        <v>148</v>
      </c>
      <c r="C9">
        <f>IF($A9="","",'Consolidado por Gerencia'!C9)</f>
        <v>148</v>
      </c>
      <c r="D9">
        <f>IF($A9="","",'Consolidado por Gerencia'!D9)</f>
        <v>0</v>
      </c>
      <c r="E9">
        <f>IF($A9="","",IF(B9&gt;0,C9/B9,0))</f>
        <v>1</v>
      </c>
      <c r="F9">
        <f>IF($A9="","",E9*1000000+B9*10+(100-ROW())/1000)</f>
        <v>1001480.091</v>
      </c>
      <c r="G9">
        <f>IF($A9="","",D9*1000+(100-ROW())/1000)</f>
        <v>0.091</v>
      </c>
      <c r="I9" t="n">
        <v>5</v>
      </c>
      <c r="J9">
        <f>IF(I9&gt;COUNT($F$5:$F$24),"",MATCH(LARGE($F$5:$F$24,I9),$F$5:$F$24,0))</f>
        <v>4</v>
      </c>
      <c r="K9" t="str">
        <f>IF(J9="","",INDEX($A$5:$A$24,J9)&amp;"   "&amp;TEXT(INDEX($E$5:$E$24,J9),"0%"))</f>
        <v>Gerencia de Finanzas y Planificación   100%</v>
      </c>
      <c r="L9">
        <f>IF(J9="","",INDEX($C$5:$C$24,J9))</f>
        <v>18</v>
      </c>
      <c r="M9">
        <f>IF(J9="","",INDEX($D$5:$D$24,J9))</f>
        <v>0</v>
      </c>
      <c r="P9">
        <f>IF(I9&gt;COUNT($G$5:$G$24),"",MATCH(LARGE($G$5:$G$24,I9),$G$5:$G$24,0))</f>
        <v>5</v>
      </c>
      <c r="Q9" t="str">
        <f>IF(P9="","",INDEX($A$5:$A$24,P9))</f>
        <v>Gerencia de Negocios</v>
      </c>
      <c r="R9">
        <f>IF(P9="","",INDEX($D$5:$D$24,P9))</f>
        <v>0</v>
      </c>
      <c r="V9" t="str">
        <f>A8</f>
        <v>Gerencia de Finanzas y Planificación</v>
      </c>
      <c r="W9" t="str">
        <f>A33</f>
        <v>AGENCIA CENTRAL</v>
      </c>
      <c r="X9" t="inlineStr">
        <is>
          <t>Incapacidad</t>
        </is>
      </c>
      <c r="Z9">
        <f>IF('Detalle individual'!A9="","",IF(AND(OR('Estado por Colaborador'!$D$4="Todas las gerencias",'Detalle individual'!D9='Estado por Colaborador'!$D$4),OR('Estado por Colaborador'!$D$5="Todos los departamentos",TRIM('Detalle individual'!C9)='Estado por Colaborador'!$D$5),OR('Estado por Colaborador'!$D$6="Todos",'Detalle individual'!F9='Estado por Colaborador'!$D$6)),IF('Detalle individual'!F9="Completado",30000000,IF('Detalle individual'!F9="Pendiente",0,15000000))+COUNTIF('Detalle individual'!$C$5:$C$1000,"&lt;"&amp;'Detalle individual'!C9)*10000+ROW(),""))</f>
        <v>39710009</v>
      </c>
      <c r="AB9">
        <f>IF('Detalle individual'!C9="","",IF(COUNTIF('Detalle individual'!$C$5:C9,'Detalle individual'!C9)=1,COUNTIF('Detalle individual'!$C$5:$C$1000,"&lt;"&amp;'Detalle individual'!C9),""))</f>
        <v>971</v>
      </c>
      <c r="AC9">
        <f>IF('Detalle individual'!D9="","",IF(COUNTIF('Detalle individual'!$D$5:D9,'Detalle individual'!D9)=1,COUNTIF('Detalle individual'!$D$5:$D$1000,"&lt;"&amp;'Detalle individual'!D9),""))</f>
        <v>951</v>
      </c>
      <c r="AE9">
        <f>IFERROR(MATCH(SMALL($AB$5:$AB$1000,5),$AB$5:$AB$1000,0)+4,"")</f>
        <v>209</v>
      </c>
      <c r="AF9">
        <f>IFERROR(MATCH(SMALL($AC$5:$AC$1000,5),$AC$5:$AC$1000,0)+4,"")</f>
        <v>11</v>
      </c>
      <c r="AH9" t="str">
        <f>IF('Detalle individual'!F9="Pendiente",COUNTIF('Detalle individual'!$D$5:$D$1000,"&lt;"&amp;'Detalle individual'!D9)*1000000+COUNTIF('Detalle individual'!$C$5:$C$1000,"&lt;"&amp;'Detalle individual'!C9)*1000+COUNTIF('Detalle individual'!$B$5:$B$1000,"&lt;"&amp;'Detalle individual'!B9)+ROW()/10000,"")</f>
        <v/>
      </c>
      <c r="AI9">
        <f>IF('Detalle individual'!F9="Completado",COUNTIF('Detalle individual'!$D$5:$D$1000,"&lt;"&amp;'Detalle individual'!D9)*1000000+COUNTIF('Detalle individual'!$C$5:$C$1000,"&lt;"&amp;'Detalle individual'!C9)*1000+COUNTIF('Detalle individual'!$B$5:$B$1000,"&lt;"&amp;'Detalle individual'!B9)+ROW()/10000,"")</f>
        <v>951971709.0009</v>
      </c>
      <c r="AJ9" t="str">
        <f>IF(AND('Detalle individual'!F9&lt;&gt;"",'Detalle individual'!F9&lt;&gt;"Completado",'Detalle individual'!F9&lt;&gt;"Pendiente"),COUNTIF('Detalle individual'!$D$5:$D$1000,"&lt;"&amp;'Detalle individual'!D9)*1000000+COUNTIF('Detalle individual'!$C$5:$C$1000,"&lt;"&amp;'Detalle individual'!C9)*1000+COUNTIF('Detalle individual'!$B$5:$B$1000,"&lt;"&amp;'Detalle individual'!B9)+ROW()/10000,"")</f>
        <v/>
      </c>
      <c r="AK9">
        <f>IF(OR('Base Exámenes'!C9="",'Base Exámenes'!D9=""),"",IF(COUNTIF('Base Exámenes'!$C$5:C9,'Base Exámenes'!C9)=1,'Base Exámenes'!D9+ROW()/1000000000,""))</f>
        <v>46296.43665510417</v>
      </c>
      <c r="AL9">
        <f>IF(OR('Base Exámenes'!C9="",'Base Exámenes'!E9=""),"",IF(COUNTIF('Base Exámenes'!$C$5:C9,'Base Exámenes'!C9)=1,'Base Exámenes'!E9+ROW()/1000000000,""))</f>
        <v>46296.44137732639</v>
      </c>
      <c r="AM9">
        <f>IF(OR('Base Exámenes'!C9="",'Base Exámenes'!G9=""),"",IF(ROW()-4=MATCH('Base Exámenes'!C9&amp;"|"&amp;_xlfn.MAXIFS('Base Exámenes'!$G$5:$G$1000,'Base Exámenes'!$C$5:$C$1000,'Base Exámenes'!C9),'Base Exámenes'!$I$5:$I$1000,0),'Base Exámenes'!G9*1000000+(-1)*'Base Exámenes'!D9,""))</f>
        <v>99953703.5633449</v>
      </c>
      <c r="AO9">
        <f>IF('Consolidado por área'!G9="Completo",'Consolidado por área'!L9+ROW()/1000000000,"")</f>
        <v>46310.51637732639</v>
      </c>
      <c r="AQ9" t="str">
        <f>IF('Base Exámenes'!C9="","",IF(COUNTIF('Base Exámenes'!$C$5:$C$1000,'Base Exámenes'!C9)&lt;2,"",MATCH('Base Exámenes'!C9,'Base Exámenes'!$C$5:$C$1000,0)*10000+ROW()))</f>
        <v/>
      </c>
      <c r="AU9" t="inlineStr">
        <is>
          <t>Incapacidad por maternidad</t>
        </is>
      </c>
      <c r="AV9">
        <f>COUNTIF('Detalle individual'!$F$5:$F$1000,AU9)</f>
        <v>2</v>
      </c>
      <c r="AX9" t="str">
        <f>IF('Consolidado por Gerencia'!A9="","",'Consolidado por Gerencia'!A9)</f>
        <v>Gerencia de Negocios</v>
      </c>
      <c r="AY9">
        <f>IF($AX9="","",COUNTIFS('Detalle individual'!$D$5:$D$1000,$AX9,'Detalle individual'!$F$5:$F$1000,AY$4))</f>
        <v>148</v>
      </c>
      <c r="AZ9">
        <f>IF($AX9="","",COUNTIFS('Detalle individual'!$D$5:$D$1000,$AX9,'Detalle individual'!$F$5:$F$1000,AZ$4))</f>
        <v>0</v>
      </c>
      <c r="BA9">
        <f>IF($AX9="","",COUNTIFS('Detalle individual'!$D$5:$D$1000,$AX9,'Detalle individual'!$F$5:$F$1000,BA$4))</f>
        <v>2</v>
      </c>
      <c r="BB9">
        <f>IF($AX9="","",COUNTIFS('Detalle individual'!$D$5:$D$1000,$AX9,'Detalle individual'!$F$5:$F$1000,BB$4))</f>
        <v>0</v>
      </c>
      <c r="BC9">
        <f>IF($AX9="","",COUNTIFS('Detalle individual'!$D$5:$D$1000,$AX9,'Detalle individual'!$F$5:$F$1000,BC$4))</f>
        <v>2</v>
      </c>
      <c r="BD9">
        <f>IF($AX9="","",COUNTIFS('Detalle individual'!$D$5:$D$1000,$AX9,'Detalle individual'!$F$5:$F$1000,BD$4))</f>
        <v>2</v>
      </c>
      <c r="BF9">
        <f>IF(AND('Consolidado por área'!G9="Completo",LEFT(TRIM('Consolidado por área'!A9),7)="AGENCIA"),'Consolidado por área'!L9+ROW()/1000000000,"")</f>
        <v>46310.51637732639</v>
      </c>
    </row>
    <row r="10">
      <c r="A10" t="str">
        <f>IF('Consolidado por Gerencia'!A10="","",'Consolidado por Gerencia'!A10)</f>
        <v>Gerencia de Oficialía de Cumplimiento</v>
      </c>
      <c r="B10">
        <f>IF($A10="","",'Consolidado por Gerencia'!B10)</f>
        <v>7</v>
      </c>
      <c r="C10">
        <f>IF($A10="","",'Consolidado por Gerencia'!C10)</f>
        <v>7</v>
      </c>
      <c r="D10">
        <f>IF($A10="","",'Consolidado por Gerencia'!D10)</f>
        <v>0</v>
      </c>
      <c r="E10">
        <f>IF($A10="","",IF(B10&gt;0,C10/B10,0))</f>
        <v>1</v>
      </c>
      <c r="F10">
        <f>IF($A10="","",E10*1000000+B10*10+(100-ROW())/1000)</f>
        <v>1000070.09</v>
      </c>
      <c r="G10">
        <f>IF($A10="","",D10*1000+(100-ROW())/1000)</f>
        <v>0.09</v>
      </c>
      <c r="I10" t="n">
        <v>6</v>
      </c>
      <c r="J10">
        <f>IF(I10&gt;COUNT($F$5:$F$24),"",MATCH(LARGE($F$5:$F$24,I10),$F$5:$F$24,0))</f>
        <v>9</v>
      </c>
      <c r="K10" t="str">
        <f>IF(J10="","",INDEX($A$5:$A$24,J10)&amp;"   "&amp;TEXT(INDEX($E$5:$E$24,J10),"0%"))</f>
        <v>Gerencia General   100%</v>
      </c>
      <c r="L10">
        <f>IF(J10="","",INDEX($C$5:$C$24,J10))</f>
        <v>13</v>
      </c>
      <c r="M10">
        <f>IF(J10="","",INDEX($D$5:$D$24,J10))</f>
        <v>0</v>
      </c>
      <c r="P10">
        <f>IF(I10&gt;COUNT($G$5:$G$24),"",MATCH(LARGE($G$5:$G$24,I10),$G$5:$G$24,0))</f>
        <v>6</v>
      </c>
      <c r="Q10" t="str">
        <f>IF(P10="","",INDEX($A$5:$A$24,P10))</f>
        <v>Gerencia de Oficialía de Cumplimiento</v>
      </c>
      <c r="R10">
        <f>IF(P10="","",INDEX($D$5:$D$24,P10))</f>
        <v>0</v>
      </c>
      <c r="V10" t="str">
        <f>A9</f>
        <v>Gerencia de Negocios</v>
      </c>
      <c r="W10" t="str">
        <f>A34</f>
        <v>AGENCIA COLEGIO MEDICO</v>
      </c>
      <c r="X10" t="inlineStr">
        <is>
          <t>Incapacidad por maternidad</t>
        </is>
      </c>
      <c r="Z10">
        <f>IF('Detalle individual'!A10="","",IF(AND(OR('Estado por Colaborador'!$D$4="Todas las gerencias",'Detalle individual'!D10='Estado por Colaborador'!$D$4),OR('Estado por Colaborador'!$D$5="Todos los departamentos",TRIM('Detalle individual'!C10)='Estado por Colaborador'!$D$5),OR('Estado por Colaborador'!$D$6="Todos",'Detalle individual'!F10='Estado por Colaborador'!$D$6)),IF('Detalle individual'!F10="Completado",30000000,IF('Detalle individual'!F10="Pendiente",0,15000000))+COUNTIF('Detalle individual'!$C$5:$C$1000,"&lt;"&amp;'Detalle individual'!C10)*10000+ROW(),""))</f>
        <v>39780010</v>
      </c>
      <c r="AB10">
        <f>IF('Detalle individual'!C10="","",IF(COUNTIF('Detalle individual'!$C$5:C10,'Detalle individual'!C10)=1,COUNTIF('Detalle individual'!$C$5:$C$1000,"&lt;"&amp;'Detalle individual'!C10),""))</f>
        <v>978</v>
      </c>
      <c r="AC10">
        <f>IF('Detalle individual'!D10="","",IF(COUNTIF('Detalle individual'!$D$5:D10,'Detalle individual'!D10)=1,COUNTIF('Detalle individual'!$D$5:$D$1000,"&lt;"&amp;'Detalle individual'!D10),""))</f>
        <v>918</v>
      </c>
      <c r="AE10">
        <f>IFERROR(MATCH(SMALL($AB$5:$AB$1000,6),$AB$5:$AB$1000,0)+4,"")</f>
        <v>257</v>
      </c>
      <c r="AF10">
        <f>IFERROR(MATCH(SMALL($AC$5:$AC$1000,6),$AC$5:$AC$1000,0)+4,"")</f>
        <v>10</v>
      </c>
      <c r="AH10" t="str">
        <f>IF('Detalle individual'!F10="Pendiente",COUNTIF('Detalle individual'!$D$5:$D$1000,"&lt;"&amp;'Detalle individual'!D10)*1000000+COUNTIF('Detalle individual'!$C$5:$C$1000,"&lt;"&amp;'Detalle individual'!C10)*1000+COUNTIF('Detalle individual'!$B$5:$B$1000,"&lt;"&amp;'Detalle individual'!B10)+ROW()/10000,"")</f>
        <v/>
      </c>
      <c r="AI10">
        <f>IF('Detalle individual'!F10="Completado",COUNTIF('Detalle individual'!$D$5:$D$1000,"&lt;"&amp;'Detalle individual'!D10)*1000000+COUNTIF('Detalle individual'!$C$5:$C$1000,"&lt;"&amp;'Detalle individual'!C10)*1000+COUNTIF('Detalle individual'!$B$5:$B$1000,"&lt;"&amp;'Detalle individual'!B10)+ROW()/10000,"")</f>
        <v>918978796.001</v>
      </c>
      <c r="AJ10" t="str">
        <f>IF(AND('Detalle individual'!F10&lt;&gt;"",'Detalle individual'!F10&lt;&gt;"Completado",'Detalle individual'!F10&lt;&gt;"Pendiente"),COUNTIF('Detalle individual'!$D$5:$D$1000,"&lt;"&amp;'Detalle individual'!D10)*1000000+COUNTIF('Detalle individual'!$C$5:$C$1000,"&lt;"&amp;'Detalle individual'!C10)*1000+COUNTIF('Detalle individual'!$B$5:$B$1000,"&lt;"&amp;'Detalle individual'!B10)+ROW()/10000,"")</f>
        <v/>
      </c>
      <c r="AK10">
        <f>IF(OR('Base Exámenes'!C10="",'Base Exámenes'!D10=""),"",IF(COUNTIF('Base Exámenes'!$C$5:C10,'Base Exámenes'!C10)=1,'Base Exámenes'!D10+ROW()/1000000000,""))</f>
        <v>46296.437187511576</v>
      </c>
      <c r="AL10">
        <f>IF(OR('Base Exámenes'!C10="",'Base Exámenes'!E10=""),"",IF(COUNTIF('Base Exámenes'!$C$5:C10,'Base Exámenes'!C10)=1,'Base Exámenes'!E10+ROW()/1000000000,""))</f>
        <v>46296.44143519676</v>
      </c>
      <c r="AM10">
        <f>IF(OR('Base Exámenes'!C10="",'Base Exámenes'!G10=""),"",IF(ROW()-4=MATCH('Base Exámenes'!C10&amp;"|"&amp;_xlfn.MAXIFS('Base Exámenes'!$G$5:$G$1000,'Base Exámenes'!$C$5:$C$1000,'Base Exámenes'!C10),'Base Exámenes'!$I$5:$I$1000,0),'Base Exámenes'!G10*1000000+(-1)*'Base Exámenes'!D10,""))</f>
        <v>99953703.5628125</v>
      </c>
      <c r="AO10">
        <f>IF('Consolidado por área'!G10="Completo",'Consolidado por área'!L10+ROW()/1000000000,"")</f>
        <v>46311.71008103009</v>
      </c>
      <c r="AQ10" t="str">
        <f>IF('Base Exámenes'!C10="","",IF(COUNTIF('Base Exámenes'!$C$5:$C$1000,'Base Exámenes'!C10)&lt;2,"",MATCH('Base Exámenes'!C10,'Base Exámenes'!$C$5:$C$1000,0)*10000+ROW()))</f>
        <v/>
      </c>
      <c r="AU10" t="inlineStr">
        <is>
          <t>Renuncia</t>
        </is>
      </c>
      <c r="AV10">
        <f>COUNTIF('Detalle individual'!$F$5:$F$1000,AU10)</f>
        <v>3</v>
      </c>
      <c r="AX10" t="str">
        <f>IF('Consolidado por Gerencia'!A10="","",'Consolidado por Gerencia'!A10)</f>
        <v>Gerencia de Oficialía de Cumplimiento</v>
      </c>
      <c r="AY10">
        <f>IF($AX10="","",COUNTIFS('Detalle individual'!$D$5:$D$1000,$AX10,'Detalle individual'!$F$5:$F$1000,AY$4))</f>
        <v>7</v>
      </c>
      <c r="AZ10">
        <f>IF($AX10="","",COUNTIFS('Detalle individual'!$D$5:$D$1000,$AX10,'Detalle individual'!$F$5:$F$1000,AZ$4))</f>
        <v>0</v>
      </c>
      <c r="BA10">
        <f>IF($AX10="","",COUNTIFS('Detalle individual'!$D$5:$D$1000,$AX10,'Detalle individual'!$F$5:$F$1000,BA$4))</f>
        <v>0</v>
      </c>
      <c r="BB10">
        <f>IF($AX10="","",COUNTIFS('Detalle individual'!$D$5:$D$1000,$AX10,'Detalle individual'!$F$5:$F$1000,BB$4))</f>
        <v>0</v>
      </c>
      <c r="BC10">
        <f>IF($AX10="","",COUNTIFS('Detalle individual'!$D$5:$D$1000,$AX10,'Detalle individual'!$F$5:$F$1000,BC$4))</f>
        <v>0</v>
      </c>
      <c r="BD10">
        <f>IF($AX10="","",COUNTIFS('Detalle individual'!$D$5:$D$1000,$AX10,'Detalle individual'!$F$5:$F$1000,BD$4))</f>
        <v>0</v>
      </c>
      <c r="BF10">
        <f>IF(AND('Consolidado por área'!G10="Completo",LEFT(TRIM('Consolidado por área'!A10),7)="AGENCIA"),'Consolidado por área'!L10+ROW()/1000000000,"")</f>
        <v>46311.71008103009</v>
      </c>
    </row>
    <row r="11">
      <c r="A11" t="str">
        <f>IF('Consolidado por Gerencia'!A11="","",'Consolidado por Gerencia'!A11)</f>
        <v>Gerencia de Operaciones</v>
      </c>
      <c r="B11">
        <f>IF($A11="","",'Consolidado por Gerencia'!B11)</f>
        <v>24</v>
      </c>
      <c r="C11">
        <f>IF($A11="","",'Consolidado por Gerencia'!C11)</f>
        <v>24</v>
      </c>
      <c r="D11">
        <f>IF($A11="","",'Consolidado por Gerencia'!D11)</f>
        <v>0</v>
      </c>
      <c r="E11">
        <f>IF($A11="","",IF(B11&gt;0,C11/B11,0))</f>
        <v>1</v>
      </c>
      <c r="F11">
        <f>IF($A11="","",E11*1000000+B11*10+(100-ROW())/1000)</f>
        <v>1000240.089</v>
      </c>
      <c r="G11">
        <f>IF($A11="","",D11*1000+(100-ROW())/1000)</f>
        <v>0.089</v>
      </c>
      <c r="I11" t="n">
        <v>7</v>
      </c>
      <c r="J11">
        <f>IF(I11&gt;COUNT($F$5:$F$24),"",MATCH(LARGE($F$5:$F$24,I11),$F$5:$F$24,0))</f>
        <v>10</v>
      </c>
      <c r="K11" t="str">
        <f>IF(J11="","",INDEX($A$5:$A$24,J11)&amp;"   "&amp;TEXT(INDEX($E$5:$E$24,J11),"0%"))</f>
        <v>Gerencia Legal y Cumplimiento Normativo   100%</v>
      </c>
      <c r="L11">
        <f>IF(J11="","",INDEX($C$5:$C$24,J11))</f>
        <v>9</v>
      </c>
      <c r="M11">
        <f>IF(J11="","",INDEX($D$5:$D$24,J11))</f>
        <v>0</v>
      </c>
      <c r="P11">
        <f>IF(I11&gt;COUNT($G$5:$G$24),"",MATCH(LARGE($G$5:$G$24,I11),$G$5:$G$24,0))</f>
        <v>7</v>
      </c>
      <c r="Q11" t="str">
        <f>IF(P11="","",INDEX($A$5:$A$24,P11))</f>
        <v>Gerencia de Operaciones</v>
      </c>
      <c r="R11">
        <f>IF(P11="","",INDEX($D$5:$D$24,P11))</f>
        <v>0</v>
      </c>
      <c r="V11" t="str">
        <f>A10</f>
        <v>Gerencia de Oficialía de Cumplimiento</v>
      </c>
      <c r="W11" t="str">
        <f>A35</f>
        <v>AGENCIA COLONIA MEDICA</v>
      </c>
      <c r="X11" t="inlineStr">
        <is>
          <t>Renuncia</t>
        </is>
      </c>
      <c r="Z11">
        <f>IF('Detalle individual'!A11="","",IF(AND(OR('Estado por Colaborador'!$D$4="Todas las gerencias",'Detalle individual'!D11='Estado por Colaborador'!$D$4),OR('Estado por Colaborador'!$D$5="Todos los departamentos",TRIM('Detalle individual'!C11)='Estado por Colaborador'!$D$5),OR('Estado por Colaborador'!$D$6="Todos",'Detalle individual'!F11='Estado por Colaborador'!$D$6)),IF('Detalle individual'!F11="Completado",30000000,IF('Detalle individual'!F11="Pendiente",0,15000000))+COUNTIF('Detalle individual'!$C$5:$C$1000,"&lt;"&amp;'Detalle individual'!C11)*10000+ROW(),""))</f>
        <v>39660011</v>
      </c>
      <c r="AB11">
        <f>IF('Detalle individual'!C11="","",IF(COUNTIF('Detalle individual'!$C$5:C11,'Detalle individual'!C11)=1,COUNTIF('Detalle individual'!$C$5:$C$1000,"&lt;"&amp;'Detalle individual'!C11),""))</f>
        <v>966</v>
      </c>
      <c r="AC11">
        <f>IF('Detalle individual'!D11="","",IF(COUNTIF('Detalle individual'!$D$5:D11,'Detalle individual'!D11)=1,COUNTIF('Detalle individual'!$D$5:$D$1000,"&lt;"&amp;'Detalle individual'!D11),""))</f>
        <v>764</v>
      </c>
      <c r="AE11">
        <f>IFERROR(MATCH(SMALL($AB$5:$AB$1000,7),$AB$5:$AB$1000,0)+4,"")</f>
        <v>244</v>
      </c>
      <c r="AF11">
        <f>IFERROR(MATCH(SMALL($AC$5:$AC$1000,7),$AC$5:$AC$1000,0)+4,"")</f>
        <v>7</v>
      </c>
      <c r="AH11" t="str">
        <f>IF('Detalle individual'!F11="Pendiente",COUNTIF('Detalle individual'!$D$5:$D$1000,"&lt;"&amp;'Detalle individual'!D11)*1000000+COUNTIF('Detalle individual'!$C$5:$C$1000,"&lt;"&amp;'Detalle individual'!C11)*1000+COUNTIF('Detalle individual'!$B$5:$B$1000,"&lt;"&amp;'Detalle individual'!B11)+ROW()/10000,"")</f>
        <v/>
      </c>
      <c r="AI11">
        <f>IF('Detalle individual'!F11="Completado",COUNTIF('Detalle individual'!$D$5:$D$1000,"&lt;"&amp;'Detalle individual'!D11)*1000000+COUNTIF('Detalle individual'!$C$5:$C$1000,"&lt;"&amp;'Detalle individual'!C11)*1000+COUNTIF('Detalle individual'!$B$5:$B$1000,"&lt;"&amp;'Detalle individual'!B11)+ROW()/10000,"")</f>
        <v>764966853.0011</v>
      </c>
      <c r="AJ11" t="str">
        <f>IF(AND('Detalle individual'!F11&lt;&gt;"",'Detalle individual'!F11&lt;&gt;"Completado",'Detalle individual'!F11&lt;&gt;"Pendiente"),COUNTIF('Detalle individual'!$D$5:$D$1000,"&lt;"&amp;'Detalle individual'!D11)*1000000+COUNTIF('Detalle individual'!$C$5:$C$1000,"&lt;"&amp;'Detalle individual'!C11)*1000+COUNTIF('Detalle individual'!$B$5:$B$1000,"&lt;"&amp;'Detalle individual'!B11)+ROW()/10000,"")</f>
        <v/>
      </c>
      <c r="AK11">
        <f>IF(OR('Base Exámenes'!C11="",'Base Exámenes'!D11=""),"",IF(COUNTIF('Base Exámenes'!$C$5:C11,'Base Exámenes'!C11)=1,'Base Exámenes'!D11+ROW()/1000000000,""))</f>
        <v>46296.436574085645</v>
      </c>
      <c r="AL11">
        <f>IF(OR('Base Exámenes'!C11="",'Base Exámenes'!E11=""),"",IF(COUNTIF('Base Exámenes'!$C$5:C11,'Base Exámenes'!C11)=1,'Base Exámenes'!E11+ROW()/1000000000,""))</f>
        <v>46296.44149306713</v>
      </c>
      <c r="AM11">
        <f>IF(OR('Base Exámenes'!C11="",'Base Exámenes'!G11=""),"",IF(ROW()-4=MATCH('Base Exámenes'!C11&amp;"|"&amp;_xlfn.MAXIFS('Base Exámenes'!$G$5:$G$1000,'Base Exámenes'!$C$5:$C$1000,'Base Exámenes'!C11),'Base Exámenes'!$I$5:$I$1000,0),'Base Exámenes'!G11*1000000+(-1)*'Base Exámenes'!D11,""))</f>
        <v>99953703.5634259</v>
      </c>
      <c r="AO11">
        <f>IF('Consolidado por área'!G11="Completo",'Consolidado por área'!L11+ROW()/1000000000,"")</f>
        <v>46310.52479167824</v>
      </c>
      <c r="AQ11" t="str">
        <f>IF('Base Exámenes'!C11="","",IF(COUNTIF('Base Exámenes'!$C$5:$C$1000,'Base Exámenes'!C11)&lt;2,"",MATCH('Base Exámenes'!C11,'Base Exámenes'!$C$5:$C$1000,0)*10000+ROW()))</f>
        <v/>
      </c>
      <c r="AX11" t="str">
        <f>IF('Consolidado por Gerencia'!A11="","",'Consolidado por Gerencia'!A11)</f>
        <v>Gerencia de Operaciones</v>
      </c>
      <c r="AY11">
        <f>IF($AX11="","",COUNTIFS('Detalle individual'!$D$5:$D$1000,$AX11,'Detalle individual'!$F$5:$F$1000,AY$4))</f>
        <v>24</v>
      </c>
      <c r="AZ11">
        <f>IF($AX11="","",COUNTIFS('Detalle individual'!$D$5:$D$1000,$AX11,'Detalle individual'!$F$5:$F$1000,AZ$4))</f>
        <v>0</v>
      </c>
      <c r="BA11">
        <f>IF($AX11="","",COUNTIFS('Detalle individual'!$D$5:$D$1000,$AX11,'Detalle individual'!$F$5:$F$1000,BA$4))</f>
        <v>0</v>
      </c>
      <c r="BB11">
        <f>IF($AX11="","",COUNTIFS('Detalle individual'!$D$5:$D$1000,$AX11,'Detalle individual'!$F$5:$F$1000,BB$4))</f>
        <v>1</v>
      </c>
      <c r="BC11">
        <f>IF($AX11="","",COUNTIFS('Detalle individual'!$D$5:$D$1000,$AX11,'Detalle individual'!$F$5:$F$1000,BC$4))</f>
        <v>0</v>
      </c>
      <c r="BD11">
        <f>IF($AX11="","",COUNTIFS('Detalle individual'!$D$5:$D$1000,$AX11,'Detalle individual'!$F$5:$F$1000,BD$4))</f>
        <v>1</v>
      </c>
      <c r="BF11">
        <f>IF(AND('Consolidado por área'!G11="Completo",LEFT(TRIM('Consolidado por área'!A11),7)="AGENCIA"),'Consolidado por área'!L11+ROW()/1000000000,"")</f>
        <v>46310.52479167824</v>
      </c>
    </row>
    <row r="12">
      <c r="A12" t="str">
        <f>IF('Consolidado por Gerencia'!A12="","",'Consolidado por Gerencia'!A12)</f>
        <v>Gerencia de Sistemas</v>
      </c>
      <c r="B12">
        <f>IF($A12="","",'Consolidado por Gerencia'!B12)</f>
        <v>22</v>
      </c>
      <c r="C12">
        <f>IF($A12="","",'Consolidado por Gerencia'!C12)</f>
        <v>22</v>
      </c>
      <c r="D12">
        <f>IF($A12="","",'Consolidado por Gerencia'!D12)</f>
        <v>0</v>
      </c>
      <c r="E12">
        <f>IF($A12="","",IF(B12&gt;0,C12/B12,0))</f>
        <v>1</v>
      </c>
      <c r="F12">
        <f>IF($A12="","",E12*1000000+B12*10+(100-ROW())/1000)</f>
        <v>1000220.088</v>
      </c>
      <c r="G12">
        <f>IF($A12="","",D12*1000+(100-ROW())/1000)</f>
        <v>0.088</v>
      </c>
      <c r="I12" t="n">
        <v>8</v>
      </c>
      <c r="J12">
        <f>IF(I12&gt;COUNT($F$5:$F$24),"",MATCH(LARGE($F$5:$F$24,I12),$F$5:$F$24,0))</f>
        <v>1</v>
      </c>
      <c r="K12" t="str">
        <f>IF(J12="","",INDEX($A$5:$A$24,J12)&amp;"   "&amp;TEXT(INDEX($E$5:$E$24,J12),"0%"))</f>
        <v>Auditoría Interna   100%</v>
      </c>
      <c r="L12">
        <f>IF(J12="","",INDEX($C$5:$C$24,J12))</f>
        <v>7</v>
      </c>
      <c r="M12">
        <f>IF(J12="","",INDEX($D$5:$D$24,J12))</f>
        <v>0</v>
      </c>
      <c r="P12">
        <f>IF(I12&gt;COUNT($G$5:$G$24),"",MATCH(LARGE($G$5:$G$24,I12),$G$5:$G$24,0))</f>
        <v>8</v>
      </c>
      <c r="Q12" t="str">
        <f>IF(P12="","",INDEX($A$5:$A$24,P12))</f>
        <v>Gerencia de Sistemas</v>
      </c>
      <c r="R12">
        <f>IF(P12="","",INDEX($D$5:$D$24,P12))</f>
        <v>0</v>
      </c>
      <c r="V12" t="str">
        <f>A11</f>
        <v>Gerencia de Operaciones</v>
      </c>
      <c r="W12" t="str">
        <f>A36</f>
        <v>AGENCIA MERLIOT</v>
      </c>
      <c r="Z12">
        <f>IF('Detalle individual'!A12="","",IF(AND(OR('Estado por Colaborador'!$D$4="Todas las gerencias",'Detalle individual'!D12='Estado por Colaborador'!$D$4),OR('Estado por Colaborador'!$D$5="Todos los departamentos",TRIM('Detalle individual'!C12)='Estado por Colaborador'!$D$5),OR('Estado por Colaborador'!$D$6="Todos",'Detalle individual'!F12='Estado por Colaborador'!$D$6)),IF('Detalle individual'!F12="Completado",30000000,IF('Detalle individual'!F12="Pendiente",0,15000000))+COUNTIF('Detalle individual'!$C$5:$C$1000,"&lt;"&amp;'Detalle individual'!C12)*10000+ROW(),""))</f>
        <v>39770012</v>
      </c>
      <c r="AB12">
        <f>IF('Detalle individual'!C12="","",IF(COUNTIF('Detalle individual'!$C$5:C12,'Detalle individual'!C12)=1,COUNTIF('Detalle individual'!$C$5:$C$1000,"&lt;"&amp;'Detalle individual'!C12),""))</f>
        <v>977</v>
      </c>
      <c r="AC12">
        <f>IF('Detalle individual'!D12="","",IF(COUNTIF('Detalle individual'!$D$5:D12,'Detalle individual'!D12)=1,COUNTIF('Detalle individual'!$D$5:$D$1000,"&lt;"&amp;'Detalle individual'!D12),""))</f>
        <v>987</v>
      </c>
      <c r="AE12">
        <f>IFERROR(MATCH(SMALL($AB$5:$AB$1000,8),$AB$5:$AB$1000,0)+4,"")</f>
        <v>273</v>
      </c>
      <c r="AF12">
        <f>IFERROR(MATCH(SMALL($AC$5:$AC$1000,8),$AC$5:$AC$1000,0)+4,"")</f>
        <v>9</v>
      </c>
      <c r="AH12" t="str">
        <f>IF('Detalle individual'!F12="Pendiente",COUNTIF('Detalle individual'!$D$5:$D$1000,"&lt;"&amp;'Detalle individual'!D12)*1000000+COUNTIF('Detalle individual'!$C$5:$C$1000,"&lt;"&amp;'Detalle individual'!C12)*1000+COUNTIF('Detalle individual'!$B$5:$B$1000,"&lt;"&amp;'Detalle individual'!B12)+ROW()/10000,"")</f>
        <v/>
      </c>
      <c r="AI12">
        <f>IF('Detalle individual'!F12="Completado",COUNTIF('Detalle individual'!$D$5:$D$1000,"&lt;"&amp;'Detalle individual'!D12)*1000000+COUNTIF('Detalle individual'!$C$5:$C$1000,"&lt;"&amp;'Detalle individual'!C12)*1000+COUNTIF('Detalle individual'!$B$5:$B$1000,"&lt;"&amp;'Detalle individual'!B12)+ROW()/10000,"")</f>
        <v>987977723.0012</v>
      </c>
      <c r="AJ12" t="str">
        <f>IF(AND('Detalle individual'!F12&lt;&gt;"",'Detalle individual'!F12&lt;&gt;"Completado",'Detalle individual'!F12&lt;&gt;"Pendiente"),COUNTIF('Detalle individual'!$D$5:$D$1000,"&lt;"&amp;'Detalle individual'!D12)*1000000+COUNTIF('Detalle individual'!$C$5:$C$1000,"&lt;"&amp;'Detalle individual'!C12)*1000+COUNTIF('Detalle individual'!$B$5:$B$1000,"&lt;"&amp;'Detalle individual'!B12)+ROW()/10000,"")</f>
        <v/>
      </c>
      <c r="AK12">
        <f>IF(OR('Base Exámenes'!C12="",'Base Exámenes'!D12=""),"",IF(COUNTIF('Base Exámenes'!$C$5:C12,'Base Exámenes'!C12)=1,'Base Exámenes'!D12+ROW()/1000000000,""))</f>
        <v>46296.44304399306</v>
      </c>
      <c r="AL12">
        <f>IF(OR('Base Exámenes'!C12="",'Base Exámenes'!E12=""),"",IF(COUNTIF('Base Exámenes'!$C$5:C12,'Base Exámenes'!C12)=1,'Base Exámenes'!E12+ROW()/1000000000,""))</f>
        <v>46296.44540510417</v>
      </c>
      <c r="AM12">
        <f>IF(OR('Base Exámenes'!C12="",'Base Exámenes'!G12=""),"",IF(ROW()-4=MATCH('Base Exámenes'!C12&amp;"|"&amp;_xlfn.MAXIFS('Base Exámenes'!$G$5:$G$1000,'Base Exámenes'!$C$5:$C$1000,'Base Exámenes'!C12),'Base Exámenes'!$I$5:$I$1000,0),'Base Exámenes'!G12*1000000+(-1)*'Base Exámenes'!D12,""))</f>
        <v>99953703.556956</v>
      </c>
      <c r="AO12">
        <f>IF('Consolidado por área'!G12="Completo",'Consolidado por área'!L12+ROW()/1000000000,"")</f>
        <v>46310.64591436343</v>
      </c>
      <c r="AQ12">
        <f>IF('Base Exámenes'!C12="","",IF(COUNTIF('Base Exámenes'!$C$5:$C$1000,'Base Exámenes'!C12)&lt;2,"",MATCH('Base Exámenes'!C12,'Base Exámenes'!$C$5:$C$1000,0)*10000+ROW()))</f>
        <v>80012</v>
      </c>
      <c r="AX12" t="str">
        <f>IF('Consolidado por Gerencia'!A12="","",'Consolidado por Gerencia'!A12)</f>
        <v>Gerencia de Sistemas</v>
      </c>
      <c r="AY12">
        <f>IF($AX12="","",COUNTIFS('Detalle individual'!$D$5:$D$1000,$AX12,'Detalle individual'!$F$5:$F$1000,AY$4))</f>
        <v>22</v>
      </c>
      <c r="AZ12">
        <f>IF($AX12="","",COUNTIFS('Detalle individual'!$D$5:$D$1000,$AX12,'Detalle individual'!$F$5:$F$1000,AZ$4))</f>
        <v>0</v>
      </c>
      <c r="BA12">
        <f>IF($AX12="","",COUNTIFS('Detalle individual'!$D$5:$D$1000,$AX12,'Detalle individual'!$F$5:$F$1000,BA$4))</f>
        <v>1</v>
      </c>
      <c r="BB12">
        <f>IF($AX12="","",COUNTIFS('Detalle individual'!$D$5:$D$1000,$AX12,'Detalle individual'!$F$5:$F$1000,BB$4))</f>
        <v>0</v>
      </c>
      <c r="BC12">
        <f>IF($AX12="","",COUNTIFS('Detalle individual'!$D$5:$D$1000,$AX12,'Detalle individual'!$F$5:$F$1000,BC$4))</f>
        <v>0</v>
      </c>
      <c r="BD12">
        <f>IF($AX12="","",COUNTIFS('Detalle individual'!$D$5:$D$1000,$AX12,'Detalle individual'!$F$5:$F$1000,BD$4))</f>
        <v>0</v>
      </c>
      <c r="BF12">
        <f>IF(AND('Consolidado por área'!G12="Completo",LEFT(TRIM('Consolidado por área'!A12),7)="AGENCIA"),'Consolidado por área'!L12+ROW()/1000000000,"")</f>
        <v>46310.64591436343</v>
      </c>
    </row>
    <row r="13">
      <c r="A13" t="str">
        <f>IF('Consolidado por Gerencia'!A13="","",'Consolidado por Gerencia'!A13)</f>
        <v>Gerencia General</v>
      </c>
      <c r="B13">
        <f>IF($A13="","",'Consolidado por Gerencia'!B13)</f>
        <v>13</v>
      </c>
      <c r="C13">
        <f>IF($A13="","",'Consolidado por Gerencia'!C13)</f>
        <v>13</v>
      </c>
      <c r="D13">
        <f>IF($A13="","",'Consolidado por Gerencia'!D13)</f>
        <v>0</v>
      </c>
      <c r="E13">
        <f>IF($A13="","",IF(B13&gt;0,C13/B13,0))</f>
        <v>1</v>
      </c>
      <c r="F13">
        <f>IF($A13="","",E13*1000000+B13*10+(100-ROW())/1000)</f>
        <v>1000130.087</v>
      </c>
      <c r="G13">
        <f>IF($A13="","",D13*1000+(100-ROW())/1000)</f>
        <v>0.087</v>
      </c>
      <c r="I13" t="n">
        <v>9</v>
      </c>
      <c r="J13">
        <f>IF(I13&gt;COUNT($F$5:$F$24),"",MATCH(LARGE($F$5:$F$24,I13),$F$5:$F$24,0))</f>
        <v>6</v>
      </c>
      <c r="K13" t="str">
        <f>IF(J13="","",INDEX($A$5:$A$24,J13)&amp;"   "&amp;TEXT(INDEX($E$5:$E$24,J13),"0%"))</f>
        <v>Gerencia de Oficialía de Cumplimiento   100%</v>
      </c>
      <c r="L13">
        <f>IF(J13="","",INDEX($C$5:$C$24,J13))</f>
        <v>7</v>
      </c>
      <c r="M13">
        <f>IF(J13="","",INDEX($D$5:$D$24,J13))</f>
        <v>0</v>
      </c>
      <c r="P13">
        <f>IF(I13&gt;COUNT($G$5:$G$24),"",MATCH(LARGE($G$5:$G$24,I13),$G$5:$G$24,0))</f>
        <v>9</v>
      </c>
      <c r="Q13" t="str">
        <f>IF(P13="","",INDEX($A$5:$A$24,P13))</f>
        <v>Gerencia General</v>
      </c>
      <c r="R13">
        <f>IF(P13="","",INDEX($D$5:$D$24,P13))</f>
        <v>0</v>
      </c>
      <c r="V13" t="str">
        <f>A12</f>
        <v>Gerencia de Sistemas</v>
      </c>
      <c r="W13" t="str">
        <f>A37</f>
        <v>AGENCIA PLAZA MUNDO</v>
      </c>
      <c r="Z13">
        <f>IF('Detalle individual'!A13="","",IF(AND(OR('Estado por Colaborador'!$D$4="Todas las gerencias",'Detalle individual'!D13='Estado por Colaborador'!$D$4),OR('Estado por Colaborador'!$D$5="Todos los departamentos",TRIM('Detalle individual'!C13)='Estado por Colaborador'!$D$5),OR('Estado por Colaborador'!$D$6="Todos",'Detalle individual'!F13='Estado por Colaborador'!$D$6)),IF('Detalle individual'!F13="Completado",30000000,IF('Detalle individual'!F13="Pendiente",0,15000000))+COUNTIF('Detalle individual'!$C$5:$C$1000,"&lt;"&amp;'Detalle individual'!C13)*10000+ROW(),""))</f>
        <v>39750013</v>
      </c>
      <c r="AB13" t="str">
        <f>IF('Detalle individual'!C13="","",IF(COUNTIF('Detalle individual'!$C$5:C13,'Detalle individual'!C13)=1,COUNTIF('Detalle individual'!$C$5:$C$1000,"&lt;"&amp;'Detalle individual'!C13),""))</f>
        <v/>
      </c>
      <c r="AC13" t="str">
        <f>IF('Detalle individual'!D13="","",IF(COUNTIF('Detalle individual'!$D$5:D13,'Detalle individual'!D13)=1,COUNTIF('Detalle individual'!$D$5:$D$1000,"&lt;"&amp;'Detalle individual'!D13),""))</f>
        <v/>
      </c>
      <c r="AE13">
        <f>IFERROR(MATCH(SMALL($AB$5:$AB$1000,9),$AB$5:$AB$1000,0)+4,"")</f>
        <v>221</v>
      </c>
      <c r="AF13">
        <f>IFERROR(MATCH(SMALL($AC$5:$AC$1000,9),$AC$5:$AC$1000,0)+4,"")</f>
        <v>5</v>
      </c>
      <c r="AH13" t="str">
        <f>IF('Detalle individual'!F13="Pendiente",COUNTIF('Detalle individual'!$D$5:$D$1000,"&lt;"&amp;'Detalle individual'!D13)*1000000+COUNTIF('Detalle individual'!$C$5:$C$1000,"&lt;"&amp;'Detalle individual'!C13)*1000+COUNTIF('Detalle individual'!$B$5:$B$1000,"&lt;"&amp;'Detalle individual'!B13)+ROW()/10000,"")</f>
        <v/>
      </c>
      <c r="AI13">
        <f>IF('Detalle individual'!F13="Completado",COUNTIF('Detalle individual'!$D$5:$D$1000,"&lt;"&amp;'Detalle individual'!D13)*1000000+COUNTIF('Detalle individual'!$C$5:$C$1000,"&lt;"&amp;'Detalle individual'!C13)*1000+COUNTIF('Detalle individual'!$B$5:$B$1000,"&lt;"&amp;'Detalle individual'!B13)+ROW()/10000,"")</f>
        <v>974975727.0013</v>
      </c>
      <c r="AJ13" t="str">
        <f>IF(AND('Detalle individual'!F13&lt;&gt;"",'Detalle individual'!F13&lt;&gt;"Completado",'Detalle individual'!F13&lt;&gt;"Pendiente"),COUNTIF('Detalle individual'!$D$5:$D$1000,"&lt;"&amp;'Detalle individual'!D13)*1000000+COUNTIF('Detalle individual'!$C$5:$C$1000,"&lt;"&amp;'Detalle individual'!C13)*1000+COUNTIF('Detalle individual'!$B$5:$B$1000,"&lt;"&amp;'Detalle individual'!B13)+ROW()/10000,"")</f>
        <v/>
      </c>
      <c r="AK13">
        <f>IF(OR('Base Exámenes'!C13="",'Base Exámenes'!D13=""),"",IF(COUNTIF('Base Exámenes'!$C$5:C13,'Base Exámenes'!C13)=1,'Base Exámenes'!D13+ROW()/1000000000,""))</f>
        <v>46296.446365752316</v>
      </c>
      <c r="AL13">
        <f>IF(OR('Base Exámenes'!C13="",'Base Exámenes'!E13=""),"",IF(COUNTIF('Base Exámenes'!$C$5:C13,'Base Exámenes'!C13)=1,'Base Exámenes'!E13+ROW()/1000000000,""))</f>
        <v>46296.44844908565</v>
      </c>
      <c r="AM13">
        <f>IF(OR('Base Exámenes'!C13="",'Base Exámenes'!G13=""),"",IF(ROW()-4=MATCH('Base Exámenes'!C13&amp;"|"&amp;_xlfn.MAXIFS('Base Exámenes'!$G$5:$G$1000,'Base Exámenes'!$C$5:$C$1000,'Base Exámenes'!C13),'Base Exámenes'!$I$5:$I$1000,0),'Base Exámenes'!G13*1000000+(-1)*'Base Exámenes'!D13,""))</f>
        <v>99953703.5536343</v>
      </c>
      <c r="AO13">
        <f>IF('Consolidado por área'!G13="Completo",'Consolidado por área'!L13+ROW()/1000000000,"")</f>
        <v>46296.491990752314</v>
      </c>
      <c r="AQ13" t="str">
        <f>IF('Base Exámenes'!C13="","",IF(COUNTIF('Base Exámenes'!$C$5:$C$1000,'Base Exámenes'!C13)&lt;2,"",MATCH('Base Exámenes'!C13,'Base Exámenes'!$C$5:$C$1000,0)*10000+ROW()))</f>
        <v/>
      </c>
      <c r="AX13" t="str">
        <f>IF('Consolidado por Gerencia'!A13="","",'Consolidado por Gerencia'!A13)</f>
        <v>Gerencia General</v>
      </c>
      <c r="AY13">
        <f>IF($AX13="","",COUNTIFS('Detalle individual'!$D$5:$D$1000,$AX13,'Detalle individual'!$F$5:$F$1000,AY$4))</f>
        <v>13</v>
      </c>
      <c r="AZ13">
        <f>IF($AX13="","",COUNTIFS('Detalle individual'!$D$5:$D$1000,$AX13,'Detalle individual'!$F$5:$F$1000,AZ$4))</f>
        <v>0</v>
      </c>
      <c r="BA13">
        <f>IF($AX13="","",COUNTIFS('Detalle individual'!$D$5:$D$1000,$AX13,'Detalle individual'!$F$5:$F$1000,BA$4))</f>
        <v>0</v>
      </c>
      <c r="BB13">
        <f>IF($AX13="","",COUNTIFS('Detalle individual'!$D$5:$D$1000,$AX13,'Detalle individual'!$F$5:$F$1000,BB$4))</f>
        <v>0</v>
      </c>
      <c r="BC13">
        <f>IF($AX13="","",COUNTIFS('Detalle individual'!$D$5:$D$1000,$AX13,'Detalle individual'!$F$5:$F$1000,BC$4))</f>
        <v>0</v>
      </c>
      <c r="BD13">
        <f>IF($AX13="","",COUNTIFS('Detalle individual'!$D$5:$D$1000,$AX13,'Detalle individual'!$F$5:$F$1000,BD$4))</f>
        <v>0</v>
      </c>
      <c r="BF13">
        <f>IF(AND('Consolidado por área'!G13="Completo",LEFT(TRIM('Consolidado por área'!A13),7)="AGENCIA"),'Consolidado por área'!L13+ROW()/1000000000,"")</f>
        <v>46296.491990752314</v>
      </c>
    </row>
    <row r="14">
      <c r="A14" t="str">
        <f>IF('Consolidado por Gerencia'!A14="","",'Consolidado por Gerencia'!A14)</f>
        <v>Gerencia Legal y Cumplimiento Normativo</v>
      </c>
      <c r="B14">
        <f>IF($A14="","",'Consolidado por Gerencia'!B14)</f>
        <v>9</v>
      </c>
      <c r="C14">
        <f>IF($A14="","",'Consolidado por Gerencia'!C14)</f>
        <v>9</v>
      </c>
      <c r="D14">
        <f>IF($A14="","",'Consolidado por Gerencia'!D14)</f>
        <v>0</v>
      </c>
      <c r="E14">
        <f>IF($A14="","",IF(B14&gt;0,C14/B14,0))</f>
        <v>1</v>
      </c>
      <c r="F14">
        <f>IF($A14="","",E14*1000000+B14*10+(100-ROW())/1000)</f>
        <v>1000090.086</v>
      </c>
      <c r="G14">
        <f>IF($A14="","",D14*1000+(100-ROW())/1000)</f>
        <v>0.086</v>
      </c>
      <c r="I14" t="n">
        <v>10</v>
      </c>
      <c r="J14">
        <f>IF(I14&gt;COUNT($F$5:$F$24),"",MATCH(LARGE($F$5:$F$24,I14),$F$5:$F$24,0))</f>
        <v>2</v>
      </c>
      <c r="K14" t="str">
        <f>IF(J14="","",INDEX($A$5:$A$24,J14)&amp;"   "&amp;TEXT(INDEX($E$5:$E$24,J14),"0%"))</f>
        <v>Consejo de Administración   100%</v>
      </c>
      <c r="L14">
        <f>IF(J14="","",INDEX($C$5:$C$24,J14))</f>
        <v>1</v>
      </c>
      <c r="M14">
        <f>IF(J14="","",INDEX($D$5:$D$24,J14))</f>
        <v>0</v>
      </c>
      <c r="P14">
        <f>IF(I14&gt;COUNT($G$5:$G$24),"",MATCH(LARGE($G$5:$G$24,I14),$G$5:$G$24,0))</f>
        <v>10</v>
      </c>
      <c r="Q14" t="str">
        <f>IF(P14="","",INDEX($A$5:$A$24,P14))</f>
        <v>Gerencia Legal y Cumplimiento Normativo</v>
      </c>
      <c r="R14">
        <f>IF(P14="","",INDEX($D$5:$D$24,P14))</f>
        <v>0</v>
      </c>
      <c r="V14" t="str">
        <f>A13</f>
        <v>Gerencia General</v>
      </c>
      <c r="W14" t="str">
        <f>A38</f>
        <v>AGENCIA SAN MIGUEL</v>
      </c>
      <c r="Z14">
        <f>IF('Detalle individual'!A14="","",IF(AND(OR('Estado por Colaborador'!$D$4="Todas las gerencias",'Detalle individual'!D14='Estado por Colaborador'!$D$4),OR('Estado por Colaborador'!$D$5="Todos los departamentos",TRIM('Detalle individual'!C14)='Estado por Colaborador'!$D$5),OR('Estado por Colaborador'!$D$6="Todos",'Detalle individual'!F14='Estado por Colaborador'!$D$6)),IF('Detalle individual'!F14="Completado",30000000,IF('Detalle individual'!F14="Pendiente",0,15000000))+COUNTIF('Detalle individual'!$C$5:$C$1000,"&lt;"&amp;'Detalle individual'!C14)*10000+ROW(),""))</f>
        <v>37090014</v>
      </c>
      <c r="AB14">
        <f>IF('Detalle individual'!C14="","",IF(COUNTIF('Detalle individual'!$C$5:C14,'Detalle individual'!C14)=1,COUNTIF('Detalle individual'!$C$5:$C$1000,"&lt;"&amp;'Detalle individual'!C14),""))</f>
        <v>709</v>
      </c>
      <c r="AC14" t="str">
        <f>IF('Detalle individual'!D14="","",IF(COUNTIF('Detalle individual'!$D$5:D14,'Detalle individual'!D14)=1,COUNTIF('Detalle individual'!$D$5:$D$1000,"&lt;"&amp;'Detalle individual'!D14),""))</f>
        <v/>
      </c>
      <c r="AE14">
        <f>IFERROR(MATCH(SMALL($AB$5:$AB$1000,10),$AB$5:$AB$1000,0)+4,"")</f>
        <v>229</v>
      </c>
      <c r="AF14">
        <f>IFERROR(MATCH(SMALL($AC$5:$AC$1000,10),$AC$5:$AC$1000,0)+4,"")</f>
        <v>12</v>
      </c>
      <c r="AH14" t="str">
        <f>IF('Detalle individual'!F14="Pendiente",COUNTIF('Detalle individual'!$D$5:$D$1000,"&lt;"&amp;'Detalle individual'!D14)*1000000+COUNTIF('Detalle individual'!$C$5:$C$1000,"&lt;"&amp;'Detalle individual'!C14)*1000+COUNTIF('Detalle individual'!$B$5:$B$1000,"&lt;"&amp;'Detalle individual'!B14)+ROW()/10000,"")</f>
        <v/>
      </c>
      <c r="AI14">
        <f>IF('Detalle individual'!F14="Completado",COUNTIF('Detalle individual'!$D$5:$D$1000,"&lt;"&amp;'Detalle individual'!D14)*1000000+COUNTIF('Detalle individual'!$C$5:$C$1000,"&lt;"&amp;'Detalle individual'!C14)*1000+COUNTIF('Detalle individual'!$B$5:$B$1000,"&lt;"&amp;'Detalle individual'!B14)+ROW()/10000,"")</f>
        <v>974709927.0014</v>
      </c>
      <c r="AJ14" t="str">
        <f>IF(AND('Detalle individual'!F14&lt;&gt;"",'Detalle individual'!F14&lt;&gt;"Completado",'Detalle individual'!F14&lt;&gt;"Pendiente"),COUNTIF('Detalle individual'!$D$5:$D$1000,"&lt;"&amp;'Detalle individual'!D14)*1000000+COUNTIF('Detalle individual'!$C$5:$C$1000,"&lt;"&amp;'Detalle individual'!C14)*1000+COUNTIF('Detalle individual'!$B$5:$B$1000,"&lt;"&amp;'Detalle individual'!B14)+ROW()/10000,"")</f>
        <v/>
      </c>
      <c r="AK14">
        <f>IF(OR('Base Exámenes'!C14="",'Base Exámenes'!D14=""),"",IF(COUNTIF('Base Exámenes'!$C$5:C14,'Base Exámenes'!C14)=1,'Base Exámenes'!D14+ROW()/1000000000,""))</f>
        <v>46296.44221065972</v>
      </c>
      <c r="AL14">
        <f>IF(OR('Base Exámenes'!C14="",'Base Exámenes'!E14=""),"",IF(COUNTIF('Base Exámenes'!$C$5:C14,'Base Exámenes'!C14)=1,'Base Exámenes'!E14+ROW()/1000000000,""))</f>
        <v>46296.44850695602</v>
      </c>
      <c r="AM14">
        <f>IF(OR('Base Exámenes'!C14="",'Base Exámenes'!G14=""),"",IF(ROW()-4=MATCH('Base Exámenes'!C14&amp;"|"&amp;_xlfn.MAXIFS('Base Exámenes'!$G$5:$G$1000,'Base Exámenes'!$C$5:$C$1000,'Base Exámenes'!C14),'Base Exámenes'!$I$5:$I$1000,0),'Base Exámenes'!G14*1000000+(-1)*'Base Exámenes'!D14,""))</f>
        <v>84953703.5577894</v>
      </c>
      <c r="AO14">
        <f>IF('Consolidado por área'!G14="Completo",'Consolidado por área'!L14+ROW()/1000000000,"")</f>
        <v>46311.493981493055</v>
      </c>
      <c r="AQ14" t="str">
        <f>IF('Base Exámenes'!C14="","",IF(COUNTIF('Base Exámenes'!$C$5:$C$1000,'Base Exámenes'!C14)&lt;2,"",MATCH('Base Exámenes'!C14,'Base Exámenes'!$C$5:$C$1000,0)*10000+ROW()))</f>
        <v/>
      </c>
      <c r="AX14" t="str">
        <f>IF('Consolidado por Gerencia'!A14="","",'Consolidado por Gerencia'!A14)</f>
        <v>Gerencia Legal y Cumplimiento Normativo</v>
      </c>
      <c r="AY14">
        <f>IF($AX14="","",COUNTIFS('Detalle individual'!$D$5:$D$1000,$AX14,'Detalle individual'!$F$5:$F$1000,AY$4))</f>
        <v>9</v>
      </c>
      <c r="AZ14">
        <f>IF($AX14="","",COUNTIFS('Detalle individual'!$D$5:$D$1000,$AX14,'Detalle individual'!$F$5:$F$1000,AZ$4))</f>
        <v>0</v>
      </c>
      <c r="BA14">
        <f>IF($AX14="","",COUNTIFS('Detalle individual'!$D$5:$D$1000,$AX14,'Detalle individual'!$F$5:$F$1000,BA$4))</f>
        <v>0</v>
      </c>
      <c r="BB14">
        <f>IF($AX14="","",COUNTIFS('Detalle individual'!$D$5:$D$1000,$AX14,'Detalle individual'!$F$5:$F$1000,BB$4))</f>
        <v>0</v>
      </c>
      <c r="BC14">
        <f>IF($AX14="","",COUNTIFS('Detalle individual'!$D$5:$D$1000,$AX14,'Detalle individual'!$F$5:$F$1000,BC$4))</f>
        <v>0</v>
      </c>
      <c r="BD14">
        <f>IF($AX14="","",COUNTIFS('Detalle individual'!$D$5:$D$1000,$AX14,'Detalle individual'!$F$5:$F$1000,BD$4))</f>
        <v>0</v>
      </c>
      <c r="BF14">
        <f>IF(AND('Consolidado por área'!G14="Completo",LEFT(TRIM('Consolidado por área'!A14),7)="AGENCIA"),'Consolidado por área'!L14+ROW()/1000000000,"")</f>
        <v>46311.493981493055</v>
      </c>
    </row>
    <row r="15">
      <c r="A15" t="str">
        <f>IF('Consolidado por Gerencia'!A15="","",'Consolidado por Gerencia'!A15)</f>
        <v/>
      </c>
      <c r="B15" t="str">
        <f>IF($A15="","",'Consolidado por Gerencia'!B15)</f>
        <v/>
      </c>
      <c r="C15" t="str">
        <f>IF($A15="","",'Consolidado por Gerencia'!C15)</f>
        <v/>
      </c>
      <c r="D15" t="str">
        <f>IF($A15="","",'Consolidado por Gerencia'!D15)</f>
        <v/>
      </c>
      <c r="E15" t="str">
        <f>IF($A15="","",IF(B15&gt;0,C15/B15,0))</f>
        <v/>
      </c>
      <c r="F15" t="str">
        <f>IF($A15="","",E15*1000000+B15*10+(100-ROW())/1000)</f>
        <v/>
      </c>
      <c r="G15" t="str">
        <f>IF($A15="","",D15*1000+(100-ROW())/1000)</f>
        <v/>
      </c>
      <c r="I15" t="n">
        <v>11</v>
      </c>
      <c r="J15" t="str">
        <f>IF(I15&gt;COUNT($F$5:$F$24),"",MATCH(LARGE($F$5:$F$24,I15),$F$5:$F$24,0))</f>
        <v/>
      </c>
      <c r="K15" t="str">
        <f>IF(J15="","",INDEX($A$5:$A$24,J15)&amp;"   "&amp;TEXT(INDEX($E$5:$E$24,J15),"0%"))</f>
        <v/>
      </c>
      <c r="L15" t="str">
        <f>IF(J15="","",INDEX($C$5:$C$24,J15))</f>
        <v/>
      </c>
      <c r="M15" t="str">
        <f>IF(J15="","",INDEX($D$5:$D$24,J15))</f>
        <v/>
      </c>
      <c r="P15" t="str">
        <f>IF(I15&gt;COUNT($G$5:$G$24),"",MATCH(LARGE($G$5:$G$24,I15),$G$5:$G$24,0))</f>
        <v/>
      </c>
      <c r="Q15" t="str">
        <f>IF(P15="","",INDEX($A$5:$A$24,P15))</f>
        <v/>
      </c>
      <c r="R15" t="str">
        <f>IF(P15="","",INDEX($D$5:$D$24,P15))</f>
        <v/>
      </c>
      <c r="V15" t="str">
        <f>A14</f>
        <v>Gerencia Legal y Cumplimiento Normativo</v>
      </c>
      <c r="W15" t="str">
        <f>A39</f>
        <v>AGENCIA SANTA ANA</v>
      </c>
      <c r="Z15">
        <f>IF('Detalle individual'!A15="","",IF(AND(OR('Estado por Colaborador'!$D$4="Todas las gerencias",'Detalle individual'!D15='Estado por Colaborador'!$D$4),OR('Estado por Colaborador'!$D$5="Todos los departamentos",TRIM('Detalle individual'!C15)='Estado por Colaborador'!$D$5),OR('Estado por Colaborador'!$D$6="Todos",'Detalle individual'!F15='Estado por Colaborador'!$D$6)),IF('Detalle individual'!F15="Completado",30000000,IF('Detalle individual'!F15="Pendiente",0,15000000))+COUNTIF('Detalle individual'!$C$5:$C$1000,"&lt;"&amp;'Detalle individual'!C15)*10000+ROW(),""))</f>
        <v>37090015</v>
      </c>
      <c r="AB15" t="str">
        <f>IF('Detalle individual'!C15="","",IF(COUNTIF('Detalle individual'!$C$5:C15,'Detalle individual'!C15)=1,COUNTIF('Detalle individual'!$C$5:$C$1000,"&lt;"&amp;'Detalle individual'!C15),""))</f>
        <v/>
      </c>
      <c r="AC15" t="str">
        <f>IF('Detalle individual'!D15="","",IF(COUNTIF('Detalle individual'!$D$5:D15,'Detalle individual'!D15)=1,COUNTIF('Detalle individual'!$D$5:$D$1000,"&lt;"&amp;'Detalle individual'!D15),""))</f>
        <v/>
      </c>
      <c r="AE15">
        <f>IFERROR(MATCH(SMALL($AB$5:$AB$1000,11),$AB$5:$AB$1000,0)+4,"")</f>
        <v>237</v>
      </c>
      <c r="AF15" t="str">
        <f>IFERROR(MATCH(SMALL($AC$5:$AC$1000,11),$AC$5:$AC$1000,0)+4,"")</f>
        <v/>
      </c>
      <c r="AH15" t="str">
        <f>IF('Detalle individual'!F15="Pendiente",COUNTIF('Detalle individual'!$D$5:$D$1000,"&lt;"&amp;'Detalle individual'!D15)*1000000+COUNTIF('Detalle individual'!$C$5:$C$1000,"&lt;"&amp;'Detalle individual'!C15)*1000+COUNTIF('Detalle individual'!$B$5:$B$1000,"&lt;"&amp;'Detalle individual'!B15)+ROW()/10000,"")</f>
        <v/>
      </c>
      <c r="AI15">
        <f>IF('Detalle individual'!F15="Completado",COUNTIF('Detalle individual'!$D$5:$D$1000,"&lt;"&amp;'Detalle individual'!D15)*1000000+COUNTIF('Detalle individual'!$C$5:$C$1000,"&lt;"&amp;'Detalle individual'!C15)*1000+COUNTIF('Detalle individual'!$B$5:$B$1000,"&lt;"&amp;'Detalle individual'!B15)+ROW()/10000,"")</f>
        <v>974709967.0015</v>
      </c>
      <c r="AJ15" t="str">
        <f>IF(AND('Detalle individual'!F15&lt;&gt;"",'Detalle individual'!F15&lt;&gt;"Completado",'Detalle individual'!F15&lt;&gt;"Pendiente"),COUNTIF('Detalle individual'!$D$5:$D$1000,"&lt;"&amp;'Detalle individual'!D15)*1000000+COUNTIF('Detalle individual'!$C$5:$C$1000,"&lt;"&amp;'Detalle individual'!C15)*1000+COUNTIF('Detalle individual'!$B$5:$B$1000,"&lt;"&amp;'Detalle individual'!B15)+ROW()/10000,"")</f>
        <v/>
      </c>
      <c r="AK15">
        <f>IF(OR('Base Exámenes'!C15="",'Base Exámenes'!D15=""),"",IF(COUNTIF('Base Exámenes'!$C$5:C15,'Base Exámenes'!C15)=1,'Base Exámenes'!D15+ROW()/1000000000,""))</f>
        <v>46296.44182871528</v>
      </c>
      <c r="AL15">
        <f>IF(OR('Base Exámenes'!C15="",'Base Exámenes'!E15=""),"",IF(COUNTIF('Base Exámenes'!$C$5:C15,'Base Exámenes'!C15)=1,'Base Exámenes'!E15+ROW()/1000000000,""))</f>
        <v>46296.448518530095</v>
      </c>
      <c r="AM15">
        <f>IF(OR('Base Exámenes'!C15="",'Base Exámenes'!G15=""),"",IF(ROW()-4=MATCH('Base Exámenes'!C15&amp;"|"&amp;_xlfn.MAXIFS('Base Exámenes'!$G$5:$G$1000,'Base Exámenes'!$C$5:$C$1000,'Base Exámenes'!C15),'Base Exámenes'!$I$5:$I$1000,0),'Base Exámenes'!G15*1000000+(-1)*'Base Exámenes'!D15,""))</f>
        <v>99953703.5581713</v>
      </c>
      <c r="AO15">
        <f>IF('Consolidado por área'!G15="Completo",'Consolidado por área'!L15+ROW()/1000000000,"")</f>
        <v>46311.57149306713</v>
      </c>
      <c r="AQ15" t="str">
        <f>IF('Base Exámenes'!C15="","",IF(COUNTIF('Base Exámenes'!$C$5:$C$1000,'Base Exámenes'!C15)&lt;2,"",MATCH('Base Exámenes'!C15,'Base Exámenes'!$C$5:$C$1000,0)*10000+ROW()))</f>
        <v/>
      </c>
      <c r="AX15" t="str">
        <f>IF('Consolidado por Gerencia'!A15="","",'Consolidado por Gerencia'!A15)</f>
        <v/>
      </c>
      <c r="AY15" t="str">
        <f>IF($AX15="","",COUNTIFS('Detalle individual'!$D$5:$D$1000,$AX15,'Detalle individual'!$F$5:$F$1000,AY$4))</f>
        <v/>
      </c>
      <c r="AZ15" t="str">
        <f>IF($AX15="","",COUNTIFS('Detalle individual'!$D$5:$D$1000,$AX15,'Detalle individual'!$F$5:$F$1000,AZ$4))</f>
        <v/>
      </c>
      <c r="BA15" t="str">
        <f>IF($AX15="","",COUNTIFS('Detalle individual'!$D$5:$D$1000,$AX15,'Detalle individual'!$F$5:$F$1000,BA$4))</f>
        <v/>
      </c>
      <c r="BB15" t="str">
        <f>IF($AX15="","",COUNTIFS('Detalle individual'!$D$5:$D$1000,$AX15,'Detalle individual'!$F$5:$F$1000,BB$4))</f>
        <v/>
      </c>
      <c r="BC15" t="str">
        <f>IF($AX15="","",COUNTIFS('Detalle individual'!$D$5:$D$1000,$AX15,'Detalle individual'!$F$5:$F$1000,BC$4))</f>
        <v/>
      </c>
      <c r="BD15" t="str">
        <f>IF($AX15="","",COUNTIFS('Detalle individual'!$D$5:$D$1000,$AX15,'Detalle individual'!$F$5:$F$1000,BD$4))</f>
        <v/>
      </c>
      <c r="BF15">
        <f>IF(AND('Consolidado por área'!G15="Completo",LEFT(TRIM('Consolidado por área'!A15),7)="AGENCIA"),'Consolidado por área'!L15+ROW()/1000000000,"")</f>
        <v>46311.57149306713</v>
      </c>
    </row>
    <row r="16">
      <c r="A16" t="str">
        <f>IF('Consolidado por Gerencia'!A16="","",'Consolidado por Gerencia'!A16)</f>
        <v/>
      </c>
      <c r="B16" t="str">
        <f>IF($A16="","",'Consolidado por Gerencia'!B16)</f>
        <v/>
      </c>
      <c r="C16" t="str">
        <f>IF($A16="","",'Consolidado por Gerencia'!C16)</f>
        <v/>
      </c>
      <c r="D16" t="str">
        <f>IF($A16="","",'Consolidado por Gerencia'!D16)</f>
        <v/>
      </c>
      <c r="E16" t="str">
        <f>IF($A16="","",IF(B16&gt;0,C16/B16,0))</f>
        <v/>
      </c>
      <c r="F16" t="str">
        <f>IF($A16="","",E16*1000000+B16*10+(100-ROW())/1000)</f>
        <v/>
      </c>
      <c r="G16" t="str">
        <f>IF($A16="","",D16*1000+(100-ROW())/1000)</f>
        <v/>
      </c>
      <c r="I16" t="n">
        <v>12</v>
      </c>
      <c r="J16" t="str">
        <f>IF(I16&gt;COUNT($F$5:$F$24),"",MATCH(LARGE($F$5:$F$24,I16),$F$5:$F$24,0))</f>
        <v/>
      </c>
      <c r="K16" t="str">
        <f>IF(J16="","",INDEX($A$5:$A$24,J16)&amp;"   "&amp;TEXT(INDEX($E$5:$E$24,J16),"0%"))</f>
        <v/>
      </c>
      <c r="L16" t="str">
        <f>IF(J16="","",INDEX($C$5:$C$24,J16))</f>
        <v/>
      </c>
      <c r="M16" t="str">
        <f>IF(J16="","",INDEX($D$5:$D$24,J16))</f>
        <v/>
      </c>
      <c r="P16" t="str">
        <f>IF(I16&gt;COUNT($G$5:$G$24),"",MATCH(LARGE($G$5:$G$24,I16),$G$5:$G$24,0))</f>
        <v/>
      </c>
      <c r="Q16" t="str">
        <f>IF(P16="","",INDEX($A$5:$A$24,P16))</f>
        <v/>
      </c>
      <c r="R16" t="str">
        <f>IF(P16="","",INDEX($D$5:$D$24,P16))</f>
        <v/>
      </c>
      <c r="V16" t="str">
        <f>A15</f>
        <v/>
      </c>
      <c r="W16" t="str">
        <f>A40</f>
        <v>AGENCIA SONSONATE</v>
      </c>
      <c r="Z16">
        <f>IF('Detalle individual'!A16="","",IF(AND(OR('Estado por Colaborador'!$D$4="Todas las gerencias",'Detalle individual'!D16='Estado por Colaborador'!$D$4),OR('Estado por Colaborador'!$D$5="Todos los departamentos",TRIM('Detalle individual'!C16)='Estado por Colaborador'!$D$5),OR('Estado por Colaborador'!$D$6="Todos",'Detalle individual'!F16='Estado por Colaborador'!$D$6)),IF('Detalle individual'!F16="Completado",30000000,IF('Detalle individual'!F16="Pendiente",0,15000000))+COUNTIF('Detalle individual'!$C$5:$C$1000,"&lt;"&amp;'Detalle individual'!C16)*10000+ROW(),""))</f>
        <v>37090016</v>
      </c>
      <c r="AB16" t="str">
        <f>IF('Detalle individual'!C16="","",IF(COUNTIF('Detalle individual'!$C$5:C16,'Detalle individual'!C16)=1,COUNTIF('Detalle individual'!$C$5:$C$1000,"&lt;"&amp;'Detalle individual'!C16),""))</f>
        <v/>
      </c>
      <c r="AC16" t="str">
        <f>IF('Detalle individual'!D16="","",IF(COUNTIF('Detalle individual'!$D$5:D16,'Detalle individual'!D16)=1,COUNTIF('Detalle individual'!$D$5:$D$1000,"&lt;"&amp;'Detalle individual'!D16),""))</f>
        <v/>
      </c>
      <c r="AE16">
        <f>IFERROR(MATCH(SMALL($AB$5:$AB$1000,12),$AB$5:$AB$1000,0)+4,"")</f>
        <v>281</v>
      </c>
      <c r="AF16" t="str">
        <f>IFERROR(MATCH(SMALL($AC$5:$AC$1000,12),$AC$5:$AC$1000,0)+4,"")</f>
        <v/>
      </c>
      <c r="AH16" t="str">
        <f>IF('Detalle individual'!F16="Pendiente",COUNTIF('Detalle individual'!$D$5:$D$1000,"&lt;"&amp;'Detalle individual'!D16)*1000000+COUNTIF('Detalle individual'!$C$5:$C$1000,"&lt;"&amp;'Detalle individual'!C16)*1000+COUNTIF('Detalle individual'!$B$5:$B$1000,"&lt;"&amp;'Detalle individual'!B16)+ROW()/10000,"")</f>
        <v/>
      </c>
      <c r="AI16">
        <f>IF('Detalle individual'!F16="Completado",COUNTIF('Detalle individual'!$D$5:$D$1000,"&lt;"&amp;'Detalle individual'!D16)*1000000+COUNTIF('Detalle individual'!$C$5:$C$1000,"&lt;"&amp;'Detalle individual'!C16)*1000+COUNTIF('Detalle individual'!$B$5:$B$1000,"&lt;"&amp;'Detalle individual'!B16)+ROW()/10000,"")</f>
        <v>974709969.0016</v>
      </c>
      <c r="AJ16" t="str">
        <f>IF(AND('Detalle individual'!F16&lt;&gt;"",'Detalle individual'!F16&lt;&gt;"Completado",'Detalle individual'!F16&lt;&gt;"Pendiente"),COUNTIF('Detalle individual'!$D$5:$D$1000,"&lt;"&amp;'Detalle individual'!D16)*1000000+COUNTIF('Detalle individual'!$C$5:$C$1000,"&lt;"&amp;'Detalle individual'!C16)*1000+COUNTIF('Detalle individual'!$B$5:$B$1000,"&lt;"&amp;'Detalle individual'!B16)+ROW()/10000,"")</f>
        <v/>
      </c>
      <c r="AK16">
        <f>IF(OR('Base Exámenes'!C16="",'Base Exámenes'!D16=""),"",IF(COUNTIF('Base Exámenes'!$C$5:C16,'Base Exámenes'!C16)=1,'Base Exámenes'!D16+ROW()/1000000000,""))</f>
        <v>46296.44082177083</v>
      </c>
      <c r="AL16">
        <f>IF(OR('Base Exámenes'!C16="",'Base Exámenes'!E16=""),"",IF(COUNTIF('Base Exámenes'!$C$5:C16,'Base Exámenes'!C16)=1,'Base Exámenes'!E16+ROW()/1000000000,""))</f>
        <v>46296.44896991898</v>
      </c>
      <c r="AM16">
        <f>IF(OR('Base Exámenes'!C16="",'Base Exámenes'!G16=""),"",IF(ROW()-4=MATCH('Base Exámenes'!C16&amp;"|"&amp;_xlfn.MAXIFS('Base Exámenes'!$G$5:$G$1000,'Base Exámenes'!$C$5:$C$1000,'Base Exámenes'!C16),'Base Exámenes'!$I$5:$I$1000,0),'Base Exámenes'!G16*1000000+(-1)*'Base Exámenes'!D16,""))</f>
        <v>99953703.5591783</v>
      </c>
      <c r="AO16">
        <f>IF('Consolidado por área'!G16="Completo",'Consolidado por área'!L16+ROW()/1000000000,"")</f>
        <v>46309.419733807874</v>
      </c>
      <c r="AQ16" t="str">
        <f>IF('Base Exámenes'!C16="","",IF(COUNTIF('Base Exámenes'!$C$5:$C$1000,'Base Exámenes'!C16)&lt;2,"",MATCH('Base Exámenes'!C16,'Base Exámenes'!$C$5:$C$1000,0)*10000+ROW()))</f>
        <v/>
      </c>
      <c r="AX16" t="str">
        <f>IF('Consolidado por Gerencia'!A16="","",'Consolidado por Gerencia'!A16)</f>
        <v/>
      </c>
      <c r="AY16" t="str">
        <f>IF($AX16="","",COUNTIFS('Detalle individual'!$D$5:$D$1000,$AX16,'Detalle individual'!$F$5:$F$1000,AY$4))</f>
        <v/>
      </c>
      <c r="AZ16" t="str">
        <f>IF($AX16="","",COUNTIFS('Detalle individual'!$D$5:$D$1000,$AX16,'Detalle individual'!$F$5:$F$1000,AZ$4))</f>
        <v/>
      </c>
      <c r="BA16" t="str">
        <f>IF($AX16="","",COUNTIFS('Detalle individual'!$D$5:$D$1000,$AX16,'Detalle individual'!$F$5:$F$1000,BA$4))</f>
        <v/>
      </c>
      <c r="BB16" t="str">
        <f>IF($AX16="","",COUNTIFS('Detalle individual'!$D$5:$D$1000,$AX16,'Detalle individual'!$F$5:$F$1000,BB$4))</f>
        <v/>
      </c>
      <c r="BC16" t="str">
        <f>IF($AX16="","",COUNTIFS('Detalle individual'!$D$5:$D$1000,$AX16,'Detalle individual'!$F$5:$F$1000,BC$4))</f>
        <v/>
      </c>
      <c r="BD16" t="str">
        <f>IF($AX16="","",COUNTIFS('Detalle individual'!$D$5:$D$1000,$AX16,'Detalle individual'!$F$5:$F$1000,BD$4))</f>
        <v/>
      </c>
      <c r="BF16">
        <f>IF(AND('Consolidado por área'!G16="Completo",LEFT(TRIM('Consolidado por área'!A16),7)="AGENCIA"),'Consolidado por área'!L16+ROW()/1000000000,"")</f>
        <v>46309.419733807874</v>
      </c>
    </row>
    <row r="17">
      <c r="A17" t="str">
        <f>IF('Consolidado por Gerencia'!A17="","",'Consolidado por Gerencia'!A17)</f>
        <v/>
      </c>
      <c r="B17" t="str">
        <f>IF($A17="","",'Consolidado por Gerencia'!B17)</f>
        <v/>
      </c>
      <c r="C17" t="str">
        <f>IF($A17="","",'Consolidado por Gerencia'!C17)</f>
        <v/>
      </c>
      <c r="D17" t="str">
        <f>IF($A17="","",'Consolidado por Gerencia'!D17)</f>
        <v/>
      </c>
      <c r="E17" t="str">
        <f>IF($A17="","",IF(B17&gt;0,C17/B17,0))</f>
        <v/>
      </c>
      <c r="F17" t="str">
        <f>IF($A17="","",E17*1000000+B17*10+(100-ROW())/1000)</f>
        <v/>
      </c>
      <c r="G17" t="str">
        <f>IF($A17="","",D17*1000+(100-ROW())/1000)</f>
        <v/>
      </c>
      <c r="I17" t="n">
        <v>13</v>
      </c>
      <c r="J17" t="str">
        <f>IF(I17&gt;COUNT($F$5:$F$24),"",MATCH(LARGE($F$5:$F$24,I17),$F$5:$F$24,0))</f>
        <v/>
      </c>
      <c r="K17" t="str">
        <f>IF(J17="","",INDEX($A$5:$A$24,J17)&amp;"   "&amp;TEXT(INDEX($E$5:$E$24,J17),"0%"))</f>
        <v/>
      </c>
      <c r="L17" t="str">
        <f>IF(J17="","",INDEX($C$5:$C$24,J17))</f>
        <v/>
      </c>
      <c r="M17" t="str">
        <f>IF(J17="","",INDEX($D$5:$D$24,J17))</f>
        <v/>
      </c>
      <c r="P17" t="str">
        <f>IF(I17&gt;COUNT($G$5:$G$24),"",MATCH(LARGE($G$5:$G$24,I17),$G$5:$G$24,0))</f>
        <v/>
      </c>
      <c r="Q17" t="str">
        <f>IF(P17="","",INDEX($A$5:$A$24,P17))</f>
        <v/>
      </c>
      <c r="R17" t="str">
        <f>IF(P17="","",INDEX($D$5:$D$24,P17))</f>
        <v/>
      </c>
      <c r="V17" t="str">
        <f>A16</f>
        <v/>
      </c>
      <c r="W17" t="str">
        <f>A41</f>
        <v>AGENCIA USULUTAN</v>
      </c>
      <c r="Z17">
        <f>IF('Detalle individual'!A17="","",IF(AND(OR('Estado por Colaborador'!$D$4="Todas las gerencias",'Detalle individual'!D17='Estado por Colaborador'!$D$4),OR('Estado por Colaborador'!$D$5="Todos los departamentos",TRIM('Detalle individual'!C17)='Estado por Colaborador'!$D$5),OR('Estado por Colaborador'!$D$6="Todos",'Detalle individual'!F17='Estado por Colaborador'!$D$6)),IF('Detalle individual'!F17="Completado",30000000,IF('Detalle individual'!F17="Pendiente",0,15000000))+COUNTIF('Detalle individual'!$C$5:$C$1000,"&lt;"&amp;'Detalle individual'!C17)*10000+ROW(),""))</f>
        <v>37090017</v>
      </c>
      <c r="AB17" t="str">
        <f>IF('Detalle individual'!C17="","",IF(COUNTIF('Detalle individual'!$C$5:C17,'Detalle individual'!C17)=1,COUNTIF('Detalle individual'!$C$5:$C$1000,"&lt;"&amp;'Detalle individual'!C17),""))</f>
        <v/>
      </c>
      <c r="AC17" t="str">
        <f>IF('Detalle individual'!D17="","",IF(COUNTIF('Detalle individual'!$D$5:D17,'Detalle individual'!D17)=1,COUNTIF('Detalle individual'!$D$5:$D$1000,"&lt;"&amp;'Detalle individual'!D17),""))</f>
        <v/>
      </c>
      <c r="AE17">
        <f>IFERROR(MATCH(SMALL($AB$5:$AB$1000,13),$AB$5:$AB$1000,0)+4,"")</f>
        <v>54</v>
      </c>
      <c r="AF17" t="str">
        <f>IFERROR(MATCH(SMALL($AC$5:$AC$1000,13),$AC$5:$AC$1000,0)+4,"")</f>
        <v/>
      </c>
      <c r="AH17" t="str">
        <f>IF('Detalle individual'!F17="Pendiente",COUNTIF('Detalle individual'!$D$5:$D$1000,"&lt;"&amp;'Detalle individual'!D17)*1000000+COUNTIF('Detalle individual'!$C$5:$C$1000,"&lt;"&amp;'Detalle individual'!C17)*1000+COUNTIF('Detalle individual'!$B$5:$B$1000,"&lt;"&amp;'Detalle individual'!B17)+ROW()/10000,"")</f>
        <v/>
      </c>
      <c r="AI17">
        <f>IF('Detalle individual'!F17="Completado",COUNTIF('Detalle individual'!$D$5:$D$1000,"&lt;"&amp;'Detalle individual'!D17)*1000000+COUNTIF('Detalle individual'!$C$5:$C$1000,"&lt;"&amp;'Detalle individual'!C17)*1000+COUNTIF('Detalle individual'!$B$5:$B$1000,"&lt;"&amp;'Detalle individual'!B17)+ROW()/10000,"")</f>
        <v>974709811.0017</v>
      </c>
      <c r="AJ17" t="str">
        <f>IF(AND('Detalle individual'!F17&lt;&gt;"",'Detalle individual'!F17&lt;&gt;"Completado",'Detalle individual'!F17&lt;&gt;"Pendiente"),COUNTIF('Detalle individual'!$D$5:$D$1000,"&lt;"&amp;'Detalle individual'!D17)*1000000+COUNTIF('Detalle individual'!$C$5:$C$1000,"&lt;"&amp;'Detalle individual'!C17)*1000+COUNTIF('Detalle individual'!$B$5:$B$1000,"&lt;"&amp;'Detalle individual'!B17)+ROW()/10000,"")</f>
        <v/>
      </c>
      <c r="AK17">
        <f>IF(OR('Base Exámenes'!C17="",'Base Exámenes'!D17=""),"",IF(COUNTIF('Base Exámenes'!$C$5:C17,'Base Exámenes'!C17)=1,'Base Exámenes'!D17+ROW()/1000000000,""))</f>
        <v>46296.44081019676</v>
      </c>
      <c r="AL17">
        <f>IF(OR('Base Exámenes'!C17="",'Base Exámenes'!E17=""),"",IF(COUNTIF('Base Exámenes'!$C$5:C17,'Base Exámenes'!C17)=1,'Base Exámenes'!E17+ROW()/1000000000,""))</f>
        <v>46296.449097233795</v>
      </c>
      <c r="AM17">
        <f>IF(OR('Base Exámenes'!C17="",'Base Exámenes'!G17=""),"",IF(ROW()-4=MATCH('Base Exámenes'!C17&amp;"|"&amp;_xlfn.MAXIFS('Base Exámenes'!$G$5:$G$1000,'Base Exámenes'!$C$5:$C$1000,'Base Exámenes'!C17),'Base Exámenes'!$I$5:$I$1000,0),'Base Exámenes'!G17*1000000+(-1)*'Base Exámenes'!D17,""))</f>
        <v>99953703.5591898</v>
      </c>
      <c r="AO17">
        <f>IF('Consolidado por área'!G17="Completo",'Consolidado por área'!L17+ROW()/1000000000,"")</f>
        <v>46305.4112847338</v>
      </c>
      <c r="AQ17" t="str">
        <f>IF('Base Exámenes'!C17="","",IF(COUNTIF('Base Exámenes'!$C$5:$C$1000,'Base Exámenes'!C17)&lt;2,"",MATCH('Base Exámenes'!C17,'Base Exámenes'!$C$5:$C$1000,0)*10000+ROW()))</f>
        <v/>
      </c>
      <c r="AX17" t="str">
        <f>IF('Consolidado por Gerencia'!A17="","",'Consolidado por Gerencia'!A17)</f>
        <v/>
      </c>
      <c r="AY17" t="str">
        <f>IF($AX17="","",COUNTIFS('Detalle individual'!$D$5:$D$1000,$AX17,'Detalle individual'!$F$5:$F$1000,AY$4))</f>
        <v/>
      </c>
      <c r="AZ17" t="str">
        <f>IF($AX17="","",COUNTIFS('Detalle individual'!$D$5:$D$1000,$AX17,'Detalle individual'!$F$5:$F$1000,AZ$4))</f>
        <v/>
      </c>
      <c r="BA17" t="str">
        <f>IF($AX17="","",COUNTIFS('Detalle individual'!$D$5:$D$1000,$AX17,'Detalle individual'!$F$5:$F$1000,BA$4))</f>
        <v/>
      </c>
      <c r="BB17" t="str">
        <f>IF($AX17="","",COUNTIFS('Detalle individual'!$D$5:$D$1000,$AX17,'Detalle individual'!$F$5:$F$1000,BB$4))</f>
        <v/>
      </c>
      <c r="BC17" t="str">
        <f>IF($AX17="","",COUNTIFS('Detalle individual'!$D$5:$D$1000,$AX17,'Detalle individual'!$F$5:$F$1000,BC$4))</f>
        <v/>
      </c>
      <c r="BD17" t="str">
        <f>IF($AX17="","",COUNTIFS('Detalle individual'!$D$5:$D$1000,$AX17,'Detalle individual'!$F$5:$F$1000,BD$4))</f>
        <v/>
      </c>
      <c r="BF17" t="str">
        <f>IF(AND('Consolidado por área'!G17="Completo",LEFT(TRIM('Consolidado por área'!A17),7)="AGENCIA"),'Consolidado por área'!L17+ROW()/1000000000,"")</f>
        <v/>
      </c>
    </row>
    <row r="18">
      <c r="A18" t="str">
        <f>IF('Consolidado por Gerencia'!A18="","",'Consolidado por Gerencia'!A18)</f>
        <v/>
      </c>
      <c r="B18" t="str">
        <f>IF($A18="","",'Consolidado por Gerencia'!B18)</f>
        <v/>
      </c>
      <c r="C18" t="str">
        <f>IF($A18="","",'Consolidado por Gerencia'!C18)</f>
        <v/>
      </c>
      <c r="D18" t="str">
        <f>IF($A18="","",'Consolidado por Gerencia'!D18)</f>
        <v/>
      </c>
      <c r="E18" t="str">
        <f>IF($A18="","",IF(B18&gt;0,C18/B18,0))</f>
        <v/>
      </c>
      <c r="F18" t="str">
        <f>IF($A18="","",E18*1000000+B18*10+(100-ROW())/1000)</f>
        <v/>
      </c>
      <c r="G18" t="str">
        <f>IF($A18="","",D18*1000+(100-ROW())/1000)</f>
        <v/>
      </c>
      <c r="I18" t="n">
        <v>14</v>
      </c>
      <c r="J18" t="str">
        <f>IF(I18&gt;COUNT($F$5:$F$24),"",MATCH(LARGE($F$5:$F$24,I18),$F$5:$F$24,0))</f>
        <v/>
      </c>
      <c r="K18" t="str">
        <f>IF(J18="","",INDEX($A$5:$A$24,J18)&amp;"   "&amp;TEXT(INDEX($E$5:$E$24,J18),"0%"))</f>
        <v/>
      </c>
      <c r="L18" t="str">
        <f>IF(J18="","",INDEX($C$5:$C$24,J18))</f>
        <v/>
      </c>
      <c r="M18" t="str">
        <f>IF(J18="","",INDEX($D$5:$D$24,J18))</f>
        <v/>
      </c>
      <c r="P18" t="str">
        <f>IF(I18&gt;COUNT($G$5:$G$24),"",MATCH(LARGE($G$5:$G$24,I18),$G$5:$G$24,0))</f>
        <v/>
      </c>
      <c r="Q18" t="str">
        <f>IF(P18="","",INDEX($A$5:$A$24,P18))</f>
        <v/>
      </c>
      <c r="R18" t="str">
        <f>IF(P18="","",INDEX($D$5:$D$24,P18))</f>
        <v/>
      </c>
      <c r="V18" t="str">
        <f>A17</f>
        <v/>
      </c>
      <c r="W18" t="str">
        <f>A42</f>
        <v>CLINICA EMPRESARIAL</v>
      </c>
      <c r="Z18">
        <f>IF('Detalle individual'!A18="","",IF(AND(OR('Estado por Colaborador'!$D$4="Todas las gerencias",'Detalle individual'!D18='Estado por Colaborador'!$D$4),OR('Estado por Colaborador'!$D$5="Todos los departamentos",TRIM('Detalle individual'!C18)='Estado por Colaborador'!$D$5),OR('Estado por Colaborador'!$D$6="Todos",'Detalle individual'!F18='Estado por Colaborador'!$D$6)),IF('Detalle individual'!F18="Completado",30000000,IF('Detalle individual'!F18="Pendiente",0,15000000))+COUNTIF('Detalle individual'!$C$5:$C$1000,"&lt;"&amp;'Detalle individual'!C18)*10000+ROW(),""))</f>
        <v>39020018</v>
      </c>
      <c r="AB18">
        <f>IF('Detalle individual'!C18="","",IF(COUNTIF('Detalle individual'!$C$5:C18,'Detalle individual'!C18)=1,COUNTIF('Detalle individual'!$C$5:$C$1000,"&lt;"&amp;'Detalle individual'!C18),""))</f>
        <v>902</v>
      </c>
      <c r="AC18" t="str">
        <f>IF('Detalle individual'!D18="","",IF(COUNTIF('Detalle individual'!$D$5:D18,'Detalle individual'!D18)=1,COUNTIF('Detalle individual'!$D$5:$D$1000,"&lt;"&amp;'Detalle individual'!D18),""))</f>
        <v/>
      </c>
      <c r="AE18">
        <f>IFERROR(MATCH(SMALL($AB$5:$AB$1000,14),$AB$5:$AB$1000,0)+4,"")</f>
        <v>296</v>
      </c>
      <c r="AF18" t="str">
        <f>IFERROR(MATCH(SMALL($AC$5:$AC$1000,14),$AC$5:$AC$1000,0)+4,"")</f>
        <v/>
      </c>
      <c r="AH18" t="str">
        <f>IF('Detalle individual'!F18="Pendiente",COUNTIF('Detalle individual'!$D$5:$D$1000,"&lt;"&amp;'Detalle individual'!D18)*1000000+COUNTIF('Detalle individual'!$C$5:$C$1000,"&lt;"&amp;'Detalle individual'!C18)*1000+COUNTIF('Detalle individual'!$B$5:$B$1000,"&lt;"&amp;'Detalle individual'!B18)+ROW()/10000,"")</f>
        <v/>
      </c>
      <c r="AI18">
        <f>IF('Detalle individual'!F18="Completado",COUNTIF('Detalle individual'!$D$5:$D$1000,"&lt;"&amp;'Detalle individual'!D18)*1000000+COUNTIF('Detalle individual'!$C$5:$C$1000,"&lt;"&amp;'Detalle individual'!C18)*1000+COUNTIF('Detalle individual'!$B$5:$B$1000,"&lt;"&amp;'Detalle individual'!B18)+ROW()/10000,"")</f>
        <v>974902751.0018</v>
      </c>
      <c r="AJ18" t="str">
        <f>IF(AND('Detalle individual'!F18&lt;&gt;"",'Detalle individual'!F18&lt;&gt;"Completado",'Detalle individual'!F18&lt;&gt;"Pendiente"),COUNTIF('Detalle individual'!$D$5:$D$1000,"&lt;"&amp;'Detalle individual'!D18)*1000000+COUNTIF('Detalle individual'!$C$5:$C$1000,"&lt;"&amp;'Detalle individual'!C18)*1000+COUNTIF('Detalle individual'!$B$5:$B$1000,"&lt;"&amp;'Detalle individual'!B18)+ROW()/10000,"")</f>
        <v/>
      </c>
      <c r="AK18">
        <f>IF(OR('Base Exámenes'!C18="",'Base Exámenes'!D18=""),"",IF(COUNTIF('Base Exámenes'!$C$5:C18,'Base Exámenes'!C18)=1,'Base Exámenes'!D18+ROW()/1000000000,""))</f>
        <v>46296.449340300926</v>
      </c>
      <c r="AL18">
        <f>IF(OR('Base Exámenes'!C18="",'Base Exámenes'!E18=""),"",IF(COUNTIF('Base Exámenes'!$C$5:C18,'Base Exámenes'!C18)=1,'Base Exámenes'!E18+ROW()/1000000000,""))</f>
        <v>46296.45224539352</v>
      </c>
      <c r="AM18">
        <f>IF(OR('Base Exámenes'!C18="",'Base Exámenes'!G18=""),"",IF(ROW()-4=MATCH('Base Exámenes'!C18&amp;"|"&amp;_xlfn.MAXIFS('Base Exámenes'!$G$5:$G$1000,'Base Exámenes'!$C$5:$C$1000,'Base Exámenes'!C18),'Base Exámenes'!$I$5:$I$1000,0),'Base Exámenes'!G18*1000000+(-1)*'Base Exámenes'!D18,""))</f>
        <v>99953703.5506597</v>
      </c>
      <c r="AO18">
        <f>IF('Consolidado por área'!G18="Completo",'Consolidado por área'!L18+ROW()/1000000000,"")</f>
        <v>46300.65800928241</v>
      </c>
      <c r="AQ18" t="str">
        <f>IF('Base Exámenes'!C18="","",IF(COUNTIF('Base Exámenes'!$C$5:$C$1000,'Base Exámenes'!C18)&lt;2,"",MATCH('Base Exámenes'!C18,'Base Exámenes'!$C$5:$C$1000,0)*10000+ROW()))</f>
        <v/>
      </c>
      <c r="AX18" t="str">
        <f>IF('Consolidado por Gerencia'!A18="","",'Consolidado por Gerencia'!A18)</f>
        <v/>
      </c>
      <c r="AY18" t="str">
        <f>IF($AX18="","",COUNTIFS('Detalle individual'!$D$5:$D$1000,$AX18,'Detalle individual'!$F$5:$F$1000,AY$4))</f>
        <v/>
      </c>
      <c r="AZ18" t="str">
        <f>IF($AX18="","",COUNTIFS('Detalle individual'!$D$5:$D$1000,$AX18,'Detalle individual'!$F$5:$F$1000,AZ$4))</f>
        <v/>
      </c>
      <c r="BA18" t="str">
        <f>IF($AX18="","",COUNTIFS('Detalle individual'!$D$5:$D$1000,$AX18,'Detalle individual'!$F$5:$F$1000,BA$4))</f>
        <v/>
      </c>
      <c r="BB18" t="str">
        <f>IF($AX18="","",COUNTIFS('Detalle individual'!$D$5:$D$1000,$AX18,'Detalle individual'!$F$5:$F$1000,BB$4))</f>
        <v/>
      </c>
      <c r="BC18" t="str">
        <f>IF($AX18="","",COUNTIFS('Detalle individual'!$D$5:$D$1000,$AX18,'Detalle individual'!$F$5:$F$1000,BC$4))</f>
        <v/>
      </c>
      <c r="BD18" t="str">
        <f>IF($AX18="","",COUNTIFS('Detalle individual'!$D$5:$D$1000,$AX18,'Detalle individual'!$F$5:$F$1000,BD$4))</f>
        <v/>
      </c>
      <c r="BF18" t="str">
        <f>IF(AND('Consolidado por área'!G18="Completo",LEFT(TRIM('Consolidado por área'!A18),7)="AGENCIA"),'Consolidado por área'!L18+ROW()/1000000000,"")</f>
        <v/>
      </c>
    </row>
    <row r="19">
      <c r="A19" t="str">
        <f>IF('Consolidado por Gerencia'!A19="","",'Consolidado por Gerencia'!A19)</f>
        <v/>
      </c>
      <c r="B19" t="str">
        <f>IF($A19="","",'Consolidado por Gerencia'!B19)</f>
        <v/>
      </c>
      <c r="C19" t="str">
        <f>IF($A19="","",'Consolidado por Gerencia'!C19)</f>
        <v/>
      </c>
      <c r="D19" t="str">
        <f>IF($A19="","",'Consolidado por Gerencia'!D19)</f>
        <v/>
      </c>
      <c r="E19" t="str">
        <f>IF($A19="","",IF(B19&gt;0,C19/B19,0))</f>
        <v/>
      </c>
      <c r="F19" t="str">
        <f>IF($A19="","",E19*1000000+B19*10+(100-ROW())/1000)</f>
        <v/>
      </c>
      <c r="G19" t="str">
        <f>IF($A19="","",D19*1000+(100-ROW())/1000)</f>
        <v/>
      </c>
      <c r="I19" t="n">
        <v>15</v>
      </c>
      <c r="J19" t="str">
        <f>IF(I19&gt;COUNT($F$5:$F$24),"",MATCH(LARGE($F$5:$F$24,I19),$F$5:$F$24,0))</f>
        <v/>
      </c>
      <c r="K19" t="str">
        <f>IF(J19="","",INDEX($A$5:$A$24,J19)&amp;"   "&amp;TEXT(INDEX($E$5:$E$24,J19),"0%"))</f>
        <v/>
      </c>
      <c r="L19" t="str">
        <f>IF(J19="","",INDEX($C$5:$C$24,J19))</f>
        <v/>
      </c>
      <c r="M19" t="str">
        <f>IF(J19="","",INDEX($D$5:$D$24,J19))</f>
        <v/>
      </c>
      <c r="P19" t="str">
        <f>IF(I19&gt;COUNT($G$5:$G$24),"",MATCH(LARGE($G$5:$G$24,I19),$G$5:$G$24,0))</f>
        <v/>
      </c>
      <c r="Q19" t="str">
        <f>IF(P19="","",INDEX($A$5:$A$24,P19))</f>
        <v/>
      </c>
      <c r="R19" t="str">
        <f>IF(P19="","",INDEX($D$5:$D$24,P19))</f>
        <v/>
      </c>
      <c r="V19" t="str">
        <f>A18</f>
        <v/>
      </c>
      <c r="W19" t="str">
        <f>A43</f>
        <v>CONSEJO DE ADMINISTRACION</v>
      </c>
      <c r="Z19">
        <f>IF('Detalle individual'!A19="","",IF(AND(OR('Estado por Colaborador'!$D$4="Todas las gerencias",'Detalle individual'!D19='Estado por Colaborador'!$D$4),OR('Estado por Colaborador'!$D$5="Todos los departamentos",TRIM('Detalle individual'!C19)='Estado por Colaborador'!$D$5),OR('Estado por Colaborador'!$D$6="Todos",'Detalle individual'!F19='Estado por Colaborador'!$D$6)),IF('Detalle individual'!F19="Completado",30000000,IF('Detalle individual'!F19="Pendiente",0,15000000))+COUNTIF('Detalle individual'!$C$5:$C$1000,"&lt;"&amp;'Detalle individual'!C19)*10000+ROW(),""))</f>
        <v>39020019</v>
      </c>
      <c r="AB19" t="str">
        <f>IF('Detalle individual'!C19="","",IF(COUNTIF('Detalle individual'!$C$5:C19,'Detalle individual'!C19)=1,COUNTIF('Detalle individual'!$C$5:$C$1000,"&lt;"&amp;'Detalle individual'!C19),""))</f>
        <v/>
      </c>
      <c r="AC19" t="str">
        <f>IF('Detalle individual'!D19="","",IF(COUNTIF('Detalle individual'!$D$5:D19,'Detalle individual'!D19)=1,COUNTIF('Detalle individual'!$D$5:$D$1000,"&lt;"&amp;'Detalle individual'!D19),""))</f>
        <v/>
      </c>
      <c r="AE19">
        <f>IFERROR(MATCH(SMALL($AB$5:$AB$1000,15),$AB$5:$AB$1000,0)+4,"")</f>
        <v>176</v>
      </c>
      <c r="AF19" t="str">
        <f>IFERROR(MATCH(SMALL($AC$5:$AC$1000,15),$AC$5:$AC$1000,0)+4,"")</f>
        <v/>
      </c>
      <c r="AH19" t="str">
        <f>IF('Detalle individual'!F19="Pendiente",COUNTIF('Detalle individual'!$D$5:$D$1000,"&lt;"&amp;'Detalle individual'!D19)*1000000+COUNTIF('Detalle individual'!$C$5:$C$1000,"&lt;"&amp;'Detalle individual'!C19)*1000+COUNTIF('Detalle individual'!$B$5:$B$1000,"&lt;"&amp;'Detalle individual'!B19)+ROW()/10000,"")</f>
        <v/>
      </c>
      <c r="AI19">
        <f>IF('Detalle individual'!F19="Completado",COUNTIF('Detalle individual'!$D$5:$D$1000,"&lt;"&amp;'Detalle individual'!D19)*1000000+COUNTIF('Detalle individual'!$C$5:$C$1000,"&lt;"&amp;'Detalle individual'!C19)*1000+COUNTIF('Detalle individual'!$B$5:$B$1000,"&lt;"&amp;'Detalle individual'!B19)+ROW()/10000,"")</f>
        <v>974902923.0019</v>
      </c>
      <c r="AJ19" t="str">
        <f>IF(AND('Detalle individual'!F19&lt;&gt;"",'Detalle individual'!F19&lt;&gt;"Completado",'Detalle individual'!F19&lt;&gt;"Pendiente"),COUNTIF('Detalle individual'!$D$5:$D$1000,"&lt;"&amp;'Detalle individual'!D19)*1000000+COUNTIF('Detalle individual'!$C$5:$C$1000,"&lt;"&amp;'Detalle individual'!C19)*1000+COUNTIF('Detalle individual'!$B$5:$B$1000,"&lt;"&amp;'Detalle individual'!B19)+ROW()/10000,"")</f>
        <v/>
      </c>
      <c r="AK19">
        <f>IF(OR('Base Exámenes'!C19="",'Base Exámenes'!D19=""),"",IF(COUNTIF('Base Exámenes'!$C$5:C19,'Base Exámenes'!C19)=1,'Base Exámenes'!D19+ROW()/1000000000,""))</f>
        <v>46296.45108798611</v>
      </c>
      <c r="AL19">
        <f>IF(OR('Base Exámenes'!C19="",'Base Exámenes'!E19=""),"",IF(COUNTIF('Base Exámenes'!$C$5:C19,'Base Exámenes'!C19)=1,'Base Exámenes'!E19+ROW()/1000000000,""))</f>
        <v>46296.45368057871</v>
      </c>
      <c r="AM19">
        <f>IF(OR('Base Exámenes'!C19="",'Base Exámenes'!G19=""),"",IF(ROW()-4=MATCH('Base Exámenes'!C19&amp;"|"&amp;_xlfn.MAXIFS('Base Exámenes'!$G$5:$G$1000,'Base Exámenes'!$C$5:$C$1000,'Base Exámenes'!C19),'Base Exámenes'!$I$5:$I$1000,0),'Base Exámenes'!G19*1000000+(-1)*'Base Exámenes'!D19,""))</f>
        <v>99953703.548912</v>
      </c>
      <c r="AO19">
        <f>IF('Consolidado por área'!G19="Completo",'Consolidado por área'!L19+ROW()/1000000000,"")</f>
        <v>46305.514317152774</v>
      </c>
      <c r="AQ19">
        <f>IF('Base Exámenes'!C19="","",IF(COUNTIF('Base Exámenes'!$C$5:$C$1000,'Base Exámenes'!C19)&lt;2,"",MATCH('Base Exámenes'!C19,'Base Exámenes'!$C$5:$C$1000,0)*10000+ROW()))</f>
        <v>150019</v>
      </c>
      <c r="AX19" t="str">
        <f>IF('Consolidado por Gerencia'!A19="","",'Consolidado por Gerencia'!A19)</f>
        <v/>
      </c>
      <c r="AY19" t="str">
        <f>IF($AX19="","",COUNTIFS('Detalle individual'!$D$5:$D$1000,$AX19,'Detalle individual'!$F$5:$F$1000,AY$4))</f>
        <v/>
      </c>
      <c r="AZ19" t="str">
        <f>IF($AX19="","",COUNTIFS('Detalle individual'!$D$5:$D$1000,$AX19,'Detalle individual'!$F$5:$F$1000,AZ$4))</f>
        <v/>
      </c>
      <c r="BA19" t="str">
        <f>IF($AX19="","",COUNTIFS('Detalle individual'!$D$5:$D$1000,$AX19,'Detalle individual'!$F$5:$F$1000,BA$4))</f>
        <v/>
      </c>
      <c r="BB19" t="str">
        <f>IF($AX19="","",COUNTIFS('Detalle individual'!$D$5:$D$1000,$AX19,'Detalle individual'!$F$5:$F$1000,BB$4))</f>
        <v/>
      </c>
      <c r="BC19" t="str">
        <f>IF($AX19="","",COUNTIFS('Detalle individual'!$D$5:$D$1000,$AX19,'Detalle individual'!$F$5:$F$1000,BC$4))</f>
        <v/>
      </c>
      <c r="BD19" t="str">
        <f>IF($AX19="","",COUNTIFS('Detalle individual'!$D$5:$D$1000,$AX19,'Detalle individual'!$F$5:$F$1000,BD$4))</f>
        <v/>
      </c>
      <c r="BF19" t="str">
        <f>IF(AND('Consolidado por área'!G19="Completo",LEFT(TRIM('Consolidado por área'!A19),7)="AGENCIA"),'Consolidado por área'!L19+ROW()/1000000000,"")</f>
        <v/>
      </c>
    </row>
    <row r="20">
      <c r="A20" t="str">
        <f>IF('Consolidado por Gerencia'!A20="","",'Consolidado por Gerencia'!A20)</f>
        <v/>
      </c>
      <c r="B20" t="str">
        <f>IF($A20="","",'Consolidado por Gerencia'!B20)</f>
        <v/>
      </c>
      <c r="C20" t="str">
        <f>IF($A20="","",'Consolidado por Gerencia'!C20)</f>
        <v/>
      </c>
      <c r="D20" t="str">
        <f>IF($A20="","",'Consolidado por Gerencia'!D20)</f>
        <v/>
      </c>
      <c r="E20" t="str">
        <f>IF($A20="","",IF(B20&gt;0,C20/B20,0))</f>
        <v/>
      </c>
      <c r="F20" t="str">
        <f>IF($A20="","",E20*1000000+B20*10+(100-ROW())/1000)</f>
        <v/>
      </c>
      <c r="G20" t="str">
        <f>IF($A20="","",D20*1000+(100-ROW())/1000)</f>
        <v/>
      </c>
      <c r="I20" t="n">
        <v>16</v>
      </c>
      <c r="J20" t="str">
        <f>IF(I20&gt;COUNT($F$5:$F$24),"",MATCH(LARGE($F$5:$F$24,I20),$F$5:$F$24,0))</f>
        <v/>
      </c>
      <c r="K20" t="str">
        <f>IF(J20="","",INDEX($A$5:$A$24,J20)&amp;"   "&amp;TEXT(INDEX($E$5:$E$24,J20),"0%"))</f>
        <v/>
      </c>
      <c r="L20" t="str">
        <f>IF(J20="","",INDEX($C$5:$C$24,J20))</f>
        <v/>
      </c>
      <c r="M20" t="str">
        <f>IF(J20="","",INDEX($D$5:$D$24,J20))</f>
        <v/>
      </c>
      <c r="P20" t="str">
        <f>IF(I20&gt;COUNT($G$5:$G$24),"",MATCH(LARGE($G$5:$G$24,I20),$G$5:$G$24,0))</f>
        <v/>
      </c>
      <c r="Q20" t="str">
        <f>IF(P20="","",INDEX($A$5:$A$24,P20))</f>
        <v/>
      </c>
      <c r="R20" t="str">
        <f>IF(P20="","",INDEX($D$5:$D$24,P20))</f>
        <v/>
      </c>
      <c r="V20" t="str">
        <f>A19</f>
        <v/>
      </c>
      <c r="W20" t="str">
        <f>A44</f>
        <v>DEPARTAMENTO COMERCIAL DE TARJETA DE CREDITO Y DEBITO</v>
      </c>
      <c r="Z20">
        <f>IF('Detalle individual'!A20="","",IF(AND(OR('Estado por Colaborador'!$D$4="Todas las gerencias",'Detalle individual'!D20='Estado por Colaborador'!$D$4),OR('Estado por Colaborador'!$D$5="Todos los departamentos",TRIM('Detalle individual'!C20)='Estado por Colaborador'!$D$5),OR('Estado por Colaborador'!$D$6="Todos",'Detalle individual'!F20='Estado por Colaborador'!$D$6)),IF('Detalle individual'!F20="Completado",30000000,IF('Detalle individual'!F20="Pendiente",0,15000000))+COUNTIF('Detalle individual'!$C$5:$C$1000,"&lt;"&amp;'Detalle individual'!C20)*10000+ROW(),""))</f>
        <v>39020020</v>
      </c>
      <c r="AB20" t="str">
        <f>IF('Detalle individual'!C20="","",IF(COUNTIF('Detalle individual'!$C$5:C20,'Detalle individual'!C20)=1,COUNTIF('Detalle individual'!$C$5:$C$1000,"&lt;"&amp;'Detalle individual'!C20),""))</f>
        <v/>
      </c>
      <c r="AC20" t="str">
        <f>IF('Detalle individual'!D20="","",IF(COUNTIF('Detalle individual'!$D$5:D20,'Detalle individual'!D20)=1,COUNTIF('Detalle individual'!$D$5:$D$1000,"&lt;"&amp;'Detalle individual'!D20),""))</f>
        <v/>
      </c>
      <c r="AE20">
        <f>IFERROR(MATCH(SMALL($AB$5:$AB$1000,16),$AB$5:$AB$1000,0)+4,"")</f>
        <v>111</v>
      </c>
      <c r="AF20" t="str">
        <f>IFERROR(MATCH(SMALL($AC$5:$AC$1000,16),$AC$5:$AC$1000,0)+4,"")</f>
        <v/>
      </c>
      <c r="AH20" t="str">
        <f>IF('Detalle individual'!F20="Pendiente",COUNTIF('Detalle individual'!$D$5:$D$1000,"&lt;"&amp;'Detalle individual'!D20)*1000000+COUNTIF('Detalle individual'!$C$5:$C$1000,"&lt;"&amp;'Detalle individual'!C20)*1000+COUNTIF('Detalle individual'!$B$5:$B$1000,"&lt;"&amp;'Detalle individual'!B20)+ROW()/10000,"")</f>
        <v/>
      </c>
      <c r="AI20">
        <f>IF('Detalle individual'!F20="Completado",COUNTIF('Detalle individual'!$D$5:$D$1000,"&lt;"&amp;'Detalle individual'!D20)*1000000+COUNTIF('Detalle individual'!$C$5:$C$1000,"&lt;"&amp;'Detalle individual'!C20)*1000+COUNTIF('Detalle individual'!$B$5:$B$1000,"&lt;"&amp;'Detalle individual'!B20)+ROW()/10000,"")</f>
        <v>974902808.002</v>
      </c>
      <c r="AJ20" t="str">
        <f>IF(AND('Detalle individual'!F20&lt;&gt;"",'Detalle individual'!F20&lt;&gt;"Completado",'Detalle individual'!F20&lt;&gt;"Pendiente"),COUNTIF('Detalle individual'!$D$5:$D$1000,"&lt;"&amp;'Detalle individual'!D20)*1000000+COUNTIF('Detalle individual'!$C$5:$C$1000,"&lt;"&amp;'Detalle individual'!C20)*1000+COUNTIF('Detalle individual'!$B$5:$B$1000,"&lt;"&amp;'Detalle individual'!B20)+ROW()/10000,"")</f>
        <v/>
      </c>
      <c r="AK20">
        <f>IF(OR('Base Exámenes'!C20="",'Base Exámenes'!D20=""),"",IF(COUNTIF('Base Exámenes'!$C$5:C20,'Base Exámenes'!C20)=1,'Base Exámenes'!D20+ROW()/1000000000,""))</f>
        <v>46296.449340300926</v>
      </c>
      <c r="AL20">
        <f>IF(OR('Base Exámenes'!C20="",'Base Exámenes'!E20=""),"",IF(COUNTIF('Base Exámenes'!$C$5:C20,'Base Exámenes'!C20)=1,'Base Exámenes'!E20+ROW()/1000000000,""))</f>
        <v>46296.45449076389</v>
      </c>
      <c r="AM20">
        <f>IF(OR('Base Exámenes'!C20="",'Base Exámenes'!G20=""),"",IF(ROW()-4=MATCH('Base Exámenes'!C20&amp;"|"&amp;_xlfn.MAXIFS('Base Exámenes'!$G$5:$G$1000,'Base Exámenes'!$C$5:$C$1000,'Base Exámenes'!C20),'Base Exámenes'!$I$5:$I$1000,0),'Base Exámenes'!G20*1000000+(-1)*'Base Exámenes'!D20,""))</f>
        <v>99953703.5506597</v>
      </c>
      <c r="AO20">
        <f>IF('Consolidado por área'!G20="Completo",'Consolidado por área'!L20+ROW()/1000000000,"")</f>
        <v>46310.696145856484</v>
      </c>
      <c r="AQ20" t="str">
        <f>IF('Base Exámenes'!C20="","",IF(COUNTIF('Base Exámenes'!$C$5:$C$1000,'Base Exámenes'!C20)&lt;2,"",MATCH('Base Exámenes'!C20,'Base Exámenes'!$C$5:$C$1000,0)*10000+ROW()))</f>
        <v/>
      </c>
      <c r="AX20" t="str">
        <f>IF('Consolidado por Gerencia'!A20="","",'Consolidado por Gerencia'!A20)</f>
        <v/>
      </c>
      <c r="AY20" t="str">
        <f>IF($AX20="","",COUNTIFS('Detalle individual'!$D$5:$D$1000,$AX20,'Detalle individual'!$F$5:$F$1000,AY$4))</f>
        <v/>
      </c>
      <c r="AZ20" t="str">
        <f>IF($AX20="","",COUNTIFS('Detalle individual'!$D$5:$D$1000,$AX20,'Detalle individual'!$F$5:$F$1000,AZ$4))</f>
        <v/>
      </c>
      <c r="BA20" t="str">
        <f>IF($AX20="","",COUNTIFS('Detalle individual'!$D$5:$D$1000,$AX20,'Detalle individual'!$F$5:$F$1000,BA$4))</f>
        <v/>
      </c>
      <c r="BB20" t="str">
        <f>IF($AX20="","",COUNTIFS('Detalle individual'!$D$5:$D$1000,$AX20,'Detalle individual'!$F$5:$F$1000,BB$4))</f>
        <v/>
      </c>
      <c r="BC20" t="str">
        <f>IF($AX20="","",COUNTIFS('Detalle individual'!$D$5:$D$1000,$AX20,'Detalle individual'!$F$5:$F$1000,BC$4))</f>
        <v/>
      </c>
      <c r="BD20" t="str">
        <f>IF($AX20="","",COUNTIFS('Detalle individual'!$D$5:$D$1000,$AX20,'Detalle individual'!$F$5:$F$1000,BD$4))</f>
        <v/>
      </c>
      <c r="BF20" t="str">
        <f>IF(AND('Consolidado por área'!G20="Completo",LEFT(TRIM('Consolidado por área'!A20),7)="AGENCIA"),'Consolidado por área'!L20+ROW()/1000000000,"")</f>
        <v/>
      </c>
    </row>
    <row r="21">
      <c r="A21" t="str">
        <f>IF('Consolidado por Gerencia'!A21="","",'Consolidado por Gerencia'!A21)</f>
        <v/>
      </c>
      <c r="B21" t="str">
        <f>IF($A21="","",'Consolidado por Gerencia'!B21)</f>
        <v/>
      </c>
      <c r="C21" t="str">
        <f>IF($A21="","",'Consolidado por Gerencia'!C21)</f>
        <v/>
      </c>
      <c r="D21" t="str">
        <f>IF($A21="","",'Consolidado por Gerencia'!D21)</f>
        <v/>
      </c>
      <c r="E21" t="str">
        <f>IF($A21="","",IF(B21&gt;0,C21/B21,0))</f>
        <v/>
      </c>
      <c r="F21" t="str">
        <f>IF($A21="","",E21*1000000+B21*10+(100-ROW())/1000)</f>
        <v/>
      </c>
      <c r="G21" t="str">
        <f>IF($A21="","",D21*1000+(100-ROW())/1000)</f>
        <v/>
      </c>
      <c r="I21" t="n">
        <v>17</v>
      </c>
      <c r="J21" t="str">
        <f>IF(I21&gt;COUNT($F$5:$F$24),"",MATCH(LARGE($F$5:$F$24,I21),$F$5:$F$24,0))</f>
        <v/>
      </c>
      <c r="K21" t="str">
        <f>IF(J21="","",INDEX($A$5:$A$24,J21)&amp;"   "&amp;TEXT(INDEX($E$5:$E$24,J21),"0%"))</f>
        <v/>
      </c>
      <c r="L21" t="str">
        <f>IF(J21="","",INDEX($C$5:$C$24,J21))</f>
        <v/>
      </c>
      <c r="M21" t="str">
        <f>IF(J21="","",INDEX($D$5:$D$24,J21))</f>
        <v/>
      </c>
      <c r="P21" t="str">
        <f>IF(I21&gt;COUNT($G$5:$G$24),"",MATCH(LARGE($G$5:$G$24,I21),$G$5:$G$24,0))</f>
        <v/>
      </c>
      <c r="Q21" t="str">
        <f>IF(P21="","",INDEX($A$5:$A$24,P21))</f>
        <v/>
      </c>
      <c r="R21" t="str">
        <f>IF(P21="","",INDEX($D$5:$D$24,P21))</f>
        <v/>
      </c>
      <c r="V21" t="str">
        <f>A20</f>
        <v/>
      </c>
      <c r="W21" t="str">
        <f>A45</f>
        <v>DEPARTAMENTO DE ANALISIS Y PROGRAMACIÓN</v>
      </c>
      <c r="Z21">
        <f>IF('Detalle individual'!A21="","",IF(AND(OR('Estado por Colaborador'!$D$4="Todas las gerencias",'Detalle individual'!D21='Estado por Colaborador'!$D$4),OR('Estado por Colaborador'!$D$5="Todos los departamentos",TRIM('Detalle individual'!C21)='Estado por Colaborador'!$D$5),OR('Estado por Colaborador'!$D$6="Todos",'Detalle individual'!F21='Estado por Colaborador'!$D$6)),IF('Detalle individual'!F21="Completado",30000000,IF('Detalle individual'!F21="Pendiente",0,15000000))+COUNTIF('Detalle individual'!$C$5:$C$1000,"&lt;"&amp;'Detalle individual'!C21)*10000+ROW(),""))</f>
        <v>39850021</v>
      </c>
      <c r="AB21">
        <f>IF('Detalle individual'!C21="","",IF(COUNTIF('Detalle individual'!$C$5:C21,'Detalle individual'!C21)=1,COUNTIF('Detalle individual'!$C$5:$C$1000,"&lt;"&amp;'Detalle individual'!C21),""))</f>
        <v>985</v>
      </c>
      <c r="AC21" t="str">
        <f>IF('Detalle individual'!D21="","",IF(COUNTIF('Detalle individual'!$D$5:D21,'Detalle individual'!D21)=1,COUNTIF('Detalle individual'!$D$5:$D$1000,"&lt;"&amp;'Detalle individual'!D21),""))</f>
        <v/>
      </c>
      <c r="AE21">
        <f>IFERROR(MATCH(SMALL($AB$5:$AB$1000,17),$AB$5:$AB$1000,0)+4,"")</f>
        <v>139</v>
      </c>
      <c r="AF21" t="str">
        <f>IFERROR(MATCH(SMALL($AC$5:$AC$1000,17),$AC$5:$AC$1000,0)+4,"")</f>
        <v/>
      </c>
      <c r="AH21" t="str">
        <f>IF('Detalle individual'!F21="Pendiente",COUNTIF('Detalle individual'!$D$5:$D$1000,"&lt;"&amp;'Detalle individual'!D21)*1000000+COUNTIF('Detalle individual'!$C$5:$C$1000,"&lt;"&amp;'Detalle individual'!C21)*1000+COUNTIF('Detalle individual'!$B$5:$B$1000,"&lt;"&amp;'Detalle individual'!B21)+ROW()/10000,"")</f>
        <v/>
      </c>
      <c r="AI21">
        <f>IF('Detalle individual'!F21="Completado",COUNTIF('Detalle individual'!$D$5:$D$1000,"&lt;"&amp;'Detalle individual'!D21)*1000000+COUNTIF('Detalle individual'!$C$5:$C$1000,"&lt;"&amp;'Detalle individual'!C21)*1000+COUNTIF('Detalle individual'!$B$5:$B$1000,"&lt;"&amp;'Detalle individual'!B21)+ROW()/10000,"")</f>
        <v>974985906.0021</v>
      </c>
      <c r="AJ21" t="str">
        <f>IF(AND('Detalle individual'!F21&lt;&gt;"",'Detalle individual'!F21&lt;&gt;"Completado",'Detalle individual'!F21&lt;&gt;"Pendiente"),COUNTIF('Detalle individual'!$D$5:$D$1000,"&lt;"&amp;'Detalle individual'!D21)*1000000+COUNTIF('Detalle individual'!$C$5:$C$1000,"&lt;"&amp;'Detalle individual'!C21)*1000+COUNTIF('Detalle individual'!$B$5:$B$1000,"&lt;"&amp;'Detalle individual'!B21)+ROW()/10000,"")</f>
        <v/>
      </c>
      <c r="AK21">
        <f>IF(OR('Base Exámenes'!C21="",'Base Exámenes'!D21=""),"",IF(COUNTIF('Base Exámenes'!$C$5:C21,'Base Exámenes'!C21)=1,'Base Exámenes'!D21+ROW()/1000000000,""))</f>
        <v>46296.454039375</v>
      </c>
      <c r="AL21">
        <f>IF(OR('Base Exámenes'!C21="",'Base Exámenes'!E21=""),"",IF(COUNTIF('Base Exámenes'!$C$5:C21,'Base Exámenes'!C21)=1,'Base Exámenes'!E21+ROW()/1000000000,""))</f>
        <v>46296.45633104166</v>
      </c>
      <c r="AM21">
        <f>IF(OR('Base Exámenes'!C21="",'Base Exámenes'!G21=""),"",IF(ROW()-4=MATCH('Base Exámenes'!C21&amp;"|"&amp;_xlfn.MAXIFS('Base Exámenes'!$G$5:$G$1000,'Base Exámenes'!$C$5:$C$1000,'Base Exámenes'!C21),'Base Exámenes'!$I$5:$I$1000,0),'Base Exámenes'!G21*1000000+(-1)*'Base Exámenes'!D21,""))</f>
        <v>99953703.5459607</v>
      </c>
      <c r="AO21">
        <f>IF('Consolidado por área'!G21="Completo",'Consolidado por área'!L21+ROW()/1000000000,"")</f>
        <v>46310.70625002315</v>
      </c>
      <c r="AQ21" t="str">
        <f>IF('Base Exámenes'!C21="","",IF(COUNTIF('Base Exámenes'!$C$5:$C$1000,'Base Exámenes'!C21)&lt;2,"",MATCH('Base Exámenes'!C21,'Base Exámenes'!$C$5:$C$1000,0)*10000+ROW()))</f>
        <v/>
      </c>
      <c r="AX21" t="str">
        <f>IF('Consolidado por Gerencia'!A21="","",'Consolidado por Gerencia'!A21)</f>
        <v/>
      </c>
      <c r="AY21" t="str">
        <f>IF($AX21="","",COUNTIFS('Detalle individual'!$D$5:$D$1000,$AX21,'Detalle individual'!$F$5:$F$1000,AY$4))</f>
        <v/>
      </c>
      <c r="AZ21" t="str">
        <f>IF($AX21="","",COUNTIFS('Detalle individual'!$D$5:$D$1000,$AX21,'Detalle individual'!$F$5:$F$1000,AZ$4))</f>
        <v/>
      </c>
      <c r="BA21" t="str">
        <f>IF($AX21="","",COUNTIFS('Detalle individual'!$D$5:$D$1000,$AX21,'Detalle individual'!$F$5:$F$1000,BA$4))</f>
        <v/>
      </c>
      <c r="BB21" t="str">
        <f>IF($AX21="","",COUNTIFS('Detalle individual'!$D$5:$D$1000,$AX21,'Detalle individual'!$F$5:$F$1000,BB$4))</f>
        <v/>
      </c>
      <c r="BC21" t="str">
        <f>IF($AX21="","",COUNTIFS('Detalle individual'!$D$5:$D$1000,$AX21,'Detalle individual'!$F$5:$F$1000,BC$4))</f>
        <v/>
      </c>
      <c r="BD21" t="str">
        <f>IF($AX21="","",COUNTIFS('Detalle individual'!$D$5:$D$1000,$AX21,'Detalle individual'!$F$5:$F$1000,BD$4))</f>
        <v/>
      </c>
      <c r="BF21" t="str">
        <f>IF(AND('Consolidado por área'!G21="Completo",LEFT(TRIM('Consolidado por área'!A21),7)="AGENCIA"),'Consolidado por área'!L21+ROW()/1000000000,"")</f>
        <v/>
      </c>
    </row>
    <row r="22">
      <c r="A22" t="str">
        <f>IF('Consolidado por Gerencia'!A22="","",'Consolidado por Gerencia'!A22)</f>
        <v/>
      </c>
      <c r="B22" t="str">
        <f>IF($A22="","",'Consolidado por Gerencia'!B22)</f>
        <v/>
      </c>
      <c r="C22" t="str">
        <f>IF($A22="","",'Consolidado por Gerencia'!C22)</f>
        <v/>
      </c>
      <c r="D22" t="str">
        <f>IF($A22="","",'Consolidado por Gerencia'!D22)</f>
        <v/>
      </c>
      <c r="E22" t="str">
        <f>IF($A22="","",IF(B22&gt;0,C22/B22,0))</f>
        <v/>
      </c>
      <c r="F22" t="str">
        <f>IF($A22="","",E22*1000000+B22*10+(100-ROW())/1000)</f>
        <v/>
      </c>
      <c r="G22" t="str">
        <f>IF($A22="","",D22*1000+(100-ROW())/1000)</f>
        <v/>
      </c>
      <c r="I22" t="n">
        <v>18</v>
      </c>
      <c r="J22" t="str">
        <f>IF(I22&gt;COUNT($F$5:$F$24),"",MATCH(LARGE($F$5:$F$24,I22),$F$5:$F$24,0))</f>
        <v/>
      </c>
      <c r="K22" t="str">
        <f>IF(J22="","",INDEX($A$5:$A$24,J22)&amp;"   "&amp;TEXT(INDEX($E$5:$E$24,J22),"0%"))</f>
        <v/>
      </c>
      <c r="L22" t="str">
        <f>IF(J22="","",INDEX($C$5:$C$24,J22))</f>
        <v/>
      </c>
      <c r="M22" t="str">
        <f>IF(J22="","",INDEX($D$5:$D$24,J22))</f>
        <v/>
      </c>
      <c r="P22" t="str">
        <f>IF(I22&gt;COUNT($G$5:$G$24),"",MATCH(LARGE($G$5:$G$24,I22),$G$5:$G$24,0))</f>
        <v/>
      </c>
      <c r="Q22" t="str">
        <f>IF(P22="","",INDEX($A$5:$A$24,P22))</f>
        <v/>
      </c>
      <c r="R22" t="str">
        <f>IF(P22="","",INDEX($D$5:$D$24,P22))</f>
        <v/>
      </c>
      <c r="V22" t="str">
        <f>A21</f>
        <v/>
      </c>
      <c r="W22" t="str">
        <f>A46</f>
        <v>DEPARTAMENTO DE ATENCION A ASOCIADO Y CLIENTE</v>
      </c>
      <c r="Z22">
        <f>IF('Detalle individual'!A22="","",IF(AND(OR('Estado por Colaborador'!$D$4="Todas las gerencias",'Detalle individual'!D22='Estado por Colaborador'!$D$4),OR('Estado por Colaborador'!$D$5="Todos los departamentos",TRIM('Detalle individual'!C22)='Estado por Colaborador'!$D$5),OR('Estado por Colaborador'!$D$6="Todos",'Detalle individual'!F22='Estado por Colaborador'!$D$6)),IF('Detalle individual'!F22="Completado",30000000,IF('Detalle individual'!F22="Pendiente",0,15000000))+COUNTIF('Detalle individual'!$C$5:$C$1000,"&lt;"&amp;'Detalle individual'!C22)*10000+ROW(),""))</f>
        <v>39850022</v>
      </c>
      <c r="AB22" t="str">
        <f>IF('Detalle individual'!C22="","",IF(COUNTIF('Detalle individual'!$C$5:C22,'Detalle individual'!C22)=1,COUNTIF('Detalle individual'!$C$5:$C$1000,"&lt;"&amp;'Detalle individual'!C22),""))</f>
        <v/>
      </c>
      <c r="AC22" t="str">
        <f>IF('Detalle individual'!D22="","",IF(COUNTIF('Detalle individual'!$D$5:D22,'Detalle individual'!D22)=1,COUNTIF('Detalle individual'!$D$5:$D$1000,"&lt;"&amp;'Detalle individual'!D22),""))</f>
        <v/>
      </c>
      <c r="AE22">
        <f>IFERROR(MATCH(SMALL($AB$5:$AB$1000,18),$AB$5:$AB$1000,0)+4,"")</f>
        <v>123</v>
      </c>
      <c r="AF22" t="str">
        <f>IFERROR(MATCH(SMALL($AC$5:$AC$1000,18),$AC$5:$AC$1000,0)+4,"")</f>
        <v/>
      </c>
      <c r="AH22" t="str">
        <f>IF('Detalle individual'!F22="Pendiente",COUNTIF('Detalle individual'!$D$5:$D$1000,"&lt;"&amp;'Detalle individual'!D22)*1000000+COUNTIF('Detalle individual'!$C$5:$C$1000,"&lt;"&amp;'Detalle individual'!C22)*1000+COUNTIF('Detalle individual'!$B$5:$B$1000,"&lt;"&amp;'Detalle individual'!B22)+ROW()/10000,"")</f>
        <v/>
      </c>
      <c r="AI22">
        <f>IF('Detalle individual'!F22="Completado",COUNTIF('Detalle individual'!$D$5:$D$1000,"&lt;"&amp;'Detalle individual'!D22)*1000000+COUNTIF('Detalle individual'!$C$5:$C$1000,"&lt;"&amp;'Detalle individual'!C22)*1000+COUNTIF('Detalle individual'!$B$5:$B$1000,"&lt;"&amp;'Detalle individual'!B22)+ROW()/10000,"")</f>
        <v>974985830.0022</v>
      </c>
      <c r="AJ22" t="str">
        <f>IF(AND('Detalle individual'!F22&lt;&gt;"",'Detalle individual'!F22&lt;&gt;"Completado",'Detalle individual'!F22&lt;&gt;"Pendiente"),COUNTIF('Detalle individual'!$D$5:$D$1000,"&lt;"&amp;'Detalle individual'!D22)*1000000+COUNTIF('Detalle individual'!$C$5:$C$1000,"&lt;"&amp;'Detalle individual'!C22)*1000+COUNTIF('Detalle individual'!$B$5:$B$1000,"&lt;"&amp;'Detalle individual'!B22)+ROW()/10000,"")</f>
        <v/>
      </c>
      <c r="AK22">
        <f>IF(OR('Base Exámenes'!C22="",'Base Exámenes'!D22=""),"",IF(COUNTIF('Base Exámenes'!$C$5:C22,'Base Exámenes'!C22)=1,'Base Exámenes'!D22+ROW()/1000000000,""))</f>
        <v>46296.45601854166</v>
      </c>
      <c r="AL22">
        <f>IF(OR('Base Exámenes'!C22="",'Base Exámenes'!E22=""),"",IF(COUNTIF('Base Exámenes'!$C$5:C22,'Base Exámenes'!C22)=1,'Base Exámenes'!E22+ROW()/1000000000,""))</f>
        <v>46296.45806715278</v>
      </c>
      <c r="AM22">
        <f>IF(OR('Base Exámenes'!C22="",'Base Exámenes'!G22=""),"",IF(ROW()-4=MATCH('Base Exámenes'!C22&amp;"|"&amp;_xlfn.MAXIFS('Base Exámenes'!$G$5:$G$1000,'Base Exámenes'!$C$5:$C$1000,'Base Exámenes'!C22),'Base Exámenes'!$I$5:$I$1000,0),'Base Exámenes'!G22*1000000+(-1)*'Base Exámenes'!D22,""))</f>
        <v>99953703.5439815</v>
      </c>
      <c r="AO22">
        <f>IF('Consolidado por área'!G22="Completo",'Consolidado por área'!L22+ROW()/1000000000,"")</f>
        <v>46307.65276622685</v>
      </c>
      <c r="AQ22" t="str">
        <f>IF('Base Exámenes'!C22="","",IF(COUNTIF('Base Exámenes'!$C$5:$C$1000,'Base Exámenes'!C22)&lt;2,"",MATCH('Base Exámenes'!C22,'Base Exámenes'!$C$5:$C$1000,0)*10000+ROW()))</f>
        <v/>
      </c>
      <c r="AX22" t="str">
        <f>IF('Consolidado por Gerencia'!A22="","",'Consolidado por Gerencia'!A22)</f>
        <v/>
      </c>
      <c r="AY22" t="str">
        <f>IF($AX22="","",COUNTIFS('Detalle individual'!$D$5:$D$1000,$AX22,'Detalle individual'!$F$5:$F$1000,AY$4))</f>
        <v/>
      </c>
      <c r="AZ22" t="str">
        <f>IF($AX22="","",COUNTIFS('Detalle individual'!$D$5:$D$1000,$AX22,'Detalle individual'!$F$5:$F$1000,AZ$4))</f>
        <v/>
      </c>
      <c r="BA22" t="str">
        <f>IF($AX22="","",COUNTIFS('Detalle individual'!$D$5:$D$1000,$AX22,'Detalle individual'!$F$5:$F$1000,BA$4))</f>
        <v/>
      </c>
      <c r="BB22" t="str">
        <f>IF($AX22="","",COUNTIFS('Detalle individual'!$D$5:$D$1000,$AX22,'Detalle individual'!$F$5:$F$1000,BB$4))</f>
        <v/>
      </c>
      <c r="BC22" t="str">
        <f>IF($AX22="","",COUNTIFS('Detalle individual'!$D$5:$D$1000,$AX22,'Detalle individual'!$F$5:$F$1000,BC$4))</f>
        <v/>
      </c>
      <c r="BD22" t="str">
        <f>IF($AX22="","",COUNTIFS('Detalle individual'!$D$5:$D$1000,$AX22,'Detalle individual'!$F$5:$F$1000,BD$4))</f>
        <v/>
      </c>
      <c r="BF22" t="str">
        <f>IF(AND('Consolidado por área'!G22="Completo",LEFT(TRIM('Consolidado por área'!A22),7)="AGENCIA"),'Consolidado por área'!L22+ROW()/1000000000,"")</f>
        <v/>
      </c>
    </row>
    <row r="23">
      <c r="A23" t="str">
        <f>IF('Consolidado por Gerencia'!A23="","",'Consolidado por Gerencia'!A23)</f>
        <v/>
      </c>
      <c r="B23" t="str">
        <f>IF($A23="","",'Consolidado por Gerencia'!B23)</f>
        <v/>
      </c>
      <c r="C23" t="str">
        <f>IF($A23="","",'Consolidado por Gerencia'!C23)</f>
        <v/>
      </c>
      <c r="D23" t="str">
        <f>IF($A23="","",'Consolidado por Gerencia'!D23)</f>
        <v/>
      </c>
      <c r="E23" t="str">
        <f>IF($A23="","",IF(B23&gt;0,C23/B23,0))</f>
        <v/>
      </c>
      <c r="F23" t="str">
        <f>IF($A23="","",E23*1000000+B23*10+(100-ROW())/1000)</f>
        <v/>
      </c>
      <c r="G23" t="str">
        <f>IF($A23="","",D23*1000+(100-ROW())/1000)</f>
        <v/>
      </c>
      <c r="I23" t="n">
        <v>19</v>
      </c>
      <c r="J23" t="str">
        <f>IF(I23&gt;COUNT($F$5:$F$24),"",MATCH(LARGE($F$5:$F$24,I23),$F$5:$F$24,0))</f>
        <v/>
      </c>
      <c r="K23" t="str">
        <f>IF(J23="","",INDEX($A$5:$A$24,J23)&amp;"   "&amp;TEXT(INDEX($E$5:$E$24,J23),"0%"))</f>
        <v/>
      </c>
      <c r="L23" t="str">
        <f>IF(J23="","",INDEX($C$5:$C$24,J23))</f>
        <v/>
      </c>
      <c r="M23" t="str">
        <f>IF(J23="","",INDEX($D$5:$D$24,J23))</f>
        <v/>
      </c>
      <c r="P23" t="str">
        <f>IF(I23&gt;COUNT($G$5:$G$24),"",MATCH(LARGE($G$5:$G$24,I23),$G$5:$G$24,0))</f>
        <v/>
      </c>
      <c r="Q23" t="str">
        <f>IF(P23="","",INDEX($A$5:$A$24,P23))</f>
        <v/>
      </c>
      <c r="R23" t="str">
        <f>IF(P23="","",INDEX($D$5:$D$24,P23))</f>
        <v/>
      </c>
      <c r="V23" t="str">
        <f>A22</f>
        <v/>
      </c>
      <c r="W23" t="str">
        <f>A47</f>
        <v>DEPARTAMENTO DE AUDITORIA INTERNA</v>
      </c>
      <c r="Z23">
        <f>IF('Detalle individual'!A23="","",IF(AND(OR('Estado por Colaborador'!$D$4="Todas las gerencias",'Detalle individual'!D23='Estado por Colaborador'!$D$4),OR('Estado por Colaborador'!$D$5="Todos los departamentos",TRIM('Detalle individual'!C23)='Estado por Colaborador'!$D$5),OR('Estado por Colaborador'!$D$6="Todos",'Detalle individual'!F23='Estado por Colaborador'!$D$6)),IF('Detalle individual'!F23="Completado",30000000,IF('Detalle individual'!F23="Pendiente",0,15000000))+COUNTIF('Detalle individual'!$C$5:$C$1000,"&lt;"&amp;'Detalle individual'!C23)*10000+ROW(),""))</f>
        <v>39850023</v>
      </c>
      <c r="AB23" t="str">
        <f>IF('Detalle individual'!C23="","",IF(COUNTIF('Detalle individual'!$C$5:C23,'Detalle individual'!C23)=1,COUNTIF('Detalle individual'!$C$5:$C$1000,"&lt;"&amp;'Detalle individual'!C23),""))</f>
        <v/>
      </c>
      <c r="AC23" t="str">
        <f>IF('Detalle individual'!D23="","",IF(COUNTIF('Detalle individual'!$D$5:D23,'Detalle individual'!D23)=1,COUNTIF('Detalle individual'!$D$5:$D$1000,"&lt;"&amp;'Detalle individual'!D23),""))</f>
        <v/>
      </c>
      <c r="AE23">
        <f>IFERROR(MATCH(SMALL($AB$5:$AB$1000,19),$AB$5:$AB$1000,0)+4,"")</f>
        <v>85</v>
      </c>
      <c r="AF23" t="str">
        <f>IFERROR(MATCH(SMALL($AC$5:$AC$1000,19),$AC$5:$AC$1000,0)+4,"")</f>
        <v/>
      </c>
      <c r="AH23" t="str">
        <f>IF('Detalle individual'!F23="Pendiente",COUNTIF('Detalle individual'!$D$5:$D$1000,"&lt;"&amp;'Detalle individual'!D23)*1000000+COUNTIF('Detalle individual'!$C$5:$C$1000,"&lt;"&amp;'Detalle individual'!C23)*1000+COUNTIF('Detalle individual'!$B$5:$B$1000,"&lt;"&amp;'Detalle individual'!B23)+ROW()/10000,"")</f>
        <v/>
      </c>
      <c r="AI23">
        <f>IF('Detalle individual'!F23="Completado",COUNTIF('Detalle individual'!$D$5:$D$1000,"&lt;"&amp;'Detalle individual'!D23)*1000000+COUNTIF('Detalle individual'!$C$5:$C$1000,"&lt;"&amp;'Detalle individual'!C23)*1000+COUNTIF('Detalle individual'!$B$5:$B$1000,"&lt;"&amp;'Detalle individual'!B23)+ROW()/10000,"")</f>
        <v>974985921.0023</v>
      </c>
      <c r="AJ23" t="str">
        <f>IF(AND('Detalle individual'!F23&lt;&gt;"",'Detalle individual'!F23&lt;&gt;"Completado",'Detalle individual'!F23&lt;&gt;"Pendiente"),COUNTIF('Detalle individual'!$D$5:$D$1000,"&lt;"&amp;'Detalle individual'!D23)*1000000+COUNTIF('Detalle individual'!$C$5:$C$1000,"&lt;"&amp;'Detalle individual'!C23)*1000+COUNTIF('Detalle individual'!$B$5:$B$1000,"&lt;"&amp;'Detalle individual'!B23)+ROW()/10000,"")</f>
        <v/>
      </c>
      <c r="AK23">
        <f>IF(OR('Base Exámenes'!C23="",'Base Exámenes'!D23=""),"",IF(COUNTIF('Base Exámenes'!$C$5:C23,'Base Exámenes'!C23)=1,'Base Exámenes'!D23+ROW()/1000000000,""))</f>
        <v>46296.45732641203</v>
      </c>
      <c r="AL23">
        <f>IF(OR('Base Exámenes'!C23="",'Base Exámenes'!E23=""),"",IF(COUNTIF('Base Exámenes'!$C$5:C23,'Base Exámenes'!C23)=1,'Base Exámenes'!E23+ROW()/1000000000,""))</f>
        <v>46296.460729189814</v>
      </c>
      <c r="AM23">
        <f>IF(OR('Base Exámenes'!C23="",'Base Exámenes'!G23=""),"",IF(ROW()-4=MATCH('Base Exámenes'!C23&amp;"|"&amp;_xlfn.MAXIFS('Base Exámenes'!$G$5:$G$1000,'Base Exámenes'!$C$5:$C$1000,'Base Exámenes'!C23),'Base Exámenes'!$I$5:$I$1000,0),'Base Exámenes'!G23*1000000+(-1)*'Base Exámenes'!D23,""))</f>
        <v>89953703.5426736</v>
      </c>
      <c r="AO23">
        <f>IF('Consolidado por área'!G23="Completo",'Consolidado por área'!L23+ROW()/1000000000,"")</f>
        <v>46310.56960650463</v>
      </c>
      <c r="AQ23" t="str">
        <f>IF('Base Exámenes'!C23="","",IF(COUNTIF('Base Exámenes'!$C$5:$C$1000,'Base Exámenes'!C23)&lt;2,"",MATCH('Base Exámenes'!C23,'Base Exámenes'!$C$5:$C$1000,0)*10000+ROW()))</f>
        <v/>
      </c>
      <c r="AX23" t="str">
        <f>IF('Consolidado por Gerencia'!A23="","",'Consolidado por Gerencia'!A23)</f>
        <v/>
      </c>
      <c r="AY23" t="str">
        <f>IF($AX23="","",COUNTIFS('Detalle individual'!$D$5:$D$1000,$AX23,'Detalle individual'!$F$5:$F$1000,AY$4))</f>
        <v/>
      </c>
      <c r="AZ23" t="str">
        <f>IF($AX23="","",COUNTIFS('Detalle individual'!$D$5:$D$1000,$AX23,'Detalle individual'!$F$5:$F$1000,AZ$4))</f>
        <v/>
      </c>
      <c r="BA23" t="str">
        <f>IF($AX23="","",COUNTIFS('Detalle individual'!$D$5:$D$1000,$AX23,'Detalle individual'!$F$5:$F$1000,BA$4))</f>
        <v/>
      </c>
      <c r="BB23" t="str">
        <f>IF($AX23="","",COUNTIFS('Detalle individual'!$D$5:$D$1000,$AX23,'Detalle individual'!$F$5:$F$1000,BB$4))</f>
        <v/>
      </c>
      <c r="BC23" t="str">
        <f>IF($AX23="","",COUNTIFS('Detalle individual'!$D$5:$D$1000,$AX23,'Detalle individual'!$F$5:$F$1000,BC$4))</f>
        <v/>
      </c>
      <c r="BD23" t="str">
        <f>IF($AX23="","",COUNTIFS('Detalle individual'!$D$5:$D$1000,$AX23,'Detalle individual'!$F$5:$F$1000,BD$4))</f>
        <v/>
      </c>
      <c r="BF23" t="str">
        <f>IF(AND('Consolidado por área'!G23="Completo",LEFT(TRIM('Consolidado por área'!A23),7)="AGENCIA"),'Consolidado por área'!L23+ROW()/1000000000,"")</f>
        <v/>
      </c>
    </row>
    <row r="24">
      <c r="A24" t="str">
        <f>IF('Consolidado por Gerencia'!A24="","",'Consolidado por Gerencia'!A24)</f>
        <v/>
      </c>
      <c r="B24" t="str">
        <f>IF($A24="","",'Consolidado por Gerencia'!B24)</f>
        <v/>
      </c>
      <c r="C24" t="str">
        <f>IF($A24="","",'Consolidado por Gerencia'!C24)</f>
        <v/>
      </c>
      <c r="D24" t="str">
        <f>IF($A24="","",'Consolidado por Gerencia'!D24)</f>
        <v/>
      </c>
      <c r="E24" t="str">
        <f>IF($A24="","",IF(B24&gt;0,C24/B24,0))</f>
        <v/>
      </c>
      <c r="F24" t="str">
        <f>IF($A24="","",E24*1000000+B24*10+(100-ROW())/1000)</f>
        <v/>
      </c>
      <c r="G24" t="str">
        <f>IF($A24="","",D24*1000+(100-ROW())/1000)</f>
        <v/>
      </c>
      <c r="I24" t="n">
        <v>20</v>
      </c>
      <c r="J24" t="str">
        <f>IF(I24&gt;COUNT($F$5:$F$24),"",MATCH(LARGE($F$5:$F$24,I24),$F$5:$F$24,0))</f>
        <v/>
      </c>
      <c r="K24" t="str">
        <f>IF(J24="","",INDEX($A$5:$A$24,J24)&amp;"   "&amp;TEXT(INDEX($E$5:$E$24,J24),"0%"))</f>
        <v/>
      </c>
      <c r="L24" t="str">
        <f>IF(J24="","",INDEX($C$5:$C$24,J24))</f>
        <v/>
      </c>
      <c r="M24" t="str">
        <f>IF(J24="","",INDEX($D$5:$D$24,J24))</f>
        <v/>
      </c>
      <c r="P24" t="str">
        <f>IF(I24&gt;COUNT($G$5:$G$24),"",MATCH(LARGE($G$5:$G$24,I24),$G$5:$G$24,0))</f>
        <v/>
      </c>
      <c r="Q24" t="str">
        <f>IF(P24="","",INDEX($A$5:$A$24,P24))</f>
        <v/>
      </c>
      <c r="R24" t="str">
        <f>IF(P24="","",INDEX($D$5:$D$24,P24))</f>
        <v/>
      </c>
      <c r="V24" t="str">
        <f>A23</f>
        <v/>
      </c>
      <c r="W24" t="str">
        <f>A48</f>
        <v>DEPARTAMENTO DE CONTABILIDAD</v>
      </c>
      <c r="Z24">
        <f>IF('Detalle individual'!A24="","",IF(AND(OR('Estado por Colaborador'!$D$4="Todas las gerencias",'Detalle individual'!D24='Estado por Colaborador'!$D$4),OR('Estado por Colaborador'!$D$5="Todos los departamentos",TRIM('Detalle individual'!C24)='Estado por Colaborador'!$D$5),OR('Estado por Colaborador'!$D$6="Todos",'Detalle individual'!F24='Estado por Colaborador'!$D$6)),IF('Detalle individual'!F24="Completado",30000000,IF('Detalle individual'!F24="Pendiente",0,15000000))+COUNTIF('Detalle individual'!$C$5:$C$1000,"&lt;"&amp;'Detalle individual'!C24)*10000+ROW(),""))</f>
        <v>39850024</v>
      </c>
      <c r="AB24" t="str">
        <f>IF('Detalle individual'!C24="","",IF(COUNTIF('Detalle individual'!$C$5:C24,'Detalle individual'!C24)=1,COUNTIF('Detalle individual'!$C$5:$C$1000,"&lt;"&amp;'Detalle individual'!C24),""))</f>
        <v/>
      </c>
      <c r="AC24" t="str">
        <f>IF('Detalle individual'!D24="","",IF(COUNTIF('Detalle individual'!$D$5:D24,'Detalle individual'!D24)=1,COUNTIF('Detalle individual'!$D$5:$D$1000,"&lt;"&amp;'Detalle individual'!D24),""))</f>
        <v/>
      </c>
      <c r="AE24">
        <f>IFERROR(MATCH(SMALL($AB$5:$AB$1000,20),$AB$5:$AB$1000,0)+4,"")</f>
        <v>152</v>
      </c>
      <c r="AF24" t="str">
        <f>IFERROR(MATCH(SMALL($AC$5:$AC$1000,20),$AC$5:$AC$1000,0)+4,"")</f>
        <v/>
      </c>
      <c r="AH24" t="str">
        <f>IF('Detalle individual'!F24="Pendiente",COUNTIF('Detalle individual'!$D$5:$D$1000,"&lt;"&amp;'Detalle individual'!D24)*1000000+COUNTIF('Detalle individual'!$C$5:$C$1000,"&lt;"&amp;'Detalle individual'!C24)*1000+COUNTIF('Detalle individual'!$B$5:$B$1000,"&lt;"&amp;'Detalle individual'!B24)+ROW()/10000,"")</f>
        <v/>
      </c>
      <c r="AI24">
        <f>IF('Detalle individual'!F24="Completado",COUNTIF('Detalle individual'!$D$5:$D$1000,"&lt;"&amp;'Detalle individual'!D24)*1000000+COUNTIF('Detalle individual'!$C$5:$C$1000,"&lt;"&amp;'Detalle individual'!C24)*1000+COUNTIF('Detalle individual'!$B$5:$B$1000,"&lt;"&amp;'Detalle individual'!B24)+ROW()/10000,"")</f>
        <v>974985976.0024</v>
      </c>
      <c r="AJ24" t="str">
        <f>IF(AND('Detalle individual'!F24&lt;&gt;"",'Detalle individual'!F24&lt;&gt;"Completado",'Detalle individual'!F24&lt;&gt;"Pendiente"),COUNTIF('Detalle individual'!$D$5:$D$1000,"&lt;"&amp;'Detalle individual'!D24)*1000000+COUNTIF('Detalle individual'!$C$5:$C$1000,"&lt;"&amp;'Detalle individual'!C24)*1000+COUNTIF('Detalle individual'!$B$5:$B$1000,"&lt;"&amp;'Detalle individual'!B24)+ROW()/10000,"")</f>
        <v/>
      </c>
      <c r="AK24">
        <f>IF(OR('Base Exámenes'!C24="",'Base Exámenes'!D24=""),"",IF(COUNTIF('Base Exámenes'!$C$5:C24,'Base Exámenes'!C24)=1,'Base Exámenes'!D24+ROW()/1000000000,""))</f>
        <v>46296.453796319445</v>
      </c>
      <c r="AL24">
        <f>IF(OR('Base Exámenes'!C24="",'Base Exámenes'!E24=""),"",IF(COUNTIF('Base Exámenes'!$C$5:C24,'Base Exámenes'!C24)=1,'Base Exámenes'!E24+ROW()/1000000000,""))</f>
        <v>46296.465706041665</v>
      </c>
      <c r="AM24">
        <f>IF(OR('Base Exámenes'!C24="",'Base Exámenes'!G24=""),"",IF(ROW()-4=MATCH('Base Exámenes'!C24&amp;"|"&amp;_xlfn.MAXIFS('Base Exámenes'!$G$5:$G$1000,'Base Exámenes'!$C$5:$C$1000,'Base Exámenes'!C24),'Base Exámenes'!$I$5:$I$1000,0),'Base Exámenes'!G24*1000000+(-1)*'Base Exámenes'!D24,""))</f>
        <v>99953703.5462037</v>
      </c>
      <c r="AO24">
        <f>IF('Consolidado por área'!G24="Completo",'Consolidado por área'!L24+ROW()/1000000000,"")</f>
        <v>46309.400520856485</v>
      </c>
      <c r="AQ24" t="str">
        <f>IF('Base Exámenes'!C24="","",IF(COUNTIF('Base Exámenes'!$C$5:$C$1000,'Base Exámenes'!C24)&lt;2,"",MATCH('Base Exámenes'!C24,'Base Exámenes'!$C$5:$C$1000,0)*10000+ROW()))</f>
        <v/>
      </c>
      <c r="AX24" t="str">
        <f>IF('Consolidado por Gerencia'!A24="","",'Consolidado por Gerencia'!A24)</f>
        <v/>
      </c>
      <c r="AY24" t="str">
        <f>IF($AX24="","",COUNTIFS('Detalle individual'!$D$5:$D$1000,$AX24,'Detalle individual'!$F$5:$F$1000,AY$4))</f>
        <v/>
      </c>
      <c r="AZ24" t="str">
        <f>IF($AX24="","",COUNTIFS('Detalle individual'!$D$5:$D$1000,$AX24,'Detalle individual'!$F$5:$F$1000,AZ$4))</f>
        <v/>
      </c>
      <c r="BA24" t="str">
        <f>IF($AX24="","",COUNTIFS('Detalle individual'!$D$5:$D$1000,$AX24,'Detalle individual'!$F$5:$F$1000,BA$4))</f>
        <v/>
      </c>
      <c r="BB24" t="str">
        <f>IF($AX24="","",COUNTIFS('Detalle individual'!$D$5:$D$1000,$AX24,'Detalle individual'!$F$5:$F$1000,BB$4))</f>
        <v/>
      </c>
      <c r="BC24" t="str">
        <f>IF($AX24="","",COUNTIFS('Detalle individual'!$D$5:$D$1000,$AX24,'Detalle individual'!$F$5:$F$1000,BC$4))</f>
        <v/>
      </c>
      <c r="BD24" t="str">
        <f>IF($AX24="","",COUNTIFS('Detalle individual'!$D$5:$D$1000,$AX24,'Detalle individual'!$F$5:$F$1000,BD$4))</f>
        <v/>
      </c>
      <c r="BF24" t="str">
        <f>IF(AND('Consolidado por área'!G24="Completo",LEFT(TRIM('Consolidado por área'!A24),7)="AGENCIA"),'Consolidado por área'!L24+ROW()/1000000000,"")</f>
        <v/>
      </c>
    </row>
    <row r="25">
      <c r="V25" t="str">
        <f>A24</f>
        <v/>
      </c>
      <c r="W25" t="str">
        <f>A49</f>
        <v>DEPARTAMENTO DE CREDITOS</v>
      </c>
      <c r="Z25">
        <f>IF('Detalle individual'!A25="","",IF(AND(OR('Estado por Colaborador'!$D$4="Todas las gerencias",'Detalle individual'!D25='Estado por Colaborador'!$D$4),OR('Estado por Colaborador'!$D$5="Todos los departamentos",TRIM('Detalle individual'!C25)='Estado por Colaborador'!$D$5),OR('Estado por Colaborador'!$D$6="Todos",'Detalle individual'!F25='Estado por Colaborador'!$D$6)),IF('Detalle individual'!F25="Completado",30000000,IF('Detalle individual'!F25="Pendiente",0,15000000))+COUNTIF('Detalle individual'!$C$5:$C$1000,"&lt;"&amp;'Detalle individual'!C25)*10000+ROW(),""))</f>
        <v>39620025</v>
      </c>
      <c r="AB25" t="str">
        <f>IF('Detalle individual'!C25="","",IF(COUNTIF('Detalle individual'!$C$5:C25,'Detalle individual'!C25)=1,COUNTIF('Detalle individual'!$C$5:$C$1000,"&lt;"&amp;'Detalle individual'!C25),""))</f>
        <v/>
      </c>
      <c r="AC25" t="str">
        <f>IF('Detalle individual'!D25="","",IF(COUNTIF('Detalle individual'!$D$5:D25,'Detalle individual'!D25)=1,COUNTIF('Detalle individual'!$D$5:$D$1000,"&lt;"&amp;'Detalle individual'!D25),""))</f>
        <v/>
      </c>
      <c r="AE25">
        <f>IFERROR(MATCH(SMALL($AB$5:$AB$1000,21),$AB$5:$AB$1000,0)+4,"")</f>
        <v>43</v>
      </c>
      <c r="AH25" t="str">
        <f>IF('Detalle individual'!F25="Pendiente",COUNTIF('Detalle individual'!$D$5:$D$1000,"&lt;"&amp;'Detalle individual'!D25)*1000000+COUNTIF('Detalle individual'!$C$5:$C$1000,"&lt;"&amp;'Detalle individual'!C25)*1000+COUNTIF('Detalle individual'!$B$5:$B$1000,"&lt;"&amp;'Detalle individual'!B25)+ROW()/10000,"")</f>
        <v/>
      </c>
      <c r="AI25">
        <f>IF('Detalle individual'!F25="Completado",COUNTIF('Detalle individual'!$D$5:$D$1000,"&lt;"&amp;'Detalle individual'!D25)*1000000+COUNTIF('Detalle individual'!$C$5:$C$1000,"&lt;"&amp;'Detalle individual'!C25)*1000+COUNTIF('Detalle individual'!$B$5:$B$1000,"&lt;"&amp;'Detalle individual'!B25)+ROW()/10000,"")</f>
        <v>711962918.0025</v>
      </c>
      <c r="AJ25" t="str">
        <f>IF(AND('Detalle individual'!F25&lt;&gt;"",'Detalle individual'!F25&lt;&gt;"Completado",'Detalle individual'!F25&lt;&gt;"Pendiente"),COUNTIF('Detalle individual'!$D$5:$D$1000,"&lt;"&amp;'Detalle individual'!D25)*1000000+COUNTIF('Detalle individual'!$C$5:$C$1000,"&lt;"&amp;'Detalle individual'!C25)*1000+COUNTIF('Detalle individual'!$B$5:$B$1000,"&lt;"&amp;'Detalle individual'!B25)+ROW()/10000,"")</f>
        <v/>
      </c>
      <c r="AK25">
        <f>IF(OR('Base Exámenes'!C25="",'Base Exámenes'!D25=""),"",IF(COUNTIF('Base Exámenes'!$C$5:C25,'Base Exámenes'!C25)=1,'Base Exámenes'!D25+ROW()/1000000000,""))</f>
        <v>46296.470902800924</v>
      </c>
      <c r="AL25">
        <f>IF(OR('Base Exámenes'!C25="",'Base Exámenes'!E25=""),"",IF(COUNTIF('Base Exámenes'!$C$5:C25,'Base Exámenes'!C25)=1,'Base Exámenes'!E25+ROW()/1000000000,""))</f>
        <v>46296.476342615744</v>
      </c>
      <c r="AM25">
        <f>IF(OR('Base Exámenes'!C25="",'Base Exámenes'!G25=""),"",IF(ROW()-4=MATCH('Base Exámenes'!C25&amp;"|"&amp;_xlfn.MAXIFS('Base Exámenes'!$G$5:$G$1000,'Base Exámenes'!$C$5:$C$1000,'Base Exámenes'!C25),'Base Exámenes'!$I$5:$I$1000,0),'Base Exámenes'!G25*1000000+(-1)*'Base Exámenes'!D25,""))</f>
        <v>99953703.5290972</v>
      </c>
      <c r="AO25">
        <f>IF('Consolidado por área'!G25="Completo",'Consolidado por área'!L25+ROW()/1000000000,"")</f>
        <v>46304.703796319445</v>
      </c>
      <c r="AQ25" t="str">
        <f>IF('Base Exámenes'!C25="","",IF(COUNTIF('Base Exámenes'!$C$5:$C$1000,'Base Exámenes'!C25)&lt;2,"",MATCH('Base Exámenes'!C25,'Base Exámenes'!$C$5:$C$1000,0)*10000+ROW()))</f>
        <v/>
      </c>
      <c r="BF25" t="str">
        <f>IF(AND('Consolidado por área'!G25="Completo",LEFT(TRIM('Consolidado por área'!A25),7)="AGENCIA"),'Consolidado por área'!L25+ROW()/1000000000,"")</f>
        <v/>
      </c>
    </row>
    <row r="26">
      <c r="W26" t="str">
        <f>A50</f>
        <v>DEPARTAMENTO DE CUSTODIA DE GARANTÍA Y VALORES</v>
      </c>
      <c r="Z26">
        <f>IF('Detalle individual'!A26="","",IF(AND(OR('Estado por Colaborador'!$D$4="Todas las gerencias",'Detalle individual'!D26='Estado por Colaborador'!$D$4),OR('Estado por Colaborador'!$D$5="Todos los departamentos",TRIM('Detalle individual'!C26)='Estado por Colaborador'!$D$5),OR('Estado por Colaborador'!$D$6="Todos",'Detalle individual'!F26='Estado por Colaborador'!$D$6)),IF('Detalle individual'!F26="Completado",30000000,IF('Detalle individual'!F26="Pendiente",0,15000000))+COUNTIF('Detalle individual'!$C$5:$C$1000,"&lt;"&amp;'Detalle individual'!C26)*10000+ROW(),""))</f>
        <v>39180026</v>
      </c>
      <c r="AB26">
        <f>IF('Detalle individual'!C26="","",IF(COUNTIF('Detalle individual'!$C$5:C26,'Detalle individual'!C26)=1,COUNTIF('Detalle individual'!$C$5:$C$1000,"&lt;"&amp;'Detalle individual'!C26),""))</f>
        <v>918</v>
      </c>
      <c r="AC26" t="str">
        <f>IF('Detalle individual'!D26="","",IF(COUNTIF('Detalle individual'!$D$5:D26,'Detalle individual'!D26)=1,COUNTIF('Detalle individual'!$D$5:$D$1000,"&lt;"&amp;'Detalle individual'!D26),""))</f>
        <v/>
      </c>
      <c r="AE26">
        <f>IFERROR(MATCH(SMALL($AB$5:$AB$1000,22),$AB$5:$AB$1000,0)+4,"")</f>
        <v>75</v>
      </c>
      <c r="AH26" t="str">
        <f>IF('Detalle individual'!F26="Pendiente",COUNTIF('Detalle individual'!$D$5:$D$1000,"&lt;"&amp;'Detalle individual'!D26)*1000000+COUNTIF('Detalle individual'!$C$5:$C$1000,"&lt;"&amp;'Detalle individual'!C26)*1000+COUNTIF('Detalle individual'!$B$5:$B$1000,"&lt;"&amp;'Detalle individual'!B26)+ROW()/10000,"")</f>
        <v/>
      </c>
      <c r="AI26">
        <f>IF('Detalle individual'!F26="Completado",COUNTIF('Detalle individual'!$D$5:$D$1000,"&lt;"&amp;'Detalle individual'!D26)*1000000+COUNTIF('Detalle individual'!$C$5:$C$1000,"&lt;"&amp;'Detalle individual'!C26)*1000+COUNTIF('Detalle individual'!$B$5:$B$1000,"&lt;"&amp;'Detalle individual'!B26)+ROW()/10000,"")</f>
        <v>711918881.0026</v>
      </c>
      <c r="AJ26" t="str">
        <f>IF(AND('Detalle individual'!F26&lt;&gt;"",'Detalle individual'!F26&lt;&gt;"Completado",'Detalle individual'!F26&lt;&gt;"Pendiente"),COUNTIF('Detalle individual'!$D$5:$D$1000,"&lt;"&amp;'Detalle individual'!D26)*1000000+COUNTIF('Detalle individual'!$C$5:$C$1000,"&lt;"&amp;'Detalle individual'!C26)*1000+COUNTIF('Detalle individual'!$B$5:$B$1000,"&lt;"&amp;'Detalle individual'!B26)+ROW()/10000,"")</f>
        <v/>
      </c>
      <c r="AK26">
        <f>IF(OR('Base Exámenes'!C26="",'Base Exámenes'!D26=""),"",IF(COUNTIF('Base Exámenes'!$C$5:C26,'Base Exámenes'!C26)=1,'Base Exámenes'!D26+ROW()/1000000000,""))</f>
        <v>46296.47011576389</v>
      </c>
      <c r="AL26">
        <f>IF(OR('Base Exámenes'!C26="",'Base Exámenes'!E26=""),"",IF(COUNTIF('Base Exámenes'!$C$5:C26,'Base Exámenes'!C26)=1,'Base Exámenes'!E26+ROW()/1000000000,""))</f>
        <v>46296.47738428241</v>
      </c>
      <c r="AM26">
        <f>IF(OR('Base Exámenes'!C26="",'Base Exámenes'!G26=""),"",IF(ROW()-4=MATCH('Base Exámenes'!C26&amp;"|"&amp;_xlfn.MAXIFS('Base Exámenes'!$G$5:$G$1000,'Base Exámenes'!$C$5:$C$1000,'Base Exámenes'!C26),'Base Exámenes'!$I$5:$I$1000,0),'Base Exámenes'!G26*1000000+(-1)*'Base Exámenes'!D26,""))</f>
        <v>99953703.5298843</v>
      </c>
      <c r="AO26">
        <f>IF('Consolidado por área'!G26="Completo",'Consolidado por área'!L26+ROW()/1000000000,"")</f>
        <v>46305.51334493056</v>
      </c>
      <c r="AQ26" t="str">
        <f>IF('Base Exámenes'!C26="","",IF(COUNTIF('Base Exámenes'!$C$5:$C$1000,'Base Exámenes'!C26)&lt;2,"",MATCH('Base Exámenes'!C26,'Base Exámenes'!$C$5:$C$1000,0)*10000+ROW()))</f>
        <v/>
      </c>
      <c r="BF26" t="str">
        <f>IF(AND('Consolidado por área'!G26="Completo",LEFT(TRIM('Consolidado por área'!A26),7)="AGENCIA"),'Consolidado por área'!L26+ROW()/1000000000,"")</f>
        <v/>
      </c>
    </row>
    <row r="27">
      <c r="W27" t="str">
        <f>A51</f>
        <v>DEPARTAMENTO DE DEPOSITOS</v>
      </c>
      <c r="Z27">
        <f>IF('Detalle individual'!A27="","",IF(AND(OR('Estado por Colaborador'!$D$4="Todas las gerencias",'Detalle individual'!D27='Estado por Colaborador'!$D$4),OR('Estado por Colaborador'!$D$5="Todos los departamentos",TRIM('Detalle individual'!C27)='Estado por Colaborador'!$D$5),OR('Estado por Colaborador'!$D$6="Todos",'Detalle individual'!F27='Estado por Colaborador'!$D$6)),IF('Detalle individual'!F27="Completado",30000000,IF('Detalle individual'!F27="Pendiente",0,15000000))+COUNTIF('Detalle individual'!$C$5:$C$1000,"&lt;"&amp;'Detalle individual'!C27)*10000+ROW(),""))</f>
        <v>39180027</v>
      </c>
      <c r="AB27" t="str">
        <f>IF('Detalle individual'!C27="","",IF(COUNTIF('Detalle individual'!$C$5:C27,'Detalle individual'!C27)=1,COUNTIF('Detalle individual'!$C$5:$C$1000,"&lt;"&amp;'Detalle individual'!C27),""))</f>
        <v/>
      </c>
      <c r="AC27" t="str">
        <f>IF('Detalle individual'!D27="","",IF(COUNTIF('Detalle individual'!$D$5:D27,'Detalle individual'!D27)=1,COUNTIF('Detalle individual'!$D$5:$D$1000,"&lt;"&amp;'Detalle individual'!D27),""))</f>
        <v/>
      </c>
      <c r="AE27">
        <f>IFERROR(MATCH(SMALL($AB$5:$AB$1000,23),$AB$5:$AB$1000,0)+4,"")</f>
        <v>56</v>
      </c>
      <c r="AH27" t="str">
        <f>IF('Detalle individual'!F27="Pendiente",COUNTIF('Detalle individual'!$D$5:$D$1000,"&lt;"&amp;'Detalle individual'!D27)*1000000+COUNTIF('Detalle individual'!$C$5:$C$1000,"&lt;"&amp;'Detalle individual'!C27)*1000+COUNTIF('Detalle individual'!$B$5:$B$1000,"&lt;"&amp;'Detalle individual'!B27)+ROW()/10000,"")</f>
        <v/>
      </c>
      <c r="AI27">
        <f>IF('Detalle individual'!F27="Completado",COUNTIF('Detalle individual'!$D$5:$D$1000,"&lt;"&amp;'Detalle individual'!D27)*1000000+COUNTIF('Detalle individual'!$C$5:$C$1000,"&lt;"&amp;'Detalle individual'!C27)*1000+COUNTIF('Detalle individual'!$B$5:$B$1000,"&lt;"&amp;'Detalle individual'!B27)+ROW()/10000,"")</f>
        <v>711918910.0027</v>
      </c>
      <c r="AJ27" t="str">
        <f>IF(AND('Detalle individual'!F27&lt;&gt;"",'Detalle individual'!F27&lt;&gt;"Completado",'Detalle individual'!F27&lt;&gt;"Pendiente"),COUNTIF('Detalle individual'!$D$5:$D$1000,"&lt;"&amp;'Detalle individual'!D27)*1000000+COUNTIF('Detalle individual'!$C$5:$C$1000,"&lt;"&amp;'Detalle individual'!C27)*1000+COUNTIF('Detalle individual'!$B$5:$B$1000,"&lt;"&amp;'Detalle individual'!B27)+ROW()/10000,"")</f>
        <v/>
      </c>
      <c r="AK27">
        <f>IF(OR('Base Exámenes'!C27="",'Base Exámenes'!D27=""),"",IF(COUNTIF('Base Exámenes'!$C$5:C27,'Base Exámenes'!C27)=1,'Base Exámenes'!D27+ROW()/1000000000,""))</f>
        <v>46296.47130789352</v>
      </c>
      <c r="AL27">
        <f>IF(OR('Base Exámenes'!C27="",'Base Exámenes'!E27=""),"",IF(COUNTIF('Base Exámenes'!$C$5:C27,'Base Exámenes'!C27)=1,'Base Exámenes'!E27+ROW()/1000000000,""))</f>
        <v>46296.478032430554</v>
      </c>
      <c r="AM27">
        <f>IF(OR('Base Exámenes'!C27="",'Base Exámenes'!G27=""),"",IF(ROW()-4=MATCH('Base Exámenes'!C27&amp;"|"&amp;_xlfn.MAXIFS('Base Exámenes'!$G$5:$G$1000,'Base Exámenes'!$C$5:$C$1000,'Base Exámenes'!C27),'Base Exámenes'!$I$5:$I$1000,0),'Base Exámenes'!G27*1000000+(-1)*'Base Exámenes'!D27,""))</f>
        <v>99953703.5286921</v>
      </c>
      <c r="AO27">
        <f>IF('Consolidado por área'!G27="Completo",'Consolidado por área'!L27+ROW()/1000000000,"")</f>
        <v>46310.511469930556</v>
      </c>
      <c r="AQ27" t="str">
        <f>IF('Base Exámenes'!C27="","",IF(COUNTIF('Base Exámenes'!$C$5:$C$1000,'Base Exámenes'!C27)&lt;2,"",MATCH('Base Exámenes'!C27,'Base Exámenes'!$C$5:$C$1000,0)*10000+ROW()))</f>
        <v/>
      </c>
      <c r="BF27" t="str">
        <f>IF(AND('Consolidado por área'!G27="Completo",LEFT(TRIM('Consolidado por área'!A27),7)="AGENCIA"),'Consolidado por área'!L27+ROW()/1000000000,"")</f>
        <v/>
      </c>
    </row>
    <row r="28">
      <c r="W28" t="str">
        <f>A52</f>
        <v>DEPARTAMENTO DE EDUCACION Y RESPONSABILIDAD SOCIAL</v>
      </c>
      <c r="Z28">
        <f>IF('Detalle individual'!A28="","",IF(AND(OR('Estado por Colaborador'!$D$4="Todas las gerencias",'Detalle individual'!D28='Estado por Colaborador'!$D$4),OR('Estado por Colaborador'!$D$5="Todos los departamentos",TRIM('Detalle individual'!C28)='Estado por Colaborador'!$D$5),OR('Estado por Colaborador'!$D$6="Todos",'Detalle individual'!F28='Estado por Colaborador'!$D$6)),IF('Detalle individual'!F28="Completado",30000000,IF('Detalle individual'!F28="Pendiente",0,15000000))+COUNTIF('Detalle individual'!$C$5:$C$1000,"&lt;"&amp;'Detalle individual'!C28)*10000+ROW(),""))</f>
        <v>39180028</v>
      </c>
      <c r="AB28" t="str">
        <f>IF('Detalle individual'!C28="","",IF(COUNTIF('Detalle individual'!$C$5:C28,'Detalle individual'!C28)=1,COUNTIF('Detalle individual'!$C$5:$C$1000,"&lt;"&amp;'Detalle individual'!C28),""))</f>
        <v/>
      </c>
      <c r="AC28" t="str">
        <f>IF('Detalle individual'!D28="","",IF(COUNTIF('Detalle individual'!$D$5:D28,'Detalle individual'!D28)=1,COUNTIF('Detalle individual'!$D$5:$D$1000,"&lt;"&amp;'Detalle individual'!D28),""))</f>
        <v/>
      </c>
      <c r="AE28">
        <f>IFERROR(MATCH(SMALL($AB$5:$AB$1000,24),$AB$5:$AB$1000,0)+4,"")</f>
        <v>145</v>
      </c>
      <c r="AH28" t="str">
        <f>IF('Detalle individual'!F28="Pendiente",COUNTIF('Detalle individual'!$D$5:$D$1000,"&lt;"&amp;'Detalle individual'!D28)*1000000+COUNTIF('Detalle individual'!$C$5:$C$1000,"&lt;"&amp;'Detalle individual'!C28)*1000+COUNTIF('Detalle individual'!$B$5:$B$1000,"&lt;"&amp;'Detalle individual'!B28)+ROW()/10000,"")</f>
        <v/>
      </c>
      <c r="AI28">
        <f>IF('Detalle individual'!F28="Completado",COUNTIF('Detalle individual'!$D$5:$D$1000,"&lt;"&amp;'Detalle individual'!D28)*1000000+COUNTIF('Detalle individual'!$C$5:$C$1000,"&lt;"&amp;'Detalle individual'!C28)*1000+COUNTIF('Detalle individual'!$B$5:$B$1000,"&lt;"&amp;'Detalle individual'!B28)+ROW()/10000,"")</f>
        <v>711918839.0028</v>
      </c>
      <c r="AJ28" t="str">
        <f>IF(AND('Detalle individual'!F28&lt;&gt;"",'Detalle individual'!F28&lt;&gt;"Completado",'Detalle individual'!F28&lt;&gt;"Pendiente"),COUNTIF('Detalle individual'!$D$5:$D$1000,"&lt;"&amp;'Detalle individual'!D28)*1000000+COUNTIF('Detalle individual'!$C$5:$C$1000,"&lt;"&amp;'Detalle individual'!C28)*1000+COUNTIF('Detalle individual'!$B$5:$B$1000,"&lt;"&amp;'Detalle individual'!B28)+ROW()/10000,"")</f>
        <v/>
      </c>
      <c r="AK28">
        <f>IF(OR('Base Exámenes'!C28="",'Base Exámenes'!D28=""),"",IF(COUNTIF('Base Exámenes'!$C$5:C28,'Base Exámenes'!C28)=1,'Base Exámenes'!D28+ROW()/1000000000,""))</f>
        <v>46296.47223381945</v>
      </c>
      <c r="AL28">
        <f>IF(OR('Base Exámenes'!C28="",'Base Exámenes'!E28=""),"",IF(COUNTIF('Base Exámenes'!$C$5:C28,'Base Exámenes'!C28)=1,'Base Exámenes'!E28+ROW()/1000000000,""))</f>
        <v>46296.480023171294</v>
      </c>
      <c r="AM28">
        <f>IF(OR('Base Exámenes'!C28="",'Base Exámenes'!G28=""),"",IF(ROW()-4=MATCH('Base Exámenes'!C28&amp;"|"&amp;_xlfn.MAXIFS('Base Exámenes'!$G$5:$G$1000,'Base Exámenes'!$C$5:$C$1000,'Base Exámenes'!C28),'Base Exámenes'!$I$5:$I$1000,0),'Base Exámenes'!G28*1000000+(-1)*'Base Exámenes'!D28,""))</f>
        <v>99953703.5277662</v>
      </c>
      <c r="AO28">
        <f>IF('Consolidado por área'!G28="Completo",'Consolidado por área'!L28+ROW()/1000000000,"")</f>
        <v>46311.71099539352</v>
      </c>
      <c r="AQ28" t="str">
        <f>IF('Base Exámenes'!C28="","",IF(COUNTIF('Base Exámenes'!$C$5:$C$1000,'Base Exámenes'!C28)&lt;2,"",MATCH('Base Exámenes'!C28,'Base Exámenes'!$C$5:$C$1000,0)*10000+ROW()))</f>
        <v/>
      </c>
      <c r="BF28" t="str">
        <f>IF(AND('Consolidado por área'!G28="Completo",LEFT(TRIM('Consolidado por área'!A28),7)="AGENCIA"),'Consolidado por área'!L28+ROW()/1000000000,"")</f>
        <v/>
      </c>
    </row>
    <row r="29">
      <c r="A29" t="inlineStr">
        <is>
          <t>Departamento</t>
        </is>
      </c>
      <c r="M29" t="inlineStr">
        <is>
          <t>Completados</t>
        </is>
      </c>
      <c r="N29" t="inlineStr">
        <is>
          <t>Pendientes</t>
        </is>
      </c>
      <c r="W29" t="str">
        <f>A53</f>
        <v>DEPARTAMENTO DE MERCADEO</v>
      </c>
      <c r="Z29">
        <f>IF('Detalle individual'!A29="","",IF(AND(OR('Estado por Colaborador'!$D$4="Todas las gerencias",'Detalle individual'!D29='Estado por Colaborador'!$D$4),OR('Estado por Colaborador'!$D$5="Todos los departamentos",TRIM('Detalle individual'!C29)='Estado por Colaborador'!$D$5),OR('Estado por Colaborador'!$D$6="Todos",'Detalle individual'!F29='Estado por Colaborador'!$D$6)),IF('Detalle individual'!F29="Completado",30000000,IF('Detalle individual'!F29="Pendiente",0,15000000))+COUNTIF('Detalle individual'!$C$5:$C$1000,"&lt;"&amp;'Detalle individual'!C29)*10000+ROW(),""))</f>
        <v>39180029</v>
      </c>
      <c r="AB29" t="str">
        <f>IF('Detalle individual'!C29="","",IF(COUNTIF('Detalle individual'!$C$5:C29,'Detalle individual'!C29)=1,COUNTIF('Detalle individual'!$C$5:$C$1000,"&lt;"&amp;'Detalle individual'!C29),""))</f>
        <v/>
      </c>
      <c r="AC29" t="str">
        <f>IF('Detalle individual'!D29="","",IF(COUNTIF('Detalle individual'!$D$5:D29,'Detalle individual'!D29)=1,COUNTIF('Detalle individual'!$D$5:$D$1000,"&lt;"&amp;'Detalle individual'!D29),""))</f>
        <v/>
      </c>
      <c r="AE29">
        <f>IFERROR(MATCH(SMALL($AB$5:$AB$1000,25),$AB$5:$AB$1000,0)+4,"")</f>
        <v>104</v>
      </c>
      <c r="AH29" t="str">
        <f>IF('Detalle individual'!F29="Pendiente",COUNTIF('Detalle individual'!$D$5:$D$1000,"&lt;"&amp;'Detalle individual'!D29)*1000000+COUNTIF('Detalle individual'!$C$5:$C$1000,"&lt;"&amp;'Detalle individual'!C29)*1000+COUNTIF('Detalle individual'!$B$5:$B$1000,"&lt;"&amp;'Detalle individual'!B29)+ROW()/10000,"")</f>
        <v/>
      </c>
      <c r="AI29">
        <f>IF('Detalle individual'!F29="Completado",COUNTIF('Detalle individual'!$D$5:$D$1000,"&lt;"&amp;'Detalle individual'!D29)*1000000+COUNTIF('Detalle individual'!$C$5:$C$1000,"&lt;"&amp;'Detalle individual'!C29)*1000+COUNTIF('Detalle individual'!$B$5:$B$1000,"&lt;"&amp;'Detalle individual'!B29)+ROW()/10000,"")</f>
        <v>711918746.0029</v>
      </c>
      <c r="AJ29" t="str">
        <f>IF(AND('Detalle individual'!F29&lt;&gt;"",'Detalle individual'!F29&lt;&gt;"Completado",'Detalle individual'!F29&lt;&gt;"Pendiente"),COUNTIF('Detalle individual'!$D$5:$D$1000,"&lt;"&amp;'Detalle individual'!D29)*1000000+COUNTIF('Detalle individual'!$C$5:$C$1000,"&lt;"&amp;'Detalle individual'!C29)*1000+COUNTIF('Detalle individual'!$B$5:$B$1000,"&lt;"&amp;'Detalle individual'!B29)+ROW()/10000,"")</f>
        <v/>
      </c>
      <c r="AK29">
        <f>IF(OR('Base Exámenes'!C29="",'Base Exámenes'!D29=""),"",IF(COUNTIF('Base Exámenes'!$C$5:C29,'Base Exámenes'!C29)=1,'Base Exámenes'!D29+ROW()/1000000000,""))</f>
        <v>46296.47424771991</v>
      </c>
      <c r="AL29">
        <f>IF(OR('Base Exámenes'!C29="",'Base Exámenes'!E29=""),"",IF(COUNTIF('Base Exámenes'!$C$5:C29,'Base Exámenes'!C29)=1,'Base Exámenes'!E29+ROW()/1000000000,""))</f>
        <v>46296.48637734954</v>
      </c>
      <c r="AM29">
        <f>IF(OR('Base Exámenes'!C29="",'Base Exámenes'!G29=""),"",IF(ROW()-4=MATCH('Base Exámenes'!C29&amp;"|"&amp;_xlfn.MAXIFS('Base Exámenes'!$G$5:$G$1000,'Base Exámenes'!$C$5:$C$1000,'Base Exámenes'!C29),'Base Exámenes'!$I$5:$I$1000,0),'Base Exámenes'!G29*1000000+(-1)*'Base Exámenes'!D29,""))</f>
        <v>99953703.5257523</v>
      </c>
      <c r="AO29">
        <f>IF('Consolidado por área'!G29="Completo",'Consolidado por área'!L29+ROW()/1000000000,"")</f>
        <v>46302.441828738425</v>
      </c>
      <c r="AQ29" t="str">
        <f>IF('Base Exámenes'!C29="","",IF(COUNTIF('Base Exámenes'!$C$5:$C$1000,'Base Exámenes'!C29)&lt;2,"",MATCH('Base Exámenes'!C29,'Base Exámenes'!$C$5:$C$1000,0)*10000+ROW()))</f>
        <v/>
      </c>
      <c r="BF29" t="str">
        <f>IF(AND('Consolidado por área'!G29="Completo",LEFT(TRIM('Consolidado por área'!A29),7)="AGENCIA"),'Consolidado por área'!L29+ROW()/1000000000,"")</f>
        <v/>
      </c>
    </row>
    <row r="30">
      <c r="A30" t="str">
        <f>IF('Consolidado por área'!A5="","",TRIM('Consolidado por área'!A5))</f>
        <v>ADMINISTRACION DE BASE DE DATOS</v>
      </c>
      <c r="B30" t="str">
        <f>IF($A30="","",'Consolidado por área'!B5)</f>
        <v>Gerencia de Sistemas</v>
      </c>
      <c r="C30">
        <f>IF($A30="","",'Consolidado por área'!C5)</f>
        <v>1</v>
      </c>
      <c r="D30">
        <f>IF($A30="","",'Consolidado por área'!D5)</f>
        <v>1</v>
      </c>
      <c r="E30">
        <f>IF($A30="","",'Consolidado por área'!E5)</f>
        <v>0</v>
      </c>
      <c r="F30">
        <f>IF($A30="","",IF(C30&gt;0,D30/C30,0))</f>
        <v>1</v>
      </c>
      <c r="G30">
        <f>IF($A30="","",F30*1000000+C30*10+(1000-ROW())/10000)</f>
        <v>1000010.097</v>
      </c>
      <c r="H30">
        <f>IF($A30="","",'Consolidado por área'!H5)</f>
        <v>95</v>
      </c>
      <c r="J30" t="n">
        <v>1</v>
      </c>
      <c r="K30">
        <f>IF(J30&gt;COUNT($G$30:$G$109),"",MATCH(LARGE($G$30:$G$109,J30),$G$30:$G$109,0))</f>
        <v>30</v>
      </c>
      <c r="L30" t="str">
        <f>IF($K30="","",INDEX($A$30:$A$109,K30)&amp;"   "&amp;TEXT(INDEX($F$30:$F$109,K30),"0%"))</f>
        <v>DEPARTAMENTO DE SERVICIOS GENERALES   100%</v>
      </c>
      <c r="M30">
        <f>IF($K30="","",INDEX($D$30:$D$109,K30))</f>
        <v>17</v>
      </c>
      <c r="N30">
        <f>IF($K30="","",INDEX($E$30:$E$109,K30))</f>
        <v>0</v>
      </c>
      <c r="O30" t="str">
        <f>IF($K30="","",INDEX($A$30:$A$109,K30))</f>
        <v>DEPARTAMENTO DE SERVICIOS GENERALES</v>
      </c>
      <c r="P30" t="str">
        <f>IF($K30="","",INDEX($B$30:$B$109,K30))</f>
        <v>Gerencia Administrativa</v>
      </c>
      <c r="Q30">
        <f>IF($K30="","",INDEX($C$30:$C$109,K30))</f>
        <v>17</v>
      </c>
      <c r="R30">
        <f>IF($K30="","",INDEX($F$30:$F$109,K30))</f>
        <v>1</v>
      </c>
      <c r="S30">
        <f>IF($K30="","",INDEX($H$30:$H$109,K30))</f>
        <v>89.7058823529412</v>
      </c>
      <c r="T30">
        <f>IF($K30="","",IF(OR('Dashboard Gerencial'!$B$5="Todas las gerencias",P30='Dashboard Gerencial'!$B$5),ROW(),""))</f>
        <v>30</v>
      </c>
      <c r="W30" t="str">
        <f>A54</f>
        <v>DEPARTAMENTO DE OPERACIONES Y SOPORTE TECNICO</v>
      </c>
      <c r="Z30">
        <f>IF('Detalle individual'!A30="","",IF(AND(OR('Estado por Colaborador'!$D$4="Todas las gerencias",'Detalle individual'!D30='Estado por Colaborador'!$D$4),OR('Estado por Colaborador'!$D$5="Todos los departamentos",TRIM('Detalle individual'!C30)='Estado por Colaborador'!$D$5),OR('Estado por Colaborador'!$D$6="Todos",'Detalle individual'!F30='Estado por Colaborador'!$D$6)),IF('Detalle individual'!F30="Completado",30000000,IF('Detalle individual'!F30="Pendiente",0,15000000))+COUNTIF('Detalle individual'!$C$5:$C$1000,"&lt;"&amp;'Detalle individual'!C30)*10000+ROW(),""))</f>
        <v>39180030</v>
      </c>
      <c r="AB30" t="str">
        <f>IF('Detalle individual'!C30="","",IF(COUNTIF('Detalle individual'!$C$5:C30,'Detalle individual'!C30)=1,COUNTIF('Detalle individual'!$C$5:$C$1000,"&lt;"&amp;'Detalle individual'!C30),""))</f>
        <v/>
      </c>
      <c r="AC30" t="str">
        <f>IF('Detalle individual'!D30="","",IF(COUNTIF('Detalle individual'!$D$5:D30,'Detalle individual'!D30)=1,COUNTIF('Detalle individual'!$D$5:$D$1000,"&lt;"&amp;'Detalle individual'!D30),""))</f>
        <v/>
      </c>
      <c r="AE30">
        <f>IFERROR(MATCH(SMALL($AB$5:$AB$1000,26),$AB$5:$AB$1000,0)+4,"")</f>
        <v>98</v>
      </c>
      <c r="AH30" t="str">
        <f>IF('Detalle individual'!F30="Pendiente",COUNTIF('Detalle individual'!$D$5:$D$1000,"&lt;"&amp;'Detalle individual'!D30)*1000000+COUNTIF('Detalle individual'!$C$5:$C$1000,"&lt;"&amp;'Detalle individual'!C30)*1000+COUNTIF('Detalle individual'!$B$5:$B$1000,"&lt;"&amp;'Detalle individual'!B30)+ROW()/10000,"")</f>
        <v/>
      </c>
      <c r="AI30">
        <f>IF('Detalle individual'!F30="Completado",COUNTIF('Detalle individual'!$D$5:$D$1000,"&lt;"&amp;'Detalle individual'!D30)*1000000+COUNTIF('Detalle individual'!$C$5:$C$1000,"&lt;"&amp;'Detalle individual'!C30)*1000+COUNTIF('Detalle individual'!$B$5:$B$1000,"&lt;"&amp;'Detalle individual'!B30)+ROW()/10000,"")</f>
        <v>711918914.003</v>
      </c>
      <c r="AJ30" t="str">
        <f>IF(AND('Detalle individual'!F30&lt;&gt;"",'Detalle individual'!F30&lt;&gt;"Completado",'Detalle individual'!F30&lt;&gt;"Pendiente"),COUNTIF('Detalle individual'!$D$5:$D$1000,"&lt;"&amp;'Detalle individual'!D30)*1000000+COUNTIF('Detalle individual'!$C$5:$C$1000,"&lt;"&amp;'Detalle individual'!C30)*1000+COUNTIF('Detalle individual'!$B$5:$B$1000,"&lt;"&amp;'Detalle individual'!B30)+ROW()/10000,"")</f>
        <v/>
      </c>
      <c r="AK30">
        <f>IF(OR('Base Exámenes'!C30="",'Base Exámenes'!D30=""),"",IF(COUNTIF('Base Exámenes'!$C$5:C30,'Base Exámenes'!C30)=1,'Base Exámenes'!D30+ROW()/1000000000,""))</f>
        <v>46296.483923645836</v>
      </c>
      <c r="AL30">
        <f>IF(OR('Base Exámenes'!C30="",'Base Exámenes'!E30=""),"",IF(COUNTIF('Base Exámenes'!$C$5:C30,'Base Exámenes'!C30)=1,'Base Exámenes'!E30+ROW()/1000000000,""))</f>
        <v>46296.4871065162</v>
      </c>
      <c r="AM30">
        <f>IF(OR('Base Exámenes'!C30="",'Base Exámenes'!G30=""),"",IF(ROW()-4=MATCH('Base Exámenes'!C30&amp;"|"&amp;_xlfn.MAXIFS('Base Exámenes'!$G$5:$G$1000,'Base Exámenes'!$C$5:$C$1000,'Base Exámenes'!C30),'Base Exámenes'!$I$5:$I$1000,0),'Base Exámenes'!G30*1000000+(-1)*'Base Exámenes'!D30,""))</f>
        <v>99953703.5160764</v>
      </c>
      <c r="AO30">
        <f>IF('Consolidado por área'!G30="Completo",'Consolidado por área'!L30+ROW()/1000000000,"")</f>
        <v>46311.62729170139</v>
      </c>
      <c r="AQ30" t="str">
        <f>IF('Base Exámenes'!C30="","",IF(COUNTIF('Base Exámenes'!$C$5:$C$1000,'Base Exámenes'!C30)&lt;2,"",MATCH('Base Exámenes'!C30,'Base Exámenes'!$C$5:$C$1000,0)*10000+ROW()))</f>
        <v/>
      </c>
      <c r="BF30" t="str">
        <f>IF(AND('Consolidado por área'!G30="Completo",LEFT(TRIM('Consolidado por área'!A30),7)="AGENCIA"),'Consolidado por área'!L30+ROW()/1000000000,"")</f>
        <v/>
      </c>
    </row>
    <row r="31">
      <c r="A31" t="str">
        <f>IF('Consolidado por área'!A6="","",TRIM('Consolidado por área'!A6))</f>
        <v>ADMINISTRACIÓN DE CARTERAS</v>
      </c>
      <c r="B31" t="str">
        <f>IF($A31="","",'Consolidado por área'!B6)</f>
        <v>Gerencia de Operaciones</v>
      </c>
      <c r="C31">
        <f>IF($A31="","",'Consolidado por área'!C6)</f>
        <v>5</v>
      </c>
      <c r="D31">
        <f>IF($A31="","",'Consolidado por área'!D6)</f>
        <v>5</v>
      </c>
      <c r="E31">
        <f>IF($A31="","",'Consolidado por área'!E6)</f>
        <v>0</v>
      </c>
      <c r="F31">
        <f>IF($A31="","",IF(C31&gt;0,D31/C31,0))</f>
        <v>1</v>
      </c>
      <c r="G31">
        <f>IF($A31="","",F31*1000000+C31*10+(1000-ROW())/10000)</f>
        <v>1000050.0969</v>
      </c>
      <c r="H31">
        <f>IF($A31="","",'Consolidado por área'!H6)</f>
        <v>100</v>
      </c>
      <c r="J31" t="n">
        <v>2</v>
      </c>
      <c r="K31">
        <f>IF(J31&gt;COUNT($G$30:$G$109),"",MATCH(LARGE($G$30:$G$109,J31),$G$30:$G$109,0))</f>
        <v>4</v>
      </c>
      <c r="L31" t="str">
        <f>IF($K31="","",INDEX($A$30:$A$109,K31)&amp;"   "&amp;TEXT(INDEX($F$30:$F$109,K31),"0%"))</f>
        <v>AGENCIA CENTRAL   100%</v>
      </c>
      <c r="M31">
        <f>IF($K31="","",INDEX($D$30:$D$109,K31))</f>
        <v>16</v>
      </c>
      <c r="N31">
        <f>IF($K31="","",INDEX($E$30:$E$109,K31))</f>
        <v>0</v>
      </c>
      <c r="O31" t="str">
        <f>IF($K31="","",INDEX($A$30:$A$109,K31))</f>
        <v>AGENCIA CENTRAL</v>
      </c>
      <c r="P31" t="str">
        <f>IF($K31="","",INDEX($B$30:$B$109,K31))</f>
        <v>Gerencia de Negocios</v>
      </c>
      <c r="Q31">
        <f>IF($K31="","",INDEX($C$30:$C$109,K31))</f>
        <v>16</v>
      </c>
      <c r="R31">
        <f>IF($K31="","",INDEX($F$30:$F$109,K31))</f>
        <v>1</v>
      </c>
      <c r="S31">
        <f>IF($K31="","",INDEX($H$30:$H$109,K31))</f>
        <v>96.25</v>
      </c>
      <c r="T31">
        <f>IF($K31="","",IF(OR('Dashboard Gerencial'!$B$5="Todas las gerencias",P31='Dashboard Gerencial'!$B$5),ROW(),""))</f>
        <v>31</v>
      </c>
      <c r="W31" t="str">
        <f>A55</f>
        <v>DEPARTAMENTO DE PLANIFICACIÓN Y ANALISIS</v>
      </c>
      <c r="Z31">
        <f>IF('Detalle individual'!A31="","",IF(AND(OR('Estado por Colaborador'!$D$4="Todas las gerencias",'Detalle individual'!D31='Estado por Colaborador'!$D$4),OR('Estado por Colaborador'!$D$5="Todos los departamentos",TRIM('Detalle individual'!C31)='Estado por Colaborador'!$D$5),OR('Estado por Colaborador'!$D$6="Todos",'Detalle individual'!F31='Estado por Colaborador'!$D$6)),IF('Detalle individual'!F31="Completado",30000000,IF('Detalle individual'!F31="Pendiente",0,15000000))+COUNTIF('Detalle individual'!$C$5:$C$1000,"&lt;"&amp;'Detalle individual'!C31)*10000+ROW(),""))</f>
        <v>39180031</v>
      </c>
      <c r="AB31" t="str">
        <f>IF('Detalle individual'!C31="","",IF(COUNTIF('Detalle individual'!$C$5:C31,'Detalle individual'!C31)=1,COUNTIF('Detalle individual'!$C$5:$C$1000,"&lt;"&amp;'Detalle individual'!C31),""))</f>
        <v/>
      </c>
      <c r="AC31" t="str">
        <f>IF('Detalle individual'!D31="","",IF(COUNTIF('Detalle individual'!$D$5:D31,'Detalle individual'!D31)=1,COUNTIF('Detalle individual'!$D$5:$D$1000,"&lt;"&amp;'Detalle individual'!D31),""))</f>
        <v/>
      </c>
      <c r="AE31">
        <f>IFERROR(MATCH(SMALL($AB$5:$AB$1000,27),$AB$5:$AB$1000,0)+4,"")</f>
        <v>18</v>
      </c>
      <c r="AH31" t="str">
        <f>IF('Detalle individual'!F31="Pendiente",COUNTIF('Detalle individual'!$D$5:$D$1000,"&lt;"&amp;'Detalle individual'!D31)*1000000+COUNTIF('Detalle individual'!$C$5:$C$1000,"&lt;"&amp;'Detalle individual'!C31)*1000+COUNTIF('Detalle individual'!$B$5:$B$1000,"&lt;"&amp;'Detalle individual'!B31)+ROW()/10000,"")</f>
        <v/>
      </c>
      <c r="AI31">
        <f>IF('Detalle individual'!F31="Completado",COUNTIF('Detalle individual'!$D$5:$D$1000,"&lt;"&amp;'Detalle individual'!D31)*1000000+COUNTIF('Detalle individual'!$C$5:$C$1000,"&lt;"&amp;'Detalle individual'!C31)*1000+COUNTIF('Detalle individual'!$B$5:$B$1000,"&lt;"&amp;'Detalle individual'!B31)+ROW()/10000,"")</f>
        <v>711918922.0031</v>
      </c>
      <c r="AJ31" t="str">
        <f>IF(AND('Detalle individual'!F31&lt;&gt;"",'Detalle individual'!F31&lt;&gt;"Completado",'Detalle individual'!F31&lt;&gt;"Pendiente"),COUNTIF('Detalle individual'!$D$5:$D$1000,"&lt;"&amp;'Detalle individual'!D31)*1000000+COUNTIF('Detalle individual'!$C$5:$C$1000,"&lt;"&amp;'Detalle individual'!C31)*1000+COUNTIF('Detalle individual'!$B$5:$B$1000,"&lt;"&amp;'Detalle individual'!B31)+ROW()/10000,"")</f>
        <v/>
      </c>
      <c r="AK31">
        <f>IF(OR('Base Exámenes'!C31="",'Base Exámenes'!D31=""),"",IF(COUNTIF('Base Exámenes'!$C$5:C31,'Base Exámenes'!C31)=1,'Base Exámenes'!D31+ROW()/1000000000,""))</f>
        <v>46296.48201392361</v>
      </c>
      <c r="AL31">
        <f>IF(OR('Base Exámenes'!C31="",'Base Exámenes'!E31=""),"",IF(COUNTIF('Base Exámenes'!$C$5:C31,'Base Exámenes'!C31)=1,'Base Exámenes'!E31+ROW()/1000000000,""))</f>
        <v>46296.491481516205</v>
      </c>
      <c r="AM31">
        <f>IF(OR('Base Exámenes'!C31="",'Base Exámenes'!G31=""),"",IF(ROW()-4=MATCH('Base Exámenes'!C31&amp;"|"&amp;_xlfn.MAXIFS('Base Exámenes'!$G$5:$G$1000,'Base Exámenes'!$C$5:$C$1000,'Base Exámenes'!C31),'Base Exámenes'!$I$5:$I$1000,0),'Base Exámenes'!G31*1000000+(-1)*'Base Exámenes'!D31,""))</f>
        <v>99953703.5179861</v>
      </c>
      <c r="AO31">
        <f>IF('Consolidado por área'!G31="Completo",'Consolidado por área'!L31+ROW()/1000000000,"")</f>
        <v>46296.44149309028</v>
      </c>
      <c r="AQ31" t="str">
        <f>IF('Base Exámenes'!C31="","",IF(COUNTIF('Base Exámenes'!$C$5:$C$1000,'Base Exámenes'!C31)&lt;2,"",MATCH('Base Exámenes'!C31,'Base Exámenes'!$C$5:$C$1000,0)*10000+ROW()))</f>
        <v/>
      </c>
      <c r="BF31" t="str">
        <f>IF(AND('Consolidado por área'!G31="Completo",LEFT(TRIM('Consolidado por área'!A31),7)="AGENCIA"),'Consolidado por área'!L31+ROW()/1000000000,"")</f>
        <v/>
      </c>
    </row>
    <row r="32">
      <c r="A32" t="str">
        <f>IF('Consolidado por área'!A7="","",TRIM('Consolidado por área'!A7))</f>
        <v>ADMINISTRACION DE RIESGOS</v>
      </c>
      <c r="B32" t="str">
        <f>IF($A32="","",'Consolidado por área'!B7)</f>
        <v>Gerencia General</v>
      </c>
      <c r="C32">
        <f>IF($A32="","",'Consolidado por área'!C7)</f>
        <v>4</v>
      </c>
      <c r="D32">
        <f>IF($A32="","",'Consolidado por área'!D7)</f>
        <v>4</v>
      </c>
      <c r="E32">
        <f>IF($A32="","",'Consolidado por área'!E7)</f>
        <v>0</v>
      </c>
      <c r="F32">
        <f>IF($A32="","",IF(C32&gt;0,D32/C32,0))</f>
        <v>1</v>
      </c>
      <c r="G32">
        <f>IF($A32="","",F32*1000000+C32*10+(1000-ROW())/10000)</f>
        <v>1000040.0968</v>
      </c>
      <c r="H32">
        <f>IF($A32="","",'Consolidado por área'!H7)</f>
        <v>100</v>
      </c>
      <c r="J32" t="n">
        <v>3</v>
      </c>
      <c r="K32">
        <f>IF(J32&gt;COUNT($G$30:$G$109),"",MATCH(LARGE($G$30:$G$109,J32),$G$30:$G$109,0))</f>
        <v>6</v>
      </c>
      <c r="L32" t="str">
        <f>IF($K32="","",INDEX($A$30:$A$109,K32)&amp;"   "&amp;TEXT(INDEX($F$30:$F$109,K32),"0%"))</f>
        <v>AGENCIA COLONIA MEDICA   100%</v>
      </c>
      <c r="M32">
        <f>IF($K32="","",INDEX($D$30:$D$109,K32))</f>
        <v>16</v>
      </c>
      <c r="N32">
        <f>IF($K32="","",INDEX($E$30:$E$109,K32))</f>
        <v>0</v>
      </c>
      <c r="O32" t="str">
        <f>IF($K32="","",INDEX($A$30:$A$109,K32))</f>
        <v>AGENCIA COLONIA MEDICA</v>
      </c>
      <c r="P32" t="str">
        <f>IF($K32="","",INDEX($B$30:$B$109,K32))</f>
        <v>Gerencia de Negocios</v>
      </c>
      <c r="Q32">
        <f>IF($K32="","",INDEX($C$30:$C$109,K32))</f>
        <v>16</v>
      </c>
      <c r="R32">
        <f>IF($K32="","",INDEX($F$30:$F$109,K32))</f>
        <v>1</v>
      </c>
      <c r="S32">
        <f>IF($K32="","",INDEX($H$30:$H$109,K32))</f>
        <v>97.8125</v>
      </c>
      <c r="T32">
        <f>IF($K32="","",IF(OR('Dashboard Gerencial'!$B$5="Todas las gerencias",P32='Dashboard Gerencial'!$B$5),ROW(),""))</f>
        <v>32</v>
      </c>
      <c r="W32" t="str">
        <f>A56</f>
        <v>DEPARTAMENTO DE PROCESOS</v>
      </c>
      <c r="Z32">
        <f>IF('Detalle individual'!A32="","",IF(AND(OR('Estado por Colaborador'!$D$4="Todas las gerencias",'Detalle individual'!D32='Estado por Colaborador'!$D$4),OR('Estado por Colaborador'!$D$5="Todos los departamentos",TRIM('Detalle individual'!C32)='Estado por Colaborador'!$D$5),OR('Estado por Colaborador'!$D$6="Todos",'Detalle individual'!F32='Estado por Colaborador'!$D$6)),IF('Detalle individual'!F32="Completado",30000000,IF('Detalle individual'!F32="Pendiente",0,15000000))+COUNTIF('Detalle individual'!$C$5:$C$1000,"&lt;"&amp;'Detalle individual'!C32)*10000+ROW(),""))</f>
        <v>39180032</v>
      </c>
      <c r="AB32" t="str">
        <f>IF('Detalle individual'!C32="","",IF(COUNTIF('Detalle individual'!$C$5:C32,'Detalle individual'!C32)=1,COUNTIF('Detalle individual'!$C$5:$C$1000,"&lt;"&amp;'Detalle individual'!C32),""))</f>
        <v/>
      </c>
      <c r="AC32" t="str">
        <f>IF('Detalle individual'!D32="","",IF(COUNTIF('Detalle individual'!$D$5:D32,'Detalle individual'!D32)=1,COUNTIF('Detalle individual'!$D$5:$D$1000,"&lt;"&amp;'Detalle individual'!D32),""))</f>
        <v/>
      </c>
      <c r="AE32">
        <f>IFERROR(MATCH(SMALL($AB$5:$AB$1000,28),$AB$5:$AB$1000,0)+4,"")</f>
        <v>52</v>
      </c>
      <c r="AH32" t="str">
        <f>IF('Detalle individual'!F32="Pendiente",COUNTIF('Detalle individual'!$D$5:$D$1000,"&lt;"&amp;'Detalle individual'!D32)*1000000+COUNTIF('Detalle individual'!$C$5:$C$1000,"&lt;"&amp;'Detalle individual'!C32)*1000+COUNTIF('Detalle individual'!$B$5:$B$1000,"&lt;"&amp;'Detalle individual'!B32)+ROW()/10000,"")</f>
        <v/>
      </c>
      <c r="AI32">
        <f>IF('Detalle individual'!F32="Completado",COUNTIF('Detalle individual'!$D$5:$D$1000,"&lt;"&amp;'Detalle individual'!D32)*1000000+COUNTIF('Detalle individual'!$C$5:$C$1000,"&lt;"&amp;'Detalle individual'!C32)*1000+COUNTIF('Detalle individual'!$B$5:$B$1000,"&lt;"&amp;'Detalle individual'!B32)+ROW()/10000,"")</f>
        <v>711918903.0032</v>
      </c>
      <c r="AJ32" t="str">
        <f>IF(AND('Detalle individual'!F32&lt;&gt;"",'Detalle individual'!F32&lt;&gt;"Completado",'Detalle individual'!F32&lt;&gt;"Pendiente"),COUNTIF('Detalle individual'!$D$5:$D$1000,"&lt;"&amp;'Detalle individual'!D32)*1000000+COUNTIF('Detalle individual'!$C$5:$C$1000,"&lt;"&amp;'Detalle individual'!C32)*1000+COUNTIF('Detalle individual'!$B$5:$B$1000,"&lt;"&amp;'Detalle individual'!B32)+ROW()/10000,"")</f>
        <v/>
      </c>
      <c r="AK32">
        <f>IF(OR('Base Exámenes'!C32="",'Base Exámenes'!D32=""),"",IF(COUNTIF('Base Exámenes'!$C$5:C32,'Base Exámenes'!C32)=1,'Base Exámenes'!D32+ROW()/1000000000,""))</f>
        <v>46296.4871528125</v>
      </c>
      <c r="AL32">
        <f>IF(OR('Base Exámenes'!C32="",'Base Exámenes'!E32=""),"",IF(COUNTIF('Base Exámenes'!$C$5:C32,'Base Exámenes'!C32)=1,'Base Exámenes'!E32+ROW()/1000000000,""))</f>
        <v>46296.49199077547</v>
      </c>
      <c r="AM32">
        <f>IF(OR('Base Exámenes'!C32="",'Base Exámenes'!G32=""),"",IF(ROW()-4=MATCH('Base Exámenes'!C32&amp;"|"&amp;_xlfn.MAXIFS('Base Exámenes'!$G$5:$G$1000,'Base Exámenes'!$C$5:$C$1000,'Base Exámenes'!C32),'Base Exámenes'!$I$5:$I$1000,0),'Base Exámenes'!G32*1000000+(-1)*'Base Exámenes'!D32,""))</f>
        <v>89953703.5128472</v>
      </c>
      <c r="AO32">
        <f>IF('Consolidado por área'!G32="Completo",'Consolidado por área'!L32+ROW()/1000000000,"")</f>
        <v>46296.46072920139</v>
      </c>
      <c r="AQ32" t="str">
        <f>IF('Base Exámenes'!C32="","",IF(COUNTIF('Base Exámenes'!$C$5:$C$1000,'Base Exámenes'!C32)&lt;2,"",MATCH('Base Exámenes'!C32,'Base Exámenes'!$C$5:$C$1000,0)*10000+ROW()))</f>
        <v/>
      </c>
      <c r="BF32" t="str">
        <f>IF(AND('Consolidado por área'!G32="Completo",LEFT(TRIM('Consolidado por área'!A32),7)="AGENCIA"),'Consolidado por área'!L32+ROW()/1000000000,"")</f>
        <v/>
      </c>
    </row>
    <row r="33">
      <c r="A33" t="str">
        <f>IF('Consolidado por área'!A8="","",TRIM('Consolidado por área'!A8))</f>
        <v>AGENCIA CENTRAL</v>
      </c>
      <c r="B33" t="str">
        <f>IF($A33="","",'Consolidado por área'!B8)</f>
        <v>Gerencia de Negocios</v>
      </c>
      <c r="C33">
        <f>IF($A33="","",'Consolidado por área'!C8)</f>
        <v>16</v>
      </c>
      <c r="D33">
        <f>IF($A33="","",'Consolidado por área'!D8)</f>
        <v>16</v>
      </c>
      <c r="E33">
        <f>IF($A33="","",'Consolidado por área'!E8)</f>
        <v>0</v>
      </c>
      <c r="F33">
        <f>IF($A33="","",IF(C33&gt;0,D33/C33,0))</f>
        <v>1</v>
      </c>
      <c r="G33">
        <f>IF($A33="","",F33*1000000+C33*10+(1000-ROW())/10000)</f>
        <v>1000160.0967</v>
      </c>
      <c r="H33">
        <f>IF($A33="","",'Consolidado por área'!H8)</f>
        <v>96.25</v>
      </c>
      <c r="J33" t="n">
        <v>4</v>
      </c>
      <c r="K33">
        <f>IF(J33&gt;COUNT($G$30:$G$109),"",MATCH(LARGE($G$30:$G$109,J33),$G$30:$G$109,0))</f>
        <v>7</v>
      </c>
      <c r="L33" t="str">
        <f>IF($K33="","",INDEX($A$30:$A$109,K33)&amp;"   "&amp;TEXT(INDEX($F$30:$F$109,K33),"0%"))</f>
        <v>AGENCIA MERLIOT   100%</v>
      </c>
      <c r="M33">
        <f>IF($K33="","",INDEX($D$30:$D$109,K33))</f>
        <v>13</v>
      </c>
      <c r="N33">
        <f>IF($K33="","",INDEX($E$30:$E$109,K33))</f>
        <v>0</v>
      </c>
      <c r="O33" t="str">
        <f>IF($K33="","",INDEX($A$30:$A$109,K33))</f>
        <v>AGENCIA MERLIOT</v>
      </c>
      <c r="P33" t="str">
        <f>IF($K33="","",INDEX($B$30:$B$109,K33))</f>
        <v>Gerencia de Negocios</v>
      </c>
      <c r="Q33">
        <f>IF($K33="","",INDEX($C$30:$C$109,K33))</f>
        <v>13</v>
      </c>
      <c r="R33">
        <f>IF($K33="","",INDEX($F$30:$F$109,K33))</f>
        <v>1</v>
      </c>
      <c r="S33">
        <f>IF($K33="","",INDEX($H$30:$H$109,K33))</f>
        <v>95.7692307692308</v>
      </c>
      <c r="T33">
        <f>IF($K33="","",IF(OR('Dashboard Gerencial'!$B$5="Todas las gerencias",P33='Dashboard Gerencial'!$B$5),ROW(),""))</f>
        <v>33</v>
      </c>
      <c r="W33" t="str">
        <f>A57</f>
        <v>DEPARTAMENTO DE SEGURIDAD</v>
      </c>
      <c r="Z33">
        <f>IF('Detalle individual'!A33="","",IF(AND(OR('Estado por Colaborador'!$D$4="Todas las gerencias",'Detalle individual'!D33='Estado por Colaborador'!$D$4),OR('Estado por Colaborador'!$D$5="Todos los departamentos",TRIM('Detalle individual'!C33)='Estado por Colaborador'!$D$5),OR('Estado por Colaborador'!$D$6="Todos",'Detalle individual'!F33='Estado por Colaborador'!$D$6)),IF('Detalle individual'!F33="Completado",30000000,IF('Detalle individual'!F33="Pendiente",0,15000000))+COUNTIF('Detalle individual'!$C$5:$C$1000,"&lt;"&amp;'Detalle individual'!C33)*10000+ROW(),""))</f>
        <v>39180033</v>
      </c>
      <c r="AB33" t="str">
        <f>IF('Detalle individual'!C33="","",IF(COUNTIF('Detalle individual'!$C$5:C33,'Detalle individual'!C33)=1,COUNTIF('Detalle individual'!$C$5:$C$1000,"&lt;"&amp;'Detalle individual'!C33),""))</f>
        <v/>
      </c>
      <c r="AC33" t="str">
        <f>IF('Detalle individual'!D33="","",IF(COUNTIF('Detalle individual'!$D$5:D33,'Detalle individual'!D33)=1,COUNTIF('Detalle individual'!$D$5:$D$1000,"&lt;"&amp;'Detalle individual'!D33),""))</f>
        <v/>
      </c>
      <c r="AE33">
        <f>IFERROR(MATCH(SMALL($AB$5:$AB$1000,29),$AB$5:$AB$1000,0)+4,"")</f>
        <v>165</v>
      </c>
      <c r="AH33" t="str">
        <f>IF('Detalle individual'!F33="Pendiente",COUNTIF('Detalle individual'!$D$5:$D$1000,"&lt;"&amp;'Detalle individual'!D33)*1000000+COUNTIF('Detalle individual'!$C$5:$C$1000,"&lt;"&amp;'Detalle individual'!C33)*1000+COUNTIF('Detalle individual'!$B$5:$B$1000,"&lt;"&amp;'Detalle individual'!B33)+ROW()/10000,"")</f>
        <v/>
      </c>
      <c r="AI33">
        <f>IF('Detalle individual'!F33="Completado",COUNTIF('Detalle individual'!$D$5:$D$1000,"&lt;"&amp;'Detalle individual'!D33)*1000000+COUNTIF('Detalle individual'!$C$5:$C$1000,"&lt;"&amp;'Detalle individual'!C33)*1000+COUNTIF('Detalle individual'!$B$5:$B$1000,"&lt;"&amp;'Detalle individual'!B33)+ROW()/10000,"")</f>
        <v>711918855.0033</v>
      </c>
      <c r="AJ33" t="str">
        <f>IF(AND('Detalle individual'!F33&lt;&gt;"",'Detalle individual'!F33&lt;&gt;"Completado",'Detalle individual'!F33&lt;&gt;"Pendiente"),COUNTIF('Detalle individual'!$D$5:$D$1000,"&lt;"&amp;'Detalle individual'!D33)*1000000+COUNTIF('Detalle individual'!$C$5:$C$1000,"&lt;"&amp;'Detalle individual'!C33)*1000+COUNTIF('Detalle individual'!$B$5:$B$1000,"&lt;"&amp;'Detalle individual'!B33)+ROW()/10000,"")</f>
        <v/>
      </c>
      <c r="AK33">
        <f>IF(OR('Base Exámenes'!C33="",'Base Exámenes'!D33=""),"",IF(COUNTIF('Base Exámenes'!$C$5:C33,'Base Exámenes'!C33)=1,'Base Exámenes'!D33+ROW()/1000000000,""))</f>
        <v>46296.48653938658</v>
      </c>
      <c r="AL33">
        <f>IF(OR('Base Exámenes'!C33="",'Base Exámenes'!E33=""),"",IF(COUNTIF('Base Exámenes'!$C$5:C33,'Base Exámenes'!C33)=1,'Base Exámenes'!E33+ROW()/1000000000,""))</f>
        <v>46296.494953738424</v>
      </c>
      <c r="AM33">
        <f>IF(OR('Base Exámenes'!C33="",'Base Exámenes'!G33=""),"",IF(ROW()-4=MATCH('Base Exámenes'!C33&amp;"|"&amp;_xlfn.MAXIFS('Base Exámenes'!$G$5:$G$1000,'Base Exámenes'!$C$5:$C$1000,'Base Exámenes'!C33),'Base Exámenes'!$I$5:$I$1000,0),'Base Exámenes'!G33*1000000+(-1)*'Base Exámenes'!D33,""))</f>
        <v>99953703.5134607</v>
      </c>
      <c r="AO33">
        <f>IF('Consolidado por área'!G33="Completo",'Consolidado por área'!L33+ROW()/1000000000,"")</f>
        <v>46309.63932873843</v>
      </c>
      <c r="AQ33" t="str">
        <f>IF('Base Exámenes'!C33="","",IF(COUNTIF('Base Exámenes'!$C$5:$C$1000,'Base Exámenes'!C33)&lt;2,"",MATCH('Base Exámenes'!C33,'Base Exámenes'!$C$5:$C$1000,0)*10000+ROW()))</f>
        <v/>
      </c>
      <c r="BF33" t="str">
        <f>IF(AND('Consolidado por área'!G33="Completo",LEFT(TRIM('Consolidado por área'!A33),7)="AGENCIA"),'Consolidado por área'!L33+ROW()/1000000000,"")</f>
        <v/>
      </c>
    </row>
    <row r="34">
      <c r="A34" t="str">
        <f>IF('Consolidado por área'!A9="","",TRIM('Consolidado por área'!A9))</f>
        <v>AGENCIA COLEGIO MEDICO</v>
      </c>
      <c r="B34" t="str">
        <f>IF($A34="","",'Consolidado por área'!B9)</f>
        <v>Gerencia de Negocios</v>
      </c>
      <c r="C34">
        <f>IF($A34="","",'Consolidado por área'!C9)</f>
        <v>11</v>
      </c>
      <c r="D34">
        <f>IF($A34="","",'Consolidado por área'!D9)</f>
        <v>11</v>
      </c>
      <c r="E34">
        <f>IF($A34="","",'Consolidado por área'!E9)</f>
        <v>0</v>
      </c>
      <c r="F34">
        <f>IF($A34="","",IF(C34&gt;0,D34/C34,0))</f>
        <v>1</v>
      </c>
      <c r="G34">
        <f>IF($A34="","",F34*1000000+C34*10+(1000-ROW())/10000)</f>
        <v>1000110.0966</v>
      </c>
      <c r="H34">
        <f>IF($A34="","",'Consolidado por área'!H9)</f>
        <v>97.2727272727273</v>
      </c>
      <c r="J34" t="n">
        <v>5</v>
      </c>
      <c r="K34">
        <f>IF(J34&gt;COUNT($G$30:$G$109),"",MATCH(LARGE($G$30:$G$109,J34),$G$30:$G$109,0))</f>
        <v>19</v>
      </c>
      <c r="L34" t="str">
        <f>IF($K34="","",INDEX($A$30:$A$109,K34)&amp;"   "&amp;TEXT(INDEX($F$30:$F$109,K34),"0%"))</f>
        <v>DEPARTAMENTO DE CONTABILIDAD   100%</v>
      </c>
      <c r="M34">
        <f>IF($K34="","",INDEX($D$30:$D$109,K34))</f>
        <v>13</v>
      </c>
      <c r="N34">
        <f>IF($K34="","",INDEX($E$30:$E$109,K34))</f>
        <v>0</v>
      </c>
      <c r="O34" t="str">
        <f>IF($K34="","",INDEX($A$30:$A$109,K34))</f>
        <v>DEPARTAMENTO DE CONTABILIDAD</v>
      </c>
      <c r="P34" t="str">
        <f>IF($K34="","",INDEX($B$30:$B$109,K34))</f>
        <v>Gerencia de Finanzas y Planificación</v>
      </c>
      <c r="Q34">
        <f>IF($K34="","",INDEX($C$30:$C$109,K34))</f>
        <v>13</v>
      </c>
      <c r="R34">
        <f>IF($K34="","",INDEX($F$30:$F$109,K34))</f>
        <v>1</v>
      </c>
      <c r="S34">
        <f>IF($K34="","",INDEX($H$30:$H$109,K34))</f>
        <v>98.0769230769231</v>
      </c>
      <c r="T34">
        <f>IF($K34="","",IF(OR('Dashboard Gerencial'!$B$5="Todas las gerencias",P34='Dashboard Gerencial'!$B$5),ROW(),""))</f>
        <v>34</v>
      </c>
      <c r="W34" t="str">
        <f>A58</f>
        <v>DEPARTAMENTO DE SEGUROS</v>
      </c>
      <c r="Z34">
        <f>IF('Detalle individual'!A34="","",IF(AND(OR('Estado por Colaborador'!$D$4="Todas las gerencias",'Detalle individual'!D34='Estado por Colaborador'!$D$4),OR('Estado por Colaborador'!$D$5="Todos los departamentos",TRIM('Detalle individual'!C34)='Estado por Colaborador'!$D$5),OR('Estado por Colaborador'!$D$6="Todos",'Detalle individual'!F34='Estado por Colaborador'!$D$6)),IF('Detalle individual'!F34="Completado",30000000,IF('Detalle individual'!F34="Pendiente",0,15000000))+COUNTIF('Detalle individual'!$C$5:$C$1000,"&lt;"&amp;'Detalle individual'!C34)*10000+ROW(),""))</f>
        <v>39180034</v>
      </c>
      <c r="AB34" t="str">
        <f>IF('Detalle individual'!C34="","",IF(COUNTIF('Detalle individual'!$C$5:C34,'Detalle individual'!C34)=1,COUNTIF('Detalle individual'!$C$5:$C$1000,"&lt;"&amp;'Detalle individual'!C34),""))</f>
        <v/>
      </c>
      <c r="AC34" t="str">
        <f>IF('Detalle individual'!D34="","",IF(COUNTIF('Detalle individual'!$D$5:D34,'Detalle individual'!D34)=1,COUNTIF('Detalle individual'!$D$5:$D$1000,"&lt;"&amp;'Detalle individual'!D34),""))</f>
        <v/>
      </c>
      <c r="AE34">
        <f>IFERROR(MATCH(SMALL($AB$5:$AB$1000,30),$AB$5:$AB$1000,0)+4,"")</f>
        <v>26</v>
      </c>
      <c r="AH34" t="str">
        <f>IF('Detalle individual'!F34="Pendiente",COUNTIF('Detalle individual'!$D$5:$D$1000,"&lt;"&amp;'Detalle individual'!D34)*1000000+COUNTIF('Detalle individual'!$C$5:$C$1000,"&lt;"&amp;'Detalle individual'!C34)*1000+COUNTIF('Detalle individual'!$B$5:$B$1000,"&lt;"&amp;'Detalle individual'!B34)+ROW()/10000,"")</f>
        <v/>
      </c>
      <c r="AI34">
        <f>IF('Detalle individual'!F34="Completado",COUNTIF('Detalle individual'!$D$5:$D$1000,"&lt;"&amp;'Detalle individual'!D34)*1000000+COUNTIF('Detalle individual'!$C$5:$C$1000,"&lt;"&amp;'Detalle individual'!C34)*1000+COUNTIF('Detalle individual'!$B$5:$B$1000,"&lt;"&amp;'Detalle individual'!B34)+ROW()/10000,"")</f>
        <v>711918900.0034</v>
      </c>
      <c r="AJ34" t="str">
        <f>IF(AND('Detalle individual'!F34&lt;&gt;"",'Detalle individual'!F34&lt;&gt;"Completado",'Detalle individual'!F34&lt;&gt;"Pendiente"),COUNTIF('Detalle individual'!$D$5:$D$1000,"&lt;"&amp;'Detalle individual'!D34)*1000000+COUNTIF('Detalle individual'!$C$5:$C$1000,"&lt;"&amp;'Detalle individual'!C34)*1000+COUNTIF('Detalle individual'!$B$5:$B$1000,"&lt;"&amp;'Detalle individual'!B34)+ROW()/10000,"")</f>
        <v/>
      </c>
      <c r="AK34">
        <f>IF(OR('Base Exámenes'!C34="",'Base Exámenes'!D34=""),"",IF(COUNTIF('Base Exámenes'!$C$5:C34,'Base Exámenes'!C34)=1,'Base Exámenes'!D34+ROW()/1000000000,""))</f>
        <v>46296.491111145835</v>
      </c>
      <c r="AL34">
        <f>IF(OR('Base Exámenes'!C34="",'Base Exámenes'!E34=""),"",IF(COUNTIF('Base Exámenes'!$C$5:C34,'Base Exámenes'!C34)=1,'Base Exámenes'!E34+ROW()/1000000000,""))</f>
        <v>46296.49747688657</v>
      </c>
      <c r="AM34">
        <f>IF(OR('Base Exámenes'!C34="",'Base Exámenes'!G34=""),"",IF(ROW()-4=MATCH('Base Exámenes'!C34&amp;"|"&amp;_xlfn.MAXIFS('Base Exámenes'!$G$5:$G$1000,'Base Exámenes'!$C$5:$C$1000,'Base Exámenes'!C34),'Base Exámenes'!$I$5:$I$1000,0),'Base Exámenes'!G34*1000000+(-1)*'Base Exámenes'!D34,""))</f>
        <v>99953703.5088889</v>
      </c>
      <c r="AO34">
        <f>IF('Consolidado por área'!G34="Completo",'Consolidado por área'!L34+ROW()/1000000000,"")</f>
        <v>46307.402291701386</v>
      </c>
      <c r="AQ34" t="str">
        <f>IF('Base Exámenes'!C34="","",IF(COUNTIF('Base Exámenes'!$C$5:$C$1000,'Base Exámenes'!C34)&lt;2,"",MATCH('Base Exámenes'!C34,'Base Exámenes'!$C$5:$C$1000,0)*10000+ROW()))</f>
        <v/>
      </c>
      <c r="BF34" t="str">
        <f>IF(AND('Consolidado por área'!G34="Completo",LEFT(TRIM('Consolidado por área'!A34),7)="AGENCIA"),'Consolidado por área'!L34+ROW()/1000000000,"")</f>
        <v/>
      </c>
    </row>
    <row r="35">
      <c r="A35" t="str">
        <f>IF('Consolidado por área'!A10="","",TRIM('Consolidado por área'!A10))</f>
        <v>AGENCIA COLONIA MEDICA</v>
      </c>
      <c r="B35" t="str">
        <f>IF($A35="","",'Consolidado por área'!B10)</f>
        <v>Gerencia de Negocios</v>
      </c>
      <c r="C35">
        <f>IF($A35="","",'Consolidado por área'!C10)</f>
        <v>16</v>
      </c>
      <c r="D35">
        <f>IF($A35="","",'Consolidado por área'!D10)</f>
        <v>16</v>
      </c>
      <c r="E35">
        <f>IF($A35="","",'Consolidado por área'!E10)</f>
        <v>0</v>
      </c>
      <c r="F35">
        <f>IF($A35="","",IF(C35&gt;0,D35/C35,0))</f>
        <v>1</v>
      </c>
      <c r="G35">
        <f>IF($A35="","",F35*1000000+C35*10+(1000-ROW())/10000)</f>
        <v>1000160.0965</v>
      </c>
      <c r="H35">
        <f>IF($A35="","",'Consolidado por área'!H10)</f>
        <v>97.8125</v>
      </c>
      <c r="J35" t="n">
        <v>6</v>
      </c>
      <c r="K35">
        <f>IF(J35&gt;COUNT($G$30:$G$109),"",MATCH(LARGE($G$30:$G$109,J35),$G$30:$G$109,0))</f>
        <v>20</v>
      </c>
      <c r="L35" t="str">
        <f>IF($K35="","",INDEX($A$30:$A$109,K35)&amp;"   "&amp;TEXT(INDEX($F$30:$F$109,K35),"0%"))</f>
        <v>DEPARTAMENTO DE CREDITOS   100%</v>
      </c>
      <c r="M35">
        <f>IF($K35="","",INDEX($D$30:$D$109,K35))</f>
        <v>13</v>
      </c>
      <c r="N35">
        <f>IF($K35="","",INDEX($E$30:$E$109,K35))</f>
        <v>0</v>
      </c>
      <c r="O35" t="str">
        <f>IF($K35="","",INDEX($A$30:$A$109,K35))</f>
        <v>DEPARTAMENTO DE CREDITOS</v>
      </c>
      <c r="P35" t="str">
        <f>IF($K35="","",INDEX($B$30:$B$109,K35))</f>
        <v>Gerencia de Negocios</v>
      </c>
      <c r="Q35">
        <f>IF($K35="","",INDEX($C$30:$C$109,K35))</f>
        <v>13</v>
      </c>
      <c r="R35">
        <f>IF($K35="","",INDEX($F$30:$F$109,K35))</f>
        <v>1</v>
      </c>
      <c r="S35">
        <f>IF($K35="","",INDEX($H$30:$H$109,K35))</f>
        <v>98.4615384615385</v>
      </c>
      <c r="T35">
        <f>IF($K35="","",IF(OR('Dashboard Gerencial'!$B$5="Todas las gerencias",P35='Dashboard Gerencial'!$B$5),ROW(),""))</f>
        <v>35</v>
      </c>
      <c r="W35" t="str">
        <f>A59</f>
        <v>DEPARTAMENTO DE SERVICIOS GENERALES</v>
      </c>
      <c r="Z35">
        <f>IF('Detalle individual'!A35="","",IF(AND(OR('Estado por Colaborador'!$D$4="Todas las gerencias",'Detalle individual'!D35='Estado por Colaborador'!$D$4),OR('Estado por Colaborador'!$D$5="Todos los departamentos",TRIM('Detalle individual'!C35)='Estado por Colaborador'!$D$5),OR('Estado por Colaborador'!$D$6="Todos",'Detalle individual'!F35='Estado por Colaborador'!$D$6)),IF('Detalle individual'!F35="Completado",30000000,IF('Detalle individual'!F35="Pendiente",0,15000000))+COUNTIF('Detalle individual'!$C$5:$C$1000,"&lt;"&amp;'Detalle individual'!C35)*10000+ROW(),""))</f>
        <v>39180035</v>
      </c>
      <c r="AB35" t="str">
        <f>IF('Detalle individual'!C35="","",IF(COUNTIF('Detalle individual'!$C$5:C35,'Detalle individual'!C35)=1,COUNTIF('Detalle individual'!$C$5:$C$1000,"&lt;"&amp;'Detalle individual'!C35),""))</f>
        <v/>
      </c>
      <c r="AC35" t="str">
        <f>IF('Detalle individual'!D35="","",IF(COUNTIF('Detalle individual'!$D$5:D35,'Detalle individual'!D35)=1,COUNTIF('Detalle individual'!$D$5:$D$1000,"&lt;"&amp;'Detalle individual'!D35),""))</f>
        <v/>
      </c>
      <c r="AE35">
        <f>IFERROR(MATCH(SMALL($AB$5:$AB$1000,31),$AB$5:$AB$1000,0)+4,"")</f>
        <v>59</v>
      </c>
      <c r="AH35" t="str">
        <f>IF('Detalle individual'!F35="Pendiente",COUNTIF('Detalle individual'!$D$5:$D$1000,"&lt;"&amp;'Detalle individual'!D35)*1000000+COUNTIF('Detalle individual'!$C$5:$C$1000,"&lt;"&amp;'Detalle individual'!C35)*1000+COUNTIF('Detalle individual'!$B$5:$B$1000,"&lt;"&amp;'Detalle individual'!B35)+ROW()/10000,"")</f>
        <v/>
      </c>
      <c r="AI35">
        <f>IF('Detalle individual'!F35="Completado",COUNTIF('Detalle individual'!$D$5:$D$1000,"&lt;"&amp;'Detalle individual'!D35)*1000000+COUNTIF('Detalle individual'!$C$5:$C$1000,"&lt;"&amp;'Detalle individual'!C35)*1000+COUNTIF('Detalle individual'!$B$5:$B$1000,"&lt;"&amp;'Detalle individual'!B35)+ROW()/10000,"")</f>
        <v>711918816.0035</v>
      </c>
      <c r="AJ35" t="str">
        <f>IF(AND('Detalle individual'!F35&lt;&gt;"",'Detalle individual'!F35&lt;&gt;"Completado",'Detalle individual'!F35&lt;&gt;"Pendiente"),COUNTIF('Detalle individual'!$D$5:$D$1000,"&lt;"&amp;'Detalle individual'!D35)*1000000+COUNTIF('Detalle individual'!$C$5:$C$1000,"&lt;"&amp;'Detalle individual'!C35)*1000+COUNTIF('Detalle individual'!$B$5:$B$1000,"&lt;"&amp;'Detalle individual'!B35)+ROW()/10000,"")</f>
        <v/>
      </c>
      <c r="AK35">
        <f>IF(OR('Base Exámenes'!C35="",'Base Exámenes'!D35=""),"",IF(COUNTIF('Base Exámenes'!$C$5:C35,'Base Exámenes'!C35)=1,'Base Exámenes'!D35+ROW()/1000000000,""))</f>
        <v>46296.54665512731</v>
      </c>
      <c r="AL35">
        <f>IF(OR('Base Exámenes'!C35="",'Base Exámenes'!E35=""),"",IF(COUNTIF('Base Exámenes'!$C$5:C35,'Base Exámenes'!C35)=1,'Base Exámenes'!E35+ROW()/1000000000,""))</f>
        <v>46296.55247688657</v>
      </c>
      <c r="AM35">
        <f>IF(OR('Base Exámenes'!C35="",'Base Exámenes'!G35=""),"",IF(ROW()-4=MATCH('Base Exámenes'!C35&amp;"|"&amp;_xlfn.MAXIFS('Base Exámenes'!$G$5:$G$1000,'Base Exámenes'!$C$5:$C$1000,'Base Exámenes'!C35),'Base Exámenes'!$I$5:$I$1000,0),'Base Exámenes'!G35*1000000+(-1)*'Base Exámenes'!D35,""))</f>
        <v>69953703.4533449</v>
      </c>
      <c r="AO35">
        <f>IF('Consolidado por área'!G35="Completo",'Consolidado por área'!L35+ROW()/1000000000,"")</f>
        <v>46309.38841438657</v>
      </c>
      <c r="AQ35" t="str">
        <f>IF('Base Exámenes'!C35="","",IF(COUNTIF('Base Exámenes'!$C$5:$C$1000,'Base Exámenes'!C35)&lt;2,"",MATCH('Base Exámenes'!C35,'Base Exámenes'!$C$5:$C$1000,0)*10000+ROW()))</f>
        <v/>
      </c>
      <c r="BF35" t="str">
        <f>IF(AND('Consolidado por área'!G35="Completo",LEFT(TRIM('Consolidado por área'!A35),7)="AGENCIA"),'Consolidado por área'!L35+ROW()/1000000000,"")</f>
        <v/>
      </c>
    </row>
    <row r="36">
      <c r="A36" t="str">
        <f>IF('Consolidado por área'!A11="","",TRIM('Consolidado por área'!A11))</f>
        <v>AGENCIA MERLIOT</v>
      </c>
      <c r="B36" t="str">
        <f>IF($A36="","",'Consolidado por área'!B11)</f>
        <v>Gerencia de Negocios</v>
      </c>
      <c r="C36">
        <f>IF($A36="","",'Consolidado por área'!C11)</f>
        <v>13</v>
      </c>
      <c r="D36">
        <f>IF($A36="","",'Consolidado por área'!D11)</f>
        <v>13</v>
      </c>
      <c r="E36">
        <f>IF($A36="","",'Consolidado por área'!E11)</f>
        <v>0</v>
      </c>
      <c r="F36">
        <f>IF($A36="","",IF(C36&gt;0,D36/C36,0))</f>
        <v>1</v>
      </c>
      <c r="G36">
        <f>IF($A36="","",F36*1000000+C36*10+(1000-ROW())/10000)</f>
        <v>1000130.0964</v>
      </c>
      <c r="H36">
        <f>IF($A36="","",'Consolidado por área'!H11)</f>
        <v>95.7692307692308</v>
      </c>
      <c r="J36" t="n">
        <v>7</v>
      </c>
      <c r="K36">
        <f>IF(J36&gt;COUNT($G$30:$G$109),"",MATCH(LARGE($G$30:$G$109,J36),$G$30:$G$109,0))</f>
        <v>5</v>
      </c>
      <c r="L36" t="str">
        <f>IF($K36="","",INDEX($A$30:$A$109,K36)&amp;"   "&amp;TEXT(INDEX($F$30:$F$109,K36),"0%"))</f>
        <v>AGENCIA COLEGIO MEDICO   100%</v>
      </c>
      <c r="M36">
        <f>IF($K36="","",INDEX($D$30:$D$109,K36))</f>
        <v>11</v>
      </c>
      <c r="N36">
        <f>IF($K36="","",INDEX($E$30:$E$109,K36))</f>
        <v>0</v>
      </c>
      <c r="O36" t="str">
        <f>IF($K36="","",INDEX($A$30:$A$109,K36))</f>
        <v>AGENCIA COLEGIO MEDICO</v>
      </c>
      <c r="P36" t="str">
        <f>IF($K36="","",INDEX($B$30:$B$109,K36))</f>
        <v>Gerencia de Negocios</v>
      </c>
      <c r="Q36">
        <f>IF($K36="","",INDEX($C$30:$C$109,K36))</f>
        <v>11</v>
      </c>
      <c r="R36">
        <f>IF($K36="","",INDEX($F$30:$F$109,K36))</f>
        <v>1</v>
      </c>
      <c r="S36">
        <f>IF($K36="","",INDEX($H$30:$H$109,K36))</f>
        <v>97.2727272727273</v>
      </c>
      <c r="T36">
        <f>IF($K36="","",IF(OR('Dashboard Gerencial'!$B$5="Todas las gerencias",P36='Dashboard Gerencial'!$B$5),ROW(),""))</f>
        <v>36</v>
      </c>
      <c r="W36" t="str">
        <f>A60</f>
        <v>DEPARTAMENTO DE SOLUCIONES FINANCIERAS</v>
      </c>
      <c r="Z36">
        <f>IF('Detalle individual'!A36="","",IF(AND(OR('Estado por Colaborador'!$D$4="Todas las gerencias",'Detalle individual'!D36='Estado por Colaborador'!$D$4),OR('Estado por Colaborador'!$D$5="Todos los departamentos",TRIM('Detalle individual'!C36)='Estado por Colaborador'!$D$5),OR('Estado por Colaborador'!$D$6="Todos",'Detalle individual'!F36='Estado por Colaborador'!$D$6)),IF('Detalle individual'!F36="Completado",30000000,IF('Detalle individual'!F36="Pendiente",0,15000000))+COUNTIF('Detalle individual'!$C$5:$C$1000,"&lt;"&amp;'Detalle individual'!C36)*10000+ROW(),""))</f>
        <v>39180036</v>
      </c>
      <c r="AB36" t="str">
        <f>IF('Detalle individual'!C36="","",IF(COUNTIF('Detalle individual'!$C$5:C36,'Detalle individual'!C36)=1,COUNTIF('Detalle individual'!$C$5:$C$1000,"&lt;"&amp;'Detalle individual'!C36),""))</f>
        <v/>
      </c>
      <c r="AC36" t="str">
        <f>IF('Detalle individual'!D36="","",IF(COUNTIF('Detalle individual'!$D$5:D36,'Detalle individual'!D36)=1,COUNTIF('Detalle individual'!$D$5:$D$1000,"&lt;"&amp;'Detalle individual'!D36),""))</f>
        <v/>
      </c>
      <c r="AE36">
        <f>IFERROR(MATCH(SMALL($AB$5:$AB$1000,32),$AB$5:$AB$1000,0)+4,"")</f>
        <v>49</v>
      </c>
      <c r="AH36" t="str">
        <f>IF('Detalle individual'!F36="Pendiente",COUNTIF('Detalle individual'!$D$5:$D$1000,"&lt;"&amp;'Detalle individual'!D36)*1000000+COUNTIF('Detalle individual'!$C$5:$C$1000,"&lt;"&amp;'Detalle individual'!C36)*1000+COUNTIF('Detalle individual'!$B$5:$B$1000,"&lt;"&amp;'Detalle individual'!B36)+ROW()/10000,"")</f>
        <v/>
      </c>
      <c r="AI36">
        <f>IF('Detalle individual'!F36="Completado",COUNTIF('Detalle individual'!$D$5:$D$1000,"&lt;"&amp;'Detalle individual'!D36)*1000000+COUNTIF('Detalle individual'!$C$5:$C$1000,"&lt;"&amp;'Detalle individual'!C36)*1000+COUNTIF('Detalle individual'!$B$5:$B$1000,"&lt;"&amp;'Detalle individual'!B36)+ROW()/10000,"")</f>
        <v>711918749.0036</v>
      </c>
      <c r="AJ36" t="str">
        <f>IF(AND('Detalle individual'!F36&lt;&gt;"",'Detalle individual'!F36&lt;&gt;"Completado",'Detalle individual'!F36&lt;&gt;"Pendiente"),COUNTIF('Detalle individual'!$D$5:$D$1000,"&lt;"&amp;'Detalle individual'!D36)*1000000+COUNTIF('Detalle individual'!$C$5:$C$1000,"&lt;"&amp;'Detalle individual'!C36)*1000+COUNTIF('Detalle individual'!$B$5:$B$1000,"&lt;"&amp;'Detalle individual'!B36)+ROW()/10000,"")</f>
        <v/>
      </c>
      <c r="AK36">
        <f>IF(OR('Base Exámenes'!C36="",'Base Exámenes'!D36=""),"",IF(COUNTIF('Base Exámenes'!$C$5:C36,'Base Exámenes'!C36)=1,'Base Exámenes'!D36+ROW()/1000000000,""))</f>
        <v>46296.56951392361</v>
      </c>
      <c r="AL36">
        <f>IF(OR('Base Exámenes'!C36="",'Base Exámenes'!E36=""),"",IF(COUNTIF('Base Exámenes'!$C$5:C36,'Base Exámenes'!C36)=1,'Base Exámenes'!E36+ROW()/1000000000,""))</f>
        <v>46296.57800929398</v>
      </c>
      <c r="AM36">
        <f>IF(OR('Base Exámenes'!C36="",'Base Exámenes'!G36=""),"",IF(ROW()-4=MATCH('Base Exámenes'!C36&amp;"|"&amp;_xlfn.MAXIFS('Base Exámenes'!$G$5:$G$1000,'Base Exámenes'!$C$5:$C$1000,'Base Exámenes'!C36),'Base Exámenes'!$I$5:$I$1000,0),'Base Exámenes'!G36*1000000+(-1)*'Base Exámenes'!D36,""))</f>
        <v>99953703.4304861</v>
      </c>
      <c r="AO36">
        <f>IF('Consolidado por área'!G36="Completo",'Consolidado por área'!L36+ROW()/1000000000,"")</f>
        <v>46304.521423645834</v>
      </c>
      <c r="AQ36" t="str">
        <f>IF('Base Exámenes'!C36="","",IF(COUNTIF('Base Exámenes'!$C$5:$C$1000,'Base Exámenes'!C36)&lt;2,"",MATCH('Base Exámenes'!C36,'Base Exámenes'!$C$5:$C$1000,0)*10000+ROW()))</f>
        <v/>
      </c>
      <c r="BF36" t="str">
        <f>IF(AND('Consolidado por área'!G36="Completo",LEFT(TRIM('Consolidado por área'!A36),7)="AGENCIA"),'Consolidado por área'!L36+ROW()/1000000000,"")</f>
        <v/>
      </c>
    </row>
    <row r="37">
      <c r="A37" t="str">
        <f>IF('Consolidado por área'!A12="","",TRIM('Consolidado por área'!A12))</f>
        <v>AGENCIA PLAZA MUNDO</v>
      </c>
      <c r="B37" t="str">
        <f>IF($A37="","",'Consolidado por área'!B12)</f>
        <v>Gerencia de Negocios</v>
      </c>
      <c r="C37">
        <f>IF($A37="","",'Consolidado por área'!C12)</f>
        <v>8</v>
      </c>
      <c r="D37">
        <f>IF($A37="","",'Consolidado por área'!D12)</f>
        <v>8</v>
      </c>
      <c r="E37">
        <f>IF($A37="","",'Consolidado por área'!E12)</f>
        <v>0</v>
      </c>
      <c r="F37">
        <f>IF($A37="","",IF(C37&gt;0,D37/C37,0))</f>
        <v>1</v>
      </c>
      <c r="G37">
        <f>IF($A37="","",F37*1000000+C37*10+(1000-ROW())/10000)</f>
        <v>1000080.0963</v>
      </c>
      <c r="H37">
        <f>IF($A37="","",'Consolidado por área'!H12)</f>
        <v>98.75</v>
      </c>
      <c r="J37" t="n">
        <v>8</v>
      </c>
      <c r="K37">
        <f>IF(J37&gt;COUNT($G$30:$G$109),"",MATCH(LARGE($G$30:$G$109,J37),$G$30:$G$109,0))</f>
        <v>16</v>
      </c>
      <c r="L37" t="str">
        <f>IF($K37="","",INDEX($A$30:$A$109,K37)&amp;"   "&amp;TEXT(INDEX($F$30:$F$109,K37),"0%"))</f>
        <v>DEPARTAMENTO DE ANALISIS Y PROGRAMACIÓN   100%</v>
      </c>
      <c r="M37">
        <f>IF($K37="","",INDEX($D$30:$D$109,K37))</f>
        <v>11</v>
      </c>
      <c r="N37">
        <f>IF($K37="","",INDEX($E$30:$E$109,K37))</f>
        <v>0</v>
      </c>
      <c r="O37" t="str">
        <f>IF($K37="","",INDEX($A$30:$A$109,K37))</f>
        <v>DEPARTAMENTO DE ANALISIS Y PROGRAMACIÓN</v>
      </c>
      <c r="P37" t="str">
        <f>IF($K37="","",INDEX($B$30:$B$109,K37))</f>
        <v>Gerencia de Sistemas</v>
      </c>
      <c r="Q37">
        <f>IF($K37="","",INDEX($C$30:$C$109,K37))</f>
        <v>11</v>
      </c>
      <c r="R37">
        <f>IF($K37="","",INDEX($F$30:$F$109,K37))</f>
        <v>1</v>
      </c>
      <c r="S37">
        <f>IF($K37="","",INDEX($H$30:$H$109,K37))</f>
        <v>100</v>
      </c>
      <c r="T37">
        <f>IF($K37="","",IF(OR('Dashboard Gerencial'!$B$5="Todas las gerencias",P37='Dashboard Gerencial'!$B$5),ROW(),""))</f>
        <v>37</v>
      </c>
      <c r="W37" t="str">
        <f>A61</f>
        <v>DEPARTAMENTO DE TALENTO HUMANO</v>
      </c>
      <c r="Z37">
        <f>IF('Detalle individual'!A37="","",IF(AND(OR('Estado por Colaborador'!$D$4="Todas las gerencias",'Detalle individual'!D37='Estado por Colaborador'!$D$4),OR('Estado por Colaborador'!$D$5="Todos los departamentos",TRIM('Detalle individual'!C37)='Estado por Colaborador'!$D$5),OR('Estado por Colaborador'!$D$6="Todos",'Detalle individual'!F37='Estado por Colaborador'!$D$6)),IF('Detalle individual'!F37="Completado",30000000,IF('Detalle individual'!F37="Pendiente",0,15000000))+COUNTIF('Detalle individual'!$C$5:$C$1000,"&lt;"&amp;'Detalle individual'!C37)*10000+ROW(),""))</f>
        <v>39180037</v>
      </c>
      <c r="AB37" t="str">
        <f>IF('Detalle individual'!C37="","",IF(COUNTIF('Detalle individual'!$C$5:C37,'Detalle individual'!C37)=1,COUNTIF('Detalle individual'!$C$5:$C$1000,"&lt;"&amp;'Detalle individual'!C37),""))</f>
        <v/>
      </c>
      <c r="AC37" t="str">
        <f>IF('Detalle individual'!D37="","",IF(COUNTIF('Detalle individual'!$D$5:D37,'Detalle individual'!D37)=1,COUNTIF('Detalle individual'!$D$5:$D$1000,"&lt;"&amp;'Detalle individual'!D37),""))</f>
        <v/>
      </c>
      <c r="AE37">
        <f>IFERROR(MATCH(SMALL($AB$5:$AB$1000,33),$AB$5:$AB$1000,0)+4,"")</f>
        <v>69</v>
      </c>
      <c r="AH37" t="str">
        <f>IF('Detalle individual'!F37="Pendiente",COUNTIF('Detalle individual'!$D$5:$D$1000,"&lt;"&amp;'Detalle individual'!D37)*1000000+COUNTIF('Detalle individual'!$C$5:$C$1000,"&lt;"&amp;'Detalle individual'!C37)*1000+COUNTIF('Detalle individual'!$B$5:$B$1000,"&lt;"&amp;'Detalle individual'!B37)+ROW()/10000,"")</f>
        <v/>
      </c>
      <c r="AI37">
        <f>IF('Detalle individual'!F37="Completado",COUNTIF('Detalle individual'!$D$5:$D$1000,"&lt;"&amp;'Detalle individual'!D37)*1000000+COUNTIF('Detalle individual'!$C$5:$C$1000,"&lt;"&amp;'Detalle individual'!C37)*1000+COUNTIF('Detalle individual'!$B$5:$B$1000,"&lt;"&amp;'Detalle individual'!B37)+ROW()/10000,"")</f>
        <v>711918800.0037</v>
      </c>
      <c r="AJ37" t="str">
        <f>IF(AND('Detalle individual'!F37&lt;&gt;"",'Detalle individual'!F37&lt;&gt;"Completado",'Detalle individual'!F37&lt;&gt;"Pendiente"),COUNTIF('Detalle individual'!$D$5:$D$1000,"&lt;"&amp;'Detalle individual'!D37)*1000000+COUNTIF('Detalle individual'!$C$5:$C$1000,"&lt;"&amp;'Detalle individual'!C37)*1000+COUNTIF('Detalle individual'!$B$5:$B$1000,"&lt;"&amp;'Detalle individual'!B37)+ROW()/10000,"")</f>
        <v/>
      </c>
      <c r="AK37">
        <f>IF(OR('Base Exámenes'!C37="",'Base Exámenes'!D37=""),"",IF(COUNTIF('Base Exámenes'!$C$5:C37,'Base Exámenes'!C37)=1,'Base Exámenes'!D37+ROW()/1000000000,""))</f>
        <v>46296.56962966435</v>
      </c>
      <c r="AL37">
        <f>IF(OR('Base Exámenes'!C37="",'Base Exámenes'!E37=""),"",IF(COUNTIF('Base Exámenes'!$C$5:C37,'Base Exámenes'!C37)=1,'Base Exámenes'!E37+ROW()/1000000000,""))</f>
        <v>46296.5902315162</v>
      </c>
      <c r="AM37">
        <f>IF(OR('Base Exámenes'!C37="",'Base Exámenes'!G37=""),"",IF(ROW()-4=MATCH('Base Exámenes'!C37&amp;"|"&amp;_xlfn.MAXIFS('Base Exámenes'!$G$5:$G$1000,'Base Exámenes'!$C$5:$C$1000,'Base Exámenes'!C37),'Base Exámenes'!$I$5:$I$1000,0),'Base Exámenes'!G37*1000000+(-1)*'Base Exámenes'!D37,""))</f>
        <v>99953703.4303704</v>
      </c>
      <c r="AO37">
        <f>IF('Consolidado por área'!G37="Completo",'Consolidado por área'!L37+ROW()/1000000000,"")</f>
        <v>46311.516226886575</v>
      </c>
      <c r="AQ37" t="str">
        <f>IF('Base Exámenes'!C37="","",IF(COUNTIF('Base Exámenes'!$C$5:$C$1000,'Base Exámenes'!C37)&lt;2,"",MATCH('Base Exámenes'!C37,'Base Exámenes'!$C$5:$C$1000,0)*10000+ROW()))</f>
        <v/>
      </c>
      <c r="BF37" t="str">
        <f>IF(AND('Consolidado por área'!G37="Completo",LEFT(TRIM('Consolidado por área'!A37),7)="AGENCIA"),'Consolidado por área'!L37+ROW()/1000000000,"")</f>
        <v/>
      </c>
    </row>
    <row r="38">
      <c r="A38" t="str">
        <f>IF('Consolidado por área'!A13="","",TRIM('Consolidado por área'!A13))</f>
        <v>AGENCIA SAN MIGUEL</v>
      </c>
      <c r="B38" t="str">
        <f>IF($A38="","",'Consolidado por área'!B13)</f>
        <v>Gerencia de Negocios</v>
      </c>
      <c r="C38">
        <f>IF($A38="","",'Consolidado por área'!C13)</f>
        <v>7</v>
      </c>
      <c r="D38">
        <f>IF($A38="","",'Consolidado por área'!D13)</f>
        <v>7</v>
      </c>
      <c r="E38">
        <f>IF($A38="","",'Consolidado por área'!E13)</f>
        <v>0</v>
      </c>
      <c r="F38">
        <f>IF($A38="","",IF(C38&gt;0,D38/C38,0))</f>
        <v>1</v>
      </c>
      <c r="G38">
        <f>IF($A38="","",F38*1000000+C38*10+(1000-ROW())/10000)</f>
        <v>1000070.0962</v>
      </c>
      <c r="H38">
        <f>IF($A38="","",'Consolidado por área'!H13)</f>
        <v>98.5714285714286</v>
      </c>
      <c r="J38" t="n">
        <v>9</v>
      </c>
      <c r="K38">
        <f>IF(J38&gt;COUNT($G$30:$G$109),"",MATCH(LARGE($G$30:$G$109,J38),$G$30:$G$109,0))</f>
        <v>29</v>
      </c>
      <c r="L38" t="str">
        <f>IF($K38="","",INDEX($A$30:$A$109,K38)&amp;"   "&amp;TEXT(INDEX($F$30:$F$109,K38),"0%"))</f>
        <v>DEPARTAMENTO DE SEGUROS   100%</v>
      </c>
      <c r="M38">
        <f>IF($K38="","",INDEX($D$30:$D$109,K38))</f>
        <v>10</v>
      </c>
      <c r="N38">
        <f>IF($K38="","",INDEX($E$30:$E$109,K38))</f>
        <v>0</v>
      </c>
      <c r="O38" t="str">
        <f>IF($K38="","",INDEX($A$30:$A$109,K38))</f>
        <v>DEPARTAMENTO DE SEGUROS</v>
      </c>
      <c r="P38" t="str">
        <f>IF($K38="","",INDEX($B$30:$B$109,K38))</f>
        <v>Gerencia de Negocios</v>
      </c>
      <c r="Q38">
        <f>IF($K38="","",INDEX($C$30:$C$109,K38))</f>
        <v>10</v>
      </c>
      <c r="R38">
        <f>IF($K38="","",INDEX($F$30:$F$109,K38))</f>
        <v>1</v>
      </c>
      <c r="S38">
        <f>IF($K38="","",INDEX($H$30:$H$109,K38))</f>
        <v>97</v>
      </c>
      <c r="T38">
        <f>IF($K38="","",IF(OR('Dashboard Gerencial'!$B$5="Todas las gerencias",P38='Dashboard Gerencial'!$B$5),ROW(),""))</f>
        <v>38</v>
      </c>
      <c r="W38" t="str">
        <f>A62</f>
        <v>DEPARTAMENTO DE TARJETA DE CREDITO Y DEBITO</v>
      </c>
      <c r="Z38">
        <f>IF('Detalle individual'!A38="","",IF(AND(OR('Estado por Colaborador'!$D$4="Todas las gerencias",'Detalle individual'!D38='Estado por Colaborador'!$D$4),OR('Estado por Colaborador'!$D$5="Todos los departamentos",TRIM('Detalle individual'!C38)='Estado por Colaborador'!$D$5),OR('Estado por Colaborador'!$D$6="Todos",'Detalle individual'!F38='Estado por Colaborador'!$D$6)),IF('Detalle individual'!F38="Completado",30000000,IF('Detalle individual'!F38="Pendiente",0,15000000))+COUNTIF('Detalle individual'!$C$5:$C$1000,"&lt;"&amp;'Detalle individual'!C38)*10000+ROW(),""))</f>
        <v>39180038</v>
      </c>
      <c r="AB38" t="str">
        <f>IF('Detalle individual'!C38="","",IF(COUNTIF('Detalle individual'!$C$5:C38,'Detalle individual'!C38)=1,COUNTIF('Detalle individual'!$C$5:$C$1000,"&lt;"&amp;'Detalle individual'!C38),""))</f>
        <v/>
      </c>
      <c r="AC38" t="str">
        <f>IF('Detalle individual'!D38="","",IF(COUNTIF('Detalle individual'!$D$5:D38,'Detalle individual'!D38)=1,COUNTIF('Detalle individual'!$D$5:$D$1000,"&lt;"&amp;'Detalle individual'!D38),""))</f>
        <v/>
      </c>
      <c r="AE38">
        <f>IFERROR(MATCH(SMALL($AB$5:$AB$1000,34),$AB$5:$AB$1000,0)+4,"")</f>
        <v>288</v>
      </c>
      <c r="AH38" t="str">
        <f>IF('Detalle individual'!F38="Pendiente",COUNTIF('Detalle individual'!$D$5:$D$1000,"&lt;"&amp;'Detalle individual'!D38)*1000000+COUNTIF('Detalle individual'!$C$5:$C$1000,"&lt;"&amp;'Detalle individual'!C38)*1000+COUNTIF('Detalle individual'!$B$5:$B$1000,"&lt;"&amp;'Detalle individual'!B38)+ROW()/10000,"")</f>
        <v/>
      </c>
      <c r="AI38">
        <f>IF('Detalle individual'!F38="Completado",COUNTIF('Detalle individual'!$D$5:$D$1000,"&lt;"&amp;'Detalle individual'!D38)*1000000+COUNTIF('Detalle individual'!$C$5:$C$1000,"&lt;"&amp;'Detalle individual'!C38)*1000+COUNTIF('Detalle individual'!$B$5:$B$1000,"&lt;"&amp;'Detalle individual'!B38)+ROW()/10000,"")</f>
        <v>711918843.0038</v>
      </c>
      <c r="AJ38" t="str">
        <f>IF(AND('Detalle individual'!F38&lt;&gt;"",'Detalle individual'!F38&lt;&gt;"Completado",'Detalle individual'!F38&lt;&gt;"Pendiente"),COUNTIF('Detalle individual'!$D$5:$D$1000,"&lt;"&amp;'Detalle individual'!D38)*1000000+COUNTIF('Detalle individual'!$C$5:$C$1000,"&lt;"&amp;'Detalle individual'!C38)*1000+COUNTIF('Detalle individual'!$B$5:$B$1000,"&lt;"&amp;'Detalle individual'!B38)+ROW()/10000,"")</f>
        <v/>
      </c>
      <c r="AK38">
        <f>IF(OR('Base Exámenes'!C38="",'Base Exámenes'!D38=""),"",IF(COUNTIF('Base Exámenes'!$C$5:C38,'Base Exámenes'!C38)=1,'Base Exámenes'!D38+ROW()/1000000000,""))</f>
        <v>46296.61756947917</v>
      </c>
      <c r="AL38">
        <f>IF(OR('Base Exámenes'!C38="",'Base Exámenes'!E38=""),"",IF(COUNTIF('Base Exámenes'!$C$5:C38,'Base Exámenes'!C38)=1,'Base Exámenes'!E38+ROW()/1000000000,""))</f>
        <v>46296.62321762731</v>
      </c>
      <c r="AM38">
        <f>IF(OR('Base Exámenes'!C38="",'Base Exámenes'!G38=""),"",IF(ROW()-4=MATCH('Base Exámenes'!C38&amp;"|"&amp;_xlfn.MAXIFS('Base Exámenes'!$G$5:$G$1000,'Base Exámenes'!$C$5:$C$1000,'Base Exámenes'!C38),'Base Exámenes'!$I$5:$I$1000,0),'Base Exámenes'!G38*1000000+(-1)*'Base Exámenes'!D38,""))</f>
        <v>99953703.3824306</v>
      </c>
      <c r="AO38">
        <f>IF('Consolidado por área'!G38="Completo",'Consolidado por área'!L38+ROW()/1000000000,"")</f>
        <v>46308.62107642361</v>
      </c>
      <c r="AQ38" t="str">
        <f>IF('Base Exámenes'!C38="","",IF(COUNTIF('Base Exámenes'!$C$5:$C$1000,'Base Exámenes'!C38)&lt;2,"",MATCH('Base Exámenes'!C38,'Base Exámenes'!$C$5:$C$1000,0)*10000+ROW()))</f>
        <v/>
      </c>
      <c r="BF38" t="str">
        <f>IF(AND('Consolidado por área'!G38="Completo",LEFT(TRIM('Consolidado por área'!A38),7)="AGENCIA"),'Consolidado por área'!L38+ROW()/1000000000,"")</f>
        <v/>
      </c>
    </row>
    <row r="39">
      <c r="A39" t="str">
        <f>IF('Consolidado por área'!A14="","",TRIM('Consolidado por área'!A14))</f>
        <v>AGENCIA SANTA ANA</v>
      </c>
      <c r="B39" t="str">
        <f>IF($A39="","",'Consolidado por área'!B14)</f>
        <v>Gerencia de Negocios</v>
      </c>
      <c r="C39">
        <f>IF($A39="","",'Consolidado por área'!C14)</f>
        <v>8</v>
      </c>
      <c r="D39">
        <f>IF($A39="","",'Consolidado por área'!D14)</f>
        <v>8</v>
      </c>
      <c r="E39">
        <f>IF($A39="","",'Consolidado por área'!E14)</f>
        <v>0</v>
      </c>
      <c r="F39">
        <f>IF($A39="","",IF(C39&gt;0,D39/C39,0))</f>
        <v>1</v>
      </c>
      <c r="G39">
        <f>IF($A39="","",F39*1000000+C39*10+(1000-ROW())/10000)</f>
        <v>1000080.0961</v>
      </c>
      <c r="H39">
        <f>IF($A39="","",'Consolidado por área'!H14)</f>
        <v>97.5</v>
      </c>
      <c r="J39" t="n">
        <v>10</v>
      </c>
      <c r="K39">
        <f>IF(J39&gt;COUNT($G$30:$G$109),"",MATCH(LARGE($G$30:$G$109,J39),$G$30:$G$109,0))</f>
        <v>31</v>
      </c>
      <c r="L39" t="str">
        <f>IF($K39="","",INDEX($A$30:$A$109,K39)&amp;"   "&amp;TEXT(INDEX($F$30:$F$109,K39),"0%"))</f>
        <v>DEPARTAMENTO DE SOLUCIONES FINANCIERAS   100%</v>
      </c>
      <c r="M39">
        <f>IF($K39="","",INDEX($D$30:$D$109,K39))</f>
        <v>9</v>
      </c>
      <c r="N39">
        <f>IF($K39="","",INDEX($E$30:$E$109,K39))</f>
        <v>0</v>
      </c>
      <c r="O39" t="str">
        <f>IF($K39="","",INDEX($A$30:$A$109,K39))</f>
        <v>DEPARTAMENTO DE SOLUCIONES FINANCIERAS</v>
      </c>
      <c r="P39" t="str">
        <f>IF($K39="","",INDEX($B$30:$B$109,K39))</f>
        <v>Gerencia de Operaciones</v>
      </c>
      <c r="Q39">
        <f>IF($K39="","",INDEX($C$30:$C$109,K39))</f>
        <v>9</v>
      </c>
      <c r="R39">
        <f>IF($K39="","",INDEX($F$30:$F$109,K39))</f>
        <v>1</v>
      </c>
      <c r="S39">
        <f>IF($K39="","",INDEX($H$30:$H$109,K39))</f>
        <v>87.7777777777778</v>
      </c>
      <c r="T39">
        <f>IF($K39="","",IF(OR('Dashboard Gerencial'!$B$5="Todas las gerencias",P39='Dashboard Gerencial'!$B$5),ROW(),""))</f>
        <v>39</v>
      </c>
      <c r="W39" t="str">
        <f>A63</f>
        <v>DEPARTAMENTO LEGAL</v>
      </c>
      <c r="Z39">
        <f>IF('Detalle individual'!A39="","",IF(AND(OR('Estado por Colaborador'!$D$4="Todas las gerencias",'Detalle individual'!D39='Estado por Colaborador'!$D$4),OR('Estado por Colaborador'!$D$5="Todos los departamentos",TRIM('Detalle individual'!C39)='Estado por Colaborador'!$D$5),OR('Estado por Colaborador'!$D$6="Todos",'Detalle individual'!F39='Estado por Colaborador'!$D$6)),IF('Detalle individual'!F39="Completado",30000000,IF('Detalle individual'!F39="Pendiente",0,15000000))+COUNTIF('Detalle individual'!$C$5:$C$1000,"&lt;"&amp;'Detalle individual'!C39)*10000+ROW(),""))</f>
        <v>39180039</v>
      </c>
      <c r="AB39" t="str">
        <f>IF('Detalle individual'!C39="","",IF(COUNTIF('Detalle individual'!$C$5:C39,'Detalle individual'!C39)=1,COUNTIF('Detalle individual'!$C$5:$C$1000,"&lt;"&amp;'Detalle individual'!C39),""))</f>
        <v/>
      </c>
      <c r="AC39" t="str">
        <f>IF('Detalle individual'!D39="","",IF(COUNTIF('Detalle individual'!$D$5:D39,'Detalle individual'!D39)=1,COUNTIF('Detalle individual'!$D$5:$D$1000,"&lt;"&amp;'Detalle individual'!D39),""))</f>
        <v/>
      </c>
      <c r="AE39">
        <f>IFERROR(MATCH(SMALL($AB$5:$AB$1000,35),$AB$5:$AB$1000,0)+4,"")</f>
        <v>6</v>
      </c>
      <c r="AH39" t="str">
        <f>IF('Detalle individual'!F39="Pendiente",COUNTIF('Detalle individual'!$D$5:$D$1000,"&lt;"&amp;'Detalle individual'!D39)*1000000+COUNTIF('Detalle individual'!$C$5:$C$1000,"&lt;"&amp;'Detalle individual'!C39)*1000+COUNTIF('Detalle individual'!$B$5:$B$1000,"&lt;"&amp;'Detalle individual'!B39)+ROW()/10000,"")</f>
        <v/>
      </c>
      <c r="AI39">
        <f>IF('Detalle individual'!F39="Completado",COUNTIF('Detalle individual'!$D$5:$D$1000,"&lt;"&amp;'Detalle individual'!D39)*1000000+COUNTIF('Detalle individual'!$C$5:$C$1000,"&lt;"&amp;'Detalle individual'!C39)*1000+COUNTIF('Detalle individual'!$B$5:$B$1000,"&lt;"&amp;'Detalle individual'!B39)+ROW()/10000,"")</f>
        <v>711918729.0039</v>
      </c>
      <c r="AJ39" t="str">
        <f>IF(AND('Detalle individual'!F39&lt;&gt;"",'Detalle individual'!F39&lt;&gt;"Completado",'Detalle individual'!F39&lt;&gt;"Pendiente"),COUNTIF('Detalle individual'!$D$5:$D$1000,"&lt;"&amp;'Detalle individual'!D39)*1000000+COUNTIF('Detalle individual'!$C$5:$C$1000,"&lt;"&amp;'Detalle individual'!C39)*1000+COUNTIF('Detalle individual'!$B$5:$B$1000,"&lt;"&amp;'Detalle individual'!B39)+ROW()/10000,"")</f>
        <v/>
      </c>
      <c r="AK39">
        <f>IF(OR('Base Exámenes'!C39="",'Base Exámenes'!D39=""),"",IF(COUNTIF('Base Exámenes'!$C$5:C39,'Base Exámenes'!C39)=1,'Base Exámenes'!D39+ROW()/1000000000,""))</f>
        <v>46296.615370405096</v>
      </c>
      <c r="AL39">
        <f>IF(OR('Base Exámenes'!C39="",'Base Exámenes'!E39=""),"",IF(COUNTIF('Base Exámenes'!$C$5:C39,'Base Exámenes'!C39)=1,'Base Exámenes'!E39+ROW()/1000000000,""))</f>
        <v>46296.62540512731</v>
      </c>
      <c r="AM39">
        <f>IF(OR('Base Exámenes'!C39="",'Base Exámenes'!G39=""),"",IF(ROW()-4=MATCH('Base Exámenes'!C39&amp;"|"&amp;_xlfn.MAXIFS('Base Exámenes'!$G$5:$G$1000,'Base Exámenes'!$C$5:$C$1000,'Base Exámenes'!C39),'Base Exámenes'!$I$5:$I$1000,0),'Base Exámenes'!G39*1000000+(-1)*'Base Exámenes'!D39,""))</f>
        <v>99953703.3846296</v>
      </c>
      <c r="AO39">
        <f>IF('Consolidado por área'!G39="Completo",'Consolidado por área'!L39+ROW()/1000000000,"")</f>
        <v>46307.43666670139</v>
      </c>
      <c r="AQ39" t="str">
        <f>IF('Base Exámenes'!C39="","",IF(COUNTIF('Base Exámenes'!$C$5:$C$1000,'Base Exámenes'!C39)&lt;2,"",MATCH('Base Exámenes'!C39,'Base Exámenes'!$C$5:$C$1000,0)*10000+ROW()))</f>
        <v/>
      </c>
      <c r="BF39" t="str">
        <f>IF(AND('Consolidado por área'!G39="Completo",LEFT(TRIM('Consolidado por área'!A39),7)="AGENCIA"),'Consolidado por área'!L39+ROW()/1000000000,"")</f>
        <v/>
      </c>
    </row>
    <row r="40">
      <c r="A40" t="str">
        <f>IF('Consolidado por área'!A15="","",TRIM('Consolidado por área'!A15))</f>
        <v>AGENCIA SONSONATE</v>
      </c>
      <c r="B40" t="str">
        <f>IF($A40="","",'Consolidado por área'!B15)</f>
        <v>Gerencia de Negocios</v>
      </c>
      <c r="C40">
        <f>IF($A40="","",'Consolidado por área'!C15)</f>
        <v>7</v>
      </c>
      <c r="D40">
        <f>IF($A40="","",'Consolidado por área'!D15)</f>
        <v>7</v>
      </c>
      <c r="E40">
        <f>IF($A40="","",'Consolidado por área'!E15)</f>
        <v>0</v>
      </c>
      <c r="F40">
        <f>IF($A40="","",IF(C40&gt;0,D40/C40,0))</f>
        <v>1</v>
      </c>
      <c r="G40">
        <f>IF($A40="","",F40*1000000+C40*10+(1000-ROW())/10000)</f>
        <v>1000070.096</v>
      </c>
      <c r="H40">
        <f>IF($A40="","",'Consolidado por área'!H15)</f>
        <v>97.1428571428571</v>
      </c>
      <c r="J40" t="n">
        <v>11</v>
      </c>
      <c r="K40">
        <f>IF(J40&gt;COUNT($G$30:$G$109),"",MATCH(LARGE($G$30:$G$109,J40),$G$30:$G$109,0))</f>
        <v>8</v>
      </c>
      <c r="L40" t="str">
        <f>IF($K40="","",INDEX($A$30:$A$109,K40)&amp;"   "&amp;TEXT(INDEX($F$30:$F$109,K40),"0%"))</f>
        <v>AGENCIA PLAZA MUNDO   100%</v>
      </c>
      <c r="M40">
        <f>IF($K40="","",INDEX($D$30:$D$109,K40))</f>
        <v>8</v>
      </c>
      <c r="N40">
        <f>IF($K40="","",INDEX($E$30:$E$109,K40))</f>
        <v>0</v>
      </c>
      <c r="O40" t="str">
        <f>IF($K40="","",INDEX($A$30:$A$109,K40))</f>
        <v>AGENCIA PLAZA MUNDO</v>
      </c>
      <c r="P40" t="str">
        <f>IF($K40="","",INDEX($B$30:$B$109,K40))</f>
        <v>Gerencia de Negocios</v>
      </c>
      <c r="Q40">
        <f>IF($K40="","",INDEX($C$30:$C$109,K40))</f>
        <v>8</v>
      </c>
      <c r="R40">
        <f>IF($K40="","",INDEX($F$30:$F$109,K40))</f>
        <v>1</v>
      </c>
      <c r="S40">
        <f>IF($K40="","",INDEX($H$30:$H$109,K40))</f>
        <v>98.75</v>
      </c>
      <c r="T40">
        <f>IF($K40="","",IF(OR('Dashboard Gerencial'!$B$5="Todas las gerencias",P40='Dashboard Gerencial'!$B$5),ROW(),""))</f>
        <v>40</v>
      </c>
      <c r="W40" t="str">
        <f>A64</f>
        <v>GERENCIA ADMINISTRATIVA</v>
      </c>
      <c r="Z40">
        <f>IF('Detalle individual'!A40="","",IF(AND(OR('Estado por Colaborador'!$D$4="Todas las gerencias",'Detalle individual'!D40='Estado por Colaborador'!$D$4),OR('Estado por Colaborador'!$D$5="Todos los departamentos",TRIM('Detalle individual'!C40)='Estado por Colaborador'!$D$5),OR('Estado por Colaborador'!$D$6="Todos",'Detalle individual'!F40='Estado por Colaborador'!$D$6)),IF('Detalle individual'!F40="Completado",30000000,IF('Detalle individual'!F40="Pendiente",0,15000000))+COUNTIF('Detalle individual'!$C$5:$C$1000,"&lt;"&amp;'Detalle individual'!C40)*10000+ROW(),""))</f>
        <v>39180040</v>
      </c>
      <c r="AB40" t="str">
        <f>IF('Detalle individual'!C40="","",IF(COUNTIF('Detalle individual'!$C$5:C40,'Detalle individual'!C40)=1,COUNTIF('Detalle individual'!$C$5:$C$1000,"&lt;"&amp;'Detalle individual'!C40),""))</f>
        <v/>
      </c>
      <c r="AC40" t="str">
        <f>IF('Detalle individual'!D40="","",IF(COUNTIF('Detalle individual'!$D$5:D40,'Detalle individual'!D40)=1,COUNTIF('Detalle individual'!$D$5:$D$1000,"&lt;"&amp;'Detalle individual'!D40),""))</f>
        <v/>
      </c>
      <c r="AE40">
        <f>IFERROR(MATCH(SMALL($AB$5:$AB$1000,36),$AB$5:$AB$1000,0)+4,"")</f>
        <v>8</v>
      </c>
      <c r="AH40" t="str">
        <f>IF('Detalle individual'!F40="Pendiente",COUNTIF('Detalle individual'!$D$5:$D$1000,"&lt;"&amp;'Detalle individual'!D40)*1000000+COUNTIF('Detalle individual'!$C$5:$C$1000,"&lt;"&amp;'Detalle individual'!C40)*1000+COUNTIF('Detalle individual'!$B$5:$B$1000,"&lt;"&amp;'Detalle individual'!B40)+ROW()/10000,"")</f>
        <v/>
      </c>
      <c r="AI40">
        <f>IF('Detalle individual'!F40="Completado",COUNTIF('Detalle individual'!$D$5:$D$1000,"&lt;"&amp;'Detalle individual'!D40)*1000000+COUNTIF('Detalle individual'!$C$5:$C$1000,"&lt;"&amp;'Detalle individual'!C40)*1000+COUNTIF('Detalle individual'!$B$5:$B$1000,"&lt;"&amp;'Detalle individual'!B40)+ROW()/10000,"")</f>
        <v>711918725.004</v>
      </c>
      <c r="AJ40" t="str">
        <f>IF(AND('Detalle individual'!F40&lt;&gt;"",'Detalle individual'!F40&lt;&gt;"Completado",'Detalle individual'!F40&lt;&gt;"Pendiente"),COUNTIF('Detalle individual'!$D$5:$D$1000,"&lt;"&amp;'Detalle individual'!D40)*1000000+COUNTIF('Detalle individual'!$C$5:$C$1000,"&lt;"&amp;'Detalle individual'!C40)*1000+COUNTIF('Detalle individual'!$B$5:$B$1000,"&lt;"&amp;'Detalle individual'!B40)+ROW()/10000,"")</f>
        <v/>
      </c>
      <c r="AK40">
        <f>IF(OR('Base Exámenes'!C40="",'Base Exámenes'!D40=""),"",IF(COUNTIF('Base Exámenes'!$C$5:C40,'Base Exámenes'!C40)=1,'Base Exámenes'!D40+ROW()/1000000000,""))</f>
        <v>46296.646261608796</v>
      </c>
      <c r="AL40">
        <f>IF(OR('Base Exámenes'!C40="",'Base Exámenes'!E40=""),"",IF(COUNTIF('Base Exámenes'!$C$5:C40,'Base Exámenes'!C40)=1,'Base Exámenes'!E40+ROW()/1000000000,""))</f>
        <v>46296.65724540509</v>
      </c>
      <c r="AM40">
        <f>IF(OR('Base Exámenes'!C40="",'Base Exámenes'!G40=""),"",IF(ROW()-4=MATCH('Base Exámenes'!C40&amp;"|"&amp;_xlfn.MAXIFS('Base Exámenes'!$G$5:$G$1000,'Base Exámenes'!$C$5:$C$1000,'Base Exámenes'!C40),'Base Exámenes'!$I$5:$I$1000,0),'Base Exámenes'!G40*1000000+(-1)*'Base Exámenes'!D40,""))</f>
        <v>99953703.3537384</v>
      </c>
      <c r="AO40">
        <f>IF('Consolidado por área'!G40="Completo",'Consolidado por área'!L40+ROW()/1000000000,"")</f>
        <v>46305.47055559028</v>
      </c>
      <c r="AQ40" t="str">
        <f>IF('Base Exámenes'!C40="","",IF(COUNTIF('Base Exámenes'!$C$5:$C$1000,'Base Exámenes'!C40)&lt;2,"",MATCH('Base Exámenes'!C40,'Base Exámenes'!$C$5:$C$1000,0)*10000+ROW()))</f>
        <v/>
      </c>
      <c r="BF40" t="str">
        <f>IF(AND('Consolidado por área'!G40="Completo",LEFT(TRIM('Consolidado por área'!A40),7)="AGENCIA"),'Consolidado por área'!L40+ROW()/1000000000,"")</f>
        <v/>
      </c>
    </row>
    <row r="41">
      <c r="A41" t="str">
        <f>IF('Consolidado por área'!A16="","",TRIM('Consolidado por área'!A16))</f>
        <v>AGENCIA USULUTAN</v>
      </c>
      <c r="B41" t="str">
        <f>IF($A41="","",'Consolidado por área'!B16)</f>
        <v>Gerencia de Negocios</v>
      </c>
      <c r="C41">
        <f>IF($A41="","",'Consolidado por área'!C16)</f>
        <v>7</v>
      </c>
      <c r="D41">
        <f>IF($A41="","",'Consolidado por área'!D16)</f>
        <v>7</v>
      </c>
      <c r="E41">
        <f>IF($A41="","",'Consolidado por área'!E16)</f>
        <v>0</v>
      </c>
      <c r="F41">
        <f>IF($A41="","",IF(C41&gt;0,D41/C41,0))</f>
        <v>1</v>
      </c>
      <c r="G41">
        <f>IF($A41="","",F41*1000000+C41*10+(1000-ROW())/10000)</f>
        <v>1000070.0959</v>
      </c>
      <c r="H41">
        <f>IF($A41="","",'Consolidado por área'!H16)</f>
        <v>100</v>
      </c>
      <c r="J41" t="n">
        <v>12</v>
      </c>
      <c r="K41">
        <f>IF(J41&gt;COUNT($G$30:$G$109),"",MATCH(LARGE($G$30:$G$109,J41),$G$30:$G$109,0))</f>
        <v>10</v>
      </c>
      <c r="L41" t="str">
        <f>IF($K41="","",INDEX($A$30:$A$109,K41)&amp;"   "&amp;TEXT(INDEX($F$30:$F$109,K41),"0%"))</f>
        <v>AGENCIA SANTA ANA   100%</v>
      </c>
      <c r="M41">
        <f>IF($K41="","",INDEX($D$30:$D$109,K41))</f>
        <v>8</v>
      </c>
      <c r="N41">
        <f>IF($K41="","",INDEX($E$30:$E$109,K41))</f>
        <v>0</v>
      </c>
      <c r="O41" t="str">
        <f>IF($K41="","",INDEX($A$30:$A$109,K41))</f>
        <v>AGENCIA SANTA ANA</v>
      </c>
      <c r="P41" t="str">
        <f>IF($K41="","",INDEX($B$30:$B$109,K41))</f>
        <v>Gerencia de Negocios</v>
      </c>
      <c r="Q41">
        <f>IF($K41="","",INDEX($C$30:$C$109,K41))</f>
        <v>8</v>
      </c>
      <c r="R41">
        <f>IF($K41="","",INDEX($F$30:$F$109,K41))</f>
        <v>1</v>
      </c>
      <c r="S41">
        <f>IF($K41="","",INDEX($H$30:$H$109,K41))</f>
        <v>97.5</v>
      </c>
      <c r="T41">
        <f>IF($K41="","",IF(OR('Dashboard Gerencial'!$B$5="Todas las gerencias",P41='Dashboard Gerencial'!$B$5),ROW(),""))</f>
        <v>41</v>
      </c>
      <c r="W41" t="str">
        <f>A65</f>
        <v>GERENCIA DE FINANZAS Y PLANIFICACIÓN</v>
      </c>
      <c r="Z41">
        <f>IF('Detalle individual'!A41="","",IF(AND(OR('Estado por Colaborador'!$D$4="Todas las gerencias",'Detalle individual'!D41='Estado por Colaborador'!$D$4),OR('Estado por Colaborador'!$D$5="Todos los departamentos",TRIM('Detalle individual'!C41)='Estado por Colaborador'!$D$5),OR('Estado por Colaborador'!$D$6="Todos",'Detalle individual'!F41='Estado por Colaborador'!$D$6)),IF('Detalle individual'!F41="Completado",30000000,IF('Detalle individual'!F41="Pendiente",0,15000000))+COUNTIF('Detalle individual'!$C$5:$C$1000,"&lt;"&amp;'Detalle individual'!C41)*10000+ROW(),""))</f>
        <v>39180041</v>
      </c>
      <c r="AB41" t="str">
        <f>IF('Detalle individual'!C41="","",IF(COUNTIF('Detalle individual'!$C$5:C41,'Detalle individual'!C41)=1,COUNTIF('Detalle individual'!$C$5:$C$1000,"&lt;"&amp;'Detalle individual'!C41),""))</f>
        <v/>
      </c>
      <c r="AC41" t="str">
        <f>IF('Detalle individual'!D41="","",IF(COUNTIF('Detalle individual'!$D$5:D41,'Detalle individual'!D41)=1,COUNTIF('Detalle individual'!$D$5:$D$1000,"&lt;"&amp;'Detalle individual'!D41),""))</f>
        <v/>
      </c>
      <c r="AE41">
        <f>IFERROR(MATCH(SMALL($AB$5:$AB$1000,37),$AB$5:$AB$1000,0)+4,"")</f>
        <v>11</v>
      </c>
      <c r="AH41" t="str">
        <f>IF('Detalle individual'!F41="Pendiente",COUNTIF('Detalle individual'!$D$5:$D$1000,"&lt;"&amp;'Detalle individual'!D41)*1000000+COUNTIF('Detalle individual'!$C$5:$C$1000,"&lt;"&amp;'Detalle individual'!C41)*1000+COUNTIF('Detalle individual'!$B$5:$B$1000,"&lt;"&amp;'Detalle individual'!B41)+ROW()/10000,"")</f>
        <v/>
      </c>
      <c r="AI41">
        <f>IF('Detalle individual'!F41="Completado",COUNTIF('Detalle individual'!$D$5:$D$1000,"&lt;"&amp;'Detalle individual'!D41)*1000000+COUNTIF('Detalle individual'!$C$5:$C$1000,"&lt;"&amp;'Detalle individual'!C41)*1000+COUNTIF('Detalle individual'!$B$5:$B$1000,"&lt;"&amp;'Detalle individual'!B41)+ROW()/10000,"")</f>
        <v>711918984.0041</v>
      </c>
      <c r="AJ41" t="str">
        <f>IF(AND('Detalle individual'!F41&lt;&gt;"",'Detalle individual'!F41&lt;&gt;"Completado",'Detalle individual'!F41&lt;&gt;"Pendiente"),COUNTIF('Detalle individual'!$D$5:$D$1000,"&lt;"&amp;'Detalle individual'!D41)*1000000+COUNTIF('Detalle individual'!$C$5:$C$1000,"&lt;"&amp;'Detalle individual'!C41)*1000+COUNTIF('Detalle individual'!$B$5:$B$1000,"&lt;"&amp;'Detalle individual'!B41)+ROW()/10000,"")</f>
        <v/>
      </c>
      <c r="AK41">
        <f>IF(OR('Base Exámenes'!C41="",'Base Exámenes'!D41=""),"",IF(COUNTIF('Base Exámenes'!$C$5:C41,'Base Exámenes'!C41)=1,'Base Exámenes'!D41+ROW()/1000000000,""))</f>
        <v>46296.64138893518</v>
      </c>
      <c r="AL41">
        <f>IF(OR('Base Exámenes'!C41="",'Base Exámenes'!E41=""),"",IF(COUNTIF('Base Exámenes'!$C$5:C41,'Base Exámenes'!C41)=1,'Base Exámenes'!E41+ROW()/1000000000,""))</f>
        <v>46296.65938662037</v>
      </c>
      <c r="AM41">
        <f>IF(OR('Base Exámenes'!C41="",'Base Exámenes'!G41=""),"",IF(ROW()-4=MATCH('Base Exámenes'!C41&amp;"|"&amp;_xlfn.MAXIFS('Base Exámenes'!$G$5:$G$1000,'Base Exámenes'!$C$5:$C$1000,'Base Exámenes'!C41),'Base Exámenes'!$I$5:$I$1000,0),'Base Exámenes'!G41*1000000+(-1)*'Base Exámenes'!D41,""))</f>
        <v>99953703.3586111</v>
      </c>
      <c r="AO41">
        <f>IF('Consolidado por área'!G41="Completo",'Consolidado por área'!L41+ROW()/1000000000,"")</f>
        <v>46310.619814861115</v>
      </c>
      <c r="AQ41" t="str">
        <f>IF('Base Exámenes'!C41="","",IF(COUNTIF('Base Exámenes'!$C$5:$C$1000,'Base Exámenes'!C41)&lt;2,"",MATCH('Base Exámenes'!C41,'Base Exámenes'!$C$5:$C$1000,0)*10000+ROW()))</f>
        <v/>
      </c>
      <c r="BF41" t="str">
        <f>IF(AND('Consolidado por área'!G41="Completo",LEFT(TRIM('Consolidado por área'!A41),7)="AGENCIA"),'Consolidado por área'!L41+ROW()/1000000000,"")</f>
        <v/>
      </c>
    </row>
    <row r="42">
      <c r="A42" t="str">
        <f>IF('Consolidado por área'!A17="","",TRIM('Consolidado por área'!A17))</f>
        <v>CLINICA EMPRESARIAL</v>
      </c>
      <c r="B42" t="str">
        <f>IF($A42="","",'Consolidado por área'!B17)</f>
        <v>Gerencia Administrativa</v>
      </c>
      <c r="C42">
        <f>IF($A42="","",'Consolidado por área'!C17)</f>
        <v>2</v>
      </c>
      <c r="D42">
        <f>IF($A42="","",'Consolidado por área'!D17)</f>
        <v>2</v>
      </c>
      <c r="E42">
        <f>IF($A42="","",'Consolidado por área'!E17)</f>
        <v>0</v>
      </c>
      <c r="F42">
        <f>IF($A42="","",IF(C42&gt;0,D42/C42,0))</f>
        <v>1</v>
      </c>
      <c r="G42">
        <f>IF($A42="","",F42*1000000+C42*10+(1000-ROW())/10000)</f>
        <v>1000020.0958</v>
      </c>
      <c r="H42">
        <f>IF($A42="","",'Consolidado por área'!H17)</f>
        <v>100</v>
      </c>
      <c r="J42" t="n">
        <v>13</v>
      </c>
      <c r="K42">
        <f>IF(J42&gt;COUNT($G$30:$G$109),"",MATCH(LARGE($G$30:$G$109,J42),$G$30:$G$109,0))</f>
        <v>34</v>
      </c>
      <c r="L42" t="str">
        <f>IF($K42="","",INDEX($A$30:$A$109,K42)&amp;"   "&amp;TEXT(INDEX($F$30:$F$109,K42),"0%"))</f>
        <v>DEPARTAMENTO LEGAL   100%</v>
      </c>
      <c r="M42">
        <f>IF($K42="","",INDEX($D$30:$D$109,K42))</f>
        <v>8</v>
      </c>
      <c r="N42">
        <f>IF($K42="","",INDEX($E$30:$E$109,K42))</f>
        <v>0</v>
      </c>
      <c r="O42" t="str">
        <f>IF($K42="","",INDEX($A$30:$A$109,K42))</f>
        <v>DEPARTAMENTO LEGAL</v>
      </c>
      <c r="P42" t="str">
        <f>IF($K42="","",INDEX($B$30:$B$109,K42))</f>
        <v>Gerencia Legal y Cumplimiento Normativo</v>
      </c>
      <c r="Q42">
        <f>IF($K42="","",INDEX($C$30:$C$109,K42))</f>
        <v>8</v>
      </c>
      <c r="R42">
        <f>IF($K42="","",INDEX($F$30:$F$109,K42))</f>
        <v>1</v>
      </c>
      <c r="S42">
        <f>IF($K42="","",INDEX($H$30:$H$109,K42))</f>
        <v>97.5</v>
      </c>
      <c r="T42">
        <f>IF($K42="","",IF(OR('Dashboard Gerencial'!$B$5="Todas las gerencias",P42='Dashboard Gerencial'!$B$5),ROW(),""))</f>
        <v>42</v>
      </c>
      <c r="W42" t="str">
        <f>A66</f>
        <v>GERENCIA DE NEGOCIOS</v>
      </c>
      <c r="Z42">
        <f>IF('Detalle individual'!A42="","",IF(AND(OR('Estado por Colaborador'!$D$4="Todas las gerencias",'Detalle individual'!D42='Estado por Colaborador'!$D$4),OR('Estado por Colaborador'!$D$5="Todos los departamentos",TRIM('Detalle individual'!C42)='Estado por Colaborador'!$D$5),OR('Estado por Colaborador'!$D$6="Todos",'Detalle individual'!F42='Estado por Colaborador'!$D$6)),IF('Detalle individual'!F42="Completado",30000000,IF('Detalle individual'!F42="Pendiente",0,15000000))+COUNTIF('Detalle individual'!$C$5:$C$1000,"&lt;"&amp;'Detalle individual'!C42)*10000+ROW(),""))</f>
        <v>39180042</v>
      </c>
      <c r="AB42" t="str">
        <f>IF('Detalle individual'!C42="","",IF(COUNTIF('Detalle individual'!$C$5:C42,'Detalle individual'!C42)=1,COUNTIF('Detalle individual'!$C$5:$C$1000,"&lt;"&amp;'Detalle individual'!C42),""))</f>
        <v/>
      </c>
      <c r="AC42" t="str">
        <f>IF('Detalle individual'!D42="","",IF(COUNTIF('Detalle individual'!$D$5:D42,'Detalle individual'!D42)=1,COUNTIF('Detalle individual'!$D$5:$D$1000,"&lt;"&amp;'Detalle individual'!D42),""))</f>
        <v/>
      </c>
      <c r="AE42">
        <f>IFERROR(MATCH(SMALL($AB$5:$AB$1000,38),$AB$5:$AB$1000,0)+4,"")</f>
        <v>7</v>
      </c>
      <c r="AH42" t="str">
        <f>IF('Detalle individual'!F42="Pendiente",COUNTIF('Detalle individual'!$D$5:$D$1000,"&lt;"&amp;'Detalle individual'!D42)*1000000+COUNTIF('Detalle individual'!$C$5:$C$1000,"&lt;"&amp;'Detalle individual'!C42)*1000+COUNTIF('Detalle individual'!$B$5:$B$1000,"&lt;"&amp;'Detalle individual'!B42)+ROW()/10000,"")</f>
        <v/>
      </c>
      <c r="AI42">
        <f>IF('Detalle individual'!F42="Completado",COUNTIF('Detalle individual'!$D$5:$D$1000,"&lt;"&amp;'Detalle individual'!D42)*1000000+COUNTIF('Detalle individual'!$C$5:$C$1000,"&lt;"&amp;'Detalle individual'!C42)*1000+COUNTIF('Detalle individual'!$B$5:$B$1000,"&lt;"&amp;'Detalle individual'!B42)+ROW()/10000,"")</f>
        <v>711918798.0042</v>
      </c>
      <c r="AJ42" t="str">
        <f>IF(AND('Detalle individual'!F42&lt;&gt;"",'Detalle individual'!F42&lt;&gt;"Completado",'Detalle individual'!F42&lt;&gt;"Pendiente"),COUNTIF('Detalle individual'!$D$5:$D$1000,"&lt;"&amp;'Detalle individual'!D42)*1000000+COUNTIF('Detalle individual'!$C$5:$C$1000,"&lt;"&amp;'Detalle individual'!C42)*1000+COUNTIF('Detalle individual'!$B$5:$B$1000,"&lt;"&amp;'Detalle individual'!B42)+ROW()/10000,"")</f>
        <v/>
      </c>
      <c r="AK42">
        <f>IF(OR('Base Exámenes'!C42="",'Base Exámenes'!D42=""),"",IF(COUNTIF('Base Exámenes'!$C$5:C42,'Base Exámenes'!C42)=1,'Base Exámenes'!D42+ROW()/1000000000,""))</f>
        <v>46296.640949120374</v>
      </c>
      <c r="AL42">
        <f>IF(OR('Base Exámenes'!C42="",'Base Exámenes'!E42=""),"",IF(COUNTIF('Base Exámenes'!$C$5:C42,'Base Exámenes'!C42)=1,'Base Exámenes'!E42+ROW()/1000000000,""))</f>
        <v>46296.67511578704</v>
      </c>
      <c r="AM42">
        <f>IF(OR('Base Exámenes'!C42="",'Base Exámenes'!G42=""),"",IF(ROW()-4=MATCH('Base Exámenes'!C42&amp;"|"&amp;_xlfn.MAXIFS('Base Exámenes'!$G$5:$G$1000,'Base Exámenes'!$C$5:$C$1000,'Base Exámenes'!C42),'Base Exámenes'!$I$5:$I$1000,0),'Base Exámenes'!G42*1000000+(-1)*'Base Exámenes'!D42,""))</f>
        <v>74953703.3590509</v>
      </c>
      <c r="AO42">
        <f>IF('Consolidado por área'!G42="Completo",'Consolidado por área'!L42+ROW()/1000000000,"")</f>
        <v>46311.81412041667</v>
      </c>
      <c r="AQ42" t="str">
        <f>IF('Base Exámenes'!C42="","",IF(COUNTIF('Base Exámenes'!$C$5:$C$1000,'Base Exámenes'!C42)&lt;2,"",MATCH('Base Exámenes'!C42,'Base Exámenes'!$C$5:$C$1000,0)*10000+ROW()))</f>
        <v/>
      </c>
      <c r="BF42" t="str">
        <f>IF(AND('Consolidado por área'!G42="Completo",LEFT(TRIM('Consolidado por área'!A42),7)="AGENCIA"),'Consolidado por área'!L42+ROW()/1000000000,"")</f>
        <v/>
      </c>
    </row>
    <row r="43">
      <c r="A43" t="str">
        <f>IF('Consolidado por área'!A18="","",TRIM('Consolidado por área'!A18))</f>
        <v>CONSEJO DE ADMINISTRACION</v>
      </c>
      <c r="B43" t="str">
        <f>IF($A43="","",'Consolidado por área'!B18)</f>
        <v>Consejo de Administración</v>
      </c>
      <c r="C43">
        <f>IF($A43="","",'Consolidado por área'!C18)</f>
        <v>1</v>
      </c>
      <c r="D43">
        <f>IF($A43="","",'Consolidado por área'!D18)</f>
        <v>1</v>
      </c>
      <c r="E43">
        <f>IF($A43="","",'Consolidado por área'!E18)</f>
        <v>0</v>
      </c>
      <c r="F43">
        <f>IF($A43="","",IF(C43&gt;0,D43/C43,0))</f>
        <v>1</v>
      </c>
      <c r="G43">
        <f>IF($A43="","",F43*1000000+C43*10+(1000-ROW())/10000)</f>
        <v>1000010.0957</v>
      </c>
      <c r="H43">
        <f>IF($A43="","",'Consolidado por área'!H18)</f>
        <v>90</v>
      </c>
      <c r="J43" t="n">
        <v>14</v>
      </c>
      <c r="K43">
        <f>IF(J43&gt;COUNT($G$30:$G$109),"",MATCH(LARGE($G$30:$G$109,J43),$G$30:$G$109,0))</f>
        <v>9</v>
      </c>
      <c r="L43" t="str">
        <f>IF($K43="","",INDEX($A$30:$A$109,K43)&amp;"   "&amp;TEXT(INDEX($F$30:$F$109,K43),"0%"))</f>
        <v>AGENCIA SAN MIGUEL   100%</v>
      </c>
      <c r="M43">
        <f>IF($K43="","",INDEX($D$30:$D$109,K43))</f>
        <v>7</v>
      </c>
      <c r="N43">
        <f>IF($K43="","",INDEX($E$30:$E$109,K43))</f>
        <v>0</v>
      </c>
      <c r="O43" t="str">
        <f>IF($K43="","",INDEX($A$30:$A$109,K43))</f>
        <v>AGENCIA SAN MIGUEL</v>
      </c>
      <c r="P43" t="str">
        <f>IF($K43="","",INDEX($B$30:$B$109,K43))</f>
        <v>Gerencia de Negocios</v>
      </c>
      <c r="Q43">
        <f>IF($K43="","",INDEX($C$30:$C$109,K43))</f>
        <v>7</v>
      </c>
      <c r="R43">
        <f>IF($K43="","",INDEX($F$30:$F$109,K43))</f>
        <v>1</v>
      </c>
      <c r="S43">
        <f>IF($K43="","",INDEX($H$30:$H$109,K43))</f>
        <v>98.5714285714286</v>
      </c>
      <c r="T43">
        <f>IF($K43="","",IF(OR('Dashboard Gerencial'!$B$5="Todas las gerencias",P43='Dashboard Gerencial'!$B$5),ROW(),""))</f>
        <v>43</v>
      </c>
      <c r="W43" t="str">
        <f>A67</f>
        <v>GERENCIA DE OPERACIONES</v>
      </c>
      <c r="Z43">
        <f>IF('Detalle individual'!A43="","",IF(AND(OR('Estado por Colaborador'!$D$4="Todas las gerencias",'Detalle individual'!D43='Estado por Colaborador'!$D$4),OR('Estado por Colaborador'!$D$5="Todos los departamentos",TRIM('Detalle individual'!C43)='Estado por Colaborador'!$D$5),OR('Estado por Colaborador'!$D$6="Todos",'Detalle individual'!F43='Estado por Colaborador'!$D$6)),IF('Detalle individual'!F43="Completado",30000000,IF('Detalle individual'!F43="Pendiente",0,15000000))+COUNTIF('Detalle individual'!$C$5:$C$1000,"&lt;"&amp;'Detalle individual'!C43)*10000+ROW(),""))</f>
        <v>38720043</v>
      </c>
      <c r="AB43">
        <f>IF('Detalle individual'!C43="","",IF(COUNTIF('Detalle individual'!$C$5:C43,'Detalle individual'!C43)=1,COUNTIF('Detalle individual'!$C$5:$C$1000,"&lt;"&amp;'Detalle individual'!C43),""))</f>
        <v>872</v>
      </c>
      <c r="AC43" t="str">
        <f>IF('Detalle individual'!D43="","",IF(COUNTIF('Detalle individual'!$D$5:D43,'Detalle individual'!D43)=1,COUNTIF('Detalle individual'!$D$5:$D$1000,"&lt;"&amp;'Detalle individual'!D43),""))</f>
        <v/>
      </c>
      <c r="AE43">
        <f>IFERROR(MATCH(SMALL($AB$5:$AB$1000,39),$AB$5:$AB$1000,0)+4,"")</f>
        <v>9</v>
      </c>
      <c r="AH43" t="str">
        <f>IF('Detalle individual'!F43="Pendiente",COUNTIF('Detalle individual'!$D$5:$D$1000,"&lt;"&amp;'Detalle individual'!D43)*1000000+COUNTIF('Detalle individual'!$C$5:$C$1000,"&lt;"&amp;'Detalle individual'!C43)*1000+COUNTIF('Detalle individual'!$B$5:$B$1000,"&lt;"&amp;'Detalle individual'!B43)+ROW()/10000,"")</f>
        <v/>
      </c>
      <c r="AI43">
        <f>IF('Detalle individual'!F43="Completado",COUNTIF('Detalle individual'!$D$5:$D$1000,"&lt;"&amp;'Detalle individual'!D43)*1000000+COUNTIF('Detalle individual'!$C$5:$C$1000,"&lt;"&amp;'Detalle individual'!C43)*1000+COUNTIF('Detalle individual'!$B$5:$B$1000,"&lt;"&amp;'Detalle individual'!B43)+ROW()/10000,"")</f>
        <v>711872836.0043</v>
      </c>
      <c r="AJ43" t="str">
        <f>IF(AND('Detalle individual'!F43&lt;&gt;"",'Detalle individual'!F43&lt;&gt;"Completado",'Detalle individual'!F43&lt;&gt;"Pendiente"),COUNTIF('Detalle individual'!$D$5:$D$1000,"&lt;"&amp;'Detalle individual'!D43)*1000000+COUNTIF('Detalle individual'!$C$5:$C$1000,"&lt;"&amp;'Detalle individual'!C43)*1000+COUNTIF('Detalle individual'!$B$5:$B$1000,"&lt;"&amp;'Detalle individual'!B43)+ROW()/10000,"")</f>
        <v/>
      </c>
      <c r="AK43">
        <f>IF(OR('Base Exámenes'!C43="",'Base Exámenes'!D43=""),"",IF(COUNTIF('Base Exámenes'!$C$5:C43,'Base Exámenes'!C43)=1,'Base Exámenes'!D43+ROW()/1000000000,""))</f>
        <v>46296.67620375</v>
      </c>
      <c r="AL43">
        <f>IF(OR('Base Exámenes'!C43="",'Base Exámenes'!E43=""),"",IF(COUNTIF('Base Exámenes'!$C$5:C43,'Base Exámenes'!C43)=1,'Base Exámenes'!E43+ROW()/1000000000,""))</f>
        <v>46296.68074078704</v>
      </c>
      <c r="AM43">
        <f>IF(OR('Base Exámenes'!C43="",'Base Exámenes'!G43=""),"",IF(ROW()-4=MATCH('Base Exámenes'!C43&amp;"|"&amp;_xlfn.MAXIFS('Base Exámenes'!$G$5:$G$1000,'Base Exámenes'!$C$5:$C$1000,'Base Exámenes'!C43),'Base Exámenes'!$I$5:$I$1000,0),'Base Exámenes'!G43*1000000+(-1)*'Base Exámenes'!D43,""))</f>
        <v>99953703.3237963</v>
      </c>
      <c r="AO43">
        <f>IF('Consolidado por área'!G43="Completo",'Consolidado por área'!L43+ROW()/1000000000,"")</f>
        <v>46310.69674773148</v>
      </c>
      <c r="AQ43" t="str">
        <f>IF('Base Exámenes'!C43="","",IF(COUNTIF('Base Exámenes'!$C$5:$C$1000,'Base Exámenes'!C43)&lt;2,"",MATCH('Base Exámenes'!C43,'Base Exámenes'!$C$5:$C$1000,0)*10000+ROW()))</f>
        <v/>
      </c>
      <c r="BF43" t="str">
        <f>IF(AND('Consolidado por área'!G43="Completo",LEFT(TRIM('Consolidado por área'!A43),7)="AGENCIA"),'Consolidado por área'!L43+ROW()/1000000000,"")</f>
        <v/>
      </c>
    </row>
    <row r="44">
      <c r="A44" t="str">
        <f>IF('Consolidado por área'!A19="","",TRIM('Consolidado por área'!A19))</f>
        <v>DEPARTAMENTO COMERCIAL DE TARJETA DE CREDITO Y DEBITO</v>
      </c>
      <c r="B44" t="str">
        <f>IF($A44="","",'Consolidado por área'!B19)</f>
        <v>Gerencia de Negocios</v>
      </c>
      <c r="C44">
        <f>IF($A44="","",'Consolidado por área'!C19)</f>
        <v>7</v>
      </c>
      <c r="D44">
        <f>IF($A44="","",'Consolidado por área'!D19)</f>
        <v>7</v>
      </c>
      <c r="E44">
        <f>IF($A44="","",'Consolidado por área'!E19)</f>
        <v>0</v>
      </c>
      <c r="F44">
        <f>IF($A44="","",IF(C44&gt;0,D44/C44,0))</f>
        <v>1</v>
      </c>
      <c r="G44">
        <f>IF($A44="","",F44*1000000+C44*10+(1000-ROW())/10000)</f>
        <v>1000070.0956</v>
      </c>
      <c r="H44">
        <f>IF($A44="","",'Consolidado por área'!H19)</f>
        <v>86.4285714285714</v>
      </c>
      <c r="J44" t="n">
        <v>15</v>
      </c>
      <c r="K44">
        <f>IF(J44&gt;COUNT($G$30:$G$109),"",MATCH(LARGE($G$30:$G$109,J44),$G$30:$G$109,0))</f>
        <v>11</v>
      </c>
      <c r="L44" t="str">
        <f>IF($K44="","",INDEX($A$30:$A$109,K44)&amp;"   "&amp;TEXT(INDEX($F$30:$F$109,K44),"0%"))</f>
        <v>AGENCIA SONSONATE   100%</v>
      </c>
      <c r="M44">
        <f>IF($K44="","",INDEX($D$30:$D$109,K44))</f>
        <v>7</v>
      </c>
      <c r="N44">
        <f>IF($K44="","",INDEX($E$30:$E$109,K44))</f>
        <v>0</v>
      </c>
      <c r="O44" t="str">
        <f>IF($K44="","",INDEX($A$30:$A$109,K44))</f>
        <v>AGENCIA SONSONATE</v>
      </c>
      <c r="P44" t="str">
        <f>IF($K44="","",INDEX($B$30:$B$109,K44))</f>
        <v>Gerencia de Negocios</v>
      </c>
      <c r="Q44">
        <f>IF($K44="","",INDEX($C$30:$C$109,K44))</f>
        <v>7</v>
      </c>
      <c r="R44">
        <f>IF($K44="","",INDEX($F$30:$F$109,K44))</f>
        <v>1</v>
      </c>
      <c r="S44">
        <f>IF($K44="","",INDEX($H$30:$H$109,K44))</f>
        <v>97.1428571428571</v>
      </c>
      <c r="T44">
        <f>IF($K44="","",IF(OR('Dashboard Gerencial'!$B$5="Todas las gerencias",P44='Dashboard Gerencial'!$B$5),ROW(),""))</f>
        <v>44</v>
      </c>
      <c r="W44" t="str">
        <f>A68</f>
        <v>GERENCIA DE SISTEMAS</v>
      </c>
      <c r="Z44">
        <f>IF('Detalle individual'!A44="","",IF(AND(OR('Estado por Colaborador'!$D$4="Todas las gerencias",'Detalle individual'!D44='Estado por Colaborador'!$D$4),OR('Estado por Colaborador'!$D$5="Todos los departamentos",TRIM('Detalle individual'!C44)='Estado por Colaborador'!$D$5),OR('Estado por Colaborador'!$D$6="Todos",'Detalle individual'!F44='Estado por Colaborador'!$D$6)),IF('Detalle individual'!F44="Completado",30000000,IF('Detalle individual'!F44="Pendiente",0,15000000))+COUNTIF('Detalle individual'!$C$5:$C$1000,"&lt;"&amp;'Detalle individual'!C44)*10000+ROW(),""))</f>
        <v>38720044</v>
      </c>
      <c r="AB44" t="str">
        <f>IF('Detalle individual'!C44="","",IF(COUNTIF('Detalle individual'!$C$5:C44,'Detalle individual'!C44)=1,COUNTIF('Detalle individual'!$C$5:$C$1000,"&lt;"&amp;'Detalle individual'!C44),""))</f>
        <v/>
      </c>
      <c r="AC44" t="str">
        <f>IF('Detalle individual'!D44="","",IF(COUNTIF('Detalle individual'!$D$5:D44,'Detalle individual'!D44)=1,COUNTIF('Detalle individual'!$D$5:$D$1000,"&lt;"&amp;'Detalle individual'!D44),""))</f>
        <v/>
      </c>
      <c r="AE44">
        <f>IFERROR(MATCH(SMALL($AB$5:$AB$1000,40),$AB$5:$AB$1000,0)+4,"")</f>
        <v>5</v>
      </c>
      <c r="AH44" t="str">
        <f>IF('Detalle individual'!F44="Pendiente",COUNTIF('Detalle individual'!$D$5:$D$1000,"&lt;"&amp;'Detalle individual'!D44)*1000000+COUNTIF('Detalle individual'!$C$5:$C$1000,"&lt;"&amp;'Detalle individual'!C44)*1000+COUNTIF('Detalle individual'!$B$5:$B$1000,"&lt;"&amp;'Detalle individual'!B44)+ROW()/10000,"")</f>
        <v/>
      </c>
      <c r="AI44">
        <f>IF('Detalle individual'!F44="Completado",COUNTIF('Detalle individual'!$D$5:$D$1000,"&lt;"&amp;'Detalle individual'!D44)*1000000+COUNTIF('Detalle individual'!$C$5:$C$1000,"&lt;"&amp;'Detalle individual'!C44)*1000+COUNTIF('Detalle individual'!$B$5:$B$1000,"&lt;"&amp;'Detalle individual'!B44)+ROW()/10000,"")</f>
        <v>711872734.0044</v>
      </c>
      <c r="AJ44" t="str">
        <f>IF(AND('Detalle individual'!F44&lt;&gt;"",'Detalle individual'!F44&lt;&gt;"Completado",'Detalle individual'!F44&lt;&gt;"Pendiente"),COUNTIF('Detalle individual'!$D$5:$D$1000,"&lt;"&amp;'Detalle individual'!D44)*1000000+COUNTIF('Detalle individual'!$C$5:$C$1000,"&lt;"&amp;'Detalle individual'!C44)*1000+COUNTIF('Detalle individual'!$B$5:$B$1000,"&lt;"&amp;'Detalle individual'!B44)+ROW()/10000,"")</f>
        <v/>
      </c>
      <c r="AK44">
        <f>IF(OR('Base Exámenes'!C44="",'Base Exámenes'!D44=""),"",IF(COUNTIF('Base Exámenes'!$C$5:C44,'Base Exámenes'!C44)=1,'Base Exámenes'!D44+ROW()/1000000000,""))</f>
        <v>46296.679166712966</v>
      </c>
      <c r="AL44">
        <f>IF(OR('Base Exámenes'!C44="",'Base Exámenes'!E44=""),"",IF(COUNTIF('Base Exámenes'!$C$5:C44,'Base Exámenes'!C44)=1,'Base Exámenes'!E44+ROW()/1000000000,""))</f>
        <v>46296.686307916665</v>
      </c>
      <c r="AM44">
        <f>IF(OR('Base Exámenes'!C44="",'Base Exámenes'!G44=""),"",IF(ROW()-4=MATCH('Base Exámenes'!C44&amp;"|"&amp;_xlfn.MAXIFS('Base Exámenes'!$G$5:$G$1000,'Base Exámenes'!$C$5:$C$1000,'Base Exámenes'!C44),'Base Exámenes'!$I$5:$I$1000,0),'Base Exámenes'!G44*1000000+(-1)*'Base Exámenes'!D44,""))</f>
        <v>99953703.3208333</v>
      </c>
      <c r="AO44">
        <f>IF('Consolidado por área'!G44="Completo",'Consolidado por área'!L44+ROW()/1000000000,"")</f>
        <v>46305.40980328704</v>
      </c>
      <c r="AQ44" t="str">
        <f>IF('Base Exámenes'!C44="","",IF(COUNTIF('Base Exámenes'!$C$5:$C$1000,'Base Exámenes'!C44)&lt;2,"",MATCH('Base Exámenes'!C44,'Base Exámenes'!$C$5:$C$1000,0)*10000+ROW()))</f>
        <v/>
      </c>
      <c r="BF44" t="str">
        <f>IF(AND('Consolidado por área'!G44="Completo",LEFT(TRIM('Consolidado por área'!A44),7)="AGENCIA"),'Consolidado por área'!L44+ROW()/1000000000,"")</f>
        <v/>
      </c>
    </row>
    <row r="45">
      <c r="A45" t="str">
        <f>IF('Consolidado por área'!A20="","",TRIM('Consolidado por área'!A20))</f>
        <v>DEPARTAMENTO DE ANALISIS Y PROGRAMACIÓN</v>
      </c>
      <c r="B45" t="str">
        <f>IF($A45="","",'Consolidado por área'!B20)</f>
        <v>Gerencia de Sistemas</v>
      </c>
      <c r="C45">
        <f>IF($A45="","",'Consolidado por área'!C20)</f>
        <v>11</v>
      </c>
      <c r="D45">
        <f>IF($A45="","",'Consolidado por área'!D20)</f>
        <v>11</v>
      </c>
      <c r="E45">
        <f>IF($A45="","",'Consolidado por área'!E20)</f>
        <v>0</v>
      </c>
      <c r="F45">
        <f>IF($A45="","",IF(C45&gt;0,D45/C45,0))</f>
        <v>1</v>
      </c>
      <c r="G45">
        <f>IF($A45="","",F45*1000000+C45*10+(1000-ROW())/10000)</f>
        <v>1000110.0955</v>
      </c>
      <c r="H45">
        <f>IF($A45="","",'Consolidado por área'!H20)</f>
        <v>100</v>
      </c>
      <c r="J45" t="n">
        <v>16</v>
      </c>
      <c r="K45">
        <f>IF(J45&gt;COUNT($G$30:$G$109),"",MATCH(LARGE($G$30:$G$109,J45),$G$30:$G$109,0))</f>
        <v>12</v>
      </c>
      <c r="L45" t="str">
        <f>IF($K45="","",INDEX($A$30:$A$109,K45)&amp;"   "&amp;TEXT(INDEX($F$30:$F$109,K45),"0%"))</f>
        <v>AGENCIA USULUTAN   100%</v>
      </c>
      <c r="M45">
        <f>IF($K45="","",INDEX($D$30:$D$109,K45))</f>
        <v>7</v>
      </c>
      <c r="N45">
        <f>IF($K45="","",INDEX($E$30:$E$109,K45))</f>
        <v>0</v>
      </c>
      <c r="O45" t="str">
        <f>IF($K45="","",INDEX($A$30:$A$109,K45))</f>
        <v>AGENCIA USULUTAN</v>
      </c>
      <c r="P45" t="str">
        <f>IF($K45="","",INDEX($B$30:$B$109,K45))</f>
        <v>Gerencia de Negocios</v>
      </c>
      <c r="Q45">
        <f>IF($K45="","",INDEX($C$30:$C$109,K45))</f>
        <v>7</v>
      </c>
      <c r="R45">
        <f>IF($K45="","",INDEX($F$30:$F$109,K45))</f>
        <v>1</v>
      </c>
      <c r="S45">
        <f>IF($K45="","",INDEX($H$30:$H$109,K45))</f>
        <v>100</v>
      </c>
      <c r="T45">
        <f>IF($K45="","",IF(OR('Dashboard Gerencial'!$B$5="Todas las gerencias",P45='Dashboard Gerencial'!$B$5),ROW(),""))</f>
        <v>45</v>
      </c>
      <c r="W45" t="str">
        <f>A69</f>
        <v>GERENCIA GENERAL</v>
      </c>
      <c r="Z45">
        <f>IF('Detalle individual'!A45="","",IF(AND(OR('Estado por Colaborador'!$D$4="Todas las gerencias",'Detalle individual'!D45='Estado por Colaborador'!$D$4),OR('Estado por Colaborador'!$D$5="Todos los departamentos",TRIM('Detalle individual'!C45)='Estado por Colaborador'!$D$5),OR('Estado por Colaborador'!$D$6="Todos",'Detalle individual'!F45='Estado por Colaborador'!$D$6)),IF('Detalle individual'!F45="Completado",30000000,IF('Detalle individual'!F45="Pendiente",0,15000000))+COUNTIF('Detalle individual'!$C$5:$C$1000,"&lt;"&amp;'Detalle individual'!C45)*10000+ROW(),""))</f>
        <v>38720045</v>
      </c>
      <c r="AB45" t="str">
        <f>IF('Detalle individual'!C45="","",IF(COUNTIF('Detalle individual'!$C$5:C45,'Detalle individual'!C45)=1,COUNTIF('Detalle individual'!$C$5:$C$1000,"&lt;"&amp;'Detalle individual'!C45),""))</f>
        <v/>
      </c>
      <c r="AC45" t="str">
        <f>IF('Detalle individual'!D45="","",IF(COUNTIF('Detalle individual'!$D$5:D45,'Detalle individual'!D45)=1,COUNTIF('Detalle individual'!$D$5:$D$1000,"&lt;"&amp;'Detalle individual'!D45),""))</f>
        <v/>
      </c>
      <c r="AE45">
        <f>IFERROR(MATCH(SMALL($AB$5:$AB$1000,41),$AB$5:$AB$1000,0)+4,"")</f>
        <v>12</v>
      </c>
      <c r="AH45" t="str">
        <f>IF('Detalle individual'!F45="Pendiente",COUNTIF('Detalle individual'!$D$5:$D$1000,"&lt;"&amp;'Detalle individual'!D45)*1000000+COUNTIF('Detalle individual'!$C$5:$C$1000,"&lt;"&amp;'Detalle individual'!C45)*1000+COUNTIF('Detalle individual'!$B$5:$B$1000,"&lt;"&amp;'Detalle individual'!B45)+ROW()/10000,"")</f>
        <v/>
      </c>
      <c r="AI45">
        <f>IF('Detalle individual'!F45="Completado",COUNTIF('Detalle individual'!$D$5:$D$1000,"&lt;"&amp;'Detalle individual'!D45)*1000000+COUNTIF('Detalle individual'!$C$5:$C$1000,"&lt;"&amp;'Detalle individual'!C45)*1000+COUNTIF('Detalle individual'!$B$5:$B$1000,"&lt;"&amp;'Detalle individual'!B45)+ROW()/10000,"")</f>
        <v>711872952.0045</v>
      </c>
      <c r="AJ45" t="str">
        <f>IF(AND('Detalle individual'!F45&lt;&gt;"",'Detalle individual'!F45&lt;&gt;"Completado",'Detalle individual'!F45&lt;&gt;"Pendiente"),COUNTIF('Detalle individual'!$D$5:$D$1000,"&lt;"&amp;'Detalle individual'!D45)*1000000+COUNTIF('Detalle individual'!$C$5:$C$1000,"&lt;"&amp;'Detalle individual'!C45)*1000+COUNTIF('Detalle individual'!$B$5:$B$1000,"&lt;"&amp;'Detalle individual'!B45)+ROW()/10000,"")</f>
        <v/>
      </c>
      <c r="AK45">
        <f>IF(OR('Base Exámenes'!C45="",'Base Exámenes'!D45=""),"",IF(COUNTIF('Base Exámenes'!$C$5:C45,'Base Exámenes'!C45)=1,'Base Exámenes'!D45+ROW()/1000000000,""))</f>
        <v>46296.70424773148</v>
      </c>
      <c r="AL45">
        <f>IF(OR('Base Exámenes'!C45="",'Base Exámenes'!E45=""),"",IF(COUNTIF('Base Exámenes'!$C$5:C45,'Base Exámenes'!C45)=1,'Base Exámenes'!E45+ROW()/1000000000,""))</f>
        <v>46296.71155097222</v>
      </c>
      <c r="AM45">
        <f>IF(OR('Base Exámenes'!C45="",'Base Exámenes'!G45=""),"",IF(ROW()-4=MATCH('Base Exámenes'!C45&amp;"|"&amp;_xlfn.MAXIFS('Base Exámenes'!$G$5:$G$1000,'Base Exámenes'!$C$5:$C$1000,'Base Exámenes'!C45),'Base Exámenes'!$I$5:$I$1000,0),'Base Exámenes'!G45*1000000+(-1)*'Base Exámenes'!D45,""))</f>
        <v>99953703.2957523</v>
      </c>
      <c r="AO45">
        <f>IF('Consolidado por área'!G45="Completo",'Consolidado por área'!L45+ROW()/1000000000,"")</f>
        <v>46304.69452550926</v>
      </c>
      <c r="AQ45" t="str">
        <f>IF('Base Exámenes'!C45="","",IF(COUNTIF('Base Exámenes'!$C$5:$C$1000,'Base Exámenes'!C45)&lt;2,"",MATCH('Base Exámenes'!C45,'Base Exámenes'!$C$5:$C$1000,0)*10000+ROW()))</f>
        <v/>
      </c>
      <c r="BF45" t="str">
        <f>IF(AND('Consolidado por área'!G45="Completo",LEFT(TRIM('Consolidado por área'!A45),7)="AGENCIA"),'Consolidado por área'!L45+ROW()/1000000000,"")</f>
        <v/>
      </c>
    </row>
    <row r="46">
      <c r="A46" t="str">
        <f>IF('Consolidado por área'!A21="","",TRIM('Consolidado por área'!A21))</f>
        <v>DEPARTAMENTO DE ATENCION A ASOCIADO Y CLIENTE</v>
      </c>
      <c r="B46" t="str">
        <f>IF($A46="","",'Consolidado por área'!B21)</f>
        <v>Gerencia de Negocios</v>
      </c>
      <c r="C46">
        <f>IF($A46="","",'Consolidado por área'!C21)</f>
        <v>7</v>
      </c>
      <c r="D46">
        <f>IF($A46="","",'Consolidado por área'!D21)</f>
        <v>7</v>
      </c>
      <c r="E46">
        <f>IF($A46="","",'Consolidado por área'!E21)</f>
        <v>0</v>
      </c>
      <c r="F46">
        <f>IF($A46="","",IF(C46&gt;0,D46/C46,0))</f>
        <v>1</v>
      </c>
      <c r="G46">
        <f>IF($A46="","",F46*1000000+C46*10+(1000-ROW())/10000)</f>
        <v>1000070.0954</v>
      </c>
      <c r="H46">
        <f>IF($A46="","",'Consolidado por área'!H21)</f>
        <v>95.7142857142857</v>
      </c>
      <c r="J46" t="n">
        <v>17</v>
      </c>
      <c r="K46">
        <f>IF(J46&gt;COUNT($G$30:$G$109),"",MATCH(LARGE($G$30:$G$109,J46),$G$30:$G$109,0))</f>
        <v>15</v>
      </c>
      <c r="L46" t="str">
        <f>IF($K46="","",INDEX($A$30:$A$109,K46)&amp;"   "&amp;TEXT(INDEX($F$30:$F$109,K46),"0%"))</f>
        <v>DEPARTAMENTO COMERCIAL DE TARJETA DE CREDITO Y DEBITO   100%</v>
      </c>
      <c r="M46">
        <f>IF($K46="","",INDEX($D$30:$D$109,K46))</f>
        <v>7</v>
      </c>
      <c r="N46">
        <f>IF($K46="","",INDEX($E$30:$E$109,K46))</f>
        <v>0</v>
      </c>
      <c r="O46" t="str">
        <f>IF($K46="","",INDEX($A$30:$A$109,K46))</f>
        <v>DEPARTAMENTO COMERCIAL DE TARJETA DE CREDITO Y DEBITO</v>
      </c>
      <c r="P46" t="str">
        <f>IF($K46="","",INDEX($B$30:$B$109,K46))</f>
        <v>Gerencia de Negocios</v>
      </c>
      <c r="Q46">
        <f>IF($K46="","",INDEX($C$30:$C$109,K46))</f>
        <v>7</v>
      </c>
      <c r="R46">
        <f>IF($K46="","",INDEX($F$30:$F$109,K46))</f>
        <v>1</v>
      </c>
      <c r="S46">
        <f>IF($K46="","",INDEX($H$30:$H$109,K46))</f>
        <v>86.4285714285714</v>
      </c>
      <c r="T46">
        <f>IF($K46="","",IF(OR('Dashboard Gerencial'!$B$5="Todas las gerencias",P46='Dashboard Gerencial'!$B$5),ROW(),""))</f>
        <v>46</v>
      </c>
      <c r="W46" t="str">
        <f>A70</f>
        <v>GERENCIA LEGAL Y DE CUMPLIMIENTO NORMATIVO</v>
      </c>
      <c r="Z46">
        <f>IF('Detalle individual'!A46="","",IF(AND(OR('Estado por Colaborador'!$D$4="Todas las gerencias",'Detalle individual'!D46='Estado por Colaborador'!$D$4),OR('Estado por Colaborador'!$D$5="Todos los departamentos",TRIM('Detalle individual'!C46)='Estado por Colaborador'!$D$5),OR('Estado por Colaborador'!$D$6="Todos",'Detalle individual'!F46='Estado por Colaborador'!$D$6)),IF('Detalle individual'!F46="Completado",30000000,IF('Detalle individual'!F46="Pendiente",0,15000000))+COUNTIF('Detalle individual'!$C$5:$C$1000,"&lt;"&amp;'Detalle individual'!C46)*10000+ROW(),""))</f>
        <v>38720046</v>
      </c>
      <c r="AB46" t="str">
        <f>IF('Detalle individual'!C46="","",IF(COUNTIF('Detalle individual'!$C$5:C46,'Detalle individual'!C46)=1,COUNTIF('Detalle individual'!$C$5:$C$1000,"&lt;"&amp;'Detalle individual'!C46),""))</f>
        <v/>
      </c>
      <c r="AC46" t="str">
        <f>IF('Detalle individual'!D46="","",IF(COUNTIF('Detalle individual'!$D$5:D46,'Detalle individual'!D46)=1,COUNTIF('Detalle individual'!$D$5:$D$1000,"&lt;"&amp;'Detalle individual'!D46),""))</f>
        <v/>
      </c>
      <c r="AE46">
        <f>IFERROR(MATCH(SMALL($AB$5:$AB$1000,42),$AB$5:$AB$1000,0)+4,"")</f>
        <v>10</v>
      </c>
      <c r="AH46" t="str">
        <f>IF('Detalle individual'!F46="Pendiente",COUNTIF('Detalle individual'!$D$5:$D$1000,"&lt;"&amp;'Detalle individual'!D46)*1000000+COUNTIF('Detalle individual'!$C$5:$C$1000,"&lt;"&amp;'Detalle individual'!C46)*1000+COUNTIF('Detalle individual'!$B$5:$B$1000,"&lt;"&amp;'Detalle individual'!B46)+ROW()/10000,"")</f>
        <v/>
      </c>
      <c r="AI46">
        <f>IF('Detalle individual'!F46="Completado",COUNTIF('Detalle individual'!$D$5:$D$1000,"&lt;"&amp;'Detalle individual'!D46)*1000000+COUNTIF('Detalle individual'!$C$5:$C$1000,"&lt;"&amp;'Detalle individual'!C46)*1000+COUNTIF('Detalle individual'!$B$5:$B$1000,"&lt;"&amp;'Detalle individual'!B46)+ROW()/10000,"")</f>
        <v>711872852.0046</v>
      </c>
      <c r="AJ46" t="str">
        <f>IF(AND('Detalle individual'!F46&lt;&gt;"",'Detalle individual'!F46&lt;&gt;"Completado",'Detalle individual'!F46&lt;&gt;"Pendiente"),COUNTIF('Detalle individual'!$D$5:$D$1000,"&lt;"&amp;'Detalle individual'!D46)*1000000+COUNTIF('Detalle individual'!$C$5:$C$1000,"&lt;"&amp;'Detalle individual'!C46)*1000+COUNTIF('Detalle individual'!$B$5:$B$1000,"&lt;"&amp;'Detalle individual'!B46)+ROW()/10000,"")</f>
        <v/>
      </c>
      <c r="AK46">
        <f>IF(OR('Base Exámenes'!C46="",'Base Exámenes'!D46=""),"",IF(COUNTIF('Base Exámenes'!$C$5:C46,'Base Exámenes'!C46)=1,'Base Exámenes'!D46+ROW()/1000000000,""))</f>
        <v>46296.71229171296</v>
      </c>
      <c r="AL46">
        <f>IF(OR('Base Exámenes'!C46="",'Base Exámenes'!E46=""),"",IF(COUNTIF('Base Exámenes'!$C$5:C46,'Base Exámenes'!C46)=1,'Base Exámenes'!E46+ROW()/1000000000,""))</f>
        <v>46296.713460694446</v>
      </c>
      <c r="AM46">
        <f>IF(OR('Base Exámenes'!C46="",'Base Exámenes'!G46=""),"",IF(ROW()-4=MATCH('Base Exámenes'!C46&amp;"|"&amp;_xlfn.MAXIFS('Base Exámenes'!$G$5:$G$1000,'Base Exámenes'!$C$5:$C$1000,'Base Exámenes'!C46),'Base Exámenes'!$I$5:$I$1000,0),'Base Exámenes'!G46*1000000+(-1)*'Base Exámenes'!D46,""))</f>
        <v>99953703.2877083</v>
      </c>
      <c r="AO46">
        <f>IF('Consolidado por área'!G46="Completo",'Consolidado por área'!L46+ROW()/1000000000,"")</f>
        <v>46296.49747689815</v>
      </c>
      <c r="AQ46" t="str">
        <f>IF('Base Exámenes'!C46="","",IF(COUNTIF('Base Exámenes'!$C$5:$C$1000,'Base Exámenes'!C46)&lt;2,"",MATCH('Base Exámenes'!C46,'Base Exámenes'!$C$5:$C$1000,0)*10000+ROW()))</f>
        <v/>
      </c>
      <c r="BF46" t="str">
        <f>IF(AND('Consolidado por área'!G46="Completo",LEFT(TRIM('Consolidado por área'!A46),7)="AGENCIA"),'Consolidado por área'!L46+ROW()/1000000000,"")</f>
        <v/>
      </c>
    </row>
    <row r="47">
      <c r="A47" t="str">
        <f>IF('Consolidado por área'!A22="","",TRIM('Consolidado por área'!A22))</f>
        <v>DEPARTAMENTO DE AUDITORIA INTERNA</v>
      </c>
      <c r="B47" t="str">
        <f>IF($A47="","",'Consolidado por área'!B22)</f>
        <v>Auditoría Interna</v>
      </c>
      <c r="C47">
        <f>IF($A47="","",'Consolidado por área'!C22)</f>
        <v>7</v>
      </c>
      <c r="D47">
        <f>IF($A47="","",'Consolidado por área'!D22)</f>
        <v>7</v>
      </c>
      <c r="E47">
        <f>IF($A47="","",'Consolidado por área'!E22)</f>
        <v>0</v>
      </c>
      <c r="F47">
        <f>IF($A47="","",IF(C47&gt;0,D47/C47,0))</f>
        <v>1</v>
      </c>
      <c r="G47">
        <f>IF($A47="","",F47*1000000+C47*10+(1000-ROW())/10000)</f>
        <v>1000070.0953</v>
      </c>
      <c r="H47">
        <f>IF($A47="","",'Consolidado por área'!H22)</f>
        <v>97.1428571428571</v>
      </c>
      <c r="J47" t="n">
        <v>18</v>
      </c>
      <c r="K47">
        <f>IF(J47&gt;COUNT($G$30:$G$109),"",MATCH(LARGE($G$30:$G$109,J47),$G$30:$G$109,0))</f>
        <v>17</v>
      </c>
      <c r="L47" t="str">
        <f>IF($K47="","",INDEX($A$30:$A$109,K47)&amp;"   "&amp;TEXT(INDEX($F$30:$F$109,K47),"0%"))</f>
        <v>DEPARTAMENTO DE ATENCION A ASOCIADO Y CLIENTE   100%</v>
      </c>
      <c r="M47">
        <f>IF($K47="","",INDEX($D$30:$D$109,K47))</f>
        <v>7</v>
      </c>
      <c r="N47">
        <f>IF($K47="","",INDEX($E$30:$E$109,K47))</f>
        <v>0</v>
      </c>
      <c r="O47" t="str">
        <f>IF($K47="","",INDEX($A$30:$A$109,K47))</f>
        <v>DEPARTAMENTO DE ATENCION A ASOCIADO Y CLIENTE</v>
      </c>
      <c r="P47" t="str">
        <f>IF($K47="","",INDEX($B$30:$B$109,K47))</f>
        <v>Gerencia de Negocios</v>
      </c>
      <c r="Q47">
        <f>IF($K47="","",INDEX($C$30:$C$109,K47))</f>
        <v>7</v>
      </c>
      <c r="R47">
        <f>IF($K47="","",INDEX($F$30:$F$109,K47))</f>
        <v>1</v>
      </c>
      <c r="S47">
        <f>IF($K47="","",INDEX($H$30:$H$109,K47))</f>
        <v>95.7142857142857</v>
      </c>
      <c r="T47">
        <f>IF($K47="","",IF(OR('Dashboard Gerencial'!$B$5="Todas las gerencias",P47='Dashboard Gerencial'!$B$5),ROW(),""))</f>
        <v>47</v>
      </c>
      <c r="W47" t="str">
        <f>A71</f>
        <v>OFICIALIA DE CUMPLIMIENTO</v>
      </c>
      <c r="Z47">
        <f>IF('Detalle individual'!A47="","",IF(AND(OR('Estado por Colaborador'!$D$4="Todas las gerencias",'Detalle individual'!D47='Estado por Colaborador'!$D$4),OR('Estado por Colaborador'!$D$5="Todos los departamentos",TRIM('Detalle individual'!C47)='Estado por Colaborador'!$D$5),OR('Estado por Colaborador'!$D$6="Todos",'Detalle individual'!F47='Estado por Colaborador'!$D$6)),IF('Detalle individual'!F47="Completado",30000000,IF('Detalle individual'!F47="Pendiente",0,15000000))+COUNTIF('Detalle individual'!$C$5:$C$1000,"&lt;"&amp;'Detalle individual'!C47)*10000+ROW(),""))</f>
        <v>38720047</v>
      </c>
      <c r="AB47" t="str">
        <f>IF('Detalle individual'!C47="","",IF(COUNTIF('Detalle individual'!$C$5:C47,'Detalle individual'!C47)=1,COUNTIF('Detalle individual'!$C$5:$C$1000,"&lt;"&amp;'Detalle individual'!C47),""))</f>
        <v/>
      </c>
      <c r="AC47" t="str">
        <f>IF('Detalle individual'!D47="","",IF(COUNTIF('Detalle individual'!$D$5:D47,'Detalle individual'!D47)=1,COUNTIF('Detalle individual'!$D$5:$D$1000,"&lt;"&amp;'Detalle individual'!D47),""))</f>
        <v/>
      </c>
      <c r="AE47">
        <f>IFERROR(MATCH(SMALL($AB$5:$AB$1000,43),$AB$5:$AB$1000,0)+4,"")</f>
        <v>21</v>
      </c>
      <c r="AH47" t="str">
        <f>IF('Detalle individual'!F47="Pendiente",COUNTIF('Detalle individual'!$D$5:$D$1000,"&lt;"&amp;'Detalle individual'!D47)*1000000+COUNTIF('Detalle individual'!$C$5:$C$1000,"&lt;"&amp;'Detalle individual'!C47)*1000+COUNTIF('Detalle individual'!$B$5:$B$1000,"&lt;"&amp;'Detalle individual'!B47)+ROW()/10000,"")</f>
        <v/>
      </c>
      <c r="AI47">
        <f>IF('Detalle individual'!F47="Completado",COUNTIF('Detalle individual'!$D$5:$D$1000,"&lt;"&amp;'Detalle individual'!D47)*1000000+COUNTIF('Detalle individual'!$C$5:$C$1000,"&lt;"&amp;'Detalle individual'!C47)*1000+COUNTIF('Detalle individual'!$B$5:$B$1000,"&lt;"&amp;'Detalle individual'!B47)+ROW()/10000,"")</f>
        <v>711872708.0047</v>
      </c>
      <c r="AJ47" t="str">
        <f>IF(AND('Detalle individual'!F47&lt;&gt;"",'Detalle individual'!F47&lt;&gt;"Completado",'Detalle individual'!F47&lt;&gt;"Pendiente"),COUNTIF('Detalle individual'!$D$5:$D$1000,"&lt;"&amp;'Detalle individual'!D47)*1000000+COUNTIF('Detalle individual'!$C$5:$C$1000,"&lt;"&amp;'Detalle individual'!C47)*1000+COUNTIF('Detalle individual'!$B$5:$B$1000,"&lt;"&amp;'Detalle individual'!B47)+ROW()/10000,"")</f>
        <v/>
      </c>
      <c r="AK47">
        <f>IF(OR('Base Exámenes'!C47="",'Base Exámenes'!D47=""),"",IF(COUNTIF('Base Exámenes'!$C$5:C47,'Base Exámenes'!C47)=1,'Base Exámenes'!D47+ROW()/1000000000,""))</f>
        <v>46296.8264699537</v>
      </c>
      <c r="AL47">
        <f>IF(OR('Base Exámenes'!C47="",'Base Exámenes'!E47=""),"",IF(COUNTIF('Base Exámenes'!$C$5:C47,'Base Exámenes'!C47)=1,'Base Exámenes'!E47+ROW()/1000000000,""))</f>
        <v>46296.82847226852</v>
      </c>
      <c r="AM47">
        <f>IF(OR('Base Exámenes'!C47="",'Base Exámenes'!G47=""),"",IF(ROW()-4=MATCH('Base Exámenes'!C47&amp;"|"&amp;_xlfn.MAXIFS('Base Exámenes'!$G$5:$G$1000,'Base Exámenes'!$C$5:$C$1000,'Base Exámenes'!C47),'Base Exámenes'!$I$5:$I$1000,0),'Base Exámenes'!G47*1000000+(-1)*'Base Exámenes'!D47,""))</f>
        <v>99953703.1735301</v>
      </c>
      <c r="AO47">
        <f>IF('Consolidado por área'!G47="Completo",'Consolidado por área'!L47+ROW()/1000000000,"")</f>
        <v>46296.449097268516</v>
      </c>
      <c r="AQ47" t="str">
        <f>IF('Base Exámenes'!C47="","",IF(COUNTIF('Base Exámenes'!$C$5:$C$1000,'Base Exámenes'!C47)&lt;2,"",MATCH('Base Exámenes'!C47,'Base Exámenes'!$C$5:$C$1000,0)*10000+ROW()))</f>
        <v/>
      </c>
      <c r="BF47" t="str">
        <f>IF(AND('Consolidado por área'!G47="Completo",LEFT(TRIM('Consolidado por área'!A47),7)="AGENCIA"),'Consolidado por área'!L47+ROW()/1000000000,"")</f>
        <v/>
      </c>
    </row>
    <row r="48">
      <c r="A48" t="str">
        <f>IF('Consolidado por área'!A23="","",TRIM('Consolidado por área'!A23))</f>
        <v>DEPARTAMENTO DE CONTABILIDAD</v>
      </c>
      <c r="B48" t="str">
        <f>IF($A48="","",'Consolidado por área'!B23)</f>
        <v>Gerencia de Finanzas y Planificación</v>
      </c>
      <c r="C48">
        <f>IF($A48="","",'Consolidado por área'!C23)</f>
        <v>13</v>
      </c>
      <c r="D48">
        <f>IF($A48="","",'Consolidado por área'!D23)</f>
        <v>13</v>
      </c>
      <c r="E48">
        <f>IF($A48="","",'Consolidado por área'!E23)</f>
        <v>0</v>
      </c>
      <c r="F48">
        <f>IF($A48="","",IF(C48&gt;0,D48/C48,0))</f>
        <v>1</v>
      </c>
      <c r="G48">
        <f>IF($A48="","",F48*1000000+C48*10+(1000-ROW())/10000)</f>
        <v>1000130.0952</v>
      </c>
      <c r="H48">
        <f>IF($A48="","",'Consolidado por área'!H23)</f>
        <v>98.0769230769231</v>
      </c>
      <c r="J48" t="n">
        <v>19</v>
      </c>
      <c r="K48">
        <f>IF(J48&gt;COUNT($G$30:$G$109),"",MATCH(LARGE($G$30:$G$109,J48),$G$30:$G$109,0))</f>
        <v>18</v>
      </c>
      <c r="L48" t="str">
        <f>IF($K48="","",INDEX($A$30:$A$109,K48)&amp;"   "&amp;TEXT(INDEX($F$30:$F$109,K48),"0%"))</f>
        <v>DEPARTAMENTO DE AUDITORIA INTERNA   100%</v>
      </c>
      <c r="M48">
        <f>IF($K48="","",INDEX($D$30:$D$109,K48))</f>
        <v>7</v>
      </c>
      <c r="N48">
        <f>IF($K48="","",INDEX($E$30:$E$109,K48))</f>
        <v>0</v>
      </c>
      <c r="O48" t="str">
        <f>IF($K48="","",INDEX($A$30:$A$109,K48))</f>
        <v>DEPARTAMENTO DE AUDITORIA INTERNA</v>
      </c>
      <c r="P48" t="str">
        <f>IF($K48="","",INDEX($B$30:$B$109,K48))</f>
        <v>Auditoría Interna</v>
      </c>
      <c r="Q48">
        <f>IF($K48="","",INDEX($C$30:$C$109,K48))</f>
        <v>7</v>
      </c>
      <c r="R48">
        <f>IF($K48="","",INDEX($F$30:$F$109,K48))</f>
        <v>1</v>
      </c>
      <c r="S48">
        <f>IF($K48="","",INDEX($H$30:$H$109,K48))</f>
        <v>97.1428571428571</v>
      </c>
      <c r="T48">
        <f>IF($K48="","",IF(OR('Dashboard Gerencial'!$B$5="Todas las gerencias",P48='Dashboard Gerencial'!$B$5),ROW(),""))</f>
        <v>48</v>
      </c>
      <c r="W48" t="str">
        <f>A72</f>
        <v>OFICIALIA DE SEGURIDAD DE LA INFORMACION</v>
      </c>
      <c r="Z48">
        <f>IF('Detalle individual'!A48="","",IF(AND(OR('Estado por Colaborador'!$D$4="Todas las gerencias",'Detalle individual'!D48='Estado por Colaborador'!$D$4),OR('Estado por Colaborador'!$D$5="Todos los departamentos",TRIM('Detalle individual'!C48)='Estado por Colaborador'!$D$5),OR('Estado por Colaborador'!$D$6="Todos",'Detalle individual'!F48='Estado por Colaborador'!$D$6)),IF('Detalle individual'!F48="Completado",30000000,IF('Detalle individual'!F48="Pendiente",0,15000000))+COUNTIF('Detalle individual'!$C$5:$C$1000,"&lt;"&amp;'Detalle individual'!C48)*10000+ROW(),""))</f>
        <v>38720048</v>
      </c>
      <c r="AB48" t="str">
        <f>IF('Detalle individual'!C48="","",IF(COUNTIF('Detalle individual'!$C$5:C48,'Detalle individual'!C48)=1,COUNTIF('Detalle individual'!$C$5:$C$1000,"&lt;"&amp;'Detalle individual'!C48),""))</f>
        <v/>
      </c>
      <c r="AC48" t="str">
        <f>IF('Detalle individual'!D48="","",IF(COUNTIF('Detalle individual'!$D$5:D48,'Detalle individual'!D48)=1,COUNTIF('Detalle individual'!$D$5:$D$1000,"&lt;"&amp;'Detalle individual'!D48),""))</f>
        <v/>
      </c>
      <c r="AE48">
        <f>IFERROR(MATCH(SMALL($AB$5:$AB$1000,44),$AB$5:$AB$1000,0)+4,"")</f>
        <v>184</v>
      </c>
      <c r="AH48" t="str">
        <f>IF('Detalle individual'!F48="Pendiente",COUNTIF('Detalle individual'!$D$5:$D$1000,"&lt;"&amp;'Detalle individual'!D48)*1000000+COUNTIF('Detalle individual'!$C$5:$C$1000,"&lt;"&amp;'Detalle individual'!C48)*1000+COUNTIF('Detalle individual'!$B$5:$B$1000,"&lt;"&amp;'Detalle individual'!B48)+ROW()/10000,"")</f>
        <v/>
      </c>
      <c r="AI48">
        <f>IF('Detalle individual'!F48="Completado",COUNTIF('Detalle individual'!$D$5:$D$1000,"&lt;"&amp;'Detalle individual'!D48)*1000000+COUNTIF('Detalle individual'!$C$5:$C$1000,"&lt;"&amp;'Detalle individual'!C48)*1000+COUNTIF('Detalle individual'!$B$5:$B$1000,"&lt;"&amp;'Detalle individual'!B48)+ROW()/10000,"")</f>
        <v>711872815.0048</v>
      </c>
      <c r="AJ48" t="str">
        <f>IF(AND('Detalle individual'!F48&lt;&gt;"",'Detalle individual'!F48&lt;&gt;"Completado",'Detalle individual'!F48&lt;&gt;"Pendiente"),COUNTIF('Detalle individual'!$D$5:$D$1000,"&lt;"&amp;'Detalle individual'!D48)*1000000+COUNTIF('Detalle individual'!$C$5:$C$1000,"&lt;"&amp;'Detalle individual'!C48)*1000+COUNTIF('Detalle individual'!$B$5:$B$1000,"&lt;"&amp;'Detalle individual'!B48)+ROW()/10000,"")</f>
        <v/>
      </c>
      <c r="AK48">
        <f>IF(OR('Base Exámenes'!C48="",'Base Exámenes'!D48=""),"",IF(COUNTIF('Base Exámenes'!$C$5:C48,'Base Exámenes'!C48)=1,'Base Exámenes'!D48+ROW()/1000000000,""))</f>
        <v>46297.468854212966</v>
      </c>
      <c r="AL48">
        <f>IF(OR('Base Exámenes'!C48="",'Base Exámenes'!E48=""),"",IF(COUNTIF('Base Exámenes'!$C$5:C48,'Base Exámenes'!C48)=1,'Base Exámenes'!E48+ROW()/1000000000,""))</f>
        <v>46297.47550930556</v>
      </c>
      <c r="AM48">
        <f>IF(OR('Base Exámenes'!C48="",'Base Exámenes'!G48=""),"",IF(ROW()-4=MATCH('Base Exámenes'!C48&amp;"|"&amp;_xlfn.MAXIFS('Base Exámenes'!$G$5:$G$1000,'Base Exámenes'!$C$5:$C$1000,'Base Exámenes'!C48),'Base Exámenes'!$I$5:$I$1000,0),'Base Exámenes'!G48*1000000+(-1)*'Base Exámenes'!D48,""))</f>
        <v>94953702.5311458</v>
      </c>
      <c r="AO48">
        <f>IF('Consolidado por área'!G48="Completo",'Consolidado por área'!L48+ROW()/1000000000,"")</f>
        <v>46309.68292828704</v>
      </c>
      <c r="AQ48" t="str">
        <f>IF('Base Exámenes'!C48="","",IF(COUNTIF('Base Exámenes'!$C$5:$C$1000,'Base Exámenes'!C48)&lt;2,"",MATCH('Base Exámenes'!C48,'Base Exámenes'!$C$5:$C$1000,0)*10000+ROW()))</f>
        <v/>
      </c>
      <c r="BF48" t="str">
        <f>IF(AND('Consolidado por área'!G48="Completo",LEFT(TRIM('Consolidado por área'!A48),7)="AGENCIA"),'Consolidado por área'!L48+ROW()/1000000000,"")</f>
        <v/>
      </c>
    </row>
    <row r="49">
      <c r="A49" t="str">
        <f>IF('Consolidado por área'!A24="","",TRIM('Consolidado por área'!A24))</f>
        <v>DEPARTAMENTO DE CREDITOS</v>
      </c>
      <c r="B49" t="str">
        <f>IF($A49="","",'Consolidado por área'!B24)</f>
        <v>Gerencia de Negocios</v>
      </c>
      <c r="C49">
        <f>IF($A49="","",'Consolidado por área'!C24)</f>
        <v>13</v>
      </c>
      <c r="D49">
        <f>IF($A49="","",'Consolidado por área'!D24)</f>
        <v>13</v>
      </c>
      <c r="E49">
        <f>IF($A49="","",'Consolidado por área'!E24)</f>
        <v>0</v>
      </c>
      <c r="F49">
        <f>IF($A49="","",IF(C49&gt;0,D49/C49,0))</f>
        <v>1</v>
      </c>
      <c r="G49">
        <f>IF($A49="","",F49*1000000+C49*10+(1000-ROW())/10000)</f>
        <v>1000130.0951</v>
      </c>
      <c r="H49">
        <f>IF($A49="","",'Consolidado por área'!H24)</f>
        <v>98.4615384615385</v>
      </c>
      <c r="J49" t="n">
        <v>20</v>
      </c>
      <c r="K49">
        <f>IF(J49&gt;COUNT($G$30:$G$109),"",MATCH(LARGE($G$30:$G$109,J49),$G$30:$G$109,0))</f>
        <v>24</v>
      </c>
      <c r="L49" t="str">
        <f>IF($K49="","",INDEX($A$30:$A$109,K49)&amp;"   "&amp;TEXT(INDEX($F$30:$F$109,K49),"0%"))</f>
        <v>DEPARTAMENTO DE MERCADEO   100%</v>
      </c>
      <c r="M49">
        <f>IF($K49="","",INDEX($D$30:$D$109,K49))</f>
        <v>7</v>
      </c>
      <c r="N49">
        <f>IF($K49="","",INDEX($E$30:$E$109,K49))</f>
        <v>0</v>
      </c>
      <c r="O49" t="str">
        <f>IF($K49="","",INDEX($A$30:$A$109,K49))</f>
        <v>DEPARTAMENTO DE MERCADEO</v>
      </c>
      <c r="P49" t="str">
        <f>IF($K49="","",INDEX($B$30:$B$109,K49))</f>
        <v>Gerencia de Negocios</v>
      </c>
      <c r="Q49">
        <f>IF($K49="","",INDEX($C$30:$C$109,K49))</f>
        <v>7</v>
      </c>
      <c r="R49">
        <f>IF($K49="","",INDEX($F$30:$F$109,K49))</f>
        <v>1</v>
      </c>
      <c r="S49">
        <f>IF($K49="","",INDEX($H$30:$H$109,K49))</f>
        <v>94.2857142857143</v>
      </c>
      <c r="T49">
        <f>IF($K49="","",IF(OR('Dashboard Gerencial'!$B$5="Todas las gerencias",P49='Dashboard Gerencial'!$B$5),ROW(),""))</f>
        <v>49</v>
      </c>
      <c r="W49" t="str">
        <f>A73</f>
        <v>SUB GERENCIA DE CANALES</v>
      </c>
      <c r="Z49">
        <f>IF('Detalle individual'!A49="","",IF(AND(OR('Estado por Colaborador'!$D$4="Todas las gerencias",'Detalle individual'!D49='Estado por Colaborador'!$D$4),OR('Estado por Colaborador'!$D$5="Todos los departamentos",TRIM('Detalle individual'!C49)='Estado por Colaborador'!$D$5),OR('Estado por Colaborador'!$D$6="Todos",'Detalle individual'!F49='Estado por Colaborador'!$D$6)),IF('Detalle individual'!F49="Completado",30000000,IF('Detalle individual'!F49="Pendiente",0,15000000))+COUNTIF('Detalle individual'!$C$5:$C$1000,"&lt;"&amp;'Detalle individual'!C49)*10000+ROW(),""))</f>
        <v>24450049</v>
      </c>
      <c r="AB49">
        <f>IF('Detalle individual'!C49="","",IF(COUNTIF('Detalle individual'!$C$5:C49,'Detalle individual'!C49)=1,COUNTIF('Detalle individual'!$C$5:$C$1000,"&lt;"&amp;'Detalle individual'!C49),""))</f>
        <v>945</v>
      </c>
      <c r="AC49" t="str">
        <f>IF('Detalle individual'!D49="","",IF(COUNTIF('Detalle individual'!$D$5:D49,'Detalle individual'!D49)=1,COUNTIF('Detalle individual'!$D$5:$D$1000,"&lt;"&amp;'Detalle individual'!D49),""))</f>
        <v/>
      </c>
      <c r="AE49" t="str">
        <f>IFERROR(MATCH(SMALL($AB$5:$AB$1000,45),$AB$5:$AB$1000,0)+4,"")</f>
        <v/>
      </c>
      <c r="AH49" t="str">
        <f>IF('Detalle individual'!F49="Pendiente",COUNTIF('Detalle individual'!$D$5:$D$1000,"&lt;"&amp;'Detalle individual'!D49)*1000000+COUNTIF('Detalle individual'!$C$5:$C$1000,"&lt;"&amp;'Detalle individual'!C49)*1000+COUNTIF('Detalle individual'!$B$5:$B$1000,"&lt;"&amp;'Detalle individual'!B49)+ROW()/10000,"")</f>
        <v/>
      </c>
      <c r="AI49" t="str">
        <f>IF('Detalle individual'!F49="Completado",COUNTIF('Detalle individual'!$D$5:$D$1000,"&lt;"&amp;'Detalle individual'!D49)*1000000+COUNTIF('Detalle individual'!$C$5:$C$1000,"&lt;"&amp;'Detalle individual'!C49)*1000+COUNTIF('Detalle individual'!$B$5:$B$1000,"&lt;"&amp;'Detalle individual'!B49)+ROW()/10000,"")</f>
        <v/>
      </c>
      <c r="AJ49">
        <f>IF(AND('Detalle individual'!F49&lt;&gt;"",'Detalle individual'!F49&lt;&gt;"Completado",'Detalle individual'!F49&lt;&gt;"Pendiente"),COUNTIF('Detalle individual'!$D$5:$D$1000,"&lt;"&amp;'Detalle individual'!D49)*1000000+COUNTIF('Detalle individual'!$C$5:$C$1000,"&lt;"&amp;'Detalle individual'!C49)*1000+COUNTIF('Detalle individual'!$B$5:$B$1000,"&lt;"&amp;'Detalle individual'!B49)+ROW()/10000,"")</f>
        <v>711945767.0049</v>
      </c>
      <c r="AK49">
        <f>IF(OR('Base Exámenes'!C49="",'Base Exámenes'!D49=""),"",IF(COUNTIF('Base Exámenes'!$C$5:C49,'Base Exámenes'!C49)=1,'Base Exámenes'!D49+ROW()/1000000000,""))</f>
        <v>46297.48075236111</v>
      </c>
      <c r="AL49">
        <f>IF(OR('Base Exámenes'!C49="",'Base Exámenes'!E49=""),"",IF(COUNTIF('Base Exámenes'!$C$5:C49,'Base Exámenes'!C49)=1,'Base Exámenes'!E49+ROW()/1000000000,""))</f>
        <v>46297.48825236111</v>
      </c>
      <c r="AM49">
        <f>IF(OR('Base Exámenes'!C49="",'Base Exámenes'!G49=""),"",IF(ROW()-4=MATCH('Base Exámenes'!C49&amp;"|"&amp;_xlfn.MAXIFS('Base Exámenes'!$G$5:$G$1000,'Base Exámenes'!$C$5:$C$1000,'Base Exámenes'!C49),'Base Exámenes'!$I$5:$I$1000,0),'Base Exámenes'!G49*1000000+(-1)*'Base Exámenes'!D49,""))</f>
        <v>99953702.5192477</v>
      </c>
      <c r="AO49" t="str">
        <f>IF('Consolidado por área'!G49="Completo",'Consolidado por área'!L49+ROW()/1000000000,"")</f>
        <v/>
      </c>
      <c r="AQ49" t="str">
        <f>IF('Base Exámenes'!C49="","",IF(COUNTIF('Base Exámenes'!$C$5:$C$1000,'Base Exámenes'!C49)&lt;2,"",MATCH('Base Exámenes'!C49,'Base Exámenes'!$C$5:$C$1000,0)*10000+ROW()))</f>
        <v/>
      </c>
      <c r="BF49" t="str">
        <f>IF(AND('Consolidado por área'!G49="Completo",LEFT(TRIM('Consolidado por área'!A49),7)="AGENCIA"),'Consolidado por área'!L49+ROW()/1000000000,"")</f>
        <v/>
      </c>
    </row>
    <row r="50">
      <c r="A50" t="str">
        <f>IF('Consolidado por área'!A25="","",TRIM('Consolidado por área'!A25))</f>
        <v>DEPARTAMENTO DE CUSTODIA DE GARANTÍA Y VALORES</v>
      </c>
      <c r="B50" t="str">
        <f>IF($A50="","",'Consolidado por área'!B25)</f>
        <v>Gerencia Administrativa</v>
      </c>
      <c r="C50">
        <f>IF($A50="","",'Consolidado por área'!C25)</f>
        <v>6</v>
      </c>
      <c r="D50">
        <f>IF($A50="","",'Consolidado por área'!D25)</f>
        <v>6</v>
      </c>
      <c r="E50">
        <f>IF($A50="","",'Consolidado por área'!E25)</f>
        <v>0</v>
      </c>
      <c r="F50">
        <f>IF($A50="","",IF(C50&gt;0,D50/C50,0))</f>
        <v>1</v>
      </c>
      <c r="G50">
        <f>IF($A50="","",F50*1000000+C50*10+(1000-ROW())/10000)</f>
        <v>1000060.095</v>
      </c>
      <c r="H50">
        <f>IF($A50="","",'Consolidado por área'!H25)</f>
        <v>100</v>
      </c>
      <c r="J50" t="n">
        <v>21</v>
      </c>
      <c r="K50">
        <f>IF(J50&gt;COUNT($G$30:$G$109),"",MATCH(LARGE($G$30:$G$109,J50),$G$30:$G$109,0))</f>
        <v>42</v>
      </c>
      <c r="L50" t="str">
        <f>IF($K50="","",INDEX($A$30:$A$109,K50)&amp;"   "&amp;TEXT(INDEX($F$30:$F$109,K50),"0%"))</f>
        <v>OFICIALIA DE CUMPLIMIENTO   100%</v>
      </c>
      <c r="M50">
        <f>IF($K50="","",INDEX($D$30:$D$109,K50))</f>
        <v>7</v>
      </c>
      <c r="N50">
        <f>IF($K50="","",INDEX($E$30:$E$109,K50))</f>
        <v>0</v>
      </c>
      <c r="O50" t="str">
        <f>IF($K50="","",INDEX($A$30:$A$109,K50))</f>
        <v>OFICIALIA DE CUMPLIMIENTO</v>
      </c>
      <c r="P50" t="str">
        <f>IF($K50="","",INDEX($B$30:$B$109,K50))</f>
        <v>Gerencia de Oficialía de Cumplimiento</v>
      </c>
      <c r="Q50">
        <f>IF($K50="","",INDEX($C$30:$C$109,K50))</f>
        <v>7</v>
      </c>
      <c r="R50">
        <f>IF($K50="","",INDEX($F$30:$F$109,K50))</f>
        <v>1</v>
      </c>
      <c r="S50">
        <f>IF($K50="","",INDEX($H$30:$H$109,K50))</f>
        <v>100</v>
      </c>
      <c r="T50">
        <f>IF($K50="","",IF(OR('Dashboard Gerencial'!$B$5="Todas las gerencias",P50='Dashboard Gerencial'!$B$5),ROW(),""))</f>
        <v>50</v>
      </c>
      <c r="W50" t="str">
        <f>A74</f>
        <v/>
      </c>
      <c r="Z50">
        <f>IF('Detalle individual'!A50="","",IF(AND(OR('Estado por Colaborador'!$D$4="Todas las gerencias",'Detalle individual'!D50='Estado por Colaborador'!$D$4),OR('Estado por Colaborador'!$D$5="Todos los departamentos",TRIM('Detalle individual'!C50)='Estado por Colaborador'!$D$5),OR('Estado por Colaborador'!$D$6="Todos",'Detalle individual'!F50='Estado por Colaborador'!$D$6)),IF('Detalle individual'!F50="Completado",30000000,IF('Detalle individual'!F50="Pendiente",0,15000000))+COUNTIF('Detalle individual'!$C$5:$C$1000,"&lt;"&amp;'Detalle individual'!C50)*10000+ROW(),""))</f>
        <v>39450050</v>
      </c>
      <c r="AB50" t="str">
        <f>IF('Detalle individual'!C50="","",IF(COUNTIF('Detalle individual'!$C$5:C50,'Detalle individual'!C50)=1,COUNTIF('Detalle individual'!$C$5:$C$1000,"&lt;"&amp;'Detalle individual'!C50),""))</f>
        <v/>
      </c>
      <c r="AC50" t="str">
        <f>IF('Detalle individual'!D50="","",IF(COUNTIF('Detalle individual'!$D$5:D50,'Detalle individual'!D50)=1,COUNTIF('Detalle individual'!$D$5:$D$1000,"&lt;"&amp;'Detalle individual'!D50),""))</f>
        <v/>
      </c>
      <c r="AE50" t="str">
        <f>IFERROR(MATCH(SMALL($AB$5:$AB$1000,46),$AB$5:$AB$1000,0)+4,"")</f>
        <v/>
      </c>
      <c r="AH50" t="str">
        <f>IF('Detalle individual'!F50="Pendiente",COUNTIF('Detalle individual'!$D$5:$D$1000,"&lt;"&amp;'Detalle individual'!D50)*1000000+COUNTIF('Detalle individual'!$C$5:$C$1000,"&lt;"&amp;'Detalle individual'!C50)*1000+COUNTIF('Detalle individual'!$B$5:$B$1000,"&lt;"&amp;'Detalle individual'!B50)+ROW()/10000,"")</f>
        <v/>
      </c>
      <c r="AI50">
        <f>IF('Detalle individual'!F50="Completado",COUNTIF('Detalle individual'!$D$5:$D$1000,"&lt;"&amp;'Detalle individual'!D50)*1000000+COUNTIF('Detalle individual'!$C$5:$C$1000,"&lt;"&amp;'Detalle individual'!C50)*1000+COUNTIF('Detalle individual'!$B$5:$B$1000,"&lt;"&amp;'Detalle individual'!B50)+ROW()/10000,"")</f>
        <v>711945937.005</v>
      </c>
      <c r="AJ50" t="str">
        <f>IF(AND('Detalle individual'!F50&lt;&gt;"",'Detalle individual'!F50&lt;&gt;"Completado",'Detalle individual'!F50&lt;&gt;"Pendiente"),COUNTIF('Detalle individual'!$D$5:$D$1000,"&lt;"&amp;'Detalle individual'!D50)*1000000+COUNTIF('Detalle individual'!$C$5:$C$1000,"&lt;"&amp;'Detalle individual'!C50)*1000+COUNTIF('Detalle individual'!$B$5:$B$1000,"&lt;"&amp;'Detalle individual'!B50)+ROW()/10000,"")</f>
        <v/>
      </c>
      <c r="AK50">
        <f>IF(OR('Base Exámenes'!C50="",'Base Exámenes'!D50=""),"",IF(COUNTIF('Base Exámenes'!$C$5:C50,'Base Exámenes'!C50)=1,'Base Exámenes'!D50+ROW()/1000000000,""))</f>
        <v>46297.458854212964</v>
      </c>
      <c r="AL50">
        <f>IF(OR('Base Exámenes'!C50="",'Base Exámenes'!E50=""),"",IF(COUNTIF('Base Exámenes'!$C$5:C50,'Base Exámenes'!C50)=1,'Base Exámenes'!E50+ROW()/1000000000,""))</f>
        <v>46297.491099583334</v>
      </c>
      <c r="AM50">
        <f>IF(OR('Base Exámenes'!C50="",'Base Exámenes'!G50=""),"",IF(ROW()-4=MATCH('Base Exámenes'!C50&amp;"|"&amp;_xlfn.MAXIFS('Base Exámenes'!$G$5:$G$1000,'Base Exámenes'!$C$5:$C$1000,'Base Exámenes'!C50),'Base Exámenes'!$I$5:$I$1000,0),'Base Exámenes'!G50*1000000+(-1)*'Base Exámenes'!D50,""))</f>
        <v>89953702.5411458</v>
      </c>
      <c r="AO50" t="str">
        <f>IF('Consolidado por área'!G50="Completo",'Consolidado por área'!L50+ROW()/1000000000,"")</f>
        <v/>
      </c>
      <c r="AQ50" t="str">
        <f>IF('Base Exámenes'!C50="","",IF(COUNTIF('Base Exámenes'!$C$5:$C$1000,'Base Exámenes'!C50)&lt;2,"",MATCH('Base Exámenes'!C50,'Base Exámenes'!$C$5:$C$1000,0)*10000+ROW()))</f>
        <v/>
      </c>
      <c r="BF50" t="str">
        <f>IF(AND('Consolidado por área'!G50="Completo",LEFT(TRIM('Consolidado por área'!A50),7)="AGENCIA"),'Consolidado por área'!L50+ROW()/1000000000,"")</f>
        <v/>
      </c>
    </row>
    <row r="51">
      <c r="A51" t="str">
        <f>IF('Consolidado por área'!A26="","",TRIM('Consolidado por área'!A26))</f>
        <v>DEPARTAMENTO DE DEPOSITOS</v>
      </c>
      <c r="B51" t="str">
        <f>IF($A51="","",'Consolidado por área'!B26)</f>
        <v>Gerencia de Operaciones</v>
      </c>
      <c r="C51">
        <f>IF($A51="","",'Consolidado por área'!C26)</f>
        <v>4</v>
      </c>
      <c r="D51">
        <f>IF($A51="","",'Consolidado por área'!D26)</f>
        <v>4</v>
      </c>
      <c r="E51">
        <f>IF($A51="","",'Consolidado por área'!E26)</f>
        <v>0</v>
      </c>
      <c r="F51">
        <f>IF($A51="","",IF(C51&gt;0,D51/C51,0))</f>
        <v>1</v>
      </c>
      <c r="G51">
        <f>IF($A51="","",F51*1000000+C51*10+(1000-ROW())/10000)</f>
        <v>1000040.0949</v>
      </c>
      <c r="H51">
        <f>IF($A51="","",'Consolidado por área'!H26)</f>
        <v>98.75</v>
      </c>
      <c r="J51" t="n">
        <v>22</v>
      </c>
      <c r="K51">
        <f>IF(J51&gt;COUNT($G$30:$G$109),"",MATCH(LARGE($G$30:$G$109,J51),$G$30:$G$109,0))</f>
        <v>44</v>
      </c>
      <c r="L51" t="str">
        <f>IF($K51="","",INDEX($A$30:$A$109,K51)&amp;"   "&amp;TEXT(INDEX($F$30:$F$109,K51),"0%"))</f>
        <v>SUB GERENCIA DE CANALES   100%</v>
      </c>
      <c r="M51">
        <f>IF($K51="","",INDEX($D$30:$D$109,K51))</f>
        <v>7</v>
      </c>
      <c r="N51">
        <f>IF($K51="","",INDEX($E$30:$E$109,K51))</f>
        <v>0</v>
      </c>
      <c r="O51" t="str">
        <f>IF($K51="","",INDEX($A$30:$A$109,K51))</f>
        <v>SUB GERENCIA DE CANALES</v>
      </c>
      <c r="P51" t="str">
        <f>IF($K51="","",INDEX($B$30:$B$109,K51))</f>
        <v>Gerencia de Negocios</v>
      </c>
      <c r="Q51">
        <f>IF($K51="","",INDEX($C$30:$C$109,K51))</f>
        <v>7</v>
      </c>
      <c r="R51">
        <f>IF($K51="","",INDEX($F$30:$F$109,K51))</f>
        <v>1</v>
      </c>
      <c r="S51">
        <f>IF($K51="","",INDEX($H$30:$H$109,K51))</f>
        <v>98.5714285714286</v>
      </c>
      <c r="T51">
        <f>IF($K51="","",IF(OR('Dashboard Gerencial'!$B$5="Todas las gerencias",P51='Dashboard Gerencial'!$B$5),ROW(),""))</f>
        <v>51</v>
      </c>
      <c r="W51" t="str">
        <f>A75</f>
        <v/>
      </c>
      <c r="Z51">
        <f>IF('Detalle individual'!A51="","",IF(AND(OR('Estado por Colaborador'!$D$4="Todas las gerencias",'Detalle individual'!D51='Estado por Colaborador'!$D$4),OR('Estado por Colaborador'!$D$5="Todos los departamentos",TRIM('Detalle individual'!C51)='Estado por Colaborador'!$D$5),OR('Estado por Colaborador'!$D$6="Todos",'Detalle individual'!F51='Estado por Colaborador'!$D$6)),IF('Detalle individual'!F51="Completado",30000000,IF('Detalle individual'!F51="Pendiente",0,15000000))+COUNTIF('Detalle individual'!$C$5:$C$1000,"&lt;"&amp;'Detalle individual'!C51)*10000+ROW(),""))</f>
        <v>39450051</v>
      </c>
      <c r="AB51" t="str">
        <f>IF('Detalle individual'!C51="","",IF(COUNTIF('Detalle individual'!$C$5:C51,'Detalle individual'!C51)=1,COUNTIF('Detalle individual'!$C$5:$C$1000,"&lt;"&amp;'Detalle individual'!C51),""))</f>
        <v/>
      </c>
      <c r="AC51" t="str">
        <f>IF('Detalle individual'!D51="","",IF(COUNTIF('Detalle individual'!$D$5:D51,'Detalle individual'!D51)=1,COUNTIF('Detalle individual'!$D$5:$D$1000,"&lt;"&amp;'Detalle individual'!D51),""))</f>
        <v/>
      </c>
      <c r="AE51" t="str">
        <f>IFERROR(MATCH(SMALL($AB$5:$AB$1000,47),$AB$5:$AB$1000,0)+4,"")</f>
        <v/>
      </c>
      <c r="AH51" t="str">
        <f>IF('Detalle individual'!F51="Pendiente",COUNTIF('Detalle individual'!$D$5:$D$1000,"&lt;"&amp;'Detalle individual'!D51)*1000000+COUNTIF('Detalle individual'!$C$5:$C$1000,"&lt;"&amp;'Detalle individual'!C51)*1000+COUNTIF('Detalle individual'!$B$5:$B$1000,"&lt;"&amp;'Detalle individual'!B51)+ROW()/10000,"")</f>
        <v/>
      </c>
      <c r="AI51">
        <f>IF('Detalle individual'!F51="Completado",COUNTIF('Detalle individual'!$D$5:$D$1000,"&lt;"&amp;'Detalle individual'!D51)*1000000+COUNTIF('Detalle individual'!$C$5:$C$1000,"&lt;"&amp;'Detalle individual'!C51)*1000+COUNTIF('Detalle individual'!$B$5:$B$1000,"&lt;"&amp;'Detalle individual'!B51)+ROW()/10000,"")</f>
        <v>711945809.0051</v>
      </c>
      <c r="AJ51" t="str">
        <f>IF(AND('Detalle individual'!F51&lt;&gt;"",'Detalle individual'!F51&lt;&gt;"Completado",'Detalle individual'!F51&lt;&gt;"Pendiente"),COUNTIF('Detalle individual'!$D$5:$D$1000,"&lt;"&amp;'Detalle individual'!D51)*1000000+COUNTIF('Detalle individual'!$C$5:$C$1000,"&lt;"&amp;'Detalle individual'!C51)*1000+COUNTIF('Detalle individual'!$B$5:$B$1000,"&lt;"&amp;'Detalle individual'!B51)+ROW()/10000,"")</f>
        <v/>
      </c>
      <c r="AK51">
        <f>IF(OR('Base Exámenes'!C51="",'Base Exámenes'!D51=""),"",IF(COUNTIF('Base Exámenes'!$C$5:C51,'Base Exámenes'!C51)=1,'Base Exámenes'!D51+ROW()/1000000000,""))</f>
        <v>46297.63677087963</v>
      </c>
      <c r="AL51">
        <f>IF(OR('Base Exámenes'!C51="",'Base Exámenes'!E51=""),"",IF(COUNTIF('Base Exámenes'!$C$5:C51,'Base Exámenes'!C51)=1,'Base Exámenes'!E51+ROW()/1000000000,""))</f>
        <v>46297.63836810185</v>
      </c>
      <c r="AM51">
        <f>IF(OR('Base Exámenes'!C51="",'Base Exámenes'!G51=""),"",IF(ROW()-4=MATCH('Base Exámenes'!C51&amp;"|"&amp;_xlfn.MAXIFS('Base Exámenes'!$G$5:$G$1000,'Base Exámenes'!$C$5:$C$1000,'Base Exámenes'!C51),'Base Exámenes'!$I$5:$I$1000,0),'Base Exámenes'!G51*1000000+(-1)*'Base Exámenes'!D51,""))</f>
        <v>99953702.3632292</v>
      </c>
      <c r="AO51" t="str">
        <f>IF('Consolidado por área'!G51="Completo",'Consolidado por área'!L51+ROW()/1000000000,"")</f>
        <v/>
      </c>
      <c r="AQ51" t="str">
        <f>IF('Base Exámenes'!C51="","",IF(COUNTIF('Base Exámenes'!$C$5:$C$1000,'Base Exámenes'!C51)&lt;2,"",MATCH('Base Exámenes'!C51,'Base Exámenes'!$C$5:$C$1000,0)*10000+ROW()))</f>
        <v/>
      </c>
      <c r="BF51" t="str">
        <f>IF(AND('Consolidado por área'!G51="Completo",LEFT(TRIM('Consolidado por área'!A51),7)="AGENCIA"),'Consolidado por área'!L51+ROW()/1000000000,"")</f>
        <v/>
      </c>
    </row>
    <row r="52">
      <c r="A52" t="str">
        <f>IF('Consolidado por área'!A27="","",TRIM('Consolidado por área'!A27))</f>
        <v>DEPARTAMENTO DE EDUCACION Y RESPONSABILIDAD SOCIAL</v>
      </c>
      <c r="B52" t="str">
        <f>IF($A52="","",'Consolidado por área'!B27)</f>
        <v>Gerencia Administrativa</v>
      </c>
      <c r="C52">
        <f>IF($A52="","",'Consolidado por área'!C27)</f>
        <v>3</v>
      </c>
      <c r="D52">
        <f>IF($A52="","",'Consolidado por área'!D27)</f>
        <v>3</v>
      </c>
      <c r="E52">
        <f>IF($A52="","",'Consolidado por área'!E27)</f>
        <v>0</v>
      </c>
      <c r="F52">
        <f>IF($A52="","",IF(C52&gt;0,D52/C52,0))</f>
        <v>1</v>
      </c>
      <c r="G52">
        <f>IF($A52="","",F52*1000000+C52*10+(1000-ROW())/10000)</f>
        <v>1000030.0948</v>
      </c>
      <c r="H52">
        <f>IF($A52="","",'Consolidado por área'!H27)</f>
        <v>100</v>
      </c>
      <c r="J52" t="n">
        <v>23</v>
      </c>
      <c r="K52">
        <f>IF(J52&gt;COUNT($G$30:$G$109),"",MATCH(LARGE($G$30:$G$109,J52),$G$30:$G$109,0))</f>
        <v>21</v>
      </c>
      <c r="L52" t="str">
        <f>IF($K52="","",INDEX($A$30:$A$109,K52)&amp;"   "&amp;TEXT(INDEX($F$30:$F$109,K52),"0%"))</f>
        <v>DEPARTAMENTO DE CUSTODIA DE GARANTÍA Y VALORES   100%</v>
      </c>
      <c r="M52">
        <f>IF($K52="","",INDEX($D$30:$D$109,K52))</f>
        <v>6</v>
      </c>
      <c r="N52">
        <f>IF($K52="","",INDEX($E$30:$E$109,K52))</f>
        <v>0</v>
      </c>
      <c r="O52" t="str">
        <f>IF($K52="","",INDEX($A$30:$A$109,K52))</f>
        <v>DEPARTAMENTO DE CUSTODIA DE GARANTÍA Y VALORES</v>
      </c>
      <c r="P52" t="str">
        <f>IF($K52="","",INDEX($B$30:$B$109,K52))</f>
        <v>Gerencia Administrativa</v>
      </c>
      <c r="Q52">
        <f>IF($K52="","",INDEX($C$30:$C$109,K52))</f>
        <v>6</v>
      </c>
      <c r="R52">
        <f>IF($K52="","",INDEX($F$30:$F$109,K52))</f>
        <v>1</v>
      </c>
      <c r="S52">
        <f>IF($K52="","",INDEX($H$30:$H$109,K52))</f>
        <v>100</v>
      </c>
      <c r="T52">
        <f>IF($K52="","",IF(OR('Dashboard Gerencial'!$B$5="Todas las gerencias",P52='Dashboard Gerencial'!$B$5),ROW(),""))</f>
        <v>52</v>
      </c>
      <c r="W52" t="str">
        <f>A76</f>
        <v/>
      </c>
      <c r="Z52">
        <f>IF('Detalle individual'!A52="","",IF(AND(OR('Estado por Colaborador'!$D$4="Todas las gerencias",'Detalle individual'!D52='Estado por Colaborador'!$D$4),OR('Estado por Colaborador'!$D$5="Todos los departamentos",TRIM('Detalle individual'!C52)='Estado por Colaborador'!$D$5),OR('Estado por Colaborador'!$D$6="Todos",'Detalle individual'!F52='Estado por Colaborador'!$D$6)),IF('Detalle individual'!F52="Completado",30000000,IF('Detalle individual'!F52="Pendiente",0,15000000))+COUNTIF('Detalle individual'!$C$5:$C$1000,"&lt;"&amp;'Detalle individual'!C52)*10000+ROW(),""))</f>
        <v>39050052</v>
      </c>
      <c r="AB52">
        <f>IF('Detalle individual'!C52="","",IF(COUNTIF('Detalle individual'!$C$5:C52,'Detalle individual'!C52)=1,COUNTIF('Detalle individual'!$C$5:$C$1000,"&lt;"&amp;'Detalle individual'!C52),""))</f>
        <v>905</v>
      </c>
      <c r="AC52" t="str">
        <f>IF('Detalle individual'!D52="","",IF(COUNTIF('Detalle individual'!$D$5:D52,'Detalle individual'!D52)=1,COUNTIF('Detalle individual'!$D$5:$D$1000,"&lt;"&amp;'Detalle individual'!D52),""))</f>
        <v/>
      </c>
      <c r="AE52" t="str">
        <f>IFERROR(MATCH(SMALL($AB$5:$AB$1000,48),$AB$5:$AB$1000,0)+4,"")</f>
        <v/>
      </c>
      <c r="AH52" t="str">
        <f>IF('Detalle individual'!F52="Pendiente",COUNTIF('Detalle individual'!$D$5:$D$1000,"&lt;"&amp;'Detalle individual'!D52)*1000000+COUNTIF('Detalle individual'!$C$5:$C$1000,"&lt;"&amp;'Detalle individual'!C52)*1000+COUNTIF('Detalle individual'!$B$5:$B$1000,"&lt;"&amp;'Detalle individual'!B52)+ROW()/10000,"")</f>
        <v/>
      </c>
      <c r="AI52">
        <f>IF('Detalle individual'!F52="Completado",COUNTIF('Detalle individual'!$D$5:$D$1000,"&lt;"&amp;'Detalle individual'!D52)*1000000+COUNTIF('Detalle individual'!$C$5:$C$1000,"&lt;"&amp;'Detalle individual'!C52)*1000+COUNTIF('Detalle individual'!$B$5:$B$1000,"&lt;"&amp;'Detalle individual'!B52)+ROW()/10000,"")</f>
        <v>711905968.0052</v>
      </c>
      <c r="AJ52" t="str">
        <f>IF(AND('Detalle individual'!F52&lt;&gt;"",'Detalle individual'!F52&lt;&gt;"Completado",'Detalle individual'!F52&lt;&gt;"Pendiente"),COUNTIF('Detalle individual'!$D$5:$D$1000,"&lt;"&amp;'Detalle individual'!D52)*1000000+COUNTIF('Detalle individual'!$C$5:$C$1000,"&lt;"&amp;'Detalle individual'!C52)*1000+COUNTIF('Detalle individual'!$B$5:$B$1000,"&lt;"&amp;'Detalle individual'!B52)+ROW()/10000,"")</f>
        <v/>
      </c>
      <c r="AK52">
        <f>IF(OR('Base Exámenes'!C52="",'Base Exámenes'!D52=""),"",IF(COUNTIF('Base Exámenes'!$C$5:C52,'Base Exámenes'!C52)=1,'Base Exámenes'!D52+ROW()/1000000000,""))</f>
        <v>46297.64716439815</v>
      </c>
      <c r="AL52">
        <f>IF(OR('Base Exámenes'!C52="",'Base Exámenes'!E52=""),"",IF(COUNTIF('Base Exámenes'!$C$5:C52,'Base Exámenes'!C52)=1,'Base Exámenes'!E52+ROW()/1000000000,""))</f>
        <v>46297.65186347222</v>
      </c>
      <c r="AM52">
        <f>IF(OR('Base Exámenes'!C52="",'Base Exámenes'!G52=""),"",IF(ROW()-4=MATCH('Base Exámenes'!C52&amp;"|"&amp;_xlfn.MAXIFS('Base Exámenes'!$G$5:$G$1000,'Base Exámenes'!$C$5:$C$1000,'Base Exámenes'!C52),'Base Exámenes'!$I$5:$I$1000,0),'Base Exámenes'!G52*1000000+(-1)*'Base Exámenes'!D52,""))</f>
        <v>89953702.3528357</v>
      </c>
      <c r="AO52" t="str">
        <f>IF('Consolidado por área'!G52="Completo",'Consolidado por área'!L52+ROW()/1000000000,"")</f>
        <v/>
      </c>
      <c r="AQ52" t="str">
        <f>IF('Base Exámenes'!C52="","",IF(COUNTIF('Base Exámenes'!$C$5:$C$1000,'Base Exámenes'!C52)&lt;2,"",MATCH('Base Exámenes'!C52,'Base Exámenes'!$C$5:$C$1000,0)*10000+ROW()))</f>
        <v/>
      </c>
      <c r="BF52" t="str">
        <f>IF(AND('Consolidado por área'!G52="Completo",LEFT(TRIM('Consolidado por área'!A52),7)="AGENCIA"),'Consolidado por área'!L52+ROW()/1000000000,"")</f>
        <v/>
      </c>
    </row>
    <row r="53">
      <c r="A53" t="str">
        <f>IF('Consolidado por área'!A28="","",TRIM('Consolidado por área'!A28))</f>
        <v>DEPARTAMENTO DE MERCADEO</v>
      </c>
      <c r="B53" t="str">
        <f>IF($A53="","",'Consolidado por área'!B28)</f>
        <v>Gerencia de Negocios</v>
      </c>
      <c r="C53">
        <f>IF($A53="","",'Consolidado por área'!C28)</f>
        <v>7</v>
      </c>
      <c r="D53">
        <f>IF($A53="","",'Consolidado por área'!D28)</f>
        <v>7</v>
      </c>
      <c r="E53">
        <f>IF($A53="","",'Consolidado por área'!E28)</f>
        <v>0</v>
      </c>
      <c r="F53">
        <f>IF($A53="","",IF(C53&gt;0,D53/C53,0))</f>
        <v>1</v>
      </c>
      <c r="G53">
        <f>IF($A53="","",F53*1000000+C53*10+(1000-ROW())/10000)</f>
        <v>1000070.0947</v>
      </c>
      <c r="H53">
        <f>IF($A53="","",'Consolidado por área'!H28)</f>
        <v>94.2857142857143</v>
      </c>
      <c r="J53" t="n">
        <v>24</v>
      </c>
      <c r="K53">
        <f>IF(J53&gt;COUNT($G$30:$G$109),"",MATCH(LARGE($G$30:$G$109,J53),$G$30:$G$109,0))</f>
        <v>25</v>
      </c>
      <c r="L53" t="str">
        <f>IF($K53="","",INDEX($A$30:$A$109,K53)&amp;"   "&amp;TEXT(INDEX($F$30:$F$109,K53),"0%"))</f>
        <v>DEPARTAMENTO DE OPERACIONES Y SOPORTE TECNICO   100%</v>
      </c>
      <c r="M53">
        <f>IF($K53="","",INDEX($D$30:$D$109,K53))</f>
        <v>6</v>
      </c>
      <c r="N53">
        <f>IF($K53="","",INDEX($E$30:$E$109,K53))</f>
        <v>0</v>
      </c>
      <c r="O53" t="str">
        <f>IF($K53="","",INDEX($A$30:$A$109,K53))</f>
        <v>DEPARTAMENTO DE OPERACIONES Y SOPORTE TECNICO</v>
      </c>
      <c r="P53" t="str">
        <f>IF($K53="","",INDEX($B$30:$B$109,K53))</f>
        <v>Gerencia de Sistemas</v>
      </c>
      <c r="Q53">
        <f>IF($K53="","",INDEX($C$30:$C$109,K53))</f>
        <v>6</v>
      </c>
      <c r="R53">
        <f>IF($K53="","",INDEX($F$30:$F$109,K53))</f>
        <v>1</v>
      </c>
      <c r="S53">
        <f>IF($K53="","",INDEX($H$30:$H$109,K53))</f>
        <v>100</v>
      </c>
      <c r="T53">
        <f>IF($K53="","",IF(OR('Dashboard Gerencial'!$B$5="Todas las gerencias",P53='Dashboard Gerencial'!$B$5),ROW(),""))</f>
        <v>53</v>
      </c>
      <c r="W53" t="str">
        <f>A77</f>
        <v/>
      </c>
      <c r="Z53">
        <f>IF('Detalle individual'!A53="","",IF(AND(OR('Estado por Colaborador'!$D$4="Todas las gerencias",'Detalle individual'!D53='Estado por Colaborador'!$D$4),OR('Estado por Colaborador'!$D$5="Todos los departamentos",TRIM('Detalle individual'!C53)='Estado por Colaborador'!$D$5),OR('Estado por Colaborador'!$D$6="Todos",'Detalle individual'!F53='Estado por Colaborador'!$D$6)),IF('Detalle individual'!F53="Completado",30000000,IF('Detalle individual'!F53="Pendiente",0,15000000))+COUNTIF('Detalle individual'!$C$5:$C$1000,"&lt;"&amp;'Detalle individual'!C53)*10000+ROW(),""))</f>
        <v>39050053</v>
      </c>
      <c r="AB53" t="str">
        <f>IF('Detalle individual'!C53="","",IF(COUNTIF('Detalle individual'!$C$5:C53,'Detalle individual'!C53)=1,COUNTIF('Detalle individual'!$C$5:$C$1000,"&lt;"&amp;'Detalle individual'!C53),""))</f>
        <v/>
      </c>
      <c r="AC53" t="str">
        <f>IF('Detalle individual'!D53="","",IF(COUNTIF('Detalle individual'!$D$5:D53,'Detalle individual'!D53)=1,COUNTIF('Detalle individual'!$D$5:$D$1000,"&lt;"&amp;'Detalle individual'!D53),""))</f>
        <v/>
      </c>
      <c r="AE53" t="str">
        <f>IFERROR(MATCH(SMALL($AB$5:$AB$1000,49),$AB$5:$AB$1000,0)+4,"")</f>
        <v/>
      </c>
      <c r="AH53" t="str">
        <f>IF('Detalle individual'!F53="Pendiente",COUNTIF('Detalle individual'!$D$5:$D$1000,"&lt;"&amp;'Detalle individual'!D53)*1000000+COUNTIF('Detalle individual'!$C$5:$C$1000,"&lt;"&amp;'Detalle individual'!C53)*1000+COUNTIF('Detalle individual'!$B$5:$B$1000,"&lt;"&amp;'Detalle individual'!B53)+ROW()/10000,"")</f>
        <v/>
      </c>
      <c r="AI53">
        <f>IF('Detalle individual'!F53="Completado",COUNTIF('Detalle individual'!$D$5:$D$1000,"&lt;"&amp;'Detalle individual'!D53)*1000000+COUNTIF('Detalle individual'!$C$5:$C$1000,"&lt;"&amp;'Detalle individual'!C53)*1000+COUNTIF('Detalle individual'!$B$5:$B$1000,"&lt;"&amp;'Detalle individual'!B53)+ROW()/10000,"")</f>
        <v>711905735.0053</v>
      </c>
      <c r="AJ53" t="str">
        <f>IF(AND('Detalle individual'!F53&lt;&gt;"",'Detalle individual'!F53&lt;&gt;"Completado",'Detalle individual'!F53&lt;&gt;"Pendiente"),COUNTIF('Detalle individual'!$D$5:$D$1000,"&lt;"&amp;'Detalle individual'!D53)*1000000+COUNTIF('Detalle individual'!$C$5:$C$1000,"&lt;"&amp;'Detalle individual'!C53)*1000+COUNTIF('Detalle individual'!$B$5:$B$1000,"&lt;"&amp;'Detalle individual'!B53)+ROW()/10000,"")</f>
        <v/>
      </c>
      <c r="AK53">
        <f>IF(OR('Base Exámenes'!C53="",'Base Exámenes'!D53=""),"",IF(COUNTIF('Base Exámenes'!$C$5:C53,'Base Exámenes'!C53)=1,'Base Exámenes'!D53+ROW()/1000000000,""))</f>
        <v>46297.65282413195</v>
      </c>
      <c r="AL53">
        <f>IF(OR('Base Exámenes'!C53="",'Base Exámenes'!E53=""),"",IF(COUNTIF('Base Exámenes'!$C$5:C53,'Base Exámenes'!C53)=1,'Base Exámenes'!E53+ROW()/1000000000,""))</f>
        <v>46297.660127372685</v>
      </c>
      <c r="AM53">
        <f>IF(OR('Base Exámenes'!C53="",'Base Exámenes'!G53=""),"",IF(ROW()-4=MATCH('Base Exámenes'!C53&amp;"|"&amp;_xlfn.MAXIFS('Base Exámenes'!$G$5:$G$1000,'Base Exámenes'!$C$5:$C$1000,'Base Exámenes'!C53),'Base Exámenes'!$I$5:$I$1000,0),'Base Exámenes'!G53*1000000+(-1)*'Base Exámenes'!D53,""))</f>
        <v>99953702.3471759</v>
      </c>
      <c r="AO53" t="str">
        <f>IF('Consolidado por área'!G53="Completo",'Consolidado por área'!L53+ROW()/1000000000,"")</f>
        <v/>
      </c>
      <c r="AQ53" t="str">
        <f>IF('Base Exámenes'!C53="","",IF(COUNTIF('Base Exámenes'!$C$5:$C$1000,'Base Exámenes'!C53)&lt;2,"",MATCH('Base Exámenes'!C53,'Base Exámenes'!$C$5:$C$1000,0)*10000+ROW()))</f>
        <v/>
      </c>
      <c r="BF53" t="str">
        <f>IF(AND('Consolidado por área'!G53="Completo",LEFT(TRIM('Consolidado por área'!A53),7)="AGENCIA"),'Consolidado por área'!L53+ROW()/1000000000,"")</f>
        <v/>
      </c>
    </row>
    <row r="54">
      <c r="A54" t="str">
        <f>IF('Consolidado por área'!A29="","",TRIM('Consolidado por área'!A29))</f>
        <v>DEPARTAMENTO DE OPERACIONES Y SOPORTE TECNICO</v>
      </c>
      <c r="B54" t="str">
        <f>IF($A54="","",'Consolidado por área'!B29)</f>
        <v>Gerencia de Sistemas</v>
      </c>
      <c r="C54">
        <f>IF($A54="","",'Consolidado por área'!C29)</f>
        <v>6</v>
      </c>
      <c r="D54">
        <f>IF($A54="","",'Consolidado por área'!D29)</f>
        <v>6</v>
      </c>
      <c r="E54">
        <f>IF($A54="","",'Consolidado por área'!E29)</f>
        <v>0</v>
      </c>
      <c r="F54">
        <f>IF($A54="","",IF(C54&gt;0,D54/C54,0))</f>
        <v>1</v>
      </c>
      <c r="G54">
        <f>IF($A54="","",F54*1000000+C54*10+(1000-ROW())/10000)</f>
        <v>1000060.0946</v>
      </c>
      <c r="H54">
        <f>IF($A54="","",'Consolidado por área'!H29)</f>
        <v>100</v>
      </c>
      <c r="J54" t="n">
        <v>25</v>
      </c>
      <c r="K54">
        <f>IF(J54&gt;COUNT($G$30:$G$109),"",MATCH(LARGE($G$30:$G$109,J54),$G$30:$G$109,0))</f>
        <v>2</v>
      </c>
      <c r="L54" t="str">
        <f>IF($K54="","",INDEX($A$30:$A$109,K54)&amp;"   "&amp;TEXT(INDEX($F$30:$F$109,K54),"0%"))</f>
        <v>ADMINISTRACIÓN DE CARTERAS   100%</v>
      </c>
      <c r="M54">
        <f>IF($K54="","",INDEX($D$30:$D$109,K54))</f>
        <v>5</v>
      </c>
      <c r="N54">
        <f>IF($K54="","",INDEX($E$30:$E$109,K54))</f>
        <v>0</v>
      </c>
      <c r="O54" t="str">
        <f>IF($K54="","",INDEX($A$30:$A$109,K54))</f>
        <v>ADMINISTRACIÓN DE CARTERAS</v>
      </c>
      <c r="P54" t="str">
        <f>IF($K54="","",INDEX($B$30:$B$109,K54))</f>
        <v>Gerencia de Operaciones</v>
      </c>
      <c r="Q54">
        <f>IF($K54="","",INDEX($C$30:$C$109,K54))</f>
        <v>5</v>
      </c>
      <c r="R54">
        <f>IF($K54="","",INDEX($F$30:$F$109,K54))</f>
        <v>1</v>
      </c>
      <c r="S54">
        <f>IF($K54="","",INDEX($H$30:$H$109,K54))</f>
        <v>100</v>
      </c>
      <c r="T54">
        <f>IF($K54="","",IF(OR('Dashboard Gerencial'!$B$5="Todas las gerencias",P54='Dashboard Gerencial'!$B$5),ROW(),""))</f>
        <v>54</v>
      </c>
      <c r="W54" t="str">
        <f>A78</f>
        <v/>
      </c>
      <c r="Z54">
        <f>IF('Detalle individual'!A54="","",IF(AND(OR('Estado por Colaborador'!$D$4="Todas las gerencias",'Detalle individual'!D54='Estado por Colaborador'!$D$4),OR('Estado por Colaborador'!$D$5="Todos los departamentos",TRIM('Detalle individual'!C54)='Estado por Colaborador'!$D$5),OR('Estado por Colaborador'!$D$6="Todos",'Detalle individual'!F54='Estado por Colaborador'!$D$6)),IF('Detalle individual'!F54="Completado",30000000,IF('Detalle individual'!F54="Pendiente",0,15000000))+COUNTIF('Detalle individual'!$C$5:$C$1000,"&lt;"&amp;'Detalle individual'!C54)*10000+ROW(),""))</f>
        <v>38100054</v>
      </c>
      <c r="AB54">
        <f>IF('Detalle individual'!C54="","",IF(COUNTIF('Detalle individual'!$C$5:C54,'Detalle individual'!C54)=1,COUNTIF('Detalle individual'!$C$5:$C$1000,"&lt;"&amp;'Detalle individual'!C54),""))</f>
        <v>810</v>
      </c>
      <c r="AC54" t="str">
        <f>IF('Detalle individual'!D54="","",IF(COUNTIF('Detalle individual'!$D$5:D54,'Detalle individual'!D54)=1,COUNTIF('Detalle individual'!$D$5:$D$1000,"&lt;"&amp;'Detalle individual'!D54),""))</f>
        <v/>
      </c>
      <c r="AE54" t="str">
        <f>IFERROR(MATCH(SMALL($AB$5:$AB$1000,50),$AB$5:$AB$1000,0)+4,"")</f>
        <v/>
      </c>
      <c r="AH54" t="str">
        <f>IF('Detalle individual'!F54="Pendiente",COUNTIF('Detalle individual'!$D$5:$D$1000,"&lt;"&amp;'Detalle individual'!D54)*1000000+COUNTIF('Detalle individual'!$C$5:$C$1000,"&lt;"&amp;'Detalle individual'!C54)*1000+COUNTIF('Detalle individual'!$B$5:$B$1000,"&lt;"&amp;'Detalle individual'!B54)+ROW()/10000,"")</f>
        <v/>
      </c>
      <c r="AI54">
        <f>IF('Detalle individual'!F54="Completado",COUNTIF('Detalle individual'!$D$5:$D$1000,"&lt;"&amp;'Detalle individual'!D54)*1000000+COUNTIF('Detalle individual'!$C$5:$C$1000,"&lt;"&amp;'Detalle individual'!C54)*1000+COUNTIF('Detalle individual'!$B$5:$B$1000,"&lt;"&amp;'Detalle individual'!B54)+ROW()/10000,"")</f>
        <v>711810887.0054</v>
      </c>
      <c r="AJ54" t="str">
        <f>IF(AND('Detalle individual'!F54&lt;&gt;"",'Detalle individual'!F54&lt;&gt;"Completado",'Detalle individual'!F54&lt;&gt;"Pendiente"),COUNTIF('Detalle individual'!$D$5:$D$1000,"&lt;"&amp;'Detalle individual'!D54)*1000000+COUNTIF('Detalle individual'!$C$5:$C$1000,"&lt;"&amp;'Detalle individual'!C54)*1000+COUNTIF('Detalle individual'!$B$5:$B$1000,"&lt;"&amp;'Detalle individual'!B54)+ROW()/10000,"")</f>
        <v/>
      </c>
      <c r="AK54">
        <f>IF(OR('Base Exámenes'!C54="",'Base Exámenes'!D54=""),"",IF(COUNTIF('Base Exámenes'!$C$5:C54,'Base Exámenes'!C54)=1,'Base Exámenes'!D54+ROW()/1000000000,""))</f>
        <v>46297.70593755787</v>
      </c>
      <c r="AL54">
        <f>IF(OR('Base Exámenes'!C54="",'Base Exámenes'!E54=""),"",IF(COUNTIF('Base Exámenes'!$C$5:C54,'Base Exámenes'!C54)=1,'Base Exámenes'!E54+ROW()/1000000000,""))</f>
        <v>46297.713344965276</v>
      </c>
      <c r="AM54">
        <f>IF(OR('Base Exámenes'!C54="",'Base Exámenes'!G54=""),"",IF(ROW()-4=MATCH('Base Exámenes'!C54&amp;"|"&amp;_xlfn.MAXIFS('Base Exámenes'!$G$5:$G$1000,'Base Exámenes'!$C$5:$C$1000,'Base Exámenes'!C54),'Base Exámenes'!$I$5:$I$1000,0),'Base Exámenes'!G54*1000000+(-1)*'Base Exámenes'!D54,""))</f>
        <v>84953702.2940625</v>
      </c>
      <c r="AO54" t="str">
        <f>IF('Consolidado por área'!G54="Completo",'Consolidado por área'!L54+ROW()/1000000000,"")</f>
        <v/>
      </c>
      <c r="AQ54" t="str">
        <f>IF('Base Exámenes'!C54="","",IF(COUNTIF('Base Exámenes'!$C$5:$C$1000,'Base Exámenes'!C54)&lt;2,"",MATCH('Base Exámenes'!C54,'Base Exámenes'!$C$5:$C$1000,0)*10000+ROW()))</f>
        <v/>
      </c>
      <c r="BF54" t="str">
        <f>IF(AND('Consolidado por área'!G54="Completo",LEFT(TRIM('Consolidado por área'!A54),7)="AGENCIA"),'Consolidado por área'!L54+ROW()/1000000000,"")</f>
        <v/>
      </c>
    </row>
    <row r="55">
      <c r="A55" t="str">
        <f>IF('Consolidado por área'!A30="","",TRIM('Consolidado por área'!A30))</f>
        <v>DEPARTAMENTO DE PLANIFICACIÓN Y ANALISIS</v>
      </c>
      <c r="B55" t="str">
        <f>IF($A55="","",'Consolidado por área'!B30)</f>
        <v>Gerencia de Finanzas y Planificación</v>
      </c>
      <c r="C55">
        <f>IF($A55="","",'Consolidado por área'!C30)</f>
        <v>3</v>
      </c>
      <c r="D55">
        <f>IF($A55="","",'Consolidado por área'!D30)</f>
        <v>3</v>
      </c>
      <c r="E55">
        <f>IF($A55="","",'Consolidado por área'!E30)</f>
        <v>0</v>
      </c>
      <c r="F55">
        <f>IF($A55="","",IF(C55&gt;0,D55/C55,0))</f>
        <v>1</v>
      </c>
      <c r="G55">
        <f>IF($A55="","",F55*1000000+C55*10+(1000-ROW())/10000)</f>
        <v>1000030.0945</v>
      </c>
      <c r="H55">
        <f>IF($A55="","",'Consolidado por área'!H30)</f>
        <v>100</v>
      </c>
      <c r="J55" t="n">
        <v>26</v>
      </c>
      <c r="K55">
        <f>IF(J55&gt;COUNT($G$30:$G$109),"",MATCH(LARGE($G$30:$G$109,J55),$G$30:$G$109,0))</f>
        <v>33</v>
      </c>
      <c r="L55" t="str">
        <f>IF($K55="","",INDEX($A$30:$A$109,K55)&amp;"   "&amp;TEXT(INDEX($F$30:$F$109,K55),"0%"))</f>
        <v>DEPARTAMENTO DE TARJETA DE CREDITO Y DEBITO   100%</v>
      </c>
      <c r="M55">
        <f>IF($K55="","",INDEX($D$30:$D$109,K55))</f>
        <v>5</v>
      </c>
      <c r="N55">
        <f>IF($K55="","",INDEX($E$30:$E$109,K55))</f>
        <v>0</v>
      </c>
      <c r="O55" t="str">
        <f>IF($K55="","",INDEX($A$30:$A$109,K55))</f>
        <v>DEPARTAMENTO DE TARJETA DE CREDITO Y DEBITO</v>
      </c>
      <c r="P55" t="str">
        <f>IF($K55="","",INDEX($B$30:$B$109,K55))</f>
        <v>Gerencia de Operaciones</v>
      </c>
      <c r="Q55">
        <f>IF($K55="","",INDEX($C$30:$C$109,K55))</f>
        <v>5</v>
      </c>
      <c r="R55">
        <f>IF($K55="","",INDEX($F$30:$F$109,K55))</f>
        <v>1</v>
      </c>
      <c r="S55">
        <f>IF($K55="","",INDEX($H$30:$H$109,K55))</f>
        <v>99</v>
      </c>
      <c r="T55">
        <f>IF($K55="","",IF(OR('Dashboard Gerencial'!$B$5="Todas las gerencias",P55='Dashboard Gerencial'!$B$5),ROW(),""))</f>
        <v>55</v>
      </c>
      <c r="W55" t="str">
        <f>A79</f>
        <v/>
      </c>
      <c r="Z55">
        <f>IF('Detalle individual'!A55="","",IF(AND(OR('Estado por Colaborador'!$D$4="Todas las gerencias",'Detalle individual'!D55='Estado por Colaborador'!$D$4),OR('Estado por Colaborador'!$D$5="Todos los departamentos",TRIM('Detalle individual'!C55)='Estado por Colaborador'!$D$5),OR('Estado por Colaborador'!$D$6="Todos",'Detalle individual'!F55='Estado por Colaborador'!$D$6)),IF('Detalle individual'!F55="Completado",30000000,IF('Detalle individual'!F55="Pendiente",0,15000000))+COUNTIF('Detalle individual'!$C$5:$C$1000,"&lt;"&amp;'Detalle individual'!C55)*10000+ROW(),""))</f>
        <v>38100055</v>
      </c>
      <c r="AB55" t="str">
        <f>IF('Detalle individual'!C55="","",IF(COUNTIF('Detalle individual'!$C$5:C55,'Detalle individual'!C55)=1,COUNTIF('Detalle individual'!$C$5:$C$1000,"&lt;"&amp;'Detalle individual'!C55),""))</f>
        <v/>
      </c>
      <c r="AC55" t="str">
        <f>IF('Detalle individual'!D55="","",IF(COUNTIF('Detalle individual'!$D$5:D55,'Detalle individual'!D55)=1,COUNTIF('Detalle individual'!$D$5:$D$1000,"&lt;"&amp;'Detalle individual'!D55),""))</f>
        <v/>
      </c>
      <c r="AE55" t="str">
        <f>IFERROR(MATCH(SMALL($AB$5:$AB$1000,51),$AB$5:$AB$1000,0)+4,"")</f>
        <v/>
      </c>
      <c r="AH55" t="str">
        <f>IF('Detalle individual'!F55="Pendiente",COUNTIF('Detalle individual'!$D$5:$D$1000,"&lt;"&amp;'Detalle individual'!D55)*1000000+COUNTIF('Detalle individual'!$C$5:$C$1000,"&lt;"&amp;'Detalle individual'!C55)*1000+COUNTIF('Detalle individual'!$B$5:$B$1000,"&lt;"&amp;'Detalle individual'!B55)+ROW()/10000,"")</f>
        <v/>
      </c>
      <c r="AI55">
        <f>IF('Detalle individual'!F55="Completado",COUNTIF('Detalle individual'!$D$5:$D$1000,"&lt;"&amp;'Detalle individual'!D55)*1000000+COUNTIF('Detalle individual'!$C$5:$C$1000,"&lt;"&amp;'Detalle individual'!C55)*1000+COUNTIF('Detalle individual'!$B$5:$B$1000,"&lt;"&amp;'Detalle individual'!B55)+ROW()/10000,"")</f>
        <v>711810802.0055</v>
      </c>
      <c r="AJ55" t="str">
        <f>IF(AND('Detalle individual'!F55&lt;&gt;"",'Detalle individual'!F55&lt;&gt;"Completado",'Detalle individual'!F55&lt;&gt;"Pendiente"),COUNTIF('Detalle individual'!$D$5:$D$1000,"&lt;"&amp;'Detalle individual'!D55)*1000000+COUNTIF('Detalle individual'!$C$5:$C$1000,"&lt;"&amp;'Detalle individual'!C55)*1000+COUNTIF('Detalle individual'!$B$5:$B$1000,"&lt;"&amp;'Detalle individual'!B55)+ROW()/10000,"")</f>
        <v/>
      </c>
      <c r="AK55">
        <f>IF(OR('Base Exámenes'!C55="",'Base Exámenes'!D55=""),"",IF(COUNTIF('Base Exámenes'!$C$5:C55,'Base Exámenes'!C55)=1,'Base Exámenes'!D55+ROW()/1000000000,""))</f>
        <v>46297.7115509838</v>
      </c>
      <c r="AL55">
        <f>IF(OR('Base Exámenes'!C55="",'Base Exámenes'!E55=""),"",IF(COUNTIF('Base Exámenes'!$C$5:C55,'Base Exámenes'!C55)=1,'Base Exámenes'!E55+ROW()/1000000000,""))</f>
        <v>46297.7148958912</v>
      </c>
      <c r="AM55">
        <f>IF(OR('Base Exámenes'!C55="",'Base Exámenes'!G55=""),"",IF(ROW()-4=MATCH('Base Exámenes'!C55&amp;"|"&amp;_xlfn.MAXIFS('Base Exámenes'!$G$5:$G$1000,'Base Exámenes'!$C$5:$C$1000,'Base Exámenes'!C55),'Base Exámenes'!$I$5:$I$1000,0),'Base Exámenes'!G55*1000000+(-1)*'Base Exámenes'!D55,""))</f>
        <v>94953702.2884491</v>
      </c>
      <c r="AO55" t="str">
        <f>IF('Consolidado por área'!G55="Completo",'Consolidado por área'!L55+ROW()/1000000000,"")</f>
        <v/>
      </c>
      <c r="AQ55" t="str">
        <f>IF('Base Exámenes'!C55="","",IF(COUNTIF('Base Exámenes'!$C$5:$C$1000,'Base Exámenes'!C55)&lt;2,"",MATCH('Base Exámenes'!C55,'Base Exámenes'!$C$5:$C$1000,0)*10000+ROW()))</f>
        <v/>
      </c>
      <c r="BF55" t="str">
        <f>IF(AND('Consolidado por área'!G55="Completo",LEFT(TRIM('Consolidado por área'!A55),7)="AGENCIA"),'Consolidado por área'!L55+ROW()/1000000000,"")</f>
        <v/>
      </c>
    </row>
    <row r="56">
      <c r="A56" t="str">
        <f>IF('Consolidado por área'!A31="","",TRIM('Consolidado por área'!A31))</f>
        <v>DEPARTAMENTO DE PROCESOS</v>
      </c>
      <c r="B56" t="str">
        <f>IF($A56="","",'Consolidado por área'!B31)</f>
        <v>Gerencia General</v>
      </c>
      <c r="C56">
        <f>IF($A56="","",'Consolidado por área'!C31)</f>
        <v>3</v>
      </c>
      <c r="D56">
        <f>IF($A56="","",'Consolidado por área'!D31)</f>
        <v>3</v>
      </c>
      <c r="E56">
        <f>IF($A56="","",'Consolidado por área'!E31)</f>
        <v>0</v>
      </c>
      <c r="F56">
        <f>IF($A56="","",IF(C56&gt;0,D56/C56,0))</f>
        <v>1</v>
      </c>
      <c r="G56">
        <f>IF($A56="","",F56*1000000+C56*10+(1000-ROW())/10000)</f>
        <v>1000030.0944</v>
      </c>
      <c r="H56">
        <f>IF($A56="","",'Consolidado por área'!H31)</f>
        <v>100</v>
      </c>
      <c r="J56" t="n">
        <v>27</v>
      </c>
      <c r="K56">
        <f>IF(J56&gt;COUNT($G$30:$G$109),"",MATCH(LARGE($G$30:$G$109,J56),$G$30:$G$109,0))</f>
        <v>3</v>
      </c>
      <c r="L56" t="str">
        <f>IF($K56="","",INDEX($A$30:$A$109,K56)&amp;"   "&amp;TEXT(INDEX($F$30:$F$109,K56),"0%"))</f>
        <v>ADMINISTRACION DE RIESGOS   100%</v>
      </c>
      <c r="M56">
        <f>IF($K56="","",INDEX($D$30:$D$109,K56))</f>
        <v>4</v>
      </c>
      <c r="N56">
        <f>IF($K56="","",INDEX($E$30:$E$109,K56))</f>
        <v>0</v>
      </c>
      <c r="O56" t="str">
        <f>IF($K56="","",INDEX($A$30:$A$109,K56))</f>
        <v>ADMINISTRACION DE RIESGOS</v>
      </c>
      <c r="P56" t="str">
        <f>IF($K56="","",INDEX($B$30:$B$109,K56))</f>
        <v>Gerencia General</v>
      </c>
      <c r="Q56">
        <f>IF($K56="","",INDEX($C$30:$C$109,K56))</f>
        <v>4</v>
      </c>
      <c r="R56">
        <f>IF($K56="","",INDEX($F$30:$F$109,K56))</f>
        <v>1</v>
      </c>
      <c r="S56">
        <f>IF($K56="","",INDEX($H$30:$H$109,K56))</f>
        <v>100</v>
      </c>
      <c r="T56">
        <f>IF($K56="","",IF(OR('Dashboard Gerencial'!$B$5="Todas las gerencias",P56='Dashboard Gerencial'!$B$5),ROW(),""))</f>
        <v>56</v>
      </c>
      <c r="W56" t="str">
        <f>A80</f>
        <v/>
      </c>
      <c r="Z56">
        <f>IF('Detalle individual'!A56="","",IF(AND(OR('Estado por Colaborador'!$D$4="Todas las gerencias",'Detalle individual'!D56='Estado por Colaborador'!$D$4),OR('Estado por Colaborador'!$D$5="Todos los departamentos",TRIM('Detalle individual'!C56)='Estado por Colaborador'!$D$5),OR('Estado por Colaborador'!$D$6="Todos",'Detalle individual'!F56='Estado por Colaborador'!$D$6)),IF('Detalle individual'!F56="Completado",30000000,IF('Detalle individual'!F56="Pendiente",0,15000000))+COUNTIF('Detalle individual'!$C$5:$C$1000,"&lt;"&amp;'Detalle individual'!C56)*10000+ROW(),""))</f>
        <v>38820056</v>
      </c>
      <c r="AB56">
        <f>IF('Detalle individual'!C56="","",IF(COUNTIF('Detalle individual'!$C$5:C56,'Detalle individual'!C56)=1,COUNTIF('Detalle individual'!$C$5:$C$1000,"&lt;"&amp;'Detalle individual'!C56),""))</f>
        <v>882</v>
      </c>
      <c r="AC56" t="str">
        <f>IF('Detalle individual'!D56="","",IF(COUNTIF('Detalle individual'!$D$5:D56,'Detalle individual'!D56)=1,COUNTIF('Detalle individual'!$D$5:$D$1000,"&lt;"&amp;'Detalle individual'!D56),""))</f>
        <v/>
      </c>
      <c r="AE56" t="str">
        <f>IFERROR(MATCH(SMALL($AB$5:$AB$1000,52),$AB$5:$AB$1000,0)+4,"")</f>
        <v/>
      </c>
      <c r="AH56" t="str">
        <f>IF('Detalle individual'!F56="Pendiente",COUNTIF('Detalle individual'!$D$5:$D$1000,"&lt;"&amp;'Detalle individual'!D56)*1000000+COUNTIF('Detalle individual'!$C$5:$C$1000,"&lt;"&amp;'Detalle individual'!C56)*1000+COUNTIF('Detalle individual'!$B$5:$B$1000,"&lt;"&amp;'Detalle individual'!B56)+ROW()/10000,"")</f>
        <v/>
      </c>
      <c r="AI56">
        <f>IF('Detalle individual'!F56="Completado",COUNTIF('Detalle individual'!$D$5:$D$1000,"&lt;"&amp;'Detalle individual'!D56)*1000000+COUNTIF('Detalle individual'!$C$5:$C$1000,"&lt;"&amp;'Detalle individual'!C56)*1000+COUNTIF('Detalle individual'!$B$5:$B$1000,"&lt;"&amp;'Detalle individual'!B56)+ROW()/10000,"")</f>
        <v>711882994.0056</v>
      </c>
      <c r="AJ56" t="str">
        <f>IF(AND('Detalle individual'!F56&lt;&gt;"",'Detalle individual'!F56&lt;&gt;"Completado",'Detalle individual'!F56&lt;&gt;"Pendiente"),COUNTIF('Detalle individual'!$D$5:$D$1000,"&lt;"&amp;'Detalle individual'!D56)*1000000+COUNTIF('Detalle individual'!$C$5:$C$1000,"&lt;"&amp;'Detalle individual'!C56)*1000+COUNTIF('Detalle individual'!$B$5:$B$1000,"&lt;"&amp;'Detalle individual'!B56)+ROW()/10000,"")</f>
        <v/>
      </c>
      <c r="AK56">
        <f>IF(OR('Base Exámenes'!C56="",'Base Exámenes'!D56=""),"",IF(COUNTIF('Base Exámenes'!$C$5:C56,'Base Exámenes'!C56)=1,'Base Exámenes'!D56+ROW()/1000000000,""))</f>
        <v>46297.77194450232</v>
      </c>
      <c r="AL56">
        <f>IF(OR('Base Exámenes'!C56="",'Base Exámenes'!E56=""),"",IF(COUNTIF('Base Exámenes'!$C$5:C56,'Base Exámenes'!C56)=1,'Base Exámenes'!E56+ROW()/1000000000,""))</f>
        <v>46297.789467650466</v>
      </c>
      <c r="AM56">
        <f>IF(OR('Base Exámenes'!C56="",'Base Exámenes'!G56=""),"",IF(ROW()-4=MATCH('Base Exámenes'!C56&amp;"|"&amp;_xlfn.MAXIFS('Base Exámenes'!$G$5:$G$1000,'Base Exámenes'!$C$5:$C$1000,'Base Exámenes'!C56),'Base Exámenes'!$I$5:$I$1000,0),'Base Exámenes'!G56*1000000+(-1)*'Base Exámenes'!D56,""))</f>
        <v>89953702.2280556</v>
      </c>
      <c r="AO56" t="str">
        <f>IF('Consolidado por área'!G56="Completo",'Consolidado por área'!L56+ROW()/1000000000,"")</f>
        <v/>
      </c>
      <c r="AQ56" t="str">
        <f>IF('Base Exámenes'!C56="","",IF(COUNTIF('Base Exámenes'!$C$5:$C$1000,'Base Exámenes'!C56)&lt;2,"",MATCH('Base Exámenes'!C56,'Base Exámenes'!$C$5:$C$1000,0)*10000+ROW()))</f>
        <v/>
      </c>
      <c r="BF56" t="str">
        <f>IF(AND('Consolidado por área'!G56="Completo",LEFT(TRIM('Consolidado por área'!A56),7)="AGENCIA"),'Consolidado por área'!L56+ROW()/1000000000,"")</f>
        <v/>
      </c>
    </row>
    <row r="57">
      <c r="A57" t="str">
        <f>IF('Consolidado por área'!A32="","",TRIM('Consolidado por área'!A32))</f>
        <v>DEPARTAMENTO DE SEGURIDAD</v>
      </c>
      <c r="B57" t="str">
        <f>IF($A57="","",'Consolidado por área'!B32)</f>
        <v>Gerencia Administrativa</v>
      </c>
      <c r="C57">
        <f>IF($A57="","",'Consolidado por área'!C32)</f>
        <v>2</v>
      </c>
      <c r="D57">
        <f>IF($A57="","",'Consolidado por área'!D32)</f>
        <v>2</v>
      </c>
      <c r="E57">
        <f>IF($A57="","",'Consolidado por área'!E32)</f>
        <v>0</v>
      </c>
      <c r="F57">
        <f>IF($A57="","",IF(C57&gt;0,D57/C57,0))</f>
        <v>1</v>
      </c>
      <c r="G57">
        <f>IF($A57="","",F57*1000000+C57*10+(1000-ROW())/10000)</f>
        <v>1000020.0943</v>
      </c>
      <c r="H57">
        <f>IF($A57="","",'Consolidado por área'!H32)</f>
        <v>95</v>
      </c>
      <c r="J57" t="n">
        <v>28</v>
      </c>
      <c r="K57">
        <f>IF(J57&gt;COUNT($G$30:$G$109),"",MATCH(LARGE($G$30:$G$109,J57),$G$30:$G$109,0))</f>
        <v>22</v>
      </c>
      <c r="L57" t="str">
        <f>IF($K57="","",INDEX($A$30:$A$109,K57)&amp;"   "&amp;TEXT(INDEX($F$30:$F$109,K57),"0%"))</f>
        <v>DEPARTAMENTO DE DEPOSITOS   100%</v>
      </c>
      <c r="M57">
        <f>IF($K57="","",INDEX($D$30:$D$109,K57))</f>
        <v>4</v>
      </c>
      <c r="N57">
        <f>IF($K57="","",INDEX($E$30:$E$109,K57))</f>
        <v>0</v>
      </c>
      <c r="O57" t="str">
        <f>IF($K57="","",INDEX($A$30:$A$109,K57))</f>
        <v>DEPARTAMENTO DE DEPOSITOS</v>
      </c>
      <c r="P57" t="str">
        <f>IF($K57="","",INDEX($B$30:$B$109,K57))</f>
        <v>Gerencia de Operaciones</v>
      </c>
      <c r="Q57">
        <f>IF($K57="","",INDEX($C$30:$C$109,K57))</f>
        <v>4</v>
      </c>
      <c r="R57">
        <f>IF($K57="","",INDEX($F$30:$F$109,K57))</f>
        <v>1</v>
      </c>
      <c r="S57">
        <f>IF($K57="","",INDEX($H$30:$H$109,K57))</f>
        <v>98.75</v>
      </c>
      <c r="T57">
        <f>IF($K57="","",IF(OR('Dashboard Gerencial'!$B$5="Todas las gerencias",P57='Dashboard Gerencial'!$B$5),ROW(),""))</f>
        <v>57</v>
      </c>
      <c r="W57" t="str">
        <f>A81</f>
        <v/>
      </c>
      <c r="Z57">
        <f>IF('Detalle individual'!A57="","",IF(AND(OR('Estado por Colaborador'!$D$4="Todas las gerencias",'Detalle individual'!D57='Estado por Colaborador'!$D$4),OR('Estado por Colaborador'!$D$5="Todos los departamentos",TRIM('Detalle individual'!C57)='Estado por Colaborador'!$D$5),OR('Estado por Colaborador'!$D$6="Todos",'Detalle individual'!F57='Estado por Colaborador'!$D$6)),IF('Detalle individual'!F57="Completado",30000000,IF('Detalle individual'!F57="Pendiente",0,15000000))+COUNTIF('Detalle individual'!$C$5:$C$1000,"&lt;"&amp;'Detalle individual'!C57)*10000+ROW(),""))</f>
        <v>38820057</v>
      </c>
      <c r="AB57" t="str">
        <f>IF('Detalle individual'!C57="","",IF(COUNTIF('Detalle individual'!$C$5:C57,'Detalle individual'!C57)=1,COUNTIF('Detalle individual'!$C$5:$C$1000,"&lt;"&amp;'Detalle individual'!C57),""))</f>
        <v/>
      </c>
      <c r="AC57" t="str">
        <f>IF('Detalle individual'!D57="","",IF(COUNTIF('Detalle individual'!$D$5:D57,'Detalle individual'!D57)=1,COUNTIF('Detalle individual'!$D$5:$D$1000,"&lt;"&amp;'Detalle individual'!D57),""))</f>
        <v/>
      </c>
      <c r="AE57" t="str">
        <f>IFERROR(MATCH(SMALL($AB$5:$AB$1000,53),$AB$5:$AB$1000,0)+4,"")</f>
        <v/>
      </c>
      <c r="AH57" t="str">
        <f>IF('Detalle individual'!F57="Pendiente",COUNTIF('Detalle individual'!$D$5:$D$1000,"&lt;"&amp;'Detalle individual'!D57)*1000000+COUNTIF('Detalle individual'!$C$5:$C$1000,"&lt;"&amp;'Detalle individual'!C57)*1000+COUNTIF('Detalle individual'!$B$5:$B$1000,"&lt;"&amp;'Detalle individual'!B57)+ROW()/10000,"")</f>
        <v/>
      </c>
      <c r="AI57">
        <f>IF('Detalle individual'!F57="Completado",COUNTIF('Detalle individual'!$D$5:$D$1000,"&lt;"&amp;'Detalle individual'!D57)*1000000+COUNTIF('Detalle individual'!$C$5:$C$1000,"&lt;"&amp;'Detalle individual'!C57)*1000+COUNTIF('Detalle individual'!$B$5:$B$1000,"&lt;"&amp;'Detalle individual'!B57)+ROW()/10000,"")</f>
        <v>711882973.0057</v>
      </c>
      <c r="AJ57" t="str">
        <f>IF(AND('Detalle individual'!F57&lt;&gt;"",'Detalle individual'!F57&lt;&gt;"Completado",'Detalle individual'!F57&lt;&gt;"Pendiente"),COUNTIF('Detalle individual'!$D$5:$D$1000,"&lt;"&amp;'Detalle individual'!D57)*1000000+COUNTIF('Detalle individual'!$C$5:$C$1000,"&lt;"&amp;'Detalle individual'!C57)*1000+COUNTIF('Detalle individual'!$B$5:$B$1000,"&lt;"&amp;'Detalle individual'!B57)+ROW()/10000,"")</f>
        <v/>
      </c>
      <c r="AK57">
        <f>IF(OR('Base Exámenes'!C57="",'Base Exámenes'!D57=""),"",IF(COUNTIF('Base Exámenes'!$C$5:C57,'Base Exámenes'!C57)=1,'Base Exámenes'!D57+ROW()/1000000000,""))</f>
        <v>46297.83465283565</v>
      </c>
      <c r="AL57">
        <f>IF(OR('Base Exámenes'!C57="",'Base Exámenes'!E57=""),"",IF(COUNTIF('Base Exámenes'!$C$5:C57,'Base Exámenes'!C57)=1,'Base Exámenes'!E57+ROW()/1000000000,""))</f>
        <v>46297.849050983794</v>
      </c>
      <c r="AM57">
        <f>IF(OR('Base Exámenes'!C57="",'Base Exámenes'!G57=""),"",IF(ROW()-4=MATCH('Base Exámenes'!C57&amp;"|"&amp;_xlfn.MAXIFS('Base Exámenes'!$G$5:$G$1000,'Base Exámenes'!$C$5:$C$1000,'Base Exámenes'!C57),'Base Exámenes'!$I$5:$I$1000,0),'Base Exámenes'!G57*1000000+(-1)*'Base Exámenes'!D57,""))</f>
        <v>79953702.1653472</v>
      </c>
      <c r="AO57" t="str">
        <f>IF('Consolidado por área'!G57="Completo",'Consolidado por área'!L57+ROW()/1000000000,"")</f>
        <v/>
      </c>
      <c r="AQ57" t="str">
        <f>IF('Base Exámenes'!C57="","",IF(COUNTIF('Base Exámenes'!$C$5:$C$1000,'Base Exámenes'!C57)&lt;2,"",MATCH('Base Exámenes'!C57,'Base Exámenes'!$C$5:$C$1000,0)*10000+ROW()))</f>
        <v/>
      </c>
      <c r="BF57" t="str">
        <f>IF(AND('Consolidado por área'!G57="Completo",LEFT(TRIM('Consolidado por área'!A57),7)="AGENCIA"),'Consolidado por área'!L57+ROW()/1000000000,"")</f>
        <v/>
      </c>
    </row>
    <row r="58">
      <c r="A58" t="str">
        <f>IF('Consolidado por área'!A33="","",TRIM('Consolidado por área'!A33))</f>
        <v>DEPARTAMENTO DE SEGUROS</v>
      </c>
      <c r="B58" t="str">
        <f>IF($A58="","",'Consolidado por área'!B33)</f>
        <v>Gerencia de Negocios</v>
      </c>
      <c r="C58">
        <f>IF($A58="","",'Consolidado por área'!C33)</f>
        <v>10</v>
      </c>
      <c r="D58">
        <f>IF($A58="","",'Consolidado por área'!D33)</f>
        <v>10</v>
      </c>
      <c r="E58">
        <f>IF($A58="","",'Consolidado por área'!E33)</f>
        <v>0</v>
      </c>
      <c r="F58">
        <f>IF($A58="","",IF(C58&gt;0,D58/C58,0))</f>
        <v>1</v>
      </c>
      <c r="G58">
        <f>IF($A58="","",F58*1000000+C58*10+(1000-ROW())/10000)</f>
        <v>1000100.0942</v>
      </c>
      <c r="H58">
        <f>IF($A58="","",'Consolidado por área'!H33)</f>
        <v>97</v>
      </c>
      <c r="J58" t="n">
        <v>29</v>
      </c>
      <c r="K58">
        <f>IF(J58&gt;COUNT($G$30:$G$109),"",MATCH(LARGE($G$30:$G$109,J58),$G$30:$G$109,0))</f>
        <v>37</v>
      </c>
      <c r="L58" t="str">
        <f>IF($K58="","",INDEX($A$30:$A$109,K58)&amp;"   "&amp;TEXT(INDEX($F$30:$F$109,K58),"0%"))</f>
        <v>GERENCIA DE NEGOCIOS   100%</v>
      </c>
      <c r="M58">
        <f>IF($K58="","",INDEX($D$30:$D$109,K58))</f>
        <v>4</v>
      </c>
      <c r="N58">
        <f>IF($K58="","",INDEX($E$30:$E$109,K58))</f>
        <v>0</v>
      </c>
      <c r="O58" t="str">
        <f>IF($K58="","",INDEX($A$30:$A$109,K58))</f>
        <v>GERENCIA DE NEGOCIOS</v>
      </c>
      <c r="P58" t="str">
        <f>IF($K58="","",INDEX($B$30:$B$109,K58))</f>
        <v>Gerencia de Negocios</v>
      </c>
      <c r="Q58">
        <f>IF($K58="","",INDEX($C$30:$C$109,K58))</f>
        <v>4</v>
      </c>
      <c r="R58">
        <f>IF($K58="","",INDEX($F$30:$F$109,K58))</f>
        <v>1</v>
      </c>
      <c r="S58">
        <f>IF($K58="","",INDEX($H$30:$H$109,K58))</f>
        <v>100</v>
      </c>
      <c r="T58">
        <f>IF($K58="","",IF(OR('Dashboard Gerencial'!$B$5="Todas las gerencias",P58='Dashboard Gerencial'!$B$5),ROW(),""))</f>
        <v>58</v>
      </c>
      <c r="W58" t="str">
        <f>A82</f>
        <v/>
      </c>
      <c r="Z58">
        <f>IF('Detalle individual'!A58="","",IF(AND(OR('Estado por Colaborador'!$D$4="Todas las gerencias",'Detalle individual'!D58='Estado por Colaborador'!$D$4),OR('Estado por Colaborador'!$D$5="Todos los departamentos",TRIM('Detalle individual'!C58)='Estado por Colaborador'!$D$5),OR('Estado por Colaborador'!$D$6="Todos",'Detalle individual'!F58='Estado por Colaborador'!$D$6)),IF('Detalle individual'!F58="Completado",30000000,IF('Detalle individual'!F58="Pendiente",0,15000000))+COUNTIF('Detalle individual'!$C$5:$C$1000,"&lt;"&amp;'Detalle individual'!C58)*10000+ROW(),""))</f>
        <v>38820058</v>
      </c>
      <c r="AB58" t="str">
        <f>IF('Detalle individual'!C58="","",IF(COUNTIF('Detalle individual'!$C$5:C58,'Detalle individual'!C58)=1,COUNTIF('Detalle individual'!$C$5:$C$1000,"&lt;"&amp;'Detalle individual'!C58),""))</f>
        <v/>
      </c>
      <c r="AC58" t="str">
        <f>IF('Detalle individual'!D58="","",IF(COUNTIF('Detalle individual'!$D$5:D58,'Detalle individual'!D58)=1,COUNTIF('Detalle individual'!$D$5:$D$1000,"&lt;"&amp;'Detalle individual'!D58),""))</f>
        <v/>
      </c>
      <c r="AE58" t="str">
        <f>IFERROR(MATCH(SMALL($AB$5:$AB$1000,54),$AB$5:$AB$1000,0)+4,"")</f>
        <v/>
      </c>
      <c r="AH58" t="str">
        <f>IF('Detalle individual'!F58="Pendiente",COUNTIF('Detalle individual'!$D$5:$D$1000,"&lt;"&amp;'Detalle individual'!D58)*1000000+COUNTIF('Detalle individual'!$C$5:$C$1000,"&lt;"&amp;'Detalle individual'!C58)*1000+COUNTIF('Detalle individual'!$B$5:$B$1000,"&lt;"&amp;'Detalle individual'!B58)+ROW()/10000,"")</f>
        <v/>
      </c>
      <c r="AI58">
        <f>IF('Detalle individual'!F58="Completado",COUNTIF('Detalle individual'!$D$5:$D$1000,"&lt;"&amp;'Detalle individual'!D58)*1000000+COUNTIF('Detalle individual'!$C$5:$C$1000,"&lt;"&amp;'Detalle individual'!C58)*1000+COUNTIF('Detalle individual'!$B$5:$B$1000,"&lt;"&amp;'Detalle individual'!B58)+ROW()/10000,"")</f>
        <v>711882738.0058</v>
      </c>
      <c r="AJ58" t="str">
        <f>IF(AND('Detalle individual'!F58&lt;&gt;"",'Detalle individual'!F58&lt;&gt;"Completado",'Detalle individual'!F58&lt;&gt;"Pendiente"),COUNTIF('Detalle individual'!$D$5:$D$1000,"&lt;"&amp;'Detalle individual'!D58)*1000000+COUNTIF('Detalle individual'!$C$5:$C$1000,"&lt;"&amp;'Detalle individual'!C58)*1000+COUNTIF('Detalle individual'!$B$5:$B$1000,"&lt;"&amp;'Detalle individual'!B58)+ROW()/10000,"")</f>
        <v/>
      </c>
      <c r="AK58">
        <f>IF(OR('Base Exámenes'!C58="",'Base Exámenes'!D58=""),"",IF(COUNTIF('Base Exámenes'!$C$5:C58,'Base Exámenes'!C58)=1,'Base Exámenes'!D58+ROW()/1000000000,""))</f>
        <v>46297.84774311342</v>
      </c>
      <c r="AL58">
        <f>IF(OR('Base Exámenes'!C58="",'Base Exámenes'!E58=""),"",IF(COUNTIF('Base Exámenes'!$C$5:C58,'Base Exámenes'!C58)=1,'Base Exámenes'!E58+ROW()/1000000000,""))</f>
        <v>46297.85355329861</v>
      </c>
      <c r="AM58">
        <f>IF(OR('Base Exámenes'!C58="",'Base Exámenes'!G58=""),"",IF(ROW()-4=MATCH('Base Exámenes'!C58&amp;"|"&amp;_xlfn.MAXIFS('Base Exámenes'!$G$5:$G$1000,'Base Exámenes'!$C$5:$C$1000,'Base Exámenes'!C58),'Base Exámenes'!$I$5:$I$1000,0),'Base Exámenes'!G58*1000000+(-1)*'Base Exámenes'!D58,""))</f>
        <v>84953702.152257</v>
      </c>
      <c r="AO58" t="str">
        <f>IF('Consolidado por área'!G58="Completo",'Consolidado por área'!L58+ROW()/1000000000,"")</f>
        <v/>
      </c>
      <c r="AQ58" t="str">
        <f>IF('Base Exámenes'!C58="","",IF(COUNTIF('Base Exámenes'!$C$5:$C$1000,'Base Exámenes'!C58)&lt;2,"",MATCH('Base Exámenes'!C58,'Base Exámenes'!$C$5:$C$1000,0)*10000+ROW()))</f>
        <v/>
      </c>
      <c r="BF58" t="str">
        <f>IF(AND('Consolidado por área'!G58="Completo",LEFT(TRIM('Consolidado por área'!A58),7)="AGENCIA"),'Consolidado por área'!L58+ROW()/1000000000,"")</f>
        <v/>
      </c>
    </row>
    <row r="59">
      <c r="A59" t="str">
        <f>IF('Consolidado por área'!A34="","",TRIM('Consolidado por área'!A34))</f>
        <v>DEPARTAMENTO DE SERVICIOS GENERALES</v>
      </c>
      <c r="B59" t="str">
        <f>IF($A59="","",'Consolidado por área'!B34)</f>
        <v>Gerencia Administrativa</v>
      </c>
      <c r="C59">
        <f>IF($A59="","",'Consolidado por área'!C34)</f>
        <v>17</v>
      </c>
      <c r="D59">
        <f>IF($A59="","",'Consolidado por área'!D34)</f>
        <v>17</v>
      </c>
      <c r="E59">
        <f>IF($A59="","",'Consolidado por área'!E34)</f>
        <v>0</v>
      </c>
      <c r="F59">
        <f>IF($A59="","",IF(C59&gt;0,D59/C59,0))</f>
        <v>1</v>
      </c>
      <c r="G59">
        <f>IF($A59="","",F59*1000000+C59*10+(1000-ROW())/10000)</f>
        <v>1000170.0941</v>
      </c>
      <c r="H59">
        <f>IF($A59="","",'Consolidado por área'!H34)</f>
        <v>89.7058823529412</v>
      </c>
      <c r="J59" t="n">
        <v>30</v>
      </c>
      <c r="K59">
        <f>IF(J59&gt;COUNT($G$30:$G$109),"",MATCH(LARGE($G$30:$G$109,J59),$G$30:$G$109,0))</f>
        <v>39</v>
      </c>
      <c r="L59" t="str">
        <f>IF($K59="","",INDEX($A$30:$A$109,K59)&amp;"   "&amp;TEXT(INDEX($F$30:$F$109,K59),"0%"))</f>
        <v>GERENCIA DE SISTEMAS   100%</v>
      </c>
      <c r="M59">
        <f>IF($K59="","",INDEX($D$30:$D$109,K59))</f>
        <v>4</v>
      </c>
      <c r="N59">
        <f>IF($K59="","",INDEX($E$30:$E$109,K59))</f>
        <v>0</v>
      </c>
      <c r="O59" t="str">
        <f>IF($K59="","",INDEX($A$30:$A$109,K59))</f>
        <v>GERENCIA DE SISTEMAS</v>
      </c>
      <c r="P59" t="str">
        <f>IF($K59="","",INDEX($B$30:$B$109,K59))</f>
        <v>Gerencia de Sistemas</v>
      </c>
      <c r="Q59">
        <f>IF($K59="","",INDEX($C$30:$C$109,K59))</f>
        <v>4</v>
      </c>
      <c r="R59">
        <f>IF($K59="","",INDEX($F$30:$F$109,K59))</f>
        <v>1</v>
      </c>
      <c r="S59">
        <f>IF($K59="","",INDEX($H$30:$H$109,K59))</f>
        <v>98.75</v>
      </c>
      <c r="T59">
        <f>IF($K59="","",IF(OR('Dashboard Gerencial'!$B$5="Todas las gerencias",P59='Dashboard Gerencial'!$B$5),ROW(),""))</f>
        <v>59</v>
      </c>
      <c r="W59" t="str">
        <f>A83</f>
        <v/>
      </c>
      <c r="Z59">
        <f>IF('Detalle individual'!A59="","",IF(AND(OR('Estado por Colaborador'!$D$4="Todas las gerencias",'Detalle individual'!D59='Estado por Colaborador'!$D$4),OR('Estado por Colaborador'!$D$5="Todos los departamentos",TRIM('Detalle individual'!C59)='Estado por Colaborador'!$D$5),OR('Estado por Colaborador'!$D$6="Todos",'Detalle individual'!F59='Estado por Colaborador'!$D$6)),IF('Detalle individual'!F59="Completado",30000000,IF('Detalle individual'!F59="Pendiente",0,15000000))+COUNTIF('Detalle individual'!$C$5:$C$1000,"&lt;"&amp;'Detalle individual'!C59)*10000+ROW(),""))</f>
        <v>39350059</v>
      </c>
      <c r="AB59">
        <f>IF('Detalle individual'!C59="","",IF(COUNTIF('Detalle individual'!$C$5:C59,'Detalle individual'!C59)=1,COUNTIF('Detalle individual'!$C$5:$C$1000,"&lt;"&amp;'Detalle individual'!C59),""))</f>
        <v>935</v>
      </c>
      <c r="AC59" t="str">
        <f>IF('Detalle individual'!D59="","",IF(COUNTIF('Detalle individual'!$D$5:D59,'Detalle individual'!D59)=1,COUNTIF('Detalle individual'!$D$5:$D$1000,"&lt;"&amp;'Detalle individual'!D59),""))</f>
        <v/>
      </c>
      <c r="AE59" t="str">
        <f>IFERROR(MATCH(SMALL($AB$5:$AB$1000,55),$AB$5:$AB$1000,0)+4,"")</f>
        <v/>
      </c>
      <c r="AH59" t="str">
        <f>IF('Detalle individual'!F59="Pendiente",COUNTIF('Detalle individual'!$D$5:$D$1000,"&lt;"&amp;'Detalle individual'!D59)*1000000+COUNTIF('Detalle individual'!$C$5:$C$1000,"&lt;"&amp;'Detalle individual'!C59)*1000+COUNTIF('Detalle individual'!$B$5:$B$1000,"&lt;"&amp;'Detalle individual'!B59)+ROW()/10000,"")</f>
        <v/>
      </c>
      <c r="AI59">
        <f>IF('Detalle individual'!F59="Completado",COUNTIF('Detalle individual'!$D$5:$D$1000,"&lt;"&amp;'Detalle individual'!D59)*1000000+COUNTIF('Detalle individual'!$C$5:$C$1000,"&lt;"&amp;'Detalle individual'!C59)*1000+COUNTIF('Detalle individual'!$B$5:$B$1000,"&lt;"&amp;'Detalle individual'!B59)+ROW()/10000,"")</f>
        <v>925935989.0059</v>
      </c>
      <c r="AJ59" t="str">
        <f>IF(AND('Detalle individual'!F59&lt;&gt;"",'Detalle individual'!F59&lt;&gt;"Completado",'Detalle individual'!F59&lt;&gt;"Pendiente"),COUNTIF('Detalle individual'!$D$5:$D$1000,"&lt;"&amp;'Detalle individual'!D59)*1000000+COUNTIF('Detalle individual'!$C$5:$C$1000,"&lt;"&amp;'Detalle individual'!C59)*1000+COUNTIF('Detalle individual'!$B$5:$B$1000,"&lt;"&amp;'Detalle individual'!B59)+ROW()/10000,"")</f>
        <v/>
      </c>
      <c r="AK59">
        <f>IF(OR('Base Exámenes'!C59="",'Base Exámenes'!D59=""),"",IF(COUNTIF('Base Exámenes'!$C$5:C59,'Base Exámenes'!C59)=1,'Base Exámenes'!D59+ROW()/1000000000,""))</f>
        <v>46298.29701394676</v>
      </c>
      <c r="AL59">
        <f>IF(OR('Base Exámenes'!C59="",'Base Exámenes'!E59=""),"",IF(COUNTIF('Base Exámenes'!$C$5:C59,'Base Exámenes'!C59)=1,'Base Exámenes'!E59+ROW()/1000000000,""))</f>
        <v>46298.30020839121</v>
      </c>
      <c r="AM59">
        <f>IF(OR('Base Exámenes'!C59="",'Base Exámenes'!G59=""),"",IF(ROW()-4=MATCH('Base Exámenes'!C59&amp;"|"&amp;_xlfn.MAXIFS('Base Exámenes'!$G$5:$G$1000,'Base Exámenes'!$C$5:$C$1000,'Base Exámenes'!C59),'Base Exámenes'!$I$5:$I$1000,0),'Base Exámenes'!G59*1000000+(-1)*'Base Exámenes'!D59,""))</f>
        <v>79953701.7029861</v>
      </c>
      <c r="AO59" t="str">
        <f>IF('Consolidado por área'!G59="Completo",'Consolidado por área'!L59+ROW()/1000000000,"")</f>
        <v/>
      </c>
      <c r="AQ59" t="str">
        <f>IF('Base Exámenes'!C59="","",IF(COUNTIF('Base Exámenes'!$C$5:$C$1000,'Base Exámenes'!C59)&lt;2,"",MATCH('Base Exámenes'!C59,'Base Exámenes'!$C$5:$C$1000,0)*10000+ROW()))</f>
        <v/>
      </c>
      <c r="BF59" t="str">
        <f>IF(AND('Consolidado por área'!G59="Completo",LEFT(TRIM('Consolidado por área'!A59),7)="AGENCIA"),'Consolidado por área'!L59+ROW()/1000000000,"")</f>
        <v/>
      </c>
    </row>
    <row r="60">
      <c r="A60" t="str">
        <f>IF('Consolidado por área'!A35="","",TRIM('Consolidado por área'!A35))</f>
        <v>DEPARTAMENTO DE SOLUCIONES FINANCIERAS</v>
      </c>
      <c r="B60" t="str">
        <f>IF($A60="","",'Consolidado por área'!B35)</f>
        <v>Gerencia de Operaciones</v>
      </c>
      <c r="C60">
        <f>IF($A60="","",'Consolidado por área'!C35)</f>
        <v>9</v>
      </c>
      <c r="D60">
        <f>IF($A60="","",'Consolidado por área'!D35)</f>
        <v>9</v>
      </c>
      <c r="E60">
        <f>IF($A60="","",'Consolidado por área'!E35)</f>
        <v>0</v>
      </c>
      <c r="F60">
        <f>IF($A60="","",IF(C60&gt;0,D60/C60,0))</f>
        <v>1</v>
      </c>
      <c r="G60">
        <f>IF($A60="","",F60*1000000+C60*10+(1000-ROW())/10000)</f>
        <v>1000090.094</v>
      </c>
      <c r="H60">
        <f>IF($A60="","",'Consolidado por área'!H35)</f>
        <v>87.7777777777778</v>
      </c>
      <c r="J60" t="n">
        <v>31</v>
      </c>
      <c r="K60">
        <f>IF(J60&gt;COUNT($G$30:$G$109),"",MATCH(LARGE($G$30:$G$109,J60),$G$30:$G$109,0))</f>
        <v>43</v>
      </c>
      <c r="L60" t="str">
        <f>IF($K60="","",INDEX($A$30:$A$109,K60)&amp;"   "&amp;TEXT(INDEX($F$30:$F$109,K60),"0%"))</f>
        <v>OFICIALIA DE SEGURIDAD DE LA INFORMACION   100%</v>
      </c>
      <c r="M60">
        <f>IF($K60="","",INDEX($D$30:$D$109,K60))</f>
        <v>4</v>
      </c>
      <c r="N60">
        <f>IF($K60="","",INDEX($E$30:$E$109,K60))</f>
        <v>0</v>
      </c>
      <c r="O60" t="str">
        <f>IF($K60="","",INDEX($A$30:$A$109,K60))</f>
        <v>OFICIALIA DE SEGURIDAD DE LA INFORMACION</v>
      </c>
      <c r="P60" t="str">
        <f>IF($K60="","",INDEX($B$30:$B$109,K60))</f>
        <v>Gerencia General</v>
      </c>
      <c r="Q60">
        <f>IF($K60="","",INDEX($C$30:$C$109,K60))</f>
        <v>4</v>
      </c>
      <c r="R60">
        <f>IF($K60="","",INDEX($F$30:$F$109,K60))</f>
        <v>1</v>
      </c>
      <c r="S60">
        <f>IF($K60="","",INDEX($H$30:$H$109,K60))</f>
        <v>96.25</v>
      </c>
      <c r="T60">
        <f>IF($K60="","",IF(OR('Dashboard Gerencial'!$B$5="Todas las gerencias",P60='Dashboard Gerencial'!$B$5),ROW(),""))</f>
        <v>60</v>
      </c>
      <c r="W60" t="str">
        <f>A84</f>
        <v/>
      </c>
      <c r="Z60">
        <f>IF('Detalle individual'!A60="","",IF(AND(OR('Estado por Colaborador'!$D$4="Todas las gerencias",'Detalle individual'!D60='Estado por Colaborador'!$D$4),OR('Estado por Colaborador'!$D$5="Todos los departamentos",TRIM('Detalle individual'!C60)='Estado por Colaborador'!$D$5),OR('Estado por Colaborador'!$D$6="Todos",'Detalle individual'!F60='Estado por Colaborador'!$D$6)),IF('Detalle individual'!F60="Completado",30000000,IF('Detalle individual'!F60="Pendiente",0,15000000))+COUNTIF('Detalle individual'!$C$5:$C$1000,"&lt;"&amp;'Detalle individual'!C60)*10000+ROW(),""))</f>
        <v>39350060</v>
      </c>
      <c r="AB60" t="str">
        <f>IF('Detalle individual'!C60="","",IF(COUNTIF('Detalle individual'!$C$5:C60,'Detalle individual'!C60)=1,COUNTIF('Detalle individual'!$C$5:$C$1000,"&lt;"&amp;'Detalle individual'!C60),""))</f>
        <v/>
      </c>
      <c r="AC60" t="str">
        <f>IF('Detalle individual'!D60="","",IF(COUNTIF('Detalle individual'!$D$5:D60,'Detalle individual'!D60)=1,COUNTIF('Detalle individual'!$D$5:$D$1000,"&lt;"&amp;'Detalle individual'!D60),""))</f>
        <v/>
      </c>
      <c r="AE60" t="str">
        <f>IFERROR(MATCH(SMALL($AB$5:$AB$1000,56),$AB$5:$AB$1000,0)+4,"")</f>
        <v/>
      </c>
      <c r="AH60" t="str">
        <f>IF('Detalle individual'!F60="Pendiente",COUNTIF('Detalle individual'!$D$5:$D$1000,"&lt;"&amp;'Detalle individual'!D60)*1000000+COUNTIF('Detalle individual'!$C$5:$C$1000,"&lt;"&amp;'Detalle individual'!C60)*1000+COUNTIF('Detalle individual'!$B$5:$B$1000,"&lt;"&amp;'Detalle individual'!B60)+ROW()/10000,"")</f>
        <v/>
      </c>
      <c r="AI60">
        <f>IF('Detalle individual'!F60="Completado",COUNTIF('Detalle individual'!$D$5:$D$1000,"&lt;"&amp;'Detalle individual'!D60)*1000000+COUNTIF('Detalle individual'!$C$5:$C$1000,"&lt;"&amp;'Detalle individual'!C60)*1000+COUNTIF('Detalle individual'!$B$5:$B$1000,"&lt;"&amp;'Detalle individual'!B60)+ROW()/10000,"")</f>
        <v>925935958.006</v>
      </c>
      <c r="AJ60" t="str">
        <f>IF(AND('Detalle individual'!F60&lt;&gt;"",'Detalle individual'!F60&lt;&gt;"Completado",'Detalle individual'!F60&lt;&gt;"Pendiente"),COUNTIF('Detalle individual'!$D$5:$D$1000,"&lt;"&amp;'Detalle individual'!D60)*1000000+COUNTIF('Detalle individual'!$C$5:$C$1000,"&lt;"&amp;'Detalle individual'!C60)*1000+COUNTIF('Detalle individual'!$B$5:$B$1000,"&lt;"&amp;'Detalle individual'!B60)+ROW()/10000,"")</f>
        <v/>
      </c>
      <c r="AK60">
        <f>IF(OR('Base Exámenes'!C60="",'Base Exámenes'!D60=""),"",IF(COUNTIF('Base Exámenes'!$C$5:C60,'Base Exámenes'!C60)=1,'Base Exámenes'!D60+ROW()/1000000000,""))</f>
        <v>46298.33667829861</v>
      </c>
      <c r="AL60">
        <f>IF(OR('Base Exámenes'!C60="",'Base Exámenes'!E60=""),"",IF(COUNTIF('Base Exámenes'!$C$5:C60,'Base Exámenes'!C60)=1,'Base Exámenes'!E60+ROW()/1000000000,""))</f>
        <v>46298.34488431713</v>
      </c>
      <c r="AM60" t="str">
        <f>IF(OR('Base Exámenes'!C60="",'Base Exámenes'!G60=""),"",IF(ROW()-4=MATCH('Base Exámenes'!C60&amp;"|"&amp;_xlfn.MAXIFS('Base Exámenes'!$G$5:$G$1000,'Base Exámenes'!$C$5:$C$1000,'Base Exámenes'!C60),'Base Exámenes'!$I$5:$I$1000,0),'Base Exámenes'!G60*1000000+(-1)*'Base Exámenes'!D60,""))</f>
        <v/>
      </c>
      <c r="AO60" t="str">
        <f>IF('Consolidado por área'!G60="Completo",'Consolidado por área'!L60+ROW()/1000000000,"")</f>
        <v/>
      </c>
      <c r="AQ60">
        <f>IF('Base Exámenes'!C60="","",IF(COUNTIF('Base Exámenes'!$C$5:$C$1000,'Base Exámenes'!C60)&lt;2,"",MATCH('Base Exámenes'!C60,'Base Exámenes'!$C$5:$C$1000,0)*10000+ROW()))</f>
        <v>560060</v>
      </c>
      <c r="BF60" t="str">
        <f>IF(AND('Consolidado por área'!G60="Completo",LEFT(TRIM('Consolidado por área'!A60),7)="AGENCIA"),'Consolidado por área'!L60+ROW()/1000000000,"")</f>
        <v/>
      </c>
    </row>
    <row r="61">
      <c r="A61" t="str">
        <f>IF('Consolidado por área'!A36="","",TRIM('Consolidado por área'!A36))</f>
        <v>DEPARTAMENTO DE TALENTO HUMANO</v>
      </c>
      <c r="B61" t="str">
        <f>IF($A61="","",'Consolidado por área'!B36)</f>
        <v>Gerencia Administrativa</v>
      </c>
      <c r="C61">
        <f>IF($A61="","",'Consolidado por área'!C36)</f>
        <v>2</v>
      </c>
      <c r="D61">
        <f>IF($A61="","",'Consolidado por área'!D36)</f>
        <v>2</v>
      </c>
      <c r="E61">
        <f>IF($A61="","",'Consolidado por área'!E36)</f>
        <v>0</v>
      </c>
      <c r="F61">
        <f>IF($A61="","",IF(C61&gt;0,D61/C61,0))</f>
        <v>1</v>
      </c>
      <c r="G61">
        <f>IF($A61="","",F61*1000000+C61*10+(1000-ROW())/10000)</f>
        <v>1000020.0939</v>
      </c>
      <c r="H61">
        <f>IF($A61="","",'Consolidado por área'!H36)</f>
        <v>95</v>
      </c>
      <c r="J61" t="n">
        <v>32</v>
      </c>
      <c r="K61">
        <f>IF(J61&gt;COUNT($G$30:$G$109),"",MATCH(LARGE($G$30:$G$109,J61),$G$30:$G$109,0))</f>
        <v>23</v>
      </c>
      <c r="L61" t="str">
        <f>IF($K61="","",INDEX($A$30:$A$109,K61)&amp;"   "&amp;TEXT(INDEX($F$30:$F$109,K61),"0%"))</f>
        <v>DEPARTAMENTO DE EDUCACION Y RESPONSABILIDAD SOCIAL   100%</v>
      </c>
      <c r="M61">
        <f>IF($K61="","",INDEX($D$30:$D$109,K61))</f>
        <v>3</v>
      </c>
      <c r="N61">
        <f>IF($K61="","",INDEX($E$30:$E$109,K61))</f>
        <v>0</v>
      </c>
      <c r="O61" t="str">
        <f>IF($K61="","",INDEX($A$30:$A$109,K61))</f>
        <v>DEPARTAMENTO DE EDUCACION Y RESPONSABILIDAD SOCIAL</v>
      </c>
      <c r="P61" t="str">
        <f>IF($K61="","",INDEX($B$30:$B$109,K61))</f>
        <v>Gerencia Administrativa</v>
      </c>
      <c r="Q61">
        <f>IF($K61="","",INDEX($C$30:$C$109,K61))</f>
        <v>3</v>
      </c>
      <c r="R61">
        <f>IF($K61="","",INDEX($F$30:$F$109,K61))</f>
        <v>1</v>
      </c>
      <c r="S61">
        <f>IF($K61="","",INDEX($H$30:$H$109,K61))</f>
        <v>100</v>
      </c>
      <c r="T61">
        <f>IF($K61="","",IF(OR('Dashboard Gerencial'!$B$5="Todas las gerencias",P61='Dashboard Gerencial'!$B$5),ROW(),""))</f>
        <v>61</v>
      </c>
      <c r="W61" t="str">
        <f>A85</f>
        <v/>
      </c>
      <c r="Z61">
        <f>IF('Detalle individual'!A61="","",IF(AND(OR('Estado por Colaborador'!$D$4="Todas las gerencias",'Detalle individual'!D61='Estado por Colaborador'!$D$4),OR('Estado por Colaborador'!$D$5="Todos los departamentos",TRIM('Detalle individual'!C61)='Estado por Colaborador'!$D$5),OR('Estado por Colaborador'!$D$6="Todos",'Detalle individual'!F61='Estado por Colaborador'!$D$6)),IF('Detalle individual'!F61="Completado",30000000,IF('Detalle individual'!F61="Pendiente",0,15000000))+COUNTIF('Detalle individual'!$C$5:$C$1000,"&lt;"&amp;'Detalle individual'!C61)*10000+ROW(),""))</f>
        <v>39350061</v>
      </c>
      <c r="AB61" t="str">
        <f>IF('Detalle individual'!C61="","",IF(COUNTIF('Detalle individual'!$C$5:C61,'Detalle individual'!C61)=1,COUNTIF('Detalle individual'!$C$5:$C$1000,"&lt;"&amp;'Detalle individual'!C61),""))</f>
        <v/>
      </c>
      <c r="AC61" t="str">
        <f>IF('Detalle individual'!D61="","",IF(COUNTIF('Detalle individual'!$D$5:D61,'Detalle individual'!D61)=1,COUNTIF('Detalle individual'!$D$5:$D$1000,"&lt;"&amp;'Detalle individual'!D61),""))</f>
        <v/>
      </c>
      <c r="AE61" t="str">
        <f>IFERROR(MATCH(SMALL($AB$5:$AB$1000,57),$AB$5:$AB$1000,0)+4,"")</f>
        <v/>
      </c>
      <c r="AH61" t="str">
        <f>IF('Detalle individual'!F61="Pendiente",COUNTIF('Detalle individual'!$D$5:$D$1000,"&lt;"&amp;'Detalle individual'!D61)*1000000+COUNTIF('Detalle individual'!$C$5:$C$1000,"&lt;"&amp;'Detalle individual'!C61)*1000+COUNTIF('Detalle individual'!$B$5:$B$1000,"&lt;"&amp;'Detalle individual'!B61)+ROW()/10000,"")</f>
        <v/>
      </c>
      <c r="AI61">
        <f>IF('Detalle individual'!F61="Completado",COUNTIF('Detalle individual'!$D$5:$D$1000,"&lt;"&amp;'Detalle individual'!D61)*1000000+COUNTIF('Detalle individual'!$C$5:$C$1000,"&lt;"&amp;'Detalle individual'!C61)*1000+COUNTIF('Detalle individual'!$B$5:$B$1000,"&lt;"&amp;'Detalle individual'!B61)+ROW()/10000,"")</f>
        <v>925935985.0061</v>
      </c>
      <c r="AJ61" t="str">
        <f>IF(AND('Detalle individual'!F61&lt;&gt;"",'Detalle individual'!F61&lt;&gt;"Completado",'Detalle individual'!F61&lt;&gt;"Pendiente"),COUNTIF('Detalle individual'!$D$5:$D$1000,"&lt;"&amp;'Detalle individual'!D61)*1000000+COUNTIF('Detalle individual'!$C$5:$C$1000,"&lt;"&amp;'Detalle individual'!C61)*1000+COUNTIF('Detalle individual'!$B$5:$B$1000,"&lt;"&amp;'Detalle individual'!B61)+ROW()/10000,"")</f>
        <v/>
      </c>
      <c r="AK61">
        <f>IF(OR('Base Exámenes'!C61="",'Base Exámenes'!D61=""),"",IF(COUNTIF('Base Exámenes'!$C$5:C61,'Base Exámenes'!C61)=1,'Base Exámenes'!D61+ROW()/1000000000,""))</f>
        <v>46298.400370428244</v>
      </c>
      <c r="AL61">
        <f>IF(OR('Base Exámenes'!C61="",'Base Exámenes'!E61=""),"",IF(COUNTIF('Base Exámenes'!$C$5:C61,'Base Exámenes'!C61)=1,'Base Exámenes'!E61+ROW()/1000000000,""))</f>
        <v>46298.41559033565</v>
      </c>
      <c r="AM61">
        <f>IF(OR('Base Exámenes'!C61="",'Base Exámenes'!G61=""),"",IF(ROW()-4=MATCH('Base Exámenes'!C61&amp;"|"&amp;_xlfn.MAXIFS('Base Exámenes'!$G$5:$G$1000,'Base Exámenes'!$C$5:$C$1000,'Base Exámenes'!C61),'Base Exámenes'!$I$5:$I$1000,0),'Base Exámenes'!G61*1000000+(-1)*'Base Exámenes'!D61,""))</f>
        <v>89953701.5996296</v>
      </c>
      <c r="AO61" t="str">
        <f>IF('Consolidado por área'!G61="Completo",'Consolidado por área'!L61+ROW()/1000000000,"")</f>
        <v/>
      </c>
      <c r="AQ61" t="str">
        <f>IF('Base Exámenes'!C61="","",IF(COUNTIF('Base Exámenes'!$C$5:$C$1000,'Base Exámenes'!C61)&lt;2,"",MATCH('Base Exámenes'!C61,'Base Exámenes'!$C$5:$C$1000,0)*10000+ROW()))</f>
        <v/>
      </c>
      <c r="BF61" t="str">
        <f>IF(AND('Consolidado por área'!G61="Completo",LEFT(TRIM('Consolidado por área'!A61),7)="AGENCIA"),'Consolidado por área'!L61+ROW()/1000000000,"")</f>
        <v/>
      </c>
    </row>
    <row r="62">
      <c r="A62" t="str">
        <f>IF('Consolidado por área'!A37="","",TRIM('Consolidado por área'!A37))</f>
        <v>DEPARTAMENTO DE TARJETA DE CREDITO Y DEBITO</v>
      </c>
      <c r="B62" t="str">
        <f>IF($A62="","",'Consolidado por área'!B37)</f>
        <v>Gerencia de Operaciones</v>
      </c>
      <c r="C62">
        <f>IF($A62="","",'Consolidado por área'!C37)</f>
        <v>5</v>
      </c>
      <c r="D62">
        <f>IF($A62="","",'Consolidado por área'!D37)</f>
        <v>5</v>
      </c>
      <c r="E62">
        <f>IF($A62="","",'Consolidado por área'!E37)</f>
        <v>0</v>
      </c>
      <c r="F62">
        <f>IF($A62="","",IF(C62&gt;0,D62/C62,0))</f>
        <v>1</v>
      </c>
      <c r="G62">
        <f>IF($A62="","",F62*1000000+C62*10+(1000-ROW())/10000)</f>
        <v>1000050.0938</v>
      </c>
      <c r="H62">
        <f>IF($A62="","",'Consolidado por área'!H37)</f>
        <v>99</v>
      </c>
      <c r="J62" t="n">
        <v>33</v>
      </c>
      <c r="K62">
        <f>IF(J62&gt;COUNT($G$30:$G$109),"",MATCH(LARGE($G$30:$G$109,J62),$G$30:$G$109,0))</f>
        <v>26</v>
      </c>
      <c r="L62" t="str">
        <f>IF($K62="","",INDEX($A$30:$A$109,K62)&amp;"   "&amp;TEXT(INDEX($F$30:$F$109,K62),"0%"))</f>
        <v>DEPARTAMENTO DE PLANIFICACIÓN Y ANALISIS   100%</v>
      </c>
      <c r="M62">
        <f>IF($K62="","",INDEX($D$30:$D$109,K62))</f>
        <v>3</v>
      </c>
      <c r="N62">
        <f>IF($K62="","",INDEX($E$30:$E$109,K62))</f>
        <v>0</v>
      </c>
      <c r="O62" t="str">
        <f>IF($K62="","",INDEX($A$30:$A$109,K62))</f>
        <v>DEPARTAMENTO DE PLANIFICACIÓN Y ANALISIS</v>
      </c>
      <c r="P62" t="str">
        <f>IF($K62="","",INDEX($B$30:$B$109,K62))</f>
        <v>Gerencia de Finanzas y Planificación</v>
      </c>
      <c r="Q62">
        <f>IF($K62="","",INDEX($C$30:$C$109,K62))</f>
        <v>3</v>
      </c>
      <c r="R62">
        <f>IF($K62="","",INDEX($F$30:$F$109,K62))</f>
        <v>1</v>
      </c>
      <c r="S62">
        <f>IF($K62="","",INDEX($H$30:$H$109,K62))</f>
        <v>100</v>
      </c>
      <c r="T62">
        <f>IF($K62="","",IF(OR('Dashboard Gerencial'!$B$5="Todas las gerencias",P62='Dashboard Gerencial'!$B$5),ROW(),""))</f>
        <v>62</v>
      </c>
      <c r="W62" t="str">
        <f>A86</f>
        <v/>
      </c>
      <c r="Z62">
        <f>IF('Detalle individual'!A62="","",IF(AND(OR('Estado por Colaborador'!$D$4="Todas las gerencias",'Detalle individual'!D62='Estado por Colaborador'!$D$4),OR('Estado por Colaborador'!$D$5="Todos los departamentos",TRIM('Detalle individual'!C62)='Estado por Colaborador'!$D$5),OR('Estado por Colaborador'!$D$6="Todos",'Detalle individual'!F62='Estado por Colaborador'!$D$6)),IF('Detalle individual'!F62="Completado",30000000,IF('Detalle individual'!F62="Pendiente",0,15000000))+COUNTIF('Detalle individual'!$C$5:$C$1000,"&lt;"&amp;'Detalle individual'!C62)*10000+ROW(),""))</f>
        <v>39350062</v>
      </c>
      <c r="AB62" t="str">
        <f>IF('Detalle individual'!C62="","",IF(COUNTIF('Detalle individual'!$C$5:C62,'Detalle individual'!C62)=1,COUNTIF('Detalle individual'!$C$5:$C$1000,"&lt;"&amp;'Detalle individual'!C62),""))</f>
        <v/>
      </c>
      <c r="AC62" t="str">
        <f>IF('Detalle individual'!D62="","",IF(COUNTIF('Detalle individual'!$D$5:D62,'Detalle individual'!D62)=1,COUNTIF('Detalle individual'!$D$5:$D$1000,"&lt;"&amp;'Detalle individual'!D62),""))</f>
        <v/>
      </c>
      <c r="AE62" t="str">
        <f>IFERROR(MATCH(SMALL($AB$5:$AB$1000,58),$AB$5:$AB$1000,0)+4,"")</f>
        <v/>
      </c>
      <c r="AH62" t="str">
        <f>IF('Detalle individual'!F62="Pendiente",COUNTIF('Detalle individual'!$D$5:$D$1000,"&lt;"&amp;'Detalle individual'!D62)*1000000+COUNTIF('Detalle individual'!$C$5:$C$1000,"&lt;"&amp;'Detalle individual'!C62)*1000+COUNTIF('Detalle individual'!$B$5:$B$1000,"&lt;"&amp;'Detalle individual'!B62)+ROW()/10000,"")</f>
        <v/>
      </c>
      <c r="AI62">
        <f>IF('Detalle individual'!F62="Completado",COUNTIF('Detalle individual'!$D$5:$D$1000,"&lt;"&amp;'Detalle individual'!D62)*1000000+COUNTIF('Detalle individual'!$C$5:$C$1000,"&lt;"&amp;'Detalle individual'!C62)*1000+COUNTIF('Detalle individual'!$B$5:$B$1000,"&lt;"&amp;'Detalle individual'!B62)+ROW()/10000,"")</f>
        <v>925935719.0062</v>
      </c>
      <c r="AJ62" t="str">
        <f>IF(AND('Detalle individual'!F62&lt;&gt;"",'Detalle individual'!F62&lt;&gt;"Completado",'Detalle individual'!F62&lt;&gt;"Pendiente"),COUNTIF('Detalle individual'!$D$5:$D$1000,"&lt;"&amp;'Detalle individual'!D62)*1000000+COUNTIF('Detalle individual'!$C$5:$C$1000,"&lt;"&amp;'Detalle individual'!C62)*1000+COUNTIF('Detalle individual'!$B$5:$B$1000,"&lt;"&amp;'Detalle individual'!B62)+ROW()/10000,"")</f>
        <v/>
      </c>
      <c r="AK62">
        <f>IF(OR('Base Exámenes'!C62="",'Base Exámenes'!D62=""),"",IF(COUNTIF('Base Exámenes'!$C$5:C62,'Base Exámenes'!C62)=1,'Base Exámenes'!D62+ROW()/1000000000,""))</f>
        <v>46298.40277783565</v>
      </c>
      <c r="AL62">
        <f>IF(OR('Base Exámenes'!C62="",'Base Exámenes'!E62=""),"",IF(COUNTIF('Base Exámenes'!$C$5:C62,'Base Exámenes'!C62)=1,'Base Exámenes'!E62+ROW()/1000000000,""))</f>
        <v>46298.415833391206</v>
      </c>
      <c r="AM62">
        <f>IF(OR('Base Exámenes'!C62="",'Base Exámenes'!G62=""),"",IF(ROW()-4=MATCH('Base Exámenes'!C62&amp;"|"&amp;_xlfn.MAXIFS('Base Exámenes'!$G$5:$G$1000,'Base Exámenes'!$C$5:$C$1000,'Base Exámenes'!C62),'Base Exámenes'!$I$5:$I$1000,0),'Base Exámenes'!G62*1000000+(-1)*'Base Exámenes'!D62,""))</f>
        <v>99953701.5972222</v>
      </c>
      <c r="AO62" t="str">
        <f>IF('Consolidado por área'!G62="Completo",'Consolidado por área'!L62+ROW()/1000000000,"")</f>
        <v/>
      </c>
      <c r="AQ62" t="str">
        <f>IF('Base Exámenes'!C62="","",IF(COUNTIF('Base Exámenes'!$C$5:$C$1000,'Base Exámenes'!C62)&lt;2,"",MATCH('Base Exámenes'!C62,'Base Exámenes'!$C$5:$C$1000,0)*10000+ROW()))</f>
        <v/>
      </c>
      <c r="BF62" t="str">
        <f>IF(AND('Consolidado por área'!G62="Completo",LEFT(TRIM('Consolidado por área'!A62),7)="AGENCIA"),'Consolidado por área'!L62+ROW()/1000000000,"")</f>
        <v/>
      </c>
    </row>
    <row r="63">
      <c r="A63" t="str">
        <f>IF('Consolidado por área'!A38="","",TRIM('Consolidado por área'!A38))</f>
        <v>DEPARTAMENTO LEGAL</v>
      </c>
      <c r="B63" t="str">
        <f>IF($A63="","",'Consolidado por área'!B38)</f>
        <v>Gerencia Legal y Cumplimiento Normativo</v>
      </c>
      <c r="C63">
        <f>IF($A63="","",'Consolidado por área'!C38)</f>
        <v>8</v>
      </c>
      <c r="D63">
        <f>IF($A63="","",'Consolidado por área'!D38)</f>
        <v>8</v>
      </c>
      <c r="E63">
        <f>IF($A63="","",'Consolidado por área'!E38)</f>
        <v>0</v>
      </c>
      <c r="F63">
        <f>IF($A63="","",IF(C63&gt;0,D63/C63,0))</f>
        <v>1</v>
      </c>
      <c r="G63">
        <f>IF($A63="","",F63*1000000+C63*10+(1000-ROW())/10000)</f>
        <v>1000080.0937</v>
      </c>
      <c r="H63">
        <f>IF($A63="","",'Consolidado por área'!H38)</f>
        <v>97.5</v>
      </c>
      <c r="J63" t="n">
        <v>34</v>
      </c>
      <c r="K63">
        <f>IF(J63&gt;COUNT($G$30:$G$109),"",MATCH(LARGE($G$30:$G$109,J63),$G$30:$G$109,0))</f>
        <v>27</v>
      </c>
      <c r="L63" t="str">
        <f>IF($K63="","",INDEX($A$30:$A$109,K63)&amp;"   "&amp;TEXT(INDEX($F$30:$F$109,K63),"0%"))</f>
        <v>DEPARTAMENTO DE PROCESOS   100%</v>
      </c>
      <c r="M63">
        <f>IF($K63="","",INDEX($D$30:$D$109,K63))</f>
        <v>3</v>
      </c>
      <c r="N63">
        <f>IF($K63="","",INDEX($E$30:$E$109,K63))</f>
        <v>0</v>
      </c>
      <c r="O63" t="str">
        <f>IF($K63="","",INDEX($A$30:$A$109,K63))</f>
        <v>DEPARTAMENTO DE PROCESOS</v>
      </c>
      <c r="P63" t="str">
        <f>IF($K63="","",INDEX($B$30:$B$109,K63))</f>
        <v>Gerencia General</v>
      </c>
      <c r="Q63">
        <f>IF($K63="","",INDEX($C$30:$C$109,K63))</f>
        <v>3</v>
      </c>
      <c r="R63">
        <f>IF($K63="","",INDEX($F$30:$F$109,K63))</f>
        <v>1</v>
      </c>
      <c r="S63">
        <f>IF($K63="","",INDEX($H$30:$H$109,K63))</f>
        <v>100</v>
      </c>
      <c r="T63">
        <f>IF($K63="","",IF(OR('Dashboard Gerencial'!$B$5="Todas las gerencias",P63='Dashboard Gerencial'!$B$5),ROW(),""))</f>
        <v>63</v>
      </c>
      <c r="W63" t="str">
        <f>A87</f>
        <v/>
      </c>
      <c r="Z63">
        <f>IF('Detalle individual'!A63="","",IF(AND(OR('Estado por Colaborador'!$D$4="Todas las gerencias",'Detalle individual'!D63='Estado por Colaborador'!$D$4),OR('Estado por Colaborador'!$D$5="Todos los departamentos",TRIM('Detalle individual'!C63)='Estado por Colaborador'!$D$5),OR('Estado por Colaborador'!$D$6="Todos",'Detalle individual'!F63='Estado por Colaborador'!$D$6)),IF('Detalle individual'!F63="Completado",30000000,IF('Detalle individual'!F63="Pendiente",0,15000000))+COUNTIF('Detalle individual'!$C$5:$C$1000,"&lt;"&amp;'Detalle individual'!C63)*10000+ROW(),""))</f>
        <v>39350063</v>
      </c>
      <c r="AB63" t="str">
        <f>IF('Detalle individual'!C63="","",IF(COUNTIF('Detalle individual'!$C$5:C63,'Detalle individual'!C63)=1,COUNTIF('Detalle individual'!$C$5:$C$1000,"&lt;"&amp;'Detalle individual'!C63),""))</f>
        <v/>
      </c>
      <c r="AC63" t="str">
        <f>IF('Detalle individual'!D63="","",IF(COUNTIF('Detalle individual'!$D$5:D63,'Detalle individual'!D63)=1,COUNTIF('Detalle individual'!$D$5:$D$1000,"&lt;"&amp;'Detalle individual'!D63),""))</f>
        <v/>
      </c>
      <c r="AE63" t="str">
        <f>IFERROR(MATCH(SMALL($AB$5:$AB$1000,59),$AB$5:$AB$1000,0)+4,"")</f>
        <v/>
      </c>
      <c r="AH63" t="str">
        <f>IF('Detalle individual'!F63="Pendiente",COUNTIF('Detalle individual'!$D$5:$D$1000,"&lt;"&amp;'Detalle individual'!D63)*1000000+COUNTIF('Detalle individual'!$C$5:$C$1000,"&lt;"&amp;'Detalle individual'!C63)*1000+COUNTIF('Detalle individual'!$B$5:$B$1000,"&lt;"&amp;'Detalle individual'!B63)+ROW()/10000,"")</f>
        <v/>
      </c>
      <c r="AI63">
        <f>IF('Detalle individual'!F63="Completado",COUNTIF('Detalle individual'!$D$5:$D$1000,"&lt;"&amp;'Detalle individual'!D63)*1000000+COUNTIF('Detalle individual'!$C$5:$C$1000,"&lt;"&amp;'Detalle individual'!C63)*1000+COUNTIF('Detalle individual'!$B$5:$B$1000,"&lt;"&amp;'Detalle individual'!B63)+ROW()/10000,"")</f>
        <v>925935964.0063</v>
      </c>
      <c r="AJ63" t="str">
        <f>IF(AND('Detalle individual'!F63&lt;&gt;"",'Detalle individual'!F63&lt;&gt;"Completado",'Detalle individual'!F63&lt;&gt;"Pendiente"),COUNTIF('Detalle individual'!$D$5:$D$1000,"&lt;"&amp;'Detalle individual'!D63)*1000000+COUNTIF('Detalle individual'!$C$5:$C$1000,"&lt;"&amp;'Detalle individual'!C63)*1000+COUNTIF('Detalle individual'!$B$5:$B$1000,"&lt;"&amp;'Detalle individual'!B63)+ROW()/10000,"")</f>
        <v/>
      </c>
      <c r="AK63">
        <f>IF(OR('Base Exámenes'!C63="",'Base Exámenes'!D63=""),"",IF(COUNTIF('Base Exámenes'!$C$5:C63,'Base Exámenes'!C63)=1,'Base Exámenes'!D63+ROW()/1000000000,""))</f>
        <v>46298.416782465276</v>
      </c>
      <c r="AL63">
        <f>IF(OR('Base Exámenes'!C63="",'Base Exámenes'!E63=""),"",IF(COUNTIF('Base Exámenes'!$C$5:C63,'Base Exámenes'!C63)=1,'Base Exámenes'!E63+ROW()/1000000000,""))</f>
        <v>46298.41843755787</v>
      </c>
      <c r="AM63">
        <f>IF(OR('Base Exámenes'!C63="",'Base Exámenes'!G63=""),"",IF(ROW()-4=MATCH('Base Exámenes'!C63&amp;"|"&amp;_xlfn.MAXIFS('Base Exámenes'!$G$5:$G$1000,'Base Exámenes'!$C$5:$C$1000,'Base Exámenes'!C63),'Base Exámenes'!$I$5:$I$1000,0),'Base Exámenes'!G63*1000000+(-1)*'Base Exámenes'!D63,""))</f>
        <v>89953701.5832176</v>
      </c>
      <c r="AO63" t="str">
        <f>IF('Consolidado por área'!G63="Completo",'Consolidado por área'!L63+ROW()/1000000000,"")</f>
        <v/>
      </c>
      <c r="AQ63" t="str">
        <f>IF('Base Exámenes'!C63="","",IF(COUNTIF('Base Exámenes'!$C$5:$C$1000,'Base Exámenes'!C63)&lt;2,"",MATCH('Base Exámenes'!C63,'Base Exámenes'!$C$5:$C$1000,0)*10000+ROW()))</f>
        <v/>
      </c>
      <c r="BF63" t="str">
        <f>IF(AND('Consolidado por área'!G63="Completo",LEFT(TRIM('Consolidado por área'!A63),7)="AGENCIA"),'Consolidado por área'!L63+ROW()/1000000000,"")</f>
        <v/>
      </c>
    </row>
    <row r="64">
      <c r="A64" t="str">
        <f>IF('Consolidado por área'!A39="","",TRIM('Consolidado por área'!A39))</f>
        <v>GERENCIA ADMINISTRATIVA</v>
      </c>
      <c r="B64" t="str">
        <f>IF($A64="","",'Consolidado por área'!B39)</f>
        <v>Gerencia Administrativa</v>
      </c>
      <c r="C64">
        <f>IF($A64="","",'Consolidado por área'!C39)</f>
        <v>2</v>
      </c>
      <c r="D64">
        <f>IF($A64="","",'Consolidado por área'!D39)</f>
        <v>2</v>
      </c>
      <c r="E64">
        <f>IF($A64="","",'Consolidado por área'!E39)</f>
        <v>0</v>
      </c>
      <c r="F64">
        <f>IF($A64="","",IF(C64&gt;0,D64/C64,0))</f>
        <v>1</v>
      </c>
      <c r="G64">
        <f>IF($A64="","",F64*1000000+C64*10+(1000-ROW())/10000)</f>
        <v>1000020.0936</v>
      </c>
      <c r="H64">
        <f>IF($A64="","",'Consolidado por área'!H39)</f>
        <v>100</v>
      </c>
      <c r="J64" t="n">
        <v>35</v>
      </c>
      <c r="K64">
        <f>IF(J64&gt;COUNT($G$30:$G$109),"",MATCH(LARGE($G$30:$G$109,J64),$G$30:$G$109,0))</f>
        <v>13</v>
      </c>
      <c r="L64" t="str">
        <f>IF($K64="","",INDEX($A$30:$A$109,K64)&amp;"   "&amp;TEXT(INDEX($F$30:$F$109,K64),"0%"))</f>
        <v>CLINICA EMPRESARIAL   100%</v>
      </c>
      <c r="M64">
        <f>IF($K64="","",INDEX($D$30:$D$109,K64))</f>
        <v>2</v>
      </c>
      <c r="N64">
        <f>IF($K64="","",INDEX($E$30:$E$109,K64))</f>
        <v>0</v>
      </c>
      <c r="O64" t="str">
        <f>IF($K64="","",INDEX($A$30:$A$109,K64))</f>
        <v>CLINICA EMPRESARIAL</v>
      </c>
      <c r="P64" t="str">
        <f>IF($K64="","",INDEX($B$30:$B$109,K64))</f>
        <v>Gerencia Administrativa</v>
      </c>
      <c r="Q64">
        <f>IF($K64="","",INDEX($C$30:$C$109,K64))</f>
        <v>2</v>
      </c>
      <c r="R64">
        <f>IF($K64="","",INDEX($F$30:$F$109,K64))</f>
        <v>1</v>
      </c>
      <c r="S64">
        <f>IF($K64="","",INDEX($H$30:$H$109,K64))</f>
        <v>100</v>
      </c>
      <c r="T64">
        <f>IF($K64="","",IF(OR('Dashboard Gerencial'!$B$5="Todas las gerencias",P64='Dashboard Gerencial'!$B$5),ROW(),""))</f>
        <v>64</v>
      </c>
      <c r="W64" t="str">
        <f>A88</f>
        <v/>
      </c>
      <c r="Z64">
        <f>IF('Detalle individual'!A64="","",IF(AND(OR('Estado por Colaborador'!$D$4="Todas las gerencias",'Detalle individual'!D64='Estado por Colaborador'!$D$4),OR('Estado por Colaborador'!$D$5="Todos los departamentos",TRIM('Detalle individual'!C64)='Estado por Colaborador'!$D$5),OR('Estado por Colaborador'!$D$6="Todos",'Detalle individual'!F64='Estado por Colaborador'!$D$6)),IF('Detalle individual'!F64="Completado",30000000,IF('Detalle individual'!F64="Pendiente",0,15000000))+COUNTIF('Detalle individual'!$C$5:$C$1000,"&lt;"&amp;'Detalle individual'!C64)*10000+ROW(),""))</f>
        <v>39350064</v>
      </c>
      <c r="AB64" t="str">
        <f>IF('Detalle individual'!C64="","",IF(COUNTIF('Detalle individual'!$C$5:C64,'Detalle individual'!C64)=1,COUNTIF('Detalle individual'!$C$5:$C$1000,"&lt;"&amp;'Detalle individual'!C64),""))</f>
        <v/>
      </c>
      <c r="AC64" t="str">
        <f>IF('Detalle individual'!D64="","",IF(COUNTIF('Detalle individual'!$D$5:D64,'Detalle individual'!D64)=1,COUNTIF('Detalle individual'!$D$5:$D$1000,"&lt;"&amp;'Detalle individual'!D64),""))</f>
        <v/>
      </c>
      <c r="AE64" t="str">
        <f>IFERROR(MATCH(SMALL($AB$5:$AB$1000,60),$AB$5:$AB$1000,0)+4,"")</f>
        <v/>
      </c>
      <c r="AH64" t="str">
        <f>IF('Detalle individual'!F64="Pendiente",COUNTIF('Detalle individual'!$D$5:$D$1000,"&lt;"&amp;'Detalle individual'!D64)*1000000+COUNTIF('Detalle individual'!$C$5:$C$1000,"&lt;"&amp;'Detalle individual'!C64)*1000+COUNTIF('Detalle individual'!$B$5:$B$1000,"&lt;"&amp;'Detalle individual'!B64)+ROW()/10000,"")</f>
        <v/>
      </c>
      <c r="AI64">
        <f>IF('Detalle individual'!F64="Completado",COUNTIF('Detalle individual'!$D$5:$D$1000,"&lt;"&amp;'Detalle individual'!D64)*1000000+COUNTIF('Detalle individual'!$C$5:$C$1000,"&lt;"&amp;'Detalle individual'!C64)*1000+COUNTIF('Detalle individual'!$B$5:$B$1000,"&lt;"&amp;'Detalle individual'!B64)+ROW()/10000,"")</f>
        <v>925935817.0064</v>
      </c>
      <c r="AJ64" t="str">
        <f>IF(AND('Detalle individual'!F64&lt;&gt;"",'Detalle individual'!F64&lt;&gt;"Completado",'Detalle individual'!F64&lt;&gt;"Pendiente"),COUNTIF('Detalle individual'!$D$5:$D$1000,"&lt;"&amp;'Detalle individual'!D64)*1000000+COUNTIF('Detalle individual'!$C$5:$C$1000,"&lt;"&amp;'Detalle individual'!C64)*1000+COUNTIF('Detalle individual'!$B$5:$B$1000,"&lt;"&amp;'Detalle individual'!B64)+ROW()/10000,"")</f>
        <v/>
      </c>
      <c r="AK64">
        <f>IF(OR('Base Exámenes'!C64="",'Base Exámenes'!D64=""),"",IF(COUNTIF('Base Exámenes'!$C$5:C64,'Base Exámenes'!C64)=1,'Base Exámenes'!D64+ROW()/1000000000,""))</f>
        <v>46298.40983803241</v>
      </c>
      <c r="AL64">
        <f>IF(OR('Base Exámenes'!C64="",'Base Exámenes'!E64=""),"",IF(COUNTIF('Base Exámenes'!$C$5:C64,'Base Exámenes'!C64)=1,'Base Exámenes'!E64+ROW()/1000000000,""))</f>
        <v>46298.41878479167</v>
      </c>
      <c r="AM64">
        <f>IF(OR('Base Exámenes'!C64="",'Base Exámenes'!G64=""),"",IF(ROW()-4=MATCH('Base Exámenes'!C64&amp;"|"&amp;_xlfn.MAXIFS('Base Exámenes'!$G$5:$G$1000,'Base Exámenes'!$C$5:$C$1000,'Base Exámenes'!C64),'Base Exámenes'!$I$5:$I$1000,0),'Base Exámenes'!G64*1000000+(-1)*'Base Exámenes'!D64,""))</f>
        <v>99953701.590162</v>
      </c>
      <c r="AO64" t="str">
        <f>IF('Consolidado por área'!G64="Completo",'Consolidado por área'!L64+ROW()/1000000000,"")</f>
        <v/>
      </c>
      <c r="AQ64" t="str">
        <f>IF('Base Exámenes'!C64="","",IF(COUNTIF('Base Exámenes'!$C$5:$C$1000,'Base Exámenes'!C64)&lt;2,"",MATCH('Base Exámenes'!C64,'Base Exámenes'!$C$5:$C$1000,0)*10000+ROW()))</f>
        <v/>
      </c>
      <c r="BF64" t="str">
        <f>IF(AND('Consolidado por área'!G64="Completo",LEFT(TRIM('Consolidado por área'!A64),7)="AGENCIA"),'Consolidado por área'!L64+ROW()/1000000000,"")</f>
        <v/>
      </c>
    </row>
    <row r="65">
      <c r="A65" t="str">
        <f>IF('Consolidado por área'!A40="","",TRIM('Consolidado por área'!A40))</f>
        <v>GERENCIA DE FINANZAS Y PLANIFICACIÓN</v>
      </c>
      <c r="B65" t="str">
        <f>IF($A65="","",'Consolidado por área'!B40)</f>
        <v>Gerencia de Finanzas y Planificación</v>
      </c>
      <c r="C65">
        <f>IF($A65="","",'Consolidado por área'!C40)</f>
        <v>2</v>
      </c>
      <c r="D65">
        <f>IF($A65="","",'Consolidado por área'!D40)</f>
        <v>2</v>
      </c>
      <c r="E65">
        <f>IF($A65="","",'Consolidado por área'!E40)</f>
        <v>0</v>
      </c>
      <c r="F65">
        <f>IF($A65="","",IF(C65&gt;0,D65/C65,0))</f>
        <v>1</v>
      </c>
      <c r="G65">
        <f>IF($A65="","",F65*1000000+C65*10+(1000-ROW())/10000)</f>
        <v>1000020.0935</v>
      </c>
      <c r="H65">
        <f>IF($A65="","",'Consolidado por área'!H40)</f>
        <v>100</v>
      </c>
      <c r="J65" t="n">
        <v>36</v>
      </c>
      <c r="K65">
        <f>IF(J65&gt;COUNT($G$30:$G$109),"",MATCH(LARGE($G$30:$G$109,J65),$G$30:$G$109,0))</f>
        <v>28</v>
      </c>
      <c r="L65" t="str">
        <f>IF($K65="","",INDEX($A$30:$A$109,K65)&amp;"   "&amp;TEXT(INDEX($F$30:$F$109,K65),"0%"))</f>
        <v>DEPARTAMENTO DE SEGURIDAD   100%</v>
      </c>
      <c r="M65">
        <f>IF($K65="","",INDEX($D$30:$D$109,K65))</f>
        <v>2</v>
      </c>
      <c r="N65">
        <f>IF($K65="","",INDEX($E$30:$E$109,K65))</f>
        <v>0</v>
      </c>
      <c r="O65" t="str">
        <f>IF($K65="","",INDEX($A$30:$A$109,K65))</f>
        <v>DEPARTAMENTO DE SEGURIDAD</v>
      </c>
      <c r="P65" t="str">
        <f>IF($K65="","",INDEX($B$30:$B$109,K65))</f>
        <v>Gerencia Administrativa</v>
      </c>
      <c r="Q65">
        <f>IF($K65="","",INDEX($C$30:$C$109,K65))</f>
        <v>2</v>
      </c>
      <c r="R65">
        <f>IF($K65="","",INDEX($F$30:$F$109,K65))</f>
        <v>1</v>
      </c>
      <c r="S65">
        <f>IF($K65="","",INDEX($H$30:$H$109,K65))</f>
        <v>95</v>
      </c>
      <c r="T65">
        <f>IF($K65="","",IF(OR('Dashboard Gerencial'!$B$5="Todas las gerencias",P65='Dashboard Gerencial'!$B$5),ROW(),""))</f>
        <v>65</v>
      </c>
      <c r="W65" t="str">
        <f>A89</f>
        <v/>
      </c>
      <c r="Z65">
        <f>IF('Detalle individual'!A65="","",IF(AND(OR('Estado por Colaborador'!$D$4="Todas las gerencias",'Detalle individual'!D65='Estado por Colaborador'!$D$4),OR('Estado por Colaborador'!$D$5="Todos los departamentos",TRIM('Detalle individual'!C65)='Estado por Colaborador'!$D$5),OR('Estado por Colaborador'!$D$6="Todos",'Detalle individual'!F65='Estado por Colaborador'!$D$6)),IF('Detalle individual'!F65="Completado",30000000,IF('Detalle individual'!F65="Pendiente",0,15000000))+COUNTIF('Detalle individual'!$C$5:$C$1000,"&lt;"&amp;'Detalle individual'!C65)*10000+ROW(),""))</f>
        <v>39350065</v>
      </c>
      <c r="AB65" t="str">
        <f>IF('Detalle individual'!C65="","",IF(COUNTIF('Detalle individual'!$C$5:C65,'Detalle individual'!C65)=1,COUNTIF('Detalle individual'!$C$5:$C$1000,"&lt;"&amp;'Detalle individual'!C65),""))</f>
        <v/>
      </c>
      <c r="AC65" t="str">
        <f>IF('Detalle individual'!D65="","",IF(COUNTIF('Detalle individual'!$D$5:D65,'Detalle individual'!D65)=1,COUNTIF('Detalle individual'!$D$5:$D$1000,"&lt;"&amp;'Detalle individual'!D65),""))</f>
        <v/>
      </c>
      <c r="AE65" t="str">
        <f>IFERROR(MATCH(SMALL($AB$5:$AB$1000,61),$AB$5:$AB$1000,0)+4,"")</f>
        <v/>
      </c>
      <c r="AH65" t="str">
        <f>IF('Detalle individual'!F65="Pendiente",COUNTIF('Detalle individual'!$D$5:$D$1000,"&lt;"&amp;'Detalle individual'!D65)*1000000+COUNTIF('Detalle individual'!$C$5:$C$1000,"&lt;"&amp;'Detalle individual'!C65)*1000+COUNTIF('Detalle individual'!$B$5:$B$1000,"&lt;"&amp;'Detalle individual'!B65)+ROW()/10000,"")</f>
        <v/>
      </c>
      <c r="AI65">
        <f>IF('Detalle individual'!F65="Completado",COUNTIF('Detalle individual'!$D$5:$D$1000,"&lt;"&amp;'Detalle individual'!D65)*1000000+COUNTIF('Detalle individual'!$C$5:$C$1000,"&lt;"&amp;'Detalle individual'!C65)*1000+COUNTIF('Detalle individual'!$B$5:$B$1000,"&lt;"&amp;'Detalle individual'!B65)+ROW()/10000,"")</f>
        <v>925935742.0065</v>
      </c>
      <c r="AJ65" t="str">
        <f>IF(AND('Detalle individual'!F65&lt;&gt;"",'Detalle individual'!F65&lt;&gt;"Completado",'Detalle individual'!F65&lt;&gt;"Pendiente"),COUNTIF('Detalle individual'!$D$5:$D$1000,"&lt;"&amp;'Detalle individual'!D65)*1000000+COUNTIF('Detalle individual'!$C$5:$C$1000,"&lt;"&amp;'Detalle individual'!C65)*1000+COUNTIF('Detalle individual'!$B$5:$B$1000,"&lt;"&amp;'Detalle individual'!B65)+ROW()/10000,"")</f>
        <v/>
      </c>
      <c r="AK65">
        <f>IF(OR('Base Exámenes'!C65="",'Base Exámenes'!D65=""),"",IF(COUNTIF('Base Exámenes'!$C$5:C65,'Base Exámenes'!C65)=1,'Base Exámenes'!D65+ROW()/1000000000,""))</f>
        <v>46298.500914421296</v>
      </c>
      <c r="AL65">
        <f>IF(OR('Base Exámenes'!C65="",'Base Exámenes'!E65=""),"",IF(COUNTIF('Base Exámenes'!$C$5:C65,'Base Exámenes'!C65)=1,'Base Exámenes'!E65+ROW()/1000000000,""))</f>
        <v>46298.514305625</v>
      </c>
      <c r="AM65">
        <f>IF(OR('Base Exámenes'!C65="",'Base Exámenes'!G65=""),"",IF(ROW()-4=MATCH('Base Exámenes'!C65&amp;"|"&amp;_xlfn.MAXIFS('Base Exámenes'!$G$5:$G$1000,'Base Exámenes'!$C$5:$C$1000,'Base Exámenes'!C65),'Base Exámenes'!$I$5:$I$1000,0),'Base Exámenes'!G65*1000000+(-1)*'Base Exámenes'!D65,""))</f>
        <v>99953701.4990857</v>
      </c>
      <c r="AO65" t="str">
        <f>IF('Consolidado por área'!G65="Completo",'Consolidado por área'!L65+ROW()/1000000000,"")</f>
        <v/>
      </c>
      <c r="AQ65" t="str">
        <f>IF('Base Exámenes'!C65="","",IF(COUNTIF('Base Exámenes'!$C$5:$C$1000,'Base Exámenes'!C65)&lt;2,"",MATCH('Base Exámenes'!C65,'Base Exámenes'!$C$5:$C$1000,0)*10000+ROW()))</f>
        <v/>
      </c>
      <c r="BF65" t="str">
        <f>IF(AND('Consolidado por área'!G65="Completo",LEFT(TRIM('Consolidado por área'!A65),7)="AGENCIA"),'Consolidado por área'!L65+ROW()/1000000000,"")</f>
        <v/>
      </c>
    </row>
    <row r="66">
      <c r="A66" t="str">
        <f>IF('Consolidado por área'!A41="","",TRIM('Consolidado por área'!A41))</f>
        <v>GERENCIA DE NEGOCIOS</v>
      </c>
      <c r="B66" t="str">
        <f>IF($A66="","",'Consolidado por área'!B41)</f>
        <v>Gerencia de Negocios</v>
      </c>
      <c r="C66">
        <f>IF($A66="","",'Consolidado por área'!C41)</f>
        <v>4</v>
      </c>
      <c r="D66">
        <f>IF($A66="","",'Consolidado por área'!D41)</f>
        <v>4</v>
      </c>
      <c r="E66">
        <f>IF($A66="","",'Consolidado por área'!E41)</f>
        <v>0</v>
      </c>
      <c r="F66">
        <f>IF($A66="","",IF(C66&gt;0,D66/C66,0))</f>
        <v>1</v>
      </c>
      <c r="G66">
        <f>IF($A66="","",F66*1000000+C66*10+(1000-ROW())/10000)</f>
        <v>1000040.0934</v>
      </c>
      <c r="H66">
        <f>IF($A66="","",'Consolidado por área'!H41)</f>
        <v>100</v>
      </c>
      <c r="J66" t="n">
        <v>37</v>
      </c>
      <c r="K66">
        <f>IF(J66&gt;COUNT($G$30:$G$109),"",MATCH(LARGE($G$30:$G$109,J66),$G$30:$G$109,0))</f>
        <v>32</v>
      </c>
      <c r="L66" t="str">
        <f>IF($K66="","",INDEX($A$30:$A$109,K66)&amp;"   "&amp;TEXT(INDEX($F$30:$F$109,K66),"0%"))</f>
        <v>DEPARTAMENTO DE TALENTO HUMANO   100%</v>
      </c>
      <c r="M66">
        <f>IF($K66="","",INDEX($D$30:$D$109,K66))</f>
        <v>2</v>
      </c>
      <c r="N66">
        <f>IF($K66="","",INDEX($E$30:$E$109,K66))</f>
        <v>0</v>
      </c>
      <c r="O66" t="str">
        <f>IF($K66="","",INDEX($A$30:$A$109,K66))</f>
        <v>DEPARTAMENTO DE TALENTO HUMANO</v>
      </c>
      <c r="P66" t="str">
        <f>IF($K66="","",INDEX($B$30:$B$109,K66))</f>
        <v>Gerencia Administrativa</v>
      </c>
      <c r="Q66">
        <f>IF($K66="","",INDEX($C$30:$C$109,K66))</f>
        <v>2</v>
      </c>
      <c r="R66">
        <f>IF($K66="","",INDEX($F$30:$F$109,K66))</f>
        <v>1</v>
      </c>
      <c r="S66">
        <f>IF($K66="","",INDEX($H$30:$H$109,K66))</f>
        <v>95</v>
      </c>
      <c r="T66">
        <f>IF($K66="","",IF(OR('Dashboard Gerencial'!$B$5="Todas las gerencias",P66='Dashboard Gerencial'!$B$5),ROW(),""))</f>
        <v>66</v>
      </c>
      <c r="W66" t="str">
        <f>A90</f>
        <v/>
      </c>
      <c r="Z66">
        <f>IF('Detalle individual'!A66="","",IF(AND(OR('Estado por Colaborador'!$D$4="Todas las gerencias",'Detalle individual'!D66='Estado por Colaborador'!$D$4),OR('Estado por Colaborador'!$D$5="Todos los departamentos",TRIM('Detalle individual'!C66)='Estado por Colaborador'!$D$5),OR('Estado por Colaborador'!$D$6="Todos",'Detalle individual'!F66='Estado por Colaborador'!$D$6)),IF('Detalle individual'!F66="Completado",30000000,IF('Detalle individual'!F66="Pendiente",0,15000000))+COUNTIF('Detalle individual'!$C$5:$C$1000,"&lt;"&amp;'Detalle individual'!C66)*10000+ROW(),""))</f>
        <v>39350066</v>
      </c>
      <c r="AB66" t="str">
        <f>IF('Detalle individual'!C66="","",IF(COUNTIF('Detalle individual'!$C$5:C66,'Detalle individual'!C66)=1,COUNTIF('Detalle individual'!$C$5:$C$1000,"&lt;"&amp;'Detalle individual'!C66),""))</f>
        <v/>
      </c>
      <c r="AC66" t="str">
        <f>IF('Detalle individual'!D66="","",IF(COUNTIF('Detalle individual'!$D$5:D66,'Detalle individual'!D66)=1,COUNTIF('Detalle individual'!$D$5:$D$1000,"&lt;"&amp;'Detalle individual'!D66),""))</f>
        <v/>
      </c>
      <c r="AE66" t="str">
        <f>IFERROR(MATCH(SMALL($AB$5:$AB$1000,62),$AB$5:$AB$1000,0)+4,"")</f>
        <v/>
      </c>
      <c r="AH66" t="str">
        <f>IF('Detalle individual'!F66="Pendiente",COUNTIF('Detalle individual'!$D$5:$D$1000,"&lt;"&amp;'Detalle individual'!D66)*1000000+COUNTIF('Detalle individual'!$C$5:$C$1000,"&lt;"&amp;'Detalle individual'!C66)*1000+COUNTIF('Detalle individual'!$B$5:$B$1000,"&lt;"&amp;'Detalle individual'!B66)+ROW()/10000,"")</f>
        <v/>
      </c>
      <c r="AI66">
        <f>IF('Detalle individual'!F66="Completado",COUNTIF('Detalle individual'!$D$5:$D$1000,"&lt;"&amp;'Detalle individual'!D66)*1000000+COUNTIF('Detalle individual'!$C$5:$C$1000,"&lt;"&amp;'Detalle individual'!C66)*1000+COUNTIF('Detalle individual'!$B$5:$B$1000,"&lt;"&amp;'Detalle individual'!B66)+ROW()/10000,"")</f>
        <v>925935716.0066</v>
      </c>
      <c r="AJ66" t="str">
        <f>IF(AND('Detalle individual'!F66&lt;&gt;"",'Detalle individual'!F66&lt;&gt;"Completado",'Detalle individual'!F66&lt;&gt;"Pendiente"),COUNTIF('Detalle individual'!$D$5:$D$1000,"&lt;"&amp;'Detalle individual'!D66)*1000000+COUNTIF('Detalle individual'!$C$5:$C$1000,"&lt;"&amp;'Detalle individual'!C66)*1000+COUNTIF('Detalle individual'!$B$5:$B$1000,"&lt;"&amp;'Detalle individual'!B66)+ROW()/10000,"")</f>
        <v/>
      </c>
      <c r="AK66">
        <f>IF(OR('Base Exámenes'!C66="",'Base Exámenes'!D66=""),"",IF(COUNTIF('Base Exámenes'!$C$5:C66,'Base Exámenes'!C66)=1,'Base Exámenes'!D66+ROW()/1000000000,""))</f>
        <v>46300.30724543981</v>
      </c>
      <c r="AL66">
        <f>IF(OR('Base Exámenes'!C66="",'Base Exámenes'!E66=""),"",IF(COUNTIF('Base Exámenes'!$C$5:C66,'Base Exámenes'!C66)=1,'Base Exámenes'!E66+ROW()/1000000000,""))</f>
        <v>46300.3170718287</v>
      </c>
      <c r="AM66">
        <f>IF(OR('Base Exámenes'!C66="",'Base Exámenes'!G66=""),"",IF(ROW()-4=MATCH('Base Exámenes'!C66&amp;"|"&amp;_xlfn.MAXIFS('Base Exámenes'!$G$5:$G$1000,'Base Exámenes'!$C$5:$C$1000,'Base Exámenes'!C66),'Base Exámenes'!$I$5:$I$1000,0),'Base Exámenes'!G66*1000000+(-1)*'Base Exámenes'!D66,""))</f>
        <v>99953699.6927546</v>
      </c>
      <c r="AO66" t="str">
        <f>IF('Consolidado por área'!G66="Completo",'Consolidado por área'!L66+ROW()/1000000000,"")</f>
        <v/>
      </c>
      <c r="AQ66" t="str">
        <f>IF('Base Exámenes'!C66="","",IF(COUNTIF('Base Exámenes'!$C$5:$C$1000,'Base Exámenes'!C66)&lt;2,"",MATCH('Base Exámenes'!C66,'Base Exámenes'!$C$5:$C$1000,0)*10000+ROW()))</f>
        <v/>
      </c>
      <c r="BF66" t="str">
        <f>IF(AND('Consolidado por área'!G66="Completo",LEFT(TRIM('Consolidado por área'!A66),7)="AGENCIA"),'Consolidado por área'!L66+ROW()/1000000000,"")</f>
        <v/>
      </c>
    </row>
    <row r="67">
      <c r="A67" t="str">
        <f>IF('Consolidado por área'!A42="","",TRIM('Consolidado por área'!A42))</f>
        <v>GERENCIA DE OPERACIONES</v>
      </c>
      <c r="B67" t="str">
        <f>IF($A67="","",'Consolidado por área'!B42)</f>
        <v>Gerencia de Operaciones</v>
      </c>
      <c r="C67">
        <f>IF($A67="","",'Consolidado por área'!C42)</f>
        <v>1</v>
      </c>
      <c r="D67">
        <f>IF($A67="","",'Consolidado por área'!D42)</f>
        <v>1</v>
      </c>
      <c r="E67">
        <f>IF($A67="","",'Consolidado por área'!E42)</f>
        <v>0</v>
      </c>
      <c r="F67">
        <f>IF($A67="","",IF(C67&gt;0,D67/C67,0))</f>
        <v>1</v>
      </c>
      <c r="G67">
        <f>IF($A67="","",F67*1000000+C67*10+(1000-ROW())/10000)</f>
        <v>1000010.0933</v>
      </c>
      <c r="H67">
        <f>IF($A67="","",'Consolidado por área'!H42)</f>
        <v>100</v>
      </c>
      <c r="J67" t="n">
        <v>38</v>
      </c>
      <c r="K67">
        <f>IF(J67&gt;COUNT($G$30:$G$109),"",MATCH(LARGE($G$30:$G$109,J67),$G$30:$G$109,0))</f>
        <v>35</v>
      </c>
      <c r="L67" t="str">
        <f>IF($K67="","",INDEX($A$30:$A$109,K67)&amp;"   "&amp;TEXT(INDEX($F$30:$F$109,K67),"0%"))</f>
        <v>GERENCIA ADMINISTRATIVA   100%</v>
      </c>
      <c r="M67">
        <f>IF($K67="","",INDEX($D$30:$D$109,K67))</f>
        <v>2</v>
      </c>
      <c r="N67">
        <f>IF($K67="","",INDEX($E$30:$E$109,K67))</f>
        <v>0</v>
      </c>
      <c r="O67" t="str">
        <f>IF($K67="","",INDEX($A$30:$A$109,K67))</f>
        <v>GERENCIA ADMINISTRATIVA</v>
      </c>
      <c r="P67" t="str">
        <f>IF($K67="","",INDEX($B$30:$B$109,K67))</f>
        <v>Gerencia Administrativa</v>
      </c>
      <c r="Q67">
        <f>IF($K67="","",INDEX($C$30:$C$109,K67))</f>
        <v>2</v>
      </c>
      <c r="R67">
        <f>IF($K67="","",INDEX($F$30:$F$109,K67))</f>
        <v>1</v>
      </c>
      <c r="S67">
        <f>IF($K67="","",INDEX($H$30:$H$109,K67))</f>
        <v>100</v>
      </c>
      <c r="T67">
        <f>IF($K67="","",IF(OR('Dashboard Gerencial'!$B$5="Todas las gerencias",P67='Dashboard Gerencial'!$B$5),ROW(),""))</f>
        <v>67</v>
      </c>
      <c r="W67" t="str">
        <f>A91</f>
        <v/>
      </c>
      <c r="Z67">
        <f>IF('Detalle individual'!A67="","",IF(AND(OR('Estado por Colaborador'!$D$4="Todas las gerencias",'Detalle individual'!D67='Estado por Colaborador'!$D$4),OR('Estado por Colaborador'!$D$5="Todos los departamentos",TRIM('Detalle individual'!C67)='Estado por Colaborador'!$D$5),OR('Estado por Colaborador'!$D$6="Todos",'Detalle individual'!F67='Estado por Colaborador'!$D$6)),IF('Detalle individual'!F67="Completado",30000000,IF('Detalle individual'!F67="Pendiente",0,15000000))+COUNTIF('Detalle individual'!$C$5:$C$1000,"&lt;"&amp;'Detalle individual'!C67)*10000+ROW(),""))</f>
        <v>39350067</v>
      </c>
      <c r="AB67" t="str">
        <f>IF('Detalle individual'!C67="","",IF(COUNTIF('Detalle individual'!$C$5:C67,'Detalle individual'!C67)=1,COUNTIF('Detalle individual'!$C$5:$C$1000,"&lt;"&amp;'Detalle individual'!C67),""))</f>
        <v/>
      </c>
      <c r="AC67" t="str">
        <f>IF('Detalle individual'!D67="","",IF(COUNTIF('Detalle individual'!$D$5:D67,'Detalle individual'!D67)=1,COUNTIF('Detalle individual'!$D$5:$D$1000,"&lt;"&amp;'Detalle individual'!D67),""))</f>
        <v/>
      </c>
      <c r="AE67" t="str">
        <f>IFERROR(MATCH(SMALL($AB$5:$AB$1000,63),$AB$5:$AB$1000,0)+4,"")</f>
        <v/>
      </c>
      <c r="AH67" t="str">
        <f>IF('Detalle individual'!F67="Pendiente",COUNTIF('Detalle individual'!$D$5:$D$1000,"&lt;"&amp;'Detalle individual'!D67)*1000000+COUNTIF('Detalle individual'!$C$5:$C$1000,"&lt;"&amp;'Detalle individual'!C67)*1000+COUNTIF('Detalle individual'!$B$5:$B$1000,"&lt;"&amp;'Detalle individual'!B67)+ROW()/10000,"")</f>
        <v/>
      </c>
      <c r="AI67">
        <f>IF('Detalle individual'!F67="Completado",COUNTIF('Detalle individual'!$D$5:$D$1000,"&lt;"&amp;'Detalle individual'!D67)*1000000+COUNTIF('Detalle individual'!$C$5:$C$1000,"&lt;"&amp;'Detalle individual'!C67)*1000+COUNTIF('Detalle individual'!$B$5:$B$1000,"&lt;"&amp;'Detalle individual'!B67)+ROW()/10000,"")</f>
        <v>925935864.0067</v>
      </c>
      <c r="AJ67" t="str">
        <f>IF(AND('Detalle individual'!F67&lt;&gt;"",'Detalle individual'!F67&lt;&gt;"Completado",'Detalle individual'!F67&lt;&gt;"Pendiente"),COUNTIF('Detalle individual'!$D$5:$D$1000,"&lt;"&amp;'Detalle individual'!D67)*1000000+COUNTIF('Detalle individual'!$C$5:$C$1000,"&lt;"&amp;'Detalle individual'!C67)*1000+COUNTIF('Detalle individual'!$B$5:$B$1000,"&lt;"&amp;'Detalle individual'!B67)+ROW()/10000,"")</f>
        <v/>
      </c>
      <c r="AK67">
        <f>IF(OR('Base Exámenes'!C67="",'Base Exámenes'!D67=""),"",IF(COUNTIF('Base Exámenes'!$C$5:C67,'Base Exámenes'!C67)=1,'Base Exámenes'!D67+ROW()/1000000000,""))</f>
        <v>46300.386666736114</v>
      </c>
      <c r="AL67">
        <f>IF(OR('Base Exámenes'!C67="",'Base Exámenes'!E67=""),"",IF(COUNTIF('Base Exámenes'!$C$5:C67,'Base Exámenes'!C67)=1,'Base Exámenes'!E67+ROW()/1000000000,""))</f>
        <v>46300.391713032404</v>
      </c>
      <c r="AM67">
        <f>IF(OR('Base Exámenes'!C67="",'Base Exámenes'!G67=""),"",IF(ROW()-4=MATCH('Base Exámenes'!C67&amp;"|"&amp;_xlfn.MAXIFS('Base Exámenes'!$G$5:$G$1000,'Base Exámenes'!$C$5:$C$1000,'Base Exámenes'!C67),'Base Exámenes'!$I$5:$I$1000,0),'Base Exámenes'!G67*1000000+(-1)*'Base Exámenes'!D67,""))</f>
        <v>99953699.6133333</v>
      </c>
      <c r="AO67" t="str">
        <f>IF('Consolidado por área'!G67="Completo",'Consolidado por área'!L67+ROW()/1000000000,"")</f>
        <v/>
      </c>
      <c r="AQ67" t="str">
        <f>IF('Base Exámenes'!C67="","",IF(COUNTIF('Base Exámenes'!$C$5:$C$1000,'Base Exámenes'!C67)&lt;2,"",MATCH('Base Exámenes'!C67,'Base Exámenes'!$C$5:$C$1000,0)*10000+ROW()))</f>
        <v/>
      </c>
      <c r="BF67" t="str">
        <f>IF(AND('Consolidado por área'!G67="Completo",LEFT(TRIM('Consolidado por área'!A67),7)="AGENCIA"),'Consolidado por área'!L67+ROW()/1000000000,"")</f>
        <v/>
      </c>
    </row>
    <row r="68">
      <c r="A68" t="str">
        <f>IF('Consolidado por área'!A43="","",TRIM('Consolidado por área'!A43))</f>
        <v>GERENCIA DE SISTEMAS</v>
      </c>
      <c r="B68" t="str">
        <f>IF($A68="","",'Consolidado por área'!B43)</f>
        <v>Gerencia de Sistemas</v>
      </c>
      <c r="C68">
        <f>IF($A68="","",'Consolidado por área'!C43)</f>
        <v>4</v>
      </c>
      <c r="D68">
        <f>IF($A68="","",'Consolidado por área'!D43)</f>
        <v>4</v>
      </c>
      <c r="E68">
        <f>IF($A68="","",'Consolidado por área'!E43)</f>
        <v>0</v>
      </c>
      <c r="F68">
        <f>IF($A68="","",IF(C68&gt;0,D68/C68,0))</f>
        <v>1</v>
      </c>
      <c r="G68">
        <f>IF($A68="","",F68*1000000+C68*10+(1000-ROW())/10000)</f>
        <v>1000040.0932</v>
      </c>
      <c r="H68">
        <f>IF($A68="","",'Consolidado por área'!H43)</f>
        <v>98.75</v>
      </c>
      <c r="J68" t="n">
        <v>39</v>
      </c>
      <c r="K68">
        <f>IF(J68&gt;COUNT($G$30:$G$109),"",MATCH(LARGE($G$30:$G$109,J68),$G$30:$G$109,0))</f>
        <v>36</v>
      </c>
      <c r="L68" t="str">
        <f>IF($K68="","",INDEX($A$30:$A$109,K68)&amp;"   "&amp;TEXT(INDEX($F$30:$F$109,K68),"0%"))</f>
        <v>GERENCIA DE FINANZAS Y PLANIFICACIÓN   100%</v>
      </c>
      <c r="M68">
        <f>IF($K68="","",INDEX($D$30:$D$109,K68))</f>
        <v>2</v>
      </c>
      <c r="N68">
        <f>IF($K68="","",INDEX($E$30:$E$109,K68))</f>
        <v>0</v>
      </c>
      <c r="O68" t="str">
        <f>IF($K68="","",INDEX($A$30:$A$109,K68))</f>
        <v>GERENCIA DE FINANZAS Y PLANIFICACIÓN</v>
      </c>
      <c r="P68" t="str">
        <f>IF($K68="","",INDEX($B$30:$B$109,K68))</f>
        <v>Gerencia de Finanzas y Planificación</v>
      </c>
      <c r="Q68">
        <f>IF($K68="","",INDEX($C$30:$C$109,K68))</f>
        <v>2</v>
      </c>
      <c r="R68">
        <f>IF($K68="","",INDEX($F$30:$F$109,K68))</f>
        <v>1</v>
      </c>
      <c r="S68">
        <f>IF($K68="","",INDEX($H$30:$H$109,K68))</f>
        <v>100</v>
      </c>
      <c r="T68">
        <f>IF($K68="","",IF(OR('Dashboard Gerencial'!$B$5="Todas las gerencias",P68='Dashboard Gerencial'!$B$5),ROW(),""))</f>
        <v>68</v>
      </c>
      <c r="W68" t="str">
        <f>A92</f>
        <v/>
      </c>
      <c r="Z68">
        <f>IF('Detalle individual'!A68="","",IF(AND(OR('Estado por Colaborador'!$D$4="Todas las gerencias",'Detalle individual'!D68='Estado por Colaborador'!$D$4),OR('Estado por Colaborador'!$D$5="Todos los departamentos",TRIM('Detalle individual'!C68)='Estado por Colaborador'!$D$5),OR('Estado por Colaborador'!$D$6="Todos",'Detalle individual'!F68='Estado por Colaborador'!$D$6)),IF('Detalle individual'!F68="Completado",30000000,IF('Detalle individual'!F68="Pendiente",0,15000000))+COUNTIF('Detalle individual'!$C$5:$C$1000,"&lt;"&amp;'Detalle individual'!C68)*10000+ROW(),""))</f>
        <v>24350068</v>
      </c>
      <c r="AB68" t="str">
        <f>IF('Detalle individual'!C68="","",IF(COUNTIF('Detalle individual'!$C$5:C68,'Detalle individual'!C68)=1,COUNTIF('Detalle individual'!$C$5:$C$1000,"&lt;"&amp;'Detalle individual'!C68),""))</f>
        <v/>
      </c>
      <c r="AC68" t="str">
        <f>IF('Detalle individual'!D68="","",IF(COUNTIF('Detalle individual'!$D$5:D68,'Detalle individual'!D68)=1,COUNTIF('Detalle individual'!$D$5:$D$1000,"&lt;"&amp;'Detalle individual'!D68),""))</f>
        <v/>
      </c>
      <c r="AE68" t="str">
        <f>IFERROR(MATCH(SMALL($AB$5:$AB$1000,64),$AB$5:$AB$1000,0)+4,"")</f>
        <v/>
      </c>
      <c r="AH68" t="str">
        <f>IF('Detalle individual'!F68="Pendiente",COUNTIF('Detalle individual'!$D$5:$D$1000,"&lt;"&amp;'Detalle individual'!D68)*1000000+COUNTIF('Detalle individual'!$C$5:$C$1000,"&lt;"&amp;'Detalle individual'!C68)*1000+COUNTIF('Detalle individual'!$B$5:$B$1000,"&lt;"&amp;'Detalle individual'!B68)+ROW()/10000,"")</f>
        <v/>
      </c>
      <c r="AI68" t="str">
        <f>IF('Detalle individual'!F68="Completado",COUNTIF('Detalle individual'!$D$5:$D$1000,"&lt;"&amp;'Detalle individual'!D68)*1000000+COUNTIF('Detalle individual'!$C$5:$C$1000,"&lt;"&amp;'Detalle individual'!C68)*1000+COUNTIF('Detalle individual'!$B$5:$B$1000,"&lt;"&amp;'Detalle individual'!B68)+ROW()/10000,"")</f>
        <v/>
      </c>
      <c r="AJ68">
        <f>IF(AND('Detalle individual'!F68&lt;&gt;"",'Detalle individual'!F68&lt;&gt;"Completado",'Detalle individual'!F68&lt;&gt;"Pendiente"),COUNTIF('Detalle individual'!$D$5:$D$1000,"&lt;"&amp;'Detalle individual'!D68)*1000000+COUNTIF('Detalle individual'!$C$5:$C$1000,"&lt;"&amp;'Detalle individual'!C68)*1000+COUNTIF('Detalle individual'!$B$5:$B$1000,"&lt;"&amp;'Detalle individual'!B68)+ROW()/10000,"")</f>
        <v>925935704.0068</v>
      </c>
      <c r="AK68">
        <f>IF(OR('Base Exámenes'!C68="",'Base Exámenes'!D68=""),"",IF(COUNTIF('Base Exámenes'!$C$5:C68,'Base Exámenes'!C68)=1,'Base Exámenes'!D68+ROW()/1000000000,""))</f>
        <v>46300.39452553241</v>
      </c>
      <c r="AL68">
        <f>IF(OR('Base Exámenes'!C68="",'Base Exámenes'!E68=""),"",IF(COUNTIF('Base Exámenes'!$C$5:C68,'Base Exámenes'!C68)=1,'Base Exámenes'!E68+ROW()/1000000000,""))</f>
        <v>46300.39962969907</v>
      </c>
      <c r="AM68" t="str">
        <f>IF(OR('Base Exámenes'!C68="",'Base Exámenes'!G68=""),"",IF(ROW()-4=MATCH('Base Exámenes'!C68&amp;"|"&amp;_xlfn.MAXIFS('Base Exámenes'!$G$5:$G$1000,'Base Exámenes'!$C$5:$C$1000,'Base Exámenes'!C68),'Base Exámenes'!$I$5:$I$1000,0),'Base Exámenes'!G68*1000000+(-1)*'Base Exámenes'!D68,""))</f>
        <v/>
      </c>
      <c r="AO68" t="str">
        <f>IF('Consolidado por área'!G68="Completo",'Consolidado por área'!L68+ROW()/1000000000,"")</f>
        <v/>
      </c>
      <c r="AQ68">
        <f>IF('Base Exámenes'!C68="","",IF(COUNTIF('Base Exámenes'!$C$5:$C$1000,'Base Exámenes'!C68)&lt;2,"",MATCH('Base Exámenes'!C68,'Base Exámenes'!$C$5:$C$1000,0)*10000+ROW()))</f>
        <v>640068</v>
      </c>
      <c r="BF68" t="str">
        <f>IF(AND('Consolidado por área'!G68="Completo",LEFT(TRIM('Consolidado por área'!A68),7)="AGENCIA"),'Consolidado por área'!L68+ROW()/1000000000,"")</f>
        <v/>
      </c>
    </row>
    <row r="69">
      <c r="A69" t="str">
        <f>IF('Consolidado por área'!A44="","",TRIM('Consolidado por área'!A44))</f>
        <v>GERENCIA GENERAL</v>
      </c>
      <c r="B69" t="str">
        <f>IF($A69="","",'Consolidado por área'!B44)</f>
        <v>Gerencia General</v>
      </c>
      <c r="C69">
        <f>IF($A69="","",'Consolidado por área'!C44)</f>
        <v>2</v>
      </c>
      <c r="D69">
        <f>IF($A69="","",'Consolidado por área'!D44)</f>
        <v>2</v>
      </c>
      <c r="E69">
        <f>IF($A69="","",'Consolidado por área'!E44)</f>
        <v>0</v>
      </c>
      <c r="F69">
        <f>IF($A69="","",IF(C69&gt;0,D69/C69,0))</f>
        <v>1</v>
      </c>
      <c r="G69">
        <f>IF($A69="","",F69*1000000+C69*10+(1000-ROW())/10000)</f>
        <v>1000020.0931</v>
      </c>
      <c r="H69">
        <f>IF($A69="","",'Consolidado por área'!H44)</f>
        <v>100</v>
      </c>
      <c r="J69" t="n">
        <v>40</v>
      </c>
      <c r="K69">
        <f>IF(J69&gt;COUNT($G$30:$G$109),"",MATCH(LARGE($G$30:$G$109,J69),$G$30:$G$109,0))</f>
        <v>40</v>
      </c>
      <c r="L69" t="str">
        <f>IF($K69="","",INDEX($A$30:$A$109,K69)&amp;"   "&amp;TEXT(INDEX($F$30:$F$109,K69),"0%"))</f>
        <v>GERENCIA GENERAL   100%</v>
      </c>
      <c r="M69">
        <f>IF($K69="","",INDEX($D$30:$D$109,K69))</f>
        <v>2</v>
      </c>
      <c r="N69">
        <f>IF($K69="","",INDEX($E$30:$E$109,K69))</f>
        <v>0</v>
      </c>
      <c r="O69" t="str">
        <f>IF($K69="","",INDEX($A$30:$A$109,K69))</f>
        <v>GERENCIA GENERAL</v>
      </c>
      <c r="P69" t="str">
        <f>IF($K69="","",INDEX($B$30:$B$109,K69))</f>
        <v>Gerencia General</v>
      </c>
      <c r="Q69">
        <f>IF($K69="","",INDEX($C$30:$C$109,K69))</f>
        <v>2</v>
      </c>
      <c r="R69">
        <f>IF($K69="","",INDEX($F$30:$F$109,K69))</f>
        <v>1</v>
      </c>
      <c r="S69">
        <f>IF($K69="","",INDEX($H$30:$H$109,K69))</f>
        <v>100</v>
      </c>
      <c r="T69">
        <f>IF($K69="","",IF(OR('Dashboard Gerencial'!$B$5="Todas las gerencias",P69='Dashboard Gerencial'!$B$5),ROW(),""))</f>
        <v>69</v>
      </c>
      <c r="W69" t="str">
        <f>A93</f>
        <v/>
      </c>
      <c r="Z69">
        <f>IF('Detalle individual'!A69="","",IF(AND(OR('Estado por Colaborador'!$D$4="Todas las gerencias",'Detalle individual'!D69='Estado por Colaborador'!$D$4),OR('Estado por Colaborador'!$D$5="Todos los departamentos",TRIM('Detalle individual'!C69)='Estado por Colaborador'!$D$5),OR('Estado por Colaborador'!$D$6="Todos",'Detalle individual'!F69='Estado por Colaborador'!$D$6)),IF('Detalle individual'!F69="Completado",30000000,IF('Detalle individual'!F69="Pendiente",0,15000000))+COUNTIF('Detalle individual'!$C$5:$C$1000,"&lt;"&amp;'Detalle individual'!C69)*10000+ROW(),""))</f>
        <v>39480069</v>
      </c>
      <c r="AB69">
        <f>IF('Detalle individual'!C69="","",IF(COUNTIF('Detalle individual'!$C$5:C69,'Detalle individual'!C69)=1,COUNTIF('Detalle individual'!$C$5:$C$1000,"&lt;"&amp;'Detalle individual'!C69),""))</f>
        <v>948</v>
      </c>
      <c r="AC69" t="str">
        <f>IF('Detalle individual'!D69="","",IF(COUNTIF('Detalle individual'!$D$5:D69,'Detalle individual'!D69)=1,COUNTIF('Detalle individual'!$D$5:$D$1000,"&lt;"&amp;'Detalle individual'!D69),""))</f>
        <v/>
      </c>
      <c r="AE69" t="str">
        <f>IFERROR(MATCH(SMALL($AB$5:$AB$1000,65),$AB$5:$AB$1000,0)+4,"")</f>
        <v/>
      </c>
      <c r="AH69" t="str">
        <f>IF('Detalle individual'!F69="Pendiente",COUNTIF('Detalle individual'!$D$5:$D$1000,"&lt;"&amp;'Detalle individual'!D69)*1000000+COUNTIF('Detalle individual'!$C$5:$C$1000,"&lt;"&amp;'Detalle individual'!C69)*1000+COUNTIF('Detalle individual'!$B$5:$B$1000,"&lt;"&amp;'Detalle individual'!B69)+ROW()/10000,"")</f>
        <v/>
      </c>
      <c r="AI69">
        <f>IF('Detalle individual'!F69="Completado",COUNTIF('Detalle individual'!$D$5:$D$1000,"&lt;"&amp;'Detalle individual'!D69)*1000000+COUNTIF('Detalle individual'!$C$5:$C$1000,"&lt;"&amp;'Detalle individual'!C69)*1000+COUNTIF('Detalle individual'!$B$5:$B$1000,"&lt;"&amp;'Detalle individual'!B69)+ROW()/10000,"")</f>
        <v>925948752.0069</v>
      </c>
      <c r="AJ69" t="str">
        <f>IF(AND('Detalle individual'!F69&lt;&gt;"",'Detalle individual'!F69&lt;&gt;"Completado",'Detalle individual'!F69&lt;&gt;"Pendiente"),COUNTIF('Detalle individual'!$D$5:$D$1000,"&lt;"&amp;'Detalle individual'!D69)*1000000+COUNTIF('Detalle individual'!$C$5:$C$1000,"&lt;"&amp;'Detalle individual'!C69)*1000+COUNTIF('Detalle individual'!$B$5:$B$1000,"&lt;"&amp;'Detalle individual'!B69)+ROW()/10000,"")</f>
        <v/>
      </c>
      <c r="AK69" t="str">
        <f>IF(OR('Base Exámenes'!C69="",'Base Exámenes'!D69=""),"",IF(COUNTIF('Base Exámenes'!$C$5:C69,'Base Exámenes'!C69)=1,'Base Exámenes'!D69+ROW()/1000000000,""))</f>
        <v/>
      </c>
      <c r="AL69" t="str">
        <f>IF(OR('Base Exámenes'!C69="",'Base Exámenes'!E69=""),"",IF(COUNTIF('Base Exámenes'!$C$5:C69,'Base Exámenes'!C69)=1,'Base Exámenes'!E69+ROW()/1000000000,""))</f>
        <v/>
      </c>
      <c r="AM69">
        <f>IF(OR('Base Exámenes'!C69="",'Base Exámenes'!G69=""),"",IF(ROW()-4=MATCH('Base Exámenes'!C69&amp;"|"&amp;_xlfn.MAXIFS('Base Exámenes'!$G$5:$G$1000,'Base Exámenes'!$C$5:$C$1000,'Base Exámenes'!C69),'Base Exámenes'!$I$5:$I$1000,0),'Base Exámenes'!G69*1000000+(-1)*'Base Exámenes'!D69,""))</f>
        <v>99953699.6000695</v>
      </c>
      <c r="AO69" t="str">
        <f>IF('Consolidado por área'!G69="Completo",'Consolidado por área'!L69+ROW()/1000000000,"")</f>
        <v/>
      </c>
      <c r="AQ69">
        <f>IF('Base Exámenes'!C69="","",IF(COUNTIF('Base Exámenes'!$C$5:$C$1000,'Base Exámenes'!C69)&lt;2,"",MATCH('Base Exámenes'!C69,'Base Exámenes'!$C$5:$C$1000,0)*10000+ROW()))</f>
        <v>560069</v>
      </c>
      <c r="BF69" t="str">
        <f>IF(AND('Consolidado por área'!G69="Completo",LEFT(TRIM('Consolidado por área'!A69),7)="AGENCIA"),'Consolidado por área'!L69+ROW()/1000000000,"")</f>
        <v/>
      </c>
    </row>
    <row r="70">
      <c r="A70" t="str">
        <f>IF('Consolidado por área'!A45="","",TRIM('Consolidado por área'!A45))</f>
        <v>GERENCIA LEGAL Y DE CUMPLIMIENTO NORMATIVO</v>
      </c>
      <c r="B70" t="str">
        <f>IF($A70="","",'Consolidado por área'!B45)</f>
        <v>Gerencia Legal y Cumplimiento Normativo</v>
      </c>
      <c r="C70">
        <f>IF($A70="","",'Consolidado por área'!C45)</f>
        <v>1</v>
      </c>
      <c r="D70">
        <f>IF($A70="","",'Consolidado por área'!D45)</f>
        <v>1</v>
      </c>
      <c r="E70">
        <f>IF($A70="","",'Consolidado por área'!E45)</f>
        <v>0</v>
      </c>
      <c r="F70">
        <f>IF($A70="","",IF(C70&gt;0,D70/C70,0))</f>
        <v>1</v>
      </c>
      <c r="G70">
        <f>IF($A70="","",F70*1000000+C70*10+(1000-ROW())/10000)</f>
        <v>1000010.093</v>
      </c>
      <c r="H70">
        <f>IF($A70="","",'Consolidado por área'!H45)</f>
        <v>100</v>
      </c>
      <c r="J70" t="n">
        <v>41</v>
      </c>
      <c r="K70">
        <f>IF(J70&gt;COUNT($G$30:$G$109),"",MATCH(LARGE($G$30:$G$109,J70),$G$30:$G$109,0))</f>
        <v>1</v>
      </c>
      <c r="L70" t="str">
        <f>IF($K70="","",INDEX($A$30:$A$109,K70)&amp;"   "&amp;TEXT(INDEX($F$30:$F$109,K70),"0%"))</f>
        <v>ADMINISTRACION DE BASE DE DATOS   100%</v>
      </c>
      <c r="M70">
        <f>IF($K70="","",INDEX($D$30:$D$109,K70))</f>
        <v>1</v>
      </c>
      <c r="N70">
        <f>IF($K70="","",INDEX($E$30:$E$109,K70))</f>
        <v>0</v>
      </c>
      <c r="O70" t="str">
        <f>IF($K70="","",INDEX($A$30:$A$109,K70))</f>
        <v>ADMINISTRACION DE BASE DE DATOS</v>
      </c>
      <c r="P70" t="str">
        <f>IF($K70="","",INDEX($B$30:$B$109,K70))</f>
        <v>Gerencia de Sistemas</v>
      </c>
      <c r="Q70">
        <f>IF($K70="","",INDEX($C$30:$C$109,K70))</f>
        <v>1</v>
      </c>
      <c r="R70">
        <f>IF($K70="","",INDEX($F$30:$F$109,K70))</f>
        <v>1</v>
      </c>
      <c r="S70">
        <f>IF($K70="","",INDEX($H$30:$H$109,K70))</f>
        <v>95</v>
      </c>
      <c r="T70">
        <f>IF($K70="","",IF(OR('Dashboard Gerencial'!$B$5="Todas las gerencias",P70='Dashboard Gerencial'!$B$5),ROW(),""))</f>
        <v>70</v>
      </c>
      <c r="W70" t="str">
        <f>A94</f>
        <v/>
      </c>
      <c r="Z70">
        <f>IF('Detalle individual'!A70="","",IF(AND(OR('Estado por Colaborador'!$D$4="Todas las gerencias",'Detalle individual'!D70='Estado por Colaborador'!$D$4),OR('Estado por Colaborador'!$D$5="Todos los departamentos",TRIM('Detalle individual'!C70)='Estado por Colaborador'!$D$5),OR('Estado por Colaborador'!$D$6="Todos",'Detalle individual'!F70='Estado por Colaborador'!$D$6)),IF('Detalle individual'!F70="Completado",30000000,IF('Detalle individual'!F70="Pendiente",0,15000000))+COUNTIF('Detalle individual'!$C$5:$C$1000,"&lt;"&amp;'Detalle individual'!C70)*10000+ROW(),""))</f>
        <v>24480070</v>
      </c>
      <c r="AB70" t="str">
        <f>IF('Detalle individual'!C70="","",IF(COUNTIF('Detalle individual'!$C$5:C70,'Detalle individual'!C70)=1,COUNTIF('Detalle individual'!$C$5:$C$1000,"&lt;"&amp;'Detalle individual'!C70),""))</f>
        <v/>
      </c>
      <c r="AC70" t="str">
        <f>IF('Detalle individual'!D70="","",IF(COUNTIF('Detalle individual'!$D$5:D70,'Detalle individual'!D70)=1,COUNTIF('Detalle individual'!$D$5:$D$1000,"&lt;"&amp;'Detalle individual'!D70),""))</f>
        <v/>
      </c>
      <c r="AE70" t="str">
        <f>IFERROR(MATCH(SMALL($AB$5:$AB$1000,66),$AB$5:$AB$1000,0)+4,"")</f>
        <v/>
      </c>
      <c r="AH70" t="str">
        <f>IF('Detalle individual'!F70="Pendiente",COUNTIF('Detalle individual'!$D$5:$D$1000,"&lt;"&amp;'Detalle individual'!D70)*1000000+COUNTIF('Detalle individual'!$C$5:$C$1000,"&lt;"&amp;'Detalle individual'!C70)*1000+COUNTIF('Detalle individual'!$B$5:$B$1000,"&lt;"&amp;'Detalle individual'!B70)+ROW()/10000,"")</f>
        <v/>
      </c>
      <c r="AI70" t="str">
        <f>IF('Detalle individual'!F70="Completado",COUNTIF('Detalle individual'!$D$5:$D$1000,"&lt;"&amp;'Detalle individual'!D70)*1000000+COUNTIF('Detalle individual'!$C$5:$C$1000,"&lt;"&amp;'Detalle individual'!C70)*1000+COUNTIF('Detalle individual'!$B$5:$B$1000,"&lt;"&amp;'Detalle individual'!B70)+ROW()/10000,"")</f>
        <v/>
      </c>
      <c r="AJ70">
        <f>IF(AND('Detalle individual'!F70&lt;&gt;"",'Detalle individual'!F70&lt;&gt;"Completado",'Detalle individual'!F70&lt;&gt;"Pendiente"),COUNTIF('Detalle individual'!$D$5:$D$1000,"&lt;"&amp;'Detalle individual'!D70)*1000000+COUNTIF('Detalle individual'!$C$5:$C$1000,"&lt;"&amp;'Detalle individual'!C70)*1000+COUNTIF('Detalle individual'!$B$5:$B$1000,"&lt;"&amp;'Detalle individual'!B70)+ROW()/10000,"")</f>
        <v>925948797.007</v>
      </c>
      <c r="AK70">
        <f>IF(OR('Base Exámenes'!C70="",'Base Exámenes'!D70=""),"",IF(COUNTIF('Base Exámenes'!$C$5:C70,'Base Exámenes'!C70)=1,'Base Exámenes'!D70+ROW()/1000000000,""))</f>
        <v>46300.40697923611</v>
      </c>
      <c r="AL70">
        <f>IF(OR('Base Exámenes'!C70="",'Base Exámenes'!E70=""),"",IF(COUNTIF('Base Exámenes'!$C$5:C70,'Base Exámenes'!C70)=1,'Base Exámenes'!E70+ROW()/1000000000,""))</f>
        <v>46300.41096071759</v>
      </c>
      <c r="AM70">
        <f>IF(OR('Base Exámenes'!C70="",'Base Exámenes'!G70=""),"",IF(ROW()-4=MATCH('Base Exámenes'!C70&amp;"|"&amp;_xlfn.MAXIFS('Base Exámenes'!$G$5:$G$1000,'Base Exámenes'!$C$5:$C$1000,'Base Exámenes'!C70),'Base Exámenes'!$I$5:$I$1000,0),'Base Exámenes'!G70*1000000+(-1)*'Base Exámenes'!D70,""))</f>
        <v>99953699.5930208</v>
      </c>
      <c r="AO70" t="str">
        <f>IF('Consolidado por área'!G70="Completo",'Consolidado por área'!L70+ROW()/1000000000,"")</f>
        <v/>
      </c>
      <c r="AQ70" t="str">
        <f>IF('Base Exámenes'!C70="","",IF(COUNTIF('Base Exámenes'!$C$5:$C$1000,'Base Exámenes'!C70)&lt;2,"",MATCH('Base Exámenes'!C70,'Base Exámenes'!$C$5:$C$1000,0)*10000+ROW()))</f>
        <v/>
      </c>
      <c r="BF70" t="str">
        <f>IF(AND('Consolidado por área'!G70="Completo",LEFT(TRIM('Consolidado por área'!A70),7)="AGENCIA"),'Consolidado por área'!L70+ROW()/1000000000,"")</f>
        <v/>
      </c>
    </row>
    <row r="71">
      <c r="A71" t="str">
        <f>IF('Consolidado por área'!A46="","",TRIM('Consolidado por área'!A46))</f>
        <v>OFICIALIA DE CUMPLIMIENTO</v>
      </c>
      <c r="B71" t="str">
        <f>IF($A71="","",'Consolidado por área'!B46)</f>
        <v>Gerencia de Oficialía de Cumplimiento</v>
      </c>
      <c r="C71">
        <f>IF($A71="","",'Consolidado por área'!C46)</f>
        <v>7</v>
      </c>
      <c r="D71">
        <f>IF($A71="","",'Consolidado por área'!D46)</f>
        <v>7</v>
      </c>
      <c r="E71">
        <f>IF($A71="","",'Consolidado por área'!E46)</f>
        <v>0</v>
      </c>
      <c r="F71">
        <f>IF($A71="","",IF(C71&gt;0,D71/C71,0))</f>
        <v>1</v>
      </c>
      <c r="G71">
        <f>IF($A71="","",F71*1000000+C71*10+(1000-ROW())/10000)</f>
        <v>1000070.0929</v>
      </c>
      <c r="H71">
        <f>IF($A71="","",'Consolidado por área'!H46)</f>
        <v>100</v>
      </c>
      <c r="J71" t="n">
        <v>42</v>
      </c>
      <c r="K71">
        <f>IF(J71&gt;COUNT($G$30:$G$109),"",MATCH(LARGE($G$30:$G$109,J71),$G$30:$G$109,0))</f>
        <v>14</v>
      </c>
      <c r="L71" t="str">
        <f>IF($K71="","",INDEX($A$30:$A$109,K71)&amp;"   "&amp;TEXT(INDEX($F$30:$F$109,K71),"0%"))</f>
        <v>CONSEJO DE ADMINISTRACION   100%</v>
      </c>
      <c r="M71">
        <f>IF($K71="","",INDEX($D$30:$D$109,K71))</f>
        <v>1</v>
      </c>
      <c r="N71">
        <f>IF($K71="","",INDEX($E$30:$E$109,K71))</f>
        <v>0</v>
      </c>
      <c r="O71" t="str">
        <f>IF($K71="","",INDEX($A$30:$A$109,K71))</f>
        <v>CONSEJO DE ADMINISTRACION</v>
      </c>
      <c r="P71" t="str">
        <f>IF($K71="","",INDEX($B$30:$B$109,K71))</f>
        <v>Consejo de Administración</v>
      </c>
      <c r="Q71">
        <f>IF($K71="","",INDEX($C$30:$C$109,K71))</f>
        <v>1</v>
      </c>
      <c r="R71">
        <f>IF($K71="","",INDEX($F$30:$F$109,K71))</f>
        <v>1</v>
      </c>
      <c r="S71">
        <f>IF($K71="","",INDEX($H$30:$H$109,K71))</f>
        <v>90</v>
      </c>
      <c r="T71">
        <f>IF($K71="","",IF(OR('Dashboard Gerencial'!$B$5="Todas las gerencias",P71='Dashboard Gerencial'!$B$5),ROW(),""))</f>
        <v>71</v>
      </c>
      <c r="W71" t="str">
        <f>A95</f>
        <v/>
      </c>
      <c r="Z71">
        <f>IF('Detalle individual'!A71="","",IF(AND(OR('Estado por Colaborador'!$D$4="Todas las gerencias",'Detalle individual'!D71='Estado por Colaborador'!$D$4),OR('Estado por Colaborador'!$D$5="Todos los departamentos",TRIM('Detalle individual'!C71)='Estado por Colaborador'!$D$5),OR('Estado por Colaborador'!$D$6="Todos",'Detalle individual'!F71='Estado por Colaborador'!$D$6)),IF('Detalle individual'!F71="Completado",30000000,IF('Detalle individual'!F71="Pendiente",0,15000000))+COUNTIF('Detalle individual'!$C$5:$C$1000,"&lt;"&amp;'Detalle individual'!C71)*10000+ROW(),""))</f>
        <v>39480071</v>
      </c>
      <c r="AB71" t="str">
        <f>IF('Detalle individual'!C71="","",IF(COUNTIF('Detalle individual'!$C$5:C71,'Detalle individual'!C71)=1,COUNTIF('Detalle individual'!$C$5:$C$1000,"&lt;"&amp;'Detalle individual'!C71),""))</f>
        <v/>
      </c>
      <c r="AC71" t="str">
        <f>IF('Detalle individual'!D71="","",IF(COUNTIF('Detalle individual'!$D$5:D71,'Detalle individual'!D71)=1,COUNTIF('Detalle individual'!$D$5:$D$1000,"&lt;"&amp;'Detalle individual'!D71),""))</f>
        <v/>
      </c>
      <c r="AE71" t="str">
        <f>IFERROR(MATCH(SMALL($AB$5:$AB$1000,67),$AB$5:$AB$1000,0)+4,"")</f>
        <v/>
      </c>
      <c r="AH71" t="str">
        <f>IF('Detalle individual'!F71="Pendiente",COUNTIF('Detalle individual'!$D$5:$D$1000,"&lt;"&amp;'Detalle individual'!D71)*1000000+COUNTIF('Detalle individual'!$C$5:$C$1000,"&lt;"&amp;'Detalle individual'!C71)*1000+COUNTIF('Detalle individual'!$B$5:$B$1000,"&lt;"&amp;'Detalle individual'!B71)+ROW()/10000,"")</f>
        <v/>
      </c>
      <c r="AI71">
        <f>IF('Detalle individual'!F71="Completado",COUNTIF('Detalle individual'!$D$5:$D$1000,"&lt;"&amp;'Detalle individual'!D71)*1000000+COUNTIF('Detalle individual'!$C$5:$C$1000,"&lt;"&amp;'Detalle individual'!C71)*1000+COUNTIF('Detalle individual'!$B$5:$B$1000,"&lt;"&amp;'Detalle individual'!B71)+ROW()/10000,"")</f>
        <v>925948892.0071</v>
      </c>
      <c r="AJ71" t="str">
        <f>IF(AND('Detalle individual'!F71&lt;&gt;"",'Detalle individual'!F71&lt;&gt;"Completado",'Detalle individual'!F71&lt;&gt;"Pendiente"),COUNTIF('Detalle individual'!$D$5:$D$1000,"&lt;"&amp;'Detalle individual'!D71)*1000000+COUNTIF('Detalle individual'!$C$5:$C$1000,"&lt;"&amp;'Detalle individual'!C71)*1000+COUNTIF('Detalle individual'!$B$5:$B$1000,"&lt;"&amp;'Detalle individual'!B71)+ROW()/10000,"")</f>
        <v/>
      </c>
      <c r="AK71">
        <f>IF(OR('Base Exámenes'!C71="",'Base Exámenes'!D71=""),"",IF(COUNTIF('Base Exámenes'!$C$5:C71,'Base Exámenes'!C71)=1,'Base Exámenes'!D71+ROW()/1000000000,""))</f>
        <v>46300.46083340278</v>
      </c>
      <c r="AL71">
        <f>IF(OR('Base Exámenes'!C71="",'Base Exámenes'!E71=""),"",IF(COUNTIF('Base Exámenes'!$C$5:C71,'Base Exámenes'!C71)=1,'Base Exámenes'!E71+ROW()/1000000000,""))</f>
        <v>46300.48065979167</v>
      </c>
      <c r="AM71">
        <f>IF(OR('Base Exámenes'!C71="",'Base Exámenes'!G71=""),"",IF(ROW()-4=MATCH('Base Exámenes'!C71&amp;"|"&amp;_xlfn.MAXIFS('Base Exámenes'!$G$5:$G$1000,'Base Exámenes'!$C$5:$C$1000,'Base Exámenes'!C71),'Base Exámenes'!$I$5:$I$1000,0),'Base Exámenes'!G71*1000000+(-1)*'Base Exámenes'!D71,""))</f>
        <v>99953699.5391667</v>
      </c>
      <c r="AO71" t="str">
        <f>IF('Consolidado por área'!G71="Completo",'Consolidado por área'!L71+ROW()/1000000000,"")</f>
        <v/>
      </c>
      <c r="AQ71" t="str">
        <f>IF('Base Exámenes'!C71="","",IF(COUNTIF('Base Exámenes'!$C$5:$C$1000,'Base Exámenes'!C71)&lt;2,"",MATCH('Base Exámenes'!C71,'Base Exámenes'!$C$5:$C$1000,0)*10000+ROW()))</f>
        <v/>
      </c>
      <c r="BF71" t="str">
        <f>IF(AND('Consolidado por área'!G71="Completo",LEFT(TRIM('Consolidado por área'!A71),7)="AGENCIA"),'Consolidado por área'!L71+ROW()/1000000000,"")</f>
        <v/>
      </c>
    </row>
    <row r="72">
      <c r="A72" t="str">
        <f>IF('Consolidado por área'!A47="","",TRIM('Consolidado por área'!A47))</f>
        <v>OFICIALIA DE SEGURIDAD DE LA INFORMACION</v>
      </c>
      <c r="B72" t="str">
        <f>IF($A72="","",'Consolidado por área'!B47)</f>
        <v>Gerencia General</v>
      </c>
      <c r="C72">
        <f>IF($A72="","",'Consolidado por área'!C47)</f>
        <v>4</v>
      </c>
      <c r="D72">
        <f>IF($A72="","",'Consolidado por área'!D47)</f>
        <v>4</v>
      </c>
      <c r="E72">
        <f>IF($A72="","",'Consolidado por área'!E47)</f>
        <v>0</v>
      </c>
      <c r="F72">
        <f>IF($A72="","",IF(C72&gt;0,D72/C72,0))</f>
        <v>1</v>
      </c>
      <c r="G72">
        <f>IF($A72="","",F72*1000000+C72*10+(1000-ROW())/10000)</f>
        <v>1000040.0928</v>
      </c>
      <c r="H72">
        <f>IF($A72="","",'Consolidado por área'!H47)</f>
        <v>96.25</v>
      </c>
      <c r="J72" t="n">
        <v>43</v>
      </c>
      <c r="K72">
        <f>IF(J72&gt;COUNT($G$30:$G$109),"",MATCH(LARGE($G$30:$G$109,J72),$G$30:$G$109,0))</f>
        <v>38</v>
      </c>
      <c r="L72" t="str">
        <f>IF($K72="","",INDEX($A$30:$A$109,K72)&amp;"   "&amp;TEXT(INDEX($F$30:$F$109,K72),"0%"))</f>
        <v>GERENCIA DE OPERACIONES   100%</v>
      </c>
      <c r="M72">
        <f>IF($K72="","",INDEX($D$30:$D$109,K72))</f>
        <v>1</v>
      </c>
      <c r="N72">
        <f>IF($K72="","",INDEX($E$30:$E$109,K72))</f>
        <v>0</v>
      </c>
      <c r="O72" t="str">
        <f>IF($K72="","",INDEX($A$30:$A$109,K72))</f>
        <v>GERENCIA DE OPERACIONES</v>
      </c>
      <c r="P72" t="str">
        <f>IF($K72="","",INDEX($B$30:$B$109,K72))</f>
        <v>Gerencia de Operaciones</v>
      </c>
      <c r="Q72">
        <f>IF($K72="","",INDEX($C$30:$C$109,K72))</f>
        <v>1</v>
      </c>
      <c r="R72">
        <f>IF($K72="","",INDEX($F$30:$F$109,K72))</f>
        <v>1</v>
      </c>
      <c r="S72">
        <f>IF($K72="","",INDEX($H$30:$H$109,K72))</f>
        <v>100</v>
      </c>
      <c r="T72">
        <f>IF($K72="","",IF(OR('Dashboard Gerencial'!$B$5="Todas las gerencias",P72='Dashboard Gerencial'!$B$5),ROW(),""))</f>
        <v>72</v>
      </c>
      <c r="W72" t="str">
        <f>A96</f>
        <v/>
      </c>
      <c r="Z72">
        <f>IF('Detalle individual'!A72="","",IF(AND(OR('Estado por Colaborador'!$D$4="Todas las gerencias",'Detalle individual'!D72='Estado por Colaborador'!$D$4),OR('Estado por Colaborador'!$D$5="Todos los departamentos",TRIM('Detalle individual'!C72)='Estado por Colaborador'!$D$5),OR('Estado por Colaborador'!$D$6="Todos",'Detalle individual'!F72='Estado por Colaborador'!$D$6)),IF('Detalle individual'!F72="Completado",30000000,IF('Detalle individual'!F72="Pendiente",0,15000000))+COUNTIF('Detalle individual'!$C$5:$C$1000,"&lt;"&amp;'Detalle individual'!C72)*10000+ROW(),""))</f>
        <v>39480072</v>
      </c>
      <c r="AB72" t="str">
        <f>IF('Detalle individual'!C72="","",IF(COUNTIF('Detalle individual'!$C$5:C72,'Detalle individual'!C72)=1,COUNTIF('Detalle individual'!$C$5:$C$1000,"&lt;"&amp;'Detalle individual'!C72),""))</f>
        <v/>
      </c>
      <c r="AC72" t="str">
        <f>IF('Detalle individual'!D72="","",IF(COUNTIF('Detalle individual'!$D$5:D72,'Detalle individual'!D72)=1,COUNTIF('Detalle individual'!$D$5:$D$1000,"&lt;"&amp;'Detalle individual'!D72),""))</f>
        <v/>
      </c>
      <c r="AE72" t="str">
        <f>IFERROR(MATCH(SMALL($AB$5:$AB$1000,68),$AB$5:$AB$1000,0)+4,"")</f>
        <v/>
      </c>
      <c r="AH72" t="str">
        <f>IF('Detalle individual'!F72="Pendiente",COUNTIF('Detalle individual'!$D$5:$D$1000,"&lt;"&amp;'Detalle individual'!D72)*1000000+COUNTIF('Detalle individual'!$C$5:$C$1000,"&lt;"&amp;'Detalle individual'!C72)*1000+COUNTIF('Detalle individual'!$B$5:$B$1000,"&lt;"&amp;'Detalle individual'!B72)+ROW()/10000,"")</f>
        <v/>
      </c>
      <c r="AI72">
        <f>IF('Detalle individual'!F72="Completado",COUNTIF('Detalle individual'!$D$5:$D$1000,"&lt;"&amp;'Detalle individual'!D72)*1000000+COUNTIF('Detalle individual'!$C$5:$C$1000,"&lt;"&amp;'Detalle individual'!C72)*1000+COUNTIF('Detalle individual'!$B$5:$B$1000,"&lt;"&amp;'Detalle individual'!B72)+ROW()/10000,"")</f>
        <v>925948713.0072</v>
      </c>
      <c r="AJ72" t="str">
        <f>IF(AND('Detalle individual'!F72&lt;&gt;"",'Detalle individual'!F72&lt;&gt;"Completado",'Detalle individual'!F72&lt;&gt;"Pendiente"),COUNTIF('Detalle individual'!$D$5:$D$1000,"&lt;"&amp;'Detalle individual'!D72)*1000000+COUNTIF('Detalle individual'!$C$5:$C$1000,"&lt;"&amp;'Detalle individual'!C72)*1000+COUNTIF('Detalle individual'!$B$5:$B$1000,"&lt;"&amp;'Detalle individual'!B72)+ROW()/10000,"")</f>
        <v/>
      </c>
      <c r="AK72">
        <f>IF(OR('Base Exámenes'!C72="",'Base Exámenes'!D72=""),"",IF(COUNTIF('Base Exámenes'!$C$5:C72,'Base Exámenes'!C72)=1,'Base Exámenes'!D72+ROW()/1000000000,""))</f>
        <v>46300.52502321759</v>
      </c>
      <c r="AL72">
        <f>IF(OR('Base Exámenes'!C72="",'Base Exámenes'!E72=""),"",IF(COUNTIF('Base Exámenes'!$C$5:C72,'Base Exámenes'!C72)=1,'Base Exámenes'!E72+ROW()/1000000000,""))</f>
        <v>46300.53921303241</v>
      </c>
      <c r="AM72">
        <f>IF(OR('Base Exámenes'!C72="",'Base Exámenes'!G72=""),"",IF(ROW()-4=MATCH('Base Exámenes'!C72&amp;"|"&amp;_xlfn.MAXIFS('Base Exámenes'!$G$5:$G$1000,'Base Exámenes'!$C$5:$C$1000,'Base Exámenes'!C72),'Base Exámenes'!$I$5:$I$1000,0),'Base Exámenes'!G72*1000000+(-1)*'Base Exámenes'!D72,""))</f>
        <v>89953699.4749769</v>
      </c>
      <c r="AO72" t="str">
        <f>IF('Consolidado por área'!G72="Completo",'Consolidado por área'!L72+ROW()/1000000000,"")</f>
        <v/>
      </c>
      <c r="AQ72" t="str">
        <f>IF('Base Exámenes'!C72="","",IF(COUNTIF('Base Exámenes'!$C$5:$C$1000,'Base Exámenes'!C72)&lt;2,"",MATCH('Base Exámenes'!C72,'Base Exámenes'!$C$5:$C$1000,0)*10000+ROW()))</f>
        <v/>
      </c>
      <c r="BF72" t="str">
        <f>IF(AND('Consolidado por área'!G72="Completo",LEFT(TRIM('Consolidado por área'!A72),7)="AGENCIA"),'Consolidado por área'!L72+ROW()/1000000000,"")</f>
        <v/>
      </c>
    </row>
    <row r="73">
      <c r="A73" t="str">
        <f>IF('Consolidado por área'!A48="","",TRIM('Consolidado por área'!A48))</f>
        <v>SUB GERENCIA DE CANALES</v>
      </c>
      <c r="B73" t="str">
        <f>IF($A73="","",'Consolidado por área'!B48)</f>
        <v>Gerencia de Negocios</v>
      </c>
      <c r="C73">
        <f>IF($A73="","",'Consolidado por área'!C48)</f>
        <v>7</v>
      </c>
      <c r="D73">
        <f>IF($A73="","",'Consolidado por área'!D48)</f>
        <v>7</v>
      </c>
      <c r="E73">
        <f>IF($A73="","",'Consolidado por área'!E48)</f>
        <v>0</v>
      </c>
      <c r="F73">
        <f>IF($A73="","",IF(C73&gt;0,D73/C73,0))</f>
        <v>1</v>
      </c>
      <c r="G73">
        <f>IF($A73="","",F73*1000000+C73*10+(1000-ROW())/10000)</f>
        <v>1000070.0927</v>
      </c>
      <c r="H73">
        <f>IF($A73="","",'Consolidado por área'!H48)</f>
        <v>98.5714285714286</v>
      </c>
      <c r="J73" t="n">
        <v>44</v>
      </c>
      <c r="K73">
        <f>IF(J73&gt;COUNT($G$30:$G$109),"",MATCH(LARGE($G$30:$G$109,J73),$G$30:$G$109,0))</f>
        <v>41</v>
      </c>
      <c r="L73" t="str">
        <f>IF($K73="","",INDEX($A$30:$A$109,K73)&amp;"   "&amp;TEXT(INDEX($F$30:$F$109,K73),"0%"))</f>
        <v>GERENCIA LEGAL Y DE CUMPLIMIENTO NORMATIVO   100%</v>
      </c>
      <c r="M73">
        <f>IF($K73="","",INDEX($D$30:$D$109,K73))</f>
        <v>1</v>
      </c>
      <c r="N73">
        <f>IF($K73="","",INDEX($E$30:$E$109,K73))</f>
        <v>0</v>
      </c>
      <c r="O73" t="str">
        <f>IF($K73="","",INDEX($A$30:$A$109,K73))</f>
        <v>GERENCIA LEGAL Y DE CUMPLIMIENTO NORMATIVO</v>
      </c>
      <c r="P73" t="str">
        <f>IF($K73="","",INDEX($B$30:$B$109,K73))</f>
        <v>Gerencia Legal y Cumplimiento Normativo</v>
      </c>
      <c r="Q73">
        <f>IF($K73="","",INDEX($C$30:$C$109,K73))</f>
        <v>1</v>
      </c>
      <c r="R73">
        <f>IF($K73="","",INDEX($F$30:$F$109,K73))</f>
        <v>1</v>
      </c>
      <c r="S73">
        <f>IF($K73="","",INDEX($H$30:$H$109,K73))</f>
        <v>100</v>
      </c>
      <c r="T73">
        <f>IF($K73="","",IF(OR('Dashboard Gerencial'!$B$5="Todas las gerencias",P73='Dashboard Gerencial'!$B$5),ROW(),""))</f>
        <v>73</v>
      </c>
      <c r="W73" t="str">
        <f>A97</f>
        <v/>
      </c>
      <c r="Z73">
        <f>IF('Detalle individual'!A73="","",IF(AND(OR('Estado por Colaborador'!$D$4="Todas las gerencias",'Detalle individual'!D73='Estado por Colaborador'!$D$4),OR('Estado por Colaborador'!$D$5="Todos los departamentos",TRIM('Detalle individual'!C73)='Estado por Colaborador'!$D$5),OR('Estado por Colaborador'!$D$6="Todos",'Detalle individual'!F73='Estado por Colaborador'!$D$6)),IF('Detalle individual'!F73="Completado",30000000,IF('Detalle individual'!F73="Pendiente",0,15000000))+COUNTIF('Detalle individual'!$C$5:$C$1000,"&lt;"&amp;'Detalle individual'!C73)*10000+ROW(),""))</f>
        <v>39480073</v>
      </c>
      <c r="AB73" t="str">
        <f>IF('Detalle individual'!C73="","",IF(COUNTIF('Detalle individual'!$C$5:C73,'Detalle individual'!C73)=1,COUNTIF('Detalle individual'!$C$5:$C$1000,"&lt;"&amp;'Detalle individual'!C73),""))</f>
        <v/>
      </c>
      <c r="AC73" t="str">
        <f>IF('Detalle individual'!D73="","",IF(COUNTIF('Detalle individual'!$D$5:D73,'Detalle individual'!D73)=1,COUNTIF('Detalle individual'!$D$5:$D$1000,"&lt;"&amp;'Detalle individual'!D73),""))</f>
        <v/>
      </c>
      <c r="AE73" t="str">
        <f>IFERROR(MATCH(SMALL($AB$5:$AB$1000,69),$AB$5:$AB$1000,0)+4,"")</f>
        <v/>
      </c>
      <c r="AH73" t="str">
        <f>IF('Detalle individual'!F73="Pendiente",COUNTIF('Detalle individual'!$D$5:$D$1000,"&lt;"&amp;'Detalle individual'!D73)*1000000+COUNTIF('Detalle individual'!$C$5:$C$1000,"&lt;"&amp;'Detalle individual'!C73)*1000+COUNTIF('Detalle individual'!$B$5:$B$1000,"&lt;"&amp;'Detalle individual'!B73)+ROW()/10000,"")</f>
        <v/>
      </c>
      <c r="AI73">
        <f>IF('Detalle individual'!F73="Completado",COUNTIF('Detalle individual'!$D$5:$D$1000,"&lt;"&amp;'Detalle individual'!D73)*1000000+COUNTIF('Detalle individual'!$C$5:$C$1000,"&lt;"&amp;'Detalle individual'!C73)*1000+COUNTIF('Detalle individual'!$B$5:$B$1000,"&lt;"&amp;'Detalle individual'!B73)+ROW()/10000,"")</f>
        <v>925948721.0073</v>
      </c>
      <c r="AJ73" t="str">
        <f>IF(AND('Detalle individual'!F73&lt;&gt;"",'Detalle individual'!F73&lt;&gt;"Completado",'Detalle individual'!F73&lt;&gt;"Pendiente"),COUNTIF('Detalle individual'!$D$5:$D$1000,"&lt;"&amp;'Detalle individual'!D73)*1000000+COUNTIF('Detalle individual'!$C$5:$C$1000,"&lt;"&amp;'Detalle individual'!C73)*1000+COUNTIF('Detalle individual'!$B$5:$B$1000,"&lt;"&amp;'Detalle individual'!B73)+ROW()/10000,"")</f>
        <v/>
      </c>
      <c r="AK73">
        <f>IF(OR('Base Exámenes'!C73="",'Base Exámenes'!D73=""),"",IF(COUNTIF('Base Exámenes'!$C$5:C73,'Base Exámenes'!C73)=1,'Base Exámenes'!D73+ROW()/1000000000,""))</f>
        <v>46300.57717599537</v>
      </c>
      <c r="AL73">
        <f>IF(OR('Base Exámenes'!C73="",'Base Exámenes'!E73=""),"",IF(COUNTIF('Base Exámenes'!$C$5:C73,'Base Exámenes'!C73)=1,'Base Exámenes'!E73+ROW()/1000000000,""))</f>
        <v>46300.58410886574</v>
      </c>
      <c r="AM73">
        <f>IF(OR('Base Exámenes'!C73="",'Base Exámenes'!G73=""),"",IF(ROW()-4=MATCH('Base Exámenes'!C73&amp;"|"&amp;_xlfn.MAXIFS('Base Exámenes'!$G$5:$G$1000,'Base Exámenes'!$C$5:$C$1000,'Base Exámenes'!C73),'Base Exámenes'!$I$5:$I$1000,0),'Base Exámenes'!G73*1000000+(-1)*'Base Exámenes'!D73,""))</f>
        <v>99953699.4228241</v>
      </c>
      <c r="AO73" t="str">
        <f>IF('Consolidado por área'!G73="Completo",'Consolidado por área'!L73+ROW()/1000000000,"")</f>
        <v/>
      </c>
      <c r="AQ73" t="str">
        <f>IF('Base Exámenes'!C73="","",IF(COUNTIF('Base Exámenes'!$C$5:$C$1000,'Base Exámenes'!C73)&lt;2,"",MATCH('Base Exámenes'!C73,'Base Exámenes'!$C$5:$C$1000,0)*10000+ROW()))</f>
        <v/>
      </c>
      <c r="BF73" t="str">
        <f>IF(AND('Consolidado por área'!G73="Completo",LEFT(TRIM('Consolidado por área'!A73),7)="AGENCIA"),'Consolidado por área'!L73+ROW()/1000000000,"")</f>
        <v/>
      </c>
    </row>
    <row r="74">
      <c r="A74" t="str">
        <f>IF('Consolidado por área'!A49="","",TRIM('Consolidado por área'!A49))</f>
        <v/>
      </c>
      <c r="B74" t="str">
        <f>IF($A74="","",'Consolidado por área'!B49)</f>
        <v/>
      </c>
      <c r="C74" t="str">
        <f>IF($A74="","",'Consolidado por área'!C49)</f>
        <v/>
      </c>
      <c r="D74" t="str">
        <f>IF($A74="","",'Consolidado por área'!D49)</f>
        <v/>
      </c>
      <c r="E74" t="str">
        <f>IF($A74="","",'Consolidado por área'!E49)</f>
        <v/>
      </c>
      <c r="F74" t="str">
        <f>IF($A74="","",IF(C74&gt;0,D74/C74,0))</f>
        <v/>
      </c>
      <c r="G74" t="str">
        <f>IF($A74="","",F74*1000000+C74*10+(1000-ROW())/10000)</f>
        <v/>
      </c>
      <c r="H74" t="str">
        <f>IF($A74="","",'Consolidado por área'!H49)</f>
        <v/>
      </c>
      <c r="J74" t="n">
        <v>45</v>
      </c>
      <c r="K74" t="str">
        <f>IF(J74&gt;COUNT($G$30:$G$109),"",MATCH(LARGE($G$30:$G$109,J74),$G$30:$G$109,0))</f>
        <v/>
      </c>
      <c r="L74" t="str">
        <f>IF($K74="","",INDEX($A$30:$A$109,K74)&amp;"   "&amp;TEXT(INDEX($F$30:$F$109,K74),"0%"))</f>
        <v/>
      </c>
      <c r="M74" t="str">
        <f>IF($K74="","",INDEX($D$30:$D$109,K74))</f>
        <v/>
      </c>
      <c r="N74" t="str">
        <f>IF($K74="","",INDEX($E$30:$E$109,K74))</f>
        <v/>
      </c>
      <c r="O74" t="str">
        <f>IF($K74="","",INDEX($A$30:$A$109,K74))</f>
        <v/>
      </c>
      <c r="P74" t="str">
        <f>IF($K74="","",INDEX($B$30:$B$109,K74))</f>
        <v/>
      </c>
      <c r="Q74" t="str">
        <f>IF($K74="","",INDEX($C$30:$C$109,K74))</f>
        <v/>
      </c>
      <c r="R74" t="str">
        <f>IF($K74="","",INDEX($F$30:$F$109,K74))</f>
        <v/>
      </c>
      <c r="S74" t="str">
        <f>IF($K74="","",INDEX($H$30:$H$109,K74))</f>
        <v/>
      </c>
      <c r="T74" t="str">
        <f>IF($K74="","",IF(OR('Dashboard Gerencial'!$B$5="Todas las gerencias",P74='Dashboard Gerencial'!$B$5),ROW(),""))</f>
        <v/>
      </c>
      <c r="W74" t="str">
        <f>A98</f>
        <v/>
      </c>
      <c r="Z74">
        <f>IF('Detalle individual'!A74="","",IF(AND(OR('Estado por Colaborador'!$D$4="Todas las gerencias",'Detalle individual'!D74='Estado por Colaborador'!$D$4),OR('Estado por Colaborador'!$D$5="Todos los departamentos",TRIM('Detalle individual'!C74)='Estado por Colaborador'!$D$5),OR('Estado por Colaborador'!$D$6="Todos",'Detalle individual'!F74='Estado por Colaborador'!$D$6)),IF('Detalle individual'!F74="Completado",30000000,IF('Detalle individual'!F74="Pendiente",0,15000000))+COUNTIF('Detalle individual'!$C$5:$C$1000,"&lt;"&amp;'Detalle individual'!C74)*10000+ROW(),""))</f>
        <v>39480074</v>
      </c>
      <c r="AB74" t="str">
        <f>IF('Detalle individual'!C74="","",IF(COUNTIF('Detalle individual'!$C$5:C74,'Detalle individual'!C74)=1,COUNTIF('Detalle individual'!$C$5:$C$1000,"&lt;"&amp;'Detalle individual'!C74),""))</f>
        <v/>
      </c>
      <c r="AC74" t="str">
        <f>IF('Detalle individual'!D74="","",IF(COUNTIF('Detalle individual'!$D$5:D74,'Detalle individual'!D74)=1,COUNTIF('Detalle individual'!$D$5:$D$1000,"&lt;"&amp;'Detalle individual'!D74),""))</f>
        <v/>
      </c>
      <c r="AE74" t="str">
        <f>IFERROR(MATCH(SMALL($AB$5:$AB$1000,70),$AB$5:$AB$1000,0)+4,"")</f>
        <v/>
      </c>
      <c r="AH74" t="str">
        <f>IF('Detalle individual'!F74="Pendiente",COUNTIF('Detalle individual'!$D$5:$D$1000,"&lt;"&amp;'Detalle individual'!D74)*1000000+COUNTIF('Detalle individual'!$C$5:$C$1000,"&lt;"&amp;'Detalle individual'!C74)*1000+COUNTIF('Detalle individual'!$B$5:$B$1000,"&lt;"&amp;'Detalle individual'!B74)+ROW()/10000,"")</f>
        <v/>
      </c>
      <c r="AI74">
        <f>IF('Detalle individual'!F74="Completado",COUNTIF('Detalle individual'!$D$5:$D$1000,"&lt;"&amp;'Detalle individual'!D74)*1000000+COUNTIF('Detalle individual'!$C$5:$C$1000,"&lt;"&amp;'Detalle individual'!C74)*1000+COUNTIF('Detalle individual'!$B$5:$B$1000,"&lt;"&amp;'Detalle individual'!B74)+ROW()/10000,"")</f>
        <v>925948782.0074</v>
      </c>
      <c r="AJ74" t="str">
        <f>IF(AND('Detalle individual'!F74&lt;&gt;"",'Detalle individual'!F74&lt;&gt;"Completado",'Detalle individual'!F74&lt;&gt;"Pendiente"),COUNTIF('Detalle individual'!$D$5:$D$1000,"&lt;"&amp;'Detalle individual'!D74)*1000000+COUNTIF('Detalle individual'!$C$5:$C$1000,"&lt;"&amp;'Detalle individual'!C74)*1000+COUNTIF('Detalle individual'!$B$5:$B$1000,"&lt;"&amp;'Detalle individual'!B74)+ROW()/10000,"")</f>
        <v/>
      </c>
      <c r="AK74">
        <f>IF(OR('Base Exámenes'!C74="",'Base Exámenes'!D74=""),"",IF(COUNTIF('Base Exámenes'!$C$5:C74,'Base Exámenes'!C74)=1,'Base Exámenes'!D74+ROW()/1000000000,""))</f>
        <v>46300.582349606484</v>
      </c>
      <c r="AL74">
        <f>IF(OR('Base Exámenes'!C74="",'Base Exámenes'!E74=""),"",IF(COUNTIF('Base Exámenes'!$C$5:C74,'Base Exámenes'!C74)=1,'Base Exámenes'!E74+ROW()/1000000000,""))</f>
        <v>46300.58474543982</v>
      </c>
      <c r="AM74">
        <f>IF(OR('Base Exámenes'!C74="",'Base Exámenes'!G74=""),"",IF(ROW()-4=MATCH('Base Exámenes'!C74&amp;"|"&amp;_xlfn.MAXIFS('Base Exámenes'!$G$5:$G$1000,'Base Exámenes'!$C$5:$C$1000,'Base Exámenes'!C74),'Base Exámenes'!$I$5:$I$1000,0),'Base Exámenes'!G74*1000000+(-1)*'Base Exámenes'!D74,""))</f>
        <v>94953699.4176505</v>
      </c>
      <c r="AO74" t="str">
        <f>IF('Consolidado por área'!G74="Completo",'Consolidado por área'!L74+ROW()/1000000000,"")</f>
        <v/>
      </c>
      <c r="AQ74" t="str">
        <f>IF('Base Exámenes'!C74="","",IF(COUNTIF('Base Exámenes'!$C$5:$C$1000,'Base Exámenes'!C74)&lt;2,"",MATCH('Base Exámenes'!C74,'Base Exámenes'!$C$5:$C$1000,0)*10000+ROW()))</f>
        <v/>
      </c>
      <c r="BF74" t="str">
        <f>IF(AND('Consolidado por área'!G74="Completo",LEFT(TRIM('Consolidado por área'!A74),7)="AGENCIA"),'Consolidado por área'!L74+ROW()/1000000000,"")</f>
        <v/>
      </c>
    </row>
    <row r="75">
      <c r="A75" t="str">
        <f>IF('Consolidado por área'!A50="","",TRIM('Consolidado por área'!A50))</f>
        <v/>
      </c>
      <c r="B75" t="str">
        <f>IF($A75="","",'Consolidado por área'!B50)</f>
        <v/>
      </c>
      <c r="C75" t="str">
        <f>IF($A75="","",'Consolidado por área'!C50)</f>
        <v/>
      </c>
      <c r="D75" t="str">
        <f>IF($A75="","",'Consolidado por área'!D50)</f>
        <v/>
      </c>
      <c r="E75" t="str">
        <f>IF($A75="","",'Consolidado por área'!E50)</f>
        <v/>
      </c>
      <c r="F75" t="str">
        <f>IF($A75="","",IF(C75&gt;0,D75/C75,0))</f>
        <v/>
      </c>
      <c r="G75" t="str">
        <f>IF($A75="","",F75*1000000+C75*10+(1000-ROW())/10000)</f>
        <v/>
      </c>
      <c r="H75" t="str">
        <f>IF($A75="","",'Consolidado por área'!H50)</f>
        <v/>
      </c>
      <c r="J75" t="n">
        <v>46</v>
      </c>
      <c r="K75" t="str">
        <f>IF(J75&gt;COUNT($G$30:$G$109),"",MATCH(LARGE($G$30:$G$109,J75),$G$30:$G$109,0))</f>
        <v/>
      </c>
      <c r="L75" t="str">
        <f>IF($K75="","",INDEX($A$30:$A$109,K75)&amp;"   "&amp;TEXT(INDEX($F$30:$F$109,K75),"0%"))</f>
        <v/>
      </c>
      <c r="M75" t="str">
        <f>IF($K75="","",INDEX($D$30:$D$109,K75))</f>
        <v/>
      </c>
      <c r="N75" t="str">
        <f>IF($K75="","",INDEX($E$30:$E$109,K75))</f>
        <v/>
      </c>
      <c r="O75" t="str">
        <f>IF($K75="","",INDEX($A$30:$A$109,K75))</f>
        <v/>
      </c>
      <c r="P75" t="str">
        <f>IF($K75="","",INDEX($B$30:$B$109,K75))</f>
        <v/>
      </c>
      <c r="Q75" t="str">
        <f>IF($K75="","",INDEX($C$30:$C$109,K75))</f>
        <v/>
      </c>
      <c r="R75" t="str">
        <f>IF($K75="","",INDEX($F$30:$F$109,K75))</f>
        <v/>
      </c>
      <c r="S75" t="str">
        <f>IF($K75="","",INDEX($H$30:$H$109,K75))</f>
        <v/>
      </c>
      <c r="T75" t="str">
        <f>IF($K75="","",IF(OR('Dashboard Gerencial'!$B$5="Todas las gerencias",P75='Dashboard Gerencial'!$B$5),ROW(),""))</f>
        <v/>
      </c>
      <c r="W75" t="str">
        <f>A99</f>
        <v/>
      </c>
      <c r="Z75">
        <f>IF('Detalle individual'!A75="","",IF(AND(OR('Estado por Colaborador'!$D$4="Todas las gerencias",'Detalle individual'!D75='Estado por Colaborador'!$D$4),OR('Estado por Colaborador'!$D$5="Todos los departamentos",TRIM('Detalle individual'!C75)='Estado por Colaborador'!$D$5),OR('Estado por Colaborador'!$D$6="Todos",'Detalle individual'!F75='Estado por Colaborador'!$D$6)),IF('Detalle individual'!F75="Completado",30000000,IF('Detalle individual'!F75="Pendiente",0,15000000))+COUNTIF('Detalle individual'!$C$5:$C$1000,"&lt;"&amp;'Detalle individual'!C75)*10000+ROW(),""))</f>
        <v>38780075</v>
      </c>
      <c r="AB75">
        <f>IF('Detalle individual'!C75="","",IF(COUNTIF('Detalle individual'!$C$5:C75,'Detalle individual'!C75)=1,COUNTIF('Detalle individual'!$C$5:$C$1000,"&lt;"&amp;'Detalle individual'!C75),""))</f>
        <v>878</v>
      </c>
      <c r="AC75" t="str">
        <f>IF('Detalle individual'!D75="","",IF(COUNTIF('Detalle individual'!$D$5:D75,'Detalle individual'!D75)=1,COUNTIF('Detalle individual'!$D$5:$D$1000,"&lt;"&amp;'Detalle individual'!D75),""))</f>
        <v/>
      </c>
      <c r="AE75" t="str">
        <f>IFERROR(MATCH(SMALL($AB$5:$AB$1000,71),$AB$5:$AB$1000,0)+4,"")</f>
        <v/>
      </c>
      <c r="AH75" t="str">
        <f>IF('Detalle individual'!F75="Pendiente",COUNTIF('Detalle individual'!$D$5:$D$1000,"&lt;"&amp;'Detalle individual'!D75)*1000000+COUNTIF('Detalle individual'!$C$5:$C$1000,"&lt;"&amp;'Detalle individual'!C75)*1000+COUNTIF('Detalle individual'!$B$5:$B$1000,"&lt;"&amp;'Detalle individual'!B75)+ROW()/10000,"")</f>
        <v/>
      </c>
      <c r="AI75">
        <f>IF('Detalle individual'!F75="Completado",COUNTIF('Detalle individual'!$D$5:$D$1000,"&lt;"&amp;'Detalle individual'!D75)*1000000+COUNTIF('Detalle individual'!$C$5:$C$1000,"&lt;"&amp;'Detalle individual'!C75)*1000+COUNTIF('Detalle individual'!$B$5:$B$1000,"&lt;"&amp;'Detalle individual'!B75)+ROW()/10000,"")</f>
        <v>925878912.0075</v>
      </c>
      <c r="AJ75" t="str">
        <f>IF(AND('Detalle individual'!F75&lt;&gt;"",'Detalle individual'!F75&lt;&gt;"Completado",'Detalle individual'!F75&lt;&gt;"Pendiente"),COUNTIF('Detalle individual'!$D$5:$D$1000,"&lt;"&amp;'Detalle individual'!D75)*1000000+COUNTIF('Detalle individual'!$C$5:$C$1000,"&lt;"&amp;'Detalle individual'!C75)*1000+COUNTIF('Detalle individual'!$B$5:$B$1000,"&lt;"&amp;'Detalle individual'!B75)+ROW()/10000,"")</f>
        <v/>
      </c>
      <c r="AK75">
        <f>IF(OR('Base Exámenes'!C75="",'Base Exámenes'!D75=""),"",IF(COUNTIF('Base Exámenes'!$C$5:C75,'Base Exámenes'!C75)=1,'Base Exámenes'!D75+ROW()/1000000000,""))</f>
        <v>46300.58730331018</v>
      </c>
      <c r="AL75">
        <f>IF(OR('Base Exámenes'!C75="",'Base Exámenes'!E75=""),"",IF(COUNTIF('Base Exámenes'!$C$5:C75,'Base Exámenes'!C75)=1,'Base Exámenes'!E75+ROW()/1000000000,""))</f>
        <v>46300.58950238426</v>
      </c>
      <c r="AM75">
        <f>IF(OR('Base Exámenes'!C75="",'Base Exámenes'!G75=""),"",IF(ROW()-4=MATCH('Base Exámenes'!C75&amp;"|"&amp;_xlfn.MAXIFS('Base Exámenes'!$G$5:$G$1000,'Base Exámenes'!$C$5:$C$1000,'Base Exámenes'!C75),'Base Exámenes'!$I$5:$I$1000,0),'Base Exámenes'!G75*1000000+(-1)*'Base Exámenes'!D75,""))</f>
        <v>99953699.4126968</v>
      </c>
      <c r="AO75" t="str">
        <f>IF('Consolidado por área'!G75="Completo",'Consolidado por área'!L75+ROW()/1000000000,"")</f>
        <v/>
      </c>
      <c r="AQ75" t="str">
        <f>IF('Base Exámenes'!C75="","",IF(COUNTIF('Base Exámenes'!$C$5:$C$1000,'Base Exámenes'!C75)&lt;2,"",MATCH('Base Exámenes'!C75,'Base Exámenes'!$C$5:$C$1000,0)*10000+ROW()))</f>
        <v/>
      </c>
      <c r="BF75" t="str">
        <f>IF(AND('Consolidado por área'!G75="Completo",LEFT(TRIM('Consolidado por área'!A75),7)="AGENCIA"),'Consolidado por área'!L75+ROW()/1000000000,"")</f>
        <v/>
      </c>
    </row>
    <row r="76">
      <c r="A76" t="str">
        <f>IF('Consolidado por área'!A51="","",TRIM('Consolidado por área'!A51))</f>
        <v/>
      </c>
      <c r="B76" t="str">
        <f>IF($A76="","",'Consolidado por área'!B51)</f>
        <v/>
      </c>
      <c r="C76" t="str">
        <f>IF($A76="","",'Consolidado por área'!C51)</f>
        <v/>
      </c>
      <c r="D76" t="str">
        <f>IF($A76="","",'Consolidado por área'!D51)</f>
        <v/>
      </c>
      <c r="E76" t="str">
        <f>IF($A76="","",'Consolidado por área'!E51)</f>
        <v/>
      </c>
      <c r="F76" t="str">
        <f>IF($A76="","",IF(C76&gt;0,D76/C76,0))</f>
        <v/>
      </c>
      <c r="G76" t="str">
        <f>IF($A76="","",F76*1000000+C76*10+(1000-ROW())/10000)</f>
        <v/>
      </c>
      <c r="H76" t="str">
        <f>IF($A76="","",'Consolidado por área'!H51)</f>
        <v/>
      </c>
      <c r="J76" t="n">
        <v>47</v>
      </c>
      <c r="K76" t="str">
        <f>IF(J76&gt;COUNT($G$30:$G$109),"",MATCH(LARGE($G$30:$G$109,J76),$G$30:$G$109,0))</f>
        <v/>
      </c>
      <c r="L76" t="str">
        <f>IF($K76="","",INDEX($A$30:$A$109,K76)&amp;"   "&amp;TEXT(INDEX($F$30:$F$109,K76),"0%"))</f>
        <v/>
      </c>
      <c r="M76" t="str">
        <f>IF($K76="","",INDEX($D$30:$D$109,K76))</f>
        <v/>
      </c>
      <c r="N76" t="str">
        <f>IF($K76="","",INDEX($E$30:$E$109,K76))</f>
        <v/>
      </c>
      <c r="O76" t="str">
        <f>IF($K76="","",INDEX($A$30:$A$109,K76))</f>
        <v/>
      </c>
      <c r="P76" t="str">
        <f>IF($K76="","",INDEX($B$30:$B$109,K76))</f>
        <v/>
      </c>
      <c r="Q76" t="str">
        <f>IF($K76="","",INDEX($C$30:$C$109,K76))</f>
        <v/>
      </c>
      <c r="R76" t="str">
        <f>IF($K76="","",INDEX($F$30:$F$109,K76))</f>
        <v/>
      </c>
      <c r="S76" t="str">
        <f>IF($K76="","",INDEX($H$30:$H$109,K76))</f>
        <v/>
      </c>
      <c r="T76" t="str">
        <f>IF($K76="","",IF(OR('Dashboard Gerencial'!$B$5="Todas las gerencias",P76='Dashboard Gerencial'!$B$5),ROW(),""))</f>
        <v/>
      </c>
      <c r="W76" t="str">
        <f>A100</f>
        <v/>
      </c>
      <c r="Z76">
        <f>IF('Detalle individual'!A76="","",IF(AND(OR('Estado por Colaborador'!$D$4="Todas las gerencias",'Detalle individual'!D76='Estado por Colaborador'!$D$4),OR('Estado por Colaborador'!$D$5="Todos los departamentos",TRIM('Detalle individual'!C76)='Estado por Colaborador'!$D$5),OR('Estado por Colaborador'!$D$6="Todos",'Detalle individual'!F76='Estado por Colaborador'!$D$6)),IF('Detalle individual'!F76="Completado",30000000,IF('Detalle individual'!F76="Pendiente",0,15000000))+COUNTIF('Detalle individual'!$C$5:$C$1000,"&lt;"&amp;'Detalle individual'!C76)*10000+ROW(),""))</f>
        <v>38780076</v>
      </c>
      <c r="AB76" t="str">
        <f>IF('Detalle individual'!C76="","",IF(COUNTIF('Detalle individual'!$C$5:C76,'Detalle individual'!C76)=1,COUNTIF('Detalle individual'!$C$5:$C$1000,"&lt;"&amp;'Detalle individual'!C76),""))</f>
        <v/>
      </c>
      <c r="AC76" t="str">
        <f>IF('Detalle individual'!D76="","",IF(COUNTIF('Detalle individual'!$D$5:D76,'Detalle individual'!D76)=1,COUNTIF('Detalle individual'!$D$5:$D$1000,"&lt;"&amp;'Detalle individual'!D76),""))</f>
        <v/>
      </c>
      <c r="AE76" t="str">
        <f>IFERROR(MATCH(SMALL($AB$5:$AB$1000,72),$AB$5:$AB$1000,0)+4,"")</f>
        <v/>
      </c>
      <c r="AH76" t="str">
        <f>IF('Detalle individual'!F76="Pendiente",COUNTIF('Detalle individual'!$D$5:$D$1000,"&lt;"&amp;'Detalle individual'!D76)*1000000+COUNTIF('Detalle individual'!$C$5:$C$1000,"&lt;"&amp;'Detalle individual'!C76)*1000+COUNTIF('Detalle individual'!$B$5:$B$1000,"&lt;"&amp;'Detalle individual'!B76)+ROW()/10000,"")</f>
        <v/>
      </c>
      <c r="AI76">
        <f>IF('Detalle individual'!F76="Completado",COUNTIF('Detalle individual'!$D$5:$D$1000,"&lt;"&amp;'Detalle individual'!D76)*1000000+COUNTIF('Detalle individual'!$C$5:$C$1000,"&lt;"&amp;'Detalle individual'!C76)*1000+COUNTIF('Detalle individual'!$B$5:$B$1000,"&lt;"&amp;'Detalle individual'!B76)+ROW()/10000,"")</f>
        <v>925878890.0076</v>
      </c>
      <c r="AJ76" t="str">
        <f>IF(AND('Detalle individual'!F76&lt;&gt;"",'Detalle individual'!F76&lt;&gt;"Completado",'Detalle individual'!F76&lt;&gt;"Pendiente"),COUNTIF('Detalle individual'!$D$5:$D$1000,"&lt;"&amp;'Detalle individual'!D76)*1000000+COUNTIF('Detalle individual'!$C$5:$C$1000,"&lt;"&amp;'Detalle individual'!C76)*1000+COUNTIF('Detalle individual'!$B$5:$B$1000,"&lt;"&amp;'Detalle individual'!B76)+ROW()/10000,"")</f>
        <v/>
      </c>
      <c r="AK76">
        <f>IF(OR('Base Exámenes'!C76="",'Base Exámenes'!D76=""),"",IF(COUNTIF('Base Exámenes'!$C$5:C76,'Base Exámenes'!C76)=1,'Base Exámenes'!D76+ROW()/1000000000,""))</f>
        <v>46300.60138896991</v>
      </c>
      <c r="AL76">
        <f>IF(OR('Base Exámenes'!C76="",'Base Exámenes'!E76=""),"",IF(COUNTIF('Base Exámenes'!$C$5:C76,'Base Exámenes'!C76)=1,'Base Exámenes'!E76+ROW()/1000000000,""))</f>
        <v>46300.60789359954</v>
      </c>
      <c r="AM76">
        <f>IF(OR('Base Exámenes'!C76="",'Base Exámenes'!G76=""),"",IF(ROW()-4=MATCH('Base Exámenes'!C76&amp;"|"&amp;_xlfn.MAXIFS('Base Exámenes'!$G$5:$G$1000,'Base Exámenes'!$C$5:$C$1000,'Base Exámenes'!C76),'Base Exámenes'!$I$5:$I$1000,0),'Base Exámenes'!G76*1000000+(-1)*'Base Exámenes'!D76,""))</f>
        <v>89953699.3986111</v>
      </c>
      <c r="AO76" t="str">
        <f>IF('Consolidado por área'!G76="Completo",'Consolidado por área'!L76+ROW()/1000000000,"")</f>
        <v/>
      </c>
      <c r="AQ76" t="str">
        <f>IF('Base Exámenes'!C76="","",IF(COUNTIF('Base Exámenes'!$C$5:$C$1000,'Base Exámenes'!C76)&lt;2,"",MATCH('Base Exámenes'!C76,'Base Exámenes'!$C$5:$C$1000,0)*10000+ROW()))</f>
        <v/>
      </c>
      <c r="BF76" t="str">
        <f>IF(AND('Consolidado por área'!G76="Completo",LEFT(TRIM('Consolidado por área'!A76),7)="AGENCIA"),'Consolidado por área'!L76+ROW()/1000000000,"")</f>
        <v/>
      </c>
    </row>
    <row r="77">
      <c r="A77" t="str">
        <f>IF('Consolidado por área'!A52="","",TRIM('Consolidado por área'!A52))</f>
        <v/>
      </c>
      <c r="B77" t="str">
        <f>IF($A77="","",'Consolidado por área'!B52)</f>
        <v/>
      </c>
      <c r="C77" t="str">
        <f>IF($A77="","",'Consolidado por área'!C52)</f>
        <v/>
      </c>
      <c r="D77" t="str">
        <f>IF($A77="","",'Consolidado por área'!D52)</f>
        <v/>
      </c>
      <c r="E77" t="str">
        <f>IF($A77="","",'Consolidado por área'!E52)</f>
        <v/>
      </c>
      <c r="F77" t="str">
        <f>IF($A77="","",IF(C77&gt;0,D77/C77,0))</f>
        <v/>
      </c>
      <c r="G77" t="str">
        <f>IF($A77="","",F77*1000000+C77*10+(1000-ROW())/10000)</f>
        <v/>
      </c>
      <c r="H77" t="str">
        <f>IF($A77="","",'Consolidado por área'!H52)</f>
        <v/>
      </c>
      <c r="J77" t="n">
        <v>48</v>
      </c>
      <c r="K77" t="str">
        <f>IF(J77&gt;COUNT($G$30:$G$109),"",MATCH(LARGE($G$30:$G$109,J77),$G$30:$G$109,0))</f>
        <v/>
      </c>
      <c r="L77" t="str">
        <f>IF($K77="","",INDEX($A$30:$A$109,K77)&amp;"   "&amp;TEXT(INDEX($F$30:$F$109,K77),"0%"))</f>
        <v/>
      </c>
      <c r="M77" t="str">
        <f>IF($K77="","",INDEX($D$30:$D$109,K77))</f>
        <v/>
      </c>
      <c r="N77" t="str">
        <f>IF($K77="","",INDEX($E$30:$E$109,K77))</f>
        <v/>
      </c>
      <c r="O77" t="str">
        <f>IF($K77="","",INDEX($A$30:$A$109,K77))</f>
        <v/>
      </c>
      <c r="P77" t="str">
        <f>IF($K77="","",INDEX($B$30:$B$109,K77))</f>
        <v/>
      </c>
      <c r="Q77" t="str">
        <f>IF($K77="","",INDEX($C$30:$C$109,K77))</f>
        <v/>
      </c>
      <c r="R77" t="str">
        <f>IF($K77="","",INDEX($F$30:$F$109,K77))</f>
        <v/>
      </c>
      <c r="S77" t="str">
        <f>IF($K77="","",INDEX($H$30:$H$109,K77))</f>
        <v/>
      </c>
      <c r="T77" t="str">
        <f>IF($K77="","",IF(OR('Dashboard Gerencial'!$B$5="Todas las gerencias",P77='Dashboard Gerencial'!$B$5),ROW(),""))</f>
        <v/>
      </c>
      <c r="W77" t="str">
        <f>A101</f>
        <v/>
      </c>
      <c r="Z77">
        <f>IF('Detalle individual'!A77="","",IF(AND(OR('Estado por Colaborador'!$D$4="Todas las gerencias",'Detalle individual'!D77='Estado por Colaborador'!$D$4),OR('Estado por Colaborador'!$D$5="Todos los departamentos",TRIM('Detalle individual'!C77)='Estado por Colaborador'!$D$5),OR('Estado por Colaborador'!$D$6="Todos",'Detalle individual'!F77='Estado por Colaborador'!$D$6)),IF('Detalle individual'!F77="Completado",30000000,IF('Detalle individual'!F77="Pendiente",0,15000000))+COUNTIF('Detalle individual'!$C$5:$C$1000,"&lt;"&amp;'Detalle individual'!C77)*10000+ROW(),""))</f>
        <v>38780077</v>
      </c>
      <c r="AB77" t="str">
        <f>IF('Detalle individual'!C77="","",IF(COUNTIF('Detalle individual'!$C$5:C77,'Detalle individual'!C77)=1,COUNTIF('Detalle individual'!$C$5:$C$1000,"&lt;"&amp;'Detalle individual'!C77),""))</f>
        <v/>
      </c>
      <c r="AC77" t="str">
        <f>IF('Detalle individual'!D77="","",IF(COUNTIF('Detalle individual'!$D$5:D77,'Detalle individual'!D77)=1,COUNTIF('Detalle individual'!$D$5:$D$1000,"&lt;"&amp;'Detalle individual'!D77),""))</f>
        <v/>
      </c>
      <c r="AE77" t="str">
        <f>IFERROR(MATCH(SMALL($AB$5:$AB$1000,73),$AB$5:$AB$1000,0)+4,"")</f>
        <v/>
      </c>
      <c r="AH77" t="str">
        <f>IF('Detalle individual'!F77="Pendiente",COUNTIF('Detalle individual'!$D$5:$D$1000,"&lt;"&amp;'Detalle individual'!D77)*1000000+COUNTIF('Detalle individual'!$C$5:$C$1000,"&lt;"&amp;'Detalle individual'!C77)*1000+COUNTIF('Detalle individual'!$B$5:$B$1000,"&lt;"&amp;'Detalle individual'!B77)+ROW()/10000,"")</f>
        <v/>
      </c>
      <c r="AI77">
        <f>IF('Detalle individual'!F77="Completado",COUNTIF('Detalle individual'!$D$5:$D$1000,"&lt;"&amp;'Detalle individual'!D77)*1000000+COUNTIF('Detalle individual'!$C$5:$C$1000,"&lt;"&amp;'Detalle individual'!C77)*1000+COUNTIF('Detalle individual'!$B$5:$B$1000,"&lt;"&amp;'Detalle individual'!B77)+ROW()/10000,"")</f>
        <v>925878810.0077</v>
      </c>
      <c r="AJ77" t="str">
        <f>IF(AND('Detalle individual'!F77&lt;&gt;"",'Detalle individual'!F77&lt;&gt;"Completado",'Detalle individual'!F77&lt;&gt;"Pendiente"),COUNTIF('Detalle individual'!$D$5:$D$1000,"&lt;"&amp;'Detalle individual'!D77)*1000000+COUNTIF('Detalle individual'!$C$5:$C$1000,"&lt;"&amp;'Detalle individual'!C77)*1000+COUNTIF('Detalle individual'!$B$5:$B$1000,"&lt;"&amp;'Detalle individual'!B77)+ROW()/10000,"")</f>
        <v/>
      </c>
      <c r="AK77">
        <f>IF(OR('Base Exámenes'!C77="",'Base Exámenes'!D77=""),"",IF(COUNTIF('Base Exámenes'!$C$5:C77,'Base Exámenes'!C77)=1,'Base Exámenes'!D77+ROW()/1000000000,""))</f>
        <v>46300.62287045139</v>
      </c>
      <c r="AL77">
        <f>IF(OR('Base Exámenes'!C77="",'Base Exámenes'!E77=""),"",IF(COUNTIF('Base Exámenes'!$C$5:C77,'Base Exámenes'!C77)=1,'Base Exámenes'!E77+ROW()/1000000000,""))</f>
        <v>46300.62848387731</v>
      </c>
      <c r="AM77">
        <f>IF(OR('Base Exámenes'!C77="",'Base Exámenes'!G77=""),"",IF(ROW()-4=MATCH('Base Exámenes'!C77&amp;"|"&amp;_xlfn.MAXIFS('Base Exámenes'!$G$5:$G$1000,'Base Exámenes'!$C$5:$C$1000,'Base Exámenes'!C77),'Base Exámenes'!$I$5:$I$1000,0),'Base Exámenes'!G77*1000000+(-1)*'Base Exámenes'!D77,""))</f>
        <v>89953699.3771296</v>
      </c>
      <c r="AO77" t="str">
        <f>IF('Consolidado por área'!G77="Completo",'Consolidado por área'!L77+ROW()/1000000000,"")</f>
        <v/>
      </c>
      <c r="AQ77" t="str">
        <f>IF('Base Exámenes'!C77="","",IF(COUNTIF('Base Exámenes'!$C$5:$C$1000,'Base Exámenes'!C77)&lt;2,"",MATCH('Base Exámenes'!C77,'Base Exámenes'!$C$5:$C$1000,0)*10000+ROW()))</f>
        <v/>
      </c>
      <c r="BF77" t="str">
        <f>IF(AND('Consolidado por área'!G77="Completo",LEFT(TRIM('Consolidado por área'!A77),7)="AGENCIA"),'Consolidado por área'!L77+ROW()/1000000000,"")</f>
        <v/>
      </c>
    </row>
    <row r="78">
      <c r="A78" t="str">
        <f>IF('Consolidado por área'!A53="","",TRIM('Consolidado por área'!A53))</f>
        <v/>
      </c>
      <c r="B78" t="str">
        <f>IF($A78="","",'Consolidado por área'!B53)</f>
        <v/>
      </c>
      <c r="C78" t="str">
        <f>IF($A78="","",'Consolidado por área'!C53)</f>
        <v/>
      </c>
      <c r="D78" t="str">
        <f>IF($A78="","",'Consolidado por área'!D53)</f>
        <v/>
      </c>
      <c r="E78" t="str">
        <f>IF($A78="","",'Consolidado por área'!E53)</f>
        <v/>
      </c>
      <c r="F78" t="str">
        <f>IF($A78="","",IF(C78&gt;0,D78/C78,0))</f>
        <v/>
      </c>
      <c r="G78" t="str">
        <f>IF($A78="","",F78*1000000+C78*10+(1000-ROW())/10000)</f>
        <v/>
      </c>
      <c r="H78" t="str">
        <f>IF($A78="","",'Consolidado por área'!H53)</f>
        <v/>
      </c>
      <c r="J78" t="n">
        <v>49</v>
      </c>
      <c r="K78" t="str">
        <f>IF(J78&gt;COUNT($G$30:$G$109),"",MATCH(LARGE($G$30:$G$109,J78),$G$30:$G$109,0))</f>
        <v/>
      </c>
      <c r="L78" t="str">
        <f>IF($K78="","",INDEX($A$30:$A$109,K78)&amp;"   "&amp;TEXT(INDEX($F$30:$F$109,K78),"0%"))</f>
        <v/>
      </c>
      <c r="M78" t="str">
        <f>IF($K78="","",INDEX($D$30:$D$109,K78))</f>
        <v/>
      </c>
      <c r="N78" t="str">
        <f>IF($K78="","",INDEX($E$30:$E$109,K78))</f>
        <v/>
      </c>
      <c r="O78" t="str">
        <f>IF($K78="","",INDEX($A$30:$A$109,K78))</f>
        <v/>
      </c>
      <c r="P78" t="str">
        <f>IF($K78="","",INDEX($B$30:$B$109,K78))</f>
        <v/>
      </c>
      <c r="Q78" t="str">
        <f>IF($K78="","",INDEX($C$30:$C$109,K78))</f>
        <v/>
      </c>
      <c r="R78" t="str">
        <f>IF($K78="","",INDEX($F$30:$F$109,K78))</f>
        <v/>
      </c>
      <c r="S78" t="str">
        <f>IF($K78="","",INDEX($H$30:$H$109,K78))</f>
        <v/>
      </c>
      <c r="T78" t="str">
        <f>IF($K78="","",IF(OR('Dashboard Gerencial'!$B$5="Todas las gerencias",P78='Dashboard Gerencial'!$B$5),ROW(),""))</f>
        <v/>
      </c>
      <c r="W78" t="str">
        <f>A102</f>
        <v/>
      </c>
      <c r="Z78">
        <f>IF('Detalle individual'!A78="","",IF(AND(OR('Estado por Colaborador'!$D$4="Todas las gerencias",'Detalle individual'!D78='Estado por Colaborador'!$D$4),OR('Estado por Colaborador'!$D$5="Todos los departamentos",TRIM('Detalle individual'!C78)='Estado por Colaborador'!$D$5),OR('Estado por Colaborador'!$D$6="Todos",'Detalle individual'!F78='Estado por Colaborador'!$D$6)),IF('Detalle individual'!F78="Completado",30000000,IF('Detalle individual'!F78="Pendiente",0,15000000))+COUNTIF('Detalle individual'!$C$5:$C$1000,"&lt;"&amp;'Detalle individual'!C78)*10000+ROW(),""))</f>
        <v>38780078</v>
      </c>
      <c r="AB78" t="str">
        <f>IF('Detalle individual'!C78="","",IF(COUNTIF('Detalle individual'!$C$5:C78,'Detalle individual'!C78)=1,COUNTIF('Detalle individual'!$C$5:$C$1000,"&lt;"&amp;'Detalle individual'!C78),""))</f>
        <v/>
      </c>
      <c r="AC78" t="str">
        <f>IF('Detalle individual'!D78="","",IF(COUNTIF('Detalle individual'!$D$5:D78,'Detalle individual'!D78)=1,COUNTIF('Detalle individual'!$D$5:$D$1000,"&lt;"&amp;'Detalle individual'!D78),""))</f>
        <v/>
      </c>
      <c r="AE78" t="str">
        <f>IFERROR(MATCH(SMALL($AB$5:$AB$1000,74),$AB$5:$AB$1000,0)+4,"")</f>
        <v/>
      </c>
      <c r="AH78" t="str">
        <f>IF('Detalle individual'!F78="Pendiente",COUNTIF('Detalle individual'!$D$5:$D$1000,"&lt;"&amp;'Detalle individual'!D78)*1000000+COUNTIF('Detalle individual'!$C$5:$C$1000,"&lt;"&amp;'Detalle individual'!C78)*1000+COUNTIF('Detalle individual'!$B$5:$B$1000,"&lt;"&amp;'Detalle individual'!B78)+ROW()/10000,"")</f>
        <v/>
      </c>
      <c r="AI78">
        <f>IF('Detalle individual'!F78="Completado",COUNTIF('Detalle individual'!$D$5:$D$1000,"&lt;"&amp;'Detalle individual'!D78)*1000000+COUNTIF('Detalle individual'!$C$5:$C$1000,"&lt;"&amp;'Detalle individual'!C78)*1000+COUNTIF('Detalle individual'!$B$5:$B$1000,"&lt;"&amp;'Detalle individual'!B78)+ROW()/10000,"")</f>
        <v>925878979.0078</v>
      </c>
      <c r="AJ78" t="str">
        <f>IF(AND('Detalle individual'!F78&lt;&gt;"",'Detalle individual'!F78&lt;&gt;"Completado",'Detalle individual'!F78&lt;&gt;"Pendiente"),COUNTIF('Detalle individual'!$D$5:$D$1000,"&lt;"&amp;'Detalle individual'!D78)*1000000+COUNTIF('Detalle individual'!$C$5:$C$1000,"&lt;"&amp;'Detalle individual'!C78)*1000+COUNTIF('Detalle individual'!$B$5:$B$1000,"&lt;"&amp;'Detalle individual'!B78)+ROW()/10000,"")</f>
        <v/>
      </c>
      <c r="AK78">
        <f>IF(OR('Base Exámenes'!C78="",'Base Exámenes'!D78=""),"",IF(COUNTIF('Base Exámenes'!$C$5:C78,'Base Exámenes'!C78)=1,'Base Exámenes'!D78+ROW()/1000000000,""))</f>
        <v>46300.62151628472</v>
      </c>
      <c r="AL78">
        <f>IF(OR('Base Exámenes'!C78="",'Base Exámenes'!E78=""),"",IF(COUNTIF('Base Exámenes'!$C$5:C78,'Base Exámenes'!C78)=1,'Base Exámenes'!E78+ROW()/1000000000,""))</f>
        <v>46300.630983877316</v>
      </c>
      <c r="AM78">
        <f>IF(OR('Base Exámenes'!C78="",'Base Exámenes'!G78=""),"",IF(ROW()-4=MATCH('Base Exámenes'!C78&amp;"|"&amp;_xlfn.MAXIFS('Base Exámenes'!$G$5:$G$1000,'Base Exámenes'!$C$5:$C$1000,'Base Exámenes'!C78),'Base Exámenes'!$I$5:$I$1000,0),'Base Exámenes'!G78*1000000+(-1)*'Base Exámenes'!D78,""))</f>
        <v>99953699.3784838</v>
      </c>
      <c r="AO78" t="str">
        <f>IF('Consolidado por área'!G78="Completo",'Consolidado por área'!L78+ROW()/1000000000,"")</f>
        <v/>
      </c>
      <c r="AQ78" t="str">
        <f>IF('Base Exámenes'!C78="","",IF(COUNTIF('Base Exámenes'!$C$5:$C$1000,'Base Exámenes'!C78)&lt;2,"",MATCH('Base Exámenes'!C78,'Base Exámenes'!$C$5:$C$1000,0)*10000+ROW()))</f>
        <v/>
      </c>
      <c r="BF78" t="str">
        <f>IF(AND('Consolidado por área'!G78="Completo",LEFT(TRIM('Consolidado por área'!A78),7)="AGENCIA"),'Consolidado por área'!L78+ROW()/1000000000,"")</f>
        <v/>
      </c>
    </row>
    <row r="79">
      <c r="A79" t="str">
        <f>IF('Consolidado por área'!A54="","",TRIM('Consolidado por área'!A54))</f>
        <v/>
      </c>
      <c r="B79" t="str">
        <f>IF($A79="","",'Consolidado por área'!B54)</f>
        <v/>
      </c>
      <c r="C79" t="str">
        <f>IF($A79="","",'Consolidado por área'!C54)</f>
        <v/>
      </c>
      <c r="D79" t="str">
        <f>IF($A79="","",'Consolidado por área'!D54)</f>
        <v/>
      </c>
      <c r="E79" t="str">
        <f>IF($A79="","",'Consolidado por área'!E54)</f>
        <v/>
      </c>
      <c r="F79" t="str">
        <f>IF($A79="","",IF(C79&gt;0,D79/C79,0))</f>
        <v/>
      </c>
      <c r="G79" t="str">
        <f>IF($A79="","",F79*1000000+C79*10+(1000-ROW())/10000)</f>
        <v/>
      </c>
      <c r="H79" t="str">
        <f>IF($A79="","",'Consolidado por área'!H54)</f>
        <v/>
      </c>
      <c r="J79" t="n">
        <v>50</v>
      </c>
      <c r="K79" t="str">
        <f>IF(J79&gt;COUNT($G$30:$G$109),"",MATCH(LARGE($G$30:$G$109,J79),$G$30:$G$109,0))</f>
        <v/>
      </c>
      <c r="L79" t="str">
        <f>IF($K79="","",INDEX($A$30:$A$109,K79)&amp;"   "&amp;TEXT(INDEX($F$30:$F$109,K79),"0%"))</f>
        <v/>
      </c>
      <c r="M79" t="str">
        <f>IF($K79="","",INDEX($D$30:$D$109,K79))</f>
        <v/>
      </c>
      <c r="N79" t="str">
        <f>IF($K79="","",INDEX($E$30:$E$109,K79))</f>
        <v/>
      </c>
      <c r="O79" t="str">
        <f>IF($K79="","",INDEX($A$30:$A$109,K79))</f>
        <v/>
      </c>
      <c r="P79" t="str">
        <f>IF($K79="","",INDEX($B$30:$B$109,K79))</f>
        <v/>
      </c>
      <c r="Q79" t="str">
        <f>IF($K79="","",INDEX($C$30:$C$109,K79))</f>
        <v/>
      </c>
      <c r="R79" t="str">
        <f>IF($K79="","",INDEX($F$30:$F$109,K79))</f>
        <v/>
      </c>
      <c r="S79" t="str">
        <f>IF($K79="","",INDEX($H$30:$H$109,K79))</f>
        <v/>
      </c>
      <c r="T79" t="str">
        <f>IF($K79="","",IF(OR('Dashboard Gerencial'!$B$5="Todas las gerencias",P79='Dashboard Gerencial'!$B$5),ROW(),""))</f>
        <v/>
      </c>
      <c r="W79" t="str">
        <f>A103</f>
        <v/>
      </c>
      <c r="Z79">
        <f>IF('Detalle individual'!A79="","",IF(AND(OR('Estado por Colaborador'!$D$4="Todas las gerencias",'Detalle individual'!D79='Estado por Colaborador'!$D$4),OR('Estado por Colaborador'!$D$5="Todos los departamentos",TRIM('Detalle individual'!C79)='Estado por Colaborador'!$D$5),OR('Estado por Colaborador'!$D$6="Todos",'Detalle individual'!F79='Estado por Colaborador'!$D$6)),IF('Detalle individual'!F79="Completado",30000000,IF('Detalle individual'!F79="Pendiente",0,15000000))+COUNTIF('Detalle individual'!$C$5:$C$1000,"&lt;"&amp;'Detalle individual'!C79)*10000+ROW(),""))</f>
        <v>37040079</v>
      </c>
      <c r="AB79">
        <f>IF('Detalle individual'!C79="","",IF(COUNTIF('Detalle individual'!$C$5:C79,'Detalle individual'!C79)=1,COUNTIF('Detalle individual'!$C$5:$C$1000,"&lt;"&amp;'Detalle individual'!C79),""))</f>
        <v>704</v>
      </c>
      <c r="AC79" t="str">
        <f>IF('Detalle individual'!D79="","",IF(COUNTIF('Detalle individual'!$D$5:D79,'Detalle individual'!D79)=1,COUNTIF('Detalle individual'!$D$5:$D$1000,"&lt;"&amp;'Detalle individual'!D79),""))</f>
        <v/>
      </c>
      <c r="AE79" t="str">
        <f>IFERROR(MATCH(SMALL($AB$5:$AB$1000,75),$AB$5:$AB$1000,0)+4,"")</f>
        <v/>
      </c>
      <c r="AH79" t="str">
        <f>IF('Detalle individual'!F79="Pendiente",COUNTIF('Detalle individual'!$D$5:$D$1000,"&lt;"&amp;'Detalle individual'!D79)*1000000+COUNTIF('Detalle individual'!$C$5:$C$1000,"&lt;"&amp;'Detalle individual'!C79)*1000+COUNTIF('Detalle individual'!$B$5:$B$1000,"&lt;"&amp;'Detalle individual'!B79)+ROW()/10000,"")</f>
        <v/>
      </c>
      <c r="AI79">
        <f>IF('Detalle individual'!F79="Completado",COUNTIF('Detalle individual'!$D$5:$D$1000,"&lt;"&amp;'Detalle individual'!D79)*1000000+COUNTIF('Detalle individual'!$C$5:$C$1000,"&lt;"&amp;'Detalle individual'!C79)*1000+COUNTIF('Detalle individual'!$B$5:$B$1000,"&lt;"&amp;'Detalle individual'!B79)+ROW()/10000,"")</f>
        <v>925704987.0079</v>
      </c>
      <c r="AJ79" t="str">
        <f>IF(AND('Detalle individual'!F79&lt;&gt;"",'Detalle individual'!F79&lt;&gt;"Completado",'Detalle individual'!F79&lt;&gt;"Pendiente"),COUNTIF('Detalle individual'!$D$5:$D$1000,"&lt;"&amp;'Detalle individual'!D79)*1000000+COUNTIF('Detalle individual'!$C$5:$C$1000,"&lt;"&amp;'Detalle individual'!C79)*1000+COUNTIF('Detalle individual'!$B$5:$B$1000,"&lt;"&amp;'Detalle individual'!B79)+ROW()/10000,"")</f>
        <v/>
      </c>
      <c r="AK79">
        <f>IF(OR('Base Exámenes'!C79="",'Base Exámenes'!D79=""),"",IF(COUNTIF('Base Exámenes'!$C$5:C79,'Base Exámenes'!C79)=1,'Base Exámenes'!D79+ROW()/1000000000,""))</f>
        <v>46300.6308565625</v>
      </c>
      <c r="AL79">
        <f>IF(OR('Base Exámenes'!C79="",'Base Exámenes'!E79=""),"",IF(COUNTIF('Base Exámenes'!$C$5:C79,'Base Exámenes'!C79)=1,'Base Exámenes'!E79+ROW()/1000000000,""))</f>
        <v>46300.63810193287</v>
      </c>
      <c r="AM79">
        <f>IF(OR('Base Exámenes'!C79="",'Base Exámenes'!G79=""),"",IF(ROW()-4=MATCH('Base Exámenes'!C79&amp;"|"&amp;_xlfn.MAXIFS('Base Exámenes'!$G$5:$G$1000,'Base Exámenes'!$C$5:$C$1000,'Base Exámenes'!C79),'Base Exámenes'!$I$5:$I$1000,0),'Base Exámenes'!G79*1000000+(-1)*'Base Exámenes'!D79,""))</f>
        <v>99953699.3691435</v>
      </c>
      <c r="AO79" t="str">
        <f>IF('Consolidado por área'!G79="Completo",'Consolidado por área'!L79+ROW()/1000000000,"")</f>
        <v/>
      </c>
      <c r="AQ79" t="str">
        <f>IF('Base Exámenes'!C79="","",IF(COUNTIF('Base Exámenes'!$C$5:$C$1000,'Base Exámenes'!C79)&lt;2,"",MATCH('Base Exámenes'!C79,'Base Exámenes'!$C$5:$C$1000,0)*10000+ROW()))</f>
        <v/>
      </c>
      <c r="BF79" t="str">
        <f>IF(AND('Consolidado por área'!G79="Completo",LEFT(TRIM('Consolidado por área'!A79),7)="AGENCIA"),'Consolidado por área'!L79+ROW()/1000000000,"")</f>
        <v/>
      </c>
    </row>
    <row r="80">
      <c r="A80" t="str">
        <f>IF('Consolidado por área'!A55="","",TRIM('Consolidado por área'!A55))</f>
        <v/>
      </c>
      <c r="B80" t="str">
        <f>IF($A80="","",'Consolidado por área'!B55)</f>
        <v/>
      </c>
      <c r="C80" t="str">
        <f>IF($A80="","",'Consolidado por área'!C55)</f>
        <v/>
      </c>
      <c r="D80" t="str">
        <f>IF($A80="","",'Consolidado por área'!D55)</f>
        <v/>
      </c>
      <c r="E80" t="str">
        <f>IF($A80="","",'Consolidado por área'!E55)</f>
        <v/>
      </c>
      <c r="F80" t="str">
        <f>IF($A80="","",IF(C80&gt;0,D80/C80,0))</f>
        <v/>
      </c>
      <c r="G80" t="str">
        <f>IF($A80="","",F80*1000000+C80*10+(1000-ROW())/10000)</f>
        <v/>
      </c>
      <c r="H80" t="str">
        <f>IF($A80="","",'Consolidado por área'!H55)</f>
        <v/>
      </c>
      <c r="J80" t="n">
        <v>51</v>
      </c>
      <c r="K80" t="str">
        <f>IF(J80&gt;COUNT($G$30:$G$109),"",MATCH(LARGE($G$30:$G$109,J80),$G$30:$G$109,0))</f>
        <v/>
      </c>
      <c r="L80" t="str">
        <f>IF($K80="","",INDEX($A$30:$A$109,K80)&amp;"   "&amp;TEXT(INDEX($F$30:$F$109,K80),"0%"))</f>
        <v/>
      </c>
      <c r="M80" t="str">
        <f>IF($K80="","",INDEX($D$30:$D$109,K80))</f>
        <v/>
      </c>
      <c r="N80" t="str">
        <f>IF($K80="","",INDEX($E$30:$E$109,K80))</f>
        <v/>
      </c>
      <c r="O80" t="str">
        <f>IF($K80="","",INDEX($A$30:$A$109,K80))</f>
        <v/>
      </c>
      <c r="P80" t="str">
        <f>IF($K80="","",INDEX($B$30:$B$109,K80))</f>
        <v/>
      </c>
      <c r="Q80" t="str">
        <f>IF($K80="","",INDEX($C$30:$C$109,K80))</f>
        <v/>
      </c>
      <c r="R80" t="str">
        <f>IF($K80="","",INDEX($F$30:$F$109,K80))</f>
        <v/>
      </c>
      <c r="S80" t="str">
        <f>IF($K80="","",INDEX($H$30:$H$109,K80))</f>
        <v/>
      </c>
      <c r="T80" t="str">
        <f>IF($K80="","",IF(OR('Dashboard Gerencial'!$B$5="Todas las gerencias",P80='Dashboard Gerencial'!$B$5),ROW(),""))</f>
        <v/>
      </c>
      <c r="W80" t="str">
        <f>A104</f>
        <v/>
      </c>
      <c r="Z80">
        <f>IF('Detalle individual'!A80="","",IF(AND(OR('Estado por Colaborador'!$D$4="Todas las gerencias",'Detalle individual'!D80='Estado por Colaborador'!$D$4),OR('Estado por Colaborador'!$D$5="Todos los departamentos",TRIM('Detalle individual'!C80)='Estado por Colaborador'!$D$5),OR('Estado por Colaborador'!$D$6="Todos",'Detalle individual'!F80='Estado por Colaborador'!$D$6)),IF('Detalle individual'!F80="Completado",30000000,IF('Detalle individual'!F80="Pendiente",0,15000000))+COUNTIF('Detalle individual'!$C$5:$C$1000,"&lt;"&amp;'Detalle individual'!C80)*10000+ROW(),""))</f>
        <v>37040080</v>
      </c>
      <c r="AB80" t="str">
        <f>IF('Detalle individual'!C80="","",IF(COUNTIF('Detalle individual'!$C$5:C80,'Detalle individual'!C80)=1,COUNTIF('Detalle individual'!$C$5:$C$1000,"&lt;"&amp;'Detalle individual'!C80),""))</f>
        <v/>
      </c>
      <c r="AC80" t="str">
        <f>IF('Detalle individual'!D80="","",IF(COUNTIF('Detalle individual'!$D$5:D80,'Detalle individual'!D80)=1,COUNTIF('Detalle individual'!$D$5:$D$1000,"&lt;"&amp;'Detalle individual'!D80),""))</f>
        <v/>
      </c>
      <c r="AE80" t="str">
        <f>IFERROR(MATCH(SMALL($AB$5:$AB$1000,76),$AB$5:$AB$1000,0)+4,"")</f>
        <v/>
      </c>
      <c r="AH80" t="str">
        <f>IF('Detalle individual'!F80="Pendiente",COUNTIF('Detalle individual'!$D$5:$D$1000,"&lt;"&amp;'Detalle individual'!D80)*1000000+COUNTIF('Detalle individual'!$C$5:$C$1000,"&lt;"&amp;'Detalle individual'!C80)*1000+COUNTIF('Detalle individual'!$B$5:$B$1000,"&lt;"&amp;'Detalle individual'!B80)+ROW()/10000,"")</f>
        <v/>
      </c>
      <c r="AI80">
        <f>IF('Detalle individual'!F80="Completado",COUNTIF('Detalle individual'!$D$5:$D$1000,"&lt;"&amp;'Detalle individual'!D80)*1000000+COUNTIF('Detalle individual'!$C$5:$C$1000,"&lt;"&amp;'Detalle individual'!C80)*1000+COUNTIF('Detalle individual'!$B$5:$B$1000,"&lt;"&amp;'Detalle individual'!B80)+ROW()/10000,"")</f>
        <v>925704795.008</v>
      </c>
      <c r="AJ80" t="str">
        <f>IF(AND('Detalle individual'!F80&lt;&gt;"",'Detalle individual'!F80&lt;&gt;"Completado",'Detalle individual'!F80&lt;&gt;"Pendiente"),COUNTIF('Detalle individual'!$D$5:$D$1000,"&lt;"&amp;'Detalle individual'!D80)*1000000+COUNTIF('Detalle individual'!$C$5:$C$1000,"&lt;"&amp;'Detalle individual'!C80)*1000+COUNTIF('Detalle individual'!$B$5:$B$1000,"&lt;"&amp;'Detalle individual'!B80)+ROW()/10000,"")</f>
        <v/>
      </c>
      <c r="AK80">
        <f>IF(OR('Base Exámenes'!C80="",'Base Exámenes'!D80=""),"",IF(COUNTIF('Base Exámenes'!$C$5:C80,'Base Exámenes'!C80)=1,'Base Exámenes'!D80+ROW()/1000000000,""))</f>
        <v>46300.65247693287</v>
      </c>
      <c r="AL80">
        <f>IF(OR('Base Exámenes'!C80="",'Base Exámenes'!E80=""),"",IF(COUNTIF('Base Exámenes'!$C$5:C80,'Base Exámenes'!C80)=1,'Base Exámenes'!E80+ROW()/1000000000,""))</f>
        <v>46300.65800934028</v>
      </c>
      <c r="AM80">
        <f>IF(OR('Base Exámenes'!C80="",'Base Exámenes'!G80=""),"",IF(ROW()-4=MATCH('Base Exámenes'!C80&amp;"|"&amp;_xlfn.MAXIFS('Base Exámenes'!$G$5:$G$1000,'Base Exámenes'!$C$5:$C$1000,'Base Exámenes'!C80),'Base Exámenes'!$I$5:$I$1000,0),'Base Exámenes'!G80*1000000+(-1)*'Base Exámenes'!D80,""))</f>
        <v>89953699.3475232</v>
      </c>
      <c r="AO80" t="str">
        <f>IF('Consolidado por área'!G80="Completo",'Consolidado por área'!L80+ROW()/1000000000,"")</f>
        <v/>
      </c>
      <c r="AQ80" t="str">
        <f>IF('Base Exámenes'!C80="","",IF(COUNTIF('Base Exámenes'!$C$5:$C$1000,'Base Exámenes'!C80)&lt;2,"",MATCH('Base Exámenes'!C80,'Base Exámenes'!$C$5:$C$1000,0)*10000+ROW()))</f>
        <v/>
      </c>
      <c r="BF80" t="str">
        <f>IF(AND('Consolidado por área'!G80="Completo",LEFT(TRIM('Consolidado por área'!A80),7)="AGENCIA"),'Consolidado por área'!L80+ROW()/1000000000,"")</f>
        <v/>
      </c>
    </row>
    <row r="81">
      <c r="A81" t="str">
        <f>IF('Consolidado por área'!A56="","",TRIM('Consolidado por área'!A56))</f>
        <v/>
      </c>
      <c r="B81" t="str">
        <f>IF($A81="","",'Consolidado por área'!B56)</f>
        <v/>
      </c>
      <c r="C81" t="str">
        <f>IF($A81="","",'Consolidado por área'!C56)</f>
        <v/>
      </c>
      <c r="D81" t="str">
        <f>IF($A81="","",'Consolidado por área'!D56)</f>
        <v/>
      </c>
      <c r="E81" t="str">
        <f>IF($A81="","",'Consolidado por área'!E56)</f>
        <v/>
      </c>
      <c r="F81" t="str">
        <f>IF($A81="","",IF(C81&gt;0,D81/C81,0))</f>
        <v/>
      </c>
      <c r="G81" t="str">
        <f>IF($A81="","",F81*1000000+C81*10+(1000-ROW())/10000)</f>
        <v/>
      </c>
      <c r="H81" t="str">
        <f>IF($A81="","",'Consolidado por área'!H56)</f>
        <v/>
      </c>
      <c r="J81" t="n">
        <v>52</v>
      </c>
      <c r="K81" t="str">
        <f>IF(J81&gt;COUNT($G$30:$G$109),"",MATCH(LARGE($G$30:$G$109,J81),$G$30:$G$109,0))</f>
        <v/>
      </c>
      <c r="L81" t="str">
        <f>IF($K81="","",INDEX($A$30:$A$109,K81)&amp;"   "&amp;TEXT(INDEX($F$30:$F$109,K81),"0%"))</f>
        <v/>
      </c>
      <c r="M81" t="str">
        <f>IF($K81="","",INDEX($D$30:$D$109,K81))</f>
        <v/>
      </c>
      <c r="N81" t="str">
        <f>IF($K81="","",INDEX($E$30:$E$109,K81))</f>
        <v/>
      </c>
      <c r="O81" t="str">
        <f>IF($K81="","",INDEX($A$30:$A$109,K81))</f>
        <v/>
      </c>
      <c r="P81" t="str">
        <f>IF($K81="","",INDEX($B$30:$B$109,K81))</f>
        <v/>
      </c>
      <c r="Q81" t="str">
        <f>IF($K81="","",INDEX($C$30:$C$109,K81))</f>
        <v/>
      </c>
      <c r="R81" t="str">
        <f>IF($K81="","",INDEX($F$30:$F$109,K81))</f>
        <v/>
      </c>
      <c r="S81" t="str">
        <f>IF($K81="","",INDEX($H$30:$H$109,K81))</f>
        <v/>
      </c>
      <c r="T81" t="str">
        <f>IF($K81="","",IF(OR('Dashboard Gerencial'!$B$5="Todas las gerencias",P81='Dashboard Gerencial'!$B$5),ROW(),""))</f>
        <v/>
      </c>
      <c r="W81" t="str">
        <f>A105</f>
        <v/>
      </c>
      <c r="Z81">
        <f>IF('Detalle individual'!A81="","",IF(AND(OR('Estado por Colaborador'!$D$4="Todas las gerencias",'Detalle individual'!D81='Estado por Colaborador'!$D$4),OR('Estado por Colaborador'!$D$5="Todos los departamentos",TRIM('Detalle individual'!C81)='Estado por Colaborador'!$D$5),OR('Estado por Colaborador'!$D$6="Todos",'Detalle individual'!F81='Estado por Colaborador'!$D$6)),IF('Detalle individual'!F81="Completado",30000000,IF('Detalle individual'!F81="Pendiente",0,15000000))+COUNTIF('Detalle individual'!$C$5:$C$1000,"&lt;"&amp;'Detalle individual'!C81)*10000+ROW(),""))</f>
        <v>37040081</v>
      </c>
      <c r="AB81" t="str">
        <f>IF('Detalle individual'!C81="","",IF(COUNTIF('Detalle individual'!$C$5:C81,'Detalle individual'!C81)=1,COUNTIF('Detalle individual'!$C$5:$C$1000,"&lt;"&amp;'Detalle individual'!C81),""))</f>
        <v/>
      </c>
      <c r="AC81" t="str">
        <f>IF('Detalle individual'!D81="","",IF(COUNTIF('Detalle individual'!$D$5:D81,'Detalle individual'!D81)=1,COUNTIF('Detalle individual'!$D$5:$D$1000,"&lt;"&amp;'Detalle individual'!D81),""))</f>
        <v/>
      </c>
      <c r="AE81" t="str">
        <f>IFERROR(MATCH(SMALL($AB$5:$AB$1000,77),$AB$5:$AB$1000,0)+4,"")</f>
        <v/>
      </c>
      <c r="AH81" t="str">
        <f>IF('Detalle individual'!F81="Pendiente",COUNTIF('Detalle individual'!$D$5:$D$1000,"&lt;"&amp;'Detalle individual'!D81)*1000000+COUNTIF('Detalle individual'!$C$5:$C$1000,"&lt;"&amp;'Detalle individual'!C81)*1000+COUNTIF('Detalle individual'!$B$5:$B$1000,"&lt;"&amp;'Detalle individual'!B81)+ROW()/10000,"")</f>
        <v/>
      </c>
      <c r="AI81">
        <f>IF('Detalle individual'!F81="Completado",COUNTIF('Detalle individual'!$D$5:$D$1000,"&lt;"&amp;'Detalle individual'!D81)*1000000+COUNTIF('Detalle individual'!$C$5:$C$1000,"&lt;"&amp;'Detalle individual'!C81)*1000+COUNTIF('Detalle individual'!$B$5:$B$1000,"&lt;"&amp;'Detalle individual'!B81)+ROW()/10000,"")</f>
        <v>925704943.0081</v>
      </c>
      <c r="AJ81" t="str">
        <f>IF(AND('Detalle individual'!F81&lt;&gt;"",'Detalle individual'!F81&lt;&gt;"Completado",'Detalle individual'!F81&lt;&gt;"Pendiente"),COUNTIF('Detalle individual'!$D$5:$D$1000,"&lt;"&amp;'Detalle individual'!D81)*1000000+COUNTIF('Detalle individual'!$C$5:$C$1000,"&lt;"&amp;'Detalle individual'!C81)*1000+COUNTIF('Detalle individual'!$B$5:$B$1000,"&lt;"&amp;'Detalle individual'!B81)+ROW()/10000,"")</f>
        <v/>
      </c>
      <c r="AK81">
        <f>IF(OR('Base Exámenes'!C81="",'Base Exámenes'!D81=""),"",IF(COUNTIF('Base Exámenes'!$C$5:C81,'Base Exámenes'!C81)=1,'Base Exámenes'!D81+ROW()/1000000000,""))</f>
        <v>46300.654537118055</v>
      </c>
      <c r="AL81">
        <f>IF(OR('Base Exámenes'!C81="",'Base Exámenes'!E81=""),"",IF(COUNTIF('Base Exámenes'!$C$5:C81,'Base Exámenes'!C81)=1,'Base Exámenes'!E81+ROW()/1000000000,""))</f>
        <v>46300.66567137731</v>
      </c>
      <c r="AM81">
        <f>IF(OR('Base Exámenes'!C81="",'Base Exámenes'!G81=""),"",IF(ROW()-4=MATCH('Base Exámenes'!C81&amp;"|"&amp;_xlfn.MAXIFS('Base Exámenes'!$G$5:$G$1000,'Base Exámenes'!$C$5:$C$1000,'Base Exámenes'!C81),'Base Exámenes'!$I$5:$I$1000,0),'Base Exámenes'!G81*1000000+(-1)*'Base Exámenes'!D81,""))</f>
        <v>99953699.345463</v>
      </c>
      <c r="AO81" t="str">
        <f>IF('Consolidado por área'!G81="Completo",'Consolidado por área'!L81+ROW()/1000000000,"")</f>
        <v/>
      </c>
      <c r="AQ81" t="str">
        <f>IF('Base Exámenes'!C81="","",IF(COUNTIF('Base Exámenes'!$C$5:$C$1000,'Base Exámenes'!C81)&lt;2,"",MATCH('Base Exámenes'!C81,'Base Exámenes'!$C$5:$C$1000,0)*10000+ROW()))</f>
        <v/>
      </c>
      <c r="BF81" t="str">
        <f>IF(AND('Consolidado por área'!G81="Completo",LEFT(TRIM('Consolidado por área'!A81),7)="AGENCIA"),'Consolidado por área'!L81+ROW()/1000000000,"")</f>
        <v/>
      </c>
    </row>
    <row r="82">
      <c r="A82" t="str">
        <f>IF('Consolidado por área'!A57="","",TRIM('Consolidado por área'!A57))</f>
        <v/>
      </c>
      <c r="B82" t="str">
        <f>IF($A82="","",'Consolidado por área'!B57)</f>
        <v/>
      </c>
      <c r="C82" t="str">
        <f>IF($A82="","",'Consolidado por área'!C57)</f>
        <v/>
      </c>
      <c r="D82" t="str">
        <f>IF($A82="","",'Consolidado por área'!D57)</f>
        <v/>
      </c>
      <c r="E82" t="str">
        <f>IF($A82="","",'Consolidado por área'!E57)</f>
        <v/>
      </c>
      <c r="F82" t="str">
        <f>IF($A82="","",IF(C82&gt;0,D82/C82,0))</f>
        <v/>
      </c>
      <c r="G82" t="str">
        <f>IF($A82="","",F82*1000000+C82*10+(1000-ROW())/10000)</f>
        <v/>
      </c>
      <c r="H82" t="str">
        <f>IF($A82="","",'Consolidado por área'!H57)</f>
        <v/>
      </c>
      <c r="J82" t="n">
        <v>53</v>
      </c>
      <c r="K82" t="str">
        <f>IF(J82&gt;COUNT($G$30:$G$109),"",MATCH(LARGE($G$30:$G$109,J82),$G$30:$G$109,0))</f>
        <v/>
      </c>
      <c r="L82" t="str">
        <f>IF($K82="","",INDEX($A$30:$A$109,K82)&amp;"   "&amp;TEXT(INDEX($F$30:$F$109,K82),"0%"))</f>
        <v/>
      </c>
      <c r="M82" t="str">
        <f>IF($K82="","",INDEX($D$30:$D$109,K82))</f>
        <v/>
      </c>
      <c r="N82" t="str">
        <f>IF($K82="","",INDEX($E$30:$E$109,K82))</f>
        <v/>
      </c>
      <c r="O82" t="str">
        <f>IF($K82="","",INDEX($A$30:$A$109,K82))</f>
        <v/>
      </c>
      <c r="P82" t="str">
        <f>IF($K82="","",INDEX($B$30:$B$109,K82))</f>
        <v/>
      </c>
      <c r="Q82" t="str">
        <f>IF($K82="","",INDEX($C$30:$C$109,K82))</f>
        <v/>
      </c>
      <c r="R82" t="str">
        <f>IF($K82="","",INDEX($F$30:$F$109,K82))</f>
        <v/>
      </c>
      <c r="S82" t="str">
        <f>IF($K82="","",INDEX($H$30:$H$109,K82))</f>
        <v/>
      </c>
      <c r="T82" t="str">
        <f>IF($K82="","",IF(OR('Dashboard Gerencial'!$B$5="Todas las gerencias",P82='Dashboard Gerencial'!$B$5),ROW(),""))</f>
        <v/>
      </c>
      <c r="W82" t="str">
        <f>A106</f>
        <v/>
      </c>
      <c r="Z82">
        <f>IF('Detalle individual'!A82="","",IF(AND(OR('Estado por Colaborador'!$D$4="Todas las gerencias",'Detalle individual'!D82='Estado por Colaborador'!$D$4),OR('Estado por Colaborador'!$D$5="Todos los departamentos",TRIM('Detalle individual'!C82)='Estado por Colaborador'!$D$5),OR('Estado por Colaborador'!$D$6="Todos",'Detalle individual'!F82='Estado por Colaborador'!$D$6)),IF('Detalle individual'!F82="Completado",30000000,IF('Detalle individual'!F82="Pendiente",0,15000000))+COUNTIF('Detalle individual'!$C$5:$C$1000,"&lt;"&amp;'Detalle individual'!C82)*10000+ROW(),""))</f>
        <v>37040082</v>
      </c>
      <c r="AB82" t="str">
        <f>IF('Detalle individual'!C82="","",IF(COUNTIF('Detalle individual'!$C$5:C82,'Detalle individual'!C82)=1,COUNTIF('Detalle individual'!$C$5:$C$1000,"&lt;"&amp;'Detalle individual'!C82),""))</f>
        <v/>
      </c>
      <c r="AC82" t="str">
        <f>IF('Detalle individual'!D82="","",IF(COUNTIF('Detalle individual'!$D$5:D82,'Detalle individual'!D82)=1,COUNTIF('Detalle individual'!$D$5:$D$1000,"&lt;"&amp;'Detalle individual'!D82),""))</f>
        <v/>
      </c>
      <c r="AE82" t="str">
        <f>IFERROR(MATCH(SMALL($AB$5:$AB$1000,78),$AB$5:$AB$1000,0)+4,"")</f>
        <v/>
      </c>
      <c r="AH82" t="str">
        <f>IF('Detalle individual'!F82="Pendiente",COUNTIF('Detalle individual'!$D$5:$D$1000,"&lt;"&amp;'Detalle individual'!D82)*1000000+COUNTIF('Detalle individual'!$C$5:$C$1000,"&lt;"&amp;'Detalle individual'!C82)*1000+COUNTIF('Detalle individual'!$B$5:$B$1000,"&lt;"&amp;'Detalle individual'!B82)+ROW()/10000,"")</f>
        <v/>
      </c>
      <c r="AI82">
        <f>IF('Detalle individual'!F82="Completado",COUNTIF('Detalle individual'!$D$5:$D$1000,"&lt;"&amp;'Detalle individual'!D82)*1000000+COUNTIF('Detalle individual'!$C$5:$C$1000,"&lt;"&amp;'Detalle individual'!C82)*1000+COUNTIF('Detalle individual'!$B$5:$B$1000,"&lt;"&amp;'Detalle individual'!B82)+ROW()/10000,"")</f>
        <v>925704955.0082</v>
      </c>
      <c r="AJ82" t="str">
        <f>IF(AND('Detalle individual'!F82&lt;&gt;"",'Detalle individual'!F82&lt;&gt;"Completado",'Detalle individual'!F82&lt;&gt;"Pendiente"),COUNTIF('Detalle individual'!$D$5:$D$1000,"&lt;"&amp;'Detalle individual'!D82)*1000000+COUNTIF('Detalle individual'!$C$5:$C$1000,"&lt;"&amp;'Detalle individual'!C82)*1000+COUNTIF('Detalle individual'!$B$5:$B$1000,"&lt;"&amp;'Detalle individual'!B82)+ROW()/10000,"")</f>
        <v/>
      </c>
      <c r="AK82">
        <f>IF(OR('Base Exámenes'!C82="",'Base Exámenes'!D82=""),"",IF(COUNTIF('Base Exámenes'!$C$5:C82,'Base Exámenes'!C82)=1,'Base Exámenes'!D82+ROW()/1000000000,""))</f>
        <v>46300.67056721065</v>
      </c>
      <c r="AL82">
        <f>IF(OR('Base Exámenes'!C82="",'Base Exámenes'!E82=""),"",IF(COUNTIF('Base Exámenes'!$C$5:C82,'Base Exámenes'!C82)=1,'Base Exámenes'!E82+ROW()/1000000000,""))</f>
        <v>46300.684004710645</v>
      </c>
      <c r="AM82">
        <f>IF(OR('Base Exámenes'!C82="",'Base Exámenes'!G82=""),"",IF(ROW()-4=MATCH('Base Exámenes'!C82&amp;"|"&amp;_xlfn.MAXIFS('Base Exámenes'!$G$5:$G$1000,'Base Exámenes'!$C$5:$C$1000,'Base Exámenes'!C82),'Base Exámenes'!$I$5:$I$1000,0),'Base Exámenes'!G82*1000000+(-1)*'Base Exámenes'!D82,""))</f>
        <v>99953699.3294329</v>
      </c>
      <c r="AO82" t="str">
        <f>IF('Consolidado por área'!G82="Completo",'Consolidado por área'!L82+ROW()/1000000000,"")</f>
        <v/>
      </c>
      <c r="AQ82" t="str">
        <f>IF('Base Exámenes'!C82="","",IF(COUNTIF('Base Exámenes'!$C$5:$C$1000,'Base Exámenes'!C82)&lt;2,"",MATCH('Base Exámenes'!C82,'Base Exámenes'!$C$5:$C$1000,0)*10000+ROW()))</f>
        <v/>
      </c>
      <c r="BF82" t="str">
        <f>IF(AND('Consolidado por área'!G82="Completo",LEFT(TRIM('Consolidado por área'!A82),7)="AGENCIA"),'Consolidado por área'!L82+ROW()/1000000000,"")</f>
        <v/>
      </c>
    </row>
    <row r="83">
      <c r="A83" t="str">
        <f>IF('Consolidado por área'!A58="","",TRIM('Consolidado por área'!A58))</f>
        <v/>
      </c>
      <c r="B83" t="str">
        <f>IF($A83="","",'Consolidado por área'!B58)</f>
        <v/>
      </c>
      <c r="C83" t="str">
        <f>IF($A83="","",'Consolidado por área'!C58)</f>
        <v/>
      </c>
      <c r="D83" t="str">
        <f>IF($A83="","",'Consolidado por área'!D58)</f>
        <v/>
      </c>
      <c r="E83" t="str">
        <f>IF($A83="","",'Consolidado por área'!E58)</f>
        <v/>
      </c>
      <c r="F83" t="str">
        <f>IF($A83="","",IF(C83&gt;0,D83/C83,0))</f>
        <v/>
      </c>
      <c r="G83" t="str">
        <f>IF($A83="","",F83*1000000+C83*10+(1000-ROW())/10000)</f>
        <v/>
      </c>
      <c r="H83" t="str">
        <f>IF($A83="","",'Consolidado por área'!H58)</f>
        <v/>
      </c>
      <c r="J83" t="n">
        <v>54</v>
      </c>
      <c r="K83" t="str">
        <f>IF(J83&gt;COUNT($G$30:$G$109),"",MATCH(LARGE($G$30:$G$109,J83),$G$30:$G$109,0))</f>
        <v/>
      </c>
      <c r="L83" t="str">
        <f>IF($K83="","",INDEX($A$30:$A$109,K83)&amp;"   "&amp;TEXT(INDEX($F$30:$F$109,K83),"0%"))</f>
        <v/>
      </c>
      <c r="M83" t="str">
        <f>IF($K83="","",INDEX($D$30:$D$109,K83))</f>
        <v/>
      </c>
      <c r="N83" t="str">
        <f>IF($K83="","",INDEX($E$30:$E$109,K83))</f>
        <v/>
      </c>
      <c r="O83" t="str">
        <f>IF($K83="","",INDEX($A$30:$A$109,K83))</f>
        <v/>
      </c>
      <c r="P83" t="str">
        <f>IF($K83="","",INDEX($B$30:$B$109,K83))</f>
        <v/>
      </c>
      <c r="Q83" t="str">
        <f>IF($K83="","",INDEX($C$30:$C$109,K83))</f>
        <v/>
      </c>
      <c r="R83" t="str">
        <f>IF($K83="","",INDEX($F$30:$F$109,K83))</f>
        <v/>
      </c>
      <c r="S83" t="str">
        <f>IF($K83="","",INDEX($H$30:$H$109,K83))</f>
        <v/>
      </c>
      <c r="T83" t="str">
        <f>IF($K83="","",IF(OR('Dashboard Gerencial'!$B$5="Todas las gerencias",P83='Dashboard Gerencial'!$B$5),ROW(),""))</f>
        <v/>
      </c>
      <c r="W83" t="str">
        <f>A107</f>
        <v/>
      </c>
      <c r="Z83">
        <f>IF('Detalle individual'!A83="","",IF(AND(OR('Estado por Colaborador'!$D$4="Todas las gerencias",'Detalle individual'!D83='Estado por Colaborador'!$D$4),OR('Estado por Colaborador'!$D$5="Todos los departamentos",TRIM('Detalle individual'!C83)='Estado por Colaborador'!$D$5),OR('Estado por Colaborador'!$D$6="Todos",'Detalle individual'!F83='Estado por Colaborador'!$D$6)),IF('Detalle individual'!F83="Completado",30000000,IF('Detalle individual'!F83="Pendiente",0,15000000))+COUNTIF('Detalle individual'!$C$5:$C$1000,"&lt;"&amp;'Detalle individual'!C83)*10000+ROW(),""))</f>
        <v>37040083</v>
      </c>
      <c r="AB83" t="str">
        <f>IF('Detalle individual'!C83="","",IF(COUNTIF('Detalle individual'!$C$5:C83,'Detalle individual'!C83)=1,COUNTIF('Detalle individual'!$C$5:$C$1000,"&lt;"&amp;'Detalle individual'!C83),""))</f>
        <v/>
      </c>
      <c r="AC83" t="str">
        <f>IF('Detalle individual'!D83="","",IF(COUNTIF('Detalle individual'!$D$5:D83,'Detalle individual'!D83)=1,COUNTIF('Detalle individual'!$D$5:$D$1000,"&lt;"&amp;'Detalle individual'!D83),""))</f>
        <v/>
      </c>
      <c r="AE83" t="str">
        <f>IFERROR(MATCH(SMALL($AB$5:$AB$1000,79),$AB$5:$AB$1000,0)+4,"")</f>
        <v/>
      </c>
      <c r="AH83" t="str">
        <f>IF('Detalle individual'!F83="Pendiente",COUNTIF('Detalle individual'!$D$5:$D$1000,"&lt;"&amp;'Detalle individual'!D83)*1000000+COUNTIF('Detalle individual'!$C$5:$C$1000,"&lt;"&amp;'Detalle individual'!C83)*1000+COUNTIF('Detalle individual'!$B$5:$B$1000,"&lt;"&amp;'Detalle individual'!B83)+ROW()/10000,"")</f>
        <v/>
      </c>
      <c r="AI83">
        <f>IF('Detalle individual'!F83="Completado",COUNTIF('Detalle individual'!$D$5:$D$1000,"&lt;"&amp;'Detalle individual'!D83)*1000000+COUNTIF('Detalle individual'!$C$5:$C$1000,"&lt;"&amp;'Detalle individual'!C83)*1000+COUNTIF('Detalle individual'!$B$5:$B$1000,"&lt;"&amp;'Detalle individual'!B83)+ROW()/10000,"")</f>
        <v>925704888.0083</v>
      </c>
      <c r="AJ83" t="str">
        <f>IF(AND('Detalle individual'!F83&lt;&gt;"",'Detalle individual'!F83&lt;&gt;"Completado",'Detalle individual'!F83&lt;&gt;"Pendiente"),COUNTIF('Detalle individual'!$D$5:$D$1000,"&lt;"&amp;'Detalle individual'!D83)*1000000+COUNTIF('Detalle individual'!$C$5:$C$1000,"&lt;"&amp;'Detalle individual'!C83)*1000+COUNTIF('Detalle individual'!$B$5:$B$1000,"&lt;"&amp;'Detalle individual'!B83)+ROW()/10000,"")</f>
        <v/>
      </c>
      <c r="AK83">
        <f>IF(OR('Base Exámenes'!C83="",'Base Exámenes'!D83=""),"",IF(COUNTIF('Base Exámenes'!$C$5:C83,'Base Exámenes'!C83)=1,'Base Exámenes'!D83+ROW()/1000000000,""))</f>
        <v>46300.68642369213</v>
      </c>
      <c r="AL83">
        <f>IF(OR('Base Exámenes'!C83="",'Base Exámenes'!E83=""),"",IF(COUNTIF('Base Exámenes'!$C$5:C83,'Base Exámenes'!C83)=1,'Base Exámenes'!E83+ROW()/1000000000,""))</f>
        <v>46300.68836813657</v>
      </c>
      <c r="AM83">
        <f>IF(OR('Base Exámenes'!C83="",'Base Exámenes'!G83=""),"",IF(ROW()-4=MATCH('Base Exámenes'!C83&amp;"|"&amp;_xlfn.MAXIFS('Base Exámenes'!$G$5:$G$1000,'Base Exámenes'!$C$5:$C$1000,'Base Exámenes'!C83),'Base Exámenes'!$I$5:$I$1000,0),'Base Exámenes'!G83*1000000+(-1)*'Base Exámenes'!D83,""))</f>
        <v>99953699.3135764</v>
      </c>
      <c r="AO83" t="str">
        <f>IF('Consolidado por área'!G83="Completo",'Consolidado por área'!L83+ROW()/1000000000,"")</f>
        <v/>
      </c>
      <c r="AQ83" t="str">
        <f>IF('Base Exámenes'!C83="","",IF(COUNTIF('Base Exámenes'!$C$5:$C$1000,'Base Exámenes'!C83)&lt;2,"",MATCH('Base Exámenes'!C83,'Base Exámenes'!$C$5:$C$1000,0)*10000+ROW()))</f>
        <v/>
      </c>
      <c r="BF83" t="str">
        <f>IF(AND('Consolidado por área'!G83="Completo",LEFT(TRIM('Consolidado por área'!A83),7)="AGENCIA"),'Consolidado por área'!L83+ROW()/1000000000,"")</f>
        <v/>
      </c>
    </row>
    <row r="84">
      <c r="A84" t="str">
        <f>IF('Consolidado por área'!A59="","",TRIM('Consolidado por área'!A59))</f>
        <v/>
      </c>
      <c r="B84" t="str">
        <f>IF($A84="","",'Consolidado por área'!B59)</f>
        <v/>
      </c>
      <c r="C84" t="str">
        <f>IF($A84="","",'Consolidado por área'!C59)</f>
        <v/>
      </c>
      <c r="D84" t="str">
        <f>IF($A84="","",'Consolidado por área'!D59)</f>
        <v/>
      </c>
      <c r="E84" t="str">
        <f>IF($A84="","",'Consolidado por área'!E59)</f>
        <v/>
      </c>
      <c r="F84" t="str">
        <f>IF($A84="","",IF(C84&gt;0,D84/C84,0))</f>
        <v/>
      </c>
      <c r="G84" t="str">
        <f>IF($A84="","",F84*1000000+C84*10+(1000-ROW())/10000)</f>
        <v/>
      </c>
      <c r="H84" t="str">
        <f>IF($A84="","",'Consolidado por área'!H59)</f>
        <v/>
      </c>
      <c r="J84" t="n">
        <v>55</v>
      </c>
      <c r="K84" t="str">
        <f>IF(J84&gt;COUNT($G$30:$G$109),"",MATCH(LARGE($G$30:$G$109,J84),$G$30:$G$109,0))</f>
        <v/>
      </c>
      <c r="L84" t="str">
        <f>IF($K84="","",INDEX($A$30:$A$109,K84)&amp;"   "&amp;TEXT(INDEX($F$30:$F$109,K84),"0%"))</f>
        <v/>
      </c>
      <c r="M84" t="str">
        <f>IF($K84="","",INDEX($D$30:$D$109,K84))</f>
        <v/>
      </c>
      <c r="N84" t="str">
        <f>IF($K84="","",INDEX($E$30:$E$109,K84))</f>
        <v/>
      </c>
      <c r="O84" t="str">
        <f>IF($K84="","",INDEX($A$30:$A$109,K84))</f>
        <v/>
      </c>
      <c r="P84" t="str">
        <f>IF($K84="","",INDEX($B$30:$B$109,K84))</f>
        <v/>
      </c>
      <c r="Q84" t="str">
        <f>IF($K84="","",INDEX($C$30:$C$109,K84))</f>
        <v/>
      </c>
      <c r="R84" t="str">
        <f>IF($K84="","",INDEX($F$30:$F$109,K84))</f>
        <v/>
      </c>
      <c r="S84" t="str">
        <f>IF($K84="","",INDEX($H$30:$H$109,K84))</f>
        <v/>
      </c>
      <c r="T84" t="str">
        <f>IF($K84="","",IF(OR('Dashboard Gerencial'!$B$5="Todas las gerencias",P84='Dashboard Gerencial'!$B$5),ROW(),""))</f>
        <v/>
      </c>
      <c r="W84" t="str">
        <f>A108</f>
        <v/>
      </c>
      <c r="Z84">
        <f>IF('Detalle individual'!A84="","",IF(AND(OR('Estado por Colaborador'!$D$4="Todas las gerencias",'Detalle individual'!D84='Estado por Colaborador'!$D$4),OR('Estado por Colaborador'!$D$5="Todos los departamentos",TRIM('Detalle individual'!C84)='Estado por Colaborador'!$D$5),OR('Estado por Colaborador'!$D$6="Todos",'Detalle individual'!F84='Estado por Colaborador'!$D$6)),IF('Detalle individual'!F84="Completado",30000000,IF('Detalle individual'!F84="Pendiente",0,15000000))+COUNTIF('Detalle individual'!$C$5:$C$1000,"&lt;"&amp;'Detalle individual'!C84)*10000+ROW(),""))</f>
        <v>39640084</v>
      </c>
      <c r="AB84" t="str">
        <f>IF('Detalle individual'!C84="","",IF(COUNTIF('Detalle individual'!$C$5:C84,'Detalle individual'!C84)=1,COUNTIF('Detalle individual'!$C$5:$C$1000,"&lt;"&amp;'Detalle individual'!C84),""))</f>
        <v/>
      </c>
      <c r="AC84" t="str">
        <f>IF('Detalle individual'!D84="","",IF(COUNTIF('Detalle individual'!$D$5:D84,'Detalle individual'!D84)=1,COUNTIF('Detalle individual'!$D$5:$D$1000,"&lt;"&amp;'Detalle individual'!D84),""))</f>
        <v/>
      </c>
      <c r="AE84" t="str">
        <f>IFERROR(MATCH(SMALL($AB$5:$AB$1000,80),$AB$5:$AB$1000,0)+4,"")</f>
        <v/>
      </c>
      <c r="AH84" t="str">
        <f>IF('Detalle individual'!F84="Pendiente",COUNTIF('Detalle individual'!$D$5:$D$1000,"&lt;"&amp;'Detalle individual'!D84)*1000000+COUNTIF('Detalle individual'!$C$5:$C$1000,"&lt;"&amp;'Detalle individual'!C84)*1000+COUNTIF('Detalle individual'!$B$5:$B$1000,"&lt;"&amp;'Detalle individual'!B84)+ROW()/10000,"")</f>
        <v/>
      </c>
      <c r="AI84">
        <f>IF('Detalle individual'!F84="Completado",COUNTIF('Detalle individual'!$D$5:$D$1000,"&lt;"&amp;'Detalle individual'!D84)*1000000+COUNTIF('Detalle individual'!$C$5:$C$1000,"&lt;"&amp;'Detalle individual'!C84)*1000+COUNTIF('Detalle individual'!$B$5:$B$1000,"&lt;"&amp;'Detalle individual'!B84)+ROW()/10000,"")</f>
        <v>746964949.0084</v>
      </c>
      <c r="AJ84" t="str">
        <f>IF(AND('Detalle individual'!F84&lt;&gt;"",'Detalle individual'!F84&lt;&gt;"Completado",'Detalle individual'!F84&lt;&gt;"Pendiente"),COUNTIF('Detalle individual'!$D$5:$D$1000,"&lt;"&amp;'Detalle individual'!D84)*1000000+COUNTIF('Detalle individual'!$C$5:$C$1000,"&lt;"&amp;'Detalle individual'!C84)*1000+COUNTIF('Detalle individual'!$B$5:$B$1000,"&lt;"&amp;'Detalle individual'!B84)+ROW()/10000,"")</f>
        <v/>
      </c>
      <c r="AK84">
        <f>IF(OR('Base Exámenes'!C84="",'Base Exámenes'!D84=""),"",IF(COUNTIF('Base Exámenes'!$C$5:C84,'Base Exámenes'!C84)=1,'Base Exámenes'!D84+ROW()/1000000000,""))</f>
        <v>46300.68533572917</v>
      </c>
      <c r="AL84">
        <f>IF(OR('Base Exámenes'!C84="",'Base Exámenes'!E84=""),"",IF(COUNTIF('Base Exámenes'!$C$5:C84,'Base Exámenes'!C84)=1,'Base Exámenes'!E84+ROW()/1000000000,""))</f>
        <v>46300.696018599534</v>
      </c>
      <c r="AM84">
        <f>IF(OR('Base Exámenes'!C84="",'Base Exámenes'!G84=""),"",IF(ROW()-4=MATCH('Base Exámenes'!C84&amp;"|"&amp;_xlfn.MAXIFS('Base Exámenes'!$G$5:$G$1000,'Base Exámenes'!$C$5:$C$1000,'Base Exámenes'!C84),'Base Exámenes'!$I$5:$I$1000,0),'Base Exámenes'!G84*1000000+(-1)*'Base Exámenes'!D84,""))</f>
        <v>94953699.3146644</v>
      </c>
      <c r="AO84" t="str">
        <f>IF('Consolidado por área'!G84="Completo",'Consolidado por área'!L84+ROW()/1000000000,"")</f>
        <v/>
      </c>
      <c r="AQ84" t="str">
        <f>IF('Base Exámenes'!C84="","",IF(COUNTIF('Base Exámenes'!$C$5:$C$1000,'Base Exámenes'!C84)&lt;2,"",MATCH('Base Exámenes'!C84,'Base Exámenes'!$C$5:$C$1000,0)*10000+ROW()))</f>
        <v/>
      </c>
      <c r="BF84" t="str">
        <f>IF(AND('Consolidado por área'!G84="Completo",LEFT(TRIM('Consolidado por área'!A84),7)="AGENCIA"),'Consolidado por área'!L84+ROW()/1000000000,"")</f>
        <v/>
      </c>
    </row>
    <row r="85">
      <c r="A85" t="str">
        <f>IF('Consolidado por área'!A60="","",TRIM('Consolidado por área'!A60))</f>
        <v/>
      </c>
      <c r="B85" t="str">
        <f>IF($A85="","",'Consolidado por área'!B60)</f>
        <v/>
      </c>
      <c r="C85" t="str">
        <f>IF($A85="","",'Consolidado por área'!C60)</f>
        <v/>
      </c>
      <c r="D85" t="str">
        <f>IF($A85="","",'Consolidado por área'!D60)</f>
        <v/>
      </c>
      <c r="E85" t="str">
        <f>IF($A85="","",'Consolidado por área'!E60)</f>
        <v/>
      </c>
      <c r="F85" t="str">
        <f>IF($A85="","",IF(C85&gt;0,D85/C85,0))</f>
        <v/>
      </c>
      <c r="G85" t="str">
        <f>IF($A85="","",F85*1000000+C85*10+(1000-ROW())/10000)</f>
        <v/>
      </c>
      <c r="H85" t="str">
        <f>IF($A85="","",'Consolidado por área'!H60)</f>
        <v/>
      </c>
      <c r="J85" t="n">
        <v>56</v>
      </c>
      <c r="K85" t="str">
        <f>IF(J85&gt;COUNT($G$30:$G$109),"",MATCH(LARGE($G$30:$G$109,J85),$G$30:$G$109,0))</f>
        <v/>
      </c>
      <c r="L85" t="str">
        <f>IF($K85="","",INDEX($A$30:$A$109,K85)&amp;"   "&amp;TEXT(INDEX($F$30:$F$109,K85),"0%"))</f>
        <v/>
      </c>
      <c r="M85" t="str">
        <f>IF($K85="","",INDEX($D$30:$D$109,K85))</f>
        <v/>
      </c>
      <c r="N85" t="str">
        <f>IF($K85="","",INDEX($E$30:$E$109,K85))</f>
        <v/>
      </c>
      <c r="O85" t="str">
        <f>IF($K85="","",INDEX($A$30:$A$109,K85))</f>
        <v/>
      </c>
      <c r="P85" t="str">
        <f>IF($K85="","",INDEX($B$30:$B$109,K85))</f>
        <v/>
      </c>
      <c r="Q85" t="str">
        <f>IF($K85="","",INDEX($C$30:$C$109,K85))</f>
        <v/>
      </c>
      <c r="R85" t="str">
        <f>IF($K85="","",INDEX($F$30:$F$109,K85))</f>
        <v/>
      </c>
      <c r="S85" t="str">
        <f>IF($K85="","",INDEX($H$30:$H$109,K85))</f>
        <v/>
      </c>
      <c r="T85" t="str">
        <f>IF($K85="","",IF(OR('Dashboard Gerencial'!$B$5="Todas las gerencias",P85='Dashboard Gerencial'!$B$5),ROW(),""))</f>
        <v/>
      </c>
      <c r="W85" t="str">
        <f>A109</f>
        <v/>
      </c>
      <c r="Z85">
        <f>IF('Detalle individual'!A85="","",IF(AND(OR('Estado por Colaborador'!$D$4="Todas las gerencias",'Detalle individual'!D85='Estado por Colaborador'!$D$4),OR('Estado por Colaborador'!$D$5="Todos los departamentos",TRIM('Detalle individual'!C85)='Estado por Colaborador'!$D$5),OR('Estado por Colaborador'!$D$6="Todos",'Detalle individual'!F85='Estado por Colaborador'!$D$6)),IF('Detalle individual'!F85="Completado",30000000,IF('Detalle individual'!F85="Pendiente",0,15000000))+COUNTIF('Detalle individual'!$C$5:$C$1000,"&lt;"&amp;'Detalle individual'!C85)*10000+ROW(),""))</f>
        <v>38460085</v>
      </c>
      <c r="AB85">
        <f>IF('Detalle individual'!C85="","",IF(COUNTIF('Detalle individual'!$C$5:C85,'Detalle individual'!C85)=1,COUNTIF('Detalle individual'!$C$5:$C$1000,"&lt;"&amp;'Detalle individual'!C85),""))</f>
        <v>846</v>
      </c>
      <c r="AC85" t="str">
        <f>IF('Detalle individual'!D85="","",IF(COUNTIF('Detalle individual'!$D$5:D85,'Detalle individual'!D85)=1,COUNTIF('Detalle individual'!$D$5:$D$1000,"&lt;"&amp;'Detalle individual'!D85),""))</f>
        <v/>
      </c>
      <c r="AH85" t="str">
        <f>IF('Detalle individual'!F85="Pendiente",COUNTIF('Detalle individual'!$D$5:$D$1000,"&lt;"&amp;'Detalle individual'!D85)*1000000+COUNTIF('Detalle individual'!$C$5:$C$1000,"&lt;"&amp;'Detalle individual'!C85)*1000+COUNTIF('Detalle individual'!$B$5:$B$1000,"&lt;"&amp;'Detalle individual'!B85)+ROW()/10000,"")</f>
        <v/>
      </c>
      <c r="AI85">
        <f>IF('Detalle individual'!F85="Completado",COUNTIF('Detalle individual'!$D$5:$D$1000,"&lt;"&amp;'Detalle individual'!D85)*1000000+COUNTIF('Detalle individual'!$C$5:$C$1000,"&lt;"&amp;'Detalle individual'!C85)*1000+COUNTIF('Detalle individual'!$B$5:$B$1000,"&lt;"&amp;'Detalle individual'!B85)+ROW()/10000,"")</f>
        <v>746846962.0085</v>
      </c>
      <c r="AJ85" t="str">
        <f>IF(AND('Detalle individual'!F85&lt;&gt;"",'Detalle individual'!F85&lt;&gt;"Completado",'Detalle individual'!F85&lt;&gt;"Pendiente"),COUNTIF('Detalle individual'!$D$5:$D$1000,"&lt;"&amp;'Detalle individual'!D85)*1000000+COUNTIF('Detalle individual'!$C$5:$C$1000,"&lt;"&amp;'Detalle individual'!C85)*1000+COUNTIF('Detalle individual'!$B$5:$B$1000,"&lt;"&amp;'Detalle individual'!B85)+ROW()/10000,"")</f>
        <v/>
      </c>
      <c r="AK85">
        <f>IF(OR('Base Exámenes'!C85="",'Base Exámenes'!D85=""),"",IF(COUNTIF('Base Exámenes'!$C$5:C85,'Base Exámenes'!C85)=1,'Base Exámenes'!D85+ROW()/1000000000,""))</f>
        <v>46300.702141284724</v>
      </c>
      <c r="AL85">
        <f>IF(OR('Base Exámenes'!C85="",'Base Exámenes'!E85=""),"",IF(COUNTIF('Base Exámenes'!$C$5:C85,'Base Exámenes'!C85)=1,'Base Exámenes'!E85+ROW()/1000000000,""))</f>
        <v>46300.70883109954</v>
      </c>
      <c r="AM85">
        <f>IF(OR('Base Exámenes'!C85="",'Base Exámenes'!G85=""),"",IF(ROW()-4=MATCH('Base Exámenes'!C85&amp;"|"&amp;_xlfn.MAXIFS('Base Exámenes'!$G$5:$G$1000,'Base Exámenes'!$C$5:$C$1000,'Base Exámenes'!C85),'Base Exámenes'!$I$5:$I$1000,0),'Base Exámenes'!G85*1000000+(-1)*'Base Exámenes'!D85,""))</f>
        <v>59953699.2978588</v>
      </c>
      <c r="AQ85" t="str">
        <f>IF('Base Exámenes'!C85="","",IF(COUNTIF('Base Exámenes'!$C$5:$C$1000,'Base Exámenes'!C85)&lt;2,"",MATCH('Base Exámenes'!C85,'Base Exámenes'!$C$5:$C$1000,0)*10000+ROW()))</f>
        <v/>
      </c>
    </row>
    <row r="86">
      <c r="A86" t="str">
        <f>IF('Consolidado por área'!A61="","",TRIM('Consolidado por área'!A61))</f>
        <v/>
      </c>
      <c r="B86" t="str">
        <f>IF($A86="","",'Consolidado por área'!B61)</f>
        <v/>
      </c>
      <c r="C86" t="str">
        <f>IF($A86="","",'Consolidado por área'!C61)</f>
        <v/>
      </c>
      <c r="D86" t="str">
        <f>IF($A86="","",'Consolidado por área'!D61)</f>
        <v/>
      </c>
      <c r="E86" t="str">
        <f>IF($A86="","",'Consolidado por área'!E61)</f>
        <v/>
      </c>
      <c r="F86" t="str">
        <f>IF($A86="","",IF(C86&gt;0,D86/C86,0))</f>
        <v/>
      </c>
      <c r="G86" t="str">
        <f>IF($A86="","",F86*1000000+C86*10+(1000-ROW())/10000)</f>
        <v/>
      </c>
      <c r="H86" t="str">
        <f>IF($A86="","",'Consolidado por área'!H61)</f>
        <v/>
      </c>
      <c r="J86" t="n">
        <v>57</v>
      </c>
      <c r="K86" t="str">
        <f>IF(J86&gt;COUNT($G$30:$G$109),"",MATCH(LARGE($G$30:$G$109,J86),$G$30:$G$109,0))</f>
        <v/>
      </c>
      <c r="L86" t="str">
        <f>IF($K86="","",INDEX($A$30:$A$109,K86)&amp;"   "&amp;TEXT(INDEX($F$30:$F$109,K86),"0%"))</f>
        <v/>
      </c>
      <c r="M86" t="str">
        <f>IF($K86="","",INDEX($D$30:$D$109,K86))</f>
        <v/>
      </c>
      <c r="N86" t="str">
        <f>IF($K86="","",INDEX($E$30:$E$109,K86))</f>
        <v/>
      </c>
      <c r="O86" t="str">
        <f>IF($K86="","",INDEX($A$30:$A$109,K86))</f>
        <v/>
      </c>
      <c r="P86" t="str">
        <f>IF($K86="","",INDEX($B$30:$B$109,K86))</f>
        <v/>
      </c>
      <c r="Q86" t="str">
        <f>IF($K86="","",INDEX($C$30:$C$109,K86))</f>
        <v/>
      </c>
      <c r="R86" t="str">
        <f>IF($K86="","",INDEX($F$30:$F$109,K86))</f>
        <v/>
      </c>
      <c r="S86" t="str">
        <f>IF($K86="","",INDEX($H$30:$H$109,K86))</f>
        <v/>
      </c>
      <c r="T86" t="str">
        <f>IF($K86="","",IF(OR('Dashboard Gerencial'!$B$5="Todas las gerencias",P86='Dashboard Gerencial'!$B$5),ROW(),""))</f>
        <v/>
      </c>
      <c r="Z86">
        <f>IF('Detalle individual'!A86="","",IF(AND(OR('Estado por Colaborador'!$D$4="Todas las gerencias",'Detalle individual'!D86='Estado por Colaborador'!$D$4),OR('Estado por Colaborador'!$D$5="Todos los departamentos",TRIM('Detalle individual'!C86)='Estado por Colaborador'!$D$5),OR('Estado por Colaborador'!$D$6="Todos",'Detalle individual'!F86='Estado por Colaborador'!$D$6)),IF('Detalle individual'!F86="Completado",30000000,IF('Detalle individual'!F86="Pendiente",0,15000000))+COUNTIF('Detalle individual'!$C$5:$C$1000,"&lt;"&amp;'Detalle individual'!C86)*10000+ROW(),""))</f>
        <v>38460086</v>
      </c>
      <c r="AB86" t="str">
        <f>IF('Detalle individual'!C86="","",IF(COUNTIF('Detalle individual'!$C$5:C86,'Detalle individual'!C86)=1,COUNTIF('Detalle individual'!$C$5:$C$1000,"&lt;"&amp;'Detalle individual'!C86),""))</f>
        <v/>
      </c>
      <c r="AC86" t="str">
        <f>IF('Detalle individual'!D86="","",IF(COUNTIF('Detalle individual'!$D$5:D86,'Detalle individual'!D86)=1,COUNTIF('Detalle individual'!$D$5:$D$1000,"&lt;"&amp;'Detalle individual'!D86),""))</f>
        <v/>
      </c>
      <c r="AH86" t="str">
        <f>IF('Detalle individual'!F86="Pendiente",COUNTIF('Detalle individual'!$D$5:$D$1000,"&lt;"&amp;'Detalle individual'!D86)*1000000+COUNTIF('Detalle individual'!$C$5:$C$1000,"&lt;"&amp;'Detalle individual'!C86)*1000+COUNTIF('Detalle individual'!$B$5:$B$1000,"&lt;"&amp;'Detalle individual'!B86)+ROW()/10000,"")</f>
        <v/>
      </c>
      <c r="AI86">
        <f>IF('Detalle individual'!F86="Completado",COUNTIF('Detalle individual'!$D$5:$D$1000,"&lt;"&amp;'Detalle individual'!D86)*1000000+COUNTIF('Detalle individual'!$C$5:$C$1000,"&lt;"&amp;'Detalle individual'!C86)*1000+COUNTIF('Detalle individual'!$B$5:$B$1000,"&lt;"&amp;'Detalle individual'!B86)+ROW()/10000,"")</f>
        <v>746846757.0086</v>
      </c>
      <c r="AJ86" t="str">
        <f>IF(AND('Detalle individual'!F86&lt;&gt;"",'Detalle individual'!F86&lt;&gt;"Completado",'Detalle individual'!F86&lt;&gt;"Pendiente"),COUNTIF('Detalle individual'!$D$5:$D$1000,"&lt;"&amp;'Detalle individual'!D86)*1000000+COUNTIF('Detalle individual'!$C$5:$C$1000,"&lt;"&amp;'Detalle individual'!C86)*1000+COUNTIF('Detalle individual'!$B$5:$B$1000,"&lt;"&amp;'Detalle individual'!B86)+ROW()/10000,"")</f>
        <v/>
      </c>
      <c r="AK86">
        <f>IF(OR('Base Exámenes'!C86="",'Base Exámenes'!D86=""),"",IF(COUNTIF('Base Exámenes'!$C$5:C86,'Base Exámenes'!C86)=1,'Base Exámenes'!D86+ROW()/1000000000,""))</f>
        <v>46300.74192137732</v>
      </c>
      <c r="AL86">
        <f>IF(OR('Base Exámenes'!C86="",'Base Exámenes'!E86=""),"",IF(COUNTIF('Base Exámenes'!$C$5:C86,'Base Exámenes'!C86)=1,'Base Exámenes'!E86+ROW()/1000000000,""))</f>
        <v>46300.748703784724</v>
      </c>
      <c r="AM86">
        <f>IF(OR('Base Exámenes'!C86="",'Base Exámenes'!G86=""),"",IF(ROW()-4=MATCH('Base Exámenes'!C86&amp;"|"&amp;_xlfn.MAXIFS('Base Exámenes'!$G$5:$G$1000,'Base Exámenes'!$C$5:$C$1000,'Base Exámenes'!C86),'Base Exámenes'!$I$5:$I$1000,0),'Base Exámenes'!G86*1000000+(-1)*'Base Exámenes'!D86,""))</f>
        <v>99953699.2580787</v>
      </c>
      <c r="AQ86" t="str">
        <f>IF('Base Exámenes'!C86="","",IF(COUNTIF('Base Exámenes'!$C$5:$C$1000,'Base Exámenes'!C86)&lt;2,"",MATCH('Base Exámenes'!C86,'Base Exámenes'!$C$5:$C$1000,0)*10000+ROW()))</f>
        <v/>
      </c>
    </row>
    <row r="87">
      <c r="A87" t="str">
        <f>IF('Consolidado por área'!A62="","",TRIM('Consolidado por área'!A62))</f>
        <v/>
      </c>
      <c r="B87" t="str">
        <f>IF($A87="","",'Consolidado por área'!B62)</f>
        <v/>
      </c>
      <c r="C87" t="str">
        <f>IF($A87="","",'Consolidado por área'!C62)</f>
        <v/>
      </c>
      <c r="D87" t="str">
        <f>IF($A87="","",'Consolidado por área'!D62)</f>
        <v/>
      </c>
      <c r="E87" t="str">
        <f>IF($A87="","",'Consolidado por área'!E62)</f>
        <v/>
      </c>
      <c r="F87" t="str">
        <f>IF($A87="","",IF(C87&gt;0,D87/C87,0))</f>
        <v/>
      </c>
      <c r="G87" t="str">
        <f>IF($A87="","",F87*1000000+C87*10+(1000-ROW())/10000)</f>
        <v/>
      </c>
      <c r="H87" t="str">
        <f>IF($A87="","",'Consolidado por área'!H62)</f>
        <v/>
      </c>
      <c r="J87" t="n">
        <v>58</v>
      </c>
      <c r="K87" t="str">
        <f>IF(J87&gt;COUNT($G$30:$G$109),"",MATCH(LARGE($G$30:$G$109,J87),$G$30:$G$109,0))</f>
        <v/>
      </c>
      <c r="L87" t="str">
        <f>IF($K87="","",INDEX($A$30:$A$109,K87)&amp;"   "&amp;TEXT(INDEX($F$30:$F$109,K87),"0%"))</f>
        <v/>
      </c>
      <c r="M87" t="str">
        <f>IF($K87="","",INDEX($D$30:$D$109,K87))</f>
        <v/>
      </c>
      <c r="N87" t="str">
        <f>IF($K87="","",INDEX($E$30:$E$109,K87))</f>
        <v/>
      </c>
      <c r="O87" t="str">
        <f>IF($K87="","",INDEX($A$30:$A$109,K87))</f>
        <v/>
      </c>
      <c r="P87" t="str">
        <f>IF($K87="","",INDEX($B$30:$B$109,K87))</f>
        <v/>
      </c>
      <c r="Q87" t="str">
        <f>IF($K87="","",INDEX($C$30:$C$109,K87))</f>
        <v/>
      </c>
      <c r="R87" t="str">
        <f>IF($K87="","",INDEX($F$30:$F$109,K87))</f>
        <v/>
      </c>
      <c r="S87" t="str">
        <f>IF($K87="","",INDEX($H$30:$H$109,K87))</f>
        <v/>
      </c>
      <c r="T87" t="str">
        <f>IF($K87="","",IF(OR('Dashboard Gerencial'!$B$5="Todas las gerencias",P87='Dashboard Gerencial'!$B$5),ROW(),""))</f>
        <v/>
      </c>
      <c r="Z87">
        <f>IF('Detalle individual'!A87="","",IF(AND(OR('Estado por Colaborador'!$D$4="Todas las gerencias",'Detalle individual'!D87='Estado por Colaborador'!$D$4),OR('Estado por Colaborador'!$D$5="Todos los departamentos",TRIM('Detalle individual'!C87)='Estado por Colaborador'!$D$5),OR('Estado por Colaborador'!$D$6="Todos",'Detalle individual'!F87='Estado por Colaborador'!$D$6)),IF('Detalle individual'!F87="Completado",30000000,IF('Detalle individual'!F87="Pendiente",0,15000000))+COUNTIF('Detalle individual'!$C$5:$C$1000,"&lt;"&amp;'Detalle individual'!C87)*10000+ROW(),""))</f>
        <v>38460087</v>
      </c>
      <c r="AB87" t="str">
        <f>IF('Detalle individual'!C87="","",IF(COUNTIF('Detalle individual'!$C$5:C87,'Detalle individual'!C87)=1,COUNTIF('Detalle individual'!$C$5:$C$1000,"&lt;"&amp;'Detalle individual'!C87),""))</f>
        <v/>
      </c>
      <c r="AC87" t="str">
        <f>IF('Detalle individual'!D87="","",IF(COUNTIF('Detalle individual'!$D$5:D87,'Detalle individual'!D87)=1,COUNTIF('Detalle individual'!$D$5:$D$1000,"&lt;"&amp;'Detalle individual'!D87),""))</f>
        <v/>
      </c>
      <c r="AH87" t="str">
        <f>IF('Detalle individual'!F87="Pendiente",COUNTIF('Detalle individual'!$D$5:$D$1000,"&lt;"&amp;'Detalle individual'!D87)*1000000+COUNTIF('Detalle individual'!$C$5:$C$1000,"&lt;"&amp;'Detalle individual'!C87)*1000+COUNTIF('Detalle individual'!$B$5:$B$1000,"&lt;"&amp;'Detalle individual'!B87)+ROW()/10000,"")</f>
        <v/>
      </c>
      <c r="AI87">
        <f>IF('Detalle individual'!F87="Completado",COUNTIF('Detalle individual'!$D$5:$D$1000,"&lt;"&amp;'Detalle individual'!D87)*1000000+COUNTIF('Detalle individual'!$C$5:$C$1000,"&lt;"&amp;'Detalle individual'!C87)*1000+COUNTIF('Detalle individual'!$B$5:$B$1000,"&lt;"&amp;'Detalle individual'!B87)+ROW()/10000,"")</f>
        <v>746846917.0087</v>
      </c>
      <c r="AJ87" t="str">
        <f>IF(AND('Detalle individual'!F87&lt;&gt;"",'Detalle individual'!F87&lt;&gt;"Completado",'Detalle individual'!F87&lt;&gt;"Pendiente"),COUNTIF('Detalle individual'!$D$5:$D$1000,"&lt;"&amp;'Detalle individual'!D87)*1000000+COUNTIF('Detalle individual'!$C$5:$C$1000,"&lt;"&amp;'Detalle individual'!C87)*1000+COUNTIF('Detalle individual'!$B$5:$B$1000,"&lt;"&amp;'Detalle individual'!B87)+ROW()/10000,"")</f>
        <v/>
      </c>
      <c r="AK87">
        <f>IF(OR('Base Exámenes'!C87="",'Base Exámenes'!D87=""),"",IF(COUNTIF('Base Exámenes'!$C$5:C87,'Base Exámenes'!C87)=1,'Base Exámenes'!D87+ROW()/1000000000,""))</f>
        <v>46300.80671305556</v>
      </c>
      <c r="AL87">
        <f>IF(OR('Base Exámenes'!C87="",'Base Exámenes'!E87=""),"",IF(COUNTIF('Base Exámenes'!$C$5:C87,'Base Exámenes'!C87)=1,'Base Exámenes'!E87+ROW()/1000000000,""))</f>
        <v>46300.81421305556</v>
      </c>
      <c r="AM87">
        <f>IF(OR('Base Exámenes'!C87="",'Base Exámenes'!G87=""),"",IF(ROW()-4=MATCH('Base Exámenes'!C87&amp;"|"&amp;_xlfn.MAXIFS('Base Exámenes'!$G$5:$G$1000,'Base Exámenes'!$C$5:$C$1000,'Base Exámenes'!C87),'Base Exámenes'!$I$5:$I$1000,0),'Base Exámenes'!G87*1000000+(-1)*'Base Exámenes'!D87,""))</f>
        <v>89953699.193287</v>
      </c>
      <c r="AQ87" t="str">
        <f>IF('Base Exámenes'!C87="","",IF(COUNTIF('Base Exámenes'!$C$5:$C$1000,'Base Exámenes'!C87)&lt;2,"",MATCH('Base Exámenes'!C87,'Base Exámenes'!$C$5:$C$1000,0)*10000+ROW()))</f>
        <v/>
      </c>
    </row>
    <row r="88">
      <c r="A88" t="str">
        <f>IF('Consolidado por área'!A63="","",TRIM('Consolidado por área'!A63))</f>
        <v/>
      </c>
      <c r="B88" t="str">
        <f>IF($A88="","",'Consolidado por área'!B63)</f>
        <v/>
      </c>
      <c r="C88" t="str">
        <f>IF($A88="","",'Consolidado por área'!C63)</f>
        <v/>
      </c>
      <c r="D88" t="str">
        <f>IF($A88="","",'Consolidado por área'!D63)</f>
        <v/>
      </c>
      <c r="E88" t="str">
        <f>IF($A88="","",'Consolidado por área'!E63)</f>
        <v/>
      </c>
      <c r="F88" t="str">
        <f>IF($A88="","",IF(C88&gt;0,D88/C88,0))</f>
        <v/>
      </c>
      <c r="G88" t="str">
        <f>IF($A88="","",F88*1000000+C88*10+(1000-ROW())/10000)</f>
        <v/>
      </c>
      <c r="H88" t="str">
        <f>IF($A88="","",'Consolidado por área'!H63)</f>
        <v/>
      </c>
      <c r="J88" t="n">
        <v>59</v>
      </c>
      <c r="K88" t="str">
        <f>IF(J88&gt;COUNT($G$30:$G$109),"",MATCH(LARGE($G$30:$G$109,J88),$G$30:$G$109,0))</f>
        <v/>
      </c>
      <c r="L88" t="str">
        <f>IF($K88="","",INDEX($A$30:$A$109,K88)&amp;"   "&amp;TEXT(INDEX($F$30:$F$109,K88),"0%"))</f>
        <v/>
      </c>
      <c r="M88" t="str">
        <f>IF($K88="","",INDEX($D$30:$D$109,K88))</f>
        <v/>
      </c>
      <c r="N88" t="str">
        <f>IF($K88="","",INDEX($E$30:$E$109,K88))</f>
        <v/>
      </c>
      <c r="O88" t="str">
        <f>IF($K88="","",INDEX($A$30:$A$109,K88))</f>
        <v/>
      </c>
      <c r="P88" t="str">
        <f>IF($K88="","",INDEX($B$30:$B$109,K88))</f>
        <v/>
      </c>
      <c r="Q88" t="str">
        <f>IF($K88="","",INDEX($C$30:$C$109,K88))</f>
        <v/>
      </c>
      <c r="R88" t="str">
        <f>IF($K88="","",INDEX($F$30:$F$109,K88))</f>
        <v/>
      </c>
      <c r="S88" t="str">
        <f>IF($K88="","",INDEX($H$30:$H$109,K88))</f>
        <v/>
      </c>
      <c r="T88" t="str">
        <f>IF($K88="","",IF(OR('Dashboard Gerencial'!$B$5="Todas las gerencias",P88='Dashboard Gerencial'!$B$5),ROW(),""))</f>
        <v/>
      </c>
      <c r="Z88">
        <f>IF('Detalle individual'!A88="","",IF(AND(OR('Estado por Colaborador'!$D$4="Todas las gerencias",'Detalle individual'!D88='Estado por Colaborador'!$D$4),OR('Estado por Colaborador'!$D$5="Todos los departamentos",TRIM('Detalle individual'!C88)='Estado por Colaborador'!$D$5),OR('Estado por Colaborador'!$D$6="Todos",'Detalle individual'!F88='Estado por Colaborador'!$D$6)),IF('Detalle individual'!F88="Completado",30000000,IF('Detalle individual'!F88="Pendiente",0,15000000))+COUNTIF('Detalle individual'!$C$5:$C$1000,"&lt;"&amp;'Detalle individual'!C88)*10000+ROW(),""))</f>
        <v>38460088</v>
      </c>
      <c r="AB88" t="str">
        <f>IF('Detalle individual'!C88="","",IF(COUNTIF('Detalle individual'!$C$5:C88,'Detalle individual'!C88)=1,COUNTIF('Detalle individual'!$C$5:$C$1000,"&lt;"&amp;'Detalle individual'!C88),""))</f>
        <v/>
      </c>
      <c r="AC88" t="str">
        <f>IF('Detalle individual'!D88="","",IF(COUNTIF('Detalle individual'!$D$5:D88,'Detalle individual'!D88)=1,COUNTIF('Detalle individual'!$D$5:$D$1000,"&lt;"&amp;'Detalle individual'!D88),""))</f>
        <v/>
      </c>
      <c r="AH88" t="str">
        <f>IF('Detalle individual'!F88="Pendiente",COUNTIF('Detalle individual'!$D$5:$D$1000,"&lt;"&amp;'Detalle individual'!D88)*1000000+COUNTIF('Detalle individual'!$C$5:$C$1000,"&lt;"&amp;'Detalle individual'!C88)*1000+COUNTIF('Detalle individual'!$B$5:$B$1000,"&lt;"&amp;'Detalle individual'!B88)+ROW()/10000,"")</f>
        <v/>
      </c>
      <c r="AI88">
        <f>IF('Detalle individual'!F88="Completado",COUNTIF('Detalle individual'!$D$5:$D$1000,"&lt;"&amp;'Detalle individual'!D88)*1000000+COUNTIF('Detalle individual'!$C$5:$C$1000,"&lt;"&amp;'Detalle individual'!C88)*1000+COUNTIF('Detalle individual'!$B$5:$B$1000,"&lt;"&amp;'Detalle individual'!B88)+ROW()/10000,"")</f>
        <v>746846975.0088</v>
      </c>
      <c r="AJ88" t="str">
        <f>IF(AND('Detalle individual'!F88&lt;&gt;"",'Detalle individual'!F88&lt;&gt;"Completado",'Detalle individual'!F88&lt;&gt;"Pendiente"),COUNTIF('Detalle individual'!$D$5:$D$1000,"&lt;"&amp;'Detalle individual'!D88)*1000000+COUNTIF('Detalle individual'!$C$5:$C$1000,"&lt;"&amp;'Detalle individual'!C88)*1000+COUNTIF('Detalle individual'!$B$5:$B$1000,"&lt;"&amp;'Detalle individual'!B88)+ROW()/10000,"")</f>
        <v/>
      </c>
      <c r="AK88">
        <f>IF(OR('Base Exámenes'!C88="",'Base Exámenes'!D88=""),"",IF(COUNTIF('Base Exámenes'!$C$5:C88,'Base Exámenes'!C88)=1,'Base Exámenes'!D88+ROW()/1000000000,""))</f>
        <v>46301.425810277775</v>
      </c>
      <c r="AL88">
        <f>IF(OR('Base Exámenes'!C88="",'Base Exámenes'!E88=""),"",IF(COUNTIF('Base Exámenes'!$C$5:C88,'Base Exámenes'!C88)=1,'Base Exámenes'!E88+ROW()/1000000000,""))</f>
        <v>46301.43233805556</v>
      </c>
      <c r="AM88">
        <f>IF(OR('Base Exámenes'!C88="",'Base Exámenes'!G88=""),"",IF(ROW()-4=MATCH('Base Exámenes'!C88&amp;"|"&amp;_xlfn.MAXIFS('Base Exámenes'!$G$5:$G$1000,'Base Exámenes'!$C$5:$C$1000,'Base Exámenes'!C88),'Base Exámenes'!$I$5:$I$1000,0),'Base Exámenes'!G88*1000000+(-1)*'Base Exámenes'!D88,""))</f>
        <v>99953698.5741898</v>
      </c>
      <c r="AQ88" t="str">
        <f>IF('Base Exámenes'!C88="","",IF(COUNTIF('Base Exámenes'!$C$5:$C$1000,'Base Exámenes'!C88)&lt;2,"",MATCH('Base Exámenes'!C88,'Base Exámenes'!$C$5:$C$1000,0)*10000+ROW()))</f>
        <v/>
      </c>
    </row>
    <row r="89">
      <c r="A89" t="str">
        <f>IF('Consolidado por área'!A64="","",TRIM('Consolidado por área'!A64))</f>
        <v/>
      </c>
      <c r="B89" t="str">
        <f>IF($A89="","",'Consolidado por área'!B64)</f>
        <v/>
      </c>
      <c r="C89" t="str">
        <f>IF($A89="","",'Consolidado por área'!C64)</f>
        <v/>
      </c>
      <c r="D89" t="str">
        <f>IF($A89="","",'Consolidado por área'!D64)</f>
        <v/>
      </c>
      <c r="E89" t="str">
        <f>IF($A89="","",'Consolidado por área'!E64)</f>
        <v/>
      </c>
      <c r="F89" t="str">
        <f>IF($A89="","",IF(C89&gt;0,D89/C89,0))</f>
        <v/>
      </c>
      <c r="G89" t="str">
        <f>IF($A89="","",F89*1000000+C89*10+(1000-ROW())/10000)</f>
        <v/>
      </c>
      <c r="H89" t="str">
        <f>IF($A89="","",'Consolidado por área'!H64)</f>
        <v/>
      </c>
      <c r="J89" t="n">
        <v>60</v>
      </c>
      <c r="K89" t="str">
        <f>IF(J89&gt;COUNT($G$30:$G$109),"",MATCH(LARGE($G$30:$G$109,J89),$G$30:$G$109,0))</f>
        <v/>
      </c>
      <c r="L89" t="str">
        <f>IF($K89="","",INDEX($A$30:$A$109,K89)&amp;"   "&amp;TEXT(INDEX($F$30:$F$109,K89),"0%"))</f>
        <v/>
      </c>
      <c r="M89" t="str">
        <f>IF($K89="","",INDEX($D$30:$D$109,K89))</f>
        <v/>
      </c>
      <c r="N89" t="str">
        <f>IF($K89="","",INDEX($E$30:$E$109,K89))</f>
        <v/>
      </c>
      <c r="O89" t="str">
        <f>IF($K89="","",INDEX($A$30:$A$109,K89))</f>
        <v/>
      </c>
      <c r="P89" t="str">
        <f>IF($K89="","",INDEX($B$30:$B$109,K89))</f>
        <v/>
      </c>
      <c r="Q89" t="str">
        <f>IF($K89="","",INDEX($C$30:$C$109,K89))</f>
        <v/>
      </c>
      <c r="R89" t="str">
        <f>IF($K89="","",INDEX($F$30:$F$109,K89))</f>
        <v/>
      </c>
      <c r="S89" t="str">
        <f>IF($K89="","",INDEX($H$30:$H$109,K89))</f>
        <v/>
      </c>
      <c r="T89" t="str">
        <f>IF($K89="","",IF(OR('Dashboard Gerencial'!$B$5="Todas las gerencias",P89='Dashboard Gerencial'!$B$5),ROW(),""))</f>
        <v/>
      </c>
      <c r="Z89">
        <f>IF('Detalle individual'!A89="","",IF(AND(OR('Estado por Colaborador'!$D$4="Todas las gerencias",'Detalle individual'!D89='Estado por Colaborador'!$D$4),OR('Estado por Colaborador'!$D$5="Todos los departamentos",TRIM('Detalle individual'!C89)='Estado por Colaborador'!$D$5),OR('Estado por Colaborador'!$D$6="Todos",'Detalle individual'!F89='Estado por Colaborador'!$D$6)),IF('Detalle individual'!F89="Completado",30000000,IF('Detalle individual'!F89="Pendiente",0,15000000))+COUNTIF('Detalle individual'!$C$5:$C$1000,"&lt;"&amp;'Detalle individual'!C89)*10000+ROW(),""))</f>
        <v>38460089</v>
      </c>
      <c r="AB89" t="str">
        <f>IF('Detalle individual'!C89="","",IF(COUNTIF('Detalle individual'!$C$5:C89,'Detalle individual'!C89)=1,COUNTIF('Detalle individual'!$C$5:$C$1000,"&lt;"&amp;'Detalle individual'!C89),""))</f>
        <v/>
      </c>
      <c r="AC89" t="str">
        <f>IF('Detalle individual'!D89="","",IF(COUNTIF('Detalle individual'!$D$5:D89,'Detalle individual'!D89)=1,COUNTIF('Detalle individual'!$D$5:$D$1000,"&lt;"&amp;'Detalle individual'!D89),""))</f>
        <v/>
      </c>
      <c r="AH89" t="str">
        <f>IF('Detalle individual'!F89="Pendiente",COUNTIF('Detalle individual'!$D$5:$D$1000,"&lt;"&amp;'Detalle individual'!D89)*1000000+COUNTIF('Detalle individual'!$C$5:$C$1000,"&lt;"&amp;'Detalle individual'!C89)*1000+COUNTIF('Detalle individual'!$B$5:$B$1000,"&lt;"&amp;'Detalle individual'!B89)+ROW()/10000,"")</f>
        <v/>
      </c>
      <c r="AI89">
        <f>IF('Detalle individual'!F89="Completado",COUNTIF('Detalle individual'!$D$5:$D$1000,"&lt;"&amp;'Detalle individual'!D89)*1000000+COUNTIF('Detalle individual'!$C$5:$C$1000,"&lt;"&amp;'Detalle individual'!C89)*1000+COUNTIF('Detalle individual'!$B$5:$B$1000,"&lt;"&amp;'Detalle individual'!B89)+ROW()/10000,"")</f>
        <v>746846932.0089</v>
      </c>
      <c r="AJ89" t="str">
        <f>IF(AND('Detalle individual'!F89&lt;&gt;"",'Detalle individual'!F89&lt;&gt;"Completado",'Detalle individual'!F89&lt;&gt;"Pendiente"),COUNTIF('Detalle individual'!$D$5:$D$1000,"&lt;"&amp;'Detalle individual'!D89)*1000000+COUNTIF('Detalle individual'!$C$5:$C$1000,"&lt;"&amp;'Detalle individual'!C89)*1000+COUNTIF('Detalle individual'!$B$5:$B$1000,"&lt;"&amp;'Detalle individual'!B89)+ROW()/10000,"")</f>
        <v/>
      </c>
      <c r="AK89">
        <f>IF(OR('Base Exámenes'!C89="",'Base Exámenes'!D89=""),"",IF(COUNTIF('Base Exámenes'!$C$5:C89,'Base Exámenes'!C89)=1,'Base Exámenes'!D89+ROW()/1000000000,""))</f>
        <v>46301.42473388889</v>
      </c>
      <c r="AL89">
        <f>IF(OR('Base Exámenes'!C89="",'Base Exámenes'!E89=""),"",IF(COUNTIF('Base Exámenes'!$C$5:C89,'Base Exámenes'!C89)=1,'Base Exámenes'!E89+ROW()/1000000000,""))</f>
        <v>46301.43652787037</v>
      </c>
      <c r="AM89">
        <f>IF(OR('Base Exámenes'!C89="",'Base Exámenes'!G89=""),"",IF(ROW()-4=MATCH('Base Exámenes'!C89&amp;"|"&amp;_xlfn.MAXIFS('Base Exámenes'!$G$5:$G$1000,'Base Exámenes'!$C$5:$C$1000,'Base Exámenes'!C89),'Base Exámenes'!$I$5:$I$1000,0),'Base Exámenes'!G89*1000000+(-1)*'Base Exámenes'!D89,""))</f>
        <v>99953698.5752662</v>
      </c>
      <c r="AQ89" t="str">
        <f>IF('Base Exámenes'!C89="","",IF(COUNTIF('Base Exámenes'!$C$5:$C$1000,'Base Exámenes'!C89)&lt;2,"",MATCH('Base Exámenes'!C89,'Base Exámenes'!$C$5:$C$1000,0)*10000+ROW()))</f>
        <v/>
      </c>
    </row>
    <row r="90">
      <c r="A90" t="str">
        <f>IF('Consolidado por área'!A65="","",TRIM('Consolidado por área'!A65))</f>
        <v/>
      </c>
      <c r="B90" t="str">
        <f>IF($A90="","",'Consolidado por área'!B65)</f>
        <v/>
      </c>
      <c r="C90" t="str">
        <f>IF($A90="","",'Consolidado por área'!C65)</f>
        <v/>
      </c>
      <c r="D90" t="str">
        <f>IF($A90="","",'Consolidado por área'!D65)</f>
        <v/>
      </c>
      <c r="E90" t="str">
        <f>IF($A90="","",'Consolidado por área'!E65)</f>
        <v/>
      </c>
      <c r="F90" t="str">
        <f>IF($A90="","",IF(C90&gt;0,D90/C90,0))</f>
        <v/>
      </c>
      <c r="G90" t="str">
        <f>IF($A90="","",F90*1000000+C90*10+(1000-ROW())/10000)</f>
        <v/>
      </c>
      <c r="H90" t="str">
        <f>IF($A90="","",'Consolidado por área'!H65)</f>
        <v/>
      </c>
      <c r="J90" t="n">
        <v>61</v>
      </c>
      <c r="K90" t="str">
        <f>IF(J90&gt;COUNT($G$30:$G$109),"",MATCH(LARGE($G$30:$G$109,J90),$G$30:$G$109,0))</f>
        <v/>
      </c>
      <c r="L90" t="str">
        <f>IF($K90="","",INDEX($A$30:$A$109,K90)&amp;"   "&amp;TEXT(INDEX($F$30:$F$109,K90),"0%"))</f>
        <v/>
      </c>
      <c r="M90" t="str">
        <f>IF($K90="","",INDEX($D$30:$D$109,K90))</f>
        <v/>
      </c>
      <c r="N90" t="str">
        <f>IF($K90="","",INDEX($E$30:$E$109,K90))</f>
        <v/>
      </c>
      <c r="O90" t="str">
        <f>IF($K90="","",INDEX($A$30:$A$109,K90))</f>
        <v/>
      </c>
      <c r="P90" t="str">
        <f>IF($K90="","",INDEX($B$30:$B$109,K90))</f>
        <v/>
      </c>
      <c r="Q90" t="str">
        <f>IF($K90="","",INDEX($C$30:$C$109,K90))</f>
        <v/>
      </c>
      <c r="R90" t="str">
        <f>IF($K90="","",INDEX($F$30:$F$109,K90))</f>
        <v/>
      </c>
      <c r="S90" t="str">
        <f>IF($K90="","",INDEX($H$30:$H$109,K90))</f>
        <v/>
      </c>
      <c r="T90" t="str">
        <f>IF($K90="","",IF(OR('Dashboard Gerencial'!$B$5="Todas las gerencias",P90='Dashboard Gerencial'!$B$5),ROW(),""))</f>
        <v/>
      </c>
      <c r="Z90">
        <f>IF('Detalle individual'!A90="","",IF(AND(OR('Estado por Colaborador'!$D$4="Todas las gerencias",'Detalle individual'!D90='Estado por Colaborador'!$D$4),OR('Estado por Colaborador'!$D$5="Todos los departamentos",TRIM('Detalle individual'!C90)='Estado por Colaborador'!$D$5),OR('Estado por Colaborador'!$D$6="Todos",'Detalle individual'!F90='Estado por Colaborador'!$D$6)),IF('Detalle individual'!F90="Completado",30000000,IF('Detalle individual'!F90="Pendiente",0,15000000))+COUNTIF('Detalle individual'!$C$5:$C$1000,"&lt;"&amp;'Detalle individual'!C90)*10000+ROW(),""))</f>
        <v>38460090</v>
      </c>
      <c r="AB90" t="str">
        <f>IF('Detalle individual'!C90="","",IF(COUNTIF('Detalle individual'!$C$5:C90,'Detalle individual'!C90)=1,COUNTIF('Detalle individual'!$C$5:$C$1000,"&lt;"&amp;'Detalle individual'!C90),""))</f>
        <v/>
      </c>
      <c r="AC90" t="str">
        <f>IF('Detalle individual'!D90="","",IF(COUNTIF('Detalle individual'!$D$5:D90,'Detalle individual'!D90)=1,COUNTIF('Detalle individual'!$D$5:$D$1000,"&lt;"&amp;'Detalle individual'!D90),""))</f>
        <v/>
      </c>
      <c r="AH90" t="str">
        <f>IF('Detalle individual'!F90="Pendiente",COUNTIF('Detalle individual'!$D$5:$D$1000,"&lt;"&amp;'Detalle individual'!D90)*1000000+COUNTIF('Detalle individual'!$C$5:$C$1000,"&lt;"&amp;'Detalle individual'!C90)*1000+COUNTIF('Detalle individual'!$B$5:$B$1000,"&lt;"&amp;'Detalle individual'!B90)+ROW()/10000,"")</f>
        <v/>
      </c>
      <c r="AI90">
        <f>IF('Detalle individual'!F90="Completado",COUNTIF('Detalle individual'!$D$5:$D$1000,"&lt;"&amp;'Detalle individual'!D90)*1000000+COUNTIF('Detalle individual'!$C$5:$C$1000,"&lt;"&amp;'Detalle individual'!C90)*1000+COUNTIF('Detalle individual'!$B$5:$B$1000,"&lt;"&amp;'Detalle individual'!B90)+ROW()/10000,"")</f>
        <v>746846761.009</v>
      </c>
      <c r="AJ90" t="str">
        <f>IF(AND('Detalle individual'!F90&lt;&gt;"",'Detalle individual'!F90&lt;&gt;"Completado",'Detalle individual'!F90&lt;&gt;"Pendiente"),COUNTIF('Detalle individual'!$D$5:$D$1000,"&lt;"&amp;'Detalle individual'!D90)*1000000+COUNTIF('Detalle individual'!$C$5:$C$1000,"&lt;"&amp;'Detalle individual'!C90)*1000+COUNTIF('Detalle individual'!$B$5:$B$1000,"&lt;"&amp;'Detalle individual'!B90)+ROW()/10000,"")</f>
        <v/>
      </c>
      <c r="AK90">
        <f>IF(OR('Base Exámenes'!C90="",'Base Exámenes'!D90=""),"",IF(COUNTIF('Base Exámenes'!$C$5:C90,'Base Exámenes'!C90)=1,'Base Exámenes'!D90+ROW()/1000000000,""))</f>
        <v>46301.43630796296</v>
      </c>
      <c r="AL90">
        <f>IF(OR('Base Exámenes'!C90="",'Base Exámenes'!E90=""),"",IF(COUNTIF('Base Exámenes'!$C$5:C90,'Base Exámenes'!C90)=1,'Base Exámenes'!E90+ROW()/1000000000,""))</f>
        <v>46301.43873851852</v>
      </c>
      <c r="AM90">
        <f>IF(OR('Base Exámenes'!C90="",'Base Exámenes'!G90=""),"",IF(ROW()-4=MATCH('Base Exámenes'!C90&amp;"|"&amp;_xlfn.MAXIFS('Base Exámenes'!$G$5:$G$1000,'Base Exámenes'!$C$5:$C$1000,'Base Exámenes'!C90),'Base Exámenes'!$I$5:$I$1000,0),'Base Exámenes'!G90*1000000+(-1)*'Base Exámenes'!D90,""))</f>
        <v>99953698.5636921</v>
      </c>
      <c r="AQ90" t="str">
        <f>IF('Base Exámenes'!C90="","",IF(COUNTIF('Base Exámenes'!$C$5:$C$1000,'Base Exámenes'!C90)&lt;2,"",MATCH('Base Exámenes'!C90,'Base Exámenes'!$C$5:$C$1000,0)*10000+ROW()))</f>
        <v/>
      </c>
    </row>
    <row r="91">
      <c r="A91" t="str">
        <f>IF('Consolidado por área'!A66="","",TRIM('Consolidado por área'!A66))</f>
        <v/>
      </c>
      <c r="B91" t="str">
        <f>IF($A91="","",'Consolidado por área'!B66)</f>
        <v/>
      </c>
      <c r="C91" t="str">
        <f>IF($A91="","",'Consolidado por área'!C66)</f>
        <v/>
      </c>
      <c r="D91" t="str">
        <f>IF($A91="","",'Consolidado por área'!D66)</f>
        <v/>
      </c>
      <c r="E91" t="str">
        <f>IF($A91="","",'Consolidado por área'!E66)</f>
        <v/>
      </c>
      <c r="F91" t="str">
        <f>IF($A91="","",IF(C91&gt;0,D91/C91,0))</f>
        <v/>
      </c>
      <c r="G91" t="str">
        <f>IF($A91="","",F91*1000000+C91*10+(1000-ROW())/10000)</f>
        <v/>
      </c>
      <c r="H91" t="str">
        <f>IF($A91="","",'Consolidado por área'!H66)</f>
        <v/>
      </c>
      <c r="J91" t="n">
        <v>62</v>
      </c>
      <c r="K91" t="str">
        <f>IF(J91&gt;COUNT($G$30:$G$109),"",MATCH(LARGE($G$30:$G$109,J91),$G$30:$G$109,0))</f>
        <v/>
      </c>
      <c r="L91" t="str">
        <f>IF($K91="","",INDEX($A$30:$A$109,K91)&amp;"   "&amp;TEXT(INDEX($F$30:$F$109,K91),"0%"))</f>
        <v/>
      </c>
      <c r="M91" t="str">
        <f>IF($K91="","",INDEX($D$30:$D$109,K91))</f>
        <v/>
      </c>
      <c r="N91" t="str">
        <f>IF($K91="","",INDEX($E$30:$E$109,K91))</f>
        <v/>
      </c>
      <c r="O91" t="str">
        <f>IF($K91="","",INDEX($A$30:$A$109,K91))</f>
        <v/>
      </c>
      <c r="P91" t="str">
        <f>IF($K91="","",INDEX($B$30:$B$109,K91))</f>
        <v/>
      </c>
      <c r="Q91" t="str">
        <f>IF($K91="","",INDEX($C$30:$C$109,K91))</f>
        <v/>
      </c>
      <c r="R91" t="str">
        <f>IF($K91="","",INDEX($F$30:$F$109,K91))</f>
        <v/>
      </c>
      <c r="S91" t="str">
        <f>IF($K91="","",INDEX($H$30:$H$109,K91))</f>
        <v/>
      </c>
      <c r="T91" t="str">
        <f>IF($K91="","",IF(OR('Dashboard Gerencial'!$B$5="Todas las gerencias",P91='Dashboard Gerencial'!$B$5),ROW(),""))</f>
        <v/>
      </c>
      <c r="Z91">
        <f>IF('Detalle individual'!A91="","",IF(AND(OR('Estado por Colaborador'!$D$4="Todas las gerencias",'Detalle individual'!D91='Estado por Colaborador'!$D$4),OR('Estado por Colaborador'!$D$5="Todos los departamentos",TRIM('Detalle individual'!C91)='Estado por Colaborador'!$D$5),OR('Estado por Colaborador'!$D$6="Todos",'Detalle individual'!F91='Estado por Colaborador'!$D$6)),IF('Detalle individual'!F91="Completado",30000000,IF('Detalle individual'!F91="Pendiente",0,15000000))+COUNTIF('Detalle individual'!$C$5:$C$1000,"&lt;"&amp;'Detalle individual'!C91)*10000+ROW(),""))</f>
        <v>38460091</v>
      </c>
      <c r="AB91" t="str">
        <f>IF('Detalle individual'!C91="","",IF(COUNTIF('Detalle individual'!$C$5:C91,'Detalle individual'!C91)=1,COUNTIF('Detalle individual'!$C$5:$C$1000,"&lt;"&amp;'Detalle individual'!C91),""))</f>
        <v/>
      </c>
      <c r="AC91" t="str">
        <f>IF('Detalle individual'!D91="","",IF(COUNTIF('Detalle individual'!$D$5:D91,'Detalle individual'!D91)=1,COUNTIF('Detalle individual'!$D$5:$D$1000,"&lt;"&amp;'Detalle individual'!D91),""))</f>
        <v/>
      </c>
      <c r="AH91" t="str">
        <f>IF('Detalle individual'!F91="Pendiente",COUNTIF('Detalle individual'!$D$5:$D$1000,"&lt;"&amp;'Detalle individual'!D91)*1000000+COUNTIF('Detalle individual'!$C$5:$C$1000,"&lt;"&amp;'Detalle individual'!C91)*1000+COUNTIF('Detalle individual'!$B$5:$B$1000,"&lt;"&amp;'Detalle individual'!B91)+ROW()/10000,"")</f>
        <v/>
      </c>
      <c r="AI91">
        <f>IF('Detalle individual'!F91="Completado",COUNTIF('Detalle individual'!$D$5:$D$1000,"&lt;"&amp;'Detalle individual'!D91)*1000000+COUNTIF('Detalle individual'!$C$5:$C$1000,"&lt;"&amp;'Detalle individual'!C91)*1000+COUNTIF('Detalle individual'!$B$5:$B$1000,"&lt;"&amp;'Detalle individual'!B91)+ROW()/10000,"")</f>
        <v>746846961.0091</v>
      </c>
      <c r="AJ91" t="str">
        <f>IF(AND('Detalle individual'!F91&lt;&gt;"",'Detalle individual'!F91&lt;&gt;"Completado",'Detalle individual'!F91&lt;&gt;"Pendiente"),COUNTIF('Detalle individual'!$D$5:$D$1000,"&lt;"&amp;'Detalle individual'!D91)*1000000+COUNTIF('Detalle individual'!$C$5:$C$1000,"&lt;"&amp;'Detalle individual'!C91)*1000+COUNTIF('Detalle individual'!$B$5:$B$1000,"&lt;"&amp;'Detalle individual'!B91)+ROW()/10000,"")</f>
        <v/>
      </c>
      <c r="AK91">
        <f>IF(OR('Base Exámenes'!C91="",'Base Exámenes'!D91=""),"",IF(COUNTIF('Base Exámenes'!$C$5:C91,'Base Exámenes'!C91)=1,'Base Exámenes'!D91+ROW()/1000000000,""))</f>
        <v>46301.427789444446</v>
      </c>
      <c r="AL91">
        <f>IF(OR('Base Exámenes'!C91="",'Base Exámenes'!E91=""),"",IF(COUNTIF('Base Exámenes'!$C$5:C91,'Base Exámenes'!C91)=1,'Base Exámenes'!E91+ROW()/1000000000,""))</f>
        <v>46301.44030101852</v>
      </c>
      <c r="AM91">
        <f>IF(OR('Base Exámenes'!C91="",'Base Exámenes'!G91=""),"",IF(ROW()-4=MATCH('Base Exámenes'!C91&amp;"|"&amp;_xlfn.MAXIFS('Base Exámenes'!$G$5:$G$1000,'Base Exámenes'!$C$5:$C$1000,'Base Exámenes'!C91),'Base Exámenes'!$I$5:$I$1000,0),'Base Exámenes'!G91*1000000+(-1)*'Base Exámenes'!D91,""))</f>
        <v>99953698.5722107</v>
      </c>
      <c r="AQ91" t="str">
        <f>IF('Base Exámenes'!C91="","",IF(COUNTIF('Base Exámenes'!$C$5:$C$1000,'Base Exámenes'!C91)&lt;2,"",MATCH('Base Exámenes'!C91,'Base Exámenes'!$C$5:$C$1000,0)*10000+ROW()))</f>
        <v/>
      </c>
    </row>
    <row r="92">
      <c r="A92" t="str">
        <f>IF('Consolidado por área'!A67="","",TRIM('Consolidado por área'!A67))</f>
        <v/>
      </c>
      <c r="B92" t="str">
        <f>IF($A92="","",'Consolidado por área'!B67)</f>
        <v/>
      </c>
      <c r="C92" t="str">
        <f>IF($A92="","",'Consolidado por área'!C67)</f>
        <v/>
      </c>
      <c r="D92" t="str">
        <f>IF($A92="","",'Consolidado por área'!D67)</f>
        <v/>
      </c>
      <c r="E92" t="str">
        <f>IF($A92="","",'Consolidado por área'!E67)</f>
        <v/>
      </c>
      <c r="F92" t="str">
        <f>IF($A92="","",IF(C92&gt;0,D92/C92,0))</f>
        <v/>
      </c>
      <c r="G92" t="str">
        <f>IF($A92="","",F92*1000000+C92*10+(1000-ROW())/10000)</f>
        <v/>
      </c>
      <c r="H92" t="str">
        <f>IF($A92="","",'Consolidado por área'!H67)</f>
        <v/>
      </c>
      <c r="J92" t="n">
        <v>63</v>
      </c>
      <c r="K92" t="str">
        <f>IF(J92&gt;COUNT($G$30:$G$109),"",MATCH(LARGE($G$30:$G$109,J92),$G$30:$G$109,0))</f>
        <v/>
      </c>
      <c r="L92" t="str">
        <f>IF($K92="","",INDEX($A$30:$A$109,K92)&amp;"   "&amp;TEXT(INDEX($F$30:$F$109,K92),"0%"))</f>
        <v/>
      </c>
      <c r="M92" t="str">
        <f>IF($K92="","",INDEX($D$30:$D$109,K92))</f>
        <v/>
      </c>
      <c r="N92" t="str">
        <f>IF($K92="","",INDEX($E$30:$E$109,K92))</f>
        <v/>
      </c>
      <c r="O92" t="str">
        <f>IF($K92="","",INDEX($A$30:$A$109,K92))</f>
        <v/>
      </c>
      <c r="P92" t="str">
        <f>IF($K92="","",INDEX($B$30:$B$109,K92))</f>
        <v/>
      </c>
      <c r="Q92" t="str">
        <f>IF($K92="","",INDEX($C$30:$C$109,K92))</f>
        <v/>
      </c>
      <c r="R92" t="str">
        <f>IF($K92="","",INDEX($F$30:$F$109,K92))</f>
        <v/>
      </c>
      <c r="S92" t="str">
        <f>IF($K92="","",INDEX($H$30:$H$109,K92))</f>
        <v/>
      </c>
      <c r="T92" t="str">
        <f>IF($K92="","",IF(OR('Dashboard Gerencial'!$B$5="Todas las gerencias",P92='Dashboard Gerencial'!$B$5),ROW(),""))</f>
        <v/>
      </c>
      <c r="Z92">
        <f>IF('Detalle individual'!A92="","",IF(AND(OR('Estado por Colaborador'!$D$4="Todas las gerencias",'Detalle individual'!D92='Estado por Colaborador'!$D$4),OR('Estado por Colaborador'!$D$5="Todos los departamentos",TRIM('Detalle individual'!C92)='Estado por Colaborador'!$D$5),OR('Estado por Colaborador'!$D$6="Todos",'Detalle individual'!F92='Estado por Colaborador'!$D$6)),IF('Detalle individual'!F92="Completado",30000000,IF('Detalle individual'!F92="Pendiente",0,15000000))+COUNTIF('Detalle individual'!$C$5:$C$1000,"&lt;"&amp;'Detalle individual'!C92)*10000+ROW(),""))</f>
        <v>38460092</v>
      </c>
      <c r="AB92" t="str">
        <f>IF('Detalle individual'!C92="","",IF(COUNTIF('Detalle individual'!$C$5:C92,'Detalle individual'!C92)=1,COUNTIF('Detalle individual'!$C$5:$C$1000,"&lt;"&amp;'Detalle individual'!C92),""))</f>
        <v/>
      </c>
      <c r="AC92" t="str">
        <f>IF('Detalle individual'!D92="","",IF(COUNTIF('Detalle individual'!$D$5:D92,'Detalle individual'!D92)=1,COUNTIF('Detalle individual'!$D$5:$D$1000,"&lt;"&amp;'Detalle individual'!D92),""))</f>
        <v/>
      </c>
      <c r="AH92" t="str">
        <f>IF('Detalle individual'!F92="Pendiente",COUNTIF('Detalle individual'!$D$5:$D$1000,"&lt;"&amp;'Detalle individual'!D92)*1000000+COUNTIF('Detalle individual'!$C$5:$C$1000,"&lt;"&amp;'Detalle individual'!C92)*1000+COUNTIF('Detalle individual'!$B$5:$B$1000,"&lt;"&amp;'Detalle individual'!B92)+ROW()/10000,"")</f>
        <v/>
      </c>
      <c r="AI92">
        <f>IF('Detalle individual'!F92="Completado",COUNTIF('Detalle individual'!$D$5:$D$1000,"&lt;"&amp;'Detalle individual'!D92)*1000000+COUNTIF('Detalle individual'!$C$5:$C$1000,"&lt;"&amp;'Detalle individual'!C92)*1000+COUNTIF('Detalle individual'!$B$5:$B$1000,"&lt;"&amp;'Detalle individual'!B92)+ROW()/10000,"")</f>
        <v>746846831.0092</v>
      </c>
      <c r="AJ92" t="str">
        <f>IF(AND('Detalle individual'!F92&lt;&gt;"",'Detalle individual'!F92&lt;&gt;"Completado",'Detalle individual'!F92&lt;&gt;"Pendiente"),COUNTIF('Detalle individual'!$D$5:$D$1000,"&lt;"&amp;'Detalle individual'!D92)*1000000+COUNTIF('Detalle individual'!$C$5:$C$1000,"&lt;"&amp;'Detalle individual'!C92)*1000+COUNTIF('Detalle individual'!$B$5:$B$1000,"&lt;"&amp;'Detalle individual'!B92)+ROW()/10000,"")</f>
        <v/>
      </c>
      <c r="AK92">
        <f>IF(OR('Base Exámenes'!C92="",'Base Exámenes'!D92=""),"",IF(COUNTIF('Base Exámenes'!$C$5:C92,'Base Exámenes'!C92)=1,'Base Exámenes'!D92+ROW()/1000000000,""))</f>
        <v>46301.48449083333</v>
      </c>
      <c r="AL92">
        <f>IF(OR('Base Exámenes'!C92="",'Base Exámenes'!E92=""),"",IF(COUNTIF('Base Exámenes'!$C$5:C92,'Base Exámenes'!C92)=1,'Base Exámenes'!E92+ROW()/1000000000,""))</f>
        <v>46301.4892825</v>
      </c>
      <c r="AM92">
        <f>IF(OR('Base Exámenes'!C92="",'Base Exámenes'!G92=""),"",IF(ROW()-4=MATCH('Base Exámenes'!C92&amp;"|"&amp;_xlfn.MAXIFS('Base Exámenes'!$G$5:$G$1000,'Base Exámenes'!$C$5:$C$1000,'Base Exámenes'!C92),'Base Exámenes'!$I$5:$I$1000,0),'Base Exámenes'!G92*1000000+(-1)*'Base Exámenes'!D92,""))</f>
        <v>99953698.5155093</v>
      </c>
      <c r="AQ92" t="str">
        <f>IF('Base Exámenes'!C92="","",IF(COUNTIF('Base Exámenes'!$C$5:$C$1000,'Base Exámenes'!C92)&lt;2,"",MATCH('Base Exámenes'!C92,'Base Exámenes'!$C$5:$C$1000,0)*10000+ROW()))</f>
        <v/>
      </c>
    </row>
    <row r="93">
      <c r="A93" t="str">
        <f>IF('Consolidado por área'!A68="","",TRIM('Consolidado por área'!A68))</f>
        <v/>
      </c>
      <c r="B93" t="str">
        <f>IF($A93="","",'Consolidado por área'!B68)</f>
        <v/>
      </c>
      <c r="C93" t="str">
        <f>IF($A93="","",'Consolidado por área'!C68)</f>
        <v/>
      </c>
      <c r="D93" t="str">
        <f>IF($A93="","",'Consolidado por área'!D68)</f>
        <v/>
      </c>
      <c r="E93" t="str">
        <f>IF($A93="","",'Consolidado por área'!E68)</f>
        <v/>
      </c>
      <c r="F93" t="str">
        <f>IF($A93="","",IF(C93&gt;0,D93/C93,0))</f>
        <v/>
      </c>
      <c r="G93" t="str">
        <f>IF($A93="","",F93*1000000+C93*10+(1000-ROW())/10000)</f>
        <v/>
      </c>
      <c r="H93" t="str">
        <f>IF($A93="","",'Consolidado por área'!H68)</f>
        <v/>
      </c>
      <c r="J93" t="n">
        <v>64</v>
      </c>
      <c r="K93" t="str">
        <f>IF(J93&gt;COUNT($G$30:$G$109),"",MATCH(LARGE($G$30:$G$109,J93),$G$30:$G$109,0))</f>
        <v/>
      </c>
      <c r="L93" t="str">
        <f>IF($K93="","",INDEX($A$30:$A$109,K93)&amp;"   "&amp;TEXT(INDEX($F$30:$F$109,K93),"0%"))</f>
        <v/>
      </c>
      <c r="M93" t="str">
        <f>IF($K93="","",INDEX($D$30:$D$109,K93))</f>
        <v/>
      </c>
      <c r="N93" t="str">
        <f>IF($K93="","",INDEX($E$30:$E$109,K93))</f>
        <v/>
      </c>
      <c r="O93" t="str">
        <f>IF($K93="","",INDEX($A$30:$A$109,K93))</f>
        <v/>
      </c>
      <c r="P93" t="str">
        <f>IF($K93="","",INDEX($B$30:$B$109,K93))</f>
        <v/>
      </c>
      <c r="Q93" t="str">
        <f>IF($K93="","",INDEX($C$30:$C$109,K93))</f>
        <v/>
      </c>
      <c r="R93" t="str">
        <f>IF($K93="","",INDEX($F$30:$F$109,K93))</f>
        <v/>
      </c>
      <c r="S93" t="str">
        <f>IF($K93="","",INDEX($H$30:$H$109,K93))</f>
        <v/>
      </c>
      <c r="T93" t="str">
        <f>IF($K93="","",IF(OR('Dashboard Gerencial'!$B$5="Todas las gerencias",P93='Dashboard Gerencial'!$B$5),ROW(),""))</f>
        <v/>
      </c>
      <c r="Z93">
        <f>IF('Detalle individual'!A93="","",IF(AND(OR('Estado por Colaborador'!$D$4="Todas las gerencias",'Detalle individual'!D93='Estado por Colaborador'!$D$4),OR('Estado por Colaborador'!$D$5="Todos los departamentos",TRIM('Detalle individual'!C93)='Estado por Colaborador'!$D$5),OR('Estado por Colaborador'!$D$6="Todos",'Detalle individual'!F93='Estado por Colaborador'!$D$6)),IF('Detalle individual'!F93="Completado",30000000,IF('Detalle individual'!F93="Pendiente",0,15000000))+COUNTIF('Detalle individual'!$C$5:$C$1000,"&lt;"&amp;'Detalle individual'!C93)*10000+ROW(),""))</f>
        <v>38460093</v>
      </c>
      <c r="AB93" t="str">
        <f>IF('Detalle individual'!C93="","",IF(COUNTIF('Detalle individual'!$C$5:C93,'Detalle individual'!C93)=1,COUNTIF('Detalle individual'!$C$5:$C$1000,"&lt;"&amp;'Detalle individual'!C93),""))</f>
        <v/>
      </c>
      <c r="AC93" t="str">
        <f>IF('Detalle individual'!D93="","",IF(COUNTIF('Detalle individual'!$D$5:D93,'Detalle individual'!D93)=1,COUNTIF('Detalle individual'!$D$5:$D$1000,"&lt;"&amp;'Detalle individual'!D93),""))</f>
        <v/>
      </c>
      <c r="AH93" t="str">
        <f>IF('Detalle individual'!F93="Pendiente",COUNTIF('Detalle individual'!$D$5:$D$1000,"&lt;"&amp;'Detalle individual'!D93)*1000000+COUNTIF('Detalle individual'!$C$5:$C$1000,"&lt;"&amp;'Detalle individual'!C93)*1000+COUNTIF('Detalle individual'!$B$5:$B$1000,"&lt;"&amp;'Detalle individual'!B93)+ROW()/10000,"")</f>
        <v/>
      </c>
      <c r="AI93">
        <f>IF('Detalle individual'!F93="Completado",COUNTIF('Detalle individual'!$D$5:$D$1000,"&lt;"&amp;'Detalle individual'!D93)*1000000+COUNTIF('Detalle individual'!$C$5:$C$1000,"&lt;"&amp;'Detalle individual'!C93)*1000+COUNTIF('Detalle individual'!$B$5:$B$1000,"&lt;"&amp;'Detalle individual'!B93)+ROW()/10000,"")</f>
        <v>746846775.0093</v>
      </c>
      <c r="AJ93" t="str">
        <f>IF(AND('Detalle individual'!F93&lt;&gt;"",'Detalle individual'!F93&lt;&gt;"Completado",'Detalle individual'!F93&lt;&gt;"Pendiente"),COUNTIF('Detalle individual'!$D$5:$D$1000,"&lt;"&amp;'Detalle individual'!D93)*1000000+COUNTIF('Detalle individual'!$C$5:$C$1000,"&lt;"&amp;'Detalle individual'!C93)*1000+COUNTIF('Detalle individual'!$B$5:$B$1000,"&lt;"&amp;'Detalle individual'!B93)+ROW()/10000,"")</f>
        <v/>
      </c>
      <c r="AK93">
        <f>IF(OR('Base Exámenes'!C93="",'Base Exámenes'!D93=""),"",IF(COUNTIF('Base Exámenes'!$C$5:C93,'Base Exámenes'!C93)=1,'Base Exámenes'!D93+ROW()/1000000000,""))</f>
        <v>46301.48697925926</v>
      </c>
      <c r="AL93">
        <f>IF(OR('Base Exámenes'!C93="",'Base Exámenes'!E93=""),"",IF(COUNTIF('Base Exámenes'!$C$5:C93,'Base Exámenes'!C93)=1,'Base Exámenes'!E93+ROW()/1000000000,""))</f>
        <v>46301.49184037037</v>
      </c>
      <c r="AM93" t="str">
        <f>IF(OR('Base Exámenes'!C93="",'Base Exámenes'!G93=""),"",IF(ROW()-4=MATCH('Base Exámenes'!C93&amp;"|"&amp;_xlfn.MAXIFS('Base Exámenes'!$G$5:$G$1000,'Base Exámenes'!$C$5:$C$1000,'Base Exámenes'!C93),'Base Exámenes'!$I$5:$I$1000,0),'Base Exámenes'!G93*1000000+(-1)*'Base Exámenes'!D93,""))</f>
        <v/>
      </c>
      <c r="AQ93">
        <f>IF('Base Exámenes'!C93="","",IF(COUNTIF('Base Exámenes'!$C$5:$C$1000,'Base Exámenes'!C93)&lt;2,"",MATCH('Base Exámenes'!C93,'Base Exámenes'!$C$5:$C$1000,0)*10000+ROW()))</f>
        <v>890093</v>
      </c>
    </row>
    <row r="94">
      <c r="A94" t="str">
        <f>IF('Consolidado por área'!A69="","",TRIM('Consolidado por área'!A69))</f>
        <v/>
      </c>
      <c r="B94" t="str">
        <f>IF($A94="","",'Consolidado por área'!B69)</f>
        <v/>
      </c>
      <c r="C94" t="str">
        <f>IF($A94="","",'Consolidado por área'!C69)</f>
        <v/>
      </c>
      <c r="D94" t="str">
        <f>IF($A94="","",'Consolidado por área'!D69)</f>
        <v/>
      </c>
      <c r="E94" t="str">
        <f>IF($A94="","",'Consolidado por área'!E69)</f>
        <v/>
      </c>
      <c r="F94" t="str">
        <f>IF($A94="","",IF(C94&gt;0,D94/C94,0))</f>
        <v/>
      </c>
      <c r="G94" t="str">
        <f>IF($A94="","",F94*1000000+C94*10+(1000-ROW())/10000)</f>
        <v/>
      </c>
      <c r="H94" t="str">
        <f>IF($A94="","",'Consolidado por área'!H69)</f>
        <v/>
      </c>
      <c r="J94" t="n">
        <v>65</v>
      </c>
      <c r="K94" t="str">
        <f>IF(J94&gt;COUNT($G$30:$G$109),"",MATCH(LARGE($G$30:$G$109,J94),$G$30:$G$109,0))</f>
        <v/>
      </c>
      <c r="L94" t="str">
        <f>IF($K94="","",INDEX($A$30:$A$109,K94)&amp;"   "&amp;TEXT(INDEX($F$30:$F$109,K94),"0%"))</f>
        <v/>
      </c>
      <c r="M94" t="str">
        <f>IF($K94="","",INDEX($D$30:$D$109,K94))</f>
        <v/>
      </c>
      <c r="N94" t="str">
        <f>IF($K94="","",INDEX($E$30:$E$109,K94))</f>
        <v/>
      </c>
      <c r="O94" t="str">
        <f>IF($K94="","",INDEX($A$30:$A$109,K94))</f>
        <v/>
      </c>
      <c r="P94" t="str">
        <f>IF($K94="","",INDEX($B$30:$B$109,K94))</f>
        <v/>
      </c>
      <c r="Q94" t="str">
        <f>IF($K94="","",INDEX($C$30:$C$109,K94))</f>
        <v/>
      </c>
      <c r="R94" t="str">
        <f>IF($K94="","",INDEX($F$30:$F$109,K94))</f>
        <v/>
      </c>
      <c r="S94" t="str">
        <f>IF($K94="","",INDEX($H$30:$H$109,K94))</f>
        <v/>
      </c>
      <c r="T94" t="str">
        <f>IF($K94="","",IF(OR('Dashboard Gerencial'!$B$5="Todas las gerencias",P94='Dashboard Gerencial'!$B$5),ROW(),""))</f>
        <v/>
      </c>
      <c r="Z94">
        <f>IF('Detalle individual'!A94="","",IF(AND(OR('Estado por Colaborador'!$D$4="Todas las gerencias",'Detalle individual'!D94='Estado por Colaborador'!$D$4),OR('Estado por Colaborador'!$D$5="Todos los departamentos",TRIM('Detalle individual'!C94)='Estado por Colaborador'!$D$5),OR('Estado por Colaborador'!$D$6="Todos",'Detalle individual'!F94='Estado por Colaborador'!$D$6)),IF('Detalle individual'!F94="Completado",30000000,IF('Detalle individual'!F94="Pendiente",0,15000000))+COUNTIF('Detalle individual'!$C$5:$C$1000,"&lt;"&amp;'Detalle individual'!C94)*10000+ROW(),""))</f>
        <v>38460094</v>
      </c>
      <c r="AB94" t="str">
        <f>IF('Detalle individual'!C94="","",IF(COUNTIF('Detalle individual'!$C$5:C94,'Detalle individual'!C94)=1,COUNTIF('Detalle individual'!$C$5:$C$1000,"&lt;"&amp;'Detalle individual'!C94),""))</f>
        <v/>
      </c>
      <c r="AC94" t="str">
        <f>IF('Detalle individual'!D94="","",IF(COUNTIF('Detalle individual'!$D$5:D94,'Detalle individual'!D94)=1,COUNTIF('Detalle individual'!$D$5:$D$1000,"&lt;"&amp;'Detalle individual'!D94),""))</f>
        <v/>
      </c>
      <c r="AH94" t="str">
        <f>IF('Detalle individual'!F94="Pendiente",COUNTIF('Detalle individual'!$D$5:$D$1000,"&lt;"&amp;'Detalle individual'!D94)*1000000+COUNTIF('Detalle individual'!$C$5:$C$1000,"&lt;"&amp;'Detalle individual'!C94)*1000+COUNTIF('Detalle individual'!$B$5:$B$1000,"&lt;"&amp;'Detalle individual'!B94)+ROW()/10000,"")</f>
        <v/>
      </c>
      <c r="AI94">
        <f>IF('Detalle individual'!F94="Completado",COUNTIF('Detalle individual'!$D$5:$D$1000,"&lt;"&amp;'Detalle individual'!D94)*1000000+COUNTIF('Detalle individual'!$C$5:$C$1000,"&lt;"&amp;'Detalle individual'!C94)*1000+COUNTIF('Detalle individual'!$B$5:$B$1000,"&lt;"&amp;'Detalle individual'!B94)+ROW()/10000,"")</f>
        <v>746846731.0094</v>
      </c>
      <c r="AJ94" t="str">
        <f>IF(AND('Detalle individual'!F94&lt;&gt;"",'Detalle individual'!F94&lt;&gt;"Completado",'Detalle individual'!F94&lt;&gt;"Pendiente"),COUNTIF('Detalle individual'!$D$5:$D$1000,"&lt;"&amp;'Detalle individual'!D94)*1000000+COUNTIF('Detalle individual'!$C$5:$C$1000,"&lt;"&amp;'Detalle individual'!C94)*1000+COUNTIF('Detalle individual'!$B$5:$B$1000,"&lt;"&amp;'Detalle individual'!B94)+ROW()/10000,"")</f>
        <v/>
      </c>
      <c r="AK94" t="str">
        <f>IF(OR('Base Exámenes'!C94="",'Base Exámenes'!D94=""),"",IF(COUNTIF('Base Exámenes'!$C$5:C94,'Base Exámenes'!C94)=1,'Base Exámenes'!D94+ROW()/1000000000,""))</f>
        <v/>
      </c>
      <c r="AL94" t="str">
        <f>IF(OR('Base Exámenes'!C94="",'Base Exámenes'!E94=""),"",IF(COUNTIF('Base Exámenes'!$C$5:C94,'Base Exámenes'!C94)=1,'Base Exámenes'!E94+ROW()/1000000000,""))</f>
        <v/>
      </c>
      <c r="AM94">
        <f>IF(OR('Base Exámenes'!C94="",'Base Exámenes'!G94=""),"",IF(ROW()-4=MATCH('Base Exámenes'!C94&amp;"|"&amp;_xlfn.MAXIFS('Base Exámenes'!$G$5:$G$1000,'Base Exámenes'!$C$5:$C$1000,'Base Exámenes'!C94),'Base Exámenes'!$I$5:$I$1000,0),'Base Exámenes'!G94*1000000+(-1)*'Base Exámenes'!D94,""))</f>
        <v>99953698.4921412</v>
      </c>
      <c r="AQ94">
        <f>IF('Base Exámenes'!C94="","",IF(COUNTIF('Base Exámenes'!$C$5:$C$1000,'Base Exámenes'!C94)&lt;2,"",MATCH('Base Exámenes'!C94,'Base Exámenes'!$C$5:$C$1000,0)*10000+ROW()))</f>
        <v>890094</v>
      </c>
    </row>
    <row r="95">
      <c r="A95" t="str">
        <f>IF('Consolidado por área'!A70="","",TRIM('Consolidado por área'!A70))</f>
        <v/>
      </c>
      <c r="B95" t="str">
        <f>IF($A95="","",'Consolidado por área'!B70)</f>
        <v/>
      </c>
      <c r="C95" t="str">
        <f>IF($A95="","",'Consolidado por área'!C70)</f>
        <v/>
      </c>
      <c r="D95" t="str">
        <f>IF($A95="","",'Consolidado por área'!D70)</f>
        <v/>
      </c>
      <c r="E95" t="str">
        <f>IF($A95="","",'Consolidado por área'!E70)</f>
        <v/>
      </c>
      <c r="F95" t="str">
        <f>IF($A95="","",IF(C95&gt;0,D95/C95,0))</f>
        <v/>
      </c>
      <c r="G95" t="str">
        <f>IF($A95="","",F95*1000000+C95*10+(1000-ROW())/10000)</f>
        <v/>
      </c>
      <c r="H95" t="str">
        <f>IF($A95="","",'Consolidado por área'!H70)</f>
        <v/>
      </c>
      <c r="J95" t="n">
        <v>66</v>
      </c>
      <c r="K95" t="str">
        <f>IF(J95&gt;COUNT($G$30:$G$109),"",MATCH(LARGE($G$30:$G$109,J95),$G$30:$G$109,0))</f>
        <v/>
      </c>
      <c r="L95" t="str">
        <f>IF($K95="","",INDEX($A$30:$A$109,K95)&amp;"   "&amp;TEXT(INDEX($F$30:$F$109,K95),"0%"))</f>
        <v/>
      </c>
      <c r="M95" t="str">
        <f>IF($K95="","",INDEX($D$30:$D$109,K95))</f>
        <v/>
      </c>
      <c r="N95" t="str">
        <f>IF($K95="","",INDEX($E$30:$E$109,K95))</f>
        <v/>
      </c>
      <c r="O95" t="str">
        <f>IF($K95="","",INDEX($A$30:$A$109,K95))</f>
        <v/>
      </c>
      <c r="P95" t="str">
        <f>IF($K95="","",INDEX($B$30:$B$109,K95))</f>
        <v/>
      </c>
      <c r="Q95" t="str">
        <f>IF($K95="","",INDEX($C$30:$C$109,K95))</f>
        <v/>
      </c>
      <c r="R95" t="str">
        <f>IF($K95="","",INDEX($F$30:$F$109,K95))</f>
        <v/>
      </c>
      <c r="S95" t="str">
        <f>IF($K95="","",INDEX($H$30:$H$109,K95))</f>
        <v/>
      </c>
      <c r="T95" t="str">
        <f>IF($K95="","",IF(OR('Dashboard Gerencial'!$B$5="Todas las gerencias",P95='Dashboard Gerencial'!$B$5),ROW(),""))</f>
        <v/>
      </c>
      <c r="Z95">
        <f>IF('Detalle individual'!A95="","",IF(AND(OR('Estado por Colaborador'!$D$4="Todas las gerencias",'Detalle individual'!D95='Estado por Colaborador'!$D$4),OR('Estado por Colaborador'!$D$5="Todos los departamentos",TRIM('Detalle individual'!C95)='Estado por Colaborador'!$D$5),OR('Estado por Colaborador'!$D$6="Todos",'Detalle individual'!F95='Estado por Colaborador'!$D$6)),IF('Detalle individual'!F95="Completado",30000000,IF('Detalle individual'!F95="Pendiente",0,15000000))+COUNTIF('Detalle individual'!$C$5:$C$1000,"&lt;"&amp;'Detalle individual'!C95)*10000+ROW(),""))</f>
        <v>38460095</v>
      </c>
      <c r="AB95" t="str">
        <f>IF('Detalle individual'!C95="","",IF(COUNTIF('Detalle individual'!$C$5:C95,'Detalle individual'!C95)=1,COUNTIF('Detalle individual'!$C$5:$C$1000,"&lt;"&amp;'Detalle individual'!C95),""))</f>
        <v/>
      </c>
      <c r="AC95" t="str">
        <f>IF('Detalle individual'!D95="","",IF(COUNTIF('Detalle individual'!$D$5:D95,'Detalle individual'!D95)=1,COUNTIF('Detalle individual'!$D$5:$D$1000,"&lt;"&amp;'Detalle individual'!D95),""))</f>
        <v/>
      </c>
      <c r="AH95" t="str">
        <f>IF('Detalle individual'!F95="Pendiente",COUNTIF('Detalle individual'!$D$5:$D$1000,"&lt;"&amp;'Detalle individual'!D95)*1000000+COUNTIF('Detalle individual'!$C$5:$C$1000,"&lt;"&amp;'Detalle individual'!C95)*1000+COUNTIF('Detalle individual'!$B$5:$B$1000,"&lt;"&amp;'Detalle individual'!B95)+ROW()/10000,"")</f>
        <v/>
      </c>
      <c r="AI95">
        <f>IF('Detalle individual'!F95="Completado",COUNTIF('Detalle individual'!$D$5:$D$1000,"&lt;"&amp;'Detalle individual'!D95)*1000000+COUNTIF('Detalle individual'!$C$5:$C$1000,"&lt;"&amp;'Detalle individual'!C95)*1000+COUNTIF('Detalle individual'!$B$5:$B$1000,"&lt;"&amp;'Detalle individual'!B95)+ROW()/10000,"")</f>
        <v>746846712.0095</v>
      </c>
      <c r="AJ95" t="str">
        <f>IF(AND('Detalle individual'!F95&lt;&gt;"",'Detalle individual'!F95&lt;&gt;"Completado",'Detalle individual'!F95&lt;&gt;"Pendiente"),COUNTIF('Detalle individual'!$D$5:$D$1000,"&lt;"&amp;'Detalle individual'!D95)*1000000+COUNTIF('Detalle individual'!$C$5:$C$1000,"&lt;"&amp;'Detalle individual'!C95)*1000+COUNTIF('Detalle individual'!$B$5:$B$1000,"&lt;"&amp;'Detalle individual'!B95)+ROW()/10000,"")</f>
        <v/>
      </c>
      <c r="AK95">
        <f>IF(OR('Base Exámenes'!C95="",'Base Exámenes'!D95=""),"",IF(COUNTIF('Base Exámenes'!$C$5:C95,'Base Exámenes'!C95)=1,'Base Exámenes'!D95+ROW()/1000000000,""))</f>
        <v>46301.6161575</v>
      </c>
      <c r="AL95">
        <f>IF(OR('Base Exámenes'!C95="",'Base Exámenes'!E95=""),"",IF(COUNTIF('Base Exámenes'!$C$5:C95,'Base Exámenes'!C95)=1,'Base Exámenes'!E95+ROW()/1000000000,""))</f>
        <v>46301.641261666664</v>
      </c>
      <c r="AM95">
        <f>IF(OR('Base Exámenes'!C95="",'Base Exámenes'!G95=""),"",IF(ROW()-4=MATCH('Base Exámenes'!C95&amp;"|"&amp;_xlfn.MAXIFS('Base Exámenes'!$G$5:$G$1000,'Base Exámenes'!$C$5:$C$1000,'Base Exámenes'!C95),'Base Exámenes'!$I$5:$I$1000,0),'Base Exámenes'!G95*1000000+(-1)*'Base Exámenes'!D95,""))</f>
        <v>99953698.3838426</v>
      </c>
      <c r="AQ95" t="str">
        <f>IF('Base Exámenes'!C95="","",IF(COUNTIF('Base Exámenes'!$C$5:$C$1000,'Base Exámenes'!C95)&lt;2,"",MATCH('Base Exámenes'!C95,'Base Exámenes'!$C$5:$C$1000,0)*10000+ROW()))</f>
        <v/>
      </c>
    </row>
    <row r="96">
      <c r="A96" t="str">
        <f>IF('Consolidado por área'!A71="","",TRIM('Consolidado por área'!A71))</f>
        <v/>
      </c>
      <c r="B96" t="str">
        <f>IF($A96="","",'Consolidado por área'!B71)</f>
        <v/>
      </c>
      <c r="C96" t="str">
        <f>IF($A96="","",'Consolidado por área'!C71)</f>
        <v/>
      </c>
      <c r="D96" t="str">
        <f>IF($A96="","",'Consolidado por área'!D71)</f>
        <v/>
      </c>
      <c r="E96" t="str">
        <f>IF($A96="","",'Consolidado por área'!E71)</f>
        <v/>
      </c>
      <c r="F96" t="str">
        <f>IF($A96="","",IF(C96&gt;0,D96/C96,0))</f>
        <v/>
      </c>
      <c r="G96" t="str">
        <f>IF($A96="","",F96*1000000+C96*10+(1000-ROW())/10000)</f>
        <v/>
      </c>
      <c r="H96" t="str">
        <f>IF($A96="","",'Consolidado por área'!H71)</f>
        <v/>
      </c>
      <c r="J96" t="n">
        <v>67</v>
      </c>
      <c r="K96" t="str">
        <f>IF(J96&gt;COUNT($G$30:$G$109),"",MATCH(LARGE($G$30:$G$109,J96),$G$30:$G$109,0))</f>
        <v/>
      </c>
      <c r="L96" t="str">
        <f>IF($K96="","",INDEX($A$30:$A$109,K96)&amp;"   "&amp;TEXT(INDEX($F$30:$F$109,K96),"0%"))</f>
        <v/>
      </c>
      <c r="M96" t="str">
        <f>IF($K96="","",INDEX($D$30:$D$109,K96))</f>
        <v/>
      </c>
      <c r="N96" t="str">
        <f>IF($K96="","",INDEX($E$30:$E$109,K96))</f>
        <v/>
      </c>
      <c r="O96" t="str">
        <f>IF($K96="","",INDEX($A$30:$A$109,K96))</f>
        <v/>
      </c>
      <c r="P96" t="str">
        <f>IF($K96="","",INDEX($B$30:$B$109,K96))</f>
        <v/>
      </c>
      <c r="Q96" t="str">
        <f>IF($K96="","",INDEX($C$30:$C$109,K96))</f>
        <v/>
      </c>
      <c r="R96" t="str">
        <f>IF($K96="","",INDEX($F$30:$F$109,K96))</f>
        <v/>
      </c>
      <c r="S96" t="str">
        <f>IF($K96="","",INDEX($H$30:$H$109,K96))</f>
        <v/>
      </c>
      <c r="T96" t="str">
        <f>IF($K96="","",IF(OR('Dashboard Gerencial'!$B$5="Todas las gerencias",P96='Dashboard Gerencial'!$B$5),ROW(),""))</f>
        <v/>
      </c>
      <c r="Z96">
        <f>IF('Detalle individual'!A96="","",IF(AND(OR('Estado por Colaborador'!$D$4="Todas las gerencias",'Detalle individual'!D96='Estado por Colaborador'!$D$4),OR('Estado por Colaborador'!$D$5="Todos los departamentos",TRIM('Detalle individual'!C96)='Estado por Colaborador'!$D$5),OR('Estado por Colaborador'!$D$6="Todos",'Detalle individual'!F96='Estado por Colaborador'!$D$6)),IF('Detalle individual'!F96="Completado",30000000,IF('Detalle individual'!F96="Pendiente",0,15000000))+COUNTIF('Detalle individual'!$C$5:$C$1000,"&lt;"&amp;'Detalle individual'!C96)*10000+ROW(),""))</f>
        <v>38460096</v>
      </c>
      <c r="AB96" t="str">
        <f>IF('Detalle individual'!C96="","",IF(COUNTIF('Detalle individual'!$C$5:C96,'Detalle individual'!C96)=1,COUNTIF('Detalle individual'!$C$5:$C$1000,"&lt;"&amp;'Detalle individual'!C96),""))</f>
        <v/>
      </c>
      <c r="AC96" t="str">
        <f>IF('Detalle individual'!D96="","",IF(COUNTIF('Detalle individual'!$D$5:D96,'Detalle individual'!D96)=1,COUNTIF('Detalle individual'!$D$5:$D$1000,"&lt;"&amp;'Detalle individual'!D96),""))</f>
        <v/>
      </c>
      <c r="AH96" t="str">
        <f>IF('Detalle individual'!F96="Pendiente",COUNTIF('Detalle individual'!$D$5:$D$1000,"&lt;"&amp;'Detalle individual'!D96)*1000000+COUNTIF('Detalle individual'!$C$5:$C$1000,"&lt;"&amp;'Detalle individual'!C96)*1000+COUNTIF('Detalle individual'!$B$5:$B$1000,"&lt;"&amp;'Detalle individual'!B96)+ROW()/10000,"")</f>
        <v/>
      </c>
      <c r="AI96">
        <f>IF('Detalle individual'!F96="Completado",COUNTIF('Detalle individual'!$D$5:$D$1000,"&lt;"&amp;'Detalle individual'!D96)*1000000+COUNTIF('Detalle individual'!$C$5:$C$1000,"&lt;"&amp;'Detalle individual'!C96)*1000+COUNTIF('Detalle individual'!$B$5:$B$1000,"&lt;"&amp;'Detalle individual'!B96)+ROW()/10000,"")</f>
        <v>746846859.0096</v>
      </c>
      <c r="AJ96" t="str">
        <f>IF(AND('Detalle individual'!F96&lt;&gt;"",'Detalle individual'!F96&lt;&gt;"Completado",'Detalle individual'!F96&lt;&gt;"Pendiente"),COUNTIF('Detalle individual'!$D$5:$D$1000,"&lt;"&amp;'Detalle individual'!D96)*1000000+COUNTIF('Detalle individual'!$C$5:$C$1000,"&lt;"&amp;'Detalle individual'!C96)*1000+COUNTIF('Detalle individual'!$B$5:$B$1000,"&lt;"&amp;'Detalle individual'!B96)+ROW()/10000,"")</f>
        <v/>
      </c>
      <c r="AK96">
        <f>IF(OR('Base Exámenes'!C96="",'Base Exámenes'!D96=""),"",IF(COUNTIF('Base Exámenes'!$C$5:C96,'Base Exámenes'!C96)=1,'Base Exámenes'!D96+ROW()/1000000000,""))</f>
        <v>46301.62170148148</v>
      </c>
      <c r="AL96">
        <f>IF(OR('Base Exámenes'!C96="",'Base Exámenes'!E96=""),"",IF(COUNTIF('Base Exámenes'!$C$5:C96,'Base Exámenes'!C96)=1,'Base Exámenes'!E96+ROW()/1000000000,""))</f>
        <v>46301.64635425926</v>
      </c>
      <c r="AM96">
        <f>IF(OR('Base Exámenes'!C96="",'Base Exámenes'!G96=""),"",IF(ROW()-4=MATCH('Base Exámenes'!C96&amp;"|"&amp;_xlfn.MAXIFS('Base Exámenes'!$G$5:$G$1000,'Base Exámenes'!$C$5:$C$1000,'Base Exámenes'!C96),'Base Exámenes'!$I$5:$I$1000,0),'Base Exámenes'!G96*1000000+(-1)*'Base Exámenes'!D96,""))</f>
        <v>99953698.3782986</v>
      </c>
      <c r="AQ96" t="str">
        <f>IF('Base Exámenes'!C96="","",IF(COUNTIF('Base Exámenes'!$C$5:$C$1000,'Base Exámenes'!C96)&lt;2,"",MATCH('Base Exámenes'!C96,'Base Exámenes'!$C$5:$C$1000,0)*10000+ROW()))</f>
        <v/>
      </c>
    </row>
    <row r="97">
      <c r="A97" t="str">
        <f>IF('Consolidado por área'!A72="","",TRIM('Consolidado por área'!A72))</f>
        <v/>
      </c>
      <c r="B97" t="str">
        <f>IF($A97="","",'Consolidado por área'!B72)</f>
        <v/>
      </c>
      <c r="C97" t="str">
        <f>IF($A97="","",'Consolidado por área'!C72)</f>
        <v/>
      </c>
      <c r="D97" t="str">
        <f>IF($A97="","",'Consolidado por área'!D72)</f>
        <v/>
      </c>
      <c r="E97" t="str">
        <f>IF($A97="","",'Consolidado por área'!E72)</f>
        <v/>
      </c>
      <c r="F97" t="str">
        <f>IF($A97="","",IF(C97&gt;0,D97/C97,0))</f>
        <v/>
      </c>
      <c r="G97" t="str">
        <f>IF($A97="","",F97*1000000+C97*10+(1000-ROW())/10000)</f>
        <v/>
      </c>
      <c r="H97" t="str">
        <f>IF($A97="","",'Consolidado por área'!H72)</f>
        <v/>
      </c>
      <c r="J97" t="n">
        <v>68</v>
      </c>
      <c r="K97" t="str">
        <f>IF(J97&gt;COUNT($G$30:$G$109),"",MATCH(LARGE($G$30:$G$109,J97),$G$30:$G$109,0))</f>
        <v/>
      </c>
      <c r="L97" t="str">
        <f>IF($K97="","",INDEX($A$30:$A$109,K97)&amp;"   "&amp;TEXT(INDEX($F$30:$F$109,K97),"0%"))</f>
        <v/>
      </c>
      <c r="M97" t="str">
        <f>IF($K97="","",INDEX($D$30:$D$109,K97))</f>
        <v/>
      </c>
      <c r="N97" t="str">
        <f>IF($K97="","",INDEX($E$30:$E$109,K97))</f>
        <v/>
      </c>
      <c r="O97" t="str">
        <f>IF($K97="","",INDEX($A$30:$A$109,K97))</f>
        <v/>
      </c>
      <c r="P97" t="str">
        <f>IF($K97="","",INDEX($B$30:$B$109,K97))</f>
        <v/>
      </c>
      <c r="Q97" t="str">
        <f>IF($K97="","",INDEX($C$30:$C$109,K97))</f>
        <v/>
      </c>
      <c r="R97" t="str">
        <f>IF($K97="","",INDEX($F$30:$F$109,K97))</f>
        <v/>
      </c>
      <c r="S97" t="str">
        <f>IF($K97="","",INDEX($H$30:$H$109,K97))</f>
        <v/>
      </c>
      <c r="T97" t="str">
        <f>IF($K97="","",IF(OR('Dashboard Gerencial'!$B$5="Todas las gerencias",P97='Dashboard Gerencial'!$B$5),ROW(),""))</f>
        <v/>
      </c>
      <c r="Z97">
        <f>IF('Detalle individual'!A97="","",IF(AND(OR('Estado por Colaborador'!$D$4="Todas las gerencias",'Detalle individual'!D97='Estado por Colaborador'!$D$4),OR('Estado por Colaborador'!$D$5="Todos los departamentos",TRIM('Detalle individual'!C97)='Estado por Colaborador'!$D$5),OR('Estado por Colaborador'!$D$6="Todos",'Detalle individual'!F97='Estado por Colaborador'!$D$6)),IF('Detalle individual'!F97="Completado",30000000,IF('Detalle individual'!F97="Pendiente",0,15000000))+COUNTIF('Detalle individual'!$C$5:$C$1000,"&lt;"&amp;'Detalle individual'!C97)*10000+ROW(),""))</f>
        <v>38460097</v>
      </c>
      <c r="AB97" t="str">
        <f>IF('Detalle individual'!C97="","",IF(COUNTIF('Detalle individual'!$C$5:C97,'Detalle individual'!C97)=1,COUNTIF('Detalle individual'!$C$5:$C$1000,"&lt;"&amp;'Detalle individual'!C97),""))</f>
        <v/>
      </c>
      <c r="AC97" t="str">
        <f>IF('Detalle individual'!D97="","",IF(COUNTIF('Detalle individual'!$D$5:D97,'Detalle individual'!D97)=1,COUNTIF('Detalle individual'!$D$5:$D$1000,"&lt;"&amp;'Detalle individual'!D97),""))</f>
        <v/>
      </c>
      <c r="AH97" t="str">
        <f>IF('Detalle individual'!F97="Pendiente",COUNTIF('Detalle individual'!$D$5:$D$1000,"&lt;"&amp;'Detalle individual'!D97)*1000000+COUNTIF('Detalle individual'!$C$5:$C$1000,"&lt;"&amp;'Detalle individual'!C97)*1000+COUNTIF('Detalle individual'!$B$5:$B$1000,"&lt;"&amp;'Detalle individual'!B97)+ROW()/10000,"")</f>
        <v/>
      </c>
      <c r="AI97">
        <f>IF('Detalle individual'!F97="Completado",COUNTIF('Detalle individual'!$D$5:$D$1000,"&lt;"&amp;'Detalle individual'!D97)*1000000+COUNTIF('Detalle individual'!$C$5:$C$1000,"&lt;"&amp;'Detalle individual'!C97)*1000+COUNTIF('Detalle individual'!$B$5:$B$1000,"&lt;"&amp;'Detalle individual'!B97)+ROW()/10000,"")</f>
        <v>746846844.0097</v>
      </c>
      <c r="AJ97" t="str">
        <f>IF(AND('Detalle individual'!F97&lt;&gt;"",'Detalle individual'!F97&lt;&gt;"Completado",'Detalle individual'!F97&lt;&gt;"Pendiente"),COUNTIF('Detalle individual'!$D$5:$D$1000,"&lt;"&amp;'Detalle individual'!D97)*1000000+COUNTIF('Detalle individual'!$C$5:$C$1000,"&lt;"&amp;'Detalle individual'!C97)*1000+COUNTIF('Detalle individual'!$B$5:$B$1000,"&lt;"&amp;'Detalle individual'!B97)+ROW()/10000,"")</f>
        <v/>
      </c>
      <c r="AK97">
        <f>IF(OR('Base Exámenes'!C97="",'Base Exámenes'!D97=""),"",IF(COUNTIF('Base Exámenes'!$C$5:C97,'Base Exámenes'!C97)=1,'Base Exámenes'!D97+ROW()/1000000000,""))</f>
        <v>46301.653310277776</v>
      </c>
      <c r="AL97">
        <f>IF(OR('Base Exámenes'!C97="",'Base Exámenes'!E97=""),"",IF(COUNTIF('Base Exámenes'!$C$5:C97,'Base Exámenes'!C97)=1,'Base Exámenes'!E97+ROW()/1000000000,""))</f>
        <v>46301.6592825</v>
      </c>
      <c r="AM97">
        <f>IF(OR('Base Exámenes'!C97="",'Base Exámenes'!G97=""),"",IF(ROW()-4=MATCH('Base Exámenes'!C97&amp;"|"&amp;_xlfn.MAXIFS('Base Exámenes'!$G$5:$G$1000,'Base Exámenes'!$C$5:$C$1000,'Base Exámenes'!C97),'Base Exámenes'!$I$5:$I$1000,0),'Base Exámenes'!G97*1000000+(-1)*'Base Exámenes'!D97,""))</f>
        <v>99953698.3466898</v>
      </c>
      <c r="AQ97" t="str">
        <f>IF('Base Exámenes'!C97="","",IF(COUNTIF('Base Exámenes'!$C$5:$C$1000,'Base Exámenes'!C97)&lt;2,"",MATCH('Base Exámenes'!C97,'Base Exámenes'!$C$5:$C$1000,0)*10000+ROW()))</f>
        <v/>
      </c>
    </row>
    <row r="98">
      <c r="A98" t="str">
        <f>IF('Consolidado por área'!A73="","",TRIM('Consolidado por área'!A73))</f>
        <v/>
      </c>
      <c r="B98" t="str">
        <f>IF($A98="","",'Consolidado por área'!B73)</f>
        <v/>
      </c>
      <c r="C98" t="str">
        <f>IF($A98="","",'Consolidado por área'!C73)</f>
        <v/>
      </c>
      <c r="D98" t="str">
        <f>IF($A98="","",'Consolidado por área'!D73)</f>
        <v/>
      </c>
      <c r="E98" t="str">
        <f>IF($A98="","",'Consolidado por área'!E73)</f>
        <v/>
      </c>
      <c r="F98" t="str">
        <f>IF($A98="","",IF(C98&gt;0,D98/C98,0))</f>
        <v/>
      </c>
      <c r="G98" t="str">
        <f>IF($A98="","",F98*1000000+C98*10+(1000-ROW())/10000)</f>
        <v/>
      </c>
      <c r="H98" t="str">
        <f>IF($A98="","",'Consolidado por área'!H73)</f>
        <v/>
      </c>
      <c r="J98" t="n">
        <v>69</v>
      </c>
      <c r="K98" t="str">
        <f>IF(J98&gt;COUNT($G$30:$G$109),"",MATCH(LARGE($G$30:$G$109,J98),$G$30:$G$109,0))</f>
        <v/>
      </c>
      <c r="L98" t="str">
        <f>IF($K98="","",INDEX($A$30:$A$109,K98)&amp;"   "&amp;TEXT(INDEX($F$30:$F$109,K98),"0%"))</f>
        <v/>
      </c>
      <c r="M98" t="str">
        <f>IF($K98="","",INDEX($D$30:$D$109,K98))</f>
        <v/>
      </c>
      <c r="N98" t="str">
        <f>IF($K98="","",INDEX($E$30:$E$109,K98))</f>
        <v/>
      </c>
      <c r="O98" t="str">
        <f>IF($K98="","",INDEX($A$30:$A$109,K98))</f>
        <v/>
      </c>
      <c r="P98" t="str">
        <f>IF($K98="","",INDEX($B$30:$B$109,K98))</f>
        <v/>
      </c>
      <c r="Q98" t="str">
        <f>IF($K98="","",INDEX($C$30:$C$109,K98))</f>
        <v/>
      </c>
      <c r="R98" t="str">
        <f>IF($K98="","",INDEX($F$30:$F$109,K98))</f>
        <v/>
      </c>
      <c r="S98" t="str">
        <f>IF($K98="","",INDEX($H$30:$H$109,K98))</f>
        <v/>
      </c>
      <c r="T98" t="str">
        <f>IF($K98="","",IF(OR('Dashboard Gerencial'!$B$5="Todas las gerencias",P98='Dashboard Gerencial'!$B$5),ROW(),""))</f>
        <v/>
      </c>
      <c r="Z98">
        <f>IF('Detalle individual'!A98="","",IF(AND(OR('Estado por Colaborador'!$D$4="Todas las gerencias",'Detalle individual'!D98='Estado por Colaborador'!$D$4),OR('Estado por Colaborador'!$D$5="Todos los departamentos",TRIM('Detalle individual'!C98)='Estado por Colaborador'!$D$5),OR('Estado por Colaborador'!$D$6="Todos",'Detalle individual'!F98='Estado por Colaborador'!$D$6)),IF('Detalle individual'!F98="Completado",30000000,IF('Detalle individual'!F98="Pendiente",0,15000000))+COUNTIF('Detalle individual'!$C$5:$C$1000,"&lt;"&amp;'Detalle individual'!C98)*10000+ROW(),""))</f>
        <v>38990098</v>
      </c>
      <c r="AB98">
        <f>IF('Detalle individual'!C98="","",IF(COUNTIF('Detalle individual'!$C$5:C98,'Detalle individual'!C98)=1,COUNTIF('Detalle individual'!$C$5:$C$1000,"&lt;"&amp;'Detalle individual'!C98),""))</f>
        <v>899</v>
      </c>
      <c r="AC98" t="str">
        <f>IF('Detalle individual'!D98="","",IF(COUNTIF('Detalle individual'!$D$5:D98,'Detalle individual'!D98)=1,COUNTIF('Detalle individual'!$D$5:$D$1000,"&lt;"&amp;'Detalle individual'!D98),""))</f>
        <v/>
      </c>
      <c r="AH98" t="str">
        <f>IF('Detalle individual'!F98="Pendiente",COUNTIF('Detalle individual'!$D$5:$D$1000,"&lt;"&amp;'Detalle individual'!D98)*1000000+COUNTIF('Detalle individual'!$C$5:$C$1000,"&lt;"&amp;'Detalle individual'!C98)*1000+COUNTIF('Detalle individual'!$B$5:$B$1000,"&lt;"&amp;'Detalle individual'!B98)+ROW()/10000,"")</f>
        <v/>
      </c>
      <c r="AI98">
        <f>IF('Detalle individual'!F98="Completado",COUNTIF('Detalle individual'!$D$5:$D$1000,"&lt;"&amp;'Detalle individual'!D98)*1000000+COUNTIF('Detalle individual'!$C$5:$C$1000,"&lt;"&amp;'Detalle individual'!C98)*1000+COUNTIF('Detalle individual'!$B$5:$B$1000,"&lt;"&amp;'Detalle individual'!B98)+ROW()/10000,"")</f>
        <v>746899778.0098</v>
      </c>
      <c r="AJ98" t="str">
        <f>IF(AND('Detalle individual'!F98&lt;&gt;"",'Detalle individual'!F98&lt;&gt;"Completado",'Detalle individual'!F98&lt;&gt;"Pendiente"),COUNTIF('Detalle individual'!$D$5:$D$1000,"&lt;"&amp;'Detalle individual'!D98)*1000000+COUNTIF('Detalle individual'!$C$5:$C$1000,"&lt;"&amp;'Detalle individual'!C98)*1000+COUNTIF('Detalle individual'!$B$5:$B$1000,"&lt;"&amp;'Detalle individual'!B98)+ROW()/10000,"")</f>
        <v/>
      </c>
      <c r="AK98">
        <f>IF(OR('Base Exámenes'!C98="",'Base Exámenes'!D98=""),"",IF(COUNTIF('Base Exámenes'!$C$5:C98,'Base Exámenes'!C98)=1,'Base Exámenes'!D98+ROW()/1000000000,""))</f>
        <v>46301.67337972222</v>
      </c>
      <c r="AL98">
        <f>IF(OR('Base Exámenes'!C98="",'Base Exámenes'!E98=""),"",IF(COUNTIF('Base Exámenes'!$C$5:C98,'Base Exámenes'!C98)=1,'Base Exámenes'!E98+ROW()/1000000000,""))</f>
        <v>46301.68011583333</v>
      </c>
      <c r="AM98">
        <f>IF(OR('Base Exámenes'!C98="",'Base Exámenes'!G98=""),"",IF(ROW()-4=MATCH('Base Exámenes'!C98&amp;"|"&amp;_xlfn.MAXIFS('Base Exámenes'!$G$5:$G$1000,'Base Exámenes'!$C$5:$C$1000,'Base Exámenes'!C98),'Base Exámenes'!$I$5:$I$1000,0),'Base Exámenes'!G98*1000000+(-1)*'Base Exámenes'!D98,""))</f>
        <v>89953698.3266204</v>
      </c>
      <c r="AQ98" t="str">
        <f>IF('Base Exámenes'!C98="","",IF(COUNTIF('Base Exámenes'!$C$5:$C$1000,'Base Exámenes'!C98)&lt;2,"",MATCH('Base Exámenes'!C98,'Base Exámenes'!$C$5:$C$1000,0)*10000+ROW()))</f>
        <v/>
      </c>
    </row>
    <row r="99">
      <c r="A99" t="str">
        <f>IF('Consolidado por área'!A74="","",TRIM('Consolidado por área'!A74))</f>
        <v/>
      </c>
      <c r="B99" t="str">
        <f>IF($A99="","",'Consolidado por área'!B74)</f>
        <v/>
      </c>
      <c r="C99" t="str">
        <f>IF($A99="","",'Consolidado por área'!C74)</f>
        <v/>
      </c>
      <c r="D99" t="str">
        <f>IF($A99="","",'Consolidado por área'!D74)</f>
        <v/>
      </c>
      <c r="E99" t="str">
        <f>IF($A99="","",'Consolidado por área'!E74)</f>
        <v/>
      </c>
      <c r="F99" t="str">
        <f>IF($A99="","",IF(C99&gt;0,D99/C99,0))</f>
        <v/>
      </c>
      <c r="G99" t="str">
        <f>IF($A99="","",F99*1000000+C99*10+(1000-ROW())/10000)</f>
        <v/>
      </c>
      <c r="H99" t="str">
        <f>IF($A99="","",'Consolidado por área'!H74)</f>
        <v/>
      </c>
      <c r="J99" t="n">
        <v>70</v>
      </c>
      <c r="K99" t="str">
        <f>IF(J99&gt;COUNT($G$30:$G$109),"",MATCH(LARGE($G$30:$G$109,J99),$G$30:$G$109,0))</f>
        <v/>
      </c>
      <c r="L99" t="str">
        <f>IF($K99="","",INDEX($A$30:$A$109,K99)&amp;"   "&amp;TEXT(INDEX($F$30:$F$109,K99),"0%"))</f>
        <v/>
      </c>
      <c r="M99" t="str">
        <f>IF($K99="","",INDEX($D$30:$D$109,K99))</f>
        <v/>
      </c>
      <c r="N99" t="str">
        <f>IF($K99="","",INDEX($E$30:$E$109,K99))</f>
        <v/>
      </c>
      <c r="O99" t="str">
        <f>IF($K99="","",INDEX($A$30:$A$109,K99))</f>
        <v/>
      </c>
      <c r="P99" t="str">
        <f>IF($K99="","",INDEX($B$30:$B$109,K99))</f>
        <v/>
      </c>
      <c r="Q99" t="str">
        <f>IF($K99="","",INDEX($C$30:$C$109,K99))</f>
        <v/>
      </c>
      <c r="R99" t="str">
        <f>IF($K99="","",INDEX($F$30:$F$109,K99))</f>
        <v/>
      </c>
      <c r="S99" t="str">
        <f>IF($K99="","",INDEX($H$30:$H$109,K99))</f>
        <v/>
      </c>
      <c r="T99" t="str">
        <f>IF($K99="","",IF(OR('Dashboard Gerencial'!$B$5="Todas las gerencias",P99='Dashboard Gerencial'!$B$5),ROW(),""))</f>
        <v/>
      </c>
      <c r="Z99">
        <f>IF('Detalle individual'!A99="","",IF(AND(OR('Estado por Colaborador'!$D$4="Todas las gerencias",'Detalle individual'!D99='Estado por Colaborador'!$D$4),OR('Estado por Colaborador'!$D$5="Todos los departamentos",TRIM('Detalle individual'!C99)='Estado por Colaborador'!$D$5),OR('Estado por Colaborador'!$D$6="Todos",'Detalle individual'!F99='Estado por Colaborador'!$D$6)),IF('Detalle individual'!F99="Completado",30000000,IF('Detalle individual'!F99="Pendiente",0,15000000))+COUNTIF('Detalle individual'!$C$5:$C$1000,"&lt;"&amp;'Detalle individual'!C99)*10000+ROW(),""))</f>
        <v>38990099</v>
      </c>
      <c r="AB99" t="str">
        <f>IF('Detalle individual'!C99="","",IF(COUNTIF('Detalle individual'!$C$5:C99,'Detalle individual'!C99)=1,COUNTIF('Detalle individual'!$C$5:$C$1000,"&lt;"&amp;'Detalle individual'!C99),""))</f>
        <v/>
      </c>
      <c r="AC99" t="str">
        <f>IF('Detalle individual'!D99="","",IF(COUNTIF('Detalle individual'!$D$5:D99,'Detalle individual'!D99)=1,COUNTIF('Detalle individual'!$D$5:$D$1000,"&lt;"&amp;'Detalle individual'!D99),""))</f>
        <v/>
      </c>
      <c r="AH99" t="str">
        <f>IF('Detalle individual'!F99="Pendiente",COUNTIF('Detalle individual'!$D$5:$D$1000,"&lt;"&amp;'Detalle individual'!D99)*1000000+COUNTIF('Detalle individual'!$C$5:$C$1000,"&lt;"&amp;'Detalle individual'!C99)*1000+COUNTIF('Detalle individual'!$B$5:$B$1000,"&lt;"&amp;'Detalle individual'!B99)+ROW()/10000,"")</f>
        <v/>
      </c>
      <c r="AI99">
        <f>IF('Detalle individual'!F99="Completado",COUNTIF('Detalle individual'!$D$5:$D$1000,"&lt;"&amp;'Detalle individual'!D99)*1000000+COUNTIF('Detalle individual'!$C$5:$C$1000,"&lt;"&amp;'Detalle individual'!C99)*1000+COUNTIF('Detalle individual'!$B$5:$B$1000,"&lt;"&amp;'Detalle individual'!B99)+ROW()/10000,"")</f>
        <v>746899951.0099</v>
      </c>
      <c r="AJ99" t="str">
        <f>IF(AND('Detalle individual'!F99&lt;&gt;"",'Detalle individual'!F99&lt;&gt;"Completado",'Detalle individual'!F99&lt;&gt;"Pendiente"),COUNTIF('Detalle individual'!$D$5:$D$1000,"&lt;"&amp;'Detalle individual'!D99)*1000000+COUNTIF('Detalle individual'!$C$5:$C$1000,"&lt;"&amp;'Detalle individual'!C99)*1000+COUNTIF('Detalle individual'!$B$5:$B$1000,"&lt;"&amp;'Detalle individual'!B99)+ROW()/10000,"")</f>
        <v/>
      </c>
      <c r="AK99">
        <f>IF(OR('Base Exámenes'!C99="",'Base Exámenes'!D99=""),"",IF(COUNTIF('Base Exámenes'!$C$5:C99,'Base Exámenes'!C99)=1,'Base Exámenes'!D99+ROW()/1000000000,""))</f>
        <v>46302.4208334375</v>
      </c>
      <c r="AL99">
        <f>IF(OR('Base Exámenes'!C99="",'Base Exámenes'!E99=""),"",IF(COUNTIF('Base Exámenes'!$C$5:C99,'Base Exámenes'!C99)=1,'Base Exámenes'!E99+ROW()/1000000000,""))</f>
        <v>46302.44182880787</v>
      </c>
      <c r="AM99">
        <f>IF(OR('Base Exámenes'!C99="",'Base Exámenes'!G99=""),"",IF(ROW()-4=MATCH('Base Exámenes'!C99&amp;"|"&amp;_xlfn.MAXIFS('Base Exámenes'!$G$5:$G$1000,'Base Exámenes'!$C$5:$C$1000,'Base Exámenes'!C99),'Base Exámenes'!$I$5:$I$1000,0),'Base Exámenes'!G99*1000000+(-1)*'Base Exámenes'!D99,""))</f>
        <v>99953697.5791667</v>
      </c>
      <c r="AQ99" t="str">
        <f>IF('Base Exámenes'!C99="","",IF(COUNTIF('Base Exámenes'!$C$5:$C$1000,'Base Exámenes'!C99)&lt;2,"",MATCH('Base Exámenes'!C99,'Base Exámenes'!$C$5:$C$1000,0)*10000+ROW()))</f>
        <v/>
      </c>
    </row>
    <row r="100">
      <c r="A100" t="str">
        <f>IF('Consolidado por área'!A75="","",TRIM('Consolidado por área'!A75))</f>
        <v/>
      </c>
      <c r="B100" t="str">
        <f>IF($A100="","",'Consolidado por área'!B75)</f>
        <v/>
      </c>
      <c r="C100" t="str">
        <f>IF($A100="","",'Consolidado por área'!C75)</f>
        <v/>
      </c>
      <c r="D100" t="str">
        <f>IF($A100="","",'Consolidado por área'!D75)</f>
        <v/>
      </c>
      <c r="E100" t="str">
        <f>IF($A100="","",'Consolidado por área'!E75)</f>
        <v/>
      </c>
      <c r="F100" t="str">
        <f>IF($A100="","",IF(C100&gt;0,D100/C100,0))</f>
        <v/>
      </c>
      <c r="G100" t="str">
        <f>IF($A100="","",F100*1000000+C100*10+(1000-ROW())/10000)</f>
        <v/>
      </c>
      <c r="H100" t="str">
        <f>IF($A100="","",'Consolidado por área'!H75)</f>
        <v/>
      </c>
      <c r="J100" t="n">
        <v>71</v>
      </c>
      <c r="K100" t="str">
        <f>IF(J100&gt;COUNT($G$30:$G$109),"",MATCH(LARGE($G$30:$G$109,J100),$G$30:$G$109,0))</f>
        <v/>
      </c>
      <c r="L100" t="str">
        <f>IF($K100="","",INDEX($A$30:$A$109,K100)&amp;"   "&amp;TEXT(INDEX($F$30:$F$109,K100),"0%"))</f>
        <v/>
      </c>
      <c r="M100" t="str">
        <f>IF($K100="","",INDEX($D$30:$D$109,K100))</f>
        <v/>
      </c>
      <c r="N100" t="str">
        <f>IF($K100="","",INDEX($E$30:$E$109,K100))</f>
        <v/>
      </c>
      <c r="O100" t="str">
        <f>IF($K100="","",INDEX($A$30:$A$109,K100))</f>
        <v/>
      </c>
      <c r="P100" t="str">
        <f>IF($K100="","",INDEX($B$30:$B$109,K100))</f>
        <v/>
      </c>
      <c r="Q100" t="str">
        <f>IF($K100="","",INDEX($C$30:$C$109,K100))</f>
        <v/>
      </c>
      <c r="R100" t="str">
        <f>IF($K100="","",INDEX($F$30:$F$109,K100))</f>
        <v/>
      </c>
      <c r="S100" t="str">
        <f>IF($K100="","",INDEX($H$30:$H$109,K100))</f>
        <v/>
      </c>
      <c r="T100" t="str">
        <f>IF($K100="","",IF(OR('Dashboard Gerencial'!$B$5="Todas las gerencias",P100='Dashboard Gerencial'!$B$5),ROW(),""))</f>
        <v/>
      </c>
      <c r="Z100">
        <f>IF('Detalle individual'!A100="","",IF(AND(OR('Estado por Colaborador'!$D$4="Todas las gerencias",'Detalle individual'!D100='Estado por Colaborador'!$D$4),OR('Estado por Colaborador'!$D$5="Todos los departamentos",TRIM('Detalle individual'!C100)='Estado por Colaborador'!$D$5),OR('Estado por Colaborador'!$D$6="Todos",'Detalle individual'!F100='Estado por Colaborador'!$D$6)),IF('Detalle individual'!F100="Completado",30000000,IF('Detalle individual'!F100="Pendiente",0,15000000))+COUNTIF('Detalle individual'!$C$5:$C$1000,"&lt;"&amp;'Detalle individual'!C100)*10000+ROW(),""))</f>
        <v>38990100</v>
      </c>
      <c r="AB100" t="str">
        <f>IF('Detalle individual'!C100="","",IF(COUNTIF('Detalle individual'!$C$5:C100,'Detalle individual'!C100)=1,COUNTIF('Detalle individual'!$C$5:$C$1000,"&lt;"&amp;'Detalle individual'!C100),""))</f>
        <v/>
      </c>
      <c r="AC100" t="str">
        <f>IF('Detalle individual'!D100="","",IF(COUNTIF('Detalle individual'!$D$5:D100,'Detalle individual'!D100)=1,COUNTIF('Detalle individual'!$D$5:$D$1000,"&lt;"&amp;'Detalle individual'!D100),""))</f>
        <v/>
      </c>
      <c r="AH100" t="str">
        <f>IF('Detalle individual'!F100="Pendiente",COUNTIF('Detalle individual'!$D$5:$D$1000,"&lt;"&amp;'Detalle individual'!D100)*1000000+COUNTIF('Detalle individual'!$C$5:$C$1000,"&lt;"&amp;'Detalle individual'!C100)*1000+COUNTIF('Detalle individual'!$B$5:$B$1000,"&lt;"&amp;'Detalle individual'!B100)+ROW()/10000,"")</f>
        <v/>
      </c>
      <c r="AI100">
        <f>IF('Detalle individual'!F100="Completado",COUNTIF('Detalle individual'!$D$5:$D$1000,"&lt;"&amp;'Detalle individual'!D100)*1000000+COUNTIF('Detalle individual'!$C$5:$C$1000,"&lt;"&amp;'Detalle individual'!C100)*1000+COUNTIF('Detalle individual'!$B$5:$B$1000,"&lt;"&amp;'Detalle individual'!B100)+ROW()/10000,"")</f>
        <v>746899772.01</v>
      </c>
      <c r="AJ100" t="str">
        <f>IF(AND('Detalle individual'!F100&lt;&gt;"",'Detalle individual'!F100&lt;&gt;"Completado",'Detalle individual'!F100&lt;&gt;"Pendiente"),COUNTIF('Detalle individual'!$D$5:$D$1000,"&lt;"&amp;'Detalle individual'!D100)*1000000+COUNTIF('Detalle individual'!$C$5:$C$1000,"&lt;"&amp;'Detalle individual'!C100)*1000+COUNTIF('Detalle individual'!$B$5:$B$1000,"&lt;"&amp;'Detalle individual'!B100)+ROW()/10000,"")</f>
        <v/>
      </c>
      <c r="AK100">
        <f>IF(OR('Base Exámenes'!C100="",'Base Exámenes'!D100=""),"",IF(COUNTIF('Base Exámenes'!$C$5:C100,'Base Exámenes'!C100)=1,'Base Exámenes'!D100+ROW()/1000000000,""))</f>
        <v>46302.46341445602</v>
      </c>
      <c r="AL100">
        <f>IF(OR('Base Exámenes'!C100="",'Base Exámenes'!E100=""),"",IF(COUNTIF('Base Exámenes'!$C$5:C100,'Base Exámenes'!C100)=1,'Base Exámenes'!E100+ROW()/1000000000,""))</f>
        <v>46302.47909732639</v>
      </c>
      <c r="AM100">
        <f>IF(OR('Base Exámenes'!C100="",'Base Exámenes'!G100=""),"",IF(ROW()-4=MATCH('Base Exámenes'!C100&amp;"|"&amp;_xlfn.MAXIFS('Base Exámenes'!$G$5:$G$1000,'Base Exámenes'!$C$5:$C$1000,'Base Exámenes'!C100),'Base Exámenes'!$I$5:$I$1000,0),'Base Exámenes'!G100*1000000+(-1)*'Base Exámenes'!D100,""))</f>
        <v>99953697.5365856</v>
      </c>
      <c r="AQ100" t="str">
        <f>IF('Base Exámenes'!C100="","",IF(COUNTIF('Base Exámenes'!$C$5:$C$1000,'Base Exámenes'!C100)&lt;2,"",MATCH('Base Exámenes'!C100,'Base Exámenes'!$C$5:$C$1000,0)*10000+ROW()))</f>
        <v/>
      </c>
    </row>
    <row r="101">
      <c r="A101" t="str">
        <f>IF('Consolidado por área'!A76="","",TRIM('Consolidado por área'!A76))</f>
        <v/>
      </c>
      <c r="B101" t="str">
        <f>IF($A101="","",'Consolidado por área'!B76)</f>
        <v/>
      </c>
      <c r="C101" t="str">
        <f>IF($A101="","",'Consolidado por área'!C76)</f>
        <v/>
      </c>
      <c r="D101" t="str">
        <f>IF($A101="","",'Consolidado por área'!D76)</f>
        <v/>
      </c>
      <c r="E101" t="str">
        <f>IF($A101="","",'Consolidado por área'!E76)</f>
        <v/>
      </c>
      <c r="F101" t="str">
        <f>IF($A101="","",IF(C101&gt;0,D101/C101,0))</f>
        <v/>
      </c>
      <c r="G101" t="str">
        <f>IF($A101="","",F101*1000000+C101*10+(1000-ROW())/10000)</f>
        <v/>
      </c>
      <c r="H101" t="str">
        <f>IF($A101="","",'Consolidado por área'!H76)</f>
        <v/>
      </c>
      <c r="J101" t="n">
        <v>72</v>
      </c>
      <c r="K101" t="str">
        <f>IF(J101&gt;COUNT($G$30:$G$109),"",MATCH(LARGE($G$30:$G$109,J101),$G$30:$G$109,0))</f>
        <v/>
      </c>
      <c r="L101" t="str">
        <f>IF($K101="","",INDEX($A$30:$A$109,K101)&amp;"   "&amp;TEXT(INDEX($F$30:$F$109,K101),"0%"))</f>
        <v/>
      </c>
      <c r="M101" t="str">
        <f>IF($K101="","",INDEX($D$30:$D$109,K101))</f>
        <v/>
      </c>
      <c r="N101" t="str">
        <f>IF($K101="","",INDEX($E$30:$E$109,K101))</f>
        <v/>
      </c>
      <c r="O101" t="str">
        <f>IF($K101="","",INDEX($A$30:$A$109,K101))</f>
        <v/>
      </c>
      <c r="P101" t="str">
        <f>IF($K101="","",INDEX($B$30:$B$109,K101))</f>
        <v/>
      </c>
      <c r="Q101" t="str">
        <f>IF($K101="","",INDEX($C$30:$C$109,K101))</f>
        <v/>
      </c>
      <c r="R101" t="str">
        <f>IF($K101="","",INDEX($F$30:$F$109,K101))</f>
        <v/>
      </c>
      <c r="S101" t="str">
        <f>IF($K101="","",INDEX($H$30:$H$109,K101))</f>
        <v/>
      </c>
      <c r="T101" t="str">
        <f>IF($K101="","",IF(OR('Dashboard Gerencial'!$B$5="Todas las gerencias",P101='Dashboard Gerencial'!$B$5),ROW(),""))</f>
        <v/>
      </c>
      <c r="Z101">
        <f>IF('Detalle individual'!A101="","",IF(AND(OR('Estado por Colaborador'!$D$4="Todas las gerencias",'Detalle individual'!D101='Estado por Colaborador'!$D$4),OR('Estado por Colaborador'!$D$5="Todos los departamentos",TRIM('Detalle individual'!C101)='Estado por Colaborador'!$D$5),OR('Estado por Colaborador'!$D$6="Todos",'Detalle individual'!F101='Estado por Colaborador'!$D$6)),IF('Detalle individual'!F101="Completado",30000000,IF('Detalle individual'!F101="Pendiente",0,15000000))+COUNTIF('Detalle individual'!$C$5:$C$1000,"&lt;"&amp;'Detalle individual'!C101)*10000+ROW(),""))</f>
        <v>39710101</v>
      </c>
      <c r="AB101" t="str">
        <f>IF('Detalle individual'!C101="","",IF(COUNTIF('Detalle individual'!$C$5:C101,'Detalle individual'!C101)=1,COUNTIF('Detalle individual'!$C$5:$C$1000,"&lt;"&amp;'Detalle individual'!C101),""))</f>
        <v/>
      </c>
      <c r="AC101" t="str">
        <f>IF('Detalle individual'!D101="","",IF(COUNTIF('Detalle individual'!$D$5:D101,'Detalle individual'!D101)=1,COUNTIF('Detalle individual'!$D$5:$D$1000,"&lt;"&amp;'Detalle individual'!D101),""))</f>
        <v/>
      </c>
      <c r="AH101" t="str">
        <f>IF('Detalle individual'!F101="Pendiente",COUNTIF('Detalle individual'!$D$5:$D$1000,"&lt;"&amp;'Detalle individual'!D101)*1000000+COUNTIF('Detalle individual'!$C$5:$C$1000,"&lt;"&amp;'Detalle individual'!C101)*1000+COUNTIF('Detalle individual'!$B$5:$B$1000,"&lt;"&amp;'Detalle individual'!B101)+ROW()/10000,"")</f>
        <v/>
      </c>
      <c r="AI101">
        <f>IF('Detalle individual'!F101="Completado",COUNTIF('Detalle individual'!$D$5:$D$1000,"&lt;"&amp;'Detalle individual'!D101)*1000000+COUNTIF('Detalle individual'!$C$5:$C$1000,"&lt;"&amp;'Detalle individual'!C101)*1000+COUNTIF('Detalle individual'!$B$5:$B$1000,"&lt;"&amp;'Detalle individual'!B101)+ROW()/10000,"")</f>
        <v>951971789.0101</v>
      </c>
      <c r="AJ101" t="str">
        <f>IF(AND('Detalle individual'!F101&lt;&gt;"",'Detalle individual'!F101&lt;&gt;"Completado",'Detalle individual'!F101&lt;&gt;"Pendiente"),COUNTIF('Detalle individual'!$D$5:$D$1000,"&lt;"&amp;'Detalle individual'!D101)*1000000+COUNTIF('Detalle individual'!$C$5:$C$1000,"&lt;"&amp;'Detalle individual'!C101)*1000+COUNTIF('Detalle individual'!$B$5:$B$1000,"&lt;"&amp;'Detalle individual'!B101)+ROW()/10000,"")</f>
        <v/>
      </c>
      <c r="AK101">
        <f>IF(OR('Base Exámenes'!C101="",'Base Exámenes'!D101=""),"",IF(COUNTIF('Base Exámenes'!$C$5:C101,'Base Exámenes'!C101)=1,'Base Exámenes'!D101+ROW()/1000000000,""))</f>
        <v>46302.469988530094</v>
      </c>
      <c r="AL101">
        <f>IF(OR('Base Exámenes'!C101="",'Base Exámenes'!E101=""),"",IF(COUNTIF('Base Exámenes'!$C$5:C101,'Base Exámenes'!C101)=1,'Base Exámenes'!E101+ROW()/1000000000,""))</f>
        <v>46302.48327556713</v>
      </c>
      <c r="AM101">
        <f>IF(OR('Base Exámenes'!C101="",'Base Exámenes'!G101=""),"",IF(ROW()-4=MATCH('Base Exámenes'!C101&amp;"|"&amp;_xlfn.MAXIFS('Base Exámenes'!$G$5:$G$1000,'Base Exámenes'!$C$5:$C$1000,'Base Exámenes'!C101),'Base Exámenes'!$I$5:$I$1000,0),'Base Exámenes'!G101*1000000+(-1)*'Base Exámenes'!D101,""))</f>
        <v>99953697.5300116</v>
      </c>
      <c r="AQ101" t="str">
        <f>IF('Base Exámenes'!C101="","",IF(COUNTIF('Base Exámenes'!$C$5:$C$1000,'Base Exámenes'!C101)&lt;2,"",MATCH('Base Exámenes'!C101,'Base Exámenes'!$C$5:$C$1000,0)*10000+ROW()))</f>
        <v/>
      </c>
    </row>
    <row r="102">
      <c r="A102" t="str">
        <f>IF('Consolidado por área'!A77="","",TRIM('Consolidado por área'!A77))</f>
        <v/>
      </c>
      <c r="B102" t="str">
        <f>IF($A102="","",'Consolidado por área'!B77)</f>
        <v/>
      </c>
      <c r="C102" t="str">
        <f>IF($A102="","",'Consolidado por área'!C77)</f>
        <v/>
      </c>
      <c r="D102" t="str">
        <f>IF($A102="","",'Consolidado por área'!D77)</f>
        <v/>
      </c>
      <c r="E102" t="str">
        <f>IF($A102="","",'Consolidado por área'!E77)</f>
        <v/>
      </c>
      <c r="F102" t="str">
        <f>IF($A102="","",IF(C102&gt;0,D102/C102,0))</f>
        <v/>
      </c>
      <c r="G102" t="str">
        <f>IF($A102="","",F102*1000000+C102*10+(1000-ROW())/10000)</f>
        <v/>
      </c>
      <c r="H102" t="str">
        <f>IF($A102="","",'Consolidado por área'!H77)</f>
        <v/>
      </c>
      <c r="J102" t="n">
        <v>73</v>
      </c>
      <c r="K102" t="str">
        <f>IF(J102&gt;COUNT($G$30:$G$109),"",MATCH(LARGE($G$30:$G$109,J102),$G$30:$G$109,0))</f>
        <v/>
      </c>
      <c r="L102" t="str">
        <f>IF($K102="","",INDEX($A$30:$A$109,K102)&amp;"   "&amp;TEXT(INDEX($F$30:$F$109,K102),"0%"))</f>
        <v/>
      </c>
      <c r="M102" t="str">
        <f>IF($K102="","",INDEX($D$30:$D$109,K102))</f>
        <v/>
      </c>
      <c r="N102" t="str">
        <f>IF($K102="","",INDEX($E$30:$E$109,K102))</f>
        <v/>
      </c>
      <c r="O102" t="str">
        <f>IF($K102="","",INDEX($A$30:$A$109,K102))</f>
        <v/>
      </c>
      <c r="P102" t="str">
        <f>IF($K102="","",INDEX($B$30:$B$109,K102))</f>
        <v/>
      </c>
      <c r="Q102" t="str">
        <f>IF($K102="","",INDEX($C$30:$C$109,K102))</f>
        <v/>
      </c>
      <c r="R102" t="str">
        <f>IF($K102="","",INDEX($F$30:$F$109,K102))</f>
        <v/>
      </c>
      <c r="S102" t="str">
        <f>IF($K102="","",INDEX($H$30:$H$109,K102))</f>
        <v/>
      </c>
      <c r="T102" t="str">
        <f>IF($K102="","",IF(OR('Dashboard Gerencial'!$B$5="Todas las gerencias",P102='Dashboard Gerencial'!$B$5),ROW(),""))</f>
        <v/>
      </c>
      <c r="Z102">
        <f>IF('Detalle individual'!A102="","",IF(AND(OR('Estado por Colaborador'!$D$4="Todas las gerencias",'Detalle individual'!D102='Estado por Colaborador'!$D$4),OR('Estado por Colaborador'!$D$5="Todos los departamentos",TRIM('Detalle individual'!C102)='Estado por Colaborador'!$D$5),OR('Estado por Colaborador'!$D$6="Todos",'Detalle individual'!F102='Estado por Colaborador'!$D$6)),IF('Detalle individual'!F102="Completado",30000000,IF('Detalle individual'!F102="Pendiente",0,15000000))+COUNTIF('Detalle individual'!$C$5:$C$1000,"&lt;"&amp;'Detalle individual'!C102)*10000+ROW(),""))</f>
        <v>39710102</v>
      </c>
      <c r="AB102" t="str">
        <f>IF('Detalle individual'!C102="","",IF(COUNTIF('Detalle individual'!$C$5:C102,'Detalle individual'!C102)=1,COUNTIF('Detalle individual'!$C$5:$C$1000,"&lt;"&amp;'Detalle individual'!C102),""))</f>
        <v/>
      </c>
      <c r="AC102" t="str">
        <f>IF('Detalle individual'!D102="","",IF(COUNTIF('Detalle individual'!$D$5:D102,'Detalle individual'!D102)=1,COUNTIF('Detalle individual'!$D$5:$D$1000,"&lt;"&amp;'Detalle individual'!D102),""))</f>
        <v/>
      </c>
      <c r="AH102" t="str">
        <f>IF('Detalle individual'!F102="Pendiente",COUNTIF('Detalle individual'!$D$5:$D$1000,"&lt;"&amp;'Detalle individual'!D102)*1000000+COUNTIF('Detalle individual'!$C$5:$C$1000,"&lt;"&amp;'Detalle individual'!C102)*1000+COUNTIF('Detalle individual'!$B$5:$B$1000,"&lt;"&amp;'Detalle individual'!B102)+ROW()/10000,"")</f>
        <v/>
      </c>
      <c r="AI102">
        <f>IF('Detalle individual'!F102="Completado",COUNTIF('Detalle individual'!$D$5:$D$1000,"&lt;"&amp;'Detalle individual'!D102)*1000000+COUNTIF('Detalle individual'!$C$5:$C$1000,"&lt;"&amp;'Detalle individual'!C102)*1000+COUNTIF('Detalle individual'!$B$5:$B$1000,"&lt;"&amp;'Detalle individual'!B102)+ROW()/10000,"")</f>
        <v>951971784.0102</v>
      </c>
      <c r="AJ102" t="str">
        <f>IF(AND('Detalle individual'!F102&lt;&gt;"",'Detalle individual'!F102&lt;&gt;"Completado",'Detalle individual'!F102&lt;&gt;"Pendiente"),COUNTIF('Detalle individual'!$D$5:$D$1000,"&lt;"&amp;'Detalle individual'!D102)*1000000+COUNTIF('Detalle individual'!$C$5:$C$1000,"&lt;"&amp;'Detalle individual'!C102)*1000+COUNTIF('Detalle individual'!$B$5:$B$1000,"&lt;"&amp;'Detalle individual'!B102)+ROW()/10000,"")</f>
        <v/>
      </c>
      <c r="AK102">
        <f>IF(OR('Base Exámenes'!C102="",'Base Exámenes'!D102=""),"",IF(COUNTIF('Base Exámenes'!$C$5:C102,'Base Exámenes'!C102)=1,'Base Exámenes'!D102+ROW()/1000000000,""))</f>
        <v>46302.47519686342</v>
      </c>
      <c r="AL102">
        <f>IF(OR('Base Exámenes'!C102="",'Base Exámenes'!E102=""),"",IF(COUNTIF('Base Exámenes'!$C$5:C102,'Base Exámenes'!C102)=1,'Base Exámenes'!E102+ROW()/1000000000,""))</f>
        <v>46302.48523158565</v>
      </c>
      <c r="AM102">
        <f>IF(OR('Base Exámenes'!C102="",'Base Exámenes'!G102=""),"",IF(ROW()-4=MATCH('Base Exámenes'!C102&amp;"|"&amp;_xlfn.MAXIFS('Base Exámenes'!$G$5:$G$1000,'Base Exámenes'!$C$5:$C$1000,'Base Exámenes'!C102),'Base Exámenes'!$I$5:$I$1000,0),'Base Exámenes'!G102*1000000+(-1)*'Base Exámenes'!D102,""))</f>
        <v>99953697.5248032</v>
      </c>
      <c r="AQ102" t="str">
        <f>IF('Base Exámenes'!C102="","",IF(COUNTIF('Base Exámenes'!$C$5:$C$1000,'Base Exámenes'!C102)&lt;2,"",MATCH('Base Exámenes'!C102,'Base Exámenes'!$C$5:$C$1000,0)*10000+ROW()))</f>
        <v/>
      </c>
    </row>
    <row r="103">
      <c r="A103" t="str">
        <f>IF('Consolidado por área'!A78="","",TRIM('Consolidado por área'!A78))</f>
        <v/>
      </c>
      <c r="B103" t="str">
        <f>IF($A103="","",'Consolidado por área'!B78)</f>
        <v/>
      </c>
      <c r="C103" t="str">
        <f>IF($A103="","",'Consolidado por área'!C78)</f>
        <v/>
      </c>
      <c r="D103" t="str">
        <f>IF($A103="","",'Consolidado por área'!D78)</f>
        <v/>
      </c>
      <c r="E103" t="str">
        <f>IF($A103="","",'Consolidado por área'!E78)</f>
        <v/>
      </c>
      <c r="F103" t="str">
        <f>IF($A103="","",IF(C103&gt;0,D103/C103,0))</f>
        <v/>
      </c>
      <c r="G103" t="str">
        <f>IF($A103="","",F103*1000000+C103*10+(1000-ROW())/10000)</f>
        <v/>
      </c>
      <c r="H103" t="str">
        <f>IF($A103="","",'Consolidado por área'!H78)</f>
        <v/>
      </c>
      <c r="J103" t="n">
        <v>74</v>
      </c>
      <c r="K103" t="str">
        <f>IF(J103&gt;COUNT($G$30:$G$109),"",MATCH(LARGE($G$30:$G$109,J103),$G$30:$G$109,0))</f>
        <v/>
      </c>
      <c r="L103" t="str">
        <f>IF($K103="","",INDEX($A$30:$A$109,K103)&amp;"   "&amp;TEXT(INDEX($F$30:$F$109,K103),"0%"))</f>
        <v/>
      </c>
      <c r="M103" t="str">
        <f>IF($K103="","",INDEX($D$30:$D$109,K103))</f>
        <v/>
      </c>
      <c r="N103" t="str">
        <f>IF($K103="","",INDEX($E$30:$E$109,K103))</f>
        <v/>
      </c>
      <c r="O103" t="str">
        <f>IF($K103="","",INDEX($A$30:$A$109,K103))</f>
        <v/>
      </c>
      <c r="P103" t="str">
        <f>IF($K103="","",INDEX($B$30:$B$109,K103))</f>
        <v/>
      </c>
      <c r="Q103" t="str">
        <f>IF($K103="","",INDEX($C$30:$C$109,K103))</f>
        <v/>
      </c>
      <c r="R103" t="str">
        <f>IF($K103="","",INDEX($F$30:$F$109,K103))</f>
        <v/>
      </c>
      <c r="S103" t="str">
        <f>IF($K103="","",INDEX($H$30:$H$109,K103))</f>
        <v/>
      </c>
      <c r="T103" t="str">
        <f>IF($K103="","",IF(OR('Dashboard Gerencial'!$B$5="Todas las gerencias",P103='Dashboard Gerencial'!$B$5),ROW(),""))</f>
        <v/>
      </c>
      <c r="Z103">
        <f>IF('Detalle individual'!A103="","",IF(AND(OR('Estado por Colaborador'!$D$4="Todas las gerencias",'Detalle individual'!D103='Estado por Colaborador'!$D$4),OR('Estado por Colaborador'!$D$5="Todos los departamentos",TRIM('Detalle individual'!C103)='Estado por Colaborador'!$D$5),OR('Estado por Colaborador'!$D$6="Todos",'Detalle individual'!F103='Estado por Colaborador'!$D$6)),IF('Detalle individual'!F103="Completado",30000000,IF('Detalle individual'!F103="Pendiente",0,15000000))+COUNTIF('Detalle individual'!$C$5:$C$1000,"&lt;"&amp;'Detalle individual'!C103)*10000+ROW(),""))</f>
        <v>39710103</v>
      </c>
      <c r="AB103" t="str">
        <f>IF('Detalle individual'!C103="","",IF(COUNTIF('Detalle individual'!$C$5:C103,'Detalle individual'!C103)=1,COUNTIF('Detalle individual'!$C$5:$C$1000,"&lt;"&amp;'Detalle individual'!C103),""))</f>
        <v/>
      </c>
      <c r="AC103" t="str">
        <f>IF('Detalle individual'!D103="","",IF(COUNTIF('Detalle individual'!$D$5:D103,'Detalle individual'!D103)=1,COUNTIF('Detalle individual'!$D$5:$D$1000,"&lt;"&amp;'Detalle individual'!D103),""))</f>
        <v/>
      </c>
      <c r="AH103" t="str">
        <f>IF('Detalle individual'!F103="Pendiente",COUNTIF('Detalle individual'!$D$5:$D$1000,"&lt;"&amp;'Detalle individual'!D103)*1000000+COUNTIF('Detalle individual'!$C$5:$C$1000,"&lt;"&amp;'Detalle individual'!C103)*1000+COUNTIF('Detalle individual'!$B$5:$B$1000,"&lt;"&amp;'Detalle individual'!B103)+ROW()/10000,"")</f>
        <v/>
      </c>
      <c r="AI103">
        <f>IF('Detalle individual'!F103="Completado",COUNTIF('Detalle individual'!$D$5:$D$1000,"&lt;"&amp;'Detalle individual'!D103)*1000000+COUNTIF('Detalle individual'!$C$5:$C$1000,"&lt;"&amp;'Detalle individual'!C103)*1000+COUNTIF('Detalle individual'!$B$5:$B$1000,"&lt;"&amp;'Detalle individual'!B103)+ROW()/10000,"")</f>
        <v>951971821.0103</v>
      </c>
      <c r="AJ103" t="str">
        <f>IF(AND('Detalle individual'!F103&lt;&gt;"",'Detalle individual'!F103&lt;&gt;"Completado",'Detalle individual'!F103&lt;&gt;"Pendiente"),COUNTIF('Detalle individual'!$D$5:$D$1000,"&lt;"&amp;'Detalle individual'!D103)*1000000+COUNTIF('Detalle individual'!$C$5:$C$1000,"&lt;"&amp;'Detalle individual'!C103)*1000+COUNTIF('Detalle individual'!$B$5:$B$1000,"&lt;"&amp;'Detalle individual'!B103)+ROW()/10000,"")</f>
        <v/>
      </c>
      <c r="AK103">
        <f>IF(OR('Base Exámenes'!C103="",'Base Exámenes'!D103=""),"",IF(COUNTIF('Base Exámenes'!$C$5:C103,'Base Exámenes'!C103)=1,'Base Exámenes'!D103+ROW()/1000000000,""))</f>
        <v>46302.55385427083</v>
      </c>
      <c r="AL103">
        <f>IF(OR('Base Exámenes'!C103="",'Base Exámenes'!E103=""),"",IF(COUNTIF('Base Exámenes'!$C$5:C103,'Base Exámenes'!C103)=1,'Base Exámenes'!E103+ROW()/1000000000,""))</f>
        <v>46302.56188667824</v>
      </c>
      <c r="AM103">
        <f>IF(OR('Base Exámenes'!C103="",'Base Exámenes'!G103=""),"",IF(ROW()-4=MATCH('Base Exámenes'!C103&amp;"|"&amp;_xlfn.MAXIFS('Base Exámenes'!$G$5:$G$1000,'Base Exámenes'!$C$5:$C$1000,'Base Exámenes'!C103),'Base Exámenes'!$I$5:$I$1000,0),'Base Exámenes'!G103*1000000+(-1)*'Base Exámenes'!D103,""))</f>
        <v>99953697.4461458</v>
      </c>
      <c r="AQ103" t="str">
        <f>IF('Base Exámenes'!C103="","",IF(COUNTIF('Base Exámenes'!$C$5:$C$1000,'Base Exámenes'!C103)&lt;2,"",MATCH('Base Exámenes'!C103,'Base Exámenes'!$C$5:$C$1000,0)*10000+ROW()))</f>
        <v/>
      </c>
    </row>
    <row r="104">
      <c r="A104" t="str">
        <f>IF('Consolidado por área'!A79="","",TRIM('Consolidado por área'!A79))</f>
        <v/>
      </c>
      <c r="B104" t="str">
        <f>IF($A104="","",'Consolidado por área'!B79)</f>
        <v/>
      </c>
      <c r="C104" t="str">
        <f>IF($A104="","",'Consolidado por área'!C79)</f>
        <v/>
      </c>
      <c r="D104" t="str">
        <f>IF($A104="","",'Consolidado por área'!D79)</f>
        <v/>
      </c>
      <c r="E104" t="str">
        <f>IF($A104="","",'Consolidado por área'!E79)</f>
        <v/>
      </c>
      <c r="F104" t="str">
        <f>IF($A104="","",IF(C104&gt;0,D104/C104,0))</f>
        <v/>
      </c>
      <c r="G104" t="str">
        <f>IF($A104="","",F104*1000000+C104*10+(1000-ROW())/10000)</f>
        <v/>
      </c>
      <c r="H104" t="str">
        <f>IF($A104="","",'Consolidado por área'!H79)</f>
        <v/>
      </c>
      <c r="J104" t="n">
        <v>75</v>
      </c>
      <c r="K104" t="str">
        <f>IF(J104&gt;COUNT($G$30:$G$109),"",MATCH(LARGE($G$30:$G$109,J104),$G$30:$G$109,0))</f>
        <v/>
      </c>
      <c r="L104" t="str">
        <f>IF($K104="","",INDEX($A$30:$A$109,K104)&amp;"   "&amp;TEXT(INDEX($F$30:$F$109,K104),"0%"))</f>
        <v/>
      </c>
      <c r="M104" t="str">
        <f>IF($K104="","",INDEX($D$30:$D$109,K104))</f>
        <v/>
      </c>
      <c r="N104" t="str">
        <f>IF($K104="","",INDEX($E$30:$E$109,K104))</f>
        <v/>
      </c>
      <c r="O104" t="str">
        <f>IF($K104="","",INDEX($A$30:$A$109,K104))</f>
        <v/>
      </c>
      <c r="P104" t="str">
        <f>IF($K104="","",INDEX($B$30:$B$109,K104))</f>
        <v/>
      </c>
      <c r="Q104" t="str">
        <f>IF($K104="","",INDEX($C$30:$C$109,K104))</f>
        <v/>
      </c>
      <c r="R104" t="str">
        <f>IF($K104="","",INDEX($F$30:$F$109,K104))</f>
        <v/>
      </c>
      <c r="S104" t="str">
        <f>IF($K104="","",INDEX($H$30:$H$109,K104))</f>
        <v/>
      </c>
      <c r="T104" t="str">
        <f>IF($K104="","",IF(OR('Dashboard Gerencial'!$B$5="Todas las gerencias",P104='Dashboard Gerencial'!$B$5),ROW(),""))</f>
        <v/>
      </c>
      <c r="Z104">
        <f>IF('Detalle individual'!A104="","",IF(AND(OR('Estado por Colaborador'!$D$4="Todas las gerencias",'Detalle individual'!D104='Estado por Colaborador'!$D$4),OR('Estado por Colaborador'!$D$5="Todos los departamentos",TRIM('Detalle individual'!C104)='Estado por Colaborador'!$D$5),OR('Estado por Colaborador'!$D$6="Todos",'Detalle individual'!F104='Estado por Colaborador'!$D$6)),IF('Detalle individual'!F104="Completado",30000000,IF('Detalle individual'!F104="Pendiente",0,15000000))+COUNTIF('Detalle individual'!$C$5:$C$1000,"&lt;"&amp;'Detalle individual'!C104)*10000+ROW(),""))</f>
        <v>23920104</v>
      </c>
      <c r="AB104">
        <f>IF('Detalle individual'!C104="","",IF(COUNTIF('Detalle individual'!$C$5:C104,'Detalle individual'!C104)=1,COUNTIF('Detalle individual'!$C$5:$C$1000,"&lt;"&amp;'Detalle individual'!C104),""))</f>
        <v>892</v>
      </c>
      <c r="AC104" t="str">
        <f>IF('Detalle individual'!D104="","",IF(COUNTIF('Detalle individual'!$D$5:D104,'Detalle individual'!D104)=1,COUNTIF('Detalle individual'!$D$5:$D$1000,"&lt;"&amp;'Detalle individual'!D104),""))</f>
        <v/>
      </c>
      <c r="AH104" t="str">
        <f>IF('Detalle individual'!F104="Pendiente",COUNTIF('Detalle individual'!$D$5:$D$1000,"&lt;"&amp;'Detalle individual'!D104)*1000000+COUNTIF('Detalle individual'!$C$5:$C$1000,"&lt;"&amp;'Detalle individual'!C104)*1000+COUNTIF('Detalle individual'!$B$5:$B$1000,"&lt;"&amp;'Detalle individual'!B104)+ROW()/10000,"")</f>
        <v/>
      </c>
      <c r="AI104" t="str">
        <f>IF('Detalle individual'!F104="Completado",COUNTIF('Detalle individual'!$D$5:$D$1000,"&lt;"&amp;'Detalle individual'!D104)*1000000+COUNTIF('Detalle individual'!$C$5:$C$1000,"&lt;"&amp;'Detalle individual'!C104)*1000+COUNTIF('Detalle individual'!$B$5:$B$1000,"&lt;"&amp;'Detalle individual'!B104)+ROW()/10000,"")</f>
        <v/>
      </c>
      <c r="AJ104">
        <f>IF(AND('Detalle individual'!F104&lt;&gt;"",'Detalle individual'!F104&lt;&gt;"Completado",'Detalle individual'!F104&lt;&gt;"Pendiente"),COUNTIF('Detalle individual'!$D$5:$D$1000,"&lt;"&amp;'Detalle individual'!D104)*1000000+COUNTIF('Detalle individual'!$C$5:$C$1000,"&lt;"&amp;'Detalle individual'!C104)*1000+COUNTIF('Detalle individual'!$B$5:$B$1000,"&lt;"&amp;'Detalle individual'!B104)+ROW()/10000,"")</f>
        <v>951892814.0104</v>
      </c>
      <c r="AK104">
        <f>IF(OR('Base Exámenes'!C104="",'Base Exámenes'!D104=""),"",IF(COUNTIF('Base Exámenes'!$C$5:C104,'Base Exámenes'!C104)=1,'Base Exámenes'!D104+ROW()/1000000000,""))</f>
        <v>46302.57461815972</v>
      </c>
      <c r="AL104">
        <f>IF(OR('Base Exámenes'!C104="",'Base Exámenes'!E104=""),"",IF(COUNTIF('Base Exámenes'!$C$5:C104,'Base Exámenes'!C104)=1,'Base Exámenes'!E104+ROW()/1000000000,""))</f>
        <v>46302.57753482639</v>
      </c>
      <c r="AM104">
        <f>IF(OR('Base Exámenes'!C104="",'Base Exámenes'!G104=""),"",IF(ROW()-4=MATCH('Base Exámenes'!C104&amp;"|"&amp;_xlfn.MAXIFS('Base Exámenes'!$G$5:$G$1000,'Base Exámenes'!$C$5:$C$1000,'Base Exámenes'!C104),'Base Exámenes'!$I$5:$I$1000,0),'Base Exámenes'!G104*1000000+(-1)*'Base Exámenes'!D104,""))</f>
        <v>99953697.4253819</v>
      </c>
      <c r="AQ104" t="str">
        <f>IF('Base Exámenes'!C104="","",IF(COUNTIF('Base Exámenes'!$C$5:$C$1000,'Base Exámenes'!C104)&lt;2,"",MATCH('Base Exámenes'!C104,'Base Exámenes'!$C$5:$C$1000,0)*10000+ROW()))</f>
        <v/>
      </c>
    </row>
    <row r="105">
      <c r="A105" t="str">
        <f>IF('Consolidado por área'!A80="","",TRIM('Consolidado por área'!A80))</f>
        <v/>
      </c>
      <c r="B105" t="str">
        <f>IF($A105="","",'Consolidado por área'!B80)</f>
        <v/>
      </c>
      <c r="C105" t="str">
        <f>IF($A105="","",'Consolidado por área'!C80)</f>
        <v/>
      </c>
      <c r="D105" t="str">
        <f>IF($A105="","",'Consolidado por área'!D80)</f>
        <v/>
      </c>
      <c r="E105" t="str">
        <f>IF($A105="","",'Consolidado por área'!E80)</f>
        <v/>
      </c>
      <c r="F105" t="str">
        <f>IF($A105="","",IF(C105&gt;0,D105/C105,0))</f>
        <v/>
      </c>
      <c r="G105" t="str">
        <f>IF($A105="","",F105*1000000+C105*10+(1000-ROW())/10000)</f>
        <v/>
      </c>
      <c r="H105" t="str">
        <f>IF($A105="","",'Consolidado por área'!H80)</f>
        <v/>
      </c>
      <c r="J105" t="n">
        <v>76</v>
      </c>
      <c r="K105" t="str">
        <f>IF(J105&gt;COUNT($G$30:$G$109),"",MATCH(LARGE($G$30:$G$109,J105),$G$30:$G$109,0))</f>
        <v/>
      </c>
      <c r="L105" t="str">
        <f>IF($K105="","",INDEX($A$30:$A$109,K105)&amp;"   "&amp;TEXT(INDEX($F$30:$F$109,K105),"0%"))</f>
        <v/>
      </c>
      <c r="M105" t="str">
        <f>IF($K105="","",INDEX($D$30:$D$109,K105))</f>
        <v/>
      </c>
      <c r="N105" t="str">
        <f>IF($K105="","",INDEX($E$30:$E$109,K105))</f>
        <v/>
      </c>
      <c r="O105" t="str">
        <f>IF($K105="","",INDEX($A$30:$A$109,K105))</f>
        <v/>
      </c>
      <c r="P105" t="str">
        <f>IF($K105="","",INDEX($B$30:$B$109,K105))</f>
        <v/>
      </c>
      <c r="Q105" t="str">
        <f>IF($K105="","",INDEX($C$30:$C$109,K105))</f>
        <v/>
      </c>
      <c r="R105" t="str">
        <f>IF($K105="","",INDEX($F$30:$F$109,K105))</f>
        <v/>
      </c>
      <c r="S105" t="str">
        <f>IF($K105="","",INDEX($H$30:$H$109,K105))</f>
        <v/>
      </c>
      <c r="T105" t="str">
        <f>IF($K105="","",IF(OR('Dashboard Gerencial'!$B$5="Todas las gerencias",P105='Dashboard Gerencial'!$B$5),ROW(),""))</f>
        <v/>
      </c>
      <c r="Z105">
        <f>IF('Detalle individual'!A105="","",IF(AND(OR('Estado por Colaborador'!$D$4="Todas las gerencias",'Detalle individual'!D105='Estado por Colaborador'!$D$4),OR('Estado por Colaborador'!$D$5="Todos los departamentos",TRIM('Detalle individual'!C105)='Estado por Colaborador'!$D$5),OR('Estado por Colaborador'!$D$6="Todos",'Detalle individual'!F105='Estado por Colaborador'!$D$6)),IF('Detalle individual'!F105="Completado",30000000,IF('Detalle individual'!F105="Pendiente",0,15000000))+COUNTIF('Detalle individual'!$C$5:$C$1000,"&lt;"&amp;'Detalle individual'!C105)*10000+ROW(),""))</f>
        <v>38920105</v>
      </c>
      <c r="AB105" t="str">
        <f>IF('Detalle individual'!C105="","",IF(COUNTIF('Detalle individual'!$C$5:C105,'Detalle individual'!C105)=1,COUNTIF('Detalle individual'!$C$5:$C$1000,"&lt;"&amp;'Detalle individual'!C105),""))</f>
        <v/>
      </c>
      <c r="AC105" t="str">
        <f>IF('Detalle individual'!D105="","",IF(COUNTIF('Detalle individual'!$D$5:D105,'Detalle individual'!D105)=1,COUNTIF('Detalle individual'!$D$5:$D$1000,"&lt;"&amp;'Detalle individual'!D105),""))</f>
        <v/>
      </c>
      <c r="AH105" t="str">
        <f>IF('Detalle individual'!F105="Pendiente",COUNTIF('Detalle individual'!$D$5:$D$1000,"&lt;"&amp;'Detalle individual'!D105)*1000000+COUNTIF('Detalle individual'!$C$5:$C$1000,"&lt;"&amp;'Detalle individual'!C105)*1000+COUNTIF('Detalle individual'!$B$5:$B$1000,"&lt;"&amp;'Detalle individual'!B105)+ROW()/10000,"")</f>
        <v/>
      </c>
      <c r="AI105">
        <f>IF('Detalle individual'!F105="Completado",COUNTIF('Detalle individual'!$D$5:$D$1000,"&lt;"&amp;'Detalle individual'!D105)*1000000+COUNTIF('Detalle individual'!$C$5:$C$1000,"&lt;"&amp;'Detalle individual'!C105)*1000+COUNTIF('Detalle individual'!$B$5:$B$1000,"&lt;"&amp;'Detalle individual'!B105)+ROW()/10000,"")</f>
        <v>951892863.0105</v>
      </c>
      <c r="AJ105" t="str">
        <f>IF(AND('Detalle individual'!F105&lt;&gt;"",'Detalle individual'!F105&lt;&gt;"Completado",'Detalle individual'!F105&lt;&gt;"Pendiente"),COUNTIF('Detalle individual'!$D$5:$D$1000,"&lt;"&amp;'Detalle individual'!D105)*1000000+COUNTIF('Detalle individual'!$C$5:$C$1000,"&lt;"&amp;'Detalle individual'!C105)*1000+COUNTIF('Detalle individual'!$B$5:$B$1000,"&lt;"&amp;'Detalle individual'!B105)+ROW()/10000,"")</f>
        <v/>
      </c>
      <c r="AK105">
        <f>IF(OR('Base Exámenes'!C105="",'Base Exámenes'!D105=""),"",IF(COUNTIF('Base Exámenes'!$C$5:C105,'Base Exámenes'!C105)=1,'Base Exámenes'!D105+ROW()/1000000000,""))</f>
        <v>46302.58379640046</v>
      </c>
      <c r="AL105">
        <f>IF(OR('Base Exámenes'!C105="",'Base Exámenes'!E105=""),"",IF(COUNTIF('Base Exámenes'!$C$5:C105,'Base Exámenes'!C105)=1,'Base Exámenes'!E105+ROW()/1000000000,""))</f>
        <v>46302.5860996412</v>
      </c>
      <c r="AM105">
        <f>IF(OR('Base Exámenes'!C105="",'Base Exámenes'!G105=""),"",IF(ROW()-4=MATCH('Base Exámenes'!C105&amp;"|"&amp;_xlfn.MAXIFS('Base Exámenes'!$G$5:$G$1000,'Base Exámenes'!$C$5:$C$1000,'Base Exámenes'!C105),'Base Exámenes'!$I$5:$I$1000,0),'Base Exámenes'!G105*1000000+(-1)*'Base Exámenes'!D105,""))</f>
        <v>99953697.4162037</v>
      </c>
      <c r="AQ105" t="str">
        <f>IF('Base Exámenes'!C105="","",IF(COUNTIF('Base Exámenes'!$C$5:$C$1000,'Base Exámenes'!C105)&lt;2,"",MATCH('Base Exámenes'!C105,'Base Exámenes'!$C$5:$C$1000,0)*10000+ROW()))</f>
        <v/>
      </c>
    </row>
    <row r="106">
      <c r="A106" t="str">
        <f>IF('Consolidado por área'!A81="","",TRIM('Consolidado por área'!A81))</f>
        <v/>
      </c>
      <c r="B106" t="str">
        <f>IF($A106="","",'Consolidado por área'!B81)</f>
        <v/>
      </c>
      <c r="C106" t="str">
        <f>IF($A106="","",'Consolidado por área'!C81)</f>
        <v/>
      </c>
      <c r="D106" t="str">
        <f>IF($A106="","",'Consolidado por área'!D81)</f>
        <v/>
      </c>
      <c r="E106" t="str">
        <f>IF($A106="","",'Consolidado por área'!E81)</f>
        <v/>
      </c>
      <c r="F106" t="str">
        <f>IF($A106="","",IF(C106&gt;0,D106/C106,0))</f>
        <v/>
      </c>
      <c r="G106" t="str">
        <f>IF($A106="","",F106*1000000+C106*10+(1000-ROW())/10000)</f>
        <v/>
      </c>
      <c r="H106" t="str">
        <f>IF($A106="","",'Consolidado por área'!H81)</f>
        <v/>
      </c>
      <c r="J106" t="n">
        <v>77</v>
      </c>
      <c r="K106" t="str">
        <f>IF(J106&gt;COUNT($G$30:$G$109),"",MATCH(LARGE($G$30:$G$109,J106),$G$30:$G$109,0))</f>
        <v/>
      </c>
      <c r="L106" t="str">
        <f>IF($K106="","",INDEX($A$30:$A$109,K106)&amp;"   "&amp;TEXT(INDEX($F$30:$F$109,K106),"0%"))</f>
        <v/>
      </c>
      <c r="M106" t="str">
        <f>IF($K106="","",INDEX($D$30:$D$109,K106))</f>
        <v/>
      </c>
      <c r="N106" t="str">
        <f>IF($K106="","",INDEX($E$30:$E$109,K106))</f>
        <v/>
      </c>
      <c r="O106" t="str">
        <f>IF($K106="","",INDEX($A$30:$A$109,K106))</f>
        <v/>
      </c>
      <c r="P106" t="str">
        <f>IF($K106="","",INDEX($B$30:$B$109,K106))</f>
        <v/>
      </c>
      <c r="Q106" t="str">
        <f>IF($K106="","",INDEX($C$30:$C$109,K106))</f>
        <v/>
      </c>
      <c r="R106" t="str">
        <f>IF($K106="","",INDEX($F$30:$F$109,K106))</f>
        <v/>
      </c>
      <c r="S106" t="str">
        <f>IF($K106="","",INDEX($H$30:$H$109,K106))</f>
        <v/>
      </c>
      <c r="T106" t="str">
        <f>IF($K106="","",IF(OR('Dashboard Gerencial'!$B$5="Todas las gerencias",P106='Dashboard Gerencial'!$B$5),ROW(),""))</f>
        <v/>
      </c>
      <c r="Z106">
        <f>IF('Detalle individual'!A106="","",IF(AND(OR('Estado por Colaborador'!$D$4="Todas las gerencias",'Detalle individual'!D106='Estado por Colaborador'!$D$4),OR('Estado por Colaborador'!$D$5="Todos los departamentos",TRIM('Detalle individual'!C106)='Estado por Colaborador'!$D$5),OR('Estado por Colaborador'!$D$6="Todos",'Detalle individual'!F106='Estado por Colaborador'!$D$6)),IF('Detalle individual'!F106="Completado",30000000,IF('Detalle individual'!F106="Pendiente",0,15000000))+COUNTIF('Detalle individual'!$C$5:$C$1000,"&lt;"&amp;'Detalle individual'!C106)*10000+ROW(),""))</f>
        <v>38920106</v>
      </c>
      <c r="AB106" t="str">
        <f>IF('Detalle individual'!C106="","",IF(COUNTIF('Detalle individual'!$C$5:C106,'Detalle individual'!C106)=1,COUNTIF('Detalle individual'!$C$5:$C$1000,"&lt;"&amp;'Detalle individual'!C106),""))</f>
        <v/>
      </c>
      <c r="AC106" t="str">
        <f>IF('Detalle individual'!D106="","",IF(COUNTIF('Detalle individual'!$D$5:D106,'Detalle individual'!D106)=1,COUNTIF('Detalle individual'!$D$5:$D$1000,"&lt;"&amp;'Detalle individual'!D106),""))</f>
        <v/>
      </c>
      <c r="AH106" t="str">
        <f>IF('Detalle individual'!F106="Pendiente",COUNTIF('Detalle individual'!$D$5:$D$1000,"&lt;"&amp;'Detalle individual'!D106)*1000000+COUNTIF('Detalle individual'!$C$5:$C$1000,"&lt;"&amp;'Detalle individual'!C106)*1000+COUNTIF('Detalle individual'!$B$5:$B$1000,"&lt;"&amp;'Detalle individual'!B106)+ROW()/10000,"")</f>
        <v/>
      </c>
      <c r="AI106">
        <f>IF('Detalle individual'!F106="Completado",COUNTIF('Detalle individual'!$D$5:$D$1000,"&lt;"&amp;'Detalle individual'!D106)*1000000+COUNTIF('Detalle individual'!$C$5:$C$1000,"&lt;"&amp;'Detalle individual'!C106)*1000+COUNTIF('Detalle individual'!$B$5:$B$1000,"&lt;"&amp;'Detalle individual'!B106)+ROW()/10000,"")</f>
        <v>951892740.0106</v>
      </c>
      <c r="AJ106" t="str">
        <f>IF(AND('Detalle individual'!F106&lt;&gt;"",'Detalle individual'!F106&lt;&gt;"Completado",'Detalle individual'!F106&lt;&gt;"Pendiente"),COUNTIF('Detalle individual'!$D$5:$D$1000,"&lt;"&amp;'Detalle individual'!D106)*1000000+COUNTIF('Detalle individual'!$C$5:$C$1000,"&lt;"&amp;'Detalle individual'!C106)*1000+COUNTIF('Detalle individual'!$B$5:$B$1000,"&lt;"&amp;'Detalle individual'!B106)+ROW()/10000,"")</f>
        <v/>
      </c>
      <c r="AK106">
        <f>IF(OR('Base Exámenes'!C106="",'Base Exámenes'!D106=""),"",IF(COUNTIF('Base Exámenes'!$C$5:C106,'Base Exámenes'!C106)=1,'Base Exámenes'!D106+ROW()/1000000000,""))</f>
        <v>46302.58623853009</v>
      </c>
      <c r="AL106">
        <f>IF(OR('Base Exámenes'!C106="",'Base Exámenes'!E106=""),"",IF(COUNTIF('Base Exámenes'!$C$5:C106,'Base Exámenes'!C106)=1,'Base Exámenes'!E106+ROW()/1000000000,""))</f>
        <v>46302.58998853009</v>
      </c>
      <c r="AM106">
        <f>IF(OR('Base Exámenes'!C106="",'Base Exámenes'!G106=""),"",IF(ROW()-4=MATCH('Base Exámenes'!C106&amp;"|"&amp;_xlfn.MAXIFS('Base Exámenes'!$G$5:$G$1000,'Base Exámenes'!$C$5:$C$1000,'Base Exámenes'!C106),'Base Exámenes'!$I$5:$I$1000,0),'Base Exámenes'!G106*1000000+(-1)*'Base Exámenes'!D106,""))</f>
        <v>99953697.4137616</v>
      </c>
      <c r="AQ106" t="str">
        <f>IF('Base Exámenes'!C106="","",IF(COUNTIF('Base Exámenes'!$C$5:$C$1000,'Base Exámenes'!C106)&lt;2,"",MATCH('Base Exámenes'!C106,'Base Exámenes'!$C$5:$C$1000,0)*10000+ROW()))</f>
        <v/>
      </c>
    </row>
    <row r="107">
      <c r="A107" t="str">
        <f>IF('Consolidado por área'!A82="","",TRIM('Consolidado por área'!A82))</f>
        <v/>
      </c>
      <c r="B107" t="str">
        <f>IF($A107="","",'Consolidado por área'!B82)</f>
        <v/>
      </c>
      <c r="C107" t="str">
        <f>IF($A107="","",'Consolidado por área'!C82)</f>
        <v/>
      </c>
      <c r="D107" t="str">
        <f>IF($A107="","",'Consolidado por área'!D82)</f>
        <v/>
      </c>
      <c r="E107" t="str">
        <f>IF($A107="","",'Consolidado por área'!E82)</f>
        <v/>
      </c>
      <c r="F107" t="str">
        <f>IF($A107="","",IF(C107&gt;0,D107/C107,0))</f>
        <v/>
      </c>
      <c r="G107" t="str">
        <f>IF($A107="","",F107*1000000+C107*10+(1000-ROW())/10000)</f>
        <v/>
      </c>
      <c r="H107" t="str">
        <f>IF($A107="","",'Consolidado por área'!H82)</f>
        <v/>
      </c>
      <c r="J107" t="n">
        <v>78</v>
      </c>
      <c r="K107" t="str">
        <f>IF(J107&gt;COUNT($G$30:$G$109),"",MATCH(LARGE($G$30:$G$109,J107),$G$30:$G$109,0))</f>
        <v/>
      </c>
      <c r="L107" t="str">
        <f>IF($K107="","",INDEX($A$30:$A$109,K107)&amp;"   "&amp;TEXT(INDEX($F$30:$F$109,K107),"0%"))</f>
        <v/>
      </c>
      <c r="M107" t="str">
        <f>IF($K107="","",INDEX($D$30:$D$109,K107))</f>
        <v/>
      </c>
      <c r="N107" t="str">
        <f>IF($K107="","",INDEX($E$30:$E$109,K107))</f>
        <v/>
      </c>
      <c r="O107" t="str">
        <f>IF($K107="","",INDEX($A$30:$A$109,K107))</f>
        <v/>
      </c>
      <c r="P107" t="str">
        <f>IF($K107="","",INDEX($B$30:$B$109,K107))</f>
        <v/>
      </c>
      <c r="Q107" t="str">
        <f>IF($K107="","",INDEX($C$30:$C$109,K107))</f>
        <v/>
      </c>
      <c r="R107" t="str">
        <f>IF($K107="","",INDEX($F$30:$F$109,K107))</f>
        <v/>
      </c>
      <c r="S107" t="str">
        <f>IF($K107="","",INDEX($H$30:$H$109,K107))</f>
        <v/>
      </c>
      <c r="T107" t="str">
        <f>IF($K107="","",IF(OR('Dashboard Gerencial'!$B$5="Todas las gerencias",P107='Dashboard Gerencial'!$B$5),ROW(),""))</f>
        <v/>
      </c>
      <c r="Z107">
        <f>IF('Detalle individual'!A107="","",IF(AND(OR('Estado por Colaborador'!$D$4="Todas las gerencias",'Detalle individual'!D107='Estado por Colaborador'!$D$4),OR('Estado por Colaborador'!$D$5="Todos los departamentos",TRIM('Detalle individual'!C107)='Estado por Colaborador'!$D$5),OR('Estado por Colaborador'!$D$6="Todos",'Detalle individual'!F107='Estado por Colaborador'!$D$6)),IF('Detalle individual'!F107="Completado",30000000,IF('Detalle individual'!F107="Pendiente",0,15000000))+COUNTIF('Detalle individual'!$C$5:$C$1000,"&lt;"&amp;'Detalle individual'!C107)*10000+ROW(),""))</f>
        <v>38920107</v>
      </c>
      <c r="AB107" t="str">
        <f>IF('Detalle individual'!C107="","",IF(COUNTIF('Detalle individual'!$C$5:C107,'Detalle individual'!C107)=1,COUNTIF('Detalle individual'!$C$5:$C$1000,"&lt;"&amp;'Detalle individual'!C107),""))</f>
        <v/>
      </c>
      <c r="AC107" t="str">
        <f>IF('Detalle individual'!D107="","",IF(COUNTIF('Detalle individual'!$D$5:D107,'Detalle individual'!D107)=1,COUNTIF('Detalle individual'!$D$5:$D$1000,"&lt;"&amp;'Detalle individual'!D107),""))</f>
        <v/>
      </c>
      <c r="AH107" t="str">
        <f>IF('Detalle individual'!F107="Pendiente",COUNTIF('Detalle individual'!$D$5:$D$1000,"&lt;"&amp;'Detalle individual'!D107)*1000000+COUNTIF('Detalle individual'!$C$5:$C$1000,"&lt;"&amp;'Detalle individual'!C107)*1000+COUNTIF('Detalle individual'!$B$5:$B$1000,"&lt;"&amp;'Detalle individual'!B107)+ROW()/10000,"")</f>
        <v/>
      </c>
      <c r="AI107">
        <f>IF('Detalle individual'!F107="Completado",COUNTIF('Detalle individual'!$D$5:$D$1000,"&lt;"&amp;'Detalle individual'!D107)*1000000+COUNTIF('Detalle individual'!$C$5:$C$1000,"&lt;"&amp;'Detalle individual'!C107)*1000+COUNTIF('Detalle individual'!$B$5:$B$1000,"&lt;"&amp;'Detalle individual'!B107)+ROW()/10000,"")</f>
        <v>951892769.0107</v>
      </c>
      <c r="AJ107" t="str">
        <f>IF(AND('Detalle individual'!F107&lt;&gt;"",'Detalle individual'!F107&lt;&gt;"Completado",'Detalle individual'!F107&lt;&gt;"Pendiente"),COUNTIF('Detalle individual'!$D$5:$D$1000,"&lt;"&amp;'Detalle individual'!D107)*1000000+COUNTIF('Detalle individual'!$C$5:$C$1000,"&lt;"&amp;'Detalle individual'!C107)*1000+COUNTIF('Detalle individual'!$B$5:$B$1000,"&lt;"&amp;'Detalle individual'!B107)+ROW()/10000,"")</f>
        <v/>
      </c>
      <c r="AK107">
        <f>IF(OR('Base Exámenes'!C107="",'Base Exámenes'!D107=""),"",IF(COUNTIF('Base Exámenes'!$C$5:C107,'Base Exámenes'!C107)=1,'Base Exámenes'!D107+ROW()/1000000000,""))</f>
        <v>46302.596990844904</v>
      </c>
      <c r="AL107">
        <f>IF(OR('Base Exámenes'!C107="",'Base Exámenes'!E107=""),"",IF(COUNTIF('Base Exámenes'!$C$5:C107,'Base Exámenes'!C107)=1,'Base Exámenes'!E107+ROW()/1000000000,""))</f>
        <v>46302.59866908565</v>
      </c>
      <c r="AM107">
        <f>IF(OR('Base Exámenes'!C107="",'Base Exámenes'!G107=""),"",IF(ROW()-4=MATCH('Base Exámenes'!C107&amp;"|"&amp;_xlfn.MAXIFS('Base Exámenes'!$G$5:$G$1000,'Base Exámenes'!$C$5:$C$1000,'Base Exámenes'!C107),'Base Exámenes'!$I$5:$I$1000,0),'Base Exámenes'!G107*1000000+(-1)*'Base Exámenes'!D107,""))</f>
        <v>99953697.4030093</v>
      </c>
      <c r="AQ107" t="str">
        <f>IF('Base Exámenes'!C107="","",IF(COUNTIF('Base Exámenes'!$C$5:$C$1000,'Base Exámenes'!C107)&lt;2,"",MATCH('Base Exámenes'!C107,'Base Exámenes'!$C$5:$C$1000,0)*10000+ROW()))</f>
        <v/>
      </c>
    </row>
    <row r="108">
      <c r="A108" t="str">
        <f>IF('Consolidado por área'!A83="","",TRIM('Consolidado por área'!A83))</f>
        <v/>
      </c>
      <c r="B108" t="str">
        <f>IF($A108="","",'Consolidado por área'!B83)</f>
        <v/>
      </c>
      <c r="C108" t="str">
        <f>IF($A108="","",'Consolidado por área'!C83)</f>
        <v/>
      </c>
      <c r="D108" t="str">
        <f>IF($A108="","",'Consolidado por área'!D83)</f>
        <v/>
      </c>
      <c r="E108" t="str">
        <f>IF($A108="","",'Consolidado por área'!E83)</f>
        <v/>
      </c>
      <c r="F108" t="str">
        <f>IF($A108="","",IF(C108&gt;0,D108/C108,0))</f>
        <v/>
      </c>
      <c r="G108" t="str">
        <f>IF($A108="","",F108*1000000+C108*10+(1000-ROW())/10000)</f>
        <v/>
      </c>
      <c r="H108" t="str">
        <f>IF($A108="","",'Consolidado por área'!H83)</f>
        <v/>
      </c>
      <c r="J108" t="n">
        <v>79</v>
      </c>
      <c r="K108" t="str">
        <f>IF(J108&gt;COUNT($G$30:$G$109),"",MATCH(LARGE($G$30:$G$109,J108),$G$30:$G$109,0))</f>
        <v/>
      </c>
      <c r="L108" t="str">
        <f>IF($K108="","",INDEX($A$30:$A$109,K108)&amp;"   "&amp;TEXT(INDEX($F$30:$F$109,K108),"0%"))</f>
        <v/>
      </c>
      <c r="M108" t="str">
        <f>IF($K108="","",INDEX($D$30:$D$109,K108))</f>
        <v/>
      </c>
      <c r="N108" t="str">
        <f>IF($K108="","",INDEX($E$30:$E$109,K108))</f>
        <v/>
      </c>
      <c r="O108" t="str">
        <f>IF($K108="","",INDEX($A$30:$A$109,K108))</f>
        <v/>
      </c>
      <c r="P108" t="str">
        <f>IF($K108="","",INDEX($B$30:$B$109,K108))</f>
        <v/>
      </c>
      <c r="Q108" t="str">
        <f>IF($K108="","",INDEX($C$30:$C$109,K108))</f>
        <v/>
      </c>
      <c r="R108" t="str">
        <f>IF($K108="","",INDEX($F$30:$F$109,K108))</f>
        <v/>
      </c>
      <c r="S108" t="str">
        <f>IF($K108="","",INDEX($H$30:$H$109,K108))</f>
        <v/>
      </c>
      <c r="T108" t="str">
        <f>IF($K108="","",IF(OR('Dashboard Gerencial'!$B$5="Todas las gerencias",P108='Dashboard Gerencial'!$B$5),ROW(),""))</f>
        <v/>
      </c>
      <c r="Z108">
        <f>IF('Detalle individual'!A108="","",IF(AND(OR('Estado por Colaborador'!$D$4="Todas las gerencias",'Detalle individual'!D108='Estado por Colaborador'!$D$4),OR('Estado por Colaborador'!$D$5="Todos los departamentos",TRIM('Detalle individual'!C108)='Estado por Colaborador'!$D$5),OR('Estado por Colaborador'!$D$6="Todos",'Detalle individual'!F108='Estado por Colaborador'!$D$6)),IF('Detalle individual'!F108="Completado",30000000,IF('Detalle individual'!F108="Pendiente",0,15000000))+COUNTIF('Detalle individual'!$C$5:$C$1000,"&lt;"&amp;'Detalle individual'!C108)*10000+ROW(),""))</f>
        <v>38920108</v>
      </c>
      <c r="AB108" t="str">
        <f>IF('Detalle individual'!C108="","",IF(COUNTIF('Detalle individual'!$C$5:C108,'Detalle individual'!C108)=1,COUNTIF('Detalle individual'!$C$5:$C$1000,"&lt;"&amp;'Detalle individual'!C108),""))</f>
        <v/>
      </c>
      <c r="AC108" t="str">
        <f>IF('Detalle individual'!D108="","",IF(COUNTIF('Detalle individual'!$D$5:D108,'Detalle individual'!D108)=1,COUNTIF('Detalle individual'!$D$5:$D$1000,"&lt;"&amp;'Detalle individual'!D108),""))</f>
        <v/>
      </c>
      <c r="AH108" t="str">
        <f>IF('Detalle individual'!F108="Pendiente",COUNTIF('Detalle individual'!$D$5:$D$1000,"&lt;"&amp;'Detalle individual'!D108)*1000000+COUNTIF('Detalle individual'!$C$5:$C$1000,"&lt;"&amp;'Detalle individual'!C108)*1000+COUNTIF('Detalle individual'!$B$5:$B$1000,"&lt;"&amp;'Detalle individual'!B108)+ROW()/10000,"")</f>
        <v/>
      </c>
      <c r="AI108">
        <f>IF('Detalle individual'!F108="Completado",COUNTIF('Detalle individual'!$D$5:$D$1000,"&lt;"&amp;'Detalle individual'!D108)*1000000+COUNTIF('Detalle individual'!$C$5:$C$1000,"&lt;"&amp;'Detalle individual'!C108)*1000+COUNTIF('Detalle individual'!$B$5:$B$1000,"&lt;"&amp;'Detalle individual'!B108)+ROW()/10000,"")</f>
        <v>951892737.0108</v>
      </c>
      <c r="AJ108" t="str">
        <f>IF(AND('Detalle individual'!F108&lt;&gt;"",'Detalle individual'!F108&lt;&gt;"Completado",'Detalle individual'!F108&lt;&gt;"Pendiente"),COUNTIF('Detalle individual'!$D$5:$D$1000,"&lt;"&amp;'Detalle individual'!D108)*1000000+COUNTIF('Detalle individual'!$C$5:$C$1000,"&lt;"&amp;'Detalle individual'!C108)*1000+COUNTIF('Detalle individual'!$B$5:$B$1000,"&lt;"&amp;'Detalle individual'!B108)+ROW()/10000,"")</f>
        <v/>
      </c>
      <c r="AK108">
        <f>IF(OR('Base Exámenes'!C108="",'Base Exámenes'!D108=""),"",IF(COUNTIF('Base Exámenes'!$C$5:C108,'Base Exámenes'!C108)=1,'Base Exámenes'!D108+ROW()/1000000000,""))</f>
        <v>46302.62548621528</v>
      </c>
      <c r="AL108">
        <f>IF(OR('Base Exámenes'!C108="",'Base Exámenes'!E108=""),"",IF(COUNTIF('Base Exámenes'!$C$5:C108,'Base Exámenes'!C108)=1,'Base Exámenes'!E108+ROW()/1000000000,""))</f>
        <v>46302.626701493056</v>
      </c>
      <c r="AM108">
        <f>IF(OR('Base Exámenes'!C108="",'Base Exámenes'!G108=""),"",IF(ROW()-4=MATCH('Base Exámenes'!C108&amp;"|"&amp;_xlfn.MAXIFS('Base Exámenes'!$G$5:$G$1000,'Base Exámenes'!$C$5:$C$1000,'Base Exámenes'!C108),'Base Exámenes'!$I$5:$I$1000,0),'Base Exámenes'!G108*1000000+(-1)*'Base Exámenes'!D108,""))</f>
        <v>99953697.3745139</v>
      </c>
      <c r="AQ108" t="str">
        <f>IF('Base Exámenes'!C108="","",IF(COUNTIF('Base Exámenes'!$C$5:$C$1000,'Base Exámenes'!C108)&lt;2,"",MATCH('Base Exámenes'!C108,'Base Exámenes'!$C$5:$C$1000,0)*10000+ROW()))</f>
        <v/>
      </c>
    </row>
    <row r="109">
      <c r="A109" t="str">
        <f>IF('Consolidado por área'!A84="","",TRIM('Consolidado por área'!A84))</f>
        <v/>
      </c>
      <c r="B109" t="str">
        <f>IF($A109="","",'Consolidado por área'!B84)</f>
        <v/>
      </c>
      <c r="C109" t="str">
        <f>IF($A109="","",'Consolidado por área'!C84)</f>
        <v/>
      </c>
      <c r="D109" t="str">
        <f>IF($A109="","",'Consolidado por área'!D84)</f>
        <v/>
      </c>
      <c r="E109" t="str">
        <f>IF($A109="","",'Consolidado por área'!E84)</f>
        <v/>
      </c>
      <c r="F109" t="str">
        <f>IF($A109="","",IF(C109&gt;0,D109/C109,0))</f>
        <v/>
      </c>
      <c r="G109" t="str">
        <f>IF($A109="","",F109*1000000+C109*10+(1000-ROW())/10000)</f>
        <v/>
      </c>
      <c r="H109" t="str">
        <f>IF($A109="","",'Consolidado por área'!H84)</f>
        <v/>
      </c>
      <c r="J109" t="n">
        <v>80</v>
      </c>
      <c r="K109" t="str">
        <f>IF(J109&gt;COUNT($G$30:$G$109),"",MATCH(LARGE($G$30:$G$109,J109),$G$30:$G$109,0))</f>
        <v/>
      </c>
      <c r="L109" t="str">
        <f>IF($K109="","",INDEX($A$30:$A$109,K109)&amp;"   "&amp;TEXT(INDEX($F$30:$F$109,K109),"0%"))</f>
        <v/>
      </c>
      <c r="M109" t="str">
        <f>IF($K109="","",INDEX($D$30:$D$109,K109))</f>
        <v/>
      </c>
      <c r="N109" t="str">
        <f>IF($K109="","",INDEX($E$30:$E$109,K109))</f>
        <v/>
      </c>
      <c r="O109" t="str">
        <f>IF($K109="","",INDEX($A$30:$A$109,K109))</f>
        <v/>
      </c>
      <c r="P109" t="str">
        <f>IF($K109="","",INDEX($B$30:$B$109,K109))</f>
        <v/>
      </c>
      <c r="Q109" t="str">
        <f>IF($K109="","",INDEX($C$30:$C$109,K109))</f>
        <v/>
      </c>
      <c r="R109" t="str">
        <f>IF($K109="","",INDEX($F$30:$F$109,K109))</f>
        <v/>
      </c>
      <c r="S109" t="str">
        <f>IF($K109="","",INDEX($H$30:$H$109,K109))</f>
        <v/>
      </c>
      <c r="T109" t="str">
        <f>IF($K109="","",IF(OR('Dashboard Gerencial'!$B$5="Todas las gerencias",P109='Dashboard Gerencial'!$B$5),ROW(),""))</f>
        <v/>
      </c>
      <c r="Z109">
        <f>IF('Detalle individual'!A109="","",IF(AND(OR('Estado por Colaborador'!$D$4="Todas las gerencias",'Detalle individual'!D109='Estado por Colaborador'!$D$4),OR('Estado por Colaborador'!$D$5="Todos los departamentos",TRIM('Detalle individual'!C109)='Estado por Colaborador'!$D$5),OR('Estado por Colaborador'!$D$6="Todos",'Detalle individual'!F109='Estado por Colaborador'!$D$6)),IF('Detalle individual'!F109="Completado",30000000,IF('Detalle individual'!F109="Pendiente",0,15000000))+COUNTIF('Detalle individual'!$C$5:$C$1000,"&lt;"&amp;'Detalle individual'!C109)*10000+ROW(),""))</f>
        <v>38920109</v>
      </c>
      <c r="AB109" t="str">
        <f>IF('Detalle individual'!C109="","",IF(COUNTIF('Detalle individual'!$C$5:C109,'Detalle individual'!C109)=1,COUNTIF('Detalle individual'!$C$5:$C$1000,"&lt;"&amp;'Detalle individual'!C109),""))</f>
        <v/>
      </c>
      <c r="AC109" t="str">
        <f>IF('Detalle individual'!D109="","",IF(COUNTIF('Detalle individual'!$D$5:D109,'Detalle individual'!D109)=1,COUNTIF('Detalle individual'!$D$5:$D$1000,"&lt;"&amp;'Detalle individual'!D109),""))</f>
        <v/>
      </c>
      <c r="AH109" t="str">
        <f>IF('Detalle individual'!F109="Pendiente",COUNTIF('Detalle individual'!$D$5:$D$1000,"&lt;"&amp;'Detalle individual'!D109)*1000000+COUNTIF('Detalle individual'!$C$5:$C$1000,"&lt;"&amp;'Detalle individual'!C109)*1000+COUNTIF('Detalle individual'!$B$5:$B$1000,"&lt;"&amp;'Detalle individual'!B109)+ROW()/10000,"")</f>
        <v/>
      </c>
      <c r="AI109">
        <f>IF('Detalle individual'!F109="Completado",COUNTIF('Detalle individual'!$D$5:$D$1000,"&lt;"&amp;'Detalle individual'!D109)*1000000+COUNTIF('Detalle individual'!$C$5:$C$1000,"&lt;"&amp;'Detalle individual'!C109)*1000+COUNTIF('Detalle individual'!$B$5:$B$1000,"&lt;"&amp;'Detalle individual'!B109)+ROW()/10000,"")</f>
        <v>951892866.0109</v>
      </c>
      <c r="AJ109" t="str">
        <f>IF(AND('Detalle individual'!F109&lt;&gt;"",'Detalle individual'!F109&lt;&gt;"Completado",'Detalle individual'!F109&lt;&gt;"Pendiente"),COUNTIF('Detalle individual'!$D$5:$D$1000,"&lt;"&amp;'Detalle individual'!D109)*1000000+COUNTIF('Detalle individual'!$C$5:$C$1000,"&lt;"&amp;'Detalle individual'!C109)*1000+COUNTIF('Detalle individual'!$B$5:$B$1000,"&lt;"&amp;'Detalle individual'!B109)+ROW()/10000,"")</f>
        <v/>
      </c>
      <c r="AK109">
        <f>IF(OR('Base Exámenes'!C109="",'Base Exámenes'!D109=""),"",IF(COUNTIF('Base Exámenes'!$C$5:C109,'Base Exámenes'!C109)=1,'Base Exámenes'!D109+ROW()/1000000000,""))</f>
        <v>46302.48877325231</v>
      </c>
      <c r="AL109">
        <f>IF(OR('Base Exámenes'!C109="",'Base Exámenes'!E109=""),"",IF(COUNTIF('Base Exámenes'!$C$5:C109,'Base Exámenes'!C109)=1,'Base Exámenes'!E109+ROW()/1000000000,""))</f>
        <v>46302.63581028935</v>
      </c>
      <c r="AM109">
        <f>IF(OR('Base Exámenes'!C109="",'Base Exámenes'!G109=""),"",IF(ROW()-4=MATCH('Base Exámenes'!C109&amp;"|"&amp;_xlfn.MAXIFS('Base Exámenes'!$G$5:$G$1000,'Base Exámenes'!$C$5:$C$1000,'Base Exámenes'!C109),'Base Exámenes'!$I$5:$I$1000,0),'Base Exámenes'!G109*1000000+(-1)*'Base Exámenes'!D109,""))</f>
        <v>99953697.5112269</v>
      </c>
      <c r="AQ109" t="str">
        <f>IF('Base Exámenes'!C109="","",IF(COUNTIF('Base Exámenes'!$C$5:$C$1000,'Base Exámenes'!C109)&lt;2,"",MATCH('Base Exámenes'!C109,'Base Exámenes'!$C$5:$C$1000,0)*10000+ROW()))</f>
        <v/>
      </c>
    </row>
    <row r="110">
      <c r="Z110">
        <f>IF('Detalle individual'!A110="","",IF(AND(OR('Estado por Colaborador'!$D$4="Todas las gerencias",'Detalle individual'!D110='Estado por Colaborador'!$D$4),OR('Estado por Colaborador'!$D$5="Todos los departamentos",TRIM('Detalle individual'!C110)='Estado por Colaborador'!$D$5),OR('Estado por Colaborador'!$D$6="Todos",'Detalle individual'!F110='Estado por Colaborador'!$D$6)),IF('Detalle individual'!F110="Completado",30000000,IF('Detalle individual'!F110="Pendiente",0,15000000))+COUNTIF('Detalle individual'!$C$5:$C$1000,"&lt;"&amp;'Detalle individual'!C110)*10000+ROW(),""))</f>
        <v>38920110</v>
      </c>
      <c r="AB110" t="str">
        <f>IF('Detalle individual'!C110="","",IF(COUNTIF('Detalle individual'!$C$5:C110,'Detalle individual'!C110)=1,COUNTIF('Detalle individual'!$C$5:$C$1000,"&lt;"&amp;'Detalle individual'!C110),""))</f>
        <v/>
      </c>
      <c r="AC110" t="str">
        <f>IF('Detalle individual'!D110="","",IF(COUNTIF('Detalle individual'!$D$5:D110,'Detalle individual'!D110)=1,COUNTIF('Detalle individual'!$D$5:$D$1000,"&lt;"&amp;'Detalle individual'!D110),""))</f>
        <v/>
      </c>
      <c r="AH110" t="str">
        <f>IF('Detalle individual'!F110="Pendiente",COUNTIF('Detalle individual'!$D$5:$D$1000,"&lt;"&amp;'Detalle individual'!D110)*1000000+COUNTIF('Detalle individual'!$C$5:$C$1000,"&lt;"&amp;'Detalle individual'!C110)*1000+COUNTIF('Detalle individual'!$B$5:$B$1000,"&lt;"&amp;'Detalle individual'!B110)+ROW()/10000,"")</f>
        <v/>
      </c>
      <c r="AI110">
        <f>IF('Detalle individual'!F110="Completado",COUNTIF('Detalle individual'!$D$5:$D$1000,"&lt;"&amp;'Detalle individual'!D110)*1000000+COUNTIF('Detalle individual'!$C$5:$C$1000,"&lt;"&amp;'Detalle individual'!C110)*1000+COUNTIF('Detalle individual'!$B$5:$B$1000,"&lt;"&amp;'Detalle individual'!B110)+ROW()/10000,"")</f>
        <v>951892845.011</v>
      </c>
      <c r="AJ110" t="str">
        <f>IF(AND('Detalle individual'!F110&lt;&gt;"",'Detalle individual'!F110&lt;&gt;"Completado",'Detalle individual'!F110&lt;&gt;"Pendiente"),COUNTIF('Detalle individual'!$D$5:$D$1000,"&lt;"&amp;'Detalle individual'!D110)*1000000+COUNTIF('Detalle individual'!$C$5:$C$1000,"&lt;"&amp;'Detalle individual'!C110)*1000+COUNTIF('Detalle individual'!$B$5:$B$1000,"&lt;"&amp;'Detalle individual'!B110)+ROW()/10000,"")</f>
        <v/>
      </c>
      <c r="AK110">
        <f>IF(OR('Base Exámenes'!C110="",'Base Exámenes'!D110=""),"",IF(COUNTIF('Base Exámenes'!$C$5:C110,'Base Exámenes'!C110)=1,'Base Exámenes'!D110+ROW()/1000000000,""))</f>
        <v>46302.63322928241</v>
      </c>
      <c r="AL110">
        <f>IF(OR('Base Exámenes'!C110="",'Base Exámenes'!E110=""),"",IF(COUNTIF('Base Exámenes'!$C$5:C110,'Base Exámenes'!C110)=1,'Base Exámenes'!E110+ROW()/1000000000,""))</f>
        <v>46302.63703715278</v>
      </c>
      <c r="AM110">
        <f>IF(OR('Base Exámenes'!C110="",'Base Exámenes'!G110=""),"",IF(ROW()-4=MATCH('Base Exámenes'!C110&amp;"|"&amp;_xlfn.MAXIFS('Base Exámenes'!$G$5:$G$1000,'Base Exámenes'!$C$5:$C$1000,'Base Exámenes'!C110),'Base Exámenes'!$I$5:$I$1000,0),'Base Exámenes'!G110*1000000+(-1)*'Base Exámenes'!D110,""))</f>
        <v>99953697.3667708</v>
      </c>
      <c r="AQ110" t="str">
        <f>IF('Base Exámenes'!C110="","",IF(COUNTIF('Base Exámenes'!$C$5:$C$1000,'Base Exámenes'!C110)&lt;2,"",MATCH('Base Exámenes'!C110,'Base Exámenes'!$C$5:$C$1000,0)*10000+ROW()))</f>
        <v/>
      </c>
    </row>
    <row r="111">
      <c r="Z111">
        <f>IF('Detalle individual'!A111="","",IF(AND(OR('Estado por Colaborador'!$D$4="Todas las gerencias",'Detalle individual'!D111='Estado por Colaborador'!$D$4),OR('Estado por Colaborador'!$D$5="Todos los departamentos",TRIM('Detalle individual'!C111)='Estado por Colaborador'!$D$5),OR('Estado por Colaborador'!$D$6="Todos",'Detalle individual'!F111='Estado por Colaborador'!$D$6)),IF('Detalle individual'!F111="Completado",30000000,IF('Detalle individual'!F111="Pendiente",0,15000000))+COUNTIF('Detalle individual'!$C$5:$C$1000,"&lt;"&amp;'Detalle individual'!C111)*10000+ROW(),""))</f>
        <v>38210111</v>
      </c>
      <c r="AB111">
        <f>IF('Detalle individual'!C111="","",IF(COUNTIF('Detalle individual'!$C$5:C111,'Detalle individual'!C111)=1,COUNTIF('Detalle individual'!$C$5:$C$1000,"&lt;"&amp;'Detalle individual'!C111),""))</f>
        <v>821</v>
      </c>
      <c r="AC111" t="str">
        <f>IF('Detalle individual'!D111="","",IF(COUNTIF('Detalle individual'!$D$5:D111,'Detalle individual'!D111)=1,COUNTIF('Detalle individual'!$D$5:$D$1000,"&lt;"&amp;'Detalle individual'!D111),""))</f>
        <v/>
      </c>
      <c r="AH111" t="str">
        <f>IF('Detalle individual'!F111="Pendiente",COUNTIF('Detalle individual'!$D$5:$D$1000,"&lt;"&amp;'Detalle individual'!D111)*1000000+COUNTIF('Detalle individual'!$C$5:$C$1000,"&lt;"&amp;'Detalle individual'!C111)*1000+COUNTIF('Detalle individual'!$B$5:$B$1000,"&lt;"&amp;'Detalle individual'!B111)+ROW()/10000,"")</f>
        <v/>
      </c>
      <c r="AI111">
        <f>IF('Detalle individual'!F111="Completado",COUNTIF('Detalle individual'!$D$5:$D$1000,"&lt;"&amp;'Detalle individual'!D111)*1000000+COUNTIF('Detalle individual'!$C$5:$C$1000,"&lt;"&amp;'Detalle individual'!C111)*1000+COUNTIF('Detalle individual'!$B$5:$B$1000,"&lt;"&amp;'Detalle individual'!B111)+ROW()/10000,"")</f>
        <v>951821747.0111</v>
      </c>
      <c r="AJ111" t="str">
        <f>IF(AND('Detalle individual'!F111&lt;&gt;"",'Detalle individual'!F111&lt;&gt;"Completado",'Detalle individual'!F111&lt;&gt;"Pendiente"),COUNTIF('Detalle individual'!$D$5:$D$1000,"&lt;"&amp;'Detalle individual'!D111)*1000000+COUNTIF('Detalle individual'!$C$5:$C$1000,"&lt;"&amp;'Detalle individual'!C111)*1000+COUNTIF('Detalle individual'!$B$5:$B$1000,"&lt;"&amp;'Detalle individual'!B111)+ROW()/10000,"")</f>
        <v/>
      </c>
      <c r="AK111">
        <f>IF(OR('Base Exámenes'!C111="",'Base Exámenes'!D111=""),"",IF(COUNTIF('Base Exámenes'!$C$5:C111,'Base Exámenes'!C111)=1,'Base Exámenes'!D111+ROW()/1000000000,""))</f>
        <v>46302.64388900463</v>
      </c>
      <c r="AL111">
        <f>IF(OR('Base Exámenes'!C111="",'Base Exámenes'!E111=""),"",IF(COUNTIF('Base Exámenes'!$C$5:C111,'Base Exámenes'!C111)=1,'Base Exámenes'!E111+ROW()/1000000000,""))</f>
        <v>46302.64712974537</v>
      </c>
      <c r="AM111">
        <f>IF(OR('Base Exámenes'!C111="",'Base Exámenes'!G111=""),"",IF(ROW()-4=MATCH('Base Exámenes'!C111&amp;"|"&amp;_xlfn.MAXIFS('Base Exámenes'!$G$5:$G$1000,'Base Exámenes'!$C$5:$C$1000,'Base Exámenes'!C111),'Base Exámenes'!$I$5:$I$1000,0),'Base Exámenes'!G111*1000000+(-1)*'Base Exámenes'!D111,""))</f>
        <v>99953697.3561111</v>
      </c>
      <c r="AQ111" t="str">
        <f>IF('Base Exámenes'!C111="","",IF(COUNTIF('Base Exámenes'!$C$5:$C$1000,'Base Exámenes'!C111)&lt;2,"",MATCH('Base Exámenes'!C111,'Base Exámenes'!$C$5:$C$1000,0)*10000+ROW()))</f>
        <v/>
      </c>
    </row>
    <row r="112">
      <c r="Z112">
        <f>IF('Detalle individual'!A112="","",IF(AND(OR('Estado por Colaborador'!$D$4="Todas las gerencias",'Detalle individual'!D112='Estado por Colaborador'!$D$4),OR('Estado por Colaborador'!$D$5="Todos los departamentos",TRIM('Detalle individual'!C112)='Estado por Colaborador'!$D$5),OR('Estado por Colaborador'!$D$6="Todos",'Detalle individual'!F112='Estado por Colaborador'!$D$6)),IF('Detalle individual'!F112="Completado",30000000,IF('Detalle individual'!F112="Pendiente",0,15000000))+COUNTIF('Detalle individual'!$C$5:$C$1000,"&lt;"&amp;'Detalle individual'!C112)*10000+ROW(),""))</f>
        <v>38210112</v>
      </c>
      <c r="AB112" t="str">
        <f>IF('Detalle individual'!C112="","",IF(COUNTIF('Detalle individual'!$C$5:C112,'Detalle individual'!C112)=1,COUNTIF('Detalle individual'!$C$5:$C$1000,"&lt;"&amp;'Detalle individual'!C112),""))</f>
        <v/>
      </c>
      <c r="AC112" t="str">
        <f>IF('Detalle individual'!D112="","",IF(COUNTIF('Detalle individual'!$D$5:D112,'Detalle individual'!D112)=1,COUNTIF('Detalle individual'!$D$5:$D$1000,"&lt;"&amp;'Detalle individual'!D112),""))</f>
        <v/>
      </c>
      <c r="AH112" t="str">
        <f>IF('Detalle individual'!F112="Pendiente",COUNTIF('Detalle individual'!$D$5:$D$1000,"&lt;"&amp;'Detalle individual'!D112)*1000000+COUNTIF('Detalle individual'!$C$5:$C$1000,"&lt;"&amp;'Detalle individual'!C112)*1000+COUNTIF('Detalle individual'!$B$5:$B$1000,"&lt;"&amp;'Detalle individual'!B112)+ROW()/10000,"")</f>
        <v/>
      </c>
      <c r="AI112">
        <f>IF('Detalle individual'!F112="Completado",COUNTIF('Detalle individual'!$D$5:$D$1000,"&lt;"&amp;'Detalle individual'!D112)*1000000+COUNTIF('Detalle individual'!$C$5:$C$1000,"&lt;"&amp;'Detalle individual'!C112)*1000+COUNTIF('Detalle individual'!$B$5:$B$1000,"&lt;"&amp;'Detalle individual'!B112)+ROW()/10000,"")</f>
        <v>951821813.0112</v>
      </c>
      <c r="AJ112" t="str">
        <f>IF(AND('Detalle individual'!F112&lt;&gt;"",'Detalle individual'!F112&lt;&gt;"Completado",'Detalle individual'!F112&lt;&gt;"Pendiente"),COUNTIF('Detalle individual'!$D$5:$D$1000,"&lt;"&amp;'Detalle individual'!D112)*1000000+COUNTIF('Detalle individual'!$C$5:$C$1000,"&lt;"&amp;'Detalle individual'!C112)*1000+COUNTIF('Detalle individual'!$B$5:$B$1000,"&lt;"&amp;'Detalle individual'!B112)+ROW()/10000,"")</f>
        <v/>
      </c>
      <c r="AK112">
        <f>IF(OR('Base Exámenes'!C112="",'Base Exámenes'!D112=""),"",IF(COUNTIF('Base Exámenes'!$C$5:C112,'Base Exámenes'!C112)=1,'Base Exámenes'!D112+ROW()/1000000000,""))</f>
        <v>46302.63820613426</v>
      </c>
      <c r="AL112">
        <f>IF(OR('Base Exámenes'!C112="",'Base Exámenes'!E112=""),"",IF(COUNTIF('Base Exámenes'!$C$5:C112,'Base Exámenes'!C112)=1,'Base Exámenes'!E112+ROW()/1000000000,""))</f>
        <v>46302.67400474537</v>
      </c>
      <c r="AM112">
        <f>IF(OR('Base Exámenes'!C112="",'Base Exámenes'!G112=""),"",IF(ROW()-4=MATCH('Base Exámenes'!C112&amp;"|"&amp;_xlfn.MAXIFS('Base Exámenes'!$G$5:$G$1000,'Base Exámenes'!$C$5:$C$1000,'Base Exámenes'!C112),'Base Exámenes'!$I$5:$I$1000,0),'Base Exámenes'!G112*1000000+(-1)*'Base Exámenes'!D112,""))</f>
        <v>94953697.361794</v>
      </c>
      <c r="AQ112" t="str">
        <f>IF('Base Exámenes'!C112="","",IF(COUNTIF('Base Exámenes'!$C$5:$C$1000,'Base Exámenes'!C112)&lt;2,"",MATCH('Base Exámenes'!C112,'Base Exámenes'!$C$5:$C$1000,0)*10000+ROW()))</f>
        <v/>
      </c>
    </row>
    <row r="113">
      <c r="Z113">
        <f>IF('Detalle individual'!A113="","",IF(AND(OR('Estado por Colaborador'!$D$4="Todas las gerencias",'Detalle individual'!D113='Estado por Colaborador'!$D$4),OR('Estado por Colaborador'!$D$5="Todos los departamentos",TRIM('Detalle individual'!C113)='Estado por Colaborador'!$D$5),OR('Estado por Colaborador'!$D$6="Todos",'Detalle individual'!F113='Estado por Colaborador'!$D$6)),IF('Detalle individual'!F113="Completado",30000000,IF('Detalle individual'!F113="Pendiente",0,15000000))+COUNTIF('Detalle individual'!$C$5:$C$1000,"&lt;"&amp;'Detalle individual'!C113)*10000+ROW(),""))</f>
        <v>38210113</v>
      </c>
      <c r="AB113" t="str">
        <f>IF('Detalle individual'!C113="","",IF(COUNTIF('Detalle individual'!$C$5:C113,'Detalle individual'!C113)=1,COUNTIF('Detalle individual'!$C$5:$C$1000,"&lt;"&amp;'Detalle individual'!C113),""))</f>
        <v/>
      </c>
      <c r="AC113" t="str">
        <f>IF('Detalle individual'!D113="","",IF(COUNTIF('Detalle individual'!$D$5:D113,'Detalle individual'!D113)=1,COUNTIF('Detalle individual'!$D$5:$D$1000,"&lt;"&amp;'Detalle individual'!D113),""))</f>
        <v/>
      </c>
      <c r="AH113" t="str">
        <f>IF('Detalle individual'!F113="Pendiente",COUNTIF('Detalle individual'!$D$5:$D$1000,"&lt;"&amp;'Detalle individual'!D113)*1000000+COUNTIF('Detalle individual'!$C$5:$C$1000,"&lt;"&amp;'Detalle individual'!C113)*1000+COUNTIF('Detalle individual'!$B$5:$B$1000,"&lt;"&amp;'Detalle individual'!B113)+ROW()/10000,"")</f>
        <v/>
      </c>
      <c r="AI113">
        <f>IF('Detalle individual'!F113="Completado",COUNTIF('Detalle individual'!$D$5:$D$1000,"&lt;"&amp;'Detalle individual'!D113)*1000000+COUNTIF('Detalle individual'!$C$5:$C$1000,"&lt;"&amp;'Detalle individual'!C113)*1000+COUNTIF('Detalle individual'!$B$5:$B$1000,"&lt;"&amp;'Detalle individual'!B113)+ROW()/10000,"")</f>
        <v>951821754.0113</v>
      </c>
      <c r="AJ113" t="str">
        <f>IF(AND('Detalle individual'!F113&lt;&gt;"",'Detalle individual'!F113&lt;&gt;"Completado",'Detalle individual'!F113&lt;&gt;"Pendiente"),COUNTIF('Detalle individual'!$D$5:$D$1000,"&lt;"&amp;'Detalle individual'!D113)*1000000+COUNTIF('Detalle individual'!$C$5:$C$1000,"&lt;"&amp;'Detalle individual'!C113)*1000+COUNTIF('Detalle individual'!$B$5:$B$1000,"&lt;"&amp;'Detalle individual'!B113)+ROW()/10000,"")</f>
        <v/>
      </c>
      <c r="AK113">
        <f>IF(OR('Base Exámenes'!C113="",'Base Exámenes'!D113=""),"",IF(COUNTIF('Base Exámenes'!$C$5:C113,'Base Exámenes'!C113)=1,'Base Exámenes'!D113+ROW()/1000000000,""))</f>
        <v>46302.700208449074</v>
      </c>
      <c r="AL113">
        <f>IF(OR('Base Exámenes'!C113="",'Base Exámenes'!E113=""),"",IF(COUNTIF('Base Exámenes'!$C$5:C113,'Base Exámenes'!C113)=1,'Base Exámenes'!E113+ROW()/1000000000,""))</f>
        <v>46302.70259270833</v>
      </c>
      <c r="AM113">
        <f>IF(OR('Base Exámenes'!C113="",'Base Exámenes'!G113=""),"",IF(ROW()-4=MATCH('Base Exámenes'!C113&amp;"|"&amp;_xlfn.MAXIFS('Base Exámenes'!$G$5:$G$1000,'Base Exámenes'!$C$5:$C$1000,'Base Exámenes'!C113),'Base Exámenes'!$I$5:$I$1000,0),'Base Exámenes'!G113*1000000+(-1)*'Base Exámenes'!D113,""))</f>
        <v>99953697.2997917</v>
      </c>
      <c r="AQ113" t="str">
        <f>IF('Base Exámenes'!C113="","",IF(COUNTIF('Base Exámenes'!$C$5:$C$1000,'Base Exámenes'!C113)&lt;2,"",MATCH('Base Exámenes'!C113,'Base Exámenes'!$C$5:$C$1000,0)*10000+ROW()))</f>
        <v/>
      </c>
    </row>
    <row r="114">
      <c r="Z114">
        <f>IF('Detalle individual'!A114="","",IF(AND(OR('Estado por Colaborador'!$D$4="Todas las gerencias",'Detalle individual'!D114='Estado por Colaborador'!$D$4),OR('Estado por Colaborador'!$D$5="Todos los departamentos",TRIM('Detalle individual'!C114)='Estado por Colaborador'!$D$5),OR('Estado por Colaborador'!$D$6="Todos",'Detalle individual'!F114='Estado por Colaborador'!$D$6)),IF('Detalle individual'!F114="Completado",30000000,IF('Detalle individual'!F114="Pendiente",0,15000000))+COUNTIF('Detalle individual'!$C$5:$C$1000,"&lt;"&amp;'Detalle individual'!C114)*10000+ROW(),""))</f>
        <v>38210114</v>
      </c>
      <c r="AB114" t="str">
        <f>IF('Detalle individual'!C114="","",IF(COUNTIF('Detalle individual'!$C$5:C114,'Detalle individual'!C114)=1,COUNTIF('Detalle individual'!$C$5:$C$1000,"&lt;"&amp;'Detalle individual'!C114),""))</f>
        <v/>
      </c>
      <c r="AC114" t="str">
        <f>IF('Detalle individual'!D114="","",IF(COUNTIF('Detalle individual'!$D$5:D114,'Detalle individual'!D114)=1,COUNTIF('Detalle individual'!$D$5:$D$1000,"&lt;"&amp;'Detalle individual'!D114),""))</f>
        <v/>
      </c>
      <c r="AH114" t="str">
        <f>IF('Detalle individual'!F114="Pendiente",COUNTIF('Detalle individual'!$D$5:$D$1000,"&lt;"&amp;'Detalle individual'!D114)*1000000+COUNTIF('Detalle individual'!$C$5:$C$1000,"&lt;"&amp;'Detalle individual'!C114)*1000+COUNTIF('Detalle individual'!$B$5:$B$1000,"&lt;"&amp;'Detalle individual'!B114)+ROW()/10000,"")</f>
        <v/>
      </c>
      <c r="AI114">
        <f>IF('Detalle individual'!F114="Completado",COUNTIF('Detalle individual'!$D$5:$D$1000,"&lt;"&amp;'Detalle individual'!D114)*1000000+COUNTIF('Detalle individual'!$C$5:$C$1000,"&lt;"&amp;'Detalle individual'!C114)*1000+COUNTIF('Detalle individual'!$B$5:$B$1000,"&lt;"&amp;'Detalle individual'!B114)+ROW()/10000,"")</f>
        <v>951821801.0114</v>
      </c>
      <c r="AJ114" t="str">
        <f>IF(AND('Detalle individual'!F114&lt;&gt;"",'Detalle individual'!F114&lt;&gt;"Completado",'Detalle individual'!F114&lt;&gt;"Pendiente"),COUNTIF('Detalle individual'!$D$5:$D$1000,"&lt;"&amp;'Detalle individual'!D114)*1000000+COUNTIF('Detalle individual'!$C$5:$C$1000,"&lt;"&amp;'Detalle individual'!C114)*1000+COUNTIF('Detalle individual'!$B$5:$B$1000,"&lt;"&amp;'Detalle individual'!B114)+ROW()/10000,"")</f>
        <v/>
      </c>
      <c r="AK114">
        <f>IF(OR('Base Exámenes'!C114="",'Base Exámenes'!D114=""),"",IF(COUNTIF('Base Exámenes'!$C$5:C114,'Base Exámenes'!C114)=1,'Base Exámenes'!D114+ROW()/1000000000,""))</f>
        <v>46302.70101863426</v>
      </c>
      <c r="AL114">
        <f>IF(OR('Base Exámenes'!C114="",'Base Exámenes'!E114=""),"",IF(COUNTIF('Base Exámenes'!$C$5:C114,'Base Exámenes'!C114)=1,'Base Exámenes'!E114+ROW()/1000000000,""))</f>
        <v>46302.704571875</v>
      </c>
      <c r="AM114">
        <f>IF(OR('Base Exámenes'!C114="",'Base Exámenes'!G114=""),"",IF(ROW()-4=MATCH('Base Exámenes'!C114&amp;"|"&amp;_xlfn.MAXIFS('Base Exámenes'!$G$5:$G$1000,'Base Exámenes'!$C$5:$C$1000,'Base Exámenes'!C114),'Base Exámenes'!$I$5:$I$1000,0),'Base Exámenes'!G114*1000000+(-1)*'Base Exámenes'!D114,""))</f>
        <v>99953697.2989815</v>
      </c>
      <c r="AQ114" t="str">
        <f>IF('Base Exámenes'!C114="","",IF(COUNTIF('Base Exámenes'!$C$5:$C$1000,'Base Exámenes'!C114)&lt;2,"",MATCH('Base Exámenes'!C114,'Base Exámenes'!$C$5:$C$1000,0)*10000+ROW()))</f>
        <v/>
      </c>
    </row>
    <row r="115">
      <c r="A115" t="inlineStr">
        <is>
          <t>Completados</t>
        </is>
      </c>
      <c r="B115">
        <f>SUM('Consolidado por Gerencia'!$C$5:$C$24)</f>
        <v>283</v>
      </c>
      <c r="Z115">
        <f>IF('Detalle individual'!A115="","",IF(AND(OR('Estado por Colaborador'!$D$4="Todas las gerencias",'Detalle individual'!D115='Estado por Colaborador'!$D$4),OR('Estado por Colaborador'!$D$5="Todos los departamentos",TRIM('Detalle individual'!C115)='Estado por Colaborador'!$D$5),OR('Estado por Colaborador'!$D$6="Todos",'Detalle individual'!F115='Estado por Colaborador'!$D$6)),IF('Detalle individual'!F115="Completado",30000000,IF('Detalle individual'!F115="Pendiente",0,15000000))+COUNTIF('Detalle individual'!$C$5:$C$1000,"&lt;"&amp;'Detalle individual'!C115)*10000+ROW(),""))</f>
        <v>38210115</v>
      </c>
      <c r="AB115" t="str">
        <f>IF('Detalle individual'!C115="","",IF(COUNTIF('Detalle individual'!$C$5:C115,'Detalle individual'!C115)=1,COUNTIF('Detalle individual'!$C$5:$C$1000,"&lt;"&amp;'Detalle individual'!C115),""))</f>
        <v/>
      </c>
      <c r="AC115" t="str">
        <f>IF('Detalle individual'!D115="","",IF(COUNTIF('Detalle individual'!$D$5:D115,'Detalle individual'!D115)=1,COUNTIF('Detalle individual'!$D$5:$D$1000,"&lt;"&amp;'Detalle individual'!D115),""))</f>
        <v/>
      </c>
      <c r="AH115" t="str">
        <f>IF('Detalle individual'!F115="Pendiente",COUNTIF('Detalle individual'!$D$5:$D$1000,"&lt;"&amp;'Detalle individual'!D115)*1000000+COUNTIF('Detalle individual'!$C$5:$C$1000,"&lt;"&amp;'Detalle individual'!C115)*1000+COUNTIF('Detalle individual'!$B$5:$B$1000,"&lt;"&amp;'Detalle individual'!B115)+ROW()/10000,"")</f>
        <v/>
      </c>
      <c r="AI115">
        <f>IF('Detalle individual'!F115="Completado",COUNTIF('Detalle individual'!$D$5:$D$1000,"&lt;"&amp;'Detalle individual'!D115)*1000000+COUNTIF('Detalle individual'!$C$5:$C$1000,"&lt;"&amp;'Detalle individual'!C115)*1000+COUNTIF('Detalle individual'!$B$5:$B$1000,"&lt;"&amp;'Detalle individual'!B115)+ROW()/10000,"")</f>
        <v>951821739.0115</v>
      </c>
      <c r="AJ115" t="str">
        <f>IF(AND('Detalle individual'!F115&lt;&gt;"",'Detalle individual'!F115&lt;&gt;"Completado",'Detalle individual'!F115&lt;&gt;"Pendiente"),COUNTIF('Detalle individual'!$D$5:$D$1000,"&lt;"&amp;'Detalle individual'!D115)*1000000+COUNTIF('Detalle individual'!$C$5:$C$1000,"&lt;"&amp;'Detalle individual'!C115)*1000+COUNTIF('Detalle individual'!$B$5:$B$1000,"&lt;"&amp;'Detalle individual'!B115)+ROW()/10000,"")</f>
        <v/>
      </c>
      <c r="AK115">
        <f>IF(OR('Base Exámenes'!C115="",'Base Exámenes'!D115=""),"",IF(COUNTIF('Base Exámenes'!$C$5:C115,'Base Exámenes'!C115)=1,'Base Exámenes'!D115+ROW()/1000000000,""))</f>
        <v>46303.388900578706</v>
      </c>
      <c r="AL115">
        <f>IF(OR('Base Exámenes'!C115="",'Base Exámenes'!E115=""),"",IF(COUNTIF('Base Exámenes'!$C$5:C115,'Base Exámenes'!C115)=1,'Base Exámenes'!E115+ROW()/1000000000,""))</f>
        <v>46303.39013900463</v>
      </c>
      <c r="AM115">
        <f>IF(OR('Base Exámenes'!C115="",'Base Exámenes'!G115=""),"",IF(ROW()-4=MATCH('Base Exámenes'!C115&amp;"|"&amp;_xlfn.MAXIFS('Base Exámenes'!$G$5:$G$1000,'Base Exámenes'!$C$5:$C$1000,'Base Exámenes'!C115),'Base Exámenes'!$I$5:$I$1000,0),'Base Exámenes'!G115*1000000+(-1)*'Base Exámenes'!D115,""))</f>
        <v>99953696.6110995</v>
      </c>
      <c r="AQ115" t="str">
        <f>IF('Base Exámenes'!C115="","",IF(COUNTIF('Base Exámenes'!$C$5:$C$1000,'Base Exámenes'!C115)&lt;2,"",MATCH('Base Exámenes'!C115,'Base Exámenes'!$C$5:$C$1000,0)*10000+ROW()))</f>
        <v/>
      </c>
    </row>
    <row r="116">
      <c r="A116" t="inlineStr">
        <is>
          <t>Pendientes</t>
        </is>
      </c>
      <c r="B116">
        <f>SUM('Consolidado por Gerencia'!$D$5:$D$24)</f>
        <v>0</v>
      </c>
      <c r="Z116">
        <f>IF('Detalle individual'!A116="","",IF(AND(OR('Estado por Colaborador'!$D$4="Todas las gerencias",'Detalle individual'!D116='Estado por Colaborador'!$D$4),OR('Estado por Colaborador'!$D$5="Todos los departamentos",TRIM('Detalle individual'!C116)='Estado por Colaborador'!$D$5),OR('Estado por Colaborador'!$D$6="Todos",'Detalle individual'!F116='Estado por Colaborador'!$D$6)),IF('Detalle individual'!F116="Completado",30000000,IF('Detalle individual'!F116="Pendiente",0,15000000))+COUNTIF('Detalle individual'!$C$5:$C$1000,"&lt;"&amp;'Detalle individual'!C116)*10000+ROW(),""))</f>
        <v>38210116</v>
      </c>
      <c r="AB116" t="str">
        <f>IF('Detalle individual'!C116="","",IF(COUNTIF('Detalle individual'!$C$5:C116,'Detalle individual'!C116)=1,COUNTIF('Detalle individual'!$C$5:$C$1000,"&lt;"&amp;'Detalle individual'!C116),""))</f>
        <v/>
      </c>
      <c r="AC116" t="str">
        <f>IF('Detalle individual'!D116="","",IF(COUNTIF('Detalle individual'!$D$5:D116,'Detalle individual'!D116)=1,COUNTIF('Detalle individual'!$D$5:$D$1000,"&lt;"&amp;'Detalle individual'!D116),""))</f>
        <v/>
      </c>
      <c r="AH116" t="str">
        <f>IF('Detalle individual'!F116="Pendiente",COUNTIF('Detalle individual'!$D$5:$D$1000,"&lt;"&amp;'Detalle individual'!D116)*1000000+COUNTIF('Detalle individual'!$C$5:$C$1000,"&lt;"&amp;'Detalle individual'!C116)*1000+COUNTIF('Detalle individual'!$B$5:$B$1000,"&lt;"&amp;'Detalle individual'!B116)+ROW()/10000,"")</f>
        <v/>
      </c>
      <c r="AI116">
        <f>IF('Detalle individual'!F116="Completado",COUNTIF('Detalle individual'!$D$5:$D$1000,"&lt;"&amp;'Detalle individual'!D116)*1000000+COUNTIF('Detalle individual'!$C$5:$C$1000,"&lt;"&amp;'Detalle individual'!C116)*1000+COUNTIF('Detalle individual'!$B$5:$B$1000,"&lt;"&amp;'Detalle individual'!B116)+ROW()/10000,"")</f>
        <v>951821827.0116</v>
      </c>
      <c r="AJ116" t="str">
        <f>IF(AND('Detalle individual'!F116&lt;&gt;"",'Detalle individual'!F116&lt;&gt;"Completado",'Detalle individual'!F116&lt;&gt;"Pendiente"),COUNTIF('Detalle individual'!$D$5:$D$1000,"&lt;"&amp;'Detalle individual'!D116)*1000000+COUNTIF('Detalle individual'!$C$5:$C$1000,"&lt;"&amp;'Detalle individual'!C116)*1000+COUNTIF('Detalle individual'!$B$5:$B$1000,"&lt;"&amp;'Detalle individual'!B116)+ROW()/10000,"")</f>
        <v/>
      </c>
      <c r="AK116">
        <f>IF(OR('Base Exámenes'!C116="",'Base Exámenes'!D116=""),"",IF(COUNTIF('Base Exámenes'!$C$5:C116,'Base Exámenes'!C116)=1,'Base Exámenes'!D116+ROW()/1000000000,""))</f>
        <v>46303.393101967595</v>
      </c>
      <c r="AL116">
        <f>IF(OR('Base Exámenes'!C116="",'Base Exámenes'!E116=""),"",IF(COUNTIF('Base Exámenes'!$C$5:C116,'Base Exámenes'!C116)=1,'Base Exámenes'!E116+ROW()/1000000000,""))</f>
        <v>46303.396400578706</v>
      </c>
      <c r="AM116">
        <f>IF(OR('Base Exámenes'!C116="",'Base Exámenes'!G116=""),"",IF(ROW()-4=MATCH('Base Exámenes'!C116&amp;"|"&amp;_xlfn.MAXIFS('Base Exámenes'!$G$5:$G$1000,'Base Exámenes'!$C$5:$C$1000,'Base Exámenes'!C116),'Base Exámenes'!$I$5:$I$1000,0),'Base Exámenes'!G116*1000000+(-1)*'Base Exámenes'!D116,""))</f>
        <v>99953696.6068981</v>
      </c>
      <c r="AQ116" t="str">
        <f>IF('Base Exámenes'!C116="","",IF(COUNTIF('Base Exámenes'!$C$5:$C$1000,'Base Exámenes'!C116)&lt;2,"",MATCH('Base Exámenes'!C116,'Base Exámenes'!$C$5:$C$1000,0)*10000+ROW()))</f>
        <v/>
      </c>
    </row>
    <row r="117">
      <c r="Z117">
        <f>IF('Detalle individual'!A117="","",IF(AND(OR('Estado por Colaborador'!$D$4="Todas las gerencias",'Detalle individual'!D117='Estado por Colaborador'!$D$4),OR('Estado por Colaborador'!$D$5="Todos los departamentos",TRIM('Detalle individual'!C117)='Estado por Colaborador'!$D$5),OR('Estado por Colaborador'!$D$6="Todos",'Detalle individual'!F117='Estado por Colaborador'!$D$6)),IF('Detalle individual'!F117="Completado",30000000,IF('Detalle individual'!F117="Pendiente",0,15000000))+COUNTIF('Detalle individual'!$C$5:$C$1000,"&lt;"&amp;'Detalle individual'!C117)*10000+ROW(),""))</f>
        <v>38210117</v>
      </c>
      <c r="AB117" t="str">
        <f>IF('Detalle individual'!C117="","",IF(COUNTIF('Detalle individual'!$C$5:C117,'Detalle individual'!C117)=1,COUNTIF('Detalle individual'!$C$5:$C$1000,"&lt;"&amp;'Detalle individual'!C117),""))</f>
        <v/>
      </c>
      <c r="AC117" t="str">
        <f>IF('Detalle individual'!D117="","",IF(COUNTIF('Detalle individual'!$D$5:D117,'Detalle individual'!D117)=1,COUNTIF('Detalle individual'!$D$5:$D$1000,"&lt;"&amp;'Detalle individual'!D117),""))</f>
        <v/>
      </c>
      <c r="AH117" t="str">
        <f>IF('Detalle individual'!F117="Pendiente",COUNTIF('Detalle individual'!$D$5:$D$1000,"&lt;"&amp;'Detalle individual'!D117)*1000000+COUNTIF('Detalle individual'!$C$5:$C$1000,"&lt;"&amp;'Detalle individual'!C117)*1000+COUNTIF('Detalle individual'!$B$5:$B$1000,"&lt;"&amp;'Detalle individual'!B117)+ROW()/10000,"")</f>
        <v/>
      </c>
      <c r="AI117">
        <f>IF('Detalle individual'!F117="Completado",COUNTIF('Detalle individual'!$D$5:$D$1000,"&lt;"&amp;'Detalle individual'!D117)*1000000+COUNTIF('Detalle individual'!$C$5:$C$1000,"&lt;"&amp;'Detalle individual'!C117)*1000+COUNTIF('Detalle individual'!$B$5:$B$1000,"&lt;"&amp;'Detalle individual'!B117)+ROW()/10000,"")</f>
        <v>951821842.0117</v>
      </c>
      <c r="AJ117" t="str">
        <f>IF(AND('Detalle individual'!F117&lt;&gt;"",'Detalle individual'!F117&lt;&gt;"Completado",'Detalle individual'!F117&lt;&gt;"Pendiente"),COUNTIF('Detalle individual'!$D$5:$D$1000,"&lt;"&amp;'Detalle individual'!D117)*1000000+COUNTIF('Detalle individual'!$C$5:$C$1000,"&lt;"&amp;'Detalle individual'!C117)*1000+COUNTIF('Detalle individual'!$B$5:$B$1000,"&lt;"&amp;'Detalle individual'!B117)+ROW()/10000,"")</f>
        <v/>
      </c>
      <c r="AK117">
        <f>IF(OR('Base Exámenes'!C117="",'Base Exámenes'!D117=""),"",IF(COUNTIF('Base Exámenes'!$C$5:C117,'Base Exámenes'!C117)=1,'Base Exámenes'!D117+ROW()/1000000000,""))</f>
        <v>46303.441713078704</v>
      </c>
      <c r="AL117">
        <f>IF(OR('Base Exámenes'!C117="",'Base Exámenes'!E117=""),"",IF(COUNTIF('Base Exámenes'!$C$5:C117,'Base Exámenes'!C117)=1,'Base Exámenes'!E117+ROW()/1000000000,""))</f>
        <v>46303.44346076389</v>
      </c>
      <c r="AM117">
        <f>IF(OR('Base Exámenes'!C117="",'Base Exámenes'!G117=""),"",IF(ROW()-4=MATCH('Base Exámenes'!C117&amp;"|"&amp;_xlfn.MAXIFS('Base Exámenes'!$G$5:$G$1000,'Base Exámenes'!$C$5:$C$1000,'Base Exámenes'!C117),'Base Exámenes'!$I$5:$I$1000,0),'Base Exámenes'!G117*1000000+(-1)*'Base Exámenes'!D117,""))</f>
        <v>99953696.558287</v>
      </c>
      <c r="AQ117" t="str">
        <f>IF('Base Exámenes'!C117="","",IF(COUNTIF('Base Exámenes'!$C$5:$C$1000,'Base Exámenes'!C117)&lt;2,"",MATCH('Base Exámenes'!C117,'Base Exámenes'!$C$5:$C$1000,0)*10000+ROW()))</f>
        <v/>
      </c>
    </row>
    <row r="118">
      <c r="Z118">
        <f>IF('Detalle individual'!A118="","",IF(AND(OR('Estado por Colaborador'!$D$4="Todas las gerencias",'Detalle individual'!D118='Estado por Colaborador'!$D$4),OR('Estado por Colaborador'!$D$5="Todos los departamentos",TRIM('Detalle individual'!C118)='Estado por Colaborador'!$D$5),OR('Estado por Colaborador'!$D$6="Todos",'Detalle individual'!F118='Estado por Colaborador'!$D$6)),IF('Detalle individual'!F118="Completado",30000000,IF('Detalle individual'!F118="Pendiente",0,15000000))+COUNTIF('Detalle individual'!$C$5:$C$1000,"&lt;"&amp;'Detalle individual'!C118)*10000+ROW(),""))</f>
        <v>38210118</v>
      </c>
      <c r="AB118" t="str">
        <f>IF('Detalle individual'!C118="","",IF(COUNTIF('Detalle individual'!$C$5:C118,'Detalle individual'!C118)=1,COUNTIF('Detalle individual'!$C$5:$C$1000,"&lt;"&amp;'Detalle individual'!C118),""))</f>
        <v/>
      </c>
      <c r="AC118" t="str">
        <f>IF('Detalle individual'!D118="","",IF(COUNTIF('Detalle individual'!$D$5:D118,'Detalle individual'!D118)=1,COUNTIF('Detalle individual'!$D$5:$D$1000,"&lt;"&amp;'Detalle individual'!D118),""))</f>
        <v/>
      </c>
      <c r="AH118" t="str">
        <f>IF('Detalle individual'!F118="Pendiente",COUNTIF('Detalle individual'!$D$5:$D$1000,"&lt;"&amp;'Detalle individual'!D118)*1000000+COUNTIF('Detalle individual'!$C$5:$C$1000,"&lt;"&amp;'Detalle individual'!C118)*1000+COUNTIF('Detalle individual'!$B$5:$B$1000,"&lt;"&amp;'Detalle individual'!B118)+ROW()/10000,"")</f>
        <v/>
      </c>
      <c r="AI118">
        <f>IF('Detalle individual'!F118="Completado",COUNTIF('Detalle individual'!$D$5:$D$1000,"&lt;"&amp;'Detalle individual'!D118)*1000000+COUNTIF('Detalle individual'!$C$5:$C$1000,"&lt;"&amp;'Detalle individual'!C118)*1000+COUNTIF('Detalle individual'!$B$5:$B$1000,"&lt;"&amp;'Detalle individual'!B118)+ROW()/10000,"")</f>
        <v>951821732.0118</v>
      </c>
      <c r="AJ118" t="str">
        <f>IF(AND('Detalle individual'!F118&lt;&gt;"",'Detalle individual'!F118&lt;&gt;"Completado",'Detalle individual'!F118&lt;&gt;"Pendiente"),COUNTIF('Detalle individual'!$D$5:$D$1000,"&lt;"&amp;'Detalle individual'!D118)*1000000+COUNTIF('Detalle individual'!$C$5:$C$1000,"&lt;"&amp;'Detalle individual'!C118)*1000+COUNTIF('Detalle individual'!$B$5:$B$1000,"&lt;"&amp;'Detalle individual'!B118)+ROW()/10000,"")</f>
        <v/>
      </c>
      <c r="AK118">
        <f>IF(OR('Base Exámenes'!C118="",'Base Exámenes'!D118=""),"",IF(COUNTIF('Base Exámenes'!$C$5:C118,'Base Exámenes'!C118)=1,'Base Exámenes'!D118+ROW()/1000000000,""))</f>
        <v>46303.454236226855</v>
      </c>
      <c r="AL118">
        <f>IF(OR('Base Exámenes'!C118="",'Base Exámenes'!E118=""),"",IF(COUNTIF('Base Exámenes'!$C$5:C118,'Base Exámenes'!C118)=1,'Base Exámenes'!E118+ROW()/1000000000,""))</f>
        <v>46303.45730335648</v>
      </c>
      <c r="AM118">
        <f>IF(OR('Base Exámenes'!C118="",'Base Exámenes'!G118=""),"",IF(ROW()-4=MATCH('Base Exámenes'!C118&amp;"|"&amp;_xlfn.MAXIFS('Base Exámenes'!$G$5:$G$1000,'Base Exámenes'!$C$5:$C$1000,'Base Exámenes'!C118),'Base Exámenes'!$I$5:$I$1000,0),'Base Exámenes'!G118*1000000+(-1)*'Base Exámenes'!D118,""))</f>
        <v>99953696.5457639</v>
      </c>
      <c r="AQ118" t="str">
        <f>IF('Base Exámenes'!C118="","",IF(COUNTIF('Base Exámenes'!$C$5:$C$1000,'Base Exámenes'!C118)&lt;2,"",MATCH('Base Exámenes'!C118,'Base Exámenes'!$C$5:$C$1000,0)*10000+ROW()))</f>
        <v/>
      </c>
    </row>
    <row r="119">
      <c r="Z119">
        <f>IF('Detalle individual'!A119="","",IF(AND(OR('Estado por Colaborador'!$D$4="Todas las gerencias",'Detalle individual'!D119='Estado por Colaborador'!$D$4),OR('Estado por Colaborador'!$D$5="Todos los departamentos",TRIM('Detalle individual'!C119)='Estado por Colaborador'!$D$5),OR('Estado por Colaborador'!$D$6="Todos",'Detalle individual'!F119='Estado por Colaborador'!$D$6)),IF('Detalle individual'!F119="Completado",30000000,IF('Detalle individual'!F119="Pendiente",0,15000000))+COUNTIF('Detalle individual'!$C$5:$C$1000,"&lt;"&amp;'Detalle individual'!C119)*10000+ROW(),""))</f>
        <v>38210119</v>
      </c>
      <c r="AB119" t="str">
        <f>IF('Detalle individual'!C119="","",IF(COUNTIF('Detalle individual'!$C$5:C119,'Detalle individual'!C119)=1,COUNTIF('Detalle individual'!$C$5:$C$1000,"&lt;"&amp;'Detalle individual'!C119),""))</f>
        <v/>
      </c>
      <c r="AC119" t="str">
        <f>IF('Detalle individual'!D119="","",IF(COUNTIF('Detalle individual'!$D$5:D119,'Detalle individual'!D119)=1,COUNTIF('Detalle individual'!$D$5:$D$1000,"&lt;"&amp;'Detalle individual'!D119),""))</f>
        <v/>
      </c>
      <c r="AH119" t="str">
        <f>IF('Detalle individual'!F119="Pendiente",COUNTIF('Detalle individual'!$D$5:$D$1000,"&lt;"&amp;'Detalle individual'!D119)*1000000+COUNTIF('Detalle individual'!$C$5:$C$1000,"&lt;"&amp;'Detalle individual'!C119)*1000+COUNTIF('Detalle individual'!$B$5:$B$1000,"&lt;"&amp;'Detalle individual'!B119)+ROW()/10000,"")</f>
        <v/>
      </c>
      <c r="AI119">
        <f>IF('Detalle individual'!F119="Completado",COUNTIF('Detalle individual'!$D$5:$D$1000,"&lt;"&amp;'Detalle individual'!D119)*1000000+COUNTIF('Detalle individual'!$C$5:$C$1000,"&lt;"&amp;'Detalle individual'!C119)*1000+COUNTIF('Detalle individual'!$B$5:$B$1000,"&lt;"&amp;'Detalle individual'!B119)+ROW()/10000,"")</f>
        <v>951821956.0119</v>
      </c>
      <c r="AJ119" t="str">
        <f>IF(AND('Detalle individual'!F119&lt;&gt;"",'Detalle individual'!F119&lt;&gt;"Completado",'Detalle individual'!F119&lt;&gt;"Pendiente"),COUNTIF('Detalle individual'!$D$5:$D$1000,"&lt;"&amp;'Detalle individual'!D119)*1000000+COUNTIF('Detalle individual'!$C$5:$C$1000,"&lt;"&amp;'Detalle individual'!C119)*1000+COUNTIF('Detalle individual'!$B$5:$B$1000,"&lt;"&amp;'Detalle individual'!B119)+ROW()/10000,"")</f>
        <v/>
      </c>
      <c r="AK119">
        <f>IF(OR('Base Exámenes'!C119="",'Base Exámenes'!D119=""),"",IF(COUNTIF('Base Exámenes'!$C$5:C119,'Base Exámenes'!C119)=1,'Base Exámenes'!D119+ROW()/1000000000,""))</f>
        <v>46303.45815983797</v>
      </c>
      <c r="AL119">
        <f>IF(OR('Base Exámenes'!C119="",'Base Exámenes'!E119=""),"",IF(COUNTIF('Base Exámenes'!$C$5:C119,'Base Exámenes'!C119)=1,'Base Exámenes'!E119+ROW()/1000000000,""))</f>
        <v>46303.46199085648</v>
      </c>
      <c r="AM119">
        <f>IF(OR('Base Exámenes'!C119="",'Base Exámenes'!G119=""),"",IF(ROW()-4=MATCH('Base Exámenes'!C119&amp;"|"&amp;_xlfn.MAXIFS('Base Exámenes'!$G$5:$G$1000,'Base Exámenes'!$C$5:$C$1000,'Base Exámenes'!C119),'Base Exámenes'!$I$5:$I$1000,0),'Base Exámenes'!G119*1000000+(-1)*'Base Exámenes'!D119,""))</f>
        <v>99953696.5418403</v>
      </c>
      <c r="AQ119" t="str">
        <f>IF('Base Exámenes'!C119="","",IF(COUNTIF('Base Exámenes'!$C$5:$C$1000,'Base Exámenes'!C119)&lt;2,"",MATCH('Base Exámenes'!C119,'Base Exámenes'!$C$5:$C$1000,0)*10000+ROW()))</f>
        <v/>
      </c>
    </row>
    <row r="120">
      <c r="Z120">
        <f>IF('Detalle individual'!A120="","",IF(AND(OR('Estado por Colaborador'!$D$4="Todas las gerencias",'Detalle individual'!D120='Estado por Colaborador'!$D$4),OR('Estado por Colaborador'!$D$5="Todos los departamentos",TRIM('Detalle individual'!C120)='Estado por Colaborador'!$D$5),OR('Estado por Colaborador'!$D$6="Todos",'Detalle individual'!F120='Estado por Colaborador'!$D$6)),IF('Detalle individual'!F120="Completado",30000000,IF('Detalle individual'!F120="Pendiente",0,15000000))+COUNTIF('Detalle individual'!$C$5:$C$1000,"&lt;"&amp;'Detalle individual'!C120)*10000+ROW(),""))</f>
        <v>38210120</v>
      </c>
      <c r="AB120" t="str">
        <f>IF('Detalle individual'!C120="","",IF(COUNTIF('Detalle individual'!$C$5:C120,'Detalle individual'!C120)=1,COUNTIF('Detalle individual'!$C$5:$C$1000,"&lt;"&amp;'Detalle individual'!C120),""))</f>
        <v/>
      </c>
      <c r="AC120" t="str">
        <f>IF('Detalle individual'!D120="","",IF(COUNTIF('Detalle individual'!$D$5:D120,'Detalle individual'!D120)=1,COUNTIF('Detalle individual'!$D$5:$D$1000,"&lt;"&amp;'Detalle individual'!D120),""))</f>
        <v/>
      </c>
      <c r="AH120" t="str">
        <f>IF('Detalle individual'!F120="Pendiente",COUNTIF('Detalle individual'!$D$5:$D$1000,"&lt;"&amp;'Detalle individual'!D120)*1000000+COUNTIF('Detalle individual'!$C$5:$C$1000,"&lt;"&amp;'Detalle individual'!C120)*1000+COUNTIF('Detalle individual'!$B$5:$B$1000,"&lt;"&amp;'Detalle individual'!B120)+ROW()/10000,"")</f>
        <v/>
      </c>
      <c r="AI120">
        <f>IF('Detalle individual'!F120="Completado",COUNTIF('Detalle individual'!$D$5:$D$1000,"&lt;"&amp;'Detalle individual'!D120)*1000000+COUNTIF('Detalle individual'!$C$5:$C$1000,"&lt;"&amp;'Detalle individual'!C120)*1000+COUNTIF('Detalle individual'!$B$5:$B$1000,"&lt;"&amp;'Detalle individual'!B120)+ROW()/10000,"")</f>
        <v>951821931.012</v>
      </c>
      <c r="AJ120" t="str">
        <f>IF(AND('Detalle individual'!F120&lt;&gt;"",'Detalle individual'!F120&lt;&gt;"Completado",'Detalle individual'!F120&lt;&gt;"Pendiente"),COUNTIF('Detalle individual'!$D$5:$D$1000,"&lt;"&amp;'Detalle individual'!D120)*1000000+COUNTIF('Detalle individual'!$C$5:$C$1000,"&lt;"&amp;'Detalle individual'!C120)*1000+COUNTIF('Detalle individual'!$B$5:$B$1000,"&lt;"&amp;'Detalle individual'!B120)+ROW()/10000,"")</f>
        <v/>
      </c>
      <c r="AK120">
        <f>IF(OR('Base Exámenes'!C120="",'Base Exámenes'!D120=""),"",IF(COUNTIF('Base Exámenes'!$C$5:C120,'Base Exámenes'!C120)=1,'Base Exámenes'!D120+ROW()/1000000000,""))</f>
        <v>46303.53456030093</v>
      </c>
      <c r="AL120">
        <f>IF(OR('Base Exámenes'!C120="",'Base Exámenes'!E120=""),"",IF(COUNTIF('Base Exámenes'!$C$5:C120,'Base Exámenes'!C120)=1,'Base Exámenes'!E120+ROW()/1000000000,""))</f>
        <v>46303.544328819444</v>
      </c>
      <c r="AM120">
        <f>IF(OR('Base Exámenes'!C120="",'Base Exámenes'!G120=""),"",IF(ROW()-4=MATCH('Base Exámenes'!C120&amp;"|"&amp;_xlfn.MAXIFS('Base Exámenes'!$G$5:$G$1000,'Base Exámenes'!$C$5:$C$1000,'Base Exámenes'!C120),'Base Exámenes'!$I$5:$I$1000,0),'Base Exámenes'!G120*1000000+(-1)*'Base Exámenes'!D120,""))</f>
        <v>99953696.4654398</v>
      </c>
      <c r="AQ120" t="str">
        <f>IF('Base Exámenes'!C120="","",IF(COUNTIF('Base Exámenes'!$C$5:$C$1000,'Base Exámenes'!C120)&lt;2,"",MATCH('Base Exámenes'!C120,'Base Exámenes'!$C$5:$C$1000,0)*10000+ROW()))</f>
        <v/>
      </c>
    </row>
    <row r="121">
      <c r="Z121">
        <f>IF('Detalle individual'!A121="","",IF(AND(OR('Estado por Colaborador'!$D$4="Todas las gerencias",'Detalle individual'!D121='Estado por Colaborador'!$D$4),OR('Estado por Colaborador'!$D$5="Todos los departamentos",TRIM('Detalle individual'!C121)='Estado por Colaborador'!$D$5),OR('Estado por Colaborador'!$D$6="Todos",'Detalle individual'!F121='Estado por Colaborador'!$D$6)),IF('Detalle individual'!F121="Completado",30000000,IF('Detalle individual'!F121="Pendiente",0,15000000))+COUNTIF('Detalle individual'!$C$5:$C$1000,"&lt;"&amp;'Detalle individual'!C121)*10000+ROW(),""))</f>
        <v>38210121</v>
      </c>
      <c r="AB121" t="str">
        <f>IF('Detalle individual'!C121="","",IF(COUNTIF('Detalle individual'!$C$5:C121,'Detalle individual'!C121)=1,COUNTIF('Detalle individual'!$C$5:$C$1000,"&lt;"&amp;'Detalle individual'!C121),""))</f>
        <v/>
      </c>
      <c r="AC121" t="str">
        <f>IF('Detalle individual'!D121="","",IF(COUNTIF('Detalle individual'!$D$5:D121,'Detalle individual'!D121)=1,COUNTIF('Detalle individual'!$D$5:$D$1000,"&lt;"&amp;'Detalle individual'!D121),""))</f>
        <v/>
      </c>
      <c r="AH121" t="str">
        <f>IF('Detalle individual'!F121="Pendiente",COUNTIF('Detalle individual'!$D$5:$D$1000,"&lt;"&amp;'Detalle individual'!D121)*1000000+COUNTIF('Detalle individual'!$C$5:$C$1000,"&lt;"&amp;'Detalle individual'!C121)*1000+COUNTIF('Detalle individual'!$B$5:$B$1000,"&lt;"&amp;'Detalle individual'!B121)+ROW()/10000,"")</f>
        <v/>
      </c>
      <c r="AI121">
        <f>IF('Detalle individual'!F121="Completado",COUNTIF('Detalle individual'!$D$5:$D$1000,"&lt;"&amp;'Detalle individual'!D121)*1000000+COUNTIF('Detalle individual'!$C$5:$C$1000,"&lt;"&amp;'Detalle individual'!C121)*1000+COUNTIF('Detalle individual'!$B$5:$B$1000,"&lt;"&amp;'Detalle individual'!B121)+ROW()/10000,"")</f>
        <v>951821707.0121</v>
      </c>
      <c r="AJ121" t="str">
        <f>IF(AND('Detalle individual'!F121&lt;&gt;"",'Detalle individual'!F121&lt;&gt;"Completado",'Detalle individual'!F121&lt;&gt;"Pendiente"),COUNTIF('Detalle individual'!$D$5:$D$1000,"&lt;"&amp;'Detalle individual'!D121)*1000000+COUNTIF('Detalle individual'!$C$5:$C$1000,"&lt;"&amp;'Detalle individual'!C121)*1000+COUNTIF('Detalle individual'!$B$5:$B$1000,"&lt;"&amp;'Detalle individual'!B121)+ROW()/10000,"")</f>
        <v/>
      </c>
      <c r="AK121">
        <f>IF(OR('Base Exámenes'!C121="",'Base Exámenes'!D121=""),"",IF(COUNTIF('Base Exámenes'!$C$5:C121,'Base Exámenes'!C121)=1,'Base Exámenes'!D121+ROW()/1000000000,""))</f>
        <v>46304.33164363426</v>
      </c>
      <c r="AL121">
        <f>IF(OR('Base Exámenes'!C121="",'Base Exámenes'!E121=""),"",IF(COUNTIF('Base Exámenes'!$C$5:C121,'Base Exámenes'!C121)=1,'Base Exámenes'!E121+ROW()/1000000000,""))</f>
        <v>46304.333854282406</v>
      </c>
      <c r="AM121">
        <f>IF(OR('Base Exámenes'!C121="",'Base Exámenes'!G121=""),"",IF(ROW()-4=MATCH('Base Exámenes'!C121&amp;"|"&amp;_xlfn.MAXIFS('Base Exámenes'!$G$5:$G$1000,'Base Exámenes'!$C$5:$C$1000,'Base Exámenes'!C121),'Base Exámenes'!$I$5:$I$1000,0),'Base Exámenes'!G121*1000000+(-1)*'Base Exámenes'!D121,""))</f>
        <v>99953695.6683565</v>
      </c>
      <c r="AQ121" t="str">
        <f>IF('Base Exámenes'!C121="","",IF(COUNTIF('Base Exámenes'!$C$5:$C$1000,'Base Exámenes'!C121)&lt;2,"",MATCH('Base Exámenes'!C121,'Base Exámenes'!$C$5:$C$1000,0)*10000+ROW()))</f>
        <v/>
      </c>
    </row>
    <row r="122">
      <c r="Z122">
        <f>IF('Detalle individual'!A122="","",IF(AND(OR('Estado por Colaborador'!$D$4="Todas las gerencias",'Detalle individual'!D122='Estado por Colaborador'!$D$4),OR('Estado por Colaborador'!$D$5="Todos los departamentos",TRIM('Detalle individual'!C122)='Estado por Colaborador'!$D$5),OR('Estado por Colaborador'!$D$6="Todos",'Detalle individual'!F122='Estado por Colaborador'!$D$6)),IF('Detalle individual'!F122="Completado",30000000,IF('Detalle individual'!F122="Pendiente",0,15000000))+COUNTIF('Detalle individual'!$C$5:$C$1000,"&lt;"&amp;'Detalle individual'!C122)*10000+ROW(),""))</f>
        <v>37030122</v>
      </c>
      <c r="AB122">
        <f>IF('Detalle individual'!C122="","",IF(COUNTIF('Detalle individual'!$C$5:C122,'Detalle individual'!C122)=1,COUNTIF('Detalle individual'!$C$5:$C$1000,"&lt;"&amp;'Detalle individual'!C122),""))</f>
        <v>703</v>
      </c>
      <c r="AC122" t="str">
        <f>IF('Detalle individual'!D122="","",IF(COUNTIF('Detalle individual'!$D$5:D122,'Detalle individual'!D122)=1,COUNTIF('Detalle individual'!$D$5:$D$1000,"&lt;"&amp;'Detalle individual'!D122),""))</f>
        <v/>
      </c>
      <c r="AH122" t="str">
        <f>IF('Detalle individual'!F122="Pendiente",COUNTIF('Detalle individual'!$D$5:$D$1000,"&lt;"&amp;'Detalle individual'!D122)*1000000+COUNTIF('Detalle individual'!$C$5:$C$1000,"&lt;"&amp;'Detalle individual'!C122)*1000+COUNTIF('Detalle individual'!$B$5:$B$1000,"&lt;"&amp;'Detalle individual'!B122)+ROW()/10000,"")</f>
        <v/>
      </c>
      <c r="AI122">
        <f>IF('Detalle individual'!F122="Completado",COUNTIF('Detalle individual'!$D$5:$D$1000,"&lt;"&amp;'Detalle individual'!D122)*1000000+COUNTIF('Detalle individual'!$C$5:$C$1000,"&lt;"&amp;'Detalle individual'!C122)*1000+COUNTIF('Detalle individual'!$B$5:$B$1000,"&lt;"&amp;'Detalle individual'!B122)+ROW()/10000,"")</f>
        <v>951703950.0122</v>
      </c>
      <c r="AJ122" t="str">
        <f>IF(AND('Detalle individual'!F122&lt;&gt;"",'Detalle individual'!F122&lt;&gt;"Completado",'Detalle individual'!F122&lt;&gt;"Pendiente"),COUNTIF('Detalle individual'!$D$5:$D$1000,"&lt;"&amp;'Detalle individual'!D122)*1000000+COUNTIF('Detalle individual'!$C$5:$C$1000,"&lt;"&amp;'Detalle individual'!C122)*1000+COUNTIF('Detalle individual'!$B$5:$B$1000,"&lt;"&amp;'Detalle individual'!B122)+ROW()/10000,"")</f>
        <v/>
      </c>
      <c r="AK122">
        <f>IF(OR('Base Exámenes'!C122="",'Base Exámenes'!D122=""),"",IF(COUNTIF('Base Exámenes'!$C$5:C122,'Base Exámenes'!C122)=1,'Base Exámenes'!D122+ROW()/1000000000,""))</f>
        <v>46304.35847234954</v>
      </c>
      <c r="AL122">
        <f>IF(OR('Base Exámenes'!C122="",'Base Exámenes'!E122=""),"",IF(COUNTIF('Base Exámenes'!$C$5:C122,'Base Exámenes'!C122)=1,'Base Exámenes'!E122+ROW()/1000000000,""))</f>
        <v>46304.36083346065</v>
      </c>
      <c r="AM122">
        <f>IF(OR('Base Exámenes'!C122="",'Base Exámenes'!G122=""),"",IF(ROW()-4=MATCH('Base Exámenes'!C122&amp;"|"&amp;_xlfn.MAXIFS('Base Exámenes'!$G$5:$G$1000,'Base Exámenes'!$C$5:$C$1000,'Base Exámenes'!C122),'Base Exámenes'!$I$5:$I$1000,0),'Base Exámenes'!G122*1000000+(-1)*'Base Exámenes'!D122,""))</f>
        <v>99953695.6415278</v>
      </c>
      <c r="AQ122" t="str">
        <f>IF('Base Exámenes'!C122="","",IF(COUNTIF('Base Exámenes'!$C$5:$C$1000,'Base Exámenes'!C122)&lt;2,"",MATCH('Base Exámenes'!C122,'Base Exámenes'!$C$5:$C$1000,0)*10000+ROW()))</f>
        <v/>
      </c>
    </row>
    <row r="123">
      <c r="Z123">
        <f>IF('Detalle individual'!A123="","",IF(AND(OR('Estado por Colaborador'!$D$4="Todas las gerencias",'Detalle individual'!D123='Estado por Colaborador'!$D$4),OR('Estado por Colaborador'!$D$5="Todos los departamentos",TRIM('Detalle individual'!C123)='Estado por Colaborador'!$D$5),OR('Estado por Colaborador'!$D$6="Todos",'Detalle individual'!F123='Estado por Colaborador'!$D$6)),IF('Detalle individual'!F123="Completado",30000000,IF('Detalle individual'!F123="Pendiente",0,15000000))+COUNTIF('Detalle individual'!$C$5:$C$1000,"&lt;"&amp;'Detalle individual'!C123)*10000+ROW(),""))</f>
        <v>38390123</v>
      </c>
      <c r="AB123">
        <f>IF('Detalle individual'!C123="","",IF(COUNTIF('Detalle individual'!$C$5:C123,'Detalle individual'!C123)=1,COUNTIF('Detalle individual'!$C$5:$C$1000,"&lt;"&amp;'Detalle individual'!C123),""))</f>
        <v>839</v>
      </c>
      <c r="AC123">
        <f>IF('Detalle individual'!D123="","",IF(COUNTIF('Detalle individual'!$D$5:D123,'Detalle individual'!D123)=1,COUNTIF('Detalle individual'!$D$5:$D$1000,"&lt;"&amp;'Detalle individual'!D123),""))</f>
        <v>703</v>
      </c>
      <c r="AH123" t="str">
        <f>IF('Detalle individual'!F123="Pendiente",COUNTIF('Detalle individual'!$D$5:$D$1000,"&lt;"&amp;'Detalle individual'!D123)*1000000+COUNTIF('Detalle individual'!$C$5:$C$1000,"&lt;"&amp;'Detalle individual'!C123)*1000+COUNTIF('Detalle individual'!$B$5:$B$1000,"&lt;"&amp;'Detalle individual'!B123)+ROW()/10000,"")</f>
        <v/>
      </c>
      <c r="AI123">
        <f>IF('Detalle individual'!F123="Completado",COUNTIF('Detalle individual'!$D$5:$D$1000,"&lt;"&amp;'Detalle individual'!D123)*1000000+COUNTIF('Detalle individual'!$C$5:$C$1000,"&lt;"&amp;'Detalle individual'!C123)*1000+COUNTIF('Detalle individual'!$B$5:$B$1000,"&lt;"&amp;'Detalle individual'!B123)+ROW()/10000,"")</f>
        <v>703839928.0123</v>
      </c>
      <c r="AJ123" t="str">
        <f>IF(AND('Detalle individual'!F123&lt;&gt;"",'Detalle individual'!F123&lt;&gt;"Completado",'Detalle individual'!F123&lt;&gt;"Pendiente"),COUNTIF('Detalle individual'!$D$5:$D$1000,"&lt;"&amp;'Detalle individual'!D123)*1000000+COUNTIF('Detalle individual'!$C$5:$C$1000,"&lt;"&amp;'Detalle individual'!C123)*1000+COUNTIF('Detalle individual'!$B$5:$B$1000,"&lt;"&amp;'Detalle individual'!B123)+ROW()/10000,"")</f>
        <v/>
      </c>
      <c r="AK123">
        <f>IF(OR('Base Exámenes'!C123="",'Base Exámenes'!D123=""),"",IF(COUNTIF('Base Exámenes'!$C$5:C123,'Base Exámenes'!C123)=1,'Base Exámenes'!D123+ROW()/1000000000,""))</f>
        <v>46304.37324086806</v>
      </c>
      <c r="AL123">
        <f>IF(OR('Base Exámenes'!C123="",'Base Exámenes'!E123=""),"",IF(COUNTIF('Base Exámenes'!$C$5:C123,'Base Exámenes'!C123)=1,'Base Exámenes'!E123+ROW()/1000000000,""))</f>
        <v>46304.37534734954</v>
      </c>
      <c r="AM123">
        <f>IF(OR('Base Exámenes'!C123="",'Base Exámenes'!G123=""),"",IF(ROW()-4=MATCH('Base Exámenes'!C123&amp;"|"&amp;_xlfn.MAXIFS('Base Exámenes'!$G$5:$G$1000,'Base Exámenes'!$C$5:$C$1000,'Base Exámenes'!C123),'Base Exámenes'!$I$5:$I$1000,0),'Base Exámenes'!G123*1000000+(-1)*'Base Exámenes'!D123,""))</f>
        <v>99953695.6267593</v>
      </c>
      <c r="AQ123" t="str">
        <f>IF('Base Exámenes'!C123="","",IF(COUNTIF('Base Exámenes'!$C$5:$C$1000,'Base Exámenes'!C123)&lt;2,"",MATCH('Base Exámenes'!C123,'Base Exámenes'!$C$5:$C$1000,0)*10000+ROW()))</f>
        <v/>
      </c>
    </row>
    <row r="124">
      <c r="Z124">
        <f>IF('Detalle individual'!A124="","",IF(AND(OR('Estado por Colaborador'!$D$4="Todas las gerencias",'Detalle individual'!D124='Estado por Colaborador'!$D$4),OR('Estado por Colaborador'!$D$5="Todos los departamentos",TRIM('Detalle individual'!C124)='Estado por Colaborador'!$D$5),OR('Estado por Colaborador'!$D$6="Todos",'Detalle individual'!F124='Estado por Colaborador'!$D$6)),IF('Detalle individual'!F124="Completado",30000000,IF('Detalle individual'!F124="Pendiente",0,15000000))+COUNTIF('Detalle individual'!$C$5:$C$1000,"&lt;"&amp;'Detalle individual'!C124)*10000+ROW(),""))</f>
        <v>38390124</v>
      </c>
      <c r="AB124" t="str">
        <f>IF('Detalle individual'!C124="","",IF(COUNTIF('Detalle individual'!$C$5:C124,'Detalle individual'!C124)=1,COUNTIF('Detalle individual'!$C$5:$C$1000,"&lt;"&amp;'Detalle individual'!C124),""))</f>
        <v/>
      </c>
      <c r="AC124" t="str">
        <f>IF('Detalle individual'!D124="","",IF(COUNTIF('Detalle individual'!$D$5:D124,'Detalle individual'!D124)=1,COUNTIF('Detalle individual'!$D$5:$D$1000,"&lt;"&amp;'Detalle individual'!D124),""))</f>
        <v/>
      </c>
      <c r="AH124" t="str">
        <f>IF('Detalle individual'!F124="Pendiente",COUNTIF('Detalle individual'!$D$5:$D$1000,"&lt;"&amp;'Detalle individual'!D124)*1000000+COUNTIF('Detalle individual'!$C$5:$C$1000,"&lt;"&amp;'Detalle individual'!C124)*1000+COUNTIF('Detalle individual'!$B$5:$B$1000,"&lt;"&amp;'Detalle individual'!B124)+ROW()/10000,"")</f>
        <v/>
      </c>
      <c r="AI124">
        <f>IF('Detalle individual'!F124="Completado",COUNTIF('Detalle individual'!$D$5:$D$1000,"&lt;"&amp;'Detalle individual'!D124)*1000000+COUNTIF('Detalle individual'!$C$5:$C$1000,"&lt;"&amp;'Detalle individual'!C124)*1000+COUNTIF('Detalle individual'!$B$5:$B$1000,"&lt;"&amp;'Detalle individual'!B124)+ROW()/10000,"")</f>
        <v>703839925.0124</v>
      </c>
      <c r="AJ124" t="str">
        <f>IF(AND('Detalle individual'!F124&lt;&gt;"",'Detalle individual'!F124&lt;&gt;"Completado",'Detalle individual'!F124&lt;&gt;"Pendiente"),COUNTIF('Detalle individual'!$D$5:$D$1000,"&lt;"&amp;'Detalle individual'!D124)*1000000+COUNTIF('Detalle individual'!$C$5:$C$1000,"&lt;"&amp;'Detalle individual'!C124)*1000+COUNTIF('Detalle individual'!$B$5:$B$1000,"&lt;"&amp;'Detalle individual'!B124)+ROW()/10000,"")</f>
        <v/>
      </c>
      <c r="AK124">
        <f>IF(OR('Base Exámenes'!C124="",'Base Exámenes'!D124=""),"",IF(COUNTIF('Base Exámenes'!$C$5:C124,'Base Exámenes'!C124)=1,'Base Exámenes'!D124+ROW()/1000000000,""))</f>
        <v>46304.37309040509</v>
      </c>
      <c r="AL124">
        <f>IF(OR('Base Exámenes'!C124="",'Base Exámenes'!E124=""),"",IF(COUNTIF('Base Exámenes'!$C$5:C124,'Base Exámenes'!C124)=1,'Base Exámenes'!E124+ROW()/1000000000,""))</f>
        <v>46304.37650475695</v>
      </c>
      <c r="AM124">
        <f>IF(OR('Base Exámenes'!C124="",'Base Exámenes'!G124=""),"",IF(ROW()-4=MATCH('Base Exámenes'!C124&amp;"|"&amp;_xlfn.MAXIFS('Base Exámenes'!$G$5:$G$1000,'Base Exámenes'!$C$5:$C$1000,'Base Exámenes'!C124),'Base Exámenes'!$I$5:$I$1000,0),'Base Exámenes'!G124*1000000+(-1)*'Base Exámenes'!D124,""))</f>
        <v>99953695.6269097</v>
      </c>
      <c r="AQ124" t="str">
        <f>IF('Base Exámenes'!C124="","",IF(COUNTIF('Base Exámenes'!$C$5:$C$1000,'Base Exámenes'!C124)&lt;2,"",MATCH('Base Exámenes'!C124,'Base Exámenes'!$C$5:$C$1000,0)*10000+ROW()))</f>
        <v/>
      </c>
    </row>
    <row r="125">
      <c r="Z125">
        <f>IF('Detalle individual'!A125="","",IF(AND(OR('Estado por Colaborador'!$D$4="Todas las gerencias",'Detalle individual'!D125='Estado por Colaborador'!$D$4),OR('Estado por Colaborador'!$D$5="Todos los departamentos",TRIM('Detalle individual'!C125)='Estado por Colaborador'!$D$5),OR('Estado por Colaborador'!$D$6="Todos",'Detalle individual'!F125='Estado por Colaborador'!$D$6)),IF('Detalle individual'!F125="Completado",30000000,IF('Detalle individual'!F125="Pendiente",0,15000000))+COUNTIF('Detalle individual'!$C$5:$C$1000,"&lt;"&amp;'Detalle individual'!C125)*10000+ROW(),""))</f>
        <v>38390125</v>
      </c>
      <c r="AB125" t="str">
        <f>IF('Detalle individual'!C125="","",IF(COUNTIF('Detalle individual'!$C$5:C125,'Detalle individual'!C125)=1,COUNTIF('Detalle individual'!$C$5:$C$1000,"&lt;"&amp;'Detalle individual'!C125),""))</f>
        <v/>
      </c>
      <c r="AC125" t="str">
        <f>IF('Detalle individual'!D125="","",IF(COUNTIF('Detalle individual'!$D$5:D125,'Detalle individual'!D125)=1,COUNTIF('Detalle individual'!$D$5:$D$1000,"&lt;"&amp;'Detalle individual'!D125),""))</f>
        <v/>
      </c>
      <c r="AH125" t="str">
        <f>IF('Detalle individual'!F125="Pendiente",COUNTIF('Detalle individual'!$D$5:$D$1000,"&lt;"&amp;'Detalle individual'!D125)*1000000+COUNTIF('Detalle individual'!$C$5:$C$1000,"&lt;"&amp;'Detalle individual'!C125)*1000+COUNTIF('Detalle individual'!$B$5:$B$1000,"&lt;"&amp;'Detalle individual'!B125)+ROW()/10000,"")</f>
        <v/>
      </c>
      <c r="AI125">
        <f>IF('Detalle individual'!F125="Completado",COUNTIF('Detalle individual'!$D$5:$D$1000,"&lt;"&amp;'Detalle individual'!D125)*1000000+COUNTIF('Detalle individual'!$C$5:$C$1000,"&lt;"&amp;'Detalle individual'!C125)*1000+COUNTIF('Detalle individual'!$B$5:$B$1000,"&lt;"&amp;'Detalle individual'!B125)+ROW()/10000,"")</f>
        <v>703839936.0125</v>
      </c>
      <c r="AJ125" t="str">
        <f>IF(AND('Detalle individual'!F125&lt;&gt;"",'Detalle individual'!F125&lt;&gt;"Completado",'Detalle individual'!F125&lt;&gt;"Pendiente"),COUNTIF('Detalle individual'!$D$5:$D$1000,"&lt;"&amp;'Detalle individual'!D125)*1000000+COUNTIF('Detalle individual'!$C$5:$C$1000,"&lt;"&amp;'Detalle individual'!C125)*1000+COUNTIF('Detalle individual'!$B$5:$B$1000,"&lt;"&amp;'Detalle individual'!B125)+ROW()/10000,"")</f>
        <v/>
      </c>
      <c r="AK125" t="str">
        <f>IF(OR('Base Exámenes'!C125="",'Base Exámenes'!D125=""),"",IF(COUNTIF('Base Exámenes'!$C$5:C125,'Base Exámenes'!C125)=1,'Base Exámenes'!D125+ROW()/1000000000,""))</f>
        <v/>
      </c>
      <c r="AL125" t="str">
        <f>IF(OR('Base Exámenes'!C125="",'Base Exámenes'!E125=""),"",IF(COUNTIF('Base Exámenes'!$C$5:C125,'Base Exámenes'!C125)=1,'Base Exámenes'!E125+ROW()/1000000000,""))</f>
        <v/>
      </c>
      <c r="AM125" t="str">
        <f>IF(OR('Base Exámenes'!C125="",'Base Exámenes'!G125=""),"",IF(ROW()-4=MATCH('Base Exámenes'!C125&amp;"|"&amp;_xlfn.MAXIFS('Base Exámenes'!$G$5:$G$1000,'Base Exámenes'!$C$5:$C$1000,'Base Exámenes'!C125),'Base Exámenes'!$I$5:$I$1000,0),'Base Exámenes'!G125*1000000+(-1)*'Base Exámenes'!D125,""))</f>
        <v/>
      </c>
      <c r="AQ125">
        <f>IF('Base Exámenes'!C125="","",IF(COUNTIF('Base Exámenes'!$C$5:$C$1000,'Base Exámenes'!C125)&lt;2,"",MATCH('Base Exámenes'!C125,'Base Exámenes'!$C$5:$C$1000,0)*10000+ROW()))</f>
        <v>150125</v>
      </c>
    </row>
    <row r="126">
      <c r="Z126">
        <f>IF('Detalle individual'!A126="","",IF(AND(OR('Estado por Colaborador'!$D$4="Todas las gerencias",'Detalle individual'!D126='Estado por Colaborador'!$D$4),OR('Estado por Colaborador'!$D$5="Todos los departamentos",TRIM('Detalle individual'!C126)='Estado por Colaborador'!$D$5),OR('Estado por Colaborador'!$D$6="Todos",'Detalle individual'!F126='Estado por Colaborador'!$D$6)),IF('Detalle individual'!F126="Completado",30000000,IF('Detalle individual'!F126="Pendiente",0,15000000))+COUNTIF('Detalle individual'!$C$5:$C$1000,"&lt;"&amp;'Detalle individual'!C126)*10000+ROW(),""))</f>
        <v>38390126</v>
      </c>
      <c r="AB126" t="str">
        <f>IF('Detalle individual'!C126="","",IF(COUNTIF('Detalle individual'!$C$5:C126,'Detalle individual'!C126)=1,COUNTIF('Detalle individual'!$C$5:$C$1000,"&lt;"&amp;'Detalle individual'!C126),""))</f>
        <v/>
      </c>
      <c r="AC126" t="str">
        <f>IF('Detalle individual'!D126="","",IF(COUNTIF('Detalle individual'!$D$5:D126,'Detalle individual'!D126)=1,COUNTIF('Detalle individual'!$D$5:$D$1000,"&lt;"&amp;'Detalle individual'!D126),""))</f>
        <v/>
      </c>
      <c r="AH126" t="str">
        <f>IF('Detalle individual'!F126="Pendiente",COUNTIF('Detalle individual'!$D$5:$D$1000,"&lt;"&amp;'Detalle individual'!D126)*1000000+COUNTIF('Detalle individual'!$C$5:$C$1000,"&lt;"&amp;'Detalle individual'!C126)*1000+COUNTIF('Detalle individual'!$B$5:$B$1000,"&lt;"&amp;'Detalle individual'!B126)+ROW()/10000,"")</f>
        <v/>
      </c>
      <c r="AI126">
        <f>IF('Detalle individual'!F126="Completado",COUNTIF('Detalle individual'!$D$5:$D$1000,"&lt;"&amp;'Detalle individual'!D126)*1000000+COUNTIF('Detalle individual'!$C$5:$C$1000,"&lt;"&amp;'Detalle individual'!C126)*1000+COUNTIF('Detalle individual'!$B$5:$B$1000,"&lt;"&amp;'Detalle individual'!B126)+ROW()/10000,"")</f>
        <v>703839993.0126</v>
      </c>
      <c r="AJ126" t="str">
        <f>IF(AND('Detalle individual'!F126&lt;&gt;"",'Detalle individual'!F126&lt;&gt;"Completado",'Detalle individual'!F126&lt;&gt;"Pendiente"),COUNTIF('Detalle individual'!$D$5:$D$1000,"&lt;"&amp;'Detalle individual'!D126)*1000000+COUNTIF('Detalle individual'!$C$5:$C$1000,"&lt;"&amp;'Detalle individual'!C126)*1000+COUNTIF('Detalle individual'!$B$5:$B$1000,"&lt;"&amp;'Detalle individual'!B126)+ROW()/10000,"")</f>
        <v/>
      </c>
      <c r="AK126">
        <f>IF(OR('Base Exámenes'!C126="",'Base Exámenes'!D126=""),"",IF(COUNTIF('Base Exámenes'!$C$5:C126,'Base Exámenes'!C126)=1,'Base Exámenes'!D126+ROW()/1000000000,""))</f>
        <v>46304.36936355324</v>
      </c>
      <c r="AL126">
        <f>IF(OR('Base Exámenes'!C126="",'Base Exámenes'!E126=""),"",IF(COUNTIF('Base Exámenes'!$C$5:C126,'Base Exámenes'!C126)=1,'Base Exámenes'!E126+ROW()/1000000000,""))</f>
        <v>46304.38461818287</v>
      </c>
      <c r="AM126">
        <f>IF(OR('Base Exámenes'!C126="",'Base Exámenes'!G126=""),"",IF(ROW()-4=MATCH('Base Exámenes'!C126&amp;"|"&amp;_xlfn.MAXIFS('Base Exámenes'!$G$5:$G$1000,'Base Exámenes'!$C$5:$C$1000,'Base Exámenes'!C126),'Base Exámenes'!$I$5:$I$1000,0),'Base Exámenes'!G126*1000000+(-1)*'Base Exámenes'!D126,""))</f>
        <v>99953695.6306366</v>
      </c>
      <c r="AQ126" t="str">
        <f>IF('Base Exámenes'!C126="","",IF(COUNTIF('Base Exámenes'!$C$5:$C$1000,'Base Exámenes'!C126)&lt;2,"",MATCH('Base Exámenes'!C126,'Base Exámenes'!$C$5:$C$1000,0)*10000+ROW()))</f>
        <v/>
      </c>
    </row>
    <row r="127">
      <c r="Z127">
        <f>IF('Detalle individual'!A127="","",IF(AND(OR('Estado por Colaborador'!$D$4="Todas las gerencias",'Detalle individual'!D127='Estado por Colaborador'!$D$4),OR('Estado por Colaborador'!$D$5="Todos los departamentos",TRIM('Detalle individual'!C127)='Estado por Colaborador'!$D$5),OR('Estado por Colaborador'!$D$6="Todos",'Detalle individual'!F127='Estado por Colaborador'!$D$6)),IF('Detalle individual'!F127="Completado",30000000,IF('Detalle individual'!F127="Pendiente",0,15000000))+COUNTIF('Detalle individual'!$C$5:$C$1000,"&lt;"&amp;'Detalle individual'!C127)*10000+ROW(),""))</f>
        <v>38390127</v>
      </c>
      <c r="AB127" t="str">
        <f>IF('Detalle individual'!C127="","",IF(COUNTIF('Detalle individual'!$C$5:C127,'Detalle individual'!C127)=1,COUNTIF('Detalle individual'!$C$5:$C$1000,"&lt;"&amp;'Detalle individual'!C127),""))</f>
        <v/>
      </c>
      <c r="AC127" t="str">
        <f>IF('Detalle individual'!D127="","",IF(COUNTIF('Detalle individual'!$D$5:D127,'Detalle individual'!D127)=1,COUNTIF('Detalle individual'!$D$5:$D$1000,"&lt;"&amp;'Detalle individual'!D127),""))</f>
        <v/>
      </c>
      <c r="AH127" t="str">
        <f>IF('Detalle individual'!F127="Pendiente",COUNTIF('Detalle individual'!$D$5:$D$1000,"&lt;"&amp;'Detalle individual'!D127)*1000000+COUNTIF('Detalle individual'!$C$5:$C$1000,"&lt;"&amp;'Detalle individual'!C127)*1000+COUNTIF('Detalle individual'!$B$5:$B$1000,"&lt;"&amp;'Detalle individual'!B127)+ROW()/10000,"")</f>
        <v/>
      </c>
      <c r="AI127">
        <f>IF('Detalle individual'!F127="Completado",COUNTIF('Detalle individual'!$D$5:$D$1000,"&lt;"&amp;'Detalle individual'!D127)*1000000+COUNTIF('Detalle individual'!$C$5:$C$1000,"&lt;"&amp;'Detalle individual'!C127)*1000+COUNTIF('Detalle individual'!$B$5:$B$1000,"&lt;"&amp;'Detalle individual'!B127)+ROW()/10000,"")</f>
        <v>703839947.0127</v>
      </c>
      <c r="AJ127" t="str">
        <f>IF(AND('Detalle individual'!F127&lt;&gt;"",'Detalle individual'!F127&lt;&gt;"Completado",'Detalle individual'!F127&lt;&gt;"Pendiente"),COUNTIF('Detalle individual'!$D$5:$D$1000,"&lt;"&amp;'Detalle individual'!D127)*1000000+COUNTIF('Detalle individual'!$C$5:$C$1000,"&lt;"&amp;'Detalle individual'!C127)*1000+COUNTIF('Detalle individual'!$B$5:$B$1000,"&lt;"&amp;'Detalle individual'!B127)+ROW()/10000,"")</f>
        <v/>
      </c>
      <c r="AK127">
        <f>IF(OR('Base Exámenes'!C127="",'Base Exámenes'!D127=""),"",IF(COUNTIF('Base Exámenes'!$C$5:C127,'Base Exámenes'!C127)=1,'Base Exámenes'!D127+ROW()/1000000000,""))</f>
        <v>46304.38035892361</v>
      </c>
      <c r="AL127">
        <f>IF(OR('Base Exámenes'!C127="",'Base Exámenes'!E127=""),"",IF(COUNTIF('Base Exámenes'!$C$5:C127,'Base Exámenes'!C127)=1,'Base Exámenes'!E127+ROW()/1000000000,""))</f>
        <v>46304.38547466435</v>
      </c>
      <c r="AM127">
        <f>IF(OR('Base Exámenes'!C127="",'Base Exámenes'!G127=""),"",IF(ROW()-4=MATCH('Base Exámenes'!C127&amp;"|"&amp;_xlfn.MAXIFS('Base Exámenes'!$G$5:$G$1000,'Base Exámenes'!$C$5:$C$1000,'Base Exámenes'!C127),'Base Exámenes'!$I$5:$I$1000,0),'Base Exámenes'!G127*1000000+(-1)*'Base Exámenes'!D127,""))</f>
        <v>79953695.6196412</v>
      </c>
      <c r="AQ127" t="str">
        <f>IF('Base Exámenes'!C127="","",IF(COUNTIF('Base Exámenes'!$C$5:$C$1000,'Base Exámenes'!C127)&lt;2,"",MATCH('Base Exámenes'!C127,'Base Exámenes'!$C$5:$C$1000,0)*10000+ROW()))</f>
        <v/>
      </c>
    </row>
    <row r="128">
      <c r="Z128">
        <f>IF('Detalle individual'!A128="","",IF(AND(OR('Estado por Colaborador'!$D$4="Todas las gerencias",'Detalle individual'!D128='Estado por Colaborador'!$D$4),OR('Estado por Colaborador'!$D$5="Todos los departamentos",TRIM('Detalle individual'!C128)='Estado por Colaborador'!$D$5),OR('Estado por Colaborador'!$D$6="Todos",'Detalle individual'!F128='Estado por Colaborador'!$D$6)),IF('Detalle individual'!F128="Completado",30000000,IF('Detalle individual'!F128="Pendiente",0,15000000))+COUNTIF('Detalle individual'!$C$5:$C$1000,"&lt;"&amp;'Detalle individual'!C128)*10000+ROW(),""))</f>
        <v>38390128</v>
      </c>
      <c r="AB128" t="str">
        <f>IF('Detalle individual'!C128="","",IF(COUNTIF('Detalle individual'!$C$5:C128,'Detalle individual'!C128)=1,COUNTIF('Detalle individual'!$C$5:$C$1000,"&lt;"&amp;'Detalle individual'!C128),""))</f>
        <v/>
      </c>
      <c r="AC128" t="str">
        <f>IF('Detalle individual'!D128="","",IF(COUNTIF('Detalle individual'!$D$5:D128,'Detalle individual'!D128)=1,COUNTIF('Detalle individual'!$D$5:$D$1000,"&lt;"&amp;'Detalle individual'!D128),""))</f>
        <v/>
      </c>
      <c r="AH128" t="str">
        <f>IF('Detalle individual'!F128="Pendiente",COUNTIF('Detalle individual'!$D$5:$D$1000,"&lt;"&amp;'Detalle individual'!D128)*1000000+COUNTIF('Detalle individual'!$C$5:$C$1000,"&lt;"&amp;'Detalle individual'!C128)*1000+COUNTIF('Detalle individual'!$B$5:$B$1000,"&lt;"&amp;'Detalle individual'!B128)+ROW()/10000,"")</f>
        <v/>
      </c>
      <c r="AI128">
        <f>IF('Detalle individual'!F128="Completado",COUNTIF('Detalle individual'!$D$5:$D$1000,"&lt;"&amp;'Detalle individual'!D128)*1000000+COUNTIF('Detalle individual'!$C$5:$C$1000,"&lt;"&amp;'Detalle individual'!C128)*1000+COUNTIF('Detalle individual'!$B$5:$B$1000,"&lt;"&amp;'Detalle individual'!B128)+ROW()/10000,"")</f>
        <v>703839916.0128</v>
      </c>
      <c r="AJ128" t="str">
        <f>IF(AND('Detalle individual'!F128&lt;&gt;"",'Detalle individual'!F128&lt;&gt;"Completado",'Detalle individual'!F128&lt;&gt;"Pendiente"),COUNTIF('Detalle individual'!$D$5:$D$1000,"&lt;"&amp;'Detalle individual'!D128)*1000000+COUNTIF('Detalle individual'!$C$5:$C$1000,"&lt;"&amp;'Detalle individual'!C128)*1000+COUNTIF('Detalle individual'!$B$5:$B$1000,"&lt;"&amp;'Detalle individual'!B128)+ROW()/10000,"")</f>
        <v/>
      </c>
      <c r="AK128">
        <f>IF(OR('Base Exámenes'!C128="",'Base Exámenes'!D128=""),"",IF(COUNTIF('Base Exámenes'!$C$5:C128,'Base Exámenes'!C128)=1,'Base Exámenes'!D128+ROW()/1000000000,""))</f>
        <v>46304.373275590275</v>
      </c>
      <c r="AL128">
        <f>IF(OR('Base Exámenes'!C128="",'Base Exámenes'!E128=""),"",IF(COUNTIF('Base Exámenes'!$C$5:C128,'Base Exámenes'!C128)=1,'Base Exámenes'!E128+ROW()/1000000000,""))</f>
        <v>46304.387847349535</v>
      </c>
      <c r="AM128">
        <f>IF(OR('Base Exámenes'!C128="",'Base Exámenes'!G128=""),"",IF(ROW()-4=MATCH('Base Exámenes'!C128&amp;"|"&amp;_xlfn.MAXIFS('Base Exámenes'!$G$5:$G$1000,'Base Exámenes'!$C$5:$C$1000,'Base Exámenes'!C128),'Base Exámenes'!$I$5:$I$1000,0),'Base Exámenes'!G128*1000000+(-1)*'Base Exámenes'!D128,""))</f>
        <v>99953695.6267245</v>
      </c>
      <c r="AQ128" t="str">
        <f>IF('Base Exámenes'!C128="","",IF(COUNTIF('Base Exámenes'!$C$5:$C$1000,'Base Exámenes'!C128)&lt;2,"",MATCH('Base Exámenes'!C128,'Base Exámenes'!$C$5:$C$1000,0)*10000+ROW()))</f>
        <v/>
      </c>
    </row>
    <row r="129">
      <c r="Z129">
        <f>IF('Detalle individual'!A129="","",IF(AND(OR('Estado por Colaborador'!$D$4="Todas las gerencias",'Detalle individual'!D129='Estado por Colaborador'!$D$4),OR('Estado por Colaborador'!$D$5="Todos los departamentos",TRIM('Detalle individual'!C129)='Estado por Colaborador'!$D$5),OR('Estado por Colaborador'!$D$6="Todos",'Detalle individual'!F129='Estado por Colaborador'!$D$6)),IF('Detalle individual'!F129="Completado",30000000,IF('Detalle individual'!F129="Pendiente",0,15000000))+COUNTIF('Detalle individual'!$C$5:$C$1000,"&lt;"&amp;'Detalle individual'!C129)*10000+ROW(),""))</f>
        <v>38390129</v>
      </c>
      <c r="AB129" t="str">
        <f>IF('Detalle individual'!C129="","",IF(COUNTIF('Detalle individual'!$C$5:C129,'Detalle individual'!C129)=1,COUNTIF('Detalle individual'!$C$5:$C$1000,"&lt;"&amp;'Detalle individual'!C129),""))</f>
        <v/>
      </c>
      <c r="AC129" t="str">
        <f>IF('Detalle individual'!D129="","",IF(COUNTIF('Detalle individual'!$D$5:D129,'Detalle individual'!D129)=1,COUNTIF('Detalle individual'!$D$5:$D$1000,"&lt;"&amp;'Detalle individual'!D129),""))</f>
        <v/>
      </c>
      <c r="AH129" t="str">
        <f>IF('Detalle individual'!F129="Pendiente",COUNTIF('Detalle individual'!$D$5:$D$1000,"&lt;"&amp;'Detalle individual'!D129)*1000000+COUNTIF('Detalle individual'!$C$5:$C$1000,"&lt;"&amp;'Detalle individual'!C129)*1000+COUNTIF('Detalle individual'!$B$5:$B$1000,"&lt;"&amp;'Detalle individual'!B129)+ROW()/10000,"")</f>
        <v/>
      </c>
      <c r="AI129">
        <f>IF('Detalle individual'!F129="Completado",COUNTIF('Detalle individual'!$D$5:$D$1000,"&lt;"&amp;'Detalle individual'!D129)*1000000+COUNTIF('Detalle individual'!$C$5:$C$1000,"&lt;"&amp;'Detalle individual'!C129)*1000+COUNTIF('Detalle individual'!$B$5:$B$1000,"&lt;"&amp;'Detalle individual'!B129)+ROW()/10000,"")</f>
        <v>703839908.0129</v>
      </c>
      <c r="AJ129" t="str">
        <f>IF(AND('Detalle individual'!F129&lt;&gt;"",'Detalle individual'!F129&lt;&gt;"Completado",'Detalle individual'!F129&lt;&gt;"Pendiente"),COUNTIF('Detalle individual'!$D$5:$D$1000,"&lt;"&amp;'Detalle individual'!D129)*1000000+COUNTIF('Detalle individual'!$C$5:$C$1000,"&lt;"&amp;'Detalle individual'!C129)*1000+COUNTIF('Detalle individual'!$B$5:$B$1000,"&lt;"&amp;'Detalle individual'!B129)+ROW()/10000,"")</f>
        <v/>
      </c>
      <c r="AK129">
        <f>IF(OR('Base Exámenes'!C129="",'Base Exámenes'!D129=""),"",IF(COUNTIF('Base Exámenes'!$C$5:C129,'Base Exámenes'!C129)=1,'Base Exámenes'!D129+ROW()/1000000000,""))</f>
        <v>46304.391724664354</v>
      </c>
      <c r="AL129">
        <f>IF(OR('Base Exámenes'!C129="",'Base Exámenes'!E129=""),"",IF(COUNTIF('Base Exámenes'!$C$5:C129,'Base Exámenes'!C129)=1,'Base Exámenes'!E129+ROW()/1000000000,""))</f>
        <v>46304.39483809028</v>
      </c>
      <c r="AM129">
        <f>IF(OR('Base Exámenes'!C129="",'Base Exámenes'!G129=""),"",IF(ROW()-4=MATCH('Base Exámenes'!C129&amp;"|"&amp;_xlfn.MAXIFS('Base Exámenes'!$G$5:$G$1000,'Base Exámenes'!$C$5:$C$1000,'Base Exámenes'!C129),'Base Exámenes'!$I$5:$I$1000,0),'Base Exámenes'!G129*1000000+(-1)*'Base Exámenes'!D129,""))</f>
        <v>99953695.6082755</v>
      </c>
      <c r="AQ129" t="str">
        <f>IF('Base Exámenes'!C129="","",IF(COUNTIF('Base Exámenes'!$C$5:$C$1000,'Base Exámenes'!C129)&lt;2,"",MATCH('Base Exámenes'!C129,'Base Exámenes'!$C$5:$C$1000,0)*10000+ROW()))</f>
        <v/>
      </c>
    </row>
    <row r="130">
      <c r="Z130">
        <f>IF('Detalle individual'!A130="","",IF(AND(OR('Estado por Colaborador'!$D$4="Todas las gerencias",'Detalle individual'!D130='Estado por Colaborador'!$D$4),OR('Estado por Colaborador'!$D$5="Todos los departamentos",TRIM('Detalle individual'!C130)='Estado por Colaborador'!$D$5),OR('Estado por Colaborador'!$D$6="Todos",'Detalle individual'!F130='Estado por Colaborador'!$D$6)),IF('Detalle individual'!F130="Completado",30000000,IF('Detalle individual'!F130="Pendiente",0,15000000))+COUNTIF('Detalle individual'!$C$5:$C$1000,"&lt;"&amp;'Detalle individual'!C130)*10000+ROW(),""))</f>
        <v>39780130</v>
      </c>
      <c r="AB130" t="str">
        <f>IF('Detalle individual'!C130="","",IF(COUNTIF('Detalle individual'!$C$5:C130,'Detalle individual'!C130)=1,COUNTIF('Detalle individual'!$C$5:$C$1000,"&lt;"&amp;'Detalle individual'!C130),""))</f>
        <v/>
      </c>
      <c r="AC130" t="str">
        <f>IF('Detalle individual'!D130="","",IF(COUNTIF('Detalle individual'!$D$5:D130,'Detalle individual'!D130)=1,COUNTIF('Detalle individual'!$D$5:$D$1000,"&lt;"&amp;'Detalle individual'!D130),""))</f>
        <v/>
      </c>
      <c r="AH130" t="str">
        <f>IF('Detalle individual'!F130="Pendiente",COUNTIF('Detalle individual'!$D$5:$D$1000,"&lt;"&amp;'Detalle individual'!D130)*1000000+COUNTIF('Detalle individual'!$C$5:$C$1000,"&lt;"&amp;'Detalle individual'!C130)*1000+COUNTIF('Detalle individual'!$B$5:$B$1000,"&lt;"&amp;'Detalle individual'!B130)+ROW()/10000,"")</f>
        <v/>
      </c>
      <c r="AI130">
        <f>IF('Detalle individual'!F130="Completado",COUNTIF('Detalle individual'!$D$5:$D$1000,"&lt;"&amp;'Detalle individual'!D130)*1000000+COUNTIF('Detalle individual'!$C$5:$C$1000,"&lt;"&amp;'Detalle individual'!C130)*1000+COUNTIF('Detalle individual'!$B$5:$B$1000,"&lt;"&amp;'Detalle individual'!B130)+ROW()/10000,"")</f>
        <v>918978856.013</v>
      </c>
      <c r="AJ130" t="str">
        <f>IF(AND('Detalle individual'!F130&lt;&gt;"",'Detalle individual'!F130&lt;&gt;"Completado",'Detalle individual'!F130&lt;&gt;"Pendiente"),COUNTIF('Detalle individual'!$D$5:$D$1000,"&lt;"&amp;'Detalle individual'!D130)*1000000+COUNTIF('Detalle individual'!$C$5:$C$1000,"&lt;"&amp;'Detalle individual'!C130)*1000+COUNTIF('Detalle individual'!$B$5:$B$1000,"&lt;"&amp;'Detalle individual'!B130)+ROW()/10000,"")</f>
        <v/>
      </c>
      <c r="AK130">
        <f>IF(OR('Base Exámenes'!C130="",'Base Exámenes'!D130=""),"",IF(COUNTIF('Base Exámenes'!$C$5:C130,'Base Exámenes'!C130)=1,'Base Exámenes'!D130+ROW()/1000000000,""))</f>
        <v>46304.386851979165</v>
      </c>
      <c r="AL130">
        <f>IF(OR('Base Exámenes'!C130="",'Base Exámenes'!E130=""),"",IF(COUNTIF('Base Exámenes'!$C$5:C130,'Base Exámenes'!C130)=1,'Base Exámenes'!E130+ROW()/1000000000,""))</f>
        <v>46304.40026633102</v>
      </c>
      <c r="AM130">
        <f>IF(OR('Base Exámenes'!C130="",'Base Exámenes'!G130=""),"",IF(ROW()-4=MATCH('Base Exámenes'!C130&amp;"|"&amp;_xlfn.MAXIFS('Base Exámenes'!$G$5:$G$1000,'Base Exámenes'!$C$5:$C$1000,'Base Exámenes'!C130),'Base Exámenes'!$I$5:$I$1000,0),'Base Exámenes'!G130*1000000+(-1)*'Base Exámenes'!D130,""))</f>
        <v>89953695.6131482</v>
      </c>
      <c r="AQ130" t="str">
        <f>IF('Base Exámenes'!C130="","",IF(COUNTIF('Base Exámenes'!$C$5:$C$1000,'Base Exámenes'!C130)&lt;2,"",MATCH('Base Exámenes'!C130,'Base Exámenes'!$C$5:$C$1000,0)*10000+ROW()))</f>
        <v/>
      </c>
    </row>
    <row r="131">
      <c r="Z131">
        <f>IF('Detalle individual'!A131="","",IF(AND(OR('Estado por Colaborador'!$D$4="Todas las gerencias",'Detalle individual'!D131='Estado por Colaborador'!$D$4),OR('Estado por Colaborador'!$D$5="Todos los departamentos",TRIM('Detalle individual'!C131)='Estado por Colaborador'!$D$5),OR('Estado por Colaborador'!$D$6="Todos",'Detalle individual'!F131='Estado por Colaborador'!$D$6)),IF('Detalle individual'!F131="Completado",30000000,IF('Detalle individual'!F131="Pendiente",0,15000000))+COUNTIF('Detalle individual'!$C$5:$C$1000,"&lt;"&amp;'Detalle individual'!C131)*10000+ROW(),""))</f>
        <v>39780131</v>
      </c>
      <c r="AB131" t="str">
        <f>IF('Detalle individual'!C131="","",IF(COUNTIF('Detalle individual'!$C$5:C131,'Detalle individual'!C131)=1,COUNTIF('Detalle individual'!$C$5:$C$1000,"&lt;"&amp;'Detalle individual'!C131),""))</f>
        <v/>
      </c>
      <c r="AC131" t="str">
        <f>IF('Detalle individual'!D131="","",IF(COUNTIF('Detalle individual'!$D$5:D131,'Detalle individual'!D131)=1,COUNTIF('Detalle individual'!$D$5:$D$1000,"&lt;"&amp;'Detalle individual'!D131),""))</f>
        <v/>
      </c>
      <c r="AH131" t="str">
        <f>IF('Detalle individual'!F131="Pendiente",COUNTIF('Detalle individual'!$D$5:$D$1000,"&lt;"&amp;'Detalle individual'!D131)*1000000+COUNTIF('Detalle individual'!$C$5:$C$1000,"&lt;"&amp;'Detalle individual'!C131)*1000+COUNTIF('Detalle individual'!$B$5:$B$1000,"&lt;"&amp;'Detalle individual'!B131)+ROW()/10000,"")</f>
        <v/>
      </c>
      <c r="AI131">
        <f>IF('Detalle individual'!F131="Completado",COUNTIF('Detalle individual'!$D$5:$D$1000,"&lt;"&amp;'Detalle individual'!D131)*1000000+COUNTIF('Detalle individual'!$C$5:$C$1000,"&lt;"&amp;'Detalle individual'!C131)*1000+COUNTIF('Detalle individual'!$B$5:$B$1000,"&lt;"&amp;'Detalle individual'!B131)+ROW()/10000,"")</f>
        <v>918978841.0131</v>
      </c>
      <c r="AJ131" t="str">
        <f>IF(AND('Detalle individual'!F131&lt;&gt;"",'Detalle individual'!F131&lt;&gt;"Completado",'Detalle individual'!F131&lt;&gt;"Pendiente"),COUNTIF('Detalle individual'!$D$5:$D$1000,"&lt;"&amp;'Detalle individual'!D131)*1000000+COUNTIF('Detalle individual'!$C$5:$C$1000,"&lt;"&amp;'Detalle individual'!C131)*1000+COUNTIF('Detalle individual'!$B$5:$B$1000,"&lt;"&amp;'Detalle individual'!B131)+ROW()/10000,"")</f>
        <v/>
      </c>
      <c r="AK131">
        <f>IF(OR('Base Exámenes'!C131="",'Base Exámenes'!D131=""),"",IF(COUNTIF('Base Exámenes'!$C$5:C131,'Base Exámenes'!C131)=1,'Base Exámenes'!D131+ROW()/1000000000,""))</f>
        <v>46304.39583346065</v>
      </c>
      <c r="AL131">
        <f>IF(OR('Base Exámenes'!C131="",'Base Exámenes'!E131=""),"",IF(COUNTIF('Base Exámenes'!$C$5:C131,'Base Exámenes'!C131)=1,'Base Exámenes'!E131+ROW()/1000000000,""))</f>
        <v>46304.40027790509</v>
      </c>
      <c r="AM131">
        <f>IF(OR('Base Exámenes'!C131="",'Base Exámenes'!G131=""),"",IF(ROW()-4=MATCH('Base Exámenes'!C131&amp;"|"&amp;_xlfn.MAXIFS('Base Exámenes'!$G$5:$G$1000,'Base Exámenes'!$C$5:$C$1000,'Base Exámenes'!C131),'Base Exámenes'!$I$5:$I$1000,0),'Base Exámenes'!G131*1000000+(-1)*'Base Exámenes'!D131,""))</f>
        <v>99953695.6041667</v>
      </c>
      <c r="AQ131" t="str">
        <f>IF('Base Exámenes'!C131="","",IF(COUNTIF('Base Exámenes'!$C$5:$C$1000,'Base Exámenes'!C131)&lt;2,"",MATCH('Base Exámenes'!C131,'Base Exámenes'!$C$5:$C$1000,0)*10000+ROW()))</f>
        <v/>
      </c>
    </row>
    <row r="132">
      <c r="Z132">
        <f>IF('Detalle individual'!A132="","",IF(AND(OR('Estado por Colaborador'!$D$4="Todas las gerencias",'Detalle individual'!D132='Estado por Colaborador'!$D$4),OR('Estado por Colaborador'!$D$5="Todos los departamentos",TRIM('Detalle individual'!C132)='Estado por Colaborador'!$D$5),OR('Estado por Colaborador'!$D$6="Todos",'Detalle individual'!F132='Estado por Colaborador'!$D$6)),IF('Detalle individual'!F132="Completado",30000000,IF('Detalle individual'!F132="Pendiente",0,15000000))+COUNTIF('Detalle individual'!$C$5:$C$1000,"&lt;"&amp;'Detalle individual'!C132)*10000+ROW(),""))</f>
        <v>39780132</v>
      </c>
      <c r="AB132" t="str">
        <f>IF('Detalle individual'!C132="","",IF(COUNTIF('Detalle individual'!$C$5:C132,'Detalle individual'!C132)=1,COUNTIF('Detalle individual'!$C$5:$C$1000,"&lt;"&amp;'Detalle individual'!C132),""))</f>
        <v/>
      </c>
      <c r="AC132" t="str">
        <f>IF('Detalle individual'!D132="","",IF(COUNTIF('Detalle individual'!$D$5:D132,'Detalle individual'!D132)=1,COUNTIF('Detalle individual'!$D$5:$D$1000,"&lt;"&amp;'Detalle individual'!D132),""))</f>
        <v/>
      </c>
      <c r="AH132" t="str">
        <f>IF('Detalle individual'!F132="Pendiente",COUNTIF('Detalle individual'!$D$5:$D$1000,"&lt;"&amp;'Detalle individual'!D132)*1000000+COUNTIF('Detalle individual'!$C$5:$C$1000,"&lt;"&amp;'Detalle individual'!C132)*1000+COUNTIF('Detalle individual'!$B$5:$B$1000,"&lt;"&amp;'Detalle individual'!B132)+ROW()/10000,"")</f>
        <v/>
      </c>
      <c r="AI132">
        <f>IF('Detalle individual'!F132="Completado",COUNTIF('Detalle individual'!$D$5:$D$1000,"&lt;"&amp;'Detalle individual'!D132)*1000000+COUNTIF('Detalle individual'!$C$5:$C$1000,"&lt;"&amp;'Detalle individual'!C132)*1000+COUNTIF('Detalle individual'!$B$5:$B$1000,"&lt;"&amp;'Detalle individual'!B132)+ROW()/10000,"")</f>
        <v>918978785.0132</v>
      </c>
      <c r="AJ132" t="str">
        <f>IF(AND('Detalle individual'!F132&lt;&gt;"",'Detalle individual'!F132&lt;&gt;"Completado",'Detalle individual'!F132&lt;&gt;"Pendiente"),COUNTIF('Detalle individual'!$D$5:$D$1000,"&lt;"&amp;'Detalle individual'!D132)*1000000+COUNTIF('Detalle individual'!$C$5:$C$1000,"&lt;"&amp;'Detalle individual'!C132)*1000+COUNTIF('Detalle individual'!$B$5:$B$1000,"&lt;"&amp;'Detalle individual'!B132)+ROW()/10000,"")</f>
        <v/>
      </c>
      <c r="AK132">
        <f>IF(OR('Base Exámenes'!C132="",'Base Exámenes'!D132=""),"",IF(COUNTIF('Base Exámenes'!$C$5:C132,'Base Exámenes'!C132)=1,'Base Exámenes'!D132+ROW()/1000000000,""))</f>
        <v>46304.39957188658</v>
      </c>
      <c r="AL132">
        <f>IF(OR('Base Exámenes'!C132="",'Base Exámenes'!E132=""),"",IF(COUNTIF('Base Exámenes'!$C$5:C132,'Base Exámenes'!C132)=1,'Base Exámenes'!E132+ROW()/1000000000,""))</f>
        <v>46304.40319457176</v>
      </c>
      <c r="AM132">
        <f>IF(OR('Base Exámenes'!C132="",'Base Exámenes'!G132=""),"",IF(ROW()-4=MATCH('Base Exámenes'!C132&amp;"|"&amp;_xlfn.MAXIFS('Base Exámenes'!$G$5:$G$1000,'Base Exámenes'!$C$5:$C$1000,'Base Exámenes'!C132),'Base Exámenes'!$I$5:$I$1000,0),'Base Exámenes'!G132*1000000+(-1)*'Base Exámenes'!D132,""))</f>
        <v>89953695.6004282</v>
      </c>
      <c r="AQ132" t="str">
        <f>IF('Base Exámenes'!C132="","",IF(COUNTIF('Base Exámenes'!$C$5:$C$1000,'Base Exámenes'!C132)&lt;2,"",MATCH('Base Exámenes'!C132,'Base Exámenes'!$C$5:$C$1000,0)*10000+ROW()))</f>
        <v/>
      </c>
    </row>
    <row r="133">
      <c r="Z133">
        <f>IF('Detalle individual'!A133="","",IF(AND(OR('Estado por Colaborador'!$D$4="Todas las gerencias",'Detalle individual'!D133='Estado por Colaborador'!$D$4),OR('Estado por Colaborador'!$D$5="Todos los departamentos",TRIM('Detalle individual'!C133)='Estado por Colaborador'!$D$5),OR('Estado por Colaborador'!$D$6="Todos",'Detalle individual'!F133='Estado por Colaborador'!$D$6)),IF('Detalle individual'!F133="Completado",30000000,IF('Detalle individual'!F133="Pendiente",0,15000000))+COUNTIF('Detalle individual'!$C$5:$C$1000,"&lt;"&amp;'Detalle individual'!C133)*10000+ROW(),""))</f>
        <v>39780133</v>
      </c>
      <c r="AB133" t="str">
        <f>IF('Detalle individual'!C133="","",IF(COUNTIF('Detalle individual'!$C$5:C133,'Detalle individual'!C133)=1,COUNTIF('Detalle individual'!$C$5:$C$1000,"&lt;"&amp;'Detalle individual'!C133),""))</f>
        <v/>
      </c>
      <c r="AC133" t="str">
        <f>IF('Detalle individual'!D133="","",IF(COUNTIF('Detalle individual'!$D$5:D133,'Detalle individual'!D133)=1,COUNTIF('Detalle individual'!$D$5:$D$1000,"&lt;"&amp;'Detalle individual'!D133),""))</f>
        <v/>
      </c>
      <c r="AH133" t="str">
        <f>IF('Detalle individual'!F133="Pendiente",COUNTIF('Detalle individual'!$D$5:$D$1000,"&lt;"&amp;'Detalle individual'!D133)*1000000+COUNTIF('Detalle individual'!$C$5:$C$1000,"&lt;"&amp;'Detalle individual'!C133)*1000+COUNTIF('Detalle individual'!$B$5:$B$1000,"&lt;"&amp;'Detalle individual'!B133)+ROW()/10000,"")</f>
        <v/>
      </c>
      <c r="AI133">
        <f>IF('Detalle individual'!F133="Completado",COUNTIF('Detalle individual'!$D$5:$D$1000,"&lt;"&amp;'Detalle individual'!D133)*1000000+COUNTIF('Detalle individual'!$C$5:$C$1000,"&lt;"&amp;'Detalle individual'!C133)*1000+COUNTIF('Detalle individual'!$B$5:$B$1000,"&lt;"&amp;'Detalle individual'!B133)+ROW()/10000,"")</f>
        <v>918978884.0133</v>
      </c>
      <c r="AJ133" t="str">
        <f>IF(AND('Detalle individual'!F133&lt;&gt;"",'Detalle individual'!F133&lt;&gt;"Completado",'Detalle individual'!F133&lt;&gt;"Pendiente"),COUNTIF('Detalle individual'!$D$5:$D$1000,"&lt;"&amp;'Detalle individual'!D133)*1000000+COUNTIF('Detalle individual'!$C$5:$C$1000,"&lt;"&amp;'Detalle individual'!C133)*1000+COUNTIF('Detalle individual'!$B$5:$B$1000,"&lt;"&amp;'Detalle individual'!B133)+ROW()/10000,"")</f>
        <v/>
      </c>
      <c r="AK133">
        <f>IF(OR('Base Exámenes'!C133="",'Base Exámenes'!D133=""),"",IF(COUNTIF('Base Exámenes'!$C$5:C133,'Base Exámenes'!C133)=1,'Base Exámenes'!D133+ROW()/1000000000,""))</f>
        <v>46304.40168994213</v>
      </c>
      <c r="AL133">
        <f>IF(OR('Base Exámenes'!C133="",'Base Exámenes'!E133=""),"",IF(COUNTIF('Base Exámenes'!$C$5:C133,'Base Exámenes'!C133)=1,'Base Exámenes'!E133+ROW()/1000000000,""))</f>
        <v>46304.40432883102</v>
      </c>
      <c r="AM133">
        <f>IF(OR('Base Exámenes'!C133="",'Base Exámenes'!G133=""),"",IF(ROW()-4=MATCH('Base Exámenes'!C133&amp;"|"&amp;_xlfn.MAXIFS('Base Exámenes'!$G$5:$G$1000,'Base Exámenes'!$C$5:$C$1000,'Base Exámenes'!C133),'Base Exámenes'!$I$5:$I$1000,0),'Base Exámenes'!G133*1000000+(-1)*'Base Exámenes'!D133,""))</f>
        <v>89953695.5983102</v>
      </c>
      <c r="AQ133" t="str">
        <f>IF('Base Exámenes'!C133="","",IF(COUNTIF('Base Exámenes'!$C$5:$C$1000,'Base Exámenes'!C133)&lt;2,"",MATCH('Base Exámenes'!C133,'Base Exámenes'!$C$5:$C$1000,0)*10000+ROW()))</f>
        <v/>
      </c>
    </row>
    <row r="134">
      <c r="Z134">
        <f>IF('Detalle individual'!A134="","",IF(AND(OR('Estado por Colaborador'!$D$4="Todas las gerencias",'Detalle individual'!D134='Estado por Colaborador'!$D$4),OR('Estado por Colaborador'!$D$5="Todos los departamentos",TRIM('Detalle individual'!C134)='Estado por Colaborador'!$D$5),OR('Estado por Colaborador'!$D$6="Todos",'Detalle individual'!F134='Estado por Colaborador'!$D$6)),IF('Detalle individual'!F134="Completado",30000000,IF('Detalle individual'!F134="Pendiente",0,15000000))+COUNTIF('Detalle individual'!$C$5:$C$1000,"&lt;"&amp;'Detalle individual'!C134)*10000+ROW(),""))</f>
        <v>39780134</v>
      </c>
      <c r="AB134" t="str">
        <f>IF('Detalle individual'!C134="","",IF(COUNTIF('Detalle individual'!$C$5:C134,'Detalle individual'!C134)=1,COUNTIF('Detalle individual'!$C$5:$C$1000,"&lt;"&amp;'Detalle individual'!C134),""))</f>
        <v/>
      </c>
      <c r="AC134" t="str">
        <f>IF('Detalle individual'!D134="","",IF(COUNTIF('Detalle individual'!$D$5:D134,'Detalle individual'!D134)=1,COUNTIF('Detalle individual'!$D$5:$D$1000,"&lt;"&amp;'Detalle individual'!D134),""))</f>
        <v/>
      </c>
      <c r="AH134" t="str">
        <f>IF('Detalle individual'!F134="Pendiente",COUNTIF('Detalle individual'!$D$5:$D$1000,"&lt;"&amp;'Detalle individual'!D134)*1000000+COUNTIF('Detalle individual'!$C$5:$C$1000,"&lt;"&amp;'Detalle individual'!C134)*1000+COUNTIF('Detalle individual'!$B$5:$B$1000,"&lt;"&amp;'Detalle individual'!B134)+ROW()/10000,"")</f>
        <v/>
      </c>
      <c r="AI134">
        <f>IF('Detalle individual'!F134="Completado",COUNTIF('Detalle individual'!$D$5:$D$1000,"&lt;"&amp;'Detalle individual'!D134)*1000000+COUNTIF('Detalle individual'!$C$5:$C$1000,"&lt;"&amp;'Detalle individual'!C134)*1000+COUNTIF('Detalle individual'!$B$5:$B$1000,"&lt;"&amp;'Detalle individual'!B134)+ROW()/10000,"")</f>
        <v>918978939.0134</v>
      </c>
      <c r="AJ134" t="str">
        <f>IF(AND('Detalle individual'!F134&lt;&gt;"",'Detalle individual'!F134&lt;&gt;"Completado",'Detalle individual'!F134&lt;&gt;"Pendiente"),COUNTIF('Detalle individual'!$D$5:$D$1000,"&lt;"&amp;'Detalle individual'!D134)*1000000+COUNTIF('Detalle individual'!$C$5:$C$1000,"&lt;"&amp;'Detalle individual'!C134)*1000+COUNTIF('Detalle individual'!$B$5:$B$1000,"&lt;"&amp;'Detalle individual'!B134)+ROW()/10000,"")</f>
        <v/>
      </c>
      <c r="AK134">
        <f>IF(OR('Base Exámenes'!C134="",'Base Exámenes'!D134=""),"",IF(COUNTIF('Base Exámenes'!$C$5:C134,'Base Exámenes'!C134)=1,'Base Exámenes'!D134+ROW()/1000000000,""))</f>
        <v>46304.40207189815</v>
      </c>
      <c r="AL134">
        <f>IF(OR('Base Exámenes'!C134="",'Base Exámenes'!E134=""),"",IF(COUNTIF('Base Exámenes'!$C$5:C134,'Base Exámenes'!C134)=1,'Base Exámenes'!E134+ROW()/1000000000,""))</f>
        <v>46304.40600708334</v>
      </c>
      <c r="AM134">
        <f>IF(OR('Base Exámenes'!C134="",'Base Exámenes'!G134=""),"",IF(ROW()-4=MATCH('Base Exámenes'!C134&amp;"|"&amp;_xlfn.MAXIFS('Base Exámenes'!$G$5:$G$1000,'Base Exámenes'!$C$5:$C$1000,'Base Exámenes'!C134),'Base Exámenes'!$I$5:$I$1000,0),'Base Exámenes'!G134*1000000+(-1)*'Base Exámenes'!D134,""))</f>
        <v>99953695.5979282</v>
      </c>
      <c r="AQ134" t="str">
        <f>IF('Base Exámenes'!C134="","",IF(COUNTIF('Base Exámenes'!$C$5:$C$1000,'Base Exámenes'!C134)&lt;2,"",MATCH('Base Exámenes'!C134,'Base Exámenes'!$C$5:$C$1000,0)*10000+ROW()))</f>
        <v/>
      </c>
    </row>
    <row r="135">
      <c r="Z135">
        <f>IF('Detalle individual'!A135="","",IF(AND(OR('Estado por Colaborador'!$D$4="Todas las gerencias",'Detalle individual'!D135='Estado por Colaborador'!$D$4),OR('Estado por Colaborador'!$D$5="Todos los departamentos",TRIM('Detalle individual'!C135)='Estado por Colaborador'!$D$5),OR('Estado por Colaborador'!$D$6="Todos",'Detalle individual'!F135='Estado por Colaborador'!$D$6)),IF('Detalle individual'!F135="Completado",30000000,IF('Detalle individual'!F135="Pendiente",0,15000000))+COUNTIF('Detalle individual'!$C$5:$C$1000,"&lt;"&amp;'Detalle individual'!C135)*10000+ROW(),""))</f>
        <v>39780135</v>
      </c>
      <c r="AB135" t="str">
        <f>IF('Detalle individual'!C135="","",IF(COUNTIF('Detalle individual'!$C$5:C135,'Detalle individual'!C135)=1,COUNTIF('Detalle individual'!$C$5:$C$1000,"&lt;"&amp;'Detalle individual'!C135),""))</f>
        <v/>
      </c>
      <c r="AC135" t="str">
        <f>IF('Detalle individual'!D135="","",IF(COUNTIF('Detalle individual'!$D$5:D135,'Detalle individual'!D135)=1,COUNTIF('Detalle individual'!$D$5:$D$1000,"&lt;"&amp;'Detalle individual'!D135),""))</f>
        <v/>
      </c>
      <c r="AH135" t="str">
        <f>IF('Detalle individual'!F135="Pendiente",COUNTIF('Detalle individual'!$D$5:$D$1000,"&lt;"&amp;'Detalle individual'!D135)*1000000+COUNTIF('Detalle individual'!$C$5:$C$1000,"&lt;"&amp;'Detalle individual'!C135)*1000+COUNTIF('Detalle individual'!$B$5:$B$1000,"&lt;"&amp;'Detalle individual'!B135)+ROW()/10000,"")</f>
        <v/>
      </c>
      <c r="AI135">
        <f>IF('Detalle individual'!F135="Completado",COUNTIF('Detalle individual'!$D$5:$D$1000,"&lt;"&amp;'Detalle individual'!D135)*1000000+COUNTIF('Detalle individual'!$C$5:$C$1000,"&lt;"&amp;'Detalle individual'!C135)*1000+COUNTIF('Detalle individual'!$B$5:$B$1000,"&lt;"&amp;'Detalle individual'!B135)+ROW()/10000,"")</f>
        <v>918978846.0135</v>
      </c>
      <c r="AJ135" t="str">
        <f>IF(AND('Detalle individual'!F135&lt;&gt;"",'Detalle individual'!F135&lt;&gt;"Completado",'Detalle individual'!F135&lt;&gt;"Pendiente"),COUNTIF('Detalle individual'!$D$5:$D$1000,"&lt;"&amp;'Detalle individual'!D135)*1000000+COUNTIF('Detalle individual'!$C$5:$C$1000,"&lt;"&amp;'Detalle individual'!C135)*1000+COUNTIF('Detalle individual'!$B$5:$B$1000,"&lt;"&amp;'Detalle individual'!B135)+ROW()/10000,"")</f>
        <v/>
      </c>
      <c r="AK135">
        <f>IF(OR('Base Exámenes'!C135="",'Base Exámenes'!D135=""),"",IF(COUNTIF('Base Exámenes'!$C$5:C135,'Base Exámenes'!C135)=1,'Base Exámenes'!D135+ROW()/1000000000,""))</f>
        <v>46304.40348393519</v>
      </c>
      <c r="AL135">
        <f>IF(OR('Base Exámenes'!C135="",'Base Exámenes'!E135=""),"",IF(COUNTIF('Base Exámenes'!$C$5:C135,'Base Exámenes'!C135)=1,'Base Exámenes'!E135+ROW()/1000000000,""))</f>
        <v>46304.407905231485</v>
      </c>
      <c r="AM135">
        <f>IF(OR('Base Exámenes'!C135="",'Base Exámenes'!G135=""),"",IF(ROW()-4=MATCH('Base Exámenes'!C135&amp;"|"&amp;_xlfn.MAXIFS('Base Exámenes'!$G$5:$G$1000,'Base Exámenes'!$C$5:$C$1000,'Base Exámenes'!C135),'Base Exámenes'!$I$5:$I$1000,0),'Base Exámenes'!G135*1000000+(-1)*'Base Exámenes'!D135,""))</f>
        <v>99953695.5965162</v>
      </c>
      <c r="AQ135" t="str">
        <f>IF('Base Exámenes'!C135="","",IF(COUNTIF('Base Exámenes'!$C$5:$C$1000,'Base Exámenes'!C135)&lt;2,"",MATCH('Base Exámenes'!C135,'Base Exámenes'!$C$5:$C$1000,0)*10000+ROW()))</f>
        <v/>
      </c>
    </row>
    <row r="136">
      <c r="Z136">
        <f>IF('Detalle individual'!A136="","",IF(AND(OR('Estado por Colaborador'!$D$4="Todas las gerencias",'Detalle individual'!D136='Estado por Colaborador'!$D$4),OR('Estado por Colaborador'!$D$5="Todos los departamentos",TRIM('Detalle individual'!C136)='Estado por Colaborador'!$D$5),OR('Estado por Colaborador'!$D$6="Todos",'Detalle individual'!F136='Estado por Colaborador'!$D$6)),IF('Detalle individual'!F136="Completado",30000000,IF('Detalle individual'!F136="Pendiente",0,15000000))+COUNTIF('Detalle individual'!$C$5:$C$1000,"&lt;"&amp;'Detalle individual'!C136)*10000+ROW(),""))</f>
        <v>39660136</v>
      </c>
      <c r="AB136" t="str">
        <f>IF('Detalle individual'!C136="","",IF(COUNTIF('Detalle individual'!$C$5:C136,'Detalle individual'!C136)=1,COUNTIF('Detalle individual'!$C$5:$C$1000,"&lt;"&amp;'Detalle individual'!C136),""))</f>
        <v/>
      </c>
      <c r="AC136" t="str">
        <f>IF('Detalle individual'!D136="","",IF(COUNTIF('Detalle individual'!$D$5:D136,'Detalle individual'!D136)=1,COUNTIF('Detalle individual'!$D$5:$D$1000,"&lt;"&amp;'Detalle individual'!D136),""))</f>
        <v/>
      </c>
      <c r="AH136" t="str">
        <f>IF('Detalle individual'!F136="Pendiente",COUNTIF('Detalle individual'!$D$5:$D$1000,"&lt;"&amp;'Detalle individual'!D136)*1000000+COUNTIF('Detalle individual'!$C$5:$C$1000,"&lt;"&amp;'Detalle individual'!C136)*1000+COUNTIF('Detalle individual'!$B$5:$B$1000,"&lt;"&amp;'Detalle individual'!B136)+ROW()/10000,"")</f>
        <v/>
      </c>
      <c r="AI136">
        <f>IF('Detalle individual'!F136="Completado",COUNTIF('Detalle individual'!$D$5:$D$1000,"&lt;"&amp;'Detalle individual'!D136)*1000000+COUNTIF('Detalle individual'!$C$5:$C$1000,"&lt;"&amp;'Detalle individual'!C136)*1000+COUNTIF('Detalle individual'!$B$5:$B$1000,"&lt;"&amp;'Detalle individual'!B136)+ROW()/10000,"")</f>
        <v>764966806.0136</v>
      </c>
      <c r="AJ136" t="str">
        <f>IF(AND('Detalle individual'!F136&lt;&gt;"",'Detalle individual'!F136&lt;&gt;"Completado",'Detalle individual'!F136&lt;&gt;"Pendiente"),COUNTIF('Detalle individual'!$D$5:$D$1000,"&lt;"&amp;'Detalle individual'!D136)*1000000+COUNTIF('Detalle individual'!$C$5:$C$1000,"&lt;"&amp;'Detalle individual'!C136)*1000+COUNTIF('Detalle individual'!$B$5:$B$1000,"&lt;"&amp;'Detalle individual'!B136)+ROW()/10000,"")</f>
        <v/>
      </c>
      <c r="AK136">
        <f>IF(OR('Base Exámenes'!C136="",'Base Exámenes'!D136=""),"",IF(COUNTIF('Base Exámenes'!$C$5:C136,'Base Exámenes'!C136)=1,'Base Exámenes'!D136+ROW()/1000000000,""))</f>
        <v>46304.405764027775</v>
      </c>
      <c r="AL136">
        <f>IF(OR('Base Exámenes'!C136="",'Base Exámenes'!E136=""),"",IF(COUNTIF('Base Exámenes'!$C$5:C136,'Base Exámenes'!C136)=1,'Base Exámenes'!E136+ROW()/1000000000,""))</f>
        <v>46304.40931726852</v>
      </c>
      <c r="AM136">
        <f>IF(OR('Base Exámenes'!C136="",'Base Exámenes'!G136=""),"",IF(ROW()-4=MATCH('Base Exámenes'!C136&amp;"|"&amp;_xlfn.MAXIFS('Base Exámenes'!$G$5:$G$1000,'Base Exámenes'!$C$5:$C$1000,'Base Exámenes'!C136),'Base Exámenes'!$I$5:$I$1000,0),'Base Exámenes'!G136*1000000+(-1)*'Base Exámenes'!D136,""))</f>
        <v>99953695.5942361</v>
      </c>
      <c r="AQ136" t="str">
        <f>IF('Base Exámenes'!C136="","",IF(COUNTIF('Base Exámenes'!$C$5:$C$1000,'Base Exámenes'!C136)&lt;2,"",MATCH('Base Exámenes'!C136,'Base Exámenes'!$C$5:$C$1000,0)*10000+ROW()))</f>
        <v/>
      </c>
    </row>
    <row r="137">
      <c r="Z137">
        <f>IF('Detalle individual'!A137="","",IF(AND(OR('Estado por Colaborador'!$D$4="Todas las gerencias",'Detalle individual'!D137='Estado por Colaborador'!$D$4),OR('Estado por Colaborador'!$D$5="Todos los departamentos",TRIM('Detalle individual'!C137)='Estado por Colaborador'!$D$5),OR('Estado por Colaborador'!$D$6="Todos",'Detalle individual'!F137='Estado por Colaborador'!$D$6)),IF('Detalle individual'!F137="Completado",30000000,IF('Detalle individual'!F137="Pendiente",0,15000000))+COUNTIF('Detalle individual'!$C$5:$C$1000,"&lt;"&amp;'Detalle individual'!C137)*10000+ROW(),""))</f>
        <v>39660137</v>
      </c>
      <c r="AB137" t="str">
        <f>IF('Detalle individual'!C137="","",IF(COUNTIF('Detalle individual'!$C$5:C137,'Detalle individual'!C137)=1,COUNTIF('Detalle individual'!$C$5:$C$1000,"&lt;"&amp;'Detalle individual'!C137),""))</f>
        <v/>
      </c>
      <c r="AC137" t="str">
        <f>IF('Detalle individual'!D137="","",IF(COUNTIF('Detalle individual'!$D$5:D137,'Detalle individual'!D137)=1,COUNTIF('Detalle individual'!$D$5:$D$1000,"&lt;"&amp;'Detalle individual'!D137),""))</f>
        <v/>
      </c>
      <c r="AH137" t="str">
        <f>IF('Detalle individual'!F137="Pendiente",COUNTIF('Detalle individual'!$D$5:$D$1000,"&lt;"&amp;'Detalle individual'!D137)*1000000+COUNTIF('Detalle individual'!$C$5:$C$1000,"&lt;"&amp;'Detalle individual'!C137)*1000+COUNTIF('Detalle individual'!$B$5:$B$1000,"&lt;"&amp;'Detalle individual'!B137)+ROW()/10000,"")</f>
        <v/>
      </c>
      <c r="AI137">
        <f>IF('Detalle individual'!F137="Completado",COUNTIF('Detalle individual'!$D$5:$D$1000,"&lt;"&amp;'Detalle individual'!D137)*1000000+COUNTIF('Detalle individual'!$C$5:$C$1000,"&lt;"&amp;'Detalle individual'!C137)*1000+COUNTIF('Detalle individual'!$B$5:$B$1000,"&lt;"&amp;'Detalle individual'!B137)+ROW()/10000,"")</f>
        <v>764966977.0137</v>
      </c>
      <c r="AJ137" t="str">
        <f>IF(AND('Detalle individual'!F137&lt;&gt;"",'Detalle individual'!F137&lt;&gt;"Completado",'Detalle individual'!F137&lt;&gt;"Pendiente"),COUNTIF('Detalle individual'!$D$5:$D$1000,"&lt;"&amp;'Detalle individual'!D137)*1000000+COUNTIF('Detalle individual'!$C$5:$C$1000,"&lt;"&amp;'Detalle individual'!C137)*1000+COUNTIF('Detalle individual'!$B$5:$B$1000,"&lt;"&amp;'Detalle individual'!B137)+ROW()/10000,"")</f>
        <v/>
      </c>
      <c r="AK137">
        <f>IF(OR('Base Exámenes'!C137="",'Base Exámenes'!D137=""),"",IF(COUNTIF('Base Exámenes'!$C$5:C137,'Base Exámenes'!C137)=1,'Base Exámenes'!D137+ROW()/1000000000,""))</f>
        <v>46304.40687513889</v>
      </c>
      <c r="AL137">
        <f>IF(OR('Base Exámenes'!C137="",'Base Exámenes'!E137=""),"",IF(COUNTIF('Base Exámenes'!$C$5:C137,'Base Exámenes'!C137)=1,'Base Exámenes'!E137+ROW()/1000000000,""))</f>
        <v>46304.40962976852</v>
      </c>
      <c r="AM137">
        <f>IF(OR('Base Exámenes'!C137="",'Base Exámenes'!G137=""),"",IF(ROW()-4=MATCH('Base Exámenes'!C137&amp;"|"&amp;_xlfn.MAXIFS('Base Exámenes'!$G$5:$G$1000,'Base Exámenes'!$C$5:$C$1000,'Base Exámenes'!C137),'Base Exámenes'!$I$5:$I$1000,0),'Base Exámenes'!G137*1000000+(-1)*'Base Exámenes'!D137,""))</f>
        <v>99953695.593125</v>
      </c>
      <c r="AQ137" t="str">
        <f>IF('Base Exámenes'!C137="","",IF(COUNTIF('Base Exámenes'!$C$5:$C$1000,'Base Exámenes'!C137)&lt;2,"",MATCH('Base Exámenes'!C137,'Base Exámenes'!$C$5:$C$1000,0)*10000+ROW()))</f>
        <v/>
      </c>
    </row>
    <row r="138">
      <c r="Z138">
        <f>IF('Detalle individual'!A138="","",IF(AND(OR('Estado por Colaborador'!$D$4="Todas las gerencias",'Detalle individual'!D138='Estado por Colaborador'!$D$4),OR('Estado por Colaborador'!$D$5="Todos los departamentos",TRIM('Detalle individual'!C138)='Estado por Colaborador'!$D$5),OR('Estado por Colaborador'!$D$6="Todos",'Detalle individual'!F138='Estado por Colaborador'!$D$6)),IF('Detalle individual'!F138="Completado",30000000,IF('Detalle individual'!F138="Pendiente",0,15000000))+COUNTIF('Detalle individual'!$C$5:$C$1000,"&lt;"&amp;'Detalle individual'!C138)*10000+ROW(),""))</f>
        <v>39660138</v>
      </c>
      <c r="AB138" t="str">
        <f>IF('Detalle individual'!C138="","",IF(COUNTIF('Detalle individual'!$C$5:C138,'Detalle individual'!C138)=1,COUNTIF('Detalle individual'!$C$5:$C$1000,"&lt;"&amp;'Detalle individual'!C138),""))</f>
        <v/>
      </c>
      <c r="AC138" t="str">
        <f>IF('Detalle individual'!D138="","",IF(COUNTIF('Detalle individual'!$D$5:D138,'Detalle individual'!D138)=1,COUNTIF('Detalle individual'!$D$5:$D$1000,"&lt;"&amp;'Detalle individual'!D138),""))</f>
        <v/>
      </c>
      <c r="AH138" t="str">
        <f>IF('Detalle individual'!F138="Pendiente",COUNTIF('Detalle individual'!$D$5:$D$1000,"&lt;"&amp;'Detalle individual'!D138)*1000000+COUNTIF('Detalle individual'!$C$5:$C$1000,"&lt;"&amp;'Detalle individual'!C138)*1000+COUNTIF('Detalle individual'!$B$5:$B$1000,"&lt;"&amp;'Detalle individual'!B138)+ROW()/10000,"")</f>
        <v/>
      </c>
      <c r="AI138">
        <f>IF('Detalle individual'!F138="Completado",COUNTIF('Detalle individual'!$D$5:$D$1000,"&lt;"&amp;'Detalle individual'!D138)*1000000+COUNTIF('Detalle individual'!$C$5:$C$1000,"&lt;"&amp;'Detalle individual'!C138)*1000+COUNTIF('Detalle individual'!$B$5:$B$1000,"&lt;"&amp;'Detalle individual'!B138)+ROW()/10000,"")</f>
        <v>764966980.0138</v>
      </c>
      <c r="AJ138" t="str">
        <f>IF(AND('Detalle individual'!F138&lt;&gt;"",'Detalle individual'!F138&lt;&gt;"Completado",'Detalle individual'!F138&lt;&gt;"Pendiente"),COUNTIF('Detalle individual'!$D$5:$D$1000,"&lt;"&amp;'Detalle individual'!D138)*1000000+COUNTIF('Detalle individual'!$C$5:$C$1000,"&lt;"&amp;'Detalle individual'!C138)*1000+COUNTIF('Detalle individual'!$B$5:$B$1000,"&lt;"&amp;'Detalle individual'!B138)+ROW()/10000,"")</f>
        <v/>
      </c>
      <c r="AK138">
        <f>IF(OR('Base Exámenes'!C138="",'Base Exámenes'!D138=""),"",IF(COUNTIF('Base Exámenes'!$C$5:C138,'Base Exámenes'!C138)=1,'Base Exámenes'!D138+ROW()/1000000000,""))</f>
        <v>46304.405868194444</v>
      </c>
      <c r="AL138">
        <f>IF(OR('Base Exámenes'!C138="",'Base Exámenes'!E138=""),"",IF(COUNTIF('Base Exámenes'!$C$5:C138,'Base Exámenes'!C138)=1,'Base Exámenes'!E138+ROW()/1000000000,""))</f>
        <v>46304.4139700463</v>
      </c>
      <c r="AM138">
        <f>IF(OR('Base Exámenes'!C138="",'Base Exámenes'!G138=""),"",IF(ROW()-4=MATCH('Base Exámenes'!C138&amp;"|"&amp;_xlfn.MAXIFS('Base Exámenes'!$G$5:$G$1000,'Base Exámenes'!$C$5:$C$1000,'Base Exámenes'!C138),'Base Exámenes'!$I$5:$I$1000,0),'Base Exámenes'!G138*1000000+(-1)*'Base Exámenes'!D138,""))</f>
        <v>99953695.594132</v>
      </c>
      <c r="AQ138" t="str">
        <f>IF('Base Exámenes'!C138="","",IF(COUNTIF('Base Exámenes'!$C$5:$C$1000,'Base Exámenes'!C138)&lt;2,"",MATCH('Base Exámenes'!C138,'Base Exámenes'!$C$5:$C$1000,0)*10000+ROW()))</f>
        <v/>
      </c>
    </row>
    <row r="139">
      <c r="Z139">
        <f>IF('Detalle individual'!A139="","",IF(AND(OR('Estado por Colaborador'!$D$4="Todas las gerencias",'Detalle individual'!D139='Estado por Colaborador'!$D$4),OR('Estado por Colaborador'!$D$5="Todos los departamentos",TRIM('Detalle individual'!C139)='Estado por Colaborador'!$D$5),OR('Estado por Colaborador'!$D$6="Todos",'Detalle individual'!F139='Estado por Colaborador'!$D$6)),IF('Detalle individual'!F139="Completado",30000000,IF('Detalle individual'!F139="Pendiente",0,15000000))+COUNTIF('Detalle individual'!$C$5:$C$1000,"&lt;"&amp;'Detalle individual'!C139)*10000+ROW(),""))</f>
        <v>38320139</v>
      </c>
      <c r="AB139">
        <f>IF('Detalle individual'!C139="","",IF(COUNTIF('Detalle individual'!$C$5:C139,'Detalle individual'!C139)=1,COUNTIF('Detalle individual'!$C$5:$C$1000,"&lt;"&amp;'Detalle individual'!C139),""))</f>
        <v>832</v>
      </c>
      <c r="AC139" t="str">
        <f>IF('Detalle individual'!D139="","",IF(COUNTIF('Detalle individual'!$D$5:D139,'Detalle individual'!D139)=1,COUNTIF('Detalle individual'!$D$5:$D$1000,"&lt;"&amp;'Detalle individual'!D139),""))</f>
        <v/>
      </c>
      <c r="AH139" t="str">
        <f>IF('Detalle individual'!F139="Pendiente",COUNTIF('Detalle individual'!$D$5:$D$1000,"&lt;"&amp;'Detalle individual'!D139)*1000000+COUNTIF('Detalle individual'!$C$5:$C$1000,"&lt;"&amp;'Detalle individual'!C139)*1000+COUNTIF('Detalle individual'!$B$5:$B$1000,"&lt;"&amp;'Detalle individual'!B139)+ROW()/10000,"")</f>
        <v/>
      </c>
      <c r="AI139">
        <f>IF('Detalle individual'!F139="Completado",COUNTIF('Detalle individual'!$D$5:$D$1000,"&lt;"&amp;'Detalle individual'!D139)*1000000+COUNTIF('Detalle individual'!$C$5:$C$1000,"&lt;"&amp;'Detalle individual'!C139)*1000+COUNTIF('Detalle individual'!$B$5:$B$1000,"&lt;"&amp;'Detalle individual'!B139)+ROW()/10000,"")</f>
        <v>764832909.0139</v>
      </c>
      <c r="AJ139" t="str">
        <f>IF(AND('Detalle individual'!F139&lt;&gt;"",'Detalle individual'!F139&lt;&gt;"Completado",'Detalle individual'!F139&lt;&gt;"Pendiente"),COUNTIF('Detalle individual'!$D$5:$D$1000,"&lt;"&amp;'Detalle individual'!D139)*1000000+COUNTIF('Detalle individual'!$C$5:$C$1000,"&lt;"&amp;'Detalle individual'!C139)*1000+COUNTIF('Detalle individual'!$B$5:$B$1000,"&lt;"&amp;'Detalle individual'!B139)+ROW()/10000,"")</f>
        <v/>
      </c>
      <c r="AK139">
        <f>IF(OR('Base Exámenes'!C139="",'Base Exámenes'!D139=""),"",IF(COUNTIF('Base Exámenes'!$C$5:C139,'Base Exámenes'!C139)=1,'Base Exámenes'!D139+ROW()/1000000000,""))</f>
        <v>46304.416041805554</v>
      </c>
      <c r="AL139">
        <f>IF(OR('Base Exámenes'!C139="",'Base Exámenes'!E139=""),"",IF(COUNTIF('Base Exámenes'!$C$5:C139,'Base Exámenes'!C139)=1,'Base Exámenes'!E139+ROW()/1000000000,""))</f>
        <v>46304.42278949074</v>
      </c>
      <c r="AM139">
        <f>IF(OR('Base Exámenes'!C139="",'Base Exámenes'!G139=""),"",IF(ROW()-4=MATCH('Base Exámenes'!C139&amp;"|"&amp;_xlfn.MAXIFS('Base Exámenes'!$G$5:$G$1000,'Base Exámenes'!$C$5:$C$1000,'Base Exámenes'!C139),'Base Exámenes'!$I$5:$I$1000,0),'Base Exámenes'!G139*1000000+(-1)*'Base Exámenes'!D139,""))</f>
        <v>99953695.5839583</v>
      </c>
      <c r="AQ139" t="str">
        <f>IF('Base Exámenes'!C139="","",IF(COUNTIF('Base Exámenes'!$C$5:$C$1000,'Base Exámenes'!C139)&lt;2,"",MATCH('Base Exámenes'!C139,'Base Exámenes'!$C$5:$C$1000,0)*10000+ROW()))</f>
        <v/>
      </c>
    </row>
    <row r="140">
      <c r="Z140">
        <f>IF('Detalle individual'!A140="","",IF(AND(OR('Estado por Colaborador'!$D$4="Todas las gerencias",'Detalle individual'!D140='Estado por Colaborador'!$D$4),OR('Estado por Colaborador'!$D$5="Todos los departamentos",TRIM('Detalle individual'!C140)='Estado por Colaborador'!$D$5),OR('Estado por Colaborador'!$D$6="Todos",'Detalle individual'!F140='Estado por Colaborador'!$D$6)),IF('Detalle individual'!F140="Completado",30000000,IF('Detalle individual'!F140="Pendiente",0,15000000))+COUNTIF('Detalle individual'!$C$5:$C$1000,"&lt;"&amp;'Detalle individual'!C140)*10000+ROW(),""))</f>
        <v>38320140</v>
      </c>
      <c r="AB140" t="str">
        <f>IF('Detalle individual'!C140="","",IF(COUNTIF('Detalle individual'!$C$5:C140,'Detalle individual'!C140)=1,COUNTIF('Detalle individual'!$C$5:$C$1000,"&lt;"&amp;'Detalle individual'!C140),""))</f>
        <v/>
      </c>
      <c r="AC140" t="str">
        <f>IF('Detalle individual'!D140="","",IF(COUNTIF('Detalle individual'!$D$5:D140,'Detalle individual'!D140)=1,COUNTIF('Detalle individual'!$D$5:$D$1000,"&lt;"&amp;'Detalle individual'!D140),""))</f>
        <v/>
      </c>
      <c r="AH140" t="str">
        <f>IF('Detalle individual'!F140="Pendiente",COUNTIF('Detalle individual'!$D$5:$D$1000,"&lt;"&amp;'Detalle individual'!D140)*1000000+COUNTIF('Detalle individual'!$C$5:$C$1000,"&lt;"&amp;'Detalle individual'!C140)*1000+COUNTIF('Detalle individual'!$B$5:$B$1000,"&lt;"&amp;'Detalle individual'!B140)+ROW()/10000,"")</f>
        <v/>
      </c>
      <c r="AI140">
        <f>IF('Detalle individual'!F140="Completado",COUNTIF('Detalle individual'!$D$5:$D$1000,"&lt;"&amp;'Detalle individual'!D140)*1000000+COUNTIF('Detalle individual'!$C$5:$C$1000,"&lt;"&amp;'Detalle individual'!C140)*1000+COUNTIF('Detalle individual'!$B$5:$B$1000,"&lt;"&amp;'Detalle individual'!B140)+ROW()/10000,"")</f>
        <v>764832770.014</v>
      </c>
      <c r="AJ140" t="str">
        <f>IF(AND('Detalle individual'!F140&lt;&gt;"",'Detalle individual'!F140&lt;&gt;"Completado",'Detalle individual'!F140&lt;&gt;"Pendiente"),COUNTIF('Detalle individual'!$D$5:$D$1000,"&lt;"&amp;'Detalle individual'!D140)*1000000+COUNTIF('Detalle individual'!$C$5:$C$1000,"&lt;"&amp;'Detalle individual'!C140)*1000+COUNTIF('Detalle individual'!$B$5:$B$1000,"&lt;"&amp;'Detalle individual'!B140)+ROW()/10000,"")</f>
        <v/>
      </c>
      <c r="AK140">
        <f>IF(OR('Base Exámenes'!C140="",'Base Exámenes'!D140=""),"",IF(COUNTIF('Base Exámenes'!$C$5:C140,'Base Exámenes'!C140)=1,'Base Exámenes'!D140+ROW()/1000000000,""))</f>
        <v>46304.42932884259</v>
      </c>
      <c r="AL140">
        <f>IF(OR('Base Exámenes'!C140="",'Base Exámenes'!E140=""),"",IF(COUNTIF('Base Exámenes'!$C$5:C140,'Base Exámenes'!C140)=1,'Base Exámenes'!E140+ROW()/1000000000,""))</f>
        <v>46304.44460662037</v>
      </c>
      <c r="AM140">
        <f>IF(OR('Base Exámenes'!C140="",'Base Exámenes'!G140=""),"",IF(ROW()-4=MATCH('Base Exámenes'!C140&amp;"|"&amp;_xlfn.MAXIFS('Base Exámenes'!$G$5:$G$1000,'Base Exámenes'!$C$5:$C$1000,'Base Exámenes'!C140),'Base Exámenes'!$I$5:$I$1000,0),'Base Exámenes'!G140*1000000+(-1)*'Base Exámenes'!D140,""))</f>
        <v>89953695.5706713</v>
      </c>
      <c r="AQ140" t="str">
        <f>IF('Base Exámenes'!C140="","",IF(COUNTIF('Base Exámenes'!$C$5:$C$1000,'Base Exámenes'!C140)&lt;2,"",MATCH('Base Exámenes'!C140,'Base Exámenes'!$C$5:$C$1000,0)*10000+ROW()))</f>
        <v/>
      </c>
    </row>
    <row r="141">
      <c r="Z141">
        <f>IF('Detalle individual'!A141="","",IF(AND(OR('Estado por Colaborador'!$D$4="Todas las gerencias",'Detalle individual'!D141='Estado por Colaborador'!$D$4),OR('Estado por Colaborador'!$D$5="Todos los departamentos",TRIM('Detalle individual'!C141)='Estado por Colaborador'!$D$5),OR('Estado por Colaborador'!$D$6="Todos",'Detalle individual'!F141='Estado por Colaborador'!$D$6)),IF('Detalle individual'!F141="Completado",30000000,IF('Detalle individual'!F141="Pendiente",0,15000000))+COUNTIF('Detalle individual'!$C$5:$C$1000,"&lt;"&amp;'Detalle individual'!C141)*10000+ROW(),""))</f>
        <v>38320141</v>
      </c>
      <c r="AB141" t="str">
        <f>IF('Detalle individual'!C141="","",IF(COUNTIF('Detalle individual'!$C$5:C141,'Detalle individual'!C141)=1,COUNTIF('Detalle individual'!$C$5:$C$1000,"&lt;"&amp;'Detalle individual'!C141),""))</f>
        <v/>
      </c>
      <c r="AC141" t="str">
        <f>IF('Detalle individual'!D141="","",IF(COUNTIF('Detalle individual'!$D$5:D141,'Detalle individual'!D141)=1,COUNTIF('Detalle individual'!$D$5:$D$1000,"&lt;"&amp;'Detalle individual'!D141),""))</f>
        <v/>
      </c>
      <c r="AH141" t="str">
        <f>IF('Detalle individual'!F141="Pendiente",COUNTIF('Detalle individual'!$D$5:$D$1000,"&lt;"&amp;'Detalle individual'!D141)*1000000+COUNTIF('Detalle individual'!$C$5:$C$1000,"&lt;"&amp;'Detalle individual'!C141)*1000+COUNTIF('Detalle individual'!$B$5:$B$1000,"&lt;"&amp;'Detalle individual'!B141)+ROW()/10000,"")</f>
        <v/>
      </c>
      <c r="AI141">
        <f>IF('Detalle individual'!F141="Completado",COUNTIF('Detalle individual'!$D$5:$D$1000,"&lt;"&amp;'Detalle individual'!D141)*1000000+COUNTIF('Detalle individual'!$C$5:$C$1000,"&lt;"&amp;'Detalle individual'!C141)*1000+COUNTIF('Detalle individual'!$B$5:$B$1000,"&lt;"&amp;'Detalle individual'!B141)+ROW()/10000,"")</f>
        <v>764832872.0141</v>
      </c>
      <c r="AJ141" t="str">
        <f>IF(AND('Detalle individual'!F141&lt;&gt;"",'Detalle individual'!F141&lt;&gt;"Completado",'Detalle individual'!F141&lt;&gt;"Pendiente"),COUNTIF('Detalle individual'!$D$5:$D$1000,"&lt;"&amp;'Detalle individual'!D141)*1000000+COUNTIF('Detalle individual'!$C$5:$C$1000,"&lt;"&amp;'Detalle individual'!C141)*1000+COUNTIF('Detalle individual'!$B$5:$B$1000,"&lt;"&amp;'Detalle individual'!B141)+ROW()/10000,"")</f>
        <v/>
      </c>
      <c r="AK141">
        <f>IF(OR('Base Exámenes'!C141="",'Base Exámenes'!D141=""),"",IF(COUNTIF('Base Exámenes'!$C$5:C141,'Base Exámenes'!C141)=1,'Base Exámenes'!D141+ROW()/1000000000,""))</f>
        <v>46304.494108935185</v>
      </c>
      <c r="AL141">
        <f>IF(OR('Base Exámenes'!C141="",'Base Exámenes'!E141=""),"",IF(COUNTIF('Base Exámenes'!$C$5:C141,'Base Exámenes'!C141)=1,'Base Exámenes'!E141+ROW()/1000000000,""))</f>
        <v>46304.51201402778</v>
      </c>
      <c r="AM141">
        <f>IF(OR('Base Exámenes'!C141="",'Base Exámenes'!G141=""),"",IF(ROW()-4=MATCH('Base Exámenes'!C141&amp;"|"&amp;_xlfn.MAXIFS('Base Exámenes'!$G$5:$G$1000,'Base Exámenes'!$C$5:$C$1000,'Base Exámenes'!C141),'Base Exámenes'!$I$5:$I$1000,0),'Base Exámenes'!G141*1000000+(-1)*'Base Exámenes'!D141,""))</f>
        <v>99953695.5058912</v>
      </c>
      <c r="AQ141" t="str">
        <f>IF('Base Exámenes'!C141="","",IF(COUNTIF('Base Exámenes'!$C$5:$C$1000,'Base Exámenes'!C141)&lt;2,"",MATCH('Base Exámenes'!C141,'Base Exámenes'!$C$5:$C$1000,0)*10000+ROW()))</f>
        <v/>
      </c>
    </row>
    <row r="142">
      <c r="Z142">
        <f>IF('Detalle individual'!A142="","",IF(AND(OR('Estado por Colaborador'!$D$4="Todas las gerencias",'Detalle individual'!D142='Estado por Colaborador'!$D$4),OR('Estado por Colaborador'!$D$5="Todos los departamentos",TRIM('Detalle individual'!C142)='Estado por Colaborador'!$D$5),OR('Estado por Colaborador'!$D$6="Todos",'Detalle individual'!F142='Estado por Colaborador'!$D$6)),IF('Detalle individual'!F142="Completado",30000000,IF('Detalle individual'!F142="Pendiente",0,15000000))+COUNTIF('Detalle individual'!$C$5:$C$1000,"&lt;"&amp;'Detalle individual'!C142)*10000+ROW(),""))</f>
        <v>38320142</v>
      </c>
      <c r="AB142" t="str">
        <f>IF('Detalle individual'!C142="","",IF(COUNTIF('Detalle individual'!$C$5:C142,'Detalle individual'!C142)=1,COUNTIF('Detalle individual'!$C$5:$C$1000,"&lt;"&amp;'Detalle individual'!C142),""))</f>
        <v/>
      </c>
      <c r="AC142" t="str">
        <f>IF('Detalle individual'!D142="","",IF(COUNTIF('Detalle individual'!$D$5:D142,'Detalle individual'!D142)=1,COUNTIF('Detalle individual'!$D$5:$D$1000,"&lt;"&amp;'Detalle individual'!D142),""))</f>
        <v/>
      </c>
      <c r="AH142" t="str">
        <f>IF('Detalle individual'!F142="Pendiente",COUNTIF('Detalle individual'!$D$5:$D$1000,"&lt;"&amp;'Detalle individual'!D142)*1000000+COUNTIF('Detalle individual'!$C$5:$C$1000,"&lt;"&amp;'Detalle individual'!C142)*1000+COUNTIF('Detalle individual'!$B$5:$B$1000,"&lt;"&amp;'Detalle individual'!B142)+ROW()/10000,"")</f>
        <v/>
      </c>
      <c r="AI142">
        <f>IF('Detalle individual'!F142="Completado",COUNTIF('Detalle individual'!$D$5:$D$1000,"&lt;"&amp;'Detalle individual'!D142)*1000000+COUNTIF('Detalle individual'!$C$5:$C$1000,"&lt;"&amp;'Detalle individual'!C142)*1000+COUNTIF('Detalle individual'!$B$5:$B$1000,"&lt;"&amp;'Detalle individual'!B142)+ROW()/10000,"")</f>
        <v>764832774.0142</v>
      </c>
      <c r="AJ142" t="str">
        <f>IF(AND('Detalle individual'!F142&lt;&gt;"",'Detalle individual'!F142&lt;&gt;"Completado",'Detalle individual'!F142&lt;&gt;"Pendiente"),COUNTIF('Detalle individual'!$D$5:$D$1000,"&lt;"&amp;'Detalle individual'!D142)*1000000+COUNTIF('Detalle individual'!$C$5:$C$1000,"&lt;"&amp;'Detalle individual'!C142)*1000+COUNTIF('Detalle individual'!$B$5:$B$1000,"&lt;"&amp;'Detalle individual'!B142)+ROW()/10000,"")</f>
        <v/>
      </c>
      <c r="AK142">
        <f>IF(OR('Base Exámenes'!C142="",'Base Exámenes'!D142=""),"",IF(COUNTIF('Base Exámenes'!$C$5:C142,'Base Exámenes'!C142)=1,'Base Exámenes'!D142+ROW()/1000000000,""))</f>
        <v>46304.51767375</v>
      </c>
      <c r="AL142">
        <f>IF(OR('Base Exámenes'!C142="",'Base Exámenes'!E142=""),"",IF(COUNTIF('Base Exámenes'!$C$5:C142,'Base Exámenes'!C142)=1,'Base Exámenes'!E142+ROW()/1000000000,""))</f>
        <v>46304.52078717593</v>
      </c>
      <c r="AM142">
        <f>IF(OR('Base Exámenes'!C142="",'Base Exámenes'!G142=""),"",IF(ROW()-4=MATCH('Base Exámenes'!C142&amp;"|"&amp;_xlfn.MAXIFS('Base Exámenes'!$G$5:$G$1000,'Base Exámenes'!$C$5:$C$1000,'Base Exámenes'!C142),'Base Exámenes'!$I$5:$I$1000,0),'Base Exámenes'!G142*1000000+(-1)*'Base Exámenes'!D142,""))</f>
        <v>89953695.4823264</v>
      </c>
      <c r="AQ142" t="str">
        <f>IF('Base Exámenes'!C142="","",IF(COUNTIF('Base Exámenes'!$C$5:$C$1000,'Base Exámenes'!C142)&lt;2,"",MATCH('Base Exámenes'!C142,'Base Exámenes'!$C$5:$C$1000,0)*10000+ROW()))</f>
        <v/>
      </c>
    </row>
    <row r="143">
      <c r="Z143">
        <f>IF('Detalle individual'!A143="","",IF(AND(OR('Estado por Colaborador'!$D$4="Todas las gerencias",'Detalle individual'!D143='Estado por Colaborador'!$D$4),OR('Estado por Colaborador'!$D$5="Todos los departamentos",TRIM('Detalle individual'!C143)='Estado por Colaborador'!$D$5),OR('Estado por Colaborador'!$D$6="Todos",'Detalle individual'!F143='Estado por Colaborador'!$D$6)),IF('Detalle individual'!F143="Completado",30000000,IF('Detalle individual'!F143="Pendiente",0,15000000))+COUNTIF('Detalle individual'!$C$5:$C$1000,"&lt;"&amp;'Detalle individual'!C143)*10000+ROW(),""))</f>
        <v>38320143</v>
      </c>
      <c r="AB143" t="str">
        <f>IF('Detalle individual'!C143="","",IF(COUNTIF('Detalle individual'!$C$5:C143,'Detalle individual'!C143)=1,COUNTIF('Detalle individual'!$C$5:$C$1000,"&lt;"&amp;'Detalle individual'!C143),""))</f>
        <v/>
      </c>
      <c r="AC143" t="str">
        <f>IF('Detalle individual'!D143="","",IF(COUNTIF('Detalle individual'!$D$5:D143,'Detalle individual'!D143)=1,COUNTIF('Detalle individual'!$D$5:$D$1000,"&lt;"&amp;'Detalle individual'!D143),""))</f>
        <v/>
      </c>
      <c r="AH143" t="str">
        <f>IF('Detalle individual'!F143="Pendiente",COUNTIF('Detalle individual'!$D$5:$D$1000,"&lt;"&amp;'Detalle individual'!D143)*1000000+COUNTIF('Detalle individual'!$C$5:$C$1000,"&lt;"&amp;'Detalle individual'!C143)*1000+COUNTIF('Detalle individual'!$B$5:$B$1000,"&lt;"&amp;'Detalle individual'!B143)+ROW()/10000,"")</f>
        <v/>
      </c>
      <c r="AI143">
        <f>IF('Detalle individual'!F143="Completado",COUNTIF('Detalle individual'!$D$5:$D$1000,"&lt;"&amp;'Detalle individual'!D143)*1000000+COUNTIF('Detalle individual'!$C$5:$C$1000,"&lt;"&amp;'Detalle individual'!C143)*1000+COUNTIF('Detalle individual'!$B$5:$B$1000,"&lt;"&amp;'Detalle individual'!B143)+ROW()/10000,"")</f>
        <v>764832780.0143</v>
      </c>
      <c r="AJ143" t="str">
        <f>IF(AND('Detalle individual'!F143&lt;&gt;"",'Detalle individual'!F143&lt;&gt;"Completado",'Detalle individual'!F143&lt;&gt;"Pendiente"),COUNTIF('Detalle individual'!$D$5:$D$1000,"&lt;"&amp;'Detalle individual'!D143)*1000000+COUNTIF('Detalle individual'!$C$5:$C$1000,"&lt;"&amp;'Detalle individual'!C143)*1000+COUNTIF('Detalle individual'!$B$5:$B$1000,"&lt;"&amp;'Detalle individual'!B143)+ROW()/10000,"")</f>
        <v/>
      </c>
      <c r="AK143">
        <f>IF(OR('Base Exámenes'!C143="",'Base Exámenes'!D143=""),"",IF(COUNTIF('Base Exámenes'!$C$5:C143,'Base Exámenes'!C143)=1,'Base Exámenes'!D143+ROW()/1000000000,""))</f>
        <v>46304.510463101855</v>
      </c>
      <c r="AL143">
        <f>IF(OR('Base Exámenes'!C143="",'Base Exámenes'!E143=""),"",IF(COUNTIF('Base Exámenes'!$C$5:C143,'Base Exámenes'!C143)=1,'Base Exámenes'!E143+ROW()/1000000000,""))</f>
        <v>46304.52142375</v>
      </c>
      <c r="AM143">
        <f>IF(OR('Base Exámenes'!C143="",'Base Exámenes'!G143=""),"",IF(ROW()-4=MATCH('Base Exámenes'!C143&amp;"|"&amp;_xlfn.MAXIFS('Base Exámenes'!$G$5:$G$1000,'Base Exámenes'!$C$5:$C$1000,'Base Exámenes'!C143),'Base Exámenes'!$I$5:$I$1000,0),'Base Exámenes'!G143*1000000+(-1)*'Base Exámenes'!D143,""))</f>
        <v>89953695.489537</v>
      </c>
      <c r="AQ143" t="str">
        <f>IF('Base Exámenes'!C143="","",IF(COUNTIF('Base Exámenes'!$C$5:$C$1000,'Base Exámenes'!C143)&lt;2,"",MATCH('Base Exámenes'!C143,'Base Exámenes'!$C$5:$C$1000,0)*10000+ROW()))</f>
        <v/>
      </c>
    </row>
    <row r="144">
      <c r="Z144">
        <f>IF('Detalle individual'!A144="","",IF(AND(OR('Estado por Colaborador'!$D$4="Todas las gerencias",'Detalle individual'!D144='Estado por Colaborador'!$D$4),OR('Estado por Colaborador'!$D$5="Todos los departamentos",TRIM('Detalle individual'!C144)='Estado por Colaborador'!$D$5),OR('Estado por Colaborador'!$D$6="Todos",'Detalle individual'!F144='Estado por Colaborador'!$D$6)),IF('Detalle individual'!F144="Completado",30000000,IF('Detalle individual'!F144="Pendiente",0,15000000))+COUNTIF('Detalle individual'!$C$5:$C$1000,"&lt;"&amp;'Detalle individual'!C144)*10000+ROW(),""))</f>
        <v>38320144</v>
      </c>
      <c r="AB144" t="str">
        <f>IF('Detalle individual'!C144="","",IF(COUNTIF('Detalle individual'!$C$5:C144,'Detalle individual'!C144)=1,COUNTIF('Detalle individual'!$C$5:$C$1000,"&lt;"&amp;'Detalle individual'!C144),""))</f>
        <v/>
      </c>
      <c r="AC144" t="str">
        <f>IF('Detalle individual'!D144="","",IF(COUNTIF('Detalle individual'!$D$5:D144,'Detalle individual'!D144)=1,COUNTIF('Detalle individual'!$D$5:$D$1000,"&lt;"&amp;'Detalle individual'!D144),""))</f>
        <v/>
      </c>
      <c r="AH144" t="str">
        <f>IF('Detalle individual'!F144="Pendiente",COUNTIF('Detalle individual'!$D$5:$D$1000,"&lt;"&amp;'Detalle individual'!D144)*1000000+COUNTIF('Detalle individual'!$C$5:$C$1000,"&lt;"&amp;'Detalle individual'!C144)*1000+COUNTIF('Detalle individual'!$B$5:$B$1000,"&lt;"&amp;'Detalle individual'!B144)+ROW()/10000,"")</f>
        <v/>
      </c>
      <c r="AI144">
        <f>IF('Detalle individual'!F144="Completado",COUNTIF('Detalle individual'!$D$5:$D$1000,"&lt;"&amp;'Detalle individual'!D144)*1000000+COUNTIF('Detalle individual'!$C$5:$C$1000,"&lt;"&amp;'Detalle individual'!C144)*1000+COUNTIF('Detalle individual'!$B$5:$B$1000,"&lt;"&amp;'Detalle individual'!B144)+ROW()/10000,"")</f>
        <v>764832703.0144</v>
      </c>
      <c r="AJ144" t="str">
        <f>IF(AND('Detalle individual'!F144&lt;&gt;"",'Detalle individual'!F144&lt;&gt;"Completado",'Detalle individual'!F144&lt;&gt;"Pendiente"),COUNTIF('Detalle individual'!$D$5:$D$1000,"&lt;"&amp;'Detalle individual'!D144)*1000000+COUNTIF('Detalle individual'!$C$5:$C$1000,"&lt;"&amp;'Detalle individual'!C144)*1000+COUNTIF('Detalle individual'!$B$5:$B$1000,"&lt;"&amp;'Detalle individual'!B144)+ROW()/10000,"")</f>
        <v/>
      </c>
      <c r="AK144">
        <f>IF(OR('Base Exámenes'!C144="",'Base Exámenes'!D144=""),"",IF(COUNTIF('Base Exámenes'!$C$5:C144,'Base Exámenes'!C144)=1,'Base Exámenes'!D144+ROW()/1000000000,""))</f>
        <v>46304.56408578704</v>
      </c>
      <c r="AL144">
        <f>IF(OR('Base Exámenes'!C144="",'Base Exámenes'!E144=""),"",IF(COUNTIF('Base Exámenes'!$C$5:C144,'Base Exámenes'!C144)=1,'Base Exámenes'!E144+ROW()/1000000000,""))</f>
        <v>46304.56716449074</v>
      </c>
      <c r="AM144">
        <f>IF(OR('Base Exámenes'!C144="",'Base Exámenes'!G144=""),"",IF(ROW()-4=MATCH('Base Exámenes'!C144&amp;"|"&amp;_xlfn.MAXIFS('Base Exámenes'!$G$5:$G$1000,'Base Exámenes'!$C$5:$C$1000,'Base Exámenes'!C144),'Base Exámenes'!$I$5:$I$1000,0),'Base Exámenes'!G144*1000000+(-1)*'Base Exámenes'!D144,""))</f>
        <v>99953695.4359144</v>
      </c>
      <c r="AQ144" t="str">
        <f>IF('Base Exámenes'!C144="","",IF(COUNTIF('Base Exámenes'!$C$5:$C$1000,'Base Exámenes'!C144)&lt;2,"",MATCH('Base Exámenes'!C144,'Base Exámenes'!$C$5:$C$1000,0)*10000+ROW()))</f>
        <v/>
      </c>
    </row>
    <row r="145">
      <c r="Z145">
        <f>IF('Detalle individual'!A145="","",IF(AND(OR('Estado por Colaborador'!$D$4="Todas las gerencias",'Detalle individual'!D145='Estado por Colaborador'!$D$4),OR('Estado por Colaborador'!$D$5="Todos los departamentos",TRIM('Detalle individual'!C145)='Estado por Colaborador'!$D$5),OR('Estado por Colaborador'!$D$6="Todos",'Detalle individual'!F145='Estado por Colaborador'!$D$6)),IF('Detalle individual'!F145="Completado",30000000,IF('Detalle individual'!F145="Pendiente",0,15000000))+COUNTIF('Detalle individual'!$C$5:$C$1000,"&lt;"&amp;'Detalle individual'!C145)*10000+ROW(),""))</f>
        <v>38850145</v>
      </c>
      <c r="AB145">
        <f>IF('Detalle individual'!C145="","",IF(COUNTIF('Detalle individual'!$C$5:C145,'Detalle individual'!C145)=1,COUNTIF('Detalle individual'!$C$5:$C$1000,"&lt;"&amp;'Detalle individual'!C145),""))</f>
        <v>885</v>
      </c>
      <c r="AC145" t="str">
        <f>IF('Detalle individual'!D145="","",IF(COUNTIF('Detalle individual'!$D$5:D145,'Detalle individual'!D145)=1,COUNTIF('Detalle individual'!$D$5:$D$1000,"&lt;"&amp;'Detalle individual'!D145),""))</f>
        <v/>
      </c>
      <c r="AH145" t="str">
        <f>IF('Detalle individual'!F145="Pendiente",COUNTIF('Detalle individual'!$D$5:$D$1000,"&lt;"&amp;'Detalle individual'!D145)*1000000+COUNTIF('Detalle individual'!$C$5:$C$1000,"&lt;"&amp;'Detalle individual'!C145)*1000+COUNTIF('Detalle individual'!$B$5:$B$1000,"&lt;"&amp;'Detalle individual'!B145)+ROW()/10000,"")</f>
        <v/>
      </c>
      <c r="AI145">
        <f>IF('Detalle individual'!F145="Completado",COUNTIF('Detalle individual'!$D$5:$D$1000,"&lt;"&amp;'Detalle individual'!D145)*1000000+COUNTIF('Detalle individual'!$C$5:$C$1000,"&lt;"&amp;'Detalle individual'!C145)*1000+COUNTIF('Detalle individual'!$B$5:$B$1000,"&lt;"&amp;'Detalle individual'!B145)+ROW()/10000,"")</f>
        <v>764885822.0145</v>
      </c>
      <c r="AJ145" t="str">
        <f>IF(AND('Detalle individual'!F145&lt;&gt;"",'Detalle individual'!F145&lt;&gt;"Completado",'Detalle individual'!F145&lt;&gt;"Pendiente"),COUNTIF('Detalle individual'!$D$5:$D$1000,"&lt;"&amp;'Detalle individual'!D145)*1000000+COUNTIF('Detalle individual'!$C$5:$C$1000,"&lt;"&amp;'Detalle individual'!C145)*1000+COUNTIF('Detalle individual'!$B$5:$B$1000,"&lt;"&amp;'Detalle individual'!B145)+ROW()/10000,"")</f>
        <v/>
      </c>
      <c r="AK145">
        <f>IF(OR('Base Exámenes'!C145="",'Base Exámenes'!D145=""),"",IF(COUNTIF('Base Exámenes'!$C$5:C145,'Base Exámenes'!C145)=1,'Base Exámenes'!D145+ROW()/1000000000,""))</f>
        <v>46304.574317280094</v>
      </c>
      <c r="AL145">
        <f>IF(OR('Base Exámenes'!C145="",'Base Exámenes'!E145=""),"",IF(COUNTIF('Base Exámenes'!$C$5:C145,'Base Exámenes'!C145)=1,'Base Exámenes'!E145+ROW()/1000000000,""))</f>
        <v>46304.579398298614</v>
      </c>
      <c r="AM145">
        <f>IF(OR('Base Exámenes'!C145="",'Base Exámenes'!G145=""),"",IF(ROW()-4=MATCH('Base Exámenes'!C145&amp;"|"&amp;_xlfn.MAXIFS('Base Exámenes'!$G$5:$G$1000,'Base Exámenes'!$C$5:$C$1000,'Base Exámenes'!C145),'Base Exámenes'!$I$5:$I$1000,0),'Base Exámenes'!G145*1000000+(-1)*'Base Exámenes'!D145,""))</f>
        <v>94953695.4256829</v>
      </c>
      <c r="AQ145" t="str">
        <f>IF('Base Exámenes'!C145="","",IF(COUNTIF('Base Exámenes'!$C$5:$C$1000,'Base Exámenes'!C145)&lt;2,"",MATCH('Base Exámenes'!C145,'Base Exámenes'!$C$5:$C$1000,0)*10000+ROW()))</f>
        <v/>
      </c>
    </row>
    <row r="146">
      <c r="Z146">
        <f>IF('Detalle individual'!A146="","",IF(AND(OR('Estado por Colaborador'!$D$4="Todas las gerencias",'Detalle individual'!D146='Estado por Colaborador'!$D$4),OR('Estado por Colaborador'!$D$5="Todos los departamentos",TRIM('Detalle individual'!C146)='Estado por Colaborador'!$D$5),OR('Estado por Colaborador'!$D$6="Todos",'Detalle individual'!F146='Estado por Colaborador'!$D$6)),IF('Detalle individual'!F146="Completado",30000000,IF('Detalle individual'!F146="Pendiente",0,15000000))+COUNTIF('Detalle individual'!$C$5:$C$1000,"&lt;"&amp;'Detalle individual'!C146)*10000+ROW(),""))</f>
        <v>38850146</v>
      </c>
      <c r="AB146" t="str">
        <f>IF('Detalle individual'!C146="","",IF(COUNTIF('Detalle individual'!$C$5:C146,'Detalle individual'!C146)=1,COUNTIF('Detalle individual'!$C$5:$C$1000,"&lt;"&amp;'Detalle individual'!C146),""))</f>
        <v/>
      </c>
      <c r="AC146" t="str">
        <f>IF('Detalle individual'!D146="","",IF(COUNTIF('Detalle individual'!$D$5:D146,'Detalle individual'!D146)=1,COUNTIF('Detalle individual'!$D$5:$D$1000,"&lt;"&amp;'Detalle individual'!D146),""))</f>
        <v/>
      </c>
      <c r="AH146" t="str">
        <f>IF('Detalle individual'!F146="Pendiente",COUNTIF('Detalle individual'!$D$5:$D$1000,"&lt;"&amp;'Detalle individual'!D146)*1000000+COUNTIF('Detalle individual'!$C$5:$C$1000,"&lt;"&amp;'Detalle individual'!C146)*1000+COUNTIF('Detalle individual'!$B$5:$B$1000,"&lt;"&amp;'Detalle individual'!B146)+ROW()/10000,"")</f>
        <v/>
      </c>
      <c r="AI146">
        <f>IF('Detalle individual'!F146="Completado",COUNTIF('Detalle individual'!$D$5:$D$1000,"&lt;"&amp;'Detalle individual'!D146)*1000000+COUNTIF('Detalle individual'!$C$5:$C$1000,"&lt;"&amp;'Detalle individual'!C146)*1000+COUNTIF('Detalle individual'!$B$5:$B$1000,"&lt;"&amp;'Detalle individual'!B146)+ROW()/10000,"")</f>
        <v>764885850.0146</v>
      </c>
      <c r="AJ146" t="str">
        <f>IF(AND('Detalle individual'!F146&lt;&gt;"",'Detalle individual'!F146&lt;&gt;"Completado",'Detalle individual'!F146&lt;&gt;"Pendiente"),COUNTIF('Detalle individual'!$D$5:$D$1000,"&lt;"&amp;'Detalle individual'!D146)*1000000+COUNTIF('Detalle individual'!$C$5:$C$1000,"&lt;"&amp;'Detalle individual'!C146)*1000+COUNTIF('Detalle individual'!$B$5:$B$1000,"&lt;"&amp;'Detalle individual'!B146)+ROW()/10000,"")</f>
        <v/>
      </c>
      <c r="AK146">
        <f>IF(OR('Base Exámenes'!C146="",'Base Exámenes'!D146=""),"",IF(COUNTIF('Base Exámenes'!$C$5:C146,'Base Exámenes'!C146)=1,'Base Exámenes'!D146+ROW()/1000000000,""))</f>
        <v>46304.66388903935</v>
      </c>
      <c r="AL146">
        <f>IF(OR('Base Exámenes'!C146="",'Base Exámenes'!E146=""),"",IF(COUNTIF('Base Exámenes'!$C$5:C146,'Base Exámenes'!C146)=1,'Base Exámenes'!E146+ROW()/1000000000,""))</f>
        <v>46304.676446909725</v>
      </c>
      <c r="AM146">
        <f>IF(OR('Base Exámenes'!C146="",'Base Exámenes'!G146=""),"",IF(ROW()-4=MATCH('Base Exámenes'!C146&amp;"|"&amp;_xlfn.MAXIFS('Base Exámenes'!$G$5:$G$1000,'Base Exámenes'!$C$5:$C$1000,'Base Exámenes'!C146),'Base Exámenes'!$I$5:$I$1000,0),'Base Exámenes'!G146*1000000+(-1)*'Base Exámenes'!D146,""))</f>
        <v>99953695.3361111</v>
      </c>
      <c r="AQ146" t="str">
        <f>IF('Base Exámenes'!C146="","",IF(COUNTIF('Base Exámenes'!$C$5:$C$1000,'Base Exámenes'!C146)&lt;2,"",MATCH('Base Exámenes'!C146,'Base Exámenes'!$C$5:$C$1000,0)*10000+ROW()))</f>
        <v/>
      </c>
    </row>
    <row r="147">
      <c r="Z147">
        <f>IF('Detalle individual'!A147="","",IF(AND(OR('Estado por Colaborador'!$D$4="Todas las gerencias",'Detalle individual'!D147='Estado por Colaborador'!$D$4),OR('Estado por Colaborador'!$D$5="Todos los departamentos",TRIM('Detalle individual'!C147)='Estado por Colaborador'!$D$5),OR('Estado por Colaborador'!$D$6="Todos",'Detalle individual'!F147='Estado por Colaborador'!$D$6)),IF('Detalle individual'!F147="Completado",30000000,IF('Detalle individual'!F147="Pendiente",0,15000000))+COUNTIF('Detalle individual'!$C$5:$C$1000,"&lt;"&amp;'Detalle individual'!C147)*10000+ROW(),""))</f>
        <v>38850147</v>
      </c>
      <c r="AB147" t="str">
        <f>IF('Detalle individual'!C147="","",IF(COUNTIF('Detalle individual'!$C$5:C147,'Detalle individual'!C147)=1,COUNTIF('Detalle individual'!$C$5:$C$1000,"&lt;"&amp;'Detalle individual'!C147),""))</f>
        <v/>
      </c>
      <c r="AC147" t="str">
        <f>IF('Detalle individual'!D147="","",IF(COUNTIF('Detalle individual'!$D$5:D147,'Detalle individual'!D147)=1,COUNTIF('Detalle individual'!$D$5:$D$1000,"&lt;"&amp;'Detalle individual'!D147),""))</f>
        <v/>
      </c>
      <c r="AH147" t="str">
        <f>IF('Detalle individual'!F147="Pendiente",COUNTIF('Detalle individual'!$D$5:$D$1000,"&lt;"&amp;'Detalle individual'!D147)*1000000+COUNTIF('Detalle individual'!$C$5:$C$1000,"&lt;"&amp;'Detalle individual'!C147)*1000+COUNTIF('Detalle individual'!$B$5:$B$1000,"&lt;"&amp;'Detalle individual'!B147)+ROW()/10000,"")</f>
        <v/>
      </c>
      <c r="AI147">
        <f>IF('Detalle individual'!F147="Completado",COUNTIF('Detalle individual'!$D$5:$D$1000,"&lt;"&amp;'Detalle individual'!D147)*1000000+COUNTIF('Detalle individual'!$C$5:$C$1000,"&lt;"&amp;'Detalle individual'!C147)*1000+COUNTIF('Detalle individual'!$B$5:$B$1000,"&lt;"&amp;'Detalle individual'!B147)+ROW()/10000,"")</f>
        <v>764885744.0147</v>
      </c>
      <c r="AJ147" t="str">
        <f>IF(AND('Detalle individual'!F147&lt;&gt;"",'Detalle individual'!F147&lt;&gt;"Completado",'Detalle individual'!F147&lt;&gt;"Pendiente"),COUNTIF('Detalle individual'!$D$5:$D$1000,"&lt;"&amp;'Detalle individual'!D147)*1000000+COUNTIF('Detalle individual'!$C$5:$C$1000,"&lt;"&amp;'Detalle individual'!C147)*1000+COUNTIF('Detalle individual'!$B$5:$B$1000,"&lt;"&amp;'Detalle individual'!B147)+ROW()/10000,"")</f>
        <v/>
      </c>
      <c r="AK147">
        <f>IF(OR('Base Exámenes'!C147="",'Base Exámenes'!D147=""),"",IF(COUNTIF('Base Exámenes'!$C$5:C147,'Base Exámenes'!C147)=1,'Base Exámenes'!D147+ROW()/1000000000,""))</f>
        <v>46304.675451539355</v>
      </c>
      <c r="AL147">
        <f>IF(OR('Base Exámenes'!C147="",'Base Exámenes'!E147=""),"",IF(COUNTIF('Base Exámenes'!$C$5:C147,'Base Exámenes'!C147)=1,'Base Exámenes'!E147+ROW()/1000000000,""))</f>
        <v>46304.678507094904</v>
      </c>
      <c r="AM147">
        <f>IF(OR('Base Exámenes'!C147="",'Base Exámenes'!G147=""),"",IF(ROW()-4=MATCH('Base Exámenes'!C147&amp;"|"&amp;_xlfn.MAXIFS('Base Exámenes'!$G$5:$G$1000,'Base Exámenes'!$C$5:$C$1000,'Base Exámenes'!C147),'Base Exámenes'!$I$5:$I$1000,0),'Base Exámenes'!G147*1000000+(-1)*'Base Exámenes'!D147,""))</f>
        <v>79953695.3245486</v>
      </c>
      <c r="AQ147" t="str">
        <f>IF('Base Exámenes'!C147="","",IF(COUNTIF('Base Exámenes'!$C$5:$C$1000,'Base Exámenes'!C147)&lt;2,"",MATCH('Base Exámenes'!C147,'Base Exámenes'!$C$5:$C$1000,0)*10000+ROW()))</f>
        <v/>
      </c>
    </row>
    <row r="148">
      <c r="Z148">
        <f>IF('Detalle individual'!A148="","",IF(AND(OR('Estado por Colaborador'!$D$4="Todas las gerencias",'Detalle individual'!D148='Estado por Colaborador'!$D$4),OR('Estado por Colaborador'!$D$5="Todos los departamentos",TRIM('Detalle individual'!C148)='Estado por Colaborador'!$D$5),OR('Estado por Colaborador'!$D$6="Todos",'Detalle individual'!F148='Estado por Colaborador'!$D$6)),IF('Detalle individual'!F148="Completado",30000000,IF('Detalle individual'!F148="Pendiente",0,15000000))+COUNTIF('Detalle individual'!$C$5:$C$1000,"&lt;"&amp;'Detalle individual'!C148)*10000+ROW(),""))</f>
        <v>38850148</v>
      </c>
      <c r="AB148" t="str">
        <f>IF('Detalle individual'!C148="","",IF(COUNTIF('Detalle individual'!$C$5:C148,'Detalle individual'!C148)=1,COUNTIF('Detalle individual'!$C$5:$C$1000,"&lt;"&amp;'Detalle individual'!C148),""))</f>
        <v/>
      </c>
      <c r="AC148" t="str">
        <f>IF('Detalle individual'!D148="","",IF(COUNTIF('Detalle individual'!$D$5:D148,'Detalle individual'!D148)=1,COUNTIF('Detalle individual'!$D$5:$D$1000,"&lt;"&amp;'Detalle individual'!D148),""))</f>
        <v/>
      </c>
      <c r="AH148" t="str">
        <f>IF('Detalle individual'!F148="Pendiente",COUNTIF('Detalle individual'!$D$5:$D$1000,"&lt;"&amp;'Detalle individual'!D148)*1000000+COUNTIF('Detalle individual'!$C$5:$C$1000,"&lt;"&amp;'Detalle individual'!C148)*1000+COUNTIF('Detalle individual'!$B$5:$B$1000,"&lt;"&amp;'Detalle individual'!B148)+ROW()/10000,"")</f>
        <v/>
      </c>
      <c r="AI148">
        <f>IF('Detalle individual'!F148="Completado",COUNTIF('Detalle individual'!$D$5:$D$1000,"&lt;"&amp;'Detalle individual'!D148)*1000000+COUNTIF('Detalle individual'!$C$5:$C$1000,"&lt;"&amp;'Detalle individual'!C148)*1000+COUNTIF('Detalle individual'!$B$5:$B$1000,"&lt;"&amp;'Detalle individual'!B148)+ROW()/10000,"")</f>
        <v>764885893.0148</v>
      </c>
      <c r="AJ148" t="str">
        <f>IF(AND('Detalle individual'!F148&lt;&gt;"",'Detalle individual'!F148&lt;&gt;"Completado",'Detalle individual'!F148&lt;&gt;"Pendiente"),COUNTIF('Detalle individual'!$D$5:$D$1000,"&lt;"&amp;'Detalle individual'!D148)*1000000+COUNTIF('Detalle individual'!$C$5:$C$1000,"&lt;"&amp;'Detalle individual'!C148)*1000+COUNTIF('Detalle individual'!$B$5:$B$1000,"&lt;"&amp;'Detalle individual'!B148)+ROW()/10000,"")</f>
        <v/>
      </c>
      <c r="AK148">
        <f>IF(OR('Base Exámenes'!C148="",'Base Exámenes'!D148=""),"",IF(COUNTIF('Base Exámenes'!$C$5:C148,'Base Exámenes'!C148)=1,'Base Exámenes'!D148+ROW()/1000000000,""))</f>
        <v>46304.68123857639</v>
      </c>
      <c r="AL148">
        <f>IF(OR('Base Exámenes'!C148="",'Base Exámenes'!E148=""),"",IF(COUNTIF('Base Exámenes'!$C$5:C148,'Base Exámenes'!C148)=1,'Base Exámenes'!E148+ROW()/1000000000,""))</f>
        <v>46304.68270848379</v>
      </c>
      <c r="AM148">
        <f>IF(OR('Base Exámenes'!C148="",'Base Exámenes'!G148=""),"",IF(ROW()-4=MATCH('Base Exámenes'!C148&amp;"|"&amp;_xlfn.MAXIFS('Base Exámenes'!$G$5:$G$1000,'Base Exámenes'!$C$5:$C$1000,'Base Exámenes'!C148),'Base Exámenes'!$I$5:$I$1000,0),'Base Exámenes'!G148*1000000+(-1)*'Base Exámenes'!D148,""))</f>
        <v>99953695.3187616</v>
      </c>
      <c r="AQ148" t="str">
        <f>IF('Base Exámenes'!C148="","",IF(COUNTIF('Base Exámenes'!$C$5:$C$1000,'Base Exámenes'!C148)&lt;2,"",MATCH('Base Exámenes'!C148,'Base Exámenes'!$C$5:$C$1000,0)*10000+ROW()))</f>
        <v/>
      </c>
    </row>
    <row r="149">
      <c r="Z149">
        <f>IF('Detalle individual'!A149="","",IF(AND(OR('Estado por Colaborador'!$D$4="Todas las gerencias",'Detalle individual'!D149='Estado por Colaborador'!$D$4),OR('Estado por Colaborador'!$D$5="Todos los departamentos",TRIM('Detalle individual'!C149)='Estado por Colaborador'!$D$5),OR('Estado por Colaborador'!$D$6="Todos",'Detalle individual'!F149='Estado por Colaborador'!$D$6)),IF('Detalle individual'!F149="Completado",30000000,IF('Detalle individual'!F149="Pendiente",0,15000000))+COUNTIF('Detalle individual'!$C$5:$C$1000,"&lt;"&amp;'Detalle individual'!C149)*10000+ROW(),""))</f>
        <v>38850149</v>
      </c>
      <c r="AB149" t="str">
        <f>IF('Detalle individual'!C149="","",IF(COUNTIF('Detalle individual'!$C$5:C149,'Detalle individual'!C149)=1,COUNTIF('Detalle individual'!$C$5:$C$1000,"&lt;"&amp;'Detalle individual'!C149),""))</f>
        <v/>
      </c>
      <c r="AC149" t="str">
        <f>IF('Detalle individual'!D149="","",IF(COUNTIF('Detalle individual'!$D$5:D149,'Detalle individual'!D149)=1,COUNTIF('Detalle individual'!$D$5:$D$1000,"&lt;"&amp;'Detalle individual'!D149),""))</f>
        <v/>
      </c>
      <c r="AH149" t="str">
        <f>IF('Detalle individual'!F149="Pendiente",COUNTIF('Detalle individual'!$D$5:$D$1000,"&lt;"&amp;'Detalle individual'!D149)*1000000+COUNTIF('Detalle individual'!$C$5:$C$1000,"&lt;"&amp;'Detalle individual'!C149)*1000+COUNTIF('Detalle individual'!$B$5:$B$1000,"&lt;"&amp;'Detalle individual'!B149)+ROW()/10000,"")</f>
        <v/>
      </c>
      <c r="AI149">
        <f>IF('Detalle individual'!F149="Completado",COUNTIF('Detalle individual'!$D$5:$D$1000,"&lt;"&amp;'Detalle individual'!D149)*1000000+COUNTIF('Detalle individual'!$C$5:$C$1000,"&lt;"&amp;'Detalle individual'!C149)*1000+COUNTIF('Detalle individual'!$B$5:$B$1000,"&lt;"&amp;'Detalle individual'!B149)+ROW()/10000,"")</f>
        <v>764885904.0149</v>
      </c>
      <c r="AJ149" t="str">
        <f>IF(AND('Detalle individual'!F149&lt;&gt;"",'Detalle individual'!F149&lt;&gt;"Completado",'Detalle individual'!F149&lt;&gt;"Pendiente"),COUNTIF('Detalle individual'!$D$5:$D$1000,"&lt;"&amp;'Detalle individual'!D149)*1000000+COUNTIF('Detalle individual'!$C$5:$C$1000,"&lt;"&amp;'Detalle individual'!C149)*1000+COUNTIF('Detalle individual'!$B$5:$B$1000,"&lt;"&amp;'Detalle individual'!B149)+ROW()/10000,"")</f>
        <v/>
      </c>
      <c r="AK149">
        <f>IF(OR('Base Exámenes'!C149="",'Base Exámenes'!D149=""),"",IF(COUNTIF('Base Exámenes'!$C$5:C149,'Base Exámenes'!C149)=1,'Base Exámenes'!D149+ROW()/1000000000,""))</f>
        <v>46304.68376172454</v>
      </c>
      <c r="AL149">
        <f>IF(OR('Base Exámenes'!C149="",'Base Exámenes'!E149=""),"",IF(COUNTIF('Base Exámenes'!$C$5:C149,'Base Exámenes'!C149)=1,'Base Exámenes'!E149+ROW()/1000000000,""))</f>
        <v>46304.685949224535</v>
      </c>
      <c r="AM149">
        <f>IF(OR('Base Exámenes'!C149="",'Base Exámenes'!G149=""),"",IF(ROW()-4=MATCH('Base Exámenes'!C149&amp;"|"&amp;_xlfn.MAXIFS('Base Exámenes'!$G$5:$G$1000,'Base Exámenes'!$C$5:$C$1000,'Base Exámenes'!C149),'Base Exámenes'!$I$5:$I$1000,0),'Base Exámenes'!G149*1000000+(-1)*'Base Exámenes'!D149,""))</f>
        <v>99953695.3162384</v>
      </c>
      <c r="AQ149" t="str">
        <f>IF('Base Exámenes'!C149="","",IF(COUNTIF('Base Exámenes'!$C$5:$C$1000,'Base Exámenes'!C149)&lt;2,"",MATCH('Base Exámenes'!C149,'Base Exámenes'!$C$5:$C$1000,0)*10000+ROW()))</f>
        <v/>
      </c>
    </row>
    <row r="150">
      <c r="Z150">
        <f>IF('Detalle individual'!A150="","",IF(AND(OR('Estado por Colaborador'!$D$4="Todas las gerencias",'Detalle individual'!D150='Estado por Colaborador'!$D$4),OR('Estado por Colaborador'!$D$5="Todos los departamentos",TRIM('Detalle individual'!C150)='Estado por Colaborador'!$D$5),OR('Estado por Colaborador'!$D$6="Todos",'Detalle individual'!F150='Estado por Colaborador'!$D$6)),IF('Detalle individual'!F150="Completado",30000000,IF('Detalle individual'!F150="Pendiente",0,15000000))+COUNTIF('Detalle individual'!$C$5:$C$1000,"&lt;"&amp;'Detalle individual'!C150)*10000+ROW(),""))</f>
        <v>38850150</v>
      </c>
      <c r="AB150" t="str">
        <f>IF('Detalle individual'!C150="","",IF(COUNTIF('Detalle individual'!$C$5:C150,'Detalle individual'!C150)=1,COUNTIF('Detalle individual'!$C$5:$C$1000,"&lt;"&amp;'Detalle individual'!C150),""))</f>
        <v/>
      </c>
      <c r="AC150" t="str">
        <f>IF('Detalle individual'!D150="","",IF(COUNTIF('Detalle individual'!$D$5:D150,'Detalle individual'!D150)=1,COUNTIF('Detalle individual'!$D$5:$D$1000,"&lt;"&amp;'Detalle individual'!D150),""))</f>
        <v/>
      </c>
      <c r="AH150" t="str">
        <f>IF('Detalle individual'!F150="Pendiente",COUNTIF('Detalle individual'!$D$5:$D$1000,"&lt;"&amp;'Detalle individual'!D150)*1000000+COUNTIF('Detalle individual'!$C$5:$C$1000,"&lt;"&amp;'Detalle individual'!C150)*1000+COUNTIF('Detalle individual'!$B$5:$B$1000,"&lt;"&amp;'Detalle individual'!B150)+ROW()/10000,"")</f>
        <v/>
      </c>
      <c r="AI150">
        <f>IF('Detalle individual'!F150="Completado",COUNTIF('Detalle individual'!$D$5:$D$1000,"&lt;"&amp;'Detalle individual'!D150)*1000000+COUNTIF('Detalle individual'!$C$5:$C$1000,"&lt;"&amp;'Detalle individual'!C150)*1000+COUNTIF('Detalle individual'!$B$5:$B$1000,"&lt;"&amp;'Detalle individual'!B150)+ROW()/10000,"")</f>
        <v>764885799.015</v>
      </c>
      <c r="AJ150" t="str">
        <f>IF(AND('Detalle individual'!F150&lt;&gt;"",'Detalle individual'!F150&lt;&gt;"Completado",'Detalle individual'!F150&lt;&gt;"Pendiente"),COUNTIF('Detalle individual'!$D$5:$D$1000,"&lt;"&amp;'Detalle individual'!D150)*1000000+COUNTIF('Detalle individual'!$C$5:$C$1000,"&lt;"&amp;'Detalle individual'!C150)*1000+COUNTIF('Detalle individual'!$B$5:$B$1000,"&lt;"&amp;'Detalle individual'!B150)+ROW()/10000,"")</f>
        <v/>
      </c>
      <c r="AK150">
        <f>IF(OR('Base Exámenes'!C150="",'Base Exámenes'!D150=""),"",IF(COUNTIF('Base Exámenes'!$C$5:C150,'Base Exámenes'!C150)=1,'Base Exámenes'!D150+ROW()/1000000000,""))</f>
        <v>46304.690602002316</v>
      </c>
      <c r="AL150">
        <f>IF(OR('Base Exámenes'!C150="",'Base Exámenes'!E150=""),"",IF(COUNTIF('Base Exámenes'!$C$5:C150,'Base Exámenes'!C150)=1,'Base Exámenes'!E150+ROW()/1000000000,""))</f>
        <v>46304.6929283912</v>
      </c>
      <c r="AM150">
        <f>IF(OR('Base Exámenes'!C150="",'Base Exámenes'!G150=""),"",IF(ROW()-4=MATCH('Base Exámenes'!C150&amp;"|"&amp;_xlfn.MAXIFS('Base Exámenes'!$G$5:$G$1000,'Base Exámenes'!$C$5:$C$1000,'Base Exámenes'!C150),'Base Exámenes'!$I$5:$I$1000,0),'Base Exámenes'!G150*1000000+(-1)*'Base Exámenes'!D150,""))</f>
        <v>99953695.3093981</v>
      </c>
      <c r="AQ150" t="str">
        <f>IF('Base Exámenes'!C150="","",IF(COUNTIF('Base Exámenes'!$C$5:$C$1000,'Base Exámenes'!C150)&lt;2,"",MATCH('Base Exámenes'!C150,'Base Exámenes'!$C$5:$C$1000,0)*10000+ROW()))</f>
        <v/>
      </c>
    </row>
    <row r="151">
      <c r="Z151">
        <f>IF('Detalle individual'!A151="","",IF(AND(OR('Estado por Colaborador'!$D$4="Todas las gerencias",'Detalle individual'!D151='Estado por Colaborador'!$D$4),OR('Estado por Colaborador'!$D$5="Todos los departamentos",TRIM('Detalle individual'!C151)='Estado por Colaborador'!$D$5),OR('Estado por Colaborador'!$D$6="Todos",'Detalle individual'!F151='Estado por Colaborador'!$D$6)),IF('Detalle individual'!F151="Completado",30000000,IF('Detalle individual'!F151="Pendiente",0,15000000))+COUNTIF('Detalle individual'!$C$5:$C$1000,"&lt;"&amp;'Detalle individual'!C151)*10000+ROW(),""))</f>
        <v>38850151</v>
      </c>
      <c r="AB151" t="str">
        <f>IF('Detalle individual'!C151="","",IF(COUNTIF('Detalle individual'!$C$5:C151,'Detalle individual'!C151)=1,COUNTIF('Detalle individual'!$C$5:$C$1000,"&lt;"&amp;'Detalle individual'!C151),""))</f>
        <v/>
      </c>
      <c r="AC151" t="str">
        <f>IF('Detalle individual'!D151="","",IF(COUNTIF('Detalle individual'!$D$5:D151,'Detalle individual'!D151)=1,COUNTIF('Detalle individual'!$D$5:$D$1000,"&lt;"&amp;'Detalle individual'!D151),""))</f>
        <v/>
      </c>
      <c r="AH151" t="str">
        <f>IF('Detalle individual'!F151="Pendiente",COUNTIF('Detalle individual'!$D$5:$D$1000,"&lt;"&amp;'Detalle individual'!D151)*1000000+COUNTIF('Detalle individual'!$C$5:$C$1000,"&lt;"&amp;'Detalle individual'!C151)*1000+COUNTIF('Detalle individual'!$B$5:$B$1000,"&lt;"&amp;'Detalle individual'!B151)+ROW()/10000,"")</f>
        <v/>
      </c>
      <c r="AI151">
        <f>IF('Detalle individual'!F151="Completado",COUNTIF('Detalle individual'!$D$5:$D$1000,"&lt;"&amp;'Detalle individual'!D151)*1000000+COUNTIF('Detalle individual'!$C$5:$C$1000,"&lt;"&amp;'Detalle individual'!C151)*1000+COUNTIF('Detalle individual'!$B$5:$B$1000,"&lt;"&amp;'Detalle individual'!B151)+ROW()/10000,"")</f>
        <v>764885705.0151</v>
      </c>
      <c r="AJ151" t="str">
        <f>IF(AND('Detalle individual'!F151&lt;&gt;"",'Detalle individual'!F151&lt;&gt;"Completado",'Detalle individual'!F151&lt;&gt;"Pendiente"),COUNTIF('Detalle individual'!$D$5:$D$1000,"&lt;"&amp;'Detalle individual'!D151)*1000000+COUNTIF('Detalle individual'!$C$5:$C$1000,"&lt;"&amp;'Detalle individual'!C151)*1000+COUNTIF('Detalle individual'!$B$5:$B$1000,"&lt;"&amp;'Detalle individual'!B151)+ROW()/10000,"")</f>
        <v/>
      </c>
      <c r="AK151">
        <f>IF(OR('Base Exámenes'!C151="",'Base Exámenes'!D151=""),"",IF(COUNTIF('Base Exámenes'!$C$5:C151,'Base Exámenes'!C151)=1,'Base Exámenes'!D151+ROW()/1000000000,""))</f>
        <v>46304.69274320602</v>
      </c>
      <c r="AL151">
        <f>IF(OR('Base Exámenes'!C151="",'Base Exámenes'!E151=""),"",IF(COUNTIF('Base Exámenes'!$C$5:C151,'Base Exámenes'!C151)=1,'Base Exámenes'!E151+ROW()/1000000000,""))</f>
        <v>46304.69452561343</v>
      </c>
      <c r="AM151">
        <f>IF(OR('Base Exámenes'!C151="",'Base Exámenes'!G151=""),"",IF(ROW()-4=MATCH('Base Exámenes'!C151&amp;"|"&amp;_xlfn.MAXIFS('Base Exámenes'!$G$5:$G$1000,'Base Exámenes'!$C$5:$C$1000,'Base Exámenes'!C151),'Base Exámenes'!$I$5:$I$1000,0),'Base Exámenes'!G151*1000000+(-1)*'Base Exámenes'!D151,""))</f>
        <v>99953695.3072569</v>
      </c>
      <c r="AQ151" t="str">
        <f>IF('Base Exámenes'!C151="","",IF(COUNTIF('Base Exámenes'!$C$5:$C$1000,'Base Exámenes'!C151)&lt;2,"",MATCH('Base Exámenes'!C151,'Base Exámenes'!$C$5:$C$1000,0)*10000+ROW()))</f>
        <v/>
      </c>
    </row>
    <row r="152">
      <c r="Z152">
        <f>IF('Detalle individual'!A152="","",IF(AND(OR('Estado por Colaborador'!$D$4="Todas las gerencias",'Detalle individual'!D152='Estado por Colaborador'!$D$4),OR('Estado por Colaborador'!$D$5="Todos los departamentos",TRIM('Detalle individual'!C152)='Estado por Colaborador'!$D$5),OR('Estado por Colaborador'!$D$6="Todos",'Detalle individual'!F152='Estado por Colaborador'!$D$6)),IF('Detalle individual'!F152="Completado",30000000,IF('Detalle individual'!F152="Pendiente",0,15000000))+COUNTIF('Detalle individual'!$C$5:$C$1000,"&lt;"&amp;'Detalle individual'!C152)*10000+ROW(),""))</f>
        <v>38590152</v>
      </c>
      <c r="AB152">
        <f>IF('Detalle individual'!C152="","",IF(COUNTIF('Detalle individual'!$C$5:C152,'Detalle individual'!C152)=1,COUNTIF('Detalle individual'!$C$5:$C$1000,"&lt;"&amp;'Detalle individual'!C152),""))</f>
        <v>859</v>
      </c>
      <c r="AC152" t="str">
        <f>IF('Detalle individual'!D152="","",IF(COUNTIF('Detalle individual'!$D$5:D152,'Detalle individual'!D152)=1,COUNTIF('Detalle individual'!$D$5:$D$1000,"&lt;"&amp;'Detalle individual'!D152),""))</f>
        <v/>
      </c>
      <c r="AH152" t="str">
        <f>IF('Detalle individual'!F152="Pendiente",COUNTIF('Detalle individual'!$D$5:$D$1000,"&lt;"&amp;'Detalle individual'!D152)*1000000+COUNTIF('Detalle individual'!$C$5:$C$1000,"&lt;"&amp;'Detalle individual'!C152)*1000+COUNTIF('Detalle individual'!$B$5:$B$1000,"&lt;"&amp;'Detalle individual'!B152)+ROW()/10000,"")</f>
        <v/>
      </c>
      <c r="AI152">
        <f>IF('Detalle individual'!F152="Completado",COUNTIF('Detalle individual'!$D$5:$D$1000,"&lt;"&amp;'Detalle individual'!D152)*1000000+COUNTIF('Detalle individual'!$C$5:$C$1000,"&lt;"&amp;'Detalle individual'!C152)*1000+COUNTIF('Detalle individual'!$B$5:$B$1000,"&lt;"&amp;'Detalle individual'!B152)+ROW()/10000,"")</f>
        <v>764859714.0152</v>
      </c>
      <c r="AJ152" t="str">
        <f>IF(AND('Detalle individual'!F152&lt;&gt;"",'Detalle individual'!F152&lt;&gt;"Completado",'Detalle individual'!F152&lt;&gt;"Pendiente"),COUNTIF('Detalle individual'!$D$5:$D$1000,"&lt;"&amp;'Detalle individual'!D152)*1000000+COUNTIF('Detalle individual'!$C$5:$C$1000,"&lt;"&amp;'Detalle individual'!C152)*1000+COUNTIF('Detalle individual'!$B$5:$B$1000,"&lt;"&amp;'Detalle individual'!B152)+ROW()/10000,"")</f>
        <v/>
      </c>
      <c r="AK152">
        <f>IF(OR('Base Exámenes'!C152="",'Base Exámenes'!D152=""),"",IF(COUNTIF('Base Exámenes'!$C$5:C152,'Base Exámenes'!C152)=1,'Base Exámenes'!D152+ROW()/1000000000,""))</f>
        <v>46304.69597237268</v>
      </c>
      <c r="AL152">
        <f>IF(OR('Base Exámenes'!C152="",'Base Exámenes'!E152=""),"",IF(COUNTIF('Base Exámenes'!$C$5:C152,'Base Exámenes'!C152)=1,'Base Exámenes'!E152+ROW()/1000000000,""))</f>
        <v>46304.70368070602</v>
      </c>
      <c r="AM152">
        <f>IF(OR('Base Exámenes'!C152="",'Base Exámenes'!G152=""),"",IF(ROW()-4=MATCH('Base Exámenes'!C152&amp;"|"&amp;_xlfn.MAXIFS('Base Exámenes'!$G$5:$G$1000,'Base Exámenes'!$C$5:$C$1000,'Base Exámenes'!C152),'Base Exámenes'!$I$5:$I$1000,0),'Base Exámenes'!G152*1000000+(-1)*'Base Exámenes'!D152,""))</f>
        <v>99953695.3040278</v>
      </c>
      <c r="AQ152" t="str">
        <f>IF('Base Exámenes'!C152="","",IF(COUNTIF('Base Exámenes'!$C$5:$C$1000,'Base Exámenes'!C152)&lt;2,"",MATCH('Base Exámenes'!C152,'Base Exámenes'!$C$5:$C$1000,0)*10000+ROW()))</f>
        <v/>
      </c>
    </row>
    <row r="153">
      <c r="Z153">
        <f>IF('Detalle individual'!A153="","",IF(AND(OR('Estado por Colaborador'!$D$4="Todas las gerencias",'Detalle individual'!D153='Estado por Colaborador'!$D$4),OR('Estado por Colaborador'!$D$5="Todos los departamentos",TRIM('Detalle individual'!C153)='Estado por Colaborador'!$D$5),OR('Estado por Colaborador'!$D$6="Todos",'Detalle individual'!F153='Estado por Colaborador'!$D$6)),IF('Detalle individual'!F153="Completado",30000000,IF('Detalle individual'!F153="Pendiente",0,15000000))+COUNTIF('Detalle individual'!$C$5:$C$1000,"&lt;"&amp;'Detalle individual'!C153)*10000+ROW(),""))</f>
        <v>38590153</v>
      </c>
      <c r="AB153" t="str">
        <f>IF('Detalle individual'!C153="","",IF(COUNTIF('Detalle individual'!$C$5:C153,'Detalle individual'!C153)=1,COUNTIF('Detalle individual'!$C$5:$C$1000,"&lt;"&amp;'Detalle individual'!C153),""))</f>
        <v/>
      </c>
      <c r="AC153" t="str">
        <f>IF('Detalle individual'!D153="","",IF(COUNTIF('Detalle individual'!$D$5:D153,'Detalle individual'!D153)=1,COUNTIF('Detalle individual'!$D$5:$D$1000,"&lt;"&amp;'Detalle individual'!D153),""))</f>
        <v/>
      </c>
      <c r="AH153" t="str">
        <f>IF('Detalle individual'!F153="Pendiente",COUNTIF('Detalle individual'!$D$5:$D$1000,"&lt;"&amp;'Detalle individual'!D153)*1000000+COUNTIF('Detalle individual'!$C$5:$C$1000,"&lt;"&amp;'Detalle individual'!C153)*1000+COUNTIF('Detalle individual'!$B$5:$B$1000,"&lt;"&amp;'Detalle individual'!B153)+ROW()/10000,"")</f>
        <v/>
      </c>
      <c r="AI153">
        <f>IF('Detalle individual'!F153="Completado",COUNTIF('Detalle individual'!$D$5:$D$1000,"&lt;"&amp;'Detalle individual'!D153)*1000000+COUNTIF('Detalle individual'!$C$5:$C$1000,"&lt;"&amp;'Detalle individual'!C153)*1000+COUNTIF('Detalle individual'!$B$5:$B$1000,"&lt;"&amp;'Detalle individual'!B153)+ROW()/10000,"")</f>
        <v>764859715.0153</v>
      </c>
      <c r="AJ153" t="str">
        <f>IF(AND('Detalle individual'!F153&lt;&gt;"",'Detalle individual'!F153&lt;&gt;"Completado",'Detalle individual'!F153&lt;&gt;"Pendiente"),COUNTIF('Detalle individual'!$D$5:$D$1000,"&lt;"&amp;'Detalle individual'!D153)*1000000+COUNTIF('Detalle individual'!$C$5:$C$1000,"&lt;"&amp;'Detalle individual'!C153)*1000+COUNTIF('Detalle individual'!$B$5:$B$1000,"&lt;"&amp;'Detalle individual'!B153)+ROW()/10000,"")</f>
        <v/>
      </c>
      <c r="AK153">
        <f>IF(OR('Base Exámenes'!C153="",'Base Exámenes'!D153=""),"",IF(COUNTIF('Base Exámenes'!$C$5:C153,'Base Exámenes'!C153)=1,'Base Exámenes'!D153+ROW()/1000000000,""))</f>
        <v>46304.70121542824</v>
      </c>
      <c r="AL153">
        <f>IF(OR('Base Exámenes'!C153="",'Base Exámenes'!E153=""),"",IF(COUNTIF('Base Exámenes'!$C$5:C153,'Base Exámenes'!C153)=1,'Base Exámenes'!E153+ROW()/1000000000,""))</f>
        <v>46304.70379644676</v>
      </c>
      <c r="AM153">
        <f>IF(OR('Base Exámenes'!C153="",'Base Exámenes'!G153=""),"",IF(ROW()-4=MATCH('Base Exámenes'!C153&amp;"|"&amp;_xlfn.MAXIFS('Base Exámenes'!$G$5:$G$1000,'Base Exámenes'!$C$5:$C$1000,'Base Exámenes'!C153),'Base Exámenes'!$I$5:$I$1000,0),'Base Exámenes'!G153*1000000+(-1)*'Base Exámenes'!D153,""))</f>
        <v>99953695.2987847</v>
      </c>
      <c r="AQ153" t="str">
        <f>IF('Base Exámenes'!C153="","",IF(COUNTIF('Base Exámenes'!$C$5:$C$1000,'Base Exámenes'!C153)&lt;2,"",MATCH('Base Exámenes'!C153,'Base Exámenes'!$C$5:$C$1000,0)*10000+ROW()))</f>
        <v/>
      </c>
    </row>
    <row r="154">
      <c r="Z154">
        <f>IF('Detalle individual'!A154="","",IF(AND(OR('Estado por Colaborador'!$D$4="Todas las gerencias",'Detalle individual'!D154='Estado por Colaborador'!$D$4),OR('Estado por Colaborador'!$D$5="Todos los departamentos",TRIM('Detalle individual'!C154)='Estado por Colaborador'!$D$5),OR('Estado por Colaborador'!$D$6="Todos",'Detalle individual'!F154='Estado por Colaborador'!$D$6)),IF('Detalle individual'!F154="Completado",30000000,IF('Detalle individual'!F154="Pendiente",0,15000000))+COUNTIF('Detalle individual'!$C$5:$C$1000,"&lt;"&amp;'Detalle individual'!C154)*10000+ROW(),""))</f>
        <v>38590154</v>
      </c>
      <c r="AB154" t="str">
        <f>IF('Detalle individual'!C154="","",IF(COUNTIF('Detalle individual'!$C$5:C154,'Detalle individual'!C154)=1,COUNTIF('Detalle individual'!$C$5:$C$1000,"&lt;"&amp;'Detalle individual'!C154),""))</f>
        <v/>
      </c>
      <c r="AC154" t="str">
        <f>IF('Detalle individual'!D154="","",IF(COUNTIF('Detalle individual'!$D$5:D154,'Detalle individual'!D154)=1,COUNTIF('Detalle individual'!$D$5:$D$1000,"&lt;"&amp;'Detalle individual'!D154),""))</f>
        <v/>
      </c>
      <c r="AH154" t="str">
        <f>IF('Detalle individual'!F154="Pendiente",COUNTIF('Detalle individual'!$D$5:$D$1000,"&lt;"&amp;'Detalle individual'!D154)*1000000+COUNTIF('Detalle individual'!$C$5:$C$1000,"&lt;"&amp;'Detalle individual'!C154)*1000+COUNTIF('Detalle individual'!$B$5:$B$1000,"&lt;"&amp;'Detalle individual'!B154)+ROW()/10000,"")</f>
        <v/>
      </c>
      <c r="AI154">
        <f>IF('Detalle individual'!F154="Completado",COUNTIF('Detalle individual'!$D$5:$D$1000,"&lt;"&amp;'Detalle individual'!D154)*1000000+COUNTIF('Detalle individual'!$C$5:$C$1000,"&lt;"&amp;'Detalle individual'!C154)*1000+COUNTIF('Detalle individual'!$B$5:$B$1000,"&lt;"&amp;'Detalle individual'!B154)+ROW()/10000,"")</f>
        <v>764859898.0154</v>
      </c>
      <c r="AJ154" t="str">
        <f>IF(AND('Detalle individual'!F154&lt;&gt;"",'Detalle individual'!F154&lt;&gt;"Completado",'Detalle individual'!F154&lt;&gt;"Pendiente"),COUNTIF('Detalle individual'!$D$5:$D$1000,"&lt;"&amp;'Detalle individual'!D154)*1000000+COUNTIF('Detalle individual'!$C$5:$C$1000,"&lt;"&amp;'Detalle individual'!C154)*1000+COUNTIF('Detalle individual'!$B$5:$B$1000,"&lt;"&amp;'Detalle individual'!B154)+ROW()/10000,"")</f>
        <v/>
      </c>
      <c r="AK154">
        <f>IF(OR('Base Exámenes'!C154="",'Base Exámenes'!D154=""),"",IF(COUNTIF('Base Exámenes'!$C$5:C154,'Base Exámenes'!C154)=1,'Base Exámenes'!D154+ROW()/1000000000,""))</f>
        <v>46304.7742709838</v>
      </c>
      <c r="AL154">
        <f>IF(OR('Base Exámenes'!C154="",'Base Exámenes'!E154=""),"",IF(COUNTIF('Base Exámenes'!$C$5:C154,'Base Exámenes'!C154)=1,'Base Exámenes'!E154+ROW()/1000000000,""))</f>
        <v>46304.78098394676</v>
      </c>
      <c r="AM154">
        <f>IF(OR('Base Exámenes'!C154="",'Base Exámenes'!G154=""),"",IF(ROW()-4=MATCH('Base Exámenes'!C154&amp;"|"&amp;_xlfn.MAXIFS('Base Exámenes'!$G$5:$G$1000,'Base Exámenes'!$C$5:$C$1000,'Base Exámenes'!C154),'Base Exámenes'!$I$5:$I$1000,0),'Base Exámenes'!G154*1000000+(-1)*'Base Exámenes'!D154,""))</f>
        <v>89953695.2257292</v>
      </c>
      <c r="AQ154" t="str">
        <f>IF('Base Exámenes'!C154="","",IF(COUNTIF('Base Exámenes'!$C$5:$C$1000,'Base Exámenes'!C154)&lt;2,"",MATCH('Base Exámenes'!C154,'Base Exámenes'!$C$5:$C$1000,0)*10000+ROW()))</f>
        <v/>
      </c>
    </row>
    <row r="155">
      <c r="Z155">
        <f>IF('Detalle individual'!A155="","",IF(AND(OR('Estado por Colaborador'!$D$4="Todas las gerencias",'Detalle individual'!D155='Estado por Colaborador'!$D$4),OR('Estado por Colaborador'!$D$5="Todos los departamentos",TRIM('Detalle individual'!C155)='Estado por Colaborador'!$D$5),OR('Estado por Colaborador'!$D$6="Todos",'Detalle individual'!F155='Estado por Colaborador'!$D$6)),IF('Detalle individual'!F155="Completado",30000000,IF('Detalle individual'!F155="Pendiente",0,15000000))+COUNTIF('Detalle individual'!$C$5:$C$1000,"&lt;"&amp;'Detalle individual'!C155)*10000+ROW(),""))</f>
        <v>38590155</v>
      </c>
      <c r="AB155" t="str">
        <f>IF('Detalle individual'!C155="","",IF(COUNTIF('Detalle individual'!$C$5:C155,'Detalle individual'!C155)=1,COUNTIF('Detalle individual'!$C$5:$C$1000,"&lt;"&amp;'Detalle individual'!C155),""))</f>
        <v/>
      </c>
      <c r="AC155" t="str">
        <f>IF('Detalle individual'!D155="","",IF(COUNTIF('Detalle individual'!$D$5:D155,'Detalle individual'!D155)=1,COUNTIF('Detalle individual'!$D$5:$D$1000,"&lt;"&amp;'Detalle individual'!D155),""))</f>
        <v/>
      </c>
      <c r="AH155" t="str">
        <f>IF('Detalle individual'!F155="Pendiente",COUNTIF('Detalle individual'!$D$5:$D$1000,"&lt;"&amp;'Detalle individual'!D155)*1000000+COUNTIF('Detalle individual'!$C$5:$C$1000,"&lt;"&amp;'Detalle individual'!C155)*1000+COUNTIF('Detalle individual'!$B$5:$B$1000,"&lt;"&amp;'Detalle individual'!B155)+ROW()/10000,"")</f>
        <v/>
      </c>
      <c r="AI155">
        <f>IF('Detalle individual'!F155="Completado",COUNTIF('Detalle individual'!$D$5:$D$1000,"&lt;"&amp;'Detalle individual'!D155)*1000000+COUNTIF('Detalle individual'!$C$5:$C$1000,"&lt;"&amp;'Detalle individual'!C155)*1000+COUNTIF('Detalle individual'!$B$5:$B$1000,"&lt;"&amp;'Detalle individual'!B155)+ROW()/10000,"")</f>
        <v>764859959.0155</v>
      </c>
      <c r="AJ155" t="str">
        <f>IF(AND('Detalle individual'!F155&lt;&gt;"",'Detalle individual'!F155&lt;&gt;"Completado",'Detalle individual'!F155&lt;&gt;"Pendiente"),COUNTIF('Detalle individual'!$D$5:$D$1000,"&lt;"&amp;'Detalle individual'!D155)*1000000+COUNTIF('Detalle individual'!$C$5:$C$1000,"&lt;"&amp;'Detalle individual'!C155)*1000+COUNTIF('Detalle individual'!$B$5:$B$1000,"&lt;"&amp;'Detalle individual'!B155)+ROW()/10000,"")</f>
        <v/>
      </c>
      <c r="AK155">
        <f>IF(OR('Base Exámenes'!C155="",'Base Exámenes'!D155=""),"",IF(COUNTIF('Base Exámenes'!$C$5:C155,'Base Exámenes'!C155)=1,'Base Exámenes'!D155+ROW()/1000000000,""))</f>
        <v>46305.38385431713</v>
      </c>
      <c r="AL155">
        <f>IF(OR('Base Exámenes'!C155="",'Base Exámenes'!E155=""),"",IF(COUNTIF('Base Exámenes'!$C$5:C155,'Base Exámenes'!C155)=1,'Base Exámenes'!E155+ROW()/1000000000,""))</f>
        <v>46305.39554413194</v>
      </c>
      <c r="AM155">
        <f>IF(OR('Base Exámenes'!C155="",'Base Exámenes'!G155=""),"",IF(ROW()-4=MATCH('Base Exámenes'!C155&amp;"|"&amp;_xlfn.MAXIFS('Base Exámenes'!$G$5:$G$1000,'Base Exámenes'!$C$5:$C$1000,'Base Exámenes'!C155),'Base Exámenes'!$I$5:$I$1000,0),'Base Exámenes'!G155*1000000+(-1)*'Base Exámenes'!D155,""))</f>
        <v>74953694.6161458</v>
      </c>
      <c r="AQ155" t="str">
        <f>IF('Base Exámenes'!C155="","",IF(COUNTIF('Base Exámenes'!$C$5:$C$1000,'Base Exámenes'!C155)&lt;2,"",MATCH('Base Exámenes'!C155,'Base Exámenes'!$C$5:$C$1000,0)*10000+ROW()))</f>
        <v/>
      </c>
    </row>
    <row r="156">
      <c r="Z156">
        <f>IF('Detalle individual'!A156="","",IF(AND(OR('Estado por Colaborador'!$D$4="Todas las gerencias",'Detalle individual'!D156='Estado por Colaborador'!$D$4),OR('Estado por Colaborador'!$D$5="Todos los departamentos",TRIM('Detalle individual'!C156)='Estado por Colaborador'!$D$5),OR('Estado por Colaborador'!$D$6="Todos",'Detalle individual'!F156='Estado por Colaborador'!$D$6)),IF('Detalle individual'!F156="Completado",30000000,IF('Detalle individual'!F156="Pendiente",0,15000000))+COUNTIF('Detalle individual'!$C$5:$C$1000,"&lt;"&amp;'Detalle individual'!C156)*10000+ROW(),""))</f>
        <v>38590156</v>
      </c>
      <c r="AB156" t="str">
        <f>IF('Detalle individual'!C156="","",IF(COUNTIF('Detalle individual'!$C$5:C156,'Detalle individual'!C156)=1,COUNTIF('Detalle individual'!$C$5:$C$1000,"&lt;"&amp;'Detalle individual'!C156),""))</f>
        <v/>
      </c>
      <c r="AC156" t="str">
        <f>IF('Detalle individual'!D156="","",IF(COUNTIF('Detalle individual'!$D$5:D156,'Detalle individual'!D156)=1,COUNTIF('Detalle individual'!$D$5:$D$1000,"&lt;"&amp;'Detalle individual'!D156),""))</f>
        <v/>
      </c>
      <c r="AH156" t="str">
        <f>IF('Detalle individual'!F156="Pendiente",COUNTIF('Detalle individual'!$D$5:$D$1000,"&lt;"&amp;'Detalle individual'!D156)*1000000+COUNTIF('Detalle individual'!$C$5:$C$1000,"&lt;"&amp;'Detalle individual'!C156)*1000+COUNTIF('Detalle individual'!$B$5:$B$1000,"&lt;"&amp;'Detalle individual'!B156)+ROW()/10000,"")</f>
        <v/>
      </c>
      <c r="AI156">
        <f>IF('Detalle individual'!F156="Completado",COUNTIF('Detalle individual'!$D$5:$D$1000,"&lt;"&amp;'Detalle individual'!D156)*1000000+COUNTIF('Detalle individual'!$C$5:$C$1000,"&lt;"&amp;'Detalle individual'!C156)*1000+COUNTIF('Detalle individual'!$B$5:$B$1000,"&lt;"&amp;'Detalle individual'!B156)+ROW()/10000,"")</f>
        <v>764859750.0156</v>
      </c>
      <c r="AJ156" t="str">
        <f>IF(AND('Detalle individual'!F156&lt;&gt;"",'Detalle individual'!F156&lt;&gt;"Completado",'Detalle individual'!F156&lt;&gt;"Pendiente"),COUNTIF('Detalle individual'!$D$5:$D$1000,"&lt;"&amp;'Detalle individual'!D156)*1000000+COUNTIF('Detalle individual'!$C$5:$C$1000,"&lt;"&amp;'Detalle individual'!C156)*1000+COUNTIF('Detalle individual'!$B$5:$B$1000,"&lt;"&amp;'Detalle individual'!B156)+ROW()/10000,"")</f>
        <v/>
      </c>
      <c r="AK156">
        <f>IF(OR('Base Exámenes'!C156="",'Base Exámenes'!D156=""),"",IF(COUNTIF('Base Exámenes'!$C$5:C156,'Base Exámenes'!C156)=1,'Base Exámenes'!D156+ROW()/1000000000,""))</f>
        <v>46305.39564829861</v>
      </c>
      <c r="AL156">
        <f>IF(OR('Base Exámenes'!C156="",'Base Exámenes'!E156=""),"",IF(COUNTIF('Base Exámenes'!$C$5:C156,'Base Exámenes'!C156)=1,'Base Exámenes'!E156+ROW()/1000000000,""))</f>
        <v>46305.39865755787</v>
      </c>
      <c r="AM156">
        <f>IF(OR('Base Exámenes'!C156="",'Base Exámenes'!G156=""),"",IF(ROW()-4=MATCH('Base Exámenes'!C156&amp;"|"&amp;_xlfn.MAXIFS('Base Exámenes'!$G$5:$G$1000,'Base Exámenes'!$C$5:$C$1000,'Base Exámenes'!C156),'Base Exámenes'!$I$5:$I$1000,0),'Base Exámenes'!G156*1000000+(-1)*'Base Exámenes'!D156,""))</f>
        <v>99953694.6043519</v>
      </c>
      <c r="AQ156" t="str">
        <f>IF('Base Exámenes'!C156="","",IF(COUNTIF('Base Exámenes'!$C$5:$C$1000,'Base Exámenes'!C156)&lt;2,"",MATCH('Base Exámenes'!C156,'Base Exámenes'!$C$5:$C$1000,0)*10000+ROW()))</f>
        <v/>
      </c>
    </row>
    <row r="157">
      <c r="Z157">
        <f>IF('Detalle individual'!A157="","",IF(AND(OR('Estado por Colaborador'!$D$4="Todas las gerencias",'Detalle individual'!D157='Estado por Colaborador'!$D$4),OR('Estado por Colaborador'!$D$5="Todos los departamentos",TRIM('Detalle individual'!C157)='Estado por Colaborador'!$D$5),OR('Estado por Colaborador'!$D$6="Todos",'Detalle individual'!F157='Estado por Colaborador'!$D$6)),IF('Detalle individual'!F157="Completado",30000000,IF('Detalle individual'!F157="Pendiente",0,15000000))+COUNTIF('Detalle individual'!$C$5:$C$1000,"&lt;"&amp;'Detalle individual'!C157)*10000+ROW(),""))</f>
        <v>38590157</v>
      </c>
      <c r="AB157" t="str">
        <f>IF('Detalle individual'!C157="","",IF(COUNTIF('Detalle individual'!$C$5:C157,'Detalle individual'!C157)=1,COUNTIF('Detalle individual'!$C$5:$C$1000,"&lt;"&amp;'Detalle individual'!C157),""))</f>
        <v/>
      </c>
      <c r="AC157" t="str">
        <f>IF('Detalle individual'!D157="","",IF(COUNTIF('Detalle individual'!$D$5:D157,'Detalle individual'!D157)=1,COUNTIF('Detalle individual'!$D$5:$D$1000,"&lt;"&amp;'Detalle individual'!D157),""))</f>
        <v/>
      </c>
      <c r="AH157" t="str">
        <f>IF('Detalle individual'!F157="Pendiente",COUNTIF('Detalle individual'!$D$5:$D$1000,"&lt;"&amp;'Detalle individual'!D157)*1000000+COUNTIF('Detalle individual'!$C$5:$C$1000,"&lt;"&amp;'Detalle individual'!C157)*1000+COUNTIF('Detalle individual'!$B$5:$B$1000,"&lt;"&amp;'Detalle individual'!B157)+ROW()/10000,"")</f>
        <v/>
      </c>
      <c r="AI157">
        <f>IF('Detalle individual'!F157="Completado",COUNTIF('Detalle individual'!$D$5:$D$1000,"&lt;"&amp;'Detalle individual'!D157)*1000000+COUNTIF('Detalle individual'!$C$5:$C$1000,"&lt;"&amp;'Detalle individual'!C157)*1000+COUNTIF('Detalle individual'!$B$5:$B$1000,"&lt;"&amp;'Detalle individual'!B157)+ROW()/10000,"")</f>
        <v>764859818.0157</v>
      </c>
      <c r="AJ157" t="str">
        <f>IF(AND('Detalle individual'!F157&lt;&gt;"",'Detalle individual'!F157&lt;&gt;"Completado",'Detalle individual'!F157&lt;&gt;"Pendiente"),COUNTIF('Detalle individual'!$D$5:$D$1000,"&lt;"&amp;'Detalle individual'!D157)*1000000+COUNTIF('Detalle individual'!$C$5:$C$1000,"&lt;"&amp;'Detalle individual'!C157)*1000+COUNTIF('Detalle individual'!$B$5:$B$1000,"&lt;"&amp;'Detalle individual'!B157)+ROW()/10000,"")</f>
        <v/>
      </c>
      <c r="AK157">
        <f>IF(OR('Base Exámenes'!C157="",'Base Exámenes'!D157=""),"",IF(COUNTIF('Base Exámenes'!$C$5:C157,'Base Exámenes'!C157)=1,'Base Exámenes'!D157+ROW()/1000000000,""))</f>
        <v>46305.38912053241</v>
      </c>
      <c r="AL157">
        <f>IF(OR('Base Exámenes'!C157="",'Base Exámenes'!E157=""),"",IF(COUNTIF('Base Exámenes'!$C$5:C157,'Base Exámenes'!C157)=1,'Base Exámenes'!E157+ROW()/1000000000,""))</f>
        <v>46305.398912199074</v>
      </c>
      <c r="AM157">
        <f>IF(OR('Base Exámenes'!C157="",'Base Exámenes'!G157=""),"",IF(ROW()-4=MATCH('Base Exámenes'!C157&amp;"|"&amp;_xlfn.MAXIFS('Base Exámenes'!$G$5:$G$1000,'Base Exámenes'!$C$5:$C$1000,'Base Exámenes'!C157),'Base Exámenes'!$I$5:$I$1000,0),'Base Exámenes'!G157*1000000+(-1)*'Base Exámenes'!D157,""))</f>
        <v>99953694.6108796</v>
      </c>
      <c r="AQ157" t="str">
        <f>IF('Base Exámenes'!C157="","",IF(COUNTIF('Base Exámenes'!$C$5:$C$1000,'Base Exámenes'!C157)&lt;2,"",MATCH('Base Exámenes'!C157,'Base Exámenes'!$C$5:$C$1000,0)*10000+ROW()))</f>
        <v/>
      </c>
    </row>
    <row r="158">
      <c r="Z158">
        <f>IF('Detalle individual'!A158="","",IF(AND(OR('Estado por Colaborador'!$D$4="Todas las gerencias",'Detalle individual'!D158='Estado por Colaborador'!$D$4),OR('Estado por Colaborador'!$D$5="Todos los departamentos",TRIM('Detalle individual'!C158)='Estado por Colaborador'!$D$5),OR('Estado por Colaborador'!$D$6="Todos",'Detalle individual'!F158='Estado por Colaborador'!$D$6)),IF('Detalle individual'!F158="Completado",30000000,IF('Detalle individual'!F158="Pendiente",0,15000000))+COUNTIF('Detalle individual'!$C$5:$C$1000,"&lt;"&amp;'Detalle individual'!C158)*10000+ROW(),""))</f>
        <v>38590158</v>
      </c>
      <c r="AB158" t="str">
        <f>IF('Detalle individual'!C158="","",IF(COUNTIF('Detalle individual'!$C$5:C158,'Detalle individual'!C158)=1,COUNTIF('Detalle individual'!$C$5:$C$1000,"&lt;"&amp;'Detalle individual'!C158),""))</f>
        <v/>
      </c>
      <c r="AC158" t="str">
        <f>IF('Detalle individual'!D158="","",IF(COUNTIF('Detalle individual'!$D$5:D158,'Detalle individual'!D158)=1,COUNTIF('Detalle individual'!$D$5:$D$1000,"&lt;"&amp;'Detalle individual'!D158),""))</f>
        <v/>
      </c>
      <c r="AH158" t="str">
        <f>IF('Detalle individual'!F158="Pendiente",COUNTIF('Detalle individual'!$D$5:$D$1000,"&lt;"&amp;'Detalle individual'!D158)*1000000+COUNTIF('Detalle individual'!$C$5:$C$1000,"&lt;"&amp;'Detalle individual'!C158)*1000+COUNTIF('Detalle individual'!$B$5:$B$1000,"&lt;"&amp;'Detalle individual'!B158)+ROW()/10000,"")</f>
        <v/>
      </c>
      <c r="AI158">
        <f>IF('Detalle individual'!F158="Completado",COUNTIF('Detalle individual'!$D$5:$D$1000,"&lt;"&amp;'Detalle individual'!D158)*1000000+COUNTIF('Detalle individual'!$C$5:$C$1000,"&lt;"&amp;'Detalle individual'!C158)*1000+COUNTIF('Detalle individual'!$B$5:$B$1000,"&lt;"&amp;'Detalle individual'!B158)+ROW()/10000,"")</f>
        <v>764859986.0158</v>
      </c>
      <c r="AJ158" t="str">
        <f>IF(AND('Detalle individual'!F158&lt;&gt;"",'Detalle individual'!F158&lt;&gt;"Completado",'Detalle individual'!F158&lt;&gt;"Pendiente"),COUNTIF('Detalle individual'!$D$5:$D$1000,"&lt;"&amp;'Detalle individual'!D158)*1000000+COUNTIF('Detalle individual'!$C$5:$C$1000,"&lt;"&amp;'Detalle individual'!C158)*1000+COUNTIF('Detalle individual'!$B$5:$B$1000,"&lt;"&amp;'Detalle individual'!B158)+ROW()/10000,"")</f>
        <v/>
      </c>
      <c r="AK158">
        <f>IF(OR('Base Exámenes'!C158="",'Base Exámenes'!D158=""),"",IF(COUNTIF('Base Exámenes'!$C$5:C158,'Base Exámenes'!C158)=1,'Base Exámenes'!D158+ROW()/1000000000,""))</f>
        <v>46305.39409738426</v>
      </c>
      <c r="AL158">
        <f>IF(OR('Base Exámenes'!C158="",'Base Exámenes'!E158=""),"",IF(COUNTIF('Base Exámenes'!$C$5:C158,'Base Exámenes'!C158)=1,'Base Exámenes'!E158+ROW()/1000000000,""))</f>
        <v>46305.40700247685</v>
      </c>
      <c r="AM158">
        <f>IF(OR('Base Exámenes'!C158="",'Base Exámenes'!G158=""),"",IF(ROW()-4=MATCH('Base Exámenes'!C158&amp;"|"&amp;_xlfn.MAXIFS('Base Exámenes'!$G$5:$G$1000,'Base Exámenes'!$C$5:$C$1000,'Base Exámenes'!C158),'Base Exámenes'!$I$5:$I$1000,0),'Base Exámenes'!G158*1000000+(-1)*'Base Exámenes'!D158,""))</f>
        <v>99953694.6059028</v>
      </c>
      <c r="AQ158" t="str">
        <f>IF('Base Exámenes'!C158="","",IF(COUNTIF('Base Exámenes'!$C$5:$C$1000,'Base Exámenes'!C158)&lt;2,"",MATCH('Base Exámenes'!C158,'Base Exámenes'!$C$5:$C$1000,0)*10000+ROW()))</f>
        <v/>
      </c>
    </row>
    <row r="159">
      <c r="Z159">
        <f>IF('Detalle individual'!A159="","",IF(AND(OR('Estado por Colaborador'!$D$4="Todas las gerencias",'Detalle individual'!D159='Estado por Colaborador'!$D$4),OR('Estado por Colaborador'!$D$5="Todos los departamentos",TRIM('Detalle individual'!C159)='Estado por Colaborador'!$D$5),OR('Estado por Colaborador'!$D$6="Todos",'Detalle individual'!F159='Estado por Colaborador'!$D$6)),IF('Detalle individual'!F159="Completado",30000000,IF('Detalle individual'!F159="Pendiente",0,15000000))+COUNTIF('Detalle individual'!$C$5:$C$1000,"&lt;"&amp;'Detalle individual'!C159)*10000+ROW(),""))</f>
        <v>38590159</v>
      </c>
      <c r="AB159" t="str">
        <f>IF('Detalle individual'!C159="","",IF(COUNTIF('Detalle individual'!$C$5:C159,'Detalle individual'!C159)=1,COUNTIF('Detalle individual'!$C$5:$C$1000,"&lt;"&amp;'Detalle individual'!C159),""))</f>
        <v/>
      </c>
      <c r="AC159" t="str">
        <f>IF('Detalle individual'!D159="","",IF(COUNTIF('Detalle individual'!$D$5:D159,'Detalle individual'!D159)=1,COUNTIF('Detalle individual'!$D$5:$D$1000,"&lt;"&amp;'Detalle individual'!D159),""))</f>
        <v/>
      </c>
      <c r="AH159" t="str">
        <f>IF('Detalle individual'!F159="Pendiente",COUNTIF('Detalle individual'!$D$5:$D$1000,"&lt;"&amp;'Detalle individual'!D159)*1000000+COUNTIF('Detalle individual'!$C$5:$C$1000,"&lt;"&amp;'Detalle individual'!C159)*1000+COUNTIF('Detalle individual'!$B$5:$B$1000,"&lt;"&amp;'Detalle individual'!B159)+ROW()/10000,"")</f>
        <v/>
      </c>
      <c r="AI159">
        <f>IF('Detalle individual'!F159="Completado",COUNTIF('Detalle individual'!$D$5:$D$1000,"&lt;"&amp;'Detalle individual'!D159)*1000000+COUNTIF('Detalle individual'!$C$5:$C$1000,"&lt;"&amp;'Detalle individual'!C159)*1000+COUNTIF('Detalle individual'!$B$5:$B$1000,"&lt;"&amp;'Detalle individual'!B159)+ROW()/10000,"")</f>
        <v>764859860.0159</v>
      </c>
      <c r="AJ159" t="str">
        <f>IF(AND('Detalle individual'!F159&lt;&gt;"",'Detalle individual'!F159&lt;&gt;"Completado",'Detalle individual'!F159&lt;&gt;"Pendiente"),COUNTIF('Detalle individual'!$D$5:$D$1000,"&lt;"&amp;'Detalle individual'!D159)*1000000+COUNTIF('Detalle individual'!$C$5:$C$1000,"&lt;"&amp;'Detalle individual'!C159)*1000+COUNTIF('Detalle individual'!$B$5:$B$1000,"&lt;"&amp;'Detalle individual'!B159)+ROW()/10000,"")</f>
        <v/>
      </c>
      <c r="AK159">
        <f>IF(OR('Base Exámenes'!C159="",'Base Exámenes'!D159=""),"",IF(COUNTIF('Base Exámenes'!$C$5:C159,'Base Exámenes'!C159)=1,'Base Exámenes'!D159+ROW()/1000000000,""))</f>
        <v>46305.40681729167</v>
      </c>
      <c r="AL159">
        <f>IF(OR('Base Exámenes'!C159="",'Base Exámenes'!E159=""),"",IF(COUNTIF('Base Exámenes'!$C$5:C159,'Base Exámenes'!C159)=1,'Base Exámenes'!E159+ROW()/1000000000,""))</f>
        <v>46305.40873858796</v>
      </c>
      <c r="AM159">
        <f>IF(OR('Base Exámenes'!C159="",'Base Exámenes'!G159=""),"",IF(ROW()-4=MATCH('Base Exámenes'!C159&amp;"|"&amp;_xlfn.MAXIFS('Base Exámenes'!$G$5:$G$1000,'Base Exámenes'!$C$5:$C$1000,'Base Exámenes'!C159),'Base Exámenes'!$I$5:$I$1000,0),'Base Exámenes'!G159*1000000+(-1)*'Base Exámenes'!D159,""))</f>
        <v>99953694.5931829</v>
      </c>
      <c r="AQ159" t="str">
        <f>IF('Base Exámenes'!C159="","",IF(COUNTIF('Base Exámenes'!$C$5:$C$1000,'Base Exámenes'!C159)&lt;2,"",MATCH('Base Exámenes'!C159,'Base Exámenes'!$C$5:$C$1000,0)*10000+ROW()))</f>
        <v/>
      </c>
    </row>
    <row r="160">
      <c r="Z160">
        <f>IF('Detalle individual'!A160="","",IF(AND(OR('Estado por Colaborador'!$D$4="Todas las gerencias",'Detalle individual'!D160='Estado por Colaborador'!$D$4),OR('Estado por Colaborador'!$D$5="Todos los departamentos",TRIM('Detalle individual'!C160)='Estado por Colaborador'!$D$5),OR('Estado por Colaborador'!$D$6="Todos",'Detalle individual'!F160='Estado por Colaborador'!$D$6)),IF('Detalle individual'!F160="Completado",30000000,IF('Detalle individual'!F160="Pendiente",0,15000000))+COUNTIF('Detalle individual'!$C$5:$C$1000,"&lt;"&amp;'Detalle individual'!C160)*10000+ROW(),""))</f>
        <v>38590160</v>
      </c>
      <c r="AB160" t="str">
        <f>IF('Detalle individual'!C160="","",IF(COUNTIF('Detalle individual'!$C$5:C160,'Detalle individual'!C160)=1,COUNTIF('Detalle individual'!$C$5:$C$1000,"&lt;"&amp;'Detalle individual'!C160),""))</f>
        <v/>
      </c>
      <c r="AC160" t="str">
        <f>IF('Detalle individual'!D160="","",IF(COUNTIF('Detalle individual'!$D$5:D160,'Detalle individual'!D160)=1,COUNTIF('Detalle individual'!$D$5:$D$1000,"&lt;"&amp;'Detalle individual'!D160),""))</f>
        <v/>
      </c>
      <c r="AH160" t="str">
        <f>IF('Detalle individual'!F160="Pendiente",COUNTIF('Detalle individual'!$D$5:$D$1000,"&lt;"&amp;'Detalle individual'!D160)*1000000+COUNTIF('Detalle individual'!$C$5:$C$1000,"&lt;"&amp;'Detalle individual'!C160)*1000+COUNTIF('Detalle individual'!$B$5:$B$1000,"&lt;"&amp;'Detalle individual'!B160)+ROW()/10000,"")</f>
        <v/>
      </c>
      <c r="AI160">
        <f>IF('Detalle individual'!F160="Completado",COUNTIF('Detalle individual'!$D$5:$D$1000,"&lt;"&amp;'Detalle individual'!D160)*1000000+COUNTIF('Detalle individual'!$C$5:$C$1000,"&lt;"&amp;'Detalle individual'!C160)*1000+COUNTIF('Detalle individual'!$B$5:$B$1000,"&lt;"&amp;'Detalle individual'!B160)+ROW()/10000,"")</f>
        <v>764859971.016</v>
      </c>
      <c r="AJ160" t="str">
        <f>IF(AND('Detalle individual'!F160&lt;&gt;"",'Detalle individual'!F160&lt;&gt;"Completado",'Detalle individual'!F160&lt;&gt;"Pendiente"),COUNTIF('Detalle individual'!$D$5:$D$1000,"&lt;"&amp;'Detalle individual'!D160)*1000000+COUNTIF('Detalle individual'!$C$5:$C$1000,"&lt;"&amp;'Detalle individual'!C160)*1000+COUNTIF('Detalle individual'!$B$5:$B$1000,"&lt;"&amp;'Detalle individual'!B160)+ROW()/10000,"")</f>
        <v/>
      </c>
      <c r="AK160">
        <f>IF(OR('Base Exámenes'!C160="",'Base Exámenes'!D160=""),"",IF(COUNTIF('Base Exámenes'!$C$5:C160,'Base Exámenes'!C160)=1,'Base Exámenes'!D160+ROW()/1000000000,""))</f>
        <v>46305.406678402775</v>
      </c>
      <c r="AL160">
        <f>IF(OR('Base Exámenes'!C160="",'Base Exámenes'!E160=""),"",IF(COUNTIF('Base Exámenes'!$C$5:C160,'Base Exámenes'!C160)=1,'Base Exámenes'!E160+ROW()/1000000000,""))</f>
        <v>46305.40980340278</v>
      </c>
      <c r="AM160">
        <f>IF(OR('Base Exámenes'!C160="",'Base Exámenes'!G160=""),"",IF(ROW()-4=MATCH('Base Exámenes'!C160&amp;"|"&amp;_xlfn.MAXIFS('Base Exámenes'!$G$5:$G$1000,'Base Exámenes'!$C$5:$C$1000,'Base Exámenes'!C160),'Base Exámenes'!$I$5:$I$1000,0),'Base Exámenes'!G160*1000000+(-1)*'Base Exámenes'!D160,""))</f>
        <v>99953694.5933218</v>
      </c>
      <c r="AQ160" t="str">
        <f>IF('Base Exámenes'!C160="","",IF(COUNTIF('Base Exámenes'!$C$5:$C$1000,'Base Exámenes'!C160)&lt;2,"",MATCH('Base Exámenes'!C160,'Base Exámenes'!$C$5:$C$1000,0)*10000+ROW()))</f>
        <v/>
      </c>
    </row>
    <row r="161">
      <c r="Z161">
        <f>IF('Detalle individual'!A161="","",IF(AND(OR('Estado por Colaborador'!$D$4="Todas las gerencias",'Detalle individual'!D161='Estado por Colaborador'!$D$4),OR('Estado por Colaborador'!$D$5="Todos los departamentos",TRIM('Detalle individual'!C161)='Estado por Colaborador'!$D$5),OR('Estado por Colaborador'!$D$6="Todos",'Detalle individual'!F161='Estado por Colaborador'!$D$6)),IF('Detalle individual'!F161="Completado",30000000,IF('Detalle individual'!F161="Pendiente",0,15000000))+COUNTIF('Detalle individual'!$C$5:$C$1000,"&lt;"&amp;'Detalle individual'!C161)*10000+ROW(),""))</f>
        <v>38590161</v>
      </c>
      <c r="AB161" t="str">
        <f>IF('Detalle individual'!C161="","",IF(COUNTIF('Detalle individual'!$C$5:C161,'Detalle individual'!C161)=1,COUNTIF('Detalle individual'!$C$5:$C$1000,"&lt;"&amp;'Detalle individual'!C161),""))</f>
        <v/>
      </c>
      <c r="AC161" t="str">
        <f>IF('Detalle individual'!D161="","",IF(COUNTIF('Detalle individual'!$D$5:D161,'Detalle individual'!D161)=1,COUNTIF('Detalle individual'!$D$5:$D$1000,"&lt;"&amp;'Detalle individual'!D161),""))</f>
        <v/>
      </c>
      <c r="AH161" t="str">
        <f>IF('Detalle individual'!F161="Pendiente",COUNTIF('Detalle individual'!$D$5:$D$1000,"&lt;"&amp;'Detalle individual'!D161)*1000000+COUNTIF('Detalle individual'!$C$5:$C$1000,"&lt;"&amp;'Detalle individual'!C161)*1000+COUNTIF('Detalle individual'!$B$5:$B$1000,"&lt;"&amp;'Detalle individual'!B161)+ROW()/10000,"")</f>
        <v/>
      </c>
      <c r="AI161">
        <f>IF('Detalle individual'!F161="Completado",COUNTIF('Detalle individual'!$D$5:$D$1000,"&lt;"&amp;'Detalle individual'!D161)*1000000+COUNTIF('Detalle individual'!$C$5:$C$1000,"&lt;"&amp;'Detalle individual'!C161)*1000+COUNTIF('Detalle individual'!$B$5:$B$1000,"&lt;"&amp;'Detalle individual'!B161)+ROW()/10000,"")</f>
        <v>764859873.0161</v>
      </c>
      <c r="AJ161" t="str">
        <f>IF(AND('Detalle individual'!F161&lt;&gt;"",'Detalle individual'!F161&lt;&gt;"Completado",'Detalle individual'!F161&lt;&gt;"Pendiente"),COUNTIF('Detalle individual'!$D$5:$D$1000,"&lt;"&amp;'Detalle individual'!D161)*1000000+COUNTIF('Detalle individual'!$C$5:$C$1000,"&lt;"&amp;'Detalle individual'!C161)*1000+COUNTIF('Detalle individual'!$B$5:$B$1000,"&lt;"&amp;'Detalle individual'!B161)+ROW()/10000,"")</f>
        <v/>
      </c>
      <c r="AK161">
        <f>IF(OR('Base Exámenes'!C161="",'Base Exámenes'!D161=""),"",IF(COUNTIF('Base Exámenes'!$C$5:C161,'Base Exámenes'!C161)=1,'Base Exámenes'!D161+ROW()/1000000000,""))</f>
        <v>46305.40778951389</v>
      </c>
      <c r="AL161">
        <f>IF(OR('Base Exámenes'!C161="",'Base Exámenes'!E161=""),"",IF(COUNTIF('Base Exámenes'!$C$5:C161,'Base Exámenes'!C161)=1,'Base Exámenes'!E161+ROW()/1000000000,""))</f>
        <v>46305.411284884256</v>
      </c>
      <c r="AM161">
        <f>IF(OR('Base Exámenes'!C161="",'Base Exámenes'!G161=""),"",IF(ROW()-4=MATCH('Base Exámenes'!C161&amp;"|"&amp;_xlfn.MAXIFS('Base Exámenes'!$G$5:$G$1000,'Base Exámenes'!$C$5:$C$1000,'Base Exámenes'!C161),'Base Exámenes'!$I$5:$I$1000,0),'Base Exámenes'!G161*1000000+(-1)*'Base Exámenes'!D161,""))</f>
        <v>99953694.5922107</v>
      </c>
      <c r="AQ161" t="str">
        <f>IF('Base Exámenes'!C161="","",IF(COUNTIF('Base Exámenes'!$C$5:$C$1000,'Base Exámenes'!C161)&lt;2,"",MATCH('Base Exámenes'!C161,'Base Exámenes'!$C$5:$C$1000,0)*10000+ROW()))</f>
        <v/>
      </c>
    </row>
    <row r="162">
      <c r="Z162">
        <f>IF('Detalle individual'!A162="","",IF(AND(OR('Estado por Colaborador'!$D$4="Todas las gerencias",'Detalle individual'!D162='Estado por Colaborador'!$D$4),OR('Estado por Colaborador'!$D$5="Todos los departamentos",TRIM('Detalle individual'!C162)='Estado por Colaborador'!$D$5),OR('Estado por Colaborador'!$D$6="Todos",'Detalle individual'!F162='Estado por Colaborador'!$D$6)),IF('Detalle individual'!F162="Completado",30000000,IF('Detalle individual'!F162="Pendiente",0,15000000))+COUNTIF('Detalle individual'!$C$5:$C$1000,"&lt;"&amp;'Detalle individual'!C162)*10000+ROW(),""))</f>
        <v>38590162</v>
      </c>
      <c r="AB162" t="str">
        <f>IF('Detalle individual'!C162="","",IF(COUNTIF('Detalle individual'!$C$5:C162,'Detalle individual'!C162)=1,COUNTIF('Detalle individual'!$C$5:$C$1000,"&lt;"&amp;'Detalle individual'!C162),""))</f>
        <v/>
      </c>
      <c r="AC162" t="str">
        <f>IF('Detalle individual'!D162="","",IF(COUNTIF('Detalle individual'!$D$5:D162,'Detalle individual'!D162)=1,COUNTIF('Detalle individual'!$D$5:$D$1000,"&lt;"&amp;'Detalle individual'!D162),""))</f>
        <v/>
      </c>
      <c r="AH162" t="str">
        <f>IF('Detalle individual'!F162="Pendiente",COUNTIF('Detalle individual'!$D$5:$D$1000,"&lt;"&amp;'Detalle individual'!D162)*1000000+COUNTIF('Detalle individual'!$C$5:$C$1000,"&lt;"&amp;'Detalle individual'!C162)*1000+COUNTIF('Detalle individual'!$B$5:$B$1000,"&lt;"&amp;'Detalle individual'!B162)+ROW()/10000,"")</f>
        <v/>
      </c>
      <c r="AI162">
        <f>IF('Detalle individual'!F162="Completado",COUNTIF('Detalle individual'!$D$5:$D$1000,"&lt;"&amp;'Detalle individual'!D162)*1000000+COUNTIF('Detalle individual'!$C$5:$C$1000,"&lt;"&amp;'Detalle individual'!C162)*1000+COUNTIF('Detalle individual'!$B$5:$B$1000,"&lt;"&amp;'Detalle individual'!B162)+ROW()/10000,"")</f>
        <v>764859763.0162</v>
      </c>
      <c r="AJ162" t="str">
        <f>IF(AND('Detalle individual'!F162&lt;&gt;"",'Detalle individual'!F162&lt;&gt;"Completado",'Detalle individual'!F162&lt;&gt;"Pendiente"),COUNTIF('Detalle individual'!$D$5:$D$1000,"&lt;"&amp;'Detalle individual'!D162)*1000000+COUNTIF('Detalle individual'!$C$5:$C$1000,"&lt;"&amp;'Detalle individual'!C162)*1000+COUNTIF('Detalle individual'!$B$5:$B$1000,"&lt;"&amp;'Detalle individual'!B162)+ROW()/10000,"")</f>
        <v/>
      </c>
      <c r="AK162">
        <f>IF(OR('Base Exámenes'!C162="",'Base Exámenes'!D162=""),"",IF(COUNTIF('Base Exámenes'!$C$5:C162,'Base Exámenes'!C162)=1,'Base Exámenes'!D162+ROW()/1000000000,""))</f>
        <v>46305.40527793981</v>
      </c>
      <c r="AL162">
        <f>IF(OR('Base Exámenes'!C162="",'Base Exámenes'!E162=""),"",IF(COUNTIF('Base Exámenes'!$C$5:C162,'Base Exámenes'!C162)=1,'Base Exámenes'!E162+ROW()/1000000000,""))</f>
        <v>46305.413229328704</v>
      </c>
      <c r="AM162">
        <f>IF(OR('Base Exámenes'!C162="",'Base Exámenes'!G162=""),"",IF(ROW()-4=MATCH('Base Exámenes'!C162&amp;"|"&amp;_xlfn.MAXIFS('Base Exámenes'!$G$5:$G$1000,'Base Exámenes'!$C$5:$C$1000,'Base Exámenes'!C162),'Base Exámenes'!$I$5:$I$1000,0),'Base Exámenes'!G162*1000000+(-1)*'Base Exámenes'!D162,""))</f>
        <v>99953694.5947222</v>
      </c>
      <c r="AQ162" t="str">
        <f>IF('Base Exámenes'!C162="","",IF(COUNTIF('Base Exámenes'!$C$5:$C$1000,'Base Exámenes'!C162)&lt;2,"",MATCH('Base Exámenes'!C162,'Base Exámenes'!$C$5:$C$1000,0)*10000+ROW()))</f>
        <v/>
      </c>
    </row>
    <row r="163">
      <c r="Z163">
        <f>IF('Detalle individual'!A163="","",IF(AND(OR('Estado por Colaborador'!$D$4="Todas las gerencias",'Detalle individual'!D163='Estado por Colaborador'!$D$4),OR('Estado por Colaborador'!$D$5="Todos los departamentos",TRIM('Detalle individual'!C163)='Estado por Colaborador'!$D$5),OR('Estado por Colaborador'!$D$6="Todos",'Detalle individual'!F163='Estado por Colaborador'!$D$6)),IF('Detalle individual'!F163="Completado",30000000,IF('Detalle individual'!F163="Pendiente",0,15000000))+COUNTIF('Detalle individual'!$C$5:$C$1000,"&lt;"&amp;'Detalle individual'!C163)*10000+ROW(),""))</f>
        <v>38590163</v>
      </c>
      <c r="AB163" t="str">
        <f>IF('Detalle individual'!C163="","",IF(COUNTIF('Detalle individual'!$C$5:C163,'Detalle individual'!C163)=1,COUNTIF('Detalle individual'!$C$5:$C$1000,"&lt;"&amp;'Detalle individual'!C163),""))</f>
        <v/>
      </c>
      <c r="AC163" t="str">
        <f>IF('Detalle individual'!D163="","",IF(COUNTIF('Detalle individual'!$D$5:D163,'Detalle individual'!D163)=1,COUNTIF('Detalle individual'!$D$5:$D$1000,"&lt;"&amp;'Detalle individual'!D163),""))</f>
        <v/>
      </c>
      <c r="AH163" t="str">
        <f>IF('Detalle individual'!F163="Pendiente",COUNTIF('Detalle individual'!$D$5:$D$1000,"&lt;"&amp;'Detalle individual'!D163)*1000000+COUNTIF('Detalle individual'!$C$5:$C$1000,"&lt;"&amp;'Detalle individual'!C163)*1000+COUNTIF('Detalle individual'!$B$5:$B$1000,"&lt;"&amp;'Detalle individual'!B163)+ROW()/10000,"")</f>
        <v/>
      </c>
      <c r="AI163">
        <f>IF('Detalle individual'!F163="Completado",COUNTIF('Detalle individual'!$D$5:$D$1000,"&lt;"&amp;'Detalle individual'!D163)*1000000+COUNTIF('Detalle individual'!$C$5:$C$1000,"&lt;"&amp;'Detalle individual'!C163)*1000+COUNTIF('Detalle individual'!$B$5:$B$1000,"&lt;"&amp;'Detalle individual'!B163)+ROW()/10000,"")</f>
        <v>764859913.0163</v>
      </c>
      <c r="AJ163" t="str">
        <f>IF(AND('Detalle individual'!F163&lt;&gt;"",'Detalle individual'!F163&lt;&gt;"Completado",'Detalle individual'!F163&lt;&gt;"Pendiente"),COUNTIF('Detalle individual'!$D$5:$D$1000,"&lt;"&amp;'Detalle individual'!D163)*1000000+COUNTIF('Detalle individual'!$C$5:$C$1000,"&lt;"&amp;'Detalle individual'!C163)*1000+COUNTIF('Detalle individual'!$B$5:$B$1000,"&lt;"&amp;'Detalle individual'!B163)+ROW()/10000,"")</f>
        <v/>
      </c>
      <c r="AK163">
        <f>IF(OR('Base Exámenes'!C163="",'Base Exámenes'!D163=""),"",IF(COUNTIF('Base Exámenes'!$C$5:C163,'Base Exámenes'!C163)=1,'Base Exámenes'!D163+ROW()/1000000000,""))</f>
        <v>46305.425150625</v>
      </c>
      <c r="AL163">
        <f>IF(OR('Base Exámenes'!C163="",'Base Exámenes'!E163=""),"",IF(COUNTIF('Base Exámenes'!$C$5:C163,'Base Exámenes'!C163)=1,'Base Exámenes'!E163+ROW()/1000000000,""))</f>
        <v>46305.43096081018</v>
      </c>
      <c r="AM163">
        <f>IF(OR('Base Exámenes'!C163="",'Base Exámenes'!G163=""),"",IF(ROW()-4=MATCH('Base Exámenes'!C163&amp;"|"&amp;_xlfn.MAXIFS('Base Exámenes'!$G$5:$G$1000,'Base Exámenes'!$C$5:$C$1000,'Base Exámenes'!C163),'Base Exámenes'!$I$5:$I$1000,0),'Base Exámenes'!G163*1000000+(-1)*'Base Exámenes'!D163,""))</f>
        <v>99953694.5748495</v>
      </c>
      <c r="AQ163" t="str">
        <f>IF('Base Exámenes'!C163="","",IF(COUNTIF('Base Exámenes'!$C$5:$C$1000,'Base Exámenes'!C163)&lt;2,"",MATCH('Base Exámenes'!C163,'Base Exámenes'!$C$5:$C$1000,0)*10000+ROW()))</f>
        <v/>
      </c>
    </row>
    <row r="164">
      <c r="Z164">
        <f>IF('Detalle individual'!A164="","",IF(AND(OR('Estado por Colaborador'!$D$4="Todas las gerencias",'Detalle individual'!D164='Estado por Colaborador'!$D$4),OR('Estado por Colaborador'!$D$5="Todos los departamentos",TRIM('Detalle individual'!C164)='Estado por Colaborador'!$D$5),OR('Estado por Colaborador'!$D$6="Todos",'Detalle individual'!F164='Estado por Colaborador'!$D$6)),IF('Detalle individual'!F164="Completado",30000000,IF('Detalle individual'!F164="Pendiente",0,15000000))+COUNTIF('Detalle individual'!$C$5:$C$1000,"&lt;"&amp;'Detalle individual'!C164)*10000+ROW(),""))</f>
        <v>38590164</v>
      </c>
      <c r="AB164" t="str">
        <f>IF('Detalle individual'!C164="","",IF(COUNTIF('Detalle individual'!$C$5:C164,'Detalle individual'!C164)=1,COUNTIF('Detalle individual'!$C$5:$C$1000,"&lt;"&amp;'Detalle individual'!C164),""))</f>
        <v/>
      </c>
      <c r="AC164" t="str">
        <f>IF('Detalle individual'!D164="","",IF(COUNTIF('Detalle individual'!$D$5:D164,'Detalle individual'!D164)=1,COUNTIF('Detalle individual'!$D$5:$D$1000,"&lt;"&amp;'Detalle individual'!D164),""))</f>
        <v/>
      </c>
      <c r="AH164" t="str">
        <f>IF('Detalle individual'!F164="Pendiente",COUNTIF('Detalle individual'!$D$5:$D$1000,"&lt;"&amp;'Detalle individual'!D164)*1000000+COUNTIF('Detalle individual'!$C$5:$C$1000,"&lt;"&amp;'Detalle individual'!C164)*1000+COUNTIF('Detalle individual'!$B$5:$B$1000,"&lt;"&amp;'Detalle individual'!B164)+ROW()/10000,"")</f>
        <v/>
      </c>
      <c r="AI164">
        <f>IF('Detalle individual'!F164="Completado",COUNTIF('Detalle individual'!$D$5:$D$1000,"&lt;"&amp;'Detalle individual'!D164)*1000000+COUNTIF('Detalle individual'!$C$5:$C$1000,"&lt;"&amp;'Detalle individual'!C164)*1000+COUNTIF('Detalle individual'!$B$5:$B$1000,"&lt;"&amp;'Detalle individual'!B164)+ROW()/10000,"")</f>
        <v>764859911.0164</v>
      </c>
      <c r="AJ164" t="str">
        <f>IF(AND('Detalle individual'!F164&lt;&gt;"",'Detalle individual'!F164&lt;&gt;"Completado",'Detalle individual'!F164&lt;&gt;"Pendiente"),COUNTIF('Detalle individual'!$D$5:$D$1000,"&lt;"&amp;'Detalle individual'!D164)*1000000+COUNTIF('Detalle individual'!$C$5:$C$1000,"&lt;"&amp;'Detalle individual'!C164)*1000+COUNTIF('Detalle individual'!$B$5:$B$1000,"&lt;"&amp;'Detalle individual'!B164)+ROW()/10000,"")</f>
        <v/>
      </c>
      <c r="AK164">
        <f>IF(OR('Base Exámenes'!C164="",'Base Exámenes'!D164=""),"",IF(COUNTIF('Base Exámenes'!$C$5:C164,'Base Exámenes'!C164)=1,'Base Exámenes'!D164+ROW()/1000000000,""))</f>
        <v>46305.436933032404</v>
      </c>
      <c r="AL164">
        <f>IF(OR('Base Exámenes'!C164="",'Base Exámenes'!E164=""),"",IF(COUNTIF('Base Exámenes'!$C$5:C164,'Base Exámenes'!C164)=1,'Base Exámenes'!E164+ROW()/1000000000,""))</f>
        <v>46305.44142377315</v>
      </c>
      <c r="AM164">
        <f>IF(OR('Base Exámenes'!C164="",'Base Exámenes'!G164=""),"",IF(ROW()-4=MATCH('Base Exámenes'!C164&amp;"|"&amp;_xlfn.MAXIFS('Base Exámenes'!$G$5:$G$1000,'Base Exámenes'!$C$5:$C$1000,'Base Exámenes'!C164),'Base Exámenes'!$I$5:$I$1000,0),'Base Exámenes'!G164*1000000+(-1)*'Base Exámenes'!D164,""))</f>
        <v>99953694.5630671</v>
      </c>
      <c r="AQ164" t="str">
        <f>IF('Base Exámenes'!C164="","",IF(COUNTIF('Base Exámenes'!$C$5:$C$1000,'Base Exámenes'!C164)&lt;2,"",MATCH('Base Exámenes'!C164,'Base Exámenes'!$C$5:$C$1000,0)*10000+ROW()))</f>
        <v/>
      </c>
    </row>
    <row r="165">
      <c r="Z165">
        <f>IF('Detalle individual'!A165="","",IF(AND(OR('Estado por Colaborador'!$D$4="Todas las gerencias",'Detalle individual'!D165='Estado por Colaborador'!$D$4),OR('Estado por Colaborador'!$D$5="Todos los departamentos",TRIM('Detalle individual'!C165)='Estado por Colaborador'!$D$5),OR('Estado por Colaborador'!$D$6="Todos",'Detalle individual'!F165='Estado por Colaborador'!$D$6)),IF('Detalle individual'!F165="Completado",30000000,IF('Detalle individual'!F165="Pendiente",0,15000000))+COUNTIF('Detalle individual'!$C$5:$C$1000,"&lt;"&amp;'Detalle individual'!C165)*10000+ROW(),""))</f>
        <v>39070165</v>
      </c>
      <c r="AB165">
        <f>IF('Detalle individual'!C165="","",IF(COUNTIF('Detalle individual'!$C$5:C165,'Detalle individual'!C165)=1,COUNTIF('Detalle individual'!$C$5:$C$1000,"&lt;"&amp;'Detalle individual'!C165),""))</f>
        <v>907</v>
      </c>
      <c r="AC165" t="str">
        <f>IF('Detalle individual'!D165="","",IF(COUNTIF('Detalle individual'!$D$5:D165,'Detalle individual'!D165)=1,COUNTIF('Detalle individual'!$D$5:$D$1000,"&lt;"&amp;'Detalle individual'!D165),""))</f>
        <v/>
      </c>
      <c r="AH165" t="str">
        <f>IF('Detalle individual'!F165="Pendiente",COUNTIF('Detalle individual'!$D$5:$D$1000,"&lt;"&amp;'Detalle individual'!D165)*1000000+COUNTIF('Detalle individual'!$C$5:$C$1000,"&lt;"&amp;'Detalle individual'!C165)*1000+COUNTIF('Detalle individual'!$B$5:$B$1000,"&lt;"&amp;'Detalle individual'!B165)+ROW()/10000,"")</f>
        <v/>
      </c>
      <c r="AI165">
        <f>IF('Detalle individual'!F165="Completado",COUNTIF('Detalle individual'!$D$5:$D$1000,"&lt;"&amp;'Detalle individual'!D165)*1000000+COUNTIF('Detalle individual'!$C$5:$C$1000,"&lt;"&amp;'Detalle individual'!C165)*1000+COUNTIF('Detalle individual'!$B$5:$B$1000,"&lt;"&amp;'Detalle individual'!B165)+ROW()/10000,"")</f>
        <v>764907756.0165</v>
      </c>
      <c r="AJ165" t="str">
        <f>IF(AND('Detalle individual'!F165&lt;&gt;"",'Detalle individual'!F165&lt;&gt;"Completado",'Detalle individual'!F165&lt;&gt;"Pendiente"),COUNTIF('Detalle individual'!$D$5:$D$1000,"&lt;"&amp;'Detalle individual'!D165)*1000000+COUNTIF('Detalle individual'!$C$5:$C$1000,"&lt;"&amp;'Detalle individual'!C165)*1000+COUNTIF('Detalle individual'!$B$5:$B$1000,"&lt;"&amp;'Detalle individual'!B165)+ROW()/10000,"")</f>
        <v/>
      </c>
      <c r="AK165">
        <f>IF(OR('Base Exámenes'!C165="",'Base Exámenes'!D165=""),"",IF(COUNTIF('Base Exámenes'!$C$5:C165,'Base Exámenes'!C165)=1,'Base Exámenes'!D165+ROW()/1000000000,""))</f>
        <v>46305.45777793982</v>
      </c>
      <c r="AL165">
        <f>IF(OR('Base Exámenes'!C165="",'Base Exámenes'!E165=""),"",IF(COUNTIF('Base Exámenes'!$C$5:C165,'Base Exámenes'!C165)=1,'Base Exámenes'!E165+ROW()/1000000000,""))</f>
        <v>46305.46590293982</v>
      </c>
      <c r="AM165">
        <f>IF(OR('Base Exámenes'!C165="",'Base Exámenes'!G165=""),"",IF(ROW()-4=MATCH('Base Exámenes'!C165&amp;"|"&amp;_xlfn.MAXIFS('Base Exámenes'!$G$5:$G$1000,'Base Exámenes'!$C$5:$C$1000,'Base Exámenes'!C165),'Base Exámenes'!$I$5:$I$1000,0),'Base Exámenes'!G165*1000000+(-1)*'Base Exámenes'!D165,""))</f>
        <v>89953694.5422222</v>
      </c>
      <c r="AQ165" t="str">
        <f>IF('Base Exámenes'!C165="","",IF(COUNTIF('Base Exámenes'!$C$5:$C$1000,'Base Exámenes'!C165)&lt;2,"",MATCH('Base Exámenes'!C165,'Base Exámenes'!$C$5:$C$1000,0)*10000+ROW()))</f>
        <v/>
      </c>
    </row>
    <row r="166">
      <c r="Z166">
        <f>IF('Detalle individual'!A166="","",IF(AND(OR('Estado por Colaborador'!$D$4="Todas las gerencias",'Detalle individual'!D166='Estado por Colaborador'!$D$4),OR('Estado por Colaborador'!$D$5="Todos los departamentos",TRIM('Detalle individual'!C166)='Estado por Colaborador'!$D$5),OR('Estado por Colaborador'!$D$6="Todos",'Detalle individual'!F166='Estado por Colaborador'!$D$6)),IF('Detalle individual'!F166="Completado",30000000,IF('Detalle individual'!F166="Pendiente",0,15000000))+COUNTIF('Detalle individual'!$C$5:$C$1000,"&lt;"&amp;'Detalle individual'!C166)*10000+ROW(),""))</f>
        <v>39070166</v>
      </c>
      <c r="AB166" t="str">
        <f>IF('Detalle individual'!C166="","",IF(COUNTIF('Detalle individual'!$C$5:C166,'Detalle individual'!C166)=1,COUNTIF('Detalle individual'!$C$5:$C$1000,"&lt;"&amp;'Detalle individual'!C166),""))</f>
        <v/>
      </c>
      <c r="AC166" t="str">
        <f>IF('Detalle individual'!D166="","",IF(COUNTIF('Detalle individual'!$D$5:D166,'Detalle individual'!D166)=1,COUNTIF('Detalle individual'!$D$5:$D$1000,"&lt;"&amp;'Detalle individual'!D166),""))</f>
        <v/>
      </c>
      <c r="AH166" t="str">
        <f>IF('Detalle individual'!F166="Pendiente",COUNTIF('Detalle individual'!$D$5:$D$1000,"&lt;"&amp;'Detalle individual'!D166)*1000000+COUNTIF('Detalle individual'!$C$5:$C$1000,"&lt;"&amp;'Detalle individual'!C166)*1000+COUNTIF('Detalle individual'!$B$5:$B$1000,"&lt;"&amp;'Detalle individual'!B166)+ROW()/10000,"")</f>
        <v/>
      </c>
      <c r="AI166">
        <f>IF('Detalle individual'!F166="Completado",COUNTIF('Detalle individual'!$D$5:$D$1000,"&lt;"&amp;'Detalle individual'!D166)*1000000+COUNTIF('Detalle individual'!$C$5:$C$1000,"&lt;"&amp;'Detalle individual'!C166)*1000+COUNTIF('Detalle individual'!$B$5:$B$1000,"&lt;"&amp;'Detalle individual'!B166)+ROW()/10000,"")</f>
        <v>764907760.0166</v>
      </c>
      <c r="AJ166" t="str">
        <f>IF(AND('Detalle individual'!F166&lt;&gt;"",'Detalle individual'!F166&lt;&gt;"Completado",'Detalle individual'!F166&lt;&gt;"Pendiente"),COUNTIF('Detalle individual'!$D$5:$D$1000,"&lt;"&amp;'Detalle individual'!D166)*1000000+COUNTIF('Detalle individual'!$C$5:$C$1000,"&lt;"&amp;'Detalle individual'!C166)*1000+COUNTIF('Detalle individual'!$B$5:$B$1000,"&lt;"&amp;'Detalle individual'!B166)+ROW()/10000,"")</f>
        <v/>
      </c>
      <c r="AK166">
        <f>IF(OR('Base Exámenes'!C166="",'Base Exámenes'!D166=""),"",IF(COUNTIF('Base Exámenes'!$C$5:C166,'Base Exámenes'!C166)=1,'Base Exámenes'!D166+ROW()/1000000000,""))</f>
        <v>46305.46745386574</v>
      </c>
      <c r="AL166">
        <f>IF(OR('Base Exámenes'!C166="",'Base Exámenes'!E166=""),"",IF(COUNTIF('Base Exámenes'!$C$5:C166,'Base Exámenes'!C166)=1,'Base Exámenes'!E166+ROW()/1000000000,""))</f>
        <v>46305.47055571759</v>
      </c>
      <c r="AM166">
        <f>IF(OR('Base Exámenes'!C166="",'Base Exámenes'!G166=""),"",IF(ROW()-4=MATCH('Base Exámenes'!C166&amp;"|"&amp;_xlfn.MAXIFS('Base Exámenes'!$G$5:$G$1000,'Base Exámenes'!$C$5:$C$1000,'Base Exámenes'!C166),'Base Exámenes'!$I$5:$I$1000,0),'Base Exámenes'!G166*1000000+(-1)*'Base Exámenes'!D166,""))</f>
        <v>99953694.5325463</v>
      </c>
      <c r="AQ166" t="str">
        <f>IF('Base Exámenes'!C166="","",IF(COUNTIF('Base Exámenes'!$C$5:$C$1000,'Base Exámenes'!C166)&lt;2,"",MATCH('Base Exámenes'!C166,'Base Exámenes'!$C$5:$C$1000,0)*10000+ROW()))</f>
        <v/>
      </c>
    </row>
    <row r="167">
      <c r="Z167">
        <f>IF('Detalle individual'!A167="","",IF(AND(OR('Estado por Colaborador'!$D$4="Todas las gerencias",'Detalle individual'!D167='Estado por Colaborador'!$D$4),OR('Estado por Colaborador'!$D$5="Todos los departamentos",TRIM('Detalle individual'!C167)='Estado por Colaborador'!$D$5),OR('Estado por Colaborador'!$D$6="Todos",'Detalle individual'!F167='Estado por Colaborador'!$D$6)),IF('Detalle individual'!F167="Completado",30000000,IF('Detalle individual'!F167="Pendiente",0,15000000))+COUNTIF('Detalle individual'!$C$5:$C$1000,"&lt;"&amp;'Detalle individual'!C167)*10000+ROW(),""))</f>
        <v>39070167</v>
      </c>
      <c r="AB167" t="str">
        <f>IF('Detalle individual'!C167="","",IF(COUNTIF('Detalle individual'!$C$5:C167,'Detalle individual'!C167)=1,COUNTIF('Detalle individual'!$C$5:$C$1000,"&lt;"&amp;'Detalle individual'!C167),""))</f>
        <v/>
      </c>
      <c r="AC167" t="str">
        <f>IF('Detalle individual'!D167="","",IF(COUNTIF('Detalle individual'!$D$5:D167,'Detalle individual'!D167)=1,COUNTIF('Detalle individual'!$D$5:$D$1000,"&lt;"&amp;'Detalle individual'!D167),""))</f>
        <v/>
      </c>
      <c r="AH167" t="str">
        <f>IF('Detalle individual'!F167="Pendiente",COUNTIF('Detalle individual'!$D$5:$D$1000,"&lt;"&amp;'Detalle individual'!D167)*1000000+COUNTIF('Detalle individual'!$C$5:$C$1000,"&lt;"&amp;'Detalle individual'!C167)*1000+COUNTIF('Detalle individual'!$B$5:$B$1000,"&lt;"&amp;'Detalle individual'!B167)+ROW()/10000,"")</f>
        <v/>
      </c>
      <c r="AI167">
        <f>IF('Detalle individual'!F167="Completado",COUNTIF('Detalle individual'!$D$5:$D$1000,"&lt;"&amp;'Detalle individual'!D167)*1000000+COUNTIF('Detalle individual'!$C$5:$C$1000,"&lt;"&amp;'Detalle individual'!C167)*1000+COUNTIF('Detalle individual'!$B$5:$B$1000,"&lt;"&amp;'Detalle individual'!B167)+ROW()/10000,"")</f>
        <v>764907736.0167</v>
      </c>
      <c r="AJ167" t="str">
        <f>IF(AND('Detalle individual'!F167&lt;&gt;"",'Detalle individual'!F167&lt;&gt;"Completado",'Detalle individual'!F167&lt;&gt;"Pendiente"),COUNTIF('Detalle individual'!$D$5:$D$1000,"&lt;"&amp;'Detalle individual'!D167)*1000000+COUNTIF('Detalle individual'!$C$5:$C$1000,"&lt;"&amp;'Detalle individual'!C167)*1000+COUNTIF('Detalle individual'!$B$5:$B$1000,"&lt;"&amp;'Detalle individual'!B167)+ROW()/10000,"")</f>
        <v/>
      </c>
      <c r="AK167">
        <f>IF(OR('Base Exámenes'!C167="",'Base Exámenes'!D167=""),"",IF(COUNTIF('Base Exámenes'!$C$5:C167,'Base Exámenes'!C167)=1,'Base Exámenes'!D167+ROW()/1000000000,""))</f>
        <v>46305.46927099537</v>
      </c>
      <c r="AL167">
        <f>IF(OR('Base Exámenes'!C167="",'Base Exámenes'!E167=""),"",IF(COUNTIF('Base Exámenes'!$C$5:C167,'Base Exámenes'!C167)=1,'Base Exámenes'!E167+ROW()/1000000000,""))</f>
        <v>46305.47964136574</v>
      </c>
      <c r="AM167">
        <f>IF(OR('Base Exámenes'!C167="",'Base Exámenes'!G167=""),"",IF(ROW()-4=MATCH('Base Exámenes'!C167&amp;"|"&amp;_xlfn.MAXIFS('Base Exámenes'!$G$5:$G$1000,'Base Exámenes'!$C$5:$C$1000,'Base Exámenes'!C167),'Base Exámenes'!$I$5:$I$1000,0),'Base Exámenes'!G167*1000000+(-1)*'Base Exámenes'!D167,""))</f>
        <v>89953694.5307292</v>
      </c>
      <c r="AQ167" t="str">
        <f>IF('Base Exámenes'!C167="","",IF(COUNTIF('Base Exámenes'!$C$5:$C$1000,'Base Exámenes'!C167)&lt;2,"",MATCH('Base Exámenes'!C167,'Base Exámenes'!$C$5:$C$1000,0)*10000+ROW()))</f>
        <v/>
      </c>
    </row>
    <row r="168">
      <c r="Z168">
        <f>IF('Detalle individual'!A168="","",IF(AND(OR('Estado por Colaborador'!$D$4="Todas las gerencias",'Detalle individual'!D168='Estado por Colaborador'!$D$4),OR('Estado por Colaborador'!$D$5="Todos los departamentos",TRIM('Detalle individual'!C168)='Estado por Colaborador'!$D$5),OR('Estado por Colaborador'!$D$6="Todos",'Detalle individual'!F168='Estado por Colaborador'!$D$6)),IF('Detalle individual'!F168="Completado",30000000,IF('Detalle individual'!F168="Pendiente",0,15000000))+COUNTIF('Detalle individual'!$C$5:$C$1000,"&lt;"&amp;'Detalle individual'!C168)*10000+ROW(),""))</f>
        <v>39070168</v>
      </c>
      <c r="AB168" t="str">
        <f>IF('Detalle individual'!C168="","",IF(COUNTIF('Detalle individual'!$C$5:C168,'Detalle individual'!C168)=1,COUNTIF('Detalle individual'!$C$5:$C$1000,"&lt;"&amp;'Detalle individual'!C168),""))</f>
        <v/>
      </c>
      <c r="AC168" t="str">
        <f>IF('Detalle individual'!D168="","",IF(COUNTIF('Detalle individual'!$D$5:D168,'Detalle individual'!D168)=1,COUNTIF('Detalle individual'!$D$5:$D$1000,"&lt;"&amp;'Detalle individual'!D168),""))</f>
        <v/>
      </c>
      <c r="AH168" t="str">
        <f>IF('Detalle individual'!F168="Pendiente",COUNTIF('Detalle individual'!$D$5:$D$1000,"&lt;"&amp;'Detalle individual'!D168)*1000000+COUNTIF('Detalle individual'!$C$5:$C$1000,"&lt;"&amp;'Detalle individual'!C168)*1000+COUNTIF('Detalle individual'!$B$5:$B$1000,"&lt;"&amp;'Detalle individual'!B168)+ROW()/10000,"")</f>
        <v/>
      </c>
      <c r="AI168">
        <f>IF('Detalle individual'!F168="Completado",COUNTIF('Detalle individual'!$D$5:$D$1000,"&lt;"&amp;'Detalle individual'!D168)*1000000+COUNTIF('Detalle individual'!$C$5:$C$1000,"&lt;"&amp;'Detalle individual'!C168)*1000+COUNTIF('Detalle individual'!$B$5:$B$1000,"&lt;"&amp;'Detalle individual'!B168)+ROW()/10000,"")</f>
        <v>764907885.0168</v>
      </c>
      <c r="AJ168" t="str">
        <f>IF(AND('Detalle individual'!F168&lt;&gt;"",'Detalle individual'!F168&lt;&gt;"Completado",'Detalle individual'!F168&lt;&gt;"Pendiente"),COUNTIF('Detalle individual'!$D$5:$D$1000,"&lt;"&amp;'Detalle individual'!D168)*1000000+COUNTIF('Detalle individual'!$C$5:$C$1000,"&lt;"&amp;'Detalle individual'!C168)*1000+COUNTIF('Detalle individual'!$B$5:$B$1000,"&lt;"&amp;'Detalle individual'!B168)+ROW()/10000,"")</f>
        <v/>
      </c>
      <c r="AK168">
        <f>IF(OR('Base Exámenes'!C168="",'Base Exámenes'!D168=""),"",IF(COUNTIF('Base Exámenes'!$C$5:C168,'Base Exámenes'!C168)=1,'Base Exámenes'!D168+ROW()/1000000000,""))</f>
        <v>46305.47315989583</v>
      </c>
      <c r="AL168">
        <f>IF(OR('Base Exámenes'!C168="",'Base Exámenes'!E168=""),"",IF(COUNTIF('Base Exámenes'!$C$5:C168,'Base Exámenes'!C168)=1,'Base Exámenes'!E168+ROW()/1000000000,""))</f>
        <v>46305.48725711805</v>
      </c>
      <c r="AM168">
        <f>IF(OR('Base Exámenes'!C168="",'Base Exámenes'!G168=""),"",IF(ROW()-4=MATCH('Base Exámenes'!C168&amp;"|"&amp;_xlfn.MAXIFS('Base Exámenes'!$G$5:$G$1000,'Base Exámenes'!$C$5:$C$1000,'Base Exámenes'!C168),'Base Exámenes'!$I$5:$I$1000,0),'Base Exámenes'!G168*1000000+(-1)*'Base Exámenes'!D168,""))</f>
        <v>89953694.5268403</v>
      </c>
      <c r="AQ168" t="str">
        <f>IF('Base Exámenes'!C168="","",IF(COUNTIF('Base Exámenes'!$C$5:$C$1000,'Base Exámenes'!C168)&lt;2,"",MATCH('Base Exámenes'!C168,'Base Exámenes'!$C$5:$C$1000,0)*10000+ROW()))</f>
        <v/>
      </c>
    </row>
    <row r="169">
      <c r="Z169">
        <f>IF('Detalle individual'!A169="","",IF(AND(OR('Estado por Colaborador'!$D$4="Todas las gerencias",'Detalle individual'!D169='Estado por Colaborador'!$D$4),OR('Estado por Colaborador'!$D$5="Todos los departamentos",TRIM('Detalle individual'!C169)='Estado por Colaborador'!$D$5),OR('Estado por Colaborador'!$D$6="Todos",'Detalle individual'!F169='Estado por Colaborador'!$D$6)),IF('Detalle individual'!F169="Completado",30000000,IF('Detalle individual'!F169="Pendiente",0,15000000))+COUNTIF('Detalle individual'!$C$5:$C$1000,"&lt;"&amp;'Detalle individual'!C169)*10000+ROW(),""))</f>
        <v>39070169</v>
      </c>
      <c r="AB169" t="str">
        <f>IF('Detalle individual'!C169="","",IF(COUNTIF('Detalle individual'!$C$5:C169,'Detalle individual'!C169)=1,COUNTIF('Detalle individual'!$C$5:$C$1000,"&lt;"&amp;'Detalle individual'!C169),""))</f>
        <v/>
      </c>
      <c r="AC169" t="str">
        <f>IF('Detalle individual'!D169="","",IF(COUNTIF('Detalle individual'!$D$5:D169,'Detalle individual'!D169)=1,COUNTIF('Detalle individual'!$D$5:$D$1000,"&lt;"&amp;'Detalle individual'!D169),""))</f>
        <v/>
      </c>
      <c r="AH169" t="str">
        <f>IF('Detalle individual'!F169="Pendiente",COUNTIF('Detalle individual'!$D$5:$D$1000,"&lt;"&amp;'Detalle individual'!D169)*1000000+COUNTIF('Detalle individual'!$C$5:$C$1000,"&lt;"&amp;'Detalle individual'!C169)*1000+COUNTIF('Detalle individual'!$B$5:$B$1000,"&lt;"&amp;'Detalle individual'!B169)+ROW()/10000,"")</f>
        <v/>
      </c>
      <c r="AI169">
        <f>IF('Detalle individual'!F169="Completado",COUNTIF('Detalle individual'!$D$5:$D$1000,"&lt;"&amp;'Detalle individual'!D169)*1000000+COUNTIF('Detalle individual'!$C$5:$C$1000,"&lt;"&amp;'Detalle individual'!C169)*1000+COUNTIF('Detalle individual'!$B$5:$B$1000,"&lt;"&amp;'Detalle individual'!B169)+ROW()/10000,"")</f>
        <v>764907953.0169</v>
      </c>
      <c r="AJ169" t="str">
        <f>IF(AND('Detalle individual'!F169&lt;&gt;"",'Detalle individual'!F169&lt;&gt;"Completado",'Detalle individual'!F169&lt;&gt;"Pendiente"),COUNTIF('Detalle individual'!$D$5:$D$1000,"&lt;"&amp;'Detalle individual'!D169)*1000000+COUNTIF('Detalle individual'!$C$5:$C$1000,"&lt;"&amp;'Detalle individual'!C169)*1000+COUNTIF('Detalle individual'!$B$5:$B$1000,"&lt;"&amp;'Detalle individual'!B169)+ROW()/10000,"")</f>
        <v/>
      </c>
      <c r="AK169">
        <f>IF(OR('Base Exámenes'!C169="",'Base Exámenes'!D169=""),"",IF(COUNTIF('Base Exámenes'!$C$5:C169,'Base Exámenes'!C169)=1,'Base Exámenes'!D169+ROW()/1000000000,""))</f>
        <v>46305.47688674769</v>
      </c>
      <c r="AL169">
        <f>IF(OR('Base Exámenes'!C169="",'Base Exámenes'!E169=""),"",IF(COUNTIF('Base Exámenes'!$C$5:C169,'Base Exámenes'!C169)=1,'Base Exámenes'!E169+ROW()/1000000000,""))</f>
        <v>46305.491597395834</v>
      </c>
      <c r="AM169">
        <f>IF(OR('Base Exámenes'!C169="",'Base Exámenes'!G169=""),"",IF(ROW()-4=MATCH('Base Exámenes'!C169&amp;"|"&amp;_xlfn.MAXIFS('Base Exámenes'!$G$5:$G$1000,'Base Exámenes'!$C$5:$C$1000,'Base Exámenes'!C169),'Base Exámenes'!$I$5:$I$1000,0),'Base Exámenes'!G169*1000000+(-1)*'Base Exámenes'!D169,""))</f>
        <v>94953694.5231134</v>
      </c>
      <c r="AQ169" t="str">
        <f>IF('Base Exámenes'!C169="","",IF(COUNTIF('Base Exámenes'!$C$5:$C$1000,'Base Exámenes'!C169)&lt;2,"",MATCH('Base Exámenes'!C169,'Base Exámenes'!$C$5:$C$1000,0)*10000+ROW()))</f>
        <v/>
      </c>
    </row>
    <row r="170">
      <c r="Z170">
        <f>IF('Detalle individual'!A170="","",IF(AND(OR('Estado por Colaborador'!$D$4="Todas las gerencias",'Detalle individual'!D170='Estado por Colaborador'!$D$4),OR('Estado por Colaborador'!$D$5="Todos los departamentos",TRIM('Detalle individual'!C170)='Estado por Colaborador'!$D$5),OR('Estado por Colaborador'!$D$6="Todos",'Detalle individual'!F170='Estado por Colaborador'!$D$6)),IF('Detalle individual'!F170="Completado",30000000,IF('Detalle individual'!F170="Pendiente",0,15000000))+COUNTIF('Detalle individual'!$C$5:$C$1000,"&lt;"&amp;'Detalle individual'!C170)*10000+ROW(),""))</f>
        <v>39070170</v>
      </c>
      <c r="AB170" t="str">
        <f>IF('Detalle individual'!C170="","",IF(COUNTIF('Detalle individual'!$C$5:C170,'Detalle individual'!C170)=1,COUNTIF('Detalle individual'!$C$5:$C$1000,"&lt;"&amp;'Detalle individual'!C170),""))</f>
        <v/>
      </c>
      <c r="AC170" t="str">
        <f>IF('Detalle individual'!D170="","",IF(COUNTIF('Detalle individual'!$D$5:D170,'Detalle individual'!D170)=1,COUNTIF('Detalle individual'!$D$5:$D$1000,"&lt;"&amp;'Detalle individual'!D170),""))</f>
        <v/>
      </c>
      <c r="AH170" t="str">
        <f>IF('Detalle individual'!F170="Pendiente",COUNTIF('Detalle individual'!$D$5:$D$1000,"&lt;"&amp;'Detalle individual'!D170)*1000000+COUNTIF('Detalle individual'!$C$5:$C$1000,"&lt;"&amp;'Detalle individual'!C170)*1000+COUNTIF('Detalle individual'!$B$5:$B$1000,"&lt;"&amp;'Detalle individual'!B170)+ROW()/10000,"")</f>
        <v/>
      </c>
      <c r="AI170">
        <f>IF('Detalle individual'!F170="Completado",COUNTIF('Detalle individual'!$D$5:$D$1000,"&lt;"&amp;'Detalle individual'!D170)*1000000+COUNTIF('Detalle individual'!$C$5:$C$1000,"&lt;"&amp;'Detalle individual'!C170)*1000+COUNTIF('Detalle individual'!$B$5:$B$1000,"&lt;"&amp;'Detalle individual'!B170)+ROW()/10000,"")</f>
        <v>764907835.017</v>
      </c>
      <c r="AJ170" t="str">
        <f>IF(AND('Detalle individual'!F170&lt;&gt;"",'Detalle individual'!F170&lt;&gt;"Completado",'Detalle individual'!F170&lt;&gt;"Pendiente"),COUNTIF('Detalle individual'!$D$5:$D$1000,"&lt;"&amp;'Detalle individual'!D170)*1000000+COUNTIF('Detalle individual'!$C$5:$C$1000,"&lt;"&amp;'Detalle individual'!C170)*1000+COUNTIF('Detalle individual'!$B$5:$B$1000,"&lt;"&amp;'Detalle individual'!B170)+ROW()/10000,"")</f>
        <v/>
      </c>
      <c r="AK170">
        <f>IF(OR('Base Exámenes'!C170="",'Base Exámenes'!D170=""),"",IF(COUNTIF('Base Exámenes'!$C$5:C170,'Base Exámenes'!C170)=1,'Base Exámenes'!D170+ROW()/1000000000,""))</f>
        <v>46305.50843767361</v>
      </c>
      <c r="AL170">
        <f>IF(OR('Base Exámenes'!C170="",'Base Exámenes'!E170=""),"",IF(COUNTIF('Base Exámenes'!$C$5:C170,'Base Exámenes'!C170)=1,'Base Exámenes'!E170+ROW()/1000000000,""))</f>
        <v>46305.51334508102</v>
      </c>
      <c r="AM170">
        <f>IF(OR('Base Exámenes'!C170="",'Base Exámenes'!G170=""),"",IF(ROW()-4=MATCH('Base Exámenes'!C170&amp;"|"&amp;_xlfn.MAXIFS('Base Exámenes'!$G$5:$G$1000,'Base Exámenes'!$C$5:$C$1000,'Base Exámenes'!C170),'Base Exámenes'!$I$5:$I$1000,0),'Base Exámenes'!G170*1000000+(-1)*'Base Exámenes'!D170,""))</f>
        <v>99953694.4915625</v>
      </c>
      <c r="AQ170" t="str">
        <f>IF('Base Exámenes'!C170="","",IF(COUNTIF('Base Exámenes'!$C$5:$C$1000,'Base Exámenes'!C170)&lt;2,"",MATCH('Base Exámenes'!C170,'Base Exámenes'!$C$5:$C$1000,0)*10000+ROW()))</f>
        <v/>
      </c>
    </row>
    <row r="171">
      <c r="Z171">
        <f>IF('Detalle individual'!A171="","",IF(AND(OR('Estado por Colaborador'!$D$4="Todas las gerencias",'Detalle individual'!D171='Estado por Colaborador'!$D$4),OR('Estado por Colaborador'!$D$5="Todos los departamentos",TRIM('Detalle individual'!C171)='Estado por Colaborador'!$D$5),OR('Estado por Colaborador'!$D$6="Todos",'Detalle individual'!F171='Estado por Colaborador'!$D$6)),IF('Detalle individual'!F171="Completado",30000000,IF('Detalle individual'!F171="Pendiente",0,15000000))+COUNTIF('Detalle individual'!$C$5:$C$1000,"&lt;"&amp;'Detalle individual'!C171)*10000+ROW(),""))</f>
        <v>39070171</v>
      </c>
      <c r="AB171" t="str">
        <f>IF('Detalle individual'!C171="","",IF(COUNTIF('Detalle individual'!$C$5:C171,'Detalle individual'!C171)=1,COUNTIF('Detalle individual'!$C$5:$C$1000,"&lt;"&amp;'Detalle individual'!C171),""))</f>
        <v/>
      </c>
      <c r="AC171" t="str">
        <f>IF('Detalle individual'!D171="","",IF(COUNTIF('Detalle individual'!$D$5:D171,'Detalle individual'!D171)=1,COUNTIF('Detalle individual'!$D$5:$D$1000,"&lt;"&amp;'Detalle individual'!D171),""))</f>
        <v/>
      </c>
      <c r="AH171" t="str">
        <f>IF('Detalle individual'!F171="Pendiente",COUNTIF('Detalle individual'!$D$5:$D$1000,"&lt;"&amp;'Detalle individual'!D171)*1000000+COUNTIF('Detalle individual'!$C$5:$C$1000,"&lt;"&amp;'Detalle individual'!C171)*1000+COUNTIF('Detalle individual'!$B$5:$B$1000,"&lt;"&amp;'Detalle individual'!B171)+ROW()/10000,"")</f>
        <v/>
      </c>
      <c r="AI171">
        <f>IF('Detalle individual'!F171="Completado",COUNTIF('Detalle individual'!$D$5:$D$1000,"&lt;"&amp;'Detalle individual'!D171)*1000000+COUNTIF('Detalle individual'!$C$5:$C$1000,"&lt;"&amp;'Detalle individual'!C171)*1000+COUNTIF('Detalle individual'!$B$5:$B$1000,"&lt;"&amp;'Detalle individual'!B171)+ROW()/10000,"")</f>
        <v>764907878.0171</v>
      </c>
      <c r="AJ171" t="str">
        <f>IF(AND('Detalle individual'!F171&lt;&gt;"",'Detalle individual'!F171&lt;&gt;"Completado",'Detalle individual'!F171&lt;&gt;"Pendiente"),COUNTIF('Detalle individual'!$D$5:$D$1000,"&lt;"&amp;'Detalle individual'!D171)*1000000+COUNTIF('Detalle individual'!$C$5:$C$1000,"&lt;"&amp;'Detalle individual'!C171)*1000+COUNTIF('Detalle individual'!$B$5:$B$1000,"&lt;"&amp;'Detalle individual'!B171)+ROW()/10000,"")</f>
        <v/>
      </c>
      <c r="AK171">
        <f>IF(OR('Base Exámenes'!C171="",'Base Exámenes'!D171=""),"",IF(COUNTIF('Base Exámenes'!$C$5:C171,'Base Exámenes'!C171)=1,'Base Exámenes'!D171+ROW()/1000000000,""))</f>
        <v>46305.51119230324</v>
      </c>
      <c r="AL171">
        <f>IF(OR('Base Exámenes'!C171="",'Base Exámenes'!E171=""),"",IF(COUNTIF('Base Exámenes'!$C$5:C171,'Base Exámenes'!C171)=1,'Base Exámenes'!E171+ROW()/1000000000,""))</f>
        <v>46305.51334508102</v>
      </c>
      <c r="AM171">
        <f>IF(OR('Base Exámenes'!C171="",'Base Exámenes'!G171=""),"",IF(ROW()-4=MATCH('Base Exámenes'!C171&amp;"|"&amp;_xlfn.MAXIFS('Base Exámenes'!$G$5:$G$1000,'Base Exámenes'!$C$5:$C$1000,'Base Exámenes'!C171),'Base Exámenes'!$I$5:$I$1000,0),'Base Exámenes'!G171*1000000+(-1)*'Base Exámenes'!D171,""))</f>
        <v>99953694.4888079</v>
      </c>
      <c r="AQ171" t="str">
        <f>IF('Base Exámenes'!C171="","",IF(COUNTIF('Base Exámenes'!$C$5:$C$1000,'Base Exámenes'!C171)&lt;2,"",MATCH('Base Exámenes'!C171,'Base Exámenes'!$C$5:$C$1000,0)*10000+ROW()))</f>
        <v/>
      </c>
    </row>
    <row r="172">
      <c r="Z172">
        <f>IF('Detalle individual'!A172="","",IF(AND(OR('Estado por Colaborador'!$D$4="Todas las gerencias",'Detalle individual'!D172='Estado por Colaborador'!$D$4),OR('Estado por Colaborador'!$D$5="Todos los departamentos",TRIM('Detalle individual'!C172)='Estado por Colaborador'!$D$5),OR('Estado por Colaborador'!$D$6="Todos",'Detalle individual'!F172='Estado por Colaborador'!$D$6)),IF('Detalle individual'!F172="Completado",30000000,IF('Detalle individual'!F172="Pendiente",0,15000000))+COUNTIF('Detalle individual'!$C$5:$C$1000,"&lt;"&amp;'Detalle individual'!C172)*10000+ROW(),""))</f>
        <v>24070172</v>
      </c>
      <c r="AB172" t="str">
        <f>IF('Detalle individual'!C172="","",IF(COUNTIF('Detalle individual'!$C$5:C172,'Detalle individual'!C172)=1,COUNTIF('Detalle individual'!$C$5:$C$1000,"&lt;"&amp;'Detalle individual'!C172),""))</f>
        <v/>
      </c>
      <c r="AC172" t="str">
        <f>IF('Detalle individual'!D172="","",IF(COUNTIF('Detalle individual'!$D$5:D172,'Detalle individual'!D172)=1,COUNTIF('Detalle individual'!$D$5:$D$1000,"&lt;"&amp;'Detalle individual'!D172),""))</f>
        <v/>
      </c>
      <c r="AH172" t="str">
        <f>IF('Detalle individual'!F172="Pendiente",COUNTIF('Detalle individual'!$D$5:$D$1000,"&lt;"&amp;'Detalle individual'!D172)*1000000+COUNTIF('Detalle individual'!$C$5:$C$1000,"&lt;"&amp;'Detalle individual'!C172)*1000+COUNTIF('Detalle individual'!$B$5:$B$1000,"&lt;"&amp;'Detalle individual'!B172)+ROW()/10000,"")</f>
        <v/>
      </c>
      <c r="AI172" t="str">
        <f>IF('Detalle individual'!F172="Completado",COUNTIF('Detalle individual'!$D$5:$D$1000,"&lt;"&amp;'Detalle individual'!D172)*1000000+COUNTIF('Detalle individual'!$C$5:$C$1000,"&lt;"&amp;'Detalle individual'!C172)*1000+COUNTIF('Detalle individual'!$B$5:$B$1000,"&lt;"&amp;'Detalle individual'!B172)+ROW()/10000,"")</f>
        <v/>
      </c>
      <c r="AJ172">
        <f>IF(AND('Detalle individual'!F172&lt;&gt;"",'Detalle individual'!F172&lt;&gt;"Completado",'Detalle individual'!F172&lt;&gt;"Pendiente"),COUNTIF('Detalle individual'!$D$5:$D$1000,"&lt;"&amp;'Detalle individual'!D172)*1000000+COUNTIF('Detalle individual'!$C$5:$C$1000,"&lt;"&amp;'Detalle individual'!C172)*1000+COUNTIF('Detalle individual'!$B$5:$B$1000,"&lt;"&amp;'Detalle individual'!B172)+ROW()/10000,"")</f>
        <v>764907777.0172</v>
      </c>
      <c r="AK172">
        <f>IF(OR('Base Exámenes'!C172="",'Base Exámenes'!D172=""),"",IF(COUNTIF('Base Exámenes'!$C$5:C172,'Base Exámenes'!C172)=1,'Base Exámenes'!D172+ROW()/1000000000,""))</f>
        <v>46305.5110765625</v>
      </c>
      <c r="AL172">
        <f>IF(OR('Base Exámenes'!C172="",'Base Exámenes'!E172=""),"",IF(COUNTIF('Base Exámenes'!$C$5:C172,'Base Exámenes'!C172)=1,'Base Exámenes'!E172+ROW()/1000000000,""))</f>
        <v>46305.51391221065</v>
      </c>
      <c r="AM172">
        <f>IF(OR('Base Exámenes'!C172="",'Base Exámenes'!G172=""),"",IF(ROW()-4=MATCH('Base Exámenes'!C172&amp;"|"&amp;_xlfn.MAXIFS('Base Exámenes'!$G$5:$G$1000,'Base Exámenes'!$C$5:$C$1000,'Base Exámenes'!C172),'Base Exámenes'!$I$5:$I$1000,0),'Base Exámenes'!G172*1000000+(-1)*'Base Exámenes'!D172,""))</f>
        <v>99953694.4889236</v>
      </c>
      <c r="AQ172" t="str">
        <f>IF('Base Exámenes'!C172="","",IF(COUNTIF('Base Exámenes'!$C$5:$C$1000,'Base Exámenes'!C172)&lt;2,"",MATCH('Base Exámenes'!C172,'Base Exámenes'!$C$5:$C$1000,0)*10000+ROW()))</f>
        <v/>
      </c>
    </row>
    <row r="173">
      <c r="Z173">
        <f>IF('Detalle individual'!A173="","",IF(AND(OR('Estado por Colaborador'!$D$4="Todas las gerencias",'Detalle individual'!D173='Estado por Colaborador'!$D$4),OR('Estado por Colaborador'!$D$5="Todos los departamentos",TRIM('Detalle individual'!C173)='Estado por Colaborador'!$D$5),OR('Estado por Colaborador'!$D$6="Todos",'Detalle individual'!F173='Estado por Colaborador'!$D$6)),IF('Detalle individual'!F173="Completado",30000000,IF('Detalle individual'!F173="Pendiente",0,15000000))+COUNTIF('Detalle individual'!$C$5:$C$1000,"&lt;"&amp;'Detalle individual'!C173)*10000+ROW(),""))</f>
        <v>39070173</v>
      </c>
      <c r="AB173" t="str">
        <f>IF('Detalle individual'!C173="","",IF(COUNTIF('Detalle individual'!$C$5:C173,'Detalle individual'!C173)=1,COUNTIF('Detalle individual'!$C$5:$C$1000,"&lt;"&amp;'Detalle individual'!C173),""))</f>
        <v/>
      </c>
      <c r="AC173" t="str">
        <f>IF('Detalle individual'!D173="","",IF(COUNTIF('Detalle individual'!$D$5:D173,'Detalle individual'!D173)=1,COUNTIF('Detalle individual'!$D$5:$D$1000,"&lt;"&amp;'Detalle individual'!D173),""))</f>
        <v/>
      </c>
      <c r="AH173" t="str">
        <f>IF('Detalle individual'!F173="Pendiente",COUNTIF('Detalle individual'!$D$5:$D$1000,"&lt;"&amp;'Detalle individual'!D173)*1000000+COUNTIF('Detalle individual'!$C$5:$C$1000,"&lt;"&amp;'Detalle individual'!C173)*1000+COUNTIF('Detalle individual'!$B$5:$B$1000,"&lt;"&amp;'Detalle individual'!B173)+ROW()/10000,"")</f>
        <v/>
      </c>
      <c r="AI173">
        <f>IF('Detalle individual'!F173="Completado",COUNTIF('Detalle individual'!$D$5:$D$1000,"&lt;"&amp;'Detalle individual'!D173)*1000000+COUNTIF('Detalle individual'!$C$5:$C$1000,"&lt;"&amp;'Detalle individual'!C173)*1000+COUNTIF('Detalle individual'!$B$5:$B$1000,"&lt;"&amp;'Detalle individual'!B173)+ROW()/10000,"")</f>
        <v>764907865.0173</v>
      </c>
      <c r="AJ173" t="str">
        <f>IF(AND('Detalle individual'!F173&lt;&gt;"",'Detalle individual'!F173&lt;&gt;"Completado",'Detalle individual'!F173&lt;&gt;"Pendiente"),COUNTIF('Detalle individual'!$D$5:$D$1000,"&lt;"&amp;'Detalle individual'!D173)*1000000+COUNTIF('Detalle individual'!$C$5:$C$1000,"&lt;"&amp;'Detalle individual'!C173)*1000+COUNTIF('Detalle individual'!$B$5:$B$1000,"&lt;"&amp;'Detalle individual'!B173)+ROW()/10000,"")</f>
        <v/>
      </c>
      <c r="AK173">
        <f>IF(OR('Base Exámenes'!C173="",'Base Exámenes'!D173=""),"",IF(COUNTIF('Base Exámenes'!$C$5:C173,'Base Exámenes'!C173)=1,'Base Exámenes'!D173+ROW()/1000000000,""))</f>
        <v>46305.51121545139</v>
      </c>
      <c r="AL173">
        <f>IF(OR('Base Exámenes'!C173="",'Base Exámenes'!E173=""),"",IF(COUNTIF('Base Exámenes'!$C$5:C173,'Base Exámenes'!C173)=1,'Base Exámenes'!E173+ROW()/1000000000,""))</f>
        <v>46305.51431730324</v>
      </c>
      <c r="AM173">
        <f>IF(OR('Base Exámenes'!C173="",'Base Exámenes'!G173=""),"",IF(ROW()-4=MATCH('Base Exámenes'!C173&amp;"|"&amp;_xlfn.MAXIFS('Base Exámenes'!$G$5:$G$1000,'Base Exámenes'!$C$5:$C$1000,'Base Exámenes'!C173),'Base Exámenes'!$I$5:$I$1000,0),'Base Exámenes'!G173*1000000+(-1)*'Base Exámenes'!D173,""))</f>
        <v>64953694.4887847</v>
      </c>
      <c r="AQ173" t="str">
        <f>IF('Base Exámenes'!C173="","",IF(COUNTIF('Base Exámenes'!$C$5:$C$1000,'Base Exámenes'!C173)&lt;2,"",MATCH('Base Exámenes'!C173,'Base Exámenes'!$C$5:$C$1000,0)*10000+ROW()))</f>
        <v/>
      </c>
    </row>
    <row r="174">
      <c r="Z174">
        <f>IF('Detalle individual'!A174="","",IF(AND(OR('Estado por Colaborador'!$D$4="Todas las gerencias",'Detalle individual'!D174='Estado por Colaborador'!$D$4),OR('Estado por Colaborador'!$D$5="Todos los departamentos",TRIM('Detalle individual'!C174)='Estado por Colaborador'!$D$5),OR('Estado por Colaborador'!$D$6="Todos",'Detalle individual'!F174='Estado por Colaborador'!$D$6)),IF('Detalle individual'!F174="Completado",30000000,IF('Detalle individual'!F174="Pendiente",0,15000000))+COUNTIF('Detalle individual'!$C$5:$C$1000,"&lt;"&amp;'Detalle individual'!C174)*10000+ROW(),""))</f>
        <v>39070174</v>
      </c>
      <c r="AB174" t="str">
        <f>IF('Detalle individual'!C174="","",IF(COUNTIF('Detalle individual'!$C$5:C174,'Detalle individual'!C174)=1,COUNTIF('Detalle individual'!$C$5:$C$1000,"&lt;"&amp;'Detalle individual'!C174),""))</f>
        <v/>
      </c>
      <c r="AC174" t="str">
        <f>IF('Detalle individual'!D174="","",IF(COUNTIF('Detalle individual'!$D$5:D174,'Detalle individual'!D174)=1,COUNTIF('Detalle individual'!$D$5:$D$1000,"&lt;"&amp;'Detalle individual'!D174),""))</f>
        <v/>
      </c>
      <c r="AH174" t="str">
        <f>IF('Detalle individual'!F174="Pendiente",COUNTIF('Detalle individual'!$D$5:$D$1000,"&lt;"&amp;'Detalle individual'!D174)*1000000+COUNTIF('Detalle individual'!$C$5:$C$1000,"&lt;"&amp;'Detalle individual'!C174)*1000+COUNTIF('Detalle individual'!$B$5:$B$1000,"&lt;"&amp;'Detalle individual'!B174)+ROW()/10000,"")</f>
        <v/>
      </c>
      <c r="AI174">
        <f>IF('Detalle individual'!F174="Completado",COUNTIF('Detalle individual'!$D$5:$D$1000,"&lt;"&amp;'Detalle individual'!D174)*1000000+COUNTIF('Detalle individual'!$C$5:$C$1000,"&lt;"&amp;'Detalle individual'!C174)*1000+COUNTIF('Detalle individual'!$B$5:$B$1000,"&lt;"&amp;'Detalle individual'!B174)+ROW()/10000,"")</f>
        <v>764907829.0174</v>
      </c>
      <c r="AJ174" t="str">
        <f>IF(AND('Detalle individual'!F174&lt;&gt;"",'Detalle individual'!F174&lt;&gt;"Completado",'Detalle individual'!F174&lt;&gt;"Pendiente"),COUNTIF('Detalle individual'!$D$5:$D$1000,"&lt;"&amp;'Detalle individual'!D174)*1000000+COUNTIF('Detalle individual'!$C$5:$C$1000,"&lt;"&amp;'Detalle individual'!C174)*1000+COUNTIF('Detalle individual'!$B$5:$B$1000,"&lt;"&amp;'Detalle individual'!B174)+ROW()/10000,"")</f>
        <v/>
      </c>
      <c r="AK174">
        <f>IF(OR('Base Exámenes'!C174="",'Base Exámenes'!D174=""),"",IF(COUNTIF('Base Exámenes'!$C$5:C174,'Base Exámenes'!C174)=1,'Base Exámenes'!D174+ROW()/1000000000,""))</f>
        <v>46305.514988599534</v>
      </c>
      <c r="AL174">
        <f>IF(OR('Base Exámenes'!C174="",'Base Exámenes'!E174=""),"",IF(COUNTIF('Base Exámenes'!$C$5:C174,'Base Exámenes'!C174)=1,'Base Exámenes'!E174+ROW()/1000000000,""))</f>
        <v>46305.51787054398</v>
      </c>
      <c r="AM174">
        <f>IF(OR('Base Exámenes'!C174="",'Base Exámenes'!G174=""),"",IF(ROW()-4=MATCH('Base Exámenes'!C174&amp;"|"&amp;_xlfn.MAXIFS('Base Exámenes'!$G$5:$G$1000,'Base Exámenes'!$C$5:$C$1000,'Base Exámenes'!C174),'Base Exámenes'!$I$5:$I$1000,0),'Base Exámenes'!G174*1000000+(-1)*'Base Exámenes'!D174,""))</f>
        <v>99953694.4850116</v>
      </c>
      <c r="AQ174" t="str">
        <f>IF('Base Exámenes'!C174="","",IF(COUNTIF('Base Exámenes'!$C$5:$C$1000,'Base Exámenes'!C174)&lt;2,"",MATCH('Base Exámenes'!C174,'Base Exámenes'!$C$5:$C$1000,0)*10000+ROW()))</f>
        <v/>
      </c>
    </row>
    <row r="175">
      <c r="Z175">
        <f>IF('Detalle individual'!A175="","",IF(AND(OR('Estado por Colaborador'!$D$4="Todas las gerencias",'Detalle individual'!D175='Estado por Colaborador'!$D$4),OR('Estado por Colaborador'!$D$5="Todos los departamentos",TRIM('Detalle individual'!C175)='Estado por Colaborador'!$D$5),OR('Estado por Colaborador'!$D$6="Todos",'Detalle individual'!F175='Estado por Colaborador'!$D$6)),IF('Detalle individual'!F175="Completado",30000000,IF('Detalle individual'!F175="Pendiente",0,15000000))+COUNTIF('Detalle individual'!$C$5:$C$1000,"&lt;"&amp;'Detalle individual'!C175)*10000+ROW(),""))</f>
        <v>39070175</v>
      </c>
      <c r="AB175" t="str">
        <f>IF('Detalle individual'!C175="","",IF(COUNTIF('Detalle individual'!$C$5:C175,'Detalle individual'!C175)=1,COUNTIF('Detalle individual'!$C$5:$C$1000,"&lt;"&amp;'Detalle individual'!C175),""))</f>
        <v/>
      </c>
      <c r="AC175" t="str">
        <f>IF('Detalle individual'!D175="","",IF(COUNTIF('Detalle individual'!$D$5:D175,'Detalle individual'!D175)=1,COUNTIF('Detalle individual'!$D$5:$D$1000,"&lt;"&amp;'Detalle individual'!D175),""))</f>
        <v/>
      </c>
      <c r="AH175" t="str">
        <f>IF('Detalle individual'!F175="Pendiente",COUNTIF('Detalle individual'!$D$5:$D$1000,"&lt;"&amp;'Detalle individual'!D175)*1000000+COUNTIF('Detalle individual'!$C$5:$C$1000,"&lt;"&amp;'Detalle individual'!C175)*1000+COUNTIF('Detalle individual'!$B$5:$B$1000,"&lt;"&amp;'Detalle individual'!B175)+ROW()/10000,"")</f>
        <v/>
      </c>
      <c r="AI175">
        <f>IF('Detalle individual'!F175="Completado",COUNTIF('Detalle individual'!$D$5:$D$1000,"&lt;"&amp;'Detalle individual'!D175)*1000000+COUNTIF('Detalle individual'!$C$5:$C$1000,"&lt;"&amp;'Detalle individual'!C175)*1000+COUNTIF('Detalle individual'!$B$5:$B$1000,"&lt;"&amp;'Detalle individual'!B175)+ROW()/10000,"")</f>
        <v>764907812.0175</v>
      </c>
      <c r="AJ175" t="str">
        <f>IF(AND('Detalle individual'!F175&lt;&gt;"",'Detalle individual'!F175&lt;&gt;"Completado",'Detalle individual'!F175&lt;&gt;"Pendiente"),COUNTIF('Detalle individual'!$D$5:$D$1000,"&lt;"&amp;'Detalle individual'!D175)*1000000+COUNTIF('Detalle individual'!$C$5:$C$1000,"&lt;"&amp;'Detalle individual'!C175)*1000+COUNTIF('Detalle individual'!$B$5:$B$1000,"&lt;"&amp;'Detalle individual'!B175)+ROW()/10000,"")</f>
        <v/>
      </c>
      <c r="AK175">
        <f>IF(OR('Base Exámenes'!C175="",'Base Exámenes'!D175=""),"",IF(COUNTIF('Base Exámenes'!$C$5:C175,'Base Exámenes'!C175)=1,'Base Exámenes'!D175+ROW()/1000000000,""))</f>
        <v>46305.52910896991</v>
      </c>
      <c r="AL175">
        <f>IF(OR('Base Exámenes'!C175="",'Base Exámenes'!E175=""),"",IF(COUNTIF('Base Exámenes'!$C$5:C175,'Base Exámenes'!C175)=1,'Base Exámenes'!E175+ROW()/1000000000,""))</f>
        <v>46305.53491915509</v>
      </c>
      <c r="AM175">
        <f>IF(OR('Base Exámenes'!C175="",'Base Exámenes'!G175=""),"",IF(ROW()-4=MATCH('Base Exámenes'!C175&amp;"|"&amp;_xlfn.MAXIFS('Base Exámenes'!$G$5:$G$1000,'Base Exámenes'!$C$5:$C$1000,'Base Exámenes'!C175),'Base Exámenes'!$I$5:$I$1000,0),'Base Exámenes'!G175*1000000+(-1)*'Base Exámenes'!D175,""))</f>
        <v>99953694.4708912</v>
      </c>
      <c r="AQ175" t="str">
        <f>IF('Base Exámenes'!C175="","",IF(COUNTIF('Base Exámenes'!$C$5:$C$1000,'Base Exámenes'!C175)&lt;2,"",MATCH('Base Exámenes'!C175,'Base Exámenes'!$C$5:$C$1000,0)*10000+ROW()))</f>
        <v/>
      </c>
    </row>
    <row r="176">
      <c r="Z176">
        <f>IF('Detalle individual'!A176="","",IF(AND(OR('Estado por Colaborador'!$D$4="Todas las gerencias",'Detalle individual'!D176='Estado por Colaborador'!$D$4),OR('Estado por Colaborador'!$D$5="Todos los departamentos",TRIM('Detalle individual'!C176)='Estado por Colaborador'!$D$5),OR('Estado por Colaborador'!$D$6="Todos",'Detalle individual'!F176='Estado por Colaborador'!$D$6)),IF('Detalle individual'!F176="Completado",30000000,IF('Detalle individual'!F176="Pendiente",0,15000000))+COUNTIF('Detalle individual'!$C$5:$C$1000,"&lt;"&amp;'Detalle individual'!C176)*10000+ROW(),""))</f>
        <v>38130176</v>
      </c>
      <c r="AB176">
        <f>IF('Detalle individual'!C176="","",IF(COUNTIF('Detalle individual'!$C$5:C176,'Detalle individual'!C176)=1,COUNTIF('Detalle individual'!$C$5:$C$1000,"&lt;"&amp;'Detalle individual'!C176),""))</f>
        <v>813</v>
      </c>
      <c r="AC176" t="str">
        <f>IF('Detalle individual'!D176="","",IF(COUNTIF('Detalle individual'!$D$5:D176,'Detalle individual'!D176)=1,COUNTIF('Detalle individual'!$D$5:$D$1000,"&lt;"&amp;'Detalle individual'!D176),""))</f>
        <v/>
      </c>
      <c r="AH176" t="str">
        <f>IF('Detalle individual'!F176="Pendiente",COUNTIF('Detalle individual'!$D$5:$D$1000,"&lt;"&amp;'Detalle individual'!D176)*1000000+COUNTIF('Detalle individual'!$C$5:$C$1000,"&lt;"&amp;'Detalle individual'!C176)*1000+COUNTIF('Detalle individual'!$B$5:$B$1000,"&lt;"&amp;'Detalle individual'!B176)+ROW()/10000,"")</f>
        <v/>
      </c>
      <c r="AI176">
        <f>IF('Detalle individual'!F176="Completado",COUNTIF('Detalle individual'!$D$5:$D$1000,"&lt;"&amp;'Detalle individual'!D176)*1000000+COUNTIF('Detalle individual'!$C$5:$C$1000,"&lt;"&amp;'Detalle individual'!C176)*1000+COUNTIF('Detalle individual'!$B$5:$B$1000,"&lt;"&amp;'Detalle individual'!B176)+ROW()/10000,"")</f>
        <v>764813758.0176</v>
      </c>
      <c r="AJ176" t="str">
        <f>IF(AND('Detalle individual'!F176&lt;&gt;"",'Detalle individual'!F176&lt;&gt;"Completado",'Detalle individual'!F176&lt;&gt;"Pendiente"),COUNTIF('Detalle individual'!$D$5:$D$1000,"&lt;"&amp;'Detalle individual'!D176)*1000000+COUNTIF('Detalle individual'!$C$5:$C$1000,"&lt;"&amp;'Detalle individual'!C176)*1000+COUNTIF('Detalle individual'!$B$5:$B$1000,"&lt;"&amp;'Detalle individual'!B176)+ROW()/10000,"")</f>
        <v/>
      </c>
      <c r="AK176">
        <f>IF(OR('Base Exámenes'!C176="",'Base Exámenes'!D176=""),"",IF(COUNTIF('Base Exámenes'!$C$5:C176,'Base Exámenes'!C176)=1,'Base Exámenes'!D176+ROW()/1000000000,""))</f>
        <v>46305.53150480324</v>
      </c>
      <c r="AL176">
        <f>IF(OR('Base Exámenes'!C176="",'Base Exámenes'!E176=""),"",IF(COUNTIF('Base Exámenes'!$C$5:C176,'Base Exámenes'!C176)=1,'Base Exámenes'!E176+ROW()/1000000000,""))</f>
        <v>46305.54105341435</v>
      </c>
      <c r="AM176">
        <f>IF(OR('Base Exámenes'!C176="",'Base Exámenes'!G176=""),"",IF(ROW()-4=MATCH('Base Exámenes'!C176&amp;"|"&amp;_xlfn.MAXIFS('Base Exámenes'!$G$5:$G$1000,'Base Exámenes'!$C$5:$C$1000,'Base Exámenes'!C176),'Base Exámenes'!$I$5:$I$1000,0),'Base Exámenes'!G176*1000000+(-1)*'Base Exámenes'!D176,""))</f>
        <v>99953694.4684954</v>
      </c>
      <c r="AQ176" t="str">
        <f>IF('Base Exámenes'!C176="","",IF(COUNTIF('Base Exámenes'!$C$5:$C$1000,'Base Exámenes'!C176)&lt;2,"",MATCH('Base Exámenes'!C176,'Base Exámenes'!$C$5:$C$1000,0)*10000+ROW()))</f>
        <v/>
      </c>
    </row>
    <row r="177">
      <c r="Z177">
        <f>IF('Detalle individual'!A177="","",IF(AND(OR('Estado por Colaborador'!$D$4="Todas las gerencias",'Detalle individual'!D177='Estado por Colaborador'!$D$4),OR('Estado por Colaborador'!$D$5="Todos los departamentos",TRIM('Detalle individual'!C177)='Estado por Colaborador'!$D$5),OR('Estado por Colaborador'!$D$6="Todos",'Detalle individual'!F177='Estado por Colaborador'!$D$6)),IF('Detalle individual'!F177="Completado",30000000,IF('Detalle individual'!F177="Pendiente",0,15000000))+COUNTIF('Detalle individual'!$C$5:$C$1000,"&lt;"&amp;'Detalle individual'!C177)*10000+ROW(),""))</f>
        <v>38130177</v>
      </c>
      <c r="AB177" t="str">
        <f>IF('Detalle individual'!C177="","",IF(COUNTIF('Detalle individual'!$C$5:C177,'Detalle individual'!C177)=1,COUNTIF('Detalle individual'!$C$5:$C$1000,"&lt;"&amp;'Detalle individual'!C177),""))</f>
        <v/>
      </c>
      <c r="AC177" t="str">
        <f>IF('Detalle individual'!D177="","",IF(COUNTIF('Detalle individual'!$D$5:D177,'Detalle individual'!D177)=1,COUNTIF('Detalle individual'!$D$5:$D$1000,"&lt;"&amp;'Detalle individual'!D177),""))</f>
        <v/>
      </c>
      <c r="AH177" t="str">
        <f>IF('Detalle individual'!F177="Pendiente",COUNTIF('Detalle individual'!$D$5:$D$1000,"&lt;"&amp;'Detalle individual'!D177)*1000000+COUNTIF('Detalle individual'!$C$5:$C$1000,"&lt;"&amp;'Detalle individual'!C177)*1000+COUNTIF('Detalle individual'!$B$5:$B$1000,"&lt;"&amp;'Detalle individual'!B177)+ROW()/10000,"")</f>
        <v/>
      </c>
      <c r="AI177">
        <f>IF('Detalle individual'!F177="Completado",COUNTIF('Detalle individual'!$D$5:$D$1000,"&lt;"&amp;'Detalle individual'!D177)*1000000+COUNTIF('Detalle individual'!$C$5:$C$1000,"&lt;"&amp;'Detalle individual'!C177)*1000+COUNTIF('Detalle individual'!$B$5:$B$1000,"&lt;"&amp;'Detalle individual'!B177)+ROW()/10000,"")</f>
        <v>764813883.0177</v>
      </c>
      <c r="AJ177" t="str">
        <f>IF(AND('Detalle individual'!F177&lt;&gt;"",'Detalle individual'!F177&lt;&gt;"Completado",'Detalle individual'!F177&lt;&gt;"Pendiente"),COUNTIF('Detalle individual'!$D$5:$D$1000,"&lt;"&amp;'Detalle individual'!D177)*1000000+COUNTIF('Detalle individual'!$C$5:$C$1000,"&lt;"&amp;'Detalle individual'!C177)*1000+COUNTIF('Detalle individual'!$B$5:$B$1000,"&lt;"&amp;'Detalle individual'!B177)+ROW()/10000,"")</f>
        <v/>
      </c>
      <c r="AK177">
        <f>IF(OR('Base Exámenes'!C177="",'Base Exámenes'!D177=""),"",IF(COUNTIF('Base Exámenes'!$C$5:C177,'Base Exámenes'!C177)=1,'Base Exámenes'!D177+ROW()/1000000000,""))</f>
        <v>46305.56402795139</v>
      </c>
      <c r="AL177">
        <f>IF(OR('Base Exámenes'!C177="",'Base Exámenes'!E177=""),"",IF(COUNTIF('Base Exámenes'!$C$5:C177,'Base Exámenes'!C177)=1,'Base Exámenes'!E177+ROW()/1000000000,""))</f>
        <v>46305.567361284724</v>
      </c>
      <c r="AM177">
        <f>IF(OR('Base Exámenes'!C177="",'Base Exámenes'!G177=""),"",IF(ROW()-4=MATCH('Base Exámenes'!C177&amp;"|"&amp;_xlfn.MAXIFS('Base Exámenes'!$G$5:$G$1000,'Base Exámenes'!$C$5:$C$1000,'Base Exámenes'!C177),'Base Exámenes'!$I$5:$I$1000,0),'Base Exámenes'!G177*1000000+(-1)*'Base Exámenes'!D177,""))</f>
        <v>99953694.4359722</v>
      </c>
      <c r="AQ177" t="str">
        <f>IF('Base Exámenes'!C177="","",IF(COUNTIF('Base Exámenes'!$C$5:$C$1000,'Base Exámenes'!C177)&lt;2,"",MATCH('Base Exámenes'!C177,'Base Exámenes'!$C$5:$C$1000,0)*10000+ROW()))</f>
        <v/>
      </c>
    </row>
    <row r="178">
      <c r="Z178">
        <f>IF('Detalle individual'!A178="","",IF(AND(OR('Estado por Colaborador'!$D$4="Todas las gerencias",'Detalle individual'!D178='Estado por Colaborador'!$D$4),OR('Estado por Colaborador'!$D$5="Todos los departamentos",TRIM('Detalle individual'!C178)='Estado por Colaborador'!$D$5),OR('Estado por Colaborador'!$D$6="Todos",'Detalle individual'!F178='Estado por Colaborador'!$D$6)),IF('Detalle individual'!F178="Completado",30000000,IF('Detalle individual'!F178="Pendiente",0,15000000))+COUNTIF('Detalle individual'!$C$5:$C$1000,"&lt;"&amp;'Detalle individual'!C178)*10000+ROW(),""))</f>
        <v>38130178</v>
      </c>
      <c r="AB178" t="str">
        <f>IF('Detalle individual'!C178="","",IF(COUNTIF('Detalle individual'!$C$5:C178,'Detalle individual'!C178)=1,COUNTIF('Detalle individual'!$C$5:$C$1000,"&lt;"&amp;'Detalle individual'!C178),""))</f>
        <v/>
      </c>
      <c r="AC178" t="str">
        <f>IF('Detalle individual'!D178="","",IF(COUNTIF('Detalle individual'!$D$5:D178,'Detalle individual'!D178)=1,COUNTIF('Detalle individual'!$D$5:$D$1000,"&lt;"&amp;'Detalle individual'!D178),""))</f>
        <v/>
      </c>
      <c r="AH178" t="str">
        <f>IF('Detalle individual'!F178="Pendiente",COUNTIF('Detalle individual'!$D$5:$D$1000,"&lt;"&amp;'Detalle individual'!D178)*1000000+COUNTIF('Detalle individual'!$C$5:$C$1000,"&lt;"&amp;'Detalle individual'!C178)*1000+COUNTIF('Detalle individual'!$B$5:$B$1000,"&lt;"&amp;'Detalle individual'!B178)+ROW()/10000,"")</f>
        <v/>
      </c>
      <c r="AI178">
        <f>IF('Detalle individual'!F178="Completado",COUNTIF('Detalle individual'!$D$5:$D$1000,"&lt;"&amp;'Detalle individual'!D178)*1000000+COUNTIF('Detalle individual'!$C$5:$C$1000,"&lt;"&amp;'Detalle individual'!C178)*1000+COUNTIF('Detalle individual'!$B$5:$B$1000,"&lt;"&amp;'Detalle individual'!B178)+ROW()/10000,"")</f>
        <v>764813791.0178</v>
      </c>
      <c r="AJ178" t="str">
        <f>IF(AND('Detalle individual'!F178&lt;&gt;"",'Detalle individual'!F178&lt;&gt;"Completado",'Detalle individual'!F178&lt;&gt;"Pendiente"),COUNTIF('Detalle individual'!$D$5:$D$1000,"&lt;"&amp;'Detalle individual'!D178)*1000000+COUNTIF('Detalle individual'!$C$5:$C$1000,"&lt;"&amp;'Detalle individual'!C178)*1000+COUNTIF('Detalle individual'!$B$5:$B$1000,"&lt;"&amp;'Detalle individual'!B178)+ROW()/10000,"")</f>
        <v/>
      </c>
      <c r="AK178">
        <f>IF(OR('Base Exámenes'!C178="",'Base Exámenes'!D178=""),"",IF(COUNTIF('Base Exámenes'!$C$5:C178,'Base Exámenes'!C178)=1,'Base Exámenes'!D178+ROW()/1000000000,""))</f>
        <v>46306.42859971065</v>
      </c>
      <c r="AL178">
        <f>IF(OR('Base Exámenes'!C178="",'Base Exámenes'!E178=""),"",IF(COUNTIF('Base Exámenes'!$C$5:C178,'Base Exámenes'!C178)=1,'Base Exámenes'!E178+ROW()/1000000000,""))</f>
        <v>46306.43788211806</v>
      </c>
      <c r="AM178">
        <f>IF(OR('Base Exámenes'!C178="",'Base Exámenes'!G178=""),"",IF(ROW()-4=MATCH('Base Exámenes'!C178&amp;"|"&amp;_xlfn.MAXIFS('Base Exámenes'!$G$5:$G$1000,'Base Exámenes'!$C$5:$C$1000,'Base Exámenes'!C178),'Base Exámenes'!$I$5:$I$1000,0),'Base Exámenes'!G178*1000000+(-1)*'Base Exámenes'!D178,""))</f>
        <v>89953693.5714005</v>
      </c>
      <c r="AQ178" t="str">
        <f>IF('Base Exámenes'!C178="","",IF(COUNTIF('Base Exámenes'!$C$5:$C$1000,'Base Exámenes'!C178)&lt;2,"",MATCH('Base Exámenes'!C178,'Base Exámenes'!$C$5:$C$1000,0)*10000+ROW()))</f>
        <v/>
      </c>
    </row>
    <row r="179">
      <c r="Z179">
        <f>IF('Detalle individual'!A179="","",IF(AND(OR('Estado por Colaborador'!$D$4="Todas las gerencias",'Detalle individual'!D179='Estado por Colaborador'!$D$4),OR('Estado por Colaborador'!$D$5="Todos los departamentos",TRIM('Detalle individual'!C179)='Estado por Colaborador'!$D$5),OR('Estado por Colaborador'!$D$6="Todos",'Detalle individual'!F179='Estado por Colaborador'!$D$6)),IF('Detalle individual'!F179="Completado",30000000,IF('Detalle individual'!F179="Pendiente",0,15000000))+COUNTIF('Detalle individual'!$C$5:$C$1000,"&lt;"&amp;'Detalle individual'!C179)*10000+ROW(),""))</f>
        <v>38130179</v>
      </c>
      <c r="AB179" t="str">
        <f>IF('Detalle individual'!C179="","",IF(COUNTIF('Detalle individual'!$C$5:C179,'Detalle individual'!C179)=1,COUNTIF('Detalle individual'!$C$5:$C$1000,"&lt;"&amp;'Detalle individual'!C179),""))</f>
        <v/>
      </c>
      <c r="AC179" t="str">
        <f>IF('Detalle individual'!D179="","",IF(COUNTIF('Detalle individual'!$D$5:D179,'Detalle individual'!D179)=1,COUNTIF('Detalle individual'!$D$5:$D$1000,"&lt;"&amp;'Detalle individual'!D179),""))</f>
        <v/>
      </c>
      <c r="AH179" t="str">
        <f>IF('Detalle individual'!F179="Pendiente",COUNTIF('Detalle individual'!$D$5:$D$1000,"&lt;"&amp;'Detalle individual'!D179)*1000000+COUNTIF('Detalle individual'!$C$5:$C$1000,"&lt;"&amp;'Detalle individual'!C179)*1000+COUNTIF('Detalle individual'!$B$5:$B$1000,"&lt;"&amp;'Detalle individual'!B179)+ROW()/10000,"")</f>
        <v/>
      </c>
      <c r="AI179">
        <f>IF('Detalle individual'!F179="Completado",COUNTIF('Detalle individual'!$D$5:$D$1000,"&lt;"&amp;'Detalle individual'!D179)*1000000+COUNTIF('Detalle individual'!$C$5:$C$1000,"&lt;"&amp;'Detalle individual'!C179)*1000+COUNTIF('Detalle individual'!$B$5:$B$1000,"&lt;"&amp;'Detalle individual'!B179)+ROW()/10000,"")</f>
        <v>764813847.0179</v>
      </c>
      <c r="AJ179" t="str">
        <f>IF(AND('Detalle individual'!F179&lt;&gt;"",'Detalle individual'!F179&lt;&gt;"Completado",'Detalle individual'!F179&lt;&gt;"Pendiente"),COUNTIF('Detalle individual'!$D$5:$D$1000,"&lt;"&amp;'Detalle individual'!D179)*1000000+COUNTIF('Detalle individual'!$C$5:$C$1000,"&lt;"&amp;'Detalle individual'!C179)*1000+COUNTIF('Detalle individual'!$B$5:$B$1000,"&lt;"&amp;'Detalle individual'!B179)+ROW()/10000,"")</f>
        <v/>
      </c>
      <c r="AK179">
        <f>IF(OR('Base Exámenes'!C179="",'Base Exámenes'!D179=""),"",IF(COUNTIF('Base Exámenes'!$C$5:C179,'Base Exámenes'!C179)=1,'Base Exámenes'!D179+ROW()/1000000000,""))</f>
        <v>46306.59994230324</v>
      </c>
      <c r="AL179">
        <f>IF(OR('Base Exámenes'!C179="",'Base Exámenes'!E179=""),"",IF(COUNTIF('Base Exámenes'!$C$5:C179,'Base Exámenes'!C179)=1,'Base Exámenes'!E179+ROW()/1000000000,""))</f>
        <v>46306.60649322917</v>
      </c>
      <c r="AM179">
        <f>IF(OR('Base Exámenes'!C179="",'Base Exámenes'!G179=""),"",IF(ROW()-4=MATCH('Base Exámenes'!C179&amp;"|"&amp;_xlfn.MAXIFS('Base Exámenes'!$G$5:$G$1000,'Base Exámenes'!$C$5:$C$1000,'Base Exámenes'!C179),'Base Exámenes'!$I$5:$I$1000,0),'Base Exámenes'!G179*1000000+(-1)*'Base Exámenes'!D179,""))</f>
        <v>99953693.4000579</v>
      </c>
      <c r="AQ179" t="str">
        <f>IF('Base Exámenes'!C179="","",IF(COUNTIF('Base Exámenes'!$C$5:$C$1000,'Base Exámenes'!C179)&lt;2,"",MATCH('Base Exámenes'!C179,'Base Exámenes'!$C$5:$C$1000,0)*10000+ROW()))</f>
        <v/>
      </c>
    </row>
    <row r="180">
      <c r="Z180">
        <f>IF('Detalle individual'!A180="","",IF(AND(OR('Estado por Colaborador'!$D$4="Todas las gerencias",'Detalle individual'!D180='Estado por Colaborador'!$D$4),OR('Estado por Colaborador'!$D$5="Todos los departamentos",TRIM('Detalle individual'!C180)='Estado por Colaborador'!$D$5),OR('Estado por Colaborador'!$D$6="Todos",'Detalle individual'!F180='Estado por Colaborador'!$D$6)),IF('Detalle individual'!F180="Completado",30000000,IF('Detalle individual'!F180="Pendiente",0,15000000))+COUNTIF('Detalle individual'!$C$5:$C$1000,"&lt;"&amp;'Detalle individual'!C180)*10000+ROW(),""))</f>
        <v>38130180</v>
      </c>
      <c r="AB180" t="str">
        <f>IF('Detalle individual'!C180="","",IF(COUNTIF('Detalle individual'!$C$5:C180,'Detalle individual'!C180)=1,COUNTIF('Detalle individual'!$C$5:$C$1000,"&lt;"&amp;'Detalle individual'!C180),""))</f>
        <v/>
      </c>
      <c r="AC180" t="str">
        <f>IF('Detalle individual'!D180="","",IF(COUNTIF('Detalle individual'!$D$5:D180,'Detalle individual'!D180)=1,COUNTIF('Detalle individual'!$D$5:$D$1000,"&lt;"&amp;'Detalle individual'!D180),""))</f>
        <v/>
      </c>
      <c r="AH180" t="str">
        <f>IF('Detalle individual'!F180="Pendiente",COUNTIF('Detalle individual'!$D$5:$D$1000,"&lt;"&amp;'Detalle individual'!D180)*1000000+COUNTIF('Detalle individual'!$C$5:$C$1000,"&lt;"&amp;'Detalle individual'!C180)*1000+COUNTIF('Detalle individual'!$B$5:$B$1000,"&lt;"&amp;'Detalle individual'!B180)+ROW()/10000,"")</f>
        <v/>
      </c>
      <c r="AI180">
        <f>IF('Detalle individual'!F180="Completado",COUNTIF('Detalle individual'!$D$5:$D$1000,"&lt;"&amp;'Detalle individual'!D180)*1000000+COUNTIF('Detalle individual'!$C$5:$C$1000,"&lt;"&amp;'Detalle individual'!C180)*1000+COUNTIF('Detalle individual'!$B$5:$B$1000,"&lt;"&amp;'Detalle individual'!B180)+ROW()/10000,"")</f>
        <v>764813728.018</v>
      </c>
      <c r="AJ180" t="str">
        <f>IF(AND('Detalle individual'!F180&lt;&gt;"",'Detalle individual'!F180&lt;&gt;"Completado",'Detalle individual'!F180&lt;&gt;"Pendiente"),COUNTIF('Detalle individual'!$D$5:$D$1000,"&lt;"&amp;'Detalle individual'!D180)*1000000+COUNTIF('Detalle individual'!$C$5:$C$1000,"&lt;"&amp;'Detalle individual'!C180)*1000+COUNTIF('Detalle individual'!$B$5:$B$1000,"&lt;"&amp;'Detalle individual'!B180)+ROW()/10000,"")</f>
        <v/>
      </c>
      <c r="AK180">
        <f>IF(OR('Base Exámenes'!C180="",'Base Exámenes'!D180=""),"",IF(COUNTIF('Base Exámenes'!$C$5:C180,'Base Exámenes'!C180)=1,'Base Exámenes'!D180+ROW()/1000000000,""))</f>
        <v>46307.36936361111</v>
      </c>
      <c r="AL180">
        <f>IF(OR('Base Exámenes'!C180="",'Base Exámenes'!E180=""),"",IF(COUNTIF('Base Exámenes'!$C$5:C180,'Base Exámenes'!C180)=1,'Base Exámenes'!E180+ROW()/1000000000,""))</f>
        <v>46307.37395851852</v>
      </c>
      <c r="AM180">
        <f>IF(OR('Base Exámenes'!C180="",'Base Exámenes'!G180=""),"",IF(ROW()-4=MATCH('Base Exámenes'!C180&amp;"|"&amp;_xlfn.MAXIFS('Base Exámenes'!$G$5:$G$1000,'Base Exámenes'!$C$5:$C$1000,'Base Exámenes'!C180),'Base Exámenes'!$I$5:$I$1000,0),'Base Exámenes'!G180*1000000+(-1)*'Base Exámenes'!D180,""))</f>
        <v>99953692.6306366</v>
      </c>
      <c r="AQ180" t="str">
        <f>IF('Base Exámenes'!C180="","",IF(COUNTIF('Base Exámenes'!$C$5:$C$1000,'Base Exámenes'!C180)&lt;2,"",MATCH('Base Exámenes'!C180,'Base Exámenes'!$C$5:$C$1000,0)*10000+ROW()))</f>
        <v/>
      </c>
    </row>
    <row r="181">
      <c r="Z181">
        <f>IF('Detalle individual'!A181="","",IF(AND(OR('Estado por Colaborador'!$D$4="Todas las gerencias",'Detalle individual'!D181='Estado por Colaborador'!$D$4),OR('Estado por Colaborador'!$D$5="Todos los departamentos",TRIM('Detalle individual'!C181)='Estado por Colaborador'!$D$5),OR('Estado por Colaborador'!$D$6="Todos",'Detalle individual'!F181='Estado por Colaborador'!$D$6)),IF('Detalle individual'!F181="Completado",30000000,IF('Detalle individual'!F181="Pendiente",0,15000000))+COUNTIF('Detalle individual'!$C$5:$C$1000,"&lt;"&amp;'Detalle individual'!C181)*10000+ROW(),""))</f>
        <v>38130181</v>
      </c>
      <c r="AB181" t="str">
        <f>IF('Detalle individual'!C181="","",IF(COUNTIF('Detalle individual'!$C$5:C181,'Detalle individual'!C181)=1,COUNTIF('Detalle individual'!$C$5:$C$1000,"&lt;"&amp;'Detalle individual'!C181),""))</f>
        <v/>
      </c>
      <c r="AC181" t="str">
        <f>IF('Detalle individual'!D181="","",IF(COUNTIF('Detalle individual'!$D$5:D181,'Detalle individual'!D181)=1,COUNTIF('Detalle individual'!$D$5:$D$1000,"&lt;"&amp;'Detalle individual'!D181),""))</f>
        <v/>
      </c>
      <c r="AH181" t="str">
        <f>IF('Detalle individual'!F181="Pendiente",COUNTIF('Detalle individual'!$D$5:$D$1000,"&lt;"&amp;'Detalle individual'!D181)*1000000+COUNTIF('Detalle individual'!$C$5:$C$1000,"&lt;"&amp;'Detalle individual'!C181)*1000+COUNTIF('Detalle individual'!$B$5:$B$1000,"&lt;"&amp;'Detalle individual'!B181)+ROW()/10000,"")</f>
        <v/>
      </c>
      <c r="AI181">
        <f>IF('Detalle individual'!F181="Completado",COUNTIF('Detalle individual'!$D$5:$D$1000,"&lt;"&amp;'Detalle individual'!D181)*1000000+COUNTIF('Detalle individual'!$C$5:$C$1000,"&lt;"&amp;'Detalle individual'!C181)*1000+COUNTIF('Detalle individual'!$B$5:$B$1000,"&lt;"&amp;'Detalle individual'!B181)+ROW()/10000,"")</f>
        <v>764813869.0181</v>
      </c>
      <c r="AJ181" t="str">
        <f>IF(AND('Detalle individual'!F181&lt;&gt;"",'Detalle individual'!F181&lt;&gt;"Completado",'Detalle individual'!F181&lt;&gt;"Pendiente"),COUNTIF('Detalle individual'!$D$5:$D$1000,"&lt;"&amp;'Detalle individual'!D181)*1000000+COUNTIF('Detalle individual'!$C$5:$C$1000,"&lt;"&amp;'Detalle individual'!C181)*1000+COUNTIF('Detalle individual'!$B$5:$B$1000,"&lt;"&amp;'Detalle individual'!B181)+ROW()/10000,"")</f>
        <v/>
      </c>
      <c r="AK181">
        <f>IF(OR('Base Exámenes'!C181="",'Base Exámenes'!D181=""),"",IF(COUNTIF('Base Exámenes'!$C$5:C181,'Base Exámenes'!C181)=1,'Base Exámenes'!D181+ROW()/1000000000,""))</f>
        <v>46307.36702564815</v>
      </c>
      <c r="AL181">
        <f>IF(OR('Base Exámenes'!C181="",'Base Exámenes'!E181=""),"",IF(COUNTIF('Base Exámenes'!$C$5:C181,'Base Exámenes'!C181)=1,'Base Exámenes'!E181+ROW()/1000000000,""))</f>
        <v>46307.37511592593</v>
      </c>
      <c r="AM181">
        <f>IF(OR('Base Exámenes'!C181="",'Base Exámenes'!G181=""),"",IF(ROW()-4=MATCH('Base Exámenes'!C181&amp;"|"&amp;_xlfn.MAXIFS('Base Exámenes'!$G$5:$G$1000,'Base Exámenes'!$C$5:$C$1000,'Base Exámenes'!C181),'Base Exámenes'!$I$5:$I$1000,0),'Base Exámenes'!G181*1000000+(-1)*'Base Exámenes'!D181,""))</f>
        <v>99953692.6329745</v>
      </c>
      <c r="AQ181" t="str">
        <f>IF('Base Exámenes'!C181="","",IF(COUNTIF('Base Exámenes'!$C$5:$C$1000,'Base Exámenes'!C181)&lt;2,"",MATCH('Base Exámenes'!C181,'Base Exámenes'!$C$5:$C$1000,0)*10000+ROW()))</f>
        <v/>
      </c>
    </row>
    <row r="182">
      <c r="Z182">
        <f>IF('Detalle individual'!A182="","",IF(AND(OR('Estado por Colaborador'!$D$4="Todas las gerencias",'Detalle individual'!D182='Estado por Colaborador'!$D$4),OR('Estado por Colaborador'!$D$5="Todos los departamentos",TRIM('Detalle individual'!C182)='Estado por Colaborador'!$D$5),OR('Estado por Colaborador'!$D$6="Todos",'Detalle individual'!F182='Estado por Colaborador'!$D$6)),IF('Detalle individual'!F182="Completado",30000000,IF('Detalle individual'!F182="Pendiente",0,15000000))+COUNTIF('Detalle individual'!$C$5:$C$1000,"&lt;"&amp;'Detalle individual'!C182)*10000+ROW(),""))</f>
        <v>23130182</v>
      </c>
      <c r="AB182" t="str">
        <f>IF('Detalle individual'!C182="","",IF(COUNTIF('Detalle individual'!$C$5:C182,'Detalle individual'!C182)=1,COUNTIF('Detalle individual'!$C$5:$C$1000,"&lt;"&amp;'Detalle individual'!C182),""))</f>
        <v/>
      </c>
      <c r="AC182" t="str">
        <f>IF('Detalle individual'!D182="","",IF(COUNTIF('Detalle individual'!$D$5:D182,'Detalle individual'!D182)=1,COUNTIF('Detalle individual'!$D$5:$D$1000,"&lt;"&amp;'Detalle individual'!D182),""))</f>
        <v/>
      </c>
      <c r="AH182" t="str">
        <f>IF('Detalle individual'!F182="Pendiente",COUNTIF('Detalle individual'!$D$5:$D$1000,"&lt;"&amp;'Detalle individual'!D182)*1000000+COUNTIF('Detalle individual'!$C$5:$C$1000,"&lt;"&amp;'Detalle individual'!C182)*1000+COUNTIF('Detalle individual'!$B$5:$B$1000,"&lt;"&amp;'Detalle individual'!B182)+ROW()/10000,"")</f>
        <v/>
      </c>
      <c r="AI182" t="str">
        <f>IF('Detalle individual'!F182="Completado",COUNTIF('Detalle individual'!$D$5:$D$1000,"&lt;"&amp;'Detalle individual'!D182)*1000000+COUNTIF('Detalle individual'!$C$5:$C$1000,"&lt;"&amp;'Detalle individual'!C182)*1000+COUNTIF('Detalle individual'!$B$5:$B$1000,"&lt;"&amp;'Detalle individual'!B182)+ROW()/10000,"")</f>
        <v/>
      </c>
      <c r="AJ182">
        <f>IF(AND('Detalle individual'!F182&lt;&gt;"",'Detalle individual'!F182&lt;&gt;"Completado",'Detalle individual'!F182&lt;&gt;"Pendiente"),COUNTIF('Detalle individual'!$D$5:$D$1000,"&lt;"&amp;'Detalle individual'!D182)*1000000+COUNTIF('Detalle individual'!$C$5:$C$1000,"&lt;"&amp;'Detalle individual'!C182)*1000+COUNTIF('Detalle individual'!$B$5:$B$1000,"&lt;"&amp;'Detalle individual'!B182)+ROW()/10000,"")</f>
        <v>764813891.0182</v>
      </c>
      <c r="AK182">
        <f>IF(OR('Base Exámenes'!C182="",'Base Exámenes'!D182=""),"",IF(COUNTIF('Base Exámenes'!$C$5:C182,'Base Exámenes'!C182)=1,'Base Exámenes'!D182+ROW()/1000000000,""))</f>
        <v>46307.37898166667</v>
      </c>
      <c r="AL182">
        <f>IF(OR('Base Exámenes'!C182="",'Base Exámenes'!E182=""),"",IF(COUNTIF('Base Exámenes'!$C$5:C182,'Base Exámenes'!C182)=1,'Base Exámenes'!E182+ROW()/1000000000,""))</f>
        <v>46307.384097407405</v>
      </c>
      <c r="AM182">
        <f>IF(OR('Base Exámenes'!C182="",'Base Exámenes'!G182=""),"",IF(ROW()-4=MATCH('Base Exámenes'!C182&amp;"|"&amp;_xlfn.MAXIFS('Base Exámenes'!$G$5:$G$1000,'Base Exámenes'!$C$5:$C$1000,'Base Exámenes'!C182),'Base Exámenes'!$I$5:$I$1000,0),'Base Exámenes'!G182*1000000+(-1)*'Base Exámenes'!D182,""))</f>
        <v>99953692.6210185</v>
      </c>
      <c r="AQ182" t="str">
        <f>IF('Base Exámenes'!C182="","",IF(COUNTIF('Base Exámenes'!$C$5:$C$1000,'Base Exámenes'!C182)&lt;2,"",MATCH('Base Exámenes'!C182,'Base Exámenes'!$C$5:$C$1000,0)*10000+ROW()))</f>
        <v/>
      </c>
    </row>
    <row r="183">
      <c r="Z183">
        <f>IF('Detalle individual'!A183="","",IF(AND(OR('Estado por Colaborador'!$D$4="Todas las gerencias",'Detalle individual'!D183='Estado por Colaborador'!$D$4),OR('Estado por Colaborador'!$D$5="Todos los departamentos",TRIM('Detalle individual'!C183)='Estado por Colaborador'!$D$5),OR('Estado por Colaborador'!$D$6="Todos",'Detalle individual'!F183='Estado por Colaborador'!$D$6)),IF('Detalle individual'!F183="Completado",30000000,IF('Detalle individual'!F183="Pendiente",0,15000000))+COUNTIF('Detalle individual'!$C$5:$C$1000,"&lt;"&amp;'Detalle individual'!C183)*10000+ROW(),""))</f>
        <v>38130183</v>
      </c>
      <c r="AB183" t="str">
        <f>IF('Detalle individual'!C183="","",IF(COUNTIF('Detalle individual'!$C$5:C183,'Detalle individual'!C183)=1,COUNTIF('Detalle individual'!$C$5:$C$1000,"&lt;"&amp;'Detalle individual'!C183),""))</f>
        <v/>
      </c>
      <c r="AC183" t="str">
        <f>IF('Detalle individual'!D183="","",IF(COUNTIF('Detalle individual'!$D$5:D183,'Detalle individual'!D183)=1,COUNTIF('Detalle individual'!$D$5:$D$1000,"&lt;"&amp;'Detalle individual'!D183),""))</f>
        <v/>
      </c>
      <c r="AH183" t="str">
        <f>IF('Detalle individual'!F183="Pendiente",COUNTIF('Detalle individual'!$D$5:$D$1000,"&lt;"&amp;'Detalle individual'!D183)*1000000+COUNTIF('Detalle individual'!$C$5:$C$1000,"&lt;"&amp;'Detalle individual'!C183)*1000+COUNTIF('Detalle individual'!$B$5:$B$1000,"&lt;"&amp;'Detalle individual'!B183)+ROW()/10000,"")</f>
        <v/>
      </c>
      <c r="AI183">
        <f>IF('Detalle individual'!F183="Completado",COUNTIF('Detalle individual'!$D$5:$D$1000,"&lt;"&amp;'Detalle individual'!D183)*1000000+COUNTIF('Detalle individual'!$C$5:$C$1000,"&lt;"&amp;'Detalle individual'!C183)*1000+COUNTIF('Detalle individual'!$B$5:$B$1000,"&lt;"&amp;'Detalle individual'!B183)+ROW()/10000,"")</f>
        <v>764813790.0183</v>
      </c>
      <c r="AJ183" t="str">
        <f>IF(AND('Detalle individual'!F183&lt;&gt;"",'Detalle individual'!F183&lt;&gt;"Completado",'Detalle individual'!F183&lt;&gt;"Pendiente"),COUNTIF('Detalle individual'!$D$5:$D$1000,"&lt;"&amp;'Detalle individual'!D183)*1000000+COUNTIF('Detalle individual'!$C$5:$C$1000,"&lt;"&amp;'Detalle individual'!C183)*1000+COUNTIF('Detalle individual'!$B$5:$B$1000,"&lt;"&amp;'Detalle individual'!B183)+ROW()/10000,"")</f>
        <v/>
      </c>
      <c r="AK183">
        <f>IF(OR('Base Exámenes'!C183="",'Base Exámenes'!D183=""),"",IF(COUNTIF('Base Exámenes'!$C$5:C183,'Base Exámenes'!C183)=1,'Base Exámenes'!D183+ROW()/1000000000,""))</f>
        <v>46307.38872703704</v>
      </c>
      <c r="AL183">
        <f>IF(OR('Base Exámenes'!C183="",'Base Exámenes'!E183=""),"",IF(COUNTIF('Base Exámenes'!$C$5:C183,'Base Exámenes'!C183)=1,'Base Exámenes'!E183+ROW()/1000000000,""))</f>
        <v>46307.390428425926</v>
      </c>
      <c r="AM183">
        <f>IF(OR('Base Exámenes'!C183="",'Base Exámenes'!G183=""),"",IF(ROW()-4=MATCH('Base Exámenes'!C183&amp;"|"&amp;_xlfn.MAXIFS('Base Exámenes'!$G$5:$G$1000,'Base Exámenes'!$C$5:$C$1000,'Base Exámenes'!C183),'Base Exámenes'!$I$5:$I$1000,0),'Base Exámenes'!G183*1000000+(-1)*'Base Exámenes'!D183,""))</f>
        <v>99953692.6112732</v>
      </c>
      <c r="AQ183" t="str">
        <f>IF('Base Exámenes'!C183="","",IF(COUNTIF('Base Exámenes'!$C$5:$C$1000,'Base Exámenes'!C183)&lt;2,"",MATCH('Base Exámenes'!C183,'Base Exámenes'!$C$5:$C$1000,0)*10000+ROW()))</f>
        <v/>
      </c>
    </row>
    <row r="184">
      <c r="Z184">
        <f>IF('Detalle individual'!A184="","",IF(AND(OR('Estado por Colaborador'!$D$4="Todas las gerencias",'Detalle individual'!D184='Estado por Colaborador'!$D$4),OR('Estado por Colaborador'!$D$5="Todos los departamentos",TRIM('Detalle individual'!C184)='Estado por Colaborador'!$D$5),OR('Estado por Colaborador'!$D$6="Todos",'Detalle individual'!F184='Estado por Colaborador'!$D$6)),IF('Detalle individual'!F184="Completado",30000000,IF('Detalle individual'!F184="Pendiente",0,15000000))+COUNTIF('Detalle individual'!$C$5:$C$1000,"&lt;"&amp;'Detalle individual'!C184)*10000+ROW(),""))</f>
        <v>39890184</v>
      </c>
      <c r="AB184">
        <f>IF('Detalle individual'!C184="","",IF(COUNTIF('Detalle individual'!$C$5:C184,'Detalle individual'!C184)=1,COUNTIF('Detalle individual'!$C$5:$C$1000,"&lt;"&amp;'Detalle individual'!C184),""))</f>
        <v>989</v>
      </c>
      <c r="AC184" t="str">
        <f>IF('Detalle individual'!D184="","",IF(COUNTIF('Detalle individual'!$D$5:D184,'Detalle individual'!D184)=1,COUNTIF('Detalle individual'!$D$5:$D$1000,"&lt;"&amp;'Detalle individual'!D184),""))</f>
        <v/>
      </c>
      <c r="AH184" t="str">
        <f>IF('Detalle individual'!F184="Pendiente",COUNTIF('Detalle individual'!$D$5:$D$1000,"&lt;"&amp;'Detalle individual'!D184)*1000000+COUNTIF('Detalle individual'!$C$5:$C$1000,"&lt;"&amp;'Detalle individual'!C184)*1000+COUNTIF('Detalle individual'!$B$5:$B$1000,"&lt;"&amp;'Detalle individual'!B184)+ROW()/10000,"")</f>
        <v/>
      </c>
      <c r="AI184">
        <f>IF('Detalle individual'!F184="Completado",COUNTIF('Detalle individual'!$D$5:$D$1000,"&lt;"&amp;'Detalle individual'!D184)*1000000+COUNTIF('Detalle individual'!$C$5:$C$1000,"&lt;"&amp;'Detalle individual'!C184)*1000+COUNTIF('Detalle individual'!$B$5:$B$1000,"&lt;"&amp;'Detalle individual'!B184)+ROW()/10000,"")</f>
        <v>764989897.0184</v>
      </c>
      <c r="AJ184" t="str">
        <f>IF(AND('Detalle individual'!F184&lt;&gt;"",'Detalle individual'!F184&lt;&gt;"Completado",'Detalle individual'!F184&lt;&gt;"Pendiente"),COUNTIF('Detalle individual'!$D$5:$D$1000,"&lt;"&amp;'Detalle individual'!D184)*1000000+COUNTIF('Detalle individual'!$C$5:$C$1000,"&lt;"&amp;'Detalle individual'!C184)*1000+COUNTIF('Detalle individual'!$B$5:$B$1000,"&lt;"&amp;'Detalle individual'!B184)+ROW()/10000,"")</f>
        <v/>
      </c>
      <c r="AK184">
        <f>IF(OR('Base Exámenes'!C184="",'Base Exámenes'!D184=""),"",IF(COUNTIF('Base Exámenes'!$C$5:C184,'Base Exámenes'!C184)=1,'Base Exámenes'!D184+ROW()/1000000000,""))</f>
        <v>46307.390902962965</v>
      </c>
      <c r="AL184">
        <f>IF(OR('Base Exámenes'!C184="",'Base Exámenes'!E184=""),"",IF(COUNTIF('Base Exámenes'!$C$5:C184,'Base Exámenes'!C184)=1,'Base Exámenes'!E184+ROW()/1000000000,""))</f>
        <v>46307.39480342592</v>
      </c>
      <c r="AM184">
        <f>IF(OR('Base Exámenes'!C184="",'Base Exámenes'!G184=""),"",IF(ROW()-4=MATCH('Base Exámenes'!C184&amp;"|"&amp;_xlfn.MAXIFS('Base Exámenes'!$G$5:$G$1000,'Base Exámenes'!$C$5:$C$1000,'Base Exámenes'!C184),'Base Exámenes'!$I$5:$I$1000,0),'Base Exámenes'!G184*1000000+(-1)*'Base Exámenes'!D184,""))</f>
        <v>99953692.6090972</v>
      </c>
      <c r="AQ184" t="str">
        <f>IF('Base Exámenes'!C184="","",IF(COUNTIF('Base Exámenes'!$C$5:$C$1000,'Base Exámenes'!C184)&lt;2,"",MATCH('Base Exámenes'!C184,'Base Exámenes'!$C$5:$C$1000,0)*10000+ROW()))</f>
        <v/>
      </c>
    </row>
    <row r="185">
      <c r="Z185">
        <f>IF('Detalle individual'!A185="","",IF(AND(OR('Estado por Colaborador'!$D$4="Todas las gerencias",'Detalle individual'!D185='Estado por Colaborador'!$D$4),OR('Estado por Colaborador'!$D$5="Todos los departamentos",TRIM('Detalle individual'!C185)='Estado por Colaborador'!$D$5),OR('Estado por Colaborador'!$D$6="Todos",'Detalle individual'!F185='Estado por Colaborador'!$D$6)),IF('Detalle individual'!F185="Completado",30000000,IF('Detalle individual'!F185="Pendiente",0,15000000))+COUNTIF('Detalle individual'!$C$5:$C$1000,"&lt;"&amp;'Detalle individual'!C185)*10000+ROW(),""))</f>
        <v>39890185</v>
      </c>
      <c r="AB185" t="str">
        <f>IF('Detalle individual'!C185="","",IF(COUNTIF('Detalle individual'!$C$5:C185,'Detalle individual'!C185)=1,COUNTIF('Detalle individual'!$C$5:$C$1000,"&lt;"&amp;'Detalle individual'!C185),""))</f>
        <v/>
      </c>
      <c r="AC185" t="str">
        <f>IF('Detalle individual'!D185="","",IF(COUNTIF('Detalle individual'!$D$5:D185,'Detalle individual'!D185)=1,COUNTIF('Detalle individual'!$D$5:$D$1000,"&lt;"&amp;'Detalle individual'!D185),""))</f>
        <v/>
      </c>
      <c r="AH185" t="str">
        <f>IF('Detalle individual'!F185="Pendiente",COUNTIF('Detalle individual'!$D$5:$D$1000,"&lt;"&amp;'Detalle individual'!D185)*1000000+COUNTIF('Detalle individual'!$C$5:$C$1000,"&lt;"&amp;'Detalle individual'!C185)*1000+COUNTIF('Detalle individual'!$B$5:$B$1000,"&lt;"&amp;'Detalle individual'!B185)+ROW()/10000,"")</f>
        <v/>
      </c>
      <c r="AI185">
        <f>IF('Detalle individual'!F185="Completado",COUNTIF('Detalle individual'!$D$5:$D$1000,"&lt;"&amp;'Detalle individual'!D185)*1000000+COUNTIF('Detalle individual'!$C$5:$C$1000,"&lt;"&amp;'Detalle individual'!C185)*1000+COUNTIF('Detalle individual'!$B$5:$B$1000,"&lt;"&amp;'Detalle individual'!B185)+ROW()/10000,"")</f>
        <v>764989861.0185</v>
      </c>
      <c r="AJ185" t="str">
        <f>IF(AND('Detalle individual'!F185&lt;&gt;"",'Detalle individual'!F185&lt;&gt;"Completado",'Detalle individual'!F185&lt;&gt;"Pendiente"),COUNTIF('Detalle individual'!$D$5:$D$1000,"&lt;"&amp;'Detalle individual'!D185)*1000000+COUNTIF('Detalle individual'!$C$5:$C$1000,"&lt;"&amp;'Detalle individual'!C185)*1000+COUNTIF('Detalle individual'!$B$5:$B$1000,"&lt;"&amp;'Detalle individual'!B185)+ROW()/10000,"")</f>
        <v/>
      </c>
      <c r="AK185" t="str">
        <f>IF(OR('Base Exámenes'!C185="",'Base Exámenes'!D185=""),"",IF(COUNTIF('Base Exámenes'!$C$5:C185,'Base Exámenes'!C185)=1,'Base Exámenes'!D185+ROW()/1000000000,""))</f>
        <v/>
      </c>
      <c r="AL185" t="str">
        <f>IF(OR('Base Exámenes'!C185="",'Base Exámenes'!E185=""),"",IF(COUNTIF('Base Exámenes'!$C$5:C185,'Base Exámenes'!C185)=1,'Base Exámenes'!E185+ROW()/1000000000,""))</f>
        <v/>
      </c>
      <c r="AM185">
        <f>IF(OR('Base Exámenes'!C185="",'Base Exámenes'!G185=""),"",IF(ROW()-4=MATCH('Base Exámenes'!C185&amp;"|"&amp;_xlfn.MAXIFS('Base Exámenes'!$G$5:$G$1000,'Base Exámenes'!$C$5:$C$1000,'Base Exámenes'!C185),'Base Exámenes'!$I$5:$I$1000,0),'Base Exámenes'!G185*1000000+(-1)*'Base Exámenes'!D185,""))</f>
        <v>99953692.6010532</v>
      </c>
      <c r="AQ185">
        <f>IF('Base Exámenes'!C185="","",IF(COUNTIF('Base Exámenes'!$C$5:$C$1000,'Base Exámenes'!C185)&lt;2,"",MATCH('Base Exámenes'!C185,'Base Exámenes'!$C$5:$C$1000,0)*10000+ROW()))</f>
        <v>640185</v>
      </c>
    </row>
    <row r="186">
      <c r="Z186">
        <f>IF('Detalle individual'!A186="","",IF(AND(OR('Estado por Colaborador'!$D$4="Todas las gerencias",'Detalle individual'!D186='Estado por Colaborador'!$D$4),OR('Estado por Colaborador'!$D$5="Todos los departamentos",TRIM('Detalle individual'!C186)='Estado por Colaborador'!$D$5),OR('Estado por Colaborador'!$D$6="Todos",'Detalle individual'!F186='Estado por Colaborador'!$D$6)),IF('Detalle individual'!F186="Completado",30000000,IF('Detalle individual'!F186="Pendiente",0,15000000))+COUNTIF('Detalle individual'!$C$5:$C$1000,"&lt;"&amp;'Detalle individual'!C186)*10000+ROW(),""))</f>
        <v>39890186</v>
      </c>
      <c r="AB186" t="str">
        <f>IF('Detalle individual'!C186="","",IF(COUNTIF('Detalle individual'!$C$5:C186,'Detalle individual'!C186)=1,COUNTIF('Detalle individual'!$C$5:$C$1000,"&lt;"&amp;'Detalle individual'!C186),""))</f>
        <v/>
      </c>
      <c r="AC186" t="str">
        <f>IF('Detalle individual'!D186="","",IF(COUNTIF('Detalle individual'!$D$5:D186,'Detalle individual'!D186)=1,COUNTIF('Detalle individual'!$D$5:$D$1000,"&lt;"&amp;'Detalle individual'!D186),""))</f>
        <v/>
      </c>
      <c r="AH186" t="str">
        <f>IF('Detalle individual'!F186="Pendiente",COUNTIF('Detalle individual'!$D$5:$D$1000,"&lt;"&amp;'Detalle individual'!D186)*1000000+COUNTIF('Detalle individual'!$C$5:$C$1000,"&lt;"&amp;'Detalle individual'!C186)*1000+COUNTIF('Detalle individual'!$B$5:$B$1000,"&lt;"&amp;'Detalle individual'!B186)+ROW()/10000,"")</f>
        <v/>
      </c>
      <c r="AI186">
        <f>IF('Detalle individual'!F186="Completado",COUNTIF('Detalle individual'!$D$5:$D$1000,"&lt;"&amp;'Detalle individual'!D186)*1000000+COUNTIF('Detalle individual'!$C$5:$C$1000,"&lt;"&amp;'Detalle individual'!C186)*1000+COUNTIF('Detalle individual'!$B$5:$B$1000,"&lt;"&amp;'Detalle individual'!B186)+ROW()/10000,"")</f>
        <v>764989935.0186</v>
      </c>
      <c r="AJ186" t="str">
        <f>IF(AND('Detalle individual'!F186&lt;&gt;"",'Detalle individual'!F186&lt;&gt;"Completado",'Detalle individual'!F186&lt;&gt;"Pendiente"),COUNTIF('Detalle individual'!$D$5:$D$1000,"&lt;"&amp;'Detalle individual'!D186)*1000000+COUNTIF('Detalle individual'!$C$5:$C$1000,"&lt;"&amp;'Detalle individual'!C186)*1000+COUNTIF('Detalle individual'!$B$5:$B$1000,"&lt;"&amp;'Detalle individual'!B186)+ROW()/10000,"")</f>
        <v/>
      </c>
      <c r="AK186">
        <f>IF(OR('Base Exámenes'!C186="",'Base Exámenes'!D186=""),"",IF(COUNTIF('Base Exámenes'!$C$5:C186,'Base Exámenes'!C186)=1,'Base Exámenes'!D186+ROW()/1000000000,""))</f>
        <v>46307.40015064815</v>
      </c>
      <c r="AL186">
        <f>IF(OR('Base Exámenes'!C186="",'Base Exámenes'!E186=""),"",IF(COUNTIF('Base Exámenes'!$C$5:C186,'Base Exámenes'!C186)=1,'Base Exámenes'!E186+ROW()/1000000000,""))</f>
        <v>46307.4038312037</v>
      </c>
      <c r="AM186">
        <f>IF(OR('Base Exámenes'!C186="",'Base Exámenes'!G186=""),"",IF(ROW()-4=MATCH('Base Exámenes'!C186&amp;"|"&amp;_xlfn.MAXIFS('Base Exámenes'!$G$5:$G$1000,'Base Exámenes'!$C$5:$C$1000,'Base Exámenes'!C186),'Base Exámenes'!$I$5:$I$1000,0),'Base Exámenes'!G186*1000000+(-1)*'Base Exámenes'!D186,""))</f>
        <v>99953692.5998495</v>
      </c>
      <c r="AQ186" t="str">
        <f>IF('Base Exámenes'!C186="","",IF(COUNTIF('Base Exámenes'!$C$5:$C$1000,'Base Exámenes'!C186)&lt;2,"",MATCH('Base Exámenes'!C186,'Base Exámenes'!$C$5:$C$1000,0)*10000+ROW()))</f>
        <v/>
      </c>
    </row>
    <row r="187">
      <c r="Z187">
        <f>IF('Detalle individual'!A187="","",IF(AND(OR('Estado por Colaborador'!$D$4="Todas las gerencias",'Detalle individual'!D187='Estado por Colaborador'!$D$4),OR('Estado por Colaborador'!$D$5="Todos los departamentos",TRIM('Detalle individual'!C187)='Estado por Colaborador'!$D$5),OR('Estado por Colaborador'!$D$6="Todos",'Detalle individual'!F187='Estado por Colaborador'!$D$6)),IF('Detalle individual'!F187="Completado",30000000,IF('Detalle individual'!F187="Pendiente",0,15000000))+COUNTIF('Detalle individual'!$C$5:$C$1000,"&lt;"&amp;'Detalle individual'!C187)*10000+ROW(),""))</f>
        <v>39890187</v>
      </c>
      <c r="AB187" t="str">
        <f>IF('Detalle individual'!C187="","",IF(COUNTIF('Detalle individual'!$C$5:C187,'Detalle individual'!C187)=1,COUNTIF('Detalle individual'!$C$5:$C$1000,"&lt;"&amp;'Detalle individual'!C187),""))</f>
        <v/>
      </c>
      <c r="AC187" t="str">
        <f>IF('Detalle individual'!D187="","",IF(COUNTIF('Detalle individual'!$D$5:D187,'Detalle individual'!D187)=1,COUNTIF('Detalle individual'!$D$5:$D$1000,"&lt;"&amp;'Detalle individual'!D187),""))</f>
        <v/>
      </c>
      <c r="AH187" t="str">
        <f>IF('Detalle individual'!F187="Pendiente",COUNTIF('Detalle individual'!$D$5:$D$1000,"&lt;"&amp;'Detalle individual'!D187)*1000000+COUNTIF('Detalle individual'!$C$5:$C$1000,"&lt;"&amp;'Detalle individual'!C187)*1000+COUNTIF('Detalle individual'!$B$5:$B$1000,"&lt;"&amp;'Detalle individual'!B187)+ROW()/10000,"")</f>
        <v/>
      </c>
      <c r="AI187">
        <f>IF('Detalle individual'!F187="Completado",COUNTIF('Detalle individual'!$D$5:$D$1000,"&lt;"&amp;'Detalle individual'!D187)*1000000+COUNTIF('Detalle individual'!$C$5:$C$1000,"&lt;"&amp;'Detalle individual'!C187)*1000+COUNTIF('Detalle individual'!$B$5:$B$1000,"&lt;"&amp;'Detalle individual'!B187)+ROW()/10000,"")</f>
        <v>764989894.0187</v>
      </c>
      <c r="AJ187" t="str">
        <f>IF(AND('Detalle individual'!F187&lt;&gt;"",'Detalle individual'!F187&lt;&gt;"Completado",'Detalle individual'!F187&lt;&gt;"Pendiente"),COUNTIF('Detalle individual'!$D$5:$D$1000,"&lt;"&amp;'Detalle individual'!D187)*1000000+COUNTIF('Detalle individual'!$C$5:$C$1000,"&lt;"&amp;'Detalle individual'!C187)*1000+COUNTIF('Detalle individual'!$B$5:$B$1000,"&lt;"&amp;'Detalle individual'!B187)+ROW()/10000,"")</f>
        <v/>
      </c>
      <c r="AK187">
        <f>IF(OR('Base Exámenes'!C187="",'Base Exámenes'!D187=""),"",IF(COUNTIF('Base Exámenes'!$C$5:C187,'Base Exámenes'!C187)=1,'Base Exámenes'!D187+ROW()/1000000000,""))</f>
        <v>46307.409942314815</v>
      </c>
      <c r="AL187">
        <f>IF(OR('Base Exámenes'!C187="",'Base Exámenes'!E187=""),"",IF(COUNTIF('Base Exámenes'!$C$5:C187,'Base Exámenes'!C187)=1,'Base Exámenes'!E187+ROW()/1000000000,""))</f>
        <v>46307.41254648148</v>
      </c>
      <c r="AM187">
        <f>IF(OR('Base Exámenes'!C187="",'Base Exámenes'!G187=""),"",IF(ROW()-4=MATCH('Base Exámenes'!C187&amp;"|"&amp;_xlfn.MAXIFS('Base Exámenes'!$G$5:$G$1000,'Base Exámenes'!$C$5:$C$1000,'Base Exámenes'!C187),'Base Exámenes'!$I$5:$I$1000,0),'Base Exámenes'!G187*1000000+(-1)*'Base Exámenes'!D187,""))</f>
        <v>89953692.5900579</v>
      </c>
      <c r="AQ187" t="str">
        <f>IF('Base Exámenes'!C187="","",IF(COUNTIF('Base Exámenes'!$C$5:$C$1000,'Base Exámenes'!C187)&lt;2,"",MATCH('Base Exámenes'!C187,'Base Exámenes'!$C$5:$C$1000,0)*10000+ROW()))</f>
        <v/>
      </c>
    </row>
    <row r="188">
      <c r="Z188">
        <f>IF('Detalle individual'!A188="","",IF(AND(OR('Estado por Colaborador'!$D$4="Todas las gerencias",'Detalle individual'!D188='Estado por Colaborador'!$D$4),OR('Estado por Colaborador'!$D$5="Todos los departamentos",TRIM('Detalle individual'!C188)='Estado por Colaborador'!$D$5),OR('Estado por Colaborador'!$D$6="Todos",'Detalle individual'!F188='Estado por Colaborador'!$D$6)),IF('Detalle individual'!F188="Completado",30000000,IF('Detalle individual'!F188="Pendiente",0,15000000))+COUNTIF('Detalle individual'!$C$5:$C$1000,"&lt;"&amp;'Detalle individual'!C188)*10000+ROW(),""))</f>
        <v>39890188</v>
      </c>
      <c r="AB188" t="str">
        <f>IF('Detalle individual'!C188="","",IF(COUNTIF('Detalle individual'!$C$5:C188,'Detalle individual'!C188)=1,COUNTIF('Detalle individual'!$C$5:$C$1000,"&lt;"&amp;'Detalle individual'!C188),""))</f>
        <v/>
      </c>
      <c r="AC188" t="str">
        <f>IF('Detalle individual'!D188="","",IF(COUNTIF('Detalle individual'!$D$5:D188,'Detalle individual'!D188)=1,COUNTIF('Detalle individual'!$D$5:$D$1000,"&lt;"&amp;'Detalle individual'!D188),""))</f>
        <v/>
      </c>
      <c r="AH188" t="str">
        <f>IF('Detalle individual'!F188="Pendiente",COUNTIF('Detalle individual'!$D$5:$D$1000,"&lt;"&amp;'Detalle individual'!D188)*1000000+COUNTIF('Detalle individual'!$C$5:$C$1000,"&lt;"&amp;'Detalle individual'!C188)*1000+COUNTIF('Detalle individual'!$B$5:$B$1000,"&lt;"&amp;'Detalle individual'!B188)+ROW()/10000,"")</f>
        <v/>
      </c>
      <c r="AI188">
        <f>IF('Detalle individual'!F188="Completado",COUNTIF('Detalle individual'!$D$5:$D$1000,"&lt;"&amp;'Detalle individual'!D188)*1000000+COUNTIF('Detalle individual'!$C$5:$C$1000,"&lt;"&amp;'Detalle individual'!C188)*1000+COUNTIF('Detalle individual'!$B$5:$B$1000,"&lt;"&amp;'Detalle individual'!B188)+ROW()/10000,"")</f>
        <v>764989966.0188</v>
      </c>
      <c r="AJ188" t="str">
        <f>IF(AND('Detalle individual'!F188&lt;&gt;"",'Detalle individual'!F188&lt;&gt;"Completado",'Detalle individual'!F188&lt;&gt;"Pendiente"),COUNTIF('Detalle individual'!$D$5:$D$1000,"&lt;"&amp;'Detalle individual'!D188)*1000000+COUNTIF('Detalle individual'!$C$5:$C$1000,"&lt;"&amp;'Detalle individual'!C188)*1000+COUNTIF('Detalle individual'!$B$5:$B$1000,"&lt;"&amp;'Detalle individual'!B188)+ROW()/10000,"")</f>
        <v/>
      </c>
      <c r="AK188">
        <f>IF(OR('Base Exámenes'!C188="",'Base Exámenes'!D188=""),"",IF(COUNTIF('Base Exámenes'!$C$5:C188,'Base Exámenes'!C188)=1,'Base Exámenes'!D188+ROW()/1000000000,""))</f>
        <v>46307.4128937037</v>
      </c>
      <c r="AL188">
        <f>IF(OR('Base Exámenes'!C188="",'Base Exámenes'!E188=""),"",IF(COUNTIF('Base Exámenes'!$C$5:C188,'Base Exámenes'!C188)=1,'Base Exámenes'!E188+ROW()/1000000000,""))</f>
        <v>46307.42131962963</v>
      </c>
      <c r="AM188">
        <f>IF(OR('Base Exámenes'!C188="",'Base Exámenes'!G188=""),"",IF(ROW()-4=MATCH('Base Exámenes'!C188&amp;"|"&amp;_xlfn.MAXIFS('Base Exámenes'!$G$5:$G$1000,'Base Exámenes'!$C$5:$C$1000,'Base Exámenes'!C188),'Base Exámenes'!$I$5:$I$1000,0),'Base Exámenes'!G188*1000000+(-1)*'Base Exámenes'!D188,""))</f>
        <v>99953692.5871065</v>
      </c>
      <c r="AQ188" t="str">
        <f>IF('Base Exámenes'!C188="","",IF(COUNTIF('Base Exámenes'!$C$5:$C$1000,'Base Exámenes'!C188)&lt;2,"",MATCH('Base Exámenes'!C188,'Base Exámenes'!$C$5:$C$1000,0)*10000+ROW()))</f>
        <v/>
      </c>
    </row>
    <row r="189">
      <c r="Z189">
        <f>IF('Detalle individual'!A189="","",IF(AND(OR('Estado por Colaborador'!$D$4="Todas las gerencias",'Detalle individual'!D189='Estado por Colaborador'!$D$4),OR('Estado por Colaborador'!$D$5="Todos los departamentos",TRIM('Detalle individual'!C189)='Estado por Colaborador'!$D$5),OR('Estado por Colaborador'!$D$6="Todos",'Detalle individual'!F189='Estado por Colaborador'!$D$6)),IF('Detalle individual'!F189="Completado",30000000,IF('Detalle individual'!F189="Pendiente",0,15000000))+COUNTIF('Detalle individual'!$C$5:$C$1000,"&lt;"&amp;'Detalle individual'!C189)*10000+ROW(),""))</f>
        <v>39890189</v>
      </c>
      <c r="AB189" t="str">
        <f>IF('Detalle individual'!C189="","",IF(COUNTIF('Detalle individual'!$C$5:C189,'Detalle individual'!C189)=1,COUNTIF('Detalle individual'!$C$5:$C$1000,"&lt;"&amp;'Detalle individual'!C189),""))</f>
        <v/>
      </c>
      <c r="AC189" t="str">
        <f>IF('Detalle individual'!D189="","",IF(COUNTIF('Detalle individual'!$D$5:D189,'Detalle individual'!D189)=1,COUNTIF('Detalle individual'!$D$5:$D$1000,"&lt;"&amp;'Detalle individual'!D189),""))</f>
        <v/>
      </c>
      <c r="AH189" t="str">
        <f>IF('Detalle individual'!F189="Pendiente",COUNTIF('Detalle individual'!$D$5:$D$1000,"&lt;"&amp;'Detalle individual'!D189)*1000000+COUNTIF('Detalle individual'!$C$5:$C$1000,"&lt;"&amp;'Detalle individual'!C189)*1000+COUNTIF('Detalle individual'!$B$5:$B$1000,"&lt;"&amp;'Detalle individual'!B189)+ROW()/10000,"")</f>
        <v/>
      </c>
      <c r="AI189">
        <f>IF('Detalle individual'!F189="Completado",COUNTIF('Detalle individual'!$D$5:$D$1000,"&lt;"&amp;'Detalle individual'!D189)*1000000+COUNTIF('Detalle individual'!$C$5:$C$1000,"&lt;"&amp;'Detalle individual'!C189)*1000+COUNTIF('Detalle individual'!$B$5:$B$1000,"&lt;"&amp;'Detalle individual'!B189)+ROW()/10000,"")</f>
        <v>764989954.0189</v>
      </c>
      <c r="AJ189" t="str">
        <f>IF(AND('Detalle individual'!F189&lt;&gt;"",'Detalle individual'!F189&lt;&gt;"Completado",'Detalle individual'!F189&lt;&gt;"Pendiente"),COUNTIF('Detalle individual'!$D$5:$D$1000,"&lt;"&amp;'Detalle individual'!D189)*1000000+COUNTIF('Detalle individual'!$C$5:$C$1000,"&lt;"&amp;'Detalle individual'!C189)*1000+COUNTIF('Detalle individual'!$B$5:$B$1000,"&lt;"&amp;'Detalle individual'!B189)+ROW()/10000,"")</f>
        <v/>
      </c>
      <c r="AK189">
        <f>IF(OR('Base Exámenes'!C189="",'Base Exámenes'!D189=""),"",IF(COUNTIF('Base Exámenes'!$C$5:C189,'Base Exámenes'!C189)=1,'Base Exámenes'!D189+ROW()/1000000000,""))</f>
        <v>46307.42672472222</v>
      </c>
      <c r="AL189">
        <f>IF(OR('Base Exámenes'!C189="",'Base Exámenes'!E189=""),"",IF(COUNTIF('Base Exámenes'!$C$5:C189,'Base Exámenes'!C189)=1,'Base Exámenes'!E189+ROW()/1000000000,""))</f>
        <v>46307.43005805556</v>
      </c>
      <c r="AM189">
        <f>IF(OR('Base Exámenes'!C189="",'Base Exámenes'!G189=""),"",IF(ROW()-4=MATCH('Base Exámenes'!C189&amp;"|"&amp;_xlfn.MAXIFS('Base Exámenes'!$G$5:$G$1000,'Base Exámenes'!$C$5:$C$1000,'Base Exámenes'!C189),'Base Exámenes'!$I$5:$I$1000,0),'Base Exámenes'!G189*1000000+(-1)*'Base Exámenes'!D189,""))</f>
        <v>89953692.5732755</v>
      </c>
      <c r="AQ189" t="str">
        <f>IF('Base Exámenes'!C189="","",IF(COUNTIF('Base Exámenes'!$C$5:$C$1000,'Base Exámenes'!C189)&lt;2,"",MATCH('Base Exámenes'!C189,'Base Exámenes'!$C$5:$C$1000,0)*10000+ROW()))</f>
        <v/>
      </c>
    </row>
    <row r="190">
      <c r="Z190">
        <f>IF('Detalle individual'!A190="","",IF(AND(OR('Estado por Colaborador'!$D$4="Todas las gerencias",'Detalle individual'!D190='Estado por Colaborador'!$D$4),OR('Estado por Colaborador'!$D$5="Todos los departamentos",TRIM('Detalle individual'!C190)='Estado por Colaborador'!$D$5),OR('Estado por Colaborador'!$D$6="Todos",'Detalle individual'!F190='Estado por Colaborador'!$D$6)),IF('Detalle individual'!F190="Completado",30000000,IF('Detalle individual'!F190="Pendiente",0,15000000))+COUNTIF('Detalle individual'!$C$5:$C$1000,"&lt;"&amp;'Detalle individual'!C190)*10000+ROW(),""))</f>
        <v>39890190</v>
      </c>
      <c r="AB190" t="str">
        <f>IF('Detalle individual'!C190="","",IF(COUNTIF('Detalle individual'!$C$5:C190,'Detalle individual'!C190)=1,COUNTIF('Detalle individual'!$C$5:$C$1000,"&lt;"&amp;'Detalle individual'!C190),""))</f>
        <v/>
      </c>
      <c r="AC190" t="str">
        <f>IF('Detalle individual'!D190="","",IF(COUNTIF('Detalle individual'!$D$5:D190,'Detalle individual'!D190)=1,COUNTIF('Detalle individual'!$D$5:$D$1000,"&lt;"&amp;'Detalle individual'!D190),""))</f>
        <v/>
      </c>
      <c r="AH190" t="str">
        <f>IF('Detalle individual'!F190="Pendiente",COUNTIF('Detalle individual'!$D$5:$D$1000,"&lt;"&amp;'Detalle individual'!D190)*1000000+COUNTIF('Detalle individual'!$C$5:$C$1000,"&lt;"&amp;'Detalle individual'!C190)*1000+COUNTIF('Detalle individual'!$B$5:$B$1000,"&lt;"&amp;'Detalle individual'!B190)+ROW()/10000,"")</f>
        <v/>
      </c>
      <c r="AI190">
        <f>IF('Detalle individual'!F190="Completado",COUNTIF('Detalle individual'!$D$5:$D$1000,"&lt;"&amp;'Detalle individual'!D190)*1000000+COUNTIF('Detalle individual'!$C$5:$C$1000,"&lt;"&amp;'Detalle individual'!C190)*1000+COUNTIF('Detalle individual'!$B$5:$B$1000,"&lt;"&amp;'Detalle individual'!B190)+ROW()/10000,"")</f>
        <v>764989963.019</v>
      </c>
      <c r="AJ190" t="str">
        <f>IF(AND('Detalle individual'!F190&lt;&gt;"",'Detalle individual'!F190&lt;&gt;"Completado",'Detalle individual'!F190&lt;&gt;"Pendiente"),COUNTIF('Detalle individual'!$D$5:$D$1000,"&lt;"&amp;'Detalle individual'!D190)*1000000+COUNTIF('Detalle individual'!$C$5:$C$1000,"&lt;"&amp;'Detalle individual'!C190)*1000+COUNTIF('Detalle individual'!$B$5:$B$1000,"&lt;"&amp;'Detalle individual'!B190)+ROW()/10000,"")</f>
        <v/>
      </c>
      <c r="AK190">
        <f>IF(OR('Base Exámenes'!C190="",'Base Exámenes'!D190=""),"",IF(COUNTIF('Base Exámenes'!$C$5:C190,'Base Exámenes'!C190)=1,'Base Exámenes'!D190+ROW()/1000000000,""))</f>
        <v>46307.41273166666</v>
      </c>
      <c r="AL190">
        <f>IF(OR('Base Exámenes'!C190="",'Base Exámenes'!E190=""),"",IF(COUNTIF('Base Exámenes'!$C$5:C190,'Base Exámenes'!C190)=1,'Base Exámenes'!E190+ROW()/1000000000,""))</f>
        <v>46307.433113611114</v>
      </c>
      <c r="AM190">
        <f>IF(OR('Base Exámenes'!C190="",'Base Exámenes'!G190=""),"",IF(ROW()-4=MATCH('Base Exámenes'!C190&amp;"|"&amp;_xlfn.MAXIFS('Base Exámenes'!$G$5:$G$1000,'Base Exámenes'!$C$5:$C$1000,'Base Exámenes'!C190),'Base Exámenes'!$I$5:$I$1000,0),'Base Exámenes'!G190*1000000+(-1)*'Base Exámenes'!D190,""))</f>
        <v>99953692.5872685</v>
      </c>
      <c r="AQ190" t="str">
        <f>IF('Base Exámenes'!C190="","",IF(COUNTIF('Base Exámenes'!$C$5:$C$1000,'Base Exámenes'!C190)&lt;2,"",MATCH('Base Exámenes'!C190,'Base Exámenes'!$C$5:$C$1000,0)*10000+ROW()))</f>
        <v/>
      </c>
    </row>
    <row r="191">
      <c r="Z191">
        <f>IF('Detalle individual'!A191="","",IF(AND(OR('Estado por Colaborador'!$D$4="Todas las gerencias",'Detalle individual'!D191='Estado por Colaborador'!$D$4),OR('Estado por Colaborador'!$D$5="Todos los departamentos",TRIM('Detalle individual'!C191)='Estado por Colaborador'!$D$5),OR('Estado por Colaborador'!$D$6="Todos",'Detalle individual'!F191='Estado por Colaborador'!$D$6)),IF('Detalle individual'!F191="Completado",30000000,IF('Detalle individual'!F191="Pendiente",0,15000000))+COUNTIF('Detalle individual'!$C$5:$C$1000,"&lt;"&amp;'Detalle individual'!C191)*10000+ROW(),""))</f>
        <v>37130191</v>
      </c>
      <c r="AB191">
        <f>IF('Detalle individual'!C191="","",IF(COUNTIF('Detalle individual'!$C$5:C191,'Detalle individual'!C191)=1,COUNTIF('Detalle individual'!$C$5:$C$1000,"&lt;"&amp;'Detalle individual'!C191),""))</f>
        <v>713</v>
      </c>
      <c r="AC191" t="str">
        <f>IF('Detalle individual'!D191="","",IF(COUNTIF('Detalle individual'!$D$5:D191,'Detalle individual'!D191)=1,COUNTIF('Detalle individual'!$D$5:$D$1000,"&lt;"&amp;'Detalle individual'!D191),""))</f>
        <v/>
      </c>
      <c r="AH191" t="str">
        <f>IF('Detalle individual'!F191="Pendiente",COUNTIF('Detalle individual'!$D$5:$D$1000,"&lt;"&amp;'Detalle individual'!D191)*1000000+COUNTIF('Detalle individual'!$C$5:$C$1000,"&lt;"&amp;'Detalle individual'!C191)*1000+COUNTIF('Detalle individual'!$B$5:$B$1000,"&lt;"&amp;'Detalle individual'!B191)+ROW()/10000,"")</f>
        <v/>
      </c>
      <c r="AI191">
        <f>IF('Detalle individual'!F191="Completado",COUNTIF('Detalle individual'!$D$5:$D$1000,"&lt;"&amp;'Detalle individual'!D191)*1000000+COUNTIF('Detalle individual'!$C$5:$C$1000,"&lt;"&amp;'Detalle individual'!C191)*1000+COUNTIF('Detalle individual'!$B$5:$B$1000,"&lt;"&amp;'Detalle individual'!B191)+ROW()/10000,"")</f>
        <v>764713745.0191</v>
      </c>
      <c r="AJ191" t="str">
        <f>IF(AND('Detalle individual'!F191&lt;&gt;"",'Detalle individual'!F191&lt;&gt;"Completado",'Detalle individual'!F191&lt;&gt;"Pendiente"),COUNTIF('Detalle individual'!$D$5:$D$1000,"&lt;"&amp;'Detalle individual'!D191)*1000000+COUNTIF('Detalle individual'!$C$5:$C$1000,"&lt;"&amp;'Detalle individual'!C191)*1000+COUNTIF('Detalle individual'!$B$5:$B$1000,"&lt;"&amp;'Detalle individual'!B191)+ROW()/10000,"")</f>
        <v/>
      </c>
      <c r="AK191">
        <f>IF(OR('Base Exámenes'!C191="",'Base Exámenes'!D191=""),"",IF(COUNTIF('Base Exámenes'!$C$5:C191,'Base Exámenes'!C191)=1,'Base Exámenes'!D191+ROW()/1000000000,""))</f>
        <v>46307.42846084491</v>
      </c>
      <c r="AL191">
        <f>IF(OR('Base Exámenes'!C191="",'Base Exámenes'!E191=""),"",IF(COUNTIF('Base Exámenes'!$C$5:C191,'Base Exámenes'!C191)=1,'Base Exámenes'!E191+ROW()/1000000000,""))</f>
        <v>46307.436666863425</v>
      </c>
      <c r="AM191">
        <f>IF(OR('Base Exámenes'!C191="",'Base Exámenes'!G191=""),"",IF(ROW()-4=MATCH('Base Exámenes'!C191&amp;"|"&amp;_xlfn.MAXIFS('Base Exámenes'!$G$5:$G$1000,'Base Exámenes'!$C$5:$C$1000,'Base Exámenes'!C191),'Base Exámenes'!$I$5:$I$1000,0),'Base Exámenes'!G191*1000000+(-1)*'Base Exámenes'!D191,""))</f>
        <v>99953692.5715394</v>
      </c>
      <c r="AQ191" t="str">
        <f>IF('Base Exámenes'!C191="","",IF(COUNTIF('Base Exámenes'!$C$5:$C$1000,'Base Exámenes'!C191)&lt;2,"",MATCH('Base Exámenes'!C191,'Base Exámenes'!$C$5:$C$1000,0)*10000+ROW()))</f>
        <v/>
      </c>
    </row>
    <row r="192">
      <c r="Z192">
        <f>IF('Detalle individual'!A192="","",IF(AND(OR('Estado por Colaborador'!$D$4="Todas las gerencias",'Detalle individual'!D192='Estado por Colaborador'!$D$4),OR('Estado por Colaborador'!$D$5="Todos los departamentos",TRIM('Detalle individual'!C192)='Estado por Colaborador'!$D$5),OR('Estado por Colaborador'!$D$6="Todos",'Detalle individual'!F192='Estado por Colaborador'!$D$6)),IF('Detalle individual'!F192="Completado",30000000,IF('Detalle individual'!F192="Pendiente",0,15000000))+COUNTIF('Detalle individual'!$C$5:$C$1000,"&lt;"&amp;'Detalle individual'!C192)*10000+ROW(),""))</f>
        <v>37130192</v>
      </c>
      <c r="AB192" t="str">
        <f>IF('Detalle individual'!C192="","",IF(COUNTIF('Detalle individual'!$C$5:C192,'Detalle individual'!C192)=1,COUNTIF('Detalle individual'!$C$5:$C$1000,"&lt;"&amp;'Detalle individual'!C192),""))</f>
        <v/>
      </c>
      <c r="AC192" t="str">
        <f>IF('Detalle individual'!D192="","",IF(COUNTIF('Detalle individual'!$D$5:D192,'Detalle individual'!D192)=1,COUNTIF('Detalle individual'!$D$5:$D$1000,"&lt;"&amp;'Detalle individual'!D192),""))</f>
        <v/>
      </c>
      <c r="AH192" t="str">
        <f>IF('Detalle individual'!F192="Pendiente",COUNTIF('Detalle individual'!$D$5:$D$1000,"&lt;"&amp;'Detalle individual'!D192)*1000000+COUNTIF('Detalle individual'!$C$5:$C$1000,"&lt;"&amp;'Detalle individual'!C192)*1000+COUNTIF('Detalle individual'!$B$5:$B$1000,"&lt;"&amp;'Detalle individual'!B192)+ROW()/10000,"")</f>
        <v/>
      </c>
      <c r="AI192">
        <f>IF('Detalle individual'!F192="Completado",COUNTIF('Detalle individual'!$D$5:$D$1000,"&lt;"&amp;'Detalle individual'!D192)*1000000+COUNTIF('Detalle individual'!$C$5:$C$1000,"&lt;"&amp;'Detalle individual'!C192)*1000+COUNTIF('Detalle individual'!$B$5:$B$1000,"&lt;"&amp;'Detalle individual'!B192)+ROW()/10000,"")</f>
        <v>764713805.0192</v>
      </c>
      <c r="AJ192" t="str">
        <f>IF(AND('Detalle individual'!F192&lt;&gt;"",'Detalle individual'!F192&lt;&gt;"Completado",'Detalle individual'!F192&lt;&gt;"Pendiente"),COUNTIF('Detalle individual'!$D$5:$D$1000,"&lt;"&amp;'Detalle individual'!D192)*1000000+COUNTIF('Detalle individual'!$C$5:$C$1000,"&lt;"&amp;'Detalle individual'!C192)*1000+COUNTIF('Detalle individual'!$B$5:$B$1000,"&lt;"&amp;'Detalle individual'!B192)+ROW()/10000,"")</f>
        <v/>
      </c>
      <c r="AK192">
        <f>IF(OR('Base Exámenes'!C192="",'Base Exámenes'!D192=""),"",IF(COUNTIF('Base Exámenes'!$C$5:C192,'Base Exámenes'!C192)=1,'Base Exámenes'!D192+ROW()/1000000000,""))</f>
        <v>46307.435092789354</v>
      </c>
      <c r="AL192">
        <f>IF(OR('Base Exámenes'!C192="",'Base Exámenes'!E192=""),"",IF(COUNTIF('Base Exámenes'!$C$5:C192,'Base Exámenes'!C192)=1,'Base Exámenes'!E192+ROW()/1000000000,""))</f>
        <v>46307.43875019676</v>
      </c>
      <c r="AM192">
        <f>IF(OR('Base Exámenes'!C192="",'Base Exámenes'!G192=""),"",IF(ROW()-4=MATCH('Base Exámenes'!C192&amp;"|"&amp;_xlfn.MAXIFS('Base Exámenes'!$G$5:$G$1000,'Base Exámenes'!$C$5:$C$1000,'Base Exámenes'!C192),'Base Exámenes'!$I$5:$I$1000,0),'Base Exámenes'!G192*1000000+(-1)*'Base Exámenes'!D192,""))</f>
        <v>99953692.5649074</v>
      </c>
      <c r="AQ192" t="str">
        <f>IF('Base Exámenes'!C192="","",IF(COUNTIF('Base Exámenes'!$C$5:$C$1000,'Base Exámenes'!C192)&lt;2,"",MATCH('Base Exámenes'!C192,'Base Exámenes'!$C$5:$C$1000,0)*10000+ROW()))</f>
        <v/>
      </c>
    </row>
    <row r="193">
      <c r="Z193">
        <f>IF('Detalle individual'!A193="","",IF(AND(OR('Estado por Colaborador'!$D$4="Todas las gerencias",'Detalle individual'!D193='Estado por Colaborador'!$D$4),OR('Estado por Colaborador'!$D$5="Todos los departamentos",TRIM('Detalle individual'!C193)='Estado por Colaborador'!$D$5),OR('Estado por Colaborador'!$D$6="Todos",'Detalle individual'!F193='Estado por Colaborador'!$D$6)),IF('Detalle individual'!F193="Completado",30000000,IF('Detalle individual'!F193="Pendiente",0,15000000))+COUNTIF('Detalle individual'!$C$5:$C$1000,"&lt;"&amp;'Detalle individual'!C193)*10000+ROW(),""))</f>
        <v>37130193</v>
      </c>
      <c r="AB193" t="str">
        <f>IF('Detalle individual'!C193="","",IF(COUNTIF('Detalle individual'!$C$5:C193,'Detalle individual'!C193)=1,COUNTIF('Detalle individual'!$C$5:$C$1000,"&lt;"&amp;'Detalle individual'!C193),""))</f>
        <v/>
      </c>
      <c r="AC193" t="str">
        <f>IF('Detalle individual'!D193="","",IF(COUNTIF('Detalle individual'!$D$5:D193,'Detalle individual'!D193)=1,COUNTIF('Detalle individual'!$D$5:$D$1000,"&lt;"&amp;'Detalle individual'!D193),""))</f>
        <v/>
      </c>
      <c r="AH193" t="str">
        <f>IF('Detalle individual'!F193="Pendiente",COUNTIF('Detalle individual'!$D$5:$D$1000,"&lt;"&amp;'Detalle individual'!D193)*1000000+COUNTIF('Detalle individual'!$C$5:$C$1000,"&lt;"&amp;'Detalle individual'!C193)*1000+COUNTIF('Detalle individual'!$B$5:$B$1000,"&lt;"&amp;'Detalle individual'!B193)+ROW()/10000,"")</f>
        <v/>
      </c>
      <c r="AI193">
        <f>IF('Detalle individual'!F193="Completado",COUNTIF('Detalle individual'!$D$5:$D$1000,"&lt;"&amp;'Detalle individual'!D193)*1000000+COUNTIF('Detalle individual'!$C$5:$C$1000,"&lt;"&amp;'Detalle individual'!C193)*1000+COUNTIF('Detalle individual'!$B$5:$B$1000,"&lt;"&amp;'Detalle individual'!B193)+ROW()/10000,"")</f>
        <v>764713882.0193</v>
      </c>
      <c r="AJ193" t="str">
        <f>IF(AND('Detalle individual'!F193&lt;&gt;"",'Detalle individual'!F193&lt;&gt;"Completado",'Detalle individual'!F193&lt;&gt;"Pendiente"),COUNTIF('Detalle individual'!$D$5:$D$1000,"&lt;"&amp;'Detalle individual'!D193)*1000000+COUNTIF('Detalle individual'!$C$5:$C$1000,"&lt;"&amp;'Detalle individual'!C193)*1000+COUNTIF('Detalle individual'!$B$5:$B$1000,"&lt;"&amp;'Detalle individual'!B193)+ROW()/10000,"")</f>
        <v/>
      </c>
      <c r="AK193">
        <f>IF(OR('Base Exámenes'!C193="",'Base Exámenes'!D193=""),"",IF(COUNTIF('Base Exámenes'!$C$5:C193,'Base Exámenes'!C193)=1,'Base Exámenes'!D193+ROW()/1000000000,""))</f>
        <v>46307.43707195602</v>
      </c>
      <c r="AL193">
        <f>IF(OR('Base Exámenes'!C193="",'Base Exámenes'!E193=""),"",IF(COUNTIF('Base Exámenes'!$C$5:C193,'Base Exámenes'!C193)=1,'Base Exámenes'!E193+ROW()/1000000000,""))</f>
        <v>46307.44004649306</v>
      </c>
      <c r="AM193">
        <f>IF(OR('Base Exámenes'!C193="",'Base Exámenes'!G193=""),"",IF(ROW()-4=MATCH('Base Exámenes'!C193&amp;"|"&amp;_xlfn.MAXIFS('Base Exámenes'!$G$5:$G$1000,'Base Exámenes'!$C$5:$C$1000,'Base Exámenes'!C193),'Base Exámenes'!$I$5:$I$1000,0),'Base Exámenes'!G193*1000000+(-1)*'Base Exámenes'!D193,""))</f>
        <v>99953692.5629282</v>
      </c>
      <c r="AQ193" t="str">
        <f>IF('Base Exámenes'!C193="","",IF(COUNTIF('Base Exámenes'!$C$5:$C$1000,'Base Exámenes'!C193)&lt;2,"",MATCH('Base Exámenes'!C193,'Base Exámenes'!$C$5:$C$1000,0)*10000+ROW()))</f>
        <v/>
      </c>
    </row>
    <row r="194">
      <c r="Z194">
        <f>IF('Detalle individual'!A194="","",IF(AND(OR('Estado por Colaborador'!$D$4="Todas las gerencias",'Detalle individual'!D194='Estado por Colaborador'!$D$4),OR('Estado por Colaborador'!$D$5="Todos los departamentos",TRIM('Detalle individual'!C194)='Estado por Colaborador'!$D$5),OR('Estado por Colaborador'!$D$6="Todos",'Detalle individual'!F194='Estado por Colaborador'!$D$6)),IF('Detalle individual'!F194="Completado",30000000,IF('Detalle individual'!F194="Pendiente",0,15000000))+COUNTIF('Detalle individual'!$C$5:$C$1000,"&lt;"&amp;'Detalle individual'!C194)*10000+ROW(),""))</f>
        <v>37130194</v>
      </c>
      <c r="AB194" t="str">
        <f>IF('Detalle individual'!C194="","",IF(COUNTIF('Detalle individual'!$C$5:C194,'Detalle individual'!C194)=1,COUNTIF('Detalle individual'!$C$5:$C$1000,"&lt;"&amp;'Detalle individual'!C194),""))</f>
        <v/>
      </c>
      <c r="AC194" t="str">
        <f>IF('Detalle individual'!D194="","",IF(COUNTIF('Detalle individual'!$D$5:D194,'Detalle individual'!D194)=1,COUNTIF('Detalle individual'!$D$5:$D$1000,"&lt;"&amp;'Detalle individual'!D194),""))</f>
        <v/>
      </c>
      <c r="AH194" t="str">
        <f>IF('Detalle individual'!F194="Pendiente",COUNTIF('Detalle individual'!$D$5:$D$1000,"&lt;"&amp;'Detalle individual'!D194)*1000000+COUNTIF('Detalle individual'!$C$5:$C$1000,"&lt;"&amp;'Detalle individual'!C194)*1000+COUNTIF('Detalle individual'!$B$5:$B$1000,"&lt;"&amp;'Detalle individual'!B194)+ROW()/10000,"")</f>
        <v/>
      </c>
      <c r="AI194">
        <f>IF('Detalle individual'!F194="Completado",COUNTIF('Detalle individual'!$D$5:$D$1000,"&lt;"&amp;'Detalle individual'!D194)*1000000+COUNTIF('Detalle individual'!$C$5:$C$1000,"&lt;"&amp;'Detalle individual'!C194)*1000+COUNTIF('Detalle individual'!$B$5:$B$1000,"&lt;"&amp;'Detalle individual'!B194)+ROW()/10000,"")</f>
        <v>764713773.0194</v>
      </c>
      <c r="AJ194" t="str">
        <f>IF(AND('Detalle individual'!F194&lt;&gt;"",'Detalle individual'!F194&lt;&gt;"Completado",'Detalle individual'!F194&lt;&gt;"Pendiente"),COUNTIF('Detalle individual'!$D$5:$D$1000,"&lt;"&amp;'Detalle individual'!D194)*1000000+COUNTIF('Detalle individual'!$C$5:$C$1000,"&lt;"&amp;'Detalle individual'!C194)*1000+COUNTIF('Detalle individual'!$B$5:$B$1000,"&lt;"&amp;'Detalle individual'!B194)+ROW()/10000,"")</f>
        <v/>
      </c>
      <c r="AK194">
        <f>IF(OR('Base Exámenes'!C194="",'Base Exámenes'!D194=""),"",IF(COUNTIF('Base Exámenes'!$C$5:C194,'Base Exámenes'!C194)=1,'Base Exámenes'!D194+ROW()/1000000000,""))</f>
        <v>46307.48131964121</v>
      </c>
      <c r="AL194">
        <f>IF(OR('Base Exámenes'!C194="",'Base Exámenes'!E194=""),"",IF(COUNTIF('Base Exámenes'!$C$5:C194,'Base Exámenes'!C194)=1,'Base Exámenes'!E194+ROW()/1000000000,""))</f>
        <v>46307.48341454861</v>
      </c>
      <c r="AM194">
        <f>IF(OR('Base Exámenes'!C194="",'Base Exámenes'!G194=""),"",IF(ROW()-4=MATCH('Base Exámenes'!C194&amp;"|"&amp;_xlfn.MAXIFS('Base Exámenes'!$G$5:$G$1000,'Base Exámenes'!$C$5:$C$1000,'Base Exámenes'!C194),'Base Exámenes'!$I$5:$I$1000,0),'Base Exámenes'!G194*1000000+(-1)*'Base Exámenes'!D194,""))</f>
        <v>99953692.5186806</v>
      </c>
      <c r="AQ194" t="str">
        <f>IF('Base Exámenes'!C194="","",IF(COUNTIF('Base Exámenes'!$C$5:$C$1000,'Base Exámenes'!C194)&lt;2,"",MATCH('Base Exámenes'!C194,'Base Exámenes'!$C$5:$C$1000,0)*10000+ROW()))</f>
        <v/>
      </c>
    </row>
    <row r="195">
      <c r="Z195">
        <f>IF('Detalle individual'!A195="","",IF(AND(OR('Estado por Colaborador'!$D$4="Todas las gerencias",'Detalle individual'!D195='Estado por Colaborador'!$D$4),OR('Estado por Colaborador'!$D$5="Todos los departamentos",TRIM('Detalle individual'!C195)='Estado por Colaborador'!$D$5),OR('Estado por Colaborador'!$D$6="Todos",'Detalle individual'!F195='Estado por Colaborador'!$D$6)),IF('Detalle individual'!F195="Completado",30000000,IF('Detalle individual'!F195="Pendiente",0,15000000))+COUNTIF('Detalle individual'!$C$5:$C$1000,"&lt;"&amp;'Detalle individual'!C195)*10000+ROW(),""))</f>
        <v>37130195</v>
      </c>
      <c r="AB195" t="str">
        <f>IF('Detalle individual'!C195="","",IF(COUNTIF('Detalle individual'!$C$5:C195,'Detalle individual'!C195)=1,COUNTIF('Detalle individual'!$C$5:$C$1000,"&lt;"&amp;'Detalle individual'!C195),""))</f>
        <v/>
      </c>
      <c r="AC195" t="str">
        <f>IF('Detalle individual'!D195="","",IF(COUNTIF('Detalle individual'!$D$5:D195,'Detalle individual'!D195)=1,COUNTIF('Detalle individual'!$D$5:$D$1000,"&lt;"&amp;'Detalle individual'!D195),""))</f>
        <v/>
      </c>
      <c r="AH195" t="str">
        <f>IF('Detalle individual'!F195="Pendiente",COUNTIF('Detalle individual'!$D$5:$D$1000,"&lt;"&amp;'Detalle individual'!D195)*1000000+COUNTIF('Detalle individual'!$C$5:$C$1000,"&lt;"&amp;'Detalle individual'!C195)*1000+COUNTIF('Detalle individual'!$B$5:$B$1000,"&lt;"&amp;'Detalle individual'!B195)+ROW()/10000,"")</f>
        <v/>
      </c>
      <c r="AI195">
        <f>IF('Detalle individual'!F195="Completado",COUNTIF('Detalle individual'!$D$5:$D$1000,"&lt;"&amp;'Detalle individual'!D195)*1000000+COUNTIF('Detalle individual'!$C$5:$C$1000,"&lt;"&amp;'Detalle individual'!C195)*1000+COUNTIF('Detalle individual'!$B$5:$B$1000,"&lt;"&amp;'Detalle individual'!B195)+ROW()/10000,"")</f>
        <v>764713730.0195</v>
      </c>
      <c r="AJ195" t="str">
        <f>IF(AND('Detalle individual'!F195&lt;&gt;"",'Detalle individual'!F195&lt;&gt;"Completado",'Detalle individual'!F195&lt;&gt;"Pendiente"),COUNTIF('Detalle individual'!$D$5:$D$1000,"&lt;"&amp;'Detalle individual'!D195)*1000000+COUNTIF('Detalle individual'!$C$5:$C$1000,"&lt;"&amp;'Detalle individual'!C195)*1000+COUNTIF('Detalle individual'!$B$5:$B$1000,"&lt;"&amp;'Detalle individual'!B195)+ROW()/10000,"")</f>
        <v/>
      </c>
      <c r="AK195">
        <f>IF(OR('Base Exámenes'!C195="",'Base Exámenes'!D195=""),"",IF(COUNTIF('Base Exámenes'!$C$5:C195,'Base Exámenes'!C195)=1,'Base Exámenes'!D195+ROW()/1000000000,""))</f>
        <v>46307.56247704861</v>
      </c>
      <c r="AL195">
        <f>IF(OR('Base Exámenes'!C195="",'Base Exámenes'!E195=""),"",IF(COUNTIF('Base Exámenes'!$C$5:C195,'Base Exámenes'!C195)=1,'Base Exámenes'!E195+ROW()/1000000000,""))</f>
        <v>46307.56962982639</v>
      </c>
      <c r="AM195">
        <f>IF(OR('Base Exámenes'!C195="",'Base Exámenes'!G195=""),"",IF(ROW()-4=MATCH('Base Exámenes'!C195&amp;"|"&amp;_xlfn.MAXIFS('Base Exámenes'!$G$5:$G$1000,'Base Exámenes'!$C$5:$C$1000,'Base Exámenes'!C195),'Base Exámenes'!$I$5:$I$1000,0),'Base Exámenes'!G195*1000000+(-1)*'Base Exámenes'!D195,""))</f>
        <v>69953692.4375231</v>
      </c>
      <c r="AQ195" t="str">
        <f>IF('Base Exámenes'!C195="","",IF(COUNTIF('Base Exámenes'!$C$5:$C$1000,'Base Exámenes'!C195)&lt;2,"",MATCH('Base Exámenes'!C195,'Base Exámenes'!$C$5:$C$1000,0)*10000+ROW()))</f>
        <v/>
      </c>
    </row>
    <row r="196">
      <c r="Z196">
        <f>IF('Detalle individual'!A196="","",IF(AND(OR('Estado por Colaborador'!$D$4="Todas las gerencias",'Detalle individual'!D196='Estado por Colaborador'!$D$4),OR('Estado por Colaborador'!$D$5="Todos los departamentos",TRIM('Detalle individual'!C196)='Estado por Colaborador'!$D$5),OR('Estado por Colaborador'!$D$6="Todos",'Detalle individual'!F196='Estado por Colaborador'!$D$6)),IF('Detalle individual'!F196="Completado",30000000,IF('Detalle individual'!F196="Pendiente",0,15000000))+COUNTIF('Detalle individual'!$C$5:$C$1000,"&lt;"&amp;'Detalle individual'!C196)*10000+ROW(),""))</f>
        <v>22130196</v>
      </c>
      <c r="AB196" t="str">
        <f>IF('Detalle individual'!C196="","",IF(COUNTIF('Detalle individual'!$C$5:C196,'Detalle individual'!C196)=1,COUNTIF('Detalle individual'!$C$5:$C$1000,"&lt;"&amp;'Detalle individual'!C196),""))</f>
        <v/>
      </c>
      <c r="AC196" t="str">
        <f>IF('Detalle individual'!D196="","",IF(COUNTIF('Detalle individual'!$D$5:D196,'Detalle individual'!D196)=1,COUNTIF('Detalle individual'!$D$5:$D$1000,"&lt;"&amp;'Detalle individual'!D196),""))</f>
        <v/>
      </c>
      <c r="AH196" t="str">
        <f>IF('Detalle individual'!F196="Pendiente",COUNTIF('Detalle individual'!$D$5:$D$1000,"&lt;"&amp;'Detalle individual'!D196)*1000000+COUNTIF('Detalle individual'!$C$5:$C$1000,"&lt;"&amp;'Detalle individual'!C196)*1000+COUNTIF('Detalle individual'!$B$5:$B$1000,"&lt;"&amp;'Detalle individual'!B196)+ROW()/10000,"")</f>
        <v/>
      </c>
      <c r="AI196" t="str">
        <f>IF('Detalle individual'!F196="Completado",COUNTIF('Detalle individual'!$D$5:$D$1000,"&lt;"&amp;'Detalle individual'!D196)*1000000+COUNTIF('Detalle individual'!$C$5:$C$1000,"&lt;"&amp;'Detalle individual'!C196)*1000+COUNTIF('Detalle individual'!$B$5:$B$1000,"&lt;"&amp;'Detalle individual'!B196)+ROW()/10000,"")</f>
        <v/>
      </c>
      <c r="AJ196">
        <f>IF(AND('Detalle individual'!F196&lt;&gt;"",'Detalle individual'!F196&lt;&gt;"Completado",'Detalle individual'!F196&lt;&gt;"Pendiente"),COUNTIF('Detalle individual'!$D$5:$D$1000,"&lt;"&amp;'Detalle individual'!D196)*1000000+COUNTIF('Detalle individual'!$C$5:$C$1000,"&lt;"&amp;'Detalle individual'!C196)*1000+COUNTIF('Detalle individual'!$B$5:$B$1000,"&lt;"&amp;'Detalle individual'!B196)+ROW()/10000,"")</f>
        <v>764713871.0196</v>
      </c>
      <c r="AK196">
        <f>IF(OR('Base Exámenes'!C196="",'Base Exámenes'!D196=""),"",IF(COUNTIF('Base Exámenes'!$C$5:C196,'Base Exámenes'!C196)=1,'Base Exámenes'!D196+ROW()/1000000000,""))</f>
        <v>46307.57112288194</v>
      </c>
      <c r="AL196">
        <f>IF(OR('Base Exámenes'!C196="",'Base Exámenes'!E196=""),"",IF(COUNTIF('Base Exámenes'!$C$5:C196,'Base Exámenes'!C196)=1,'Base Exámenes'!E196+ROW()/1000000000,""))</f>
        <v>46307.584791863424</v>
      </c>
      <c r="AM196">
        <f>IF(OR('Base Exámenes'!C196="",'Base Exámenes'!G196=""),"",IF(ROW()-4=MATCH('Base Exámenes'!C196&amp;"|"&amp;_xlfn.MAXIFS('Base Exámenes'!$G$5:$G$1000,'Base Exámenes'!$C$5:$C$1000,'Base Exámenes'!C196),'Base Exámenes'!$I$5:$I$1000,0),'Base Exámenes'!G196*1000000+(-1)*'Base Exámenes'!D196,""))</f>
        <v>79953692.4288773</v>
      </c>
      <c r="AQ196" t="str">
        <f>IF('Base Exámenes'!C196="","",IF(COUNTIF('Base Exámenes'!$C$5:$C$1000,'Base Exámenes'!C196)&lt;2,"",MATCH('Base Exámenes'!C196,'Base Exámenes'!$C$5:$C$1000,0)*10000+ROW()))</f>
        <v/>
      </c>
    </row>
    <row r="197">
      <c r="Z197">
        <f>IF('Detalle individual'!A197="","",IF(AND(OR('Estado por Colaborador'!$D$4="Todas las gerencias",'Detalle individual'!D197='Estado por Colaborador'!$D$4),OR('Estado por Colaborador'!$D$5="Todos los departamentos",TRIM('Detalle individual'!C197)='Estado por Colaborador'!$D$5),OR('Estado por Colaborador'!$D$6="Todos",'Detalle individual'!F197='Estado por Colaborador'!$D$6)),IF('Detalle individual'!F197="Completado",30000000,IF('Detalle individual'!F197="Pendiente",0,15000000))+COUNTIF('Detalle individual'!$C$5:$C$1000,"&lt;"&amp;'Detalle individual'!C197)*10000+ROW(),""))</f>
        <v>37130197</v>
      </c>
      <c r="AB197" t="str">
        <f>IF('Detalle individual'!C197="","",IF(COUNTIF('Detalle individual'!$C$5:C197,'Detalle individual'!C197)=1,COUNTIF('Detalle individual'!$C$5:$C$1000,"&lt;"&amp;'Detalle individual'!C197),""))</f>
        <v/>
      </c>
      <c r="AC197" t="str">
        <f>IF('Detalle individual'!D197="","",IF(COUNTIF('Detalle individual'!$D$5:D197,'Detalle individual'!D197)=1,COUNTIF('Detalle individual'!$D$5:$D$1000,"&lt;"&amp;'Detalle individual'!D197),""))</f>
        <v/>
      </c>
      <c r="AH197" t="str">
        <f>IF('Detalle individual'!F197="Pendiente",COUNTIF('Detalle individual'!$D$5:$D$1000,"&lt;"&amp;'Detalle individual'!D197)*1000000+COUNTIF('Detalle individual'!$C$5:$C$1000,"&lt;"&amp;'Detalle individual'!C197)*1000+COUNTIF('Detalle individual'!$B$5:$B$1000,"&lt;"&amp;'Detalle individual'!B197)+ROW()/10000,"")</f>
        <v/>
      </c>
      <c r="AI197">
        <f>IF('Detalle individual'!F197="Completado",COUNTIF('Detalle individual'!$D$5:$D$1000,"&lt;"&amp;'Detalle individual'!D197)*1000000+COUNTIF('Detalle individual'!$C$5:$C$1000,"&lt;"&amp;'Detalle individual'!C197)*1000+COUNTIF('Detalle individual'!$B$5:$B$1000,"&lt;"&amp;'Detalle individual'!B197)+ROW()/10000,"")</f>
        <v>764713720.0197</v>
      </c>
      <c r="AJ197" t="str">
        <f>IF(AND('Detalle individual'!F197&lt;&gt;"",'Detalle individual'!F197&lt;&gt;"Completado",'Detalle individual'!F197&lt;&gt;"Pendiente"),COUNTIF('Detalle individual'!$D$5:$D$1000,"&lt;"&amp;'Detalle individual'!D197)*1000000+COUNTIF('Detalle individual'!$C$5:$C$1000,"&lt;"&amp;'Detalle individual'!C197)*1000+COUNTIF('Detalle individual'!$B$5:$B$1000,"&lt;"&amp;'Detalle individual'!B197)+ROW()/10000,"")</f>
        <v/>
      </c>
      <c r="AK197">
        <f>IF(OR('Base Exámenes'!C197="",'Base Exámenes'!D197=""),"",IF(COUNTIF('Base Exámenes'!$C$5:C197,'Base Exámenes'!C197)=1,'Base Exámenes'!D197+ROW()/1000000000,""))</f>
        <v>46307.59239603009</v>
      </c>
      <c r="AL197">
        <f>IF(OR('Base Exámenes'!C197="",'Base Exámenes'!E197=""),"",IF(COUNTIF('Base Exámenes'!$C$5:C197,'Base Exámenes'!C197)=1,'Base Exámenes'!E197+ROW()/1000000000,""))</f>
        <v>46307.6001159375</v>
      </c>
      <c r="AM197">
        <f>IF(OR('Base Exámenes'!C197="",'Base Exámenes'!G197=""),"",IF(ROW()-4=MATCH('Base Exámenes'!C197&amp;"|"&amp;_xlfn.MAXIFS('Base Exámenes'!$G$5:$G$1000,'Base Exámenes'!$C$5:$C$1000,'Base Exámenes'!C197),'Base Exámenes'!$I$5:$I$1000,0),'Base Exámenes'!G197*1000000+(-1)*'Base Exámenes'!D197,""))</f>
        <v>99953692.4076042</v>
      </c>
      <c r="AQ197" t="str">
        <f>IF('Base Exámenes'!C197="","",IF(COUNTIF('Base Exámenes'!$C$5:$C$1000,'Base Exámenes'!C197)&lt;2,"",MATCH('Base Exámenes'!C197,'Base Exámenes'!$C$5:$C$1000,0)*10000+ROW()))</f>
        <v/>
      </c>
    </row>
    <row r="198">
      <c r="Z198">
        <f>IF('Detalle individual'!A198="","",IF(AND(OR('Estado por Colaborador'!$D$4="Todas las gerencias",'Detalle individual'!D198='Estado por Colaborador'!$D$4),OR('Estado por Colaborador'!$D$5="Todos los departamentos",TRIM('Detalle individual'!C198)='Estado por Colaborador'!$D$5),OR('Estado por Colaborador'!$D$6="Todos",'Detalle individual'!F198='Estado por Colaborador'!$D$6)),IF('Detalle individual'!F198="Completado",30000000,IF('Detalle individual'!F198="Pendiente",0,15000000))+COUNTIF('Detalle individual'!$C$5:$C$1000,"&lt;"&amp;'Detalle individual'!C198)*10000+ROW(),""))</f>
        <v>22130198</v>
      </c>
      <c r="AB198" t="str">
        <f>IF('Detalle individual'!C198="","",IF(COUNTIF('Detalle individual'!$C$5:C198,'Detalle individual'!C198)=1,COUNTIF('Detalle individual'!$C$5:$C$1000,"&lt;"&amp;'Detalle individual'!C198),""))</f>
        <v/>
      </c>
      <c r="AC198" t="str">
        <f>IF('Detalle individual'!D198="","",IF(COUNTIF('Detalle individual'!$D$5:D198,'Detalle individual'!D198)=1,COUNTIF('Detalle individual'!$D$5:$D$1000,"&lt;"&amp;'Detalle individual'!D198),""))</f>
        <v/>
      </c>
      <c r="AH198" t="str">
        <f>IF('Detalle individual'!F198="Pendiente",COUNTIF('Detalle individual'!$D$5:$D$1000,"&lt;"&amp;'Detalle individual'!D198)*1000000+COUNTIF('Detalle individual'!$C$5:$C$1000,"&lt;"&amp;'Detalle individual'!C198)*1000+COUNTIF('Detalle individual'!$B$5:$B$1000,"&lt;"&amp;'Detalle individual'!B198)+ROW()/10000,"")</f>
        <v/>
      </c>
      <c r="AI198" t="str">
        <f>IF('Detalle individual'!F198="Completado",COUNTIF('Detalle individual'!$D$5:$D$1000,"&lt;"&amp;'Detalle individual'!D198)*1000000+COUNTIF('Detalle individual'!$C$5:$C$1000,"&lt;"&amp;'Detalle individual'!C198)*1000+COUNTIF('Detalle individual'!$B$5:$B$1000,"&lt;"&amp;'Detalle individual'!B198)+ROW()/10000,"")</f>
        <v/>
      </c>
      <c r="AJ198">
        <f>IF(AND('Detalle individual'!F198&lt;&gt;"",'Detalle individual'!F198&lt;&gt;"Completado",'Detalle individual'!F198&lt;&gt;"Pendiente"),COUNTIF('Detalle individual'!$D$5:$D$1000,"&lt;"&amp;'Detalle individual'!D198)*1000000+COUNTIF('Detalle individual'!$C$5:$C$1000,"&lt;"&amp;'Detalle individual'!C198)*1000+COUNTIF('Detalle individual'!$B$5:$B$1000,"&lt;"&amp;'Detalle individual'!B198)+ROW()/10000,"")</f>
        <v>764713840.0198</v>
      </c>
      <c r="AK198">
        <f>IF(OR('Base Exámenes'!C198="",'Base Exámenes'!D198=""),"",IF(COUNTIF('Base Exámenes'!$C$5:C198,'Base Exámenes'!C198)=1,'Base Exámenes'!D198+ROW()/1000000000,""))</f>
        <v>46307.60627334491</v>
      </c>
      <c r="AL198">
        <f>IF(OR('Base Exámenes'!C198="",'Base Exámenes'!E198=""),"",IF(COUNTIF('Base Exámenes'!$C$5:C198,'Base Exámenes'!C198)=1,'Base Exámenes'!E198+ROW()/1000000000,""))</f>
        <v>46307.64500019676</v>
      </c>
      <c r="AM198">
        <f>IF(OR('Base Exámenes'!C198="",'Base Exámenes'!G198=""),"",IF(ROW()-4=MATCH('Base Exámenes'!C198&amp;"|"&amp;_xlfn.MAXIFS('Base Exámenes'!$G$5:$G$1000,'Base Exámenes'!$C$5:$C$1000,'Base Exámenes'!C198),'Base Exámenes'!$I$5:$I$1000,0),'Base Exámenes'!G198*1000000+(-1)*'Base Exámenes'!D198,""))</f>
        <v>99953692.3937269</v>
      </c>
      <c r="AQ198" t="str">
        <f>IF('Base Exámenes'!C198="","",IF(COUNTIF('Base Exámenes'!$C$5:$C$1000,'Base Exámenes'!C198)&lt;2,"",MATCH('Base Exámenes'!C198,'Base Exámenes'!$C$5:$C$1000,0)*10000+ROW()))</f>
        <v/>
      </c>
    </row>
    <row r="199">
      <c r="Z199">
        <f>IF('Detalle individual'!A199="","",IF(AND(OR('Estado por Colaborador'!$D$4="Todas las gerencias",'Detalle individual'!D199='Estado por Colaborador'!$D$4),OR('Estado por Colaborador'!$D$5="Todos los departamentos",TRIM('Detalle individual'!C199)='Estado por Colaborador'!$D$5),OR('Estado por Colaborador'!$D$6="Todos",'Detalle individual'!F199='Estado por Colaborador'!$D$6)),IF('Detalle individual'!F199="Completado",30000000,IF('Detalle individual'!F199="Pendiente",0,15000000))+COUNTIF('Detalle individual'!$C$5:$C$1000,"&lt;"&amp;'Detalle individual'!C199)*10000+ROW(),""))</f>
        <v>37130199</v>
      </c>
      <c r="AB199" t="str">
        <f>IF('Detalle individual'!C199="","",IF(COUNTIF('Detalle individual'!$C$5:C199,'Detalle individual'!C199)=1,COUNTIF('Detalle individual'!$C$5:$C$1000,"&lt;"&amp;'Detalle individual'!C199),""))</f>
        <v/>
      </c>
      <c r="AC199" t="str">
        <f>IF('Detalle individual'!D199="","",IF(COUNTIF('Detalle individual'!$D$5:D199,'Detalle individual'!D199)=1,COUNTIF('Detalle individual'!$D$5:$D$1000,"&lt;"&amp;'Detalle individual'!D199),""))</f>
        <v/>
      </c>
      <c r="AH199" t="str">
        <f>IF('Detalle individual'!F199="Pendiente",COUNTIF('Detalle individual'!$D$5:$D$1000,"&lt;"&amp;'Detalle individual'!D199)*1000000+COUNTIF('Detalle individual'!$C$5:$C$1000,"&lt;"&amp;'Detalle individual'!C199)*1000+COUNTIF('Detalle individual'!$B$5:$B$1000,"&lt;"&amp;'Detalle individual'!B199)+ROW()/10000,"")</f>
        <v/>
      </c>
      <c r="AI199">
        <f>IF('Detalle individual'!F199="Completado",COUNTIF('Detalle individual'!$D$5:$D$1000,"&lt;"&amp;'Detalle individual'!D199)*1000000+COUNTIF('Detalle individual'!$C$5:$C$1000,"&lt;"&amp;'Detalle individual'!C199)*1000+COUNTIF('Detalle individual'!$B$5:$B$1000,"&lt;"&amp;'Detalle individual'!B199)+ROW()/10000,"")</f>
        <v>764713907.0199</v>
      </c>
      <c r="AJ199" t="str">
        <f>IF(AND('Detalle individual'!F199&lt;&gt;"",'Detalle individual'!F199&lt;&gt;"Completado",'Detalle individual'!F199&lt;&gt;"Pendiente"),COUNTIF('Detalle individual'!$D$5:$D$1000,"&lt;"&amp;'Detalle individual'!D199)*1000000+COUNTIF('Detalle individual'!$C$5:$C$1000,"&lt;"&amp;'Detalle individual'!C199)*1000+COUNTIF('Detalle individual'!$B$5:$B$1000,"&lt;"&amp;'Detalle individual'!B199)+ROW()/10000,"")</f>
        <v/>
      </c>
      <c r="AK199">
        <f>IF(OR('Base Exámenes'!C199="",'Base Exámenes'!D199=""),"",IF(COUNTIF('Base Exámenes'!$C$5:C199,'Base Exámenes'!C199)=1,'Base Exámenes'!D199+ROW()/1000000000,""))</f>
        <v>46307.64835667824</v>
      </c>
      <c r="AL199">
        <f>IF(OR('Base Exámenes'!C199="",'Base Exámenes'!E199=""),"",IF(COUNTIF('Base Exámenes'!$C$5:C199,'Base Exámenes'!C199)=1,'Base Exámenes'!E199+ROW()/1000000000,""))</f>
        <v>46307.65276640046</v>
      </c>
      <c r="AM199">
        <f>IF(OR('Base Exámenes'!C199="",'Base Exámenes'!G199=""),"",IF(ROW()-4=MATCH('Base Exámenes'!C199&amp;"|"&amp;_xlfn.MAXIFS('Base Exámenes'!$G$5:$G$1000,'Base Exámenes'!$C$5:$C$1000,'Base Exámenes'!C199),'Base Exámenes'!$I$5:$I$1000,0),'Base Exámenes'!G199*1000000+(-1)*'Base Exámenes'!D199,""))</f>
        <v>99953692.3516435</v>
      </c>
      <c r="AQ199" t="str">
        <f>IF('Base Exámenes'!C199="","",IF(COUNTIF('Base Exámenes'!$C$5:$C$1000,'Base Exámenes'!C199)&lt;2,"",MATCH('Base Exámenes'!C199,'Base Exámenes'!$C$5:$C$1000,0)*10000+ROW()))</f>
        <v/>
      </c>
    </row>
    <row r="200">
      <c r="Z200">
        <f>IF('Detalle individual'!A200="","",IF(AND(OR('Estado por Colaborador'!$D$4="Todas las gerencias",'Detalle individual'!D200='Estado por Colaborador'!$D$4),OR('Estado por Colaborador'!$D$5="Todos los departamentos",TRIM('Detalle individual'!C200)='Estado por Colaborador'!$D$5),OR('Estado por Colaborador'!$D$6="Todos",'Detalle individual'!F200='Estado por Colaborador'!$D$6)),IF('Detalle individual'!F200="Completado",30000000,IF('Detalle individual'!F200="Pendiente",0,15000000))+COUNTIF('Detalle individual'!$C$5:$C$1000,"&lt;"&amp;'Detalle individual'!C200)*10000+ROW(),""))</f>
        <v>37130200</v>
      </c>
      <c r="AB200" t="str">
        <f>IF('Detalle individual'!C200="","",IF(COUNTIF('Detalle individual'!$C$5:C200,'Detalle individual'!C200)=1,COUNTIF('Detalle individual'!$C$5:$C$1000,"&lt;"&amp;'Detalle individual'!C200),""))</f>
        <v/>
      </c>
      <c r="AC200" t="str">
        <f>IF('Detalle individual'!D200="","",IF(COUNTIF('Detalle individual'!$D$5:D200,'Detalle individual'!D200)=1,COUNTIF('Detalle individual'!$D$5:$D$1000,"&lt;"&amp;'Detalle individual'!D200),""))</f>
        <v/>
      </c>
      <c r="AH200" t="str">
        <f>IF('Detalle individual'!F200="Pendiente",COUNTIF('Detalle individual'!$D$5:$D$1000,"&lt;"&amp;'Detalle individual'!D200)*1000000+COUNTIF('Detalle individual'!$C$5:$C$1000,"&lt;"&amp;'Detalle individual'!C200)*1000+COUNTIF('Detalle individual'!$B$5:$B$1000,"&lt;"&amp;'Detalle individual'!B200)+ROW()/10000,"")</f>
        <v/>
      </c>
      <c r="AI200">
        <f>IF('Detalle individual'!F200="Completado",COUNTIF('Detalle individual'!$D$5:$D$1000,"&lt;"&amp;'Detalle individual'!D200)*1000000+COUNTIF('Detalle individual'!$C$5:$C$1000,"&lt;"&amp;'Detalle individual'!C200)*1000+COUNTIF('Detalle individual'!$B$5:$B$1000,"&lt;"&amp;'Detalle individual'!B200)+ROW()/10000,"")</f>
        <v>764713874.02</v>
      </c>
      <c r="AJ200" t="str">
        <f>IF(AND('Detalle individual'!F200&lt;&gt;"",'Detalle individual'!F200&lt;&gt;"Completado",'Detalle individual'!F200&lt;&gt;"Pendiente"),COUNTIF('Detalle individual'!$D$5:$D$1000,"&lt;"&amp;'Detalle individual'!D200)*1000000+COUNTIF('Detalle individual'!$C$5:$C$1000,"&lt;"&amp;'Detalle individual'!C200)*1000+COUNTIF('Detalle individual'!$B$5:$B$1000,"&lt;"&amp;'Detalle individual'!B200)+ROW()/10000,"")</f>
        <v/>
      </c>
      <c r="AK200">
        <f>IF(OR('Base Exámenes'!C200="",'Base Exámenes'!D200=""),"",IF(COUNTIF('Base Exámenes'!$C$5:C200,'Base Exámenes'!C200)=1,'Base Exámenes'!D200+ROW()/1000000000,""))</f>
        <v>46307.653310381946</v>
      </c>
      <c r="AL200">
        <f>IF(OR('Base Exámenes'!C200="",'Base Exámenes'!E200=""),"",IF(COUNTIF('Base Exámenes'!$C$5:C200,'Base Exámenes'!C200)=1,'Base Exámenes'!E200+ROW()/1000000000,""))</f>
        <v>46307.655845104164</v>
      </c>
      <c r="AM200">
        <f>IF(OR('Base Exámenes'!C200="",'Base Exámenes'!G200=""),"",IF(ROW()-4=MATCH('Base Exámenes'!C200&amp;"|"&amp;_xlfn.MAXIFS('Base Exámenes'!$G$5:$G$1000,'Base Exámenes'!$C$5:$C$1000,'Base Exámenes'!C200),'Base Exámenes'!$I$5:$I$1000,0),'Base Exámenes'!G200*1000000+(-1)*'Base Exámenes'!D200,""))</f>
        <v>99953692.3466898</v>
      </c>
      <c r="AQ200" t="str">
        <f>IF('Base Exámenes'!C200="","",IF(COUNTIF('Base Exámenes'!$C$5:$C$1000,'Base Exámenes'!C200)&lt;2,"",MATCH('Base Exámenes'!C200,'Base Exámenes'!$C$5:$C$1000,0)*10000+ROW()))</f>
        <v/>
      </c>
    </row>
    <row r="201">
      <c r="Z201">
        <f>IF('Detalle individual'!A201="","",IF(AND(OR('Estado por Colaborador'!$D$4="Todas las gerencias",'Detalle individual'!D201='Estado por Colaborador'!$D$4),OR('Estado por Colaborador'!$D$5="Todos los departamentos",TRIM('Detalle individual'!C201)='Estado por Colaborador'!$D$5),OR('Estado por Colaborador'!$D$6="Todos",'Detalle individual'!F201='Estado por Colaborador'!$D$6)),IF('Detalle individual'!F201="Completado",30000000,IF('Detalle individual'!F201="Pendiente",0,15000000))+COUNTIF('Detalle individual'!$C$5:$C$1000,"&lt;"&amp;'Detalle individual'!C201)*10000+ROW(),""))</f>
        <v>37130201</v>
      </c>
      <c r="AB201" t="str">
        <f>IF('Detalle individual'!C201="","",IF(COUNTIF('Detalle individual'!$C$5:C201,'Detalle individual'!C201)=1,COUNTIF('Detalle individual'!$C$5:$C$1000,"&lt;"&amp;'Detalle individual'!C201),""))</f>
        <v/>
      </c>
      <c r="AC201" t="str">
        <f>IF('Detalle individual'!D201="","",IF(COUNTIF('Detalle individual'!$D$5:D201,'Detalle individual'!D201)=1,COUNTIF('Detalle individual'!$D$5:$D$1000,"&lt;"&amp;'Detalle individual'!D201),""))</f>
        <v/>
      </c>
      <c r="AH201" t="str">
        <f>IF('Detalle individual'!F201="Pendiente",COUNTIF('Detalle individual'!$D$5:$D$1000,"&lt;"&amp;'Detalle individual'!D201)*1000000+COUNTIF('Detalle individual'!$C$5:$C$1000,"&lt;"&amp;'Detalle individual'!C201)*1000+COUNTIF('Detalle individual'!$B$5:$B$1000,"&lt;"&amp;'Detalle individual'!B201)+ROW()/10000,"")</f>
        <v/>
      </c>
      <c r="AI201">
        <f>IF('Detalle individual'!F201="Completado",COUNTIF('Detalle individual'!$D$5:$D$1000,"&lt;"&amp;'Detalle individual'!D201)*1000000+COUNTIF('Detalle individual'!$C$5:$C$1000,"&lt;"&amp;'Detalle individual'!C201)*1000+COUNTIF('Detalle individual'!$B$5:$B$1000,"&lt;"&amp;'Detalle individual'!B201)+ROW()/10000,"")</f>
        <v>764713826.0201</v>
      </c>
      <c r="AJ201" t="str">
        <f>IF(AND('Detalle individual'!F201&lt;&gt;"",'Detalle individual'!F201&lt;&gt;"Completado",'Detalle individual'!F201&lt;&gt;"Pendiente"),COUNTIF('Detalle individual'!$D$5:$D$1000,"&lt;"&amp;'Detalle individual'!D201)*1000000+COUNTIF('Detalle individual'!$C$5:$C$1000,"&lt;"&amp;'Detalle individual'!C201)*1000+COUNTIF('Detalle individual'!$B$5:$B$1000,"&lt;"&amp;'Detalle individual'!B201)+ROW()/10000,"")</f>
        <v/>
      </c>
      <c r="AK201">
        <f>IF(OR('Base Exámenes'!C201="",'Base Exámenes'!D201=""),"",IF(COUNTIF('Base Exámenes'!$C$5:C201,'Base Exámenes'!C201)=1,'Base Exámenes'!D201+ROW()/1000000000,""))</f>
        <v>46307.66331038195</v>
      </c>
      <c r="AL201">
        <f>IF(OR('Base Exámenes'!C201="",'Base Exámenes'!E201=""),"",IF(COUNTIF('Base Exámenes'!$C$5:C201,'Base Exámenes'!C201)=1,'Base Exámenes'!E201+ROW()/1000000000,""))</f>
        <v>46307.66598399306</v>
      </c>
      <c r="AM201">
        <f>IF(OR('Base Exámenes'!C201="",'Base Exámenes'!G201=""),"",IF(ROW()-4=MATCH('Base Exámenes'!C201&amp;"|"&amp;_xlfn.MAXIFS('Base Exámenes'!$G$5:$G$1000,'Base Exámenes'!$C$5:$C$1000,'Base Exámenes'!C201),'Base Exámenes'!$I$5:$I$1000,0),'Base Exámenes'!G201*1000000+(-1)*'Base Exámenes'!D201,""))</f>
        <v>99953692.3366898</v>
      </c>
      <c r="AQ201" t="str">
        <f>IF('Base Exámenes'!C201="","",IF(COUNTIF('Base Exámenes'!$C$5:$C$1000,'Base Exámenes'!C201)&lt;2,"",MATCH('Base Exámenes'!C201,'Base Exámenes'!$C$5:$C$1000,0)*10000+ROW()))</f>
        <v/>
      </c>
    </row>
    <row r="202">
      <c r="Z202">
        <f>IF('Detalle individual'!A202="","",IF(AND(OR('Estado por Colaborador'!$D$4="Todas las gerencias",'Detalle individual'!D202='Estado por Colaborador'!$D$4),OR('Estado por Colaborador'!$D$5="Todos los departamentos",TRIM('Detalle individual'!C202)='Estado por Colaborador'!$D$5),OR('Estado por Colaborador'!$D$6="Todos",'Detalle individual'!F202='Estado por Colaborador'!$D$6)),IF('Detalle individual'!F202="Completado",30000000,IF('Detalle individual'!F202="Pendiente",0,15000000))+COUNTIF('Detalle individual'!$C$5:$C$1000,"&lt;"&amp;'Detalle individual'!C202)*10000+ROW(),""))</f>
        <v>37130202</v>
      </c>
      <c r="AB202" t="str">
        <f>IF('Detalle individual'!C202="","",IF(COUNTIF('Detalle individual'!$C$5:C202,'Detalle individual'!C202)=1,COUNTIF('Detalle individual'!$C$5:$C$1000,"&lt;"&amp;'Detalle individual'!C202),""))</f>
        <v/>
      </c>
      <c r="AC202" t="str">
        <f>IF('Detalle individual'!D202="","",IF(COUNTIF('Detalle individual'!$D$5:D202,'Detalle individual'!D202)=1,COUNTIF('Detalle individual'!$D$5:$D$1000,"&lt;"&amp;'Detalle individual'!D202),""))</f>
        <v/>
      </c>
      <c r="AH202" t="str">
        <f>IF('Detalle individual'!F202="Pendiente",COUNTIF('Detalle individual'!$D$5:$D$1000,"&lt;"&amp;'Detalle individual'!D202)*1000000+COUNTIF('Detalle individual'!$C$5:$C$1000,"&lt;"&amp;'Detalle individual'!C202)*1000+COUNTIF('Detalle individual'!$B$5:$B$1000,"&lt;"&amp;'Detalle individual'!B202)+ROW()/10000,"")</f>
        <v/>
      </c>
      <c r="AI202">
        <f>IF('Detalle individual'!F202="Completado",COUNTIF('Detalle individual'!$D$5:$D$1000,"&lt;"&amp;'Detalle individual'!D202)*1000000+COUNTIF('Detalle individual'!$C$5:$C$1000,"&lt;"&amp;'Detalle individual'!C202)*1000+COUNTIF('Detalle individual'!$B$5:$B$1000,"&lt;"&amp;'Detalle individual'!B202)+ROW()/10000,"")</f>
        <v>764713779.0202</v>
      </c>
      <c r="AJ202" t="str">
        <f>IF(AND('Detalle individual'!F202&lt;&gt;"",'Detalle individual'!F202&lt;&gt;"Completado",'Detalle individual'!F202&lt;&gt;"Pendiente"),COUNTIF('Detalle individual'!$D$5:$D$1000,"&lt;"&amp;'Detalle individual'!D202)*1000000+COUNTIF('Detalle individual'!$C$5:$C$1000,"&lt;"&amp;'Detalle individual'!C202)*1000+COUNTIF('Detalle individual'!$B$5:$B$1000,"&lt;"&amp;'Detalle individual'!B202)+ROW()/10000,"")</f>
        <v/>
      </c>
      <c r="AK202">
        <f>IF(OR('Base Exámenes'!C202="",'Base Exámenes'!D202=""),"",IF(COUNTIF('Base Exámenes'!$C$5:C202,'Base Exámenes'!C202)=1,'Base Exámenes'!D202+ROW()/1000000000,""))</f>
        <v>46307.67121547454</v>
      </c>
      <c r="AL202">
        <f>IF(OR('Base Exámenes'!C202="",'Base Exámenes'!E202=""),"",IF(COUNTIF('Base Exámenes'!$C$5:C202,'Base Exámenes'!C202)=1,'Base Exámenes'!E202+ROW()/1000000000,""))</f>
        <v>46307.67553260417</v>
      </c>
      <c r="AM202">
        <f>IF(OR('Base Exámenes'!C202="",'Base Exámenes'!G202=""),"",IF(ROW()-4=MATCH('Base Exámenes'!C202&amp;"|"&amp;_xlfn.MAXIFS('Base Exámenes'!$G$5:$G$1000,'Base Exámenes'!$C$5:$C$1000,'Base Exámenes'!C202),'Base Exámenes'!$I$5:$I$1000,0),'Base Exámenes'!G202*1000000+(-1)*'Base Exámenes'!D202,""))</f>
        <v>99953692.3287847</v>
      </c>
      <c r="AQ202" t="str">
        <f>IF('Base Exámenes'!C202="","",IF(COUNTIF('Base Exámenes'!$C$5:$C$1000,'Base Exámenes'!C202)&lt;2,"",MATCH('Base Exámenes'!C202,'Base Exámenes'!$C$5:$C$1000,0)*10000+ROW()))</f>
        <v/>
      </c>
    </row>
    <row r="203">
      <c r="Z203">
        <f>IF('Detalle individual'!A203="","",IF(AND(OR('Estado por Colaborador'!$D$4="Todas las gerencias",'Detalle individual'!D203='Estado por Colaborador'!$D$4),OR('Estado por Colaborador'!$D$5="Todos los departamentos",TRIM('Detalle individual'!C203)='Estado por Colaborador'!$D$5),OR('Estado por Colaborador'!$D$6="Todos",'Detalle individual'!F203='Estado por Colaborador'!$D$6)),IF('Detalle individual'!F203="Completado",30000000,IF('Detalle individual'!F203="Pendiente",0,15000000))+COUNTIF('Detalle individual'!$C$5:$C$1000,"&lt;"&amp;'Detalle individual'!C203)*10000+ROW(),""))</f>
        <v>37130203</v>
      </c>
      <c r="AB203" t="str">
        <f>IF('Detalle individual'!C203="","",IF(COUNTIF('Detalle individual'!$C$5:C203,'Detalle individual'!C203)=1,COUNTIF('Detalle individual'!$C$5:$C$1000,"&lt;"&amp;'Detalle individual'!C203),""))</f>
        <v/>
      </c>
      <c r="AC203" t="str">
        <f>IF('Detalle individual'!D203="","",IF(COUNTIF('Detalle individual'!$D$5:D203,'Detalle individual'!D203)=1,COUNTIF('Detalle individual'!$D$5:$D$1000,"&lt;"&amp;'Detalle individual'!D203),""))</f>
        <v/>
      </c>
      <c r="AH203" t="str">
        <f>IF('Detalle individual'!F203="Pendiente",COUNTIF('Detalle individual'!$D$5:$D$1000,"&lt;"&amp;'Detalle individual'!D203)*1000000+COUNTIF('Detalle individual'!$C$5:$C$1000,"&lt;"&amp;'Detalle individual'!C203)*1000+COUNTIF('Detalle individual'!$B$5:$B$1000,"&lt;"&amp;'Detalle individual'!B203)+ROW()/10000,"")</f>
        <v/>
      </c>
      <c r="AI203">
        <f>IF('Detalle individual'!F203="Completado",COUNTIF('Detalle individual'!$D$5:$D$1000,"&lt;"&amp;'Detalle individual'!D203)*1000000+COUNTIF('Detalle individual'!$C$5:$C$1000,"&lt;"&amp;'Detalle individual'!C203)*1000+COUNTIF('Detalle individual'!$B$5:$B$1000,"&lt;"&amp;'Detalle individual'!B203)+ROW()/10000,"")</f>
        <v>764713838.0203</v>
      </c>
      <c r="AJ203" t="str">
        <f>IF(AND('Detalle individual'!F203&lt;&gt;"",'Detalle individual'!F203&lt;&gt;"Completado",'Detalle individual'!F203&lt;&gt;"Pendiente"),COUNTIF('Detalle individual'!$D$5:$D$1000,"&lt;"&amp;'Detalle individual'!D203)*1000000+COUNTIF('Detalle individual'!$C$5:$C$1000,"&lt;"&amp;'Detalle individual'!C203)*1000+COUNTIF('Detalle individual'!$B$5:$B$1000,"&lt;"&amp;'Detalle individual'!B203)+ROW()/10000,"")</f>
        <v/>
      </c>
      <c r="AK203">
        <f>IF(OR('Base Exámenes'!C203="",'Base Exámenes'!D203=""),"",IF(COUNTIF('Base Exámenes'!$C$5:C203,'Base Exámenes'!C203)=1,'Base Exámenes'!D203+ROW()/1000000000,""))</f>
        <v>46307.69018539352</v>
      </c>
      <c r="AL203">
        <f>IF(OR('Base Exámenes'!C203="",'Base Exámenes'!E203=""),"",IF(COUNTIF('Base Exámenes'!$C$5:C203,'Base Exámenes'!C203)=1,'Base Exámenes'!E203+ROW()/1000000000,""))</f>
        <v>46307.69321780092</v>
      </c>
      <c r="AM203">
        <f>IF(OR('Base Exámenes'!C203="",'Base Exámenes'!G203=""),"",IF(ROW()-4=MATCH('Base Exámenes'!C203&amp;"|"&amp;_xlfn.MAXIFS('Base Exámenes'!$G$5:$G$1000,'Base Exámenes'!$C$5:$C$1000,'Base Exámenes'!C203),'Base Exámenes'!$I$5:$I$1000,0),'Base Exámenes'!G203*1000000+(-1)*'Base Exámenes'!D203,""))</f>
        <v>99953692.3098148</v>
      </c>
      <c r="AQ203" t="str">
        <f>IF('Base Exámenes'!C203="","",IF(COUNTIF('Base Exámenes'!$C$5:$C$1000,'Base Exámenes'!C203)&lt;2,"",MATCH('Base Exámenes'!C203,'Base Exámenes'!$C$5:$C$1000,0)*10000+ROW()))</f>
        <v/>
      </c>
    </row>
    <row r="204">
      <c r="Z204">
        <f>IF('Detalle individual'!A204="","",IF(AND(OR('Estado por Colaborador'!$D$4="Todas las gerencias",'Detalle individual'!D204='Estado por Colaborador'!$D$4),OR('Estado por Colaborador'!$D$5="Todos los departamentos",TRIM('Detalle individual'!C204)='Estado por Colaborador'!$D$5),OR('Estado por Colaborador'!$D$6="Todos",'Detalle individual'!F204='Estado por Colaborador'!$D$6)),IF('Detalle individual'!F204="Completado",30000000,IF('Detalle individual'!F204="Pendiente",0,15000000))+COUNTIF('Detalle individual'!$C$5:$C$1000,"&lt;"&amp;'Detalle individual'!C204)*10000+ROW(),""))</f>
        <v>37130204</v>
      </c>
      <c r="AB204" t="str">
        <f>IF('Detalle individual'!C204="","",IF(COUNTIF('Detalle individual'!$C$5:C204,'Detalle individual'!C204)=1,COUNTIF('Detalle individual'!$C$5:$C$1000,"&lt;"&amp;'Detalle individual'!C204),""))</f>
        <v/>
      </c>
      <c r="AC204" t="str">
        <f>IF('Detalle individual'!D204="","",IF(COUNTIF('Detalle individual'!$D$5:D204,'Detalle individual'!D204)=1,COUNTIF('Detalle individual'!$D$5:$D$1000,"&lt;"&amp;'Detalle individual'!D204),""))</f>
        <v/>
      </c>
      <c r="AH204" t="str">
        <f>IF('Detalle individual'!F204="Pendiente",COUNTIF('Detalle individual'!$D$5:$D$1000,"&lt;"&amp;'Detalle individual'!D204)*1000000+COUNTIF('Detalle individual'!$C$5:$C$1000,"&lt;"&amp;'Detalle individual'!C204)*1000+COUNTIF('Detalle individual'!$B$5:$B$1000,"&lt;"&amp;'Detalle individual'!B204)+ROW()/10000,"")</f>
        <v/>
      </c>
      <c r="AI204">
        <f>IF('Detalle individual'!F204="Completado",COUNTIF('Detalle individual'!$D$5:$D$1000,"&lt;"&amp;'Detalle individual'!D204)*1000000+COUNTIF('Detalle individual'!$C$5:$C$1000,"&lt;"&amp;'Detalle individual'!C204)*1000+COUNTIF('Detalle individual'!$B$5:$B$1000,"&lt;"&amp;'Detalle individual'!B204)+ROW()/10000,"")</f>
        <v>764713726.0204</v>
      </c>
      <c r="AJ204" t="str">
        <f>IF(AND('Detalle individual'!F204&lt;&gt;"",'Detalle individual'!F204&lt;&gt;"Completado",'Detalle individual'!F204&lt;&gt;"Pendiente"),COUNTIF('Detalle individual'!$D$5:$D$1000,"&lt;"&amp;'Detalle individual'!D204)*1000000+COUNTIF('Detalle individual'!$C$5:$C$1000,"&lt;"&amp;'Detalle individual'!C204)*1000+COUNTIF('Detalle individual'!$B$5:$B$1000,"&lt;"&amp;'Detalle individual'!B204)+ROW()/10000,"")</f>
        <v/>
      </c>
      <c r="AK204">
        <f>IF(OR('Base Exámenes'!C204="",'Base Exámenes'!D204=""),"",IF(COUNTIF('Base Exámenes'!$C$5:C204,'Base Exámenes'!C204)=1,'Base Exámenes'!D204+ROW()/1000000000,""))</f>
        <v>46308.38597243056</v>
      </c>
      <c r="AL204">
        <f>IF(OR('Base Exámenes'!C204="",'Base Exámenes'!E204=""),"",IF(COUNTIF('Base Exámenes'!$C$5:C204,'Base Exámenes'!C204)=1,'Base Exámenes'!E204+ROW()/1000000000,""))</f>
        <v>46308.39677104167</v>
      </c>
      <c r="AM204">
        <f>IF(OR('Base Exámenes'!C204="",'Base Exámenes'!G204=""),"",IF(ROW()-4=MATCH('Base Exámenes'!C204&amp;"|"&amp;_xlfn.MAXIFS('Base Exámenes'!$G$5:$G$1000,'Base Exámenes'!$C$5:$C$1000,'Base Exámenes'!C204),'Base Exámenes'!$I$5:$I$1000,0),'Base Exámenes'!G204*1000000+(-1)*'Base Exámenes'!D204,""))</f>
        <v>94953691.6140278</v>
      </c>
      <c r="AQ204" t="str">
        <f>IF('Base Exámenes'!C204="","",IF(COUNTIF('Base Exámenes'!$C$5:$C$1000,'Base Exámenes'!C204)&lt;2,"",MATCH('Base Exámenes'!C204,'Base Exámenes'!$C$5:$C$1000,0)*10000+ROW()))</f>
        <v/>
      </c>
    </row>
    <row r="205">
      <c r="Z205">
        <f>IF('Detalle individual'!A205="","",IF(AND(OR('Estado por Colaborador'!$D$4="Todas las gerencias",'Detalle individual'!D205='Estado por Colaborador'!$D$4),OR('Estado por Colaborador'!$D$5="Todos los departamentos",TRIM('Detalle individual'!C205)='Estado por Colaborador'!$D$5),OR('Estado por Colaborador'!$D$6="Todos",'Detalle individual'!F205='Estado por Colaborador'!$D$6)),IF('Detalle individual'!F205="Completado",30000000,IF('Detalle individual'!F205="Pendiente",0,15000000))+COUNTIF('Detalle individual'!$C$5:$C$1000,"&lt;"&amp;'Detalle individual'!C205)*10000+ROW(),""))</f>
        <v>37130205</v>
      </c>
      <c r="AB205" t="str">
        <f>IF('Detalle individual'!C205="","",IF(COUNTIF('Detalle individual'!$C$5:C205,'Detalle individual'!C205)=1,COUNTIF('Detalle individual'!$C$5:$C$1000,"&lt;"&amp;'Detalle individual'!C205),""))</f>
        <v/>
      </c>
      <c r="AC205" t="str">
        <f>IF('Detalle individual'!D205="","",IF(COUNTIF('Detalle individual'!$D$5:D205,'Detalle individual'!D205)=1,COUNTIF('Detalle individual'!$D$5:$D$1000,"&lt;"&amp;'Detalle individual'!D205),""))</f>
        <v/>
      </c>
      <c r="AH205" t="str">
        <f>IF('Detalle individual'!F205="Pendiente",COUNTIF('Detalle individual'!$D$5:$D$1000,"&lt;"&amp;'Detalle individual'!D205)*1000000+COUNTIF('Detalle individual'!$C$5:$C$1000,"&lt;"&amp;'Detalle individual'!C205)*1000+COUNTIF('Detalle individual'!$B$5:$B$1000,"&lt;"&amp;'Detalle individual'!B205)+ROW()/10000,"")</f>
        <v/>
      </c>
      <c r="AI205">
        <f>IF('Detalle individual'!F205="Completado",COUNTIF('Detalle individual'!$D$5:$D$1000,"&lt;"&amp;'Detalle individual'!D205)*1000000+COUNTIF('Detalle individual'!$C$5:$C$1000,"&lt;"&amp;'Detalle individual'!C205)*1000+COUNTIF('Detalle individual'!$B$5:$B$1000,"&lt;"&amp;'Detalle individual'!B205)+ROW()/10000,"")</f>
        <v>764713710.0205</v>
      </c>
      <c r="AJ205" t="str">
        <f>IF(AND('Detalle individual'!F205&lt;&gt;"",'Detalle individual'!F205&lt;&gt;"Completado",'Detalle individual'!F205&lt;&gt;"Pendiente"),COUNTIF('Detalle individual'!$D$5:$D$1000,"&lt;"&amp;'Detalle individual'!D205)*1000000+COUNTIF('Detalle individual'!$C$5:$C$1000,"&lt;"&amp;'Detalle individual'!C205)*1000+COUNTIF('Detalle individual'!$B$5:$B$1000,"&lt;"&amp;'Detalle individual'!B205)+ROW()/10000,"")</f>
        <v/>
      </c>
      <c r="AK205">
        <f>IF(OR('Base Exámenes'!C205="",'Base Exámenes'!D205=""),"",IF(COUNTIF('Base Exámenes'!$C$5:C205,'Base Exámenes'!C205)=1,'Base Exámenes'!D205+ROW()/1000000000,""))</f>
        <v>46308.41084511574</v>
      </c>
      <c r="AL205">
        <f>IF(OR('Base Exámenes'!C205="",'Base Exámenes'!E205=""),"",IF(COUNTIF('Base Exámenes'!$C$5:C205,'Base Exámenes'!C205)=1,'Base Exámenes'!E205+ROW()/1000000000,""))</f>
        <v>46308.41873863426</v>
      </c>
      <c r="AM205">
        <f>IF(OR('Base Exámenes'!C205="",'Base Exámenes'!G205=""),"",IF(ROW()-4=MATCH('Base Exámenes'!C205&amp;"|"&amp;_xlfn.MAXIFS('Base Exámenes'!$G$5:$G$1000,'Base Exámenes'!$C$5:$C$1000,'Base Exámenes'!C205),'Base Exámenes'!$I$5:$I$1000,0),'Base Exámenes'!G205*1000000+(-1)*'Base Exámenes'!D205,""))</f>
        <v>99953691.5891551</v>
      </c>
      <c r="AQ205" t="str">
        <f>IF('Base Exámenes'!C205="","",IF(COUNTIF('Base Exámenes'!$C$5:$C$1000,'Base Exámenes'!C205)&lt;2,"",MATCH('Base Exámenes'!C205,'Base Exámenes'!$C$5:$C$1000,0)*10000+ROW()))</f>
        <v/>
      </c>
    </row>
    <row r="206">
      <c r="Z206">
        <f>IF('Detalle individual'!A206="","",IF(AND(OR('Estado por Colaborador'!$D$4="Todas las gerencias",'Detalle individual'!D206='Estado por Colaborador'!$D$4),OR('Estado por Colaborador'!$D$5="Todos los departamentos",TRIM('Detalle individual'!C206)='Estado por Colaborador'!$D$5),OR('Estado por Colaborador'!$D$6="Todos",'Detalle individual'!F206='Estado por Colaborador'!$D$6)),IF('Detalle individual'!F206="Completado",30000000,IF('Detalle individual'!F206="Pendiente",0,15000000))+COUNTIF('Detalle individual'!$C$5:$C$1000,"&lt;"&amp;'Detalle individual'!C206)*10000+ROW(),""))</f>
        <v>37130206</v>
      </c>
      <c r="AB206" t="str">
        <f>IF('Detalle individual'!C206="","",IF(COUNTIF('Detalle individual'!$C$5:C206,'Detalle individual'!C206)=1,COUNTIF('Detalle individual'!$C$5:$C$1000,"&lt;"&amp;'Detalle individual'!C206),""))</f>
        <v/>
      </c>
      <c r="AC206" t="str">
        <f>IF('Detalle individual'!D206="","",IF(COUNTIF('Detalle individual'!$D$5:D206,'Detalle individual'!D206)=1,COUNTIF('Detalle individual'!$D$5:$D$1000,"&lt;"&amp;'Detalle individual'!D206),""))</f>
        <v/>
      </c>
      <c r="AH206" t="str">
        <f>IF('Detalle individual'!F206="Pendiente",COUNTIF('Detalle individual'!$D$5:$D$1000,"&lt;"&amp;'Detalle individual'!D206)*1000000+COUNTIF('Detalle individual'!$C$5:$C$1000,"&lt;"&amp;'Detalle individual'!C206)*1000+COUNTIF('Detalle individual'!$B$5:$B$1000,"&lt;"&amp;'Detalle individual'!B206)+ROW()/10000,"")</f>
        <v/>
      </c>
      <c r="AI206">
        <f>IF('Detalle individual'!F206="Completado",COUNTIF('Detalle individual'!$D$5:$D$1000,"&lt;"&amp;'Detalle individual'!D206)*1000000+COUNTIF('Detalle individual'!$C$5:$C$1000,"&lt;"&amp;'Detalle individual'!C206)*1000+COUNTIF('Detalle individual'!$B$5:$B$1000,"&lt;"&amp;'Detalle individual'!B206)+ROW()/10000,"")</f>
        <v>764713886.0206</v>
      </c>
      <c r="AJ206" t="str">
        <f>IF(AND('Detalle individual'!F206&lt;&gt;"",'Detalle individual'!F206&lt;&gt;"Completado",'Detalle individual'!F206&lt;&gt;"Pendiente"),COUNTIF('Detalle individual'!$D$5:$D$1000,"&lt;"&amp;'Detalle individual'!D206)*1000000+COUNTIF('Detalle individual'!$C$5:$C$1000,"&lt;"&amp;'Detalle individual'!C206)*1000+COUNTIF('Detalle individual'!$B$5:$B$1000,"&lt;"&amp;'Detalle individual'!B206)+ROW()/10000,"")</f>
        <v/>
      </c>
      <c r="AK206">
        <f>IF(OR('Base Exámenes'!C206="",'Base Exámenes'!D206=""),"",IF(COUNTIF('Base Exámenes'!$C$5:C206,'Base Exámenes'!C206)=1,'Base Exámenes'!D206+ROW()/1000000000,""))</f>
        <v>46308.43619233796</v>
      </c>
      <c r="AL206">
        <f>IF(OR('Base Exámenes'!C206="",'Base Exámenes'!E206=""),"",IF(COUNTIF('Base Exámenes'!$C$5:C206,'Base Exámenes'!C206)=1,'Base Exámenes'!E206+ROW()/1000000000,""))</f>
        <v>46308.456412245374</v>
      </c>
      <c r="AM206">
        <f>IF(OR('Base Exámenes'!C206="",'Base Exámenes'!G206=""),"",IF(ROW()-4=MATCH('Base Exámenes'!C206&amp;"|"&amp;_xlfn.MAXIFS('Base Exámenes'!$G$5:$G$1000,'Base Exámenes'!$C$5:$C$1000,'Base Exámenes'!C206),'Base Exámenes'!$I$5:$I$1000,0),'Base Exámenes'!G206*1000000+(-1)*'Base Exámenes'!D206,""))</f>
        <v>79953691.5638079</v>
      </c>
      <c r="AQ206" t="str">
        <f>IF('Base Exámenes'!C206="","",IF(COUNTIF('Base Exámenes'!$C$5:$C$1000,'Base Exámenes'!C206)&lt;2,"",MATCH('Base Exámenes'!C206,'Base Exámenes'!$C$5:$C$1000,0)*10000+ROW()))</f>
        <v/>
      </c>
    </row>
    <row r="207">
      <c r="Z207">
        <f>IF('Detalle individual'!A207="","",IF(AND(OR('Estado por Colaborador'!$D$4="Todas las gerencias",'Detalle individual'!D207='Estado por Colaborador'!$D$4),OR('Estado por Colaborador'!$D$5="Todos los departamentos",TRIM('Detalle individual'!C207)='Estado por Colaborador'!$D$5),OR('Estado por Colaborador'!$D$6="Todos",'Detalle individual'!F207='Estado por Colaborador'!$D$6)),IF('Detalle individual'!F207="Completado",30000000,IF('Detalle individual'!F207="Pendiente",0,15000000))+COUNTIF('Detalle individual'!$C$5:$C$1000,"&lt;"&amp;'Detalle individual'!C207)*10000+ROW(),""))</f>
        <v>37130207</v>
      </c>
      <c r="AB207" t="str">
        <f>IF('Detalle individual'!C207="","",IF(COUNTIF('Detalle individual'!$C$5:C207,'Detalle individual'!C207)=1,COUNTIF('Detalle individual'!$C$5:$C$1000,"&lt;"&amp;'Detalle individual'!C207),""))</f>
        <v/>
      </c>
      <c r="AC207" t="str">
        <f>IF('Detalle individual'!D207="","",IF(COUNTIF('Detalle individual'!$D$5:D207,'Detalle individual'!D207)=1,COUNTIF('Detalle individual'!$D$5:$D$1000,"&lt;"&amp;'Detalle individual'!D207),""))</f>
        <v/>
      </c>
      <c r="AH207" t="str">
        <f>IF('Detalle individual'!F207="Pendiente",COUNTIF('Detalle individual'!$D$5:$D$1000,"&lt;"&amp;'Detalle individual'!D207)*1000000+COUNTIF('Detalle individual'!$C$5:$C$1000,"&lt;"&amp;'Detalle individual'!C207)*1000+COUNTIF('Detalle individual'!$B$5:$B$1000,"&lt;"&amp;'Detalle individual'!B207)+ROW()/10000,"")</f>
        <v/>
      </c>
      <c r="AI207">
        <f>IF('Detalle individual'!F207="Completado",COUNTIF('Detalle individual'!$D$5:$D$1000,"&lt;"&amp;'Detalle individual'!D207)*1000000+COUNTIF('Detalle individual'!$C$5:$C$1000,"&lt;"&amp;'Detalle individual'!C207)*1000+COUNTIF('Detalle individual'!$B$5:$B$1000,"&lt;"&amp;'Detalle individual'!B207)+ROW()/10000,"")</f>
        <v>764713880.0207</v>
      </c>
      <c r="AJ207" t="str">
        <f>IF(AND('Detalle individual'!F207&lt;&gt;"",'Detalle individual'!F207&lt;&gt;"Completado",'Detalle individual'!F207&lt;&gt;"Pendiente"),COUNTIF('Detalle individual'!$D$5:$D$1000,"&lt;"&amp;'Detalle individual'!D207)*1000000+COUNTIF('Detalle individual'!$C$5:$C$1000,"&lt;"&amp;'Detalle individual'!C207)*1000+COUNTIF('Detalle individual'!$B$5:$B$1000,"&lt;"&amp;'Detalle individual'!B207)+ROW()/10000,"")</f>
        <v/>
      </c>
      <c r="AK207" t="str">
        <f>IF(OR('Base Exámenes'!C207="",'Base Exámenes'!D207=""),"",IF(COUNTIF('Base Exámenes'!$C$5:C207,'Base Exámenes'!C207)=1,'Base Exámenes'!D207+ROW()/1000000000,""))</f>
        <v/>
      </c>
      <c r="AL207" t="str">
        <f>IF(OR('Base Exámenes'!C207="",'Base Exámenes'!E207=""),"",IF(COUNTIF('Base Exámenes'!$C$5:C207,'Base Exámenes'!C207)=1,'Base Exámenes'!E207+ROW()/1000000000,""))</f>
        <v/>
      </c>
      <c r="AM207" t="str">
        <f>IF(OR('Base Exámenes'!C207="",'Base Exámenes'!G207=""),"",IF(ROW()-4=MATCH('Base Exámenes'!C207&amp;"|"&amp;_xlfn.MAXIFS('Base Exámenes'!$G$5:$G$1000,'Base Exámenes'!$C$5:$C$1000,'Base Exámenes'!C207),'Base Exámenes'!$I$5:$I$1000,0),'Base Exámenes'!G207*1000000+(-1)*'Base Exámenes'!D207,""))</f>
        <v/>
      </c>
      <c r="AQ207">
        <f>IF('Base Exámenes'!C207="","",IF(COUNTIF('Base Exámenes'!$C$5:$C$1000,'Base Exámenes'!C207)&lt;2,"",MATCH('Base Exámenes'!C207,'Base Exámenes'!$C$5:$C$1000,0)*10000+ROW()))</f>
        <v>80207</v>
      </c>
    </row>
    <row r="208">
      <c r="Z208">
        <f>IF('Detalle individual'!A208="","",IF(AND(OR('Estado por Colaborador'!$D$4="Todas las gerencias",'Detalle individual'!D208='Estado por Colaborador'!$D$4),OR('Estado por Colaborador'!$D$5="Todos los departamentos",TRIM('Detalle individual'!C208)='Estado por Colaborador'!$D$5),OR('Estado por Colaborador'!$D$6="Todos",'Detalle individual'!F208='Estado por Colaborador'!$D$6)),IF('Detalle individual'!F208="Completado",30000000,IF('Detalle individual'!F208="Pendiente",0,15000000))+COUNTIF('Detalle individual'!$C$5:$C$1000,"&lt;"&amp;'Detalle individual'!C208)*10000+ROW(),""))</f>
        <v>37130208</v>
      </c>
      <c r="AB208" t="str">
        <f>IF('Detalle individual'!C208="","",IF(COUNTIF('Detalle individual'!$C$5:C208,'Detalle individual'!C208)=1,COUNTIF('Detalle individual'!$C$5:$C$1000,"&lt;"&amp;'Detalle individual'!C208),""))</f>
        <v/>
      </c>
      <c r="AC208" t="str">
        <f>IF('Detalle individual'!D208="","",IF(COUNTIF('Detalle individual'!$D$5:D208,'Detalle individual'!D208)=1,COUNTIF('Detalle individual'!$D$5:$D$1000,"&lt;"&amp;'Detalle individual'!D208),""))</f>
        <v/>
      </c>
      <c r="AH208" t="str">
        <f>IF('Detalle individual'!F208="Pendiente",COUNTIF('Detalle individual'!$D$5:$D$1000,"&lt;"&amp;'Detalle individual'!D208)*1000000+COUNTIF('Detalle individual'!$C$5:$C$1000,"&lt;"&amp;'Detalle individual'!C208)*1000+COUNTIF('Detalle individual'!$B$5:$B$1000,"&lt;"&amp;'Detalle individual'!B208)+ROW()/10000,"")</f>
        <v/>
      </c>
      <c r="AI208">
        <f>IF('Detalle individual'!F208="Completado",COUNTIF('Detalle individual'!$D$5:$D$1000,"&lt;"&amp;'Detalle individual'!D208)*1000000+COUNTIF('Detalle individual'!$C$5:$C$1000,"&lt;"&amp;'Detalle individual'!C208)*1000+COUNTIF('Detalle individual'!$B$5:$B$1000,"&lt;"&amp;'Detalle individual'!B208)+ROW()/10000,"")</f>
        <v>764713876.0208</v>
      </c>
      <c r="AJ208" t="str">
        <f>IF(AND('Detalle individual'!F208&lt;&gt;"",'Detalle individual'!F208&lt;&gt;"Completado",'Detalle individual'!F208&lt;&gt;"Pendiente"),COUNTIF('Detalle individual'!$D$5:$D$1000,"&lt;"&amp;'Detalle individual'!D208)*1000000+COUNTIF('Detalle individual'!$C$5:$C$1000,"&lt;"&amp;'Detalle individual'!C208)*1000+COUNTIF('Detalle individual'!$B$5:$B$1000,"&lt;"&amp;'Detalle individual'!B208)+ROW()/10000,"")</f>
        <v/>
      </c>
      <c r="AK208">
        <f>IF(OR('Base Exámenes'!C208="",'Base Exámenes'!D208=""),"",IF(COUNTIF('Base Exámenes'!$C$5:C208,'Base Exámenes'!C208)=1,'Base Exámenes'!D208+ROW()/1000000000,""))</f>
        <v>46308.564571967596</v>
      </c>
      <c r="AL208">
        <f>IF(OR('Base Exámenes'!C208="",'Base Exámenes'!E208=""),"",IF(COUNTIF('Base Exámenes'!$C$5:C208,'Base Exámenes'!C208)=1,'Base Exámenes'!E208+ROW()/1000000000,""))</f>
        <v>46308.571192337964</v>
      </c>
      <c r="AM208">
        <f>IF(OR('Base Exámenes'!C208="",'Base Exámenes'!G208=""),"",IF(ROW()-4=MATCH('Base Exámenes'!C208&amp;"|"&amp;_xlfn.MAXIFS('Base Exámenes'!$G$5:$G$1000,'Base Exámenes'!$C$5:$C$1000,'Base Exámenes'!C208),'Base Exámenes'!$I$5:$I$1000,0),'Base Exámenes'!G208*1000000+(-1)*'Base Exámenes'!D208,""))</f>
        <v>99953691.4354283</v>
      </c>
      <c r="AQ208" t="str">
        <f>IF('Base Exámenes'!C208="","",IF(COUNTIF('Base Exámenes'!$C$5:$C$1000,'Base Exámenes'!C208)&lt;2,"",MATCH('Base Exámenes'!C208,'Base Exámenes'!$C$5:$C$1000,0)*10000+ROW()))</f>
        <v/>
      </c>
    </row>
    <row r="209">
      <c r="Z209">
        <f>IF('Detalle individual'!A209="","",IF(AND(OR('Estado por Colaborador'!$D$4="Todas las gerencias",'Detalle individual'!D209='Estado por Colaborador'!$D$4),OR('Estado por Colaborador'!$D$5="Todos los departamentos",TRIM('Detalle individual'!C209)='Estado por Colaborador'!$D$5),OR('Estado por Colaborador'!$D$6="Todos",'Detalle individual'!F209='Estado por Colaborador'!$D$6)),IF('Detalle individual'!F209="Completado",30000000,IF('Detalle individual'!F209="Pendiente",0,15000000))+COUNTIF('Detalle individual'!$C$5:$C$1000,"&lt;"&amp;'Detalle individual'!C209)*10000+ROW(),""))</f>
        <v>37310209</v>
      </c>
      <c r="AB209">
        <f>IF('Detalle individual'!C209="","",IF(COUNTIF('Detalle individual'!$C$5:C209,'Detalle individual'!C209)=1,COUNTIF('Detalle individual'!$C$5:$C$1000,"&lt;"&amp;'Detalle individual'!C209),""))</f>
        <v>731</v>
      </c>
      <c r="AC209" t="str">
        <f>IF('Detalle individual'!D209="","",IF(COUNTIF('Detalle individual'!$D$5:D209,'Detalle individual'!D209)=1,COUNTIF('Detalle individual'!$D$5:$D$1000,"&lt;"&amp;'Detalle individual'!D209),""))</f>
        <v/>
      </c>
      <c r="AH209" t="str">
        <f>IF('Detalle individual'!F209="Pendiente",COUNTIF('Detalle individual'!$D$5:$D$1000,"&lt;"&amp;'Detalle individual'!D209)*1000000+COUNTIF('Detalle individual'!$C$5:$C$1000,"&lt;"&amp;'Detalle individual'!C209)*1000+COUNTIF('Detalle individual'!$B$5:$B$1000,"&lt;"&amp;'Detalle individual'!B209)+ROW()/10000,"")</f>
        <v/>
      </c>
      <c r="AI209">
        <f>IF('Detalle individual'!F209="Completado",COUNTIF('Detalle individual'!$D$5:$D$1000,"&lt;"&amp;'Detalle individual'!D209)*1000000+COUNTIF('Detalle individual'!$C$5:$C$1000,"&lt;"&amp;'Detalle individual'!C209)*1000+COUNTIF('Detalle individual'!$B$5:$B$1000,"&lt;"&amp;'Detalle individual'!B209)+ROW()/10000,"")</f>
        <v>764731788.0209</v>
      </c>
      <c r="AJ209" t="str">
        <f>IF(AND('Detalle individual'!F209&lt;&gt;"",'Detalle individual'!F209&lt;&gt;"Completado",'Detalle individual'!F209&lt;&gt;"Pendiente"),COUNTIF('Detalle individual'!$D$5:$D$1000,"&lt;"&amp;'Detalle individual'!D209)*1000000+COUNTIF('Detalle individual'!$C$5:$C$1000,"&lt;"&amp;'Detalle individual'!C209)*1000+COUNTIF('Detalle individual'!$B$5:$B$1000,"&lt;"&amp;'Detalle individual'!B209)+ROW()/10000,"")</f>
        <v/>
      </c>
      <c r="AK209">
        <f>IF(OR('Base Exámenes'!C209="",'Base Exámenes'!D209=""),"",IF(COUNTIF('Base Exámenes'!$C$5:C209,'Base Exámenes'!C209)=1,'Base Exámenes'!D209+ROW()/1000000000,""))</f>
        <v>46308.57634280092</v>
      </c>
      <c r="AL209">
        <f>IF(OR('Base Exámenes'!C209="",'Base Exámenes'!E209=""),"",IF(COUNTIF('Base Exámenes'!$C$5:C209,'Base Exámenes'!C209)=1,'Base Exámenes'!E209+ROW()/1000000000,""))</f>
        <v>46308.579571967595</v>
      </c>
      <c r="AM209">
        <f>IF(OR('Base Exámenes'!C209="",'Base Exámenes'!G209=""),"",IF(ROW()-4=MATCH('Base Exámenes'!C209&amp;"|"&amp;_xlfn.MAXIFS('Base Exámenes'!$G$5:$G$1000,'Base Exámenes'!$C$5:$C$1000,'Base Exámenes'!C209),'Base Exámenes'!$I$5:$I$1000,0),'Base Exámenes'!G209*1000000+(-1)*'Base Exámenes'!D209,""))</f>
        <v>89953691.4236574</v>
      </c>
      <c r="AQ209" t="str">
        <f>IF('Base Exámenes'!C209="","",IF(COUNTIF('Base Exámenes'!$C$5:$C$1000,'Base Exámenes'!C209)&lt;2,"",MATCH('Base Exámenes'!C209,'Base Exámenes'!$C$5:$C$1000,0)*10000+ROW()))</f>
        <v/>
      </c>
    </row>
    <row r="210">
      <c r="Z210">
        <f>IF('Detalle individual'!A210="","",IF(AND(OR('Estado por Colaborador'!$D$4="Todas las gerencias",'Detalle individual'!D210='Estado por Colaborador'!$D$4),OR('Estado por Colaborador'!$D$5="Todos los departamentos",TRIM('Detalle individual'!C210)='Estado por Colaborador'!$D$5),OR('Estado por Colaborador'!$D$6="Todos",'Detalle individual'!F210='Estado por Colaborador'!$D$6)),IF('Detalle individual'!F210="Completado",30000000,IF('Detalle individual'!F210="Pendiente",0,15000000))+COUNTIF('Detalle individual'!$C$5:$C$1000,"&lt;"&amp;'Detalle individual'!C210)*10000+ROW(),""))</f>
        <v>37310210</v>
      </c>
      <c r="AB210" t="str">
        <f>IF('Detalle individual'!C210="","",IF(COUNTIF('Detalle individual'!$C$5:C210,'Detalle individual'!C210)=1,COUNTIF('Detalle individual'!$C$5:$C$1000,"&lt;"&amp;'Detalle individual'!C210),""))</f>
        <v/>
      </c>
      <c r="AC210" t="str">
        <f>IF('Detalle individual'!D210="","",IF(COUNTIF('Detalle individual'!$D$5:D210,'Detalle individual'!D210)=1,COUNTIF('Detalle individual'!$D$5:$D$1000,"&lt;"&amp;'Detalle individual'!D210),""))</f>
        <v/>
      </c>
      <c r="AH210" t="str">
        <f>IF('Detalle individual'!F210="Pendiente",COUNTIF('Detalle individual'!$D$5:$D$1000,"&lt;"&amp;'Detalle individual'!D210)*1000000+COUNTIF('Detalle individual'!$C$5:$C$1000,"&lt;"&amp;'Detalle individual'!C210)*1000+COUNTIF('Detalle individual'!$B$5:$B$1000,"&lt;"&amp;'Detalle individual'!B210)+ROW()/10000,"")</f>
        <v/>
      </c>
      <c r="AI210">
        <f>IF('Detalle individual'!F210="Completado",COUNTIF('Detalle individual'!$D$5:$D$1000,"&lt;"&amp;'Detalle individual'!D210)*1000000+COUNTIF('Detalle individual'!$C$5:$C$1000,"&lt;"&amp;'Detalle individual'!C210)*1000+COUNTIF('Detalle individual'!$B$5:$B$1000,"&lt;"&amp;'Detalle individual'!B210)+ROW()/10000,"")</f>
        <v>764731988.021</v>
      </c>
      <c r="AJ210" t="str">
        <f>IF(AND('Detalle individual'!F210&lt;&gt;"",'Detalle individual'!F210&lt;&gt;"Completado",'Detalle individual'!F210&lt;&gt;"Pendiente"),COUNTIF('Detalle individual'!$D$5:$D$1000,"&lt;"&amp;'Detalle individual'!D210)*1000000+COUNTIF('Detalle individual'!$C$5:$C$1000,"&lt;"&amp;'Detalle individual'!C210)*1000+COUNTIF('Detalle individual'!$B$5:$B$1000,"&lt;"&amp;'Detalle individual'!B210)+ROW()/10000,"")</f>
        <v/>
      </c>
      <c r="AK210">
        <f>IF(OR('Base Exámenes'!C210="",'Base Exámenes'!D210=""),"",IF(COUNTIF('Base Exámenes'!$C$5:C210,'Base Exámenes'!C210)=1,'Base Exámenes'!D210+ROW()/1000000000,""))</f>
        <v>46308.607210856484</v>
      </c>
      <c r="AL210">
        <f>IF(OR('Base Exámenes'!C210="",'Base Exámenes'!E210=""),"",IF(COUNTIF('Base Exámenes'!$C$5:C210,'Base Exámenes'!C210)=1,'Base Exámenes'!E210+ROW()/1000000000,""))</f>
        <v>46308.61247706018</v>
      </c>
      <c r="AM210">
        <f>IF(OR('Base Exámenes'!C210="",'Base Exámenes'!G210=""),"",IF(ROW()-4=MATCH('Base Exámenes'!C210&amp;"|"&amp;_xlfn.MAXIFS('Base Exámenes'!$G$5:$G$1000,'Base Exámenes'!$C$5:$C$1000,'Base Exámenes'!C210),'Base Exámenes'!$I$5:$I$1000,0),'Base Exámenes'!G210*1000000+(-1)*'Base Exámenes'!D210,""))</f>
        <v>99953691.3927894</v>
      </c>
      <c r="AQ210" t="str">
        <f>IF('Base Exámenes'!C210="","",IF(COUNTIF('Base Exámenes'!$C$5:$C$1000,'Base Exámenes'!C210)&lt;2,"",MATCH('Base Exámenes'!C210,'Base Exámenes'!$C$5:$C$1000,0)*10000+ROW()))</f>
        <v/>
      </c>
    </row>
    <row r="211">
      <c r="Z211">
        <f>IF('Detalle individual'!A211="","",IF(AND(OR('Estado por Colaborador'!$D$4="Todas las gerencias",'Detalle individual'!D211='Estado por Colaborador'!$D$4),OR('Estado por Colaborador'!$D$5="Todos los departamentos",TRIM('Detalle individual'!C211)='Estado por Colaborador'!$D$5),OR('Estado por Colaborador'!$D$6="Todos",'Detalle individual'!F211='Estado por Colaborador'!$D$6)),IF('Detalle individual'!F211="Completado",30000000,IF('Detalle individual'!F211="Pendiente",0,15000000))+COUNTIF('Detalle individual'!$C$5:$C$1000,"&lt;"&amp;'Detalle individual'!C211)*10000+ROW(),""))</f>
        <v>37310211</v>
      </c>
      <c r="AB211" t="str">
        <f>IF('Detalle individual'!C211="","",IF(COUNTIF('Detalle individual'!$C$5:C211,'Detalle individual'!C211)=1,COUNTIF('Detalle individual'!$C$5:$C$1000,"&lt;"&amp;'Detalle individual'!C211),""))</f>
        <v/>
      </c>
      <c r="AC211" t="str">
        <f>IF('Detalle individual'!D211="","",IF(COUNTIF('Detalle individual'!$D$5:D211,'Detalle individual'!D211)=1,COUNTIF('Detalle individual'!$D$5:$D$1000,"&lt;"&amp;'Detalle individual'!D211),""))</f>
        <v/>
      </c>
      <c r="AH211" t="str">
        <f>IF('Detalle individual'!F211="Pendiente",COUNTIF('Detalle individual'!$D$5:$D$1000,"&lt;"&amp;'Detalle individual'!D211)*1000000+COUNTIF('Detalle individual'!$C$5:$C$1000,"&lt;"&amp;'Detalle individual'!C211)*1000+COUNTIF('Detalle individual'!$B$5:$B$1000,"&lt;"&amp;'Detalle individual'!B211)+ROW()/10000,"")</f>
        <v/>
      </c>
      <c r="AI211">
        <f>IF('Detalle individual'!F211="Completado",COUNTIF('Detalle individual'!$D$5:$D$1000,"&lt;"&amp;'Detalle individual'!D211)*1000000+COUNTIF('Detalle individual'!$C$5:$C$1000,"&lt;"&amp;'Detalle individual'!C211)*1000+COUNTIF('Detalle individual'!$B$5:$B$1000,"&lt;"&amp;'Detalle individual'!B211)+ROW()/10000,"")</f>
        <v>764731929.0211</v>
      </c>
      <c r="AJ211" t="str">
        <f>IF(AND('Detalle individual'!F211&lt;&gt;"",'Detalle individual'!F211&lt;&gt;"Completado",'Detalle individual'!F211&lt;&gt;"Pendiente"),COUNTIF('Detalle individual'!$D$5:$D$1000,"&lt;"&amp;'Detalle individual'!D211)*1000000+COUNTIF('Detalle individual'!$C$5:$C$1000,"&lt;"&amp;'Detalle individual'!C211)*1000+COUNTIF('Detalle individual'!$B$5:$B$1000,"&lt;"&amp;'Detalle individual'!B211)+ROW()/10000,"")</f>
        <v/>
      </c>
      <c r="AK211">
        <f>IF(OR('Base Exámenes'!C211="",'Base Exámenes'!D211=""),"",IF(COUNTIF('Base Exámenes'!$C$5:C211,'Base Exámenes'!C211)=1,'Base Exámenes'!D211+ROW()/1000000000,""))</f>
        <v>46308.61598400463</v>
      </c>
      <c r="AL211">
        <f>IF(OR('Base Exámenes'!C211="",'Base Exámenes'!E211=""),"",IF(COUNTIF('Base Exámenes'!$C$5:C211,'Base Exámenes'!C211)=1,'Base Exámenes'!E211+ROW()/1000000000,""))</f>
        <v>46308.62107659722</v>
      </c>
      <c r="AM211">
        <f>IF(OR('Base Exámenes'!C211="",'Base Exámenes'!G211=""),"",IF(ROW()-4=MATCH('Base Exámenes'!C211&amp;"|"&amp;_xlfn.MAXIFS('Base Exámenes'!$G$5:$G$1000,'Base Exámenes'!$C$5:$C$1000,'Base Exámenes'!C211),'Base Exámenes'!$I$5:$I$1000,0),'Base Exámenes'!G211*1000000+(-1)*'Base Exámenes'!D211,""))</f>
        <v>99953691.3840162</v>
      </c>
      <c r="AQ211" t="str">
        <f>IF('Base Exámenes'!C211="","",IF(COUNTIF('Base Exámenes'!$C$5:$C$1000,'Base Exámenes'!C211)&lt;2,"",MATCH('Base Exámenes'!C211,'Base Exámenes'!$C$5:$C$1000,0)*10000+ROW()))</f>
        <v/>
      </c>
    </row>
    <row r="212">
      <c r="Z212">
        <f>IF('Detalle individual'!A212="","",IF(AND(OR('Estado por Colaborador'!$D$4="Todas las gerencias",'Detalle individual'!D212='Estado por Colaborador'!$D$4),OR('Estado por Colaborador'!$D$5="Todos los departamentos",TRIM('Detalle individual'!C212)='Estado por Colaborador'!$D$5),OR('Estado por Colaborador'!$D$6="Todos",'Detalle individual'!F212='Estado por Colaborador'!$D$6)),IF('Detalle individual'!F212="Completado",30000000,IF('Detalle individual'!F212="Pendiente",0,15000000))+COUNTIF('Detalle individual'!$C$5:$C$1000,"&lt;"&amp;'Detalle individual'!C212)*10000+ROW(),""))</f>
        <v>37310212</v>
      </c>
      <c r="AB212" t="str">
        <f>IF('Detalle individual'!C212="","",IF(COUNTIF('Detalle individual'!$C$5:C212,'Detalle individual'!C212)=1,COUNTIF('Detalle individual'!$C$5:$C$1000,"&lt;"&amp;'Detalle individual'!C212),""))</f>
        <v/>
      </c>
      <c r="AC212" t="str">
        <f>IF('Detalle individual'!D212="","",IF(COUNTIF('Detalle individual'!$D$5:D212,'Detalle individual'!D212)=1,COUNTIF('Detalle individual'!$D$5:$D$1000,"&lt;"&amp;'Detalle individual'!D212),""))</f>
        <v/>
      </c>
      <c r="AH212" t="str">
        <f>IF('Detalle individual'!F212="Pendiente",COUNTIF('Detalle individual'!$D$5:$D$1000,"&lt;"&amp;'Detalle individual'!D212)*1000000+COUNTIF('Detalle individual'!$C$5:$C$1000,"&lt;"&amp;'Detalle individual'!C212)*1000+COUNTIF('Detalle individual'!$B$5:$B$1000,"&lt;"&amp;'Detalle individual'!B212)+ROW()/10000,"")</f>
        <v/>
      </c>
      <c r="AI212">
        <f>IF('Detalle individual'!F212="Completado",COUNTIF('Detalle individual'!$D$5:$D$1000,"&lt;"&amp;'Detalle individual'!D212)*1000000+COUNTIF('Detalle individual'!$C$5:$C$1000,"&lt;"&amp;'Detalle individual'!C212)*1000+COUNTIF('Detalle individual'!$B$5:$B$1000,"&lt;"&amp;'Detalle individual'!B212)+ROW()/10000,"")</f>
        <v>764731945.0212</v>
      </c>
      <c r="AJ212" t="str">
        <f>IF(AND('Detalle individual'!F212&lt;&gt;"",'Detalle individual'!F212&lt;&gt;"Completado",'Detalle individual'!F212&lt;&gt;"Pendiente"),COUNTIF('Detalle individual'!$D$5:$D$1000,"&lt;"&amp;'Detalle individual'!D212)*1000000+COUNTIF('Detalle individual'!$C$5:$C$1000,"&lt;"&amp;'Detalle individual'!C212)*1000+COUNTIF('Detalle individual'!$B$5:$B$1000,"&lt;"&amp;'Detalle individual'!B212)+ROW()/10000,"")</f>
        <v/>
      </c>
      <c r="AK212">
        <f>IF(OR('Base Exámenes'!C212="",'Base Exámenes'!D212=""),"",IF(COUNTIF('Base Exámenes'!$C$5:C212,'Base Exámenes'!C212)=1,'Base Exámenes'!D212+ROW()/1000000000,""))</f>
        <v>46308.61741918982</v>
      </c>
      <c r="AL212">
        <f>IF(OR('Base Exámenes'!C212="",'Base Exámenes'!E212=""),"",IF(COUNTIF('Base Exámenes'!$C$5:C212,'Base Exámenes'!C212)=1,'Base Exámenes'!E212+ROW()/1000000000,""))</f>
        <v>46308.622615949076</v>
      </c>
      <c r="AM212">
        <f>IF(OR('Base Exámenes'!C212="",'Base Exámenes'!G212=""),"",IF(ROW()-4=MATCH('Base Exámenes'!C212&amp;"|"&amp;_xlfn.MAXIFS('Base Exámenes'!$G$5:$G$1000,'Base Exámenes'!$C$5:$C$1000,'Base Exámenes'!C212),'Base Exámenes'!$I$5:$I$1000,0),'Base Exámenes'!G212*1000000+(-1)*'Base Exámenes'!D212,""))</f>
        <v>89953691.382581</v>
      </c>
      <c r="AQ212" t="str">
        <f>IF('Base Exámenes'!C212="","",IF(COUNTIF('Base Exámenes'!$C$5:$C$1000,'Base Exámenes'!C212)&lt;2,"",MATCH('Base Exámenes'!C212,'Base Exámenes'!$C$5:$C$1000,0)*10000+ROW()))</f>
        <v/>
      </c>
    </row>
    <row r="213">
      <c r="Z213">
        <f>IF('Detalle individual'!A213="","",IF(AND(OR('Estado por Colaborador'!$D$4="Todas las gerencias",'Detalle individual'!D213='Estado por Colaborador'!$D$4),OR('Estado por Colaborador'!$D$5="Todos los departamentos",TRIM('Detalle individual'!C213)='Estado por Colaborador'!$D$5),OR('Estado por Colaborador'!$D$6="Todos",'Detalle individual'!F213='Estado por Colaborador'!$D$6)),IF('Detalle individual'!F213="Completado",30000000,IF('Detalle individual'!F213="Pendiente",0,15000000))+COUNTIF('Detalle individual'!$C$5:$C$1000,"&lt;"&amp;'Detalle individual'!C213)*10000+ROW(),""))</f>
        <v>22310213</v>
      </c>
      <c r="AB213" t="str">
        <f>IF('Detalle individual'!C213="","",IF(COUNTIF('Detalle individual'!$C$5:C213,'Detalle individual'!C213)=1,COUNTIF('Detalle individual'!$C$5:$C$1000,"&lt;"&amp;'Detalle individual'!C213),""))</f>
        <v/>
      </c>
      <c r="AC213" t="str">
        <f>IF('Detalle individual'!D213="","",IF(COUNTIF('Detalle individual'!$D$5:D213,'Detalle individual'!D213)=1,COUNTIF('Detalle individual'!$D$5:$D$1000,"&lt;"&amp;'Detalle individual'!D213),""))</f>
        <v/>
      </c>
      <c r="AH213" t="str">
        <f>IF('Detalle individual'!F213="Pendiente",COUNTIF('Detalle individual'!$D$5:$D$1000,"&lt;"&amp;'Detalle individual'!D213)*1000000+COUNTIF('Detalle individual'!$C$5:$C$1000,"&lt;"&amp;'Detalle individual'!C213)*1000+COUNTIF('Detalle individual'!$B$5:$B$1000,"&lt;"&amp;'Detalle individual'!B213)+ROW()/10000,"")</f>
        <v/>
      </c>
      <c r="AI213" t="str">
        <f>IF('Detalle individual'!F213="Completado",COUNTIF('Detalle individual'!$D$5:$D$1000,"&lt;"&amp;'Detalle individual'!D213)*1000000+COUNTIF('Detalle individual'!$C$5:$C$1000,"&lt;"&amp;'Detalle individual'!C213)*1000+COUNTIF('Detalle individual'!$B$5:$B$1000,"&lt;"&amp;'Detalle individual'!B213)+ROW()/10000,"")</f>
        <v/>
      </c>
      <c r="AJ213">
        <f>IF(AND('Detalle individual'!F213&lt;&gt;"",'Detalle individual'!F213&lt;&gt;"Completado",'Detalle individual'!F213&lt;&gt;"Pendiente"),COUNTIF('Detalle individual'!$D$5:$D$1000,"&lt;"&amp;'Detalle individual'!D213)*1000000+COUNTIF('Detalle individual'!$C$5:$C$1000,"&lt;"&amp;'Detalle individual'!C213)*1000+COUNTIF('Detalle individual'!$B$5:$B$1000,"&lt;"&amp;'Detalle individual'!B213)+ROW()/10000,"")</f>
        <v>764731768.0213</v>
      </c>
      <c r="AK213">
        <f>IF(OR('Base Exámenes'!C213="",'Base Exámenes'!D213=""),"",IF(COUNTIF('Base Exámenes'!$C$5:C213,'Base Exámenes'!C213)=1,'Base Exámenes'!D213+ROW()/1000000000,""))</f>
        <v>46308.63217613426</v>
      </c>
      <c r="AL213">
        <f>IF(OR('Base Exámenes'!C213="",'Base Exámenes'!E213=""),"",IF(COUNTIF('Base Exámenes'!$C$5:C213,'Base Exámenes'!C213)=1,'Base Exámenes'!E213+ROW()/1000000000,""))</f>
        <v>46308.64163215278</v>
      </c>
      <c r="AM213">
        <f>IF(OR('Base Exámenes'!C213="",'Base Exámenes'!G213=""),"",IF(ROW()-4=MATCH('Base Exámenes'!C213&amp;"|"&amp;_xlfn.MAXIFS('Base Exámenes'!$G$5:$G$1000,'Base Exámenes'!$C$5:$C$1000,'Base Exámenes'!C213),'Base Exámenes'!$I$5:$I$1000,0),'Base Exámenes'!G213*1000000+(-1)*'Base Exámenes'!D213,""))</f>
        <v>99953691.3678241</v>
      </c>
      <c r="AQ213" t="str">
        <f>IF('Base Exámenes'!C213="","",IF(COUNTIF('Base Exámenes'!$C$5:$C$1000,'Base Exámenes'!C213)&lt;2,"",MATCH('Base Exámenes'!C213,'Base Exámenes'!$C$5:$C$1000,0)*10000+ROW()))</f>
        <v/>
      </c>
    </row>
    <row r="214">
      <c r="Z214">
        <f>IF('Detalle individual'!A214="","",IF(AND(OR('Estado por Colaborador'!$D$4="Todas las gerencias",'Detalle individual'!D214='Estado por Colaborador'!$D$4),OR('Estado por Colaborador'!$D$5="Todos los departamentos",TRIM('Detalle individual'!C214)='Estado por Colaborador'!$D$5),OR('Estado por Colaborador'!$D$6="Todos",'Detalle individual'!F214='Estado por Colaborador'!$D$6)),IF('Detalle individual'!F214="Completado",30000000,IF('Detalle individual'!F214="Pendiente",0,15000000))+COUNTIF('Detalle individual'!$C$5:$C$1000,"&lt;"&amp;'Detalle individual'!C214)*10000+ROW(),""))</f>
        <v>37310214</v>
      </c>
      <c r="AB214" t="str">
        <f>IF('Detalle individual'!C214="","",IF(COUNTIF('Detalle individual'!$C$5:C214,'Detalle individual'!C214)=1,COUNTIF('Detalle individual'!$C$5:$C$1000,"&lt;"&amp;'Detalle individual'!C214),""))</f>
        <v/>
      </c>
      <c r="AC214" t="str">
        <f>IF('Detalle individual'!D214="","",IF(COUNTIF('Detalle individual'!$D$5:D214,'Detalle individual'!D214)=1,COUNTIF('Detalle individual'!$D$5:$D$1000,"&lt;"&amp;'Detalle individual'!D214),""))</f>
        <v/>
      </c>
      <c r="AH214" t="str">
        <f>IF('Detalle individual'!F214="Pendiente",COUNTIF('Detalle individual'!$D$5:$D$1000,"&lt;"&amp;'Detalle individual'!D214)*1000000+COUNTIF('Detalle individual'!$C$5:$C$1000,"&lt;"&amp;'Detalle individual'!C214)*1000+COUNTIF('Detalle individual'!$B$5:$B$1000,"&lt;"&amp;'Detalle individual'!B214)+ROW()/10000,"")</f>
        <v/>
      </c>
      <c r="AI214">
        <f>IF('Detalle individual'!F214="Completado",COUNTIF('Detalle individual'!$D$5:$D$1000,"&lt;"&amp;'Detalle individual'!D214)*1000000+COUNTIF('Detalle individual'!$C$5:$C$1000,"&lt;"&amp;'Detalle individual'!C214)*1000+COUNTIF('Detalle individual'!$B$5:$B$1000,"&lt;"&amp;'Detalle individual'!B214)+ROW()/10000,"")</f>
        <v>764731919.0214</v>
      </c>
      <c r="AJ214" t="str">
        <f>IF(AND('Detalle individual'!F214&lt;&gt;"",'Detalle individual'!F214&lt;&gt;"Completado",'Detalle individual'!F214&lt;&gt;"Pendiente"),COUNTIF('Detalle individual'!$D$5:$D$1000,"&lt;"&amp;'Detalle individual'!D214)*1000000+COUNTIF('Detalle individual'!$C$5:$C$1000,"&lt;"&amp;'Detalle individual'!C214)*1000+COUNTIF('Detalle individual'!$B$5:$B$1000,"&lt;"&amp;'Detalle individual'!B214)+ROW()/10000,"")</f>
        <v/>
      </c>
      <c r="AK214">
        <f>IF(OR('Base Exámenes'!C214="",'Base Exámenes'!D214=""),"",IF(COUNTIF('Base Exámenes'!$C$5:C214,'Base Exámenes'!C214)=1,'Base Exámenes'!D214+ROW()/1000000000,""))</f>
        <v>46308.70475715278</v>
      </c>
      <c r="AL214">
        <f>IF(OR('Base Exámenes'!C214="",'Base Exámenes'!E214=""),"",IF(COUNTIF('Base Exámenes'!$C$5:C214,'Base Exámenes'!C214)=1,'Base Exámenes'!E214+ROW()/1000000000,""))</f>
        <v>46308.713692337966</v>
      </c>
      <c r="AM214">
        <f>IF(OR('Base Exámenes'!C214="",'Base Exámenes'!G214=""),"",IF(ROW()-4=MATCH('Base Exámenes'!C214&amp;"|"&amp;_xlfn.MAXIFS('Base Exámenes'!$G$5:$G$1000,'Base Exámenes'!$C$5:$C$1000,'Base Exámenes'!C214),'Base Exámenes'!$I$5:$I$1000,0),'Base Exámenes'!G214*1000000+(-1)*'Base Exámenes'!D214,""))</f>
        <v>79953691.2952431</v>
      </c>
      <c r="AQ214" t="str">
        <f>IF('Base Exámenes'!C214="","",IF(COUNTIF('Base Exámenes'!$C$5:$C$1000,'Base Exámenes'!C214)&lt;2,"",MATCH('Base Exámenes'!C214,'Base Exámenes'!$C$5:$C$1000,0)*10000+ROW()))</f>
        <v/>
      </c>
    </row>
    <row r="215">
      <c r="Z215">
        <f>IF('Detalle individual'!A215="","",IF(AND(OR('Estado por Colaborador'!$D$4="Todas las gerencias",'Detalle individual'!D215='Estado por Colaborador'!$D$4),OR('Estado por Colaborador'!$D$5="Todos los departamentos",TRIM('Detalle individual'!C215)='Estado por Colaborador'!$D$5),OR('Estado por Colaborador'!$D$6="Todos",'Detalle individual'!F215='Estado por Colaborador'!$D$6)),IF('Detalle individual'!F215="Completado",30000000,IF('Detalle individual'!F215="Pendiente",0,15000000))+COUNTIF('Detalle individual'!$C$5:$C$1000,"&lt;"&amp;'Detalle individual'!C215)*10000+ROW(),""))</f>
        <v>37310215</v>
      </c>
      <c r="AB215" t="str">
        <f>IF('Detalle individual'!C215="","",IF(COUNTIF('Detalle individual'!$C$5:C215,'Detalle individual'!C215)=1,COUNTIF('Detalle individual'!$C$5:$C$1000,"&lt;"&amp;'Detalle individual'!C215),""))</f>
        <v/>
      </c>
      <c r="AC215" t="str">
        <f>IF('Detalle individual'!D215="","",IF(COUNTIF('Detalle individual'!$D$5:D215,'Detalle individual'!D215)=1,COUNTIF('Detalle individual'!$D$5:$D$1000,"&lt;"&amp;'Detalle individual'!D215),""))</f>
        <v/>
      </c>
      <c r="AH215" t="str">
        <f>IF('Detalle individual'!F215="Pendiente",COUNTIF('Detalle individual'!$D$5:$D$1000,"&lt;"&amp;'Detalle individual'!D215)*1000000+COUNTIF('Detalle individual'!$C$5:$C$1000,"&lt;"&amp;'Detalle individual'!C215)*1000+COUNTIF('Detalle individual'!$B$5:$B$1000,"&lt;"&amp;'Detalle individual'!B215)+ROW()/10000,"")</f>
        <v/>
      </c>
      <c r="AI215">
        <f>IF('Detalle individual'!F215="Completado",COUNTIF('Detalle individual'!$D$5:$D$1000,"&lt;"&amp;'Detalle individual'!D215)*1000000+COUNTIF('Detalle individual'!$C$5:$C$1000,"&lt;"&amp;'Detalle individual'!C215)*1000+COUNTIF('Detalle individual'!$B$5:$B$1000,"&lt;"&amp;'Detalle individual'!B215)+ROW()/10000,"")</f>
        <v>764731753.0215</v>
      </c>
      <c r="AJ215" t="str">
        <f>IF(AND('Detalle individual'!F215&lt;&gt;"",'Detalle individual'!F215&lt;&gt;"Completado",'Detalle individual'!F215&lt;&gt;"Pendiente"),COUNTIF('Detalle individual'!$D$5:$D$1000,"&lt;"&amp;'Detalle individual'!D215)*1000000+COUNTIF('Detalle individual'!$C$5:$C$1000,"&lt;"&amp;'Detalle individual'!C215)*1000+COUNTIF('Detalle individual'!$B$5:$B$1000,"&lt;"&amp;'Detalle individual'!B215)+ROW()/10000,"")</f>
        <v/>
      </c>
      <c r="AK215">
        <f>IF(OR('Base Exámenes'!C215="",'Base Exámenes'!D215=""),"",IF(COUNTIF('Base Exámenes'!$C$5:C215,'Base Exámenes'!C215)=1,'Base Exámenes'!D215+ROW()/1000000000,""))</f>
        <v>46309.37858818287</v>
      </c>
      <c r="AL215">
        <f>IF(OR('Base Exámenes'!C215="",'Base Exámenes'!E215=""),"",IF(COUNTIF('Base Exámenes'!$C$5:C215,'Base Exámenes'!C215)=1,'Base Exámenes'!E215+ROW()/1000000000,""))</f>
        <v>46309.3869678125</v>
      </c>
      <c r="AM215">
        <f>IF(OR('Base Exámenes'!C215="",'Base Exámenes'!G215=""),"",IF(ROW()-4=MATCH('Base Exámenes'!C215&amp;"|"&amp;_xlfn.MAXIFS('Base Exámenes'!$G$5:$G$1000,'Base Exámenes'!$C$5:$C$1000,'Base Exámenes'!C215),'Base Exámenes'!$I$5:$I$1000,0),'Base Exámenes'!G215*1000000+(-1)*'Base Exámenes'!D215,""))</f>
        <v>84953690.621412</v>
      </c>
      <c r="AQ215" t="str">
        <f>IF('Base Exámenes'!C215="","",IF(COUNTIF('Base Exámenes'!$C$5:$C$1000,'Base Exámenes'!C215)&lt;2,"",MATCH('Base Exámenes'!C215,'Base Exámenes'!$C$5:$C$1000,0)*10000+ROW()))</f>
        <v/>
      </c>
    </row>
    <row r="216">
      <c r="Z216">
        <f>IF('Detalle individual'!A216="","",IF(AND(OR('Estado por Colaborador'!$D$4="Todas las gerencias",'Detalle individual'!D216='Estado por Colaborador'!$D$4),OR('Estado por Colaborador'!$D$5="Todos los departamentos",TRIM('Detalle individual'!C216)='Estado por Colaborador'!$D$5),OR('Estado por Colaborador'!$D$6="Todos",'Detalle individual'!F216='Estado por Colaborador'!$D$6)),IF('Detalle individual'!F216="Completado",30000000,IF('Detalle individual'!F216="Pendiente",0,15000000))+COUNTIF('Detalle individual'!$C$5:$C$1000,"&lt;"&amp;'Detalle individual'!C216)*10000+ROW(),""))</f>
        <v>37310216</v>
      </c>
      <c r="AB216" t="str">
        <f>IF('Detalle individual'!C216="","",IF(COUNTIF('Detalle individual'!$C$5:C216,'Detalle individual'!C216)=1,COUNTIF('Detalle individual'!$C$5:$C$1000,"&lt;"&amp;'Detalle individual'!C216),""))</f>
        <v/>
      </c>
      <c r="AC216" t="str">
        <f>IF('Detalle individual'!D216="","",IF(COUNTIF('Detalle individual'!$D$5:D216,'Detalle individual'!D216)=1,COUNTIF('Detalle individual'!$D$5:$D$1000,"&lt;"&amp;'Detalle individual'!D216),""))</f>
        <v/>
      </c>
      <c r="AH216" t="str">
        <f>IF('Detalle individual'!F216="Pendiente",COUNTIF('Detalle individual'!$D$5:$D$1000,"&lt;"&amp;'Detalle individual'!D216)*1000000+COUNTIF('Detalle individual'!$C$5:$C$1000,"&lt;"&amp;'Detalle individual'!C216)*1000+COUNTIF('Detalle individual'!$B$5:$B$1000,"&lt;"&amp;'Detalle individual'!B216)+ROW()/10000,"")</f>
        <v/>
      </c>
      <c r="AI216">
        <f>IF('Detalle individual'!F216="Completado",COUNTIF('Detalle individual'!$D$5:$D$1000,"&lt;"&amp;'Detalle individual'!D216)*1000000+COUNTIF('Detalle individual'!$C$5:$C$1000,"&lt;"&amp;'Detalle individual'!C216)*1000+COUNTIF('Detalle individual'!$B$5:$B$1000,"&lt;"&amp;'Detalle individual'!B216)+ROW()/10000,"")</f>
        <v>764731823.0216</v>
      </c>
      <c r="AJ216" t="str">
        <f>IF(AND('Detalle individual'!F216&lt;&gt;"",'Detalle individual'!F216&lt;&gt;"Completado",'Detalle individual'!F216&lt;&gt;"Pendiente"),COUNTIF('Detalle individual'!$D$5:$D$1000,"&lt;"&amp;'Detalle individual'!D216)*1000000+COUNTIF('Detalle individual'!$C$5:$C$1000,"&lt;"&amp;'Detalle individual'!C216)*1000+COUNTIF('Detalle individual'!$B$5:$B$1000,"&lt;"&amp;'Detalle individual'!B216)+ROW()/10000,"")</f>
        <v/>
      </c>
      <c r="AK216">
        <f>IF(OR('Base Exámenes'!C216="",'Base Exámenes'!D216=""),"",IF(COUNTIF('Base Exámenes'!$C$5:C216,'Base Exámenes'!C216)=1,'Base Exámenes'!D216+ROW()/1000000000,""))</f>
        <v>46309.33659744213</v>
      </c>
      <c r="AL216">
        <f>IF(OR('Base Exámenes'!C216="",'Base Exámenes'!E216=""),"",IF(COUNTIF('Base Exámenes'!$C$5:C216,'Base Exámenes'!C216)=1,'Base Exámenes'!E216+ROW()/1000000000,""))</f>
        <v>46309.33927105324</v>
      </c>
      <c r="AM216">
        <f>IF(OR('Base Exámenes'!C216="",'Base Exámenes'!G216=""),"",IF(ROW()-4=MATCH('Base Exámenes'!C216&amp;"|"&amp;_xlfn.MAXIFS('Base Exámenes'!$G$5:$G$1000,'Base Exámenes'!$C$5:$C$1000,'Base Exámenes'!C216),'Base Exámenes'!$I$5:$I$1000,0),'Base Exámenes'!G216*1000000+(-1)*'Base Exámenes'!D216,""))</f>
        <v>99953690.6634028</v>
      </c>
      <c r="AQ216" t="str">
        <f>IF('Base Exámenes'!C216="","",IF(COUNTIF('Base Exámenes'!$C$5:$C$1000,'Base Exámenes'!C216)&lt;2,"",MATCH('Base Exámenes'!C216,'Base Exámenes'!$C$5:$C$1000,0)*10000+ROW()))</f>
        <v/>
      </c>
    </row>
    <row r="217">
      <c r="Z217">
        <f>IF('Detalle individual'!A217="","",IF(AND(OR('Estado por Colaborador'!$D$4="Todas las gerencias",'Detalle individual'!D217='Estado por Colaborador'!$D$4),OR('Estado por Colaborador'!$D$5="Todos los departamentos",TRIM('Detalle individual'!C217)='Estado por Colaborador'!$D$5),OR('Estado por Colaborador'!$D$6="Todos",'Detalle individual'!F217='Estado por Colaborador'!$D$6)),IF('Detalle individual'!F217="Completado",30000000,IF('Detalle individual'!F217="Pendiente",0,15000000))+COUNTIF('Detalle individual'!$C$5:$C$1000,"&lt;"&amp;'Detalle individual'!C217)*10000+ROW(),""))</f>
        <v>37310217</v>
      </c>
      <c r="AB217" t="str">
        <f>IF('Detalle individual'!C217="","",IF(COUNTIF('Detalle individual'!$C$5:C217,'Detalle individual'!C217)=1,COUNTIF('Detalle individual'!$C$5:$C$1000,"&lt;"&amp;'Detalle individual'!C217),""))</f>
        <v/>
      </c>
      <c r="AC217" t="str">
        <f>IF('Detalle individual'!D217="","",IF(COUNTIF('Detalle individual'!$D$5:D217,'Detalle individual'!D217)=1,COUNTIF('Detalle individual'!$D$5:$D$1000,"&lt;"&amp;'Detalle individual'!D217),""))</f>
        <v/>
      </c>
      <c r="AH217" t="str">
        <f>IF('Detalle individual'!F217="Pendiente",COUNTIF('Detalle individual'!$D$5:$D$1000,"&lt;"&amp;'Detalle individual'!D217)*1000000+COUNTIF('Detalle individual'!$C$5:$C$1000,"&lt;"&amp;'Detalle individual'!C217)*1000+COUNTIF('Detalle individual'!$B$5:$B$1000,"&lt;"&amp;'Detalle individual'!B217)+ROW()/10000,"")</f>
        <v/>
      </c>
      <c r="AI217">
        <f>IF('Detalle individual'!F217="Completado",COUNTIF('Detalle individual'!$D$5:$D$1000,"&lt;"&amp;'Detalle individual'!D217)*1000000+COUNTIF('Detalle individual'!$C$5:$C$1000,"&lt;"&amp;'Detalle individual'!C217)*1000+COUNTIF('Detalle individual'!$B$5:$B$1000,"&lt;"&amp;'Detalle individual'!B217)+ROW()/10000,"")</f>
        <v>764731877.0217</v>
      </c>
      <c r="AJ217" t="str">
        <f>IF(AND('Detalle individual'!F217&lt;&gt;"",'Detalle individual'!F217&lt;&gt;"Completado",'Detalle individual'!F217&lt;&gt;"Pendiente"),COUNTIF('Detalle individual'!$D$5:$D$1000,"&lt;"&amp;'Detalle individual'!D217)*1000000+COUNTIF('Detalle individual'!$C$5:$C$1000,"&lt;"&amp;'Detalle individual'!C217)*1000+COUNTIF('Detalle individual'!$B$5:$B$1000,"&lt;"&amp;'Detalle individual'!B217)+ROW()/10000,"")</f>
        <v/>
      </c>
      <c r="AK217">
        <f>IF(OR('Base Exámenes'!C217="",'Base Exámenes'!D217=""),"",IF(COUNTIF('Base Exámenes'!$C$5:C217,'Base Exámenes'!C217)=1,'Base Exámenes'!D217+ROW()/1000000000,""))</f>
        <v>46309.3497803125</v>
      </c>
      <c r="AL217">
        <f>IF(OR('Base Exámenes'!C217="",'Base Exámenes'!E217=""),"",IF(COUNTIF('Base Exámenes'!$C$5:C217,'Base Exámenes'!C217)=1,'Base Exámenes'!E217+ROW()/1000000000,""))</f>
        <v>46309.3541553125</v>
      </c>
      <c r="AM217">
        <f>IF(OR('Base Exámenes'!C217="",'Base Exámenes'!G217=""),"",IF(ROW()-4=MATCH('Base Exámenes'!C217&amp;"|"&amp;_xlfn.MAXIFS('Base Exámenes'!$G$5:$G$1000,'Base Exámenes'!$C$5:$C$1000,'Base Exámenes'!C217),'Base Exámenes'!$I$5:$I$1000,0),'Base Exámenes'!G217*1000000+(-1)*'Base Exámenes'!D217,""))</f>
        <v>69953690.6502199</v>
      </c>
      <c r="AQ217" t="str">
        <f>IF('Base Exámenes'!C217="","",IF(COUNTIF('Base Exámenes'!$C$5:$C$1000,'Base Exámenes'!C217)&lt;2,"",MATCH('Base Exámenes'!C217,'Base Exámenes'!$C$5:$C$1000,0)*10000+ROW()))</f>
        <v/>
      </c>
    </row>
    <row r="218">
      <c r="Z218">
        <f>IF('Detalle individual'!A218="","",IF(AND(OR('Estado por Colaborador'!$D$4="Todas las gerencias",'Detalle individual'!D218='Estado por Colaborador'!$D$4),OR('Estado por Colaborador'!$D$5="Todos los departamentos",TRIM('Detalle individual'!C218)='Estado por Colaborador'!$D$5),OR('Estado por Colaborador'!$D$6="Todos",'Detalle individual'!F218='Estado por Colaborador'!$D$6)),IF('Detalle individual'!F218="Completado",30000000,IF('Detalle individual'!F218="Pendiente",0,15000000))+COUNTIF('Detalle individual'!$C$5:$C$1000,"&lt;"&amp;'Detalle individual'!C218)*10000+ROW(),""))</f>
        <v>37310218</v>
      </c>
      <c r="AB218" t="str">
        <f>IF('Detalle individual'!C218="","",IF(COUNTIF('Detalle individual'!$C$5:C218,'Detalle individual'!C218)=1,COUNTIF('Detalle individual'!$C$5:$C$1000,"&lt;"&amp;'Detalle individual'!C218),""))</f>
        <v/>
      </c>
      <c r="AC218" t="str">
        <f>IF('Detalle individual'!D218="","",IF(COUNTIF('Detalle individual'!$D$5:D218,'Detalle individual'!D218)=1,COUNTIF('Detalle individual'!$D$5:$D$1000,"&lt;"&amp;'Detalle individual'!D218),""))</f>
        <v/>
      </c>
      <c r="AH218" t="str">
        <f>IF('Detalle individual'!F218="Pendiente",COUNTIF('Detalle individual'!$D$5:$D$1000,"&lt;"&amp;'Detalle individual'!D218)*1000000+COUNTIF('Detalle individual'!$C$5:$C$1000,"&lt;"&amp;'Detalle individual'!C218)*1000+COUNTIF('Detalle individual'!$B$5:$B$1000,"&lt;"&amp;'Detalle individual'!B218)+ROW()/10000,"")</f>
        <v/>
      </c>
      <c r="AI218">
        <f>IF('Detalle individual'!F218="Completado",COUNTIF('Detalle individual'!$D$5:$D$1000,"&lt;"&amp;'Detalle individual'!D218)*1000000+COUNTIF('Detalle individual'!$C$5:$C$1000,"&lt;"&amp;'Detalle individual'!C218)*1000+COUNTIF('Detalle individual'!$B$5:$B$1000,"&lt;"&amp;'Detalle individual'!B218)+ROW()/10000,"")</f>
        <v>764731982.0218</v>
      </c>
      <c r="AJ218" t="str">
        <f>IF(AND('Detalle individual'!F218&lt;&gt;"",'Detalle individual'!F218&lt;&gt;"Completado",'Detalle individual'!F218&lt;&gt;"Pendiente"),COUNTIF('Detalle individual'!$D$5:$D$1000,"&lt;"&amp;'Detalle individual'!D218)*1000000+COUNTIF('Detalle individual'!$C$5:$C$1000,"&lt;"&amp;'Detalle individual'!C218)*1000+COUNTIF('Detalle individual'!$B$5:$B$1000,"&lt;"&amp;'Detalle individual'!B218)+ROW()/10000,"")</f>
        <v/>
      </c>
      <c r="AK218">
        <f>IF(OR('Base Exámenes'!C218="",'Base Exámenes'!D218=""),"",IF(COUNTIF('Base Exámenes'!$C$5:C218,'Base Exámenes'!C218)=1,'Base Exámenes'!D218+ROW()/1000000000,""))</f>
        <v>46309.36197938657</v>
      </c>
      <c r="AL218">
        <f>IF(OR('Base Exámenes'!C218="",'Base Exámenes'!E218=""),"",IF(COUNTIF('Base Exámenes'!$C$5:C218,'Base Exámenes'!C218)=1,'Base Exámenes'!E218+ROW()/1000000000,""))</f>
        <v>46309.36565994213</v>
      </c>
      <c r="AM218">
        <f>IF(OR('Base Exámenes'!C218="",'Base Exámenes'!G218=""),"",IF(ROW()-4=MATCH('Base Exámenes'!C218&amp;"|"&amp;_xlfn.MAXIFS('Base Exámenes'!$G$5:$G$1000,'Base Exámenes'!$C$5:$C$1000,'Base Exámenes'!C218),'Base Exámenes'!$I$5:$I$1000,0),'Base Exámenes'!G218*1000000+(-1)*'Base Exámenes'!D218,""))</f>
        <v>99953690.6380208</v>
      </c>
      <c r="AQ218" t="str">
        <f>IF('Base Exámenes'!C218="","",IF(COUNTIF('Base Exámenes'!$C$5:$C$1000,'Base Exámenes'!C218)&lt;2,"",MATCH('Base Exámenes'!C218,'Base Exámenes'!$C$5:$C$1000,0)*10000+ROW()))</f>
        <v/>
      </c>
    </row>
    <row r="219">
      <c r="Z219">
        <f>IF('Detalle individual'!A219="","",IF(AND(OR('Estado por Colaborador'!$D$4="Todas las gerencias",'Detalle individual'!D219='Estado por Colaborador'!$D$4),OR('Estado por Colaborador'!$D$5="Todos los departamentos",TRIM('Detalle individual'!C219)='Estado por Colaborador'!$D$5),OR('Estado por Colaborador'!$D$6="Todos",'Detalle individual'!F219='Estado por Colaborador'!$D$6)),IF('Detalle individual'!F219="Completado",30000000,IF('Detalle individual'!F219="Pendiente",0,15000000))+COUNTIF('Detalle individual'!$C$5:$C$1000,"&lt;"&amp;'Detalle individual'!C219)*10000+ROW(),""))</f>
        <v>37310219</v>
      </c>
      <c r="AB219" t="str">
        <f>IF('Detalle individual'!C219="","",IF(COUNTIF('Detalle individual'!$C$5:C219,'Detalle individual'!C219)=1,COUNTIF('Detalle individual'!$C$5:$C$1000,"&lt;"&amp;'Detalle individual'!C219),""))</f>
        <v/>
      </c>
      <c r="AC219" t="str">
        <f>IF('Detalle individual'!D219="","",IF(COUNTIF('Detalle individual'!$D$5:D219,'Detalle individual'!D219)=1,COUNTIF('Detalle individual'!$D$5:$D$1000,"&lt;"&amp;'Detalle individual'!D219),""))</f>
        <v/>
      </c>
      <c r="AH219" t="str">
        <f>IF('Detalle individual'!F219="Pendiente",COUNTIF('Detalle individual'!$D$5:$D$1000,"&lt;"&amp;'Detalle individual'!D219)*1000000+COUNTIF('Detalle individual'!$C$5:$C$1000,"&lt;"&amp;'Detalle individual'!C219)*1000+COUNTIF('Detalle individual'!$B$5:$B$1000,"&lt;"&amp;'Detalle individual'!B219)+ROW()/10000,"")</f>
        <v/>
      </c>
      <c r="AI219">
        <f>IF('Detalle individual'!F219="Completado",COUNTIF('Detalle individual'!$D$5:$D$1000,"&lt;"&amp;'Detalle individual'!D219)*1000000+COUNTIF('Detalle individual'!$C$5:$C$1000,"&lt;"&amp;'Detalle individual'!C219)*1000+COUNTIF('Detalle individual'!$B$5:$B$1000,"&lt;"&amp;'Detalle individual'!B219)+ROW()/10000,"")</f>
        <v>764731825.0219</v>
      </c>
      <c r="AJ219" t="str">
        <f>IF(AND('Detalle individual'!F219&lt;&gt;"",'Detalle individual'!F219&lt;&gt;"Completado",'Detalle individual'!F219&lt;&gt;"Pendiente"),COUNTIF('Detalle individual'!$D$5:$D$1000,"&lt;"&amp;'Detalle individual'!D219)*1000000+COUNTIF('Detalle individual'!$C$5:$C$1000,"&lt;"&amp;'Detalle individual'!C219)*1000+COUNTIF('Detalle individual'!$B$5:$B$1000,"&lt;"&amp;'Detalle individual'!B219)+ROW()/10000,"")</f>
        <v/>
      </c>
      <c r="AK219">
        <f>IF(OR('Base Exámenes'!C219="",'Base Exámenes'!D219=""),"",IF(COUNTIF('Base Exámenes'!$C$5:C219,'Base Exámenes'!C219)=1,'Base Exámenes'!D219+ROW()/1000000000,""))</f>
        <v>46309.359456238424</v>
      </c>
      <c r="AL219">
        <f>IF(OR('Base Exámenes'!C219="",'Base Exámenes'!E219=""),"",IF(COUNTIF('Base Exámenes'!$C$5:C219,'Base Exámenes'!C219)=1,'Base Exámenes'!E219+ROW()/1000000000,""))</f>
        <v>46309.366736331016</v>
      </c>
      <c r="AM219">
        <f>IF(OR('Base Exámenes'!C219="",'Base Exámenes'!G219=""),"",IF(ROW()-4=MATCH('Base Exámenes'!C219&amp;"|"&amp;_xlfn.MAXIFS('Base Exámenes'!$G$5:$G$1000,'Base Exámenes'!$C$5:$C$1000,'Base Exámenes'!C219),'Base Exámenes'!$I$5:$I$1000,0),'Base Exámenes'!G219*1000000+(-1)*'Base Exámenes'!D219,""))</f>
        <v>99953690.640544</v>
      </c>
      <c r="AQ219" t="str">
        <f>IF('Base Exámenes'!C219="","",IF(COUNTIF('Base Exámenes'!$C$5:$C$1000,'Base Exámenes'!C219)&lt;2,"",MATCH('Base Exámenes'!C219,'Base Exámenes'!$C$5:$C$1000,0)*10000+ROW()))</f>
        <v/>
      </c>
    </row>
    <row r="220">
      <c r="Z220">
        <f>IF('Detalle individual'!A220="","",IF(AND(OR('Estado por Colaborador'!$D$4="Todas las gerencias",'Detalle individual'!D220='Estado por Colaborador'!$D$4),OR('Estado por Colaborador'!$D$5="Todos los departamentos",TRIM('Detalle individual'!C220)='Estado por Colaborador'!$D$5),OR('Estado por Colaborador'!$D$6="Todos",'Detalle individual'!F220='Estado por Colaborador'!$D$6)),IF('Detalle individual'!F220="Completado",30000000,IF('Detalle individual'!F220="Pendiente",0,15000000))+COUNTIF('Detalle individual'!$C$5:$C$1000,"&lt;"&amp;'Detalle individual'!C220)*10000+ROW(),""))</f>
        <v>37310220</v>
      </c>
      <c r="AB220" t="str">
        <f>IF('Detalle individual'!C220="","",IF(COUNTIF('Detalle individual'!$C$5:C220,'Detalle individual'!C220)=1,COUNTIF('Detalle individual'!$C$5:$C$1000,"&lt;"&amp;'Detalle individual'!C220),""))</f>
        <v/>
      </c>
      <c r="AC220" t="str">
        <f>IF('Detalle individual'!D220="","",IF(COUNTIF('Detalle individual'!$D$5:D220,'Detalle individual'!D220)=1,COUNTIF('Detalle individual'!$D$5:$D$1000,"&lt;"&amp;'Detalle individual'!D220),""))</f>
        <v/>
      </c>
      <c r="AH220" t="str">
        <f>IF('Detalle individual'!F220="Pendiente",COUNTIF('Detalle individual'!$D$5:$D$1000,"&lt;"&amp;'Detalle individual'!D220)*1000000+COUNTIF('Detalle individual'!$C$5:$C$1000,"&lt;"&amp;'Detalle individual'!C220)*1000+COUNTIF('Detalle individual'!$B$5:$B$1000,"&lt;"&amp;'Detalle individual'!B220)+ROW()/10000,"")</f>
        <v/>
      </c>
      <c r="AI220">
        <f>IF('Detalle individual'!F220="Completado",COUNTIF('Detalle individual'!$D$5:$D$1000,"&lt;"&amp;'Detalle individual'!D220)*1000000+COUNTIF('Detalle individual'!$C$5:$C$1000,"&lt;"&amp;'Detalle individual'!C220)*1000+COUNTIF('Detalle individual'!$B$5:$B$1000,"&lt;"&amp;'Detalle individual'!B220)+ROW()/10000,"")</f>
        <v>764731792.022</v>
      </c>
      <c r="AJ220" t="str">
        <f>IF(AND('Detalle individual'!F220&lt;&gt;"",'Detalle individual'!F220&lt;&gt;"Completado",'Detalle individual'!F220&lt;&gt;"Pendiente"),COUNTIF('Detalle individual'!$D$5:$D$1000,"&lt;"&amp;'Detalle individual'!D220)*1000000+COUNTIF('Detalle individual'!$C$5:$C$1000,"&lt;"&amp;'Detalle individual'!C220)*1000+COUNTIF('Detalle individual'!$B$5:$B$1000,"&lt;"&amp;'Detalle individual'!B220)+ROW()/10000,"")</f>
        <v/>
      </c>
      <c r="AK220">
        <f>IF(OR('Base Exámenes'!C220="",'Base Exámenes'!D220=""),"",IF(COUNTIF('Base Exámenes'!$C$5:C220,'Base Exámenes'!C220)=1,'Base Exámenes'!D220+ROW()/1000000000,""))</f>
        <v>46309.37417846065</v>
      </c>
      <c r="AL220">
        <f>IF(OR('Base Exámenes'!C220="",'Base Exámenes'!E220=""),"",IF(COUNTIF('Base Exámenes'!$C$5:C220,'Base Exámenes'!C220)=1,'Base Exámenes'!E220+ROW()/1000000000,""))</f>
        <v>46309.37625021991</v>
      </c>
      <c r="AM220">
        <f>IF(OR('Base Exámenes'!C220="",'Base Exámenes'!G220=""),"",IF(ROW()-4=MATCH('Base Exámenes'!C220&amp;"|"&amp;_xlfn.MAXIFS('Base Exámenes'!$G$5:$G$1000,'Base Exámenes'!$C$5:$C$1000,'Base Exámenes'!C220),'Base Exámenes'!$I$5:$I$1000,0),'Base Exámenes'!G220*1000000+(-1)*'Base Exámenes'!D220,""))</f>
        <v>99953690.6258218</v>
      </c>
      <c r="AQ220" t="str">
        <f>IF('Base Exámenes'!C220="","",IF(COUNTIF('Base Exámenes'!$C$5:$C$1000,'Base Exámenes'!C220)&lt;2,"",MATCH('Base Exámenes'!C220,'Base Exámenes'!$C$5:$C$1000,0)*10000+ROW()))</f>
        <v/>
      </c>
    </row>
    <row r="221">
      <c r="Z221">
        <f>IF('Detalle individual'!A221="","",IF(AND(OR('Estado por Colaborador'!$D$4="Todas las gerencias",'Detalle individual'!D221='Estado por Colaborador'!$D$4),OR('Estado por Colaborador'!$D$5="Todos los departamentos",TRIM('Detalle individual'!C221)='Estado por Colaborador'!$D$5),OR('Estado por Colaborador'!$D$6="Todos",'Detalle individual'!F221='Estado por Colaborador'!$D$6)),IF('Detalle individual'!F221="Completado",30000000,IF('Detalle individual'!F221="Pendiente",0,15000000))+COUNTIF('Detalle individual'!$C$5:$C$1000,"&lt;"&amp;'Detalle individual'!C221)*10000+ROW(),""))</f>
        <v>37800221</v>
      </c>
      <c r="AB221">
        <f>IF('Detalle individual'!C221="","",IF(COUNTIF('Detalle individual'!$C$5:C221,'Detalle individual'!C221)=1,COUNTIF('Detalle individual'!$C$5:$C$1000,"&lt;"&amp;'Detalle individual'!C221),""))</f>
        <v>780</v>
      </c>
      <c r="AC221" t="str">
        <f>IF('Detalle individual'!D221="","",IF(COUNTIF('Detalle individual'!$D$5:D221,'Detalle individual'!D221)=1,COUNTIF('Detalle individual'!$D$5:$D$1000,"&lt;"&amp;'Detalle individual'!D221),""))</f>
        <v/>
      </c>
      <c r="AH221" t="str">
        <f>IF('Detalle individual'!F221="Pendiente",COUNTIF('Detalle individual'!$D$5:$D$1000,"&lt;"&amp;'Detalle individual'!D221)*1000000+COUNTIF('Detalle individual'!$C$5:$C$1000,"&lt;"&amp;'Detalle individual'!C221)*1000+COUNTIF('Detalle individual'!$B$5:$B$1000,"&lt;"&amp;'Detalle individual'!B221)+ROW()/10000,"")</f>
        <v/>
      </c>
      <c r="AI221">
        <f>IF('Detalle individual'!F221="Completado",COUNTIF('Detalle individual'!$D$5:$D$1000,"&lt;"&amp;'Detalle individual'!D221)*1000000+COUNTIF('Detalle individual'!$C$5:$C$1000,"&lt;"&amp;'Detalle individual'!C221)*1000+COUNTIF('Detalle individual'!$B$5:$B$1000,"&lt;"&amp;'Detalle individual'!B221)+ROW()/10000,"")</f>
        <v>764780974.0221</v>
      </c>
      <c r="AJ221" t="str">
        <f>IF(AND('Detalle individual'!F221&lt;&gt;"",'Detalle individual'!F221&lt;&gt;"Completado",'Detalle individual'!F221&lt;&gt;"Pendiente"),COUNTIF('Detalle individual'!$D$5:$D$1000,"&lt;"&amp;'Detalle individual'!D221)*1000000+COUNTIF('Detalle individual'!$C$5:$C$1000,"&lt;"&amp;'Detalle individual'!C221)*1000+COUNTIF('Detalle individual'!$B$5:$B$1000,"&lt;"&amp;'Detalle individual'!B221)+ROW()/10000,"")</f>
        <v/>
      </c>
      <c r="AK221">
        <f>IF(OR('Base Exámenes'!C221="",'Base Exámenes'!D221=""),"",IF(COUNTIF('Base Exámenes'!$C$5:C221,'Base Exámenes'!C221)=1,'Base Exámenes'!D221+ROW()/1000000000,""))</f>
        <v>46309.37976873843</v>
      </c>
      <c r="AL221">
        <f>IF(OR('Base Exámenes'!C221="",'Base Exámenes'!E221=""),"",IF(COUNTIF('Base Exámenes'!$C$5:C221,'Base Exámenes'!C221)=1,'Base Exámenes'!E221+ROW()/1000000000,""))</f>
        <v>46309.38234975695</v>
      </c>
      <c r="AM221">
        <f>IF(OR('Base Exámenes'!C221="",'Base Exámenes'!G221=""),"",IF(ROW()-4=MATCH('Base Exámenes'!C221&amp;"|"&amp;_xlfn.MAXIFS('Base Exámenes'!$G$5:$G$1000,'Base Exámenes'!$C$5:$C$1000,'Base Exámenes'!C221),'Base Exámenes'!$I$5:$I$1000,0),'Base Exámenes'!G221*1000000+(-1)*'Base Exámenes'!D221,""))</f>
        <v>89953690.6202315</v>
      </c>
      <c r="AQ221" t="str">
        <f>IF('Base Exámenes'!C221="","",IF(COUNTIF('Base Exámenes'!$C$5:$C$1000,'Base Exámenes'!C221)&lt;2,"",MATCH('Base Exámenes'!C221,'Base Exámenes'!$C$5:$C$1000,0)*10000+ROW()))</f>
        <v/>
      </c>
    </row>
    <row r="222">
      <c r="Z222">
        <f>IF('Detalle individual'!A222="","",IF(AND(OR('Estado por Colaborador'!$D$4="Todas las gerencias",'Detalle individual'!D222='Estado por Colaborador'!$D$4),OR('Estado por Colaborador'!$D$5="Todos los departamentos",TRIM('Detalle individual'!C222)='Estado por Colaborador'!$D$5),OR('Estado por Colaborador'!$D$6="Todos",'Detalle individual'!F222='Estado por Colaborador'!$D$6)),IF('Detalle individual'!F222="Completado",30000000,IF('Detalle individual'!F222="Pendiente",0,15000000))+COUNTIF('Detalle individual'!$C$5:$C$1000,"&lt;"&amp;'Detalle individual'!C222)*10000+ROW(),""))</f>
        <v>37800222</v>
      </c>
      <c r="AB222" t="str">
        <f>IF('Detalle individual'!C222="","",IF(COUNTIF('Detalle individual'!$C$5:C222,'Detalle individual'!C222)=1,COUNTIF('Detalle individual'!$C$5:$C$1000,"&lt;"&amp;'Detalle individual'!C222),""))</f>
        <v/>
      </c>
      <c r="AC222" t="str">
        <f>IF('Detalle individual'!D222="","",IF(COUNTIF('Detalle individual'!$D$5:D222,'Detalle individual'!D222)=1,COUNTIF('Detalle individual'!$D$5:$D$1000,"&lt;"&amp;'Detalle individual'!D222),""))</f>
        <v/>
      </c>
      <c r="AH222" t="str">
        <f>IF('Detalle individual'!F222="Pendiente",COUNTIF('Detalle individual'!$D$5:$D$1000,"&lt;"&amp;'Detalle individual'!D222)*1000000+COUNTIF('Detalle individual'!$C$5:$C$1000,"&lt;"&amp;'Detalle individual'!C222)*1000+COUNTIF('Detalle individual'!$B$5:$B$1000,"&lt;"&amp;'Detalle individual'!B222)+ROW()/10000,"")</f>
        <v/>
      </c>
      <c r="AI222">
        <f>IF('Detalle individual'!F222="Completado",COUNTIF('Detalle individual'!$D$5:$D$1000,"&lt;"&amp;'Detalle individual'!D222)*1000000+COUNTIF('Detalle individual'!$C$5:$C$1000,"&lt;"&amp;'Detalle individual'!C222)*1000+COUNTIF('Detalle individual'!$B$5:$B$1000,"&lt;"&amp;'Detalle individual'!B222)+ROW()/10000,"")</f>
        <v>764780854.0222</v>
      </c>
      <c r="AJ222" t="str">
        <f>IF(AND('Detalle individual'!F222&lt;&gt;"",'Detalle individual'!F222&lt;&gt;"Completado",'Detalle individual'!F222&lt;&gt;"Pendiente"),COUNTIF('Detalle individual'!$D$5:$D$1000,"&lt;"&amp;'Detalle individual'!D222)*1000000+COUNTIF('Detalle individual'!$C$5:$C$1000,"&lt;"&amp;'Detalle individual'!C222)*1000+COUNTIF('Detalle individual'!$B$5:$B$1000,"&lt;"&amp;'Detalle individual'!B222)+ROW()/10000,"")</f>
        <v/>
      </c>
      <c r="AK222">
        <f>IF(OR('Base Exámenes'!C222="",'Base Exámenes'!D222=""),"",IF(COUNTIF('Base Exámenes'!$C$5:C222,'Base Exámenes'!C222)=1,'Base Exámenes'!D222+ROW()/1000000000,""))</f>
        <v>46309.37678262732</v>
      </c>
      <c r="AL222">
        <f>IF(OR('Base Exámenes'!C222="",'Base Exámenes'!E222=""),"",IF(COUNTIF('Base Exámenes'!$C$5:C222,'Base Exámenes'!C222)=1,'Base Exámenes'!E222+ROW()/1000000000,""))</f>
        <v>46309.3825465162</v>
      </c>
      <c r="AM222">
        <f>IF(OR('Base Exámenes'!C222="",'Base Exámenes'!G222=""),"",IF(ROW()-4=MATCH('Base Exámenes'!C222&amp;"|"&amp;_xlfn.MAXIFS('Base Exámenes'!$G$5:$G$1000,'Base Exámenes'!$C$5:$C$1000,'Base Exámenes'!C222),'Base Exámenes'!$I$5:$I$1000,0),'Base Exámenes'!G222*1000000+(-1)*'Base Exámenes'!D222,""))</f>
        <v>99953690.6232176</v>
      </c>
      <c r="AQ222" t="str">
        <f>IF('Base Exámenes'!C222="","",IF(COUNTIF('Base Exámenes'!$C$5:$C$1000,'Base Exámenes'!C222)&lt;2,"",MATCH('Base Exámenes'!C222,'Base Exámenes'!$C$5:$C$1000,0)*10000+ROW()))</f>
        <v/>
      </c>
    </row>
    <row r="223">
      <c r="Z223">
        <f>IF('Detalle individual'!A223="","",IF(AND(OR('Estado por Colaborador'!$D$4="Todas las gerencias",'Detalle individual'!D223='Estado por Colaborador'!$D$4),OR('Estado por Colaborador'!$D$5="Todos los departamentos",TRIM('Detalle individual'!C223)='Estado por Colaborador'!$D$5),OR('Estado por Colaborador'!$D$6="Todos",'Detalle individual'!F223='Estado por Colaborador'!$D$6)),IF('Detalle individual'!F223="Completado",30000000,IF('Detalle individual'!F223="Pendiente",0,15000000))+COUNTIF('Detalle individual'!$C$5:$C$1000,"&lt;"&amp;'Detalle individual'!C223)*10000+ROW(),""))</f>
        <v>37800223</v>
      </c>
      <c r="AB223" t="str">
        <f>IF('Detalle individual'!C223="","",IF(COUNTIF('Detalle individual'!$C$5:C223,'Detalle individual'!C223)=1,COUNTIF('Detalle individual'!$C$5:$C$1000,"&lt;"&amp;'Detalle individual'!C223),""))</f>
        <v/>
      </c>
      <c r="AC223" t="str">
        <f>IF('Detalle individual'!D223="","",IF(COUNTIF('Detalle individual'!$D$5:D223,'Detalle individual'!D223)=1,COUNTIF('Detalle individual'!$D$5:$D$1000,"&lt;"&amp;'Detalle individual'!D223),""))</f>
        <v/>
      </c>
      <c r="AH223" t="str">
        <f>IF('Detalle individual'!F223="Pendiente",COUNTIF('Detalle individual'!$D$5:$D$1000,"&lt;"&amp;'Detalle individual'!D223)*1000000+COUNTIF('Detalle individual'!$C$5:$C$1000,"&lt;"&amp;'Detalle individual'!C223)*1000+COUNTIF('Detalle individual'!$B$5:$B$1000,"&lt;"&amp;'Detalle individual'!B223)+ROW()/10000,"")</f>
        <v/>
      </c>
      <c r="AI223">
        <f>IF('Detalle individual'!F223="Completado",COUNTIF('Detalle individual'!$D$5:$D$1000,"&lt;"&amp;'Detalle individual'!D223)*1000000+COUNTIF('Detalle individual'!$C$5:$C$1000,"&lt;"&amp;'Detalle individual'!C223)*1000+COUNTIF('Detalle individual'!$B$5:$B$1000,"&lt;"&amp;'Detalle individual'!B223)+ROW()/10000,"")</f>
        <v>764780920.0223</v>
      </c>
      <c r="AJ223" t="str">
        <f>IF(AND('Detalle individual'!F223&lt;&gt;"",'Detalle individual'!F223&lt;&gt;"Completado",'Detalle individual'!F223&lt;&gt;"Pendiente"),COUNTIF('Detalle individual'!$D$5:$D$1000,"&lt;"&amp;'Detalle individual'!D223)*1000000+COUNTIF('Detalle individual'!$C$5:$C$1000,"&lt;"&amp;'Detalle individual'!C223)*1000+COUNTIF('Detalle individual'!$B$5:$B$1000,"&lt;"&amp;'Detalle individual'!B223)+ROW()/10000,"")</f>
        <v/>
      </c>
      <c r="AK223">
        <f>IF(OR('Base Exámenes'!C223="",'Base Exámenes'!D223=""),"",IF(COUNTIF('Base Exámenes'!$C$5:C223,'Base Exámenes'!C223)=1,'Base Exámenes'!D223+ROW()/1000000000,""))</f>
        <v>46309.38187521991</v>
      </c>
      <c r="AL223">
        <f>IF(OR('Base Exámenes'!C223="",'Base Exámenes'!E223=""),"",IF(COUNTIF('Base Exámenes'!$C$5:C223,'Base Exámenes'!C223)=1,'Base Exámenes'!E223+ROW()/1000000000,""))</f>
        <v>46309.38695623843</v>
      </c>
      <c r="AM223">
        <f>IF(OR('Base Exámenes'!C223="",'Base Exámenes'!G223=""),"",IF(ROW()-4=MATCH('Base Exámenes'!C223&amp;"|"&amp;_xlfn.MAXIFS('Base Exámenes'!$G$5:$G$1000,'Base Exámenes'!$C$5:$C$1000,'Base Exámenes'!C223),'Base Exámenes'!$I$5:$I$1000,0),'Base Exámenes'!G223*1000000+(-1)*'Base Exámenes'!D223,""))</f>
        <v>99953690.618125</v>
      </c>
      <c r="AQ223" t="str">
        <f>IF('Base Exámenes'!C223="","",IF(COUNTIF('Base Exámenes'!$C$5:$C$1000,'Base Exámenes'!C223)&lt;2,"",MATCH('Base Exámenes'!C223,'Base Exámenes'!$C$5:$C$1000,0)*10000+ROW()))</f>
        <v/>
      </c>
    </row>
    <row r="224">
      <c r="Z224">
        <f>IF('Detalle individual'!A224="","",IF(AND(OR('Estado por Colaborador'!$D$4="Todas las gerencias",'Detalle individual'!D224='Estado por Colaborador'!$D$4),OR('Estado por Colaborador'!$D$5="Todos los departamentos",TRIM('Detalle individual'!C224)='Estado por Colaborador'!$D$5),OR('Estado por Colaborador'!$D$6="Todos",'Detalle individual'!F224='Estado por Colaborador'!$D$6)),IF('Detalle individual'!F224="Completado",30000000,IF('Detalle individual'!F224="Pendiente",0,15000000))+COUNTIF('Detalle individual'!$C$5:$C$1000,"&lt;"&amp;'Detalle individual'!C224)*10000+ROW(),""))</f>
        <v>37800224</v>
      </c>
      <c r="AB224" t="str">
        <f>IF('Detalle individual'!C224="","",IF(COUNTIF('Detalle individual'!$C$5:C224,'Detalle individual'!C224)=1,COUNTIF('Detalle individual'!$C$5:$C$1000,"&lt;"&amp;'Detalle individual'!C224),""))</f>
        <v/>
      </c>
      <c r="AC224" t="str">
        <f>IF('Detalle individual'!D224="","",IF(COUNTIF('Detalle individual'!$D$5:D224,'Detalle individual'!D224)=1,COUNTIF('Detalle individual'!$D$5:$D$1000,"&lt;"&amp;'Detalle individual'!D224),""))</f>
        <v/>
      </c>
      <c r="AH224" t="str">
        <f>IF('Detalle individual'!F224="Pendiente",COUNTIF('Detalle individual'!$D$5:$D$1000,"&lt;"&amp;'Detalle individual'!D224)*1000000+COUNTIF('Detalle individual'!$C$5:$C$1000,"&lt;"&amp;'Detalle individual'!C224)*1000+COUNTIF('Detalle individual'!$B$5:$B$1000,"&lt;"&amp;'Detalle individual'!B224)+ROW()/10000,"")</f>
        <v/>
      </c>
      <c r="AI224">
        <f>IF('Detalle individual'!F224="Completado",COUNTIF('Detalle individual'!$D$5:$D$1000,"&lt;"&amp;'Detalle individual'!D224)*1000000+COUNTIF('Detalle individual'!$C$5:$C$1000,"&lt;"&amp;'Detalle individual'!C224)*1000+COUNTIF('Detalle individual'!$B$5:$B$1000,"&lt;"&amp;'Detalle individual'!B224)+ROW()/10000,"")</f>
        <v>764780879.0224</v>
      </c>
      <c r="AJ224" t="str">
        <f>IF(AND('Detalle individual'!F224&lt;&gt;"",'Detalle individual'!F224&lt;&gt;"Completado",'Detalle individual'!F224&lt;&gt;"Pendiente"),COUNTIF('Detalle individual'!$D$5:$D$1000,"&lt;"&amp;'Detalle individual'!D224)*1000000+COUNTIF('Detalle individual'!$C$5:$C$1000,"&lt;"&amp;'Detalle individual'!C224)*1000+COUNTIF('Detalle individual'!$B$5:$B$1000,"&lt;"&amp;'Detalle individual'!B224)+ROW()/10000,"")</f>
        <v/>
      </c>
      <c r="AK224" t="str">
        <f>IF(OR('Base Exámenes'!C224="",'Base Exámenes'!D224=""),"",IF(COUNTIF('Base Exámenes'!$C$5:C224,'Base Exámenes'!C224)=1,'Base Exámenes'!D224+ROW()/1000000000,""))</f>
        <v/>
      </c>
      <c r="AL224" t="str">
        <f>IF(OR('Base Exámenes'!C224="",'Base Exámenes'!E224=""),"",IF(COUNTIF('Base Exámenes'!$C$5:C224,'Base Exámenes'!C224)=1,'Base Exámenes'!E224+ROW()/1000000000,""))</f>
        <v/>
      </c>
      <c r="AM224" t="str">
        <f>IF(OR('Base Exámenes'!C224="",'Base Exámenes'!G224=""),"",IF(ROW()-4=MATCH('Base Exámenes'!C224&amp;"|"&amp;_xlfn.MAXIFS('Base Exámenes'!$G$5:$G$1000,'Base Exámenes'!$C$5:$C$1000,'Base Exámenes'!C224),'Base Exámenes'!$I$5:$I$1000,0),'Base Exámenes'!G224*1000000+(-1)*'Base Exámenes'!D224,""))</f>
        <v/>
      </c>
      <c r="AQ224">
        <f>IF('Base Exámenes'!C224="","",IF(COUNTIF('Base Exámenes'!$C$5:$C$1000,'Base Exámenes'!C224)&lt;2,"",MATCH('Base Exámenes'!C224,'Base Exámenes'!$C$5:$C$1000,0)*10000+ROW()))</f>
        <v>20224</v>
      </c>
    </row>
    <row r="225">
      <c r="Z225">
        <f>IF('Detalle individual'!A225="","",IF(AND(OR('Estado por Colaborador'!$D$4="Todas las gerencias",'Detalle individual'!D225='Estado por Colaborador'!$D$4),OR('Estado por Colaborador'!$D$5="Todos los departamentos",TRIM('Detalle individual'!C225)='Estado por Colaborador'!$D$5),OR('Estado por Colaborador'!$D$6="Todos",'Detalle individual'!F225='Estado por Colaborador'!$D$6)),IF('Detalle individual'!F225="Completado",30000000,IF('Detalle individual'!F225="Pendiente",0,15000000))+COUNTIF('Detalle individual'!$C$5:$C$1000,"&lt;"&amp;'Detalle individual'!C225)*10000+ROW(),""))</f>
        <v>37800225</v>
      </c>
      <c r="AB225" t="str">
        <f>IF('Detalle individual'!C225="","",IF(COUNTIF('Detalle individual'!$C$5:C225,'Detalle individual'!C225)=1,COUNTIF('Detalle individual'!$C$5:$C$1000,"&lt;"&amp;'Detalle individual'!C225),""))</f>
        <v/>
      </c>
      <c r="AC225" t="str">
        <f>IF('Detalle individual'!D225="","",IF(COUNTIF('Detalle individual'!$D$5:D225,'Detalle individual'!D225)=1,COUNTIF('Detalle individual'!$D$5:$D$1000,"&lt;"&amp;'Detalle individual'!D225),""))</f>
        <v/>
      </c>
      <c r="AH225" t="str">
        <f>IF('Detalle individual'!F225="Pendiente",COUNTIF('Detalle individual'!$D$5:$D$1000,"&lt;"&amp;'Detalle individual'!D225)*1000000+COUNTIF('Detalle individual'!$C$5:$C$1000,"&lt;"&amp;'Detalle individual'!C225)*1000+COUNTIF('Detalle individual'!$B$5:$B$1000,"&lt;"&amp;'Detalle individual'!B225)+ROW()/10000,"")</f>
        <v/>
      </c>
      <c r="AI225">
        <f>IF('Detalle individual'!F225="Completado",COUNTIF('Detalle individual'!$D$5:$D$1000,"&lt;"&amp;'Detalle individual'!D225)*1000000+COUNTIF('Detalle individual'!$C$5:$C$1000,"&lt;"&amp;'Detalle individual'!C225)*1000+COUNTIF('Detalle individual'!$B$5:$B$1000,"&lt;"&amp;'Detalle individual'!B225)+ROW()/10000,"")</f>
        <v>764780766.0225</v>
      </c>
      <c r="AJ225" t="str">
        <f>IF(AND('Detalle individual'!F225&lt;&gt;"",'Detalle individual'!F225&lt;&gt;"Completado",'Detalle individual'!F225&lt;&gt;"Pendiente"),COUNTIF('Detalle individual'!$D$5:$D$1000,"&lt;"&amp;'Detalle individual'!D225)*1000000+COUNTIF('Detalle individual'!$C$5:$C$1000,"&lt;"&amp;'Detalle individual'!C225)*1000+COUNTIF('Detalle individual'!$B$5:$B$1000,"&lt;"&amp;'Detalle individual'!B225)+ROW()/10000,"")</f>
        <v/>
      </c>
      <c r="AK225">
        <f>IF(OR('Base Exámenes'!C225="",'Base Exámenes'!D225=""),"",IF(COUNTIF('Base Exámenes'!$C$5:C225,'Base Exámenes'!C225)=1,'Base Exámenes'!D225+ROW()/1000000000,""))</f>
        <v>46309.381099756945</v>
      </c>
      <c r="AL225">
        <f>IF(OR('Base Exámenes'!C225="",'Base Exámenes'!E225=""),"",IF(COUNTIF('Base Exámenes'!$C$5:C225,'Base Exámenes'!C225)=1,'Base Exámenes'!E225+ROW()/1000000000,""))</f>
        <v>46309.38841457176</v>
      </c>
      <c r="AM225">
        <f>IF(OR('Base Exámenes'!C225="",'Base Exámenes'!G225=""),"",IF(ROW()-4=MATCH('Base Exámenes'!C225&amp;"|"&amp;_xlfn.MAXIFS('Base Exámenes'!$G$5:$G$1000,'Base Exámenes'!$C$5:$C$1000,'Base Exámenes'!C225),'Base Exámenes'!$I$5:$I$1000,0),'Base Exámenes'!G225*1000000+(-1)*'Base Exámenes'!D225,""))</f>
        <v>89953690.6189005</v>
      </c>
      <c r="AQ225" t="str">
        <f>IF('Base Exámenes'!C225="","",IF(COUNTIF('Base Exámenes'!$C$5:$C$1000,'Base Exámenes'!C225)&lt;2,"",MATCH('Base Exámenes'!C225,'Base Exámenes'!$C$5:$C$1000,0)*10000+ROW()))</f>
        <v/>
      </c>
    </row>
    <row r="226">
      <c r="Z226">
        <f>IF('Detalle individual'!A226="","",IF(AND(OR('Estado por Colaborador'!$D$4="Todas las gerencias",'Detalle individual'!D226='Estado por Colaborador'!$D$4),OR('Estado por Colaborador'!$D$5="Todos los departamentos",TRIM('Detalle individual'!C226)='Estado por Colaborador'!$D$5),OR('Estado por Colaborador'!$D$6="Todos",'Detalle individual'!F226='Estado por Colaborador'!$D$6)),IF('Detalle individual'!F226="Completado",30000000,IF('Detalle individual'!F226="Pendiente",0,15000000))+COUNTIF('Detalle individual'!$C$5:$C$1000,"&lt;"&amp;'Detalle individual'!C226)*10000+ROW(),""))</f>
        <v>37800226</v>
      </c>
      <c r="AB226" t="str">
        <f>IF('Detalle individual'!C226="","",IF(COUNTIF('Detalle individual'!$C$5:C226,'Detalle individual'!C226)=1,COUNTIF('Detalle individual'!$C$5:$C$1000,"&lt;"&amp;'Detalle individual'!C226),""))</f>
        <v/>
      </c>
      <c r="AC226" t="str">
        <f>IF('Detalle individual'!D226="","",IF(COUNTIF('Detalle individual'!$D$5:D226,'Detalle individual'!D226)=1,COUNTIF('Detalle individual'!$D$5:$D$1000,"&lt;"&amp;'Detalle individual'!D226),""))</f>
        <v/>
      </c>
      <c r="AH226" t="str">
        <f>IF('Detalle individual'!F226="Pendiente",COUNTIF('Detalle individual'!$D$5:$D$1000,"&lt;"&amp;'Detalle individual'!D226)*1000000+COUNTIF('Detalle individual'!$C$5:$C$1000,"&lt;"&amp;'Detalle individual'!C226)*1000+COUNTIF('Detalle individual'!$B$5:$B$1000,"&lt;"&amp;'Detalle individual'!B226)+ROW()/10000,"")</f>
        <v/>
      </c>
      <c r="AI226">
        <f>IF('Detalle individual'!F226="Completado",COUNTIF('Detalle individual'!$D$5:$D$1000,"&lt;"&amp;'Detalle individual'!D226)*1000000+COUNTIF('Detalle individual'!$C$5:$C$1000,"&lt;"&amp;'Detalle individual'!C226)*1000+COUNTIF('Detalle individual'!$B$5:$B$1000,"&lt;"&amp;'Detalle individual'!B226)+ROW()/10000,"")</f>
        <v>764780902.0226</v>
      </c>
      <c r="AJ226" t="str">
        <f>IF(AND('Detalle individual'!F226&lt;&gt;"",'Detalle individual'!F226&lt;&gt;"Completado",'Detalle individual'!F226&lt;&gt;"Pendiente"),COUNTIF('Detalle individual'!$D$5:$D$1000,"&lt;"&amp;'Detalle individual'!D226)*1000000+COUNTIF('Detalle individual'!$C$5:$C$1000,"&lt;"&amp;'Detalle individual'!C226)*1000+COUNTIF('Detalle individual'!$B$5:$B$1000,"&lt;"&amp;'Detalle individual'!B226)+ROW()/10000,"")</f>
        <v/>
      </c>
      <c r="AK226">
        <f>IF(OR('Base Exámenes'!C226="",'Base Exámenes'!D226=""),"",IF(COUNTIF('Base Exámenes'!$C$5:C226,'Base Exámenes'!C226)=1,'Base Exámenes'!D226+ROW()/1000000000,""))</f>
        <v>46309.391203935185</v>
      </c>
      <c r="AL226">
        <f>IF(OR('Base Exámenes'!C226="",'Base Exámenes'!E226=""),"",IF(COUNTIF('Base Exámenes'!$C$5:C226,'Base Exámenes'!C226)=1,'Base Exámenes'!E226+ROW()/1000000000,""))</f>
        <v>46309.39432893519</v>
      </c>
      <c r="AM226">
        <f>IF(OR('Base Exámenes'!C226="",'Base Exámenes'!G226=""),"",IF(ROW()-4=MATCH('Base Exámenes'!C226&amp;"|"&amp;_xlfn.MAXIFS('Base Exámenes'!$G$5:$G$1000,'Base Exámenes'!$C$5:$C$1000,'Base Exámenes'!C226),'Base Exámenes'!$I$5:$I$1000,0),'Base Exámenes'!G226*1000000+(-1)*'Base Exámenes'!D226,""))</f>
        <v>89953690.6087963</v>
      </c>
      <c r="AQ226" t="str">
        <f>IF('Base Exámenes'!C226="","",IF(COUNTIF('Base Exámenes'!$C$5:$C$1000,'Base Exámenes'!C226)&lt;2,"",MATCH('Base Exámenes'!C226,'Base Exámenes'!$C$5:$C$1000,0)*10000+ROW()))</f>
        <v/>
      </c>
    </row>
    <row r="227">
      <c r="Z227">
        <f>IF('Detalle individual'!A227="","",IF(AND(OR('Estado por Colaborador'!$D$4="Todas las gerencias",'Detalle individual'!D227='Estado por Colaborador'!$D$4),OR('Estado por Colaborador'!$D$5="Todos los departamentos",TRIM('Detalle individual'!C227)='Estado por Colaborador'!$D$5),OR('Estado por Colaborador'!$D$6="Todos",'Detalle individual'!F227='Estado por Colaborador'!$D$6)),IF('Detalle individual'!F227="Completado",30000000,IF('Detalle individual'!F227="Pendiente",0,15000000))+COUNTIF('Detalle individual'!$C$5:$C$1000,"&lt;"&amp;'Detalle individual'!C227)*10000+ROW(),""))</f>
        <v>37800227</v>
      </c>
      <c r="AB227" t="str">
        <f>IF('Detalle individual'!C227="","",IF(COUNTIF('Detalle individual'!$C$5:C227,'Detalle individual'!C227)=1,COUNTIF('Detalle individual'!$C$5:$C$1000,"&lt;"&amp;'Detalle individual'!C227),""))</f>
        <v/>
      </c>
      <c r="AC227" t="str">
        <f>IF('Detalle individual'!D227="","",IF(COUNTIF('Detalle individual'!$D$5:D227,'Detalle individual'!D227)=1,COUNTIF('Detalle individual'!$D$5:$D$1000,"&lt;"&amp;'Detalle individual'!D227),""))</f>
        <v/>
      </c>
      <c r="AH227" t="str">
        <f>IF('Detalle individual'!F227="Pendiente",COUNTIF('Detalle individual'!$D$5:$D$1000,"&lt;"&amp;'Detalle individual'!D227)*1000000+COUNTIF('Detalle individual'!$C$5:$C$1000,"&lt;"&amp;'Detalle individual'!C227)*1000+COUNTIF('Detalle individual'!$B$5:$B$1000,"&lt;"&amp;'Detalle individual'!B227)+ROW()/10000,"")</f>
        <v/>
      </c>
      <c r="AI227">
        <f>IF('Detalle individual'!F227="Completado",COUNTIF('Detalle individual'!$D$5:$D$1000,"&lt;"&amp;'Detalle individual'!D227)*1000000+COUNTIF('Detalle individual'!$C$5:$C$1000,"&lt;"&amp;'Detalle individual'!C227)*1000+COUNTIF('Detalle individual'!$B$5:$B$1000,"&lt;"&amp;'Detalle individual'!B227)+ROW()/10000,"")</f>
        <v>764780901.0227</v>
      </c>
      <c r="AJ227" t="str">
        <f>IF(AND('Detalle individual'!F227&lt;&gt;"",'Detalle individual'!F227&lt;&gt;"Completado",'Detalle individual'!F227&lt;&gt;"Pendiente"),COUNTIF('Detalle individual'!$D$5:$D$1000,"&lt;"&amp;'Detalle individual'!D227)*1000000+COUNTIF('Detalle individual'!$C$5:$C$1000,"&lt;"&amp;'Detalle individual'!C227)*1000+COUNTIF('Detalle individual'!$B$5:$B$1000,"&lt;"&amp;'Detalle individual'!B227)+ROW()/10000,"")</f>
        <v/>
      </c>
      <c r="AK227">
        <f>IF(OR('Base Exámenes'!C227="",'Base Exámenes'!D227=""),"",IF(COUNTIF('Base Exámenes'!$C$5:C227,'Base Exámenes'!C227)=1,'Base Exámenes'!D227+ROW()/1000000000,""))</f>
        <v>46309.39401643519</v>
      </c>
      <c r="AL227">
        <f>IF(OR('Base Exámenes'!C227="",'Base Exámenes'!E227=""),"",IF(COUNTIF('Base Exámenes'!$C$5:C227,'Base Exámenes'!C227)=1,'Base Exámenes'!E227+ROW()/1000000000,""))</f>
        <v>46309.40052106482</v>
      </c>
      <c r="AM227">
        <f>IF(OR('Base Exámenes'!C227="",'Base Exámenes'!G227=""),"",IF(ROW()-4=MATCH('Base Exámenes'!C227&amp;"|"&amp;_xlfn.MAXIFS('Base Exámenes'!$G$5:$G$1000,'Base Exámenes'!$C$5:$C$1000,'Base Exámenes'!C227),'Base Exámenes'!$I$5:$I$1000,0),'Base Exámenes'!G227*1000000+(-1)*'Base Exámenes'!D227,""))</f>
        <v>99953690.6059838</v>
      </c>
      <c r="AQ227" t="str">
        <f>IF('Base Exámenes'!C227="","",IF(COUNTIF('Base Exámenes'!$C$5:$C$1000,'Base Exámenes'!C227)&lt;2,"",MATCH('Base Exámenes'!C227,'Base Exámenes'!$C$5:$C$1000,0)*10000+ROW()))</f>
        <v/>
      </c>
    </row>
    <row r="228">
      <c r="Z228">
        <f>IF('Detalle individual'!A228="","",IF(AND(OR('Estado por Colaborador'!$D$4="Todas las gerencias",'Detalle individual'!D228='Estado por Colaborador'!$D$4),OR('Estado por Colaborador'!$D$5="Todos los departamentos",TRIM('Detalle individual'!C228)='Estado por Colaborador'!$D$5),OR('Estado por Colaborador'!$D$6="Todos",'Detalle individual'!F228='Estado por Colaborador'!$D$6)),IF('Detalle individual'!F228="Completado",30000000,IF('Detalle individual'!F228="Pendiente",0,15000000))+COUNTIF('Detalle individual'!$C$5:$C$1000,"&lt;"&amp;'Detalle individual'!C228)*10000+ROW(),""))</f>
        <v>22800228</v>
      </c>
      <c r="AB228" t="str">
        <f>IF('Detalle individual'!C228="","",IF(COUNTIF('Detalle individual'!$C$5:C228,'Detalle individual'!C228)=1,COUNTIF('Detalle individual'!$C$5:$C$1000,"&lt;"&amp;'Detalle individual'!C228),""))</f>
        <v/>
      </c>
      <c r="AC228" t="str">
        <f>IF('Detalle individual'!D228="","",IF(COUNTIF('Detalle individual'!$D$5:D228,'Detalle individual'!D228)=1,COUNTIF('Detalle individual'!$D$5:$D$1000,"&lt;"&amp;'Detalle individual'!D228),""))</f>
        <v/>
      </c>
      <c r="AH228" t="str">
        <f>IF('Detalle individual'!F228="Pendiente",COUNTIF('Detalle individual'!$D$5:$D$1000,"&lt;"&amp;'Detalle individual'!D228)*1000000+COUNTIF('Detalle individual'!$C$5:$C$1000,"&lt;"&amp;'Detalle individual'!C228)*1000+COUNTIF('Detalle individual'!$B$5:$B$1000,"&lt;"&amp;'Detalle individual'!B228)+ROW()/10000,"")</f>
        <v/>
      </c>
      <c r="AI228" t="str">
        <f>IF('Detalle individual'!F228="Completado",COUNTIF('Detalle individual'!$D$5:$D$1000,"&lt;"&amp;'Detalle individual'!D228)*1000000+COUNTIF('Detalle individual'!$C$5:$C$1000,"&lt;"&amp;'Detalle individual'!C228)*1000+COUNTIF('Detalle individual'!$B$5:$B$1000,"&lt;"&amp;'Detalle individual'!B228)+ROW()/10000,"")</f>
        <v/>
      </c>
      <c r="AJ228">
        <f>IF(AND('Detalle individual'!F228&lt;&gt;"",'Detalle individual'!F228&lt;&gt;"Completado",'Detalle individual'!F228&lt;&gt;"Pendiente"),COUNTIF('Detalle individual'!$D$5:$D$1000,"&lt;"&amp;'Detalle individual'!D228)*1000000+COUNTIF('Detalle individual'!$C$5:$C$1000,"&lt;"&amp;'Detalle individual'!C228)*1000+COUNTIF('Detalle individual'!$B$5:$B$1000,"&lt;"&amp;'Detalle individual'!B228)+ROW()/10000,"")</f>
        <v>764780965.0228</v>
      </c>
      <c r="AK228">
        <f>IF(OR('Base Exámenes'!C228="",'Base Exámenes'!D228=""),"",IF(COUNTIF('Base Exámenes'!$C$5:C228,'Base Exámenes'!C228)=1,'Base Exámenes'!D228+ROW()/1000000000,""))</f>
        <v>46309.39879652778</v>
      </c>
      <c r="AL228">
        <f>IF(OR('Base Exámenes'!C228="",'Base Exámenes'!E228=""),"",IF(COUNTIF('Base Exámenes'!$C$5:C228,'Base Exámenes'!C228)=1,'Base Exámenes'!E228+ROW()/1000000000,""))</f>
        <v>46309.400752546295</v>
      </c>
      <c r="AM228">
        <f>IF(OR('Base Exámenes'!C228="",'Base Exámenes'!G228=""),"",IF(ROW()-4=MATCH('Base Exámenes'!C228&amp;"|"&amp;_xlfn.MAXIFS('Base Exámenes'!$G$5:$G$1000,'Base Exámenes'!$C$5:$C$1000,'Base Exámenes'!C228),'Base Exámenes'!$I$5:$I$1000,0),'Base Exámenes'!G228*1000000+(-1)*'Base Exámenes'!D228,""))</f>
        <v>99953690.6012037</v>
      </c>
      <c r="AQ228" t="str">
        <f>IF('Base Exámenes'!C228="","",IF(COUNTIF('Base Exámenes'!$C$5:$C$1000,'Base Exámenes'!C228)&lt;2,"",MATCH('Base Exámenes'!C228,'Base Exámenes'!$C$5:$C$1000,0)*10000+ROW()))</f>
        <v/>
      </c>
    </row>
    <row r="229">
      <c r="Z229">
        <f>IF('Detalle individual'!A229="","",IF(AND(OR('Estado por Colaborador'!$D$4="Todas las gerencias",'Detalle individual'!D229='Estado por Colaborador'!$D$4),OR('Estado por Colaborador'!$D$5="Todos los departamentos",TRIM('Detalle individual'!C229)='Estado por Colaborador'!$D$5),OR('Estado por Colaborador'!$D$6="Todos",'Detalle individual'!F229='Estado por Colaborador'!$D$6)),IF('Detalle individual'!F229="Completado",30000000,IF('Detalle individual'!F229="Pendiente",0,15000000))+COUNTIF('Detalle individual'!$C$5:$C$1000,"&lt;"&amp;'Detalle individual'!C229)*10000+ROW(),""))</f>
        <v>37880229</v>
      </c>
      <c r="AB229">
        <f>IF('Detalle individual'!C229="","",IF(COUNTIF('Detalle individual'!$C$5:C229,'Detalle individual'!C229)=1,COUNTIF('Detalle individual'!$C$5:$C$1000,"&lt;"&amp;'Detalle individual'!C229),""))</f>
        <v>788</v>
      </c>
      <c r="AC229" t="str">
        <f>IF('Detalle individual'!D229="","",IF(COUNTIF('Detalle individual'!$D$5:D229,'Detalle individual'!D229)=1,COUNTIF('Detalle individual'!$D$5:$D$1000,"&lt;"&amp;'Detalle individual'!D229),""))</f>
        <v/>
      </c>
      <c r="AH229" t="str">
        <f>IF('Detalle individual'!F229="Pendiente",COUNTIF('Detalle individual'!$D$5:$D$1000,"&lt;"&amp;'Detalle individual'!D229)*1000000+COUNTIF('Detalle individual'!$C$5:$C$1000,"&lt;"&amp;'Detalle individual'!C229)*1000+COUNTIF('Detalle individual'!$B$5:$B$1000,"&lt;"&amp;'Detalle individual'!B229)+ROW()/10000,"")</f>
        <v/>
      </c>
      <c r="AI229">
        <f>IF('Detalle individual'!F229="Completado",COUNTIF('Detalle individual'!$D$5:$D$1000,"&lt;"&amp;'Detalle individual'!D229)*1000000+COUNTIF('Detalle individual'!$C$5:$C$1000,"&lt;"&amp;'Detalle individual'!C229)*1000+COUNTIF('Detalle individual'!$B$5:$B$1000,"&lt;"&amp;'Detalle individual'!B229)+ROW()/10000,"")</f>
        <v>764788718.0229</v>
      </c>
      <c r="AJ229" t="str">
        <f>IF(AND('Detalle individual'!F229&lt;&gt;"",'Detalle individual'!F229&lt;&gt;"Completado",'Detalle individual'!F229&lt;&gt;"Pendiente"),COUNTIF('Detalle individual'!$D$5:$D$1000,"&lt;"&amp;'Detalle individual'!D229)*1000000+COUNTIF('Detalle individual'!$C$5:$C$1000,"&lt;"&amp;'Detalle individual'!C229)*1000+COUNTIF('Detalle individual'!$B$5:$B$1000,"&lt;"&amp;'Detalle individual'!B229)+ROW()/10000,"")</f>
        <v/>
      </c>
      <c r="AK229">
        <f>IF(OR('Base Exámenes'!C229="",'Base Exámenes'!D229=""),"",IF(COUNTIF('Base Exámenes'!$C$5:C229,'Base Exámenes'!C229)=1,'Base Exámenes'!D229+ROW()/1000000000,""))</f>
        <v>46309.401805787034</v>
      </c>
      <c r="AL229">
        <f>IF(OR('Base Exámenes'!C229="",'Base Exámenes'!E229=""),"",IF(COUNTIF('Base Exámenes'!$C$5:C229,'Base Exámenes'!C229)=1,'Base Exámenes'!E229+ROW()/1000000000,""))</f>
        <v>46309.40469930555</v>
      </c>
      <c r="AM229">
        <f>IF(OR('Base Exámenes'!C229="",'Base Exámenes'!G229=""),"",IF(ROW()-4=MATCH('Base Exámenes'!C229&amp;"|"&amp;_xlfn.MAXIFS('Base Exámenes'!$G$5:$G$1000,'Base Exámenes'!$C$5:$C$1000,'Base Exámenes'!C229),'Base Exámenes'!$I$5:$I$1000,0),'Base Exámenes'!G229*1000000+(-1)*'Base Exámenes'!D229,""))</f>
        <v>99953690.5981945</v>
      </c>
      <c r="AQ229" t="str">
        <f>IF('Base Exámenes'!C229="","",IF(COUNTIF('Base Exámenes'!$C$5:$C$1000,'Base Exámenes'!C229)&lt;2,"",MATCH('Base Exámenes'!C229,'Base Exámenes'!$C$5:$C$1000,0)*10000+ROW()))</f>
        <v/>
      </c>
    </row>
    <row r="230">
      <c r="Z230">
        <f>IF('Detalle individual'!A230="","",IF(AND(OR('Estado por Colaborador'!$D$4="Todas las gerencias",'Detalle individual'!D230='Estado por Colaborador'!$D$4),OR('Estado por Colaborador'!$D$5="Todos los departamentos",TRIM('Detalle individual'!C230)='Estado por Colaborador'!$D$5),OR('Estado por Colaborador'!$D$6="Todos",'Detalle individual'!F230='Estado por Colaborador'!$D$6)),IF('Detalle individual'!F230="Completado",30000000,IF('Detalle individual'!F230="Pendiente",0,15000000))+COUNTIF('Detalle individual'!$C$5:$C$1000,"&lt;"&amp;'Detalle individual'!C230)*10000+ROW(),""))</f>
        <v>37880230</v>
      </c>
      <c r="AB230" t="str">
        <f>IF('Detalle individual'!C230="","",IF(COUNTIF('Detalle individual'!$C$5:C230,'Detalle individual'!C230)=1,COUNTIF('Detalle individual'!$C$5:$C$1000,"&lt;"&amp;'Detalle individual'!C230),""))</f>
        <v/>
      </c>
      <c r="AC230" t="str">
        <f>IF('Detalle individual'!D230="","",IF(COUNTIF('Detalle individual'!$D$5:D230,'Detalle individual'!D230)=1,COUNTIF('Detalle individual'!$D$5:$D$1000,"&lt;"&amp;'Detalle individual'!D230),""))</f>
        <v/>
      </c>
      <c r="AH230" t="str">
        <f>IF('Detalle individual'!F230="Pendiente",COUNTIF('Detalle individual'!$D$5:$D$1000,"&lt;"&amp;'Detalle individual'!D230)*1000000+COUNTIF('Detalle individual'!$C$5:$C$1000,"&lt;"&amp;'Detalle individual'!C230)*1000+COUNTIF('Detalle individual'!$B$5:$B$1000,"&lt;"&amp;'Detalle individual'!B230)+ROW()/10000,"")</f>
        <v/>
      </c>
      <c r="AI230">
        <f>IF('Detalle individual'!F230="Completado",COUNTIF('Detalle individual'!$D$5:$D$1000,"&lt;"&amp;'Detalle individual'!D230)*1000000+COUNTIF('Detalle individual'!$C$5:$C$1000,"&lt;"&amp;'Detalle individual'!C230)*1000+COUNTIF('Detalle individual'!$B$5:$B$1000,"&lt;"&amp;'Detalle individual'!B230)+ROW()/10000,"")</f>
        <v>764788804.023</v>
      </c>
      <c r="AJ230" t="str">
        <f>IF(AND('Detalle individual'!F230&lt;&gt;"",'Detalle individual'!F230&lt;&gt;"Completado",'Detalle individual'!F230&lt;&gt;"Pendiente"),COUNTIF('Detalle individual'!$D$5:$D$1000,"&lt;"&amp;'Detalle individual'!D230)*1000000+COUNTIF('Detalle individual'!$C$5:$C$1000,"&lt;"&amp;'Detalle individual'!C230)*1000+COUNTIF('Detalle individual'!$B$5:$B$1000,"&lt;"&amp;'Detalle individual'!B230)+ROW()/10000,"")</f>
        <v/>
      </c>
      <c r="AK230">
        <f>IF(OR('Base Exámenes'!C230="",'Base Exámenes'!D230=""),"",IF(COUNTIF('Base Exámenes'!$C$5:C230,'Base Exámenes'!C230)=1,'Base Exámenes'!D230+ROW()/1000000000,""))</f>
        <v>46309.39832199074</v>
      </c>
      <c r="AL230">
        <f>IF(OR('Base Exámenes'!C230="",'Base Exámenes'!E230=""),"",IF(COUNTIF('Base Exámenes'!$C$5:C230,'Base Exámenes'!C230)=1,'Base Exámenes'!E230+ROW()/1000000000,""))</f>
        <v>46309.40822939815</v>
      </c>
      <c r="AM230">
        <f>IF(OR('Base Exámenes'!C230="",'Base Exámenes'!G230=""),"",IF(ROW()-4=MATCH('Base Exámenes'!C230&amp;"|"&amp;_xlfn.MAXIFS('Base Exámenes'!$G$5:$G$1000,'Base Exámenes'!$C$5:$C$1000,'Base Exámenes'!C230),'Base Exámenes'!$I$5:$I$1000,0),'Base Exámenes'!G230*1000000+(-1)*'Base Exámenes'!D230,""))</f>
        <v>99953690.6016782</v>
      </c>
      <c r="AQ230" t="str">
        <f>IF('Base Exámenes'!C230="","",IF(COUNTIF('Base Exámenes'!$C$5:$C$1000,'Base Exámenes'!C230)&lt;2,"",MATCH('Base Exámenes'!C230,'Base Exámenes'!$C$5:$C$1000,0)*10000+ROW()))</f>
        <v/>
      </c>
    </row>
    <row r="231">
      <c r="Z231">
        <f>IF('Detalle individual'!A231="","",IF(AND(OR('Estado por Colaborador'!$D$4="Todas las gerencias",'Detalle individual'!D231='Estado por Colaborador'!$D$4),OR('Estado por Colaborador'!$D$5="Todos los departamentos",TRIM('Detalle individual'!C231)='Estado por Colaborador'!$D$5),OR('Estado por Colaborador'!$D$6="Todos",'Detalle individual'!F231='Estado por Colaborador'!$D$6)),IF('Detalle individual'!F231="Completado",30000000,IF('Detalle individual'!F231="Pendiente",0,15000000))+COUNTIF('Detalle individual'!$C$5:$C$1000,"&lt;"&amp;'Detalle individual'!C231)*10000+ROW(),""))</f>
        <v>37880231</v>
      </c>
      <c r="AB231" t="str">
        <f>IF('Detalle individual'!C231="","",IF(COUNTIF('Detalle individual'!$C$5:C231,'Detalle individual'!C231)=1,COUNTIF('Detalle individual'!$C$5:$C$1000,"&lt;"&amp;'Detalle individual'!C231),""))</f>
        <v/>
      </c>
      <c r="AC231" t="str">
        <f>IF('Detalle individual'!D231="","",IF(COUNTIF('Detalle individual'!$D$5:D231,'Detalle individual'!D231)=1,COUNTIF('Detalle individual'!$D$5:$D$1000,"&lt;"&amp;'Detalle individual'!D231),""))</f>
        <v/>
      </c>
      <c r="AH231" t="str">
        <f>IF('Detalle individual'!F231="Pendiente",COUNTIF('Detalle individual'!$D$5:$D$1000,"&lt;"&amp;'Detalle individual'!D231)*1000000+COUNTIF('Detalle individual'!$C$5:$C$1000,"&lt;"&amp;'Detalle individual'!C231)*1000+COUNTIF('Detalle individual'!$B$5:$B$1000,"&lt;"&amp;'Detalle individual'!B231)+ROW()/10000,"")</f>
        <v/>
      </c>
      <c r="AI231">
        <f>IF('Detalle individual'!F231="Completado",COUNTIF('Detalle individual'!$D$5:$D$1000,"&lt;"&amp;'Detalle individual'!D231)*1000000+COUNTIF('Detalle individual'!$C$5:$C$1000,"&lt;"&amp;'Detalle individual'!C231)*1000+COUNTIF('Detalle individual'!$B$5:$B$1000,"&lt;"&amp;'Detalle individual'!B231)+ROW()/10000,"")</f>
        <v>764788828.0231</v>
      </c>
      <c r="AJ231" t="str">
        <f>IF(AND('Detalle individual'!F231&lt;&gt;"",'Detalle individual'!F231&lt;&gt;"Completado",'Detalle individual'!F231&lt;&gt;"Pendiente"),COUNTIF('Detalle individual'!$D$5:$D$1000,"&lt;"&amp;'Detalle individual'!D231)*1000000+COUNTIF('Detalle individual'!$C$5:$C$1000,"&lt;"&amp;'Detalle individual'!C231)*1000+COUNTIF('Detalle individual'!$B$5:$B$1000,"&lt;"&amp;'Detalle individual'!B231)+ROW()/10000,"")</f>
        <v/>
      </c>
      <c r="AK231">
        <f>IF(OR('Base Exámenes'!C231="",'Base Exámenes'!D231=""),"",IF(COUNTIF('Base Exámenes'!$C$5:C231,'Base Exámenes'!C231)=1,'Base Exámenes'!D231+ROW()/1000000000,""))</f>
        <v>46309.40732662037</v>
      </c>
      <c r="AL231">
        <f>IF(OR('Base Exámenes'!C231="",'Base Exámenes'!E231=""),"",IF(COUNTIF('Base Exámenes'!$C$5:C231,'Base Exámenes'!C231)=1,'Base Exámenes'!E231+ROW()/1000000000,""))</f>
        <v>46309.40916689815</v>
      </c>
      <c r="AM231">
        <f>IF(OR('Base Exámenes'!C231="",'Base Exámenes'!G231=""),"",IF(ROW()-4=MATCH('Base Exámenes'!C231&amp;"|"&amp;_xlfn.MAXIFS('Base Exámenes'!$G$5:$G$1000,'Base Exámenes'!$C$5:$C$1000,'Base Exámenes'!C231),'Base Exámenes'!$I$5:$I$1000,0),'Base Exámenes'!G231*1000000+(-1)*'Base Exámenes'!D231,""))</f>
        <v>99953690.5926736</v>
      </c>
      <c r="AQ231" t="str">
        <f>IF('Base Exámenes'!C231="","",IF(COUNTIF('Base Exámenes'!$C$5:$C$1000,'Base Exámenes'!C231)&lt;2,"",MATCH('Base Exámenes'!C231,'Base Exámenes'!$C$5:$C$1000,0)*10000+ROW()))</f>
        <v/>
      </c>
    </row>
    <row r="232">
      <c r="Z232">
        <f>IF('Detalle individual'!A232="","",IF(AND(OR('Estado por Colaborador'!$D$4="Todas las gerencias",'Detalle individual'!D232='Estado por Colaborador'!$D$4),OR('Estado por Colaborador'!$D$5="Todos los departamentos",TRIM('Detalle individual'!C232)='Estado por Colaborador'!$D$5),OR('Estado por Colaborador'!$D$6="Todos",'Detalle individual'!F232='Estado por Colaborador'!$D$6)),IF('Detalle individual'!F232="Completado",30000000,IF('Detalle individual'!F232="Pendiente",0,15000000))+COUNTIF('Detalle individual'!$C$5:$C$1000,"&lt;"&amp;'Detalle individual'!C232)*10000+ROW(),""))</f>
        <v>37880232</v>
      </c>
      <c r="AB232" t="str">
        <f>IF('Detalle individual'!C232="","",IF(COUNTIF('Detalle individual'!$C$5:C232,'Detalle individual'!C232)=1,COUNTIF('Detalle individual'!$C$5:$C$1000,"&lt;"&amp;'Detalle individual'!C232),""))</f>
        <v/>
      </c>
      <c r="AC232" t="str">
        <f>IF('Detalle individual'!D232="","",IF(COUNTIF('Detalle individual'!$D$5:D232,'Detalle individual'!D232)=1,COUNTIF('Detalle individual'!$D$5:$D$1000,"&lt;"&amp;'Detalle individual'!D232),""))</f>
        <v/>
      </c>
      <c r="AH232" t="str">
        <f>IF('Detalle individual'!F232="Pendiente",COUNTIF('Detalle individual'!$D$5:$D$1000,"&lt;"&amp;'Detalle individual'!D232)*1000000+COUNTIF('Detalle individual'!$C$5:$C$1000,"&lt;"&amp;'Detalle individual'!C232)*1000+COUNTIF('Detalle individual'!$B$5:$B$1000,"&lt;"&amp;'Detalle individual'!B232)+ROW()/10000,"")</f>
        <v/>
      </c>
      <c r="AI232">
        <f>IF('Detalle individual'!F232="Completado",COUNTIF('Detalle individual'!$D$5:$D$1000,"&lt;"&amp;'Detalle individual'!D232)*1000000+COUNTIF('Detalle individual'!$C$5:$C$1000,"&lt;"&amp;'Detalle individual'!C232)*1000+COUNTIF('Detalle individual'!$B$5:$B$1000,"&lt;"&amp;'Detalle individual'!B232)+ROW()/10000,"")</f>
        <v>764788820.0232</v>
      </c>
      <c r="AJ232" t="str">
        <f>IF(AND('Detalle individual'!F232&lt;&gt;"",'Detalle individual'!F232&lt;&gt;"Completado",'Detalle individual'!F232&lt;&gt;"Pendiente"),COUNTIF('Detalle individual'!$D$5:$D$1000,"&lt;"&amp;'Detalle individual'!D232)*1000000+COUNTIF('Detalle individual'!$C$5:$C$1000,"&lt;"&amp;'Detalle individual'!C232)*1000+COUNTIF('Detalle individual'!$B$5:$B$1000,"&lt;"&amp;'Detalle individual'!B232)+ROW()/10000,"")</f>
        <v/>
      </c>
      <c r="AK232">
        <f>IF(OR('Base Exámenes'!C232="",'Base Exámenes'!D232=""),"",IF(COUNTIF('Base Exámenes'!$C$5:C232,'Base Exámenes'!C232)=1,'Base Exámenes'!D232+ROW()/1000000000,""))</f>
        <v>46309.36599560185</v>
      </c>
      <c r="AL232">
        <f>IF(OR('Base Exámenes'!C232="",'Base Exámenes'!E232=""),"",IF(COUNTIF('Base Exámenes'!$C$5:C232,'Base Exámenes'!C232)=1,'Base Exámenes'!E232+ROW()/1000000000,""))</f>
        <v>46309.419734027775</v>
      </c>
      <c r="AM232">
        <f>IF(OR('Base Exámenes'!C232="",'Base Exámenes'!G232=""),"",IF(ROW()-4=MATCH('Base Exámenes'!C232&amp;"|"&amp;_xlfn.MAXIFS('Base Exámenes'!$G$5:$G$1000,'Base Exámenes'!$C$5:$C$1000,'Base Exámenes'!C232),'Base Exámenes'!$I$5:$I$1000,0),'Base Exámenes'!G232*1000000+(-1)*'Base Exámenes'!D232,""))</f>
        <v>99953690.6340046</v>
      </c>
      <c r="AQ232" t="str">
        <f>IF('Base Exámenes'!C232="","",IF(COUNTIF('Base Exámenes'!$C$5:$C$1000,'Base Exámenes'!C232)&lt;2,"",MATCH('Base Exámenes'!C232,'Base Exámenes'!$C$5:$C$1000,0)*10000+ROW()))</f>
        <v/>
      </c>
    </row>
    <row r="233">
      <c r="Z233">
        <f>IF('Detalle individual'!A233="","",IF(AND(OR('Estado por Colaborador'!$D$4="Todas las gerencias",'Detalle individual'!D233='Estado por Colaborador'!$D$4),OR('Estado por Colaborador'!$D$5="Todos los departamentos",TRIM('Detalle individual'!C233)='Estado por Colaborador'!$D$5),OR('Estado por Colaborador'!$D$6="Todos",'Detalle individual'!F233='Estado por Colaborador'!$D$6)),IF('Detalle individual'!F233="Completado",30000000,IF('Detalle individual'!F233="Pendiente",0,15000000))+COUNTIF('Detalle individual'!$C$5:$C$1000,"&lt;"&amp;'Detalle individual'!C233)*10000+ROW(),""))</f>
        <v>37880233</v>
      </c>
      <c r="AB233" t="str">
        <f>IF('Detalle individual'!C233="","",IF(COUNTIF('Detalle individual'!$C$5:C233,'Detalle individual'!C233)=1,COUNTIF('Detalle individual'!$C$5:$C$1000,"&lt;"&amp;'Detalle individual'!C233),""))</f>
        <v/>
      </c>
      <c r="AC233" t="str">
        <f>IF('Detalle individual'!D233="","",IF(COUNTIF('Detalle individual'!$D$5:D233,'Detalle individual'!D233)=1,COUNTIF('Detalle individual'!$D$5:$D$1000,"&lt;"&amp;'Detalle individual'!D233),""))</f>
        <v/>
      </c>
      <c r="AH233" t="str">
        <f>IF('Detalle individual'!F233="Pendiente",COUNTIF('Detalle individual'!$D$5:$D$1000,"&lt;"&amp;'Detalle individual'!D233)*1000000+COUNTIF('Detalle individual'!$C$5:$C$1000,"&lt;"&amp;'Detalle individual'!C233)*1000+COUNTIF('Detalle individual'!$B$5:$B$1000,"&lt;"&amp;'Detalle individual'!B233)+ROW()/10000,"")</f>
        <v/>
      </c>
      <c r="AI233">
        <f>IF('Detalle individual'!F233="Completado",COUNTIF('Detalle individual'!$D$5:$D$1000,"&lt;"&amp;'Detalle individual'!D233)*1000000+COUNTIF('Detalle individual'!$C$5:$C$1000,"&lt;"&amp;'Detalle individual'!C233)*1000+COUNTIF('Detalle individual'!$B$5:$B$1000,"&lt;"&amp;'Detalle individual'!B233)+ROW()/10000,"")</f>
        <v>764788724.0233</v>
      </c>
      <c r="AJ233" t="str">
        <f>IF(AND('Detalle individual'!F233&lt;&gt;"",'Detalle individual'!F233&lt;&gt;"Completado",'Detalle individual'!F233&lt;&gt;"Pendiente"),COUNTIF('Detalle individual'!$D$5:$D$1000,"&lt;"&amp;'Detalle individual'!D233)*1000000+COUNTIF('Detalle individual'!$C$5:$C$1000,"&lt;"&amp;'Detalle individual'!C233)*1000+COUNTIF('Detalle individual'!$B$5:$B$1000,"&lt;"&amp;'Detalle individual'!B233)+ROW()/10000,"")</f>
        <v/>
      </c>
      <c r="AK233">
        <f>IF(OR('Base Exámenes'!C233="",'Base Exámenes'!D233=""),"",IF(COUNTIF('Base Exámenes'!$C$5:C233,'Base Exámenes'!C233)=1,'Base Exámenes'!D233+ROW()/1000000000,""))</f>
        <v>46309.42065995371</v>
      </c>
      <c r="AL233">
        <f>IF(OR('Base Exámenes'!C233="",'Base Exámenes'!E233=""),"",IF(COUNTIF('Base Exámenes'!$C$5:C233,'Base Exámenes'!C233)=1,'Base Exámenes'!E233+ROW()/1000000000,""))</f>
        <v>46309.433055787034</v>
      </c>
      <c r="AM233">
        <f>IF(OR('Base Exámenes'!C233="",'Base Exámenes'!G233=""),"",IF(ROW()-4=MATCH('Base Exámenes'!C233&amp;"|"&amp;_xlfn.MAXIFS('Base Exámenes'!$G$5:$G$1000,'Base Exámenes'!$C$5:$C$1000,'Base Exámenes'!C233),'Base Exámenes'!$I$5:$I$1000,0),'Base Exámenes'!G233*1000000+(-1)*'Base Exámenes'!D233,""))</f>
        <v>89953690.5793403</v>
      </c>
      <c r="AQ233" t="str">
        <f>IF('Base Exámenes'!C233="","",IF(COUNTIF('Base Exámenes'!$C$5:$C$1000,'Base Exámenes'!C233)&lt;2,"",MATCH('Base Exámenes'!C233,'Base Exámenes'!$C$5:$C$1000,0)*10000+ROW()))</f>
        <v/>
      </c>
    </row>
    <row r="234">
      <c r="Z234">
        <f>IF('Detalle individual'!A234="","",IF(AND(OR('Estado por Colaborador'!$D$4="Todas las gerencias",'Detalle individual'!D234='Estado por Colaborador'!$D$4),OR('Estado por Colaborador'!$D$5="Todos los departamentos",TRIM('Detalle individual'!C234)='Estado por Colaborador'!$D$5),OR('Estado por Colaborador'!$D$6="Todos",'Detalle individual'!F234='Estado por Colaborador'!$D$6)),IF('Detalle individual'!F234="Completado",30000000,IF('Detalle individual'!F234="Pendiente",0,15000000))+COUNTIF('Detalle individual'!$C$5:$C$1000,"&lt;"&amp;'Detalle individual'!C234)*10000+ROW(),""))</f>
        <v>37880234</v>
      </c>
      <c r="AB234" t="str">
        <f>IF('Detalle individual'!C234="","",IF(COUNTIF('Detalle individual'!$C$5:C234,'Detalle individual'!C234)=1,COUNTIF('Detalle individual'!$C$5:$C$1000,"&lt;"&amp;'Detalle individual'!C234),""))</f>
        <v/>
      </c>
      <c r="AC234" t="str">
        <f>IF('Detalle individual'!D234="","",IF(COUNTIF('Detalle individual'!$D$5:D234,'Detalle individual'!D234)=1,COUNTIF('Detalle individual'!$D$5:$D$1000,"&lt;"&amp;'Detalle individual'!D234),""))</f>
        <v/>
      </c>
      <c r="AH234" t="str">
        <f>IF('Detalle individual'!F234="Pendiente",COUNTIF('Detalle individual'!$D$5:$D$1000,"&lt;"&amp;'Detalle individual'!D234)*1000000+COUNTIF('Detalle individual'!$C$5:$C$1000,"&lt;"&amp;'Detalle individual'!C234)*1000+COUNTIF('Detalle individual'!$B$5:$B$1000,"&lt;"&amp;'Detalle individual'!B234)+ROW()/10000,"")</f>
        <v/>
      </c>
      <c r="AI234">
        <f>IF('Detalle individual'!F234="Completado",COUNTIF('Detalle individual'!$D$5:$D$1000,"&lt;"&amp;'Detalle individual'!D234)*1000000+COUNTIF('Detalle individual'!$C$5:$C$1000,"&lt;"&amp;'Detalle individual'!C234)*1000+COUNTIF('Detalle individual'!$B$5:$B$1000,"&lt;"&amp;'Detalle individual'!B234)+ROW()/10000,"")</f>
        <v>764788970.0234</v>
      </c>
      <c r="AJ234" t="str">
        <f>IF(AND('Detalle individual'!F234&lt;&gt;"",'Detalle individual'!F234&lt;&gt;"Completado",'Detalle individual'!F234&lt;&gt;"Pendiente"),COUNTIF('Detalle individual'!$D$5:$D$1000,"&lt;"&amp;'Detalle individual'!D234)*1000000+COUNTIF('Detalle individual'!$C$5:$C$1000,"&lt;"&amp;'Detalle individual'!C234)*1000+COUNTIF('Detalle individual'!$B$5:$B$1000,"&lt;"&amp;'Detalle individual'!B234)+ROW()/10000,"")</f>
        <v/>
      </c>
      <c r="AK234">
        <f>IF(OR('Base Exámenes'!C234="",'Base Exámenes'!D234=""),"",IF(COUNTIF('Base Exámenes'!$C$5:C234,'Base Exámenes'!C234)=1,'Base Exámenes'!D234+ROW()/1000000000,""))</f>
        <v>46309.44709513889</v>
      </c>
      <c r="AL234">
        <f>IF(OR('Base Exámenes'!C234="",'Base Exámenes'!E234=""),"",IF(COUNTIF('Base Exámenes'!$C$5:C234,'Base Exámenes'!C234)=1,'Base Exámenes'!E234+ROW()/1000000000,""))</f>
        <v>46309.46179421296</v>
      </c>
      <c r="AM234">
        <f>IF(OR('Base Exámenes'!C234="",'Base Exámenes'!G234=""),"",IF(ROW()-4=MATCH('Base Exámenes'!C234&amp;"|"&amp;_xlfn.MAXIFS('Base Exámenes'!$G$5:$G$1000,'Base Exámenes'!$C$5:$C$1000,'Base Exámenes'!C234),'Base Exámenes'!$I$5:$I$1000,0),'Base Exámenes'!G234*1000000+(-1)*'Base Exámenes'!D234,""))</f>
        <v>99953690.5529051</v>
      </c>
      <c r="AQ234" t="str">
        <f>IF('Base Exámenes'!C234="","",IF(COUNTIF('Base Exámenes'!$C$5:$C$1000,'Base Exámenes'!C234)&lt;2,"",MATCH('Base Exámenes'!C234,'Base Exámenes'!$C$5:$C$1000,0)*10000+ROW()))</f>
        <v/>
      </c>
    </row>
    <row r="235">
      <c r="Z235">
        <f>IF('Detalle individual'!A235="","",IF(AND(OR('Estado por Colaborador'!$D$4="Todas las gerencias",'Detalle individual'!D235='Estado por Colaborador'!$D$4),OR('Estado por Colaborador'!$D$5="Todos los departamentos",TRIM('Detalle individual'!C235)='Estado por Colaborador'!$D$5),OR('Estado por Colaborador'!$D$6="Todos",'Detalle individual'!F235='Estado por Colaborador'!$D$6)),IF('Detalle individual'!F235="Completado",30000000,IF('Detalle individual'!F235="Pendiente",0,15000000))+COUNTIF('Detalle individual'!$C$5:$C$1000,"&lt;"&amp;'Detalle individual'!C235)*10000+ROW(),""))</f>
        <v>37880235</v>
      </c>
      <c r="AB235" t="str">
        <f>IF('Detalle individual'!C235="","",IF(COUNTIF('Detalle individual'!$C$5:C235,'Detalle individual'!C235)=1,COUNTIF('Detalle individual'!$C$5:$C$1000,"&lt;"&amp;'Detalle individual'!C235),""))</f>
        <v/>
      </c>
      <c r="AC235" t="str">
        <f>IF('Detalle individual'!D235="","",IF(COUNTIF('Detalle individual'!$D$5:D235,'Detalle individual'!D235)=1,COUNTIF('Detalle individual'!$D$5:$D$1000,"&lt;"&amp;'Detalle individual'!D235),""))</f>
        <v/>
      </c>
      <c r="AH235" t="str">
        <f>IF('Detalle individual'!F235="Pendiente",COUNTIF('Detalle individual'!$D$5:$D$1000,"&lt;"&amp;'Detalle individual'!D235)*1000000+COUNTIF('Detalle individual'!$C$5:$C$1000,"&lt;"&amp;'Detalle individual'!C235)*1000+COUNTIF('Detalle individual'!$B$5:$B$1000,"&lt;"&amp;'Detalle individual'!B235)+ROW()/10000,"")</f>
        <v/>
      </c>
      <c r="AI235">
        <f>IF('Detalle individual'!F235="Completado",COUNTIF('Detalle individual'!$D$5:$D$1000,"&lt;"&amp;'Detalle individual'!D235)*1000000+COUNTIF('Detalle individual'!$C$5:$C$1000,"&lt;"&amp;'Detalle individual'!C235)*1000+COUNTIF('Detalle individual'!$B$5:$B$1000,"&lt;"&amp;'Detalle individual'!B235)+ROW()/10000,"")</f>
        <v>764788851.0235</v>
      </c>
      <c r="AJ235" t="str">
        <f>IF(AND('Detalle individual'!F235&lt;&gt;"",'Detalle individual'!F235&lt;&gt;"Completado",'Detalle individual'!F235&lt;&gt;"Pendiente"),COUNTIF('Detalle individual'!$D$5:$D$1000,"&lt;"&amp;'Detalle individual'!D235)*1000000+COUNTIF('Detalle individual'!$C$5:$C$1000,"&lt;"&amp;'Detalle individual'!C235)*1000+COUNTIF('Detalle individual'!$B$5:$B$1000,"&lt;"&amp;'Detalle individual'!B235)+ROW()/10000,"")</f>
        <v/>
      </c>
      <c r="AK235">
        <f>IF(OR('Base Exámenes'!C235="",'Base Exámenes'!D235=""),"",IF(COUNTIF('Base Exámenes'!$C$5:C235,'Base Exámenes'!C235)=1,'Base Exámenes'!D235+ROW()/1000000000,""))</f>
        <v>46309.473310416666</v>
      </c>
      <c r="AL235">
        <f>IF(OR('Base Exámenes'!C235="",'Base Exámenes'!E235=""),"",IF(COUNTIF('Base Exámenes'!$C$5:C235,'Base Exámenes'!C235)=1,'Base Exámenes'!E235+ROW()/1000000000,""))</f>
        <v>46309.48562523148</v>
      </c>
      <c r="AM235">
        <f>IF(OR('Base Exámenes'!C235="",'Base Exámenes'!G235=""),"",IF(ROW()-4=MATCH('Base Exámenes'!C235&amp;"|"&amp;_xlfn.MAXIFS('Base Exámenes'!$G$5:$G$1000,'Base Exámenes'!$C$5:$C$1000,'Base Exámenes'!C235),'Base Exámenes'!$I$5:$I$1000,0),'Base Exámenes'!G235*1000000+(-1)*'Base Exámenes'!D235,""))</f>
        <v>99953690.5266898</v>
      </c>
      <c r="AQ235" t="str">
        <f>IF('Base Exámenes'!C235="","",IF(COUNTIF('Base Exámenes'!$C$5:$C$1000,'Base Exámenes'!C235)&lt;2,"",MATCH('Base Exámenes'!C235,'Base Exámenes'!$C$5:$C$1000,0)*10000+ROW()))</f>
        <v/>
      </c>
    </row>
    <row r="236">
      <c r="Z236">
        <f>IF('Detalle individual'!A236="","",IF(AND(OR('Estado por Colaborador'!$D$4="Todas las gerencias",'Detalle individual'!D236='Estado por Colaborador'!$D$4),OR('Estado por Colaborador'!$D$5="Todos los departamentos",TRIM('Detalle individual'!C236)='Estado por Colaborador'!$D$5),OR('Estado por Colaborador'!$D$6="Todos",'Detalle individual'!F236='Estado por Colaborador'!$D$6)),IF('Detalle individual'!F236="Completado",30000000,IF('Detalle individual'!F236="Pendiente",0,15000000))+COUNTIF('Detalle individual'!$C$5:$C$1000,"&lt;"&amp;'Detalle individual'!C236)*10000+ROW(),""))</f>
        <v>37880236</v>
      </c>
      <c r="AB236" t="str">
        <f>IF('Detalle individual'!C236="","",IF(COUNTIF('Detalle individual'!$C$5:C236,'Detalle individual'!C236)=1,COUNTIF('Detalle individual'!$C$5:$C$1000,"&lt;"&amp;'Detalle individual'!C236),""))</f>
        <v/>
      </c>
      <c r="AC236" t="str">
        <f>IF('Detalle individual'!D236="","",IF(COUNTIF('Detalle individual'!$D$5:D236,'Detalle individual'!D236)=1,COUNTIF('Detalle individual'!$D$5:$D$1000,"&lt;"&amp;'Detalle individual'!D236),""))</f>
        <v/>
      </c>
      <c r="AH236" t="str">
        <f>IF('Detalle individual'!F236="Pendiente",COUNTIF('Detalle individual'!$D$5:$D$1000,"&lt;"&amp;'Detalle individual'!D236)*1000000+COUNTIF('Detalle individual'!$C$5:$C$1000,"&lt;"&amp;'Detalle individual'!C236)*1000+COUNTIF('Detalle individual'!$B$5:$B$1000,"&lt;"&amp;'Detalle individual'!B236)+ROW()/10000,"")</f>
        <v/>
      </c>
      <c r="AI236">
        <f>IF('Detalle individual'!F236="Completado",COUNTIF('Detalle individual'!$D$5:$D$1000,"&lt;"&amp;'Detalle individual'!D236)*1000000+COUNTIF('Detalle individual'!$C$5:$C$1000,"&lt;"&amp;'Detalle individual'!C236)*1000+COUNTIF('Detalle individual'!$B$5:$B$1000,"&lt;"&amp;'Detalle individual'!B236)+ROW()/10000,"")</f>
        <v>764788895.0236</v>
      </c>
      <c r="AJ236" t="str">
        <f>IF(AND('Detalle individual'!F236&lt;&gt;"",'Detalle individual'!F236&lt;&gt;"Completado",'Detalle individual'!F236&lt;&gt;"Pendiente"),COUNTIF('Detalle individual'!$D$5:$D$1000,"&lt;"&amp;'Detalle individual'!D236)*1000000+COUNTIF('Detalle individual'!$C$5:$C$1000,"&lt;"&amp;'Detalle individual'!C236)*1000+COUNTIF('Detalle individual'!$B$5:$B$1000,"&lt;"&amp;'Detalle individual'!B236)+ROW()/10000,"")</f>
        <v/>
      </c>
      <c r="AK236">
        <f>IF(OR('Base Exámenes'!C236="",'Base Exámenes'!D236=""),"",IF(COUNTIF('Base Exámenes'!$C$5:C236,'Base Exámenes'!C236)=1,'Base Exámenes'!D236+ROW()/1000000000,""))</f>
        <v>46309.47760439815</v>
      </c>
      <c r="AL236">
        <f>IF(OR('Base Exámenes'!C236="",'Base Exámenes'!E236=""),"",IF(COUNTIF('Base Exámenes'!$C$5:C236,'Base Exámenes'!C236)=1,'Base Exámenes'!E236+ROW()/1000000000,""))</f>
        <v>46309.485845138886</v>
      </c>
      <c r="AM236">
        <f>IF(OR('Base Exámenes'!C236="",'Base Exámenes'!G236=""),"",IF(ROW()-4=MATCH('Base Exámenes'!C236&amp;"|"&amp;_xlfn.MAXIFS('Base Exámenes'!$G$5:$G$1000,'Base Exámenes'!$C$5:$C$1000,'Base Exámenes'!C236),'Base Exámenes'!$I$5:$I$1000,0),'Base Exámenes'!G236*1000000+(-1)*'Base Exámenes'!D236,""))</f>
        <v>99953690.5223958</v>
      </c>
      <c r="AQ236" t="str">
        <f>IF('Base Exámenes'!C236="","",IF(COUNTIF('Base Exámenes'!$C$5:$C$1000,'Base Exámenes'!C236)&lt;2,"",MATCH('Base Exámenes'!C236,'Base Exámenes'!$C$5:$C$1000,0)*10000+ROW()))</f>
        <v/>
      </c>
    </row>
    <row r="237">
      <c r="Z237">
        <f>IF('Detalle individual'!A237="","",IF(AND(OR('Estado por Colaborador'!$D$4="Todas las gerencias",'Detalle individual'!D237='Estado por Colaborador'!$D$4),OR('Estado por Colaborador'!$D$5="Todos los departamentos",TRIM('Detalle individual'!C237)='Estado por Colaborador'!$D$5),OR('Estado por Colaborador'!$D$6="Todos",'Detalle individual'!F237='Estado por Colaborador'!$D$6)),IF('Detalle individual'!F237="Completado",30000000,IF('Detalle individual'!F237="Pendiente",0,15000000))+COUNTIF('Detalle individual'!$C$5:$C$1000,"&lt;"&amp;'Detalle individual'!C237)*10000+ROW(),""))</f>
        <v>37960237</v>
      </c>
      <c r="AB237">
        <f>IF('Detalle individual'!C237="","",IF(COUNTIF('Detalle individual'!$C$5:C237,'Detalle individual'!C237)=1,COUNTIF('Detalle individual'!$C$5:$C$1000,"&lt;"&amp;'Detalle individual'!C237),""))</f>
        <v>796</v>
      </c>
      <c r="AC237" t="str">
        <f>IF('Detalle individual'!D237="","",IF(COUNTIF('Detalle individual'!$D$5:D237,'Detalle individual'!D237)=1,COUNTIF('Detalle individual'!$D$5:$D$1000,"&lt;"&amp;'Detalle individual'!D237),""))</f>
        <v/>
      </c>
      <c r="AH237" t="str">
        <f>IF('Detalle individual'!F237="Pendiente",COUNTIF('Detalle individual'!$D$5:$D$1000,"&lt;"&amp;'Detalle individual'!D237)*1000000+COUNTIF('Detalle individual'!$C$5:$C$1000,"&lt;"&amp;'Detalle individual'!C237)*1000+COUNTIF('Detalle individual'!$B$5:$B$1000,"&lt;"&amp;'Detalle individual'!B237)+ROW()/10000,"")</f>
        <v/>
      </c>
      <c r="AI237">
        <f>IF('Detalle individual'!F237="Completado",COUNTIF('Detalle individual'!$D$5:$D$1000,"&lt;"&amp;'Detalle individual'!D237)*1000000+COUNTIF('Detalle individual'!$C$5:$C$1000,"&lt;"&amp;'Detalle individual'!C237)*1000+COUNTIF('Detalle individual'!$B$5:$B$1000,"&lt;"&amp;'Detalle individual'!B237)+ROW()/10000,"")</f>
        <v>764796905.0237</v>
      </c>
      <c r="AJ237" t="str">
        <f>IF(AND('Detalle individual'!F237&lt;&gt;"",'Detalle individual'!F237&lt;&gt;"Completado",'Detalle individual'!F237&lt;&gt;"Pendiente"),COUNTIF('Detalle individual'!$D$5:$D$1000,"&lt;"&amp;'Detalle individual'!D237)*1000000+COUNTIF('Detalle individual'!$C$5:$C$1000,"&lt;"&amp;'Detalle individual'!C237)*1000+COUNTIF('Detalle individual'!$B$5:$B$1000,"&lt;"&amp;'Detalle individual'!B237)+ROW()/10000,"")</f>
        <v/>
      </c>
      <c r="AK237">
        <f>IF(OR('Base Exámenes'!C237="",'Base Exámenes'!D237=""),"",IF(COUNTIF('Base Exámenes'!$C$5:C237,'Base Exámenes'!C237)=1,'Base Exámenes'!D237+ROW()/1000000000,""))</f>
        <v>46309.624016435184</v>
      </c>
      <c r="AL237">
        <f>IF(OR('Base Exámenes'!C237="",'Base Exámenes'!E237=""),"",IF(COUNTIF('Base Exámenes'!$C$5:C237,'Base Exámenes'!C237)=1,'Base Exámenes'!E237+ROW()/1000000000,""))</f>
        <v>46309.629919212966</v>
      </c>
      <c r="AM237">
        <f>IF(OR('Base Exámenes'!C237="",'Base Exámenes'!G237=""),"",IF(ROW()-4=MATCH('Base Exámenes'!C237&amp;"|"&amp;_xlfn.MAXIFS('Base Exámenes'!$G$5:$G$1000,'Base Exámenes'!$C$5:$C$1000,'Base Exámenes'!C237),'Base Exámenes'!$I$5:$I$1000,0),'Base Exámenes'!G237*1000000+(-1)*'Base Exámenes'!D237,""))</f>
        <v>89953690.3759838</v>
      </c>
      <c r="AQ237" t="str">
        <f>IF('Base Exámenes'!C237="","",IF(COUNTIF('Base Exámenes'!$C$5:$C$1000,'Base Exámenes'!C237)&lt;2,"",MATCH('Base Exámenes'!C237,'Base Exámenes'!$C$5:$C$1000,0)*10000+ROW()))</f>
        <v/>
      </c>
    </row>
    <row r="238">
      <c r="Z238">
        <f>IF('Detalle individual'!A238="","",IF(AND(OR('Estado por Colaborador'!$D$4="Todas las gerencias",'Detalle individual'!D238='Estado por Colaborador'!$D$4),OR('Estado por Colaborador'!$D$5="Todos los departamentos",TRIM('Detalle individual'!C238)='Estado por Colaborador'!$D$5),OR('Estado por Colaborador'!$D$6="Todos",'Detalle individual'!F238='Estado por Colaborador'!$D$6)),IF('Detalle individual'!F238="Completado",30000000,IF('Detalle individual'!F238="Pendiente",0,15000000))+COUNTIF('Detalle individual'!$C$5:$C$1000,"&lt;"&amp;'Detalle individual'!C238)*10000+ROW(),""))</f>
        <v>37960238</v>
      </c>
      <c r="AB238" t="str">
        <f>IF('Detalle individual'!C238="","",IF(COUNTIF('Detalle individual'!$C$5:C238,'Detalle individual'!C238)=1,COUNTIF('Detalle individual'!$C$5:$C$1000,"&lt;"&amp;'Detalle individual'!C238),""))</f>
        <v/>
      </c>
      <c r="AC238" t="str">
        <f>IF('Detalle individual'!D238="","",IF(COUNTIF('Detalle individual'!$D$5:D238,'Detalle individual'!D238)=1,COUNTIF('Detalle individual'!$D$5:$D$1000,"&lt;"&amp;'Detalle individual'!D238),""))</f>
        <v/>
      </c>
      <c r="AH238" t="str">
        <f>IF('Detalle individual'!F238="Pendiente",COUNTIF('Detalle individual'!$D$5:$D$1000,"&lt;"&amp;'Detalle individual'!D238)*1000000+COUNTIF('Detalle individual'!$C$5:$C$1000,"&lt;"&amp;'Detalle individual'!C238)*1000+COUNTIF('Detalle individual'!$B$5:$B$1000,"&lt;"&amp;'Detalle individual'!B238)+ROW()/10000,"")</f>
        <v/>
      </c>
      <c r="AI238">
        <f>IF('Detalle individual'!F238="Completado",COUNTIF('Detalle individual'!$D$5:$D$1000,"&lt;"&amp;'Detalle individual'!D238)*1000000+COUNTIF('Detalle individual'!$C$5:$C$1000,"&lt;"&amp;'Detalle individual'!C238)*1000+COUNTIF('Detalle individual'!$B$5:$B$1000,"&lt;"&amp;'Detalle individual'!B238)+ROW()/10000,"")</f>
        <v>764796848.0238</v>
      </c>
      <c r="AJ238" t="str">
        <f>IF(AND('Detalle individual'!F238&lt;&gt;"",'Detalle individual'!F238&lt;&gt;"Completado",'Detalle individual'!F238&lt;&gt;"Pendiente"),COUNTIF('Detalle individual'!$D$5:$D$1000,"&lt;"&amp;'Detalle individual'!D238)*1000000+COUNTIF('Detalle individual'!$C$5:$C$1000,"&lt;"&amp;'Detalle individual'!C238)*1000+COUNTIF('Detalle individual'!$B$5:$B$1000,"&lt;"&amp;'Detalle individual'!B238)+ROW()/10000,"")</f>
        <v/>
      </c>
      <c r="AK238">
        <f>IF(OR('Base Exámenes'!C238="",'Base Exámenes'!D238=""),"",IF(COUNTIF('Base Exámenes'!$C$5:C238,'Base Exámenes'!C238)=1,'Base Exámenes'!D238+ROW()/1000000000,""))</f>
        <v>46309.63423635417</v>
      </c>
      <c r="AL238">
        <f>IF(OR('Base Exámenes'!C238="",'Base Exámenes'!E238=""),"",IF(COUNTIF('Base Exámenes'!$C$5:C238,'Base Exámenes'!C238)=1,'Base Exámenes'!E238+ROW()/1000000000,""))</f>
        <v>46309.63932894676</v>
      </c>
      <c r="AM238">
        <f>IF(OR('Base Exámenes'!C238="",'Base Exámenes'!G238=""),"",IF(ROW()-4=MATCH('Base Exámenes'!C238&amp;"|"&amp;_xlfn.MAXIFS('Base Exámenes'!$G$5:$G$1000,'Base Exámenes'!$C$5:$C$1000,'Base Exámenes'!C238),'Base Exámenes'!$I$5:$I$1000,0),'Base Exámenes'!G238*1000000+(-1)*'Base Exámenes'!D238,""))</f>
        <v>99953690.3657639</v>
      </c>
      <c r="AQ238" t="str">
        <f>IF('Base Exámenes'!C238="","",IF(COUNTIF('Base Exámenes'!$C$5:$C$1000,'Base Exámenes'!C238)&lt;2,"",MATCH('Base Exámenes'!C238,'Base Exámenes'!$C$5:$C$1000,0)*10000+ROW()))</f>
        <v/>
      </c>
    </row>
    <row r="239">
      <c r="Z239">
        <f>IF('Detalle individual'!A239="","",IF(AND(OR('Estado por Colaborador'!$D$4="Todas las gerencias",'Detalle individual'!D239='Estado por Colaborador'!$D$4),OR('Estado por Colaborador'!$D$5="Todos los departamentos",TRIM('Detalle individual'!C239)='Estado por Colaborador'!$D$5),OR('Estado por Colaborador'!$D$6="Todos",'Detalle individual'!F239='Estado por Colaborador'!$D$6)),IF('Detalle individual'!F239="Completado",30000000,IF('Detalle individual'!F239="Pendiente",0,15000000))+COUNTIF('Detalle individual'!$C$5:$C$1000,"&lt;"&amp;'Detalle individual'!C239)*10000+ROW(),""))</f>
        <v>37960239</v>
      </c>
      <c r="AB239" t="str">
        <f>IF('Detalle individual'!C239="","",IF(COUNTIF('Detalle individual'!$C$5:C239,'Detalle individual'!C239)=1,COUNTIF('Detalle individual'!$C$5:$C$1000,"&lt;"&amp;'Detalle individual'!C239),""))</f>
        <v/>
      </c>
      <c r="AC239" t="str">
        <f>IF('Detalle individual'!D239="","",IF(COUNTIF('Detalle individual'!$D$5:D239,'Detalle individual'!D239)=1,COUNTIF('Detalle individual'!$D$5:$D$1000,"&lt;"&amp;'Detalle individual'!D239),""))</f>
        <v/>
      </c>
      <c r="AH239" t="str">
        <f>IF('Detalle individual'!F239="Pendiente",COUNTIF('Detalle individual'!$D$5:$D$1000,"&lt;"&amp;'Detalle individual'!D239)*1000000+COUNTIF('Detalle individual'!$C$5:$C$1000,"&lt;"&amp;'Detalle individual'!C239)*1000+COUNTIF('Detalle individual'!$B$5:$B$1000,"&lt;"&amp;'Detalle individual'!B239)+ROW()/10000,"")</f>
        <v/>
      </c>
      <c r="AI239">
        <f>IF('Detalle individual'!F239="Completado",COUNTIF('Detalle individual'!$D$5:$D$1000,"&lt;"&amp;'Detalle individual'!D239)*1000000+COUNTIF('Detalle individual'!$C$5:$C$1000,"&lt;"&amp;'Detalle individual'!C239)*1000+COUNTIF('Detalle individual'!$B$5:$B$1000,"&lt;"&amp;'Detalle individual'!B239)+ROW()/10000,"")</f>
        <v>764796983.0239</v>
      </c>
      <c r="AJ239" t="str">
        <f>IF(AND('Detalle individual'!F239&lt;&gt;"",'Detalle individual'!F239&lt;&gt;"Completado",'Detalle individual'!F239&lt;&gt;"Pendiente"),COUNTIF('Detalle individual'!$D$5:$D$1000,"&lt;"&amp;'Detalle individual'!D239)*1000000+COUNTIF('Detalle individual'!$C$5:$C$1000,"&lt;"&amp;'Detalle individual'!C239)*1000+COUNTIF('Detalle individual'!$B$5:$B$1000,"&lt;"&amp;'Detalle individual'!B239)+ROW()/10000,"")</f>
        <v/>
      </c>
      <c r="AK239">
        <f>IF(OR('Base Exámenes'!C239="",'Base Exámenes'!D239=""),"",IF(COUNTIF('Base Exámenes'!$C$5:C239,'Base Exámenes'!C239)=1,'Base Exámenes'!D239+ROW()/1000000000,""))</f>
        <v>46309.63603033565</v>
      </c>
      <c r="AL239">
        <f>IF(OR('Base Exámenes'!C239="",'Base Exámenes'!E239=""),"",IF(COUNTIF('Base Exámenes'!$C$5:C239,'Base Exámenes'!C239)=1,'Base Exámenes'!E239+ROW()/1000000000,""))</f>
        <v>46309.639572002314</v>
      </c>
      <c r="AM239">
        <f>IF(OR('Base Exámenes'!C239="",'Base Exámenes'!G239=""),"",IF(ROW()-4=MATCH('Base Exámenes'!C239&amp;"|"&amp;_xlfn.MAXIFS('Base Exámenes'!$G$5:$G$1000,'Base Exámenes'!$C$5:$C$1000,'Base Exámenes'!C239),'Base Exámenes'!$I$5:$I$1000,0),'Base Exámenes'!G239*1000000+(-1)*'Base Exámenes'!D239,""))</f>
        <v>89953690.3639699</v>
      </c>
      <c r="AQ239" t="str">
        <f>IF('Base Exámenes'!C239="","",IF(COUNTIF('Base Exámenes'!$C$5:$C$1000,'Base Exámenes'!C239)&lt;2,"",MATCH('Base Exámenes'!C239,'Base Exámenes'!$C$5:$C$1000,0)*10000+ROW()))</f>
        <v/>
      </c>
    </row>
    <row r="240">
      <c r="Z240">
        <f>IF('Detalle individual'!A240="","",IF(AND(OR('Estado por Colaborador'!$D$4="Todas las gerencias",'Detalle individual'!D240='Estado por Colaborador'!$D$4),OR('Estado por Colaborador'!$D$5="Todos los departamentos",TRIM('Detalle individual'!C240)='Estado por Colaborador'!$D$5),OR('Estado por Colaborador'!$D$6="Todos",'Detalle individual'!F240='Estado por Colaborador'!$D$6)),IF('Detalle individual'!F240="Completado",30000000,IF('Detalle individual'!F240="Pendiente",0,15000000))+COUNTIF('Detalle individual'!$C$5:$C$1000,"&lt;"&amp;'Detalle individual'!C240)*10000+ROW(),""))</f>
        <v>37960240</v>
      </c>
      <c r="AB240" t="str">
        <f>IF('Detalle individual'!C240="","",IF(COUNTIF('Detalle individual'!$C$5:C240,'Detalle individual'!C240)=1,COUNTIF('Detalle individual'!$C$5:$C$1000,"&lt;"&amp;'Detalle individual'!C240),""))</f>
        <v/>
      </c>
      <c r="AC240" t="str">
        <f>IF('Detalle individual'!D240="","",IF(COUNTIF('Detalle individual'!$D$5:D240,'Detalle individual'!D240)=1,COUNTIF('Detalle individual'!$D$5:$D$1000,"&lt;"&amp;'Detalle individual'!D240),""))</f>
        <v/>
      </c>
      <c r="AH240" t="str">
        <f>IF('Detalle individual'!F240="Pendiente",COUNTIF('Detalle individual'!$D$5:$D$1000,"&lt;"&amp;'Detalle individual'!D240)*1000000+COUNTIF('Detalle individual'!$C$5:$C$1000,"&lt;"&amp;'Detalle individual'!C240)*1000+COUNTIF('Detalle individual'!$B$5:$B$1000,"&lt;"&amp;'Detalle individual'!B240)+ROW()/10000,"")</f>
        <v/>
      </c>
      <c r="AI240">
        <f>IF('Detalle individual'!F240="Completado",COUNTIF('Detalle individual'!$D$5:$D$1000,"&lt;"&amp;'Detalle individual'!D240)*1000000+COUNTIF('Detalle individual'!$C$5:$C$1000,"&lt;"&amp;'Detalle individual'!C240)*1000+COUNTIF('Detalle individual'!$B$5:$B$1000,"&lt;"&amp;'Detalle individual'!B240)+ROW()/10000,"")</f>
        <v>764796858.024</v>
      </c>
      <c r="AJ240" t="str">
        <f>IF(AND('Detalle individual'!F240&lt;&gt;"",'Detalle individual'!F240&lt;&gt;"Completado",'Detalle individual'!F240&lt;&gt;"Pendiente"),COUNTIF('Detalle individual'!$D$5:$D$1000,"&lt;"&amp;'Detalle individual'!D240)*1000000+COUNTIF('Detalle individual'!$C$5:$C$1000,"&lt;"&amp;'Detalle individual'!C240)*1000+COUNTIF('Detalle individual'!$B$5:$B$1000,"&lt;"&amp;'Detalle individual'!B240)+ROW()/10000,"")</f>
        <v/>
      </c>
      <c r="AK240">
        <f>IF(OR('Base Exámenes'!C240="",'Base Exámenes'!D240=""),"",IF(COUNTIF('Base Exámenes'!$C$5:C240,'Base Exámenes'!C240)=1,'Base Exámenes'!D240+ROW()/1000000000,""))</f>
        <v>46309.64625024306</v>
      </c>
      <c r="AL240">
        <f>IF(OR('Base Exámenes'!C240="",'Base Exámenes'!E240=""),"",IF(COUNTIF('Base Exámenes'!$C$5:C240,'Base Exámenes'!C240)=1,'Base Exámenes'!E240+ROW()/1000000000,""))</f>
        <v>46309.65164376157</v>
      </c>
      <c r="AM240">
        <f>IF(OR('Base Exámenes'!C240="",'Base Exámenes'!G240=""),"",IF(ROW()-4=MATCH('Base Exámenes'!C240&amp;"|"&amp;_xlfn.MAXIFS('Base Exámenes'!$G$5:$G$1000,'Base Exámenes'!$C$5:$C$1000,'Base Exámenes'!C240),'Base Exámenes'!$I$5:$I$1000,0),'Base Exámenes'!G240*1000000+(-1)*'Base Exámenes'!D240,""))</f>
        <v>99953690.35375</v>
      </c>
      <c r="AQ240" t="str">
        <f>IF('Base Exámenes'!C240="","",IF(COUNTIF('Base Exámenes'!$C$5:$C$1000,'Base Exámenes'!C240)&lt;2,"",MATCH('Base Exámenes'!C240,'Base Exámenes'!$C$5:$C$1000,0)*10000+ROW()))</f>
        <v/>
      </c>
    </row>
    <row r="241">
      <c r="Z241">
        <f>IF('Detalle individual'!A241="","",IF(AND(OR('Estado por Colaborador'!$D$4="Todas las gerencias",'Detalle individual'!D241='Estado por Colaborador'!$D$4),OR('Estado por Colaborador'!$D$5="Todos los departamentos",TRIM('Detalle individual'!C241)='Estado por Colaborador'!$D$5),OR('Estado por Colaborador'!$D$6="Todos",'Detalle individual'!F241='Estado por Colaborador'!$D$6)),IF('Detalle individual'!F241="Completado",30000000,IF('Detalle individual'!F241="Pendiente",0,15000000))+COUNTIF('Detalle individual'!$C$5:$C$1000,"&lt;"&amp;'Detalle individual'!C241)*10000+ROW(),""))</f>
        <v>37960241</v>
      </c>
      <c r="AB241" t="str">
        <f>IF('Detalle individual'!C241="","",IF(COUNTIF('Detalle individual'!$C$5:C241,'Detalle individual'!C241)=1,COUNTIF('Detalle individual'!$C$5:$C$1000,"&lt;"&amp;'Detalle individual'!C241),""))</f>
        <v/>
      </c>
      <c r="AC241" t="str">
        <f>IF('Detalle individual'!D241="","",IF(COUNTIF('Detalle individual'!$D$5:D241,'Detalle individual'!D241)=1,COUNTIF('Detalle individual'!$D$5:$D$1000,"&lt;"&amp;'Detalle individual'!D241),""))</f>
        <v/>
      </c>
      <c r="AH241" t="str">
        <f>IF('Detalle individual'!F241="Pendiente",COUNTIF('Detalle individual'!$D$5:$D$1000,"&lt;"&amp;'Detalle individual'!D241)*1000000+COUNTIF('Detalle individual'!$C$5:$C$1000,"&lt;"&amp;'Detalle individual'!C241)*1000+COUNTIF('Detalle individual'!$B$5:$B$1000,"&lt;"&amp;'Detalle individual'!B241)+ROW()/10000,"")</f>
        <v/>
      </c>
      <c r="AI241">
        <f>IF('Detalle individual'!F241="Completado",COUNTIF('Detalle individual'!$D$5:$D$1000,"&lt;"&amp;'Detalle individual'!D241)*1000000+COUNTIF('Detalle individual'!$C$5:$C$1000,"&lt;"&amp;'Detalle individual'!C241)*1000+COUNTIF('Detalle individual'!$B$5:$B$1000,"&lt;"&amp;'Detalle individual'!B241)+ROW()/10000,"")</f>
        <v>764796837.0241</v>
      </c>
      <c r="AJ241" t="str">
        <f>IF(AND('Detalle individual'!F241&lt;&gt;"",'Detalle individual'!F241&lt;&gt;"Completado",'Detalle individual'!F241&lt;&gt;"Pendiente"),COUNTIF('Detalle individual'!$D$5:$D$1000,"&lt;"&amp;'Detalle individual'!D241)*1000000+COUNTIF('Detalle individual'!$C$5:$C$1000,"&lt;"&amp;'Detalle individual'!C241)*1000+COUNTIF('Detalle individual'!$B$5:$B$1000,"&lt;"&amp;'Detalle individual'!B241)+ROW()/10000,"")</f>
        <v/>
      </c>
      <c r="AK241">
        <f>IF(OR('Base Exámenes'!C241="",'Base Exámenes'!D241=""),"",IF(COUNTIF('Base Exámenes'!$C$5:C241,'Base Exámenes'!C241)=1,'Base Exámenes'!D241+ROW()/1000000000,""))</f>
        <v>46309.665359039354</v>
      </c>
      <c r="AL241">
        <f>IF(OR('Base Exámenes'!C241="",'Base Exámenes'!E241=""),"",IF(COUNTIF('Base Exámenes'!$C$5:C241,'Base Exámenes'!C241)=1,'Base Exámenes'!E241+ROW()/1000000000,""))</f>
        <v>46309.67223403935</v>
      </c>
      <c r="AM241">
        <f>IF(OR('Base Exámenes'!C241="",'Base Exámenes'!G241=""),"",IF(ROW()-4=MATCH('Base Exámenes'!C241&amp;"|"&amp;_xlfn.MAXIFS('Base Exámenes'!$G$5:$G$1000,'Base Exámenes'!$C$5:$C$1000,'Base Exámenes'!C241),'Base Exámenes'!$I$5:$I$1000,0),'Base Exámenes'!G241*1000000+(-1)*'Base Exámenes'!D241,""))</f>
        <v>99953690.3346412</v>
      </c>
      <c r="AQ241" t="str">
        <f>IF('Base Exámenes'!C241="","",IF(COUNTIF('Base Exámenes'!$C$5:$C$1000,'Base Exámenes'!C241)&lt;2,"",MATCH('Base Exámenes'!C241,'Base Exámenes'!$C$5:$C$1000,0)*10000+ROW()))</f>
        <v/>
      </c>
    </row>
    <row r="242">
      <c r="Z242">
        <f>IF('Detalle individual'!A242="","",IF(AND(OR('Estado por Colaborador'!$D$4="Todas las gerencias",'Detalle individual'!D242='Estado por Colaborador'!$D$4),OR('Estado por Colaborador'!$D$5="Todos los departamentos",TRIM('Detalle individual'!C242)='Estado por Colaborador'!$D$5),OR('Estado por Colaborador'!$D$6="Todos",'Detalle individual'!F242='Estado por Colaborador'!$D$6)),IF('Detalle individual'!F242="Completado",30000000,IF('Detalle individual'!F242="Pendiente",0,15000000))+COUNTIF('Detalle individual'!$C$5:$C$1000,"&lt;"&amp;'Detalle individual'!C242)*10000+ROW(),""))</f>
        <v>37960242</v>
      </c>
      <c r="AB242" t="str">
        <f>IF('Detalle individual'!C242="","",IF(COUNTIF('Detalle individual'!$C$5:C242,'Detalle individual'!C242)=1,COUNTIF('Detalle individual'!$C$5:$C$1000,"&lt;"&amp;'Detalle individual'!C242),""))</f>
        <v/>
      </c>
      <c r="AC242" t="str">
        <f>IF('Detalle individual'!D242="","",IF(COUNTIF('Detalle individual'!$D$5:D242,'Detalle individual'!D242)=1,COUNTIF('Detalle individual'!$D$5:$D$1000,"&lt;"&amp;'Detalle individual'!D242),""))</f>
        <v/>
      </c>
      <c r="AH242" t="str">
        <f>IF('Detalle individual'!F242="Pendiente",COUNTIF('Detalle individual'!$D$5:$D$1000,"&lt;"&amp;'Detalle individual'!D242)*1000000+COUNTIF('Detalle individual'!$C$5:$C$1000,"&lt;"&amp;'Detalle individual'!C242)*1000+COUNTIF('Detalle individual'!$B$5:$B$1000,"&lt;"&amp;'Detalle individual'!B242)+ROW()/10000,"")</f>
        <v/>
      </c>
      <c r="AI242">
        <f>IF('Detalle individual'!F242="Completado",COUNTIF('Detalle individual'!$D$5:$D$1000,"&lt;"&amp;'Detalle individual'!D242)*1000000+COUNTIF('Detalle individual'!$C$5:$C$1000,"&lt;"&amp;'Detalle individual'!C242)*1000+COUNTIF('Detalle individual'!$B$5:$B$1000,"&lt;"&amp;'Detalle individual'!B242)+ROW()/10000,"")</f>
        <v>764796930.0242</v>
      </c>
      <c r="AJ242" t="str">
        <f>IF(AND('Detalle individual'!F242&lt;&gt;"",'Detalle individual'!F242&lt;&gt;"Completado",'Detalle individual'!F242&lt;&gt;"Pendiente"),COUNTIF('Detalle individual'!$D$5:$D$1000,"&lt;"&amp;'Detalle individual'!D242)*1000000+COUNTIF('Detalle individual'!$C$5:$C$1000,"&lt;"&amp;'Detalle individual'!C242)*1000+COUNTIF('Detalle individual'!$B$5:$B$1000,"&lt;"&amp;'Detalle individual'!B242)+ROW()/10000,"")</f>
        <v/>
      </c>
      <c r="AK242">
        <f>IF(OR('Base Exámenes'!C242="",'Base Exámenes'!D242=""),"",IF(COUNTIF('Base Exámenes'!$C$5:C242,'Base Exámenes'!C242)=1,'Base Exámenes'!D242+ROW()/1000000000,""))</f>
        <v>46309.66768542824</v>
      </c>
      <c r="AL242">
        <f>IF(OR('Base Exámenes'!C242="",'Base Exámenes'!E242=""),"",IF(COUNTIF('Base Exámenes'!$C$5:C242,'Base Exámenes'!C242)=1,'Base Exámenes'!E242+ROW()/1000000000,""))</f>
        <v>46309.67239607639</v>
      </c>
      <c r="AM242">
        <f>IF(OR('Base Exámenes'!C242="",'Base Exámenes'!G242=""),"",IF(ROW()-4=MATCH('Base Exámenes'!C242&amp;"|"&amp;_xlfn.MAXIFS('Base Exámenes'!$G$5:$G$1000,'Base Exámenes'!$C$5:$C$1000,'Base Exámenes'!C242),'Base Exámenes'!$I$5:$I$1000,0),'Base Exámenes'!G242*1000000+(-1)*'Base Exámenes'!D242,""))</f>
        <v>99953690.3323148</v>
      </c>
      <c r="AQ242" t="str">
        <f>IF('Base Exámenes'!C242="","",IF(COUNTIF('Base Exámenes'!$C$5:$C$1000,'Base Exámenes'!C242)&lt;2,"",MATCH('Base Exámenes'!C242,'Base Exámenes'!$C$5:$C$1000,0)*10000+ROW()))</f>
        <v/>
      </c>
    </row>
    <row r="243">
      <c r="Z243">
        <f>IF('Detalle individual'!A243="","",IF(AND(OR('Estado por Colaborador'!$D$4="Todas las gerencias",'Detalle individual'!D243='Estado por Colaborador'!$D$4),OR('Estado por Colaborador'!$D$5="Todos los departamentos",TRIM('Detalle individual'!C243)='Estado por Colaborador'!$D$5),OR('Estado por Colaborador'!$D$6="Todos",'Detalle individual'!F243='Estado por Colaborador'!$D$6)),IF('Detalle individual'!F243="Completado",30000000,IF('Detalle individual'!F243="Pendiente",0,15000000))+COUNTIF('Detalle individual'!$C$5:$C$1000,"&lt;"&amp;'Detalle individual'!C243)*10000+ROW(),""))</f>
        <v>37960243</v>
      </c>
      <c r="AB243" t="str">
        <f>IF('Detalle individual'!C243="","",IF(COUNTIF('Detalle individual'!$C$5:C243,'Detalle individual'!C243)=1,COUNTIF('Detalle individual'!$C$5:$C$1000,"&lt;"&amp;'Detalle individual'!C243),""))</f>
        <v/>
      </c>
      <c r="AC243" t="str">
        <f>IF('Detalle individual'!D243="","",IF(COUNTIF('Detalle individual'!$D$5:D243,'Detalle individual'!D243)=1,COUNTIF('Detalle individual'!$D$5:$D$1000,"&lt;"&amp;'Detalle individual'!D243),""))</f>
        <v/>
      </c>
      <c r="AH243" t="str">
        <f>IF('Detalle individual'!F243="Pendiente",COUNTIF('Detalle individual'!$D$5:$D$1000,"&lt;"&amp;'Detalle individual'!D243)*1000000+COUNTIF('Detalle individual'!$C$5:$C$1000,"&lt;"&amp;'Detalle individual'!C243)*1000+COUNTIF('Detalle individual'!$B$5:$B$1000,"&lt;"&amp;'Detalle individual'!B243)+ROW()/10000,"")</f>
        <v/>
      </c>
      <c r="AI243">
        <f>IF('Detalle individual'!F243="Completado",COUNTIF('Detalle individual'!$D$5:$D$1000,"&lt;"&amp;'Detalle individual'!D243)*1000000+COUNTIF('Detalle individual'!$C$5:$C$1000,"&lt;"&amp;'Detalle individual'!C243)*1000+COUNTIF('Detalle individual'!$B$5:$B$1000,"&lt;"&amp;'Detalle individual'!B243)+ROW()/10000,"")</f>
        <v>764796870.0243</v>
      </c>
      <c r="AJ243" t="str">
        <f>IF(AND('Detalle individual'!F243&lt;&gt;"",'Detalle individual'!F243&lt;&gt;"Completado",'Detalle individual'!F243&lt;&gt;"Pendiente"),COUNTIF('Detalle individual'!$D$5:$D$1000,"&lt;"&amp;'Detalle individual'!D243)*1000000+COUNTIF('Detalle individual'!$C$5:$C$1000,"&lt;"&amp;'Detalle individual'!C243)*1000+COUNTIF('Detalle individual'!$B$5:$B$1000,"&lt;"&amp;'Detalle individual'!B243)+ROW()/10000,"")</f>
        <v/>
      </c>
      <c r="AK243">
        <f>IF(OR('Base Exámenes'!C243="",'Base Exámenes'!D243=""),"",IF(COUNTIF('Base Exámenes'!$C$5:C243,'Base Exámenes'!C243)=1,'Base Exámenes'!D243+ROW()/1000000000,""))</f>
        <v>46309.66612292824</v>
      </c>
      <c r="AL243">
        <f>IF(OR('Base Exámenes'!C243="",'Base Exámenes'!E243=""),"",IF(COUNTIF('Base Exámenes'!$C$5:C243,'Base Exámenes'!C243)=1,'Base Exámenes'!E243+ROW()/1000000000,""))</f>
        <v>46309.67240765046</v>
      </c>
      <c r="AM243">
        <f>IF(OR('Base Exámenes'!C243="",'Base Exámenes'!G243=""),"",IF(ROW()-4=MATCH('Base Exámenes'!C243&amp;"|"&amp;_xlfn.MAXIFS('Base Exámenes'!$G$5:$G$1000,'Base Exámenes'!$C$5:$C$1000,'Base Exámenes'!C243),'Base Exámenes'!$I$5:$I$1000,0),'Base Exámenes'!G243*1000000+(-1)*'Base Exámenes'!D243,""))</f>
        <v>99953690.3338773</v>
      </c>
      <c r="AQ243" t="str">
        <f>IF('Base Exámenes'!C243="","",IF(COUNTIF('Base Exámenes'!$C$5:$C$1000,'Base Exámenes'!C243)&lt;2,"",MATCH('Base Exámenes'!C243,'Base Exámenes'!$C$5:$C$1000,0)*10000+ROW()))</f>
        <v/>
      </c>
    </row>
    <row r="244">
      <c r="Z244">
        <f>IF('Detalle individual'!A244="","",IF(AND(OR('Estado por Colaborador'!$D$4="Todas las gerencias",'Detalle individual'!D244='Estado por Colaborador'!$D$4),OR('Estado por Colaborador'!$D$5="Todos los departamentos",TRIM('Detalle individual'!C244)='Estado por Colaborador'!$D$5),OR('Estado por Colaborador'!$D$6="Todos",'Detalle individual'!F244='Estado por Colaborador'!$D$6)),IF('Detalle individual'!F244="Completado",30000000,IF('Detalle individual'!F244="Pendiente",0,15000000))+COUNTIF('Detalle individual'!$C$5:$C$1000,"&lt;"&amp;'Detalle individual'!C244)*10000+ROW(),""))</f>
        <v>37590244</v>
      </c>
      <c r="AB244">
        <f>IF('Detalle individual'!C244="","",IF(COUNTIF('Detalle individual'!$C$5:C244,'Detalle individual'!C244)=1,COUNTIF('Detalle individual'!$C$5:$C$1000,"&lt;"&amp;'Detalle individual'!C244),""))</f>
        <v>759</v>
      </c>
      <c r="AC244" t="str">
        <f>IF('Detalle individual'!D244="","",IF(COUNTIF('Detalle individual'!$D$5:D244,'Detalle individual'!D244)=1,COUNTIF('Detalle individual'!$D$5:$D$1000,"&lt;"&amp;'Detalle individual'!D244),""))</f>
        <v/>
      </c>
      <c r="AH244" t="str">
        <f>IF('Detalle individual'!F244="Pendiente",COUNTIF('Detalle individual'!$D$5:$D$1000,"&lt;"&amp;'Detalle individual'!D244)*1000000+COUNTIF('Detalle individual'!$C$5:$C$1000,"&lt;"&amp;'Detalle individual'!C244)*1000+COUNTIF('Detalle individual'!$B$5:$B$1000,"&lt;"&amp;'Detalle individual'!B244)+ROW()/10000,"")</f>
        <v/>
      </c>
      <c r="AI244">
        <f>IF('Detalle individual'!F244="Completado",COUNTIF('Detalle individual'!$D$5:$D$1000,"&lt;"&amp;'Detalle individual'!D244)*1000000+COUNTIF('Detalle individual'!$C$5:$C$1000,"&lt;"&amp;'Detalle individual'!C244)*1000+COUNTIF('Detalle individual'!$B$5:$B$1000,"&lt;"&amp;'Detalle individual'!B244)+ROW()/10000,"")</f>
        <v>764759946.0244</v>
      </c>
      <c r="AJ244" t="str">
        <f>IF(AND('Detalle individual'!F244&lt;&gt;"",'Detalle individual'!F244&lt;&gt;"Completado",'Detalle individual'!F244&lt;&gt;"Pendiente"),COUNTIF('Detalle individual'!$D$5:$D$1000,"&lt;"&amp;'Detalle individual'!D244)*1000000+COUNTIF('Detalle individual'!$C$5:$C$1000,"&lt;"&amp;'Detalle individual'!C244)*1000+COUNTIF('Detalle individual'!$B$5:$B$1000,"&lt;"&amp;'Detalle individual'!B244)+ROW()/10000,"")</f>
        <v/>
      </c>
      <c r="AK244">
        <f>IF(OR('Base Exámenes'!C244="",'Base Exámenes'!D244=""),"",IF(COUNTIF('Base Exámenes'!$C$5:C244,'Base Exámenes'!C244)=1,'Base Exámenes'!D244+ROW()/1000000000,""))</f>
        <v>46309.670648391206</v>
      </c>
      <c r="AL244">
        <f>IF(OR('Base Exámenes'!C244="",'Base Exámenes'!E244=""),"",IF(COUNTIF('Base Exámenes'!$C$5:C244,'Base Exámenes'!C244)=1,'Base Exámenes'!E244+ROW()/1000000000,""))</f>
        <v>46309.682928483795</v>
      </c>
      <c r="AM244">
        <f>IF(OR('Base Exámenes'!C244="",'Base Exámenes'!G244=""),"",IF(ROW()-4=MATCH('Base Exámenes'!C244&amp;"|"&amp;_xlfn.MAXIFS('Base Exámenes'!$G$5:$G$1000,'Base Exámenes'!$C$5:$C$1000,'Base Exámenes'!C244),'Base Exámenes'!$I$5:$I$1000,0),'Base Exámenes'!G244*1000000+(-1)*'Base Exámenes'!D244,""))</f>
        <v>99953690.3293519</v>
      </c>
      <c r="AQ244" t="str">
        <f>IF('Base Exámenes'!C244="","",IF(COUNTIF('Base Exámenes'!$C$5:$C$1000,'Base Exámenes'!C244)&lt;2,"",MATCH('Base Exámenes'!C244,'Base Exámenes'!$C$5:$C$1000,0)*10000+ROW()))</f>
        <v/>
      </c>
    </row>
    <row r="245">
      <c r="Z245">
        <f>IF('Detalle individual'!A245="","",IF(AND(OR('Estado por Colaborador'!$D$4="Todas las gerencias",'Detalle individual'!D245='Estado por Colaborador'!$D$4),OR('Estado por Colaborador'!$D$5="Todos los departamentos",TRIM('Detalle individual'!C245)='Estado por Colaborador'!$D$5),OR('Estado por Colaborador'!$D$6="Todos",'Detalle individual'!F245='Estado por Colaborador'!$D$6)),IF('Detalle individual'!F245="Completado",30000000,IF('Detalle individual'!F245="Pendiente",0,15000000))+COUNTIF('Detalle individual'!$C$5:$C$1000,"&lt;"&amp;'Detalle individual'!C245)*10000+ROW(),""))</f>
        <v>37590245</v>
      </c>
      <c r="AB245" t="str">
        <f>IF('Detalle individual'!C245="","",IF(COUNTIF('Detalle individual'!$C$5:C245,'Detalle individual'!C245)=1,COUNTIF('Detalle individual'!$C$5:$C$1000,"&lt;"&amp;'Detalle individual'!C245),""))</f>
        <v/>
      </c>
      <c r="AC245" t="str">
        <f>IF('Detalle individual'!D245="","",IF(COUNTIF('Detalle individual'!$D$5:D245,'Detalle individual'!D245)=1,COUNTIF('Detalle individual'!$D$5:$D$1000,"&lt;"&amp;'Detalle individual'!D245),""))</f>
        <v/>
      </c>
      <c r="AH245" t="str">
        <f>IF('Detalle individual'!F245="Pendiente",COUNTIF('Detalle individual'!$D$5:$D$1000,"&lt;"&amp;'Detalle individual'!D245)*1000000+COUNTIF('Detalle individual'!$C$5:$C$1000,"&lt;"&amp;'Detalle individual'!C245)*1000+COUNTIF('Detalle individual'!$B$5:$B$1000,"&lt;"&amp;'Detalle individual'!B245)+ROW()/10000,"")</f>
        <v/>
      </c>
      <c r="AI245">
        <f>IF('Detalle individual'!F245="Completado",COUNTIF('Detalle individual'!$D$5:$D$1000,"&lt;"&amp;'Detalle individual'!D245)*1000000+COUNTIF('Detalle individual'!$C$5:$C$1000,"&lt;"&amp;'Detalle individual'!C245)*1000+COUNTIF('Detalle individual'!$B$5:$B$1000,"&lt;"&amp;'Detalle individual'!B245)+ROW()/10000,"")</f>
        <v>764759942.0245</v>
      </c>
      <c r="AJ245" t="str">
        <f>IF(AND('Detalle individual'!F245&lt;&gt;"",'Detalle individual'!F245&lt;&gt;"Completado",'Detalle individual'!F245&lt;&gt;"Pendiente"),COUNTIF('Detalle individual'!$D$5:$D$1000,"&lt;"&amp;'Detalle individual'!D245)*1000000+COUNTIF('Detalle individual'!$C$5:$C$1000,"&lt;"&amp;'Detalle individual'!C245)*1000+COUNTIF('Detalle individual'!$B$5:$B$1000,"&lt;"&amp;'Detalle individual'!B245)+ROW()/10000,"")</f>
        <v/>
      </c>
      <c r="AK245">
        <f>IF(OR('Base Exámenes'!C245="",'Base Exámenes'!D245=""),"",IF(COUNTIF('Base Exámenes'!$C$5:C245,'Base Exámenes'!C245)=1,'Base Exámenes'!D245+ROW()/1000000000,""))</f>
        <v>46309.704375243055</v>
      </c>
      <c r="AL245">
        <f>IF(OR('Base Exámenes'!C245="",'Base Exámenes'!E245=""),"",IF(COUNTIF('Base Exámenes'!$C$5:C245,'Base Exámenes'!C245)=1,'Base Exámenes'!E245+ROW()/1000000000,""))</f>
        <v>46309.70938681713</v>
      </c>
      <c r="AM245">
        <f>IF(OR('Base Exámenes'!C245="",'Base Exámenes'!G245=""),"",IF(ROW()-4=MATCH('Base Exámenes'!C245&amp;"|"&amp;_xlfn.MAXIFS('Base Exámenes'!$G$5:$G$1000,'Base Exámenes'!$C$5:$C$1000,'Base Exámenes'!C245),'Base Exámenes'!$I$5:$I$1000,0),'Base Exámenes'!G245*1000000+(-1)*'Base Exámenes'!D245,""))</f>
        <v>99953690.295625</v>
      </c>
      <c r="AQ245" t="str">
        <f>IF('Base Exámenes'!C245="","",IF(COUNTIF('Base Exámenes'!$C$5:$C$1000,'Base Exámenes'!C245)&lt;2,"",MATCH('Base Exámenes'!C245,'Base Exámenes'!$C$5:$C$1000,0)*10000+ROW()))</f>
        <v/>
      </c>
    </row>
    <row r="246">
      <c r="Z246">
        <f>IF('Detalle individual'!A246="","",IF(AND(OR('Estado por Colaborador'!$D$4="Todas las gerencias",'Detalle individual'!D246='Estado por Colaborador'!$D$4),OR('Estado por Colaborador'!$D$5="Todos los departamentos",TRIM('Detalle individual'!C246)='Estado por Colaborador'!$D$5),OR('Estado por Colaborador'!$D$6="Todos",'Detalle individual'!F246='Estado por Colaborador'!$D$6)),IF('Detalle individual'!F246="Completado",30000000,IF('Detalle individual'!F246="Pendiente",0,15000000))+COUNTIF('Detalle individual'!$C$5:$C$1000,"&lt;"&amp;'Detalle individual'!C246)*10000+ROW(),""))</f>
        <v>37590246</v>
      </c>
      <c r="AB246" t="str">
        <f>IF('Detalle individual'!C246="","",IF(COUNTIF('Detalle individual'!$C$5:C246,'Detalle individual'!C246)=1,COUNTIF('Detalle individual'!$C$5:$C$1000,"&lt;"&amp;'Detalle individual'!C246),""))</f>
        <v/>
      </c>
      <c r="AC246" t="str">
        <f>IF('Detalle individual'!D246="","",IF(COUNTIF('Detalle individual'!$D$5:D246,'Detalle individual'!D246)=1,COUNTIF('Detalle individual'!$D$5:$D$1000,"&lt;"&amp;'Detalle individual'!D246),""))</f>
        <v/>
      </c>
      <c r="AH246" t="str">
        <f>IF('Detalle individual'!F246="Pendiente",COUNTIF('Detalle individual'!$D$5:$D$1000,"&lt;"&amp;'Detalle individual'!D246)*1000000+COUNTIF('Detalle individual'!$C$5:$C$1000,"&lt;"&amp;'Detalle individual'!C246)*1000+COUNTIF('Detalle individual'!$B$5:$B$1000,"&lt;"&amp;'Detalle individual'!B246)+ROW()/10000,"")</f>
        <v/>
      </c>
      <c r="AI246">
        <f>IF('Detalle individual'!F246="Completado",COUNTIF('Detalle individual'!$D$5:$D$1000,"&lt;"&amp;'Detalle individual'!D246)*1000000+COUNTIF('Detalle individual'!$C$5:$C$1000,"&lt;"&amp;'Detalle individual'!C246)*1000+COUNTIF('Detalle individual'!$B$5:$B$1000,"&lt;"&amp;'Detalle individual'!B246)+ROW()/10000,"")</f>
        <v>764759781.0246</v>
      </c>
      <c r="AJ246" t="str">
        <f>IF(AND('Detalle individual'!F246&lt;&gt;"",'Detalle individual'!F246&lt;&gt;"Completado",'Detalle individual'!F246&lt;&gt;"Pendiente"),COUNTIF('Detalle individual'!$D$5:$D$1000,"&lt;"&amp;'Detalle individual'!D246)*1000000+COUNTIF('Detalle individual'!$C$5:$C$1000,"&lt;"&amp;'Detalle individual'!C246)*1000+COUNTIF('Detalle individual'!$B$5:$B$1000,"&lt;"&amp;'Detalle individual'!B246)+ROW()/10000,"")</f>
        <v/>
      </c>
      <c r="AK246">
        <f>IF(OR('Base Exámenes'!C246="",'Base Exámenes'!D246=""),"",IF(COUNTIF('Base Exámenes'!$C$5:C246,'Base Exámenes'!C246)=1,'Base Exámenes'!D246+ROW()/1000000000,""))</f>
        <v>46309.73905116898</v>
      </c>
      <c r="AL246">
        <f>IF(OR('Base Exámenes'!C246="",'Base Exámenes'!E246=""),"",IF(COUNTIF('Base Exámenes'!$C$5:C246,'Base Exámenes'!C246)=1,'Base Exámenes'!E246+ROW()/1000000000,""))</f>
        <v>46309.74121552084</v>
      </c>
      <c r="AM246">
        <f>IF(OR('Base Exámenes'!C246="",'Base Exámenes'!G246=""),"",IF(ROW()-4=MATCH('Base Exámenes'!C246&amp;"|"&amp;_xlfn.MAXIFS('Base Exámenes'!$G$5:$G$1000,'Base Exámenes'!$C$5:$C$1000,'Base Exámenes'!C246),'Base Exámenes'!$I$5:$I$1000,0),'Base Exámenes'!G246*1000000+(-1)*'Base Exámenes'!D246,""))</f>
        <v>99953690.2609491</v>
      </c>
      <c r="AQ246" t="str">
        <f>IF('Base Exámenes'!C246="","",IF(COUNTIF('Base Exámenes'!$C$5:$C$1000,'Base Exámenes'!C246)&lt;2,"",MATCH('Base Exámenes'!C246,'Base Exámenes'!$C$5:$C$1000,0)*10000+ROW()))</f>
        <v/>
      </c>
    </row>
    <row r="247">
      <c r="Z247">
        <f>IF('Detalle individual'!A247="","",IF(AND(OR('Estado por Colaborador'!$D$4="Todas las gerencias",'Detalle individual'!D247='Estado por Colaborador'!$D$4),OR('Estado por Colaborador'!$D$5="Todos los departamentos",TRIM('Detalle individual'!C247)='Estado por Colaborador'!$D$5),OR('Estado por Colaborador'!$D$6="Todos",'Detalle individual'!F247='Estado por Colaborador'!$D$6)),IF('Detalle individual'!F247="Completado",30000000,IF('Detalle individual'!F247="Pendiente",0,15000000))+COUNTIF('Detalle individual'!$C$5:$C$1000,"&lt;"&amp;'Detalle individual'!C247)*10000+ROW(),""))</f>
        <v>37590247</v>
      </c>
      <c r="AB247" t="str">
        <f>IF('Detalle individual'!C247="","",IF(COUNTIF('Detalle individual'!$C$5:C247,'Detalle individual'!C247)=1,COUNTIF('Detalle individual'!$C$5:$C$1000,"&lt;"&amp;'Detalle individual'!C247),""))</f>
        <v/>
      </c>
      <c r="AC247" t="str">
        <f>IF('Detalle individual'!D247="","",IF(COUNTIF('Detalle individual'!$D$5:D247,'Detalle individual'!D247)=1,COUNTIF('Detalle individual'!$D$5:$D$1000,"&lt;"&amp;'Detalle individual'!D247),""))</f>
        <v/>
      </c>
      <c r="AH247" t="str">
        <f>IF('Detalle individual'!F247="Pendiente",COUNTIF('Detalle individual'!$D$5:$D$1000,"&lt;"&amp;'Detalle individual'!D247)*1000000+COUNTIF('Detalle individual'!$C$5:$C$1000,"&lt;"&amp;'Detalle individual'!C247)*1000+COUNTIF('Detalle individual'!$B$5:$B$1000,"&lt;"&amp;'Detalle individual'!B247)+ROW()/10000,"")</f>
        <v/>
      </c>
      <c r="AI247">
        <f>IF('Detalle individual'!F247="Completado",COUNTIF('Detalle individual'!$D$5:$D$1000,"&lt;"&amp;'Detalle individual'!D247)*1000000+COUNTIF('Detalle individual'!$C$5:$C$1000,"&lt;"&amp;'Detalle individual'!C247)*1000+COUNTIF('Detalle individual'!$B$5:$B$1000,"&lt;"&amp;'Detalle individual'!B247)+ROW()/10000,"")</f>
        <v>764759759.0247</v>
      </c>
      <c r="AJ247" t="str">
        <f>IF(AND('Detalle individual'!F247&lt;&gt;"",'Detalle individual'!F247&lt;&gt;"Completado",'Detalle individual'!F247&lt;&gt;"Pendiente"),COUNTIF('Detalle individual'!$D$5:$D$1000,"&lt;"&amp;'Detalle individual'!D247)*1000000+COUNTIF('Detalle individual'!$C$5:$C$1000,"&lt;"&amp;'Detalle individual'!C247)*1000+COUNTIF('Detalle individual'!$B$5:$B$1000,"&lt;"&amp;'Detalle individual'!B247)+ROW()/10000,"")</f>
        <v/>
      </c>
      <c r="AK247">
        <f>IF(OR('Base Exámenes'!C247="",'Base Exámenes'!D247=""),"",IF(COUNTIF('Base Exámenes'!$C$5:C247,'Base Exámenes'!C247)=1,'Base Exámenes'!D247+ROW()/1000000000,""))</f>
        <v>46310.508900706016</v>
      </c>
      <c r="AL247">
        <f>IF(OR('Base Exámenes'!C247="",'Base Exámenes'!E247=""),"",IF(COUNTIF('Base Exámenes'!$C$5:C247,'Base Exámenes'!C247)=1,'Base Exámenes'!E247+ROW()/1000000000,""))</f>
        <v>46310.511470150464</v>
      </c>
      <c r="AM247">
        <f>IF(OR('Base Exámenes'!C247="",'Base Exámenes'!G247=""),"",IF(ROW()-4=MATCH('Base Exámenes'!C247&amp;"|"&amp;_xlfn.MAXIFS('Base Exámenes'!$G$5:$G$1000,'Base Exámenes'!$C$5:$C$1000,'Base Exámenes'!C247),'Base Exámenes'!$I$5:$I$1000,0),'Base Exámenes'!G247*1000000+(-1)*'Base Exámenes'!D247,""))</f>
        <v>99953689.4910995</v>
      </c>
      <c r="AQ247" t="str">
        <f>IF('Base Exámenes'!C247="","",IF(COUNTIF('Base Exámenes'!$C$5:$C$1000,'Base Exámenes'!C247)&lt;2,"",MATCH('Base Exámenes'!C247,'Base Exámenes'!$C$5:$C$1000,0)*10000+ROW()))</f>
        <v/>
      </c>
    </row>
    <row r="248">
      <c r="Z248">
        <f>IF('Detalle individual'!A248="","",IF(AND(OR('Estado por Colaborador'!$D$4="Todas las gerencias",'Detalle individual'!D248='Estado por Colaborador'!$D$4),OR('Estado por Colaborador'!$D$5="Todos los departamentos",TRIM('Detalle individual'!C248)='Estado por Colaborador'!$D$5),OR('Estado por Colaborador'!$D$6="Todos",'Detalle individual'!F248='Estado por Colaborador'!$D$6)),IF('Detalle individual'!F248="Completado",30000000,IF('Detalle individual'!F248="Pendiente",0,15000000))+COUNTIF('Detalle individual'!$C$5:$C$1000,"&lt;"&amp;'Detalle individual'!C248)*10000+ROW(),""))</f>
        <v>37590248</v>
      </c>
      <c r="AB248" t="str">
        <f>IF('Detalle individual'!C248="","",IF(COUNTIF('Detalle individual'!$C$5:C248,'Detalle individual'!C248)=1,COUNTIF('Detalle individual'!$C$5:$C$1000,"&lt;"&amp;'Detalle individual'!C248),""))</f>
        <v/>
      </c>
      <c r="AC248" t="str">
        <f>IF('Detalle individual'!D248="","",IF(COUNTIF('Detalle individual'!$D$5:D248,'Detalle individual'!D248)=1,COUNTIF('Detalle individual'!$D$5:$D$1000,"&lt;"&amp;'Detalle individual'!D248),""))</f>
        <v/>
      </c>
      <c r="AH248" t="str">
        <f>IF('Detalle individual'!F248="Pendiente",COUNTIF('Detalle individual'!$D$5:$D$1000,"&lt;"&amp;'Detalle individual'!D248)*1000000+COUNTIF('Detalle individual'!$C$5:$C$1000,"&lt;"&amp;'Detalle individual'!C248)*1000+COUNTIF('Detalle individual'!$B$5:$B$1000,"&lt;"&amp;'Detalle individual'!B248)+ROW()/10000,"")</f>
        <v/>
      </c>
      <c r="AI248">
        <f>IF('Detalle individual'!F248="Completado",COUNTIF('Detalle individual'!$D$5:$D$1000,"&lt;"&amp;'Detalle individual'!D248)*1000000+COUNTIF('Detalle individual'!$C$5:$C$1000,"&lt;"&amp;'Detalle individual'!C248)*1000+COUNTIF('Detalle individual'!$B$5:$B$1000,"&lt;"&amp;'Detalle individual'!B248)+ROW()/10000,"")</f>
        <v>764759933.0248</v>
      </c>
      <c r="AJ248" t="str">
        <f>IF(AND('Detalle individual'!F248&lt;&gt;"",'Detalle individual'!F248&lt;&gt;"Completado",'Detalle individual'!F248&lt;&gt;"Pendiente"),COUNTIF('Detalle individual'!$D$5:$D$1000,"&lt;"&amp;'Detalle individual'!D248)*1000000+COUNTIF('Detalle individual'!$C$5:$C$1000,"&lt;"&amp;'Detalle individual'!C248)*1000+COUNTIF('Detalle individual'!$B$5:$B$1000,"&lt;"&amp;'Detalle individual'!B248)+ROW()/10000,"")</f>
        <v/>
      </c>
      <c r="AK248">
        <f>IF(OR('Base Exámenes'!C248="",'Base Exámenes'!D248=""),"",IF(COUNTIF('Base Exámenes'!$C$5:C248,'Base Exámenes'!C248)=1,'Base Exámenes'!D248+ROW()/1000000000,""))</f>
        <v>46310.508530335646</v>
      </c>
      <c r="AL248">
        <f>IF(OR('Base Exámenes'!C248="",'Base Exámenes'!E248=""),"",IF(COUNTIF('Base Exámenes'!$C$5:C248,'Base Exámenes'!C248)=1,'Base Exámenes'!E248+ROW()/1000000000,""))</f>
        <v>46310.51637755787</v>
      </c>
      <c r="AM248">
        <f>IF(OR('Base Exámenes'!C248="",'Base Exámenes'!G248=""),"",IF(ROW()-4=MATCH('Base Exámenes'!C248&amp;"|"&amp;_xlfn.MAXIFS('Base Exámenes'!$G$5:$G$1000,'Base Exámenes'!$C$5:$C$1000,'Base Exámenes'!C248),'Base Exámenes'!$I$5:$I$1000,0),'Base Exámenes'!G248*1000000+(-1)*'Base Exámenes'!D248,""))</f>
        <v>99953689.4914699</v>
      </c>
      <c r="AQ248" t="str">
        <f>IF('Base Exámenes'!C248="","",IF(COUNTIF('Base Exámenes'!$C$5:$C$1000,'Base Exámenes'!C248)&lt;2,"",MATCH('Base Exámenes'!C248,'Base Exámenes'!$C$5:$C$1000,0)*10000+ROW()))</f>
        <v/>
      </c>
    </row>
    <row r="249">
      <c r="Z249">
        <f>IF('Detalle individual'!A249="","",IF(AND(OR('Estado por Colaborador'!$D$4="Todas las gerencias",'Detalle individual'!D249='Estado por Colaborador'!$D$4),OR('Estado por Colaborador'!$D$5="Todos los departamentos",TRIM('Detalle individual'!C249)='Estado por Colaborador'!$D$5),OR('Estado por Colaborador'!$D$6="Todos",'Detalle individual'!F249='Estado por Colaborador'!$D$6)),IF('Detalle individual'!F249="Completado",30000000,IF('Detalle individual'!F249="Pendiente",0,15000000))+COUNTIF('Detalle individual'!$C$5:$C$1000,"&lt;"&amp;'Detalle individual'!C249)*10000+ROW(),""))</f>
        <v>37590249</v>
      </c>
      <c r="AB249" t="str">
        <f>IF('Detalle individual'!C249="","",IF(COUNTIF('Detalle individual'!$C$5:C249,'Detalle individual'!C249)=1,COUNTIF('Detalle individual'!$C$5:$C$1000,"&lt;"&amp;'Detalle individual'!C249),""))</f>
        <v/>
      </c>
      <c r="AC249" t="str">
        <f>IF('Detalle individual'!D249="","",IF(COUNTIF('Detalle individual'!$D$5:D249,'Detalle individual'!D249)=1,COUNTIF('Detalle individual'!$D$5:$D$1000,"&lt;"&amp;'Detalle individual'!D249),""))</f>
        <v/>
      </c>
      <c r="AH249" t="str">
        <f>IF('Detalle individual'!F249="Pendiente",COUNTIF('Detalle individual'!$D$5:$D$1000,"&lt;"&amp;'Detalle individual'!D249)*1000000+COUNTIF('Detalle individual'!$C$5:$C$1000,"&lt;"&amp;'Detalle individual'!C249)*1000+COUNTIF('Detalle individual'!$B$5:$B$1000,"&lt;"&amp;'Detalle individual'!B249)+ROW()/10000,"")</f>
        <v/>
      </c>
      <c r="AI249">
        <f>IF('Detalle individual'!F249="Completado",COUNTIF('Detalle individual'!$D$5:$D$1000,"&lt;"&amp;'Detalle individual'!D249)*1000000+COUNTIF('Detalle individual'!$C$5:$C$1000,"&lt;"&amp;'Detalle individual'!C249)*1000+COUNTIF('Detalle individual'!$B$5:$B$1000,"&lt;"&amp;'Detalle individual'!B249)+ROW()/10000,"")</f>
        <v>764759834.0249</v>
      </c>
      <c r="AJ249" t="str">
        <f>IF(AND('Detalle individual'!F249&lt;&gt;"",'Detalle individual'!F249&lt;&gt;"Completado",'Detalle individual'!F249&lt;&gt;"Pendiente"),COUNTIF('Detalle individual'!$D$5:$D$1000,"&lt;"&amp;'Detalle individual'!D249)*1000000+COUNTIF('Detalle individual'!$C$5:$C$1000,"&lt;"&amp;'Detalle individual'!C249)*1000+COUNTIF('Detalle individual'!$B$5:$B$1000,"&lt;"&amp;'Detalle individual'!B249)+ROW()/10000,"")</f>
        <v/>
      </c>
      <c r="AK249">
        <f>IF(OR('Base Exámenes'!C249="",'Base Exámenes'!D249=""),"",IF(COUNTIF('Base Exámenes'!$C$5:C249,'Base Exámenes'!C249)=1,'Base Exámenes'!D249+ROW()/1000000000,""))</f>
        <v>46310.513403032404</v>
      </c>
      <c r="AL249">
        <f>IF(OR('Base Exámenes'!C249="",'Base Exámenes'!E249=""),"",IF(COUNTIF('Base Exámenes'!$C$5:C249,'Base Exámenes'!C249)=1,'Base Exámenes'!E249+ROW()/1000000000,""))</f>
        <v>46310.516701643515</v>
      </c>
      <c r="AM249">
        <f>IF(OR('Base Exámenes'!C249="",'Base Exámenes'!G249=""),"",IF(ROW()-4=MATCH('Base Exámenes'!C249&amp;"|"&amp;_xlfn.MAXIFS('Base Exámenes'!$G$5:$G$1000,'Base Exámenes'!$C$5:$C$1000,'Base Exámenes'!C249),'Base Exámenes'!$I$5:$I$1000,0),'Base Exámenes'!G249*1000000+(-1)*'Base Exámenes'!D249,""))</f>
        <v>89953689.4865972</v>
      </c>
      <c r="AQ249" t="str">
        <f>IF('Base Exámenes'!C249="","",IF(COUNTIF('Base Exámenes'!$C$5:$C$1000,'Base Exámenes'!C249)&lt;2,"",MATCH('Base Exámenes'!C249,'Base Exámenes'!$C$5:$C$1000,0)*10000+ROW()))</f>
        <v/>
      </c>
    </row>
    <row r="250">
      <c r="Z250">
        <f>IF('Detalle individual'!A250="","",IF(AND(OR('Estado por Colaborador'!$D$4="Todas las gerencias",'Detalle individual'!D250='Estado por Colaborador'!$D$4),OR('Estado por Colaborador'!$D$5="Todos los departamentos",TRIM('Detalle individual'!C250)='Estado por Colaborador'!$D$5),OR('Estado por Colaborador'!$D$6="Todos",'Detalle individual'!F250='Estado por Colaborador'!$D$6)),IF('Detalle individual'!F250="Completado",30000000,IF('Detalle individual'!F250="Pendiente",0,15000000))+COUNTIF('Detalle individual'!$C$5:$C$1000,"&lt;"&amp;'Detalle individual'!C250)*10000+ROW(),""))</f>
        <v>37590250</v>
      </c>
      <c r="AB250" t="str">
        <f>IF('Detalle individual'!C250="","",IF(COUNTIF('Detalle individual'!$C$5:C250,'Detalle individual'!C250)=1,COUNTIF('Detalle individual'!$C$5:$C$1000,"&lt;"&amp;'Detalle individual'!C250),""))</f>
        <v/>
      </c>
      <c r="AC250" t="str">
        <f>IF('Detalle individual'!D250="","",IF(COUNTIF('Detalle individual'!$D$5:D250,'Detalle individual'!D250)=1,COUNTIF('Detalle individual'!$D$5:$D$1000,"&lt;"&amp;'Detalle individual'!D250),""))</f>
        <v/>
      </c>
      <c r="AH250" t="str">
        <f>IF('Detalle individual'!F250="Pendiente",COUNTIF('Detalle individual'!$D$5:$D$1000,"&lt;"&amp;'Detalle individual'!D250)*1000000+COUNTIF('Detalle individual'!$C$5:$C$1000,"&lt;"&amp;'Detalle individual'!C250)*1000+COUNTIF('Detalle individual'!$B$5:$B$1000,"&lt;"&amp;'Detalle individual'!B250)+ROW()/10000,"")</f>
        <v/>
      </c>
      <c r="AI250">
        <f>IF('Detalle individual'!F250="Completado",COUNTIF('Detalle individual'!$D$5:$D$1000,"&lt;"&amp;'Detalle individual'!D250)*1000000+COUNTIF('Detalle individual'!$C$5:$C$1000,"&lt;"&amp;'Detalle individual'!C250)*1000+COUNTIF('Detalle individual'!$B$5:$B$1000,"&lt;"&amp;'Detalle individual'!B250)+ROW()/10000,"")</f>
        <v>764759875.025</v>
      </c>
      <c r="AJ250" t="str">
        <f>IF(AND('Detalle individual'!F250&lt;&gt;"",'Detalle individual'!F250&lt;&gt;"Completado",'Detalle individual'!F250&lt;&gt;"Pendiente"),COUNTIF('Detalle individual'!$D$5:$D$1000,"&lt;"&amp;'Detalle individual'!D250)*1000000+COUNTIF('Detalle individual'!$C$5:$C$1000,"&lt;"&amp;'Detalle individual'!C250)*1000+COUNTIF('Detalle individual'!$B$5:$B$1000,"&lt;"&amp;'Detalle individual'!B250)+ROW()/10000,"")</f>
        <v/>
      </c>
      <c r="AK250">
        <f>IF(OR('Base Exámenes'!C250="",'Base Exámenes'!D250=""),"",IF(COUNTIF('Base Exámenes'!$C$5:C250,'Base Exámenes'!C250)=1,'Base Exámenes'!D250+ROW()/1000000000,""))</f>
        <v>46310.51609979167</v>
      </c>
      <c r="AL250">
        <f>IF(OR('Base Exámenes'!C250="",'Base Exámenes'!E250=""),"",IF(COUNTIF('Base Exámenes'!$C$5:C250,'Base Exámenes'!C250)=1,'Base Exámenes'!E250+ROW()/1000000000,""))</f>
        <v>46310.52071784722</v>
      </c>
      <c r="AM250">
        <f>IF(OR('Base Exámenes'!C250="",'Base Exámenes'!G250=""),"",IF(ROW()-4=MATCH('Base Exámenes'!C250&amp;"|"&amp;_xlfn.MAXIFS('Base Exámenes'!$G$5:$G$1000,'Base Exámenes'!$C$5:$C$1000,'Base Exámenes'!C250),'Base Exámenes'!$I$5:$I$1000,0),'Base Exámenes'!G250*1000000+(-1)*'Base Exámenes'!D250,""))</f>
        <v>99953689.4839005</v>
      </c>
      <c r="AQ250" t="str">
        <f>IF('Base Exámenes'!C250="","",IF(COUNTIF('Base Exámenes'!$C$5:$C$1000,'Base Exámenes'!C250)&lt;2,"",MATCH('Base Exámenes'!C250,'Base Exámenes'!$C$5:$C$1000,0)*10000+ROW()))</f>
        <v/>
      </c>
    </row>
    <row r="251">
      <c r="Z251">
        <f>IF('Detalle individual'!A251="","",IF(AND(OR('Estado por Colaborador'!$D$4="Todas las gerencias",'Detalle individual'!D251='Estado por Colaborador'!$D$4),OR('Estado por Colaborador'!$D$5="Todos los departamentos",TRIM('Detalle individual'!C251)='Estado por Colaborador'!$D$5),OR('Estado por Colaborador'!$D$6="Todos",'Detalle individual'!F251='Estado por Colaborador'!$D$6)),IF('Detalle individual'!F251="Completado",30000000,IF('Detalle individual'!F251="Pendiente",0,15000000))+COUNTIF('Detalle individual'!$C$5:$C$1000,"&lt;"&amp;'Detalle individual'!C251)*10000+ROW(),""))</f>
        <v>37590251</v>
      </c>
      <c r="AB251" t="str">
        <f>IF('Detalle individual'!C251="","",IF(COUNTIF('Detalle individual'!$C$5:C251,'Detalle individual'!C251)=1,COUNTIF('Detalle individual'!$C$5:$C$1000,"&lt;"&amp;'Detalle individual'!C251),""))</f>
        <v/>
      </c>
      <c r="AC251" t="str">
        <f>IF('Detalle individual'!D251="","",IF(COUNTIF('Detalle individual'!$D$5:D251,'Detalle individual'!D251)=1,COUNTIF('Detalle individual'!$D$5:$D$1000,"&lt;"&amp;'Detalle individual'!D251),""))</f>
        <v/>
      </c>
      <c r="AH251" t="str">
        <f>IF('Detalle individual'!F251="Pendiente",COUNTIF('Detalle individual'!$D$5:$D$1000,"&lt;"&amp;'Detalle individual'!D251)*1000000+COUNTIF('Detalle individual'!$C$5:$C$1000,"&lt;"&amp;'Detalle individual'!C251)*1000+COUNTIF('Detalle individual'!$B$5:$B$1000,"&lt;"&amp;'Detalle individual'!B251)+ROW()/10000,"")</f>
        <v/>
      </c>
      <c r="AI251">
        <f>IF('Detalle individual'!F251="Completado",COUNTIF('Detalle individual'!$D$5:$D$1000,"&lt;"&amp;'Detalle individual'!D251)*1000000+COUNTIF('Detalle individual'!$C$5:$C$1000,"&lt;"&amp;'Detalle individual'!C251)*1000+COUNTIF('Detalle individual'!$B$5:$B$1000,"&lt;"&amp;'Detalle individual'!B251)+ROW()/10000,"")</f>
        <v>764759765.0251</v>
      </c>
      <c r="AJ251" t="str">
        <f>IF(AND('Detalle individual'!F251&lt;&gt;"",'Detalle individual'!F251&lt;&gt;"Completado",'Detalle individual'!F251&lt;&gt;"Pendiente"),COUNTIF('Detalle individual'!$D$5:$D$1000,"&lt;"&amp;'Detalle individual'!D251)*1000000+COUNTIF('Detalle individual'!$C$5:$C$1000,"&lt;"&amp;'Detalle individual'!C251)*1000+COUNTIF('Detalle individual'!$B$5:$B$1000,"&lt;"&amp;'Detalle individual'!B251)+ROW()/10000,"")</f>
        <v/>
      </c>
      <c r="AK251">
        <f>IF(OR('Base Exámenes'!C251="",'Base Exámenes'!D251=""),"",IF(COUNTIF('Base Exámenes'!$C$5:C251,'Base Exámenes'!C251)=1,'Base Exámenes'!D251+ROW()/1000000000,""))</f>
        <v>46310.520845162035</v>
      </c>
      <c r="AL251">
        <f>IF(OR('Base Exámenes'!C251="",'Base Exámenes'!E251=""),"",IF(COUNTIF('Base Exámenes'!$C$5:C251,'Base Exámenes'!C251)=1,'Base Exámenes'!E251+ROW()/1000000000,""))</f>
        <v>46310.5247919213</v>
      </c>
      <c r="AM251">
        <f>IF(OR('Base Exámenes'!C251="",'Base Exámenes'!G251=""),"",IF(ROW()-4=MATCH('Base Exámenes'!C251&amp;"|"&amp;_xlfn.MAXIFS('Base Exámenes'!$G$5:$G$1000,'Base Exámenes'!$C$5:$C$1000,'Base Exámenes'!C251),'Base Exámenes'!$I$5:$I$1000,0),'Base Exámenes'!G251*1000000+(-1)*'Base Exámenes'!D251,""))</f>
        <v>99953689.4791551</v>
      </c>
      <c r="AQ251" t="str">
        <f>IF('Base Exámenes'!C251="","",IF(COUNTIF('Base Exámenes'!$C$5:$C$1000,'Base Exámenes'!C251)&lt;2,"",MATCH('Base Exámenes'!C251,'Base Exámenes'!$C$5:$C$1000,0)*10000+ROW()))</f>
        <v/>
      </c>
    </row>
    <row r="252">
      <c r="Z252">
        <f>IF('Detalle individual'!A252="","",IF(AND(OR('Estado por Colaborador'!$D$4="Todas las gerencias",'Detalle individual'!D252='Estado por Colaborador'!$D$4),OR('Estado por Colaborador'!$D$5="Todos los departamentos",TRIM('Detalle individual'!C252)='Estado por Colaborador'!$D$5),OR('Estado por Colaborador'!$D$6="Todos",'Detalle individual'!F252='Estado por Colaborador'!$D$6)),IF('Detalle individual'!F252="Completado",30000000,IF('Detalle individual'!F252="Pendiente",0,15000000))+COUNTIF('Detalle individual'!$C$5:$C$1000,"&lt;"&amp;'Detalle individual'!C252)*10000+ROW(),""))</f>
        <v>37590252</v>
      </c>
      <c r="AB252" t="str">
        <f>IF('Detalle individual'!C252="","",IF(COUNTIF('Detalle individual'!$C$5:C252,'Detalle individual'!C252)=1,COUNTIF('Detalle individual'!$C$5:$C$1000,"&lt;"&amp;'Detalle individual'!C252),""))</f>
        <v/>
      </c>
      <c r="AC252" t="str">
        <f>IF('Detalle individual'!D252="","",IF(COUNTIF('Detalle individual'!$D$5:D252,'Detalle individual'!D252)=1,COUNTIF('Detalle individual'!$D$5:$D$1000,"&lt;"&amp;'Detalle individual'!D252),""))</f>
        <v/>
      </c>
      <c r="AH252" t="str">
        <f>IF('Detalle individual'!F252="Pendiente",COUNTIF('Detalle individual'!$D$5:$D$1000,"&lt;"&amp;'Detalle individual'!D252)*1000000+COUNTIF('Detalle individual'!$C$5:$C$1000,"&lt;"&amp;'Detalle individual'!C252)*1000+COUNTIF('Detalle individual'!$B$5:$B$1000,"&lt;"&amp;'Detalle individual'!B252)+ROW()/10000,"")</f>
        <v/>
      </c>
      <c r="AI252">
        <f>IF('Detalle individual'!F252="Completado",COUNTIF('Detalle individual'!$D$5:$D$1000,"&lt;"&amp;'Detalle individual'!D252)*1000000+COUNTIF('Detalle individual'!$C$5:$C$1000,"&lt;"&amp;'Detalle individual'!C252)*1000+COUNTIF('Detalle individual'!$B$5:$B$1000,"&lt;"&amp;'Detalle individual'!B252)+ROW()/10000,"")</f>
        <v>764759803.0252</v>
      </c>
      <c r="AJ252" t="str">
        <f>IF(AND('Detalle individual'!F252&lt;&gt;"",'Detalle individual'!F252&lt;&gt;"Completado",'Detalle individual'!F252&lt;&gt;"Pendiente"),COUNTIF('Detalle individual'!$D$5:$D$1000,"&lt;"&amp;'Detalle individual'!D252)*1000000+COUNTIF('Detalle individual'!$C$5:$C$1000,"&lt;"&amp;'Detalle individual'!C252)*1000+COUNTIF('Detalle individual'!$B$5:$B$1000,"&lt;"&amp;'Detalle individual'!B252)+ROW()/10000,"")</f>
        <v/>
      </c>
      <c r="AK252">
        <f>IF(OR('Base Exámenes'!C252="",'Base Exámenes'!D252=""),"",IF(COUNTIF('Base Exámenes'!$C$5:C252,'Base Exámenes'!C252)=1,'Base Exámenes'!D252+ROW()/1000000000,""))</f>
        <v>46310.52517386574</v>
      </c>
      <c r="AL252">
        <f>IF(OR('Base Exámenes'!C252="",'Base Exámenes'!E252=""),"",IF(COUNTIF('Base Exámenes'!$C$5:C252,'Base Exámenes'!C252)=1,'Base Exámenes'!E252+ROW()/1000000000,""))</f>
        <v>46310.52695627315</v>
      </c>
      <c r="AM252">
        <f>IF(OR('Base Exámenes'!C252="",'Base Exámenes'!G252=""),"",IF(ROW()-4=MATCH('Base Exámenes'!C252&amp;"|"&amp;_xlfn.MAXIFS('Base Exámenes'!$G$5:$G$1000,'Base Exámenes'!$C$5:$C$1000,'Base Exámenes'!C252),'Base Exámenes'!$I$5:$I$1000,0),'Base Exámenes'!G252*1000000+(-1)*'Base Exámenes'!D252,""))</f>
        <v>99953689.4748264</v>
      </c>
      <c r="AQ252" t="str">
        <f>IF('Base Exámenes'!C252="","",IF(COUNTIF('Base Exámenes'!$C$5:$C$1000,'Base Exámenes'!C252)&lt;2,"",MATCH('Base Exámenes'!C252,'Base Exámenes'!$C$5:$C$1000,0)*10000+ROW()))</f>
        <v/>
      </c>
    </row>
    <row r="253">
      <c r="Z253">
        <f>IF('Detalle individual'!A253="","",IF(AND(OR('Estado por Colaborador'!$D$4="Todas las gerencias",'Detalle individual'!D253='Estado por Colaborador'!$D$4),OR('Estado por Colaborador'!$D$5="Todos los departamentos",TRIM('Detalle individual'!C253)='Estado por Colaborador'!$D$5),OR('Estado por Colaborador'!$D$6="Todos",'Detalle individual'!F253='Estado por Colaborador'!$D$6)),IF('Detalle individual'!F253="Completado",30000000,IF('Detalle individual'!F253="Pendiente",0,15000000))+COUNTIF('Detalle individual'!$C$5:$C$1000,"&lt;"&amp;'Detalle individual'!C253)*10000+ROW(),""))</f>
        <v>37590253</v>
      </c>
      <c r="AB253" t="str">
        <f>IF('Detalle individual'!C253="","",IF(COUNTIF('Detalle individual'!$C$5:C253,'Detalle individual'!C253)=1,COUNTIF('Detalle individual'!$C$5:$C$1000,"&lt;"&amp;'Detalle individual'!C253),""))</f>
        <v/>
      </c>
      <c r="AC253" t="str">
        <f>IF('Detalle individual'!D253="","",IF(COUNTIF('Detalle individual'!$D$5:D253,'Detalle individual'!D253)=1,COUNTIF('Detalle individual'!$D$5:$D$1000,"&lt;"&amp;'Detalle individual'!D253),""))</f>
        <v/>
      </c>
      <c r="AH253" t="str">
        <f>IF('Detalle individual'!F253="Pendiente",COUNTIF('Detalle individual'!$D$5:$D$1000,"&lt;"&amp;'Detalle individual'!D253)*1000000+COUNTIF('Detalle individual'!$C$5:$C$1000,"&lt;"&amp;'Detalle individual'!C253)*1000+COUNTIF('Detalle individual'!$B$5:$B$1000,"&lt;"&amp;'Detalle individual'!B253)+ROW()/10000,"")</f>
        <v/>
      </c>
      <c r="AI253">
        <f>IF('Detalle individual'!F253="Completado",COUNTIF('Detalle individual'!$D$5:$D$1000,"&lt;"&amp;'Detalle individual'!D253)*1000000+COUNTIF('Detalle individual'!$C$5:$C$1000,"&lt;"&amp;'Detalle individual'!C253)*1000+COUNTIF('Detalle individual'!$B$5:$B$1000,"&lt;"&amp;'Detalle individual'!B253)+ROW()/10000,"")</f>
        <v>764759899.0253</v>
      </c>
      <c r="AJ253" t="str">
        <f>IF(AND('Detalle individual'!F253&lt;&gt;"",'Detalle individual'!F253&lt;&gt;"Completado",'Detalle individual'!F253&lt;&gt;"Pendiente"),COUNTIF('Detalle individual'!$D$5:$D$1000,"&lt;"&amp;'Detalle individual'!D253)*1000000+COUNTIF('Detalle individual'!$C$5:$C$1000,"&lt;"&amp;'Detalle individual'!C253)*1000+COUNTIF('Detalle individual'!$B$5:$B$1000,"&lt;"&amp;'Detalle individual'!B253)+ROW()/10000,"")</f>
        <v/>
      </c>
      <c r="AK253">
        <f>IF(OR('Base Exámenes'!C253="",'Base Exámenes'!D253=""),"",IF(COUNTIF('Base Exámenes'!$C$5:C253,'Base Exámenes'!C253)=1,'Base Exámenes'!D253+ROW()/1000000000,""))</f>
        <v>46310.52905118056</v>
      </c>
      <c r="AL253">
        <f>IF(OR('Base Exámenes'!C253="",'Base Exámenes'!E253=""),"",IF(COUNTIF('Base Exámenes'!$C$5:C253,'Base Exámenes'!C253)=1,'Base Exámenes'!E253+ROW()/1000000000,""))</f>
        <v>46310.53122710648</v>
      </c>
      <c r="AM253">
        <f>IF(OR('Base Exámenes'!C253="",'Base Exámenes'!G253=""),"",IF(ROW()-4=MATCH('Base Exámenes'!C253&amp;"|"&amp;_xlfn.MAXIFS('Base Exámenes'!$G$5:$G$1000,'Base Exámenes'!$C$5:$C$1000,'Base Exámenes'!C253),'Base Exámenes'!$I$5:$I$1000,0),'Base Exámenes'!G253*1000000+(-1)*'Base Exámenes'!D253,""))</f>
        <v>99953689.4709491</v>
      </c>
      <c r="AQ253" t="str">
        <f>IF('Base Exámenes'!C253="","",IF(COUNTIF('Base Exámenes'!$C$5:$C$1000,'Base Exámenes'!C253)&lt;2,"",MATCH('Base Exámenes'!C253,'Base Exámenes'!$C$5:$C$1000,0)*10000+ROW()))</f>
        <v/>
      </c>
    </row>
    <row r="254">
      <c r="Z254">
        <f>IF('Detalle individual'!A254="","",IF(AND(OR('Estado por Colaborador'!$D$4="Todas las gerencias",'Detalle individual'!D254='Estado por Colaborador'!$D$4),OR('Estado por Colaborador'!$D$5="Todos los departamentos",TRIM('Detalle individual'!C254)='Estado por Colaborador'!$D$5),OR('Estado por Colaborador'!$D$6="Todos",'Detalle individual'!F254='Estado por Colaborador'!$D$6)),IF('Detalle individual'!F254="Completado",30000000,IF('Detalle individual'!F254="Pendiente",0,15000000))+COUNTIF('Detalle individual'!$C$5:$C$1000,"&lt;"&amp;'Detalle individual'!C254)*10000+ROW(),""))</f>
        <v>37590254</v>
      </c>
      <c r="AB254" t="str">
        <f>IF('Detalle individual'!C254="","",IF(COUNTIF('Detalle individual'!$C$5:C254,'Detalle individual'!C254)=1,COUNTIF('Detalle individual'!$C$5:$C$1000,"&lt;"&amp;'Detalle individual'!C254),""))</f>
        <v/>
      </c>
      <c r="AC254" t="str">
        <f>IF('Detalle individual'!D254="","",IF(COUNTIF('Detalle individual'!$D$5:D254,'Detalle individual'!D254)=1,COUNTIF('Detalle individual'!$D$5:$D$1000,"&lt;"&amp;'Detalle individual'!D254),""))</f>
        <v/>
      </c>
      <c r="AH254" t="str">
        <f>IF('Detalle individual'!F254="Pendiente",COUNTIF('Detalle individual'!$D$5:$D$1000,"&lt;"&amp;'Detalle individual'!D254)*1000000+COUNTIF('Detalle individual'!$C$5:$C$1000,"&lt;"&amp;'Detalle individual'!C254)*1000+COUNTIF('Detalle individual'!$B$5:$B$1000,"&lt;"&amp;'Detalle individual'!B254)+ROW()/10000,"")</f>
        <v/>
      </c>
      <c r="AI254">
        <f>IF('Detalle individual'!F254="Completado",COUNTIF('Detalle individual'!$D$5:$D$1000,"&lt;"&amp;'Detalle individual'!D254)*1000000+COUNTIF('Detalle individual'!$C$5:$C$1000,"&lt;"&amp;'Detalle individual'!C254)*1000+COUNTIF('Detalle individual'!$B$5:$B$1000,"&lt;"&amp;'Detalle individual'!B254)+ROW()/10000,"")</f>
        <v>764759915.0254</v>
      </c>
      <c r="AJ254" t="str">
        <f>IF(AND('Detalle individual'!F254&lt;&gt;"",'Detalle individual'!F254&lt;&gt;"Completado",'Detalle individual'!F254&lt;&gt;"Pendiente"),COUNTIF('Detalle individual'!$D$5:$D$1000,"&lt;"&amp;'Detalle individual'!D254)*1000000+COUNTIF('Detalle individual'!$C$5:$C$1000,"&lt;"&amp;'Detalle individual'!C254)*1000+COUNTIF('Detalle individual'!$B$5:$B$1000,"&lt;"&amp;'Detalle individual'!B254)+ROW()/10000,"")</f>
        <v/>
      </c>
      <c r="AK254">
        <f>IF(OR('Base Exámenes'!C254="",'Base Exámenes'!D254=""),"",IF(COUNTIF('Base Exámenes'!$C$5:C254,'Base Exámenes'!C254)=1,'Base Exámenes'!D254+ROW()/1000000000,""))</f>
        <v>46310.53324099537</v>
      </c>
      <c r="AL254">
        <f>IF(OR('Base Exámenes'!C254="",'Base Exámenes'!E254=""),"",IF(COUNTIF('Base Exámenes'!$C$5:C254,'Base Exámenes'!C254)=1,'Base Exámenes'!E254+ROW()/1000000000,""))</f>
        <v>46310.53522016203</v>
      </c>
      <c r="AM254">
        <f>IF(OR('Base Exámenes'!C254="",'Base Exámenes'!G254=""),"",IF(ROW()-4=MATCH('Base Exámenes'!C254&amp;"|"&amp;_xlfn.MAXIFS('Base Exámenes'!$G$5:$G$1000,'Base Exámenes'!$C$5:$C$1000,'Base Exámenes'!C254),'Base Exámenes'!$I$5:$I$1000,0),'Base Exámenes'!G254*1000000+(-1)*'Base Exámenes'!D254,""))</f>
        <v>99953689.4667593</v>
      </c>
      <c r="AQ254" t="str">
        <f>IF('Base Exámenes'!C254="","",IF(COUNTIF('Base Exámenes'!$C$5:$C$1000,'Base Exámenes'!C254)&lt;2,"",MATCH('Base Exámenes'!C254,'Base Exámenes'!$C$5:$C$1000,0)*10000+ROW()))</f>
        <v/>
      </c>
    </row>
    <row r="255">
      <c r="Z255">
        <f>IF('Detalle individual'!A255="","",IF(AND(OR('Estado por Colaborador'!$D$4="Todas las gerencias",'Detalle individual'!D255='Estado por Colaborador'!$D$4),OR('Estado por Colaborador'!$D$5="Todos los departamentos",TRIM('Detalle individual'!C255)='Estado por Colaborador'!$D$5),OR('Estado por Colaborador'!$D$6="Todos",'Detalle individual'!F255='Estado por Colaborador'!$D$6)),IF('Detalle individual'!F255="Completado",30000000,IF('Detalle individual'!F255="Pendiente",0,15000000))+COUNTIF('Detalle individual'!$C$5:$C$1000,"&lt;"&amp;'Detalle individual'!C255)*10000+ROW(),""))</f>
        <v>37590255</v>
      </c>
      <c r="AB255" t="str">
        <f>IF('Detalle individual'!C255="","",IF(COUNTIF('Detalle individual'!$C$5:C255,'Detalle individual'!C255)=1,COUNTIF('Detalle individual'!$C$5:$C$1000,"&lt;"&amp;'Detalle individual'!C255),""))</f>
        <v/>
      </c>
      <c r="AC255" t="str">
        <f>IF('Detalle individual'!D255="","",IF(COUNTIF('Detalle individual'!$D$5:D255,'Detalle individual'!D255)=1,COUNTIF('Detalle individual'!$D$5:$D$1000,"&lt;"&amp;'Detalle individual'!D255),""))</f>
        <v/>
      </c>
      <c r="AH255" t="str">
        <f>IF('Detalle individual'!F255="Pendiente",COUNTIF('Detalle individual'!$D$5:$D$1000,"&lt;"&amp;'Detalle individual'!D255)*1000000+COUNTIF('Detalle individual'!$C$5:$C$1000,"&lt;"&amp;'Detalle individual'!C255)*1000+COUNTIF('Detalle individual'!$B$5:$B$1000,"&lt;"&amp;'Detalle individual'!B255)+ROW()/10000,"")</f>
        <v/>
      </c>
      <c r="AI255">
        <f>IF('Detalle individual'!F255="Completado",COUNTIF('Detalle individual'!$D$5:$D$1000,"&lt;"&amp;'Detalle individual'!D255)*1000000+COUNTIF('Detalle individual'!$C$5:$C$1000,"&lt;"&amp;'Detalle individual'!C255)*1000+COUNTIF('Detalle individual'!$B$5:$B$1000,"&lt;"&amp;'Detalle individual'!B255)+ROW()/10000,"")</f>
        <v>764759857.0255</v>
      </c>
      <c r="AJ255" t="str">
        <f>IF(AND('Detalle individual'!F255&lt;&gt;"",'Detalle individual'!F255&lt;&gt;"Completado",'Detalle individual'!F255&lt;&gt;"Pendiente"),COUNTIF('Detalle individual'!$D$5:$D$1000,"&lt;"&amp;'Detalle individual'!D255)*1000000+COUNTIF('Detalle individual'!$C$5:$C$1000,"&lt;"&amp;'Detalle individual'!C255)*1000+COUNTIF('Detalle individual'!$B$5:$B$1000,"&lt;"&amp;'Detalle individual'!B255)+ROW()/10000,"")</f>
        <v/>
      </c>
      <c r="AK255">
        <f>IF(OR('Base Exámenes'!C255="",'Base Exámenes'!D255=""),"",IF(COUNTIF('Base Exámenes'!$C$5:C255,'Base Exámenes'!C255)=1,'Base Exámenes'!D255+ROW()/1000000000,""))</f>
        <v>46310.53685210648</v>
      </c>
      <c r="AL255">
        <f>IF(OR('Base Exámenes'!C255="",'Base Exámenes'!E255=""),"",IF(COUNTIF('Base Exámenes'!$C$5:C255,'Base Exámenes'!C255)=1,'Base Exámenes'!E255+ROW()/1000000000,""))</f>
        <v>46310.53796321759</v>
      </c>
      <c r="AM255">
        <f>IF(OR('Base Exámenes'!C255="",'Base Exámenes'!G255=""),"",IF(ROW()-4=MATCH('Base Exámenes'!C255&amp;"|"&amp;_xlfn.MAXIFS('Base Exámenes'!$G$5:$G$1000,'Base Exámenes'!$C$5:$C$1000,'Base Exámenes'!C255),'Base Exámenes'!$I$5:$I$1000,0),'Base Exámenes'!G255*1000000+(-1)*'Base Exámenes'!D255,""))</f>
        <v>99953689.4631482</v>
      </c>
      <c r="AQ255" t="str">
        <f>IF('Base Exámenes'!C255="","",IF(COUNTIF('Base Exámenes'!$C$5:$C$1000,'Base Exámenes'!C255)&lt;2,"",MATCH('Base Exámenes'!C255,'Base Exámenes'!$C$5:$C$1000,0)*10000+ROW()))</f>
        <v/>
      </c>
    </row>
    <row r="256">
      <c r="Z256">
        <f>IF('Detalle individual'!A256="","",IF(AND(OR('Estado por Colaborador'!$D$4="Todas las gerencias",'Detalle individual'!D256='Estado por Colaborador'!$D$4),OR('Estado por Colaborador'!$D$5="Todos los departamentos",TRIM('Detalle individual'!C256)='Estado por Colaborador'!$D$5),OR('Estado por Colaborador'!$D$6="Todos",'Detalle individual'!F256='Estado por Colaborador'!$D$6)),IF('Detalle individual'!F256="Completado",30000000,IF('Detalle individual'!F256="Pendiente",0,15000000))+COUNTIF('Detalle individual'!$C$5:$C$1000,"&lt;"&amp;'Detalle individual'!C256)*10000+ROW(),""))</f>
        <v>37590256</v>
      </c>
      <c r="AB256" t="str">
        <f>IF('Detalle individual'!C256="","",IF(COUNTIF('Detalle individual'!$C$5:C256,'Detalle individual'!C256)=1,COUNTIF('Detalle individual'!$C$5:$C$1000,"&lt;"&amp;'Detalle individual'!C256),""))</f>
        <v/>
      </c>
      <c r="AC256" t="str">
        <f>IF('Detalle individual'!D256="","",IF(COUNTIF('Detalle individual'!$D$5:D256,'Detalle individual'!D256)=1,COUNTIF('Detalle individual'!$D$5:$D$1000,"&lt;"&amp;'Detalle individual'!D256),""))</f>
        <v/>
      </c>
      <c r="AH256" t="str">
        <f>IF('Detalle individual'!F256="Pendiente",COUNTIF('Detalle individual'!$D$5:$D$1000,"&lt;"&amp;'Detalle individual'!D256)*1000000+COUNTIF('Detalle individual'!$C$5:$C$1000,"&lt;"&amp;'Detalle individual'!C256)*1000+COUNTIF('Detalle individual'!$B$5:$B$1000,"&lt;"&amp;'Detalle individual'!B256)+ROW()/10000,"")</f>
        <v/>
      </c>
      <c r="AI256">
        <f>IF('Detalle individual'!F256="Completado",COUNTIF('Detalle individual'!$D$5:$D$1000,"&lt;"&amp;'Detalle individual'!D256)*1000000+COUNTIF('Detalle individual'!$C$5:$C$1000,"&lt;"&amp;'Detalle individual'!C256)*1000+COUNTIF('Detalle individual'!$B$5:$B$1000,"&lt;"&amp;'Detalle individual'!B256)+ROW()/10000,"")</f>
        <v>764759924.0256</v>
      </c>
      <c r="AJ256" t="str">
        <f>IF(AND('Detalle individual'!F256&lt;&gt;"",'Detalle individual'!F256&lt;&gt;"Completado",'Detalle individual'!F256&lt;&gt;"Pendiente"),COUNTIF('Detalle individual'!$D$5:$D$1000,"&lt;"&amp;'Detalle individual'!D256)*1000000+COUNTIF('Detalle individual'!$C$5:$C$1000,"&lt;"&amp;'Detalle individual'!C256)*1000+COUNTIF('Detalle individual'!$B$5:$B$1000,"&lt;"&amp;'Detalle individual'!B256)+ROW()/10000,"")</f>
        <v/>
      </c>
      <c r="AK256">
        <f>IF(OR('Base Exámenes'!C256="",'Base Exámenes'!D256=""),"",IF(COUNTIF('Base Exámenes'!$C$5:C256,'Base Exámenes'!C256)=1,'Base Exámenes'!D256+ROW()/1000000000,""))</f>
        <v>46310.538981736114</v>
      </c>
      <c r="AL256">
        <f>IF(OR('Base Exámenes'!C256="",'Base Exámenes'!E256=""),"",IF(COUNTIF('Base Exámenes'!$C$5:C256,'Base Exámenes'!C256)=1,'Base Exámenes'!E256+ROW()/1000000000,""))</f>
        <v>46310.54141229167</v>
      </c>
      <c r="AM256">
        <f>IF(OR('Base Exámenes'!C256="",'Base Exámenes'!G256=""),"",IF(ROW()-4=MATCH('Base Exámenes'!C256&amp;"|"&amp;_xlfn.MAXIFS('Base Exámenes'!$G$5:$G$1000,'Base Exámenes'!$C$5:$C$1000,'Base Exámenes'!C256),'Base Exámenes'!$I$5:$I$1000,0),'Base Exámenes'!G256*1000000+(-1)*'Base Exámenes'!D256,""))</f>
        <v>99953689.4610185</v>
      </c>
      <c r="AQ256" t="str">
        <f>IF('Base Exámenes'!C256="","",IF(COUNTIF('Base Exámenes'!$C$5:$C$1000,'Base Exámenes'!C256)&lt;2,"",MATCH('Base Exámenes'!C256,'Base Exámenes'!$C$5:$C$1000,0)*10000+ROW()))</f>
        <v/>
      </c>
    </row>
    <row r="257">
      <c r="Z257">
        <f>IF('Detalle individual'!A257="","",IF(AND(OR('Estado por Colaborador'!$D$4="Todas las gerencias",'Detalle individual'!D257='Estado por Colaborador'!$D$4),OR('Estado por Colaborador'!$D$5="Todos los departamentos",TRIM('Detalle individual'!C257)='Estado por Colaborador'!$D$5),OR('Estado por Colaborador'!$D$6="Todos",'Detalle individual'!F257='Estado por Colaborador'!$D$6)),IF('Detalle individual'!F257="Completado",30000000,IF('Detalle individual'!F257="Pendiente",0,15000000))+COUNTIF('Detalle individual'!$C$5:$C$1000,"&lt;"&amp;'Detalle individual'!C257)*10000+ROW(),""))</f>
        <v>37430257</v>
      </c>
      <c r="AB257">
        <f>IF('Detalle individual'!C257="","",IF(COUNTIF('Detalle individual'!$C$5:C257,'Detalle individual'!C257)=1,COUNTIF('Detalle individual'!$C$5:$C$1000,"&lt;"&amp;'Detalle individual'!C257),""))</f>
        <v>743</v>
      </c>
      <c r="AC257" t="str">
        <f>IF('Detalle individual'!D257="","",IF(COUNTIF('Detalle individual'!$D$5:D257,'Detalle individual'!D257)=1,COUNTIF('Detalle individual'!$D$5:$D$1000,"&lt;"&amp;'Detalle individual'!D257),""))</f>
        <v/>
      </c>
      <c r="AH257" t="str">
        <f>IF('Detalle individual'!F257="Pendiente",COUNTIF('Detalle individual'!$D$5:$D$1000,"&lt;"&amp;'Detalle individual'!D257)*1000000+COUNTIF('Detalle individual'!$C$5:$C$1000,"&lt;"&amp;'Detalle individual'!C257)*1000+COUNTIF('Detalle individual'!$B$5:$B$1000,"&lt;"&amp;'Detalle individual'!B257)+ROW()/10000,"")</f>
        <v/>
      </c>
      <c r="AI257">
        <f>IF('Detalle individual'!F257="Completado",COUNTIF('Detalle individual'!$D$5:$D$1000,"&lt;"&amp;'Detalle individual'!D257)*1000000+COUNTIF('Detalle individual'!$C$5:$C$1000,"&lt;"&amp;'Detalle individual'!C257)*1000+COUNTIF('Detalle individual'!$B$5:$B$1000,"&lt;"&amp;'Detalle individual'!B257)+ROW()/10000,"")</f>
        <v>764743717.0257</v>
      </c>
      <c r="AJ257" t="str">
        <f>IF(AND('Detalle individual'!F257&lt;&gt;"",'Detalle individual'!F257&lt;&gt;"Completado",'Detalle individual'!F257&lt;&gt;"Pendiente"),COUNTIF('Detalle individual'!$D$5:$D$1000,"&lt;"&amp;'Detalle individual'!D257)*1000000+COUNTIF('Detalle individual'!$C$5:$C$1000,"&lt;"&amp;'Detalle individual'!C257)*1000+COUNTIF('Detalle individual'!$B$5:$B$1000,"&lt;"&amp;'Detalle individual'!B257)+ROW()/10000,"")</f>
        <v/>
      </c>
      <c r="AK257">
        <f>IF(OR('Base Exámenes'!C257="",'Base Exámenes'!D257=""),"",IF(COUNTIF('Base Exámenes'!$C$5:C257,'Base Exámenes'!C257)=1,'Base Exámenes'!D257+ROW()/1000000000,""))</f>
        <v>46310.542592847225</v>
      </c>
      <c r="AL257">
        <f>IF(OR('Base Exámenes'!C257="",'Base Exámenes'!E257=""),"",IF(COUNTIF('Base Exámenes'!$C$5:C257,'Base Exámenes'!C257)=1,'Base Exámenes'!E257+ROW()/1000000000,""))</f>
        <v>46310.54554423611</v>
      </c>
      <c r="AM257">
        <f>IF(OR('Base Exámenes'!C257="",'Base Exámenes'!G257=""),"",IF(ROW()-4=MATCH('Base Exámenes'!C257&amp;"|"&amp;_xlfn.MAXIFS('Base Exámenes'!$G$5:$G$1000,'Base Exámenes'!$C$5:$C$1000,'Base Exámenes'!C257),'Base Exámenes'!$I$5:$I$1000,0),'Base Exámenes'!G257*1000000+(-1)*'Base Exámenes'!D257,""))</f>
        <v>99953689.4574074</v>
      </c>
      <c r="AQ257">
        <f>IF('Base Exámenes'!C257="","",IF(COUNTIF('Base Exámenes'!$C$5:$C$1000,'Base Exámenes'!C257)&lt;2,"",MATCH('Base Exámenes'!C257,'Base Exámenes'!$C$5:$C$1000,0)*10000+ROW()))</f>
        <v>2530257</v>
      </c>
    </row>
    <row r="258">
      <c r="Z258">
        <f>IF('Detalle individual'!A258="","",IF(AND(OR('Estado por Colaborador'!$D$4="Todas las gerencias",'Detalle individual'!D258='Estado por Colaborador'!$D$4),OR('Estado por Colaborador'!$D$5="Todos los departamentos",TRIM('Detalle individual'!C258)='Estado por Colaborador'!$D$5),OR('Estado por Colaborador'!$D$6="Todos",'Detalle individual'!F258='Estado por Colaborador'!$D$6)),IF('Detalle individual'!F258="Completado",30000000,IF('Detalle individual'!F258="Pendiente",0,15000000))+COUNTIF('Detalle individual'!$C$5:$C$1000,"&lt;"&amp;'Detalle individual'!C258)*10000+ROW(),""))</f>
        <v>37430258</v>
      </c>
      <c r="AB258" t="str">
        <f>IF('Detalle individual'!C258="","",IF(COUNTIF('Detalle individual'!$C$5:C258,'Detalle individual'!C258)=1,COUNTIF('Detalle individual'!$C$5:$C$1000,"&lt;"&amp;'Detalle individual'!C258),""))</f>
        <v/>
      </c>
      <c r="AC258" t="str">
        <f>IF('Detalle individual'!D258="","",IF(COUNTIF('Detalle individual'!$D$5:D258,'Detalle individual'!D258)=1,COUNTIF('Detalle individual'!$D$5:$D$1000,"&lt;"&amp;'Detalle individual'!D258),""))</f>
        <v/>
      </c>
      <c r="AH258" t="str">
        <f>IF('Detalle individual'!F258="Pendiente",COUNTIF('Detalle individual'!$D$5:$D$1000,"&lt;"&amp;'Detalle individual'!D258)*1000000+COUNTIF('Detalle individual'!$C$5:$C$1000,"&lt;"&amp;'Detalle individual'!C258)*1000+COUNTIF('Detalle individual'!$B$5:$B$1000,"&lt;"&amp;'Detalle individual'!B258)+ROW()/10000,"")</f>
        <v/>
      </c>
      <c r="AI258">
        <f>IF('Detalle individual'!F258="Completado",COUNTIF('Detalle individual'!$D$5:$D$1000,"&lt;"&amp;'Detalle individual'!D258)*1000000+COUNTIF('Detalle individual'!$C$5:$C$1000,"&lt;"&amp;'Detalle individual'!C258)*1000+COUNTIF('Detalle individual'!$B$5:$B$1000,"&lt;"&amp;'Detalle individual'!B258)+ROW()/10000,"")</f>
        <v>764743948.0258</v>
      </c>
      <c r="AJ258" t="str">
        <f>IF(AND('Detalle individual'!F258&lt;&gt;"",'Detalle individual'!F258&lt;&gt;"Completado",'Detalle individual'!F258&lt;&gt;"Pendiente"),COUNTIF('Detalle individual'!$D$5:$D$1000,"&lt;"&amp;'Detalle individual'!D258)*1000000+COUNTIF('Detalle individual'!$C$5:$C$1000,"&lt;"&amp;'Detalle individual'!C258)*1000+COUNTIF('Detalle individual'!$B$5:$B$1000,"&lt;"&amp;'Detalle individual'!B258)+ROW()/10000,"")</f>
        <v/>
      </c>
      <c r="AK258">
        <f>IF(OR('Base Exámenes'!C258="",'Base Exámenes'!D258=""),"",IF(COUNTIF('Base Exámenes'!$C$5:C258,'Base Exámenes'!C258)=1,'Base Exámenes'!D258+ROW()/1000000000,""))</f>
        <v>46310.55500025463</v>
      </c>
      <c r="AL258">
        <f>IF(OR('Base Exámenes'!C258="",'Base Exámenes'!E258=""),"",IF(COUNTIF('Base Exámenes'!$C$5:C258,'Base Exámenes'!C258)=1,'Base Exámenes'!E258+ROW()/1000000000,""))</f>
        <v>46310.5565743287</v>
      </c>
      <c r="AM258">
        <f>IF(OR('Base Exámenes'!C258="",'Base Exámenes'!G258=""),"",IF(ROW()-4=MATCH('Base Exámenes'!C258&amp;"|"&amp;_xlfn.MAXIFS('Base Exámenes'!$G$5:$G$1000,'Base Exámenes'!$C$5:$C$1000,'Base Exámenes'!C258),'Base Exámenes'!$I$5:$I$1000,0),'Base Exámenes'!G258*1000000+(-1)*'Base Exámenes'!D258,""))</f>
        <v>99953689.445</v>
      </c>
      <c r="AQ258" t="str">
        <f>IF('Base Exámenes'!C258="","",IF(COUNTIF('Base Exámenes'!$C$5:$C$1000,'Base Exámenes'!C258)&lt;2,"",MATCH('Base Exámenes'!C258,'Base Exámenes'!$C$5:$C$1000,0)*10000+ROW()))</f>
        <v/>
      </c>
    </row>
    <row r="259">
      <c r="Z259">
        <f>IF('Detalle individual'!A259="","",IF(AND(OR('Estado por Colaborador'!$D$4="Todas las gerencias",'Detalle individual'!D259='Estado por Colaborador'!$D$4),OR('Estado por Colaborador'!$D$5="Todos los departamentos",TRIM('Detalle individual'!C259)='Estado por Colaborador'!$D$5),OR('Estado por Colaborador'!$D$6="Todos",'Detalle individual'!F259='Estado por Colaborador'!$D$6)),IF('Detalle individual'!F259="Completado",30000000,IF('Detalle individual'!F259="Pendiente",0,15000000))+COUNTIF('Detalle individual'!$C$5:$C$1000,"&lt;"&amp;'Detalle individual'!C259)*10000+ROW(),""))</f>
        <v>37430259</v>
      </c>
      <c r="AB259" t="str">
        <f>IF('Detalle individual'!C259="","",IF(COUNTIF('Detalle individual'!$C$5:C259,'Detalle individual'!C259)=1,COUNTIF('Detalle individual'!$C$5:$C$1000,"&lt;"&amp;'Detalle individual'!C259),""))</f>
        <v/>
      </c>
      <c r="AC259" t="str">
        <f>IF('Detalle individual'!D259="","",IF(COUNTIF('Detalle individual'!$D$5:D259,'Detalle individual'!D259)=1,COUNTIF('Detalle individual'!$D$5:$D$1000,"&lt;"&amp;'Detalle individual'!D259),""))</f>
        <v/>
      </c>
      <c r="AH259" t="str">
        <f>IF('Detalle individual'!F259="Pendiente",COUNTIF('Detalle individual'!$D$5:$D$1000,"&lt;"&amp;'Detalle individual'!D259)*1000000+COUNTIF('Detalle individual'!$C$5:$C$1000,"&lt;"&amp;'Detalle individual'!C259)*1000+COUNTIF('Detalle individual'!$B$5:$B$1000,"&lt;"&amp;'Detalle individual'!B259)+ROW()/10000,"")</f>
        <v/>
      </c>
      <c r="AI259">
        <f>IF('Detalle individual'!F259="Completado",COUNTIF('Detalle individual'!$D$5:$D$1000,"&lt;"&amp;'Detalle individual'!D259)*1000000+COUNTIF('Detalle individual'!$C$5:$C$1000,"&lt;"&amp;'Detalle individual'!C259)*1000+COUNTIF('Detalle individual'!$B$5:$B$1000,"&lt;"&amp;'Detalle individual'!B259)+ROW()/10000,"")</f>
        <v>764743868.0259</v>
      </c>
      <c r="AJ259" t="str">
        <f>IF(AND('Detalle individual'!F259&lt;&gt;"",'Detalle individual'!F259&lt;&gt;"Completado",'Detalle individual'!F259&lt;&gt;"Pendiente"),COUNTIF('Detalle individual'!$D$5:$D$1000,"&lt;"&amp;'Detalle individual'!D259)*1000000+COUNTIF('Detalle individual'!$C$5:$C$1000,"&lt;"&amp;'Detalle individual'!C259)*1000+COUNTIF('Detalle individual'!$B$5:$B$1000,"&lt;"&amp;'Detalle individual'!B259)+ROW()/10000,"")</f>
        <v/>
      </c>
      <c r="AK259">
        <f>IF(OR('Base Exámenes'!C259="",'Base Exámenes'!D259=""),"",IF(COUNTIF('Base Exámenes'!$C$5:C259,'Base Exámenes'!C259)=1,'Base Exámenes'!D259+ROW()/1000000000,""))</f>
        <v>46310.5610419213</v>
      </c>
      <c r="AL259">
        <f>IF(OR('Base Exámenes'!C259="",'Base Exámenes'!E259=""),"",IF(COUNTIF('Base Exámenes'!$C$5:C259,'Base Exámenes'!C259)=1,'Base Exámenes'!E259+ROW()/1000000000,""))</f>
        <v>46310.56497710648</v>
      </c>
      <c r="AM259">
        <f>IF(OR('Base Exámenes'!C259="",'Base Exámenes'!G259=""),"",IF(ROW()-4=MATCH('Base Exámenes'!C259&amp;"|"&amp;_xlfn.MAXIFS('Base Exámenes'!$G$5:$G$1000,'Base Exámenes'!$C$5:$C$1000,'Base Exámenes'!C259),'Base Exámenes'!$I$5:$I$1000,0),'Base Exámenes'!G259*1000000+(-1)*'Base Exámenes'!D259,""))</f>
        <v>99953689.4389583</v>
      </c>
      <c r="AQ259" t="str">
        <f>IF('Base Exámenes'!C259="","",IF(COUNTIF('Base Exámenes'!$C$5:$C$1000,'Base Exámenes'!C259)&lt;2,"",MATCH('Base Exámenes'!C259,'Base Exámenes'!$C$5:$C$1000,0)*10000+ROW()))</f>
        <v/>
      </c>
    </row>
    <row r="260">
      <c r="Z260">
        <f>IF('Detalle individual'!A260="","",IF(AND(OR('Estado por Colaborador'!$D$4="Todas las gerencias",'Detalle individual'!D260='Estado por Colaborador'!$D$4),OR('Estado por Colaborador'!$D$5="Todos los departamentos",TRIM('Detalle individual'!C260)='Estado por Colaborador'!$D$5),OR('Estado por Colaborador'!$D$6="Todos",'Detalle individual'!F260='Estado por Colaborador'!$D$6)),IF('Detalle individual'!F260="Completado",30000000,IF('Detalle individual'!F260="Pendiente",0,15000000))+COUNTIF('Detalle individual'!$C$5:$C$1000,"&lt;"&amp;'Detalle individual'!C260)*10000+ROW(),""))</f>
        <v>37430260</v>
      </c>
      <c r="AB260" t="str">
        <f>IF('Detalle individual'!C260="","",IF(COUNTIF('Detalle individual'!$C$5:C260,'Detalle individual'!C260)=1,COUNTIF('Detalle individual'!$C$5:$C$1000,"&lt;"&amp;'Detalle individual'!C260),""))</f>
        <v/>
      </c>
      <c r="AC260" t="str">
        <f>IF('Detalle individual'!D260="","",IF(COUNTIF('Detalle individual'!$D$5:D260,'Detalle individual'!D260)=1,COUNTIF('Detalle individual'!$D$5:$D$1000,"&lt;"&amp;'Detalle individual'!D260),""))</f>
        <v/>
      </c>
      <c r="AH260" t="str">
        <f>IF('Detalle individual'!F260="Pendiente",COUNTIF('Detalle individual'!$D$5:$D$1000,"&lt;"&amp;'Detalle individual'!D260)*1000000+COUNTIF('Detalle individual'!$C$5:$C$1000,"&lt;"&amp;'Detalle individual'!C260)*1000+COUNTIF('Detalle individual'!$B$5:$B$1000,"&lt;"&amp;'Detalle individual'!B260)+ROW()/10000,"")</f>
        <v/>
      </c>
      <c r="AI260">
        <f>IF('Detalle individual'!F260="Completado",COUNTIF('Detalle individual'!$D$5:$D$1000,"&lt;"&amp;'Detalle individual'!D260)*1000000+COUNTIF('Detalle individual'!$C$5:$C$1000,"&lt;"&amp;'Detalle individual'!C260)*1000+COUNTIF('Detalle individual'!$B$5:$B$1000,"&lt;"&amp;'Detalle individual'!B260)+ROW()/10000,"")</f>
        <v>764743833.026</v>
      </c>
      <c r="AJ260" t="str">
        <f>IF(AND('Detalle individual'!F260&lt;&gt;"",'Detalle individual'!F260&lt;&gt;"Completado",'Detalle individual'!F260&lt;&gt;"Pendiente"),COUNTIF('Detalle individual'!$D$5:$D$1000,"&lt;"&amp;'Detalle individual'!D260)*1000000+COUNTIF('Detalle individual'!$C$5:$C$1000,"&lt;"&amp;'Detalle individual'!C260)*1000+COUNTIF('Detalle individual'!$B$5:$B$1000,"&lt;"&amp;'Detalle individual'!B260)+ROW()/10000,"")</f>
        <v/>
      </c>
      <c r="AK260">
        <f>IF(OR('Base Exámenes'!C260="",'Base Exámenes'!D260=""),"",IF(COUNTIF('Base Exámenes'!$C$5:C260,'Base Exámenes'!C260)=1,'Base Exámenes'!D260+ROW()/1000000000,""))</f>
        <v>46310.56259284722</v>
      </c>
      <c r="AL260">
        <f>IF(OR('Base Exámenes'!C260="",'Base Exámenes'!E260=""),"",IF(COUNTIF('Base Exámenes'!$C$5:C260,'Base Exámenes'!C260)=1,'Base Exámenes'!E260+ROW()/1000000000,""))</f>
        <v>46310.56960673611</v>
      </c>
      <c r="AM260">
        <f>IF(OR('Base Exámenes'!C260="",'Base Exámenes'!G260=""),"",IF(ROW()-4=MATCH('Base Exámenes'!C260&amp;"|"&amp;_xlfn.MAXIFS('Base Exámenes'!$G$5:$G$1000,'Base Exámenes'!$C$5:$C$1000,'Base Exámenes'!C260),'Base Exámenes'!$I$5:$I$1000,0),'Base Exámenes'!G260*1000000+(-1)*'Base Exámenes'!D260,""))</f>
        <v>99953689.4374074</v>
      </c>
      <c r="AQ260" t="str">
        <f>IF('Base Exámenes'!C260="","",IF(COUNTIF('Base Exámenes'!$C$5:$C$1000,'Base Exámenes'!C260)&lt;2,"",MATCH('Base Exámenes'!C260,'Base Exámenes'!$C$5:$C$1000,0)*10000+ROW()))</f>
        <v/>
      </c>
    </row>
    <row r="261">
      <c r="Z261">
        <f>IF('Detalle individual'!A261="","",IF(AND(OR('Estado por Colaborador'!$D$4="Todas las gerencias",'Detalle individual'!D261='Estado por Colaborador'!$D$4),OR('Estado por Colaborador'!$D$5="Todos los departamentos",TRIM('Detalle individual'!C261)='Estado por Colaborador'!$D$5),OR('Estado por Colaborador'!$D$6="Todos",'Detalle individual'!F261='Estado por Colaborador'!$D$6)),IF('Detalle individual'!F261="Completado",30000000,IF('Detalle individual'!F261="Pendiente",0,15000000))+COUNTIF('Detalle individual'!$C$5:$C$1000,"&lt;"&amp;'Detalle individual'!C261)*10000+ROW(),""))</f>
        <v>37430261</v>
      </c>
      <c r="AB261" t="str">
        <f>IF('Detalle individual'!C261="","",IF(COUNTIF('Detalle individual'!$C$5:C261,'Detalle individual'!C261)=1,COUNTIF('Detalle individual'!$C$5:$C$1000,"&lt;"&amp;'Detalle individual'!C261),""))</f>
        <v/>
      </c>
      <c r="AC261" t="str">
        <f>IF('Detalle individual'!D261="","",IF(COUNTIF('Detalle individual'!$D$5:D261,'Detalle individual'!D261)=1,COUNTIF('Detalle individual'!$D$5:$D$1000,"&lt;"&amp;'Detalle individual'!D261),""))</f>
        <v/>
      </c>
      <c r="AH261" t="str">
        <f>IF('Detalle individual'!F261="Pendiente",COUNTIF('Detalle individual'!$D$5:$D$1000,"&lt;"&amp;'Detalle individual'!D261)*1000000+COUNTIF('Detalle individual'!$C$5:$C$1000,"&lt;"&amp;'Detalle individual'!C261)*1000+COUNTIF('Detalle individual'!$B$5:$B$1000,"&lt;"&amp;'Detalle individual'!B261)+ROW()/10000,"")</f>
        <v/>
      </c>
      <c r="AI261">
        <f>IF('Detalle individual'!F261="Completado",COUNTIF('Detalle individual'!$D$5:$D$1000,"&lt;"&amp;'Detalle individual'!D261)*1000000+COUNTIF('Detalle individual'!$C$5:$C$1000,"&lt;"&amp;'Detalle individual'!C261)*1000+COUNTIF('Detalle individual'!$B$5:$B$1000,"&lt;"&amp;'Detalle individual'!B261)+ROW()/10000,"")</f>
        <v>764743743.0261</v>
      </c>
      <c r="AJ261" t="str">
        <f>IF(AND('Detalle individual'!F261&lt;&gt;"",'Detalle individual'!F261&lt;&gt;"Completado",'Detalle individual'!F261&lt;&gt;"Pendiente"),COUNTIF('Detalle individual'!$D$5:$D$1000,"&lt;"&amp;'Detalle individual'!D261)*1000000+COUNTIF('Detalle individual'!$C$5:$C$1000,"&lt;"&amp;'Detalle individual'!C261)*1000+COUNTIF('Detalle individual'!$B$5:$B$1000,"&lt;"&amp;'Detalle individual'!B261)+ROW()/10000,"")</f>
        <v/>
      </c>
      <c r="AK261" t="str">
        <f>IF(OR('Base Exámenes'!C261="",'Base Exámenes'!D261=""),"",IF(COUNTIF('Base Exámenes'!$C$5:C261,'Base Exámenes'!C261)=1,'Base Exámenes'!D261+ROW()/1000000000,""))</f>
        <v/>
      </c>
      <c r="AL261" t="str">
        <f>IF(OR('Base Exámenes'!C261="",'Base Exámenes'!E261=""),"",IF(COUNTIF('Base Exámenes'!$C$5:C261,'Base Exámenes'!C261)=1,'Base Exámenes'!E261+ROW()/1000000000,""))</f>
        <v/>
      </c>
      <c r="AM261" t="str">
        <f>IF(OR('Base Exámenes'!C261="",'Base Exámenes'!G261=""),"",IF(ROW()-4=MATCH('Base Exámenes'!C261&amp;"|"&amp;_xlfn.MAXIFS('Base Exámenes'!$G$5:$G$1000,'Base Exámenes'!$C$5:$C$1000,'Base Exámenes'!C261),'Base Exámenes'!$I$5:$I$1000,0),'Base Exámenes'!G261*1000000+(-1)*'Base Exámenes'!D261,""))</f>
        <v/>
      </c>
      <c r="AQ261">
        <f>IF('Base Exámenes'!C261="","",IF(COUNTIF('Base Exámenes'!$C$5:$C$1000,'Base Exámenes'!C261)&lt;2,"",MATCH('Base Exámenes'!C261,'Base Exámenes'!$C$5:$C$1000,0)*10000+ROW()))</f>
        <v>2530261</v>
      </c>
    </row>
    <row r="262">
      <c r="Z262">
        <f>IF('Detalle individual'!A262="","",IF(AND(OR('Estado por Colaborador'!$D$4="Todas las gerencias",'Detalle individual'!D262='Estado por Colaborador'!$D$4),OR('Estado por Colaborador'!$D$5="Todos los departamentos",TRIM('Detalle individual'!C262)='Estado por Colaborador'!$D$5),OR('Estado por Colaborador'!$D$6="Todos",'Detalle individual'!F262='Estado por Colaborador'!$D$6)),IF('Detalle individual'!F262="Completado",30000000,IF('Detalle individual'!F262="Pendiente",0,15000000))+COUNTIF('Detalle individual'!$C$5:$C$1000,"&lt;"&amp;'Detalle individual'!C262)*10000+ROW(),""))</f>
        <v>37430262</v>
      </c>
      <c r="AB262" t="str">
        <f>IF('Detalle individual'!C262="","",IF(COUNTIF('Detalle individual'!$C$5:C262,'Detalle individual'!C262)=1,COUNTIF('Detalle individual'!$C$5:$C$1000,"&lt;"&amp;'Detalle individual'!C262),""))</f>
        <v/>
      </c>
      <c r="AC262" t="str">
        <f>IF('Detalle individual'!D262="","",IF(COUNTIF('Detalle individual'!$D$5:D262,'Detalle individual'!D262)=1,COUNTIF('Detalle individual'!$D$5:$D$1000,"&lt;"&amp;'Detalle individual'!D262),""))</f>
        <v/>
      </c>
      <c r="AH262" t="str">
        <f>IF('Detalle individual'!F262="Pendiente",COUNTIF('Detalle individual'!$D$5:$D$1000,"&lt;"&amp;'Detalle individual'!D262)*1000000+COUNTIF('Detalle individual'!$C$5:$C$1000,"&lt;"&amp;'Detalle individual'!C262)*1000+COUNTIF('Detalle individual'!$B$5:$B$1000,"&lt;"&amp;'Detalle individual'!B262)+ROW()/10000,"")</f>
        <v/>
      </c>
      <c r="AI262">
        <f>IF('Detalle individual'!F262="Completado",COUNTIF('Detalle individual'!$D$5:$D$1000,"&lt;"&amp;'Detalle individual'!D262)*1000000+COUNTIF('Detalle individual'!$C$5:$C$1000,"&lt;"&amp;'Detalle individual'!C262)*1000+COUNTIF('Detalle individual'!$B$5:$B$1000,"&lt;"&amp;'Detalle individual'!B262)+ROW()/10000,"")</f>
        <v>764743867.0262</v>
      </c>
      <c r="AJ262" t="str">
        <f>IF(AND('Detalle individual'!F262&lt;&gt;"",'Detalle individual'!F262&lt;&gt;"Completado",'Detalle individual'!F262&lt;&gt;"Pendiente"),COUNTIF('Detalle individual'!$D$5:$D$1000,"&lt;"&amp;'Detalle individual'!D262)*1000000+COUNTIF('Detalle individual'!$C$5:$C$1000,"&lt;"&amp;'Detalle individual'!C262)*1000+COUNTIF('Detalle individual'!$B$5:$B$1000,"&lt;"&amp;'Detalle individual'!B262)+ROW()/10000,"")</f>
        <v/>
      </c>
      <c r="AK262">
        <f>IF(OR('Base Exámenes'!C262="",'Base Exámenes'!D262=""),"",IF(COUNTIF('Base Exámenes'!$C$5:C262,'Base Exámenes'!C262)=1,'Base Exámenes'!D262+ROW()/1000000000,""))</f>
        <v>46310.616447025466</v>
      </c>
      <c r="AL262">
        <f>IF(OR('Base Exámenes'!C262="",'Base Exámenes'!E262=""),"",IF(COUNTIF('Base Exámenes'!$C$5:C262,'Base Exámenes'!C262)=1,'Base Exámenes'!E262+ROW()/1000000000,""))</f>
        <v>46310.619815081016</v>
      </c>
      <c r="AM262">
        <f>IF(OR('Base Exámenes'!C262="",'Base Exámenes'!G262=""),"",IF(ROW()-4=MATCH('Base Exámenes'!C262&amp;"|"&amp;_xlfn.MAXIFS('Base Exámenes'!$G$5:$G$1000,'Base Exámenes'!$C$5:$C$1000,'Base Exámenes'!C262),'Base Exámenes'!$I$5:$I$1000,0),'Base Exámenes'!G262*1000000+(-1)*'Base Exámenes'!D262,""))</f>
        <v>99953689.3835532</v>
      </c>
      <c r="AQ262" t="str">
        <f>IF('Base Exámenes'!C262="","",IF(COUNTIF('Base Exámenes'!$C$5:$C$1000,'Base Exámenes'!C262)&lt;2,"",MATCH('Base Exámenes'!C262,'Base Exámenes'!$C$5:$C$1000,0)*10000+ROW()))</f>
        <v/>
      </c>
    </row>
    <row r="263">
      <c r="Z263">
        <f>IF('Detalle individual'!A263="","",IF(AND(OR('Estado por Colaborador'!$D$4="Todas las gerencias",'Detalle individual'!D263='Estado por Colaborador'!$D$4),OR('Estado por Colaborador'!$D$5="Todos los departamentos",TRIM('Detalle individual'!C263)='Estado por Colaborador'!$D$5),OR('Estado por Colaborador'!$D$6="Todos",'Detalle individual'!F263='Estado por Colaborador'!$D$6)),IF('Detalle individual'!F263="Completado",30000000,IF('Detalle individual'!F263="Pendiente",0,15000000))+COUNTIF('Detalle individual'!$C$5:$C$1000,"&lt;"&amp;'Detalle individual'!C263)*10000+ROW(),""))</f>
        <v>37430263</v>
      </c>
      <c r="AB263" t="str">
        <f>IF('Detalle individual'!C263="","",IF(COUNTIF('Detalle individual'!$C$5:C263,'Detalle individual'!C263)=1,COUNTIF('Detalle individual'!$C$5:$C$1000,"&lt;"&amp;'Detalle individual'!C263),""))</f>
        <v/>
      </c>
      <c r="AC263" t="str">
        <f>IF('Detalle individual'!D263="","",IF(COUNTIF('Detalle individual'!$D$5:D263,'Detalle individual'!D263)=1,COUNTIF('Detalle individual'!$D$5:$D$1000,"&lt;"&amp;'Detalle individual'!D263),""))</f>
        <v/>
      </c>
      <c r="AH263" t="str">
        <f>IF('Detalle individual'!F263="Pendiente",COUNTIF('Detalle individual'!$D$5:$D$1000,"&lt;"&amp;'Detalle individual'!D263)*1000000+COUNTIF('Detalle individual'!$C$5:$C$1000,"&lt;"&amp;'Detalle individual'!C263)*1000+COUNTIF('Detalle individual'!$B$5:$B$1000,"&lt;"&amp;'Detalle individual'!B263)+ROW()/10000,"")</f>
        <v/>
      </c>
      <c r="AI263">
        <f>IF('Detalle individual'!F263="Completado",COUNTIF('Detalle individual'!$D$5:$D$1000,"&lt;"&amp;'Detalle individual'!D263)*1000000+COUNTIF('Detalle individual'!$C$5:$C$1000,"&lt;"&amp;'Detalle individual'!C263)*1000+COUNTIF('Detalle individual'!$B$5:$B$1000,"&lt;"&amp;'Detalle individual'!B263)+ROW()/10000,"")</f>
        <v>764743711.0263</v>
      </c>
      <c r="AJ263" t="str">
        <f>IF(AND('Detalle individual'!F263&lt;&gt;"",'Detalle individual'!F263&lt;&gt;"Completado",'Detalle individual'!F263&lt;&gt;"Pendiente"),COUNTIF('Detalle individual'!$D$5:$D$1000,"&lt;"&amp;'Detalle individual'!D263)*1000000+COUNTIF('Detalle individual'!$C$5:$C$1000,"&lt;"&amp;'Detalle individual'!C263)*1000+COUNTIF('Detalle individual'!$B$5:$B$1000,"&lt;"&amp;'Detalle individual'!B263)+ROW()/10000,"")</f>
        <v/>
      </c>
      <c r="AK263">
        <f>IF(OR('Base Exámenes'!C263="",'Base Exámenes'!D263=""),"",IF(COUNTIF('Base Exámenes'!$C$5:C263,'Base Exámenes'!C263)=1,'Base Exámenes'!D263+ROW()/1000000000,""))</f>
        <v>46310.6287965625</v>
      </c>
      <c r="AL263">
        <f>IF(OR('Base Exámenes'!C263="",'Base Exámenes'!E263=""),"",IF(COUNTIF('Base Exámenes'!$C$5:C263,'Base Exámenes'!C263)=1,'Base Exámenes'!E263+ROW()/1000000000,""))</f>
        <v>46310.633819710645</v>
      </c>
      <c r="AM263">
        <f>IF(OR('Base Exámenes'!C263="",'Base Exámenes'!G263=""),"",IF(ROW()-4=MATCH('Base Exámenes'!C263&amp;"|"&amp;_xlfn.MAXIFS('Base Exámenes'!$G$5:$G$1000,'Base Exámenes'!$C$5:$C$1000,'Base Exámenes'!C263),'Base Exámenes'!$I$5:$I$1000,0),'Base Exámenes'!G263*1000000+(-1)*'Base Exámenes'!D263,""))</f>
        <v>99953689.3712037</v>
      </c>
      <c r="AQ263" t="str">
        <f>IF('Base Exámenes'!C263="","",IF(COUNTIF('Base Exámenes'!$C$5:$C$1000,'Base Exámenes'!C263)&lt;2,"",MATCH('Base Exámenes'!C263,'Base Exámenes'!$C$5:$C$1000,0)*10000+ROW()))</f>
        <v/>
      </c>
    </row>
    <row r="264">
      <c r="Z264">
        <f>IF('Detalle individual'!A264="","",IF(AND(OR('Estado por Colaborador'!$D$4="Todas las gerencias",'Detalle individual'!D264='Estado por Colaborador'!$D$4),OR('Estado por Colaborador'!$D$5="Todos los departamentos",TRIM('Detalle individual'!C264)='Estado por Colaborador'!$D$5),OR('Estado por Colaborador'!$D$6="Todos",'Detalle individual'!F264='Estado por Colaborador'!$D$6)),IF('Detalle individual'!F264="Completado",30000000,IF('Detalle individual'!F264="Pendiente",0,15000000))+COUNTIF('Detalle individual'!$C$5:$C$1000,"&lt;"&amp;'Detalle individual'!C264)*10000+ROW(),""))</f>
        <v>37430264</v>
      </c>
      <c r="AB264" t="str">
        <f>IF('Detalle individual'!C264="","",IF(COUNTIF('Detalle individual'!$C$5:C264,'Detalle individual'!C264)=1,COUNTIF('Detalle individual'!$C$5:$C$1000,"&lt;"&amp;'Detalle individual'!C264),""))</f>
        <v/>
      </c>
      <c r="AC264" t="str">
        <f>IF('Detalle individual'!D264="","",IF(COUNTIF('Detalle individual'!$D$5:D264,'Detalle individual'!D264)=1,COUNTIF('Detalle individual'!$D$5:$D$1000,"&lt;"&amp;'Detalle individual'!D264),""))</f>
        <v/>
      </c>
      <c r="AH264" t="str">
        <f>IF('Detalle individual'!F264="Pendiente",COUNTIF('Detalle individual'!$D$5:$D$1000,"&lt;"&amp;'Detalle individual'!D264)*1000000+COUNTIF('Detalle individual'!$C$5:$C$1000,"&lt;"&amp;'Detalle individual'!C264)*1000+COUNTIF('Detalle individual'!$B$5:$B$1000,"&lt;"&amp;'Detalle individual'!B264)+ROW()/10000,"")</f>
        <v/>
      </c>
      <c r="AI264">
        <f>IF('Detalle individual'!F264="Completado",COUNTIF('Detalle individual'!$D$5:$D$1000,"&lt;"&amp;'Detalle individual'!D264)*1000000+COUNTIF('Detalle individual'!$C$5:$C$1000,"&lt;"&amp;'Detalle individual'!C264)*1000+COUNTIF('Detalle individual'!$B$5:$B$1000,"&lt;"&amp;'Detalle individual'!B264)+ROW()/10000,"")</f>
        <v>764743819.0264</v>
      </c>
      <c r="AJ264" t="str">
        <f>IF(AND('Detalle individual'!F264&lt;&gt;"",'Detalle individual'!F264&lt;&gt;"Completado",'Detalle individual'!F264&lt;&gt;"Pendiente"),COUNTIF('Detalle individual'!$D$5:$D$1000,"&lt;"&amp;'Detalle individual'!D264)*1000000+COUNTIF('Detalle individual'!$C$5:$C$1000,"&lt;"&amp;'Detalle individual'!C264)*1000+COUNTIF('Detalle individual'!$B$5:$B$1000,"&lt;"&amp;'Detalle individual'!B264)+ROW()/10000,"")</f>
        <v/>
      </c>
      <c r="AK264">
        <f>IF(OR('Base Exámenes'!C264="",'Base Exámenes'!D264=""),"",IF(COUNTIF('Base Exámenes'!$C$5:C264,'Base Exámenes'!C264)=1,'Base Exámenes'!D264+ROW()/1000000000,""))</f>
        <v>46310.63520859954</v>
      </c>
      <c r="AL264">
        <f>IF(OR('Base Exámenes'!C264="",'Base Exámenes'!E264=""),"",IF(COUNTIF('Base Exámenes'!$C$5:C264,'Base Exámenes'!C264)=1,'Base Exámenes'!E264+ROW()/1000000000,""))</f>
        <v>46310.63688684028</v>
      </c>
      <c r="AM264">
        <f>IF(OR('Base Exámenes'!C264="",'Base Exámenes'!G264=""),"",IF(ROW()-4=MATCH('Base Exámenes'!C264&amp;"|"&amp;_xlfn.MAXIFS('Base Exámenes'!$G$5:$G$1000,'Base Exámenes'!$C$5:$C$1000,'Base Exámenes'!C264),'Base Exámenes'!$I$5:$I$1000,0),'Base Exámenes'!G264*1000000+(-1)*'Base Exámenes'!D264,""))</f>
        <v>99953689.3647917</v>
      </c>
      <c r="AQ264" t="str">
        <f>IF('Base Exámenes'!C264="","",IF(COUNTIF('Base Exámenes'!$C$5:$C$1000,'Base Exámenes'!C264)&lt;2,"",MATCH('Base Exámenes'!C264,'Base Exámenes'!$C$5:$C$1000,0)*10000+ROW()))</f>
        <v/>
      </c>
    </row>
    <row r="265">
      <c r="Z265">
        <f>IF('Detalle individual'!A265="","",IF(AND(OR('Estado por Colaborador'!$D$4="Todas las gerencias",'Detalle individual'!D265='Estado por Colaborador'!$D$4),OR('Estado por Colaborador'!$D$5="Todos los departamentos",TRIM('Detalle individual'!C265)='Estado por Colaborador'!$D$5),OR('Estado por Colaborador'!$D$6="Todos",'Detalle individual'!F265='Estado por Colaborador'!$D$6)),IF('Detalle individual'!F265="Completado",30000000,IF('Detalle individual'!F265="Pendiente",0,15000000))+COUNTIF('Detalle individual'!$C$5:$C$1000,"&lt;"&amp;'Detalle individual'!C265)*10000+ROW(),""))</f>
        <v>37430265</v>
      </c>
      <c r="AB265" t="str">
        <f>IF('Detalle individual'!C265="","",IF(COUNTIF('Detalle individual'!$C$5:C265,'Detalle individual'!C265)=1,COUNTIF('Detalle individual'!$C$5:$C$1000,"&lt;"&amp;'Detalle individual'!C265),""))</f>
        <v/>
      </c>
      <c r="AC265" t="str">
        <f>IF('Detalle individual'!D265="","",IF(COUNTIF('Detalle individual'!$D$5:D265,'Detalle individual'!D265)=1,COUNTIF('Detalle individual'!$D$5:$D$1000,"&lt;"&amp;'Detalle individual'!D265),""))</f>
        <v/>
      </c>
      <c r="AH265" t="str">
        <f>IF('Detalle individual'!F265="Pendiente",COUNTIF('Detalle individual'!$D$5:$D$1000,"&lt;"&amp;'Detalle individual'!D265)*1000000+COUNTIF('Detalle individual'!$C$5:$C$1000,"&lt;"&amp;'Detalle individual'!C265)*1000+COUNTIF('Detalle individual'!$B$5:$B$1000,"&lt;"&amp;'Detalle individual'!B265)+ROW()/10000,"")</f>
        <v/>
      </c>
      <c r="AI265">
        <f>IF('Detalle individual'!F265="Completado",COUNTIF('Detalle individual'!$D$5:$D$1000,"&lt;"&amp;'Detalle individual'!D265)*1000000+COUNTIF('Detalle individual'!$C$5:$C$1000,"&lt;"&amp;'Detalle individual'!C265)*1000+COUNTIF('Detalle individual'!$B$5:$B$1000,"&lt;"&amp;'Detalle individual'!B265)+ROW()/10000,"")</f>
        <v>764743764.0265</v>
      </c>
      <c r="AJ265" t="str">
        <f>IF(AND('Detalle individual'!F265&lt;&gt;"",'Detalle individual'!F265&lt;&gt;"Completado",'Detalle individual'!F265&lt;&gt;"Pendiente"),COUNTIF('Detalle individual'!$D$5:$D$1000,"&lt;"&amp;'Detalle individual'!D265)*1000000+COUNTIF('Detalle individual'!$C$5:$C$1000,"&lt;"&amp;'Detalle individual'!C265)*1000+COUNTIF('Detalle individual'!$B$5:$B$1000,"&lt;"&amp;'Detalle individual'!B265)+ROW()/10000,"")</f>
        <v/>
      </c>
      <c r="AK265">
        <f>IF(OR('Base Exámenes'!C265="",'Base Exámenes'!D265=""),"",IF(COUNTIF('Base Exámenes'!$C$5:C265,'Base Exámenes'!C265)=1,'Base Exámenes'!D265+ROW()/1000000000,""))</f>
        <v>46310.62758128472</v>
      </c>
      <c r="AL265">
        <f>IF(OR('Base Exámenes'!C265="",'Base Exámenes'!E265=""),"",IF(COUNTIF('Base Exámenes'!$C$5:C265,'Base Exámenes'!C265)=1,'Base Exámenes'!E265+ROW()/1000000000,""))</f>
        <v>46310.63746554398</v>
      </c>
      <c r="AM265">
        <f>IF(OR('Base Exámenes'!C265="",'Base Exámenes'!G265=""),"",IF(ROW()-4=MATCH('Base Exámenes'!C265&amp;"|"&amp;_xlfn.MAXIFS('Base Exámenes'!$G$5:$G$1000,'Base Exámenes'!$C$5:$C$1000,'Base Exámenes'!C265),'Base Exámenes'!$I$5:$I$1000,0),'Base Exámenes'!G265*1000000+(-1)*'Base Exámenes'!D265,""))</f>
        <v>99953689.372419</v>
      </c>
      <c r="AQ265" t="str">
        <f>IF('Base Exámenes'!C265="","",IF(COUNTIF('Base Exámenes'!$C$5:$C$1000,'Base Exámenes'!C265)&lt;2,"",MATCH('Base Exámenes'!C265,'Base Exámenes'!$C$5:$C$1000,0)*10000+ROW()))</f>
        <v/>
      </c>
    </row>
    <row r="266">
      <c r="Z266">
        <f>IF('Detalle individual'!A266="","",IF(AND(OR('Estado por Colaborador'!$D$4="Todas las gerencias",'Detalle individual'!D266='Estado por Colaborador'!$D$4),OR('Estado por Colaborador'!$D$5="Todos los departamentos",TRIM('Detalle individual'!C266)='Estado por Colaborador'!$D$5),OR('Estado por Colaborador'!$D$6="Todos",'Detalle individual'!F266='Estado por Colaborador'!$D$6)),IF('Detalle individual'!F266="Completado",30000000,IF('Detalle individual'!F266="Pendiente",0,15000000))+COUNTIF('Detalle individual'!$C$5:$C$1000,"&lt;"&amp;'Detalle individual'!C266)*10000+ROW(),""))</f>
        <v>37430266</v>
      </c>
      <c r="AB266" t="str">
        <f>IF('Detalle individual'!C266="","",IF(COUNTIF('Detalle individual'!$C$5:C266,'Detalle individual'!C266)=1,COUNTIF('Detalle individual'!$C$5:$C$1000,"&lt;"&amp;'Detalle individual'!C266),""))</f>
        <v/>
      </c>
      <c r="AC266" t="str">
        <f>IF('Detalle individual'!D266="","",IF(COUNTIF('Detalle individual'!$D$5:D266,'Detalle individual'!D266)=1,COUNTIF('Detalle individual'!$D$5:$D$1000,"&lt;"&amp;'Detalle individual'!D266),""))</f>
        <v/>
      </c>
      <c r="AH266" t="str">
        <f>IF('Detalle individual'!F266="Pendiente",COUNTIF('Detalle individual'!$D$5:$D$1000,"&lt;"&amp;'Detalle individual'!D266)*1000000+COUNTIF('Detalle individual'!$C$5:$C$1000,"&lt;"&amp;'Detalle individual'!C266)*1000+COUNTIF('Detalle individual'!$B$5:$B$1000,"&lt;"&amp;'Detalle individual'!B266)+ROW()/10000,"")</f>
        <v/>
      </c>
      <c r="AI266">
        <f>IF('Detalle individual'!F266="Completado",COUNTIF('Detalle individual'!$D$5:$D$1000,"&lt;"&amp;'Detalle individual'!D266)*1000000+COUNTIF('Detalle individual'!$C$5:$C$1000,"&lt;"&amp;'Detalle individual'!C266)*1000+COUNTIF('Detalle individual'!$B$5:$B$1000,"&lt;"&amp;'Detalle individual'!B266)+ROW()/10000,"")</f>
        <v>764743991.0266</v>
      </c>
      <c r="AJ266" t="str">
        <f>IF(AND('Detalle individual'!F266&lt;&gt;"",'Detalle individual'!F266&lt;&gt;"Completado",'Detalle individual'!F266&lt;&gt;"Pendiente"),COUNTIF('Detalle individual'!$D$5:$D$1000,"&lt;"&amp;'Detalle individual'!D266)*1000000+COUNTIF('Detalle individual'!$C$5:$C$1000,"&lt;"&amp;'Detalle individual'!C266)*1000+COUNTIF('Detalle individual'!$B$5:$B$1000,"&lt;"&amp;'Detalle individual'!B266)+ROW()/10000,"")</f>
        <v/>
      </c>
      <c r="AK266">
        <f>IF(OR('Base Exámenes'!C266="",'Base Exámenes'!D266=""),"",IF(COUNTIF('Base Exámenes'!$C$5:C266,'Base Exámenes'!C266)=1,'Base Exámenes'!D266+ROW()/1000000000,""))</f>
        <v>46310.637847488426</v>
      </c>
      <c r="AL266">
        <f>IF(OR('Base Exámenes'!C266="",'Base Exámenes'!E266=""),"",IF(COUNTIF('Base Exámenes'!$C$5:C266,'Base Exámenes'!C266)=1,'Base Exámenes'!E266+ROW()/1000000000,""))</f>
        <v>46310.638900729165</v>
      </c>
      <c r="AM266">
        <f>IF(OR('Base Exámenes'!C266="",'Base Exámenes'!G266=""),"",IF(ROW()-4=MATCH('Base Exámenes'!C266&amp;"|"&amp;_xlfn.MAXIFS('Base Exámenes'!$G$5:$G$1000,'Base Exámenes'!$C$5:$C$1000,'Base Exámenes'!C266),'Base Exámenes'!$I$5:$I$1000,0),'Base Exámenes'!G266*1000000+(-1)*'Base Exámenes'!D266,""))</f>
        <v>99953689.3621528</v>
      </c>
      <c r="AQ266" t="str">
        <f>IF('Base Exámenes'!C266="","",IF(COUNTIF('Base Exámenes'!$C$5:$C$1000,'Base Exámenes'!C266)&lt;2,"",MATCH('Base Exámenes'!C266,'Base Exámenes'!$C$5:$C$1000,0)*10000+ROW()))</f>
        <v/>
      </c>
    </row>
    <row r="267">
      <c r="Z267">
        <f>IF('Detalle individual'!A267="","",IF(AND(OR('Estado por Colaborador'!$D$4="Todas las gerencias",'Detalle individual'!D267='Estado por Colaborador'!$D$4),OR('Estado por Colaborador'!$D$5="Todos los departamentos",TRIM('Detalle individual'!C267)='Estado por Colaborador'!$D$5),OR('Estado por Colaborador'!$D$6="Todos",'Detalle individual'!F267='Estado por Colaborador'!$D$6)),IF('Detalle individual'!F267="Completado",30000000,IF('Detalle individual'!F267="Pendiente",0,15000000))+COUNTIF('Detalle individual'!$C$5:$C$1000,"&lt;"&amp;'Detalle individual'!C267)*10000+ROW(),""))</f>
        <v>37430267</v>
      </c>
      <c r="AB267" t="str">
        <f>IF('Detalle individual'!C267="","",IF(COUNTIF('Detalle individual'!$C$5:C267,'Detalle individual'!C267)=1,COUNTIF('Detalle individual'!$C$5:$C$1000,"&lt;"&amp;'Detalle individual'!C267),""))</f>
        <v/>
      </c>
      <c r="AC267" t="str">
        <f>IF('Detalle individual'!D267="","",IF(COUNTIF('Detalle individual'!$D$5:D267,'Detalle individual'!D267)=1,COUNTIF('Detalle individual'!$D$5:$D$1000,"&lt;"&amp;'Detalle individual'!D267),""))</f>
        <v/>
      </c>
      <c r="AH267" t="str">
        <f>IF('Detalle individual'!F267="Pendiente",COUNTIF('Detalle individual'!$D$5:$D$1000,"&lt;"&amp;'Detalle individual'!D267)*1000000+COUNTIF('Detalle individual'!$C$5:$C$1000,"&lt;"&amp;'Detalle individual'!C267)*1000+COUNTIF('Detalle individual'!$B$5:$B$1000,"&lt;"&amp;'Detalle individual'!B267)+ROW()/10000,"")</f>
        <v/>
      </c>
      <c r="AI267">
        <f>IF('Detalle individual'!F267="Completado",COUNTIF('Detalle individual'!$D$5:$D$1000,"&lt;"&amp;'Detalle individual'!D267)*1000000+COUNTIF('Detalle individual'!$C$5:$C$1000,"&lt;"&amp;'Detalle individual'!C267)*1000+COUNTIF('Detalle individual'!$B$5:$B$1000,"&lt;"&amp;'Detalle individual'!B267)+ROW()/10000,"")</f>
        <v>764743995.0267</v>
      </c>
      <c r="AJ267" t="str">
        <f>IF(AND('Detalle individual'!F267&lt;&gt;"",'Detalle individual'!F267&lt;&gt;"Completado",'Detalle individual'!F267&lt;&gt;"Pendiente"),COUNTIF('Detalle individual'!$D$5:$D$1000,"&lt;"&amp;'Detalle individual'!D267)*1000000+COUNTIF('Detalle individual'!$C$5:$C$1000,"&lt;"&amp;'Detalle individual'!C267)*1000+COUNTIF('Detalle individual'!$B$5:$B$1000,"&lt;"&amp;'Detalle individual'!B267)+ROW()/10000,"")</f>
        <v/>
      </c>
      <c r="AK267">
        <f>IF(OR('Base Exámenes'!C267="",'Base Exámenes'!D267=""),"",IF(COUNTIF('Base Exámenes'!$C$5:C267,'Base Exámenes'!C267)=1,'Base Exámenes'!D267+ROW()/1000000000,""))</f>
        <v>46310.643472488424</v>
      </c>
      <c r="AL267">
        <f>IF(OR('Base Exámenes'!C267="",'Base Exámenes'!E267=""),"",IF(COUNTIF('Base Exámenes'!$C$5:C267,'Base Exámenes'!C267)=1,'Base Exámenes'!E267+ROW()/1000000000,""))</f>
        <v>46310.64591461806</v>
      </c>
      <c r="AM267">
        <f>IF(OR('Base Exámenes'!C267="",'Base Exámenes'!G267=""),"",IF(ROW()-4=MATCH('Base Exámenes'!C267&amp;"|"&amp;_xlfn.MAXIFS('Base Exámenes'!$G$5:$G$1000,'Base Exámenes'!$C$5:$C$1000,'Base Exámenes'!C267),'Base Exámenes'!$I$5:$I$1000,0),'Base Exámenes'!G267*1000000+(-1)*'Base Exámenes'!D267,""))</f>
        <v>99953689.3565278</v>
      </c>
      <c r="AQ267" t="str">
        <f>IF('Base Exámenes'!C267="","",IF(COUNTIF('Base Exámenes'!$C$5:$C$1000,'Base Exámenes'!C267)&lt;2,"",MATCH('Base Exámenes'!C267,'Base Exámenes'!$C$5:$C$1000,0)*10000+ROW()))</f>
        <v/>
      </c>
    </row>
    <row r="268">
      <c r="Z268">
        <f>IF('Detalle individual'!A268="","",IF(AND(OR('Estado por Colaborador'!$D$4="Todas las gerencias",'Detalle individual'!D268='Estado por Colaborador'!$D$4),OR('Estado por Colaborador'!$D$5="Todos los departamentos",TRIM('Detalle individual'!C268)='Estado por Colaborador'!$D$5),OR('Estado por Colaborador'!$D$6="Todos",'Detalle individual'!F268='Estado por Colaborador'!$D$6)),IF('Detalle individual'!F268="Completado",30000000,IF('Detalle individual'!F268="Pendiente",0,15000000))+COUNTIF('Detalle individual'!$C$5:$C$1000,"&lt;"&amp;'Detalle individual'!C268)*10000+ROW(),""))</f>
        <v>37430268</v>
      </c>
      <c r="AB268" t="str">
        <f>IF('Detalle individual'!C268="","",IF(COUNTIF('Detalle individual'!$C$5:C268,'Detalle individual'!C268)=1,COUNTIF('Detalle individual'!$C$5:$C$1000,"&lt;"&amp;'Detalle individual'!C268),""))</f>
        <v/>
      </c>
      <c r="AC268" t="str">
        <f>IF('Detalle individual'!D268="","",IF(COUNTIF('Detalle individual'!$D$5:D268,'Detalle individual'!D268)=1,COUNTIF('Detalle individual'!$D$5:$D$1000,"&lt;"&amp;'Detalle individual'!D268),""))</f>
        <v/>
      </c>
      <c r="AH268" t="str">
        <f>IF('Detalle individual'!F268="Pendiente",COUNTIF('Detalle individual'!$D$5:$D$1000,"&lt;"&amp;'Detalle individual'!D268)*1000000+COUNTIF('Detalle individual'!$C$5:$C$1000,"&lt;"&amp;'Detalle individual'!C268)*1000+COUNTIF('Detalle individual'!$B$5:$B$1000,"&lt;"&amp;'Detalle individual'!B268)+ROW()/10000,"")</f>
        <v/>
      </c>
      <c r="AI268">
        <f>IF('Detalle individual'!F268="Completado",COUNTIF('Detalle individual'!$D$5:$D$1000,"&lt;"&amp;'Detalle individual'!D268)*1000000+COUNTIF('Detalle individual'!$C$5:$C$1000,"&lt;"&amp;'Detalle individual'!C268)*1000+COUNTIF('Detalle individual'!$B$5:$B$1000,"&lt;"&amp;'Detalle individual'!B268)+ROW()/10000,"")</f>
        <v>764743972.0268</v>
      </c>
      <c r="AJ268" t="str">
        <f>IF(AND('Detalle individual'!F268&lt;&gt;"",'Detalle individual'!F268&lt;&gt;"Completado",'Detalle individual'!F268&lt;&gt;"Pendiente"),COUNTIF('Detalle individual'!$D$5:$D$1000,"&lt;"&amp;'Detalle individual'!D268)*1000000+COUNTIF('Detalle individual'!$C$5:$C$1000,"&lt;"&amp;'Detalle individual'!C268)*1000+COUNTIF('Detalle individual'!$B$5:$B$1000,"&lt;"&amp;'Detalle individual'!B268)+ROW()/10000,"")</f>
        <v/>
      </c>
      <c r="AK268">
        <f>IF(OR('Base Exámenes'!C268="",'Base Exámenes'!D268=""),"",IF(COUNTIF('Base Exámenes'!$C$5:C268,'Base Exámenes'!C268)=1,'Base Exámenes'!D268+ROW()/1000000000,""))</f>
        <v>46310.65715304398</v>
      </c>
      <c r="AL268">
        <f>IF(OR('Base Exámenes'!C268="",'Base Exámenes'!E268=""),"",IF(COUNTIF('Base Exámenes'!$C$5:C268,'Base Exámenes'!C268)=1,'Base Exámenes'!E268+ROW()/1000000000,""))</f>
        <v>46310.659977118055</v>
      </c>
      <c r="AM268">
        <f>IF(OR('Base Exámenes'!C268="",'Base Exámenes'!G268=""),"",IF(ROW()-4=MATCH('Base Exámenes'!C268&amp;"|"&amp;_xlfn.MAXIFS('Base Exámenes'!$G$5:$G$1000,'Base Exámenes'!$C$5:$C$1000,'Base Exámenes'!C268),'Base Exámenes'!$I$5:$I$1000,0),'Base Exámenes'!G268*1000000+(-1)*'Base Exámenes'!D268,""))</f>
        <v>99953689.3428472</v>
      </c>
      <c r="AQ268" t="str">
        <f>IF('Base Exámenes'!C268="","",IF(COUNTIF('Base Exámenes'!$C$5:$C$1000,'Base Exámenes'!C268)&lt;2,"",MATCH('Base Exámenes'!C268,'Base Exámenes'!$C$5:$C$1000,0)*10000+ROW()))</f>
        <v/>
      </c>
    </row>
    <row r="269">
      <c r="Z269">
        <f>IF('Detalle individual'!A269="","",IF(AND(OR('Estado por Colaborador'!$D$4="Todas las gerencias",'Detalle individual'!D269='Estado por Colaborador'!$D$4),OR('Estado por Colaborador'!$D$5="Todos los departamentos",TRIM('Detalle individual'!C269)='Estado por Colaborador'!$D$5),OR('Estado por Colaborador'!$D$6="Todos",'Detalle individual'!F269='Estado por Colaborador'!$D$6)),IF('Detalle individual'!F269="Completado",30000000,IF('Detalle individual'!F269="Pendiente",0,15000000))+COUNTIF('Detalle individual'!$C$5:$C$1000,"&lt;"&amp;'Detalle individual'!C269)*10000+ROW(),""))</f>
        <v>37430269</v>
      </c>
      <c r="AB269" t="str">
        <f>IF('Detalle individual'!C269="","",IF(COUNTIF('Detalle individual'!$C$5:C269,'Detalle individual'!C269)=1,COUNTIF('Detalle individual'!$C$5:$C$1000,"&lt;"&amp;'Detalle individual'!C269),""))</f>
        <v/>
      </c>
      <c r="AC269" t="str">
        <f>IF('Detalle individual'!D269="","",IF(COUNTIF('Detalle individual'!$D$5:D269,'Detalle individual'!D269)=1,COUNTIF('Detalle individual'!$D$5:$D$1000,"&lt;"&amp;'Detalle individual'!D269),""))</f>
        <v/>
      </c>
      <c r="AH269" t="str">
        <f>IF('Detalle individual'!F269="Pendiente",COUNTIF('Detalle individual'!$D$5:$D$1000,"&lt;"&amp;'Detalle individual'!D269)*1000000+COUNTIF('Detalle individual'!$C$5:$C$1000,"&lt;"&amp;'Detalle individual'!C269)*1000+COUNTIF('Detalle individual'!$B$5:$B$1000,"&lt;"&amp;'Detalle individual'!B269)+ROW()/10000,"")</f>
        <v/>
      </c>
      <c r="AI269">
        <f>IF('Detalle individual'!F269="Completado",COUNTIF('Detalle individual'!$D$5:$D$1000,"&lt;"&amp;'Detalle individual'!D269)*1000000+COUNTIF('Detalle individual'!$C$5:$C$1000,"&lt;"&amp;'Detalle individual'!C269)*1000+COUNTIF('Detalle individual'!$B$5:$B$1000,"&lt;"&amp;'Detalle individual'!B269)+ROW()/10000,"")</f>
        <v>764743786.0269</v>
      </c>
      <c r="AJ269" t="str">
        <f>IF(AND('Detalle individual'!F269&lt;&gt;"",'Detalle individual'!F269&lt;&gt;"Completado",'Detalle individual'!F269&lt;&gt;"Pendiente"),COUNTIF('Detalle individual'!$D$5:$D$1000,"&lt;"&amp;'Detalle individual'!D269)*1000000+COUNTIF('Detalle individual'!$C$5:$C$1000,"&lt;"&amp;'Detalle individual'!C269)*1000+COUNTIF('Detalle individual'!$B$5:$B$1000,"&lt;"&amp;'Detalle individual'!B269)+ROW()/10000,"")</f>
        <v/>
      </c>
      <c r="AK269">
        <f>IF(OR('Base Exámenes'!C269="",'Base Exámenes'!D269=""),"",IF(COUNTIF('Base Exámenes'!$C$5:C269,'Base Exámenes'!C269)=1,'Base Exámenes'!D269+ROW()/1000000000,""))</f>
        <v>46310.65781276621</v>
      </c>
      <c r="AL269">
        <f>IF(OR('Base Exámenes'!C269="",'Base Exámenes'!E269=""),"",IF(COUNTIF('Base Exámenes'!$C$5:C269,'Base Exámenes'!C269)=1,'Base Exámenes'!E269+ROW()/1000000000,""))</f>
        <v>46310.6654053588</v>
      </c>
      <c r="AM269">
        <f>IF(OR('Base Exámenes'!C269="",'Base Exámenes'!G269=""),"",IF(ROW()-4=MATCH('Base Exámenes'!C269&amp;"|"&amp;_xlfn.MAXIFS('Base Exámenes'!$G$5:$G$1000,'Base Exámenes'!$C$5:$C$1000,'Base Exámenes'!C269),'Base Exámenes'!$I$5:$I$1000,0),'Base Exámenes'!G269*1000000+(-1)*'Base Exámenes'!D269,""))</f>
        <v>99953689.3421875</v>
      </c>
      <c r="AQ269" t="str">
        <f>IF('Base Exámenes'!C269="","",IF(COUNTIF('Base Exámenes'!$C$5:$C$1000,'Base Exámenes'!C269)&lt;2,"",MATCH('Base Exámenes'!C269,'Base Exámenes'!$C$5:$C$1000,0)*10000+ROW()))</f>
        <v/>
      </c>
    </row>
    <row r="270">
      <c r="Z270">
        <f>IF('Detalle individual'!A270="","",IF(AND(OR('Estado por Colaborador'!$D$4="Todas las gerencias",'Detalle individual'!D270='Estado por Colaborador'!$D$4),OR('Estado por Colaborador'!$D$5="Todos los departamentos",TRIM('Detalle individual'!C270)='Estado por Colaborador'!$D$5),OR('Estado por Colaborador'!$D$6="Todos",'Detalle individual'!F270='Estado por Colaborador'!$D$6)),IF('Detalle individual'!F270="Completado",30000000,IF('Detalle individual'!F270="Pendiente",0,15000000))+COUNTIF('Detalle individual'!$C$5:$C$1000,"&lt;"&amp;'Detalle individual'!C270)*10000+ROW(),""))</f>
        <v>37430270</v>
      </c>
      <c r="AB270" t="str">
        <f>IF('Detalle individual'!C270="","",IF(COUNTIF('Detalle individual'!$C$5:C270,'Detalle individual'!C270)=1,COUNTIF('Detalle individual'!$C$5:$C$1000,"&lt;"&amp;'Detalle individual'!C270),""))</f>
        <v/>
      </c>
      <c r="AC270" t="str">
        <f>IF('Detalle individual'!D270="","",IF(COUNTIF('Detalle individual'!$D$5:D270,'Detalle individual'!D270)=1,COUNTIF('Detalle individual'!$D$5:$D$1000,"&lt;"&amp;'Detalle individual'!D270),""))</f>
        <v/>
      </c>
      <c r="AH270" t="str">
        <f>IF('Detalle individual'!F270="Pendiente",COUNTIF('Detalle individual'!$D$5:$D$1000,"&lt;"&amp;'Detalle individual'!D270)*1000000+COUNTIF('Detalle individual'!$C$5:$C$1000,"&lt;"&amp;'Detalle individual'!C270)*1000+COUNTIF('Detalle individual'!$B$5:$B$1000,"&lt;"&amp;'Detalle individual'!B270)+ROW()/10000,"")</f>
        <v/>
      </c>
      <c r="AI270">
        <f>IF('Detalle individual'!F270="Completado",COUNTIF('Detalle individual'!$D$5:$D$1000,"&lt;"&amp;'Detalle individual'!D270)*1000000+COUNTIF('Detalle individual'!$C$5:$C$1000,"&lt;"&amp;'Detalle individual'!C270)*1000+COUNTIF('Detalle individual'!$B$5:$B$1000,"&lt;"&amp;'Detalle individual'!B270)+ROW()/10000,"")</f>
        <v>764743990.027</v>
      </c>
      <c r="AJ270" t="str">
        <f>IF(AND('Detalle individual'!F270&lt;&gt;"",'Detalle individual'!F270&lt;&gt;"Completado",'Detalle individual'!F270&lt;&gt;"Pendiente"),COUNTIF('Detalle individual'!$D$5:$D$1000,"&lt;"&amp;'Detalle individual'!D270)*1000000+COUNTIF('Detalle individual'!$C$5:$C$1000,"&lt;"&amp;'Detalle individual'!C270)*1000+COUNTIF('Detalle individual'!$B$5:$B$1000,"&lt;"&amp;'Detalle individual'!B270)+ROW()/10000,"")</f>
        <v/>
      </c>
      <c r="AK270">
        <f>IF(OR('Base Exámenes'!C270="",'Base Exámenes'!D270=""),"",IF(COUNTIF('Base Exámenes'!$C$5:C270,'Base Exámenes'!C270)=1,'Base Exámenes'!D270+ROW()/1000000000,""))</f>
        <v>46310.6662502662</v>
      </c>
      <c r="AL270">
        <f>IF(OR('Base Exámenes'!C270="",'Base Exámenes'!E270=""),"",IF(COUNTIF('Base Exámenes'!$C$5:C270,'Base Exámenes'!C270)=1,'Base Exámenes'!E270+ROW()/1000000000,""))</f>
        <v>46310.66862295139</v>
      </c>
      <c r="AM270">
        <f>IF(OR('Base Exámenes'!C270="",'Base Exámenes'!G270=""),"",IF(ROW()-4=MATCH('Base Exámenes'!C270&amp;"|"&amp;_xlfn.MAXIFS('Base Exámenes'!$G$5:$G$1000,'Base Exámenes'!$C$5:$C$1000,'Base Exámenes'!C270),'Base Exámenes'!$I$5:$I$1000,0),'Base Exámenes'!G270*1000000+(-1)*'Base Exámenes'!D270,""))</f>
        <v>79953689.33375</v>
      </c>
      <c r="AQ270" t="str">
        <f>IF('Base Exámenes'!C270="","",IF(COUNTIF('Base Exámenes'!$C$5:$C$1000,'Base Exámenes'!C270)&lt;2,"",MATCH('Base Exámenes'!C270,'Base Exámenes'!$C$5:$C$1000,0)*10000+ROW()))</f>
        <v/>
      </c>
    </row>
    <row r="271">
      <c r="Z271">
        <f>IF('Detalle individual'!A271="","",IF(AND(OR('Estado por Colaborador'!$D$4="Todas las gerencias",'Detalle individual'!D271='Estado por Colaborador'!$D$4),OR('Estado por Colaborador'!$D$5="Todos los departamentos",TRIM('Detalle individual'!C271)='Estado por Colaborador'!$D$5),OR('Estado por Colaborador'!$D$6="Todos",'Detalle individual'!F271='Estado por Colaborador'!$D$6)),IF('Detalle individual'!F271="Completado",30000000,IF('Detalle individual'!F271="Pendiente",0,15000000))+COUNTIF('Detalle individual'!$C$5:$C$1000,"&lt;"&amp;'Detalle individual'!C271)*10000+ROW(),""))</f>
        <v>37430271</v>
      </c>
      <c r="AB271" t="str">
        <f>IF('Detalle individual'!C271="","",IF(COUNTIF('Detalle individual'!$C$5:C271,'Detalle individual'!C271)=1,COUNTIF('Detalle individual'!$C$5:$C$1000,"&lt;"&amp;'Detalle individual'!C271),""))</f>
        <v/>
      </c>
      <c r="AC271" t="str">
        <f>IF('Detalle individual'!D271="","",IF(COUNTIF('Detalle individual'!$D$5:D271,'Detalle individual'!D271)=1,COUNTIF('Detalle individual'!$D$5:$D$1000,"&lt;"&amp;'Detalle individual'!D271),""))</f>
        <v/>
      </c>
      <c r="AH271" t="str">
        <f>IF('Detalle individual'!F271="Pendiente",COUNTIF('Detalle individual'!$D$5:$D$1000,"&lt;"&amp;'Detalle individual'!D271)*1000000+COUNTIF('Detalle individual'!$C$5:$C$1000,"&lt;"&amp;'Detalle individual'!C271)*1000+COUNTIF('Detalle individual'!$B$5:$B$1000,"&lt;"&amp;'Detalle individual'!B271)+ROW()/10000,"")</f>
        <v/>
      </c>
      <c r="AI271">
        <f>IF('Detalle individual'!F271="Completado",COUNTIF('Detalle individual'!$D$5:$D$1000,"&lt;"&amp;'Detalle individual'!D271)*1000000+COUNTIF('Detalle individual'!$C$5:$C$1000,"&lt;"&amp;'Detalle individual'!C271)*1000+COUNTIF('Detalle individual'!$B$5:$B$1000,"&lt;"&amp;'Detalle individual'!B271)+ROW()/10000,"")</f>
        <v>764743787.0271</v>
      </c>
      <c r="AJ271" t="str">
        <f>IF(AND('Detalle individual'!F271&lt;&gt;"",'Detalle individual'!F271&lt;&gt;"Completado",'Detalle individual'!F271&lt;&gt;"Pendiente"),COUNTIF('Detalle individual'!$D$5:$D$1000,"&lt;"&amp;'Detalle individual'!D271)*1000000+COUNTIF('Detalle individual'!$C$5:$C$1000,"&lt;"&amp;'Detalle individual'!C271)*1000+COUNTIF('Detalle individual'!$B$5:$B$1000,"&lt;"&amp;'Detalle individual'!B271)+ROW()/10000,"")</f>
        <v/>
      </c>
      <c r="AK271">
        <f>IF(OR('Base Exámenes'!C271="",'Base Exámenes'!D271=""),"",IF(COUNTIF('Base Exámenes'!$C$5:C271,'Base Exámenes'!C271)=1,'Base Exámenes'!D271+ROW()/1000000000,""))</f>
        <v>46310.69113452546</v>
      </c>
      <c r="AL271">
        <f>IF(OR('Base Exámenes'!C271="",'Base Exámenes'!E271=""),"",IF(COUNTIF('Base Exámenes'!$C$5:C271,'Base Exámenes'!C271)=1,'Base Exámenes'!E271+ROW()/1000000000,""))</f>
        <v>46310.69614609954</v>
      </c>
      <c r="AM271">
        <f>IF(OR('Base Exámenes'!C271="",'Base Exámenes'!G271=""),"",IF(ROW()-4=MATCH('Base Exámenes'!C271&amp;"|"&amp;_xlfn.MAXIFS('Base Exámenes'!$G$5:$G$1000,'Base Exámenes'!$C$5:$C$1000,'Base Exámenes'!C271),'Base Exámenes'!$I$5:$I$1000,0),'Base Exámenes'!G271*1000000+(-1)*'Base Exámenes'!D271,""))</f>
        <v>99953689.3088657</v>
      </c>
      <c r="AQ271" t="str">
        <f>IF('Base Exámenes'!C271="","",IF(COUNTIF('Base Exámenes'!$C$5:$C$1000,'Base Exámenes'!C271)&lt;2,"",MATCH('Base Exámenes'!C271,'Base Exámenes'!$C$5:$C$1000,0)*10000+ROW()))</f>
        <v/>
      </c>
    </row>
    <row r="272">
      <c r="Z272">
        <f>IF('Detalle individual'!A272="","",IF(AND(OR('Estado por Colaborador'!$D$4="Todas las gerencias",'Detalle individual'!D272='Estado por Colaborador'!$D$4),OR('Estado por Colaborador'!$D$5="Todos los departamentos",TRIM('Detalle individual'!C272)='Estado por Colaborador'!$D$5),OR('Estado por Colaborador'!$D$6="Todos",'Detalle individual'!F272='Estado por Colaborador'!$D$6)),IF('Detalle individual'!F272="Completado",30000000,IF('Detalle individual'!F272="Pendiente",0,15000000))+COUNTIF('Detalle individual'!$C$5:$C$1000,"&lt;"&amp;'Detalle individual'!C272)*10000+ROW(),""))</f>
        <v>37430272</v>
      </c>
      <c r="AB272" t="str">
        <f>IF('Detalle individual'!C272="","",IF(COUNTIF('Detalle individual'!$C$5:C272,'Detalle individual'!C272)=1,COUNTIF('Detalle individual'!$C$5:$C$1000,"&lt;"&amp;'Detalle individual'!C272),""))</f>
        <v/>
      </c>
      <c r="AC272" t="str">
        <f>IF('Detalle individual'!D272="","",IF(COUNTIF('Detalle individual'!$D$5:D272,'Detalle individual'!D272)=1,COUNTIF('Detalle individual'!$D$5:$D$1000,"&lt;"&amp;'Detalle individual'!D272),""))</f>
        <v/>
      </c>
      <c r="AH272" t="str">
        <f>IF('Detalle individual'!F272="Pendiente",COUNTIF('Detalle individual'!$D$5:$D$1000,"&lt;"&amp;'Detalle individual'!D272)*1000000+COUNTIF('Detalle individual'!$C$5:$C$1000,"&lt;"&amp;'Detalle individual'!C272)*1000+COUNTIF('Detalle individual'!$B$5:$B$1000,"&lt;"&amp;'Detalle individual'!B272)+ROW()/10000,"")</f>
        <v/>
      </c>
      <c r="AI272">
        <f>IF('Detalle individual'!F272="Completado",COUNTIF('Detalle individual'!$D$5:$D$1000,"&lt;"&amp;'Detalle individual'!D272)*1000000+COUNTIF('Detalle individual'!$C$5:$C$1000,"&lt;"&amp;'Detalle individual'!C272)*1000+COUNTIF('Detalle individual'!$B$5:$B$1000,"&lt;"&amp;'Detalle individual'!B272)+ROW()/10000,"")</f>
        <v>764743824.0272</v>
      </c>
      <c r="AJ272" t="str">
        <f>IF(AND('Detalle individual'!F272&lt;&gt;"",'Detalle individual'!F272&lt;&gt;"Completado",'Detalle individual'!F272&lt;&gt;"Pendiente"),COUNTIF('Detalle individual'!$D$5:$D$1000,"&lt;"&amp;'Detalle individual'!D272)*1000000+COUNTIF('Detalle individual'!$C$5:$C$1000,"&lt;"&amp;'Detalle individual'!C272)*1000+COUNTIF('Detalle individual'!$B$5:$B$1000,"&lt;"&amp;'Detalle individual'!B272)+ROW()/10000,"")</f>
        <v/>
      </c>
      <c r="AK272">
        <f>IF(OR('Base Exámenes'!C272="",'Base Exámenes'!D272=""),"",IF(COUNTIF('Base Exámenes'!$C$5:C272,'Base Exámenes'!C272)=1,'Base Exámenes'!D272+ROW()/1000000000,""))</f>
        <v>46310.69179425926</v>
      </c>
      <c r="AL272">
        <f>IF(OR('Base Exámenes'!C272="",'Base Exámenes'!E272=""),"",IF(COUNTIF('Base Exámenes'!$C$5:C272,'Base Exámenes'!C272)=1,'Base Exámenes'!E272+ROW()/1000000000,""))</f>
        <v>46310.69674796296</v>
      </c>
      <c r="AM272">
        <f>IF(OR('Base Exámenes'!C272="",'Base Exámenes'!G272=""),"",IF(ROW()-4=MATCH('Base Exámenes'!C272&amp;"|"&amp;_xlfn.MAXIFS('Base Exámenes'!$G$5:$G$1000,'Base Exámenes'!$C$5:$C$1000,'Base Exámenes'!C272),'Base Exámenes'!$I$5:$I$1000,0),'Base Exámenes'!G272*1000000+(-1)*'Base Exámenes'!D272,""))</f>
        <v>99953689.308206</v>
      </c>
      <c r="AQ272" t="str">
        <f>IF('Base Exámenes'!C272="","",IF(COUNTIF('Base Exámenes'!$C$5:$C$1000,'Base Exámenes'!C272)&lt;2,"",MATCH('Base Exámenes'!C272,'Base Exámenes'!$C$5:$C$1000,0)*10000+ROW()))</f>
        <v/>
      </c>
    </row>
    <row r="273">
      <c r="Z273">
        <f>IF('Detalle individual'!A273="","",IF(AND(OR('Estado por Colaborador'!$D$4="Todas las gerencias",'Detalle individual'!D273='Estado por Colaborador'!$D$4),OR('Estado por Colaborador'!$D$5="Todos los departamentos",TRIM('Detalle individual'!C273)='Estado por Colaborador'!$D$5),OR('Estado por Colaborador'!$D$6="Todos",'Detalle individual'!F273='Estado por Colaborador'!$D$6)),IF('Detalle individual'!F273="Completado",30000000,IF('Detalle individual'!F273="Pendiente",0,15000000))+COUNTIF('Detalle individual'!$C$5:$C$1000,"&lt;"&amp;'Detalle individual'!C273)*10000+ROW(),""))</f>
        <v>37720273</v>
      </c>
      <c r="AB273">
        <f>IF('Detalle individual'!C273="","",IF(COUNTIF('Detalle individual'!$C$5:C273,'Detalle individual'!C273)=1,COUNTIF('Detalle individual'!$C$5:$C$1000,"&lt;"&amp;'Detalle individual'!C273),""))</f>
        <v>772</v>
      </c>
      <c r="AC273" t="str">
        <f>IF('Detalle individual'!D273="","",IF(COUNTIF('Detalle individual'!$D$5:D273,'Detalle individual'!D273)=1,COUNTIF('Detalle individual'!$D$5:$D$1000,"&lt;"&amp;'Detalle individual'!D273),""))</f>
        <v/>
      </c>
      <c r="AH273" t="str">
        <f>IF('Detalle individual'!F273="Pendiente",COUNTIF('Detalle individual'!$D$5:$D$1000,"&lt;"&amp;'Detalle individual'!D273)*1000000+COUNTIF('Detalle individual'!$C$5:$C$1000,"&lt;"&amp;'Detalle individual'!C273)*1000+COUNTIF('Detalle individual'!$B$5:$B$1000,"&lt;"&amp;'Detalle individual'!B273)+ROW()/10000,"")</f>
        <v/>
      </c>
      <c r="AI273">
        <f>IF('Detalle individual'!F273="Completado",COUNTIF('Detalle individual'!$D$5:$D$1000,"&lt;"&amp;'Detalle individual'!D273)*1000000+COUNTIF('Detalle individual'!$C$5:$C$1000,"&lt;"&amp;'Detalle individual'!C273)*1000+COUNTIF('Detalle individual'!$B$5:$B$1000,"&lt;"&amp;'Detalle individual'!B273)+ROW()/10000,"")</f>
        <v>764772992.0273</v>
      </c>
      <c r="AJ273" t="str">
        <f>IF(AND('Detalle individual'!F273&lt;&gt;"",'Detalle individual'!F273&lt;&gt;"Completado",'Detalle individual'!F273&lt;&gt;"Pendiente"),COUNTIF('Detalle individual'!$D$5:$D$1000,"&lt;"&amp;'Detalle individual'!D273)*1000000+COUNTIF('Detalle individual'!$C$5:$C$1000,"&lt;"&amp;'Detalle individual'!C273)*1000+COUNTIF('Detalle individual'!$B$5:$B$1000,"&lt;"&amp;'Detalle individual'!B273)+ROW()/10000,"")</f>
        <v/>
      </c>
      <c r="AK273">
        <f>IF(OR('Base Exámenes'!C273="",'Base Exámenes'!D273=""),"",IF(COUNTIF('Base Exámenes'!$C$5:C273,'Base Exámenes'!C273)=1,'Base Exámenes'!D273+ROW()/1000000000,""))</f>
        <v>46310.69125027778</v>
      </c>
      <c r="AL273">
        <f>IF(OR('Base Exámenes'!C273="",'Base Exámenes'!E273=""),"",IF(COUNTIF('Base Exámenes'!$C$5:C273,'Base Exámenes'!C273)=1,'Base Exámenes'!E273+ROW()/1000000000,""))</f>
        <v>46310.70625027778</v>
      </c>
      <c r="AM273">
        <f>IF(OR('Base Exámenes'!C273="",'Base Exámenes'!G273=""),"",IF(ROW()-4=MATCH('Base Exámenes'!C273&amp;"|"&amp;_xlfn.MAXIFS('Base Exámenes'!$G$5:$G$1000,'Base Exámenes'!$C$5:$C$1000,'Base Exámenes'!C273),'Base Exámenes'!$I$5:$I$1000,0),'Base Exámenes'!G273*1000000+(-1)*'Base Exámenes'!D273,""))</f>
        <v>99953689.30875</v>
      </c>
      <c r="AQ273" t="str">
        <f>IF('Base Exámenes'!C273="","",IF(COUNTIF('Base Exámenes'!$C$5:$C$1000,'Base Exámenes'!C273)&lt;2,"",MATCH('Base Exámenes'!C273,'Base Exámenes'!$C$5:$C$1000,0)*10000+ROW()))</f>
        <v/>
      </c>
    </row>
    <row r="274">
      <c r="Z274">
        <f>IF('Detalle individual'!A274="","",IF(AND(OR('Estado por Colaborador'!$D$4="Todas las gerencias",'Detalle individual'!D274='Estado por Colaborador'!$D$4),OR('Estado por Colaborador'!$D$5="Todos los departamentos",TRIM('Detalle individual'!C274)='Estado por Colaborador'!$D$5),OR('Estado por Colaborador'!$D$6="Todos",'Detalle individual'!F274='Estado por Colaborador'!$D$6)),IF('Detalle individual'!F274="Completado",30000000,IF('Detalle individual'!F274="Pendiente",0,15000000))+COUNTIF('Detalle individual'!$C$5:$C$1000,"&lt;"&amp;'Detalle individual'!C274)*10000+ROW(),""))</f>
        <v>37720274</v>
      </c>
      <c r="AB274" t="str">
        <f>IF('Detalle individual'!C274="","",IF(COUNTIF('Detalle individual'!$C$5:C274,'Detalle individual'!C274)=1,COUNTIF('Detalle individual'!$C$5:$C$1000,"&lt;"&amp;'Detalle individual'!C274),""))</f>
        <v/>
      </c>
      <c r="AC274" t="str">
        <f>IF('Detalle individual'!D274="","",IF(COUNTIF('Detalle individual'!$D$5:D274,'Detalle individual'!D274)=1,COUNTIF('Detalle individual'!$D$5:$D$1000,"&lt;"&amp;'Detalle individual'!D274),""))</f>
        <v/>
      </c>
      <c r="AH274" t="str">
        <f>IF('Detalle individual'!F274="Pendiente",COUNTIF('Detalle individual'!$D$5:$D$1000,"&lt;"&amp;'Detalle individual'!D274)*1000000+COUNTIF('Detalle individual'!$C$5:$C$1000,"&lt;"&amp;'Detalle individual'!C274)*1000+COUNTIF('Detalle individual'!$B$5:$B$1000,"&lt;"&amp;'Detalle individual'!B274)+ROW()/10000,"")</f>
        <v/>
      </c>
      <c r="AI274">
        <f>IF('Detalle individual'!F274="Completado",COUNTIF('Detalle individual'!$D$5:$D$1000,"&lt;"&amp;'Detalle individual'!D274)*1000000+COUNTIF('Detalle individual'!$C$5:$C$1000,"&lt;"&amp;'Detalle individual'!C274)*1000+COUNTIF('Detalle individual'!$B$5:$B$1000,"&lt;"&amp;'Detalle individual'!B274)+ROW()/10000,"")</f>
        <v>764772941.0274</v>
      </c>
      <c r="AJ274" t="str">
        <f>IF(AND('Detalle individual'!F274&lt;&gt;"",'Detalle individual'!F274&lt;&gt;"Completado",'Detalle individual'!F274&lt;&gt;"Pendiente"),COUNTIF('Detalle individual'!$D$5:$D$1000,"&lt;"&amp;'Detalle individual'!D274)*1000000+COUNTIF('Detalle individual'!$C$5:$C$1000,"&lt;"&amp;'Detalle individual'!C274)*1000+COUNTIF('Detalle individual'!$B$5:$B$1000,"&lt;"&amp;'Detalle individual'!B274)+ROW()/10000,"")</f>
        <v/>
      </c>
      <c r="AK274">
        <f>IF(OR('Base Exámenes'!C274="",'Base Exámenes'!D274=""),"",IF(COUNTIF('Base Exámenes'!$C$5:C274,'Base Exámenes'!C274)=1,'Base Exámenes'!D274+ROW()/1000000000,""))</f>
        <v>46311.40973407408</v>
      </c>
      <c r="AL274">
        <f>IF(OR('Base Exámenes'!C274="",'Base Exámenes'!E274=""),"",IF(COUNTIF('Base Exámenes'!$C$5:C274,'Base Exámenes'!C274)=1,'Base Exámenes'!E274+ROW()/1000000000,""))</f>
        <v>46311.41554425926</v>
      </c>
      <c r="AM274">
        <f>IF(OR('Base Exámenes'!C274="",'Base Exámenes'!G274=""),"",IF(ROW()-4=MATCH('Base Exámenes'!C274&amp;"|"&amp;_xlfn.MAXIFS('Base Exámenes'!$G$5:$G$1000,'Base Exámenes'!$C$5:$C$1000,'Base Exámenes'!C274),'Base Exámenes'!$I$5:$I$1000,0),'Base Exámenes'!G274*1000000+(-1)*'Base Exámenes'!D274,""))</f>
        <v>99953688.5902662</v>
      </c>
      <c r="AQ274" t="str">
        <f>IF('Base Exámenes'!C274="","",IF(COUNTIF('Base Exámenes'!$C$5:$C$1000,'Base Exámenes'!C274)&lt;2,"",MATCH('Base Exámenes'!C274,'Base Exámenes'!$C$5:$C$1000,0)*10000+ROW()))</f>
        <v/>
      </c>
    </row>
    <row r="275">
      <c r="Z275">
        <f>IF('Detalle individual'!A275="","",IF(AND(OR('Estado por Colaborador'!$D$4="Todas las gerencias",'Detalle individual'!D275='Estado por Colaborador'!$D$4),OR('Estado por Colaborador'!$D$5="Todos los departamentos",TRIM('Detalle individual'!C275)='Estado por Colaborador'!$D$5),OR('Estado por Colaborador'!$D$6="Todos",'Detalle individual'!F275='Estado por Colaborador'!$D$6)),IF('Detalle individual'!F275="Completado",30000000,IF('Detalle individual'!F275="Pendiente",0,15000000))+COUNTIF('Detalle individual'!$C$5:$C$1000,"&lt;"&amp;'Detalle individual'!C275)*10000+ROW(),""))</f>
        <v>37720275</v>
      </c>
      <c r="AB275" t="str">
        <f>IF('Detalle individual'!C275="","",IF(COUNTIF('Detalle individual'!$C$5:C275,'Detalle individual'!C275)=1,COUNTIF('Detalle individual'!$C$5:$C$1000,"&lt;"&amp;'Detalle individual'!C275),""))</f>
        <v/>
      </c>
      <c r="AC275" t="str">
        <f>IF('Detalle individual'!D275="","",IF(COUNTIF('Detalle individual'!$D$5:D275,'Detalle individual'!D275)=1,COUNTIF('Detalle individual'!$D$5:$D$1000,"&lt;"&amp;'Detalle individual'!D275),""))</f>
        <v/>
      </c>
      <c r="AH275" t="str">
        <f>IF('Detalle individual'!F275="Pendiente",COUNTIF('Detalle individual'!$D$5:$D$1000,"&lt;"&amp;'Detalle individual'!D275)*1000000+COUNTIF('Detalle individual'!$C$5:$C$1000,"&lt;"&amp;'Detalle individual'!C275)*1000+COUNTIF('Detalle individual'!$B$5:$B$1000,"&lt;"&amp;'Detalle individual'!B275)+ROW()/10000,"")</f>
        <v/>
      </c>
      <c r="AI275">
        <f>IF('Detalle individual'!F275="Completado",COUNTIF('Detalle individual'!$D$5:$D$1000,"&lt;"&amp;'Detalle individual'!D275)*1000000+COUNTIF('Detalle individual'!$C$5:$C$1000,"&lt;"&amp;'Detalle individual'!C275)*1000+COUNTIF('Detalle individual'!$B$5:$B$1000,"&lt;"&amp;'Detalle individual'!B275)+ROW()/10000,"")</f>
        <v>764772960.0275</v>
      </c>
      <c r="AJ275" t="str">
        <f>IF(AND('Detalle individual'!F275&lt;&gt;"",'Detalle individual'!F275&lt;&gt;"Completado",'Detalle individual'!F275&lt;&gt;"Pendiente"),COUNTIF('Detalle individual'!$D$5:$D$1000,"&lt;"&amp;'Detalle individual'!D275)*1000000+COUNTIF('Detalle individual'!$C$5:$C$1000,"&lt;"&amp;'Detalle individual'!C275)*1000+COUNTIF('Detalle individual'!$B$5:$B$1000,"&lt;"&amp;'Detalle individual'!B275)+ROW()/10000,"")</f>
        <v/>
      </c>
      <c r="AK275">
        <f>IF(OR('Base Exámenes'!C275="",'Base Exámenes'!D275=""),"",IF(COUNTIF('Base Exámenes'!$C$5:C275,'Base Exámenes'!C275)=1,'Base Exámenes'!D275+ROW()/1000000000,""))</f>
        <v>46311.41438685185</v>
      </c>
      <c r="AL275">
        <f>IF(OR('Base Exámenes'!C275="",'Base Exámenes'!E275=""),"",IF(COUNTIF('Base Exámenes'!$C$5:C275,'Base Exámenes'!C275)=1,'Base Exámenes'!E275+ROW()/1000000000,""))</f>
        <v>46311.41858824074</v>
      </c>
      <c r="AM275">
        <f>IF(OR('Base Exámenes'!C275="",'Base Exámenes'!G275=""),"",IF(ROW()-4=MATCH('Base Exámenes'!C275&amp;"|"&amp;_xlfn.MAXIFS('Base Exámenes'!$G$5:$G$1000,'Base Exámenes'!$C$5:$C$1000,'Base Exámenes'!C275),'Base Exámenes'!$I$5:$I$1000,0),'Base Exámenes'!G275*1000000+(-1)*'Base Exámenes'!D275,""))</f>
        <v>94953688.5856134</v>
      </c>
      <c r="AQ275" t="str">
        <f>IF('Base Exámenes'!C275="","",IF(COUNTIF('Base Exámenes'!$C$5:$C$1000,'Base Exámenes'!C275)&lt;2,"",MATCH('Base Exámenes'!C275,'Base Exámenes'!$C$5:$C$1000,0)*10000+ROW()))</f>
        <v/>
      </c>
    </row>
    <row r="276">
      <c r="Z276">
        <f>IF('Detalle individual'!A276="","",IF(AND(OR('Estado por Colaborador'!$D$4="Todas las gerencias",'Detalle individual'!D276='Estado por Colaborador'!$D$4),OR('Estado por Colaborador'!$D$5="Todos los departamentos",TRIM('Detalle individual'!C276)='Estado por Colaborador'!$D$5),OR('Estado por Colaborador'!$D$6="Todos",'Detalle individual'!F276='Estado por Colaborador'!$D$6)),IF('Detalle individual'!F276="Completado",30000000,IF('Detalle individual'!F276="Pendiente",0,15000000))+COUNTIF('Detalle individual'!$C$5:$C$1000,"&lt;"&amp;'Detalle individual'!C276)*10000+ROW(),""))</f>
        <v>37720276</v>
      </c>
      <c r="AB276" t="str">
        <f>IF('Detalle individual'!C276="","",IF(COUNTIF('Detalle individual'!$C$5:C276,'Detalle individual'!C276)=1,COUNTIF('Detalle individual'!$C$5:$C$1000,"&lt;"&amp;'Detalle individual'!C276),""))</f>
        <v/>
      </c>
      <c r="AC276" t="str">
        <f>IF('Detalle individual'!D276="","",IF(COUNTIF('Detalle individual'!$D$5:D276,'Detalle individual'!D276)=1,COUNTIF('Detalle individual'!$D$5:$D$1000,"&lt;"&amp;'Detalle individual'!D276),""))</f>
        <v/>
      </c>
      <c r="AH276" t="str">
        <f>IF('Detalle individual'!F276="Pendiente",COUNTIF('Detalle individual'!$D$5:$D$1000,"&lt;"&amp;'Detalle individual'!D276)*1000000+COUNTIF('Detalle individual'!$C$5:$C$1000,"&lt;"&amp;'Detalle individual'!C276)*1000+COUNTIF('Detalle individual'!$B$5:$B$1000,"&lt;"&amp;'Detalle individual'!B276)+ROW()/10000,"")</f>
        <v/>
      </c>
      <c r="AI276">
        <f>IF('Detalle individual'!F276="Completado",COUNTIF('Detalle individual'!$D$5:$D$1000,"&lt;"&amp;'Detalle individual'!D276)*1000000+COUNTIF('Detalle individual'!$C$5:$C$1000,"&lt;"&amp;'Detalle individual'!C276)*1000+COUNTIF('Detalle individual'!$B$5:$B$1000,"&lt;"&amp;'Detalle individual'!B276)+ROW()/10000,"")</f>
        <v>764772793.0276</v>
      </c>
      <c r="AJ276" t="str">
        <f>IF(AND('Detalle individual'!F276&lt;&gt;"",'Detalle individual'!F276&lt;&gt;"Completado",'Detalle individual'!F276&lt;&gt;"Pendiente"),COUNTIF('Detalle individual'!$D$5:$D$1000,"&lt;"&amp;'Detalle individual'!D276)*1000000+COUNTIF('Detalle individual'!$C$5:$C$1000,"&lt;"&amp;'Detalle individual'!C276)*1000+COUNTIF('Detalle individual'!$B$5:$B$1000,"&lt;"&amp;'Detalle individual'!B276)+ROW()/10000,"")</f>
        <v/>
      </c>
      <c r="AK276">
        <f>IF(OR('Base Exámenes'!C276="",'Base Exámenes'!D276=""),"",IF(COUNTIF('Base Exámenes'!$C$5:C276,'Base Exámenes'!C276)=1,'Base Exámenes'!D276+ROW()/1000000000,""))</f>
        <v>46311.42444472222</v>
      </c>
      <c r="AL276">
        <f>IF(OR('Base Exámenes'!C276="",'Base Exámenes'!E276=""),"",IF(COUNTIF('Base Exámenes'!$C$5:C276,'Base Exámenes'!C276)=1,'Base Exámenes'!E276+ROW()/1000000000,""))</f>
        <v>46311.42974564815</v>
      </c>
      <c r="AM276">
        <f>IF(OR('Base Exámenes'!C276="",'Base Exámenes'!G276=""),"",IF(ROW()-4=MATCH('Base Exámenes'!C276&amp;"|"&amp;_xlfn.MAXIFS('Base Exámenes'!$G$5:$G$1000,'Base Exámenes'!$C$5:$C$1000,'Base Exámenes'!C276),'Base Exámenes'!$I$5:$I$1000,0),'Base Exámenes'!G276*1000000+(-1)*'Base Exámenes'!D276,""))</f>
        <v>99953688.5755556</v>
      </c>
      <c r="AQ276" t="str">
        <f>IF('Base Exámenes'!C276="","",IF(COUNTIF('Base Exámenes'!$C$5:$C$1000,'Base Exámenes'!C276)&lt;2,"",MATCH('Base Exámenes'!C276,'Base Exámenes'!$C$5:$C$1000,0)*10000+ROW()))</f>
        <v/>
      </c>
    </row>
    <row r="277">
      <c r="Z277">
        <f>IF('Detalle individual'!A277="","",IF(AND(OR('Estado por Colaborador'!$D$4="Todas las gerencias",'Detalle individual'!D277='Estado por Colaborador'!$D$4),OR('Estado por Colaborador'!$D$5="Todos los departamentos",TRIM('Detalle individual'!C277)='Estado por Colaborador'!$D$5),OR('Estado por Colaborador'!$D$6="Todos",'Detalle individual'!F277='Estado por Colaborador'!$D$6)),IF('Detalle individual'!F277="Completado",30000000,IF('Detalle individual'!F277="Pendiente",0,15000000))+COUNTIF('Detalle individual'!$C$5:$C$1000,"&lt;"&amp;'Detalle individual'!C277)*10000+ROW(),""))</f>
        <v>37720277</v>
      </c>
      <c r="AB277" t="str">
        <f>IF('Detalle individual'!C277="","",IF(COUNTIF('Detalle individual'!$C$5:C277,'Detalle individual'!C277)=1,COUNTIF('Detalle individual'!$C$5:$C$1000,"&lt;"&amp;'Detalle individual'!C277),""))</f>
        <v/>
      </c>
      <c r="AC277" t="str">
        <f>IF('Detalle individual'!D277="","",IF(COUNTIF('Detalle individual'!$D$5:D277,'Detalle individual'!D277)=1,COUNTIF('Detalle individual'!$D$5:$D$1000,"&lt;"&amp;'Detalle individual'!D277),""))</f>
        <v/>
      </c>
      <c r="AH277" t="str">
        <f>IF('Detalle individual'!F277="Pendiente",COUNTIF('Detalle individual'!$D$5:$D$1000,"&lt;"&amp;'Detalle individual'!D277)*1000000+COUNTIF('Detalle individual'!$C$5:$C$1000,"&lt;"&amp;'Detalle individual'!C277)*1000+COUNTIF('Detalle individual'!$B$5:$B$1000,"&lt;"&amp;'Detalle individual'!B277)+ROW()/10000,"")</f>
        <v/>
      </c>
      <c r="AI277">
        <f>IF('Detalle individual'!F277="Completado",COUNTIF('Detalle individual'!$D$5:$D$1000,"&lt;"&amp;'Detalle individual'!D277)*1000000+COUNTIF('Detalle individual'!$C$5:$C$1000,"&lt;"&amp;'Detalle individual'!C277)*1000+COUNTIF('Detalle individual'!$B$5:$B$1000,"&lt;"&amp;'Detalle individual'!B277)+ROW()/10000,"")</f>
        <v>764772934.0277</v>
      </c>
      <c r="AJ277" t="str">
        <f>IF(AND('Detalle individual'!F277&lt;&gt;"",'Detalle individual'!F277&lt;&gt;"Completado",'Detalle individual'!F277&lt;&gt;"Pendiente"),COUNTIF('Detalle individual'!$D$5:$D$1000,"&lt;"&amp;'Detalle individual'!D277)*1000000+COUNTIF('Detalle individual'!$C$5:$C$1000,"&lt;"&amp;'Detalle individual'!C277)*1000+COUNTIF('Detalle individual'!$B$5:$B$1000,"&lt;"&amp;'Detalle individual'!B277)+ROW()/10000,"")</f>
        <v/>
      </c>
      <c r="AK277">
        <f>IF(OR('Base Exámenes'!C277="",'Base Exámenes'!D277=""),"",IF(COUNTIF('Base Exámenes'!$C$5:C277,'Base Exámenes'!C277)=1,'Base Exámenes'!D277+ROW()/1000000000,""))</f>
        <v>46311.40699101852</v>
      </c>
      <c r="AL277">
        <f>IF(OR('Base Exámenes'!C277="",'Base Exámenes'!E277=""),"",IF(COUNTIF('Base Exámenes'!$C$5:C277,'Base Exámenes'!C277)=1,'Base Exámenes'!E277+ROW()/1000000000,""))</f>
        <v>46311.45481509259</v>
      </c>
      <c r="AM277">
        <f>IF(OR('Base Exámenes'!C277="",'Base Exámenes'!G277=""),"",IF(ROW()-4=MATCH('Base Exámenes'!C277&amp;"|"&amp;_xlfn.MAXIFS('Base Exámenes'!$G$5:$G$1000,'Base Exámenes'!$C$5:$C$1000,'Base Exámenes'!C277),'Base Exámenes'!$I$5:$I$1000,0),'Base Exámenes'!G277*1000000+(-1)*'Base Exámenes'!D277,""))</f>
        <v>99953688.5930093</v>
      </c>
      <c r="AQ277" t="str">
        <f>IF('Base Exámenes'!C277="","",IF(COUNTIF('Base Exámenes'!$C$5:$C$1000,'Base Exámenes'!C277)&lt;2,"",MATCH('Base Exámenes'!C277,'Base Exámenes'!$C$5:$C$1000,0)*10000+ROW()))</f>
        <v/>
      </c>
    </row>
    <row r="278">
      <c r="Z278">
        <f>IF('Detalle individual'!A278="","",IF(AND(OR('Estado por Colaborador'!$D$4="Todas las gerencias",'Detalle individual'!D278='Estado por Colaborador'!$D$4),OR('Estado por Colaborador'!$D$5="Todos los departamentos",TRIM('Detalle individual'!C278)='Estado por Colaborador'!$D$5),OR('Estado por Colaborador'!$D$6="Todos",'Detalle individual'!F278='Estado por Colaborador'!$D$6)),IF('Detalle individual'!F278="Completado",30000000,IF('Detalle individual'!F278="Pendiente",0,15000000))+COUNTIF('Detalle individual'!$C$5:$C$1000,"&lt;"&amp;'Detalle individual'!C278)*10000+ROW(),""))</f>
        <v>37720278</v>
      </c>
      <c r="AB278" t="str">
        <f>IF('Detalle individual'!C278="","",IF(COUNTIF('Detalle individual'!$C$5:C278,'Detalle individual'!C278)=1,COUNTIF('Detalle individual'!$C$5:$C$1000,"&lt;"&amp;'Detalle individual'!C278),""))</f>
        <v/>
      </c>
      <c r="AC278" t="str">
        <f>IF('Detalle individual'!D278="","",IF(COUNTIF('Detalle individual'!$D$5:D278,'Detalle individual'!D278)=1,COUNTIF('Detalle individual'!$D$5:$D$1000,"&lt;"&amp;'Detalle individual'!D278),""))</f>
        <v/>
      </c>
      <c r="AH278" t="str">
        <f>IF('Detalle individual'!F278="Pendiente",COUNTIF('Detalle individual'!$D$5:$D$1000,"&lt;"&amp;'Detalle individual'!D278)*1000000+COUNTIF('Detalle individual'!$C$5:$C$1000,"&lt;"&amp;'Detalle individual'!C278)*1000+COUNTIF('Detalle individual'!$B$5:$B$1000,"&lt;"&amp;'Detalle individual'!B278)+ROW()/10000,"")</f>
        <v/>
      </c>
      <c r="AI278">
        <f>IF('Detalle individual'!F278="Completado",COUNTIF('Detalle individual'!$D$5:$D$1000,"&lt;"&amp;'Detalle individual'!D278)*1000000+COUNTIF('Detalle individual'!$C$5:$C$1000,"&lt;"&amp;'Detalle individual'!C278)*1000+COUNTIF('Detalle individual'!$B$5:$B$1000,"&lt;"&amp;'Detalle individual'!B278)+ROW()/10000,"")</f>
        <v>764772978.0278</v>
      </c>
      <c r="AJ278" t="str">
        <f>IF(AND('Detalle individual'!F278&lt;&gt;"",'Detalle individual'!F278&lt;&gt;"Completado",'Detalle individual'!F278&lt;&gt;"Pendiente"),COUNTIF('Detalle individual'!$D$5:$D$1000,"&lt;"&amp;'Detalle individual'!D278)*1000000+COUNTIF('Detalle individual'!$C$5:$C$1000,"&lt;"&amp;'Detalle individual'!C278)*1000+COUNTIF('Detalle individual'!$B$5:$B$1000,"&lt;"&amp;'Detalle individual'!B278)+ROW()/10000,"")</f>
        <v/>
      </c>
      <c r="AK278">
        <f>IF(OR('Base Exámenes'!C278="",'Base Exámenes'!D278=""),"",IF(COUNTIF('Base Exámenes'!$C$5:C278,'Base Exámenes'!C278)=1,'Base Exámenes'!D278+ROW()/1000000000,""))</f>
        <v>46311.45276648148</v>
      </c>
      <c r="AL278">
        <f>IF(OR('Base Exámenes'!C278="",'Base Exámenes'!E278=""),"",IF(COUNTIF('Base Exámenes'!$C$5:C278,'Base Exámenes'!C278)=1,'Base Exámenes'!E278+ROW()/1000000000,""))</f>
        <v>46311.45640074074</v>
      </c>
      <c r="AM278">
        <f>IF(OR('Base Exámenes'!C278="",'Base Exámenes'!G278=""),"",IF(ROW()-4=MATCH('Base Exámenes'!C278&amp;"|"&amp;_xlfn.MAXIFS('Base Exámenes'!$G$5:$G$1000,'Base Exámenes'!$C$5:$C$1000,'Base Exámenes'!C278),'Base Exámenes'!$I$5:$I$1000,0),'Base Exámenes'!G278*1000000+(-1)*'Base Exámenes'!D278,""))</f>
        <v>99953688.5472338</v>
      </c>
      <c r="AQ278" t="str">
        <f>IF('Base Exámenes'!C278="","",IF(COUNTIF('Base Exámenes'!$C$5:$C$1000,'Base Exámenes'!C278)&lt;2,"",MATCH('Base Exámenes'!C278,'Base Exámenes'!$C$5:$C$1000,0)*10000+ROW()))</f>
        <v/>
      </c>
    </row>
    <row r="279">
      <c r="Z279">
        <f>IF('Detalle individual'!A279="","",IF(AND(OR('Estado por Colaborador'!$D$4="Todas las gerencias",'Detalle individual'!D279='Estado por Colaborador'!$D$4),OR('Estado por Colaborador'!$D$5="Todos los departamentos",TRIM('Detalle individual'!C279)='Estado por Colaborador'!$D$5),OR('Estado por Colaborador'!$D$6="Todos",'Detalle individual'!F279='Estado por Colaborador'!$D$6)),IF('Detalle individual'!F279="Completado",30000000,IF('Detalle individual'!F279="Pendiente",0,15000000))+COUNTIF('Detalle individual'!$C$5:$C$1000,"&lt;"&amp;'Detalle individual'!C279)*10000+ROW(),""))</f>
        <v>37720279</v>
      </c>
      <c r="AB279" t="str">
        <f>IF('Detalle individual'!C279="","",IF(COUNTIF('Detalle individual'!$C$5:C279,'Detalle individual'!C279)=1,COUNTIF('Detalle individual'!$C$5:$C$1000,"&lt;"&amp;'Detalle individual'!C279),""))</f>
        <v/>
      </c>
      <c r="AC279" t="str">
        <f>IF('Detalle individual'!D279="","",IF(COUNTIF('Detalle individual'!$D$5:D279,'Detalle individual'!D279)=1,COUNTIF('Detalle individual'!$D$5:$D$1000,"&lt;"&amp;'Detalle individual'!D279),""))</f>
        <v/>
      </c>
      <c r="AH279" t="str">
        <f>IF('Detalle individual'!F279="Pendiente",COUNTIF('Detalle individual'!$D$5:$D$1000,"&lt;"&amp;'Detalle individual'!D279)*1000000+COUNTIF('Detalle individual'!$C$5:$C$1000,"&lt;"&amp;'Detalle individual'!C279)*1000+COUNTIF('Detalle individual'!$B$5:$B$1000,"&lt;"&amp;'Detalle individual'!B279)+ROW()/10000,"")</f>
        <v/>
      </c>
      <c r="AI279">
        <f>IF('Detalle individual'!F279="Completado",COUNTIF('Detalle individual'!$D$5:$D$1000,"&lt;"&amp;'Detalle individual'!D279)*1000000+COUNTIF('Detalle individual'!$C$5:$C$1000,"&lt;"&amp;'Detalle individual'!C279)*1000+COUNTIF('Detalle individual'!$B$5:$B$1000,"&lt;"&amp;'Detalle individual'!B279)+ROW()/10000,"")</f>
        <v>764772944.0279</v>
      </c>
      <c r="AJ279" t="str">
        <f>IF(AND('Detalle individual'!F279&lt;&gt;"",'Detalle individual'!F279&lt;&gt;"Completado",'Detalle individual'!F279&lt;&gt;"Pendiente"),COUNTIF('Detalle individual'!$D$5:$D$1000,"&lt;"&amp;'Detalle individual'!D279)*1000000+COUNTIF('Detalle individual'!$C$5:$C$1000,"&lt;"&amp;'Detalle individual'!C279)*1000+COUNTIF('Detalle individual'!$B$5:$B$1000,"&lt;"&amp;'Detalle individual'!B279)+ROW()/10000,"")</f>
        <v/>
      </c>
      <c r="AK279">
        <f>IF(OR('Base Exámenes'!C279="",'Base Exámenes'!D279=""),"",IF(COUNTIF('Base Exámenes'!$C$5:C279,'Base Exámenes'!C279)=1,'Base Exámenes'!D279+ROW()/1000000000,""))</f>
        <v>46311.46520861111</v>
      </c>
      <c r="AL279">
        <f>IF(OR('Base Exámenes'!C279="",'Base Exámenes'!E279=""),"",IF(COUNTIF('Base Exámenes'!$C$5:C279,'Base Exámenes'!C279)=1,'Base Exámenes'!E279+ROW()/1000000000,""))</f>
        <v>46311.46750027778</v>
      </c>
      <c r="AM279">
        <f>IF(OR('Base Exámenes'!C279="",'Base Exámenes'!G279=""),"",IF(ROW()-4=MATCH('Base Exámenes'!C279&amp;"|"&amp;_xlfn.MAXIFS('Base Exámenes'!$G$5:$G$1000,'Base Exámenes'!$C$5:$C$1000,'Base Exámenes'!C279),'Base Exámenes'!$I$5:$I$1000,0),'Base Exámenes'!G279*1000000+(-1)*'Base Exámenes'!D279,""))</f>
        <v>99953688.5347917</v>
      </c>
      <c r="AQ279" t="str">
        <f>IF('Base Exámenes'!C279="","",IF(COUNTIF('Base Exámenes'!$C$5:$C$1000,'Base Exámenes'!C279)&lt;2,"",MATCH('Base Exámenes'!C279,'Base Exámenes'!$C$5:$C$1000,0)*10000+ROW()))</f>
        <v/>
      </c>
    </row>
    <row r="280">
      <c r="Z280">
        <f>IF('Detalle individual'!A280="","",IF(AND(OR('Estado por Colaborador'!$D$4="Todas las gerencias",'Detalle individual'!D280='Estado por Colaborador'!$D$4),OR('Estado por Colaborador'!$D$5="Todos los departamentos",TRIM('Detalle individual'!C280)='Estado por Colaborador'!$D$5),OR('Estado por Colaborador'!$D$6="Todos",'Detalle individual'!F280='Estado por Colaborador'!$D$6)),IF('Detalle individual'!F280="Completado",30000000,IF('Detalle individual'!F280="Pendiente",0,15000000))+COUNTIF('Detalle individual'!$C$5:$C$1000,"&lt;"&amp;'Detalle individual'!C280)*10000+ROW(),""))</f>
        <v>37720280</v>
      </c>
      <c r="AB280" t="str">
        <f>IF('Detalle individual'!C280="","",IF(COUNTIF('Detalle individual'!$C$5:C280,'Detalle individual'!C280)=1,COUNTIF('Detalle individual'!$C$5:$C$1000,"&lt;"&amp;'Detalle individual'!C280),""))</f>
        <v/>
      </c>
      <c r="AC280" t="str">
        <f>IF('Detalle individual'!D280="","",IF(COUNTIF('Detalle individual'!$D$5:D280,'Detalle individual'!D280)=1,COUNTIF('Detalle individual'!$D$5:$D$1000,"&lt;"&amp;'Detalle individual'!D280),""))</f>
        <v/>
      </c>
      <c r="AH280" t="str">
        <f>IF('Detalle individual'!F280="Pendiente",COUNTIF('Detalle individual'!$D$5:$D$1000,"&lt;"&amp;'Detalle individual'!D280)*1000000+COUNTIF('Detalle individual'!$C$5:$C$1000,"&lt;"&amp;'Detalle individual'!C280)*1000+COUNTIF('Detalle individual'!$B$5:$B$1000,"&lt;"&amp;'Detalle individual'!B280)+ROW()/10000,"")</f>
        <v/>
      </c>
      <c r="AI280">
        <f>IF('Detalle individual'!F280="Completado",COUNTIF('Detalle individual'!$D$5:$D$1000,"&lt;"&amp;'Detalle individual'!D280)*1000000+COUNTIF('Detalle individual'!$C$5:$C$1000,"&lt;"&amp;'Detalle individual'!C280)*1000+COUNTIF('Detalle individual'!$B$5:$B$1000,"&lt;"&amp;'Detalle individual'!B280)+ROW()/10000,"")</f>
        <v>764772776.028</v>
      </c>
      <c r="AJ280" t="str">
        <f>IF(AND('Detalle individual'!F280&lt;&gt;"",'Detalle individual'!F280&lt;&gt;"Completado",'Detalle individual'!F280&lt;&gt;"Pendiente"),COUNTIF('Detalle individual'!$D$5:$D$1000,"&lt;"&amp;'Detalle individual'!D280)*1000000+COUNTIF('Detalle individual'!$C$5:$C$1000,"&lt;"&amp;'Detalle individual'!C280)*1000+COUNTIF('Detalle individual'!$B$5:$B$1000,"&lt;"&amp;'Detalle individual'!B280)+ROW()/10000,"")</f>
        <v/>
      </c>
      <c r="AK280">
        <f>IF(OR('Base Exámenes'!C280="",'Base Exámenes'!D280=""),"",IF(COUNTIF('Base Exámenes'!$C$5:C280,'Base Exámenes'!C280)=1,'Base Exámenes'!D280+ROW()/1000000000,""))</f>
        <v>46311.47397018519</v>
      </c>
      <c r="AL280">
        <f>IF(OR('Base Exámenes'!C280="",'Base Exámenes'!E280=""),"",IF(COUNTIF('Base Exámenes'!$C$5:C280,'Base Exámenes'!C280)=1,'Base Exámenes'!E280+ROW()/1000000000,""))</f>
        <v>46311.475555833335</v>
      </c>
      <c r="AM280">
        <f>IF(OR('Base Exámenes'!C280="",'Base Exámenes'!G280=""),"",IF(ROW()-4=MATCH('Base Exámenes'!C280&amp;"|"&amp;_xlfn.MAXIFS('Base Exámenes'!$G$5:$G$1000,'Base Exámenes'!$C$5:$C$1000,'Base Exámenes'!C280),'Base Exámenes'!$I$5:$I$1000,0),'Base Exámenes'!G280*1000000+(-1)*'Base Exámenes'!D280,""))</f>
        <v>99953688.5260301</v>
      </c>
      <c r="AQ280" t="str">
        <f>IF('Base Exámenes'!C280="","",IF(COUNTIF('Base Exámenes'!$C$5:$C$1000,'Base Exámenes'!C280)&lt;2,"",MATCH('Base Exámenes'!C280,'Base Exámenes'!$C$5:$C$1000,0)*10000+ROW()))</f>
        <v/>
      </c>
    </row>
    <row r="281">
      <c r="Z281">
        <f>IF('Detalle individual'!A281="","",IF(AND(OR('Estado por Colaborador'!$D$4="Todas las gerencias",'Detalle individual'!D281='Estado por Colaborador'!$D$4),OR('Estado por Colaborador'!$D$5="Todos los departamentos",TRIM('Detalle individual'!C281)='Estado por Colaborador'!$D$5),OR('Estado por Colaborador'!$D$6="Todos",'Detalle individual'!F281='Estado por Colaborador'!$D$6)),IF('Detalle individual'!F281="Completado",30000000,IF('Detalle individual'!F281="Pendiente",0,15000000))+COUNTIF('Detalle individual'!$C$5:$C$1000,"&lt;"&amp;'Detalle individual'!C281)*10000+ROW(),""))</f>
        <v>38030281</v>
      </c>
      <c r="AB281">
        <f>IF('Detalle individual'!C281="","",IF(COUNTIF('Detalle individual'!$C$5:C281,'Detalle individual'!C281)=1,COUNTIF('Detalle individual'!$C$5:$C$1000,"&lt;"&amp;'Detalle individual'!C281),""))</f>
        <v>803</v>
      </c>
      <c r="AC281" t="str">
        <f>IF('Detalle individual'!D281="","",IF(COUNTIF('Detalle individual'!$D$5:D281,'Detalle individual'!D281)=1,COUNTIF('Detalle individual'!$D$5:$D$1000,"&lt;"&amp;'Detalle individual'!D281),""))</f>
        <v/>
      </c>
      <c r="AH281" t="str">
        <f>IF('Detalle individual'!F281="Pendiente",COUNTIF('Detalle individual'!$D$5:$D$1000,"&lt;"&amp;'Detalle individual'!D281)*1000000+COUNTIF('Detalle individual'!$C$5:$C$1000,"&lt;"&amp;'Detalle individual'!C281)*1000+COUNTIF('Detalle individual'!$B$5:$B$1000,"&lt;"&amp;'Detalle individual'!B281)+ROW()/10000,"")</f>
        <v/>
      </c>
      <c r="AI281">
        <f>IF('Detalle individual'!F281="Completado",COUNTIF('Detalle individual'!$D$5:$D$1000,"&lt;"&amp;'Detalle individual'!D281)*1000000+COUNTIF('Detalle individual'!$C$5:$C$1000,"&lt;"&amp;'Detalle individual'!C281)*1000+COUNTIF('Detalle individual'!$B$5:$B$1000,"&lt;"&amp;'Detalle individual'!B281)+ROW()/10000,"")</f>
        <v>764803889.0281</v>
      </c>
      <c r="AJ281" t="str">
        <f>IF(AND('Detalle individual'!F281&lt;&gt;"",'Detalle individual'!F281&lt;&gt;"Completado",'Detalle individual'!F281&lt;&gt;"Pendiente"),COUNTIF('Detalle individual'!$D$5:$D$1000,"&lt;"&amp;'Detalle individual'!D281)*1000000+COUNTIF('Detalle individual'!$C$5:$C$1000,"&lt;"&amp;'Detalle individual'!C281)*1000+COUNTIF('Detalle individual'!$B$5:$B$1000,"&lt;"&amp;'Detalle individual'!B281)+ROW()/10000,"")</f>
        <v/>
      </c>
      <c r="AK281">
        <f>IF(OR('Base Exámenes'!C281="",'Base Exámenes'!D281=""),"",IF(COUNTIF('Base Exámenes'!$C$5:C281,'Base Exámenes'!C281)=1,'Base Exámenes'!D281+ROW()/1000000000,""))</f>
        <v>46311.40468777778</v>
      </c>
      <c r="AL281">
        <f>IF(OR('Base Exámenes'!C281="",'Base Exámenes'!E281=""),"",IF(COUNTIF('Base Exámenes'!$C$5:C281,'Base Exámenes'!C281)=1,'Base Exámenes'!E281+ROW()/1000000000,""))</f>
        <v>46311.477488703706</v>
      </c>
      <c r="AM281">
        <f>IF(OR('Base Exámenes'!C281="",'Base Exámenes'!G281=""),"",IF(ROW()-4=MATCH('Base Exámenes'!C281&amp;"|"&amp;_xlfn.MAXIFS('Base Exámenes'!$G$5:$G$1000,'Base Exámenes'!$C$5:$C$1000,'Base Exámenes'!C281),'Base Exámenes'!$I$5:$I$1000,0),'Base Exámenes'!G281*1000000+(-1)*'Base Exámenes'!D281,""))</f>
        <v>79953688.5953125</v>
      </c>
      <c r="AQ281" t="str">
        <f>IF('Base Exámenes'!C281="","",IF(COUNTIF('Base Exámenes'!$C$5:$C$1000,'Base Exámenes'!C281)&lt;2,"",MATCH('Base Exámenes'!C281,'Base Exámenes'!$C$5:$C$1000,0)*10000+ROW()))</f>
        <v/>
      </c>
    </row>
    <row r="282">
      <c r="Z282">
        <f>IF('Detalle individual'!A282="","",IF(AND(OR('Estado por Colaborador'!$D$4="Todas las gerencias",'Detalle individual'!D282='Estado por Colaborador'!$D$4),OR('Estado por Colaborador'!$D$5="Todos los departamentos",TRIM('Detalle individual'!C282)='Estado por Colaborador'!$D$5),OR('Estado por Colaborador'!$D$6="Todos",'Detalle individual'!F282='Estado por Colaborador'!$D$6)),IF('Detalle individual'!F282="Completado",30000000,IF('Detalle individual'!F282="Pendiente",0,15000000))+COUNTIF('Detalle individual'!$C$5:$C$1000,"&lt;"&amp;'Detalle individual'!C282)*10000+ROW(),""))</f>
        <v>38030282</v>
      </c>
      <c r="AB282" t="str">
        <f>IF('Detalle individual'!C282="","",IF(COUNTIF('Detalle individual'!$C$5:C282,'Detalle individual'!C282)=1,COUNTIF('Detalle individual'!$C$5:$C$1000,"&lt;"&amp;'Detalle individual'!C282),""))</f>
        <v/>
      </c>
      <c r="AC282" t="str">
        <f>IF('Detalle individual'!D282="","",IF(COUNTIF('Detalle individual'!$D$5:D282,'Detalle individual'!D282)=1,COUNTIF('Detalle individual'!$D$5:$D$1000,"&lt;"&amp;'Detalle individual'!D282),""))</f>
        <v/>
      </c>
      <c r="AH282" t="str">
        <f>IF('Detalle individual'!F282="Pendiente",COUNTIF('Detalle individual'!$D$5:$D$1000,"&lt;"&amp;'Detalle individual'!D282)*1000000+COUNTIF('Detalle individual'!$C$5:$C$1000,"&lt;"&amp;'Detalle individual'!C282)*1000+COUNTIF('Detalle individual'!$B$5:$B$1000,"&lt;"&amp;'Detalle individual'!B282)+ROW()/10000,"")</f>
        <v/>
      </c>
      <c r="AI282">
        <f>IF('Detalle individual'!F282="Completado",COUNTIF('Detalle individual'!$D$5:$D$1000,"&lt;"&amp;'Detalle individual'!D282)*1000000+COUNTIF('Detalle individual'!$C$5:$C$1000,"&lt;"&amp;'Detalle individual'!C282)*1000+COUNTIF('Detalle individual'!$B$5:$B$1000,"&lt;"&amp;'Detalle individual'!B282)+ROW()/10000,"")</f>
        <v>764803981.0282</v>
      </c>
      <c r="AJ282" t="str">
        <f>IF(AND('Detalle individual'!F282&lt;&gt;"",'Detalle individual'!F282&lt;&gt;"Completado",'Detalle individual'!F282&lt;&gt;"Pendiente"),COUNTIF('Detalle individual'!$D$5:$D$1000,"&lt;"&amp;'Detalle individual'!D282)*1000000+COUNTIF('Detalle individual'!$C$5:$C$1000,"&lt;"&amp;'Detalle individual'!C282)*1000+COUNTIF('Detalle individual'!$B$5:$B$1000,"&lt;"&amp;'Detalle individual'!B282)+ROW()/10000,"")</f>
        <v/>
      </c>
      <c r="AK282">
        <f>IF(OR('Base Exámenes'!C282="",'Base Exámenes'!D282=""),"",IF(COUNTIF('Base Exámenes'!$C$5:C282,'Base Exámenes'!C282)=1,'Base Exámenes'!D282+ROW()/1000000000,""))</f>
        <v>46311.478958611115</v>
      </c>
      <c r="AL282">
        <f>IF(OR('Base Exámenes'!C282="",'Base Exámenes'!E282=""),"",IF(COUNTIF('Base Exámenes'!$C$5:C282,'Base Exámenes'!C282)=1,'Base Exámenes'!E282+ROW()/1000000000,""))</f>
        <v>46311.48482666667</v>
      </c>
      <c r="AM282">
        <f>IF(OR('Base Exámenes'!C282="",'Base Exámenes'!G282=""),"",IF(ROW()-4=MATCH('Base Exámenes'!C282&amp;"|"&amp;_xlfn.MAXIFS('Base Exámenes'!$G$5:$G$1000,'Base Exámenes'!$C$5:$C$1000,'Base Exámenes'!C282),'Base Exámenes'!$I$5:$I$1000,0),'Base Exámenes'!G282*1000000+(-1)*'Base Exámenes'!D282,""))</f>
        <v>99953688.5210417</v>
      </c>
      <c r="AQ282" t="str">
        <f>IF('Base Exámenes'!C282="","",IF(COUNTIF('Base Exámenes'!$C$5:$C$1000,'Base Exámenes'!C282)&lt;2,"",MATCH('Base Exámenes'!C282,'Base Exámenes'!$C$5:$C$1000,0)*10000+ROW()))</f>
        <v/>
      </c>
    </row>
    <row r="283">
      <c r="Z283">
        <f>IF('Detalle individual'!A283="","",IF(AND(OR('Estado por Colaborador'!$D$4="Todas las gerencias",'Detalle individual'!D283='Estado por Colaborador'!$D$4),OR('Estado por Colaborador'!$D$5="Todos los departamentos",TRIM('Detalle individual'!C283)='Estado por Colaborador'!$D$5),OR('Estado por Colaborador'!$D$6="Todos",'Detalle individual'!F283='Estado por Colaborador'!$D$6)),IF('Detalle individual'!F283="Completado",30000000,IF('Detalle individual'!F283="Pendiente",0,15000000))+COUNTIF('Detalle individual'!$C$5:$C$1000,"&lt;"&amp;'Detalle individual'!C283)*10000+ROW(),""))</f>
        <v>38030283</v>
      </c>
      <c r="AB283" t="str">
        <f>IF('Detalle individual'!C283="","",IF(COUNTIF('Detalle individual'!$C$5:C283,'Detalle individual'!C283)=1,COUNTIF('Detalle individual'!$C$5:$C$1000,"&lt;"&amp;'Detalle individual'!C283),""))</f>
        <v/>
      </c>
      <c r="AC283" t="str">
        <f>IF('Detalle individual'!D283="","",IF(COUNTIF('Detalle individual'!$D$5:D283,'Detalle individual'!D283)=1,COUNTIF('Detalle individual'!$D$5:$D$1000,"&lt;"&amp;'Detalle individual'!D283),""))</f>
        <v/>
      </c>
      <c r="AH283" t="str">
        <f>IF('Detalle individual'!F283="Pendiente",COUNTIF('Detalle individual'!$D$5:$D$1000,"&lt;"&amp;'Detalle individual'!D283)*1000000+COUNTIF('Detalle individual'!$C$5:$C$1000,"&lt;"&amp;'Detalle individual'!C283)*1000+COUNTIF('Detalle individual'!$B$5:$B$1000,"&lt;"&amp;'Detalle individual'!B283)+ROW()/10000,"")</f>
        <v/>
      </c>
      <c r="AI283">
        <f>IF('Detalle individual'!F283="Completado",COUNTIF('Detalle individual'!$D$5:$D$1000,"&lt;"&amp;'Detalle individual'!D283)*1000000+COUNTIF('Detalle individual'!$C$5:$C$1000,"&lt;"&amp;'Detalle individual'!C283)*1000+COUNTIF('Detalle individual'!$B$5:$B$1000,"&lt;"&amp;'Detalle individual'!B283)+ROW()/10000,"")</f>
        <v>764803807.0283</v>
      </c>
      <c r="AJ283" t="str">
        <f>IF(AND('Detalle individual'!F283&lt;&gt;"",'Detalle individual'!F283&lt;&gt;"Completado",'Detalle individual'!F283&lt;&gt;"Pendiente"),COUNTIF('Detalle individual'!$D$5:$D$1000,"&lt;"&amp;'Detalle individual'!D283)*1000000+COUNTIF('Detalle individual'!$C$5:$C$1000,"&lt;"&amp;'Detalle individual'!C283)*1000+COUNTIF('Detalle individual'!$B$5:$B$1000,"&lt;"&amp;'Detalle individual'!B283)+ROW()/10000,"")</f>
        <v/>
      </c>
      <c r="AK283">
        <f>IF(OR('Base Exámenes'!C283="",'Base Exámenes'!D283=""),"",IF(COUNTIF('Base Exámenes'!$C$5:C283,'Base Exámenes'!C283)=1,'Base Exámenes'!D283+ROW()/1000000000,""))</f>
        <v>46311.48390074074</v>
      </c>
      <c r="AL283">
        <f>IF(OR('Base Exámenes'!C283="",'Base Exámenes'!E283=""),"",IF(COUNTIF('Base Exámenes'!$C$5:C283,'Base Exámenes'!C283)=1,'Base Exámenes'!E283+ROW()/1000000000,""))</f>
        <v>46311.49398175926</v>
      </c>
      <c r="AM283">
        <f>IF(OR('Base Exámenes'!C283="",'Base Exámenes'!G283=""),"",IF(ROW()-4=MATCH('Base Exámenes'!C283&amp;"|"&amp;_xlfn.MAXIFS('Base Exámenes'!$G$5:$G$1000,'Base Exámenes'!$C$5:$C$1000,'Base Exámenes'!C283),'Base Exámenes'!$I$5:$I$1000,0),'Base Exámenes'!G283*1000000+(-1)*'Base Exámenes'!D283,""))</f>
        <v>99953688.5160995</v>
      </c>
      <c r="AQ283" t="str">
        <f>IF('Base Exámenes'!C283="","",IF(COUNTIF('Base Exámenes'!$C$5:$C$1000,'Base Exámenes'!C283)&lt;2,"",MATCH('Base Exámenes'!C283,'Base Exámenes'!$C$5:$C$1000,0)*10000+ROW()))</f>
        <v/>
      </c>
    </row>
    <row r="284">
      <c r="Z284">
        <f>IF('Detalle individual'!A284="","",IF(AND(OR('Estado por Colaborador'!$D$4="Todas las gerencias",'Detalle individual'!D284='Estado por Colaborador'!$D$4),OR('Estado por Colaborador'!$D$5="Todos los departamentos",TRIM('Detalle individual'!C284)='Estado por Colaborador'!$D$5),OR('Estado por Colaborador'!$D$6="Todos",'Detalle individual'!F284='Estado por Colaborador'!$D$6)),IF('Detalle individual'!F284="Completado",30000000,IF('Detalle individual'!F284="Pendiente",0,15000000))+COUNTIF('Detalle individual'!$C$5:$C$1000,"&lt;"&amp;'Detalle individual'!C284)*10000+ROW(),""))</f>
        <v>38030284</v>
      </c>
      <c r="AB284" t="str">
        <f>IF('Detalle individual'!C284="","",IF(COUNTIF('Detalle individual'!$C$5:C284,'Detalle individual'!C284)=1,COUNTIF('Detalle individual'!$C$5:$C$1000,"&lt;"&amp;'Detalle individual'!C284),""))</f>
        <v/>
      </c>
      <c r="AC284" t="str">
        <f>IF('Detalle individual'!D284="","",IF(COUNTIF('Detalle individual'!$D$5:D284,'Detalle individual'!D284)=1,COUNTIF('Detalle individual'!$D$5:$D$1000,"&lt;"&amp;'Detalle individual'!D284),""))</f>
        <v/>
      </c>
      <c r="AH284" t="str">
        <f>IF('Detalle individual'!F284="Pendiente",COUNTIF('Detalle individual'!$D$5:$D$1000,"&lt;"&amp;'Detalle individual'!D284)*1000000+COUNTIF('Detalle individual'!$C$5:$C$1000,"&lt;"&amp;'Detalle individual'!C284)*1000+COUNTIF('Detalle individual'!$B$5:$B$1000,"&lt;"&amp;'Detalle individual'!B284)+ROW()/10000,"")</f>
        <v/>
      </c>
      <c r="AI284">
        <f>IF('Detalle individual'!F284="Completado",COUNTIF('Detalle individual'!$D$5:$D$1000,"&lt;"&amp;'Detalle individual'!D284)*1000000+COUNTIF('Detalle individual'!$C$5:$C$1000,"&lt;"&amp;'Detalle individual'!C284)*1000+COUNTIF('Detalle individual'!$B$5:$B$1000,"&lt;"&amp;'Detalle individual'!B284)+ROW()/10000,"")</f>
        <v>764803896.0284</v>
      </c>
      <c r="AJ284" t="str">
        <f>IF(AND('Detalle individual'!F284&lt;&gt;"",'Detalle individual'!F284&lt;&gt;"Completado",'Detalle individual'!F284&lt;&gt;"Pendiente"),COUNTIF('Detalle individual'!$D$5:$D$1000,"&lt;"&amp;'Detalle individual'!D284)*1000000+COUNTIF('Detalle individual'!$C$5:$C$1000,"&lt;"&amp;'Detalle individual'!C284)*1000+COUNTIF('Detalle individual'!$B$5:$B$1000,"&lt;"&amp;'Detalle individual'!B284)+ROW()/10000,"")</f>
        <v/>
      </c>
      <c r="AK284">
        <f>IF(OR('Base Exámenes'!C284="",'Base Exámenes'!D284=""),"",IF(COUNTIF('Base Exámenes'!$C$5:C284,'Base Exámenes'!C284)=1,'Base Exámenes'!D284+ROW()/1000000000,""))</f>
        <v>46311.50098408565</v>
      </c>
      <c r="AL284">
        <f>IF(OR('Base Exámenes'!C284="",'Base Exámenes'!E284=""),"",IF(COUNTIF('Base Exámenes'!$C$5:C284,'Base Exámenes'!C284)=1,'Base Exámenes'!E284+ROW()/1000000000,""))</f>
        <v>46311.50697945602</v>
      </c>
      <c r="AM284">
        <f>IF(OR('Base Exámenes'!C284="",'Base Exámenes'!G284=""),"",IF(ROW()-4=MATCH('Base Exámenes'!C284&amp;"|"&amp;_xlfn.MAXIFS('Base Exámenes'!$G$5:$G$1000,'Base Exámenes'!$C$5:$C$1000,'Base Exámenes'!C284),'Base Exámenes'!$I$5:$I$1000,0),'Base Exámenes'!G284*1000000+(-1)*'Base Exámenes'!D284,""))</f>
        <v>99953688.4990162</v>
      </c>
      <c r="AQ284" t="str">
        <f>IF('Base Exámenes'!C284="","",IF(COUNTIF('Base Exámenes'!$C$5:$C$1000,'Base Exámenes'!C284)&lt;2,"",MATCH('Base Exámenes'!C284,'Base Exámenes'!$C$5:$C$1000,0)*10000+ROW()))</f>
        <v/>
      </c>
    </row>
    <row r="285">
      <c r="Z285">
        <f>IF('Detalle individual'!A285="","",IF(AND(OR('Estado por Colaborador'!$D$4="Todas las gerencias",'Detalle individual'!D285='Estado por Colaborador'!$D$4),OR('Estado por Colaborador'!$D$5="Todos los departamentos",TRIM('Detalle individual'!C285)='Estado por Colaborador'!$D$5),OR('Estado por Colaborador'!$D$6="Todos",'Detalle individual'!F285='Estado por Colaborador'!$D$6)),IF('Detalle individual'!F285="Completado",30000000,IF('Detalle individual'!F285="Pendiente",0,15000000))+COUNTIF('Detalle individual'!$C$5:$C$1000,"&lt;"&amp;'Detalle individual'!C285)*10000+ROW(),""))</f>
        <v>38030285</v>
      </c>
      <c r="AB285" t="str">
        <f>IF('Detalle individual'!C285="","",IF(COUNTIF('Detalle individual'!$C$5:C285,'Detalle individual'!C285)=1,COUNTIF('Detalle individual'!$C$5:$C$1000,"&lt;"&amp;'Detalle individual'!C285),""))</f>
        <v/>
      </c>
      <c r="AC285" t="str">
        <f>IF('Detalle individual'!D285="","",IF(COUNTIF('Detalle individual'!$D$5:D285,'Detalle individual'!D285)=1,COUNTIF('Detalle individual'!$D$5:$D$1000,"&lt;"&amp;'Detalle individual'!D285),""))</f>
        <v/>
      </c>
      <c r="AH285" t="str">
        <f>IF('Detalle individual'!F285="Pendiente",COUNTIF('Detalle individual'!$D$5:$D$1000,"&lt;"&amp;'Detalle individual'!D285)*1000000+COUNTIF('Detalle individual'!$C$5:$C$1000,"&lt;"&amp;'Detalle individual'!C285)*1000+COUNTIF('Detalle individual'!$B$5:$B$1000,"&lt;"&amp;'Detalle individual'!B285)+ROW()/10000,"")</f>
        <v/>
      </c>
      <c r="AI285">
        <f>IF('Detalle individual'!F285="Completado",COUNTIF('Detalle individual'!$D$5:$D$1000,"&lt;"&amp;'Detalle individual'!D285)*1000000+COUNTIF('Detalle individual'!$C$5:$C$1000,"&lt;"&amp;'Detalle individual'!C285)*1000+COUNTIF('Detalle individual'!$B$5:$B$1000,"&lt;"&amp;'Detalle individual'!B285)+ROW()/10000,"")</f>
        <v>764803926.0285</v>
      </c>
      <c r="AJ285" t="str">
        <f>IF(AND('Detalle individual'!F285&lt;&gt;"",'Detalle individual'!F285&lt;&gt;"Completado",'Detalle individual'!F285&lt;&gt;"Pendiente"),COUNTIF('Detalle individual'!$D$5:$D$1000,"&lt;"&amp;'Detalle individual'!D285)*1000000+COUNTIF('Detalle individual'!$C$5:$C$1000,"&lt;"&amp;'Detalle individual'!C285)*1000+COUNTIF('Detalle individual'!$B$5:$B$1000,"&lt;"&amp;'Detalle individual'!B285)+ROW()/10000,"")</f>
        <v/>
      </c>
      <c r="AK285">
        <f>IF(OR('Base Exámenes'!C285="",'Base Exámenes'!D285=""),"",IF(COUNTIF('Base Exámenes'!$C$5:C285,'Base Exámenes'!C285)=1,'Base Exámenes'!D285+ROW()/1000000000,""))</f>
        <v>46311.5127896412</v>
      </c>
      <c r="AL285">
        <f>IF(OR('Base Exámenes'!C285="",'Base Exámenes'!E285=""),"",IF(COUNTIF('Base Exámenes'!$C$5:C285,'Base Exámenes'!C285)=1,'Base Exámenes'!E285+ROW()/1000000000,""))</f>
        <v>46311.516227141205</v>
      </c>
      <c r="AM285">
        <f>IF(OR('Base Exámenes'!C285="",'Base Exámenes'!G285=""),"",IF(ROW()-4=MATCH('Base Exámenes'!C285&amp;"|"&amp;_xlfn.MAXIFS('Base Exámenes'!$G$5:$G$1000,'Base Exámenes'!$C$5:$C$1000,'Base Exámenes'!C285),'Base Exámenes'!$I$5:$I$1000,0),'Base Exámenes'!G285*1000000+(-1)*'Base Exámenes'!D285,""))</f>
        <v>99953688.4872107</v>
      </c>
      <c r="AQ285" t="str">
        <f>IF('Base Exámenes'!C285="","",IF(COUNTIF('Base Exámenes'!$C$5:$C$1000,'Base Exámenes'!C285)&lt;2,"",MATCH('Base Exámenes'!C285,'Base Exámenes'!$C$5:$C$1000,0)*10000+ROW()))</f>
        <v/>
      </c>
    </row>
    <row r="286">
      <c r="Z286">
        <f>IF('Detalle individual'!A286="","",IF(AND(OR('Estado por Colaborador'!$D$4="Todas las gerencias",'Detalle individual'!D286='Estado por Colaborador'!$D$4),OR('Estado por Colaborador'!$D$5="Todos los departamentos",TRIM('Detalle individual'!C286)='Estado por Colaborador'!$D$5),OR('Estado por Colaborador'!$D$6="Todos",'Detalle individual'!F286='Estado por Colaborador'!$D$6)),IF('Detalle individual'!F286="Completado",30000000,IF('Detalle individual'!F286="Pendiente",0,15000000))+COUNTIF('Detalle individual'!$C$5:$C$1000,"&lt;"&amp;'Detalle individual'!C286)*10000+ROW(),""))</f>
        <v>38030286</v>
      </c>
      <c r="AB286" t="str">
        <f>IF('Detalle individual'!C286="","",IF(COUNTIF('Detalle individual'!$C$5:C286,'Detalle individual'!C286)=1,COUNTIF('Detalle individual'!$C$5:$C$1000,"&lt;"&amp;'Detalle individual'!C286),""))</f>
        <v/>
      </c>
      <c r="AC286" t="str">
        <f>IF('Detalle individual'!D286="","",IF(COUNTIF('Detalle individual'!$D$5:D286,'Detalle individual'!D286)=1,COUNTIF('Detalle individual'!$D$5:$D$1000,"&lt;"&amp;'Detalle individual'!D286),""))</f>
        <v/>
      </c>
      <c r="AH286" t="str">
        <f>IF('Detalle individual'!F286="Pendiente",COUNTIF('Detalle individual'!$D$5:$D$1000,"&lt;"&amp;'Detalle individual'!D286)*1000000+COUNTIF('Detalle individual'!$C$5:$C$1000,"&lt;"&amp;'Detalle individual'!C286)*1000+COUNTIF('Detalle individual'!$B$5:$B$1000,"&lt;"&amp;'Detalle individual'!B286)+ROW()/10000,"")</f>
        <v/>
      </c>
      <c r="AI286">
        <f>IF('Detalle individual'!F286="Completado",COUNTIF('Detalle individual'!$D$5:$D$1000,"&lt;"&amp;'Detalle individual'!D286)*1000000+COUNTIF('Detalle individual'!$C$5:$C$1000,"&lt;"&amp;'Detalle individual'!C286)*1000+COUNTIF('Detalle individual'!$B$5:$B$1000,"&lt;"&amp;'Detalle individual'!B286)+ROW()/10000,"")</f>
        <v>764803783.0286</v>
      </c>
      <c r="AJ286" t="str">
        <f>IF(AND('Detalle individual'!F286&lt;&gt;"",'Detalle individual'!F286&lt;&gt;"Completado",'Detalle individual'!F286&lt;&gt;"Pendiente"),COUNTIF('Detalle individual'!$D$5:$D$1000,"&lt;"&amp;'Detalle individual'!D286)*1000000+COUNTIF('Detalle individual'!$C$5:$C$1000,"&lt;"&amp;'Detalle individual'!C286)*1000+COUNTIF('Detalle individual'!$B$5:$B$1000,"&lt;"&amp;'Detalle individual'!B286)+ROW()/10000,"")</f>
        <v/>
      </c>
      <c r="AK286">
        <f>IF(OR('Base Exámenes'!C286="",'Base Exámenes'!D286=""),"",IF(COUNTIF('Base Exámenes'!$C$5:C286,'Base Exámenes'!C286)=1,'Base Exámenes'!D286+ROW()/1000000000,""))</f>
        <v>46311.56675954861</v>
      </c>
      <c r="AL286">
        <f>IF(OR('Base Exámenes'!C286="",'Base Exámenes'!E286=""),"",IF(COUNTIF('Base Exámenes'!$C$5:C286,'Base Exámenes'!C286)=1,'Base Exámenes'!E286+ROW()/1000000000,""))</f>
        <v>46311.571493344905</v>
      </c>
      <c r="AM286">
        <f>IF(OR('Base Exámenes'!C286="",'Base Exámenes'!G286=""),"",IF(ROW()-4=MATCH('Base Exámenes'!C286&amp;"|"&amp;_xlfn.MAXIFS('Base Exámenes'!$G$5:$G$1000,'Base Exámenes'!$C$5:$C$1000,'Base Exámenes'!C286),'Base Exámenes'!$I$5:$I$1000,0),'Base Exámenes'!G286*1000000+(-1)*'Base Exámenes'!D286,""))</f>
        <v>99953688.4332407</v>
      </c>
      <c r="AQ286" t="str">
        <f>IF('Base Exámenes'!C286="","",IF(COUNTIF('Base Exámenes'!$C$5:$C$1000,'Base Exámenes'!C286)&lt;2,"",MATCH('Base Exámenes'!C286,'Base Exámenes'!$C$5:$C$1000,0)*10000+ROW()))</f>
        <v/>
      </c>
    </row>
    <row r="287">
      <c r="Z287">
        <f>IF('Detalle individual'!A287="","",IF(AND(OR('Estado por Colaborador'!$D$4="Todas las gerencias",'Detalle individual'!D287='Estado por Colaborador'!$D$4),OR('Estado por Colaborador'!$D$5="Todos los departamentos",TRIM('Detalle individual'!C287)='Estado por Colaborador'!$D$5),OR('Estado por Colaborador'!$D$6="Todos",'Detalle individual'!F287='Estado por Colaborador'!$D$6)),IF('Detalle individual'!F287="Completado",30000000,IF('Detalle individual'!F287="Pendiente",0,15000000))+COUNTIF('Detalle individual'!$C$5:$C$1000,"&lt;"&amp;'Detalle individual'!C287)*10000+ROW(),""))</f>
        <v>38030287</v>
      </c>
      <c r="AB287" t="str">
        <f>IF('Detalle individual'!C287="","",IF(COUNTIF('Detalle individual'!$C$5:C287,'Detalle individual'!C287)=1,COUNTIF('Detalle individual'!$C$5:$C$1000,"&lt;"&amp;'Detalle individual'!C287),""))</f>
        <v/>
      </c>
      <c r="AC287" t="str">
        <f>IF('Detalle individual'!D287="","",IF(COUNTIF('Detalle individual'!$D$5:D287,'Detalle individual'!D287)=1,COUNTIF('Detalle individual'!$D$5:$D$1000,"&lt;"&amp;'Detalle individual'!D287),""))</f>
        <v/>
      </c>
      <c r="AH287" t="str">
        <f>IF('Detalle individual'!F287="Pendiente",COUNTIF('Detalle individual'!$D$5:$D$1000,"&lt;"&amp;'Detalle individual'!D287)*1000000+COUNTIF('Detalle individual'!$C$5:$C$1000,"&lt;"&amp;'Detalle individual'!C287)*1000+COUNTIF('Detalle individual'!$B$5:$B$1000,"&lt;"&amp;'Detalle individual'!B287)+ROW()/10000,"")</f>
        <v/>
      </c>
      <c r="AI287">
        <f>IF('Detalle individual'!F287="Completado",COUNTIF('Detalle individual'!$D$5:$D$1000,"&lt;"&amp;'Detalle individual'!D287)*1000000+COUNTIF('Detalle individual'!$C$5:$C$1000,"&lt;"&amp;'Detalle individual'!C287)*1000+COUNTIF('Detalle individual'!$B$5:$B$1000,"&lt;"&amp;'Detalle individual'!B287)+ROW()/10000,"")</f>
        <v>764803771.0287</v>
      </c>
      <c r="AJ287" t="str">
        <f>IF(AND('Detalle individual'!F287&lt;&gt;"",'Detalle individual'!F287&lt;&gt;"Completado",'Detalle individual'!F287&lt;&gt;"Pendiente"),COUNTIF('Detalle individual'!$D$5:$D$1000,"&lt;"&amp;'Detalle individual'!D287)*1000000+COUNTIF('Detalle individual'!$C$5:$C$1000,"&lt;"&amp;'Detalle individual'!C287)*1000+COUNTIF('Detalle individual'!$B$5:$B$1000,"&lt;"&amp;'Detalle individual'!B287)+ROW()/10000,"")</f>
        <v/>
      </c>
      <c r="AK287">
        <f>IF(OR('Base Exámenes'!C287="",'Base Exámenes'!D287=""),"",IF(COUNTIF('Base Exámenes'!$C$5:C287,'Base Exámenes'!C287)=1,'Base Exámenes'!D287+ROW()/1000000000,""))</f>
        <v>46311.61962991898</v>
      </c>
      <c r="AL287">
        <f>IF(OR('Base Exámenes'!C287="",'Base Exámenes'!E287=""),"",IF(COUNTIF('Base Exámenes'!$C$5:C287,'Base Exámenes'!C287)=1,'Base Exámenes'!E287+ROW()/1000000000,""))</f>
        <v>46311.62729195602</v>
      </c>
      <c r="AM287">
        <f>IF(OR('Base Exámenes'!C287="",'Base Exámenes'!G287=""),"",IF(ROW()-4=MATCH('Base Exámenes'!C287&amp;"|"&amp;_xlfn.MAXIFS('Base Exámenes'!$G$5:$G$1000,'Base Exámenes'!$C$5:$C$1000,'Base Exámenes'!C287),'Base Exámenes'!$I$5:$I$1000,0),'Base Exámenes'!G287*1000000+(-1)*'Base Exámenes'!D287,""))</f>
        <v>99953688.3803704</v>
      </c>
      <c r="AQ287" t="str">
        <f>IF('Base Exámenes'!C287="","",IF(COUNTIF('Base Exámenes'!$C$5:$C$1000,'Base Exámenes'!C287)&lt;2,"",MATCH('Base Exámenes'!C287,'Base Exámenes'!$C$5:$C$1000,0)*10000+ROW()))</f>
        <v/>
      </c>
    </row>
    <row r="288">
      <c r="Z288">
        <f>IF('Detalle individual'!A288="","",IF(AND(OR('Estado por Colaborador'!$D$4="Todas las gerencias",'Detalle individual'!D288='Estado por Colaborador'!$D$4),OR('Estado por Colaborador'!$D$5="Todos los departamentos",TRIM('Detalle individual'!C288)='Estado por Colaborador'!$D$5),OR('Estado por Colaborador'!$D$6="Todos",'Detalle individual'!F288='Estado por Colaborador'!$D$6)),IF('Detalle individual'!F288="Completado",30000000,IF('Detalle individual'!F288="Pendiente",0,15000000))+COUNTIF('Detalle individual'!$C$5:$C$1000,"&lt;"&amp;'Detalle individual'!C288)*10000+ROW(),""))</f>
        <v>39540288</v>
      </c>
      <c r="AB288">
        <f>IF('Detalle individual'!C288="","",IF(COUNTIF('Detalle individual'!$C$5:C288,'Detalle individual'!C288)=1,COUNTIF('Detalle individual'!$C$5:$C$1000,"&lt;"&amp;'Detalle individual'!C288),""))</f>
        <v>954</v>
      </c>
      <c r="AC288" t="str">
        <f>IF('Detalle individual'!D288="","",IF(COUNTIF('Detalle individual'!$D$5:D288,'Detalle individual'!D288)=1,COUNTIF('Detalle individual'!$D$5:$D$1000,"&lt;"&amp;'Detalle individual'!D288),""))</f>
        <v/>
      </c>
      <c r="AH288" t="str">
        <f>IF('Detalle individual'!F288="Pendiente",COUNTIF('Detalle individual'!$D$5:$D$1000,"&lt;"&amp;'Detalle individual'!D288)*1000000+COUNTIF('Detalle individual'!$C$5:$C$1000,"&lt;"&amp;'Detalle individual'!C288)*1000+COUNTIF('Detalle individual'!$B$5:$B$1000,"&lt;"&amp;'Detalle individual'!B288)+ROW()/10000,"")</f>
        <v/>
      </c>
      <c r="AI288">
        <f>IF('Detalle individual'!F288="Completado",COUNTIF('Detalle individual'!$D$5:$D$1000,"&lt;"&amp;'Detalle individual'!D288)*1000000+COUNTIF('Detalle individual'!$C$5:$C$1000,"&lt;"&amp;'Detalle individual'!C288)*1000+COUNTIF('Detalle individual'!$B$5:$B$1000,"&lt;"&amp;'Detalle individual'!B288)+ROW()/10000,"")</f>
        <v>987954862.0288</v>
      </c>
      <c r="AJ288" t="str">
        <f>IF(AND('Detalle individual'!F288&lt;&gt;"",'Detalle individual'!F288&lt;&gt;"Completado",'Detalle individual'!F288&lt;&gt;"Pendiente"),COUNTIF('Detalle individual'!$D$5:$D$1000,"&lt;"&amp;'Detalle individual'!D288)*1000000+COUNTIF('Detalle individual'!$C$5:$C$1000,"&lt;"&amp;'Detalle individual'!C288)*1000+COUNTIF('Detalle individual'!$B$5:$B$1000,"&lt;"&amp;'Detalle individual'!B288)+ROW()/10000,"")</f>
        <v/>
      </c>
      <c r="AK288">
        <f>IF(OR('Base Exámenes'!C288="",'Base Exámenes'!D288=""),"",IF(COUNTIF('Base Exámenes'!$C$5:C288,'Base Exámenes'!C288)=1,'Base Exámenes'!D288+ROW()/1000000000,""))</f>
        <v>46311.67041695602</v>
      </c>
      <c r="AL288">
        <f>IF(OR('Base Exámenes'!C288="",'Base Exámenes'!E288=""),"",IF(COUNTIF('Base Exámenes'!$C$5:C288,'Base Exámenes'!C288)=1,'Base Exámenes'!E288+ROW()/1000000000,""))</f>
        <v>46311.675671585646</v>
      </c>
      <c r="AM288">
        <f>IF(OR('Base Exámenes'!C288="",'Base Exámenes'!G288=""),"",IF(ROW()-4=MATCH('Base Exámenes'!C288&amp;"|"&amp;_xlfn.MAXIFS('Base Exámenes'!$G$5:$G$1000,'Base Exámenes'!$C$5:$C$1000,'Base Exámenes'!C288),'Base Exámenes'!$I$5:$I$1000,0),'Base Exámenes'!G288*1000000+(-1)*'Base Exámenes'!D288,""))</f>
        <v>99953688.3295833</v>
      </c>
      <c r="AQ288" t="str">
        <f>IF('Base Exámenes'!C288="","",IF(COUNTIF('Base Exámenes'!$C$5:$C$1000,'Base Exámenes'!C288)&lt;2,"",MATCH('Base Exámenes'!C288,'Base Exámenes'!$C$5:$C$1000,0)*10000+ROW()))</f>
        <v/>
      </c>
    </row>
    <row r="289">
      <c r="Z289">
        <f>IF('Detalle individual'!A289="","",IF(AND(OR('Estado por Colaborador'!$D$4="Todas las gerencias",'Detalle individual'!D289='Estado por Colaborador'!$D$4),OR('Estado por Colaborador'!$D$5="Todos los departamentos",TRIM('Detalle individual'!C289)='Estado por Colaborador'!$D$5),OR('Estado por Colaborador'!$D$6="Todos",'Detalle individual'!F289='Estado por Colaborador'!$D$6)),IF('Detalle individual'!F289="Completado",30000000,IF('Detalle individual'!F289="Pendiente",0,15000000))+COUNTIF('Detalle individual'!$C$5:$C$1000,"&lt;"&amp;'Detalle individual'!C289)*10000+ROW(),""))</f>
        <v>39540289</v>
      </c>
      <c r="AB289" t="str">
        <f>IF('Detalle individual'!C289="","",IF(COUNTIF('Detalle individual'!$C$5:C289,'Detalle individual'!C289)=1,COUNTIF('Detalle individual'!$C$5:$C$1000,"&lt;"&amp;'Detalle individual'!C289),""))</f>
        <v/>
      </c>
      <c r="AC289" t="str">
        <f>IF('Detalle individual'!D289="","",IF(COUNTIF('Detalle individual'!$D$5:D289,'Detalle individual'!D289)=1,COUNTIF('Detalle individual'!$D$5:$D$1000,"&lt;"&amp;'Detalle individual'!D289),""))</f>
        <v/>
      </c>
      <c r="AH289" t="str">
        <f>IF('Detalle individual'!F289="Pendiente",COUNTIF('Detalle individual'!$D$5:$D$1000,"&lt;"&amp;'Detalle individual'!D289)*1000000+COUNTIF('Detalle individual'!$C$5:$C$1000,"&lt;"&amp;'Detalle individual'!C289)*1000+COUNTIF('Detalle individual'!$B$5:$B$1000,"&lt;"&amp;'Detalle individual'!B289)+ROW()/10000,"")</f>
        <v/>
      </c>
      <c r="AI289">
        <f>IF('Detalle individual'!F289="Completado",COUNTIF('Detalle individual'!$D$5:$D$1000,"&lt;"&amp;'Detalle individual'!D289)*1000000+COUNTIF('Detalle individual'!$C$5:$C$1000,"&lt;"&amp;'Detalle individual'!C289)*1000+COUNTIF('Detalle individual'!$B$5:$B$1000,"&lt;"&amp;'Detalle individual'!B289)+ROW()/10000,"")</f>
        <v>987954741.0289</v>
      </c>
      <c r="AJ289" t="str">
        <f>IF(AND('Detalle individual'!F289&lt;&gt;"",'Detalle individual'!F289&lt;&gt;"Completado",'Detalle individual'!F289&lt;&gt;"Pendiente"),COUNTIF('Detalle individual'!$D$5:$D$1000,"&lt;"&amp;'Detalle individual'!D289)*1000000+COUNTIF('Detalle individual'!$C$5:$C$1000,"&lt;"&amp;'Detalle individual'!C289)*1000+COUNTIF('Detalle individual'!$B$5:$B$1000,"&lt;"&amp;'Detalle individual'!B289)+ROW()/10000,"")</f>
        <v/>
      </c>
      <c r="AK289">
        <f>IF(OR('Base Exámenes'!C289="",'Base Exámenes'!D289=""),"",IF(COUNTIF('Base Exámenes'!$C$5:C289,'Base Exámenes'!C289)=1,'Base Exámenes'!D289+ROW()/1000000000,""))</f>
        <v>46311.70723408565</v>
      </c>
      <c r="AL289">
        <f>IF(OR('Base Exámenes'!C289="",'Base Exámenes'!E289=""),"",IF(COUNTIF('Base Exámenes'!$C$5:C289,'Base Exámenes'!C289)=1,'Base Exámenes'!E289+ROW()/1000000000,""))</f>
        <v>46311.71008130787</v>
      </c>
      <c r="AM289">
        <f>IF(OR('Base Exámenes'!C289="",'Base Exámenes'!G289=""),"",IF(ROW()-4=MATCH('Base Exámenes'!C289&amp;"|"&amp;_xlfn.MAXIFS('Base Exámenes'!$G$5:$G$1000,'Base Exámenes'!$C$5:$C$1000,'Base Exámenes'!C289),'Base Exámenes'!$I$5:$I$1000,0),'Base Exámenes'!G289*1000000+(-1)*'Base Exámenes'!D289,""))</f>
        <v>89953688.2927662</v>
      </c>
      <c r="AQ289" t="str">
        <f>IF('Base Exámenes'!C289="","",IF(COUNTIF('Base Exámenes'!$C$5:$C$1000,'Base Exámenes'!C289)&lt;2,"",MATCH('Base Exámenes'!C289,'Base Exámenes'!$C$5:$C$1000,0)*10000+ROW()))</f>
        <v/>
      </c>
    </row>
    <row r="290">
      <c r="Z290">
        <f>IF('Detalle individual'!A290="","",IF(AND(OR('Estado por Colaborador'!$D$4="Todas las gerencias",'Detalle individual'!D290='Estado por Colaborador'!$D$4),OR('Estado por Colaborador'!$D$5="Todos los departamentos",TRIM('Detalle individual'!C290)='Estado por Colaborador'!$D$5),OR('Estado por Colaborador'!$D$6="Todos",'Detalle individual'!F290='Estado por Colaborador'!$D$6)),IF('Detalle individual'!F290="Completado",30000000,IF('Detalle individual'!F290="Pendiente",0,15000000))+COUNTIF('Detalle individual'!$C$5:$C$1000,"&lt;"&amp;'Detalle individual'!C290)*10000+ROW(),""))</f>
        <v>39540290</v>
      </c>
      <c r="AB290" t="str">
        <f>IF('Detalle individual'!C290="","",IF(COUNTIF('Detalle individual'!$C$5:C290,'Detalle individual'!C290)=1,COUNTIF('Detalle individual'!$C$5:$C$1000,"&lt;"&amp;'Detalle individual'!C290),""))</f>
        <v/>
      </c>
      <c r="AC290" t="str">
        <f>IF('Detalle individual'!D290="","",IF(COUNTIF('Detalle individual'!$D$5:D290,'Detalle individual'!D290)=1,COUNTIF('Detalle individual'!$D$5:$D$1000,"&lt;"&amp;'Detalle individual'!D290),""))</f>
        <v/>
      </c>
      <c r="AH290" t="str">
        <f>IF('Detalle individual'!F290="Pendiente",COUNTIF('Detalle individual'!$D$5:$D$1000,"&lt;"&amp;'Detalle individual'!D290)*1000000+COUNTIF('Detalle individual'!$C$5:$C$1000,"&lt;"&amp;'Detalle individual'!C290)*1000+COUNTIF('Detalle individual'!$B$5:$B$1000,"&lt;"&amp;'Detalle individual'!B290)+ROW()/10000,"")</f>
        <v/>
      </c>
      <c r="AI290">
        <f>IF('Detalle individual'!F290="Completado",COUNTIF('Detalle individual'!$D$5:$D$1000,"&lt;"&amp;'Detalle individual'!D290)*1000000+COUNTIF('Detalle individual'!$C$5:$C$1000,"&lt;"&amp;'Detalle individual'!C290)*1000+COUNTIF('Detalle individual'!$B$5:$B$1000,"&lt;"&amp;'Detalle individual'!B290)+ROW()/10000,"")</f>
        <v>987954722.029</v>
      </c>
      <c r="AJ290" t="str">
        <f>IF(AND('Detalle individual'!F290&lt;&gt;"",'Detalle individual'!F290&lt;&gt;"Completado",'Detalle individual'!F290&lt;&gt;"Pendiente"),COUNTIF('Detalle individual'!$D$5:$D$1000,"&lt;"&amp;'Detalle individual'!D290)*1000000+COUNTIF('Detalle individual'!$C$5:$C$1000,"&lt;"&amp;'Detalle individual'!C290)*1000+COUNTIF('Detalle individual'!$B$5:$B$1000,"&lt;"&amp;'Detalle individual'!B290)+ROW()/10000,"")</f>
        <v/>
      </c>
      <c r="AK290">
        <f>IF(OR('Base Exámenes'!C290="",'Base Exámenes'!D290=""),"",IF(COUNTIF('Base Exámenes'!$C$5:C290,'Base Exámenes'!C290)=1,'Base Exámenes'!D290+ROW()/1000000000,""))</f>
        <v>46311.70719936342</v>
      </c>
      <c r="AL290">
        <f>IF(OR('Base Exámenes'!C290="",'Base Exámenes'!E290=""),"",IF(COUNTIF('Base Exámenes'!$C$5:C290,'Base Exámenes'!C290)=1,'Base Exámenes'!E290+ROW()/1000000000,""))</f>
        <v>46311.71099565972</v>
      </c>
      <c r="AM290">
        <f>IF(OR('Base Exámenes'!C290="",'Base Exámenes'!G290=""),"",IF(ROW()-4=MATCH('Base Exámenes'!C290&amp;"|"&amp;_xlfn.MAXIFS('Base Exámenes'!$G$5:$G$1000,'Base Exámenes'!$C$5:$C$1000,'Base Exámenes'!C290),'Base Exámenes'!$I$5:$I$1000,0),'Base Exámenes'!G290*1000000+(-1)*'Base Exámenes'!D290,""))</f>
        <v>89953688.2928009</v>
      </c>
      <c r="AQ290" t="str">
        <f>IF('Base Exámenes'!C290="","",IF(COUNTIF('Base Exámenes'!$C$5:$C$1000,'Base Exámenes'!C290)&lt;2,"",MATCH('Base Exámenes'!C290,'Base Exámenes'!$C$5:$C$1000,0)*10000+ROW()))</f>
        <v/>
      </c>
    </row>
    <row r="291">
      <c r="Z291">
        <f>IF('Detalle individual'!A291="","",IF(AND(OR('Estado por Colaborador'!$D$4="Todas las gerencias",'Detalle individual'!D291='Estado por Colaborador'!$D$4),OR('Estado por Colaborador'!$D$5="Todos los departamentos",TRIM('Detalle individual'!C291)='Estado por Colaborador'!$D$5),OR('Estado por Colaborador'!$D$6="Todos",'Detalle individual'!F291='Estado por Colaborador'!$D$6)),IF('Detalle individual'!F291="Completado",30000000,IF('Detalle individual'!F291="Pendiente",0,15000000))+COUNTIF('Detalle individual'!$C$5:$C$1000,"&lt;"&amp;'Detalle individual'!C291)*10000+ROW(),""))</f>
        <v>39540291</v>
      </c>
      <c r="AB291" t="str">
        <f>IF('Detalle individual'!C291="","",IF(COUNTIF('Detalle individual'!$C$5:C291,'Detalle individual'!C291)=1,COUNTIF('Detalle individual'!$C$5:$C$1000,"&lt;"&amp;'Detalle individual'!C291),""))</f>
        <v/>
      </c>
      <c r="AC291" t="str">
        <f>IF('Detalle individual'!D291="","",IF(COUNTIF('Detalle individual'!$D$5:D291,'Detalle individual'!D291)=1,COUNTIF('Detalle individual'!$D$5:$D$1000,"&lt;"&amp;'Detalle individual'!D291),""))</f>
        <v/>
      </c>
      <c r="AH291" t="str">
        <f>IF('Detalle individual'!F291="Pendiente",COUNTIF('Detalle individual'!$D$5:$D$1000,"&lt;"&amp;'Detalle individual'!D291)*1000000+COUNTIF('Detalle individual'!$C$5:$C$1000,"&lt;"&amp;'Detalle individual'!C291)*1000+COUNTIF('Detalle individual'!$B$5:$B$1000,"&lt;"&amp;'Detalle individual'!B291)+ROW()/10000,"")</f>
        <v/>
      </c>
      <c r="AI291">
        <f>IF('Detalle individual'!F291="Completado",COUNTIF('Detalle individual'!$D$5:$D$1000,"&lt;"&amp;'Detalle individual'!D291)*1000000+COUNTIF('Detalle individual'!$C$5:$C$1000,"&lt;"&amp;'Detalle individual'!C291)*1000+COUNTIF('Detalle individual'!$B$5:$B$1000,"&lt;"&amp;'Detalle individual'!B291)+ROW()/10000,"")</f>
        <v>987954940.0291</v>
      </c>
      <c r="AJ291" t="str">
        <f>IF(AND('Detalle individual'!F291&lt;&gt;"",'Detalle individual'!F291&lt;&gt;"Completado",'Detalle individual'!F291&lt;&gt;"Pendiente"),COUNTIF('Detalle individual'!$D$5:$D$1000,"&lt;"&amp;'Detalle individual'!D291)*1000000+COUNTIF('Detalle individual'!$C$5:$C$1000,"&lt;"&amp;'Detalle individual'!C291)*1000+COUNTIF('Detalle individual'!$B$5:$B$1000,"&lt;"&amp;'Detalle individual'!B291)+ROW()/10000,"")</f>
        <v/>
      </c>
      <c r="AK291">
        <f>IF(OR('Base Exámenes'!C291="",'Base Exámenes'!D291=""),"",IF(COUNTIF('Base Exámenes'!$C$5:C291,'Base Exámenes'!C291)=1,'Base Exámenes'!D291+ROW()/1000000000,""))</f>
        <v>46311.71150491898</v>
      </c>
      <c r="AL291">
        <f>IF(OR('Base Exámenes'!C291="",'Base Exámenes'!E291=""),"",IF(COUNTIF('Base Exámenes'!$C$5:C291,'Base Exámenes'!C291)=1,'Base Exámenes'!E291+ROW()/1000000000,""))</f>
        <v>46311.714629918984</v>
      </c>
      <c r="AM291">
        <f>IF(OR('Base Exámenes'!C291="",'Base Exámenes'!G291=""),"",IF(ROW()-4=MATCH('Base Exámenes'!C291&amp;"|"&amp;_xlfn.MAXIFS('Base Exámenes'!$G$5:$G$1000,'Base Exámenes'!$C$5:$C$1000,'Base Exámenes'!C291),'Base Exámenes'!$I$5:$I$1000,0),'Base Exámenes'!G291*1000000+(-1)*'Base Exámenes'!D291,""))</f>
        <v>89953688.2884954</v>
      </c>
      <c r="AQ291" t="str">
        <f>IF('Base Exámenes'!C291="","",IF(COUNTIF('Base Exámenes'!$C$5:$C$1000,'Base Exámenes'!C291)&lt;2,"",MATCH('Base Exámenes'!C291,'Base Exámenes'!$C$5:$C$1000,0)*10000+ROW()))</f>
        <v/>
      </c>
    </row>
    <row r="292">
      <c r="Z292">
        <f>IF('Detalle individual'!A292="","",IF(AND(OR('Estado por Colaborador'!$D$4="Todas las gerencias",'Detalle individual'!D292='Estado por Colaborador'!$D$4),OR('Estado por Colaborador'!$D$5="Todos los departamentos",TRIM('Detalle individual'!C292)='Estado por Colaborador'!$D$5),OR('Estado por Colaborador'!$D$6="Todos",'Detalle individual'!F292='Estado por Colaborador'!$D$6)),IF('Detalle individual'!F292="Completado",30000000,IF('Detalle individual'!F292="Pendiente",0,15000000))+COUNTIF('Detalle individual'!$C$5:$C$1000,"&lt;"&amp;'Detalle individual'!C292)*10000+ROW(),""))</f>
        <v>39540292</v>
      </c>
      <c r="AB292" t="str">
        <f>IF('Detalle individual'!C292="","",IF(COUNTIF('Detalle individual'!$C$5:C292,'Detalle individual'!C292)=1,COUNTIF('Detalle individual'!$C$5:$C$1000,"&lt;"&amp;'Detalle individual'!C292),""))</f>
        <v/>
      </c>
      <c r="AC292" t="str">
        <f>IF('Detalle individual'!D292="","",IF(COUNTIF('Detalle individual'!$D$5:D292,'Detalle individual'!D292)=1,COUNTIF('Detalle individual'!$D$5:$D$1000,"&lt;"&amp;'Detalle individual'!D292),""))</f>
        <v/>
      </c>
      <c r="AH292" t="str">
        <f>IF('Detalle individual'!F292="Pendiente",COUNTIF('Detalle individual'!$D$5:$D$1000,"&lt;"&amp;'Detalle individual'!D292)*1000000+COUNTIF('Detalle individual'!$C$5:$C$1000,"&lt;"&amp;'Detalle individual'!C292)*1000+COUNTIF('Detalle individual'!$B$5:$B$1000,"&lt;"&amp;'Detalle individual'!B292)+ROW()/10000,"")</f>
        <v/>
      </c>
      <c r="AI292">
        <f>IF('Detalle individual'!F292="Completado",COUNTIF('Detalle individual'!$D$5:$D$1000,"&lt;"&amp;'Detalle individual'!D292)*1000000+COUNTIF('Detalle individual'!$C$5:$C$1000,"&lt;"&amp;'Detalle individual'!C292)*1000+COUNTIF('Detalle individual'!$B$5:$B$1000,"&lt;"&amp;'Detalle individual'!B292)+ROW()/10000,"")</f>
        <v>987954762.0292</v>
      </c>
      <c r="AJ292" t="str">
        <f>IF(AND('Detalle individual'!F292&lt;&gt;"",'Detalle individual'!F292&lt;&gt;"Completado",'Detalle individual'!F292&lt;&gt;"Pendiente"),COUNTIF('Detalle individual'!$D$5:$D$1000,"&lt;"&amp;'Detalle individual'!D292)*1000000+COUNTIF('Detalle individual'!$C$5:$C$1000,"&lt;"&amp;'Detalle individual'!C292)*1000+COUNTIF('Detalle individual'!$B$5:$B$1000,"&lt;"&amp;'Detalle individual'!B292)+ROW()/10000,"")</f>
        <v/>
      </c>
      <c r="AK292">
        <f>IF(OR('Base Exámenes'!C292="",'Base Exámenes'!D292=""),"",IF(COUNTIF('Base Exámenes'!$C$5:C292,'Base Exámenes'!C292)=1,'Base Exámenes'!D292+ROW()/1000000000,""))</f>
        <v>46311.71684056713</v>
      </c>
      <c r="AL292">
        <f>IF(OR('Base Exámenes'!C292="",'Base Exámenes'!E292=""),"",IF(COUNTIF('Base Exámenes'!$C$5:C292,'Base Exámenes'!C292)=1,'Base Exámenes'!E292+ROW()/1000000000,""))</f>
        <v>46311.719502604166</v>
      </c>
      <c r="AM292">
        <f>IF(OR('Base Exámenes'!C292="",'Base Exámenes'!G292=""),"",IF(ROW()-4=MATCH('Base Exámenes'!C292&amp;"|"&amp;_xlfn.MAXIFS('Base Exámenes'!$G$5:$G$1000,'Base Exámenes'!$C$5:$C$1000,'Base Exámenes'!C292),'Base Exámenes'!$I$5:$I$1000,0),'Base Exámenes'!G292*1000000+(-1)*'Base Exámenes'!D292,""))</f>
        <v>99953688.2831597</v>
      </c>
      <c r="AQ292" t="str">
        <f>IF('Base Exámenes'!C292="","",IF(COUNTIF('Base Exámenes'!$C$5:$C$1000,'Base Exámenes'!C292)&lt;2,"",MATCH('Base Exámenes'!C292,'Base Exámenes'!$C$5:$C$1000,0)*10000+ROW()))</f>
        <v/>
      </c>
    </row>
    <row r="293">
      <c r="Z293">
        <f>IF('Detalle individual'!A293="","",IF(AND(OR('Estado por Colaborador'!$D$4="Todas las gerencias",'Detalle individual'!D293='Estado por Colaborador'!$D$4),OR('Estado por Colaborador'!$D$5="Todos los departamentos",TRIM('Detalle individual'!C293)='Estado por Colaborador'!$D$5),OR('Estado por Colaborador'!$D$6="Todos",'Detalle individual'!F293='Estado por Colaborador'!$D$6)),IF('Detalle individual'!F293="Completado",30000000,IF('Detalle individual'!F293="Pendiente",0,15000000))+COUNTIF('Detalle individual'!$C$5:$C$1000,"&lt;"&amp;'Detalle individual'!C293)*10000+ROW(),""))</f>
        <v>39540293</v>
      </c>
      <c r="AB293" t="str">
        <f>IF('Detalle individual'!C293="","",IF(COUNTIF('Detalle individual'!$C$5:C293,'Detalle individual'!C293)=1,COUNTIF('Detalle individual'!$C$5:$C$1000,"&lt;"&amp;'Detalle individual'!C293),""))</f>
        <v/>
      </c>
      <c r="AC293" t="str">
        <f>IF('Detalle individual'!D293="","",IF(COUNTIF('Detalle individual'!$D$5:D293,'Detalle individual'!D293)=1,COUNTIF('Detalle individual'!$D$5:$D$1000,"&lt;"&amp;'Detalle individual'!D293),""))</f>
        <v/>
      </c>
      <c r="AH293" t="str">
        <f>IF('Detalle individual'!F293="Pendiente",COUNTIF('Detalle individual'!$D$5:$D$1000,"&lt;"&amp;'Detalle individual'!D293)*1000000+COUNTIF('Detalle individual'!$C$5:$C$1000,"&lt;"&amp;'Detalle individual'!C293)*1000+COUNTIF('Detalle individual'!$B$5:$B$1000,"&lt;"&amp;'Detalle individual'!B293)+ROW()/10000,"")</f>
        <v/>
      </c>
      <c r="AI293">
        <f>IF('Detalle individual'!F293="Completado",COUNTIF('Detalle individual'!$D$5:$D$1000,"&lt;"&amp;'Detalle individual'!D293)*1000000+COUNTIF('Detalle individual'!$C$5:$C$1000,"&lt;"&amp;'Detalle individual'!C293)*1000+COUNTIF('Detalle individual'!$B$5:$B$1000,"&lt;"&amp;'Detalle individual'!B293)+ROW()/10000,"")</f>
        <v>987954706.0293</v>
      </c>
      <c r="AJ293" t="str">
        <f>IF(AND('Detalle individual'!F293&lt;&gt;"",'Detalle individual'!F293&lt;&gt;"Completado",'Detalle individual'!F293&lt;&gt;"Pendiente"),COUNTIF('Detalle individual'!$D$5:$D$1000,"&lt;"&amp;'Detalle individual'!D293)*1000000+COUNTIF('Detalle individual'!$C$5:$C$1000,"&lt;"&amp;'Detalle individual'!C293)*1000+COUNTIF('Detalle individual'!$B$5:$B$1000,"&lt;"&amp;'Detalle individual'!B293)+ROW()/10000,"")</f>
        <v/>
      </c>
      <c r="AK293">
        <f>IF(OR('Base Exámenes'!C293="",'Base Exámenes'!D293=""),"",IF(COUNTIF('Base Exámenes'!$C$5:C293,'Base Exámenes'!C293)=1,'Base Exámenes'!D293+ROW()/1000000000,""))</f>
        <v>46311.80311371528</v>
      </c>
      <c r="AL293">
        <f>IF(OR('Base Exámenes'!C293="",'Base Exámenes'!E293=""),"",IF(COUNTIF('Base Exámenes'!$C$5:C293,'Base Exámenes'!C293)=1,'Base Exámenes'!E293+ROW()/1000000000,""))</f>
        <v>46311.81412065972</v>
      </c>
      <c r="AM293">
        <f>IF(OR('Base Exámenes'!C293="",'Base Exámenes'!G293=""),"",IF(ROW()-4=MATCH('Base Exámenes'!C293&amp;"|"&amp;_xlfn.MAXIFS('Base Exámenes'!$G$5:$G$1000,'Base Exámenes'!$C$5:$C$1000,'Base Exámenes'!C293),'Base Exámenes'!$I$5:$I$1000,0),'Base Exámenes'!G293*1000000+(-1)*'Base Exámenes'!D293,""))</f>
        <v>99953688.1968866</v>
      </c>
      <c r="AQ293" t="str">
        <f>IF('Base Exámenes'!C293="","",IF(COUNTIF('Base Exámenes'!$C$5:$C$1000,'Base Exámenes'!C293)&lt;2,"",MATCH('Base Exámenes'!C293,'Base Exámenes'!$C$5:$C$1000,0)*10000+ROW()))</f>
        <v/>
      </c>
    </row>
    <row r="294">
      <c r="Z294">
        <f>IF('Detalle individual'!A294="","",IF(AND(OR('Estado por Colaborador'!$D$4="Todas las gerencias",'Detalle individual'!D294='Estado por Colaborador'!$D$4),OR('Estado por Colaborador'!$D$5="Todos los departamentos",TRIM('Detalle individual'!C294)='Estado por Colaborador'!$D$5),OR('Estado por Colaborador'!$D$6="Todos",'Detalle individual'!F294='Estado por Colaborador'!$D$6)),IF('Detalle individual'!F294="Completado",30000000,IF('Detalle individual'!F294="Pendiente",0,15000000))+COUNTIF('Detalle individual'!$C$5:$C$1000,"&lt;"&amp;'Detalle individual'!C294)*10000+ROW(),""))</f>
        <v>39540294</v>
      </c>
      <c r="AB294" t="str">
        <f>IF('Detalle individual'!C294="","",IF(COUNTIF('Detalle individual'!$C$5:C294,'Detalle individual'!C294)=1,COUNTIF('Detalle individual'!$C$5:$C$1000,"&lt;"&amp;'Detalle individual'!C294),""))</f>
        <v/>
      </c>
      <c r="AC294" t="str">
        <f>IF('Detalle individual'!D294="","",IF(COUNTIF('Detalle individual'!$D$5:D294,'Detalle individual'!D294)=1,COUNTIF('Detalle individual'!$D$5:$D$1000,"&lt;"&amp;'Detalle individual'!D294),""))</f>
        <v/>
      </c>
      <c r="AH294" t="str">
        <f>IF('Detalle individual'!F294="Pendiente",COUNTIF('Detalle individual'!$D$5:$D$1000,"&lt;"&amp;'Detalle individual'!D294)*1000000+COUNTIF('Detalle individual'!$C$5:$C$1000,"&lt;"&amp;'Detalle individual'!C294)*1000+COUNTIF('Detalle individual'!$B$5:$B$1000,"&lt;"&amp;'Detalle individual'!B294)+ROW()/10000,"")</f>
        <v/>
      </c>
      <c r="AI294">
        <f>IF('Detalle individual'!F294="Completado",COUNTIF('Detalle individual'!$D$5:$D$1000,"&lt;"&amp;'Detalle individual'!D294)*1000000+COUNTIF('Detalle individual'!$C$5:$C$1000,"&lt;"&amp;'Detalle individual'!C294)*1000+COUNTIF('Detalle individual'!$B$5:$B$1000,"&lt;"&amp;'Detalle individual'!B294)+ROW()/10000,"")</f>
        <v>987954748.0294</v>
      </c>
      <c r="AJ294" t="str">
        <f>IF(AND('Detalle individual'!F294&lt;&gt;"",'Detalle individual'!F294&lt;&gt;"Completado",'Detalle individual'!F294&lt;&gt;"Pendiente"),COUNTIF('Detalle individual'!$D$5:$D$1000,"&lt;"&amp;'Detalle individual'!D294)*1000000+COUNTIF('Detalle individual'!$C$5:$C$1000,"&lt;"&amp;'Detalle individual'!C294)*1000+COUNTIF('Detalle individual'!$B$5:$B$1000,"&lt;"&amp;'Detalle individual'!B294)+ROW()/10000,"")</f>
        <v/>
      </c>
      <c r="AK294" t="str">
        <f>IF(OR('Base Exámenes'!C294="",'Base Exámenes'!D294=""),"",IF(COUNTIF('Base Exámenes'!$C$5:C294,'Base Exámenes'!C294)=1,'Base Exámenes'!D294+ROW()/1000000000,""))</f>
        <v/>
      </c>
      <c r="AL294" t="str">
        <f>IF(OR('Base Exámenes'!C294="",'Base Exámenes'!E294=""),"",IF(COUNTIF('Base Exámenes'!$C$5:C294,'Base Exámenes'!C294)=1,'Base Exámenes'!E294+ROW()/1000000000,""))</f>
        <v/>
      </c>
      <c r="AM294" t="str">
        <f>IF(OR('Base Exámenes'!C294="",'Base Exámenes'!G294=""),"",IF(ROW()-4=MATCH('Base Exámenes'!C294&amp;"|"&amp;_xlfn.MAXIFS('Base Exámenes'!$G$5:$G$1000,'Base Exámenes'!$C$5:$C$1000,'Base Exámenes'!C294),'Base Exámenes'!$I$5:$I$1000,0),'Base Exámenes'!G294*1000000+(-1)*'Base Exámenes'!D294,""))</f>
        <v/>
      </c>
      <c r="AQ294" t="str">
        <f>IF('Base Exámenes'!C294="","",IF(COUNTIF('Base Exámenes'!$C$5:$C$1000,'Base Exámenes'!C294)&lt;2,"",MATCH('Base Exámenes'!C294,'Base Exámenes'!$C$5:$C$1000,0)*10000+ROW()))</f>
        <v/>
      </c>
    </row>
    <row r="295">
      <c r="Z295">
        <f>IF('Detalle individual'!A295="","",IF(AND(OR('Estado por Colaborador'!$D$4="Todas las gerencias",'Detalle individual'!D295='Estado por Colaborador'!$D$4),OR('Estado por Colaborador'!$D$5="Todos los departamentos",TRIM('Detalle individual'!C295)='Estado por Colaborador'!$D$5),OR('Estado por Colaborador'!$D$6="Todos",'Detalle individual'!F295='Estado por Colaborador'!$D$6)),IF('Detalle individual'!F295="Completado",30000000,IF('Detalle individual'!F295="Pendiente",0,15000000))+COUNTIF('Detalle individual'!$C$5:$C$1000,"&lt;"&amp;'Detalle individual'!C295)*10000+ROW(),""))</f>
        <v>39540295</v>
      </c>
      <c r="AB295" t="str">
        <f>IF('Detalle individual'!C295="","",IF(COUNTIF('Detalle individual'!$C$5:C295,'Detalle individual'!C295)=1,COUNTIF('Detalle individual'!$C$5:$C$1000,"&lt;"&amp;'Detalle individual'!C295),""))</f>
        <v/>
      </c>
      <c r="AC295" t="str">
        <f>IF('Detalle individual'!D295="","",IF(COUNTIF('Detalle individual'!$D$5:D295,'Detalle individual'!D295)=1,COUNTIF('Detalle individual'!$D$5:$D$1000,"&lt;"&amp;'Detalle individual'!D295),""))</f>
        <v/>
      </c>
      <c r="AH295" t="str">
        <f>IF('Detalle individual'!F295="Pendiente",COUNTIF('Detalle individual'!$D$5:$D$1000,"&lt;"&amp;'Detalle individual'!D295)*1000000+COUNTIF('Detalle individual'!$C$5:$C$1000,"&lt;"&amp;'Detalle individual'!C295)*1000+COUNTIF('Detalle individual'!$B$5:$B$1000,"&lt;"&amp;'Detalle individual'!B295)+ROW()/10000,"")</f>
        <v/>
      </c>
      <c r="AI295">
        <f>IF('Detalle individual'!F295="Completado",COUNTIF('Detalle individual'!$D$5:$D$1000,"&lt;"&amp;'Detalle individual'!D295)*1000000+COUNTIF('Detalle individual'!$C$5:$C$1000,"&lt;"&amp;'Detalle individual'!C295)*1000+COUNTIF('Detalle individual'!$B$5:$B$1000,"&lt;"&amp;'Detalle individual'!B295)+ROW()/10000,"")</f>
        <v>987954794.0295</v>
      </c>
      <c r="AJ295" t="str">
        <f>IF(AND('Detalle individual'!F295&lt;&gt;"",'Detalle individual'!F295&lt;&gt;"Completado",'Detalle individual'!F295&lt;&gt;"Pendiente"),COUNTIF('Detalle individual'!$D$5:$D$1000,"&lt;"&amp;'Detalle individual'!D295)*1000000+COUNTIF('Detalle individual'!$C$5:$C$1000,"&lt;"&amp;'Detalle individual'!C295)*1000+COUNTIF('Detalle individual'!$B$5:$B$1000,"&lt;"&amp;'Detalle individual'!B295)+ROW()/10000,"")</f>
        <v/>
      </c>
      <c r="AK295" t="str">
        <f>IF(OR('Base Exámenes'!C295="",'Base Exámenes'!D295=""),"",IF(COUNTIF('Base Exámenes'!$C$5:C295,'Base Exámenes'!C295)=1,'Base Exámenes'!D295+ROW()/1000000000,""))</f>
        <v/>
      </c>
      <c r="AL295" t="str">
        <f>IF(OR('Base Exámenes'!C295="",'Base Exámenes'!E295=""),"",IF(COUNTIF('Base Exámenes'!$C$5:C295,'Base Exámenes'!C295)=1,'Base Exámenes'!E295+ROW()/1000000000,""))</f>
        <v/>
      </c>
      <c r="AM295" t="str">
        <f>IF(OR('Base Exámenes'!C295="",'Base Exámenes'!G295=""),"",IF(ROW()-4=MATCH('Base Exámenes'!C295&amp;"|"&amp;_xlfn.MAXIFS('Base Exámenes'!$G$5:$G$1000,'Base Exámenes'!$C$5:$C$1000,'Base Exámenes'!C295),'Base Exámenes'!$I$5:$I$1000,0),'Base Exámenes'!G295*1000000+(-1)*'Base Exámenes'!D295,""))</f>
        <v/>
      </c>
      <c r="AQ295" t="str">
        <f>IF('Base Exámenes'!C295="","",IF(COUNTIF('Base Exámenes'!$C$5:$C$1000,'Base Exámenes'!C295)&lt;2,"",MATCH('Base Exámenes'!C295,'Base Exámenes'!$C$5:$C$1000,0)*10000+ROW()))</f>
        <v/>
      </c>
    </row>
    <row r="296">
      <c r="Z296">
        <f>IF('Detalle individual'!A296="","",IF(AND(OR('Estado por Colaborador'!$D$4="Todas las gerencias",'Detalle individual'!D296='Estado por Colaborador'!$D$4),OR('Estado por Colaborador'!$D$5="Todos los departamentos",TRIM('Detalle individual'!C296)='Estado por Colaborador'!$D$5),OR('Estado por Colaborador'!$D$6="Todos",'Detalle individual'!F296='Estado por Colaborador'!$D$6)),IF('Detalle individual'!F296="Completado",30000000,IF('Detalle individual'!F296="Pendiente",0,15000000))+COUNTIF('Detalle individual'!$C$5:$C$1000,"&lt;"&amp;'Detalle individual'!C296)*10000+ROW(),""))</f>
        <v>38120296</v>
      </c>
      <c r="AB296">
        <f>IF('Detalle individual'!C296="","",IF(COUNTIF('Detalle individual'!$C$5:C296,'Detalle individual'!C296)=1,COUNTIF('Detalle individual'!$C$5:$C$1000,"&lt;"&amp;'Detalle individual'!C296),""))</f>
        <v>812</v>
      </c>
      <c r="AC296">
        <f>IF('Detalle individual'!D296="","",IF(COUNTIF('Detalle individual'!$D$5:D296,'Detalle individual'!D296)=1,COUNTIF('Detalle individual'!$D$5:$D$1000,"&lt;"&amp;'Detalle individual'!D296),""))</f>
        <v>710</v>
      </c>
      <c r="AH296" t="str">
        <f>IF('Detalle individual'!F296="Pendiente",COUNTIF('Detalle individual'!$D$5:$D$1000,"&lt;"&amp;'Detalle individual'!D296)*1000000+COUNTIF('Detalle individual'!$C$5:$C$1000,"&lt;"&amp;'Detalle individual'!C296)*1000+COUNTIF('Detalle individual'!$B$5:$B$1000,"&lt;"&amp;'Detalle individual'!B296)+ROW()/10000,"")</f>
        <v/>
      </c>
      <c r="AI296">
        <f>IF('Detalle individual'!F296="Completado",COUNTIF('Detalle individual'!$D$5:$D$1000,"&lt;"&amp;'Detalle individual'!D296)*1000000+COUNTIF('Detalle individual'!$C$5:$C$1000,"&lt;"&amp;'Detalle individual'!C296)*1000+COUNTIF('Detalle individual'!$B$5:$B$1000,"&lt;"&amp;'Detalle individual'!B296)+ROW()/10000,"")</f>
        <v>710812755.0296</v>
      </c>
      <c r="AJ296" t="str">
        <f>IF(AND('Detalle individual'!F296&lt;&gt;"",'Detalle individual'!F296&lt;&gt;"Completado",'Detalle individual'!F296&lt;&gt;"Pendiente"),COUNTIF('Detalle individual'!$D$5:$D$1000,"&lt;"&amp;'Detalle individual'!D296)*1000000+COUNTIF('Detalle individual'!$C$5:$C$1000,"&lt;"&amp;'Detalle individual'!C296)*1000+COUNTIF('Detalle individual'!$B$5:$B$1000,"&lt;"&amp;'Detalle individual'!B296)+ROW()/10000,"")</f>
        <v/>
      </c>
      <c r="AK296" t="str">
        <f>IF(OR('Base Exámenes'!C296="",'Base Exámenes'!D296=""),"",IF(COUNTIF('Base Exámenes'!$C$5:C296,'Base Exámenes'!C296)=1,'Base Exámenes'!D296+ROW()/1000000000,""))</f>
        <v/>
      </c>
      <c r="AL296" t="str">
        <f>IF(OR('Base Exámenes'!C296="",'Base Exámenes'!E296=""),"",IF(COUNTIF('Base Exámenes'!$C$5:C296,'Base Exámenes'!C296)=1,'Base Exámenes'!E296+ROW()/1000000000,""))</f>
        <v/>
      </c>
      <c r="AM296" t="str">
        <f>IF(OR('Base Exámenes'!C296="",'Base Exámenes'!G296=""),"",IF(ROW()-4=MATCH('Base Exámenes'!C296&amp;"|"&amp;_xlfn.MAXIFS('Base Exámenes'!$G$5:$G$1000,'Base Exámenes'!$C$5:$C$1000,'Base Exámenes'!C296),'Base Exámenes'!$I$5:$I$1000,0),'Base Exámenes'!G296*1000000+(-1)*'Base Exámenes'!D296,""))</f>
        <v/>
      </c>
      <c r="AQ296" t="str">
        <f>IF('Base Exámenes'!C296="","",IF(COUNTIF('Base Exámenes'!$C$5:$C$1000,'Base Exámenes'!C296)&lt;2,"",MATCH('Base Exámenes'!C296,'Base Exámenes'!$C$5:$C$1000,0)*10000+ROW()))</f>
        <v/>
      </c>
    </row>
    <row r="297">
      <c r="Z297">
        <f>IF('Detalle individual'!A297="","",IF(AND(OR('Estado por Colaborador'!$D$4="Todas las gerencias",'Detalle individual'!D297='Estado por Colaborador'!$D$4),OR('Estado por Colaborador'!$D$5="Todos los departamentos",TRIM('Detalle individual'!C297)='Estado por Colaborador'!$D$5),OR('Estado por Colaborador'!$D$6="Todos",'Detalle individual'!F297='Estado por Colaborador'!$D$6)),IF('Detalle individual'!F297="Completado",30000000,IF('Detalle individual'!F297="Pendiente",0,15000000))+COUNTIF('Detalle individual'!$C$5:$C$1000,"&lt;"&amp;'Detalle individual'!C297)*10000+ROW(),""))</f>
        <v>38320297</v>
      </c>
      <c r="AB297" t="str">
        <f>IF('Detalle individual'!C297="","",IF(COUNTIF('Detalle individual'!$C$5:C297,'Detalle individual'!C297)=1,COUNTIF('Detalle individual'!$C$5:$C$1000,"&lt;"&amp;'Detalle individual'!C297),""))</f>
        <v/>
      </c>
      <c r="AC297" t="str">
        <f>IF('Detalle individual'!D297="","",IF(COUNTIF('Detalle individual'!$D$5:D297,'Detalle individual'!D297)=1,COUNTIF('Detalle individual'!$D$5:$D$1000,"&lt;"&amp;'Detalle individual'!D297),""))</f>
        <v/>
      </c>
      <c r="AH297" t="str">
        <f>IF('Detalle individual'!F297="Pendiente",COUNTIF('Detalle individual'!$D$5:$D$1000,"&lt;"&amp;'Detalle individual'!D297)*1000000+COUNTIF('Detalle individual'!$C$5:$C$1000,"&lt;"&amp;'Detalle individual'!C297)*1000+COUNTIF('Detalle individual'!$B$5:$B$1000,"&lt;"&amp;'Detalle individual'!B297)+ROW()/10000,"")</f>
        <v/>
      </c>
      <c r="AI297">
        <f>IF('Detalle individual'!F297="Completado",COUNTIF('Detalle individual'!$D$5:$D$1000,"&lt;"&amp;'Detalle individual'!D297)*1000000+COUNTIF('Detalle individual'!$C$5:$C$1000,"&lt;"&amp;'Detalle individual'!C297)*1000+COUNTIF('Detalle individual'!$B$5:$B$1000,"&lt;"&amp;'Detalle individual'!B297)+ROW()/10000,"")</f>
        <v>764832832.0297</v>
      </c>
      <c r="AJ297" t="str">
        <f>IF(AND('Detalle individual'!F297&lt;&gt;"",'Detalle individual'!F297&lt;&gt;"Completado",'Detalle individual'!F297&lt;&gt;"Pendiente"),COUNTIF('Detalle individual'!$D$5:$D$1000,"&lt;"&amp;'Detalle individual'!D297)*1000000+COUNTIF('Detalle individual'!$C$5:$C$1000,"&lt;"&amp;'Detalle individual'!C297)*1000+COUNTIF('Detalle individual'!$B$5:$B$1000,"&lt;"&amp;'Detalle individual'!B297)+ROW()/10000,"")</f>
        <v/>
      </c>
      <c r="AK297" t="str">
        <f>IF(OR('Base Exámenes'!C297="",'Base Exámenes'!D297=""),"",IF(COUNTIF('Base Exámenes'!$C$5:C297,'Base Exámenes'!C297)=1,'Base Exámenes'!D297+ROW()/1000000000,""))</f>
        <v/>
      </c>
      <c r="AL297" t="str">
        <f>IF(OR('Base Exámenes'!C297="",'Base Exámenes'!E297=""),"",IF(COUNTIF('Base Exámenes'!$C$5:C297,'Base Exámenes'!C297)=1,'Base Exámenes'!E297+ROW()/1000000000,""))</f>
        <v/>
      </c>
      <c r="AM297" t="str">
        <f>IF(OR('Base Exámenes'!C297="",'Base Exámenes'!G297=""),"",IF(ROW()-4=MATCH('Base Exámenes'!C297&amp;"|"&amp;_xlfn.MAXIFS('Base Exámenes'!$G$5:$G$1000,'Base Exámenes'!$C$5:$C$1000,'Base Exámenes'!C297),'Base Exámenes'!$I$5:$I$1000,0),'Base Exámenes'!G297*1000000+(-1)*'Base Exámenes'!D297,""))</f>
        <v/>
      </c>
      <c r="AQ297" t="str">
        <f>IF('Base Exámenes'!C297="","",IF(COUNTIF('Base Exámenes'!$C$5:$C$1000,'Base Exámenes'!C297)&lt;2,"",MATCH('Base Exámenes'!C297,'Base Exámenes'!$C$5:$C$1000,0)*10000+ROW()))</f>
        <v/>
      </c>
    </row>
    <row r="298">
      <c r="Z298" t="str">
        <f>IF('Detalle individual'!A298="","",IF(AND(OR('Estado por Colaborador'!$D$4="Todas las gerencias",'Detalle individual'!D298='Estado por Colaborador'!$D$4),OR('Estado por Colaborador'!$D$5="Todos los departamentos",TRIM('Detalle individual'!C298)='Estado por Colaborador'!$D$5),OR('Estado por Colaborador'!$D$6="Todos",'Detalle individual'!F298='Estado por Colaborador'!$D$6)),IF('Detalle individual'!F298="Completado",30000000,IF('Detalle individual'!F298="Pendiente",0,15000000))+COUNTIF('Detalle individual'!$C$5:$C$1000,"&lt;"&amp;'Detalle individual'!C298)*10000+ROW(),""))</f>
        <v/>
      </c>
      <c r="AB298" t="str">
        <f>IF('Detalle individual'!C298="","",IF(COUNTIF('Detalle individual'!$C$5:C298,'Detalle individual'!C298)=1,COUNTIF('Detalle individual'!$C$5:$C$1000,"&lt;"&amp;'Detalle individual'!C298),""))</f>
        <v/>
      </c>
      <c r="AC298" t="str">
        <f>IF('Detalle individual'!D298="","",IF(COUNTIF('Detalle individual'!$D$5:D298,'Detalle individual'!D298)=1,COUNTIF('Detalle individual'!$D$5:$D$1000,"&lt;"&amp;'Detalle individual'!D298),""))</f>
        <v/>
      </c>
      <c r="AH298" t="str">
        <f>IF('Detalle individual'!F298="Pendiente",COUNTIF('Detalle individual'!$D$5:$D$1000,"&lt;"&amp;'Detalle individual'!D298)*1000000+COUNTIF('Detalle individual'!$C$5:$C$1000,"&lt;"&amp;'Detalle individual'!C298)*1000+COUNTIF('Detalle individual'!$B$5:$B$1000,"&lt;"&amp;'Detalle individual'!B298)+ROW()/10000,"")</f>
        <v/>
      </c>
      <c r="AI298" t="str">
        <f>IF('Detalle individual'!F298="Completado",COUNTIF('Detalle individual'!$D$5:$D$1000,"&lt;"&amp;'Detalle individual'!D298)*1000000+COUNTIF('Detalle individual'!$C$5:$C$1000,"&lt;"&amp;'Detalle individual'!C298)*1000+COUNTIF('Detalle individual'!$B$5:$B$1000,"&lt;"&amp;'Detalle individual'!B298)+ROW()/10000,"")</f>
        <v/>
      </c>
      <c r="AJ298" t="str">
        <f>IF(AND('Detalle individual'!F298&lt;&gt;"",'Detalle individual'!F298&lt;&gt;"Completado",'Detalle individual'!F298&lt;&gt;"Pendiente"),COUNTIF('Detalle individual'!$D$5:$D$1000,"&lt;"&amp;'Detalle individual'!D298)*1000000+COUNTIF('Detalle individual'!$C$5:$C$1000,"&lt;"&amp;'Detalle individual'!C298)*1000+COUNTIF('Detalle individual'!$B$5:$B$1000,"&lt;"&amp;'Detalle individual'!B298)+ROW()/10000,"")</f>
        <v/>
      </c>
      <c r="AK298" t="str">
        <f>IF(OR('Base Exámenes'!C298="",'Base Exámenes'!D298=""),"",IF(COUNTIF('Base Exámenes'!$C$5:C298,'Base Exámenes'!C298)=1,'Base Exámenes'!D298+ROW()/1000000000,""))</f>
        <v/>
      </c>
      <c r="AL298" t="str">
        <f>IF(OR('Base Exámenes'!C298="",'Base Exámenes'!E298=""),"",IF(COUNTIF('Base Exámenes'!$C$5:C298,'Base Exámenes'!C298)=1,'Base Exámenes'!E298+ROW()/1000000000,""))</f>
        <v/>
      </c>
      <c r="AM298" t="str">
        <f>IF(OR('Base Exámenes'!C298="",'Base Exámenes'!G298=""),"",IF(ROW()-4=MATCH('Base Exámenes'!C298&amp;"|"&amp;_xlfn.MAXIFS('Base Exámenes'!$G$5:$G$1000,'Base Exámenes'!$C$5:$C$1000,'Base Exámenes'!C298),'Base Exámenes'!$I$5:$I$1000,0),'Base Exámenes'!G298*1000000+(-1)*'Base Exámenes'!D298,""))</f>
        <v/>
      </c>
      <c r="AQ298" t="str">
        <f>IF('Base Exámenes'!C298="","",IF(COUNTIF('Base Exámenes'!$C$5:$C$1000,'Base Exámenes'!C298)&lt;2,"",MATCH('Base Exámenes'!C298,'Base Exámenes'!$C$5:$C$1000,0)*10000+ROW()))</f>
        <v/>
      </c>
    </row>
    <row r="299">
      <c r="Z299" t="str">
        <f>IF('Detalle individual'!A299="","",IF(AND(OR('Estado por Colaborador'!$D$4="Todas las gerencias",'Detalle individual'!D299='Estado por Colaborador'!$D$4),OR('Estado por Colaborador'!$D$5="Todos los departamentos",TRIM('Detalle individual'!C299)='Estado por Colaborador'!$D$5),OR('Estado por Colaborador'!$D$6="Todos",'Detalle individual'!F299='Estado por Colaborador'!$D$6)),IF('Detalle individual'!F299="Completado",30000000,IF('Detalle individual'!F299="Pendiente",0,15000000))+COUNTIF('Detalle individual'!$C$5:$C$1000,"&lt;"&amp;'Detalle individual'!C299)*10000+ROW(),""))</f>
        <v/>
      </c>
      <c r="AB299" t="str">
        <f>IF('Detalle individual'!C299="","",IF(COUNTIF('Detalle individual'!$C$5:C299,'Detalle individual'!C299)=1,COUNTIF('Detalle individual'!$C$5:$C$1000,"&lt;"&amp;'Detalle individual'!C299),""))</f>
        <v/>
      </c>
      <c r="AC299" t="str">
        <f>IF('Detalle individual'!D299="","",IF(COUNTIF('Detalle individual'!$D$5:D299,'Detalle individual'!D299)=1,COUNTIF('Detalle individual'!$D$5:$D$1000,"&lt;"&amp;'Detalle individual'!D299),""))</f>
        <v/>
      </c>
      <c r="AH299" t="str">
        <f>IF('Detalle individual'!F299="Pendiente",COUNTIF('Detalle individual'!$D$5:$D$1000,"&lt;"&amp;'Detalle individual'!D299)*1000000+COUNTIF('Detalle individual'!$C$5:$C$1000,"&lt;"&amp;'Detalle individual'!C299)*1000+COUNTIF('Detalle individual'!$B$5:$B$1000,"&lt;"&amp;'Detalle individual'!B299)+ROW()/10000,"")</f>
        <v/>
      </c>
      <c r="AI299" t="str">
        <f>IF('Detalle individual'!F299="Completado",COUNTIF('Detalle individual'!$D$5:$D$1000,"&lt;"&amp;'Detalle individual'!D299)*1000000+COUNTIF('Detalle individual'!$C$5:$C$1000,"&lt;"&amp;'Detalle individual'!C299)*1000+COUNTIF('Detalle individual'!$B$5:$B$1000,"&lt;"&amp;'Detalle individual'!B299)+ROW()/10000,"")</f>
        <v/>
      </c>
      <c r="AJ299" t="str">
        <f>IF(AND('Detalle individual'!F299&lt;&gt;"",'Detalle individual'!F299&lt;&gt;"Completado",'Detalle individual'!F299&lt;&gt;"Pendiente"),COUNTIF('Detalle individual'!$D$5:$D$1000,"&lt;"&amp;'Detalle individual'!D299)*1000000+COUNTIF('Detalle individual'!$C$5:$C$1000,"&lt;"&amp;'Detalle individual'!C299)*1000+COUNTIF('Detalle individual'!$B$5:$B$1000,"&lt;"&amp;'Detalle individual'!B299)+ROW()/10000,"")</f>
        <v/>
      </c>
      <c r="AK299" t="str">
        <f>IF(OR('Base Exámenes'!C299="",'Base Exámenes'!D299=""),"",IF(COUNTIF('Base Exámenes'!$C$5:C299,'Base Exámenes'!C299)=1,'Base Exámenes'!D299+ROW()/1000000000,""))</f>
        <v/>
      </c>
      <c r="AL299" t="str">
        <f>IF(OR('Base Exámenes'!C299="",'Base Exámenes'!E299=""),"",IF(COUNTIF('Base Exámenes'!$C$5:C299,'Base Exámenes'!C299)=1,'Base Exámenes'!E299+ROW()/1000000000,""))</f>
        <v/>
      </c>
      <c r="AM299" t="str">
        <f>IF(OR('Base Exámenes'!C299="",'Base Exámenes'!G299=""),"",IF(ROW()-4=MATCH('Base Exámenes'!C299&amp;"|"&amp;_xlfn.MAXIFS('Base Exámenes'!$G$5:$G$1000,'Base Exámenes'!$C$5:$C$1000,'Base Exámenes'!C299),'Base Exámenes'!$I$5:$I$1000,0),'Base Exámenes'!G299*1000000+(-1)*'Base Exámenes'!D299,""))</f>
        <v/>
      </c>
      <c r="AQ299" t="str">
        <f>IF('Base Exámenes'!C299="","",IF(COUNTIF('Base Exámenes'!$C$5:$C$1000,'Base Exámenes'!C299)&lt;2,"",MATCH('Base Exámenes'!C299,'Base Exámenes'!$C$5:$C$1000,0)*10000+ROW()))</f>
        <v/>
      </c>
    </row>
    <row r="300">
      <c r="Z300" t="str">
        <f>IF('Detalle individual'!A300="","",IF(AND(OR('Estado por Colaborador'!$D$4="Todas las gerencias",'Detalle individual'!D300='Estado por Colaborador'!$D$4),OR('Estado por Colaborador'!$D$5="Todos los departamentos",TRIM('Detalle individual'!C300)='Estado por Colaborador'!$D$5),OR('Estado por Colaborador'!$D$6="Todos",'Detalle individual'!F300='Estado por Colaborador'!$D$6)),IF('Detalle individual'!F300="Completado",30000000,IF('Detalle individual'!F300="Pendiente",0,15000000))+COUNTIF('Detalle individual'!$C$5:$C$1000,"&lt;"&amp;'Detalle individual'!C300)*10000+ROW(),""))</f>
        <v/>
      </c>
      <c r="AB300" t="str">
        <f>IF('Detalle individual'!C300="","",IF(COUNTIF('Detalle individual'!$C$5:C300,'Detalle individual'!C300)=1,COUNTIF('Detalle individual'!$C$5:$C$1000,"&lt;"&amp;'Detalle individual'!C300),""))</f>
        <v/>
      </c>
      <c r="AC300" t="str">
        <f>IF('Detalle individual'!D300="","",IF(COUNTIF('Detalle individual'!$D$5:D300,'Detalle individual'!D300)=1,COUNTIF('Detalle individual'!$D$5:$D$1000,"&lt;"&amp;'Detalle individual'!D300),""))</f>
        <v/>
      </c>
      <c r="AH300" t="str">
        <f>IF('Detalle individual'!F300="Pendiente",COUNTIF('Detalle individual'!$D$5:$D$1000,"&lt;"&amp;'Detalle individual'!D300)*1000000+COUNTIF('Detalle individual'!$C$5:$C$1000,"&lt;"&amp;'Detalle individual'!C300)*1000+COUNTIF('Detalle individual'!$B$5:$B$1000,"&lt;"&amp;'Detalle individual'!B300)+ROW()/10000,"")</f>
        <v/>
      </c>
      <c r="AI300" t="str">
        <f>IF('Detalle individual'!F300="Completado",COUNTIF('Detalle individual'!$D$5:$D$1000,"&lt;"&amp;'Detalle individual'!D300)*1000000+COUNTIF('Detalle individual'!$C$5:$C$1000,"&lt;"&amp;'Detalle individual'!C300)*1000+COUNTIF('Detalle individual'!$B$5:$B$1000,"&lt;"&amp;'Detalle individual'!B300)+ROW()/10000,"")</f>
        <v/>
      </c>
      <c r="AJ300" t="str">
        <f>IF(AND('Detalle individual'!F300&lt;&gt;"",'Detalle individual'!F300&lt;&gt;"Completado",'Detalle individual'!F300&lt;&gt;"Pendiente"),COUNTIF('Detalle individual'!$D$5:$D$1000,"&lt;"&amp;'Detalle individual'!D300)*1000000+COUNTIF('Detalle individual'!$C$5:$C$1000,"&lt;"&amp;'Detalle individual'!C300)*1000+COUNTIF('Detalle individual'!$B$5:$B$1000,"&lt;"&amp;'Detalle individual'!B300)+ROW()/10000,"")</f>
        <v/>
      </c>
      <c r="AK300" t="str">
        <f>IF(OR('Base Exámenes'!C300="",'Base Exámenes'!D300=""),"",IF(COUNTIF('Base Exámenes'!$C$5:C300,'Base Exámenes'!C300)=1,'Base Exámenes'!D300+ROW()/1000000000,""))</f>
        <v/>
      </c>
      <c r="AL300" t="str">
        <f>IF(OR('Base Exámenes'!C300="",'Base Exámenes'!E300=""),"",IF(COUNTIF('Base Exámenes'!$C$5:C300,'Base Exámenes'!C300)=1,'Base Exámenes'!E300+ROW()/1000000000,""))</f>
        <v/>
      </c>
      <c r="AM300" t="str">
        <f>IF(OR('Base Exámenes'!C300="",'Base Exámenes'!G300=""),"",IF(ROW()-4=MATCH('Base Exámenes'!C300&amp;"|"&amp;_xlfn.MAXIFS('Base Exámenes'!$G$5:$G$1000,'Base Exámenes'!$C$5:$C$1000,'Base Exámenes'!C300),'Base Exámenes'!$I$5:$I$1000,0),'Base Exámenes'!G300*1000000+(-1)*'Base Exámenes'!D300,""))</f>
        <v/>
      </c>
      <c r="AQ300" t="str">
        <f>IF('Base Exámenes'!C300="","",IF(COUNTIF('Base Exámenes'!$C$5:$C$1000,'Base Exámenes'!C300)&lt;2,"",MATCH('Base Exámenes'!C300,'Base Exámenes'!$C$5:$C$1000,0)*10000+ROW()))</f>
        <v/>
      </c>
    </row>
    <row r="301">
      <c r="Z301" t="str">
        <f>IF('Detalle individual'!A301="","",IF(AND(OR('Estado por Colaborador'!$D$4="Todas las gerencias",'Detalle individual'!D301='Estado por Colaborador'!$D$4),OR('Estado por Colaborador'!$D$5="Todos los departamentos",TRIM('Detalle individual'!C301)='Estado por Colaborador'!$D$5),OR('Estado por Colaborador'!$D$6="Todos",'Detalle individual'!F301='Estado por Colaborador'!$D$6)),IF('Detalle individual'!F301="Completado",30000000,IF('Detalle individual'!F301="Pendiente",0,15000000))+COUNTIF('Detalle individual'!$C$5:$C$1000,"&lt;"&amp;'Detalle individual'!C301)*10000+ROW(),""))</f>
        <v/>
      </c>
      <c r="AB301" t="str">
        <f>IF('Detalle individual'!C301="","",IF(COUNTIF('Detalle individual'!$C$5:C301,'Detalle individual'!C301)=1,COUNTIF('Detalle individual'!$C$5:$C$1000,"&lt;"&amp;'Detalle individual'!C301),""))</f>
        <v/>
      </c>
      <c r="AC301" t="str">
        <f>IF('Detalle individual'!D301="","",IF(COUNTIF('Detalle individual'!$D$5:D301,'Detalle individual'!D301)=1,COUNTIF('Detalle individual'!$D$5:$D$1000,"&lt;"&amp;'Detalle individual'!D301),""))</f>
        <v/>
      </c>
      <c r="AH301" t="str">
        <f>IF('Detalle individual'!F301="Pendiente",COUNTIF('Detalle individual'!$D$5:$D$1000,"&lt;"&amp;'Detalle individual'!D301)*1000000+COUNTIF('Detalle individual'!$C$5:$C$1000,"&lt;"&amp;'Detalle individual'!C301)*1000+COUNTIF('Detalle individual'!$B$5:$B$1000,"&lt;"&amp;'Detalle individual'!B301)+ROW()/10000,"")</f>
        <v/>
      </c>
      <c r="AI301" t="str">
        <f>IF('Detalle individual'!F301="Completado",COUNTIF('Detalle individual'!$D$5:$D$1000,"&lt;"&amp;'Detalle individual'!D301)*1000000+COUNTIF('Detalle individual'!$C$5:$C$1000,"&lt;"&amp;'Detalle individual'!C301)*1000+COUNTIF('Detalle individual'!$B$5:$B$1000,"&lt;"&amp;'Detalle individual'!B301)+ROW()/10000,"")</f>
        <v/>
      </c>
      <c r="AJ301" t="str">
        <f>IF(AND('Detalle individual'!F301&lt;&gt;"",'Detalle individual'!F301&lt;&gt;"Completado",'Detalle individual'!F301&lt;&gt;"Pendiente"),COUNTIF('Detalle individual'!$D$5:$D$1000,"&lt;"&amp;'Detalle individual'!D301)*1000000+COUNTIF('Detalle individual'!$C$5:$C$1000,"&lt;"&amp;'Detalle individual'!C301)*1000+COUNTIF('Detalle individual'!$B$5:$B$1000,"&lt;"&amp;'Detalle individual'!B301)+ROW()/10000,"")</f>
        <v/>
      </c>
      <c r="AK301" t="str">
        <f>IF(OR('Base Exámenes'!C301="",'Base Exámenes'!D301=""),"",IF(COUNTIF('Base Exámenes'!$C$5:C301,'Base Exámenes'!C301)=1,'Base Exámenes'!D301+ROW()/1000000000,""))</f>
        <v/>
      </c>
      <c r="AL301" t="str">
        <f>IF(OR('Base Exámenes'!C301="",'Base Exámenes'!E301=""),"",IF(COUNTIF('Base Exámenes'!$C$5:C301,'Base Exámenes'!C301)=1,'Base Exámenes'!E301+ROW()/1000000000,""))</f>
        <v/>
      </c>
      <c r="AM301" t="str">
        <f>IF(OR('Base Exámenes'!C301="",'Base Exámenes'!G301=""),"",IF(ROW()-4=MATCH('Base Exámenes'!C301&amp;"|"&amp;_xlfn.MAXIFS('Base Exámenes'!$G$5:$G$1000,'Base Exámenes'!$C$5:$C$1000,'Base Exámenes'!C301),'Base Exámenes'!$I$5:$I$1000,0),'Base Exámenes'!G301*1000000+(-1)*'Base Exámenes'!D301,""))</f>
        <v/>
      </c>
      <c r="AQ301" t="str">
        <f>IF('Base Exámenes'!C301="","",IF(COUNTIF('Base Exámenes'!$C$5:$C$1000,'Base Exámenes'!C301)&lt;2,"",MATCH('Base Exámenes'!C301,'Base Exámenes'!$C$5:$C$1000,0)*10000+ROW()))</f>
        <v/>
      </c>
    </row>
    <row r="302">
      <c r="Z302" t="str">
        <f>IF('Detalle individual'!A302="","",IF(AND(OR('Estado por Colaborador'!$D$4="Todas las gerencias",'Detalle individual'!D302='Estado por Colaborador'!$D$4),OR('Estado por Colaborador'!$D$5="Todos los departamentos",TRIM('Detalle individual'!C302)='Estado por Colaborador'!$D$5),OR('Estado por Colaborador'!$D$6="Todos",'Detalle individual'!F302='Estado por Colaborador'!$D$6)),IF('Detalle individual'!F302="Completado",30000000,IF('Detalle individual'!F302="Pendiente",0,15000000))+COUNTIF('Detalle individual'!$C$5:$C$1000,"&lt;"&amp;'Detalle individual'!C302)*10000+ROW(),""))</f>
        <v/>
      </c>
      <c r="AB302" t="str">
        <f>IF('Detalle individual'!C302="","",IF(COUNTIF('Detalle individual'!$C$5:C302,'Detalle individual'!C302)=1,COUNTIF('Detalle individual'!$C$5:$C$1000,"&lt;"&amp;'Detalle individual'!C302),""))</f>
        <v/>
      </c>
      <c r="AC302" t="str">
        <f>IF('Detalle individual'!D302="","",IF(COUNTIF('Detalle individual'!$D$5:D302,'Detalle individual'!D302)=1,COUNTIF('Detalle individual'!$D$5:$D$1000,"&lt;"&amp;'Detalle individual'!D302),""))</f>
        <v/>
      </c>
      <c r="AH302" t="str">
        <f>IF('Detalle individual'!F302="Pendiente",COUNTIF('Detalle individual'!$D$5:$D$1000,"&lt;"&amp;'Detalle individual'!D302)*1000000+COUNTIF('Detalle individual'!$C$5:$C$1000,"&lt;"&amp;'Detalle individual'!C302)*1000+COUNTIF('Detalle individual'!$B$5:$B$1000,"&lt;"&amp;'Detalle individual'!B302)+ROW()/10000,"")</f>
        <v/>
      </c>
      <c r="AI302" t="str">
        <f>IF('Detalle individual'!F302="Completado",COUNTIF('Detalle individual'!$D$5:$D$1000,"&lt;"&amp;'Detalle individual'!D302)*1000000+COUNTIF('Detalle individual'!$C$5:$C$1000,"&lt;"&amp;'Detalle individual'!C302)*1000+COUNTIF('Detalle individual'!$B$5:$B$1000,"&lt;"&amp;'Detalle individual'!B302)+ROW()/10000,"")</f>
        <v/>
      </c>
      <c r="AJ302" t="str">
        <f>IF(AND('Detalle individual'!F302&lt;&gt;"",'Detalle individual'!F302&lt;&gt;"Completado",'Detalle individual'!F302&lt;&gt;"Pendiente"),COUNTIF('Detalle individual'!$D$5:$D$1000,"&lt;"&amp;'Detalle individual'!D302)*1000000+COUNTIF('Detalle individual'!$C$5:$C$1000,"&lt;"&amp;'Detalle individual'!C302)*1000+COUNTIF('Detalle individual'!$B$5:$B$1000,"&lt;"&amp;'Detalle individual'!B302)+ROW()/10000,"")</f>
        <v/>
      </c>
      <c r="AK302" t="str">
        <f>IF(OR('Base Exámenes'!C302="",'Base Exámenes'!D302=""),"",IF(COUNTIF('Base Exámenes'!$C$5:C302,'Base Exámenes'!C302)=1,'Base Exámenes'!D302+ROW()/1000000000,""))</f>
        <v/>
      </c>
      <c r="AL302" t="str">
        <f>IF(OR('Base Exámenes'!C302="",'Base Exámenes'!E302=""),"",IF(COUNTIF('Base Exámenes'!$C$5:C302,'Base Exámenes'!C302)=1,'Base Exámenes'!E302+ROW()/1000000000,""))</f>
        <v/>
      </c>
      <c r="AM302" t="str">
        <f>IF(OR('Base Exámenes'!C302="",'Base Exámenes'!G302=""),"",IF(ROW()-4=MATCH('Base Exámenes'!C302&amp;"|"&amp;_xlfn.MAXIFS('Base Exámenes'!$G$5:$G$1000,'Base Exámenes'!$C$5:$C$1000,'Base Exámenes'!C302),'Base Exámenes'!$I$5:$I$1000,0),'Base Exámenes'!G302*1000000+(-1)*'Base Exámenes'!D302,""))</f>
        <v/>
      </c>
      <c r="AQ302" t="str">
        <f>IF('Base Exámenes'!C302="","",IF(COUNTIF('Base Exámenes'!$C$5:$C$1000,'Base Exámenes'!C302)&lt;2,"",MATCH('Base Exámenes'!C302,'Base Exámenes'!$C$5:$C$1000,0)*10000+ROW()))</f>
        <v/>
      </c>
    </row>
    <row r="303">
      <c r="Z303" t="str">
        <f>IF('Detalle individual'!A303="","",IF(AND(OR('Estado por Colaborador'!$D$4="Todas las gerencias",'Detalle individual'!D303='Estado por Colaborador'!$D$4),OR('Estado por Colaborador'!$D$5="Todos los departamentos",TRIM('Detalle individual'!C303)='Estado por Colaborador'!$D$5),OR('Estado por Colaborador'!$D$6="Todos",'Detalle individual'!F303='Estado por Colaborador'!$D$6)),IF('Detalle individual'!F303="Completado",30000000,IF('Detalle individual'!F303="Pendiente",0,15000000))+COUNTIF('Detalle individual'!$C$5:$C$1000,"&lt;"&amp;'Detalle individual'!C303)*10000+ROW(),""))</f>
        <v/>
      </c>
      <c r="AB303" t="str">
        <f>IF('Detalle individual'!C303="","",IF(COUNTIF('Detalle individual'!$C$5:C303,'Detalle individual'!C303)=1,COUNTIF('Detalle individual'!$C$5:$C$1000,"&lt;"&amp;'Detalle individual'!C303),""))</f>
        <v/>
      </c>
      <c r="AC303" t="str">
        <f>IF('Detalle individual'!D303="","",IF(COUNTIF('Detalle individual'!$D$5:D303,'Detalle individual'!D303)=1,COUNTIF('Detalle individual'!$D$5:$D$1000,"&lt;"&amp;'Detalle individual'!D303),""))</f>
        <v/>
      </c>
      <c r="AH303" t="str">
        <f>IF('Detalle individual'!F303="Pendiente",COUNTIF('Detalle individual'!$D$5:$D$1000,"&lt;"&amp;'Detalle individual'!D303)*1000000+COUNTIF('Detalle individual'!$C$5:$C$1000,"&lt;"&amp;'Detalle individual'!C303)*1000+COUNTIF('Detalle individual'!$B$5:$B$1000,"&lt;"&amp;'Detalle individual'!B303)+ROW()/10000,"")</f>
        <v/>
      </c>
      <c r="AI303" t="str">
        <f>IF('Detalle individual'!F303="Completado",COUNTIF('Detalle individual'!$D$5:$D$1000,"&lt;"&amp;'Detalle individual'!D303)*1000000+COUNTIF('Detalle individual'!$C$5:$C$1000,"&lt;"&amp;'Detalle individual'!C303)*1000+COUNTIF('Detalle individual'!$B$5:$B$1000,"&lt;"&amp;'Detalle individual'!B303)+ROW()/10000,"")</f>
        <v/>
      </c>
      <c r="AJ303" t="str">
        <f>IF(AND('Detalle individual'!F303&lt;&gt;"",'Detalle individual'!F303&lt;&gt;"Completado",'Detalle individual'!F303&lt;&gt;"Pendiente"),COUNTIF('Detalle individual'!$D$5:$D$1000,"&lt;"&amp;'Detalle individual'!D303)*1000000+COUNTIF('Detalle individual'!$C$5:$C$1000,"&lt;"&amp;'Detalle individual'!C303)*1000+COUNTIF('Detalle individual'!$B$5:$B$1000,"&lt;"&amp;'Detalle individual'!B303)+ROW()/10000,"")</f>
        <v/>
      </c>
      <c r="AK303" t="str">
        <f>IF(OR('Base Exámenes'!C303="",'Base Exámenes'!D303=""),"",IF(COUNTIF('Base Exámenes'!$C$5:C303,'Base Exámenes'!C303)=1,'Base Exámenes'!D303+ROW()/1000000000,""))</f>
        <v/>
      </c>
      <c r="AL303" t="str">
        <f>IF(OR('Base Exámenes'!C303="",'Base Exámenes'!E303=""),"",IF(COUNTIF('Base Exámenes'!$C$5:C303,'Base Exámenes'!C303)=1,'Base Exámenes'!E303+ROW()/1000000000,""))</f>
        <v/>
      </c>
      <c r="AM303" t="str">
        <f>IF(OR('Base Exámenes'!C303="",'Base Exámenes'!G303=""),"",IF(ROW()-4=MATCH('Base Exámenes'!C303&amp;"|"&amp;_xlfn.MAXIFS('Base Exámenes'!$G$5:$G$1000,'Base Exámenes'!$C$5:$C$1000,'Base Exámenes'!C303),'Base Exámenes'!$I$5:$I$1000,0),'Base Exámenes'!G303*1000000+(-1)*'Base Exámenes'!D303,""))</f>
        <v/>
      </c>
      <c r="AQ303" t="str">
        <f>IF('Base Exámenes'!C303="","",IF(COUNTIF('Base Exámenes'!$C$5:$C$1000,'Base Exámenes'!C303)&lt;2,"",MATCH('Base Exámenes'!C303,'Base Exámenes'!$C$5:$C$1000,0)*10000+ROW()))</f>
        <v/>
      </c>
    </row>
    <row r="304">
      <c r="Z304" t="str">
        <f>IF('Detalle individual'!A304="","",IF(AND(OR('Estado por Colaborador'!$D$4="Todas las gerencias",'Detalle individual'!D304='Estado por Colaborador'!$D$4),OR('Estado por Colaborador'!$D$5="Todos los departamentos",TRIM('Detalle individual'!C304)='Estado por Colaborador'!$D$5),OR('Estado por Colaborador'!$D$6="Todos",'Detalle individual'!F304='Estado por Colaborador'!$D$6)),IF('Detalle individual'!F304="Completado",30000000,IF('Detalle individual'!F304="Pendiente",0,15000000))+COUNTIF('Detalle individual'!$C$5:$C$1000,"&lt;"&amp;'Detalle individual'!C304)*10000+ROW(),""))</f>
        <v/>
      </c>
      <c r="AB304" t="str">
        <f>IF('Detalle individual'!C304="","",IF(COUNTIF('Detalle individual'!$C$5:C304,'Detalle individual'!C304)=1,COUNTIF('Detalle individual'!$C$5:$C$1000,"&lt;"&amp;'Detalle individual'!C304),""))</f>
        <v/>
      </c>
      <c r="AC304" t="str">
        <f>IF('Detalle individual'!D304="","",IF(COUNTIF('Detalle individual'!$D$5:D304,'Detalle individual'!D304)=1,COUNTIF('Detalle individual'!$D$5:$D$1000,"&lt;"&amp;'Detalle individual'!D304),""))</f>
        <v/>
      </c>
      <c r="AH304" t="str">
        <f>IF('Detalle individual'!F304="Pendiente",COUNTIF('Detalle individual'!$D$5:$D$1000,"&lt;"&amp;'Detalle individual'!D304)*1000000+COUNTIF('Detalle individual'!$C$5:$C$1000,"&lt;"&amp;'Detalle individual'!C304)*1000+COUNTIF('Detalle individual'!$B$5:$B$1000,"&lt;"&amp;'Detalle individual'!B304)+ROW()/10000,"")</f>
        <v/>
      </c>
      <c r="AI304" t="str">
        <f>IF('Detalle individual'!F304="Completado",COUNTIF('Detalle individual'!$D$5:$D$1000,"&lt;"&amp;'Detalle individual'!D304)*1000000+COUNTIF('Detalle individual'!$C$5:$C$1000,"&lt;"&amp;'Detalle individual'!C304)*1000+COUNTIF('Detalle individual'!$B$5:$B$1000,"&lt;"&amp;'Detalle individual'!B304)+ROW()/10000,"")</f>
        <v/>
      </c>
      <c r="AJ304" t="str">
        <f>IF(AND('Detalle individual'!F304&lt;&gt;"",'Detalle individual'!F304&lt;&gt;"Completado",'Detalle individual'!F304&lt;&gt;"Pendiente"),COUNTIF('Detalle individual'!$D$5:$D$1000,"&lt;"&amp;'Detalle individual'!D304)*1000000+COUNTIF('Detalle individual'!$C$5:$C$1000,"&lt;"&amp;'Detalle individual'!C304)*1000+COUNTIF('Detalle individual'!$B$5:$B$1000,"&lt;"&amp;'Detalle individual'!B304)+ROW()/10000,"")</f>
        <v/>
      </c>
      <c r="AK304" t="str">
        <f>IF(OR('Base Exámenes'!C304="",'Base Exámenes'!D304=""),"",IF(COUNTIF('Base Exámenes'!$C$5:C304,'Base Exámenes'!C304)=1,'Base Exámenes'!D304+ROW()/1000000000,""))</f>
        <v/>
      </c>
      <c r="AL304" t="str">
        <f>IF(OR('Base Exámenes'!C304="",'Base Exámenes'!E304=""),"",IF(COUNTIF('Base Exámenes'!$C$5:C304,'Base Exámenes'!C304)=1,'Base Exámenes'!E304+ROW()/1000000000,""))</f>
        <v/>
      </c>
      <c r="AM304" t="str">
        <f>IF(OR('Base Exámenes'!C304="",'Base Exámenes'!G304=""),"",IF(ROW()-4=MATCH('Base Exámenes'!C304&amp;"|"&amp;_xlfn.MAXIFS('Base Exámenes'!$G$5:$G$1000,'Base Exámenes'!$C$5:$C$1000,'Base Exámenes'!C304),'Base Exámenes'!$I$5:$I$1000,0),'Base Exámenes'!G304*1000000+(-1)*'Base Exámenes'!D304,""))</f>
        <v/>
      </c>
      <c r="AQ304" t="str">
        <f>IF('Base Exámenes'!C304="","",IF(COUNTIF('Base Exámenes'!$C$5:$C$1000,'Base Exámenes'!C304)&lt;2,"",MATCH('Base Exámenes'!C304,'Base Exámenes'!$C$5:$C$1000,0)*10000+ROW()))</f>
        <v/>
      </c>
    </row>
    <row r="305">
      <c r="Z305" t="str">
        <f>IF('Detalle individual'!A305="","",IF(AND(OR('Estado por Colaborador'!$D$4="Todas las gerencias",'Detalle individual'!D305='Estado por Colaborador'!$D$4),OR('Estado por Colaborador'!$D$5="Todos los departamentos",TRIM('Detalle individual'!C305)='Estado por Colaborador'!$D$5),OR('Estado por Colaborador'!$D$6="Todos",'Detalle individual'!F305='Estado por Colaborador'!$D$6)),IF('Detalle individual'!F305="Completado",30000000,IF('Detalle individual'!F305="Pendiente",0,15000000))+COUNTIF('Detalle individual'!$C$5:$C$1000,"&lt;"&amp;'Detalle individual'!C305)*10000+ROW(),""))</f>
        <v/>
      </c>
      <c r="AB305" t="str">
        <f>IF('Detalle individual'!C305="","",IF(COUNTIF('Detalle individual'!$C$5:C305,'Detalle individual'!C305)=1,COUNTIF('Detalle individual'!$C$5:$C$1000,"&lt;"&amp;'Detalle individual'!C305),""))</f>
        <v/>
      </c>
      <c r="AC305" t="str">
        <f>IF('Detalle individual'!D305="","",IF(COUNTIF('Detalle individual'!$D$5:D305,'Detalle individual'!D305)=1,COUNTIF('Detalle individual'!$D$5:$D$1000,"&lt;"&amp;'Detalle individual'!D305),""))</f>
        <v/>
      </c>
      <c r="AH305" t="str">
        <f>IF('Detalle individual'!F305="Pendiente",COUNTIF('Detalle individual'!$D$5:$D$1000,"&lt;"&amp;'Detalle individual'!D305)*1000000+COUNTIF('Detalle individual'!$C$5:$C$1000,"&lt;"&amp;'Detalle individual'!C305)*1000+COUNTIF('Detalle individual'!$B$5:$B$1000,"&lt;"&amp;'Detalle individual'!B305)+ROW()/10000,"")</f>
        <v/>
      </c>
      <c r="AI305" t="str">
        <f>IF('Detalle individual'!F305="Completado",COUNTIF('Detalle individual'!$D$5:$D$1000,"&lt;"&amp;'Detalle individual'!D305)*1000000+COUNTIF('Detalle individual'!$C$5:$C$1000,"&lt;"&amp;'Detalle individual'!C305)*1000+COUNTIF('Detalle individual'!$B$5:$B$1000,"&lt;"&amp;'Detalle individual'!B305)+ROW()/10000,"")</f>
        <v/>
      </c>
      <c r="AJ305" t="str">
        <f>IF(AND('Detalle individual'!F305&lt;&gt;"",'Detalle individual'!F305&lt;&gt;"Completado",'Detalle individual'!F305&lt;&gt;"Pendiente"),COUNTIF('Detalle individual'!$D$5:$D$1000,"&lt;"&amp;'Detalle individual'!D305)*1000000+COUNTIF('Detalle individual'!$C$5:$C$1000,"&lt;"&amp;'Detalle individual'!C305)*1000+COUNTIF('Detalle individual'!$B$5:$B$1000,"&lt;"&amp;'Detalle individual'!B305)+ROW()/10000,"")</f>
        <v/>
      </c>
      <c r="AK305" t="str">
        <f>IF(OR('Base Exámenes'!C305="",'Base Exámenes'!D305=""),"",IF(COUNTIF('Base Exámenes'!$C$5:C305,'Base Exámenes'!C305)=1,'Base Exámenes'!D305+ROW()/1000000000,""))</f>
        <v/>
      </c>
      <c r="AL305" t="str">
        <f>IF(OR('Base Exámenes'!C305="",'Base Exámenes'!E305=""),"",IF(COUNTIF('Base Exámenes'!$C$5:C305,'Base Exámenes'!C305)=1,'Base Exámenes'!E305+ROW()/1000000000,""))</f>
        <v/>
      </c>
      <c r="AM305" t="str">
        <f>IF(OR('Base Exámenes'!C305="",'Base Exámenes'!G305=""),"",IF(ROW()-4=MATCH('Base Exámenes'!C305&amp;"|"&amp;_xlfn.MAXIFS('Base Exámenes'!$G$5:$G$1000,'Base Exámenes'!$C$5:$C$1000,'Base Exámenes'!C305),'Base Exámenes'!$I$5:$I$1000,0),'Base Exámenes'!G305*1000000+(-1)*'Base Exámenes'!D305,""))</f>
        <v/>
      </c>
      <c r="AQ305" t="str">
        <f>IF('Base Exámenes'!C305="","",IF(COUNTIF('Base Exámenes'!$C$5:$C$1000,'Base Exámenes'!C305)&lt;2,"",MATCH('Base Exámenes'!C305,'Base Exámenes'!$C$5:$C$1000,0)*10000+ROW()))</f>
        <v/>
      </c>
    </row>
    <row r="306">
      <c r="Z306" t="str">
        <f>IF('Detalle individual'!A306="","",IF(AND(OR('Estado por Colaborador'!$D$4="Todas las gerencias",'Detalle individual'!D306='Estado por Colaborador'!$D$4),OR('Estado por Colaborador'!$D$5="Todos los departamentos",TRIM('Detalle individual'!C306)='Estado por Colaborador'!$D$5),OR('Estado por Colaborador'!$D$6="Todos",'Detalle individual'!F306='Estado por Colaborador'!$D$6)),IF('Detalle individual'!F306="Completado",30000000,IF('Detalle individual'!F306="Pendiente",0,15000000))+COUNTIF('Detalle individual'!$C$5:$C$1000,"&lt;"&amp;'Detalle individual'!C306)*10000+ROW(),""))</f>
        <v/>
      </c>
      <c r="AB306" t="str">
        <f>IF('Detalle individual'!C306="","",IF(COUNTIF('Detalle individual'!$C$5:C306,'Detalle individual'!C306)=1,COUNTIF('Detalle individual'!$C$5:$C$1000,"&lt;"&amp;'Detalle individual'!C306),""))</f>
        <v/>
      </c>
      <c r="AC306" t="str">
        <f>IF('Detalle individual'!D306="","",IF(COUNTIF('Detalle individual'!$D$5:D306,'Detalle individual'!D306)=1,COUNTIF('Detalle individual'!$D$5:$D$1000,"&lt;"&amp;'Detalle individual'!D306),""))</f>
        <v/>
      </c>
      <c r="AH306" t="str">
        <f>IF('Detalle individual'!F306="Pendiente",COUNTIF('Detalle individual'!$D$5:$D$1000,"&lt;"&amp;'Detalle individual'!D306)*1000000+COUNTIF('Detalle individual'!$C$5:$C$1000,"&lt;"&amp;'Detalle individual'!C306)*1000+COUNTIF('Detalle individual'!$B$5:$B$1000,"&lt;"&amp;'Detalle individual'!B306)+ROW()/10000,"")</f>
        <v/>
      </c>
      <c r="AI306" t="str">
        <f>IF('Detalle individual'!F306="Completado",COUNTIF('Detalle individual'!$D$5:$D$1000,"&lt;"&amp;'Detalle individual'!D306)*1000000+COUNTIF('Detalle individual'!$C$5:$C$1000,"&lt;"&amp;'Detalle individual'!C306)*1000+COUNTIF('Detalle individual'!$B$5:$B$1000,"&lt;"&amp;'Detalle individual'!B306)+ROW()/10000,"")</f>
        <v/>
      </c>
      <c r="AJ306" t="str">
        <f>IF(AND('Detalle individual'!F306&lt;&gt;"",'Detalle individual'!F306&lt;&gt;"Completado",'Detalle individual'!F306&lt;&gt;"Pendiente"),COUNTIF('Detalle individual'!$D$5:$D$1000,"&lt;"&amp;'Detalle individual'!D306)*1000000+COUNTIF('Detalle individual'!$C$5:$C$1000,"&lt;"&amp;'Detalle individual'!C306)*1000+COUNTIF('Detalle individual'!$B$5:$B$1000,"&lt;"&amp;'Detalle individual'!B306)+ROW()/10000,"")</f>
        <v/>
      </c>
      <c r="AK306" t="str">
        <f>IF(OR('Base Exámenes'!C306="",'Base Exámenes'!D306=""),"",IF(COUNTIF('Base Exámenes'!$C$5:C306,'Base Exámenes'!C306)=1,'Base Exámenes'!D306+ROW()/1000000000,""))</f>
        <v/>
      </c>
      <c r="AL306" t="str">
        <f>IF(OR('Base Exámenes'!C306="",'Base Exámenes'!E306=""),"",IF(COUNTIF('Base Exámenes'!$C$5:C306,'Base Exámenes'!C306)=1,'Base Exámenes'!E306+ROW()/1000000000,""))</f>
        <v/>
      </c>
      <c r="AM306" t="str">
        <f>IF(OR('Base Exámenes'!C306="",'Base Exámenes'!G306=""),"",IF(ROW()-4=MATCH('Base Exámenes'!C306&amp;"|"&amp;_xlfn.MAXIFS('Base Exámenes'!$G$5:$G$1000,'Base Exámenes'!$C$5:$C$1000,'Base Exámenes'!C306),'Base Exámenes'!$I$5:$I$1000,0),'Base Exámenes'!G306*1000000+(-1)*'Base Exámenes'!D306,""))</f>
        <v/>
      </c>
      <c r="AQ306" t="str">
        <f>IF('Base Exámenes'!C306="","",IF(COUNTIF('Base Exámenes'!$C$5:$C$1000,'Base Exámenes'!C306)&lt;2,"",MATCH('Base Exámenes'!C306,'Base Exámenes'!$C$5:$C$1000,0)*10000+ROW()))</f>
        <v/>
      </c>
    </row>
    <row r="307">
      <c r="Z307" t="str">
        <f>IF('Detalle individual'!A307="","",IF(AND(OR('Estado por Colaborador'!$D$4="Todas las gerencias",'Detalle individual'!D307='Estado por Colaborador'!$D$4),OR('Estado por Colaborador'!$D$5="Todos los departamentos",TRIM('Detalle individual'!C307)='Estado por Colaborador'!$D$5),OR('Estado por Colaborador'!$D$6="Todos",'Detalle individual'!F307='Estado por Colaborador'!$D$6)),IF('Detalle individual'!F307="Completado",30000000,IF('Detalle individual'!F307="Pendiente",0,15000000))+COUNTIF('Detalle individual'!$C$5:$C$1000,"&lt;"&amp;'Detalle individual'!C307)*10000+ROW(),""))</f>
        <v/>
      </c>
      <c r="AB307" t="str">
        <f>IF('Detalle individual'!C307="","",IF(COUNTIF('Detalle individual'!$C$5:C307,'Detalle individual'!C307)=1,COUNTIF('Detalle individual'!$C$5:$C$1000,"&lt;"&amp;'Detalle individual'!C307),""))</f>
        <v/>
      </c>
      <c r="AC307" t="str">
        <f>IF('Detalle individual'!D307="","",IF(COUNTIF('Detalle individual'!$D$5:D307,'Detalle individual'!D307)=1,COUNTIF('Detalle individual'!$D$5:$D$1000,"&lt;"&amp;'Detalle individual'!D307),""))</f>
        <v/>
      </c>
      <c r="AH307" t="str">
        <f>IF('Detalle individual'!F307="Pendiente",COUNTIF('Detalle individual'!$D$5:$D$1000,"&lt;"&amp;'Detalle individual'!D307)*1000000+COUNTIF('Detalle individual'!$C$5:$C$1000,"&lt;"&amp;'Detalle individual'!C307)*1000+COUNTIF('Detalle individual'!$B$5:$B$1000,"&lt;"&amp;'Detalle individual'!B307)+ROW()/10000,"")</f>
        <v/>
      </c>
      <c r="AI307" t="str">
        <f>IF('Detalle individual'!F307="Completado",COUNTIF('Detalle individual'!$D$5:$D$1000,"&lt;"&amp;'Detalle individual'!D307)*1000000+COUNTIF('Detalle individual'!$C$5:$C$1000,"&lt;"&amp;'Detalle individual'!C307)*1000+COUNTIF('Detalle individual'!$B$5:$B$1000,"&lt;"&amp;'Detalle individual'!B307)+ROW()/10000,"")</f>
        <v/>
      </c>
      <c r="AJ307" t="str">
        <f>IF(AND('Detalle individual'!F307&lt;&gt;"",'Detalle individual'!F307&lt;&gt;"Completado",'Detalle individual'!F307&lt;&gt;"Pendiente"),COUNTIF('Detalle individual'!$D$5:$D$1000,"&lt;"&amp;'Detalle individual'!D307)*1000000+COUNTIF('Detalle individual'!$C$5:$C$1000,"&lt;"&amp;'Detalle individual'!C307)*1000+COUNTIF('Detalle individual'!$B$5:$B$1000,"&lt;"&amp;'Detalle individual'!B307)+ROW()/10000,"")</f>
        <v/>
      </c>
      <c r="AK307" t="str">
        <f>IF(OR('Base Exámenes'!C307="",'Base Exámenes'!D307=""),"",IF(COUNTIF('Base Exámenes'!$C$5:C307,'Base Exámenes'!C307)=1,'Base Exámenes'!D307+ROW()/1000000000,""))</f>
        <v/>
      </c>
      <c r="AL307" t="str">
        <f>IF(OR('Base Exámenes'!C307="",'Base Exámenes'!E307=""),"",IF(COUNTIF('Base Exámenes'!$C$5:C307,'Base Exámenes'!C307)=1,'Base Exámenes'!E307+ROW()/1000000000,""))</f>
        <v/>
      </c>
      <c r="AM307" t="str">
        <f>IF(OR('Base Exámenes'!C307="",'Base Exámenes'!G307=""),"",IF(ROW()-4=MATCH('Base Exámenes'!C307&amp;"|"&amp;_xlfn.MAXIFS('Base Exámenes'!$G$5:$G$1000,'Base Exámenes'!$C$5:$C$1000,'Base Exámenes'!C307),'Base Exámenes'!$I$5:$I$1000,0),'Base Exámenes'!G307*1000000+(-1)*'Base Exámenes'!D307,""))</f>
        <v/>
      </c>
      <c r="AQ307" t="str">
        <f>IF('Base Exámenes'!C307="","",IF(COUNTIF('Base Exámenes'!$C$5:$C$1000,'Base Exámenes'!C307)&lt;2,"",MATCH('Base Exámenes'!C307,'Base Exámenes'!$C$5:$C$1000,0)*10000+ROW()))</f>
        <v/>
      </c>
    </row>
    <row r="308">
      <c r="Z308" t="str">
        <f>IF('Detalle individual'!A308="","",IF(AND(OR('Estado por Colaborador'!$D$4="Todas las gerencias",'Detalle individual'!D308='Estado por Colaborador'!$D$4),OR('Estado por Colaborador'!$D$5="Todos los departamentos",TRIM('Detalle individual'!C308)='Estado por Colaborador'!$D$5),OR('Estado por Colaborador'!$D$6="Todos",'Detalle individual'!F308='Estado por Colaborador'!$D$6)),IF('Detalle individual'!F308="Completado",30000000,IF('Detalle individual'!F308="Pendiente",0,15000000))+COUNTIF('Detalle individual'!$C$5:$C$1000,"&lt;"&amp;'Detalle individual'!C308)*10000+ROW(),""))</f>
        <v/>
      </c>
      <c r="AB308" t="str">
        <f>IF('Detalle individual'!C308="","",IF(COUNTIF('Detalle individual'!$C$5:C308,'Detalle individual'!C308)=1,COUNTIF('Detalle individual'!$C$5:$C$1000,"&lt;"&amp;'Detalle individual'!C308),""))</f>
        <v/>
      </c>
      <c r="AC308" t="str">
        <f>IF('Detalle individual'!D308="","",IF(COUNTIF('Detalle individual'!$D$5:D308,'Detalle individual'!D308)=1,COUNTIF('Detalle individual'!$D$5:$D$1000,"&lt;"&amp;'Detalle individual'!D308),""))</f>
        <v/>
      </c>
      <c r="AH308" t="str">
        <f>IF('Detalle individual'!F308="Pendiente",COUNTIF('Detalle individual'!$D$5:$D$1000,"&lt;"&amp;'Detalle individual'!D308)*1000000+COUNTIF('Detalle individual'!$C$5:$C$1000,"&lt;"&amp;'Detalle individual'!C308)*1000+COUNTIF('Detalle individual'!$B$5:$B$1000,"&lt;"&amp;'Detalle individual'!B308)+ROW()/10000,"")</f>
        <v/>
      </c>
      <c r="AI308" t="str">
        <f>IF('Detalle individual'!F308="Completado",COUNTIF('Detalle individual'!$D$5:$D$1000,"&lt;"&amp;'Detalle individual'!D308)*1000000+COUNTIF('Detalle individual'!$C$5:$C$1000,"&lt;"&amp;'Detalle individual'!C308)*1000+COUNTIF('Detalle individual'!$B$5:$B$1000,"&lt;"&amp;'Detalle individual'!B308)+ROW()/10000,"")</f>
        <v/>
      </c>
      <c r="AJ308" t="str">
        <f>IF(AND('Detalle individual'!F308&lt;&gt;"",'Detalle individual'!F308&lt;&gt;"Completado",'Detalle individual'!F308&lt;&gt;"Pendiente"),COUNTIF('Detalle individual'!$D$5:$D$1000,"&lt;"&amp;'Detalle individual'!D308)*1000000+COUNTIF('Detalle individual'!$C$5:$C$1000,"&lt;"&amp;'Detalle individual'!C308)*1000+COUNTIF('Detalle individual'!$B$5:$B$1000,"&lt;"&amp;'Detalle individual'!B308)+ROW()/10000,"")</f>
        <v/>
      </c>
      <c r="AK308" t="str">
        <f>IF(OR('Base Exámenes'!C308="",'Base Exámenes'!D308=""),"",IF(COUNTIF('Base Exámenes'!$C$5:C308,'Base Exámenes'!C308)=1,'Base Exámenes'!D308+ROW()/1000000000,""))</f>
        <v/>
      </c>
      <c r="AL308" t="str">
        <f>IF(OR('Base Exámenes'!C308="",'Base Exámenes'!E308=""),"",IF(COUNTIF('Base Exámenes'!$C$5:C308,'Base Exámenes'!C308)=1,'Base Exámenes'!E308+ROW()/1000000000,""))</f>
        <v/>
      </c>
      <c r="AM308" t="str">
        <f>IF(OR('Base Exámenes'!C308="",'Base Exámenes'!G308=""),"",IF(ROW()-4=MATCH('Base Exámenes'!C308&amp;"|"&amp;_xlfn.MAXIFS('Base Exámenes'!$G$5:$G$1000,'Base Exámenes'!$C$5:$C$1000,'Base Exámenes'!C308),'Base Exámenes'!$I$5:$I$1000,0),'Base Exámenes'!G308*1000000+(-1)*'Base Exámenes'!D308,""))</f>
        <v/>
      </c>
      <c r="AQ308" t="str">
        <f>IF('Base Exámenes'!C308="","",IF(COUNTIF('Base Exámenes'!$C$5:$C$1000,'Base Exámenes'!C308)&lt;2,"",MATCH('Base Exámenes'!C308,'Base Exámenes'!$C$5:$C$1000,0)*10000+ROW()))</f>
        <v/>
      </c>
    </row>
    <row r="309">
      <c r="Z309" t="str">
        <f>IF('Detalle individual'!A309="","",IF(AND(OR('Estado por Colaborador'!$D$4="Todas las gerencias",'Detalle individual'!D309='Estado por Colaborador'!$D$4),OR('Estado por Colaborador'!$D$5="Todos los departamentos",TRIM('Detalle individual'!C309)='Estado por Colaborador'!$D$5),OR('Estado por Colaborador'!$D$6="Todos",'Detalle individual'!F309='Estado por Colaborador'!$D$6)),IF('Detalle individual'!F309="Completado",30000000,IF('Detalle individual'!F309="Pendiente",0,15000000))+COUNTIF('Detalle individual'!$C$5:$C$1000,"&lt;"&amp;'Detalle individual'!C309)*10000+ROW(),""))</f>
        <v/>
      </c>
      <c r="AB309" t="str">
        <f>IF('Detalle individual'!C309="","",IF(COUNTIF('Detalle individual'!$C$5:C309,'Detalle individual'!C309)=1,COUNTIF('Detalle individual'!$C$5:$C$1000,"&lt;"&amp;'Detalle individual'!C309),""))</f>
        <v/>
      </c>
      <c r="AC309" t="str">
        <f>IF('Detalle individual'!D309="","",IF(COUNTIF('Detalle individual'!$D$5:D309,'Detalle individual'!D309)=1,COUNTIF('Detalle individual'!$D$5:$D$1000,"&lt;"&amp;'Detalle individual'!D309),""))</f>
        <v/>
      </c>
      <c r="AH309" t="str">
        <f>IF('Detalle individual'!F309="Pendiente",COUNTIF('Detalle individual'!$D$5:$D$1000,"&lt;"&amp;'Detalle individual'!D309)*1000000+COUNTIF('Detalle individual'!$C$5:$C$1000,"&lt;"&amp;'Detalle individual'!C309)*1000+COUNTIF('Detalle individual'!$B$5:$B$1000,"&lt;"&amp;'Detalle individual'!B309)+ROW()/10000,"")</f>
        <v/>
      </c>
      <c r="AI309" t="str">
        <f>IF('Detalle individual'!F309="Completado",COUNTIF('Detalle individual'!$D$5:$D$1000,"&lt;"&amp;'Detalle individual'!D309)*1000000+COUNTIF('Detalle individual'!$C$5:$C$1000,"&lt;"&amp;'Detalle individual'!C309)*1000+COUNTIF('Detalle individual'!$B$5:$B$1000,"&lt;"&amp;'Detalle individual'!B309)+ROW()/10000,"")</f>
        <v/>
      </c>
      <c r="AJ309" t="str">
        <f>IF(AND('Detalle individual'!F309&lt;&gt;"",'Detalle individual'!F309&lt;&gt;"Completado",'Detalle individual'!F309&lt;&gt;"Pendiente"),COUNTIF('Detalle individual'!$D$5:$D$1000,"&lt;"&amp;'Detalle individual'!D309)*1000000+COUNTIF('Detalle individual'!$C$5:$C$1000,"&lt;"&amp;'Detalle individual'!C309)*1000+COUNTIF('Detalle individual'!$B$5:$B$1000,"&lt;"&amp;'Detalle individual'!B309)+ROW()/10000,"")</f>
        <v/>
      </c>
      <c r="AK309" t="str">
        <f>IF(OR('Base Exámenes'!C309="",'Base Exámenes'!D309=""),"",IF(COUNTIF('Base Exámenes'!$C$5:C309,'Base Exámenes'!C309)=1,'Base Exámenes'!D309+ROW()/1000000000,""))</f>
        <v/>
      </c>
      <c r="AL309" t="str">
        <f>IF(OR('Base Exámenes'!C309="",'Base Exámenes'!E309=""),"",IF(COUNTIF('Base Exámenes'!$C$5:C309,'Base Exámenes'!C309)=1,'Base Exámenes'!E309+ROW()/1000000000,""))</f>
        <v/>
      </c>
      <c r="AM309" t="str">
        <f>IF(OR('Base Exámenes'!C309="",'Base Exámenes'!G309=""),"",IF(ROW()-4=MATCH('Base Exámenes'!C309&amp;"|"&amp;_xlfn.MAXIFS('Base Exámenes'!$G$5:$G$1000,'Base Exámenes'!$C$5:$C$1000,'Base Exámenes'!C309),'Base Exámenes'!$I$5:$I$1000,0),'Base Exámenes'!G309*1000000+(-1)*'Base Exámenes'!D309,""))</f>
        <v/>
      </c>
      <c r="AQ309" t="str">
        <f>IF('Base Exámenes'!C309="","",IF(COUNTIF('Base Exámenes'!$C$5:$C$1000,'Base Exámenes'!C309)&lt;2,"",MATCH('Base Exámenes'!C309,'Base Exámenes'!$C$5:$C$1000,0)*10000+ROW()))</f>
        <v/>
      </c>
    </row>
    <row r="310">
      <c r="Z310" t="str">
        <f>IF('Detalle individual'!A310="","",IF(AND(OR('Estado por Colaborador'!$D$4="Todas las gerencias",'Detalle individual'!D310='Estado por Colaborador'!$D$4),OR('Estado por Colaborador'!$D$5="Todos los departamentos",TRIM('Detalle individual'!C310)='Estado por Colaborador'!$D$5),OR('Estado por Colaborador'!$D$6="Todos",'Detalle individual'!F310='Estado por Colaborador'!$D$6)),IF('Detalle individual'!F310="Completado",30000000,IF('Detalle individual'!F310="Pendiente",0,15000000))+COUNTIF('Detalle individual'!$C$5:$C$1000,"&lt;"&amp;'Detalle individual'!C310)*10000+ROW(),""))</f>
        <v/>
      </c>
      <c r="AB310" t="str">
        <f>IF('Detalle individual'!C310="","",IF(COUNTIF('Detalle individual'!$C$5:C310,'Detalle individual'!C310)=1,COUNTIF('Detalle individual'!$C$5:$C$1000,"&lt;"&amp;'Detalle individual'!C310),""))</f>
        <v/>
      </c>
      <c r="AC310" t="str">
        <f>IF('Detalle individual'!D310="","",IF(COUNTIF('Detalle individual'!$D$5:D310,'Detalle individual'!D310)=1,COUNTIF('Detalle individual'!$D$5:$D$1000,"&lt;"&amp;'Detalle individual'!D310),""))</f>
        <v/>
      </c>
      <c r="AH310" t="str">
        <f>IF('Detalle individual'!F310="Pendiente",COUNTIF('Detalle individual'!$D$5:$D$1000,"&lt;"&amp;'Detalle individual'!D310)*1000000+COUNTIF('Detalle individual'!$C$5:$C$1000,"&lt;"&amp;'Detalle individual'!C310)*1000+COUNTIF('Detalle individual'!$B$5:$B$1000,"&lt;"&amp;'Detalle individual'!B310)+ROW()/10000,"")</f>
        <v/>
      </c>
      <c r="AI310" t="str">
        <f>IF('Detalle individual'!F310="Completado",COUNTIF('Detalle individual'!$D$5:$D$1000,"&lt;"&amp;'Detalle individual'!D310)*1000000+COUNTIF('Detalle individual'!$C$5:$C$1000,"&lt;"&amp;'Detalle individual'!C310)*1000+COUNTIF('Detalle individual'!$B$5:$B$1000,"&lt;"&amp;'Detalle individual'!B310)+ROW()/10000,"")</f>
        <v/>
      </c>
      <c r="AJ310" t="str">
        <f>IF(AND('Detalle individual'!F310&lt;&gt;"",'Detalle individual'!F310&lt;&gt;"Completado",'Detalle individual'!F310&lt;&gt;"Pendiente"),COUNTIF('Detalle individual'!$D$5:$D$1000,"&lt;"&amp;'Detalle individual'!D310)*1000000+COUNTIF('Detalle individual'!$C$5:$C$1000,"&lt;"&amp;'Detalle individual'!C310)*1000+COUNTIF('Detalle individual'!$B$5:$B$1000,"&lt;"&amp;'Detalle individual'!B310)+ROW()/10000,"")</f>
        <v/>
      </c>
      <c r="AK310" t="str">
        <f>IF(OR('Base Exámenes'!C310="",'Base Exámenes'!D310=""),"",IF(COUNTIF('Base Exámenes'!$C$5:C310,'Base Exámenes'!C310)=1,'Base Exámenes'!D310+ROW()/1000000000,""))</f>
        <v/>
      </c>
      <c r="AL310" t="str">
        <f>IF(OR('Base Exámenes'!C310="",'Base Exámenes'!E310=""),"",IF(COUNTIF('Base Exámenes'!$C$5:C310,'Base Exámenes'!C310)=1,'Base Exámenes'!E310+ROW()/1000000000,""))</f>
        <v/>
      </c>
      <c r="AM310" t="str">
        <f>IF(OR('Base Exámenes'!C310="",'Base Exámenes'!G310=""),"",IF(ROW()-4=MATCH('Base Exámenes'!C310&amp;"|"&amp;_xlfn.MAXIFS('Base Exámenes'!$G$5:$G$1000,'Base Exámenes'!$C$5:$C$1000,'Base Exámenes'!C310),'Base Exámenes'!$I$5:$I$1000,0),'Base Exámenes'!G310*1000000+(-1)*'Base Exámenes'!D310,""))</f>
        <v/>
      </c>
      <c r="AQ310" t="str">
        <f>IF('Base Exámenes'!C310="","",IF(COUNTIF('Base Exámenes'!$C$5:$C$1000,'Base Exámenes'!C310)&lt;2,"",MATCH('Base Exámenes'!C310,'Base Exámenes'!$C$5:$C$1000,0)*10000+ROW()))</f>
        <v/>
      </c>
    </row>
    <row r="311">
      <c r="Z311" t="str">
        <f>IF('Detalle individual'!A311="","",IF(AND(OR('Estado por Colaborador'!$D$4="Todas las gerencias",'Detalle individual'!D311='Estado por Colaborador'!$D$4),OR('Estado por Colaborador'!$D$5="Todos los departamentos",TRIM('Detalle individual'!C311)='Estado por Colaborador'!$D$5),OR('Estado por Colaborador'!$D$6="Todos",'Detalle individual'!F311='Estado por Colaborador'!$D$6)),IF('Detalle individual'!F311="Completado",30000000,IF('Detalle individual'!F311="Pendiente",0,15000000))+COUNTIF('Detalle individual'!$C$5:$C$1000,"&lt;"&amp;'Detalle individual'!C311)*10000+ROW(),""))</f>
        <v/>
      </c>
      <c r="AB311" t="str">
        <f>IF('Detalle individual'!C311="","",IF(COUNTIF('Detalle individual'!$C$5:C311,'Detalle individual'!C311)=1,COUNTIF('Detalle individual'!$C$5:$C$1000,"&lt;"&amp;'Detalle individual'!C311),""))</f>
        <v/>
      </c>
      <c r="AC311" t="str">
        <f>IF('Detalle individual'!D311="","",IF(COUNTIF('Detalle individual'!$D$5:D311,'Detalle individual'!D311)=1,COUNTIF('Detalle individual'!$D$5:$D$1000,"&lt;"&amp;'Detalle individual'!D311),""))</f>
        <v/>
      </c>
      <c r="AH311" t="str">
        <f>IF('Detalle individual'!F311="Pendiente",COUNTIF('Detalle individual'!$D$5:$D$1000,"&lt;"&amp;'Detalle individual'!D311)*1000000+COUNTIF('Detalle individual'!$C$5:$C$1000,"&lt;"&amp;'Detalle individual'!C311)*1000+COUNTIF('Detalle individual'!$B$5:$B$1000,"&lt;"&amp;'Detalle individual'!B311)+ROW()/10000,"")</f>
        <v/>
      </c>
      <c r="AI311" t="str">
        <f>IF('Detalle individual'!F311="Completado",COUNTIF('Detalle individual'!$D$5:$D$1000,"&lt;"&amp;'Detalle individual'!D311)*1000000+COUNTIF('Detalle individual'!$C$5:$C$1000,"&lt;"&amp;'Detalle individual'!C311)*1000+COUNTIF('Detalle individual'!$B$5:$B$1000,"&lt;"&amp;'Detalle individual'!B311)+ROW()/10000,"")</f>
        <v/>
      </c>
      <c r="AJ311" t="str">
        <f>IF(AND('Detalle individual'!F311&lt;&gt;"",'Detalle individual'!F311&lt;&gt;"Completado",'Detalle individual'!F311&lt;&gt;"Pendiente"),COUNTIF('Detalle individual'!$D$5:$D$1000,"&lt;"&amp;'Detalle individual'!D311)*1000000+COUNTIF('Detalle individual'!$C$5:$C$1000,"&lt;"&amp;'Detalle individual'!C311)*1000+COUNTIF('Detalle individual'!$B$5:$B$1000,"&lt;"&amp;'Detalle individual'!B311)+ROW()/10000,"")</f>
        <v/>
      </c>
      <c r="AK311" t="str">
        <f>IF(OR('Base Exámenes'!C311="",'Base Exámenes'!D311=""),"",IF(COUNTIF('Base Exámenes'!$C$5:C311,'Base Exámenes'!C311)=1,'Base Exámenes'!D311+ROW()/1000000000,""))</f>
        <v/>
      </c>
      <c r="AL311" t="str">
        <f>IF(OR('Base Exámenes'!C311="",'Base Exámenes'!E311=""),"",IF(COUNTIF('Base Exámenes'!$C$5:C311,'Base Exámenes'!C311)=1,'Base Exámenes'!E311+ROW()/1000000000,""))</f>
        <v/>
      </c>
      <c r="AM311" t="str">
        <f>IF(OR('Base Exámenes'!C311="",'Base Exámenes'!G311=""),"",IF(ROW()-4=MATCH('Base Exámenes'!C311&amp;"|"&amp;_xlfn.MAXIFS('Base Exámenes'!$G$5:$G$1000,'Base Exámenes'!$C$5:$C$1000,'Base Exámenes'!C311),'Base Exámenes'!$I$5:$I$1000,0),'Base Exámenes'!G311*1000000+(-1)*'Base Exámenes'!D311,""))</f>
        <v/>
      </c>
      <c r="AQ311" t="str">
        <f>IF('Base Exámenes'!C311="","",IF(COUNTIF('Base Exámenes'!$C$5:$C$1000,'Base Exámenes'!C311)&lt;2,"",MATCH('Base Exámenes'!C311,'Base Exámenes'!$C$5:$C$1000,0)*10000+ROW()))</f>
        <v/>
      </c>
    </row>
    <row r="312">
      <c r="Z312" t="str">
        <f>IF('Detalle individual'!A312="","",IF(AND(OR('Estado por Colaborador'!$D$4="Todas las gerencias",'Detalle individual'!D312='Estado por Colaborador'!$D$4),OR('Estado por Colaborador'!$D$5="Todos los departamentos",TRIM('Detalle individual'!C312)='Estado por Colaborador'!$D$5),OR('Estado por Colaborador'!$D$6="Todos",'Detalle individual'!F312='Estado por Colaborador'!$D$6)),IF('Detalle individual'!F312="Completado",30000000,IF('Detalle individual'!F312="Pendiente",0,15000000))+COUNTIF('Detalle individual'!$C$5:$C$1000,"&lt;"&amp;'Detalle individual'!C312)*10000+ROW(),""))</f>
        <v/>
      </c>
      <c r="AB312" t="str">
        <f>IF('Detalle individual'!C312="","",IF(COUNTIF('Detalle individual'!$C$5:C312,'Detalle individual'!C312)=1,COUNTIF('Detalle individual'!$C$5:$C$1000,"&lt;"&amp;'Detalle individual'!C312),""))</f>
        <v/>
      </c>
      <c r="AC312" t="str">
        <f>IF('Detalle individual'!D312="","",IF(COUNTIF('Detalle individual'!$D$5:D312,'Detalle individual'!D312)=1,COUNTIF('Detalle individual'!$D$5:$D$1000,"&lt;"&amp;'Detalle individual'!D312),""))</f>
        <v/>
      </c>
      <c r="AH312" t="str">
        <f>IF('Detalle individual'!F312="Pendiente",COUNTIF('Detalle individual'!$D$5:$D$1000,"&lt;"&amp;'Detalle individual'!D312)*1000000+COUNTIF('Detalle individual'!$C$5:$C$1000,"&lt;"&amp;'Detalle individual'!C312)*1000+COUNTIF('Detalle individual'!$B$5:$B$1000,"&lt;"&amp;'Detalle individual'!B312)+ROW()/10000,"")</f>
        <v/>
      </c>
      <c r="AI312" t="str">
        <f>IF('Detalle individual'!F312="Completado",COUNTIF('Detalle individual'!$D$5:$D$1000,"&lt;"&amp;'Detalle individual'!D312)*1000000+COUNTIF('Detalle individual'!$C$5:$C$1000,"&lt;"&amp;'Detalle individual'!C312)*1000+COUNTIF('Detalle individual'!$B$5:$B$1000,"&lt;"&amp;'Detalle individual'!B312)+ROW()/10000,"")</f>
        <v/>
      </c>
      <c r="AJ312" t="str">
        <f>IF(AND('Detalle individual'!F312&lt;&gt;"",'Detalle individual'!F312&lt;&gt;"Completado",'Detalle individual'!F312&lt;&gt;"Pendiente"),COUNTIF('Detalle individual'!$D$5:$D$1000,"&lt;"&amp;'Detalle individual'!D312)*1000000+COUNTIF('Detalle individual'!$C$5:$C$1000,"&lt;"&amp;'Detalle individual'!C312)*1000+COUNTIF('Detalle individual'!$B$5:$B$1000,"&lt;"&amp;'Detalle individual'!B312)+ROW()/10000,"")</f>
        <v/>
      </c>
      <c r="AK312" t="str">
        <f>IF(OR('Base Exámenes'!C312="",'Base Exámenes'!D312=""),"",IF(COUNTIF('Base Exámenes'!$C$5:C312,'Base Exámenes'!C312)=1,'Base Exámenes'!D312+ROW()/1000000000,""))</f>
        <v/>
      </c>
      <c r="AL312" t="str">
        <f>IF(OR('Base Exámenes'!C312="",'Base Exámenes'!E312=""),"",IF(COUNTIF('Base Exámenes'!$C$5:C312,'Base Exámenes'!C312)=1,'Base Exámenes'!E312+ROW()/1000000000,""))</f>
        <v/>
      </c>
      <c r="AM312" t="str">
        <f>IF(OR('Base Exámenes'!C312="",'Base Exámenes'!G312=""),"",IF(ROW()-4=MATCH('Base Exámenes'!C312&amp;"|"&amp;_xlfn.MAXIFS('Base Exámenes'!$G$5:$G$1000,'Base Exámenes'!$C$5:$C$1000,'Base Exámenes'!C312),'Base Exámenes'!$I$5:$I$1000,0),'Base Exámenes'!G312*1000000+(-1)*'Base Exámenes'!D312,""))</f>
        <v/>
      </c>
      <c r="AQ312" t="str">
        <f>IF('Base Exámenes'!C312="","",IF(COUNTIF('Base Exámenes'!$C$5:$C$1000,'Base Exámenes'!C312)&lt;2,"",MATCH('Base Exámenes'!C312,'Base Exámenes'!$C$5:$C$1000,0)*10000+ROW()))</f>
        <v/>
      </c>
    </row>
    <row r="313">
      <c r="Z313" t="str">
        <f>IF('Detalle individual'!A313="","",IF(AND(OR('Estado por Colaborador'!$D$4="Todas las gerencias",'Detalle individual'!D313='Estado por Colaborador'!$D$4),OR('Estado por Colaborador'!$D$5="Todos los departamentos",TRIM('Detalle individual'!C313)='Estado por Colaborador'!$D$5),OR('Estado por Colaborador'!$D$6="Todos",'Detalle individual'!F313='Estado por Colaborador'!$D$6)),IF('Detalle individual'!F313="Completado",30000000,IF('Detalle individual'!F313="Pendiente",0,15000000))+COUNTIF('Detalle individual'!$C$5:$C$1000,"&lt;"&amp;'Detalle individual'!C313)*10000+ROW(),""))</f>
        <v/>
      </c>
      <c r="AB313" t="str">
        <f>IF('Detalle individual'!C313="","",IF(COUNTIF('Detalle individual'!$C$5:C313,'Detalle individual'!C313)=1,COUNTIF('Detalle individual'!$C$5:$C$1000,"&lt;"&amp;'Detalle individual'!C313),""))</f>
        <v/>
      </c>
      <c r="AC313" t="str">
        <f>IF('Detalle individual'!D313="","",IF(COUNTIF('Detalle individual'!$D$5:D313,'Detalle individual'!D313)=1,COUNTIF('Detalle individual'!$D$5:$D$1000,"&lt;"&amp;'Detalle individual'!D313),""))</f>
        <v/>
      </c>
      <c r="AH313" t="str">
        <f>IF('Detalle individual'!F313="Pendiente",COUNTIF('Detalle individual'!$D$5:$D$1000,"&lt;"&amp;'Detalle individual'!D313)*1000000+COUNTIF('Detalle individual'!$C$5:$C$1000,"&lt;"&amp;'Detalle individual'!C313)*1000+COUNTIF('Detalle individual'!$B$5:$B$1000,"&lt;"&amp;'Detalle individual'!B313)+ROW()/10000,"")</f>
        <v/>
      </c>
      <c r="AI313" t="str">
        <f>IF('Detalle individual'!F313="Completado",COUNTIF('Detalle individual'!$D$5:$D$1000,"&lt;"&amp;'Detalle individual'!D313)*1000000+COUNTIF('Detalle individual'!$C$5:$C$1000,"&lt;"&amp;'Detalle individual'!C313)*1000+COUNTIF('Detalle individual'!$B$5:$B$1000,"&lt;"&amp;'Detalle individual'!B313)+ROW()/10000,"")</f>
        <v/>
      </c>
      <c r="AJ313" t="str">
        <f>IF(AND('Detalle individual'!F313&lt;&gt;"",'Detalle individual'!F313&lt;&gt;"Completado",'Detalle individual'!F313&lt;&gt;"Pendiente"),COUNTIF('Detalle individual'!$D$5:$D$1000,"&lt;"&amp;'Detalle individual'!D313)*1000000+COUNTIF('Detalle individual'!$C$5:$C$1000,"&lt;"&amp;'Detalle individual'!C313)*1000+COUNTIF('Detalle individual'!$B$5:$B$1000,"&lt;"&amp;'Detalle individual'!B313)+ROW()/10000,"")</f>
        <v/>
      </c>
      <c r="AK313" t="str">
        <f>IF(OR('Base Exámenes'!C313="",'Base Exámenes'!D313=""),"",IF(COUNTIF('Base Exámenes'!$C$5:C313,'Base Exámenes'!C313)=1,'Base Exámenes'!D313+ROW()/1000000000,""))</f>
        <v/>
      </c>
      <c r="AL313" t="str">
        <f>IF(OR('Base Exámenes'!C313="",'Base Exámenes'!E313=""),"",IF(COUNTIF('Base Exámenes'!$C$5:C313,'Base Exámenes'!C313)=1,'Base Exámenes'!E313+ROW()/1000000000,""))</f>
        <v/>
      </c>
      <c r="AM313" t="str">
        <f>IF(OR('Base Exámenes'!C313="",'Base Exámenes'!G313=""),"",IF(ROW()-4=MATCH('Base Exámenes'!C313&amp;"|"&amp;_xlfn.MAXIFS('Base Exámenes'!$G$5:$G$1000,'Base Exámenes'!$C$5:$C$1000,'Base Exámenes'!C313),'Base Exámenes'!$I$5:$I$1000,0),'Base Exámenes'!G313*1000000+(-1)*'Base Exámenes'!D313,""))</f>
        <v/>
      </c>
      <c r="AQ313" t="str">
        <f>IF('Base Exámenes'!C313="","",IF(COUNTIF('Base Exámenes'!$C$5:$C$1000,'Base Exámenes'!C313)&lt;2,"",MATCH('Base Exámenes'!C313,'Base Exámenes'!$C$5:$C$1000,0)*10000+ROW()))</f>
        <v/>
      </c>
    </row>
    <row r="314">
      <c r="Z314" t="str">
        <f>IF('Detalle individual'!A314="","",IF(AND(OR('Estado por Colaborador'!$D$4="Todas las gerencias",'Detalle individual'!D314='Estado por Colaborador'!$D$4),OR('Estado por Colaborador'!$D$5="Todos los departamentos",TRIM('Detalle individual'!C314)='Estado por Colaborador'!$D$5),OR('Estado por Colaborador'!$D$6="Todos",'Detalle individual'!F314='Estado por Colaborador'!$D$6)),IF('Detalle individual'!F314="Completado",30000000,IF('Detalle individual'!F314="Pendiente",0,15000000))+COUNTIF('Detalle individual'!$C$5:$C$1000,"&lt;"&amp;'Detalle individual'!C314)*10000+ROW(),""))</f>
        <v/>
      </c>
      <c r="AB314" t="str">
        <f>IF('Detalle individual'!C314="","",IF(COUNTIF('Detalle individual'!$C$5:C314,'Detalle individual'!C314)=1,COUNTIF('Detalle individual'!$C$5:$C$1000,"&lt;"&amp;'Detalle individual'!C314),""))</f>
        <v/>
      </c>
      <c r="AC314" t="str">
        <f>IF('Detalle individual'!D314="","",IF(COUNTIF('Detalle individual'!$D$5:D314,'Detalle individual'!D314)=1,COUNTIF('Detalle individual'!$D$5:$D$1000,"&lt;"&amp;'Detalle individual'!D314),""))</f>
        <v/>
      </c>
      <c r="AH314" t="str">
        <f>IF('Detalle individual'!F314="Pendiente",COUNTIF('Detalle individual'!$D$5:$D$1000,"&lt;"&amp;'Detalle individual'!D314)*1000000+COUNTIF('Detalle individual'!$C$5:$C$1000,"&lt;"&amp;'Detalle individual'!C314)*1000+COUNTIF('Detalle individual'!$B$5:$B$1000,"&lt;"&amp;'Detalle individual'!B314)+ROW()/10000,"")</f>
        <v/>
      </c>
      <c r="AI314" t="str">
        <f>IF('Detalle individual'!F314="Completado",COUNTIF('Detalle individual'!$D$5:$D$1000,"&lt;"&amp;'Detalle individual'!D314)*1000000+COUNTIF('Detalle individual'!$C$5:$C$1000,"&lt;"&amp;'Detalle individual'!C314)*1000+COUNTIF('Detalle individual'!$B$5:$B$1000,"&lt;"&amp;'Detalle individual'!B314)+ROW()/10000,"")</f>
        <v/>
      </c>
      <c r="AJ314" t="str">
        <f>IF(AND('Detalle individual'!F314&lt;&gt;"",'Detalle individual'!F314&lt;&gt;"Completado",'Detalle individual'!F314&lt;&gt;"Pendiente"),COUNTIF('Detalle individual'!$D$5:$D$1000,"&lt;"&amp;'Detalle individual'!D314)*1000000+COUNTIF('Detalle individual'!$C$5:$C$1000,"&lt;"&amp;'Detalle individual'!C314)*1000+COUNTIF('Detalle individual'!$B$5:$B$1000,"&lt;"&amp;'Detalle individual'!B314)+ROW()/10000,"")</f>
        <v/>
      </c>
      <c r="AK314" t="str">
        <f>IF(OR('Base Exámenes'!C314="",'Base Exámenes'!D314=""),"",IF(COUNTIF('Base Exámenes'!$C$5:C314,'Base Exámenes'!C314)=1,'Base Exámenes'!D314+ROW()/1000000000,""))</f>
        <v/>
      </c>
      <c r="AL314" t="str">
        <f>IF(OR('Base Exámenes'!C314="",'Base Exámenes'!E314=""),"",IF(COUNTIF('Base Exámenes'!$C$5:C314,'Base Exámenes'!C314)=1,'Base Exámenes'!E314+ROW()/1000000000,""))</f>
        <v/>
      </c>
      <c r="AM314" t="str">
        <f>IF(OR('Base Exámenes'!C314="",'Base Exámenes'!G314=""),"",IF(ROW()-4=MATCH('Base Exámenes'!C314&amp;"|"&amp;_xlfn.MAXIFS('Base Exámenes'!$G$5:$G$1000,'Base Exámenes'!$C$5:$C$1000,'Base Exámenes'!C314),'Base Exámenes'!$I$5:$I$1000,0),'Base Exámenes'!G314*1000000+(-1)*'Base Exámenes'!D314,""))</f>
        <v/>
      </c>
      <c r="AQ314" t="str">
        <f>IF('Base Exámenes'!C314="","",IF(COUNTIF('Base Exámenes'!$C$5:$C$1000,'Base Exámenes'!C314)&lt;2,"",MATCH('Base Exámenes'!C314,'Base Exámenes'!$C$5:$C$1000,0)*10000+ROW()))</f>
        <v/>
      </c>
    </row>
    <row r="315">
      <c r="Z315" t="str">
        <f>IF('Detalle individual'!A315="","",IF(AND(OR('Estado por Colaborador'!$D$4="Todas las gerencias",'Detalle individual'!D315='Estado por Colaborador'!$D$4),OR('Estado por Colaborador'!$D$5="Todos los departamentos",TRIM('Detalle individual'!C315)='Estado por Colaborador'!$D$5),OR('Estado por Colaborador'!$D$6="Todos",'Detalle individual'!F315='Estado por Colaborador'!$D$6)),IF('Detalle individual'!F315="Completado",30000000,IF('Detalle individual'!F315="Pendiente",0,15000000))+COUNTIF('Detalle individual'!$C$5:$C$1000,"&lt;"&amp;'Detalle individual'!C315)*10000+ROW(),""))</f>
        <v/>
      </c>
      <c r="AB315" t="str">
        <f>IF('Detalle individual'!C315="","",IF(COUNTIF('Detalle individual'!$C$5:C315,'Detalle individual'!C315)=1,COUNTIF('Detalle individual'!$C$5:$C$1000,"&lt;"&amp;'Detalle individual'!C315),""))</f>
        <v/>
      </c>
      <c r="AC315" t="str">
        <f>IF('Detalle individual'!D315="","",IF(COUNTIF('Detalle individual'!$D$5:D315,'Detalle individual'!D315)=1,COUNTIF('Detalle individual'!$D$5:$D$1000,"&lt;"&amp;'Detalle individual'!D315),""))</f>
        <v/>
      </c>
      <c r="AH315" t="str">
        <f>IF('Detalle individual'!F315="Pendiente",COUNTIF('Detalle individual'!$D$5:$D$1000,"&lt;"&amp;'Detalle individual'!D315)*1000000+COUNTIF('Detalle individual'!$C$5:$C$1000,"&lt;"&amp;'Detalle individual'!C315)*1000+COUNTIF('Detalle individual'!$B$5:$B$1000,"&lt;"&amp;'Detalle individual'!B315)+ROW()/10000,"")</f>
        <v/>
      </c>
      <c r="AI315" t="str">
        <f>IF('Detalle individual'!F315="Completado",COUNTIF('Detalle individual'!$D$5:$D$1000,"&lt;"&amp;'Detalle individual'!D315)*1000000+COUNTIF('Detalle individual'!$C$5:$C$1000,"&lt;"&amp;'Detalle individual'!C315)*1000+COUNTIF('Detalle individual'!$B$5:$B$1000,"&lt;"&amp;'Detalle individual'!B315)+ROW()/10000,"")</f>
        <v/>
      </c>
      <c r="AJ315" t="str">
        <f>IF(AND('Detalle individual'!F315&lt;&gt;"",'Detalle individual'!F315&lt;&gt;"Completado",'Detalle individual'!F315&lt;&gt;"Pendiente"),COUNTIF('Detalle individual'!$D$5:$D$1000,"&lt;"&amp;'Detalle individual'!D315)*1000000+COUNTIF('Detalle individual'!$C$5:$C$1000,"&lt;"&amp;'Detalle individual'!C315)*1000+COUNTIF('Detalle individual'!$B$5:$B$1000,"&lt;"&amp;'Detalle individual'!B315)+ROW()/10000,"")</f>
        <v/>
      </c>
      <c r="AK315" t="str">
        <f>IF(OR('Base Exámenes'!C315="",'Base Exámenes'!D315=""),"",IF(COUNTIF('Base Exámenes'!$C$5:C315,'Base Exámenes'!C315)=1,'Base Exámenes'!D315+ROW()/1000000000,""))</f>
        <v/>
      </c>
      <c r="AL315" t="str">
        <f>IF(OR('Base Exámenes'!C315="",'Base Exámenes'!E315=""),"",IF(COUNTIF('Base Exámenes'!$C$5:C315,'Base Exámenes'!C315)=1,'Base Exámenes'!E315+ROW()/1000000000,""))</f>
        <v/>
      </c>
      <c r="AM315" t="str">
        <f>IF(OR('Base Exámenes'!C315="",'Base Exámenes'!G315=""),"",IF(ROW()-4=MATCH('Base Exámenes'!C315&amp;"|"&amp;_xlfn.MAXIFS('Base Exámenes'!$G$5:$G$1000,'Base Exámenes'!$C$5:$C$1000,'Base Exámenes'!C315),'Base Exámenes'!$I$5:$I$1000,0),'Base Exámenes'!G315*1000000+(-1)*'Base Exámenes'!D315,""))</f>
        <v/>
      </c>
      <c r="AQ315" t="str">
        <f>IF('Base Exámenes'!C315="","",IF(COUNTIF('Base Exámenes'!$C$5:$C$1000,'Base Exámenes'!C315)&lt;2,"",MATCH('Base Exámenes'!C315,'Base Exámenes'!$C$5:$C$1000,0)*10000+ROW()))</f>
        <v/>
      </c>
    </row>
    <row r="316">
      <c r="Z316" t="str">
        <f>IF('Detalle individual'!A316="","",IF(AND(OR('Estado por Colaborador'!$D$4="Todas las gerencias",'Detalle individual'!D316='Estado por Colaborador'!$D$4),OR('Estado por Colaborador'!$D$5="Todos los departamentos",TRIM('Detalle individual'!C316)='Estado por Colaborador'!$D$5),OR('Estado por Colaborador'!$D$6="Todos",'Detalle individual'!F316='Estado por Colaborador'!$D$6)),IF('Detalle individual'!F316="Completado",30000000,IF('Detalle individual'!F316="Pendiente",0,15000000))+COUNTIF('Detalle individual'!$C$5:$C$1000,"&lt;"&amp;'Detalle individual'!C316)*10000+ROW(),""))</f>
        <v/>
      </c>
      <c r="AB316" t="str">
        <f>IF('Detalle individual'!C316="","",IF(COUNTIF('Detalle individual'!$C$5:C316,'Detalle individual'!C316)=1,COUNTIF('Detalle individual'!$C$5:$C$1000,"&lt;"&amp;'Detalle individual'!C316),""))</f>
        <v/>
      </c>
      <c r="AC316" t="str">
        <f>IF('Detalle individual'!D316="","",IF(COUNTIF('Detalle individual'!$D$5:D316,'Detalle individual'!D316)=1,COUNTIF('Detalle individual'!$D$5:$D$1000,"&lt;"&amp;'Detalle individual'!D316),""))</f>
        <v/>
      </c>
      <c r="AH316" t="str">
        <f>IF('Detalle individual'!F316="Pendiente",COUNTIF('Detalle individual'!$D$5:$D$1000,"&lt;"&amp;'Detalle individual'!D316)*1000000+COUNTIF('Detalle individual'!$C$5:$C$1000,"&lt;"&amp;'Detalle individual'!C316)*1000+COUNTIF('Detalle individual'!$B$5:$B$1000,"&lt;"&amp;'Detalle individual'!B316)+ROW()/10000,"")</f>
        <v/>
      </c>
      <c r="AI316" t="str">
        <f>IF('Detalle individual'!F316="Completado",COUNTIF('Detalle individual'!$D$5:$D$1000,"&lt;"&amp;'Detalle individual'!D316)*1000000+COUNTIF('Detalle individual'!$C$5:$C$1000,"&lt;"&amp;'Detalle individual'!C316)*1000+COUNTIF('Detalle individual'!$B$5:$B$1000,"&lt;"&amp;'Detalle individual'!B316)+ROW()/10000,"")</f>
        <v/>
      </c>
      <c r="AJ316" t="str">
        <f>IF(AND('Detalle individual'!F316&lt;&gt;"",'Detalle individual'!F316&lt;&gt;"Completado",'Detalle individual'!F316&lt;&gt;"Pendiente"),COUNTIF('Detalle individual'!$D$5:$D$1000,"&lt;"&amp;'Detalle individual'!D316)*1000000+COUNTIF('Detalle individual'!$C$5:$C$1000,"&lt;"&amp;'Detalle individual'!C316)*1000+COUNTIF('Detalle individual'!$B$5:$B$1000,"&lt;"&amp;'Detalle individual'!B316)+ROW()/10000,"")</f>
        <v/>
      </c>
      <c r="AK316" t="str">
        <f>IF(OR('Base Exámenes'!C316="",'Base Exámenes'!D316=""),"",IF(COUNTIF('Base Exámenes'!$C$5:C316,'Base Exámenes'!C316)=1,'Base Exámenes'!D316+ROW()/1000000000,""))</f>
        <v/>
      </c>
      <c r="AL316" t="str">
        <f>IF(OR('Base Exámenes'!C316="",'Base Exámenes'!E316=""),"",IF(COUNTIF('Base Exámenes'!$C$5:C316,'Base Exámenes'!C316)=1,'Base Exámenes'!E316+ROW()/1000000000,""))</f>
        <v/>
      </c>
      <c r="AM316" t="str">
        <f>IF(OR('Base Exámenes'!C316="",'Base Exámenes'!G316=""),"",IF(ROW()-4=MATCH('Base Exámenes'!C316&amp;"|"&amp;_xlfn.MAXIFS('Base Exámenes'!$G$5:$G$1000,'Base Exámenes'!$C$5:$C$1000,'Base Exámenes'!C316),'Base Exámenes'!$I$5:$I$1000,0),'Base Exámenes'!G316*1000000+(-1)*'Base Exámenes'!D316,""))</f>
        <v/>
      </c>
      <c r="AQ316" t="str">
        <f>IF('Base Exámenes'!C316="","",IF(COUNTIF('Base Exámenes'!$C$5:$C$1000,'Base Exámenes'!C316)&lt;2,"",MATCH('Base Exámenes'!C316,'Base Exámenes'!$C$5:$C$1000,0)*10000+ROW()))</f>
        <v/>
      </c>
    </row>
    <row r="317">
      <c r="Z317" t="str">
        <f>IF('Detalle individual'!A317="","",IF(AND(OR('Estado por Colaborador'!$D$4="Todas las gerencias",'Detalle individual'!D317='Estado por Colaborador'!$D$4),OR('Estado por Colaborador'!$D$5="Todos los departamentos",TRIM('Detalle individual'!C317)='Estado por Colaborador'!$D$5),OR('Estado por Colaborador'!$D$6="Todos",'Detalle individual'!F317='Estado por Colaborador'!$D$6)),IF('Detalle individual'!F317="Completado",30000000,IF('Detalle individual'!F317="Pendiente",0,15000000))+COUNTIF('Detalle individual'!$C$5:$C$1000,"&lt;"&amp;'Detalle individual'!C317)*10000+ROW(),""))</f>
        <v/>
      </c>
      <c r="AB317" t="str">
        <f>IF('Detalle individual'!C317="","",IF(COUNTIF('Detalle individual'!$C$5:C317,'Detalle individual'!C317)=1,COUNTIF('Detalle individual'!$C$5:$C$1000,"&lt;"&amp;'Detalle individual'!C317),""))</f>
        <v/>
      </c>
      <c r="AC317" t="str">
        <f>IF('Detalle individual'!D317="","",IF(COUNTIF('Detalle individual'!$D$5:D317,'Detalle individual'!D317)=1,COUNTIF('Detalle individual'!$D$5:$D$1000,"&lt;"&amp;'Detalle individual'!D317),""))</f>
        <v/>
      </c>
      <c r="AH317" t="str">
        <f>IF('Detalle individual'!F317="Pendiente",COUNTIF('Detalle individual'!$D$5:$D$1000,"&lt;"&amp;'Detalle individual'!D317)*1000000+COUNTIF('Detalle individual'!$C$5:$C$1000,"&lt;"&amp;'Detalle individual'!C317)*1000+COUNTIF('Detalle individual'!$B$5:$B$1000,"&lt;"&amp;'Detalle individual'!B317)+ROW()/10000,"")</f>
        <v/>
      </c>
      <c r="AI317" t="str">
        <f>IF('Detalle individual'!F317="Completado",COUNTIF('Detalle individual'!$D$5:$D$1000,"&lt;"&amp;'Detalle individual'!D317)*1000000+COUNTIF('Detalle individual'!$C$5:$C$1000,"&lt;"&amp;'Detalle individual'!C317)*1000+COUNTIF('Detalle individual'!$B$5:$B$1000,"&lt;"&amp;'Detalle individual'!B317)+ROW()/10000,"")</f>
        <v/>
      </c>
      <c r="AJ317" t="str">
        <f>IF(AND('Detalle individual'!F317&lt;&gt;"",'Detalle individual'!F317&lt;&gt;"Completado",'Detalle individual'!F317&lt;&gt;"Pendiente"),COUNTIF('Detalle individual'!$D$5:$D$1000,"&lt;"&amp;'Detalle individual'!D317)*1000000+COUNTIF('Detalle individual'!$C$5:$C$1000,"&lt;"&amp;'Detalle individual'!C317)*1000+COUNTIF('Detalle individual'!$B$5:$B$1000,"&lt;"&amp;'Detalle individual'!B317)+ROW()/10000,"")</f>
        <v/>
      </c>
      <c r="AK317" t="str">
        <f>IF(OR('Base Exámenes'!C317="",'Base Exámenes'!D317=""),"",IF(COUNTIF('Base Exámenes'!$C$5:C317,'Base Exámenes'!C317)=1,'Base Exámenes'!D317+ROW()/1000000000,""))</f>
        <v/>
      </c>
      <c r="AL317" t="str">
        <f>IF(OR('Base Exámenes'!C317="",'Base Exámenes'!E317=""),"",IF(COUNTIF('Base Exámenes'!$C$5:C317,'Base Exámenes'!C317)=1,'Base Exámenes'!E317+ROW()/1000000000,""))</f>
        <v/>
      </c>
      <c r="AM317" t="str">
        <f>IF(OR('Base Exámenes'!C317="",'Base Exámenes'!G317=""),"",IF(ROW()-4=MATCH('Base Exámenes'!C317&amp;"|"&amp;_xlfn.MAXIFS('Base Exámenes'!$G$5:$G$1000,'Base Exámenes'!$C$5:$C$1000,'Base Exámenes'!C317),'Base Exámenes'!$I$5:$I$1000,0),'Base Exámenes'!G317*1000000+(-1)*'Base Exámenes'!D317,""))</f>
        <v/>
      </c>
      <c r="AQ317" t="str">
        <f>IF('Base Exámenes'!C317="","",IF(COUNTIF('Base Exámenes'!$C$5:$C$1000,'Base Exámenes'!C317)&lt;2,"",MATCH('Base Exámenes'!C317,'Base Exámenes'!$C$5:$C$1000,0)*10000+ROW()))</f>
        <v/>
      </c>
    </row>
    <row r="318">
      <c r="Z318" t="str">
        <f>IF('Detalle individual'!A318="","",IF(AND(OR('Estado por Colaborador'!$D$4="Todas las gerencias",'Detalle individual'!D318='Estado por Colaborador'!$D$4),OR('Estado por Colaborador'!$D$5="Todos los departamentos",TRIM('Detalle individual'!C318)='Estado por Colaborador'!$D$5),OR('Estado por Colaborador'!$D$6="Todos",'Detalle individual'!F318='Estado por Colaborador'!$D$6)),IF('Detalle individual'!F318="Completado",30000000,IF('Detalle individual'!F318="Pendiente",0,15000000))+COUNTIF('Detalle individual'!$C$5:$C$1000,"&lt;"&amp;'Detalle individual'!C318)*10000+ROW(),""))</f>
        <v/>
      </c>
      <c r="AB318" t="str">
        <f>IF('Detalle individual'!C318="","",IF(COUNTIF('Detalle individual'!$C$5:C318,'Detalle individual'!C318)=1,COUNTIF('Detalle individual'!$C$5:$C$1000,"&lt;"&amp;'Detalle individual'!C318),""))</f>
        <v/>
      </c>
      <c r="AC318" t="str">
        <f>IF('Detalle individual'!D318="","",IF(COUNTIF('Detalle individual'!$D$5:D318,'Detalle individual'!D318)=1,COUNTIF('Detalle individual'!$D$5:$D$1000,"&lt;"&amp;'Detalle individual'!D318),""))</f>
        <v/>
      </c>
      <c r="AH318" t="str">
        <f>IF('Detalle individual'!F318="Pendiente",COUNTIF('Detalle individual'!$D$5:$D$1000,"&lt;"&amp;'Detalle individual'!D318)*1000000+COUNTIF('Detalle individual'!$C$5:$C$1000,"&lt;"&amp;'Detalle individual'!C318)*1000+COUNTIF('Detalle individual'!$B$5:$B$1000,"&lt;"&amp;'Detalle individual'!B318)+ROW()/10000,"")</f>
        <v/>
      </c>
      <c r="AI318" t="str">
        <f>IF('Detalle individual'!F318="Completado",COUNTIF('Detalle individual'!$D$5:$D$1000,"&lt;"&amp;'Detalle individual'!D318)*1000000+COUNTIF('Detalle individual'!$C$5:$C$1000,"&lt;"&amp;'Detalle individual'!C318)*1000+COUNTIF('Detalle individual'!$B$5:$B$1000,"&lt;"&amp;'Detalle individual'!B318)+ROW()/10000,"")</f>
        <v/>
      </c>
      <c r="AJ318" t="str">
        <f>IF(AND('Detalle individual'!F318&lt;&gt;"",'Detalle individual'!F318&lt;&gt;"Completado",'Detalle individual'!F318&lt;&gt;"Pendiente"),COUNTIF('Detalle individual'!$D$5:$D$1000,"&lt;"&amp;'Detalle individual'!D318)*1000000+COUNTIF('Detalle individual'!$C$5:$C$1000,"&lt;"&amp;'Detalle individual'!C318)*1000+COUNTIF('Detalle individual'!$B$5:$B$1000,"&lt;"&amp;'Detalle individual'!B318)+ROW()/10000,"")</f>
        <v/>
      </c>
      <c r="AK318" t="str">
        <f>IF(OR('Base Exámenes'!C318="",'Base Exámenes'!D318=""),"",IF(COUNTIF('Base Exámenes'!$C$5:C318,'Base Exámenes'!C318)=1,'Base Exámenes'!D318+ROW()/1000000000,""))</f>
        <v/>
      </c>
      <c r="AL318" t="str">
        <f>IF(OR('Base Exámenes'!C318="",'Base Exámenes'!E318=""),"",IF(COUNTIF('Base Exámenes'!$C$5:C318,'Base Exámenes'!C318)=1,'Base Exámenes'!E318+ROW()/1000000000,""))</f>
        <v/>
      </c>
      <c r="AM318" t="str">
        <f>IF(OR('Base Exámenes'!C318="",'Base Exámenes'!G318=""),"",IF(ROW()-4=MATCH('Base Exámenes'!C318&amp;"|"&amp;_xlfn.MAXIFS('Base Exámenes'!$G$5:$G$1000,'Base Exámenes'!$C$5:$C$1000,'Base Exámenes'!C318),'Base Exámenes'!$I$5:$I$1000,0),'Base Exámenes'!G318*1000000+(-1)*'Base Exámenes'!D318,""))</f>
        <v/>
      </c>
      <c r="AQ318" t="str">
        <f>IF('Base Exámenes'!C318="","",IF(COUNTIF('Base Exámenes'!$C$5:$C$1000,'Base Exámenes'!C318)&lt;2,"",MATCH('Base Exámenes'!C318,'Base Exámenes'!$C$5:$C$1000,0)*10000+ROW()))</f>
        <v/>
      </c>
    </row>
    <row r="319">
      <c r="Z319" t="str">
        <f>IF('Detalle individual'!A319="","",IF(AND(OR('Estado por Colaborador'!$D$4="Todas las gerencias",'Detalle individual'!D319='Estado por Colaborador'!$D$4),OR('Estado por Colaborador'!$D$5="Todos los departamentos",TRIM('Detalle individual'!C319)='Estado por Colaborador'!$D$5),OR('Estado por Colaborador'!$D$6="Todos",'Detalle individual'!F319='Estado por Colaborador'!$D$6)),IF('Detalle individual'!F319="Completado",30000000,IF('Detalle individual'!F319="Pendiente",0,15000000))+COUNTIF('Detalle individual'!$C$5:$C$1000,"&lt;"&amp;'Detalle individual'!C319)*10000+ROW(),""))</f>
        <v/>
      </c>
      <c r="AB319" t="str">
        <f>IF('Detalle individual'!C319="","",IF(COUNTIF('Detalle individual'!$C$5:C319,'Detalle individual'!C319)=1,COUNTIF('Detalle individual'!$C$5:$C$1000,"&lt;"&amp;'Detalle individual'!C319),""))</f>
        <v/>
      </c>
      <c r="AC319" t="str">
        <f>IF('Detalle individual'!D319="","",IF(COUNTIF('Detalle individual'!$D$5:D319,'Detalle individual'!D319)=1,COUNTIF('Detalle individual'!$D$5:$D$1000,"&lt;"&amp;'Detalle individual'!D319),""))</f>
        <v/>
      </c>
      <c r="AH319" t="str">
        <f>IF('Detalle individual'!F319="Pendiente",COUNTIF('Detalle individual'!$D$5:$D$1000,"&lt;"&amp;'Detalle individual'!D319)*1000000+COUNTIF('Detalle individual'!$C$5:$C$1000,"&lt;"&amp;'Detalle individual'!C319)*1000+COUNTIF('Detalle individual'!$B$5:$B$1000,"&lt;"&amp;'Detalle individual'!B319)+ROW()/10000,"")</f>
        <v/>
      </c>
      <c r="AI319" t="str">
        <f>IF('Detalle individual'!F319="Completado",COUNTIF('Detalle individual'!$D$5:$D$1000,"&lt;"&amp;'Detalle individual'!D319)*1000000+COUNTIF('Detalle individual'!$C$5:$C$1000,"&lt;"&amp;'Detalle individual'!C319)*1000+COUNTIF('Detalle individual'!$B$5:$B$1000,"&lt;"&amp;'Detalle individual'!B319)+ROW()/10000,"")</f>
        <v/>
      </c>
      <c r="AJ319" t="str">
        <f>IF(AND('Detalle individual'!F319&lt;&gt;"",'Detalle individual'!F319&lt;&gt;"Completado",'Detalle individual'!F319&lt;&gt;"Pendiente"),COUNTIF('Detalle individual'!$D$5:$D$1000,"&lt;"&amp;'Detalle individual'!D319)*1000000+COUNTIF('Detalle individual'!$C$5:$C$1000,"&lt;"&amp;'Detalle individual'!C319)*1000+COUNTIF('Detalle individual'!$B$5:$B$1000,"&lt;"&amp;'Detalle individual'!B319)+ROW()/10000,"")</f>
        <v/>
      </c>
      <c r="AK319" t="str">
        <f>IF(OR('Base Exámenes'!C319="",'Base Exámenes'!D319=""),"",IF(COUNTIF('Base Exámenes'!$C$5:C319,'Base Exámenes'!C319)=1,'Base Exámenes'!D319+ROW()/1000000000,""))</f>
        <v/>
      </c>
      <c r="AL319" t="str">
        <f>IF(OR('Base Exámenes'!C319="",'Base Exámenes'!E319=""),"",IF(COUNTIF('Base Exámenes'!$C$5:C319,'Base Exámenes'!C319)=1,'Base Exámenes'!E319+ROW()/1000000000,""))</f>
        <v/>
      </c>
      <c r="AM319" t="str">
        <f>IF(OR('Base Exámenes'!C319="",'Base Exámenes'!G319=""),"",IF(ROW()-4=MATCH('Base Exámenes'!C319&amp;"|"&amp;_xlfn.MAXIFS('Base Exámenes'!$G$5:$G$1000,'Base Exámenes'!$C$5:$C$1000,'Base Exámenes'!C319),'Base Exámenes'!$I$5:$I$1000,0),'Base Exámenes'!G319*1000000+(-1)*'Base Exámenes'!D319,""))</f>
        <v/>
      </c>
      <c r="AQ319" t="str">
        <f>IF('Base Exámenes'!C319="","",IF(COUNTIF('Base Exámenes'!$C$5:$C$1000,'Base Exámenes'!C319)&lt;2,"",MATCH('Base Exámenes'!C319,'Base Exámenes'!$C$5:$C$1000,0)*10000+ROW()))</f>
        <v/>
      </c>
    </row>
    <row r="320">
      <c r="Z320" t="str">
        <f>IF('Detalle individual'!A320="","",IF(AND(OR('Estado por Colaborador'!$D$4="Todas las gerencias",'Detalle individual'!D320='Estado por Colaborador'!$D$4),OR('Estado por Colaborador'!$D$5="Todos los departamentos",TRIM('Detalle individual'!C320)='Estado por Colaborador'!$D$5),OR('Estado por Colaborador'!$D$6="Todos",'Detalle individual'!F320='Estado por Colaborador'!$D$6)),IF('Detalle individual'!F320="Completado",30000000,IF('Detalle individual'!F320="Pendiente",0,15000000))+COUNTIF('Detalle individual'!$C$5:$C$1000,"&lt;"&amp;'Detalle individual'!C320)*10000+ROW(),""))</f>
        <v/>
      </c>
      <c r="AB320" t="str">
        <f>IF('Detalle individual'!C320="","",IF(COUNTIF('Detalle individual'!$C$5:C320,'Detalle individual'!C320)=1,COUNTIF('Detalle individual'!$C$5:$C$1000,"&lt;"&amp;'Detalle individual'!C320),""))</f>
        <v/>
      </c>
      <c r="AC320" t="str">
        <f>IF('Detalle individual'!D320="","",IF(COUNTIF('Detalle individual'!$D$5:D320,'Detalle individual'!D320)=1,COUNTIF('Detalle individual'!$D$5:$D$1000,"&lt;"&amp;'Detalle individual'!D320),""))</f>
        <v/>
      </c>
      <c r="AH320" t="str">
        <f>IF('Detalle individual'!F320="Pendiente",COUNTIF('Detalle individual'!$D$5:$D$1000,"&lt;"&amp;'Detalle individual'!D320)*1000000+COUNTIF('Detalle individual'!$C$5:$C$1000,"&lt;"&amp;'Detalle individual'!C320)*1000+COUNTIF('Detalle individual'!$B$5:$B$1000,"&lt;"&amp;'Detalle individual'!B320)+ROW()/10000,"")</f>
        <v/>
      </c>
      <c r="AI320" t="str">
        <f>IF('Detalle individual'!F320="Completado",COUNTIF('Detalle individual'!$D$5:$D$1000,"&lt;"&amp;'Detalle individual'!D320)*1000000+COUNTIF('Detalle individual'!$C$5:$C$1000,"&lt;"&amp;'Detalle individual'!C320)*1000+COUNTIF('Detalle individual'!$B$5:$B$1000,"&lt;"&amp;'Detalle individual'!B320)+ROW()/10000,"")</f>
        <v/>
      </c>
      <c r="AJ320" t="str">
        <f>IF(AND('Detalle individual'!F320&lt;&gt;"",'Detalle individual'!F320&lt;&gt;"Completado",'Detalle individual'!F320&lt;&gt;"Pendiente"),COUNTIF('Detalle individual'!$D$5:$D$1000,"&lt;"&amp;'Detalle individual'!D320)*1000000+COUNTIF('Detalle individual'!$C$5:$C$1000,"&lt;"&amp;'Detalle individual'!C320)*1000+COUNTIF('Detalle individual'!$B$5:$B$1000,"&lt;"&amp;'Detalle individual'!B320)+ROW()/10000,"")</f>
        <v/>
      </c>
      <c r="AK320" t="str">
        <f>IF(OR('Base Exámenes'!C320="",'Base Exámenes'!D320=""),"",IF(COUNTIF('Base Exámenes'!$C$5:C320,'Base Exámenes'!C320)=1,'Base Exámenes'!D320+ROW()/1000000000,""))</f>
        <v/>
      </c>
      <c r="AL320" t="str">
        <f>IF(OR('Base Exámenes'!C320="",'Base Exámenes'!E320=""),"",IF(COUNTIF('Base Exámenes'!$C$5:C320,'Base Exámenes'!C320)=1,'Base Exámenes'!E320+ROW()/1000000000,""))</f>
        <v/>
      </c>
      <c r="AM320" t="str">
        <f>IF(OR('Base Exámenes'!C320="",'Base Exámenes'!G320=""),"",IF(ROW()-4=MATCH('Base Exámenes'!C320&amp;"|"&amp;_xlfn.MAXIFS('Base Exámenes'!$G$5:$G$1000,'Base Exámenes'!$C$5:$C$1000,'Base Exámenes'!C320),'Base Exámenes'!$I$5:$I$1000,0),'Base Exámenes'!G320*1000000+(-1)*'Base Exámenes'!D320,""))</f>
        <v/>
      </c>
      <c r="AQ320" t="str">
        <f>IF('Base Exámenes'!C320="","",IF(COUNTIF('Base Exámenes'!$C$5:$C$1000,'Base Exámenes'!C320)&lt;2,"",MATCH('Base Exámenes'!C320,'Base Exámenes'!$C$5:$C$1000,0)*10000+ROW()))</f>
        <v/>
      </c>
    </row>
    <row r="321">
      <c r="Z321" t="str">
        <f>IF('Detalle individual'!A321="","",IF(AND(OR('Estado por Colaborador'!$D$4="Todas las gerencias",'Detalle individual'!D321='Estado por Colaborador'!$D$4),OR('Estado por Colaborador'!$D$5="Todos los departamentos",TRIM('Detalle individual'!C321)='Estado por Colaborador'!$D$5),OR('Estado por Colaborador'!$D$6="Todos",'Detalle individual'!F321='Estado por Colaborador'!$D$6)),IF('Detalle individual'!F321="Completado",30000000,IF('Detalle individual'!F321="Pendiente",0,15000000))+COUNTIF('Detalle individual'!$C$5:$C$1000,"&lt;"&amp;'Detalle individual'!C321)*10000+ROW(),""))</f>
        <v/>
      </c>
      <c r="AB321" t="str">
        <f>IF('Detalle individual'!C321="","",IF(COUNTIF('Detalle individual'!$C$5:C321,'Detalle individual'!C321)=1,COUNTIF('Detalle individual'!$C$5:$C$1000,"&lt;"&amp;'Detalle individual'!C321),""))</f>
        <v/>
      </c>
      <c r="AC321" t="str">
        <f>IF('Detalle individual'!D321="","",IF(COUNTIF('Detalle individual'!$D$5:D321,'Detalle individual'!D321)=1,COUNTIF('Detalle individual'!$D$5:$D$1000,"&lt;"&amp;'Detalle individual'!D321),""))</f>
        <v/>
      </c>
      <c r="AH321" t="str">
        <f>IF('Detalle individual'!F321="Pendiente",COUNTIF('Detalle individual'!$D$5:$D$1000,"&lt;"&amp;'Detalle individual'!D321)*1000000+COUNTIF('Detalle individual'!$C$5:$C$1000,"&lt;"&amp;'Detalle individual'!C321)*1000+COUNTIF('Detalle individual'!$B$5:$B$1000,"&lt;"&amp;'Detalle individual'!B321)+ROW()/10000,"")</f>
        <v/>
      </c>
      <c r="AI321" t="str">
        <f>IF('Detalle individual'!F321="Completado",COUNTIF('Detalle individual'!$D$5:$D$1000,"&lt;"&amp;'Detalle individual'!D321)*1000000+COUNTIF('Detalle individual'!$C$5:$C$1000,"&lt;"&amp;'Detalle individual'!C321)*1000+COUNTIF('Detalle individual'!$B$5:$B$1000,"&lt;"&amp;'Detalle individual'!B321)+ROW()/10000,"")</f>
        <v/>
      </c>
      <c r="AJ321" t="str">
        <f>IF(AND('Detalle individual'!F321&lt;&gt;"",'Detalle individual'!F321&lt;&gt;"Completado",'Detalle individual'!F321&lt;&gt;"Pendiente"),COUNTIF('Detalle individual'!$D$5:$D$1000,"&lt;"&amp;'Detalle individual'!D321)*1000000+COUNTIF('Detalle individual'!$C$5:$C$1000,"&lt;"&amp;'Detalle individual'!C321)*1000+COUNTIF('Detalle individual'!$B$5:$B$1000,"&lt;"&amp;'Detalle individual'!B321)+ROW()/10000,"")</f>
        <v/>
      </c>
      <c r="AK321" t="str">
        <f>IF(OR('Base Exámenes'!C321="",'Base Exámenes'!D321=""),"",IF(COUNTIF('Base Exámenes'!$C$5:C321,'Base Exámenes'!C321)=1,'Base Exámenes'!D321+ROW()/1000000000,""))</f>
        <v/>
      </c>
      <c r="AL321" t="str">
        <f>IF(OR('Base Exámenes'!C321="",'Base Exámenes'!E321=""),"",IF(COUNTIF('Base Exámenes'!$C$5:C321,'Base Exámenes'!C321)=1,'Base Exámenes'!E321+ROW()/1000000000,""))</f>
        <v/>
      </c>
      <c r="AM321" t="str">
        <f>IF(OR('Base Exámenes'!C321="",'Base Exámenes'!G321=""),"",IF(ROW()-4=MATCH('Base Exámenes'!C321&amp;"|"&amp;_xlfn.MAXIFS('Base Exámenes'!$G$5:$G$1000,'Base Exámenes'!$C$5:$C$1000,'Base Exámenes'!C321),'Base Exámenes'!$I$5:$I$1000,0),'Base Exámenes'!G321*1000000+(-1)*'Base Exámenes'!D321,""))</f>
        <v/>
      </c>
      <c r="AQ321" t="str">
        <f>IF('Base Exámenes'!C321="","",IF(COUNTIF('Base Exámenes'!$C$5:$C$1000,'Base Exámenes'!C321)&lt;2,"",MATCH('Base Exámenes'!C321,'Base Exámenes'!$C$5:$C$1000,0)*10000+ROW()))</f>
        <v/>
      </c>
    </row>
    <row r="322">
      <c r="Z322" t="str">
        <f>IF('Detalle individual'!A322="","",IF(AND(OR('Estado por Colaborador'!$D$4="Todas las gerencias",'Detalle individual'!D322='Estado por Colaborador'!$D$4),OR('Estado por Colaborador'!$D$5="Todos los departamentos",TRIM('Detalle individual'!C322)='Estado por Colaborador'!$D$5),OR('Estado por Colaborador'!$D$6="Todos",'Detalle individual'!F322='Estado por Colaborador'!$D$6)),IF('Detalle individual'!F322="Completado",30000000,IF('Detalle individual'!F322="Pendiente",0,15000000))+COUNTIF('Detalle individual'!$C$5:$C$1000,"&lt;"&amp;'Detalle individual'!C322)*10000+ROW(),""))</f>
        <v/>
      </c>
      <c r="AB322" t="str">
        <f>IF('Detalle individual'!C322="","",IF(COUNTIF('Detalle individual'!$C$5:C322,'Detalle individual'!C322)=1,COUNTIF('Detalle individual'!$C$5:$C$1000,"&lt;"&amp;'Detalle individual'!C322),""))</f>
        <v/>
      </c>
      <c r="AC322" t="str">
        <f>IF('Detalle individual'!D322="","",IF(COUNTIF('Detalle individual'!$D$5:D322,'Detalle individual'!D322)=1,COUNTIF('Detalle individual'!$D$5:$D$1000,"&lt;"&amp;'Detalle individual'!D322),""))</f>
        <v/>
      </c>
      <c r="AH322" t="str">
        <f>IF('Detalle individual'!F322="Pendiente",COUNTIF('Detalle individual'!$D$5:$D$1000,"&lt;"&amp;'Detalle individual'!D322)*1000000+COUNTIF('Detalle individual'!$C$5:$C$1000,"&lt;"&amp;'Detalle individual'!C322)*1000+COUNTIF('Detalle individual'!$B$5:$B$1000,"&lt;"&amp;'Detalle individual'!B322)+ROW()/10000,"")</f>
        <v/>
      </c>
      <c r="AI322" t="str">
        <f>IF('Detalle individual'!F322="Completado",COUNTIF('Detalle individual'!$D$5:$D$1000,"&lt;"&amp;'Detalle individual'!D322)*1000000+COUNTIF('Detalle individual'!$C$5:$C$1000,"&lt;"&amp;'Detalle individual'!C322)*1000+COUNTIF('Detalle individual'!$B$5:$B$1000,"&lt;"&amp;'Detalle individual'!B322)+ROW()/10000,"")</f>
        <v/>
      </c>
      <c r="AJ322" t="str">
        <f>IF(AND('Detalle individual'!F322&lt;&gt;"",'Detalle individual'!F322&lt;&gt;"Completado",'Detalle individual'!F322&lt;&gt;"Pendiente"),COUNTIF('Detalle individual'!$D$5:$D$1000,"&lt;"&amp;'Detalle individual'!D322)*1000000+COUNTIF('Detalle individual'!$C$5:$C$1000,"&lt;"&amp;'Detalle individual'!C322)*1000+COUNTIF('Detalle individual'!$B$5:$B$1000,"&lt;"&amp;'Detalle individual'!B322)+ROW()/10000,"")</f>
        <v/>
      </c>
      <c r="AK322" t="str">
        <f>IF(OR('Base Exámenes'!C322="",'Base Exámenes'!D322=""),"",IF(COUNTIF('Base Exámenes'!$C$5:C322,'Base Exámenes'!C322)=1,'Base Exámenes'!D322+ROW()/1000000000,""))</f>
        <v/>
      </c>
      <c r="AL322" t="str">
        <f>IF(OR('Base Exámenes'!C322="",'Base Exámenes'!E322=""),"",IF(COUNTIF('Base Exámenes'!$C$5:C322,'Base Exámenes'!C322)=1,'Base Exámenes'!E322+ROW()/1000000000,""))</f>
        <v/>
      </c>
      <c r="AM322" t="str">
        <f>IF(OR('Base Exámenes'!C322="",'Base Exámenes'!G322=""),"",IF(ROW()-4=MATCH('Base Exámenes'!C322&amp;"|"&amp;_xlfn.MAXIFS('Base Exámenes'!$G$5:$G$1000,'Base Exámenes'!$C$5:$C$1000,'Base Exámenes'!C322),'Base Exámenes'!$I$5:$I$1000,0),'Base Exámenes'!G322*1000000+(-1)*'Base Exámenes'!D322,""))</f>
        <v/>
      </c>
      <c r="AQ322" t="str">
        <f>IF('Base Exámenes'!C322="","",IF(COUNTIF('Base Exámenes'!$C$5:$C$1000,'Base Exámenes'!C322)&lt;2,"",MATCH('Base Exámenes'!C322,'Base Exámenes'!$C$5:$C$1000,0)*10000+ROW()))</f>
        <v/>
      </c>
    </row>
    <row r="323">
      <c r="Z323" t="str">
        <f>IF('Detalle individual'!A323="","",IF(AND(OR('Estado por Colaborador'!$D$4="Todas las gerencias",'Detalle individual'!D323='Estado por Colaborador'!$D$4),OR('Estado por Colaborador'!$D$5="Todos los departamentos",TRIM('Detalle individual'!C323)='Estado por Colaborador'!$D$5),OR('Estado por Colaborador'!$D$6="Todos",'Detalle individual'!F323='Estado por Colaborador'!$D$6)),IF('Detalle individual'!F323="Completado",30000000,IF('Detalle individual'!F323="Pendiente",0,15000000))+COUNTIF('Detalle individual'!$C$5:$C$1000,"&lt;"&amp;'Detalle individual'!C323)*10000+ROW(),""))</f>
        <v/>
      </c>
      <c r="AB323" t="str">
        <f>IF('Detalle individual'!C323="","",IF(COUNTIF('Detalle individual'!$C$5:C323,'Detalle individual'!C323)=1,COUNTIF('Detalle individual'!$C$5:$C$1000,"&lt;"&amp;'Detalle individual'!C323),""))</f>
        <v/>
      </c>
      <c r="AC323" t="str">
        <f>IF('Detalle individual'!D323="","",IF(COUNTIF('Detalle individual'!$D$5:D323,'Detalle individual'!D323)=1,COUNTIF('Detalle individual'!$D$5:$D$1000,"&lt;"&amp;'Detalle individual'!D323),""))</f>
        <v/>
      </c>
      <c r="AH323" t="str">
        <f>IF('Detalle individual'!F323="Pendiente",COUNTIF('Detalle individual'!$D$5:$D$1000,"&lt;"&amp;'Detalle individual'!D323)*1000000+COUNTIF('Detalle individual'!$C$5:$C$1000,"&lt;"&amp;'Detalle individual'!C323)*1000+COUNTIF('Detalle individual'!$B$5:$B$1000,"&lt;"&amp;'Detalle individual'!B323)+ROW()/10000,"")</f>
        <v/>
      </c>
      <c r="AI323" t="str">
        <f>IF('Detalle individual'!F323="Completado",COUNTIF('Detalle individual'!$D$5:$D$1000,"&lt;"&amp;'Detalle individual'!D323)*1000000+COUNTIF('Detalle individual'!$C$5:$C$1000,"&lt;"&amp;'Detalle individual'!C323)*1000+COUNTIF('Detalle individual'!$B$5:$B$1000,"&lt;"&amp;'Detalle individual'!B323)+ROW()/10000,"")</f>
        <v/>
      </c>
      <c r="AJ323" t="str">
        <f>IF(AND('Detalle individual'!F323&lt;&gt;"",'Detalle individual'!F323&lt;&gt;"Completado",'Detalle individual'!F323&lt;&gt;"Pendiente"),COUNTIF('Detalle individual'!$D$5:$D$1000,"&lt;"&amp;'Detalle individual'!D323)*1000000+COUNTIF('Detalle individual'!$C$5:$C$1000,"&lt;"&amp;'Detalle individual'!C323)*1000+COUNTIF('Detalle individual'!$B$5:$B$1000,"&lt;"&amp;'Detalle individual'!B323)+ROW()/10000,"")</f>
        <v/>
      </c>
      <c r="AK323" t="str">
        <f>IF(OR('Base Exámenes'!C323="",'Base Exámenes'!D323=""),"",IF(COUNTIF('Base Exámenes'!$C$5:C323,'Base Exámenes'!C323)=1,'Base Exámenes'!D323+ROW()/1000000000,""))</f>
        <v/>
      </c>
      <c r="AL323" t="str">
        <f>IF(OR('Base Exámenes'!C323="",'Base Exámenes'!E323=""),"",IF(COUNTIF('Base Exámenes'!$C$5:C323,'Base Exámenes'!C323)=1,'Base Exámenes'!E323+ROW()/1000000000,""))</f>
        <v/>
      </c>
      <c r="AM323" t="str">
        <f>IF(OR('Base Exámenes'!C323="",'Base Exámenes'!G323=""),"",IF(ROW()-4=MATCH('Base Exámenes'!C323&amp;"|"&amp;_xlfn.MAXIFS('Base Exámenes'!$G$5:$G$1000,'Base Exámenes'!$C$5:$C$1000,'Base Exámenes'!C323),'Base Exámenes'!$I$5:$I$1000,0),'Base Exámenes'!G323*1000000+(-1)*'Base Exámenes'!D323,""))</f>
        <v/>
      </c>
      <c r="AQ323" t="str">
        <f>IF('Base Exámenes'!C323="","",IF(COUNTIF('Base Exámenes'!$C$5:$C$1000,'Base Exámenes'!C323)&lt;2,"",MATCH('Base Exámenes'!C323,'Base Exámenes'!$C$5:$C$1000,0)*10000+ROW()))</f>
        <v/>
      </c>
    </row>
    <row r="324">
      <c r="Z324" t="str">
        <f>IF('Detalle individual'!A324="","",IF(AND(OR('Estado por Colaborador'!$D$4="Todas las gerencias",'Detalle individual'!D324='Estado por Colaborador'!$D$4),OR('Estado por Colaborador'!$D$5="Todos los departamentos",TRIM('Detalle individual'!C324)='Estado por Colaborador'!$D$5),OR('Estado por Colaborador'!$D$6="Todos",'Detalle individual'!F324='Estado por Colaborador'!$D$6)),IF('Detalle individual'!F324="Completado",30000000,IF('Detalle individual'!F324="Pendiente",0,15000000))+COUNTIF('Detalle individual'!$C$5:$C$1000,"&lt;"&amp;'Detalle individual'!C324)*10000+ROW(),""))</f>
        <v/>
      </c>
      <c r="AB324" t="str">
        <f>IF('Detalle individual'!C324="","",IF(COUNTIF('Detalle individual'!$C$5:C324,'Detalle individual'!C324)=1,COUNTIF('Detalle individual'!$C$5:$C$1000,"&lt;"&amp;'Detalle individual'!C324),""))</f>
        <v/>
      </c>
      <c r="AC324" t="str">
        <f>IF('Detalle individual'!D324="","",IF(COUNTIF('Detalle individual'!$D$5:D324,'Detalle individual'!D324)=1,COUNTIF('Detalle individual'!$D$5:$D$1000,"&lt;"&amp;'Detalle individual'!D324),""))</f>
        <v/>
      </c>
      <c r="AH324" t="str">
        <f>IF('Detalle individual'!F324="Pendiente",COUNTIF('Detalle individual'!$D$5:$D$1000,"&lt;"&amp;'Detalle individual'!D324)*1000000+COUNTIF('Detalle individual'!$C$5:$C$1000,"&lt;"&amp;'Detalle individual'!C324)*1000+COUNTIF('Detalle individual'!$B$5:$B$1000,"&lt;"&amp;'Detalle individual'!B324)+ROW()/10000,"")</f>
        <v/>
      </c>
      <c r="AI324" t="str">
        <f>IF('Detalle individual'!F324="Completado",COUNTIF('Detalle individual'!$D$5:$D$1000,"&lt;"&amp;'Detalle individual'!D324)*1000000+COUNTIF('Detalle individual'!$C$5:$C$1000,"&lt;"&amp;'Detalle individual'!C324)*1000+COUNTIF('Detalle individual'!$B$5:$B$1000,"&lt;"&amp;'Detalle individual'!B324)+ROW()/10000,"")</f>
        <v/>
      </c>
      <c r="AJ324" t="str">
        <f>IF(AND('Detalle individual'!F324&lt;&gt;"",'Detalle individual'!F324&lt;&gt;"Completado",'Detalle individual'!F324&lt;&gt;"Pendiente"),COUNTIF('Detalle individual'!$D$5:$D$1000,"&lt;"&amp;'Detalle individual'!D324)*1000000+COUNTIF('Detalle individual'!$C$5:$C$1000,"&lt;"&amp;'Detalle individual'!C324)*1000+COUNTIF('Detalle individual'!$B$5:$B$1000,"&lt;"&amp;'Detalle individual'!B324)+ROW()/10000,"")</f>
        <v/>
      </c>
      <c r="AK324" t="str">
        <f>IF(OR('Base Exámenes'!C324="",'Base Exámenes'!D324=""),"",IF(COUNTIF('Base Exámenes'!$C$5:C324,'Base Exámenes'!C324)=1,'Base Exámenes'!D324+ROW()/1000000000,""))</f>
        <v/>
      </c>
      <c r="AL324" t="str">
        <f>IF(OR('Base Exámenes'!C324="",'Base Exámenes'!E324=""),"",IF(COUNTIF('Base Exámenes'!$C$5:C324,'Base Exámenes'!C324)=1,'Base Exámenes'!E324+ROW()/1000000000,""))</f>
        <v/>
      </c>
      <c r="AM324" t="str">
        <f>IF(OR('Base Exámenes'!C324="",'Base Exámenes'!G324=""),"",IF(ROW()-4=MATCH('Base Exámenes'!C324&amp;"|"&amp;_xlfn.MAXIFS('Base Exámenes'!$G$5:$G$1000,'Base Exámenes'!$C$5:$C$1000,'Base Exámenes'!C324),'Base Exámenes'!$I$5:$I$1000,0),'Base Exámenes'!G324*1000000+(-1)*'Base Exámenes'!D324,""))</f>
        <v/>
      </c>
      <c r="AQ324" t="str">
        <f>IF('Base Exámenes'!C324="","",IF(COUNTIF('Base Exámenes'!$C$5:$C$1000,'Base Exámenes'!C324)&lt;2,"",MATCH('Base Exámenes'!C324,'Base Exámenes'!$C$5:$C$1000,0)*10000+ROW()))</f>
        <v/>
      </c>
    </row>
    <row r="325">
      <c r="Z325" t="str">
        <f>IF('Detalle individual'!A325="","",IF(AND(OR('Estado por Colaborador'!$D$4="Todas las gerencias",'Detalle individual'!D325='Estado por Colaborador'!$D$4),OR('Estado por Colaborador'!$D$5="Todos los departamentos",TRIM('Detalle individual'!C325)='Estado por Colaborador'!$D$5),OR('Estado por Colaborador'!$D$6="Todos",'Detalle individual'!F325='Estado por Colaborador'!$D$6)),IF('Detalle individual'!F325="Completado",30000000,IF('Detalle individual'!F325="Pendiente",0,15000000))+COUNTIF('Detalle individual'!$C$5:$C$1000,"&lt;"&amp;'Detalle individual'!C325)*10000+ROW(),""))</f>
        <v/>
      </c>
      <c r="AB325" t="str">
        <f>IF('Detalle individual'!C325="","",IF(COUNTIF('Detalle individual'!$C$5:C325,'Detalle individual'!C325)=1,COUNTIF('Detalle individual'!$C$5:$C$1000,"&lt;"&amp;'Detalle individual'!C325),""))</f>
        <v/>
      </c>
      <c r="AC325" t="str">
        <f>IF('Detalle individual'!D325="","",IF(COUNTIF('Detalle individual'!$D$5:D325,'Detalle individual'!D325)=1,COUNTIF('Detalle individual'!$D$5:$D$1000,"&lt;"&amp;'Detalle individual'!D325),""))</f>
        <v/>
      </c>
      <c r="AH325" t="str">
        <f>IF('Detalle individual'!F325="Pendiente",COUNTIF('Detalle individual'!$D$5:$D$1000,"&lt;"&amp;'Detalle individual'!D325)*1000000+COUNTIF('Detalle individual'!$C$5:$C$1000,"&lt;"&amp;'Detalle individual'!C325)*1000+COUNTIF('Detalle individual'!$B$5:$B$1000,"&lt;"&amp;'Detalle individual'!B325)+ROW()/10000,"")</f>
        <v/>
      </c>
      <c r="AI325" t="str">
        <f>IF('Detalle individual'!F325="Completado",COUNTIF('Detalle individual'!$D$5:$D$1000,"&lt;"&amp;'Detalle individual'!D325)*1000000+COUNTIF('Detalle individual'!$C$5:$C$1000,"&lt;"&amp;'Detalle individual'!C325)*1000+COUNTIF('Detalle individual'!$B$5:$B$1000,"&lt;"&amp;'Detalle individual'!B325)+ROW()/10000,"")</f>
        <v/>
      </c>
      <c r="AJ325" t="str">
        <f>IF(AND('Detalle individual'!F325&lt;&gt;"",'Detalle individual'!F325&lt;&gt;"Completado",'Detalle individual'!F325&lt;&gt;"Pendiente"),COUNTIF('Detalle individual'!$D$5:$D$1000,"&lt;"&amp;'Detalle individual'!D325)*1000000+COUNTIF('Detalle individual'!$C$5:$C$1000,"&lt;"&amp;'Detalle individual'!C325)*1000+COUNTIF('Detalle individual'!$B$5:$B$1000,"&lt;"&amp;'Detalle individual'!B325)+ROW()/10000,"")</f>
        <v/>
      </c>
      <c r="AK325" t="str">
        <f>IF(OR('Base Exámenes'!C325="",'Base Exámenes'!D325=""),"",IF(COUNTIF('Base Exámenes'!$C$5:C325,'Base Exámenes'!C325)=1,'Base Exámenes'!D325+ROW()/1000000000,""))</f>
        <v/>
      </c>
      <c r="AL325" t="str">
        <f>IF(OR('Base Exámenes'!C325="",'Base Exámenes'!E325=""),"",IF(COUNTIF('Base Exámenes'!$C$5:C325,'Base Exámenes'!C325)=1,'Base Exámenes'!E325+ROW()/1000000000,""))</f>
        <v/>
      </c>
      <c r="AM325" t="str">
        <f>IF(OR('Base Exámenes'!C325="",'Base Exámenes'!G325=""),"",IF(ROW()-4=MATCH('Base Exámenes'!C325&amp;"|"&amp;_xlfn.MAXIFS('Base Exámenes'!$G$5:$G$1000,'Base Exámenes'!$C$5:$C$1000,'Base Exámenes'!C325),'Base Exámenes'!$I$5:$I$1000,0),'Base Exámenes'!G325*1000000+(-1)*'Base Exámenes'!D325,""))</f>
        <v/>
      </c>
      <c r="AQ325" t="str">
        <f>IF('Base Exámenes'!C325="","",IF(COUNTIF('Base Exámenes'!$C$5:$C$1000,'Base Exámenes'!C325)&lt;2,"",MATCH('Base Exámenes'!C325,'Base Exámenes'!$C$5:$C$1000,0)*10000+ROW()))</f>
        <v/>
      </c>
    </row>
    <row r="326">
      <c r="Z326" t="str">
        <f>IF('Detalle individual'!A326="","",IF(AND(OR('Estado por Colaborador'!$D$4="Todas las gerencias",'Detalle individual'!D326='Estado por Colaborador'!$D$4),OR('Estado por Colaborador'!$D$5="Todos los departamentos",TRIM('Detalle individual'!C326)='Estado por Colaborador'!$D$5),OR('Estado por Colaborador'!$D$6="Todos",'Detalle individual'!F326='Estado por Colaborador'!$D$6)),IF('Detalle individual'!F326="Completado",30000000,IF('Detalle individual'!F326="Pendiente",0,15000000))+COUNTIF('Detalle individual'!$C$5:$C$1000,"&lt;"&amp;'Detalle individual'!C326)*10000+ROW(),""))</f>
        <v/>
      </c>
      <c r="AB326" t="str">
        <f>IF('Detalle individual'!C326="","",IF(COUNTIF('Detalle individual'!$C$5:C326,'Detalle individual'!C326)=1,COUNTIF('Detalle individual'!$C$5:$C$1000,"&lt;"&amp;'Detalle individual'!C326),""))</f>
        <v/>
      </c>
      <c r="AC326" t="str">
        <f>IF('Detalle individual'!D326="","",IF(COUNTIF('Detalle individual'!$D$5:D326,'Detalle individual'!D326)=1,COUNTIF('Detalle individual'!$D$5:$D$1000,"&lt;"&amp;'Detalle individual'!D326),""))</f>
        <v/>
      </c>
      <c r="AH326" t="str">
        <f>IF('Detalle individual'!F326="Pendiente",COUNTIF('Detalle individual'!$D$5:$D$1000,"&lt;"&amp;'Detalle individual'!D326)*1000000+COUNTIF('Detalle individual'!$C$5:$C$1000,"&lt;"&amp;'Detalle individual'!C326)*1000+COUNTIF('Detalle individual'!$B$5:$B$1000,"&lt;"&amp;'Detalle individual'!B326)+ROW()/10000,"")</f>
        <v/>
      </c>
      <c r="AI326" t="str">
        <f>IF('Detalle individual'!F326="Completado",COUNTIF('Detalle individual'!$D$5:$D$1000,"&lt;"&amp;'Detalle individual'!D326)*1000000+COUNTIF('Detalle individual'!$C$5:$C$1000,"&lt;"&amp;'Detalle individual'!C326)*1000+COUNTIF('Detalle individual'!$B$5:$B$1000,"&lt;"&amp;'Detalle individual'!B326)+ROW()/10000,"")</f>
        <v/>
      </c>
      <c r="AJ326" t="str">
        <f>IF(AND('Detalle individual'!F326&lt;&gt;"",'Detalle individual'!F326&lt;&gt;"Completado",'Detalle individual'!F326&lt;&gt;"Pendiente"),COUNTIF('Detalle individual'!$D$5:$D$1000,"&lt;"&amp;'Detalle individual'!D326)*1000000+COUNTIF('Detalle individual'!$C$5:$C$1000,"&lt;"&amp;'Detalle individual'!C326)*1000+COUNTIF('Detalle individual'!$B$5:$B$1000,"&lt;"&amp;'Detalle individual'!B326)+ROW()/10000,"")</f>
        <v/>
      </c>
      <c r="AK326" t="str">
        <f>IF(OR('Base Exámenes'!C326="",'Base Exámenes'!D326=""),"",IF(COUNTIF('Base Exámenes'!$C$5:C326,'Base Exámenes'!C326)=1,'Base Exámenes'!D326+ROW()/1000000000,""))</f>
        <v/>
      </c>
      <c r="AL326" t="str">
        <f>IF(OR('Base Exámenes'!C326="",'Base Exámenes'!E326=""),"",IF(COUNTIF('Base Exámenes'!$C$5:C326,'Base Exámenes'!C326)=1,'Base Exámenes'!E326+ROW()/1000000000,""))</f>
        <v/>
      </c>
      <c r="AM326" t="str">
        <f>IF(OR('Base Exámenes'!C326="",'Base Exámenes'!G326=""),"",IF(ROW()-4=MATCH('Base Exámenes'!C326&amp;"|"&amp;_xlfn.MAXIFS('Base Exámenes'!$G$5:$G$1000,'Base Exámenes'!$C$5:$C$1000,'Base Exámenes'!C326),'Base Exámenes'!$I$5:$I$1000,0),'Base Exámenes'!G326*1000000+(-1)*'Base Exámenes'!D326,""))</f>
        <v/>
      </c>
      <c r="AQ326" t="str">
        <f>IF('Base Exámenes'!C326="","",IF(COUNTIF('Base Exámenes'!$C$5:$C$1000,'Base Exámenes'!C326)&lt;2,"",MATCH('Base Exámenes'!C326,'Base Exámenes'!$C$5:$C$1000,0)*10000+ROW()))</f>
        <v/>
      </c>
    </row>
    <row r="327">
      <c r="Z327" t="str">
        <f>IF('Detalle individual'!A327="","",IF(AND(OR('Estado por Colaborador'!$D$4="Todas las gerencias",'Detalle individual'!D327='Estado por Colaborador'!$D$4),OR('Estado por Colaborador'!$D$5="Todos los departamentos",TRIM('Detalle individual'!C327)='Estado por Colaborador'!$D$5),OR('Estado por Colaborador'!$D$6="Todos",'Detalle individual'!F327='Estado por Colaborador'!$D$6)),IF('Detalle individual'!F327="Completado",30000000,IF('Detalle individual'!F327="Pendiente",0,15000000))+COUNTIF('Detalle individual'!$C$5:$C$1000,"&lt;"&amp;'Detalle individual'!C327)*10000+ROW(),""))</f>
        <v/>
      </c>
      <c r="AB327" t="str">
        <f>IF('Detalle individual'!C327="","",IF(COUNTIF('Detalle individual'!$C$5:C327,'Detalle individual'!C327)=1,COUNTIF('Detalle individual'!$C$5:$C$1000,"&lt;"&amp;'Detalle individual'!C327),""))</f>
        <v/>
      </c>
      <c r="AC327" t="str">
        <f>IF('Detalle individual'!D327="","",IF(COUNTIF('Detalle individual'!$D$5:D327,'Detalle individual'!D327)=1,COUNTIF('Detalle individual'!$D$5:$D$1000,"&lt;"&amp;'Detalle individual'!D327),""))</f>
        <v/>
      </c>
      <c r="AH327" t="str">
        <f>IF('Detalle individual'!F327="Pendiente",COUNTIF('Detalle individual'!$D$5:$D$1000,"&lt;"&amp;'Detalle individual'!D327)*1000000+COUNTIF('Detalle individual'!$C$5:$C$1000,"&lt;"&amp;'Detalle individual'!C327)*1000+COUNTIF('Detalle individual'!$B$5:$B$1000,"&lt;"&amp;'Detalle individual'!B327)+ROW()/10000,"")</f>
        <v/>
      </c>
      <c r="AI327" t="str">
        <f>IF('Detalle individual'!F327="Completado",COUNTIF('Detalle individual'!$D$5:$D$1000,"&lt;"&amp;'Detalle individual'!D327)*1000000+COUNTIF('Detalle individual'!$C$5:$C$1000,"&lt;"&amp;'Detalle individual'!C327)*1000+COUNTIF('Detalle individual'!$B$5:$B$1000,"&lt;"&amp;'Detalle individual'!B327)+ROW()/10000,"")</f>
        <v/>
      </c>
      <c r="AJ327" t="str">
        <f>IF(AND('Detalle individual'!F327&lt;&gt;"",'Detalle individual'!F327&lt;&gt;"Completado",'Detalle individual'!F327&lt;&gt;"Pendiente"),COUNTIF('Detalle individual'!$D$5:$D$1000,"&lt;"&amp;'Detalle individual'!D327)*1000000+COUNTIF('Detalle individual'!$C$5:$C$1000,"&lt;"&amp;'Detalle individual'!C327)*1000+COUNTIF('Detalle individual'!$B$5:$B$1000,"&lt;"&amp;'Detalle individual'!B327)+ROW()/10000,"")</f>
        <v/>
      </c>
      <c r="AK327" t="str">
        <f>IF(OR('Base Exámenes'!C327="",'Base Exámenes'!D327=""),"",IF(COUNTIF('Base Exámenes'!$C$5:C327,'Base Exámenes'!C327)=1,'Base Exámenes'!D327+ROW()/1000000000,""))</f>
        <v/>
      </c>
      <c r="AL327" t="str">
        <f>IF(OR('Base Exámenes'!C327="",'Base Exámenes'!E327=""),"",IF(COUNTIF('Base Exámenes'!$C$5:C327,'Base Exámenes'!C327)=1,'Base Exámenes'!E327+ROW()/1000000000,""))</f>
        <v/>
      </c>
      <c r="AM327" t="str">
        <f>IF(OR('Base Exámenes'!C327="",'Base Exámenes'!G327=""),"",IF(ROW()-4=MATCH('Base Exámenes'!C327&amp;"|"&amp;_xlfn.MAXIFS('Base Exámenes'!$G$5:$G$1000,'Base Exámenes'!$C$5:$C$1000,'Base Exámenes'!C327),'Base Exámenes'!$I$5:$I$1000,0),'Base Exámenes'!G327*1000000+(-1)*'Base Exámenes'!D327,""))</f>
        <v/>
      </c>
      <c r="AQ327" t="str">
        <f>IF('Base Exámenes'!C327="","",IF(COUNTIF('Base Exámenes'!$C$5:$C$1000,'Base Exámenes'!C327)&lt;2,"",MATCH('Base Exámenes'!C327,'Base Exámenes'!$C$5:$C$1000,0)*10000+ROW()))</f>
        <v/>
      </c>
    </row>
    <row r="328">
      <c r="Z328" t="str">
        <f>IF('Detalle individual'!A328="","",IF(AND(OR('Estado por Colaborador'!$D$4="Todas las gerencias",'Detalle individual'!D328='Estado por Colaborador'!$D$4),OR('Estado por Colaborador'!$D$5="Todos los departamentos",TRIM('Detalle individual'!C328)='Estado por Colaborador'!$D$5),OR('Estado por Colaborador'!$D$6="Todos",'Detalle individual'!F328='Estado por Colaborador'!$D$6)),IF('Detalle individual'!F328="Completado",30000000,IF('Detalle individual'!F328="Pendiente",0,15000000))+COUNTIF('Detalle individual'!$C$5:$C$1000,"&lt;"&amp;'Detalle individual'!C328)*10000+ROW(),""))</f>
        <v/>
      </c>
      <c r="AB328" t="str">
        <f>IF('Detalle individual'!C328="","",IF(COUNTIF('Detalle individual'!$C$5:C328,'Detalle individual'!C328)=1,COUNTIF('Detalle individual'!$C$5:$C$1000,"&lt;"&amp;'Detalle individual'!C328),""))</f>
        <v/>
      </c>
      <c r="AC328" t="str">
        <f>IF('Detalle individual'!D328="","",IF(COUNTIF('Detalle individual'!$D$5:D328,'Detalle individual'!D328)=1,COUNTIF('Detalle individual'!$D$5:$D$1000,"&lt;"&amp;'Detalle individual'!D328),""))</f>
        <v/>
      </c>
      <c r="AH328" t="str">
        <f>IF('Detalle individual'!F328="Pendiente",COUNTIF('Detalle individual'!$D$5:$D$1000,"&lt;"&amp;'Detalle individual'!D328)*1000000+COUNTIF('Detalle individual'!$C$5:$C$1000,"&lt;"&amp;'Detalle individual'!C328)*1000+COUNTIF('Detalle individual'!$B$5:$B$1000,"&lt;"&amp;'Detalle individual'!B328)+ROW()/10000,"")</f>
        <v/>
      </c>
      <c r="AI328" t="str">
        <f>IF('Detalle individual'!F328="Completado",COUNTIF('Detalle individual'!$D$5:$D$1000,"&lt;"&amp;'Detalle individual'!D328)*1000000+COUNTIF('Detalle individual'!$C$5:$C$1000,"&lt;"&amp;'Detalle individual'!C328)*1000+COUNTIF('Detalle individual'!$B$5:$B$1000,"&lt;"&amp;'Detalle individual'!B328)+ROW()/10000,"")</f>
        <v/>
      </c>
      <c r="AJ328" t="str">
        <f>IF(AND('Detalle individual'!F328&lt;&gt;"",'Detalle individual'!F328&lt;&gt;"Completado",'Detalle individual'!F328&lt;&gt;"Pendiente"),COUNTIF('Detalle individual'!$D$5:$D$1000,"&lt;"&amp;'Detalle individual'!D328)*1000000+COUNTIF('Detalle individual'!$C$5:$C$1000,"&lt;"&amp;'Detalle individual'!C328)*1000+COUNTIF('Detalle individual'!$B$5:$B$1000,"&lt;"&amp;'Detalle individual'!B328)+ROW()/10000,"")</f>
        <v/>
      </c>
      <c r="AK328" t="str">
        <f>IF(OR('Base Exámenes'!C328="",'Base Exámenes'!D328=""),"",IF(COUNTIF('Base Exámenes'!$C$5:C328,'Base Exámenes'!C328)=1,'Base Exámenes'!D328+ROW()/1000000000,""))</f>
        <v/>
      </c>
      <c r="AL328" t="str">
        <f>IF(OR('Base Exámenes'!C328="",'Base Exámenes'!E328=""),"",IF(COUNTIF('Base Exámenes'!$C$5:C328,'Base Exámenes'!C328)=1,'Base Exámenes'!E328+ROW()/1000000000,""))</f>
        <v/>
      </c>
      <c r="AM328" t="str">
        <f>IF(OR('Base Exámenes'!C328="",'Base Exámenes'!G328=""),"",IF(ROW()-4=MATCH('Base Exámenes'!C328&amp;"|"&amp;_xlfn.MAXIFS('Base Exámenes'!$G$5:$G$1000,'Base Exámenes'!$C$5:$C$1000,'Base Exámenes'!C328),'Base Exámenes'!$I$5:$I$1000,0),'Base Exámenes'!G328*1000000+(-1)*'Base Exámenes'!D328,""))</f>
        <v/>
      </c>
      <c r="AQ328" t="str">
        <f>IF('Base Exámenes'!C328="","",IF(COUNTIF('Base Exámenes'!$C$5:$C$1000,'Base Exámenes'!C328)&lt;2,"",MATCH('Base Exámenes'!C328,'Base Exámenes'!$C$5:$C$1000,0)*10000+ROW()))</f>
        <v/>
      </c>
    </row>
    <row r="329">
      <c r="Z329" t="str">
        <f>IF('Detalle individual'!A329="","",IF(AND(OR('Estado por Colaborador'!$D$4="Todas las gerencias",'Detalle individual'!D329='Estado por Colaborador'!$D$4),OR('Estado por Colaborador'!$D$5="Todos los departamentos",TRIM('Detalle individual'!C329)='Estado por Colaborador'!$D$5),OR('Estado por Colaborador'!$D$6="Todos",'Detalle individual'!F329='Estado por Colaborador'!$D$6)),IF('Detalle individual'!F329="Completado",30000000,IF('Detalle individual'!F329="Pendiente",0,15000000))+COUNTIF('Detalle individual'!$C$5:$C$1000,"&lt;"&amp;'Detalle individual'!C329)*10000+ROW(),""))</f>
        <v/>
      </c>
      <c r="AB329" t="str">
        <f>IF('Detalle individual'!C329="","",IF(COUNTIF('Detalle individual'!$C$5:C329,'Detalle individual'!C329)=1,COUNTIF('Detalle individual'!$C$5:$C$1000,"&lt;"&amp;'Detalle individual'!C329),""))</f>
        <v/>
      </c>
      <c r="AC329" t="str">
        <f>IF('Detalle individual'!D329="","",IF(COUNTIF('Detalle individual'!$D$5:D329,'Detalle individual'!D329)=1,COUNTIF('Detalle individual'!$D$5:$D$1000,"&lt;"&amp;'Detalle individual'!D329),""))</f>
        <v/>
      </c>
      <c r="AH329" t="str">
        <f>IF('Detalle individual'!F329="Pendiente",COUNTIF('Detalle individual'!$D$5:$D$1000,"&lt;"&amp;'Detalle individual'!D329)*1000000+COUNTIF('Detalle individual'!$C$5:$C$1000,"&lt;"&amp;'Detalle individual'!C329)*1000+COUNTIF('Detalle individual'!$B$5:$B$1000,"&lt;"&amp;'Detalle individual'!B329)+ROW()/10000,"")</f>
        <v/>
      </c>
      <c r="AI329" t="str">
        <f>IF('Detalle individual'!F329="Completado",COUNTIF('Detalle individual'!$D$5:$D$1000,"&lt;"&amp;'Detalle individual'!D329)*1000000+COUNTIF('Detalle individual'!$C$5:$C$1000,"&lt;"&amp;'Detalle individual'!C329)*1000+COUNTIF('Detalle individual'!$B$5:$B$1000,"&lt;"&amp;'Detalle individual'!B329)+ROW()/10000,"")</f>
        <v/>
      </c>
      <c r="AJ329" t="str">
        <f>IF(AND('Detalle individual'!F329&lt;&gt;"",'Detalle individual'!F329&lt;&gt;"Completado",'Detalle individual'!F329&lt;&gt;"Pendiente"),COUNTIF('Detalle individual'!$D$5:$D$1000,"&lt;"&amp;'Detalle individual'!D329)*1000000+COUNTIF('Detalle individual'!$C$5:$C$1000,"&lt;"&amp;'Detalle individual'!C329)*1000+COUNTIF('Detalle individual'!$B$5:$B$1000,"&lt;"&amp;'Detalle individual'!B329)+ROW()/10000,"")</f>
        <v/>
      </c>
      <c r="AK329" t="str">
        <f>IF(OR('Base Exámenes'!C329="",'Base Exámenes'!D329=""),"",IF(COUNTIF('Base Exámenes'!$C$5:C329,'Base Exámenes'!C329)=1,'Base Exámenes'!D329+ROW()/1000000000,""))</f>
        <v/>
      </c>
      <c r="AL329" t="str">
        <f>IF(OR('Base Exámenes'!C329="",'Base Exámenes'!E329=""),"",IF(COUNTIF('Base Exámenes'!$C$5:C329,'Base Exámenes'!C329)=1,'Base Exámenes'!E329+ROW()/1000000000,""))</f>
        <v/>
      </c>
      <c r="AM329" t="str">
        <f>IF(OR('Base Exámenes'!C329="",'Base Exámenes'!G329=""),"",IF(ROW()-4=MATCH('Base Exámenes'!C329&amp;"|"&amp;_xlfn.MAXIFS('Base Exámenes'!$G$5:$G$1000,'Base Exámenes'!$C$5:$C$1000,'Base Exámenes'!C329),'Base Exámenes'!$I$5:$I$1000,0),'Base Exámenes'!G329*1000000+(-1)*'Base Exámenes'!D329,""))</f>
        <v/>
      </c>
      <c r="AQ329" t="str">
        <f>IF('Base Exámenes'!C329="","",IF(COUNTIF('Base Exámenes'!$C$5:$C$1000,'Base Exámenes'!C329)&lt;2,"",MATCH('Base Exámenes'!C329,'Base Exámenes'!$C$5:$C$1000,0)*10000+ROW()))</f>
        <v/>
      </c>
    </row>
    <row r="330">
      <c r="Z330" t="str">
        <f>IF('Detalle individual'!A330="","",IF(AND(OR('Estado por Colaborador'!$D$4="Todas las gerencias",'Detalle individual'!D330='Estado por Colaborador'!$D$4),OR('Estado por Colaborador'!$D$5="Todos los departamentos",TRIM('Detalle individual'!C330)='Estado por Colaborador'!$D$5),OR('Estado por Colaborador'!$D$6="Todos",'Detalle individual'!F330='Estado por Colaborador'!$D$6)),IF('Detalle individual'!F330="Completado",30000000,IF('Detalle individual'!F330="Pendiente",0,15000000))+COUNTIF('Detalle individual'!$C$5:$C$1000,"&lt;"&amp;'Detalle individual'!C330)*10000+ROW(),""))</f>
        <v/>
      </c>
      <c r="AB330" t="str">
        <f>IF('Detalle individual'!C330="","",IF(COUNTIF('Detalle individual'!$C$5:C330,'Detalle individual'!C330)=1,COUNTIF('Detalle individual'!$C$5:$C$1000,"&lt;"&amp;'Detalle individual'!C330),""))</f>
        <v/>
      </c>
      <c r="AC330" t="str">
        <f>IF('Detalle individual'!D330="","",IF(COUNTIF('Detalle individual'!$D$5:D330,'Detalle individual'!D330)=1,COUNTIF('Detalle individual'!$D$5:$D$1000,"&lt;"&amp;'Detalle individual'!D330),""))</f>
        <v/>
      </c>
      <c r="AH330" t="str">
        <f>IF('Detalle individual'!F330="Pendiente",COUNTIF('Detalle individual'!$D$5:$D$1000,"&lt;"&amp;'Detalle individual'!D330)*1000000+COUNTIF('Detalle individual'!$C$5:$C$1000,"&lt;"&amp;'Detalle individual'!C330)*1000+COUNTIF('Detalle individual'!$B$5:$B$1000,"&lt;"&amp;'Detalle individual'!B330)+ROW()/10000,"")</f>
        <v/>
      </c>
      <c r="AI330" t="str">
        <f>IF('Detalle individual'!F330="Completado",COUNTIF('Detalle individual'!$D$5:$D$1000,"&lt;"&amp;'Detalle individual'!D330)*1000000+COUNTIF('Detalle individual'!$C$5:$C$1000,"&lt;"&amp;'Detalle individual'!C330)*1000+COUNTIF('Detalle individual'!$B$5:$B$1000,"&lt;"&amp;'Detalle individual'!B330)+ROW()/10000,"")</f>
        <v/>
      </c>
      <c r="AJ330" t="str">
        <f>IF(AND('Detalle individual'!F330&lt;&gt;"",'Detalle individual'!F330&lt;&gt;"Completado",'Detalle individual'!F330&lt;&gt;"Pendiente"),COUNTIF('Detalle individual'!$D$5:$D$1000,"&lt;"&amp;'Detalle individual'!D330)*1000000+COUNTIF('Detalle individual'!$C$5:$C$1000,"&lt;"&amp;'Detalle individual'!C330)*1000+COUNTIF('Detalle individual'!$B$5:$B$1000,"&lt;"&amp;'Detalle individual'!B330)+ROW()/10000,"")</f>
        <v/>
      </c>
      <c r="AK330" t="str">
        <f>IF(OR('Base Exámenes'!C330="",'Base Exámenes'!D330=""),"",IF(COUNTIF('Base Exámenes'!$C$5:C330,'Base Exámenes'!C330)=1,'Base Exámenes'!D330+ROW()/1000000000,""))</f>
        <v/>
      </c>
      <c r="AL330" t="str">
        <f>IF(OR('Base Exámenes'!C330="",'Base Exámenes'!E330=""),"",IF(COUNTIF('Base Exámenes'!$C$5:C330,'Base Exámenes'!C330)=1,'Base Exámenes'!E330+ROW()/1000000000,""))</f>
        <v/>
      </c>
      <c r="AM330" t="str">
        <f>IF(OR('Base Exámenes'!C330="",'Base Exámenes'!G330=""),"",IF(ROW()-4=MATCH('Base Exámenes'!C330&amp;"|"&amp;_xlfn.MAXIFS('Base Exámenes'!$G$5:$G$1000,'Base Exámenes'!$C$5:$C$1000,'Base Exámenes'!C330),'Base Exámenes'!$I$5:$I$1000,0),'Base Exámenes'!G330*1000000+(-1)*'Base Exámenes'!D330,""))</f>
        <v/>
      </c>
      <c r="AQ330" t="str">
        <f>IF('Base Exámenes'!C330="","",IF(COUNTIF('Base Exámenes'!$C$5:$C$1000,'Base Exámenes'!C330)&lt;2,"",MATCH('Base Exámenes'!C330,'Base Exámenes'!$C$5:$C$1000,0)*10000+ROW()))</f>
        <v/>
      </c>
    </row>
    <row r="331">
      <c r="Z331" t="str">
        <f>IF('Detalle individual'!A331="","",IF(AND(OR('Estado por Colaborador'!$D$4="Todas las gerencias",'Detalle individual'!D331='Estado por Colaborador'!$D$4),OR('Estado por Colaborador'!$D$5="Todos los departamentos",TRIM('Detalle individual'!C331)='Estado por Colaborador'!$D$5),OR('Estado por Colaborador'!$D$6="Todos",'Detalle individual'!F331='Estado por Colaborador'!$D$6)),IF('Detalle individual'!F331="Completado",30000000,IF('Detalle individual'!F331="Pendiente",0,15000000))+COUNTIF('Detalle individual'!$C$5:$C$1000,"&lt;"&amp;'Detalle individual'!C331)*10000+ROW(),""))</f>
        <v/>
      </c>
      <c r="AB331" t="str">
        <f>IF('Detalle individual'!C331="","",IF(COUNTIF('Detalle individual'!$C$5:C331,'Detalle individual'!C331)=1,COUNTIF('Detalle individual'!$C$5:$C$1000,"&lt;"&amp;'Detalle individual'!C331),""))</f>
        <v/>
      </c>
      <c r="AC331" t="str">
        <f>IF('Detalle individual'!D331="","",IF(COUNTIF('Detalle individual'!$D$5:D331,'Detalle individual'!D331)=1,COUNTIF('Detalle individual'!$D$5:$D$1000,"&lt;"&amp;'Detalle individual'!D331),""))</f>
        <v/>
      </c>
      <c r="AH331" t="str">
        <f>IF('Detalle individual'!F331="Pendiente",COUNTIF('Detalle individual'!$D$5:$D$1000,"&lt;"&amp;'Detalle individual'!D331)*1000000+COUNTIF('Detalle individual'!$C$5:$C$1000,"&lt;"&amp;'Detalle individual'!C331)*1000+COUNTIF('Detalle individual'!$B$5:$B$1000,"&lt;"&amp;'Detalle individual'!B331)+ROW()/10000,"")</f>
        <v/>
      </c>
      <c r="AI331" t="str">
        <f>IF('Detalle individual'!F331="Completado",COUNTIF('Detalle individual'!$D$5:$D$1000,"&lt;"&amp;'Detalle individual'!D331)*1000000+COUNTIF('Detalle individual'!$C$5:$C$1000,"&lt;"&amp;'Detalle individual'!C331)*1000+COUNTIF('Detalle individual'!$B$5:$B$1000,"&lt;"&amp;'Detalle individual'!B331)+ROW()/10000,"")</f>
        <v/>
      </c>
      <c r="AJ331" t="str">
        <f>IF(AND('Detalle individual'!F331&lt;&gt;"",'Detalle individual'!F331&lt;&gt;"Completado",'Detalle individual'!F331&lt;&gt;"Pendiente"),COUNTIF('Detalle individual'!$D$5:$D$1000,"&lt;"&amp;'Detalle individual'!D331)*1000000+COUNTIF('Detalle individual'!$C$5:$C$1000,"&lt;"&amp;'Detalle individual'!C331)*1000+COUNTIF('Detalle individual'!$B$5:$B$1000,"&lt;"&amp;'Detalle individual'!B331)+ROW()/10000,"")</f>
        <v/>
      </c>
      <c r="AK331" t="str">
        <f>IF(OR('Base Exámenes'!C331="",'Base Exámenes'!D331=""),"",IF(COUNTIF('Base Exámenes'!$C$5:C331,'Base Exámenes'!C331)=1,'Base Exámenes'!D331+ROW()/1000000000,""))</f>
        <v/>
      </c>
      <c r="AL331" t="str">
        <f>IF(OR('Base Exámenes'!C331="",'Base Exámenes'!E331=""),"",IF(COUNTIF('Base Exámenes'!$C$5:C331,'Base Exámenes'!C331)=1,'Base Exámenes'!E331+ROW()/1000000000,""))</f>
        <v/>
      </c>
      <c r="AM331" t="str">
        <f>IF(OR('Base Exámenes'!C331="",'Base Exámenes'!G331=""),"",IF(ROW()-4=MATCH('Base Exámenes'!C331&amp;"|"&amp;_xlfn.MAXIFS('Base Exámenes'!$G$5:$G$1000,'Base Exámenes'!$C$5:$C$1000,'Base Exámenes'!C331),'Base Exámenes'!$I$5:$I$1000,0),'Base Exámenes'!G331*1000000+(-1)*'Base Exámenes'!D331,""))</f>
        <v/>
      </c>
      <c r="AQ331" t="str">
        <f>IF('Base Exámenes'!C331="","",IF(COUNTIF('Base Exámenes'!$C$5:$C$1000,'Base Exámenes'!C331)&lt;2,"",MATCH('Base Exámenes'!C331,'Base Exámenes'!$C$5:$C$1000,0)*10000+ROW()))</f>
        <v/>
      </c>
    </row>
    <row r="332">
      <c r="Z332" t="str">
        <f>IF('Detalle individual'!A332="","",IF(AND(OR('Estado por Colaborador'!$D$4="Todas las gerencias",'Detalle individual'!D332='Estado por Colaborador'!$D$4),OR('Estado por Colaborador'!$D$5="Todos los departamentos",TRIM('Detalle individual'!C332)='Estado por Colaborador'!$D$5),OR('Estado por Colaborador'!$D$6="Todos",'Detalle individual'!F332='Estado por Colaborador'!$D$6)),IF('Detalle individual'!F332="Completado",30000000,IF('Detalle individual'!F332="Pendiente",0,15000000))+COUNTIF('Detalle individual'!$C$5:$C$1000,"&lt;"&amp;'Detalle individual'!C332)*10000+ROW(),""))</f>
        <v/>
      </c>
      <c r="AB332" t="str">
        <f>IF('Detalle individual'!C332="","",IF(COUNTIF('Detalle individual'!$C$5:C332,'Detalle individual'!C332)=1,COUNTIF('Detalle individual'!$C$5:$C$1000,"&lt;"&amp;'Detalle individual'!C332),""))</f>
        <v/>
      </c>
      <c r="AC332" t="str">
        <f>IF('Detalle individual'!D332="","",IF(COUNTIF('Detalle individual'!$D$5:D332,'Detalle individual'!D332)=1,COUNTIF('Detalle individual'!$D$5:$D$1000,"&lt;"&amp;'Detalle individual'!D332),""))</f>
        <v/>
      </c>
      <c r="AH332" t="str">
        <f>IF('Detalle individual'!F332="Pendiente",COUNTIF('Detalle individual'!$D$5:$D$1000,"&lt;"&amp;'Detalle individual'!D332)*1000000+COUNTIF('Detalle individual'!$C$5:$C$1000,"&lt;"&amp;'Detalle individual'!C332)*1000+COUNTIF('Detalle individual'!$B$5:$B$1000,"&lt;"&amp;'Detalle individual'!B332)+ROW()/10000,"")</f>
        <v/>
      </c>
      <c r="AI332" t="str">
        <f>IF('Detalle individual'!F332="Completado",COUNTIF('Detalle individual'!$D$5:$D$1000,"&lt;"&amp;'Detalle individual'!D332)*1000000+COUNTIF('Detalle individual'!$C$5:$C$1000,"&lt;"&amp;'Detalle individual'!C332)*1000+COUNTIF('Detalle individual'!$B$5:$B$1000,"&lt;"&amp;'Detalle individual'!B332)+ROW()/10000,"")</f>
        <v/>
      </c>
      <c r="AJ332" t="str">
        <f>IF(AND('Detalle individual'!F332&lt;&gt;"",'Detalle individual'!F332&lt;&gt;"Completado",'Detalle individual'!F332&lt;&gt;"Pendiente"),COUNTIF('Detalle individual'!$D$5:$D$1000,"&lt;"&amp;'Detalle individual'!D332)*1000000+COUNTIF('Detalle individual'!$C$5:$C$1000,"&lt;"&amp;'Detalle individual'!C332)*1000+COUNTIF('Detalle individual'!$B$5:$B$1000,"&lt;"&amp;'Detalle individual'!B332)+ROW()/10000,"")</f>
        <v/>
      </c>
      <c r="AK332" t="str">
        <f>IF(OR('Base Exámenes'!C332="",'Base Exámenes'!D332=""),"",IF(COUNTIF('Base Exámenes'!$C$5:C332,'Base Exámenes'!C332)=1,'Base Exámenes'!D332+ROW()/1000000000,""))</f>
        <v/>
      </c>
      <c r="AL332" t="str">
        <f>IF(OR('Base Exámenes'!C332="",'Base Exámenes'!E332=""),"",IF(COUNTIF('Base Exámenes'!$C$5:C332,'Base Exámenes'!C332)=1,'Base Exámenes'!E332+ROW()/1000000000,""))</f>
        <v/>
      </c>
      <c r="AM332" t="str">
        <f>IF(OR('Base Exámenes'!C332="",'Base Exámenes'!G332=""),"",IF(ROW()-4=MATCH('Base Exámenes'!C332&amp;"|"&amp;_xlfn.MAXIFS('Base Exámenes'!$G$5:$G$1000,'Base Exámenes'!$C$5:$C$1000,'Base Exámenes'!C332),'Base Exámenes'!$I$5:$I$1000,0),'Base Exámenes'!G332*1000000+(-1)*'Base Exámenes'!D332,""))</f>
        <v/>
      </c>
      <c r="AQ332" t="str">
        <f>IF('Base Exámenes'!C332="","",IF(COUNTIF('Base Exámenes'!$C$5:$C$1000,'Base Exámenes'!C332)&lt;2,"",MATCH('Base Exámenes'!C332,'Base Exámenes'!$C$5:$C$1000,0)*10000+ROW()))</f>
        <v/>
      </c>
    </row>
    <row r="333">
      <c r="Z333" t="str">
        <f>IF('Detalle individual'!A333="","",IF(AND(OR('Estado por Colaborador'!$D$4="Todas las gerencias",'Detalle individual'!D333='Estado por Colaborador'!$D$4),OR('Estado por Colaborador'!$D$5="Todos los departamentos",TRIM('Detalle individual'!C333)='Estado por Colaborador'!$D$5),OR('Estado por Colaborador'!$D$6="Todos",'Detalle individual'!F333='Estado por Colaborador'!$D$6)),IF('Detalle individual'!F333="Completado",30000000,IF('Detalle individual'!F333="Pendiente",0,15000000))+COUNTIF('Detalle individual'!$C$5:$C$1000,"&lt;"&amp;'Detalle individual'!C333)*10000+ROW(),""))</f>
        <v/>
      </c>
      <c r="AB333" t="str">
        <f>IF('Detalle individual'!C333="","",IF(COUNTIF('Detalle individual'!$C$5:C333,'Detalle individual'!C333)=1,COUNTIF('Detalle individual'!$C$5:$C$1000,"&lt;"&amp;'Detalle individual'!C333),""))</f>
        <v/>
      </c>
      <c r="AC333" t="str">
        <f>IF('Detalle individual'!D333="","",IF(COUNTIF('Detalle individual'!$D$5:D333,'Detalle individual'!D333)=1,COUNTIF('Detalle individual'!$D$5:$D$1000,"&lt;"&amp;'Detalle individual'!D333),""))</f>
        <v/>
      </c>
      <c r="AH333" t="str">
        <f>IF('Detalle individual'!F333="Pendiente",COUNTIF('Detalle individual'!$D$5:$D$1000,"&lt;"&amp;'Detalle individual'!D333)*1000000+COUNTIF('Detalle individual'!$C$5:$C$1000,"&lt;"&amp;'Detalle individual'!C333)*1000+COUNTIF('Detalle individual'!$B$5:$B$1000,"&lt;"&amp;'Detalle individual'!B333)+ROW()/10000,"")</f>
        <v/>
      </c>
      <c r="AI333" t="str">
        <f>IF('Detalle individual'!F333="Completado",COUNTIF('Detalle individual'!$D$5:$D$1000,"&lt;"&amp;'Detalle individual'!D333)*1000000+COUNTIF('Detalle individual'!$C$5:$C$1000,"&lt;"&amp;'Detalle individual'!C333)*1000+COUNTIF('Detalle individual'!$B$5:$B$1000,"&lt;"&amp;'Detalle individual'!B333)+ROW()/10000,"")</f>
        <v/>
      </c>
      <c r="AJ333" t="str">
        <f>IF(AND('Detalle individual'!F333&lt;&gt;"",'Detalle individual'!F333&lt;&gt;"Completado",'Detalle individual'!F333&lt;&gt;"Pendiente"),COUNTIF('Detalle individual'!$D$5:$D$1000,"&lt;"&amp;'Detalle individual'!D333)*1000000+COUNTIF('Detalle individual'!$C$5:$C$1000,"&lt;"&amp;'Detalle individual'!C333)*1000+COUNTIF('Detalle individual'!$B$5:$B$1000,"&lt;"&amp;'Detalle individual'!B333)+ROW()/10000,"")</f>
        <v/>
      </c>
      <c r="AK333" t="str">
        <f>IF(OR('Base Exámenes'!C333="",'Base Exámenes'!D333=""),"",IF(COUNTIF('Base Exámenes'!$C$5:C333,'Base Exámenes'!C333)=1,'Base Exámenes'!D333+ROW()/1000000000,""))</f>
        <v/>
      </c>
      <c r="AL333" t="str">
        <f>IF(OR('Base Exámenes'!C333="",'Base Exámenes'!E333=""),"",IF(COUNTIF('Base Exámenes'!$C$5:C333,'Base Exámenes'!C333)=1,'Base Exámenes'!E333+ROW()/1000000000,""))</f>
        <v/>
      </c>
      <c r="AM333" t="str">
        <f>IF(OR('Base Exámenes'!C333="",'Base Exámenes'!G333=""),"",IF(ROW()-4=MATCH('Base Exámenes'!C333&amp;"|"&amp;_xlfn.MAXIFS('Base Exámenes'!$G$5:$G$1000,'Base Exámenes'!$C$5:$C$1000,'Base Exámenes'!C333),'Base Exámenes'!$I$5:$I$1000,0),'Base Exámenes'!G333*1000000+(-1)*'Base Exámenes'!D333,""))</f>
        <v/>
      </c>
      <c r="AQ333" t="str">
        <f>IF('Base Exámenes'!C333="","",IF(COUNTIF('Base Exámenes'!$C$5:$C$1000,'Base Exámenes'!C333)&lt;2,"",MATCH('Base Exámenes'!C333,'Base Exámenes'!$C$5:$C$1000,0)*10000+ROW()))</f>
        <v/>
      </c>
    </row>
    <row r="334">
      <c r="Z334" t="str">
        <f>IF('Detalle individual'!A334="","",IF(AND(OR('Estado por Colaborador'!$D$4="Todas las gerencias",'Detalle individual'!D334='Estado por Colaborador'!$D$4),OR('Estado por Colaborador'!$D$5="Todos los departamentos",TRIM('Detalle individual'!C334)='Estado por Colaborador'!$D$5),OR('Estado por Colaborador'!$D$6="Todos",'Detalle individual'!F334='Estado por Colaborador'!$D$6)),IF('Detalle individual'!F334="Completado",30000000,IF('Detalle individual'!F334="Pendiente",0,15000000))+COUNTIF('Detalle individual'!$C$5:$C$1000,"&lt;"&amp;'Detalle individual'!C334)*10000+ROW(),""))</f>
        <v/>
      </c>
      <c r="AB334" t="str">
        <f>IF('Detalle individual'!C334="","",IF(COUNTIF('Detalle individual'!$C$5:C334,'Detalle individual'!C334)=1,COUNTIF('Detalle individual'!$C$5:$C$1000,"&lt;"&amp;'Detalle individual'!C334),""))</f>
        <v/>
      </c>
      <c r="AC334" t="str">
        <f>IF('Detalle individual'!D334="","",IF(COUNTIF('Detalle individual'!$D$5:D334,'Detalle individual'!D334)=1,COUNTIF('Detalle individual'!$D$5:$D$1000,"&lt;"&amp;'Detalle individual'!D334),""))</f>
        <v/>
      </c>
      <c r="AH334" t="str">
        <f>IF('Detalle individual'!F334="Pendiente",COUNTIF('Detalle individual'!$D$5:$D$1000,"&lt;"&amp;'Detalle individual'!D334)*1000000+COUNTIF('Detalle individual'!$C$5:$C$1000,"&lt;"&amp;'Detalle individual'!C334)*1000+COUNTIF('Detalle individual'!$B$5:$B$1000,"&lt;"&amp;'Detalle individual'!B334)+ROW()/10000,"")</f>
        <v/>
      </c>
      <c r="AI334" t="str">
        <f>IF('Detalle individual'!F334="Completado",COUNTIF('Detalle individual'!$D$5:$D$1000,"&lt;"&amp;'Detalle individual'!D334)*1000000+COUNTIF('Detalle individual'!$C$5:$C$1000,"&lt;"&amp;'Detalle individual'!C334)*1000+COUNTIF('Detalle individual'!$B$5:$B$1000,"&lt;"&amp;'Detalle individual'!B334)+ROW()/10000,"")</f>
        <v/>
      </c>
      <c r="AJ334" t="str">
        <f>IF(AND('Detalle individual'!F334&lt;&gt;"",'Detalle individual'!F334&lt;&gt;"Completado",'Detalle individual'!F334&lt;&gt;"Pendiente"),COUNTIF('Detalle individual'!$D$5:$D$1000,"&lt;"&amp;'Detalle individual'!D334)*1000000+COUNTIF('Detalle individual'!$C$5:$C$1000,"&lt;"&amp;'Detalle individual'!C334)*1000+COUNTIF('Detalle individual'!$B$5:$B$1000,"&lt;"&amp;'Detalle individual'!B334)+ROW()/10000,"")</f>
        <v/>
      </c>
      <c r="AK334" t="str">
        <f>IF(OR('Base Exámenes'!C334="",'Base Exámenes'!D334=""),"",IF(COUNTIF('Base Exámenes'!$C$5:C334,'Base Exámenes'!C334)=1,'Base Exámenes'!D334+ROW()/1000000000,""))</f>
        <v/>
      </c>
      <c r="AL334" t="str">
        <f>IF(OR('Base Exámenes'!C334="",'Base Exámenes'!E334=""),"",IF(COUNTIF('Base Exámenes'!$C$5:C334,'Base Exámenes'!C334)=1,'Base Exámenes'!E334+ROW()/1000000000,""))</f>
        <v/>
      </c>
      <c r="AM334" t="str">
        <f>IF(OR('Base Exámenes'!C334="",'Base Exámenes'!G334=""),"",IF(ROW()-4=MATCH('Base Exámenes'!C334&amp;"|"&amp;_xlfn.MAXIFS('Base Exámenes'!$G$5:$G$1000,'Base Exámenes'!$C$5:$C$1000,'Base Exámenes'!C334),'Base Exámenes'!$I$5:$I$1000,0),'Base Exámenes'!G334*1000000+(-1)*'Base Exámenes'!D334,""))</f>
        <v/>
      </c>
      <c r="AQ334" t="str">
        <f>IF('Base Exámenes'!C334="","",IF(COUNTIF('Base Exámenes'!$C$5:$C$1000,'Base Exámenes'!C334)&lt;2,"",MATCH('Base Exámenes'!C334,'Base Exámenes'!$C$5:$C$1000,0)*10000+ROW()))</f>
        <v/>
      </c>
    </row>
    <row r="335">
      <c r="Z335" t="str">
        <f>IF('Detalle individual'!A335="","",IF(AND(OR('Estado por Colaborador'!$D$4="Todas las gerencias",'Detalle individual'!D335='Estado por Colaborador'!$D$4),OR('Estado por Colaborador'!$D$5="Todos los departamentos",TRIM('Detalle individual'!C335)='Estado por Colaborador'!$D$5),OR('Estado por Colaborador'!$D$6="Todos",'Detalle individual'!F335='Estado por Colaborador'!$D$6)),IF('Detalle individual'!F335="Completado",30000000,IF('Detalle individual'!F335="Pendiente",0,15000000))+COUNTIF('Detalle individual'!$C$5:$C$1000,"&lt;"&amp;'Detalle individual'!C335)*10000+ROW(),""))</f>
        <v/>
      </c>
      <c r="AB335" t="str">
        <f>IF('Detalle individual'!C335="","",IF(COUNTIF('Detalle individual'!$C$5:C335,'Detalle individual'!C335)=1,COUNTIF('Detalle individual'!$C$5:$C$1000,"&lt;"&amp;'Detalle individual'!C335),""))</f>
        <v/>
      </c>
      <c r="AC335" t="str">
        <f>IF('Detalle individual'!D335="","",IF(COUNTIF('Detalle individual'!$D$5:D335,'Detalle individual'!D335)=1,COUNTIF('Detalle individual'!$D$5:$D$1000,"&lt;"&amp;'Detalle individual'!D335),""))</f>
        <v/>
      </c>
      <c r="AH335" t="str">
        <f>IF('Detalle individual'!F335="Pendiente",COUNTIF('Detalle individual'!$D$5:$D$1000,"&lt;"&amp;'Detalle individual'!D335)*1000000+COUNTIF('Detalle individual'!$C$5:$C$1000,"&lt;"&amp;'Detalle individual'!C335)*1000+COUNTIF('Detalle individual'!$B$5:$B$1000,"&lt;"&amp;'Detalle individual'!B335)+ROW()/10000,"")</f>
        <v/>
      </c>
      <c r="AI335" t="str">
        <f>IF('Detalle individual'!F335="Completado",COUNTIF('Detalle individual'!$D$5:$D$1000,"&lt;"&amp;'Detalle individual'!D335)*1000000+COUNTIF('Detalle individual'!$C$5:$C$1000,"&lt;"&amp;'Detalle individual'!C335)*1000+COUNTIF('Detalle individual'!$B$5:$B$1000,"&lt;"&amp;'Detalle individual'!B335)+ROW()/10000,"")</f>
        <v/>
      </c>
      <c r="AJ335" t="str">
        <f>IF(AND('Detalle individual'!F335&lt;&gt;"",'Detalle individual'!F335&lt;&gt;"Completado",'Detalle individual'!F335&lt;&gt;"Pendiente"),COUNTIF('Detalle individual'!$D$5:$D$1000,"&lt;"&amp;'Detalle individual'!D335)*1000000+COUNTIF('Detalle individual'!$C$5:$C$1000,"&lt;"&amp;'Detalle individual'!C335)*1000+COUNTIF('Detalle individual'!$B$5:$B$1000,"&lt;"&amp;'Detalle individual'!B335)+ROW()/10000,"")</f>
        <v/>
      </c>
      <c r="AK335" t="str">
        <f>IF(OR('Base Exámenes'!C335="",'Base Exámenes'!D335=""),"",IF(COUNTIF('Base Exámenes'!$C$5:C335,'Base Exámenes'!C335)=1,'Base Exámenes'!D335+ROW()/1000000000,""))</f>
        <v/>
      </c>
      <c r="AL335" t="str">
        <f>IF(OR('Base Exámenes'!C335="",'Base Exámenes'!E335=""),"",IF(COUNTIF('Base Exámenes'!$C$5:C335,'Base Exámenes'!C335)=1,'Base Exámenes'!E335+ROW()/1000000000,""))</f>
        <v/>
      </c>
      <c r="AM335" t="str">
        <f>IF(OR('Base Exámenes'!C335="",'Base Exámenes'!G335=""),"",IF(ROW()-4=MATCH('Base Exámenes'!C335&amp;"|"&amp;_xlfn.MAXIFS('Base Exámenes'!$G$5:$G$1000,'Base Exámenes'!$C$5:$C$1000,'Base Exámenes'!C335),'Base Exámenes'!$I$5:$I$1000,0),'Base Exámenes'!G335*1000000+(-1)*'Base Exámenes'!D335,""))</f>
        <v/>
      </c>
      <c r="AQ335" t="str">
        <f>IF('Base Exámenes'!C335="","",IF(COUNTIF('Base Exámenes'!$C$5:$C$1000,'Base Exámenes'!C335)&lt;2,"",MATCH('Base Exámenes'!C335,'Base Exámenes'!$C$5:$C$1000,0)*10000+ROW()))</f>
        <v/>
      </c>
    </row>
    <row r="336">
      <c r="Z336" t="str">
        <f>IF('Detalle individual'!A336="","",IF(AND(OR('Estado por Colaborador'!$D$4="Todas las gerencias",'Detalle individual'!D336='Estado por Colaborador'!$D$4),OR('Estado por Colaborador'!$D$5="Todos los departamentos",TRIM('Detalle individual'!C336)='Estado por Colaborador'!$D$5),OR('Estado por Colaborador'!$D$6="Todos",'Detalle individual'!F336='Estado por Colaborador'!$D$6)),IF('Detalle individual'!F336="Completado",30000000,IF('Detalle individual'!F336="Pendiente",0,15000000))+COUNTIF('Detalle individual'!$C$5:$C$1000,"&lt;"&amp;'Detalle individual'!C336)*10000+ROW(),""))</f>
        <v/>
      </c>
      <c r="AB336" t="str">
        <f>IF('Detalle individual'!C336="","",IF(COUNTIF('Detalle individual'!$C$5:C336,'Detalle individual'!C336)=1,COUNTIF('Detalle individual'!$C$5:$C$1000,"&lt;"&amp;'Detalle individual'!C336),""))</f>
        <v/>
      </c>
      <c r="AC336" t="str">
        <f>IF('Detalle individual'!D336="","",IF(COUNTIF('Detalle individual'!$D$5:D336,'Detalle individual'!D336)=1,COUNTIF('Detalle individual'!$D$5:$D$1000,"&lt;"&amp;'Detalle individual'!D336),""))</f>
        <v/>
      </c>
      <c r="AH336" t="str">
        <f>IF('Detalle individual'!F336="Pendiente",COUNTIF('Detalle individual'!$D$5:$D$1000,"&lt;"&amp;'Detalle individual'!D336)*1000000+COUNTIF('Detalle individual'!$C$5:$C$1000,"&lt;"&amp;'Detalle individual'!C336)*1000+COUNTIF('Detalle individual'!$B$5:$B$1000,"&lt;"&amp;'Detalle individual'!B336)+ROW()/10000,"")</f>
        <v/>
      </c>
      <c r="AI336" t="str">
        <f>IF('Detalle individual'!F336="Completado",COUNTIF('Detalle individual'!$D$5:$D$1000,"&lt;"&amp;'Detalle individual'!D336)*1000000+COUNTIF('Detalle individual'!$C$5:$C$1000,"&lt;"&amp;'Detalle individual'!C336)*1000+COUNTIF('Detalle individual'!$B$5:$B$1000,"&lt;"&amp;'Detalle individual'!B336)+ROW()/10000,"")</f>
        <v/>
      </c>
      <c r="AJ336" t="str">
        <f>IF(AND('Detalle individual'!F336&lt;&gt;"",'Detalle individual'!F336&lt;&gt;"Completado",'Detalle individual'!F336&lt;&gt;"Pendiente"),COUNTIF('Detalle individual'!$D$5:$D$1000,"&lt;"&amp;'Detalle individual'!D336)*1000000+COUNTIF('Detalle individual'!$C$5:$C$1000,"&lt;"&amp;'Detalle individual'!C336)*1000+COUNTIF('Detalle individual'!$B$5:$B$1000,"&lt;"&amp;'Detalle individual'!B336)+ROW()/10000,"")</f>
        <v/>
      </c>
      <c r="AK336" t="str">
        <f>IF(OR('Base Exámenes'!C336="",'Base Exámenes'!D336=""),"",IF(COUNTIF('Base Exámenes'!$C$5:C336,'Base Exámenes'!C336)=1,'Base Exámenes'!D336+ROW()/1000000000,""))</f>
        <v/>
      </c>
      <c r="AL336" t="str">
        <f>IF(OR('Base Exámenes'!C336="",'Base Exámenes'!E336=""),"",IF(COUNTIF('Base Exámenes'!$C$5:C336,'Base Exámenes'!C336)=1,'Base Exámenes'!E336+ROW()/1000000000,""))</f>
        <v/>
      </c>
      <c r="AM336" t="str">
        <f>IF(OR('Base Exámenes'!C336="",'Base Exámenes'!G336=""),"",IF(ROW()-4=MATCH('Base Exámenes'!C336&amp;"|"&amp;_xlfn.MAXIFS('Base Exámenes'!$G$5:$G$1000,'Base Exámenes'!$C$5:$C$1000,'Base Exámenes'!C336),'Base Exámenes'!$I$5:$I$1000,0),'Base Exámenes'!G336*1000000+(-1)*'Base Exámenes'!D336,""))</f>
        <v/>
      </c>
      <c r="AQ336" t="str">
        <f>IF('Base Exámenes'!C336="","",IF(COUNTIF('Base Exámenes'!$C$5:$C$1000,'Base Exámenes'!C336)&lt;2,"",MATCH('Base Exámenes'!C336,'Base Exámenes'!$C$5:$C$1000,0)*10000+ROW()))</f>
        <v/>
      </c>
    </row>
    <row r="337">
      <c r="Z337" t="str">
        <f>IF('Detalle individual'!A337="","",IF(AND(OR('Estado por Colaborador'!$D$4="Todas las gerencias",'Detalle individual'!D337='Estado por Colaborador'!$D$4),OR('Estado por Colaborador'!$D$5="Todos los departamentos",TRIM('Detalle individual'!C337)='Estado por Colaborador'!$D$5),OR('Estado por Colaborador'!$D$6="Todos",'Detalle individual'!F337='Estado por Colaborador'!$D$6)),IF('Detalle individual'!F337="Completado",30000000,IF('Detalle individual'!F337="Pendiente",0,15000000))+COUNTIF('Detalle individual'!$C$5:$C$1000,"&lt;"&amp;'Detalle individual'!C337)*10000+ROW(),""))</f>
        <v/>
      </c>
      <c r="AB337" t="str">
        <f>IF('Detalle individual'!C337="","",IF(COUNTIF('Detalle individual'!$C$5:C337,'Detalle individual'!C337)=1,COUNTIF('Detalle individual'!$C$5:$C$1000,"&lt;"&amp;'Detalle individual'!C337),""))</f>
        <v/>
      </c>
      <c r="AC337" t="str">
        <f>IF('Detalle individual'!D337="","",IF(COUNTIF('Detalle individual'!$D$5:D337,'Detalle individual'!D337)=1,COUNTIF('Detalle individual'!$D$5:$D$1000,"&lt;"&amp;'Detalle individual'!D337),""))</f>
        <v/>
      </c>
      <c r="AH337" t="str">
        <f>IF('Detalle individual'!F337="Pendiente",COUNTIF('Detalle individual'!$D$5:$D$1000,"&lt;"&amp;'Detalle individual'!D337)*1000000+COUNTIF('Detalle individual'!$C$5:$C$1000,"&lt;"&amp;'Detalle individual'!C337)*1000+COUNTIF('Detalle individual'!$B$5:$B$1000,"&lt;"&amp;'Detalle individual'!B337)+ROW()/10000,"")</f>
        <v/>
      </c>
      <c r="AI337" t="str">
        <f>IF('Detalle individual'!F337="Completado",COUNTIF('Detalle individual'!$D$5:$D$1000,"&lt;"&amp;'Detalle individual'!D337)*1000000+COUNTIF('Detalle individual'!$C$5:$C$1000,"&lt;"&amp;'Detalle individual'!C337)*1000+COUNTIF('Detalle individual'!$B$5:$B$1000,"&lt;"&amp;'Detalle individual'!B337)+ROW()/10000,"")</f>
        <v/>
      </c>
      <c r="AJ337" t="str">
        <f>IF(AND('Detalle individual'!F337&lt;&gt;"",'Detalle individual'!F337&lt;&gt;"Completado",'Detalle individual'!F337&lt;&gt;"Pendiente"),COUNTIF('Detalle individual'!$D$5:$D$1000,"&lt;"&amp;'Detalle individual'!D337)*1000000+COUNTIF('Detalle individual'!$C$5:$C$1000,"&lt;"&amp;'Detalle individual'!C337)*1000+COUNTIF('Detalle individual'!$B$5:$B$1000,"&lt;"&amp;'Detalle individual'!B337)+ROW()/10000,"")</f>
        <v/>
      </c>
      <c r="AK337" t="str">
        <f>IF(OR('Base Exámenes'!C337="",'Base Exámenes'!D337=""),"",IF(COUNTIF('Base Exámenes'!$C$5:C337,'Base Exámenes'!C337)=1,'Base Exámenes'!D337+ROW()/1000000000,""))</f>
        <v/>
      </c>
      <c r="AL337" t="str">
        <f>IF(OR('Base Exámenes'!C337="",'Base Exámenes'!E337=""),"",IF(COUNTIF('Base Exámenes'!$C$5:C337,'Base Exámenes'!C337)=1,'Base Exámenes'!E337+ROW()/1000000000,""))</f>
        <v/>
      </c>
      <c r="AM337" t="str">
        <f>IF(OR('Base Exámenes'!C337="",'Base Exámenes'!G337=""),"",IF(ROW()-4=MATCH('Base Exámenes'!C337&amp;"|"&amp;_xlfn.MAXIFS('Base Exámenes'!$G$5:$G$1000,'Base Exámenes'!$C$5:$C$1000,'Base Exámenes'!C337),'Base Exámenes'!$I$5:$I$1000,0),'Base Exámenes'!G337*1000000+(-1)*'Base Exámenes'!D337,""))</f>
        <v/>
      </c>
      <c r="AQ337" t="str">
        <f>IF('Base Exámenes'!C337="","",IF(COUNTIF('Base Exámenes'!$C$5:$C$1000,'Base Exámenes'!C337)&lt;2,"",MATCH('Base Exámenes'!C337,'Base Exámenes'!$C$5:$C$1000,0)*10000+ROW()))</f>
        <v/>
      </c>
    </row>
    <row r="338">
      <c r="Z338" t="str">
        <f>IF('Detalle individual'!A338="","",IF(AND(OR('Estado por Colaborador'!$D$4="Todas las gerencias",'Detalle individual'!D338='Estado por Colaborador'!$D$4),OR('Estado por Colaborador'!$D$5="Todos los departamentos",TRIM('Detalle individual'!C338)='Estado por Colaborador'!$D$5),OR('Estado por Colaborador'!$D$6="Todos",'Detalle individual'!F338='Estado por Colaborador'!$D$6)),IF('Detalle individual'!F338="Completado",30000000,IF('Detalle individual'!F338="Pendiente",0,15000000))+COUNTIF('Detalle individual'!$C$5:$C$1000,"&lt;"&amp;'Detalle individual'!C338)*10000+ROW(),""))</f>
        <v/>
      </c>
      <c r="AB338" t="str">
        <f>IF('Detalle individual'!C338="","",IF(COUNTIF('Detalle individual'!$C$5:C338,'Detalle individual'!C338)=1,COUNTIF('Detalle individual'!$C$5:$C$1000,"&lt;"&amp;'Detalle individual'!C338),""))</f>
        <v/>
      </c>
      <c r="AC338" t="str">
        <f>IF('Detalle individual'!D338="","",IF(COUNTIF('Detalle individual'!$D$5:D338,'Detalle individual'!D338)=1,COUNTIF('Detalle individual'!$D$5:$D$1000,"&lt;"&amp;'Detalle individual'!D338),""))</f>
        <v/>
      </c>
      <c r="AH338" t="str">
        <f>IF('Detalle individual'!F338="Pendiente",COUNTIF('Detalle individual'!$D$5:$D$1000,"&lt;"&amp;'Detalle individual'!D338)*1000000+COUNTIF('Detalle individual'!$C$5:$C$1000,"&lt;"&amp;'Detalle individual'!C338)*1000+COUNTIF('Detalle individual'!$B$5:$B$1000,"&lt;"&amp;'Detalle individual'!B338)+ROW()/10000,"")</f>
        <v/>
      </c>
      <c r="AI338" t="str">
        <f>IF('Detalle individual'!F338="Completado",COUNTIF('Detalle individual'!$D$5:$D$1000,"&lt;"&amp;'Detalle individual'!D338)*1000000+COUNTIF('Detalle individual'!$C$5:$C$1000,"&lt;"&amp;'Detalle individual'!C338)*1000+COUNTIF('Detalle individual'!$B$5:$B$1000,"&lt;"&amp;'Detalle individual'!B338)+ROW()/10000,"")</f>
        <v/>
      </c>
      <c r="AJ338" t="str">
        <f>IF(AND('Detalle individual'!F338&lt;&gt;"",'Detalle individual'!F338&lt;&gt;"Completado",'Detalle individual'!F338&lt;&gt;"Pendiente"),COUNTIF('Detalle individual'!$D$5:$D$1000,"&lt;"&amp;'Detalle individual'!D338)*1000000+COUNTIF('Detalle individual'!$C$5:$C$1000,"&lt;"&amp;'Detalle individual'!C338)*1000+COUNTIF('Detalle individual'!$B$5:$B$1000,"&lt;"&amp;'Detalle individual'!B338)+ROW()/10000,"")</f>
        <v/>
      </c>
      <c r="AK338" t="str">
        <f>IF(OR('Base Exámenes'!C338="",'Base Exámenes'!D338=""),"",IF(COUNTIF('Base Exámenes'!$C$5:C338,'Base Exámenes'!C338)=1,'Base Exámenes'!D338+ROW()/1000000000,""))</f>
        <v/>
      </c>
      <c r="AL338" t="str">
        <f>IF(OR('Base Exámenes'!C338="",'Base Exámenes'!E338=""),"",IF(COUNTIF('Base Exámenes'!$C$5:C338,'Base Exámenes'!C338)=1,'Base Exámenes'!E338+ROW()/1000000000,""))</f>
        <v/>
      </c>
      <c r="AM338" t="str">
        <f>IF(OR('Base Exámenes'!C338="",'Base Exámenes'!G338=""),"",IF(ROW()-4=MATCH('Base Exámenes'!C338&amp;"|"&amp;_xlfn.MAXIFS('Base Exámenes'!$G$5:$G$1000,'Base Exámenes'!$C$5:$C$1000,'Base Exámenes'!C338),'Base Exámenes'!$I$5:$I$1000,0),'Base Exámenes'!G338*1000000+(-1)*'Base Exámenes'!D338,""))</f>
        <v/>
      </c>
      <c r="AQ338" t="str">
        <f>IF('Base Exámenes'!C338="","",IF(COUNTIF('Base Exámenes'!$C$5:$C$1000,'Base Exámenes'!C338)&lt;2,"",MATCH('Base Exámenes'!C338,'Base Exámenes'!$C$5:$C$1000,0)*10000+ROW()))</f>
        <v/>
      </c>
    </row>
    <row r="339">
      <c r="Z339" t="str">
        <f>IF('Detalle individual'!A339="","",IF(AND(OR('Estado por Colaborador'!$D$4="Todas las gerencias",'Detalle individual'!D339='Estado por Colaborador'!$D$4),OR('Estado por Colaborador'!$D$5="Todos los departamentos",TRIM('Detalle individual'!C339)='Estado por Colaborador'!$D$5),OR('Estado por Colaborador'!$D$6="Todos",'Detalle individual'!F339='Estado por Colaborador'!$D$6)),IF('Detalle individual'!F339="Completado",30000000,IF('Detalle individual'!F339="Pendiente",0,15000000))+COUNTIF('Detalle individual'!$C$5:$C$1000,"&lt;"&amp;'Detalle individual'!C339)*10000+ROW(),""))</f>
        <v/>
      </c>
      <c r="AB339" t="str">
        <f>IF('Detalle individual'!C339="","",IF(COUNTIF('Detalle individual'!$C$5:C339,'Detalle individual'!C339)=1,COUNTIF('Detalle individual'!$C$5:$C$1000,"&lt;"&amp;'Detalle individual'!C339),""))</f>
        <v/>
      </c>
      <c r="AC339" t="str">
        <f>IF('Detalle individual'!D339="","",IF(COUNTIF('Detalle individual'!$D$5:D339,'Detalle individual'!D339)=1,COUNTIF('Detalle individual'!$D$5:$D$1000,"&lt;"&amp;'Detalle individual'!D339),""))</f>
        <v/>
      </c>
      <c r="AH339" t="str">
        <f>IF('Detalle individual'!F339="Pendiente",COUNTIF('Detalle individual'!$D$5:$D$1000,"&lt;"&amp;'Detalle individual'!D339)*1000000+COUNTIF('Detalle individual'!$C$5:$C$1000,"&lt;"&amp;'Detalle individual'!C339)*1000+COUNTIF('Detalle individual'!$B$5:$B$1000,"&lt;"&amp;'Detalle individual'!B339)+ROW()/10000,"")</f>
        <v/>
      </c>
      <c r="AI339" t="str">
        <f>IF('Detalle individual'!F339="Completado",COUNTIF('Detalle individual'!$D$5:$D$1000,"&lt;"&amp;'Detalle individual'!D339)*1000000+COUNTIF('Detalle individual'!$C$5:$C$1000,"&lt;"&amp;'Detalle individual'!C339)*1000+COUNTIF('Detalle individual'!$B$5:$B$1000,"&lt;"&amp;'Detalle individual'!B339)+ROW()/10000,"")</f>
        <v/>
      </c>
      <c r="AJ339" t="str">
        <f>IF(AND('Detalle individual'!F339&lt;&gt;"",'Detalle individual'!F339&lt;&gt;"Completado",'Detalle individual'!F339&lt;&gt;"Pendiente"),COUNTIF('Detalle individual'!$D$5:$D$1000,"&lt;"&amp;'Detalle individual'!D339)*1000000+COUNTIF('Detalle individual'!$C$5:$C$1000,"&lt;"&amp;'Detalle individual'!C339)*1000+COUNTIF('Detalle individual'!$B$5:$B$1000,"&lt;"&amp;'Detalle individual'!B339)+ROW()/10000,"")</f>
        <v/>
      </c>
      <c r="AK339" t="str">
        <f>IF(OR('Base Exámenes'!C339="",'Base Exámenes'!D339=""),"",IF(COUNTIF('Base Exámenes'!$C$5:C339,'Base Exámenes'!C339)=1,'Base Exámenes'!D339+ROW()/1000000000,""))</f>
        <v/>
      </c>
      <c r="AL339" t="str">
        <f>IF(OR('Base Exámenes'!C339="",'Base Exámenes'!E339=""),"",IF(COUNTIF('Base Exámenes'!$C$5:C339,'Base Exámenes'!C339)=1,'Base Exámenes'!E339+ROW()/1000000000,""))</f>
        <v/>
      </c>
      <c r="AM339" t="str">
        <f>IF(OR('Base Exámenes'!C339="",'Base Exámenes'!G339=""),"",IF(ROW()-4=MATCH('Base Exámenes'!C339&amp;"|"&amp;_xlfn.MAXIFS('Base Exámenes'!$G$5:$G$1000,'Base Exámenes'!$C$5:$C$1000,'Base Exámenes'!C339),'Base Exámenes'!$I$5:$I$1000,0),'Base Exámenes'!G339*1000000+(-1)*'Base Exámenes'!D339,""))</f>
        <v/>
      </c>
      <c r="AQ339" t="str">
        <f>IF('Base Exámenes'!C339="","",IF(COUNTIF('Base Exámenes'!$C$5:$C$1000,'Base Exámenes'!C339)&lt;2,"",MATCH('Base Exámenes'!C339,'Base Exámenes'!$C$5:$C$1000,0)*10000+ROW()))</f>
        <v/>
      </c>
    </row>
    <row r="340">
      <c r="Z340" t="str">
        <f>IF('Detalle individual'!A340="","",IF(AND(OR('Estado por Colaborador'!$D$4="Todas las gerencias",'Detalle individual'!D340='Estado por Colaborador'!$D$4),OR('Estado por Colaborador'!$D$5="Todos los departamentos",TRIM('Detalle individual'!C340)='Estado por Colaborador'!$D$5),OR('Estado por Colaborador'!$D$6="Todos",'Detalle individual'!F340='Estado por Colaborador'!$D$6)),IF('Detalle individual'!F340="Completado",30000000,IF('Detalle individual'!F340="Pendiente",0,15000000))+COUNTIF('Detalle individual'!$C$5:$C$1000,"&lt;"&amp;'Detalle individual'!C340)*10000+ROW(),""))</f>
        <v/>
      </c>
      <c r="AB340" t="str">
        <f>IF('Detalle individual'!C340="","",IF(COUNTIF('Detalle individual'!$C$5:C340,'Detalle individual'!C340)=1,COUNTIF('Detalle individual'!$C$5:$C$1000,"&lt;"&amp;'Detalle individual'!C340),""))</f>
        <v/>
      </c>
      <c r="AC340" t="str">
        <f>IF('Detalle individual'!D340="","",IF(COUNTIF('Detalle individual'!$D$5:D340,'Detalle individual'!D340)=1,COUNTIF('Detalle individual'!$D$5:$D$1000,"&lt;"&amp;'Detalle individual'!D340),""))</f>
        <v/>
      </c>
      <c r="AH340" t="str">
        <f>IF('Detalle individual'!F340="Pendiente",COUNTIF('Detalle individual'!$D$5:$D$1000,"&lt;"&amp;'Detalle individual'!D340)*1000000+COUNTIF('Detalle individual'!$C$5:$C$1000,"&lt;"&amp;'Detalle individual'!C340)*1000+COUNTIF('Detalle individual'!$B$5:$B$1000,"&lt;"&amp;'Detalle individual'!B340)+ROW()/10000,"")</f>
        <v/>
      </c>
      <c r="AI340" t="str">
        <f>IF('Detalle individual'!F340="Completado",COUNTIF('Detalle individual'!$D$5:$D$1000,"&lt;"&amp;'Detalle individual'!D340)*1000000+COUNTIF('Detalle individual'!$C$5:$C$1000,"&lt;"&amp;'Detalle individual'!C340)*1000+COUNTIF('Detalle individual'!$B$5:$B$1000,"&lt;"&amp;'Detalle individual'!B340)+ROW()/10000,"")</f>
        <v/>
      </c>
      <c r="AJ340" t="str">
        <f>IF(AND('Detalle individual'!F340&lt;&gt;"",'Detalle individual'!F340&lt;&gt;"Completado",'Detalle individual'!F340&lt;&gt;"Pendiente"),COUNTIF('Detalle individual'!$D$5:$D$1000,"&lt;"&amp;'Detalle individual'!D340)*1000000+COUNTIF('Detalle individual'!$C$5:$C$1000,"&lt;"&amp;'Detalle individual'!C340)*1000+COUNTIF('Detalle individual'!$B$5:$B$1000,"&lt;"&amp;'Detalle individual'!B340)+ROW()/10000,"")</f>
        <v/>
      </c>
      <c r="AK340" t="str">
        <f>IF(OR('Base Exámenes'!C340="",'Base Exámenes'!D340=""),"",IF(COUNTIF('Base Exámenes'!$C$5:C340,'Base Exámenes'!C340)=1,'Base Exámenes'!D340+ROW()/1000000000,""))</f>
        <v/>
      </c>
      <c r="AL340" t="str">
        <f>IF(OR('Base Exámenes'!C340="",'Base Exámenes'!E340=""),"",IF(COUNTIF('Base Exámenes'!$C$5:C340,'Base Exámenes'!C340)=1,'Base Exámenes'!E340+ROW()/1000000000,""))</f>
        <v/>
      </c>
      <c r="AM340" t="str">
        <f>IF(OR('Base Exámenes'!C340="",'Base Exámenes'!G340=""),"",IF(ROW()-4=MATCH('Base Exámenes'!C340&amp;"|"&amp;_xlfn.MAXIFS('Base Exámenes'!$G$5:$G$1000,'Base Exámenes'!$C$5:$C$1000,'Base Exámenes'!C340),'Base Exámenes'!$I$5:$I$1000,0),'Base Exámenes'!G340*1000000+(-1)*'Base Exámenes'!D340,""))</f>
        <v/>
      </c>
      <c r="AQ340" t="str">
        <f>IF('Base Exámenes'!C340="","",IF(COUNTIF('Base Exámenes'!$C$5:$C$1000,'Base Exámenes'!C340)&lt;2,"",MATCH('Base Exámenes'!C340,'Base Exámenes'!$C$5:$C$1000,0)*10000+ROW()))</f>
        <v/>
      </c>
    </row>
    <row r="341">
      <c r="Z341" t="str">
        <f>IF('Detalle individual'!A341="","",IF(AND(OR('Estado por Colaborador'!$D$4="Todas las gerencias",'Detalle individual'!D341='Estado por Colaborador'!$D$4),OR('Estado por Colaborador'!$D$5="Todos los departamentos",TRIM('Detalle individual'!C341)='Estado por Colaborador'!$D$5),OR('Estado por Colaborador'!$D$6="Todos",'Detalle individual'!F341='Estado por Colaborador'!$D$6)),IF('Detalle individual'!F341="Completado",30000000,IF('Detalle individual'!F341="Pendiente",0,15000000))+COUNTIF('Detalle individual'!$C$5:$C$1000,"&lt;"&amp;'Detalle individual'!C341)*10000+ROW(),""))</f>
        <v/>
      </c>
      <c r="AB341" t="str">
        <f>IF('Detalle individual'!C341="","",IF(COUNTIF('Detalle individual'!$C$5:C341,'Detalle individual'!C341)=1,COUNTIF('Detalle individual'!$C$5:$C$1000,"&lt;"&amp;'Detalle individual'!C341),""))</f>
        <v/>
      </c>
      <c r="AC341" t="str">
        <f>IF('Detalle individual'!D341="","",IF(COUNTIF('Detalle individual'!$D$5:D341,'Detalle individual'!D341)=1,COUNTIF('Detalle individual'!$D$5:$D$1000,"&lt;"&amp;'Detalle individual'!D341),""))</f>
        <v/>
      </c>
      <c r="AH341" t="str">
        <f>IF('Detalle individual'!F341="Pendiente",COUNTIF('Detalle individual'!$D$5:$D$1000,"&lt;"&amp;'Detalle individual'!D341)*1000000+COUNTIF('Detalle individual'!$C$5:$C$1000,"&lt;"&amp;'Detalle individual'!C341)*1000+COUNTIF('Detalle individual'!$B$5:$B$1000,"&lt;"&amp;'Detalle individual'!B341)+ROW()/10000,"")</f>
        <v/>
      </c>
      <c r="AI341" t="str">
        <f>IF('Detalle individual'!F341="Completado",COUNTIF('Detalle individual'!$D$5:$D$1000,"&lt;"&amp;'Detalle individual'!D341)*1000000+COUNTIF('Detalle individual'!$C$5:$C$1000,"&lt;"&amp;'Detalle individual'!C341)*1000+COUNTIF('Detalle individual'!$B$5:$B$1000,"&lt;"&amp;'Detalle individual'!B341)+ROW()/10000,"")</f>
        <v/>
      </c>
      <c r="AJ341" t="str">
        <f>IF(AND('Detalle individual'!F341&lt;&gt;"",'Detalle individual'!F341&lt;&gt;"Completado",'Detalle individual'!F341&lt;&gt;"Pendiente"),COUNTIF('Detalle individual'!$D$5:$D$1000,"&lt;"&amp;'Detalle individual'!D341)*1000000+COUNTIF('Detalle individual'!$C$5:$C$1000,"&lt;"&amp;'Detalle individual'!C341)*1000+COUNTIF('Detalle individual'!$B$5:$B$1000,"&lt;"&amp;'Detalle individual'!B341)+ROW()/10000,"")</f>
        <v/>
      </c>
      <c r="AK341" t="str">
        <f>IF(OR('Base Exámenes'!C341="",'Base Exámenes'!D341=""),"",IF(COUNTIF('Base Exámenes'!$C$5:C341,'Base Exámenes'!C341)=1,'Base Exámenes'!D341+ROW()/1000000000,""))</f>
        <v/>
      </c>
      <c r="AL341" t="str">
        <f>IF(OR('Base Exámenes'!C341="",'Base Exámenes'!E341=""),"",IF(COUNTIF('Base Exámenes'!$C$5:C341,'Base Exámenes'!C341)=1,'Base Exámenes'!E341+ROW()/1000000000,""))</f>
        <v/>
      </c>
      <c r="AM341" t="str">
        <f>IF(OR('Base Exámenes'!C341="",'Base Exámenes'!G341=""),"",IF(ROW()-4=MATCH('Base Exámenes'!C341&amp;"|"&amp;_xlfn.MAXIFS('Base Exámenes'!$G$5:$G$1000,'Base Exámenes'!$C$5:$C$1000,'Base Exámenes'!C341),'Base Exámenes'!$I$5:$I$1000,0),'Base Exámenes'!G341*1000000+(-1)*'Base Exámenes'!D341,""))</f>
        <v/>
      </c>
      <c r="AQ341" t="str">
        <f>IF('Base Exámenes'!C341="","",IF(COUNTIF('Base Exámenes'!$C$5:$C$1000,'Base Exámenes'!C341)&lt;2,"",MATCH('Base Exámenes'!C341,'Base Exámenes'!$C$5:$C$1000,0)*10000+ROW()))</f>
        <v/>
      </c>
    </row>
    <row r="342">
      <c r="Z342" t="str">
        <f>IF('Detalle individual'!A342="","",IF(AND(OR('Estado por Colaborador'!$D$4="Todas las gerencias",'Detalle individual'!D342='Estado por Colaborador'!$D$4),OR('Estado por Colaborador'!$D$5="Todos los departamentos",TRIM('Detalle individual'!C342)='Estado por Colaborador'!$D$5),OR('Estado por Colaborador'!$D$6="Todos",'Detalle individual'!F342='Estado por Colaborador'!$D$6)),IF('Detalle individual'!F342="Completado",30000000,IF('Detalle individual'!F342="Pendiente",0,15000000))+COUNTIF('Detalle individual'!$C$5:$C$1000,"&lt;"&amp;'Detalle individual'!C342)*10000+ROW(),""))</f>
        <v/>
      </c>
      <c r="AB342" t="str">
        <f>IF('Detalle individual'!C342="","",IF(COUNTIF('Detalle individual'!$C$5:C342,'Detalle individual'!C342)=1,COUNTIF('Detalle individual'!$C$5:$C$1000,"&lt;"&amp;'Detalle individual'!C342),""))</f>
        <v/>
      </c>
      <c r="AC342" t="str">
        <f>IF('Detalle individual'!D342="","",IF(COUNTIF('Detalle individual'!$D$5:D342,'Detalle individual'!D342)=1,COUNTIF('Detalle individual'!$D$5:$D$1000,"&lt;"&amp;'Detalle individual'!D342),""))</f>
        <v/>
      </c>
      <c r="AH342" t="str">
        <f>IF('Detalle individual'!F342="Pendiente",COUNTIF('Detalle individual'!$D$5:$D$1000,"&lt;"&amp;'Detalle individual'!D342)*1000000+COUNTIF('Detalle individual'!$C$5:$C$1000,"&lt;"&amp;'Detalle individual'!C342)*1000+COUNTIF('Detalle individual'!$B$5:$B$1000,"&lt;"&amp;'Detalle individual'!B342)+ROW()/10000,"")</f>
        <v/>
      </c>
      <c r="AI342" t="str">
        <f>IF('Detalle individual'!F342="Completado",COUNTIF('Detalle individual'!$D$5:$D$1000,"&lt;"&amp;'Detalle individual'!D342)*1000000+COUNTIF('Detalle individual'!$C$5:$C$1000,"&lt;"&amp;'Detalle individual'!C342)*1000+COUNTIF('Detalle individual'!$B$5:$B$1000,"&lt;"&amp;'Detalle individual'!B342)+ROW()/10000,"")</f>
        <v/>
      </c>
      <c r="AJ342" t="str">
        <f>IF(AND('Detalle individual'!F342&lt;&gt;"",'Detalle individual'!F342&lt;&gt;"Completado",'Detalle individual'!F342&lt;&gt;"Pendiente"),COUNTIF('Detalle individual'!$D$5:$D$1000,"&lt;"&amp;'Detalle individual'!D342)*1000000+COUNTIF('Detalle individual'!$C$5:$C$1000,"&lt;"&amp;'Detalle individual'!C342)*1000+COUNTIF('Detalle individual'!$B$5:$B$1000,"&lt;"&amp;'Detalle individual'!B342)+ROW()/10000,"")</f>
        <v/>
      </c>
      <c r="AK342" t="str">
        <f>IF(OR('Base Exámenes'!C342="",'Base Exámenes'!D342=""),"",IF(COUNTIF('Base Exámenes'!$C$5:C342,'Base Exámenes'!C342)=1,'Base Exámenes'!D342+ROW()/1000000000,""))</f>
        <v/>
      </c>
      <c r="AL342" t="str">
        <f>IF(OR('Base Exámenes'!C342="",'Base Exámenes'!E342=""),"",IF(COUNTIF('Base Exámenes'!$C$5:C342,'Base Exámenes'!C342)=1,'Base Exámenes'!E342+ROW()/1000000000,""))</f>
        <v/>
      </c>
      <c r="AM342" t="str">
        <f>IF(OR('Base Exámenes'!C342="",'Base Exámenes'!G342=""),"",IF(ROW()-4=MATCH('Base Exámenes'!C342&amp;"|"&amp;_xlfn.MAXIFS('Base Exámenes'!$G$5:$G$1000,'Base Exámenes'!$C$5:$C$1000,'Base Exámenes'!C342),'Base Exámenes'!$I$5:$I$1000,0),'Base Exámenes'!G342*1000000+(-1)*'Base Exámenes'!D342,""))</f>
        <v/>
      </c>
      <c r="AQ342" t="str">
        <f>IF('Base Exámenes'!C342="","",IF(COUNTIF('Base Exámenes'!$C$5:$C$1000,'Base Exámenes'!C342)&lt;2,"",MATCH('Base Exámenes'!C342,'Base Exámenes'!$C$5:$C$1000,0)*10000+ROW()))</f>
        <v/>
      </c>
    </row>
    <row r="343">
      <c r="Z343" t="str">
        <f>IF('Detalle individual'!A343="","",IF(AND(OR('Estado por Colaborador'!$D$4="Todas las gerencias",'Detalle individual'!D343='Estado por Colaborador'!$D$4),OR('Estado por Colaborador'!$D$5="Todos los departamentos",TRIM('Detalle individual'!C343)='Estado por Colaborador'!$D$5),OR('Estado por Colaborador'!$D$6="Todos",'Detalle individual'!F343='Estado por Colaborador'!$D$6)),IF('Detalle individual'!F343="Completado",30000000,IF('Detalle individual'!F343="Pendiente",0,15000000))+COUNTIF('Detalle individual'!$C$5:$C$1000,"&lt;"&amp;'Detalle individual'!C343)*10000+ROW(),""))</f>
        <v/>
      </c>
      <c r="AB343" t="str">
        <f>IF('Detalle individual'!C343="","",IF(COUNTIF('Detalle individual'!$C$5:C343,'Detalle individual'!C343)=1,COUNTIF('Detalle individual'!$C$5:$C$1000,"&lt;"&amp;'Detalle individual'!C343),""))</f>
        <v/>
      </c>
      <c r="AC343" t="str">
        <f>IF('Detalle individual'!D343="","",IF(COUNTIF('Detalle individual'!$D$5:D343,'Detalle individual'!D343)=1,COUNTIF('Detalle individual'!$D$5:$D$1000,"&lt;"&amp;'Detalle individual'!D343),""))</f>
        <v/>
      </c>
      <c r="AH343" t="str">
        <f>IF('Detalle individual'!F343="Pendiente",COUNTIF('Detalle individual'!$D$5:$D$1000,"&lt;"&amp;'Detalle individual'!D343)*1000000+COUNTIF('Detalle individual'!$C$5:$C$1000,"&lt;"&amp;'Detalle individual'!C343)*1000+COUNTIF('Detalle individual'!$B$5:$B$1000,"&lt;"&amp;'Detalle individual'!B343)+ROW()/10000,"")</f>
        <v/>
      </c>
      <c r="AI343" t="str">
        <f>IF('Detalle individual'!F343="Completado",COUNTIF('Detalle individual'!$D$5:$D$1000,"&lt;"&amp;'Detalle individual'!D343)*1000000+COUNTIF('Detalle individual'!$C$5:$C$1000,"&lt;"&amp;'Detalle individual'!C343)*1000+COUNTIF('Detalle individual'!$B$5:$B$1000,"&lt;"&amp;'Detalle individual'!B343)+ROW()/10000,"")</f>
        <v/>
      </c>
      <c r="AJ343" t="str">
        <f>IF(AND('Detalle individual'!F343&lt;&gt;"",'Detalle individual'!F343&lt;&gt;"Completado",'Detalle individual'!F343&lt;&gt;"Pendiente"),COUNTIF('Detalle individual'!$D$5:$D$1000,"&lt;"&amp;'Detalle individual'!D343)*1000000+COUNTIF('Detalle individual'!$C$5:$C$1000,"&lt;"&amp;'Detalle individual'!C343)*1000+COUNTIF('Detalle individual'!$B$5:$B$1000,"&lt;"&amp;'Detalle individual'!B343)+ROW()/10000,"")</f>
        <v/>
      </c>
      <c r="AK343" t="str">
        <f>IF(OR('Base Exámenes'!C343="",'Base Exámenes'!D343=""),"",IF(COUNTIF('Base Exámenes'!$C$5:C343,'Base Exámenes'!C343)=1,'Base Exámenes'!D343+ROW()/1000000000,""))</f>
        <v/>
      </c>
      <c r="AL343" t="str">
        <f>IF(OR('Base Exámenes'!C343="",'Base Exámenes'!E343=""),"",IF(COUNTIF('Base Exámenes'!$C$5:C343,'Base Exámenes'!C343)=1,'Base Exámenes'!E343+ROW()/1000000000,""))</f>
        <v/>
      </c>
      <c r="AM343" t="str">
        <f>IF(OR('Base Exámenes'!C343="",'Base Exámenes'!G343=""),"",IF(ROW()-4=MATCH('Base Exámenes'!C343&amp;"|"&amp;_xlfn.MAXIFS('Base Exámenes'!$G$5:$G$1000,'Base Exámenes'!$C$5:$C$1000,'Base Exámenes'!C343),'Base Exámenes'!$I$5:$I$1000,0),'Base Exámenes'!G343*1000000+(-1)*'Base Exámenes'!D343,""))</f>
        <v/>
      </c>
      <c r="AQ343" t="str">
        <f>IF('Base Exámenes'!C343="","",IF(COUNTIF('Base Exámenes'!$C$5:$C$1000,'Base Exámenes'!C343)&lt;2,"",MATCH('Base Exámenes'!C343,'Base Exámenes'!$C$5:$C$1000,0)*10000+ROW()))</f>
        <v/>
      </c>
    </row>
    <row r="344">
      <c r="Z344" t="str">
        <f>IF('Detalle individual'!A344="","",IF(AND(OR('Estado por Colaborador'!$D$4="Todas las gerencias",'Detalle individual'!D344='Estado por Colaborador'!$D$4),OR('Estado por Colaborador'!$D$5="Todos los departamentos",TRIM('Detalle individual'!C344)='Estado por Colaborador'!$D$5),OR('Estado por Colaborador'!$D$6="Todos",'Detalle individual'!F344='Estado por Colaborador'!$D$6)),IF('Detalle individual'!F344="Completado",30000000,IF('Detalle individual'!F344="Pendiente",0,15000000))+COUNTIF('Detalle individual'!$C$5:$C$1000,"&lt;"&amp;'Detalle individual'!C344)*10000+ROW(),""))</f>
        <v/>
      </c>
      <c r="AB344" t="str">
        <f>IF('Detalle individual'!C344="","",IF(COUNTIF('Detalle individual'!$C$5:C344,'Detalle individual'!C344)=1,COUNTIF('Detalle individual'!$C$5:$C$1000,"&lt;"&amp;'Detalle individual'!C344),""))</f>
        <v/>
      </c>
      <c r="AC344" t="str">
        <f>IF('Detalle individual'!D344="","",IF(COUNTIF('Detalle individual'!$D$5:D344,'Detalle individual'!D344)=1,COUNTIF('Detalle individual'!$D$5:$D$1000,"&lt;"&amp;'Detalle individual'!D344),""))</f>
        <v/>
      </c>
      <c r="AH344" t="str">
        <f>IF('Detalle individual'!F344="Pendiente",COUNTIF('Detalle individual'!$D$5:$D$1000,"&lt;"&amp;'Detalle individual'!D344)*1000000+COUNTIF('Detalle individual'!$C$5:$C$1000,"&lt;"&amp;'Detalle individual'!C344)*1000+COUNTIF('Detalle individual'!$B$5:$B$1000,"&lt;"&amp;'Detalle individual'!B344)+ROW()/10000,"")</f>
        <v/>
      </c>
      <c r="AI344" t="str">
        <f>IF('Detalle individual'!F344="Completado",COUNTIF('Detalle individual'!$D$5:$D$1000,"&lt;"&amp;'Detalle individual'!D344)*1000000+COUNTIF('Detalle individual'!$C$5:$C$1000,"&lt;"&amp;'Detalle individual'!C344)*1000+COUNTIF('Detalle individual'!$B$5:$B$1000,"&lt;"&amp;'Detalle individual'!B344)+ROW()/10000,"")</f>
        <v/>
      </c>
      <c r="AJ344" t="str">
        <f>IF(AND('Detalle individual'!F344&lt;&gt;"",'Detalle individual'!F344&lt;&gt;"Completado",'Detalle individual'!F344&lt;&gt;"Pendiente"),COUNTIF('Detalle individual'!$D$5:$D$1000,"&lt;"&amp;'Detalle individual'!D344)*1000000+COUNTIF('Detalle individual'!$C$5:$C$1000,"&lt;"&amp;'Detalle individual'!C344)*1000+COUNTIF('Detalle individual'!$B$5:$B$1000,"&lt;"&amp;'Detalle individual'!B344)+ROW()/10000,"")</f>
        <v/>
      </c>
      <c r="AK344" t="str">
        <f>IF(OR('Base Exámenes'!C344="",'Base Exámenes'!D344=""),"",IF(COUNTIF('Base Exámenes'!$C$5:C344,'Base Exámenes'!C344)=1,'Base Exámenes'!D344+ROW()/1000000000,""))</f>
        <v/>
      </c>
      <c r="AL344" t="str">
        <f>IF(OR('Base Exámenes'!C344="",'Base Exámenes'!E344=""),"",IF(COUNTIF('Base Exámenes'!$C$5:C344,'Base Exámenes'!C344)=1,'Base Exámenes'!E344+ROW()/1000000000,""))</f>
        <v/>
      </c>
      <c r="AM344" t="str">
        <f>IF(OR('Base Exámenes'!C344="",'Base Exámenes'!G344=""),"",IF(ROW()-4=MATCH('Base Exámenes'!C344&amp;"|"&amp;_xlfn.MAXIFS('Base Exámenes'!$G$5:$G$1000,'Base Exámenes'!$C$5:$C$1000,'Base Exámenes'!C344),'Base Exámenes'!$I$5:$I$1000,0),'Base Exámenes'!G344*1000000+(-1)*'Base Exámenes'!D344,""))</f>
        <v/>
      </c>
      <c r="AQ344" t="str">
        <f>IF('Base Exámenes'!C344="","",IF(COUNTIF('Base Exámenes'!$C$5:$C$1000,'Base Exámenes'!C344)&lt;2,"",MATCH('Base Exámenes'!C344,'Base Exámenes'!$C$5:$C$1000,0)*10000+ROW()))</f>
        <v/>
      </c>
    </row>
    <row r="345">
      <c r="Z345" t="str">
        <f>IF('Detalle individual'!A345="","",IF(AND(OR('Estado por Colaborador'!$D$4="Todas las gerencias",'Detalle individual'!D345='Estado por Colaborador'!$D$4),OR('Estado por Colaborador'!$D$5="Todos los departamentos",TRIM('Detalle individual'!C345)='Estado por Colaborador'!$D$5),OR('Estado por Colaborador'!$D$6="Todos",'Detalle individual'!F345='Estado por Colaborador'!$D$6)),IF('Detalle individual'!F345="Completado",30000000,IF('Detalle individual'!F345="Pendiente",0,15000000))+COUNTIF('Detalle individual'!$C$5:$C$1000,"&lt;"&amp;'Detalle individual'!C345)*10000+ROW(),""))</f>
        <v/>
      </c>
      <c r="AB345" t="str">
        <f>IF('Detalle individual'!C345="","",IF(COUNTIF('Detalle individual'!$C$5:C345,'Detalle individual'!C345)=1,COUNTIF('Detalle individual'!$C$5:$C$1000,"&lt;"&amp;'Detalle individual'!C345),""))</f>
        <v/>
      </c>
      <c r="AC345" t="str">
        <f>IF('Detalle individual'!D345="","",IF(COUNTIF('Detalle individual'!$D$5:D345,'Detalle individual'!D345)=1,COUNTIF('Detalle individual'!$D$5:$D$1000,"&lt;"&amp;'Detalle individual'!D345),""))</f>
        <v/>
      </c>
      <c r="AH345" t="str">
        <f>IF('Detalle individual'!F345="Pendiente",COUNTIF('Detalle individual'!$D$5:$D$1000,"&lt;"&amp;'Detalle individual'!D345)*1000000+COUNTIF('Detalle individual'!$C$5:$C$1000,"&lt;"&amp;'Detalle individual'!C345)*1000+COUNTIF('Detalle individual'!$B$5:$B$1000,"&lt;"&amp;'Detalle individual'!B345)+ROW()/10000,"")</f>
        <v/>
      </c>
      <c r="AI345" t="str">
        <f>IF('Detalle individual'!F345="Completado",COUNTIF('Detalle individual'!$D$5:$D$1000,"&lt;"&amp;'Detalle individual'!D345)*1000000+COUNTIF('Detalle individual'!$C$5:$C$1000,"&lt;"&amp;'Detalle individual'!C345)*1000+COUNTIF('Detalle individual'!$B$5:$B$1000,"&lt;"&amp;'Detalle individual'!B345)+ROW()/10000,"")</f>
        <v/>
      </c>
      <c r="AJ345" t="str">
        <f>IF(AND('Detalle individual'!F345&lt;&gt;"",'Detalle individual'!F345&lt;&gt;"Completado",'Detalle individual'!F345&lt;&gt;"Pendiente"),COUNTIF('Detalle individual'!$D$5:$D$1000,"&lt;"&amp;'Detalle individual'!D345)*1000000+COUNTIF('Detalle individual'!$C$5:$C$1000,"&lt;"&amp;'Detalle individual'!C345)*1000+COUNTIF('Detalle individual'!$B$5:$B$1000,"&lt;"&amp;'Detalle individual'!B345)+ROW()/10000,"")</f>
        <v/>
      </c>
      <c r="AK345" t="str">
        <f>IF(OR('Base Exámenes'!C345="",'Base Exámenes'!D345=""),"",IF(COUNTIF('Base Exámenes'!$C$5:C345,'Base Exámenes'!C345)=1,'Base Exámenes'!D345+ROW()/1000000000,""))</f>
        <v/>
      </c>
      <c r="AL345" t="str">
        <f>IF(OR('Base Exámenes'!C345="",'Base Exámenes'!E345=""),"",IF(COUNTIF('Base Exámenes'!$C$5:C345,'Base Exámenes'!C345)=1,'Base Exámenes'!E345+ROW()/1000000000,""))</f>
        <v/>
      </c>
      <c r="AM345" t="str">
        <f>IF(OR('Base Exámenes'!C345="",'Base Exámenes'!G345=""),"",IF(ROW()-4=MATCH('Base Exámenes'!C345&amp;"|"&amp;_xlfn.MAXIFS('Base Exámenes'!$G$5:$G$1000,'Base Exámenes'!$C$5:$C$1000,'Base Exámenes'!C345),'Base Exámenes'!$I$5:$I$1000,0),'Base Exámenes'!G345*1000000+(-1)*'Base Exámenes'!D345,""))</f>
        <v/>
      </c>
      <c r="AQ345" t="str">
        <f>IF('Base Exámenes'!C345="","",IF(COUNTIF('Base Exámenes'!$C$5:$C$1000,'Base Exámenes'!C345)&lt;2,"",MATCH('Base Exámenes'!C345,'Base Exámenes'!$C$5:$C$1000,0)*10000+ROW()))</f>
        <v/>
      </c>
    </row>
    <row r="346">
      <c r="Z346" t="str">
        <f>IF('Detalle individual'!A346="","",IF(AND(OR('Estado por Colaborador'!$D$4="Todas las gerencias",'Detalle individual'!D346='Estado por Colaborador'!$D$4),OR('Estado por Colaborador'!$D$5="Todos los departamentos",TRIM('Detalle individual'!C346)='Estado por Colaborador'!$D$5),OR('Estado por Colaborador'!$D$6="Todos",'Detalle individual'!F346='Estado por Colaborador'!$D$6)),IF('Detalle individual'!F346="Completado",30000000,IF('Detalle individual'!F346="Pendiente",0,15000000))+COUNTIF('Detalle individual'!$C$5:$C$1000,"&lt;"&amp;'Detalle individual'!C346)*10000+ROW(),""))</f>
        <v/>
      </c>
      <c r="AB346" t="str">
        <f>IF('Detalle individual'!C346="","",IF(COUNTIF('Detalle individual'!$C$5:C346,'Detalle individual'!C346)=1,COUNTIF('Detalle individual'!$C$5:$C$1000,"&lt;"&amp;'Detalle individual'!C346),""))</f>
        <v/>
      </c>
      <c r="AC346" t="str">
        <f>IF('Detalle individual'!D346="","",IF(COUNTIF('Detalle individual'!$D$5:D346,'Detalle individual'!D346)=1,COUNTIF('Detalle individual'!$D$5:$D$1000,"&lt;"&amp;'Detalle individual'!D346),""))</f>
        <v/>
      </c>
      <c r="AH346" t="str">
        <f>IF('Detalle individual'!F346="Pendiente",COUNTIF('Detalle individual'!$D$5:$D$1000,"&lt;"&amp;'Detalle individual'!D346)*1000000+COUNTIF('Detalle individual'!$C$5:$C$1000,"&lt;"&amp;'Detalle individual'!C346)*1000+COUNTIF('Detalle individual'!$B$5:$B$1000,"&lt;"&amp;'Detalle individual'!B346)+ROW()/10000,"")</f>
        <v/>
      </c>
      <c r="AI346" t="str">
        <f>IF('Detalle individual'!F346="Completado",COUNTIF('Detalle individual'!$D$5:$D$1000,"&lt;"&amp;'Detalle individual'!D346)*1000000+COUNTIF('Detalle individual'!$C$5:$C$1000,"&lt;"&amp;'Detalle individual'!C346)*1000+COUNTIF('Detalle individual'!$B$5:$B$1000,"&lt;"&amp;'Detalle individual'!B346)+ROW()/10000,"")</f>
        <v/>
      </c>
      <c r="AJ346" t="str">
        <f>IF(AND('Detalle individual'!F346&lt;&gt;"",'Detalle individual'!F346&lt;&gt;"Completado",'Detalle individual'!F346&lt;&gt;"Pendiente"),COUNTIF('Detalle individual'!$D$5:$D$1000,"&lt;"&amp;'Detalle individual'!D346)*1000000+COUNTIF('Detalle individual'!$C$5:$C$1000,"&lt;"&amp;'Detalle individual'!C346)*1000+COUNTIF('Detalle individual'!$B$5:$B$1000,"&lt;"&amp;'Detalle individual'!B346)+ROW()/10000,"")</f>
        <v/>
      </c>
      <c r="AK346" t="str">
        <f>IF(OR('Base Exámenes'!C346="",'Base Exámenes'!D346=""),"",IF(COUNTIF('Base Exámenes'!$C$5:C346,'Base Exámenes'!C346)=1,'Base Exámenes'!D346+ROW()/1000000000,""))</f>
        <v/>
      </c>
      <c r="AL346" t="str">
        <f>IF(OR('Base Exámenes'!C346="",'Base Exámenes'!E346=""),"",IF(COUNTIF('Base Exámenes'!$C$5:C346,'Base Exámenes'!C346)=1,'Base Exámenes'!E346+ROW()/1000000000,""))</f>
        <v/>
      </c>
      <c r="AM346" t="str">
        <f>IF(OR('Base Exámenes'!C346="",'Base Exámenes'!G346=""),"",IF(ROW()-4=MATCH('Base Exámenes'!C346&amp;"|"&amp;_xlfn.MAXIFS('Base Exámenes'!$G$5:$G$1000,'Base Exámenes'!$C$5:$C$1000,'Base Exámenes'!C346),'Base Exámenes'!$I$5:$I$1000,0),'Base Exámenes'!G346*1000000+(-1)*'Base Exámenes'!D346,""))</f>
        <v/>
      </c>
      <c r="AQ346" t="str">
        <f>IF('Base Exámenes'!C346="","",IF(COUNTIF('Base Exámenes'!$C$5:$C$1000,'Base Exámenes'!C346)&lt;2,"",MATCH('Base Exámenes'!C346,'Base Exámenes'!$C$5:$C$1000,0)*10000+ROW()))</f>
        <v/>
      </c>
    </row>
    <row r="347">
      <c r="Z347" t="str">
        <f>IF('Detalle individual'!A347="","",IF(AND(OR('Estado por Colaborador'!$D$4="Todas las gerencias",'Detalle individual'!D347='Estado por Colaborador'!$D$4),OR('Estado por Colaborador'!$D$5="Todos los departamentos",TRIM('Detalle individual'!C347)='Estado por Colaborador'!$D$5),OR('Estado por Colaborador'!$D$6="Todos",'Detalle individual'!F347='Estado por Colaborador'!$D$6)),IF('Detalle individual'!F347="Completado",30000000,IF('Detalle individual'!F347="Pendiente",0,15000000))+COUNTIF('Detalle individual'!$C$5:$C$1000,"&lt;"&amp;'Detalle individual'!C347)*10000+ROW(),""))</f>
        <v/>
      </c>
      <c r="AB347" t="str">
        <f>IF('Detalle individual'!C347="","",IF(COUNTIF('Detalle individual'!$C$5:C347,'Detalle individual'!C347)=1,COUNTIF('Detalle individual'!$C$5:$C$1000,"&lt;"&amp;'Detalle individual'!C347),""))</f>
        <v/>
      </c>
      <c r="AC347" t="str">
        <f>IF('Detalle individual'!D347="","",IF(COUNTIF('Detalle individual'!$D$5:D347,'Detalle individual'!D347)=1,COUNTIF('Detalle individual'!$D$5:$D$1000,"&lt;"&amp;'Detalle individual'!D347),""))</f>
        <v/>
      </c>
      <c r="AH347" t="str">
        <f>IF('Detalle individual'!F347="Pendiente",COUNTIF('Detalle individual'!$D$5:$D$1000,"&lt;"&amp;'Detalle individual'!D347)*1000000+COUNTIF('Detalle individual'!$C$5:$C$1000,"&lt;"&amp;'Detalle individual'!C347)*1000+COUNTIF('Detalle individual'!$B$5:$B$1000,"&lt;"&amp;'Detalle individual'!B347)+ROW()/10000,"")</f>
        <v/>
      </c>
      <c r="AI347" t="str">
        <f>IF('Detalle individual'!F347="Completado",COUNTIF('Detalle individual'!$D$5:$D$1000,"&lt;"&amp;'Detalle individual'!D347)*1000000+COUNTIF('Detalle individual'!$C$5:$C$1000,"&lt;"&amp;'Detalle individual'!C347)*1000+COUNTIF('Detalle individual'!$B$5:$B$1000,"&lt;"&amp;'Detalle individual'!B347)+ROW()/10000,"")</f>
        <v/>
      </c>
      <c r="AJ347" t="str">
        <f>IF(AND('Detalle individual'!F347&lt;&gt;"",'Detalle individual'!F347&lt;&gt;"Completado",'Detalle individual'!F347&lt;&gt;"Pendiente"),COUNTIF('Detalle individual'!$D$5:$D$1000,"&lt;"&amp;'Detalle individual'!D347)*1000000+COUNTIF('Detalle individual'!$C$5:$C$1000,"&lt;"&amp;'Detalle individual'!C347)*1000+COUNTIF('Detalle individual'!$B$5:$B$1000,"&lt;"&amp;'Detalle individual'!B347)+ROW()/10000,"")</f>
        <v/>
      </c>
      <c r="AK347" t="str">
        <f>IF(OR('Base Exámenes'!C347="",'Base Exámenes'!D347=""),"",IF(COUNTIF('Base Exámenes'!$C$5:C347,'Base Exámenes'!C347)=1,'Base Exámenes'!D347+ROW()/1000000000,""))</f>
        <v/>
      </c>
      <c r="AL347" t="str">
        <f>IF(OR('Base Exámenes'!C347="",'Base Exámenes'!E347=""),"",IF(COUNTIF('Base Exámenes'!$C$5:C347,'Base Exámenes'!C347)=1,'Base Exámenes'!E347+ROW()/1000000000,""))</f>
        <v/>
      </c>
      <c r="AM347" t="str">
        <f>IF(OR('Base Exámenes'!C347="",'Base Exámenes'!G347=""),"",IF(ROW()-4=MATCH('Base Exámenes'!C347&amp;"|"&amp;_xlfn.MAXIFS('Base Exámenes'!$G$5:$G$1000,'Base Exámenes'!$C$5:$C$1000,'Base Exámenes'!C347),'Base Exámenes'!$I$5:$I$1000,0),'Base Exámenes'!G347*1000000+(-1)*'Base Exámenes'!D347,""))</f>
        <v/>
      </c>
      <c r="AQ347" t="str">
        <f>IF('Base Exámenes'!C347="","",IF(COUNTIF('Base Exámenes'!$C$5:$C$1000,'Base Exámenes'!C347)&lt;2,"",MATCH('Base Exámenes'!C347,'Base Exámenes'!$C$5:$C$1000,0)*10000+ROW()))</f>
        <v/>
      </c>
    </row>
    <row r="348">
      <c r="Z348" t="str">
        <f>IF('Detalle individual'!A348="","",IF(AND(OR('Estado por Colaborador'!$D$4="Todas las gerencias",'Detalle individual'!D348='Estado por Colaborador'!$D$4),OR('Estado por Colaborador'!$D$5="Todos los departamentos",TRIM('Detalle individual'!C348)='Estado por Colaborador'!$D$5),OR('Estado por Colaborador'!$D$6="Todos",'Detalle individual'!F348='Estado por Colaborador'!$D$6)),IF('Detalle individual'!F348="Completado",30000000,IF('Detalle individual'!F348="Pendiente",0,15000000))+COUNTIF('Detalle individual'!$C$5:$C$1000,"&lt;"&amp;'Detalle individual'!C348)*10000+ROW(),""))</f>
        <v/>
      </c>
      <c r="AB348" t="str">
        <f>IF('Detalle individual'!C348="","",IF(COUNTIF('Detalle individual'!$C$5:C348,'Detalle individual'!C348)=1,COUNTIF('Detalle individual'!$C$5:$C$1000,"&lt;"&amp;'Detalle individual'!C348),""))</f>
        <v/>
      </c>
      <c r="AC348" t="str">
        <f>IF('Detalle individual'!D348="","",IF(COUNTIF('Detalle individual'!$D$5:D348,'Detalle individual'!D348)=1,COUNTIF('Detalle individual'!$D$5:$D$1000,"&lt;"&amp;'Detalle individual'!D348),""))</f>
        <v/>
      </c>
      <c r="AH348" t="str">
        <f>IF('Detalle individual'!F348="Pendiente",COUNTIF('Detalle individual'!$D$5:$D$1000,"&lt;"&amp;'Detalle individual'!D348)*1000000+COUNTIF('Detalle individual'!$C$5:$C$1000,"&lt;"&amp;'Detalle individual'!C348)*1000+COUNTIF('Detalle individual'!$B$5:$B$1000,"&lt;"&amp;'Detalle individual'!B348)+ROW()/10000,"")</f>
        <v/>
      </c>
      <c r="AI348" t="str">
        <f>IF('Detalle individual'!F348="Completado",COUNTIF('Detalle individual'!$D$5:$D$1000,"&lt;"&amp;'Detalle individual'!D348)*1000000+COUNTIF('Detalle individual'!$C$5:$C$1000,"&lt;"&amp;'Detalle individual'!C348)*1000+COUNTIF('Detalle individual'!$B$5:$B$1000,"&lt;"&amp;'Detalle individual'!B348)+ROW()/10000,"")</f>
        <v/>
      </c>
      <c r="AJ348" t="str">
        <f>IF(AND('Detalle individual'!F348&lt;&gt;"",'Detalle individual'!F348&lt;&gt;"Completado",'Detalle individual'!F348&lt;&gt;"Pendiente"),COUNTIF('Detalle individual'!$D$5:$D$1000,"&lt;"&amp;'Detalle individual'!D348)*1000000+COUNTIF('Detalle individual'!$C$5:$C$1000,"&lt;"&amp;'Detalle individual'!C348)*1000+COUNTIF('Detalle individual'!$B$5:$B$1000,"&lt;"&amp;'Detalle individual'!B348)+ROW()/10000,"")</f>
        <v/>
      </c>
      <c r="AK348" t="str">
        <f>IF(OR('Base Exámenes'!C348="",'Base Exámenes'!D348=""),"",IF(COUNTIF('Base Exámenes'!$C$5:C348,'Base Exámenes'!C348)=1,'Base Exámenes'!D348+ROW()/1000000000,""))</f>
        <v/>
      </c>
      <c r="AL348" t="str">
        <f>IF(OR('Base Exámenes'!C348="",'Base Exámenes'!E348=""),"",IF(COUNTIF('Base Exámenes'!$C$5:C348,'Base Exámenes'!C348)=1,'Base Exámenes'!E348+ROW()/1000000000,""))</f>
        <v/>
      </c>
      <c r="AM348" t="str">
        <f>IF(OR('Base Exámenes'!C348="",'Base Exámenes'!G348=""),"",IF(ROW()-4=MATCH('Base Exámenes'!C348&amp;"|"&amp;_xlfn.MAXIFS('Base Exámenes'!$G$5:$G$1000,'Base Exámenes'!$C$5:$C$1000,'Base Exámenes'!C348),'Base Exámenes'!$I$5:$I$1000,0),'Base Exámenes'!G348*1000000+(-1)*'Base Exámenes'!D348,""))</f>
        <v/>
      </c>
      <c r="AQ348" t="str">
        <f>IF('Base Exámenes'!C348="","",IF(COUNTIF('Base Exámenes'!$C$5:$C$1000,'Base Exámenes'!C348)&lt;2,"",MATCH('Base Exámenes'!C348,'Base Exámenes'!$C$5:$C$1000,0)*10000+ROW()))</f>
        <v/>
      </c>
    </row>
    <row r="349">
      <c r="Z349" t="str">
        <f>IF('Detalle individual'!A349="","",IF(AND(OR('Estado por Colaborador'!$D$4="Todas las gerencias",'Detalle individual'!D349='Estado por Colaborador'!$D$4),OR('Estado por Colaborador'!$D$5="Todos los departamentos",TRIM('Detalle individual'!C349)='Estado por Colaborador'!$D$5),OR('Estado por Colaborador'!$D$6="Todos",'Detalle individual'!F349='Estado por Colaborador'!$D$6)),IF('Detalle individual'!F349="Completado",30000000,IF('Detalle individual'!F349="Pendiente",0,15000000))+COUNTIF('Detalle individual'!$C$5:$C$1000,"&lt;"&amp;'Detalle individual'!C349)*10000+ROW(),""))</f>
        <v/>
      </c>
      <c r="AB349" t="str">
        <f>IF('Detalle individual'!C349="","",IF(COUNTIF('Detalle individual'!$C$5:C349,'Detalle individual'!C349)=1,COUNTIF('Detalle individual'!$C$5:$C$1000,"&lt;"&amp;'Detalle individual'!C349),""))</f>
        <v/>
      </c>
      <c r="AC349" t="str">
        <f>IF('Detalle individual'!D349="","",IF(COUNTIF('Detalle individual'!$D$5:D349,'Detalle individual'!D349)=1,COUNTIF('Detalle individual'!$D$5:$D$1000,"&lt;"&amp;'Detalle individual'!D349),""))</f>
        <v/>
      </c>
      <c r="AH349" t="str">
        <f>IF('Detalle individual'!F349="Pendiente",COUNTIF('Detalle individual'!$D$5:$D$1000,"&lt;"&amp;'Detalle individual'!D349)*1000000+COUNTIF('Detalle individual'!$C$5:$C$1000,"&lt;"&amp;'Detalle individual'!C349)*1000+COUNTIF('Detalle individual'!$B$5:$B$1000,"&lt;"&amp;'Detalle individual'!B349)+ROW()/10000,"")</f>
        <v/>
      </c>
      <c r="AI349" t="str">
        <f>IF('Detalle individual'!F349="Completado",COUNTIF('Detalle individual'!$D$5:$D$1000,"&lt;"&amp;'Detalle individual'!D349)*1000000+COUNTIF('Detalle individual'!$C$5:$C$1000,"&lt;"&amp;'Detalle individual'!C349)*1000+COUNTIF('Detalle individual'!$B$5:$B$1000,"&lt;"&amp;'Detalle individual'!B349)+ROW()/10000,"")</f>
        <v/>
      </c>
      <c r="AJ349" t="str">
        <f>IF(AND('Detalle individual'!F349&lt;&gt;"",'Detalle individual'!F349&lt;&gt;"Completado",'Detalle individual'!F349&lt;&gt;"Pendiente"),COUNTIF('Detalle individual'!$D$5:$D$1000,"&lt;"&amp;'Detalle individual'!D349)*1000000+COUNTIF('Detalle individual'!$C$5:$C$1000,"&lt;"&amp;'Detalle individual'!C349)*1000+COUNTIF('Detalle individual'!$B$5:$B$1000,"&lt;"&amp;'Detalle individual'!B349)+ROW()/10000,"")</f>
        <v/>
      </c>
      <c r="AK349" t="str">
        <f>IF(OR('Base Exámenes'!C349="",'Base Exámenes'!D349=""),"",IF(COUNTIF('Base Exámenes'!$C$5:C349,'Base Exámenes'!C349)=1,'Base Exámenes'!D349+ROW()/1000000000,""))</f>
        <v/>
      </c>
      <c r="AL349" t="str">
        <f>IF(OR('Base Exámenes'!C349="",'Base Exámenes'!E349=""),"",IF(COUNTIF('Base Exámenes'!$C$5:C349,'Base Exámenes'!C349)=1,'Base Exámenes'!E349+ROW()/1000000000,""))</f>
        <v/>
      </c>
      <c r="AM349" t="str">
        <f>IF(OR('Base Exámenes'!C349="",'Base Exámenes'!G349=""),"",IF(ROW()-4=MATCH('Base Exámenes'!C349&amp;"|"&amp;_xlfn.MAXIFS('Base Exámenes'!$G$5:$G$1000,'Base Exámenes'!$C$5:$C$1000,'Base Exámenes'!C349),'Base Exámenes'!$I$5:$I$1000,0),'Base Exámenes'!G349*1000000+(-1)*'Base Exámenes'!D349,""))</f>
        <v/>
      </c>
      <c r="AQ349" t="str">
        <f>IF('Base Exámenes'!C349="","",IF(COUNTIF('Base Exámenes'!$C$5:$C$1000,'Base Exámenes'!C349)&lt;2,"",MATCH('Base Exámenes'!C349,'Base Exámenes'!$C$5:$C$1000,0)*10000+ROW()))</f>
        <v/>
      </c>
    </row>
    <row r="350">
      <c r="Z350" t="str">
        <f>IF('Detalle individual'!A350="","",IF(AND(OR('Estado por Colaborador'!$D$4="Todas las gerencias",'Detalle individual'!D350='Estado por Colaborador'!$D$4),OR('Estado por Colaborador'!$D$5="Todos los departamentos",TRIM('Detalle individual'!C350)='Estado por Colaborador'!$D$5),OR('Estado por Colaborador'!$D$6="Todos",'Detalle individual'!F350='Estado por Colaborador'!$D$6)),IF('Detalle individual'!F350="Completado",30000000,IF('Detalle individual'!F350="Pendiente",0,15000000))+COUNTIF('Detalle individual'!$C$5:$C$1000,"&lt;"&amp;'Detalle individual'!C350)*10000+ROW(),""))</f>
        <v/>
      </c>
      <c r="AB350" t="str">
        <f>IF('Detalle individual'!C350="","",IF(COUNTIF('Detalle individual'!$C$5:C350,'Detalle individual'!C350)=1,COUNTIF('Detalle individual'!$C$5:$C$1000,"&lt;"&amp;'Detalle individual'!C350),""))</f>
        <v/>
      </c>
      <c r="AC350" t="str">
        <f>IF('Detalle individual'!D350="","",IF(COUNTIF('Detalle individual'!$D$5:D350,'Detalle individual'!D350)=1,COUNTIF('Detalle individual'!$D$5:$D$1000,"&lt;"&amp;'Detalle individual'!D350),""))</f>
        <v/>
      </c>
      <c r="AH350" t="str">
        <f>IF('Detalle individual'!F350="Pendiente",COUNTIF('Detalle individual'!$D$5:$D$1000,"&lt;"&amp;'Detalle individual'!D350)*1000000+COUNTIF('Detalle individual'!$C$5:$C$1000,"&lt;"&amp;'Detalle individual'!C350)*1000+COUNTIF('Detalle individual'!$B$5:$B$1000,"&lt;"&amp;'Detalle individual'!B350)+ROW()/10000,"")</f>
        <v/>
      </c>
      <c r="AI350" t="str">
        <f>IF('Detalle individual'!F350="Completado",COUNTIF('Detalle individual'!$D$5:$D$1000,"&lt;"&amp;'Detalle individual'!D350)*1000000+COUNTIF('Detalle individual'!$C$5:$C$1000,"&lt;"&amp;'Detalle individual'!C350)*1000+COUNTIF('Detalle individual'!$B$5:$B$1000,"&lt;"&amp;'Detalle individual'!B350)+ROW()/10000,"")</f>
        <v/>
      </c>
      <c r="AJ350" t="str">
        <f>IF(AND('Detalle individual'!F350&lt;&gt;"",'Detalle individual'!F350&lt;&gt;"Completado",'Detalle individual'!F350&lt;&gt;"Pendiente"),COUNTIF('Detalle individual'!$D$5:$D$1000,"&lt;"&amp;'Detalle individual'!D350)*1000000+COUNTIF('Detalle individual'!$C$5:$C$1000,"&lt;"&amp;'Detalle individual'!C350)*1000+COUNTIF('Detalle individual'!$B$5:$B$1000,"&lt;"&amp;'Detalle individual'!B350)+ROW()/10000,"")</f>
        <v/>
      </c>
      <c r="AK350" t="str">
        <f>IF(OR('Base Exámenes'!C350="",'Base Exámenes'!D350=""),"",IF(COUNTIF('Base Exámenes'!$C$5:C350,'Base Exámenes'!C350)=1,'Base Exámenes'!D350+ROW()/1000000000,""))</f>
        <v/>
      </c>
      <c r="AL350" t="str">
        <f>IF(OR('Base Exámenes'!C350="",'Base Exámenes'!E350=""),"",IF(COUNTIF('Base Exámenes'!$C$5:C350,'Base Exámenes'!C350)=1,'Base Exámenes'!E350+ROW()/1000000000,""))</f>
        <v/>
      </c>
      <c r="AM350" t="str">
        <f>IF(OR('Base Exámenes'!C350="",'Base Exámenes'!G350=""),"",IF(ROW()-4=MATCH('Base Exámenes'!C350&amp;"|"&amp;_xlfn.MAXIFS('Base Exámenes'!$G$5:$G$1000,'Base Exámenes'!$C$5:$C$1000,'Base Exámenes'!C350),'Base Exámenes'!$I$5:$I$1000,0),'Base Exámenes'!G350*1000000+(-1)*'Base Exámenes'!D350,""))</f>
        <v/>
      </c>
      <c r="AQ350" t="str">
        <f>IF('Base Exámenes'!C350="","",IF(COUNTIF('Base Exámenes'!$C$5:$C$1000,'Base Exámenes'!C350)&lt;2,"",MATCH('Base Exámenes'!C350,'Base Exámenes'!$C$5:$C$1000,0)*10000+ROW()))</f>
        <v/>
      </c>
    </row>
    <row r="351">
      <c r="Z351" t="str">
        <f>IF('Detalle individual'!A351="","",IF(AND(OR('Estado por Colaborador'!$D$4="Todas las gerencias",'Detalle individual'!D351='Estado por Colaborador'!$D$4),OR('Estado por Colaborador'!$D$5="Todos los departamentos",TRIM('Detalle individual'!C351)='Estado por Colaborador'!$D$5),OR('Estado por Colaborador'!$D$6="Todos",'Detalle individual'!F351='Estado por Colaborador'!$D$6)),IF('Detalle individual'!F351="Completado",30000000,IF('Detalle individual'!F351="Pendiente",0,15000000))+COUNTIF('Detalle individual'!$C$5:$C$1000,"&lt;"&amp;'Detalle individual'!C351)*10000+ROW(),""))</f>
        <v/>
      </c>
      <c r="AB351" t="str">
        <f>IF('Detalle individual'!C351="","",IF(COUNTIF('Detalle individual'!$C$5:C351,'Detalle individual'!C351)=1,COUNTIF('Detalle individual'!$C$5:$C$1000,"&lt;"&amp;'Detalle individual'!C351),""))</f>
        <v/>
      </c>
      <c r="AC351" t="str">
        <f>IF('Detalle individual'!D351="","",IF(COUNTIF('Detalle individual'!$D$5:D351,'Detalle individual'!D351)=1,COUNTIF('Detalle individual'!$D$5:$D$1000,"&lt;"&amp;'Detalle individual'!D351),""))</f>
        <v/>
      </c>
      <c r="AH351" t="str">
        <f>IF('Detalle individual'!F351="Pendiente",COUNTIF('Detalle individual'!$D$5:$D$1000,"&lt;"&amp;'Detalle individual'!D351)*1000000+COUNTIF('Detalle individual'!$C$5:$C$1000,"&lt;"&amp;'Detalle individual'!C351)*1000+COUNTIF('Detalle individual'!$B$5:$B$1000,"&lt;"&amp;'Detalle individual'!B351)+ROW()/10000,"")</f>
        <v/>
      </c>
      <c r="AI351" t="str">
        <f>IF('Detalle individual'!F351="Completado",COUNTIF('Detalle individual'!$D$5:$D$1000,"&lt;"&amp;'Detalle individual'!D351)*1000000+COUNTIF('Detalle individual'!$C$5:$C$1000,"&lt;"&amp;'Detalle individual'!C351)*1000+COUNTIF('Detalle individual'!$B$5:$B$1000,"&lt;"&amp;'Detalle individual'!B351)+ROW()/10000,"")</f>
        <v/>
      </c>
      <c r="AJ351" t="str">
        <f>IF(AND('Detalle individual'!F351&lt;&gt;"",'Detalle individual'!F351&lt;&gt;"Completado",'Detalle individual'!F351&lt;&gt;"Pendiente"),COUNTIF('Detalle individual'!$D$5:$D$1000,"&lt;"&amp;'Detalle individual'!D351)*1000000+COUNTIF('Detalle individual'!$C$5:$C$1000,"&lt;"&amp;'Detalle individual'!C351)*1000+COUNTIF('Detalle individual'!$B$5:$B$1000,"&lt;"&amp;'Detalle individual'!B351)+ROW()/10000,"")</f>
        <v/>
      </c>
      <c r="AK351" t="str">
        <f>IF(OR('Base Exámenes'!C351="",'Base Exámenes'!D351=""),"",IF(COUNTIF('Base Exámenes'!$C$5:C351,'Base Exámenes'!C351)=1,'Base Exámenes'!D351+ROW()/1000000000,""))</f>
        <v/>
      </c>
      <c r="AL351" t="str">
        <f>IF(OR('Base Exámenes'!C351="",'Base Exámenes'!E351=""),"",IF(COUNTIF('Base Exámenes'!$C$5:C351,'Base Exámenes'!C351)=1,'Base Exámenes'!E351+ROW()/1000000000,""))</f>
        <v/>
      </c>
      <c r="AM351" t="str">
        <f>IF(OR('Base Exámenes'!C351="",'Base Exámenes'!G351=""),"",IF(ROW()-4=MATCH('Base Exámenes'!C351&amp;"|"&amp;_xlfn.MAXIFS('Base Exámenes'!$G$5:$G$1000,'Base Exámenes'!$C$5:$C$1000,'Base Exámenes'!C351),'Base Exámenes'!$I$5:$I$1000,0),'Base Exámenes'!G351*1000000+(-1)*'Base Exámenes'!D351,""))</f>
        <v/>
      </c>
      <c r="AQ351" t="str">
        <f>IF('Base Exámenes'!C351="","",IF(COUNTIF('Base Exámenes'!$C$5:$C$1000,'Base Exámenes'!C351)&lt;2,"",MATCH('Base Exámenes'!C351,'Base Exámenes'!$C$5:$C$1000,0)*10000+ROW()))</f>
        <v/>
      </c>
    </row>
    <row r="352">
      <c r="Z352" t="str">
        <f>IF('Detalle individual'!A352="","",IF(AND(OR('Estado por Colaborador'!$D$4="Todas las gerencias",'Detalle individual'!D352='Estado por Colaborador'!$D$4),OR('Estado por Colaborador'!$D$5="Todos los departamentos",TRIM('Detalle individual'!C352)='Estado por Colaborador'!$D$5),OR('Estado por Colaborador'!$D$6="Todos",'Detalle individual'!F352='Estado por Colaborador'!$D$6)),IF('Detalle individual'!F352="Completado",30000000,IF('Detalle individual'!F352="Pendiente",0,15000000))+COUNTIF('Detalle individual'!$C$5:$C$1000,"&lt;"&amp;'Detalle individual'!C352)*10000+ROW(),""))</f>
        <v/>
      </c>
      <c r="AB352" t="str">
        <f>IF('Detalle individual'!C352="","",IF(COUNTIF('Detalle individual'!$C$5:C352,'Detalle individual'!C352)=1,COUNTIF('Detalle individual'!$C$5:$C$1000,"&lt;"&amp;'Detalle individual'!C352),""))</f>
        <v/>
      </c>
      <c r="AC352" t="str">
        <f>IF('Detalle individual'!D352="","",IF(COUNTIF('Detalle individual'!$D$5:D352,'Detalle individual'!D352)=1,COUNTIF('Detalle individual'!$D$5:$D$1000,"&lt;"&amp;'Detalle individual'!D352),""))</f>
        <v/>
      </c>
      <c r="AH352" t="str">
        <f>IF('Detalle individual'!F352="Pendiente",COUNTIF('Detalle individual'!$D$5:$D$1000,"&lt;"&amp;'Detalle individual'!D352)*1000000+COUNTIF('Detalle individual'!$C$5:$C$1000,"&lt;"&amp;'Detalle individual'!C352)*1000+COUNTIF('Detalle individual'!$B$5:$B$1000,"&lt;"&amp;'Detalle individual'!B352)+ROW()/10000,"")</f>
        <v/>
      </c>
      <c r="AI352" t="str">
        <f>IF('Detalle individual'!F352="Completado",COUNTIF('Detalle individual'!$D$5:$D$1000,"&lt;"&amp;'Detalle individual'!D352)*1000000+COUNTIF('Detalle individual'!$C$5:$C$1000,"&lt;"&amp;'Detalle individual'!C352)*1000+COUNTIF('Detalle individual'!$B$5:$B$1000,"&lt;"&amp;'Detalle individual'!B352)+ROW()/10000,"")</f>
        <v/>
      </c>
      <c r="AJ352" t="str">
        <f>IF(AND('Detalle individual'!F352&lt;&gt;"",'Detalle individual'!F352&lt;&gt;"Completado",'Detalle individual'!F352&lt;&gt;"Pendiente"),COUNTIF('Detalle individual'!$D$5:$D$1000,"&lt;"&amp;'Detalle individual'!D352)*1000000+COUNTIF('Detalle individual'!$C$5:$C$1000,"&lt;"&amp;'Detalle individual'!C352)*1000+COUNTIF('Detalle individual'!$B$5:$B$1000,"&lt;"&amp;'Detalle individual'!B352)+ROW()/10000,"")</f>
        <v/>
      </c>
      <c r="AK352" t="str">
        <f>IF(OR('Base Exámenes'!C352="",'Base Exámenes'!D352=""),"",IF(COUNTIF('Base Exámenes'!$C$5:C352,'Base Exámenes'!C352)=1,'Base Exámenes'!D352+ROW()/1000000000,""))</f>
        <v/>
      </c>
      <c r="AL352" t="str">
        <f>IF(OR('Base Exámenes'!C352="",'Base Exámenes'!E352=""),"",IF(COUNTIF('Base Exámenes'!$C$5:C352,'Base Exámenes'!C352)=1,'Base Exámenes'!E352+ROW()/1000000000,""))</f>
        <v/>
      </c>
      <c r="AM352" t="str">
        <f>IF(OR('Base Exámenes'!C352="",'Base Exámenes'!G352=""),"",IF(ROW()-4=MATCH('Base Exámenes'!C352&amp;"|"&amp;_xlfn.MAXIFS('Base Exámenes'!$G$5:$G$1000,'Base Exámenes'!$C$5:$C$1000,'Base Exámenes'!C352),'Base Exámenes'!$I$5:$I$1000,0),'Base Exámenes'!G352*1000000+(-1)*'Base Exámenes'!D352,""))</f>
        <v/>
      </c>
      <c r="AQ352" t="str">
        <f>IF('Base Exámenes'!C352="","",IF(COUNTIF('Base Exámenes'!$C$5:$C$1000,'Base Exámenes'!C352)&lt;2,"",MATCH('Base Exámenes'!C352,'Base Exámenes'!$C$5:$C$1000,0)*10000+ROW()))</f>
        <v/>
      </c>
    </row>
    <row r="353">
      <c r="Z353" t="str">
        <f>IF('Detalle individual'!A353="","",IF(AND(OR('Estado por Colaborador'!$D$4="Todas las gerencias",'Detalle individual'!D353='Estado por Colaborador'!$D$4),OR('Estado por Colaborador'!$D$5="Todos los departamentos",TRIM('Detalle individual'!C353)='Estado por Colaborador'!$D$5),OR('Estado por Colaborador'!$D$6="Todos",'Detalle individual'!F353='Estado por Colaborador'!$D$6)),IF('Detalle individual'!F353="Completado",30000000,IF('Detalle individual'!F353="Pendiente",0,15000000))+COUNTIF('Detalle individual'!$C$5:$C$1000,"&lt;"&amp;'Detalle individual'!C353)*10000+ROW(),""))</f>
        <v/>
      </c>
      <c r="AB353" t="str">
        <f>IF('Detalle individual'!C353="","",IF(COUNTIF('Detalle individual'!$C$5:C353,'Detalle individual'!C353)=1,COUNTIF('Detalle individual'!$C$5:$C$1000,"&lt;"&amp;'Detalle individual'!C353),""))</f>
        <v/>
      </c>
      <c r="AC353" t="str">
        <f>IF('Detalle individual'!D353="","",IF(COUNTIF('Detalle individual'!$D$5:D353,'Detalle individual'!D353)=1,COUNTIF('Detalle individual'!$D$5:$D$1000,"&lt;"&amp;'Detalle individual'!D353),""))</f>
        <v/>
      </c>
      <c r="AH353" t="str">
        <f>IF('Detalle individual'!F353="Pendiente",COUNTIF('Detalle individual'!$D$5:$D$1000,"&lt;"&amp;'Detalle individual'!D353)*1000000+COUNTIF('Detalle individual'!$C$5:$C$1000,"&lt;"&amp;'Detalle individual'!C353)*1000+COUNTIF('Detalle individual'!$B$5:$B$1000,"&lt;"&amp;'Detalle individual'!B353)+ROW()/10000,"")</f>
        <v/>
      </c>
      <c r="AI353" t="str">
        <f>IF('Detalle individual'!F353="Completado",COUNTIF('Detalle individual'!$D$5:$D$1000,"&lt;"&amp;'Detalle individual'!D353)*1000000+COUNTIF('Detalle individual'!$C$5:$C$1000,"&lt;"&amp;'Detalle individual'!C353)*1000+COUNTIF('Detalle individual'!$B$5:$B$1000,"&lt;"&amp;'Detalle individual'!B353)+ROW()/10000,"")</f>
        <v/>
      </c>
      <c r="AJ353" t="str">
        <f>IF(AND('Detalle individual'!F353&lt;&gt;"",'Detalle individual'!F353&lt;&gt;"Completado",'Detalle individual'!F353&lt;&gt;"Pendiente"),COUNTIF('Detalle individual'!$D$5:$D$1000,"&lt;"&amp;'Detalle individual'!D353)*1000000+COUNTIF('Detalle individual'!$C$5:$C$1000,"&lt;"&amp;'Detalle individual'!C353)*1000+COUNTIF('Detalle individual'!$B$5:$B$1000,"&lt;"&amp;'Detalle individual'!B353)+ROW()/10000,"")</f>
        <v/>
      </c>
      <c r="AK353" t="str">
        <f>IF(OR('Base Exámenes'!C353="",'Base Exámenes'!D353=""),"",IF(COUNTIF('Base Exámenes'!$C$5:C353,'Base Exámenes'!C353)=1,'Base Exámenes'!D353+ROW()/1000000000,""))</f>
        <v/>
      </c>
      <c r="AL353" t="str">
        <f>IF(OR('Base Exámenes'!C353="",'Base Exámenes'!E353=""),"",IF(COUNTIF('Base Exámenes'!$C$5:C353,'Base Exámenes'!C353)=1,'Base Exámenes'!E353+ROW()/1000000000,""))</f>
        <v/>
      </c>
      <c r="AM353" t="str">
        <f>IF(OR('Base Exámenes'!C353="",'Base Exámenes'!G353=""),"",IF(ROW()-4=MATCH('Base Exámenes'!C353&amp;"|"&amp;_xlfn.MAXIFS('Base Exámenes'!$G$5:$G$1000,'Base Exámenes'!$C$5:$C$1000,'Base Exámenes'!C353),'Base Exámenes'!$I$5:$I$1000,0),'Base Exámenes'!G353*1000000+(-1)*'Base Exámenes'!D353,""))</f>
        <v/>
      </c>
      <c r="AQ353" t="str">
        <f>IF('Base Exámenes'!C353="","",IF(COUNTIF('Base Exámenes'!$C$5:$C$1000,'Base Exámenes'!C353)&lt;2,"",MATCH('Base Exámenes'!C353,'Base Exámenes'!$C$5:$C$1000,0)*10000+ROW()))</f>
        <v/>
      </c>
    </row>
    <row r="354">
      <c r="Z354" t="str">
        <f>IF('Detalle individual'!A354="","",IF(AND(OR('Estado por Colaborador'!$D$4="Todas las gerencias",'Detalle individual'!D354='Estado por Colaborador'!$D$4),OR('Estado por Colaborador'!$D$5="Todos los departamentos",TRIM('Detalle individual'!C354)='Estado por Colaborador'!$D$5),OR('Estado por Colaborador'!$D$6="Todos",'Detalle individual'!F354='Estado por Colaborador'!$D$6)),IF('Detalle individual'!F354="Completado",30000000,IF('Detalle individual'!F354="Pendiente",0,15000000))+COUNTIF('Detalle individual'!$C$5:$C$1000,"&lt;"&amp;'Detalle individual'!C354)*10000+ROW(),""))</f>
        <v/>
      </c>
      <c r="AB354" t="str">
        <f>IF('Detalle individual'!C354="","",IF(COUNTIF('Detalle individual'!$C$5:C354,'Detalle individual'!C354)=1,COUNTIF('Detalle individual'!$C$5:$C$1000,"&lt;"&amp;'Detalle individual'!C354),""))</f>
        <v/>
      </c>
      <c r="AC354" t="str">
        <f>IF('Detalle individual'!D354="","",IF(COUNTIF('Detalle individual'!$D$5:D354,'Detalle individual'!D354)=1,COUNTIF('Detalle individual'!$D$5:$D$1000,"&lt;"&amp;'Detalle individual'!D354),""))</f>
        <v/>
      </c>
      <c r="AH354" t="str">
        <f>IF('Detalle individual'!F354="Pendiente",COUNTIF('Detalle individual'!$D$5:$D$1000,"&lt;"&amp;'Detalle individual'!D354)*1000000+COUNTIF('Detalle individual'!$C$5:$C$1000,"&lt;"&amp;'Detalle individual'!C354)*1000+COUNTIF('Detalle individual'!$B$5:$B$1000,"&lt;"&amp;'Detalle individual'!B354)+ROW()/10000,"")</f>
        <v/>
      </c>
      <c r="AI354" t="str">
        <f>IF('Detalle individual'!F354="Completado",COUNTIF('Detalle individual'!$D$5:$D$1000,"&lt;"&amp;'Detalle individual'!D354)*1000000+COUNTIF('Detalle individual'!$C$5:$C$1000,"&lt;"&amp;'Detalle individual'!C354)*1000+COUNTIF('Detalle individual'!$B$5:$B$1000,"&lt;"&amp;'Detalle individual'!B354)+ROW()/10000,"")</f>
        <v/>
      </c>
      <c r="AJ354" t="str">
        <f>IF(AND('Detalle individual'!F354&lt;&gt;"",'Detalle individual'!F354&lt;&gt;"Completado",'Detalle individual'!F354&lt;&gt;"Pendiente"),COUNTIF('Detalle individual'!$D$5:$D$1000,"&lt;"&amp;'Detalle individual'!D354)*1000000+COUNTIF('Detalle individual'!$C$5:$C$1000,"&lt;"&amp;'Detalle individual'!C354)*1000+COUNTIF('Detalle individual'!$B$5:$B$1000,"&lt;"&amp;'Detalle individual'!B354)+ROW()/10000,"")</f>
        <v/>
      </c>
      <c r="AK354" t="str">
        <f>IF(OR('Base Exámenes'!C354="",'Base Exámenes'!D354=""),"",IF(COUNTIF('Base Exámenes'!$C$5:C354,'Base Exámenes'!C354)=1,'Base Exámenes'!D354+ROW()/1000000000,""))</f>
        <v/>
      </c>
      <c r="AL354" t="str">
        <f>IF(OR('Base Exámenes'!C354="",'Base Exámenes'!E354=""),"",IF(COUNTIF('Base Exámenes'!$C$5:C354,'Base Exámenes'!C354)=1,'Base Exámenes'!E354+ROW()/1000000000,""))</f>
        <v/>
      </c>
      <c r="AM354" t="str">
        <f>IF(OR('Base Exámenes'!C354="",'Base Exámenes'!G354=""),"",IF(ROW()-4=MATCH('Base Exámenes'!C354&amp;"|"&amp;_xlfn.MAXIFS('Base Exámenes'!$G$5:$G$1000,'Base Exámenes'!$C$5:$C$1000,'Base Exámenes'!C354),'Base Exámenes'!$I$5:$I$1000,0),'Base Exámenes'!G354*1000000+(-1)*'Base Exámenes'!D354,""))</f>
        <v/>
      </c>
      <c r="AQ354" t="str">
        <f>IF('Base Exámenes'!C354="","",IF(COUNTIF('Base Exámenes'!$C$5:$C$1000,'Base Exámenes'!C354)&lt;2,"",MATCH('Base Exámenes'!C354,'Base Exámenes'!$C$5:$C$1000,0)*10000+ROW()))</f>
        <v/>
      </c>
    </row>
    <row r="355">
      <c r="Z355" t="str">
        <f>IF('Detalle individual'!A355="","",IF(AND(OR('Estado por Colaborador'!$D$4="Todas las gerencias",'Detalle individual'!D355='Estado por Colaborador'!$D$4),OR('Estado por Colaborador'!$D$5="Todos los departamentos",TRIM('Detalle individual'!C355)='Estado por Colaborador'!$D$5),OR('Estado por Colaborador'!$D$6="Todos",'Detalle individual'!F355='Estado por Colaborador'!$D$6)),IF('Detalle individual'!F355="Completado",30000000,IF('Detalle individual'!F355="Pendiente",0,15000000))+COUNTIF('Detalle individual'!$C$5:$C$1000,"&lt;"&amp;'Detalle individual'!C355)*10000+ROW(),""))</f>
        <v/>
      </c>
      <c r="AB355" t="str">
        <f>IF('Detalle individual'!C355="","",IF(COUNTIF('Detalle individual'!$C$5:C355,'Detalle individual'!C355)=1,COUNTIF('Detalle individual'!$C$5:$C$1000,"&lt;"&amp;'Detalle individual'!C355),""))</f>
        <v/>
      </c>
      <c r="AC355" t="str">
        <f>IF('Detalle individual'!D355="","",IF(COUNTIF('Detalle individual'!$D$5:D355,'Detalle individual'!D355)=1,COUNTIF('Detalle individual'!$D$5:$D$1000,"&lt;"&amp;'Detalle individual'!D355),""))</f>
        <v/>
      </c>
      <c r="AH355" t="str">
        <f>IF('Detalle individual'!F355="Pendiente",COUNTIF('Detalle individual'!$D$5:$D$1000,"&lt;"&amp;'Detalle individual'!D355)*1000000+COUNTIF('Detalle individual'!$C$5:$C$1000,"&lt;"&amp;'Detalle individual'!C355)*1000+COUNTIF('Detalle individual'!$B$5:$B$1000,"&lt;"&amp;'Detalle individual'!B355)+ROW()/10000,"")</f>
        <v/>
      </c>
      <c r="AI355" t="str">
        <f>IF('Detalle individual'!F355="Completado",COUNTIF('Detalle individual'!$D$5:$D$1000,"&lt;"&amp;'Detalle individual'!D355)*1000000+COUNTIF('Detalle individual'!$C$5:$C$1000,"&lt;"&amp;'Detalle individual'!C355)*1000+COUNTIF('Detalle individual'!$B$5:$B$1000,"&lt;"&amp;'Detalle individual'!B355)+ROW()/10000,"")</f>
        <v/>
      </c>
      <c r="AJ355" t="str">
        <f>IF(AND('Detalle individual'!F355&lt;&gt;"",'Detalle individual'!F355&lt;&gt;"Completado",'Detalle individual'!F355&lt;&gt;"Pendiente"),COUNTIF('Detalle individual'!$D$5:$D$1000,"&lt;"&amp;'Detalle individual'!D355)*1000000+COUNTIF('Detalle individual'!$C$5:$C$1000,"&lt;"&amp;'Detalle individual'!C355)*1000+COUNTIF('Detalle individual'!$B$5:$B$1000,"&lt;"&amp;'Detalle individual'!B355)+ROW()/10000,"")</f>
        <v/>
      </c>
      <c r="AK355" t="str">
        <f>IF(OR('Base Exámenes'!C355="",'Base Exámenes'!D355=""),"",IF(COUNTIF('Base Exámenes'!$C$5:C355,'Base Exámenes'!C355)=1,'Base Exámenes'!D355+ROW()/1000000000,""))</f>
        <v/>
      </c>
      <c r="AL355" t="str">
        <f>IF(OR('Base Exámenes'!C355="",'Base Exámenes'!E355=""),"",IF(COUNTIF('Base Exámenes'!$C$5:C355,'Base Exámenes'!C355)=1,'Base Exámenes'!E355+ROW()/1000000000,""))</f>
        <v/>
      </c>
      <c r="AM355" t="str">
        <f>IF(OR('Base Exámenes'!C355="",'Base Exámenes'!G355=""),"",IF(ROW()-4=MATCH('Base Exámenes'!C355&amp;"|"&amp;_xlfn.MAXIFS('Base Exámenes'!$G$5:$G$1000,'Base Exámenes'!$C$5:$C$1000,'Base Exámenes'!C355),'Base Exámenes'!$I$5:$I$1000,0),'Base Exámenes'!G355*1000000+(-1)*'Base Exámenes'!D355,""))</f>
        <v/>
      </c>
      <c r="AQ355" t="str">
        <f>IF('Base Exámenes'!C355="","",IF(COUNTIF('Base Exámenes'!$C$5:$C$1000,'Base Exámenes'!C355)&lt;2,"",MATCH('Base Exámenes'!C355,'Base Exámenes'!$C$5:$C$1000,0)*10000+ROW()))</f>
        <v/>
      </c>
    </row>
    <row r="356">
      <c r="Z356" t="str">
        <f>IF('Detalle individual'!A356="","",IF(AND(OR('Estado por Colaborador'!$D$4="Todas las gerencias",'Detalle individual'!D356='Estado por Colaborador'!$D$4),OR('Estado por Colaborador'!$D$5="Todos los departamentos",TRIM('Detalle individual'!C356)='Estado por Colaborador'!$D$5),OR('Estado por Colaborador'!$D$6="Todos",'Detalle individual'!F356='Estado por Colaborador'!$D$6)),IF('Detalle individual'!F356="Completado",30000000,IF('Detalle individual'!F356="Pendiente",0,15000000))+COUNTIF('Detalle individual'!$C$5:$C$1000,"&lt;"&amp;'Detalle individual'!C356)*10000+ROW(),""))</f>
        <v/>
      </c>
      <c r="AB356" t="str">
        <f>IF('Detalle individual'!C356="","",IF(COUNTIF('Detalle individual'!$C$5:C356,'Detalle individual'!C356)=1,COUNTIF('Detalle individual'!$C$5:$C$1000,"&lt;"&amp;'Detalle individual'!C356),""))</f>
        <v/>
      </c>
      <c r="AC356" t="str">
        <f>IF('Detalle individual'!D356="","",IF(COUNTIF('Detalle individual'!$D$5:D356,'Detalle individual'!D356)=1,COUNTIF('Detalle individual'!$D$5:$D$1000,"&lt;"&amp;'Detalle individual'!D356),""))</f>
        <v/>
      </c>
      <c r="AH356" t="str">
        <f>IF('Detalle individual'!F356="Pendiente",COUNTIF('Detalle individual'!$D$5:$D$1000,"&lt;"&amp;'Detalle individual'!D356)*1000000+COUNTIF('Detalle individual'!$C$5:$C$1000,"&lt;"&amp;'Detalle individual'!C356)*1000+COUNTIF('Detalle individual'!$B$5:$B$1000,"&lt;"&amp;'Detalle individual'!B356)+ROW()/10000,"")</f>
        <v/>
      </c>
      <c r="AI356" t="str">
        <f>IF('Detalle individual'!F356="Completado",COUNTIF('Detalle individual'!$D$5:$D$1000,"&lt;"&amp;'Detalle individual'!D356)*1000000+COUNTIF('Detalle individual'!$C$5:$C$1000,"&lt;"&amp;'Detalle individual'!C356)*1000+COUNTIF('Detalle individual'!$B$5:$B$1000,"&lt;"&amp;'Detalle individual'!B356)+ROW()/10000,"")</f>
        <v/>
      </c>
      <c r="AJ356" t="str">
        <f>IF(AND('Detalle individual'!F356&lt;&gt;"",'Detalle individual'!F356&lt;&gt;"Completado",'Detalle individual'!F356&lt;&gt;"Pendiente"),COUNTIF('Detalle individual'!$D$5:$D$1000,"&lt;"&amp;'Detalle individual'!D356)*1000000+COUNTIF('Detalle individual'!$C$5:$C$1000,"&lt;"&amp;'Detalle individual'!C356)*1000+COUNTIF('Detalle individual'!$B$5:$B$1000,"&lt;"&amp;'Detalle individual'!B356)+ROW()/10000,"")</f>
        <v/>
      </c>
      <c r="AK356" t="str">
        <f>IF(OR('Base Exámenes'!C356="",'Base Exámenes'!D356=""),"",IF(COUNTIF('Base Exámenes'!$C$5:C356,'Base Exámenes'!C356)=1,'Base Exámenes'!D356+ROW()/1000000000,""))</f>
        <v/>
      </c>
      <c r="AL356" t="str">
        <f>IF(OR('Base Exámenes'!C356="",'Base Exámenes'!E356=""),"",IF(COUNTIF('Base Exámenes'!$C$5:C356,'Base Exámenes'!C356)=1,'Base Exámenes'!E356+ROW()/1000000000,""))</f>
        <v/>
      </c>
      <c r="AM356" t="str">
        <f>IF(OR('Base Exámenes'!C356="",'Base Exámenes'!G356=""),"",IF(ROW()-4=MATCH('Base Exámenes'!C356&amp;"|"&amp;_xlfn.MAXIFS('Base Exámenes'!$G$5:$G$1000,'Base Exámenes'!$C$5:$C$1000,'Base Exámenes'!C356),'Base Exámenes'!$I$5:$I$1000,0),'Base Exámenes'!G356*1000000+(-1)*'Base Exámenes'!D356,""))</f>
        <v/>
      </c>
      <c r="AQ356" t="str">
        <f>IF('Base Exámenes'!C356="","",IF(COUNTIF('Base Exámenes'!$C$5:$C$1000,'Base Exámenes'!C356)&lt;2,"",MATCH('Base Exámenes'!C356,'Base Exámenes'!$C$5:$C$1000,0)*10000+ROW()))</f>
        <v/>
      </c>
    </row>
    <row r="357">
      <c r="Z357" t="str">
        <f>IF('Detalle individual'!A357="","",IF(AND(OR('Estado por Colaborador'!$D$4="Todas las gerencias",'Detalle individual'!D357='Estado por Colaborador'!$D$4),OR('Estado por Colaborador'!$D$5="Todos los departamentos",TRIM('Detalle individual'!C357)='Estado por Colaborador'!$D$5),OR('Estado por Colaborador'!$D$6="Todos",'Detalle individual'!F357='Estado por Colaborador'!$D$6)),IF('Detalle individual'!F357="Completado",30000000,IF('Detalle individual'!F357="Pendiente",0,15000000))+COUNTIF('Detalle individual'!$C$5:$C$1000,"&lt;"&amp;'Detalle individual'!C357)*10000+ROW(),""))</f>
        <v/>
      </c>
      <c r="AB357" t="str">
        <f>IF('Detalle individual'!C357="","",IF(COUNTIF('Detalle individual'!$C$5:C357,'Detalle individual'!C357)=1,COUNTIF('Detalle individual'!$C$5:$C$1000,"&lt;"&amp;'Detalle individual'!C357),""))</f>
        <v/>
      </c>
      <c r="AC357" t="str">
        <f>IF('Detalle individual'!D357="","",IF(COUNTIF('Detalle individual'!$D$5:D357,'Detalle individual'!D357)=1,COUNTIF('Detalle individual'!$D$5:$D$1000,"&lt;"&amp;'Detalle individual'!D357),""))</f>
        <v/>
      </c>
      <c r="AH357" t="str">
        <f>IF('Detalle individual'!F357="Pendiente",COUNTIF('Detalle individual'!$D$5:$D$1000,"&lt;"&amp;'Detalle individual'!D357)*1000000+COUNTIF('Detalle individual'!$C$5:$C$1000,"&lt;"&amp;'Detalle individual'!C357)*1000+COUNTIF('Detalle individual'!$B$5:$B$1000,"&lt;"&amp;'Detalle individual'!B357)+ROW()/10000,"")</f>
        <v/>
      </c>
      <c r="AI357" t="str">
        <f>IF('Detalle individual'!F357="Completado",COUNTIF('Detalle individual'!$D$5:$D$1000,"&lt;"&amp;'Detalle individual'!D357)*1000000+COUNTIF('Detalle individual'!$C$5:$C$1000,"&lt;"&amp;'Detalle individual'!C357)*1000+COUNTIF('Detalle individual'!$B$5:$B$1000,"&lt;"&amp;'Detalle individual'!B357)+ROW()/10000,"")</f>
        <v/>
      </c>
      <c r="AJ357" t="str">
        <f>IF(AND('Detalle individual'!F357&lt;&gt;"",'Detalle individual'!F357&lt;&gt;"Completado",'Detalle individual'!F357&lt;&gt;"Pendiente"),COUNTIF('Detalle individual'!$D$5:$D$1000,"&lt;"&amp;'Detalle individual'!D357)*1000000+COUNTIF('Detalle individual'!$C$5:$C$1000,"&lt;"&amp;'Detalle individual'!C357)*1000+COUNTIF('Detalle individual'!$B$5:$B$1000,"&lt;"&amp;'Detalle individual'!B357)+ROW()/10000,"")</f>
        <v/>
      </c>
      <c r="AK357" t="str">
        <f>IF(OR('Base Exámenes'!C357="",'Base Exámenes'!D357=""),"",IF(COUNTIF('Base Exámenes'!$C$5:C357,'Base Exámenes'!C357)=1,'Base Exámenes'!D357+ROW()/1000000000,""))</f>
        <v/>
      </c>
      <c r="AL357" t="str">
        <f>IF(OR('Base Exámenes'!C357="",'Base Exámenes'!E357=""),"",IF(COUNTIF('Base Exámenes'!$C$5:C357,'Base Exámenes'!C357)=1,'Base Exámenes'!E357+ROW()/1000000000,""))</f>
        <v/>
      </c>
      <c r="AM357" t="str">
        <f>IF(OR('Base Exámenes'!C357="",'Base Exámenes'!G357=""),"",IF(ROW()-4=MATCH('Base Exámenes'!C357&amp;"|"&amp;_xlfn.MAXIFS('Base Exámenes'!$G$5:$G$1000,'Base Exámenes'!$C$5:$C$1000,'Base Exámenes'!C357),'Base Exámenes'!$I$5:$I$1000,0),'Base Exámenes'!G357*1000000+(-1)*'Base Exámenes'!D357,""))</f>
        <v/>
      </c>
      <c r="AQ357" t="str">
        <f>IF('Base Exámenes'!C357="","",IF(COUNTIF('Base Exámenes'!$C$5:$C$1000,'Base Exámenes'!C357)&lt;2,"",MATCH('Base Exámenes'!C357,'Base Exámenes'!$C$5:$C$1000,0)*10000+ROW()))</f>
        <v/>
      </c>
    </row>
    <row r="358">
      <c r="Z358" t="str">
        <f>IF('Detalle individual'!A358="","",IF(AND(OR('Estado por Colaborador'!$D$4="Todas las gerencias",'Detalle individual'!D358='Estado por Colaborador'!$D$4),OR('Estado por Colaborador'!$D$5="Todos los departamentos",TRIM('Detalle individual'!C358)='Estado por Colaborador'!$D$5),OR('Estado por Colaborador'!$D$6="Todos",'Detalle individual'!F358='Estado por Colaborador'!$D$6)),IF('Detalle individual'!F358="Completado",30000000,IF('Detalle individual'!F358="Pendiente",0,15000000))+COUNTIF('Detalle individual'!$C$5:$C$1000,"&lt;"&amp;'Detalle individual'!C358)*10000+ROW(),""))</f>
        <v/>
      </c>
      <c r="AB358" t="str">
        <f>IF('Detalle individual'!C358="","",IF(COUNTIF('Detalle individual'!$C$5:C358,'Detalle individual'!C358)=1,COUNTIF('Detalle individual'!$C$5:$C$1000,"&lt;"&amp;'Detalle individual'!C358),""))</f>
        <v/>
      </c>
      <c r="AC358" t="str">
        <f>IF('Detalle individual'!D358="","",IF(COUNTIF('Detalle individual'!$D$5:D358,'Detalle individual'!D358)=1,COUNTIF('Detalle individual'!$D$5:$D$1000,"&lt;"&amp;'Detalle individual'!D358),""))</f>
        <v/>
      </c>
      <c r="AH358" t="str">
        <f>IF('Detalle individual'!F358="Pendiente",COUNTIF('Detalle individual'!$D$5:$D$1000,"&lt;"&amp;'Detalle individual'!D358)*1000000+COUNTIF('Detalle individual'!$C$5:$C$1000,"&lt;"&amp;'Detalle individual'!C358)*1000+COUNTIF('Detalle individual'!$B$5:$B$1000,"&lt;"&amp;'Detalle individual'!B358)+ROW()/10000,"")</f>
        <v/>
      </c>
      <c r="AI358" t="str">
        <f>IF('Detalle individual'!F358="Completado",COUNTIF('Detalle individual'!$D$5:$D$1000,"&lt;"&amp;'Detalle individual'!D358)*1000000+COUNTIF('Detalle individual'!$C$5:$C$1000,"&lt;"&amp;'Detalle individual'!C358)*1000+COUNTIF('Detalle individual'!$B$5:$B$1000,"&lt;"&amp;'Detalle individual'!B358)+ROW()/10000,"")</f>
        <v/>
      </c>
      <c r="AJ358" t="str">
        <f>IF(AND('Detalle individual'!F358&lt;&gt;"",'Detalle individual'!F358&lt;&gt;"Completado",'Detalle individual'!F358&lt;&gt;"Pendiente"),COUNTIF('Detalle individual'!$D$5:$D$1000,"&lt;"&amp;'Detalle individual'!D358)*1000000+COUNTIF('Detalle individual'!$C$5:$C$1000,"&lt;"&amp;'Detalle individual'!C358)*1000+COUNTIF('Detalle individual'!$B$5:$B$1000,"&lt;"&amp;'Detalle individual'!B358)+ROW()/10000,"")</f>
        <v/>
      </c>
      <c r="AK358" t="str">
        <f>IF(OR('Base Exámenes'!C358="",'Base Exámenes'!D358=""),"",IF(COUNTIF('Base Exámenes'!$C$5:C358,'Base Exámenes'!C358)=1,'Base Exámenes'!D358+ROW()/1000000000,""))</f>
        <v/>
      </c>
      <c r="AL358" t="str">
        <f>IF(OR('Base Exámenes'!C358="",'Base Exámenes'!E358=""),"",IF(COUNTIF('Base Exámenes'!$C$5:C358,'Base Exámenes'!C358)=1,'Base Exámenes'!E358+ROW()/1000000000,""))</f>
        <v/>
      </c>
      <c r="AM358" t="str">
        <f>IF(OR('Base Exámenes'!C358="",'Base Exámenes'!G358=""),"",IF(ROW()-4=MATCH('Base Exámenes'!C358&amp;"|"&amp;_xlfn.MAXIFS('Base Exámenes'!$G$5:$G$1000,'Base Exámenes'!$C$5:$C$1000,'Base Exámenes'!C358),'Base Exámenes'!$I$5:$I$1000,0),'Base Exámenes'!G358*1000000+(-1)*'Base Exámenes'!D358,""))</f>
        <v/>
      </c>
      <c r="AQ358" t="str">
        <f>IF('Base Exámenes'!C358="","",IF(COUNTIF('Base Exámenes'!$C$5:$C$1000,'Base Exámenes'!C358)&lt;2,"",MATCH('Base Exámenes'!C358,'Base Exámenes'!$C$5:$C$1000,0)*10000+ROW()))</f>
        <v/>
      </c>
    </row>
    <row r="359">
      <c r="Z359" t="str">
        <f>IF('Detalle individual'!A359="","",IF(AND(OR('Estado por Colaborador'!$D$4="Todas las gerencias",'Detalle individual'!D359='Estado por Colaborador'!$D$4),OR('Estado por Colaborador'!$D$5="Todos los departamentos",TRIM('Detalle individual'!C359)='Estado por Colaborador'!$D$5),OR('Estado por Colaborador'!$D$6="Todos",'Detalle individual'!F359='Estado por Colaborador'!$D$6)),IF('Detalle individual'!F359="Completado",30000000,IF('Detalle individual'!F359="Pendiente",0,15000000))+COUNTIF('Detalle individual'!$C$5:$C$1000,"&lt;"&amp;'Detalle individual'!C359)*10000+ROW(),""))</f>
        <v/>
      </c>
      <c r="AB359" t="str">
        <f>IF('Detalle individual'!C359="","",IF(COUNTIF('Detalle individual'!$C$5:C359,'Detalle individual'!C359)=1,COUNTIF('Detalle individual'!$C$5:$C$1000,"&lt;"&amp;'Detalle individual'!C359),""))</f>
        <v/>
      </c>
      <c r="AC359" t="str">
        <f>IF('Detalle individual'!D359="","",IF(COUNTIF('Detalle individual'!$D$5:D359,'Detalle individual'!D359)=1,COUNTIF('Detalle individual'!$D$5:$D$1000,"&lt;"&amp;'Detalle individual'!D359),""))</f>
        <v/>
      </c>
      <c r="AH359" t="str">
        <f>IF('Detalle individual'!F359="Pendiente",COUNTIF('Detalle individual'!$D$5:$D$1000,"&lt;"&amp;'Detalle individual'!D359)*1000000+COUNTIF('Detalle individual'!$C$5:$C$1000,"&lt;"&amp;'Detalle individual'!C359)*1000+COUNTIF('Detalle individual'!$B$5:$B$1000,"&lt;"&amp;'Detalle individual'!B359)+ROW()/10000,"")</f>
        <v/>
      </c>
      <c r="AI359" t="str">
        <f>IF('Detalle individual'!F359="Completado",COUNTIF('Detalle individual'!$D$5:$D$1000,"&lt;"&amp;'Detalle individual'!D359)*1000000+COUNTIF('Detalle individual'!$C$5:$C$1000,"&lt;"&amp;'Detalle individual'!C359)*1000+COUNTIF('Detalle individual'!$B$5:$B$1000,"&lt;"&amp;'Detalle individual'!B359)+ROW()/10000,"")</f>
        <v/>
      </c>
      <c r="AJ359" t="str">
        <f>IF(AND('Detalle individual'!F359&lt;&gt;"",'Detalle individual'!F359&lt;&gt;"Completado",'Detalle individual'!F359&lt;&gt;"Pendiente"),COUNTIF('Detalle individual'!$D$5:$D$1000,"&lt;"&amp;'Detalle individual'!D359)*1000000+COUNTIF('Detalle individual'!$C$5:$C$1000,"&lt;"&amp;'Detalle individual'!C359)*1000+COUNTIF('Detalle individual'!$B$5:$B$1000,"&lt;"&amp;'Detalle individual'!B359)+ROW()/10000,"")</f>
        <v/>
      </c>
      <c r="AK359" t="str">
        <f>IF(OR('Base Exámenes'!C359="",'Base Exámenes'!D359=""),"",IF(COUNTIF('Base Exámenes'!$C$5:C359,'Base Exámenes'!C359)=1,'Base Exámenes'!D359+ROW()/1000000000,""))</f>
        <v/>
      </c>
      <c r="AL359" t="str">
        <f>IF(OR('Base Exámenes'!C359="",'Base Exámenes'!E359=""),"",IF(COUNTIF('Base Exámenes'!$C$5:C359,'Base Exámenes'!C359)=1,'Base Exámenes'!E359+ROW()/1000000000,""))</f>
        <v/>
      </c>
      <c r="AM359" t="str">
        <f>IF(OR('Base Exámenes'!C359="",'Base Exámenes'!G359=""),"",IF(ROW()-4=MATCH('Base Exámenes'!C359&amp;"|"&amp;_xlfn.MAXIFS('Base Exámenes'!$G$5:$G$1000,'Base Exámenes'!$C$5:$C$1000,'Base Exámenes'!C359),'Base Exámenes'!$I$5:$I$1000,0),'Base Exámenes'!G359*1000000+(-1)*'Base Exámenes'!D359,""))</f>
        <v/>
      </c>
      <c r="AQ359" t="str">
        <f>IF('Base Exámenes'!C359="","",IF(COUNTIF('Base Exámenes'!$C$5:$C$1000,'Base Exámenes'!C359)&lt;2,"",MATCH('Base Exámenes'!C359,'Base Exámenes'!$C$5:$C$1000,0)*10000+ROW()))</f>
        <v/>
      </c>
    </row>
    <row r="360">
      <c r="Z360" t="str">
        <f>IF('Detalle individual'!A360="","",IF(AND(OR('Estado por Colaborador'!$D$4="Todas las gerencias",'Detalle individual'!D360='Estado por Colaborador'!$D$4),OR('Estado por Colaborador'!$D$5="Todos los departamentos",TRIM('Detalle individual'!C360)='Estado por Colaborador'!$D$5),OR('Estado por Colaborador'!$D$6="Todos",'Detalle individual'!F360='Estado por Colaborador'!$D$6)),IF('Detalle individual'!F360="Completado",30000000,IF('Detalle individual'!F360="Pendiente",0,15000000))+COUNTIF('Detalle individual'!$C$5:$C$1000,"&lt;"&amp;'Detalle individual'!C360)*10000+ROW(),""))</f>
        <v/>
      </c>
      <c r="AB360" t="str">
        <f>IF('Detalle individual'!C360="","",IF(COUNTIF('Detalle individual'!$C$5:C360,'Detalle individual'!C360)=1,COUNTIF('Detalle individual'!$C$5:$C$1000,"&lt;"&amp;'Detalle individual'!C360),""))</f>
        <v/>
      </c>
      <c r="AC360" t="str">
        <f>IF('Detalle individual'!D360="","",IF(COUNTIF('Detalle individual'!$D$5:D360,'Detalle individual'!D360)=1,COUNTIF('Detalle individual'!$D$5:$D$1000,"&lt;"&amp;'Detalle individual'!D360),""))</f>
        <v/>
      </c>
      <c r="AH360" t="str">
        <f>IF('Detalle individual'!F360="Pendiente",COUNTIF('Detalle individual'!$D$5:$D$1000,"&lt;"&amp;'Detalle individual'!D360)*1000000+COUNTIF('Detalle individual'!$C$5:$C$1000,"&lt;"&amp;'Detalle individual'!C360)*1000+COUNTIF('Detalle individual'!$B$5:$B$1000,"&lt;"&amp;'Detalle individual'!B360)+ROW()/10000,"")</f>
        <v/>
      </c>
      <c r="AI360" t="str">
        <f>IF('Detalle individual'!F360="Completado",COUNTIF('Detalle individual'!$D$5:$D$1000,"&lt;"&amp;'Detalle individual'!D360)*1000000+COUNTIF('Detalle individual'!$C$5:$C$1000,"&lt;"&amp;'Detalle individual'!C360)*1000+COUNTIF('Detalle individual'!$B$5:$B$1000,"&lt;"&amp;'Detalle individual'!B360)+ROW()/10000,"")</f>
        <v/>
      </c>
      <c r="AJ360" t="str">
        <f>IF(AND('Detalle individual'!F360&lt;&gt;"",'Detalle individual'!F360&lt;&gt;"Completado",'Detalle individual'!F360&lt;&gt;"Pendiente"),COUNTIF('Detalle individual'!$D$5:$D$1000,"&lt;"&amp;'Detalle individual'!D360)*1000000+COUNTIF('Detalle individual'!$C$5:$C$1000,"&lt;"&amp;'Detalle individual'!C360)*1000+COUNTIF('Detalle individual'!$B$5:$B$1000,"&lt;"&amp;'Detalle individual'!B360)+ROW()/10000,"")</f>
        <v/>
      </c>
      <c r="AK360" t="str">
        <f>IF(OR('Base Exámenes'!C360="",'Base Exámenes'!D360=""),"",IF(COUNTIF('Base Exámenes'!$C$5:C360,'Base Exámenes'!C360)=1,'Base Exámenes'!D360+ROW()/1000000000,""))</f>
        <v/>
      </c>
      <c r="AL360" t="str">
        <f>IF(OR('Base Exámenes'!C360="",'Base Exámenes'!E360=""),"",IF(COUNTIF('Base Exámenes'!$C$5:C360,'Base Exámenes'!C360)=1,'Base Exámenes'!E360+ROW()/1000000000,""))</f>
        <v/>
      </c>
      <c r="AM360" t="str">
        <f>IF(OR('Base Exámenes'!C360="",'Base Exámenes'!G360=""),"",IF(ROW()-4=MATCH('Base Exámenes'!C360&amp;"|"&amp;_xlfn.MAXIFS('Base Exámenes'!$G$5:$G$1000,'Base Exámenes'!$C$5:$C$1000,'Base Exámenes'!C360),'Base Exámenes'!$I$5:$I$1000,0),'Base Exámenes'!G360*1000000+(-1)*'Base Exámenes'!D360,""))</f>
        <v/>
      </c>
      <c r="AQ360" t="str">
        <f>IF('Base Exámenes'!C360="","",IF(COUNTIF('Base Exámenes'!$C$5:$C$1000,'Base Exámenes'!C360)&lt;2,"",MATCH('Base Exámenes'!C360,'Base Exámenes'!$C$5:$C$1000,0)*10000+ROW()))</f>
        <v/>
      </c>
    </row>
    <row r="361">
      <c r="Z361" t="str">
        <f>IF('Detalle individual'!A361="","",IF(AND(OR('Estado por Colaborador'!$D$4="Todas las gerencias",'Detalle individual'!D361='Estado por Colaborador'!$D$4),OR('Estado por Colaborador'!$D$5="Todos los departamentos",TRIM('Detalle individual'!C361)='Estado por Colaborador'!$D$5),OR('Estado por Colaborador'!$D$6="Todos",'Detalle individual'!F361='Estado por Colaborador'!$D$6)),IF('Detalle individual'!F361="Completado",30000000,IF('Detalle individual'!F361="Pendiente",0,15000000))+COUNTIF('Detalle individual'!$C$5:$C$1000,"&lt;"&amp;'Detalle individual'!C361)*10000+ROW(),""))</f>
        <v/>
      </c>
      <c r="AB361" t="str">
        <f>IF('Detalle individual'!C361="","",IF(COUNTIF('Detalle individual'!$C$5:C361,'Detalle individual'!C361)=1,COUNTIF('Detalle individual'!$C$5:$C$1000,"&lt;"&amp;'Detalle individual'!C361),""))</f>
        <v/>
      </c>
      <c r="AC361" t="str">
        <f>IF('Detalle individual'!D361="","",IF(COUNTIF('Detalle individual'!$D$5:D361,'Detalle individual'!D361)=1,COUNTIF('Detalle individual'!$D$5:$D$1000,"&lt;"&amp;'Detalle individual'!D361),""))</f>
        <v/>
      </c>
      <c r="AH361" t="str">
        <f>IF('Detalle individual'!F361="Pendiente",COUNTIF('Detalle individual'!$D$5:$D$1000,"&lt;"&amp;'Detalle individual'!D361)*1000000+COUNTIF('Detalle individual'!$C$5:$C$1000,"&lt;"&amp;'Detalle individual'!C361)*1000+COUNTIF('Detalle individual'!$B$5:$B$1000,"&lt;"&amp;'Detalle individual'!B361)+ROW()/10000,"")</f>
        <v/>
      </c>
      <c r="AI361" t="str">
        <f>IF('Detalle individual'!F361="Completado",COUNTIF('Detalle individual'!$D$5:$D$1000,"&lt;"&amp;'Detalle individual'!D361)*1000000+COUNTIF('Detalle individual'!$C$5:$C$1000,"&lt;"&amp;'Detalle individual'!C361)*1000+COUNTIF('Detalle individual'!$B$5:$B$1000,"&lt;"&amp;'Detalle individual'!B361)+ROW()/10000,"")</f>
        <v/>
      </c>
      <c r="AJ361" t="str">
        <f>IF(AND('Detalle individual'!F361&lt;&gt;"",'Detalle individual'!F361&lt;&gt;"Completado",'Detalle individual'!F361&lt;&gt;"Pendiente"),COUNTIF('Detalle individual'!$D$5:$D$1000,"&lt;"&amp;'Detalle individual'!D361)*1000000+COUNTIF('Detalle individual'!$C$5:$C$1000,"&lt;"&amp;'Detalle individual'!C361)*1000+COUNTIF('Detalle individual'!$B$5:$B$1000,"&lt;"&amp;'Detalle individual'!B361)+ROW()/10000,"")</f>
        <v/>
      </c>
      <c r="AK361" t="str">
        <f>IF(OR('Base Exámenes'!C361="",'Base Exámenes'!D361=""),"",IF(COUNTIF('Base Exámenes'!$C$5:C361,'Base Exámenes'!C361)=1,'Base Exámenes'!D361+ROW()/1000000000,""))</f>
        <v/>
      </c>
      <c r="AL361" t="str">
        <f>IF(OR('Base Exámenes'!C361="",'Base Exámenes'!E361=""),"",IF(COUNTIF('Base Exámenes'!$C$5:C361,'Base Exámenes'!C361)=1,'Base Exámenes'!E361+ROW()/1000000000,""))</f>
        <v/>
      </c>
      <c r="AM361" t="str">
        <f>IF(OR('Base Exámenes'!C361="",'Base Exámenes'!G361=""),"",IF(ROW()-4=MATCH('Base Exámenes'!C361&amp;"|"&amp;_xlfn.MAXIFS('Base Exámenes'!$G$5:$G$1000,'Base Exámenes'!$C$5:$C$1000,'Base Exámenes'!C361),'Base Exámenes'!$I$5:$I$1000,0),'Base Exámenes'!G361*1000000+(-1)*'Base Exámenes'!D361,""))</f>
        <v/>
      </c>
      <c r="AQ361" t="str">
        <f>IF('Base Exámenes'!C361="","",IF(COUNTIF('Base Exámenes'!$C$5:$C$1000,'Base Exámenes'!C361)&lt;2,"",MATCH('Base Exámenes'!C361,'Base Exámenes'!$C$5:$C$1000,0)*10000+ROW()))</f>
        <v/>
      </c>
    </row>
    <row r="362">
      <c r="Z362" t="str">
        <f>IF('Detalle individual'!A362="","",IF(AND(OR('Estado por Colaborador'!$D$4="Todas las gerencias",'Detalle individual'!D362='Estado por Colaborador'!$D$4),OR('Estado por Colaborador'!$D$5="Todos los departamentos",TRIM('Detalle individual'!C362)='Estado por Colaborador'!$D$5),OR('Estado por Colaborador'!$D$6="Todos",'Detalle individual'!F362='Estado por Colaborador'!$D$6)),IF('Detalle individual'!F362="Completado",30000000,IF('Detalle individual'!F362="Pendiente",0,15000000))+COUNTIF('Detalle individual'!$C$5:$C$1000,"&lt;"&amp;'Detalle individual'!C362)*10000+ROW(),""))</f>
        <v/>
      </c>
      <c r="AB362" t="str">
        <f>IF('Detalle individual'!C362="","",IF(COUNTIF('Detalle individual'!$C$5:C362,'Detalle individual'!C362)=1,COUNTIF('Detalle individual'!$C$5:$C$1000,"&lt;"&amp;'Detalle individual'!C362),""))</f>
        <v/>
      </c>
      <c r="AC362" t="str">
        <f>IF('Detalle individual'!D362="","",IF(COUNTIF('Detalle individual'!$D$5:D362,'Detalle individual'!D362)=1,COUNTIF('Detalle individual'!$D$5:$D$1000,"&lt;"&amp;'Detalle individual'!D362),""))</f>
        <v/>
      </c>
      <c r="AH362" t="str">
        <f>IF('Detalle individual'!F362="Pendiente",COUNTIF('Detalle individual'!$D$5:$D$1000,"&lt;"&amp;'Detalle individual'!D362)*1000000+COUNTIF('Detalle individual'!$C$5:$C$1000,"&lt;"&amp;'Detalle individual'!C362)*1000+COUNTIF('Detalle individual'!$B$5:$B$1000,"&lt;"&amp;'Detalle individual'!B362)+ROW()/10000,"")</f>
        <v/>
      </c>
      <c r="AI362" t="str">
        <f>IF('Detalle individual'!F362="Completado",COUNTIF('Detalle individual'!$D$5:$D$1000,"&lt;"&amp;'Detalle individual'!D362)*1000000+COUNTIF('Detalle individual'!$C$5:$C$1000,"&lt;"&amp;'Detalle individual'!C362)*1000+COUNTIF('Detalle individual'!$B$5:$B$1000,"&lt;"&amp;'Detalle individual'!B362)+ROW()/10000,"")</f>
        <v/>
      </c>
      <c r="AJ362" t="str">
        <f>IF(AND('Detalle individual'!F362&lt;&gt;"",'Detalle individual'!F362&lt;&gt;"Completado",'Detalle individual'!F362&lt;&gt;"Pendiente"),COUNTIF('Detalle individual'!$D$5:$D$1000,"&lt;"&amp;'Detalle individual'!D362)*1000000+COUNTIF('Detalle individual'!$C$5:$C$1000,"&lt;"&amp;'Detalle individual'!C362)*1000+COUNTIF('Detalle individual'!$B$5:$B$1000,"&lt;"&amp;'Detalle individual'!B362)+ROW()/10000,"")</f>
        <v/>
      </c>
      <c r="AK362" t="str">
        <f>IF(OR('Base Exámenes'!C362="",'Base Exámenes'!D362=""),"",IF(COUNTIF('Base Exámenes'!$C$5:C362,'Base Exámenes'!C362)=1,'Base Exámenes'!D362+ROW()/1000000000,""))</f>
        <v/>
      </c>
      <c r="AL362" t="str">
        <f>IF(OR('Base Exámenes'!C362="",'Base Exámenes'!E362=""),"",IF(COUNTIF('Base Exámenes'!$C$5:C362,'Base Exámenes'!C362)=1,'Base Exámenes'!E362+ROW()/1000000000,""))</f>
        <v/>
      </c>
      <c r="AM362" t="str">
        <f>IF(OR('Base Exámenes'!C362="",'Base Exámenes'!G362=""),"",IF(ROW()-4=MATCH('Base Exámenes'!C362&amp;"|"&amp;_xlfn.MAXIFS('Base Exámenes'!$G$5:$G$1000,'Base Exámenes'!$C$5:$C$1000,'Base Exámenes'!C362),'Base Exámenes'!$I$5:$I$1000,0),'Base Exámenes'!G362*1000000+(-1)*'Base Exámenes'!D362,""))</f>
        <v/>
      </c>
      <c r="AQ362" t="str">
        <f>IF('Base Exámenes'!C362="","",IF(COUNTIF('Base Exámenes'!$C$5:$C$1000,'Base Exámenes'!C362)&lt;2,"",MATCH('Base Exámenes'!C362,'Base Exámenes'!$C$5:$C$1000,0)*10000+ROW()))</f>
        <v/>
      </c>
    </row>
    <row r="363">
      <c r="Z363" t="str">
        <f>IF('Detalle individual'!A363="","",IF(AND(OR('Estado por Colaborador'!$D$4="Todas las gerencias",'Detalle individual'!D363='Estado por Colaborador'!$D$4),OR('Estado por Colaborador'!$D$5="Todos los departamentos",TRIM('Detalle individual'!C363)='Estado por Colaborador'!$D$5),OR('Estado por Colaborador'!$D$6="Todos",'Detalle individual'!F363='Estado por Colaborador'!$D$6)),IF('Detalle individual'!F363="Completado",30000000,IF('Detalle individual'!F363="Pendiente",0,15000000))+COUNTIF('Detalle individual'!$C$5:$C$1000,"&lt;"&amp;'Detalle individual'!C363)*10000+ROW(),""))</f>
        <v/>
      </c>
      <c r="AB363" t="str">
        <f>IF('Detalle individual'!C363="","",IF(COUNTIF('Detalle individual'!$C$5:C363,'Detalle individual'!C363)=1,COUNTIF('Detalle individual'!$C$5:$C$1000,"&lt;"&amp;'Detalle individual'!C363),""))</f>
        <v/>
      </c>
      <c r="AC363" t="str">
        <f>IF('Detalle individual'!D363="","",IF(COUNTIF('Detalle individual'!$D$5:D363,'Detalle individual'!D363)=1,COUNTIF('Detalle individual'!$D$5:$D$1000,"&lt;"&amp;'Detalle individual'!D363),""))</f>
        <v/>
      </c>
      <c r="AH363" t="str">
        <f>IF('Detalle individual'!F363="Pendiente",COUNTIF('Detalle individual'!$D$5:$D$1000,"&lt;"&amp;'Detalle individual'!D363)*1000000+COUNTIF('Detalle individual'!$C$5:$C$1000,"&lt;"&amp;'Detalle individual'!C363)*1000+COUNTIF('Detalle individual'!$B$5:$B$1000,"&lt;"&amp;'Detalle individual'!B363)+ROW()/10000,"")</f>
        <v/>
      </c>
      <c r="AI363" t="str">
        <f>IF('Detalle individual'!F363="Completado",COUNTIF('Detalle individual'!$D$5:$D$1000,"&lt;"&amp;'Detalle individual'!D363)*1000000+COUNTIF('Detalle individual'!$C$5:$C$1000,"&lt;"&amp;'Detalle individual'!C363)*1000+COUNTIF('Detalle individual'!$B$5:$B$1000,"&lt;"&amp;'Detalle individual'!B363)+ROW()/10000,"")</f>
        <v/>
      </c>
      <c r="AJ363" t="str">
        <f>IF(AND('Detalle individual'!F363&lt;&gt;"",'Detalle individual'!F363&lt;&gt;"Completado",'Detalle individual'!F363&lt;&gt;"Pendiente"),COUNTIF('Detalle individual'!$D$5:$D$1000,"&lt;"&amp;'Detalle individual'!D363)*1000000+COUNTIF('Detalle individual'!$C$5:$C$1000,"&lt;"&amp;'Detalle individual'!C363)*1000+COUNTIF('Detalle individual'!$B$5:$B$1000,"&lt;"&amp;'Detalle individual'!B363)+ROW()/10000,"")</f>
        <v/>
      </c>
      <c r="AK363" t="str">
        <f>IF(OR('Base Exámenes'!C363="",'Base Exámenes'!D363=""),"",IF(COUNTIF('Base Exámenes'!$C$5:C363,'Base Exámenes'!C363)=1,'Base Exámenes'!D363+ROW()/1000000000,""))</f>
        <v/>
      </c>
      <c r="AL363" t="str">
        <f>IF(OR('Base Exámenes'!C363="",'Base Exámenes'!E363=""),"",IF(COUNTIF('Base Exámenes'!$C$5:C363,'Base Exámenes'!C363)=1,'Base Exámenes'!E363+ROW()/1000000000,""))</f>
        <v/>
      </c>
      <c r="AM363" t="str">
        <f>IF(OR('Base Exámenes'!C363="",'Base Exámenes'!G363=""),"",IF(ROW()-4=MATCH('Base Exámenes'!C363&amp;"|"&amp;_xlfn.MAXIFS('Base Exámenes'!$G$5:$G$1000,'Base Exámenes'!$C$5:$C$1000,'Base Exámenes'!C363),'Base Exámenes'!$I$5:$I$1000,0),'Base Exámenes'!G363*1000000+(-1)*'Base Exámenes'!D363,""))</f>
        <v/>
      </c>
      <c r="AQ363" t="str">
        <f>IF('Base Exámenes'!C363="","",IF(COUNTIF('Base Exámenes'!$C$5:$C$1000,'Base Exámenes'!C363)&lt;2,"",MATCH('Base Exámenes'!C363,'Base Exámenes'!$C$5:$C$1000,0)*10000+ROW()))</f>
        <v/>
      </c>
    </row>
    <row r="364">
      <c r="Z364" t="str">
        <f>IF('Detalle individual'!A364="","",IF(AND(OR('Estado por Colaborador'!$D$4="Todas las gerencias",'Detalle individual'!D364='Estado por Colaborador'!$D$4),OR('Estado por Colaborador'!$D$5="Todos los departamentos",TRIM('Detalle individual'!C364)='Estado por Colaborador'!$D$5),OR('Estado por Colaborador'!$D$6="Todos",'Detalle individual'!F364='Estado por Colaborador'!$D$6)),IF('Detalle individual'!F364="Completado",30000000,IF('Detalle individual'!F364="Pendiente",0,15000000))+COUNTIF('Detalle individual'!$C$5:$C$1000,"&lt;"&amp;'Detalle individual'!C364)*10000+ROW(),""))</f>
        <v/>
      </c>
      <c r="AB364" t="str">
        <f>IF('Detalle individual'!C364="","",IF(COUNTIF('Detalle individual'!$C$5:C364,'Detalle individual'!C364)=1,COUNTIF('Detalle individual'!$C$5:$C$1000,"&lt;"&amp;'Detalle individual'!C364),""))</f>
        <v/>
      </c>
      <c r="AC364" t="str">
        <f>IF('Detalle individual'!D364="","",IF(COUNTIF('Detalle individual'!$D$5:D364,'Detalle individual'!D364)=1,COUNTIF('Detalle individual'!$D$5:$D$1000,"&lt;"&amp;'Detalle individual'!D364),""))</f>
        <v/>
      </c>
      <c r="AH364" t="str">
        <f>IF('Detalle individual'!F364="Pendiente",COUNTIF('Detalle individual'!$D$5:$D$1000,"&lt;"&amp;'Detalle individual'!D364)*1000000+COUNTIF('Detalle individual'!$C$5:$C$1000,"&lt;"&amp;'Detalle individual'!C364)*1000+COUNTIF('Detalle individual'!$B$5:$B$1000,"&lt;"&amp;'Detalle individual'!B364)+ROW()/10000,"")</f>
        <v/>
      </c>
      <c r="AI364" t="str">
        <f>IF('Detalle individual'!F364="Completado",COUNTIF('Detalle individual'!$D$5:$D$1000,"&lt;"&amp;'Detalle individual'!D364)*1000000+COUNTIF('Detalle individual'!$C$5:$C$1000,"&lt;"&amp;'Detalle individual'!C364)*1000+COUNTIF('Detalle individual'!$B$5:$B$1000,"&lt;"&amp;'Detalle individual'!B364)+ROW()/10000,"")</f>
        <v/>
      </c>
      <c r="AJ364" t="str">
        <f>IF(AND('Detalle individual'!F364&lt;&gt;"",'Detalle individual'!F364&lt;&gt;"Completado",'Detalle individual'!F364&lt;&gt;"Pendiente"),COUNTIF('Detalle individual'!$D$5:$D$1000,"&lt;"&amp;'Detalle individual'!D364)*1000000+COUNTIF('Detalle individual'!$C$5:$C$1000,"&lt;"&amp;'Detalle individual'!C364)*1000+COUNTIF('Detalle individual'!$B$5:$B$1000,"&lt;"&amp;'Detalle individual'!B364)+ROW()/10000,"")</f>
        <v/>
      </c>
      <c r="AK364" t="str">
        <f>IF(OR('Base Exámenes'!C364="",'Base Exámenes'!D364=""),"",IF(COUNTIF('Base Exámenes'!$C$5:C364,'Base Exámenes'!C364)=1,'Base Exámenes'!D364+ROW()/1000000000,""))</f>
        <v/>
      </c>
      <c r="AL364" t="str">
        <f>IF(OR('Base Exámenes'!C364="",'Base Exámenes'!E364=""),"",IF(COUNTIF('Base Exámenes'!$C$5:C364,'Base Exámenes'!C364)=1,'Base Exámenes'!E364+ROW()/1000000000,""))</f>
        <v/>
      </c>
      <c r="AM364" t="str">
        <f>IF(OR('Base Exámenes'!C364="",'Base Exámenes'!G364=""),"",IF(ROW()-4=MATCH('Base Exámenes'!C364&amp;"|"&amp;_xlfn.MAXIFS('Base Exámenes'!$G$5:$G$1000,'Base Exámenes'!$C$5:$C$1000,'Base Exámenes'!C364),'Base Exámenes'!$I$5:$I$1000,0),'Base Exámenes'!G364*1000000+(-1)*'Base Exámenes'!D364,""))</f>
        <v/>
      </c>
      <c r="AQ364" t="str">
        <f>IF('Base Exámenes'!C364="","",IF(COUNTIF('Base Exámenes'!$C$5:$C$1000,'Base Exámenes'!C364)&lt;2,"",MATCH('Base Exámenes'!C364,'Base Exámenes'!$C$5:$C$1000,0)*10000+ROW()))</f>
        <v/>
      </c>
    </row>
    <row r="365">
      <c r="Z365" t="str">
        <f>IF('Detalle individual'!A365="","",IF(AND(OR('Estado por Colaborador'!$D$4="Todas las gerencias",'Detalle individual'!D365='Estado por Colaborador'!$D$4),OR('Estado por Colaborador'!$D$5="Todos los departamentos",TRIM('Detalle individual'!C365)='Estado por Colaborador'!$D$5),OR('Estado por Colaborador'!$D$6="Todos",'Detalle individual'!F365='Estado por Colaborador'!$D$6)),IF('Detalle individual'!F365="Completado",30000000,IF('Detalle individual'!F365="Pendiente",0,15000000))+COUNTIF('Detalle individual'!$C$5:$C$1000,"&lt;"&amp;'Detalle individual'!C365)*10000+ROW(),""))</f>
        <v/>
      </c>
      <c r="AB365" t="str">
        <f>IF('Detalle individual'!C365="","",IF(COUNTIF('Detalle individual'!$C$5:C365,'Detalle individual'!C365)=1,COUNTIF('Detalle individual'!$C$5:$C$1000,"&lt;"&amp;'Detalle individual'!C365),""))</f>
        <v/>
      </c>
      <c r="AC365" t="str">
        <f>IF('Detalle individual'!D365="","",IF(COUNTIF('Detalle individual'!$D$5:D365,'Detalle individual'!D365)=1,COUNTIF('Detalle individual'!$D$5:$D$1000,"&lt;"&amp;'Detalle individual'!D365),""))</f>
        <v/>
      </c>
      <c r="AH365" t="str">
        <f>IF('Detalle individual'!F365="Pendiente",COUNTIF('Detalle individual'!$D$5:$D$1000,"&lt;"&amp;'Detalle individual'!D365)*1000000+COUNTIF('Detalle individual'!$C$5:$C$1000,"&lt;"&amp;'Detalle individual'!C365)*1000+COUNTIF('Detalle individual'!$B$5:$B$1000,"&lt;"&amp;'Detalle individual'!B365)+ROW()/10000,"")</f>
        <v/>
      </c>
      <c r="AI365" t="str">
        <f>IF('Detalle individual'!F365="Completado",COUNTIF('Detalle individual'!$D$5:$D$1000,"&lt;"&amp;'Detalle individual'!D365)*1000000+COUNTIF('Detalle individual'!$C$5:$C$1000,"&lt;"&amp;'Detalle individual'!C365)*1000+COUNTIF('Detalle individual'!$B$5:$B$1000,"&lt;"&amp;'Detalle individual'!B365)+ROW()/10000,"")</f>
        <v/>
      </c>
      <c r="AJ365" t="str">
        <f>IF(AND('Detalle individual'!F365&lt;&gt;"",'Detalle individual'!F365&lt;&gt;"Completado",'Detalle individual'!F365&lt;&gt;"Pendiente"),COUNTIF('Detalle individual'!$D$5:$D$1000,"&lt;"&amp;'Detalle individual'!D365)*1000000+COUNTIF('Detalle individual'!$C$5:$C$1000,"&lt;"&amp;'Detalle individual'!C365)*1000+COUNTIF('Detalle individual'!$B$5:$B$1000,"&lt;"&amp;'Detalle individual'!B365)+ROW()/10000,"")</f>
        <v/>
      </c>
      <c r="AK365" t="str">
        <f>IF(OR('Base Exámenes'!C365="",'Base Exámenes'!D365=""),"",IF(COUNTIF('Base Exámenes'!$C$5:C365,'Base Exámenes'!C365)=1,'Base Exámenes'!D365+ROW()/1000000000,""))</f>
        <v/>
      </c>
      <c r="AL365" t="str">
        <f>IF(OR('Base Exámenes'!C365="",'Base Exámenes'!E365=""),"",IF(COUNTIF('Base Exámenes'!$C$5:C365,'Base Exámenes'!C365)=1,'Base Exámenes'!E365+ROW()/1000000000,""))</f>
        <v/>
      </c>
      <c r="AM365" t="str">
        <f>IF(OR('Base Exámenes'!C365="",'Base Exámenes'!G365=""),"",IF(ROW()-4=MATCH('Base Exámenes'!C365&amp;"|"&amp;_xlfn.MAXIFS('Base Exámenes'!$G$5:$G$1000,'Base Exámenes'!$C$5:$C$1000,'Base Exámenes'!C365),'Base Exámenes'!$I$5:$I$1000,0),'Base Exámenes'!G365*1000000+(-1)*'Base Exámenes'!D365,""))</f>
        <v/>
      </c>
      <c r="AQ365" t="str">
        <f>IF('Base Exámenes'!C365="","",IF(COUNTIF('Base Exámenes'!$C$5:$C$1000,'Base Exámenes'!C365)&lt;2,"",MATCH('Base Exámenes'!C365,'Base Exámenes'!$C$5:$C$1000,0)*10000+ROW()))</f>
        <v/>
      </c>
    </row>
    <row r="366">
      <c r="Z366" t="str">
        <f>IF('Detalle individual'!A366="","",IF(AND(OR('Estado por Colaborador'!$D$4="Todas las gerencias",'Detalle individual'!D366='Estado por Colaborador'!$D$4),OR('Estado por Colaborador'!$D$5="Todos los departamentos",TRIM('Detalle individual'!C366)='Estado por Colaborador'!$D$5),OR('Estado por Colaborador'!$D$6="Todos",'Detalle individual'!F366='Estado por Colaborador'!$D$6)),IF('Detalle individual'!F366="Completado",30000000,IF('Detalle individual'!F366="Pendiente",0,15000000))+COUNTIF('Detalle individual'!$C$5:$C$1000,"&lt;"&amp;'Detalle individual'!C366)*10000+ROW(),""))</f>
        <v/>
      </c>
      <c r="AB366" t="str">
        <f>IF('Detalle individual'!C366="","",IF(COUNTIF('Detalle individual'!$C$5:C366,'Detalle individual'!C366)=1,COUNTIF('Detalle individual'!$C$5:$C$1000,"&lt;"&amp;'Detalle individual'!C366),""))</f>
        <v/>
      </c>
      <c r="AC366" t="str">
        <f>IF('Detalle individual'!D366="","",IF(COUNTIF('Detalle individual'!$D$5:D366,'Detalle individual'!D366)=1,COUNTIF('Detalle individual'!$D$5:$D$1000,"&lt;"&amp;'Detalle individual'!D366),""))</f>
        <v/>
      </c>
      <c r="AH366" t="str">
        <f>IF('Detalle individual'!F366="Pendiente",COUNTIF('Detalle individual'!$D$5:$D$1000,"&lt;"&amp;'Detalle individual'!D366)*1000000+COUNTIF('Detalle individual'!$C$5:$C$1000,"&lt;"&amp;'Detalle individual'!C366)*1000+COUNTIF('Detalle individual'!$B$5:$B$1000,"&lt;"&amp;'Detalle individual'!B366)+ROW()/10000,"")</f>
        <v/>
      </c>
      <c r="AI366" t="str">
        <f>IF('Detalle individual'!F366="Completado",COUNTIF('Detalle individual'!$D$5:$D$1000,"&lt;"&amp;'Detalle individual'!D366)*1000000+COUNTIF('Detalle individual'!$C$5:$C$1000,"&lt;"&amp;'Detalle individual'!C366)*1000+COUNTIF('Detalle individual'!$B$5:$B$1000,"&lt;"&amp;'Detalle individual'!B366)+ROW()/10000,"")</f>
        <v/>
      </c>
      <c r="AJ366" t="str">
        <f>IF(AND('Detalle individual'!F366&lt;&gt;"",'Detalle individual'!F366&lt;&gt;"Completado",'Detalle individual'!F366&lt;&gt;"Pendiente"),COUNTIF('Detalle individual'!$D$5:$D$1000,"&lt;"&amp;'Detalle individual'!D366)*1000000+COUNTIF('Detalle individual'!$C$5:$C$1000,"&lt;"&amp;'Detalle individual'!C366)*1000+COUNTIF('Detalle individual'!$B$5:$B$1000,"&lt;"&amp;'Detalle individual'!B366)+ROW()/10000,"")</f>
        <v/>
      </c>
      <c r="AK366" t="str">
        <f>IF(OR('Base Exámenes'!C366="",'Base Exámenes'!D366=""),"",IF(COUNTIF('Base Exámenes'!$C$5:C366,'Base Exámenes'!C366)=1,'Base Exámenes'!D366+ROW()/1000000000,""))</f>
        <v/>
      </c>
      <c r="AL366" t="str">
        <f>IF(OR('Base Exámenes'!C366="",'Base Exámenes'!E366=""),"",IF(COUNTIF('Base Exámenes'!$C$5:C366,'Base Exámenes'!C366)=1,'Base Exámenes'!E366+ROW()/1000000000,""))</f>
        <v/>
      </c>
      <c r="AM366" t="str">
        <f>IF(OR('Base Exámenes'!C366="",'Base Exámenes'!G366=""),"",IF(ROW()-4=MATCH('Base Exámenes'!C366&amp;"|"&amp;_xlfn.MAXIFS('Base Exámenes'!$G$5:$G$1000,'Base Exámenes'!$C$5:$C$1000,'Base Exámenes'!C366),'Base Exámenes'!$I$5:$I$1000,0),'Base Exámenes'!G366*1000000+(-1)*'Base Exámenes'!D366,""))</f>
        <v/>
      </c>
      <c r="AQ366" t="str">
        <f>IF('Base Exámenes'!C366="","",IF(COUNTIF('Base Exámenes'!$C$5:$C$1000,'Base Exámenes'!C366)&lt;2,"",MATCH('Base Exámenes'!C366,'Base Exámenes'!$C$5:$C$1000,0)*10000+ROW()))</f>
        <v/>
      </c>
    </row>
    <row r="367">
      <c r="Z367" t="str">
        <f>IF('Detalle individual'!A367="","",IF(AND(OR('Estado por Colaborador'!$D$4="Todas las gerencias",'Detalle individual'!D367='Estado por Colaborador'!$D$4),OR('Estado por Colaborador'!$D$5="Todos los departamentos",TRIM('Detalle individual'!C367)='Estado por Colaborador'!$D$5),OR('Estado por Colaborador'!$D$6="Todos",'Detalle individual'!F367='Estado por Colaborador'!$D$6)),IF('Detalle individual'!F367="Completado",30000000,IF('Detalle individual'!F367="Pendiente",0,15000000))+COUNTIF('Detalle individual'!$C$5:$C$1000,"&lt;"&amp;'Detalle individual'!C367)*10000+ROW(),""))</f>
        <v/>
      </c>
      <c r="AB367" t="str">
        <f>IF('Detalle individual'!C367="","",IF(COUNTIF('Detalle individual'!$C$5:C367,'Detalle individual'!C367)=1,COUNTIF('Detalle individual'!$C$5:$C$1000,"&lt;"&amp;'Detalle individual'!C367),""))</f>
        <v/>
      </c>
      <c r="AC367" t="str">
        <f>IF('Detalle individual'!D367="","",IF(COUNTIF('Detalle individual'!$D$5:D367,'Detalle individual'!D367)=1,COUNTIF('Detalle individual'!$D$5:$D$1000,"&lt;"&amp;'Detalle individual'!D367),""))</f>
        <v/>
      </c>
      <c r="AH367" t="str">
        <f>IF('Detalle individual'!F367="Pendiente",COUNTIF('Detalle individual'!$D$5:$D$1000,"&lt;"&amp;'Detalle individual'!D367)*1000000+COUNTIF('Detalle individual'!$C$5:$C$1000,"&lt;"&amp;'Detalle individual'!C367)*1000+COUNTIF('Detalle individual'!$B$5:$B$1000,"&lt;"&amp;'Detalle individual'!B367)+ROW()/10000,"")</f>
        <v/>
      </c>
      <c r="AI367" t="str">
        <f>IF('Detalle individual'!F367="Completado",COUNTIF('Detalle individual'!$D$5:$D$1000,"&lt;"&amp;'Detalle individual'!D367)*1000000+COUNTIF('Detalle individual'!$C$5:$C$1000,"&lt;"&amp;'Detalle individual'!C367)*1000+COUNTIF('Detalle individual'!$B$5:$B$1000,"&lt;"&amp;'Detalle individual'!B367)+ROW()/10000,"")</f>
        <v/>
      </c>
      <c r="AJ367" t="str">
        <f>IF(AND('Detalle individual'!F367&lt;&gt;"",'Detalle individual'!F367&lt;&gt;"Completado",'Detalle individual'!F367&lt;&gt;"Pendiente"),COUNTIF('Detalle individual'!$D$5:$D$1000,"&lt;"&amp;'Detalle individual'!D367)*1000000+COUNTIF('Detalle individual'!$C$5:$C$1000,"&lt;"&amp;'Detalle individual'!C367)*1000+COUNTIF('Detalle individual'!$B$5:$B$1000,"&lt;"&amp;'Detalle individual'!B367)+ROW()/10000,"")</f>
        <v/>
      </c>
      <c r="AK367" t="str">
        <f>IF(OR('Base Exámenes'!C367="",'Base Exámenes'!D367=""),"",IF(COUNTIF('Base Exámenes'!$C$5:C367,'Base Exámenes'!C367)=1,'Base Exámenes'!D367+ROW()/1000000000,""))</f>
        <v/>
      </c>
      <c r="AL367" t="str">
        <f>IF(OR('Base Exámenes'!C367="",'Base Exámenes'!E367=""),"",IF(COUNTIF('Base Exámenes'!$C$5:C367,'Base Exámenes'!C367)=1,'Base Exámenes'!E367+ROW()/1000000000,""))</f>
        <v/>
      </c>
      <c r="AM367" t="str">
        <f>IF(OR('Base Exámenes'!C367="",'Base Exámenes'!G367=""),"",IF(ROW()-4=MATCH('Base Exámenes'!C367&amp;"|"&amp;_xlfn.MAXIFS('Base Exámenes'!$G$5:$G$1000,'Base Exámenes'!$C$5:$C$1000,'Base Exámenes'!C367),'Base Exámenes'!$I$5:$I$1000,0),'Base Exámenes'!G367*1000000+(-1)*'Base Exámenes'!D367,""))</f>
        <v/>
      </c>
      <c r="AQ367" t="str">
        <f>IF('Base Exámenes'!C367="","",IF(COUNTIF('Base Exámenes'!$C$5:$C$1000,'Base Exámenes'!C367)&lt;2,"",MATCH('Base Exámenes'!C367,'Base Exámenes'!$C$5:$C$1000,0)*10000+ROW()))</f>
        <v/>
      </c>
    </row>
    <row r="368">
      <c r="Z368" t="str">
        <f>IF('Detalle individual'!A368="","",IF(AND(OR('Estado por Colaborador'!$D$4="Todas las gerencias",'Detalle individual'!D368='Estado por Colaborador'!$D$4),OR('Estado por Colaborador'!$D$5="Todos los departamentos",TRIM('Detalle individual'!C368)='Estado por Colaborador'!$D$5),OR('Estado por Colaborador'!$D$6="Todos",'Detalle individual'!F368='Estado por Colaborador'!$D$6)),IF('Detalle individual'!F368="Completado",30000000,IF('Detalle individual'!F368="Pendiente",0,15000000))+COUNTIF('Detalle individual'!$C$5:$C$1000,"&lt;"&amp;'Detalle individual'!C368)*10000+ROW(),""))</f>
        <v/>
      </c>
      <c r="AB368" t="str">
        <f>IF('Detalle individual'!C368="","",IF(COUNTIF('Detalle individual'!$C$5:C368,'Detalle individual'!C368)=1,COUNTIF('Detalle individual'!$C$5:$C$1000,"&lt;"&amp;'Detalle individual'!C368),""))</f>
        <v/>
      </c>
      <c r="AC368" t="str">
        <f>IF('Detalle individual'!D368="","",IF(COUNTIF('Detalle individual'!$D$5:D368,'Detalle individual'!D368)=1,COUNTIF('Detalle individual'!$D$5:$D$1000,"&lt;"&amp;'Detalle individual'!D368),""))</f>
        <v/>
      </c>
      <c r="AH368" t="str">
        <f>IF('Detalle individual'!F368="Pendiente",COUNTIF('Detalle individual'!$D$5:$D$1000,"&lt;"&amp;'Detalle individual'!D368)*1000000+COUNTIF('Detalle individual'!$C$5:$C$1000,"&lt;"&amp;'Detalle individual'!C368)*1000+COUNTIF('Detalle individual'!$B$5:$B$1000,"&lt;"&amp;'Detalle individual'!B368)+ROW()/10000,"")</f>
        <v/>
      </c>
      <c r="AI368" t="str">
        <f>IF('Detalle individual'!F368="Completado",COUNTIF('Detalle individual'!$D$5:$D$1000,"&lt;"&amp;'Detalle individual'!D368)*1000000+COUNTIF('Detalle individual'!$C$5:$C$1000,"&lt;"&amp;'Detalle individual'!C368)*1000+COUNTIF('Detalle individual'!$B$5:$B$1000,"&lt;"&amp;'Detalle individual'!B368)+ROW()/10000,"")</f>
        <v/>
      </c>
      <c r="AJ368" t="str">
        <f>IF(AND('Detalle individual'!F368&lt;&gt;"",'Detalle individual'!F368&lt;&gt;"Completado",'Detalle individual'!F368&lt;&gt;"Pendiente"),COUNTIF('Detalle individual'!$D$5:$D$1000,"&lt;"&amp;'Detalle individual'!D368)*1000000+COUNTIF('Detalle individual'!$C$5:$C$1000,"&lt;"&amp;'Detalle individual'!C368)*1000+COUNTIF('Detalle individual'!$B$5:$B$1000,"&lt;"&amp;'Detalle individual'!B368)+ROW()/10000,"")</f>
        <v/>
      </c>
      <c r="AK368" t="str">
        <f>IF(OR('Base Exámenes'!C368="",'Base Exámenes'!D368=""),"",IF(COUNTIF('Base Exámenes'!$C$5:C368,'Base Exámenes'!C368)=1,'Base Exámenes'!D368+ROW()/1000000000,""))</f>
        <v/>
      </c>
      <c r="AL368" t="str">
        <f>IF(OR('Base Exámenes'!C368="",'Base Exámenes'!E368=""),"",IF(COUNTIF('Base Exámenes'!$C$5:C368,'Base Exámenes'!C368)=1,'Base Exámenes'!E368+ROW()/1000000000,""))</f>
        <v/>
      </c>
      <c r="AM368" t="str">
        <f>IF(OR('Base Exámenes'!C368="",'Base Exámenes'!G368=""),"",IF(ROW()-4=MATCH('Base Exámenes'!C368&amp;"|"&amp;_xlfn.MAXIFS('Base Exámenes'!$G$5:$G$1000,'Base Exámenes'!$C$5:$C$1000,'Base Exámenes'!C368),'Base Exámenes'!$I$5:$I$1000,0),'Base Exámenes'!G368*1000000+(-1)*'Base Exámenes'!D368,""))</f>
        <v/>
      </c>
      <c r="AQ368" t="str">
        <f>IF('Base Exámenes'!C368="","",IF(COUNTIF('Base Exámenes'!$C$5:$C$1000,'Base Exámenes'!C368)&lt;2,"",MATCH('Base Exámenes'!C368,'Base Exámenes'!$C$5:$C$1000,0)*10000+ROW()))</f>
        <v/>
      </c>
    </row>
    <row r="369">
      <c r="Z369" t="str">
        <f>IF('Detalle individual'!A369="","",IF(AND(OR('Estado por Colaborador'!$D$4="Todas las gerencias",'Detalle individual'!D369='Estado por Colaborador'!$D$4),OR('Estado por Colaborador'!$D$5="Todos los departamentos",TRIM('Detalle individual'!C369)='Estado por Colaborador'!$D$5),OR('Estado por Colaborador'!$D$6="Todos",'Detalle individual'!F369='Estado por Colaborador'!$D$6)),IF('Detalle individual'!F369="Completado",30000000,IF('Detalle individual'!F369="Pendiente",0,15000000))+COUNTIF('Detalle individual'!$C$5:$C$1000,"&lt;"&amp;'Detalle individual'!C369)*10000+ROW(),""))</f>
        <v/>
      </c>
      <c r="AB369" t="str">
        <f>IF('Detalle individual'!C369="","",IF(COUNTIF('Detalle individual'!$C$5:C369,'Detalle individual'!C369)=1,COUNTIF('Detalle individual'!$C$5:$C$1000,"&lt;"&amp;'Detalle individual'!C369),""))</f>
        <v/>
      </c>
      <c r="AC369" t="str">
        <f>IF('Detalle individual'!D369="","",IF(COUNTIF('Detalle individual'!$D$5:D369,'Detalle individual'!D369)=1,COUNTIF('Detalle individual'!$D$5:$D$1000,"&lt;"&amp;'Detalle individual'!D369),""))</f>
        <v/>
      </c>
      <c r="AH369" t="str">
        <f>IF('Detalle individual'!F369="Pendiente",COUNTIF('Detalle individual'!$D$5:$D$1000,"&lt;"&amp;'Detalle individual'!D369)*1000000+COUNTIF('Detalle individual'!$C$5:$C$1000,"&lt;"&amp;'Detalle individual'!C369)*1000+COUNTIF('Detalle individual'!$B$5:$B$1000,"&lt;"&amp;'Detalle individual'!B369)+ROW()/10000,"")</f>
        <v/>
      </c>
      <c r="AI369" t="str">
        <f>IF('Detalle individual'!F369="Completado",COUNTIF('Detalle individual'!$D$5:$D$1000,"&lt;"&amp;'Detalle individual'!D369)*1000000+COUNTIF('Detalle individual'!$C$5:$C$1000,"&lt;"&amp;'Detalle individual'!C369)*1000+COUNTIF('Detalle individual'!$B$5:$B$1000,"&lt;"&amp;'Detalle individual'!B369)+ROW()/10000,"")</f>
        <v/>
      </c>
      <c r="AJ369" t="str">
        <f>IF(AND('Detalle individual'!F369&lt;&gt;"",'Detalle individual'!F369&lt;&gt;"Completado",'Detalle individual'!F369&lt;&gt;"Pendiente"),COUNTIF('Detalle individual'!$D$5:$D$1000,"&lt;"&amp;'Detalle individual'!D369)*1000000+COUNTIF('Detalle individual'!$C$5:$C$1000,"&lt;"&amp;'Detalle individual'!C369)*1000+COUNTIF('Detalle individual'!$B$5:$B$1000,"&lt;"&amp;'Detalle individual'!B369)+ROW()/10000,"")</f>
        <v/>
      </c>
      <c r="AK369" t="str">
        <f>IF(OR('Base Exámenes'!C369="",'Base Exámenes'!D369=""),"",IF(COUNTIF('Base Exámenes'!$C$5:C369,'Base Exámenes'!C369)=1,'Base Exámenes'!D369+ROW()/1000000000,""))</f>
        <v/>
      </c>
      <c r="AL369" t="str">
        <f>IF(OR('Base Exámenes'!C369="",'Base Exámenes'!E369=""),"",IF(COUNTIF('Base Exámenes'!$C$5:C369,'Base Exámenes'!C369)=1,'Base Exámenes'!E369+ROW()/1000000000,""))</f>
        <v/>
      </c>
      <c r="AM369" t="str">
        <f>IF(OR('Base Exámenes'!C369="",'Base Exámenes'!G369=""),"",IF(ROW()-4=MATCH('Base Exámenes'!C369&amp;"|"&amp;_xlfn.MAXIFS('Base Exámenes'!$G$5:$G$1000,'Base Exámenes'!$C$5:$C$1000,'Base Exámenes'!C369),'Base Exámenes'!$I$5:$I$1000,0),'Base Exámenes'!G369*1000000+(-1)*'Base Exámenes'!D369,""))</f>
        <v/>
      </c>
      <c r="AQ369" t="str">
        <f>IF('Base Exámenes'!C369="","",IF(COUNTIF('Base Exámenes'!$C$5:$C$1000,'Base Exámenes'!C369)&lt;2,"",MATCH('Base Exámenes'!C369,'Base Exámenes'!$C$5:$C$1000,0)*10000+ROW()))</f>
        <v/>
      </c>
    </row>
    <row r="370">
      <c r="Z370" t="str">
        <f>IF('Detalle individual'!A370="","",IF(AND(OR('Estado por Colaborador'!$D$4="Todas las gerencias",'Detalle individual'!D370='Estado por Colaborador'!$D$4),OR('Estado por Colaborador'!$D$5="Todos los departamentos",TRIM('Detalle individual'!C370)='Estado por Colaborador'!$D$5),OR('Estado por Colaborador'!$D$6="Todos",'Detalle individual'!F370='Estado por Colaborador'!$D$6)),IF('Detalle individual'!F370="Completado",30000000,IF('Detalle individual'!F370="Pendiente",0,15000000))+COUNTIF('Detalle individual'!$C$5:$C$1000,"&lt;"&amp;'Detalle individual'!C370)*10000+ROW(),""))</f>
        <v/>
      </c>
      <c r="AB370" t="str">
        <f>IF('Detalle individual'!C370="","",IF(COUNTIF('Detalle individual'!$C$5:C370,'Detalle individual'!C370)=1,COUNTIF('Detalle individual'!$C$5:$C$1000,"&lt;"&amp;'Detalle individual'!C370),""))</f>
        <v/>
      </c>
      <c r="AC370" t="str">
        <f>IF('Detalle individual'!D370="","",IF(COUNTIF('Detalle individual'!$D$5:D370,'Detalle individual'!D370)=1,COUNTIF('Detalle individual'!$D$5:$D$1000,"&lt;"&amp;'Detalle individual'!D370),""))</f>
        <v/>
      </c>
      <c r="AH370" t="str">
        <f>IF('Detalle individual'!F370="Pendiente",COUNTIF('Detalle individual'!$D$5:$D$1000,"&lt;"&amp;'Detalle individual'!D370)*1000000+COUNTIF('Detalle individual'!$C$5:$C$1000,"&lt;"&amp;'Detalle individual'!C370)*1000+COUNTIF('Detalle individual'!$B$5:$B$1000,"&lt;"&amp;'Detalle individual'!B370)+ROW()/10000,"")</f>
        <v/>
      </c>
      <c r="AI370" t="str">
        <f>IF('Detalle individual'!F370="Completado",COUNTIF('Detalle individual'!$D$5:$D$1000,"&lt;"&amp;'Detalle individual'!D370)*1000000+COUNTIF('Detalle individual'!$C$5:$C$1000,"&lt;"&amp;'Detalle individual'!C370)*1000+COUNTIF('Detalle individual'!$B$5:$B$1000,"&lt;"&amp;'Detalle individual'!B370)+ROW()/10000,"")</f>
        <v/>
      </c>
      <c r="AJ370" t="str">
        <f>IF(AND('Detalle individual'!F370&lt;&gt;"",'Detalle individual'!F370&lt;&gt;"Completado",'Detalle individual'!F370&lt;&gt;"Pendiente"),COUNTIF('Detalle individual'!$D$5:$D$1000,"&lt;"&amp;'Detalle individual'!D370)*1000000+COUNTIF('Detalle individual'!$C$5:$C$1000,"&lt;"&amp;'Detalle individual'!C370)*1000+COUNTIF('Detalle individual'!$B$5:$B$1000,"&lt;"&amp;'Detalle individual'!B370)+ROW()/10000,"")</f>
        <v/>
      </c>
      <c r="AK370" t="str">
        <f>IF(OR('Base Exámenes'!C370="",'Base Exámenes'!D370=""),"",IF(COUNTIF('Base Exámenes'!$C$5:C370,'Base Exámenes'!C370)=1,'Base Exámenes'!D370+ROW()/1000000000,""))</f>
        <v/>
      </c>
      <c r="AL370" t="str">
        <f>IF(OR('Base Exámenes'!C370="",'Base Exámenes'!E370=""),"",IF(COUNTIF('Base Exámenes'!$C$5:C370,'Base Exámenes'!C370)=1,'Base Exámenes'!E370+ROW()/1000000000,""))</f>
        <v/>
      </c>
      <c r="AM370" t="str">
        <f>IF(OR('Base Exámenes'!C370="",'Base Exámenes'!G370=""),"",IF(ROW()-4=MATCH('Base Exámenes'!C370&amp;"|"&amp;_xlfn.MAXIFS('Base Exámenes'!$G$5:$G$1000,'Base Exámenes'!$C$5:$C$1000,'Base Exámenes'!C370),'Base Exámenes'!$I$5:$I$1000,0),'Base Exámenes'!G370*1000000+(-1)*'Base Exámenes'!D370,""))</f>
        <v/>
      </c>
      <c r="AQ370" t="str">
        <f>IF('Base Exámenes'!C370="","",IF(COUNTIF('Base Exámenes'!$C$5:$C$1000,'Base Exámenes'!C370)&lt;2,"",MATCH('Base Exámenes'!C370,'Base Exámenes'!$C$5:$C$1000,0)*10000+ROW()))</f>
        <v/>
      </c>
    </row>
    <row r="371">
      <c r="Z371" t="str">
        <f>IF('Detalle individual'!A371="","",IF(AND(OR('Estado por Colaborador'!$D$4="Todas las gerencias",'Detalle individual'!D371='Estado por Colaborador'!$D$4),OR('Estado por Colaborador'!$D$5="Todos los departamentos",TRIM('Detalle individual'!C371)='Estado por Colaborador'!$D$5),OR('Estado por Colaborador'!$D$6="Todos",'Detalle individual'!F371='Estado por Colaborador'!$D$6)),IF('Detalle individual'!F371="Completado",30000000,IF('Detalle individual'!F371="Pendiente",0,15000000))+COUNTIF('Detalle individual'!$C$5:$C$1000,"&lt;"&amp;'Detalle individual'!C371)*10000+ROW(),""))</f>
        <v/>
      </c>
      <c r="AB371" t="str">
        <f>IF('Detalle individual'!C371="","",IF(COUNTIF('Detalle individual'!$C$5:C371,'Detalle individual'!C371)=1,COUNTIF('Detalle individual'!$C$5:$C$1000,"&lt;"&amp;'Detalle individual'!C371),""))</f>
        <v/>
      </c>
      <c r="AC371" t="str">
        <f>IF('Detalle individual'!D371="","",IF(COUNTIF('Detalle individual'!$D$5:D371,'Detalle individual'!D371)=1,COUNTIF('Detalle individual'!$D$5:$D$1000,"&lt;"&amp;'Detalle individual'!D371),""))</f>
        <v/>
      </c>
      <c r="AH371" t="str">
        <f>IF('Detalle individual'!F371="Pendiente",COUNTIF('Detalle individual'!$D$5:$D$1000,"&lt;"&amp;'Detalle individual'!D371)*1000000+COUNTIF('Detalle individual'!$C$5:$C$1000,"&lt;"&amp;'Detalle individual'!C371)*1000+COUNTIF('Detalle individual'!$B$5:$B$1000,"&lt;"&amp;'Detalle individual'!B371)+ROW()/10000,"")</f>
        <v/>
      </c>
      <c r="AI371" t="str">
        <f>IF('Detalle individual'!F371="Completado",COUNTIF('Detalle individual'!$D$5:$D$1000,"&lt;"&amp;'Detalle individual'!D371)*1000000+COUNTIF('Detalle individual'!$C$5:$C$1000,"&lt;"&amp;'Detalle individual'!C371)*1000+COUNTIF('Detalle individual'!$B$5:$B$1000,"&lt;"&amp;'Detalle individual'!B371)+ROW()/10000,"")</f>
        <v/>
      </c>
      <c r="AJ371" t="str">
        <f>IF(AND('Detalle individual'!F371&lt;&gt;"",'Detalle individual'!F371&lt;&gt;"Completado",'Detalle individual'!F371&lt;&gt;"Pendiente"),COUNTIF('Detalle individual'!$D$5:$D$1000,"&lt;"&amp;'Detalle individual'!D371)*1000000+COUNTIF('Detalle individual'!$C$5:$C$1000,"&lt;"&amp;'Detalle individual'!C371)*1000+COUNTIF('Detalle individual'!$B$5:$B$1000,"&lt;"&amp;'Detalle individual'!B371)+ROW()/10000,"")</f>
        <v/>
      </c>
      <c r="AK371" t="str">
        <f>IF(OR('Base Exámenes'!C371="",'Base Exámenes'!D371=""),"",IF(COUNTIF('Base Exámenes'!$C$5:C371,'Base Exámenes'!C371)=1,'Base Exámenes'!D371+ROW()/1000000000,""))</f>
        <v/>
      </c>
      <c r="AL371" t="str">
        <f>IF(OR('Base Exámenes'!C371="",'Base Exámenes'!E371=""),"",IF(COUNTIF('Base Exámenes'!$C$5:C371,'Base Exámenes'!C371)=1,'Base Exámenes'!E371+ROW()/1000000000,""))</f>
        <v/>
      </c>
      <c r="AM371" t="str">
        <f>IF(OR('Base Exámenes'!C371="",'Base Exámenes'!G371=""),"",IF(ROW()-4=MATCH('Base Exámenes'!C371&amp;"|"&amp;_xlfn.MAXIFS('Base Exámenes'!$G$5:$G$1000,'Base Exámenes'!$C$5:$C$1000,'Base Exámenes'!C371),'Base Exámenes'!$I$5:$I$1000,0),'Base Exámenes'!G371*1000000+(-1)*'Base Exámenes'!D371,""))</f>
        <v/>
      </c>
      <c r="AQ371" t="str">
        <f>IF('Base Exámenes'!C371="","",IF(COUNTIF('Base Exámenes'!$C$5:$C$1000,'Base Exámenes'!C371)&lt;2,"",MATCH('Base Exámenes'!C371,'Base Exámenes'!$C$5:$C$1000,0)*10000+ROW()))</f>
        <v/>
      </c>
    </row>
    <row r="372">
      <c r="Z372" t="str">
        <f>IF('Detalle individual'!A372="","",IF(AND(OR('Estado por Colaborador'!$D$4="Todas las gerencias",'Detalle individual'!D372='Estado por Colaborador'!$D$4),OR('Estado por Colaborador'!$D$5="Todos los departamentos",TRIM('Detalle individual'!C372)='Estado por Colaborador'!$D$5),OR('Estado por Colaborador'!$D$6="Todos",'Detalle individual'!F372='Estado por Colaborador'!$D$6)),IF('Detalle individual'!F372="Completado",30000000,IF('Detalle individual'!F372="Pendiente",0,15000000))+COUNTIF('Detalle individual'!$C$5:$C$1000,"&lt;"&amp;'Detalle individual'!C372)*10000+ROW(),""))</f>
        <v/>
      </c>
      <c r="AB372" t="str">
        <f>IF('Detalle individual'!C372="","",IF(COUNTIF('Detalle individual'!$C$5:C372,'Detalle individual'!C372)=1,COUNTIF('Detalle individual'!$C$5:$C$1000,"&lt;"&amp;'Detalle individual'!C372),""))</f>
        <v/>
      </c>
      <c r="AC372" t="str">
        <f>IF('Detalle individual'!D372="","",IF(COUNTIF('Detalle individual'!$D$5:D372,'Detalle individual'!D372)=1,COUNTIF('Detalle individual'!$D$5:$D$1000,"&lt;"&amp;'Detalle individual'!D372),""))</f>
        <v/>
      </c>
      <c r="AH372" t="str">
        <f>IF('Detalle individual'!F372="Pendiente",COUNTIF('Detalle individual'!$D$5:$D$1000,"&lt;"&amp;'Detalle individual'!D372)*1000000+COUNTIF('Detalle individual'!$C$5:$C$1000,"&lt;"&amp;'Detalle individual'!C372)*1000+COUNTIF('Detalle individual'!$B$5:$B$1000,"&lt;"&amp;'Detalle individual'!B372)+ROW()/10000,"")</f>
        <v/>
      </c>
      <c r="AI372" t="str">
        <f>IF('Detalle individual'!F372="Completado",COUNTIF('Detalle individual'!$D$5:$D$1000,"&lt;"&amp;'Detalle individual'!D372)*1000000+COUNTIF('Detalle individual'!$C$5:$C$1000,"&lt;"&amp;'Detalle individual'!C372)*1000+COUNTIF('Detalle individual'!$B$5:$B$1000,"&lt;"&amp;'Detalle individual'!B372)+ROW()/10000,"")</f>
        <v/>
      </c>
      <c r="AJ372" t="str">
        <f>IF(AND('Detalle individual'!F372&lt;&gt;"",'Detalle individual'!F372&lt;&gt;"Completado",'Detalle individual'!F372&lt;&gt;"Pendiente"),COUNTIF('Detalle individual'!$D$5:$D$1000,"&lt;"&amp;'Detalle individual'!D372)*1000000+COUNTIF('Detalle individual'!$C$5:$C$1000,"&lt;"&amp;'Detalle individual'!C372)*1000+COUNTIF('Detalle individual'!$B$5:$B$1000,"&lt;"&amp;'Detalle individual'!B372)+ROW()/10000,"")</f>
        <v/>
      </c>
      <c r="AK372" t="str">
        <f>IF(OR('Base Exámenes'!C372="",'Base Exámenes'!D372=""),"",IF(COUNTIF('Base Exámenes'!$C$5:C372,'Base Exámenes'!C372)=1,'Base Exámenes'!D372+ROW()/1000000000,""))</f>
        <v/>
      </c>
      <c r="AL372" t="str">
        <f>IF(OR('Base Exámenes'!C372="",'Base Exámenes'!E372=""),"",IF(COUNTIF('Base Exámenes'!$C$5:C372,'Base Exámenes'!C372)=1,'Base Exámenes'!E372+ROW()/1000000000,""))</f>
        <v/>
      </c>
      <c r="AM372" t="str">
        <f>IF(OR('Base Exámenes'!C372="",'Base Exámenes'!G372=""),"",IF(ROW()-4=MATCH('Base Exámenes'!C372&amp;"|"&amp;_xlfn.MAXIFS('Base Exámenes'!$G$5:$G$1000,'Base Exámenes'!$C$5:$C$1000,'Base Exámenes'!C372),'Base Exámenes'!$I$5:$I$1000,0),'Base Exámenes'!G372*1000000+(-1)*'Base Exámenes'!D372,""))</f>
        <v/>
      </c>
      <c r="AQ372" t="str">
        <f>IF('Base Exámenes'!C372="","",IF(COUNTIF('Base Exámenes'!$C$5:$C$1000,'Base Exámenes'!C372)&lt;2,"",MATCH('Base Exámenes'!C372,'Base Exámenes'!$C$5:$C$1000,0)*10000+ROW()))</f>
        <v/>
      </c>
    </row>
    <row r="373">
      <c r="Z373" t="str">
        <f>IF('Detalle individual'!A373="","",IF(AND(OR('Estado por Colaborador'!$D$4="Todas las gerencias",'Detalle individual'!D373='Estado por Colaborador'!$D$4),OR('Estado por Colaborador'!$D$5="Todos los departamentos",TRIM('Detalle individual'!C373)='Estado por Colaborador'!$D$5),OR('Estado por Colaborador'!$D$6="Todos",'Detalle individual'!F373='Estado por Colaborador'!$D$6)),IF('Detalle individual'!F373="Completado",30000000,IF('Detalle individual'!F373="Pendiente",0,15000000))+COUNTIF('Detalle individual'!$C$5:$C$1000,"&lt;"&amp;'Detalle individual'!C373)*10000+ROW(),""))</f>
        <v/>
      </c>
      <c r="AB373" t="str">
        <f>IF('Detalle individual'!C373="","",IF(COUNTIF('Detalle individual'!$C$5:C373,'Detalle individual'!C373)=1,COUNTIF('Detalle individual'!$C$5:$C$1000,"&lt;"&amp;'Detalle individual'!C373),""))</f>
        <v/>
      </c>
      <c r="AC373" t="str">
        <f>IF('Detalle individual'!D373="","",IF(COUNTIF('Detalle individual'!$D$5:D373,'Detalle individual'!D373)=1,COUNTIF('Detalle individual'!$D$5:$D$1000,"&lt;"&amp;'Detalle individual'!D373),""))</f>
        <v/>
      </c>
      <c r="AH373" t="str">
        <f>IF('Detalle individual'!F373="Pendiente",COUNTIF('Detalle individual'!$D$5:$D$1000,"&lt;"&amp;'Detalle individual'!D373)*1000000+COUNTIF('Detalle individual'!$C$5:$C$1000,"&lt;"&amp;'Detalle individual'!C373)*1000+COUNTIF('Detalle individual'!$B$5:$B$1000,"&lt;"&amp;'Detalle individual'!B373)+ROW()/10000,"")</f>
        <v/>
      </c>
      <c r="AI373" t="str">
        <f>IF('Detalle individual'!F373="Completado",COUNTIF('Detalle individual'!$D$5:$D$1000,"&lt;"&amp;'Detalle individual'!D373)*1000000+COUNTIF('Detalle individual'!$C$5:$C$1000,"&lt;"&amp;'Detalle individual'!C373)*1000+COUNTIF('Detalle individual'!$B$5:$B$1000,"&lt;"&amp;'Detalle individual'!B373)+ROW()/10000,"")</f>
        <v/>
      </c>
      <c r="AJ373" t="str">
        <f>IF(AND('Detalle individual'!F373&lt;&gt;"",'Detalle individual'!F373&lt;&gt;"Completado",'Detalle individual'!F373&lt;&gt;"Pendiente"),COUNTIF('Detalle individual'!$D$5:$D$1000,"&lt;"&amp;'Detalle individual'!D373)*1000000+COUNTIF('Detalle individual'!$C$5:$C$1000,"&lt;"&amp;'Detalle individual'!C373)*1000+COUNTIF('Detalle individual'!$B$5:$B$1000,"&lt;"&amp;'Detalle individual'!B373)+ROW()/10000,"")</f>
        <v/>
      </c>
      <c r="AK373" t="str">
        <f>IF(OR('Base Exámenes'!C373="",'Base Exámenes'!D373=""),"",IF(COUNTIF('Base Exámenes'!$C$5:C373,'Base Exámenes'!C373)=1,'Base Exámenes'!D373+ROW()/1000000000,""))</f>
        <v/>
      </c>
      <c r="AL373" t="str">
        <f>IF(OR('Base Exámenes'!C373="",'Base Exámenes'!E373=""),"",IF(COUNTIF('Base Exámenes'!$C$5:C373,'Base Exámenes'!C373)=1,'Base Exámenes'!E373+ROW()/1000000000,""))</f>
        <v/>
      </c>
      <c r="AM373" t="str">
        <f>IF(OR('Base Exámenes'!C373="",'Base Exámenes'!G373=""),"",IF(ROW()-4=MATCH('Base Exámenes'!C373&amp;"|"&amp;_xlfn.MAXIFS('Base Exámenes'!$G$5:$G$1000,'Base Exámenes'!$C$5:$C$1000,'Base Exámenes'!C373),'Base Exámenes'!$I$5:$I$1000,0),'Base Exámenes'!G373*1000000+(-1)*'Base Exámenes'!D373,""))</f>
        <v/>
      </c>
      <c r="AQ373" t="str">
        <f>IF('Base Exámenes'!C373="","",IF(COUNTIF('Base Exámenes'!$C$5:$C$1000,'Base Exámenes'!C373)&lt;2,"",MATCH('Base Exámenes'!C373,'Base Exámenes'!$C$5:$C$1000,0)*10000+ROW()))</f>
        <v/>
      </c>
    </row>
    <row r="374">
      <c r="Z374" t="str">
        <f>IF('Detalle individual'!A374="","",IF(AND(OR('Estado por Colaborador'!$D$4="Todas las gerencias",'Detalle individual'!D374='Estado por Colaborador'!$D$4),OR('Estado por Colaborador'!$D$5="Todos los departamentos",TRIM('Detalle individual'!C374)='Estado por Colaborador'!$D$5),OR('Estado por Colaborador'!$D$6="Todos",'Detalle individual'!F374='Estado por Colaborador'!$D$6)),IF('Detalle individual'!F374="Completado",30000000,IF('Detalle individual'!F374="Pendiente",0,15000000))+COUNTIF('Detalle individual'!$C$5:$C$1000,"&lt;"&amp;'Detalle individual'!C374)*10000+ROW(),""))</f>
        <v/>
      </c>
      <c r="AB374" t="str">
        <f>IF('Detalle individual'!C374="","",IF(COUNTIF('Detalle individual'!$C$5:C374,'Detalle individual'!C374)=1,COUNTIF('Detalle individual'!$C$5:$C$1000,"&lt;"&amp;'Detalle individual'!C374),""))</f>
        <v/>
      </c>
      <c r="AC374" t="str">
        <f>IF('Detalle individual'!D374="","",IF(COUNTIF('Detalle individual'!$D$5:D374,'Detalle individual'!D374)=1,COUNTIF('Detalle individual'!$D$5:$D$1000,"&lt;"&amp;'Detalle individual'!D374),""))</f>
        <v/>
      </c>
      <c r="AH374" t="str">
        <f>IF('Detalle individual'!F374="Pendiente",COUNTIF('Detalle individual'!$D$5:$D$1000,"&lt;"&amp;'Detalle individual'!D374)*1000000+COUNTIF('Detalle individual'!$C$5:$C$1000,"&lt;"&amp;'Detalle individual'!C374)*1000+COUNTIF('Detalle individual'!$B$5:$B$1000,"&lt;"&amp;'Detalle individual'!B374)+ROW()/10000,"")</f>
        <v/>
      </c>
      <c r="AI374" t="str">
        <f>IF('Detalle individual'!F374="Completado",COUNTIF('Detalle individual'!$D$5:$D$1000,"&lt;"&amp;'Detalle individual'!D374)*1000000+COUNTIF('Detalle individual'!$C$5:$C$1000,"&lt;"&amp;'Detalle individual'!C374)*1000+COUNTIF('Detalle individual'!$B$5:$B$1000,"&lt;"&amp;'Detalle individual'!B374)+ROW()/10000,"")</f>
        <v/>
      </c>
      <c r="AJ374" t="str">
        <f>IF(AND('Detalle individual'!F374&lt;&gt;"",'Detalle individual'!F374&lt;&gt;"Completado",'Detalle individual'!F374&lt;&gt;"Pendiente"),COUNTIF('Detalle individual'!$D$5:$D$1000,"&lt;"&amp;'Detalle individual'!D374)*1000000+COUNTIF('Detalle individual'!$C$5:$C$1000,"&lt;"&amp;'Detalle individual'!C374)*1000+COUNTIF('Detalle individual'!$B$5:$B$1000,"&lt;"&amp;'Detalle individual'!B374)+ROW()/10000,"")</f>
        <v/>
      </c>
      <c r="AK374" t="str">
        <f>IF(OR('Base Exámenes'!C374="",'Base Exámenes'!D374=""),"",IF(COUNTIF('Base Exámenes'!$C$5:C374,'Base Exámenes'!C374)=1,'Base Exámenes'!D374+ROW()/1000000000,""))</f>
        <v/>
      </c>
      <c r="AL374" t="str">
        <f>IF(OR('Base Exámenes'!C374="",'Base Exámenes'!E374=""),"",IF(COUNTIF('Base Exámenes'!$C$5:C374,'Base Exámenes'!C374)=1,'Base Exámenes'!E374+ROW()/1000000000,""))</f>
        <v/>
      </c>
      <c r="AM374" t="str">
        <f>IF(OR('Base Exámenes'!C374="",'Base Exámenes'!G374=""),"",IF(ROW()-4=MATCH('Base Exámenes'!C374&amp;"|"&amp;_xlfn.MAXIFS('Base Exámenes'!$G$5:$G$1000,'Base Exámenes'!$C$5:$C$1000,'Base Exámenes'!C374),'Base Exámenes'!$I$5:$I$1000,0),'Base Exámenes'!G374*1000000+(-1)*'Base Exámenes'!D374,""))</f>
        <v/>
      </c>
      <c r="AQ374" t="str">
        <f>IF('Base Exámenes'!C374="","",IF(COUNTIF('Base Exámenes'!$C$5:$C$1000,'Base Exámenes'!C374)&lt;2,"",MATCH('Base Exámenes'!C374,'Base Exámenes'!$C$5:$C$1000,0)*10000+ROW()))</f>
        <v/>
      </c>
    </row>
    <row r="375">
      <c r="Z375" t="str">
        <f>IF('Detalle individual'!A375="","",IF(AND(OR('Estado por Colaborador'!$D$4="Todas las gerencias",'Detalle individual'!D375='Estado por Colaborador'!$D$4),OR('Estado por Colaborador'!$D$5="Todos los departamentos",TRIM('Detalle individual'!C375)='Estado por Colaborador'!$D$5),OR('Estado por Colaborador'!$D$6="Todos",'Detalle individual'!F375='Estado por Colaborador'!$D$6)),IF('Detalle individual'!F375="Completado",30000000,IF('Detalle individual'!F375="Pendiente",0,15000000))+COUNTIF('Detalle individual'!$C$5:$C$1000,"&lt;"&amp;'Detalle individual'!C375)*10000+ROW(),""))</f>
        <v/>
      </c>
      <c r="AB375" t="str">
        <f>IF('Detalle individual'!C375="","",IF(COUNTIF('Detalle individual'!$C$5:C375,'Detalle individual'!C375)=1,COUNTIF('Detalle individual'!$C$5:$C$1000,"&lt;"&amp;'Detalle individual'!C375),""))</f>
        <v/>
      </c>
      <c r="AC375" t="str">
        <f>IF('Detalle individual'!D375="","",IF(COUNTIF('Detalle individual'!$D$5:D375,'Detalle individual'!D375)=1,COUNTIF('Detalle individual'!$D$5:$D$1000,"&lt;"&amp;'Detalle individual'!D375),""))</f>
        <v/>
      </c>
      <c r="AH375" t="str">
        <f>IF('Detalle individual'!F375="Pendiente",COUNTIF('Detalle individual'!$D$5:$D$1000,"&lt;"&amp;'Detalle individual'!D375)*1000000+COUNTIF('Detalle individual'!$C$5:$C$1000,"&lt;"&amp;'Detalle individual'!C375)*1000+COUNTIF('Detalle individual'!$B$5:$B$1000,"&lt;"&amp;'Detalle individual'!B375)+ROW()/10000,"")</f>
        <v/>
      </c>
      <c r="AI375" t="str">
        <f>IF('Detalle individual'!F375="Completado",COUNTIF('Detalle individual'!$D$5:$D$1000,"&lt;"&amp;'Detalle individual'!D375)*1000000+COUNTIF('Detalle individual'!$C$5:$C$1000,"&lt;"&amp;'Detalle individual'!C375)*1000+COUNTIF('Detalle individual'!$B$5:$B$1000,"&lt;"&amp;'Detalle individual'!B375)+ROW()/10000,"")</f>
        <v/>
      </c>
      <c r="AJ375" t="str">
        <f>IF(AND('Detalle individual'!F375&lt;&gt;"",'Detalle individual'!F375&lt;&gt;"Completado",'Detalle individual'!F375&lt;&gt;"Pendiente"),COUNTIF('Detalle individual'!$D$5:$D$1000,"&lt;"&amp;'Detalle individual'!D375)*1000000+COUNTIF('Detalle individual'!$C$5:$C$1000,"&lt;"&amp;'Detalle individual'!C375)*1000+COUNTIF('Detalle individual'!$B$5:$B$1000,"&lt;"&amp;'Detalle individual'!B375)+ROW()/10000,"")</f>
        <v/>
      </c>
      <c r="AK375" t="str">
        <f>IF(OR('Base Exámenes'!C375="",'Base Exámenes'!D375=""),"",IF(COUNTIF('Base Exámenes'!$C$5:C375,'Base Exámenes'!C375)=1,'Base Exámenes'!D375+ROW()/1000000000,""))</f>
        <v/>
      </c>
      <c r="AL375" t="str">
        <f>IF(OR('Base Exámenes'!C375="",'Base Exámenes'!E375=""),"",IF(COUNTIF('Base Exámenes'!$C$5:C375,'Base Exámenes'!C375)=1,'Base Exámenes'!E375+ROW()/1000000000,""))</f>
        <v/>
      </c>
      <c r="AM375" t="str">
        <f>IF(OR('Base Exámenes'!C375="",'Base Exámenes'!G375=""),"",IF(ROW()-4=MATCH('Base Exámenes'!C375&amp;"|"&amp;_xlfn.MAXIFS('Base Exámenes'!$G$5:$G$1000,'Base Exámenes'!$C$5:$C$1000,'Base Exámenes'!C375),'Base Exámenes'!$I$5:$I$1000,0),'Base Exámenes'!G375*1000000+(-1)*'Base Exámenes'!D375,""))</f>
        <v/>
      </c>
      <c r="AQ375" t="str">
        <f>IF('Base Exámenes'!C375="","",IF(COUNTIF('Base Exámenes'!$C$5:$C$1000,'Base Exámenes'!C375)&lt;2,"",MATCH('Base Exámenes'!C375,'Base Exámenes'!$C$5:$C$1000,0)*10000+ROW()))</f>
        <v/>
      </c>
    </row>
    <row r="376">
      <c r="Z376" t="str">
        <f>IF('Detalle individual'!A376="","",IF(AND(OR('Estado por Colaborador'!$D$4="Todas las gerencias",'Detalle individual'!D376='Estado por Colaborador'!$D$4),OR('Estado por Colaborador'!$D$5="Todos los departamentos",TRIM('Detalle individual'!C376)='Estado por Colaborador'!$D$5),OR('Estado por Colaborador'!$D$6="Todos",'Detalle individual'!F376='Estado por Colaborador'!$D$6)),IF('Detalle individual'!F376="Completado",30000000,IF('Detalle individual'!F376="Pendiente",0,15000000))+COUNTIF('Detalle individual'!$C$5:$C$1000,"&lt;"&amp;'Detalle individual'!C376)*10000+ROW(),""))</f>
        <v/>
      </c>
      <c r="AB376" t="str">
        <f>IF('Detalle individual'!C376="","",IF(COUNTIF('Detalle individual'!$C$5:C376,'Detalle individual'!C376)=1,COUNTIF('Detalle individual'!$C$5:$C$1000,"&lt;"&amp;'Detalle individual'!C376),""))</f>
        <v/>
      </c>
      <c r="AC376" t="str">
        <f>IF('Detalle individual'!D376="","",IF(COUNTIF('Detalle individual'!$D$5:D376,'Detalle individual'!D376)=1,COUNTIF('Detalle individual'!$D$5:$D$1000,"&lt;"&amp;'Detalle individual'!D376),""))</f>
        <v/>
      </c>
      <c r="AH376" t="str">
        <f>IF('Detalle individual'!F376="Pendiente",COUNTIF('Detalle individual'!$D$5:$D$1000,"&lt;"&amp;'Detalle individual'!D376)*1000000+COUNTIF('Detalle individual'!$C$5:$C$1000,"&lt;"&amp;'Detalle individual'!C376)*1000+COUNTIF('Detalle individual'!$B$5:$B$1000,"&lt;"&amp;'Detalle individual'!B376)+ROW()/10000,"")</f>
        <v/>
      </c>
      <c r="AI376" t="str">
        <f>IF('Detalle individual'!F376="Completado",COUNTIF('Detalle individual'!$D$5:$D$1000,"&lt;"&amp;'Detalle individual'!D376)*1000000+COUNTIF('Detalle individual'!$C$5:$C$1000,"&lt;"&amp;'Detalle individual'!C376)*1000+COUNTIF('Detalle individual'!$B$5:$B$1000,"&lt;"&amp;'Detalle individual'!B376)+ROW()/10000,"")</f>
        <v/>
      </c>
      <c r="AJ376" t="str">
        <f>IF(AND('Detalle individual'!F376&lt;&gt;"",'Detalle individual'!F376&lt;&gt;"Completado",'Detalle individual'!F376&lt;&gt;"Pendiente"),COUNTIF('Detalle individual'!$D$5:$D$1000,"&lt;"&amp;'Detalle individual'!D376)*1000000+COUNTIF('Detalle individual'!$C$5:$C$1000,"&lt;"&amp;'Detalle individual'!C376)*1000+COUNTIF('Detalle individual'!$B$5:$B$1000,"&lt;"&amp;'Detalle individual'!B376)+ROW()/10000,"")</f>
        <v/>
      </c>
      <c r="AK376" t="str">
        <f>IF(OR('Base Exámenes'!C376="",'Base Exámenes'!D376=""),"",IF(COUNTIF('Base Exámenes'!$C$5:C376,'Base Exámenes'!C376)=1,'Base Exámenes'!D376+ROW()/1000000000,""))</f>
        <v/>
      </c>
      <c r="AL376" t="str">
        <f>IF(OR('Base Exámenes'!C376="",'Base Exámenes'!E376=""),"",IF(COUNTIF('Base Exámenes'!$C$5:C376,'Base Exámenes'!C376)=1,'Base Exámenes'!E376+ROW()/1000000000,""))</f>
        <v/>
      </c>
      <c r="AM376" t="str">
        <f>IF(OR('Base Exámenes'!C376="",'Base Exámenes'!G376=""),"",IF(ROW()-4=MATCH('Base Exámenes'!C376&amp;"|"&amp;_xlfn.MAXIFS('Base Exámenes'!$G$5:$G$1000,'Base Exámenes'!$C$5:$C$1000,'Base Exámenes'!C376),'Base Exámenes'!$I$5:$I$1000,0),'Base Exámenes'!G376*1000000+(-1)*'Base Exámenes'!D376,""))</f>
        <v/>
      </c>
      <c r="AQ376" t="str">
        <f>IF('Base Exámenes'!C376="","",IF(COUNTIF('Base Exámenes'!$C$5:$C$1000,'Base Exámenes'!C376)&lt;2,"",MATCH('Base Exámenes'!C376,'Base Exámenes'!$C$5:$C$1000,0)*10000+ROW()))</f>
        <v/>
      </c>
    </row>
    <row r="377">
      <c r="Z377" t="str">
        <f>IF('Detalle individual'!A377="","",IF(AND(OR('Estado por Colaborador'!$D$4="Todas las gerencias",'Detalle individual'!D377='Estado por Colaborador'!$D$4),OR('Estado por Colaborador'!$D$5="Todos los departamentos",TRIM('Detalle individual'!C377)='Estado por Colaborador'!$D$5),OR('Estado por Colaborador'!$D$6="Todos",'Detalle individual'!F377='Estado por Colaborador'!$D$6)),IF('Detalle individual'!F377="Completado",30000000,IF('Detalle individual'!F377="Pendiente",0,15000000))+COUNTIF('Detalle individual'!$C$5:$C$1000,"&lt;"&amp;'Detalle individual'!C377)*10000+ROW(),""))</f>
        <v/>
      </c>
      <c r="AB377" t="str">
        <f>IF('Detalle individual'!C377="","",IF(COUNTIF('Detalle individual'!$C$5:C377,'Detalle individual'!C377)=1,COUNTIF('Detalle individual'!$C$5:$C$1000,"&lt;"&amp;'Detalle individual'!C377),""))</f>
        <v/>
      </c>
      <c r="AC377" t="str">
        <f>IF('Detalle individual'!D377="","",IF(COUNTIF('Detalle individual'!$D$5:D377,'Detalle individual'!D377)=1,COUNTIF('Detalle individual'!$D$5:$D$1000,"&lt;"&amp;'Detalle individual'!D377),""))</f>
        <v/>
      </c>
      <c r="AH377" t="str">
        <f>IF('Detalle individual'!F377="Pendiente",COUNTIF('Detalle individual'!$D$5:$D$1000,"&lt;"&amp;'Detalle individual'!D377)*1000000+COUNTIF('Detalle individual'!$C$5:$C$1000,"&lt;"&amp;'Detalle individual'!C377)*1000+COUNTIF('Detalle individual'!$B$5:$B$1000,"&lt;"&amp;'Detalle individual'!B377)+ROW()/10000,"")</f>
        <v/>
      </c>
      <c r="AI377" t="str">
        <f>IF('Detalle individual'!F377="Completado",COUNTIF('Detalle individual'!$D$5:$D$1000,"&lt;"&amp;'Detalle individual'!D377)*1000000+COUNTIF('Detalle individual'!$C$5:$C$1000,"&lt;"&amp;'Detalle individual'!C377)*1000+COUNTIF('Detalle individual'!$B$5:$B$1000,"&lt;"&amp;'Detalle individual'!B377)+ROW()/10000,"")</f>
        <v/>
      </c>
      <c r="AJ377" t="str">
        <f>IF(AND('Detalle individual'!F377&lt;&gt;"",'Detalle individual'!F377&lt;&gt;"Completado",'Detalle individual'!F377&lt;&gt;"Pendiente"),COUNTIF('Detalle individual'!$D$5:$D$1000,"&lt;"&amp;'Detalle individual'!D377)*1000000+COUNTIF('Detalle individual'!$C$5:$C$1000,"&lt;"&amp;'Detalle individual'!C377)*1000+COUNTIF('Detalle individual'!$B$5:$B$1000,"&lt;"&amp;'Detalle individual'!B377)+ROW()/10000,"")</f>
        <v/>
      </c>
      <c r="AK377" t="str">
        <f>IF(OR('Base Exámenes'!C377="",'Base Exámenes'!D377=""),"",IF(COUNTIF('Base Exámenes'!$C$5:C377,'Base Exámenes'!C377)=1,'Base Exámenes'!D377+ROW()/1000000000,""))</f>
        <v/>
      </c>
      <c r="AL377" t="str">
        <f>IF(OR('Base Exámenes'!C377="",'Base Exámenes'!E377=""),"",IF(COUNTIF('Base Exámenes'!$C$5:C377,'Base Exámenes'!C377)=1,'Base Exámenes'!E377+ROW()/1000000000,""))</f>
        <v/>
      </c>
      <c r="AM377" t="str">
        <f>IF(OR('Base Exámenes'!C377="",'Base Exámenes'!G377=""),"",IF(ROW()-4=MATCH('Base Exámenes'!C377&amp;"|"&amp;_xlfn.MAXIFS('Base Exámenes'!$G$5:$G$1000,'Base Exámenes'!$C$5:$C$1000,'Base Exámenes'!C377),'Base Exámenes'!$I$5:$I$1000,0),'Base Exámenes'!G377*1000000+(-1)*'Base Exámenes'!D377,""))</f>
        <v/>
      </c>
      <c r="AQ377" t="str">
        <f>IF('Base Exámenes'!C377="","",IF(COUNTIF('Base Exámenes'!$C$5:$C$1000,'Base Exámenes'!C377)&lt;2,"",MATCH('Base Exámenes'!C377,'Base Exámenes'!$C$5:$C$1000,0)*10000+ROW()))</f>
        <v/>
      </c>
    </row>
    <row r="378">
      <c r="Z378" t="str">
        <f>IF('Detalle individual'!A378="","",IF(AND(OR('Estado por Colaborador'!$D$4="Todas las gerencias",'Detalle individual'!D378='Estado por Colaborador'!$D$4),OR('Estado por Colaborador'!$D$5="Todos los departamentos",TRIM('Detalle individual'!C378)='Estado por Colaborador'!$D$5),OR('Estado por Colaborador'!$D$6="Todos",'Detalle individual'!F378='Estado por Colaborador'!$D$6)),IF('Detalle individual'!F378="Completado",30000000,IF('Detalle individual'!F378="Pendiente",0,15000000))+COUNTIF('Detalle individual'!$C$5:$C$1000,"&lt;"&amp;'Detalle individual'!C378)*10000+ROW(),""))</f>
        <v/>
      </c>
      <c r="AB378" t="str">
        <f>IF('Detalle individual'!C378="","",IF(COUNTIF('Detalle individual'!$C$5:C378,'Detalle individual'!C378)=1,COUNTIF('Detalle individual'!$C$5:$C$1000,"&lt;"&amp;'Detalle individual'!C378),""))</f>
        <v/>
      </c>
      <c r="AC378" t="str">
        <f>IF('Detalle individual'!D378="","",IF(COUNTIF('Detalle individual'!$D$5:D378,'Detalle individual'!D378)=1,COUNTIF('Detalle individual'!$D$5:$D$1000,"&lt;"&amp;'Detalle individual'!D378),""))</f>
        <v/>
      </c>
      <c r="AH378" t="str">
        <f>IF('Detalle individual'!F378="Pendiente",COUNTIF('Detalle individual'!$D$5:$D$1000,"&lt;"&amp;'Detalle individual'!D378)*1000000+COUNTIF('Detalle individual'!$C$5:$C$1000,"&lt;"&amp;'Detalle individual'!C378)*1000+COUNTIF('Detalle individual'!$B$5:$B$1000,"&lt;"&amp;'Detalle individual'!B378)+ROW()/10000,"")</f>
        <v/>
      </c>
      <c r="AI378" t="str">
        <f>IF('Detalle individual'!F378="Completado",COUNTIF('Detalle individual'!$D$5:$D$1000,"&lt;"&amp;'Detalle individual'!D378)*1000000+COUNTIF('Detalle individual'!$C$5:$C$1000,"&lt;"&amp;'Detalle individual'!C378)*1000+COUNTIF('Detalle individual'!$B$5:$B$1000,"&lt;"&amp;'Detalle individual'!B378)+ROW()/10000,"")</f>
        <v/>
      </c>
      <c r="AJ378" t="str">
        <f>IF(AND('Detalle individual'!F378&lt;&gt;"",'Detalle individual'!F378&lt;&gt;"Completado",'Detalle individual'!F378&lt;&gt;"Pendiente"),COUNTIF('Detalle individual'!$D$5:$D$1000,"&lt;"&amp;'Detalle individual'!D378)*1000000+COUNTIF('Detalle individual'!$C$5:$C$1000,"&lt;"&amp;'Detalle individual'!C378)*1000+COUNTIF('Detalle individual'!$B$5:$B$1000,"&lt;"&amp;'Detalle individual'!B378)+ROW()/10000,"")</f>
        <v/>
      </c>
      <c r="AK378" t="str">
        <f>IF(OR('Base Exámenes'!C378="",'Base Exámenes'!D378=""),"",IF(COUNTIF('Base Exámenes'!$C$5:C378,'Base Exámenes'!C378)=1,'Base Exámenes'!D378+ROW()/1000000000,""))</f>
        <v/>
      </c>
      <c r="AL378" t="str">
        <f>IF(OR('Base Exámenes'!C378="",'Base Exámenes'!E378=""),"",IF(COUNTIF('Base Exámenes'!$C$5:C378,'Base Exámenes'!C378)=1,'Base Exámenes'!E378+ROW()/1000000000,""))</f>
        <v/>
      </c>
      <c r="AM378" t="str">
        <f>IF(OR('Base Exámenes'!C378="",'Base Exámenes'!G378=""),"",IF(ROW()-4=MATCH('Base Exámenes'!C378&amp;"|"&amp;_xlfn.MAXIFS('Base Exámenes'!$G$5:$G$1000,'Base Exámenes'!$C$5:$C$1000,'Base Exámenes'!C378),'Base Exámenes'!$I$5:$I$1000,0),'Base Exámenes'!G378*1000000+(-1)*'Base Exámenes'!D378,""))</f>
        <v/>
      </c>
      <c r="AQ378" t="str">
        <f>IF('Base Exámenes'!C378="","",IF(COUNTIF('Base Exámenes'!$C$5:$C$1000,'Base Exámenes'!C378)&lt;2,"",MATCH('Base Exámenes'!C378,'Base Exámenes'!$C$5:$C$1000,0)*10000+ROW()))</f>
        <v/>
      </c>
    </row>
    <row r="379">
      <c r="Z379" t="str">
        <f>IF('Detalle individual'!A379="","",IF(AND(OR('Estado por Colaborador'!$D$4="Todas las gerencias",'Detalle individual'!D379='Estado por Colaborador'!$D$4),OR('Estado por Colaborador'!$D$5="Todos los departamentos",TRIM('Detalle individual'!C379)='Estado por Colaborador'!$D$5),OR('Estado por Colaborador'!$D$6="Todos",'Detalle individual'!F379='Estado por Colaborador'!$D$6)),IF('Detalle individual'!F379="Completado",30000000,IF('Detalle individual'!F379="Pendiente",0,15000000))+COUNTIF('Detalle individual'!$C$5:$C$1000,"&lt;"&amp;'Detalle individual'!C379)*10000+ROW(),""))</f>
        <v/>
      </c>
      <c r="AB379" t="str">
        <f>IF('Detalle individual'!C379="","",IF(COUNTIF('Detalle individual'!$C$5:C379,'Detalle individual'!C379)=1,COUNTIF('Detalle individual'!$C$5:$C$1000,"&lt;"&amp;'Detalle individual'!C379),""))</f>
        <v/>
      </c>
      <c r="AC379" t="str">
        <f>IF('Detalle individual'!D379="","",IF(COUNTIF('Detalle individual'!$D$5:D379,'Detalle individual'!D379)=1,COUNTIF('Detalle individual'!$D$5:$D$1000,"&lt;"&amp;'Detalle individual'!D379),""))</f>
        <v/>
      </c>
      <c r="AH379" t="str">
        <f>IF('Detalle individual'!F379="Pendiente",COUNTIF('Detalle individual'!$D$5:$D$1000,"&lt;"&amp;'Detalle individual'!D379)*1000000+COUNTIF('Detalle individual'!$C$5:$C$1000,"&lt;"&amp;'Detalle individual'!C379)*1000+COUNTIF('Detalle individual'!$B$5:$B$1000,"&lt;"&amp;'Detalle individual'!B379)+ROW()/10000,"")</f>
        <v/>
      </c>
      <c r="AI379" t="str">
        <f>IF('Detalle individual'!F379="Completado",COUNTIF('Detalle individual'!$D$5:$D$1000,"&lt;"&amp;'Detalle individual'!D379)*1000000+COUNTIF('Detalle individual'!$C$5:$C$1000,"&lt;"&amp;'Detalle individual'!C379)*1000+COUNTIF('Detalle individual'!$B$5:$B$1000,"&lt;"&amp;'Detalle individual'!B379)+ROW()/10000,"")</f>
        <v/>
      </c>
      <c r="AJ379" t="str">
        <f>IF(AND('Detalle individual'!F379&lt;&gt;"",'Detalle individual'!F379&lt;&gt;"Completado",'Detalle individual'!F379&lt;&gt;"Pendiente"),COUNTIF('Detalle individual'!$D$5:$D$1000,"&lt;"&amp;'Detalle individual'!D379)*1000000+COUNTIF('Detalle individual'!$C$5:$C$1000,"&lt;"&amp;'Detalle individual'!C379)*1000+COUNTIF('Detalle individual'!$B$5:$B$1000,"&lt;"&amp;'Detalle individual'!B379)+ROW()/10000,"")</f>
        <v/>
      </c>
      <c r="AK379" t="str">
        <f>IF(OR('Base Exámenes'!C379="",'Base Exámenes'!D379=""),"",IF(COUNTIF('Base Exámenes'!$C$5:C379,'Base Exámenes'!C379)=1,'Base Exámenes'!D379+ROW()/1000000000,""))</f>
        <v/>
      </c>
      <c r="AL379" t="str">
        <f>IF(OR('Base Exámenes'!C379="",'Base Exámenes'!E379=""),"",IF(COUNTIF('Base Exámenes'!$C$5:C379,'Base Exámenes'!C379)=1,'Base Exámenes'!E379+ROW()/1000000000,""))</f>
        <v/>
      </c>
      <c r="AM379" t="str">
        <f>IF(OR('Base Exámenes'!C379="",'Base Exámenes'!G379=""),"",IF(ROW()-4=MATCH('Base Exámenes'!C379&amp;"|"&amp;_xlfn.MAXIFS('Base Exámenes'!$G$5:$G$1000,'Base Exámenes'!$C$5:$C$1000,'Base Exámenes'!C379),'Base Exámenes'!$I$5:$I$1000,0),'Base Exámenes'!G379*1000000+(-1)*'Base Exámenes'!D379,""))</f>
        <v/>
      </c>
      <c r="AQ379" t="str">
        <f>IF('Base Exámenes'!C379="","",IF(COUNTIF('Base Exámenes'!$C$5:$C$1000,'Base Exámenes'!C379)&lt;2,"",MATCH('Base Exámenes'!C379,'Base Exámenes'!$C$5:$C$1000,0)*10000+ROW()))</f>
        <v/>
      </c>
    </row>
    <row r="380">
      <c r="Z380" t="str">
        <f>IF('Detalle individual'!A380="","",IF(AND(OR('Estado por Colaborador'!$D$4="Todas las gerencias",'Detalle individual'!D380='Estado por Colaborador'!$D$4),OR('Estado por Colaborador'!$D$5="Todos los departamentos",TRIM('Detalle individual'!C380)='Estado por Colaborador'!$D$5),OR('Estado por Colaborador'!$D$6="Todos",'Detalle individual'!F380='Estado por Colaborador'!$D$6)),IF('Detalle individual'!F380="Completado",30000000,IF('Detalle individual'!F380="Pendiente",0,15000000))+COUNTIF('Detalle individual'!$C$5:$C$1000,"&lt;"&amp;'Detalle individual'!C380)*10000+ROW(),""))</f>
        <v/>
      </c>
      <c r="AB380" t="str">
        <f>IF('Detalle individual'!C380="","",IF(COUNTIF('Detalle individual'!$C$5:C380,'Detalle individual'!C380)=1,COUNTIF('Detalle individual'!$C$5:$C$1000,"&lt;"&amp;'Detalle individual'!C380),""))</f>
        <v/>
      </c>
      <c r="AC380" t="str">
        <f>IF('Detalle individual'!D380="","",IF(COUNTIF('Detalle individual'!$D$5:D380,'Detalle individual'!D380)=1,COUNTIF('Detalle individual'!$D$5:$D$1000,"&lt;"&amp;'Detalle individual'!D380),""))</f>
        <v/>
      </c>
      <c r="AH380" t="str">
        <f>IF('Detalle individual'!F380="Pendiente",COUNTIF('Detalle individual'!$D$5:$D$1000,"&lt;"&amp;'Detalle individual'!D380)*1000000+COUNTIF('Detalle individual'!$C$5:$C$1000,"&lt;"&amp;'Detalle individual'!C380)*1000+COUNTIF('Detalle individual'!$B$5:$B$1000,"&lt;"&amp;'Detalle individual'!B380)+ROW()/10000,"")</f>
        <v/>
      </c>
      <c r="AI380" t="str">
        <f>IF('Detalle individual'!F380="Completado",COUNTIF('Detalle individual'!$D$5:$D$1000,"&lt;"&amp;'Detalle individual'!D380)*1000000+COUNTIF('Detalle individual'!$C$5:$C$1000,"&lt;"&amp;'Detalle individual'!C380)*1000+COUNTIF('Detalle individual'!$B$5:$B$1000,"&lt;"&amp;'Detalle individual'!B380)+ROW()/10000,"")</f>
        <v/>
      </c>
      <c r="AJ380" t="str">
        <f>IF(AND('Detalle individual'!F380&lt;&gt;"",'Detalle individual'!F380&lt;&gt;"Completado",'Detalle individual'!F380&lt;&gt;"Pendiente"),COUNTIF('Detalle individual'!$D$5:$D$1000,"&lt;"&amp;'Detalle individual'!D380)*1000000+COUNTIF('Detalle individual'!$C$5:$C$1000,"&lt;"&amp;'Detalle individual'!C380)*1000+COUNTIF('Detalle individual'!$B$5:$B$1000,"&lt;"&amp;'Detalle individual'!B380)+ROW()/10000,"")</f>
        <v/>
      </c>
      <c r="AK380" t="str">
        <f>IF(OR('Base Exámenes'!C380="",'Base Exámenes'!D380=""),"",IF(COUNTIF('Base Exámenes'!$C$5:C380,'Base Exámenes'!C380)=1,'Base Exámenes'!D380+ROW()/1000000000,""))</f>
        <v/>
      </c>
      <c r="AL380" t="str">
        <f>IF(OR('Base Exámenes'!C380="",'Base Exámenes'!E380=""),"",IF(COUNTIF('Base Exámenes'!$C$5:C380,'Base Exámenes'!C380)=1,'Base Exámenes'!E380+ROW()/1000000000,""))</f>
        <v/>
      </c>
      <c r="AM380" t="str">
        <f>IF(OR('Base Exámenes'!C380="",'Base Exámenes'!G380=""),"",IF(ROW()-4=MATCH('Base Exámenes'!C380&amp;"|"&amp;_xlfn.MAXIFS('Base Exámenes'!$G$5:$G$1000,'Base Exámenes'!$C$5:$C$1000,'Base Exámenes'!C380),'Base Exámenes'!$I$5:$I$1000,0),'Base Exámenes'!G380*1000000+(-1)*'Base Exámenes'!D380,""))</f>
        <v/>
      </c>
      <c r="AQ380" t="str">
        <f>IF('Base Exámenes'!C380="","",IF(COUNTIF('Base Exámenes'!$C$5:$C$1000,'Base Exámenes'!C380)&lt;2,"",MATCH('Base Exámenes'!C380,'Base Exámenes'!$C$5:$C$1000,0)*10000+ROW()))</f>
        <v/>
      </c>
    </row>
    <row r="381">
      <c r="Z381" t="str">
        <f>IF('Detalle individual'!A381="","",IF(AND(OR('Estado por Colaborador'!$D$4="Todas las gerencias",'Detalle individual'!D381='Estado por Colaborador'!$D$4),OR('Estado por Colaborador'!$D$5="Todos los departamentos",TRIM('Detalle individual'!C381)='Estado por Colaborador'!$D$5),OR('Estado por Colaborador'!$D$6="Todos",'Detalle individual'!F381='Estado por Colaborador'!$D$6)),IF('Detalle individual'!F381="Completado",30000000,IF('Detalle individual'!F381="Pendiente",0,15000000))+COUNTIF('Detalle individual'!$C$5:$C$1000,"&lt;"&amp;'Detalle individual'!C381)*10000+ROW(),""))</f>
        <v/>
      </c>
      <c r="AB381" t="str">
        <f>IF('Detalle individual'!C381="","",IF(COUNTIF('Detalle individual'!$C$5:C381,'Detalle individual'!C381)=1,COUNTIF('Detalle individual'!$C$5:$C$1000,"&lt;"&amp;'Detalle individual'!C381),""))</f>
        <v/>
      </c>
      <c r="AC381" t="str">
        <f>IF('Detalle individual'!D381="","",IF(COUNTIF('Detalle individual'!$D$5:D381,'Detalle individual'!D381)=1,COUNTIF('Detalle individual'!$D$5:$D$1000,"&lt;"&amp;'Detalle individual'!D381),""))</f>
        <v/>
      </c>
      <c r="AH381" t="str">
        <f>IF('Detalle individual'!F381="Pendiente",COUNTIF('Detalle individual'!$D$5:$D$1000,"&lt;"&amp;'Detalle individual'!D381)*1000000+COUNTIF('Detalle individual'!$C$5:$C$1000,"&lt;"&amp;'Detalle individual'!C381)*1000+COUNTIF('Detalle individual'!$B$5:$B$1000,"&lt;"&amp;'Detalle individual'!B381)+ROW()/10000,"")</f>
        <v/>
      </c>
      <c r="AI381" t="str">
        <f>IF('Detalle individual'!F381="Completado",COUNTIF('Detalle individual'!$D$5:$D$1000,"&lt;"&amp;'Detalle individual'!D381)*1000000+COUNTIF('Detalle individual'!$C$5:$C$1000,"&lt;"&amp;'Detalle individual'!C381)*1000+COUNTIF('Detalle individual'!$B$5:$B$1000,"&lt;"&amp;'Detalle individual'!B381)+ROW()/10000,"")</f>
        <v/>
      </c>
      <c r="AJ381" t="str">
        <f>IF(AND('Detalle individual'!F381&lt;&gt;"",'Detalle individual'!F381&lt;&gt;"Completado",'Detalle individual'!F381&lt;&gt;"Pendiente"),COUNTIF('Detalle individual'!$D$5:$D$1000,"&lt;"&amp;'Detalle individual'!D381)*1000000+COUNTIF('Detalle individual'!$C$5:$C$1000,"&lt;"&amp;'Detalle individual'!C381)*1000+COUNTIF('Detalle individual'!$B$5:$B$1000,"&lt;"&amp;'Detalle individual'!B381)+ROW()/10000,"")</f>
        <v/>
      </c>
      <c r="AK381" t="str">
        <f>IF(OR('Base Exámenes'!C381="",'Base Exámenes'!D381=""),"",IF(COUNTIF('Base Exámenes'!$C$5:C381,'Base Exámenes'!C381)=1,'Base Exámenes'!D381+ROW()/1000000000,""))</f>
        <v/>
      </c>
      <c r="AL381" t="str">
        <f>IF(OR('Base Exámenes'!C381="",'Base Exámenes'!E381=""),"",IF(COUNTIF('Base Exámenes'!$C$5:C381,'Base Exámenes'!C381)=1,'Base Exámenes'!E381+ROW()/1000000000,""))</f>
        <v/>
      </c>
      <c r="AM381" t="str">
        <f>IF(OR('Base Exámenes'!C381="",'Base Exámenes'!G381=""),"",IF(ROW()-4=MATCH('Base Exámenes'!C381&amp;"|"&amp;_xlfn.MAXIFS('Base Exámenes'!$G$5:$G$1000,'Base Exámenes'!$C$5:$C$1000,'Base Exámenes'!C381),'Base Exámenes'!$I$5:$I$1000,0),'Base Exámenes'!G381*1000000+(-1)*'Base Exámenes'!D381,""))</f>
        <v/>
      </c>
      <c r="AQ381" t="str">
        <f>IF('Base Exámenes'!C381="","",IF(COUNTIF('Base Exámenes'!$C$5:$C$1000,'Base Exámenes'!C381)&lt;2,"",MATCH('Base Exámenes'!C381,'Base Exámenes'!$C$5:$C$1000,0)*10000+ROW()))</f>
        <v/>
      </c>
    </row>
    <row r="382">
      <c r="Z382" t="str">
        <f>IF('Detalle individual'!A382="","",IF(AND(OR('Estado por Colaborador'!$D$4="Todas las gerencias",'Detalle individual'!D382='Estado por Colaborador'!$D$4),OR('Estado por Colaborador'!$D$5="Todos los departamentos",TRIM('Detalle individual'!C382)='Estado por Colaborador'!$D$5),OR('Estado por Colaborador'!$D$6="Todos",'Detalle individual'!F382='Estado por Colaborador'!$D$6)),IF('Detalle individual'!F382="Completado",30000000,IF('Detalle individual'!F382="Pendiente",0,15000000))+COUNTIF('Detalle individual'!$C$5:$C$1000,"&lt;"&amp;'Detalle individual'!C382)*10000+ROW(),""))</f>
        <v/>
      </c>
      <c r="AB382" t="str">
        <f>IF('Detalle individual'!C382="","",IF(COUNTIF('Detalle individual'!$C$5:C382,'Detalle individual'!C382)=1,COUNTIF('Detalle individual'!$C$5:$C$1000,"&lt;"&amp;'Detalle individual'!C382),""))</f>
        <v/>
      </c>
      <c r="AC382" t="str">
        <f>IF('Detalle individual'!D382="","",IF(COUNTIF('Detalle individual'!$D$5:D382,'Detalle individual'!D382)=1,COUNTIF('Detalle individual'!$D$5:$D$1000,"&lt;"&amp;'Detalle individual'!D382),""))</f>
        <v/>
      </c>
      <c r="AH382" t="str">
        <f>IF('Detalle individual'!F382="Pendiente",COUNTIF('Detalle individual'!$D$5:$D$1000,"&lt;"&amp;'Detalle individual'!D382)*1000000+COUNTIF('Detalle individual'!$C$5:$C$1000,"&lt;"&amp;'Detalle individual'!C382)*1000+COUNTIF('Detalle individual'!$B$5:$B$1000,"&lt;"&amp;'Detalle individual'!B382)+ROW()/10000,"")</f>
        <v/>
      </c>
      <c r="AI382" t="str">
        <f>IF('Detalle individual'!F382="Completado",COUNTIF('Detalle individual'!$D$5:$D$1000,"&lt;"&amp;'Detalle individual'!D382)*1000000+COUNTIF('Detalle individual'!$C$5:$C$1000,"&lt;"&amp;'Detalle individual'!C382)*1000+COUNTIF('Detalle individual'!$B$5:$B$1000,"&lt;"&amp;'Detalle individual'!B382)+ROW()/10000,"")</f>
        <v/>
      </c>
      <c r="AJ382" t="str">
        <f>IF(AND('Detalle individual'!F382&lt;&gt;"",'Detalle individual'!F382&lt;&gt;"Completado",'Detalle individual'!F382&lt;&gt;"Pendiente"),COUNTIF('Detalle individual'!$D$5:$D$1000,"&lt;"&amp;'Detalle individual'!D382)*1000000+COUNTIF('Detalle individual'!$C$5:$C$1000,"&lt;"&amp;'Detalle individual'!C382)*1000+COUNTIF('Detalle individual'!$B$5:$B$1000,"&lt;"&amp;'Detalle individual'!B382)+ROW()/10000,"")</f>
        <v/>
      </c>
      <c r="AK382" t="str">
        <f>IF(OR('Base Exámenes'!C382="",'Base Exámenes'!D382=""),"",IF(COUNTIF('Base Exámenes'!$C$5:C382,'Base Exámenes'!C382)=1,'Base Exámenes'!D382+ROW()/1000000000,""))</f>
        <v/>
      </c>
      <c r="AL382" t="str">
        <f>IF(OR('Base Exámenes'!C382="",'Base Exámenes'!E382=""),"",IF(COUNTIF('Base Exámenes'!$C$5:C382,'Base Exámenes'!C382)=1,'Base Exámenes'!E382+ROW()/1000000000,""))</f>
        <v/>
      </c>
      <c r="AM382" t="str">
        <f>IF(OR('Base Exámenes'!C382="",'Base Exámenes'!G382=""),"",IF(ROW()-4=MATCH('Base Exámenes'!C382&amp;"|"&amp;_xlfn.MAXIFS('Base Exámenes'!$G$5:$G$1000,'Base Exámenes'!$C$5:$C$1000,'Base Exámenes'!C382),'Base Exámenes'!$I$5:$I$1000,0),'Base Exámenes'!G382*1000000+(-1)*'Base Exámenes'!D382,""))</f>
        <v/>
      </c>
      <c r="AQ382" t="str">
        <f>IF('Base Exámenes'!C382="","",IF(COUNTIF('Base Exámenes'!$C$5:$C$1000,'Base Exámenes'!C382)&lt;2,"",MATCH('Base Exámenes'!C382,'Base Exámenes'!$C$5:$C$1000,0)*10000+ROW()))</f>
        <v/>
      </c>
    </row>
    <row r="383">
      <c r="Z383" t="str">
        <f>IF('Detalle individual'!A383="","",IF(AND(OR('Estado por Colaborador'!$D$4="Todas las gerencias",'Detalle individual'!D383='Estado por Colaborador'!$D$4),OR('Estado por Colaborador'!$D$5="Todos los departamentos",TRIM('Detalle individual'!C383)='Estado por Colaborador'!$D$5),OR('Estado por Colaborador'!$D$6="Todos",'Detalle individual'!F383='Estado por Colaborador'!$D$6)),IF('Detalle individual'!F383="Completado",30000000,IF('Detalle individual'!F383="Pendiente",0,15000000))+COUNTIF('Detalle individual'!$C$5:$C$1000,"&lt;"&amp;'Detalle individual'!C383)*10000+ROW(),""))</f>
        <v/>
      </c>
      <c r="AB383" t="str">
        <f>IF('Detalle individual'!C383="","",IF(COUNTIF('Detalle individual'!$C$5:C383,'Detalle individual'!C383)=1,COUNTIF('Detalle individual'!$C$5:$C$1000,"&lt;"&amp;'Detalle individual'!C383),""))</f>
        <v/>
      </c>
      <c r="AC383" t="str">
        <f>IF('Detalle individual'!D383="","",IF(COUNTIF('Detalle individual'!$D$5:D383,'Detalle individual'!D383)=1,COUNTIF('Detalle individual'!$D$5:$D$1000,"&lt;"&amp;'Detalle individual'!D383),""))</f>
        <v/>
      </c>
      <c r="AH383" t="str">
        <f>IF('Detalle individual'!F383="Pendiente",COUNTIF('Detalle individual'!$D$5:$D$1000,"&lt;"&amp;'Detalle individual'!D383)*1000000+COUNTIF('Detalle individual'!$C$5:$C$1000,"&lt;"&amp;'Detalle individual'!C383)*1000+COUNTIF('Detalle individual'!$B$5:$B$1000,"&lt;"&amp;'Detalle individual'!B383)+ROW()/10000,"")</f>
        <v/>
      </c>
      <c r="AI383" t="str">
        <f>IF('Detalle individual'!F383="Completado",COUNTIF('Detalle individual'!$D$5:$D$1000,"&lt;"&amp;'Detalle individual'!D383)*1000000+COUNTIF('Detalle individual'!$C$5:$C$1000,"&lt;"&amp;'Detalle individual'!C383)*1000+COUNTIF('Detalle individual'!$B$5:$B$1000,"&lt;"&amp;'Detalle individual'!B383)+ROW()/10000,"")</f>
        <v/>
      </c>
      <c r="AJ383" t="str">
        <f>IF(AND('Detalle individual'!F383&lt;&gt;"",'Detalle individual'!F383&lt;&gt;"Completado",'Detalle individual'!F383&lt;&gt;"Pendiente"),COUNTIF('Detalle individual'!$D$5:$D$1000,"&lt;"&amp;'Detalle individual'!D383)*1000000+COUNTIF('Detalle individual'!$C$5:$C$1000,"&lt;"&amp;'Detalle individual'!C383)*1000+COUNTIF('Detalle individual'!$B$5:$B$1000,"&lt;"&amp;'Detalle individual'!B383)+ROW()/10000,"")</f>
        <v/>
      </c>
      <c r="AK383" t="str">
        <f>IF(OR('Base Exámenes'!C383="",'Base Exámenes'!D383=""),"",IF(COUNTIF('Base Exámenes'!$C$5:C383,'Base Exámenes'!C383)=1,'Base Exámenes'!D383+ROW()/1000000000,""))</f>
        <v/>
      </c>
      <c r="AL383" t="str">
        <f>IF(OR('Base Exámenes'!C383="",'Base Exámenes'!E383=""),"",IF(COUNTIF('Base Exámenes'!$C$5:C383,'Base Exámenes'!C383)=1,'Base Exámenes'!E383+ROW()/1000000000,""))</f>
        <v/>
      </c>
      <c r="AM383" t="str">
        <f>IF(OR('Base Exámenes'!C383="",'Base Exámenes'!G383=""),"",IF(ROW()-4=MATCH('Base Exámenes'!C383&amp;"|"&amp;_xlfn.MAXIFS('Base Exámenes'!$G$5:$G$1000,'Base Exámenes'!$C$5:$C$1000,'Base Exámenes'!C383),'Base Exámenes'!$I$5:$I$1000,0),'Base Exámenes'!G383*1000000+(-1)*'Base Exámenes'!D383,""))</f>
        <v/>
      </c>
      <c r="AQ383" t="str">
        <f>IF('Base Exámenes'!C383="","",IF(COUNTIF('Base Exámenes'!$C$5:$C$1000,'Base Exámenes'!C383)&lt;2,"",MATCH('Base Exámenes'!C383,'Base Exámenes'!$C$5:$C$1000,0)*10000+ROW()))</f>
        <v/>
      </c>
    </row>
    <row r="384">
      <c r="Z384" t="str">
        <f>IF('Detalle individual'!A384="","",IF(AND(OR('Estado por Colaborador'!$D$4="Todas las gerencias",'Detalle individual'!D384='Estado por Colaborador'!$D$4),OR('Estado por Colaborador'!$D$5="Todos los departamentos",TRIM('Detalle individual'!C384)='Estado por Colaborador'!$D$5),OR('Estado por Colaborador'!$D$6="Todos",'Detalle individual'!F384='Estado por Colaborador'!$D$6)),IF('Detalle individual'!F384="Completado",30000000,IF('Detalle individual'!F384="Pendiente",0,15000000))+COUNTIF('Detalle individual'!$C$5:$C$1000,"&lt;"&amp;'Detalle individual'!C384)*10000+ROW(),""))</f>
        <v/>
      </c>
      <c r="AB384" t="str">
        <f>IF('Detalle individual'!C384="","",IF(COUNTIF('Detalle individual'!$C$5:C384,'Detalle individual'!C384)=1,COUNTIF('Detalle individual'!$C$5:$C$1000,"&lt;"&amp;'Detalle individual'!C384),""))</f>
        <v/>
      </c>
      <c r="AC384" t="str">
        <f>IF('Detalle individual'!D384="","",IF(COUNTIF('Detalle individual'!$D$5:D384,'Detalle individual'!D384)=1,COUNTIF('Detalle individual'!$D$5:$D$1000,"&lt;"&amp;'Detalle individual'!D384),""))</f>
        <v/>
      </c>
      <c r="AH384" t="str">
        <f>IF('Detalle individual'!F384="Pendiente",COUNTIF('Detalle individual'!$D$5:$D$1000,"&lt;"&amp;'Detalle individual'!D384)*1000000+COUNTIF('Detalle individual'!$C$5:$C$1000,"&lt;"&amp;'Detalle individual'!C384)*1000+COUNTIF('Detalle individual'!$B$5:$B$1000,"&lt;"&amp;'Detalle individual'!B384)+ROW()/10000,"")</f>
        <v/>
      </c>
      <c r="AI384" t="str">
        <f>IF('Detalle individual'!F384="Completado",COUNTIF('Detalle individual'!$D$5:$D$1000,"&lt;"&amp;'Detalle individual'!D384)*1000000+COUNTIF('Detalle individual'!$C$5:$C$1000,"&lt;"&amp;'Detalle individual'!C384)*1000+COUNTIF('Detalle individual'!$B$5:$B$1000,"&lt;"&amp;'Detalle individual'!B384)+ROW()/10000,"")</f>
        <v/>
      </c>
      <c r="AJ384" t="str">
        <f>IF(AND('Detalle individual'!F384&lt;&gt;"",'Detalle individual'!F384&lt;&gt;"Completado",'Detalle individual'!F384&lt;&gt;"Pendiente"),COUNTIF('Detalle individual'!$D$5:$D$1000,"&lt;"&amp;'Detalle individual'!D384)*1000000+COUNTIF('Detalle individual'!$C$5:$C$1000,"&lt;"&amp;'Detalle individual'!C384)*1000+COUNTIF('Detalle individual'!$B$5:$B$1000,"&lt;"&amp;'Detalle individual'!B384)+ROW()/10000,"")</f>
        <v/>
      </c>
      <c r="AK384" t="str">
        <f>IF(OR('Base Exámenes'!C384="",'Base Exámenes'!D384=""),"",IF(COUNTIF('Base Exámenes'!$C$5:C384,'Base Exámenes'!C384)=1,'Base Exámenes'!D384+ROW()/1000000000,""))</f>
        <v/>
      </c>
      <c r="AL384" t="str">
        <f>IF(OR('Base Exámenes'!C384="",'Base Exámenes'!E384=""),"",IF(COUNTIF('Base Exámenes'!$C$5:C384,'Base Exámenes'!C384)=1,'Base Exámenes'!E384+ROW()/1000000000,""))</f>
        <v/>
      </c>
      <c r="AM384" t="str">
        <f>IF(OR('Base Exámenes'!C384="",'Base Exámenes'!G384=""),"",IF(ROW()-4=MATCH('Base Exámenes'!C384&amp;"|"&amp;_xlfn.MAXIFS('Base Exámenes'!$G$5:$G$1000,'Base Exámenes'!$C$5:$C$1000,'Base Exámenes'!C384),'Base Exámenes'!$I$5:$I$1000,0),'Base Exámenes'!G384*1000000+(-1)*'Base Exámenes'!D384,""))</f>
        <v/>
      </c>
      <c r="AQ384" t="str">
        <f>IF('Base Exámenes'!C384="","",IF(COUNTIF('Base Exámenes'!$C$5:$C$1000,'Base Exámenes'!C384)&lt;2,"",MATCH('Base Exámenes'!C384,'Base Exámenes'!$C$5:$C$1000,0)*10000+ROW()))</f>
        <v/>
      </c>
    </row>
    <row r="385">
      <c r="Z385" t="str">
        <f>IF('Detalle individual'!A385="","",IF(AND(OR('Estado por Colaborador'!$D$4="Todas las gerencias",'Detalle individual'!D385='Estado por Colaborador'!$D$4),OR('Estado por Colaborador'!$D$5="Todos los departamentos",TRIM('Detalle individual'!C385)='Estado por Colaborador'!$D$5),OR('Estado por Colaborador'!$D$6="Todos",'Detalle individual'!F385='Estado por Colaborador'!$D$6)),IF('Detalle individual'!F385="Completado",30000000,IF('Detalle individual'!F385="Pendiente",0,15000000))+COUNTIF('Detalle individual'!$C$5:$C$1000,"&lt;"&amp;'Detalle individual'!C385)*10000+ROW(),""))</f>
        <v/>
      </c>
      <c r="AB385" t="str">
        <f>IF('Detalle individual'!C385="","",IF(COUNTIF('Detalle individual'!$C$5:C385,'Detalle individual'!C385)=1,COUNTIF('Detalle individual'!$C$5:$C$1000,"&lt;"&amp;'Detalle individual'!C385),""))</f>
        <v/>
      </c>
      <c r="AC385" t="str">
        <f>IF('Detalle individual'!D385="","",IF(COUNTIF('Detalle individual'!$D$5:D385,'Detalle individual'!D385)=1,COUNTIF('Detalle individual'!$D$5:$D$1000,"&lt;"&amp;'Detalle individual'!D385),""))</f>
        <v/>
      </c>
      <c r="AH385" t="str">
        <f>IF('Detalle individual'!F385="Pendiente",COUNTIF('Detalle individual'!$D$5:$D$1000,"&lt;"&amp;'Detalle individual'!D385)*1000000+COUNTIF('Detalle individual'!$C$5:$C$1000,"&lt;"&amp;'Detalle individual'!C385)*1000+COUNTIF('Detalle individual'!$B$5:$B$1000,"&lt;"&amp;'Detalle individual'!B385)+ROW()/10000,"")</f>
        <v/>
      </c>
      <c r="AI385" t="str">
        <f>IF('Detalle individual'!F385="Completado",COUNTIF('Detalle individual'!$D$5:$D$1000,"&lt;"&amp;'Detalle individual'!D385)*1000000+COUNTIF('Detalle individual'!$C$5:$C$1000,"&lt;"&amp;'Detalle individual'!C385)*1000+COUNTIF('Detalle individual'!$B$5:$B$1000,"&lt;"&amp;'Detalle individual'!B385)+ROW()/10000,"")</f>
        <v/>
      </c>
      <c r="AJ385" t="str">
        <f>IF(AND('Detalle individual'!F385&lt;&gt;"",'Detalle individual'!F385&lt;&gt;"Completado",'Detalle individual'!F385&lt;&gt;"Pendiente"),COUNTIF('Detalle individual'!$D$5:$D$1000,"&lt;"&amp;'Detalle individual'!D385)*1000000+COUNTIF('Detalle individual'!$C$5:$C$1000,"&lt;"&amp;'Detalle individual'!C385)*1000+COUNTIF('Detalle individual'!$B$5:$B$1000,"&lt;"&amp;'Detalle individual'!B385)+ROW()/10000,"")</f>
        <v/>
      </c>
      <c r="AK385" t="str">
        <f>IF(OR('Base Exámenes'!C385="",'Base Exámenes'!D385=""),"",IF(COUNTIF('Base Exámenes'!$C$5:C385,'Base Exámenes'!C385)=1,'Base Exámenes'!D385+ROW()/1000000000,""))</f>
        <v/>
      </c>
      <c r="AL385" t="str">
        <f>IF(OR('Base Exámenes'!C385="",'Base Exámenes'!E385=""),"",IF(COUNTIF('Base Exámenes'!$C$5:C385,'Base Exámenes'!C385)=1,'Base Exámenes'!E385+ROW()/1000000000,""))</f>
        <v/>
      </c>
      <c r="AM385" t="str">
        <f>IF(OR('Base Exámenes'!C385="",'Base Exámenes'!G385=""),"",IF(ROW()-4=MATCH('Base Exámenes'!C385&amp;"|"&amp;_xlfn.MAXIFS('Base Exámenes'!$G$5:$G$1000,'Base Exámenes'!$C$5:$C$1000,'Base Exámenes'!C385),'Base Exámenes'!$I$5:$I$1000,0),'Base Exámenes'!G385*1000000+(-1)*'Base Exámenes'!D385,""))</f>
        <v/>
      </c>
      <c r="AQ385" t="str">
        <f>IF('Base Exámenes'!C385="","",IF(COUNTIF('Base Exámenes'!$C$5:$C$1000,'Base Exámenes'!C385)&lt;2,"",MATCH('Base Exámenes'!C385,'Base Exámenes'!$C$5:$C$1000,0)*10000+ROW()))</f>
        <v/>
      </c>
    </row>
    <row r="386">
      <c r="Z386" t="str">
        <f>IF('Detalle individual'!A386="","",IF(AND(OR('Estado por Colaborador'!$D$4="Todas las gerencias",'Detalle individual'!D386='Estado por Colaborador'!$D$4),OR('Estado por Colaborador'!$D$5="Todos los departamentos",TRIM('Detalle individual'!C386)='Estado por Colaborador'!$D$5),OR('Estado por Colaborador'!$D$6="Todos",'Detalle individual'!F386='Estado por Colaborador'!$D$6)),IF('Detalle individual'!F386="Completado",30000000,IF('Detalle individual'!F386="Pendiente",0,15000000))+COUNTIF('Detalle individual'!$C$5:$C$1000,"&lt;"&amp;'Detalle individual'!C386)*10000+ROW(),""))</f>
        <v/>
      </c>
      <c r="AB386" t="str">
        <f>IF('Detalle individual'!C386="","",IF(COUNTIF('Detalle individual'!$C$5:C386,'Detalle individual'!C386)=1,COUNTIF('Detalle individual'!$C$5:$C$1000,"&lt;"&amp;'Detalle individual'!C386),""))</f>
        <v/>
      </c>
      <c r="AC386" t="str">
        <f>IF('Detalle individual'!D386="","",IF(COUNTIF('Detalle individual'!$D$5:D386,'Detalle individual'!D386)=1,COUNTIF('Detalle individual'!$D$5:$D$1000,"&lt;"&amp;'Detalle individual'!D386),""))</f>
        <v/>
      </c>
      <c r="AH386" t="str">
        <f>IF('Detalle individual'!F386="Pendiente",COUNTIF('Detalle individual'!$D$5:$D$1000,"&lt;"&amp;'Detalle individual'!D386)*1000000+COUNTIF('Detalle individual'!$C$5:$C$1000,"&lt;"&amp;'Detalle individual'!C386)*1000+COUNTIF('Detalle individual'!$B$5:$B$1000,"&lt;"&amp;'Detalle individual'!B386)+ROW()/10000,"")</f>
        <v/>
      </c>
      <c r="AI386" t="str">
        <f>IF('Detalle individual'!F386="Completado",COUNTIF('Detalle individual'!$D$5:$D$1000,"&lt;"&amp;'Detalle individual'!D386)*1000000+COUNTIF('Detalle individual'!$C$5:$C$1000,"&lt;"&amp;'Detalle individual'!C386)*1000+COUNTIF('Detalle individual'!$B$5:$B$1000,"&lt;"&amp;'Detalle individual'!B386)+ROW()/10000,"")</f>
        <v/>
      </c>
      <c r="AJ386" t="str">
        <f>IF(AND('Detalle individual'!F386&lt;&gt;"",'Detalle individual'!F386&lt;&gt;"Completado",'Detalle individual'!F386&lt;&gt;"Pendiente"),COUNTIF('Detalle individual'!$D$5:$D$1000,"&lt;"&amp;'Detalle individual'!D386)*1000000+COUNTIF('Detalle individual'!$C$5:$C$1000,"&lt;"&amp;'Detalle individual'!C386)*1000+COUNTIF('Detalle individual'!$B$5:$B$1000,"&lt;"&amp;'Detalle individual'!B386)+ROW()/10000,"")</f>
        <v/>
      </c>
      <c r="AK386" t="str">
        <f>IF(OR('Base Exámenes'!C386="",'Base Exámenes'!D386=""),"",IF(COUNTIF('Base Exámenes'!$C$5:C386,'Base Exámenes'!C386)=1,'Base Exámenes'!D386+ROW()/1000000000,""))</f>
        <v/>
      </c>
      <c r="AL386" t="str">
        <f>IF(OR('Base Exámenes'!C386="",'Base Exámenes'!E386=""),"",IF(COUNTIF('Base Exámenes'!$C$5:C386,'Base Exámenes'!C386)=1,'Base Exámenes'!E386+ROW()/1000000000,""))</f>
        <v/>
      </c>
      <c r="AM386" t="str">
        <f>IF(OR('Base Exámenes'!C386="",'Base Exámenes'!G386=""),"",IF(ROW()-4=MATCH('Base Exámenes'!C386&amp;"|"&amp;_xlfn.MAXIFS('Base Exámenes'!$G$5:$G$1000,'Base Exámenes'!$C$5:$C$1000,'Base Exámenes'!C386),'Base Exámenes'!$I$5:$I$1000,0),'Base Exámenes'!G386*1000000+(-1)*'Base Exámenes'!D386,""))</f>
        <v/>
      </c>
      <c r="AQ386" t="str">
        <f>IF('Base Exámenes'!C386="","",IF(COUNTIF('Base Exámenes'!$C$5:$C$1000,'Base Exámenes'!C386)&lt;2,"",MATCH('Base Exámenes'!C386,'Base Exámenes'!$C$5:$C$1000,0)*10000+ROW()))</f>
        <v/>
      </c>
    </row>
    <row r="387">
      <c r="Z387" t="str">
        <f>IF('Detalle individual'!A387="","",IF(AND(OR('Estado por Colaborador'!$D$4="Todas las gerencias",'Detalle individual'!D387='Estado por Colaborador'!$D$4),OR('Estado por Colaborador'!$D$5="Todos los departamentos",TRIM('Detalle individual'!C387)='Estado por Colaborador'!$D$5),OR('Estado por Colaborador'!$D$6="Todos",'Detalle individual'!F387='Estado por Colaborador'!$D$6)),IF('Detalle individual'!F387="Completado",30000000,IF('Detalle individual'!F387="Pendiente",0,15000000))+COUNTIF('Detalle individual'!$C$5:$C$1000,"&lt;"&amp;'Detalle individual'!C387)*10000+ROW(),""))</f>
        <v/>
      </c>
      <c r="AB387" t="str">
        <f>IF('Detalle individual'!C387="","",IF(COUNTIF('Detalle individual'!$C$5:C387,'Detalle individual'!C387)=1,COUNTIF('Detalle individual'!$C$5:$C$1000,"&lt;"&amp;'Detalle individual'!C387),""))</f>
        <v/>
      </c>
      <c r="AC387" t="str">
        <f>IF('Detalle individual'!D387="","",IF(COUNTIF('Detalle individual'!$D$5:D387,'Detalle individual'!D387)=1,COUNTIF('Detalle individual'!$D$5:$D$1000,"&lt;"&amp;'Detalle individual'!D387),""))</f>
        <v/>
      </c>
      <c r="AH387" t="str">
        <f>IF('Detalle individual'!F387="Pendiente",COUNTIF('Detalle individual'!$D$5:$D$1000,"&lt;"&amp;'Detalle individual'!D387)*1000000+COUNTIF('Detalle individual'!$C$5:$C$1000,"&lt;"&amp;'Detalle individual'!C387)*1000+COUNTIF('Detalle individual'!$B$5:$B$1000,"&lt;"&amp;'Detalle individual'!B387)+ROW()/10000,"")</f>
        <v/>
      </c>
      <c r="AI387" t="str">
        <f>IF('Detalle individual'!F387="Completado",COUNTIF('Detalle individual'!$D$5:$D$1000,"&lt;"&amp;'Detalle individual'!D387)*1000000+COUNTIF('Detalle individual'!$C$5:$C$1000,"&lt;"&amp;'Detalle individual'!C387)*1000+COUNTIF('Detalle individual'!$B$5:$B$1000,"&lt;"&amp;'Detalle individual'!B387)+ROW()/10000,"")</f>
        <v/>
      </c>
      <c r="AJ387" t="str">
        <f>IF(AND('Detalle individual'!F387&lt;&gt;"",'Detalle individual'!F387&lt;&gt;"Completado",'Detalle individual'!F387&lt;&gt;"Pendiente"),COUNTIF('Detalle individual'!$D$5:$D$1000,"&lt;"&amp;'Detalle individual'!D387)*1000000+COUNTIF('Detalle individual'!$C$5:$C$1000,"&lt;"&amp;'Detalle individual'!C387)*1000+COUNTIF('Detalle individual'!$B$5:$B$1000,"&lt;"&amp;'Detalle individual'!B387)+ROW()/10000,"")</f>
        <v/>
      </c>
      <c r="AK387" t="str">
        <f>IF(OR('Base Exámenes'!C387="",'Base Exámenes'!D387=""),"",IF(COUNTIF('Base Exámenes'!$C$5:C387,'Base Exámenes'!C387)=1,'Base Exámenes'!D387+ROW()/1000000000,""))</f>
        <v/>
      </c>
      <c r="AL387" t="str">
        <f>IF(OR('Base Exámenes'!C387="",'Base Exámenes'!E387=""),"",IF(COUNTIF('Base Exámenes'!$C$5:C387,'Base Exámenes'!C387)=1,'Base Exámenes'!E387+ROW()/1000000000,""))</f>
        <v/>
      </c>
      <c r="AM387" t="str">
        <f>IF(OR('Base Exámenes'!C387="",'Base Exámenes'!G387=""),"",IF(ROW()-4=MATCH('Base Exámenes'!C387&amp;"|"&amp;_xlfn.MAXIFS('Base Exámenes'!$G$5:$G$1000,'Base Exámenes'!$C$5:$C$1000,'Base Exámenes'!C387),'Base Exámenes'!$I$5:$I$1000,0),'Base Exámenes'!G387*1000000+(-1)*'Base Exámenes'!D387,""))</f>
        <v/>
      </c>
      <c r="AQ387" t="str">
        <f>IF('Base Exámenes'!C387="","",IF(COUNTIF('Base Exámenes'!$C$5:$C$1000,'Base Exámenes'!C387)&lt;2,"",MATCH('Base Exámenes'!C387,'Base Exámenes'!$C$5:$C$1000,0)*10000+ROW()))</f>
        <v/>
      </c>
    </row>
    <row r="388">
      <c r="Z388" t="str">
        <f>IF('Detalle individual'!A388="","",IF(AND(OR('Estado por Colaborador'!$D$4="Todas las gerencias",'Detalle individual'!D388='Estado por Colaborador'!$D$4),OR('Estado por Colaborador'!$D$5="Todos los departamentos",TRIM('Detalle individual'!C388)='Estado por Colaborador'!$D$5),OR('Estado por Colaborador'!$D$6="Todos",'Detalle individual'!F388='Estado por Colaborador'!$D$6)),IF('Detalle individual'!F388="Completado",30000000,IF('Detalle individual'!F388="Pendiente",0,15000000))+COUNTIF('Detalle individual'!$C$5:$C$1000,"&lt;"&amp;'Detalle individual'!C388)*10000+ROW(),""))</f>
        <v/>
      </c>
      <c r="AB388" t="str">
        <f>IF('Detalle individual'!C388="","",IF(COUNTIF('Detalle individual'!$C$5:C388,'Detalle individual'!C388)=1,COUNTIF('Detalle individual'!$C$5:$C$1000,"&lt;"&amp;'Detalle individual'!C388),""))</f>
        <v/>
      </c>
      <c r="AC388" t="str">
        <f>IF('Detalle individual'!D388="","",IF(COUNTIF('Detalle individual'!$D$5:D388,'Detalle individual'!D388)=1,COUNTIF('Detalle individual'!$D$5:$D$1000,"&lt;"&amp;'Detalle individual'!D388),""))</f>
        <v/>
      </c>
      <c r="AH388" t="str">
        <f>IF('Detalle individual'!F388="Pendiente",COUNTIF('Detalle individual'!$D$5:$D$1000,"&lt;"&amp;'Detalle individual'!D388)*1000000+COUNTIF('Detalle individual'!$C$5:$C$1000,"&lt;"&amp;'Detalle individual'!C388)*1000+COUNTIF('Detalle individual'!$B$5:$B$1000,"&lt;"&amp;'Detalle individual'!B388)+ROW()/10000,"")</f>
        <v/>
      </c>
      <c r="AI388" t="str">
        <f>IF('Detalle individual'!F388="Completado",COUNTIF('Detalle individual'!$D$5:$D$1000,"&lt;"&amp;'Detalle individual'!D388)*1000000+COUNTIF('Detalle individual'!$C$5:$C$1000,"&lt;"&amp;'Detalle individual'!C388)*1000+COUNTIF('Detalle individual'!$B$5:$B$1000,"&lt;"&amp;'Detalle individual'!B388)+ROW()/10000,"")</f>
        <v/>
      </c>
      <c r="AJ388" t="str">
        <f>IF(AND('Detalle individual'!F388&lt;&gt;"",'Detalle individual'!F388&lt;&gt;"Completado",'Detalle individual'!F388&lt;&gt;"Pendiente"),COUNTIF('Detalle individual'!$D$5:$D$1000,"&lt;"&amp;'Detalle individual'!D388)*1000000+COUNTIF('Detalle individual'!$C$5:$C$1000,"&lt;"&amp;'Detalle individual'!C388)*1000+COUNTIF('Detalle individual'!$B$5:$B$1000,"&lt;"&amp;'Detalle individual'!B388)+ROW()/10000,"")</f>
        <v/>
      </c>
      <c r="AK388" t="str">
        <f>IF(OR('Base Exámenes'!C388="",'Base Exámenes'!D388=""),"",IF(COUNTIF('Base Exámenes'!$C$5:C388,'Base Exámenes'!C388)=1,'Base Exámenes'!D388+ROW()/1000000000,""))</f>
        <v/>
      </c>
      <c r="AL388" t="str">
        <f>IF(OR('Base Exámenes'!C388="",'Base Exámenes'!E388=""),"",IF(COUNTIF('Base Exámenes'!$C$5:C388,'Base Exámenes'!C388)=1,'Base Exámenes'!E388+ROW()/1000000000,""))</f>
        <v/>
      </c>
      <c r="AM388" t="str">
        <f>IF(OR('Base Exámenes'!C388="",'Base Exámenes'!G388=""),"",IF(ROW()-4=MATCH('Base Exámenes'!C388&amp;"|"&amp;_xlfn.MAXIFS('Base Exámenes'!$G$5:$G$1000,'Base Exámenes'!$C$5:$C$1000,'Base Exámenes'!C388),'Base Exámenes'!$I$5:$I$1000,0),'Base Exámenes'!G388*1000000+(-1)*'Base Exámenes'!D388,""))</f>
        <v/>
      </c>
      <c r="AQ388" t="str">
        <f>IF('Base Exámenes'!C388="","",IF(COUNTIF('Base Exámenes'!$C$5:$C$1000,'Base Exámenes'!C388)&lt;2,"",MATCH('Base Exámenes'!C388,'Base Exámenes'!$C$5:$C$1000,0)*10000+ROW()))</f>
        <v/>
      </c>
    </row>
    <row r="389">
      <c r="Z389" t="str">
        <f>IF('Detalle individual'!A389="","",IF(AND(OR('Estado por Colaborador'!$D$4="Todas las gerencias",'Detalle individual'!D389='Estado por Colaborador'!$D$4),OR('Estado por Colaborador'!$D$5="Todos los departamentos",TRIM('Detalle individual'!C389)='Estado por Colaborador'!$D$5),OR('Estado por Colaborador'!$D$6="Todos",'Detalle individual'!F389='Estado por Colaborador'!$D$6)),IF('Detalle individual'!F389="Completado",30000000,IF('Detalle individual'!F389="Pendiente",0,15000000))+COUNTIF('Detalle individual'!$C$5:$C$1000,"&lt;"&amp;'Detalle individual'!C389)*10000+ROW(),""))</f>
        <v/>
      </c>
      <c r="AB389" t="str">
        <f>IF('Detalle individual'!C389="","",IF(COUNTIF('Detalle individual'!$C$5:C389,'Detalle individual'!C389)=1,COUNTIF('Detalle individual'!$C$5:$C$1000,"&lt;"&amp;'Detalle individual'!C389),""))</f>
        <v/>
      </c>
      <c r="AC389" t="str">
        <f>IF('Detalle individual'!D389="","",IF(COUNTIF('Detalle individual'!$D$5:D389,'Detalle individual'!D389)=1,COUNTIF('Detalle individual'!$D$5:$D$1000,"&lt;"&amp;'Detalle individual'!D389),""))</f>
        <v/>
      </c>
      <c r="AH389" t="str">
        <f>IF('Detalle individual'!F389="Pendiente",COUNTIF('Detalle individual'!$D$5:$D$1000,"&lt;"&amp;'Detalle individual'!D389)*1000000+COUNTIF('Detalle individual'!$C$5:$C$1000,"&lt;"&amp;'Detalle individual'!C389)*1000+COUNTIF('Detalle individual'!$B$5:$B$1000,"&lt;"&amp;'Detalle individual'!B389)+ROW()/10000,"")</f>
        <v/>
      </c>
      <c r="AI389" t="str">
        <f>IF('Detalle individual'!F389="Completado",COUNTIF('Detalle individual'!$D$5:$D$1000,"&lt;"&amp;'Detalle individual'!D389)*1000000+COUNTIF('Detalle individual'!$C$5:$C$1000,"&lt;"&amp;'Detalle individual'!C389)*1000+COUNTIF('Detalle individual'!$B$5:$B$1000,"&lt;"&amp;'Detalle individual'!B389)+ROW()/10000,"")</f>
        <v/>
      </c>
      <c r="AJ389" t="str">
        <f>IF(AND('Detalle individual'!F389&lt;&gt;"",'Detalle individual'!F389&lt;&gt;"Completado",'Detalle individual'!F389&lt;&gt;"Pendiente"),COUNTIF('Detalle individual'!$D$5:$D$1000,"&lt;"&amp;'Detalle individual'!D389)*1000000+COUNTIF('Detalle individual'!$C$5:$C$1000,"&lt;"&amp;'Detalle individual'!C389)*1000+COUNTIF('Detalle individual'!$B$5:$B$1000,"&lt;"&amp;'Detalle individual'!B389)+ROW()/10000,"")</f>
        <v/>
      </c>
      <c r="AK389" t="str">
        <f>IF(OR('Base Exámenes'!C389="",'Base Exámenes'!D389=""),"",IF(COUNTIF('Base Exámenes'!$C$5:C389,'Base Exámenes'!C389)=1,'Base Exámenes'!D389+ROW()/1000000000,""))</f>
        <v/>
      </c>
      <c r="AL389" t="str">
        <f>IF(OR('Base Exámenes'!C389="",'Base Exámenes'!E389=""),"",IF(COUNTIF('Base Exámenes'!$C$5:C389,'Base Exámenes'!C389)=1,'Base Exámenes'!E389+ROW()/1000000000,""))</f>
        <v/>
      </c>
      <c r="AM389" t="str">
        <f>IF(OR('Base Exámenes'!C389="",'Base Exámenes'!G389=""),"",IF(ROW()-4=MATCH('Base Exámenes'!C389&amp;"|"&amp;_xlfn.MAXIFS('Base Exámenes'!$G$5:$G$1000,'Base Exámenes'!$C$5:$C$1000,'Base Exámenes'!C389),'Base Exámenes'!$I$5:$I$1000,0),'Base Exámenes'!G389*1000000+(-1)*'Base Exámenes'!D389,""))</f>
        <v/>
      </c>
      <c r="AQ389" t="str">
        <f>IF('Base Exámenes'!C389="","",IF(COUNTIF('Base Exámenes'!$C$5:$C$1000,'Base Exámenes'!C389)&lt;2,"",MATCH('Base Exámenes'!C389,'Base Exámenes'!$C$5:$C$1000,0)*10000+ROW()))</f>
        <v/>
      </c>
    </row>
    <row r="390">
      <c r="Z390" t="str">
        <f>IF('Detalle individual'!A390="","",IF(AND(OR('Estado por Colaborador'!$D$4="Todas las gerencias",'Detalle individual'!D390='Estado por Colaborador'!$D$4),OR('Estado por Colaborador'!$D$5="Todos los departamentos",TRIM('Detalle individual'!C390)='Estado por Colaborador'!$D$5),OR('Estado por Colaborador'!$D$6="Todos",'Detalle individual'!F390='Estado por Colaborador'!$D$6)),IF('Detalle individual'!F390="Completado",30000000,IF('Detalle individual'!F390="Pendiente",0,15000000))+COUNTIF('Detalle individual'!$C$5:$C$1000,"&lt;"&amp;'Detalle individual'!C390)*10000+ROW(),""))</f>
        <v/>
      </c>
      <c r="AB390" t="str">
        <f>IF('Detalle individual'!C390="","",IF(COUNTIF('Detalle individual'!$C$5:C390,'Detalle individual'!C390)=1,COUNTIF('Detalle individual'!$C$5:$C$1000,"&lt;"&amp;'Detalle individual'!C390),""))</f>
        <v/>
      </c>
      <c r="AC390" t="str">
        <f>IF('Detalle individual'!D390="","",IF(COUNTIF('Detalle individual'!$D$5:D390,'Detalle individual'!D390)=1,COUNTIF('Detalle individual'!$D$5:$D$1000,"&lt;"&amp;'Detalle individual'!D390),""))</f>
        <v/>
      </c>
      <c r="AH390" t="str">
        <f>IF('Detalle individual'!F390="Pendiente",COUNTIF('Detalle individual'!$D$5:$D$1000,"&lt;"&amp;'Detalle individual'!D390)*1000000+COUNTIF('Detalle individual'!$C$5:$C$1000,"&lt;"&amp;'Detalle individual'!C390)*1000+COUNTIF('Detalle individual'!$B$5:$B$1000,"&lt;"&amp;'Detalle individual'!B390)+ROW()/10000,"")</f>
        <v/>
      </c>
      <c r="AI390" t="str">
        <f>IF('Detalle individual'!F390="Completado",COUNTIF('Detalle individual'!$D$5:$D$1000,"&lt;"&amp;'Detalle individual'!D390)*1000000+COUNTIF('Detalle individual'!$C$5:$C$1000,"&lt;"&amp;'Detalle individual'!C390)*1000+COUNTIF('Detalle individual'!$B$5:$B$1000,"&lt;"&amp;'Detalle individual'!B390)+ROW()/10000,"")</f>
        <v/>
      </c>
      <c r="AJ390" t="str">
        <f>IF(AND('Detalle individual'!F390&lt;&gt;"",'Detalle individual'!F390&lt;&gt;"Completado",'Detalle individual'!F390&lt;&gt;"Pendiente"),COUNTIF('Detalle individual'!$D$5:$D$1000,"&lt;"&amp;'Detalle individual'!D390)*1000000+COUNTIF('Detalle individual'!$C$5:$C$1000,"&lt;"&amp;'Detalle individual'!C390)*1000+COUNTIF('Detalle individual'!$B$5:$B$1000,"&lt;"&amp;'Detalle individual'!B390)+ROW()/10000,"")</f>
        <v/>
      </c>
      <c r="AK390" t="str">
        <f>IF(OR('Base Exámenes'!C390="",'Base Exámenes'!D390=""),"",IF(COUNTIF('Base Exámenes'!$C$5:C390,'Base Exámenes'!C390)=1,'Base Exámenes'!D390+ROW()/1000000000,""))</f>
        <v/>
      </c>
      <c r="AL390" t="str">
        <f>IF(OR('Base Exámenes'!C390="",'Base Exámenes'!E390=""),"",IF(COUNTIF('Base Exámenes'!$C$5:C390,'Base Exámenes'!C390)=1,'Base Exámenes'!E390+ROW()/1000000000,""))</f>
        <v/>
      </c>
      <c r="AM390" t="str">
        <f>IF(OR('Base Exámenes'!C390="",'Base Exámenes'!G390=""),"",IF(ROW()-4=MATCH('Base Exámenes'!C390&amp;"|"&amp;_xlfn.MAXIFS('Base Exámenes'!$G$5:$G$1000,'Base Exámenes'!$C$5:$C$1000,'Base Exámenes'!C390),'Base Exámenes'!$I$5:$I$1000,0),'Base Exámenes'!G390*1000000+(-1)*'Base Exámenes'!D390,""))</f>
        <v/>
      </c>
      <c r="AQ390" t="str">
        <f>IF('Base Exámenes'!C390="","",IF(COUNTIF('Base Exámenes'!$C$5:$C$1000,'Base Exámenes'!C390)&lt;2,"",MATCH('Base Exámenes'!C390,'Base Exámenes'!$C$5:$C$1000,0)*10000+ROW()))</f>
        <v/>
      </c>
    </row>
    <row r="391">
      <c r="Z391" t="str">
        <f>IF('Detalle individual'!A391="","",IF(AND(OR('Estado por Colaborador'!$D$4="Todas las gerencias",'Detalle individual'!D391='Estado por Colaborador'!$D$4),OR('Estado por Colaborador'!$D$5="Todos los departamentos",TRIM('Detalle individual'!C391)='Estado por Colaborador'!$D$5),OR('Estado por Colaborador'!$D$6="Todos",'Detalle individual'!F391='Estado por Colaborador'!$D$6)),IF('Detalle individual'!F391="Completado",30000000,IF('Detalle individual'!F391="Pendiente",0,15000000))+COUNTIF('Detalle individual'!$C$5:$C$1000,"&lt;"&amp;'Detalle individual'!C391)*10000+ROW(),""))</f>
        <v/>
      </c>
      <c r="AB391" t="str">
        <f>IF('Detalle individual'!C391="","",IF(COUNTIF('Detalle individual'!$C$5:C391,'Detalle individual'!C391)=1,COUNTIF('Detalle individual'!$C$5:$C$1000,"&lt;"&amp;'Detalle individual'!C391),""))</f>
        <v/>
      </c>
      <c r="AC391" t="str">
        <f>IF('Detalle individual'!D391="","",IF(COUNTIF('Detalle individual'!$D$5:D391,'Detalle individual'!D391)=1,COUNTIF('Detalle individual'!$D$5:$D$1000,"&lt;"&amp;'Detalle individual'!D391),""))</f>
        <v/>
      </c>
      <c r="AH391" t="str">
        <f>IF('Detalle individual'!F391="Pendiente",COUNTIF('Detalle individual'!$D$5:$D$1000,"&lt;"&amp;'Detalle individual'!D391)*1000000+COUNTIF('Detalle individual'!$C$5:$C$1000,"&lt;"&amp;'Detalle individual'!C391)*1000+COUNTIF('Detalle individual'!$B$5:$B$1000,"&lt;"&amp;'Detalle individual'!B391)+ROW()/10000,"")</f>
        <v/>
      </c>
      <c r="AI391" t="str">
        <f>IF('Detalle individual'!F391="Completado",COUNTIF('Detalle individual'!$D$5:$D$1000,"&lt;"&amp;'Detalle individual'!D391)*1000000+COUNTIF('Detalle individual'!$C$5:$C$1000,"&lt;"&amp;'Detalle individual'!C391)*1000+COUNTIF('Detalle individual'!$B$5:$B$1000,"&lt;"&amp;'Detalle individual'!B391)+ROW()/10000,"")</f>
        <v/>
      </c>
      <c r="AJ391" t="str">
        <f>IF(AND('Detalle individual'!F391&lt;&gt;"",'Detalle individual'!F391&lt;&gt;"Completado",'Detalle individual'!F391&lt;&gt;"Pendiente"),COUNTIF('Detalle individual'!$D$5:$D$1000,"&lt;"&amp;'Detalle individual'!D391)*1000000+COUNTIF('Detalle individual'!$C$5:$C$1000,"&lt;"&amp;'Detalle individual'!C391)*1000+COUNTIF('Detalle individual'!$B$5:$B$1000,"&lt;"&amp;'Detalle individual'!B391)+ROW()/10000,"")</f>
        <v/>
      </c>
      <c r="AK391" t="str">
        <f>IF(OR('Base Exámenes'!C391="",'Base Exámenes'!D391=""),"",IF(COUNTIF('Base Exámenes'!$C$5:C391,'Base Exámenes'!C391)=1,'Base Exámenes'!D391+ROW()/1000000000,""))</f>
        <v/>
      </c>
      <c r="AL391" t="str">
        <f>IF(OR('Base Exámenes'!C391="",'Base Exámenes'!E391=""),"",IF(COUNTIF('Base Exámenes'!$C$5:C391,'Base Exámenes'!C391)=1,'Base Exámenes'!E391+ROW()/1000000000,""))</f>
        <v/>
      </c>
      <c r="AM391" t="str">
        <f>IF(OR('Base Exámenes'!C391="",'Base Exámenes'!G391=""),"",IF(ROW()-4=MATCH('Base Exámenes'!C391&amp;"|"&amp;_xlfn.MAXIFS('Base Exámenes'!$G$5:$G$1000,'Base Exámenes'!$C$5:$C$1000,'Base Exámenes'!C391),'Base Exámenes'!$I$5:$I$1000,0),'Base Exámenes'!G391*1000000+(-1)*'Base Exámenes'!D391,""))</f>
        <v/>
      </c>
      <c r="AQ391" t="str">
        <f>IF('Base Exámenes'!C391="","",IF(COUNTIF('Base Exámenes'!$C$5:$C$1000,'Base Exámenes'!C391)&lt;2,"",MATCH('Base Exámenes'!C391,'Base Exámenes'!$C$5:$C$1000,0)*10000+ROW()))</f>
        <v/>
      </c>
    </row>
    <row r="392">
      <c r="Z392" t="str">
        <f>IF('Detalle individual'!A392="","",IF(AND(OR('Estado por Colaborador'!$D$4="Todas las gerencias",'Detalle individual'!D392='Estado por Colaborador'!$D$4),OR('Estado por Colaborador'!$D$5="Todos los departamentos",TRIM('Detalle individual'!C392)='Estado por Colaborador'!$D$5),OR('Estado por Colaborador'!$D$6="Todos",'Detalle individual'!F392='Estado por Colaborador'!$D$6)),IF('Detalle individual'!F392="Completado",30000000,IF('Detalle individual'!F392="Pendiente",0,15000000))+COUNTIF('Detalle individual'!$C$5:$C$1000,"&lt;"&amp;'Detalle individual'!C392)*10000+ROW(),""))</f>
        <v/>
      </c>
      <c r="AB392" t="str">
        <f>IF('Detalle individual'!C392="","",IF(COUNTIF('Detalle individual'!$C$5:C392,'Detalle individual'!C392)=1,COUNTIF('Detalle individual'!$C$5:$C$1000,"&lt;"&amp;'Detalle individual'!C392),""))</f>
        <v/>
      </c>
      <c r="AC392" t="str">
        <f>IF('Detalle individual'!D392="","",IF(COUNTIF('Detalle individual'!$D$5:D392,'Detalle individual'!D392)=1,COUNTIF('Detalle individual'!$D$5:$D$1000,"&lt;"&amp;'Detalle individual'!D392),""))</f>
        <v/>
      </c>
      <c r="AH392" t="str">
        <f>IF('Detalle individual'!F392="Pendiente",COUNTIF('Detalle individual'!$D$5:$D$1000,"&lt;"&amp;'Detalle individual'!D392)*1000000+COUNTIF('Detalle individual'!$C$5:$C$1000,"&lt;"&amp;'Detalle individual'!C392)*1000+COUNTIF('Detalle individual'!$B$5:$B$1000,"&lt;"&amp;'Detalle individual'!B392)+ROW()/10000,"")</f>
        <v/>
      </c>
      <c r="AI392" t="str">
        <f>IF('Detalle individual'!F392="Completado",COUNTIF('Detalle individual'!$D$5:$D$1000,"&lt;"&amp;'Detalle individual'!D392)*1000000+COUNTIF('Detalle individual'!$C$5:$C$1000,"&lt;"&amp;'Detalle individual'!C392)*1000+COUNTIF('Detalle individual'!$B$5:$B$1000,"&lt;"&amp;'Detalle individual'!B392)+ROW()/10000,"")</f>
        <v/>
      </c>
      <c r="AJ392" t="str">
        <f>IF(AND('Detalle individual'!F392&lt;&gt;"",'Detalle individual'!F392&lt;&gt;"Completado",'Detalle individual'!F392&lt;&gt;"Pendiente"),COUNTIF('Detalle individual'!$D$5:$D$1000,"&lt;"&amp;'Detalle individual'!D392)*1000000+COUNTIF('Detalle individual'!$C$5:$C$1000,"&lt;"&amp;'Detalle individual'!C392)*1000+COUNTIF('Detalle individual'!$B$5:$B$1000,"&lt;"&amp;'Detalle individual'!B392)+ROW()/10000,"")</f>
        <v/>
      </c>
      <c r="AK392" t="str">
        <f>IF(OR('Base Exámenes'!C392="",'Base Exámenes'!D392=""),"",IF(COUNTIF('Base Exámenes'!$C$5:C392,'Base Exámenes'!C392)=1,'Base Exámenes'!D392+ROW()/1000000000,""))</f>
        <v/>
      </c>
      <c r="AL392" t="str">
        <f>IF(OR('Base Exámenes'!C392="",'Base Exámenes'!E392=""),"",IF(COUNTIF('Base Exámenes'!$C$5:C392,'Base Exámenes'!C392)=1,'Base Exámenes'!E392+ROW()/1000000000,""))</f>
        <v/>
      </c>
      <c r="AM392" t="str">
        <f>IF(OR('Base Exámenes'!C392="",'Base Exámenes'!G392=""),"",IF(ROW()-4=MATCH('Base Exámenes'!C392&amp;"|"&amp;_xlfn.MAXIFS('Base Exámenes'!$G$5:$G$1000,'Base Exámenes'!$C$5:$C$1000,'Base Exámenes'!C392),'Base Exámenes'!$I$5:$I$1000,0),'Base Exámenes'!G392*1000000+(-1)*'Base Exámenes'!D392,""))</f>
        <v/>
      </c>
      <c r="AQ392" t="str">
        <f>IF('Base Exámenes'!C392="","",IF(COUNTIF('Base Exámenes'!$C$5:$C$1000,'Base Exámenes'!C392)&lt;2,"",MATCH('Base Exámenes'!C392,'Base Exámenes'!$C$5:$C$1000,0)*10000+ROW()))</f>
        <v/>
      </c>
    </row>
    <row r="393">
      <c r="Z393" t="str">
        <f>IF('Detalle individual'!A393="","",IF(AND(OR('Estado por Colaborador'!$D$4="Todas las gerencias",'Detalle individual'!D393='Estado por Colaborador'!$D$4),OR('Estado por Colaborador'!$D$5="Todos los departamentos",TRIM('Detalle individual'!C393)='Estado por Colaborador'!$D$5),OR('Estado por Colaborador'!$D$6="Todos",'Detalle individual'!F393='Estado por Colaborador'!$D$6)),IF('Detalle individual'!F393="Completado",30000000,IF('Detalle individual'!F393="Pendiente",0,15000000))+COUNTIF('Detalle individual'!$C$5:$C$1000,"&lt;"&amp;'Detalle individual'!C393)*10000+ROW(),""))</f>
        <v/>
      </c>
      <c r="AB393" t="str">
        <f>IF('Detalle individual'!C393="","",IF(COUNTIF('Detalle individual'!$C$5:C393,'Detalle individual'!C393)=1,COUNTIF('Detalle individual'!$C$5:$C$1000,"&lt;"&amp;'Detalle individual'!C393),""))</f>
        <v/>
      </c>
      <c r="AC393" t="str">
        <f>IF('Detalle individual'!D393="","",IF(COUNTIF('Detalle individual'!$D$5:D393,'Detalle individual'!D393)=1,COUNTIF('Detalle individual'!$D$5:$D$1000,"&lt;"&amp;'Detalle individual'!D393),""))</f>
        <v/>
      </c>
      <c r="AH393" t="str">
        <f>IF('Detalle individual'!F393="Pendiente",COUNTIF('Detalle individual'!$D$5:$D$1000,"&lt;"&amp;'Detalle individual'!D393)*1000000+COUNTIF('Detalle individual'!$C$5:$C$1000,"&lt;"&amp;'Detalle individual'!C393)*1000+COUNTIF('Detalle individual'!$B$5:$B$1000,"&lt;"&amp;'Detalle individual'!B393)+ROW()/10000,"")</f>
        <v/>
      </c>
      <c r="AI393" t="str">
        <f>IF('Detalle individual'!F393="Completado",COUNTIF('Detalle individual'!$D$5:$D$1000,"&lt;"&amp;'Detalle individual'!D393)*1000000+COUNTIF('Detalle individual'!$C$5:$C$1000,"&lt;"&amp;'Detalle individual'!C393)*1000+COUNTIF('Detalle individual'!$B$5:$B$1000,"&lt;"&amp;'Detalle individual'!B393)+ROW()/10000,"")</f>
        <v/>
      </c>
      <c r="AJ393" t="str">
        <f>IF(AND('Detalle individual'!F393&lt;&gt;"",'Detalle individual'!F393&lt;&gt;"Completado",'Detalle individual'!F393&lt;&gt;"Pendiente"),COUNTIF('Detalle individual'!$D$5:$D$1000,"&lt;"&amp;'Detalle individual'!D393)*1000000+COUNTIF('Detalle individual'!$C$5:$C$1000,"&lt;"&amp;'Detalle individual'!C393)*1000+COUNTIF('Detalle individual'!$B$5:$B$1000,"&lt;"&amp;'Detalle individual'!B393)+ROW()/10000,"")</f>
        <v/>
      </c>
      <c r="AK393" t="str">
        <f>IF(OR('Base Exámenes'!C393="",'Base Exámenes'!D393=""),"",IF(COUNTIF('Base Exámenes'!$C$5:C393,'Base Exámenes'!C393)=1,'Base Exámenes'!D393+ROW()/1000000000,""))</f>
        <v/>
      </c>
      <c r="AL393" t="str">
        <f>IF(OR('Base Exámenes'!C393="",'Base Exámenes'!E393=""),"",IF(COUNTIF('Base Exámenes'!$C$5:C393,'Base Exámenes'!C393)=1,'Base Exámenes'!E393+ROW()/1000000000,""))</f>
        <v/>
      </c>
      <c r="AM393" t="str">
        <f>IF(OR('Base Exámenes'!C393="",'Base Exámenes'!G393=""),"",IF(ROW()-4=MATCH('Base Exámenes'!C393&amp;"|"&amp;_xlfn.MAXIFS('Base Exámenes'!$G$5:$G$1000,'Base Exámenes'!$C$5:$C$1000,'Base Exámenes'!C393),'Base Exámenes'!$I$5:$I$1000,0),'Base Exámenes'!G393*1000000+(-1)*'Base Exámenes'!D393,""))</f>
        <v/>
      </c>
      <c r="AQ393" t="str">
        <f>IF('Base Exámenes'!C393="","",IF(COUNTIF('Base Exámenes'!$C$5:$C$1000,'Base Exámenes'!C393)&lt;2,"",MATCH('Base Exámenes'!C393,'Base Exámenes'!$C$5:$C$1000,0)*10000+ROW()))</f>
        <v/>
      </c>
    </row>
    <row r="394">
      <c r="Z394" t="str">
        <f>IF('Detalle individual'!A394="","",IF(AND(OR('Estado por Colaborador'!$D$4="Todas las gerencias",'Detalle individual'!D394='Estado por Colaborador'!$D$4),OR('Estado por Colaborador'!$D$5="Todos los departamentos",TRIM('Detalle individual'!C394)='Estado por Colaborador'!$D$5),OR('Estado por Colaborador'!$D$6="Todos",'Detalle individual'!F394='Estado por Colaborador'!$D$6)),IF('Detalle individual'!F394="Completado",30000000,IF('Detalle individual'!F394="Pendiente",0,15000000))+COUNTIF('Detalle individual'!$C$5:$C$1000,"&lt;"&amp;'Detalle individual'!C394)*10000+ROW(),""))</f>
        <v/>
      </c>
      <c r="AB394" t="str">
        <f>IF('Detalle individual'!C394="","",IF(COUNTIF('Detalle individual'!$C$5:C394,'Detalle individual'!C394)=1,COUNTIF('Detalle individual'!$C$5:$C$1000,"&lt;"&amp;'Detalle individual'!C394),""))</f>
        <v/>
      </c>
      <c r="AC394" t="str">
        <f>IF('Detalle individual'!D394="","",IF(COUNTIF('Detalle individual'!$D$5:D394,'Detalle individual'!D394)=1,COUNTIF('Detalle individual'!$D$5:$D$1000,"&lt;"&amp;'Detalle individual'!D394),""))</f>
        <v/>
      </c>
      <c r="AH394" t="str">
        <f>IF('Detalle individual'!F394="Pendiente",COUNTIF('Detalle individual'!$D$5:$D$1000,"&lt;"&amp;'Detalle individual'!D394)*1000000+COUNTIF('Detalle individual'!$C$5:$C$1000,"&lt;"&amp;'Detalle individual'!C394)*1000+COUNTIF('Detalle individual'!$B$5:$B$1000,"&lt;"&amp;'Detalle individual'!B394)+ROW()/10000,"")</f>
        <v/>
      </c>
      <c r="AI394" t="str">
        <f>IF('Detalle individual'!F394="Completado",COUNTIF('Detalle individual'!$D$5:$D$1000,"&lt;"&amp;'Detalle individual'!D394)*1000000+COUNTIF('Detalle individual'!$C$5:$C$1000,"&lt;"&amp;'Detalle individual'!C394)*1000+COUNTIF('Detalle individual'!$B$5:$B$1000,"&lt;"&amp;'Detalle individual'!B394)+ROW()/10000,"")</f>
        <v/>
      </c>
      <c r="AJ394" t="str">
        <f>IF(AND('Detalle individual'!F394&lt;&gt;"",'Detalle individual'!F394&lt;&gt;"Completado",'Detalle individual'!F394&lt;&gt;"Pendiente"),COUNTIF('Detalle individual'!$D$5:$D$1000,"&lt;"&amp;'Detalle individual'!D394)*1000000+COUNTIF('Detalle individual'!$C$5:$C$1000,"&lt;"&amp;'Detalle individual'!C394)*1000+COUNTIF('Detalle individual'!$B$5:$B$1000,"&lt;"&amp;'Detalle individual'!B394)+ROW()/10000,"")</f>
        <v/>
      </c>
      <c r="AK394" t="str">
        <f>IF(OR('Base Exámenes'!C394="",'Base Exámenes'!D394=""),"",IF(COUNTIF('Base Exámenes'!$C$5:C394,'Base Exámenes'!C394)=1,'Base Exámenes'!D394+ROW()/1000000000,""))</f>
        <v/>
      </c>
      <c r="AL394" t="str">
        <f>IF(OR('Base Exámenes'!C394="",'Base Exámenes'!E394=""),"",IF(COUNTIF('Base Exámenes'!$C$5:C394,'Base Exámenes'!C394)=1,'Base Exámenes'!E394+ROW()/1000000000,""))</f>
        <v/>
      </c>
      <c r="AM394" t="str">
        <f>IF(OR('Base Exámenes'!C394="",'Base Exámenes'!G394=""),"",IF(ROW()-4=MATCH('Base Exámenes'!C394&amp;"|"&amp;_xlfn.MAXIFS('Base Exámenes'!$G$5:$G$1000,'Base Exámenes'!$C$5:$C$1000,'Base Exámenes'!C394),'Base Exámenes'!$I$5:$I$1000,0),'Base Exámenes'!G394*1000000+(-1)*'Base Exámenes'!D394,""))</f>
        <v/>
      </c>
      <c r="AQ394" t="str">
        <f>IF('Base Exámenes'!C394="","",IF(COUNTIF('Base Exámenes'!$C$5:$C$1000,'Base Exámenes'!C394)&lt;2,"",MATCH('Base Exámenes'!C394,'Base Exámenes'!$C$5:$C$1000,0)*10000+ROW()))</f>
        <v/>
      </c>
    </row>
    <row r="395">
      <c r="Z395" t="str">
        <f>IF('Detalle individual'!A395="","",IF(AND(OR('Estado por Colaborador'!$D$4="Todas las gerencias",'Detalle individual'!D395='Estado por Colaborador'!$D$4),OR('Estado por Colaborador'!$D$5="Todos los departamentos",TRIM('Detalle individual'!C395)='Estado por Colaborador'!$D$5),OR('Estado por Colaborador'!$D$6="Todos",'Detalle individual'!F395='Estado por Colaborador'!$D$6)),IF('Detalle individual'!F395="Completado",30000000,IF('Detalle individual'!F395="Pendiente",0,15000000))+COUNTIF('Detalle individual'!$C$5:$C$1000,"&lt;"&amp;'Detalle individual'!C395)*10000+ROW(),""))</f>
        <v/>
      </c>
      <c r="AB395" t="str">
        <f>IF('Detalle individual'!C395="","",IF(COUNTIF('Detalle individual'!$C$5:C395,'Detalle individual'!C395)=1,COUNTIF('Detalle individual'!$C$5:$C$1000,"&lt;"&amp;'Detalle individual'!C395),""))</f>
        <v/>
      </c>
      <c r="AC395" t="str">
        <f>IF('Detalle individual'!D395="","",IF(COUNTIF('Detalle individual'!$D$5:D395,'Detalle individual'!D395)=1,COUNTIF('Detalle individual'!$D$5:$D$1000,"&lt;"&amp;'Detalle individual'!D395),""))</f>
        <v/>
      </c>
      <c r="AH395" t="str">
        <f>IF('Detalle individual'!F395="Pendiente",COUNTIF('Detalle individual'!$D$5:$D$1000,"&lt;"&amp;'Detalle individual'!D395)*1000000+COUNTIF('Detalle individual'!$C$5:$C$1000,"&lt;"&amp;'Detalle individual'!C395)*1000+COUNTIF('Detalle individual'!$B$5:$B$1000,"&lt;"&amp;'Detalle individual'!B395)+ROW()/10000,"")</f>
        <v/>
      </c>
      <c r="AI395" t="str">
        <f>IF('Detalle individual'!F395="Completado",COUNTIF('Detalle individual'!$D$5:$D$1000,"&lt;"&amp;'Detalle individual'!D395)*1000000+COUNTIF('Detalle individual'!$C$5:$C$1000,"&lt;"&amp;'Detalle individual'!C395)*1000+COUNTIF('Detalle individual'!$B$5:$B$1000,"&lt;"&amp;'Detalle individual'!B395)+ROW()/10000,"")</f>
        <v/>
      </c>
      <c r="AJ395" t="str">
        <f>IF(AND('Detalle individual'!F395&lt;&gt;"",'Detalle individual'!F395&lt;&gt;"Completado",'Detalle individual'!F395&lt;&gt;"Pendiente"),COUNTIF('Detalle individual'!$D$5:$D$1000,"&lt;"&amp;'Detalle individual'!D395)*1000000+COUNTIF('Detalle individual'!$C$5:$C$1000,"&lt;"&amp;'Detalle individual'!C395)*1000+COUNTIF('Detalle individual'!$B$5:$B$1000,"&lt;"&amp;'Detalle individual'!B395)+ROW()/10000,"")</f>
        <v/>
      </c>
      <c r="AK395" t="str">
        <f>IF(OR('Base Exámenes'!C395="",'Base Exámenes'!D395=""),"",IF(COUNTIF('Base Exámenes'!$C$5:C395,'Base Exámenes'!C395)=1,'Base Exámenes'!D395+ROW()/1000000000,""))</f>
        <v/>
      </c>
      <c r="AL395" t="str">
        <f>IF(OR('Base Exámenes'!C395="",'Base Exámenes'!E395=""),"",IF(COUNTIF('Base Exámenes'!$C$5:C395,'Base Exámenes'!C395)=1,'Base Exámenes'!E395+ROW()/1000000000,""))</f>
        <v/>
      </c>
      <c r="AM395" t="str">
        <f>IF(OR('Base Exámenes'!C395="",'Base Exámenes'!G395=""),"",IF(ROW()-4=MATCH('Base Exámenes'!C395&amp;"|"&amp;_xlfn.MAXIFS('Base Exámenes'!$G$5:$G$1000,'Base Exámenes'!$C$5:$C$1000,'Base Exámenes'!C395),'Base Exámenes'!$I$5:$I$1000,0),'Base Exámenes'!G395*1000000+(-1)*'Base Exámenes'!D395,""))</f>
        <v/>
      </c>
      <c r="AQ395" t="str">
        <f>IF('Base Exámenes'!C395="","",IF(COUNTIF('Base Exámenes'!$C$5:$C$1000,'Base Exámenes'!C395)&lt;2,"",MATCH('Base Exámenes'!C395,'Base Exámenes'!$C$5:$C$1000,0)*10000+ROW()))</f>
        <v/>
      </c>
    </row>
    <row r="396">
      <c r="Z396" t="str">
        <f>IF('Detalle individual'!A396="","",IF(AND(OR('Estado por Colaborador'!$D$4="Todas las gerencias",'Detalle individual'!D396='Estado por Colaborador'!$D$4),OR('Estado por Colaborador'!$D$5="Todos los departamentos",TRIM('Detalle individual'!C396)='Estado por Colaborador'!$D$5),OR('Estado por Colaborador'!$D$6="Todos",'Detalle individual'!F396='Estado por Colaborador'!$D$6)),IF('Detalle individual'!F396="Completado",30000000,IF('Detalle individual'!F396="Pendiente",0,15000000))+COUNTIF('Detalle individual'!$C$5:$C$1000,"&lt;"&amp;'Detalle individual'!C396)*10000+ROW(),""))</f>
        <v/>
      </c>
      <c r="AB396" t="str">
        <f>IF('Detalle individual'!C396="","",IF(COUNTIF('Detalle individual'!$C$5:C396,'Detalle individual'!C396)=1,COUNTIF('Detalle individual'!$C$5:$C$1000,"&lt;"&amp;'Detalle individual'!C396),""))</f>
        <v/>
      </c>
      <c r="AC396" t="str">
        <f>IF('Detalle individual'!D396="","",IF(COUNTIF('Detalle individual'!$D$5:D396,'Detalle individual'!D396)=1,COUNTIF('Detalle individual'!$D$5:$D$1000,"&lt;"&amp;'Detalle individual'!D396),""))</f>
        <v/>
      </c>
      <c r="AH396" t="str">
        <f>IF('Detalle individual'!F396="Pendiente",COUNTIF('Detalle individual'!$D$5:$D$1000,"&lt;"&amp;'Detalle individual'!D396)*1000000+COUNTIF('Detalle individual'!$C$5:$C$1000,"&lt;"&amp;'Detalle individual'!C396)*1000+COUNTIF('Detalle individual'!$B$5:$B$1000,"&lt;"&amp;'Detalle individual'!B396)+ROW()/10000,"")</f>
        <v/>
      </c>
      <c r="AI396" t="str">
        <f>IF('Detalle individual'!F396="Completado",COUNTIF('Detalle individual'!$D$5:$D$1000,"&lt;"&amp;'Detalle individual'!D396)*1000000+COUNTIF('Detalle individual'!$C$5:$C$1000,"&lt;"&amp;'Detalle individual'!C396)*1000+COUNTIF('Detalle individual'!$B$5:$B$1000,"&lt;"&amp;'Detalle individual'!B396)+ROW()/10000,"")</f>
        <v/>
      </c>
      <c r="AJ396" t="str">
        <f>IF(AND('Detalle individual'!F396&lt;&gt;"",'Detalle individual'!F396&lt;&gt;"Completado",'Detalle individual'!F396&lt;&gt;"Pendiente"),COUNTIF('Detalle individual'!$D$5:$D$1000,"&lt;"&amp;'Detalle individual'!D396)*1000000+COUNTIF('Detalle individual'!$C$5:$C$1000,"&lt;"&amp;'Detalle individual'!C396)*1000+COUNTIF('Detalle individual'!$B$5:$B$1000,"&lt;"&amp;'Detalle individual'!B396)+ROW()/10000,"")</f>
        <v/>
      </c>
      <c r="AK396" t="str">
        <f>IF(OR('Base Exámenes'!C396="",'Base Exámenes'!D396=""),"",IF(COUNTIF('Base Exámenes'!$C$5:C396,'Base Exámenes'!C396)=1,'Base Exámenes'!D396+ROW()/1000000000,""))</f>
        <v/>
      </c>
      <c r="AL396" t="str">
        <f>IF(OR('Base Exámenes'!C396="",'Base Exámenes'!E396=""),"",IF(COUNTIF('Base Exámenes'!$C$5:C396,'Base Exámenes'!C396)=1,'Base Exámenes'!E396+ROW()/1000000000,""))</f>
        <v/>
      </c>
      <c r="AM396" t="str">
        <f>IF(OR('Base Exámenes'!C396="",'Base Exámenes'!G396=""),"",IF(ROW()-4=MATCH('Base Exámenes'!C396&amp;"|"&amp;_xlfn.MAXIFS('Base Exámenes'!$G$5:$G$1000,'Base Exámenes'!$C$5:$C$1000,'Base Exámenes'!C396),'Base Exámenes'!$I$5:$I$1000,0),'Base Exámenes'!G396*1000000+(-1)*'Base Exámenes'!D396,""))</f>
        <v/>
      </c>
      <c r="AQ396" t="str">
        <f>IF('Base Exámenes'!C396="","",IF(COUNTIF('Base Exámenes'!$C$5:$C$1000,'Base Exámenes'!C396)&lt;2,"",MATCH('Base Exámenes'!C396,'Base Exámenes'!$C$5:$C$1000,0)*10000+ROW()))</f>
        <v/>
      </c>
    </row>
    <row r="397">
      <c r="Z397" t="str">
        <f>IF('Detalle individual'!A397="","",IF(AND(OR('Estado por Colaborador'!$D$4="Todas las gerencias",'Detalle individual'!D397='Estado por Colaborador'!$D$4),OR('Estado por Colaborador'!$D$5="Todos los departamentos",TRIM('Detalle individual'!C397)='Estado por Colaborador'!$D$5),OR('Estado por Colaborador'!$D$6="Todos",'Detalle individual'!F397='Estado por Colaborador'!$D$6)),IF('Detalle individual'!F397="Completado",30000000,IF('Detalle individual'!F397="Pendiente",0,15000000))+COUNTIF('Detalle individual'!$C$5:$C$1000,"&lt;"&amp;'Detalle individual'!C397)*10000+ROW(),""))</f>
        <v/>
      </c>
      <c r="AB397" t="str">
        <f>IF('Detalle individual'!C397="","",IF(COUNTIF('Detalle individual'!$C$5:C397,'Detalle individual'!C397)=1,COUNTIF('Detalle individual'!$C$5:$C$1000,"&lt;"&amp;'Detalle individual'!C397),""))</f>
        <v/>
      </c>
      <c r="AC397" t="str">
        <f>IF('Detalle individual'!D397="","",IF(COUNTIF('Detalle individual'!$D$5:D397,'Detalle individual'!D397)=1,COUNTIF('Detalle individual'!$D$5:$D$1000,"&lt;"&amp;'Detalle individual'!D397),""))</f>
        <v/>
      </c>
      <c r="AH397" t="str">
        <f>IF('Detalle individual'!F397="Pendiente",COUNTIF('Detalle individual'!$D$5:$D$1000,"&lt;"&amp;'Detalle individual'!D397)*1000000+COUNTIF('Detalle individual'!$C$5:$C$1000,"&lt;"&amp;'Detalle individual'!C397)*1000+COUNTIF('Detalle individual'!$B$5:$B$1000,"&lt;"&amp;'Detalle individual'!B397)+ROW()/10000,"")</f>
        <v/>
      </c>
      <c r="AI397" t="str">
        <f>IF('Detalle individual'!F397="Completado",COUNTIF('Detalle individual'!$D$5:$D$1000,"&lt;"&amp;'Detalle individual'!D397)*1000000+COUNTIF('Detalle individual'!$C$5:$C$1000,"&lt;"&amp;'Detalle individual'!C397)*1000+COUNTIF('Detalle individual'!$B$5:$B$1000,"&lt;"&amp;'Detalle individual'!B397)+ROW()/10000,"")</f>
        <v/>
      </c>
      <c r="AJ397" t="str">
        <f>IF(AND('Detalle individual'!F397&lt;&gt;"",'Detalle individual'!F397&lt;&gt;"Completado",'Detalle individual'!F397&lt;&gt;"Pendiente"),COUNTIF('Detalle individual'!$D$5:$D$1000,"&lt;"&amp;'Detalle individual'!D397)*1000000+COUNTIF('Detalle individual'!$C$5:$C$1000,"&lt;"&amp;'Detalle individual'!C397)*1000+COUNTIF('Detalle individual'!$B$5:$B$1000,"&lt;"&amp;'Detalle individual'!B397)+ROW()/10000,"")</f>
        <v/>
      </c>
      <c r="AK397" t="str">
        <f>IF(OR('Base Exámenes'!C397="",'Base Exámenes'!D397=""),"",IF(COUNTIF('Base Exámenes'!$C$5:C397,'Base Exámenes'!C397)=1,'Base Exámenes'!D397+ROW()/1000000000,""))</f>
        <v/>
      </c>
      <c r="AL397" t="str">
        <f>IF(OR('Base Exámenes'!C397="",'Base Exámenes'!E397=""),"",IF(COUNTIF('Base Exámenes'!$C$5:C397,'Base Exámenes'!C397)=1,'Base Exámenes'!E397+ROW()/1000000000,""))</f>
        <v/>
      </c>
      <c r="AM397" t="str">
        <f>IF(OR('Base Exámenes'!C397="",'Base Exámenes'!G397=""),"",IF(ROW()-4=MATCH('Base Exámenes'!C397&amp;"|"&amp;_xlfn.MAXIFS('Base Exámenes'!$G$5:$G$1000,'Base Exámenes'!$C$5:$C$1000,'Base Exámenes'!C397),'Base Exámenes'!$I$5:$I$1000,0),'Base Exámenes'!G397*1000000+(-1)*'Base Exámenes'!D397,""))</f>
        <v/>
      </c>
      <c r="AQ397" t="str">
        <f>IF('Base Exámenes'!C397="","",IF(COUNTIF('Base Exámenes'!$C$5:$C$1000,'Base Exámenes'!C397)&lt;2,"",MATCH('Base Exámenes'!C397,'Base Exámenes'!$C$5:$C$1000,0)*10000+ROW()))</f>
        <v/>
      </c>
    </row>
    <row r="398">
      <c r="Z398" t="str">
        <f>IF('Detalle individual'!A398="","",IF(AND(OR('Estado por Colaborador'!$D$4="Todas las gerencias",'Detalle individual'!D398='Estado por Colaborador'!$D$4),OR('Estado por Colaborador'!$D$5="Todos los departamentos",TRIM('Detalle individual'!C398)='Estado por Colaborador'!$D$5),OR('Estado por Colaborador'!$D$6="Todos",'Detalle individual'!F398='Estado por Colaborador'!$D$6)),IF('Detalle individual'!F398="Completado",30000000,IF('Detalle individual'!F398="Pendiente",0,15000000))+COUNTIF('Detalle individual'!$C$5:$C$1000,"&lt;"&amp;'Detalle individual'!C398)*10000+ROW(),""))</f>
        <v/>
      </c>
      <c r="AB398" t="str">
        <f>IF('Detalle individual'!C398="","",IF(COUNTIF('Detalle individual'!$C$5:C398,'Detalle individual'!C398)=1,COUNTIF('Detalle individual'!$C$5:$C$1000,"&lt;"&amp;'Detalle individual'!C398),""))</f>
        <v/>
      </c>
      <c r="AC398" t="str">
        <f>IF('Detalle individual'!D398="","",IF(COUNTIF('Detalle individual'!$D$5:D398,'Detalle individual'!D398)=1,COUNTIF('Detalle individual'!$D$5:$D$1000,"&lt;"&amp;'Detalle individual'!D398),""))</f>
        <v/>
      </c>
      <c r="AH398" t="str">
        <f>IF('Detalle individual'!F398="Pendiente",COUNTIF('Detalle individual'!$D$5:$D$1000,"&lt;"&amp;'Detalle individual'!D398)*1000000+COUNTIF('Detalle individual'!$C$5:$C$1000,"&lt;"&amp;'Detalle individual'!C398)*1000+COUNTIF('Detalle individual'!$B$5:$B$1000,"&lt;"&amp;'Detalle individual'!B398)+ROW()/10000,"")</f>
        <v/>
      </c>
      <c r="AI398" t="str">
        <f>IF('Detalle individual'!F398="Completado",COUNTIF('Detalle individual'!$D$5:$D$1000,"&lt;"&amp;'Detalle individual'!D398)*1000000+COUNTIF('Detalle individual'!$C$5:$C$1000,"&lt;"&amp;'Detalle individual'!C398)*1000+COUNTIF('Detalle individual'!$B$5:$B$1000,"&lt;"&amp;'Detalle individual'!B398)+ROW()/10000,"")</f>
        <v/>
      </c>
      <c r="AJ398" t="str">
        <f>IF(AND('Detalle individual'!F398&lt;&gt;"",'Detalle individual'!F398&lt;&gt;"Completado",'Detalle individual'!F398&lt;&gt;"Pendiente"),COUNTIF('Detalle individual'!$D$5:$D$1000,"&lt;"&amp;'Detalle individual'!D398)*1000000+COUNTIF('Detalle individual'!$C$5:$C$1000,"&lt;"&amp;'Detalle individual'!C398)*1000+COUNTIF('Detalle individual'!$B$5:$B$1000,"&lt;"&amp;'Detalle individual'!B398)+ROW()/10000,"")</f>
        <v/>
      </c>
      <c r="AK398" t="str">
        <f>IF(OR('Base Exámenes'!C398="",'Base Exámenes'!D398=""),"",IF(COUNTIF('Base Exámenes'!$C$5:C398,'Base Exámenes'!C398)=1,'Base Exámenes'!D398+ROW()/1000000000,""))</f>
        <v/>
      </c>
      <c r="AL398" t="str">
        <f>IF(OR('Base Exámenes'!C398="",'Base Exámenes'!E398=""),"",IF(COUNTIF('Base Exámenes'!$C$5:C398,'Base Exámenes'!C398)=1,'Base Exámenes'!E398+ROW()/1000000000,""))</f>
        <v/>
      </c>
      <c r="AM398" t="str">
        <f>IF(OR('Base Exámenes'!C398="",'Base Exámenes'!G398=""),"",IF(ROW()-4=MATCH('Base Exámenes'!C398&amp;"|"&amp;_xlfn.MAXIFS('Base Exámenes'!$G$5:$G$1000,'Base Exámenes'!$C$5:$C$1000,'Base Exámenes'!C398),'Base Exámenes'!$I$5:$I$1000,0),'Base Exámenes'!G398*1000000+(-1)*'Base Exámenes'!D398,""))</f>
        <v/>
      </c>
      <c r="AQ398" t="str">
        <f>IF('Base Exámenes'!C398="","",IF(COUNTIF('Base Exámenes'!$C$5:$C$1000,'Base Exámenes'!C398)&lt;2,"",MATCH('Base Exámenes'!C398,'Base Exámenes'!$C$5:$C$1000,0)*10000+ROW()))</f>
        <v/>
      </c>
    </row>
    <row r="399">
      <c r="Z399" t="str">
        <f>IF('Detalle individual'!A399="","",IF(AND(OR('Estado por Colaborador'!$D$4="Todas las gerencias",'Detalle individual'!D399='Estado por Colaborador'!$D$4),OR('Estado por Colaborador'!$D$5="Todos los departamentos",TRIM('Detalle individual'!C399)='Estado por Colaborador'!$D$5),OR('Estado por Colaborador'!$D$6="Todos",'Detalle individual'!F399='Estado por Colaborador'!$D$6)),IF('Detalle individual'!F399="Completado",30000000,IF('Detalle individual'!F399="Pendiente",0,15000000))+COUNTIF('Detalle individual'!$C$5:$C$1000,"&lt;"&amp;'Detalle individual'!C399)*10000+ROW(),""))</f>
        <v/>
      </c>
      <c r="AB399" t="str">
        <f>IF('Detalle individual'!C399="","",IF(COUNTIF('Detalle individual'!$C$5:C399,'Detalle individual'!C399)=1,COUNTIF('Detalle individual'!$C$5:$C$1000,"&lt;"&amp;'Detalle individual'!C399),""))</f>
        <v/>
      </c>
      <c r="AC399" t="str">
        <f>IF('Detalle individual'!D399="","",IF(COUNTIF('Detalle individual'!$D$5:D399,'Detalle individual'!D399)=1,COUNTIF('Detalle individual'!$D$5:$D$1000,"&lt;"&amp;'Detalle individual'!D399),""))</f>
        <v/>
      </c>
      <c r="AH399" t="str">
        <f>IF('Detalle individual'!F399="Pendiente",COUNTIF('Detalle individual'!$D$5:$D$1000,"&lt;"&amp;'Detalle individual'!D399)*1000000+COUNTIF('Detalle individual'!$C$5:$C$1000,"&lt;"&amp;'Detalle individual'!C399)*1000+COUNTIF('Detalle individual'!$B$5:$B$1000,"&lt;"&amp;'Detalle individual'!B399)+ROW()/10000,"")</f>
        <v/>
      </c>
      <c r="AI399" t="str">
        <f>IF('Detalle individual'!F399="Completado",COUNTIF('Detalle individual'!$D$5:$D$1000,"&lt;"&amp;'Detalle individual'!D399)*1000000+COUNTIF('Detalle individual'!$C$5:$C$1000,"&lt;"&amp;'Detalle individual'!C399)*1000+COUNTIF('Detalle individual'!$B$5:$B$1000,"&lt;"&amp;'Detalle individual'!B399)+ROW()/10000,"")</f>
        <v/>
      </c>
      <c r="AJ399" t="str">
        <f>IF(AND('Detalle individual'!F399&lt;&gt;"",'Detalle individual'!F399&lt;&gt;"Completado",'Detalle individual'!F399&lt;&gt;"Pendiente"),COUNTIF('Detalle individual'!$D$5:$D$1000,"&lt;"&amp;'Detalle individual'!D399)*1000000+COUNTIF('Detalle individual'!$C$5:$C$1000,"&lt;"&amp;'Detalle individual'!C399)*1000+COUNTIF('Detalle individual'!$B$5:$B$1000,"&lt;"&amp;'Detalle individual'!B399)+ROW()/10000,"")</f>
        <v/>
      </c>
      <c r="AK399" t="str">
        <f>IF(OR('Base Exámenes'!C399="",'Base Exámenes'!D399=""),"",IF(COUNTIF('Base Exámenes'!$C$5:C399,'Base Exámenes'!C399)=1,'Base Exámenes'!D399+ROW()/1000000000,""))</f>
        <v/>
      </c>
      <c r="AL399" t="str">
        <f>IF(OR('Base Exámenes'!C399="",'Base Exámenes'!E399=""),"",IF(COUNTIF('Base Exámenes'!$C$5:C399,'Base Exámenes'!C399)=1,'Base Exámenes'!E399+ROW()/1000000000,""))</f>
        <v/>
      </c>
      <c r="AM399" t="str">
        <f>IF(OR('Base Exámenes'!C399="",'Base Exámenes'!G399=""),"",IF(ROW()-4=MATCH('Base Exámenes'!C399&amp;"|"&amp;_xlfn.MAXIFS('Base Exámenes'!$G$5:$G$1000,'Base Exámenes'!$C$5:$C$1000,'Base Exámenes'!C399),'Base Exámenes'!$I$5:$I$1000,0),'Base Exámenes'!G399*1000000+(-1)*'Base Exámenes'!D399,""))</f>
        <v/>
      </c>
      <c r="AQ399" t="str">
        <f>IF('Base Exámenes'!C399="","",IF(COUNTIF('Base Exámenes'!$C$5:$C$1000,'Base Exámenes'!C399)&lt;2,"",MATCH('Base Exámenes'!C399,'Base Exámenes'!$C$5:$C$1000,0)*10000+ROW()))</f>
        <v/>
      </c>
    </row>
    <row r="400">
      <c r="Z400" t="str">
        <f>IF('Detalle individual'!A400="","",IF(AND(OR('Estado por Colaborador'!$D$4="Todas las gerencias",'Detalle individual'!D400='Estado por Colaborador'!$D$4),OR('Estado por Colaborador'!$D$5="Todos los departamentos",TRIM('Detalle individual'!C400)='Estado por Colaborador'!$D$5),OR('Estado por Colaborador'!$D$6="Todos",'Detalle individual'!F400='Estado por Colaborador'!$D$6)),IF('Detalle individual'!F400="Completado",30000000,IF('Detalle individual'!F400="Pendiente",0,15000000))+COUNTIF('Detalle individual'!$C$5:$C$1000,"&lt;"&amp;'Detalle individual'!C400)*10000+ROW(),""))</f>
        <v/>
      </c>
      <c r="AB400" t="str">
        <f>IF('Detalle individual'!C400="","",IF(COUNTIF('Detalle individual'!$C$5:C400,'Detalle individual'!C400)=1,COUNTIF('Detalle individual'!$C$5:$C$1000,"&lt;"&amp;'Detalle individual'!C400),""))</f>
        <v/>
      </c>
      <c r="AC400" t="str">
        <f>IF('Detalle individual'!D400="","",IF(COUNTIF('Detalle individual'!$D$5:D400,'Detalle individual'!D400)=1,COUNTIF('Detalle individual'!$D$5:$D$1000,"&lt;"&amp;'Detalle individual'!D400),""))</f>
        <v/>
      </c>
      <c r="AH400" t="str">
        <f>IF('Detalle individual'!F400="Pendiente",COUNTIF('Detalle individual'!$D$5:$D$1000,"&lt;"&amp;'Detalle individual'!D400)*1000000+COUNTIF('Detalle individual'!$C$5:$C$1000,"&lt;"&amp;'Detalle individual'!C400)*1000+COUNTIF('Detalle individual'!$B$5:$B$1000,"&lt;"&amp;'Detalle individual'!B400)+ROW()/10000,"")</f>
        <v/>
      </c>
      <c r="AI400" t="str">
        <f>IF('Detalle individual'!F400="Completado",COUNTIF('Detalle individual'!$D$5:$D$1000,"&lt;"&amp;'Detalle individual'!D400)*1000000+COUNTIF('Detalle individual'!$C$5:$C$1000,"&lt;"&amp;'Detalle individual'!C400)*1000+COUNTIF('Detalle individual'!$B$5:$B$1000,"&lt;"&amp;'Detalle individual'!B400)+ROW()/10000,"")</f>
        <v/>
      </c>
      <c r="AJ400" t="str">
        <f>IF(AND('Detalle individual'!F400&lt;&gt;"",'Detalle individual'!F400&lt;&gt;"Completado",'Detalle individual'!F400&lt;&gt;"Pendiente"),COUNTIF('Detalle individual'!$D$5:$D$1000,"&lt;"&amp;'Detalle individual'!D400)*1000000+COUNTIF('Detalle individual'!$C$5:$C$1000,"&lt;"&amp;'Detalle individual'!C400)*1000+COUNTIF('Detalle individual'!$B$5:$B$1000,"&lt;"&amp;'Detalle individual'!B400)+ROW()/10000,"")</f>
        <v/>
      </c>
      <c r="AK400" t="str">
        <f>IF(OR('Base Exámenes'!C400="",'Base Exámenes'!D400=""),"",IF(COUNTIF('Base Exámenes'!$C$5:C400,'Base Exámenes'!C400)=1,'Base Exámenes'!D400+ROW()/1000000000,""))</f>
        <v/>
      </c>
      <c r="AL400" t="str">
        <f>IF(OR('Base Exámenes'!C400="",'Base Exámenes'!E400=""),"",IF(COUNTIF('Base Exámenes'!$C$5:C400,'Base Exámenes'!C400)=1,'Base Exámenes'!E400+ROW()/1000000000,""))</f>
        <v/>
      </c>
      <c r="AM400" t="str">
        <f>IF(OR('Base Exámenes'!C400="",'Base Exámenes'!G400=""),"",IF(ROW()-4=MATCH('Base Exámenes'!C400&amp;"|"&amp;_xlfn.MAXIFS('Base Exámenes'!$G$5:$G$1000,'Base Exámenes'!$C$5:$C$1000,'Base Exámenes'!C400),'Base Exámenes'!$I$5:$I$1000,0),'Base Exámenes'!G400*1000000+(-1)*'Base Exámenes'!D400,""))</f>
        <v/>
      </c>
      <c r="AQ400" t="str">
        <f>IF('Base Exámenes'!C400="","",IF(COUNTIF('Base Exámenes'!$C$5:$C$1000,'Base Exámenes'!C400)&lt;2,"",MATCH('Base Exámenes'!C400,'Base Exámenes'!$C$5:$C$1000,0)*10000+ROW()))</f>
        <v/>
      </c>
    </row>
    <row r="401">
      <c r="Z401" t="str">
        <f>IF('Detalle individual'!A401="","",IF(AND(OR('Estado por Colaborador'!$D$4="Todas las gerencias",'Detalle individual'!D401='Estado por Colaborador'!$D$4),OR('Estado por Colaborador'!$D$5="Todos los departamentos",TRIM('Detalle individual'!C401)='Estado por Colaborador'!$D$5),OR('Estado por Colaborador'!$D$6="Todos",'Detalle individual'!F401='Estado por Colaborador'!$D$6)),IF('Detalle individual'!F401="Completado",30000000,IF('Detalle individual'!F401="Pendiente",0,15000000))+COUNTIF('Detalle individual'!$C$5:$C$1000,"&lt;"&amp;'Detalle individual'!C401)*10000+ROW(),""))</f>
        <v/>
      </c>
      <c r="AB401" t="str">
        <f>IF('Detalle individual'!C401="","",IF(COUNTIF('Detalle individual'!$C$5:C401,'Detalle individual'!C401)=1,COUNTIF('Detalle individual'!$C$5:$C$1000,"&lt;"&amp;'Detalle individual'!C401),""))</f>
        <v/>
      </c>
      <c r="AC401" t="str">
        <f>IF('Detalle individual'!D401="","",IF(COUNTIF('Detalle individual'!$D$5:D401,'Detalle individual'!D401)=1,COUNTIF('Detalle individual'!$D$5:$D$1000,"&lt;"&amp;'Detalle individual'!D401),""))</f>
        <v/>
      </c>
      <c r="AH401" t="str">
        <f>IF('Detalle individual'!F401="Pendiente",COUNTIF('Detalle individual'!$D$5:$D$1000,"&lt;"&amp;'Detalle individual'!D401)*1000000+COUNTIF('Detalle individual'!$C$5:$C$1000,"&lt;"&amp;'Detalle individual'!C401)*1000+COUNTIF('Detalle individual'!$B$5:$B$1000,"&lt;"&amp;'Detalle individual'!B401)+ROW()/10000,"")</f>
        <v/>
      </c>
      <c r="AI401" t="str">
        <f>IF('Detalle individual'!F401="Completado",COUNTIF('Detalle individual'!$D$5:$D$1000,"&lt;"&amp;'Detalle individual'!D401)*1000000+COUNTIF('Detalle individual'!$C$5:$C$1000,"&lt;"&amp;'Detalle individual'!C401)*1000+COUNTIF('Detalle individual'!$B$5:$B$1000,"&lt;"&amp;'Detalle individual'!B401)+ROW()/10000,"")</f>
        <v/>
      </c>
      <c r="AJ401" t="str">
        <f>IF(AND('Detalle individual'!F401&lt;&gt;"",'Detalle individual'!F401&lt;&gt;"Completado",'Detalle individual'!F401&lt;&gt;"Pendiente"),COUNTIF('Detalle individual'!$D$5:$D$1000,"&lt;"&amp;'Detalle individual'!D401)*1000000+COUNTIF('Detalle individual'!$C$5:$C$1000,"&lt;"&amp;'Detalle individual'!C401)*1000+COUNTIF('Detalle individual'!$B$5:$B$1000,"&lt;"&amp;'Detalle individual'!B401)+ROW()/10000,"")</f>
        <v/>
      </c>
      <c r="AK401" t="str">
        <f>IF(OR('Base Exámenes'!C401="",'Base Exámenes'!D401=""),"",IF(COUNTIF('Base Exámenes'!$C$5:C401,'Base Exámenes'!C401)=1,'Base Exámenes'!D401+ROW()/1000000000,""))</f>
        <v/>
      </c>
      <c r="AL401" t="str">
        <f>IF(OR('Base Exámenes'!C401="",'Base Exámenes'!E401=""),"",IF(COUNTIF('Base Exámenes'!$C$5:C401,'Base Exámenes'!C401)=1,'Base Exámenes'!E401+ROW()/1000000000,""))</f>
        <v/>
      </c>
      <c r="AM401" t="str">
        <f>IF(OR('Base Exámenes'!C401="",'Base Exámenes'!G401=""),"",IF(ROW()-4=MATCH('Base Exámenes'!C401&amp;"|"&amp;_xlfn.MAXIFS('Base Exámenes'!$G$5:$G$1000,'Base Exámenes'!$C$5:$C$1000,'Base Exámenes'!C401),'Base Exámenes'!$I$5:$I$1000,0),'Base Exámenes'!G401*1000000+(-1)*'Base Exámenes'!D401,""))</f>
        <v/>
      </c>
      <c r="AQ401" t="str">
        <f>IF('Base Exámenes'!C401="","",IF(COUNTIF('Base Exámenes'!$C$5:$C$1000,'Base Exámenes'!C401)&lt;2,"",MATCH('Base Exámenes'!C401,'Base Exámenes'!$C$5:$C$1000,0)*10000+ROW()))</f>
        <v/>
      </c>
    </row>
    <row r="402">
      <c r="Z402" t="str">
        <f>IF('Detalle individual'!A402="","",IF(AND(OR('Estado por Colaborador'!$D$4="Todas las gerencias",'Detalle individual'!D402='Estado por Colaborador'!$D$4),OR('Estado por Colaborador'!$D$5="Todos los departamentos",TRIM('Detalle individual'!C402)='Estado por Colaborador'!$D$5),OR('Estado por Colaborador'!$D$6="Todos",'Detalle individual'!F402='Estado por Colaborador'!$D$6)),IF('Detalle individual'!F402="Completado",30000000,IF('Detalle individual'!F402="Pendiente",0,15000000))+COUNTIF('Detalle individual'!$C$5:$C$1000,"&lt;"&amp;'Detalle individual'!C402)*10000+ROW(),""))</f>
        <v/>
      </c>
      <c r="AB402" t="str">
        <f>IF('Detalle individual'!C402="","",IF(COUNTIF('Detalle individual'!$C$5:C402,'Detalle individual'!C402)=1,COUNTIF('Detalle individual'!$C$5:$C$1000,"&lt;"&amp;'Detalle individual'!C402),""))</f>
        <v/>
      </c>
      <c r="AC402" t="str">
        <f>IF('Detalle individual'!D402="","",IF(COUNTIF('Detalle individual'!$D$5:D402,'Detalle individual'!D402)=1,COUNTIF('Detalle individual'!$D$5:$D$1000,"&lt;"&amp;'Detalle individual'!D402),""))</f>
        <v/>
      </c>
      <c r="AH402" t="str">
        <f>IF('Detalle individual'!F402="Pendiente",COUNTIF('Detalle individual'!$D$5:$D$1000,"&lt;"&amp;'Detalle individual'!D402)*1000000+COUNTIF('Detalle individual'!$C$5:$C$1000,"&lt;"&amp;'Detalle individual'!C402)*1000+COUNTIF('Detalle individual'!$B$5:$B$1000,"&lt;"&amp;'Detalle individual'!B402)+ROW()/10000,"")</f>
        <v/>
      </c>
      <c r="AI402" t="str">
        <f>IF('Detalle individual'!F402="Completado",COUNTIF('Detalle individual'!$D$5:$D$1000,"&lt;"&amp;'Detalle individual'!D402)*1000000+COUNTIF('Detalle individual'!$C$5:$C$1000,"&lt;"&amp;'Detalle individual'!C402)*1000+COUNTIF('Detalle individual'!$B$5:$B$1000,"&lt;"&amp;'Detalle individual'!B402)+ROW()/10000,"")</f>
        <v/>
      </c>
      <c r="AJ402" t="str">
        <f>IF(AND('Detalle individual'!F402&lt;&gt;"",'Detalle individual'!F402&lt;&gt;"Completado",'Detalle individual'!F402&lt;&gt;"Pendiente"),COUNTIF('Detalle individual'!$D$5:$D$1000,"&lt;"&amp;'Detalle individual'!D402)*1000000+COUNTIF('Detalle individual'!$C$5:$C$1000,"&lt;"&amp;'Detalle individual'!C402)*1000+COUNTIF('Detalle individual'!$B$5:$B$1000,"&lt;"&amp;'Detalle individual'!B402)+ROW()/10000,"")</f>
        <v/>
      </c>
      <c r="AK402" t="str">
        <f>IF(OR('Base Exámenes'!C402="",'Base Exámenes'!D402=""),"",IF(COUNTIF('Base Exámenes'!$C$5:C402,'Base Exámenes'!C402)=1,'Base Exámenes'!D402+ROW()/1000000000,""))</f>
        <v/>
      </c>
      <c r="AL402" t="str">
        <f>IF(OR('Base Exámenes'!C402="",'Base Exámenes'!E402=""),"",IF(COUNTIF('Base Exámenes'!$C$5:C402,'Base Exámenes'!C402)=1,'Base Exámenes'!E402+ROW()/1000000000,""))</f>
        <v/>
      </c>
      <c r="AM402" t="str">
        <f>IF(OR('Base Exámenes'!C402="",'Base Exámenes'!G402=""),"",IF(ROW()-4=MATCH('Base Exámenes'!C402&amp;"|"&amp;_xlfn.MAXIFS('Base Exámenes'!$G$5:$G$1000,'Base Exámenes'!$C$5:$C$1000,'Base Exámenes'!C402),'Base Exámenes'!$I$5:$I$1000,0),'Base Exámenes'!G402*1000000+(-1)*'Base Exámenes'!D402,""))</f>
        <v/>
      </c>
      <c r="AQ402" t="str">
        <f>IF('Base Exámenes'!C402="","",IF(COUNTIF('Base Exámenes'!$C$5:$C$1000,'Base Exámenes'!C402)&lt;2,"",MATCH('Base Exámenes'!C402,'Base Exámenes'!$C$5:$C$1000,0)*10000+ROW()))</f>
        <v/>
      </c>
    </row>
    <row r="403">
      <c r="Z403" t="str">
        <f>IF('Detalle individual'!A403="","",IF(AND(OR('Estado por Colaborador'!$D$4="Todas las gerencias",'Detalle individual'!D403='Estado por Colaborador'!$D$4),OR('Estado por Colaborador'!$D$5="Todos los departamentos",TRIM('Detalle individual'!C403)='Estado por Colaborador'!$D$5),OR('Estado por Colaborador'!$D$6="Todos",'Detalle individual'!F403='Estado por Colaborador'!$D$6)),IF('Detalle individual'!F403="Completado",30000000,IF('Detalle individual'!F403="Pendiente",0,15000000))+COUNTIF('Detalle individual'!$C$5:$C$1000,"&lt;"&amp;'Detalle individual'!C403)*10000+ROW(),""))</f>
        <v/>
      </c>
      <c r="AB403" t="str">
        <f>IF('Detalle individual'!C403="","",IF(COUNTIF('Detalle individual'!$C$5:C403,'Detalle individual'!C403)=1,COUNTIF('Detalle individual'!$C$5:$C$1000,"&lt;"&amp;'Detalle individual'!C403),""))</f>
        <v/>
      </c>
      <c r="AC403" t="str">
        <f>IF('Detalle individual'!D403="","",IF(COUNTIF('Detalle individual'!$D$5:D403,'Detalle individual'!D403)=1,COUNTIF('Detalle individual'!$D$5:$D$1000,"&lt;"&amp;'Detalle individual'!D403),""))</f>
        <v/>
      </c>
      <c r="AH403" t="str">
        <f>IF('Detalle individual'!F403="Pendiente",COUNTIF('Detalle individual'!$D$5:$D$1000,"&lt;"&amp;'Detalle individual'!D403)*1000000+COUNTIF('Detalle individual'!$C$5:$C$1000,"&lt;"&amp;'Detalle individual'!C403)*1000+COUNTIF('Detalle individual'!$B$5:$B$1000,"&lt;"&amp;'Detalle individual'!B403)+ROW()/10000,"")</f>
        <v/>
      </c>
      <c r="AI403" t="str">
        <f>IF('Detalle individual'!F403="Completado",COUNTIF('Detalle individual'!$D$5:$D$1000,"&lt;"&amp;'Detalle individual'!D403)*1000000+COUNTIF('Detalle individual'!$C$5:$C$1000,"&lt;"&amp;'Detalle individual'!C403)*1000+COUNTIF('Detalle individual'!$B$5:$B$1000,"&lt;"&amp;'Detalle individual'!B403)+ROW()/10000,"")</f>
        <v/>
      </c>
      <c r="AJ403" t="str">
        <f>IF(AND('Detalle individual'!F403&lt;&gt;"",'Detalle individual'!F403&lt;&gt;"Completado",'Detalle individual'!F403&lt;&gt;"Pendiente"),COUNTIF('Detalle individual'!$D$5:$D$1000,"&lt;"&amp;'Detalle individual'!D403)*1000000+COUNTIF('Detalle individual'!$C$5:$C$1000,"&lt;"&amp;'Detalle individual'!C403)*1000+COUNTIF('Detalle individual'!$B$5:$B$1000,"&lt;"&amp;'Detalle individual'!B403)+ROW()/10000,"")</f>
        <v/>
      </c>
      <c r="AK403" t="str">
        <f>IF(OR('Base Exámenes'!C403="",'Base Exámenes'!D403=""),"",IF(COUNTIF('Base Exámenes'!$C$5:C403,'Base Exámenes'!C403)=1,'Base Exámenes'!D403+ROW()/1000000000,""))</f>
        <v/>
      </c>
      <c r="AL403" t="str">
        <f>IF(OR('Base Exámenes'!C403="",'Base Exámenes'!E403=""),"",IF(COUNTIF('Base Exámenes'!$C$5:C403,'Base Exámenes'!C403)=1,'Base Exámenes'!E403+ROW()/1000000000,""))</f>
        <v/>
      </c>
      <c r="AM403" t="str">
        <f>IF(OR('Base Exámenes'!C403="",'Base Exámenes'!G403=""),"",IF(ROW()-4=MATCH('Base Exámenes'!C403&amp;"|"&amp;_xlfn.MAXIFS('Base Exámenes'!$G$5:$G$1000,'Base Exámenes'!$C$5:$C$1000,'Base Exámenes'!C403),'Base Exámenes'!$I$5:$I$1000,0),'Base Exámenes'!G403*1000000+(-1)*'Base Exámenes'!D403,""))</f>
        <v/>
      </c>
      <c r="AQ403" t="str">
        <f>IF('Base Exámenes'!C403="","",IF(COUNTIF('Base Exámenes'!$C$5:$C$1000,'Base Exámenes'!C403)&lt;2,"",MATCH('Base Exámenes'!C403,'Base Exámenes'!$C$5:$C$1000,0)*10000+ROW()))</f>
        <v/>
      </c>
    </row>
    <row r="404">
      <c r="Z404" t="str">
        <f>IF('Detalle individual'!A404="","",IF(AND(OR('Estado por Colaborador'!$D$4="Todas las gerencias",'Detalle individual'!D404='Estado por Colaborador'!$D$4),OR('Estado por Colaborador'!$D$5="Todos los departamentos",TRIM('Detalle individual'!C404)='Estado por Colaborador'!$D$5),OR('Estado por Colaborador'!$D$6="Todos",'Detalle individual'!F404='Estado por Colaborador'!$D$6)),IF('Detalle individual'!F404="Completado",30000000,IF('Detalle individual'!F404="Pendiente",0,15000000))+COUNTIF('Detalle individual'!$C$5:$C$1000,"&lt;"&amp;'Detalle individual'!C404)*10000+ROW(),""))</f>
        <v/>
      </c>
      <c r="AB404" t="str">
        <f>IF('Detalle individual'!C404="","",IF(COUNTIF('Detalle individual'!$C$5:C404,'Detalle individual'!C404)=1,COUNTIF('Detalle individual'!$C$5:$C$1000,"&lt;"&amp;'Detalle individual'!C404),""))</f>
        <v/>
      </c>
      <c r="AC404" t="str">
        <f>IF('Detalle individual'!D404="","",IF(COUNTIF('Detalle individual'!$D$5:D404,'Detalle individual'!D404)=1,COUNTIF('Detalle individual'!$D$5:$D$1000,"&lt;"&amp;'Detalle individual'!D404),""))</f>
        <v/>
      </c>
      <c r="AH404" t="str">
        <f>IF('Detalle individual'!F404="Pendiente",COUNTIF('Detalle individual'!$D$5:$D$1000,"&lt;"&amp;'Detalle individual'!D404)*1000000+COUNTIF('Detalle individual'!$C$5:$C$1000,"&lt;"&amp;'Detalle individual'!C404)*1000+COUNTIF('Detalle individual'!$B$5:$B$1000,"&lt;"&amp;'Detalle individual'!B404)+ROW()/10000,"")</f>
        <v/>
      </c>
      <c r="AI404" t="str">
        <f>IF('Detalle individual'!F404="Completado",COUNTIF('Detalle individual'!$D$5:$D$1000,"&lt;"&amp;'Detalle individual'!D404)*1000000+COUNTIF('Detalle individual'!$C$5:$C$1000,"&lt;"&amp;'Detalle individual'!C404)*1000+COUNTIF('Detalle individual'!$B$5:$B$1000,"&lt;"&amp;'Detalle individual'!B404)+ROW()/10000,"")</f>
        <v/>
      </c>
      <c r="AJ404" t="str">
        <f>IF(AND('Detalle individual'!F404&lt;&gt;"",'Detalle individual'!F404&lt;&gt;"Completado",'Detalle individual'!F404&lt;&gt;"Pendiente"),COUNTIF('Detalle individual'!$D$5:$D$1000,"&lt;"&amp;'Detalle individual'!D404)*1000000+COUNTIF('Detalle individual'!$C$5:$C$1000,"&lt;"&amp;'Detalle individual'!C404)*1000+COUNTIF('Detalle individual'!$B$5:$B$1000,"&lt;"&amp;'Detalle individual'!B404)+ROW()/10000,"")</f>
        <v/>
      </c>
      <c r="AK404" t="str">
        <f>IF(OR('Base Exámenes'!C404="",'Base Exámenes'!D404=""),"",IF(COUNTIF('Base Exámenes'!$C$5:C404,'Base Exámenes'!C404)=1,'Base Exámenes'!D404+ROW()/1000000000,""))</f>
        <v/>
      </c>
      <c r="AL404" t="str">
        <f>IF(OR('Base Exámenes'!C404="",'Base Exámenes'!E404=""),"",IF(COUNTIF('Base Exámenes'!$C$5:C404,'Base Exámenes'!C404)=1,'Base Exámenes'!E404+ROW()/1000000000,""))</f>
        <v/>
      </c>
      <c r="AM404" t="str">
        <f>IF(OR('Base Exámenes'!C404="",'Base Exámenes'!G404=""),"",IF(ROW()-4=MATCH('Base Exámenes'!C404&amp;"|"&amp;_xlfn.MAXIFS('Base Exámenes'!$G$5:$G$1000,'Base Exámenes'!$C$5:$C$1000,'Base Exámenes'!C404),'Base Exámenes'!$I$5:$I$1000,0),'Base Exámenes'!G404*1000000+(-1)*'Base Exámenes'!D404,""))</f>
        <v/>
      </c>
      <c r="AQ404" t="str">
        <f>IF('Base Exámenes'!C404="","",IF(COUNTIF('Base Exámenes'!$C$5:$C$1000,'Base Exámenes'!C404)&lt;2,"",MATCH('Base Exámenes'!C404,'Base Exámenes'!$C$5:$C$1000,0)*10000+ROW()))</f>
        <v/>
      </c>
    </row>
    <row r="405">
      <c r="Z405" t="str">
        <f>IF('Detalle individual'!A405="","",IF(AND(OR('Estado por Colaborador'!$D$4="Todas las gerencias",'Detalle individual'!D405='Estado por Colaborador'!$D$4),OR('Estado por Colaborador'!$D$5="Todos los departamentos",TRIM('Detalle individual'!C405)='Estado por Colaborador'!$D$5),OR('Estado por Colaborador'!$D$6="Todos",'Detalle individual'!F405='Estado por Colaborador'!$D$6)),IF('Detalle individual'!F405="Completado",30000000,IF('Detalle individual'!F405="Pendiente",0,15000000))+COUNTIF('Detalle individual'!$C$5:$C$1000,"&lt;"&amp;'Detalle individual'!C405)*10000+ROW(),""))</f>
        <v/>
      </c>
      <c r="AB405" t="str">
        <f>IF('Detalle individual'!C405="","",IF(COUNTIF('Detalle individual'!$C$5:C405,'Detalle individual'!C405)=1,COUNTIF('Detalle individual'!$C$5:$C$1000,"&lt;"&amp;'Detalle individual'!C405),""))</f>
        <v/>
      </c>
      <c r="AC405" t="str">
        <f>IF('Detalle individual'!D405="","",IF(COUNTIF('Detalle individual'!$D$5:D405,'Detalle individual'!D405)=1,COUNTIF('Detalle individual'!$D$5:$D$1000,"&lt;"&amp;'Detalle individual'!D405),""))</f>
        <v/>
      </c>
      <c r="AH405" t="str">
        <f>IF('Detalle individual'!F405="Pendiente",COUNTIF('Detalle individual'!$D$5:$D$1000,"&lt;"&amp;'Detalle individual'!D405)*1000000+COUNTIF('Detalle individual'!$C$5:$C$1000,"&lt;"&amp;'Detalle individual'!C405)*1000+COUNTIF('Detalle individual'!$B$5:$B$1000,"&lt;"&amp;'Detalle individual'!B405)+ROW()/10000,"")</f>
        <v/>
      </c>
      <c r="AI405" t="str">
        <f>IF('Detalle individual'!F405="Completado",COUNTIF('Detalle individual'!$D$5:$D$1000,"&lt;"&amp;'Detalle individual'!D405)*1000000+COUNTIF('Detalle individual'!$C$5:$C$1000,"&lt;"&amp;'Detalle individual'!C405)*1000+COUNTIF('Detalle individual'!$B$5:$B$1000,"&lt;"&amp;'Detalle individual'!B405)+ROW()/10000,"")</f>
        <v/>
      </c>
      <c r="AJ405" t="str">
        <f>IF(AND('Detalle individual'!F405&lt;&gt;"",'Detalle individual'!F405&lt;&gt;"Completado",'Detalle individual'!F405&lt;&gt;"Pendiente"),COUNTIF('Detalle individual'!$D$5:$D$1000,"&lt;"&amp;'Detalle individual'!D405)*1000000+COUNTIF('Detalle individual'!$C$5:$C$1000,"&lt;"&amp;'Detalle individual'!C405)*1000+COUNTIF('Detalle individual'!$B$5:$B$1000,"&lt;"&amp;'Detalle individual'!B405)+ROW()/10000,"")</f>
        <v/>
      </c>
      <c r="AK405" t="str">
        <f>IF(OR('Base Exámenes'!C405="",'Base Exámenes'!D405=""),"",IF(COUNTIF('Base Exámenes'!$C$5:C405,'Base Exámenes'!C405)=1,'Base Exámenes'!D405+ROW()/1000000000,""))</f>
        <v/>
      </c>
      <c r="AL405" t="str">
        <f>IF(OR('Base Exámenes'!C405="",'Base Exámenes'!E405=""),"",IF(COUNTIF('Base Exámenes'!$C$5:C405,'Base Exámenes'!C405)=1,'Base Exámenes'!E405+ROW()/1000000000,""))</f>
        <v/>
      </c>
      <c r="AM405" t="str">
        <f>IF(OR('Base Exámenes'!C405="",'Base Exámenes'!G405=""),"",IF(ROW()-4=MATCH('Base Exámenes'!C405&amp;"|"&amp;_xlfn.MAXIFS('Base Exámenes'!$G$5:$G$1000,'Base Exámenes'!$C$5:$C$1000,'Base Exámenes'!C405),'Base Exámenes'!$I$5:$I$1000,0),'Base Exámenes'!G405*1000000+(-1)*'Base Exámenes'!D405,""))</f>
        <v/>
      </c>
      <c r="AQ405" t="str">
        <f>IF('Base Exámenes'!C405="","",IF(COUNTIF('Base Exámenes'!$C$5:$C$1000,'Base Exámenes'!C405)&lt;2,"",MATCH('Base Exámenes'!C405,'Base Exámenes'!$C$5:$C$1000,0)*10000+ROW()))</f>
        <v/>
      </c>
    </row>
    <row r="406">
      <c r="Z406" t="str">
        <f>IF('Detalle individual'!A406="","",IF(AND(OR('Estado por Colaborador'!$D$4="Todas las gerencias",'Detalle individual'!D406='Estado por Colaborador'!$D$4),OR('Estado por Colaborador'!$D$5="Todos los departamentos",TRIM('Detalle individual'!C406)='Estado por Colaborador'!$D$5),OR('Estado por Colaborador'!$D$6="Todos",'Detalle individual'!F406='Estado por Colaborador'!$D$6)),IF('Detalle individual'!F406="Completado",30000000,IF('Detalle individual'!F406="Pendiente",0,15000000))+COUNTIF('Detalle individual'!$C$5:$C$1000,"&lt;"&amp;'Detalle individual'!C406)*10000+ROW(),""))</f>
        <v/>
      </c>
      <c r="AB406" t="str">
        <f>IF('Detalle individual'!C406="","",IF(COUNTIF('Detalle individual'!$C$5:C406,'Detalle individual'!C406)=1,COUNTIF('Detalle individual'!$C$5:$C$1000,"&lt;"&amp;'Detalle individual'!C406),""))</f>
        <v/>
      </c>
      <c r="AC406" t="str">
        <f>IF('Detalle individual'!D406="","",IF(COUNTIF('Detalle individual'!$D$5:D406,'Detalle individual'!D406)=1,COUNTIF('Detalle individual'!$D$5:$D$1000,"&lt;"&amp;'Detalle individual'!D406),""))</f>
        <v/>
      </c>
      <c r="AH406" t="str">
        <f>IF('Detalle individual'!F406="Pendiente",COUNTIF('Detalle individual'!$D$5:$D$1000,"&lt;"&amp;'Detalle individual'!D406)*1000000+COUNTIF('Detalle individual'!$C$5:$C$1000,"&lt;"&amp;'Detalle individual'!C406)*1000+COUNTIF('Detalle individual'!$B$5:$B$1000,"&lt;"&amp;'Detalle individual'!B406)+ROW()/10000,"")</f>
        <v/>
      </c>
      <c r="AI406" t="str">
        <f>IF('Detalle individual'!F406="Completado",COUNTIF('Detalle individual'!$D$5:$D$1000,"&lt;"&amp;'Detalle individual'!D406)*1000000+COUNTIF('Detalle individual'!$C$5:$C$1000,"&lt;"&amp;'Detalle individual'!C406)*1000+COUNTIF('Detalle individual'!$B$5:$B$1000,"&lt;"&amp;'Detalle individual'!B406)+ROW()/10000,"")</f>
        <v/>
      </c>
      <c r="AJ406" t="str">
        <f>IF(AND('Detalle individual'!F406&lt;&gt;"",'Detalle individual'!F406&lt;&gt;"Completado",'Detalle individual'!F406&lt;&gt;"Pendiente"),COUNTIF('Detalle individual'!$D$5:$D$1000,"&lt;"&amp;'Detalle individual'!D406)*1000000+COUNTIF('Detalle individual'!$C$5:$C$1000,"&lt;"&amp;'Detalle individual'!C406)*1000+COUNTIF('Detalle individual'!$B$5:$B$1000,"&lt;"&amp;'Detalle individual'!B406)+ROW()/10000,"")</f>
        <v/>
      </c>
      <c r="AK406" t="str">
        <f>IF(OR('Base Exámenes'!C406="",'Base Exámenes'!D406=""),"",IF(COUNTIF('Base Exámenes'!$C$5:C406,'Base Exámenes'!C406)=1,'Base Exámenes'!D406+ROW()/1000000000,""))</f>
        <v/>
      </c>
      <c r="AL406" t="str">
        <f>IF(OR('Base Exámenes'!C406="",'Base Exámenes'!E406=""),"",IF(COUNTIF('Base Exámenes'!$C$5:C406,'Base Exámenes'!C406)=1,'Base Exámenes'!E406+ROW()/1000000000,""))</f>
        <v/>
      </c>
      <c r="AM406" t="str">
        <f>IF(OR('Base Exámenes'!C406="",'Base Exámenes'!G406=""),"",IF(ROW()-4=MATCH('Base Exámenes'!C406&amp;"|"&amp;_xlfn.MAXIFS('Base Exámenes'!$G$5:$G$1000,'Base Exámenes'!$C$5:$C$1000,'Base Exámenes'!C406),'Base Exámenes'!$I$5:$I$1000,0),'Base Exámenes'!G406*1000000+(-1)*'Base Exámenes'!D406,""))</f>
        <v/>
      </c>
      <c r="AQ406" t="str">
        <f>IF('Base Exámenes'!C406="","",IF(COUNTIF('Base Exámenes'!$C$5:$C$1000,'Base Exámenes'!C406)&lt;2,"",MATCH('Base Exámenes'!C406,'Base Exámenes'!$C$5:$C$1000,0)*10000+ROW()))</f>
        <v/>
      </c>
    </row>
    <row r="407">
      <c r="Z407" t="str">
        <f>IF('Detalle individual'!A407="","",IF(AND(OR('Estado por Colaborador'!$D$4="Todas las gerencias",'Detalle individual'!D407='Estado por Colaborador'!$D$4),OR('Estado por Colaborador'!$D$5="Todos los departamentos",TRIM('Detalle individual'!C407)='Estado por Colaborador'!$D$5),OR('Estado por Colaborador'!$D$6="Todos",'Detalle individual'!F407='Estado por Colaborador'!$D$6)),IF('Detalle individual'!F407="Completado",30000000,IF('Detalle individual'!F407="Pendiente",0,15000000))+COUNTIF('Detalle individual'!$C$5:$C$1000,"&lt;"&amp;'Detalle individual'!C407)*10000+ROW(),""))</f>
        <v/>
      </c>
      <c r="AB407" t="str">
        <f>IF('Detalle individual'!C407="","",IF(COUNTIF('Detalle individual'!$C$5:C407,'Detalle individual'!C407)=1,COUNTIF('Detalle individual'!$C$5:$C$1000,"&lt;"&amp;'Detalle individual'!C407),""))</f>
        <v/>
      </c>
      <c r="AC407" t="str">
        <f>IF('Detalle individual'!D407="","",IF(COUNTIF('Detalle individual'!$D$5:D407,'Detalle individual'!D407)=1,COUNTIF('Detalle individual'!$D$5:$D$1000,"&lt;"&amp;'Detalle individual'!D407),""))</f>
        <v/>
      </c>
      <c r="AH407" t="str">
        <f>IF('Detalle individual'!F407="Pendiente",COUNTIF('Detalle individual'!$D$5:$D$1000,"&lt;"&amp;'Detalle individual'!D407)*1000000+COUNTIF('Detalle individual'!$C$5:$C$1000,"&lt;"&amp;'Detalle individual'!C407)*1000+COUNTIF('Detalle individual'!$B$5:$B$1000,"&lt;"&amp;'Detalle individual'!B407)+ROW()/10000,"")</f>
        <v/>
      </c>
      <c r="AI407" t="str">
        <f>IF('Detalle individual'!F407="Completado",COUNTIF('Detalle individual'!$D$5:$D$1000,"&lt;"&amp;'Detalle individual'!D407)*1000000+COUNTIF('Detalle individual'!$C$5:$C$1000,"&lt;"&amp;'Detalle individual'!C407)*1000+COUNTIF('Detalle individual'!$B$5:$B$1000,"&lt;"&amp;'Detalle individual'!B407)+ROW()/10000,"")</f>
        <v/>
      </c>
      <c r="AJ407" t="str">
        <f>IF(AND('Detalle individual'!F407&lt;&gt;"",'Detalle individual'!F407&lt;&gt;"Completado",'Detalle individual'!F407&lt;&gt;"Pendiente"),COUNTIF('Detalle individual'!$D$5:$D$1000,"&lt;"&amp;'Detalle individual'!D407)*1000000+COUNTIF('Detalle individual'!$C$5:$C$1000,"&lt;"&amp;'Detalle individual'!C407)*1000+COUNTIF('Detalle individual'!$B$5:$B$1000,"&lt;"&amp;'Detalle individual'!B407)+ROW()/10000,"")</f>
        <v/>
      </c>
      <c r="AK407" t="str">
        <f>IF(OR('Base Exámenes'!C407="",'Base Exámenes'!D407=""),"",IF(COUNTIF('Base Exámenes'!$C$5:C407,'Base Exámenes'!C407)=1,'Base Exámenes'!D407+ROW()/1000000000,""))</f>
        <v/>
      </c>
      <c r="AL407" t="str">
        <f>IF(OR('Base Exámenes'!C407="",'Base Exámenes'!E407=""),"",IF(COUNTIF('Base Exámenes'!$C$5:C407,'Base Exámenes'!C407)=1,'Base Exámenes'!E407+ROW()/1000000000,""))</f>
        <v/>
      </c>
      <c r="AM407" t="str">
        <f>IF(OR('Base Exámenes'!C407="",'Base Exámenes'!G407=""),"",IF(ROW()-4=MATCH('Base Exámenes'!C407&amp;"|"&amp;_xlfn.MAXIFS('Base Exámenes'!$G$5:$G$1000,'Base Exámenes'!$C$5:$C$1000,'Base Exámenes'!C407),'Base Exámenes'!$I$5:$I$1000,0),'Base Exámenes'!G407*1000000+(-1)*'Base Exámenes'!D407,""))</f>
        <v/>
      </c>
      <c r="AQ407" t="str">
        <f>IF('Base Exámenes'!C407="","",IF(COUNTIF('Base Exámenes'!$C$5:$C$1000,'Base Exámenes'!C407)&lt;2,"",MATCH('Base Exámenes'!C407,'Base Exámenes'!$C$5:$C$1000,0)*10000+ROW()))</f>
        <v/>
      </c>
    </row>
    <row r="408">
      <c r="Z408" t="str">
        <f>IF('Detalle individual'!A408="","",IF(AND(OR('Estado por Colaborador'!$D$4="Todas las gerencias",'Detalle individual'!D408='Estado por Colaborador'!$D$4),OR('Estado por Colaborador'!$D$5="Todos los departamentos",TRIM('Detalle individual'!C408)='Estado por Colaborador'!$D$5),OR('Estado por Colaborador'!$D$6="Todos",'Detalle individual'!F408='Estado por Colaborador'!$D$6)),IF('Detalle individual'!F408="Completado",30000000,IF('Detalle individual'!F408="Pendiente",0,15000000))+COUNTIF('Detalle individual'!$C$5:$C$1000,"&lt;"&amp;'Detalle individual'!C408)*10000+ROW(),""))</f>
        <v/>
      </c>
      <c r="AB408" t="str">
        <f>IF('Detalle individual'!C408="","",IF(COUNTIF('Detalle individual'!$C$5:C408,'Detalle individual'!C408)=1,COUNTIF('Detalle individual'!$C$5:$C$1000,"&lt;"&amp;'Detalle individual'!C408),""))</f>
        <v/>
      </c>
      <c r="AC408" t="str">
        <f>IF('Detalle individual'!D408="","",IF(COUNTIF('Detalle individual'!$D$5:D408,'Detalle individual'!D408)=1,COUNTIF('Detalle individual'!$D$5:$D$1000,"&lt;"&amp;'Detalle individual'!D408),""))</f>
        <v/>
      </c>
      <c r="AH408" t="str">
        <f>IF('Detalle individual'!F408="Pendiente",COUNTIF('Detalle individual'!$D$5:$D$1000,"&lt;"&amp;'Detalle individual'!D408)*1000000+COUNTIF('Detalle individual'!$C$5:$C$1000,"&lt;"&amp;'Detalle individual'!C408)*1000+COUNTIF('Detalle individual'!$B$5:$B$1000,"&lt;"&amp;'Detalle individual'!B408)+ROW()/10000,"")</f>
        <v/>
      </c>
      <c r="AI408" t="str">
        <f>IF('Detalle individual'!F408="Completado",COUNTIF('Detalle individual'!$D$5:$D$1000,"&lt;"&amp;'Detalle individual'!D408)*1000000+COUNTIF('Detalle individual'!$C$5:$C$1000,"&lt;"&amp;'Detalle individual'!C408)*1000+COUNTIF('Detalle individual'!$B$5:$B$1000,"&lt;"&amp;'Detalle individual'!B408)+ROW()/10000,"")</f>
        <v/>
      </c>
      <c r="AJ408" t="str">
        <f>IF(AND('Detalle individual'!F408&lt;&gt;"",'Detalle individual'!F408&lt;&gt;"Completado",'Detalle individual'!F408&lt;&gt;"Pendiente"),COUNTIF('Detalle individual'!$D$5:$D$1000,"&lt;"&amp;'Detalle individual'!D408)*1000000+COUNTIF('Detalle individual'!$C$5:$C$1000,"&lt;"&amp;'Detalle individual'!C408)*1000+COUNTIF('Detalle individual'!$B$5:$B$1000,"&lt;"&amp;'Detalle individual'!B408)+ROW()/10000,"")</f>
        <v/>
      </c>
      <c r="AK408" t="str">
        <f>IF(OR('Base Exámenes'!C408="",'Base Exámenes'!D408=""),"",IF(COUNTIF('Base Exámenes'!$C$5:C408,'Base Exámenes'!C408)=1,'Base Exámenes'!D408+ROW()/1000000000,""))</f>
        <v/>
      </c>
      <c r="AL408" t="str">
        <f>IF(OR('Base Exámenes'!C408="",'Base Exámenes'!E408=""),"",IF(COUNTIF('Base Exámenes'!$C$5:C408,'Base Exámenes'!C408)=1,'Base Exámenes'!E408+ROW()/1000000000,""))</f>
        <v/>
      </c>
      <c r="AM408" t="str">
        <f>IF(OR('Base Exámenes'!C408="",'Base Exámenes'!G408=""),"",IF(ROW()-4=MATCH('Base Exámenes'!C408&amp;"|"&amp;_xlfn.MAXIFS('Base Exámenes'!$G$5:$G$1000,'Base Exámenes'!$C$5:$C$1000,'Base Exámenes'!C408),'Base Exámenes'!$I$5:$I$1000,0),'Base Exámenes'!G408*1000000+(-1)*'Base Exámenes'!D408,""))</f>
        <v/>
      </c>
      <c r="AQ408" t="str">
        <f>IF('Base Exámenes'!C408="","",IF(COUNTIF('Base Exámenes'!$C$5:$C$1000,'Base Exámenes'!C408)&lt;2,"",MATCH('Base Exámenes'!C408,'Base Exámenes'!$C$5:$C$1000,0)*10000+ROW()))</f>
        <v/>
      </c>
    </row>
    <row r="409">
      <c r="Z409" t="str">
        <f>IF('Detalle individual'!A409="","",IF(AND(OR('Estado por Colaborador'!$D$4="Todas las gerencias",'Detalle individual'!D409='Estado por Colaborador'!$D$4),OR('Estado por Colaborador'!$D$5="Todos los departamentos",TRIM('Detalle individual'!C409)='Estado por Colaborador'!$D$5),OR('Estado por Colaborador'!$D$6="Todos",'Detalle individual'!F409='Estado por Colaborador'!$D$6)),IF('Detalle individual'!F409="Completado",30000000,IF('Detalle individual'!F409="Pendiente",0,15000000))+COUNTIF('Detalle individual'!$C$5:$C$1000,"&lt;"&amp;'Detalle individual'!C409)*10000+ROW(),""))</f>
        <v/>
      </c>
      <c r="AB409" t="str">
        <f>IF('Detalle individual'!C409="","",IF(COUNTIF('Detalle individual'!$C$5:C409,'Detalle individual'!C409)=1,COUNTIF('Detalle individual'!$C$5:$C$1000,"&lt;"&amp;'Detalle individual'!C409),""))</f>
        <v/>
      </c>
      <c r="AC409" t="str">
        <f>IF('Detalle individual'!D409="","",IF(COUNTIF('Detalle individual'!$D$5:D409,'Detalle individual'!D409)=1,COUNTIF('Detalle individual'!$D$5:$D$1000,"&lt;"&amp;'Detalle individual'!D409),""))</f>
        <v/>
      </c>
      <c r="AH409" t="str">
        <f>IF('Detalle individual'!F409="Pendiente",COUNTIF('Detalle individual'!$D$5:$D$1000,"&lt;"&amp;'Detalle individual'!D409)*1000000+COUNTIF('Detalle individual'!$C$5:$C$1000,"&lt;"&amp;'Detalle individual'!C409)*1000+COUNTIF('Detalle individual'!$B$5:$B$1000,"&lt;"&amp;'Detalle individual'!B409)+ROW()/10000,"")</f>
        <v/>
      </c>
      <c r="AI409" t="str">
        <f>IF('Detalle individual'!F409="Completado",COUNTIF('Detalle individual'!$D$5:$D$1000,"&lt;"&amp;'Detalle individual'!D409)*1000000+COUNTIF('Detalle individual'!$C$5:$C$1000,"&lt;"&amp;'Detalle individual'!C409)*1000+COUNTIF('Detalle individual'!$B$5:$B$1000,"&lt;"&amp;'Detalle individual'!B409)+ROW()/10000,"")</f>
        <v/>
      </c>
      <c r="AJ409" t="str">
        <f>IF(AND('Detalle individual'!F409&lt;&gt;"",'Detalle individual'!F409&lt;&gt;"Completado",'Detalle individual'!F409&lt;&gt;"Pendiente"),COUNTIF('Detalle individual'!$D$5:$D$1000,"&lt;"&amp;'Detalle individual'!D409)*1000000+COUNTIF('Detalle individual'!$C$5:$C$1000,"&lt;"&amp;'Detalle individual'!C409)*1000+COUNTIF('Detalle individual'!$B$5:$B$1000,"&lt;"&amp;'Detalle individual'!B409)+ROW()/10000,"")</f>
        <v/>
      </c>
      <c r="AK409" t="str">
        <f>IF(OR('Base Exámenes'!C409="",'Base Exámenes'!D409=""),"",IF(COUNTIF('Base Exámenes'!$C$5:C409,'Base Exámenes'!C409)=1,'Base Exámenes'!D409+ROW()/1000000000,""))</f>
        <v/>
      </c>
      <c r="AL409" t="str">
        <f>IF(OR('Base Exámenes'!C409="",'Base Exámenes'!E409=""),"",IF(COUNTIF('Base Exámenes'!$C$5:C409,'Base Exámenes'!C409)=1,'Base Exámenes'!E409+ROW()/1000000000,""))</f>
        <v/>
      </c>
      <c r="AM409" t="str">
        <f>IF(OR('Base Exámenes'!C409="",'Base Exámenes'!G409=""),"",IF(ROW()-4=MATCH('Base Exámenes'!C409&amp;"|"&amp;_xlfn.MAXIFS('Base Exámenes'!$G$5:$G$1000,'Base Exámenes'!$C$5:$C$1000,'Base Exámenes'!C409),'Base Exámenes'!$I$5:$I$1000,0),'Base Exámenes'!G409*1000000+(-1)*'Base Exámenes'!D409,""))</f>
        <v/>
      </c>
      <c r="AQ409" t="str">
        <f>IF('Base Exámenes'!C409="","",IF(COUNTIF('Base Exámenes'!$C$5:$C$1000,'Base Exámenes'!C409)&lt;2,"",MATCH('Base Exámenes'!C409,'Base Exámenes'!$C$5:$C$1000,0)*10000+ROW()))</f>
        <v/>
      </c>
    </row>
    <row r="410">
      <c r="Z410" t="str">
        <f>IF('Detalle individual'!A410="","",IF(AND(OR('Estado por Colaborador'!$D$4="Todas las gerencias",'Detalle individual'!D410='Estado por Colaborador'!$D$4),OR('Estado por Colaborador'!$D$5="Todos los departamentos",TRIM('Detalle individual'!C410)='Estado por Colaborador'!$D$5),OR('Estado por Colaborador'!$D$6="Todos",'Detalle individual'!F410='Estado por Colaborador'!$D$6)),IF('Detalle individual'!F410="Completado",30000000,IF('Detalle individual'!F410="Pendiente",0,15000000))+COUNTIF('Detalle individual'!$C$5:$C$1000,"&lt;"&amp;'Detalle individual'!C410)*10000+ROW(),""))</f>
        <v/>
      </c>
      <c r="AB410" t="str">
        <f>IF('Detalle individual'!C410="","",IF(COUNTIF('Detalle individual'!$C$5:C410,'Detalle individual'!C410)=1,COUNTIF('Detalle individual'!$C$5:$C$1000,"&lt;"&amp;'Detalle individual'!C410),""))</f>
        <v/>
      </c>
      <c r="AC410" t="str">
        <f>IF('Detalle individual'!D410="","",IF(COUNTIF('Detalle individual'!$D$5:D410,'Detalle individual'!D410)=1,COUNTIF('Detalle individual'!$D$5:$D$1000,"&lt;"&amp;'Detalle individual'!D410),""))</f>
        <v/>
      </c>
      <c r="AH410" t="str">
        <f>IF('Detalle individual'!F410="Pendiente",COUNTIF('Detalle individual'!$D$5:$D$1000,"&lt;"&amp;'Detalle individual'!D410)*1000000+COUNTIF('Detalle individual'!$C$5:$C$1000,"&lt;"&amp;'Detalle individual'!C410)*1000+COUNTIF('Detalle individual'!$B$5:$B$1000,"&lt;"&amp;'Detalle individual'!B410)+ROW()/10000,"")</f>
        <v/>
      </c>
      <c r="AI410" t="str">
        <f>IF('Detalle individual'!F410="Completado",COUNTIF('Detalle individual'!$D$5:$D$1000,"&lt;"&amp;'Detalle individual'!D410)*1000000+COUNTIF('Detalle individual'!$C$5:$C$1000,"&lt;"&amp;'Detalle individual'!C410)*1000+COUNTIF('Detalle individual'!$B$5:$B$1000,"&lt;"&amp;'Detalle individual'!B410)+ROW()/10000,"")</f>
        <v/>
      </c>
      <c r="AJ410" t="str">
        <f>IF(AND('Detalle individual'!F410&lt;&gt;"",'Detalle individual'!F410&lt;&gt;"Completado",'Detalle individual'!F410&lt;&gt;"Pendiente"),COUNTIF('Detalle individual'!$D$5:$D$1000,"&lt;"&amp;'Detalle individual'!D410)*1000000+COUNTIF('Detalle individual'!$C$5:$C$1000,"&lt;"&amp;'Detalle individual'!C410)*1000+COUNTIF('Detalle individual'!$B$5:$B$1000,"&lt;"&amp;'Detalle individual'!B410)+ROW()/10000,"")</f>
        <v/>
      </c>
      <c r="AK410" t="str">
        <f>IF(OR('Base Exámenes'!C410="",'Base Exámenes'!D410=""),"",IF(COUNTIF('Base Exámenes'!$C$5:C410,'Base Exámenes'!C410)=1,'Base Exámenes'!D410+ROW()/1000000000,""))</f>
        <v/>
      </c>
      <c r="AL410" t="str">
        <f>IF(OR('Base Exámenes'!C410="",'Base Exámenes'!E410=""),"",IF(COUNTIF('Base Exámenes'!$C$5:C410,'Base Exámenes'!C410)=1,'Base Exámenes'!E410+ROW()/1000000000,""))</f>
        <v/>
      </c>
      <c r="AM410" t="str">
        <f>IF(OR('Base Exámenes'!C410="",'Base Exámenes'!G410=""),"",IF(ROW()-4=MATCH('Base Exámenes'!C410&amp;"|"&amp;_xlfn.MAXIFS('Base Exámenes'!$G$5:$G$1000,'Base Exámenes'!$C$5:$C$1000,'Base Exámenes'!C410),'Base Exámenes'!$I$5:$I$1000,0),'Base Exámenes'!G410*1000000+(-1)*'Base Exámenes'!D410,""))</f>
        <v/>
      </c>
      <c r="AQ410" t="str">
        <f>IF('Base Exámenes'!C410="","",IF(COUNTIF('Base Exámenes'!$C$5:$C$1000,'Base Exámenes'!C410)&lt;2,"",MATCH('Base Exámenes'!C410,'Base Exámenes'!$C$5:$C$1000,0)*10000+ROW()))</f>
        <v/>
      </c>
    </row>
    <row r="411">
      <c r="Z411" t="str">
        <f>IF('Detalle individual'!A411="","",IF(AND(OR('Estado por Colaborador'!$D$4="Todas las gerencias",'Detalle individual'!D411='Estado por Colaborador'!$D$4),OR('Estado por Colaborador'!$D$5="Todos los departamentos",TRIM('Detalle individual'!C411)='Estado por Colaborador'!$D$5),OR('Estado por Colaborador'!$D$6="Todos",'Detalle individual'!F411='Estado por Colaborador'!$D$6)),IF('Detalle individual'!F411="Completado",30000000,IF('Detalle individual'!F411="Pendiente",0,15000000))+COUNTIF('Detalle individual'!$C$5:$C$1000,"&lt;"&amp;'Detalle individual'!C411)*10000+ROW(),""))</f>
        <v/>
      </c>
      <c r="AB411" t="str">
        <f>IF('Detalle individual'!C411="","",IF(COUNTIF('Detalle individual'!$C$5:C411,'Detalle individual'!C411)=1,COUNTIF('Detalle individual'!$C$5:$C$1000,"&lt;"&amp;'Detalle individual'!C411),""))</f>
        <v/>
      </c>
      <c r="AC411" t="str">
        <f>IF('Detalle individual'!D411="","",IF(COUNTIF('Detalle individual'!$D$5:D411,'Detalle individual'!D411)=1,COUNTIF('Detalle individual'!$D$5:$D$1000,"&lt;"&amp;'Detalle individual'!D411),""))</f>
        <v/>
      </c>
      <c r="AH411" t="str">
        <f>IF('Detalle individual'!F411="Pendiente",COUNTIF('Detalle individual'!$D$5:$D$1000,"&lt;"&amp;'Detalle individual'!D411)*1000000+COUNTIF('Detalle individual'!$C$5:$C$1000,"&lt;"&amp;'Detalle individual'!C411)*1000+COUNTIF('Detalle individual'!$B$5:$B$1000,"&lt;"&amp;'Detalle individual'!B411)+ROW()/10000,"")</f>
        <v/>
      </c>
      <c r="AI411" t="str">
        <f>IF('Detalle individual'!F411="Completado",COUNTIF('Detalle individual'!$D$5:$D$1000,"&lt;"&amp;'Detalle individual'!D411)*1000000+COUNTIF('Detalle individual'!$C$5:$C$1000,"&lt;"&amp;'Detalle individual'!C411)*1000+COUNTIF('Detalle individual'!$B$5:$B$1000,"&lt;"&amp;'Detalle individual'!B411)+ROW()/10000,"")</f>
        <v/>
      </c>
      <c r="AJ411" t="str">
        <f>IF(AND('Detalle individual'!F411&lt;&gt;"",'Detalle individual'!F411&lt;&gt;"Completado",'Detalle individual'!F411&lt;&gt;"Pendiente"),COUNTIF('Detalle individual'!$D$5:$D$1000,"&lt;"&amp;'Detalle individual'!D411)*1000000+COUNTIF('Detalle individual'!$C$5:$C$1000,"&lt;"&amp;'Detalle individual'!C411)*1000+COUNTIF('Detalle individual'!$B$5:$B$1000,"&lt;"&amp;'Detalle individual'!B411)+ROW()/10000,"")</f>
        <v/>
      </c>
      <c r="AK411" t="str">
        <f>IF(OR('Base Exámenes'!C411="",'Base Exámenes'!D411=""),"",IF(COUNTIF('Base Exámenes'!$C$5:C411,'Base Exámenes'!C411)=1,'Base Exámenes'!D411+ROW()/1000000000,""))</f>
        <v/>
      </c>
      <c r="AL411" t="str">
        <f>IF(OR('Base Exámenes'!C411="",'Base Exámenes'!E411=""),"",IF(COUNTIF('Base Exámenes'!$C$5:C411,'Base Exámenes'!C411)=1,'Base Exámenes'!E411+ROW()/1000000000,""))</f>
        <v/>
      </c>
      <c r="AM411" t="str">
        <f>IF(OR('Base Exámenes'!C411="",'Base Exámenes'!G411=""),"",IF(ROW()-4=MATCH('Base Exámenes'!C411&amp;"|"&amp;_xlfn.MAXIFS('Base Exámenes'!$G$5:$G$1000,'Base Exámenes'!$C$5:$C$1000,'Base Exámenes'!C411),'Base Exámenes'!$I$5:$I$1000,0),'Base Exámenes'!G411*1000000+(-1)*'Base Exámenes'!D411,""))</f>
        <v/>
      </c>
      <c r="AQ411" t="str">
        <f>IF('Base Exámenes'!C411="","",IF(COUNTIF('Base Exámenes'!$C$5:$C$1000,'Base Exámenes'!C411)&lt;2,"",MATCH('Base Exámenes'!C411,'Base Exámenes'!$C$5:$C$1000,0)*10000+ROW()))</f>
        <v/>
      </c>
    </row>
    <row r="412">
      <c r="Z412" t="str">
        <f>IF('Detalle individual'!A412="","",IF(AND(OR('Estado por Colaborador'!$D$4="Todas las gerencias",'Detalle individual'!D412='Estado por Colaborador'!$D$4),OR('Estado por Colaborador'!$D$5="Todos los departamentos",TRIM('Detalle individual'!C412)='Estado por Colaborador'!$D$5),OR('Estado por Colaborador'!$D$6="Todos",'Detalle individual'!F412='Estado por Colaborador'!$D$6)),IF('Detalle individual'!F412="Completado",30000000,IF('Detalle individual'!F412="Pendiente",0,15000000))+COUNTIF('Detalle individual'!$C$5:$C$1000,"&lt;"&amp;'Detalle individual'!C412)*10000+ROW(),""))</f>
        <v/>
      </c>
      <c r="AB412" t="str">
        <f>IF('Detalle individual'!C412="","",IF(COUNTIF('Detalle individual'!$C$5:C412,'Detalle individual'!C412)=1,COUNTIF('Detalle individual'!$C$5:$C$1000,"&lt;"&amp;'Detalle individual'!C412),""))</f>
        <v/>
      </c>
      <c r="AC412" t="str">
        <f>IF('Detalle individual'!D412="","",IF(COUNTIF('Detalle individual'!$D$5:D412,'Detalle individual'!D412)=1,COUNTIF('Detalle individual'!$D$5:$D$1000,"&lt;"&amp;'Detalle individual'!D412),""))</f>
        <v/>
      </c>
      <c r="AH412" t="str">
        <f>IF('Detalle individual'!F412="Pendiente",COUNTIF('Detalle individual'!$D$5:$D$1000,"&lt;"&amp;'Detalle individual'!D412)*1000000+COUNTIF('Detalle individual'!$C$5:$C$1000,"&lt;"&amp;'Detalle individual'!C412)*1000+COUNTIF('Detalle individual'!$B$5:$B$1000,"&lt;"&amp;'Detalle individual'!B412)+ROW()/10000,"")</f>
        <v/>
      </c>
      <c r="AI412" t="str">
        <f>IF('Detalle individual'!F412="Completado",COUNTIF('Detalle individual'!$D$5:$D$1000,"&lt;"&amp;'Detalle individual'!D412)*1000000+COUNTIF('Detalle individual'!$C$5:$C$1000,"&lt;"&amp;'Detalle individual'!C412)*1000+COUNTIF('Detalle individual'!$B$5:$B$1000,"&lt;"&amp;'Detalle individual'!B412)+ROW()/10000,"")</f>
        <v/>
      </c>
      <c r="AJ412" t="str">
        <f>IF(AND('Detalle individual'!F412&lt;&gt;"",'Detalle individual'!F412&lt;&gt;"Completado",'Detalle individual'!F412&lt;&gt;"Pendiente"),COUNTIF('Detalle individual'!$D$5:$D$1000,"&lt;"&amp;'Detalle individual'!D412)*1000000+COUNTIF('Detalle individual'!$C$5:$C$1000,"&lt;"&amp;'Detalle individual'!C412)*1000+COUNTIF('Detalle individual'!$B$5:$B$1000,"&lt;"&amp;'Detalle individual'!B412)+ROW()/10000,"")</f>
        <v/>
      </c>
      <c r="AK412" t="str">
        <f>IF(OR('Base Exámenes'!C412="",'Base Exámenes'!D412=""),"",IF(COUNTIF('Base Exámenes'!$C$5:C412,'Base Exámenes'!C412)=1,'Base Exámenes'!D412+ROW()/1000000000,""))</f>
        <v/>
      </c>
      <c r="AL412" t="str">
        <f>IF(OR('Base Exámenes'!C412="",'Base Exámenes'!E412=""),"",IF(COUNTIF('Base Exámenes'!$C$5:C412,'Base Exámenes'!C412)=1,'Base Exámenes'!E412+ROW()/1000000000,""))</f>
        <v/>
      </c>
      <c r="AM412" t="str">
        <f>IF(OR('Base Exámenes'!C412="",'Base Exámenes'!G412=""),"",IF(ROW()-4=MATCH('Base Exámenes'!C412&amp;"|"&amp;_xlfn.MAXIFS('Base Exámenes'!$G$5:$G$1000,'Base Exámenes'!$C$5:$C$1000,'Base Exámenes'!C412),'Base Exámenes'!$I$5:$I$1000,0),'Base Exámenes'!G412*1000000+(-1)*'Base Exámenes'!D412,""))</f>
        <v/>
      </c>
      <c r="AQ412" t="str">
        <f>IF('Base Exámenes'!C412="","",IF(COUNTIF('Base Exámenes'!$C$5:$C$1000,'Base Exámenes'!C412)&lt;2,"",MATCH('Base Exámenes'!C412,'Base Exámenes'!$C$5:$C$1000,0)*10000+ROW()))</f>
        <v/>
      </c>
    </row>
    <row r="413">
      <c r="Z413" t="str">
        <f>IF('Detalle individual'!A413="","",IF(AND(OR('Estado por Colaborador'!$D$4="Todas las gerencias",'Detalle individual'!D413='Estado por Colaborador'!$D$4),OR('Estado por Colaborador'!$D$5="Todos los departamentos",TRIM('Detalle individual'!C413)='Estado por Colaborador'!$D$5),OR('Estado por Colaborador'!$D$6="Todos",'Detalle individual'!F413='Estado por Colaborador'!$D$6)),IF('Detalle individual'!F413="Completado",30000000,IF('Detalle individual'!F413="Pendiente",0,15000000))+COUNTIF('Detalle individual'!$C$5:$C$1000,"&lt;"&amp;'Detalle individual'!C413)*10000+ROW(),""))</f>
        <v/>
      </c>
      <c r="AB413" t="str">
        <f>IF('Detalle individual'!C413="","",IF(COUNTIF('Detalle individual'!$C$5:C413,'Detalle individual'!C413)=1,COUNTIF('Detalle individual'!$C$5:$C$1000,"&lt;"&amp;'Detalle individual'!C413),""))</f>
        <v/>
      </c>
      <c r="AC413" t="str">
        <f>IF('Detalle individual'!D413="","",IF(COUNTIF('Detalle individual'!$D$5:D413,'Detalle individual'!D413)=1,COUNTIF('Detalle individual'!$D$5:$D$1000,"&lt;"&amp;'Detalle individual'!D413),""))</f>
        <v/>
      </c>
      <c r="AH413" t="str">
        <f>IF('Detalle individual'!F413="Pendiente",COUNTIF('Detalle individual'!$D$5:$D$1000,"&lt;"&amp;'Detalle individual'!D413)*1000000+COUNTIF('Detalle individual'!$C$5:$C$1000,"&lt;"&amp;'Detalle individual'!C413)*1000+COUNTIF('Detalle individual'!$B$5:$B$1000,"&lt;"&amp;'Detalle individual'!B413)+ROW()/10000,"")</f>
        <v/>
      </c>
      <c r="AI413" t="str">
        <f>IF('Detalle individual'!F413="Completado",COUNTIF('Detalle individual'!$D$5:$D$1000,"&lt;"&amp;'Detalle individual'!D413)*1000000+COUNTIF('Detalle individual'!$C$5:$C$1000,"&lt;"&amp;'Detalle individual'!C413)*1000+COUNTIF('Detalle individual'!$B$5:$B$1000,"&lt;"&amp;'Detalle individual'!B413)+ROW()/10000,"")</f>
        <v/>
      </c>
      <c r="AJ413" t="str">
        <f>IF(AND('Detalle individual'!F413&lt;&gt;"",'Detalle individual'!F413&lt;&gt;"Completado",'Detalle individual'!F413&lt;&gt;"Pendiente"),COUNTIF('Detalle individual'!$D$5:$D$1000,"&lt;"&amp;'Detalle individual'!D413)*1000000+COUNTIF('Detalle individual'!$C$5:$C$1000,"&lt;"&amp;'Detalle individual'!C413)*1000+COUNTIF('Detalle individual'!$B$5:$B$1000,"&lt;"&amp;'Detalle individual'!B413)+ROW()/10000,"")</f>
        <v/>
      </c>
      <c r="AK413" t="str">
        <f>IF(OR('Base Exámenes'!C413="",'Base Exámenes'!D413=""),"",IF(COUNTIF('Base Exámenes'!$C$5:C413,'Base Exámenes'!C413)=1,'Base Exámenes'!D413+ROW()/1000000000,""))</f>
        <v/>
      </c>
      <c r="AL413" t="str">
        <f>IF(OR('Base Exámenes'!C413="",'Base Exámenes'!E413=""),"",IF(COUNTIF('Base Exámenes'!$C$5:C413,'Base Exámenes'!C413)=1,'Base Exámenes'!E413+ROW()/1000000000,""))</f>
        <v/>
      </c>
      <c r="AM413" t="str">
        <f>IF(OR('Base Exámenes'!C413="",'Base Exámenes'!G413=""),"",IF(ROW()-4=MATCH('Base Exámenes'!C413&amp;"|"&amp;_xlfn.MAXIFS('Base Exámenes'!$G$5:$G$1000,'Base Exámenes'!$C$5:$C$1000,'Base Exámenes'!C413),'Base Exámenes'!$I$5:$I$1000,0),'Base Exámenes'!G413*1000000+(-1)*'Base Exámenes'!D413,""))</f>
        <v/>
      </c>
      <c r="AQ413" t="str">
        <f>IF('Base Exámenes'!C413="","",IF(COUNTIF('Base Exámenes'!$C$5:$C$1000,'Base Exámenes'!C413)&lt;2,"",MATCH('Base Exámenes'!C413,'Base Exámenes'!$C$5:$C$1000,0)*10000+ROW()))</f>
        <v/>
      </c>
    </row>
    <row r="414">
      <c r="Z414" t="str">
        <f>IF('Detalle individual'!A414="","",IF(AND(OR('Estado por Colaborador'!$D$4="Todas las gerencias",'Detalle individual'!D414='Estado por Colaborador'!$D$4),OR('Estado por Colaborador'!$D$5="Todos los departamentos",TRIM('Detalle individual'!C414)='Estado por Colaborador'!$D$5),OR('Estado por Colaborador'!$D$6="Todos",'Detalle individual'!F414='Estado por Colaborador'!$D$6)),IF('Detalle individual'!F414="Completado",30000000,IF('Detalle individual'!F414="Pendiente",0,15000000))+COUNTIF('Detalle individual'!$C$5:$C$1000,"&lt;"&amp;'Detalle individual'!C414)*10000+ROW(),""))</f>
        <v/>
      </c>
      <c r="AB414" t="str">
        <f>IF('Detalle individual'!C414="","",IF(COUNTIF('Detalle individual'!$C$5:C414,'Detalle individual'!C414)=1,COUNTIF('Detalle individual'!$C$5:$C$1000,"&lt;"&amp;'Detalle individual'!C414),""))</f>
        <v/>
      </c>
      <c r="AC414" t="str">
        <f>IF('Detalle individual'!D414="","",IF(COUNTIF('Detalle individual'!$D$5:D414,'Detalle individual'!D414)=1,COUNTIF('Detalle individual'!$D$5:$D$1000,"&lt;"&amp;'Detalle individual'!D414),""))</f>
        <v/>
      </c>
      <c r="AH414" t="str">
        <f>IF('Detalle individual'!F414="Pendiente",COUNTIF('Detalle individual'!$D$5:$D$1000,"&lt;"&amp;'Detalle individual'!D414)*1000000+COUNTIF('Detalle individual'!$C$5:$C$1000,"&lt;"&amp;'Detalle individual'!C414)*1000+COUNTIF('Detalle individual'!$B$5:$B$1000,"&lt;"&amp;'Detalle individual'!B414)+ROW()/10000,"")</f>
        <v/>
      </c>
      <c r="AI414" t="str">
        <f>IF('Detalle individual'!F414="Completado",COUNTIF('Detalle individual'!$D$5:$D$1000,"&lt;"&amp;'Detalle individual'!D414)*1000000+COUNTIF('Detalle individual'!$C$5:$C$1000,"&lt;"&amp;'Detalle individual'!C414)*1000+COUNTIF('Detalle individual'!$B$5:$B$1000,"&lt;"&amp;'Detalle individual'!B414)+ROW()/10000,"")</f>
        <v/>
      </c>
      <c r="AJ414" t="str">
        <f>IF(AND('Detalle individual'!F414&lt;&gt;"",'Detalle individual'!F414&lt;&gt;"Completado",'Detalle individual'!F414&lt;&gt;"Pendiente"),COUNTIF('Detalle individual'!$D$5:$D$1000,"&lt;"&amp;'Detalle individual'!D414)*1000000+COUNTIF('Detalle individual'!$C$5:$C$1000,"&lt;"&amp;'Detalle individual'!C414)*1000+COUNTIF('Detalle individual'!$B$5:$B$1000,"&lt;"&amp;'Detalle individual'!B414)+ROW()/10000,"")</f>
        <v/>
      </c>
      <c r="AK414" t="str">
        <f>IF(OR('Base Exámenes'!C414="",'Base Exámenes'!D414=""),"",IF(COUNTIF('Base Exámenes'!$C$5:C414,'Base Exámenes'!C414)=1,'Base Exámenes'!D414+ROW()/1000000000,""))</f>
        <v/>
      </c>
      <c r="AL414" t="str">
        <f>IF(OR('Base Exámenes'!C414="",'Base Exámenes'!E414=""),"",IF(COUNTIF('Base Exámenes'!$C$5:C414,'Base Exámenes'!C414)=1,'Base Exámenes'!E414+ROW()/1000000000,""))</f>
        <v/>
      </c>
      <c r="AM414" t="str">
        <f>IF(OR('Base Exámenes'!C414="",'Base Exámenes'!G414=""),"",IF(ROW()-4=MATCH('Base Exámenes'!C414&amp;"|"&amp;_xlfn.MAXIFS('Base Exámenes'!$G$5:$G$1000,'Base Exámenes'!$C$5:$C$1000,'Base Exámenes'!C414),'Base Exámenes'!$I$5:$I$1000,0),'Base Exámenes'!G414*1000000+(-1)*'Base Exámenes'!D414,""))</f>
        <v/>
      </c>
      <c r="AQ414" t="str">
        <f>IF('Base Exámenes'!C414="","",IF(COUNTIF('Base Exámenes'!$C$5:$C$1000,'Base Exámenes'!C414)&lt;2,"",MATCH('Base Exámenes'!C414,'Base Exámenes'!$C$5:$C$1000,0)*10000+ROW()))</f>
        <v/>
      </c>
    </row>
    <row r="415">
      <c r="Z415" t="str">
        <f>IF('Detalle individual'!A415="","",IF(AND(OR('Estado por Colaborador'!$D$4="Todas las gerencias",'Detalle individual'!D415='Estado por Colaborador'!$D$4),OR('Estado por Colaborador'!$D$5="Todos los departamentos",TRIM('Detalle individual'!C415)='Estado por Colaborador'!$D$5),OR('Estado por Colaborador'!$D$6="Todos",'Detalle individual'!F415='Estado por Colaborador'!$D$6)),IF('Detalle individual'!F415="Completado",30000000,IF('Detalle individual'!F415="Pendiente",0,15000000))+COUNTIF('Detalle individual'!$C$5:$C$1000,"&lt;"&amp;'Detalle individual'!C415)*10000+ROW(),""))</f>
        <v/>
      </c>
      <c r="AB415" t="str">
        <f>IF('Detalle individual'!C415="","",IF(COUNTIF('Detalle individual'!$C$5:C415,'Detalle individual'!C415)=1,COUNTIF('Detalle individual'!$C$5:$C$1000,"&lt;"&amp;'Detalle individual'!C415),""))</f>
        <v/>
      </c>
      <c r="AC415" t="str">
        <f>IF('Detalle individual'!D415="","",IF(COUNTIF('Detalle individual'!$D$5:D415,'Detalle individual'!D415)=1,COUNTIF('Detalle individual'!$D$5:$D$1000,"&lt;"&amp;'Detalle individual'!D415),""))</f>
        <v/>
      </c>
      <c r="AH415" t="str">
        <f>IF('Detalle individual'!F415="Pendiente",COUNTIF('Detalle individual'!$D$5:$D$1000,"&lt;"&amp;'Detalle individual'!D415)*1000000+COUNTIF('Detalle individual'!$C$5:$C$1000,"&lt;"&amp;'Detalle individual'!C415)*1000+COUNTIF('Detalle individual'!$B$5:$B$1000,"&lt;"&amp;'Detalle individual'!B415)+ROW()/10000,"")</f>
        <v/>
      </c>
      <c r="AI415" t="str">
        <f>IF('Detalle individual'!F415="Completado",COUNTIF('Detalle individual'!$D$5:$D$1000,"&lt;"&amp;'Detalle individual'!D415)*1000000+COUNTIF('Detalle individual'!$C$5:$C$1000,"&lt;"&amp;'Detalle individual'!C415)*1000+COUNTIF('Detalle individual'!$B$5:$B$1000,"&lt;"&amp;'Detalle individual'!B415)+ROW()/10000,"")</f>
        <v/>
      </c>
      <c r="AJ415" t="str">
        <f>IF(AND('Detalle individual'!F415&lt;&gt;"",'Detalle individual'!F415&lt;&gt;"Completado",'Detalle individual'!F415&lt;&gt;"Pendiente"),COUNTIF('Detalle individual'!$D$5:$D$1000,"&lt;"&amp;'Detalle individual'!D415)*1000000+COUNTIF('Detalle individual'!$C$5:$C$1000,"&lt;"&amp;'Detalle individual'!C415)*1000+COUNTIF('Detalle individual'!$B$5:$B$1000,"&lt;"&amp;'Detalle individual'!B415)+ROW()/10000,"")</f>
        <v/>
      </c>
      <c r="AK415" t="str">
        <f>IF(OR('Base Exámenes'!C415="",'Base Exámenes'!D415=""),"",IF(COUNTIF('Base Exámenes'!$C$5:C415,'Base Exámenes'!C415)=1,'Base Exámenes'!D415+ROW()/1000000000,""))</f>
        <v/>
      </c>
      <c r="AL415" t="str">
        <f>IF(OR('Base Exámenes'!C415="",'Base Exámenes'!E415=""),"",IF(COUNTIF('Base Exámenes'!$C$5:C415,'Base Exámenes'!C415)=1,'Base Exámenes'!E415+ROW()/1000000000,""))</f>
        <v/>
      </c>
      <c r="AM415" t="str">
        <f>IF(OR('Base Exámenes'!C415="",'Base Exámenes'!G415=""),"",IF(ROW()-4=MATCH('Base Exámenes'!C415&amp;"|"&amp;_xlfn.MAXIFS('Base Exámenes'!$G$5:$G$1000,'Base Exámenes'!$C$5:$C$1000,'Base Exámenes'!C415),'Base Exámenes'!$I$5:$I$1000,0),'Base Exámenes'!G415*1000000+(-1)*'Base Exámenes'!D415,""))</f>
        <v/>
      </c>
      <c r="AQ415" t="str">
        <f>IF('Base Exámenes'!C415="","",IF(COUNTIF('Base Exámenes'!$C$5:$C$1000,'Base Exámenes'!C415)&lt;2,"",MATCH('Base Exámenes'!C415,'Base Exámenes'!$C$5:$C$1000,0)*10000+ROW()))</f>
        <v/>
      </c>
    </row>
    <row r="416">
      <c r="Z416" t="str">
        <f>IF('Detalle individual'!A416="","",IF(AND(OR('Estado por Colaborador'!$D$4="Todas las gerencias",'Detalle individual'!D416='Estado por Colaborador'!$D$4),OR('Estado por Colaborador'!$D$5="Todos los departamentos",TRIM('Detalle individual'!C416)='Estado por Colaborador'!$D$5),OR('Estado por Colaborador'!$D$6="Todos",'Detalle individual'!F416='Estado por Colaborador'!$D$6)),IF('Detalle individual'!F416="Completado",30000000,IF('Detalle individual'!F416="Pendiente",0,15000000))+COUNTIF('Detalle individual'!$C$5:$C$1000,"&lt;"&amp;'Detalle individual'!C416)*10000+ROW(),""))</f>
        <v/>
      </c>
      <c r="AB416" t="str">
        <f>IF('Detalle individual'!C416="","",IF(COUNTIF('Detalle individual'!$C$5:C416,'Detalle individual'!C416)=1,COUNTIF('Detalle individual'!$C$5:$C$1000,"&lt;"&amp;'Detalle individual'!C416),""))</f>
        <v/>
      </c>
      <c r="AC416" t="str">
        <f>IF('Detalle individual'!D416="","",IF(COUNTIF('Detalle individual'!$D$5:D416,'Detalle individual'!D416)=1,COUNTIF('Detalle individual'!$D$5:$D$1000,"&lt;"&amp;'Detalle individual'!D416),""))</f>
        <v/>
      </c>
      <c r="AH416" t="str">
        <f>IF('Detalle individual'!F416="Pendiente",COUNTIF('Detalle individual'!$D$5:$D$1000,"&lt;"&amp;'Detalle individual'!D416)*1000000+COUNTIF('Detalle individual'!$C$5:$C$1000,"&lt;"&amp;'Detalle individual'!C416)*1000+COUNTIF('Detalle individual'!$B$5:$B$1000,"&lt;"&amp;'Detalle individual'!B416)+ROW()/10000,"")</f>
        <v/>
      </c>
      <c r="AI416" t="str">
        <f>IF('Detalle individual'!F416="Completado",COUNTIF('Detalle individual'!$D$5:$D$1000,"&lt;"&amp;'Detalle individual'!D416)*1000000+COUNTIF('Detalle individual'!$C$5:$C$1000,"&lt;"&amp;'Detalle individual'!C416)*1000+COUNTIF('Detalle individual'!$B$5:$B$1000,"&lt;"&amp;'Detalle individual'!B416)+ROW()/10000,"")</f>
        <v/>
      </c>
      <c r="AJ416" t="str">
        <f>IF(AND('Detalle individual'!F416&lt;&gt;"",'Detalle individual'!F416&lt;&gt;"Completado",'Detalle individual'!F416&lt;&gt;"Pendiente"),COUNTIF('Detalle individual'!$D$5:$D$1000,"&lt;"&amp;'Detalle individual'!D416)*1000000+COUNTIF('Detalle individual'!$C$5:$C$1000,"&lt;"&amp;'Detalle individual'!C416)*1000+COUNTIF('Detalle individual'!$B$5:$B$1000,"&lt;"&amp;'Detalle individual'!B416)+ROW()/10000,"")</f>
        <v/>
      </c>
      <c r="AK416" t="str">
        <f>IF(OR('Base Exámenes'!C416="",'Base Exámenes'!D416=""),"",IF(COUNTIF('Base Exámenes'!$C$5:C416,'Base Exámenes'!C416)=1,'Base Exámenes'!D416+ROW()/1000000000,""))</f>
        <v/>
      </c>
      <c r="AL416" t="str">
        <f>IF(OR('Base Exámenes'!C416="",'Base Exámenes'!E416=""),"",IF(COUNTIF('Base Exámenes'!$C$5:C416,'Base Exámenes'!C416)=1,'Base Exámenes'!E416+ROW()/1000000000,""))</f>
        <v/>
      </c>
      <c r="AM416" t="str">
        <f>IF(OR('Base Exámenes'!C416="",'Base Exámenes'!G416=""),"",IF(ROW()-4=MATCH('Base Exámenes'!C416&amp;"|"&amp;_xlfn.MAXIFS('Base Exámenes'!$G$5:$G$1000,'Base Exámenes'!$C$5:$C$1000,'Base Exámenes'!C416),'Base Exámenes'!$I$5:$I$1000,0),'Base Exámenes'!G416*1000000+(-1)*'Base Exámenes'!D416,""))</f>
        <v/>
      </c>
      <c r="AQ416" t="str">
        <f>IF('Base Exámenes'!C416="","",IF(COUNTIF('Base Exámenes'!$C$5:$C$1000,'Base Exámenes'!C416)&lt;2,"",MATCH('Base Exámenes'!C416,'Base Exámenes'!$C$5:$C$1000,0)*10000+ROW()))</f>
        <v/>
      </c>
    </row>
    <row r="417">
      <c r="Z417" t="str">
        <f>IF('Detalle individual'!A417="","",IF(AND(OR('Estado por Colaborador'!$D$4="Todas las gerencias",'Detalle individual'!D417='Estado por Colaborador'!$D$4),OR('Estado por Colaborador'!$D$5="Todos los departamentos",TRIM('Detalle individual'!C417)='Estado por Colaborador'!$D$5),OR('Estado por Colaborador'!$D$6="Todos",'Detalle individual'!F417='Estado por Colaborador'!$D$6)),IF('Detalle individual'!F417="Completado",30000000,IF('Detalle individual'!F417="Pendiente",0,15000000))+COUNTIF('Detalle individual'!$C$5:$C$1000,"&lt;"&amp;'Detalle individual'!C417)*10000+ROW(),""))</f>
        <v/>
      </c>
      <c r="AB417" t="str">
        <f>IF('Detalle individual'!C417="","",IF(COUNTIF('Detalle individual'!$C$5:C417,'Detalle individual'!C417)=1,COUNTIF('Detalle individual'!$C$5:$C$1000,"&lt;"&amp;'Detalle individual'!C417),""))</f>
        <v/>
      </c>
      <c r="AC417" t="str">
        <f>IF('Detalle individual'!D417="","",IF(COUNTIF('Detalle individual'!$D$5:D417,'Detalle individual'!D417)=1,COUNTIF('Detalle individual'!$D$5:$D$1000,"&lt;"&amp;'Detalle individual'!D417),""))</f>
        <v/>
      </c>
      <c r="AH417" t="str">
        <f>IF('Detalle individual'!F417="Pendiente",COUNTIF('Detalle individual'!$D$5:$D$1000,"&lt;"&amp;'Detalle individual'!D417)*1000000+COUNTIF('Detalle individual'!$C$5:$C$1000,"&lt;"&amp;'Detalle individual'!C417)*1000+COUNTIF('Detalle individual'!$B$5:$B$1000,"&lt;"&amp;'Detalle individual'!B417)+ROW()/10000,"")</f>
        <v/>
      </c>
      <c r="AI417" t="str">
        <f>IF('Detalle individual'!F417="Completado",COUNTIF('Detalle individual'!$D$5:$D$1000,"&lt;"&amp;'Detalle individual'!D417)*1000000+COUNTIF('Detalle individual'!$C$5:$C$1000,"&lt;"&amp;'Detalle individual'!C417)*1000+COUNTIF('Detalle individual'!$B$5:$B$1000,"&lt;"&amp;'Detalle individual'!B417)+ROW()/10000,"")</f>
        <v/>
      </c>
      <c r="AJ417" t="str">
        <f>IF(AND('Detalle individual'!F417&lt;&gt;"",'Detalle individual'!F417&lt;&gt;"Completado",'Detalle individual'!F417&lt;&gt;"Pendiente"),COUNTIF('Detalle individual'!$D$5:$D$1000,"&lt;"&amp;'Detalle individual'!D417)*1000000+COUNTIF('Detalle individual'!$C$5:$C$1000,"&lt;"&amp;'Detalle individual'!C417)*1000+COUNTIF('Detalle individual'!$B$5:$B$1000,"&lt;"&amp;'Detalle individual'!B417)+ROW()/10000,"")</f>
        <v/>
      </c>
      <c r="AK417" t="str">
        <f>IF(OR('Base Exámenes'!C417="",'Base Exámenes'!D417=""),"",IF(COUNTIF('Base Exámenes'!$C$5:C417,'Base Exámenes'!C417)=1,'Base Exámenes'!D417+ROW()/1000000000,""))</f>
        <v/>
      </c>
      <c r="AL417" t="str">
        <f>IF(OR('Base Exámenes'!C417="",'Base Exámenes'!E417=""),"",IF(COUNTIF('Base Exámenes'!$C$5:C417,'Base Exámenes'!C417)=1,'Base Exámenes'!E417+ROW()/1000000000,""))</f>
        <v/>
      </c>
      <c r="AM417" t="str">
        <f>IF(OR('Base Exámenes'!C417="",'Base Exámenes'!G417=""),"",IF(ROW()-4=MATCH('Base Exámenes'!C417&amp;"|"&amp;_xlfn.MAXIFS('Base Exámenes'!$G$5:$G$1000,'Base Exámenes'!$C$5:$C$1000,'Base Exámenes'!C417),'Base Exámenes'!$I$5:$I$1000,0),'Base Exámenes'!G417*1000000+(-1)*'Base Exámenes'!D417,""))</f>
        <v/>
      </c>
      <c r="AQ417" t="str">
        <f>IF('Base Exámenes'!C417="","",IF(COUNTIF('Base Exámenes'!$C$5:$C$1000,'Base Exámenes'!C417)&lt;2,"",MATCH('Base Exámenes'!C417,'Base Exámenes'!$C$5:$C$1000,0)*10000+ROW()))</f>
        <v/>
      </c>
    </row>
    <row r="418">
      <c r="Z418" t="str">
        <f>IF('Detalle individual'!A418="","",IF(AND(OR('Estado por Colaborador'!$D$4="Todas las gerencias",'Detalle individual'!D418='Estado por Colaborador'!$D$4),OR('Estado por Colaborador'!$D$5="Todos los departamentos",TRIM('Detalle individual'!C418)='Estado por Colaborador'!$D$5),OR('Estado por Colaborador'!$D$6="Todos",'Detalle individual'!F418='Estado por Colaborador'!$D$6)),IF('Detalle individual'!F418="Completado",30000000,IF('Detalle individual'!F418="Pendiente",0,15000000))+COUNTIF('Detalle individual'!$C$5:$C$1000,"&lt;"&amp;'Detalle individual'!C418)*10000+ROW(),""))</f>
        <v/>
      </c>
      <c r="AB418" t="str">
        <f>IF('Detalle individual'!C418="","",IF(COUNTIF('Detalle individual'!$C$5:C418,'Detalle individual'!C418)=1,COUNTIF('Detalle individual'!$C$5:$C$1000,"&lt;"&amp;'Detalle individual'!C418),""))</f>
        <v/>
      </c>
      <c r="AC418" t="str">
        <f>IF('Detalle individual'!D418="","",IF(COUNTIF('Detalle individual'!$D$5:D418,'Detalle individual'!D418)=1,COUNTIF('Detalle individual'!$D$5:$D$1000,"&lt;"&amp;'Detalle individual'!D418),""))</f>
        <v/>
      </c>
      <c r="AH418" t="str">
        <f>IF('Detalle individual'!F418="Pendiente",COUNTIF('Detalle individual'!$D$5:$D$1000,"&lt;"&amp;'Detalle individual'!D418)*1000000+COUNTIF('Detalle individual'!$C$5:$C$1000,"&lt;"&amp;'Detalle individual'!C418)*1000+COUNTIF('Detalle individual'!$B$5:$B$1000,"&lt;"&amp;'Detalle individual'!B418)+ROW()/10000,"")</f>
        <v/>
      </c>
      <c r="AI418" t="str">
        <f>IF('Detalle individual'!F418="Completado",COUNTIF('Detalle individual'!$D$5:$D$1000,"&lt;"&amp;'Detalle individual'!D418)*1000000+COUNTIF('Detalle individual'!$C$5:$C$1000,"&lt;"&amp;'Detalle individual'!C418)*1000+COUNTIF('Detalle individual'!$B$5:$B$1000,"&lt;"&amp;'Detalle individual'!B418)+ROW()/10000,"")</f>
        <v/>
      </c>
      <c r="AJ418" t="str">
        <f>IF(AND('Detalle individual'!F418&lt;&gt;"",'Detalle individual'!F418&lt;&gt;"Completado",'Detalle individual'!F418&lt;&gt;"Pendiente"),COUNTIF('Detalle individual'!$D$5:$D$1000,"&lt;"&amp;'Detalle individual'!D418)*1000000+COUNTIF('Detalle individual'!$C$5:$C$1000,"&lt;"&amp;'Detalle individual'!C418)*1000+COUNTIF('Detalle individual'!$B$5:$B$1000,"&lt;"&amp;'Detalle individual'!B418)+ROW()/10000,"")</f>
        <v/>
      </c>
      <c r="AK418" t="str">
        <f>IF(OR('Base Exámenes'!C418="",'Base Exámenes'!D418=""),"",IF(COUNTIF('Base Exámenes'!$C$5:C418,'Base Exámenes'!C418)=1,'Base Exámenes'!D418+ROW()/1000000000,""))</f>
        <v/>
      </c>
      <c r="AL418" t="str">
        <f>IF(OR('Base Exámenes'!C418="",'Base Exámenes'!E418=""),"",IF(COUNTIF('Base Exámenes'!$C$5:C418,'Base Exámenes'!C418)=1,'Base Exámenes'!E418+ROW()/1000000000,""))</f>
        <v/>
      </c>
      <c r="AM418" t="str">
        <f>IF(OR('Base Exámenes'!C418="",'Base Exámenes'!G418=""),"",IF(ROW()-4=MATCH('Base Exámenes'!C418&amp;"|"&amp;_xlfn.MAXIFS('Base Exámenes'!$G$5:$G$1000,'Base Exámenes'!$C$5:$C$1000,'Base Exámenes'!C418),'Base Exámenes'!$I$5:$I$1000,0),'Base Exámenes'!G418*1000000+(-1)*'Base Exámenes'!D418,""))</f>
        <v/>
      </c>
      <c r="AQ418" t="str">
        <f>IF('Base Exámenes'!C418="","",IF(COUNTIF('Base Exámenes'!$C$5:$C$1000,'Base Exámenes'!C418)&lt;2,"",MATCH('Base Exámenes'!C418,'Base Exámenes'!$C$5:$C$1000,0)*10000+ROW()))</f>
        <v/>
      </c>
    </row>
    <row r="419">
      <c r="Z419" t="str">
        <f>IF('Detalle individual'!A419="","",IF(AND(OR('Estado por Colaborador'!$D$4="Todas las gerencias",'Detalle individual'!D419='Estado por Colaborador'!$D$4),OR('Estado por Colaborador'!$D$5="Todos los departamentos",TRIM('Detalle individual'!C419)='Estado por Colaborador'!$D$5),OR('Estado por Colaborador'!$D$6="Todos",'Detalle individual'!F419='Estado por Colaborador'!$D$6)),IF('Detalle individual'!F419="Completado",30000000,IF('Detalle individual'!F419="Pendiente",0,15000000))+COUNTIF('Detalle individual'!$C$5:$C$1000,"&lt;"&amp;'Detalle individual'!C419)*10000+ROW(),""))</f>
        <v/>
      </c>
      <c r="AB419" t="str">
        <f>IF('Detalle individual'!C419="","",IF(COUNTIF('Detalle individual'!$C$5:C419,'Detalle individual'!C419)=1,COUNTIF('Detalle individual'!$C$5:$C$1000,"&lt;"&amp;'Detalle individual'!C419),""))</f>
        <v/>
      </c>
      <c r="AC419" t="str">
        <f>IF('Detalle individual'!D419="","",IF(COUNTIF('Detalle individual'!$D$5:D419,'Detalle individual'!D419)=1,COUNTIF('Detalle individual'!$D$5:$D$1000,"&lt;"&amp;'Detalle individual'!D419),""))</f>
        <v/>
      </c>
      <c r="AH419" t="str">
        <f>IF('Detalle individual'!F419="Pendiente",COUNTIF('Detalle individual'!$D$5:$D$1000,"&lt;"&amp;'Detalle individual'!D419)*1000000+COUNTIF('Detalle individual'!$C$5:$C$1000,"&lt;"&amp;'Detalle individual'!C419)*1000+COUNTIF('Detalle individual'!$B$5:$B$1000,"&lt;"&amp;'Detalle individual'!B419)+ROW()/10000,"")</f>
        <v/>
      </c>
      <c r="AI419" t="str">
        <f>IF('Detalle individual'!F419="Completado",COUNTIF('Detalle individual'!$D$5:$D$1000,"&lt;"&amp;'Detalle individual'!D419)*1000000+COUNTIF('Detalle individual'!$C$5:$C$1000,"&lt;"&amp;'Detalle individual'!C419)*1000+COUNTIF('Detalle individual'!$B$5:$B$1000,"&lt;"&amp;'Detalle individual'!B419)+ROW()/10000,"")</f>
        <v/>
      </c>
      <c r="AJ419" t="str">
        <f>IF(AND('Detalle individual'!F419&lt;&gt;"",'Detalle individual'!F419&lt;&gt;"Completado",'Detalle individual'!F419&lt;&gt;"Pendiente"),COUNTIF('Detalle individual'!$D$5:$D$1000,"&lt;"&amp;'Detalle individual'!D419)*1000000+COUNTIF('Detalle individual'!$C$5:$C$1000,"&lt;"&amp;'Detalle individual'!C419)*1000+COUNTIF('Detalle individual'!$B$5:$B$1000,"&lt;"&amp;'Detalle individual'!B419)+ROW()/10000,"")</f>
        <v/>
      </c>
      <c r="AK419" t="str">
        <f>IF(OR('Base Exámenes'!C419="",'Base Exámenes'!D419=""),"",IF(COUNTIF('Base Exámenes'!$C$5:C419,'Base Exámenes'!C419)=1,'Base Exámenes'!D419+ROW()/1000000000,""))</f>
        <v/>
      </c>
      <c r="AL419" t="str">
        <f>IF(OR('Base Exámenes'!C419="",'Base Exámenes'!E419=""),"",IF(COUNTIF('Base Exámenes'!$C$5:C419,'Base Exámenes'!C419)=1,'Base Exámenes'!E419+ROW()/1000000000,""))</f>
        <v/>
      </c>
      <c r="AM419" t="str">
        <f>IF(OR('Base Exámenes'!C419="",'Base Exámenes'!G419=""),"",IF(ROW()-4=MATCH('Base Exámenes'!C419&amp;"|"&amp;_xlfn.MAXIFS('Base Exámenes'!$G$5:$G$1000,'Base Exámenes'!$C$5:$C$1000,'Base Exámenes'!C419),'Base Exámenes'!$I$5:$I$1000,0),'Base Exámenes'!G419*1000000+(-1)*'Base Exámenes'!D419,""))</f>
        <v/>
      </c>
      <c r="AQ419" t="str">
        <f>IF('Base Exámenes'!C419="","",IF(COUNTIF('Base Exámenes'!$C$5:$C$1000,'Base Exámenes'!C419)&lt;2,"",MATCH('Base Exámenes'!C419,'Base Exámenes'!$C$5:$C$1000,0)*10000+ROW()))</f>
        <v/>
      </c>
    </row>
    <row r="420">
      <c r="Z420" t="str">
        <f>IF('Detalle individual'!A420="","",IF(AND(OR('Estado por Colaborador'!$D$4="Todas las gerencias",'Detalle individual'!D420='Estado por Colaborador'!$D$4),OR('Estado por Colaborador'!$D$5="Todos los departamentos",TRIM('Detalle individual'!C420)='Estado por Colaborador'!$D$5),OR('Estado por Colaborador'!$D$6="Todos",'Detalle individual'!F420='Estado por Colaborador'!$D$6)),IF('Detalle individual'!F420="Completado",30000000,IF('Detalle individual'!F420="Pendiente",0,15000000))+COUNTIF('Detalle individual'!$C$5:$C$1000,"&lt;"&amp;'Detalle individual'!C420)*10000+ROW(),""))</f>
        <v/>
      </c>
      <c r="AB420" t="str">
        <f>IF('Detalle individual'!C420="","",IF(COUNTIF('Detalle individual'!$C$5:C420,'Detalle individual'!C420)=1,COUNTIF('Detalle individual'!$C$5:$C$1000,"&lt;"&amp;'Detalle individual'!C420),""))</f>
        <v/>
      </c>
      <c r="AC420" t="str">
        <f>IF('Detalle individual'!D420="","",IF(COUNTIF('Detalle individual'!$D$5:D420,'Detalle individual'!D420)=1,COUNTIF('Detalle individual'!$D$5:$D$1000,"&lt;"&amp;'Detalle individual'!D420),""))</f>
        <v/>
      </c>
      <c r="AH420" t="str">
        <f>IF('Detalle individual'!F420="Pendiente",COUNTIF('Detalle individual'!$D$5:$D$1000,"&lt;"&amp;'Detalle individual'!D420)*1000000+COUNTIF('Detalle individual'!$C$5:$C$1000,"&lt;"&amp;'Detalle individual'!C420)*1000+COUNTIF('Detalle individual'!$B$5:$B$1000,"&lt;"&amp;'Detalle individual'!B420)+ROW()/10000,"")</f>
        <v/>
      </c>
      <c r="AI420" t="str">
        <f>IF('Detalle individual'!F420="Completado",COUNTIF('Detalle individual'!$D$5:$D$1000,"&lt;"&amp;'Detalle individual'!D420)*1000000+COUNTIF('Detalle individual'!$C$5:$C$1000,"&lt;"&amp;'Detalle individual'!C420)*1000+COUNTIF('Detalle individual'!$B$5:$B$1000,"&lt;"&amp;'Detalle individual'!B420)+ROW()/10000,"")</f>
        <v/>
      </c>
      <c r="AJ420" t="str">
        <f>IF(AND('Detalle individual'!F420&lt;&gt;"",'Detalle individual'!F420&lt;&gt;"Completado",'Detalle individual'!F420&lt;&gt;"Pendiente"),COUNTIF('Detalle individual'!$D$5:$D$1000,"&lt;"&amp;'Detalle individual'!D420)*1000000+COUNTIF('Detalle individual'!$C$5:$C$1000,"&lt;"&amp;'Detalle individual'!C420)*1000+COUNTIF('Detalle individual'!$B$5:$B$1000,"&lt;"&amp;'Detalle individual'!B420)+ROW()/10000,"")</f>
        <v/>
      </c>
      <c r="AK420" t="str">
        <f>IF(OR('Base Exámenes'!C420="",'Base Exámenes'!D420=""),"",IF(COUNTIF('Base Exámenes'!$C$5:C420,'Base Exámenes'!C420)=1,'Base Exámenes'!D420+ROW()/1000000000,""))</f>
        <v/>
      </c>
      <c r="AL420" t="str">
        <f>IF(OR('Base Exámenes'!C420="",'Base Exámenes'!E420=""),"",IF(COUNTIF('Base Exámenes'!$C$5:C420,'Base Exámenes'!C420)=1,'Base Exámenes'!E420+ROW()/1000000000,""))</f>
        <v/>
      </c>
      <c r="AM420" t="str">
        <f>IF(OR('Base Exámenes'!C420="",'Base Exámenes'!G420=""),"",IF(ROW()-4=MATCH('Base Exámenes'!C420&amp;"|"&amp;_xlfn.MAXIFS('Base Exámenes'!$G$5:$G$1000,'Base Exámenes'!$C$5:$C$1000,'Base Exámenes'!C420),'Base Exámenes'!$I$5:$I$1000,0),'Base Exámenes'!G420*1000000+(-1)*'Base Exámenes'!D420,""))</f>
        <v/>
      </c>
      <c r="AQ420" t="str">
        <f>IF('Base Exámenes'!C420="","",IF(COUNTIF('Base Exámenes'!$C$5:$C$1000,'Base Exámenes'!C420)&lt;2,"",MATCH('Base Exámenes'!C420,'Base Exámenes'!$C$5:$C$1000,0)*10000+ROW()))</f>
        <v/>
      </c>
    </row>
    <row r="421">
      <c r="Z421" t="str">
        <f>IF('Detalle individual'!A421="","",IF(AND(OR('Estado por Colaborador'!$D$4="Todas las gerencias",'Detalle individual'!D421='Estado por Colaborador'!$D$4),OR('Estado por Colaborador'!$D$5="Todos los departamentos",TRIM('Detalle individual'!C421)='Estado por Colaborador'!$D$5),OR('Estado por Colaborador'!$D$6="Todos",'Detalle individual'!F421='Estado por Colaborador'!$D$6)),IF('Detalle individual'!F421="Completado",30000000,IF('Detalle individual'!F421="Pendiente",0,15000000))+COUNTIF('Detalle individual'!$C$5:$C$1000,"&lt;"&amp;'Detalle individual'!C421)*10000+ROW(),""))</f>
        <v/>
      </c>
      <c r="AB421" t="str">
        <f>IF('Detalle individual'!C421="","",IF(COUNTIF('Detalle individual'!$C$5:C421,'Detalle individual'!C421)=1,COUNTIF('Detalle individual'!$C$5:$C$1000,"&lt;"&amp;'Detalle individual'!C421),""))</f>
        <v/>
      </c>
      <c r="AC421" t="str">
        <f>IF('Detalle individual'!D421="","",IF(COUNTIF('Detalle individual'!$D$5:D421,'Detalle individual'!D421)=1,COUNTIF('Detalle individual'!$D$5:$D$1000,"&lt;"&amp;'Detalle individual'!D421),""))</f>
        <v/>
      </c>
      <c r="AH421" t="str">
        <f>IF('Detalle individual'!F421="Pendiente",COUNTIF('Detalle individual'!$D$5:$D$1000,"&lt;"&amp;'Detalle individual'!D421)*1000000+COUNTIF('Detalle individual'!$C$5:$C$1000,"&lt;"&amp;'Detalle individual'!C421)*1000+COUNTIF('Detalle individual'!$B$5:$B$1000,"&lt;"&amp;'Detalle individual'!B421)+ROW()/10000,"")</f>
        <v/>
      </c>
      <c r="AI421" t="str">
        <f>IF('Detalle individual'!F421="Completado",COUNTIF('Detalle individual'!$D$5:$D$1000,"&lt;"&amp;'Detalle individual'!D421)*1000000+COUNTIF('Detalle individual'!$C$5:$C$1000,"&lt;"&amp;'Detalle individual'!C421)*1000+COUNTIF('Detalle individual'!$B$5:$B$1000,"&lt;"&amp;'Detalle individual'!B421)+ROW()/10000,"")</f>
        <v/>
      </c>
      <c r="AJ421" t="str">
        <f>IF(AND('Detalle individual'!F421&lt;&gt;"",'Detalle individual'!F421&lt;&gt;"Completado",'Detalle individual'!F421&lt;&gt;"Pendiente"),COUNTIF('Detalle individual'!$D$5:$D$1000,"&lt;"&amp;'Detalle individual'!D421)*1000000+COUNTIF('Detalle individual'!$C$5:$C$1000,"&lt;"&amp;'Detalle individual'!C421)*1000+COUNTIF('Detalle individual'!$B$5:$B$1000,"&lt;"&amp;'Detalle individual'!B421)+ROW()/10000,"")</f>
        <v/>
      </c>
      <c r="AK421" t="str">
        <f>IF(OR('Base Exámenes'!C421="",'Base Exámenes'!D421=""),"",IF(COUNTIF('Base Exámenes'!$C$5:C421,'Base Exámenes'!C421)=1,'Base Exámenes'!D421+ROW()/1000000000,""))</f>
        <v/>
      </c>
      <c r="AL421" t="str">
        <f>IF(OR('Base Exámenes'!C421="",'Base Exámenes'!E421=""),"",IF(COUNTIF('Base Exámenes'!$C$5:C421,'Base Exámenes'!C421)=1,'Base Exámenes'!E421+ROW()/1000000000,""))</f>
        <v/>
      </c>
      <c r="AM421" t="str">
        <f>IF(OR('Base Exámenes'!C421="",'Base Exámenes'!G421=""),"",IF(ROW()-4=MATCH('Base Exámenes'!C421&amp;"|"&amp;_xlfn.MAXIFS('Base Exámenes'!$G$5:$G$1000,'Base Exámenes'!$C$5:$C$1000,'Base Exámenes'!C421),'Base Exámenes'!$I$5:$I$1000,0),'Base Exámenes'!G421*1000000+(-1)*'Base Exámenes'!D421,""))</f>
        <v/>
      </c>
      <c r="AQ421" t="str">
        <f>IF('Base Exámenes'!C421="","",IF(COUNTIF('Base Exámenes'!$C$5:$C$1000,'Base Exámenes'!C421)&lt;2,"",MATCH('Base Exámenes'!C421,'Base Exámenes'!$C$5:$C$1000,0)*10000+ROW()))</f>
        <v/>
      </c>
    </row>
    <row r="422">
      <c r="Z422" t="str">
        <f>IF('Detalle individual'!A422="","",IF(AND(OR('Estado por Colaborador'!$D$4="Todas las gerencias",'Detalle individual'!D422='Estado por Colaborador'!$D$4),OR('Estado por Colaborador'!$D$5="Todos los departamentos",TRIM('Detalle individual'!C422)='Estado por Colaborador'!$D$5),OR('Estado por Colaborador'!$D$6="Todos",'Detalle individual'!F422='Estado por Colaborador'!$D$6)),IF('Detalle individual'!F422="Completado",30000000,IF('Detalle individual'!F422="Pendiente",0,15000000))+COUNTIF('Detalle individual'!$C$5:$C$1000,"&lt;"&amp;'Detalle individual'!C422)*10000+ROW(),""))</f>
        <v/>
      </c>
      <c r="AB422" t="str">
        <f>IF('Detalle individual'!C422="","",IF(COUNTIF('Detalle individual'!$C$5:C422,'Detalle individual'!C422)=1,COUNTIF('Detalle individual'!$C$5:$C$1000,"&lt;"&amp;'Detalle individual'!C422),""))</f>
        <v/>
      </c>
      <c r="AC422" t="str">
        <f>IF('Detalle individual'!D422="","",IF(COUNTIF('Detalle individual'!$D$5:D422,'Detalle individual'!D422)=1,COUNTIF('Detalle individual'!$D$5:$D$1000,"&lt;"&amp;'Detalle individual'!D422),""))</f>
        <v/>
      </c>
      <c r="AH422" t="str">
        <f>IF('Detalle individual'!F422="Pendiente",COUNTIF('Detalle individual'!$D$5:$D$1000,"&lt;"&amp;'Detalle individual'!D422)*1000000+COUNTIF('Detalle individual'!$C$5:$C$1000,"&lt;"&amp;'Detalle individual'!C422)*1000+COUNTIF('Detalle individual'!$B$5:$B$1000,"&lt;"&amp;'Detalle individual'!B422)+ROW()/10000,"")</f>
        <v/>
      </c>
      <c r="AI422" t="str">
        <f>IF('Detalle individual'!F422="Completado",COUNTIF('Detalle individual'!$D$5:$D$1000,"&lt;"&amp;'Detalle individual'!D422)*1000000+COUNTIF('Detalle individual'!$C$5:$C$1000,"&lt;"&amp;'Detalle individual'!C422)*1000+COUNTIF('Detalle individual'!$B$5:$B$1000,"&lt;"&amp;'Detalle individual'!B422)+ROW()/10000,"")</f>
        <v/>
      </c>
      <c r="AJ422" t="str">
        <f>IF(AND('Detalle individual'!F422&lt;&gt;"",'Detalle individual'!F422&lt;&gt;"Completado",'Detalle individual'!F422&lt;&gt;"Pendiente"),COUNTIF('Detalle individual'!$D$5:$D$1000,"&lt;"&amp;'Detalle individual'!D422)*1000000+COUNTIF('Detalle individual'!$C$5:$C$1000,"&lt;"&amp;'Detalle individual'!C422)*1000+COUNTIF('Detalle individual'!$B$5:$B$1000,"&lt;"&amp;'Detalle individual'!B422)+ROW()/10000,"")</f>
        <v/>
      </c>
      <c r="AK422" t="str">
        <f>IF(OR('Base Exámenes'!C422="",'Base Exámenes'!D422=""),"",IF(COUNTIF('Base Exámenes'!$C$5:C422,'Base Exámenes'!C422)=1,'Base Exámenes'!D422+ROW()/1000000000,""))</f>
        <v/>
      </c>
      <c r="AL422" t="str">
        <f>IF(OR('Base Exámenes'!C422="",'Base Exámenes'!E422=""),"",IF(COUNTIF('Base Exámenes'!$C$5:C422,'Base Exámenes'!C422)=1,'Base Exámenes'!E422+ROW()/1000000000,""))</f>
        <v/>
      </c>
      <c r="AM422" t="str">
        <f>IF(OR('Base Exámenes'!C422="",'Base Exámenes'!G422=""),"",IF(ROW()-4=MATCH('Base Exámenes'!C422&amp;"|"&amp;_xlfn.MAXIFS('Base Exámenes'!$G$5:$G$1000,'Base Exámenes'!$C$5:$C$1000,'Base Exámenes'!C422),'Base Exámenes'!$I$5:$I$1000,0),'Base Exámenes'!G422*1000000+(-1)*'Base Exámenes'!D422,""))</f>
        <v/>
      </c>
      <c r="AQ422" t="str">
        <f>IF('Base Exámenes'!C422="","",IF(COUNTIF('Base Exámenes'!$C$5:$C$1000,'Base Exámenes'!C422)&lt;2,"",MATCH('Base Exámenes'!C422,'Base Exámenes'!$C$5:$C$1000,0)*10000+ROW()))</f>
        <v/>
      </c>
    </row>
    <row r="423">
      <c r="Z423" t="str">
        <f>IF('Detalle individual'!A423="","",IF(AND(OR('Estado por Colaborador'!$D$4="Todas las gerencias",'Detalle individual'!D423='Estado por Colaborador'!$D$4),OR('Estado por Colaborador'!$D$5="Todos los departamentos",TRIM('Detalle individual'!C423)='Estado por Colaborador'!$D$5),OR('Estado por Colaborador'!$D$6="Todos",'Detalle individual'!F423='Estado por Colaborador'!$D$6)),IF('Detalle individual'!F423="Completado",30000000,IF('Detalle individual'!F423="Pendiente",0,15000000))+COUNTIF('Detalle individual'!$C$5:$C$1000,"&lt;"&amp;'Detalle individual'!C423)*10000+ROW(),""))</f>
        <v/>
      </c>
      <c r="AB423" t="str">
        <f>IF('Detalle individual'!C423="","",IF(COUNTIF('Detalle individual'!$C$5:C423,'Detalle individual'!C423)=1,COUNTIF('Detalle individual'!$C$5:$C$1000,"&lt;"&amp;'Detalle individual'!C423),""))</f>
        <v/>
      </c>
      <c r="AC423" t="str">
        <f>IF('Detalle individual'!D423="","",IF(COUNTIF('Detalle individual'!$D$5:D423,'Detalle individual'!D423)=1,COUNTIF('Detalle individual'!$D$5:$D$1000,"&lt;"&amp;'Detalle individual'!D423),""))</f>
        <v/>
      </c>
      <c r="AH423" t="str">
        <f>IF('Detalle individual'!F423="Pendiente",COUNTIF('Detalle individual'!$D$5:$D$1000,"&lt;"&amp;'Detalle individual'!D423)*1000000+COUNTIF('Detalle individual'!$C$5:$C$1000,"&lt;"&amp;'Detalle individual'!C423)*1000+COUNTIF('Detalle individual'!$B$5:$B$1000,"&lt;"&amp;'Detalle individual'!B423)+ROW()/10000,"")</f>
        <v/>
      </c>
      <c r="AI423" t="str">
        <f>IF('Detalle individual'!F423="Completado",COUNTIF('Detalle individual'!$D$5:$D$1000,"&lt;"&amp;'Detalle individual'!D423)*1000000+COUNTIF('Detalle individual'!$C$5:$C$1000,"&lt;"&amp;'Detalle individual'!C423)*1000+COUNTIF('Detalle individual'!$B$5:$B$1000,"&lt;"&amp;'Detalle individual'!B423)+ROW()/10000,"")</f>
        <v/>
      </c>
      <c r="AJ423" t="str">
        <f>IF(AND('Detalle individual'!F423&lt;&gt;"",'Detalle individual'!F423&lt;&gt;"Completado",'Detalle individual'!F423&lt;&gt;"Pendiente"),COUNTIF('Detalle individual'!$D$5:$D$1000,"&lt;"&amp;'Detalle individual'!D423)*1000000+COUNTIF('Detalle individual'!$C$5:$C$1000,"&lt;"&amp;'Detalle individual'!C423)*1000+COUNTIF('Detalle individual'!$B$5:$B$1000,"&lt;"&amp;'Detalle individual'!B423)+ROW()/10000,"")</f>
        <v/>
      </c>
      <c r="AK423" t="str">
        <f>IF(OR('Base Exámenes'!C423="",'Base Exámenes'!D423=""),"",IF(COUNTIF('Base Exámenes'!$C$5:C423,'Base Exámenes'!C423)=1,'Base Exámenes'!D423+ROW()/1000000000,""))</f>
        <v/>
      </c>
      <c r="AL423" t="str">
        <f>IF(OR('Base Exámenes'!C423="",'Base Exámenes'!E423=""),"",IF(COUNTIF('Base Exámenes'!$C$5:C423,'Base Exámenes'!C423)=1,'Base Exámenes'!E423+ROW()/1000000000,""))</f>
        <v/>
      </c>
      <c r="AM423" t="str">
        <f>IF(OR('Base Exámenes'!C423="",'Base Exámenes'!G423=""),"",IF(ROW()-4=MATCH('Base Exámenes'!C423&amp;"|"&amp;_xlfn.MAXIFS('Base Exámenes'!$G$5:$G$1000,'Base Exámenes'!$C$5:$C$1000,'Base Exámenes'!C423),'Base Exámenes'!$I$5:$I$1000,0),'Base Exámenes'!G423*1000000+(-1)*'Base Exámenes'!D423,""))</f>
        <v/>
      </c>
      <c r="AQ423" t="str">
        <f>IF('Base Exámenes'!C423="","",IF(COUNTIF('Base Exámenes'!$C$5:$C$1000,'Base Exámenes'!C423)&lt;2,"",MATCH('Base Exámenes'!C423,'Base Exámenes'!$C$5:$C$1000,0)*10000+ROW()))</f>
        <v/>
      </c>
    </row>
    <row r="424">
      <c r="Z424" t="str">
        <f>IF('Detalle individual'!A424="","",IF(AND(OR('Estado por Colaborador'!$D$4="Todas las gerencias",'Detalle individual'!D424='Estado por Colaborador'!$D$4),OR('Estado por Colaborador'!$D$5="Todos los departamentos",TRIM('Detalle individual'!C424)='Estado por Colaborador'!$D$5),OR('Estado por Colaborador'!$D$6="Todos",'Detalle individual'!F424='Estado por Colaborador'!$D$6)),IF('Detalle individual'!F424="Completado",30000000,IF('Detalle individual'!F424="Pendiente",0,15000000))+COUNTIF('Detalle individual'!$C$5:$C$1000,"&lt;"&amp;'Detalle individual'!C424)*10000+ROW(),""))</f>
        <v/>
      </c>
      <c r="AB424" t="str">
        <f>IF('Detalle individual'!C424="","",IF(COUNTIF('Detalle individual'!$C$5:C424,'Detalle individual'!C424)=1,COUNTIF('Detalle individual'!$C$5:$C$1000,"&lt;"&amp;'Detalle individual'!C424),""))</f>
        <v/>
      </c>
      <c r="AC424" t="str">
        <f>IF('Detalle individual'!D424="","",IF(COUNTIF('Detalle individual'!$D$5:D424,'Detalle individual'!D424)=1,COUNTIF('Detalle individual'!$D$5:$D$1000,"&lt;"&amp;'Detalle individual'!D424),""))</f>
        <v/>
      </c>
      <c r="AH424" t="str">
        <f>IF('Detalle individual'!F424="Pendiente",COUNTIF('Detalle individual'!$D$5:$D$1000,"&lt;"&amp;'Detalle individual'!D424)*1000000+COUNTIF('Detalle individual'!$C$5:$C$1000,"&lt;"&amp;'Detalle individual'!C424)*1000+COUNTIF('Detalle individual'!$B$5:$B$1000,"&lt;"&amp;'Detalle individual'!B424)+ROW()/10000,"")</f>
        <v/>
      </c>
      <c r="AI424" t="str">
        <f>IF('Detalle individual'!F424="Completado",COUNTIF('Detalle individual'!$D$5:$D$1000,"&lt;"&amp;'Detalle individual'!D424)*1000000+COUNTIF('Detalle individual'!$C$5:$C$1000,"&lt;"&amp;'Detalle individual'!C424)*1000+COUNTIF('Detalle individual'!$B$5:$B$1000,"&lt;"&amp;'Detalle individual'!B424)+ROW()/10000,"")</f>
        <v/>
      </c>
      <c r="AJ424" t="str">
        <f>IF(AND('Detalle individual'!F424&lt;&gt;"",'Detalle individual'!F424&lt;&gt;"Completado",'Detalle individual'!F424&lt;&gt;"Pendiente"),COUNTIF('Detalle individual'!$D$5:$D$1000,"&lt;"&amp;'Detalle individual'!D424)*1000000+COUNTIF('Detalle individual'!$C$5:$C$1000,"&lt;"&amp;'Detalle individual'!C424)*1000+COUNTIF('Detalle individual'!$B$5:$B$1000,"&lt;"&amp;'Detalle individual'!B424)+ROW()/10000,"")</f>
        <v/>
      </c>
      <c r="AK424" t="str">
        <f>IF(OR('Base Exámenes'!C424="",'Base Exámenes'!D424=""),"",IF(COUNTIF('Base Exámenes'!$C$5:C424,'Base Exámenes'!C424)=1,'Base Exámenes'!D424+ROW()/1000000000,""))</f>
        <v/>
      </c>
      <c r="AL424" t="str">
        <f>IF(OR('Base Exámenes'!C424="",'Base Exámenes'!E424=""),"",IF(COUNTIF('Base Exámenes'!$C$5:C424,'Base Exámenes'!C424)=1,'Base Exámenes'!E424+ROW()/1000000000,""))</f>
        <v/>
      </c>
      <c r="AM424" t="str">
        <f>IF(OR('Base Exámenes'!C424="",'Base Exámenes'!G424=""),"",IF(ROW()-4=MATCH('Base Exámenes'!C424&amp;"|"&amp;_xlfn.MAXIFS('Base Exámenes'!$G$5:$G$1000,'Base Exámenes'!$C$5:$C$1000,'Base Exámenes'!C424),'Base Exámenes'!$I$5:$I$1000,0),'Base Exámenes'!G424*1000000+(-1)*'Base Exámenes'!D424,""))</f>
        <v/>
      </c>
      <c r="AQ424" t="str">
        <f>IF('Base Exámenes'!C424="","",IF(COUNTIF('Base Exámenes'!$C$5:$C$1000,'Base Exámenes'!C424)&lt;2,"",MATCH('Base Exámenes'!C424,'Base Exámenes'!$C$5:$C$1000,0)*10000+ROW()))</f>
        <v/>
      </c>
    </row>
    <row r="425">
      <c r="Z425" t="str">
        <f>IF('Detalle individual'!A425="","",IF(AND(OR('Estado por Colaborador'!$D$4="Todas las gerencias",'Detalle individual'!D425='Estado por Colaborador'!$D$4),OR('Estado por Colaborador'!$D$5="Todos los departamentos",TRIM('Detalle individual'!C425)='Estado por Colaborador'!$D$5),OR('Estado por Colaborador'!$D$6="Todos",'Detalle individual'!F425='Estado por Colaborador'!$D$6)),IF('Detalle individual'!F425="Completado",30000000,IF('Detalle individual'!F425="Pendiente",0,15000000))+COUNTIF('Detalle individual'!$C$5:$C$1000,"&lt;"&amp;'Detalle individual'!C425)*10000+ROW(),""))</f>
        <v/>
      </c>
      <c r="AB425" t="str">
        <f>IF('Detalle individual'!C425="","",IF(COUNTIF('Detalle individual'!$C$5:C425,'Detalle individual'!C425)=1,COUNTIF('Detalle individual'!$C$5:$C$1000,"&lt;"&amp;'Detalle individual'!C425),""))</f>
        <v/>
      </c>
      <c r="AC425" t="str">
        <f>IF('Detalle individual'!D425="","",IF(COUNTIF('Detalle individual'!$D$5:D425,'Detalle individual'!D425)=1,COUNTIF('Detalle individual'!$D$5:$D$1000,"&lt;"&amp;'Detalle individual'!D425),""))</f>
        <v/>
      </c>
      <c r="AH425" t="str">
        <f>IF('Detalle individual'!F425="Pendiente",COUNTIF('Detalle individual'!$D$5:$D$1000,"&lt;"&amp;'Detalle individual'!D425)*1000000+COUNTIF('Detalle individual'!$C$5:$C$1000,"&lt;"&amp;'Detalle individual'!C425)*1000+COUNTIF('Detalle individual'!$B$5:$B$1000,"&lt;"&amp;'Detalle individual'!B425)+ROW()/10000,"")</f>
        <v/>
      </c>
      <c r="AI425" t="str">
        <f>IF('Detalle individual'!F425="Completado",COUNTIF('Detalle individual'!$D$5:$D$1000,"&lt;"&amp;'Detalle individual'!D425)*1000000+COUNTIF('Detalle individual'!$C$5:$C$1000,"&lt;"&amp;'Detalle individual'!C425)*1000+COUNTIF('Detalle individual'!$B$5:$B$1000,"&lt;"&amp;'Detalle individual'!B425)+ROW()/10000,"")</f>
        <v/>
      </c>
      <c r="AJ425" t="str">
        <f>IF(AND('Detalle individual'!F425&lt;&gt;"",'Detalle individual'!F425&lt;&gt;"Completado",'Detalle individual'!F425&lt;&gt;"Pendiente"),COUNTIF('Detalle individual'!$D$5:$D$1000,"&lt;"&amp;'Detalle individual'!D425)*1000000+COUNTIF('Detalle individual'!$C$5:$C$1000,"&lt;"&amp;'Detalle individual'!C425)*1000+COUNTIF('Detalle individual'!$B$5:$B$1000,"&lt;"&amp;'Detalle individual'!B425)+ROW()/10000,"")</f>
        <v/>
      </c>
      <c r="AK425" t="str">
        <f>IF(OR('Base Exámenes'!C425="",'Base Exámenes'!D425=""),"",IF(COUNTIF('Base Exámenes'!$C$5:C425,'Base Exámenes'!C425)=1,'Base Exámenes'!D425+ROW()/1000000000,""))</f>
        <v/>
      </c>
      <c r="AL425" t="str">
        <f>IF(OR('Base Exámenes'!C425="",'Base Exámenes'!E425=""),"",IF(COUNTIF('Base Exámenes'!$C$5:C425,'Base Exámenes'!C425)=1,'Base Exámenes'!E425+ROW()/1000000000,""))</f>
        <v/>
      </c>
      <c r="AM425" t="str">
        <f>IF(OR('Base Exámenes'!C425="",'Base Exámenes'!G425=""),"",IF(ROW()-4=MATCH('Base Exámenes'!C425&amp;"|"&amp;_xlfn.MAXIFS('Base Exámenes'!$G$5:$G$1000,'Base Exámenes'!$C$5:$C$1000,'Base Exámenes'!C425),'Base Exámenes'!$I$5:$I$1000,0),'Base Exámenes'!G425*1000000+(-1)*'Base Exámenes'!D425,""))</f>
        <v/>
      </c>
      <c r="AQ425" t="str">
        <f>IF('Base Exámenes'!C425="","",IF(COUNTIF('Base Exámenes'!$C$5:$C$1000,'Base Exámenes'!C425)&lt;2,"",MATCH('Base Exámenes'!C425,'Base Exámenes'!$C$5:$C$1000,0)*10000+ROW()))</f>
        <v/>
      </c>
    </row>
    <row r="426">
      <c r="Z426" t="str">
        <f>IF('Detalle individual'!A426="","",IF(AND(OR('Estado por Colaborador'!$D$4="Todas las gerencias",'Detalle individual'!D426='Estado por Colaborador'!$D$4),OR('Estado por Colaborador'!$D$5="Todos los departamentos",TRIM('Detalle individual'!C426)='Estado por Colaborador'!$D$5),OR('Estado por Colaborador'!$D$6="Todos",'Detalle individual'!F426='Estado por Colaborador'!$D$6)),IF('Detalle individual'!F426="Completado",30000000,IF('Detalle individual'!F426="Pendiente",0,15000000))+COUNTIF('Detalle individual'!$C$5:$C$1000,"&lt;"&amp;'Detalle individual'!C426)*10000+ROW(),""))</f>
        <v/>
      </c>
      <c r="AB426" t="str">
        <f>IF('Detalle individual'!C426="","",IF(COUNTIF('Detalle individual'!$C$5:C426,'Detalle individual'!C426)=1,COUNTIF('Detalle individual'!$C$5:$C$1000,"&lt;"&amp;'Detalle individual'!C426),""))</f>
        <v/>
      </c>
      <c r="AC426" t="str">
        <f>IF('Detalle individual'!D426="","",IF(COUNTIF('Detalle individual'!$D$5:D426,'Detalle individual'!D426)=1,COUNTIF('Detalle individual'!$D$5:$D$1000,"&lt;"&amp;'Detalle individual'!D426),""))</f>
        <v/>
      </c>
      <c r="AH426" t="str">
        <f>IF('Detalle individual'!F426="Pendiente",COUNTIF('Detalle individual'!$D$5:$D$1000,"&lt;"&amp;'Detalle individual'!D426)*1000000+COUNTIF('Detalle individual'!$C$5:$C$1000,"&lt;"&amp;'Detalle individual'!C426)*1000+COUNTIF('Detalle individual'!$B$5:$B$1000,"&lt;"&amp;'Detalle individual'!B426)+ROW()/10000,"")</f>
        <v/>
      </c>
      <c r="AI426" t="str">
        <f>IF('Detalle individual'!F426="Completado",COUNTIF('Detalle individual'!$D$5:$D$1000,"&lt;"&amp;'Detalle individual'!D426)*1000000+COUNTIF('Detalle individual'!$C$5:$C$1000,"&lt;"&amp;'Detalle individual'!C426)*1000+COUNTIF('Detalle individual'!$B$5:$B$1000,"&lt;"&amp;'Detalle individual'!B426)+ROW()/10000,"")</f>
        <v/>
      </c>
      <c r="AJ426" t="str">
        <f>IF(AND('Detalle individual'!F426&lt;&gt;"",'Detalle individual'!F426&lt;&gt;"Completado",'Detalle individual'!F426&lt;&gt;"Pendiente"),COUNTIF('Detalle individual'!$D$5:$D$1000,"&lt;"&amp;'Detalle individual'!D426)*1000000+COUNTIF('Detalle individual'!$C$5:$C$1000,"&lt;"&amp;'Detalle individual'!C426)*1000+COUNTIF('Detalle individual'!$B$5:$B$1000,"&lt;"&amp;'Detalle individual'!B426)+ROW()/10000,"")</f>
        <v/>
      </c>
      <c r="AK426" t="str">
        <f>IF(OR('Base Exámenes'!C426="",'Base Exámenes'!D426=""),"",IF(COUNTIF('Base Exámenes'!$C$5:C426,'Base Exámenes'!C426)=1,'Base Exámenes'!D426+ROW()/1000000000,""))</f>
        <v/>
      </c>
      <c r="AL426" t="str">
        <f>IF(OR('Base Exámenes'!C426="",'Base Exámenes'!E426=""),"",IF(COUNTIF('Base Exámenes'!$C$5:C426,'Base Exámenes'!C426)=1,'Base Exámenes'!E426+ROW()/1000000000,""))</f>
        <v/>
      </c>
      <c r="AM426" t="str">
        <f>IF(OR('Base Exámenes'!C426="",'Base Exámenes'!G426=""),"",IF(ROW()-4=MATCH('Base Exámenes'!C426&amp;"|"&amp;_xlfn.MAXIFS('Base Exámenes'!$G$5:$G$1000,'Base Exámenes'!$C$5:$C$1000,'Base Exámenes'!C426),'Base Exámenes'!$I$5:$I$1000,0),'Base Exámenes'!G426*1000000+(-1)*'Base Exámenes'!D426,""))</f>
        <v/>
      </c>
      <c r="AQ426" t="str">
        <f>IF('Base Exámenes'!C426="","",IF(COUNTIF('Base Exámenes'!$C$5:$C$1000,'Base Exámenes'!C426)&lt;2,"",MATCH('Base Exámenes'!C426,'Base Exámenes'!$C$5:$C$1000,0)*10000+ROW()))</f>
        <v/>
      </c>
    </row>
    <row r="427">
      <c r="Z427" t="str">
        <f>IF('Detalle individual'!A427="","",IF(AND(OR('Estado por Colaborador'!$D$4="Todas las gerencias",'Detalle individual'!D427='Estado por Colaborador'!$D$4),OR('Estado por Colaborador'!$D$5="Todos los departamentos",TRIM('Detalle individual'!C427)='Estado por Colaborador'!$D$5),OR('Estado por Colaborador'!$D$6="Todos",'Detalle individual'!F427='Estado por Colaborador'!$D$6)),IF('Detalle individual'!F427="Completado",30000000,IF('Detalle individual'!F427="Pendiente",0,15000000))+COUNTIF('Detalle individual'!$C$5:$C$1000,"&lt;"&amp;'Detalle individual'!C427)*10000+ROW(),""))</f>
        <v/>
      </c>
      <c r="AB427" t="str">
        <f>IF('Detalle individual'!C427="","",IF(COUNTIF('Detalle individual'!$C$5:C427,'Detalle individual'!C427)=1,COUNTIF('Detalle individual'!$C$5:$C$1000,"&lt;"&amp;'Detalle individual'!C427),""))</f>
        <v/>
      </c>
      <c r="AC427" t="str">
        <f>IF('Detalle individual'!D427="","",IF(COUNTIF('Detalle individual'!$D$5:D427,'Detalle individual'!D427)=1,COUNTIF('Detalle individual'!$D$5:$D$1000,"&lt;"&amp;'Detalle individual'!D427),""))</f>
        <v/>
      </c>
      <c r="AH427" t="str">
        <f>IF('Detalle individual'!F427="Pendiente",COUNTIF('Detalle individual'!$D$5:$D$1000,"&lt;"&amp;'Detalle individual'!D427)*1000000+COUNTIF('Detalle individual'!$C$5:$C$1000,"&lt;"&amp;'Detalle individual'!C427)*1000+COUNTIF('Detalle individual'!$B$5:$B$1000,"&lt;"&amp;'Detalle individual'!B427)+ROW()/10000,"")</f>
        <v/>
      </c>
      <c r="AI427" t="str">
        <f>IF('Detalle individual'!F427="Completado",COUNTIF('Detalle individual'!$D$5:$D$1000,"&lt;"&amp;'Detalle individual'!D427)*1000000+COUNTIF('Detalle individual'!$C$5:$C$1000,"&lt;"&amp;'Detalle individual'!C427)*1000+COUNTIF('Detalle individual'!$B$5:$B$1000,"&lt;"&amp;'Detalle individual'!B427)+ROW()/10000,"")</f>
        <v/>
      </c>
      <c r="AJ427" t="str">
        <f>IF(AND('Detalle individual'!F427&lt;&gt;"",'Detalle individual'!F427&lt;&gt;"Completado",'Detalle individual'!F427&lt;&gt;"Pendiente"),COUNTIF('Detalle individual'!$D$5:$D$1000,"&lt;"&amp;'Detalle individual'!D427)*1000000+COUNTIF('Detalle individual'!$C$5:$C$1000,"&lt;"&amp;'Detalle individual'!C427)*1000+COUNTIF('Detalle individual'!$B$5:$B$1000,"&lt;"&amp;'Detalle individual'!B427)+ROW()/10000,"")</f>
        <v/>
      </c>
      <c r="AK427" t="str">
        <f>IF(OR('Base Exámenes'!C427="",'Base Exámenes'!D427=""),"",IF(COUNTIF('Base Exámenes'!$C$5:C427,'Base Exámenes'!C427)=1,'Base Exámenes'!D427+ROW()/1000000000,""))</f>
        <v/>
      </c>
      <c r="AL427" t="str">
        <f>IF(OR('Base Exámenes'!C427="",'Base Exámenes'!E427=""),"",IF(COUNTIF('Base Exámenes'!$C$5:C427,'Base Exámenes'!C427)=1,'Base Exámenes'!E427+ROW()/1000000000,""))</f>
        <v/>
      </c>
      <c r="AM427" t="str">
        <f>IF(OR('Base Exámenes'!C427="",'Base Exámenes'!G427=""),"",IF(ROW()-4=MATCH('Base Exámenes'!C427&amp;"|"&amp;_xlfn.MAXIFS('Base Exámenes'!$G$5:$G$1000,'Base Exámenes'!$C$5:$C$1000,'Base Exámenes'!C427),'Base Exámenes'!$I$5:$I$1000,0),'Base Exámenes'!G427*1000000+(-1)*'Base Exámenes'!D427,""))</f>
        <v/>
      </c>
      <c r="AQ427" t="str">
        <f>IF('Base Exámenes'!C427="","",IF(COUNTIF('Base Exámenes'!$C$5:$C$1000,'Base Exámenes'!C427)&lt;2,"",MATCH('Base Exámenes'!C427,'Base Exámenes'!$C$5:$C$1000,0)*10000+ROW()))</f>
        <v/>
      </c>
    </row>
    <row r="428">
      <c r="Z428" t="str">
        <f>IF('Detalle individual'!A428="","",IF(AND(OR('Estado por Colaborador'!$D$4="Todas las gerencias",'Detalle individual'!D428='Estado por Colaborador'!$D$4),OR('Estado por Colaborador'!$D$5="Todos los departamentos",TRIM('Detalle individual'!C428)='Estado por Colaborador'!$D$5),OR('Estado por Colaborador'!$D$6="Todos",'Detalle individual'!F428='Estado por Colaborador'!$D$6)),IF('Detalle individual'!F428="Completado",30000000,IF('Detalle individual'!F428="Pendiente",0,15000000))+COUNTIF('Detalle individual'!$C$5:$C$1000,"&lt;"&amp;'Detalle individual'!C428)*10000+ROW(),""))</f>
        <v/>
      </c>
      <c r="AB428" t="str">
        <f>IF('Detalle individual'!C428="","",IF(COUNTIF('Detalle individual'!$C$5:C428,'Detalle individual'!C428)=1,COUNTIF('Detalle individual'!$C$5:$C$1000,"&lt;"&amp;'Detalle individual'!C428),""))</f>
        <v/>
      </c>
      <c r="AC428" t="str">
        <f>IF('Detalle individual'!D428="","",IF(COUNTIF('Detalle individual'!$D$5:D428,'Detalle individual'!D428)=1,COUNTIF('Detalle individual'!$D$5:$D$1000,"&lt;"&amp;'Detalle individual'!D428),""))</f>
        <v/>
      </c>
      <c r="AH428" t="str">
        <f>IF('Detalle individual'!F428="Pendiente",COUNTIF('Detalle individual'!$D$5:$D$1000,"&lt;"&amp;'Detalle individual'!D428)*1000000+COUNTIF('Detalle individual'!$C$5:$C$1000,"&lt;"&amp;'Detalle individual'!C428)*1000+COUNTIF('Detalle individual'!$B$5:$B$1000,"&lt;"&amp;'Detalle individual'!B428)+ROW()/10000,"")</f>
        <v/>
      </c>
      <c r="AI428" t="str">
        <f>IF('Detalle individual'!F428="Completado",COUNTIF('Detalle individual'!$D$5:$D$1000,"&lt;"&amp;'Detalle individual'!D428)*1000000+COUNTIF('Detalle individual'!$C$5:$C$1000,"&lt;"&amp;'Detalle individual'!C428)*1000+COUNTIF('Detalle individual'!$B$5:$B$1000,"&lt;"&amp;'Detalle individual'!B428)+ROW()/10000,"")</f>
        <v/>
      </c>
      <c r="AJ428" t="str">
        <f>IF(AND('Detalle individual'!F428&lt;&gt;"",'Detalle individual'!F428&lt;&gt;"Completado",'Detalle individual'!F428&lt;&gt;"Pendiente"),COUNTIF('Detalle individual'!$D$5:$D$1000,"&lt;"&amp;'Detalle individual'!D428)*1000000+COUNTIF('Detalle individual'!$C$5:$C$1000,"&lt;"&amp;'Detalle individual'!C428)*1000+COUNTIF('Detalle individual'!$B$5:$B$1000,"&lt;"&amp;'Detalle individual'!B428)+ROW()/10000,"")</f>
        <v/>
      </c>
      <c r="AK428" t="str">
        <f>IF(OR('Base Exámenes'!C428="",'Base Exámenes'!D428=""),"",IF(COUNTIF('Base Exámenes'!$C$5:C428,'Base Exámenes'!C428)=1,'Base Exámenes'!D428+ROW()/1000000000,""))</f>
        <v/>
      </c>
      <c r="AL428" t="str">
        <f>IF(OR('Base Exámenes'!C428="",'Base Exámenes'!E428=""),"",IF(COUNTIF('Base Exámenes'!$C$5:C428,'Base Exámenes'!C428)=1,'Base Exámenes'!E428+ROW()/1000000000,""))</f>
        <v/>
      </c>
      <c r="AM428" t="str">
        <f>IF(OR('Base Exámenes'!C428="",'Base Exámenes'!G428=""),"",IF(ROW()-4=MATCH('Base Exámenes'!C428&amp;"|"&amp;_xlfn.MAXIFS('Base Exámenes'!$G$5:$G$1000,'Base Exámenes'!$C$5:$C$1000,'Base Exámenes'!C428),'Base Exámenes'!$I$5:$I$1000,0),'Base Exámenes'!G428*1000000+(-1)*'Base Exámenes'!D428,""))</f>
        <v/>
      </c>
      <c r="AQ428" t="str">
        <f>IF('Base Exámenes'!C428="","",IF(COUNTIF('Base Exámenes'!$C$5:$C$1000,'Base Exámenes'!C428)&lt;2,"",MATCH('Base Exámenes'!C428,'Base Exámenes'!$C$5:$C$1000,0)*10000+ROW()))</f>
        <v/>
      </c>
    </row>
    <row r="429">
      <c r="Z429" t="str">
        <f>IF('Detalle individual'!A429="","",IF(AND(OR('Estado por Colaborador'!$D$4="Todas las gerencias",'Detalle individual'!D429='Estado por Colaborador'!$D$4),OR('Estado por Colaborador'!$D$5="Todos los departamentos",TRIM('Detalle individual'!C429)='Estado por Colaborador'!$D$5),OR('Estado por Colaborador'!$D$6="Todos",'Detalle individual'!F429='Estado por Colaborador'!$D$6)),IF('Detalle individual'!F429="Completado",30000000,IF('Detalle individual'!F429="Pendiente",0,15000000))+COUNTIF('Detalle individual'!$C$5:$C$1000,"&lt;"&amp;'Detalle individual'!C429)*10000+ROW(),""))</f>
        <v/>
      </c>
      <c r="AB429" t="str">
        <f>IF('Detalle individual'!C429="","",IF(COUNTIF('Detalle individual'!$C$5:C429,'Detalle individual'!C429)=1,COUNTIF('Detalle individual'!$C$5:$C$1000,"&lt;"&amp;'Detalle individual'!C429),""))</f>
        <v/>
      </c>
      <c r="AC429" t="str">
        <f>IF('Detalle individual'!D429="","",IF(COUNTIF('Detalle individual'!$D$5:D429,'Detalle individual'!D429)=1,COUNTIF('Detalle individual'!$D$5:$D$1000,"&lt;"&amp;'Detalle individual'!D429),""))</f>
        <v/>
      </c>
      <c r="AH429" t="str">
        <f>IF('Detalle individual'!F429="Pendiente",COUNTIF('Detalle individual'!$D$5:$D$1000,"&lt;"&amp;'Detalle individual'!D429)*1000000+COUNTIF('Detalle individual'!$C$5:$C$1000,"&lt;"&amp;'Detalle individual'!C429)*1000+COUNTIF('Detalle individual'!$B$5:$B$1000,"&lt;"&amp;'Detalle individual'!B429)+ROW()/10000,"")</f>
        <v/>
      </c>
      <c r="AI429" t="str">
        <f>IF('Detalle individual'!F429="Completado",COUNTIF('Detalle individual'!$D$5:$D$1000,"&lt;"&amp;'Detalle individual'!D429)*1000000+COUNTIF('Detalle individual'!$C$5:$C$1000,"&lt;"&amp;'Detalle individual'!C429)*1000+COUNTIF('Detalle individual'!$B$5:$B$1000,"&lt;"&amp;'Detalle individual'!B429)+ROW()/10000,"")</f>
        <v/>
      </c>
      <c r="AJ429" t="str">
        <f>IF(AND('Detalle individual'!F429&lt;&gt;"",'Detalle individual'!F429&lt;&gt;"Completado",'Detalle individual'!F429&lt;&gt;"Pendiente"),COUNTIF('Detalle individual'!$D$5:$D$1000,"&lt;"&amp;'Detalle individual'!D429)*1000000+COUNTIF('Detalle individual'!$C$5:$C$1000,"&lt;"&amp;'Detalle individual'!C429)*1000+COUNTIF('Detalle individual'!$B$5:$B$1000,"&lt;"&amp;'Detalle individual'!B429)+ROW()/10000,"")</f>
        <v/>
      </c>
      <c r="AK429" t="str">
        <f>IF(OR('Base Exámenes'!C429="",'Base Exámenes'!D429=""),"",IF(COUNTIF('Base Exámenes'!$C$5:C429,'Base Exámenes'!C429)=1,'Base Exámenes'!D429+ROW()/1000000000,""))</f>
        <v/>
      </c>
      <c r="AL429" t="str">
        <f>IF(OR('Base Exámenes'!C429="",'Base Exámenes'!E429=""),"",IF(COUNTIF('Base Exámenes'!$C$5:C429,'Base Exámenes'!C429)=1,'Base Exámenes'!E429+ROW()/1000000000,""))</f>
        <v/>
      </c>
      <c r="AM429" t="str">
        <f>IF(OR('Base Exámenes'!C429="",'Base Exámenes'!G429=""),"",IF(ROW()-4=MATCH('Base Exámenes'!C429&amp;"|"&amp;_xlfn.MAXIFS('Base Exámenes'!$G$5:$G$1000,'Base Exámenes'!$C$5:$C$1000,'Base Exámenes'!C429),'Base Exámenes'!$I$5:$I$1000,0),'Base Exámenes'!G429*1000000+(-1)*'Base Exámenes'!D429,""))</f>
        <v/>
      </c>
      <c r="AQ429" t="str">
        <f>IF('Base Exámenes'!C429="","",IF(COUNTIF('Base Exámenes'!$C$5:$C$1000,'Base Exámenes'!C429)&lt;2,"",MATCH('Base Exámenes'!C429,'Base Exámenes'!$C$5:$C$1000,0)*10000+ROW()))</f>
        <v/>
      </c>
    </row>
    <row r="430">
      <c r="Z430" t="str">
        <f>IF('Detalle individual'!A430="","",IF(AND(OR('Estado por Colaborador'!$D$4="Todas las gerencias",'Detalle individual'!D430='Estado por Colaborador'!$D$4),OR('Estado por Colaborador'!$D$5="Todos los departamentos",TRIM('Detalle individual'!C430)='Estado por Colaborador'!$D$5),OR('Estado por Colaborador'!$D$6="Todos",'Detalle individual'!F430='Estado por Colaborador'!$D$6)),IF('Detalle individual'!F430="Completado",30000000,IF('Detalle individual'!F430="Pendiente",0,15000000))+COUNTIF('Detalle individual'!$C$5:$C$1000,"&lt;"&amp;'Detalle individual'!C430)*10000+ROW(),""))</f>
        <v/>
      </c>
      <c r="AB430" t="str">
        <f>IF('Detalle individual'!C430="","",IF(COUNTIF('Detalle individual'!$C$5:C430,'Detalle individual'!C430)=1,COUNTIF('Detalle individual'!$C$5:$C$1000,"&lt;"&amp;'Detalle individual'!C430),""))</f>
        <v/>
      </c>
      <c r="AC430" t="str">
        <f>IF('Detalle individual'!D430="","",IF(COUNTIF('Detalle individual'!$D$5:D430,'Detalle individual'!D430)=1,COUNTIF('Detalle individual'!$D$5:$D$1000,"&lt;"&amp;'Detalle individual'!D430),""))</f>
        <v/>
      </c>
      <c r="AH430" t="str">
        <f>IF('Detalle individual'!F430="Pendiente",COUNTIF('Detalle individual'!$D$5:$D$1000,"&lt;"&amp;'Detalle individual'!D430)*1000000+COUNTIF('Detalle individual'!$C$5:$C$1000,"&lt;"&amp;'Detalle individual'!C430)*1000+COUNTIF('Detalle individual'!$B$5:$B$1000,"&lt;"&amp;'Detalle individual'!B430)+ROW()/10000,"")</f>
        <v/>
      </c>
      <c r="AI430" t="str">
        <f>IF('Detalle individual'!F430="Completado",COUNTIF('Detalle individual'!$D$5:$D$1000,"&lt;"&amp;'Detalle individual'!D430)*1000000+COUNTIF('Detalle individual'!$C$5:$C$1000,"&lt;"&amp;'Detalle individual'!C430)*1000+COUNTIF('Detalle individual'!$B$5:$B$1000,"&lt;"&amp;'Detalle individual'!B430)+ROW()/10000,"")</f>
        <v/>
      </c>
      <c r="AJ430" t="str">
        <f>IF(AND('Detalle individual'!F430&lt;&gt;"",'Detalle individual'!F430&lt;&gt;"Completado",'Detalle individual'!F430&lt;&gt;"Pendiente"),COUNTIF('Detalle individual'!$D$5:$D$1000,"&lt;"&amp;'Detalle individual'!D430)*1000000+COUNTIF('Detalle individual'!$C$5:$C$1000,"&lt;"&amp;'Detalle individual'!C430)*1000+COUNTIF('Detalle individual'!$B$5:$B$1000,"&lt;"&amp;'Detalle individual'!B430)+ROW()/10000,"")</f>
        <v/>
      </c>
      <c r="AK430" t="str">
        <f>IF(OR('Base Exámenes'!C430="",'Base Exámenes'!D430=""),"",IF(COUNTIF('Base Exámenes'!$C$5:C430,'Base Exámenes'!C430)=1,'Base Exámenes'!D430+ROW()/1000000000,""))</f>
        <v/>
      </c>
      <c r="AL430" t="str">
        <f>IF(OR('Base Exámenes'!C430="",'Base Exámenes'!E430=""),"",IF(COUNTIF('Base Exámenes'!$C$5:C430,'Base Exámenes'!C430)=1,'Base Exámenes'!E430+ROW()/1000000000,""))</f>
        <v/>
      </c>
      <c r="AM430" t="str">
        <f>IF(OR('Base Exámenes'!C430="",'Base Exámenes'!G430=""),"",IF(ROW()-4=MATCH('Base Exámenes'!C430&amp;"|"&amp;_xlfn.MAXIFS('Base Exámenes'!$G$5:$G$1000,'Base Exámenes'!$C$5:$C$1000,'Base Exámenes'!C430),'Base Exámenes'!$I$5:$I$1000,0),'Base Exámenes'!G430*1000000+(-1)*'Base Exámenes'!D430,""))</f>
        <v/>
      </c>
      <c r="AQ430" t="str">
        <f>IF('Base Exámenes'!C430="","",IF(COUNTIF('Base Exámenes'!$C$5:$C$1000,'Base Exámenes'!C430)&lt;2,"",MATCH('Base Exámenes'!C430,'Base Exámenes'!$C$5:$C$1000,0)*10000+ROW()))</f>
        <v/>
      </c>
    </row>
    <row r="431">
      <c r="Z431" t="str">
        <f>IF('Detalle individual'!A431="","",IF(AND(OR('Estado por Colaborador'!$D$4="Todas las gerencias",'Detalle individual'!D431='Estado por Colaborador'!$D$4),OR('Estado por Colaborador'!$D$5="Todos los departamentos",TRIM('Detalle individual'!C431)='Estado por Colaborador'!$D$5),OR('Estado por Colaborador'!$D$6="Todos",'Detalle individual'!F431='Estado por Colaborador'!$D$6)),IF('Detalle individual'!F431="Completado",30000000,IF('Detalle individual'!F431="Pendiente",0,15000000))+COUNTIF('Detalle individual'!$C$5:$C$1000,"&lt;"&amp;'Detalle individual'!C431)*10000+ROW(),""))</f>
        <v/>
      </c>
      <c r="AB431" t="str">
        <f>IF('Detalle individual'!C431="","",IF(COUNTIF('Detalle individual'!$C$5:C431,'Detalle individual'!C431)=1,COUNTIF('Detalle individual'!$C$5:$C$1000,"&lt;"&amp;'Detalle individual'!C431),""))</f>
        <v/>
      </c>
      <c r="AC431" t="str">
        <f>IF('Detalle individual'!D431="","",IF(COUNTIF('Detalle individual'!$D$5:D431,'Detalle individual'!D431)=1,COUNTIF('Detalle individual'!$D$5:$D$1000,"&lt;"&amp;'Detalle individual'!D431),""))</f>
        <v/>
      </c>
      <c r="AH431" t="str">
        <f>IF('Detalle individual'!F431="Pendiente",COUNTIF('Detalle individual'!$D$5:$D$1000,"&lt;"&amp;'Detalle individual'!D431)*1000000+COUNTIF('Detalle individual'!$C$5:$C$1000,"&lt;"&amp;'Detalle individual'!C431)*1000+COUNTIF('Detalle individual'!$B$5:$B$1000,"&lt;"&amp;'Detalle individual'!B431)+ROW()/10000,"")</f>
        <v/>
      </c>
      <c r="AI431" t="str">
        <f>IF('Detalle individual'!F431="Completado",COUNTIF('Detalle individual'!$D$5:$D$1000,"&lt;"&amp;'Detalle individual'!D431)*1000000+COUNTIF('Detalle individual'!$C$5:$C$1000,"&lt;"&amp;'Detalle individual'!C431)*1000+COUNTIF('Detalle individual'!$B$5:$B$1000,"&lt;"&amp;'Detalle individual'!B431)+ROW()/10000,"")</f>
        <v/>
      </c>
      <c r="AJ431" t="str">
        <f>IF(AND('Detalle individual'!F431&lt;&gt;"",'Detalle individual'!F431&lt;&gt;"Completado",'Detalle individual'!F431&lt;&gt;"Pendiente"),COUNTIF('Detalle individual'!$D$5:$D$1000,"&lt;"&amp;'Detalle individual'!D431)*1000000+COUNTIF('Detalle individual'!$C$5:$C$1000,"&lt;"&amp;'Detalle individual'!C431)*1000+COUNTIF('Detalle individual'!$B$5:$B$1000,"&lt;"&amp;'Detalle individual'!B431)+ROW()/10000,"")</f>
        <v/>
      </c>
      <c r="AK431" t="str">
        <f>IF(OR('Base Exámenes'!C431="",'Base Exámenes'!D431=""),"",IF(COUNTIF('Base Exámenes'!$C$5:C431,'Base Exámenes'!C431)=1,'Base Exámenes'!D431+ROW()/1000000000,""))</f>
        <v/>
      </c>
      <c r="AL431" t="str">
        <f>IF(OR('Base Exámenes'!C431="",'Base Exámenes'!E431=""),"",IF(COUNTIF('Base Exámenes'!$C$5:C431,'Base Exámenes'!C431)=1,'Base Exámenes'!E431+ROW()/1000000000,""))</f>
        <v/>
      </c>
      <c r="AM431" t="str">
        <f>IF(OR('Base Exámenes'!C431="",'Base Exámenes'!G431=""),"",IF(ROW()-4=MATCH('Base Exámenes'!C431&amp;"|"&amp;_xlfn.MAXIFS('Base Exámenes'!$G$5:$G$1000,'Base Exámenes'!$C$5:$C$1000,'Base Exámenes'!C431),'Base Exámenes'!$I$5:$I$1000,0),'Base Exámenes'!G431*1000000+(-1)*'Base Exámenes'!D431,""))</f>
        <v/>
      </c>
      <c r="AQ431" t="str">
        <f>IF('Base Exámenes'!C431="","",IF(COUNTIF('Base Exámenes'!$C$5:$C$1000,'Base Exámenes'!C431)&lt;2,"",MATCH('Base Exámenes'!C431,'Base Exámenes'!$C$5:$C$1000,0)*10000+ROW()))</f>
        <v/>
      </c>
    </row>
    <row r="432">
      <c r="Z432" t="str">
        <f>IF('Detalle individual'!A432="","",IF(AND(OR('Estado por Colaborador'!$D$4="Todas las gerencias",'Detalle individual'!D432='Estado por Colaborador'!$D$4),OR('Estado por Colaborador'!$D$5="Todos los departamentos",TRIM('Detalle individual'!C432)='Estado por Colaborador'!$D$5),OR('Estado por Colaborador'!$D$6="Todos",'Detalle individual'!F432='Estado por Colaborador'!$D$6)),IF('Detalle individual'!F432="Completado",30000000,IF('Detalle individual'!F432="Pendiente",0,15000000))+COUNTIF('Detalle individual'!$C$5:$C$1000,"&lt;"&amp;'Detalle individual'!C432)*10000+ROW(),""))</f>
        <v/>
      </c>
      <c r="AB432" t="str">
        <f>IF('Detalle individual'!C432="","",IF(COUNTIF('Detalle individual'!$C$5:C432,'Detalle individual'!C432)=1,COUNTIF('Detalle individual'!$C$5:$C$1000,"&lt;"&amp;'Detalle individual'!C432),""))</f>
        <v/>
      </c>
      <c r="AC432" t="str">
        <f>IF('Detalle individual'!D432="","",IF(COUNTIF('Detalle individual'!$D$5:D432,'Detalle individual'!D432)=1,COUNTIF('Detalle individual'!$D$5:$D$1000,"&lt;"&amp;'Detalle individual'!D432),""))</f>
        <v/>
      </c>
      <c r="AH432" t="str">
        <f>IF('Detalle individual'!F432="Pendiente",COUNTIF('Detalle individual'!$D$5:$D$1000,"&lt;"&amp;'Detalle individual'!D432)*1000000+COUNTIF('Detalle individual'!$C$5:$C$1000,"&lt;"&amp;'Detalle individual'!C432)*1000+COUNTIF('Detalle individual'!$B$5:$B$1000,"&lt;"&amp;'Detalle individual'!B432)+ROW()/10000,"")</f>
        <v/>
      </c>
      <c r="AI432" t="str">
        <f>IF('Detalle individual'!F432="Completado",COUNTIF('Detalle individual'!$D$5:$D$1000,"&lt;"&amp;'Detalle individual'!D432)*1000000+COUNTIF('Detalle individual'!$C$5:$C$1000,"&lt;"&amp;'Detalle individual'!C432)*1000+COUNTIF('Detalle individual'!$B$5:$B$1000,"&lt;"&amp;'Detalle individual'!B432)+ROW()/10000,"")</f>
        <v/>
      </c>
      <c r="AJ432" t="str">
        <f>IF(AND('Detalle individual'!F432&lt;&gt;"",'Detalle individual'!F432&lt;&gt;"Completado",'Detalle individual'!F432&lt;&gt;"Pendiente"),COUNTIF('Detalle individual'!$D$5:$D$1000,"&lt;"&amp;'Detalle individual'!D432)*1000000+COUNTIF('Detalle individual'!$C$5:$C$1000,"&lt;"&amp;'Detalle individual'!C432)*1000+COUNTIF('Detalle individual'!$B$5:$B$1000,"&lt;"&amp;'Detalle individual'!B432)+ROW()/10000,"")</f>
        <v/>
      </c>
      <c r="AK432" t="str">
        <f>IF(OR('Base Exámenes'!C432="",'Base Exámenes'!D432=""),"",IF(COUNTIF('Base Exámenes'!$C$5:C432,'Base Exámenes'!C432)=1,'Base Exámenes'!D432+ROW()/1000000000,""))</f>
        <v/>
      </c>
      <c r="AL432" t="str">
        <f>IF(OR('Base Exámenes'!C432="",'Base Exámenes'!E432=""),"",IF(COUNTIF('Base Exámenes'!$C$5:C432,'Base Exámenes'!C432)=1,'Base Exámenes'!E432+ROW()/1000000000,""))</f>
        <v/>
      </c>
      <c r="AM432" t="str">
        <f>IF(OR('Base Exámenes'!C432="",'Base Exámenes'!G432=""),"",IF(ROW()-4=MATCH('Base Exámenes'!C432&amp;"|"&amp;_xlfn.MAXIFS('Base Exámenes'!$G$5:$G$1000,'Base Exámenes'!$C$5:$C$1000,'Base Exámenes'!C432),'Base Exámenes'!$I$5:$I$1000,0),'Base Exámenes'!G432*1000000+(-1)*'Base Exámenes'!D432,""))</f>
        <v/>
      </c>
      <c r="AQ432" t="str">
        <f>IF('Base Exámenes'!C432="","",IF(COUNTIF('Base Exámenes'!$C$5:$C$1000,'Base Exámenes'!C432)&lt;2,"",MATCH('Base Exámenes'!C432,'Base Exámenes'!$C$5:$C$1000,0)*10000+ROW()))</f>
        <v/>
      </c>
    </row>
    <row r="433">
      <c r="Z433" t="str">
        <f>IF('Detalle individual'!A433="","",IF(AND(OR('Estado por Colaborador'!$D$4="Todas las gerencias",'Detalle individual'!D433='Estado por Colaborador'!$D$4),OR('Estado por Colaborador'!$D$5="Todos los departamentos",TRIM('Detalle individual'!C433)='Estado por Colaborador'!$D$5),OR('Estado por Colaborador'!$D$6="Todos",'Detalle individual'!F433='Estado por Colaborador'!$D$6)),IF('Detalle individual'!F433="Completado",30000000,IF('Detalle individual'!F433="Pendiente",0,15000000))+COUNTIF('Detalle individual'!$C$5:$C$1000,"&lt;"&amp;'Detalle individual'!C433)*10000+ROW(),""))</f>
        <v/>
      </c>
      <c r="AB433" t="str">
        <f>IF('Detalle individual'!C433="","",IF(COUNTIF('Detalle individual'!$C$5:C433,'Detalle individual'!C433)=1,COUNTIF('Detalle individual'!$C$5:$C$1000,"&lt;"&amp;'Detalle individual'!C433),""))</f>
        <v/>
      </c>
      <c r="AC433" t="str">
        <f>IF('Detalle individual'!D433="","",IF(COUNTIF('Detalle individual'!$D$5:D433,'Detalle individual'!D433)=1,COUNTIF('Detalle individual'!$D$5:$D$1000,"&lt;"&amp;'Detalle individual'!D433),""))</f>
        <v/>
      </c>
      <c r="AH433" t="str">
        <f>IF('Detalle individual'!F433="Pendiente",COUNTIF('Detalle individual'!$D$5:$D$1000,"&lt;"&amp;'Detalle individual'!D433)*1000000+COUNTIF('Detalle individual'!$C$5:$C$1000,"&lt;"&amp;'Detalle individual'!C433)*1000+COUNTIF('Detalle individual'!$B$5:$B$1000,"&lt;"&amp;'Detalle individual'!B433)+ROW()/10000,"")</f>
        <v/>
      </c>
      <c r="AI433" t="str">
        <f>IF('Detalle individual'!F433="Completado",COUNTIF('Detalle individual'!$D$5:$D$1000,"&lt;"&amp;'Detalle individual'!D433)*1000000+COUNTIF('Detalle individual'!$C$5:$C$1000,"&lt;"&amp;'Detalle individual'!C433)*1000+COUNTIF('Detalle individual'!$B$5:$B$1000,"&lt;"&amp;'Detalle individual'!B433)+ROW()/10000,"")</f>
        <v/>
      </c>
      <c r="AJ433" t="str">
        <f>IF(AND('Detalle individual'!F433&lt;&gt;"",'Detalle individual'!F433&lt;&gt;"Completado",'Detalle individual'!F433&lt;&gt;"Pendiente"),COUNTIF('Detalle individual'!$D$5:$D$1000,"&lt;"&amp;'Detalle individual'!D433)*1000000+COUNTIF('Detalle individual'!$C$5:$C$1000,"&lt;"&amp;'Detalle individual'!C433)*1000+COUNTIF('Detalle individual'!$B$5:$B$1000,"&lt;"&amp;'Detalle individual'!B433)+ROW()/10000,"")</f>
        <v/>
      </c>
      <c r="AK433" t="str">
        <f>IF(OR('Base Exámenes'!C433="",'Base Exámenes'!D433=""),"",IF(COUNTIF('Base Exámenes'!$C$5:C433,'Base Exámenes'!C433)=1,'Base Exámenes'!D433+ROW()/1000000000,""))</f>
        <v/>
      </c>
      <c r="AL433" t="str">
        <f>IF(OR('Base Exámenes'!C433="",'Base Exámenes'!E433=""),"",IF(COUNTIF('Base Exámenes'!$C$5:C433,'Base Exámenes'!C433)=1,'Base Exámenes'!E433+ROW()/1000000000,""))</f>
        <v/>
      </c>
      <c r="AM433" t="str">
        <f>IF(OR('Base Exámenes'!C433="",'Base Exámenes'!G433=""),"",IF(ROW()-4=MATCH('Base Exámenes'!C433&amp;"|"&amp;_xlfn.MAXIFS('Base Exámenes'!$G$5:$G$1000,'Base Exámenes'!$C$5:$C$1000,'Base Exámenes'!C433),'Base Exámenes'!$I$5:$I$1000,0),'Base Exámenes'!G433*1000000+(-1)*'Base Exámenes'!D433,""))</f>
        <v/>
      </c>
      <c r="AQ433" t="str">
        <f>IF('Base Exámenes'!C433="","",IF(COUNTIF('Base Exámenes'!$C$5:$C$1000,'Base Exámenes'!C433)&lt;2,"",MATCH('Base Exámenes'!C433,'Base Exámenes'!$C$5:$C$1000,0)*10000+ROW()))</f>
        <v/>
      </c>
    </row>
    <row r="434">
      <c r="Z434" t="str">
        <f>IF('Detalle individual'!A434="","",IF(AND(OR('Estado por Colaborador'!$D$4="Todas las gerencias",'Detalle individual'!D434='Estado por Colaborador'!$D$4),OR('Estado por Colaborador'!$D$5="Todos los departamentos",TRIM('Detalle individual'!C434)='Estado por Colaborador'!$D$5),OR('Estado por Colaborador'!$D$6="Todos",'Detalle individual'!F434='Estado por Colaborador'!$D$6)),IF('Detalle individual'!F434="Completado",30000000,IF('Detalle individual'!F434="Pendiente",0,15000000))+COUNTIF('Detalle individual'!$C$5:$C$1000,"&lt;"&amp;'Detalle individual'!C434)*10000+ROW(),""))</f>
        <v/>
      </c>
      <c r="AB434" t="str">
        <f>IF('Detalle individual'!C434="","",IF(COUNTIF('Detalle individual'!$C$5:C434,'Detalle individual'!C434)=1,COUNTIF('Detalle individual'!$C$5:$C$1000,"&lt;"&amp;'Detalle individual'!C434),""))</f>
        <v/>
      </c>
      <c r="AC434" t="str">
        <f>IF('Detalle individual'!D434="","",IF(COUNTIF('Detalle individual'!$D$5:D434,'Detalle individual'!D434)=1,COUNTIF('Detalle individual'!$D$5:$D$1000,"&lt;"&amp;'Detalle individual'!D434),""))</f>
        <v/>
      </c>
      <c r="AH434" t="str">
        <f>IF('Detalle individual'!F434="Pendiente",COUNTIF('Detalle individual'!$D$5:$D$1000,"&lt;"&amp;'Detalle individual'!D434)*1000000+COUNTIF('Detalle individual'!$C$5:$C$1000,"&lt;"&amp;'Detalle individual'!C434)*1000+COUNTIF('Detalle individual'!$B$5:$B$1000,"&lt;"&amp;'Detalle individual'!B434)+ROW()/10000,"")</f>
        <v/>
      </c>
      <c r="AI434" t="str">
        <f>IF('Detalle individual'!F434="Completado",COUNTIF('Detalle individual'!$D$5:$D$1000,"&lt;"&amp;'Detalle individual'!D434)*1000000+COUNTIF('Detalle individual'!$C$5:$C$1000,"&lt;"&amp;'Detalle individual'!C434)*1000+COUNTIF('Detalle individual'!$B$5:$B$1000,"&lt;"&amp;'Detalle individual'!B434)+ROW()/10000,"")</f>
        <v/>
      </c>
      <c r="AJ434" t="str">
        <f>IF(AND('Detalle individual'!F434&lt;&gt;"",'Detalle individual'!F434&lt;&gt;"Completado",'Detalle individual'!F434&lt;&gt;"Pendiente"),COUNTIF('Detalle individual'!$D$5:$D$1000,"&lt;"&amp;'Detalle individual'!D434)*1000000+COUNTIF('Detalle individual'!$C$5:$C$1000,"&lt;"&amp;'Detalle individual'!C434)*1000+COUNTIF('Detalle individual'!$B$5:$B$1000,"&lt;"&amp;'Detalle individual'!B434)+ROW()/10000,"")</f>
        <v/>
      </c>
      <c r="AK434" t="str">
        <f>IF(OR('Base Exámenes'!C434="",'Base Exámenes'!D434=""),"",IF(COUNTIF('Base Exámenes'!$C$5:C434,'Base Exámenes'!C434)=1,'Base Exámenes'!D434+ROW()/1000000000,""))</f>
        <v/>
      </c>
      <c r="AL434" t="str">
        <f>IF(OR('Base Exámenes'!C434="",'Base Exámenes'!E434=""),"",IF(COUNTIF('Base Exámenes'!$C$5:C434,'Base Exámenes'!C434)=1,'Base Exámenes'!E434+ROW()/1000000000,""))</f>
        <v/>
      </c>
      <c r="AM434" t="str">
        <f>IF(OR('Base Exámenes'!C434="",'Base Exámenes'!G434=""),"",IF(ROW()-4=MATCH('Base Exámenes'!C434&amp;"|"&amp;_xlfn.MAXIFS('Base Exámenes'!$G$5:$G$1000,'Base Exámenes'!$C$5:$C$1000,'Base Exámenes'!C434),'Base Exámenes'!$I$5:$I$1000,0),'Base Exámenes'!G434*1000000+(-1)*'Base Exámenes'!D434,""))</f>
        <v/>
      </c>
      <c r="AQ434" t="str">
        <f>IF('Base Exámenes'!C434="","",IF(COUNTIF('Base Exámenes'!$C$5:$C$1000,'Base Exámenes'!C434)&lt;2,"",MATCH('Base Exámenes'!C434,'Base Exámenes'!$C$5:$C$1000,0)*10000+ROW()))</f>
        <v/>
      </c>
    </row>
    <row r="435">
      <c r="Z435" t="str">
        <f>IF('Detalle individual'!A435="","",IF(AND(OR('Estado por Colaborador'!$D$4="Todas las gerencias",'Detalle individual'!D435='Estado por Colaborador'!$D$4),OR('Estado por Colaborador'!$D$5="Todos los departamentos",TRIM('Detalle individual'!C435)='Estado por Colaborador'!$D$5),OR('Estado por Colaborador'!$D$6="Todos",'Detalle individual'!F435='Estado por Colaborador'!$D$6)),IF('Detalle individual'!F435="Completado",30000000,IF('Detalle individual'!F435="Pendiente",0,15000000))+COUNTIF('Detalle individual'!$C$5:$C$1000,"&lt;"&amp;'Detalle individual'!C435)*10000+ROW(),""))</f>
        <v/>
      </c>
      <c r="AB435" t="str">
        <f>IF('Detalle individual'!C435="","",IF(COUNTIF('Detalle individual'!$C$5:C435,'Detalle individual'!C435)=1,COUNTIF('Detalle individual'!$C$5:$C$1000,"&lt;"&amp;'Detalle individual'!C435),""))</f>
        <v/>
      </c>
      <c r="AC435" t="str">
        <f>IF('Detalle individual'!D435="","",IF(COUNTIF('Detalle individual'!$D$5:D435,'Detalle individual'!D435)=1,COUNTIF('Detalle individual'!$D$5:$D$1000,"&lt;"&amp;'Detalle individual'!D435),""))</f>
        <v/>
      </c>
      <c r="AH435" t="str">
        <f>IF('Detalle individual'!F435="Pendiente",COUNTIF('Detalle individual'!$D$5:$D$1000,"&lt;"&amp;'Detalle individual'!D435)*1000000+COUNTIF('Detalle individual'!$C$5:$C$1000,"&lt;"&amp;'Detalle individual'!C435)*1000+COUNTIF('Detalle individual'!$B$5:$B$1000,"&lt;"&amp;'Detalle individual'!B435)+ROW()/10000,"")</f>
        <v/>
      </c>
      <c r="AI435" t="str">
        <f>IF('Detalle individual'!F435="Completado",COUNTIF('Detalle individual'!$D$5:$D$1000,"&lt;"&amp;'Detalle individual'!D435)*1000000+COUNTIF('Detalle individual'!$C$5:$C$1000,"&lt;"&amp;'Detalle individual'!C435)*1000+COUNTIF('Detalle individual'!$B$5:$B$1000,"&lt;"&amp;'Detalle individual'!B435)+ROW()/10000,"")</f>
        <v/>
      </c>
      <c r="AJ435" t="str">
        <f>IF(AND('Detalle individual'!F435&lt;&gt;"",'Detalle individual'!F435&lt;&gt;"Completado",'Detalle individual'!F435&lt;&gt;"Pendiente"),COUNTIF('Detalle individual'!$D$5:$D$1000,"&lt;"&amp;'Detalle individual'!D435)*1000000+COUNTIF('Detalle individual'!$C$5:$C$1000,"&lt;"&amp;'Detalle individual'!C435)*1000+COUNTIF('Detalle individual'!$B$5:$B$1000,"&lt;"&amp;'Detalle individual'!B435)+ROW()/10000,"")</f>
        <v/>
      </c>
      <c r="AK435" t="str">
        <f>IF(OR('Base Exámenes'!C435="",'Base Exámenes'!D435=""),"",IF(COUNTIF('Base Exámenes'!$C$5:C435,'Base Exámenes'!C435)=1,'Base Exámenes'!D435+ROW()/1000000000,""))</f>
        <v/>
      </c>
      <c r="AL435" t="str">
        <f>IF(OR('Base Exámenes'!C435="",'Base Exámenes'!E435=""),"",IF(COUNTIF('Base Exámenes'!$C$5:C435,'Base Exámenes'!C435)=1,'Base Exámenes'!E435+ROW()/1000000000,""))</f>
        <v/>
      </c>
      <c r="AM435" t="str">
        <f>IF(OR('Base Exámenes'!C435="",'Base Exámenes'!G435=""),"",IF(ROW()-4=MATCH('Base Exámenes'!C435&amp;"|"&amp;_xlfn.MAXIFS('Base Exámenes'!$G$5:$G$1000,'Base Exámenes'!$C$5:$C$1000,'Base Exámenes'!C435),'Base Exámenes'!$I$5:$I$1000,0),'Base Exámenes'!G435*1000000+(-1)*'Base Exámenes'!D435,""))</f>
        <v/>
      </c>
      <c r="AQ435" t="str">
        <f>IF('Base Exámenes'!C435="","",IF(COUNTIF('Base Exámenes'!$C$5:$C$1000,'Base Exámenes'!C435)&lt;2,"",MATCH('Base Exámenes'!C435,'Base Exámenes'!$C$5:$C$1000,0)*10000+ROW()))</f>
        <v/>
      </c>
    </row>
    <row r="436">
      <c r="Z436" t="str">
        <f>IF('Detalle individual'!A436="","",IF(AND(OR('Estado por Colaborador'!$D$4="Todas las gerencias",'Detalle individual'!D436='Estado por Colaborador'!$D$4),OR('Estado por Colaborador'!$D$5="Todos los departamentos",TRIM('Detalle individual'!C436)='Estado por Colaborador'!$D$5),OR('Estado por Colaborador'!$D$6="Todos",'Detalle individual'!F436='Estado por Colaborador'!$D$6)),IF('Detalle individual'!F436="Completado",30000000,IF('Detalle individual'!F436="Pendiente",0,15000000))+COUNTIF('Detalle individual'!$C$5:$C$1000,"&lt;"&amp;'Detalle individual'!C436)*10000+ROW(),""))</f>
        <v/>
      </c>
      <c r="AB436" t="str">
        <f>IF('Detalle individual'!C436="","",IF(COUNTIF('Detalle individual'!$C$5:C436,'Detalle individual'!C436)=1,COUNTIF('Detalle individual'!$C$5:$C$1000,"&lt;"&amp;'Detalle individual'!C436),""))</f>
        <v/>
      </c>
      <c r="AC436" t="str">
        <f>IF('Detalle individual'!D436="","",IF(COUNTIF('Detalle individual'!$D$5:D436,'Detalle individual'!D436)=1,COUNTIF('Detalle individual'!$D$5:$D$1000,"&lt;"&amp;'Detalle individual'!D436),""))</f>
        <v/>
      </c>
      <c r="AH436" t="str">
        <f>IF('Detalle individual'!F436="Pendiente",COUNTIF('Detalle individual'!$D$5:$D$1000,"&lt;"&amp;'Detalle individual'!D436)*1000000+COUNTIF('Detalle individual'!$C$5:$C$1000,"&lt;"&amp;'Detalle individual'!C436)*1000+COUNTIF('Detalle individual'!$B$5:$B$1000,"&lt;"&amp;'Detalle individual'!B436)+ROW()/10000,"")</f>
        <v/>
      </c>
      <c r="AI436" t="str">
        <f>IF('Detalle individual'!F436="Completado",COUNTIF('Detalle individual'!$D$5:$D$1000,"&lt;"&amp;'Detalle individual'!D436)*1000000+COUNTIF('Detalle individual'!$C$5:$C$1000,"&lt;"&amp;'Detalle individual'!C436)*1000+COUNTIF('Detalle individual'!$B$5:$B$1000,"&lt;"&amp;'Detalle individual'!B436)+ROW()/10000,"")</f>
        <v/>
      </c>
      <c r="AJ436" t="str">
        <f>IF(AND('Detalle individual'!F436&lt;&gt;"",'Detalle individual'!F436&lt;&gt;"Completado",'Detalle individual'!F436&lt;&gt;"Pendiente"),COUNTIF('Detalle individual'!$D$5:$D$1000,"&lt;"&amp;'Detalle individual'!D436)*1000000+COUNTIF('Detalle individual'!$C$5:$C$1000,"&lt;"&amp;'Detalle individual'!C436)*1000+COUNTIF('Detalle individual'!$B$5:$B$1000,"&lt;"&amp;'Detalle individual'!B436)+ROW()/10000,"")</f>
        <v/>
      </c>
      <c r="AK436" t="str">
        <f>IF(OR('Base Exámenes'!C436="",'Base Exámenes'!D436=""),"",IF(COUNTIF('Base Exámenes'!$C$5:C436,'Base Exámenes'!C436)=1,'Base Exámenes'!D436+ROW()/1000000000,""))</f>
        <v/>
      </c>
      <c r="AL436" t="str">
        <f>IF(OR('Base Exámenes'!C436="",'Base Exámenes'!E436=""),"",IF(COUNTIF('Base Exámenes'!$C$5:C436,'Base Exámenes'!C436)=1,'Base Exámenes'!E436+ROW()/1000000000,""))</f>
        <v/>
      </c>
      <c r="AM436" t="str">
        <f>IF(OR('Base Exámenes'!C436="",'Base Exámenes'!G436=""),"",IF(ROW()-4=MATCH('Base Exámenes'!C436&amp;"|"&amp;_xlfn.MAXIFS('Base Exámenes'!$G$5:$G$1000,'Base Exámenes'!$C$5:$C$1000,'Base Exámenes'!C436),'Base Exámenes'!$I$5:$I$1000,0),'Base Exámenes'!G436*1000000+(-1)*'Base Exámenes'!D436,""))</f>
        <v/>
      </c>
      <c r="AQ436" t="str">
        <f>IF('Base Exámenes'!C436="","",IF(COUNTIF('Base Exámenes'!$C$5:$C$1000,'Base Exámenes'!C436)&lt;2,"",MATCH('Base Exámenes'!C436,'Base Exámenes'!$C$5:$C$1000,0)*10000+ROW()))</f>
        <v/>
      </c>
    </row>
    <row r="437">
      <c r="Z437" t="str">
        <f>IF('Detalle individual'!A437="","",IF(AND(OR('Estado por Colaborador'!$D$4="Todas las gerencias",'Detalle individual'!D437='Estado por Colaborador'!$D$4),OR('Estado por Colaborador'!$D$5="Todos los departamentos",TRIM('Detalle individual'!C437)='Estado por Colaborador'!$D$5),OR('Estado por Colaborador'!$D$6="Todos",'Detalle individual'!F437='Estado por Colaborador'!$D$6)),IF('Detalle individual'!F437="Completado",30000000,IF('Detalle individual'!F437="Pendiente",0,15000000))+COUNTIF('Detalle individual'!$C$5:$C$1000,"&lt;"&amp;'Detalle individual'!C437)*10000+ROW(),""))</f>
        <v/>
      </c>
      <c r="AB437" t="str">
        <f>IF('Detalle individual'!C437="","",IF(COUNTIF('Detalle individual'!$C$5:C437,'Detalle individual'!C437)=1,COUNTIF('Detalle individual'!$C$5:$C$1000,"&lt;"&amp;'Detalle individual'!C437),""))</f>
        <v/>
      </c>
      <c r="AC437" t="str">
        <f>IF('Detalle individual'!D437="","",IF(COUNTIF('Detalle individual'!$D$5:D437,'Detalle individual'!D437)=1,COUNTIF('Detalle individual'!$D$5:$D$1000,"&lt;"&amp;'Detalle individual'!D437),""))</f>
        <v/>
      </c>
      <c r="AH437" t="str">
        <f>IF('Detalle individual'!F437="Pendiente",COUNTIF('Detalle individual'!$D$5:$D$1000,"&lt;"&amp;'Detalle individual'!D437)*1000000+COUNTIF('Detalle individual'!$C$5:$C$1000,"&lt;"&amp;'Detalle individual'!C437)*1000+COUNTIF('Detalle individual'!$B$5:$B$1000,"&lt;"&amp;'Detalle individual'!B437)+ROW()/10000,"")</f>
        <v/>
      </c>
      <c r="AI437" t="str">
        <f>IF('Detalle individual'!F437="Completado",COUNTIF('Detalle individual'!$D$5:$D$1000,"&lt;"&amp;'Detalle individual'!D437)*1000000+COUNTIF('Detalle individual'!$C$5:$C$1000,"&lt;"&amp;'Detalle individual'!C437)*1000+COUNTIF('Detalle individual'!$B$5:$B$1000,"&lt;"&amp;'Detalle individual'!B437)+ROW()/10000,"")</f>
        <v/>
      </c>
      <c r="AJ437" t="str">
        <f>IF(AND('Detalle individual'!F437&lt;&gt;"",'Detalle individual'!F437&lt;&gt;"Completado",'Detalle individual'!F437&lt;&gt;"Pendiente"),COUNTIF('Detalle individual'!$D$5:$D$1000,"&lt;"&amp;'Detalle individual'!D437)*1000000+COUNTIF('Detalle individual'!$C$5:$C$1000,"&lt;"&amp;'Detalle individual'!C437)*1000+COUNTIF('Detalle individual'!$B$5:$B$1000,"&lt;"&amp;'Detalle individual'!B437)+ROW()/10000,"")</f>
        <v/>
      </c>
      <c r="AK437" t="str">
        <f>IF(OR('Base Exámenes'!C437="",'Base Exámenes'!D437=""),"",IF(COUNTIF('Base Exámenes'!$C$5:C437,'Base Exámenes'!C437)=1,'Base Exámenes'!D437+ROW()/1000000000,""))</f>
        <v/>
      </c>
      <c r="AL437" t="str">
        <f>IF(OR('Base Exámenes'!C437="",'Base Exámenes'!E437=""),"",IF(COUNTIF('Base Exámenes'!$C$5:C437,'Base Exámenes'!C437)=1,'Base Exámenes'!E437+ROW()/1000000000,""))</f>
        <v/>
      </c>
      <c r="AM437" t="str">
        <f>IF(OR('Base Exámenes'!C437="",'Base Exámenes'!G437=""),"",IF(ROW()-4=MATCH('Base Exámenes'!C437&amp;"|"&amp;_xlfn.MAXIFS('Base Exámenes'!$G$5:$G$1000,'Base Exámenes'!$C$5:$C$1000,'Base Exámenes'!C437),'Base Exámenes'!$I$5:$I$1000,0),'Base Exámenes'!G437*1000000+(-1)*'Base Exámenes'!D437,""))</f>
        <v/>
      </c>
      <c r="AQ437" t="str">
        <f>IF('Base Exámenes'!C437="","",IF(COUNTIF('Base Exámenes'!$C$5:$C$1000,'Base Exámenes'!C437)&lt;2,"",MATCH('Base Exámenes'!C437,'Base Exámenes'!$C$5:$C$1000,0)*10000+ROW()))</f>
        <v/>
      </c>
    </row>
    <row r="438">
      <c r="Z438" t="str">
        <f>IF('Detalle individual'!A438="","",IF(AND(OR('Estado por Colaborador'!$D$4="Todas las gerencias",'Detalle individual'!D438='Estado por Colaborador'!$D$4),OR('Estado por Colaborador'!$D$5="Todos los departamentos",TRIM('Detalle individual'!C438)='Estado por Colaborador'!$D$5),OR('Estado por Colaborador'!$D$6="Todos",'Detalle individual'!F438='Estado por Colaborador'!$D$6)),IF('Detalle individual'!F438="Completado",30000000,IF('Detalle individual'!F438="Pendiente",0,15000000))+COUNTIF('Detalle individual'!$C$5:$C$1000,"&lt;"&amp;'Detalle individual'!C438)*10000+ROW(),""))</f>
        <v/>
      </c>
      <c r="AB438" t="str">
        <f>IF('Detalle individual'!C438="","",IF(COUNTIF('Detalle individual'!$C$5:C438,'Detalle individual'!C438)=1,COUNTIF('Detalle individual'!$C$5:$C$1000,"&lt;"&amp;'Detalle individual'!C438),""))</f>
        <v/>
      </c>
      <c r="AC438" t="str">
        <f>IF('Detalle individual'!D438="","",IF(COUNTIF('Detalle individual'!$D$5:D438,'Detalle individual'!D438)=1,COUNTIF('Detalle individual'!$D$5:$D$1000,"&lt;"&amp;'Detalle individual'!D438),""))</f>
        <v/>
      </c>
      <c r="AH438" t="str">
        <f>IF('Detalle individual'!F438="Pendiente",COUNTIF('Detalle individual'!$D$5:$D$1000,"&lt;"&amp;'Detalle individual'!D438)*1000000+COUNTIF('Detalle individual'!$C$5:$C$1000,"&lt;"&amp;'Detalle individual'!C438)*1000+COUNTIF('Detalle individual'!$B$5:$B$1000,"&lt;"&amp;'Detalle individual'!B438)+ROW()/10000,"")</f>
        <v/>
      </c>
      <c r="AI438" t="str">
        <f>IF('Detalle individual'!F438="Completado",COUNTIF('Detalle individual'!$D$5:$D$1000,"&lt;"&amp;'Detalle individual'!D438)*1000000+COUNTIF('Detalle individual'!$C$5:$C$1000,"&lt;"&amp;'Detalle individual'!C438)*1000+COUNTIF('Detalle individual'!$B$5:$B$1000,"&lt;"&amp;'Detalle individual'!B438)+ROW()/10000,"")</f>
        <v/>
      </c>
      <c r="AJ438" t="str">
        <f>IF(AND('Detalle individual'!F438&lt;&gt;"",'Detalle individual'!F438&lt;&gt;"Completado",'Detalle individual'!F438&lt;&gt;"Pendiente"),COUNTIF('Detalle individual'!$D$5:$D$1000,"&lt;"&amp;'Detalle individual'!D438)*1000000+COUNTIF('Detalle individual'!$C$5:$C$1000,"&lt;"&amp;'Detalle individual'!C438)*1000+COUNTIF('Detalle individual'!$B$5:$B$1000,"&lt;"&amp;'Detalle individual'!B438)+ROW()/10000,"")</f>
        <v/>
      </c>
      <c r="AK438" t="str">
        <f>IF(OR('Base Exámenes'!C438="",'Base Exámenes'!D438=""),"",IF(COUNTIF('Base Exámenes'!$C$5:C438,'Base Exámenes'!C438)=1,'Base Exámenes'!D438+ROW()/1000000000,""))</f>
        <v/>
      </c>
      <c r="AL438" t="str">
        <f>IF(OR('Base Exámenes'!C438="",'Base Exámenes'!E438=""),"",IF(COUNTIF('Base Exámenes'!$C$5:C438,'Base Exámenes'!C438)=1,'Base Exámenes'!E438+ROW()/1000000000,""))</f>
        <v/>
      </c>
      <c r="AM438" t="str">
        <f>IF(OR('Base Exámenes'!C438="",'Base Exámenes'!G438=""),"",IF(ROW()-4=MATCH('Base Exámenes'!C438&amp;"|"&amp;_xlfn.MAXIFS('Base Exámenes'!$G$5:$G$1000,'Base Exámenes'!$C$5:$C$1000,'Base Exámenes'!C438),'Base Exámenes'!$I$5:$I$1000,0),'Base Exámenes'!G438*1000000+(-1)*'Base Exámenes'!D438,""))</f>
        <v/>
      </c>
      <c r="AQ438" t="str">
        <f>IF('Base Exámenes'!C438="","",IF(COUNTIF('Base Exámenes'!$C$5:$C$1000,'Base Exámenes'!C438)&lt;2,"",MATCH('Base Exámenes'!C438,'Base Exámenes'!$C$5:$C$1000,0)*10000+ROW()))</f>
        <v/>
      </c>
    </row>
    <row r="439">
      <c r="Z439" t="str">
        <f>IF('Detalle individual'!A439="","",IF(AND(OR('Estado por Colaborador'!$D$4="Todas las gerencias",'Detalle individual'!D439='Estado por Colaborador'!$D$4),OR('Estado por Colaborador'!$D$5="Todos los departamentos",TRIM('Detalle individual'!C439)='Estado por Colaborador'!$D$5),OR('Estado por Colaborador'!$D$6="Todos",'Detalle individual'!F439='Estado por Colaborador'!$D$6)),IF('Detalle individual'!F439="Completado",30000000,IF('Detalle individual'!F439="Pendiente",0,15000000))+COUNTIF('Detalle individual'!$C$5:$C$1000,"&lt;"&amp;'Detalle individual'!C439)*10000+ROW(),""))</f>
        <v/>
      </c>
      <c r="AB439" t="str">
        <f>IF('Detalle individual'!C439="","",IF(COUNTIF('Detalle individual'!$C$5:C439,'Detalle individual'!C439)=1,COUNTIF('Detalle individual'!$C$5:$C$1000,"&lt;"&amp;'Detalle individual'!C439),""))</f>
        <v/>
      </c>
      <c r="AC439" t="str">
        <f>IF('Detalle individual'!D439="","",IF(COUNTIF('Detalle individual'!$D$5:D439,'Detalle individual'!D439)=1,COUNTIF('Detalle individual'!$D$5:$D$1000,"&lt;"&amp;'Detalle individual'!D439),""))</f>
        <v/>
      </c>
      <c r="AH439" t="str">
        <f>IF('Detalle individual'!F439="Pendiente",COUNTIF('Detalle individual'!$D$5:$D$1000,"&lt;"&amp;'Detalle individual'!D439)*1000000+COUNTIF('Detalle individual'!$C$5:$C$1000,"&lt;"&amp;'Detalle individual'!C439)*1000+COUNTIF('Detalle individual'!$B$5:$B$1000,"&lt;"&amp;'Detalle individual'!B439)+ROW()/10000,"")</f>
        <v/>
      </c>
      <c r="AI439" t="str">
        <f>IF('Detalle individual'!F439="Completado",COUNTIF('Detalle individual'!$D$5:$D$1000,"&lt;"&amp;'Detalle individual'!D439)*1000000+COUNTIF('Detalle individual'!$C$5:$C$1000,"&lt;"&amp;'Detalle individual'!C439)*1000+COUNTIF('Detalle individual'!$B$5:$B$1000,"&lt;"&amp;'Detalle individual'!B439)+ROW()/10000,"")</f>
        <v/>
      </c>
      <c r="AJ439" t="str">
        <f>IF(AND('Detalle individual'!F439&lt;&gt;"",'Detalle individual'!F439&lt;&gt;"Completado",'Detalle individual'!F439&lt;&gt;"Pendiente"),COUNTIF('Detalle individual'!$D$5:$D$1000,"&lt;"&amp;'Detalle individual'!D439)*1000000+COUNTIF('Detalle individual'!$C$5:$C$1000,"&lt;"&amp;'Detalle individual'!C439)*1000+COUNTIF('Detalle individual'!$B$5:$B$1000,"&lt;"&amp;'Detalle individual'!B439)+ROW()/10000,"")</f>
        <v/>
      </c>
      <c r="AK439" t="str">
        <f>IF(OR('Base Exámenes'!C439="",'Base Exámenes'!D439=""),"",IF(COUNTIF('Base Exámenes'!$C$5:C439,'Base Exámenes'!C439)=1,'Base Exámenes'!D439+ROW()/1000000000,""))</f>
        <v/>
      </c>
      <c r="AL439" t="str">
        <f>IF(OR('Base Exámenes'!C439="",'Base Exámenes'!E439=""),"",IF(COUNTIF('Base Exámenes'!$C$5:C439,'Base Exámenes'!C439)=1,'Base Exámenes'!E439+ROW()/1000000000,""))</f>
        <v/>
      </c>
      <c r="AM439" t="str">
        <f>IF(OR('Base Exámenes'!C439="",'Base Exámenes'!G439=""),"",IF(ROW()-4=MATCH('Base Exámenes'!C439&amp;"|"&amp;_xlfn.MAXIFS('Base Exámenes'!$G$5:$G$1000,'Base Exámenes'!$C$5:$C$1000,'Base Exámenes'!C439),'Base Exámenes'!$I$5:$I$1000,0),'Base Exámenes'!G439*1000000+(-1)*'Base Exámenes'!D439,""))</f>
        <v/>
      </c>
      <c r="AQ439" t="str">
        <f>IF('Base Exámenes'!C439="","",IF(COUNTIF('Base Exámenes'!$C$5:$C$1000,'Base Exámenes'!C439)&lt;2,"",MATCH('Base Exámenes'!C439,'Base Exámenes'!$C$5:$C$1000,0)*10000+ROW()))</f>
        <v/>
      </c>
    </row>
    <row r="440">
      <c r="Z440" t="str">
        <f>IF('Detalle individual'!A440="","",IF(AND(OR('Estado por Colaborador'!$D$4="Todas las gerencias",'Detalle individual'!D440='Estado por Colaborador'!$D$4),OR('Estado por Colaborador'!$D$5="Todos los departamentos",TRIM('Detalle individual'!C440)='Estado por Colaborador'!$D$5),OR('Estado por Colaborador'!$D$6="Todos",'Detalle individual'!F440='Estado por Colaborador'!$D$6)),IF('Detalle individual'!F440="Completado",30000000,IF('Detalle individual'!F440="Pendiente",0,15000000))+COUNTIF('Detalle individual'!$C$5:$C$1000,"&lt;"&amp;'Detalle individual'!C440)*10000+ROW(),""))</f>
        <v/>
      </c>
      <c r="AB440" t="str">
        <f>IF('Detalle individual'!C440="","",IF(COUNTIF('Detalle individual'!$C$5:C440,'Detalle individual'!C440)=1,COUNTIF('Detalle individual'!$C$5:$C$1000,"&lt;"&amp;'Detalle individual'!C440),""))</f>
        <v/>
      </c>
      <c r="AC440" t="str">
        <f>IF('Detalle individual'!D440="","",IF(COUNTIF('Detalle individual'!$D$5:D440,'Detalle individual'!D440)=1,COUNTIF('Detalle individual'!$D$5:$D$1000,"&lt;"&amp;'Detalle individual'!D440),""))</f>
        <v/>
      </c>
      <c r="AH440" t="str">
        <f>IF('Detalle individual'!F440="Pendiente",COUNTIF('Detalle individual'!$D$5:$D$1000,"&lt;"&amp;'Detalle individual'!D440)*1000000+COUNTIF('Detalle individual'!$C$5:$C$1000,"&lt;"&amp;'Detalle individual'!C440)*1000+COUNTIF('Detalle individual'!$B$5:$B$1000,"&lt;"&amp;'Detalle individual'!B440)+ROW()/10000,"")</f>
        <v/>
      </c>
      <c r="AI440" t="str">
        <f>IF('Detalle individual'!F440="Completado",COUNTIF('Detalle individual'!$D$5:$D$1000,"&lt;"&amp;'Detalle individual'!D440)*1000000+COUNTIF('Detalle individual'!$C$5:$C$1000,"&lt;"&amp;'Detalle individual'!C440)*1000+COUNTIF('Detalle individual'!$B$5:$B$1000,"&lt;"&amp;'Detalle individual'!B440)+ROW()/10000,"")</f>
        <v/>
      </c>
      <c r="AJ440" t="str">
        <f>IF(AND('Detalle individual'!F440&lt;&gt;"",'Detalle individual'!F440&lt;&gt;"Completado",'Detalle individual'!F440&lt;&gt;"Pendiente"),COUNTIF('Detalle individual'!$D$5:$D$1000,"&lt;"&amp;'Detalle individual'!D440)*1000000+COUNTIF('Detalle individual'!$C$5:$C$1000,"&lt;"&amp;'Detalle individual'!C440)*1000+COUNTIF('Detalle individual'!$B$5:$B$1000,"&lt;"&amp;'Detalle individual'!B440)+ROW()/10000,"")</f>
        <v/>
      </c>
      <c r="AK440" t="str">
        <f>IF(OR('Base Exámenes'!C440="",'Base Exámenes'!D440=""),"",IF(COUNTIF('Base Exámenes'!$C$5:C440,'Base Exámenes'!C440)=1,'Base Exámenes'!D440+ROW()/1000000000,""))</f>
        <v/>
      </c>
      <c r="AL440" t="str">
        <f>IF(OR('Base Exámenes'!C440="",'Base Exámenes'!E440=""),"",IF(COUNTIF('Base Exámenes'!$C$5:C440,'Base Exámenes'!C440)=1,'Base Exámenes'!E440+ROW()/1000000000,""))</f>
        <v/>
      </c>
      <c r="AM440" t="str">
        <f>IF(OR('Base Exámenes'!C440="",'Base Exámenes'!G440=""),"",IF(ROW()-4=MATCH('Base Exámenes'!C440&amp;"|"&amp;_xlfn.MAXIFS('Base Exámenes'!$G$5:$G$1000,'Base Exámenes'!$C$5:$C$1000,'Base Exámenes'!C440),'Base Exámenes'!$I$5:$I$1000,0),'Base Exámenes'!G440*1000000+(-1)*'Base Exámenes'!D440,""))</f>
        <v/>
      </c>
      <c r="AQ440" t="str">
        <f>IF('Base Exámenes'!C440="","",IF(COUNTIF('Base Exámenes'!$C$5:$C$1000,'Base Exámenes'!C440)&lt;2,"",MATCH('Base Exámenes'!C440,'Base Exámenes'!$C$5:$C$1000,0)*10000+ROW()))</f>
        <v/>
      </c>
    </row>
    <row r="441">
      <c r="Z441" t="str">
        <f>IF('Detalle individual'!A441="","",IF(AND(OR('Estado por Colaborador'!$D$4="Todas las gerencias",'Detalle individual'!D441='Estado por Colaborador'!$D$4),OR('Estado por Colaborador'!$D$5="Todos los departamentos",TRIM('Detalle individual'!C441)='Estado por Colaborador'!$D$5),OR('Estado por Colaborador'!$D$6="Todos",'Detalle individual'!F441='Estado por Colaborador'!$D$6)),IF('Detalle individual'!F441="Completado",30000000,IF('Detalle individual'!F441="Pendiente",0,15000000))+COUNTIF('Detalle individual'!$C$5:$C$1000,"&lt;"&amp;'Detalle individual'!C441)*10000+ROW(),""))</f>
        <v/>
      </c>
      <c r="AB441" t="str">
        <f>IF('Detalle individual'!C441="","",IF(COUNTIF('Detalle individual'!$C$5:C441,'Detalle individual'!C441)=1,COUNTIF('Detalle individual'!$C$5:$C$1000,"&lt;"&amp;'Detalle individual'!C441),""))</f>
        <v/>
      </c>
      <c r="AC441" t="str">
        <f>IF('Detalle individual'!D441="","",IF(COUNTIF('Detalle individual'!$D$5:D441,'Detalle individual'!D441)=1,COUNTIF('Detalle individual'!$D$5:$D$1000,"&lt;"&amp;'Detalle individual'!D441),""))</f>
        <v/>
      </c>
      <c r="AH441" t="str">
        <f>IF('Detalle individual'!F441="Pendiente",COUNTIF('Detalle individual'!$D$5:$D$1000,"&lt;"&amp;'Detalle individual'!D441)*1000000+COUNTIF('Detalle individual'!$C$5:$C$1000,"&lt;"&amp;'Detalle individual'!C441)*1000+COUNTIF('Detalle individual'!$B$5:$B$1000,"&lt;"&amp;'Detalle individual'!B441)+ROW()/10000,"")</f>
        <v/>
      </c>
      <c r="AI441" t="str">
        <f>IF('Detalle individual'!F441="Completado",COUNTIF('Detalle individual'!$D$5:$D$1000,"&lt;"&amp;'Detalle individual'!D441)*1000000+COUNTIF('Detalle individual'!$C$5:$C$1000,"&lt;"&amp;'Detalle individual'!C441)*1000+COUNTIF('Detalle individual'!$B$5:$B$1000,"&lt;"&amp;'Detalle individual'!B441)+ROW()/10000,"")</f>
        <v/>
      </c>
      <c r="AJ441" t="str">
        <f>IF(AND('Detalle individual'!F441&lt;&gt;"",'Detalle individual'!F441&lt;&gt;"Completado",'Detalle individual'!F441&lt;&gt;"Pendiente"),COUNTIF('Detalle individual'!$D$5:$D$1000,"&lt;"&amp;'Detalle individual'!D441)*1000000+COUNTIF('Detalle individual'!$C$5:$C$1000,"&lt;"&amp;'Detalle individual'!C441)*1000+COUNTIF('Detalle individual'!$B$5:$B$1000,"&lt;"&amp;'Detalle individual'!B441)+ROW()/10000,"")</f>
        <v/>
      </c>
      <c r="AK441" t="str">
        <f>IF(OR('Base Exámenes'!C441="",'Base Exámenes'!D441=""),"",IF(COUNTIF('Base Exámenes'!$C$5:C441,'Base Exámenes'!C441)=1,'Base Exámenes'!D441+ROW()/1000000000,""))</f>
        <v/>
      </c>
      <c r="AL441" t="str">
        <f>IF(OR('Base Exámenes'!C441="",'Base Exámenes'!E441=""),"",IF(COUNTIF('Base Exámenes'!$C$5:C441,'Base Exámenes'!C441)=1,'Base Exámenes'!E441+ROW()/1000000000,""))</f>
        <v/>
      </c>
      <c r="AM441" t="str">
        <f>IF(OR('Base Exámenes'!C441="",'Base Exámenes'!G441=""),"",IF(ROW()-4=MATCH('Base Exámenes'!C441&amp;"|"&amp;_xlfn.MAXIFS('Base Exámenes'!$G$5:$G$1000,'Base Exámenes'!$C$5:$C$1000,'Base Exámenes'!C441),'Base Exámenes'!$I$5:$I$1000,0),'Base Exámenes'!G441*1000000+(-1)*'Base Exámenes'!D441,""))</f>
        <v/>
      </c>
      <c r="AQ441" t="str">
        <f>IF('Base Exámenes'!C441="","",IF(COUNTIF('Base Exámenes'!$C$5:$C$1000,'Base Exámenes'!C441)&lt;2,"",MATCH('Base Exámenes'!C441,'Base Exámenes'!$C$5:$C$1000,0)*10000+ROW()))</f>
        <v/>
      </c>
    </row>
    <row r="442">
      <c r="Z442" t="str">
        <f>IF('Detalle individual'!A442="","",IF(AND(OR('Estado por Colaborador'!$D$4="Todas las gerencias",'Detalle individual'!D442='Estado por Colaborador'!$D$4),OR('Estado por Colaborador'!$D$5="Todos los departamentos",TRIM('Detalle individual'!C442)='Estado por Colaborador'!$D$5),OR('Estado por Colaborador'!$D$6="Todos",'Detalle individual'!F442='Estado por Colaborador'!$D$6)),IF('Detalle individual'!F442="Completado",30000000,IF('Detalle individual'!F442="Pendiente",0,15000000))+COUNTIF('Detalle individual'!$C$5:$C$1000,"&lt;"&amp;'Detalle individual'!C442)*10000+ROW(),""))</f>
        <v/>
      </c>
      <c r="AB442" t="str">
        <f>IF('Detalle individual'!C442="","",IF(COUNTIF('Detalle individual'!$C$5:C442,'Detalle individual'!C442)=1,COUNTIF('Detalle individual'!$C$5:$C$1000,"&lt;"&amp;'Detalle individual'!C442),""))</f>
        <v/>
      </c>
      <c r="AC442" t="str">
        <f>IF('Detalle individual'!D442="","",IF(COUNTIF('Detalle individual'!$D$5:D442,'Detalle individual'!D442)=1,COUNTIF('Detalle individual'!$D$5:$D$1000,"&lt;"&amp;'Detalle individual'!D442),""))</f>
        <v/>
      </c>
      <c r="AH442" t="str">
        <f>IF('Detalle individual'!F442="Pendiente",COUNTIF('Detalle individual'!$D$5:$D$1000,"&lt;"&amp;'Detalle individual'!D442)*1000000+COUNTIF('Detalle individual'!$C$5:$C$1000,"&lt;"&amp;'Detalle individual'!C442)*1000+COUNTIF('Detalle individual'!$B$5:$B$1000,"&lt;"&amp;'Detalle individual'!B442)+ROW()/10000,"")</f>
        <v/>
      </c>
      <c r="AI442" t="str">
        <f>IF('Detalle individual'!F442="Completado",COUNTIF('Detalle individual'!$D$5:$D$1000,"&lt;"&amp;'Detalle individual'!D442)*1000000+COUNTIF('Detalle individual'!$C$5:$C$1000,"&lt;"&amp;'Detalle individual'!C442)*1000+COUNTIF('Detalle individual'!$B$5:$B$1000,"&lt;"&amp;'Detalle individual'!B442)+ROW()/10000,"")</f>
        <v/>
      </c>
      <c r="AJ442" t="str">
        <f>IF(AND('Detalle individual'!F442&lt;&gt;"",'Detalle individual'!F442&lt;&gt;"Completado",'Detalle individual'!F442&lt;&gt;"Pendiente"),COUNTIF('Detalle individual'!$D$5:$D$1000,"&lt;"&amp;'Detalle individual'!D442)*1000000+COUNTIF('Detalle individual'!$C$5:$C$1000,"&lt;"&amp;'Detalle individual'!C442)*1000+COUNTIF('Detalle individual'!$B$5:$B$1000,"&lt;"&amp;'Detalle individual'!B442)+ROW()/10000,"")</f>
        <v/>
      </c>
      <c r="AK442" t="str">
        <f>IF(OR('Base Exámenes'!C442="",'Base Exámenes'!D442=""),"",IF(COUNTIF('Base Exámenes'!$C$5:C442,'Base Exámenes'!C442)=1,'Base Exámenes'!D442+ROW()/1000000000,""))</f>
        <v/>
      </c>
      <c r="AL442" t="str">
        <f>IF(OR('Base Exámenes'!C442="",'Base Exámenes'!E442=""),"",IF(COUNTIF('Base Exámenes'!$C$5:C442,'Base Exámenes'!C442)=1,'Base Exámenes'!E442+ROW()/1000000000,""))</f>
        <v/>
      </c>
      <c r="AM442" t="str">
        <f>IF(OR('Base Exámenes'!C442="",'Base Exámenes'!G442=""),"",IF(ROW()-4=MATCH('Base Exámenes'!C442&amp;"|"&amp;_xlfn.MAXIFS('Base Exámenes'!$G$5:$G$1000,'Base Exámenes'!$C$5:$C$1000,'Base Exámenes'!C442),'Base Exámenes'!$I$5:$I$1000,0),'Base Exámenes'!G442*1000000+(-1)*'Base Exámenes'!D442,""))</f>
        <v/>
      </c>
      <c r="AQ442" t="str">
        <f>IF('Base Exámenes'!C442="","",IF(COUNTIF('Base Exámenes'!$C$5:$C$1000,'Base Exámenes'!C442)&lt;2,"",MATCH('Base Exámenes'!C442,'Base Exámenes'!$C$5:$C$1000,0)*10000+ROW()))</f>
        <v/>
      </c>
    </row>
    <row r="443">
      <c r="Z443" t="str">
        <f>IF('Detalle individual'!A443="","",IF(AND(OR('Estado por Colaborador'!$D$4="Todas las gerencias",'Detalle individual'!D443='Estado por Colaborador'!$D$4),OR('Estado por Colaborador'!$D$5="Todos los departamentos",TRIM('Detalle individual'!C443)='Estado por Colaborador'!$D$5),OR('Estado por Colaborador'!$D$6="Todos",'Detalle individual'!F443='Estado por Colaborador'!$D$6)),IF('Detalle individual'!F443="Completado",30000000,IF('Detalle individual'!F443="Pendiente",0,15000000))+COUNTIF('Detalle individual'!$C$5:$C$1000,"&lt;"&amp;'Detalle individual'!C443)*10000+ROW(),""))</f>
        <v/>
      </c>
      <c r="AB443" t="str">
        <f>IF('Detalle individual'!C443="","",IF(COUNTIF('Detalle individual'!$C$5:C443,'Detalle individual'!C443)=1,COUNTIF('Detalle individual'!$C$5:$C$1000,"&lt;"&amp;'Detalle individual'!C443),""))</f>
        <v/>
      </c>
      <c r="AC443" t="str">
        <f>IF('Detalle individual'!D443="","",IF(COUNTIF('Detalle individual'!$D$5:D443,'Detalle individual'!D443)=1,COUNTIF('Detalle individual'!$D$5:$D$1000,"&lt;"&amp;'Detalle individual'!D443),""))</f>
        <v/>
      </c>
      <c r="AH443" t="str">
        <f>IF('Detalle individual'!F443="Pendiente",COUNTIF('Detalle individual'!$D$5:$D$1000,"&lt;"&amp;'Detalle individual'!D443)*1000000+COUNTIF('Detalle individual'!$C$5:$C$1000,"&lt;"&amp;'Detalle individual'!C443)*1000+COUNTIF('Detalle individual'!$B$5:$B$1000,"&lt;"&amp;'Detalle individual'!B443)+ROW()/10000,"")</f>
        <v/>
      </c>
      <c r="AI443" t="str">
        <f>IF('Detalle individual'!F443="Completado",COUNTIF('Detalle individual'!$D$5:$D$1000,"&lt;"&amp;'Detalle individual'!D443)*1000000+COUNTIF('Detalle individual'!$C$5:$C$1000,"&lt;"&amp;'Detalle individual'!C443)*1000+COUNTIF('Detalle individual'!$B$5:$B$1000,"&lt;"&amp;'Detalle individual'!B443)+ROW()/10000,"")</f>
        <v/>
      </c>
      <c r="AJ443" t="str">
        <f>IF(AND('Detalle individual'!F443&lt;&gt;"",'Detalle individual'!F443&lt;&gt;"Completado",'Detalle individual'!F443&lt;&gt;"Pendiente"),COUNTIF('Detalle individual'!$D$5:$D$1000,"&lt;"&amp;'Detalle individual'!D443)*1000000+COUNTIF('Detalle individual'!$C$5:$C$1000,"&lt;"&amp;'Detalle individual'!C443)*1000+COUNTIF('Detalle individual'!$B$5:$B$1000,"&lt;"&amp;'Detalle individual'!B443)+ROW()/10000,"")</f>
        <v/>
      </c>
      <c r="AK443" t="str">
        <f>IF(OR('Base Exámenes'!C443="",'Base Exámenes'!D443=""),"",IF(COUNTIF('Base Exámenes'!$C$5:C443,'Base Exámenes'!C443)=1,'Base Exámenes'!D443+ROW()/1000000000,""))</f>
        <v/>
      </c>
      <c r="AL443" t="str">
        <f>IF(OR('Base Exámenes'!C443="",'Base Exámenes'!E443=""),"",IF(COUNTIF('Base Exámenes'!$C$5:C443,'Base Exámenes'!C443)=1,'Base Exámenes'!E443+ROW()/1000000000,""))</f>
        <v/>
      </c>
      <c r="AM443" t="str">
        <f>IF(OR('Base Exámenes'!C443="",'Base Exámenes'!G443=""),"",IF(ROW()-4=MATCH('Base Exámenes'!C443&amp;"|"&amp;_xlfn.MAXIFS('Base Exámenes'!$G$5:$G$1000,'Base Exámenes'!$C$5:$C$1000,'Base Exámenes'!C443),'Base Exámenes'!$I$5:$I$1000,0),'Base Exámenes'!G443*1000000+(-1)*'Base Exámenes'!D443,""))</f>
        <v/>
      </c>
      <c r="AQ443" t="str">
        <f>IF('Base Exámenes'!C443="","",IF(COUNTIF('Base Exámenes'!$C$5:$C$1000,'Base Exámenes'!C443)&lt;2,"",MATCH('Base Exámenes'!C443,'Base Exámenes'!$C$5:$C$1000,0)*10000+ROW()))</f>
        <v/>
      </c>
    </row>
    <row r="444">
      <c r="Z444" t="str">
        <f>IF('Detalle individual'!A444="","",IF(AND(OR('Estado por Colaborador'!$D$4="Todas las gerencias",'Detalle individual'!D444='Estado por Colaborador'!$D$4),OR('Estado por Colaborador'!$D$5="Todos los departamentos",TRIM('Detalle individual'!C444)='Estado por Colaborador'!$D$5),OR('Estado por Colaborador'!$D$6="Todos",'Detalle individual'!F444='Estado por Colaborador'!$D$6)),IF('Detalle individual'!F444="Completado",30000000,IF('Detalle individual'!F444="Pendiente",0,15000000))+COUNTIF('Detalle individual'!$C$5:$C$1000,"&lt;"&amp;'Detalle individual'!C444)*10000+ROW(),""))</f>
        <v/>
      </c>
      <c r="AB444" t="str">
        <f>IF('Detalle individual'!C444="","",IF(COUNTIF('Detalle individual'!$C$5:C444,'Detalle individual'!C444)=1,COUNTIF('Detalle individual'!$C$5:$C$1000,"&lt;"&amp;'Detalle individual'!C444),""))</f>
        <v/>
      </c>
      <c r="AC444" t="str">
        <f>IF('Detalle individual'!D444="","",IF(COUNTIF('Detalle individual'!$D$5:D444,'Detalle individual'!D444)=1,COUNTIF('Detalle individual'!$D$5:$D$1000,"&lt;"&amp;'Detalle individual'!D444),""))</f>
        <v/>
      </c>
      <c r="AH444" t="str">
        <f>IF('Detalle individual'!F444="Pendiente",COUNTIF('Detalle individual'!$D$5:$D$1000,"&lt;"&amp;'Detalle individual'!D444)*1000000+COUNTIF('Detalle individual'!$C$5:$C$1000,"&lt;"&amp;'Detalle individual'!C444)*1000+COUNTIF('Detalle individual'!$B$5:$B$1000,"&lt;"&amp;'Detalle individual'!B444)+ROW()/10000,"")</f>
        <v/>
      </c>
      <c r="AI444" t="str">
        <f>IF('Detalle individual'!F444="Completado",COUNTIF('Detalle individual'!$D$5:$D$1000,"&lt;"&amp;'Detalle individual'!D444)*1000000+COUNTIF('Detalle individual'!$C$5:$C$1000,"&lt;"&amp;'Detalle individual'!C444)*1000+COUNTIF('Detalle individual'!$B$5:$B$1000,"&lt;"&amp;'Detalle individual'!B444)+ROW()/10000,"")</f>
        <v/>
      </c>
      <c r="AJ444" t="str">
        <f>IF(AND('Detalle individual'!F444&lt;&gt;"",'Detalle individual'!F444&lt;&gt;"Completado",'Detalle individual'!F444&lt;&gt;"Pendiente"),COUNTIF('Detalle individual'!$D$5:$D$1000,"&lt;"&amp;'Detalle individual'!D444)*1000000+COUNTIF('Detalle individual'!$C$5:$C$1000,"&lt;"&amp;'Detalle individual'!C444)*1000+COUNTIF('Detalle individual'!$B$5:$B$1000,"&lt;"&amp;'Detalle individual'!B444)+ROW()/10000,"")</f>
        <v/>
      </c>
      <c r="AK444" t="str">
        <f>IF(OR('Base Exámenes'!C444="",'Base Exámenes'!D444=""),"",IF(COUNTIF('Base Exámenes'!$C$5:C444,'Base Exámenes'!C444)=1,'Base Exámenes'!D444+ROW()/1000000000,""))</f>
        <v/>
      </c>
      <c r="AL444" t="str">
        <f>IF(OR('Base Exámenes'!C444="",'Base Exámenes'!E444=""),"",IF(COUNTIF('Base Exámenes'!$C$5:C444,'Base Exámenes'!C444)=1,'Base Exámenes'!E444+ROW()/1000000000,""))</f>
        <v/>
      </c>
      <c r="AM444" t="str">
        <f>IF(OR('Base Exámenes'!C444="",'Base Exámenes'!G444=""),"",IF(ROW()-4=MATCH('Base Exámenes'!C444&amp;"|"&amp;_xlfn.MAXIFS('Base Exámenes'!$G$5:$G$1000,'Base Exámenes'!$C$5:$C$1000,'Base Exámenes'!C444),'Base Exámenes'!$I$5:$I$1000,0),'Base Exámenes'!G444*1000000+(-1)*'Base Exámenes'!D444,""))</f>
        <v/>
      </c>
      <c r="AQ444" t="str">
        <f>IF('Base Exámenes'!C444="","",IF(COUNTIF('Base Exámenes'!$C$5:$C$1000,'Base Exámenes'!C444)&lt;2,"",MATCH('Base Exámenes'!C444,'Base Exámenes'!$C$5:$C$1000,0)*10000+ROW()))</f>
        <v/>
      </c>
    </row>
    <row r="445">
      <c r="Z445" t="str">
        <f>IF('Detalle individual'!A445="","",IF(AND(OR('Estado por Colaborador'!$D$4="Todas las gerencias",'Detalle individual'!D445='Estado por Colaborador'!$D$4),OR('Estado por Colaborador'!$D$5="Todos los departamentos",TRIM('Detalle individual'!C445)='Estado por Colaborador'!$D$5),OR('Estado por Colaborador'!$D$6="Todos",'Detalle individual'!F445='Estado por Colaborador'!$D$6)),IF('Detalle individual'!F445="Completado",30000000,IF('Detalle individual'!F445="Pendiente",0,15000000))+COUNTIF('Detalle individual'!$C$5:$C$1000,"&lt;"&amp;'Detalle individual'!C445)*10000+ROW(),""))</f>
        <v/>
      </c>
      <c r="AB445" t="str">
        <f>IF('Detalle individual'!C445="","",IF(COUNTIF('Detalle individual'!$C$5:C445,'Detalle individual'!C445)=1,COUNTIF('Detalle individual'!$C$5:$C$1000,"&lt;"&amp;'Detalle individual'!C445),""))</f>
        <v/>
      </c>
      <c r="AC445" t="str">
        <f>IF('Detalle individual'!D445="","",IF(COUNTIF('Detalle individual'!$D$5:D445,'Detalle individual'!D445)=1,COUNTIF('Detalle individual'!$D$5:$D$1000,"&lt;"&amp;'Detalle individual'!D445),""))</f>
        <v/>
      </c>
      <c r="AH445" t="str">
        <f>IF('Detalle individual'!F445="Pendiente",COUNTIF('Detalle individual'!$D$5:$D$1000,"&lt;"&amp;'Detalle individual'!D445)*1000000+COUNTIF('Detalle individual'!$C$5:$C$1000,"&lt;"&amp;'Detalle individual'!C445)*1000+COUNTIF('Detalle individual'!$B$5:$B$1000,"&lt;"&amp;'Detalle individual'!B445)+ROW()/10000,"")</f>
        <v/>
      </c>
      <c r="AI445" t="str">
        <f>IF('Detalle individual'!F445="Completado",COUNTIF('Detalle individual'!$D$5:$D$1000,"&lt;"&amp;'Detalle individual'!D445)*1000000+COUNTIF('Detalle individual'!$C$5:$C$1000,"&lt;"&amp;'Detalle individual'!C445)*1000+COUNTIF('Detalle individual'!$B$5:$B$1000,"&lt;"&amp;'Detalle individual'!B445)+ROW()/10000,"")</f>
        <v/>
      </c>
      <c r="AJ445" t="str">
        <f>IF(AND('Detalle individual'!F445&lt;&gt;"",'Detalle individual'!F445&lt;&gt;"Completado",'Detalle individual'!F445&lt;&gt;"Pendiente"),COUNTIF('Detalle individual'!$D$5:$D$1000,"&lt;"&amp;'Detalle individual'!D445)*1000000+COUNTIF('Detalle individual'!$C$5:$C$1000,"&lt;"&amp;'Detalle individual'!C445)*1000+COUNTIF('Detalle individual'!$B$5:$B$1000,"&lt;"&amp;'Detalle individual'!B445)+ROW()/10000,"")</f>
        <v/>
      </c>
      <c r="AK445" t="str">
        <f>IF(OR('Base Exámenes'!C445="",'Base Exámenes'!D445=""),"",IF(COUNTIF('Base Exámenes'!$C$5:C445,'Base Exámenes'!C445)=1,'Base Exámenes'!D445+ROW()/1000000000,""))</f>
        <v/>
      </c>
      <c r="AL445" t="str">
        <f>IF(OR('Base Exámenes'!C445="",'Base Exámenes'!E445=""),"",IF(COUNTIF('Base Exámenes'!$C$5:C445,'Base Exámenes'!C445)=1,'Base Exámenes'!E445+ROW()/1000000000,""))</f>
        <v/>
      </c>
      <c r="AM445" t="str">
        <f>IF(OR('Base Exámenes'!C445="",'Base Exámenes'!G445=""),"",IF(ROW()-4=MATCH('Base Exámenes'!C445&amp;"|"&amp;_xlfn.MAXIFS('Base Exámenes'!$G$5:$G$1000,'Base Exámenes'!$C$5:$C$1000,'Base Exámenes'!C445),'Base Exámenes'!$I$5:$I$1000,0),'Base Exámenes'!G445*1000000+(-1)*'Base Exámenes'!D445,""))</f>
        <v/>
      </c>
      <c r="AQ445" t="str">
        <f>IF('Base Exámenes'!C445="","",IF(COUNTIF('Base Exámenes'!$C$5:$C$1000,'Base Exámenes'!C445)&lt;2,"",MATCH('Base Exámenes'!C445,'Base Exámenes'!$C$5:$C$1000,0)*10000+ROW()))</f>
        <v/>
      </c>
    </row>
    <row r="446">
      <c r="Z446" t="str">
        <f>IF('Detalle individual'!A446="","",IF(AND(OR('Estado por Colaborador'!$D$4="Todas las gerencias",'Detalle individual'!D446='Estado por Colaborador'!$D$4),OR('Estado por Colaborador'!$D$5="Todos los departamentos",TRIM('Detalle individual'!C446)='Estado por Colaborador'!$D$5),OR('Estado por Colaborador'!$D$6="Todos",'Detalle individual'!F446='Estado por Colaborador'!$D$6)),IF('Detalle individual'!F446="Completado",30000000,IF('Detalle individual'!F446="Pendiente",0,15000000))+COUNTIF('Detalle individual'!$C$5:$C$1000,"&lt;"&amp;'Detalle individual'!C446)*10000+ROW(),""))</f>
        <v/>
      </c>
      <c r="AB446" t="str">
        <f>IF('Detalle individual'!C446="","",IF(COUNTIF('Detalle individual'!$C$5:C446,'Detalle individual'!C446)=1,COUNTIF('Detalle individual'!$C$5:$C$1000,"&lt;"&amp;'Detalle individual'!C446),""))</f>
        <v/>
      </c>
      <c r="AC446" t="str">
        <f>IF('Detalle individual'!D446="","",IF(COUNTIF('Detalle individual'!$D$5:D446,'Detalle individual'!D446)=1,COUNTIF('Detalle individual'!$D$5:$D$1000,"&lt;"&amp;'Detalle individual'!D446),""))</f>
        <v/>
      </c>
      <c r="AH446" t="str">
        <f>IF('Detalle individual'!F446="Pendiente",COUNTIF('Detalle individual'!$D$5:$D$1000,"&lt;"&amp;'Detalle individual'!D446)*1000000+COUNTIF('Detalle individual'!$C$5:$C$1000,"&lt;"&amp;'Detalle individual'!C446)*1000+COUNTIF('Detalle individual'!$B$5:$B$1000,"&lt;"&amp;'Detalle individual'!B446)+ROW()/10000,"")</f>
        <v/>
      </c>
      <c r="AI446" t="str">
        <f>IF('Detalle individual'!F446="Completado",COUNTIF('Detalle individual'!$D$5:$D$1000,"&lt;"&amp;'Detalle individual'!D446)*1000000+COUNTIF('Detalle individual'!$C$5:$C$1000,"&lt;"&amp;'Detalle individual'!C446)*1000+COUNTIF('Detalle individual'!$B$5:$B$1000,"&lt;"&amp;'Detalle individual'!B446)+ROW()/10000,"")</f>
        <v/>
      </c>
      <c r="AJ446" t="str">
        <f>IF(AND('Detalle individual'!F446&lt;&gt;"",'Detalle individual'!F446&lt;&gt;"Completado",'Detalle individual'!F446&lt;&gt;"Pendiente"),COUNTIF('Detalle individual'!$D$5:$D$1000,"&lt;"&amp;'Detalle individual'!D446)*1000000+COUNTIF('Detalle individual'!$C$5:$C$1000,"&lt;"&amp;'Detalle individual'!C446)*1000+COUNTIF('Detalle individual'!$B$5:$B$1000,"&lt;"&amp;'Detalle individual'!B446)+ROW()/10000,"")</f>
        <v/>
      </c>
      <c r="AK446" t="str">
        <f>IF(OR('Base Exámenes'!C446="",'Base Exámenes'!D446=""),"",IF(COUNTIF('Base Exámenes'!$C$5:C446,'Base Exámenes'!C446)=1,'Base Exámenes'!D446+ROW()/1000000000,""))</f>
        <v/>
      </c>
      <c r="AL446" t="str">
        <f>IF(OR('Base Exámenes'!C446="",'Base Exámenes'!E446=""),"",IF(COUNTIF('Base Exámenes'!$C$5:C446,'Base Exámenes'!C446)=1,'Base Exámenes'!E446+ROW()/1000000000,""))</f>
        <v/>
      </c>
      <c r="AM446" t="str">
        <f>IF(OR('Base Exámenes'!C446="",'Base Exámenes'!G446=""),"",IF(ROW()-4=MATCH('Base Exámenes'!C446&amp;"|"&amp;_xlfn.MAXIFS('Base Exámenes'!$G$5:$G$1000,'Base Exámenes'!$C$5:$C$1000,'Base Exámenes'!C446),'Base Exámenes'!$I$5:$I$1000,0),'Base Exámenes'!G446*1000000+(-1)*'Base Exámenes'!D446,""))</f>
        <v/>
      </c>
      <c r="AQ446" t="str">
        <f>IF('Base Exámenes'!C446="","",IF(COUNTIF('Base Exámenes'!$C$5:$C$1000,'Base Exámenes'!C446)&lt;2,"",MATCH('Base Exámenes'!C446,'Base Exámenes'!$C$5:$C$1000,0)*10000+ROW()))</f>
        <v/>
      </c>
    </row>
    <row r="447">
      <c r="Z447" t="str">
        <f>IF('Detalle individual'!A447="","",IF(AND(OR('Estado por Colaborador'!$D$4="Todas las gerencias",'Detalle individual'!D447='Estado por Colaborador'!$D$4),OR('Estado por Colaborador'!$D$5="Todos los departamentos",TRIM('Detalle individual'!C447)='Estado por Colaborador'!$D$5),OR('Estado por Colaborador'!$D$6="Todos",'Detalle individual'!F447='Estado por Colaborador'!$D$6)),IF('Detalle individual'!F447="Completado",30000000,IF('Detalle individual'!F447="Pendiente",0,15000000))+COUNTIF('Detalle individual'!$C$5:$C$1000,"&lt;"&amp;'Detalle individual'!C447)*10000+ROW(),""))</f>
        <v/>
      </c>
      <c r="AB447" t="str">
        <f>IF('Detalle individual'!C447="","",IF(COUNTIF('Detalle individual'!$C$5:C447,'Detalle individual'!C447)=1,COUNTIF('Detalle individual'!$C$5:$C$1000,"&lt;"&amp;'Detalle individual'!C447),""))</f>
        <v/>
      </c>
      <c r="AC447" t="str">
        <f>IF('Detalle individual'!D447="","",IF(COUNTIF('Detalle individual'!$D$5:D447,'Detalle individual'!D447)=1,COUNTIF('Detalle individual'!$D$5:$D$1000,"&lt;"&amp;'Detalle individual'!D447),""))</f>
        <v/>
      </c>
      <c r="AH447" t="str">
        <f>IF('Detalle individual'!F447="Pendiente",COUNTIF('Detalle individual'!$D$5:$D$1000,"&lt;"&amp;'Detalle individual'!D447)*1000000+COUNTIF('Detalle individual'!$C$5:$C$1000,"&lt;"&amp;'Detalle individual'!C447)*1000+COUNTIF('Detalle individual'!$B$5:$B$1000,"&lt;"&amp;'Detalle individual'!B447)+ROW()/10000,"")</f>
        <v/>
      </c>
      <c r="AI447" t="str">
        <f>IF('Detalle individual'!F447="Completado",COUNTIF('Detalle individual'!$D$5:$D$1000,"&lt;"&amp;'Detalle individual'!D447)*1000000+COUNTIF('Detalle individual'!$C$5:$C$1000,"&lt;"&amp;'Detalle individual'!C447)*1000+COUNTIF('Detalle individual'!$B$5:$B$1000,"&lt;"&amp;'Detalle individual'!B447)+ROW()/10000,"")</f>
        <v/>
      </c>
      <c r="AJ447" t="str">
        <f>IF(AND('Detalle individual'!F447&lt;&gt;"",'Detalle individual'!F447&lt;&gt;"Completado",'Detalle individual'!F447&lt;&gt;"Pendiente"),COUNTIF('Detalle individual'!$D$5:$D$1000,"&lt;"&amp;'Detalle individual'!D447)*1000000+COUNTIF('Detalle individual'!$C$5:$C$1000,"&lt;"&amp;'Detalle individual'!C447)*1000+COUNTIF('Detalle individual'!$B$5:$B$1000,"&lt;"&amp;'Detalle individual'!B447)+ROW()/10000,"")</f>
        <v/>
      </c>
      <c r="AK447" t="str">
        <f>IF(OR('Base Exámenes'!C447="",'Base Exámenes'!D447=""),"",IF(COUNTIF('Base Exámenes'!$C$5:C447,'Base Exámenes'!C447)=1,'Base Exámenes'!D447+ROW()/1000000000,""))</f>
        <v/>
      </c>
      <c r="AL447" t="str">
        <f>IF(OR('Base Exámenes'!C447="",'Base Exámenes'!E447=""),"",IF(COUNTIF('Base Exámenes'!$C$5:C447,'Base Exámenes'!C447)=1,'Base Exámenes'!E447+ROW()/1000000000,""))</f>
        <v/>
      </c>
      <c r="AM447" t="str">
        <f>IF(OR('Base Exámenes'!C447="",'Base Exámenes'!G447=""),"",IF(ROW()-4=MATCH('Base Exámenes'!C447&amp;"|"&amp;_xlfn.MAXIFS('Base Exámenes'!$G$5:$G$1000,'Base Exámenes'!$C$5:$C$1000,'Base Exámenes'!C447),'Base Exámenes'!$I$5:$I$1000,0),'Base Exámenes'!G447*1000000+(-1)*'Base Exámenes'!D447,""))</f>
        <v/>
      </c>
      <c r="AQ447" t="str">
        <f>IF('Base Exámenes'!C447="","",IF(COUNTIF('Base Exámenes'!$C$5:$C$1000,'Base Exámenes'!C447)&lt;2,"",MATCH('Base Exámenes'!C447,'Base Exámenes'!$C$5:$C$1000,0)*10000+ROW()))</f>
        <v/>
      </c>
    </row>
    <row r="448">
      <c r="Z448" t="str">
        <f>IF('Detalle individual'!A448="","",IF(AND(OR('Estado por Colaborador'!$D$4="Todas las gerencias",'Detalle individual'!D448='Estado por Colaborador'!$D$4),OR('Estado por Colaborador'!$D$5="Todos los departamentos",TRIM('Detalle individual'!C448)='Estado por Colaborador'!$D$5),OR('Estado por Colaborador'!$D$6="Todos",'Detalle individual'!F448='Estado por Colaborador'!$D$6)),IF('Detalle individual'!F448="Completado",30000000,IF('Detalle individual'!F448="Pendiente",0,15000000))+COUNTIF('Detalle individual'!$C$5:$C$1000,"&lt;"&amp;'Detalle individual'!C448)*10000+ROW(),""))</f>
        <v/>
      </c>
      <c r="AB448" t="str">
        <f>IF('Detalle individual'!C448="","",IF(COUNTIF('Detalle individual'!$C$5:C448,'Detalle individual'!C448)=1,COUNTIF('Detalle individual'!$C$5:$C$1000,"&lt;"&amp;'Detalle individual'!C448),""))</f>
        <v/>
      </c>
      <c r="AC448" t="str">
        <f>IF('Detalle individual'!D448="","",IF(COUNTIF('Detalle individual'!$D$5:D448,'Detalle individual'!D448)=1,COUNTIF('Detalle individual'!$D$5:$D$1000,"&lt;"&amp;'Detalle individual'!D448),""))</f>
        <v/>
      </c>
      <c r="AH448" t="str">
        <f>IF('Detalle individual'!F448="Pendiente",COUNTIF('Detalle individual'!$D$5:$D$1000,"&lt;"&amp;'Detalle individual'!D448)*1000000+COUNTIF('Detalle individual'!$C$5:$C$1000,"&lt;"&amp;'Detalle individual'!C448)*1000+COUNTIF('Detalle individual'!$B$5:$B$1000,"&lt;"&amp;'Detalle individual'!B448)+ROW()/10000,"")</f>
        <v/>
      </c>
      <c r="AI448" t="str">
        <f>IF('Detalle individual'!F448="Completado",COUNTIF('Detalle individual'!$D$5:$D$1000,"&lt;"&amp;'Detalle individual'!D448)*1000000+COUNTIF('Detalle individual'!$C$5:$C$1000,"&lt;"&amp;'Detalle individual'!C448)*1000+COUNTIF('Detalle individual'!$B$5:$B$1000,"&lt;"&amp;'Detalle individual'!B448)+ROW()/10000,"")</f>
        <v/>
      </c>
      <c r="AJ448" t="str">
        <f>IF(AND('Detalle individual'!F448&lt;&gt;"",'Detalle individual'!F448&lt;&gt;"Completado",'Detalle individual'!F448&lt;&gt;"Pendiente"),COUNTIF('Detalle individual'!$D$5:$D$1000,"&lt;"&amp;'Detalle individual'!D448)*1000000+COUNTIF('Detalle individual'!$C$5:$C$1000,"&lt;"&amp;'Detalle individual'!C448)*1000+COUNTIF('Detalle individual'!$B$5:$B$1000,"&lt;"&amp;'Detalle individual'!B448)+ROW()/10000,"")</f>
        <v/>
      </c>
      <c r="AK448" t="str">
        <f>IF(OR('Base Exámenes'!C448="",'Base Exámenes'!D448=""),"",IF(COUNTIF('Base Exámenes'!$C$5:C448,'Base Exámenes'!C448)=1,'Base Exámenes'!D448+ROW()/1000000000,""))</f>
        <v/>
      </c>
      <c r="AL448" t="str">
        <f>IF(OR('Base Exámenes'!C448="",'Base Exámenes'!E448=""),"",IF(COUNTIF('Base Exámenes'!$C$5:C448,'Base Exámenes'!C448)=1,'Base Exámenes'!E448+ROW()/1000000000,""))</f>
        <v/>
      </c>
      <c r="AM448" t="str">
        <f>IF(OR('Base Exámenes'!C448="",'Base Exámenes'!G448=""),"",IF(ROW()-4=MATCH('Base Exámenes'!C448&amp;"|"&amp;_xlfn.MAXIFS('Base Exámenes'!$G$5:$G$1000,'Base Exámenes'!$C$5:$C$1000,'Base Exámenes'!C448),'Base Exámenes'!$I$5:$I$1000,0),'Base Exámenes'!G448*1000000+(-1)*'Base Exámenes'!D448,""))</f>
        <v/>
      </c>
      <c r="AQ448" t="str">
        <f>IF('Base Exámenes'!C448="","",IF(COUNTIF('Base Exámenes'!$C$5:$C$1000,'Base Exámenes'!C448)&lt;2,"",MATCH('Base Exámenes'!C448,'Base Exámenes'!$C$5:$C$1000,0)*10000+ROW()))</f>
        <v/>
      </c>
    </row>
    <row r="449">
      <c r="Z449" t="str">
        <f>IF('Detalle individual'!A449="","",IF(AND(OR('Estado por Colaborador'!$D$4="Todas las gerencias",'Detalle individual'!D449='Estado por Colaborador'!$D$4),OR('Estado por Colaborador'!$D$5="Todos los departamentos",TRIM('Detalle individual'!C449)='Estado por Colaborador'!$D$5),OR('Estado por Colaborador'!$D$6="Todos",'Detalle individual'!F449='Estado por Colaborador'!$D$6)),IF('Detalle individual'!F449="Completado",30000000,IF('Detalle individual'!F449="Pendiente",0,15000000))+COUNTIF('Detalle individual'!$C$5:$C$1000,"&lt;"&amp;'Detalle individual'!C449)*10000+ROW(),""))</f>
        <v/>
      </c>
      <c r="AB449" t="str">
        <f>IF('Detalle individual'!C449="","",IF(COUNTIF('Detalle individual'!$C$5:C449,'Detalle individual'!C449)=1,COUNTIF('Detalle individual'!$C$5:$C$1000,"&lt;"&amp;'Detalle individual'!C449),""))</f>
        <v/>
      </c>
      <c r="AC449" t="str">
        <f>IF('Detalle individual'!D449="","",IF(COUNTIF('Detalle individual'!$D$5:D449,'Detalle individual'!D449)=1,COUNTIF('Detalle individual'!$D$5:$D$1000,"&lt;"&amp;'Detalle individual'!D449),""))</f>
        <v/>
      </c>
      <c r="AH449" t="str">
        <f>IF('Detalle individual'!F449="Pendiente",COUNTIF('Detalle individual'!$D$5:$D$1000,"&lt;"&amp;'Detalle individual'!D449)*1000000+COUNTIF('Detalle individual'!$C$5:$C$1000,"&lt;"&amp;'Detalle individual'!C449)*1000+COUNTIF('Detalle individual'!$B$5:$B$1000,"&lt;"&amp;'Detalle individual'!B449)+ROW()/10000,"")</f>
        <v/>
      </c>
      <c r="AI449" t="str">
        <f>IF('Detalle individual'!F449="Completado",COUNTIF('Detalle individual'!$D$5:$D$1000,"&lt;"&amp;'Detalle individual'!D449)*1000000+COUNTIF('Detalle individual'!$C$5:$C$1000,"&lt;"&amp;'Detalle individual'!C449)*1000+COUNTIF('Detalle individual'!$B$5:$B$1000,"&lt;"&amp;'Detalle individual'!B449)+ROW()/10000,"")</f>
        <v/>
      </c>
      <c r="AJ449" t="str">
        <f>IF(AND('Detalle individual'!F449&lt;&gt;"",'Detalle individual'!F449&lt;&gt;"Completado",'Detalle individual'!F449&lt;&gt;"Pendiente"),COUNTIF('Detalle individual'!$D$5:$D$1000,"&lt;"&amp;'Detalle individual'!D449)*1000000+COUNTIF('Detalle individual'!$C$5:$C$1000,"&lt;"&amp;'Detalle individual'!C449)*1000+COUNTIF('Detalle individual'!$B$5:$B$1000,"&lt;"&amp;'Detalle individual'!B449)+ROW()/10000,"")</f>
        <v/>
      </c>
      <c r="AK449" t="str">
        <f>IF(OR('Base Exámenes'!C449="",'Base Exámenes'!D449=""),"",IF(COUNTIF('Base Exámenes'!$C$5:C449,'Base Exámenes'!C449)=1,'Base Exámenes'!D449+ROW()/1000000000,""))</f>
        <v/>
      </c>
      <c r="AL449" t="str">
        <f>IF(OR('Base Exámenes'!C449="",'Base Exámenes'!E449=""),"",IF(COUNTIF('Base Exámenes'!$C$5:C449,'Base Exámenes'!C449)=1,'Base Exámenes'!E449+ROW()/1000000000,""))</f>
        <v/>
      </c>
      <c r="AM449" t="str">
        <f>IF(OR('Base Exámenes'!C449="",'Base Exámenes'!G449=""),"",IF(ROW()-4=MATCH('Base Exámenes'!C449&amp;"|"&amp;_xlfn.MAXIFS('Base Exámenes'!$G$5:$G$1000,'Base Exámenes'!$C$5:$C$1000,'Base Exámenes'!C449),'Base Exámenes'!$I$5:$I$1000,0),'Base Exámenes'!G449*1000000+(-1)*'Base Exámenes'!D449,""))</f>
        <v/>
      </c>
      <c r="AQ449" t="str">
        <f>IF('Base Exámenes'!C449="","",IF(COUNTIF('Base Exámenes'!$C$5:$C$1000,'Base Exámenes'!C449)&lt;2,"",MATCH('Base Exámenes'!C449,'Base Exámenes'!$C$5:$C$1000,0)*10000+ROW()))</f>
        <v/>
      </c>
    </row>
    <row r="450">
      <c r="Z450" t="str">
        <f>IF('Detalle individual'!A450="","",IF(AND(OR('Estado por Colaborador'!$D$4="Todas las gerencias",'Detalle individual'!D450='Estado por Colaborador'!$D$4),OR('Estado por Colaborador'!$D$5="Todos los departamentos",TRIM('Detalle individual'!C450)='Estado por Colaborador'!$D$5),OR('Estado por Colaborador'!$D$6="Todos",'Detalle individual'!F450='Estado por Colaborador'!$D$6)),IF('Detalle individual'!F450="Completado",30000000,IF('Detalle individual'!F450="Pendiente",0,15000000))+COUNTIF('Detalle individual'!$C$5:$C$1000,"&lt;"&amp;'Detalle individual'!C450)*10000+ROW(),""))</f>
        <v/>
      </c>
      <c r="AB450" t="str">
        <f>IF('Detalle individual'!C450="","",IF(COUNTIF('Detalle individual'!$C$5:C450,'Detalle individual'!C450)=1,COUNTIF('Detalle individual'!$C$5:$C$1000,"&lt;"&amp;'Detalle individual'!C450),""))</f>
        <v/>
      </c>
      <c r="AC450" t="str">
        <f>IF('Detalle individual'!D450="","",IF(COUNTIF('Detalle individual'!$D$5:D450,'Detalle individual'!D450)=1,COUNTIF('Detalle individual'!$D$5:$D$1000,"&lt;"&amp;'Detalle individual'!D450),""))</f>
        <v/>
      </c>
      <c r="AH450" t="str">
        <f>IF('Detalle individual'!F450="Pendiente",COUNTIF('Detalle individual'!$D$5:$D$1000,"&lt;"&amp;'Detalle individual'!D450)*1000000+COUNTIF('Detalle individual'!$C$5:$C$1000,"&lt;"&amp;'Detalle individual'!C450)*1000+COUNTIF('Detalle individual'!$B$5:$B$1000,"&lt;"&amp;'Detalle individual'!B450)+ROW()/10000,"")</f>
        <v/>
      </c>
      <c r="AI450" t="str">
        <f>IF('Detalle individual'!F450="Completado",COUNTIF('Detalle individual'!$D$5:$D$1000,"&lt;"&amp;'Detalle individual'!D450)*1000000+COUNTIF('Detalle individual'!$C$5:$C$1000,"&lt;"&amp;'Detalle individual'!C450)*1000+COUNTIF('Detalle individual'!$B$5:$B$1000,"&lt;"&amp;'Detalle individual'!B450)+ROW()/10000,"")</f>
        <v/>
      </c>
      <c r="AJ450" t="str">
        <f>IF(AND('Detalle individual'!F450&lt;&gt;"",'Detalle individual'!F450&lt;&gt;"Completado",'Detalle individual'!F450&lt;&gt;"Pendiente"),COUNTIF('Detalle individual'!$D$5:$D$1000,"&lt;"&amp;'Detalle individual'!D450)*1000000+COUNTIF('Detalle individual'!$C$5:$C$1000,"&lt;"&amp;'Detalle individual'!C450)*1000+COUNTIF('Detalle individual'!$B$5:$B$1000,"&lt;"&amp;'Detalle individual'!B450)+ROW()/10000,"")</f>
        <v/>
      </c>
      <c r="AK450" t="str">
        <f>IF(OR('Base Exámenes'!C450="",'Base Exámenes'!D450=""),"",IF(COUNTIF('Base Exámenes'!$C$5:C450,'Base Exámenes'!C450)=1,'Base Exámenes'!D450+ROW()/1000000000,""))</f>
        <v/>
      </c>
      <c r="AL450" t="str">
        <f>IF(OR('Base Exámenes'!C450="",'Base Exámenes'!E450=""),"",IF(COUNTIF('Base Exámenes'!$C$5:C450,'Base Exámenes'!C450)=1,'Base Exámenes'!E450+ROW()/1000000000,""))</f>
        <v/>
      </c>
      <c r="AM450" t="str">
        <f>IF(OR('Base Exámenes'!C450="",'Base Exámenes'!G450=""),"",IF(ROW()-4=MATCH('Base Exámenes'!C450&amp;"|"&amp;_xlfn.MAXIFS('Base Exámenes'!$G$5:$G$1000,'Base Exámenes'!$C$5:$C$1000,'Base Exámenes'!C450),'Base Exámenes'!$I$5:$I$1000,0),'Base Exámenes'!G450*1000000+(-1)*'Base Exámenes'!D450,""))</f>
        <v/>
      </c>
      <c r="AQ450" t="str">
        <f>IF('Base Exámenes'!C450="","",IF(COUNTIF('Base Exámenes'!$C$5:$C$1000,'Base Exámenes'!C450)&lt;2,"",MATCH('Base Exámenes'!C450,'Base Exámenes'!$C$5:$C$1000,0)*10000+ROW()))</f>
        <v/>
      </c>
    </row>
    <row r="451">
      <c r="Z451" t="str">
        <f>IF('Detalle individual'!A451="","",IF(AND(OR('Estado por Colaborador'!$D$4="Todas las gerencias",'Detalle individual'!D451='Estado por Colaborador'!$D$4),OR('Estado por Colaborador'!$D$5="Todos los departamentos",TRIM('Detalle individual'!C451)='Estado por Colaborador'!$D$5),OR('Estado por Colaborador'!$D$6="Todos",'Detalle individual'!F451='Estado por Colaborador'!$D$6)),IF('Detalle individual'!F451="Completado",30000000,IF('Detalle individual'!F451="Pendiente",0,15000000))+COUNTIF('Detalle individual'!$C$5:$C$1000,"&lt;"&amp;'Detalle individual'!C451)*10000+ROW(),""))</f>
        <v/>
      </c>
      <c r="AB451" t="str">
        <f>IF('Detalle individual'!C451="","",IF(COUNTIF('Detalle individual'!$C$5:C451,'Detalle individual'!C451)=1,COUNTIF('Detalle individual'!$C$5:$C$1000,"&lt;"&amp;'Detalle individual'!C451),""))</f>
        <v/>
      </c>
      <c r="AC451" t="str">
        <f>IF('Detalle individual'!D451="","",IF(COUNTIF('Detalle individual'!$D$5:D451,'Detalle individual'!D451)=1,COUNTIF('Detalle individual'!$D$5:$D$1000,"&lt;"&amp;'Detalle individual'!D451),""))</f>
        <v/>
      </c>
      <c r="AH451" t="str">
        <f>IF('Detalle individual'!F451="Pendiente",COUNTIF('Detalle individual'!$D$5:$D$1000,"&lt;"&amp;'Detalle individual'!D451)*1000000+COUNTIF('Detalle individual'!$C$5:$C$1000,"&lt;"&amp;'Detalle individual'!C451)*1000+COUNTIF('Detalle individual'!$B$5:$B$1000,"&lt;"&amp;'Detalle individual'!B451)+ROW()/10000,"")</f>
        <v/>
      </c>
      <c r="AI451" t="str">
        <f>IF('Detalle individual'!F451="Completado",COUNTIF('Detalle individual'!$D$5:$D$1000,"&lt;"&amp;'Detalle individual'!D451)*1000000+COUNTIF('Detalle individual'!$C$5:$C$1000,"&lt;"&amp;'Detalle individual'!C451)*1000+COUNTIF('Detalle individual'!$B$5:$B$1000,"&lt;"&amp;'Detalle individual'!B451)+ROW()/10000,"")</f>
        <v/>
      </c>
      <c r="AJ451" t="str">
        <f>IF(AND('Detalle individual'!F451&lt;&gt;"",'Detalle individual'!F451&lt;&gt;"Completado",'Detalle individual'!F451&lt;&gt;"Pendiente"),COUNTIF('Detalle individual'!$D$5:$D$1000,"&lt;"&amp;'Detalle individual'!D451)*1000000+COUNTIF('Detalle individual'!$C$5:$C$1000,"&lt;"&amp;'Detalle individual'!C451)*1000+COUNTIF('Detalle individual'!$B$5:$B$1000,"&lt;"&amp;'Detalle individual'!B451)+ROW()/10000,"")</f>
        <v/>
      </c>
      <c r="AK451" t="str">
        <f>IF(OR('Base Exámenes'!C451="",'Base Exámenes'!D451=""),"",IF(COUNTIF('Base Exámenes'!$C$5:C451,'Base Exámenes'!C451)=1,'Base Exámenes'!D451+ROW()/1000000000,""))</f>
        <v/>
      </c>
      <c r="AL451" t="str">
        <f>IF(OR('Base Exámenes'!C451="",'Base Exámenes'!E451=""),"",IF(COUNTIF('Base Exámenes'!$C$5:C451,'Base Exámenes'!C451)=1,'Base Exámenes'!E451+ROW()/1000000000,""))</f>
        <v/>
      </c>
      <c r="AM451" t="str">
        <f>IF(OR('Base Exámenes'!C451="",'Base Exámenes'!G451=""),"",IF(ROW()-4=MATCH('Base Exámenes'!C451&amp;"|"&amp;_xlfn.MAXIFS('Base Exámenes'!$G$5:$G$1000,'Base Exámenes'!$C$5:$C$1000,'Base Exámenes'!C451),'Base Exámenes'!$I$5:$I$1000,0),'Base Exámenes'!G451*1000000+(-1)*'Base Exámenes'!D451,""))</f>
        <v/>
      </c>
      <c r="AQ451" t="str">
        <f>IF('Base Exámenes'!C451="","",IF(COUNTIF('Base Exámenes'!$C$5:$C$1000,'Base Exámenes'!C451)&lt;2,"",MATCH('Base Exámenes'!C451,'Base Exámenes'!$C$5:$C$1000,0)*10000+ROW()))</f>
        <v/>
      </c>
    </row>
    <row r="452">
      <c r="Z452" t="str">
        <f>IF('Detalle individual'!A452="","",IF(AND(OR('Estado por Colaborador'!$D$4="Todas las gerencias",'Detalle individual'!D452='Estado por Colaborador'!$D$4),OR('Estado por Colaborador'!$D$5="Todos los departamentos",TRIM('Detalle individual'!C452)='Estado por Colaborador'!$D$5),OR('Estado por Colaborador'!$D$6="Todos",'Detalle individual'!F452='Estado por Colaborador'!$D$6)),IF('Detalle individual'!F452="Completado",30000000,IF('Detalle individual'!F452="Pendiente",0,15000000))+COUNTIF('Detalle individual'!$C$5:$C$1000,"&lt;"&amp;'Detalle individual'!C452)*10000+ROW(),""))</f>
        <v/>
      </c>
      <c r="AB452" t="str">
        <f>IF('Detalle individual'!C452="","",IF(COUNTIF('Detalle individual'!$C$5:C452,'Detalle individual'!C452)=1,COUNTIF('Detalle individual'!$C$5:$C$1000,"&lt;"&amp;'Detalle individual'!C452),""))</f>
        <v/>
      </c>
      <c r="AC452" t="str">
        <f>IF('Detalle individual'!D452="","",IF(COUNTIF('Detalle individual'!$D$5:D452,'Detalle individual'!D452)=1,COUNTIF('Detalle individual'!$D$5:$D$1000,"&lt;"&amp;'Detalle individual'!D452),""))</f>
        <v/>
      </c>
      <c r="AH452" t="str">
        <f>IF('Detalle individual'!F452="Pendiente",COUNTIF('Detalle individual'!$D$5:$D$1000,"&lt;"&amp;'Detalle individual'!D452)*1000000+COUNTIF('Detalle individual'!$C$5:$C$1000,"&lt;"&amp;'Detalle individual'!C452)*1000+COUNTIF('Detalle individual'!$B$5:$B$1000,"&lt;"&amp;'Detalle individual'!B452)+ROW()/10000,"")</f>
        <v/>
      </c>
      <c r="AI452" t="str">
        <f>IF('Detalle individual'!F452="Completado",COUNTIF('Detalle individual'!$D$5:$D$1000,"&lt;"&amp;'Detalle individual'!D452)*1000000+COUNTIF('Detalle individual'!$C$5:$C$1000,"&lt;"&amp;'Detalle individual'!C452)*1000+COUNTIF('Detalle individual'!$B$5:$B$1000,"&lt;"&amp;'Detalle individual'!B452)+ROW()/10000,"")</f>
        <v/>
      </c>
      <c r="AJ452" t="str">
        <f>IF(AND('Detalle individual'!F452&lt;&gt;"",'Detalle individual'!F452&lt;&gt;"Completado",'Detalle individual'!F452&lt;&gt;"Pendiente"),COUNTIF('Detalle individual'!$D$5:$D$1000,"&lt;"&amp;'Detalle individual'!D452)*1000000+COUNTIF('Detalle individual'!$C$5:$C$1000,"&lt;"&amp;'Detalle individual'!C452)*1000+COUNTIF('Detalle individual'!$B$5:$B$1000,"&lt;"&amp;'Detalle individual'!B452)+ROW()/10000,"")</f>
        <v/>
      </c>
      <c r="AK452" t="str">
        <f>IF(OR('Base Exámenes'!C452="",'Base Exámenes'!D452=""),"",IF(COUNTIF('Base Exámenes'!$C$5:C452,'Base Exámenes'!C452)=1,'Base Exámenes'!D452+ROW()/1000000000,""))</f>
        <v/>
      </c>
      <c r="AL452" t="str">
        <f>IF(OR('Base Exámenes'!C452="",'Base Exámenes'!E452=""),"",IF(COUNTIF('Base Exámenes'!$C$5:C452,'Base Exámenes'!C452)=1,'Base Exámenes'!E452+ROW()/1000000000,""))</f>
        <v/>
      </c>
      <c r="AM452" t="str">
        <f>IF(OR('Base Exámenes'!C452="",'Base Exámenes'!G452=""),"",IF(ROW()-4=MATCH('Base Exámenes'!C452&amp;"|"&amp;_xlfn.MAXIFS('Base Exámenes'!$G$5:$G$1000,'Base Exámenes'!$C$5:$C$1000,'Base Exámenes'!C452),'Base Exámenes'!$I$5:$I$1000,0),'Base Exámenes'!G452*1000000+(-1)*'Base Exámenes'!D452,""))</f>
        <v/>
      </c>
      <c r="AQ452" t="str">
        <f>IF('Base Exámenes'!C452="","",IF(COUNTIF('Base Exámenes'!$C$5:$C$1000,'Base Exámenes'!C452)&lt;2,"",MATCH('Base Exámenes'!C452,'Base Exámenes'!$C$5:$C$1000,0)*10000+ROW()))</f>
        <v/>
      </c>
    </row>
    <row r="453">
      <c r="Z453" t="str">
        <f>IF('Detalle individual'!A453="","",IF(AND(OR('Estado por Colaborador'!$D$4="Todas las gerencias",'Detalle individual'!D453='Estado por Colaborador'!$D$4),OR('Estado por Colaborador'!$D$5="Todos los departamentos",TRIM('Detalle individual'!C453)='Estado por Colaborador'!$D$5),OR('Estado por Colaborador'!$D$6="Todos",'Detalle individual'!F453='Estado por Colaborador'!$D$6)),IF('Detalle individual'!F453="Completado",30000000,IF('Detalle individual'!F453="Pendiente",0,15000000))+COUNTIF('Detalle individual'!$C$5:$C$1000,"&lt;"&amp;'Detalle individual'!C453)*10000+ROW(),""))</f>
        <v/>
      </c>
      <c r="AB453" t="str">
        <f>IF('Detalle individual'!C453="","",IF(COUNTIF('Detalle individual'!$C$5:C453,'Detalle individual'!C453)=1,COUNTIF('Detalle individual'!$C$5:$C$1000,"&lt;"&amp;'Detalle individual'!C453),""))</f>
        <v/>
      </c>
      <c r="AC453" t="str">
        <f>IF('Detalle individual'!D453="","",IF(COUNTIF('Detalle individual'!$D$5:D453,'Detalle individual'!D453)=1,COUNTIF('Detalle individual'!$D$5:$D$1000,"&lt;"&amp;'Detalle individual'!D453),""))</f>
        <v/>
      </c>
      <c r="AH453" t="str">
        <f>IF('Detalle individual'!F453="Pendiente",COUNTIF('Detalle individual'!$D$5:$D$1000,"&lt;"&amp;'Detalle individual'!D453)*1000000+COUNTIF('Detalle individual'!$C$5:$C$1000,"&lt;"&amp;'Detalle individual'!C453)*1000+COUNTIF('Detalle individual'!$B$5:$B$1000,"&lt;"&amp;'Detalle individual'!B453)+ROW()/10000,"")</f>
        <v/>
      </c>
      <c r="AI453" t="str">
        <f>IF('Detalle individual'!F453="Completado",COUNTIF('Detalle individual'!$D$5:$D$1000,"&lt;"&amp;'Detalle individual'!D453)*1000000+COUNTIF('Detalle individual'!$C$5:$C$1000,"&lt;"&amp;'Detalle individual'!C453)*1000+COUNTIF('Detalle individual'!$B$5:$B$1000,"&lt;"&amp;'Detalle individual'!B453)+ROW()/10000,"")</f>
        <v/>
      </c>
      <c r="AJ453" t="str">
        <f>IF(AND('Detalle individual'!F453&lt;&gt;"",'Detalle individual'!F453&lt;&gt;"Completado",'Detalle individual'!F453&lt;&gt;"Pendiente"),COUNTIF('Detalle individual'!$D$5:$D$1000,"&lt;"&amp;'Detalle individual'!D453)*1000000+COUNTIF('Detalle individual'!$C$5:$C$1000,"&lt;"&amp;'Detalle individual'!C453)*1000+COUNTIF('Detalle individual'!$B$5:$B$1000,"&lt;"&amp;'Detalle individual'!B453)+ROW()/10000,"")</f>
        <v/>
      </c>
      <c r="AK453" t="str">
        <f>IF(OR('Base Exámenes'!C453="",'Base Exámenes'!D453=""),"",IF(COUNTIF('Base Exámenes'!$C$5:C453,'Base Exámenes'!C453)=1,'Base Exámenes'!D453+ROW()/1000000000,""))</f>
        <v/>
      </c>
      <c r="AL453" t="str">
        <f>IF(OR('Base Exámenes'!C453="",'Base Exámenes'!E453=""),"",IF(COUNTIF('Base Exámenes'!$C$5:C453,'Base Exámenes'!C453)=1,'Base Exámenes'!E453+ROW()/1000000000,""))</f>
        <v/>
      </c>
      <c r="AM453" t="str">
        <f>IF(OR('Base Exámenes'!C453="",'Base Exámenes'!G453=""),"",IF(ROW()-4=MATCH('Base Exámenes'!C453&amp;"|"&amp;_xlfn.MAXIFS('Base Exámenes'!$G$5:$G$1000,'Base Exámenes'!$C$5:$C$1000,'Base Exámenes'!C453),'Base Exámenes'!$I$5:$I$1000,0),'Base Exámenes'!G453*1000000+(-1)*'Base Exámenes'!D453,""))</f>
        <v/>
      </c>
      <c r="AQ453" t="str">
        <f>IF('Base Exámenes'!C453="","",IF(COUNTIF('Base Exámenes'!$C$5:$C$1000,'Base Exámenes'!C453)&lt;2,"",MATCH('Base Exámenes'!C453,'Base Exámenes'!$C$5:$C$1000,0)*10000+ROW()))</f>
        <v/>
      </c>
    </row>
    <row r="454">
      <c r="Z454" t="str">
        <f>IF('Detalle individual'!A454="","",IF(AND(OR('Estado por Colaborador'!$D$4="Todas las gerencias",'Detalle individual'!D454='Estado por Colaborador'!$D$4),OR('Estado por Colaborador'!$D$5="Todos los departamentos",TRIM('Detalle individual'!C454)='Estado por Colaborador'!$D$5),OR('Estado por Colaborador'!$D$6="Todos",'Detalle individual'!F454='Estado por Colaborador'!$D$6)),IF('Detalle individual'!F454="Completado",30000000,IF('Detalle individual'!F454="Pendiente",0,15000000))+COUNTIF('Detalle individual'!$C$5:$C$1000,"&lt;"&amp;'Detalle individual'!C454)*10000+ROW(),""))</f>
        <v/>
      </c>
      <c r="AB454" t="str">
        <f>IF('Detalle individual'!C454="","",IF(COUNTIF('Detalle individual'!$C$5:C454,'Detalle individual'!C454)=1,COUNTIF('Detalle individual'!$C$5:$C$1000,"&lt;"&amp;'Detalle individual'!C454),""))</f>
        <v/>
      </c>
      <c r="AC454" t="str">
        <f>IF('Detalle individual'!D454="","",IF(COUNTIF('Detalle individual'!$D$5:D454,'Detalle individual'!D454)=1,COUNTIF('Detalle individual'!$D$5:$D$1000,"&lt;"&amp;'Detalle individual'!D454),""))</f>
        <v/>
      </c>
      <c r="AH454" t="str">
        <f>IF('Detalle individual'!F454="Pendiente",COUNTIF('Detalle individual'!$D$5:$D$1000,"&lt;"&amp;'Detalle individual'!D454)*1000000+COUNTIF('Detalle individual'!$C$5:$C$1000,"&lt;"&amp;'Detalle individual'!C454)*1000+COUNTIF('Detalle individual'!$B$5:$B$1000,"&lt;"&amp;'Detalle individual'!B454)+ROW()/10000,"")</f>
        <v/>
      </c>
      <c r="AI454" t="str">
        <f>IF('Detalle individual'!F454="Completado",COUNTIF('Detalle individual'!$D$5:$D$1000,"&lt;"&amp;'Detalle individual'!D454)*1000000+COUNTIF('Detalle individual'!$C$5:$C$1000,"&lt;"&amp;'Detalle individual'!C454)*1000+COUNTIF('Detalle individual'!$B$5:$B$1000,"&lt;"&amp;'Detalle individual'!B454)+ROW()/10000,"")</f>
        <v/>
      </c>
      <c r="AJ454" t="str">
        <f>IF(AND('Detalle individual'!F454&lt;&gt;"",'Detalle individual'!F454&lt;&gt;"Completado",'Detalle individual'!F454&lt;&gt;"Pendiente"),COUNTIF('Detalle individual'!$D$5:$D$1000,"&lt;"&amp;'Detalle individual'!D454)*1000000+COUNTIF('Detalle individual'!$C$5:$C$1000,"&lt;"&amp;'Detalle individual'!C454)*1000+COUNTIF('Detalle individual'!$B$5:$B$1000,"&lt;"&amp;'Detalle individual'!B454)+ROW()/10000,"")</f>
        <v/>
      </c>
      <c r="AK454" t="str">
        <f>IF(OR('Base Exámenes'!C454="",'Base Exámenes'!D454=""),"",IF(COUNTIF('Base Exámenes'!$C$5:C454,'Base Exámenes'!C454)=1,'Base Exámenes'!D454+ROW()/1000000000,""))</f>
        <v/>
      </c>
      <c r="AL454" t="str">
        <f>IF(OR('Base Exámenes'!C454="",'Base Exámenes'!E454=""),"",IF(COUNTIF('Base Exámenes'!$C$5:C454,'Base Exámenes'!C454)=1,'Base Exámenes'!E454+ROW()/1000000000,""))</f>
        <v/>
      </c>
      <c r="AM454" t="str">
        <f>IF(OR('Base Exámenes'!C454="",'Base Exámenes'!G454=""),"",IF(ROW()-4=MATCH('Base Exámenes'!C454&amp;"|"&amp;_xlfn.MAXIFS('Base Exámenes'!$G$5:$G$1000,'Base Exámenes'!$C$5:$C$1000,'Base Exámenes'!C454),'Base Exámenes'!$I$5:$I$1000,0),'Base Exámenes'!G454*1000000+(-1)*'Base Exámenes'!D454,""))</f>
        <v/>
      </c>
      <c r="AQ454" t="str">
        <f>IF('Base Exámenes'!C454="","",IF(COUNTIF('Base Exámenes'!$C$5:$C$1000,'Base Exámenes'!C454)&lt;2,"",MATCH('Base Exámenes'!C454,'Base Exámenes'!$C$5:$C$1000,0)*10000+ROW()))</f>
        <v/>
      </c>
    </row>
    <row r="455">
      <c r="Z455" t="str">
        <f>IF('Detalle individual'!A455="","",IF(AND(OR('Estado por Colaborador'!$D$4="Todas las gerencias",'Detalle individual'!D455='Estado por Colaborador'!$D$4),OR('Estado por Colaborador'!$D$5="Todos los departamentos",TRIM('Detalle individual'!C455)='Estado por Colaborador'!$D$5),OR('Estado por Colaborador'!$D$6="Todos",'Detalle individual'!F455='Estado por Colaborador'!$D$6)),IF('Detalle individual'!F455="Completado",30000000,IF('Detalle individual'!F455="Pendiente",0,15000000))+COUNTIF('Detalle individual'!$C$5:$C$1000,"&lt;"&amp;'Detalle individual'!C455)*10000+ROW(),""))</f>
        <v/>
      </c>
      <c r="AB455" t="str">
        <f>IF('Detalle individual'!C455="","",IF(COUNTIF('Detalle individual'!$C$5:C455,'Detalle individual'!C455)=1,COUNTIF('Detalle individual'!$C$5:$C$1000,"&lt;"&amp;'Detalle individual'!C455),""))</f>
        <v/>
      </c>
      <c r="AC455" t="str">
        <f>IF('Detalle individual'!D455="","",IF(COUNTIF('Detalle individual'!$D$5:D455,'Detalle individual'!D455)=1,COUNTIF('Detalle individual'!$D$5:$D$1000,"&lt;"&amp;'Detalle individual'!D455),""))</f>
        <v/>
      </c>
      <c r="AH455" t="str">
        <f>IF('Detalle individual'!F455="Pendiente",COUNTIF('Detalle individual'!$D$5:$D$1000,"&lt;"&amp;'Detalle individual'!D455)*1000000+COUNTIF('Detalle individual'!$C$5:$C$1000,"&lt;"&amp;'Detalle individual'!C455)*1000+COUNTIF('Detalle individual'!$B$5:$B$1000,"&lt;"&amp;'Detalle individual'!B455)+ROW()/10000,"")</f>
        <v/>
      </c>
      <c r="AI455" t="str">
        <f>IF('Detalle individual'!F455="Completado",COUNTIF('Detalle individual'!$D$5:$D$1000,"&lt;"&amp;'Detalle individual'!D455)*1000000+COUNTIF('Detalle individual'!$C$5:$C$1000,"&lt;"&amp;'Detalle individual'!C455)*1000+COUNTIF('Detalle individual'!$B$5:$B$1000,"&lt;"&amp;'Detalle individual'!B455)+ROW()/10000,"")</f>
        <v/>
      </c>
      <c r="AJ455" t="str">
        <f>IF(AND('Detalle individual'!F455&lt;&gt;"",'Detalle individual'!F455&lt;&gt;"Completado",'Detalle individual'!F455&lt;&gt;"Pendiente"),COUNTIF('Detalle individual'!$D$5:$D$1000,"&lt;"&amp;'Detalle individual'!D455)*1000000+COUNTIF('Detalle individual'!$C$5:$C$1000,"&lt;"&amp;'Detalle individual'!C455)*1000+COUNTIF('Detalle individual'!$B$5:$B$1000,"&lt;"&amp;'Detalle individual'!B455)+ROW()/10000,"")</f>
        <v/>
      </c>
      <c r="AK455" t="str">
        <f>IF(OR('Base Exámenes'!C455="",'Base Exámenes'!D455=""),"",IF(COUNTIF('Base Exámenes'!$C$5:C455,'Base Exámenes'!C455)=1,'Base Exámenes'!D455+ROW()/1000000000,""))</f>
        <v/>
      </c>
      <c r="AL455" t="str">
        <f>IF(OR('Base Exámenes'!C455="",'Base Exámenes'!E455=""),"",IF(COUNTIF('Base Exámenes'!$C$5:C455,'Base Exámenes'!C455)=1,'Base Exámenes'!E455+ROW()/1000000000,""))</f>
        <v/>
      </c>
      <c r="AM455" t="str">
        <f>IF(OR('Base Exámenes'!C455="",'Base Exámenes'!G455=""),"",IF(ROW()-4=MATCH('Base Exámenes'!C455&amp;"|"&amp;_xlfn.MAXIFS('Base Exámenes'!$G$5:$G$1000,'Base Exámenes'!$C$5:$C$1000,'Base Exámenes'!C455),'Base Exámenes'!$I$5:$I$1000,0),'Base Exámenes'!G455*1000000+(-1)*'Base Exámenes'!D455,""))</f>
        <v/>
      </c>
      <c r="AQ455" t="str">
        <f>IF('Base Exámenes'!C455="","",IF(COUNTIF('Base Exámenes'!$C$5:$C$1000,'Base Exámenes'!C455)&lt;2,"",MATCH('Base Exámenes'!C455,'Base Exámenes'!$C$5:$C$1000,0)*10000+ROW()))</f>
        <v/>
      </c>
    </row>
    <row r="456">
      <c r="Z456" t="str">
        <f>IF('Detalle individual'!A456="","",IF(AND(OR('Estado por Colaborador'!$D$4="Todas las gerencias",'Detalle individual'!D456='Estado por Colaborador'!$D$4),OR('Estado por Colaborador'!$D$5="Todos los departamentos",TRIM('Detalle individual'!C456)='Estado por Colaborador'!$D$5),OR('Estado por Colaborador'!$D$6="Todos",'Detalle individual'!F456='Estado por Colaborador'!$D$6)),IF('Detalle individual'!F456="Completado",30000000,IF('Detalle individual'!F456="Pendiente",0,15000000))+COUNTIF('Detalle individual'!$C$5:$C$1000,"&lt;"&amp;'Detalle individual'!C456)*10000+ROW(),""))</f>
        <v/>
      </c>
      <c r="AB456" t="str">
        <f>IF('Detalle individual'!C456="","",IF(COUNTIF('Detalle individual'!$C$5:C456,'Detalle individual'!C456)=1,COUNTIF('Detalle individual'!$C$5:$C$1000,"&lt;"&amp;'Detalle individual'!C456),""))</f>
        <v/>
      </c>
      <c r="AC456" t="str">
        <f>IF('Detalle individual'!D456="","",IF(COUNTIF('Detalle individual'!$D$5:D456,'Detalle individual'!D456)=1,COUNTIF('Detalle individual'!$D$5:$D$1000,"&lt;"&amp;'Detalle individual'!D456),""))</f>
        <v/>
      </c>
      <c r="AH456" t="str">
        <f>IF('Detalle individual'!F456="Pendiente",COUNTIF('Detalle individual'!$D$5:$D$1000,"&lt;"&amp;'Detalle individual'!D456)*1000000+COUNTIF('Detalle individual'!$C$5:$C$1000,"&lt;"&amp;'Detalle individual'!C456)*1000+COUNTIF('Detalle individual'!$B$5:$B$1000,"&lt;"&amp;'Detalle individual'!B456)+ROW()/10000,"")</f>
        <v/>
      </c>
      <c r="AI456" t="str">
        <f>IF('Detalle individual'!F456="Completado",COUNTIF('Detalle individual'!$D$5:$D$1000,"&lt;"&amp;'Detalle individual'!D456)*1000000+COUNTIF('Detalle individual'!$C$5:$C$1000,"&lt;"&amp;'Detalle individual'!C456)*1000+COUNTIF('Detalle individual'!$B$5:$B$1000,"&lt;"&amp;'Detalle individual'!B456)+ROW()/10000,"")</f>
        <v/>
      </c>
      <c r="AJ456" t="str">
        <f>IF(AND('Detalle individual'!F456&lt;&gt;"",'Detalle individual'!F456&lt;&gt;"Completado",'Detalle individual'!F456&lt;&gt;"Pendiente"),COUNTIF('Detalle individual'!$D$5:$D$1000,"&lt;"&amp;'Detalle individual'!D456)*1000000+COUNTIF('Detalle individual'!$C$5:$C$1000,"&lt;"&amp;'Detalle individual'!C456)*1000+COUNTIF('Detalle individual'!$B$5:$B$1000,"&lt;"&amp;'Detalle individual'!B456)+ROW()/10000,"")</f>
        <v/>
      </c>
      <c r="AK456" t="str">
        <f>IF(OR('Base Exámenes'!C456="",'Base Exámenes'!D456=""),"",IF(COUNTIF('Base Exámenes'!$C$5:C456,'Base Exámenes'!C456)=1,'Base Exámenes'!D456+ROW()/1000000000,""))</f>
        <v/>
      </c>
      <c r="AL456" t="str">
        <f>IF(OR('Base Exámenes'!C456="",'Base Exámenes'!E456=""),"",IF(COUNTIF('Base Exámenes'!$C$5:C456,'Base Exámenes'!C456)=1,'Base Exámenes'!E456+ROW()/1000000000,""))</f>
        <v/>
      </c>
      <c r="AM456" t="str">
        <f>IF(OR('Base Exámenes'!C456="",'Base Exámenes'!G456=""),"",IF(ROW()-4=MATCH('Base Exámenes'!C456&amp;"|"&amp;_xlfn.MAXIFS('Base Exámenes'!$G$5:$G$1000,'Base Exámenes'!$C$5:$C$1000,'Base Exámenes'!C456),'Base Exámenes'!$I$5:$I$1000,0),'Base Exámenes'!G456*1000000+(-1)*'Base Exámenes'!D456,""))</f>
        <v/>
      </c>
      <c r="AQ456" t="str">
        <f>IF('Base Exámenes'!C456="","",IF(COUNTIF('Base Exámenes'!$C$5:$C$1000,'Base Exámenes'!C456)&lt;2,"",MATCH('Base Exámenes'!C456,'Base Exámenes'!$C$5:$C$1000,0)*10000+ROW()))</f>
        <v/>
      </c>
    </row>
    <row r="457">
      <c r="Z457" t="str">
        <f>IF('Detalle individual'!A457="","",IF(AND(OR('Estado por Colaborador'!$D$4="Todas las gerencias",'Detalle individual'!D457='Estado por Colaborador'!$D$4),OR('Estado por Colaborador'!$D$5="Todos los departamentos",TRIM('Detalle individual'!C457)='Estado por Colaborador'!$D$5),OR('Estado por Colaborador'!$D$6="Todos",'Detalle individual'!F457='Estado por Colaborador'!$D$6)),IF('Detalle individual'!F457="Completado",30000000,IF('Detalle individual'!F457="Pendiente",0,15000000))+COUNTIF('Detalle individual'!$C$5:$C$1000,"&lt;"&amp;'Detalle individual'!C457)*10000+ROW(),""))</f>
        <v/>
      </c>
      <c r="AB457" t="str">
        <f>IF('Detalle individual'!C457="","",IF(COUNTIF('Detalle individual'!$C$5:C457,'Detalle individual'!C457)=1,COUNTIF('Detalle individual'!$C$5:$C$1000,"&lt;"&amp;'Detalle individual'!C457),""))</f>
        <v/>
      </c>
      <c r="AC457" t="str">
        <f>IF('Detalle individual'!D457="","",IF(COUNTIF('Detalle individual'!$D$5:D457,'Detalle individual'!D457)=1,COUNTIF('Detalle individual'!$D$5:$D$1000,"&lt;"&amp;'Detalle individual'!D457),""))</f>
        <v/>
      </c>
      <c r="AH457" t="str">
        <f>IF('Detalle individual'!F457="Pendiente",COUNTIF('Detalle individual'!$D$5:$D$1000,"&lt;"&amp;'Detalle individual'!D457)*1000000+COUNTIF('Detalle individual'!$C$5:$C$1000,"&lt;"&amp;'Detalle individual'!C457)*1000+COUNTIF('Detalle individual'!$B$5:$B$1000,"&lt;"&amp;'Detalle individual'!B457)+ROW()/10000,"")</f>
        <v/>
      </c>
      <c r="AI457" t="str">
        <f>IF('Detalle individual'!F457="Completado",COUNTIF('Detalle individual'!$D$5:$D$1000,"&lt;"&amp;'Detalle individual'!D457)*1000000+COUNTIF('Detalle individual'!$C$5:$C$1000,"&lt;"&amp;'Detalle individual'!C457)*1000+COUNTIF('Detalle individual'!$B$5:$B$1000,"&lt;"&amp;'Detalle individual'!B457)+ROW()/10000,"")</f>
        <v/>
      </c>
      <c r="AJ457" t="str">
        <f>IF(AND('Detalle individual'!F457&lt;&gt;"",'Detalle individual'!F457&lt;&gt;"Completado",'Detalle individual'!F457&lt;&gt;"Pendiente"),COUNTIF('Detalle individual'!$D$5:$D$1000,"&lt;"&amp;'Detalle individual'!D457)*1000000+COUNTIF('Detalle individual'!$C$5:$C$1000,"&lt;"&amp;'Detalle individual'!C457)*1000+COUNTIF('Detalle individual'!$B$5:$B$1000,"&lt;"&amp;'Detalle individual'!B457)+ROW()/10000,"")</f>
        <v/>
      </c>
      <c r="AK457" t="str">
        <f>IF(OR('Base Exámenes'!C457="",'Base Exámenes'!D457=""),"",IF(COUNTIF('Base Exámenes'!$C$5:C457,'Base Exámenes'!C457)=1,'Base Exámenes'!D457+ROW()/1000000000,""))</f>
        <v/>
      </c>
      <c r="AL457" t="str">
        <f>IF(OR('Base Exámenes'!C457="",'Base Exámenes'!E457=""),"",IF(COUNTIF('Base Exámenes'!$C$5:C457,'Base Exámenes'!C457)=1,'Base Exámenes'!E457+ROW()/1000000000,""))</f>
        <v/>
      </c>
      <c r="AM457" t="str">
        <f>IF(OR('Base Exámenes'!C457="",'Base Exámenes'!G457=""),"",IF(ROW()-4=MATCH('Base Exámenes'!C457&amp;"|"&amp;_xlfn.MAXIFS('Base Exámenes'!$G$5:$G$1000,'Base Exámenes'!$C$5:$C$1000,'Base Exámenes'!C457),'Base Exámenes'!$I$5:$I$1000,0),'Base Exámenes'!G457*1000000+(-1)*'Base Exámenes'!D457,""))</f>
        <v/>
      </c>
      <c r="AQ457" t="str">
        <f>IF('Base Exámenes'!C457="","",IF(COUNTIF('Base Exámenes'!$C$5:$C$1000,'Base Exámenes'!C457)&lt;2,"",MATCH('Base Exámenes'!C457,'Base Exámenes'!$C$5:$C$1000,0)*10000+ROW()))</f>
        <v/>
      </c>
    </row>
    <row r="458">
      <c r="Z458" t="str">
        <f>IF('Detalle individual'!A458="","",IF(AND(OR('Estado por Colaborador'!$D$4="Todas las gerencias",'Detalle individual'!D458='Estado por Colaborador'!$D$4),OR('Estado por Colaborador'!$D$5="Todos los departamentos",TRIM('Detalle individual'!C458)='Estado por Colaborador'!$D$5),OR('Estado por Colaborador'!$D$6="Todos",'Detalle individual'!F458='Estado por Colaborador'!$D$6)),IF('Detalle individual'!F458="Completado",30000000,IF('Detalle individual'!F458="Pendiente",0,15000000))+COUNTIF('Detalle individual'!$C$5:$C$1000,"&lt;"&amp;'Detalle individual'!C458)*10000+ROW(),""))</f>
        <v/>
      </c>
      <c r="AB458" t="str">
        <f>IF('Detalle individual'!C458="","",IF(COUNTIF('Detalle individual'!$C$5:C458,'Detalle individual'!C458)=1,COUNTIF('Detalle individual'!$C$5:$C$1000,"&lt;"&amp;'Detalle individual'!C458),""))</f>
        <v/>
      </c>
      <c r="AC458" t="str">
        <f>IF('Detalle individual'!D458="","",IF(COUNTIF('Detalle individual'!$D$5:D458,'Detalle individual'!D458)=1,COUNTIF('Detalle individual'!$D$5:$D$1000,"&lt;"&amp;'Detalle individual'!D458),""))</f>
        <v/>
      </c>
      <c r="AH458" t="str">
        <f>IF('Detalle individual'!F458="Pendiente",COUNTIF('Detalle individual'!$D$5:$D$1000,"&lt;"&amp;'Detalle individual'!D458)*1000000+COUNTIF('Detalle individual'!$C$5:$C$1000,"&lt;"&amp;'Detalle individual'!C458)*1000+COUNTIF('Detalle individual'!$B$5:$B$1000,"&lt;"&amp;'Detalle individual'!B458)+ROW()/10000,"")</f>
        <v/>
      </c>
      <c r="AI458" t="str">
        <f>IF('Detalle individual'!F458="Completado",COUNTIF('Detalle individual'!$D$5:$D$1000,"&lt;"&amp;'Detalle individual'!D458)*1000000+COUNTIF('Detalle individual'!$C$5:$C$1000,"&lt;"&amp;'Detalle individual'!C458)*1000+COUNTIF('Detalle individual'!$B$5:$B$1000,"&lt;"&amp;'Detalle individual'!B458)+ROW()/10000,"")</f>
        <v/>
      </c>
      <c r="AJ458" t="str">
        <f>IF(AND('Detalle individual'!F458&lt;&gt;"",'Detalle individual'!F458&lt;&gt;"Completado",'Detalle individual'!F458&lt;&gt;"Pendiente"),COUNTIF('Detalle individual'!$D$5:$D$1000,"&lt;"&amp;'Detalle individual'!D458)*1000000+COUNTIF('Detalle individual'!$C$5:$C$1000,"&lt;"&amp;'Detalle individual'!C458)*1000+COUNTIF('Detalle individual'!$B$5:$B$1000,"&lt;"&amp;'Detalle individual'!B458)+ROW()/10000,"")</f>
        <v/>
      </c>
      <c r="AK458" t="str">
        <f>IF(OR('Base Exámenes'!C458="",'Base Exámenes'!D458=""),"",IF(COUNTIF('Base Exámenes'!$C$5:C458,'Base Exámenes'!C458)=1,'Base Exámenes'!D458+ROW()/1000000000,""))</f>
        <v/>
      </c>
      <c r="AL458" t="str">
        <f>IF(OR('Base Exámenes'!C458="",'Base Exámenes'!E458=""),"",IF(COUNTIF('Base Exámenes'!$C$5:C458,'Base Exámenes'!C458)=1,'Base Exámenes'!E458+ROW()/1000000000,""))</f>
        <v/>
      </c>
      <c r="AM458" t="str">
        <f>IF(OR('Base Exámenes'!C458="",'Base Exámenes'!G458=""),"",IF(ROW()-4=MATCH('Base Exámenes'!C458&amp;"|"&amp;_xlfn.MAXIFS('Base Exámenes'!$G$5:$G$1000,'Base Exámenes'!$C$5:$C$1000,'Base Exámenes'!C458),'Base Exámenes'!$I$5:$I$1000,0),'Base Exámenes'!G458*1000000+(-1)*'Base Exámenes'!D458,""))</f>
        <v/>
      </c>
      <c r="AQ458" t="str">
        <f>IF('Base Exámenes'!C458="","",IF(COUNTIF('Base Exámenes'!$C$5:$C$1000,'Base Exámenes'!C458)&lt;2,"",MATCH('Base Exámenes'!C458,'Base Exámenes'!$C$5:$C$1000,0)*10000+ROW()))</f>
        <v/>
      </c>
    </row>
    <row r="459">
      <c r="Z459" t="str">
        <f>IF('Detalle individual'!A459="","",IF(AND(OR('Estado por Colaborador'!$D$4="Todas las gerencias",'Detalle individual'!D459='Estado por Colaborador'!$D$4),OR('Estado por Colaborador'!$D$5="Todos los departamentos",TRIM('Detalle individual'!C459)='Estado por Colaborador'!$D$5),OR('Estado por Colaborador'!$D$6="Todos",'Detalle individual'!F459='Estado por Colaborador'!$D$6)),IF('Detalle individual'!F459="Completado",30000000,IF('Detalle individual'!F459="Pendiente",0,15000000))+COUNTIF('Detalle individual'!$C$5:$C$1000,"&lt;"&amp;'Detalle individual'!C459)*10000+ROW(),""))</f>
        <v/>
      </c>
      <c r="AB459" t="str">
        <f>IF('Detalle individual'!C459="","",IF(COUNTIF('Detalle individual'!$C$5:C459,'Detalle individual'!C459)=1,COUNTIF('Detalle individual'!$C$5:$C$1000,"&lt;"&amp;'Detalle individual'!C459),""))</f>
        <v/>
      </c>
      <c r="AC459" t="str">
        <f>IF('Detalle individual'!D459="","",IF(COUNTIF('Detalle individual'!$D$5:D459,'Detalle individual'!D459)=1,COUNTIF('Detalle individual'!$D$5:$D$1000,"&lt;"&amp;'Detalle individual'!D459),""))</f>
        <v/>
      </c>
      <c r="AH459" t="str">
        <f>IF('Detalle individual'!F459="Pendiente",COUNTIF('Detalle individual'!$D$5:$D$1000,"&lt;"&amp;'Detalle individual'!D459)*1000000+COUNTIF('Detalle individual'!$C$5:$C$1000,"&lt;"&amp;'Detalle individual'!C459)*1000+COUNTIF('Detalle individual'!$B$5:$B$1000,"&lt;"&amp;'Detalle individual'!B459)+ROW()/10000,"")</f>
        <v/>
      </c>
      <c r="AI459" t="str">
        <f>IF('Detalle individual'!F459="Completado",COUNTIF('Detalle individual'!$D$5:$D$1000,"&lt;"&amp;'Detalle individual'!D459)*1000000+COUNTIF('Detalle individual'!$C$5:$C$1000,"&lt;"&amp;'Detalle individual'!C459)*1000+COUNTIF('Detalle individual'!$B$5:$B$1000,"&lt;"&amp;'Detalle individual'!B459)+ROW()/10000,"")</f>
        <v/>
      </c>
      <c r="AJ459" t="str">
        <f>IF(AND('Detalle individual'!F459&lt;&gt;"",'Detalle individual'!F459&lt;&gt;"Completado",'Detalle individual'!F459&lt;&gt;"Pendiente"),COUNTIF('Detalle individual'!$D$5:$D$1000,"&lt;"&amp;'Detalle individual'!D459)*1000000+COUNTIF('Detalle individual'!$C$5:$C$1000,"&lt;"&amp;'Detalle individual'!C459)*1000+COUNTIF('Detalle individual'!$B$5:$B$1000,"&lt;"&amp;'Detalle individual'!B459)+ROW()/10000,"")</f>
        <v/>
      </c>
      <c r="AK459" t="str">
        <f>IF(OR('Base Exámenes'!C459="",'Base Exámenes'!D459=""),"",IF(COUNTIF('Base Exámenes'!$C$5:C459,'Base Exámenes'!C459)=1,'Base Exámenes'!D459+ROW()/1000000000,""))</f>
        <v/>
      </c>
      <c r="AL459" t="str">
        <f>IF(OR('Base Exámenes'!C459="",'Base Exámenes'!E459=""),"",IF(COUNTIF('Base Exámenes'!$C$5:C459,'Base Exámenes'!C459)=1,'Base Exámenes'!E459+ROW()/1000000000,""))</f>
        <v/>
      </c>
      <c r="AM459" t="str">
        <f>IF(OR('Base Exámenes'!C459="",'Base Exámenes'!G459=""),"",IF(ROW()-4=MATCH('Base Exámenes'!C459&amp;"|"&amp;_xlfn.MAXIFS('Base Exámenes'!$G$5:$G$1000,'Base Exámenes'!$C$5:$C$1000,'Base Exámenes'!C459),'Base Exámenes'!$I$5:$I$1000,0),'Base Exámenes'!G459*1000000+(-1)*'Base Exámenes'!D459,""))</f>
        <v/>
      </c>
      <c r="AQ459" t="str">
        <f>IF('Base Exámenes'!C459="","",IF(COUNTIF('Base Exámenes'!$C$5:$C$1000,'Base Exámenes'!C459)&lt;2,"",MATCH('Base Exámenes'!C459,'Base Exámenes'!$C$5:$C$1000,0)*10000+ROW()))</f>
        <v/>
      </c>
    </row>
    <row r="460">
      <c r="Z460" t="str">
        <f>IF('Detalle individual'!A460="","",IF(AND(OR('Estado por Colaborador'!$D$4="Todas las gerencias",'Detalle individual'!D460='Estado por Colaborador'!$D$4),OR('Estado por Colaborador'!$D$5="Todos los departamentos",TRIM('Detalle individual'!C460)='Estado por Colaborador'!$D$5),OR('Estado por Colaborador'!$D$6="Todos",'Detalle individual'!F460='Estado por Colaborador'!$D$6)),IF('Detalle individual'!F460="Completado",30000000,IF('Detalle individual'!F460="Pendiente",0,15000000))+COUNTIF('Detalle individual'!$C$5:$C$1000,"&lt;"&amp;'Detalle individual'!C460)*10000+ROW(),""))</f>
        <v/>
      </c>
      <c r="AB460" t="str">
        <f>IF('Detalle individual'!C460="","",IF(COUNTIF('Detalle individual'!$C$5:C460,'Detalle individual'!C460)=1,COUNTIF('Detalle individual'!$C$5:$C$1000,"&lt;"&amp;'Detalle individual'!C460),""))</f>
        <v/>
      </c>
      <c r="AC460" t="str">
        <f>IF('Detalle individual'!D460="","",IF(COUNTIF('Detalle individual'!$D$5:D460,'Detalle individual'!D460)=1,COUNTIF('Detalle individual'!$D$5:$D$1000,"&lt;"&amp;'Detalle individual'!D460),""))</f>
        <v/>
      </c>
      <c r="AH460" t="str">
        <f>IF('Detalle individual'!F460="Pendiente",COUNTIF('Detalle individual'!$D$5:$D$1000,"&lt;"&amp;'Detalle individual'!D460)*1000000+COUNTIF('Detalle individual'!$C$5:$C$1000,"&lt;"&amp;'Detalle individual'!C460)*1000+COUNTIF('Detalle individual'!$B$5:$B$1000,"&lt;"&amp;'Detalle individual'!B460)+ROW()/10000,"")</f>
        <v/>
      </c>
      <c r="AI460" t="str">
        <f>IF('Detalle individual'!F460="Completado",COUNTIF('Detalle individual'!$D$5:$D$1000,"&lt;"&amp;'Detalle individual'!D460)*1000000+COUNTIF('Detalle individual'!$C$5:$C$1000,"&lt;"&amp;'Detalle individual'!C460)*1000+COUNTIF('Detalle individual'!$B$5:$B$1000,"&lt;"&amp;'Detalle individual'!B460)+ROW()/10000,"")</f>
        <v/>
      </c>
      <c r="AJ460" t="str">
        <f>IF(AND('Detalle individual'!F460&lt;&gt;"",'Detalle individual'!F460&lt;&gt;"Completado",'Detalle individual'!F460&lt;&gt;"Pendiente"),COUNTIF('Detalle individual'!$D$5:$D$1000,"&lt;"&amp;'Detalle individual'!D460)*1000000+COUNTIF('Detalle individual'!$C$5:$C$1000,"&lt;"&amp;'Detalle individual'!C460)*1000+COUNTIF('Detalle individual'!$B$5:$B$1000,"&lt;"&amp;'Detalle individual'!B460)+ROW()/10000,"")</f>
        <v/>
      </c>
      <c r="AK460" t="str">
        <f>IF(OR('Base Exámenes'!C460="",'Base Exámenes'!D460=""),"",IF(COUNTIF('Base Exámenes'!$C$5:C460,'Base Exámenes'!C460)=1,'Base Exámenes'!D460+ROW()/1000000000,""))</f>
        <v/>
      </c>
      <c r="AL460" t="str">
        <f>IF(OR('Base Exámenes'!C460="",'Base Exámenes'!E460=""),"",IF(COUNTIF('Base Exámenes'!$C$5:C460,'Base Exámenes'!C460)=1,'Base Exámenes'!E460+ROW()/1000000000,""))</f>
        <v/>
      </c>
      <c r="AM460" t="str">
        <f>IF(OR('Base Exámenes'!C460="",'Base Exámenes'!G460=""),"",IF(ROW()-4=MATCH('Base Exámenes'!C460&amp;"|"&amp;_xlfn.MAXIFS('Base Exámenes'!$G$5:$G$1000,'Base Exámenes'!$C$5:$C$1000,'Base Exámenes'!C460),'Base Exámenes'!$I$5:$I$1000,0),'Base Exámenes'!G460*1000000+(-1)*'Base Exámenes'!D460,""))</f>
        <v/>
      </c>
      <c r="AQ460" t="str">
        <f>IF('Base Exámenes'!C460="","",IF(COUNTIF('Base Exámenes'!$C$5:$C$1000,'Base Exámenes'!C460)&lt;2,"",MATCH('Base Exámenes'!C460,'Base Exámenes'!$C$5:$C$1000,0)*10000+ROW()))</f>
        <v/>
      </c>
    </row>
    <row r="461">
      <c r="Z461" t="str">
        <f>IF('Detalle individual'!A461="","",IF(AND(OR('Estado por Colaborador'!$D$4="Todas las gerencias",'Detalle individual'!D461='Estado por Colaborador'!$D$4),OR('Estado por Colaborador'!$D$5="Todos los departamentos",TRIM('Detalle individual'!C461)='Estado por Colaborador'!$D$5),OR('Estado por Colaborador'!$D$6="Todos",'Detalle individual'!F461='Estado por Colaborador'!$D$6)),IF('Detalle individual'!F461="Completado",30000000,IF('Detalle individual'!F461="Pendiente",0,15000000))+COUNTIF('Detalle individual'!$C$5:$C$1000,"&lt;"&amp;'Detalle individual'!C461)*10000+ROW(),""))</f>
        <v/>
      </c>
      <c r="AB461" t="str">
        <f>IF('Detalle individual'!C461="","",IF(COUNTIF('Detalle individual'!$C$5:C461,'Detalle individual'!C461)=1,COUNTIF('Detalle individual'!$C$5:$C$1000,"&lt;"&amp;'Detalle individual'!C461),""))</f>
        <v/>
      </c>
      <c r="AC461" t="str">
        <f>IF('Detalle individual'!D461="","",IF(COUNTIF('Detalle individual'!$D$5:D461,'Detalle individual'!D461)=1,COUNTIF('Detalle individual'!$D$5:$D$1000,"&lt;"&amp;'Detalle individual'!D461),""))</f>
        <v/>
      </c>
      <c r="AH461" t="str">
        <f>IF('Detalle individual'!F461="Pendiente",COUNTIF('Detalle individual'!$D$5:$D$1000,"&lt;"&amp;'Detalle individual'!D461)*1000000+COUNTIF('Detalle individual'!$C$5:$C$1000,"&lt;"&amp;'Detalle individual'!C461)*1000+COUNTIF('Detalle individual'!$B$5:$B$1000,"&lt;"&amp;'Detalle individual'!B461)+ROW()/10000,"")</f>
        <v/>
      </c>
      <c r="AI461" t="str">
        <f>IF('Detalle individual'!F461="Completado",COUNTIF('Detalle individual'!$D$5:$D$1000,"&lt;"&amp;'Detalle individual'!D461)*1000000+COUNTIF('Detalle individual'!$C$5:$C$1000,"&lt;"&amp;'Detalle individual'!C461)*1000+COUNTIF('Detalle individual'!$B$5:$B$1000,"&lt;"&amp;'Detalle individual'!B461)+ROW()/10000,"")</f>
        <v/>
      </c>
      <c r="AJ461" t="str">
        <f>IF(AND('Detalle individual'!F461&lt;&gt;"",'Detalle individual'!F461&lt;&gt;"Completado",'Detalle individual'!F461&lt;&gt;"Pendiente"),COUNTIF('Detalle individual'!$D$5:$D$1000,"&lt;"&amp;'Detalle individual'!D461)*1000000+COUNTIF('Detalle individual'!$C$5:$C$1000,"&lt;"&amp;'Detalle individual'!C461)*1000+COUNTIF('Detalle individual'!$B$5:$B$1000,"&lt;"&amp;'Detalle individual'!B461)+ROW()/10000,"")</f>
        <v/>
      </c>
      <c r="AK461" t="str">
        <f>IF(OR('Base Exámenes'!C461="",'Base Exámenes'!D461=""),"",IF(COUNTIF('Base Exámenes'!$C$5:C461,'Base Exámenes'!C461)=1,'Base Exámenes'!D461+ROW()/1000000000,""))</f>
        <v/>
      </c>
      <c r="AL461" t="str">
        <f>IF(OR('Base Exámenes'!C461="",'Base Exámenes'!E461=""),"",IF(COUNTIF('Base Exámenes'!$C$5:C461,'Base Exámenes'!C461)=1,'Base Exámenes'!E461+ROW()/1000000000,""))</f>
        <v/>
      </c>
      <c r="AM461" t="str">
        <f>IF(OR('Base Exámenes'!C461="",'Base Exámenes'!G461=""),"",IF(ROW()-4=MATCH('Base Exámenes'!C461&amp;"|"&amp;_xlfn.MAXIFS('Base Exámenes'!$G$5:$G$1000,'Base Exámenes'!$C$5:$C$1000,'Base Exámenes'!C461),'Base Exámenes'!$I$5:$I$1000,0),'Base Exámenes'!G461*1000000+(-1)*'Base Exámenes'!D461,""))</f>
        <v/>
      </c>
      <c r="AQ461" t="str">
        <f>IF('Base Exámenes'!C461="","",IF(COUNTIF('Base Exámenes'!$C$5:$C$1000,'Base Exámenes'!C461)&lt;2,"",MATCH('Base Exámenes'!C461,'Base Exámenes'!$C$5:$C$1000,0)*10000+ROW()))</f>
        <v/>
      </c>
    </row>
    <row r="462">
      <c r="Z462" t="str">
        <f>IF('Detalle individual'!A462="","",IF(AND(OR('Estado por Colaborador'!$D$4="Todas las gerencias",'Detalle individual'!D462='Estado por Colaborador'!$D$4),OR('Estado por Colaborador'!$D$5="Todos los departamentos",TRIM('Detalle individual'!C462)='Estado por Colaborador'!$D$5),OR('Estado por Colaborador'!$D$6="Todos",'Detalle individual'!F462='Estado por Colaborador'!$D$6)),IF('Detalle individual'!F462="Completado",30000000,IF('Detalle individual'!F462="Pendiente",0,15000000))+COUNTIF('Detalle individual'!$C$5:$C$1000,"&lt;"&amp;'Detalle individual'!C462)*10000+ROW(),""))</f>
        <v/>
      </c>
      <c r="AB462" t="str">
        <f>IF('Detalle individual'!C462="","",IF(COUNTIF('Detalle individual'!$C$5:C462,'Detalle individual'!C462)=1,COUNTIF('Detalle individual'!$C$5:$C$1000,"&lt;"&amp;'Detalle individual'!C462),""))</f>
        <v/>
      </c>
      <c r="AC462" t="str">
        <f>IF('Detalle individual'!D462="","",IF(COUNTIF('Detalle individual'!$D$5:D462,'Detalle individual'!D462)=1,COUNTIF('Detalle individual'!$D$5:$D$1000,"&lt;"&amp;'Detalle individual'!D462),""))</f>
        <v/>
      </c>
      <c r="AH462" t="str">
        <f>IF('Detalle individual'!F462="Pendiente",COUNTIF('Detalle individual'!$D$5:$D$1000,"&lt;"&amp;'Detalle individual'!D462)*1000000+COUNTIF('Detalle individual'!$C$5:$C$1000,"&lt;"&amp;'Detalle individual'!C462)*1000+COUNTIF('Detalle individual'!$B$5:$B$1000,"&lt;"&amp;'Detalle individual'!B462)+ROW()/10000,"")</f>
        <v/>
      </c>
      <c r="AI462" t="str">
        <f>IF('Detalle individual'!F462="Completado",COUNTIF('Detalle individual'!$D$5:$D$1000,"&lt;"&amp;'Detalle individual'!D462)*1000000+COUNTIF('Detalle individual'!$C$5:$C$1000,"&lt;"&amp;'Detalle individual'!C462)*1000+COUNTIF('Detalle individual'!$B$5:$B$1000,"&lt;"&amp;'Detalle individual'!B462)+ROW()/10000,"")</f>
        <v/>
      </c>
      <c r="AJ462" t="str">
        <f>IF(AND('Detalle individual'!F462&lt;&gt;"",'Detalle individual'!F462&lt;&gt;"Completado",'Detalle individual'!F462&lt;&gt;"Pendiente"),COUNTIF('Detalle individual'!$D$5:$D$1000,"&lt;"&amp;'Detalle individual'!D462)*1000000+COUNTIF('Detalle individual'!$C$5:$C$1000,"&lt;"&amp;'Detalle individual'!C462)*1000+COUNTIF('Detalle individual'!$B$5:$B$1000,"&lt;"&amp;'Detalle individual'!B462)+ROW()/10000,"")</f>
        <v/>
      </c>
      <c r="AK462" t="str">
        <f>IF(OR('Base Exámenes'!C462="",'Base Exámenes'!D462=""),"",IF(COUNTIF('Base Exámenes'!$C$5:C462,'Base Exámenes'!C462)=1,'Base Exámenes'!D462+ROW()/1000000000,""))</f>
        <v/>
      </c>
      <c r="AL462" t="str">
        <f>IF(OR('Base Exámenes'!C462="",'Base Exámenes'!E462=""),"",IF(COUNTIF('Base Exámenes'!$C$5:C462,'Base Exámenes'!C462)=1,'Base Exámenes'!E462+ROW()/1000000000,""))</f>
        <v/>
      </c>
      <c r="AM462" t="str">
        <f>IF(OR('Base Exámenes'!C462="",'Base Exámenes'!G462=""),"",IF(ROW()-4=MATCH('Base Exámenes'!C462&amp;"|"&amp;_xlfn.MAXIFS('Base Exámenes'!$G$5:$G$1000,'Base Exámenes'!$C$5:$C$1000,'Base Exámenes'!C462),'Base Exámenes'!$I$5:$I$1000,0),'Base Exámenes'!G462*1000000+(-1)*'Base Exámenes'!D462,""))</f>
        <v/>
      </c>
      <c r="AQ462" t="str">
        <f>IF('Base Exámenes'!C462="","",IF(COUNTIF('Base Exámenes'!$C$5:$C$1000,'Base Exámenes'!C462)&lt;2,"",MATCH('Base Exámenes'!C462,'Base Exámenes'!$C$5:$C$1000,0)*10000+ROW()))</f>
        <v/>
      </c>
    </row>
    <row r="463">
      <c r="Z463" t="str">
        <f>IF('Detalle individual'!A463="","",IF(AND(OR('Estado por Colaborador'!$D$4="Todas las gerencias",'Detalle individual'!D463='Estado por Colaborador'!$D$4),OR('Estado por Colaborador'!$D$5="Todos los departamentos",TRIM('Detalle individual'!C463)='Estado por Colaborador'!$D$5),OR('Estado por Colaborador'!$D$6="Todos",'Detalle individual'!F463='Estado por Colaborador'!$D$6)),IF('Detalle individual'!F463="Completado",30000000,IF('Detalle individual'!F463="Pendiente",0,15000000))+COUNTIF('Detalle individual'!$C$5:$C$1000,"&lt;"&amp;'Detalle individual'!C463)*10000+ROW(),""))</f>
        <v/>
      </c>
      <c r="AB463" t="str">
        <f>IF('Detalle individual'!C463="","",IF(COUNTIF('Detalle individual'!$C$5:C463,'Detalle individual'!C463)=1,COUNTIF('Detalle individual'!$C$5:$C$1000,"&lt;"&amp;'Detalle individual'!C463),""))</f>
        <v/>
      </c>
      <c r="AC463" t="str">
        <f>IF('Detalle individual'!D463="","",IF(COUNTIF('Detalle individual'!$D$5:D463,'Detalle individual'!D463)=1,COUNTIF('Detalle individual'!$D$5:$D$1000,"&lt;"&amp;'Detalle individual'!D463),""))</f>
        <v/>
      </c>
      <c r="AH463" t="str">
        <f>IF('Detalle individual'!F463="Pendiente",COUNTIF('Detalle individual'!$D$5:$D$1000,"&lt;"&amp;'Detalle individual'!D463)*1000000+COUNTIF('Detalle individual'!$C$5:$C$1000,"&lt;"&amp;'Detalle individual'!C463)*1000+COUNTIF('Detalle individual'!$B$5:$B$1000,"&lt;"&amp;'Detalle individual'!B463)+ROW()/10000,"")</f>
        <v/>
      </c>
      <c r="AI463" t="str">
        <f>IF('Detalle individual'!F463="Completado",COUNTIF('Detalle individual'!$D$5:$D$1000,"&lt;"&amp;'Detalle individual'!D463)*1000000+COUNTIF('Detalle individual'!$C$5:$C$1000,"&lt;"&amp;'Detalle individual'!C463)*1000+COUNTIF('Detalle individual'!$B$5:$B$1000,"&lt;"&amp;'Detalle individual'!B463)+ROW()/10000,"")</f>
        <v/>
      </c>
      <c r="AJ463" t="str">
        <f>IF(AND('Detalle individual'!F463&lt;&gt;"",'Detalle individual'!F463&lt;&gt;"Completado",'Detalle individual'!F463&lt;&gt;"Pendiente"),COUNTIF('Detalle individual'!$D$5:$D$1000,"&lt;"&amp;'Detalle individual'!D463)*1000000+COUNTIF('Detalle individual'!$C$5:$C$1000,"&lt;"&amp;'Detalle individual'!C463)*1000+COUNTIF('Detalle individual'!$B$5:$B$1000,"&lt;"&amp;'Detalle individual'!B463)+ROW()/10000,"")</f>
        <v/>
      </c>
      <c r="AK463" t="str">
        <f>IF(OR('Base Exámenes'!C463="",'Base Exámenes'!D463=""),"",IF(COUNTIF('Base Exámenes'!$C$5:C463,'Base Exámenes'!C463)=1,'Base Exámenes'!D463+ROW()/1000000000,""))</f>
        <v/>
      </c>
      <c r="AL463" t="str">
        <f>IF(OR('Base Exámenes'!C463="",'Base Exámenes'!E463=""),"",IF(COUNTIF('Base Exámenes'!$C$5:C463,'Base Exámenes'!C463)=1,'Base Exámenes'!E463+ROW()/1000000000,""))</f>
        <v/>
      </c>
      <c r="AM463" t="str">
        <f>IF(OR('Base Exámenes'!C463="",'Base Exámenes'!G463=""),"",IF(ROW()-4=MATCH('Base Exámenes'!C463&amp;"|"&amp;_xlfn.MAXIFS('Base Exámenes'!$G$5:$G$1000,'Base Exámenes'!$C$5:$C$1000,'Base Exámenes'!C463),'Base Exámenes'!$I$5:$I$1000,0),'Base Exámenes'!G463*1000000+(-1)*'Base Exámenes'!D463,""))</f>
        <v/>
      </c>
      <c r="AQ463" t="str">
        <f>IF('Base Exámenes'!C463="","",IF(COUNTIF('Base Exámenes'!$C$5:$C$1000,'Base Exámenes'!C463)&lt;2,"",MATCH('Base Exámenes'!C463,'Base Exámenes'!$C$5:$C$1000,0)*10000+ROW()))</f>
        <v/>
      </c>
    </row>
    <row r="464">
      <c r="Z464" t="str">
        <f>IF('Detalle individual'!A464="","",IF(AND(OR('Estado por Colaborador'!$D$4="Todas las gerencias",'Detalle individual'!D464='Estado por Colaborador'!$D$4),OR('Estado por Colaborador'!$D$5="Todos los departamentos",TRIM('Detalle individual'!C464)='Estado por Colaborador'!$D$5),OR('Estado por Colaborador'!$D$6="Todos",'Detalle individual'!F464='Estado por Colaborador'!$D$6)),IF('Detalle individual'!F464="Completado",30000000,IF('Detalle individual'!F464="Pendiente",0,15000000))+COUNTIF('Detalle individual'!$C$5:$C$1000,"&lt;"&amp;'Detalle individual'!C464)*10000+ROW(),""))</f>
        <v/>
      </c>
      <c r="AB464" t="str">
        <f>IF('Detalle individual'!C464="","",IF(COUNTIF('Detalle individual'!$C$5:C464,'Detalle individual'!C464)=1,COUNTIF('Detalle individual'!$C$5:$C$1000,"&lt;"&amp;'Detalle individual'!C464),""))</f>
        <v/>
      </c>
      <c r="AC464" t="str">
        <f>IF('Detalle individual'!D464="","",IF(COUNTIF('Detalle individual'!$D$5:D464,'Detalle individual'!D464)=1,COUNTIF('Detalle individual'!$D$5:$D$1000,"&lt;"&amp;'Detalle individual'!D464),""))</f>
        <v/>
      </c>
      <c r="AH464" t="str">
        <f>IF('Detalle individual'!F464="Pendiente",COUNTIF('Detalle individual'!$D$5:$D$1000,"&lt;"&amp;'Detalle individual'!D464)*1000000+COUNTIF('Detalle individual'!$C$5:$C$1000,"&lt;"&amp;'Detalle individual'!C464)*1000+COUNTIF('Detalle individual'!$B$5:$B$1000,"&lt;"&amp;'Detalle individual'!B464)+ROW()/10000,"")</f>
        <v/>
      </c>
      <c r="AI464" t="str">
        <f>IF('Detalle individual'!F464="Completado",COUNTIF('Detalle individual'!$D$5:$D$1000,"&lt;"&amp;'Detalle individual'!D464)*1000000+COUNTIF('Detalle individual'!$C$5:$C$1000,"&lt;"&amp;'Detalle individual'!C464)*1000+COUNTIF('Detalle individual'!$B$5:$B$1000,"&lt;"&amp;'Detalle individual'!B464)+ROW()/10000,"")</f>
        <v/>
      </c>
      <c r="AJ464" t="str">
        <f>IF(AND('Detalle individual'!F464&lt;&gt;"",'Detalle individual'!F464&lt;&gt;"Completado",'Detalle individual'!F464&lt;&gt;"Pendiente"),COUNTIF('Detalle individual'!$D$5:$D$1000,"&lt;"&amp;'Detalle individual'!D464)*1000000+COUNTIF('Detalle individual'!$C$5:$C$1000,"&lt;"&amp;'Detalle individual'!C464)*1000+COUNTIF('Detalle individual'!$B$5:$B$1000,"&lt;"&amp;'Detalle individual'!B464)+ROW()/10000,"")</f>
        <v/>
      </c>
      <c r="AK464" t="str">
        <f>IF(OR('Base Exámenes'!C464="",'Base Exámenes'!D464=""),"",IF(COUNTIF('Base Exámenes'!$C$5:C464,'Base Exámenes'!C464)=1,'Base Exámenes'!D464+ROW()/1000000000,""))</f>
        <v/>
      </c>
      <c r="AL464" t="str">
        <f>IF(OR('Base Exámenes'!C464="",'Base Exámenes'!E464=""),"",IF(COUNTIF('Base Exámenes'!$C$5:C464,'Base Exámenes'!C464)=1,'Base Exámenes'!E464+ROW()/1000000000,""))</f>
        <v/>
      </c>
      <c r="AM464" t="str">
        <f>IF(OR('Base Exámenes'!C464="",'Base Exámenes'!G464=""),"",IF(ROW()-4=MATCH('Base Exámenes'!C464&amp;"|"&amp;_xlfn.MAXIFS('Base Exámenes'!$G$5:$G$1000,'Base Exámenes'!$C$5:$C$1000,'Base Exámenes'!C464),'Base Exámenes'!$I$5:$I$1000,0),'Base Exámenes'!G464*1000000+(-1)*'Base Exámenes'!D464,""))</f>
        <v/>
      </c>
      <c r="AQ464" t="str">
        <f>IF('Base Exámenes'!C464="","",IF(COUNTIF('Base Exámenes'!$C$5:$C$1000,'Base Exámenes'!C464)&lt;2,"",MATCH('Base Exámenes'!C464,'Base Exámenes'!$C$5:$C$1000,0)*10000+ROW()))</f>
        <v/>
      </c>
    </row>
    <row r="465">
      <c r="Z465" t="str">
        <f>IF('Detalle individual'!A465="","",IF(AND(OR('Estado por Colaborador'!$D$4="Todas las gerencias",'Detalle individual'!D465='Estado por Colaborador'!$D$4),OR('Estado por Colaborador'!$D$5="Todos los departamentos",TRIM('Detalle individual'!C465)='Estado por Colaborador'!$D$5),OR('Estado por Colaborador'!$D$6="Todos",'Detalle individual'!F465='Estado por Colaborador'!$D$6)),IF('Detalle individual'!F465="Completado",30000000,IF('Detalle individual'!F465="Pendiente",0,15000000))+COUNTIF('Detalle individual'!$C$5:$C$1000,"&lt;"&amp;'Detalle individual'!C465)*10000+ROW(),""))</f>
        <v/>
      </c>
      <c r="AB465" t="str">
        <f>IF('Detalle individual'!C465="","",IF(COUNTIF('Detalle individual'!$C$5:C465,'Detalle individual'!C465)=1,COUNTIF('Detalle individual'!$C$5:$C$1000,"&lt;"&amp;'Detalle individual'!C465),""))</f>
        <v/>
      </c>
      <c r="AC465" t="str">
        <f>IF('Detalle individual'!D465="","",IF(COUNTIF('Detalle individual'!$D$5:D465,'Detalle individual'!D465)=1,COUNTIF('Detalle individual'!$D$5:$D$1000,"&lt;"&amp;'Detalle individual'!D465),""))</f>
        <v/>
      </c>
      <c r="AH465" t="str">
        <f>IF('Detalle individual'!F465="Pendiente",COUNTIF('Detalle individual'!$D$5:$D$1000,"&lt;"&amp;'Detalle individual'!D465)*1000000+COUNTIF('Detalle individual'!$C$5:$C$1000,"&lt;"&amp;'Detalle individual'!C465)*1000+COUNTIF('Detalle individual'!$B$5:$B$1000,"&lt;"&amp;'Detalle individual'!B465)+ROW()/10000,"")</f>
        <v/>
      </c>
      <c r="AI465" t="str">
        <f>IF('Detalle individual'!F465="Completado",COUNTIF('Detalle individual'!$D$5:$D$1000,"&lt;"&amp;'Detalle individual'!D465)*1000000+COUNTIF('Detalle individual'!$C$5:$C$1000,"&lt;"&amp;'Detalle individual'!C465)*1000+COUNTIF('Detalle individual'!$B$5:$B$1000,"&lt;"&amp;'Detalle individual'!B465)+ROW()/10000,"")</f>
        <v/>
      </c>
      <c r="AJ465" t="str">
        <f>IF(AND('Detalle individual'!F465&lt;&gt;"",'Detalle individual'!F465&lt;&gt;"Completado",'Detalle individual'!F465&lt;&gt;"Pendiente"),COUNTIF('Detalle individual'!$D$5:$D$1000,"&lt;"&amp;'Detalle individual'!D465)*1000000+COUNTIF('Detalle individual'!$C$5:$C$1000,"&lt;"&amp;'Detalle individual'!C465)*1000+COUNTIF('Detalle individual'!$B$5:$B$1000,"&lt;"&amp;'Detalle individual'!B465)+ROW()/10000,"")</f>
        <v/>
      </c>
      <c r="AK465" t="str">
        <f>IF(OR('Base Exámenes'!C465="",'Base Exámenes'!D465=""),"",IF(COUNTIF('Base Exámenes'!$C$5:C465,'Base Exámenes'!C465)=1,'Base Exámenes'!D465+ROW()/1000000000,""))</f>
        <v/>
      </c>
      <c r="AL465" t="str">
        <f>IF(OR('Base Exámenes'!C465="",'Base Exámenes'!E465=""),"",IF(COUNTIF('Base Exámenes'!$C$5:C465,'Base Exámenes'!C465)=1,'Base Exámenes'!E465+ROW()/1000000000,""))</f>
        <v/>
      </c>
      <c r="AM465" t="str">
        <f>IF(OR('Base Exámenes'!C465="",'Base Exámenes'!G465=""),"",IF(ROW()-4=MATCH('Base Exámenes'!C465&amp;"|"&amp;_xlfn.MAXIFS('Base Exámenes'!$G$5:$G$1000,'Base Exámenes'!$C$5:$C$1000,'Base Exámenes'!C465),'Base Exámenes'!$I$5:$I$1000,0),'Base Exámenes'!G465*1000000+(-1)*'Base Exámenes'!D465,""))</f>
        <v/>
      </c>
      <c r="AQ465" t="str">
        <f>IF('Base Exámenes'!C465="","",IF(COUNTIF('Base Exámenes'!$C$5:$C$1000,'Base Exámenes'!C465)&lt;2,"",MATCH('Base Exámenes'!C465,'Base Exámenes'!$C$5:$C$1000,0)*10000+ROW()))</f>
        <v/>
      </c>
    </row>
    <row r="466">
      <c r="Z466" t="str">
        <f>IF('Detalle individual'!A466="","",IF(AND(OR('Estado por Colaborador'!$D$4="Todas las gerencias",'Detalle individual'!D466='Estado por Colaborador'!$D$4),OR('Estado por Colaborador'!$D$5="Todos los departamentos",TRIM('Detalle individual'!C466)='Estado por Colaborador'!$D$5),OR('Estado por Colaborador'!$D$6="Todos",'Detalle individual'!F466='Estado por Colaborador'!$D$6)),IF('Detalle individual'!F466="Completado",30000000,IF('Detalle individual'!F466="Pendiente",0,15000000))+COUNTIF('Detalle individual'!$C$5:$C$1000,"&lt;"&amp;'Detalle individual'!C466)*10000+ROW(),""))</f>
        <v/>
      </c>
      <c r="AB466" t="str">
        <f>IF('Detalle individual'!C466="","",IF(COUNTIF('Detalle individual'!$C$5:C466,'Detalle individual'!C466)=1,COUNTIF('Detalle individual'!$C$5:$C$1000,"&lt;"&amp;'Detalle individual'!C466),""))</f>
        <v/>
      </c>
      <c r="AC466" t="str">
        <f>IF('Detalle individual'!D466="","",IF(COUNTIF('Detalle individual'!$D$5:D466,'Detalle individual'!D466)=1,COUNTIF('Detalle individual'!$D$5:$D$1000,"&lt;"&amp;'Detalle individual'!D466),""))</f>
        <v/>
      </c>
      <c r="AH466" t="str">
        <f>IF('Detalle individual'!F466="Pendiente",COUNTIF('Detalle individual'!$D$5:$D$1000,"&lt;"&amp;'Detalle individual'!D466)*1000000+COUNTIF('Detalle individual'!$C$5:$C$1000,"&lt;"&amp;'Detalle individual'!C466)*1000+COUNTIF('Detalle individual'!$B$5:$B$1000,"&lt;"&amp;'Detalle individual'!B466)+ROW()/10000,"")</f>
        <v/>
      </c>
      <c r="AI466" t="str">
        <f>IF('Detalle individual'!F466="Completado",COUNTIF('Detalle individual'!$D$5:$D$1000,"&lt;"&amp;'Detalle individual'!D466)*1000000+COUNTIF('Detalle individual'!$C$5:$C$1000,"&lt;"&amp;'Detalle individual'!C466)*1000+COUNTIF('Detalle individual'!$B$5:$B$1000,"&lt;"&amp;'Detalle individual'!B466)+ROW()/10000,"")</f>
        <v/>
      </c>
      <c r="AJ466" t="str">
        <f>IF(AND('Detalle individual'!F466&lt;&gt;"",'Detalle individual'!F466&lt;&gt;"Completado",'Detalle individual'!F466&lt;&gt;"Pendiente"),COUNTIF('Detalle individual'!$D$5:$D$1000,"&lt;"&amp;'Detalle individual'!D466)*1000000+COUNTIF('Detalle individual'!$C$5:$C$1000,"&lt;"&amp;'Detalle individual'!C466)*1000+COUNTIF('Detalle individual'!$B$5:$B$1000,"&lt;"&amp;'Detalle individual'!B466)+ROW()/10000,"")</f>
        <v/>
      </c>
      <c r="AK466" t="str">
        <f>IF(OR('Base Exámenes'!C466="",'Base Exámenes'!D466=""),"",IF(COUNTIF('Base Exámenes'!$C$5:C466,'Base Exámenes'!C466)=1,'Base Exámenes'!D466+ROW()/1000000000,""))</f>
        <v/>
      </c>
      <c r="AL466" t="str">
        <f>IF(OR('Base Exámenes'!C466="",'Base Exámenes'!E466=""),"",IF(COUNTIF('Base Exámenes'!$C$5:C466,'Base Exámenes'!C466)=1,'Base Exámenes'!E466+ROW()/1000000000,""))</f>
        <v/>
      </c>
      <c r="AM466" t="str">
        <f>IF(OR('Base Exámenes'!C466="",'Base Exámenes'!G466=""),"",IF(ROW()-4=MATCH('Base Exámenes'!C466&amp;"|"&amp;_xlfn.MAXIFS('Base Exámenes'!$G$5:$G$1000,'Base Exámenes'!$C$5:$C$1000,'Base Exámenes'!C466),'Base Exámenes'!$I$5:$I$1000,0),'Base Exámenes'!G466*1000000+(-1)*'Base Exámenes'!D466,""))</f>
        <v/>
      </c>
      <c r="AQ466" t="str">
        <f>IF('Base Exámenes'!C466="","",IF(COUNTIF('Base Exámenes'!$C$5:$C$1000,'Base Exámenes'!C466)&lt;2,"",MATCH('Base Exámenes'!C466,'Base Exámenes'!$C$5:$C$1000,0)*10000+ROW()))</f>
        <v/>
      </c>
    </row>
    <row r="467">
      <c r="Z467" t="str">
        <f>IF('Detalle individual'!A467="","",IF(AND(OR('Estado por Colaborador'!$D$4="Todas las gerencias",'Detalle individual'!D467='Estado por Colaborador'!$D$4),OR('Estado por Colaborador'!$D$5="Todos los departamentos",TRIM('Detalle individual'!C467)='Estado por Colaborador'!$D$5),OR('Estado por Colaborador'!$D$6="Todos",'Detalle individual'!F467='Estado por Colaborador'!$D$6)),IF('Detalle individual'!F467="Completado",30000000,IF('Detalle individual'!F467="Pendiente",0,15000000))+COUNTIF('Detalle individual'!$C$5:$C$1000,"&lt;"&amp;'Detalle individual'!C467)*10000+ROW(),""))</f>
        <v/>
      </c>
      <c r="AB467" t="str">
        <f>IF('Detalle individual'!C467="","",IF(COUNTIF('Detalle individual'!$C$5:C467,'Detalle individual'!C467)=1,COUNTIF('Detalle individual'!$C$5:$C$1000,"&lt;"&amp;'Detalle individual'!C467),""))</f>
        <v/>
      </c>
      <c r="AC467" t="str">
        <f>IF('Detalle individual'!D467="","",IF(COUNTIF('Detalle individual'!$D$5:D467,'Detalle individual'!D467)=1,COUNTIF('Detalle individual'!$D$5:$D$1000,"&lt;"&amp;'Detalle individual'!D467),""))</f>
        <v/>
      </c>
      <c r="AH467" t="str">
        <f>IF('Detalle individual'!F467="Pendiente",COUNTIF('Detalle individual'!$D$5:$D$1000,"&lt;"&amp;'Detalle individual'!D467)*1000000+COUNTIF('Detalle individual'!$C$5:$C$1000,"&lt;"&amp;'Detalle individual'!C467)*1000+COUNTIF('Detalle individual'!$B$5:$B$1000,"&lt;"&amp;'Detalle individual'!B467)+ROW()/10000,"")</f>
        <v/>
      </c>
      <c r="AI467" t="str">
        <f>IF('Detalle individual'!F467="Completado",COUNTIF('Detalle individual'!$D$5:$D$1000,"&lt;"&amp;'Detalle individual'!D467)*1000000+COUNTIF('Detalle individual'!$C$5:$C$1000,"&lt;"&amp;'Detalle individual'!C467)*1000+COUNTIF('Detalle individual'!$B$5:$B$1000,"&lt;"&amp;'Detalle individual'!B467)+ROW()/10000,"")</f>
        <v/>
      </c>
      <c r="AJ467" t="str">
        <f>IF(AND('Detalle individual'!F467&lt;&gt;"",'Detalle individual'!F467&lt;&gt;"Completado",'Detalle individual'!F467&lt;&gt;"Pendiente"),COUNTIF('Detalle individual'!$D$5:$D$1000,"&lt;"&amp;'Detalle individual'!D467)*1000000+COUNTIF('Detalle individual'!$C$5:$C$1000,"&lt;"&amp;'Detalle individual'!C467)*1000+COUNTIF('Detalle individual'!$B$5:$B$1000,"&lt;"&amp;'Detalle individual'!B467)+ROW()/10000,"")</f>
        <v/>
      </c>
      <c r="AK467" t="str">
        <f>IF(OR('Base Exámenes'!C467="",'Base Exámenes'!D467=""),"",IF(COUNTIF('Base Exámenes'!$C$5:C467,'Base Exámenes'!C467)=1,'Base Exámenes'!D467+ROW()/1000000000,""))</f>
        <v/>
      </c>
      <c r="AL467" t="str">
        <f>IF(OR('Base Exámenes'!C467="",'Base Exámenes'!E467=""),"",IF(COUNTIF('Base Exámenes'!$C$5:C467,'Base Exámenes'!C467)=1,'Base Exámenes'!E467+ROW()/1000000000,""))</f>
        <v/>
      </c>
      <c r="AM467" t="str">
        <f>IF(OR('Base Exámenes'!C467="",'Base Exámenes'!G467=""),"",IF(ROW()-4=MATCH('Base Exámenes'!C467&amp;"|"&amp;_xlfn.MAXIFS('Base Exámenes'!$G$5:$G$1000,'Base Exámenes'!$C$5:$C$1000,'Base Exámenes'!C467),'Base Exámenes'!$I$5:$I$1000,0),'Base Exámenes'!G467*1000000+(-1)*'Base Exámenes'!D467,""))</f>
        <v/>
      </c>
      <c r="AQ467" t="str">
        <f>IF('Base Exámenes'!C467="","",IF(COUNTIF('Base Exámenes'!$C$5:$C$1000,'Base Exámenes'!C467)&lt;2,"",MATCH('Base Exámenes'!C467,'Base Exámenes'!$C$5:$C$1000,0)*10000+ROW()))</f>
        <v/>
      </c>
    </row>
    <row r="468">
      <c r="Z468" t="str">
        <f>IF('Detalle individual'!A468="","",IF(AND(OR('Estado por Colaborador'!$D$4="Todas las gerencias",'Detalle individual'!D468='Estado por Colaborador'!$D$4),OR('Estado por Colaborador'!$D$5="Todos los departamentos",TRIM('Detalle individual'!C468)='Estado por Colaborador'!$D$5),OR('Estado por Colaborador'!$D$6="Todos",'Detalle individual'!F468='Estado por Colaborador'!$D$6)),IF('Detalle individual'!F468="Completado",30000000,IF('Detalle individual'!F468="Pendiente",0,15000000))+COUNTIF('Detalle individual'!$C$5:$C$1000,"&lt;"&amp;'Detalle individual'!C468)*10000+ROW(),""))</f>
        <v/>
      </c>
      <c r="AB468" t="str">
        <f>IF('Detalle individual'!C468="","",IF(COUNTIF('Detalle individual'!$C$5:C468,'Detalle individual'!C468)=1,COUNTIF('Detalle individual'!$C$5:$C$1000,"&lt;"&amp;'Detalle individual'!C468),""))</f>
        <v/>
      </c>
      <c r="AC468" t="str">
        <f>IF('Detalle individual'!D468="","",IF(COUNTIF('Detalle individual'!$D$5:D468,'Detalle individual'!D468)=1,COUNTIF('Detalle individual'!$D$5:$D$1000,"&lt;"&amp;'Detalle individual'!D468),""))</f>
        <v/>
      </c>
      <c r="AH468" t="str">
        <f>IF('Detalle individual'!F468="Pendiente",COUNTIF('Detalle individual'!$D$5:$D$1000,"&lt;"&amp;'Detalle individual'!D468)*1000000+COUNTIF('Detalle individual'!$C$5:$C$1000,"&lt;"&amp;'Detalle individual'!C468)*1000+COUNTIF('Detalle individual'!$B$5:$B$1000,"&lt;"&amp;'Detalle individual'!B468)+ROW()/10000,"")</f>
        <v/>
      </c>
      <c r="AI468" t="str">
        <f>IF('Detalle individual'!F468="Completado",COUNTIF('Detalle individual'!$D$5:$D$1000,"&lt;"&amp;'Detalle individual'!D468)*1000000+COUNTIF('Detalle individual'!$C$5:$C$1000,"&lt;"&amp;'Detalle individual'!C468)*1000+COUNTIF('Detalle individual'!$B$5:$B$1000,"&lt;"&amp;'Detalle individual'!B468)+ROW()/10000,"")</f>
        <v/>
      </c>
      <c r="AJ468" t="str">
        <f>IF(AND('Detalle individual'!F468&lt;&gt;"",'Detalle individual'!F468&lt;&gt;"Completado",'Detalle individual'!F468&lt;&gt;"Pendiente"),COUNTIF('Detalle individual'!$D$5:$D$1000,"&lt;"&amp;'Detalle individual'!D468)*1000000+COUNTIF('Detalle individual'!$C$5:$C$1000,"&lt;"&amp;'Detalle individual'!C468)*1000+COUNTIF('Detalle individual'!$B$5:$B$1000,"&lt;"&amp;'Detalle individual'!B468)+ROW()/10000,"")</f>
        <v/>
      </c>
      <c r="AK468" t="str">
        <f>IF(OR('Base Exámenes'!C468="",'Base Exámenes'!D468=""),"",IF(COUNTIF('Base Exámenes'!$C$5:C468,'Base Exámenes'!C468)=1,'Base Exámenes'!D468+ROW()/1000000000,""))</f>
        <v/>
      </c>
      <c r="AL468" t="str">
        <f>IF(OR('Base Exámenes'!C468="",'Base Exámenes'!E468=""),"",IF(COUNTIF('Base Exámenes'!$C$5:C468,'Base Exámenes'!C468)=1,'Base Exámenes'!E468+ROW()/1000000000,""))</f>
        <v/>
      </c>
      <c r="AM468" t="str">
        <f>IF(OR('Base Exámenes'!C468="",'Base Exámenes'!G468=""),"",IF(ROW()-4=MATCH('Base Exámenes'!C468&amp;"|"&amp;_xlfn.MAXIFS('Base Exámenes'!$G$5:$G$1000,'Base Exámenes'!$C$5:$C$1000,'Base Exámenes'!C468),'Base Exámenes'!$I$5:$I$1000,0),'Base Exámenes'!G468*1000000+(-1)*'Base Exámenes'!D468,""))</f>
        <v/>
      </c>
      <c r="AQ468" t="str">
        <f>IF('Base Exámenes'!C468="","",IF(COUNTIF('Base Exámenes'!$C$5:$C$1000,'Base Exámenes'!C468)&lt;2,"",MATCH('Base Exámenes'!C468,'Base Exámenes'!$C$5:$C$1000,0)*10000+ROW()))</f>
        <v/>
      </c>
    </row>
    <row r="469">
      <c r="Z469" t="str">
        <f>IF('Detalle individual'!A469="","",IF(AND(OR('Estado por Colaborador'!$D$4="Todas las gerencias",'Detalle individual'!D469='Estado por Colaborador'!$D$4),OR('Estado por Colaborador'!$D$5="Todos los departamentos",TRIM('Detalle individual'!C469)='Estado por Colaborador'!$D$5),OR('Estado por Colaborador'!$D$6="Todos",'Detalle individual'!F469='Estado por Colaborador'!$D$6)),IF('Detalle individual'!F469="Completado",30000000,IF('Detalle individual'!F469="Pendiente",0,15000000))+COUNTIF('Detalle individual'!$C$5:$C$1000,"&lt;"&amp;'Detalle individual'!C469)*10000+ROW(),""))</f>
        <v/>
      </c>
      <c r="AB469" t="str">
        <f>IF('Detalle individual'!C469="","",IF(COUNTIF('Detalle individual'!$C$5:C469,'Detalle individual'!C469)=1,COUNTIF('Detalle individual'!$C$5:$C$1000,"&lt;"&amp;'Detalle individual'!C469),""))</f>
        <v/>
      </c>
      <c r="AC469" t="str">
        <f>IF('Detalle individual'!D469="","",IF(COUNTIF('Detalle individual'!$D$5:D469,'Detalle individual'!D469)=1,COUNTIF('Detalle individual'!$D$5:$D$1000,"&lt;"&amp;'Detalle individual'!D469),""))</f>
        <v/>
      </c>
      <c r="AH469" t="str">
        <f>IF('Detalle individual'!F469="Pendiente",COUNTIF('Detalle individual'!$D$5:$D$1000,"&lt;"&amp;'Detalle individual'!D469)*1000000+COUNTIF('Detalle individual'!$C$5:$C$1000,"&lt;"&amp;'Detalle individual'!C469)*1000+COUNTIF('Detalle individual'!$B$5:$B$1000,"&lt;"&amp;'Detalle individual'!B469)+ROW()/10000,"")</f>
        <v/>
      </c>
      <c r="AI469" t="str">
        <f>IF('Detalle individual'!F469="Completado",COUNTIF('Detalle individual'!$D$5:$D$1000,"&lt;"&amp;'Detalle individual'!D469)*1000000+COUNTIF('Detalle individual'!$C$5:$C$1000,"&lt;"&amp;'Detalle individual'!C469)*1000+COUNTIF('Detalle individual'!$B$5:$B$1000,"&lt;"&amp;'Detalle individual'!B469)+ROW()/10000,"")</f>
        <v/>
      </c>
      <c r="AJ469" t="str">
        <f>IF(AND('Detalle individual'!F469&lt;&gt;"",'Detalle individual'!F469&lt;&gt;"Completado",'Detalle individual'!F469&lt;&gt;"Pendiente"),COUNTIF('Detalle individual'!$D$5:$D$1000,"&lt;"&amp;'Detalle individual'!D469)*1000000+COUNTIF('Detalle individual'!$C$5:$C$1000,"&lt;"&amp;'Detalle individual'!C469)*1000+COUNTIF('Detalle individual'!$B$5:$B$1000,"&lt;"&amp;'Detalle individual'!B469)+ROW()/10000,"")</f>
        <v/>
      </c>
      <c r="AK469" t="str">
        <f>IF(OR('Base Exámenes'!C469="",'Base Exámenes'!D469=""),"",IF(COUNTIF('Base Exámenes'!$C$5:C469,'Base Exámenes'!C469)=1,'Base Exámenes'!D469+ROW()/1000000000,""))</f>
        <v/>
      </c>
      <c r="AL469" t="str">
        <f>IF(OR('Base Exámenes'!C469="",'Base Exámenes'!E469=""),"",IF(COUNTIF('Base Exámenes'!$C$5:C469,'Base Exámenes'!C469)=1,'Base Exámenes'!E469+ROW()/1000000000,""))</f>
        <v/>
      </c>
      <c r="AM469" t="str">
        <f>IF(OR('Base Exámenes'!C469="",'Base Exámenes'!G469=""),"",IF(ROW()-4=MATCH('Base Exámenes'!C469&amp;"|"&amp;_xlfn.MAXIFS('Base Exámenes'!$G$5:$G$1000,'Base Exámenes'!$C$5:$C$1000,'Base Exámenes'!C469),'Base Exámenes'!$I$5:$I$1000,0),'Base Exámenes'!G469*1000000+(-1)*'Base Exámenes'!D469,""))</f>
        <v/>
      </c>
      <c r="AQ469" t="str">
        <f>IF('Base Exámenes'!C469="","",IF(COUNTIF('Base Exámenes'!$C$5:$C$1000,'Base Exámenes'!C469)&lt;2,"",MATCH('Base Exámenes'!C469,'Base Exámenes'!$C$5:$C$1000,0)*10000+ROW()))</f>
        <v/>
      </c>
    </row>
    <row r="470">
      <c r="Z470" t="str">
        <f>IF('Detalle individual'!A470="","",IF(AND(OR('Estado por Colaborador'!$D$4="Todas las gerencias",'Detalle individual'!D470='Estado por Colaborador'!$D$4),OR('Estado por Colaborador'!$D$5="Todos los departamentos",TRIM('Detalle individual'!C470)='Estado por Colaborador'!$D$5),OR('Estado por Colaborador'!$D$6="Todos",'Detalle individual'!F470='Estado por Colaborador'!$D$6)),IF('Detalle individual'!F470="Completado",30000000,IF('Detalle individual'!F470="Pendiente",0,15000000))+COUNTIF('Detalle individual'!$C$5:$C$1000,"&lt;"&amp;'Detalle individual'!C470)*10000+ROW(),""))</f>
        <v/>
      </c>
      <c r="AB470" t="str">
        <f>IF('Detalle individual'!C470="","",IF(COUNTIF('Detalle individual'!$C$5:C470,'Detalle individual'!C470)=1,COUNTIF('Detalle individual'!$C$5:$C$1000,"&lt;"&amp;'Detalle individual'!C470),""))</f>
        <v/>
      </c>
      <c r="AC470" t="str">
        <f>IF('Detalle individual'!D470="","",IF(COUNTIF('Detalle individual'!$D$5:D470,'Detalle individual'!D470)=1,COUNTIF('Detalle individual'!$D$5:$D$1000,"&lt;"&amp;'Detalle individual'!D470),""))</f>
        <v/>
      </c>
      <c r="AH470" t="str">
        <f>IF('Detalle individual'!F470="Pendiente",COUNTIF('Detalle individual'!$D$5:$D$1000,"&lt;"&amp;'Detalle individual'!D470)*1000000+COUNTIF('Detalle individual'!$C$5:$C$1000,"&lt;"&amp;'Detalle individual'!C470)*1000+COUNTIF('Detalle individual'!$B$5:$B$1000,"&lt;"&amp;'Detalle individual'!B470)+ROW()/10000,"")</f>
        <v/>
      </c>
      <c r="AI470" t="str">
        <f>IF('Detalle individual'!F470="Completado",COUNTIF('Detalle individual'!$D$5:$D$1000,"&lt;"&amp;'Detalle individual'!D470)*1000000+COUNTIF('Detalle individual'!$C$5:$C$1000,"&lt;"&amp;'Detalle individual'!C470)*1000+COUNTIF('Detalle individual'!$B$5:$B$1000,"&lt;"&amp;'Detalle individual'!B470)+ROW()/10000,"")</f>
        <v/>
      </c>
      <c r="AJ470" t="str">
        <f>IF(AND('Detalle individual'!F470&lt;&gt;"",'Detalle individual'!F470&lt;&gt;"Completado",'Detalle individual'!F470&lt;&gt;"Pendiente"),COUNTIF('Detalle individual'!$D$5:$D$1000,"&lt;"&amp;'Detalle individual'!D470)*1000000+COUNTIF('Detalle individual'!$C$5:$C$1000,"&lt;"&amp;'Detalle individual'!C470)*1000+COUNTIF('Detalle individual'!$B$5:$B$1000,"&lt;"&amp;'Detalle individual'!B470)+ROW()/10000,"")</f>
        <v/>
      </c>
      <c r="AK470" t="str">
        <f>IF(OR('Base Exámenes'!C470="",'Base Exámenes'!D470=""),"",IF(COUNTIF('Base Exámenes'!$C$5:C470,'Base Exámenes'!C470)=1,'Base Exámenes'!D470+ROW()/1000000000,""))</f>
        <v/>
      </c>
      <c r="AL470" t="str">
        <f>IF(OR('Base Exámenes'!C470="",'Base Exámenes'!E470=""),"",IF(COUNTIF('Base Exámenes'!$C$5:C470,'Base Exámenes'!C470)=1,'Base Exámenes'!E470+ROW()/1000000000,""))</f>
        <v/>
      </c>
      <c r="AM470" t="str">
        <f>IF(OR('Base Exámenes'!C470="",'Base Exámenes'!G470=""),"",IF(ROW()-4=MATCH('Base Exámenes'!C470&amp;"|"&amp;_xlfn.MAXIFS('Base Exámenes'!$G$5:$G$1000,'Base Exámenes'!$C$5:$C$1000,'Base Exámenes'!C470),'Base Exámenes'!$I$5:$I$1000,0),'Base Exámenes'!G470*1000000+(-1)*'Base Exámenes'!D470,""))</f>
        <v/>
      </c>
      <c r="AQ470" t="str">
        <f>IF('Base Exámenes'!C470="","",IF(COUNTIF('Base Exámenes'!$C$5:$C$1000,'Base Exámenes'!C470)&lt;2,"",MATCH('Base Exámenes'!C470,'Base Exámenes'!$C$5:$C$1000,0)*10000+ROW()))</f>
        <v/>
      </c>
    </row>
    <row r="471">
      <c r="Z471" t="str">
        <f>IF('Detalle individual'!A471="","",IF(AND(OR('Estado por Colaborador'!$D$4="Todas las gerencias",'Detalle individual'!D471='Estado por Colaborador'!$D$4),OR('Estado por Colaborador'!$D$5="Todos los departamentos",TRIM('Detalle individual'!C471)='Estado por Colaborador'!$D$5),OR('Estado por Colaborador'!$D$6="Todos",'Detalle individual'!F471='Estado por Colaborador'!$D$6)),IF('Detalle individual'!F471="Completado",30000000,IF('Detalle individual'!F471="Pendiente",0,15000000))+COUNTIF('Detalle individual'!$C$5:$C$1000,"&lt;"&amp;'Detalle individual'!C471)*10000+ROW(),""))</f>
        <v/>
      </c>
      <c r="AB471" t="str">
        <f>IF('Detalle individual'!C471="","",IF(COUNTIF('Detalle individual'!$C$5:C471,'Detalle individual'!C471)=1,COUNTIF('Detalle individual'!$C$5:$C$1000,"&lt;"&amp;'Detalle individual'!C471),""))</f>
        <v/>
      </c>
      <c r="AC471" t="str">
        <f>IF('Detalle individual'!D471="","",IF(COUNTIF('Detalle individual'!$D$5:D471,'Detalle individual'!D471)=1,COUNTIF('Detalle individual'!$D$5:$D$1000,"&lt;"&amp;'Detalle individual'!D471),""))</f>
        <v/>
      </c>
      <c r="AH471" t="str">
        <f>IF('Detalle individual'!F471="Pendiente",COUNTIF('Detalle individual'!$D$5:$D$1000,"&lt;"&amp;'Detalle individual'!D471)*1000000+COUNTIF('Detalle individual'!$C$5:$C$1000,"&lt;"&amp;'Detalle individual'!C471)*1000+COUNTIF('Detalle individual'!$B$5:$B$1000,"&lt;"&amp;'Detalle individual'!B471)+ROW()/10000,"")</f>
        <v/>
      </c>
      <c r="AI471" t="str">
        <f>IF('Detalle individual'!F471="Completado",COUNTIF('Detalle individual'!$D$5:$D$1000,"&lt;"&amp;'Detalle individual'!D471)*1000000+COUNTIF('Detalle individual'!$C$5:$C$1000,"&lt;"&amp;'Detalle individual'!C471)*1000+COUNTIF('Detalle individual'!$B$5:$B$1000,"&lt;"&amp;'Detalle individual'!B471)+ROW()/10000,"")</f>
        <v/>
      </c>
      <c r="AJ471" t="str">
        <f>IF(AND('Detalle individual'!F471&lt;&gt;"",'Detalle individual'!F471&lt;&gt;"Completado",'Detalle individual'!F471&lt;&gt;"Pendiente"),COUNTIF('Detalle individual'!$D$5:$D$1000,"&lt;"&amp;'Detalle individual'!D471)*1000000+COUNTIF('Detalle individual'!$C$5:$C$1000,"&lt;"&amp;'Detalle individual'!C471)*1000+COUNTIF('Detalle individual'!$B$5:$B$1000,"&lt;"&amp;'Detalle individual'!B471)+ROW()/10000,"")</f>
        <v/>
      </c>
      <c r="AK471" t="str">
        <f>IF(OR('Base Exámenes'!C471="",'Base Exámenes'!D471=""),"",IF(COUNTIF('Base Exámenes'!$C$5:C471,'Base Exámenes'!C471)=1,'Base Exámenes'!D471+ROW()/1000000000,""))</f>
        <v/>
      </c>
      <c r="AL471" t="str">
        <f>IF(OR('Base Exámenes'!C471="",'Base Exámenes'!E471=""),"",IF(COUNTIF('Base Exámenes'!$C$5:C471,'Base Exámenes'!C471)=1,'Base Exámenes'!E471+ROW()/1000000000,""))</f>
        <v/>
      </c>
      <c r="AM471" t="str">
        <f>IF(OR('Base Exámenes'!C471="",'Base Exámenes'!G471=""),"",IF(ROW()-4=MATCH('Base Exámenes'!C471&amp;"|"&amp;_xlfn.MAXIFS('Base Exámenes'!$G$5:$G$1000,'Base Exámenes'!$C$5:$C$1000,'Base Exámenes'!C471),'Base Exámenes'!$I$5:$I$1000,0),'Base Exámenes'!G471*1000000+(-1)*'Base Exámenes'!D471,""))</f>
        <v/>
      </c>
      <c r="AQ471" t="str">
        <f>IF('Base Exámenes'!C471="","",IF(COUNTIF('Base Exámenes'!$C$5:$C$1000,'Base Exámenes'!C471)&lt;2,"",MATCH('Base Exámenes'!C471,'Base Exámenes'!$C$5:$C$1000,0)*10000+ROW()))</f>
        <v/>
      </c>
    </row>
    <row r="472">
      <c r="Z472" t="str">
        <f>IF('Detalle individual'!A472="","",IF(AND(OR('Estado por Colaborador'!$D$4="Todas las gerencias",'Detalle individual'!D472='Estado por Colaborador'!$D$4),OR('Estado por Colaborador'!$D$5="Todos los departamentos",TRIM('Detalle individual'!C472)='Estado por Colaborador'!$D$5),OR('Estado por Colaborador'!$D$6="Todos",'Detalle individual'!F472='Estado por Colaborador'!$D$6)),IF('Detalle individual'!F472="Completado",30000000,IF('Detalle individual'!F472="Pendiente",0,15000000))+COUNTIF('Detalle individual'!$C$5:$C$1000,"&lt;"&amp;'Detalle individual'!C472)*10000+ROW(),""))</f>
        <v/>
      </c>
      <c r="AB472" t="str">
        <f>IF('Detalle individual'!C472="","",IF(COUNTIF('Detalle individual'!$C$5:C472,'Detalle individual'!C472)=1,COUNTIF('Detalle individual'!$C$5:$C$1000,"&lt;"&amp;'Detalle individual'!C472),""))</f>
        <v/>
      </c>
      <c r="AC472" t="str">
        <f>IF('Detalle individual'!D472="","",IF(COUNTIF('Detalle individual'!$D$5:D472,'Detalle individual'!D472)=1,COUNTIF('Detalle individual'!$D$5:$D$1000,"&lt;"&amp;'Detalle individual'!D472),""))</f>
        <v/>
      </c>
      <c r="AH472" t="str">
        <f>IF('Detalle individual'!F472="Pendiente",COUNTIF('Detalle individual'!$D$5:$D$1000,"&lt;"&amp;'Detalle individual'!D472)*1000000+COUNTIF('Detalle individual'!$C$5:$C$1000,"&lt;"&amp;'Detalle individual'!C472)*1000+COUNTIF('Detalle individual'!$B$5:$B$1000,"&lt;"&amp;'Detalle individual'!B472)+ROW()/10000,"")</f>
        <v/>
      </c>
      <c r="AI472" t="str">
        <f>IF('Detalle individual'!F472="Completado",COUNTIF('Detalle individual'!$D$5:$D$1000,"&lt;"&amp;'Detalle individual'!D472)*1000000+COUNTIF('Detalle individual'!$C$5:$C$1000,"&lt;"&amp;'Detalle individual'!C472)*1000+COUNTIF('Detalle individual'!$B$5:$B$1000,"&lt;"&amp;'Detalle individual'!B472)+ROW()/10000,"")</f>
        <v/>
      </c>
      <c r="AJ472" t="str">
        <f>IF(AND('Detalle individual'!F472&lt;&gt;"",'Detalle individual'!F472&lt;&gt;"Completado",'Detalle individual'!F472&lt;&gt;"Pendiente"),COUNTIF('Detalle individual'!$D$5:$D$1000,"&lt;"&amp;'Detalle individual'!D472)*1000000+COUNTIF('Detalle individual'!$C$5:$C$1000,"&lt;"&amp;'Detalle individual'!C472)*1000+COUNTIF('Detalle individual'!$B$5:$B$1000,"&lt;"&amp;'Detalle individual'!B472)+ROW()/10000,"")</f>
        <v/>
      </c>
      <c r="AK472" t="str">
        <f>IF(OR('Base Exámenes'!C472="",'Base Exámenes'!D472=""),"",IF(COUNTIF('Base Exámenes'!$C$5:C472,'Base Exámenes'!C472)=1,'Base Exámenes'!D472+ROW()/1000000000,""))</f>
        <v/>
      </c>
      <c r="AL472" t="str">
        <f>IF(OR('Base Exámenes'!C472="",'Base Exámenes'!E472=""),"",IF(COUNTIF('Base Exámenes'!$C$5:C472,'Base Exámenes'!C472)=1,'Base Exámenes'!E472+ROW()/1000000000,""))</f>
        <v/>
      </c>
      <c r="AM472" t="str">
        <f>IF(OR('Base Exámenes'!C472="",'Base Exámenes'!G472=""),"",IF(ROW()-4=MATCH('Base Exámenes'!C472&amp;"|"&amp;_xlfn.MAXIFS('Base Exámenes'!$G$5:$G$1000,'Base Exámenes'!$C$5:$C$1000,'Base Exámenes'!C472),'Base Exámenes'!$I$5:$I$1000,0),'Base Exámenes'!G472*1000000+(-1)*'Base Exámenes'!D472,""))</f>
        <v/>
      </c>
      <c r="AQ472" t="str">
        <f>IF('Base Exámenes'!C472="","",IF(COUNTIF('Base Exámenes'!$C$5:$C$1000,'Base Exámenes'!C472)&lt;2,"",MATCH('Base Exámenes'!C472,'Base Exámenes'!$C$5:$C$1000,0)*10000+ROW()))</f>
        <v/>
      </c>
    </row>
    <row r="473">
      <c r="Z473" t="str">
        <f>IF('Detalle individual'!A473="","",IF(AND(OR('Estado por Colaborador'!$D$4="Todas las gerencias",'Detalle individual'!D473='Estado por Colaborador'!$D$4),OR('Estado por Colaborador'!$D$5="Todos los departamentos",TRIM('Detalle individual'!C473)='Estado por Colaborador'!$D$5),OR('Estado por Colaborador'!$D$6="Todos",'Detalle individual'!F473='Estado por Colaborador'!$D$6)),IF('Detalle individual'!F473="Completado",30000000,IF('Detalle individual'!F473="Pendiente",0,15000000))+COUNTIF('Detalle individual'!$C$5:$C$1000,"&lt;"&amp;'Detalle individual'!C473)*10000+ROW(),""))</f>
        <v/>
      </c>
      <c r="AB473" t="str">
        <f>IF('Detalle individual'!C473="","",IF(COUNTIF('Detalle individual'!$C$5:C473,'Detalle individual'!C473)=1,COUNTIF('Detalle individual'!$C$5:$C$1000,"&lt;"&amp;'Detalle individual'!C473),""))</f>
        <v/>
      </c>
      <c r="AC473" t="str">
        <f>IF('Detalle individual'!D473="","",IF(COUNTIF('Detalle individual'!$D$5:D473,'Detalle individual'!D473)=1,COUNTIF('Detalle individual'!$D$5:$D$1000,"&lt;"&amp;'Detalle individual'!D473),""))</f>
        <v/>
      </c>
      <c r="AH473" t="str">
        <f>IF('Detalle individual'!F473="Pendiente",COUNTIF('Detalle individual'!$D$5:$D$1000,"&lt;"&amp;'Detalle individual'!D473)*1000000+COUNTIF('Detalle individual'!$C$5:$C$1000,"&lt;"&amp;'Detalle individual'!C473)*1000+COUNTIF('Detalle individual'!$B$5:$B$1000,"&lt;"&amp;'Detalle individual'!B473)+ROW()/10000,"")</f>
        <v/>
      </c>
      <c r="AI473" t="str">
        <f>IF('Detalle individual'!F473="Completado",COUNTIF('Detalle individual'!$D$5:$D$1000,"&lt;"&amp;'Detalle individual'!D473)*1000000+COUNTIF('Detalle individual'!$C$5:$C$1000,"&lt;"&amp;'Detalle individual'!C473)*1000+COUNTIF('Detalle individual'!$B$5:$B$1000,"&lt;"&amp;'Detalle individual'!B473)+ROW()/10000,"")</f>
        <v/>
      </c>
      <c r="AJ473" t="str">
        <f>IF(AND('Detalle individual'!F473&lt;&gt;"",'Detalle individual'!F473&lt;&gt;"Completado",'Detalle individual'!F473&lt;&gt;"Pendiente"),COUNTIF('Detalle individual'!$D$5:$D$1000,"&lt;"&amp;'Detalle individual'!D473)*1000000+COUNTIF('Detalle individual'!$C$5:$C$1000,"&lt;"&amp;'Detalle individual'!C473)*1000+COUNTIF('Detalle individual'!$B$5:$B$1000,"&lt;"&amp;'Detalle individual'!B473)+ROW()/10000,"")</f>
        <v/>
      </c>
      <c r="AK473" t="str">
        <f>IF(OR('Base Exámenes'!C473="",'Base Exámenes'!D473=""),"",IF(COUNTIF('Base Exámenes'!$C$5:C473,'Base Exámenes'!C473)=1,'Base Exámenes'!D473+ROW()/1000000000,""))</f>
        <v/>
      </c>
      <c r="AL473" t="str">
        <f>IF(OR('Base Exámenes'!C473="",'Base Exámenes'!E473=""),"",IF(COUNTIF('Base Exámenes'!$C$5:C473,'Base Exámenes'!C473)=1,'Base Exámenes'!E473+ROW()/1000000000,""))</f>
        <v/>
      </c>
      <c r="AM473" t="str">
        <f>IF(OR('Base Exámenes'!C473="",'Base Exámenes'!G473=""),"",IF(ROW()-4=MATCH('Base Exámenes'!C473&amp;"|"&amp;_xlfn.MAXIFS('Base Exámenes'!$G$5:$G$1000,'Base Exámenes'!$C$5:$C$1000,'Base Exámenes'!C473),'Base Exámenes'!$I$5:$I$1000,0),'Base Exámenes'!G473*1000000+(-1)*'Base Exámenes'!D473,""))</f>
        <v/>
      </c>
      <c r="AQ473" t="str">
        <f>IF('Base Exámenes'!C473="","",IF(COUNTIF('Base Exámenes'!$C$5:$C$1000,'Base Exámenes'!C473)&lt;2,"",MATCH('Base Exámenes'!C473,'Base Exámenes'!$C$5:$C$1000,0)*10000+ROW()))</f>
        <v/>
      </c>
    </row>
    <row r="474">
      <c r="Z474" t="str">
        <f>IF('Detalle individual'!A474="","",IF(AND(OR('Estado por Colaborador'!$D$4="Todas las gerencias",'Detalle individual'!D474='Estado por Colaborador'!$D$4),OR('Estado por Colaborador'!$D$5="Todos los departamentos",TRIM('Detalle individual'!C474)='Estado por Colaborador'!$D$5),OR('Estado por Colaborador'!$D$6="Todos",'Detalle individual'!F474='Estado por Colaborador'!$D$6)),IF('Detalle individual'!F474="Completado",30000000,IF('Detalle individual'!F474="Pendiente",0,15000000))+COUNTIF('Detalle individual'!$C$5:$C$1000,"&lt;"&amp;'Detalle individual'!C474)*10000+ROW(),""))</f>
        <v/>
      </c>
      <c r="AB474" t="str">
        <f>IF('Detalle individual'!C474="","",IF(COUNTIF('Detalle individual'!$C$5:C474,'Detalle individual'!C474)=1,COUNTIF('Detalle individual'!$C$5:$C$1000,"&lt;"&amp;'Detalle individual'!C474),""))</f>
        <v/>
      </c>
      <c r="AC474" t="str">
        <f>IF('Detalle individual'!D474="","",IF(COUNTIF('Detalle individual'!$D$5:D474,'Detalle individual'!D474)=1,COUNTIF('Detalle individual'!$D$5:$D$1000,"&lt;"&amp;'Detalle individual'!D474),""))</f>
        <v/>
      </c>
      <c r="AH474" t="str">
        <f>IF('Detalle individual'!F474="Pendiente",COUNTIF('Detalle individual'!$D$5:$D$1000,"&lt;"&amp;'Detalle individual'!D474)*1000000+COUNTIF('Detalle individual'!$C$5:$C$1000,"&lt;"&amp;'Detalle individual'!C474)*1000+COUNTIF('Detalle individual'!$B$5:$B$1000,"&lt;"&amp;'Detalle individual'!B474)+ROW()/10000,"")</f>
        <v/>
      </c>
      <c r="AI474" t="str">
        <f>IF('Detalle individual'!F474="Completado",COUNTIF('Detalle individual'!$D$5:$D$1000,"&lt;"&amp;'Detalle individual'!D474)*1000000+COUNTIF('Detalle individual'!$C$5:$C$1000,"&lt;"&amp;'Detalle individual'!C474)*1000+COUNTIF('Detalle individual'!$B$5:$B$1000,"&lt;"&amp;'Detalle individual'!B474)+ROW()/10000,"")</f>
        <v/>
      </c>
      <c r="AJ474" t="str">
        <f>IF(AND('Detalle individual'!F474&lt;&gt;"",'Detalle individual'!F474&lt;&gt;"Completado",'Detalle individual'!F474&lt;&gt;"Pendiente"),COUNTIF('Detalle individual'!$D$5:$D$1000,"&lt;"&amp;'Detalle individual'!D474)*1000000+COUNTIF('Detalle individual'!$C$5:$C$1000,"&lt;"&amp;'Detalle individual'!C474)*1000+COUNTIF('Detalle individual'!$B$5:$B$1000,"&lt;"&amp;'Detalle individual'!B474)+ROW()/10000,"")</f>
        <v/>
      </c>
      <c r="AK474" t="str">
        <f>IF(OR('Base Exámenes'!C474="",'Base Exámenes'!D474=""),"",IF(COUNTIF('Base Exámenes'!$C$5:C474,'Base Exámenes'!C474)=1,'Base Exámenes'!D474+ROW()/1000000000,""))</f>
        <v/>
      </c>
      <c r="AL474" t="str">
        <f>IF(OR('Base Exámenes'!C474="",'Base Exámenes'!E474=""),"",IF(COUNTIF('Base Exámenes'!$C$5:C474,'Base Exámenes'!C474)=1,'Base Exámenes'!E474+ROW()/1000000000,""))</f>
        <v/>
      </c>
      <c r="AM474" t="str">
        <f>IF(OR('Base Exámenes'!C474="",'Base Exámenes'!G474=""),"",IF(ROW()-4=MATCH('Base Exámenes'!C474&amp;"|"&amp;_xlfn.MAXIFS('Base Exámenes'!$G$5:$G$1000,'Base Exámenes'!$C$5:$C$1000,'Base Exámenes'!C474),'Base Exámenes'!$I$5:$I$1000,0),'Base Exámenes'!G474*1000000+(-1)*'Base Exámenes'!D474,""))</f>
        <v/>
      </c>
      <c r="AQ474" t="str">
        <f>IF('Base Exámenes'!C474="","",IF(COUNTIF('Base Exámenes'!$C$5:$C$1000,'Base Exámenes'!C474)&lt;2,"",MATCH('Base Exámenes'!C474,'Base Exámenes'!$C$5:$C$1000,0)*10000+ROW()))</f>
        <v/>
      </c>
    </row>
    <row r="475">
      <c r="Z475" t="str">
        <f>IF('Detalle individual'!A475="","",IF(AND(OR('Estado por Colaborador'!$D$4="Todas las gerencias",'Detalle individual'!D475='Estado por Colaborador'!$D$4),OR('Estado por Colaborador'!$D$5="Todos los departamentos",TRIM('Detalle individual'!C475)='Estado por Colaborador'!$D$5),OR('Estado por Colaborador'!$D$6="Todos",'Detalle individual'!F475='Estado por Colaborador'!$D$6)),IF('Detalle individual'!F475="Completado",30000000,IF('Detalle individual'!F475="Pendiente",0,15000000))+COUNTIF('Detalle individual'!$C$5:$C$1000,"&lt;"&amp;'Detalle individual'!C475)*10000+ROW(),""))</f>
        <v/>
      </c>
      <c r="AB475" t="str">
        <f>IF('Detalle individual'!C475="","",IF(COUNTIF('Detalle individual'!$C$5:C475,'Detalle individual'!C475)=1,COUNTIF('Detalle individual'!$C$5:$C$1000,"&lt;"&amp;'Detalle individual'!C475),""))</f>
        <v/>
      </c>
      <c r="AC475" t="str">
        <f>IF('Detalle individual'!D475="","",IF(COUNTIF('Detalle individual'!$D$5:D475,'Detalle individual'!D475)=1,COUNTIF('Detalle individual'!$D$5:$D$1000,"&lt;"&amp;'Detalle individual'!D475),""))</f>
        <v/>
      </c>
      <c r="AH475" t="str">
        <f>IF('Detalle individual'!F475="Pendiente",COUNTIF('Detalle individual'!$D$5:$D$1000,"&lt;"&amp;'Detalle individual'!D475)*1000000+COUNTIF('Detalle individual'!$C$5:$C$1000,"&lt;"&amp;'Detalle individual'!C475)*1000+COUNTIF('Detalle individual'!$B$5:$B$1000,"&lt;"&amp;'Detalle individual'!B475)+ROW()/10000,"")</f>
        <v/>
      </c>
      <c r="AI475" t="str">
        <f>IF('Detalle individual'!F475="Completado",COUNTIF('Detalle individual'!$D$5:$D$1000,"&lt;"&amp;'Detalle individual'!D475)*1000000+COUNTIF('Detalle individual'!$C$5:$C$1000,"&lt;"&amp;'Detalle individual'!C475)*1000+COUNTIF('Detalle individual'!$B$5:$B$1000,"&lt;"&amp;'Detalle individual'!B475)+ROW()/10000,"")</f>
        <v/>
      </c>
      <c r="AJ475" t="str">
        <f>IF(AND('Detalle individual'!F475&lt;&gt;"",'Detalle individual'!F475&lt;&gt;"Completado",'Detalle individual'!F475&lt;&gt;"Pendiente"),COUNTIF('Detalle individual'!$D$5:$D$1000,"&lt;"&amp;'Detalle individual'!D475)*1000000+COUNTIF('Detalle individual'!$C$5:$C$1000,"&lt;"&amp;'Detalle individual'!C475)*1000+COUNTIF('Detalle individual'!$B$5:$B$1000,"&lt;"&amp;'Detalle individual'!B475)+ROW()/10000,"")</f>
        <v/>
      </c>
      <c r="AK475" t="str">
        <f>IF(OR('Base Exámenes'!C475="",'Base Exámenes'!D475=""),"",IF(COUNTIF('Base Exámenes'!$C$5:C475,'Base Exámenes'!C475)=1,'Base Exámenes'!D475+ROW()/1000000000,""))</f>
        <v/>
      </c>
      <c r="AL475" t="str">
        <f>IF(OR('Base Exámenes'!C475="",'Base Exámenes'!E475=""),"",IF(COUNTIF('Base Exámenes'!$C$5:C475,'Base Exámenes'!C475)=1,'Base Exámenes'!E475+ROW()/1000000000,""))</f>
        <v/>
      </c>
      <c r="AM475" t="str">
        <f>IF(OR('Base Exámenes'!C475="",'Base Exámenes'!G475=""),"",IF(ROW()-4=MATCH('Base Exámenes'!C475&amp;"|"&amp;_xlfn.MAXIFS('Base Exámenes'!$G$5:$G$1000,'Base Exámenes'!$C$5:$C$1000,'Base Exámenes'!C475),'Base Exámenes'!$I$5:$I$1000,0),'Base Exámenes'!G475*1000000+(-1)*'Base Exámenes'!D475,""))</f>
        <v/>
      </c>
      <c r="AQ475" t="str">
        <f>IF('Base Exámenes'!C475="","",IF(COUNTIF('Base Exámenes'!$C$5:$C$1000,'Base Exámenes'!C475)&lt;2,"",MATCH('Base Exámenes'!C475,'Base Exámenes'!$C$5:$C$1000,0)*10000+ROW()))</f>
        <v/>
      </c>
    </row>
    <row r="476">
      <c r="Z476" t="str">
        <f>IF('Detalle individual'!A476="","",IF(AND(OR('Estado por Colaborador'!$D$4="Todas las gerencias",'Detalle individual'!D476='Estado por Colaborador'!$D$4),OR('Estado por Colaborador'!$D$5="Todos los departamentos",TRIM('Detalle individual'!C476)='Estado por Colaborador'!$D$5),OR('Estado por Colaborador'!$D$6="Todos",'Detalle individual'!F476='Estado por Colaborador'!$D$6)),IF('Detalle individual'!F476="Completado",30000000,IF('Detalle individual'!F476="Pendiente",0,15000000))+COUNTIF('Detalle individual'!$C$5:$C$1000,"&lt;"&amp;'Detalle individual'!C476)*10000+ROW(),""))</f>
        <v/>
      </c>
      <c r="AB476" t="str">
        <f>IF('Detalle individual'!C476="","",IF(COUNTIF('Detalle individual'!$C$5:C476,'Detalle individual'!C476)=1,COUNTIF('Detalle individual'!$C$5:$C$1000,"&lt;"&amp;'Detalle individual'!C476),""))</f>
        <v/>
      </c>
      <c r="AC476" t="str">
        <f>IF('Detalle individual'!D476="","",IF(COUNTIF('Detalle individual'!$D$5:D476,'Detalle individual'!D476)=1,COUNTIF('Detalle individual'!$D$5:$D$1000,"&lt;"&amp;'Detalle individual'!D476),""))</f>
        <v/>
      </c>
      <c r="AH476" t="str">
        <f>IF('Detalle individual'!F476="Pendiente",COUNTIF('Detalle individual'!$D$5:$D$1000,"&lt;"&amp;'Detalle individual'!D476)*1000000+COUNTIF('Detalle individual'!$C$5:$C$1000,"&lt;"&amp;'Detalle individual'!C476)*1000+COUNTIF('Detalle individual'!$B$5:$B$1000,"&lt;"&amp;'Detalle individual'!B476)+ROW()/10000,"")</f>
        <v/>
      </c>
      <c r="AI476" t="str">
        <f>IF('Detalle individual'!F476="Completado",COUNTIF('Detalle individual'!$D$5:$D$1000,"&lt;"&amp;'Detalle individual'!D476)*1000000+COUNTIF('Detalle individual'!$C$5:$C$1000,"&lt;"&amp;'Detalle individual'!C476)*1000+COUNTIF('Detalle individual'!$B$5:$B$1000,"&lt;"&amp;'Detalle individual'!B476)+ROW()/10000,"")</f>
        <v/>
      </c>
      <c r="AJ476" t="str">
        <f>IF(AND('Detalle individual'!F476&lt;&gt;"",'Detalle individual'!F476&lt;&gt;"Completado",'Detalle individual'!F476&lt;&gt;"Pendiente"),COUNTIF('Detalle individual'!$D$5:$D$1000,"&lt;"&amp;'Detalle individual'!D476)*1000000+COUNTIF('Detalle individual'!$C$5:$C$1000,"&lt;"&amp;'Detalle individual'!C476)*1000+COUNTIF('Detalle individual'!$B$5:$B$1000,"&lt;"&amp;'Detalle individual'!B476)+ROW()/10000,"")</f>
        <v/>
      </c>
      <c r="AK476" t="str">
        <f>IF(OR('Base Exámenes'!C476="",'Base Exámenes'!D476=""),"",IF(COUNTIF('Base Exámenes'!$C$5:C476,'Base Exámenes'!C476)=1,'Base Exámenes'!D476+ROW()/1000000000,""))</f>
        <v/>
      </c>
      <c r="AL476" t="str">
        <f>IF(OR('Base Exámenes'!C476="",'Base Exámenes'!E476=""),"",IF(COUNTIF('Base Exámenes'!$C$5:C476,'Base Exámenes'!C476)=1,'Base Exámenes'!E476+ROW()/1000000000,""))</f>
        <v/>
      </c>
      <c r="AM476" t="str">
        <f>IF(OR('Base Exámenes'!C476="",'Base Exámenes'!G476=""),"",IF(ROW()-4=MATCH('Base Exámenes'!C476&amp;"|"&amp;_xlfn.MAXIFS('Base Exámenes'!$G$5:$G$1000,'Base Exámenes'!$C$5:$C$1000,'Base Exámenes'!C476),'Base Exámenes'!$I$5:$I$1000,0),'Base Exámenes'!G476*1000000+(-1)*'Base Exámenes'!D476,""))</f>
        <v/>
      </c>
      <c r="AQ476" t="str">
        <f>IF('Base Exámenes'!C476="","",IF(COUNTIF('Base Exámenes'!$C$5:$C$1000,'Base Exámenes'!C476)&lt;2,"",MATCH('Base Exámenes'!C476,'Base Exámenes'!$C$5:$C$1000,0)*10000+ROW()))</f>
        <v/>
      </c>
    </row>
    <row r="477">
      <c r="Z477" t="str">
        <f>IF('Detalle individual'!A477="","",IF(AND(OR('Estado por Colaborador'!$D$4="Todas las gerencias",'Detalle individual'!D477='Estado por Colaborador'!$D$4),OR('Estado por Colaborador'!$D$5="Todos los departamentos",TRIM('Detalle individual'!C477)='Estado por Colaborador'!$D$5),OR('Estado por Colaborador'!$D$6="Todos",'Detalle individual'!F477='Estado por Colaborador'!$D$6)),IF('Detalle individual'!F477="Completado",30000000,IF('Detalle individual'!F477="Pendiente",0,15000000))+COUNTIF('Detalle individual'!$C$5:$C$1000,"&lt;"&amp;'Detalle individual'!C477)*10000+ROW(),""))</f>
        <v/>
      </c>
      <c r="AB477" t="str">
        <f>IF('Detalle individual'!C477="","",IF(COUNTIF('Detalle individual'!$C$5:C477,'Detalle individual'!C477)=1,COUNTIF('Detalle individual'!$C$5:$C$1000,"&lt;"&amp;'Detalle individual'!C477),""))</f>
        <v/>
      </c>
      <c r="AC477" t="str">
        <f>IF('Detalle individual'!D477="","",IF(COUNTIF('Detalle individual'!$D$5:D477,'Detalle individual'!D477)=1,COUNTIF('Detalle individual'!$D$5:$D$1000,"&lt;"&amp;'Detalle individual'!D477),""))</f>
        <v/>
      </c>
      <c r="AH477" t="str">
        <f>IF('Detalle individual'!F477="Pendiente",COUNTIF('Detalle individual'!$D$5:$D$1000,"&lt;"&amp;'Detalle individual'!D477)*1000000+COUNTIF('Detalle individual'!$C$5:$C$1000,"&lt;"&amp;'Detalle individual'!C477)*1000+COUNTIF('Detalle individual'!$B$5:$B$1000,"&lt;"&amp;'Detalle individual'!B477)+ROW()/10000,"")</f>
        <v/>
      </c>
      <c r="AI477" t="str">
        <f>IF('Detalle individual'!F477="Completado",COUNTIF('Detalle individual'!$D$5:$D$1000,"&lt;"&amp;'Detalle individual'!D477)*1000000+COUNTIF('Detalle individual'!$C$5:$C$1000,"&lt;"&amp;'Detalle individual'!C477)*1000+COUNTIF('Detalle individual'!$B$5:$B$1000,"&lt;"&amp;'Detalle individual'!B477)+ROW()/10000,"")</f>
        <v/>
      </c>
      <c r="AJ477" t="str">
        <f>IF(AND('Detalle individual'!F477&lt;&gt;"",'Detalle individual'!F477&lt;&gt;"Completado",'Detalle individual'!F477&lt;&gt;"Pendiente"),COUNTIF('Detalle individual'!$D$5:$D$1000,"&lt;"&amp;'Detalle individual'!D477)*1000000+COUNTIF('Detalle individual'!$C$5:$C$1000,"&lt;"&amp;'Detalle individual'!C477)*1000+COUNTIF('Detalle individual'!$B$5:$B$1000,"&lt;"&amp;'Detalle individual'!B477)+ROW()/10000,"")</f>
        <v/>
      </c>
      <c r="AK477" t="str">
        <f>IF(OR('Base Exámenes'!C477="",'Base Exámenes'!D477=""),"",IF(COUNTIF('Base Exámenes'!$C$5:C477,'Base Exámenes'!C477)=1,'Base Exámenes'!D477+ROW()/1000000000,""))</f>
        <v/>
      </c>
      <c r="AL477" t="str">
        <f>IF(OR('Base Exámenes'!C477="",'Base Exámenes'!E477=""),"",IF(COUNTIF('Base Exámenes'!$C$5:C477,'Base Exámenes'!C477)=1,'Base Exámenes'!E477+ROW()/1000000000,""))</f>
        <v/>
      </c>
      <c r="AM477" t="str">
        <f>IF(OR('Base Exámenes'!C477="",'Base Exámenes'!G477=""),"",IF(ROW()-4=MATCH('Base Exámenes'!C477&amp;"|"&amp;_xlfn.MAXIFS('Base Exámenes'!$G$5:$G$1000,'Base Exámenes'!$C$5:$C$1000,'Base Exámenes'!C477),'Base Exámenes'!$I$5:$I$1000,0),'Base Exámenes'!G477*1000000+(-1)*'Base Exámenes'!D477,""))</f>
        <v/>
      </c>
      <c r="AQ477" t="str">
        <f>IF('Base Exámenes'!C477="","",IF(COUNTIF('Base Exámenes'!$C$5:$C$1000,'Base Exámenes'!C477)&lt;2,"",MATCH('Base Exámenes'!C477,'Base Exámenes'!$C$5:$C$1000,0)*10000+ROW()))</f>
        <v/>
      </c>
    </row>
    <row r="478">
      <c r="Z478" t="str">
        <f>IF('Detalle individual'!A478="","",IF(AND(OR('Estado por Colaborador'!$D$4="Todas las gerencias",'Detalle individual'!D478='Estado por Colaborador'!$D$4),OR('Estado por Colaborador'!$D$5="Todos los departamentos",TRIM('Detalle individual'!C478)='Estado por Colaborador'!$D$5),OR('Estado por Colaborador'!$D$6="Todos",'Detalle individual'!F478='Estado por Colaborador'!$D$6)),IF('Detalle individual'!F478="Completado",30000000,IF('Detalle individual'!F478="Pendiente",0,15000000))+COUNTIF('Detalle individual'!$C$5:$C$1000,"&lt;"&amp;'Detalle individual'!C478)*10000+ROW(),""))</f>
        <v/>
      </c>
      <c r="AB478" t="str">
        <f>IF('Detalle individual'!C478="","",IF(COUNTIF('Detalle individual'!$C$5:C478,'Detalle individual'!C478)=1,COUNTIF('Detalle individual'!$C$5:$C$1000,"&lt;"&amp;'Detalle individual'!C478),""))</f>
        <v/>
      </c>
      <c r="AC478" t="str">
        <f>IF('Detalle individual'!D478="","",IF(COUNTIF('Detalle individual'!$D$5:D478,'Detalle individual'!D478)=1,COUNTIF('Detalle individual'!$D$5:$D$1000,"&lt;"&amp;'Detalle individual'!D478),""))</f>
        <v/>
      </c>
      <c r="AH478" t="str">
        <f>IF('Detalle individual'!F478="Pendiente",COUNTIF('Detalle individual'!$D$5:$D$1000,"&lt;"&amp;'Detalle individual'!D478)*1000000+COUNTIF('Detalle individual'!$C$5:$C$1000,"&lt;"&amp;'Detalle individual'!C478)*1000+COUNTIF('Detalle individual'!$B$5:$B$1000,"&lt;"&amp;'Detalle individual'!B478)+ROW()/10000,"")</f>
        <v/>
      </c>
      <c r="AI478" t="str">
        <f>IF('Detalle individual'!F478="Completado",COUNTIF('Detalle individual'!$D$5:$D$1000,"&lt;"&amp;'Detalle individual'!D478)*1000000+COUNTIF('Detalle individual'!$C$5:$C$1000,"&lt;"&amp;'Detalle individual'!C478)*1000+COUNTIF('Detalle individual'!$B$5:$B$1000,"&lt;"&amp;'Detalle individual'!B478)+ROW()/10000,"")</f>
        <v/>
      </c>
      <c r="AJ478" t="str">
        <f>IF(AND('Detalle individual'!F478&lt;&gt;"",'Detalle individual'!F478&lt;&gt;"Completado",'Detalle individual'!F478&lt;&gt;"Pendiente"),COUNTIF('Detalle individual'!$D$5:$D$1000,"&lt;"&amp;'Detalle individual'!D478)*1000000+COUNTIF('Detalle individual'!$C$5:$C$1000,"&lt;"&amp;'Detalle individual'!C478)*1000+COUNTIF('Detalle individual'!$B$5:$B$1000,"&lt;"&amp;'Detalle individual'!B478)+ROW()/10000,"")</f>
        <v/>
      </c>
      <c r="AK478" t="str">
        <f>IF(OR('Base Exámenes'!C478="",'Base Exámenes'!D478=""),"",IF(COUNTIF('Base Exámenes'!$C$5:C478,'Base Exámenes'!C478)=1,'Base Exámenes'!D478+ROW()/1000000000,""))</f>
        <v/>
      </c>
      <c r="AL478" t="str">
        <f>IF(OR('Base Exámenes'!C478="",'Base Exámenes'!E478=""),"",IF(COUNTIF('Base Exámenes'!$C$5:C478,'Base Exámenes'!C478)=1,'Base Exámenes'!E478+ROW()/1000000000,""))</f>
        <v/>
      </c>
      <c r="AM478" t="str">
        <f>IF(OR('Base Exámenes'!C478="",'Base Exámenes'!G478=""),"",IF(ROW()-4=MATCH('Base Exámenes'!C478&amp;"|"&amp;_xlfn.MAXIFS('Base Exámenes'!$G$5:$G$1000,'Base Exámenes'!$C$5:$C$1000,'Base Exámenes'!C478),'Base Exámenes'!$I$5:$I$1000,0),'Base Exámenes'!G478*1000000+(-1)*'Base Exámenes'!D478,""))</f>
        <v/>
      </c>
      <c r="AQ478" t="str">
        <f>IF('Base Exámenes'!C478="","",IF(COUNTIF('Base Exámenes'!$C$5:$C$1000,'Base Exámenes'!C478)&lt;2,"",MATCH('Base Exámenes'!C478,'Base Exámenes'!$C$5:$C$1000,0)*10000+ROW()))</f>
        <v/>
      </c>
    </row>
    <row r="479">
      <c r="Z479" t="str">
        <f>IF('Detalle individual'!A479="","",IF(AND(OR('Estado por Colaborador'!$D$4="Todas las gerencias",'Detalle individual'!D479='Estado por Colaborador'!$D$4),OR('Estado por Colaborador'!$D$5="Todos los departamentos",TRIM('Detalle individual'!C479)='Estado por Colaborador'!$D$5),OR('Estado por Colaborador'!$D$6="Todos",'Detalle individual'!F479='Estado por Colaborador'!$D$6)),IF('Detalle individual'!F479="Completado",30000000,IF('Detalle individual'!F479="Pendiente",0,15000000))+COUNTIF('Detalle individual'!$C$5:$C$1000,"&lt;"&amp;'Detalle individual'!C479)*10000+ROW(),""))</f>
        <v/>
      </c>
      <c r="AB479" t="str">
        <f>IF('Detalle individual'!C479="","",IF(COUNTIF('Detalle individual'!$C$5:C479,'Detalle individual'!C479)=1,COUNTIF('Detalle individual'!$C$5:$C$1000,"&lt;"&amp;'Detalle individual'!C479),""))</f>
        <v/>
      </c>
      <c r="AC479" t="str">
        <f>IF('Detalle individual'!D479="","",IF(COUNTIF('Detalle individual'!$D$5:D479,'Detalle individual'!D479)=1,COUNTIF('Detalle individual'!$D$5:$D$1000,"&lt;"&amp;'Detalle individual'!D479),""))</f>
        <v/>
      </c>
      <c r="AH479" t="str">
        <f>IF('Detalle individual'!F479="Pendiente",COUNTIF('Detalle individual'!$D$5:$D$1000,"&lt;"&amp;'Detalle individual'!D479)*1000000+COUNTIF('Detalle individual'!$C$5:$C$1000,"&lt;"&amp;'Detalle individual'!C479)*1000+COUNTIF('Detalle individual'!$B$5:$B$1000,"&lt;"&amp;'Detalle individual'!B479)+ROW()/10000,"")</f>
        <v/>
      </c>
      <c r="AI479" t="str">
        <f>IF('Detalle individual'!F479="Completado",COUNTIF('Detalle individual'!$D$5:$D$1000,"&lt;"&amp;'Detalle individual'!D479)*1000000+COUNTIF('Detalle individual'!$C$5:$C$1000,"&lt;"&amp;'Detalle individual'!C479)*1000+COUNTIF('Detalle individual'!$B$5:$B$1000,"&lt;"&amp;'Detalle individual'!B479)+ROW()/10000,"")</f>
        <v/>
      </c>
      <c r="AJ479" t="str">
        <f>IF(AND('Detalle individual'!F479&lt;&gt;"",'Detalle individual'!F479&lt;&gt;"Completado",'Detalle individual'!F479&lt;&gt;"Pendiente"),COUNTIF('Detalle individual'!$D$5:$D$1000,"&lt;"&amp;'Detalle individual'!D479)*1000000+COUNTIF('Detalle individual'!$C$5:$C$1000,"&lt;"&amp;'Detalle individual'!C479)*1000+COUNTIF('Detalle individual'!$B$5:$B$1000,"&lt;"&amp;'Detalle individual'!B479)+ROW()/10000,"")</f>
        <v/>
      </c>
      <c r="AK479" t="str">
        <f>IF(OR('Base Exámenes'!C479="",'Base Exámenes'!D479=""),"",IF(COUNTIF('Base Exámenes'!$C$5:C479,'Base Exámenes'!C479)=1,'Base Exámenes'!D479+ROW()/1000000000,""))</f>
        <v/>
      </c>
      <c r="AL479" t="str">
        <f>IF(OR('Base Exámenes'!C479="",'Base Exámenes'!E479=""),"",IF(COUNTIF('Base Exámenes'!$C$5:C479,'Base Exámenes'!C479)=1,'Base Exámenes'!E479+ROW()/1000000000,""))</f>
        <v/>
      </c>
      <c r="AM479" t="str">
        <f>IF(OR('Base Exámenes'!C479="",'Base Exámenes'!G479=""),"",IF(ROW()-4=MATCH('Base Exámenes'!C479&amp;"|"&amp;_xlfn.MAXIFS('Base Exámenes'!$G$5:$G$1000,'Base Exámenes'!$C$5:$C$1000,'Base Exámenes'!C479),'Base Exámenes'!$I$5:$I$1000,0),'Base Exámenes'!G479*1000000+(-1)*'Base Exámenes'!D479,""))</f>
        <v/>
      </c>
      <c r="AQ479" t="str">
        <f>IF('Base Exámenes'!C479="","",IF(COUNTIF('Base Exámenes'!$C$5:$C$1000,'Base Exámenes'!C479)&lt;2,"",MATCH('Base Exámenes'!C479,'Base Exámenes'!$C$5:$C$1000,0)*10000+ROW()))</f>
        <v/>
      </c>
    </row>
    <row r="480">
      <c r="Z480" t="str">
        <f>IF('Detalle individual'!A480="","",IF(AND(OR('Estado por Colaborador'!$D$4="Todas las gerencias",'Detalle individual'!D480='Estado por Colaborador'!$D$4),OR('Estado por Colaborador'!$D$5="Todos los departamentos",TRIM('Detalle individual'!C480)='Estado por Colaborador'!$D$5),OR('Estado por Colaborador'!$D$6="Todos",'Detalle individual'!F480='Estado por Colaborador'!$D$6)),IF('Detalle individual'!F480="Completado",30000000,IF('Detalle individual'!F480="Pendiente",0,15000000))+COUNTIF('Detalle individual'!$C$5:$C$1000,"&lt;"&amp;'Detalle individual'!C480)*10000+ROW(),""))</f>
        <v/>
      </c>
      <c r="AB480" t="str">
        <f>IF('Detalle individual'!C480="","",IF(COUNTIF('Detalle individual'!$C$5:C480,'Detalle individual'!C480)=1,COUNTIF('Detalle individual'!$C$5:$C$1000,"&lt;"&amp;'Detalle individual'!C480),""))</f>
        <v/>
      </c>
      <c r="AC480" t="str">
        <f>IF('Detalle individual'!D480="","",IF(COUNTIF('Detalle individual'!$D$5:D480,'Detalle individual'!D480)=1,COUNTIF('Detalle individual'!$D$5:$D$1000,"&lt;"&amp;'Detalle individual'!D480),""))</f>
        <v/>
      </c>
      <c r="AH480" t="str">
        <f>IF('Detalle individual'!F480="Pendiente",COUNTIF('Detalle individual'!$D$5:$D$1000,"&lt;"&amp;'Detalle individual'!D480)*1000000+COUNTIF('Detalle individual'!$C$5:$C$1000,"&lt;"&amp;'Detalle individual'!C480)*1000+COUNTIF('Detalle individual'!$B$5:$B$1000,"&lt;"&amp;'Detalle individual'!B480)+ROW()/10000,"")</f>
        <v/>
      </c>
      <c r="AI480" t="str">
        <f>IF('Detalle individual'!F480="Completado",COUNTIF('Detalle individual'!$D$5:$D$1000,"&lt;"&amp;'Detalle individual'!D480)*1000000+COUNTIF('Detalle individual'!$C$5:$C$1000,"&lt;"&amp;'Detalle individual'!C480)*1000+COUNTIF('Detalle individual'!$B$5:$B$1000,"&lt;"&amp;'Detalle individual'!B480)+ROW()/10000,"")</f>
        <v/>
      </c>
      <c r="AJ480" t="str">
        <f>IF(AND('Detalle individual'!F480&lt;&gt;"",'Detalle individual'!F480&lt;&gt;"Completado",'Detalle individual'!F480&lt;&gt;"Pendiente"),COUNTIF('Detalle individual'!$D$5:$D$1000,"&lt;"&amp;'Detalle individual'!D480)*1000000+COUNTIF('Detalle individual'!$C$5:$C$1000,"&lt;"&amp;'Detalle individual'!C480)*1000+COUNTIF('Detalle individual'!$B$5:$B$1000,"&lt;"&amp;'Detalle individual'!B480)+ROW()/10000,"")</f>
        <v/>
      </c>
      <c r="AK480" t="str">
        <f>IF(OR('Base Exámenes'!C480="",'Base Exámenes'!D480=""),"",IF(COUNTIF('Base Exámenes'!$C$5:C480,'Base Exámenes'!C480)=1,'Base Exámenes'!D480+ROW()/1000000000,""))</f>
        <v/>
      </c>
      <c r="AL480" t="str">
        <f>IF(OR('Base Exámenes'!C480="",'Base Exámenes'!E480=""),"",IF(COUNTIF('Base Exámenes'!$C$5:C480,'Base Exámenes'!C480)=1,'Base Exámenes'!E480+ROW()/1000000000,""))</f>
        <v/>
      </c>
      <c r="AM480" t="str">
        <f>IF(OR('Base Exámenes'!C480="",'Base Exámenes'!G480=""),"",IF(ROW()-4=MATCH('Base Exámenes'!C480&amp;"|"&amp;_xlfn.MAXIFS('Base Exámenes'!$G$5:$G$1000,'Base Exámenes'!$C$5:$C$1000,'Base Exámenes'!C480),'Base Exámenes'!$I$5:$I$1000,0),'Base Exámenes'!G480*1000000+(-1)*'Base Exámenes'!D480,""))</f>
        <v/>
      </c>
      <c r="AQ480" t="str">
        <f>IF('Base Exámenes'!C480="","",IF(COUNTIF('Base Exámenes'!$C$5:$C$1000,'Base Exámenes'!C480)&lt;2,"",MATCH('Base Exámenes'!C480,'Base Exámenes'!$C$5:$C$1000,0)*10000+ROW()))</f>
        <v/>
      </c>
    </row>
    <row r="481">
      <c r="Z481" t="str">
        <f>IF('Detalle individual'!A481="","",IF(AND(OR('Estado por Colaborador'!$D$4="Todas las gerencias",'Detalle individual'!D481='Estado por Colaborador'!$D$4),OR('Estado por Colaborador'!$D$5="Todos los departamentos",TRIM('Detalle individual'!C481)='Estado por Colaborador'!$D$5),OR('Estado por Colaborador'!$D$6="Todos",'Detalle individual'!F481='Estado por Colaborador'!$D$6)),IF('Detalle individual'!F481="Completado",30000000,IF('Detalle individual'!F481="Pendiente",0,15000000))+COUNTIF('Detalle individual'!$C$5:$C$1000,"&lt;"&amp;'Detalle individual'!C481)*10000+ROW(),""))</f>
        <v/>
      </c>
      <c r="AB481" t="str">
        <f>IF('Detalle individual'!C481="","",IF(COUNTIF('Detalle individual'!$C$5:C481,'Detalle individual'!C481)=1,COUNTIF('Detalle individual'!$C$5:$C$1000,"&lt;"&amp;'Detalle individual'!C481),""))</f>
        <v/>
      </c>
      <c r="AC481" t="str">
        <f>IF('Detalle individual'!D481="","",IF(COUNTIF('Detalle individual'!$D$5:D481,'Detalle individual'!D481)=1,COUNTIF('Detalle individual'!$D$5:$D$1000,"&lt;"&amp;'Detalle individual'!D481),""))</f>
        <v/>
      </c>
      <c r="AH481" t="str">
        <f>IF('Detalle individual'!F481="Pendiente",COUNTIF('Detalle individual'!$D$5:$D$1000,"&lt;"&amp;'Detalle individual'!D481)*1000000+COUNTIF('Detalle individual'!$C$5:$C$1000,"&lt;"&amp;'Detalle individual'!C481)*1000+COUNTIF('Detalle individual'!$B$5:$B$1000,"&lt;"&amp;'Detalle individual'!B481)+ROW()/10000,"")</f>
        <v/>
      </c>
      <c r="AI481" t="str">
        <f>IF('Detalle individual'!F481="Completado",COUNTIF('Detalle individual'!$D$5:$D$1000,"&lt;"&amp;'Detalle individual'!D481)*1000000+COUNTIF('Detalle individual'!$C$5:$C$1000,"&lt;"&amp;'Detalle individual'!C481)*1000+COUNTIF('Detalle individual'!$B$5:$B$1000,"&lt;"&amp;'Detalle individual'!B481)+ROW()/10000,"")</f>
        <v/>
      </c>
      <c r="AJ481" t="str">
        <f>IF(AND('Detalle individual'!F481&lt;&gt;"",'Detalle individual'!F481&lt;&gt;"Completado",'Detalle individual'!F481&lt;&gt;"Pendiente"),COUNTIF('Detalle individual'!$D$5:$D$1000,"&lt;"&amp;'Detalle individual'!D481)*1000000+COUNTIF('Detalle individual'!$C$5:$C$1000,"&lt;"&amp;'Detalle individual'!C481)*1000+COUNTIF('Detalle individual'!$B$5:$B$1000,"&lt;"&amp;'Detalle individual'!B481)+ROW()/10000,"")</f>
        <v/>
      </c>
      <c r="AK481" t="str">
        <f>IF(OR('Base Exámenes'!C481="",'Base Exámenes'!D481=""),"",IF(COUNTIF('Base Exámenes'!$C$5:C481,'Base Exámenes'!C481)=1,'Base Exámenes'!D481+ROW()/1000000000,""))</f>
        <v/>
      </c>
      <c r="AL481" t="str">
        <f>IF(OR('Base Exámenes'!C481="",'Base Exámenes'!E481=""),"",IF(COUNTIF('Base Exámenes'!$C$5:C481,'Base Exámenes'!C481)=1,'Base Exámenes'!E481+ROW()/1000000000,""))</f>
        <v/>
      </c>
      <c r="AM481" t="str">
        <f>IF(OR('Base Exámenes'!C481="",'Base Exámenes'!G481=""),"",IF(ROW()-4=MATCH('Base Exámenes'!C481&amp;"|"&amp;_xlfn.MAXIFS('Base Exámenes'!$G$5:$G$1000,'Base Exámenes'!$C$5:$C$1000,'Base Exámenes'!C481),'Base Exámenes'!$I$5:$I$1000,0),'Base Exámenes'!G481*1000000+(-1)*'Base Exámenes'!D481,""))</f>
        <v/>
      </c>
      <c r="AQ481" t="str">
        <f>IF('Base Exámenes'!C481="","",IF(COUNTIF('Base Exámenes'!$C$5:$C$1000,'Base Exámenes'!C481)&lt;2,"",MATCH('Base Exámenes'!C481,'Base Exámenes'!$C$5:$C$1000,0)*10000+ROW()))</f>
        <v/>
      </c>
    </row>
    <row r="482">
      <c r="Z482" t="str">
        <f>IF('Detalle individual'!A482="","",IF(AND(OR('Estado por Colaborador'!$D$4="Todas las gerencias",'Detalle individual'!D482='Estado por Colaborador'!$D$4),OR('Estado por Colaborador'!$D$5="Todos los departamentos",TRIM('Detalle individual'!C482)='Estado por Colaborador'!$D$5),OR('Estado por Colaborador'!$D$6="Todos",'Detalle individual'!F482='Estado por Colaborador'!$D$6)),IF('Detalle individual'!F482="Completado",30000000,IF('Detalle individual'!F482="Pendiente",0,15000000))+COUNTIF('Detalle individual'!$C$5:$C$1000,"&lt;"&amp;'Detalle individual'!C482)*10000+ROW(),""))</f>
        <v/>
      </c>
      <c r="AB482" t="str">
        <f>IF('Detalle individual'!C482="","",IF(COUNTIF('Detalle individual'!$C$5:C482,'Detalle individual'!C482)=1,COUNTIF('Detalle individual'!$C$5:$C$1000,"&lt;"&amp;'Detalle individual'!C482),""))</f>
        <v/>
      </c>
      <c r="AC482" t="str">
        <f>IF('Detalle individual'!D482="","",IF(COUNTIF('Detalle individual'!$D$5:D482,'Detalle individual'!D482)=1,COUNTIF('Detalle individual'!$D$5:$D$1000,"&lt;"&amp;'Detalle individual'!D482),""))</f>
        <v/>
      </c>
      <c r="AH482" t="str">
        <f>IF('Detalle individual'!F482="Pendiente",COUNTIF('Detalle individual'!$D$5:$D$1000,"&lt;"&amp;'Detalle individual'!D482)*1000000+COUNTIF('Detalle individual'!$C$5:$C$1000,"&lt;"&amp;'Detalle individual'!C482)*1000+COUNTIF('Detalle individual'!$B$5:$B$1000,"&lt;"&amp;'Detalle individual'!B482)+ROW()/10000,"")</f>
        <v/>
      </c>
      <c r="AI482" t="str">
        <f>IF('Detalle individual'!F482="Completado",COUNTIF('Detalle individual'!$D$5:$D$1000,"&lt;"&amp;'Detalle individual'!D482)*1000000+COUNTIF('Detalle individual'!$C$5:$C$1000,"&lt;"&amp;'Detalle individual'!C482)*1000+COUNTIF('Detalle individual'!$B$5:$B$1000,"&lt;"&amp;'Detalle individual'!B482)+ROW()/10000,"")</f>
        <v/>
      </c>
      <c r="AJ482" t="str">
        <f>IF(AND('Detalle individual'!F482&lt;&gt;"",'Detalle individual'!F482&lt;&gt;"Completado",'Detalle individual'!F482&lt;&gt;"Pendiente"),COUNTIF('Detalle individual'!$D$5:$D$1000,"&lt;"&amp;'Detalle individual'!D482)*1000000+COUNTIF('Detalle individual'!$C$5:$C$1000,"&lt;"&amp;'Detalle individual'!C482)*1000+COUNTIF('Detalle individual'!$B$5:$B$1000,"&lt;"&amp;'Detalle individual'!B482)+ROW()/10000,"")</f>
        <v/>
      </c>
      <c r="AK482" t="str">
        <f>IF(OR('Base Exámenes'!C482="",'Base Exámenes'!D482=""),"",IF(COUNTIF('Base Exámenes'!$C$5:C482,'Base Exámenes'!C482)=1,'Base Exámenes'!D482+ROW()/1000000000,""))</f>
        <v/>
      </c>
      <c r="AL482" t="str">
        <f>IF(OR('Base Exámenes'!C482="",'Base Exámenes'!E482=""),"",IF(COUNTIF('Base Exámenes'!$C$5:C482,'Base Exámenes'!C482)=1,'Base Exámenes'!E482+ROW()/1000000000,""))</f>
        <v/>
      </c>
      <c r="AM482" t="str">
        <f>IF(OR('Base Exámenes'!C482="",'Base Exámenes'!G482=""),"",IF(ROW()-4=MATCH('Base Exámenes'!C482&amp;"|"&amp;_xlfn.MAXIFS('Base Exámenes'!$G$5:$G$1000,'Base Exámenes'!$C$5:$C$1000,'Base Exámenes'!C482),'Base Exámenes'!$I$5:$I$1000,0),'Base Exámenes'!G482*1000000+(-1)*'Base Exámenes'!D482,""))</f>
        <v/>
      </c>
      <c r="AQ482" t="str">
        <f>IF('Base Exámenes'!C482="","",IF(COUNTIF('Base Exámenes'!$C$5:$C$1000,'Base Exámenes'!C482)&lt;2,"",MATCH('Base Exámenes'!C482,'Base Exámenes'!$C$5:$C$1000,0)*10000+ROW()))</f>
        <v/>
      </c>
    </row>
    <row r="483">
      <c r="Z483" t="str">
        <f>IF('Detalle individual'!A483="","",IF(AND(OR('Estado por Colaborador'!$D$4="Todas las gerencias",'Detalle individual'!D483='Estado por Colaborador'!$D$4),OR('Estado por Colaborador'!$D$5="Todos los departamentos",TRIM('Detalle individual'!C483)='Estado por Colaborador'!$D$5),OR('Estado por Colaborador'!$D$6="Todos",'Detalle individual'!F483='Estado por Colaborador'!$D$6)),IF('Detalle individual'!F483="Completado",30000000,IF('Detalle individual'!F483="Pendiente",0,15000000))+COUNTIF('Detalle individual'!$C$5:$C$1000,"&lt;"&amp;'Detalle individual'!C483)*10000+ROW(),""))</f>
        <v/>
      </c>
      <c r="AB483" t="str">
        <f>IF('Detalle individual'!C483="","",IF(COUNTIF('Detalle individual'!$C$5:C483,'Detalle individual'!C483)=1,COUNTIF('Detalle individual'!$C$5:$C$1000,"&lt;"&amp;'Detalle individual'!C483),""))</f>
        <v/>
      </c>
      <c r="AC483" t="str">
        <f>IF('Detalle individual'!D483="","",IF(COUNTIF('Detalle individual'!$D$5:D483,'Detalle individual'!D483)=1,COUNTIF('Detalle individual'!$D$5:$D$1000,"&lt;"&amp;'Detalle individual'!D483),""))</f>
        <v/>
      </c>
      <c r="AH483" t="str">
        <f>IF('Detalle individual'!F483="Pendiente",COUNTIF('Detalle individual'!$D$5:$D$1000,"&lt;"&amp;'Detalle individual'!D483)*1000000+COUNTIF('Detalle individual'!$C$5:$C$1000,"&lt;"&amp;'Detalle individual'!C483)*1000+COUNTIF('Detalle individual'!$B$5:$B$1000,"&lt;"&amp;'Detalle individual'!B483)+ROW()/10000,"")</f>
        <v/>
      </c>
      <c r="AI483" t="str">
        <f>IF('Detalle individual'!F483="Completado",COUNTIF('Detalle individual'!$D$5:$D$1000,"&lt;"&amp;'Detalle individual'!D483)*1000000+COUNTIF('Detalle individual'!$C$5:$C$1000,"&lt;"&amp;'Detalle individual'!C483)*1000+COUNTIF('Detalle individual'!$B$5:$B$1000,"&lt;"&amp;'Detalle individual'!B483)+ROW()/10000,"")</f>
        <v/>
      </c>
      <c r="AJ483" t="str">
        <f>IF(AND('Detalle individual'!F483&lt;&gt;"",'Detalle individual'!F483&lt;&gt;"Completado",'Detalle individual'!F483&lt;&gt;"Pendiente"),COUNTIF('Detalle individual'!$D$5:$D$1000,"&lt;"&amp;'Detalle individual'!D483)*1000000+COUNTIF('Detalle individual'!$C$5:$C$1000,"&lt;"&amp;'Detalle individual'!C483)*1000+COUNTIF('Detalle individual'!$B$5:$B$1000,"&lt;"&amp;'Detalle individual'!B483)+ROW()/10000,"")</f>
        <v/>
      </c>
      <c r="AK483" t="str">
        <f>IF(OR('Base Exámenes'!C483="",'Base Exámenes'!D483=""),"",IF(COUNTIF('Base Exámenes'!$C$5:C483,'Base Exámenes'!C483)=1,'Base Exámenes'!D483+ROW()/1000000000,""))</f>
        <v/>
      </c>
      <c r="AL483" t="str">
        <f>IF(OR('Base Exámenes'!C483="",'Base Exámenes'!E483=""),"",IF(COUNTIF('Base Exámenes'!$C$5:C483,'Base Exámenes'!C483)=1,'Base Exámenes'!E483+ROW()/1000000000,""))</f>
        <v/>
      </c>
      <c r="AM483" t="str">
        <f>IF(OR('Base Exámenes'!C483="",'Base Exámenes'!G483=""),"",IF(ROW()-4=MATCH('Base Exámenes'!C483&amp;"|"&amp;_xlfn.MAXIFS('Base Exámenes'!$G$5:$G$1000,'Base Exámenes'!$C$5:$C$1000,'Base Exámenes'!C483),'Base Exámenes'!$I$5:$I$1000,0),'Base Exámenes'!G483*1000000+(-1)*'Base Exámenes'!D483,""))</f>
        <v/>
      </c>
      <c r="AQ483" t="str">
        <f>IF('Base Exámenes'!C483="","",IF(COUNTIF('Base Exámenes'!$C$5:$C$1000,'Base Exámenes'!C483)&lt;2,"",MATCH('Base Exámenes'!C483,'Base Exámenes'!$C$5:$C$1000,0)*10000+ROW()))</f>
        <v/>
      </c>
    </row>
    <row r="484">
      <c r="Z484" t="str">
        <f>IF('Detalle individual'!A484="","",IF(AND(OR('Estado por Colaborador'!$D$4="Todas las gerencias",'Detalle individual'!D484='Estado por Colaborador'!$D$4),OR('Estado por Colaborador'!$D$5="Todos los departamentos",TRIM('Detalle individual'!C484)='Estado por Colaborador'!$D$5),OR('Estado por Colaborador'!$D$6="Todos",'Detalle individual'!F484='Estado por Colaborador'!$D$6)),IF('Detalle individual'!F484="Completado",30000000,IF('Detalle individual'!F484="Pendiente",0,15000000))+COUNTIF('Detalle individual'!$C$5:$C$1000,"&lt;"&amp;'Detalle individual'!C484)*10000+ROW(),""))</f>
        <v/>
      </c>
      <c r="AB484" t="str">
        <f>IF('Detalle individual'!C484="","",IF(COUNTIF('Detalle individual'!$C$5:C484,'Detalle individual'!C484)=1,COUNTIF('Detalle individual'!$C$5:$C$1000,"&lt;"&amp;'Detalle individual'!C484),""))</f>
        <v/>
      </c>
      <c r="AC484" t="str">
        <f>IF('Detalle individual'!D484="","",IF(COUNTIF('Detalle individual'!$D$5:D484,'Detalle individual'!D484)=1,COUNTIF('Detalle individual'!$D$5:$D$1000,"&lt;"&amp;'Detalle individual'!D484),""))</f>
        <v/>
      </c>
      <c r="AH484" t="str">
        <f>IF('Detalle individual'!F484="Pendiente",COUNTIF('Detalle individual'!$D$5:$D$1000,"&lt;"&amp;'Detalle individual'!D484)*1000000+COUNTIF('Detalle individual'!$C$5:$C$1000,"&lt;"&amp;'Detalle individual'!C484)*1000+COUNTIF('Detalle individual'!$B$5:$B$1000,"&lt;"&amp;'Detalle individual'!B484)+ROW()/10000,"")</f>
        <v/>
      </c>
      <c r="AI484" t="str">
        <f>IF('Detalle individual'!F484="Completado",COUNTIF('Detalle individual'!$D$5:$D$1000,"&lt;"&amp;'Detalle individual'!D484)*1000000+COUNTIF('Detalle individual'!$C$5:$C$1000,"&lt;"&amp;'Detalle individual'!C484)*1000+COUNTIF('Detalle individual'!$B$5:$B$1000,"&lt;"&amp;'Detalle individual'!B484)+ROW()/10000,"")</f>
        <v/>
      </c>
      <c r="AJ484" t="str">
        <f>IF(AND('Detalle individual'!F484&lt;&gt;"",'Detalle individual'!F484&lt;&gt;"Completado",'Detalle individual'!F484&lt;&gt;"Pendiente"),COUNTIF('Detalle individual'!$D$5:$D$1000,"&lt;"&amp;'Detalle individual'!D484)*1000000+COUNTIF('Detalle individual'!$C$5:$C$1000,"&lt;"&amp;'Detalle individual'!C484)*1000+COUNTIF('Detalle individual'!$B$5:$B$1000,"&lt;"&amp;'Detalle individual'!B484)+ROW()/10000,"")</f>
        <v/>
      </c>
      <c r="AK484" t="str">
        <f>IF(OR('Base Exámenes'!C484="",'Base Exámenes'!D484=""),"",IF(COUNTIF('Base Exámenes'!$C$5:C484,'Base Exámenes'!C484)=1,'Base Exámenes'!D484+ROW()/1000000000,""))</f>
        <v/>
      </c>
      <c r="AL484" t="str">
        <f>IF(OR('Base Exámenes'!C484="",'Base Exámenes'!E484=""),"",IF(COUNTIF('Base Exámenes'!$C$5:C484,'Base Exámenes'!C484)=1,'Base Exámenes'!E484+ROW()/1000000000,""))</f>
        <v/>
      </c>
      <c r="AM484" t="str">
        <f>IF(OR('Base Exámenes'!C484="",'Base Exámenes'!G484=""),"",IF(ROW()-4=MATCH('Base Exámenes'!C484&amp;"|"&amp;_xlfn.MAXIFS('Base Exámenes'!$G$5:$G$1000,'Base Exámenes'!$C$5:$C$1000,'Base Exámenes'!C484),'Base Exámenes'!$I$5:$I$1000,0),'Base Exámenes'!G484*1000000+(-1)*'Base Exámenes'!D484,""))</f>
        <v/>
      </c>
      <c r="AQ484" t="str">
        <f>IF('Base Exámenes'!C484="","",IF(COUNTIF('Base Exámenes'!$C$5:$C$1000,'Base Exámenes'!C484)&lt;2,"",MATCH('Base Exámenes'!C484,'Base Exámenes'!$C$5:$C$1000,0)*10000+ROW()))</f>
        <v/>
      </c>
    </row>
    <row r="485">
      <c r="Z485" t="str">
        <f>IF('Detalle individual'!A485="","",IF(AND(OR('Estado por Colaborador'!$D$4="Todas las gerencias",'Detalle individual'!D485='Estado por Colaborador'!$D$4),OR('Estado por Colaborador'!$D$5="Todos los departamentos",TRIM('Detalle individual'!C485)='Estado por Colaborador'!$D$5),OR('Estado por Colaborador'!$D$6="Todos",'Detalle individual'!F485='Estado por Colaborador'!$D$6)),IF('Detalle individual'!F485="Completado",30000000,IF('Detalle individual'!F485="Pendiente",0,15000000))+COUNTIF('Detalle individual'!$C$5:$C$1000,"&lt;"&amp;'Detalle individual'!C485)*10000+ROW(),""))</f>
        <v/>
      </c>
      <c r="AB485" t="str">
        <f>IF('Detalle individual'!C485="","",IF(COUNTIF('Detalle individual'!$C$5:C485,'Detalle individual'!C485)=1,COUNTIF('Detalle individual'!$C$5:$C$1000,"&lt;"&amp;'Detalle individual'!C485),""))</f>
        <v/>
      </c>
      <c r="AC485" t="str">
        <f>IF('Detalle individual'!D485="","",IF(COUNTIF('Detalle individual'!$D$5:D485,'Detalle individual'!D485)=1,COUNTIF('Detalle individual'!$D$5:$D$1000,"&lt;"&amp;'Detalle individual'!D485),""))</f>
        <v/>
      </c>
      <c r="AH485" t="str">
        <f>IF('Detalle individual'!F485="Pendiente",COUNTIF('Detalle individual'!$D$5:$D$1000,"&lt;"&amp;'Detalle individual'!D485)*1000000+COUNTIF('Detalle individual'!$C$5:$C$1000,"&lt;"&amp;'Detalle individual'!C485)*1000+COUNTIF('Detalle individual'!$B$5:$B$1000,"&lt;"&amp;'Detalle individual'!B485)+ROW()/10000,"")</f>
        <v/>
      </c>
      <c r="AI485" t="str">
        <f>IF('Detalle individual'!F485="Completado",COUNTIF('Detalle individual'!$D$5:$D$1000,"&lt;"&amp;'Detalle individual'!D485)*1000000+COUNTIF('Detalle individual'!$C$5:$C$1000,"&lt;"&amp;'Detalle individual'!C485)*1000+COUNTIF('Detalle individual'!$B$5:$B$1000,"&lt;"&amp;'Detalle individual'!B485)+ROW()/10000,"")</f>
        <v/>
      </c>
      <c r="AJ485" t="str">
        <f>IF(AND('Detalle individual'!F485&lt;&gt;"",'Detalle individual'!F485&lt;&gt;"Completado",'Detalle individual'!F485&lt;&gt;"Pendiente"),COUNTIF('Detalle individual'!$D$5:$D$1000,"&lt;"&amp;'Detalle individual'!D485)*1000000+COUNTIF('Detalle individual'!$C$5:$C$1000,"&lt;"&amp;'Detalle individual'!C485)*1000+COUNTIF('Detalle individual'!$B$5:$B$1000,"&lt;"&amp;'Detalle individual'!B485)+ROW()/10000,"")</f>
        <v/>
      </c>
      <c r="AK485" t="str">
        <f>IF(OR('Base Exámenes'!C485="",'Base Exámenes'!D485=""),"",IF(COUNTIF('Base Exámenes'!$C$5:C485,'Base Exámenes'!C485)=1,'Base Exámenes'!D485+ROW()/1000000000,""))</f>
        <v/>
      </c>
      <c r="AL485" t="str">
        <f>IF(OR('Base Exámenes'!C485="",'Base Exámenes'!E485=""),"",IF(COUNTIF('Base Exámenes'!$C$5:C485,'Base Exámenes'!C485)=1,'Base Exámenes'!E485+ROW()/1000000000,""))</f>
        <v/>
      </c>
      <c r="AM485" t="str">
        <f>IF(OR('Base Exámenes'!C485="",'Base Exámenes'!G485=""),"",IF(ROW()-4=MATCH('Base Exámenes'!C485&amp;"|"&amp;_xlfn.MAXIFS('Base Exámenes'!$G$5:$G$1000,'Base Exámenes'!$C$5:$C$1000,'Base Exámenes'!C485),'Base Exámenes'!$I$5:$I$1000,0),'Base Exámenes'!G485*1000000+(-1)*'Base Exámenes'!D485,""))</f>
        <v/>
      </c>
      <c r="AQ485" t="str">
        <f>IF('Base Exámenes'!C485="","",IF(COUNTIF('Base Exámenes'!$C$5:$C$1000,'Base Exámenes'!C485)&lt;2,"",MATCH('Base Exámenes'!C485,'Base Exámenes'!$C$5:$C$1000,0)*10000+ROW()))</f>
        <v/>
      </c>
    </row>
    <row r="486">
      <c r="Z486" t="str">
        <f>IF('Detalle individual'!A486="","",IF(AND(OR('Estado por Colaborador'!$D$4="Todas las gerencias",'Detalle individual'!D486='Estado por Colaborador'!$D$4),OR('Estado por Colaborador'!$D$5="Todos los departamentos",TRIM('Detalle individual'!C486)='Estado por Colaborador'!$D$5),OR('Estado por Colaborador'!$D$6="Todos",'Detalle individual'!F486='Estado por Colaborador'!$D$6)),IF('Detalle individual'!F486="Completado",30000000,IF('Detalle individual'!F486="Pendiente",0,15000000))+COUNTIF('Detalle individual'!$C$5:$C$1000,"&lt;"&amp;'Detalle individual'!C486)*10000+ROW(),""))</f>
        <v/>
      </c>
      <c r="AB486" t="str">
        <f>IF('Detalle individual'!C486="","",IF(COUNTIF('Detalle individual'!$C$5:C486,'Detalle individual'!C486)=1,COUNTIF('Detalle individual'!$C$5:$C$1000,"&lt;"&amp;'Detalle individual'!C486),""))</f>
        <v/>
      </c>
      <c r="AC486" t="str">
        <f>IF('Detalle individual'!D486="","",IF(COUNTIF('Detalle individual'!$D$5:D486,'Detalle individual'!D486)=1,COUNTIF('Detalle individual'!$D$5:$D$1000,"&lt;"&amp;'Detalle individual'!D486),""))</f>
        <v/>
      </c>
      <c r="AH486" t="str">
        <f>IF('Detalle individual'!F486="Pendiente",COUNTIF('Detalle individual'!$D$5:$D$1000,"&lt;"&amp;'Detalle individual'!D486)*1000000+COUNTIF('Detalle individual'!$C$5:$C$1000,"&lt;"&amp;'Detalle individual'!C486)*1000+COUNTIF('Detalle individual'!$B$5:$B$1000,"&lt;"&amp;'Detalle individual'!B486)+ROW()/10000,"")</f>
        <v/>
      </c>
      <c r="AI486" t="str">
        <f>IF('Detalle individual'!F486="Completado",COUNTIF('Detalle individual'!$D$5:$D$1000,"&lt;"&amp;'Detalle individual'!D486)*1000000+COUNTIF('Detalle individual'!$C$5:$C$1000,"&lt;"&amp;'Detalle individual'!C486)*1000+COUNTIF('Detalle individual'!$B$5:$B$1000,"&lt;"&amp;'Detalle individual'!B486)+ROW()/10000,"")</f>
        <v/>
      </c>
      <c r="AJ486" t="str">
        <f>IF(AND('Detalle individual'!F486&lt;&gt;"",'Detalle individual'!F486&lt;&gt;"Completado",'Detalle individual'!F486&lt;&gt;"Pendiente"),COUNTIF('Detalle individual'!$D$5:$D$1000,"&lt;"&amp;'Detalle individual'!D486)*1000000+COUNTIF('Detalle individual'!$C$5:$C$1000,"&lt;"&amp;'Detalle individual'!C486)*1000+COUNTIF('Detalle individual'!$B$5:$B$1000,"&lt;"&amp;'Detalle individual'!B486)+ROW()/10000,"")</f>
        <v/>
      </c>
      <c r="AK486" t="str">
        <f>IF(OR('Base Exámenes'!C486="",'Base Exámenes'!D486=""),"",IF(COUNTIF('Base Exámenes'!$C$5:C486,'Base Exámenes'!C486)=1,'Base Exámenes'!D486+ROW()/1000000000,""))</f>
        <v/>
      </c>
      <c r="AL486" t="str">
        <f>IF(OR('Base Exámenes'!C486="",'Base Exámenes'!E486=""),"",IF(COUNTIF('Base Exámenes'!$C$5:C486,'Base Exámenes'!C486)=1,'Base Exámenes'!E486+ROW()/1000000000,""))</f>
        <v/>
      </c>
      <c r="AM486" t="str">
        <f>IF(OR('Base Exámenes'!C486="",'Base Exámenes'!G486=""),"",IF(ROW()-4=MATCH('Base Exámenes'!C486&amp;"|"&amp;_xlfn.MAXIFS('Base Exámenes'!$G$5:$G$1000,'Base Exámenes'!$C$5:$C$1000,'Base Exámenes'!C486),'Base Exámenes'!$I$5:$I$1000,0),'Base Exámenes'!G486*1000000+(-1)*'Base Exámenes'!D486,""))</f>
        <v/>
      </c>
      <c r="AQ486" t="str">
        <f>IF('Base Exámenes'!C486="","",IF(COUNTIF('Base Exámenes'!$C$5:$C$1000,'Base Exámenes'!C486)&lt;2,"",MATCH('Base Exámenes'!C486,'Base Exámenes'!$C$5:$C$1000,0)*10000+ROW()))</f>
        <v/>
      </c>
    </row>
    <row r="487">
      <c r="Z487" t="str">
        <f>IF('Detalle individual'!A487="","",IF(AND(OR('Estado por Colaborador'!$D$4="Todas las gerencias",'Detalle individual'!D487='Estado por Colaborador'!$D$4),OR('Estado por Colaborador'!$D$5="Todos los departamentos",TRIM('Detalle individual'!C487)='Estado por Colaborador'!$D$5),OR('Estado por Colaborador'!$D$6="Todos",'Detalle individual'!F487='Estado por Colaborador'!$D$6)),IF('Detalle individual'!F487="Completado",30000000,IF('Detalle individual'!F487="Pendiente",0,15000000))+COUNTIF('Detalle individual'!$C$5:$C$1000,"&lt;"&amp;'Detalle individual'!C487)*10000+ROW(),""))</f>
        <v/>
      </c>
      <c r="AB487" t="str">
        <f>IF('Detalle individual'!C487="","",IF(COUNTIF('Detalle individual'!$C$5:C487,'Detalle individual'!C487)=1,COUNTIF('Detalle individual'!$C$5:$C$1000,"&lt;"&amp;'Detalle individual'!C487),""))</f>
        <v/>
      </c>
      <c r="AC487" t="str">
        <f>IF('Detalle individual'!D487="","",IF(COUNTIF('Detalle individual'!$D$5:D487,'Detalle individual'!D487)=1,COUNTIF('Detalle individual'!$D$5:$D$1000,"&lt;"&amp;'Detalle individual'!D487),""))</f>
        <v/>
      </c>
      <c r="AH487" t="str">
        <f>IF('Detalle individual'!F487="Pendiente",COUNTIF('Detalle individual'!$D$5:$D$1000,"&lt;"&amp;'Detalle individual'!D487)*1000000+COUNTIF('Detalle individual'!$C$5:$C$1000,"&lt;"&amp;'Detalle individual'!C487)*1000+COUNTIF('Detalle individual'!$B$5:$B$1000,"&lt;"&amp;'Detalle individual'!B487)+ROW()/10000,"")</f>
        <v/>
      </c>
      <c r="AI487" t="str">
        <f>IF('Detalle individual'!F487="Completado",COUNTIF('Detalle individual'!$D$5:$D$1000,"&lt;"&amp;'Detalle individual'!D487)*1000000+COUNTIF('Detalle individual'!$C$5:$C$1000,"&lt;"&amp;'Detalle individual'!C487)*1000+COUNTIF('Detalle individual'!$B$5:$B$1000,"&lt;"&amp;'Detalle individual'!B487)+ROW()/10000,"")</f>
        <v/>
      </c>
      <c r="AJ487" t="str">
        <f>IF(AND('Detalle individual'!F487&lt;&gt;"",'Detalle individual'!F487&lt;&gt;"Completado",'Detalle individual'!F487&lt;&gt;"Pendiente"),COUNTIF('Detalle individual'!$D$5:$D$1000,"&lt;"&amp;'Detalle individual'!D487)*1000000+COUNTIF('Detalle individual'!$C$5:$C$1000,"&lt;"&amp;'Detalle individual'!C487)*1000+COUNTIF('Detalle individual'!$B$5:$B$1000,"&lt;"&amp;'Detalle individual'!B487)+ROW()/10000,"")</f>
        <v/>
      </c>
      <c r="AK487" t="str">
        <f>IF(OR('Base Exámenes'!C487="",'Base Exámenes'!D487=""),"",IF(COUNTIF('Base Exámenes'!$C$5:C487,'Base Exámenes'!C487)=1,'Base Exámenes'!D487+ROW()/1000000000,""))</f>
        <v/>
      </c>
      <c r="AL487" t="str">
        <f>IF(OR('Base Exámenes'!C487="",'Base Exámenes'!E487=""),"",IF(COUNTIF('Base Exámenes'!$C$5:C487,'Base Exámenes'!C487)=1,'Base Exámenes'!E487+ROW()/1000000000,""))</f>
        <v/>
      </c>
      <c r="AM487" t="str">
        <f>IF(OR('Base Exámenes'!C487="",'Base Exámenes'!G487=""),"",IF(ROW()-4=MATCH('Base Exámenes'!C487&amp;"|"&amp;_xlfn.MAXIFS('Base Exámenes'!$G$5:$G$1000,'Base Exámenes'!$C$5:$C$1000,'Base Exámenes'!C487),'Base Exámenes'!$I$5:$I$1000,0),'Base Exámenes'!G487*1000000+(-1)*'Base Exámenes'!D487,""))</f>
        <v/>
      </c>
      <c r="AQ487" t="str">
        <f>IF('Base Exámenes'!C487="","",IF(COUNTIF('Base Exámenes'!$C$5:$C$1000,'Base Exámenes'!C487)&lt;2,"",MATCH('Base Exámenes'!C487,'Base Exámenes'!$C$5:$C$1000,0)*10000+ROW()))</f>
        <v/>
      </c>
    </row>
    <row r="488">
      <c r="Z488" t="str">
        <f>IF('Detalle individual'!A488="","",IF(AND(OR('Estado por Colaborador'!$D$4="Todas las gerencias",'Detalle individual'!D488='Estado por Colaborador'!$D$4),OR('Estado por Colaborador'!$D$5="Todos los departamentos",TRIM('Detalle individual'!C488)='Estado por Colaborador'!$D$5),OR('Estado por Colaborador'!$D$6="Todos",'Detalle individual'!F488='Estado por Colaborador'!$D$6)),IF('Detalle individual'!F488="Completado",30000000,IF('Detalle individual'!F488="Pendiente",0,15000000))+COUNTIF('Detalle individual'!$C$5:$C$1000,"&lt;"&amp;'Detalle individual'!C488)*10000+ROW(),""))</f>
        <v/>
      </c>
      <c r="AB488" t="str">
        <f>IF('Detalle individual'!C488="","",IF(COUNTIF('Detalle individual'!$C$5:C488,'Detalle individual'!C488)=1,COUNTIF('Detalle individual'!$C$5:$C$1000,"&lt;"&amp;'Detalle individual'!C488),""))</f>
        <v/>
      </c>
      <c r="AC488" t="str">
        <f>IF('Detalle individual'!D488="","",IF(COUNTIF('Detalle individual'!$D$5:D488,'Detalle individual'!D488)=1,COUNTIF('Detalle individual'!$D$5:$D$1000,"&lt;"&amp;'Detalle individual'!D488),""))</f>
        <v/>
      </c>
      <c r="AH488" t="str">
        <f>IF('Detalle individual'!F488="Pendiente",COUNTIF('Detalle individual'!$D$5:$D$1000,"&lt;"&amp;'Detalle individual'!D488)*1000000+COUNTIF('Detalle individual'!$C$5:$C$1000,"&lt;"&amp;'Detalle individual'!C488)*1000+COUNTIF('Detalle individual'!$B$5:$B$1000,"&lt;"&amp;'Detalle individual'!B488)+ROW()/10000,"")</f>
        <v/>
      </c>
      <c r="AI488" t="str">
        <f>IF('Detalle individual'!F488="Completado",COUNTIF('Detalle individual'!$D$5:$D$1000,"&lt;"&amp;'Detalle individual'!D488)*1000000+COUNTIF('Detalle individual'!$C$5:$C$1000,"&lt;"&amp;'Detalle individual'!C488)*1000+COUNTIF('Detalle individual'!$B$5:$B$1000,"&lt;"&amp;'Detalle individual'!B488)+ROW()/10000,"")</f>
        <v/>
      </c>
      <c r="AJ488" t="str">
        <f>IF(AND('Detalle individual'!F488&lt;&gt;"",'Detalle individual'!F488&lt;&gt;"Completado",'Detalle individual'!F488&lt;&gt;"Pendiente"),COUNTIF('Detalle individual'!$D$5:$D$1000,"&lt;"&amp;'Detalle individual'!D488)*1000000+COUNTIF('Detalle individual'!$C$5:$C$1000,"&lt;"&amp;'Detalle individual'!C488)*1000+COUNTIF('Detalle individual'!$B$5:$B$1000,"&lt;"&amp;'Detalle individual'!B488)+ROW()/10000,"")</f>
        <v/>
      </c>
      <c r="AK488" t="str">
        <f>IF(OR('Base Exámenes'!C488="",'Base Exámenes'!D488=""),"",IF(COUNTIF('Base Exámenes'!$C$5:C488,'Base Exámenes'!C488)=1,'Base Exámenes'!D488+ROW()/1000000000,""))</f>
        <v/>
      </c>
      <c r="AL488" t="str">
        <f>IF(OR('Base Exámenes'!C488="",'Base Exámenes'!E488=""),"",IF(COUNTIF('Base Exámenes'!$C$5:C488,'Base Exámenes'!C488)=1,'Base Exámenes'!E488+ROW()/1000000000,""))</f>
        <v/>
      </c>
      <c r="AM488" t="str">
        <f>IF(OR('Base Exámenes'!C488="",'Base Exámenes'!G488=""),"",IF(ROW()-4=MATCH('Base Exámenes'!C488&amp;"|"&amp;_xlfn.MAXIFS('Base Exámenes'!$G$5:$G$1000,'Base Exámenes'!$C$5:$C$1000,'Base Exámenes'!C488),'Base Exámenes'!$I$5:$I$1000,0),'Base Exámenes'!G488*1000000+(-1)*'Base Exámenes'!D488,""))</f>
        <v/>
      </c>
      <c r="AQ488" t="str">
        <f>IF('Base Exámenes'!C488="","",IF(COUNTIF('Base Exámenes'!$C$5:$C$1000,'Base Exámenes'!C488)&lt;2,"",MATCH('Base Exámenes'!C488,'Base Exámenes'!$C$5:$C$1000,0)*10000+ROW()))</f>
        <v/>
      </c>
    </row>
    <row r="489">
      <c r="Z489" t="str">
        <f>IF('Detalle individual'!A489="","",IF(AND(OR('Estado por Colaborador'!$D$4="Todas las gerencias",'Detalle individual'!D489='Estado por Colaborador'!$D$4),OR('Estado por Colaborador'!$D$5="Todos los departamentos",TRIM('Detalle individual'!C489)='Estado por Colaborador'!$D$5),OR('Estado por Colaborador'!$D$6="Todos",'Detalle individual'!F489='Estado por Colaborador'!$D$6)),IF('Detalle individual'!F489="Completado",30000000,IF('Detalle individual'!F489="Pendiente",0,15000000))+COUNTIF('Detalle individual'!$C$5:$C$1000,"&lt;"&amp;'Detalle individual'!C489)*10000+ROW(),""))</f>
        <v/>
      </c>
      <c r="AB489" t="str">
        <f>IF('Detalle individual'!C489="","",IF(COUNTIF('Detalle individual'!$C$5:C489,'Detalle individual'!C489)=1,COUNTIF('Detalle individual'!$C$5:$C$1000,"&lt;"&amp;'Detalle individual'!C489),""))</f>
        <v/>
      </c>
      <c r="AC489" t="str">
        <f>IF('Detalle individual'!D489="","",IF(COUNTIF('Detalle individual'!$D$5:D489,'Detalle individual'!D489)=1,COUNTIF('Detalle individual'!$D$5:$D$1000,"&lt;"&amp;'Detalle individual'!D489),""))</f>
        <v/>
      </c>
      <c r="AH489" t="str">
        <f>IF('Detalle individual'!F489="Pendiente",COUNTIF('Detalle individual'!$D$5:$D$1000,"&lt;"&amp;'Detalle individual'!D489)*1000000+COUNTIF('Detalle individual'!$C$5:$C$1000,"&lt;"&amp;'Detalle individual'!C489)*1000+COUNTIF('Detalle individual'!$B$5:$B$1000,"&lt;"&amp;'Detalle individual'!B489)+ROW()/10000,"")</f>
        <v/>
      </c>
      <c r="AI489" t="str">
        <f>IF('Detalle individual'!F489="Completado",COUNTIF('Detalle individual'!$D$5:$D$1000,"&lt;"&amp;'Detalle individual'!D489)*1000000+COUNTIF('Detalle individual'!$C$5:$C$1000,"&lt;"&amp;'Detalle individual'!C489)*1000+COUNTIF('Detalle individual'!$B$5:$B$1000,"&lt;"&amp;'Detalle individual'!B489)+ROW()/10000,"")</f>
        <v/>
      </c>
      <c r="AJ489" t="str">
        <f>IF(AND('Detalle individual'!F489&lt;&gt;"",'Detalle individual'!F489&lt;&gt;"Completado",'Detalle individual'!F489&lt;&gt;"Pendiente"),COUNTIF('Detalle individual'!$D$5:$D$1000,"&lt;"&amp;'Detalle individual'!D489)*1000000+COUNTIF('Detalle individual'!$C$5:$C$1000,"&lt;"&amp;'Detalle individual'!C489)*1000+COUNTIF('Detalle individual'!$B$5:$B$1000,"&lt;"&amp;'Detalle individual'!B489)+ROW()/10000,"")</f>
        <v/>
      </c>
      <c r="AK489" t="str">
        <f>IF(OR('Base Exámenes'!C489="",'Base Exámenes'!D489=""),"",IF(COUNTIF('Base Exámenes'!$C$5:C489,'Base Exámenes'!C489)=1,'Base Exámenes'!D489+ROW()/1000000000,""))</f>
        <v/>
      </c>
      <c r="AL489" t="str">
        <f>IF(OR('Base Exámenes'!C489="",'Base Exámenes'!E489=""),"",IF(COUNTIF('Base Exámenes'!$C$5:C489,'Base Exámenes'!C489)=1,'Base Exámenes'!E489+ROW()/1000000000,""))</f>
        <v/>
      </c>
      <c r="AM489" t="str">
        <f>IF(OR('Base Exámenes'!C489="",'Base Exámenes'!G489=""),"",IF(ROW()-4=MATCH('Base Exámenes'!C489&amp;"|"&amp;_xlfn.MAXIFS('Base Exámenes'!$G$5:$G$1000,'Base Exámenes'!$C$5:$C$1000,'Base Exámenes'!C489),'Base Exámenes'!$I$5:$I$1000,0),'Base Exámenes'!G489*1000000+(-1)*'Base Exámenes'!D489,""))</f>
        <v/>
      </c>
      <c r="AQ489" t="str">
        <f>IF('Base Exámenes'!C489="","",IF(COUNTIF('Base Exámenes'!$C$5:$C$1000,'Base Exámenes'!C489)&lt;2,"",MATCH('Base Exámenes'!C489,'Base Exámenes'!$C$5:$C$1000,0)*10000+ROW()))</f>
        <v/>
      </c>
    </row>
    <row r="490">
      <c r="Z490" t="str">
        <f>IF('Detalle individual'!A490="","",IF(AND(OR('Estado por Colaborador'!$D$4="Todas las gerencias",'Detalle individual'!D490='Estado por Colaborador'!$D$4),OR('Estado por Colaborador'!$D$5="Todos los departamentos",TRIM('Detalle individual'!C490)='Estado por Colaborador'!$D$5),OR('Estado por Colaborador'!$D$6="Todos",'Detalle individual'!F490='Estado por Colaborador'!$D$6)),IF('Detalle individual'!F490="Completado",30000000,IF('Detalle individual'!F490="Pendiente",0,15000000))+COUNTIF('Detalle individual'!$C$5:$C$1000,"&lt;"&amp;'Detalle individual'!C490)*10000+ROW(),""))</f>
        <v/>
      </c>
      <c r="AB490" t="str">
        <f>IF('Detalle individual'!C490="","",IF(COUNTIF('Detalle individual'!$C$5:C490,'Detalle individual'!C490)=1,COUNTIF('Detalle individual'!$C$5:$C$1000,"&lt;"&amp;'Detalle individual'!C490),""))</f>
        <v/>
      </c>
      <c r="AC490" t="str">
        <f>IF('Detalle individual'!D490="","",IF(COUNTIF('Detalle individual'!$D$5:D490,'Detalle individual'!D490)=1,COUNTIF('Detalle individual'!$D$5:$D$1000,"&lt;"&amp;'Detalle individual'!D490),""))</f>
        <v/>
      </c>
      <c r="AH490" t="str">
        <f>IF('Detalle individual'!F490="Pendiente",COUNTIF('Detalle individual'!$D$5:$D$1000,"&lt;"&amp;'Detalle individual'!D490)*1000000+COUNTIF('Detalle individual'!$C$5:$C$1000,"&lt;"&amp;'Detalle individual'!C490)*1000+COUNTIF('Detalle individual'!$B$5:$B$1000,"&lt;"&amp;'Detalle individual'!B490)+ROW()/10000,"")</f>
        <v/>
      </c>
      <c r="AI490" t="str">
        <f>IF('Detalle individual'!F490="Completado",COUNTIF('Detalle individual'!$D$5:$D$1000,"&lt;"&amp;'Detalle individual'!D490)*1000000+COUNTIF('Detalle individual'!$C$5:$C$1000,"&lt;"&amp;'Detalle individual'!C490)*1000+COUNTIF('Detalle individual'!$B$5:$B$1000,"&lt;"&amp;'Detalle individual'!B490)+ROW()/10000,"")</f>
        <v/>
      </c>
      <c r="AJ490" t="str">
        <f>IF(AND('Detalle individual'!F490&lt;&gt;"",'Detalle individual'!F490&lt;&gt;"Completado",'Detalle individual'!F490&lt;&gt;"Pendiente"),COUNTIF('Detalle individual'!$D$5:$D$1000,"&lt;"&amp;'Detalle individual'!D490)*1000000+COUNTIF('Detalle individual'!$C$5:$C$1000,"&lt;"&amp;'Detalle individual'!C490)*1000+COUNTIF('Detalle individual'!$B$5:$B$1000,"&lt;"&amp;'Detalle individual'!B490)+ROW()/10000,"")</f>
        <v/>
      </c>
      <c r="AK490" t="str">
        <f>IF(OR('Base Exámenes'!C490="",'Base Exámenes'!D490=""),"",IF(COUNTIF('Base Exámenes'!$C$5:C490,'Base Exámenes'!C490)=1,'Base Exámenes'!D490+ROW()/1000000000,""))</f>
        <v/>
      </c>
      <c r="AL490" t="str">
        <f>IF(OR('Base Exámenes'!C490="",'Base Exámenes'!E490=""),"",IF(COUNTIF('Base Exámenes'!$C$5:C490,'Base Exámenes'!C490)=1,'Base Exámenes'!E490+ROW()/1000000000,""))</f>
        <v/>
      </c>
      <c r="AM490" t="str">
        <f>IF(OR('Base Exámenes'!C490="",'Base Exámenes'!G490=""),"",IF(ROW()-4=MATCH('Base Exámenes'!C490&amp;"|"&amp;_xlfn.MAXIFS('Base Exámenes'!$G$5:$G$1000,'Base Exámenes'!$C$5:$C$1000,'Base Exámenes'!C490),'Base Exámenes'!$I$5:$I$1000,0),'Base Exámenes'!G490*1000000+(-1)*'Base Exámenes'!D490,""))</f>
        <v/>
      </c>
      <c r="AQ490" t="str">
        <f>IF('Base Exámenes'!C490="","",IF(COUNTIF('Base Exámenes'!$C$5:$C$1000,'Base Exámenes'!C490)&lt;2,"",MATCH('Base Exámenes'!C490,'Base Exámenes'!$C$5:$C$1000,0)*10000+ROW()))</f>
        <v/>
      </c>
    </row>
    <row r="491">
      <c r="Z491" t="str">
        <f>IF('Detalle individual'!A491="","",IF(AND(OR('Estado por Colaborador'!$D$4="Todas las gerencias",'Detalle individual'!D491='Estado por Colaborador'!$D$4),OR('Estado por Colaborador'!$D$5="Todos los departamentos",TRIM('Detalle individual'!C491)='Estado por Colaborador'!$D$5),OR('Estado por Colaborador'!$D$6="Todos",'Detalle individual'!F491='Estado por Colaborador'!$D$6)),IF('Detalle individual'!F491="Completado",30000000,IF('Detalle individual'!F491="Pendiente",0,15000000))+COUNTIF('Detalle individual'!$C$5:$C$1000,"&lt;"&amp;'Detalle individual'!C491)*10000+ROW(),""))</f>
        <v/>
      </c>
      <c r="AB491" t="str">
        <f>IF('Detalle individual'!C491="","",IF(COUNTIF('Detalle individual'!$C$5:C491,'Detalle individual'!C491)=1,COUNTIF('Detalle individual'!$C$5:$C$1000,"&lt;"&amp;'Detalle individual'!C491),""))</f>
        <v/>
      </c>
      <c r="AC491" t="str">
        <f>IF('Detalle individual'!D491="","",IF(COUNTIF('Detalle individual'!$D$5:D491,'Detalle individual'!D491)=1,COUNTIF('Detalle individual'!$D$5:$D$1000,"&lt;"&amp;'Detalle individual'!D491),""))</f>
        <v/>
      </c>
      <c r="AH491" t="str">
        <f>IF('Detalle individual'!F491="Pendiente",COUNTIF('Detalle individual'!$D$5:$D$1000,"&lt;"&amp;'Detalle individual'!D491)*1000000+COUNTIF('Detalle individual'!$C$5:$C$1000,"&lt;"&amp;'Detalle individual'!C491)*1000+COUNTIF('Detalle individual'!$B$5:$B$1000,"&lt;"&amp;'Detalle individual'!B491)+ROW()/10000,"")</f>
        <v/>
      </c>
      <c r="AI491" t="str">
        <f>IF('Detalle individual'!F491="Completado",COUNTIF('Detalle individual'!$D$5:$D$1000,"&lt;"&amp;'Detalle individual'!D491)*1000000+COUNTIF('Detalle individual'!$C$5:$C$1000,"&lt;"&amp;'Detalle individual'!C491)*1000+COUNTIF('Detalle individual'!$B$5:$B$1000,"&lt;"&amp;'Detalle individual'!B491)+ROW()/10000,"")</f>
        <v/>
      </c>
      <c r="AJ491" t="str">
        <f>IF(AND('Detalle individual'!F491&lt;&gt;"",'Detalle individual'!F491&lt;&gt;"Completado",'Detalle individual'!F491&lt;&gt;"Pendiente"),COUNTIF('Detalle individual'!$D$5:$D$1000,"&lt;"&amp;'Detalle individual'!D491)*1000000+COUNTIF('Detalle individual'!$C$5:$C$1000,"&lt;"&amp;'Detalle individual'!C491)*1000+COUNTIF('Detalle individual'!$B$5:$B$1000,"&lt;"&amp;'Detalle individual'!B491)+ROW()/10000,"")</f>
        <v/>
      </c>
      <c r="AK491" t="str">
        <f>IF(OR('Base Exámenes'!C491="",'Base Exámenes'!D491=""),"",IF(COUNTIF('Base Exámenes'!$C$5:C491,'Base Exámenes'!C491)=1,'Base Exámenes'!D491+ROW()/1000000000,""))</f>
        <v/>
      </c>
      <c r="AL491" t="str">
        <f>IF(OR('Base Exámenes'!C491="",'Base Exámenes'!E491=""),"",IF(COUNTIF('Base Exámenes'!$C$5:C491,'Base Exámenes'!C491)=1,'Base Exámenes'!E491+ROW()/1000000000,""))</f>
        <v/>
      </c>
      <c r="AM491" t="str">
        <f>IF(OR('Base Exámenes'!C491="",'Base Exámenes'!G491=""),"",IF(ROW()-4=MATCH('Base Exámenes'!C491&amp;"|"&amp;_xlfn.MAXIFS('Base Exámenes'!$G$5:$G$1000,'Base Exámenes'!$C$5:$C$1000,'Base Exámenes'!C491),'Base Exámenes'!$I$5:$I$1000,0),'Base Exámenes'!G491*1000000+(-1)*'Base Exámenes'!D491,""))</f>
        <v/>
      </c>
      <c r="AQ491" t="str">
        <f>IF('Base Exámenes'!C491="","",IF(COUNTIF('Base Exámenes'!$C$5:$C$1000,'Base Exámenes'!C491)&lt;2,"",MATCH('Base Exámenes'!C491,'Base Exámenes'!$C$5:$C$1000,0)*10000+ROW()))</f>
        <v/>
      </c>
    </row>
    <row r="492">
      <c r="Z492" t="str">
        <f>IF('Detalle individual'!A492="","",IF(AND(OR('Estado por Colaborador'!$D$4="Todas las gerencias",'Detalle individual'!D492='Estado por Colaborador'!$D$4),OR('Estado por Colaborador'!$D$5="Todos los departamentos",TRIM('Detalle individual'!C492)='Estado por Colaborador'!$D$5),OR('Estado por Colaborador'!$D$6="Todos",'Detalle individual'!F492='Estado por Colaborador'!$D$6)),IF('Detalle individual'!F492="Completado",30000000,IF('Detalle individual'!F492="Pendiente",0,15000000))+COUNTIF('Detalle individual'!$C$5:$C$1000,"&lt;"&amp;'Detalle individual'!C492)*10000+ROW(),""))</f>
        <v/>
      </c>
      <c r="AB492" t="str">
        <f>IF('Detalle individual'!C492="","",IF(COUNTIF('Detalle individual'!$C$5:C492,'Detalle individual'!C492)=1,COUNTIF('Detalle individual'!$C$5:$C$1000,"&lt;"&amp;'Detalle individual'!C492),""))</f>
        <v/>
      </c>
      <c r="AC492" t="str">
        <f>IF('Detalle individual'!D492="","",IF(COUNTIF('Detalle individual'!$D$5:D492,'Detalle individual'!D492)=1,COUNTIF('Detalle individual'!$D$5:$D$1000,"&lt;"&amp;'Detalle individual'!D492),""))</f>
        <v/>
      </c>
      <c r="AH492" t="str">
        <f>IF('Detalle individual'!F492="Pendiente",COUNTIF('Detalle individual'!$D$5:$D$1000,"&lt;"&amp;'Detalle individual'!D492)*1000000+COUNTIF('Detalle individual'!$C$5:$C$1000,"&lt;"&amp;'Detalle individual'!C492)*1000+COUNTIF('Detalle individual'!$B$5:$B$1000,"&lt;"&amp;'Detalle individual'!B492)+ROW()/10000,"")</f>
        <v/>
      </c>
      <c r="AI492" t="str">
        <f>IF('Detalle individual'!F492="Completado",COUNTIF('Detalle individual'!$D$5:$D$1000,"&lt;"&amp;'Detalle individual'!D492)*1000000+COUNTIF('Detalle individual'!$C$5:$C$1000,"&lt;"&amp;'Detalle individual'!C492)*1000+COUNTIF('Detalle individual'!$B$5:$B$1000,"&lt;"&amp;'Detalle individual'!B492)+ROW()/10000,"")</f>
        <v/>
      </c>
      <c r="AJ492" t="str">
        <f>IF(AND('Detalle individual'!F492&lt;&gt;"",'Detalle individual'!F492&lt;&gt;"Completado",'Detalle individual'!F492&lt;&gt;"Pendiente"),COUNTIF('Detalle individual'!$D$5:$D$1000,"&lt;"&amp;'Detalle individual'!D492)*1000000+COUNTIF('Detalle individual'!$C$5:$C$1000,"&lt;"&amp;'Detalle individual'!C492)*1000+COUNTIF('Detalle individual'!$B$5:$B$1000,"&lt;"&amp;'Detalle individual'!B492)+ROW()/10000,"")</f>
        <v/>
      </c>
      <c r="AK492" t="str">
        <f>IF(OR('Base Exámenes'!C492="",'Base Exámenes'!D492=""),"",IF(COUNTIF('Base Exámenes'!$C$5:C492,'Base Exámenes'!C492)=1,'Base Exámenes'!D492+ROW()/1000000000,""))</f>
        <v/>
      </c>
      <c r="AL492" t="str">
        <f>IF(OR('Base Exámenes'!C492="",'Base Exámenes'!E492=""),"",IF(COUNTIF('Base Exámenes'!$C$5:C492,'Base Exámenes'!C492)=1,'Base Exámenes'!E492+ROW()/1000000000,""))</f>
        <v/>
      </c>
      <c r="AM492" t="str">
        <f>IF(OR('Base Exámenes'!C492="",'Base Exámenes'!G492=""),"",IF(ROW()-4=MATCH('Base Exámenes'!C492&amp;"|"&amp;_xlfn.MAXIFS('Base Exámenes'!$G$5:$G$1000,'Base Exámenes'!$C$5:$C$1000,'Base Exámenes'!C492),'Base Exámenes'!$I$5:$I$1000,0),'Base Exámenes'!G492*1000000+(-1)*'Base Exámenes'!D492,""))</f>
        <v/>
      </c>
      <c r="AQ492" t="str">
        <f>IF('Base Exámenes'!C492="","",IF(COUNTIF('Base Exámenes'!$C$5:$C$1000,'Base Exámenes'!C492)&lt;2,"",MATCH('Base Exámenes'!C492,'Base Exámenes'!$C$5:$C$1000,0)*10000+ROW()))</f>
        <v/>
      </c>
    </row>
    <row r="493">
      <c r="Z493" t="str">
        <f>IF('Detalle individual'!A493="","",IF(AND(OR('Estado por Colaborador'!$D$4="Todas las gerencias",'Detalle individual'!D493='Estado por Colaborador'!$D$4),OR('Estado por Colaborador'!$D$5="Todos los departamentos",TRIM('Detalle individual'!C493)='Estado por Colaborador'!$D$5),OR('Estado por Colaborador'!$D$6="Todos",'Detalle individual'!F493='Estado por Colaborador'!$D$6)),IF('Detalle individual'!F493="Completado",30000000,IF('Detalle individual'!F493="Pendiente",0,15000000))+COUNTIF('Detalle individual'!$C$5:$C$1000,"&lt;"&amp;'Detalle individual'!C493)*10000+ROW(),""))</f>
        <v/>
      </c>
      <c r="AB493" t="str">
        <f>IF('Detalle individual'!C493="","",IF(COUNTIF('Detalle individual'!$C$5:C493,'Detalle individual'!C493)=1,COUNTIF('Detalle individual'!$C$5:$C$1000,"&lt;"&amp;'Detalle individual'!C493),""))</f>
        <v/>
      </c>
      <c r="AC493" t="str">
        <f>IF('Detalle individual'!D493="","",IF(COUNTIF('Detalle individual'!$D$5:D493,'Detalle individual'!D493)=1,COUNTIF('Detalle individual'!$D$5:$D$1000,"&lt;"&amp;'Detalle individual'!D493),""))</f>
        <v/>
      </c>
      <c r="AH493" t="str">
        <f>IF('Detalle individual'!F493="Pendiente",COUNTIF('Detalle individual'!$D$5:$D$1000,"&lt;"&amp;'Detalle individual'!D493)*1000000+COUNTIF('Detalle individual'!$C$5:$C$1000,"&lt;"&amp;'Detalle individual'!C493)*1000+COUNTIF('Detalle individual'!$B$5:$B$1000,"&lt;"&amp;'Detalle individual'!B493)+ROW()/10000,"")</f>
        <v/>
      </c>
      <c r="AI493" t="str">
        <f>IF('Detalle individual'!F493="Completado",COUNTIF('Detalle individual'!$D$5:$D$1000,"&lt;"&amp;'Detalle individual'!D493)*1000000+COUNTIF('Detalle individual'!$C$5:$C$1000,"&lt;"&amp;'Detalle individual'!C493)*1000+COUNTIF('Detalle individual'!$B$5:$B$1000,"&lt;"&amp;'Detalle individual'!B493)+ROW()/10000,"")</f>
        <v/>
      </c>
      <c r="AJ493" t="str">
        <f>IF(AND('Detalle individual'!F493&lt;&gt;"",'Detalle individual'!F493&lt;&gt;"Completado",'Detalle individual'!F493&lt;&gt;"Pendiente"),COUNTIF('Detalle individual'!$D$5:$D$1000,"&lt;"&amp;'Detalle individual'!D493)*1000000+COUNTIF('Detalle individual'!$C$5:$C$1000,"&lt;"&amp;'Detalle individual'!C493)*1000+COUNTIF('Detalle individual'!$B$5:$B$1000,"&lt;"&amp;'Detalle individual'!B493)+ROW()/10000,"")</f>
        <v/>
      </c>
      <c r="AK493" t="str">
        <f>IF(OR('Base Exámenes'!C493="",'Base Exámenes'!D493=""),"",IF(COUNTIF('Base Exámenes'!$C$5:C493,'Base Exámenes'!C493)=1,'Base Exámenes'!D493+ROW()/1000000000,""))</f>
        <v/>
      </c>
      <c r="AL493" t="str">
        <f>IF(OR('Base Exámenes'!C493="",'Base Exámenes'!E493=""),"",IF(COUNTIF('Base Exámenes'!$C$5:C493,'Base Exámenes'!C493)=1,'Base Exámenes'!E493+ROW()/1000000000,""))</f>
        <v/>
      </c>
      <c r="AM493" t="str">
        <f>IF(OR('Base Exámenes'!C493="",'Base Exámenes'!G493=""),"",IF(ROW()-4=MATCH('Base Exámenes'!C493&amp;"|"&amp;_xlfn.MAXIFS('Base Exámenes'!$G$5:$G$1000,'Base Exámenes'!$C$5:$C$1000,'Base Exámenes'!C493),'Base Exámenes'!$I$5:$I$1000,0),'Base Exámenes'!G493*1000000+(-1)*'Base Exámenes'!D493,""))</f>
        <v/>
      </c>
      <c r="AQ493" t="str">
        <f>IF('Base Exámenes'!C493="","",IF(COUNTIF('Base Exámenes'!$C$5:$C$1000,'Base Exámenes'!C493)&lt;2,"",MATCH('Base Exámenes'!C493,'Base Exámenes'!$C$5:$C$1000,0)*10000+ROW()))</f>
        <v/>
      </c>
    </row>
    <row r="494">
      <c r="Z494" t="str">
        <f>IF('Detalle individual'!A494="","",IF(AND(OR('Estado por Colaborador'!$D$4="Todas las gerencias",'Detalle individual'!D494='Estado por Colaborador'!$D$4),OR('Estado por Colaborador'!$D$5="Todos los departamentos",TRIM('Detalle individual'!C494)='Estado por Colaborador'!$D$5),OR('Estado por Colaborador'!$D$6="Todos",'Detalle individual'!F494='Estado por Colaborador'!$D$6)),IF('Detalle individual'!F494="Completado",30000000,IF('Detalle individual'!F494="Pendiente",0,15000000))+COUNTIF('Detalle individual'!$C$5:$C$1000,"&lt;"&amp;'Detalle individual'!C494)*10000+ROW(),""))</f>
        <v/>
      </c>
      <c r="AB494" t="str">
        <f>IF('Detalle individual'!C494="","",IF(COUNTIF('Detalle individual'!$C$5:C494,'Detalle individual'!C494)=1,COUNTIF('Detalle individual'!$C$5:$C$1000,"&lt;"&amp;'Detalle individual'!C494),""))</f>
        <v/>
      </c>
      <c r="AC494" t="str">
        <f>IF('Detalle individual'!D494="","",IF(COUNTIF('Detalle individual'!$D$5:D494,'Detalle individual'!D494)=1,COUNTIF('Detalle individual'!$D$5:$D$1000,"&lt;"&amp;'Detalle individual'!D494),""))</f>
        <v/>
      </c>
      <c r="AH494" t="str">
        <f>IF('Detalle individual'!F494="Pendiente",COUNTIF('Detalle individual'!$D$5:$D$1000,"&lt;"&amp;'Detalle individual'!D494)*1000000+COUNTIF('Detalle individual'!$C$5:$C$1000,"&lt;"&amp;'Detalle individual'!C494)*1000+COUNTIF('Detalle individual'!$B$5:$B$1000,"&lt;"&amp;'Detalle individual'!B494)+ROW()/10000,"")</f>
        <v/>
      </c>
      <c r="AI494" t="str">
        <f>IF('Detalle individual'!F494="Completado",COUNTIF('Detalle individual'!$D$5:$D$1000,"&lt;"&amp;'Detalle individual'!D494)*1000000+COUNTIF('Detalle individual'!$C$5:$C$1000,"&lt;"&amp;'Detalle individual'!C494)*1000+COUNTIF('Detalle individual'!$B$5:$B$1000,"&lt;"&amp;'Detalle individual'!B494)+ROW()/10000,"")</f>
        <v/>
      </c>
      <c r="AJ494" t="str">
        <f>IF(AND('Detalle individual'!F494&lt;&gt;"",'Detalle individual'!F494&lt;&gt;"Completado",'Detalle individual'!F494&lt;&gt;"Pendiente"),COUNTIF('Detalle individual'!$D$5:$D$1000,"&lt;"&amp;'Detalle individual'!D494)*1000000+COUNTIF('Detalle individual'!$C$5:$C$1000,"&lt;"&amp;'Detalle individual'!C494)*1000+COUNTIF('Detalle individual'!$B$5:$B$1000,"&lt;"&amp;'Detalle individual'!B494)+ROW()/10000,"")</f>
        <v/>
      </c>
      <c r="AK494" t="str">
        <f>IF(OR('Base Exámenes'!C494="",'Base Exámenes'!D494=""),"",IF(COUNTIF('Base Exámenes'!$C$5:C494,'Base Exámenes'!C494)=1,'Base Exámenes'!D494+ROW()/1000000000,""))</f>
        <v/>
      </c>
      <c r="AL494" t="str">
        <f>IF(OR('Base Exámenes'!C494="",'Base Exámenes'!E494=""),"",IF(COUNTIF('Base Exámenes'!$C$5:C494,'Base Exámenes'!C494)=1,'Base Exámenes'!E494+ROW()/1000000000,""))</f>
        <v/>
      </c>
      <c r="AM494" t="str">
        <f>IF(OR('Base Exámenes'!C494="",'Base Exámenes'!G494=""),"",IF(ROW()-4=MATCH('Base Exámenes'!C494&amp;"|"&amp;_xlfn.MAXIFS('Base Exámenes'!$G$5:$G$1000,'Base Exámenes'!$C$5:$C$1000,'Base Exámenes'!C494),'Base Exámenes'!$I$5:$I$1000,0),'Base Exámenes'!G494*1000000+(-1)*'Base Exámenes'!D494,""))</f>
        <v/>
      </c>
      <c r="AQ494" t="str">
        <f>IF('Base Exámenes'!C494="","",IF(COUNTIF('Base Exámenes'!$C$5:$C$1000,'Base Exámenes'!C494)&lt;2,"",MATCH('Base Exámenes'!C494,'Base Exámenes'!$C$5:$C$1000,0)*10000+ROW()))</f>
        <v/>
      </c>
    </row>
    <row r="495">
      <c r="Z495" t="str">
        <f>IF('Detalle individual'!A495="","",IF(AND(OR('Estado por Colaborador'!$D$4="Todas las gerencias",'Detalle individual'!D495='Estado por Colaborador'!$D$4),OR('Estado por Colaborador'!$D$5="Todos los departamentos",TRIM('Detalle individual'!C495)='Estado por Colaborador'!$D$5),OR('Estado por Colaborador'!$D$6="Todos",'Detalle individual'!F495='Estado por Colaborador'!$D$6)),IF('Detalle individual'!F495="Completado",30000000,IF('Detalle individual'!F495="Pendiente",0,15000000))+COUNTIF('Detalle individual'!$C$5:$C$1000,"&lt;"&amp;'Detalle individual'!C495)*10000+ROW(),""))</f>
        <v/>
      </c>
      <c r="AB495" t="str">
        <f>IF('Detalle individual'!C495="","",IF(COUNTIF('Detalle individual'!$C$5:C495,'Detalle individual'!C495)=1,COUNTIF('Detalle individual'!$C$5:$C$1000,"&lt;"&amp;'Detalle individual'!C495),""))</f>
        <v/>
      </c>
      <c r="AC495" t="str">
        <f>IF('Detalle individual'!D495="","",IF(COUNTIF('Detalle individual'!$D$5:D495,'Detalle individual'!D495)=1,COUNTIF('Detalle individual'!$D$5:$D$1000,"&lt;"&amp;'Detalle individual'!D495),""))</f>
        <v/>
      </c>
      <c r="AH495" t="str">
        <f>IF('Detalle individual'!F495="Pendiente",COUNTIF('Detalle individual'!$D$5:$D$1000,"&lt;"&amp;'Detalle individual'!D495)*1000000+COUNTIF('Detalle individual'!$C$5:$C$1000,"&lt;"&amp;'Detalle individual'!C495)*1000+COUNTIF('Detalle individual'!$B$5:$B$1000,"&lt;"&amp;'Detalle individual'!B495)+ROW()/10000,"")</f>
        <v/>
      </c>
      <c r="AI495" t="str">
        <f>IF('Detalle individual'!F495="Completado",COUNTIF('Detalle individual'!$D$5:$D$1000,"&lt;"&amp;'Detalle individual'!D495)*1000000+COUNTIF('Detalle individual'!$C$5:$C$1000,"&lt;"&amp;'Detalle individual'!C495)*1000+COUNTIF('Detalle individual'!$B$5:$B$1000,"&lt;"&amp;'Detalle individual'!B495)+ROW()/10000,"")</f>
        <v/>
      </c>
      <c r="AJ495" t="str">
        <f>IF(AND('Detalle individual'!F495&lt;&gt;"",'Detalle individual'!F495&lt;&gt;"Completado",'Detalle individual'!F495&lt;&gt;"Pendiente"),COUNTIF('Detalle individual'!$D$5:$D$1000,"&lt;"&amp;'Detalle individual'!D495)*1000000+COUNTIF('Detalle individual'!$C$5:$C$1000,"&lt;"&amp;'Detalle individual'!C495)*1000+COUNTIF('Detalle individual'!$B$5:$B$1000,"&lt;"&amp;'Detalle individual'!B495)+ROW()/10000,"")</f>
        <v/>
      </c>
      <c r="AK495" t="str">
        <f>IF(OR('Base Exámenes'!C495="",'Base Exámenes'!D495=""),"",IF(COUNTIF('Base Exámenes'!$C$5:C495,'Base Exámenes'!C495)=1,'Base Exámenes'!D495+ROW()/1000000000,""))</f>
        <v/>
      </c>
      <c r="AL495" t="str">
        <f>IF(OR('Base Exámenes'!C495="",'Base Exámenes'!E495=""),"",IF(COUNTIF('Base Exámenes'!$C$5:C495,'Base Exámenes'!C495)=1,'Base Exámenes'!E495+ROW()/1000000000,""))</f>
        <v/>
      </c>
      <c r="AM495" t="str">
        <f>IF(OR('Base Exámenes'!C495="",'Base Exámenes'!G495=""),"",IF(ROW()-4=MATCH('Base Exámenes'!C495&amp;"|"&amp;_xlfn.MAXIFS('Base Exámenes'!$G$5:$G$1000,'Base Exámenes'!$C$5:$C$1000,'Base Exámenes'!C495),'Base Exámenes'!$I$5:$I$1000,0),'Base Exámenes'!G495*1000000+(-1)*'Base Exámenes'!D495,""))</f>
        <v/>
      </c>
      <c r="AQ495" t="str">
        <f>IF('Base Exámenes'!C495="","",IF(COUNTIF('Base Exámenes'!$C$5:$C$1000,'Base Exámenes'!C495)&lt;2,"",MATCH('Base Exámenes'!C495,'Base Exámenes'!$C$5:$C$1000,0)*10000+ROW()))</f>
        <v/>
      </c>
    </row>
    <row r="496">
      <c r="Z496" t="str">
        <f>IF('Detalle individual'!A496="","",IF(AND(OR('Estado por Colaborador'!$D$4="Todas las gerencias",'Detalle individual'!D496='Estado por Colaborador'!$D$4),OR('Estado por Colaborador'!$D$5="Todos los departamentos",TRIM('Detalle individual'!C496)='Estado por Colaborador'!$D$5),OR('Estado por Colaborador'!$D$6="Todos",'Detalle individual'!F496='Estado por Colaborador'!$D$6)),IF('Detalle individual'!F496="Completado",30000000,IF('Detalle individual'!F496="Pendiente",0,15000000))+COUNTIF('Detalle individual'!$C$5:$C$1000,"&lt;"&amp;'Detalle individual'!C496)*10000+ROW(),""))</f>
        <v/>
      </c>
      <c r="AB496" t="str">
        <f>IF('Detalle individual'!C496="","",IF(COUNTIF('Detalle individual'!$C$5:C496,'Detalle individual'!C496)=1,COUNTIF('Detalle individual'!$C$5:$C$1000,"&lt;"&amp;'Detalle individual'!C496),""))</f>
        <v/>
      </c>
      <c r="AC496" t="str">
        <f>IF('Detalle individual'!D496="","",IF(COUNTIF('Detalle individual'!$D$5:D496,'Detalle individual'!D496)=1,COUNTIF('Detalle individual'!$D$5:$D$1000,"&lt;"&amp;'Detalle individual'!D496),""))</f>
        <v/>
      </c>
      <c r="AH496" t="str">
        <f>IF('Detalle individual'!F496="Pendiente",COUNTIF('Detalle individual'!$D$5:$D$1000,"&lt;"&amp;'Detalle individual'!D496)*1000000+COUNTIF('Detalle individual'!$C$5:$C$1000,"&lt;"&amp;'Detalle individual'!C496)*1000+COUNTIF('Detalle individual'!$B$5:$B$1000,"&lt;"&amp;'Detalle individual'!B496)+ROW()/10000,"")</f>
        <v/>
      </c>
      <c r="AI496" t="str">
        <f>IF('Detalle individual'!F496="Completado",COUNTIF('Detalle individual'!$D$5:$D$1000,"&lt;"&amp;'Detalle individual'!D496)*1000000+COUNTIF('Detalle individual'!$C$5:$C$1000,"&lt;"&amp;'Detalle individual'!C496)*1000+COUNTIF('Detalle individual'!$B$5:$B$1000,"&lt;"&amp;'Detalle individual'!B496)+ROW()/10000,"")</f>
        <v/>
      </c>
      <c r="AJ496" t="str">
        <f>IF(AND('Detalle individual'!F496&lt;&gt;"",'Detalle individual'!F496&lt;&gt;"Completado",'Detalle individual'!F496&lt;&gt;"Pendiente"),COUNTIF('Detalle individual'!$D$5:$D$1000,"&lt;"&amp;'Detalle individual'!D496)*1000000+COUNTIF('Detalle individual'!$C$5:$C$1000,"&lt;"&amp;'Detalle individual'!C496)*1000+COUNTIF('Detalle individual'!$B$5:$B$1000,"&lt;"&amp;'Detalle individual'!B496)+ROW()/10000,"")</f>
        <v/>
      </c>
      <c r="AK496" t="str">
        <f>IF(OR('Base Exámenes'!C496="",'Base Exámenes'!D496=""),"",IF(COUNTIF('Base Exámenes'!$C$5:C496,'Base Exámenes'!C496)=1,'Base Exámenes'!D496+ROW()/1000000000,""))</f>
        <v/>
      </c>
      <c r="AL496" t="str">
        <f>IF(OR('Base Exámenes'!C496="",'Base Exámenes'!E496=""),"",IF(COUNTIF('Base Exámenes'!$C$5:C496,'Base Exámenes'!C496)=1,'Base Exámenes'!E496+ROW()/1000000000,""))</f>
        <v/>
      </c>
      <c r="AM496" t="str">
        <f>IF(OR('Base Exámenes'!C496="",'Base Exámenes'!G496=""),"",IF(ROW()-4=MATCH('Base Exámenes'!C496&amp;"|"&amp;_xlfn.MAXIFS('Base Exámenes'!$G$5:$G$1000,'Base Exámenes'!$C$5:$C$1000,'Base Exámenes'!C496),'Base Exámenes'!$I$5:$I$1000,0),'Base Exámenes'!G496*1000000+(-1)*'Base Exámenes'!D496,""))</f>
        <v/>
      </c>
      <c r="AQ496" t="str">
        <f>IF('Base Exámenes'!C496="","",IF(COUNTIF('Base Exámenes'!$C$5:$C$1000,'Base Exámenes'!C496)&lt;2,"",MATCH('Base Exámenes'!C496,'Base Exámenes'!$C$5:$C$1000,0)*10000+ROW()))</f>
        <v/>
      </c>
    </row>
    <row r="497">
      <c r="Z497" t="str">
        <f>IF('Detalle individual'!A497="","",IF(AND(OR('Estado por Colaborador'!$D$4="Todas las gerencias",'Detalle individual'!D497='Estado por Colaborador'!$D$4),OR('Estado por Colaborador'!$D$5="Todos los departamentos",TRIM('Detalle individual'!C497)='Estado por Colaborador'!$D$5),OR('Estado por Colaborador'!$D$6="Todos",'Detalle individual'!F497='Estado por Colaborador'!$D$6)),IF('Detalle individual'!F497="Completado",30000000,IF('Detalle individual'!F497="Pendiente",0,15000000))+COUNTIF('Detalle individual'!$C$5:$C$1000,"&lt;"&amp;'Detalle individual'!C497)*10000+ROW(),""))</f>
        <v/>
      </c>
      <c r="AB497" t="str">
        <f>IF('Detalle individual'!C497="","",IF(COUNTIF('Detalle individual'!$C$5:C497,'Detalle individual'!C497)=1,COUNTIF('Detalle individual'!$C$5:$C$1000,"&lt;"&amp;'Detalle individual'!C497),""))</f>
        <v/>
      </c>
      <c r="AC497" t="str">
        <f>IF('Detalle individual'!D497="","",IF(COUNTIF('Detalle individual'!$D$5:D497,'Detalle individual'!D497)=1,COUNTIF('Detalle individual'!$D$5:$D$1000,"&lt;"&amp;'Detalle individual'!D497),""))</f>
        <v/>
      </c>
      <c r="AH497" t="str">
        <f>IF('Detalle individual'!F497="Pendiente",COUNTIF('Detalle individual'!$D$5:$D$1000,"&lt;"&amp;'Detalle individual'!D497)*1000000+COUNTIF('Detalle individual'!$C$5:$C$1000,"&lt;"&amp;'Detalle individual'!C497)*1000+COUNTIF('Detalle individual'!$B$5:$B$1000,"&lt;"&amp;'Detalle individual'!B497)+ROW()/10000,"")</f>
        <v/>
      </c>
      <c r="AI497" t="str">
        <f>IF('Detalle individual'!F497="Completado",COUNTIF('Detalle individual'!$D$5:$D$1000,"&lt;"&amp;'Detalle individual'!D497)*1000000+COUNTIF('Detalle individual'!$C$5:$C$1000,"&lt;"&amp;'Detalle individual'!C497)*1000+COUNTIF('Detalle individual'!$B$5:$B$1000,"&lt;"&amp;'Detalle individual'!B497)+ROW()/10000,"")</f>
        <v/>
      </c>
      <c r="AJ497" t="str">
        <f>IF(AND('Detalle individual'!F497&lt;&gt;"",'Detalle individual'!F497&lt;&gt;"Completado",'Detalle individual'!F497&lt;&gt;"Pendiente"),COUNTIF('Detalle individual'!$D$5:$D$1000,"&lt;"&amp;'Detalle individual'!D497)*1000000+COUNTIF('Detalle individual'!$C$5:$C$1000,"&lt;"&amp;'Detalle individual'!C497)*1000+COUNTIF('Detalle individual'!$B$5:$B$1000,"&lt;"&amp;'Detalle individual'!B497)+ROW()/10000,"")</f>
        <v/>
      </c>
      <c r="AK497" t="str">
        <f>IF(OR('Base Exámenes'!C497="",'Base Exámenes'!D497=""),"",IF(COUNTIF('Base Exámenes'!$C$5:C497,'Base Exámenes'!C497)=1,'Base Exámenes'!D497+ROW()/1000000000,""))</f>
        <v/>
      </c>
      <c r="AL497" t="str">
        <f>IF(OR('Base Exámenes'!C497="",'Base Exámenes'!E497=""),"",IF(COUNTIF('Base Exámenes'!$C$5:C497,'Base Exámenes'!C497)=1,'Base Exámenes'!E497+ROW()/1000000000,""))</f>
        <v/>
      </c>
      <c r="AM497" t="str">
        <f>IF(OR('Base Exámenes'!C497="",'Base Exámenes'!G497=""),"",IF(ROW()-4=MATCH('Base Exámenes'!C497&amp;"|"&amp;_xlfn.MAXIFS('Base Exámenes'!$G$5:$G$1000,'Base Exámenes'!$C$5:$C$1000,'Base Exámenes'!C497),'Base Exámenes'!$I$5:$I$1000,0),'Base Exámenes'!G497*1000000+(-1)*'Base Exámenes'!D497,""))</f>
        <v/>
      </c>
      <c r="AQ497" t="str">
        <f>IF('Base Exámenes'!C497="","",IF(COUNTIF('Base Exámenes'!$C$5:$C$1000,'Base Exámenes'!C497)&lt;2,"",MATCH('Base Exámenes'!C497,'Base Exámenes'!$C$5:$C$1000,0)*10000+ROW()))</f>
        <v/>
      </c>
    </row>
    <row r="498">
      <c r="Z498" t="str">
        <f>IF('Detalle individual'!A498="","",IF(AND(OR('Estado por Colaborador'!$D$4="Todas las gerencias",'Detalle individual'!D498='Estado por Colaborador'!$D$4),OR('Estado por Colaborador'!$D$5="Todos los departamentos",TRIM('Detalle individual'!C498)='Estado por Colaborador'!$D$5),OR('Estado por Colaborador'!$D$6="Todos",'Detalle individual'!F498='Estado por Colaborador'!$D$6)),IF('Detalle individual'!F498="Completado",30000000,IF('Detalle individual'!F498="Pendiente",0,15000000))+COUNTIF('Detalle individual'!$C$5:$C$1000,"&lt;"&amp;'Detalle individual'!C498)*10000+ROW(),""))</f>
        <v/>
      </c>
      <c r="AB498" t="str">
        <f>IF('Detalle individual'!C498="","",IF(COUNTIF('Detalle individual'!$C$5:C498,'Detalle individual'!C498)=1,COUNTIF('Detalle individual'!$C$5:$C$1000,"&lt;"&amp;'Detalle individual'!C498),""))</f>
        <v/>
      </c>
      <c r="AC498" t="str">
        <f>IF('Detalle individual'!D498="","",IF(COUNTIF('Detalle individual'!$D$5:D498,'Detalle individual'!D498)=1,COUNTIF('Detalle individual'!$D$5:$D$1000,"&lt;"&amp;'Detalle individual'!D498),""))</f>
        <v/>
      </c>
      <c r="AH498" t="str">
        <f>IF('Detalle individual'!F498="Pendiente",COUNTIF('Detalle individual'!$D$5:$D$1000,"&lt;"&amp;'Detalle individual'!D498)*1000000+COUNTIF('Detalle individual'!$C$5:$C$1000,"&lt;"&amp;'Detalle individual'!C498)*1000+COUNTIF('Detalle individual'!$B$5:$B$1000,"&lt;"&amp;'Detalle individual'!B498)+ROW()/10000,"")</f>
        <v/>
      </c>
      <c r="AI498" t="str">
        <f>IF('Detalle individual'!F498="Completado",COUNTIF('Detalle individual'!$D$5:$D$1000,"&lt;"&amp;'Detalle individual'!D498)*1000000+COUNTIF('Detalle individual'!$C$5:$C$1000,"&lt;"&amp;'Detalle individual'!C498)*1000+COUNTIF('Detalle individual'!$B$5:$B$1000,"&lt;"&amp;'Detalle individual'!B498)+ROW()/10000,"")</f>
        <v/>
      </c>
      <c r="AJ498" t="str">
        <f>IF(AND('Detalle individual'!F498&lt;&gt;"",'Detalle individual'!F498&lt;&gt;"Completado",'Detalle individual'!F498&lt;&gt;"Pendiente"),COUNTIF('Detalle individual'!$D$5:$D$1000,"&lt;"&amp;'Detalle individual'!D498)*1000000+COUNTIF('Detalle individual'!$C$5:$C$1000,"&lt;"&amp;'Detalle individual'!C498)*1000+COUNTIF('Detalle individual'!$B$5:$B$1000,"&lt;"&amp;'Detalle individual'!B498)+ROW()/10000,"")</f>
        <v/>
      </c>
      <c r="AK498" t="str">
        <f>IF(OR('Base Exámenes'!C498="",'Base Exámenes'!D498=""),"",IF(COUNTIF('Base Exámenes'!$C$5:C498,'Base Exámenes'!C498)=1,'Base Exámenes'!D498+ROW()/1000000000,""))</f>
        <v/>
      </c>
      <c r="AL498" t="str">
        <f>IF(OR('Base Exámenes'!C498="",'Base Exámenes'!E498=""),"",IF(COUNTIF('Base Exámenes'!$C$5:C498,'Base Exámenes'!C498)=1,'Base Exámenes'!E498+ROW()/1000000000,""))</f>
        <v/>
      </c>
      <c r="AM498" t="str">
        <f>IF(OR('Base Exámenes'!C498="",'Base Exámenes'!G498=""),"",IF(ROW()-4=MATCH('Base Exámenes'!C498&amp;"|"&amp;_xlfn.MAXIFS('Base Exámenes'!$G$5:$G$1000,'Base Exámenes'!$C$5:$C$1000,'Base Exámenes'!C498),'Base Exámenes'!$I$5:$I$1000,0),'Base Exámenes'!G498*1000000+(-1)*'Base Exámenes'!D498,""))</f>
        <v/>
      </c>
      <c r="AQ498" t="str">
        <f>IF('Base Exámenes'!C498="","",IF(COUNTIF('Base Exámenes'!$C$5:$C$1000,'Base Exámenes'!C498)&lt;2,"",MATCH('Base Exámenes'!C498,'Base Exámenes'!$C$5:$C$1000,0)*10000+ROW()))</f>
        <v/>
      </c>
    </row>
    <row r="499">
      <c r="Z499" t="str">
        <f>IF('Detalle individual'!A499="","",IF(AND(OR('Estado por Colaborador'!$D$4="Todas las gerencias",'Detalle individual'!D499='Estado por Colaborador'!$D$4),OR('Estado por Colaborador'!$D$5="Todos los departamentos",TRIM('Detalle individual'!C499)='Estado por Colaborador'!$D$5),OR('Estado por Colaborador'!$D$6="Todos",'Detalle individual'!F499='Estado por Colaborador'!$D$6)),IF('Detalle individual'!F499="Completado",30000000,IF('Detalle individual'!F499="Pendiente",0,15000000))+COUNTIF('Detalle individual'!$C$5:$C$1000,"&lt;"&amp;'Detalle individual'!C499)*10000+ROW(),""))</f>
        <v/>
      </c>
      <c r="AB499" t="str">
        <f>IF('Detalle individual'!C499="","",IF(COUNTIF('Detalle individual'!$C$5:C499,'Detalle individual'!C499)=1,COUNTIF('Detalle individual'!$C$5:$C$1000,"&lt;"&amp;'Detalle individual'!C499),""))</f>
        <v/>
      </c>
      <c r="AC499" t="str">
        <f>IF('Detalle individual'!D499="","",IF(COUNTIF('Detalle individual'!$D$5:D499,'Detalle individual'!D499)=1,COUNTIF('Detalle individual'!$D$5:$D$1000,"&lt;"&amp;'Detalle individual'!D499),""))</f>
        <v/>
      </c>
      <c r="AH499" t="str">
        <f>IF('Detalle individual'!F499="Pendiente",COUNTIF('Detalle individual'!$D$5:$D$1000,"&lt;"&amp;'Detalle individual'!D499)*1000000+COUNTIF('Detalle individual'!$C$5:$C$1000,"&lt;"&amp;'Detalle individual'!C499)*1000+COUNTIF('Detalle individual'!$B$5:$B$1000,"&lt;"&amp;'Detalle individual'!B499)+ROW()/10000,"")</f>
        <v/>
      </c>
      <c r="AI499" t="str">
        <f>IF('Detalle individual'!F499="Completado",COUNTIF('Detalle individual'!$D$5:$D$1000,"&lt;"&amp;'Detalle individual'!D499)*1000000+COUNTIF('Detalle individual'!$C$5:$C$1000,"&lt;"&amp;'Detalle individual'!C499)*1000+COUNTIF('Detalle individual'!$B$5:$B$1000,"&lt;"&amp;'Detalle individual'!B499)+ROW()/10000,"")</f>
        <v/>
      </c>
      <c r="AJ499" t="str">
        <f>IF(AND('Detalle individual'!F499&lt;&gt;"",'Detalle individual'!F499&lt;&gt;"Completado",'Detalle individual'!F499&lt;&gt;"Pendiente"),COUNTIF('Detalle individual'!$D$5:$D$1000,"&lt;"&amp;'Detalle individual'!D499)*1000000+COUNTIF('Detalle individual'!$C$5:$C$1000,"&lt;"&amp;'Detalle individual'!C499)*1000+COUNTIF('Detalle individual'!$B$5:$B$1000,"&lt;"&amp;'Detalle individual'!B499)+ROW()/10000,"")</f>
        <v/>
      </c>
      <c r="AK499" t="str">
        <f>IF(OR('Base Exámenes'!C499="",'Base Exámenes'!D499=""),"",IF(COUNTIF('Base Exámenes'!$C$5:C499,'Base Exámenes'!C499)=1,'Base Exámenes'!D499+ROW()/1000000000,""))</f>
        <v/>
      </c>
      <c r="AL499" t="str">
        <f>IF(OR('Base Exámenes'!C499="",'Base Exámenes'!E499=""),"",IF(COUNTIF('Base Exámenes'!$C$5:C499,'Base Exámenes'!C499)=1,'Base Exámenes'!E499+ROW()/1000000000,""))</f>
        <v/>
      </c>
      <c r="AM499" t="str">
        <f>IF(OR('Base Exámenes'!C499="",'Base Exámenes'!G499=""),"",IF(ROW()-4=MATCH('Base Exámenes'!C499&amp;"|"&amp;_xlfn.MAXIFS('Base Exámenes'!$G$5:$G$1000,'Base Exámenes'!$C$5:$C$1000,'Base Exámenes'!C499),'Base Exámenes'!$I$5:$I$1000,0),'Base Exámenes'!G499*1000000+(-1)*'Base Exámenes'!D499,""))</f>
        <v/>
      </c>
      <c r="AQ499" t="str">
        <f>IF('Base Exámenes'!C499="","",IF(COUNTIF('Base Exámenes'!$C$5:$C$1000,'Base Exámenes'!C499)&lt;2,"",MATCH('Base Exámenes'!C499,'Base Exámenes'!$C$5:$C$1000,0)*10000+ROW()))</f>
        <v/>
      </c>
    </row>
    <row r="500">
      <c r="Z500" t="str">
        <f>IF('Detalle individual'!A500="","",IF(AND(OR('Estado por Colaborador'!$D$4="Todas las gerencias",'Detalle individual'!D500='Estado por Colaborador'!$D$4),OR('Estado por Colaborador'!$D$5="Todos los departamentos",TRIM('Detalle individual'!C500)='Estado por Colaborador'!$D$5),OR('Estado por Colaborador'!$D$6="Todos",'Detalle individual'!F500='Estado por Colaborador'!$D$6)),IF('Detalle individual'!F500="Completado",30000000,IF('Detalle individual'!F500="Pendiente",0,15000000))+COUNTIF('Detalle individual'!$C$5:$C$1000,"&lt;"&amp;'Detalle individual'!C500)*10000+ROW(),""))</f>
        <v/>
      </c>
      <c r="AB500" t="str">
        <f>IF('Detalle individual'!C500="","",IF(COUNTIF('Detalle individual'!$C$5:C500,'Detalle individual'!C500)=1,COUNTIF('Detalle individual'!$C$5:$C$1000,"&lt;"&amp;'Detalle individual'!C500),""))</f>
        <v/>
      </c>
      <c r="AC500" t="str">
        <f>IF('Detalle individual'!D500="","",IF(COUNTIF('Detalle individual'!$D$5:D500,'Detalle individual'!D500)=1,COUNTIF('Detalle individual'!$D$5:$D$1000,"&lt;"&amp;'Detalle individual'!D500),""))</f>
        <v/>
      </c>
      <c r="AH500" t="str">
        <f>IF('Detalle individual'!F500="Pendiente",COUNTIF('Detalle individual'!$D$5:$D$1000,"&lt;"&amp;'Detalle individual'!D500)*1000000+COUNTIF('Detalle individual'!$C$5:$C$1000,"&lt;"&amp;'Detalle individual'!C500)*1000+COUNTIF('Detalle individual'!$B$5:$B$1000,"&lt;"&amp;'Detalle individual'!B500)+ROW()/10000,"")</f>
        <v/>
      </c>
      <c r="AI500" t="str">
        <f>IF('Detalle individual'!F500="Completado",COUNTIF('Detalle individual'!$D$5:$D$1000,"&lt;"&amp;'Detalle individual'!D500)*1000000+COUNTIF('Detalle individual'!$C$5:$C$1000,"&lt;"&amp;'Detalle individual'!C500)*1000+COUNTIF('Detalle individual'!$B$5:$B$1000,"&lt;"&amp;'Detalle individual'!B500)+ROW()/10000,"")</f>
        <v/>
      </c>
      <c r="AJ500" t="str">
        <f>IF(AND('Detalle individual'!F500&lt;&gt;"",'Detalle individual'!F500&lt;&gt;"Completado",'Detalle individual'!F500&lt;&gt;"Pendiente"),COUNTIF('Detalle individual'!$D$5:$D$1000,"&lt;"&amp;'Detalle individual'!D500)*1000000+COUNTIF('Detalle individual'!$C$5:$C$1000,"&lt;"&amp;'Detalle individual'!C500)*1000+COUNTIF('Detalle individual'!$B$5:$B$1000,"&lt;"&amp;'Detalle individual'!B500)+ROW()/10000,"")</f>
        <v/>
      </c>
      <c r="AK500" t="str">
        <f>IF(OR('Base Exámenes'!C500="",'Base Exámenes'!D500=""),"",IF(COUNTIF('Base Exámenes'!$C$5:C500,'Base Exámenes'!C500)=1,'Base Exámenes'!D500+ROW()/1000000000,""))</f>
        <v/>
      </c>
      <c r="AL500" t="str">
        <f>IF(OR('Base Exámenes'!C500="",'Base Exámenes'!E500=""),"",IF(COUNTIF('Base Exámenes'!$C$5:C500,'Base Exámenes'!C500)=1,'Base Exámenes'!E500+ROW()/1000000000,""))</f>
        <v/>
      </c>
      <c r="AM500" t="str">
        <f>IF(OR('Base Exámenes'!C500="",'Base Exámenes'!G500=""),"",IF(ROW()-4=MATCH('Base Exámenes'!C500&amp;"|"&amp;_xlfn.MAXIFS('Base Exámenes'!$G$5:$G$1000,'Base Exámenes'!$C$5:$C$1000,'Base Exámenes'!C500),'Base Exámenes'!$I$5:$I$1000,0),'Base Exámenes'!G500*1000000+(-1)*'Base Exámenes'!D500,""))</f>
        <v/>
      </c>
      <c r="AQ500" t="str">
        <f>IF('Base Exámenes'!C500="","",IF(COUNTIF('Base Exámenes'!$C$5:$C$1000,'Base Exámenes'!C500)&lt;2,"",MATCH('Base Exámenes'!C500,'Base Exámenes'!$C$5:$C$1000,0)*10000+ROW()))</f>
        <v/>
      </c>
    </row>
    <row r="501">
      <c r="Z501" t="str">
        <f>IF('Detalle individual'!A501="","",IF(AND(OR('Estado por Colaborador'!$D$4="Todas las gerencias",'Detalle individual'!D501='Estado por Colaborador'!$D$4),OR('Estado por Colaborador'!$D$5="Todos los departamentos",TRIM('Detalle individual'!C501)='Estado por Colaborador'!$D$5),OR('Estado por Colaborador'!$D$6="Todos",'Detalle individual'!F501='Estado por Colaborador'!$D$6)),IF('Detalle individual'!F501="Completado",30000000,IF('Detalle individual'!F501="Pendiente",0,15000000))+COUNTIF('Detalle individual'!$C$5:$C$1000,"&lt;"&amp;'Detalle individual'!C501)*10000+ROW(),""))</f>
        <v/>
      </c>
      <c r="AB501" t="str">
        <f>IF('Detalle individual'!C501="","",IF(COUNTIF('Detalle individual'!$C$5:C501,'Detalle individual'!C501)=1,COUNTIF('Detalle individual'!$C$5:$C$1000,"&lt;"&amp;'Detalle individual'!C501),""))</f>
        <v/>
      </c>
      <c r="AC501" t="str">
        <f>IF('Detalle individual'!D501="","",IF(COUNTIF('Detalle individual'!$D$5:D501,'Detalle individual'!D501)=1,COUNTIF('Detalle individual'!$D$5:$D$1000,"&lt;"&amp;'Detalle individual'!D501),""))</f>
        <v/>
      </c>
      <c r="AH501" t="str">
        <f>IF('Detalle individual'!F501="Pendiente",COUNTIF('Detalle individual'!$D$5:$D$1000,"&lt;"&amp;'Detalle individual'!D501)*1000000+COUNTIF('Detalle individual'!$C$5:$C$1000,"&lt;"&amp;'Detalle individual'!C501)*1000+COUNTIF('Detalle individual'!$B$5:$B$1000,"&lt;"&amp;'Detalle individual'!B501)+ROW()/10000,"")</f>
        <v/>
      </c>
      <c r="AI501" t="str">
        <f>IF('Detalle individual'!F501="Completado",COUNTIF('Detalle individual'!$D$5:$D$1000,"&lt;"&amp;'Detalle individual'!D501)*1000000+COUNTIF('Detalle individual'!$C$5:$C$1000,"&lt;"&amp;'Detalle individual'!C501)*1000+COUNTIF('Detalle individual'!$B$5:$B$1000,"&lt;"&amp;'Detalle individual'!B501)+ROW()/10000,"")</f>
        <v/>
      </c>
      <c r="AJ501" t="str">
        <f>IF(AND('Detalle individual'!F501&lt;&gt;"",'Detalle individual'!F501&lt;&gt;"Completado",'Detalle individual'!F501&lt;&gt;"Pendiente"),COUNTIF('Detalle individual'!$D$5:$D$1000,"&lt;"&amp;'Detalle individual'!D501)*1000000+COUNTIF('Detalle individual'!$C$5:$C$1000,"&lt;"&amp;'Detalle individual'!C501)*1000+COUNTIF('Detalle individual'!$B$5:$B$1000,"&lt;"&amp;'Detalle individual'!B501)+ROW()/10000,"")</f>
        <v/>
      </c>
      <c r="AK501" t="str">
        <f>IF(OR('Base Exámenes'!C501="",'Base Exámenes'!D501=""),"",IF(COUNTIF('Base Exámenes'!$C$5:C501,'Base Exámenes'!C501)=1,'Base Exámenes'!D501+ROW()/1000000000,""))</f>
        <v/>
      </c>
      <c r="AL501" t="str">
        <f>IF(OR('Base Exámenes'!C501="",'Base Exámenes'!E501=""),"",IF(COUNTIF('Base Exámenes'!$C$5:C501,'Base Exámenes'!C501)=1,'Base Exámenes'!E501+ROW()/1000000000,""))</f>
        <v/>
      </c>
      <c r="AM501" t="str">
        <f>IF(OR('Base Exámenes'!C501="",'Base Exámenes'!G501=""),"",IF(ROW()-4=MATCH('Base Exámenes'!C501&amp;"|"&amp;_xlfn.MAXIFS('Base Exámenes'!$G$5:$G$1000,'Base Exámenes'!$C$5:$C$1000,'Base Exámenes'!C501),'Base Exámenes'!$I$5:$I$1000,0),'Base Exámenes'!G501*1000000+(-1)*'Base Exámenes'!D501,""))</f>
        <v/>
      </c>
      <c r="AQ501" t="str">
        <f>IF('Base Exámenes'!C501="","",IF(COUNTIF('Base Exámenes'!$C$5:$C$1000,'Base Exámenes'!C501)&lt;2,"",MATCH('Base Exámenes'!C501,'Base Exámenes'!$C$5:$C$1000,0)*10000+ROW()))</f>
        <v/>
      </c>
    </row>
    <row r="502">
      <c r="Z502" t="str">
        <f>IF('Detalle individual'!A502="","",IF(AND(OR('Estado por Colaborador'!$D$4="Todas las gerencias",'Detalle individual'!D502='Estado por Colaborador'!$D$4),OR('Estado por Colaborador'!$D$5="Todos los departamentos",TRIM('Detalle individual'!C502)='Estado por Colaborador'!$D$5),OR('Estado por Colaborador'!$D$6="Todos",'Detalle individual'!F502='Estado por Colaborador'!$D$6)),IF('Detalle individual'!F502="Completado",30000000,IF('Detalle individual'!F502="Pendiente",0,15000000))+COUNTIF('Detalle individual'!$C$5:$C$1000,"&lt;"&amp;'Detalle individual'!C502)*10000+ROW(),""))</f>
        <v/>
      </c>
      <c r="AB502" t="str">
        <f>IF('Detalle individual'!C502="","",IF(COUNTIF('Detalle individual'!$C$5:C502,'Detalle individual'!C502)=1,COUNTIF('Detalle individual'!$C$5:$C$1000,"&lt;"&amp;'Detalle individual'!C502),""))</f>
        <v/>
      </c>
      <c r="AC502" t="str">
        <f>IF('Detalle individual'!D502="","",IF(COUNTIF('Detalle individual'!$D$5:D502,'Detalle individual'!D502)=1,COUNTIF('Detalle individual'!$D$5:$D$1000,"&lt;"&amp;'Detalle individual'!D502),""))</f>
        <v/>
      </c>
      <c r="AH502" t="str">
        <f>IF('Detalle individual'!F502="Pendiente",COUNTIF('Detalle individual'!$D$5:$D$1000,"&lt;"&amp;'Detalle individual'!D502)*1000000+COUNTIF('Detalle individual'!$C$5:$C$1000,"&lt;"&amp;'Detalle individual'!C502)*1000+COUNTIF('Detalle individual'!$B$5:$B$1000,"&lt;"&amp;'Detalle individual'!B502)+ROW()/10000,"")</f>
        <v/>
      </c>
      <c r="AI502" t="str">
        <f>IF('Detalle individual'!F502="Completado",COUNTIF('Detalle individual'!$D$5:$D$1000,"&lt;"&amp;'Detalle individual'!D502)*1000000+COUNTIF('Detalle individual'!$C$5:$C$1000,"&lt;"&amp;'Detalle individual'!C502)*1000+COUNTIF('Detalle individual'!$B$5:$B$1000,"&lt;"&amp;'Detalle individual'!B502)+ROW()/10000,"")</f>
        <v/>
      </c>
      <c r="AJ502" t="str">
        <f>IF(AND('Detalle individual'!F502&lt;&gt;"",'Detalle individual'!F502&lt;&gt;"Completado",'Detalle individual'!F502&lt;&gt;"Pendiente"),COUNTIF('Detalle individual'!$D$5:$D$1000,"&lt;"&amp;'Detalle individual'!D502)*1000000+COUNTIF('Detalle individual'!$C$5:$C$1000,"&lt;"&amp;'Detalle individual'!C502)*1000+COUNTIF('Detalle individual'!$B$5:$B$1000,"&lt;"&amp;'Detalle individual'!B502)+ROW()/10000,"")</f>
        <v/>
      </c>
      <c r="AK502" t="str">
        <f>IF(OR('Base Exámenes'!C502="",'Base Exámenes'!D502=""),"",IF(COUNTIF('Base Exámenes'!$C$5:C502,'Base Exámenes'!C502)=1,'Base Exámenes'!D502+ROW()/1000000000,""))</f>
        <v/>
      </c>
      <c r="AL502" t="str">
        <f>IF(OR('Base Exámenes'!C502="",'Base Exámenes'!E502=""),"",IF(COUNTIF('Base Exámenes'!$C$5:C502,'Base Exámenes'!C502)=1,'Base Exámenes'!E502+ROW()/1000000000,""))</f>
        <v/>
      </c>
      <c r="AM502" t="str">
        <f>IF(OR('Base Exámenes'!C502="",'Base Exámenes'!G502=""),"",IF(ROW()-4=MATCH('Base Exámenes'!C502&amp;"|"&amp;_xlfn.MAXIFS('Base Exámenes'!$G$5:$G$1000,'Base Exámenes'!$C$5:$C$1000,'Base Exámenes'!C502),'Base Exámenes'!$I$5:$I$1000,0),'Base Exámenes'!G502*1000000+(-1)*'Base Exámenes'!D502,""))</f>
        <v/>
      </c>
      <c r="AQ502" t="str">
        <f>IF('Base Exámenes'!C502="","",IF(COUNTIF('Base Exámenes'!$C$5:$C$1000,'Base Exámenes'!C502)&lt;2,"",MATCH('Base Exámenes'!C502,'Base Exámenes'!$C$5:$C$1000,0)*10000+ROW()))</f>
        <v/>
      </c>
    </row>
    <row r="503">
      <c r="Z503" t="str">
        <f>IF('Detalle individual'!A503="","",IF(AND(OR('Estado por Colaborador'!$D$4="Todas las gerencias",'Detalle individual'!D503='Estado por Colaborador'!$D$4),OR('Estado por Colaborador'!$D$5="Todos los departamentos",TRIM('Detalle individual'!C503)='Estado por Colaborador'!$D$5),OR('Estado por Colaborador'!$D$6="Todos",'Detalle individual'!F503='Estado por Colaborador'!$D$6)),IF('Detalle individual'!F503="Completado",30000000,IF('Detalle individual'!F503="Pendiente",0,15000000))+COUNTIF('Detalle individual'!$C$5:$C$1000,"&lt;"&amp;'Detalle individual'!C503)*10000+ROW(),""))</f>
        <v/>
      </c>
      <c r="AB503" t="str">
        <f>IF('Detalle individual'!C503="","",IF(COUNTIF('Detalle individual'!$C$5:C503,'Detalle individual'!C503)=1,COUNTIF('Detalle individual'!$C$5:$C$1000,"&lt;"&amp;'Detalle individual'!C503),""))</f>
        <v/>
      </c>
      <c r="AC503" t="str">
        <f>IF('Detalle individual'!D503="","",IF(COUNTIF('Detalle individual'!$D$5:D503,'Detalle individual'!D503)=1,COUNTIF('Detalle individual'!$D$5:$D$1000,"&lt;"&amp;'Detalle individual'!D503),""))</f>
        <v/>
      </c>
      <c r="AH503" t="str">
        <f>IF('Detalle individual'!F503="Pendiente",COUNTIF('Detalle individual'!$D$5:$D$1000,"&lt;"&amp;'Detalle individual'!D503)*1000000+COUNTIF('Detalle individual'!$C$5:$C$1000,"&lt;"&amp;'Detalle individual'!C503)*1000+COUNTIF('Detalle individual'!$B$5:$B$1000,"&lt;"&amp;'Detalle individual'!B503)+ROW()/10000,"")</f>
        <v/>
      </c>
      <c r="AI503" t="str">
        <f>IF('Detalle individual'!F503="Completado",COUNTIF('Detalle individual'!$D$5:$D$1000,"&lt;"&amp;'Detalle individual'!D503)*1000000+COUNTIF('Detalle individual'!$C$5:$C$1000,"&lt;"&amp;'Detalle individual'!C503)*1000+COUNTIF('Detalle individual'!$B$5:$B$1000,"&lt;"&amp;'Detalle individual'!B503)+ROW()/10000,"")</f>
        <v/>
      </c>
      <c r="AJ503" t="str">
        <f>IF(AND('Detalle individual'!F503&lt;&gt;"",'Detalle individual'!F503&lt;&gt;"Completado",'Detalle individual'!F503&lt;&gt;"Pendiente"),COUNTIF('Detalle individual'!$D$5:$D$1000,"&lt;"&amp;'Detalle individual'!D503)*1000000+COUNTIF('Detalle individual'!$C$5:$C$1000,"&lt;"&amp;'Detalle individual'!C503)*1000+COUNTIF('Detalle individual'!$B$5:$B$1000,"&lt;"&amp;'Detalle individual'!B503)+ROW()/10000,"")</f>
        <v/>
      </c>
      <c r="AK503" t="str">
        <f>IF(OR('Base Exámenes'!C503="",'Base Exámenes'!D503=""),"",IF(COUNTIF('Base Exámenes'!$C$5:C503,'Base Exámenes'!C503)=1,'Base Exámenes'!D503+ROW()/1000000000,""))</f>
        <v/>
      </c>
      <c r="AL503" t="str">
        <f>IF(OR('Base Exámenes'!C503="",'Base Exámenes'!E503=""),"",IF(COUNTIF('Base Exámenes'!$C$5:C503,'Base Exámenes'!C503)=1,'Base Exámenes'!E503+ROW()/1000000000,""))</f>
        <v/>
      </c>
      <c r="AM503" t="str">
        <f>IF(OR('Base Exámenes'!C503="",'Base Exámenes'!G503=""),"",IF(ROW()-4=MATCH('Base Exámenes'!C503&amp;"|"&amp;_xlfn.MAXIFS('Base Exámenes'!$G$5:$G$1000,'Base Exámenes'!$C$5:$C$1000,'Base Exámenes'!C503),'Base Exámenes'!$I$5:$I$1000,0),'Base Exámenes'!G503*1000000+(-1)*'Base Exámenes'!D503,""))</f>
        <v/>
      </c>
      <c r="AQ503" t="str">
        <f>IF('Base Exámenes'!C503="","",IF(COUNTIF('Base Exámenes'!$C$5:$C$1000,'Base Exámenes'!C503)&lt;2,"",MATCH('Base Exámenes'!C503,'Base Exámenes'!$C$5:$C$1000,0)*10000+ROW()))</f>
        <v/>
      </c>
    </row>
    <row r="504">
      <c r="Z504" t="str">
        <f>IF('Detalle individual'!A504="","",IF(AND(OR('Estado por Colaborador'!$D$4="Todas las gerencias",'Detalle individual'!D504='Estado por Colaborador'!$D$4),OR('Estado por Colaborador'!$D$5="Todos los departamentos",TRIM('Detalle individual'!C504)='Estado por Colaborador'!$D$5),OR('Estado por Colaborador'!$D$6="Todos",'Detalle individual'!F504='Estado por Colaborador'!$D$6)),IF('Detalle individual'!F504="Completado",30000000,IF('Detalle individual'!F504="Pendiente",0,15000000))+COUNTIF('Detalle individual'!$C$5:$C$1000,"&lt;"&amp;'Detalle individual'!C504)*10000+ROW(),""))</f>
        <v/>
      </c>
      <c r="AB504" t="str">
        <f>IF('Detalle individual'!C504="","",IF(COUNTIF('Detalle individual'!$C$5:C504,'Detalle individual'!C504)=1,COUNTIF('Detalle individual'!$C$5:$C$1000,"&lt;"&amp;'Detalle individual'!C504),""))</f>
        <v/>
      </c>
      <c r="AC504" t="str">
        <f>IF('Detalle individual'!D504="","",IF(COUNTIF('Detalle individual'!$D$5:D504,'Detalle individual'!D504)=1,COUNTIF('Detalle individual'!$D$5:$D$1000,"&lt;"&amp;'Detalle individual'!D504),""))</f>
        <v/>
      </c>
      <c r="AH504" t="str">
        <f>IF('Detalle individual'!F504="Pendiente",COUNTIF('Detalle individual'!$D$5:$D$1000,"&lt;"&amp;'Detalle individual'!D504)*1000000+COUNTIF('Detalle individual'!$C$5:$C$1000,"&lt;"&amp;'Detalle individual'!C504)*1000+COUNTIF('Detalle individual'!$B$5:$B$1000,"&lt;"&amp;'Detalle individual'!B504)+ROW()/10000,"")</f>
        <v/>
      </c>
      <c r="AI504" t="str">
        <f>IF('Detalle individual'!F504="Completado",COUNTIF('Detalle individual'!$D$5:$D$1000,"&lt;"&amp;'Detalle individual'!D504)*1000000+COUNTIF('Detalle individual'!$C$5:$C$1000,"&lt;"&amp;'Detalle individual'!C504)*1000+COUNTIF('Detalle individual'!$B$5:$B$1000,"&lt;"&amp;'Detalle individual'!B504)+ROW()/10000,"")</f>
        <v/>
      </c>
      <c r="AJ504" t="str">
        <f>IF(AND('Detalle individual'!F504&lt;&gt;"",'Detalle individual'!F504&lt;&gt;"Completado",'Detalle individual'!F504&lt;&gt;"Pendiente"),COUNTIF('Detalle individual'!$D$5:$D$1000,"&lt;"&amp;'Detalle individual'!D504)*1000000+COUNTIF('Detalle individual'!$C$5:$C$1000,"&lt;"&amp;'Detalle individual'!C504)*1000+COUNTIF('Detalle individual'!$B$5:$B$1000,"&lt;"&amp;'Detalle individual'!B504)+ROW()/10000,"")</f>
        <v/>
      </c>
      <c r="AK504" t="str">
        <f>IF(OR('Base Exámenes'!C504="",'Base Exámenes'!D504=""),"",IF(COUNTIF('Base Exámenes'!$C$5:C504,'Base Exámenes'!C504)=1,'Base Exámenes'!D504+ROW()/1000000000,""))</f>
        <v/>
      </c>
      <c r="AL504" t="str">
        <f>IF(OR('Base Exámenes'!C504="",'Base Exámenes'!E504=""),"",IF(COUNTIF('Base Exámenes'!$C$5:C504,'Base Exámenes'!C504)=1,'Base Exámenes'!E504+ROW()/1000000000,""))</f>
        <v/>
      </c>
      <c r="AM504" t="str">
        <f>IF(OR('Base Exámenes'!C504="",'Base Exámenes'!G504=""),"",IF(ROW()-4=MATCH('Base Exámenes'!C504&amp;"|"&amp;_xlfn.MAXIFS('Base Exámenes'!$G$5:$G$1000,'Base Exámenes'!$C$5:$C$1000,'Base Exámenes'!C504),'Base Exámenes'!$I$5:$I$1000,0),'Base Exámenes'!G504*1000000+(-1)*'Base Exámenes'!D504,""))</f>
        <v/>
      </c>
      <c r="AQ504" t="str">
        <f>IF('Base Exámenes'!C504="","",IF(COUNTIF('Base Exámenes'!$C$5:$C$1000,'Base Exámenes'!C504)&lt;2,"",MATCH('Base Exámenes'!C504,'Base Exámenes'!$C$5:$C$1000,0)*10000+ROW()))</f>
        <v/>
      </c>
    </row>
    <row r="505">
      <c r="Z505" t="str">
        <f>IF('Detalle individual'!A505="","",IF(AND(OR('Estado por Colaborador'!$D$4="Todas las gerencias",'Detalle individual'!D505='Estado por Colaborador'!$D$4),OR('Estado por Colaborador'!$D$5="Todos los departamentos",TRIM('Detalle individual'!C505)='Estado por Colaborador'!$D$5),OR('Estado por Colaborador'!$D$6="Todos",'Detalle individual'!F505='Estado por Colaborador'!$D$6)),IF('Detalle individual'!F505="Completado",30000000,IF('Detalle individual'!F505="Pendiente",0,15000000))+COUNTIF('Detalle individual'!$C$5:$C$1000,"&lt;"&amp;'Detalle individual'!C505)*10000+ROW(),""))</f>
        <v/>
      </c>
      <c r="AB505" t="str">
        <f>IF('Detalle individual'!C505="","",IF(COUNTIF('Detalle individual'!$C$5:C505,'Detalle individual'!C505)=1,COUNTIF('Detalle individual'!$C$5:$C$1000,"&lt;"&amp;'Detalle individual'!C505),""))</f>
        <v/>
      </c>
      <c r="AC505" t="str">
        <f>IF('Detalle individual'!D505="","",IF(COUNTIF('Detalle individual'!$D$5:D505,'Detalle individual'!D505)=1,COUNTIF('Detalle individual'!$D$5:$D$1000,"&lt;"&amp;'Detalle individual'!D505),""))</f>
        <v/>
      </c>
      <c r="AH505" t="str">
        <f>IF('Detalle individual'!F505="Pendiente",COUNTIF('Detalle individual'!$D$5:$D$1000,"&lt;"&amp;'Detalle individual'!D505)*1000000+COUNTIF('Detalle individual'!$C$5:$C$1000,"&lt;"&amp;'Detalle individual'!C505)*1000+COUNTIF('Detalle individual'!$B$5:$B$1000,"&lt;"&amp;'Detalle individual'!B505)+ROW()/10000,"")</f>
        <v/>
      </c>
      <c r="AI505" t="str">
        <f>IF('Detalle individual'!F505="Completado",COUNTIF('Detalle individual'!$D$5:$D$1000,"&lt;"&amp;'Detalle individual'!D505)*1000000+COUNTIF('Detalle individual'!$C$5:$C$1000,"&lt;"&amp;'Detalle individual'!C505)*1000+COUNTIF('Detalle individual'!$B$5:$B$1000,"&lt;"&amp;'Detalle individual'!B505)+ROW()/10000,"")</f>
        <v/>
      </c>
      <c r="AJ505" t="str">
        <f>IF(AND('Detalle individual'!F505&lt;&gt;"",'Detalle individual'!F505&lt;&gt;"Completado",'Detalle individual'!F505&lt;&gt;"Pendiente"),COUNTIF('Detalle individual'!$D$5:$D$1000,"&lt;"&amp;'Detalle individual'!D505)*1000000+COUNTIF('Detalle individual'!$C$5:$C$1000,"&lt;"&amp;'Detalle individual'!C505)*1000+COUNTIF('Detalle individual'!$B$5:$B$1000,"&lt;"&amp;'Detalle individual'!B505)+ROW()/10000,"")</f>
        <v/>
      </c>
      <c r="AK505" t="str">
        <f>IF(OR('Base Exámenes'!C505="",'Base Exámenes'!D505=""),"",IF(COUNTIF('Base Exámenes'!$C$5:C505,'Base Exámenes'!C505)=1,'Base Exámenes'!D505+ROW()/1000000000,""))</f>
        <v/>
      </c>
      <c r="AL505" t="str">
        <f>IF(OR('Base Exámenes'!C505="",'Base Exámenes'!E505=""),"",IF(COUNTIF('Base Exámenes'!$C$5:C505,'Base Exámenes'!C505)=1,'Base Exámenes'!E505+ROW()/1000000000,""))</f>
        <v/>
      </c>
      <c r="AM505" t="str">
        <f>IF(OR('Base Exámenes'!C505="",'Base Exámenes'!G505=""),"",IF(ROW()-4=MATCH('Base Exámenes'!C505&amp;"|"&amp;_xlfn.MAXIFS('Base Exámenes'!$G$5:$G$1000,'Base Exámenes'!$C$5:$C$1000,'Base Exámenes'!C505),'Base Exámenes'!$I$5:$I$1000,0),'Base Exámenes'!G505*1000000+(-1)*'Base Exámenes'!D505,""))</f>
        <v/>
      </c>
      <c r="AQ505" t="str">
        <f>IF('Base Exámenes'!C505="","",IF(COUNTIF('Base Exámenes'!$C$5:$C$1000,'Base Exámenes'!C505)&lt;2,"",MATCH('Base Exámenes'!C505,'Base Exámenes'!$C$5:$C$1000,0)*10000+ROW()))</f>
        <v/>
      </c>
    </row>
    <row r="506">
      <c r="Z506" t="str">
        <f>IF('Detalle individual'!A506="","",IF(AND(OR('Estado por Colaborador'!$D$4="Todas las gerencias",'Detalle individual'!D506='Estado por Colaborador'!$D$4),OR('Estado por Colaborador'!$D$5="Todos los departamentos",TRIM('Detalle individual'!C506)='Estado por Colaborador'!$D$5),OR('Estado por Colaborador'!$D$6="Todos",'Detalle individual'!F506='Estado por Colaborador'!$D$6)),IF('Detalle individual'!F506="Completado",30000000,IF('Detalle individual'!F506="Pendiente",0,15000000))+COUNTIF('Detalle individual'!$C$5:$C$1000,"&lt;"&amp;'Detalle individual'!C506)*10000+ROW(),""))</f>
        <v/>
      </c>
      <c r="AB506" t="str">
        <f>IF('Detalle individual'!C506="","",IF(COUNTIF('Detalle individual'!$C$5:C506,'Detalle individual'!C506)=1,COUNTIF('Detalle individual'!$C$5:$C$1000,"&lt;"&amp;'Detalle individual'!C506),""))</f>
        <v/>
      </c>
      <c r="AC506" t="str">
        <f>IF('Detalle individual'!D506="","",IF(COUNTIF('Detalle individual'!$D$5:D506,'Detalle individual'!D506)=1,COUNTIF('Detalle individual'!$D$5:$D$1000,"&lt;"&amp;'Detalle individual'!D506),""))</f>
        <v/>
      </c>
      <c r="AH506" t="str">
        <f>IF('Detalle individual'!F506="Pendiente",COUNTIF('Detalle individual'!$D$5:$D$1000,"&lt;"&amp;'Detalle individual'!D506)*1000000+COUNTIF('Detalle individual'!$C$5:$C$1000,"&lt;"&amp;'Detalle individual'!C506)*1000+COUNTIF('Detalle individual'!$B$5:$B$1000,"&lt;"&amp;'Detalle individual'!B506)+ROW()/10000,"")</f>
        <v/>
      </c>
      <c r="AI506" t="str">
        <f>IF('Detalle individual'!F506="Completado",COUNTIF('Detalle individual'!$D$5:$D$1000,"&lt;"&amp;'Detalle individual'!D506)*1000000+COUNTIF('Detalle individual'!$C$5:$C$1000,"&lt;"&amp;'Detalle individual'!C506)*1000+COUNTIF('Detalle individual'!$B$5:$B$1000,"&lt;"&amp;'Detalle individual'!B506)+ROW()/10000,"")</f>
        <v/>
      </c>
      <c r="AJ506" t="str">
        <f>IF(AND('Detalle individual'!F506&lt;&gt;"",'Detalle individual'!F506&lt;&gt;"Completado",'Detalle individual'!F506&lt;&gt;"Pendiente"),COUNTIF('Detalle individual'!$D$5:$D$1000,"&lt;"&amp;'Detalle individual'!D506)*1000000+COUNTIF('Detalle individual'!$C$5:$C$1000,"&lt;"&amp;'Detalle individual'!C506)*1000+COUNTIF('Detalle individual'!$B$5:$B$1000,"&lt;"&amp;'Detalle individual'!B506)+ROW()/10000,"")</f>
        <v/>
      </c>
      <c r="AK506" t="str">
        <f>IF(OR('Base Exámenes'!C506="",'Base Exámenes'!D506=""),"",IF(COUNTIF('Base Exámenes'!$C$5:C506,'Base Exámenes'!C506)=1,'Base Exámenes'!D506+ROW()/1000000000,""))</f>
        <v/>
      </c>
      <c r="AL506" t="str">
        <f>IF(OR('Base Exámenes'!C506="",'Base Exámenes'!E506=""),"",IF(COUNTIF('Base Exámenes'!$C$5:C506,'Base Exámenes'!C506)=1,'Base Exámenes'!E506+ROW()/1000000000,""))</f>
        <v/>
      </c>
      <c r="AM506" t="str">
        <f>IF(OR('Base Exámenes'!C506="",'Base Exámenes'!G506=""),"",IF(ROW()-4=MATCH('Base Exámenes'!C506&amp;"|"&amp;_xlfn.MAXIFS('Base Exámenes'!$G$5:$G$1000,'Base Exámenes'!$C$5:$C$1000,'Base Exámenes'!C506),'Base Exámenes'!$I$5:$I$1000,0),'Base Exámenes'!G506*1000000+(-1)*'Base Exámenes'!D506,""))</f>
        <v/>
      </c>
      <c r="AQ506" t="str">
        <f>IF('Base Exámenes'!C506="","",IF(COUNTIF('Base Exámenes'!$C$5:$C$1000,'Base Exámenes'!C506)&lt;2,"",MATCH('Base Exámenes'!C506,'Base Exámenes'!$C$5:$C$1000,0)*10000+ROW()))</f>
        <v/>
      </c>
    </row>
    <row r="507">
      <c r="Z507" t="str">
        <f>IF('Detalle individual'!A507="","",IF(AND(OR('Estado por Colaborador'!$D$4="Todas las gerencias",'Detalle individual'!D507='Estado por Colaborador'!$D$4),OR('Estado por Colaborador'!$D$5="Todos los departamentos",TRIM('Detalle individual'!C507)='Estado por Colaborador'!$D$5),OR('Estado por Colaborador'!$D$6="Todos",'Detalle individual'!F507='Estado por Colaborador'!$D$6)),IF('Detalle individual'!F507="Completado",30000000,IF('Detalle individual'!F507="Pendiente",0,15000000))+COUNTIF('Detalle individual'!$C$5:$C$1000,"&lt;"&amp;'Detalle individual'!C507)*10000+ROW(),""))</f>
        <v/>
      </c>
      <c r="AB507" t="str">
        <f>IF('Detalle individual'!C507="","",IF(COUNTIF('Detalle individual'!$C$5:C507,'Detalle individual'!C507)=1,COUNTIF('Detalle individual'!$C$5:$C$1000,"&lt;"&amp;'Detalle individual'!C507),""))</f>
        <v/>
      </c>
      <c r="AC507" t="str">
        <f>IF('Detalle individual'!D507="","",IF(COUNTIF('Detalle individual'!$D$5:D507,'Detalle individual'!D507)=1,COUNTIF('Detalle individual'!$D$5:$D$1000,"&lt;"&amp;'Detalle individual'!D507),""))</f>
        <v/>
      </c>
      <c r="AH507" t="str">
        <f>IF('Detalle individual'!F507="Pendiente",COUNTIF('Detalle individual'!$D$5:$D$1000,"&lt;"&amp;'Detalle individual'!D507)*1000000+COUNTIF('Detalle individual'!$C$5:$C$1000,"&lt;"&amp;'Detalle individual'!C507)*1000+COUNTIF('Detalle individual'!$B$5:$B$1000,"&lt;"&amp;'Detalle individual'!B507)+ROW()/10000,"")</f>
        <v/>
      </c>
      <c r="AI507" t="str">
        <f>IF('Detalle individual'!F507="Completado",COUNTIF('Detalle individual'!$D$5:$D$1000,"&lt;"&amp;'Detalle individual'!D507)*1000000+COUNTIF('Detalle individual'!$C$5:$C$1000,"&lt;"&amp;'Detalle individual'!C507)*1000+COUNTIF('Detalle individual'!$B$5:$B$1000,"&lt;"&amp;'Detalle individual'!B507)+ROW()/10000,"")</f>
        <v/>
      </c>
      <c r="AJ507" t="str">
        <f>IF(AND('Detalle individual'!F507&lt;&gt;"",'Detalle individual'!F507&lt;&gt;"Completado",'Detalle individual'!F507&lt;&gt;"Pendiente"),COUNTIF('Detalle individual'!$D$5:$D$1000,"&lt;"&amp;'Detalle individual'!D507)*1000000+COUNTIF('Detalle individual'!$C$5:$C$1000,"&lt;"&amp;'Detalle individual'!C507)*1000+COUNTIF('Detalle individual'!$B$5:$B$1000,"&lt;"&amp;'Detalle individual'!B507)+ROW()/10000,"")</f>
        <v/>
      </c>
      <c r="AK507" t="str">
        <f>IF(OR('Base Exámenes'!C507="",'Base Exámenes'!D507=""),"",IF(COUNTIF('Base Exámenes'!$C$5:C507,'Base Exámenes'!C507)=1,'Base Exámenes'!D507+ROW()/1000000000,""))</f>
        <v/>
      </c>
      <c r="AL507" t="str">
        <f>IF(OR('Base Exámenes'!C507="",'Base Exámenes'!E507=""),"",IF(COUNTIF('Base Exámenes'!$C$5:C507,'Base Exámenes'!C507)=1,'Base Exámenes'!E507+ROW()/1000000000,""))</f>
        <v/>
      </c>
      <c r="AM507" t="str">
        <f>IF(OR('Base Exámenes'!C507="",'Base Exámenes'!G507=""),"",IF(ROW()-4=MATCH('Base Exámenes'!C507&amp;"|"&amp;_xlfn.MAXIFS('Base Exámenes'!$G$5:$G$1000,'Base Exámenes'!$C$5:$C$1000,'Base Exámenes'!C507),'Base Exámenes'!$I$5:$I$1000,0),'Base Exámenes'!G507*1000000+(-1)*'Base Exámenes'!D507,""))</f>
        <v/>
      </c>
      <c r="AQ507" t="str">
        <f>IF('Base Exámenes'!C507="","",IF(COUNTIF('Base Exámenes'!$C$5:$C$1000,'Base Exámenes'!C507)&lt;2,"",MATCH('Base Exámenes'!C507,'Base Exámenes'!$C$5:$C$1000,0)*10000+ROW()))</f>
        <v/>
      </c>
    </row>
    <row r="508">
      <c r="Z508" t="str">
        <f>IF('Detalle individual'!A508="","",IF(AND(OR('Estado por Colaborador'!$D$4="Todas las gerencias",'Detalle individual'!D508='Estado por Colaborador'!$D$4),OR('Estado por Colaborador'!$D$5="Todos los departamentos",TRIM('Detalle individual'!C508)='Estado por Colaborador'!$D$5),OR('Estado por Colaborador'!$D$6="Todos",'Detalle individual'!F508='Estado por Colaborador'!$D$6)),IF('Detalle individual'!F508="Completado",30000000,IF('Detalle individual'!F508="Pendiente",0,15000000))+COUNTIF('Detalle individual'!$C$5:$C$1000,"&lt;"&amp;'Detalle individual'!C508)*10000+ROW(),""))</f>
        <v/>
      </c>
      <c r="AB508" t="str">
        <f>IF('Detalle individual'!C508="","",IF(COUNTIF('Detalle individual'!$C$5:C508,'Detalle individual'!C508)=1,COUNTIF('Detalle individual'!$C$5:$C$1000,"&lt;"&amp;'Detalle individual'!C508),""))</f>
        <v/>
      </c>
      <c r="AC508" t="str">
        <f>IF('Detalle individual'!D508="","",IF(COUNTIF('Detalle individual'!$D$5:D508,'Detalle individual'!D508)=1,COUNTIF('Detalle individual'!$D$5:$D$1000,"&lt;"&amp;'Detalle individual'!D508),""))</f>
        <v/>
      </c>
      <c r="AH508" t="str">
        <f>IF('Detalle individual'!F508="Pendiente",COUNTIF('Detalle individual'!$D$5:$D$1000,"&lt;"&amp;'Detalle individual'!D508)*1000000+COUNTIF('Detalle individual'!$C$5:$C$1000,"&lt;"&amp;'Detalle individual'!C508)*1000+COUNTIF('Detalle individual'!$B$5:$B$1000,"&lt;"&amp;'Detalle individual'!B508)+ROW()/10000,"")</f>
        <v/>
      </c>
      <c r="AI508" t="str">
        <f>IF('Detalle individual'!F508="Completado",COUNTIF('Detalle individual'!$D$5:$D$1000,"&lt;"&amp;'Detalle individual'!D508)*1000000+COUNTIF('Detalle individual'!$C$5:$C$1000,"&lt;"&amp;'Detalle individual'!C508)*1000+COUNTIF('Detalle individual'!$B$5:$B$1000,"&lt;"&amp;'Detalle individual'!B508)+ROW()/10000,"")</f>
        <v/>
      </c>
      <c r="AJ508" t="str">
        <f>IF(AND('Detalle individual'!F508&lt;&gt;"",'Detalle individual'!F508&lt;&gt;"Completado",'Detalle individual'!F508&lt;&gt;"Pendiente"),COUNTIF('Detalle individual'!$D$5:$D$1000,"&lt;"&amp;'Detalle individual'!D508)*1000000+COUNTIF('Detalle individual'!$C$5:$C$1000,"&lt;"&amp;'Detalle individual'!C508)*1000+COUNTIF('Detalle individual'!$B$5:$B$1000,"&lt;"&amp;'Detalle individual'!B508)+ROW()/10000,"")</f>
        <v/>
      </c>
      <c r="AK508" t="str">
        <f>IF(OR('Base Exámenes'!C508="",'Base Exámenes'!D508=""),"",IF(COUNTIF('Base Exámenes'!$C$5:C508,'Base Exámenes'!C508)=1,'Base Exámenes'!D508+ROW()/1000000000,""))</f>
        <v/>
      </c>
      <c r="AL508" t="str">
        <f>IF(OR('Base Exámenes'!C508="",'Base Exámenes'!E508=""),"",IF(COUNTIF('Base Exámenes'!$C$5:C508,'Base Exámenes'!C508)=1,'Base Exámenes'!E508+ROW()/1000000000,""))</f>
        <v/>
      </c>
      <c r="AM508" t="str">
        <f>IF(OR('Base Exámenes'!C508="",'Base Exámenes'!G508=""),"",IF(ROW()-4=MATCH('Base Exámenes'!C508&amp;"|"&amp;_xlfn.MAXIFS('Base Exámenes'!$G$5:$G$1000,'Base Exámenes'!$C$5:$C$1000,'Base Exámenes'!C508),'Base Exámenes'!$I$5:$I$1000,0),'Base Exámenes'!G508*1000000+(-1)*'Base Exámenes'!D508,""))</f>
        <v/>
      </c>
      <c r="AQ508" t="str">
        <f>IF('Base Exámenes'!C508="","",IF(COUNTIF('Base Exámenes'!$C$5:$C$1000,'Base Exámenes'!C508)&lt;2,"",MATCH('Base Exámenes'!C508,'Base Exámenes'!$C$5:$C$1000,0)*10000+ROW()))</f>
        <v/>
      </c>
    </row>
    <row r="509">
      <c r="Z509" t="str">
        <f>IF('Detalle individual'!A509="","",IF(AND(OR('Estado por Colaborador'!$D$4="Todas las gerencias",'Detalle individual'!D509='Estado por Colaborador'!$D$4),OR('Estado por Colaborador'!$D$5="Todos los departamentos",TRIM('Detalle individual'!C509)='Estado por Colaborador'!$D$5),OR('Estado por Colaborador'!$D$6="Todos",'Detalle individual'!F509='Estado por Colaborador'!$D$6)),IF('Detalle individual'!F509="Completado",30000000,IF('Detalle individual'!F509="Pendiente",0,15000000))+COUNTIF('Detalle individual'!$C$5:$C$1000,"&lt;"&amp;'Detalle individual'!C509)*10000+ROW(),""))</f>
        <v/>
      </c>
      <c r="AB509" t="str">
        <f>IF('Detalle individual'!C509="","",IF(COUNTIF('Detalle individual'!$C$5:C509,'Detalle individual'!C509)=1,COUNTIF('Detalle individual'!$C$5:$C$1000,"&lt;"&amp;'Detalle individual'!C509),""))</f>
        <v/>
      </c>
      <c r="AC509" t="str">
        <f>IF('Detalle individual'!D509="","",IF(COUNTIF('Detalle individual'!$D$5:D509,'Detalle individual'!D509)=1,COUNTIF('Detalle individual'!$D$5:$D$1000,"&lt;"&amp;'Detalle individual'!D509),""))</f>
        <v/>
      </c>
      <c r="AH509" t="str">
        <f>IF('Detalle individual'!F509="Pendiente",COUNTIF('Detalle individual'!$D$5:$D$1000,"&lt;"&amp;'Detalle individual'!D509)*1000000+COUNTIF('Detalle individual'!$C$5:$C$1000,"&lt;"&amp;'Detalle individual'!C509)*1000+COUNTIF('Detalle individual'!$B$5:$B$1000,"&lt;"&amp;'Detalle individual'!B509)+ROW()/10000,"")</f>
        <v/>
      </c>
      <c r="AI509" t="str">
        <f>IF('Detalle individual'!F509="Completado",COUNTIF('Detalle individual'!$D$5:$D$1000,"&lt;"&amp;'Detalle individual'!D509)*1000000+COUNTIF('Detalle individual'!$C$5:$C$1000,"&lt;"&amp;'Detalle individual'!C509)*1000+COUNTIF('Detalle individual'!$B$5:$B$1000,"&lt;"&amp;'Detalle individual'!B509)+ROW()/10000,"")</f>
        <v/>
      </c>
      <c r="AJ509" t="str">
        <f>IF(AND('Detalle individual'!F509&lt;&gt;"",'Detalle individual'!F509&lt;&gt;"Completado",'Detalle individual'!F509&lt;&gt;"Pendiente"),COUNTIF('Detalle individual'!$D$5:$D$1000,"&lt;"&amp;'Detalle individual'!D509)*1000000+COUNTIF('Detalle individual'!$C$5:$C$1000,"&lt;"&amp;'Detalle individual'!C509)*1000+COUNTIF('Detalle individual'!$B$5:$B$1000,"&lt;"&amp;'Detalle individual'!B509)+ROW()/10000,"")</f>
        <v/>
      </c>
      <c r="AK509" t="str">
        <f>IF(OR('Base Exámenes'!C509="",'Base Exámenes'!D509=""),"",IF(COUNTIF('Base Exámenes'!$C$5:C509,'Base Exámenes'!C509)=1,'Base Exámenes'!D509+ROW()/1000000000,""))</f>
        <v/>
      </c>
      <c r="AL509" t="str">
        <f>IF(OR('Base Exámenes'!C509="",'Base Exámenes'!E509=""),"",IF(COUNTIF('Base Exámenes'!$C$5:C509,'Base Exámenes'!C509)=1,'Base Exámenes'!E509+ROW()/1000000000,""))</f>
        <v/>
      </c>
      <c r="AM509" t="str">
        <f>IF(OR('Base Exámenes'!C509="",'Base Exámenes'!G509=""),"",IF(ROW()-4=MATCH('Base Exámenes'!C509&amp;"|"&amp;_xlfn.MAXIFS('Base Exámenes'!$G$5:$G$1000,'Base Exámenes'!$C$5:$C$1000,'Base Exámenes'!C509),'Base Exámenes'!$I$5:$I$1000,0),'Base Exámenes'!G509*1000000+(-1)*'Base Exámenes'!D509,""))</f>
        <v/>
      </c>
      <c r="AQ509" t="str">
        <f>IF('Base Exámenes'!C509="","",IF(COUNTIF('Base Exámenes'!$C$5:$C$1000,'Base Exámenes'!C509)&lt;2,"",MATCH('Base Exámenes'!C509,'Base Exámenes'!$C$5:$C$1000,0)*10000+ROW()))</f>
        <v/>
      </c>
    </row>
    <row r="510">
      <c r="Z510" t="str">
        <f>IF('Detalle individual'!A510="","",IF(AND(OR('Estado por Colaborador'!$D$4="Todas las gerencias",'Detalle individual'!D510='Estado por Colaborador'!$D$4),OR('Estado por Colaborador'!$D$5="Todos los departamentos",TRIM('Detalle individual'!C510)='Estado por Colaborador'!$D$5),OR('Estado por Colaborador'!$D$6="Todos",'Detalle individual'!F510='Estado por Colaborador'!$D$6)),IF('Detalle individual'!F510="Completado",30000000,IF('Detalle individual'!F510="Pendiente",0,15000000))+COUNTIF('Detalle individual'!$C$5:$C$1000,"&lt;"&amp;'Detalle individual'!C510)*10000+ROW(),""))</f>
        <v/>
      </c>
      <c r="AB510" t="str">
        <f>IF('Detalle individual'!C510="","",IF(COUNTIF('Detalle individual'!$C$5:C510,'Detalle individual'!C510)=1,COUNTIF('Detalle individual'!$C$5:$C$1000,"&lt;"&amp;'Detalle individual'!C510),""))</f>
        <v/>
      </c>
      <c r="AC510" t="str">
        <f>IF('Detalle individual'!D510="","",IF(COUNTIF('Detalle individual'!$D$5:D510,'Detalle individual'!D510)=1,COUNTIF('Detalle individual'!$D$5:$D$1000,"&lt;"&amp;'Detalle individual'!D510),""))</f>
        <v/>
      </c>
      <c r="AH510" t="str">
        <f>IF('Detalle individual'!F510="Pendiente",COUNTIF('Detalle individual'!$D$5:$D$1000,"&lt;"&amp;'Detalle individual'!D510)*1000000+COUNTIF('Detalle individual'!$C$5:$C$1000,"&lt;"&amp;'Detalle individual'!C510)*1000+COUNTIF('Detalle individual'!$B$5:$B$1000,"&lt;"&amp;'Detalle individual'!B510)+ROW()/10000,"")</f>
        <v/>
      </c>
      <c r="AI510" t="str">
        <f>IF('Detalle individual'!F510="Completado",COUNTIF('Detalle individual'!$D$5:$D$1000,"&lt;"&amp;'Detalle individual'!D510)*1000000+COUNTIF('Detalle individual'!$C$5:$C$1000,"&lt;"&amp;'Detalle individual'!C510)*1000+COUNTIF('Detalle individual'!$B$5:$B$1000,"&lt;"&amp;'Detalle individual'!B510)+ROW()/10000,"")</f>
        <v/>
      </c>
      <c r="AJ510" t="str">
        <f>IF(AND('Detalle individual'!F510&lt;&gt;"",'Detalle individual'!F510&lt;&gt;"Completado",'Detalle individual'!F510&lt;&gt;"Pendiente"),COUNTIF('Detalle individual'!$D$5:$D$1000,"&lt;"&amp;'Detalle individual'!D510)*1000000+COUNTIF('Detalle individual'!$C$5:$C$1000,"&lt;"&amp;'Detalle individual'!C510)*1000+COUNTIF('Detalle individual'!$B$5:$B$1000,"&lt;"&amp;'Detalle individual'!B510)+ROW()/10000,"")</f>
        <v/>
      </c>
      <c r="AK510" t="str">
        <f>IF(OR('Base Exámenes'!C510="",'Base Exámenes'!D510=""),"",IF(COUNTIF('Base Exámenes'!$C$5:C510,'Base Exámenes'!C510)=1,'Base Exámenes'!D510+ROW()/1000000000,""))</f>
        <v/>
      </c>
      <c r="AL510" t="str">
        <f>IF(OR('Base Exámenes'!C510="",'Base Exámenes'!E510=""),"",IF(COUNTIF('Base Exámenes'!$C$5:C510,'Base Exámenes'!C510)=1,'Base Exámenes'!E510+ROW()/1000000000,""))</f>
        <v/>
      </c>
      <c r="AM510" t="str">
        <f>IF(OR('Base Exámenes'!C510="",'Base Exámenes'!G510=""),"",IF(ROW()-4=MATCH('Base Exámenes'!C510&amp;"|"&amp;_xlfn.MAXIFS('Base Exámenes'!$G$5:$G$1000,'Base Exámenes'!$C$5:$C$1000,'Base Exámenes'!C510),'Base Exámenes'!$I$5:$I$1000,0),'Base Exámenes'!G510*1000000+(-1)*'Base Exámenes'!D510,""))</f>
        <v/>
      </c>
      <c r="AQ510" t="str">
        <f>IF('Base Exámenes'!C510="","",IF(COUNTIF('Base Exámenes'!$C$5:$C$1000,'Base Exámenes'!C510)&lt;2,"",MATCH('Base Exámenes'!C510,'Base Exámenes'!$C$5:$C$1000,0)*10000+ROW()))</f>
        <v/>
      </c>
    </row>
    <row r="511">
      <c r="Z511" t="str">
        <f>IF('Detalle individual'!A511="","",IF(AND(OR('Estado por Colaborador'!$D$4="Todas las gerencias",'Detalle individual'!D511='Estado por Colaborador'!$D$4),OR('Estado por Colaborador'!$D$5="Todos los departamentos",TRIM('Detalle individual'!C511)='Estado por Colaborador'!$D$5),OR('Estado por Colaborador'!$D$6="Todos",'Detalle individual'!F511='Estado por Colaborador'!$D$6)),IF('Detalle individual'!F511="Completado",30000000,IF('Detalle individual'!F511="Pendiente",0,15000000))+COUNTIF('Detalle individual'!$C$5:$C$1000,"&lt;"&amp;'Detalle individual'!C511)*10000+ROW(),""))</f>
        <v/>
      </c>
      <c r="AB511" t="str">
        <f>IF('Detalle individual'!C511="","",IF(COUNTIF('Detalle individual'!$C$5:C511,'Detalle individual'!C511)=1,COUNTIF('Detalle individual'!$C$5:$C$1000,"&lt;"&amp;'Detalle individual'!C511),""))</f>
        <v/>
      </c>
      <c r="AC511" t="str">
        <f>IF('Detalle individual'!D511="","",IF(COUNTIF('Detalle individual'!$D$5:D511,'Detalle individual'!D511)=1,COUNTIF('Detalle individual'!$D$5:$D$1000,"&lt;"&amp;'Detalle individual'!D511),""))</f>
        <v/>
      </c>
      <c r="AH511" t="str">
        <f>IF('Detalle individual'!F511="Pendiente",COUNTIF('Detalle individual'!$D$5:$D$1000,"&lt;"&amp;'Detalle individual'!D511)*1000000+COUNTIF('Detalle individual'!$C$5:$C$1000,"&lt;"&amp;'Detalle individual'!C511)*1000+COUNTIF('Detalle individual'!$B$5:$B$1000,"&lt;"&amp;'Detalle individual'!B511)+ROW()/10000,"")</f>
        <v/>
      </c>
      <c r="AI511" t="str">
        <f>IF('Detalle individual'!F511="Completado",COUNTIF('Detalle individual'!$D$5:$D$1000,"&lt;"&amp;'Detalle individual'!D511)*1000000+COUNTIF('Detalle individual'!$C$5:$C$1000,"&lt;"&amp;'Detalle individual'!C511)*1000+COUNTIF('Detalle individual'!$B$5:$B$1000,"&lt;"&amp;'Detalle individual'!B511)+ROW()/10000,"")</f>
        <v/>
      </c>
      <c r="AJ511" t="str">
        <f>IF(AND('Detalle individual'!F511&lt;&gt;"",'Detalle individual'!F511&lt;&gt;"Completado",'Detalle individual'!F511&lt;&gt;"Pendiente"),COUNTIF('Detalle individual'!$D$5:$D$1000,"&lt;"&amp;'Detalle individual'!D511)*1000000+COUNTIF('Detalle individual'!$C$5:$C$1000,"&lt;"&amp;'Detalle individual'!C511)*1000+COUNTIF('Detalle individual'!$B$5:$B$1000,"&lt;"&amp;'Detalle individual'!B511)+ROW()/10000,"")</f>
        <v/>
      </c>
      <c r="AK511" t="str">
        <f>IF(OR('Base Exámenes'!C511="",'Base Exámenes'!D511=""),"",IF(COUNTIF('Base Exámenes'!$C$5:C511,'Base Exámenes'!C511)=1,'Base Exámenes'!D511+ROW()/1000000000,""))</f>
        <v/>
      </c>
      <c r="AL511" t="str">
        <f>IF(OR('Base Exámenes'!C511="",'Base Exámenes'!E511=""),"",IF(COUNTIF('Base Exámenes'!$C$5:C511,'Base Exámenes'!C511)=1,'Base Exámenes'!E511+ROW()/1000000000,""))</f>
        <v/>
      </c>
      <c r="AM511" t="str">
        <f>IF(OR('Base Exámenes'!C511="",'Base Exámenes'!G511=""),"",IF(ROW()-4=MATCH('Base Exámenes'!C511&amp;"|"&amp;_xlfn.MAXIFS('Base Exámenes'!$G$5:$G$1000,'Base Exámenes'!$C$5:$C$1000,'Base Exámenes'!C511),'Base Exámenes'!$I$5:$I$1000,0),'Base Exámenes'!G511*1000000+(-1)*'Base Exámenes'!D511,""))</f>
        <v/>
      </c>
      <c r="AQ511" t="str">
        <f>IF('Base Exámenes'!C511="","",IF(COUNTIF('Base Exámenes'!$C$5:$C$1000,'Base Exámenes'!C511)&lt;2,"",MATCH('Base Exámenes'!C511,'Base Exámenes'!$C$5:$C$1000,0)*10000+ROW()))</f>
        <v/>
      </c>
    </row>
    <row r="512">
      <c r="Z512" t="str">
        <f>IF('Detalle individual'!A512="","",IF(AND(OR('Estado por Colaborador'!$D$4="Todas las gerencias",'Detalle individual'!D512='Estado por Colaborador'!$D$4),OR('Estado por Colaborador'!$D$5="Todos los departamentos",TRIM('Detalle individual'!C512)='Estado por Colaborador'!$D$5),OR('Estado por Colaborador'!$D$6="Todos",'Detalle individual'!F512='Estado por Colaborador'!$D$6)),IF('Detalle individual'!F512="Completado",30000000,IF('Detalle individual'!F512="Pendiente",0,15000000))+COUNTIF('Detalle individual'!$C$5:$C$1000,"&lt;"&amp;'Detalle individual'!C512)*10000+ROW(),""))</f>
        <v/>
      </c>
      <c r="AB512" t="str">
        <f>IF('Detalle individual'!C512="","",IF(COUNTIF('Detalle individual'!$C$5:C512,'Detalle individual'!C512)=1,COUNTIF('Detalle individual'!$C$5:$C$1000,"&lt;"&amp;'Detalle individual'!C512),""))</f>
        <v/>
      </c>
      <c r="AC512" t="str">
        <f>IF('Detalle individual'!D512="","",IF(COUNTIF('Detalle individual'!$D$5:D512,'Detalle individual'!D512)=1,COUNTIF('Detalle individual'!$D$5:$D$1000,"&lt;"&amp;'Detalle individual'!D512),""))</f>
        <v/>
      </c>
      <c r="AH512" t="str">
        <f>IF('Detalle individual'!F512="Pendiente",COUNTIF('Detalle individual'!$D$5:$D$1000,"&lt;"&amp;'Detalle individual'!D512)*1000000+COUNTIF('Detalle individual'!$C$5:$C$1000,"&lt;"&amp;'Detalle individual'!C512)*1000+COUNTIF('Detalle individual'!$B$5:$B$1000,"&lt;"&amp;'Detalle individual'!B512)+ROW()/10000,"")</f>
        <v/>
      </c>
      <c r="AI512" t="str">
        <f>IF('Detalle individual'!F512="Completado",COUNTIF('Detalle individual'!$D$5:$D$1000,"&lt;"&amp;'Detalle individual'!D512)*1000000+COUNTIF('Detalle individual'!$C$5:$C$1000,"&lt;"&amp;'Detalle individual'!C512)*1000+COUNTIF('Detalle individual'!$B$5:$B$1000,"&lt;"&amp;'Detalle individual'!B512)+ROW()/10000,"")</f>
        <v/>
      </c>
      <c r="AJ512" t="str">
        <f>IF(AND('Detalle individual'!F512&lt;&gt;"",'Detalle individual'!F512&lt;&gt;"Completado",'Detalle individual'!F512&lt;&gt;"Pendiente"),COUNTIF('Detalle individual'!$D$5:$D$1000,"&lt;"&amp;'Detalle individual'!D512)*1000000+COUNTIF('Detalle individual'!$C$5:$C$1000,"&lt;"&amp;'Detalle individual'!C512)*1000+COUNTIF('Detalle individual'!$B$5:$B$1000,"&lt;"&amp;'Detalle individual'!B512)+ROW()/10000,"")</f>
        <v/>
      </c>
      <c r="AK512" t="str">
        <f>IF(OR('Base Exámenes'!C512="",'Base Exámenes'!D512=""),"",IF(COUNTIF('Base Exámenes'!$C$5:C512,'Base Exámenes'!C512)=1,'Base Exámenes'!D512+ROW()/1000000000,""))</f>
        <v/>
      </c>
      <c r="AL512" t="str">
        <f>IF(OR('Base Exámenes'!C512="",'Base Exámenes'!E512=""),"",IF(COUNTIF('Base Exámenes'!$C$5:C512,'Base Exámenes'!C512)=1,'Base Exámenes'!E512+ROW()/1000000000,""))</f>
        <v/>
      </c>
      <c r="AM512" t="str">
        <f>IF(OR('Base Exámenes'!C512="",'Base Exámenes'!G512=""),"",IF(ROW()-4=MATCH('Base Exámenes'!C512&amp;"|"&amp;_xlfn.MAXIFS('Base Exámenes'!$G$5:$G$1000,'Base Exámenes'!$C$5:$C$1000,'Base Exámenes'!C512),'Base Exámenes'!$I$5:$I$1000,0),'Base Exámenes'!G512*1000000+(-1)*'Base Exámenes'!D512,""))</f>
        <v/>
      </c>
      <c r="AQ512" t="str">
        <f>IF('Base Exámenes'!C512="","",IF(COUNTIF('Base Exámenes'!$C$5:$C$1000,'Base Exámenes'!C512)&lt;2,"",MATCH('Base Exámenes'!C512,'Base Exámenes'!$C$5:$C$1000,0)*10000+ROW()))</f>
        <v/>
      </c>
    </row>
    <row r="513">
      <c r="Z513" t="str">
        <f>IF('Detalle individual'!A513="","",IF(AND(OR('Estado por Colaborador'!$D$4="Todas las gerencias",'Detalle individual'!D513='Estado por Colaborador'!$D$4),OR('Estado por Colaborador'!$D$5="Todos los departamentos",TRIM('Detalle individual'!C513)='Estado por Colaborador'!$D$5),OR('Estado por Colaborador'!$D$6="Todos",'Detalle individual'!F513='Estado por Colaborador'!$D$6)),IF('Detalle individual'!F513="Completado",30000000,IF('Detalle individual'!F513="Pendiente",0,15000000))+COUNTIF('Detalle individual'!$C$5:$C$1000,"&lt;"&amp;'Detalle individual'!C513)*10000+ROW(),""))</f>
        <v/>
      </c>
      <c r="AB513" t="str">
        <f>IF('Detalle individual'!C513="","",IF(COUNTIF('Detalle individual'!$C$5:C513,'Detalle individual'!C513)=1,COUNTIF('Detalle individual'!$C$5:$C$1000,"&lt;"&amp;'Detalle individual'!C513),""))</f>
        <v/>
      </c>
      <c r="AC513" t="str">
        <f>IF('Detalle individual'!D513="","",IF(COUNTIF('Detalle individual'!$D$5:D513,'Detalle individual'!D513)=1,COUNTIF('Detalle individual'!$D$5:$D$1000,"&lt;"&amp;'Detalle individual'!D513),""))</f>
        <v/>
      </c>
      <c r="AH513" t="str">
        <f>IF('Detalle individual'!F513="Pendiente",COUNTIF('Detalle individual'!$D$5:$D$1000,"&lt;"&amp;'Detalle individual'!D513)*1000000+COUNTIF('Detalle individual'!$C$5:$C$1000,"&lt;"&amp;'Detalle individual'!C513)*1000+COUNTIF('Detalle individual'!$B$5:$B$1000,"&lt;"&amp;'Detalle individual'!B513)+ROW()/10000,"")</f>
        <v/>
      </c>
      <c r="AI513" t="str">
        <f>IF('Detalle individual'!F513="Completado",COUNTIF('Detalle individual'!$D$5:$D$1000,"&lt;"&amp;'Detalle individual'!D513)*1000000+COUNTIF('Detalle individual'!$C$5:$C$1000,"&lt;"&amp;'Detalle individual'!C513)*1000+COUNTIF('Detalle individual'!$B$5:$B$1000,"&lt;"&amp;'Detalle individual'!B513)+ROW()/10000,"")</f>
        <v/>
      </c>
      <c r="AJ513" t="str">
        <f>IF(AND('Detalle individual'!F513&lt;&gt;"",'Detalle individual'!F513&lt;&gt;"Completado",'Detalle individual'!F513&lt;&gt;"Pendiente"),COUNTIF('Detalle individual'!$D$5:$D$1000,"&lt;"&amp;'Detalle individual'!D513)*1000000+COUNTIF('Detalle individual'!$C$5:$C$1000,"&lt;"&amp;'Detalle individual'!C513)*1000+COUNTIF('Detalle individual'!$B$5:$B$1000,"&lt;"&amp;'Detalle individual'!B513)+ROW()/10000,"")</f>
        <v/>
      </c>
      <c r="AK513" t="str">
        <f>IF(OR('Base Exámenes'!C513="",'Base Exámenes'!D513=""),"",IF(COUNTIF('Base Exámenes'!$C$5:C513,'Base Exámenes'!C513)=1,'Base Exámenes'!D513+ROW()/1000000000,""))</f>
        <v/>
      </c>
      <c r="AL513" t="str">
        <f>IF(OR('Base Exámenes'!C513="",'Base Exámenes'!E513=""),"",IF(COUNTIF('Base Exámenes'!$C$5:C513,'Base Exámenes'!C513)=1,'Base Exámenes'!E513+ROW()/1000000000,""))</f>
        <v/>
      </c>
      <c r="AM513" t="str">
        <f>IF(OR('Base Exámenes'!C513="",'Base Exámenes'!G513=""),"",IF(ROW()-4=MATCH('Base Exámenes'!C513&amp;"|"&amp;_xlfn.MAXIFS('Base Exámenes'!$G$5:$G$1000,'Base Exámenes'!$C$5:$C$1000,'Base Exámenes'!C513),'Base Exámenes'!$I$5:$I$1000,0),'Base Exámenes'!G513*1000000+(-1)*'Base Exámenes'!D513,""))</f>
        <v/>
      </c>
      <c r="AQ513" t="str">
        <f>IF('Base Exámenes'!C513="","",IF(COUNTIF('Base Exámenes'!$C$5:$C$1000,'Base Exámenes'!C513)&lt;2,"",MATCH('Base Exámenes'!C513,'Base Exámenes'!$C$5:$C$1000,0)*10000+ROW()))</f>
        <v/>
      </c>
    </row>
    <row r="514">
      <c r="Z514" t="str">
        <f>IF('Detalle individual'!A514="","",IF(AND(OR('Estado por Colaborador'!$D$4="Todas las gerencias",'Detalle individual'!D514='Estado por Colaborador'!$D$4),OR('Estado por Colaborador'!$D$5="Todos los departamentos",TRIM('Detalle individual'!C514)='Estado por Colaborador'!$D$5),OR('Estado por Colaborador'!$D$6="Todos",'Detalle individual'!F514='Estado por Colaborador'!$D$6)),IF('Detalle individual'!F514="Completado",30000000,IF('Detalle individual'!F514="Pendiente",0,15000000))+COUNTIF('Detalle individual'!$C$5:$C$1000,"&lt;"&amp;'Detalle individual'!C514)*10000+ROW(),""))</f>
        <v/>
      </c>
      <c r="AB514" t="str">
        <f>IF('Detalle individual'!C514="","",IF(COUNTIF('Detalle individual'!$C$5:C514,'Detalle individual'!C514)=1,COUNTIF('Detalle individual'!$C$5:$C$1000,"&lt;"&amp;'Detalle individual'!C514),""))</f>
        <v/>
      </c>
      <c r="AC514" t="str">
        <f>IF('Detalle individual'!D514="","",IF(COUNTIF('Detalle individual'!$D$5:D514,'Detalle individual'!D514)=1,COUNTIF('Detalle individual'!$D$5:$D$1000,"&lt;"&amp;'Detalle individual'!D514),""))</f>
        <v/>
      </c>
      <c r="AH514" t="str">
        <f>IF('Detalle individual'!F514="Pendiente",COUNTIF('Detalle individual'!$D$5:$D$1000,"&lt;"&amp;'Detalle individual'!D514)*1000000+COUNTIF('Detalle individual'!$C$5:$C$1000,"&lt;"&amp;'Detalle individual'!C514)*1000+COUNTIF('Detalle individual'!$B$5:$B$1000,"&lt;"&amp;'Detalle individual'!B514)+ROW()/10000,"")</f>
        <v/>
      </c>
      <c r="AI514" t="str">
        <f>IF('Detalle individual'!F514="Completado",COUNTIF('Detalle individual'!$D$5:$D$1000,"&lt;"&amp;'Detalle individual'!D514)*1000000+COUNTIF('Detalle individual'!$C$5:$C$1000,"&lt;"&amp;'Detalle individual'!C514)*1000+COUNTIF('Detalle individual'!$B$5:$B$1000,"&lt;"&amp;'Detalle individual'!B514)+ROW()/10000,"")</f>
        <v/>
      </c>
      <c r="AJ514" t="str">
        <f>IF(AND('Detalle individual'!F514&lt;&gt;"",'Detalle individual'!F514&lt;&gt;"Completado",'Detalle individual'!F514&lt;&gt;"Pendiente"),COUNTIF('Detalle individual'!$D$5:$D$1000,"&lt;"&amp;'Detalle individual'!D514)*1000000+COUNTIF('Detalle individual'!$C$5:$C$1000,"&lt;"&amp;'Detalle individual'!C514)*1000+COUNTIF('Detalle individual'!$B$5:$B$1000,"&lt;"&amp;'Detalle individual'!B514)+ROW()/10000,"")</f>
        <v/>
      </c>
      <c r="AK514" t="str">
        <f>IF(OR('Base Exámenes'!C514="",'Base Exámenes'!D514=""),"",IF(COUNTIF('Base Exámenes'!$C$5:C514,'Base Exámenes'!C514)=1,'Base Exámenes'!D514+ROW()/1000000000,""))</f>
        <v/>
      </c>
      <c r="AL514" t="str">
        <f>IF(OR('Base Exámenes'!C514="",'Base Exámenes'!E514=""),"",IF(COUNTIF('Base Exámenes'!$C$5:C514,'Base Exámenes'!C514)=1,'Base Exámenes'!E514+ROW()/1000000000,""))</f>
        <v/>
      </c>
      <c r="AM514" t="str">
        <f>IF(OR('Base Exámenes'!C514="",'Base Exámenes'!G514=""),"",IF(ROW()-4=MATCH('Base Exámenes'!C514&amp;"|"&amp;_xlfn.MAXIFS('Base Exámenes'!$G$5:$G$1000,'Base Exámenes'!$C$5:$C$1000,'Base Exámenes'!C514),'Base Exámenes'!$I$5:$I$1000,0),'Base Exámenes'!G514*1000000+(-1)*'Base Exámenes'!D514,""))</f>
        <v/>
      </c>
      <c r="AQ514" t="str">
        <f>IF('Base Exámenes'!C514="","",IF(COUNTIF('Base Exámenes'!$C$5:$C$1000,'Base Exámenes'!C514)&lt;2,"",MATCH('Base Exámenes'!C514,'Base Exámenes'!$C$5:$C$1000,0)*10000+ROW()))</f>
        <v/>
      </c>
    </row>
    <row r="515">
      <c r="Z515" t="str">
        <f>IF('Detalle individual'!A515="","",IF(AND(OR('Estado por Colaborador'!$D$4="Todas las gerencias",'Detalle individual'!D515='Estado por Colaborador'!$D$4),OR('Estado por Colaborador'!$D$5="Todos los departamentos",TRIM('Detalle individual'!C515)='Estado por Colaborador'!$D$5),OR('Estado por Colaborador'!$D$6="Todos",'Detalle individual'!F515='Estado por Colaborador'!$D$6)),IF('Detalle individual'!F515="Completado",30000000,IF('Detalle individual'!F515="Pendiente",0,15000000))+COUNTIF('Detalle individual'!$C$5:$C$1000,"&lt;"&amp;'Detalle individual'!C515)*10000+ROW(),""))</f>
        <v/>
      </c>
      <c r="AB515" t="str">
        <f>IF('Detalle individual'!C515="","",IF(COUNTIF('Detalle individual'!$C$5:C515,'Detalle individual'!C515)=1,COUNTIF('Detalle individual'!$C$5:$C$1000,"&lt;"&amp;'Detalle individual'!C515),""))</f>
        <v/>
      </c>
      <c r="AC515" t="str">
        <f>IF('Detalle individual'!D515="","",IF(COUNTIF('Detalle individual'!$D$5:D515,'Detalle individual'!D515)=1,COUNTIF('Detalle individual'!$D$5:$D$1000,"&lt;"&amp;'Detalle individual'!D515),""))</f>
        <v/>
      </c>
      <c r="AH515" t="str">
        <f>IF('Detalle individual'!F515="Pendiente",COUNTIF('Detalle individual'!$D$5:$D$1000,"&lt;"&amp;'Detalle individual'!D515)*1000000+COUNTIF('Detalle individual'!$C$5:$C$1000,"&lt;"&amp;'Detalle individual'!C515)*1000+COUNTIF('Detalle individual'!$B$5:$B$1000,"&lt;"&amp;'Detalle individual'!B515)+ROW()/10000,"")</f>
        <v/>
      </c>
      <c r="AI515" t="str">
        <f>IF('Detalle individual'!F515="Completado",COUNTIF('Detalle individual'!$D$5:$D$1000,"&lt;"&amp;'Detalle individual'!D515)*1000000+COUNTIF('Detalle individual'!$C$5:$C$1000,"&lt;"&amp;'Detalle individual'!C515)*1000+COUNTIF('Detalle individual'!$B$5:$B$1000,"&lt;"&amp;'Detalle individual'!B515)+ROW()/10000,"")</f>
        <v/>
      </c>
      <c r="AJ515" t="str">
        <f>IF(AND('Detalle individual'!F515&lt;&gt;"",'Detalle individual'!F515&lt;&gt;"Completado",'Detalle individual'!F515&lt;&gt;"Pendiente"),COUNTIF('Detalle individual'!$D$5:$D$1000,"&lt;"&amp;'Detalle individual'!D515)*1000000+COUNTIF('Detalle individual'!$C$5:$C$1000,"&lt;"&amp;'Detalle individual'!C515)*1000+COUNTIF('Detalle individual'!$B$5:$B$1000,"&lt;"&amp;'Detalle individual'!B515)+ROW()/10000,"")</f>
        <v/>
      </c>
      <c r="AK515" t="str">
        <f>IF(OR('Base Exámenes'!C515="",'Base Exámenes'!D515=""),"",IF(COUNTIF('Base Exámenes'!$C$5:C515,'Base Exámenes'!C515)=1,'Base Exámenes'!D515+ROW()/1000000000,""))</f>
        <v/>
      </c>
      <c r="AL515" t="str">
        <f>IF(OR('Base Exámenes'!C515="",'Base Exámenes'!E515=""),"",IF(COUNTIF('Base Exámenes'!$C$5:C515,'Base Exámenes'!C515)=1,'Base Exámenes'!E515+ROW()/1000000000,""))</f>
        <v/>
      </c>
      <c r="AM515" t="str">
        <f>IF(OR('Base Exámenes'!C515="",'Base Exámenes'!G515=""),"",IF(ROW()-4=MATCH('Base Exámenes'!C515&amp;"|"&amp;_xlfn.MAXIFS('Base Exámenes'!$G$5:$G$1000,'Base Exámenes'!$C$5:$C$1000,'Base Exámenes'!C515),'Base Exámenes'!$I$5:$I$1000,0),'Base Exámenes'!G515*1000000+(-1)*'Base Exámenes'!D515,""))</f>
        <v/>
      </c>
      <c r="AQ515" t="str">
        <f>IF('Base Exámenes'!C515="","",IF(COUNTIF('Base Exámenes'!$C$5:$C$1000,'Base Exámenes'!C515)&lt;2,"",MATCH('Base Exámenes'!C515,'Base Exámenes'!$C$5:$C$1000,0)*10000+ROW()))</f>
        <v/>
      </c>
    </row>
    <row r="516">
      <c r="Z516" t="str">
        <f>IF('Detalle individual'!A516="","",IF(AND(OR('Estado por Colaborador'!$D$4="Todas las gerencias",'Detalle individual'!D516='Estado por Colaborador'!$D$4),OR('Estado por Colaborador'!$D$5="Todos los departamentos",TRIM('Detalle individual'!C516)='Estado por Colaborador'!$D$5),OR('Estado por Colaborador'!$D$6="Todos",'Detalle individual'!F516='Estado por Colaborador'!$D$6)),IF('Detalle individual'!F516="Completado",30000000,IF('Detalle individual'!F516="Pendiente",0,15000000))+COUNTIF('Detalle individual'!$C$5:$C$1000,"&lt;"&amp;'Detalle individual'!C516)*10000+ROW(),""))</f>
        <v/>
      </c>
      <c r="AB516" t="str">
        <f>IF('Detalle individual'!C516="","",IF(COUNTIF('Detalle individual'!$C$5:C516,'Detalle individual'!C516)=1,COUNTIF('Detalle individual'!$C$5:$C$1000,"&lt;"&amp;'Detalle individual'!C516),""))</f>
        <v/>
      </c>
      <c r="AC516" t="str">
        <f>IF('Detalle individual'!D516="","",IF(COUNTIF('Detalle individual'!$D$5:D516,'Detalle individual'!D516)=1,COUNTIF('Detalle individual'!$D$5:$D$1000,"&lt;"&amp;'Detalle individual'!D516),""))</f>
        <v/>
      </c>
      <c r="AH516" t="str">
        <f>IF('Detalle individual'!F516="Pendiente",COUNTIF('Detalle individual'!$D$5:$D$1000,"&lt;"&amp;'Detalle individual'!D516)*1000000+COUNTIF('Detalle individual'!$C$5:$C$1000,"&lt;"&amp;'Detalle individual'!C516)*1000+COUNTIF('Detalle individual'!$B$5:$B$1000,"&lt;"&amp;'Detalle individual'!B516)+ROW()/10000,"")</f>
        <v/>
      </c>
      <c r="AI516" t="str">
        <f>IF('Detalle individual'!F516="Completado",COUNTIF('Detalle individual'!$D$5:$D$1000,"&lt;"&amp;'Detalle individual'!D516)*1000000+COUNTIF('Detalle individual'!$C$5:$C$1000,"&lt;"&amp;'Detalle individual'!C516)*1000+COUNTIF('Detalle individual'!$B$5:$B$1000,"&lt;"&amp;'Detalle individual'!B516)+ROW()/10000,"")</f>
        <v/>
      </c>
      <c r="AJ516" t="str">
        <f>IF(AND('Detalle individual'!F516&lt;&gt;"",'Detalle individual'!F516&lt;&gt;"Completado",'Detalle individual'!F516&lt;&gt;"Pendiente"),COUNTIF('Detalle individual'!$D$5:$D$1000,"&lt;"&amp;'Detalle individual'!D516)*1000000+COUNTIF('Detalle individual'!$C$5:$C$1000,"&lt;"&amp;'Detalle individual'!C516)*1000+COUNTIF('Detalle individual'!$B$5:$B$1000,"&lt;"&amp;'Detalle individual'!B516)+ROW()/10000,"")</f>
        <v/>
      </c>
      <c r="AK516" t="str">
        <f>IF(OR('Base Exámenes'!C516="",'Base Exámenes'!D516=""),"",IF(COUNTIF('Base Exámenes'!$C$5:C516,'Base Exámenes'!C516)=1,'Base Exámenes'!D516+ROW()/1000000000,""))</f>
        <v/>
      </c>
      <c r="AL516" t="str">
        <f>IF(OR('Base Exámenes'!C516="",'Base Exámenes'!E516=""),"",IF(COUNTIF('Base Exámenes'!$C$5:C516,'Base Exámenes'!C516)=1,'Base Exámenes'!E516+ROW()/1000000000,""))</f>
        <v/>
      </c>
      <c r="AM516" t="str">
        <f>IF(OR('Base Exámenes'!C516="",'Base Exámenes'!G516=""),"",IF(ROW()-4=MATCH('Base Exámenes'!C516&amp;"|"&amp;_xlfn.MAXIFS('Base Exámenes'!$G$5:$G$1000,'Base Exámenes'!$C$5:$C$1000,'Base Exámenes'!C516),'Base Exámenes'!$I$5:$I$1000,0),'Base Exámenes'!G516*1000000+(-1)*'Base Exámenes'!D516,""))</f>
        <v/>
      </c>
      <c r="AQ516" t="str">
        <f>IF('Base Exámenes'!C516="","",IF(COUNTIF('Base Exámenes'!$C$5:$C$1000,'Base Exámenes'!C516)&lt;2,"",MATCH('Base Exámenes'!C516,'Base Exámenes'!$C$5:$C$1000,0)*10000+ROW()))</f>
        <v/>
      </c>
    </row>
    <row r="517">
      <c r="Z517" t="str">
        <f>IF('Detalle individual'!A517="","",IF(AND(OR('Estado por Colaborador'!$D$4="Todas las gerencias",'Detalle individual'!D517='Estado por Colaborador'!$D$4),OR('Estado por Colaborador'!$D$5="Todos los departamentos",TRIM('Detalle individual'!C517)='Estado por Colaborador'!$D$5),OR('Estado por Colaborador'!$D$6="Todos",'Detalle individual'!F517='Estado por Colaborador'!$D$6)),IF('Detalle individual'!F517="Completado",30000000,IF('Detalle individual'!F517="Pendiente",0,15000000))+COUNTIF('Detalle individual'!$C$5:$C$1000,"&lt;"&amp;'Detalle individual'!C517)*10000+ROW(),""))</f>
        <v/>
      </c>
      <c r="AB517" t="str">
        <f>IF('Detalle individual'!C517="","",IF(COUNTIF('Detalle individual'!$C$5:C517,'Detalle individual'!C517)=1,COUNTIF('Detalle individual'!$C$5:$C$1000,"&lt;"&amp;'Detalle individual'!C517),""))</f>
        <v/>
      </c>
      <c r="AC517" t="str">
        <f>IF('Detalle individual'!D517="","",IF(COUNTIF('Detalle individual'!$D$5:D517,'Detalle individual'!D517)=1,COUNTIF('Detalle individual'!$D$5:$D$1000,"&lt;"&amp;'Detalle individual'!D517),""))</f>
        <v/>
      </c>
      <c r="AH517" t="str">
        <f>IF('Detalle individual'!F517="Pendiente",COUNTIF('Detalle individual'!$D$5:$D$1000,"&lt;"&amp;'Detalle individual'!D517)*1000000+COUNTIF('Detalle individual'!$C$5:$C$1000,"&lt;"&amp;'Detalle individual'!C517)*1000+COUNTIF('Detalle individual'!$B$5:$B$1000,"&lt;"&amp;'Detalle individual'!B517)+ROW()/10000,"")</f>
        <v/>
      </c>
      <c r="AI517" t="str">
        <f>IF('Detalle individual'!F517="Completado",COUNTIF('Detalle individual'!$D$5:$D$1000,"&lt;"&amp;'Detalle individual'!D517)*1000000+COUNTIF('Detalle individual'!$C$5:$C$1000,"&lt;"&amp;'Detalle individual'!C517)*1000+COUNTIF('Detalle individual'!$B$5:$B$1000,"&lt;"&amp;'Detalle individual'!B517)+ROW()/10000,"")</f>
        <v/>
      </c>
      <c r="AJ517" t="str">
        <f>IF(AND('Detalle individual'!F517&lt;&gt;"",'Detalle individual'!F517&lt;&gt;"Completado",'Detalle individual'!F517&lt;&gt;"Pendiente"),COUNTIF('Detalle individual'!$D$5:$D$1000,"&lt;"&amp;'Detalle individual'!D517)*1000000+COUNTIF('Detalle individual'!$C$5:$C$1000,"&lt;"&amp;'Detalle individual'!C517)*1000+COUNTIF('Detalle individual'!$B$5:$B$1000,"&lt;"&amp;'Detalle individual'!B517)+ROW()/10000,"")</f>
        <v/>
      </c>
      <c r="AK517" t="str">
        <f>IF(OR('Base Exámenes'!C517="",'Base Exámenes'!D517=""),"",IF(COUNTIF('Base Exámenes'!$C$5:C517,'Base Exámenes'!C517)=1,'Base Exámenes'!D517+ROW()/1000000000,""))</f>
        <v/>
      </c>
      <c r="AL517" t="str">
        <f>IF(OR('Base Exámenes'!C517="",'Base Exámenes'!E517=""),"",IF(COUNTIF('Base Exámenes'!$C$5:C517,'Base Exámenes'!C517)=1,'Base Exámenes'!E517+ROW()/1000000000,""))</f>
        <v/>
      </c>
      <c r="AM517" t="str">
        <f>IF(OR('Base Exámenes'!C517="",'Base Exámenes'!G517=""),"",IF(ROW()-4=MATCH('Base Exámenes'!C517&amp;"|"&amp;_xlfn.MAXIFS('Base Exámenes'!$G$5:$G$1000,'Base Exámenes'!$C$5:$C$1000,'Base Exámenes'!C517),'Base Exámenes'!$I$5:$I$1000,0),'Base Exámenes'!G517*1000000+(-1)*'Base Exámenes'!D517,""))</f>
        <v/>
      </c>
      <c r="AQ517" t="str">
        <f>IF('Base Exámenes'!C517="","",IF(COUNTIF('Base Exámenes'!$C$5:$C$1000,'Base Exámenes'!C517)&lt;2,"",MATCH('Base Exámenes'!C517,'Base Exámenes'!$C$5:$C$1000,0)*10000+ROW()))</f>
        <v/>
      </c>
    </row>
    <row r="518">
      <c r="Z518" t="str">
        <f>IF('Detalle individual'!A518="","",IF(AND(OR('Estado por Colaborador'!$D$4="Todas las gerencias",'Detalle individual'!D518='Estado por Colaborador'!$D$4),OR('Estado por Colaborador'!$D$5="Todos los departamentos",TRIM('Detalle individual'!C518)='Estado por Colaborador'!$D$5),OR('Estado por Colaborador'!$D$6="Todos",'Detalle individual'!F518='Estado por Colaborador'!$D$6)),IF('Detalle individual'!F518="Completado",30000000,IF('Detalle individual'!F518="Pendiente",0,15000000))+COUNTIF('Detalle individual'!$C$5:$C$1000,"&lt;"&amp;'Detalle individual'!C518)*10000+ROW(),""))</f>
        <v/>
      </c>
      <c r="AB518" t="str">
        <f>IF('Detalle individual'!C518="","",IF(COUNTIF('Detalle individual'!$C$5:C518,'Detalle individual'!C518)=1,COUNTIF('Detalle individual'!$C$5:$C$1000,"&lt;"&amp;'Detalle individual'!C518),""))</f>
        <v/>
      </c>
      <c r="AC518" t="str">
        <f>IF('Detalle individual'!D518="","",IF(COUNTIF('Detalle individual'!$D$5:D518,'Detalle individual'!D518)=1,COUNTIF('Detalle individual'!$D$5:$D$1000,"&lt;"&amp;'Detalle individual'!D518),""))</f>
        <v/>
      </c>
      <c r="AH518" t="str">
        <f>IF('Detalle individual'!F518="Pendiente",COUNTIF('Detalle individual'!$D$5:$D$1000,"&lt;"&amp;'Detalle individual'!D518)*1000000+COUNTIF('Detalle individual'!$C$5:$C$1000,"&lt;"&amp;'Detalle individual'!C518)*1000+COUNTIF('Detalle individual'!$B$5:$B$1000,"&lt;"&amp;'Detalle individual'!B518)+ROW()/10000,"")</f>
        <v/>
      </c>
      <c r="AI518" t="str">
        <f>IF('Detalle individual'!F518="Completado",COUNTIF('Detalle individual'!$D$5:$D$1000,"&lt;"&amp;'Detalle individual'!D518)*1000000+COUNTIF('Detalle individual'!$C$5:$C$1000,"&lt;"&amp;'Detalle individual'!C518)*1000+COUNTIF('Detalle individual'!$B$5:$B$1000,"&lt;"&amp;'Detalle individual'!B518)+ROW()/10000,"")</f>
        <v/>
      </c>
      <c r="AJ518" t="str">
        <f>IF(AND('Detalle individual'!F518&lt;&gt;"",'Detalle individual'!F518&lt;&gt;"Completado",'Detalle individual'!F518&lt;&gt;"Pendiente"),COUNTIF('Detalle individual'!$D$5:$D$1000,"&lt;"&amp;'Detalle individual'!D518)*1000000+COUNTIF('Detalle individual'!$C$5:$C$1000,"&lt;"&amp;'Detalle individual'!C518)*1000+COUNTIF('Detalle individual'!$B$5:$B$1000,"&lt;"&amp;'Detalle individual'!B518)+ROW()/10000,"")</f>
        <v/>
      </c>
      <c r="AK518" t="str">
        <f>IF(OR('Base Exámenes'!C518="",'Base Exámenes'!D518=""),"",IF(COUNTIF('Base Exámenes'!$C$5:C518,'Base Exámenes'!C518)=1,'Base Exámenes'!D518+ROW()/1000000000,""))</f>
        <v/>
      </c>
      <c r="AL518" t="str">
        <f>IF(OR('Base Exámenes'!C518="",'Base Exámenes'!E518=""),"",IF(COUNTIF('Base Exámenes'!$C$5:C518,'Base Exámenes'!C518)=1,'Base Exámenes'!E518+ROW()/1000000000,""))</f>
        <v/>
      </c>
      <c r="AM518" t="str">
        <f>IF(OR('Base Exámenes'!C518="",'Base Exámenes'!G518=""),"",IF(ROW()-4=MATCH('Base Exámenes'!C518&amp;"|"&amp;_xlfn.MAXIFS('Base Exámenes'!$G$5:$G$1000,'Base Exámenes'!$C$5:$C$1000,'Base Exámenes'!C518),'Base Exámenes'!$I$5:$I$1000,0),'Base Exámenes'!G518*1000000+(-1)*'Base Exámenes'!D518,""))</f>
        <v/>
      </c>
      <c r="AQ518" t="str">
        <f>IF('Base Exámenes'!C518="","",IF(COUNTIF('Base Exámenes'!$C$5:$C$1000,'Base Exámenes'!C518)&lt;2,"",MATCH('Base Exámenes'!C518,'Base Exámenes'!$C$5:$C$1000,0)*10000+ROW()))</f>
        <v/>
      </c>
    </row>
    <row r="519">
      <c r="Z519" t="str">
        <f>IF('Detalle individual'!A519="","",IF(AND(OR('Estado por Colaborador'!$D$4="Todas las gerencias",'Detalle individual'!D519='Estado por Colaborador'!$D$4),OR('Estado por Colaborador'!$D$5="Todos los departamentos",TRIM('Detalle individual'!C519)='Estado por Colaborador'!$D$5),OR('Estado por Colaborador'!$D$6="Todos",'Detalle individual'!F519='Estado por Colaborador'!$D$6)),IF('Detalle individual'!F519="Completado",30000000,IF('Detalle individual'!F519="Pendiente",0,15000000))+COUNTIF('Detalle individual'!$C$5:$C$1000,"&lt;"&amp;'Detalle individual'!C519)*10000+ROW(),""))</f>
        <v/>
      </c>
      <c r="AB519" t="str">
        <f>IF('Detalle individual'!C519="","",IF(COUNTIF('Detalle individual'!$C$5:C519,'Detalle individual'!C519)=1,COUNTIF('Detalle individual'!$C$5:$C$1000,"&lt;"&amp;'Detalle individual'!C519),""))</f>
        <v/>
      </c>
      <c r="AC519" t="str">
        <f>IF('Detalle individual'!D519="","",IF(COUNTIF('Detalle individual'!$D$5:D519,'Detalle individual'!D519)=1,COUNTIF('Detalle individual'!$D$5:$D$1000,"&lt;"&amp;'Detalle individual'!D519),""))</f>
        <v/>
      </c>
      <c r="AH519" t="str">
        <f>IF('Detalle individual'!F519="Pendiente",COUNTIF('Detalle individual'!$D$5:$D$1000,"&lt;"&amp;'Detalle individual'!D519)*1000000+COUNTIF('Detalle individual'!$C$5:$C$1000,"&lt;"&amp;'Detalle individual'!C519)*1000+COUNTIF('Detalle individual'!$B$5:$B$1000,"&lt;"&amp;'Detalle individual'!B519)+ROW()/10000,"")</f>
        <v/>
      </c>
      <c r="AI519" t="str">
        <f>IF('Detalle individual'!F519="Completado",COUNTIF('Detalle individual'!$D$5:$D$1000,"&lt;"&amp;'Detalle individual'!D519)*1000000+COUNTIF('Detalle individual'!$C$5:$C$1000,"&lt;"&amp;'Detalle individual'!C519)*1000+COUNTIF('Detalle individual'!$B$5:$B$1000,"&lt;"&amp;'Detalle individual'!B519)+ROW()/10000,"")</f>
        <v/>
      </c>
      <c r="AJ519" t="str">
        <f>IF(AND('Detalle individual'!F519&lt;&gt;"",'Detalle individual'!F519&lt;&gt;"Completado",'Detalle individual'!F519&lt;&gt;"Pendiente"),COUNTIF('Detalle individual'!$D$5:$D$1000,"&lt;"&amp;'Detalle individual'!D519)*1000000+COUNTIF('Detalle individual'!$C$5:$C$1000,"&lt;"&amp;'Detalle individual'!C519)*1000+COUNTIF('Detalle individual'!$B$5:$B$1000,"&lt;"&amp;'Detalle individual'!B519)+ROW()/10000,"")</f>
        <v/>
      </c>
      <c r="AK519" t="str">
        <f>IF(OR('Base Exámenes'!C519="",'Base Exámenes'!D519=""),"",IF(COUNTIF('Base Exámenes'!$C$5:C519,'Base Exámenes'!C519)=1,'Base Exámenes'!D519+ROW()/1000000000,""))</f>
        <v/>
      </c>
      <c r="AL519" t="str">
        <f>IF(OR('Base Exámenes'!C519="",'Base Exámenes'!E519=""),"",IF(COUNTIF('Base Exámenes'!$C$5:C519,'Base Exámenes'!C519)=1,'Base Exámenes'!E519+ROW()/1000000000,""))</f>
        <v/>
      </c>
      <c r="AM519" t="str">
        <f>IF(OR('Base Exámenes'!C519="",'Base Exámenes'!G519=""),"",IF(ROW()-4=MATCH('Base Exámenes'!C519&amp;"|"&amp;_xlfn.MAXIFS('Base Exámenes'!$G$5:$G$1000,'Base Exámenes'!$C$5:$C$1000,'Base Exámenes'!C519),'Base Exámenes'!$I$5:$I$1000,0),'Base Exámenes'!G519*1000000+(-1)*'Base Exámenes'!D519,""))</f>
        <v/>
      </c>
      <c r="AQ519" t="str">
        <f>IF('Base Exámenes'!C519="","",IF(COUNTIF('Base Exámenes'!$C$5:$C$1000,'Base Exámenes'!C519)&lt;2,"",MATCH('Base Exámenes'!C519,'Base Exámenes'!$C$5:$C$1000,0)*10000+ROW()))</f>
        <v/>
      </c>
    </row>
    <row r="520">
      <c r="Z520" t="str">
        <f>IF('Detalle individual'!A520="","",IF(AND(OR('Estado por Colaborador'!$D$4="Todas las gerencias",'Detalle individual'!D520='Estado por Colaborador'!$D$4),OR('Estado por Colaborador'!$D$5="Todos los departamentos",TRIM('Detalle individual'!C520)='Estado por Colaborador'!$D$5),OR('Estado por Colaborador'!$D$6="Todos",'Detalle individual'!F520='Estado por Colaborador'!$D$6)),IF('Detalle individual'!F520="Completado",30000000,IF('Detalle individual'!F520="Pendiente",0,15000000))+COUNTIF('Detalle individual'!$C$5:$C$1000,"&lt;"&amp;'Detalle individual'!C520)*10000+ROW(),""))</f>
        <v/>
      </c>
      <c r="AB520" t="str">
        <f>IF('Detalle individual'!C520="","",IF(COUNTIF('Detalle individual'!$C$5:C520,'Detalle individual'!C520)=1,COUNTIF('Detalle individual'!$C$5:$C$1000,"&lt;"&amp;'Detalle individual'!C520),""))</f>
        <v/>
      </c>
      <c r="AC520" t="str">
        <f>IF('Detalle individual'!D520="","",IF(COUNTIF('Detalle individual'!$D$5:D520,'Detalle individual'!D520)=1,COUNTIF('Detalle individual'!$D$5:$D$1000,"&lt;"&amp;'Detalle individual'!D520),""))</f>
        <v/>
      </c>
      <c r="AH520" t="str">
        <f>IF('Detalle individual'!F520="Pendiente",COUNTIF('Detalle individual'!$D$5:$D$1000,"&lt;"&amp;'Detalle individual'!D520)*1000000+COUNTIF('Detalle individual'!$C$5:$C$1000,"&lt;"&amp;'Detalle individual'!C520)*1000+COUNTIF('Detalle individual'!$B$5:$B$1000,"&lt;"&amp;'Detalle individual'!B520)+ROW()/10000,"")</f>
        <v/>
      </c>
      <c r="AI520" t="str">
        <f>IF('Detalle individual'!F520="Completado",COUNTIF('Detalle individual'!$D$5:$D$1000,"&lt;"&amp;'Detalle individual'!D520)*1000000+COUNTIF('Detalle individual'!$C$5:$C$1000,"&lt;"&amp;'Detalle individual'!C520)*1000+COUNTIF('Detalle individual'!$B$5:$B$1000,"&lt;"&amp;'Detalle individual'!B520)+ROW()/10000,"")</f>
        <v/>
      </c>
      <c r="AJ520" t="str">
        <f>IF(AND('Detalle individual'!F520&lt;&gt;"",'Detalle individual'!F520&lt;&gt;"Completado",'Detalle individual'!F520&lt;&gt;"Pendiente"),COUNTIF('Detalle individual'!$D$5:$D$1000,"&lt;"&amp;'Detalle individual'!D520)*1000000+COUNTIF('Detalle individual'!$C$5:$C$1000,"&lt;"&amp;'Detalle individual'!C520)*1000+COUNTIF('Detalle individual'!$B$5:$B$1000,"&lt;"&amp;'Detalle individual'!B520)+ROW()/10000,"")</f>
        <v/>
      </c>
      <c r="AK520" t="str">
        <f>IF(OR('Base Exámenes'!C520="",'Base Exámenes'!D520=""),"",IF(COUNTIF('Base Exámenes'!$C$5:C520,'Base Exámenes'!C520)=1,'Base Exámenes'!D520+ROW()/1000000000,""))</f>
        <v/>
      </c>
      <c r="AL520" t="str">
        <f>IF(OR('Base Exámenes'!C520="",'Base Exámenes'!E520=""),"",IF(COUNTIF('Base Exámenes'!$C$5:C520,'Base Exámenes'!C520)=1,'Base Exámenes'!E520+ROW()/1000000000,""))</f>
        <v/>
      </c>
      <c r="AM520" t="str">
        <f>IF(OR('Base Exámenes'!C520="",'Base Exámenes'!G520=""),"",IF(ROW()-4=MATCH('Base Exámenes'!C520&amp;"|"&amp;_xlfn.MAXIFS('Base Exámenes'!$G$5:$G$1000,'Base Exámenes'!$C$5:$C$1000,'Base Exámenes'!C520),'Base Exámenes'!$I$5:$I$1000,0),'Base Exámenes'!G520*1000000+(-1)*'Base Exámenes'!D520,""))</f>
        <v/>
      </c>
      <c r="AQ520" t="str">
        <f>IF('Base Exámenes'!C520="","",IF(COUNTIF('Base Exámenes'!$C$5:$C$1000,'Base Exámenes'!C520)&lt;2,"",MATCH('Base Exámenes'!C520,'Base Exámenes'!$C$5:$C$1000,0)*10000+ROW()))</f>
        <v/>
      </c>
    </row>
    <row r="521">
      <c r="Z521" t="str">
        <f>IF('Detalle individual'!A521="","",IF(AND(OR('Estado por Colaborador'!$D$4="Todas las gerencias",'Detalle individual'!D521='Estado por Colaborador'!$D$4),OR('Estado por Colaborador'!$D$5="Todos los departamentos",TRIM('Detalle individual'!C521)='Estado por Colaborador'!$D$5),OR('Estado por Colaborador'!$D$6="Todos",'Detalle individual'!F521='Estado por Colaborador'!$D$6)),IF('Detalle individual'!F521="Completado",30000000,IF('Detalle individual'!F521="Pendiente",0,15000000))+COUNTIF('Detalle individual'!$C$5:$C$1000,"&lt;"&amp;'Detalle individual'!C521)*10000+ROW(),""))</f>
        <v/>
      </c>
      <c r="AB521" t="str">
        <f>IF('Detalle individual'!C521="","",IF(COUNTIF('Detalle individual'!$C$5:C521,'Detalle individual'!C521)=1,COUNTIF('Detalle individual'!$C$5:$C$1000,"&lt;"&amp;'Detalle individual'!C521),""))</f>
        <v/>
      </c>
      <c r="AC521" t="str">
        <f>IF('Detalle individual'!D521="","",IF(COUNTIF('Detalle individual'!$D$5:D521,'Detalle individual'!D521)=1,COUNTIF('Detalle individual'!$D$5:$D$1000,"&lt;"&amp;'Detalle individual'!D521),""))</f>
        <v/>
      </c>
      <c r="AH521" t="str">
        <f>IF('Detalle individual'!F521="Pendiente",COUNTIF('Detalle individual'!$D$5:$D$1000,"&lt;"&amp;'Detalle individual'!D521)*1000000+COUNTIF('Detalle individual'!$C$5:$C$1000,"&lt;"&amp;'Detalle individual'!C521)*1000+COUNTIF('Detalle individual'!$B$5:$B$1000,"&lt;"&amp;'Detalle individual'!B521)+ROW()/10000,"")</f>
        <v/>
      </c>
      <c r="AI521" t="str">
        <f>IF('Detalle individual'!F521="Completado",COUNTIF('Detalle individual'!$D$5:$D$1000,"&lt;"&amp;'Detalle individual'!D521)*1000000+COUNTIF('Detalle individual'!$C$5:$C$1000,"&lt;"&amp;'Detalle individual'!C521)*1000+COUNTIF('Detalle individual'!$B$5:$B$1000,"&lt;"&amp;'Detalle individual'!B521)+ROW()/10000,"")</f>
        <v/>
      </c>
      <c r="AJ521" t="str">
        <f>IF(AND('Detalle individual'!F521&lt;&gt;"",'Detalle individual'!F521&lt;&gt;"Completado",'Detalle individual'!F521&lt;&gt;"Pendiente"),COUNTIF('Detalle individual'!$D$5:$D$1000,"&lt;"&amp;'Detalle individual'!D521)*1000000+COUNTIF('Detalle individual'!$C$5:$C$1000,"&lt;"&amp;'Detalle individual'!C521)*1000+COUNTIF('Detalle individual'!$B$5:$B$1000,"&lt;"&amp;'Detalle individual'!B521)+ROW()/10000,"")</f>
        <v/>
      </c>
      <c r="AK521" t="str">
        <f>IF(OR('Base Exámenes'!C521="",'Base Exámenes'!D521=""),"",IF(COUNTIF('Base Exámenes'!$C$5:C521,'Base Exámenes'!C521)=1,'Base Exámenes'!D521+ROW()/1000000000,""))</f>
        <v/>
      </c>
      <c r="AL521" t="str">
        <f>IF(OR('Base Exámenes'!C521="",'Base Exámenes'!E521=""),"",IF(COUNTIF('Base Exámenes'!$C$5:C521,'Base Exámenes'!C521)=1,'Base Exámenes'!E521+ROW()/1000000000,""))</f>
        <v/>
      </c>
      <c r="AM521" t="str">
        <f>IF(OR('Base Exámenes'!C521="",'Base Exámenes'!G521=""),"",IF(ROW()-4=MATCH('Base Exámenes'!C521&amp;"|"&amp;_xlfn.MAXIFS('Base Exámenes'!$G$5:$G$1000,'Base Exámenes'!$C$5:$C$1000,'Base Exámenes'!C521),'Base Exámenes'!$I$5:$I$1000,0),'Base Exámenes'!G521*1000000+(-1)*'Base Exámenes'!D521,""))</f>
        <v/>
      </c>
      <c r="AQ521" t="str">
        <f>IF('Base Exámenes'!C521="","",IF(COUNTIF('Base Exámenes'!$C$5:$C$1000,'Base Exámenes'!C521)&lt;2,"",MATCH('Base Exámenes'!C521,'Base Exámenes'!$C$5:$C$1000,0)*10000+ROW()))</f>
        <v/>
      </c>
    </row>
    <row r="522">
      <c r="Z522" t="str">
        <f>IF('Detalle individual'!A522="","",IF(AND(OR('Estado por Colaborador'!$D$4="Todas las gerencias",'Detalle individual'!D522='Estado por Colaborador'!$D$4),OR('Estado por Colaborador'!$D$5="Todos los departamentos",TRIM('Detalle individual'!C522)='Estado por Colaborador'!$D$5),OR('Estado por Colaborador'!$D$6="Todos",'Detalle individual'!F522='Estado por Colaborador'!$D$6)),IF('Detalle individual'!F522="Completado",30000000,IF('Detalle individual'!F522="Pendiente",0,15000000))+COUNTIF('Detalle individual'!$C$5:$C$1000,"&lt;"&amp;'Detalle individual'!C522)*10000+ROW(),""))</f>
        <v/>
      </c>
      <c r="AB522" t="str">
        <f>IF('Detalle individual'!C522="","",IF(COUNTIF('Detalle individual'!$C$5:C522,'Detalle individual'!C522)=1,COUNTIF('Detalle individual'!$C$5:$C$1000,"&lt;"&amp;'Detalle individual'!C522),""))</f>
        <v/>
      </c>
      <c r="AC522" t="str">
        <f>IF('Detalle individual'!D522="","",IF(COUNTIF('Detalle individual'!$D$5:D522,'Detalle individual'!D522)=1,COUNTIF('Detalle individual'!$D$5:$D$1000,"&lt;"&amp;'Detalle individual'!D522),""))</f>
        <v/>
      </c>
      <c r="AH522" t="str">
        <f>IF('Detalle individual'!F522="Pendiente",COUNTIF('Detalle individual'!$D$5:$D$1000,"&lt;"&amp;'Detalle individual'!D522)*1000000+COUNTIF('Detalle individual'!$C$5:$C$1000,"&lt;"&amp;'Detalle individual'!C522)*1000+COUNTIF('Detalle individual'!$B$5:$B$1000,"&lt;"&amp;'Detalle individual'!B522)+ROW()/10000,"")</f>
        <v/>
      </c>
      <c r="AI522" t="str">
        <f>IF('Detalle individual'!F522="Completado",COUNTIF('Detalle individual'!$D$5:$D$1000,"&lt;"&amp;'Detalle individual'!D522)*1000000+COUNTIF('Detalle individual'!$C$5:$C$1000,"&lt;"&amp;'Detalle individual'!C522)*1000+COUNTIF('Detalle individual'!$B$5:$B$1000,"&lt;"&amp;'Detalle individual'!B522)+ROW()/10000,"")</f>
        <v/>
      </c>
      <c r="AJ522" t="str">
        <f>IF(AND('Detalle individual'!F522&lt;&gt;"",'Detalle individual'!F522&lt;&gt;"Completado",'Detalle individual'!F522&lt;&gt;"Pendiente"),COUNTIF('Detalle individual'!$D$5:$D$1000,"&lt;"&amp;'Detalle individual'!D522)*1000000+COUNTIF('Detalle individual'!$C$5:$C$1000,"&lt;"&amp;'Detalle individual'!C522)*1000+COUNTIF('Detalle individual'!$B$5:$B$1000,"&lt;"&amp;'Detalle individual'!B522)+ROW()/10000,"")</f>
        <v/>
      </c>
      <c r="AK522" t="str">
        <f>IF(OR('Base Exámenes'!C522="",'Base Exámenes'!D522=""),"",IF(COUNTIF('Base Exámenes'!$C$5:C522,'Base Exámenes'!C522)=1,'Base Exámenes'!D522+ROW()/1000000000,""))</f>
        <v/>
      </c>
      <c r="AL522" t="str">
        <f>IF(OR('Base Exámenes'!C522="",'Base Exámenes'!E522=""),"",IF(COUNTIF('Base Exámenes'!$C$5:C522,'Base Exámenes'!C522)=1,'Base Exámenes'!E522+ROW()/1000000000,""))</f>
        <v/>
      </c>
      <c r="AM522" t="str">
        <f>IF(OR('Base Exámenes'!C522="",'Base Exámenes'!G522=""),"",IF(ROW()-4=MATCH('Base Exámenes'!C522&amp;"|"&amp;_xlfn.MAXIFS('Base Exámenes'!$G$5:$G$1000,'Base Exámenes'!$C$5:$C$1000,'Base Exámenes'!C522),'Base Exámenes'!$I$5:$I$1000,0),'Base Exámenes'!G522*1000000+(-1)*'Base Exámenes'!D522,""))</f>
        <v/>
      </c>
      <c r="AQ522" t="str">
        <f>IF('Base Exámenes'!C522="","",IF(COUNTIF('Base Exámenes'!$C$5:$C$1000,'Base Exámenes'!C522)&lt;2,"",MATCH('Base Exámenes'!C522,'Base Exámenes'!$C$5:$C$1000,0)*10000+ROW()))</f>
        <v/>
      </c>
    </row>
    <row r="523">
      <c r="Z523" t="str">
        <f>IF('Detalle individual'!A523="","",IF(AND(OR('Estado por Colaborador'!$D$4="Todas las gerencias",'Detalle individual'!D523='Estado por Colaborador'!$D$4),OR('Estado por Colaborador'!$D$5="Todos los departamentos",TRIM('Detalle individual'!C523)='Estado por Colaborador'!$D$5),OR('Estado por Colaborador'!$D$6="Todos",'Detalle individual'!F523='Estado por Colaborador'!$D$6)),IF('Detalle individual'!F523="Completado",30000000,IF('Detalle individual'!F523="Pendiente",0,15000000))+COUNTIF('Detalle individual'!$C$5:$C$1000,"&lt;"&amp;'Detalle individual'!C523)*10000+ROW(),""))</f>
        <v/>
      </c>
      <c r="AB523" t="str">
        <f>IF('Detalle individual'!C523="","",IF(COUNTIF('Detalle individual'!$C$5:C523,'Detalle individual'!C523)=1,COUNTIF('Detalle individual'!$C$5:$C$1000,"&lt;"&amp;'Detalle individual'!C523),""))</f>
        <v/>
      </c>
      <c r="AC523" t="str">
        <f>IF('Detalle individual'!D523="","",IF(COUNTIF('Detalle individual'!$D$5:D523,'Detalle individual'!D523)=1,COUNTIF('Detalle individual'!$D$5:$D$1000,"&lt;"&amp;'Detalle individual'!D523),""))</f>
        <v/>
      </c>
      <c r="AH523" t="str">
        <f>IF('Detalle individual'!F523="Pendiente",COUNTIF('Detalle individual'!$D$5:$D$1000,"&lt;"&amp;'Detalle individual'!D523)*1000000+COUNTIF('Detalle individual'!$C$5:$C$1000,"&lt;"&amp;'Detalle individual'!C523)*1000+COUNTIF('Detalle individual'!$B$5:$B$1000,"&lt;"&amp;'Detalle individual'!B523)+ROW()/10000,"")</f>
        <v/>
      </c>
      <c r="AI523" t="str">
        <f>IF('Detalle individual'!F523="Completado",COUNTIF('Detalle individual'!$D$5:$D$1000,"&lt;"&amp;'Detalle individual'!D523)*1000000+COUNTIF('Detalle individual'!$C$5:$C$1000,"&lt;"&amp;'Detalle individual'!C523)*1000+COUNTIF('Detalle individual'!$B$5:$B$1000,"&lt;"&amp;'Detalle individual'!B523)+ROW()/10000,"")</f>
        <v/>
      </c>
      <c r="AJ523" t="str">
        <f>IF(AND('Detalle individual'!F523&lt;&gt;"",'Detalle individual'!F523&lt;&gt;"Completado",'Detalle individual'!F523&lt;&gt;"Pendiente"),COUNTIF('Detalle individual'!$D$5:$D$1000,"&lt;"&amp;'Detalle individual'!D523)*1000000+COUNTIF('Detalle individual'!$C$5:$C$1000,"&lt;"&amp;'Detalle individual'!C523)*1000+COUNTIF('Detalle individual'!$B$5:$B$1000,"&lt;"&amp;'Detalle individual'!B523)+ROW()/10000,"")</f>
        <v/>
      </c>
      <c r="AK523" t="str">
        <f>IF(OR('Base Exámenes'!C523="",'Base Exámenes'!D523=""),"",IF(COUNTIF('Base Exámenes'!$C$5:C523,'Base Exámenes'!C523)=1,'Base Exámenes'!D523+ROW()/1000000000,""))</f>
        <v/>
      </c>
      <c r="AL523" t="str">
        <f>IF(OR('Base Exámenes'!C523="",'Base Exámenes'!E523=""),"",IF(COUNTIF('Base Exámenes'!$C$5:C523,'Base Exámenes'!C523)=1,'Base Exámenes'!E523+ROW()/1000000000,""))</f>
        <v/>
      </c>
      <c r="AM523" t="str">
        <f>IF(OR('Base Exámenes'!C523="",'Base Exámenes'!G523=""),"",IF(ROW()-4=MATCH('Base Exámenes'!C523&amp;"|"&amp;_xlfn.MAXIFS('Base Exámenes'!$G$5:$G$1000,'Base Exámenes'!$C$5:$C$1000,'Base Exámenes'!C523),'Base Exámenes'!$I$5:$I$1000,0),'Base Exámenes'!G523*1000000+(-1)*'Base Exámenes'!D523,""))</f>
        <v/>
      </c>
      <c r="AQ523" t="str">
        <f>IF('Base Exámenes'!C523="","",IF(COUNTIF('Base Exámenes'!$C$5:$C$1000,'Base Exámenes'!C523)&lt;2,"",MATCH('Base Exámenes'!C523,'Base Exámenes'!$C$5:$C$1000,0)*10000+ROW()))</f>
        <v/>
      </c>
    </row>
    <row r="524">
      <c r="Z524" t="str">
        <f>IF('Detalle individual'!A524="","",IF(AND(OR('Estado por Colaborador'!$D$4="Todas las gerencias",'Detalle individual'!D524='Estado por Colaborador'!$D$4),OR('Estado por Colaborador'!$D$5="Todos los departamentos",TRIM('Detalle individual'!C524)='Estado por Colaborador'!$D$5),OR('Estado por Colaborador'!$D$6="Todos",'Detalle individual'!F524='Estado por Colaborador'!$D$6)),IF('Detalle individual'!F524="Completado",30000000,IF('Detalle individual'!F524="Pendiente",0,15000000))+COUNTIF('Detalle individual'!$C$5:$C$1000,"&lt;"&amp;'Detalle individual'!C524)*10000+ROW(),""))</f>
        <v/>
      </c>
      <c r="AB524" t="str">
        <f>IF('Detalle individual'!C524="","",IF(COUNTIF('Detalle individual'!$C$5:C524,'Detalle individual'!C524)=1,COUNTIF('Detalle individual'!$C$5:$C$1000,"&lt;"&amp;'Detalle individual'!C524),""))</f>
        <v/>
      </c>
      <c r="AC524" t="str">
        <f>IF('Detalle individual'!D524="","",IF(COUNTIF('Detalle individual'!$D$5:D524,'Detalle individual'!D524)=1,COUNTIF('Detalle individual'!$D$5:$D$1000,"&lt;"&amp;'Detalle individual'!D524),""))</f>
        <v/>
      </c>
      <c r="AH524" t="str">
        <f>IF('Detalle individual'!F524="Pendiente",COUNTIF('Detalle individual'!$D$5:$D$1000,"&lt;"&amp;'Detalle individual'!D524)*1000000+COUNTIF('Detalle individual'!$C$5:$C$1000,"&lt;"&amp;'Detalle individual'!C524)*1000+COUNTIF('Detalle individual'!$B$5:$B$1000,"&lt;"&amp;'Detalle individual'!B524)+ROW()/10000,"")</f>
        <v/>
      </c>
      <c r="AI524" t="str">
        <f>IF('Detalle individual'!F524="Completado",COUNTIF('Detalle individual'!$D$5:$D$1000,"&lt;"&amp;'Detalle individual'!D524)*1000000+COUNTIF('Detalle individual'!$C$5:$C$1000,"&lt;"&amp;'Detalle individual'!C524)*1000+COUNTIF('Detalle individual'!$B$5:$B$1000,"&lt;"&amp;'Detalle individual'!B524)+ROW()/10000,"")</f>
        <v/>
      </c>
      <c r="AJ524" t="str">
        <f>IF(AND('Detalle individual'!F524&lt;&gt;"",'Detalle individual'!F524&lt;&gt;"Completado",'Detalle individual'!F524&lt;&gt;"Pendiente"),COUNTIF('Detalle individual'!$D$5:$D$1000,"&lt;"&amp;'Detalle individual'!D524)*1000000+COUNTIF('Detalle individual'!$C$5:$C$1000,"&lt;"&amp;'Detalle individual'!C524)*1000+COUNTIF('Detalle individual'!$B$5:$B$1000,"&lt;"&amp;'Detalle individual'!B524)+ROW()/10000,"")</f>
        <v/>
      </c>
      <c r="AK524" t="str">
        <f>IF(OR('Base Exámenes'!C524="",'Base Exámenes'!D524=""),"",IF(COUNTIF('Base Exámenes'!$C$5:C524,'Base Exámenes'!C524)=1,'Base Exámenes'!D524+ROW()/1000000000,""))</f>
        <v/>
      </c>
      <c r="AL524" t="str">
        <f>IF(OR('Base Exámenes'!C524="",'Base Exámenes'!E524=""),"",IF(COUNTIF('Base Exámenes'!$C$5:C524,'Base Exámenes'!C524)=1,'Base Exámenes'!E524+ROW()/1000000000,""))</f>
        <v/>
      </c>
      <c r="AM524" t="str">
        <f>IF(OR('Base Exámenes'!C524="",'Base Exámenes'!G524=""),"",IF(ROW()-4=MATCH('Base Exámenes'!C524&amp;"|"&amp;_xlfn.MAXIFS('Base Exámenes'!$G$5:$G$1000,'Base Exámenes'!$C$5:$C$1000,'Base Exámenes'!C524),'Base Exámenes'!$I$5:$I$1000,0),'Base Exámenes'!G524*1000000+(-1)*'Base Exámenes'!D524,""))</f>
        <v/>
      </c>
      <c r="AQ524" t="str">
        <f>IF('Base Exámenes'!C524="","",IF(COUNTIF('Base Exámenes'!$C$5:$C$1000,'Base Exámenes'!C524)&lt;2,"",MATCH('Base Exámenes'!C524,'Base Exámenes'!$C$5:$C$1000,0)*10000+ROW()))</f>
        <v/>
      </c>
    </row>
    <row r="525">
      <c r="Z525" t="str">
        <f>IF('Detalle individual'!A525="","",IF(AND(OR('Estado por Colaborador'!$D$4="Todas las gerencias",'Detalle individual'!D525='Estado por Colaborador'!$D$4),OR('Estado por Colaborador'!$D$5="Todos los departamentos",TRIM('Detalle individual'!C525)='Estado por Colaborador'!$D$5),OR('Estado por Colaborador'!$D$6="Todos",'Detalle individual'!F525='Estado por Colaborador'!$D$6)),IF('Detalle individual'!F525="Completado",30000000,IF('Detalle individual'!F525="Pendiente",0,15000000))+COUNTIF('Detalle individual'!$C$5:$C$1000,"&lt;"&amp;'Detalle individual'!C525)*10000+ROW(),""))</f>
        <v/>
      </c>
      <c r="AB525" t="str">
        <f>IF('Detalle individual'!C525="","",IF(COUNTIF('Detalle individual'!$C$5:C525,'Detalle individual'!C525)=1,COUNTIF('Detalle individual'!$C$5:$C$1000,"&lt;"&amp;'Detalle individual'!C525),""))</f>
        <v/>
      </c>
      <c r="AC525" t="str">
        <f>IF('Detalle individual'!D525="","",IF(COUNTIF('Detalle individual'!$D$5:D525,'Detalle individual'!D525)=1,COUNTIF('Detalle individual'!$D$5:$D$1000,"&lt;"&amp;'Detalle individual'!D525),""))</f>
        <v/>
      </c>
      <c r="AH525" t="str">
        <f>IF('Detalle individual'!F525="Pendiente",COUNTIF('Detalle individual'!$D$5:$D$1000,"&lt;"&amp;'Detalle individual'!D525)*1000000+COUNTIF('Detalle individual'!$C$5:$C$1000,"&lt;"&amp;'Detalle individual'!C525)*1000+COUNTIF('Detalle individual'!$B$5:$B$1000,"&lt;"&amp;'Detalle individual'!B525)+ROW()/10000,"")</f>
        <v/>
      </c>
      <c r="AI525" t="str">
        <f>IF('Detalle individual'!F525="Completado",COUNTIF('Detalle individual'!$D$5:$D$1000,"&lt;"&amp;'Detalle individual'!D525)*1000000+COUNTIF('Detalle individual'!$C$5:$C$1000,"&lt;"&amp;'Detalle individual'!C525)*1000+COUNTIF('Detalle individual'!$B$5:$B$1000,"&lt;"&amp;'Detalle individual'!B525)+ROW()/10000,"")</f>
        <v/>
      </c>
      <c r="AJ525" t="str">
        <f>IF(AND('Detalle individual'!F525&lt;&gt;"",'Detalle individual'!F525&lt;&gt;"Completado",'Detalle individual'!F525&lt;&gt;"Pendiente"),COUNTIF('Detalle individual'!$D$5:$D$1000,"&lt;"&amp;'Detalle individual'!D525)*1000000+COUNTIF('Detalle individual'!$C$5:$C$1000,"&lt;"&amp;'Detalle individual'!C525)*1000+COUNTIF('Detalle individual'!$B$5:$B$1000,"&lt;"&amp;'Detalle individual'!B525)+ROW()/10000,"")</f>
        <v/>
      </c>
      <c r="AK525" t="str">
        <f>IF(OR('Base Exámenes'!C525="",'Base Exámenes'!D525=""),"",IF(COUNTIF('Base Exámenes'!$C$5:C525,'Base Exámenes'!C525)=1,'Base Exámenes'!D525+ROW()/1000000000,""))</f>
        <v/>
      </c>
      <c r="AL525" t="str">
        <f>IF(OR('Base Exámenes'!C525="",'Base Exámenes'!E525=""),"",IF(COUNTIF('Base Exámenes'!$C$5:C525,'Base Exámenes'!C525)=1,'Base Exámenes'!E525+ROW()/1000000000,""))</f>
        <v/>
      </c>
      <c r="AM525" t="str">
        <f>IF(OR('Base Exámenes'!C525="",'Base Exámenes'!G525=""),"",IF(ROW()-4=MATCH('Base Exámenes'!C525&amp;"|"&amp;_xlfn.MAXIFS('Base Exámenes'!$G$5:$G$1000,'Base Exámenes'!$C$5:$C$1000,'Base Exámenes'!C525),'Base Exámenes'!$I$5:$I$1000,0),'Base Exámenes'!G525*1000000+(-1)*'Base Exámenes'!D525,""))</f>
        <v/>
      </c>
      <c r="AQ525" t="str">
        <f>IF('Base Exámenes'!C525="","",IF(COUNTIF('Base Exámenes'!$C$5:$C$1000,'Base Exámenes'!C525)&lt;2,"",MATCH('Base Exámenes'!C525,'Base Exámenes'!$C$5:$C$1000,0)*10000+ROW()))</f>
        <v/>
      </c>
    </row>
    <row r="526">
      <c r="Z526" t="str">
        <f>IF('Detalle individual'!A526="","",IF(AND(OR('Estado por Colaborador'!$D$4="Todas las gerencias",'Detalle individual'!D526='Estado por Colaborador'!$D$4),OR('Estado por Colaborador'!$D$5="Todos los departamentos",TRIM('Detalle individual'!C526)='Estado por Colaborador'!$D$5),OR('Estado por Colaborador'!$D$6="Todos",'Detalle individual'!F526='Estado por Colaborador'!$D$6)),IF('Detalle individual'!F526="Completado",30000000,IF('Detalle individual'!F526="Pendiente",0,15000000))+COUNTIF('Detalle individual'!$C$5:$C$1000,"&lt;"&amp;'Detalle individual'!C526)*10000+ROW(),""))</f>
        <v/>
      </c>
      <c r="AB526" t="str">
        <f>IF('Detalle individual'!C526="","",IF(COUNTIF('Detalle individual'!$C$5:C526,'Detalle individual'!C526)=1,COUNTIF('Detalle individual'!$C$5:$C$1000,"&lt;"&amp;'Detalle individual'!C526),""))</f>
        <v/>
      </c>
      <c r="AC526" t="str">
        <f>IF('Detalle individual'!D526="","",IF(COUNTIF('Detalle individual'!$D$5:D526,'Detalle individual'!D526)=1,COUNTIF('Detalle individual'!$D$5:$D$1000,"&lt;"&amp;'Detalle individual'!D526),""))</f>
        <v/>
      </c>
      <c r="AH526" t="str">
        <f>IF('Detalle individual'!F526="Pendiente",COUNTIF('Detalle individual'!$D$5:$D$1000,"&lt;"&amp;'Detalle individual'!D526)*1000000+COUNTIF('Detalle individual'!$C$5:$C$1000,"&lt;"&amp;'Detalle individual'!C526)*1000+COUNTIF('Detalle individual'!$B$5:$B$1000,"&lt;"&amp;'Detalle individual'!B526)+ROW()/10000,"")</f>
        <v/>
      </c>
      <c r="AI526" t="str">
        <f>IF('Detalle individual'!F526="Completado",COUNTIF('Detalle individual'!$D$5:$D$1000,"&lt;"&amp;'Detalle individual'!D526)*1000000+COUNTIF('Detalle individual'!$C$5:$C$1000,"&lt;"&amp;'Detalle individual'!C526)*1000+COUNTIF('Detalle individual'!$B$5:$B$1000,"&lt;"&amp;'Detalle individual'!B526)+ROW()/10000,"")</f>
        <v/>
      </c>
      <c r="AJ526" t="str">
        <f>IF(AND('Detalle individual'!F526&lt;&gt;"",'Detalle individual'!F526&lt;&gt;"Completado",'Detalle individual'!F526&lt;&gt;"Pendiente"),COUNTIF('Detalle individual'!$D$5:$D$1000,"&lt;"&amp;'Detalle individual'!D526)*1000000+COUNTIF('Detalle individual'!$C$5:$C$1000,"&lt;"&amp;'Detalle individual'!C526)*1000+COUNTIF('Detalle individual'!$B$5:$B$1000,"&lt;"&amp;'Detalle individual'!B526)+ROW()/10000,"")</f>
        <v/>
      </c>
      <c r="AK526" t="str">
        <f>IF(OR('Base Exámenes'!C526="",'Base Exámenes'!D526=""),"",IF(COUNTIF('Base Exámenes'!$C$5:C526,'Base Exámenes'!C526)=1,'Base Exámenes'!D526+ROW()/1000000000,""))</f>
        <v/>
      </c>
      <c r="AL526" t="str">
        <f>IF(OR('Base Exámenes'!C526="",'Base Exámenes'!E526=""),"",IF(COUNTIF('Base Exámenes'!$C$5:C526,'Base Exámenes'!C526)=1,'Base Exámenes'!E526+ROW()/1000000000,""))</f>
        <v/>
      </c>
      <c r="AM526" t="str">
        <f>IF(OR('Base Exámenes'!C526="",'Base Exámenes'!G526=""),"",IF(ROW()-4=MATCH('Base Exámenes'!C526&amp;"|"&amp;_xlfn.MAXIFS('Base Exámenes'!$G$5:$G$1000,'Base Exámenes'!$C$5:$C$1000,'Base Exámenes'!C526),'Base Exámenes'!$I$5:$I$1000,0),'Base Exámenes'!G526*1000000+(-1)*'Base Exámenes'!D526,""))</f>
        <v/>
      </c>
      <c r="AQ526" t="str">
        <f>IF('Base Exámenes'!C526="","",IF(COUNTIF('Base Exámenes'!$C$5:$C$1000,'Base Exámenes'!C526)&lt;2,"",MATCH('Base Exámenes'!C526,'Base Exámenes'!$C$5:$C$1000,0)*10000+ROW()))</f>
        <v/>
      </c>
    </row>
    <row r="527">
      <c r="Z527" t="str">
        <f>IF('Detalle individual'!A527="","",IF(AND(OR('Estado por Colaborador'!$D$4="Todas las gerencias",'Detalle individual'!D527='Estado por Colaborador'!$D$4),OR('Estado por Colaborador'!$D$5="Todos los departamentos",TRIM('Detalle individual'!C527)='Estado por Colaborador'!$D$5),OR('Estado por Colaborador'!$D$6="Todos",'Detalle individual'!F527='Estado por Colaborador'!$D$6)),IF('Detalle individual'!F527="Completado",30000000,IF('Detalle individual'!F527="Pendiente",0,15000000))+COUNTIF('Detalle individual'!$C$5:$C$1000,"&lt;"&amp;'Detalle individual'!C527)*10000+ROW(),""))</f>
        <v/>
      </c>
      <c r="AB527" t="str">
        <f>IF('Detalle individual'!C527="","",IF(COUNTIF('Detalle individual'!$C$5:C527,'Detalle individual'!C527)=1,COUNTIF('Detalle individual'!$C$5:$C$1000,"&lt;"&amp;'Detalle individual'!C527),""))</f>
        <v/>
      </c>
      <c r="AC527" t="str">
        <f>IF('Detalle individual'!D527="","",IF(COUNTIF('Detalle individual'!$D$5:D527,'Detalle individual'!D527)=1,COUNTIF('Detalle individual'!$D$5:$D$1000,"&lt;"&amp;'Detalle individual'!D527),""))</f>
        <v/>
      </c>
      <c r="AH527" t="str">
        <f>IF('Detalle individual'!F527="Pendiente",COUNTIF('Detalle individual'!$D$5:$D$1000,"&lt;"&amp;'Detalle individual'!D527)*1000000+COUNTIF('Detalle individual'!$C$5:$C$1000,"&lt;"&amp;'Detalle individual'!C527)*1000+COUNTIF('Detalle individual'!$B$5:$B$1000,"&lt;"&amp;'Detalle individual'!B527)+ROW()/10000,"")</f>
        <v/>
      </c>
      <c r="AI527" t="str">
        <f>IF('Detalle individual'!F527="Completado",COUNTIF('Detalle individual'!$D$5:$D$1000,"&lt;"&amp;'Detalle individual'!D527)*1000000+COUNTIF('Detalle individual'!$C$5:$C$1000,"&lt;"&amp;'Detalle individual'!C527)*1000+COUNTIF('Detalle individual'!$B$5:$B$1000,"&lt;"&amp;'Detalle individual'!B527)+ROW()/10000,"")</f>
        <v/>
      </c>
      <c r="AJ527" t="str">
        <f>IF(AND('Detalle individual'!F527&lt;&gt;"",'Detalle individual'!F527&lt;&gt;"Completado",'Detalle individual'!F527&lt;&gt;"Pendiente"),COUNTIF('Detalle individual'!$D$5:$D$1000,"&lt;"&amp;'Detalle individual'!D527)*1000000+COUNTIF('Detalle individual'!$C$5:$C$1000,"&lt;"&amp;'Detalle individual'!C527)*1000+COUNTIF('Detalle individual'!$B$5:$B$1000,"&lt;"&amp;'Detalle individual'!B527)+ROW()/10000,"")</f>
        <v/>
      </c>
      <c r="AK527" t="str">
        <f>IF(OR('Base Exámenes'!C527="",'Base Exámenes'!D527=""),"",IF(COUNTIF('Base Exámenes'!$C$5:C527,'Base Exámenes'!C527)=1,'Base Exámenes'!D527+ROW()/1000000000,""))</f>
        <v/>
      </c>
      <c r="AL527" t="str">
        <f>IF(OR('Base Exámenes'!C527="",'Base Exámenes'!E527=""),"",IF(COUNTIF('Base Exámenes'!$C$5:C527,'Base Exámenes'!C527)=1,'Base Exámenes'!E527+ROW()/1000000000,""))</f>
        <v/>
      </c>
      <c r="AM527" t="str">
        <f>IF(OR('Base Exámenes'!C527="",'Base Exámenes'!G527=""),"",IF(ROW()-4=MATCH('Base Exámenes'!C527&amp;"|"&amp;_xlfn.MAXIFS('Base Exámenes'!$G$5:$G$1000,'Base Exámenes'!$C$5:$C$1000,'Base Exámenes'!C527),'Base Exámenes'!$I$5:$I$1000,0),'Base Exámenes'!G527*1000000+(-1)*'Base Exámenes'!D527,""))</f>
        <v/>
      </c>
      <c r="AQ527" t="str">
        <f>IF('Base Exámenes'!C527="","",IF(COUNTIF('Base Exámenes'!$C$5:$C$1000,'Base Exámenes'!C527)&lt;2,"",MATCH('Base Exámenes'!C527,'Base Exámenes'!$C$5:$C$1000,0)*10000+ROW()))</f>
        <v/>
      </c>
    </row>
    <row r="528">
      <c r="Z528" t="str">
        <f>IF('Detalle individual'!A528="","",IF(AND(OR('Estado por Colaborador'!$D$4="Todas las gerencias",'Detalle individual'!D528='Estado por Colaborador'!$D$4),OR('Estado por Colaborador'!$D$5="Todos los departamentos",TRIM('Detalle individual'!C528)='Estado por Colaborador'!$D$5),OR('Estado por Colaborador'!$D$6="Todos",'Detalle individual'!F528='Estado por Colaborador'!$D$6)),IF('Detalle individual'!F528="Completado",30000000,IF('Detalle individual'!F528="Pendiente",0,15000000))+COUNTIF('Detalle individual'!$C$5:$C$1000,"&lt;"&amp;'Detalle individual'!C528)*10000+ROW(),""))</f>
        <v/>
      </c>
      <c r="AB528" t="str">
        <f>IF('Detalle individual'!C528="","",IF(COUNTIF('Detalle individual'!$C$5:C528,'Detalle individual'!C528)=1,COUNTIF('Detalle individual'!$C$5:$C$1000,"&lt;"&amp;'Detalle individual'!C528),""))</f>
        <v/>
      </c>
      <c r="AC528" t="str">
        <f>IF('Detalle individual'!D528="","",IF(COUNTIF('Detalle individual'!$D$5:D528,'Detalle individual'!D528)=1,COUNTIF('Detalle individual'!$D$5:$D$1000,"&lt;"&amp;'Detalle individual'!D528),""))</f>
        <v/>
      </c>
      <c r="AH528" t="str">
        <f>IF('Detalle individual'!F528="Pendiente",COUNTIF('Detalle individual'!$D$5:$D$1000,"&lt;"&amp;'Detalle individual'!D528)*1000000+COUNTIF('Detalle individual'!$C$5:$C$1000,"&lt;"&amp;'Detalle individual'!C528)*1000+COUNTIF('Detalle individual'!$B$5:$B$1000,"&lt;"&amp;'Detalle individual'!B528)+ROW()/10000,"")</f>
        <v/>
      </c>
      <c r="AI528" t="str">
        <f>IF('Detalle individual'!F528="Completado",COUNTIF('Detalle individual'!$D$5:$D$1000,"&lt;"&amp;'Detalle individual'!D528)*1000000+COUNTIF('Detalle individual'!$C$5:$C$1000,"&lt;"&amp;'Detalle individual'!C528)*1000+COUNTIF('Detalle individual'!$B$5:$B$1000,"&lt;"&amp;'Detalle individual'!B528)+ROW()/10000,"")</f>
        <v/>
      </c>
      <c r="AJ528" t="str">
        <f>IF(AND('Detalle individual'!F528&lt;&gt;"",'Detalle individual'!F528&lt;&gt;"Completado",'Detalle individual'!F528&lt;&gt;"Pendiente"),COUNTIF('Detalle individual'!$D$5:$D$1000,"&lt;"&amp;'Detalle individual'!D528)*1000000+COUNTIF('Detalle individual'!$C$5:$C$1000,"&lt;"&amp;'Detalle individual'!C528)*1000+COUNTIF('Detalle individual'!$B$5:$B$1000,"&lt;"&amp;'Detalle individual'!B528)+ROW()/10000,"")</f>
        <v/>
      </c>
      <c r="AK528" t="str">
        <f>IF(OR('Base Exámenes'!C528="",'Base Exámenes'!D528=""),"",IF(COUNTIF('Base Exámenes'!$C$5:C528,'Base Exámenes'!C528)=1,'Base Exámenes'!D528+ROW()/1000000000,""))</f>
        <v/>
      </c>
      <c r="AL528" t="str">
        <f>IF(OR('Base Exámenes'!C528="",'Base Exámenes'!E528=""),"",IF(COUNTIF('Base Exámenes'!$C$5:C528,'Base Exámenes'!C528)=1,'Base Exámenes'!E528+ROW()/1000000000,""))</f>
        <v/>
      </c>
      <c r="AM528" t="str">
        <f>IF(OR('Base Exámenes'!C528="",'Base Exámenes'!G528=""),"",IF(ROW()-4=MATCH('Base Exámenes'!C528&amp;"|"&amp;_xlfn.MAXIFS('Base Exámenes'!$G$5:$G$1000,'Base Exámenes'!$C$5:$C$1000,'Base Exámenes'!C528),'Base Exámenes'!$I$5:$I$1000,0),'Base Exámenes'!G528*1000000+(-1)*'Base Exámenes'!D528,""))</f>
        <v/>
      </c>
      <c r="AQ528" t="str">
        <f>IF('Base Exámenes'!C528="","",IF(COUNTIF('Base Exámenes'!$C$5:$C$1000,'Base Exámenes'!C528)&lt;2,"",MATCH('Base Exámenes'!C528,'Base Exámenes'!$C$5:$C$1000,0)*10000+ROW()))</f>
        <v/>
      </c>
    </row>
    <row r="529">
      <c r="Z529" t="str">
        <f>IF('Detalle individual'!A529="","",IF(AND(OR('Estado por Colaborador'!$D$4="Todas las gerencias",'Detalle individual'!D529='Estado por Colaborador'!$D$4),OR('Estado por Colaborador'!$D$5="Todos los departamentos",TRIM('Detalle individual'!C529)='Estado por Colaborador'!$D$5),OR('Estado por Colaborador'!$D$6="Todos",'Detalle individual'!F529='Estado por Colaborador'!$D$6)),IF('Detalle individual'!F529="Completado",30000000,IF('Detalle individual'!F529="Pendiente",0,15000000))+COUNTIF('Detalle individual'!$C$5:$C$1000,"&lt;"&amp;'Detalle individual'!C529)*10000+ROW(),""))</f>
        <v/>
      </c>
      <c r="AB529" t="str">
        <f>IF('Detalle individual'!C529="","",IF(COUNTIF('Detalle individual'!$C$5:C529,'Detalle individual'!C529)=1,COUNTIF('Detalle individual'!$C$5:$C$1000,"&lt;"&amp;'Detalle individual'!C529),""))</f>
        <v/>
      </c>
      <c r="AC529" t="str">
        <f>IF('Detalle individual'!D529="","",IF(COUNTIF('Detalle individual'!$D$5:D529,'Detalle individual'!D529)=1,COUNTIF('Detalle individual'!$D$5:$D$1000,"&lt;"&amp;'Detalle individual'!D529),""))</f>
        <v/>
      </c>
      <c r="AH529" t="str">
        <f>IF('Detalle individual'!F529="Pendiente",COUNTIF('Detalle individual'!$D$5:$D$1000,"&lt;"&amp;'Detalle individual'!D529)*1000000+COUNTIF('Detalle individual'!$C$5:$C$1000,"&lt;"&amp;'Detalle individual'!C529)*1000+COUNTIF('Detalle individual'!$B$5:$B$1000,"&lt;"&amp;'Detalle individual'!B529)+ROW()/10000,"")</f>
        <v/>
      </c>
      <c r="AI529" t="str">
        <f>IF('Detalle individual'!F529="Completado",COUNTIF('Detalle individual'!$D$5:$D$1000,"&lt;"&amp;'Detalle individual'!D529)*1000000+COUNTIF('Detalle individual'!$C$5:$C$1000,"&lt;"&amp;'Detalle individual'!C529)*1000+COUNTIF('Detalle individual'!$B$5:$B$1000,"&lt;"&amp;'Detalle individual'!B529)+ROW()/10000,"")</f>
        <v/>
      </c>
      <c r="AJ529" t="str">
        <f>IF(AND('Detalle individual'!F529&lt;&gt;"",'Detalle individual'!F529&lt;&gt;"Completado",'Detalle individual'!F529&lt;&gt;"Pendiente"),COUNTIF('Detalle individual'!$D$5:$D$1000,"&lt;"&amp;'Detalle individual'!D529)*1000000+COUNTIF('Detalle individual'!$C$5:$C$1000,"&lt;"&amp;'Detalle individual'!C529)*1000+COUNTIF('Detalle individual'!$B$5:$B$1000,"&lt;"&amp;'Detalle individual'!B529)+ROW()/10000,"")</f>
        <v/>
      </c>
      <c r="AK529" t="str">
        <f>IF(OR('Base Exámenes'!C529="",'Base Exámenes'!D529=""),"",IF(COUNTIF('Base Exámenes'!$C$5:C529,'Base Exámenes'!C529)=1,'Base Exámenes'!D529+ROW()/1000000000,""))</f>
        <v/>
      </c>
      <c r="AL529" t="str">
        <f>IF(OR('Base Exámenes'!C529="",'Base Exámenes'!E529=""),"",IF(COUNTIF('Base Exámenes'!$C$5:C529,'Base Exámenes'!C529)=1,'Base Exámenes'!E529+ROW()/1000000000,""))</f>
        <v/>
      </c>
      <c r="AM529" t="str">
        <f>IF(OR('Base Exámenes'!C529="",'Base Exámenes'!G529=""),"",IF(ROW()-4=MATCH('Base Exámenes'!C529&amp;"|"&amp;_xlfn.MAXIFS('Base Exámenes'!$G$5:$G$1000,'Base Exámenes'!$C$5:$C$1000,'Base Exámenes'!C529),'Base Exámenes'!$I$5:$I$1000,0),'Base Exámenes'!G529*1000000+(-1)*'Base Exámenes'!D529,""))</f>
        <v/>
      </c>
      <c r="AQ529" t="str">
        <f>IF('Base Exámenes'!C529="","",IF(COUNTIF('Base Exámenes'!$C$5:$C$1000,'Base Exámenes'!C529)&lt;2,"",MATCH('Base Exámenes'!C529,'Base Exámenes'!$C$5:$C$1000,0)*10000+ROW()))</f>
        <v/>
      </c>
    </row>
    <row r="530">
      <c r="Z530" t="str">
        <f>IF('Detalle individual'!A530="","",IF(AND(OR('Estado por Colaborador'!$D$4="Todas las gerencias",'Detalle individual'!D530='Estado por Colaborador'!$D$4),OR('Estado por Colaborador'!$D$5="Todos los departamentos",TRIM('Detalle individual'!C530)='Estado por Colaborador'!$D$5),OR('Estado por Colaborador'!$D$6="Todos",'Detalle individual'!F530='Estado por Colaborador'!$D$6)),IF('Detalle individual'!F530="Completado",30000000,IF('Detalle individual'!F530="Pendiente",0,15000000))+COUNTIF('Detalle individual'!$C$5:$C$1000,"&lt;"&amp;'Detalle individual'!C530)*10000+ROW(),""))</f>
        <v/>
      </c>
      <c r="AB530" t="str">
        <f>IF('Detalle individual'!C530="","",IF(COUNTIF('Detalle individual'!$C$5:C530,'Detalle individual'!C530)=1,COUNTIF('Detalle individual'!$C$5:$C$1000,"&lt;"&amp;'Detalle individual'!C530),""))</f>
        <v/>
      </c>
      <c r="AC530" t="str">
        <f>IF('Detalle individual'!D530="","",IF(COUNTIF('Detalle individual'!$D$5:D530,'Detalle individual'!D530)=1,COUNTIF('Detalle individual'!$D$5:$D$1000,"&lt;"&amp;'Detalle individual'!D530),""))</f>
        <v/>
      </c>
      <c r="AH530" t="str">
        <f>IF('Detalle individual'!F530="Pendiente",COUNTIF('Detalle individual'!$D$5:$D$1000,"&lt;"&amp;'Detalle individual'!D530)*1000000+COUNTIF('Detalle individual'!$C$5:$C$1000,"&lt;"&amp;'Detalle individual'!C530)*1000+COUNTIF('Detalle individual'!$B$5:$B$1000,"&lt;"&amp;'Detalle individual'!B530)+ROW()/10000,"")</f>
        <v/>
      </c>
      <c r="AI530" t="str">
        <f>IF('Detalle individual'!F530="Completado",COUNTIF('Detalle individual'!$D$5:$D$1000,"&lt;"&amp;'Detalle individual'!D530)*1000000+COUNTIF('Detalle individual'!$C$5:$C$1000,"&lt;"&amp;'Detalle individual'!C530)*1000+COUNTIF('Detalle individual'!$B$5:$B$1000,"&lt;"&amp;'Detalle individual'!B530)+ROW()/10000,"")</f>
        <v/>
      </c>
      <c r="AJ530" t="str">
        <f>IF(AND('Detalle individual'!F530&lt;&gt;"",'Detalle individual'!F530&lt;&gt;"Completado",'Detalle individual'!F530&lt;&gt;"Pendiente"),COUNTIF('Detalle individual'!$D$5:$D$1000,"&lt;"&amp;'Detalle individual'!D530)*1000000+COUNTIF('Detalle individual'!$C$5:$C$1000,"&lt;"&amp;'Detalle individual'!C530)*1000+COUNTIF('Detalle individual'!$B$5:$B$1000,"&lt;"&amp;'Detalle individual'!B530)+ROW()/10000,"")</f>
        <v/>
      </c>
      <c r="AK530" t="str">
        <f>IF(OR('Base Exámenes'!C530="",'Base Exámenes'!D530=""),"",IF(COUNTIF('Base Exámenes'!$C$5:C530,'Base Exámenes'!C530)=1,'Base Exámenes'!D530+ROW()/1000000000,""))</f>
        <v/>
      </c>
      <c r="AL530" t="str">
        <f>IF(OR('Base Exámenes'!C530="",'Base Exámenes'!E530=""),"",IF(COUNTIF('Base Exámenes'!$C$5:C530,'Base Exámenes'!C530)=1,'Base Exámenes'!E530+ROW()/1000000000,""))</f>
        <v/>
      </c>
      <c r="AM530" t="str">
        <f>IF(OR('Base Exámenes'!C530="",'Base Exámenes'!G530=""),"",IF(ROW()-4=MATCH('Base Exámenes'!C530&amp;"|"&amp;_xlfn.MAXIFS('Base Exámenes'!$G$5:$G$1000,'Base Exámenes'!$C$5:$C$1000,'Base Exámenes'!C530),'Base Exámenes'!$I$5:$I$1000,0),'Base Exámenes'!G530*1000000+(-1)*'Base Exámenes'!D530,""))</f>
        <v/>
      </c>
      <c r="AQ530" t="str">
        <f>IF('Base Exámenes'!C530="","",IF(COUNTIF('Base Exámenes'!$C$5:$C$1000,'Base Exámenes'!C530)&lt;2,"",MATCH('Base Exámenes'!C530,'Base Exámenes'!$C$5:$C$1000,0)*10000+ROW()))</f>
        <v/>
      </c>
    </row>
    <row r="531">
      <c r="Z531" t="str">
        <f>IF('Detalle individual'!A531="","",IF(AND(OR('Estado por Colaborador'!$D$4="Todas las gerencias",'Detalle individual'!D531='Estado por Colaborador'!$D$4),OR('Estado por Colaborador'!$D$5="Todos los departamentos",TRIM('Detalle individual'!C531)='Estado por Colaborador'!$D$5),OR('Estado por Colaborador'!$D$6="Todos",'Detalle individual'!F531='Estado por Colaborador'!$D$6)),IF('Detalle individual'!F531="Completado",30000000,IF('Detalle individual'!F531="Pendiente",0,15000000))+COUNTIF('Detalle individual'!$C$5:$C$1000,"&lt;"&amp;'Detalle individual'!C531)*10000+ROW(),""))</f>
        <v/>
      </c>
      <c r="AB531" t="str">
        <f>IF('Detalle individual'!C531="","",IF(COUNTIF('Detalle individual'!$C$5:C531,'Detalle individual'!C531)=1,COUNTIF('Detalle individual'!$C$5:$C$1000,"&lt;"&amp;'Detalle individual'!C531),""))</f>
        <v/>
      </c>
      <c r="AC531" t="str">
        <f>IF('Detalle individual'!D531="","",IF(COUNTIF('Detalle individual'!$D$5:D531,'Detalle individual'!D531)=1,COUNTIF('Detalle individual'!$D$5:$D$1000,"&lt;"&amp;'Detalle individual'!D531),""))</f>
        <v/>
      </c>
      <c r="AH531" t="str">
        <f>IF('Detalle individual'!F531="Pendiente",COUNTIF('Detalle individual'!$D$5:$D$1000,"&lt;"&amp;'Detalle individual'!D531)*1000000+COUNTIF('Detalle individual'!$C$5:$C$1000,"&lt;"&amp;'Detalle individual'!C531)*1000+COUNTIF('Detalle individual'!$B$5:$B$1000,"&lt;"&amp;'Detalle individual'!B531)+ROW()/10000,"")</f>
        <v/>
      </c>
      <c r="AI531" t="str">
        <f>IF('Detalle individual'!F531="Completado",COUNTIF('Detalle individual'!$D$5:$D$1000,"&lt;"&amp;'Detalle individual'!D531)*1000000+COUNTIF('Detalle individual'!$C$5:$C$1000,"&lt;"&amp;'Detalle individual'!C531)*1000+COUNTIF('Detalle individual'!$B$5:$B$1000,"&lt;"&amp;'Detalle individual'!B531)+ROW()/10000,"")</f>
        <v/>
      </c>
      <c r="AJ531" t="str">
        <f>IF(AND('Detalle individual'!F531&lt;&gt;"",'Detalle individual'!F531&lt;&gt;"Completado",'Detalle individual'!F531&lt;&gt;"Pendiente"),COUNTIF('Detalle individual'!$D$5:$D$1000,"&lt;"&amp;'Detalle individual'!D531)*1000000+COUNTIF('Detalle individual'!$C$5:$C$1000,"&lt;"&amp;'Detalle individual'!C531)*1000+COUNTIF('Detalle individual'!$B$5:$B$1000,"&lt;"&amp;'Detalle individual'!B531)+ROW()/10000,"")</f>
        <v/>
      </c>
      <c r="AK531" t="str">
        <f>IF(OR('Base Exámenes'!C531="",'Base Exámenes'!D531=""),"",IF(COUNTIF('Base Exámenes'!$C$5:C531,'Base Exámenes'!C531)=1,'Base Exámenes'!D531+ROW()/1000000000,""))</f>
        <v/>
      </c>
      <c r="AL531" t="str">
        <f>IF(OR('Base Exámenes'!C531="",'Base Exámenes'!E531=""),"",IF(COUNTIF('Base Exámenes'!$C$5:C531,'Base Exámenes'!C531)=1,'Base Exámenes'!E531+ROW()/1000000000,""))</f>
        <v/>
      </c>
      <c r="AM531" t="str">
        <f>IF(OR('Base Exámenes'!C531="",'Base Exámenes'!G531=""),"",IF(ROW()-4=MATCH('Base Exámenes'!C531&amp;"|"&amp;_xlfn.MAXIFS('Base Exámenes'!$G$5:$G$1000,'Base Exámenes'!$C$5:$C$1000,'Base Exámenes'!C531),'Base Exámenes'!$I$5:$I$1000,0),'Base Exámenes'!G531*1000000+(-1)*'Base Exámenes'!D531,""))</f>
        <v/>
      </c>
      <c r="AQ531" t="str">
        <f>IF('Base Exámenes'!C531="","",IF(COUNTIF('Base Exámenes'!$C$5:$C$1000,'Base Exámenes'!C531)&lt;2,"",MATCH('Base Exámenes'!C531,'Base Exámenes'!$C$5:$C$1000,0)*10000+ROW()))</f>
        <v/>
      </c>
    </row>
    <row r="532">
      <c r="Z532" t="str">
        <f>IF('Detalle individual'!A532="","",IF(AND(OR('Estado por Colaborador'!$D$4="Todas las gerencias",'Detalle individual'!D532='Estado por Colaborador'!$D$4),OR('Estado por Colaborador'!$D$5="Todos los departamentos",TRIM('Detalle individual'!C532)='Estado por Colaborador'!$D$5),OR('Estado por Colaborador'!$D$6="Todos",'Detalle individual'!F532='Estado por Colaborador'!$D$6)),IF('Detalle individual'!F532="Completado",30000000,IF('Detalle individual'!F532="Pendiente",0,15000000))+COUNTIF('Detalle individual'!$C$5:$C$1000,"&lt;"&amp;'Detalle individual'!C532)*10000+ROW(),""))</f>
        <v/>
      </c>
      <c r="AB532" t="str">
        <f>IF('Detalle individual'!C532="","",IF(COUNTIF('Detalle individual'!$C$5:C532,'Detalle individual'!C532)=1,COUNTIF('Detalle individual'!$C$5:$C$1000,"&lt;"&amp;'Detalle individual'!C532),""))</f>
        <v/>
      </c>
      <c r="AC532" t="str">
        <f>IF('Detalle individual'!D532="","",IF(COUNTIF('Detalle individual'!$D$5:D532,'Detalle individual'!D532)=1,COUNTIF('Detalle individual'!$D$5:$D$1000,"&lt;"&amp;'Detalle individual'!D532),""))</f>
        <v/>
      </c>
      <c r="AH532" t="str">
        <f>IF('Detalle individual'!F532="Pendiente",COUNTIF('Detalle individual'!$D$5:$D$1000,"&lt;"&amp;'Detalle individual'!D532)*1000000+COUNTIF('Detalle individual'!$C$5:$C$1000,"&lt;"&amp;'Detalle individual'!C532)*1000+COUNTIF('Detalle individual'!$B$5:$B$1000,"&lt;"&amp;'Detalle individual'!B532)+ROW()/10000,"")</f>
        <v/>
      </c>
      <c r="AI532" t="str">
        <f>IF('Detalle individual'!F532="Completado",COUNTIF('Detalle individual'!$D$5:$D$1000,"&lt;"&amp;'Detalle individual'!D532)*1000000+COUNTIF('Detalle individual'!$C$5:$C$1000,"&lt;"&amp;'Detalle individual'!C532)*1000+COUNTIF('Detalle individual'!$B$5:$B$1000,"&lt;"&amp;'Detalle individual'!B532)+ROW()/10000,"")</f>
        <v/>
      </c>
      <c r="AJ532" t="str">
        <f>IF(AND('Detalle individual'!F532&lt;&gt;"",'Detalle individual'!F532&lt;&gt;"Completado",'Detalle individual'!F532&lt;&gt;"Pendiente"),COUNTIF('Detalle individual'!$D$5:$D$1000,"&lt;"&amp;'Detalle individual'!D532)*1000000+COUNTIF('Detalle individual'!$C$5:$C$1000,"&lt;"&amp;'Detalle individual'!C532)*1000+COUNTIF('Detalle individual'!$B$5:$B$1000,"&lt;"&amp;'Detalle individual'!B532)+ROW()/10000,"")</f>
        <v/>
      </c>
      <c r="AK532" t="str">
        <f>IF(OR('Base Exámenes'!C532="",'Base Exámenes'!D532=""),"",IF(COUNTIF('Base Exámenes'!$C$5:C532,'Base Exámenes'!C532)=1,'Base Exámenes'!D532+ROW()/1000000000,""))</f>
        <v/>
      </c>
      <c r="AL532" t="str">
        <f>IF(OR('Base Exámenes'!C532="",'Base Exámenes'!E532=""),"",IF(COUNTIF('Base Exámenes'!$C$5:C532,'Base Exámenes'!C532)=1,'Base Exámenes'!E532+ROW()/1000000000,""))</f>
        <v/>
      </c>
      <c r="AM532" t="str">
        <f>IF(OR('Base Exámenes'!C532="",'Base Exámenes'!G532=""),"",IF(ROW()-4=MATCH('Base Exámenes'!C532&amp;"|"&amp;_xlfn.MAXIFS('Base Exámenes'!$G$5:$G$1000,'Base Exámenes'!$C$5:$C$1000,'Base Exámenes'!C532),'Base Exámenes'!$I$5:$I$1000,0),'Base Exámenes'!G532*1000000+(-1)*'Base Exámenes'!D532,""))</f>
        <v/>
      </c>
      <c r="AQ532" t="str">
        <f>IF('Base Exámenes'!C532="","",IF(COUNTIF('Base Exámenes'!$C$5:$C$1000,'Base Exámenes'!C532)&lt;2,"",MATCH('Base Exámenes'!C532,'Base Exámenes'!$C$5:$C$1000,0)*10000+ROW()))</f>
        <v/>
      </c>
    </row>
    <row r="533">
      <c r="Z533" t="str">
        <f>IF('Detalle individual'!A533="","",IF(AND(OR('Estado por Colaborador'!$D$4="Todas las gerencias",'Detalle individual'!D533='Estado por Colaborador'!$D$4),OR('Estado por Colaborador'!$D$5="Todos los departamentos",TRIM('Detalle individual'!C533)='Estado por Colaborador'!$D$5),OR('Estado por Colaborador'!$D$6="Todos",'Detalle individual'!F533='Estado por Colaborador'!$D$6)),IF('Detalle individual'!F533="Completado",30000000,IF('Detalle individual'!F533="Pendiente",0,15000000))+COUNTIF('Detalle individual'!$C$5:$C$1000,"&lt;"&amp;'Detalle individual'!C533)*10000+ROW(),""))</f>
        <v/>
      </c>
      <c r="AB533" t="str">
        <f>IF('Detalle individual'!C533="","",IF(COUNTIF('Detalle individual'!$C$5:C533,'Detalle individual'!C533)=1,COUNTIF('Detalle individual'!$C$5:$C$1000,"&lt;"&amp;'Detalle individual'!C533),""))</f>
        <v/>
      </c>
      <c r="AC533" t="str">
        <f>IF('Detalle individual'!D533="","",IF(COUNTIF('Detalle individual'!$D$5:D533,'Detalle individual'!D533)=1,COUNTIF('Detalle individual'!$D$5:$D$1000,"&lt;"&amp;'Detalle individual'!D533),""))</f>
        <v/>
      </c>
      <c r="AH533" t="str">
        <f>IF('Detalle individual'!F533="Pendiente",COUNTIF('Detalle individual'!$D$5:$D$1000,"&lt;"&amp;'Detalle individual'!D533)*1000000+COUNTIF('Detalle individual'!$C$5:$C$1000,"&lt;"&amp;'Detalle individual'!C533)*1000+COUNTIF('Detalle individual'!$B$5:$B$1000,"&lt;"&amp;'Detalle individual'!B533)+ROW()/10000,"")</f>
        <v/>
      </c>
      <c r="AI533" t="str">
        <f>IF('Detalle individual'!F533="Completado",COUNTIF('Detalle individual'!$D$5:$D$1000,"&lt;"&amp;'Detalle individual'!D533)*1000000+COUNTIF('Detalle individual'!$C$5:$C$1000,"&lt;"&amp;'Detalle individual'!C533)*1000+COUNTIF('Detalle individual'!$B$5:$B$1000,"&lt;"&amp;'Detalle individual'!B533)+ROW()/10000,"")</f>
        <v/>
      </c>
      <c r="AJ533" t="str">
        <f>IF(AND('Detalle individual'!F533&lt;&gt;"",'Detalle individual'!F533&lt;&gt;"Completado",'Detalle individual'!F533&lt;&gt;"Pendiente"),COUNTIF('Detalle individual'!$D$5:$D$1000,"&lt;"&amp;'Detalle individual'!D533)*1000000+COUNTIF('Detalle individual'!$C$5:$C$1000,"&lt;"&amp;'Detalle individual'!C533)*1000+COUNTIF('Detalle individual'!$B$5:$B$1000,"&lt;"&amp;'Detalle individual'!B533)+ROW()/10000,"")</f>
        <v/>
      </c>
      <c r="AK533" t="str">
        <f>IF(OR('Base Exámenes'!C533="",'Base Exámenes'!D533=""),"",IF(COUNTIF('Base Exámenes'!$C$5:C533,'Base Exámenes'!C533)=1,'Base Exámenes'!D533+ROW()/1000000000,""))</f>
        <v/>
      </c>
      <c r="AL533" t="str">
        <f>IF(OR('Base Exámenes'!C533="",'Base Exámenes'!E533=""),"",IF(COUNTIF('Base Exámenes'!$C$5:C533,'Base Exámenes'!C533)=1,'Base Exámenes'!E533+ROW()/1000000000,""))</f>
        <v/>
      </c>
      <c r="AM533" t="str">
        <f>IF(OR('Base Exámenes'!C533="",'Base Exámenes'!G533=""),"",IF(ROW()-4=MATCH('Base Exámenes'!C533&amp;"|"&amp;_xlfn.MAXIFS('Base Exámenes'!$G$5:$G$1000,'Base Exámenes'!$C$5:$C$1000,'Base Exámenes'!C533),'Base Exámenes'!$I$5:$I$1000,0),'Base Exámenes'!G533*1000000+(-1)*'Base Exámenes'!D533,""))</f>
        <v/>
      </c>
      <c r="AQ533" t="str">
        <f>IF('Base Exámenes'!C533="","",IF(COUNTIF('Base Exámenes'!$C$5:$C$1000,'Base Exámenes'!C533)&lt;2,"",MATCH('Base Exámenes'!C533,'Base Exámenes'!$C$5:$C$1000,0)*10000+ROW()))</f>
        <v/>
      </c>
    </row>
    <row r="534">
      <c r="Z534" t="str">
        <f>IF('Detalle individual'!A534="","",IF(AND(OR('Estado por Colaborador'!$D$4="Todas las gerencias",'Detalle individual'!D534='Estado por Colaborador'!$D$4),OR('Estado por Colaborador'!$D$5="Todos los departamentos",TRIM('Detalle individual'!C534)='Estado por Colaborador'!$D$5),OR('Estado por Colaborador'!$D$6="Todos",'Detalle individual'!F534='Estado por Colaborador'!$D$6)),IF('Detalle individual'!F534="Completado",30000000,IF('Detalle individual'!F534="Pendiente",0,15000000))+COUNTIF('Detalle individual'!$C$5:$C$1000,"&lt;"&amp;'Detalle individual'!C534)*10000+ROW(),""))</f>
        <v/>
      </c>
      <c r="AB534" t="str">
        <f>IF('Detalle individual'!C534="","",IF(COUNTIF('Detalle individual'!$C$5:C534,'Detalle individual'!C534)=1,COUNTIF('Detalle individual'!$C$5:$C$1000,"&lt;"&amp;'Detalle individual'!C534),""))</f>
        <v/>
      </c>
      <c r="AC534" t="str">
        <f>IF('Detalle individual'!D534="","",IF(COUNTIF('Detalle individual'!$D$5:D534,'Detalle individual'!D534)=1,COUNTIF('Detalle individual'!$D$5:$D$1000,"&lt;"&amp;'Detalle individual'!D534),""))</f>
        <v/>
      </c>
      <c r="AH534" t="str">
        <f>IF('Detalle individual'!F534="Pendiente",COUNTIF('Detalle individual'!$D$5:$D$1000,"&lt;"&amp;'Detalle individual'!D534)*1000000+COUNTIF('Detalle individual'!$C$5:$C$1000,"&lt;"&amp;'Detalle individual'!C534)*1000+COUNTIF('Detalle individual'!$B$5:$B$1000,"&lt;"&amp;'Detalle individual'!B534)+ROW()/10000,"")</f>
        <v/>
      </c>
      <c r="AI534" t="str">
        <f>IF('Detalle individual'!F534="Completado",COUNTIF('Detalle individual'!$D$5:$D$1000,"&lt;"&amp;'Detalle individual'!D534)*1000000+COUNTIF('Detalle individual'!$C$5:$C$1000,"&lt;"&amp;'Detalle individual'!C534)*1000+COUNTIF('Detalle individual'!$B$5:$B$1000,"&lt;"&amp;'Detalle individual'!B534)+ROW()/10000,"")</f>
        <v/>
      </c>
      <c r="AJ534" t="str">
        <f>IF(AND('Detalle individual'!F534&lt;&gt;"",'Detalle individual'!F534&lt;&gt;"Completado",'Detalle individual'!F534&lt;&gt;"Pendiente"),COUNTIF('Detalle individual'!$D$5:$D$1000,"&lt;"&amp;'Detalle individual'!D534)*1000000+COUNTIF('Detalle individual'!$C$5:$C$1000,"&lt;"&amp;'Detalle individual'!C534)*1000+COUNTIF('Detalle individual'!$B$5:$B$1000,"&lt;"&amp;'Detalle individual'!B534)+ROW()/10000,"")</f>
        <v/>
      </c>
      <c r="AK534" t="str">
        <f>IF(OR('Base Exámenes'!C534="",'Base Exámenes'!D534=""),"",IF(COUNTIF('Base Exámenes'!$C$5:C534,'Base Exámenes'!C534)=1,'Base Exámenes'!D534+ROW()/1000000000,""))</f>
        <v/>
      </c>
      <c r="AL534" t="str">
        <f>IF(OR('Base Exámenes'!C534="",'Base Exámenes'!E534=""),"",IF(COUNTIF('Base Exámenes'!$C$5:C534,'Base Exámenes'!C534)=1,'Base Exámenes'!E534+ROW()/1000000000,""))</f>
        <v/>
      </c>
      <c r="AM534" t="str">
        <f>IF(OR('Base Exámenes'!C534="",'Base Exámenes'!G534=""),"",IF(ROW()-4=MATCH('Base Exámenes'!C534&amp;"|"&amp;_xlfn.MAXIFS('Base Exámenes'!$G$5:$G$1000,'Base Exámenes'!$C$5:$C$1000,'Base Exámenes'!C534),'Base Exámenes'!$I$5:$I$1000,0),'Base Exámenes'!G534*1000000+(-1)*'Base Exámenes'!D534,""))</f>
        <v/>
      </c>
      <c r="AQ534" t="str">
        <f>IF('Base Exámenes'!C534="","",IF(COUNTIF('Base Exámenes'!$C$5:$C$1000,'Base Exámenes'!C534)&lt;2,"",MATCH('Base Exámenes'!C534,'Base Exámenes'!$C$5:$C$1000,0)*10000+ROW()))</f>
        <v/>
      </c>
    </row>
    <row r="535">
      <c r="Z535" t="str">
        <f>IF('Detalle individual'!A535="","",IF(AND(OR('Estado por Colaborador'!$D$4="Todas las gerencias",'Detalle individual'!D535='Estado por Colaborador'!$D$4),OR('Estado por Colaborador'!$D$5="Todos los departamentos",TRIM('Detalle individual'!C535)='Estado por Colaborador'!$D$5),OR('Estado por Colaborador'!$D$6="Todos",'Detalle individual'!F535='Estado por Colaborador'!$D$6)),IF('Detalle individual'!F535="Completado",30000000,IF('Detalle individual'!F535="Pendiente",0,15000000))+COUNTIF('Detalle individual'!$C$5:$C$1000,"&lt;"&amp;'Detalle individual'!C535)*10000+ROW(),""))</f>
        <v/>
      </c>
      <c r="AB535" t="str">
        <f>IF('Detalle individual'!C535="","",IF(COUNTIF('Detalle individual'!$C$5:C535,'Detalle individual'!C535)=1,COUNTIF('Detalle individual'!$C$5:$C$1000,"&lt;"&amp;'Detalle individual'!C535),""))</f>
        <v/>
      </c>
      <c r="AC535" t="str">
        <f>IF('Detalle individual'!D535="","",IF(COUNTIF('Detalle individual'!$D$5:D535,'Detalle individual'!D535)=1,COUNTIF('Detalle individual'!$D$5:$D$1000,"&lt;"&amp;'Detalle individual'!D535),""))</f>
        <v/>
      </c>
      <c r="AH535" t="str">
        <f>IF('Detalle individual'!F535="Pendiente",COUNTIF('Detalle individual'!$D$5:$D$1000,"&lt;"&amp;'Detalle individual'!D535)*1000000+COUNTIF('Detalle individual'!$C$5:$C$1000,"&lt;"&amp;'Detalle individual'!C535)*1000+COUNTIF('Detalle individual'!$B$5:$B$1000,"&lt;"&amp;'Detalle individual'!B535)+ROW()/10000,"")</f>
        <v/>
      </c>
      <c r="AI535" t="str">
        <f>IF('Detalle individual'!F535="Completado",COUNTIF('Detalle individual'!$D$5:$D$1000,"&lt;"&amp;'Detalle individual'!D535)*1000000+COUNTIF('Detalle individual'!$C$5:$C$1000,"&lt;"&amp;'Detalle individual'!C535)*1000+COUNTIF('Detalle individual'!$B$5:$B$1000,"&lt;"&amp;'Detalle individual'!B535)+ROW()/10000,"")</f>
        <v/>
      </c>
      <c r="AJ535" t="str">
        <f>IF(AND('Detalle individual'!F535&lt;&gt;"",'Detalle individual'!F535&lt;&gt;"Completado",'Detalle individual'!F535&lt;&gt;"Pendiente"),COUNTIF('Detalle individual'!$D$5:$D$1000,"&lt;"&amp;'Detalle individual'!D535)*1000000+COUNTIF('Detalle individual'!$C$5:$C$1000,"&lt;"&amp;'Detalle individual'!C535)*1000+COUNTIF('Detalle individual'!$B$5:$B$1000,"&lt;"&amp;'Detalle individual'!B535)+ROW()/10000,"")</f>
        <v/>
      </c>
      <c r="AK535" t="str">
        <f>IF(OR('Base Exámenes'!C535="",'Base Exámenes'!D535=""),"",IF(COUNTIF('Base Exámenes'!$C$5:C535,'Base Exámenes'!C535)=1,'Base Exámenes'!D535+ROW()/1000000000,""))</f>
        <v/>
      </c>
      <c r="AL535" t="str">
        <f>IF(OR('Base Exámenes'!C535="",'Base Exámenes'!E535=""),"",IF(COUNTIF('Base Exámenes'!$C$5:C535,'Base Exámenes'!C535)=1,'Base Exámenes'!E535+ROW()/1000000000,""))</f>
        <v/>
      </c>
      <c r="AM535" t="str">
        <f>IF(OR('Base Exámenes'!C535="",'Base Exámenes'!G535=""),"",IF(ROW()-4=MATCH('Base Exámenes'!C535&amp;"|"&amp;_xlfn.MAXIFS('Base Exámenes'!$G$5:$G$1000,'Base Exámenes'!$C$5:$C$1000,'Base Exámenes'!C535),'Base Exámenes'!$I$5:$I$1000,0),'Base Exámenes'!G535*1000000+(-1)*'Base Exámenes'!D535,""))</f>
        <v/>
      </c>
      <c r="AQ535" t="str">
        <f>IF('Base Exámenes'!C535="","",IF(COUNTIF('Base Exámenes'!$C$5:$C$1000,'Base Exámenes'!C535)&lt;2,"",MATCH('Base Exámenes'!C535,'Base Exámenes'!$C$5:$C$1000,0)*10000+ROW()))</f>
        <v/>
      </c>
    </row>
    <row r="536">
      <c r="Z536" t="str">
        <f>IF('Detalle individual'!A536="","",IF(AND(OR('Estado por Colaborador'!$D$4="Todas las gerencias",'Detalle individual'!D536='Estado por Colaborador'!$D$4),OR('Estado por Colaborador'!$D$5="Todos los departamentos",TRIM('Detalle individual'!C536)='Estado por Colaborador'!$D$5),OR('Estado por Colaborador'!$D$6="Todos",'Detalle individual'!F536='Estado por Colaborador'!$D$6)),IF('Detalle individual'!F536="Completado",30000000,IF('Detalle individual'!F536="Pendiente",0,15000000))+COUNTIF('Detalle individual'!$C$5:$C$1000,"&lt;"&amp;'Detalle individual'!C536)*10000+ROW(),""))</f>
        <v/>
      </c>
      <c r="AB536" t="str">
        <f>IF('Detalle individual'!C536="","",IF(COUNTIF('Detalle individual'!$C$5:C536,'Detalle individual'!C536)=1,COUNTIF('Detalle individual'!$C$5:$C$1000,"&lt;"&amp;'Detalle individual'!C536),""))</f>
        <v/>
      </c>
      <c r="AC536" t="str">
        <f>IF('Detalle individual'!D536="","",IF(COUNTIF('Detalle individual'!$D$5:D536,'Detalle individual'!D536)=1,COUNTIF('Detalle individual'!$D$5:$D$1000,"&lt;"&amp;'Detalle individual'!D536),""))</f>
        <v/>
      </c>
      <c r="AH536" t="str">
        <f>IF('Detalle individual'!F536="Pendiente",COUNTIF('Detalle individual'!$D$5:$D$1000,"&lt;"&amp;'Detalle individual'!D536)*1000000+COUNTIF('Detalle individual'!$C$5:$C$1000,"&lt;"&amp;'Detalle individual'!C536)*1000+COUNTIF('Detalle individual'!$B$5:$B$1000,"&lt;"&amp;'Detalle individual'!B536)+ROW()/10000,"")</f>
        <v/>
      </c>
      <c r="AI536" t="str">
        <f>IF('Detalle individual'!F536="Completado",COUNTIF('Detalle individual'!$D$5:$D$1000,"&lt;"&amp;'Detalle individual'!D536)*1000000+COUNTIF('Detalle individual'!$C$5:$C$1000,"&lt;"&amp;'Detalle individual'!C536)*1000+COUNTIF('Detalle individual'!$B$5:$B$1000,"&lt;"&amp;'Detalle individual'!B536)+ROW()/10000,"")</f>
        <v/>
      </c>
      <c r="AJ536" t="str">
        <f>IF(AND('Detalle individual'!F536&lt;&gt;"",'Detalle individual'!F536&lt;&gt;"Completado",'Detalle individual'!F536&lt;&gt;"Pendiente"),COUNTIF('Detalle individual'!$D$5:$D$1000,"&lt;"&amp;'Detalle individual'!D536)*1000000+COUNTIF('Detalle individual'!$C$5:$C$1000,"&lt;"&amp;'Detalle individual'!C536)*1000+COUNTIF('Detalle individual'!$B$5:$B$1000,"&lt;"&amp;'Detalle individual'!B536)+ROW()/10000,"")</f>
        <v/>
      </c>
      <c r="AK536" t="str">
        <f>IF(OR('Base Exámenes'!C536="",'Base Exámenes'!D536=""),"",IF(COUNTIF('Base Exámenes'!$C$5:C536,'Base Exámenes'!C536)=1,'Base Exámenes'!D536+ROW()/1000000000,""))</f>
        <v/>
      </c>
      <c r="AL536" t="str">
        <f>IF(OR('Base Exámenes'!C536="",'Base Exámenes'!E536=""),"",IF(COUNTIF('Base Exámenes'!$C$5:C536,'Base Exámenes'!C536)=1,'Base Exámenes'!E536+ROW()/1000000000,""))</f>
        <v/>
      </c>
      <c r="AM536" t="str">
        <f>IF(OR('Base Exámenes'!C536="",'Base Exámenes'!G536=""),"",IF(ROW()-4=MATCH('Base Exámenes'!C536&amp;"|"&amp;_xlfn.MAXIFS('Base Exámenes'!$G$5:$G$1000,'Base Exámenes'!$C$5:$C$1000,'Base Exámenes'!C536),'Base Exámenes'!$I$5:$I$1000,0),'Base Exámenes'!G536*1000000+(-1)*'Base Exámenes'!D536,""))</f>
        <v/>
      </c>
      <c r="AQ536" t="str">
        <f>IF('Base Exámenes'!C536="","",IF(COUNTIF('Base Exámenes'!$C$5:$C$1000,'Base Exámenes'!C536)&lt;2,"",MATCH('Base Exámenes'!C536,'Base Exámenes'!$C$5:$C$1000,0)*10000+ROW()))</f>
        <v/>
      </c>
    </row>
    <row r="537">
      <c r="Z537" t="str">
        <f>IF('Detalle individual'!A537="","",IF(AND(OR('Estado por Colaborador'!$D$4="Todas las gerencias",'Detalle individual'!D537='Estado por Colaborador'!$D$4),OR('Estado por Colaborador'!$D$5="Todos los departamentos",TRIM('Detalle individual'!C537)='Estado por Colaborador'!$D$5),OR('Estado por Colaborador'!$D$6="Todos",'Detalle individual'!F537='Estado por Colaborador'!$D$6)),IF('Detalle individual'!F537="Completado",30000000,IF('Detalle individual'!F537="Pendiente",0,15000000))+COUNTIF('Detalle individual'!$C$5:$C$1000,"&lt;"&amp;'Detalle individual'!C537)*10000+ROW(),""))</f>
        <v/>
      </c>
      <c r="AB537" t="str">
        <f>IF('Detalle individual'!C537="","",IF(COUNTIF('Detalle individual'!$C$5:C537,'Detalle individual'!C537)=1,COUNTIF('Detalle individual'!$C$5:$C$1000,"&lt;"&amp;'Detalle individual'!C537),""))</f>
        <v/>
      </c>
      <c r="AC537" t="str">
        <f>IF('Detalle individual'!D537="","",IF(COUNTIF('Detalle individual'!$D$5:D537,'Detalle individual'!D537)=1,COUNTIF('Detalle individual'!$D$5:$D$1000,"&lt;"&amp;'Detalle individual'!D537),""))</f>
        <v/>
      </c>
      <c r="AH537" t="str">
        <f>IF('Detalle individual'!F537="Pendiente",COUNTIF('Detalle individual'!$D$5:$D$1000,"&lt;"&amp;'Detalle individual'!D537)*1000000+COUNTIF('Detalle individual'!$C$5:$C$1000,"&lt;"&amp;'Detalle individual'!C537)*1000+COUNTIF('Detalle individual'!$B$5:$B$1000,"&lt;"&amp;'Detalle individual'!B537)+ROW()/10000,"")</f>
        <v/>
      </c>
      <c r="AI537" t="str">
        <f>IF('Detalle individual'!F537="Completado",COUNTIF('Detalle individual'!$D$5:$D$1000,"&lt;"&amp;'Detalle individual'!D537)*1000000+COUNTIF('Detalle individual'!$C$5:$C$1000,"&lt;"&amp;'Detalle individual'!C537)*1000+COUNTIF('Detalle individual'!$B$5:$B$1000,"&lt;"&amp;'Detalle individual'!B537)+ROW()/10000,"")</f>
        <v/>
      </c>
      <c r="AJ537" t="str">
        <f>IF(AND('Detalle individual'!F537&lt;&gt;"",'Detalle individual'!F537&lt;&gt;"Completado",'Detalle individual'!F537&lt;&gt;"Pendiente"),COUNTIF('Detalle individual'!$D$5:$D$1000,"&lt;"&amp;'Detalle individual'!D537)*1000000+COUNTIF('Detalle individual'!$C$5:$C$1000,"&lt;"&amp;'Detalle individual'!C537)*1000+COUNTIF('Detalle individual'!$B$5:$B$1000,"&lt;"&amp;'Detalle individual'!B537)+ROW()/10000,"")</f>
        <v/>
      </c>
      <c r="AK537" t="str">
        <f>IF(OR('Base Exámenes'!C537="",'Base Exámenes'!D537=""),"",IF(COUNTIF('Base Exámenes'!$C$5:C537,'Base Exámenes'!C537)=1,'Base Exámenes'!D537+ROW()/1000000000,""))</f>
        <v/>
      </c>
      <c r="AL537" t="str">
        <f>IF(OR('Base Exámenes'!C537="",'Base Exámenes'!E537=""),"",IF(COUNTIF('Base Exámenes'!$C$5:C537,'Base Exámenes'!C537)=1,'Base Exámenes'!E537+ROW()/1000000000,""))</f>
        <v/>
      </c>
      <c r="AM537" t="str">
        <f>IF(OR('Base Exámenes'!C537="",'Base Exámenes'!G537=""),"",IF(ROW()-4=MATCH('Base Exámenes'!C537&amp;"|"&amp;_xlfn.MAXIFS('Base Exámenes'!$G$5:$G$1000,'Base Exámenes'!$C$5:$C$1000,'Base Exámenes'!C537),'Base Exámenes'!$I$5:$I$1000,0),'Base Exámenes'!G537*1000000+(-1)*'Base Exámenes'!D537,""))</f>
        <v/>
      </c>
      <c r="AQ537" t="str">
        <f>IF('Base Exámenes'!C537="","",IF(COUNTIF('Base Exámenes'!$C$5:$C$1000,'Base Exámenes'!C537)&lt;2,"",MATCH('Base Exámenes'!C537,'Base Exámenes'!$C$5:$C$1000,0)*10000+ROW()))</f>
        <v/>
      </c>
    </row>
    <row r="538">
      <c r="Z538" t="str">
        <f>IF('Detalle individual'!A538="","",IF(AND(OR('Estado por Colaborador'!$D$4="Todas las gerencias",'Detalle individual'!D538='Estado por Colaborador'!$D$4),OR('Estado por Colaborador'!$D$5="Todos los departamentos",TRIM('Detalle individual'!C538)='Estado por Colaborador'!$D$5),OR('Estado por Colaborador'!$D$6="Todos",'Detalle individual'!F538='Estado por Colaborador'!$D$6)),IF('Detalle individual'!F538="Completado",30000000,IF('Detalle individual'!F538="Pendiente",0,15000000))+COUNTIF('Detalle individual'!$C$5:$C$1000,"&lt;"&amp;'Detalle individual'!C538)*10000+ROW(),""))</f>
        <v/>
      </c>
      <c r="AB538" t="str">
        <f>IF('Detalle individual'!C538="","",IF(COUNTIF('Detalle individual'!$C$5:C538,'Detalle individual'!C538)=1,COUNTIF('Detalle individual'!$C$5:$C$1000,"&lt;"&amp;'Detalle individual'!C538),""))</f>
        <v/>
      </c>
      <c r="AC538" t="str">
        <f>IF('Detalle individual'!D538="","",IF(COUNTIF('Detalle individual'!$D$5:D538,'Detalle individual'!D538)=1,COUNTIF('Detalle individual'!$D$5:$D$1000,"&lt;"&amp;'Detalle individual'!D538),""))</f>
        <v/>
      </c>
      <c r="AH538" t="str">
        <f>IF('Detalle individual'!F538="Pendiente",COUNTIF('Detalle individual'!$D$5:$D$1000,"&lt;"&amp;'Detalle individual'!D538)*1000000+COUNTIF('Detalle individual'!$C$5:$C$1000,"&lt;"&amp;'Detalle individual'!C538)*1000+COUNTIF('Detalle individual'!$B$5:$B$1000,"&lt;"&amp;'Detalle individual'!B538)+ROW()/10000,"")</f>
        <v/>
      </c>
      <c r="AI538" t="str">
        <f>IF('Detalle individual'!F538="Completado",COUNTIF('Detalle individual'!$D$5:$D$1000,"&lt;"&amp;'Detalle individual'!D538)*1000000+COUNTIF('Detalle individual'!$C$5:$C$1000,"&lt;"&amp;'Detalle individual'!C538)*1000+COUNTIF('Detalle individual'!$B$5:$B$1000,"&lt;"&amp;'Detalle individual'!B538)+ROW()/10000,"")</f>
        <v/>
      </c>
      <c r="AJ538" t="str">
        <f>IF(AND('Detalle individual'!F538&lt;&gt;"",'Detalle individual'!F538&lt;&gt;"Completado",'Detalle individual'!F538&lt;&gt;"Pendiente"),COUNTIF('Detalle individual'!$D$5:$D$1000,"&lt;"&amp;'Detalle individual'!D538)*1000000+COUNTIF('Detalle individual'!$C$5:$C$1000,"&lt;"&amp;'Detalle individual'!C538)*1000+COUNTIF('Detalle individual'!$B$5:$B$1000,"&lt;"&amp;'Detalle individual'!B538)+ROW()/10000,"")</f>
        <v/>
      </c>
      <c r="AK538" t="str">
        <f>IF(OR('Base Exámenes'!C538="",'Base Exámenes'!D538=""),"",IF(COUNTIF('Base Exámenes'!$C$5:C538,'Base Exámenes'!C538)=1,'Base Exámenes'!D538+ROW()/1000000000,""))</f>
        <v/>
      </c>
      <c r="AL538" t="str">
        <f>IF(OR('Base Exámenes'!C538="",'Base Exámenes'!E538=""),"",IF(COUNTIF('Base Exámenes'!$C$5:C538,'Base Exámenes'!C538)=1,'Base Exámenes'!E538+ROW()/1000000000,""))</f>
        <v/>
      </c>
      <c r="AM538" t="str">
        <f>IF(OR('Base Exámenes'!C538="",'Base Exámenes'!G538=""),"",IF(ROW()-4=MATCH('Base Exámenes'!C538&amp;"|"&amp;_xlfn.MAXIFS('Base Exámenes'!$G$5:$G$1000,'Base Exámenes'!$C$5:$C$1000,'Base Exámenes'!C538),'Base Exámenes'!$I$5:$I$1000,0),'Base Exámenes'!G538*1000000+(-1)*'Base Exámenes'!D538,""))</f>
        <v/>
      </c>
      <c r="AQ538" t="str">
        <f>IF('Base Exámenes'!C538="","",IF(COUNTIF('Base Exámenes'!$C$5:$C$1000,'Base Exámenes'!C538)&lt;2,"",MATCH('Base Exámenes'!C538,'Base Exámenes'!$C$5:$C$1000,0)*10000+ROW()))</f>
        <v/>
      </c>
    </row>
    <row r="539">
      <c r="Z539" t="str">
        <f>IF('Detalle individual'!A539="","",IF(AND(OR('Estado por Colaborador'!$D$4="Todas las gerencias",'Detalle individual'!D539='Estado por Colaborador'!$D$4),OR('Estado por Colaborador'!$D$5="Todos los departamentos",TRIM('Detalle individual'!C539)='Estado por Colaborador'!$D$5),OR('Estado por Colaborador'!$D$6="Todos",'Detalle individual'!F539='Estado por Colaborador'!$D$6)),IF('Detalle individual'!F539="Completado",30000000,IF('Detalle individual'!F539="Pendiente",0,15000000))+COUNTIF('Detalle individual'!$C$5:$C$1000,"&lt;"&amp;'Detalle individual'!C539)*10000+ROW(),""))</f>
        <v/>
      </c>
      <c r="AB539" t="str">
        <f>IF('Detalle individual'!C539="","",IF(COUNTIF('Detalle individual'!$C$5:C539,'Detalle individual'!C539)=1,COUNTIF('Detalle individual'!$C$5:$C$1000,"&lt;"&amp;'Detalle individual'!C539),""))</f>
        <v/>
      </c>
      <c r="AC539" t="str">
        <f>IF('Detalle individual'!D539="","",IF(COUNTIF('Detalle individual'!$D$5:D539,'Detalle individual'!D539)=1,COUNTIF('Detalle individual'!$D$5:$D$1000,"&lt;"&amp;'Detalle individual'!D539),""))</f>
        <v/>
      </c>
      <c r="AH539" t="str">
        <f>IF('Detalle individual'!F539="Pendiente",COUNTIF('Detalle individual'!$D$5:$D$1000,"&lt;"&amp;'Detalle individual'!D539)*1000000+COUNTIF('Detalle individual'!$C$5:$C$1000,"&lt;"&amp;'Detalle individual'!C539)*1000+COUNTIF('Detalle individual'!$B$5:$B$1000,"&lt;"&amp;'Detalle individual'!B539)+ROW()/10000,"")</f>
        <v/>
      </c>
      <c r="AI539" t="str">
        <f>IF('Detalle individual'!F539="Completado",COUNTIF('Detalle individual'!$D$5:$D$1000,"&lt;"&amp;'Detalle individual'!D539)*1000000+COUNTIF('Detalle individual'!$C$5:$C$1000,"&lt;"&amp;'Detalle individual'!C539)*1000+COUNTIF('Detalle individual'!$B$5:$B$1000,"&lt;"&amp;'Detalle individual'!B539)+ROW()/10000,"")</f>
        <v/>
      </c>
      <c r="AJ539" t="str">
        <f>IF(AND('Detalle individual'!F539&lt;&gt;"",'Detalle individual'!F539&lt;&gt;"Completado",'Detalle individual'!F539&lt;&gt;"Pendiente"),COUNTIF('Detalle individual'!$D$5:$D$1000,"&lt;"&amp;'Detalle individual'!D539)*1000000+COUNTIF('Detalle individual'!$C$5:$C$1000,"&lt;"&amp;'Detalle individual'!C539)*1000+COUNTIF('Detalle individual'!$B$5:$B$1000,"&lt;"&amp;'Detalle individual'!B539)+ROW()/10000,"")</f>
        <v/>
      </c>
      <c r="AK539" t="str">
        <f>IF(OR('Base Exámenes'!C539="",'Base Exámenes'!D539=""),"",IF(COUNTIF('Base Exámenes'!$C$5:C539,'Base Exámenes'!C539)=1,'Base Exámenes'!D539+ROW()/1000000000,""))</f>
        <v/>
      </c>
      <c r="AL539" t="str">
        <f>IF(OR('Base Exámenes'!C539="",'Base Exámenes'!E539=""),"",IF(COUNTIF('Base Exámenes'!$C$5:C539,'Base Exámenes'!C539)=1,'Base Exámenes'!E539+ROW()/1000000000,""))</f>
        <v/>
      </c>
      <c r="AM539" t="str">
        <f>IF(OR('Base Exámenes'!C539="",'Base Exámenes'!G539=""),"",IF(ROW()-4=MATCH('Base Exámenes'!C539&amp;"|"&amp;_xlfn.MAXIFS('Base Exámenes'!$G$5:$G$1000,'Base Exámenes'!$C$5:$C$1000,'Base Exámenes'!C539),'Base Exámenes'!$I$5:$I$1000,0),'Base Exámenes'!G539*1000000+(-1)*'Base Exámenes'!D539,""))</f>
        <v/>
      </c>
      <c r="AQ539" t="str">
        <f>IF('Base Exámenes'!C539="","",IF(COUNTIF('Base Exámenes'!$C$5:$C$1000,'Base Exámenes'!C539)&lt;2,"",MATCH('Base Exámenes'!C539,'Base Exámenes'!$C$5:$C$1000,0)*10000+ROW()))</f>
        <v/>
      </c>
    </row>
    <row r="540">
      <c r="Z540" t="str">
        <f>IF('Detalle individual'!A540="","",IF(AND(OR('Estado por Colaborador'!$D$4="Todas las gerencias",'Detalle individual'!D540='Estado por Colaborador'!$D$4),OR('Estado por Colaborador'!$D$5="Todos los departamentos",TRIM('Detalle individual'!C540)='Estado por Colaborador'!$D$5),OR('Estado por Colaborador'!$D$6="Todos",'Detalle individual'!F540='Estado por Colaborador'!$D$6)),IF('Detalle individual'!F540="Completado",30000000,IF('Detalle individual'!F540="Pendiente",0,15000000))+COUNTIF('Detalle individual'!$C$5:$C$1000,"&lt;"&amp;'Detalle individual'!C540)*10000+ROW(),""))</f>
        <v/>
      </c>
      <c r="AB540" t="str">
        <f>IF('Detalle individual'!C540="","",IF(COUNTIF('Detalle individual'!$C$5:C540,'Detalle individual'!C540)=1,COUNTIF('Detalle individual'!$C$5:$C$1000,"&lt;"&amp;'Detalle individual'!C540),""))</f>
        <v/>
      </c>
      <c r="AC540" t="str">
        <f>IF('Detalle individual'!D540="","",IF(COUNTIF('Detalle individual'!$D$5:D540,'Detalle individual'!D540)=1,COUNTIF('Detalle individual'!$D$5:$D$1000,"&lt;"&amp;'Detalle individual'!D540),""))</f>
        <v/>
      </c>
      <c r="AH540" t="str">
        <f>IF('Detalle individual'!F540="Pendiente",COUNTIF('Detalle individual'!$D$5:$D$1000,"&lt;"&amp;'Detalle individual'!D540)*1000000+COUNTIF('Detalle individual'!$C$5:$C$1000,"&lt;"&amp;'Detalle individual'!C540)*1000+COUNTIF('Detalle individual'!$B$5:$B$1000,"&lt;"&amp;'Detalle individual'!B540)+ROW()/10000,"")</f>
        <v/>
      </c>
      <c r="AI540" t="str">
        <f>IF('Detalle individual'!F540="Completado",COUNTIF('Detalle individual'!$D$5:$D$1000,"&lt;"&amp;'Detalle individual'!D540)*1000000+COUNTIF('Detalle individual'!$C$5:$C$1000,"&lt;"&amp;'Detalle individual'!C540)*1000+COUNTIF('Detalle individual'!$B$5:$B$1000,"&lt;"&amp;'Detalle individual'!B540)+ROW()/10000,"")</f>
        <v/>
      </c>
      <c r="AJ540" t="str">
        <f>IF(AND('Detalle individual'!F540&lt;&gt;"",'Detalle individual'!F540&lt;&gt;"Completado",'Detalle individual'!F540&lt;&gt;"Pendiente"),COUNTIF('Detalle individual'!$D$5:$D$1000,"&lt;"&amp;'Detalle individual'!D540)*1000000+COUNTIF('Detalle individual'!$C$5:$C$1000,"&lt;"&amp;'Detalle individual'!C540)*1000+COUNTIF('Detalle individual'!$B$5:$B$1000,"&lt;"&amp;'Detalle individual'!B540)+ROW()/10000,"")</f>
        <v/>
      </c>
      <c r="AK540" t="str">
        <f>IF(OR('Base Exámenes'!C540="",'Base Exámenes'!D540=""),"",IF(COUNTIF('Base Exámenes'!$C$5:C540,'Base Exámenes'!C540)=1,'Base Exámenes'!D540+ROW()/1000000000,""))</f>
        <v/>
      </c>
      <c r="AL540" t="str">
        <f>IF(OR('Base Exámenes'!C540="",'Base Exámenes'!E540=""),"",IF(COUNTIF('Base Exámenes'!$C$5:C540,'Base Exámenes'!C540)=1,'Base Exámenes'!E540+ROW()/1000000000,""))</f>
        <v/>
      </c>
      <c r="AM540" t="str">
        <f>IF(OR('Base Exámenes'!C540="",'Base Exámenes'!G540=""),"",IF(ROW()-4=MATCH('Base Exámenes'!C540&amp;"|"&amp;_xlfn.MAXIFS('Base Exámenes'!$G$5:$G$1000,'Base Exámenes'!$C$5:$C$1000,'Base Exámenes'!C540),'Base Exámenes'!$I$5:$I$1000,0),'Base Exámenes'!G540*1000000+(-1)*'Base Exámenes'!D540,""))</f>
        <v/>
      </c>
      <c r="AQ540" t="str">
        <f>IF('Base Exámenes'!C540="","",IF(COUNTIF('Base Exámenes'!$C$5:$C$1000,'Base Exámenes'!C540)&lt;2,"",MATCH('Base Exámenes'!C540,'Base Exámenes'!$C$5:$C$1000,0)*10000+ROW()))</f>
        <v/>
      </c>
    </row>
    <row r="541">
      <c r="Z541" t="str">
        <f>IF('Detalle individual'!A541="","",IF(AND(OR('Estado por Colaborador'!$D$4="Todas las gerencias",'Detalle individual'!D541='Estado por Colaborador'!$D$4),OR('Estado por Colaborador'!$D$5="Todos los departamentos",TRIM('Detalle individual'!C541)='Estado por Colaborador'!$D$5),OR('Estado por Colaborador'!$D$6="Todos",'Detalle individual'!F541='Estado por Colaborador'!$D$6)),IF('Detalle individual'!F541="Completado",30000000,IF('Detalle individual'!F541="Pendiente",0,15000000))+COUNTIF('Detalle individual'!$C$5:$C$1000,"&lt;"&amp;'Detalle individual'!C541)*10000+ROW(),""))</f>
        <v/>
      </c>
      <c r="AB541" t="str">
        <f>IF('Detalle individual'!C541="","",IF(COUNTIF('Detalle individual'!$C$5:C541,'Detalle individual'!C541)=1,COUNTIF('Detalle individual'!$C$5:$C$1000,"&lt;"&amp;'Detalle individual'!C541),""))</f>
        <v/>
      </c>
      <c r="AC541" t="str">
        <f>IF('Detalle individual'!D541="","",IF(COUNTIF('Detalle individual'!$D$5:D541,'Detalle individual'!D541)=1,COUNTIF('Detalle individual'!$D$5:$D$1000,"&lt;"&amp;'Detalle individual'!D541),""))</f>
        <v/>
      </c>
      <c r="AH541" t="str">
        <f>IF('Detalle individual'!F541="Pendiente",COUNTIF('Detalle individual'!$D$5:$D$1000,"&lt;"&amp;'Detalle individual'!D541)*1000000+COUNTIF('Detalle individual'!$C$5:$C$1000,"&lt;"&amp;'Detalle individual'!C541)*1000+COUNTIF('Detalle individual'!$B$5:$B$1000,"&lt;"&amp;'Detalle individual'!B541)+ROW()/10000,"")</f>
        <v/>
      </c>
      <c r="AI541" t="str">
        <f>IF('Detalle individual'!F541="Completado",COUNTIF('Detalle individual'!$D$5:$D$1000,"&lt;"&amp;'Detalle individual'!D541)*1000000+COUNTIF('Detalle individual'!$C$5:$C$1000,"&lt;"&amp;'Detalle individual'!C541)*1000+COUNTIF('Detalle individual'!$B$5:$B$1000,"&lt;"&amp;'Detalle individual'!B541)+ROW()/10000,"")</f>
        <v/>
      </c>
      <c r="AJ541" t="str">
        <f>IF(AND('Detalle individual'!F541&lt;&gt;"",'Detalle individual'!F541&lt;&gt;"Completado",'Detalle individual'!F541&lt;&gt;"Pendiente"),COUNTIF('Detalle individual'!$D$5:$D$1000,"&lt;"&amp;'Detalle individual'!D541)*1000000+COUNTIF('Detalle individual'!$C$5:$C$1000,"&lt;"&amp;'Detalle individual'!C541)*1000+COUNTIF('Detalle individual'!$B$5:$B$1000,"&lt;"&amp;'Detalle individual'!B541)+ROW()/10000,"")</f>
        <v/>
      </c>
      <c r="AK541" t="str">
        <f>IF(OR('Base Exámenes'!C541="",'Base Exámenes'!D541=""),"",IF(COUNTIF('Base Exámenes'!$C$5:C541,'Base Exámenes'!C541)=1,'Base Exámenes'!D541+ROW()/1000000000,""))</f>
        <v/>
      </c>
      <c r="AL541" t="str">
        <f>IF(OR('Base Exámenes'!C541="",'Base Exámenes'!E541=""),"",IF(COUNTIF('Base Exámenes'!$C$5:C541,'Base Exámenes'!C541)=1,'Base Exámenes'!E541+ROW()/1000000000,""))</f>
        <v/>
      </c>
      <c r="AM541" t="str">
        <f>IF(OR('Base Exámenes'!C541="",'Base Exámenes'!G541=""),"",IF(ROW()-4=MATCH('Base Exámenes'!C541&amp;"|"&amp;_xlfn.MAXIFS('Base Exámenes'!$G$5:$G$1000,'Base Exámenes'!$C$5:$C$1000,'Base Exámenes'!C541),'Base Exámenes'!$I$5:$I$1000,0),'Base Exámenes'!G541*1000000+(-1)*'Base Exámenes'!D541,""))</f>
        <v/>
      </c>
      <c r="AQ541" t="str">
        <f>IF('Base Exámenes'!C541="","",IF(COUNTIF('Base Exámenes'!$C$5:$C$1000,'Base Exámenes'!C541)&lt;2,"",MATCH('Base Exámenes'!C541,'Base Exámenes'!$C$5:$C$1000,0)*10000+ROW()))</f>
        <v/>
      </c>
    </row>
    <row r="542">
      <c r="Z542" t="str">
        <f>IF('Detalle individual'!A542="","",IF(AND(OR('Estado por Colaborador'!$D$4="Todas las gerencias",'Detalle individual'!D542='Estado por Colaborador'!$D$4),OR('Estado por Colaborador'!$D$5="Todos los departamentos",TRIM('Detalle individual'!C542)='Estado por Colaborador'!$D$5),OR('Estado por Colaborador'!$D$6="Todos",'Detalle individual'!F542='Estado por Colaborador'!$D$6)),IF('Detalle individual'!F542="Completado",30000000,IF('Detalle individual'!F542="Pendiente",0,15000000))+COUNTIF('Detalle individual'!$C$5:$C$1000,"&lt;"&amp;'Detalle individual'!C542)*10000+ROW(),""))</f>
        <v/>
      </c>
      <c r="AB542" t="str">
        <f>IF('Detalle individual'!C542="","",IF(COUNTIF('Detalle individual'!$C$5:C542,'Detalle individual'!C542)=1,COUNTIF('Detalle individual'!$C$5:$C$1000,"&lt;"&amp;'Detalle individual'!C542),""))</f>
        <v/>
      </c>
      <c r="AC542" t="str">
        <f>IF('Detalle individual'!D542="","",IF(COUNTIF('Detalle individual'!$D$5:D542,'Detalle individual'!D542)=1,COUNTIF('Detalle individual'!$D$5:$D$1000,"&lt;"&amp;'Detalle individual'!D542),""))</f>
        <v/>
      </c>
      <c r="AH542" t="str">
        <f>IF('Detalle individual'!F542="Pendiente",COUNTIF('Detalle individual'!$D$5:$D$1000,"&lt;"&amp;'Detalle individual'!D542)*1000000+COUNTIF('Detalle individual'!$C$5:$C$1000,"&lt;"&amp;'Detalle individual'!C542)*1000+COUNTIF('Detalle individual'!$B$5:$B$1000,"&lt;"&amp;'Detalle individual'!B542)+ROW()/10000,"")</f>
        <v/>
      </c>
      <c r="AI542" t="str">
        <f>IF('Detalle individual'!F542="Completado",COUNTIF('Detalle individual'!$D$5:$D$1000,"&lt;"&amp;'Detalle individual'!D542)*1000000+COUNTIF('Detalle individual'!$C$5:$C$1000,"&lt;"&amp;'Detalle individual'!C542)*1000+COUNTIF('Detalle individual'!$B$5:$B$1000,"&lt;"&amp;'Detalle individual'!B542)+ROW()/10000,"")</f>
        <v/>
      </c>
      <c r="AJ542" t="str">
        <f>IF(AND('Detalle individual'!F542&lt;&gt;"",'Detalle individual'!F542&lt;&gt;"Completado",'Detalle individual'!F542&lt;&gt;"Pendiente"),COUNTIF('Detalle individual'!$D$5:$D$1000,"&lt;"&amp;'Detalle individual'!D542)*1000000+COUNTIF('Detalle individual'!$C$5:$C$1000,"&lt;"&amp;'Detalle individual'!C542)*1000+COUNTIF('Detalle individual'!$B$5:$B$1000,"&lt;"&amp;'Detalle individual'!B542)+ROW()/10000,"")</f>
        <v/>
      </c>
      <c r="AK542" t="str">
        <f>IF(OR('Base Exámenes'!C542="",'Base Exámenes'!D542=""),"",IF(COUNTIF('Base Exámenes'!$C$5:C542,'Base Exámenes'!C542)=1,'Base Exámenes'!D542+ROW()/1000000000,""))</f>
        <v/>
      </c>
      <c r="AL542" t="str">
        <f>IF(OR('Base Exámenes'!C542="",'Base Exámenes'!E542=""),"",IF(COUNTIF('Base Exámenes'!$C$5:C542,'Base Exámenes'!C542)=1,'Base Exámenes'!E542+ROW()/1000000000,""))</f>
        <v/>
      </c>
      <c r="AM542" t="str">
        <f>IF(OR('Base Exámenes'!C542="",'Base Exámenes'!G542=""),"",IF(ROW()-4=MATCH('Base Exámenes'!C542&amp;"|"&amp;_xlfn.MAXIFS('Base Exámenes'!$G$5:$G$1000,'Base Exámenes'!$C$5:$C$1000,'Base Exámenes'!C542),'Base Exámenes'!$I$5:$I$1000,0),'Base Exámenes'!G542*1000000+(-1)*'Base Exámenes'!D542,""))</f>
        <v/>
      </c>
      <c r="AQ542" t="str">
        <f>IF('Base Exámenes'!C542="","",IF(COUNTIF('Base Exámenes'!$C$5:$C$1000,'Base Exámenes'!C542)&lt;2,"",MATCH('Base Exámenes'!C542,'Base Exámenes'!$C$5:$C$1000,0)*10000+ROW()))</f>
        <v/>
      </c>
    </row>
    <row r="543">
      <c r="Z543" t="str">
        <f>IF('Detalle individual'!A543="","",IF(AND(OR('Estado por Colaborador'!$D$4="Todas las gerencias",'Detalle individual'!D543='Estado por Colaborador'!$D$4),OR('Estado por Colaborador'!$D$5="Todos los departamentos",TRIM('Detalle individual'!C543)='Estado por Colaborador'!$D$5),OR('Estado por Colaborador'!$D$6="Todos",'Detalle individual'!F543='Estado por Colaborador'!$D$6)),IF('Detalle individual'!F543="Completado",30000000,IF('Detalle individual'!F543="Pendiente",0,15000000))+COUNTIF('Detalle individual'!$C$5:$C$1000,"&lt;"&amp;'Detalle individual'!C543)*10000+ROW(),""))</f>
        <v/>
      </c>
      <c r="AB543" t="str">
        <f>IF('Detalle individual'!C543="","",IF(COUNTIF('Detalle individual'!$C$5:C543,'Detalle individual'!C543)=1,COUNTIF('Detalle individual'!$C$5:$C$1000,"&lt;"&amp;'Detalle individual'!C543),""))</f>
        <v/>
      </c>
      <c r="AC543" t="str">
        <f>IF('Detalle individual'!D543="","",IF(COUNTIF('Detalle individual'!$D$5:D543,'Detalle individual'!D543)=1,COUNTIF('Detalle individual'!$D$5:$D$1000,"&lt;"&amp;'Detalle individual'!D543),""))</f>
        <v/>
      </c>
      <c r="AH543" t="str">
        <f>IF('Detalle individual'!F543="Pendiente",COUNTIF('Detalle individual'!$D$5:$D$1000,"&lt;"&amp;'Detalle individual'!D543)*1000000+COUNTIF('Detalle individual'!$C$5:$C$1000,"&lt;"&amp;'Detalle individual'!C543)*1000+COUNTIF('Detalle individual'!$B$5:$B$1000,"&lt;"&amp;'Detalle individual'!B543)+ROW()/10000,"")</f>
        <v/>
      </c>
      <c r="AI543" t="str">
        <f>IF('Detalle individual'!F543="Completado",COUNTIF('Detalle individual'!$D$5:$D$1000,"&lt;"&amp;'Detalle individual'!D543)*1000000+COUNTIF('Detalle individual'!$C$5:$C$1000,"&lt;"&amp;'Detalle individual'!C543)*1000+COUNTIF('Detalle individual'!$B$5:$B$1000,"&lt;"&amp;'Detalle individual'!B543)+ROW()/10000,"")</f>
        <v/>
      </c>
      <c r="AJ543" t="str">
        <f>IF(AND('Detalle individual'!F543&lt;&gt;"",'Detalle individual'!F543&lt;&gt;"Completado",'Detalle individual'!F543&lt;&gt;"Pendiente"),COUNTIF('Detalle individual'!$D$5:$D$1000,"&lt;"&amp;'Detalle individual'!D543)*1000000+COUNTIF('Detalle individual'!$C$5:$C$1000,"&lt;"&amp;'Detalle individual'!C543)*1000+COUNTIF('Detalle individual'!$B$5:$B$1000,"&lt;"&amp;'Detalle individual'!B543)+ROW()/10000,"")</f>
        <v/>
      </c>
      <c r="AK543" t="str">
        <f>IF(OR('Base Exámenes'!C543="",'Base Exámenes'!D543=""),"",IF(COUNTIF('Base Exámenes'!$C$5:C543,'Base Exámenes'!C543)=1,'Base Exámenes'!D543+ROW()/1000000000,""))</f>
        <v/>
      </c>
      <c r="AL543" t="str">
        <f>IF(OR('Base Exámenes'!C543="",'Base Exámenes'!E543=""),"",IF(COUNTIF('Base Exámenes'!$C$5:C543,'Base Exámenes'!C543)=1,'Base Exámenes'!E543+ROW()/1000000000,""))</f>
        <v/>
      </c>
      <c r="AM543" t="str">
        <f>IF(OR('Base Exámenes'!C543="",'Base Exámenes'!G543=""),"",IF(ROW()-4=MATCH('Base Exámenes'!C543&amp;"|"&amp;_xlfn.MAXIFS('Base Exámenes'!$G$5:$G$1000,'Base Exámenes'!$C$5:$C$1000,'Base Exámenes'!C543),'Base Exámenes'!$I$5:$I$1000,0),'Base Exámenes'!G543*1000000+(-1)*'Base Exámenes'!D543,""))</f>
        <v/>
      </c>
      <c r="AQ543" t="str">
        <f>IF('Base Exámenes'!C543="","",IF(COUNTIF('Base Exámenes'!$C$5:$C$1000,'Base Exámenes'!C543)&lt;2,"",MATCH('Base Exámenes'!C543,'Base Exámenes'!$C$5:$C$1000,0)*10000+ROW()))</f>
        <v/>
      </c>
    </row>
    <row r="544">
      <c r="Z544" t="str">
        <f>IF('Detalle individual'!A544="","",IF(AND(OR('Estado por Colaborador'!$D$4="Todas las gerencias",'Detalle individual'!D544='Estado por Colaborador'!$D$4),OR('Estado por Colaborador'!$D$5="Todos los departamentos",TRIM('Detalle individual'!C544)='Estado por Colaborador'!$D$5),OR('Estado por Colaborador'!$D$6="Todos",'Detalle individual'!F544='Estado por Colaborador'!$D$6)),IF('Detalle individual'!F544="Completado",30000000,IF('Detalle individual'!F544="Pendiente",0,15000000))+COUNTIF('Detalle individual'!$C$5:$C$1000,"&lt;"&amp;'Detalle individual'!C544)*10000+ROW(),""))</f>
        <v/>
      </c>
      <c r="AB544" t="str">
        <f>IF('Detalle individual'!C544="","",IF(COUNTIF('Detalle individual'!$C$5:C544,'Detalle individual'!C544)=1,COUNTIF('Detalle individual'!$C$5:$C$1000,"&lt;"&amp;'Detalle individual'!C544),""))</f>
        <v/>
      </c>
      <c r="AC544" t="str">
        <f>IF('Detalle individual'!D544="","",IF(COUNTIF('Detalle individual'!$D$5:D544,'Detalle individual'!D544)=1,COUNTIF('Detalle individual'!$D$5:$D$1000,"&lt;"&amp;'Detalle individual'!D544),""))</f>
        <v/>
      </c>
      <c r="AH544" t="str">
        <f>IF('Detalle individual'!F544="Pendiente",COUNTIF('Detalle individual'!$D$5:$D$1000,"&lt;"&amp;'Detalle individual'!D544)*1000000+COUNTIF('Detalle individual'!$C$5:$C$1000,"&lt;"&amp;'Detalle individual'!C544)*1000+COUNTIF('Detalle individual'!$B$5:$B$1000,"&lt;"&amp;'Detalle individual'!B544)+ROW()/10000,"")</f>
        <v/>
      </c>
      <c r="AI544" t="str">
        <f>IF('Detalle individual'!F544="Completado",COUNTIF('Detalle individual'!$D$5:$D$1000,"&lt;"&amp;'Detalle individual'!D544)*1000000+COUNTIF('Detalle individual'!$C$5:$C$1000,"&lt;"&amp;'Detalle individual'!C544)*1000+COUNTIF('Detalle individual'!$B$5:$B$1000,"&lt;"&amp;'Detalle individual'!B544)+ROW()/10000,"")</f>
        <v/>
      </c>
      <c r="AJ544" t="str">
        <f>IF(AND('Detalle individual'!F544&lt;&gt;"",'Detalle individual'!F544&lt;&gt;"Completado",'Detalle individual'!F544&lt;&gt;"Pendiente"),COUNTIF('Detalle individual'!$D$5:$D$1000,"&lt;"&amp;'Detalle individual'!D544)*1000000+COUNTIF('Detalle individual'!$C$5:$C$1000,"&lt;"&amp;'Detalle individual'!C544)*1000+COUNTIF('Detalle individual'!$B$5:$B$1000,"&lt;"&amp;'Detalle individual'!B544)+ROW()/10000,"")</f>
        <v/>
      </c>
      <c r="AK544" t="str">
        <f>IF(OR('Base Exámenes'!C544="",'Base Exámenes'!D544=""),"",IF(COUNTIF('Base Exámenes'!$C$5:C544,'Base Exámenes'!C544)=1,'Base Exámenes'!D544+ROW()/1000000000,""))</f>
        <v/>
      </c>
      <c r="AL544" t="str">
        <f>IF(OR('Base Exámenes'!C544="",'Base Exámenes'!E544=""),"",IF(COUNTIF('Base Exámenes'!$C$5:C544,'Base Exámenes'!C544)=1,'Base Exámenes'!E544+ROW()/1000000000,""))</f>
        <v/>
      </c>
      <c r="AM544" t="str">
        <f>IF(OR('Base Exámenes'!C544="",'Base Exámenes'!G544=""),"",IF(ROW()-4=MATCH('Base Exámenes'!C544&amp;"|"&amp;_xlfn.MAXIFS('Base Exámenes'!$G$5:$G$1000,'Base Exámenes'!$C$5:$C$1000,'Base Exámenes'!C544),'Base Exámenes'!$I$5:$I$1000,0),'Base Exámenes'!G544*1000000+(-1)*'Base Exámenes'!D544,""))</f>
        <v/>
      </c>
      <c r="AQ544" t="str">
        <f>IF('Base Exámenes'!C544="","",IF(COUNTIF('Base Exámenes'!$C$5:$C$1000,'Base Exámenes'!C544)&lt;2,"",MATCH('Base Exámenes'!C544,'Base Exámenes'!$C$5:$C$1000,0)*10000+ROW()))</f>
        <v/>
      </c>
    </row>
    <row r="545">
      <c r="Z545" t="str">
        <f>IF('Detalle individual'!A545="","",IF(AND(OR('Estado por Colaborador'!$D$4="Todas las gerencias",'Detalle individual'!D545='Estado por Colaborador'!$D$4),OR('Estado por Colaborador'!$D$5="Todos los departamentos",TRIM('Detalle individual'!C545)='Estado por Colaborador'!$D$5),OR('Estado por Colaborador'!$D$6="Todos",'Detalle individual'!F545='Estado por Colaborador'!$D$6)),IF('Detalle individual'!F545="Completado",30000000,IF('Detalle individual'!F545="Pendiente",0,15000000))+COUNTIF('Detalle individual'!$C$5:$C$1000,"&lt;"&amp;'Detalle individual'!C545)*10000+ROW(),""))</f>
        <v/>
      </c>
      <c r="AB545" t="str">
        <f>IF('Detalle individual'!C545="","",IF(COUNTIF('Detalle individual'!$C$5:C545,'Detalle individual'!C545)=1,COUNTIF('Detalle individual'!$C$5:$C$1000,"&lt;"&amp;'Detalle individual'!C545),""))</f>
        <v/>
      </c>
      <c r="AC545" t="str">
        <f>IF('Detalle individual'!D545="","",IF(COUNTIF('Detalle individual'!$D$5:D545,'Detalle individual'!D545)=1,COUNTIF('Detalle individual'!$D$5:$D$1000,"&lt;"&amp;'Detalle individual'!D545),""))</f>
        <v/>
      </c>
      <c r="AH545" t="str">
        <f>IF('Detalle individual'!F545="Pendiente",COUNTIF('Detalle individual'!$D$5:$D$1000,"&lt;"&amp;'Detalle individual'!D545)*1000000+COUNTIF('Detalle individual'!$C$5:$C$1000,"&lt;"&amp;'Detalle individual'!C545)*1000+COUNTIF('Detalle individual'!$B$5:$B$1000,"&lt;"&amp;'Detalle individual'!B545)+ROW()/10000,"")</f>
        <v/>
      </c>
      <c r="AI545" t="str">
        <f>IF('Detalle individual'!F545="Completado",COUNTIF('Detalle individual'!$D$5:$D$1000,"&lt;"&amp;'Detalle individual'!D545)*1000000+COUNTIF('Detalle individual'!$C$5:$C$1000,"&lt;"&amp;'Detalle individual'!C545)*1000+COUNTIF('Detalle individual'!$B$5:$B$1000,"&lt;"&amp;'Detalle individual'!B545)+ROW()/10000,"")</f>
        <v/>
      </c>
      <c r="AJ545" t="str">
        <f>IF(AND('Detalle individual'!F545&lt;&gt;"",'Detalle individual'!F545&lt;&gt;"Completado",'Detalle individual'!F545&lt;&gt;"Pendiente"),COUNTIF('Detalle individual'!$D$5:$D$1000,"&lt;"&amp;'Detalle individual'!D545)*1000000+COUNTIF('Detalle individual'!$C$5:$C$1000,"&lt;"&amp;'Detalle individual'!C545)*1000+COUNTIF('Detalle individual'!$B$5:$B$1000,"&lt;"&amp;'Detalle individual'!B545)+ROW()/10000,"")</f>
        <v/>
      </c>
      <c r="AK545" t="str">
        <f>IF(OR('Base Exámenes'!C545="",'Base Exámenes'!D545=""),"",IF(COUNTIF('Base Exámenes'!$C$5:C545,'Base Exámenes'!C545)=1,'Base Exámenes'!D545+ROW()/1000000000,""))</f>
        <v/>
      </c>
      <c r="AL545" t="str">
        <f>IF(OR('Base Exámenes'!C545="",'Base Exámenes'!E545=""),"",IF(COUNTIF('Base Exámenes'!$C$5:C545,'Base Exámenes'!C545)=1,'Base Exámenes'!E545+ROW()/1000000000,""))</f>
        <v/>
      </c>
      <c r="AM545" t="str">
        <f>IF(OR('Base Exámenes'!C545="",'Base Exámenes'!G545=""),"",IF(ROW()-4=MATCH('Base Exámenes'!C545&amp;"|"&amp;_xlfn.MAXIFS('Base Exámenes'!$G$5:$G$1000,'Base Exámenes'!$C$5:$C$1000,'Base Exámenes'!C545),'Base Exámenes'!$I$5:$I$1000,0),'Base Exámenes'!G545*1000000+(-1)*'Base Exámenes'!D545,""))</f>
        <v/>
      </c>
      <c r="AQ545" t="str">
        <f>IF('Base Exámenes'!C545="","",IF(COUNTIF('Base Exámenes'!$C$5:$C$1000,'Base Exámenes'!C545)&lt;2,"",MATCH('Base Exámenes'!C545,'Base Exámenes'!$C$5:$C$1000,0)*10000+ROW()))</f>
        <v/>
      </c>
    </row>
    <row r="546">
      <c r="Z546" t="str">
        <f>IF('Detalle individual'!A546="","",IF(AND(OR('Estado por Colaborador'!$D$4="Todas las gerencias",'Detalle individual'!D546='Estado por Colaborador'!$D$4),OR('Estado por Colaborador'!$D$5="Todos los departamentos",TRIM('Detalle individual'!C546)='Estado por Colaborador'!$D$5),OR('Estado por Colaborador'!$D$6="Todos",'Detalle individual'!F546='Estado por Colaborador'!$D$6)),IF('Detalle individual'!F546="Completado",30000000,IF('Detalle individual'!F546="Pendiente",0,15000000))+COUNTIF('Detalle individual'!$C$5:$C$1000,"&lt;"&amp;'Detalle individual'!C546)*10000+ROW(),""))</f>
        <v/>
      </c>
      <c r="AB546" t="str">
        <f>IF('Detalle individual'!C546="","",IF(COUNTIF('Detalle individual'!$C$5:C546,'Detalle individual'!C546)=1,COUNTIF('Detalle individual'!$C$5:$C$1000,"&lt;"&amp;'Detalle individual'!C546),""))</f>
        <v/>
      </c>
      <c r="AC546" t="str">
        <f>IF('Detalle individual'!D546="","",IF(COUNTIF('Detalle individual'!$D$5:D546,'Detalle individual'!D546)=1,COUNTIF('Detalle individual'!$D$5:$D$1000,"&lt;"&amp;'Detalle individual'!D546),""))</f>
        <v/>
      </c>
      <c r="AH546" t="str">
        <f>IF('Detalle individual'!F546="Pendiente",COUNTIF('Detalle individual'!$D$5:$D$1000,"&lt;"&amp;'Detalle individual'!D546)*1000000+COUNTIF('Detalle individual'!$C$5:$C$1000,"&lt;"&amp;'Detalle individual'!C546)*1000+COUNTIF('Detalle individual'!$B$5:$B$1000,"&lt;"&amp;'Detalle individual'!B546)+ROW()/10000,"")</f>
        <v/>
      </c>
      <c r="AI546" t="str">
        <f>IF('Detalle individual'!F546="Completado",COUNTIF('Detalle individual'!$D$5:$D$1000,"&lt;"&amp;'Detalle individual'!D546)*1000000+COUNTIF('Detalle individual'!$C$5:$C$1000,"&lt;"&amp;'Detalle individual'!C546)*1000+COUNTIF('Detalle individual'!$B$5:$B$1000,"&lt;"&amp;'Detalle individual'!B546)+ROW()/10000,"")</f>
        <v/>
      </c>
      <c r="AJ546" t="str">
        <f>IF(AND('Detalle individual'!F546&lt;&gt;"",'Detalle individual'!F546&lt;&gt;"Completado",'Detalle individual'!F546&lt;&gt;"Pendiente"),COUNTIF('Detalle individual'!$D$5:$D$1000,"&lt;"&amp;'Detalle individual'!D546)*1000000+COUNTIF('Detalle individual'!$C$5:$C$1000,"&lt;"&amp;'Detalle individual'!C546)*1000+COUNTIF('Detalle individual'!$B$5:$B$1000,"&lt;"&amp;'Detalle individual'!B546)+ROW()/10000,"")</f>
        <v/>
      </c>
      <c r="AK546" t="str">
        <f>IF(OR('Base Exámenes'!C546="",'Base Exámenes'!D546=""),"",IF(COUNTIF('Base Exámenes'!$C$5:C546,'Base Exámenes'!C546)=1,'Base Exámenes'!D546+ROW()/1000000000,""))</f>
        <v/>
      </c>
      <c r="AL546" t="str">
        <f>IF(OR('Base Exámenes'!C546="",'Base Exámenes'!E546=""),"",IF(COUNTIF('Base Exámenes'!$C$5:C546,'Base Exámenes'!C546)=1,'Base Exámenes'!E546+ROW()/1000000000,""))</f>
        <v/>
      </c>
      <c r="AM546" t="str">
        <f>IF(OR('Base Exámenes'!C546="",'Base Exámenes'!G546=""),"",IF(ROW()-4=MATCH('Base Exámenes'!C546&amp;"|"&amp;_xlfn.MAXIFS('Base Exámenes'!$G$5:$G$1000,'Base Exámenes'!$C$5:$C$1000,'Base Exámenes'!C546),'Base Exámenes'!$I$5:$I$1000,0),'Base Exámenes'!G546*1000000+(-1)*'Base Exámenes'!D546,""))</f>
        <v/>
      </c>
      <c r="AQ546" t="str">
        <f>IF('Base Exámenes'!C546="","",IF(COUNTIF('Base Exámenes'!$C$5:$C$1000,'Base Exámenes'!C546)&lt;2,"",MATCH('Base Exámenes'!C546,'Base Exámenes'!$C$5:$C$1000,0)*10000+ROW()))</f>
        <v/>
      </c>
    </row>
    <row r="547">
      <c r="Z547" t="str">
        <f>IF('Detalle individual'!A547="","",IF(AND(OR('Estado por Colaborador'!$D$4="Todas las gerencias",'Detalle individual'!D547='Estado por Colaborador'!$D$4),OR('Estado por Colaborador'!$D$5="Todos los departamentos",TRIM('Detalle individual'!C547)='Estado por Colaborador'!$D$5),OR('Estado por Colaborador'!$D$6="Todos",'Detalle individual'!F547='Estado por Colaborador'!$D$6)),IF('Detalle individual'!F547="Completado",30000000,IF('Detalle individual'!F547="Pendiente",0,15000000))+COUNTIF('Detalle individual'!$C$5:$C$1000,"&lt;"&amp;'Detalle individual'!C547)*10000+ROW(),""))</f>
        <v/>
      </c>
      <c r="AB547" t="str">
        <f>IF('Detalle individual'!C547="","",IF(COUNTIF('Detalle individual'!$C$5:C547,'Detalle individual'!C547)=1,COUNTIF('Detalle individual'!$C$5:$C$1000,"&lt;"&amp;'Detalle individual'!C547),""))</f>
        <v/>
      </c>
      <c r="AC547" t="str">
        <f>IF('Detalle individual'!D547="","",IF(COUNTIF('Detalle individual'!$D$5:D547,'Detalle individual'!D547)=1,COUNTIF('Detalle individual'!$D$5:$D$1000,"&lt;"&amp;'Detalle individual'!D547),""))</f>
        <v/>
      </c>
      <c r="AH547" t="str">
        <f>IF('Detalle individual'!F547="Pendiente",COUNTIF('Detalle individual'!$D$5:$D$1000,"&lt;"&amp;'Detalle individual'!D547)*1000000+COUNTIF('Detalle individual'!$C$5:$C$1000,"&lt;"&amp;'Detalle individual'!C547)*1000+COUNTIF('Detalle individual'!$B$5:$B$1000,"&lt;"&amp;'Detalle individual'!B547)+ROW()/10000,"")</f>
        <v/>
      </c>
      <c r="AI547" t="str">
        <f>IF('Detalle individual'!F547="Completado",COUNTIF('Detalle individual'!$D$5:$D$1000,"&lt;"&amp;'Detalle individual'!D547)*1000000+COUNTIF('Detalle individual'!$C$5:$C$1000,"&lt;"&amp;'Detalle individual'!C547)*1000+COUNTIF('Detalle individual'!$B$5:$B$1000,"&lt;"&amp;'Detalle individual'!B547)+ROW()/10000,"")</f>
        <v/>
      </c>
      <c r="AJ547" t="str">
        <f>IF(AND('Detalle individual'!F547&lt;&gt;"",'Detalle individual'!F547&lt;&gt;"Completado",'Detalle individual'!F547&lt;&gt;"Pendiente"),COUNTIF('Detalle individual'!$D$5:$D$1000,"&lt;"&amp;'Detalle individual'!D547)*1000000+COUNTIF('Detalle individual'!$C$5:$C$1000,"&lt;"&amp;'Detalle individual'!C547)*1000+COUNTIF('Detalle individual'!$B$5:$B$1000,"&lt;"&amp;'Detalle individual'!B547)+ROW()/10000,"")</f>
        <v/>
      </c>
      <c r="AK547" t="str">
        <f>IF(OR('Base Exámenes'!C547="",'Base Exámenes'!D547=""),"",IF(COUNTIF('Base Exámenes'!$C$5:C547,'Base Exámenes'!C547)=1,'Base Exámenes'!D547+ROW()/1000000000,""))</f>
        <v/>
      </c>
      <c r="AL547" t="str">
        <f>IF(OR('Base Exámenes'!C547="",'Base Exámenes'!E547=""),"",IF(COUNTIF('Base Exámenes'!$C$5:C547,'Base Exámenes'!C547)=1,'Base Exámenes'!E547+ROW()/1000000000,""))</f>
        <v/>
      </c>
      <c r="AM547" t="str">
        <f>IF(OR('Base Exámenes'!C547="",'Base Exámenes'!G547=""),"",IF(ROW()-4=MATCH('Base Exámenes'!C547&amp;"|"&amp;_xlfn.MAXIFS('Base Exámenes'!$G$5:$G$1000,'Base Exámenes'!$C$5:$C$1000,'Base Exámenes'!C547),'Base Exámenes'!$I$5:$I$1000,0),'Base Exámenes'!G547*1000000+(-1)*'Base Exámenes'!D547,""))</f>
        <v/>
      </c>
      <c r="AQ547" t="str">
        <f>IF('Base Exámenes'!C547="","",IF(COUNTIF('Base Exámenes'!$C$5:$C$1000,'Base Exámenes'!C547)&lt;2,"",MATCH('Base Exámenes'!C547,'Base Exámenes'!$C$5:$C$1000,0)*10000+ROW()))</f>
        <v/>
      </c>
    </row>
    <row r="548">
      <c r="Z548" t="str">
        <f>IF('Detalle individual'!A548="","",IF(AND(OR('Estado por Colaborador'!$D$4="Todas las gerencias",'Detalle individual'!D548='Estado por Colaborador'!$D$4),OR('Estado por Colaborador'!$D$5="Todos los departamentos",TRIM('Detalle individual'!C548)='Estado por Colaborador'!$D$5),OR('Estado por Colaborador'!$D$6="Todos",'Detalle individual'!F548='Estado por Colaborador'!$D$6)),IF('Detalle individual'!F548="Completado",30000000,IF('Detalle individual'!F548="Pendiente",0,15000000))+COUNTIF('Detalle individual'!$C$5:$C$1000,"&lt;"&amp;'Detalle individual'!C548)*10000+ROW(),""))</f>
        <v/>
      </c>
      <c r="AB548" t="str">
        <f>IF('Detalle individual'!C548="","",IF(COUNTIF('Detalle individual'!$C$5:C548,'Detalle individual'!C548)=1,COUNTIF('Detalle individual'!$C$5:$C$1000,"&lt;"&amp;'Detalle individual'!C548),""))</f>
        <v/>
      </c>
      <c r="AC548" t="str">
        <f>IF('Detalle individual'!D548="","",IF(COUNTIF('Detalle individual'!$D$5:D548,'Detalle individual'!D548)=1,COUNTIF('Detalle individual'!$D$5:$D$1000,"&lt;"&amp;'Detalle individual'!D548),""))</f>
        <v/>
      </c>
      <c r="AH548" t="str">
        <f>IF('Detalle individual'!F548="Pendiente",COUNTIF('Detalle individual'!$D$5:$D$1000,"&lt;"&amp;'Detalle individual'!D548)*1000000+COUNTIF('Detalle individual'!$C$5:$C$1000,"&lt;"&amp;'Detalle individual'!C548)*1000+COUNTIF('Detalle individual'!$B$5:$B$1000,"&lt;"&amp;'Detalle individual'!B548)+ROW()/10000,"")</f>
        <v/>
      </c>
      <c r="AI548" t="str">
        <f>IF('Detalle individual'!F548="Completado",COUNTIF('Detalle individual'!$D$5:$D$1000,"&lt;"&amp;'Detalle individual'!D548)*1000000+COUNTIF('Detalle individual'!$C$5:$C$1000,"&lt;"&amp;'Detalle individual'!C548)*1000+COUNTIF('Detalle individual'!$B$5:$B$1000,"&lt;"&amp;'Detalle individual'!B548)+ROW()/10000,"")</f>
        <v/>
      </c>
      <c r="AJ548" t="str">
        <f>IF(AND('Detalle individual'!F548&lt;&gt;"",'Detalle individual'!F548&lt;&gt;"Completado",'Detalle individual'!F548&lt;&gt;"Pendiente"),COUNTIF('Detalle individual'!$D$5:$D$1000,"&lt;"&amp;'Detalle individual'!D548)*1000000+COUNTIF('Detalle individual'!$C$5:$C$1000,"&lt;"&amp;'Detalle individual'!C548)*1000+COUNTIF('Detalle individual'!$B$5:$B$1000,"&lt;"&amp;'Detalle individual'!B548)+ROW()/10000,"")</f>
        <v/>
      </c>
      <c r="AK548" t="str">
        <f>IF(OR('Base Exámenes'!C548="",'Base Exámenes'!D548=""),"",IF(COUNTIF('Base Exámenes'!$C$5:C548,'Base Exámenes'!C548)=1,'Base Exámenes'!D548+ROW()/1000000000,""))</f>
        <v/>
      </c>
      <c r="AL548" t="str">
        <f>IF(OR('Base Exámenes'!C548="",'Base Exámenes'!E548=""),"",IF(COUNTIF('Base Exámenes'!$C$5:C548,'Base Exámenes'!C548)=1,'Base Exámenes'!E548+ROW()/1000000000,""))</f>
        <v/>
      </c>
      <c r="AM548" t="str">
        <f>IF(OR('Base Exámenes'!C548="",'Base Exámenes'!G548=""),"",IF(ROW()-4=MATCH('Base Exámenes'!C548&amp;"|"&amp;_xlfn.MAXIFS('Base Exámenes'!$G$5:$G$1000,'Base Exámenes'!$C$5:$C$1000,'Base Exámenes'!C548),'Base Exámenes'!$I$5:$I$1000,0),'Base Exámenes'!G548*1000000+(-1)*'Base Exámenes'!D548,""))</f>
        <v/>
      </c>
      <c r="AQ548" t="str">
        <f>IF('Base Exámenes'!C548="","",IF(COUNTIF('Base Exámenes'!$C$5:$C$1000,'Base Exámenes'!C548)&lt;2,"",MATCH('Base Exámenes'!C548,'Base Exámenes'!$C$5:$C$1000,0)*10000+ROW()))</f>
        <v/>
      </c>
    </row>
    <row r="549">
      <c r="Z549" t="str">
        <f>IF('Detalle individual'!A549="","",IF(AND(OR('Estado por Colaborador'!$D$4="Todas las gerencias",'Detalle individual'!D549='Estado por Colaborador'!$D$4),OR('Estado por Colaborador'!$D$5="Todos los departamentos",TRIM('Detalle individual'!C549)='Estado por Colaborador'!$D$5),OR('Estado por Colaborador'!$D$6="Todos",'Detalle individual'!F549='Estado por Colaborador'!$D$6)),IF('Detalle individual'!F549="Completado",30000000,IF('Detalle individual'!F549="Pendiente",0,15000000))+COUNTIF('Detalle individual'!$C$5:$C$1000,"&lt;"&amp;'Detalle individual'!C549)*10000+ROW(),""))</f>
        <v/>
      </c>
      <c r="AB549" t="str">
        <f>IF('Detalle individual'!C549="","",IF(COUNTIF('Detalle individual'!$C$5:C549,'Detalle individual'!C549)=1,COUNTIF('Detalle individual'!$C$5:$C$1000,"&lt;"&amp;'Detalle individual'!C549),""))</f>
        <v/>
      </c>
      <c r="AC549" t="str">
        <f>IF('Detalle individual'!D549="","",IF(COUNTIF('Detalle individual'!$D$5:D549,'Detalle individual'!D549)=1,COUNTIF('Detalle individual'!$D$5:$D$1000,"&lt;"&amp;'Detalle individual'!D549),""))</f>
        <v/>
      </c>
      <c r="AH549" t="str">
        <f>IF('Detalle individual'!F549="Pendiente",COUNTIF('Detalle individual'!$D$5:$D$1000,"&lt;"&amp;'Detalle individual'!D549)*1000000+COUNTIF('Detalle individual'!$C$5:$C$1000,"&lt;"&amp;'Detalle individual'!C549)*1000+COUNTIF('Detalle individual'!$B$5:$B$1000,"&lt;"&amp;'Detalle individual'!B549)+ROW()/10000,"")</f>
        <v/>
      </c>
      <c r="AI549" t="str">
        <f>IF('Detalle individual'!F549="Completado",COUNTIF('Detalle individual'!$D$5:$D$1000,"&lt;"&amp;'Detalle individual'!D549)*1000000+COUNTIF('Detalle individual'!$C$5:$C$1000,"&lt;"&amp;'Detalle individual'!C549)*1000+COUNTIF('Detalle individual'!$B$5:$B$1000,"&lt;"&amp;'Detalle individual'!B549)+ROW()/10000,"")</f>
        <v/>
      </c>
      <c r="AJ549" t="str">
        <f>IF(AND('Detalle individual'!F549&lt;&gt;"",'Detalle individual'!F549&lt;&gt;"Completado",'Detalle individual'!F549&lt;&gt;"Pendiente"),COUNTIF('Detalle individual'!$D$5:$D$1000,"&lt;"&amp;'Detalle individual'!D549)*1000000+COUNTIF('Detalle individual'!$C$5:$C$1000,"&lt;"&amp;'Detalle individual'!C549)*1000+COUNTIF('Detalle individual'!$B$5:$B$1000,"&lt;"&amp;'Detalle individual'!B549)+ROW()/10000,"")</f>
        <v/>
      </c>
      <c r="AK549" t="str">
        <f>IF(OR('Base Exámenes'!C549="",'Base Exámenes'!D549=""),"",IF(COUNTIF('Base Exámenes'!$C$5:C549,'Base Exámenes'!C549)=1,'Base Exámenes'!D549+ROW()/1000000000,""))</f>
        <v/>
      </c>
      <c r="AL549" t="str">
        <f>IF(OR('Base Exámenes'!C549="",'Base Exámenes'!E549=""),"",IF(COUNTIF('Base Exámenes'!$C$5:C549,'Base Exámenes'!C549)=1,'Base Exámenes'!E549+ROW()/1000000000,""))</f>
        <v/>
      </c>
      <c r="AM549" t="str">
        <f>IF(OR('Base Exámenes'!C549="",'Base Exámenes'!G549=""),"",IF(ROW()-4=MATCH('Base Exámenes'!C549&amp;"|"&amp;_xlfn.MAXIFS('Base Exámenes'!$G$5:$G$1000,'Base Exámenes'!$C$5:$C$1000,'Base Exámenes'!C549),'Base Exámenes'!$I$5:$I$1000,0),'Base Exámenes'!G549*1000000+(-1)*'Base Exámenes'!D549,""))</f>
        <v/>
      </c>
      <c r="AQ549" t="str">
        <f>IF('Base Exámenes'!C549="","",IF(COUNTIF('Base Exámenes'!$C$5:$C$1000,'Base Exámenes'!C549)&lt;2,"",MATCH('Base Exámenes'!C549,'Base Exámenes'!$C$5:$C$1000,0)*10000+ROW()))</f>
        <v/>
      </c>
    </row>
    <row r="550">
      <c r="Z550" t="str">
        <f>IF('Detalle individual'!A550="","",IF(AND(OR('Estado por Colaborador'!$D$4="Todas las gerencias",'Detalle individual'!D550='Estado por Colaborador'!$D$4),OR('Estado por Colaborador'!$D$5="Todos los departamentos",TRIM('Detalle individual'!C550)='Estado por Colaborador'!$D$5),OR('Estado por Colaborador'!$D$6="Todos",'Detalle individual'!F550='Estado por Colaborador'!$D$6)),IF('Detalle individual'!F550="Completado",30000000,IF('Detalle individual'!F550="Pendiente",0,15000000))+COUNTIF('Detalle individual'!$C$5:$C$1000,"&lt;"&amp;'Detalle individual'!C550)*10000+ROW(),""))</f>
        <v/>
      </c>
      <c r="AB550" t="str">
        <f>IF('Detalle individual'!C550="","",IF(COUNTIF('Detalle individual'!$C$5:C550,'Detalle individual'!C550)=1,COUNTIF('Detalle individual'!$C$5:$C$1000,"&lt;"&amp;'Detalle individual'!C550),""))</f>
        <v/>
      </c>
      <c r="AC550" t="str">
        <f>IF('Detalle individual'!D550="","",IF(COUNTIF('Detalle individual'!$D$5:D550,'Detalle individual'!D550)=1,COUNTIF('Detalle individual'!$D$5:$D$1000,"&lt;"&amp;'Detalle individual'!D550),""))</f>
        <v/>
      </c>
      <c r="AH550" t="str">
        <f>IF('Detalle individual'!F550="Pendiente",COUNTIF('Detalle individual'!$D$5:$D$1000,"&lt;"&amp;'Detalle individual'!D550)*1000000+COUNTIF('Detalle individual'!$C$5:$C$1000,"&lt;"&amp;'Detalle individual'!C550)*1000+COUNTIF('Detalle individual'!$B$5:$B$1000,"&lt;"&amp;'Detalle individual'!B550)+ROW()/10000,"")</f>
        <v/>
      </c>
      <c r="AI550" t="str">
        <f>IF('Detalle individual'!F550="Completado",COUNTIF('Detalle individual'!$D$5:$D$1000,"&lt;"&amp;'Detalle individual'!D550)*1000000+COUNTIF('Detalle individual'!$C$5:$C$1000,"&lt;"&amp;'Detalle individual'!C550)*1000+COUNTIF('Detalle individual'!$B$5:$B$1000,"&lt;"&amp;'Detalle individual'!B550)+ROW()/10000,"")</f>
        <v/>
      </c>
      <c r="AJ550" t="str">
        <f>IF(AND('Detalle individual'!F550&lt;&gt;"",'Detalle individual'!F550&lt;&gt;"Completado",'Detalle individual'!F550&lt;&gt;"Pendiente"),COUNTIF('Detalle individual'!$D$5:$D$1000,"&lt;"&amp;'Detalle individual'!D550)*1000000+COUNTIF('Detalle individual'!$C$5:$C$1000,"&lt;"&amp;'Detalle individual'!C550)*1000+COUNTIF('Detalle individual'!$B$5:$B$1000,"&lt;"&amp;'Detalle individual'!B550)+ROW()/10000,"")</f>
        <v/>
      </c>
      <c r="AK550" t="str">
        <f>IF(OR('Base Exámenes'!C550="",'Base Exámenes'!D550=""),"",IF(COUNTIF('Base Exámenes'!$C$5:C550,'Base Exámenes'!C550)=1,'Base Exámenes'!D550+ROW()/1000000000,""))</f>
        <v/>
      </c>
      <c r="AL550" t="str">
        <f>IF(OR('Base Exámenes'!C550="",'Base Exámenes'!E550=""),"",IF(COUNTIF('Base Exámenes'!$C$5:C550,'Base Exámenes'!C550)=1,'Base Exámenes'!E550+ROW()/1000000000,""))</f>
        <v/>
      </c>
      <c r="AM550" t="str">
        <f>IF(OR('Base Exámenes'!C550="",'Base Exámenes'!G550=""),"",IF(ROW()-4=MATCH('Base Exámenes'!C550&amp;"|"&amp;_xlfn.MAXIFS('Base Exámenes'!$G$5:$G$1000,'Base Exámenes'!$C$5:$C$1000,'Base Exámenes'!C550),'Base Exámenes'!$I$5:$I$1000,0),'Base Exámenes'!G550*1000000+(-1)*'Base Exámenes'!D550,""))</f>
        <v/>
      </c>
      <c r="AQ550" t="str">
        <f>IF('Base Exámenes'!C550="","",IF(COUNTIF('Base Exámenes'!$C$5:$C$1000,'Base Exámenes'!C550)&lt;2,"",MATCH('Base Exámenes'!C550,'Base Exámenes'!$C$5:$C$1000,0)*10000+ROW()))</f>
        <v/>
      </c>
    </row>
    <row r="551">
      <c r="Z551" t="str">
        <f>IF('Detalle individual'!A551="","",IF(AND(OR('Estado por Colaborador'!$D$4="Todas las gerencias",'Detalle individual'!D551='Estado por Colaborador'!$D$4),OR('Estado por Colaborador'!$D$5="Todos los departamentos",TRIM('Detalle individual'!C551)='Estado por Colaborador'!$D$5),OR('Estado por Colaborador'!$D$6="Todos",'Detalle individual'!F551='Estado por Colaborador'!$D$6)),IF('Detalle individual'!F551="Completado",30000000,IF('Detalle individual'!F551="Pendiente",0,15000000))+COUNTIF('Detalle individual'!$C$5:$C$1000,"&lt;"&amp;'Detalle individual'!C551)*10000+ROW(),""))</f>
        <v/>
      </c>
      <c r="AB551" t="str">
        <f>IF('Detalle individual'!C551="","",IF(COUNTIF('Detalle individual'!$C$5:C551,'Detalle individual'!C551)=1,COUNTIF('Detalle individual'!$C$5:$C$1000,"&lt;"&amp;'Detalle individual'!C551),""))</f>
        <v/>
      </c>
      <c r="AC551" t="str">
        <f>IF('Detalle individual'!D551="","",IF(COUNTIF('Detalle individual'!$D$5:D551,'Detalle individual'!D551)=1,COUNTIF('Detalle individual'!$D$5:$D$1000,"&lt;"&amp;'Detalle individual'!D551),""))</f>
        <v/>
      </c>
      <c r="AH551" t="str">
        <f>IF('Detalle individual'!F551="Pendiente",COUNTIF('Detalle individual'!$D$5:$D$1000,"&lt;"&amp;'Detalle individual'!D551)*1000000+COUNTIF('Detalle individual'!$C$5:$C$1000,"&lt;"&amp;'Detalle individual'!C551)*1000+COUNTIF('Detalle individual'!$B$5:$B$1000,"&lt;"&amp;'Detalle individual'!B551)+ROW()/10000,"")</f>
        <v/>
      </c>
      <c r="AI551" t="str">
        <f>IF('Detalle individual'!F551="Completado",COUNTIF('Detalle individual'!$D$5:$D$1000,"&lt;"&amp;'Detalle individual'!D551)*1000000+COUNTIF('Detalle individual'!$C$5:$C$1000,"&lt;"&amp;'Detalle individual'!C551)*1000+COUNTIF('Detalle individual'!$B$5:$B$1000,"&lt;"&amp;'Detalle individual'!B551)+ROW()/10000,"")</f>
        <v/>
      </c>
      <c r="AJ551" t="str">
        <f>IF(AND('Detalle individual'!F551&lt;&gt;"",'Detalle individual'!F551&lt;&gt;"Completado",'Detalle individual'!F551&lt;&gt;"Pendiente"),COUNTIF('Detalle individual'!$D$5:$D$1000,"&lt;"&amp;'Detalle individual'!D551)*1000000+COUNTIF('Detalle individual'!$C$5:$C$1000,"&lt;"&amp;'Detalle individual'!C551)*1000+COUNTIF('Detalle individual'!$B$5:$B$1000,"&lt;"&amp;'Detalle individual'!B551)+ROW()/10000,"")</f>
        <v/>
      </c>
      <c r="AK551" t="str">
        <f>IF(OR('Base Exámenes'!C551="",'Base Exámenes'!D551=""),"",IF(COUNTIF('Base Exámenes'!$C$5:C551,'Base Exámenes'!C551)=1,'Base Exámenes'!D551+ROW()/1000000000,""))</f>
        <v/>
      </c>
      <c r="AL551" t="str">
        <f>IF(OR('Base Exámenes'!C551="",'Base Exámenes'!E551=""),"",IF(COUNTIF('Base Exámenes'!$C$5:C551,'Base Exámenes'!C551)=1,'Base Exámenes'!E551+ROW()/1000000000,""))</f>
        <v/>
      </c>
      <c r="AM551" t="str">
        <f>IF(OR('Base Exámenes'!C551="",'Base Exámenes'!G551=""),"",IF(ROW()-4=MATCH('Base Exámenes'!C551&amp;"|"&amp;_xlfn.MAXIFS('Base Exámenes'!$G$5:$G$1000,'Base Exámenes'!$C$5:$C$1000,'Base Exámenes'!C551),'Base Exámenes'!$I$5:$I$1000,0),'Base Exámenes'!G551*1000000+(-1)*'Base Exámenes'!D551,""))</f>
        <v/>
      </c>
      <c r="AQ551" t="str">
        <f>IF('Base Exámenes'!C551="","",IF(COUNTIF('Base Exámenes'!$C$5:$C$1000,'Base Exámenes'!C551)&lt;2,"",MATCH('Base Exámenes'!C551,'Base Exámenes'!$C$5:$C$1000,0)*10000+ROW()))</f>
        <v/>
      </c>
    </row>
    <row r="552">
      <c r="Z552" t="str">
        <f>IF('Detalle individual'!A552="","",IF(AND(OR('Estado por Colaborador'!$D$4="Todas las gerencias",'Detalle individual'!D552='Estado por Colaborador'!$D$4),OR('Estado por Colaborador'!$D$5="Todos los departamentos",TRIM('Detalle individual'!C552)='Estado por Colaborador'!$D$5),OR('Estado por Colaborador'!$D$6="Todos",'Detalle individual'!F552='Estado por Colaborador'!$D$6)),IF('Detalle individual'!F552="Completado",30000000,IF('Detalle individual'!F552="Pendiente",0,15000000))+COUNTIF('Detalle individual'!$C$5:$C$1000,"&lt;"&amp;'Detalle individual'!C552)*10000+ROW(),""))</f>
        <v/>
      </c>
      <c r="AB552" t="str">
        <f>IF('Detalle individual'!C552="","",IF(COUNTIF('Detalle individual'!$C$5:C552,'Detalle individual'!C552)=1,COUNTIF('Detalle individual'!$C$5:$C$1000,"&lt;"&amp;'Detalle individual'!C552),""))</f>
        <v/>
      </c>
      <c r="AC552" t="str">
        <f>IF('Detalle individual'!D552="","",IF(COUNTIF('Detalle individual'!$D$5:D552,'Detalle individual'!D552)=1,COUNTIF('Detalle individual'!$D$5:$D$1000,"&lt;"&amp;'Detalle individual'!D552),""))</f>
        <v/>
      </c>
      <c r="AH552" t="str">
        <f>IF('Detalle individual'!F552="Pendiente",COUNTIF('Detalle individual'!$D$5:$D$1000,"&lt;"&amp;'Detalle individual'!D552)*1000000+COUNTIF('Detalle individual'!$C$5:$C$1000,"&lt;"&amp;'Detalle individual'!C552)*1000+COUNTIF('Detalle individual'!$B$5:$B$1000,"&lt;"&amp;'Detalle individual'!B552)+ROW()/10000,"")</f>
        <v/>
      </c>
      <c r="AI552" t="str">
        <f>IF('Detalle individual'!F552="Completado",COUNTIF('Detalle individual'!$D$5:$D$1000,"&lt;"&amp;'Detalle individual'!D552)*1000000+COUNTIF('Detalle individual'!$C$5:$C$1000,"&lt;"&amp;'Detalle individual'!C552)*1000+COUNTIF('Detalle individual'!$B$5:$B$1000,"&lt;"&amp;'Detalle individual'!B552)+ROW()/10000,"")</f>
        <v/>
      </c>
      <c r="AJ552" t="str">
        <f>IF(AND('Detalle individual'!F552&lt;&gt;"",'Detalle individual'!F552&lt;&gt;"Completado",'Detalle individual'!F552&lt;&gt;"Pendiente"),COUNTIF('Detalle individual'!$D$5:$D$1000,"&lt;"&amp;'Detalle individual'!D552)*1000000+COUNTIF('Detalle individual'!$C$5:$C$1000,"&lt;"&amp;'Detalle individual'!C552)*1000+COUNTIF('Detalle individual'!$B$5:$B$1000,"&lt;"&amp;'Detalle individual'!B552)+ROW()/10000,"")</f>
        <v/>
      </c>
      <c r="AK552" t="str">
        <f>IF(OR('Base Exámenes'!C552="",'Base Exámenes'!D552=""),"",IF(COUNTIF('Base Exámenes'!$C$5:C552,'Base Exámenes'!C552)=1,'Base Exámenes'!D552+ROW()/1000000000,""))</f>
        <v/>
      </c>
      <c r="AL552" t="str">
        <f>IF(OR('Base Exámenes'!C552="",'Base Exámenes'!E552=""),"",IF(COUNTIF('Base Exámenes'!$C$5:C552,'Base Exámenes'!C552)=1,'Base Exámenes'!E552+ROW()/1000000000,""))</f>
        <v/>
      </c>
      <c r="AM552" t="str">
        <f>IF(OR('Base Exámenes'!C552="",'Base Exámenes'!G552=""),"",IF(ROW()-4=MATCH('Base Exámenes'!C552&amp;"|"&amp;_xlfn.MAXIFS('Base Exámenes'!$G$5:$G$1000,'Base Exámenes'!$C$5:$C$1000,'Base Exámenes'!C552),'Base Exámenes'!$I$5:$I$1000,0),'Base Exámenes'!G552*1000000+(-1)*'Base Exámenes'!D552,""))</f>
        <v/>
      </c>
      <c r="AQ552" t="str">
        <f>IF('Base Exámenes'!C552="","",IF(COUNTIF('Base Exámenes'!$C$5:$C$1000,'Base Exámenes'!C552)&lt;2,"",MATCH('Base Exámenes'!C552,'Base Exámenes'!$C$5:$C$1000,0)*10000+ROW()))</f>
        <v/>
      </c>
    </row>
    <row r="553">
      <c r="Z553" t="str">
        <f>IF('Detalle individual'!A553="","",IF(AND(OR('Estado por Colaborador'!$D$4="Todas las gerencias",'Detalle individual'!D553='Estado por Colaborador'!$D$4),OR('Estado por Colaborador'!$D$5="Todos los departamentos",TRIM('Detalle individual'!C553)='Estado por Colaborador'!$D$5),OR('Estado por Colaborador'!$D$6="Todos",'Detalle individual'!F553='Estado por Colaborador'!$D$6)),IF('Detalle individual'!F553="Completado",30000000,IF('Detalle individual'!F553="Pendiente",0,15000000))+COUNTIF('Detalle individual'!$C$5:$C$1000,"&lt;"&amp;'Detalle individual'!C553)*10000+ROW(),""))</f>
        <v/>
      </c>
      <c r="AB553" t="str">
        <f>IF('Detalle individual'!C553="","",IF(COUNTIF('Detalle individual'!$C$5:C553,'Detalle individual'!C553)=1,COUNTIF('Detalle individual'!$C$5:$C$1000,"&lt;"&amp;'Detalle individual'!C553),""))</f>
        <v/>
      </c>
      <c r="AC553" t="str">
        <f>IF('Detalle individual'!D553="","",IF(COUNTIF('Detalle individual'!$D$5:D553,'Detalle individual'!D553)=1,COUNTIF('Detalle individual'!$D$5:$D$1000,"&lt;"&amp;'Detalle individual'!D553),""))</f>
        <v/>
      </c>
      <c r="AH553" t="str">
        <f>IF('Detalle individual'!F553="Pendiente",COUNTIF('Detalle individual'!$D$5:$D$1000,"&lt;"&amp;'Detalle individual'!D553)*1000000+COUNTIF('Detalle individual'!$C$5:$C$1000,"&lt;"&amp;'Detalle individual'!C553)*1000+COUNTIF('Detalle individual'!$B$5:$B$1000,"&lt;"&amp;'Detalle individual'!B553)+ROW()/10000,"")</f>
        <v/>
      </c>
      <c r="AI553" t="str">
        <f>IF('Detalle individual'!F553="Completado",COUNTIF('Detalle individual'!$D$5:$D$1000,"&lt;"&amp;'Detalle individual'!D553)*1000000+COUNTIF('Detalle individual'!$C$5:$C$1000,"&lt;"&amp;'Detalle individual'!C553)*1000+COUNTIF('Detalle individual'!$B$5:$B$1000,"&lt;"&amp;'Detalle individual'!B553)+ROW()/10000,"")</f>
        <v/>
      </c>
      <c r="AJ553" t="str">
        <f>IF(AND('Detalle individual'!F553&lt;&gt;"",'Detalle individual'!F553&lt;&gt;"Completado",'Detalle individual'!F553&lt;&gt;"Pendiente"),COUNTIF('Detalle individual'!$D$5:$D$1000,"&lt;"&amp;'Detalle individual'!D553)*1000000+COUNTIF('Detalle individual'!$C$5:$C$1000,"&lt;"&amp;'Detalle individual'!C553)*1000+COUNTIF('Detalle individual'!$B$5:$B$1000,"&lt;"&amp;'Detalle individual'!B553)+ROW()/10000,"")</f>
        <v/>
      </c>
      <c r="AK553" t="str">
        <f>IF(OR('Base Exámenes'!C553="",'Base Exámenes'!D553=""),"",IF(COUNTIF('Base Exámenes'!$C$5:C553,'Base Exámenes'!C553)=1,'Base Exámenes'!D553+ROW()/1000000000,""))</f>
        <v/>
      </c>
      <c r="AL553" t="str">
        <f>IF(OR('Base Exámenes'!C553="",'Base Exámenes'!E553=""),"",IF(COUNTIF('Base Exámenes'!$C$5:C553,'Base Exámenes'!C553)=1,'Base Exámenes'!E553+ROW()/1000000000,""))</f>
        <v/>
      </c>
      <c r="AM553" t="str">
        <f>IF(OR('Base Exámenes'!C553="",'Base Exámenes'!G553=""),"",IF(ROW()-4=MATCH('Base Exámenes'!C553&amp;"|"&amp;_xlfn.MAXIFS('Base Exámenes'!$G$5:$G$1000,'Base Exámenes'!$C$5:$C$1000,'Base Exámenes'!C553),'Base Exámenes'!$I$5:$I$1000,0),'Base Exámenes'!G553*1000000+(-1)*'Base Exámenes'!D553,""))</f>
        <v/>
      </c>
      <c r="AQ553" t="str">
        <f>IF('Base Exámenes'!C553="","",IF(COUNTIF('Base Exámenes'!$C$5:$C$1000,'Base Exámenes'!C553)&lt;2,"",MATCH('Base Exámenes'!C553,'Base Exámenes'!$C$5:$C$1000,0)*10000+ROW()))</f>
        <v/>
      </c>
    </row>
    <row r="554">
      <c r="Z554" t="str">
        <f>IF('Detalle individual'!A554="","",IF(AND(OR('Estado por Colaborador'!$D$4="Todas las gerencias",'Detalle individual'!D554='Estado por Colaborador'!$D$4),OR('Estado por Colaborador'!$D$5="Todos los departamentos",TRIM('Detalle individual'!C554)='Estado por Colaborador'!$D$5),OR('Estado por Colaborador'!$D$6="Todos",'Detalle individual'!F554='Estado por Colaborador'!$D$6)),IF('Detalle individual'!F554="Completado",30000000,IF('Detalle individual'!F554="Pendiente",0,15000000))+COUNTIF('Detalle individual'!$C$5:$C$1000,"&lt;"&amp;'Detalle individual'!C554)*10000+ROW(),""))</f>
        <v/>
      </c>
      <c r="AB554" t="str">
        <f>IF('Detalle individual'!C554="","",IF(COUNTIF('Detalle individual'!$C$5:C554,'Detalle individual'!C554)=1,COUNTIF('Detalle individual'!$C$5:$C$1000,"&lt;"&amp;'Detalle individual'!C554),""))</f>
        <v/>
      </c>
      <c r="AC554" t="str">
        <f>IF('Detalle individual'!D554="","",IF(COUNTIF('Detalle individual'!$D$5:D554,'Detalle individual'!D554)=1,COUNTIF('Detalle individual'!$D$5:$D$1000,"&lt;"&amp;'Detalle individual'!D554),""))</f>
        <v/>
      </c>
      <c r="AH554" t="str">
        <f>IF('Detalle individual'!F554="Pendiente",COUNTIF('Detalle individual'!$D$5:$D$1000,"&lt;"&amp;'Detalle individual'!D554)*1000000+COUNTIF('Detalle individual'!$C$5:$C$1000,"&lt;"&amp;'Detalle individual'!C554)*1000+COUNTIF('Detalle individual'!$B$5:$B$1000,"&lt;"&amp;'Detalle individual'!B554)+ROW()/10000,"")</f>
        <v/>
      </c>
      <c r="AI554" t="str">
        <f>IF('Detalle individual'!F554="Completado",COUNTIF('Detalle individual'!$D$5:$D$1000,"&lt;"&amp;'Detalle individual'!D554)*1000000+COUNTIF('Detalle individual'!$C$5:$C$1000,"&lt;"&amp;'Detalle individual'!C554)*1000+COUNTIF('Detalle individual'!$B$5:$B$1000,"&lt;"&amp;'Detalle individual'!B554)+ROW()/10000,"")</f>
        <v/>
      </c>
      <c r="AJ554" t="str">
        <f>IF(AND('Detalle individual'!F554&lt;&gt;"",'Detalle individual'!F554&lt;&gt;"Completado",'Detalle individual'!F554&lt;&gt;"Pendiente"),COUNTIF('Detalle individual'!$D$5:$D$1000,"&lt;"&amp;'Detalle individual'!D554)*1000000+COUNTIF('Detalle individual'!$C$5:$C$1000,"&lt;"&amp;'Detalle individual'!C554)*1000+COUNTIF('Detalle individual'!$B$5:$B$1000,"&lt;"&amp;'Detalle individual'!B554)+ROW()/10000,"")</f>
        <v/>
      </c>
      <c r="AK554" t="str">
        <f>IF(OR('Base Exámenes'!C554="",'Base Exámenes'!D554=""),"",IF(COUNTIF('Base Exámenes'!$C$5:C554,'Base Exámenes'!C554)=1,'Base Exámenes'!D554+ROW()/1000000000,""))</f>
        <v/>
      </c>
      <c r="AL554" t="str">
        <f>IF(OR('Base Exámenes'!C554="",'Base Exámenes'!E554=""),"",IF(COUNTIF('Base Exámenes'!$C$5:C554,'Base Exámenes'!C554)=1,'Base Exámenes'!E554+ROW()/1000000000,""))</f>
        <v/>
      </c>
      <c r="AM554" t="str">
        <f>IF(OR('Base Exámenes'!C554="",'Base Exámenes'!G554=""),"",IF(ROW()-4=MATCH('Base Exámenes'!C554&amp;"|"&amp;_xlfn.MAXIFS('Base Exámenes'!$G$5:$G$1000,'Base Exámenes'!$C$5:$C$1000,'Base Exámenes'!C554),'Base Exámenes'!$I$5:$I$1000,0),'Base Exámenes'!G554*1000000+(-1)*'Base Exámenes'!D554,""))</f>
        <v/>
      </c>
      <c r="AQ554" t="str">
        <f>IF('Base Exámenes'!C554="","",IF(COUNTIF('Base Exámenes'!$C$5:$C$1000,'Base Exámenes'!C554)&lt;2,"",MATCH('Base Exámenes'!C554,'Base Exámenes'!$C$5:$C$1000,0)*10000+ROW()))</f>
        <v/>
      </c>
    </row>
    <row r="555">
      <c r="Z555" t="str">
        <f>IF('Detalle individual'!A555="","",IF(AND(OR('Estado por Colaborador'!$D$4="Todas las gerencias",'Detalle individual'!D555='Estado por Colaborador'!$D$4),OR('Estado por Colaborador'!$D$5="Todos los departamentos",TRIM('Detalle individual'!C555)='Estado por Colaborador'!$D$5),OR('Estado por Colaborador'!$D$6="Todos",'Detalle individual'!F555='Estado por Colaborador'!$D$6)),IF('Detalle individual'!F555="Completado",30000000,IF('Detalle individual'!F555="Pendiente",0,15000000))+COUNTIF('Detalle individual'!$C$5:$C$1000,"&lt;"&amp;'Detalle individual'!C555)*10000+ROW(),""))</f>
        <v/>
      </c>
      <c r="AB555" t="str">
        <f>IF('Detalle individual'!C555="","",IF(COUNTIF('Detalle individual'!$C$5:C555,'Detalle individual'!C555)=1,COUNTIF('Detalle individual'!$C$5:$C$1000,"&lt;"&amp;'Detalle individual'!C555),""))</f>
        <v/>
      </c>
      <c r="AC555" t="str">
        <f>IF('Detalle individual'!D555="","",IF(COUNTIF('Detalle individual'!$D$5:D555,'Detalle individual'!D555)=1,COUNTIF('Detalle individual'!$D$5:$D$1000,"&lt;"&amp;'Detalle individual'!D555),""))</f>
        <v/>
      </c>
      <c r="AH555" t="str">
        <f>IF('Detalle individual'!F555="Pendiente",COUNTIF('Detalle individual'!$D$5:$D$1000,"&lt;"&amp;'Detalle individual'!D555)*1000000+COUNTIF('Detalle individual'!$C$5:$C$1000,"&lt;"&amp;'Detalle individual'!C555)*1000+COUNTIF('Detalle individual'!$B$5:$B$1000,"&lt;"&amp;'Detalle individual'!B555)+ROW()/10000,"")</f>
        <v/>
      </c>
      <c r="AI555" t="str">
        <f>IF('Detalle individual'!F555="Completado",COUNTIF('Detalle individual'!$D$5:$D$1000,"&lt;"&amp;'Detalle individual'!D555)*1000000+COUNTIF('Detalle individual'!$C$5:$C$1000,"&lt;"&amp;'Detalle individual'!C555)*1000+COUNTIF('Detalle individual'!$B$5:$B$1000,"&lt;"&amp;'Detalle individual'!B555)+ROW()/10000,"")</f>
        <v/>
      </c>
      <c r="AJ555" t="str">
        <f>IF(AND('Detalle individual'!F555&lt;&gt;"",'Detalle individual'!F555&lt;&gt;"Completado",'Detalle individual'!F555&lt;&gt;"Pendiente"),COUNTIF('Detalle individual'!$D$5:$D$1000,"&lt;"&amp;'Detalle individual'!D555)*1000000+COUNTIF('Detalle individual'!$C$5:$C$1000,"&lt;"&amp;'Detalle individual'!C555)*1000+COUNTIF('Detalle individual'!$B$5:$B$1000,"&lt;"&amp;'Detalle individual'!B555)+ROW()/10000,"")</f>
        <v/>
      </c>
      <c r="AK555" t="str">
        <f>IF(OR('Base Exámenes'!C555="",'Base Exámenes'!D555=""),"",IF(COUNTIF('Base Exámenes'!$C$5:C555,'Base Exámenes'!C555)=1,'Base Exámenes'!D555+ROW()/1000000000,""))</f>
        <v/>
      </c>
      <c r="AL555" t="str">
        <f>IF(OR('Base Exámenes'!C555="",'Base Exámenes'!E555=""),"",IF(COUNTIF('Base Exámenes'!$C$5:C555,'Base Exámenes'!C555)=1,'Base Exámenes'!E555+ROW()/1000000000,""))</f>
        <v/>
      </c>
      <c r="AM555" t="str">
        <f>IF(OR('Base Exámenes'!C555="",'Base Exámenes'!G555=""),"",IF(ROW()-4=MATCH('Base Exámenes'!C555&amp;"|"&amp;_xlfn.MAXIFS('Base Exámenes'!$G$5:$G$1000,'Base Exámenes'!$C$5:$C$1000,'Base Exámenes'!C555),'Base Exámenes'!$I$5:$I$1000,0),'Base Exámenes'!G555*1000000+(-1)*'Base Exámenes'!D555,""))</f>
        <v/>
      </c>
      <c r="AQ555" t="str">
        <f>IF('Base Exámenes'!C555="","",IF(COUNTIF('Base Exámenes'!$C$5:$C$1000,'Base Exámenes'!C555)&lt;2,"",MATCH('Base Exámenes'!C555,'Base Exámenes'!$C$5:$C$1000,0)*10000+ROW()))</f>
        <v/>
      </c>
    </row>
    <row r="556">
      <c r="Z556" t="str">
        <f>IF('Detalle individual'!A556="","",IF(AND(OR('Estado por Colaborador'!$D$4="Todas las gerencias",'Detalle individual'!D556='Estado por Colaborador'!$D$4),OR('Estado por Colaborador'!$D$5="Todos los departamentos",TRIM('Detalle individual'!C556)='Estado por Colaborador'!$D$5),OR('Estado por Colaborador'!$D$6="Todos",'Detalle individual'!F556='Estado por Colaborador'!$D$6)),IF('Detalle individual'!F556="Completado",30000000,IF('Detalle individual'!F556="Pendiente",0,15000000))+COUNTIF('Detalle individual'!$C$5:$C$1000,"&lt;"&amp;'Detalle individual'!C556)*10000+ROW(),""))</f>
        <v/>
      </c>
      <c r="AB556" t="str">
        <f>IF('Detalle individual'!C556="","",IF(COUNTIF('Detalle individual'!$C$5:C556,'Detalle individual'!C556)=1,COUNTIF('Detalle individual'!$C$5:$C$1000,"&lt;"&amp;'Detalle individual'!C556),""))</f>
        <v/>
      </c>
      <c r="AC556" t="str">
        <f>IF('Detalle individual'!D556="","",IF(COUNTIF('Detalle individual'!$D$5:D556,'Detalle individual'!D556)=1,COUNTIF('Detalle individual'!$D$5:$D$1000,"&lt;"&amp;'Detalle individual'!D556),""))</f>
        <v/>
      </c>
      <c r="AH556" t="str">
        <f>IF('Detalle individual'!F556="Pendiente",COUNTIF('Detalle individual'!$D$5:$D$1000,"&lt;"&amp;'Detalle individual'!D556)*1000000+COUNTIF('Detalle individual'!$C$5:$C$1000,"&lt;"&amp;'Detalle individual'!C556)*1000+COUNTIF('Detalle individual'!$B$5:$B$1000,"&lt;"&amp;'Detalle individual'!B556)+ROW()/10000,"")</f>
        <v/>
      </c>
      <c r="AI556" t="str">
        <f>IF('Detalle individual'!F556="Completado",COUNTIF('Detalle individual'!$D$5:$D$1000,"&lt;"&amp;'Detalle individual'!D556)*1000000+COUNTIF('Detalle individual'!$C$5:$C$1000,"&lt;"&amp;'Detalle individual'!C556)*1000+COUNTIF('Detalle individual'!$B$5:$B$1000,"&lt;"&amp;'Detalle individual'!B556)+ROW()/10000,"")</f>
        <v/>
      </c>
      <c r="AJ556" t="str">
        <f>IF(AND('Detalle individual'!F556&lt;&gt;"",'Detalle individual'!F556&lt;&gt;"Completado",'Detalle individual'!F556&lt;&gt;"Pendiente"),COUNTIF('Detalle individual'!$D$5:$D$1000,"&lt;"&amp;'Detalle individual'!D556)*1000000+COUNTIF('Detalle individual'!$C$5:$C$1000,"&lt;"&amp;'Detalle individual'!C556)*1000+COUNTIF('Detalle individual'!$B$5:$B$1000,"&lt;"&amp;'Detalle individual'!B556)+ROW()/10000,"")</f>
        <v/>
      </c>
      <c r="AK556" t="str">
        <f>IF(OR('Base Exámenes'!C556="",'Base Exámenes'!D556=""),"",IF(COUNTIF('Base Exámenes'!$C$5:C556,'Base Exámenes'!C556)=1,'Base Exámenes'!D556+ROW()/1000000000,""))</f>
        <v/>
      </c>
      <c r="AL556" t="str">
        <f>IF(OR('Base Exámenes'!C556="",'Base Exámenes'!E556=""),"",IF(COUNTIF('Base Exámenes'!$C$5:C556,'Base Exámenes'!C556)=1,'Base Exámenes'!E556+ROW()/1000000000,""))</f>
        <v/>
      </c>
      <c r="AM556" t="str">
        <f>IF(OR('Base Exámenes'!C556="",'Base Exámenes'!G556=""),"",IF(ROW()-4=MATCH('Base Exámenes'!C556&amp;"|"&amp;_xlfn.MAXIFS('Base Exámenes'!$G$5:$G$1000,'Base Exámenes'!$C$5:$C$1000,'Base Exámenes'!C556),'Base Exámenes'!$I$5:$I$1000,0),'Base Exámenes'!G556*1000000+(-1)*'Base Exámenes'!D556,""))</f>
        <v/>
      </c>
      <c r="AQ556" t="str">
        <f>IF('Base Exámenes'!C556="","",IF(COUNTIF('Base Exámenes'!$C$5:$C$1000,'Base Exámenes'!C556)&lt;2,"",MATCH('Base Exámenes'!C556,'Base Exámenes'!$C$5:$C$1000,0)*10000+ROW()))</f>
        <v/>
      </c>
    </row>
    <row r="557">
      <c r="Z557" t="str">
        <f>IF('Detalle individual'!A557="","",IF(AND(OR('Estado por Colaborador'!$D$4="Todas las gerencias",'Detalle individual'!D557='Estado por Colaborador'!$D$4),OR('Estado por Colaborador'!$D$5="Todos los departamentos",TRIM('Detalle individual'!C557)='Estado por Colaborador'!$D$5),OR('Estado por Colaborador'!$D$6="Todos",'Detalle individual'!F557='Estado por Colaborador'!$D$6)),IF('Detalle individual'!F557="Completado",30000000,IF('Detalle individual'!F557="Pendiente",0,15000000))+COUNTIF('Detalle individual'!$C$5:$C$1000,"&lt;"&amp;'Detalle individual'!C557)*10000+ROW(),""))</f>
        <v/>
      </c>
      <c r="AB557" t="str">
        <f>IF('Detalle individual'!C557="","",IF(COUNTIF('Detalle individual'!$C$5:C557,'Detalle individual'!C557)=1,COUNTIF('Detalle individual'!$C$5:$C$1000,"&lt;"&amp;'Detalle individual'!C557),""))</f>
        <v/>
      </c>
      <c r="AC557" t="str">
        <f>IF('Detalle individual'!D557="","",IF(COUNTIF('Detalle individual'!$D$5:D557,'Detalle individual'!D557)=1,COUNTIF('Detalle individual'!$D$5:$D$1000,"&lt;"&amp;'Detalle individual'!D557),""))</f>
        <v/>
      </c>
      <c r="AH557" t="str">
        <f>IF('Detalle individual'!F557="Pendiente",COUNTIF('Detalle individual'!$D$5:$D$1000,"&lt;"&amp;'Detalle individual'!D557)*1000000+COUNTIF('Detalle individual'!$C$5:$C$1000,"&lt;"&amp;'Detalle individual'!C557)*1000+COUNTIF('Detalle individual'!$B$5:$B$1000,"&lt;"&amp;'Detalle individual'!B557)+ROW()/10000,"")</f>
        <v/>
      </c>
      <c r="AI557" t="str">
        <f>IF('Detalle individual'!F557="Completado",COUNTIF('Detalle individual'!$D$5:$D$1000,"&lt;"&amp;'Detalle individual'!D557)*1000000+COUNTIF('Detalle individual'!$C$5:$C$1000,"&lt;"&amp;'Detalle individual'!C557)*1000+COUNTIF('Detalle individual'!$B$5:$B$1000,"&lt;"&amp;'Detalle individual'!B557)+ROW()/10000,"")</f>
        <v/>
      </c>
      <c r="AJ557" t="str">
        <f>IF(AND('Detalle individual'!F557&lt;&gt;"",'Detalle individual'!F557&lt;&gt;"Completado",'Detalle individual'!F557&lt;&gt;"Pendiente"),COUNTIF('Detalle individual'!$D$5:$D$1000,"&lt;"&amp;'Detalle individual'!D557)*1000000+COUNTIF('Detalle individual'!$C$5:$C$1000,"&lt;"&amp;'Detalle individual'!C557)*1000+COUNTIF('Detalle individual'!$B$5:$B$1000,"&lt;"&amp;'Detalle individual'!B557)+ROW()/10000,"")</f>
        <v/>
      </c>
      <c r="AK557" t="str">
        <f>IF(OR('Base Exámenes'!C557="",'Base Exámenes'!D557=""),"",IF(COUNTIF('Base Exámenes'!$C$5:C557,'Base Exámenes'!C557)=1,'Base Exámenes'!D557+ROW()/1000000000,""))</f>
        <v/>
      </c>
      <c r="AL557" t="str">
        <f>IF(OR('Base Exámenes'!C557="",'Base Exámenes'!E557=""),"",IF(COUNTIF('Base Exámenes'!$C$5:C557,'Base Exámenes'!C557)=1,'Base Exámenes'!E557+ROW()/1000000000,""))</f>
        <v/>
      </c>
      <c r="AM557" t="str">
        <f>IF(OR('Base Exámenes'!C557="",'Base Exámenes'!G557=""),"",IF(ROW()-4=MATCH('Base Exámenes'!C557&amp;"|"&amp;_xlfn.MAXIFS('Base Exámenes'!$G$5:$G$1000,'Base Exámenes'!$C$5:$C$1000,'Base Exámenes'!C557),'Base Exámenes'!$I$5:$I$1000,0),'Base Exámenes'!G557*1000000+(-1)*'Base Exámenes'!D557,""))</f>
        <v/>
      </c>
      <c r="AQ557" t="str">
        <f>IF('Base Exámenes'!C557="","",IF(COUNTIF('Base Exámenes'!$C$5:$C$1000,'Base Exámenes'!C557)&lt;2,"",MATCH('Base Exámenes'!C557,'Base Exámenes'!$C$5:$C$1000,0)*10000+ROW()))</f>
        <v/>
      </c>
    </row>
    <row r="558">
      <c r="Z558" t="str">
        <f>IF('Detalle individual'!A558="","",IF(AND(OR('Estado por Colaborador'!$D$4="Todas las gerencias",'Detalle individual'!D558='Estado por Colaborador'!$D$4),OR('Estado por Colaborador'!$D$5="Todos los departamentos",TRIM('Detalle individual'!C558)='Estado por Colaborador'!$D$5),OR('Estado por Colaborador'!$D$6="Todos",'Detalle individual'!F558='Estado por Colaborador'!$D$6)),IF('Detalle individual'!F558="Completado",30000000,IF('Detalle individual'!F558="Pendiente",0,15000000))+COUNTIF('Detalle individual'!$C$5:$C$1000,"&lt;"&amp;'Detalle individual'!C558)*10000+ROW(),""))</f>
        <v/>
      </c>
      <c r="AB558" t="str">
        <f>IF('Detalle individual'!C558="","",IF(COUNTIF('Detalle individual'!$C$5:C558,'Detalle individual'!C558)=1,COUNTIF('Detalle individual'!$C$5:$C$1000,"&lt;"&amp;'Detalle individual'!C558),""))</f>
        <v/>
      </c>
      <c r="AC558" t="str">
        <f>IF('Detalle individual'!D558="","",IF(COUNTIF('Detalle individual'!$D$5:D558,'Detalle individual'!D558)=1,COUNTIF('Detalle individual'!$D$5:$D$1000,"&lt;"&amp;'Detalle individual'!D558),""))</f>
        <v/>
      </c>
      <c r="AH558" t="str">
        <f>IF('Detalle individual'!F558="Pendiente",COUNTIF('Detalle individual'!$D$5:$D$1000,"&lt;"&amp;'Detalle individual'!D558)*1000000+COUNTIF('Detalle individual'!$C$5:$C$1000,"&lt;"&amp;'Detalle individual'!C558)*1000+COUNTIF('Detalle individual'!$B$5:$B$1000,"&lt;"&amp;'Detalle individual'!B558)+ROW()/10000,"")</f>
        <v/>
      </c>
      <c r="AI558" t="str">
        <f>IF('Detalle individual'!F558="Completado",COUNTIF('Detalle individual'!$D$5:$D$1000,"&lt;"&amp;'Detalle individual'!D558)*1000000+COUNTIF('Detalle individual'!$C$5:$C$1000,"&lt;"&amp;'Detalle individual'!C558)*1000+COUNTIF('Detalle individual'!$B$5:$B$1000,"&lt;"&amp;'Detalle individual'!B558)+ROW()/10000,"")</f>
        <v/>
      </c>
      <c r="AJ558" t="str">
        <f>IF(AND('Detalle individual'!F558&lt;&gt;"",'Detalle individual'!F558&lt;&gt;"Completado",'Detalle individual'!F558&lt;&gt;"Pendiente"),COUNTIF('Detalle individual'!$D$5:$D$1000,"&lt;"&amp;'Detalle individual'!D558)*1000000+COUNTIF('Detalle individual'!$C$5:$C$1000,"&lt;"&amp;'Detalle individual'!C558)*1000+COUNTIF('Detalle individual'!$B$5:$B$1000,"&lt;"&amp;'Detalle individual'!B558)+ROW()/10000,"")</f>
        <v/>
      </c>
      <c r="AK558" t="str">
        <f>IF(OR('Base Exámenes'!C558="",'Base Exámenes'!D558=""),"",IF(COUNTIF('Base Exámenes'!$C$5:C558,'Base Exámenes'!C558)=1,'Base Exámenes'!D558+ROW()/1000000000,""))</f>
        <v/>
      </c>
      <c r="AL558" t="str">
        <f>IF(OR('Base Exámenes'!C558="",'Base Exámenes'!E558=""),"",IF(COUNTIF('Base Exámenes'!$C$5:C558,'Base Exámenes'!C558)=1,'Base Exámenes'!E558+ROW()/1000000000,""))</f>
        <v/>
      </c>
      <c r="AM558" t="str">
        <f>IF(OR('Base Exámenes'!C558="",'Base Exámenes'!G558=""),"",IF(ROW()-4=MATCH('Base Exámenes'!C558&amp;"|"&amp;_xlfn.MAXIFS('Base Exámenes'!$G$5:$G$1000,'Base Exámenes'!$C$5:$C$1000,'Base Exámenes'!C558),'Base Exámenes'!$I$5:$I$1000,0),'Base Exámenes'!G558*1000000+(-1)*'Base Exámenes'!D558,""))</f>
        <v/>
      </c>
      <c r="AQ558" t="str">
        <f>IF('Base Exámenes'!C558="","",IF(COUNTIF('Base Exámenes'!$C$5:$C$1000,'Base Exámenes'!C558)&lt;2,"",MATCH('Base Exámenes'!C558,'Base Exámenes'!$C$5:$C$1000,0)*10000+ROW()))</f>
        <v/>
      </c>
    </row>
    <row r="559">
      <c r="Z559" t="str">
        <f>IF('Detalle individual'!A559="","",IF(AND(OR('Estado por Colaborador'!$D$4="Todas las gerencias",'Detalle individual'!D559='Estado por Colaborador'!$D$4),OR('Estado por Colaborador'!$D$5="Todos los departamentos",TRIM('Detalle individual'!C559)='Estado por Colaborador'!$D$5),OR('Estado por Colaborador'!$D$6="Todos",'Detalle individual'!F559='Estado por Colaborador'!$D$6)),IF('Detalle individual'!F559="Completado",30000000,IF('Detalle individual'!F559="Pendiente",0,15000000))+COUNTIF('Detalle individual'!$C$5:$C$1000,"&lt;"&amp;'Detalle individual'!C559)*10000+ROW(),""))</f>
        <v/>
      </c>
      <c r="AB559" t="str">
        <f>IF('Detalle individual'!C559="","",IF(COUNTIF('Detalle individual'!$C$5:C559,'Detalle individual'!C559)=1,COUNTIF('Detalle individual'!$C$5:$C$1000,"&lt;"&amp;'Detalle individual'!C559),""))</f>
        <v/>
      </c>
      <c r="AC559" t="str">
        <f>IF('Detalle individual'!D559="","",IF(COUNTIF('Detalle individual'!$D$5:D559,'Detalle individual'!D559)=1,COUNTIF('Detalle individual'!$D$5:$D$1000,"&lt;"&amp;'Detalle individual'!D559),""))</f>
        <v/>
      </c>
      <c r="AH559" t="str">
        <f>IF('Detalle individual'!F559="Pendiente",COUNTIF('Detalle individual'!$D$5:$D$1000,"&lt;"&amp;'Detalle individual'!D559)*1000000+COUNTIF('Detalle individual'!$C$5:$C$1000,"&lt;"&amp;'Detalle individual'!C559)*1000+COUNTIF('Detalle individual'!$B$5:$B$1000,"&lt;"&amp;'Detalle individual'!B559)+ROW()/10000,"")</f>
        <v/>
      </c>
      <c r="AI559" t="str">
        <f>IF('Detalle individual'!F559="Completado",COUNTIF('Detalle individual'!$D$5:$D$1000,"&lt;"&amp;'Detalle individual'!D559)*1000000+COUNTIF('Detalle individual'!$C$5:$C$1000,"&lt;"&amp;'Detalle individual'!C559)*1000+COUNTIF('Detalle individual'!$B$5:$B$1000,"&lt;"&amp;'Detalle individual'!B559)+ROW()/10000,"")</f>
        <v/>
      </c>
      <c r="AJ559" t="str">
        <f>IF(AND('Detalle individual'!F559&lt;&gt;"",'Detalle individual'!F559&lt;&gt;"Completado",'Detalle individual'!F559&lt;&gt;"Pendiente"),COUNTIF('Detalle individual'!$D$5:$D$1000,"&lt;"&amp;'Detalle individual'!D559)*1000000+COUNTIF('Detalle individual'!$C$5:$C$1000,"&lt;"&amp;'Detalle individual'!C559)*1000+COUNTIF('Detalle individual'!$B$5:$B$1000,"&lt;"&amp;'Detalle individual'!B559)+ROW()/10000,"")</f>
        <v/>
      </c>
      <c r="AK559" t="str">
        <f>IF(OR('Base Exámenes'!C559="",'Base Exámenes'!D559=""),"",IF(COUNTIF('Base Exámenes'!$C$5:C559,'Base Exámenes'!C559)=1,'Base Exámenes'!D559+ROW()/1000000000,""))</f>
        <v/>
      </c>
      <c r="AL559" t="str">
        <f>IF(OR('Base Exámenes'!C559="",'Base Exámenes'!E559=""),"",IF(COUNTIF('Base Exámenes'!$C$5:C559,'Base Exámenes'!C559)=1,'Base Exámenes'!E559+ROW()/1000000000,""))</f>
        <v/>
      </c>
      <c r="AM559" t="str">
        <f>IF(OR('Base Exámenes'!C559="",'Base Exámenes'!G559=""),"",IF(ROW()-4=MATCH('Base Exámenes'!C559&amp;"|"&amp;_xlfn.MAXIFS('Base Exámenes'!$G$5:$G$1000,'Base Exámenes'!$C$5:$C$1000,'Base Exámenes'!C559),'Base Exámenes'!$I$5:$I$1000,0),'Base Exámenes'!G559*1000000+(-1)*'Base Exámenes'!D559,""))</f>
        <v/>
      </c>
      <c r="AQ559" t="str">
        <f>IF('Base Exámenes'!C559="","",IF(COUNTIF('Base Exámenes'!$C$5:$C$1000,'Base Exámenes'!C559)&lt;2,"",MATCH('Base Exámenes'!C559,'Base Exámenes'!$C$5:$C$1000,0)*10000+ROW()))</f>
        <v/>
      </c>
    </row>
    <row r="560">
      <c r="Z560" t="str">
        <f>IF('Detalle individual'!A560="","",IF(AND(OR('Estado por Colaborador'!$D$4="Todas las gerencias",'Detalle individual'!D560='Estado por Colaborador'!$D$4),OR('Estado por Colaborador'!$D$5="Todos los departamentos",TRIM('Detalle individual'!C560)='Estado por Colaborador'!$D$5),OR('Estado por Colaborador'!$D$6="Todos",'Detalle individual'!F560='Estado por Colaborador'!$D$6)),IF('Detalle individual'!F560="Completado",30000000,IF('Detalle individual'!F560="Pendiente",0,15000000))+COUNTIF('Detalle individual'!$C$5:$C$1000,"&lt;"&amp;'Detalle individual'!C560)*10000+ROW(),""))</f>
        <v/>
      </c>
      <c r="AB560" t="str">
        <f>IF('Detalle individual'!C560="","",IF(COUNTIF('Detalle individual'!$C$5:C560,'Detalle individual'!C560)=1,COUNTIF('Detalle individual'!$C$5:$C$1000,"&lt;"&amp;'Detalle individual'!C560),""))</f>
        <v/>
      </c>
      <c r="AC560" t="str">
        <f>IF('Detalle individual'!D560="","",IF(COUNTIF('Detalle individual'!$D$5:D560,'Detalle individual'!D560)=1,COUNTIF('Detalle individual'!$D$5:$D$1000,"&lt;"&amp;'Detalle individual'!D560),""))</f>
        <v/>
      </c>
      <c r="AH560" t="str">
        <f>IF('Detalle individual'!F560="Pendiente",COUNTIF('Detalle individual'!$D$5:$D$1000,"&lt;"&amp;'Detalle individual'!D560)*1000000+COUNTIF('Detalle individual'!$C$5:$C$1000,"&lt;"&amp;'Detalle individual'!C560)*1000+COUNTIF('Detalle individual'!$B$5:$B$1000,"&lt;"&amp;'Detalle individual'!B560)+ROW()/10000,"")</f>
        <v/>
      </c>
      <c r="AI560" t="str">
        <f>IF('Detalle individual'!F560="Completado",COUNTIF('Detalle individual'!$D$5:$D$1000,"&lt;"&amp;'Detalle individual'!D560)*1000000+COUNTIF('Detalle individual'!$C$5:$C$1000,"&lt;"&amp;'Detalle individual'!C560)*1000+COUNTIF('Detalle individual'!$B$5:$B$1000,"&lt;"&amp;'Detalle individual'!B560)+ROW()/10000,"")</f>
        <v/>
      </c>
      <c r="AJ560" t="str">
        <f>IF(AND('Detalle individual'!F560&lt;&gt;"",'Detalle individual'!F560&lt;&gt;"Completado",'Detalle individual'!F560&lt;&gt;"Pendiente"),COUNTIF('Detalle individual'!$D$5:$D$1000,"&lt;"&amp;'Detalle individual'!D560)*1000000+COUNTIF('Detalle individual'!$C$5:$C$1000,"&lt;"&amp;'Detalle individual'!C560)*1000+COUNTIF('Detalle individual'!$B$5:$B$1000,"&lt;"&amp;'Detalle individual'!B560)+ROW()/10000,"")</f>
        <v/>
      </c>
      <c r="AK560" t="str">
        <f>IF(OR('Base Exámenes'!C560="",'Base Exámenes'!D560=""),"",IF(COUNTIF('Base Exámenes'!$C$5:C560,'Base Exámenes'!C560)=1,'Base Exámenes'!D560+ROW()/1000000000,""))</f>
        <v/>
      </c>
      <c r="AL560" t="str">
        <f>IF(OR('Base Exámenes'!C560="",'Base Exámenes'!E560=""),"",IF(COUNTIF('Base Exámenes'!$C$5:C560,'Base Exámenes'!C560)=1,'Base Exámenes'!E560+ROW()/1000000000,""))</f>
        <v/>
      </c>
      <c r="AM560" t="str">
        <f>IF(OR('Base Exámenes'!C560="",'Base Exámenes'!G560=""),"",IF(ROW()-4=MATCH('Base Exámenes'!C560&amp;"|"&amp;_xlfn.MAXIFS('Base Exámenes'!$G$5:$G$1000,'Base Exámenes'!$C$5:$C$1000,'Base Exámenes'!C560),'Base Exámenes'!$I$5:$I$1000,0),'Base Exámenes'!G560*1000000+(-1)*'Base Exámenes'!D560,""))</f>
        <v/>
      </c>
      <c r="AQ560" t="str">
        <f>IF('Base Exámenes'!C560="","",IF(COUNTIF('Base Exámenes'!$C$5:$C$1000,'Base Exámenes'!C560)&lt;2,"",MATCH('Base Exámenes'!C560,'Base Exámenes'!$C$5:$C$1000,0)*10000+ROW()))</f>
        <v/>
      </c>
    </row>
    <row r="561">
      <c r="Z561" t="str">
        <f>IF('Detalle individual'!A561="","",IF(AND(OR('Estado por Colaborador'!$D$4="Todas las gerencias",'Detalle individual'!D561='Estado por Colaborador'!$D$4),OR('Estado por Colaborador'!$D$5="Todos los departamentos",TRIM('Detalle individual'!C561)='Estado por Colaborador'!$D$5),OR('Estado por Colaborador'!$D$6="Todos",'Detalle individual'!F561='Estado por Colaborador'!$D$6)),IF('Detalle individual'!F561="Completado",30000000,IF('Detalle individual'!F561="Pendiente",0,15000000))+COUNTIF('Detalle individual'!$C$5:$C$1000,"&lt;"&amp;'Detalle individual'!C561)*10000+ROW(),""))</f>
        <v/>
      </c>
      <c r="AB561" t="str">
        <f>IF('Detalle individual'!C561="","",IF(COUNTIF('Detalle individual'!$C$5:C561,'Detalle individual'!C561)=1,COUNTIF('Detalle individual'!$C$5:$C$1000,"&lt;"&amp;'Detalle individual'!C561),""))</f>
        <v/>
      </c>
      <c r="AC561" t="str">
        <f>IF('Detalle individual'!D561="","",IF(COUNTIF('Detalle individual'!$D$5:D561,'Detalle individual'!D561)=1,COUNTIF('Detalle individual'!$D$5:$D$1000,"&lt;"&amp;'Detalle individual'!D561),""))</f>
        <v/>
      </c>
      <c r="AH561" t="str">
        <f>IF('Detalle individual'!F561="Pendiente",COUNTIF('Detalle individual'!$D$5:$D$1000,"&lt;"&amp;'Detalle individual'!D561)*1000000+COUNTIF('Detalle individual'!$C$5:$C$1000,"&lt;"&amp;'Detalle individual'!C561)*1000+COUNTIF('Detalle individual'!$B$5:$B$1000,"&lt;"&amp;'Detalle individual'!B561)+ROW()/10000,"")</f>
        <v/>
      </c>
      <c r="AI561" t="str">
        <f>IF('Detalle individual'!F561="Completado",COUNTIF('Detalle individual'!$D$5:$D$1000,"&lt;"&amp;'Detalle individual'!D561)*1000000+COUNTIF('Detalle individual'!$C$5:$C$1000,"&lt;"&amp;'Detalle individual'!C561)*1000+COUNTIF('Detalle individual'!$B$5:$B$1000,"&lt;"&amp;'Detalle individual'!B561)+ROW()/10000,"")</f>
        <v/>
      </c>
      <c r="AJ561" t="str">
        <f>IF(AND('Detalle individual'!F561&lt;&gt;"",'Detalle individual'!F561&lt;&gt;"Completado",'Detalle individual'!F561&lt;&gt;"Pendiente"),COUNTIF('Detalle individual'!$D$5:$D$1000,"&lt;"&amp;'Detalle individual'!D561)*1000000+COUNTIF('Detalle individual'!$C$5:$C$1000,"&lt;"&amp;'Detalle individual'!C561)*1000+COUNTIF('Detalle individual'!$B$5:$B$1000,"&lt;"&amp;'Detalle individual'!B561)+ROW()/10000,"")</f>
        <v/>
      </c>
      <c r="AK561" t="str">
        <f>IF(OR('Base Exámenes'!C561="",'Base Exámenes'!D561=""),"",IF(COUNTIF('Base Exámenes'!$C$5:C561,'Base Exámenes'!C561)=1,'Base Exámenes'!D561+ROW()/1000000000,""))</f>
        <v/>
      </c>
      <c r="AL561" t="str">
        <f>IF(OR('Base Exámenes'!C561="",'Base Exámenes'!E561=""),"",IF(COUNTIF('Base Exámenes'!$C$5:C561,'Base Exámenes'!C561)=1,'Base Exámenes'!E561+ROW()/1000000000,""))</f>
        <v/>
      </c>
      <c r="AM561" t="str">
        <f>IF(OR('Base Exámenes'!C561="",'Base Exámenes'!G561=""),"",IF(ROW()-4=MATCH('Base Exámenes'!C561&amp;"|"&amp;_xlfn.MAXIFS('Base Exámenes'!$G$5:$G$1000,'Base Exámenes'!$C$5:$C$1000,'Base Exámenes'!C561),'Base Exámenes'!$I$5:$I$1000,0),'Base Exámenes'!G561*1000000+(-1)*'Base Exámenes'!D561,""))</f>
        <v/>
      </c>
      <c r="AQ561" t="str">
        <f>IF('Base Exámenes'!C561="","",IF(COUNTIF('Base Exámenes'!$C$5:$C$1000,'Base Exámenes'!C561)&lt;2,"",MATCH('Base Exámenes'!C561,'Base Exámenes'!$C$5:$C$1000,0)*10000+ROW()))</f>
        <v/>
      </c>
    </row>
    <row r="562">
      <c r="Z562" t="str">
        <f>IF('Detalle individual'!A562="","",IF(AND(OR('Estado por Colaborador'!$D$4="Todas las gerencias",'Detalle individual'!D562='Estado por Colaborador'!$D$4),OR('Estado por Colaborador'!$D$5="Todos los departamentos",TRIM('Detalle individual'!C562)='Estado por Colaborador'!$D$5),OR('Estado por Colaborador'!$D$6="Todos",'Detalle individual'!F562='Estado por Colaborador'!$D$6)),IF('Detalle individual'!F562="Completado",30000000,IF('Detalle individual'!F562="Pendiente",0,15000000))+COUNTIF('Detalle individual'!$C$5:$C$1000,"&lt;"&amp;'Detalle individual'!C562)*10000+ROW(),""))</f>
        <v/>
      </c>
      <c r="AB562" t="str">
        <f>IF('Detalle individual'!C562="","",IF(COUNTIF('Detalle individual'!$C$5:C562,'Detalle individual'!C562)=1,COUNTIF('Detalle individual'!$C$5:$C$1000,"&lt;"&amp;'Detalle individual'!C562),""))</f>
        <v/>
      </c>
      <c r="AC562" t="str">
        <f>IF('Detalle individual'!D562="","",IF(COUNTIF('Detalle individual'!$D$5:D562,'Detalle individual'!D562)=1,COUNTIF('Detalle individual'!$D$5:$D$1000,"&lt;"&amp;'Detalle individual'!D562),""))</f>
        <v/>
      </c>
      <c r="AH562" t="str">
        <f>IF('Detalle individual'!F562="Pendiente",COUNTIF('Detalle individual'!$D$5:$D$1000,"&lt;"&amp;'Detalle individual'!D562)*1000000+COUNTIF('Detalle individual'!$C$5:$C$1000,"&lt;"&amp;'Detalle individual'!C562)*1000+COUNTIF('Detalle individual'!$B$5:$B$1000,"&lt;"&amp;'Detalle individual'!B562)+ROW()/10000,"")</f>
        <v/>
      </c>
      <c r="AI562" t="str">
        <f>IF('Detalle individual'!F562="Completado",COUNTIF('Detalle individual'!$D$5:$D$1000,"&lt;"&amp;'Detalle individual'!D562)*1000000+COUNTIF('Detalle individual'!$C$5:$C$1000,"&lt;"&amp;'Detalle individual'!C562)*1000+COUNTIF('Detalle individual'!$B$5:$B$1000,"&lt;"&amp;'Detalle individual'!B562)+ROW()/10000,"")</f>
        <v/>
      </c>
      <c r="AJ562" t="str">
        <f>IF(AND('Detalle individual'!F562&lt;&gt;"",'Detalle individual'!F562&lt;&gt;"Completado",'Detalle individual'!F562&lt;&gt;"Pendiente"),COUNTIF('Detalle individual'!$D$5:$D$1000,"&lt;"&amp;'Detalle individual'!D562)*1000000+COUNTIF('Detalle individual'!$C$5:$C$1000,"&lt;"&amp;'Detalle individual'!C562)*1000+COUNTIF('Detalle individual'!$B$5:$B$1000,"&lt;"&amp;'Detalle individual'!B562)+ROW()/10000,"")</f>
        <v/>
      </c>
      <c r="AK562" t="str">
        <f>IF(OR('Base Exámenes'!C562="",'Base Exámenes'!D562=""),"",IF(COUNTIF('Base Exámenes'!$C$5:C562,'Base Exámenes'!C562)=1,'Base Exámenes'!D562+ROW()/1000000000,""))</f>
        <v/>
      </c>
      <c r="AL562" t="str">
        <f>IF(OR('Base Exámenes'!C562="",'Base Exámenes'!E562=""),"",IF(COUNTIF('Base Exámenes'!$C$5:C562,'Base Exámenes'!C562)=1,'Base Exámenes'!E562+ROW()/1000000000,""))</f>
        <v/>
      </c>
      <c r="AM562" t="str">
        <f>IF(OR('Base Exámenes'!C562="",'Base Exámenes'!G562=""),"",IF(ROW()-4=MATCH('Base Exámenes'!C562&amp;"|"&amp;_xlfn.MAXIFS('Base Exámenes'!$G$5:$G$1000,'Base Exámenes'!$C$5:$C$1000,'Base Exámenes'!C562),'Base Exámenes'!$I$5:$I$1000,0),'Base Exámenes'!G562*1000000+(-1)*'Base Exámenes'!D562,""))</f>
        <v/>
      </c>
      <c r="AQ562" t="str">
        <f>IF('Base Exámenes'!C562="","",IF(COUNTIF('Base Exámenes'!$C$5:$C$1000,'Base Exámenes'!C562)&lt;2,"",MATCH('Base Exámenes'!C562,'Base Exámenes'!$C$5:$C$1000,0)*10000+ROW()))</f>
        <v/>
      </c>
    </row>
    <row r="563">
      <c r="Z563" t="str">
        <f>IF('Detalle individual'!A563="","",IF(AND(OR('Estado por Colaborador'!$D$4="Todas las gerencias",'Detalle individual'!D563='Estado por Colaborador'!$D$4),OR('Estado por Colaborador'!$D$5="Todos los departamentos",TRIM('Detalle individual'!C563)='Estado por Colaborador'!$D$5),OR('Estado por Colaborador'!$D$6="Todos",'Detalle individual'!F563='Estado por Colaborador'!$D$6)),IF('Detalle individual'!F563="Completado",30000000,IF('Detalle individual'!F563="Pendiente",0,15000000))+COUNTIF('Detalle individual'!$C$5:$C$1000,"&lt;"&amp;'Detalle individual'!C563)*10000+ROW(),""))</f>
        <v/>
      </c>
      <c r="AB563" t="str">
        <f>IF('Detalle individual'!C563="","",IF(COUNTIF('Detalle individual'!$C$5:C563,'Detalle individual'!C563)=1,COUNTIF('Detalle individual'!$C$5:$C$1000,"&lt;"&amp;'Detalle individual'!C563),""))</f>
        <v/>
      </c>
      <c r="AC563" t="str">
        <f>IF('Detalle individual'!D563="","",IF(COUNTIF('Detalle individual'!$D$5:D563,'Detalle individual'!D563)=1,COUNTIF('Detalle individual'!$D$5:$D$1000,"&lt;"&amp;'Detalle individual'!D563),""))</f>
        <v/>
      </c>
      <c r="AH563" t="str">
        <f>IF('Detalle individual'!F563="Pendiente",COUNTIF('Detalle individual'!$D$5:$D$1000,"&lt;"&amp;'Detalle individual'!D563)*1000000+COUNTIF('Detalle individual'!$C$5:$C$1000,"&lt;"&amp;'Detalle individual'!C563)*1000+COUNTIF('Detalle individual'!$B$5:$B$1000,"&lt;"&amp;'Detalle individual'!B563)+ROW()/10000,"")</f>
        <v/>
      </c>
      <c r="AI563" t="str">
        <f>IF('Detalle individual'!F563="Completado",COUNTIF('Detalle individual'!$D$5:$D$1000,"&lt;"&amp;'Detalle individual'!D563)*1000000+COUNTIF('Detalle individual'!$C$5:$C$1000,"&lt;"&amp;'Detalle individual'!C563)*1000+COUNTIF('Detalle individual'!$B$5:$B$1000,"&lt;"&amp;'Detalle individual'!B563)+ROW()/10000,"")</f>
        <v/>
      </c>
      <c r="AJ563" t="str">
        <f>IF(AND('Detalle individual'!F563&lt;&gt;"",'Detalle individual'!F563&lt;&gt;"Completado",'Detalle individual'!F563&lt;&gt;"Pendiente"),COUNTIF('Detalle individual'!$D$5:$D$1000,"&lt;"&amp;'Detalle individual'!D563)*1000000+COUNTIF('Detalle individual'!$C$5:$C$1000,"&lt;"&amp;'Detalle individual'!C563)*1000+COUNTIF('Detalle individual'!$B$5:$B$1000,"&lt;"&amp;'Detalle individual'!B563)+ROW()/10000,"")</f>
        <v/>
      </c>
      <c r="AK563" t="str">
        <f>IF(OR('Base Exámenes'!C563="",'Base Exámenes'!D563=""),"",IF(COUNTIF('Base Exámenes'!$C$5:C563,'Base Exámenes'!C563)=1,'Base Exámenes'!D563+ROW()/1000000000,""))</f>
        <v/>
      </c>
      <c r="AL563" t="str">
        <f>IF(OR('Base Exámenes'!C563="",'Base Exámenes'!E563=""),"",IF(COUNTIF('Base Exámenes'!$C$5:C563,'Base Exámenes'!C563)=1,'Base Exámenes'!E563+ROW()/1000000000,""))</f>
        <v/>
      </c>
      <c r="AM563" t="str">
        <f>IF(OR('Base Exámenes'!C563="",'Base Exámenes'!G563=""),"",IF(ROW()-4=MATCH('Base Exámenes'!C563&amp;"|"&amp;_xlfn.MAXIFS('Base Exámenes'!$G$5:$G$1000,'Base Exámenes'!$C$5:$C$1000,'Base Exámenes'!C563),'Base Exámenes'!$I$5:$I$1000,0),'Base Exámenes'!G563*1000000+(-1)*'Base Exámenes'!D563,""))</f>
        <v/>
      </c>
      <c r="AQ563" t="str">
        <f>IF('Base Exámenes'!C563="","",IF(COUNTIF('Base Exámenes'!$C$5:$C$1000,'Base Exámenes'!C563)&lt;2,"",MATCH('Base Exámenes'!C563,'Base Exámenes'!$C$5:$C$1000,0)*10000+ROW()))</f>
        <v/>
      </c>
    </row>
    <row r="564">
      <c r="Z564" t="str">
        <f>IF('Detalle individual'!A564="","",IF(AND(OR('Estado por Colaborador'!$D$4="Todas las gerencias",'Detalle individual'!D564='Estado por Colaborador'!$D$4),OR('Estado por Colaborador'!$D$5="Todos los departamentos",TRIM('Detalle individual'!C564)='Estado por Colaborador'!$D$5),OR('Estado por Colaborador'!$D$6="Todos",'Detalle individual'!F564='Estado por Colaborador'!$D$6)),IF('Detalle individual'!F564="Completado",30000000,IF('Detalle individual'!F564="Pendiente",0,15000000))+COUNTIF('Detalle individual'!$C$5:$C$1000,"&lt;"&amp;'Detalle individual'!C564)*10000+ROW(),""))</f>
        <v/>
      </c>
      <c r="AB564" t="str">
        <f>IF('Detalle individual'!C564="","",IF(COUNTIF('Detalle individual'!$C$5:C564,'Detalle individual'!C564)=1,COUNTIF('Detalle individual'!$C$5:$C$1000,"&lt;"&amp;'Detalle individual'!C564),""))</f>
        <v/>
      </c>
      <c r="AC564" t="str">
        <f>IF('Detalle individual'!D564="","",IF(COUNTIF('Detalle individual'!$D$5:D564,'Detalle individual'!D564)=1,COUNTIF('Detalle individual'!$D$5:$D$1000,"&lt;"&amp;'Detalle individual'!D564),""))</f>
        <v/>
      </c>
      <c r="AH564" t="str">
        <f>IF('Detalle individual'!F564="Pendiente",COUNTIF('Detalle individual'!$D$5:$D$1000,"&lt;"&amp;'Detalle individual'!D564)*1000000+COUNTIF('Detalle individual'!$C$5:$C$1000,"&lt;"&amp;'Detalle individual'!C564)*1000+COUNTIF('Detalle individual'!$B$5:$B$1000,"&lt;"&amp;'Detalle individual'!B564)+ROW()/10000,"")</f>
        <v/>
      </c>
      <c r="AI564" t="str">
        <f>IF('Detalle individual'!F564="Completado",COUNTIF('Detalle individual'!$D$5:$D$1000,"&lt;"&amp;'Detalle individual'!D564)*1000000+COUNTIF('Detalle individual'!$C$5:$C$1000,"&lt;"&amp;'Detalle individual'!C564)*1000+COUNTIF('Detalle individual'!$B$5:$B$1000,"&lt;"&amp;'Detalle individual'!B564)+ROW()/10000,"")</f>
        <v/>
      </c>
      <c r="AJ564" t="str">
        <f>IF(AND('Detalle individual'!F564&lt;&gt;"",'Detalle individual'!F564&lt;&gt;"Completado",'Detalle individual'!F564&lt;&gt;"Pendiente"),COUNTIF('Detalle individual'!$D$5:$D$1000,"&lt;"&amp;'Detalle individual'!D564)*1000000+COUNTIF('Detalle individual'!$C$5:$C$1000,"&lt;"&amp;'Detalle individual'!C564)*1000+COUNTIF('Detalle individual'!$B$5:$B$1000,"&lt;"&amp;'Detalle individual'!B564)+ROW()/10000,"")</f>
        <v/>
      </c>
      <c r="AK564" t="str">
        <f>IF(OR('Base Exámenes'!C564="",'Base Exámenes'!D564=""),"",IF(COUNTIF('Base Exámenes'!$C$5:C564,'Base Exámenes'!C564)=1,'Base Exámenes'!D564+ROW()/1000000000,""))</f>
        <v/>
      </c>
      <c r="AL564" t="str">
        <f>IF(OR('Base Exámenes'!C564="",'Base Exámenes'!E564=""),"",IF(COUNTIF('Base Exámenes'!$C$5:C564,'Base Exámenes'!C564)=1,'Base Exámenes'!E564+ROW()/1000000000,""))</f>
        <v/>
      </c>
      <c r="AM564" t="str">
        <f>IF(OR('Base Exámenes'!C564="",'Base Exámenes'!G564=""),"",IF(ROW()-4=MATCH('Base Exámenes'!C564&amp;"|"&amp;_xlfn.MAXIFS('Base Exámenes'!$G$5:$G$1000,'Base Exámenes'!$C$5:$C$1000,'Base Exámenes'!C564),'Base Exámenes'!$I$5:$I$1000,0),'Base Exámenes'!G564*1000000+(-1)*'Base Exámenes'!D564,""))</f>
        <v/>
      </c>
      <c r="AQ564" t="str">
        <f>IF('Base Exámenes'!C564="","",IF(COUNTIF('Base Exámenes'!$C$5:$C$1000,'Base Exámenes'!C564)&lt;2,"",MATCH('Base Exámenes'!C564,'Base Exámenes'!$C$5:$C$1000,0)*10000+ROW()))</f>
        <v/>
      </c>
    </row>
    <row r="565">
      <c r="Z565" t="str">
        <f>IF('Detalle individual'!A565="","",IF(AND(OR('Estado por Colaborador'!$D$4="Todas las gerencias",'Detalle individual'!D565='Estado por Colaborador'!$D$4),OR('Estado por Colaborador'!$D$5="Todos los departamentos",TRIM('Detalle individual'!C565)='Estado por Colaborador'!$D$5),OR('Estado por Colaborador'!$D$6="Todos",'Detalle individual'!F565='Estado por Colaborador'!$D$6)),IF('Detalle individual'!F565="Completado",30000000,IF('Detalle individual'!F565="Pendiente",0,15000000))+COUNTIF('Detalle individual'!$C$5:$C$1000,"&lt;"&amp;'Detalle individual'!C565)*10000+ROW(),""))</f>
        <v/>
      </c>
      <c r="AB565" t="str">
        <f>IF('Detalle individual'!C565="","",IF(COUNTIF('Detalle individual'!$C$5:C565,'Detalle individual'!C565)=1,COUNTIF('Detalle individual'!$C$5:$C$1000,"&lt;"&amp;'Detalle individual'!C565),""))</f>
        <v/>
      </c>
      <c r="AC565" t="str">
        <f>IF('Detalle individual'!D565="","",IF(COUNTIF('Detalle individual'!$D$5:D565,'Detalle individual'!D565)=1,COUNTIF('Detalle individual'!$D$5:$D$1000,"&lt;"&amp;'Detalle individual'!D565),""))</f>
        <v/>
      </c>
      <c r="AH565" t="str">
        <f>IF('Detalle individual'!F565="Pendiente",COUNTIF('Detalle individual'!$D$5:$D$1000,"&lt;"&amp;'Detalle individual'!D565)*1000000+COUNTIF('Detalle individual'!$C$5:$C$1000,"&lt;"&amp;'Detalle individual'!C565)*1000+COUNTIF('Detalle individual'!$B$5:$B$1000,"&lt;"&amp;'Detalle individual'!B565)+ROW()/10000,"")</f>
        <v/>
      </c>
      <c r="AI565" t="str">
        <f>IF('Detalle individual'!F565="Completado",COUNTIF('Detalle individual'!$D$5:$D$1000,"&lt;"&amp;'Detalle individual'!D565)*1000000+COUNTIF('Detalle individual'!$C$5:$C$1000,"&lt;"&amp;'Detalle individual'!C565)*1000+COUNTIF('Detalle individual'!$B$5:$B$1000,"&lt;"&amp;'Detalle individual'!B565)+ROW()/10000,"")</f>
        <v/>
      </c>
      <c r="AJ565" t="str">
        <f>IF(AND('Detalle individual'!F565&lt;&gt;"",'Detalle individual'!F565&lt;&gt;"Completado",'Detalle individual'!F565&lt;&gt;"Pendiente"),COUNTIF('Detalle individual'!$D$5:$D$1000,"&lt;"&amp;'Detalle individual'!D565)*1000000+COUNTIF('Detalle individual'!$C$5:$C$1000,"&lt;"&amp;'Detalle individual'!C565)*1000+COUNTIF('Detalle individual'!$B$5:$B$1000,"&lt;"&amp;'Detalle individual'!B565)+ROW()/10000,"")</f>
        <v/>
      </c>
      <c r="AK565" t="str">
        <f>IF(OR('Base Exámenes'!C565="",'Base Exámenes'!D565=""),"",IF(COUNTIF('Base Exámenes'!$C$5:C565,'Base Exámenes'!C565)=1,'Base Exámenes'!D565+ROW()/1000000000,""))</f>
        <v/>
      </c>
      <c r="AL565" t="str">
        <f>IF(OR('Base Exámenes'!C565="",'Base Exámenes'!E565=""),"",IF(COUNTIF('Base Exámenes'!$C$5:C565,'Base Exámenes'!C565)=1,'Base Exámenes'!E565+ROW()/1000000000,""))</f>
        <v/>
      </c>
      <c r="AM565" t="str">
        <f>IF(OR('Base Exámenes'!C565="",'Base Exámenes'!G565=""),"",IF(ROW()-4=MATCH('Base Exámenes'!C565&amp;"|"&amp;_xlfn.MAXIFS('Base Exámenes'!$G$5:$G$1000,'Base Exámenes'!$C$5:$C$1000,'Base Exámenes'!C565),'Base Exámenes'!$I$5:$I$1000,0),'Base Exámenes'!G565*1000000+(-1)*'Base Exámenes'!D565,""))</f>
        <v/>
      </c>
      <c r="AQ565" t="str">
        <f>IF('Base Exámenes'!C565="","",IF(COUNTIF('Base Exámenes'!$C$5:$C$1000,'Base Exámenes'!C565)&lt;2,"",MATCH('Base Exámenes'!C565,'Base Exámenes'!$C$5:$C$1000,0)*10000+ROW()))</f>
        <v/>
      </c>
    </row>
    <row r="566">
      <c r="Z566" t="str">
        <f>IF('Detalle individual'!A566="","",IF(AND(OR('Estado por Colaborador'!$D$4="Todas las gerencias",'Detalle individual'!D566='Estado por Colaborador'!$D$4),OR('Estado por Colaborador'!$D$5="Todos los departamentos",TRIM('Detalle individual'!C566)='Estado por Colaborador'!$D$5),OR('Estado por Colaborador'!$D$6="Todos",'Detalle individual'!F566='Estado por Colaborador'!$D$6)),IF('Detalle individual'!F566="Completado",30000000,IF('Detalle individual'!F566="Pendiente",0,15000000))+COUNTIF('Detalle individual'!$C$5:$C$1000,"&lt;"&amp;'Detalle individual'!C566)*10000+ROW(),""))</f>
        <v/>
      </c>
      <c r="AB566" t="str">
        <f>IF('Detalle individual'!C566="","",IF(COUNTIF('Detalle individual'!$C$5:C566,'Detalle individual'!C566)=1,COUNTIF('Detalle individual'!$C$5:$C$1000,"&lt;"&amp;'Detalle individual'!C566),""))</f>
        <v/>
      </c>
      <c r="AC566" t="str">
        <f>IF('Detalle individual'!D566="","",IF(COUNTIF('Detalle individual'!$D$5:D566,'Detalle individual'!D566)=1,COUNTIF('Detalle individual'!$D$5:$D$1000,"&lt;"&amp;'Detalle individual'!D566),""))</f>
        <v/>
      </c>
      <c r="AH566" t="str">
        <f>IF('Detalle individual'!F566="Pendiente",COUNTIF('Detalle individual'!$D$5:$D$1000,"&lt;"&amp;'Detalle individual'!D566)*1000000+COUNTIF('Detalle individual'!$C$5:$C$1000,"&lt;"&amp;'Detalle individual'!C566)*1000+COUNTIF('Detalle individual'!$B$5:$B$1000,"&lt;"&amp;'Detalle individual'!B566)+ROW()/10000,"")</f>
        <v/>
      </c>
      <c r="AI566" t="str">
        <f>IF('Detalle individual'!F566="Completado",COUNTIF('Detalle individual'!$D$5:$D$1000,"&lt;"&amp;'Detalle individual'!D566)*1000000+COUNTIF('Detalle individual'!$C$5:$C$1000,"&lt;"&amp;'Detalle individual'!C566)*1000+COUNTIF('Detalle individual'!$B$5:$B$1000,"&lt;"&amp;'Detalle individual'!B566)+ROW()/10000,"")</f>
        <v/>
      </c>
      <c r="AJ566" t="str">
        <f>IF(AND('Detalle individual'!F566&lt;&gt;"",'Detalle individual'!F566&lt;&gt;"Completado",'Detalle individual'!F566&lt;&gt;"Pendiente"),COUNTIF('Detalle individual'!$D$5:$D$1000,"&lt;"&amp;'Detalle individual'!D566)*1000000+COUNTIF('Detalle individual'!$C$5:$C$1000,"&lt;"&amp;'Detalle individual'!C566)*1000+COUNTIF('Detalle individual'!$B$5:$B$1000,"&lt;"&amp;'Detalle individual'!B566)+ROW()/10000,"")</f>
        <v/>
      </c>
      <c r="AK566" t="str">
        <f>IF(OR('Base Exámenes'!C566="",'Base Exámenes'!D566=""),"",IF(COUNTIF('Base Exámenes'!$C$5:C566,'Base Exámenes'!C566)=1,'Base Exámenes'!D566+ROW()/1000000000,""))</f>
        <v/>
      </c>
      <c r="AL566" t="str">
        <f>IF(OR('Base Exámenes'!C566="",'Base Exámenes'!E566=""),"",IF(COUNTIF('Base Exámenes'!$C$5:C566,'Base Exámenes'!C566)=1,'Base Exámenes'!E566+ROW()/1000000000,""))</f>
        <v/>
      </c>
      <c r="AM566" t="str">
        <f>IF(OR('Base Exámenes'!C566="",'Base Exámenes'!G566=""),"",IF(ROW()-4=MATCH('Base Exámenes'!C566&amp;"|"&amp;_xlfn.MAXIFS('Base Exámenes'!$G$5:$G$1000,'Base Exámenes'!$C$5:$C$1000,'Base Exámenes'!C566),'Base Exámenes'!$I$5:$I$1000,0),'Base Exámenes'!G566*1000000+(-1)*'Base Exámenes'!D566,""))</f>
        <v/>
      </c>
      <c r="AQ566" t="str">
        <f>IF('Base Exámenes'!C566="","",IF(COUNTIF('Base Exámenes'!$C$5:$C$1000,'Base Exámenes'!C566)&lt;2,"",MATCH('Base Exámenes'!C566,'Base Exámenes'!$C$5:$C$1000,0)*10000+ROW()))</f>
        <v/>
      </c>
    </row>
    <row r="567">
      <c r="Z567" t="str">
        <f>IF('Detalle individual'!A567="","",IF(AND(OR('Estado por Colaborador'!$D$4="Todas las gerencias",'Detalle individual'!D567='Estado por Colaborador'!$D$4),OR('Estado por Colaborador'!$D$5="Todos los departamentos",TRIM('Detalle individual'!C567)='Estado por Colaborador'!$D$5),OR('Estado por Colaborador'!$D$6="Todos",'Detalle individual'!F567='Estado por Colaborador'!$D$6)),IF('Detalle individual'!F567="Completado",30000000,IF('Detalle individual'!F567="Pendiente",0,15000000))+COUNTIF('Detalle individual'!$C$5:$C$1000,"&lt;"&amp;'Detalle individual'!C567)*10000+ROW(),""))</f>
        <v/>
      </c>
      <c r="AB567" t="str">
        <f>IF('Detalle individual'!C567="","",IF(COUNTIF('Detalle individual'!$C$5:C567,'Detalle individual'!C567)=1,COUNTIF('Detalle individual'!$C$5:$C$1000,"&lt;"&amp;'Detalle individual'!C567),""))</f>
        <v/>
      </c>
      <c r="AC567" t="str">
        <f>IF('Detalle individual'!D567="","",IF(COUNTIF('Detalle individual'!$D$5:D567,'Detalle individual'!D567)=1,COUNTIF('Detalle individual'!$D$5:$D$1000,"&lt;"&amp;'Detalle individual'!D567),""))</f>
        <v/>
      </c>
      <c r="AH567" t="str">
        <f>IF('Detalle individual'!F567="Pendiente",COUNTIF('Detalle individual'!$D$5:$D$1000,"&lt;"&amp;'Detalle individual'!D567)*1000000+COUNTIF('Detalle individual'!$C$5:$C$1000,"&lt;"&amp;'Detalle individual'!C567)*1000+COUNTIF('Detalle individual'!$B$5:$B$1000,"&lt;"&amp;'Detalle individual'!B567)+ROW()/10000,"")</f>
        <v/>
      </c>
      <c r="AI567" t="str">
        <f>IF('Detalle individual'!F567="Completado",COUNTIF('Detalle individual'!$D$5:$D$1000,"&lt;"&amp;'Detalle individual'!D567)*1000000+COUNTIF('Detalle individual'!$C$5:$C$1000,"&lt;"&amp;'Detalle individual'!C567)*1000+COUNTIF('Detalle individual'!$B$5:$B$1000,"&lt;"&amp;'Detalle individual'!B567)+ROW()/10000,"")</f>
        <v/>
      </c>
      <c r="AJ567" t="str">
        <f>IF(AND('Detalle individual'!F567&lt;&gt;"",'Detalle individual'!F567&lt;&gt;"Completado",'Detalle individual'!F567&lt;&gt;"Pendiente"),COUNTIF('Detalle individual'!$D$5:$D$1000,"&lt;"&amp;'Detalle individual'!D567)*1000000+COUNTIF('Detalle individual'!$C$5:$C$1000,"&lt;"&amp;'Detalle individual'!C567)*1000+COUNTIF('Detalle individual'!$B$5:$B$1000,"&lt;"&amp;'Detalle individual'!B567)+ROW()/10000,"")</f>
        <v/>
      </c>
      <c r="AK567" t="str">
        <f>IF(OR('Base Exámenes'!C567="",'Base Exámenes'!D567=""),"",IF(COUNTIF('Base Exámenes'!$C$5:C567,'Base Exámenes'!C567)=1,'Base Exámenes'!D567+ROW()/1000000000,""))</f>
        <v/>
      </c>
      <c r="AL567" t="str">
        <f>IF(OR('Base Exámenes'!C567="",'Base Exámenes'!E567=""),"",IF(COUNTIF('Base Exámenes'!$C$5:C567,'Base Exámenes'!C567)=1,'Base Exámenes'!E567+ROW()/1000000000,""))</f>
        <v/>
      </c>
      <c r="AM567" t="str">
        <f>IF(OR('Base Exámenes'!C567="",'Base Exámenes'!G567=""),"",IF(ROW()-4=MATCH('Base Exámenes'!C567&amp;"|"&amp;_xlfn.MAXIFS('Base Exámenes'!$G$5:$G$1000,'Base Exámenes'!$C$5:$C$1000,'Base Exámenes'!C567),'Base Exámenes'!$I$5:$I$1000,0),'Base Exámenes'!G567*1000000+(-1)*'Base Exámenes'!D567,""))</f>
        <v/>
      </c>
      <c r="AQ567" t="str">
        <f>IF('Base Exámenes'!C567="","",IF(COUNTIF('Base Exámenes'!$C$5:$C$1000,'Base Exámenes'!C567)&lt;2,"",MATCH('Base Exámenes'!C567,'Base Exámenes'!$C$5:$C$1000,0)*10000+ROW()))</f>
        <v/>
      </c>
    </row>
    <row r="568">
      <c r="Z568" t="str">
        <f>IF('Detalle individual'!A568="","",IF(AND(OR('Estado por Colaborador'!$D$4="Todas las gerencias",'Detalle individual'!D568='Estado por Colaborador'!$D$4),OR('Estado por Colaborador'!$D$5="Todos los departamentos",TRIM('Detalle individual'!C568)='Estado por Colaborador'!$D$5),OR('Estado por Colaborador'!$D$6="Todos",'Detalle individual'!F568='Estado por Colaborador'!$D$6)),IF('Detalle individual'!F568="Completado",30000000,IF('Detalle individual'!F568="Pendiente",0,15000000))+COUNTIF('Detalle individual'!$C$5:$C$1000,"&lt;"&amp;'Detalle individual'!C568)*10000+ROW(),""))</f>
        <v/>
      </c>
      <c r="AB568" t="str">
        <f>IF('Detalle individual'!C568="","",IF(COUNTIF('Detalle individual'!$C$5:C568,'Detalle individual'!C568)=1,COUNTIF('Detalle individual'!$C$5:$C$1000,"&lt;"&amp;'Detalle individual'!C568),""))</f>
        <v/>
      </c>
      <c r="AC568" t="str">
        <f>IF('Detalle individual'!D568="","",IF(COUNTIF('Detalle individual'!$D$5:D568,'Detalle individual'!D568)=1,COUNTIF('Detalle individual'!$D$5:$D$1000,"&lt;"&amp;'Detalle individual'!D568),""))</f>
        <v/>
      </c>
      <c r="AH568" t="str">
        <f>IF('Detalle individual'!F568="Pendiente",COUNTIF('Detalle individual'!$D$5:$D$1000,"&lt;"&amp;'Detalle individual'!D568)*1000000+COUNTIF('Detalle individual'!$C$5:$C$1000,"&lt;"&amp;'Detalle individual'!C568)*1000+COUNTIF('Detalle individual'!$B$5:$B$1000,"&lt;"&amp;'Detalle individual'!B568)+ROW()/10000,"")</f>
        <v/>
      </c>
      <c r="AI568" t="str">
        <f>IF('Detalle individual'!F568="Completado",COUNTIF('Detalle individual'!$D$5:$D$1000,"&lt;"&amp;'Detalle individual'!D568)*1000000+COUNTIF('Detalle individual'!$C$5:$C$1000,"&lt;"&amp;'Detalle individual'!C568)*1000+COUNTIF('Detalle individual'!$B$5:$B$1000,"&lt;"&amp;'Detalle individual'!B568)+ROW()/10000,"")</f>
        <v/>
      </c>
      <c r="AJ568" t="str">
        <f>IF(AND('Detalle individual'!F568&lt;&gt;"",'Detalle individual'!F568&lt;&gt;"Completado",'Detalle individual'!F568&lt;&gt;"Pendiente"),COUNTIF('Detalle individual'!$D$5:$D$1000,"&lt;"&amp;'Detalle individual'!D568)*1000000+COUNTIF('Detalle individual'!$C$5:$C$1000,"&lt;"&amp;'Detalle individual'!C568)*1000+COUNTIF('Detalle individual'!$B$5:$B$1000,"&lt;"&amp;'Detalle individual'!B568)+ROW()/10000,"")</f>
        <v/>
      </c>
      <c r="AK568" t="str">
        <f>IF(OR('Base Exámenes'!C568="",'Base Exámenes'!D568=""),"",IF(COUNTIF('Base Exámenes'!$C$5:C568,'Base Exámenes'!C568)=1,'Base Exámenes'!D568+ROW()/1000000000,""))</f>
        <v/>
      </c>
      <c r="AL568" t="str">
        <f>IF(OR('Base Exámenes'!C568="",'Base Exámenes'!E568=""),"",IF(COUNTIF('Base Exámenes'!$C$5:C568,'Base Exámenes'!C568)=1,'Base Exámenes'!E568+ROW()/1000000000,""))</f>
        <v/>
      </c>
      <c r="AM568" t="str">
        <f>IF(OR('Base Exámenes'!C568="",'Base Exámenes'!G568=""),"",IF(ROW()-4=MATCH('Base Exámenes'!C568&amp;"|"&amp;_xlfn.MAXIFS('Base Exámenes'!$G$5:$G$1000,'Base Exámenes'!$C$5:$C$1000,'Base Exámenes'!C568),'Base Exámenes'!$I$5:$I$1000,0),'Base Exámenes'!G568*1000000+(-1)*'Base Exámenes'!D568,""))</f>
        <v/>
      </c>
      <c r="AQ568" t="str">
        <f>IF('Base Exámenes'!C568="","",IF(COUNTIF('Base Exámenes'!$C$5:$C$1000,'Base Exámenes'!C568)&lt;2,"",MATCH('Base Exámenes'!C568,'Base Exámenes'!$C$5:$C$1000,0)*10000+ROW()))</f>
        <v/>
      </c>
    </row>
    <row r="569">
      <c r="Z569" t="str">
        <f>IF('Detalle individual'!A569="","",IF(AND(OR('Estado por Colaborador'!$D$4="Todas las gerencias",'Detalle individual'!D569='Estado por Colaborador'!$D$4),OR('Estado por Colaborador'!$D$5="Todos los departamentos",TRIM('Detalle individual'!C569)='Estado por Colaborador'!$D$5),OR('Estado por Colaborador'!$D$6="Todos",'Detalle individual'!F569='Estado por Colaborador'!$D$6)),IF('Detalle individual'!F569="Completado",30000000,IF('Detalle individual'!F569="Pendiente",0,15000000))+COUNTIF('Detalle individual'!$C$5:$C$1000,"&lt;"&amp;'Detalle individual'!C569)*10000+ROW(),""))</f>
        <v/>
      </c>
      <c r="AB569" t="str">
        <f>IF('Detalle individual'!C569="","",IF(COUNTIF('Detalle individual'!$C$5:C569,'Detalle individual'!C569)=1,COUNTIF('Detalle individual'!$C$5:$C$1000,"&lt;"&amp;'Detalle individual'!C569),""))</f>
        <v/>
      </c>
      <c r="AC569" t="str">
        <f>IF('Detalle individual'!D569="","",IF(COUNTIF('Detalle individual'!$D$5:D569,'Detalle individual'!D569)=1,COUNTIF('Detalle individual'!$D$5:$D$1000,"&lt;"&amp;'Detalle individual'!D569),""))</f>
        <v/>
      </c>
      <c r="AH569" t="str">
        <f>IF('Detalle individual'!F569="Pendiente",COUNTIF('Detalle individual'!$D$5:$D$1000,"&lt;"&amp;'Detalle individual'!D569)*1000000+COUNTIF('Detalle individual'!$C$5:$C$1000,"&lt;"&amp;'Detalle individual'!C569)*1000+COUNTIF('Detalle individual'!$B$5:$B$1000,"&lt;"&amp;'Detalle individual'!B569)+ROW()/10000,"")</f>
        <v/>
      </c>
      <c r="AI569" t="str">
        <f>IF('Detalle individual'!F569="Completado",COUNTIF('Detalle individual'!$D$5:$D$1000,"&lt;"&amp;'Detalle individual'!D569)*1000000+COUNTIF('Detalle individual'!$C$5:$C$1000,"&lt;"&amp;'Detalle individual'!C569)*1000+COUNTIF('Detalle individual'!$B$5:$B$1000,"&lt;"&amp;'Detalle individual'!B569)+ROW()/10000,"")</f>
        <v/>
      </c>
      <c r="AJ569" t="str">
        <f>IF(AND('Detalle individual'!F569&lt;&gt;"",'Detalle individual'!F569&lt;&gt;"Completado",'Detalle individual'!F569&lt;&gt;"Pendiente"),COUNTIF('Detalle individual'!$D$5:$D$1000,"&lt;"&amp;'Detalle individual'!D569)*1000000+COUNTIF('Detalle individual'!$C$5:$C$1000,"&lt;"&amp;'Detalle individual'!C569)*1000+COUNTIF('Detalle individual'!$B$5:$B$1000,"&lt;"&amp;'Detalle individual'!B569)+ROW()/10000,"")</f>
        <v/>
      </c>
      <c r="AK569" t="str">
        <f>IF(OR('Base Exámenes'!C569="",'Base Exámenes'!D569=""),"",IF(COUNTIF('Base Exámenes'!$C$5:C569,'Base Exámenes'!C569)=1,'Base Exámenes'!D569+ROW()/1000000000,""))</f>
        <v/>
      </c>
      <c r="AL569" t="str">
        <f>IF(OR('Base Exámenes'!C569="",'Base Exámenes'!E569=""),"",IF(COUNTIF('Base Exámenes'!$C$5:C569,'Base Exámenes'!C569)=1,'Base Exámenes'!E569+ROW()/1000000000,""))</f>
        <v/>
      </c>
      <c r="AM569" t="str">
        <f>IF(OR('Base Exámenes'!C569="",'Base Exámenes'!G569=""),"",IF(ROW()-4=MATCH('Base Exámenes'!C569&amp;"|"&amp;_xlfn.MAXIFS('Base Exámenes'!$G$5:$G$1000,'Base Exámenes'!$C$5:$C$1000,'Base Exámenes'!C569),'Base Exámenes'!$I$5:$I$1000,0),'Base Exámenes'!G569*1000000+(-1)*'Base Exámenes'!D569,""))</f>
        <v/>
      </c>
      <c r="AQ569" t="str">
        <f>IF('Base Exámenes'!C569="","",IF(COUNTIF('Base Exámenes'!$C$5:$C$1000,'Base Exámenes'!C569)&lt;2,"",MATCH('Base Exámenes'!C569,'Base Exámenes'!$C$5:$C$1000,0)*10000+ROW()))</f>
        <v/>
      </c>
    </row>
    <row r="570">
      <c r="Z570" t="str">
        <f>IF('Detalle individual'!A570="","",IF(AND(OR('Estado por Colaborador'!$D$4="Todas las gerencias",'Detalle individual'!D570='Estado por Colaborador'!$D$4),OR('Estado por Colaborador'!$D$5="Todos los departamentos",TRIM('Detalle individual'!C570)='Estado por Colaborador'!$D$5),OR('Estado por Colaborador'!$D$6="Todos",'Detalle individual'!F570='Estado por Colaborador'!$D$6)),IF('Detalle individual'!F570="Completado",30000000,IF('Detalle individual'!F570="Pendiente",0,15000000))+COUNTIF('Detalle individual'!$C$5:$C$1000,"&lt;"&amp;'Detalle individual'!C570)*10000+ROW(),""))</f>
        <v/>
      </c>
      <c r="AB570" t="str">
        <f>IF('Detalle individual'!C570="","",IF(COUNTIF('Detalle individual'!$C$5:C570,'Detalle individual'!C570)=1,COUNTIF('Detalle individual'!$C$5:$C$1000,"&lt;"&amp;'Detalle individual'!C570),""))</f>
        <v/>
      </c>
      <c r="AC570" t="str">
        <f>IF('Detalle individual'!D570="","",IF(COUNTIF('Detalle individual'!$D$5:D570,'Detalle individual'!D570)=1,COUNTIF('Detalle individual'!$D$5:$D$1000,"&lt;"&amp;'Detalle individual'!D570),""))</f>
        <v/>
      </c>
      <c r="AH570" t="str">
        <f>IF('Detalle individual'!F570="Pendiente",COUNTIF('Detalle individual'!$D$5:$D$1000,"&lt;"&amp;'Detalle individual'!D570)*1000000+COUNTIF('Detalle individual'!$C$5:$C$1000,"&lt;"&amp;'Detalle individual'!C570)*1000+COUNTIF('Detalle individual'!$B$5:$B$1000,"&lt;"&amp;'Detalle individual'!B570)+ROW()/10000,"")</f>
        <v/>
      </c>
      <c r="AI570" t="str">
        <f>IF('Detalle individual'!F570="Completado",COUNTIF('Detalle individual'!$D$5:$D$1000,"&lt;"&amp;'Detalle individual'!D570)*1000000+COUNTIF('Detalle individual'!$C$5:$C$1000,"&lt;"&amp;'Detalle individual'!C570)*1000+COUNTIF('Detalle individual'!$B$5:$B$1000,"&lt;"&amp;'Detalle individual'!B570)+ROW()/10000,"")</f>
        <v/>
      </c>
      <c r="AJ570" t="str">
        <f>IF(AND('Detalle individual'!F570&lt;&gt;"",'Detalle individual'!F570&lt;&gt;"Completado",'Detalle individual'!F570&lt;&gt;"Pendiente"),COUNTIF('Detalle individual'!$D$5:$D$1000,"&lt;"&amp;'Detalle individual'!D570)*1000000+COUNTIF('Detalle individual'!$C$5:$C$1000,"&lt;"&amp;'Detalle individual'!C570)*1000+COUNTIF('Detalle individual'!$B$5:$B$1000,"&lt;"&amp;'Detalle individual'!B570)+ROW()/10000,"")</f>
        <v/>
      </c>
      <c r="AK570" t="str">
        <f>IF(OR('Base Exámenes'!C570="",'Base Exámenes'!D570=""),"",IF(COUNTIF('Base Exámenes'!$C$5:C570,'Base Exámenes'!C570)=1,'Base Exámenes'!D570+ROW()/1000000000,""))</f>
        <v/>
      </c>
      <c r="AL570" t="str">
        <f>IF(OR('Base Exámenes'!C570="",'Base Exámenes'!E570=""),"",IF(COUNTIF('Base Exámenes'!$C$5:C570,'Base Exámenes'!C570)=1,'Base Exámenes'!E570+ROW()/1000000000,""))</f>
        <v/>
      </c>
      <c r="AM570" t="str">
        <f>IF(OR('Base Exámenes'!C570="",'Base Exámenes'!G570=""),"",IF(ROW()-4=MATCH('Base Exámenes'!C570&amp;"|"&amp;_xlfn.MAXIFS('Base Exámenes'!$G$5:$G$1000,'Base Exámenes'!$C$5:$C$1000,'Base Exámenes'!C570),'Base Exámenes'!$I$5:$I$1000,0),'Base Exámenes'!G570*1000000+(-1)*'Base Exámenes'!D570,""))</f>
        <v/>
      </c>
      <c r="AQ570" t="str">
        <f>IF('Base Exámenes'!C570="","",IF(COUNTIF('Base Exámenes'!$C$5:$C$1000,'Base Exámenes'!C570)&lt;2,"",MATCH('Base Exámenes'!C570,'Base Exámenes'!$C$5:$C$1000,0)*10000+ROW()))</f>
        <v/>
      </c>
    </row>
    <row r="571">
      <c r="Z571" t="str">
        <f>IF('Detalle individual'!A571="","",IF(AND(OR('Estado por Colaborador'!$D$4="Todas las gerencias",'Detalle individual'!D571='Estado por Colaborador'!$D$4),OR('Estado por Colaborador'!$D$5="Todos los departamentos",TRIM('Detalle individual'!C571)='Estado por Colaborador'!$D$5),OR('Estado por Colaborador'!$D$6="Todos",'Detalle individual'!F571='Estado por Colaborador'!$D$6)),IF('Detalle individual'!F571="Completado",30000000,IF('Detalle individual'!F571="Pendiente",0,15000000))+COUNTIF('Detalle individual'!$C$5:$C$1000,"&lt;"&amp;'Detalle individual'!C571)*10000+ROW(),""))</f>
        <v/>
      </c>
      <c r="AB571" t="str">
        <f>IF('Detalle individual'!C571="","",IF(COUNTIF('Detalle individual'!$C$5:C571,'Detalle individual'!C571)=1,COUNTIF('Detalle individual'!$C$5:$C$1000,"&lt;"&amp;'Detalle individual'!C571),""))</f>
        <v/>
      </c>
      <c r="AC571" t="str">
        <f>IF('Detalle individual'!D571="","",IF(COUNTIF('Detalle individual'!$D$5:D571,'Detalle individual'!D571)=1,COUNTIF('Detalle individual'!$D$5:$D$1000,"&lt;"&amp;'Detalle individual'!D571),""))</f>
        <v/>
      </c>
      <c r="AH571" t="str">
        <f>IF('Detalle individual'!F571="Pendiente",COUNTIF('Detalle individual'!$D$5:$D$1000,"&lt;"&amp;'Detalle individual'!D571)*1000000+COUNTIF('Detalle individual'!$C$5:$C$1000,"&lt;"&amp;'Detalle individual'!C571)*1000+COUNTIF('Detalle individual'!$B$5:$B$1000,"&lt;"&amp;'Detalle individual'!B571)+ROW()/10000,"")</f>
        <v/>
      </c>
      <c r="AI571" t="str">
        <f>IF('Detalle individual'!F571="Completado",COUNTIF('Detalle individual'!$D$5:$D$1000,"&lt;"&amp;'Detalle individual'!D571)*1000000+COUNTIF('Detalle individual'!$C$5:$C$1000,"&lt;"&amp;'Detalle individual'!C571)*1000+COUNTIF('Detalle individual'!$B$5:$B$1000,"&lt;"&amp;'Detalle individual'!B571)+ROW()/10000,"")</f>
        <v/>
      </c>
      <c r="AJ571" t="str">
        <f>IF(AND('Detalle individual'!F571&lt;&gt;"",'Detalle individual'!F571&lt;&gt;"Completado",'Detalle individual'!F571&lt;&gt;"Pendiente"),COUNTIF('Detalle individual'!$D$5:$D$1000,"&lt;"&amp;'Detalle individual'!D571)*1000000+COUNTIF('Detalle individual'!$C$5:$C$1000,"&lt;"&amp;'Detalle individual'!C571)*1000+COUNTIF('Detalle individual'!$B$5:$B$1000,"&lt;"&amp;'Detalle individual'!B571)+ROW()/10000,"")</f>
        <v/>
      </c>
      <c r="AK571" t="str">
        <f>IF(OR('Base Exámenes'!C571="",'Base Exámenes'!D571=""),"",IF(COUNTIF('Base Exámenes'!$C$5:C571,'Base Exámenes'!C571)=1,'Base Exámenes'!D571+ROW()/1000000000,""))</f>
        <v/>
      </c>
      <c r="AL571" t="str">
        <f>IF(OR('Base Exámenes'!C571="",'Base Exámenes'!E571=""),"",IF(COUNTIF('Base Exámenes'!$C$5:C571,'Base Exámenes'!C571)=1,'Base Exámenes'!E571+ROW()/1000000000,""))</f>
        <v/>
      </c>
      <c r="AM571" t="str">
        <f>IF(OR('Base Exámenes'!C571="",'Base Exámenes'!G571=""),"",IF(ROW()-4=MATCH('Base Exámenes'!C571&amp;"|"&amp;_xlfn.MAXIFS('Base Exámenes'!$G$5:$G$1000,'Base Exámenes'!$C$5:$C$1000,'Base Exámenes'!C571),'Base Exámenes'!$I$5:$I$1000,0),'Base Exámenes'!G571*1000000+(-1)*'Base Exámenes'!D571,""))</f>
        <v/>
      </c>
      <c r="AQ571" t="str">
        <f>IF('Base Exámenes'!C571="","",IF(COUNTIF('Base Exámenes'!$C$5:$C$1000,'Base Exámenes'!C571)&lt;2,"",MATCH('Base Exámenes'!C571,'Base Exámenes'!$C$5:$C$1000,0)*10000+ROW()))</f>
        <v/>
      </c>
    </row>
    <row r="572">
      <c r="Z572" t="str">
        <f>IF('Detalle individual'!A572="","",IF(AND(OR('Estado por Colaborador'!$D$4="Todas las gerencias",'Detalle individual'!D572='Estado por Colaborador'!$D$4),OR('Estado por Colaborador'!$D$5="Todos los departamentos",TRIM('Detalle individual'!C572)='Estado por Colaborador'!$D$5),OR('Estado por Colaborador'!$D$6="Todos",'Detalle individual'!F572='Estado por Colaborador'!$D$6)),IF('Detalle individual'!F572="Completado",30000000,IF('Detalle individual'!F572="Pendiente",0,15000000))+COUNTIF('Detalle individual'!$C$5:$C$1000,"&lt;"&amp;'Detalle individual'!C572)*10000+ROW(),""))</f>
        <v/>
      </c>
      <c r="AB572" t="str">
        <f>IF('Detalle individual'!C572="","",IF(COUNTIF('Detalle individual'!$C$5:C572,'Detalle individual'!C572)=1,COUNTIF('Detalle individual'!$C$5:$C$1000,"&lt;"&amp;'Detalle individual'!C572),""))</f>
        <v/>
      </c>
      <c r="AC572" t="str">
        <f>IF('Detalle individual'!D572="","",IF(COUNTIF('Detalle individual'!$D$5:D572,'Detalle individual'!D572)=1,COUNTIF('Detalle individual'!$D$5:$D$1000,"&lt;"&amp;'Detalle individual'!D572),""))</f>
        <v/>
      </c>
      <c r="AH572" t="str">
        <f>IF('Detalle individual'!F572="Pendiente",COUNTIF('Detalle individual'!$D$5:$D$1000,"&lt;"&amp;'Detalle individual'!D572)*1000000+COUNTIF('Detalle individual'!$C$5:$C$1000,"&lt;"&amp;'Detalle individual'!C572)*1000+COUNTIF('Detalle individual'!$B$5:$B$1000,"&lt;"&amp;'Detalle individual'!B572)+ROW()/10000,"")</f>
        <v/>
      </c>
      <c r="AI572" t="str">
        <f>IF('Detalle individual'!F572="Completado",COUNTIF('Detalle individual'!$D$5:$D$1000,"&lt;"&amp;'Detalle individual'!D572)*1000000+COUNTIF('Detalle individual'!$C$5:$C$1000,"&lt;"&amp;'Detalle individual'!C572)*1000+COUNTIF('Detalle individual'!$B$5:$B$1000,"&lt;"&amp;'Detalle individual'!B572)+ROW()/10000,"")</f>
        <v/>
      </c>
      <c r="AJ572" t="str">
        <f>IF(AND('Detalle individual'!F572&lt;&gt;"",'Detalle individual'!F572&lt;&gt;"Completado",'Detalle individual'!F572&lt;&gt;"Pendiente"),COUNTIF('Detalle individual'!$D$5:$D$1000,"&lt;"&amp;'Detalle individual'!D572)*1000000+COUNTIF('Detalle individual'!$C$5:$C$1000,"&lt;"&amp;'Detalle individual'!C572)*1000+COUNTIF('Detalle individual'!$B$5:$B$1000,"&lt;"&amp;'Detalle individual'!B572)+ROW()/10000,"")</f>
        <v/>
      </c>
      <c r="AK572" t="str">
        <f>IF(OR('Base Exámenes'!C572="",'Base Exámenes'!D572=""),"",IF(COUNTIF('Base Exámenes'!$C$5:C572,'Base Exámenes'!C572)=1,'Base Exámenes'!D572+ROW()/1000000000,""))</f>
        <v/>
      </c>
      <c r="AL572" t="str">
        <f>IF(OR('Base Exámenes'!C572="",'Base Exámenes'!E572=""),"",IF(COUNTIF('Base Exámenes'!$C$5:C572,'Base Exámenes'!C572)=1,'Base Exámenes'!E572+ROW()/1000000000,""))</f>
        <v/>
      </c>
      <c r="AM572" t="str">
        <f>IF(OR('Base Exámenes'!C572="",'Base Exámenes'!G572=""),"",IF(ROW()-4=MATCH('Base Exámenes'!C572&amp;"|"&amp;_xlfn.MAXIFS('Base Exámenes'!$G$5:$G$1000,'Base Exámenes'!$C$5:$C$1000,'Base Exámenes'!C572),'Base Exámenes'!$I$5:$I$1000,0),'Base Exámenes'!G572*1000000+(-1)*'Base Exámenes'!D572,""))</f>
        <v/>
      </c>
      <c r="AQ572" t="str">
        <f>IF('Base Exámenes'!C572="","",IF(COUNTIF('Base Exámenes'!$C$5:$C$1000,'Base Exámenes'!C572)&lt;2,"",MATCH('Base Exámenes'!C572,'Base Exámenes'!$C$5:$C$1000,0)*10000+ROW()))</f>
        <v/>
      </c>
    </row>
    <row r="573">
      <c r="Z573" t="str">
        <f>IF('Detalle individual'!A573="","",IF(AND(OR('Estado por Colaborador'!$D$4="Todas las gerencias",'Detalle individual'!D573='Estado por Colaborador'!$D$4),OR('Estado por Colaborador'!$D$5="Todos los departamentos",TRIM('Detalle individual'!C573)='Estado por Colaborador'!$D$5),OR('Estado por Colaborador'!$D$6="Todos",'Detalle individual'!F573='Estado por Colaborador'!$D$6)),IF('Detalle individual'!F573="Completado",30000000,IF('Detalle individual'!F573="Pendiente",0,15000000))+COUNTIF('Detalle individual'!$C$5:$C$1000,"&lt;"&amp;'Detalle individual'!C573)*10000+ROW(),""))</f>
        <v/>
      </c>
      <c r="AB573" t="str">
        <f>IF('Detalle individual'!C573="","",IF(COUNTIF('Detalle individual'!$C$5:C573,'Detalle individual'!C573)=1,COUNTIF('Detalle individual'!$C$5:$C$1000,"&lt;"&amp;'Detalle individual'!C573),""))</f>
        <v/>
      </c>
      <c r="AC573" t="str">
        <f>IF('Detalle individual'!D573="","",IF(COUNTIF('Detalle individual'!$D$5:D573,'Detalle individual'!D573)=1,COUNTIF('Detalle individual'!$D$5:$D$1000,"&lt;"&amp;'Detalle individual'!D573),""))</f>
        <v/>
      </c>
      <c r="AH573" t="str">
        <f>IF('Detalle individual'!F573="Pendiente",COUNTIF('Detalle individual'!$D$5:$D$1000,"&lt;"&amp;'Detalle individual'!D573)*1000000+COUNTIF('Detalle individual'!$C$5:$C$1000,"&lt;"&amp;'Detalle individual'!C573)*1000+COUNTIF('Detalle individual'!$B$5:$B$1000,"&lt;"&amp;'Detalle individual'!B573)+ROW()/10000,"")</f>
        <v/>
      </c>
      <c r="AI573" t="str">
        <f>IF('Detalle individual'!F573="Completado",COUNTIF('Detalle individual'!$D$5:$D$1000,"&lt;"&amp;'Detalle individual'!D573)*1000000+COUNTIF('Detalle individual'!$C$5:$C$1000,"&lt;"&amp;'Detalle individual'!C573)*1000+COUNTIF('Detalle individual'!$B$5:$B$1000,"&lt;"&amp;'Detalle individual'!B573)+ROW()/10000,"")</f>
        <v/>
      </c>
      <c r="AJ573" t="str">
        <f>IF(AND('Detalle individual'!F573&lt;&gt;"",'Detalle individual'!F573&lt;&gt;"Completado",'Detalle individual'!F573&lt;&gt;"Pendiente"),COUNTIF('Detalle individual'!$D$5:$D$1000,"&lt;"&amp;'Detalle individual'!D573)*1000000+COUNTIF('Detalle individual'!$C$5:$C$1000,"&lt;"&amp;'Detalle individual'!C573)*1000+COUNTIF('Detalle individual'!$B$5:$B$1000,"&lt;"&amp;'Detalle individual'!B573)+ROW()/10000,"")</f>
        <v/>
      </c>
      <c r="AK573" t="str">
        <f>IF(OR('Base Exámenes'!C573="",'Base Exámenes'!D573=""),"",IF(COUNTIF('Base Exámenes'!$C$5:C573,'Base Exámenes'!C573)=1,'Base Exámenes'!D573+ROW()/1000000000,""))</f>
        <v/>
      </c>
      <c r="AL573" t="str">
        <f>IF(OR('Base Exámenes'!C573="",'Base Exámenes'!E573=""),"",IF(COUNTIF('Base Exámenes'!$C$5:C573,'Base Exámenes'!C573)=1,'Base Exámenes'!E573+ROW()/1000000000,""))</f>
        <v/>
      </c>
      <c r="AM573" t="str">
        <f>IF(OR('Base Exámenes'!C573="",'Base Exámenes'!G573=""),"",IF(ROW()-4=MATCH('Base Exámenes'!C573&amp;"|"&amp;_xlfn.MAXIFS('Base Exámenes'!$G$5:$G$1000,'Base Exámenes'!$C$5:$C$1000,'Base Exámenes'!C573),'Base Exámenes'!$I$5:$I$1000,0),'Base Exámenes'!G573*1000000+(-1)*'Base Exámenes'!D573,""))</f>
        <v/>
      </c>
      <c r="AQ573" t="str">
        <f>IF('Base Exámenes'!C573="","",IF(COUNTIF('Base Exámenes'!$C$5:$C$1000,'Base Exámenes'!C573)&lt;2,"",MATCH('Base Exámenes'!C573,'Base Exámenes'!$C$5:$C$1000,0)*10000+ROW()))</f>
        <v/>
      </c>
    </row>
    <row r="574">
      <c r="Z574" t="str">
        <f>IF('Detalle individual'!A574="","",IF(AND(OR('Estado por Colaborador'!$D$4="Todas las gerencias",'Detalle individual'!D574='Estado por Colaborador'!$D$4),OR('Estado por Colaborador'!$D$5="Todos los departamentos",TRIM('Detalle individual'!C574)='Estado por Colaborador'!$D$5),OR('Estado por Colaborador'!$D$6="Todos",'Detalle individual'!F574='Estado por Colaborador'!$D$6)),IF('Detalle individual'!F574="Completado",30000000,IF('Detalle individual'!F574="Pendiente",0,15000000))+COUNTIF('Detalle individual'!$C$5:$C$1000,"&lt;"&amp;'Detalle individual'!C574)*10000+ROW(),""))</f>
        <v/>
      </c>
      <c r="AB574" t="str">
        <f>IF('Detalle individual'!C574="","",IF(COUNTIF('Detalle individual'!$C$5:C574,'Detalle individual'!C574)=1,COUNTIF('Detalle individual'!$C$5:$C$1000,"&lt;"&amp;'Detalle individual'!C574),""))</f>
        <v/>
      </c>
      <c r="AC574" t="str">
        <f>IF('Detalle individual'!D574="","",IF(COUNTIF('Detalle individual'!$D$5:D574,'Detalle individual'!D574)=1,COUNTIF('Detalle individual'!$D$5:$D$1000,"&lt;"&amp;'Detalle individual'!D574),""))</f>
        <v/>
      </c>
      <c r="AH574" t="str">
        <f>IF('Detalle individual'!F574="Pendiente",COUNTIF('Detalle individual'!$D$5:$D$1000,"&lt;"&amp;'Detalle individual'!D574)*1000000+COUNTIF('Detalle individual'!$C$5:$C$1000,"&lt;"&amp;'Detalle individual'!C574)*1000+COUNTIF('Detalle individual'!$B$5:$B$1000,"&lt;"&amp;'Detalle individual'!B574)+ROW()/10000,"")</f>
        <v/>
      </c>
      <c r="AI574" t="str">
        <f>IF('Detalle individual'!F574="Completado",COUNTIF('Detalle individual'!$D$5:$D$1000,"&lt;"&amp;'Detalle individual'!D574)*1000000+COUNTIF('Detalle individual'!$C$5:$C$1000,"&lt;"&amp;'Detalle individual'!C574)*1000+COUNTIF('Detalle individual'!$B$5:$B$1000,"&lt;"&amp;'Detalle individual'!B574)+ROW()/10000,"")</f>
        <v/>
      </c>
      <c r="AJ574" t="str">
        <f>IF(AND('Detalle individual'!F574&lt;&gt;"",'Detalle individual'!F574&lt;&gt;"Completado",'Detalle individual'!F574&lt;&gt;"Pendiente"),COUNTIF('Detalle individual'!$D$5:$D$1000,"&lt;"&amp;'Detalle individual'!D574)*1000000+COUNTIF('Detalle individual'!$C$5:$C$1000,"&lt;"&amp;'Detalle individual'!C574)*1000+COUNTIF('Detalle individual'!$B$5:$B$1000,"&lt;"&amp;'Detalle individual'!B574)+ROW()/10000,"")</f>
        <v/>
      </c>
      <c r="AK574" t="str">
        <f>IF(OR('Base Exámenes'!C574="",'Base Exámenes'!D574=""),"",IF(COUNTIF('Base Exámenes'!$C$5:C574,'Base Exámenes'!C574)=1,'Base Exámenes'!D574+ROW()/1000000000,""))</f>
        <v/>
      </c>
      <c r="AL574" t="str">
        <f>IF(OR('Base Exámenes'!C574="",'Base Exámenes'!E574=""),"",IF(COUNTIF('Base Exámenes'!$C$5:C574,'Base Exámenes'!C574)=1,'Base Exámenes'!E574+ROW()/1000000000,""))</f>
        <v/>
      </c>
      <c r="AM574" t="str">
        <f>IF(OR('Base Exámenes'!C574="",'Base Exámenes'!G574=""),"",IF(ROW()-4=MATCH('Base Exámenes'!C574&amp;"|"&amp;_xlfn.MAXIFS('Base Exámenes'!$G$5:$G$1000,'Base Exámenes'!$C$5:$C$1000,'Base Exámenes'!C574),'Base Exámenes'!$I$5:$I$1000,0),'Base Exámenes'!G574*1000000+(-1)*'Base Exámenes'!D574,""))</f>
        <v/>
      </c>
      <c r="AQ574" t="str">
        <f>IF('Base Exámenes'!C574="","",IF(COUNTIF('Base Exámenes'!$C$5:$C$1000,'Base Exámenes'!C574)&lt;2,"",MATCH('Base Exámenes'!C574,'Base Exámenes'!$C$5:$C$1000,0)*10000+ROW()))</f>
        <v/>
      </c>
    </row>
    <row r="575">
      <c r="Z575" t="str">
        <f>IF('Detalle individual'!A575="","",IF(AND(OR('Estado por Colaborador'!$D$4="Todas las gerencias",'Detalle individual'!D575='Estado por Colaborador'!$D$4),OR('Estado por Colaborador'!$D$5="Todos los departamentos",TRIM('Detalle individual'!C575)='Estado por Colaborador'!$D$5),OR('Estado por Colaborador'!$D$6="Todos",'Detalle individual'!F575='Estado por Colaborador'!$D$6)),IF('Detalle individual'!F575="Completado",30000000,IF('Detalle individual'!F575="Pendiente",0,15000000))+COUNTIF('Detalle individual'!$C$5:$C$1000,"&lt;"&amp;'Detalle individual'!C575)*10000+ROW(),""))</f>
        <v/>
      </c>
      <c r="AB575" t="str">
        <f>IF('Detalle individual'!C575="","",IF(COUNTIF('Detalle individual'!$C$5:C575,'Detalle individual'!C575)=1,COUNTIF('Detalle individual'!$C$5:$C$1000,"&lt;"&amp;'Detalle individual'!C575),""))</f>
        <v/>
      </c>
      <c r="AC575" t="str">
        <f>IF('Detalle individual'!D575="","",IF(COUNTIF('Detalle individual'!$D$5:D575,'Detalle individual'!D575)=1,COUNTIF('Detalle individual'!$D$5:$D$1000,"&lt;"&amp;'Detalle individual'!D575),""))</f>
        <v/>
      </c>
      <c r="AH575" t="str">
        <f>IF('Detalle individual'!F575="Pendiente",COUNTIF('Detalle individual'!$D$5:$D$1000,"&lt;"&amp;'Detalle individual'!D575)*1000000+COUNTIF('Detalle individual'!$C$5:$C$1000,"&lt;"&amp;'Detalle individual'!C575)*1000+COUNTIF('Detalle individual'!$B$5:$B$1000,"&lt;"&amp;'Detalle individual'!B575)+ROW()/10000,"")</f>
        <v/>
      </c>
      <c r="AI575" t="str">
        <f>IF('Detalle individual'!F575="Completado",COUNTIF('Detalle individual'!$D$5:$D$1000,"&lt;"&amp;'Detalle individual'!D575)*1000000+COUNTIF('Detalle individual'!$C$5:$C$1000,"&lt;"&amp;'Detalle individual'!C575)*1000+COUNTIF('Detalle individual'!$B$5:$B$1000,"&lt;"&amp;'Detalle individual'!B575)+ROW()/10000,"")</f>
        <v/>
      </c>
      <c r="AJ575" t="str">
        <f>IF(AND('Detalle individual'!F575&lt;&gt;"",'Detalle individual'!F575&lt;&gt;"Completado",'Detalle individual'!F575&lt;&gt;"Pendiente"),COUNTIF('Detalle individual'!$D$5:$D$1000,"&lt;"&amp;'Detalle individual'!D575)*1000000+COUNTIF('Detalle individual'!$C$5:$C$1000,"&lt;"&amp;'Detalle individual'!C575)*1000+COUNTIF('Detalle individual'!$B$5:$B$1000,"&lt;"&amp;'Detalle individual'!B575)+ROW()/10000,"")</f>
        <v/>
      </c>
      <c r="AK575" t="str">
        <f>IF(OR('Base Exámenes'!C575="",'Base Exámenes'!D575=""),"",IF(COUNTIF('Base Exámenes'!$C$5:C575,'Base Exámenes'!C575)=1,'Base Exámenes'!D575+ROW()/1000000000,""))</f>
        <v/>
      </c>
      <c r="AL575" t="str">
        <f>IF(OR('Base Exámenes'!C575="",'Base Exámenes'!E575=""),"",IF(COUNTIF('Base Exámenes'!$C$5:C575,'Base Exámenes'!C575)=1,'Base Exámenes'!E575+ROW()/1000000000,""))</f>
        <v/>
      </c>
      <c r="AM575" t="str">
        <f>IF(OR('Base Exámenes'!C575="",'Base Exámenes'!G575=""),"",IF(ROW()-4=MATCH('Base Exámenes'!C575&amp;"|"&amp;_xlfn.MAXIFS('Base Exámenes'!$G$5:$G$1000,'Base Exámenes'!$C$5:$C$1000,'Base Exámenes'!C575),'Base Exámenes'!$I$5:$I$1000,0),'Base Exámenes'!G575*1000000+(-1)*'Base Exámenes'!D575,""))</f>
        <v/>
      </c>
      <c r="AQ575" t="str">
        <f>IF('Base Exámenes'!C575="","",IF(COUNTIF('Base Exámenes'!$C$5:$C$1000,'Base Exámenes'!C575)&lt;2,"",MATCH('Base Exámenes'!C575,'Base Exámenes'!$C$5:$C$1000,0)*10000+ROW()))</f>
        <v/>
      </c>
    </row>
    <row r="576">
      <c r="Z576" t="str">
        <f>IF('Detalle individual'!A576="","",IF(AND(OR('Estado por Colaborador'!$D$4="Todas las gerencias",'Detalle individual'!D576='Estado por Colaborador'!$D$4),OR('Estado por Colaborador'!$D$5="Todos los departamentos",TRIM('Detalle individual'!C576)='Estado por Colaborador'!$D$5),OR('Estado por Colaborador'!$D$6="Todos",'Detalle individual'!F576='Estado por Colaborador'!$D$6)),IF('Detalle individual'!F576="Completado",30000000,IF('Detalle individual'!F576="Pendiente",0,15000000))+COUNTIF('Detalle individual'!$C$5:$C$1000,"&lt;"&amp;'Detalle individual'!C576)*10000+ROW(),""))</f>
        <v/>
      </c>
      <c r="AB576" t="str">
        <f>IF('Detalle individual'!C576="","",IF(COUNTIF('Detalle individual'!$C$5:C576,'Detalle individual'!C576)=1,COUNTIF('Detalle individual'!$C$5:$C$1000,"&lt;"&amp;'Detalle individual'!C576),""))</f>
        <v/>
      </c>
      <c r="AC576" t="str">
        <f>IF('Detalle individual'!D576="","",IF(COUNTIF('Detalle individual'!$D$5:D576,'Detalle individual'!D576)=1,COUNTIF('Detalle individual'!$D$5:$D$1000,"&lt;"&amp;'Detalle individual'!D576),""))</f>
        <v/>
      </c>
      <c r="AH576" t="str">
        <f>IF('Detalle individual'!F576="Pendiente",COUNTIF('Detalle individual'!$D$5:$D$1000,"&lt;"&amp;'Detalle individual'!D576)*1000000+COUNTIF('Detalle individual'!$C$5:$C$1000,"&lt;"&amp;'Detalle individual'!C576)*1000+COUNTIF('Detalle individual'!$B$5:$B$1000,"&lt;"&amp;'Detalle individual'!B576)+ROW()/10000,"")</f>
        <v/>
      </c>
      <c r="AI576" t="str">
        <f>IF('Detalle individual'!F576="Completado",COUNTIF('Detalle individual'!$D$5:$D$1000,"&lt;"&amp;'Detalle individual'!D576)*1000000+COUNTIF('Detalle individual'!$C$5:$C$1000,"&lt;"&amp;'Detalle individual'!C576)*1000+COUNTIF('Detalle individual'!$B$5:$B$1000,"&lt;"&amp;'Detalle individual'!B576)+ROW()/10000,"")</f>
        <v/>
      </c>
      <c r="AJ576" t="str">
        <f>IF(AND('Detalle individual'!F576&lt;&gt;"",'Detalle individual'!F576&lt;&gt;"Completado",'Detalle individual'!F576&lt;&gt;"Pendiente"),COUNTIF('Detalle individual'!$D$5:$D$1000,"&lt;"&amp;'Detalle individual'!D576)*1000000+COUNTIF('Detalle individual'!$C$5:$C$1000,"&lt;"&amp;'Detalle individual'!C576)*1000+COUNTIF('Detalle individual'!$B$5:$B$1000,"&lt;"&amp;'Detalle individual'!B576)+ROW()/10000,"")</f>
        <v/>
      </c>
      <c r="AK576" t="str">
        <f>IF(OR('Base Exámenes'!C576="",'Base Exámenes'!D576=""),"",IF(COUNTIF('Base Exámenes'!$C$5:C576,'Base Exámenes'!C576)=1,'Base Exámenes'!D576+ROW()/1000000000,""))</f>
        <v/>
      </c>
      <c r="AL576" t="str">
        <f>IF(OR('Base Exámenes'!C576="",'Base Exámenes'!E576=""),"",IF(COUNTIF('Base Exámenes'!$C$5:C576,'Base Exámenes'!C576)=1,'Base Exámenes'!E576+ROW()/1000000000,""))</f>
        <v/>
      </c>
      <c r="AM576" t="str">
        <f>IF(OR('Base Exámenes'!C576="",'Base Exámenes'!G576=""),"",IF(ROW()-4=MATCH('Base Exámenes'!C576&amp;"|"&amp;_xlfn.MAXIFS('Base Exámenes'!$G$5:$G$1000,'Base Exámenes'!$C$5:$C$1000,'Base Exámenes'!C576),'Base Exámenes'!$I$5:$I$1000,0),'Base Exámenes'!G576*1000000+(-1)*'Base Exámenes'!D576,""))</f>
        <v/>
      </c>
      <c r="AQ576" t="str">
        <f>IF('Base Exámenes'!C576="","",IF(COUNTIF('Base Exámenes'!$C$5:$C$1000,'Base Exámenes'!C576)&lt;2,"",MATCH('Base Exámenes'!C576,'Base Exámenes'!$C$5:$C$1000,0)*10000+ROW()))</f>
        <v/>
      </c>
    </row>
    <row r="577">
      <c r="Z577" t="str">
        <f>IF('Detalle individual'!A577="","",IF(AND(OR('Estado por Colaborador'!$D$4="Todas las gerencias",'Detalle individual'!D577='Estado por Colaborador'!$D$4),OR('Estado por Colaborador'!$D$5="Todos los departamentos",TRIM('Detalle individual'!C577)='Estado por Colaborador'!$D$5),OR('Estado por Colaborador'!$D$6="Todos",'Detalle individual'!F577='Estado por Colaborador'!$D$6)),IF('Detalle individual'!F577="Completado",30000000,IF('Detalle individual'!F577="Pendiente",0,15000000))+COUNTIF('Detalle individual'!$C$5:$C$1000,"&lt;"&amp;'Detalle individual'!C577)*10000+ROW(),""))</f>
        <v/>
      </c>
      <c r="AB577" t="str">
        <f>IF('Detalle individual'!C577="","",IF(COUNTIF('Detalle individual'!$C$5:C577,'Detalle individual'!C577)=1,COUNTIF('Detalle individual'!$C$5:$C$1000,"&lt;"&amp;'Detalle individual'!C577),""))</f>
        <v/>
      </c>
      <c r="AC577" t="str">
        <f>IF('Detalle individual'!D577="","",IF(COUNTIF('Detalle individual'!$D$5:D577,'Detalle individual'!D577)=1,COUNTIF('Detalle individual'!$D$5:$D$1000,"&lt;"&amp;'Detalle individual'!D577),""))</f>
        <v/>
      </c>
      <c r="AH577" t="str">
        <f>IF('Detalle individual'!F577="Pendiente",COUNTIF('Detalle individual'!$D$5:$D$1000,"&lt;"&amp;'Detalle individual'!D577)*1000000+COUNTIF('Detalle individual'!$C$5:$C$1000,"&lt;"&amp;'Detalle individual'!C577)*1000+COUNTIF('Detalle individual'!$B$5:$B$1000,"&lt;"&amp;'Detalle individual'!B577)+ROW()/10000,"")</f>
        <v/>
      </c>
      <c r="AI577" t="str">
        <f>IF('Detalle individual'!F577="Completado",COUNTIF('Detalle individual'!$D$5:$D$1000,"&lt;"&amp;'Detalle individual'!D577)*1000000+COUNTIF('Detalle individual'!$C$5:$C$1000,"&lt;"&amp;'Detalle individual'!C577)*1000+COUNTIF('Detalle individual'!$B$5:$B$1000,"&lt;"&amp;'Detalle individual'!B577)+ROW()/10000,"")</f>
        <v/>
      </c>
      <c r="AJ577" t="str">
        <f>IF(AND('Detalle individual'!F577&lt;&gt;"",'Detalle individual'!F577&lt;&gt;"Completado",'Detalle individual'!F577&lt;&gt;"Pendiente"),COUNTIF('Detalle individual'!$D$5:$D$1000,"&lt;"&amp;'Detalle individual'!D577)*1000000+COUNTIF('Detalle individual'!$C$5:$C$1000,"&lt;"&amp;'Detalle individual'!C577)*1000+COUNTIF('Detalle individual'!$B$5:$B$1000,"&lt;"&amp;'Detalle individual'!B577)+ROW()/10000,"")</f>
        <v/>
      </c>
      <c r="AK577" t="str">
        <f>IF(OR('Base Exámenes'!C577="",'Base Exámenes'!D577=""),"",IF(COUNTIF('Base Exámenes'!$C$5:C577,'Base Exámenes'!C577)=1,'Base Exámenes'!D577+ROW()/1000000000,""))</f>
        <v/>
      </c>
      <c r="AL577" t="str">
        <f>IF(OR('Base Exámenes'!C577="",'Base Exámenes'!E577=""),"",IF(COUNTIF('Base Exámenes'!$C$5:C577,'Base Exámenes'!C577)=1,'Base Exámenes'!E577+ROW()/1000000000,""))</f>
        <v/>
      </c>
      <c r="AM577" t="str">
        <f>IF(OR('Base Exámenes'!C577="",'Base Exámenes'!G577=""),"",IF(ROW()-4=MATCH('Base Exámenes'!C577&amp;"|"&amp;_xlfn.MAXIFS('Base Exámenes'!$G$5:$G$1000,'Base Exámenes'!$C$5:$C$1000,'Base Exámenes'!C577),'Base Exámenes'!$I$5:$I$1000,0),'Base Exámenes'!G577*1000000+(-1)*'Base Exámenes'!D577,""))</f>
        <v/>
      </c>
      <c r="AQ577" t="str">
        <f>IF('Base Exámenes'!C577="","",IF(COUNTIF('Base Exámenes'!$C$5:$C$1000,'Base Exámenes'!C577)&lt;2,"",MATCH('Base Exámenes'!C577,'Base Exámenes'!$C$5:$C$1000,0)*10000+ROW()))</f>
        <v/>
      </c>
    </row>
    <row r="578">
      <c r="Z578" t="str">
        <f>IF('Detalle individual'!A578="","",IF(AND(OR('Estado por Colaborador'!$D$4="Todas las gerencias",'Detalle individual'!D578='Estado por Colaborador'!$D$4),OR('Estado por Colaborador'!$D$5="Todos los departamentos",TRIM('Detalle individual'!C578)='Estado por Colaborador'!$D$5),OR('Estado por Colaborador'!$D$6="Todos",'Detalle individual'!F578='Estado por Colaborador'!$D$6)),IF('Detalle individual'!F578="Completado",30000000,IF('Detalle individual'!F578="Pendiente",0,15000000))+COUNTIF('Detalle individual'!$C$5:$C$1000,"&lt;"&amp;'Detalle individual'!C578)*10000+ROW(),""))</f>
        <v/>
      </c>
      <c r="AB578" t="str">
        <f>IF('Detalle individual'!C578="","",IF(COUNTIF('Detalle individual'!$C$5:C578,'Detalle individual'!C578)=1,COUNTIF('Detalle individual'!$C$5:$C$1000,"&lt;"&amp;'Detalle individual'!C578),""))</f>
        <v/>
      </c>
      <c r="AC578" t="str">
        <f>IF('Detalle individual'!D578="","",IF(COUNTIF('Detalle individual'!$D$5:D578,'Detalle individual'!D578)=1,COUNTIF('Detalle individual'!$D$5:$D$1000,"&lt;"&amp;'Detalle individual'!D578),""))</f>
        <v/>
      </c>
      <c r="AH578" t="str">
        <f>IF('Detalle individual'!F578="Pendiente",COUNTIF('Detalle individual'!$D$5:$D$1000,"&lt;"&amp;'Detalle individual'!D578)*1000000+COUNTIF('Detalle individual'!$C$5:$C$1000,"&lt;"&amp;'Detalle individual'!C578)*1000+COUNTIF('Detalle individual'!$B$5:$B$1000,"&lt;"&amp;'Detalle individual'!B578)+ROW()/10000,"")</f>
        <v/>
      </c>
      <c r="AI578" t="str">
        <f>IF('Detalle individual'!F578="Completado",COUNTIF('Detalle individual'!$D$5:$D$1000,"&lt;"&amp;'Detalle individual'!D578)*1000000+COUNTIF('Detalle individual'!$C$5:$C$1000,"&lt;"&amp;'Detalle individual'!C578)*1000+COUNTIF('Detalle individual'!$B$5:$B$1000,"&lt;"&amp;'Detalle individual'!B578)+ROW()/10000,"")</f>
        <v/>
      </c>
      <c r="AJ578" t="str">
        <f>IF(AND('Detalle individual'!F578&lt;&gt;"",'Detalle individual'!F578&lt;&gt;"Completado",'Detalle individual'!F578&lt;&gt;"Pendiente"),COUNTIF('Detalle individual'!$D$5:$D$1000,"&lt;"&amp;'Detalle individual'!D578)*1000000+COUNTIF('Detalle individual'!$C$5:$C$1000,"&lt;"&amp;'Detalle individual'!C578)*1000+COUNTIF('Detalle individual'!$B$5:$B$1000,"&lt;"&amp;'Detalle individual'!B578)+ROW()/10000,"")</f>
        <v/>
      </c>
      <c r="AK578" t="str">
        <f>IF(OR('Base Exámenes'!C578="",'Base Exámenes'!D578=""),"",IF(COUNTIF('Base Exámenes'!$C$5:C578,'Base Exámenes'!C578)=1,'Base Exámenes'!D578+ROW()/1000000000,""))</f>
        <v/>
      </c>
      <c r="AL578" t="str">
        <f>IF(OR('Base Exámenes'!C578="",'Base Exámenes'!E578=""),"",IF(COUNTIF('Base Exámenes'!$C$5:C578,'Base Exámenes'!C578)=1,'Base Exámenes'!E578+ROW()/1000000000,""))</f>
        <v/>
      </c>
      <c r="AM578" t="str">
        <f>IF(OR('Base Exámenes'!C578="",'Base Exámenes'!G578=""),"",IF(ROW()-4=MATCH('Base Exámenes'!C578&amp;"|"&amp;_xlfn.MAXIFS('Base Exámenes'!$G$5:$G$1000,'Base Exámenes'!$C$5:$C$1000,'Base Exámenes'!C578),'Base Exámenes'!$I$5:$I$1000,0),'Base Exámenes'!G578*1000000+(-1)*'Base Exámenes'!D578,""))</f>
        <v/>
      </c>
      <c r="AQ578" t="str">
        <f>IF('Base Exámenes'!C578="","",IF(COUNTIF('Base Exámenes'!$C$5:$C$1000,'Base Exámenes'!C578)&lt;2,"",MATCH('Base Exámenes'!C578,'Base Exámenes'!$C$5:$C$1000,0)*10000+ROW()))</f>
        <v/>
      </c>
    </row>
    <row r="579">
      <c r="Z579" t="str">
        <f>IF('Detalle individual'!A579="","",IF(AND(OR('Estado por Colaborador'!$D$4="Todas las gerencias",'Detalle individual'!D579='Estado por Colaborador'!$D$4),OR('Estado por Colaborador'!$D$5="Todos los departamentos",TRIM('Detalle individual'!C579)='Estado por Colaborador'!$D$5),OR('Estado por Colaborador'!$D$6="Todos",'Detalle individual'!F579='Estado por Colaborador'!$D$6)),IF('Detalle individual'!F579="Completado",30000000,IF('Detalle individual'!F579="Pendiente",0,15000000))+COUNTIF('Detalle individual'!$C$5:$C$1000,"&lt;"&amp;'Detalle individual'!C579)*10000+ROW(),""))</f>
        <v/>
      </c>
      <c r="AB579" t="str">
        <f>IF('Detalle individual'!C579="","",IF(COUNTIF('Detalle individual'!$C$5:C579,'Detalle individual'!C579)=1,COUNTIF('Detalle individual'!$C$5:$C$1000,"&lt;"&amp;'Detalle individual'!C579),""))</f>
        <v/>
      </c>
      <c r="AC579" t="str">
        <f>IF('Detalle individual'!D579="","",IF(COUNTIF('Detalle individual'!$D$5:D579,'Detalle individual'!D579)=1,COUNTIF('Detalle individual'!$D$5:$D$1000,"&lt;"&amp;'Detalle individual'!D579),""))</f>
        <v/>
      </c>
      <c r="AH579" t="str">
        <f>IF('Detalle individual'!F579="Pendiente",COUNTIF('Detalle individual'!$D$5:$D$1000,"&lt;"&amp;'Detalle individual'!D579)*1000000+COUNTIF('Detalle individual'!$C$5:$C$1000,"&lt;"&amp;'Detalle individual'!C579)*1000+COUNTIF('Detalle individual'!$B$5:$B$1000,"&lt;"&amp;'Detalle individual'!B579)+ROW()/10000,"")</f>
        <v/>
      </c>
      <c r="AI579" t="str">
        <f>IF('Detalle individual'!F579="Completado",COUNTIF('Detalle individual'!$D$5:$D$1000,"&lt;"&amp;'Detalle individual'!D579)*1000000+COUNTIF('Detalle individual'!$C$5:$C$1000,"&lt;"&amp;'Detalle individual'!C579)*1000+COUNTIF('Detalle individual'!$B$5:$B$1000,"&lt;"&amp;'Detalle individual'!B579)+ROW()/10000,"")</f>
        <v/>
      </c>
      <c r="AJ579" t="str">
        <f>IF(AND('Detalle individual'!F579&lt;&gt;"",'Detalle individual'!F579&lt;&gt;"Completado",'Detalle individual'!F579&lt;&gt;"Pendiente"),COUNTIF('Detalle individual'!$D$5:$D$1000,"&lt;"&amp;'Detalle individual'!D579)*1000000+COUNTIF('Detalle individual'!$C$5:$C$1000,"&lt;"&amp;'Detalle individual'!C579)*1000+COUNTIF('Detalle individual'!$B$5:$B$1000,"&lt;"&amp;'Detalle individual'!B579)+ROW()/10000,"")</f>
        <v/>
      </c>
      <c r="AK579" t="str">
        <f>IF(OR('Base Exámenes'!C579="",'Base Exámenes'!D579=""),"",IF(COUNTIF('Base Exámenes'!$C$5:C579,'Base Exámenes'!C579)=1,'Base Exámenes'!D579+ROW()/1000000000,""))</f>
        <v/>
      </c>
      <c r="AL579" t="str">
        <f>IF(OR('Base Exámenes'!C579="",'Base Exámenes'!E579=""),"",IF(COUNTIF('Base Exámenes'!$C$5:C579,'Base Exámenes'!C579)=1,'Base Exámenes'!E579+ROW()/1000000000,""))</f>
        <v/>
      </c>
      <c r="AM579" t="str">
        <f>IF(OR('Base Exámenes'!C579="",'Base Exámenes'!G579=""),"",IF(ROW()-4=MATCH('Base Exámenes'!C579&amp;"|"&amp;_xlfn.MAXIFS('Base Exámenes'!$G$5:$G$1000,'Base Exámenes'!$C$5:$C$1000,'Base Exámenes'!C579),'Base Exámenes'!$I$5:$I$1000,0),'Base Exámenes'!G579*1000000+(-1)*'Base Exámenes'!D579,""))</f>
        <v/>
      </c>
      <c r="AQ579" t="str">
        <f>IF('Base Exámenes'!C579="","",IF(COUNTIF('Base Exámenes'!$C$5:$C$1000,'Base Exámenes'!C579)&lt;2,"",MATCH('Base Exámenes'!C579,'Base Exámenes'!$C$5:$C$1000,0)*10000+ROW()))</f>
        <v/>
      </c>
    </row>
    <row r="580">
      <c r="Z580" t="str">
        <f>IF('Detalle individual'!A580="","",IF(AND(OR('Estado por Colaborador'!$D$4="Todas las gerencias",'Detalle individual'!D580='Estado por Colaborador'!$D$4),OR('Estado por Colaborador'!$D$5="Todos los departamentos",TRIM('Detalle individual'!C580)='Estado por Colaborador'!$D$5),OR('Estado por Colaborador'!$D$6="Todos",'Detalle individual'!F580='Estado por Colaborador'!$D$6)),IF('Detalle individual'!F580="Completado",30000000,IF('Detalle individual'!F580="Pendiente",0,15000000))+COUNTIF('Detalle individual'!$C$5:$C$1000,"&lt;"&amp;'Detalle individual'!C580)*10000+ROW(),""))</f>
        <v/>
      </c>
      <c r="AB580" t="str">
        <f>IF('Detalle individual'!C580="","",IF(COUNTIF('Detalle individual'!$C$5:C580,'Detalle individual'!C580)=1,COUNTIF('Detalle individual'!$C$5:$C$1000,"&lt;"&amp;'Detalle individual'!C580),""))</f>
        <v/>
      </c>
      <c r="AC580" t="str">
        <f>IF('Detalle individual'!D580="","",IF(COUNTIF('Detalle individual'!$D$5:D580,'Detalle individual'!D580)=1,COUNTIF('Detalle individual'!$D$5:$D$1000,"&lt;"&amp;'Detalle individual'!D580),""))</f>
        <v/>
      </c>
      <c r="AH580" t="str">
        <f>IF('Detalle individual'!F580="Pendiente",COUNTIF('Detalle individual'!$D$5:$D$1000,"&lt;"&amp;'Detalle individual'!D580)*1000000+COUNTIF('Detalle individual'!$C$5:$C$1000,"&lt;"&amp;'Detalle individual'!C580)*1000+COUNTIF('Detalle individual'!$B$5:$B$1000,"&lt;"&amp;'Detalle individual'!B580)+ROW()/10000,"")</f>
        <v/>
      </c>
      <c r="AI580" t="str">
        <f>IF('Detalle individual'!F580="Completado",COUNTIF('Detalle individual'!$D$5:$D$1000,"&lt;"&amp;'Detalle individual'!D580)*1000000+COUNTIF('Detalle individual'!$C$5:$C$1000,"&lt;"&amp;'Detalle individual'!C580)*1000+COUNTIF('Detalle individual'!$B$5:$B$1000,"&lt;"&amp;'Detalle individual'!B580)+ROW()/10000,"")</f>
        <v/>
      </c>
      <c r="AJ580" t="str">
        <f>IF(AND('Detalle individual'!F580&lt;&gt;"",'Detalle individual'!F580&lt;&gt;"Completado",'Detalle individual'!F580&lt;&gt;"Pendiente"),COUNTIF('Detalle individual'!$D$5:$D$1000,"&lt;"&amp;'Detalle individual'!D580)*1000000+COUNTIF('Detalle individual'!$C$5:$C$1000,"&lt;"&amp;'Detalle individual'!C580)*1000+COUNTIF('Detalle individual'!$B$5:$B$1000,"&lt;"&amp;'Detalle individual'!B580)+ROW()/10000,"")</f>
        <v/>
      </c>
      <c r="AK580" t="str">
        <f>IF(OR('Base Exámenes'!C580="",'Base Exámenes'!D580=""),"",IF(COUNTIF('Base Exámenes'!$C$5:C580,'Base Exámenes'!C580)=1,'Base Exámenes'!D580+ROW()/1000000000,""))</f>
        <v/>
      </c>
      <c r="AL580" t="str">
        <f>IF(OR('Base Exámenes'!C580="",'Base Exámenes'!E580=""),"",IF(COUNTIF('Base Exámenes'!$C$5:C580,'Base Exámenes'!C580)=1,'Base Exámenes'!E580+ROW()/1000000000,""))</f>
        <v/>
      </c>
      <c r="AM580" t="str">
        <f>IF(OR('Base Exámenes'!C580="",'Base Exámenes'!G580=""),"",IF(ROW()-4=MATCH('Base Exámenes'!C580&amp;"|"&amp;_xlfn.MAXIFS('Base Exámenes'!$G$5:$G$1000,'Base Exámenes'!$C$5:$C$1000,'Base Exámenes'!C580),'Base Exámenes'!$I$5:$I$1000,0),'Base Exámenes'!G580*1000000+(-1)*'Base Exámenes'!D580,""))</f>
        <v/>
      </c>
      <c r="AQ580" t="str">
        <f>IF('Base Exámenes'!C580="","",IF(COUNTIF('Base Exámenes'!$C$5:$C$1000,'Base Exámenes'!C580)&lt;2,"",MATCH('Base Exámenes'!C580,'Base Exámenes'!$C$5:$C$1000,0)*10000+ROW()))</f>
        <v/>
      </c>
    </row>
    <row r="581">
      <c r="Z581" t="str">
        <f>IF('Detalle individual'!A581="","",IF(AND(OR('Estado por Colaborador'!$D$4="Todas las gerencias",'Detalle individual'!D581='Estado por Colaborador'!$D$4),OR('Estado por Colaborador'!$D$5="Todos los departamentos",TRIM('Detalle individual'!C581)='Estado por Colaborador'!$D$5),OR('Estado por Colaborador'!$D$6="Todos",'Detalle individual'!F581='Estado por Colaborador'!$D$6)),IF('Detalle individual'!F581="Completado",30000000,IF('Detalle individual'!F581="Pendiente",0,15000000))+COUNTIF('Detalle individual'!$C$5:$C$1000,"&lt;"&amp;'Detalle individual'!C581)*10000+ROW(),""))</f>
        <v/>
      </c>
      <c r="AB581" t="str">
        <f>IF('Detalle individual'!C581="","",IF(COUNTIF('Detalle individual'!$C$5:C581,'Detalle individual'!C581)=1,COUNTIF('Detalle individual'!$C$5:$C$1000,"&lt;"&amp;'Detalle individual'!C581),""))</f>
        <v/>
      </c>
      <c r="AC581" t="str">
        <f>IF('Detalle individual'!D581="","",IF(COUNTIF('Detalle individual'!$D$5:D581,'Detalle individual'!D581)=1,COUNTIF('Detalle individual'!$D$5:$D$1000,"&lt;"&amp;'Detalle individual'!D581),""))</f>
        <v/>
      </c>
      <c r="AH581" t="str">
        <f>IF('Detalle individual'!F581="Pendiente",COUNTIF('Detalle individual'!$D$5:$D$1000,"&lt;"&amp;'Detalle individual'!D581)*1000000+COUNTIF('Detalle individual'!$C$5:$C$1000,"&lt;"&amp;'Detalle individual'!C581)*1000+COUNTIF('Detalle individual'!$B$5:$B$1000,"&lt;"&amp;'Detalle individual'!B581)+ROW()/10000,"")</f>
        <v/>
      </c>
      <c r="AI581" t="str">
        <f>IF('Detalle individual'!F581="Completado",COUNTIF('Detalle individual'!$D$5:$D$1000,"&lt;"&amp;'Detalle individual'!D581)*1000000+COUNTIF('Detalle individual'!$C$5:$C$1000,"&lt;"&amp;'Detalle individual'!C581)*1000+COUNTIF('Detalle individual'!$B$5:$B$1000,"&lt;"&amp;'Detalle individual'!B581)+ROW()/10000,"")</f>
        <v/>
      </c>
      <c r="AJ581" t="str">
        <f>IF(AND('Detalle individual'!F581&lt;&gt;"",'Detalle individual'!F581&lt;&gt;"Completado",'Detalle individual'!F581&lt;&gt;"Pendiente"),COUNTIF('Detalle individual'!$D$5:$D$1000,"&lt;"&amp;'Detalle individual'!D581)*1000000+COUNTIF('Detalle individual'!$C$5:$C$1000,"&lt;"&amp;'Detalle individual'!C581)*1000+COUNTIF('Detalle individual'!$B$5:$B$1000,"&lt;"&amp;'Detalle individual'!B581)+ROW()/10000,"")</f>
        <v/>
      </c>
      <c r="AK581" t="str">
        <f>IF(OR('Base Exámenes'!C581="",'Base Exámenes'!D581=""),"",IF(COUNTIF('Base Exámenes'!$C$5:C581,'Base Exámenes'!C581)=1,'Base Exámenes'!D581+ROW()/1000000000,""))</f>
        <v/>
      </c>
      <c r="AL581" t="str">
        <f>IF(OR('Base Exámenes'!C581="",'Base Exámenes'!E581=""),"",IF(COUNTIF('Base Exámenes'!$C$5:C581,'Base Exámenes'!C581)=1,'Base Exámenes'!E581+ROW()/1000000000,""))</f>
        <v/>
      </c>
      <c r="AM581" t="str">
        <f>IF(OR('Base Exámenes'!C581="",'Base Exámenes'!G581=""),"",IF(ROW()-4=MATCH('Base Exámenes'!C581&amp;"|"&amp;_xlfn.MAXIFS('Base Exámenes'!$G$5:$G$1000,'Base Exámenes'!$C$5:$C$1000,'Base Exámenes'!C581),'Base Exámenes'!$I$5:$I$1000,0),'Base Exámenes'!G581*1000000+(-1)*'Base Exámenes'!D581,""))</f>
        <v/>
      </c>
      <c r="AQ581" t="str">
        <f>IF('Base Exámenes'!C581="","",IF(COUNTIF('Base Exámenes'!$C$5:$C$1000,'Base Exámenes'!C581)&lt;2,"",MATCH('Base Exámenes'!C581,'Base Exámenes'!$C$5:$C$1000,0)*10000+ROW()))</f>
        <v/>
      </c>
    </row>
    <row r="582">
      <c r="Z582" t="str">
        <f>IF('Detalle individual'!A582="","",IF(AND(OR('Estado por Colaborador'!$D$4="Todas las gerencias",'Detalle individual'!D582='Estado por Colaborador'!$D$4),OR('Estado por Colaborador'!$D$5="Todos los departamentos",TRIM('Detalle individual'!C582)='Estado por Colaborador'!$D$5),OR('Estado por Colaborador'!$D$6="Todos",'Detalle individual'!F582='Estado por Colaborador'!$D$6)),IF('Detalle individual'!F582="Completado",30000000,IF('Detalle individual'!F582="Pendiente",0,15000000))+COUNTIF('Detalle individual'!$C$5:$C$1000,"&lt;"&amp;'Detalle individual'!C582)*10000+ROW(),""))</f>
        <v/>
      </c>
      <c r="AB582" t="str">
        <f>IF('Detalle individual'!C582="","",IF(COUNTIF('Detalle individual'!$C$5:C582,'Detalle individual'!C582)=1,COUNTIF('Detalle individual'!$C$5:$C$1000,"&lt;"&amp;'Detalle individual'!C582),""))</f>
        <v/>
      </c>
      <c r="AC582" t="str">
        <f>IF('Detalle individual'!D582="","",IF(COUNTIF('Detalle individual'!$D$5:D582,'Detalle individual'!D582)=1,COUNTIF('Detalle individual'!$D$5:$D$1000,"&lt;"&amp;'Detalle individual'!D582),""))</f>
        <v/>
      </c>
      <c r="AH582" t="str">
        <f>IF('Detalle individual'!F582="Pendiente",COUNTIF('Detalle individual'!$D$5:$D$1000,"&lt;"&amp;'Detalle individual'!D582)*1000000+COUNTIF('Detalle individual'!$C$5:$C$1000,"&lt;"&amp;'Detalle individual'!C582)*1000+COUNTIF('Detalle individual'!$B$5:$B$1000,"&lt;"&amp;'Detalle individual'!B582)+ROW()/10000,"")</f>
        <v/>
      </c>
      <c r="AI582" t="str">
        <f>IF('Detalle individual'!F582="Completado",COUNTIF('Detalle individual'!$D$5:$D$1000,"&lt;"&amp;'Detalle individual'!D582)*1000000+COUNTIF('Detalle individual'!$C$5:$C$1000,"&lt;"&amp;'Detalle individual'!C582)*1000+COUNTIF('Detalle individual'!$B$5:$B$1000,"&lt;"&amp;'Detalle individual'!B582)+ROW()/10000,"")</f>
        <v/>
      </c>
      <c r="AJ582" t="str">
        <f>IF(AND('Detalle individual'!F582&lt;&gt;"",'Detalle individual'!F582&lt;&gt;"Completado",'Detalle individual'!F582&lt;&gt;"Pendiente"),COUNTIF('Detalle individual'!$D$5:$D$1000,"&lt;"&amp;'Detalle individual'!D582)*1000000+COUNTIF('Detalle individual'!$C$5:$C$1000,"&lt;"&amp;'Detalle individual'!C582)*1000+COUNTIF('Detalle individual'!$B$5:$B$1000,"&lt;"&amp;'Detalle individual'!B582)+ROW()/10000,"")</f>
        <v/>
      </c>
      <c r="AK582" t="str">
        <f>IF(OR('Base Exámenes'!C582="",'Base Exámenes'!D582=""),"",IF(COUNTIF('Base Exámenes'!$C$5:C582,'Base Exámenes'!C582)=1,'Base Exámenes'!D582+ROW()/1000000000,""))</f>
        <v/>
      </c>
      <c r="AL582" t="str">
        <f>IF(OR('Base Exámenes'!C582="",'Base Exámenes'!E582=""),"",IF(COUNTIF('Base Exámenes'!$C$5:C582,'Base Exámenes'!C582)=1,'Base Exámenes'!E582+ROW()/1000000000,""))</f>
        <v/>
      </c>
      <c r="AM582" t="str">
        <f>IF(OR('Base Exámenes'!C582="",'Base Exámenes'!G582=""),"",IF(ROW()-4=MATCH('Base Exámenes'!C582&amp;"|"&amp;_xlfn.MAXIFS('Base Exámenes'!$G$5:$G$1000,'Base Exámenes'!$C$5:$C$1000,'Base Exámenes'!C582),'Base Exámenes'!$I$5:$I$1000,0),'Base Exámenes'!G582*1000000+(-1)*'Base Exámenes'!D582,""))</f>
        <v/>
      </c>
      <c r="AQ582" t="str">
        <f>IF('Base Exámenes'!C582="","",IF(COUNTIF('Base Exámenes'!$C$5:$C$1000,'Base Exámenes'!C582)&lt;2,"",MATCH('Base Exámenes'!C582,'Base Exámenes'!$C$5:$C$1000,0)*10000+ROW()))</f>
        <v/>
      </c>
    </row>
    <row r="583">
      <c r="Z583" t="str">
        <f>IF('Detalle individual'!A583="","",IF(AND(OR('Estado por Colaborador'!$D$4="Todas las gerencias",'Detalle individual'!D583='Estado por Colaborador'!$D$4),OR('Estado por Colaborador'!$D$5="Todos los departamentos",TRIM('Detalle individual'!C583)='Estado por Colaborador'!$D$5),OR('Estado por Colaborador'!$D$6="Todos",'Detalle individual'!F583='Estado por Colaborador'!$D$6)),IF('Detalle individual'!F583="Completado",30000000,IF('Detalle individual'!F583="Pendiente",0,15000000))+COUNTIF('Detalle individual'!$C$5:$C$1000,"&lt;"&amp;'Detalle individual'!C583)*10000+ROW(),""))</f>
        <v/>
      </c>
      <c r="AB583" t="str">
        <f>IF('Detalle individual'!C583="","",IF(COUNTIF('Detalle individual'!$C$5:C583,'Detalle individual'!C583)=1,COUNTIF('Detalle individual'!$C$5:$C$1000,"&lt;"&amp;'Detalle individual'!C583),""))</f>
        <v/>
      </c>
      <c r="AC583" t="str">
        <f>IF('Detalle individual'!D583="","",IF(COUNTIF('Detalle individual'!$D$5:D583,'Detalle individual'!D583)=1,COUNTIF('Detalle individual'!$D$5:$D$1000,"&lt;"&amp;'Detalle individual'!D583),""))</f>
        <v/>
      </c>
      <c r="AH583" t="str">
        <f>IF('Detalle individual'!F583="Pendiente",COUNTIF('Detalle individual'!$D$5:$D$1000,"&lt;"&amp;'Detalle individual'!D583)*1000000+COUNTIF('Detalle individual'!$C$5:$C$1000,"&lt;"&amp;'Detalle individual'!C583)*1000+COUNTIF('Detalle individual'!$B$5:$B$1000,"&lt;"&amp;'Detalle individual'!B583)+ROW()/10000,"")</f>
        <v/>
      </c>
      <c r="AI583" t="str">
        <f>IF('Detalle individual'!F583="Completado",COUNTIF('Detalle individual'!$D$5:$D$1000,"&lt;"&amp;'Detalle individual'!D583)*1000000+COUNTIF('Detalle individual'!$C$5:$C$1000,"&lt;"&amp;'Detalle individual'!C583)*1000+COUNTIF('Detalle individual'!$B$5:$B$1000,"&lt;"&amp;'Detalle individual'!B583)+ROW()/10000,"")</f>
        <v/>
      </c>
      <c r="AJ583" t="str">
        <f>IF(AND('Detalle individual'!F583&lt;&gt;"",'Detalle individual'!F583&lt;&gt;"Completado",'Detalle individual'!F583&lt;&gt;"Pendiente"),COUNTIF('Detalle individual'!$D$5:$D$1000,"&lt;"&amp;'Detalle individual'!D583)*1000000+COUNTIF('Detalle individual'!$C$5:$C$1000,"&lt;"&amp;'Detalle individual'!C583)*1000+COUNTIF('Detalle individual'!$B$5:$B$1000,"&lt;"&amp;'Detalle individual'!B583)+ROW()/10000,"")</f>
        <v/>
      </c>
      <c r="AK583" t="str">
        <f>IF(OR('Base Exámenes'!C583="",'Base Exámenes'!D583=""),"",IF(COUNTIF('Base Exámenes'!$C$5:C583,'Base Exámenes'!C583)=1,'Base Exámenes'!D583+ROW()/1000000000,""))</f>
        <v/>
      </c>
      <c r="AL583" t="str">
        <f>IF(OR('Base Exámenes'!C583="",'Base Exámenes'!E583=""),"",IF(COUNTIF('Base Exámenes'!$C$5:C583,'Base Exámenes'!C583)=1,'Base Exámenes'!E583+ROW()/1000000000,""))</f>
        <v/>
      </c>
      <c r="AM583" t="str">
        <f>IF(OR('Base Exámenes'!C583="",'Base Exámenes'!G583=""),"",IF(ROW()-4=MATCH('Base Exámenes'!C583&amp;"|"&amp;_xlfn.MAXIFS('Base Exámenes'!$G$5:$G$1000,'Base Exámenes'!$C$5:$C$1000,'Base Exámenes'!C583),'Base Exámenes'!$I$5:$I$1000,0),'Base Exámenes'!G583*1000000+(-1)*'Base Exámenes'!D583,""))</f>
        <v/>
      </c>
      <c r="AQ583" t="str">
        <f>IF('Base Exámenes'!C583="","",IF(COUNTIF('Base Exámenes'!$C$5:$C$1000,'Base Exámenes'!C583)&lt;2,"",MATCH('Base Exámenes'!C583,'Base Exámenes'!$C$5:$C$1000,0)*10000+ROW()))</f>
        <v/>
      </c>
    </row>
    <row r="584">
      <c r="Z584" t="str">
        <f>IF('Detalle individual'!A584="","",IF(AND(OR('Estado por Colaborador'!$D$4="Todas las gerencias",'Detalle individual'!D584='Estado por Colaborador'!$D$4),OR('Estado por Colaborador'!$D$5="Todos los departamentos",TRIM('Detalle individual'!C584)='Estado por Colaborador'!$D$5),OR('Estado por Colaborador'!$D$6="Todos",'Detalle individual'!F584='Estado por Colaborador'!$D$6)),IF('Detalle individual'!F584="Completado",30000000,IF('Detalle individual'!F584="Pendiente",0,15000000))+COUNTIF('Detalle individual'!$C$5:$C$1000,"&lt;"&amp;'Detalle individual'!C584)*10000+ROW(),""))</f>
        <v/>
      </c>
      <c r="AB584" t="str">
        <f>IF('Detalle individual'!C584="","",IF(COUNTIF('Detalle individual'!$C$5:C584,'Detalle individual'!C584)=1,COUNTIF('Detalle individual'!$C$5:$C$1000,"&lt;"&amp;'Detalle individual'!C584),""))</f>
        <v/>
      </c>
      <c r="AC584" t="str">
        <f>IF('Detalle individual'!D584="","",IF(COUNTIF('Detalle individual'!$D$5:D584,'Detalle individual'!D584)=1,COUNTIF('Detalle individual'!$D$5:$D$1000,"&lt;"&amp;'Detalle individual'!D584),""))</f>
        <v/>
      </c>
      <c r="AH584" t="str">
        <f>IF('Detalle individual'!F584="Pendiente",COUNTIF('Detalle individual'!$D$5:$D$1000,"&lt;"&amp;'Detalle individual'!D584)*1000000+COUNTIF('Detalle individual'!$C$5:$C$1000,"&lt;"&amp;'Detalle individual'!C584)*1000+COUNTIF('Detalle individual'!$B$5:$B$1000,"&lt;"&amp;'Detalle individual'!B584)+ROW()/10000,"")</f>
        <v/>
      </c>
      <c r="AI584" t="str">
        <f>IF('Detalle individual'!F584="Completado",COUNTIF('Detalle individual'!$D$5:$D$1000,"&lt;"&amp;'Detalle individual'!D584)*1000000+COUNTIF('Detalle individual'!$C$5:$C$1000,"&lt;"&amp;'Detalle individual'!C584)*1000+COUNTIF('Detalle individual'!$B$5:$B$1000,"&lt;"&amp;'Detalle individual'!B584)+ROW()/10000,"")</f>
        <v/>
      </c>
      <c r="AJ584" t="str">
        <f>IF(AND('Detalle individual'!F584&lt;&gt;"",'Detalle individual'!F584&lt;&gt;"Completado",'Detalle individual'!F584&lt;&gt;"Pendiente"),COUNTIF('Detalle individual'!$D$5:$D$1000,"&lt;"&amp;'Detalle individual'!D584)*1000000+COUNTIF('Detalle individual'!$C$5:$C$1000,"&lt;"&amp;'Detalle individual'!C584)*1000+COUNTIF('Detalle individual'!$B$5:$B$1000,"&lt;"&amp;'Detalle individual'!B584)+ROW()/10000,"")</f>
        <v/>
      </c>
      <c r="AK584" t="str">
        <f>IF(OR('Base Exámenes'!C584="",'Base Exámenes'!D584=""),"",IF(COUNTIF('Base Exámenes'!$C$5:C584,'Base Exámenes'!C584)=1,'Base Exámenes'!D584+ROW()/1000000000,""))</f>
        <v/>
      </c>
      <c r="AL584" t="str">
        <f>IF(OR('Base Exámenes'!C584="",'Base Exámenes'!E584=""),"",IF(COUNTIF('Base Exámenes'!$C$5:C584,'Base Exámenes'!C584)=1,'Base Exámenes'!E584+ROW()/1000000000,""))</f>
        <v/>
      </c>
      <c r="AM584" t="str">
        <f>IF(OR('Base Exámenes'!C584="",'Base Exámenes'!G584=""),"",IF(ROW()-4=MATCH('Base Exámenes'!C584&amp;"|"&amp;_xlfn.MAXIFS('Base Exámenes'!$G$5:$G$1000,'Base Exámenes'!$C$5:$C$1000,'Base Exámenes'!C584),'Base Exámenes'!$I$5:$I$1000,0),'Base Exámenes'!G584*1000000+(-1)*'Base Exámenes'!D584,""))</f>
        <v/>
      </c>
      <c r="AQ584" t="str">
        <f>IF('Base Exámenes'!C584="","",IF(COUNTIF('Base Exámenes'!$C$5:$C$1000,'Base Exámenes'!C584)&lt;2,"",MATCH('Base Exámenes'!C584,'Base Exámenes'!$C$5:$C$1000,0)*10000+ROW()))</f>
        <v/>
      </c>
    </row>
    <row r="585">
      <c r="Z585" t="str">
        <f>IF('Detalle individual'!A585="","",IF(AND(OR('Estado por Colaborador'!$D$4="Todas las gerencias",'Detalle individual'!D585='Estado por Colaborador'!$D$4),OR('Estado por Colaborador'!$D$5="Todos los departamentos",TRIM('Detalle individual'!C585)='Estado por Colaborador'!$D$5),OR('Estado por Colaborador'!$D$6="Todos",'Detalle individual'!F585='Estado por Colaborador'!$D$6)),IF('Detalle individual'!F585="Completado",30000000,IF('Detalle individual'!F585="Pendiente",0,15000000))+COUNTIF('Detalle individual'!$C$5:$C$1000,"&lt;"&amp;'Detalle individual'!C585)*10000+ROW(),""))</f>
        <v/>
      </c>
      <c r="AB585" t="str">
        <f>IF('Detalle individual'!C585="","",IF(COUNTIF('Detalle individual'!$C$5:C585,'Detalle individual'!C585)=1,COUNTIF('Detalle individual'!$C$5:$C$1000,"&lt;"&amp;'Detalle individual'!C585),""))</f>
        <v/>
      </c>
      <c r="AC585" t="str">
        <f>IF('Detalle individual'!D585="","",IF(COUNTIF('Detalle individual'!$D$5:D585,'Detalle individual'!D585)=1,COUNTIF('Detalle individual'!$D$5:$D$1000,"&lt;"&amp;'Detalle individual'!D585),""))</f>
        <v/>
      </c>
      <c r="AH585" t="str">
        <f>IF('Detalle individual'!F585="Pendiente",COUNTIF('Detalle individual'!$D$5:$D$1000,"&lt;"&amp;'Detalle individual'!D585)*1000000+COUNTIF('Detalle individual'!$C$5:$C$1000,"&lt;"&amp;'Detalle individual'!C585)*1000+COUNTIF('Detalle individual'!$B$5:$B$1000,"&lt;"&amp;'Detalle individual'!B585)+ROW()/10000,"")</f>
        <v/>
      </c>
      <c r="AI585" t="str">
        <f>IF('Detalle individual'!F585="Completado",COUNTIF('Detalle individual'!$D$5:$D$1000,"&lt;"&amp;'Detalle individual'!D585)*1000000+COUNTIF('Detalle individual'!$C$5:$C$1000,"&lt;"&amp;'Detalle individual'!C585)*1000+COUNTIF('Detalle individual'!$B$5:$B$1000,"&lt;"&amp;'Detalle individual'!B585)+ROW()/10000,"")</f>
        <v/>
      </c>
      <c r="AJ585" t="str">
        <f>IF(AND('Detalle individual'!F585&lt;&gt;"",'Detalle individual'!F585&lt;&gt;"Completado",'Detalle individual'!F585&lt;&gt;"Pendiente"),COUNTIF('Detalle individual'!$D$5:$D$1000,"&lt;"&amp;'Detalle individual'!D585)*1000000+COUNTIF('Detalle individual'!$C$5:$C$1000,"&lt;"&amp;'Detalle individual'!C585)*1000+COUNTIF('Detalle individual'!$B$5:$B$1000,"&lt;"&amp;'Detalle individual'!B585)+ROW()/10000,"")</f>
        <v/>
      </c>
      <c r="AK585" t="str">
        <f>IF(OR('Base Exámenes'!C585="",'Base Exámenes'!D585=""),"",IF(COUNTIF('Base Exámenes'!$C$5:C585,'Base Exámenes'!C585)=1,'Base Exámenes'!D585+ROW()/1000000000,""))</f>
        <v/>
      </c>
      <c r="AL585" t="str">
        <f>IF(OR('Base Exámenes'!C585="",'Base Exámenes'!E585=""),"",IF(COUNTIF('Base Exámenes'!$C$5:C585,'Base Exámenes'!C585)=1,'Base Exámenes'!E585+ROW()/1000000000,""))</f>
        <v/>
      </c>
      <c r="AM585" t="str">
        <f>IF(OR('Base Exámenes'!C585="",'Base Exámenes'!G585=""),"",IF(ROW()-4=MATCH('Base Exámenes'!C585&amp;"|"&amp;_xlfn.MAXIFS('Base Exámenes'!$G$5:$G$1000,'Base Exámenes'!$C$5:$C$1000,'Base Exámenes'!C585),'Base Exámenes'!$I$5:$I$1000,0),'Base Exámenes'!G585*1000000+(-1)*'Base Exámenes'!D585,""))</f>
        <v/>
      </c>
      <c r="AQ585" t="str">
        <f>IF('Base Exámenes'!C585="","",IF(COUNTIF('Base Exámenes'!$C$5:$C$1000,'Base Exámenes'!C585)&lt;2,"",MATCH('Base Exámenes'!C585,'Base Exámenes'!$C$5:$C$1000,0)*10000+ROW()))</f>
        <v/>
      </c>
    </row>
    <row r="586">
      <c r="Z586" t="str">
        <f>IF('Detalle individual'!A586="","",IF(AND(OR('Estado por Colaborador'!$D$4="Todas las gerencias",'Detalle individual'!D586='Estado por Colaborador'!$D$4),OR('Estado por Colaborador'!$D$5="Todos los departamentos",TRIM('Detalle individual'!C586)='Estado por Colaborador'!$D$5),OR('Estado por Colaborador'!$D$6="Todos",'Detalle individual'!F586='Estado por Colaborador'!$D$6)),IF('Detalle individual'!F586="Completado",30000000,IF('Detalle individual'!F586="Pendiente",0,15000000))+COUNTIF('Detalle individual'!$C$5:$C$1000,"&lt;"&amp;'Detalle individual'!C586)*10000+ROW(),""))</f>
        <v/>
      </c>
      <c r="AB586" t="str">
        <f>IF('Detalle individual'!C586="","",IF(COUNTIF('Detalle individual'!$C$5:C586,'Detalle individual'!C586)=1,COUNTIF('Detalle individual'!$C$5:$C$1000,"&lt;"&amp;'Detalle individual'!C586),""))</f>
        <v/>
      </c>
      <c r="AC586" t="str">
        <f>IF('Detalle individual'!D586="","",IF(COUNTIF('Detalle individual'!$D$5:D586,'Detalle individual'!D586)=1,COUNTIF('Detalle individual'!$D$5:$D$1000,"&lt;"&amp;'Detalle individual'!D586),""))</f>
        <v/>
      </c>
      <c r="AH586" t="str">
        <f>IF('Detalle individual'!F586="Pendiente",COUNTIF('Detalle individual'!$D$5:$D$1000,"&lt;"&amp;'Detalle individual'!D586)*1000000+COUNTIF('Detalle individual'!$C$5:$C$1000,"&lt;"&amp;'Detalle individual'!C586)*1000+COUNTIF('Detalle individual'!$B$5:$B$1000,"&lt;"&amp;'Detalle individual'!B586)+ROW()/10000,"")</f>
        <v/>
      </c>
      <c r="AI586" t="str">
        <f>IF('Detalle individual'!F586="Completado",COUNTIF('Detalle individual'!$D$5:$D$1000,"&lt;"&amp;'Detalle individual'!D586)*1000000+COUNTIF('Detalle individual'!$C$5:$C$1000,"&lt;"&amp;'Detalle individual'!C586)*1000+COUNTIF('Detalle individual'!$B$5:$B$1000,"&lt;"&amp;'Detalle individual'!B586)+ROW()/10000,"")</f>
        <v/>
      </c>
      <c r="AJ586" t="str">
        <f>IF(AND('Detalle individual'!F586&lt;&gt;"",'Detalle individual'!F586&lt;&gt;"Completado",'Detalle individual'!F586&lt;&gt;"Pendiente"),COUNTIF('Detalle individual'!$D$5:$D$1000,"&lt;"&amp;'Detalle individual'!D586)*1000000+COUNTIF('Detalle individual'!$C$5:$C$1000,"&lt;"&amp;'Detalle individual'!C586)*1000+COUNTIF('Detalle individual'!$B$5:$B$1000,"&lt;"&amp;'Detalle individual'!B586)+ROW()/10000,"")</f>
        <v/>
      </c>
      <c r="AK586" t="str">
        <f>IF(OR('Base Exámenes'!C586="",'Base Exámenes'!D586=""),"",IF(COUNTIF('Base Exámenes'!$C$5:C586,'Base Exámenes'!C586)=1,'Base Exámenes'!D586+ROW()/1000000000,""))</f>
        <v/>
      </c>
      <c r="AL586" t="str">
        <f>IF(OR('Base Exámenes'!C586="",'Base Exámenes'!E586=""),"",IF(COUNTIF('Base Exámenes'!$C$5:C586,'Base Exámenes'!C586)=1,'Base Exámenes'!E586+ROW()/1000000000,""))</f>
        <v/>
      </c>
      <c r="AM586" t="str">
        <f>IF(OR('Base Exámenes'!C586="",'Base Exámenes'!G586=""),"",IF(ROW()-4=MATCH('Base Exámenes'!C586&amp;"|"&amp;_xlfn.MAXIFS('Base Exámenes'!$G$5:$G$1000,'Base Exámenes'!$C$5:$C$1000,'Base Exámenes'!C586),'Base Exámenes'!$I$5:$I$1000,0),'Base Exámenes'!G586*1000000+(-1)*'Base Exámenes'!D586,""))</f>
        <v/>
      </c>
      <c r="AQ586" t="str">
        <f>IF('Base Exámenes'!C586="","",IF(COUNTIF('Base Exámenes'!$C$5:$C$1000,'Base Exámenes'!C586)&lt;2,"",MATCH('Base Exámenes'!C586,'Base Exámenes'!$C$5:$C$1000,0)*10000+ROW()))</f>
        <v/>
      </c>
    </row>
    <row r="587">
      <c r="Z587" t="str">
        <f>IF('Detalle individual'!A587="","",IF(AND(OR('Estado por Colaborador'!$D$4="Todas las gerencias",'Detalle individual'!D587='Estado por Colaborador'!$D$4),OR('Estado por Colaborador'!$D$5="Todos los departamentos",TRIM('Detalle individual'!C587)='Estado por Colaborador'!$D$5),OR('Estado por Colaborador'!$D$6="Todos",'Detalle individual'!F587='Estado por Colaborador'!$D$6)),IF('Detalle individual'!F587="Completado",30000000,IF('Detalle individual'!F587="Pendiente",0,15000000))+COUNTIF('Detalle individual'!$C$5:$C$1000,"&lt;"&amp;'Detalle individual'!C587)*10000+ROW(),""))</f>
        <v/>
      </c>
      <c r="AB587" t="str">
        <f>IF('Detalle individual'!C587="","",IF(COUNTIF('Detalle individual'!$C$5:C587,'Detalle individual'!C587)=1,COUNTIF('Detalle individual'!$C$5:$C$1000,"&lt;"&amp;'Detalle individual'!C587),""))</f>
        <v/>
      </c>
      <c r="AC587" t="str">
        <f>IF('Detalle individual'!D587="","",IF(COUNTIF('Detalle individual'!$D$5:D587,'Detalle individual'!D587)=1,COUNTIF('Detalle individual'!$D$5:$D$1000,"&lt;"&amp;'Detalle individual'!D587),""))</f>
        <v/>
      </c>
      <c r="AH587" t="str">
        <f>IF('Detalle individual'!F587="Pendiente",COUNTIF('Detalle individual'!$D$5:$D$1000,"&lt;"&amp;'Detalle individual'!D587)*1000000+COUNTIF('Detalle individual'!$C$5:$C$1000,"&lt;"&amp;'Detalle individual'!C587)*1000+COUNTIF('Detalle individual'!$B$5:$B$1000,"&lt;"&amp;'Detalle individual'!B587)+ROW()/10000,"")</f>
        <v/>
      </c>
      <c r="AI587" t="str">
        <f>IF('Detalle individual'!F587="Completado",COUNTIF('Detalle individual'!$D$5:$D$1000,"&lt;"&amp;'Detalle individual'!D587)*1000000+COUNTIF('Detalle individual'!$C$5:$C$1000,"&lt;"&amp;'Detalle individual'!C587)*1000+COUNTIF('Detalle individual'!$B$5:$B$1000,"&lt;"&amp;'Detalle individual'!B587)+ROW()/10000,"")</f>
        <v/>
      </c>
      <c r="AJ587" t="str">
        <f>IF(AND('Detalle individual'!F587&lt;&gt;"",'Detalle individual'!F587&lt;&gt;"Completado",'Detalle individual'!F587&lt;&gt;"Pendiente"),COUNTIF('Detalle individual'!$D$5:$D$1000,"&lt;"&amp;'Detalle individual'!D587)*1000000+COUNTIF('Detalle individual'!$C$5:$C$1000,"&lt;"&amp;'Detalle individual'!C587)*1000+COUNTIF('Detalle individual'!$B$5:$B$1000,"&lt;"&amp;'Detalle individual'!B587)+ROW()/10000,"")</f>
        <v/>
      </c>
      <c r="AK587" t="str">
        <f>IF(OR('Base Exámenes'!C587="",'Base Exámenes'!D587=""),"",IF(COUNTIF('Base Exámenes'!$C$5:C587,'Base Exámenes'!C587)=1,'Base Exámenes'!D587+ROW()/1000000000,""))</f>
        <v/>
      </c>
      <c r="AL587" t="str">
        <f>IF(OR('Base Exámenes'!C587="",'Base Exámenes'!E587=""),"",IF(COUNTIF('Base Exámenes'!$C$5:C587,'Base Exámenes'!C587)=1,'Base Exámenes'!E587+ROW()/1000000000,""))</f>
        <v/>
      </c>
      <c r="AM587" t="str">
        <f>IF(OR('Base Exámenes'!C587="",'Base Exámenes'!G587=""),"",IF(ROW()-4=MATCH('Base Exámenes'!C587&amp;"|"&amp;_xlfn.MAXIFS('Base Exámenes'!$G$5:$G$1000,'Base Exámenes'!$C$5:$C$1000,'Base Exámenes'!C587),'Base Exámenes'!$I$5:$I$1000,0),'Base Exámenes'!G587*1000000+(-1)*'Base Exámenes'!D587,""))</f>
        <v/>
      </c>
      <c r="AQ587" t="str">
        <f>IF('Base Exámenes'!C587="","",IF(COUNTIF('Base Exámenes'!$C$5:$C$1000,'Base Exámenes'!C587)&lt;2,"",MATCH('Base Exámenes'!C587,'Base Exámenes'!$C$5:$C$1000,0)*10000+ROW()))</f>
        <v/>
      </c>
    </row>
    <row r="588">
      <c r="Z588" t="str">
        <f>IF('Detalle individual'!A588="","",IF(AND(OR('Estado por Colaborador'!$D$4="Todas las gerencias",'Detalle individual'!D588='Estado por Colaborador'!$D$4),OR('Estado por Colaborador'!$D$5="Todos los departamentos",TRIM('Detalle individual'!C588)='Estado por Colaborador'!$D$5),OR('Estado por Colaborador'!$D$6="Todos",'Detalle individual'!F588='Estado por Colaborador'!$D$6)),IF('Detalle individual'!F588="Completado",30000000,IF('Detalle individual'!F588="Pendiente",0,15000000))+COUNTIF('Detalle individual'!$C$5:$C$1000,"&lt;"&amp;'Detalle individual'!C588)*10000+ROW(),""))</f>
        <v/>
      </c>
      <c r="AB588" t="str">
        <f>IF('Detalle individual'!C588="","",IF(COUNTIF('Detalle individual'!$C$5:C588,'Detalle individual'!C588)=1,COUNTIF('Detalle individual'!$C$5:$C$1000,"&lt;"&amp;'Detalle individual'!C588),""))</f>
        <v/>
      </c>
      <c r="AC588" t="str">
        <f>IF('Detalle individual'!D588="","",IF(COUNTIF('Detalle individual'!$D$5:D588,'Detalle individual'!D588)=1,COUNTIF('Detalle individual'!$D$5:$D$1000,"&lt;"&amp;'Detalle individual'!D588),""))</f>
        <v/>
      </c>
      <c r="AH588" t="str">
        <f>IF('Detalle individual'!F588="Pendiente",COUNTIF('Detalle individual'!$D$5:$D$1000,"&lt;"&amp;'Detalle individual'!D588)*1000000+COUNTIF('Detalle individual'!$C$5:$C$1000,"&lt;"&amp;'Detalle individual'!C588)*1000+COUNTIF('Detalle individual'!$B$5:$B$1000,"&lt;"&amp;'Detalle individual'!B588)+ROW()/10000,"")</f>
        <v/>
      </c>
      <c r="AI588" t="str">
        <f>IF('Detalle individual'!F588="Completado",COUNTIF('Detalle individual'!$D$5:$D$1000,"&lt;"&amp;'Detalle individual'!D588)*1000000+COUNTIF('Detalle individual'!$C$5:$C$1000,"&lt;"&amp;'Detalle individual'!C588)*1000+COUNTIF('Detalle individual'!$B$5:$B$1000,"&lt;"&amp;'Detalle individual'!B588)+ROW()/10000,"")</f>
        <v/>
      </c>
      <c r="AJ588" t="str">
        <f>IF(AND('Detalle individual'!F588&lt;&gt;"",'Detalle individual'!F588&lt;&gt;"Completado",'Detalle individual'!F588&lt;&gt;"Pendiente"),COUNTIF('Detalle individual'!$D$5:$D$1000,"&lt;"&amp;'Detalle individual'!D588)*1000000+COUNTIF('Detalle individual'!$C$5:$C$1000,"&lt;"&amp;'Detalle individual'!C588)*1000+COUNTIF('Detalle individual'!$B$5:$B$1000,"&lt;"&amp;'Detalle individual'!B588)+ROW()/10000,"")</f>
        <v/>
      </c>
      <c r="AK588" t="str">
        <f>IF(OR('Base Exámenes'!C588="",'Base Exámenes'!D588=""),"",IF(COUNTIF('Base Exámenes'!$C$5:C588,'Base Exámenes'!C588)=1,'Base Exámenes'!D588+ROW()/1000000000,""))</f>
        <v/>
      </c>
      <c r="AL588" t="str">
        <f>IF(OR('Base Exámenes'!C588="",'Base Exámenes'!E588=""),"",IF(COUNTIF('Base Exámenes'!$C$5:C588,'Base Exámenes'!C588)=1,'Base Exámenes'!E588+ROW()/1000000000,""))</f>
        <v/>
      </c>
      <c r="AM588" t="str">
        <f>IF(OR('Base Exámenes'!C588="",'Base Exámenes'!G588=""),"",IF(ROW()-4=MATCH('Base Exámenes'!C588&amp;"|"&amp;_xlfn.MAXIFS('Base Exámenes'!$G$5:$G$1000,'Base Exámenes'!$C$5:$C$1000,'Base Exámenes'!C588),'Base Exámenes'!$I$5:$I$1000,0),'Base Exámenes'!G588*1000000+(-1)*'Base Exámenes'!D588,""))</f>
        <v/>
      </c>
      <c r="AQ588" t="str">
        <f>IF('Base Exámenes'!C588="","",IF(COUNTIF('Base Exámenes'!$C$5:$C$1000,'Base Exámenes'!C588)&lt;2,"",MATCH('Base Exámenes'!C588,'Base Exámenes'!$C$5:$C$1000,0)*10000+ROW()))</f>
        <v/>
      </c>
    </row>
    <row r="589">
      <c r="Z589" t="str">
        <f>IF('Detalle individual'!A589="","",IF(AND(OR('Estado por Colaborador'!$D$4="Todas las gerencias",'Detalle individual'!D589='Estado por Colaborador'!$D$4),OR('Estado por Colaborador'!$D$5="Todos los departamentos",TRIM('Detalle individual'!C589)='Estado por Colaborador'!$D$5),OR('Estado por Colaborador'!$D$6="Todos",'Detalle individual'!F589='Estado por Colaborador'!$D$6)),IF('Detalle individual'!F589="Completado",30000000,IF('Detalle individual'!F589="Pendiente",0,15000000))+COUNTIF('Detalle individual'!$C$5:$C$1000,"&lt;"&amp;'Detalle individual'!C589)*10000+ROW(),""))</f>
        <v/>
      </c>
      <c r="AB589" t="str">
        <f>IF('Detalle individual'!C589="","",IF(COUNTIF('Detalle individual'!$C$5:C589,'Detalle individual'!C589)=1,COUNTIF('Detalle individual'!$C$5:$C$1000,"&lt;"&amp;'Detalle individual'!C589),""))</f>
        <v/>
      </c>
      <c r="AC589" t="str">
        <f>IF('Detalle individual'!D589="","",IF(COUNTIF('Detalle individual'!$D$5:D589,'Detalle individual'!D589)=1,COUNTIF('Detalle individual'!$D$5:$D$1000,"&lt;"&amp;'Detalle individual'!D589),""))</f>
        <v/>
      </c>
      <c r="AH589" t="str">
        <f>IF('Detalle individual'!F589="Pendiente",COUNTIF('Detalle individual'!$D$5:$D$1000,"&lt;"&amp;'Detalle individual'!D589)*1000000+COUNTIF('Detalle individual'!$C$5:$C$1000,"&lt;"&amp;'Detalle individual'!C589)*1000+COUNTIF('Detalle individual'!$B$5:$B$1000,"&lt;"&amp;'Detalle individual'!B589)+ROW()/10000,"")</f>
        <v/>
      </c>
      <c r="AI589" t="str">
        <f>IF('Detalle individual'!F589="Completado",COUNTIF('Detalle individual'!$D$5:$D$1000,"&lt;"&amp;'Detalle individual'!D589)*1000000+COUNTIF('Detalle individual'!$C$5:$C$1000,"&lt;"&amp;'Detalle individual'!C589)*1000+COUNTIF('Detalle individual'!$B$5:$B$1000,"&lt;"&amp;'Detalle individual'!B589)+ROW()/10000,"")</f>
        <v/>
      </c>
      <c r="AJ589" t="str">
        <f>IF(AND('Detalle individual'!F589&lt;&gt;"",'Detalle individual'!F589&lt;&gt;"Completado",'Detalle individual'!F589&lt;&gt;"Pendiente"),COUNTIF('Detalle individual'!$D$5:$D$1000,"&lt;"&amp;'Detalle individual'!D589)*1000000+COUNTIF('Detalle individual'!$C$5:$C$1000,"&lt;"&amp;'Detalle individual'!C589)*1000+COUNTIF('Detalle individual'!$B$5:$B$1000,"&lt;"&amp;'Detalle individual'!B589)+ROW()/10000,"")</f>
        <v/>
      </c>
      <c r="AK589" t="str">
        <f>IF(OR('Base Exámenes'!C589="",'Base Exámenes'!D589=""),"",IF(COUNTIF('Base Exámenes'!$C$5:C589,'Base Exámenes'!C589)=1,'Base Exámenes'!D589+ROW()/1000000000,""))</f>
        <v/>
      </c>
      <c r="AL589" t="str">
        <f>IF(OR('Base Exámenes'!C589="",'Base Exámenes'!E589=""),"",IF(COUNTIF('Base Exámenes'!$C$5:C589,'Base Exámenes'!C589)=1,'Base Exámenes'!E589+ROW()/1000000000,""))</f>
        <v/>
      </c>
      <c r="AM589" t="str">
        <f>IF(OR('Base Exámenes'!C589="",'Base Exámenes'!G589=""),"",IF(ROW()-4=MATCH('Base Exámenes'!C589&amp;"|"&amp;_xlfn.MAXIFS('Base Exámenes'!$G$5:$G$1000,'Base Exámenes'!$C$5:$C$1000,'Base Exámenes'!C589),'Base Exámenes'!$I$5:$I$1000,0),'Base Exámenes'!G589*1000000+(-1)*'Base Exámenes'!D589,""))</f>
        <v/>
      </c>
      <c r="AQ589" t="str">
        <f>IF('Base Exámenes'!C589="","",IF(COUNTIF('Base Exámenes'!$C$5:$C$1000,'Base Exámenes'!C589)&lt;2,"",MATCH('Base Exámenes'!C589,'Base Exámenes'!$C$5:$C$1000,0)*10000+ROW()))</f>
        <v/>
      </c>
    </row>
    <row r="590">
      <c r="Z590" t="str">
        <f>IF('Detalle individual'!A590="","",IF(AND(OR('Estado por Colaborador'!$D$4="Todas las gerencias",'Detalle individual'!D590='Estado por Colaborador'!$D$4),OR('Estado por Colaborador'!$D$5="Todos los departamentos",TRIM('Detalle individual'!C590)='Estado por Colaborador'!$D$5),OR('Estado por Colaborador'!$D$6="Todos",'Detalle individual'!F590='Estado por Colaborador'!$D$6)),IF('Detalle individual'!F590="Completado",30000000,IF('Detalle individual'!F590="Pendiente",0,15000000))+COUNTIF('Detalle individual'!$C$5:$C$1000,"&lt;"&amp;'Detalle individual'!C590)*10000+ROW(),""))</f>
        <v/>
      </c>
      <c r="AB590" t="str">
        <f>IF('Detalle individual'!C590="","",IF(COUNTIF('Detalle individual'!$C$5:C590,'Detalle individual'!C590)=1,COUNTIF('Detalle individual'!$C$5:$C$1000,"&lt;"&amp;'Detalle individual'!C590),""))</f>
        <v/>
      </c>
      <c r="AC590" t="str">
        <f>IF('Detalle individual'!D590="","",IF(COUNTIF('Detalle individual'!$D$5:D590,'Detalle individual'!D590)=1,COUNTIF('Detalle individual'!$D$5:$D$1000,"&lt;"&amp;'Detalle individual'!D590),""))</f>
        <v/>
      </c>
      <c r="AH590" t="str">
        <f>IF('Detalle individual'!F590="Pendiente",COUNTIF('Detalle individual'!$D$5:$D$1000,"&lt;"&amp;'Detalle individual'!D590)*1000000+COUNTIF('Detalle individual'!$C$5:$C$1000,"&lt;"&amp;'Detalle individual'!C590)*1000+COUNTIF('Detalle individual'!$B$5:$B$1000,"&lt;"&amp;'Detalle individual'!B590)+ROW()/10000,"")</f>
        <v/>
      </c>
      <c r="AI590" t="str">
        <f>IF('Detalle individual'!F590="Completado",COUNTIF('Detalle individual'!$D$5:$D$1000,"&lt;"&amp;'Detalle individual'!D590)*1000000+COUNTIF('Detalle individual'!$C$5:$C$1000,"&lt;"&amp;'Detalle individual'!C590)*1000+COUNTIF('Detalle individual'!$B$5:$B$1000,"&lt;"&amp;'Detalle individual'!B590)+ROW()/10000,"")</f>
        <v/>
      </c>
      <c r="AJ590" t="str">
        <f>IF(AND('Detalle individual'!F590&lt;&gt;"",'Detalle individual'!F590&lt;&gt;"Completado",'Detalle individual'!F590&lt;&gt;"Pendiente"),COUNTIF('Detalle individual'!$D$5:$D$1000,"&lt;"&amp;'Detalle individual'!D590)*1000000+COUNTIF('Detalle individual'!$C$5:$C$1000,"&lt;"&amp;'Detalle individual'!C590)*1000+COUNTIF('Detalle individual'!$B$5:$B$1000,"&lt;"&amp;'Detalle individual'!B590)+ROW()/10000,"")</f>
        <v/>
      </c>
      <c r="AK590" t="str">
        <f>IF(OR('Base Exámenes'!C590="",'Base Exámenes'!D590=""),"",IF(COUNTIF('Base Exámenes'!$C$5:C590,'Base Exámenes'!C590)=1,'Base Exámenes'!D590+ROW()/1000000000,""))</f>
        <v/>
      </c>
      <c r="AL590" t="str">
        <f>IF(OR('Base Exámenes'!C590="",'Base Exámenes'!E590=""),"",IF(COUNTIF('Base Exámenes'!$C$5:C590,'Base Exámenes'!C590)=1,'Base Exámenes'!E590+ROW()/1000000000,""))</f>
        <v/>
      </c>
      <c r="AM590" t="str">
        <f>IF(OR('Base Exámenes'!C590="",'Base Exámenes'!G590=""),"",IF(ROW()-4=MATCH('Base Exámenes'!C590&amp;"|"&amp;_xlfn.MAXIFS('Base Exámenes'!$G$5:$G$1000,'Base Exámenes'!$C$5:$C$1000,'Base Exámenes'!C590),'Base Exámenes'!$I$5:$I$1000,0),'Base Exámenes'!G590*1000000+(-1)*'Base Exámenes'!D590,""))</f>
        <v/>
      </c>
      <c r="AQ590" t="str">
        <f>IF('Base Exámenes'!C590="","",IF(COUNTIF('Base Exámenes'!$C$5:$C$1000,'Base Exámenes'!C590)&lt;2,"",MATCH('Base Exámenes'!C590,'Base Exámenes'!$C$5:$C$1000,0)*10000+ROW()))</f>
        <v/>
      </c>
    </row>
    <row r="591">
      <c r="Z591" t="str">
        <f>IF('Detalle individual'!A591="","",IF(AND(OR('Estado por Colaborador'!$D$4="Todas las gerencias",'Detalle individual'!D591='Estado por Colaborador'!$D$4),OR('Estado por Colaborador'!$D$5="Todos los departamentos",TRIM('Detalle individual'!C591)='Estado por Colaborador'!$D$5),OR('Estado por Colaborador'!$D$6="Todos",'Detalle individual'!F591='Estado por Colaborador'!$D$6)),IF('Detalle individual'!F591="Completado",30000000,IF('Detalle individual'!F591="Pendiente",0,15000000))+COUNTIF('Detalle individual'!$C$5:$C$1000,"&lt;"&amp;'Detalle individual'!C591)*10000+ROW(),""))</f>
        <v/>
      </c>
      <c r="AB591" t="str">
        <f>IF('Detalle individual'!C591="","",IF(COUNTIF('Detalle individual'!$C$5:C591,'Detalle individual'!C591)=1,COUNTIF('Detalle individual'!$C$5:$C$1000,"&lt;"&amp;'Detalle individual'!C591),""))</f>
        <v/>
      </c>
      <c r="AC591" t="str">
        <f>IF('Detalle individual'!D591="","",IF(COUNTIF('Detalle individual'!$D$5:D591,'Detalle individual'!D591)=1,COUNTIF('Detalle individual'!$D$5:$D$1000,"&lt;"&amp;'Detalle individual'!D591),""))</f>
        <v/>
      </c>
      <c r="AH591" t="str">
        <f>IF('Detalle individual'!F591="Pendiente",COUNTIF('Detalle individual'!$D$5:$D$1000,"&lt;"&amp;'Detalle individual'!D591)*1000000+COUNTIF('Detalle individual'!$C$5:$C$1000,"&lt;"&amp;'Detalle individual'!C591)*1000+COUNTIF('Detalle individual'!$B$5:$B$1000,"&lt;"&amp;'Detalle individual'!B591)+ROW()/10000,"")</f>
        <v/>
      </c>
      <c r="AI591" t="str">
        <f>IF('Detalle individual'!F591="Completado",COUNTIF('Detalle individual'!$D$5:$D$1000,"&lt;"&amp;'Detalle individual'!D591)*1000000+COUNTIF('Detalle individual'!$C$5:$C$1000,"&lt;"&amp;'Detalle individual'!C591)*1000+COUNTIF('Detalle individual'!$B$5:$B$1000,"&lt;"&amp;'Detalle individual'!B591)+ROW()/10000,"")</f>
        <v/>
      </c>
      <c r="AJ591" t="str">
        <f>IF(AND('Detalle individual'!F591&lt;&gt;"",'Detalle individual'!F591&lt;&gt;"Completado",'Detalle individual'!F591&lt;&gt;"Pendiente"),COUNTIF('Detalle individual'!$D$5:$D$1000,"&lt;"&amp;'Detalle individual'!D591)*1000000+COUNTIF('Detalle individual'!$C$5:$C$1000,"&lt;"&amp;'Detalle individual'!C591)*1000+COUNTIF('Detalle individual'!$B$5:$B$1000,"&lt;"&amp;'Detalle individual'!B591)+ROW()/10000,"")</f>
        <v/>
      </c>
      <c r="AK591" t="str">
        <f>IF(OR('Base Exámenes'!C591="",'Base Exámenes'!D591=""),"",IF(COUNTIF('Base Exámenes'!$C$5:C591,'Base Exámenes'!C591)=1,'Base Exámenes'!D591+ROW()/1000000000,""))</f>
        <v/>
      </c>
      <c r="AL591" t="str">
        <f>IF(OR('Base Exámenes'!C591="",'Base Exámenes'!E591=""),"",IF(COUNTIF('Base Exámenes'!$C$5:C591,'Base Exámenes'!C591)=1,'Base Exámenes'!E591+ROW()/1000000000,""))</f>
        <v/>
      </c>
      <c r="AM591" t="str">
        <f>IF(OR('Base Exámenes'!C591="",'Base Exámenes'!G591=""),"",IF(ROW()-4=MATCH('Base Exámenes'!C591&amp;"|"&amp;_xlfn.MAXIFS('Base Exámenes'!$G$5:$G$1000,'Base Exámenes'!$C$5:$C$1000,'Base Exámenes'!C591),'Base Exámenes'!$I$5:$I$1000,0),'Base Exámenes'!G591*1000000+(-1)*'Base Exámenes'!D591,""))</f>
        <v/>
      </c>
      <c r="AQ591" t="str">
        <f>IF('Base Exámenes'!C591="","",IF(COUNTIF('Base Exámenes'!$C$5:$C$1000,'Base Exámenes'!C591)&lt;2,"",MATCH('Base Exámenes'!C591,'Base Exámenes'!$C$5:$C$1000,0)*10000+ROW()))</f>
        <v/>
      </c>
    </row>
    <row r="592">
      <c r="Z592" t="str">
        <f>IF('Detalle individual'!A592="","",IF(AND(OR('Estado por Colaborador'!$D$4="Todas las gerencias",'Detalle individual'!D592='Estado por Colaborador'!$D$4),OR('Estado por Colaborador'!$D$5="Todos los departamentos",TRIM('Detalle individual'!C592)='Estado por Colaborador'!$D$5),OR('Estado por Colaborador'!$D$6="Todos",'Detalle individual'!F592='Estado por Colaborador'!$D$6)),IF('Detalle individual'!F592="Completado",30000000,IF('Detalle individual'!F592="Pendiente",0,15000000))+COUNTIF('Detalle individual'!$C$5:$C$1000,"&lt;"&amp;'Detalle individual'!C592)*10000+ROW(),""))</f>
        <v/>
      </c>
      <c r="AB592" t="str">
        <f>IF('Detalle individual'!C592="","",IF(COUNTIF('Detalle individual'!$C$5:C592,'Detalle individual'!C592)=1,COUNTIF('Detalle individual'!$C$5:$C$1000,"&lt;"&amp;'Detalle individual'!C592),""))</f>
        <v/>
      </c>
      <c r="AC592" t="str">
        <f>IF('Detalle individual'!D592="","",IF(COUNTIF('Detalle individual'!$D$5:D592,'Detalle individual'!D592)=1,COUNTIF('Detalle individual'!$D$5:$D$1000,"&lt;"&amp;'Detalle individual'!D592),""))</f>
        <v/>
      </c>
      <c r="AH592" t="str">
        <f>IF('Detalle individual'!F592="Pendiente",COUNTIF('Detalle individual'!$D$5:$D$1000,"&lt;"&amp;'Detalle individual'!D592)*1000000+COUNTIF('Detalle individual'!$C$5:$C$1000,"&lt;"&amp;'Detalle individual'!C592)*1000+COUNTIF('Detalle individual'!$B$5:$B$1000,"&lt;"&amp;'Detalle individual'!B592)+ROW()/10000,"")</f>
        <v/>
      </c>
      <c r="AI592" t="str">
        <f>IF('Detalle individual'!F592="Completado",COUNTIF('Detalle individual'!$D$5:$D$1000,"&lt;"&amp;'Detalle individual'!D592)*1000000+COUNTIF('Detalle individual'!$C$5:$C$1000,"&lt;"&amp;'Detalle individual'!C592)*1000+COUNTIF('Detalle individual'!$B$5:$B$1000,"&lt;"&amp;'Detalle individual'!B592)+ROW()/10000,"")</f>
        <v/>
      </c>
      <c r="AJ592" t="str">
        <f>IF(AND('Detalle individual'!F592&lt;&gt;"",'Detalle individual'!F592&lt;&gt;"Completado",'Detalle individual'!F592&lt;&gt;"Pendiente"),COUNTIF('Detalle individual'!$D$5:$D$1000,"&lt;"&amp;'Detalle individual'!D592)*1000000+COUNTIF('Detalle individual'!$C$5:$C$1000,"&lt;"&amp;'Detalle individual'!C592)*1000+COUNTIF('Detalle individual'!$B$5:$B$1000,"&lt;"&amp;'Detalle individual'!B592)+ROW()/10000,"")</f>
        <v/>
      </c>
      <c r="AK592" t="str">
        <f>IF(OR('Base Exámenes'!C592="",'Base Exámenes'!D592=""),"",IF(COUNTIF('Base Exámenes'!$C$5:C592,'Base Exámenes'!C592)=1,'Base Exámenes'!D592+ROW()/1000000000,""))</f>
        <v/>
      </c>
      <c r="AL592" t="str">
        <f>IF(OR('Base Exámenes'!C592="",'Base Exámenes'!E592=""),"",IF(COUNTIF('Base Exámenes'!$C$5:C592,'Base Exámenes'!C592)=1,'Base Exámenes'!E592+ROW()/1000000000,""))</f>
        <v/>
      </c>
      <c r="AM592" t="str">
        <f>IF(OR('Base Exámenes'!C592="",'Base Exámenes'!G592=""),"",IF(ROW()-4=MATCH('Base Exámenes'!C592&amp;"|"&amp;_xlfn.MAXIFS('Base Exámenes'!$G$5:$G$1000,'Base Exámenes'!$C$5:$C$1000,'Base Exámenes'!C592),'Base Exámenes'!$I$5:$I$1000,0),'Base Exámenes'!G592*1000000+(-1)*'Base Exámenes'!D592,""))</f>
        <v/>
      </c>
      <c r="AQ592" t="str">
        <f>IF('Base Exámenes'!C592="","",IF(COUNTIF('Base Exámenes'!$C$5:$C$1000,'Base Exámenes'!C592)&lt;2,"",MATCH('Base Exámenes'!C592,'Base Exámenes'!$C$5:$C$1000,0)*10000+ROW()))</f>
        <v/>
      </c>
    </row>
    <row r="593">
      <c r="Z593" t="str">
        <f>IF('Detalle individual'!A593="","",IF(AND(OR('Estado por Colaborador'!$D$4="Todas las gerencias",'Detalle individual'!D593='Estado por Colaborador'!$D$4),OR('Estado por Colaborador'!$D$5="Todos los departamentos",TRIM('Detalle individual'!C593)='Estado por Colaborador'!$D$5),OR('Estado por Colaborador'!$D$6="Todos",'Detalle individual'!F593='Estado por Colaborador'!$D$6)),IF('Detalle individual'!F593="Completado",30000000,IF('Detalle individual'!F593="Pendiente",0,15000000))+COUNTIF('Detalle individual'!$C$5:$C$1000,"&lt;"&amp;'Detalle individual'!C593)*10000+ROW(),""))</f>
        <v/>
      </c>
      <c r="AB593" t="str">
        <f>IF('Detalle individual'!C593="","",IF(COUNTIF('Detalle individual'!$C$5:C593,'Detalle individual'!C593)=1,COUNTIF('Detalle individual'!$C$5:$C$1000,"&lt;"&amp;'Detalle individual'!C593),""))</f>
        <v/>
      </c>
      <c r="AC593" t="str">
        <f>IF('Detalle individual'!D593="","",IF(COUNTIF('Detalle individual'!$D$5:D593,'Detalle individual'!D593)=1,COUNTIF('Detalle individual'!$D$5:$D$1000,"&lt;"&amp;'Detalle individual'!D593),""))</f>
        <v/>
      </c>
      <c r="AH593" t="str">
        <f>IF('Detalle individual'!F593="Pendiente",COUNTIF('Detalle individual'!$D$5:$D$1000,"&lt;"&amp;'Detalle individual'!D593)*1000000+COUNTIF('Detalle individual'!$C$5:$C$1000,"&lt;"&amp;'Detalle individual'!C593)*1000+COUNTIF('Detalle individual'!$B$5:$B$1000,"&lt;"&amp;'Detalle individual'!B593)+ROW()/10000,"")</f>
        <v/>
      </c>
      <c r="AI593" t="str">
        <f>IF('Detalle individual'!F593="Completado",COUNTIF('Detalle individual'!$D$5:$D$1000,"&lt;"&amp;'Detalle individual'!D593)*1000000+COUNTIF('Detalle individual'!$C$5:$C$1000,"&lt;"&amp;'Detalle individual'!C593)*1000+COUNTIF('Detalle individual'!$B$5:$B$1000,"&lt;"&amp;'Detalle individual'!B593)+ROW()/10000,"")</f>
        <v/>
      </c>
      <c r="AJ593" t="str">
        <f>IF(AND('Detalle individual'!F593&lt;&gt;"",'Detalle individual'!F593&lt;&gt;"Completado",'Detalle individual'!F593&lt;&gt;"Pendiente"),COUNTIF('Detalle individual'!$D$5:$D$1000,"&lt;"&amp;'Detalle individual'!D593)*1000000+COUNTIF('Detalle individual'!$C$5:$C$1000,"&lt;"&amp;'Detalle individual'!C593)*1000+COUNTIF('Detalle individual'!$B$5:$B$1000,"&lt;"&amp;'Detalle individual'!B593)+ROW()/10000,"")</f>
        <v/>
      </c>
      <c r="AK593" t="str">
        <f>IF(OR('Base Exámenes'!C593="",'Base Exámenes'!D593=""),"",IF(COUNTIF('Base Exámenes'!$C$5:C593,'Base Exámenes'!C593)=1,'Base Exámenes'!D593+ROW()/1000000000,""))</f>
        <v/>
      </c>
      <c r="AL593" t="str">
        <f>IF(OR('Base Exámenes'!C593="",'Base Exámenes'!E593=""),"",IF(COUNTIF('Base Exámenes'!$C$5:C593,'Base Exámenes'!C593)=1,'Base Exámenes'!E593+ROW()/1000000000,""))</f>
        <v/>
      </c>
      <c r="AM593" t="str">
        <f>IF(OR('Base Exámenes'!C593="",'Base Exámenes'!G593=""),"",IF(ROW()-4=MATCH('Base Exámenes'!C593&amp;"|"&amp;_xlfn.MAXIFS('Base Exámenes'!$G$5:$G$1000,'Base Exámenes'!$C$5:$C$1000,'Base Exámenes'!C593),'Base Exámenes'!$I$5:$I$1000,0),'Base Exámenes'!G593*1000000+(-1)*'Base Exámenes'!D593,""))</f>
        <v/>
      </c>
      <c r="AQ593" t="str">
        <f>IF('Base Exámenes'!C593="","",IF(COUNTIF('Base Exámenes'!$C$5:$C$1000,'Base Exámenes'!C593)&lt;2,"",MATCH('Base Exámenes'!C593,'Base Exámenes'!$C$5:$C$1000,0)*10000+ROW()))</f>
        <v/>
      </c>
    </row>
    <row r="594">
      <c r="Z594" t="str">
        <f>IF('Detalle individual'!A594="","",IF(AND(OR('Estado por Colaborador'!$D$4="Todas las gerencias",'Detalle individual'!D594='Estado por Colaborador'!$D$4),OR('Estado por Colaborador'!$D$5="Todos los departamentos",TRIM('Detalle individual'!C594)='Estado por Colaborador'!$D$5),OR('Estado por Colaborador'!$D$6="Todos",'Detalle individual'!F594='Estado por Colaborador'!$D$6)),IF('Detalle individual'!F594="Completado",30000000,IF('Detalle individual'!F594="Pendiente",0,15000000))+COUNTIF('Detalle individual'!$C$5:$C$1000,"&lt;"&amp;'Detalle individual'!C594)*10000+ROW(),""))</f>
        <v/>
      </c>
      <c r="AB594" t="str">
        <f>IF('Detalle individual'!C594="","",IF(COUNTIF('Detalle individual'!$C$5:C594,'Detalle individual'!C594)=1,COUNTIF('Detalle individual'!$C$5:$C$1000,"&lt;"&amp;'Detalle individual'!C594),""))</f>
        <v/>
      </c>
      <c r="AC594" t="str">
        <f>IF('Detalle individual'!D594="","",IF(COUNTIF('Detalle individual'!$D$5:D594,'Detalle individual'!D594)=1,COUNTIF('Detalle individual'!$D$5:$D$1000,"&lt;"&amp;'Detalle individual'!D594),""))</f>
        <v/>
      </c>
      <c r="AH594" t="str">
        <f>IF('Detalle individual'!F594="Pendiente",COUNTIF('Detalle individual'!$D$5:$D$1000,"&lt;"&amp;'Detalle individual'!D594)*1000000+COUNTIF('Detalle individual'!$C$5:$C$1000,"&lt;"&amp;'Detalle individual'!C594)*1000+COUNTIF('Detalle individual'!$B$5:$B$1000,"&lt;"&amp;'Detalle individual'!B594)+ROW()/10000,"")</f>
        <v/>
      </c>
      <c r="AI594" t="str">
        <f>IF('Detalle individual'!F594="Completado",COUNTIF('Detalle individual'!$D$5:$D$1000,"&lt;"&amp;'Detalle individual'!D594)*1000000+COUNTIF('Detalle individual'!$C$5:$C$1000,"&lt;"&amp;'Detalle individual'!C594)*1000+COUNTIF('Detalle individual'!$B$5:$B$1000,"&lt;"&amp;'Detalle individual'!B594)+ROW()/10000,"")</f>
        <v/>
      </c>
      <c r="AJ594" t="str">
        <f>IF(AND('Detalle individual'!F594&lt;&gt;"",'Detalle individual'!F594&lt;&gt;"Completado",'Detalle individual'!F594&lt;&gt;"Pendiente"),COUNTIF('Detalle individual'!$D$5:$D$1000,"&lt;"&amp;'Detalle individual'!D594)*1000000+COUNTIF('Detalle individual'!$C$5:$C$1000,"&lt;"&amp;'Detalle individual'!C594)*1000+COUNTIF('Detalle individual'!$B$5:$B$1000,"&lt;"&amp;'Detalle individual'!B594)+ROW()/10000,"")</f>
        <v/>
      </c>
      <c r="AK594" t="str">
        <f>IF(OR('Base Exámenes'!C594="",'Base Exámenes'!D594=""),"",IF(COUNTIF('Base Exámenes'!$C$5:C594,'Base Exámenes'!C594)=1,'Base Exámenes'!D594+ROW()/1000000000,""))</f>
        <v/>
      </c>
      <c r="AL594" t="str">
        <f>IF(OR('Base Exámenes'!C594="",'Base Exámenes'!E594=""),"",IF(COUNTIF('Base Exámenes'!$C$5:C594,'Base Exámenes'!C594)=1,'Base Exámenes'!E594+ROW()/1000000000,""))</f>
        <v/>
      </c>
      <c r="AM594" t="str">
        <f>IF(OR('Base Exámenes'!C594="",'Base Exámenes'!G594=""),"",IF(ROW()-4=MATCH('Base Exámenes'!C594&amp;"|"&amp;_xlfn.MAXIFS('Base Exámenes'!$G$5:$G$1000,'Base Exámenes'!$C$5:$C$1000,'Base Exámenes'!C594),'Base Exámenes'!$I$5:$I$1000,0),'Base Exámenes'!G594*1000000+(-1)*'Base Exámenes'!D594,""))</f>
        <v/>
      </c>
      <c r="AQ594" t="str">
        <f>IF('Base Exámenes'!C594="","",IF(COUNTIF('Base Exámenes'!$C$5:$C$1000,'Base Exámenes'!C594)&lt;2,"",MATCH('Base Exámenes'!C594,'Base Exámenes'!$C$5:$C$1000,0)*10000+ROW()))</f>
        <v/>
      </c>
    </row>
    <row r="595">
      <c r="Z595" t="str">
        <f>IF('Detalle individual'!A595="","",IF(AND(OR('Estado por Colaborador'!$D$4="Todas las gerencias",'Detalle individual'!D595='Estado por Colaborador'!$D$4),OR('Estado por Colaborador'!$D$5="Todos los departamentos",TRIM('Detalle individual'!C595)='Estado por Colaborador'!$D$5),OR('Estado por Colaborador'!$D$6="Todos",'Detalle individual'!F595='Estado por Colaborador'!$D$6)),IF('Detalle individual'!F595="Completado",30000000,IF('Detalle individual'!F595="Pendiente",0,15000000))+COUNTIF('Detalle individual'!$C$5:$C$1000,"&lt;"&amp;'Detalle individual'!C595)*10000+ROW(),""))</f>
        <v/>
      </c>
      <c r="AB595" t="str">
        <f>IF('Detalle individual'!C595="","",IF(COUNTIF('Detalle individual'!$C$5:C595,'Detalle individual'!C595)=1,COUNTIF('Detalle individual'!$C$5:$C$1000,"&lt;"&amp;'Detalle individual'!C595),""))</f>
        <v/>
      </c>
      <c r="AC595" t="str">
        <f>IF('Detalle individual'!D595="","",IF(COUNTIF('Detalle individual'!$D$5:D595,'Detalle individual'!D595)=1,COUNTIF('Detalle individual'!$D$5:$D$1000,"&lt;"&amp;'Detalle individual'!D595),""))</f>
        <v/>
      </c>
      <c r="AH595" t="str">
        <f>IF('Detalle individual'!F595="Pendiente",COUNTIF('Detalle individual'!$D$5:$D$1000,"&lt;"&amp;'Detalle individual'!D595)*1000000+COUNTIF('Detalle individual'!$C$5:$C$1000,"&lt;"&amp;'Detalle individual'!C595)*1000+COUNTIF('Detalle individual'!$B$5:$B$1000,"&lt;"&amp;'Detalle individual'!B595)+ROW()/10000,"")</f>
        <v/>
      </c>
      <c r="AI595" t="str">
        <f>IF('Detalle individual'!F595="Completado",COUNTIF('Detalle individual'!$D$5:$D$1000,"&lt;"&amp;'Detalle individual'!D595)*1000000+COUNTIF('Detalle individual'!$C$5:$C$1000,"&lt;"&amp;'Detalle individual'!C595)*1000+COUNTIF('Detalle individual'!$B$5:$B$1000,"&lt;"&amp;'Detalle individual'!B595)+ROW()/10000,"")</f>
        <v/>
      </c>
      <c r="AJ595" t="str">
        <f>IF(AND('Detalle individual'!F595&lt;&gt;"",'Detalle individual'!F595&lt;&gt;"Completado",'Detalle individual'!F595&lt;&gt;"Pendiente"),COUNTIF('Detalle individual'!$D$5:$D$1000,"&lt;"&amp;'Detalle individual'!D595)*1000000+COUNTIF('Detalle individual'!$C$5:$C$1000,"&lt;"&amp;'Detalle individual'!C595)*1000+COUNTIF('Detalle individual'!$B$5:$B$1000,"&lt;"&amp;'Detalle individual'!B595)+ROW()/10000,"")</f>
        <v/>
      </c>
      <c r="AK595" t="str">
        <f>IF(OR('Base Exámenes'!C595="",'Base Exámenes'!D595=""),"",IF(COUNTIF('Base Exámenes'!$C$5:C595,'Base Exámenes'!C595)=1,'Base Exámenes'!D595+ROW()/1000000000,""))</f>
        <v/>
      </c>
      <c r="AL595" t="str">
        <f>IF(OR('Base Exámenes'!C595="",'Base Exámenes'!E595=""),"",IF(COUNTIF('Base Exámenes'!$C$5:C595,'Base Exámenes'!C595)=1,'Base Exámenes'!E595+ROW()/1000000000,""))</f>
        <v/>
      </c>
      <c r="AM595" t="str">
        <f>IF(OR('Base Exámenes'!C595="",'Base Exámenes'!G595=""),"",IF(ROW()-4=MATCH('Base Exámenes'!C595&amp;"|"&amp;_xlfn.MAXIFS('Base Exámenes'!$G$5:$G$1000,'Base Exámenes'!$C$5:$C$1000,'Base Exámenes'!C595),'Base Exámenes'!$I$5:$I$1000,0),'Base Exámenes'!G595*1000000+(-1)*'Base Exámenes'!D595,""))</f>
        <v/>
      </c>
      <c r="AQ595" t="str">
        <f>IF('Base Exámenes'!C595="","",IF(COUNTIF('Base Exámenes'!$C$5:$C$1000,'Base Exámenes'!C595)&lt;2,"",MATCH('Base Exámenes'!C595,'Base Exámenes'!$C$5:$C$1000,0)*10000+ROW()))</f>
        <v/>
      </c>
    </row>
    <row r="596">
      <c r="Z596" t="str">
        <f>IF('Detalle individual'!A596="","",IF(AND(OR('Estado por Colaborador'!$D$4="Todas las gerencias",'Detalle individual'!D596='Estado por Colaborador'!$D$4),OR('Estado por Colaborador'!$D$5="Todos los departamentos",TRIM('Detalle individual'!C596)='Estado por Colaborador'!$D$5),OR('Estado por Colaborador'!$D$6="Todos",'Detalle individual'!F596='Estado por Colaborador'!$D$6)),IF('Detalle individual'!F596="Completado",30000000,IF('Detalle individual'!F596="Pendiente",0,15000000))+COUNTIF('Detalle individual'!$C$5:$C$1000,"&lt;"&amp;'Detalle individual'!C596)*10000+ROW(),""))</f>
        <v/>
      </c>
      <c r="AB596" t="str">
        <f>IF('Detalle individual'!C596="","",IF(COUNTIF('Detalle individual'!$C$5:C596,'Detalle individual'!C596)=1,COUNTIF('Detalle individual'!$C$5:$C$1000,"&lt;"&amp;'Detalle individual'!C596),""))</f>
        <v/>
      </c>
      <c r="AC596" t="str">
        <f>IF('Detalle individual'!D596="","",IF(COUNTIF('Detalle individual'!$D$5:D596,'Detalle individual'!D596)=1,COUNTIF('Detalle individual'!$D$5:$D$1000,"&lt;"&amp;'Detalle individual'!D596),""))</f>
        <v/>
      </c>
      <c r="AH596" t="str">
        <f>IF('Detalle individual'!F596="Pendiente",COUNTIF('Detalle individual'!$D$5:$D$1000,"&lt;"&amp;'Detalle individual'!D596)*1000000+COUNTIF('Detalle individual'!$C$5:$C$1000,"&lt;"&amp;'Detalle individual'!C596)*1000+COUNTIF('Detalle individual'!$B$5:$B$1000,"&lt;"&amp;'Detalle individual'!B596)+ROW()/10000,"")</f>
        <v/>
      </c>
      <c r="AI596" t="str">
        <f>IF('Detalle individual'!F596="Completado",COUNTIF('Detalle individual'!$D$5:$D$1000,"&lt;"&amp;'Detalle individual'!D596)*1000000+COUNTIF('Detalle individual'!$C$5:$C$1000,"&lt;"&amp;'Detalle individual'!C596)*1000+COUNTIF('Detalle individual'!$B$5:$B$1000,"&lt;"&amp;'Detalle individual'!B596)+ROW()/10000,"")</f>
        <v/>
      </c>
      <c r="AJ596" t="str">
        <f>IF(AND('Detalle individual'!F596&lt;&gt;"",'Detalle individual'!F596&lt;&gt;"Completado",'Detalle individual'!F596&lt;&gt;"Pendiente"),COUNTIF('Detalle individual'!$D$5:$D$1000,"&lt;"&amp;'Detalle individual'!D596)*1000000+COUNTIF('Detalle individual'!$C$5:$C$1000,"&lt;"&amp;'Detalle individual'!C596)*1000+COUNTIF('Detalle individual'!$B$5:$B$1000,"&lt;"&amp;'Detalle individual'!B596)+ROW()/10000,"")</f>
        <v/>
      </c>
      <c r="AK596" t="str">
        <f>IF(OR('Base Exámenes'!C596="",'Base Exámenes'!D596=""),"",IF(COUNTIF('Base Exámenes'!$C$5:C596,'Base Exámenes'!C596)=1,'Base Exámenes'!D596+ROW()/1000000000,""))</f>
        <v/>
      </c>
      <c r="AL596" t="str">
        <f>IF(OR('Base Exámenes'!C596="",'Base Exámenes'!E596=""),"",IF(COUNTIF('Base Exámenes'!$C$5:C596,'Base Exámenes'!C596)=1,'Base Exámenes'!E596+ROW()/1000000000,""))</f>
        <v/>
      </c>
      <c r="AM596" t="str">
        <f>IF(OR('Base Exámenes'!C596="",'Base Exámenes'!G596=""),"",IF(ROW()-4=MATCH('Base Exámenes'!C596&amp;"|"&amp;_xlfn.MAXIFS('Base Exámenes'!$G$5:$G$1000,'Base Exámenes'!$C$5:$C$1000,'Base Exámenes'!C596),'Base Exámenes'!$I$5:$I$1000,0),'Base Exámenes'!G596*1000000+(-1)*'Base Exámenes'!D596,""))</f>
        <v/>
      </c>
      <c r="AQ596" t="str">
        <f>IF('Base Exámenes'!C596="","",IF(COUNTIF('Base Exámenes'!$C$5:$C$1000,'Base Exámenes'!C596)&lt;2,"",MATCH('Base Exámenes'!C596,'Base Exámenes'!$C$5:$C$1000,0)*10000+ROW()))</f>
        <v/>
      </c>
    </row>
    <row r="597">
      <c r="Z597" t="str">
        <f>IF('Detalle individual'!A597="","",IF(AND(OR('Estado por Colaborador'!$D$4="Todas las gerencias",'Detalle individual'!D597='Estado por Colaborador'!$D$4),OR('Estado por Colaborador'!$D$5="Todos los departamentos",TRIM('Detalle individual'!C597)='Estado por Colaborador'!$D$5),OR('Estado por Colaborador'!$D$6="Todos",'Detalle individual'!F597='Estado por Colaborador'!$D$6)),IF('Detalle individual'!F597="Completado",30000000,IF('Detalle individual'!F597="Pendiente",0,15000000))+COUNTIF('Detalle individual'!$C$5:$C$1000,"&lt;"&amp;'Detalle individual'!C597)*10000+ROW(),""))</f>
        <v/>
      </c>
      <c r="AB597" t="str">
        <f>IF('Detalle individual'!C597="","",IF(COUNTIF('Detalle individual'!$C$5:C597,'Detalle individual'!C597)=1,COUNTIF('Detalle individual'!$C$5:$C$1000,"&lt;"&amp;'Detalle individual'!C597),""))</f>
        <v/>
      </c>
      <c r="AC597" t="str">
        <f>IF('Detalle individual'!D597="","",IF(COUNTIF('Detalle individual'!$D$5:D597,'Detalle individual'!D597)=1,COUNTIF('Detalle individual'!$D$5:$D$1000,"&lt;"&amp;'Detalle individual'!D597),""))</f>
        <v/>
      </c>
      <c r="AH597" t="str">
        <f>IF('Detalle individual'!F597="Pendiente",COUNTIF('Detalle individual'!$D$5:$D$1000,"&lt;"&amp;'Detalle individual'!D597)*1000000+COUNTIF('Detalle individual'!$C$5:$C$1000,"&lt;"&amp;'Detalle individual'!C597)*1000+COUNTIF('Detalle individual'!$B$5:$B$1000,"&lt;"&amp;'Detalle individual'!B597)+ROW()/10000,"")</f>
        <v/>
      </c>
      <c r="AI597" t="str">
        <f>IF('Detalle individual'!F597="Completado",COUNTIF('Detalle individual'!$D$5:$D$1000,"&lt;"&amp;'Detalle individual'!D597)*1000000+COUNTIF('Detalle individual'!$C$5:$C$1000,"&lt;"&amp;'Detalle individual'!C597)*1000+COUNTIF('Detalle individual'!$B$5:$B$1000,"&lt;"&amp;'Detalle individual'!B597)+ROW()/10000,"")</f>
        <v/>
      </c>
      <c r="AJ597" t="str">
        <f>IF(AND('Detalle individual'!F597&lt;&gt;"",'Detalle individual'!F597&lt;&gt;"Completado",'Detalle individual'!F597&lt;&gt;"Pendiente"),COUNTIF('Detalle individual'!$D$5:$D$1000,"&lt;"&amp;'Detalle individual'!D597)*1000000+COUNTIF('Detalle individual'!$C$5:$C$1000,"&lt;"&amp;'Detalle individual'!C597)*1000+COUNTIF('Detalle individual'!$B$5:$B$1000,"&lt;"&amp;'Detalle individual'!B597)+ROW()/10000,"")</f>
        <v/>
      </c>
      <c r="AK597" t="str">
        <f>IF(OR('Base Exámenes'!C597="",'Base Exámenes'!D597=""),"",IF(COUNTIF('Base Exámenes'!$C$5:C597,'Base Exámenes'!C597)=1,'Base Exámenes'!D597+ROW()/1000000000,""))</f>
        <v/>
      </c>
      <c r="AL597" t="str">
        <f>IF(OR('Base Exámenes'!C597="",'Base Exámenes'!E597=""),"",IF(COUNTIF('Base Exámenes'!$C$5:C597,'Base Exámenes'!C597)=1,'Base Exámenes'!E597+ROW()/1000000000,""))</f>
        <v/>
      </c>
      <c r="AM597" t="str">
        <f>IF(OR('Base Exámenes'!C597="",'Base Exámenes'!G597=""),"",IF(ROW()-4=MATCH('Base Exámenes'!C597&amp;"|"&amp;_xlfn.MAXIFS('Base Exámenes'!$G$5:$G$1000,'Base Exámenes'!$C$5:$C$1000,'Base Exámenes'!C597),'Base Exámenes'!$I$5:$I$1000,0),'Base Exámenes'!G597*1000000+(-1)*'Base Exámenes'!D597,""))</f>
        <v/>
      </c>
      <c r="AQ597" t="str">
        <f>IF('Base Exámenes'!C597="","",IF(COUNTIF('Base Exámenes'!$C$5:$C$1000,'Base Exámenes'!C597)&lt;2,"",MATCH('Base Exámenes'!C597,'Base Exámenes'!$C$5:$C$1000,0)*10000+ROW()))</f>
        <v/>
      </c>
    </row>
    <row r="598">
      <c r="Z598" t="str">
        <f>IF('Detalle individual'!A598="","",IF(AND(OR('Estado por Colaborador'!$D$4="Todas las gerencias",'Detalle individual'!D598='Estado por Colaborador'!$D$4),OR('Estado por Colaborador'!$D$5="Todos los departamentos",TRIM('Detalle individual'!C598)='Estado por Colaborador'!$D$5),OR('Estado por Colaborador'!$D$6="Todos",'Detalle individual'!F598='Estado por Colaborador'!$D$6)),IF('Detalle individual'!F598="Completado",30000000,IF('Detalle individual'!F598="Pendiente",0,15000000))+COUNTIF('Detalle individual'!$C$5:$C$1000,"&lt;"&amp;'Detalle individual'!C598)*10000+ROW(),""))</f>
        <v/>
      </c>
      <c r="AB598" t="str">
        <f>IF('Detalle individual'!C598="","",IF(COUNTIF('Detalle individual'!$C$5:C598,'Detalle individual'!C598)=1,COUNTIF('Detalle individual'!$C$5:$C$1000,"&lt;"&amp;'Detalle individual'!C598),""))</f>
        <v/>
      </c>
      <c r="AC598" t="str">
        <f>IF('Detalle individual'!D598="","",IF(COUNTIF('Detalle individual'!$D$5:D598,'Detalle individual'!D598)=1,COUNTIF('Detalle individual'!$D$5:$D$1000,"&lt;"&amp;'Detalle individual'!D598),""))</f>
        <v/>
      </c>
      <c r="AH598" t="str">
        <f>IF('Detalle individual'!F598="Pendiente",COUNTIF('Detalle individual'!$D$5:$D$1000,"&lt;"&amp;'Detalle individual'!D598)*1000000+COUNTIF('Detalle individual'!$C$5:$C$1000,"&lt;"&amp;'Detalle individual'!C598)*1000+COUNTIF('Detalle individual'!$B$5:$B$1000,"&lt;"&amp;'Detalle individual'!B598)+ROW()/10000,"")</f>
        <v/>
      </c>
      <c r="AI598" t="str">
        <f>IF('Detalle individual'!F598="Completado",COUNTIF('Detalle individual'!$D$5:$D$1000,"&lt;"&amp;'Detalle individual'!D598)*1000000+COUNTIF('Detalle individual'!$C$5:$C$1000,"&lt;"&amp;'Detalle individual'!C598)*1000+COUNTIF('Detalle individual'!$B$5:$B$1000,"&lt;"&amp;'Detalle individual'!B598)+ROW()/10000,"")</f>
        <v/>
      </c>
      <c r="AJ598" t="str">
        <f>IF(AND('Detalle individual'!F598&lt;&gt;"",'Detalle individual'!F598&lt;&gt;"Completado",'Detalle individual'!F598&lt;&gt;"Pendiente"),COUNTIF('Detalle individual'!$D$5:$D$1000,"&lt;"&amp;'Detalle individual'!D598)*1000000+COUNTIF('Detalle individual'!$C$5:$C$1000,"&lt;"&amp;'Detalle individual'!C598)*1000+COUNTIF('Detalle individual'!$B$5:$B$1000,"&lt;"&amp;'Detalle individual'!B598)+ROW()/10000,"")</f>
        <v/>
      </c>
      <c r="AK598" t="str">
        <f>IF(OR('Base Exámenes'!C598="",'Base Exámenes'!D598=""),"",IF(COUNTIF('Base Exámenes'!$C$5:C598,'Base Exámenes'!C598)=1,'Base Exámenes'!D598+ROW()/1000000000,""))</f>
        <v/>
      </c>
      <c r="AL598" t="str">
        <f>IF(OR('Base Exámenes'!C598="",'Base Exámenes'!E598=""),"",IF(COUNTIF('Base Exámenes'!$C$5:C598,'Base Exámenes'!C598)=1,'Base Exámenes'!E598+ROW()/1000000000,""))</f>
        <v/>
      </c>
      <c r="AM598" t="str">
        <f>IF(OR('Base Exámenes'!C598="",'Base Exámenes'!G598=""),"",IF(ROW()-4=MATCH('Base Exámenes'!C598&amp;"|"&amp;_xlfn.MAXIFS('Base Exámenes'!$G$5:$G$1000,'Base Exámenes'!$C$5:$C$1000,'Base Exámenes'!C598),'Base Exámenes'!$I$5:$I$1000,0),'Base Exámenes'!G598*1000000+(-1)*'Base Exámenes'!D598,""))</f>
        <v/>
      </c>
      <c r="AQ598" t="str">
        <f>IF('Base Exámenes'!C598="","",IF(COUNTIF('Base Exámenes'!$C$5:$C$1000,'Base Exámenes'!C598)&lt;2,"",MATCH('Base Exámenes'!C598,'Base Exámenes'!$C$5:$C$1000,0)*10000+ROW()))</f>
        <v/>
      </c>
    </row>
    <row r="599">
      <c r="Z599" t="str">
        <f>IF('Detalle individual'!A599="","",IF(AND(OR('Estado por Colaborador'!$D$4="Todas las gerencias",'Detalle individual'!D599='Estado por Colaborador'!$D$4),OR('Estado por Colaborador'!$D$5="Todos los departamentos",TRIM('Detalle individual'!C599)='Estado por Colaborador'!$D$5),OR('Estado por Colaborador'!$D$6="Todos",'Detalle individual'!F599='Estado por Colaborador'!$D$6)),IF('Detalle individual'!F599="Completado",30000000,IF('Detalle individual'!F599="Pendiente",0,15000000))+COUNTIF('Detalle individual'!$C$5:$C$1000,"&lt;"&amp;'Detalle individual'!C599)*10000+ROW(),""))</f>
        <v/>
      </c>
      <c r="AB599" t="str">
        <f>IF('Detalle individual'!C599="","",IF(COUNTIF('Detalle individual'!$C$5:C599,'Detalle individual'!C599)=1,COUNTIF('Detalle individual'!$C$5:$C$1000,"&lt;"&amp;'Detalle individual'!C599),""))</f>
        <v/>
      </c>
      <c r="AC599" t="str">
        <f>IF('Detalle individual'!D599="","",IF(COUNTIF('Detalle individual'!$D$5:D599,'Detalle individual'!D599)=1,COUNTIF('Detalle individual'!$D$5:$D$1000,"&lt;"&amp;'Detalle individual'!D599),""))</f>
        <v/>
      </c>
      <c r="AH599" t="str">
        <f>IF('Detalle individual'!F599="Pendiente",COUNTIF('Detalle individual'!$D$5:$D$1000,"&lt;"&amp;'Detalle individual'!D599)*1000000+COUNTIF('Detalle individual'!$C$5:$C$1000,"&lt;"&amp;'Detalle individual'!C599)*1000+COUNTIF('Detalle individual'!$B$5:$B$1000,"&lt;"&amp;'Detalle individual'!B599)+ROW()/10000,"")</f>
        <v/>
      </c>
      <c r="AI599" t="str">
        <f>IF('Detalle individual'!F599="Completado",COUNTIF('Detalle individual'!$D$5:$D$1000,"&lt;"&amp;'Detalle individual'!D599)*1000000+COUNTIF('Detalle individual'!$C$5:$C$1000,"&lt;"&amp;'Detalle individual'!C599)*1000+COUNTIF('Detalle individual'!$B$5:$B$1000,"&lt;"&amp;'Detalle individual'!B599)+ROW()/10000,"")</f>
        <v/>
      </c>
      <c r="AJ599" t="str">
        <f>IF(AND('Detalle individual'!F599&lt;&gt;"",'Detalle individual'!F599&lt;&gt;"Completado",'Detalle individual'!F599&lt;&gt;"Pendiente"),COUNTIF('Detalle individual'!$D$5:$D$1000,"&lt;"&amp;'Detalle individual'!D599)*1000000+COUNTIF('Detalle individual'!$C$5:$C$1000,"&lt;"&amp;'Detalle individual'!C599)*1000+COUNTIF('Detalle individual'!$B$5:$B$1000,"&lt;"&amp;'Detalle individual'!B599)+ROW()/10000,"")</f>
        <v/>
      </c>
      <c r="AK599" t="str">
        <f>IF(OR('Base Exámenes'!C599="",'Base Exámenes'!D599=""),"",IF(COUNTIF('Base Exámenes'!$C$5:C599,'Base Exámenes'!C599)=1,'Base Exámenes'!D599+ROW()/1000000000,""))</f>
        <v/>
      </c>
      <c r="AL599" t="str">
        <f>IF(OR('Base Exámenes'!C599="",'Base Exámenes'!E599=""),"",IF(COUNTIF('Base Exámenes'!$C$5:C599,'Base Exámenes'!C599)=1,'Base Exámenes'!E599+ROW()/1000000000,""))</f>
        <v/>
      </c>
      <c r="AM599" t="str">
        <f>IF(OR('Base Exámenes'!C599="",'Base Exámenes'!G599=""),"",IF(ROW()-4=MATCH('Base Exámenes'!C599&amp;"|"&amp;_xlfn.MAXIFS('Base Exámenes'!$G$5:$G$1000,'Base Exámenes'!$C$5:$C$1000,'Base Exámenes'!C599),'Base Exámenes'!$I$5:$I$1000,0),'Base Exámenes'!G599*1000000+(-1)*'Base Exámenes'!D599,""))</f>
        <v/>
      </c>
      <c r="AQ599" t="str">
        <f>IF('Base Exámenes'!C599="","",IF(COUNTIF('Base Exámenes'!$C$5:$C$1000,'Base Exámenes'!C599)&lt;2,"",MATCH('Base Exámenes'!C599,'Base Exámenes'!$C$5:$C$1000,0)*10000+ROW()))</f>
        <v/>
      </c>
    </row>
    <row r="600">
      <c r="Z600" t="str">
        <f>IF('Detalle individual'!A600="","",IF(AND(OR('Estado por Colaborador'!$D$4="Todas las gerencias",'Detalle individual'!D600='Estado por Colaborador'!$D$4),OR('Estado por Colaborador'!$D$5="Todos los departamentos",TRIM('Detalle individual'!C600)='Estado por Colaborador'!$D$5),OR('Estado por Colaborador'!$D$6="Todos",'Detalle individual'!F600='Estado por Colaborador'!$D$6)),IF('Detalle individual'!F600="Completado",30000000,IF('Detalle individual'!F600="Pendiente",0,15000000))+COUNTIF('Detalle individual'!$C$5:$C$1000,"&lt;"&amp;'Detalle individual'!C600)*10000+ROW(),""))</f>
        <v/>
      </c>
      <c r="AB600" t="str">
        <f>IF('Detalle individual'!C600="","",IF(COUNTIF('Detalle individual'!$C$5:C600,'Detalle individual'!C600)=1,COUNTIF('Detalle individual'!$C$5:$C$1000,"&lt;"&amp;'Detalle individual'!C600),""))</f>
        <v/>
      </c>
      <c r="AC600" t="str">
        <f>IF('Detalle individual'!D600="","",IF(COUNTIF('Detalle individual'!$D$5:D600,'Detalle individual'!D600)=1,COUNTIF('Detalle individual'!$D$5:$D$1000,"&lt;"&amp;'Detalle individual'!D600),""))</f>
        <v/>
      </c>
      <c r="AH600" t="str">
        <f>IF('Detalle individual'!F600="Pendiente",COUNTIF('Detalle individual'!$D$5:$D$1000,"&lt;"&amp;'Detalle individual'!D600)*1000000+COUNTIF('Detalle individual'!$C$5:$C$1000,"&lt;"&amp;'Detalle individual'!C600)*1000+COUNTIF('Detalle individual'!$B$5:$B$1000,"&lt;"&amp;'Detalle individual'!B600)+ROW()/10000,"")</f>
        <v/>
      </c>
      <c r="AI600" t="str">
        <f>IF('Detalle individual'!F600="Completado",COUNTIF('Detalle individual'!$D$5:$D$1000,"&lt;"&amp;'Detalle individual'!D600)*1000000+COUNTIF('Detalle individual'!$C$5:$C$1000,"&lt;"&amp;'Detalle individual'!C600)*1000+COUNTIF('Detalle individual'!$B$5:$B$1000,"&lt;"&amp;'Detalle individual'!B600)+ROW()/10000,"")</f>
        <v/>
      </c>
      <c r="AJ600" t="str">
        <f>IF(AND('Detalle individual'!F600&lt;&gt;"",'Detalle individual'!F600&lt;&gt;"Completado",'Detalle individual'!F600&lt;&gt;"Pendiente"),COUNTIF('Detalle individual'!$D$5:$D$1000,"&lt;"&amp;'Detalle individual'!D600)*1000000+COUNTIF('Detalle individual'!$C$5:$C$1000,"&lt;"&amp;'Detalle individual'!C600)*1000+COUNTIF('Detalle individual'!$B$5:$B$1000,"&lt;"&amp;'Detalle individual'!B600)+ROW()/10000,"")</f>
        <v/>
      </c>
      <c r="AK600" t="str">
        <f>IF(OR('Base Exámenes'!C600="",'Base Exámenes'!D600=""),"",IF(COUNTIF('Base Exámenes'!$C$5:C600,'Base Exámenes'!C600)=1,'Base Exámenes'!D600+ROW()/1000000000,""))</f>
        <v/>
      </c>
      <c r="AL600" t="str">
        <f>IF(OR('Base Exámenes'!C600="",'Base Exámenes'!E600=""),"",IF(COUNTIF('Base Exámenes'!$C$5:C600,'Base Exámenes'!C600)=1,'Base Exámenes'!E600+ROW()/1000000000,""))</f>
        <v/>
      </c>
      <c r="AM600" t="str">
        <f>IF(OR('Base Exámenes'!C600="",'Base Exámenes'!G600=""),"",IF(ROW()-4=MATCH('Base Exámenes'!C600&amp;"|"&amp;_xlfn.MAXIFS('Base Exámenes'!$G$5:$G$1000,'Base Exámenes'!$C$5:$C$1000,'Base Exámenes'!C600),'Base Exámenes'!$I$5:$I$1000,0),'Base Exámenes'!G600*1000000+(-1)*'Base Exámenes'!D600,""))</f>
        <v/>
      </c>
      <c r="AQ600" t="str">
        <f>IF('Base Exámenes'!C600="","",IF(COUNTIF('Base Exámenes'!$C$5:$C$1000,'Base Exámenes'!C600)&lt;2,"",MATCH('Base Exámenes'!C600,'Base Exámenes'!$C$5:$C$1000,0)*10000+ROW()))</f>
        <v/>
      </c>
    </row>
    <row r="601">
      <c r="Z601" t="str">
        <f>IF('Detalle individual'!A601="","",IF(AND(OR('Estado por Colaborador'!$D$4="Todas las gerencias",'Detalle individual'!D601='Estado por Colaborador'!$D$4),OR('Estado por Colaborador'!$D$5="Todos los departamentos",TRIM('Detalle individual'!C601)='Estado por Colaborador'!$D$5),OR('Estado por Colaborador'!$D$6="Todos",'Detalle individual'!F601='Estado por Colaborador'!$D$6)),IF('Detalle individual'!F601="Completado",30000000,IF('Detalle individual'!F601="Pendiente",0,15000000))+COUNTIF('Detalle individual'!$C$5:$C$1000,"&lt;"&amp;'Detalle individual'!C601)*10000+ROW(),""))</f>
        <v/>
      </c>
      <c r="AB601" t="str">
        <f>IF('Detalle individual'!C601="","",IF(COUNTIF('Detalle individual'!$C$5:C601,'Detalle individual'!C601)=1,COUNTIF('Detalle individual'!$C$5:$C$1000,"&lt;"&amp;'Detalle individual'!C601),""))</f>
        <v/>
      </c>
      <c r="AC601" t="str">
        <f>IF('Detalle individual'!D601="","",IF(COUNTIF('Detalle individual'!$D$5:D601,'Detalle individual'!D601)=1,COUNTIF('Detalle individual'!$D$5:$D$1000,"&lt;"&amp;'Detalle individual'!D601),""))</f>
        <v/>
      </c>
      <c r="AH601" t="str">
        <f>IF('Detalle individual'!F601="Pendiente",COUNTIF('Detalle individual'!$D$5:$D$1000,"&lt;"&amp;'Detalle individual'!D601)*1000000+COUNTIF('Detalle individual'!$C$5:$C$1000,"&lt;"&amp;'Detalle individual'!C601)*1000+COUNTIF('Detalle individual'!$B$5:$B$1000,"&lt;"&amp;'Detalle individual'!B601)+ROW()/10000,"")</f>
        <v/>
      </c>
      <c r="AI601" t="str">
        <f>IF('Detalle individual'!F601="Completado",COUNTIF('Detalle individual'!$D$5:$D$1000,"&lt;"&amp;'Detalle individual'!D601)*1000000+COUNTIF('Detalle individual'!$C$5:$C$1000,"&lt;"&amp;'Detalle individual'!C601)*1000+COUNTIF('Detalle individual'!$B$5:$B$1000,"&lt;"&amp;'Detalle individual'!B601)+ROW()/10000,"")</f>
        <v/>
      </c>
      <c r="AJ601" t="str">
        <f>IF(AND('Detalle individual'!F601&lt;&gt;"",'Detalle individual'!F601&lt;&gt;"Completado",'Detalle individual'!F601&lt;&gt;"Pendiente"),COUNTIF('Detalle individual'!$D$5:$D$1000,"&lt;"&amp;'Detalle individual'!D601)*1000000+COUNTIF('Detalle individual'!$C$5:$C$1000,"&lt;"&amp;'Detalle individual'!C601)*1000+COUNTIF('Detalle individual'!$B$5:$B$1000,"&lt;"&amp;'Detalle individual'!B601)+ROW()/10000,"")</f>
        <v/>
      </c>
      <c r="AK601" t="str">
        <f>IF(OR('Base Exámenes'!C601="",'Base Exámenes'!D601=""),"",IF(COUNTIF('Base Exámenes'!$C$5:C601,'Base Exámenes'!C601)=1,'Base Exámenes'!D601+ROW()/1000000000,""))</f>
        <v/>
      </c>
      <c r="AL601" t="str">
        <f>IF(OR('Base Exámenes'!C601="",'Base Exámenes'!E601=""),"",IF(COUNTIF('Base Exámenes'!$C$5:C601,'Base Exámenes'!C601)=1,'Base Exámenes'!E601+ROW()/1000000000,""))</f>
        <v/>
      </c>
      <c r="AM601" t="str">
        <f>IF(OR('Base Exámenes'!C601="",'Base Exámenes'!G601=""),"",IF(ROW()-4=MATCH('Base Exámenes'!C601&amp;"|"&amp;_xlfn.MAXIFS('Base Exámenes'!$G$5:$G$1000,'Base Exámenes'!$C$5:$C$1000,'Base Exámenes'!C601),'Base Exámenes'!$I$5:$I$1000,0),'Base Exámenes'!G601*1000000+(-1)*'Base Exámenes'!D601,""))</f>
        <v/>
      </c>
      <c r="AQ601" t="str">
        <f>IF('Base Exámenes'!C601="","",IF(COUNTIF('Base Exámenes'!$C$5:$C$1000,'Base Exámenes'!C601)&lt;2,"",MATCH('Base Exámenes'!C601,'Base Exámenes'!$C$5:$C$1000,0)*10000+ROW()))</f>
        <v/>
      </c>
    </row>
    <row r="602">
      <c r="Z602" t="str">
        <f>IF('Detalle individual'!A602="","",IF(AND(OR('Estado por Colaborador'!$D$4="Todas las gerencias",'Detalle individual'!D602='Estado por Colaborador'!$D$4),OR('Estado por Colaborador'!$D$5="Todos los departamentos",TRIM('Detalle individual'!C602)='Estado por Colaborador'!$D$5),OR('Estado por Colaborador'!$D$6="Todos",'Detalle individual'!F602='Estado por Colaborador'!$D$6)),IF('Detalle individual'!F602="Completado",30000000,IF('Detalle individual'!F602="Pendiente",0,15000000))+COUNTIF('Detalle individual'!$C$5:$C$1000,"&lt;"&amp;'Detalle individual'!C602)*10000+ROW(),""))</f>
        <v/>
      </c>
      <c r="AB602" t="str">
        <f>IF('Detalle individual'!C602="","",IF(COUNTIF('Detalle individual'!$C$5:C602,'Detalle individual'!C602)=1,COUNTIF('Detalle individual'!$C$5:$C$1000,"&lt;"&amp;'Detalle individual'!C602),""))</f>
        <v/>
      </c>
      <c r="AC602" t="str">
        <f>IF('Detalle individual'!D602="","",IF(COUNTIF('Detalle individual'!$D$5:D602,'Detalle individual'!D602)=1,COUNTIF('Detalle individual'!$D$5:$D$1000,"&lt;"&amp;'Detalle individual'!D602),""))</f>
        <v/>
      </c>
      <c r="AH602" t="str">
        <f>IF('Detalle individual'!F602="Pendiente",COUNTIF('Detalle individual'!$D$5:$D$1000,"&lt;"&amp;'Detalle individual'!D602)*1000000+COUNTIF('Detalle individual'!$C$5:$C$1000,"&lt;"&amp;'Detalle individual'!C602)*1000+COUNTIF('Detalle individual'!$B$5:$B$1000,"&lt;"&amp;'Detalle individual'!B602)+ROW()/10000,"")</f>
        <v/>
      </c>
      <c r="AI602" t="str">
        <f>IF('Detalle individual'!F602="Completado",COUNTIF('Detalle individual'!$D$5:$D$1000,"&lt;"&amp;'Detalle individual'!D602)*1000000+COUNTIF('Detalle individual'!$C$5:$C$1000,"&lt;"&amp;'Detalle individual'!C602)*1000+COUNTIF('Detalle individual'!$B$5:$B$1000,"&lt;"&amp;'Detalle individual'!B602)+ROW()/10000,"")</f>
        <v/>
      </c>
      <c r="AJ602" t="str">
        <f>IF(AND('Detalle individual'!F602&lt;&gt;"",'Detalle individual'!F602&lt;&gt;"Completado",'Detalle individual'!F602&lt;&gt;"Pendiente"),COUNTIF('Detalle individual'!$D$5:$D$1000,"&lt;"&amp;'Detalle individual'!D602)*1000000+COUNTIF('Detalle individual'!$C$5:$C$1000,"&lt;"&amp;'Detalle individual'!C602)*1000+COUNTIF('Detalle individual'!$B$5:$B$1000,"&lt;"&amp;'Detalle individual'!B602)+ROW()/10000,"")</f>
        <v/>
      </c>
      <c r="AK602" t="str">
        <f>IF(OR('Base Exámenes'!C602="",'Base Exámenes'!D602=""),"",IF(COUNTIF('Base Exámenes'!$C$5:C602,'Base Exámenes'!C602)=1,'Base Exámenes'!D602+ROW()/1000000000,""))</f>
        <v/>
      </c>
      <c r="AL602" t="str">
        <f>IF(OR('Base Exámenes'!C602="",'Base Exámenes'!E602=""),"",IF(COUNTIF('Base Exámenes'!$C$5:C602,'Base Exámenes'!C602)=1,'Base Exámenes'!E602+ROW()/1000000000,""))</f>
        <v/>
      </c>
      <c r="AM602" t="str">
        <f>IF(OR('Base Exámenes'!C602="",'Base Exámenes'!G602=""),"",IF(ROW()-4=MATCH('Base Exámenes'!C602&amp;"|"&amp;_xlfn.MAXIFS('Base Exámenes'!$G$5:$G$1000,'Base Exámenes'!$C$5:$C$1000,'Base Exámenes'!C602),'Base Exámenes'!$I$5:$I$1000,0),'Base Exámenes'!G602*1000000+(-1)*'Base Exámenes'!D602,""))</f>
        <v/>
      </c>
      <c r="AQ602" t="str">
        <f>IF('Base Exámenes'!C602="","",IF(COUNTIF('Base Exámenes'!$C$5:$C$1000,'Base Exámenes'!C602)&lt;2,"",MATCH('Base Exámenes'!C602,'Base Exámenes'!$C$5:$C$1000,0)*10000+ROW()))</f>
        <v/>
      </c>
    </row>
    <row r="603">
      <c r="Z603" t="str">
        <f>IF('Detalle individual'!A603="","",IF(AND(OR('Estado por Colaborador'!$D$4="Todas las gerencias",'Detalle individual'!D603='Estado por Colaborador'!$D$4),OR('Estado por Colaborador'!$D$5="Todos los departamentos",TRIM('Detalle individual'!C603)='Estado por Colaborador'!$D$5),OR('Estado por Colaborador'!$D$6="Todos",'Detalle individual'!F603='Estado por Colaborador'!$D$6)),IF('Detalle individual'!F603="Completado",30000000,IF('Detalle individual'!F603="Pendiente",0,15000000))+COUNTIF('Detalle individual'!$C$5:$C$1000,"&lt;"&amp;'Detalle individual'!C603)*10000+ROW(),""))</f>
        <v/>
      </c>
      <c r="AB603" t="str">
        <f>IF('Detalle individual'!C603="","",IF(COUNTIF('Detalle individual'!$C$5:C603,'Detalle individual'!C603)=1,COUNTIF('Detalle individual'!$C$5:$C$1000,"&lt;"&amp;'Detalle individual'!C603),""))</f>
        <v/>
      </c>
      <c r="AC603" t="str">
        <f>IF('Detalle individual'!D603="","",IF(COUNTIF('Detalle individual'!$D$5:D603,'Detalle individual'!D603)=1,COUNTIF('Detalle individual'!$D$5:$D$1000,"&lt;"&amp;'Detalle individual'!D603),""))</f>
        <v/>
      </c>
      <c r="AH603" t="str">
        <f>IF('Detalle individual'!F603="Pendiente",COUNTIF('Detalle individual'!$D$5:$D$1000,"&lt;"&amp;'Detalle individual'!D603)*1000000+COUNTIF('Detalle individual'!$C$5:$C$1000,"&lt;"&amp;'Detalle individual'!C603)*1000+COUNTIF('Detalle individual'!$B$5:$B$1000,"&lt;"&amp;'Detalle individual'!B603)+ROW()/10000,"")</f>
        <v/>
      </c>
      <c r="AI603" t="str">
        <f>IF('Detalle individual'!F603="Completado",COUNTIF('Detalle individual'!$D$5:$D$1000,"&lt;"&amp;'Detalle individual'!D603)*1000000+COUNTIF('Detalle individual'!$C$5:$C$1000,"&lt;"&amp;'Detalle individual'!C603)*1000+COUNTIF('Detalle individual'!$B$5:$B$1000,"&lt;"&amp;'Detalle individual'!B603)+ROW()/10000,"")</f>
        <v/>
      </c>
      <c r="AJ603" t="str">
        <f>IF(AND('Detalle individual'!F603&lt;&gt;"",'Detalle individual'!F603&lt;&gt;"Completado",'Detalle individual'!F603&lt;&gt;"Pendiente"),COUNTIF('Detalle individual'!$D$5:$D$1000,"&lt;"&amp;'Detalle individual'!D603)*1000000+COUNTIF('Detalle individual'!$C$5:$C$1000,"&lt;"&amp;'Detalle individual'!C603)*1000+COUNTIF('Detalle individual'!$B$5:$B$1000,"&lt;"&amp;'Detalle individual'!B603)+ROW()/10000,"")</f>
        <v/>
      </c>
      <c r="AK603" t="str">
        <f>IF(OR('Base Exámenes'!C603="",'Base Exámenes'!D603=""),"",IF(COUNTIF('Base Exámenes'!$C$5:C603,'Base Exámenes'!C603)=1,'Base Exámenes'!D603+ROW()/1000000000,""))</f>
        <v/>
      </c>
      <c r="AL603" t="str">
        <f>IF(OR('Base Exámenes'!C603="",'Base Exámenes'!E603=""),"",IF(COUNTIF('Base Exámenes'!$C$5:C603,'Base Exámenes'!C603)=1,'Base Exámenes'!E603+ROW()/1000000000,""))</f>
        <v/>
      </c>
      <c r="AM603" t="str">
        <f>IF(OR('Base Exámenes'!C603="",'Base Exámenes'!G603=""),"",IF(ROW()-4=MATCH('Base Exámenes'!C603&amp;"|"&amp;_xlfn.MAXIFS('Base Exámenes'!$G$5:$G$1000,'Base Exámenes'!$C$5:$C$1000,'Base Exámenes'!C603),'Base Exámenes'!$I$5:$I$1000,0),'Base Exámenes'!G603*1000000+(-1)*'Base Exámenes'!D603,""))</f>
        <v/>
      </c>
      <c r="AQ603" t="str">
        <f>IF('Base Exámenes'!C603="","",IF(COUNTIF('Base Exámenes'!$C$5:$C$1000,'Base Exámenes'!C603)&lt;2,"",MATCH('Base Exámenes'!C603,'Base Exámenes'!$C$5:$C$1000,0)*10000+ROW()))</f>
        <v/>
      </c>
    </row>
    <row r="604">
      <c r="Z604" t="str">
        <f>IF('Detalle individual'!A604="","",IF(AND(OR('Estado por Colaborador'!$D$4="Todas las gerencias",'Detalle individual'!D604='Estado por Colaborador'!$D$4),OR('Estado por Colaborador'!$D$5="Todos los departamentos",TRIM('Detalle individual'!C604)='Estado por Colaborador'!$D$5),OR('Estado por Colaborador'!$D$6="Todos",'Detalle individual'!F604='Estado por Colaborador'!$D$6)),IF('Detalle individual'!F604="Completado",30000000,IF('Detalle individual'!F604="Pendiente",0,15000000))+COUNTIF('Detalle individual'!$C$5:$C$1000,"&lt;"&amp;'Detalle individual'!C604)*10000+ROW(),""))</f>
        <v/>
      </c>
      <c r="AB604" t="str">
        <f>IF('Detalle individual'!C604="","",IF(COUNTIF('Detalle individual'!$C$5:C604,'Detalle individual'!C604)=1,COUNTIF('Detalle individual'!$C$5:$C$1000,"&lt;"&amp;'Detalle individual'!C604),""))</f>
        <v/>
      </c>
      <c r="AC604" t="str">
        <f>IF('Detalle individual'!D604="","",IF(COUNTIF('Detalle individual'!$D$5:D604,'Detalle individual'!D604)=1,COUNTIF('Detalle individual'!$D$5:$D$1000,"&lt;"&amp;'Detalle individual'!D604),""))</f>
        <v/>
      </c>
      <c r="AH604" t="str">
        <f>IF('Detalle individual'!F604="Pendiente",COUNTIF('Detalle individual'!$D$5:$D$1000,"&lt;"&amp;'Detalle individual'!D604)*1000000+COUNTIF('Detalle individual'!$C$5:$C$1000,"&lt;"&amp;'Detalle individual'!C604)*1000+COUNTIF('Detalle individual'!$B$5:$B$1000,"&lt;"&amp;'Detalle individual'!B604)+ROW()/10000,"")</f>
        <v/>
      </c>
      <c r="AI604" t="str">
        <f>IF('Detalle individual'!F604="Completado",COUNTIF('Detalle individual'!$D$5:$D$1000,"&lt;"&amp;'Detalle individual'!D604)*1000000+COUNTIF('Detalle individual'!$C$5:$C$1000,"&lt;"&amp;'Detalle individual'!C604)*1000+COUNTIF('Detalle individual'!$B$5:$B$1000,"&lt;"&amp;'Detalle individual'!B604)+ROW()/10000,"")</f>
        <v/>
      </c>
      <c r="AJ604" t="str">
        <f>IF(AND('Detalle individual'!F604&lt;&gt;"",'Detalle individual'!F604&lt;&gt;"Completado",'Detalle individual'!F604&lt;&gt;"Pendiente"),COUNTIF('Detalle individual'!$D$5:$D$1000,"&lt;"&amp;'Detalle individual'!D604)*1000000+COUNTIF('Detalle individual'!$C$5:$C$1000,"&lt;"&amp;'Detalle individual'!C604)*1000+COUNTIF('Detalle individual'!$B$5:$B$1000,"&lt;"&amp;'Detalle individual'!B604)+ROW()/10000,"")</f>
        <v/>
      </c>
      <c r="AK604" t="str">
        <f>IF(OR('Base Exámenes'!C604="",'Base Exámenes'!D604=""),"",IF(COUNTIF('Base Exámenes'!$C$5:C604,'Base Exámenes'!C604)=1,'Base Exámenes'!D604+ROW()/1000000000,""))</f>
        <v/>
      </c>
      <c r="AL604" t="str">
        <f>IF(OR('Base Exámenes'!C604="",'Base Exámenes'!E604=""),"",IF(COUNTIF('Base Exámenes'!$C$5:C604,'Base Exámenes'!C604)=1,'Base Exámenes'!E604+ROW()/1000000000,""))</f>
        <v/>
      </c>
      <c r="AM604" t="str">
        <f>IF(OR('Base Exámenes'!C604="",'Base Exámenes'!G604=""),"",IF(ROW()-4=MATCH('Base Exámenes'!C604&amp;"|"&amp;_xlfn.MAXIFS('Base Exámenes'!$G$5:$G$1000,'Base Exámenes'!$C$5:$C$1000,'Base Exámenes'!C604),'Base Exámenes'!$I$5:$I$1000,0),'Base Exámenes'!G604*1000000+(-1)*'Base Exámenes'!D604,""))</f>
        <v/>
      </c>
      <c r="AQ604" t="str">
        <f>IF('Base Exámenes'!C604="","",IF(COUNTIF('Base Exámenes'!$C$5:$C$1000,'Base Exámenes'!C604)&lt;2,"",MATCH('Base Exámenes'!C604,'Base Exámenes'!$C$5:$C$1000,0)*10000+ROW()))</f>
        <v/>
      </c>
    </row>
    <row r="605">
      <c r="Z605" t="str">
        <f>IF('Detalle individual'!A605="","",IF(AND(OR('Estado por Colaborador'!$D$4="Todas las gerencias",'Detalle individual'!D605='Estado por Colaborador'!$D$4),OR('Estado por Colaborador'!$D$5="Todos los departamentos",TRIM('Detalle individual'!C605)='Estado por Colaborador'!$D$5),OR('Estado por Colaborador'!$D$6="Todos",'Detalle individual'!F605='Estado por Colaborador'!$D$6)),IF('Detalle individual'!F605="Completado",30000000,IF('Detalle individual'!F605="Pendiente",0,15000000))+COUNTIF('Detalle individual'!$C$5:$C$1000,"&lt;"&amp;'Detalle individual'!C605)*10000+ROW(),""))</f>
        <v/>
      </c>
      <c r="AB605" t="str">
        <f>IF('Detalle individual'!C605="","",IF(COUNTIF('Detalle individual'!$C$5:C605,'Detalle individual'!C605)=1,COUNTIF('Detalle individual'!$C$5:$C$1000,"&lt;"&amp;'Detalle individual'!C605),""))</f>
        <v/>
      </c>
      <c r="AC605" t="str">
        <f>IF('Detalle individual'!D605="","",IF(COUNTIF('Detalle individual'!$D$5:D605,'Detalle individual'!D605)=1,COUNTIF('Detalle individual'!$D$5:$D$1000,"&lt;"&amp;'Detalle individual'!D605),""))</f>
        <v/>
      </c>
      <c r="AH605" t="str">
        <f>IF('Detalle individual'!F605="Pendiente",COUNTIF('Detalle individual'!$D$5:$D$1000,"&lt;"&amp;'Detalle individual'!D605)*1000000+COUNTIF('Detalle individual'!$C$5:$C$1000,"&lt;"&amp;'Detalle individual'!C605)*1000+COUNTIF('Detalle individual'!$B$5:$B$1000,"&lt;"&amp;'Detalle individual'!B605)+ROW()/10000,"")</f>
        <v/>
      </c>
      <c r="AI605" t="str">
        <f>IF('Detalle individual'!F605="Completado",COUNTIF('Detalle individual'!$D$5:$D$1000,"&lt;"&amp;'Detalle individual'!D605)*1000000+COUNTIF('Detalle individual'!$C$5:$C$1000,"&lt;"&amp;'Detalle individual'!C605)*1000+COUNTIF('Detalle individual'!$B$5:$B$1000,"&lt;"&amp;'Detalle individual'!B605)+ROW()/10000,"")</f>
        <v/>
      </c>
      <c r="AJ605" t="str">
        <f>IF(AND('Detalle individual'!F605&lt;&gt;"",'Detalle individual'!F605&lt;&gt;"Completado",'Detalle individual'!F605&lt;&gt;"Pendiente"),COUNTIF('Detalle individual'!$D$5:$D$1000,"&lt;"&amp;'Detalle individual'!D605)*1000000+COUNTIF('Detalle individual'!$C$5:$C$1000,"&lt;"&amp;'Detalle individual'!C605)*1000+COUNTIF('Detalle individual'!$B$5:$B$1000,"&lt;"&amp;'Detalle individual'!B605)+ROW()/10000,"")</f>
        <v/>
      </c>
      <c r="AK605" t="str">
        <f>IF(OR('Base Exámenes'!C605="",'Base Exámenes'!D605=""),"",IF(COUNTIF('Base Exámenes'!$C$5:C605,'Base Exámenes'!C605)=1,'Base Exámenes'!D605+ROW()/1000000000,""))</f>
        <v/>
      </c>
      <c r="AL605" t="str">
        <f>IF(OR('Base Exámenes'!C605="",'Base Exámenes'!E605=""),"",IF(COUNTIF('Base Exámenes'!$C$5:C605,'Base Exámenes'!C605)=1,'Base Exámenes'!E605+ROW()/1000000000,""))</f>
        <v/>
      </c>
      <c r="AM605" t="str">
        <f>IF(OR('Base Exámenes'!C605="",'Base Exámenes'!G605=""),"",IF(ROW()-4=MATCH('Base Exámenes'!C605&amp;"|"&amp;_xlfn.MAXIFS('Base Exámenes'!$G$5:$G$1000,'Base Exámenes'!$C$5:$C$1000,'Base Exámenes'!C605),'Base Exámenes'!$I$5:$I$1000,0),'Base Exámenes'!G605*1000000+(-1)*'Base Exámenes'!D605,""))</f>
        <v/>
      </c>
      <c r="AQ605" t="str">
        <f>IF('Base Exámenes'!C605="","",IF(COUNTIF('Base Exámenes'!$C$5:$C$1000,'Base Exámenes'!C605)&lt;2,"",MATCH('Base Exámenes'!C605,'Base Exámenes'!$C$5:$C$1000,0)*10000+ROW()))</f>
        <v/>
      </c>
    </row>
    <row r="606">
      <c r="Z606" t="str">
        <f>IF('Detalle individual'!A606="","",IF(AND(OR('Estado por Colaborador'!$D$4="Todas las gerencias",'Detalle individual'!D606='Estado por Colaborador'!$D$4),OR('Estado por Colaborador'!$D$5="Todos los departamentos",TRIM('Detalle individual'!C606)='Estado por Colaborador'!$D$5),OR('Estado por Colaborador'!$D$6="Todos",'Detalle individual'!F606='Estado por Colaborador'!$D$6)),IF('Detalle individual'!F606="Completado",30000000,IF('Detalle individual'!F606="Pendiente",0,15000000))+COUNTIF('Detalle individual'!$C$5:$C$1000,"&lt;"&amp;'Detalle individual'!C606)*10000+ROW(),""))</f>
        <v/>
      </c>
      <c r="AB606" t="str">
        <f>IF('Detalle individual'!C606="","",IF(COUNTIF('Detalle individual'!$C$5:C606,'Detalle individual'!C606)=1,COUNTIF('Detalle individual'!$C$5:$C$1000,"&lt;"&amp;'Detalle individual'!C606),""))</f>
        <v/>
      </c>
      <c r="AC606" t="str">
        <f>IF('Detalle individual'!D606="","",IF(COUNTIF('Detalle individual'!$D$5:D606,'Detalle individual'!D606)=1,COUNTIF('Detalle individual'!$D$5:$D$1000,"&lt;"&amp;'Detalle individual'!D606),""))</f>
        <v/>
      </c>
      <c r="AH606" t="str">
        <f>IF('Detalle individual'!F606="Pendiente",COUNTIF('Detalle individual'!$D$5:$D$1000,"&lt;"&amp;'Detalle individual'!D606)*1000000+COUNTIF('Detalle individual'!$C$5:$C$1000,"&lt;"&amp;'Detalle individual'!C606)*1000+COUNTIF('Detalle individual'!$B$5:$B$1000,"&lt;"&amp;'Detalle individual'!B606)+ROW()/10000,"")</f>
        <v/>
      </c>
      <c r="AI606" t="str">
        <f>IF('Detalle individual'!F606="Completado",COUNTIF('Detalle individual'!$D$5:$D$1000,"&lt;"&amp;'Detalle individual'!D606)*1000000+COUNTIF('Detalle individual'!$C$5:$C$1000,"&lt;"&amp;'Detalle individual'!C606)*1000+COUNTIF('Detalle individual'!$B$5:$B$1000,"&lt;"&amp;'Detalle individual'!B606)+ROW()/10000,"")</f>
        <v/>
      </c>
      <c r="AJ606" t="str">
        <f>IF(AND('Detalle individual'!F606&lt;&gt;"",'Detalle individual'!F606&lt;&gt;"Completado",'Detalle individual'!F606&lt;&gt;"Pendiente"),COUNTIF('Detalle individual'!$D$5:$D$1000,"&lt;"&amp;'Detalle individual'!D606)*1000000+COUNTIF('Detalle individual'!$C$5:$C$1000,"&lt;"&amp;'Detalle individual'!C606)*1000+COUNTIF('Detalle individual'!$B$5:$B$1000,"&lt;"&amp;'Detalle individual'!B606)+ROW()/10000,"")</f>
        <v/>
      </c>
      <c r="AK606" t="str">
        <f>IF(OR('Base Exámenes'!C606="",'Base Exámenes'!D606=""),"",IF(COUNTIF('Base Exámenes'!$C$5:C606,'Base Exámenes'!C606)=1,'Base Exámenes'!D606+ROW()/1000000000,""))</f>
        <v/>
      </c>
      <c r="AL606" t="str">
        <f>IF(OR('Base Exámenes'!C606="",'Base Exámenes'!E606=""),"",IF(COUNTIF('Base Exámenes'!$C$5:C606,'Base Exámenes'!C606)=1,'Base Exámenes'!E606+ROW()/1000000000,""))</f>
        <v/>
      </c>
      <c r="AM606" t="str">
        <f>IF(OR('Base Exámenes'!C606="",'Base Exámenes'!G606=""),"",IF(ROW()-4=MATCH('Base Exámenes'!C606&amp;"|"&amp;_xlfn.MAXIFS('Base Exámenes'!$G$5:$G$1000,'Base Exámenes'!$C$5:$C$1000,'Base Exámenes'!C606),'Base Exámenes'!$I$5:$I$1000,0),'Base Exámenes'!G606*1000000+(-1)*'Base Exámenes'!D606,""))</f>
        <v/>
      </c>
      <c r="AQ606" t="str">
        <f>IF('Base Exámenes'!C606="","",IF(COUNTIF('Base Exámenes'!$C$5:$C$1000,'Base Exámenes'!C606)&lt;2,"",MATCH('Base Exámenes'!C606,'Base Exámenes'!$C$5:$C$1000,0)*10000+ROW()))</f>
        <v/>
      </c>
    </row>
    <row r="607">
      <c r="Z607" t="str">
        <f>IF('Detalle individual'!A607="","",IF(AND(OR('Estado por Colaborador'!$D$4="Todas las gerencias",'Detalle individual'!D607='Estado por Colaborador'!$D$4),OR('Estado por Colaborador'!$D$5="Todos los departamentos",TRIM('Detalle individual'!C607)='Estado por Colaborador'!$D$5),OR('Estado por Colaborador'!$D$6="Todos",'Detalle individual'!F607='Estado por Colaborador'!$D$6)),IF('Detalle individual'!F607="Completado",30000000,IF('Detalle individual'!F607="Pendiente",0,15000000))+COUNTIF('Detalle individual'!$C$5:$C$1000,"&lt;"&amp;'Detalle individual'!C607)*10000+ROW(),""))</f>
        <v/>
      </c>
      <c r="AB607" t="str">
        <f>IF('Detalle individual'!C607="","",IF(COUNTIF('Detalle individual'!$C$5:C607,'Detalle individual'!C607)=1,COUNTIF('Detalle individual'!$C$5:$C$1000,"&lt;"&amp;'Detalle individual'!C607),""))</f>
        <v/>
      </c>
      <c r="AC607" t="str">
        <f>IF('Detalle individual'!D607="","",IF(COUNTIF('Detalle individual'!$D$5:D607,'Detalle individual'!D607)=1,COUNTIF('Detalle individual'!$D$5:$D$1000,"&lt;"&amp;'Detalle individual'!D607),""))</f>
        <v/>
      </c>
      <c r="AH607" t="str">
        <f>IF('Detalle individual'!F607="Pendiente",COUNTIF('Detalle individual'!$D$5:$D$1000,"&lt;"&amp;'Detalle individual'!D607)*1000000+COUNTIF('Detalle individual'!$C$5:$C$1000,"&lt;"&amp;'Detalle individual'!C607)*1000+COUNTIF('Detalle individual'!$B$5:$B$1000,"&lt;"&amp;'Detalle individual'!B607)+ROW()/10000,"")</f>
        <v/>
      </c>
      <c r="AI607" t="str">
        <f>IF('Detalle individual'!F607="Completado",COUNTIF('Detalle individual'!$D$5:$D$1000,"&lt;"&amp;'Detalle individual'!D607)*1000000+COUNTIF('Detalle individual'!$C$5:$C$1000,"&lt;"&amp;'Detalle individual'!C607)*1000+COUNTIF('Detalle individual'!$B$5:$B$1000,"&lt;"&amp;'Detalle individual'!B607)+ROW()/10000,"")</f>
        <v/>
      </c>
      <c r="AJ607" t="str">
        <f>IF(AND('Detalle individual'!F607&lt;&gt;"",'Detalle individual'!F607&lt;&gt;"Completado",'Detalle individual'!F607&lt;&gt;"Pendiente"),COUNTIF('Detalle individual'!$D$5:$D$1000,"&lt;"&amp;'Detalle individual'!D607)*1000000+COUNTIF('Detalle individual'!$C$5:$C$1000,"&lt;"&amp;'Detalle individual'!C607)*1000+COUNTIF('Detalle individual'!$B$5:$B$1000,"&lt;"&amp;'Detalle individual'!B607)+ROW()/10000,"")</f>
        <v/>
      </c>
      <c r="AK607" t="str">
        <f>IF(OR('Base Exámenes'!C607="",'Base Exámenes'!D607=""),"",IF(COUNTIF('Base Exámenes'!$C$5:C607,'Base Exámenes'!C607)=1,'Base Exámenes'!D607+ROW()/1000000000,""))</f>
        <v/>
      </c>
      <c r="AL607" t="str">
        <f>IF(OR('Base Exámenes'!C607="",'Base Exámenes'!E607=""),"",IF(COUNTIF('Base Exámenes'!$C$5:C607,'Base Exámenes'!C607)=1,'Base Exámenes'!E607+ROW()/1000000000,""))</f>
        <v/>
      </c>
      <c r="AM607" t="str">
        <f>IF(OR('Base Exámenes'!C607="",'Base Exámenes'!G607=""),"",IF(ROW()-4=MATCH('Base Exámenes'!C607&amp;"|"&amp;_xlfn.MAXIFS('Base Exámenes'!$G$5:$G$1000,'Base Exámenes'!$C$5:$C$1000,'Base Exámenes'!C607),'Base Exámenes'!$I$5:$I$1000,0),'Base Exámenes'!G607*1000000+(-1)*'Base Exámenes'!D607,""))</f>
        <v/>
      </c>
      <c r="AQ607" t="str">
        <f>IF('Base Exámenes'!C607="","",IF(COUNTIF('Base Exámenes'!$C$5:$C$1000,'Base Exámenes'!C607)&lt;2,"",MATCH('Base Exámenes'!C607,'Base Exámenes'!$C$5:$C$1000,0)*10000+ROW()))</f>
        <v/>
      </c>
    </row>
    <row r="608">
      <c r="Z608" t="str">
        <f>IF('Detalle individual'!A608="","",IF(AND(OR('Estado por Colaborador'!$D$4="Todas las gerencias",'Detalle individual'!D608='Estado por Colaborador'!$D$4),OR('Estado por Colaborador'!$D$5="Todos los departamentos",TRIM('Detalle individual'!C608)='Estado por Colaborador'!$D$5),OR('Estado por Colaborador'!$D$6="Todos",'Detalle individual'!F608='Estado por Colaborador'!$D$6)),IF('Detalle individual'!F608="Completado",30000000,IF('Detalle individual'!F608="Pendiente",0,15000000))+COUNTIF('Detalle individual'!$C$5:$C$1000,"&lt;"&amp;'Detalle individual'!C608)*10000+ROW(),""))</f>
        <v/>
      </c>
      <c r="AB608" t="str">
        <f>IF('Detalle individual'!C608="","",IF(COUNTIF('Detalle individual'!$C$5:C608,'Detalle individual'!C608)=1,COUNTIF('Detalle individual'!$C$5:$C$1000,"&lt;"&amp;'Detalle individual'!C608),""))</f>
        <v/>
      </c>
      <c r="AC608" t="str">
        <f>IF('Detalle individual'!D608="","",IF(COUNTIF('Detalle individual'!$D$5:D608,'Detalle individual'!D608)=1,COUNTIF('Detalle individual'!$D$5:$D$1000,"&lt;"&amp;'Detalle individual'!D608),""))</f>
        <v/>
      </c>
      <c r="AH608" t="str">
        <f>IF('Detalle individual'!F608="Pendiente",COUNTIF('Detalle individual'!$D$5:$D$1000,"&lt;"&amp;'Detalle individual'!D608)*1000000+COUNTIF('Detalle individual'!$C$5:$C$1000,"&lt;"&amp;'Detalle individual'!C608)*1000+COUNTIF('Detalle individual'!$B$5:$B$1000,"&lt;"&amp;'Detalle individual'!B608)+ROW()/10000,"")</f>
        <v/>
      </c>
      <c r="AI608" t="str">
        <f>IF('Detalle individual'!F608="Completado",COUNTIF('Detalle individual'!$D$5:$D$1000,"&lt;"&amp;'Detalle individual'!D608)*1000000+COUNTIF('Detalle individual'!$C$5:$C$1000,"&lt;"&amp;'Detalle individual'!C608)*1000+COUNTIF('Detalle individual'!$B$5:$B$1000,"&lt;"&amp;'Detalle individual'!B608)+ROW()/10000,"")</f>
        <v/>
      </c>
      <c r="AJ608" t="str">
        <f>IF(AND('Detalle individual'!F608&lt;&gt;"",'Detalle individual'!F608&lt;&gt;"Completado",'Detalle individual'!F608&lt;&gt;"Pendiente"),COUNTIF('Detalle individual'!$D$5:$D$1000,"&lt;"&amp;'Detalle individual'!D608)*1000000+COUNTIF('Detalle individual'!$C$5:$C$1000,"&lt;"&amp;'Detalle individual'!C608)*1000+COUNTIF('Detalle individual'!$B$5:$B$1000,"&lt;"&amp;'Detalle individual'!B608)+ROW()/10000,"")</f>
        <v/>
      </c>
      <c r="AK608" t="str">
        <f>IF(OR('Base Exámenes'!C608="",'Base Exámenes'!D608=""),"",IF(COUNTIF('Base Exámenes'!$C$5:C608,'Base Exámenes'!C608)=1,'Base Exámenes'!D608+ROW()/1000000000,""))</f>
        <v/>
      </c>
      <c r="AL608" t="str">
        <f>IF(OR('Base Exámenes'!C608="",'Base Exámenes'!E608=""),"",IF(COUNTIF('Base Exámenes'!$C$5:C608,'Base Exámenes'!C608)=1,'Base Exámenes'!E608+ROW()/1000000000,""))</f>
        <v/>
      </c>
      <c r="AM608" t="str">
        <f>IF(OR('Base Exámenes'!C608="",'Base Exámenes'!G608=""),"",IF(ROW()-4=MATCH('Base Exámenes'!C608&amp;"|"&amp;_xlfn.MAXIFS('Base Exámenes'!$G$5:$G$1000,'Base Exámenes'!$C$5:$C$1000,'Base Exámenes'!C608),'Base Exámenes'!$I$5:$I$1000,0),'Base Exámenes'!G608*1000000+(-1)*'Base Exámenes'!D608,""))</f>
        <v/>
      </c>
      <c r="AQ608" t="str">
        <f>IF('Base Exámenes'!C608="","",IF(COUNTIF('Base Exámenes'!$C$5:$C$1000,'Base Exámenes'!C608)&lt;2,"",MATCH('Base Exámenes'!C608,'Base Exámenes'!$C$5:$C$1000,0)*10000+ROW()))</f>
        <v/>
      </c>
    </row>
    <row r="609">
      <c r="Z609" t="str">
        <f>IF('Detalle individual'!A609="","",IF(AND(OR('Estado por Colaborador'!$D$4="Todas las gerencias",'Detalle individual'!D609='Estado por Colaborador'!$D$4),OR('Estado por Colaborador'!$D$5="Todos los departamentos",TRIM('Detalle individual'!C609)='Estado por Colaborador'!$D$5),OR('Estado por Colaborador'!$D$6="Todos",'Detalle individual'!F609='Estado por Colaborador'!$D$6)),IF('Detalle individual'!F609="Completado",30000000,IF('Detalle individual'!F609="Pendiente",0,15000000))+COUNTIF('Detalle individual'!$C$5:$C$1000,"&lt;"&amp;'Detalle individual'!C609)*10000+ROW(),""))</f>
        <v/>
      </c>
      <c r="AB609" t="str">
        <f>IF('Detalle individual'!C609="","",IF(COUNTIF('Detalle individual'!$C$5:C609,'Detalle individual'!C609)=1,COUNTIF('Detalle individual'!$C$5:$C$1000,"&lt;"&amp;'Detalle individual'!C609),""))</f>
        <v/>
      </c>
      <c r="AC609" t="str">
        <f>IF('Detalle individual'!D609="","",IF(COUNTIF('Detalle individual'!$D$5:D609,'Detalle individual'!D609)=1,COUNTIF('Detalle individual'!$D$5:$D$1000,"&lt;"&amp;'Detalle individual'!D609),""))</f>
        <v/>
      </c>
      <c r="AH609" t="str">
        <f>IF('Detalle individual'!F609="Pendiente",COUNTIF('Detalle individual'!$D$5:$D$1000,"&lt;"&amp;'Detalle individual'!D609)*1000000+COUNTIF('Detalle individual'!$C$5:$C$1000,"&lt;"&amp;'Detalle individual'!C609)*1000+COUNTIF('Detalle individual'!$B$5:$B$1000,"&lt;"&amp;'Detalle individual'!B609)+ROW()/10000,"")</f>
        <v/>
      </c>
      <c r="AI609" t="str">
        <f>IF('Detalle individual'!F609="Completado",COUNTIF('Detalle individual'!$D$5:$D$1000,"&lt;"&amp;'Detalle individual'!D609)*1000000+COUNTIF('Detalle individual'!$C$5:$C$1000,"&lt;"&amp;'Detalle individual'!C609)*1000+COUNTIF('Detalle individual'!$B$5:$B$1000,"&lt;"&amp;'Detalle individual'!B609)+ROW()/10000,"")</f>
        <v/>
      </c>
      <c r="AJ609" t="str">
        <f>IF(AND('Detalle individual'!F609&lt;&gt;"",'Detalle individual'!F609&lt;&gt;"Completado",'Detalle individual'!F609&lt;&gt;"Pendiente"),COUNTIF('Detalle individual'!$D$5:$D$1000,"&lt;"&amp;'Detalle individual'!D609)*1000000+COUNTIF('Detalle individual'!$C$5:$C$1000,"&lt;"&amp;'Detalle individual'!C609)*1000+COUNTIF('Detalle individual'!$B$5:$B$1000,"&lt;"&amp;'Detalle individual'!B609)+ROW()/10000,"")</f>
        <v/>
      </c>
      <c r="AK609" t="str">
        <f>IF(OR('Base Exámenes'!C609="",'Base Exámenes'!D609=""),"",IF(COUNTIF('Base Exámenes'!$C$5:C609,'Base Exámenes'!C609)=1,'Base Exámenes'!D609+ROW()/1000000000,""))</f>
        <v/>
      </c>
      <c r="AL609" t="str">
        <f>IF(OR('Base Exámenes'!C609="",'Base Exámenes'!E609=""),"",IF(COUNTIF('Base Exámenes'!$C$5:C609,'Base Exámenes'!C609)=1,'Base Exámenes'!E609+ROW()/1000000000,""))</f>
        <v/>
      </c>
      <c r="AM609" t="str">
        <f>IF(OR('Base Exámenes'!C609="",'Base Exámenes'!G609=""),"",IF(ROW()-4=MATCH('Base Exámenes'!C609&amp;"|"&amp;_xlfn.MAXIFS('Base Exámenes'!$G$5:$G$1000,'Base Exámenes'!$C$5:$C$1000,'Base Exámenes'!C609),'Base Exámenes'!$I$5:$I$1000,0),'Base Exámenes'!G609*1000000+(-1)*'Base Exámenes'!D609,""))</f>
        <v/>
      </c>
      <c r="AQ609" t="str">
        <f>IF('Base Exámenes'!C609="","",IF(COUNTIF('Base Exámenes'!$C$5:$C$1000,'Base Exámenes'!C609)&lt;2,"",MATCH('Base Exámenes'!C609,'Base Exámenes'!$C$5:$C$1000,0)*10000+ROW()))</f>
        <v/>
      </c>
    </row>
    <row r="610">
      <c r="Z610" t="str">
        <f>IF('Detalle individual'!A610="","",IF(AND(OR('Estado por Colaborador'!$D$4="Todas las gerencias",'Detalle individual'!D610='Estado por Colaborador'!$D$4),OR('Estado por Colaborador'!$D$5="Todos los departamentos",TRIM('Detalle individual'!C610)='Estado por Colaborador'!$D$5),OR('Estado por Colaborador'!$D$6="Todos",'Detalle individual'!F610='Estado por Colaborador'!$D$6)),IF('Detalle individual'!F610="Completado",30000000,IF('Detalle individual'!F610="Pendiente",0,15000000))+COUNTIF('Detalle individual'!$C$5:$C$1000,"&lt;"&amp;'Detalle individual'!C610)*10000+ROW(),""))</f>
        <v/>
      </c>
      <c r="AB610" t="str">
        <f>IF('Detalle individual'!C610="","",IF(COUNTIF('Detalle individual'!$C$5:C610,'Detalle individual'!C610)=1,COUNTIF('Detalle individual'!$C$5:$C$1000,"&lt;"&amp;'Detalle individual'!C610),""))</f>
        <v/>
      </c>
      <c r="AC610" t="str">
        <f>IF('Detalle individual'!D610="","",IF(COUNTIF('Detalle individual'!$D$5:D610,'Detalle individual'!D610)=1,COUNTIF('Detalle individual'!$D$5:$D$1000,"&lt;"&amp;'Detalle individual'!D610),""))</f>
        <v/>
      </c>
      <c r="AH610" t="str">
        <f>IF('Detalle individual'!F610="Pendiente",COUNTIF('Detalle individual'!$D$5:$D$1000,"&lt;"&amp;'Detalle individual'!D610)*1000000+COUNTIF('Detalle individual'!$C$5:$C$1000,"&lt;"&amp;'Detalle individual'!C610)*1000+COUNTIF('Detalle individual'!$B$5:$B$1000,"&lt;"&amp;'Detalle individual'!B610)+ROW()/10000,"")</f>
        <v/>
      </c>
      <c r="AI610" t="str">
        <f>IF('Detalle individual'!F610="Completado",COUNTIF('Detalle individual'!$D$5:$D$1000,"&lt;"&amp;'Detalle individual'!D610)*1000000+COUNTIF('Detalle individual'!$C$5:$C$1000,"&lt;"&amp;'Detalle individual'!C610)*1000+COUNTIF('Detalle individual'!$B$5:$B$1000,"&lt;"&amp;'Detalle individual'!B610)+ROW()/10000,"")</f>
        <v/>
      </c>
      <c r="AJ610" t="str">
        <f>IF(AND('Detalle individual'!F610&lt;&gt;"",'Detalle individual'!F610&lt;&gt;"Completado",'Detalle individual'!F610&lt;&gt;"Pendiente"),COUNTIF('Detalle individual'!$D$5:$D$1000,"&lt;"&amp;'Detalle individual'!D610)*1000000+COUNTIF('Detalle individual'!$C$5:$C$1000,"&lt;"&amp;'Detalle individual'!C610)*1000+COUNTIF('Detalle individual'!$B$5:$B$1000,"&lt;"&amp;'Detalle individual'!B610)+ROW()/10000,"")</f>
        <v/>
      </c>
      <c r="AK610" t="str">
        <f>IF(OR('Base Exámenes'!C610="",'Base Exámenes'!D610=""),"",IF(COUNTIF('Base Exámenes'!$C$5:C610,'Base Exámenes'!C610)=1,'Base Exámenes'!D610+ROW()/1000000000,""))</f>
        <v/>
      </c>
      <c r="AL610" t="str">
        <f>IF(OR('Base Exámenes'!C610="",'Base Exámenes'!E610=""),"",IF(COUNTIF('Base Exámenes'!$C$5:C610,'Base Exámenes'!C610)=1,'Base Exámenes'!E610+ROW()/1000000000,""))</f>
        <v/>
      </c>
      <c r="AM610" t="str">
        <f>IF(OR('Base Exámenes'!C610="",'Base Exámenes'!G610=""),"",IF(ROW()-4=MATCH('Base Exámenes'!C610&amp;"|"&amp;_xlfn.MAXIFS('Base Exámenes'!$G$5:$G$1000,'Base Exámenes'!$C$5:$C$1000,'Base Exámenes'!C610),'Base Exámenes'!$I$5:$I$1000,0),'Base Exámenes'!G610*1000000+(-1)*'Base Exámenes'!D610,""))</f>
        <v/>
      </c>
      <c r="AQ610" t="str">
        <f>IF('Base Exámenes'!C610="","",IF(COUNTIF('Base Exámenes'!$C$5:$C$1000,'Base Exámenes'!C610)&lt;2,"",MATCH('Base Exámenes'!C610,'Base Exámenes'!$C$5:$C$1000,0)*10000+ROW()))</f>
        <v/>
      </c>
    </row>
    <row r="611">
      <c r="Z611" t="str">
        <f>IF('Detalle individual'!A611="","",IF(AND(OR('Estado por Colaborador'!$D$4="Todas las gerencias",'Detalle individual'!D611='Estado por Colaborador'!$D$4),OR('Estado por Colaborador'!$D$5="Todos los departamentos",TRIM('Detalle individual'!C611)='Estado por Colaborador'!$D$5),OR('Estado por Colaborador'!$D$6="Todos",'Detalle individual'!F611='Estado por Colaborador'!$D$6)),IF('Detalle individual'!F611="Completado",30000000,IF('Detalle individual'!F611="Pendiente",0,15000000))+COUNTIF('Detalle individual'!$C$5:$C$1000,"&lt;"&amp;'Detalle individual'!C611)*10000+ROW(),""))</f>
        <v/>
      </c>
      <c r="AB611" t="str">
        <f>IF('Detalle individual'!C611="","",IF(COUNTIF('Detalle individual'!$C$5:C611,'Detalle individual'!C611)=1,COUNTIF('Detalle individual'!$C$5:$C$1000,"&lt;"&amp;'Detalle individual'!C611),""))</f>
        <v/>
      </c>
      <c r="AC611" t="str">
        <f>IF('Detalle individual'!D611="","",IF(COUNTIF('Detalle individual'!$D$5:D611,'Detalle individual'!D611)=1,COUNTIF('Detalle individual'!$D$5:$D$1000,"&lt;"&amp;'Detalle individual'!D611),""))</f>
        <v/>
      </c>
      <c r="AH611" t="str">
        <f>IF('Detalle individual'!F611="Pendiente",COUNTIF('Detalle individual'!$D$5:$D$1000,"&lt;"&amp;'Detalle individual'!D611)*1000000+COUNTIF('Detalle individual'!$C$5:$C$1000,"&lt;"&amp;'Detalle individual'!C611)*1000+COUNTIF('Detalle individual'!$B$5:$B$1000,"&lt;"&amp;'Detalle individual'!B611)+ROW()/10000,"")</f>
        <v/>
      </c>
      <c r="AI611" t="str">
        <f>IF('Detalle individual'!F611="Completado",COUNTIF('Detalle individual'!$D$5:$D$1000,"&lt;"&amp;'Detalle individual'!D611)*1000000+COUNTIF('Detalle individual'!$C$5:$C$1000,"&lt;"&amp;'Detalle individual'!C611)*1000+COUNTIF('Detalle individual'!$B$5:$B$1000,"&lt;"&amp;'Detalle individual'!B611)+ROW()/10000,"")</f>
        <v/>
      </c>
      <c r="AJ611" t="str">
        <f>IF(AND('Detalle individual'!F611&lt;&gt;"",'Detalle individual'!F611&lt;&gt;"Completado",'Detalle individual'!F611&lt;&gt;"Pendiente"),COUNTIF('Detalle individual'!$D$5:$D$1000,"&lt;"&amp;'Detalle individual'!D611)*1000000+COUNTIF('Detalle individual'!$C$5:$C$1000,"&lt;"&amp;'Detalle individual'!C611)*1000+COUNTIF('Detalle individual'!$B$5:$B$1000,"&lt;"&amp;'Detalle individual'!B611)+ROW()/10000,"")</f>
        <v/>
      </c>
      <c r="AK611" t="str">
        <f>IF(OR('Base Exámenes'!C611="",'Base Exámenes'!D611=""),"",IF(COUNTIF('Base Exámenes'!$C$5:C611,'Base Exámenes'!C611)=1,'Base Exámenes'!D611+ROW()/1000000000,""))</f>
        <v/>
      </c>
      <c r="AL611" t="str">
        <f>IF(OR('Base Exámenes'!C611="",'Base Exámenes'!E611=""),"",IF(COUNTIF('Base Exámenes'!$C$5:C611,'Base Exámenes'!C611)=1,'Base Exámenes'!E611+ROW()/1000000000,""))</f>
        <v/>
      </c>
      <c r="AM611" t="str">
        <f>IF(OR('Base Exámenes'!C611="",'Base Exámenes'!G611=""),"",IF(ROW()-4=MATCH('Base Exámenes'!C611&amp;"|"&amp;_xlfn.MAXIFS('Base Exámenes'!$G$5:$G$1000,'Base Exámenes'!$C$5:$C$1000,'Base Exámenes'!C611),'Base Exámenes'!$I$5:$I$1000,0),'Base Exámenes'!G611*1000000+(-1)*'Base Exámenes'!D611,""))</f>
        <v/>
      </c>
      <c r="AQ611" t="str">
        <f>IF('Base Exámenes'!C611="","",IF(COUNTIF('Base Exámenes'!$C$5:$C$1000,'Base Exámenes'!C611)&lt;2,"",MATCH('Base Exámenes'!C611,'Base Exámenes'!$C$5:$C$1000,0)*10000+ROW()))</f>
        <v/>
      </c>
    </row>
    <row r="612">
      <c r="Z612" t="str">
        <f>IF('Detalle individual'!A612="","",IF(AND(OR('Estado por Colaborador'!$D$4="Todas las gerencias",'Detalle individual'!D612='Estado por Colaborador'!$D$4),OR('Estado por Colaborador'!$D$5="Todos los departamentos",TRIM('Detalle individual'!C612)='Estado por Colaborador'!$D$5),OR('Estado por Colaborador'!$D$6="Todos",'Detalle individual'!F612='Estado por Colaborador'!$D$6)),IF('Detalle individual'!F612="Completado",30000000,IF('Detalle individual'!F612="Pendiente",0,15000000))+COUNTIF('Detalle individual'!$C$5:$C$1000,"&lt;"&amp;'Detalle individual'!C612)*10000+ROW(),""))</f>
        <v/>
      </c>
      <c r="AB612" t="str">
        <f>IF('Detalle individual'!C612="","",IF(COUNTIF('Detalle individual'!$C$5:C612,'Detalle individual'!C612)=1,COUNTIF('Detalle individual'!$C$5:$C$1000,"&lt;"&amp;'Detalle individual'!C612),""))</f>
        <v/>
      </c>
      <c r="AC612" t="str">
        <f>IF('Detalle individual'!D612="","",IF(COUNTIF('Detalle individual'!$D$5:D612,'Detalle individual'!D612)=1,COUNTIF('Detalle individual'!$D$5:$D$1000,"&lt;"&amp;'Detalle individual'!D612),""))</f>
        <v/>
      </c>
      <c r="AH612" t="str">
        <f>IF('Detalle individual'!F612="Pendiente",COUNTIF('Detalle individual'!$D$5:$D$1000,"&lt;"&amp;'Detalle individual'!D612)*1000000+COUNTIF('Detalle individual'!$C$5:$C$1000,"&lt;"&amp;'Detalle individual'!C612)*1000+COUNTIF('Detalle individual'!$B$5:$B$1000,"&lt;"&amp;'Detalle individual'!B612)+ROW()/10000,"")</f>
        <v/>
      </c>
      <c r="AI612" t="str">
        <f>IF('Detalle individual'!F612="Completado",COUNTIF('Detalle individual'!$D$5:$D$1000,"&lt;"&amp;'Detalle individual'!D612)*1000000+COUNTIF('Detalle individual'!$C$5:$C$1000,"&lt;"&amp;'Detalle individual'!C612)*1000+COUNTIF('Detalle individual'!$B$5:$B$1000,"&lt;"&amp;'Detalle individual'!B612)+ROW()/10000,"")</f>
        <v/>
      </c>
      <c r="AJ612" t="str">
        <f>IF(AND('Detalle individual'!F612&lt;&gt;"",'Detalle individual'!F612&lt;&gt;"Completado",'Detalle individual'!F612&lt;&gt;"Pendiente"),COUNTIF('Detalle individual'!$D$5:$D$1000,"&lt;"&amp;'Detalle individual'!D612)*1000000+COUNTIF('Detalle individual'!$C$5:$C$1000,"&lt;"&amp;'Detalle individual'!C612)*1000+COUNTIF('Detalle individual'!$B$5:$B$1000,"&lt;"&amp;'Detalle individual'!B612)+ROW()/10000,"")</f>
        <v/>
      </c>
      <c r="AK612" t="str">
        <f>IF(OR('Base Exámenes'!C612="",'Base Exámenes'!D612=""),"",IF(COUNTIF('Base Exámenes'!$C$5:C612,'Base Exámenes'!C612)=1,'Base Exámenes'!D612+ROW()/1000000000,""))</f>
        <v/>
      </c>
      <c r="AL612" t="str">
        <f>IF(OR('Base Exámenes'!C612="",'Base Exámenes'!E612=""),"",IF(COUNTIF('Base Exámenes'!$C$5:C612,'Base Exámenes'!C612)=1,'Base Exámenes'!E612+ROW()/1000000000,""))</f>
        <v/>
      </c>
      <c r="AM612" t="str">
        <f>IF(OR('Base Exámenes'!C612="",'Base Exámenes'!G612=""),"",IF(ROW()-4=MATCH('Base Exámenes'!C612&amp;"|"&amp;_xlfn.MAXIFS('Base Exámenes'!$G$5:$G$1000,'Base Exámenes'!$C$5:$C$1000,'Base Exámenes'!C612),'Base Exámenes'!$I$5:$I$1000,0),'Base Exámenes'!G612*1000000+(-1)*'Base Exámenes'!D612,""))</f>
        <v/>
      </c>
      <c r="AQ612" t="str">
        <f>IF('Base Exámenes'!C612="","",IF(COUNTIF('Base Exámenes'!$C$5:$C$1000,'Base Exámenes'!C612)&lt;2,"",MATCH('Base Exámenes'!C612,'Base Exámenes'!$C$5:$C$1000,0)*10000+ROW()))</f>
        <v/>
      </c>
    </row>
    <row r="613">
      <c r="Z613" t="str">
        <f>IF('Detalle individual'!A613="","",IF(AND(OR('Estado por Colaborador'!$D$4="Todas las gerencias",'Detalle individual'!D613='Estado por Colaborador'!$D$4),OR('Estado por Colaborador'!$D$5="Todos los departamentos",TRIM('Detalle individual'!C613)='Estado por Colaborador'!$D$5),OR('Estado por Colaborador'!$D$6="Todos",'Detalle individual'!F613='Estado por Colaborador'!$D$6)),IF('Detalle individual'!F613="Completado",30000000,IF('Detalle individual'!F613="Pendiente",0,15000000))+COUNTIF('Detalle individual'!$C$5:$C$1000,"&lt;"&amp;'Detalle individual'!C613)*10000+ROW(),""))</f>
        <v/>
      </c>
      <c r="AB613" t="str">
        <f>IF('Detalle individual'!C613="","",IF(COUNTIF('Detalle individual'!$C$5:C613,'Detalle individual'!C613)=1,COUNTIF('Detalle individual'!$C$5:$C$1000,"&lt;"&amp;'Detalle individual'!C613),""))</f>
        <v/>
      </c>
      <c r="AC613" t="str">
        <f>IF('Detalle individual'!D613="","",IF(COUNTIF('Detalle individual'!$D$5:D613,'Detalle individual'!D613)=1,COUNTIF('Detalle individual'!$D$5:$D$1000,"&lt;"&amp;'Detalle individual'!D613),""))</f>
        <v/>
      </c>
      <c r="AH613" t="str">
        <f>IF('Detalle individual'!F613="Pendiente",COUNTIF('Detalle individual'!$D$5:$D$1000,"&lt;"&amp;'Detalle individual'!D613)*1000000+COUNTIF('Detalle individual'!$C$5:$C$1000,"&lt;"&amp;'Detalle individual'!C613)*1000+COUNTIF('Detalle individual'!$B$5:$B$1000,"&lt;"&amp;'Detalle individual'!B613)+ROW()/10000,"")</f>
        <v/>
      </c>
      <c r="AI613" t="str">
        <f>IF('Detalle individual'!F613="Completado",COUNTIF('Detalle individual'!$D$5:$D$1000,"&lt;"&amp;'Detalle individual'!D613)*1000000+COUNTIF('Detalle individual'!$C$5:$C$1000,"&lt;"&amp;'Detalle individual'!C613)*1000+COUNTIF('Detalle individual'!$B$5:$B$1000,"&lt;"&amp;'Detalle individual'!B613)+ROW()/10000,"")</f>
        <v/>
      </c>
      <c r="AJ613" t="str">
        <f>IF(AND('Detalle individual'!F613&lt;&gt;"",'Detalle individual'!F613&lt;&gt;"Completado",'Detalle individual'!F613&lt;&gt;"Pendiente"),COUNTIF('Detalle individual'!$D$5:$D$1000,"&lt;"&amp;'Detalle individual'!D613)*1000000+COUNTIF('Detalle individual'!$C$5:$C$1000,"&lt;"&amp;'Detalle individual'!C613)*1000+COUNTIF('Detalle individual'!$B$5:$B$1000,"&lt;"&amp;'Detalle individual'!B613)+ROW()/10000,"")</f>
        <v/>
      </c>
      <c r="AK613" t="str">
        <f>IF(OR('Base Exámenes'!C613="",'Base Exámenes'!D613=""),"",IF(COUNTIF('Base Exámenes'!$C$5:C613,'Base Exámenes'!C613)=1,'Base Exámenes'!D613+ROW()/1000000000,""))</f>
        <v/>
      </c>
      <c r="AL613" t="str">
        <f>IF(OR('Base Exámenes'!C613="",'Base Exámenes'!E613=""),"",IF(COUNTIF('Base Exámenes'!$C$5:C613,'Base Exámenes'!C613)=1,'Base Exámenes'!E613+ROW()/1000000000,""))</f>
        <v/>
      </c>
      <c r="AM613" t="str">
        <f>IF(OR('Base Exámenes'!C613="",'Base Exámenes'!G613=""),"",IF(ROW()-4=MATCH('Base Exámenes'!C613&amp;"|"&amp;_xlfn.MAXIFS('Base Exámenes'!$G$5:$G$1000,'Base Exámenes'!$C$5:$C$1000,'Base Exámenes'!C613),'Base Exámenes'!$I$5:$I$1000,0),'Base Exámenes'!G613*1000000+(-1)*'Base Exámenes'!D613,""))</f>
        <v/>
      </c>
      <c r="AQ613" t="str">
        <f>IF('Base Exámenes'!C613="","",IF(COUNTIF('Base Exámenes'!$C$5:$C$1000,'Base Exámenes'!C613)&lt;2,"",MATCH('Base Exámenes'!C613,'Base Exámenes'!$C$5:$C$1000,0)*10000+ROW()))</f>
        <v/>
      </c>
    </row>
    <row r="614">
      <c r="Z614" t="str">
        <f>IF('Detalle individual'!A614="","",IF(AND(OR('Estado por Colaborador'!$D$4="Todas las gerencias",'Detalle individual'!D614='Estado por Colaborador'!$D$4),OR('Estado por Colaborador'!$D$5="Todos los departamentos",TRIM('Detalle individual'!C614)='Estado por Colaborador'!$D$5),OR('Estado por Colaborador'!$D$6="Todos",'Detalle individual'!F614='Estado por Colaborador'!$D$6)),IF('Detalle individual'!F614="Completado",30000000,IF('Detalle individual'!F614="Pendiente",0,15000000))+COUNTIF('Detalle individual'!$C$5:$C$1000,"&lt;"&amp;'Detalle individual'!C614)*10000+ROW(),""))</f>
        <v/>
      </c>
      <c r="AB614" t="str">
        <f>IF('Detalle individual'!C614="","",IF(COUNTIF('Detalle individual'!$C$5:C614,'Detalle individual'!C614)=1,COUNTIF('Detalle individual'!$C$5:$C$1000,"&lt;"&amp;'Detalle individual'!C614),""))</f>
        <v/>
      </c>
      <c r="AC614" t="str">
        <f>IF('Detalle individual'!D614="","",IF(COUNTIF('Detalle individual'!$D$5:D614,'Detalle individual'!D614)=1,COUNTIF('Detalle individual'!$D$5:$D$1000,"&lt;"&amp;'Detalle individual'!D614),""))</f>
        <v/>
      </c>
      <c r="AH614" t="str">
        <f>IF('Detalle individual'!F614="Pendiente",COUNTIF('Detalle individual'!$D$5:$D$1000,"&lt;"&amp;'Detalle individual'!D614)*1000000+COUNTIF('Detalle individual'!$C$5:$C$1000,"&lt;"&amp;'Detalle individual'!C614)*1000+COUNTIF('Detalle individual'!$B$5:$B$1000,"&lt;"&amp;'Detalle individual'!B614)+ROW()/10000,"")</f>
        <v/>
      </c>
      <c r="AI614" t="str">
        <f>IF('Detalle individual'!F614="Completado",COUNTIF('Detalle individual'!$D$5:$D$1000,"&lt;"&amp;'Detalle individual'!D614)*1000000+COUNTIF('Detalle individual'!$C$5:$C$1000,"&lt;"&amp;'Detalle individual'!C614)*1000+COUNTIF('Detalle individual'!$B$5:$B$1000,"&lt;"&amp;'Detalle individual'!B614)+ROW()/10000,"")</f>
        <v/>
      </c>
      <c r="AJ614" t="str">
        <f>IF(AND('Detalle individual'!F614&lt;&gt;"",'Detalle individual'!F614&lt;&gt;"Completado",'Detalle individual'!F614&lt;&gt;"Pendiente"),COUNTIF('Detalle individual'!$D$5:$D$1000,"&lt;"&amp;'Detalle individual'!D614)*1000000+COUNTIF('Detalle individual'!$C$5:$C$1000,"&lt;"&amp;'Detalle individual'!C614)*1000+COUNTIF('Detalle individual'!$B$5:$B$1000,"&lt;"&amp;'Detalle individual'!B614)+ROW()/10000,"")</f>
        <v/>
      </c>
      <c r="AK614" t="str">
        <f>IF(OR('Base Exámenes'!C614="",'Base Exámenes'!D614=""),"",IF(COUNTIF('Base Exámenes'!$C$5:C614,'Base Exámenes'!C614)=1,'Base Exámenes'!D614+ROW()/1000000000,""))</f>
        <v/>
      </c>
      <c r="AL614" t="str">
        <f>IF(OR('Base Exámenes'!C614="",'Base Exámenes'!E614=""),"",IF(COUNTIF('Base Exámenes'!$C$5:C614,'Base Exámenes'!C614)=1,'Base Exámenes'!E614+ROW()/1000000000,""))</f>
        <v/>
      </c>
      <c r="AM614" t="str">
        <f>IF(OR('Base Exámenes'!C614="",'Base Exámenes'!G614=""),"",IF(ROW()-4=MATCH('Base Exámenes'!C614&amp;"|"&amp;_xlfn.MAXIFS('Base Exámenes'!$G$5:$G$1000,'Base Exámenes'!$C$5:$C$1000,'Base Exámenes'!C614),'Base Exámenes'!$I$5:$I$1000,0),'Base Exámenes'!G614*1000000+(-1)*'Base Exámenes'!D614,""))</f>
        <v/>
      </c>
      <c r="AQ614" t="str">
        <f>IF('Base Exámenes'!C614="","",IF(COUNTIF('Base Exámenes'!$C$5:$C$1000,'Base Exámenes'!C614)&lt;2,"",MATCH('Base Exámenes'!C614,'Base Exámenes'!$C$5:$C$1000,0)*10000+ROW()))</f>
        <v/>
      </c>
    </row>
    <row r="615">
      <c r="Z615" t="str">
        <f>IF('Detalle individual'!A615="","",IF(AND(OR('Estado por Colaborador'!$D$4="Todas las gerencias",'Detalle individual'!D615='Estado por Colaborador'!$D$4),OR('Estado por Colaborador'!$D$5="Todos los departamentos",TRIM('Detalle individual'!C615)='Estado por Colaborador'!$D$5),OR('Estado por Colaborador'!$D$6="Todos",'Detalle individual'!F615='Estado por Colaborador'!$D$6)),IF('Detalle individual'!F615="Completado",30000000,IF('Detalle individual'!F615="Pendiente",0,15000000))+COUNTIF('Detalle individual'!$C$5:$C$1000,"&lt;"&amp;'Detalle individual'!C615)*10000+ROW(),""))</f>
        <v/>
      </c>
      <c r="AB615" t="str">
        <f>IF('Detalle individual'!C615="","",IF(COUNTIF('Detalle individual'!$C$5:C615,'Detalle individual'!C615)=1,COUNTIF('Detalle individual'!$C$5:$C$1000,"&lt;"&amp;'Detalle individual'!C615),""))</f>
        <v/>
      </c>
      <c r="AC615" t="str">
        <f>IF('Detalle individual'!D615="","",IF(COUNTIF('Detalle individual'!$D$5:D615,'Detalle individual'!D615)=1,COUNTIF('Detalle individual'!$D$5:$D$1000,"&lt;"&amp;'Detalle individual'!D615),""))</f>
        <v/>
      </c>
      <c r="AH615" t="str">
        <f>IF('Detalle individual'!F615="Pendiente",COUNTIF('Detalle individual'!$D$5:$D$1000,"&lt;"&amp;'Detalle individual'!D615)*1000000+COUNTIF('Detalle individual'!$C$5:$C$1000,"&lt;"&amp;'Detalle individual'!C615)*1000+COUNTIF('Detalle individual'!$B$5:$B$1000,"&lt;"&amp;'Detalle individual'!B615)+ROW()/10000,"")</f>
        <v/>
      </c>
      <c r="AI615" t="str">
        <f>IF('Detalle individual'!F615="Completado",COUNTIF('Detalle individual'!$D$5:$D$1000,"&lt;"&amp;'Detalle individual'!D615)*1000000+COUNTIF('Detalle individual'!$C$5:$C$1000,"&lt;"&amp;'Detalle individual'!C615)*1000+COUNTIF('Detalle individual'!$B$5:$B$1000,"&lt;"&amp;'Detalle individual'!B615)+ROW()/10000,"")</f>
        <v/>
      </c>
      <c r="AJ615" t="str">
        <f>IF(AND('Detalle individual'!F615&lt;&gt;"",'Detalle individual'!F615&lt;&gt;"Completado",'Detalle individual'!F615&lt;&gt;"Pendiente"),COUNTIF('Detalle individual'!$D$5:$D$1000,"&lt;"&amp;'Detalle individual'!D615)*1000000+COUNTIF('Detalle individual'!$C$5:$C$1000,"&lt;"&amp;'Detalle individual'!C615)*1000+COUNTIF('Detalle individual'!$B$5:$B$1000,"&lt;"&amp;'Detalle individual'!B615)+ROW()/10000,"")</f>
        <v/>
      </c>
      <c r="AK615" t="str">
        <f>IF(OR('Base Exámenes'!C615="",'Base Exámenes'!D615=""),"",IF(COUNTIF('Base Exámenes'!$C$5:C615,'Base Exámenes'!C615)=1,'Base Exámenes'!D615+ROW()/1000000000,""))</f>
        <v/>
      </c>
      <c r="AL615" t="str">
        <f>IF(OR('Base Exámenes'!C615="",'Base Exámenes'!E615=""),"",IF(COUNTIF('Base Exámenes'!$C$5:C615,'Base Exámenes'!C615)=1,'Base Exámenes'!E615+ROW()/1000000000,""))</f>
        <v/>
      </c>
      <c r="AM615" t="str">
        <f>IF(OR('Base Exámenes'!C615="",'Base Exámenes'!G615=""),"",IF(ROW()-4=MATCH('Base Exámenes'!C615&amp;"|"&amp;_xlfn.MAXIFS('Base Exámenes'!$G$5:$G$1000,'Base Exámenes'!$C$5:$C$1000,'Base Exámenes'!C615),'Base Exámenes'!$I$5:$I$1000,0),'Base Exámenes'!G615*1000000+(-1)*'Base Exámenes'!D615,""))</f>
        <v/>
      </c>
      <c r="AQ615" t="str">
        <f>IF('Base Exámenes'!C615="","",IF(COUNTIF('Base Exámenes'!$C$5:$C$1000,'Base Exámenes'!C615)&lt;2,"",MATCH('Base Exámenes'!C615,'Base Exámenes'!$C$5:$C$1000,0)*10000+ROW()))</f>
        <v/>
      </c>
    </row>
    <row r="616">
      <c r="Z616" t="str">
        <f>IF('Detalle individual'!A616="","",IF(AND(OR('Estado por Colaborador'!$D$4="Todas las gerencias",'Detalle individual'!D616='Estado por Colaborador'!$D$4),OR('Estado por Colaborador'!$D$5="Todos los departamentos",TRIM('Detalle individual'!C616)='Estado por Colaborador'!$D$5),OR('Estado por Colaborador'!$D$6="Todos",'Detalle individual'!F616='Estado por Colaborador'!$D$6)),IF('Detalle individual'!F616="Completado",30000000,IF('Detalle individual'!F616="Pendiente",0,15000000))+COUNTIF('Detalle individual'!$C$5:$C$1000,"&lt;"&amp;'Detalle individual'!C616)*10000+ROW(),""))</f>
        <v/>
      </c>
      <c r="AB616" t="str">
        <f>IF('Detalle individual'!C616="","",IF(COUNTIF('Detalle individual'!$C$5:C616,'Detalle individual'!C616)=1,COUNTIF('Detalle individual'!$C$5:$C$1000,"&lt;"&amp;'Detalle individual'!C616),""))</f>
        <v/>
      </c>
      <c r="AC616" t="str">
        <f>IF('Detalle individual'!D616="","",IF(COUNTIF('Detalle individual'!$D$5:D616,'Detalle individual'!D616)=1,COUNTIF('Detalle individual'!$D$5:$D$1000,"&lt;"&amp;'Detalle individual'!D616),""))</f>
        <v/>
      </c>
      <c r="AH616" t="str">
        <f>IF('Detalle individual'!F616="Pendiente",COUNTIF('Detalle individual'!$D$5:$D$1000,"&lt;"&amp;'Detalle individual'!D616)*1000000+COUNTIF('Detalle individual'!$C$5:$C$1000,"&lt;"&amp;'Detalle individual'!C616)*1000+COUNTIF('Detalle individual'!$B$5:$B$1000,"&lt;"&amp;'Detalle individual'!B616)+ROW()/10000,"")</f>
        <v/>
      </c>
      <c r="AI616" t="str">
        <f>IF('Detalle individual'!F616="Completado",COUNTIF('Detalle individual'!$D$5:$D$1000,"&lt;"&amp;'Detalle individual'!D616)*1000000+COUNTIF('Detalle individual'!$C$5:$C$1000,"&lt;"&amp;'Detalle individual'!C616)*1000+COUNTIF('Detalle individual'!$B$5:$B$1000,"&lt;"&amp;'Detalle individual'!B616)+ROW()/10000,"")</f>
        <v/>
      </c>
      <c r="AJ616" t="str">
        <f>IF(AND('Detalle individual'!F616&lt;&gt;"",'Detalle individual'!F616&lt;&gt;"Completado",'Detalle individual'!F616&lt;&gt;"Pendiente"),COUNTIF('Detalle individual'!$D$5:$D$1000,"&lt;"&amp;'Detalle individual'!D616)*1000000+COUNTIF('Detalle individual'!$C$5:$C$1000,"&lt;"&amp;'Detalle individual'!C616)*1000+COUNTIF('Detalle individual'!$B$5:$B$1000,"&lt;"&amp;'Detalle individual'!B616)+ROW()/10000,"")</f>
        <v/>
      </c>
      <c r="AK616" t="str">
        <f>IF(OR('Base Exámenes'!C616="",'Base Exámenes'!D616=""),"",IF(COUNTIF('Base Exámenes'!$C$5:C616,'Base Exámenes'!C616)=1,'Base Exámenes'!D616+ROW()/1000000000,""))</f>
        <v/>
      </c>
      <c r="AL616" t="str">
        <f>IF(OR('Base Exámenes'!C616="",'Base Exámenes'!E616=""),"",IF(COUNTIF('Base Exámenes'!$C$5:C616,'Base Exámenes'!C616)=1,'Base Exámenes'!E616+ROW()/1000000000,""))</f>
        <v/>
      </c>
      <c r="AM616" t="str">
        <f>IF(OR('Base Exámenes'!C616="",'Base Exámenes'!G616=""),"",IF(ROW()-4=MATCH('Base Exámenes'!C616&amp;"|"&amp;_xlfn.MAXIFS('Base Exámenes'!$G$5:$G$1000,'Base Exámenes'!$C$5:$C$1000,'Base Exámenes'!C616),'Base Exámenes'!$I$5:$I$1000,0),'Base Exámenes'!G616*1000000+(-1)*'Base Exámenes'!D616,""))</f>
        <v/>
      </c>
      <c r="AQ616" t="str">
        <f>IF('Base Exámenes'!C616="","",IF(COUNTIF('Base Exámenes'!$C$5:$C$1000,'Base Exámenes'!C616)&lt;2,"",MATCH('Base Exámenes'!C616,'Base Exámenes'!$C$5:$C$1000,0)*10000+ROW()))</f>
        <v/>
      </c>
    </row>
    <row r="617">
      <c r="Z617" t="str">
        <f>IF('Detalle individual'!A617="","",IF(AND(OR('Estado por Colaborador'!$D$4="Todas las gerencias",'Detalle individual'!D617='Estado por Colaborador'!$D$4),OR('Estado por Colaborador'!$D$5="Todos los departamentos",TRIM('Detalle individual'!C617)='Estado por Colaborador'!$D$5),OR('Estado por Colaborador'!$D$6="Todos",'Detalle individual'!F617='Estado por Colaborador'!$D$6)),IF('Detalle individual'!F617="Completado",30000000,IF('Detalle individual'!F617="Pendiente",0,15000000))+COUNTIF('Detalle individual'!$C$5:$C$1000,"&lt;"&amp;'Detalle individual'!C617)*10000+ROW(),""))</f>
        <v/>
      </c>
      <c r="AB617" t="str">
        <f>IF('Detalle individual'!C617="","",IF(COUNTIF('Detalle individual'!$C$5:C617,'Detalle individual'!C617)=1,COUNTIF('Detalle individual'!$C$5:$C$1000,"&lt;"&amp;'Detalle individual'!C617),""))</f>
        <v/>
      </c>
      <c r="AC617" t="str">
        <f>IF('Detalle individual'!D617="","",IF(COUNTIF('Detalle individual'!$D$5:D617,'Detalle individual'!D617)=1,COUNTIF('Detalle individual'!$D$5:$D$1000,"&lt;"&amp;'Detalle individual'!D617),""))</f>
        <v/>
      </c>
      <c r="AH617" t="str">
        <f>IF('Detalle individual'!F617="Pendiente",COUNTIF('Detalle individual'!$D$5:$D$1000,"&lt;"&amp;'Detalle individual'!D617)*1000000+COUNTIF('Detalle individual'!$C$5:$C$1000,"&lt;"&amp;'Detalle individual'!C617)*1000+COUNTIF('Detalle individual'!$B$5:$B$1000,"&lt;"&amp;'Detalle individual'!B617)+ROW()/10000,"")</f>
        <v/>
      </c>
      <c r="AI617" t="str">
        <f>IF('Detalle individual'!F617="Completado",COUNTIF('Detalle individual'!$D$5:$D$1000,"&lt;"&amp;'Detalle individual'!D617)*1000000+COUNTIF('Detalle individual'!$C$5:$C$1000,"&lt;"&amp;'Detalle individual'!C617)*1000+COUNTIF('Detalle individual'!$B$5:$B$1000,"&lt;"&amp;'Detalle individual'!B617)+ROW()/10000,"")</f>
        <v/>
      </c>
      <c r="AJ617" t="str">
        <f>IF(AND('Detalle individual'!F617&lt;&gt;"",'Detalle individual'!F617&lt;&gt;"Completado",'Detalle individual'!F617&lt;&gt;"Pendiente"),COUNTIF('Detalle individual'!$D$5:$D$1000,"&lt;"&amp;'Detalle individual'!D617)*1000000+COUNTIF('Detalle individual'!$C$5:$C$1000,"&lt;"&amp;'Detalle individual'!C617)*1000+COUNTIF('Detalle individual'!$B$5:$B$1000,"&lt;"&amp;'Detalle individual'!B617)+ROW()/10000,"")</f>
        <v/>
      </c>
      <c r="AK617" t="str">
        <f>IF(OR('Base Exámenes'!C617="",'Base Exámenes'!D617=""),"",IF(COUNTIF('Base Exámenes'!$C$5:C617,'Base Exámenes'!C617)=1,'Base Exámenes'!D617+ROW()/1000000000,""))</f>
        <v/>
      </c>
      <c r="AL617" t="str">
        <f>IF(OR('Base Exámenes'!C617="",'Base Exámenes'!E617=""),"",IF(COUNTIF('Base Exámenes'!$C$5:C617,'Base Exámenes'!C617)=1,'Base Exámenes'!E617+ROW()/1000000000,""))</f>
        <v/>
      </c>
      <c r="AM617" t="str">
        <f>IF(OR('Base Exámenes'!C617="",'Base Exámenes'!G617=""),"",IF(ROW()-4=MATCH('Base Exámenes'!C617&amp;"|"&amp;_xlfn.MAXIFS('Base Exámenes'!$G$5:$G$1000,'Base Exámenes'!$C$5:$C$1000,'Base Exámenes'!C617),'Base Exámenes'!$I$5:$I$1000,0),'Base Exámenes'!G617*1000000+(-1)*'Base Exámenes'!D617,""))</f>
        <v/>
      </c>
      <c r="AQ617" t="str">
        <f>IF('Base Exámenes'!C617="","",IF(COUNTIF('Base Exámenes'!$C$5:$C$1000,'Base Exámenes'!C617)&lt;2,"",MATCH('Base Exámenes'!C617,'Base Exámenes'!$C$5:$C$1000,0)*10000+ROW()))</f>
        <v/>
      </c>
    </row>
    <row r="618">
      <c r="Z618" t="str">
        <f>IF('Detalle individual'!A618="","",IF(AND(OR('Estado por Colaborador'!$D$4="Todas las gerencias",'Detalle individual'!D618='Estado por Colaborador'!$D$4),OR('Estado por Colaborador'!$D$5="Todos los departamentos",TRIM('Detalle individual'!C618)='Estado por Colaborador'!$D$5),OR('Estado por Colaborador'!$D$6="Todos",'Detalle individual'!F618='Estado por Colaborador'!$D$6)),IF('Detalle individual'!F618="Completado",30000000,IF('Detalle individual'!F618="Pendiente",0,15000000))+COUNTIF('Detalle individual'!$C$5:$C$1000,"&lt;"&amp;'Detalle individual'!C618)*10000+ROW(),""))</f>
        <v/>
      </c>
      <c r="AB618" t="str">
        <f>IF('Detalle individual'!C618="","",IF(COUNTIF('Detalle individual'!$C$5:C618,'Detalle individual'!C618)=1,COUNTIF('Detalle individual'!$C$5:$C$1000,"&lt;"&amp;'Detalle individual'!C618),""))</f>
        <v/>
      </c>
      <c r="AC618" t="str">
        <f>IF('Detalle individual'!D618="","",IF(COUNTIF('Detalle individual'!$D$5:D618,'Detalle individual'!D618)=1,COUNTIF('Detalle individual'!$D$5:$D$1000,"&lt;"&amp;'Detalle individual'!D618),""))</f>
        <v/>
      </c>
      <c r="AH618" t="str">
        <f>IF('Detalle individual'!F618="Pendiente",COUNTIF('Detalle individual'!$D$5:$D$1000,"&lt;"&amp;'Detalle individual'!D618)*1000000+COUNTIF('Detalle individual'!$C$5:$C$1000,"&lt;"&amp;'Detalle individual'!C618)*1000+COUNTIF('Detalle individual'!$B$5:$B$1000,"&lt;"&amp;'Detalle individual'!B618)+ROW()/10000,"")</f>
        <v/>
      </c>
      <c r="AI618" t="str">
        <f>IF('Detalle individual'!F618="Completado",COUNTIF('Detalle individual'!$D$5:$D$1000,"&lt;"&amp;'Detalle individual'!D618)*1000000+COUNTIF('Detalle individual'!$C$5:$C$1000,"&lt;"&amp;'Detalle individual'!C618)*1000+COUNTIF('Detalle individual'!$B$5:$B$1000,"&lt;"&amp;'Detalle individual'!B618)+ROW()/10000,"")</f>
        <v/>
      </c>
      <c r="AJ618" t="str">
        <f>IF(AND('Detalle individual'!F618&lt;&gt;"",'Detalle individual'!F618&lt;&gt;"Completado",'Detalle individual'!F618&lt;&gt;"Pendiente"),COUNTIF('Detalle individual'!$D$5:$D$1000,"&lt;"&amp;'Detalle individual'!D618)*1000000+COUNTIF('Detalle individual'!$C$5:$C$1000,"&lt;"&amp;'Detalle individual'!C618)*1000+COUNTIF('Detalle individual'!$B$5:$B$1000,"&lt;"&amp;'Detalle individual'!B618)+ROW()/10000,"")</f>
        <v/>
      </c>
      <c r="AK618" t="str">
        <f>IF(OR('Base Exámenes'!C618="",'Base Exámenes'!D618=""),"",IF(COUNTIF('Base Exámenes'!$C$5:C618,'Base Exámenes'!C618)=1,'Base Exámenes'!D618+ROW()/1000000000,""))</f>
        <v/>
      </c>
      <c r="AL618" t="str">
        <f>IF(OR('Base Exámenes'!C618="",'Base Exámenes'!E618=""),"",IF(COUNTIF('Base Exámenes'!$C$5:C618,'Base Exámenes'!C618)=1,'Base Exámenes'!E618+ROW()/1000000000,""))</f>
        <v/>
      </c>
      <c r="AM618" t="str">
        <f>IF(OR('Base Exámenes'!C618="",'Base Exámenes'!G618=""),"",IF(ROW()-4=MATCH('Base Exámenes'!C618&amp;"|"&amp;_xlfn.MAXIFS('Base Exámenes'!$G$5:$G$1000,'Base Exámenes'!$C$5:$C$1000,'Base Exámenes'!C618),'Base Exámenes'!$I$5:$I$1000,0),'Base Exámenes'!G618*1000000+(-1)*'Base Exámenes'!D618,""))</f>
        <v/>
      </c>
      <c r="AQ618" t="str">
        <f>IF('Base Exámenes'!C618="","",IF(COUNTIF('Base Exámenes'!$C$5:$C$1000,'Base Exámenes'!C618)&lt;2,"",MATCH('Base Exámenes'!C618,'Base Exámenes'!$C$5:$C$1000,0)*10000+ROW()))</f>
        <v/>
      </c>
    </row>
    <row r="619">
      <c r="Z619" t="str">
        <f>IF('Detalle individual'!A619="","",IF(AND(OR('Estado por Colaborador'!$D$4="Todas las gerencias",'Detalle individual'!D619='Estado por Colaborador'!$D$4),OR('Estado por Colaborador'!$D$5="Todos los departamentos",TRIM('Detalle individual'!C619)='Estado por Colaborador'!$D$5),OR('Estado por Colaborador'!$D$6="Todos",'Detalle individual'!F619='Estado por Colaborador'!$D$6)),IF('Detalle individual'!F619="Completado",30000000,IF('Detalle individual'!F619="Pendiente",0,15000000))+COUNTIF('Detalle individual'!$C$5:$C$1000,"&lt;"&amp;'Detalle individual'!C619)*10000+ROW(),""))</f>
        <v/>
      </c>
      <c r="AB619" t="str">
        <f>IF('Detalle individual'!C619="","",IF(COUNTIF('Detalle individual'!$C$5:C619,'Detalle individual'!C619)=1,COUNTIF('Detalle individual'!$C$5:$C$1000,"&lt;"&amp;'Detalle individual'!C619),""))</f>
        <v/>
      </c>
      <c r="AC619" t="str">
        <f>IF('Detalle individual'!D619="","",IF(COUNTIF('Detalle individual'!$D$5:D619,'Detalle individual'!D619)=1,COUNTIF('Detalle individual'!$D$5:$D$1000,"&lt;"&amp;'Detalle individual'!D619),""))</f>
        <v/>
      </c>
      <c r="AH619" t="str">
        <f>IF('Detalle individual'!F619="Pendiente",COUNTIF('Detalle individual'!$D$5:$D$1000,"&lt;"&amp;'Detalle individual'!D619)*1000000+COUNTIF('Detalle individual'!$C$5:$C$1000,"&lt;"&amp;'Detalle individual'!C619)*1000+COUNTIF('Detalle individual'!$B$5:$B$1000,"&lt;"&amp;'Detalle individual'!B619)+ROW()/10000,"")</f>
        <v/>
      </c>
      <c r="AI619" t="str">
        <f>IF('Detalle individual'!F619="Completado",COUNTIF('Detalle individual'!$D$5:$D$1000,"&lt;"&amp;'Detalle individual'!D619)*1000000+COUNTIF('Detalle individual'!$C$5:$C$1000,"&lt;"&amp;'Detalle individual'!C619)*1000+COUNTIF('Detalle individual'!$B$5:$B$1000,"&lt;"&amp;'Detalle individual'!B619)+ROW()/10000,"")</f>
        <v/>
      </c>
      <c r="AJ619" t="str">
        <f>IF(AND('Detalle individual'!F619&lt;&gt;"",'Detalle individual'!F619&lt;&gt;"Completado",'Detalle individual'!F619&lt;&gt;"Pendiente"),COUNTIF('Detalle individual'!$D$5:$D$1000,"&lt;"&amp;'Detalle individual'!D619)*1000000+COUNTIF('Detalle individual'!$C$5:$C$1000,"&lt;"&amp;'Detalle individual'!C619)*1000+COUNTIF('Detalle individual'!$B$5:$B$1000,"&lt;"&amp;'Detalle individual'!B619)+ROW()/10000,"")</f>
        <v/>
      </c>
      <c r="AK619" t="str">
        <f>IF(OR('Base Exámenes'!C619="",'Base Exámenes'!D619=""),"",IF(COUNTIF('Base Exámenes'!$C$5:C619,'Base Exámenes'!C619)=1,'Base Exámenes'!D619+ROW()/1000000000,""))</f>
        <v/>
      </c>
      <c r="AL619" t="str">
        <f>IF(OR('Base Exámenes'!C619="",'Base Exámenes'!E619=""),"",IF(COUNTIF('Base Exámenes'!$C$5:C619,'Base Exámenes'!C619)=1,'Base Exámenes'!E619+ROW()/1000000000,""))</f>
        <v/>
      </c>
      <c r="AM619" t="str">
        <f>IF(OR('Base Exámenes'!C619="",'Base Exámenes'!G619=""),"",IF(ROW()-4=MATCH('Base Exámenes'!C619&amp;"|"&amp;_xlfn.MAXIFS('Base Exámenes'!$G$5:$G$1000,'Base Exámenes'!$C$5:$C$1000,'Base Exámenes'!C619),'Base Exámenes'!$I$5:$I$1000,0),'Base Exámenes'!G619*1000000+(-1)*'Base Exámenes'!D619,""))</f>
        <v/>
      </c>
      <c r="AQ619" t="str">
        <f>IF('Base Exámenes'!C619="","",IF(COUNTIF('Base Exámenes'!$C$5:$C$1000,'Base Exámenes'!C619)&lt;2,"",MATCH('Base Exámenes'!C619,'Base Exámenes'!$C$5:$C$1000,0)*10000+ROW()))</f>
        <v/>
      </c>
    </row>
    <row r="620">
      <c r="Z620" t="str">
        <f>IF('Detalle individual'!A620="","",IF(AND(OR('Estado por Colaborador'!$D$4="Todas las gerencias",'Detalle individual'!D620='Estado por Colaborador'!$D$4),OR('Estado por Colaborador'!$D$5="Todos los departamentos",TRIM('Detalle individual'!C620)='Estado por Colaborador'!$D$5),OR('Estado por Colaborador'!$D$6="Todos",'Detalle individual'!F620='Estado por Colaborador'!$D$6)),IF('Detalle individual'!F620="Completado",30000000,IF('Detalle individual'!F620="Pendiente",0,15000000))+COUNTIF('Detalle individual'!$C$5:$C$1000,"&lt;"&amp;'Detalle individual'!C620)*10000+ROW(),""))</f>
        <v/>
      </c>
      <c r="AB620" t="str">
        <f>IF('Detalle individual'!C620="","",IF(COUNTIF('Detalle individual'!$C$5:C620,'Detalle individual'!C620)=1,COUNTIF('Detalle individual'!$C$5:$C$1000,"&lt;"&amp;'Detalle individual'!C620),""))</f>
        <v/>
      </c>
      <c r="AC620" t="str">
        <f>IF('Detalle individual'!D620="","",IF(COUNTIF('Detalle individual'!$D$5:D620,'Detalle individual'!D620)=1,COUNTIF('Detalle individual'!$D$5:$D$1000,"&lt;"&amp;'Detalle individual'!D620),""))</f>
        <v/>
      </c>
      <c r="AH620" t="str">
        <f>IF('Detalle individual'!F620="Pendiente",COUNTIF('Detalle individual'!$D$5:$D$1000,"&lt;"&amp;'Detalle individual'!D620)*1000000+COUNTIF('Detalle individual'!$C$5:$C$1000,"&lt;"&amp;'Detalle individual'!C620)*1000+COUNTIF('Detalle individual'!$B$5:$B$1000,"&lt;"&amp;'Detalle individual'!B620)+ROW()/10000,"")</f>
        <v/>
      </c>
      <c r="AI620" t="str">
        <f>IF('Detalle individual'!F620="Completado",COUNTIF('Detalle individual'!$D$5:$D$1000,"&lt;"&amp;'Detalle individual'!D620)*1000000+COUNTIF('Detalle individual'!$C$5:$C$1000,"&lt;"&amp;'Detalle individual'!C620)*1000+COUNTIF('Detalle individual'!$B$5:$B$1000,"&lt;"&amp;'Detalle individual'!B620)+ROW()/10000,"")</f>
        <v/>
      </c>
      <c r="AJ620" t="str">
        <f>IF(AND('Detalle individual'!F620&lt;&gt;"",'Detalle individual'!F620&lt;&gt;"Completado",'Detalle individual'!F620&lt;&gt;"Pendiente"),COUNTIF('Detalle individual'!$D$5:$D$1000,"&lt;"&amp;'Detalle individual'!D620)*1000000+COUNTIF('Detalle individual'!$C$5:$C$1000,"&lt;"&amp;'Detalle individual'!C620)*1000+COUNTIF('Detalle individual'!$B$5:$B$1000,"&lt;"&amp;'Detalle individual'!B620)+ROW()/10000,"")</f>
        <v/>
      </c>
      <c r="AK620" t="str">
        <f>IF(OR('Base Exámenes'!C620="",'Base Exámenes'!D620=""),"",IF(COUNTIF('Base Exámenes'!$C$5:C620,'Base Exámenes'!C620)=1,'Base Exámenes'!D620+ROW()/1000000000,""))</f>
        <v/>
      </c>
      <c r="AL620" t="str">
        <f>IF(OR('Base Exámenes'!C620="",'Base Exámenes'!E620=""),"",IF(COUNTIF('Base Exámenes'!$C$5:C620,'Base Exámenes'!C620)=1,'Base Exámenes'!E620+ROW()/1000000000,""))</f>
        <v/>
      </c>
      <c r="AM620" t="str">
        <f>IF(OR('Base Exámenes'!C620="",'Base Exámenes'!G620=""),"",IF(ROW()-4=MATCH('Base Exámenes'!C620&amp;"|"&amp;_xlfn.MAXIFS('Base Exámenes'!$G$5:$G$1000,'Base Exámenes'!$C$5:$C$1000,'Base Exámenes'!C620),'Base Exámenes'!$I$5:$I$1000,0),'Base Exámenes'!G620*1000000+(-1)*'Base Exámenes'!D620,""))</f>
        <v/>
      </c>
      <c r="AQ620" t="str">
        <f>IF('Base Exámenes'!C620="","",IF(COUNTIF('Base Exámenes'!$C$5:$C$1000,'Base Exámenes'!C620)&lt;2,"",MATCH('Base Exámenes'!C620,'Base Exámenes'!$C$5:$C$1000,0)*10000+ROW()))</f>
        <v/>
      </c>
    </row>
    <row r="621">
      <c r="Z621" t="str">
        <f>IF('Detalle individual'!A621="","",IF(AND(OR('Estado por Colaborador'!$D$4="Todas las gerencias",'Detalle individual'!D621='Estado por Colaborador'!$D$4),OR('Estado por Colaborador'!$D$5="Todos los departamentos",TRIM('Detalle individual'!C621)='Estado por Colaborador'!$D$5),OR('Estado por Colaborador'!$D$6="Todos",'Detalle individual'!F621='Estado por Colaborador'!$D$6)),IF('Detalle individual'!F621="Completado",30000000,IF('Detalle individual'!F621="Pendiente",0,15000000))+COUNTIF('Detalle individual'!$C$5:$C$1000,"&lt;"&amp;'Detalle individual'!C621)*10000+ROW(),""))</f>
        <v/>
      </c>
      <c r="AB621" t="str">
        <f>IF('Detalle individual'!C621="","",IF(COUNTIF('Detalle individual'!$C$5:C621,'Detalle individual'!C621)=1,COUNTIF('Detalle individual'!$C$5:$C$1000,"&lt;"&amp;'Detalle individual'!C621),""))</f>
        <v/>
      </c>
      <c r="AC621" t="str">
        <f>IF('Detalle individual'!D621="","",IF(COUNTIF('Detalle individual'!$D$5:D621,'Detalle individual'!D621)=1,COUNTIF('Detalle individual'!$D$5:$D$1000,"&lt;"&amp;'Detalle individual'!D621),""))</f>
        <v/>
      </c>
      <c r="AH621" t="str">
        <f>IF('Detalle individual'!F621="Pendiente",COUNTIF('Detalle individual'!$D$5:$D$1000,"&lt;"&amp;'Detalle individual'!D621)*1000000+COUNTIF('Detalle individual'!$C$5:$C$1000,"&lt;"&amp;'Detalle individual'!C621)*1000+COUNTIF('Detalle individual'!$B$5:$B$1000,"&lt;"&amp;'Detalle individual'!B621)+ROW()/10000,"")</f>
        <v/>
      </c>
      <c r="AI621" t="str">
        <f>IF('Detalle individual'!F621="Completado",COUNTIF('Detalle individual'!$D$5:$D$1000,"&lt;"&amp;'Detalle individual'!D621)*1000000+COUNTIF('Detalle individual'!$C$5:$C$1000,"&lt;"&amp;'Detalle individual'!C621)*1000+COUNTIF('Detalle individual'!$B$5:$B$1000,"&lt;"&amp;'Detalle individual'!B621)+ROW()/10000,"")</f>
        <v/>
      </c>
      <c r="AJ621" t="str">
        <f>IF(AND('Detalle individual'!F621&lt;&gt;"",'Detalle individual'!F621&lt;&gt;"Completado",'Detalle individual'!F621&lt;&gt;"Pendiente"),COUNTIF('Detalle individual'!$D$5:$D$1000,"&lt;"&amp;'Detalle individual'!D621)*1000000+COUNTIF('Detalle individual'!$C$5:$C$1000,"&lt;"&amp;'Detalle individual'!C621)*1000+COUNTIF('Detalle individual'!$B$5:$B$1000,"&lt;"&amp;'Detalle individual'!B621)+ROW()/10000,"")</f>
        <v/>
      </c>
      <c r="AK621" t="str">
        <f>IF(OR('Base Exámenes'!C621="",'Base Exámenes'!D621=""),"",IF(COUNTIF('Base Exámenes'!$C$5:C621,'Base Exámenes'!C621)=1,'Base Exámenes'!D621+ROW()/1000000000,""))</f>
        <v/>
      </c>
      <c r="AL621" t="str">
        <f>IF(OR('Base Exámenes'!C621="",'Base Exámenes'!E621=""),"",IF(COUNTIF('Base Exámenes'!$C$5:C621,'Base Exámenes'!C621)=1,'Base Exámenes'!E621+ROW()/1000000000,""))</f>
        <v/>
      </c>
      <c r="AM621" t="str">
        <f>IF(OR('Base Exámenes'!C621="",'Base Exámenes'!G621=""),"",IF(ROW()-4=MATCH('Base Exámenes'!C621&amp;"|"&amp;_xlfn.MAXIFS('Base Exámenes'!$G$5:$G$1000,'Base Exámenes'!$C$5:$C$1000,'Base Exámenes'!C621),'Base Exámenes'!$I$5:$I$1000,0),'Base Exámenes'!G621*1000000+(-1)*'Base Exámenes'!D621,""))</f>
        <v/>
      </c>
      <c r="AQ621" t="str">
        <f>IF('Base Exámenes'!C621="","",IF(COUNTIF('Base Exámenes'!$C$5:$C$1000,'Base Exámenes'!C621)&lt;2,"",MATCH('Base Exámenes'!C621,'Base Exámenes'!$C$5:$C$1000,0)*10000+ROW()))</f>
        <v/>
      </c>
    </row>
    <row r="622">
      <c r="Z622" t="str">
        <f>IF('Detalle individual'!A622="","",IF(AND(OR('Estado por Colaborador'!$D$4="Todas las gerencias",'Detalle individual'!D622='Estado por Colaborador'!$D$4),OR('Estado por Colaborador'!$D$5="Todos los departamentos",TRIM('Detalle individual'!C622)='Estado por Colaborador'!$D$5),OR('Estado por Colaborador'!$D$6="Todos",'Detalle individual'!F622='Estado por Colaborador'!$D$6)),IF('Detalle individual'!F622="Completado",30000000,IF('Detalle individual'!F622="Pendiente",0,15000000))+COUNTIF('Detalle individual'!$C$5:$C$1000,"&lt;"&amp;'Detalle individual'!C622)*10000+ROW(),""))</f>
        <v/>
      </c>
      <c r="AB622" t="str">
        <f>IF('Detalle individual'!C622="","",IF(COUNTIF('Detalle individual'!$C$5:C622,'Detalle individual'!C622)=1,COUNTIF('Detalle individual'!$C$5:$C$1000,"&lt;"&amp;'Detalle individual'!C622),""))</f>
        <v/>
      </c>
      <c r="AC622" t="str">
        <f>IF('Detalle individual'!D622="","",IF(COUNTIF('Detalle individual'!$D$5:D622,'Detalle individual'!D622)=1,COUNTIF('Detalle individual'!$D$5:$D$1000,"&lt;"&amp;'Detalle individual'!D622),""))</f>
        <v/>
      </c>
      <c r="AH622" t="str">
        <f>IF('Detalle individual'!F622="Pendiente",COUNTIF('Detalle individual'!$D$5:$D$1000,"&lt;"&amp;'Detalle individual'!D622)*1000000+COUNTIF('Detalle individual'!$C$5:$C$1000,"&lt;"&amp;'Detalle individual'!C622)*1000+COUNTIF('Detalle individual'!$B$5:$B$1000,"&lt;"&amp;'Detalle individual'!B622)+ROW()/10000,"")</f>
        <v/>
      </c>
      <c r="AI622" t="str">
        <f>IF('Detalle individual'!F622="Completado",COUNTIF('Detalle individual'!$D$5:$D$1000,"&lt;"&amp;'Detalle individual'!D622)*1000000+COUNTIF('Detalle individual'!$C$5:$C$1000,"&lt;"&amp;'Detalle individual'!C622)*1000+COUNTIF('Detalle individual'!$B$5:$B$1000,"&lt;"&amp;'Detalle individual'!B622)+ROW()/10000,"")</f>
        <v/>
      </c>
      <c r="AJ622" t="str">
        <f>IF(AND('Detalle individual'!F622&lt;&gt;"",'Detalle individual'!F622&lt;&gt;"Completado",'Detalle individual'!F622&lt;&gt;"Pendiente"),COUNTIF('Detalle individual'!$D$5:$D$1000,"&lt;"&amp;'Detalle individual'!D622)*1000000+COUNTIF('Detalle individual'!$C$5:$C$1000,"&lt;"&amp;'Detalle individual'!C622)*1000+COUNTIF('Detalle individual'!$B$5:$B$1000,"&lt;"&amp;'Detalle individual'!B622)+ROW()/10000,"")</f>
        <v/>
      </c>
      <c r="AK622" t="str">
        <f>IF(OR('Base Exámenes'!C622="",'Base Exámenes'!D622=""),"",IF(COUNTIF('Base Exámenes'!$C$5:C622,'Base Exámenes'!C622)=1,'Base Exámenes'!D622+ROW()/1000000000,""))</f>
        <v/>
      </c>
      <c r="AL622" t="str">
        <f>IF(OR('Base Exámenes'!C622="",'Base Exámenes'!E622=""),"",IF(COUNTIF('Base Exámenes'!$C$5:C622,'Base Exámenes'!C622)=1,'Base Exámenes'!E622+ROW()/1000000000,""))</f>
        <v/>
      </c>
      <c r="AM622" t="str">
        <f>IF(OR('Base Exámenes'!C622="",'Base Exámenes'!G622=""),"",IF(ROW()-4=MATCH('Base Exámenes'!C622&amp;"|"&amp;_xlfn.MAXIFS('Base Exámenes'!$G$5:$G$1000,'Base Exámenes'!$C$5:$C$1000,'Base Exámenes'!C622),'Base Exámenes'!$I$5:$I$1000,0),'Base Exámenes'!G622*1000000+(-1)*'Base Exámenes'!D622,""))</f>
        <v/>
      </c>
      <c r="AQ622" t="str">
        <f>IF('Base Exámenes'!C622="","",IF(COUNTIF('Base Exámenes'!$C$5:$C$1000,'Base Exámenes'!C622)&lt;2,"",MATCH('Base Exámenes'!C622,'Base Exámenes'!$C$5:$C$1000,0)*10000+ROW()))</f>
        <v/>
      </c>
    </row>
    <row r="623">
      <c r="Z623" t="str">
        <f>IF('Detalle individual'!A623="","",IF(AND(OR('Estado por Colaborador'!$D$4="Todas las gerencias",'Detalle individual'!D623='Estado por Colaborador'!$D$4),OR('Estado por Colaborador'!$D$5="Todos los departamentos",TRIM('Detalle individual'!C623)='Estado por Colaborador'!$D$5),OR('Estado por Colaborador'!$D$6="Todos",'Detalle individual'!F623='Estado por Colaborador'!$D$6)),IF('Detalle individual'!F623="Completado",30000000,IF('Detalle individual'!F623="Pendiente",0,15000000))+COUNTIF('Detalle individual'!$C$5:$C$1000,"&lt;"&amp;'Detalle individual'!C623)*10000+ROW(),""))</f>
        <v/>
      </c>
      <c r="AB623" t="str">
        <f>IF('Detalle individual'!C623="","",IF(COUNTIF('Detalle individual'!$C$5:C623,'Detalle individual'!C623)=1,COUNTIF('Detalle individual'!$C$5:$C$1000,"&lt;"&amp;'Detalle individual'!C623),""))</f>
        <v/>
      </c>
      <c r="AC623" t="str">
        <f>IF('Detalle individual'!D623="","",IF(COUNTIF('Detalle individual'!$D$5:D623,'Detalle individual'!D623)=1,COUNTIF('Detalle individual'!$D$5:$D$1000,"&lt;"&amp;'Detalle individual'!D623),""))</f>
        <v/>
      </c>
      <c r="AH623" t="str">
        <f>IF('Detalle individual'!F623="Pendiente",COUNTIF('Detalle individual'!$D$5:$D$1000,"&lt;"&amp;'Detalle individual'!D623)*1000000+COUNTIF('Detalle individual'!$C$5:$C$1000,"&lt;"&amp;'Detalle individual'!C623)*1000+COUNTIF('Detalle individual'!$B$5:$B$1000,"&lt;"&amp;'Detalle individual'!B623)+ROW()/10000,"")</f>
        <v/>
      </c>
      <c r="AI623" t="str">
        <f>IF('Detalle individual'!F623="Completado",COUNTIF('Detalle individual'!$D$5:$D$1000,"&lt;"&amp;'Detalle individual'!D623)*1000000+COUNTIF('Detalle individual'!$C$5:$C$1000,"&lt;"&amp;'Detalle individual'!C623)*1000+COUNTIF('Detalle individual'!$B$5:$B$1000,"&lt;"&amp;'Detalle individual'!B623)+ROW()/10000,"")</f>
        <v/>
      </c>
      <c r="AJ623" t="str">
        <f>IF(AND('Detalle individual'!F623&lt;&gt;"",'Detalle individual'!F623&lt;&gt;"Completado",'Detalle individual'!F623&lt;&gt;"Pendiente"),COUNTIF('Detalle individual'!$D$5:$D$1000,"&lt;"&amp;'Detalle individual'!D623)*1000000+COUNTIF('Detalle individual'!$C$5:$C$1000,"&lt;"&amp;'Detalle individual'!C623)*1000+COUNTIF('Detalle individual'!$B$5:$B$1000,"&lt;"&amp;'Detalle individual'!B623)+ROW()/10000,"")</f>
        <v/>
      </c>
      <c r="AK623" t="str">
        <f>IF(OR('Base Exámenes'!C623="",'Base Exámenes'!D623=""),"",IF(COUNTIF('Base Exámenes'!$C$5:C623,'Base Exámenes'!C623)=1,'Base Exámenes'!D623+ROW()/1000000000,""))</f>
        <v/>
      </c>
      <c r="AL623" t="str">
        <f>IF(OR('Base Exámenes'!C623="",'Base Exámenes'!E623=""),"",IF(COUNTIF('Base Exámenes'!$C$5:C623,'Base Exámenes'!C623)=1,'Base Exámenes'!E623+ROW()/1000000000,""))</f>
        <v/>
      </c>
      <c r="AM623" t="str">
        <f>IF(OR('Base Exámenes'!C623="",'Base Exámenes'!G623=""),"",IF(ROW()-4=MATCH('Base Exámenes'!C623&amp;"|"&amp;_xlfn.MAXIFS('Base Exámenes'!$G$5:$G$1000,'Base Exámenes'!$C$5:$C$1000,'Base Exámenes'!C623),'Base Exámenes'!$I$5:$I$1000,0),'Base Exámenes'!G623*1000000+(-1)*'Base Exámenes'!D623,""))</f>
        <v/>
      </c>
      <c r="AQ623" t="str">
        <f>IF('Base Exámenes'!C623="","",IF(COUNTIF('Base Exámenes'!$C$5:$C$1000,'Base Exámenes'!C623)&lt;2,"",MATCH('Base Exámenes'!C623,'Base Exámenes'!$C$5:$C$1000,0)*10000+ROW()))</f>
        <v/>
      </c>
    </row>
    <row r="624">
      <c r="Z624" t="str">
        <f>IF('Detalle individual'!A624="","",IF(AND(OR('Estado por Colaborador'!$D$4="Todas las gerencias",'Detalle individual'!D624='Estado por Colaborador'!$D$4),OR('Estado por Colaborador'!$D$5="Todos los departamentos",TRIM('Detalle individual'!C624)='Estado por Colaborador'!$D$5),OR('Estado por Colaborador'!$D$6="Todos",'Detalle individual'!F624='Estado por Colaborador'!$D$6)),IF('Detalle individual'!F624="Completado",30000000,IF('Detalle individual'!F624="Pendiente",0,15000000))+COUNTIF('Detalle individual'!$C$5:$C$1000,"&lt;"&amp;'Detalle individual'!C624)*10000+ROW(),""))</f>
        <v/>
      </c>
      <c r="AB624" t="str">
        <f>IF('Detalle individual'!C624="","",IF(COUNTIF('Detalle individual'!$C$5:C624,'Detalle individual'!C624)=1,COUNTIF('Detalle individual'!$C$5:$C$1000,"&lt;"&amp;'Detalle individual'!C624),""))</f>
        <v/>
      </c>
      <c r="AC624" t="str">
        <f>IF('Detalle individual'!D624="","",IF(COUNTIF('Detalle individual'!$D$5:D624,'Detalle individual'!D624)=1,COUNTIF('Detalle individual'!$D$5:$D$1000,"&lt;"&amp;'Detalle individual'!D624),""))</f>
        <v/>
      </c>
      <c r="AH624" t="str">
        <f>IF('Detalle individual'!F624="Pendiente",COUNTIF('Detalle individual'!$D$5:$D$1000,"&lt;"&amp;'Detalle individual'!D624)*1000000+COUNTIF('Detalle individual'!$C$5:$C$1000,"&lt;"&amp;'Detalle individual'!C624)*1000+COUNTIF('Detalle individual'!$B$5:$B$1000,"&lt;"&amp;'Detalle individual'!B624)+ROW()/10000,"")</f>
        <v/>
      </c>
      <c r="AI624" t="str">
        <f>IF('Detalle individual'!F624="Completado",COUNTIF('Detalle individual'!$D$5:$D$1000,"&lt;"&amp;'Detalle individual'!D624)*1000000+COUNTIF('Detalle individual'!$C$5:$C$1000,"&lt;"&amp;'Detalle individual'!C624)*1000+COUNTIF('Detalle individual'!$B$5:$B$1000,"&lt;"&amp;'Detalle individual'!B624)+ROW()/10000,"")</f>
        <v/>
      </c>
      <c r="AJ624" t="str">
        <f>IF(AND('Detalle individual'!F624&lt;&gt;"",'Detalle individual'!F624&lt;&gt;"Completado",'Detalle individual'!F624&lt;&gt;"Pendiente"),COUNTIF('Detalle individual'!$D$5:$D$1000,"&lt;"&amp;'Detalle individual'!D624)*1000000+COUNTIF('Detalle individual'!$C$5:$C$1000,"&lt;"&amp;'Detalle individual'!C624)*1000+COUNTIF('Detalle individual'!$B$5:$B$1000,"&lt;"&amp;'Detalle individual'!B624)+ROW()/10000,"")</f>
        <v/>
      </c>
      <c r="AK624" t="str">
        <f>IF(OR('Base Exámenes'!C624="",'Base Exámenes'!D624=""),"",IF(COUNTIF('Base Exámenes'!$C$5:C624,'Base Exámenes'!C624)=1,'Base Exámenes'!D624+ROW()/1000000000,""))</f>
        <v/>
      </c>
      <c r="AL624" t="str">
        <f>IF(OR('Base Exámenes'!C624="",'Base Exámenes'!E624=""),"",IF(COUNTIF('Base Exámenes'!$C$5:C624,'Base Exámenes'!C624)=1,'Base Exámenes'!E624+ROW()/1000000000,""))</f>
        <v/>
      </c>
      <c r="AM624" t="str">
        <f>IF(OR('Base Exámenes'!C624="",'Base Exámenes'!G624=""),"",IF(ROW()-4=MATCH('Base Exámenes'!C624&amp;"|"&amp;_xlfn.MAXIFS('Base Exámenes'!$G$5:$G$1000,'Base Exámenes'!$C$5:$C$1000,'Base Exámenes'!C624),'Base Exámenes'!$I$5:$I$1000,0),'Base Exámenes'!G624*1000000+(-1)*'Base Exámenes'!D624,""))</f>
        <v/>
      </c>
      <c r="AQ624" t="str">
        <f>IF('Base Exámenes'!C624="","",IF(COUNTIF('Base Exámenes'!$C$5:$C$1000,'Base Exámenes'!C624)&lt;2,"",MATCH('Base Exámenes'!C624,'Base Exámenes'!$C$5:$C$1000,0)*10000+ROW()))</f>
        <v/>
      </c>
    </row>
    <row r="625">
      <c r="Z625" t="str">
        <f>IF('Detalle individual'!A625="","",IF(AND(OR('Estado por Colaborador'!$D$4="Todas las gerencias",'Detalle individual'!D625='Estado por Colaborador'!$D$4),OR('Estado por Colaborador'!$D$5="Todos los departamentos",TRIM('Detalle individual'!C625)='Estado por Colaborador'!$D$5),OR('Estado por Colaborador'!$D$6="Todos",'Detalle individual'!F625='Estado por Colaborador'!$D$6)),IF('Detalle individual'!F625="Completado",30000000,IF('Detalle individual'!F625="Pendiente",0,15000000))+COUNTIF('Detalle individual'!$C$5:$C$1000,"&lt;"&amp;'Detalle individual'!C625)*10000+ROW(),""))</f>
        <v/>
      </c>
      <c r="AB625" t="str">
        <f>IF('Detalle individual'!C625="","",IF(COUNTIF('Detalle individual'!$C$5:C625,'Detalle individual'!C625)=1,COUNTIF('Detalle individual'!$C$5:$C$1000,"&lt;"&amp;'Detalle individual'!C625),""))</f>
        <v/>
      </c>
      <c r="AC625" t="str">
        <f>IF('Detalle individual'!D625="","",IF(COUNTIF('Detalle individual'!$D$5:D625,'Detalle individual'!D625)=1,COUNTIF('Detalle individual'!$D$5:$D$1000,"&lt;"&amp;'Detalle individual'!D625),""))</f>
        <v/>
      </c>
      <c r="AH625" t="str">
        <f>IF('Detalle individual'!F625="Pendiente",COUNTIF('Detalle individual'!$D$5:$D$1000,"&lt;"&amp;'Detalle individual'!D625)*1000000+COUNTIF('Detalle individual'!$C$5:$C$1000,"&lt;"&amp;'Detalle individual'!C625)*1000+COUNTIF('Detalle individual'!$B$5:$B$1000,"&lt;"&amp;'Detalle individual'!B625)+ROW()/10000,"")</f>
        <v/>
      </c>
      <c r="AI625" t="str">
        <f>IF('Detalle individual'!F625="Completado",COUNTIF('Detalle individual'!$D$5:$D$1000,"&lt;"&amp;'Detalle individual'!D625)*1000000+COUNTIF('Detalle individual'!$C$5:$C$1000,"&lt;"&amp;'Detalle individual'!C625)*1000+COUNTIF('Detalle individual'!$B$5:$B$1000,"&lt;"&amp;'Detalle individual'!B625)+ROW()/10000,"")</f>
        <v/>
      </c>
      <c r="AJ625" t="str">
        <f>IF(AND('Detalle individual'!F625&lt;&gt;"",'Detalle individual'!F625&lt;&gt;"Completado",'Detalle individual'!F625&lt;&gt;"Pendiente"),COUNTIF('Detalle individual'!$D$5:$D$1000,"&lt;"&amp;'Detalle individual'!D625)*1000000+COUNTIF('Detalle individual'!$C$5:$C$1000,"&lt;"&amp;'Detalle individual'!C625)*1000+COUNTIF('Detalle individual'!$B$5:$B$1000,"&lt;"&amp;'Detalle individual'!B625)+ROW()/10000,"")</f>
        <v/>
      </c>
      <c r="AK625" t="str">
        <f>IF(OR('Base Exámenes'!C625="",'Base Exámenes'!D625=""),"",IF(COUNTIF('Base Exámenes'!$C$5:C625,'Base Exámenes'!C625)=1,'Base Exámenes'!D625+ROW()/1000000000,""))</f>
        <v/>
      </c>
      <c r="AL625" t="str">
        <f>IF(OR('Base Exámenes'!C625="",'Base Exámenes'!E625=""),"",IF(COUNTIF('Base Exámenes'!$C$5:C625,'Base Exámenes'!C625)=1,'Base Exámenes'!E625+ROW()/1000000000,""))</f>
        <v/>
      </c>
      <c r="AM625" t="str">
        <f>IF(OR('Base Exámenes'!C625="",'Base Exámenes'!G625=""),"",IF(ROW()-4=MATCH('Base Exámenes'!C625&amp;"|"&amp;_xlfn.MAXIFS('Base Exámenes'!$G$5:$G$1000,'Base Exámenes'!$C$5:$C$1000,'Base Exámenes'!C625),'Base Exámenes'!$I$5:$I$1000,0),'Base Exámenes'!G625*1000000+(-1)*'Base Exámenes'!D625,""))</f>
        <v/>
      </c>
      <c r="AQ625" t="str">
        <f>IF('Base Exámenes'!C625="","",IF(COUNTIF('Base Exámenes'!$C$5:$C$1000,'Base Exámenes'!C625)&lt;2,"",MATCH('Base Exámenes'!C625,'Base Exámenes'!$C$5:$C$1000,0)*10000+ROW()))</f>
        <v/>
      </c>
    </row>
    <row r="626">
      <c r="Z626" t="str">
        <f>IF('Detalle individual'!A626="","",IF(AND(OR('Estado por Colaborador'!$D$4="Todas las gerencias",'Detalle individual'!D626='Estado por Colaborador'!$D$4),OR('Estado por Colaborador'!$D$5="Todos los departamentos",TRIM('Detalle individual'!C626)='Estado por Colaborador'!$D$5),OR('Estado por Colaborador'!$D$6="Todos",'Detalle individual'!F626='Estado por Colaborador'!$D$6)),IF('Detalle individual'!F626="Completado",30000000,IF('Detalle individual'!F626="Pendiente",0,15000000))+COUNTIF('Detalle individual'!$C$5:$C$1000,"&lt;"&amp;'Detalle individual'!C626)*10000+ROW(),""))</f>
        <v/>
      </c>
      <c r="AB626" t="str">
        <f>IF('Detalle individual'!C626="","",IF(COUNTIF('Detalle individual'!$C$5:C626,'Detalle individual'!C626)=1,COUNTIF('Detalle individual'!$C$5:$C$1000,"&lt;"&amp;'Detalle individual'!C626),""))</f>
        <v/>
      </c>
      <c r="AC626" t="str">
        <f>IF('Detalle individual'!D626="","",IF(COUNTIF('Detalle individual'!$D$5:D626,'Detalle individual'!D626)=1,COUNTIF('Detalle individual'!$D$5:$D$1000,"&lt;"&amp;'Detalle individual'!D626),""))</f>
        <v/>
      </c>
      <c r="AH626" t="str">
        <f>IF('Detalle individual'!F626="Pendiente",COUNTIF('Detalle individual'!$D$5:$D$1000,"&lt;"&amp;'Detalle individual'!D626)*1000000+COUNTIF('Detalle individual'!$C$5:$C$1000,"&lt;"&amp;'Detalle individual'!C626)*1000+COUNTIF('Detalle individual'!$B$5:$B$1000,"&lt;"&amp;'Detalle individual'!B626)+ROW()/10000,"")</f>
        <v/>
      </c>
      <c r="AI626" t="str">
        <f>IF('Detalle individual'!F626="Completado",COUNTIF('Detalle individual'!$D$5:$D$1000,"&lt;"&amp;'Detalle individual'!D626)*1000000+COUNTIF('Detalle individual'!$C$5:$C$1000,"&lt;"&amp;'Detalle individual'!C626)*1000+COUNTIF('Detalle individual'!$B$5:$B$1000,"&lt;"&amp;'Detalle individual'!B626)+ROW()/10000,"")</f>
        <v/>
      </c>
      <c r="AJ626" t="str">
        <f>IF(AND('Detalle individual'!F626&lt;&gt;"",'Detalle individual'!F626&lt;&gt;"Completado",'Detalle individual'!F626&lt;&gt;"Pendiente"),COUNTIF('Detalle individual'!$D$5:$D$1000,"&lt;"&amp;'Detalle individual'!D626)*1000000+COUNTIF('Detalle individual'!$C$5:$C$1000,"&lt;"&amp;'Detalle individual'!C626)*1000+COUNTIF('Detalle individual'!$B$5:$B$1000,"&lt;"&amp;'Detalle individual'!B626)+ROW()/10000,"")</f>
        <v/>
      </c>
      <c r="AK626" t="str">
        <f>IF(OR('Base Exámenes'!C626="",'Base Exámenes'!D626=""),"",IF(COUNTIF('Base Exámenes'!$C$5:C626,'Base Exámenes'!C626)=1,'Base Exámenes'!D626+ROW()/1000000000,""))</f>
        <v/>
      </c>
      <c r="AL626" t="str">
        <f>IF(OR('Base Exámenes'!C626="",'Base Exámenes'!E626=""),"",IF(COUNTIF('Base Exámenes'!$C$5:C626,'Base Exámenes'!C626)=1,'Base Exámenes'!E626+ROW()/1000000000,""))</f>
        <v/>
      </c>
      <c r="AM626" t="str">
        <f>IF(OR('Base Exámenes'!C626="",'Base Exámenes'!G626=""),"",IF(ROW()-4=MATCH('Base Exámenes'!C626&amp;"|"&amp;_xlfn.MAXIFS('Base Exámenes'!$G$5:$G$1000,'Base Exámenes'!$C$5:$C$1000,'Base Exámenes'!C626),'Base Exámenes'!$I$5:$I$1000,0),'Base Exámenes'!G626*1000000+(-1)*'Base Exámenes'!D626,""))</f>
        <v/>
      </c>
      <c r="AQ626" t="str">
        <f>IF('Base Exámenes'!C626="","",IF(COUNTIF('Base Exámenes'!$C$5:$C$1000,'Base Exámenes'!C626)&lt;2,"",MATCH('Base Exámenes'!C626,'Base Exámenes'!$C$5:$C$1000,0)*10000+ROW()))</f>
        <v/>
      </c>
    </row>
    <row r="627">
      <c r="Z627" t="str">
        <f>IF('Detalle individual'!A627="","",IF(AND(OR('Estado por Colaborador'!$D$4="Todas las gerencias",'Detalle individual'!D627='Estado por Colaborador'!$D$4),OR('Estado por Colaborador'!$D$5="Todos los departamentos",TRIM('Detalle individual'!C627)='Estado por Colaborador'!$D$5),OR('Estado por Colaborador'!$D$6="Todos",'Detalle individual'!F627='Estado por Colaborador'!$D$6)),IF('Detalle individual'!F627="Completado",30000000,IF('Detalle individual'!F627="Pendiente",0,15000000))+COUNTIF('Detalle individual'!$C$5:$C$1000,"&lt;"&amp;'Detalle individual'!C627)*10000+ROW(),""))</f>
        <v/>
      </c>
      <c r="AB627" t="str">
        <f>IF('Detalle individual'!C627="","",IF(COUNTIF('Detalle individual'!$C$5:C627,'Detalle individual'!C627)=1,COUNTIF('Detalle individual'!$C$5:$C$1000,"&lt;"&amp;'Detalle individual'!C627),""))</f>
        <v/>
      </c>
      <c r="AC627" t="str">
        <f>IF('Detalle individual'!D627="","",IF(COUNTIF('Detalle individual'!$D$5:D627,'Detalle individual'!D627)=1,COUNTIF('Detalle individual'!$D$5:$D$1000,"&lt;"&amp;'Detalle individual'!D627),""))</f>
        <v/>
      </c>
      <c r="AH627" t="str">
        <f>IF('Detalle individual'!F627="Pendiente",COUNTIF('Detalle individual'!$D$5:$D$1000,"&lt;"&amp;'Detalle individual'!D627)*1000000+COUNTIF('Detalle individual'!$C$5:$C$1000,"&lt;"&amp;'Detalle individual'!C627)*1000+COUNTIF('Detalle individual'!$B$5:$B$1000,"&lt;"&amp;'Detalle individual'!B627)+ROW()/10000,"")</f>
        <v/>
      </c>
      <c r="AI627" t="str">
        <f>IF('Detalle individual'!F627="Completado",COUNTIF('Detalle individual'!$D$5:$D$1000,"&lt;"&amp;'Detalle individual'!D627)*1000000+COUNTIF('Detalle individual'!$C$5:$C$1000,"&lt;"&amp;'Detalle individual'!C627)*1000+COUNTIF('Detalle individual'!$B$5:$B$1000,"&lt;"&amp;'Detalle individual'!B627)+ROW()/10000,"")</f>
        <v/>
      </c>
      <c r="AJ627" t="str">
        <f>IF(AND('Detalle individual'!F627&lt;&gt;"",'Detalle individual'!F627&lt;&gt;"Completado",'Detalle individual'!F627&lt;&gt;"Pendiente"),COUNTIF('Detalle individual'!$D$5:$D$1000,"&lt;"&amp;'Detalle individual'!D627)*1000000+COUNTIF('Detalle individual'!$C$5:$C$1000,"&lt;"&amp;'Detalle individual'!C627)*1000+COUNTIF('Detalle individual'!$B$5:$B$1000,"&lt;"&amp;'Detalle individual'!B627)+ROW()/10000,"")</f>
        <v/>
      </c>
      <c r="AK627" t="str">
        <f>IF(OR('Base Exámenes'!C627="",'Base Exámenes'!D627=""),"",IF(COUNTIF('Base Exámenes'!$C$5:C627,'Base Exámenes'!C627)=1,'Base Exámenes'!D627+ROW()/1000000000,""))</f>
        <v/>
      </c>
      <c r="AL627" t="str">
        <f>IF(OR('Base Exámenes'!C627="",'Base Exámenes'!E627=""),"",IF(COUNTIF('Base Exámenes'!$C$5:C627,'Base Exámenes'!C627)=1,'Base Exámenes'!E627+ROW()/1000000000,""))</f>
        <v/>
      </c>
      <c r="AM627" t="str">
        <f>IF(OR('Base Exámenes'!C627="",'Base Exámenes'!G627=""),"",IF(ROW()-4=MATCH('Base Exámenes'!C627&amp;"|"&amp;_xlfn.MAXIFS('Base Exámenes'!$G$5:$G$1000,'Base Exámenes'!$C$5:$C$1000,'Base Exámenes'!C627),'Base Exámenes'!$I$5:$I$1000,0),'Base Exámenes'!G627*1000000+(-1)*'Base Exámenes'!D627,""))</f>
        <v/>
      </c>
      <c r="AQ627" t="str">
        <f>IF('Base Exámenes'!C627="","",IF(COUNTIF('Base Exámenes'!$C$5:$C$1000,'Base Exámenes'!C627)&lt;2,"",MATCH('Base Exámenes'!C627,'Base Exámenes'!$C$5:$C$1000,0)*10000+ROW()))</f>
        <v/>
      </c>
    </row>
    <row r="628">
      <c r="Z628" t="str">
        <f>IF('Detalle individual'!A628="","",IF(AND(OR('Estado por Colaborador'!$D$4="Todas las gerencias",'Detalle individual'!D628='Estado por Colaborador'!$D$4),OR('Estado por Colaborador'!$D$5="Todos los departamentos",TRIM('Detalle individual'!C628)='Estado por Colaborador'!$D$5),OR('Estado por Colaborador'!$D$6="Todos",'Detalle individual'!F628='Estado por Colaborador'!$D$6)),IF('Detalle individual'!F628="Completado",30000000,IF('Detalle individual'!F628="Pendiente",0,15000000))+COUNTIF('Detalle individual'!$C$5:$C$1000,"&lt;"&amp;'Detalle individual'!C628)*10000+ROW(),""))</f>
        <v/>
      </c>
      <c r="AB628" t="str">
        <f>IF('Detalle individual'!C628="","",IF(COUNTIF('Detalle individual'!$C$5:C628,'Detalle individual'!C628)=1,COUNTIF('Detalle individual'!$C$5:$C$1000,"&lt;"&amp;'Detalle individual'!C628),""))</f>
        <v/>
      </c>
      <c r="AC628" t="str">
        <f>IF('Detalle individual'!D628="","",IF(COUNTIF('Detalle individual'!$D$5:D628,'Detalle individual'!D628)=1,COUNTIF('Detalle individual'!$D$5:$D$1000,"&lt;"&amp;'Detalle individual'!D628),""))</f>
        <v/>
      </c>
      <c r="AH628" t="str">
        <f>IF('Detalle individual'!F628="Pendiente",COUNTIF('Detalle individual'!$D$5:$D$1000,"&lt;"&amp;'Detalle individual'!D628)*1000000+COUNTIF('Detalle individual'!$C$5:$C$1000,"&lt;"&amp;'Detalle individual'!C628)*1000+COUNTIF('Detalle individual'!$B$5:$B$1000,"&lt;"&amp;'Detalle individual'!B628)+ROW()/10000,"")</f>
        <v/>
      </c>
      <c r="AI628" t="str">
        <f>IF('Detalle individual'!F628="Completado",COUNTIF('Detalle individual'!$D$5:$D$1000,"&lt;"&amp;'Detalle individual'!D628)*1000000+COUNTIF('Detalle individual'!$C$5:$C$1000,"&lt;"&amp;'Detalle individual'!C628)*1000+COUNTIF('Detalle individual'!$B$5:$B$1000,"&lt;"&amp;'Detalle individual'!B628)+ROW()/10000,"")</f>
        <v/>
      </c>
      <c r="AJ628" t="str">
        <f>IF(AND('Detalle individual'!F628&lt;&gt;"",'Detalle individual'!F628&lt;&gt;"Completado",'Detalle individual'!F628&lt;&gt;"Pendiente"),COUNTIF('Detalle individual'!$D$5:$D$1000,"&lt;"&amp;'Detalle individual'!D628)*1000000+COUNTIF('Detalle individual'!$C$5:$C$1000,"&lt;"&amp;'Detalle individual'!C628)*1000+COUNTIF('Detalle individual'!$B$5:$B$1000,"&lt;"&amp;'Detalle individual'!B628)+ROW()/10000,"")</f>
        <v/>
      </c>
      <c r="AK628" t="str">
        <f>IF(OR('Base Exámenes'!C628="",'Base Exámenes'!D628=""),"",IF(COUNTIF('Base Exámenes'!$C$5:C628,'Base Exámenes'!C628)=1,'Base Exámenes'!D628+ROW()/1000000000,""))</f>
        <v/>
      </c>
      <c r="AL628" t="str">
        <f>IF(OR('Base Exámenes'!C628="",'Base Exámenes'!E628=""),"",IF(COUNTIF('Base Exámenes'!$C$5:C628,'Base Exámenes'!C628)=1,'Base Exámenes'!E628+ROW()/1000000000,""))</f>
        <v/>
      </c>
      <c r="AM628" t="str">
        <f>IF(OR('Base Exámenes'!C628="",'Base Exámenes'!G628=""),"",IF(ROW()-4=MATCH('Base Exámenes'!C628&amp;"|"&amp;_xlfn.MAXIFS('Base Exámenes'!$G$5:$G$1000,'Base Exámenes'!$C$5:$C$1000,'Base Exámenes'!C628),'Base Exámenes'!$I$5:$I$1000,0),'Base Exámenes'!G628*1000000+(-1)*'Base Exámenes'!D628,""))</f>
        <v/>
      </c>
      <c r="AQ628" t="str">
        <f>IF('Base Exámenes'!C628="","",IF(COUNTIF('Base Exámenes'!$C$5:$C$1000,'Base Exámenes'!C628)&lt;2,"",MATCH('Base Exámenes'!C628,'Base Exámenes'!$C$5:$C$1000,0)*10000+ROW()))</f>
        <v/>
      </c>
    </row>
    <row r="629">
      <c r="Z629" t="str">
        <f>IF('Detalle individual'!A629="","",IF(AND(OR('Estado por Colaborador'!$D$4="Todas las gerencias",'Detalle individual'!D629='Estado por Colaborador'!$D$4),OR('Estado por Colaborador'!$D$5="Todos los departamentos",TRIM('Detalle individual'!C629)='Estado por Colaborador'!$D$5),OR('Estado por Colaborador'!$D$6="Todos",'Detalle individual'!F629='Estado por Colaborador'!$D$6)),IF('Detalle individual'!F629="Completado",30000000,IF('Detalle individual'!F629="Pendiente",0,15000000))+COUNTIF('Detalle individual'!$C$5:$C$1000,"&lt;"&amp;'Detalle individual'!C629)*10000+ROW(),""))</f>
        <v/>
      </c>
      <c r="AB629" t="str">
        <f>IF('Detalle individual'!C629="","",IF(COUNTIF('Detalle individual'!$C$5:C629,'Detalle individual'!C629)=1,COUNTIF('Detalle individual'!$C$5:$C$1000,"&lt;"&amp;'Detalle individual'!C629),""))</f>
        <v/>
      </c>
      <c r="AC629" t="str">
        <f>IF('Detalle individual'!D629="","",IF(COUNTIF('Detalle individual'!$D$5:D629,'Detalle individual'!D629)=1,COUNTIF('Detalle individual'!$D$5:$D$1000,"&lt;"&amp;'Detalle individual'!D629),""))</f>
        <v/>
      </c>
      <c r="AH629" t="str">
        <f>IF('Detalle individual'!F629="Pendiente",COUNTIF('Detalle individual'!$D$5:$D$1000,"&lt;"&amp;'Detalle individual'!D629)*1000000+COUNTIF('Detalle individual'!$C$5:$C$1000,"&lt;"&amp;'Detalle individual'!C629)*1000+COUNTIF('Detalle individual'!$B$5:$B$1000,"&lt;"&amp;'Detalle individual'!B629)+ROW()/10000,"")</f>
        <v/>
      </c>
      <c r="AI629" t="str">
        <f>IF('Detalle individual'!F629="Completado",COUNTIF('Detalle individual'!$D$5:$D$1000,"&lt;"&amp;'Detalle individual'!D629)*1000000+COUNTIF('Detalle individual'!$C$5:$C$1000,"&lt;"&amp;'Detalle individual'!C629)*1000+COUNTIF('Detalle individual'!$B$5:$B$1000,"&lt;"&amp;'Detalle individual'!B629)+ROW()/10000,"")</f>
        <v/>
      </c>
      <c r="AJ629" t="str">
        <f>IF(AND('Detalle individual'!F629&lt;&gt;"",'Detalle individual'!F629&lt;&gt;"Completado",'Detalle individual'!F629&lt;&gt;"Pendiente"),COUNTIF('Detalle individual'!$D$5:$D$1000,"&lt;"&amp;'Detalle individual'!D629)*1000000+COUNTIF('Detalle individual'!$C$5:$C$1000,"&lt;"&amp;'Detalle individual'!C629)*1000+COUNTIF('Detalle individual'!$B$5:$B$1000,"&lt;"&amp;'Detalle individual'!B629)+ROW()/10000,"")</f>
        <v/>
      </c>
      <c r="AK629" t="str">
        <f>IF(OR('Base Exámenes'!C629="",'Base Exámenes'!D629=""),"",IF(COUNTIF('Base Exámenes'!$C$5:C629,'Base Exámenes'!C629)=1,'Base Exámenes'!D629+ROW()/1000000000,""))</f>
        <v/>
      </c>
      <c r="AL629" t="str">
        <f>IF(OR('Base Exámenes'!C629="",'Base Exámenes'!E629=""),"",IF(COUNTIF('Base Exámenes'!$C$5:C629,'Base Exámenes'!C629)=1,'Base Exámenes'!E629+ROW()/1000000000,""))</f>
        <v/>
      </c>
      <c r="AM629" t="str">
        <f>IF(OR('Base Exámenes'!C629="",'Base Exámenes'!G629=""),"",IF(ROW()-4=MATCH('Base Exámenes'!C629&amp;"|"&amp;_xlfn.MAXIFS('Base Exámenes'!$G$5:$G$1000,'Base Exámenes'!$C$5:$C$1000,'Base Exámenes'!C629),'Base Exámenes'!$I$5:$I$1000,0),'Base Exámenes'!G629*1000000+(-1)*'Base Exámenes'!D629,""))</f>
        <v/>
      </c>
      <c r="AQ629" t="str">
        <f>IF('Base Exámenes'!C629="","",IF(COUNTIF('Base Exámenes'!$C$5:$C$1000,'Base Exámenes'!C629)&lt;2,"",MATCH('Base Exámenes'!C629,'Base Exámenes'!$C$5:$C$1000,0)*10000+ROW()))</f>
        <v/>
      </c>
    </row>
    <row r="630">
      <c r="Z630" t="str">
        <f>IF('Detalle individual'!A630="","",IF(AND(OR('Estado por Colaborador'!$D$4="Todas las gerencias",'Detalle individual'!D630='Estado por Colaborador'!$D$4),OR('Estado por Colaborador'!$D$5="Todos los departamentos",TRIM('Detalle individual'!C630)='Estado por Colaborador'!$D$5),OR('Estado por Colaborador'!$D$6="Todos",'Detalle individual'!F630='Estado por Colaborador'!$D$6)),IF('Detalle individual'!F630="Completado",30000000,IF('Detalle individual'!F630="Pendiente",0,15000000))+COUNTIF('Detalle individual'!$C$5:$C$1000,"&lt;"&amp;'Detalle individual'!C630)*10000+ROW(),""))</f>
        <v/>
      </c>
      <c r="AB630" t="str">
        <f>IF('Detalle individual'!C630="","",IF(COUNTIF('Detalle individual'!$C$5:C630,'Detalle individual'!C630)=1,COUNTIF('Detalle individual'!$C$5:$C$1000,"&lt;"&amp;'Detalle individual'!C630),""))</f>
        <v/>
      </c>
      <c r="AC630" t="str">
        <f>IF('Detalle individual'!D630="","",IF(COUNTIF('Detalle individual'!$D$5:D630,'Detalle individual'!D630)=1,COUNTIF('Detalle individual'!$D$5:$D$1000,"&lt;"&amp;'Detalle individual'!D630),""))</f>
        <v/>
      </c>
      <c r="AH630" t="str">
        <f>IF('Detalle individual'!F630="Pendiente",COUNTIF('Detalle individual'!$D$5:$D$1000,"&lt;"&amp;'Detalle individual'!D630)*1000000+COUNTIF('Detalle individual'!$C$5:$C$1000,"&lt;"&amp;'Detalle individual'!C630)*1000+COUNTIF('Detalle individual'!$B$5:$B$1000,"&lt;"&amp;'Detalle individual'!B630)+ROW()/10000,"")</f>
        <v/>
      </c>
      <c r="AI630" t="str">
        <f>IF('Detalle individual'!F630="Completado",COUNTIF('Detalle individual'!$D$5:$D$1000,"&lt;"&amp;'Detalle individual'!D630)*1000000+COUNTIF('Detalle individual'!$C$5:$C$1000,"&lt;"&amp;'Detalle individual'!C630)*1000+COUNTIF('Detalle individual'!$B$5:$B$1000,"&lt;"&amp;'Detalle individual'!B630)+ROW()/10000,"")</f>
        <v/>
      </c>
      <c r="AJ630" t="str">
        <f>IF(AND('Detalle individual'!F630&lt;&gt;"",'Detalle individual'!F630&lt;&gt;"Completado",'Detalle individual'!F630&lt;&gt;"Pendiente"),COUNTIF('Detalle individual'!$D$5:$D$1000,"&lt;"&amp;'Detalle individual'!D630)*1000000+COUNTIF('Detalle individual'!$C$5:$C$1000,"&lt;"&amp;'Detalle individual'!C630)*1000+COUNTIF('Detalle individual'!$B$5:$B$1000,"&lt;"&amp;'Detalle individual'!B630)+ROW()/10000,"")</f>
        <v/>
      </c>
      <c r="AK630" t="str">
        <f>IF(OR('Base Exámenes'!C630="",'Base Exámenes'!D630=""),"",IF(COUNTIF('Base Exámenes'!$C$5:C630,'Base Exámenes'!C630)=1,'Base Exámenes'!D630+ROW()/1000000000,""))</f>
        <v/>
      </c>
      <c r="AL630" t="str">
        <f>IF(OR('Base Exámenes'!C630="",'Base Exámenes'!E630=""),"",IF(COUNTIF('Base Exámenes'!$C$5:C630,'Base Exámenes'!C630)=1,'Base Exámenes'!E630+ROW()/1000000000,""))</f>
        <v/>
      </c>
      <c r="AM630" t="str">
        <f>IF(OR('Base Exámenes'!C630="",'Base Exámenes'!G630=""),"",IF(ROW()-4=MATCH('Base Exámenes'!C630&amp;"|"&amp;_xlfn.MAXIFS('Base Exámenes'!$G$5:$G$1000,'Base Exámenes'!$C$5:$C$1000,'Base Exámenes'!C630),'Base Exámenes'!$I$5:$I$1000,0),'Base Exámenes'!G630*1000000+(-1)*'Base Exámenes'!D630,""))</f>
        <v/>
      </c>
      <c r="AQ630" t="str">
        <f>IF('Base Exámenes'!C630="","",IF(COUNTIF('Base Exámenes'!$C$5:$C$1000,'Base Exámenes'!C630)&lt;2,"",MATCH('Base Exámenes'!C630,'Base Exámenes'!$C$5:$C$1000,0)*10000+ROW()))</f>
        <v/>
      </c>
    </row>
    <row r="631">
      <c r="Z631" t="str">
        <f>IF('Detalle individual'!A631="","",IF(AND(OR('Estado por Colaborador'!$D$4="Todas las gerencias",'Detalle individual'!D631='Estado por Colaborador'!$D$4),OR('Estado por Colaborador'!$D$5="Todos los departamentos",TRIM('Detalle individual'!C631)='Estado por Colaborador'!$D$5),OR('Estado por Colaborador'!$D$6="Todos",'Detalle individual'!F631='Estado por Colaborador'!$D$6)),IF('Detalle individual'!F631="Completado",30000000,IF('Detalle individual'!F631="Pendiente",0,15000000))+COUNTIF('Detalle individual'!$C$5:$C$1000,"&lt;"&amp;'Detalle individual'!C631)*10000+ROW(),""))</f>
        <v/>
      </c>
      <c r="AB631" t="str">
        <f>IF('Detalle individual'!C631="","",IF(COUNTIF('Detalle individual'!$C$5:C631,'Detalle individual'!C631)=1,COUNTIF('Detalle individual'!$C$5:$C$1000,"&lt;"&amp;'Detalle individual'!C631),""))</f>
        <v/>
      </c>
      <c r="AC631" t="str">
        <f>IF('Detalle individual'!D631="","",IF(COUNTIF('Detalle individual'!$D$5:D631,'Detalle individual'!D631)=1,COUNTIF('Detalle individual'!$D$5:$D$1000,"&lt;"&amp;'Detalle individual'!D631),""))</f>
        <v/>
      </c>
      <c r="AH631" t="str">
        <f>IF('Detalle individual'!F631="Pendiente",COUNTIF('Detalle individual'!$D$5:$D$1000,"&lt;"&amp;'Detalle individual'!D631)*1000000+COUNTIF('Detalle individual'!$C$5:$C$1000,"&lt;"&amp;'Detalle individual'!C631)*1000+COUNTIF('Detalle individual'!$B$5:$B$1000,"&lt;"&amp;'Detalle individual'!B631)+ROW()/10000,"")</f>
        <v/>
      </c>
      <c r="AI631" t="str">
        <f>IF('Detalle individual'!F631="Completado",COUNTIF('Detalle individual'!$D$5:$D$1000,"&lt;"&amp;'Detalle individual'!D631)*1000000+COUNTIF('Detalle individual'!$C$5:$C$1000,"&lt;"&amp;'Detalle individual'!C631)*1000+COUNTIF('Detalle individual'!$B$5:$B$1000,"&lt;"&amp;'Detalle individual'!B631)+ROW()/10000,"")</f>
        <v/>
      </c>
      <c r="AJ631" t="str">
        <f>IF(AND('Detalle individual'!F631&lt;&gt;"",'Detalle individual'!F631&lt;&gt;"Completado",'Detalle individual'!F631&lt;&gt;"Pendiente"),COUNTIF('Detalle individual'!$D$5:$D$1000,"&lt;"&amp;'Detalle individual'!D631)*1000000+COUNTIF('Detalle individual'!$C$5:$C$1000,"&lt;"&amp;'Detalle individual'!C631)*1000+COUNTIF('Detalle individual'!$B$5:$B$1000,"&lt;"&amp;'Detalle individual'!B631)+ROW()/10000,"")</f>
        <v/>
      </c>
      <c r="AK631" t="str">
        <f>IF(OR('Base Exámenes'!C631="",'Base Exámenes'!D631=""),"",IF(COUNTIF('Base Exámenes'!$C$5:C631,'Base Exámenes'!C631)=1,'Base Exámenes'!D631+ROW()/1000000000,""))</f>
        <v/>
      </c>
      <c r="AL631" t="str">
        <f>IF(OR('Base Exámenes'!C631="",'Base Exámenes'!E631=""),"",IF(COUNTIF('Base Exámenes'!$C$5:C631,'Base Exámenes'!C631)=1,'Base Exámenes'!E631+ROW()/1000000000,""))</f>
        <v/>
      </c>
      <c r="AM631" t="str">
        <f>IF(OR('Base Exámenes'!C631="",'Base Exámenes'!G631=""),"",IF(ROW()-4=MATCH('Base Exámenes'!C631&amp;"|"&amp;_xlfn.MAXIFS('Base Exámenes'!$G$5:$G$1000,'Base Exámenes'!$C$5:$C$1000,'Base Exámenes'!C631),'Base Exámenes'!$I$5:$I$1000,0),'Base Exámenes'!G631*1000000+(-1)*'Base Exámenes'!D631,""))</f>
        <v/>
      </c>
      <c r="AQ631" t="str">
        <f>IF('Base Exámenes'!C631="","",IF(COUNTIF('Base Exámenes'!$C$5:$C$1000,'Base Exámenes'!C631)&lt;2,"",MATCH('Base Exámenes'!C631,'Base Exámenes'!$C$5:$C$1000,0)*10000+ROW()))</f>
        <v/>
      </c>
    </row>
    <row r="632">
      <c r="Z632" t="str">
        <f>IF('Detalle individual'!A632="","",IF(AND(OR('Estado por Colaborador'!$D$4="Todas las gerencias",'Detalle individual'!D632='Estado por Colaborador'!$D$4),OR('Estado por Colaborador'!$D$5="Todos los departamentos",TRIM('Detalle individual'!C632)='Estado por Colaborador'!$D$5),OR('Estado por Colaborador'!$D$6="Todos",'Detalle individual'!F632='Estado por Colaborador'!$D$6)),IF('Detalle individual'!F632="Completado",30000000,IF('Detalle individual'!F632="Pendiente",0,15000000))+COUNTIF('Detalle individual'!$C$5:$C$1000,"&lt;"&amp;'Detalle individual'!C632)*10000+ROW(),""))</f>
        <v/>
      </c>
      <c r="AB632" t="str">
        <f>IF('Detalle individual'!C632="","",IF(COUNTIF('Detalle individual'!$C$5:C632,'Detalle individual'!C632)=1,COUNTIF('Detalle individual'!$C$5:$C$1000,"&lt;"&amp;'Detalle individual'!C632),""))</f>
        <v/>
      </c>
      <c r="AC632" t="str">
        <f>IF('Detalle individual'!D632="","",IF(COUNTIF('Detalle individual'!$D$5:D632,'Detalle individual'!D632)=1,COUNTIF('Detalle individual'!$D$5:$D$1000,"&lt;"&amp;'Detalle individual'!D632),""))</f>
        <v/>
      </c>
      <c r="AH632" t="str">
        <f>IF('Detalle individual'!F632="Pendiente",COUNTIF('Detalle individual'!$D$5:$D$1000,"&lt;"&amp;'Detalle individual'!D632)*1000000+COUNTIF('Detalle individual'!$C$5:$C$1000,"&lt;"&amp;'Detalle individual'!C632)*1000+COUNTIF('Detalle individual'!$B$5:$B$1000,"&lt;"&amp;'Detalle individual'!B632)+ROW()/10000,"")</f>
        <v/>
      </c>
      <c r="AI632" t="str">
        <f>IF('Detalle individual'!F632="Completado",COUNTIF('Detalle individual'!$D$5:$D$1000,"&lt;"&amp;'Detalle individual'!D632)*1000000+COUNTIF('Detalle individual'!$C$5:$C$1000,"&lt;"&amp;'Detalle individual'!C632)*1000+COUNTIF('Detalle individual'!$B$5:$B$1000,"&lt;"&amp;'Detalle individual'!B632)+ROW()/10000,"")</f>
        <v/>
      </c>
      <c r="AJ632" t="str">
        <f>IF(AND('Detalle individual'!F632&lt;&gt;"",'Detalle individual'!F632&lt;&gt;"Completado",'Detalle individual'!F632&lt;&gt;"Pendiente"),COUNTIF('Detalle individual'!$D$5:$D$1000,"&lt;"&amp;'Detalle individual'!D632)*1000000+COUNTIF('Detalle individual'!$C$5:$C$1000,"&lt;"&amp;'Detalle individual'!C632)*1000+COUNTIF('Detalle individual'!$B$5:$B$1000,"&lt;"&amp;'Detalle individual'!B632)+ROW()/10000,"")</f>
        <v/>
      </c>
      <c r="AK632" t="str">
        <f>IF(OR('Base Exámenes'!C632="",'Base Exámenes'!D632=""),"",IF(COUNTIF('Base Exámenes'!$C$5:C632,'Base Exámenes'!C632)=1,'Base Exámenes'!D632+ROW()/1000000000,""))</f>
        <v/>
      </c>
      <c r="AL632" t="str">
        <f>IF(OR('Base Exámenes'!C632="",'Base Exámenes'!E632=""),"",IF(COUNTIF('Base Exámenes'!$C$5:C632,'Base Exámenes'!C632)=1,'Base Exámenes'!E632+ROW()/1000000000,""))</f>
        <v/>
      </c>
      <c r="AM632" t="str">
        <f>IF(OR('Base Exámenes'!C632="",'Base Exámenes'!G632=""),"",IF(ROW()-4=MATCH('Base Exámenes'!C632&amp;"|"&amp;_xlfn.MAXIFS('Base Exámenes'!$G$5:$G$1000,'Base Exámenes'!$C$5:$C$1000,'Base Exámenes'!C632),'Base Exámenes'!$I$5:$I$1000,0),'Base Exámenes'!G632*1000000+(-1)*'Base Exámenes'!D632,""))</f>
        <v/>
      </c>
      <c r="AQ632" t="str">
        <f>IF('Base Exámenes'!C632="","",IF(COUNTIF('Base Exámenes'!$C$5:$C$1000,'Base Exámenes'!C632)&lt;2,"",MATCH('Base Exámenes'!C632,'Base Exámenes'!$C$5:$C$1000,0)*10000+ROW()))</f>
        <v/>
      </c>
    </row>
    <row r="633">
      <c r="Z633" t="str">
        <f>IF('Detalle individual'!A633="","",IF(AND(OR('Estado por Colaborador'!$D$4="Todas las gerencias",'Detalle individual'!D633='Estado por Colaborador'!$D$4),OR('Estado por Colaborador'!$D$5="Todos los departamentos",TRIM('Detalle individual'!C633)='Estado por Colaborador'!$D$5),OR('Estado por Colaborador'!$D$6="Todos",'Detalle individual'!F633='Estado por Colaborador'!$D$6)),IF('Detalle individual'!F633="Completado",30000000,IF('Detalle individual'!F633="Pendiente",0,15000000))+COUNTIF('Detalle individual'!$C$5:$C$1000,"&lt;"&amp;'Detalle individual'!C633)*10000+ROW(),""))</f>
        <v/>
      </c>
      <c r="AB633" t="str">
        <f>IF('Detalle individual'!C633="","",IF(COUNTIF('Detalle individual'!$C$5:C633,'Detalle individual'!C633)=1,COUNTIF('Detalle individual'!$C$5:$C$1000,"&lt;"&amp;'Detalle individual'!C633),""))</f>
        <v/>
      </c>
      <c r="AC633" t="str">
        <f>IF('Detalle individual'!D633="","",IF(COUNTIF('Detalle individual'!$D$5:D633,'Detalle individual'!D633)=1,COUNTIF('Detalle individual'!$D$5:$D$1000,"&lt;"&amp;'Detalle individual'!D633),""))</f>
        <v/>
      </c>
      <c r="AH633" t="str">
        <f>IF('Detalle individual'!F633="Pendiente",COUNTIF('Detalle individual'!$D$5:$D$1000,"&lt;"&amp;'Detalle individual'!D633)*1000000+COUNTIF('Detalle individual'!$C$5:$C$1000,"&lt;"&amp;'Detalle individual'!C633)*1000+COUNTIF('Detalle individual'!$B$5:$B$1000,"&lt;"&amp;'Detalle individual'!B633)+ROW()/10000,"")</f>
        <v/>
      </c>
      <c r="AI633" t="str">
        <f>IF('Detalle individual'!F633="Completado",COUNTIF('Detalle individual'!$D$5:$D$1000,"&lt;"&amp;'Detalle individual'!D633)*1000000+COUNTIF('Detalle individual'!$C$5:$C$1000,"&lt;"&amp;'Detalle individual'!C633)*1000+COUNTIF('Detalle individual'!$B$5:$B$1000,"&lt;"&amp;'Detalle individual'!B633)+ROW()/10000,"")</f>
        <v/>
      </c>
      <c r="AJ633" t="str">
        <f>IF(AND('Detalle individual'!F633&lt;&gt;"",'Detalle individual'!F633&lt;&gt;"Completado",'Detalle individual'!F633&lt;&gt;"Pendiente"),COUNTIF('Detalle individual'!$D$5:$D$1000,"&lt;"&amp;'Detalle individual'!D633)*1000000+COUNTIF('Detalle individual'!$C$5:$C$1000,"&lt;"&amp;'Detalle individual'!C633)*1000+COUNTIF('Detalle individual'!$B$5:$B$1000,"&lt;"&amp;'Detalle individual'!B633)+ROW()/10000,"")</f>
        <v/>
      </c>
      <c r="AK633" t="str">
        <f>IF(OR('Base Exámenes'!C633="",'Base Exámenes'!D633=""),"",IF(COUNTIF('Base Exámenes'!$C$5:C633,'Base Exámenes'!C633)=1,'Base Exámenes'!D633+ROW()/1000000000,""))</f>
        <v/>
      </c>
      <c r="AL633" t="str">
        <f>IF(OR('Base Exámenes'!C633="",'Base Exámenes'!E633=""),"",IF(COUNTIF('Base Exámenes'!$C$5:C633,'Base Exámenes'!C633)=1,'Base Exámenes'!E633+ROW()/1000000000,""))</f>
        <v/>
      </c>
      <c r="AM633" t="str">
        <f>IF(OR('Base Exámenes'!C633="",'Base Exámenes'!G633=""),"",IF(ROW()-4=MATCH('Base Exámenes'!C633&amp;"|"&amp;_xlfn.MAXIFS('Base Exámenes'!$G$5:$G$1000,'Base Exámenes'!$C$5:$C$1000,'Base Exámenes'!C633),'Base Exámenes'!$I$5:$I$1000,0),'Base Exámenes'!G633*1000000+(-1)*'Base Exámenes'!D633,""))</f>
        <v/>
      </c>
      <c r="AQ633" t="str">
        <f>IF('Base Exámenes'!C633="","",IF(COUNTIF('Base Exámenes'!$C$5:$C$1000,'Base Exámenes'!C633)&lt;2,"",MATCH('Base Exámenes'!C633,'Base Exámenes'!$C$5:$C$1000,0)*10000+ROW()))</f>
        <v/>
      </c>
    </row>
    <row r="634">
      <c r="Z634" t="str">
        <f>IF('Detalle individual'!A634="","",IF(AND(OR('Estado por Colaborador'!$D$4="Todas las gerencias",'Detalle individual'!D634='Estado por Colaborador'!$D$4),OR('Estado por Colaborador'!$D$5="Todos los departamentos",TRIM('Detalle individual'!C634)='Estado por Colaborador'!$D$5),OR('Estado por Colaborador'!$D$6="Todos",'Detalle individual'!F634='Estado por Colaborador'!$D$6)),IF('Detalle individual'!F634="Completado",30000000,IF('Detalle individual'!F634="Pendiente",0,15000000))+COUNTIF('Detalle individual'!$C$5:$C$1000,"&lt;"&amp;'Detalle individual'!C634)*10000+ROW(),""))</f>
        <v/>
      </c>
      <c r="AB634" t="str">
        <f>IF('Detalle individual'!C634="","",IF(COUNTIF('Detalle individual'!$C$5:C634,'Detalle individual'!C634)=1,COUNTIF('Detalle individual'!$C$5:$C$1000,"&lt;"&amp;'Detalle individual'!C634),""))</f>
        <v/>
      </c>
      <c r="AC634" t="str">
        <f>IF('Detalle individual'!D634="","",IF(COUNTIF('Detalle individual'!$D$5:D634,'Detalle individual'!D634)=1,COUNTIF('Detalle individual'!$D$5:$D$1000,"&lt;"&amp;'Detalle individual'!D634),""))</f>
        <v/>
      </c>
      <c r="AH634" t="str">
        <f>IF('Detalle individual'!F634="Pendiente",COUNTIF('Detalle individual'!$D$5:$D$1000,"&lt;"&amp;'Detalle individual'!D634)*1000000+COUNTIF('Detalle individual'!$C$5:$C$1000,"&lt;"&amp;'Detalle individual'!C634)*1000+COUNTIF('Detalle individual'!$B$5:$B$1000,"&lt;"&amp;'Detalle individual'!B634)+ROW()/10000,"")</f>
        <v/>
      </c>
      <c r="AI634" t="str">
        <f>IF('Detalle individual'!F634="Completado",COUNTIF('Detalle individual'!$D$5:$D$1000,"&lt;"&amp;'Detalle individual'!D634)*1000000+COUNTIF('Detalle individual'!$C$5:$C$1000,"&lt;"&amp;'Detalle individual'!C634)*1000+COUNTIF('Detalle individual'!$B$5:$B$1000,"&lt;"&amp;'Detalle individual'!B634)+ROW()/10000,"")</f>
        <v/>
      </c>
      <c r="AJ634" t="str">
        <f>IF(AND('Detalle individual'!F634&lt;&gt;"",'Detalle individual'!F634&lt;&gt;"Completado",'Detalle individual'!F634&lt;&gt;"Pendiente"),COUNTIF('Detalle individual'!$D$5:$D$1000,"&lt;"&amp;'Detalle individual'!D634)*1000000+COUNTIF('Detalle individual'!$C$5:$C$1000,"&lt;"&amp;'Detalle individual'!C634)*1000+COUNTIF('Detalle individual'!$B$5:$B$1000,"&lt;"&amp;'Detalle individual'!B634)+ROW()/10000,"")</f>
        <v/>
      </c>
      <c r="AK634" t="str">
        <f>IF(OR('Base Exámenes'!C634="",'Base Exámenes'!D634=""),"",IF(COUNTIF('Base Exámenes'!$C$5:C634,'Base Exámenes'!C634)=1,'Base Exámenes'!D634+ROW()/1000000000,""))</f>
        <v/>
      </c>
      <c r="AL634" t="str">
        <f>IF(OR('Base Exámenes'!C634="",'Base Exámenes'!E634=""),"",IF(COUNTIF('Base Exámenes'!$C$5:C634,'Base Exámenes'!C634)=1,'Base Exámenes'!E634+ROW()/1000000000,""))</f>
        <v/>
      </c>
      <c r="AM634" t="str">
        <f>IF(OR('Base Exámenes'!C634="",'Base Exámenes'!G634=""),"",IF(ROW()-4=MATCH('Base Exámenes'!C634&amp;"|"&amp;_xlfn.MAXIFS('Base Exámenes'!$G$5:$G$1000,'Base Exámenes'!$C$5:$C$1000,'Base Exámenes'!C634),'Base Exámenes'!$I$5:$I$1000,0),'Base Exámenes'!G634*1000000+(-1)*'Base Exámenes'!D634,""))</f>
        <v/>
      </c>
      <c r="AQ634" t="str">
        <f>IF('Base Exámenes'!C634="","",IF(COUNTIF('Base Exámenes'!$C$5:$C$1000,'Base Exámenes'!C634)&lt;2,"",MATCH('Base Exámenes'!C634,'Base Exámenes'!$C$5:$C$1000,0)*10000+ROW()))</f>
        <v/>
      </c>
    </row>
    <row r="635">
      <c r="Z635" t="str">
        <f>IF('Detalle individual'!A635="","",IF(AND(OR('Estado por Colaborador'!$D$4="Todas las gerencias",'Detalle individual'!D635='Estado por Colaborador'!$D$4),OR('Estado por Colaborador'!$D$5="Todos los departamentos",TRIM('Detalle individual'!C635)='Estado por Colaborador'!$D$5),OR('Estado por Colaborador'!$D$6="Todos",'Detalle individual'!F635='Estado por Colaborador'!$D$6)),IF('Detalle individual'!F635="Completado",30000000,IF('Detalle individual'!F635="Pendiente",0,15000000))+COUNTIF('Detalle individual'!$C$5:$C$1000,"&lt;"&amp;'Detalle individual'!C635)*10000+ROW(),""))</f>
        <v/>
      </c>
      <c r="AB635" t="str">
        <f>IF('Detalle individual'!C635="","",IF(COUNTIF('Detalle individual'!$C$5:C635,'Detalle individual'!C635)=1,COUNTIF('Detalle individual'!$C$5:$C$1000,"&lt;"&amp;'Detalle individual'!C635),""))</f>
        <v/>
      </c>
      <c r="AC635" t="str">
        <f>IF('Detalle individual'!D635="","",IF(COUNTIF('Detalle individual'!$D$5:D635,'Detalle individual'!D635)=1,COUNTIF('Detalle individual'!$D$5:$D$1000,"&lt;"&amp;'Detalle individual'!D635),""))</f>
        <v/>
      </c>
      <c r="AH635" t="str">
        <f>IF('Detalle individual'!F635="Pendiente",COUNTIF('Detalle individual'!$D$5:$D$1000,"&lt;"&amp;'Detalle individual'!D635)*1000000+COUNTIF('Detalle individual'!$C$5:$C$1000,"&lt;"&amp;'Detalle individual'!C635)*1000+COUNTIF('Detalle individual'!$B$5:$B$1000,"&lt;"&amp;'Detalle individual'!B635)+ROW()/10000,"")</f>
        <v/>
      </c>
      <c r="AI635" t="str">
        <f>IF('Detalle individual'!F635="Completado",COUNTIF('Detalle individual'!$D$5:$D$1000,"&lt;"&amp;'Detalle individual'!D635)*1000000+COUNTIF('Detalle individual'!$C$5:$C$1000,"&lt;"&amp;'Detalle individual'!C635)*1000+COUNTIF('Detalle individual'!$B$5:$B$1000,"&lt;"&amp;'Detalle individual'!B635)+ROW()/10000,"")</f>
        <v/>
      </c>
      <c r="AJ635" t="str">
        <f>IF(AND('Detalle individual'!F635&lt;&gt;"",'Detalle individual'!F635&lt;&gt;"Completado",'Detalle individual'!F635&lt;&gt;"Pendiente"),COUNTIF('Detalle individual'!$D$5:$D$1000,"&lt;"&amp;'Detalle individual'!D635)*1000000+COUNTIF('Detalle individual'!$C$5:$C$1000,"&lt;"&amp;'Detalle individual'!C635)*1000+COUNTIF('Detalle individual'!$B$5:$B$1000,"&lt;"&amp;'Detalle individual'!B635)+ROW()/10000,"")</f>
        <v/>
      </c>
      <c r="AK635" t="str">
        <f>IF(OR('Base Exámenes'!C635="",'Base Exámenes'!D635=""),"",IF(COUNTIF('Base Exámenes'!$C$5:C635,'Base Exámenes'!C635)=1,'Base Exámenes'!D635+ROW()/1000000000,""))</f>
        <v/>
      </c>
      <c r="AL635" t="str">
        <f>IF(OR('Base Exámenes'!C635="",'Base Exámenes'!E635=""),"",IF(COUNTIF('Base Exámenes'!$C$5:C635,'Base Exámenes'!C635)=1,'Base Exámenes'!E635+ROW()/1000000000,""))</f>
        <v/>
      </c>
      <c r="AM635" t="str">
        <f>IF(OR('Base Exámenes'!C635="",'Base Exámenes'!G635=""),"",IF(ROW()-4=MATCH('Base Exámenes'!C635&amp;"|"&amp;_xlfn.MAXIFS('Base Exámenes'!$G$5:$G$1000,'Base Exámenes'!$C$5:$C$1000,'Base Exámenes'!C635),'Base Exámenes'!$I$5:$I$1000,0),'Base Exámenes'!G635*1000000+(-1)*'Base Exámenes'!D635,""))</f>
        <v/>
      </c>
      <c r="AQ635" t="str">
        <f>IF('Base Exámenes'!C635="","",IF(COUNTIF('Base Exámenes'!$C$5:$C$1000,'Base Exámenes'!C635)&lt;2,"",MATCH('Base Exámenes'!C635,'Base Exámenes'!$C$5:$C$1000,0)*10000+ROW()))</f>
        <v/>
      </c>
    </row>
    <row r="636">
      <c r="Z636" t="str">
        <f>IF('Detalle individual'!A636="","",IF(AND(OR('Estado por Colaborador'!$D$4="Todas las gerencias",'Detalle individual'!D636='Estado por Colaborador'!$D$4),OR('Estado por Colaborador'!$D$5="Todos los departamentos",TRIM('Detalle individual'!C636)='Estado por Colaborador'!$D$5),OR('Estado por Colaborador'!$D$6="Todos",'Detalle individual'!F636='Estado por Colaborador'!$D$6)),IF('Detalle individual'!F636="Completado",30000000,IF('Detalle individual'!F636="Pendiente",0,15000000))+COUNTIF('Detalle individual'!$C$5:$C$1000,"&lt;"&amp;'Detalle individual'!C636)*10000+ROW(),""))</f>
        <v/>
      </c>
      <c r="AB636" t="str">
        <f>IF('Detalle individual'!C636="","",IF(COUNTIF('Detalle individual'!$C$5:C636,'Detalle individual'!C636)=1,COUNTIF('Detalle individual'!$C$5:$C$1000,"&lt;"&amp;'Detalle individual'!C636),""))</f>
        <v/>
      </c>
      <c r="AC636" t="str">
        <f>IF('Detalle individual'!D636="","",IF(COUNTIF('Detalle individual'!$D$5:D636,'Detalle individual'!D636)=1,COUNTIF('Detalle individual'!$D$5:$D$1000,"&lt;"&amp;'Detalle individual'!D636),""))</f>
        <v/>
      </c>
      <c r="AH636" t="str">
        <f>IF('Detalle individual'!F636="Pendiente",COUNTIF('Detalle individual'!$D$5:$D$1000,"&lt;"&amp;'Detalle individual'!D636)*1000000+COUNTIF('Detalle individual'!$C$5:$C$1000,"&lt;"&amp;'Detalle individual'!C636)*1000+COUNTIF('Detalle individual'!$B$5:$B$1000,"&lt;"&amp;'Detalle individual'!B636)+ROW()/10000,"")</f>
        <v/>
      </c>
      <c r="AI636" t="str">
        <f>IF('Detalle individual'!F636="Completado",COUNTIF('Detalle individual'!$D$5:$D$1000,"&lt;"&amp;'Detalle individual'!D636)*1000000+COUNTIF('Detalle individual'!$C$5:$C$1000,"&lt;"&amp;'Detalle individual'!C636)*1000+COUNTIF('Detalle individual'!$B$5:$B$1000,"&lt;"&amp;'Detalle individual'!B636)+ROW()/10000,"")</f>
        <v/>
      </c>
      <c r="AJ636" t="str">
        <f>IF(AND('Detalle individual'!F636&lt;&gt;"",'Detalle individual'!F636&lt;&gt;"Completado",'Detalle individual'!F636&lt;&gt;"Pendiente"),COUNTIF('Detalle individual'!$D$5:$D$1000,"&lt;"&amp;'Detalle individual'!D636)*1000000+COUNTIF('Detalle individual'!$C$5:$C$1000,"&lt;"&amp;'Detalle individual'!C636)*1000+COUNTIF('Detalle individual'!$B$5:$B$1000,"&lt;"&amp;'Detalle individual'!B636)+ROW()/10000,"")</f>
        <v/>
      </c>
      <c r="AK636" t="str">
        <f>IF(OR('Base Exámenes'!C636="",'Base Exámenes'!D636=""),"",IF(COUNTIF('Base Exámenes'!$C$5:C636,'Base Exámenes'!C636)=1,'Base Exámenes'!D636+ROW()/1000000000,""))</f>
        <v/>
      </c>
      <c r="AL636" t="str">
        <f>IF(OR('Base Exámenes'!C636="",'Base Exámenes'!E636=""),"",IF(COUNTIF('Base Exámenes'!$C$5:C636,'Base Exámenes'!C636)=1,'Base Exámenes'!E636+ROW()/1000000000,""))</f>
        <v/>
      </c>
      <c r="AM636" t="str">
        <f>IF(OR('Base Exámenes'!C636="",'Base Exámenes'!G636=""),"",IF(ROW()-4=MATCH('Base Exámenes'!C636&amp;"|"&amp;_xlfn.MAXIFS('Base Exámenes'!$G$5:$G$1000,'Base Exámenes'!$C$5:$C$1000,'Base Exámenes'!C636),'Base Exámenes'!$I$5:$I$1000,0),'Base Exámenes'!G636*1000000+(-1)*'Base Exámenes'!D636,""))</f>
        <v/>
      </c>
      <c r="AQ636" t="str">
        <f>IF('Base Exámenes'!C636="","",IF(COUNTIF('Base Exámenes'!$C$5:$C$1000,'Base Exámenes'!C636)&lt;2,"",MATCH('Base Exámenes'!C636,'Base Exámenes'!$C$5:$C$1000,0)*10000+ROW()))</f>
        <v/>
      </c>
    </row>
    <row r="637">
      <c r="Z637" t="str">
        <f>IF('Detalle individual'!A637="","",IF(AND(OR('Estado por Colaborador'!$D$4="Todas las gerencias",'Detalle individual'!D637='Estado por Colaborador'!$D$4),OR('Estado por Colaborador'!$D$5="Todos los departamentos",TRIM('Detalle individual'!C637)='Estado por Colaborador'!$D$5),OR('Estado por Colaborador'!$D$6="Todos",'Detalle individual'!F637='Estado por Colaborador'!$D$6)),IF('Detalle individual'!F637="Completado",30000000,IF('Detalle individual'!F637="Pendiente",0,15000000))+COUNTIF('Detalle individual'!$C$5:$C$1000,"&lt;"&amp;'Detalle individual'!C637)*10000+ROW(),""))</f>
        <v/>
      </c>
      <c r="AB637" t="str">
        <f>IF('Detalle individual'!C637="","",IF(COUNTIF('Detalle individual'!$C$5:C637,'Detalle individual'!C637)=1,COUNTIF('Detalle individual'!$C$5:$C$1000,"&lt;"&amp;'Detalle individual'!C637),""))</f>
        <v/>
      </c>
      <c r="AC637" t="str">
        <f>IF('Detalle individual'!D637="","",IF(COUNTIF('Detalle individual'!$D$5:D637,'Detalle individual'!D637)=1,COUNTIF('Detalle individual'!$D$5:$D$1000,"&lt;"&amp;'Detalle individual'!D637),""))</f>
        <v/>
      </c>
      <c r="AH637" t="str">
        <f>IF('Detalle individual'!F637="Pendiente",COUNTIF('Detalle individual'!$D$5:$D$1000,"&lt;"&amp;'Detalle individual'!D637)*1000000+COUNTIF('Detalle individual'!$C$5:$C$1000,"&lt;"&amp;'Detalle individual'!C637)*1000+COUNTIF('Detalle individual'!$B$5:$B$1000,"&lt;"&amp;'Detalle individual'!B637)+ROW()/10000,"")</f>
        <v/>
      </c>
      <c r="AI637" t="str">
        <f>IF('Detalle individual'!F637="Completado",COUNTIF('Detalle individual'!$D$5:$D$1000,"&lt;"&amp;'Detalle individual'!D637)*1000000+COUNTIF('Detalle individual'!$C$5:$C$1000,"&lt;"&amp;'Detalle individual'!C637)*1000+COUNTIF('Detalle individual'!$B$5:$B$1000,"&lt;"&amp;'Detalle individual'!B637)+ROW()/10000,"")</f>
        <v/>
      </c>
      <c r="AJ637" t="str">
        <f>IF(AND('Detalle individual'!F637&lt;&gt;"",'Detalle individual'!F637&lt;&gt;"Completado",'Detalle individual'!F637&lt;&gt;"Pendiente"),COUNTIF('Detalle individual'!$D$5:$D$1000,"&lt;"&amp;'Detalle individual'!D637)*1000000+COUNTIF('Detalle individual'!$C$5:$C$1000,"&lt;"&amp;'Detalle individual'!C637)*1000+COUNTIF('Detalle individual'!$B$5:$B$1000,"&lt;"&amp;'Detalle individual'!B637)+ROW()/10000,"")</f>
        <v/>
      </c>
      <c r="AK637" t="str">
        <f>IF(OR('Base Exámenes'!C637="",'Base Exámenes'!D637=""),"",IF(COUNTIF('Base Exámenes'!$C$5:C637,'Base Exámenes'!C637)=1,'Base Exámenes'!D637+ROW()/1000000000,""))</f>
        <v/>
      </c>
      <c r="AL637" t="str">
        <f>IF(OR('Base Exámenes'!C637="",'Base Exámenes'!E637=""),"",IF(COUNTIF('Base Exámenes'!$C$5:C637,'Base Exámenes'!C637)=1,'Base Exámenes'!E637+ROW()/1000000000,""))</f>
        <v/>
      </c>
      <c r="AM637" t="str">
        <f>IF(OR('Base Exámenes'!C637="",'Base Exámenes'!G637=""),"",IF(ROW()-4=MATCH('Base Exámenes'!C637&amp;"|"&amp;_xlfn.MAXIFS('Base Exámenes'!$G$5:$G$1000,'Base Exámenes'!$C$5:$C$1000,'Base Exámenes'!C637),'Base Exámenes'!$I$5:$I$1000,0),'Base Exámenes'!G637*1000000+(-1)*'Base Exámenes'!D637,""))</f>
        <v/>
      </c>
      <c r="AQ637" t="str">
        <f>IF('Base Exámenes'!C637="","",IF(COUNTIF('Base Exámenes'!$C$5:$C$1000,'Base Exámenes'!C637)&lt;2,"",MATCH('Base Exámenes'!C637,'Base Exámenes'!$C$5:$C$1000,0)*10000+ROW()))</f>
        <v/>
      </c>
    </row>
    <row r="638">
      <c r="Z638" t="str">
        <f>IF('Detalle individual'!A638="","",IF(AND(OR('Estado por Colaborador'!$D$4="Todas las gerencias",'Detalle individual'!D638='Estado por Colaborador'!$D$4),OR('Estado por Colaborador'!$D$5="Todos los departamentos",TRIM('Detalle individual'!C638)='Estado por Colaborador'!$D$5),OR('Estado por Colaborador'!$D$6="Todos",'Detalle individual'!F638='Estado por Colaborador'!$D$6)),IF('Detalle individual'!F638="Completado",30000000,IF('Detalle individual'!F638="Pendiente",0,15000000))+COUNTIF('Detalle individual'!$C$5:$C$1000,"&lt;"&amp;'Detalle individual'!C638)*10000+ROW(),""))</f>
        <v/>
      </c>
      <c r="AB638" t="str">
        <f>IF('Detalle individual'!C638="","",IF(COUNTIF('Detalle individual'!$C$5:C638,'Detalle individual'!C638)=1,COUNTIF('Detalle individual'!$C$5:$C$1000,"&lt;"&amp;'Detalle individual'!C638),""))</f>
        <v/>
      </c>
      <c r="AC638" t="str">
        <f>IF('Detalle individual'!D638="","",IF(COUNTIF('Detalle individual'!$D$5:D638,'Detalle individual'!D638)=1,COUNTIF('Detalle individual'!$D$5:$D$1000,"&lt;"&amp;'Detalle individual'!D638),""))</f>
        <v/>
      </c>
      <c r="AH638" t="str">
        <f>IF('Detalle individual'!F638="Pendiente",COUNTIF('Detalle individual'!$D$5:$D$1000,"&lt;"&amp;'Detalle individual'!D638)*1000000+COUNTIF('Detalle individual'!$C$5:$C$1000,"&lt;"&amp;'Detalle individual'!C638)*1000+COUNTIF('Detalle individual'!$B$5:$B$1000,"&lt;"&amp;'Detalle individual'!B638)+ROW()/10000,"")</f>
        <v/>
      </c>
      <c r="AI638" t="str">
        <f>IF('Detalle individual'!F638="Completado",COUNTIF('Detalle individual'!$D$5:$D$1000,"&lt;"&amp;'Detalle individual'!D638)*1000000+COUNTIF('Detalle individual'!$C$5:$C$1000,"&lt;"&amp;'Detalle individual'!C638)*1000+COUNTIF('Detalle individual'!$B$5:$B$1000,"&lt;"&amp;'Detalle individual'!B638)+ROW()/10000,"")</f>
        <v/>
      </c>
      <c r="AJ638" t="str">
        <f>IF(AND('Detalle individual'!F638&lt;&gt;"",'Detalle individual'!F638&lt;&gt;"Completado",'Detalle individual'!F638&lt;&gt;"Pendiente"),COUNTIF('Detalle individual'!$D$5:$D$1000,"&lt;"&amp;'Detalle individual'!D638)*1000000+COUNTIF('Detalle individual'!$C$5:$C$1000,"&lt;"&amp;'Detalle individual'!C638)*1000+COUNTIF('Detalle individual'!$B$5:$B$1000,"&lt;"&amp;'Detalle individual'!B638)+ROW()/10000,"")</f>
        <v/>
      </c>
      <c r="AK638" t="str">
        <f>IF(OR('Base Exámenes'!C638="",'Base Exámenes'!D638=""),"",IF(COUNTIF('Base Exámenes'!$C$5:C638,'Base Exámenes'!C638)=1,'Base Exámenes'!D638+ROW()/1000000000,""))</f>
        <v/>
      </c>
      <c r="AL638" t="str">
        <f>IF(OR('Base Exámenes'!C638="",'Base Exámenes'!E638=""),"",IF(COUNTIF('Base Exámenes'!$C$5:C638,'Base Exámenes'!C638)=1,'Base Exámenes'!E638+ROW()/1000000000,""))</f>
        <v/>
      </c>
      <c r="AM638" t="str">
        <f>IF(OR('Base Exámenes'!C638="",'Base Exámenes'!G638=""),"",IF(ROW()-4=MATCH('Base Exámenes'!C638&amp;"|"&amp;_xlfn.MAXIFS('Base Exámenes'!$G$5:$G$1000,'Base Exámenes'!$C$5:$C$1000,'Base Exámenes'!C638),'Base Exámenes'!$I$5:$I$1000,0),'Base Exámenes'!G638*1000000+(-1)*'Base Exámenes'!D638,""))</f>
        <v/>
      </c>
      <c r="AQ638" t="str">
        <f>IF('Base Exámenes'!C638="","",IF(COUNTIF('Base Exámenes'!$C$5:$C$1000,'Base Exámenes'!C638)&lt;2,"",MATCH('Base Exámenes'!C638,'Base Exámenes'!$C$5:$C$1000,0)*10000+ROW()))</f>
        <v/>
      </c>
    </row>
    <row r="639">
      <c r="Z639" t="str">
        <f>IF('Detalle individual'!A639="","",IF(AND(OR('Estado por Colaborador'!$D$4="Todas las gerencias",'Detalle individual'!D639='Estado por Colaborador'!$D$4),OR('Estado por Colaborador'!$D$5="Todos los departamentos",TRIM('Detalle individual'!C639)='Estado por Colaborador'!$D$5),OR('Estado por Colaborador'!$D$6="Todos",'Detalle individual'!F639='Estado por Colaborador'!$D$6)),IF('Detalle individual'!F639="Completado",30000000,IF('Detalle individual'!F639="Pendiente",0,15000000))+COUNTIF('Detalle individual'!$C$5:$C$1000,"&lt;"&amp;'Detalle individual'!C639)*10000+ROW(),""))</f>
        <v/>
      </c>
      <c r="AB639" t="str">
        <f>IF('Detalle individual'!C639="","",IF(COUNTIF('Detalle individual'!$C$5:C639,'Detalle individual'!C639)=1,COUNTIF('Detalle individual'!$C$5:$C$1000,"&lt;"&amp;'Detalle individual'!C639),""))</f>
        <v/>
      </c>
      <c r="AC639" t="str">
        <f>IF('Detalle individual'!D639="","",IF(COUNTIF('Detalle individual'!$D$5:D639,'Detalle individual'!D639)=1,COUNTIF('Detalle individual'!$D$5:$D$1000,"&lt;"&amp;'Detalle individual'!D639),""))</f>
        <v/>
      </c>
      <c r="AH639" t="str">
        <f>IF('Detalle individual'!F639="Pendiente",COUNTIF('Detalle individual'!$D$5:$D$1000,"&lt;"&amp;'Detalle individual'!D639)*1000000+COUNTIF('Detalle individual'!$C$5:$C$1000,"&lt;"&amp;'Detalle individual'!C639)*1000+COUNTIF('Detalle individual'!$B$5:$B$1000,"&lt;"&amp;'Detalle individual'!B639)+ROW()/10000,"")</f>
        <v/>
      </c>
      <c r="AI639" t="str">
        <f>IF('Detalle individual'!F639="Completado",COUNTIF('Detalle individual'!$D$5:$D$1000,"&lt;"&amp;'Detalle individual'!D639)*1000000+COUNTIF('Detalle individual'!$C$5:$C$1000,"&lt;"&amp;'Detalle individual'!C639)*1000+COUNTIF('Detalle individual'!$B$5:$B$1000,"&lt;"&amp;'Detalle individual'!B639)+ROW()/10000,"")</f>
        <v/>
      </c>
      <c r="AJ639" t="str">
        <f>IF(AND('Detalle individual'!F639&lt;&gt;"",'Detalle individual'!F639&lt;&gt;"Completado",'Detalle individual'!F639&lt;&gt;"Pendiente"),COUNTIF('Detalle individual'!$D$5:$D$1000,"&lt;"&amp;'Detalle individual'!D639)*1000000+COUNTIF('Detalle individual'!$C$5:$C$1000,"&lt;"&amp;'Detalle individual'!C639)*1000+COUNTIF('Detalle individual'!$B$5:$B$1000,"&lt;"&amp;'Detalle individual'!B639)+ROW()/10000,"")</f>
        <v/>
      </c>
      <c r="AK639" t="str">
        <f>IF(OR('Base Exámenes'!C639="",'Base Exámenes'!D639=""),"",IF(COUNTIF('Base Exámenes'!$C$5:C639,'Base Exámenes'!C639)=1,'Base Exámenes'!D639+ROW()/1000000000,""))</f>
        <v/>
      </c>
      <c r="AL639" t="str">
        <f>IF(OR('Base Exámenes'!C639="",'Base Exámenes'!E639=""),"",IF(COUNTIF('Base Exámenes'!$C$5:C639,'Base Exámenes'!C639)=1,'Base Exámenes'!E639+ROW()/1000000000,""))</f>
        <v/>
      </c>
      <c r="AM639" t="str">
        <f>IF(OR('Base Exámenes'!C639="",'Base Exámenes'!G639=""),"",IF(ROW()-4=MATCH('Base Exámenes'!C639&amp;"|"&amp;_xlfn.MAXIFS('Base Exámenes'!$G$5:$G$1000,'Base Exámenes'!$C$5:$C$1000,'Base Exámenes'!C639),'Base Exámenes'!$I$5:$I$1000,0),'Base Exámenes'!G639*1000000+(-1)*'Base Exámenes'!D639,""))</f>
        <v/>
      </c>
      <c r="AQ639" t="str">
        <f>IF('Base Exámenes'!C639="","",IF(COUNTIF('Base Exámenes'!$C$5:$C$1000,'Base Exámenes'!C639)&lt;2,"",MATCH('Base Exámenes'!C639,'Base Exámenes'!$C$5:$C$1000,0)*10000+ROW()))</f>
        <v/>
      </c>
    </row>
    <row r="640">
      <c r="Z640" t="str">
        <f>IF('Detalle individual'!A640="","",IF(AND(OR('Estado por Colaborador'!$D$4="Todas las gerencias",'Detalle individual'!D640='Estado por Colaborador'!$D$4),OR('Estado por Colaborador'!$D$5="Todos los departamentos",TRIM('Detalle individual'!C640)='Estado por Colaborador'!$D$5),OR('Estado por Colaborador'!$D$6="Todos",'Detalle individual'!F640='Estado por Colaborador'!$D$6)),IF('Detalle individual'!F640="Completado",30000000,IF('Detalle individual'!F640="Pendiente",0,15000000))+COUNTIF('Detalle individual'!$C$5:$C$1000,"&lt;"&amp;'Detalle individual'!C640)*10000+ROW(),""))</f>
        <v/>
      </c>
      <c r="AB640" t="str">
        <f>IF('Detalle individual'!C640="","",IF(COUNTIF('Detalle individual'!$C$5:C640,'Detalle individual'!C640)=1,COUNTIF('Detalle individual'!$C$5:$C$1000,"&lt;"&amp;'Detalle individual'!C640),""))</f>
        <v/>
      </c>
      <c r="AC640" t="str">
        <f>IF('Detalle individual'!D640="","",IF(COUNTIF('Detalle individual'!$D$5:D640,'Detalle individual'!D640)=1,COUNTIF('Detalle individual'!$D$5:$D$1000,"&lt;"&amp;'Detalle individual'!D640),""))</f>
        <v/>
      </c>
      <c r="AH640" t="str">
        <f>IF('Detalle individual'!F640="Pendiente",COUNTIF('Detalle individual'!$D$5:$D$1000,"&lt;"&amp;'Detalle individual'!D640)*1000000+COUNTIF('Detalle individual'!$C$5:$C$1000,"&lt;"&amp;'Detalle individual'!C640)*1000+COUNTIF('Detalle individual'!$B$5:$B$1000,"&lt;"&amp;'Detalle individual'!B640)+ROW()/10000,"")</f>
        <v/>
      </c>
      <c r="AI640" t="str">
        <f>IF('Detalle individual'!F640="Completado",COUNTIF('Detalle individual'!$D$5:$D$1000,"&lt;"&amp;'Detalle individual'!D640)*1000000+COUNTIF('Detalle individual'!$C$5:$C$1000,"&lt;"&amp;'Detalle individual'!C640)*1000+COUNTIF('Detalle individual'!$B$5:$B$1000,"&lt;"&amp;'Detalle individual'!B640)+ROW()/10000,"")</f>
        <v/>
      </c>
      <c r="AJ640" t="str">
        <f>IF(AND('Detalle individual'!F640&lt;&gt;"",'Detalle individual'!F640&lt;&gt;"Completado",'Detalle individual'!F640&lt;&gt;"Pendiente"),COUNTIF('Detalle individual'!$D$5:$D$1000,"&lt;"&amp;'Detalle individual'!D640)*1000000+COUNTIF('Detalle individual'!$C$5:$C$1000,"&lt;"&amp;'Detalle individual'!C640)*1000+COUNTIF('Detalle individual'!$B$5:$B$1000,"&lt;"&amp;'Detalle individual'!B640)+ROW()/10000,"")</f>
        <v/>
      </c>
      <c r="AK640" t="str">
        <f>IF(OR('Base Exámenes'!C640="",'Base Exámenes'!D640=""),"",IF(COUNTIF('Base Exámenes'!$C$5:C640,'Base Exámenes'!C640)=1,'Base Exámenes'!D640+ROW()/1000000000,""))</f>
        <v/>
      </c>
      <c r="AL640" t="str">
        <f>IF(OR('Base Exámenes'!C640="",'Base Exámenes'!E640=""),"",IF(COUNTIF('Base Exámenes'!$C$5:C640,'Base Exámenes'!C640)=1,'Base Exámenes'!E640+ROW()/1000000000,""))</f>
        <v/>
      </c>
      <c r="AM640" t="str">
        <f>IF(OR('Base Exámenes'!C640="",'Base Exámenes'!G640=""),"",IF(ROW()-4=MATCH('Base Exámenes'!C640&amp;"|"&amp;_xlfn.MAXIFS('Base Exámenes'!$G$5:$G$1000,'Base Exámenes'!$C$5:$C$1000,'Base Exámenes'!C640),'Base Exámenes'!$I$5:$I$1000,0),'Base Exámenes'!G640*1000000+(-1)*'Base Exámenes'!D640,""))</f>
        <v/>
      </c>
      <c r="AQ640" t="str">
        <f>IF('Base Exámenes'!C640="","",IF(COUNTIF('Base Exámenes'!$C$5:$C$1000,'Base Exámenes'!C640)&lt;2,"",MATCH('Base Exámenes'!C640,'Base Exámenes'!$C$5:$C$1000,0)*10000+ROW()))</f>
        <v/>
      </c>
    </row>
    <row r="641">
      <c r="Z641" t="str">
        <f>IF('Detalle individual'!A641="","",IF(AND(OR('Estado por Colaborador'!$D$4="Todas las gerencias",'Detalle individual'!D641='Estado por Colaborador'!$D$4),OR('Estado por Colaborador'!$D$5="Todos los departamentos",TRIM('Detalle individual'!C641)='Estado por Colaborador'!$D$5),OR('Estado por Colaborador'!$D$6="Todos",'Detalle individual'!F641='Estado por Colaborador'!$D$6)),IF('Detalle individual'!F641="Completado",30000000,IF('Detalle individual'!F641="Pendiente",0,15000000))+COUNTIF('Detalle individual'!$C$5:$C$1000,"&lt;"&amp;'Detalle individual'!C641)*10000+ROW(),""))</f>
        <v/>
      </c>
      <c r="AB641" t="str">
        <f>IF('Detalle individual'!C641="","",IF(COUNTIF('Detalle individual'!$C$5:C641,'Detalle individual'!C641)=1,COUNTIF('Detalle individual'!$C$5:$C$1000,"&lt;"&amp;'Detalle individual'!C641),""))</f>
        <v/>
      </c>
      <c r="AC641" t="str">
        <f>IF('Detalle individual'!D641="","",IF(COUNTIF('Detalle individual'!$D$5:D641,'Detalle individual'!D641)=1,COUNTIF('Detalle individual'!$D$5:$D$1000,"&lt;"&amp;'Detalle individual'!D641),""))</f>
        <v/>
      </c>
      <c r="AH641" t="str">
        <f>IF('Detalle individual'!F641="Pendiente",COUNTIF('Detalle individual'!$D$5:$D$1000,"&lt;"&amp;'Detalle individual'!D641)*1000000+COUNTIF('Detalle individual'!$C$5:$C$1000,"&lt;"&amp;'Detalle individual'!C641)*1000+COUNTIF('Detalle individual'!$B$5:$B$1000,"&lt;"&amp;'Detalle individual'!B641)+ROW()/10000,"")</f>
        <v/>
      </c>
      <c r="AI641" t="str">
        <f>IF('Detalle individual'!F641="Completado",COUNTIF('Detalle individual'!$D$5:$D$1000,"&lt;"&amp;'Detalle individual'!D641)*1000000+COUNTIF('Detalle individual'!$C$5:$C$1000,"&lt;"&amp;'Detalle individual'!C641)*1000+COUNTIF('Detalle individual'!$B$5:$B$1000,"&lt;"&amp;'Detalle individual'!B641)+ROW()/10000,"")</f>
        <v/>
      </c>
      <c r="AJ641" t="str">
        <f>IF(AND('Detalle individual'!F641&lt;&gt;"",'Detalle individual'!F641&lt;&gt;"Completado",'Detalle individual'!F641&lt;&gt;"Pendiente"),COUNTIF('Detalle individual'!$D$5:$D$1000,"&lt;"&amp;'Detalle individual'!D641)*1000000+COUNTIF('Detalle individual'!$C$5:$C$1000,"&lt;"&amp;'Detalle individual'!C641)*1000+COUNTIF('Detalle individual'!$B$5:$B$1000,"&lt;"&amp;'Detalle individual'!B641)+ROW()/10000,"")</f>
        <v/>
      </c>
      <c r="AK641" t="str">
        <f>IF(OR('Base Exámenes'!C641="",'Base Exámenes'!D641=""),"",IF(COUNTIF('Base Exámenes'!$C$5:C641,'Base Exámenes'!C641)=1,'Base Exámenes'!D641+ROW()/1000000000,""))</f>
        <v/>
      </c>
      <c r="AL641" t="str">
        <f>IF(OR('Base Exámenes'!C641="",'Base Exámenes'!E641=""),"",IF(COUNTIF('Base Exámenes'!$C$5:C641,'Base Exámenes'!C641)=1,'Base Exámenes'!E641+ROW()/1000000000,""))</f>
        <v/>
      </c>
      <c r="AM641" t="str">
        <f>IF(OR('Base Exámenes'!C641="",'Base Exámenes'!G641=""),"",IF(ROW()-4=MATCH('Base Exámenes'!C641&amp;"|"&amp;_xlfn.MAXIFS('Base Exámenes'!$G$5:$G$1000,'Base Exámenes'!$C$5:$C$1000,'Base Exámenes'!C641),'Base Exámenes'!$I$5:$I$1000,0),'Base Exámenes'!G641*1000000+(-1)*'Base Exámenes'!D641,""))</f>
        <v/>
      </c>
      <c r="AQ641" t="str">
        <f>IF('Base Exámenes'!C641="","",IF(COUNTIF('Base Exámenes'!$C$5:$C$1000,'Base Exámenes'!C641)&lt;2,"",MATCH('Base Exámenes'!C641,'Base Exámenes'!$C$5:$C$1000,0)*10000+ROW()))</f>
        <v/>
      </c>
    </row>
    <row r="642">
      <c r="Z642" t="str">
        <f>IF('Detalle individual'!A642="","",IF(AND(OR('Estado por Colaborador'!$D$4="Todas las gerencias",'Detalle individual'!D642='Estado por Colaborador'!$D$4),OR('Estado por Colaborador'!$D$5="Todos los departamentos",TRIM('Detalle individual'!C642)='Estado por Colaborador'!$D$5),OR('Estado por Colaborador'!$D$6="Todos",'Detalle individual'!F642='Estado por Colaborador'!$D$6)),IF('Detalle individual'!F642="Completado",30000000,IF('Detalle individual'!F642="Pendiente",0,15000000))+COUNTIF('Detalle individual'!$C$5:$C$1000,"&lt;"&amp;'Detalle individual'!C642)*10000+ROW(),""))</f>
        <v/>
      </c>
      <c r="AB642" t="str">
        <f>IF('Detalle individual'!C642="","",IF(COUNTIF('Detalle individual'!$C$5:C642,'Detalle individual'!C642)=1,COUNTIF('Detalle individual'!$C$5:$C$1000,"&lt;"&amp;'Detalle individual'!C642),""))</f>
        <v/>
      </c>
      <c r="AC642" t="str">
        <f>IF('Detalle individual'!D642="","",IF(COUNTIF('Detalle individual'!$D$5:D642,'Detalle individual'!D642)=1,COUNTIF('Detalle individual'!$D$5:$D$1000,"&lt;"&amp;'Detalle individual'!D642),""))</f>
        <v/>
      </c>
      <c r="AH642" t="str">
        <f>IF('Detalle individual'!F642="Pendiente",COUNTIF('Detalle individual'!$D$5:$D$1000,"&lt;"&amp;'Detalle individual'!D642)*1000000+COUNTIF('Detalle individual'!$C$5:$C$1000,"&lt;"&amp;'Detalle individual'!C642)*1000+COUNTIF('Detalle individual'!$B$5:$B$1000,"&lt;"&amp;'Detalle individual'!B642)+ROW()/10000,"")</f>
        <v/>
      </c>
      <c r="AI642" t="str">
        <f>IF('Detalle individual'!F642="Completado",COUNTIF('Detalle individual'!$D$5:$D$1000,"&lt;"&amp;'Detalle individual'!D642)*1000000+COUNTIF('Detalle individual'!$C$5:$C$1000,"&lt;"&amp;'Detalle individual'!C642)*1000+COUNTIF('Detalle individual'!$B$5:$B$1000,"&lt;"&amp;'Detalle individual'!B642)+ROW()/10000,"")</f>
        <v/>
      </c>
      <c r="AJ642" t="str">
        <f>IF(AND('Detalle individual'!F642&lt;&gt;"",'Detalle individual'!F642&lt;&gt;"Completado",'Detalle individual'!F642&lt;&gt;"Pendiente"),COUNTIF('Detalle individual'!$D$5:$D$1000,"&lt;"&amp;'Detalle individual'!D642)*1000000+COUNTIF('Detalle individual'!$C$5:$C$1000,"&lt;"&amp;'Detalle individual'!C642)*1000+COUNTIF('Detalle individual'!$B$5:$B$1000,"&lt;"&amp;'Detalle individual'!B642)+ROW()/10000,"")</f>
        <v/>
      </c>
      <c r="AK642" t="str">
        <f>IF(OR('Base Exámenes'!C642="",'Base Exámenes'!D642=""),"",IF(COUNTIF('Base Exámenes'!$C$5:C642,'Base Exámenes'!C642)=1,'Base Exámenes'!D642+ROW()/1000000000,""))</f>
        <v/>
      </c>
      <c r="AL642" t="str">
        <f>IF(OR('Base Exámenes'!C642="",'Base Exámenes'!E642=""),"",IF(COUNTIF('Base Exámenes'!$C$5:C642,'Base Exámenes'!C642)=1,'Base Exámenes'!E642+ROW()/1000000000,""))</f>
        <v/>
      </c>
      <c r="AM642" t="str">
        <f>IF(OR('Base Exámenes'!C642="",'Base Exámenes'!G642=""),"",IF(ROW()-4=MATCH('Base Exámenes'!C642&amp;"|"&amp;_xlfn.MAXIFS('Base Exámenes'!$G$5:$G$1000,'Base Exámenes'!$C$5:$C$1000,'Base Exámenes'!C642),'Base Exámenes'!$I$5:$I$1000,0),'Base Exámenes'!G642*1000000+(-1)*'Base Exámenes'!D642,""))</f>
        <v/>
      </c>
      <c r="AQ642" t="str">
        <f>IF('Base Exámenes'!C642="","",IF(COUNTIF('Base Exámenes'!$C$5:$C$1000,'Base Exámenes'!C642)&lt;2,"",MATCH('Base Exámenes'!C642,'Base Exámenes'!$C$5:$C$1000,0)*10000+ROW()))</f>
        <v/>
      </c>
    </row>
    <row r="643">
      <c r="Z643" t="str">
        <f>IF('Detalle individual'!A643="","",IF(AND(OR('Estado por Colaborador'!$D$4="Todas las gerencias",'Detalle individual'!D643='Estado por Colaborador'!$D$4),OR('Estado por Colaborador'!$D$5="Todos los departamentos",TRIM('Detalle individual'!C643)='Estado por Colaborador'!$D$5),OR('Estado por Colaborador'!$D$6="Todos",'Detalle individual'!F643='Estado por Colaborador'!$D$6)),IF('Detalle individual'!F643="Completado",30000000,IF('Detalle individual'!F643="Pendiente",0,15000000))+COUNTIF('Detalle individual'!$C$5:$C$1000,"&lt;"&amp;'Detalle individual'!C643)*10000+ROW(),""))</f>
        <v/>
      </c>
      <c r="AB643" t="str">
        <f>IF('Detalle individual'!C643="","",IF(COUNTIF('Detalle individual'!$C$5:C643,'Detalle individual'!C643)=1,COUNTIF('Detalle individual'!$C$5:$C$1000,"&lt;"&amp;'Detalle individual'!C643),""))</f>
        <v/>
      </c>
      <c r="AC643" t="str">
        <f>IF('Detalle individual'!D643="","",IF(COUNTIF('Detalle individual'!$D$5:D643,'Detalle individual'!D643)=1,COUNTIF('Detalle individual'!$D$5:$D$1000,"&lt;"&amp;'Detalle individual'!D643),""))</f>
        <v/>
      </c>
      <c r="AH643" t="str">
        <f>IF('Detalle individual'!F643="Pendiente",COUNTIF('Detalle individual'!$D$5:$D$1000,"&lt;"&amp;'Detalle individual'!D643)*1000000+COUNTIF('Detalle individual'!$C$5:$C$1000,"&lt;"&amp;'Detalle individual'!C643)*1000+COUNTIF('Detalle individual'!$B$5:$B$1000,"&lt;"&amp;'Detalle individual'!B643)+ROW()/10000,"")</f>
        <v/>
      </c>
      <c r="AI643" t="str">
        <f>IF('Detalle individual'!F643="Completado",COUNTIF('Detalle individual'!$D$5:$D$1000,"&lt;"&amp;'Detalle individual'!D643)*1000000+COUNTIF('Detalle individual'!$C$5:$C$1000,"&lt;"&amp;'Detalle individual'!C643)*1000+COUNTIF('Detalle individual'!$B$5:$B$1000,"&lt;"&amp;'Detalle individual'!B643)+ROW()/10000,"")</f>
        <v/>
      </c>
      <c r="AJ643" t="str">
        <f>IF(AND('Detalle individual'!F643&lt;&gt;"",'Detalle individual'!F643&lt;&gt;"Completado",'Detalle individual'!F643&lt;&gt;"Pendiente"),COUNTIF('Detalle individual'!$D$5:$D$1000,"&lt;"&amp;'Detalle individual'!D643)*1000000+COUNTIF('Detalle individual'!$C$5:$C$1000,"&lt;"&amp;'Detalle individual'!C643)*1000+COUNTIF('Detalle individual'!$B$5:$B$1000,"&lt;"&amp;'Detalle individual'!B643)+ROW()/10000,"")</f>
        <v/>
      </c>
      <c r="AK643" t="str">
        <f>IF(OR('Base Exámenes'!C643="",'Base Exámenes'!D643=""),"",IF(COUNTIF('Base Exámenes'!$C$5:C643,'Base Exámenes'!C643)=1,'Base Exámenes'!D643+ROW()/1000000000,""))</f>
        <v/>
      </c>
      <c r="AL643" t="str">
        <f>IF(OR('Base Exámenes'!C643="",'Base Exámenes'!E643=""),"",IF(COUNTIF('Base Exámenes'!$C$5:C643,'Base Exámenes'!C643)=1,'Base Exámenes'!E643+ROW()/1000000000,""))</f>
        <v/>
      </c>
      <c r="AM643" t="str">
        <f>IF(OR('Base Exámenes'!C643="",'Base Exámenes'!G643=""),"",IF(ROW()-4=MATCH('Base Exámenes'!C643&amp;"|"&amp;_xlfn.MAXIFS('Base Exámenes'!$G$5:$G$1000,'Base Exámenes'!$C$5:$C$1000,'Base Exámenes'!C643),'Base Exámenes'!$I$5:$I$1000,0),'Base Exámenes'!G643*1000000+(-1)*'Base Exámenes'!D643,""))</f>
        <v/>
      </c>
      <c r="AQ643" t="str">
        <f>IF('Base Exámenes'!C643="","",IF(COUNTIF('Base Exámenes'!$C$5:$C$1000,'Base Exámenes'!C643)&lt;2,"",MATCH('Base Exámenes'!C643,'Base Exámenes'!$C$5:$C$1000,0)*10000+ROW()))</f>
        <v/>
      </c>
    </row>
    <row r="644">
      <c r="Z644" t="str">
        <f>IF('Detalle individual'!A644="","",IF(AND(OR('Estado por Colaborador'!$D$4="Todas las gerencias",'Detalle individual'!D644='Estado por Colaborador'!$D$4),OR('Estado por Colaborador'!$D$5="Todos los departamentos",TRIM('Detalle individual'!C644)='Estado por Colaborador'!$D$5),OR('Estado por Colaborador'!$D$6="Todos",'Detalle individual'!F644='Estado por Colaborador'!$D$6)),IF('Detalle individual'!F644="Completado",30000000,IF('Detalle individual'!F644="Pendiente",0,15000000))+COUNTIF('Detalle individual'!$C$5:$C$1000,"&lt;"&amp;'Detalle individual'!C644)*10000+ROW(),""))</f>
        <v/>
      </c>
      <c r="AB644" t="str">
        <f>IF('Detalle individual'!C644="","",IF(COUNTIF('Detalle individual'!$C$5:C644,'Detalle individual'!C644)=1,COUNTIF('Detalle individual'!$C$5:$C$1000,"&lt;"&amp;'Detalle individual'!C644),""))</f>
        <v/>
      </c>
      <c r="AC644" t="str">
        <f>IF('Detalle individual'!D644="","",IF(COUNTIF('Detalle individual'!$D$5:D644,'Detalle individual'!D644)=1,COUNTIF('Detalle individual'!$D$5:$D$1000,"&lt;"&amp;'Detalle individual'!D644),""))</f>
        <v/>
      </c>
      <c r="AH644" t="str">
        <f>IF('Detalle individual'!F644="Pendiente",COUNTIF('Detalle individual'!$D$5:$D$1000,"&lt;"&amp;'Detalle individual'!D644)*1000000+COUNTIF('Detalle individual'!$C$5:$C$1000,"&lt;"&amp;'Detalle individual'!C644)*1000+COUNTIF('Detalle individual'!$B$5:$B$1000,"&lt;"&amp;'Detalle individual'!B644)+ROW()/10000,"")</f>
        <v/>
      </c>
      <c r="AI644" t="str">
        <f>IF('Detalle individual'!F644="Completado",COUNTIF('Detalle individual'!$D$5:$D$1000,"&lt;"&amp;'Detalle individual'!D644)*1000000+COUNTIF('Detalle individual'!$C$5:$C$1000,"&lt;"&amp;'Detalle individual'!C644)*1000+COUNTIF('Detalle individual'!$B$5:$B$1000,"&lt;"&amp;'Detalle individual'!B644)+ROW()/10000,"")</f>
        <v/>
      </c>
      <c r="AJ644" t="str">
        <f>IF(AND('Detalle individual'!F644&lt;&gt;"",'Detalle individual'!F644&lt;&gt;"Completado",'Detalle individual'!F644&lt;&gt;"Pendiente"),COUNTIF('Detalle individual'!$D$5:$D$1000,"&lt;"&amp;'Detalle individual'!D644)*1000000+COUNTIF('Detalle individual'!$C$5:$C$1000,"&lt;"&amp;'Detalle individual'!C644)*1000+COUNTIF('Detalle individual'!$B$5:$B$1000,"&lt;"&amp;'Detalle individual'!B644)+ROW()/10000,"")</f>
        <v/>
      </c>
      <c r="AK644" t="str">
        <f>IF(OR('Base Exámenes'!C644="",'Base Exámenes'!D644=""),"",IF(COUNTIF('Base Exámenes'!$C$5:C644,'Base Exámenes'!C644)=1,'Base Exámenes'!D644+ROW()/1000000000,""))</f>
        <v/>
      </c>
      <c r="AL644" t="str">
        <f>IF(OR('Base Exámenes'!C644="",'Base Exámenes'!E644=""),"",IF(COUNTIF('Base Exámenes'!$C$5:C644,'Base Exámenes'!C644)=1,'Base Exámenes'!E644+ROW()/1000000000,""))</f>
        <v/>
      </c>
      <c r="AM644" t="str">
        <f>IF(OR('Base Exámenes'!C644="",'Base Exámenes'!G644=""),"",IF(ROW()-4=MATCH('Base Exámenes'!C644&amp;"|"&amp;_xlfn.MAXIFS('Base Exámenes'!$G$5:$G$1000,'Base Exámenes'!$C$5:$C$1000,'Base Exámenes'!C644),'Base Exámenes'!$I$5:$I$1000,0),'Base Exámenes'!G644*1000000+(-1)*'Base Exámenes'!D644,""))</f>
        <v/>
      </c>
      <c r="AQ644" t="str">
        <f>IF('Base Exámenes'!C644="","",IF(COUNTIF('Base Exámenes'!$C$5:$C$1000,'Base Exámenes'!C644)&lt;2,"",MATCH('Base Exámenes'!C644,'Base Exámenes'!$C$5:$C$1000,0)*10000+ROW()))</f>
        <v/>
      </c>
    </row>
    <row r="645">
      <c r="Z645" t="str">
        <f>IF('Detalle individual'!A645="","",IF(AND(OR('Estado por Colaborador'!$D$4="Todas las gerencias",'Detalle individual'!D645='Estado por Colaborador'!$D$4),OR('Estado por Colaborador'!$D$5="Todos los departamentos",TRIM('Detalle individual'!C645)='Estado por Colaborador'!$D$5),OR('Estado por Colaborador'!$D$6="Todos",'Detalle individual'!F645='Estado por Colaborador'!$D$6)),IF('Detalle individual'!F645="Completado",30000000,IF('Detalle individual'!F645="Pendiente",0,15000000))+COUNTIF('Detalle individual'!$C$5:$C$1000,"&lt;"&amp;'Detalle individual'!C645)*10000+ROW(),""))</f>
        <v/>
      </c>
      <c r="AB645" t="str">
        <f>IF('Detalle individual'!C645="","",IF(COUNTIF('Detalle individual'!$C$5:C645,'Detalle individual'!C645)=1,COUNTIF('Detalle individual'!$C$5:$C$1000,"&lt;"&amp;'Detalle individual'!C645),""))</f>
        <v/>
      </c>
      <c r="AC645" t="str">
        <f>IF('Detalle individual'!D645="","",IF(COUNTIF('Detalle individual'!$D$5:D645,'Detalle individual'!D645)=1,COUNTIF('Detalle individual'!$D$5:$D$1000,"&lt;"&amp;'Detalle individual'!D645),""))</f>
        <v/>
      </c>
      <c r="AH645" t="str">
        <f>IF('Detalle individual'!F645="Pendiente",COUNTIF('Detalle individual'!$D$5:$D$1000,"&lt;"&amp;'Detalle individual'!D645)*1000000+COUNTIF('Detalle individual'!$C$5:$C$1000,"&lt;"&amp;'Detalle individual'!C645)*1000+COUNTIF('Detalle individual'!$B$5:$B$1000,"&lt;"&amp;'Detalle individual'!B645)+ROW()/10000,"")</f>
        <v/>
      </c>
      <c r="AI645" t="str">
        <f>IF('Detalle individual'!F645="Completado",COUNTIF('Detalle individual'!$D$5:$D$1000,"&lt;"&amp;'Detalle individual'!D645)*1000000+COUNTIF('Detalle individual'!$C$5:$C$1000,"&lt;"&amp;'Detalle individual'!C645)*1000+COUNTIF('Detalle individual'!$B$5:$B$1000,"&lt;"&amp;'Detalle individual'!B645)+ROW()/10000,"")</f>
        <v/>
      </c>
      <c r="AJ645" t="str">
        <f>IF(AND('Detalle individual'!F645&lt;&gt;"",'Detalle individual'!F645&lt;&gt;"Completado",'Detalle individual'!F645&lt;&gt;"Pendiente"),COUNTIF('Detalle individual'!$D$5:$D$1000,"&lt;"&amp;'Detalle individual'!D645)*1000000+COUNTIF('Detalle individual'!$C$5:$C$1000,"&lt;"&amp;'Detalle individual'!C645)*1000+COUNTIF('Detalle individual'!$B$5:$B$1000,"&lt;"&amp;'Detalle individual'!B645)+ROW()/10000,"")</f>
        <v/>
      </c>
      <c r="AK645" t="str">
        <f>IF(OR('Base Exámenes'!C645="",'Base Exámenes'!D645=""),"",IF(COUNTIF('Base Exámenes'!$C$5:C645,'Base Exámenes'!C645)=1,'Base Exámenes'!D645+ROW()/1000000000,""))</f>
        <v/>
      </c>
      <c r="AL645" t="str">
        <f>IF(OR('Base Exámenes'!C645="",'Base Exámenes'!E645=""),"",IF(COUNTIF('Base Exámenes'!$C$5:C645,'Base Exámenes'!C645)=1,'Base Exámenes'!E645+ROW()/1000000000,""))</f>
        <v/>
      </c>
      <c r="AM645" t="str">
        <f>IF(OR('Base Exámenes'!C645="",'Base Exámenes'!G645=""),"",IF(ROW()-4=MATCH('Base Exámenes'!C645&amp;"|"&amp;_xlfn.MAXIFS('Base Exámenes'!$G$5:$G$1000,'Base Exámenes'!$C$5:$C$1000,'Base Exámenes'!C645),'Base Exámenes'!$I$5:$I$1000,0),'Base Exámenes'!G645*1000000+(-1)*'Base Exámenes'!D645,""))</f>
        <v/>
      </c>
      <c r="AQ645" t="str">
        <f>IF('Base Exámenes'!C645="","",IF(COUNTIF('Base Exámenes'!$C$5:$C$1000,'Base Exámenes'!C645)&lt;2,"",MATCH('Base Exámenes'!C645,'Base Exámenes'!$C$5:$C$1000,0)*10000+ROW()))</f>
        <v/>
      </c>
    </row>
    <row r="646">
      <c r="Z646" t="str">
        <f>IF('Detalle individual'!A646="","",IF(AND(OR('Estado por Colaborador'!$D$4="Todas las gerencias",'Detalle individual'!D646='Estado por Colaborador'!$D$4),OR('Estado por Colaborador'!$D$5="Todos los departamentos",TRIM('Detalle individual'!C646)='Estado por Colaborador'!$D$5),OR('Estado por Colaborador'!$D$6="Todos",'Detalle individual'!F646='Estado por Colaborador'!$D$6)),IF('Detalle individual'!F646="Completado",30000000,IF('Detalle individual'!F646="Pendiente",0,15000000))+COUNTIF('Detalle individual'!$C$5:$C$1000,"&lt;"&amp;'Detalle individual'!C646)*10000+ROW(),""))</f>
        <v/>
      </c>
      <c r="AB646" t="str">
        <f>IF('Detalle individual'!C646="","",IF(COUNTIF('Detalle individual'!$C$5:C646,'Detalle individual'!C646)=1,COUNTIF('Detalle individual'!$C$5:$C$1000,"&lt;"&amp;'Detalle individual'!C646),""))</f>
        <v/>
      </c>
      <c r="AC646" t="str">
        <f>IF('Detalle individual'!D646="","",IF(COUNTIF('Detalle individual'!$D$5:D646,'Detalle individual'!D646)=1,COUNTIF('Detalle individual'!$D$5:$D$1000,"&lt;"&amp;'Detalle individual'!D646),""))</f>
        <v/>
      </c>
      <c r="AH646" t="str">
        <f>IF('Detalle individual'!F646="Pendiente",COUNTIF('Detalle individual'!$D$5:$D$1000,"&lt;"&amp;'Detalle individual'!D646)*1000000+COUNTIF('Detalle individual'!$C$5:$C$1000,"&lt;"&amp;'Detalle individual'!C646)*1000+COUNTIF('Detalle individual'!$B$5:$B$1000,"&lt;"&amp;'Detalle individual'!B646)+ROW()/10000,"")</f>
        <v/>
      </c>
      <c r="AI646" t="str">
        <f>IF('Detalle individual'!F646="Completado",COUNTIF('Detalle individual'!$D$5:$D$1000,"&lt;"&amp;'Detalle individual'!D646)*1000000+COUNTIF('Detalle individual'!$C$5:$C$1000,"&lt;"&amp;'Detalle individual'!C646)*1000+COUNTIF('Detalle individual'!$B$5:$B$1000,"&lt;"&amp;'Detalle individual'!B646)+ROW()/10000,"")</f>
        <v/>
      </c>
      <c r="AJ646" t="str">
        <f>IF(AND('Detalle individual'!F646&lt;&gt;"",'Detalle individual'!F646&lt;&gt;"Completado",'Detalle individual'!F646&lt;&gt;"Pendiente"),COUNTIF('Detalle individual'!$D$5:$D$1000,"&lt;"&amp;'Detalle individual'!D646)*1000000+COUNTIF('Detalle individual'!$C$5:$C$1000,"&lt;"&amp;'Detalle individual'!C646)*1000+COUNTIF('Detalle individual'!$B$5:$B$1000,"&lt;"&amp;'Detalle individual'!B646)+ROW()/10000,"")</f>
        <v/>
      </c>
      <c r="AK646" t="str">
        <f>IF(OR('Base Exámenes'!C646="",'Base Exámenes'!D646=""),"",IF(COUNTIF('Base Exámenes'!$C$5:C646,'Base Exámenes'!C646)=1,'Base Exámenes'!D646+ROW()/1000000000,""))</f>
        <v/>
      </c>
      <c r="AL646" t="str">
        <f>IF(OR('Base Exámenes'!C646="",'Base Exámenes'!E646=""),"",IF(COUNTIF('Base Exámenes'!$C$5:C646,'Base Exámenes'!C646)=1,'Base Exámenes'!E646+ROW()/1000000000,""))</f>
        <v/>
      </c>
      <c r="AM646" t="str">
        <f>IF(OR('Base Exámenes'!C646="",'Base Exámenes'!G646=""),"",IF(ROW()-4=MATCH('Base Exámenes'!C646&amp;"|"&amp;_xlfn.MAXIFS('Base Exámenes'!$G$5:$G$1000,'Base Exámenes'!$C$5:$C$1000,'Base Exámenes'!C646),'Base Exámenes'!$I$5:$I$1000,0),'Base Exámenes'!G646*1000000+(-1)*'Base Exámenes'!D646,""))</f>
        <v/>
      </c>
      <c r="AQ646" t="str">
        <f>IF('Base Exámenes'!C646="","",IF(COUNTIF('Base Exámenes'!$C$5:$C$1000,'Base Exámenes'!C646)&lt;2,"",MATCH('Base Exámenes'!C646,'Base Exámenes'!$C$5:$C$1000,0)*10000+ROW()))</f>
        <v/>
      </c>
    </row>
    <row r="647">
      <c r="Z647" t="str">
        <f>IF('Detalle individual'!A647="","",IF(AND(OR('Estado por Colaborador'!$D$4="Todas las gerencias",'Detalle individual'!D647='Estado por Colaborador'!$D$4),OR('Estado por Colaborador'!$D$5="Todos los departamentos",TRIM('Detalle individual'!C647)='Estado por Colaborador'!$D$5),OR('Estado por Colaborador'!$D$6="Todos",'Detalle individual'!F647='Estado por Colaborador'!$D$6)),IF('Detalle individual'!F647="Completado",30000000,IF('Detalle individual'!F647="Pendiente",0,15000000))+COUNTIF('Detalle individual'!$C$5:$C$1000,"&lt;"&amp;'Detalle individual'!C647)*10000+ROW(),""))</f>
        <v/>
      </c>
      <c r="AB647" t="str">
        <f>IF('Detalle individual'!C647="","",IF(COUNTIF('Detalle individual'!$C$5:C647,'Detalle individual'!C647)=1,COUNTIF('Detalle individual'!$C$5:$C$1000,"&lt;"&amp;'Detalle individual'!C647),""))</f>
        <v/>
      </c>
      <c r="AC647" t="str">
        <f>IF('Detalle individual'!D647="","",IF(COUNTIF('Detalle individual'!$D$5:D647,'Detalle individual'!D647)=1,COUNTIF('Detalle individual'!$D$5:$D$1000,"&lt;"&amp;'Detalle individual'!D647),""))</f>
        <v/>
      </c>
      <c r="AH647" t="str">
        <f>IF('Detalle individual'!F647="Pendiente",COUNTIF('Detalle individual'!$D$5:$D$1000,"&lt;"&amp;'Detalle individual'!D647)*1000000+COUNTIF('Detalle individual'!$C$5:$C$1000,"&lt;"&amp;'Detalle individual'!C647)*1000+COUNTIF('Detalle individual'!$B$5:$B$1000,"&lt;"&amp;'Detalle individual'!B647)+ROW()/10000,"")</f>
        <v/>
      </c>
      <c r="AI647" t="str">
        <f>IF('Detalle individual'!F647="Completado",COUNTIF('Detalle individual'!$D$5:$D$1000,"&lt;"&amp;'Detalle individual'!D647)*1000000+COUNTIF('Detalle individual'!$C$5:$C$1000,"&lt;"&amp;'Detalle individual'!C647)*1000+COUNTIF('Detalle individual'!$B$5:$B$1000,"&lt;"&amp;'Detalle individual'!B647)+ROW()/10000,"")</f>
        <v/>
      </c>
      <c r="AJ647" t="str">
        <f>IF(AND('Detalle individual'!F647&lt;&gt;"",'Detalle individual'!F647&lt;&gt;"Completado",'Detalle individual'!F647&lt;&gt;"Pendiente"),COUNTIF('Detalle individual'!$D$5:$D$1000,"&lt;"&amp;'Detalle individual'!D647)*1000000+COUNTIF('Detalle individual'!$C$5:$C$1000,"&lt;"&amp;'Detalle individual'!C647)*1000+COUNTIF('Detalle individual'!$B$5:$B$1000,"&lt;"&amp;'Detalle individual'!B647)+ROW()/10000,"")</f>
        <v/>
      </c>
      <c r="AK647" t="str">
        <f>IF(OR('Base Exámenes'!C647="",'Base Exámenes'!D647=""),"",IF(COUNTIF('Base Exámenes'!$C$5:C647,'Base Exámenes'!C647)=1,'Base Exámenes'!D647+ROW()/1000000000,""))</f>
        <v/>
      </c>
      <c r="AL647" t="str">
        <f>IF(OR('Base Exámenes'!C647="",'Base Exámenes'!E647=""),"",IF(COUNTIF('Base Exámenes'!$C$5:C647,'Base Exámenes'!C647)=1,'Base Exámenes'!E647+ROW()/1000000000,""))</f>
        <v/>
      </c>
      <c r="AM647" t="str">
        <f>IF(OR('Base Exámenes'!C647="",'Base Exámenes'!G647=""),"",IF(ROW()-4=MATCH('Base Exámenes'!C647&amp;"|"&amp;_xlfn.MAXIFS('Base Exámenes'!$G$5:$G$1000,'Base Exámenes'!$C$5:$C$1000,'Base Exámenes'!C647),'Base Exámenes'!$I$5:$I$1000,0),'Base Exámenes'!G647*1000000+(-1)*'Base Exámenes'!D647,""))</f>
        <v/>
      </c>
      <c r="AQ647" t="str">
        <f>IF('Base Exámenes'!C647="","",IF(COUNTIF('Base Exámenes'!$C$5:$C$1000,'Base Exámenes'!C647)&lt;2,"",MATCH('Base Exámenes'!C647,'Base Exámenes'!$C$5:$C$1000,0)*10000+ROW()))</f>
        <v/>
      </c>
    </row>
    <row r="648">
      <c r="Z648" t="str">
        <f>IF('Detalle individual'!A648="","",IF(AND(OR('Estado por Colaborador'!$D$4="Todas las gerencias",'Detalle individual'!D648='Estado por Colaborador'!$D$4),OR('Estado por Colaborador'!$D$5="Todos los departamentos",TRIM('Detalle individual'!C648)='Estado por Colaborador'!$D$5),OR('Estado por Colaborador'!$D$6="Todos",'Detalle individual'!F648='Estado por Colaborador'!$D$6)),IF('Detalle individual'!F648="Completado",30000000,IF('Detalle individual'!F648="Pendiente",0,15000000))+COUNTIF('Detalle individual'!$C$5:$C$1000,"&lt;"&amp;'Detalle individual'!C648)*10000+ROW(),""))</f>
        <v/>
      </c>
      <c r="AB648" t="str">
        <f>IF('Detalle individual'!C648="","",IF(COUNTIF('Detalle individual'!$C$5:C648,'Detalle individual'!C648)=1,COUNTIF('Detalle individual'!$C$5:$C$1000,"&lt;"&amp;'Detalle individual'!C648),""))</f>
        <v/>
      </c>
      <c r="AC648" t="str">
        <f>IF('Detalle individual'!D648="","",IF(COUNTIF('Detalle individual'!$D$5:D648,'Detalle individual'!D648)=1,COUNTIF('Detalle individual'!$D$5:$D$1000,"&lt;"&amp;'Detalle individual'!D648),""))</f>
        <v/>
      </c>
      <c r="AH648" t="str">
        <f>IF('Detalle individual'!F648="Pendiente",COUNTIF('Detalle individual'!$D$5:$D$1000,"&lt;"&amp;'Detalle individual'!D648)*1000000+COUNTIF('Detalle individual'!$C$5:$C$1000,"&lt;"&amp;'Detalle individual'!C648)*1000+COUNTIF('Detalle individual'!$B$5:$B$1000,"&lt;"&amp;'Detalle individual'!B648)+ROW()/10000,"")</f>
        <v/>
      </c>
      <c r="AI648" t="str">
        <f>IF('Detalle individual'!F648="Completado",COUNTIF('Detalle individual'!$D$5:$D$1000,"&lt;"&amp;'Detalle individual'!D648)*1000000+COUNTIF('Detalle individual'!$C$5:$C$1000,"&lt;"&amp;'Detalle individual'!C648)*1000+COUNTIF('Detalle individual'!$B$5:$B$1000,"&lt;"&amp;'Detalle individual'!B648)+ROW()/10000,"")</f>
        <v/>
      </c>
      <c r="AJ648" t="str">
        <f>IF(AND('Detalle individual'!F648&lt;&gt;"",'Detalle individual'!F648&lt;&gt;"Completado",'Detalle individual'!F648&lt;&gt;"Pendiente"),COUNTIF('Detalle individual'!$D$5:$D$1000,"&lt;"&amp;'Detalle individual'!D648)*1000000+COUNTIF('Detalle individual'!$C$5:$C$1000,"&lt;"&amp;'Detalle individual'!C648)*1000+COUNTIF('Detalle individual'!$B$5:$B$1000,"&lt;"&amp;'Detalle individual'!B648)+ROW()/10000,"")</f>
        <v/>
      </c>
      <c r="AK648" t="str">
        <f>IF(OR('Base Exámenes'!C648="",'Base Exámenes'!D648=""),"",IF(COUNTIF('Base Exámenes'!$C$5:C648,'Base Exámenes'!C648)=1,'Base Exámenes'!D648+ROW()/1000000000,""))</f>
        <v/>
      </c>
      <c r="AL648" t="str">
        <f>IF(OR('Base Exámenes'!C648="",'Base Exámenes'!E648=""),"",IF(COUNTIF('Base Exámenes'!$C$5:C648,'Base Exámenes'!C648)=1,'Base Exámenes'!E648+ROW()/1000000000,""))</f>
        <v/>
      </c>
      <c r="AM648" t="str">
        <f>IF(OR('Base Exámenes'!C648="",'Base Exámenes'!G648=""),"",IF(ROW()-4=MATCH('Base Exámenes'!C648&amp;"|"&amp;_xlfn.MAXIFS('Base Exámenes'!$G$5:$G$1000,'Base Exámenes'!$C$5:$C$1000,'Base Exámenes'!C648),'Base Exámenes'!$I$5:$I$1000,0),'Base Exámenes'!G648*1000000+(-1)*'Base Exámenes'!D648,""))</f>
        <v/>
      </c>
      <c r="AQ648" t="str">
        <f>IF('Base Exámenes'!C648="","",IF(COUNTIF('Base Exámenes'!$C$5:$C$1000,'Base Exámenes'!C648)&lt;2,"",MATCH('Base Exámenes'!C648,'Base Exámenes'!$C$5:$C$1000,0)*10000+ROW()))</f>
        <v/>
      </c>
    </row>
    <row r="649">
      <c r="Z649" t="str">
        <f>IF('Detalle individual'!A649="","",IF(AND(OR('Estado por Colaborador'!$D$4="Todas las gerencias",'Detalle individual'!D649='Estado por Colaborador'!$D$4),OR('Estado por Colaborador'!$D$5="Todos los departamentos",TRIM('Detalle individual'!C649)='Estado por Colaborador'!$D$5),OR('Estado por Colaborador'!$D$6="Todos",'Detalle individual'!F649='Estado por Colaborador'!$D$6)),IF('Detalle individual'!F649="Completado",30000000,IF('Detalle individual'!F649="Pendiente",0,15000000))+COUNTIF('Detalle individual'!$C$5:$C$1000,"&lt;"&amp;'Detalle individual'!C649)*10000+ROW(),""))</f>
        <v/>
      </c>
      <c r="AB649" t="str">
        <f>IF('Detalle individual'!C649="","",IF(COUNTIF('Detalle individual'!$C$5:C649,'Detalle individual'!C649)=1,COUNTIF('Detalle individual'!$C$5:$C$1000,"&lt;"&amp;'Detalle individual'!C649),""))</f>
        <v/>
      </c>
      <c r="AC649" t="str">
        <f>IF('Detalle individual'!D649="","",IF(COUNTIF('Detalle individual'!$D$5:D649,'Detalle individual'!D649)=1,COUNTIF('Detalle individual'!$D$5:$D$1000,"&lt;"&amp;'Detalle individual'!D649),""))</f>
        <v/>
      </c>
      <c r="AH649" t="str">
        <f>IF('Detalle individual'!F649="Pendiente",COUNTIF('Detalle individual'!$D$5:$D$1000,"&lt;"&amp;'Detalle individual'!D649)*1000000+COUNTIF('Detalle individual'!$C$5:$C$1000,"&lt;"&amp;'Detalle individual'!C649)*1000+COUNTIF('Detalle individual'!$B$5:$B$1000,"&lt;"&amp;'Detalle individual'!B649)+ROW()/10000,"")</f>
        <v/>
      </c>
      <c r="AI649" t="str">
        <f>IF('Detalle individual'!F649="Completado",COUNTIF('Detalle individual'!$D$5:$D$1000,"&lt;"&amp;'Detalle individual'!D649)*1000000+COUNTIF('Detalle individual'!$C$5:$C$1000,"&lt;"&amp;'Detalle individual'!C649)*1000+COUNTIF('Detalle individual'!$B$5:$B$1000,"&lt;"&amp;'Detalle individual'!B649)+ROW()/10000,"")</f>
        <v/>
      </c>
      <c r="AJ649" t="str">
        <f>IF(AND('Detalle individual'!F649&lt;&gt;"",'Detalle individual'!F649&lt;&gt;"Completado",'Detalle individual'!F649&lt;&gt;"Pendiente"),COUNTIF('Detalle individual'!$D$5:$D$1000,"&lt;"&amp;'Detalle individual'!D649)*1000000+COUNTIF('Detalle individual'!$C$5:$C$1000,"&lt;"&amp;'Detalle individual'!C649)*1000+COUNTIF('Detalle individual'!$B$5:$B$1000,"&lt;"&amp;'Detalle individual'!B649)+ROW()/10000,"")</f>
        <v/>
      </c>
      <c r="AK649" t="str">
        <f>IF(OR('Base Exámenes'!C649="",'Base Exámenes'!D649=""),"",IF(COUNTIF('Base Exámenes'!$C$5:C649,'Base Exámenes'!C649)=1,'Base Exámenes'!D649+ROW()/1000000000,""))</f>
        <v/>
      </c>
      <c r="AL649" t="str">
        <f>IF(OR('Base Exámenes'!C649="",'Base Exámenes'!E649=""),"",IF(COUNTIF('Base Exámenes'!$C$5:C649,'Base Exámenes'!C649)=1,'Base Exámenes'!E649+ROW()/1000000000,""))</f>
        <v/>
      </c>
      <c r="AM649" t="str">
        <f>IF(OR('Base Exámenes'!C649="",'Base Exámenes'!G649=""),"",IF(ROW()-4=MATCH('Base Exámenes'!C649&amp;"|"&amp;_xlfn.MAXIFS('Base Exámenes'!$G$5:$G$1000,'Base Exámenes'!$C$5:$C$1000,'Base Exámenes'!C649),'Base Exámenes'!$I$5:$I$1000,0),'Base Exámenes'!G649*1000000+(-1)*'Base Exámenes'!D649,""))</f>
        <v/>
      </c>
      <c r="AQ649" t="str">
        <f>IF('Base Exámenes'!C649="","",IF(COUNTIF('Base Exámenes'!$C$5:$C$1000,'Base Exámenes'!C649)&lt;2,"",MATCH('Base Exámenes'!C649,'Base Exámenes'!$C$5:$C$1000,0)*10000+ROW()))</f>
        <v/>
      </c>
    </row>
    <row r="650">
      <c r="Z650" t="str">
        <f>IF('Detalle individual'!A650="","",IF(AND(OR('Estado por Colaborador'!$D$4="Todas las gerencias",'Detalle individual'!D650='Estado por Colaborador'!$D$4),OR('Estado por Colaborador'!$D$5="Todos los departamentos",TRIM('Detalle individual'!C650)='Estado por Colaborador'!$D$5),OR('Estado por Colaborador'!$D$6="Todos",'Detalle individual'!F650='Estado por Colaborador'!$D$6)),IF('Detalle individual'!F650="Completado",30000000,IF('Detalle individual'!F650="Pendiente",0,15000000))+COUNTIF('Detalle individual'!$C$5:$C$1000,"&lt;"&amp;'Detalle individual'!C650)*10000+ROW(),""))</f>
        <v/>
      </c>
      <c r="AB650" t="str">
        <f>IF('Detalle individual'!C650="","",IF(COUNTIF('Detalle individual'!$C$5:C650,'Detalle individual'!C650)=1,COUNTIF('Detalle individual'!$C$5:$C$1000,"&lt;"&amp;'Detalle individual'!C650),""))</f>
        <v/>
      </c>
      <c r="AC650" t="str">
        <f>IF('Detalle individual'!D650="","",IF(COUNTIF('Detalle individual'!$D$5:D650,'Detalle individual'!D650)=1,COUNTIF('Detalle individual'!$D$5:$D$1000,"&lt;"&amp;'Detalle individual'!D650),""))</f>
        <v/>
      </c>
      <c r="AH650" t="str">
        <f>IF('Detalle individual'!F650="Pendiente",COUNTIF('Detalle individual'!$D$5:$D$1000,"&lt;"&amp;'Detalle individual'!D650)*1000000+COUNTIF('Detalle individual'!$C$5:$C$1000,"&lt;"&amp;'Detalle individual'!C650)*1000+COUNTIF('Detalle individual'!$B$5:$B$1000,"&lt;"&amp;'Detalle individual'!B650)+ROW()/10000,"")</f>
        <v/>
      </c>
      <c r="AI650" t="str">
        <f>IF('Detalle individual'!F650="Completado",COUNTIF('Detalle individual'!$D$5:$D$1000,"&lt;"&amp;'Detalle individual'!D650)*1000000+COUNTIF('Detalle individual'!$C$5:$C$1000,"&lt;"&amp;'Detalle individual'!C650)*1000+COUNTIF('Detalle individual'!$B$5:$B$1000,"&lt;"&amp;'Detalle individual'!B650)+ROW()/10000,"")</f>
        <v/>
      </c>
      <c r="AJ650" t="str">
        <f>IF(AND('Detalle individual'!F650&lt;&gt;"",'Detalle individual'!F650&lt;&gt;"Completado",'Detalle individual'!F650&lt;&gt;"Pendiente"),COUNTIF('Detalle individual'!$D$5:$D$1000,"&lt;"&amp;'Detalle individual'!D650)*1000000+COUNTIF('Detalle individual'!$C$5:$C$1000,"&lt;"&amp;'Detalle individual'!C650)*1000+COUNTIF('Detalle individual'!$B$5:$B$1000,"&lt;"&amp;'Detalle individual'!B650)+ROW()/10000,"")</f>
        <v/>
      </c>
      <c r="AK650" t="str">
        <f>IF(OR('Base Exámenes'!C650="",'Base Exámenes'!D650=""),"",IF(COUNTIF('Base Exámenes'!$C$5:C650,'Base Exámenes'!C650)=1,'Base Exámenes'!D650+ROW()/1000000000,""))</f>
        <v/>
      </c>
      <c r="AL650" t="str">
        <f>IF(OR('Base Exámenes'!C650="",'Base Exámenes'!E650=""),"",IF(COUNTIF('Base Exámenes'!$C$5:C650,'Base Exámenes'!C650)=1,'Base Exámenes'!E650+ROW()/1000000000,""))</f>
        <v/>
      </c>
      <c r="AM650" t="str">
        <f>IF(OR('Base Exámenes'!C650="",'Base Exámenes'!G650=""),"",IF(ROW()-4=MATCH('Base Exámenes'!C650&amp;"|"&amp;_xlfn.MAXIFS('Base Exámenes'!$G$5:$G$1000,'Base Exámenes'!$C$5:$C$1000,'Base Exámenes'!C650),'Base Exámenes'!$I$5:$I$1000,0),'Base Exámenes'!G650*1000000+(-1)*'Base Exámenes'!D650,""))</f>
        <v/>
      </c>
      <c r="AQ650" t="str">
        <f>IF('Base Exámenes'!C650="","",IF(COUNTIF('Base Exámenes'!$C$5:$C$1000,'Base Exámenes'!C650)&lt;2,"",MATCH('Base Exámenes'!C650,'Base Exámenes'!$C$5:$C$1000,0)*10000+ROW()))</f>
        <v/>
      </c>
    </row>
    <row r="651">
      <c r="Z651" t="str">
        <f>IF('Detalle individual'!A651="","",IF(AND(OR('Estado por Colaborador'!$D$4="Todas las gerencias",'Detalle individual'!D651='Estado por Colaborador'!$D$4),OR('Estado por Colaborador'!$D$5="Todos los departamentos",TRIM('Detalle individual'!C651)='Estado por Colaborador'!$D$5),OR('Estado por Colaborador'!$D$6="Todos",'Detalle individual'!F651='Estado por Colaborador'!$D$6)),IF('Detalle individual'!F651="Completado",30000000,IF('Detalle individual'!F651="Pendiente",0,15000000))+COUNTIF('Detalle individual'!$C$5:$C$1000,"&lt;"&amp;'Detalle individual'!C651)*10000+ROW(),""))</f>
        <v/>
      </c>
      <c r="AB651" t="str">
        <f>IF('Detalle individual'!C651="","",IF(COUNTIF('Detalle individual'!$C$5:C651,'Detalle individual'!C651)=1,COUNTIF('Detalle individual'!$C$5:$C$1000,"&lt;"&amp;'Detalle individual'!C651),""))</f>
        <v/>
      </c>
      <c r="AC651" t="str">
        <f>IF('Detalle individual'!D651="","",IF(COUNTIF('Detalle individual'!$D$5:D651,'Detalle individual'!D651)=1,COUNTIF('Detalle individual'!$D$5:$D$1000,"&lt;"&amp;'Detalle individual'!D651),""))</f>
        <v/>
      </c>
      <c r="AH651" t="str">
        <f>IF('Detalle individual'!F651="Pendiente",COUNTIF('Detalle individual'!$D$5:$D$1000,"&lt;"&amp;'Detalle individual'!D651)*1000000+COUNTIF('Detalle individual'!$C$5:$C$1000,"&lt;"&amp;'Detalle individual'!C651)*1000+COUNTIF('Detalle individual'!$B$5:$B$1000,"&lt;"&amp;'Detalle individual'!B651)+ROW()/10000,"")</f>
        <v/>
      </c>
      <c r="AI651" t="str">
        <f>IF('Detalle individual'!F651="Completado",COUNTIF('Detalle individual'!$D$5:$D$1000,"&lt;"&amp;'Detalle individual'!D651)*1000000+COUNTIF('Detalle individual'!$C$5:$C$1000,"&lt;"&amp;'Detalle individual'!C651)*1000+COUNTIF('Detalle individual'!$B$5:$B$1000,"&lt;"&amp;'Detalle individual'!B651)+ROW()/10000,"")</f>
        <v/>
      </c>
      <c r="AJ651" t="str">
        <f>IF(AND('Detalle individual'!F651&lt;&gt;"",'Detalle individual'!F651&lt;&gt;"Completado",'Detalle individual'!F651&lt;&gt;"Pendiente"),COUNTIF('Detalle individual'!$D$5:$D$1000,"&lt;"&amp;'Detalle individual'!D651)*1000000+COUNTIF('Detalle individual'!$C$5:$C$1000,"&lt;"&amp;'Detalle individual'!C651)*1000+COUNTIF('Detalle individual'!$B$5:$B$1000,"&lt;"&amp;'Detalle individual'!B651)+ROW()/10000,"")</f>
        <v/>
      </c>
      <c r="AK651" t="str">
        <f>IF(OR('Base Exámenes'!C651="",'Base Exámenes'!D651=""),"",IF(COUNTIF('Base Exámenes'!$C$5:C651,'Base Exámenes'!C651)=1,'Base Exámenes'!D651+ROW()/1000000000,""))</f>
        <v/>
      </c>
      <c r="AL651" t="str">
        <f>IF(OR('Base Exámenes'!C651="",'Base Exámenes'!E651=""),"",IF(COUNTIF('Base Exámenes'!$C$5:C651,'Base Exámenes'!C651)=1,'Base Exámenes'!E651+ROW()/1000000000,""))</f>
        <v/>
      </c>
      <c r="AM651" t="str">
        <f>IF(OR('Base Exámenes'!C651="",'Base Exámenes'!G651=""),"",IF(ROW()-4=MATCH('Base Exámenes'!C651&amp;"|"&amp;_xlfn.MAXIFS('Base Exámenes'!$G$5:$G$1000,'Base Exámenes'!$C$5:$C$1000,'Base Exámenes'!C651),'Base Exámenes'!$I$5:$I$1000,0),'Base Exámenes'!G651*1000000+(-1)*'Base Exámenes'!D651,""))</f>
        <v/>
      </c>
      <c r="AQ651" t="str">
        <f>IF('Base Exámenes'!C651="","",IF(COUNTIF('Base Exámenes'!$C$5:$C$1000,'Base Exámenes'!C651)&lt;2,"",MATCH('Base Exámenes'!C651,'Base Exámenes'!$C$5:$C$1000,0)*10000+ROW()))</f>
        <v/>
      </c>
    </row>
    <row r="652">
      <c r="Z652" t="str">
        <f>IF('Detalle individual'!A652="","",IF(AND(OR('Estado por Colaborador'!$D$4="Todas las gerencias",'Detalle individual'!D652='Estado por Colaborador'!$D$4),OR('Estado por Colaborador'!$D$5="Todos los departamentos",TRIM('Detalle individual'!C652)='Estado por Colaborador'!$D$5),OR('Estado por Colaborador'!$D$6="Todos",'Detalle individual'!F652='Estado por Colaborador'!$D$6)),IF('Detalle individual'!F652="Completado",30000000,IF('Detalle individual'!F652="Pendiente",0,15000000))+COUNTIF('Detalle individual'!$C$5:$C$1000,"&lt;"&amp;'Detalle individual'!C652)*10000+ROW(),""))</f>
        <v/>
      </c>
      <c r="AB652" t="str">
        <f>IF('Detalle individual'!C652="","",IF(COUNTIF('Detalle individual'!$C$5:C652,'Detalle individual'!C652)=1,COUNTIF('Detalle individual'!$C$5:$C$1000,"&lt;"&amp;'Detalle individual'!C652),""))</f>
        <v/>
      </c>
      <c r="AC652" t="str">
        <f>IF('Detalle individual'!D652="","",IF(COUNTIF('Detalle individual'!$D$5:D652,'Detalle individual'!D652)=1,COUNTIF('Detalle individual'!$D$5:$D$1000,"&lt;"&amp;'Detalle individual'!D652),""))</f>
        <v/>
      </c>
      <c r="AH652" t="str">
        <f>IF('Detalle individual'!F652="Pendiente",COUNTIF('Detalle individual'!$D$5:$D$1000,"&lt;"&amp;'Detalle individual'!D652)*1000000+COUNTIF('Detalle individual'!$C$5:$C$1000,"&lt;"&amp;'Detalle individual'!C652)*1000+COUNTIF('Detalle individual'!$B$5:$B$1000,"&lt;"&amp;'Detalle individual'!B652)+ROW()/10000,"")</f>
        <v/>
      </c>
      <c r="AI652" t="str">
        <f>IF('Detalle individual'!F652="Completado",COUNTIF('Detalle individual'!$D$5:$D$1000,"&lt;"&amp;'Detalle individual'!D652)*1000000+COUNTIF('Detalle individual'!$C$5:$C$1000,"&lt;"&amp;'Detalle individual'!C652)*1000+COUNTIF('Detalle individual'!$B$5:$B$1000,"&lt;"&amp;'Detalle individual'!B652)+ROW()/10000,"")</f>
        <v/>
      </c>
      <c r="AJ652" t="str">
        <f>IF(AND('Detalle individual'!F652&lt;&gt;"",'Detalle individual'!F652&lt;&gt;"Completado",'Detalle individual'!F652&lt;&gt;"Pendiente"),COUNTIF('Detalle individual'!$D$5:$D$1000,"&lt;"&amp;'Detalle individual'!D652)*1000000+COUNTIF('Detalle individual'!$C$5:$C$1000,"&lt;"&amp;'Detalle individual'!C652)*1000+COUNTIF('Detalle individual'!$B$5:$B$1000,"&lt;"&amp;'Detalle individual'!B652)+ROW()/10000,"")</f>
        <v/>
      </c>
      <c r="AK652" t="str">
        <f>IF(OR('Base Exámenes'!C652="",'Base Exámenes'!D652=""),"",IF(COUNTIF('Base Exámenes'!$C$5:C652,'Base Exámenes'!C652)=1,'Base Exámenes'!D652+ROW()/1000000000,""))</f>
        <v/>
      </c>
      <c r="AL652" t="str">
        <f>IF(OR('Base Exámenes'!C652="",'Base Exámenes'!E652=""),"",IF(COUNTIF('Base Exámenes'!$C$5:C652,'Base Exámenes'!C652)=1,'Base Exámenes'!E652+ROW()/1000000000,""))</f>
        <v/>
      </c>
      <c r="AM652" t="str">
        <f>IF(OR('Base Exámenes'!C652="",'Base Exámenes'!G652=""),"",IF(ROW()-4=MATCH('Base Exámenes'!C652&amp;"|"&amp;_xlfn.MAXIFS('Base Exámenes'!$G$5:$G$1000,'Base Exámenes'!$C$5:$C$1000,'Base Exámenes'!C652),'Base Exámenes'!$I$5:$I$1000,0),'Base Exámenes'!G652*1000000+(-1)*'Base Exámenes'!D652,""))</f>
        <v/>
      </c>
      <c r="AQ652" t="str">
        <f>IF('Base Exámenes'!C652="","",IF(COUNTIF('Base Exámenes'!$C$5:$C$1000,'Base Exámenes'!C652)&lt;2,"",MATCH('Base Exámenes'!C652,'Base Exámenes'!$C$5:$C$1000,0)*10000+ROW()))</f>
        <v/>
      </c>
    </row>
    <row r="653">
      <c r="Z653" t="str">
        <f>IF('Detalle individual'!A653="","",IF(AND(OR('Estado por Colaborador'!$D$4="Todas las gerencias",'Detalle individual'!D653='Estado por Colaborador'!$D$4),OR('Estado por Colaborador'!$D$5="Todos los departamentos",TRIM('Detalle individual'!C653)='Estado por Colaborador'!$D$5),OR('Estado por Colaborador'!$D$6="Todos",'Detalle individual'!F653='Estado por Colaborador'!$D$6)),IF('Detalle individual'!F653="Completado",30000000,IF('Detalle individual'!F653="Pendiente",0,15000000))+COUNTIF('Detalle individual'!$C$5:$C$1000,"&lt;"&amp;'Detalle individual'!C653)*10000+ROW(),""))</f>
        <v/>
      </c>
      <c r="AB653" t="str">
        <f>IF('Detalle individual'!C653="","",IF(COUNTIF('Detalle individual'!$C$5:C653,'Detalle individual'!C653)=1,COUNTIF('Detalle individual'!$C$5:$C$1000,"&lt;"&amp;'Detalle individual'!C653),""))</f>
        <v/>
      </c>
      <c r="AC653" t="str">
        <f>IF('Detalle individual'!D653="","",IF(COUNTIF('Detalle individual'!$D$5:D653,'Detalle individual'!D653)=1,COUNTIF('Detalle individual'!$D$5:$D$1000,"&lt;"&amp;'Detalle individual'!D653),""))</f>
        <v/>
      </c>
      <c r="AH653" t="str">
        <f>IF('Detalle individual'!F653="Pendiente",COUNTIF('Detalle individual'!$D$5:$D$1000,"&lt;"&amp;'Detalle individual'!D653)*1000000+COUNTIF('Detalle individual'!$C$5:$C$1000,"&lt;"&amp;'Detalle individual'!C653)*1000+COUNTIF('Detalle individual'!$B$5:$B$1000,"&lt;"&amp;'Detalle individual'!B653)+ROW()/10000,"")</f>
        <v/>
      </c>
      <c r="AI653" t="str">
        <f>IF('Detalle individual'!F653="Completado",COUNTIF('Detalle individual'!$D$5:$D$1000,"&lt;"&amp;'Detalle individual'!D653)*1000000+COUNTIF('Detalle individual'!$C$5:$C$1000,"&lt;"&amp;'Detalle individual'!C653)*1000+COUNTIF('Detalle individual'!$B$5:$B$1000,"&lt;"&amp;'Detalle individual'!B653)+ROW()/10000,"")</f>
        <v/>
      </c>
      <c r="AJ653" t="str">
        <f>IF(AND('Detalle individual'!F653&lt;&gt;"",'Detalle individual'!F653&lt;&gt;"Completado",'Detalle individual'!F653&lt;&gt;"Pendiente"),COUNTIF('Detalle individual'!$D$5:$D$1000,"&lt;"&amp;'Detalle individual'!D653)*1000000+COUNTIF('Detalle individual'!$C$5:$C$1000,"&lt;"&amp;'Detalle individual'!C653)*1000+COUNTIF('Detalle individual'!$B$5:$B$1000,"&lt;"&amp;'Detalle individual'!B653)+ROW()/10000,"")</f>
        <v/>
      </c>
      <c r="AK653" t="str">
        <f>IF(OR('Base Exámenes'!C653="",'Base Exámenes'!D653=""),"",IF(COUNTIF('Base Exámenes'!$C$5:C653,'Base Exámenes'!C653)=1,'Base Exámenes'!D653+ROW()/1000000000,""))</f>
        <v/>
      </c>
      <c r="AL653" t="str">
        <f>IF(OR('Base Exámenes'!C653="",'Base Exámenes'!E653=""),"",IF(COUNTIF('Base Exámenes'!$C$5:C653,'Base Exámenes'!C653)=1,'Base Exámenes'!E653+ROW()/1000000000,""))</f>
        <v/>
      </c>
      <c r="AM653" t="str">
        <f>IF(OR('Base Exámenes'!C653="",'Base Exámenes'!G653=""),"",IF(ROW()-4=MATCH('Base Exámenes'!C653&amp;"|"&amp;_xlfn.MAXIFS('Base Exámenes'!$G$5:$G$1000,'Base Exámenes'!$C$5:$C$1000,'Base Exámenes'!C653),'Base Exámenes'!$I$5:$I$1000,0),'Base Exámenes'!G653*1000000+(-1)*'Base Exámenes'!D653,""))</f>
        <v/>
      </c>
      <c r="AQ653" t="str">
        <f>IF('Base Exámenes'!C653="","",IF(COUNTIF('Base Exámenes'!$C$5:$C$1000,'Base Exámenes'!C653)&lt;2,"",MATCH('Base Exámenes'!C653,'Base Exámenes'!$C$5:$C$1000,0)*10000+ROW()))</f>
        <v/>
      </c>
    </row>
    <row r="654">
      <c r="Z654" t="str">
        <f>IF('Detalle individual'!A654="","",IF(AND(OR('Estado por Colaborador'!$D$4="Todas las gerencias",'Detalle individual'!D654='Estado por Colaborador'!$D$4),OR('Estado por Colaborador'!$D$5="Todos los departamentos",TRIM('Detalle individual'!C654)='Estado por Colaborador'!$D$5),OR('Estado por Colaborador'!$D$6="Todos",'Detalle individual'!F654='Estado por Colaborador'!$D$6)),IF('Detalle individual'!F654="Completado",30000000,IF('Detalle individual'!F654="Pendiente",0,15000000))+COUNTIF('Detalle individual'!$C$5:$C$1000,"&lt;"&amp;'Detalle individual'!C654)*10000+ROW(),""))</f>
        <v/>
      </c>
      <c r="AB654" t="str">
        <f>IF('Detalle individual'!C654="","",IF(COUNTIF('Detalle individual'!$C$5:C654,'Detalle individual'!C654)=1,COUNTIF('Detalle individual'!$C$5:$C$1000,"&lt;"&amp;'Detalle individual'!C654),""))</f>
        <v/>
      </c>
      <c r="AC654" t="str">
        <f>IF('Detalle individual'!D654="","",IF(COUNTIF('Detalle individual'!$D$5:D654,'Detalle individual'!D654)=1,COUNTIF('Detalle individual'!$D$5:$D$1000,"&lt;"&amp;'Detalle individual'!D654),""))</f>
        <v/>
      </c>
      <c r="AH654" t="str">
        <f>IF('Detalle individual'!F654="Pendiente",COUNTIF('Detalle individual'!$D$5:$D$1000,"&lt;"&amp;'Detalle individual'!D654)*1000000+COUNTIF('Detalle individual'!$C$5:$C$1000,"&lt;"&amp;'Detalle individual'!C654)*1000+COUNTIF('Detalle individual'!$B$5:$B$1000,"&lt;"&amp;'Detalle individual'!B654)+ROW()/10000,"")</f>
        <v/>
      </c>
      <c r="AI654" t="str">
        <f>IF('Detalle individual'!F654="Completado",COUNTIF('Detalle individual'!$D$5:$D$1000,"&lt;"&amp;'Detalle individual'!D654)*1000000+COUNTIF('Detalle individual'!$C$5:$C$1000,"&lt;"&amp;'Detalle individual'!C654)*1000+COUNTIF('Detalle individual'!$B$5:$B$1000,"&lt;"&amp;'Detalle individual'!B654)+ROW()/10000,"")</f>
        <v/>
      </c>
      <c r="AJ654" t="str">
        <f>IF(AND('Detalle individual'!F654&lt;&gt;"",'Detalle individual'!F654&lt;&gt;"Completado",'Detalle individual'!F654&lt;&gt;"Pendiente"),COUNTIF('Detalle individual'!$D$5:$D$1000,"&lt;"&amp;'Detalle individual'!D654)*1000000+COUNTIF('Detalle individual'!$C$5:$C$1000,"&lt;"&amp;'Detalle individual'!C654)*1000+COUNTIF('Detalle individual'!$B$5:$B$1000,"&lt;"&amp;'Detalle individual'!B654)+ROW()/10000,"")</f>
        <v/>
      </c>
      <c r="AK654" t="str">
        <f>IF(OR('Base Exámenes'!C654="",'Base Exámenes'!D654=""),"",IF(COUNTIF('Base Exámenes'!$C$5:C654,'Base Exámenes'!C654)=1,'Base Exámenes'!D654+ROW()/1000000000,""))</f>
        <v/>
      </c>
      <c r="AL654" t="str">
        <f>IF(OR('Base Exámenes'!C654="",'Base Exámenes'!E654=""),"",IF(COUNTIF('Base Exámenes'!$C$5:C654,'Base Exámenes'!C654)=1,'Base Exámenes'!E654+ROW()/1000000000,""))</f>
        <v/>
      </c>
      <c r="AM654" t="str">
        <f>IF(OR('Base Exámenes'!C654="",'Base Exámenes'!G654=""),"",IF(ROW()-4=MATCH('Base Exámenes'!C654&amp;"|"&amp;_xlfn.MAXIFS('Base Exámenes'!$G$5:$G$1000,'Base Exámenes'!$C$5:$C$1000,'Base Exámenes'!C654),'Base Exámenes'!$I$5:$I$1000,0),'Base Exámenes'!G654*1000000+(-1)*'Base Exámenes'!D654,""))</f>
        <v/>
      </c>
      <c r="AQ654" t="str">
        <f>IF('Base Exámenes'!C654="","",IF(COUNTIF('Base Exámenes'!$C$5:$C$1000,'Base Exámenes'!C654)&lt;2,"",MATCH('Base Exámenes'!C654,'Base Exámenes'!$C$5:$C$1000,0)*10000+ROW()))</f>
        <v/>
      </c>
    </row>
    <row r="655">
      <c r="Z655" t="str">
        <f>IF('Detalle individual'!A655="","",IF(AND(OR('Estado por Colaborador'!$D$4="Todas las gerencias",'Detalle individual'!D655='Estado por Colaborador'!$D$4),OR('Estado por Colaborador'!$D$5="Todos los departamentos",TRIM('Detalle individual'!C655)='Estado por Colaborador'!$D$5),OR('Estado por Colaborador'!$D$6="Todos",'Detalle individual'!F655='Estado por Colaborador'!$D$6)),IF('Detalle individual'!F655="Completado",30000000,IF('Detalle individual'!F655="Pendiente",0,15000000))+COUNTIF('Detalle individual'!$C$5:$C$1000,"&lt;"&amp;'Detalle individual'!C655)*10000+ROW(),""))</f>
        <v/>
      </c>
      <c r="AB655" t="str">
        <f>IF('Detalle individual'!C655="","",IF(COUNTIF('Detalle individual'!$C$5:C655,'Detalle individual'!C655)=1,COUNTIF('Detalle individual'!$C$5:$C$1000,"&lt;"&amp;'Detalle individual'!C655),""))</f>
        <v/>
      </c>
      <c r="AC655" t="str">
        <f>IF('Detalle individual'!D655="","",IF(COUNTIF('Detalle individual'!$D$5:D655,'Detalle individual'!D655)=1,COUNTIF('Detalle individual'!$D$5:$D$1000,"&lt;"&amp;'Detalle individual'!D655),""))</f>
        <v/>
      </c>
      <c r="AH655" t="str">
        <f>IF('Detalle individual'!F655="Pendiente",COUNTIF('Detalle individual'!$D$5:$D$1000,"&lt;"&amp;'Detalle individual'!D655)*1000000+COUNTIF('Detalle individual'!$C$5:$C$1000,"&lt;"&amp;'Detalle individual'!C655)*1000+COUNTIF('Detalle individual'!$B$5:$B$1000,"&lt;"&amp;'Detalle individual'!B655)+ROW()/10000,"")</f>
        <v/>
      </c>
      <c r="AI655" t="str">
        <f>IF('Detalle individual'!F655="Completado",COUNTIF('Detalle individual'!$D$5:$D$1000,"&lt;"&amp;'Detalle individual'!D655)*1000000+COUNTIF('Detalle individual'!$C$5:$C$1000,"&lt;"&amp;'Detalle individual'!C655)*1000+COUNTIF('Detalle individual'!$B$5:$B$1000,"&lt;"&amp;'Detalle individual'!B655)+ROW()/10000,"")</f>
        <v/>
      </c>
      <c r="AJ655" t="str">
        <f>IF(AND('Detalle individual'!F655&lt;&gt;"",'Detalle individual'!F655&lt;&gt;"Completado",'Detalle individual'!F655&lt;&gt;"Pendiente"),COUNTIF('Detalle individual'!$D$5:$D$1000,"&lt;"&amp;'Detalle individual'!D655)*1000000+COUNTIF('Detalle individual'!$C$5:$C$1000,"&lt;"&amp;'Detalle individual'!C655)*1000+COUNTIF('Detalle individual'!$B$5:$B$1000,"&lt;"&amp;'Detalle individual'!B655)+ROW()/10000,"")</f>
        <v/>
      </c>
      <c r="AK655" t="str">
        <f>IF(OR('Base Exámenes'!C655="",'Base Exámenes'!D655=""),"",IF(COUNTIF('Base Exámenes'!$C$5:C655,'Base Exámenes'!C655)=1,'Base Exámenes'!D655+ROW()/1000000000,""))</f>
        <v/>
      </c>
      <c r="AL655" t="str">
        <f>IF(OR('Base Exámenes'!C655="",'Base Exámenes'!E655=""),"",IF(COUNTIF('Base Exámenes'!$C$5:C655,'Base Exámenes'!C655)=1,'Base Exámenes'!E655+ROW()/1000000000,""))</f>
        <v/>
      </c>
      <c r="AM655" t="str">
        <f>IF(OR('Base Exámenes'!C655="",'Base Exámenes'!G655=""),"",IF(ROW()-4=MATCH('Base Exámenes'!C655&amp;"|"&amp;_xlfn.MAXIFS('Base Exámenes'!$G$5:$G$1000,'Base Exámenes'!$C$5:$C$1000,'Base Exámenes'!C655),'Base Exámenes'!$I$5:$I$1000,0),'Base Exámenes'!G655*1000000+(-1)*'Base Exámenes'!D655,""))</f>
        <v/>
      </c>
      <c r="AQ655" t="str">
        <f>IF('Base Exámenes'!C655="","",IF(COUNTIF('Base Exámenes'!$C$5:$C$1000,'Base Exámenes'!C655)&lt;2,"",MATCH('Base Exámenes'!C655,'Base Exámenes'!$C$5:$C$1000,0)*10000+ROW()))</f>
        <v/>
      </c>
    </row>
    <row r="656">
      <c r="Z656" t="str">
        <f>IF('Detalle individual'!A656="","",IF(AND(OR('Estado por Colaborador'!$D$4="Todas las gerencias",'Detalle individual'!D656='Estado por Colaborador'!$D$4),OR('Estado por Colaborador'!$D$5="Todos los departamentos",TRIM('Detalle individual'!C656)='Estado por Colaborador'!$D$5),OR('Estado por Colaborador'!$D$6="Todos",'Detalle individual'!F656='Estado por Colaborador'!$D$6)),IF('Detalle individual'!F656="Completado",30000000,IF('Detalle individual'!F656="Pendiente",0,15000000))+COUNTIF('Detalle individual'!$C$5:$C$1000,"&lt;"&amp;'Detalle individual'!C656)*10000+ROW(),""))</f>
        <v/>
      </c>
      <c r="AB656" t="str">
        <f>IF('Detalle individual'!C656="","",IF(COUNTIF('Detalle individual'!$C$5:C656,'Detalle individual'!C656)=1,COUNTIF('Detalle individual'!$C$5:$C$1000,"&lt;"&amp;'Detalle individual'!C656),""))</f>
        <v/>
      </c>
      <c r="AC656" t="str">
        <f>IF('Detalle individual'!D656="","",IF(COUNTIF('Detalle individual'!$D$5:D656,'Detalle individual'!D656)=1,COUNTIF('Detalle individual'!$D$5:$D$1000,"&lt;"&amp;'Detalle individual'!D656),""))</f>
        <v/>
      </c>
      <c r="AH656" t="str">
        <f>IF('Detalle individual'!F656="Pendiente",COUNTIF('Detalle individual'!$D$5:$D$1000,"&lt;"&amp;'Detalle individual'!D656)*1000000+COUNTIF('Detalle individual'!$C$5:$C$1000,"&lt;"&amp;'Detalle individual'!C656)*1000+COUNTIF('Detalle individual'!$B$5:$B$1000,"&lt;"&amp;'Detalle individual'!B656)+ROW()/10000,"")</f>
        <v/>
      </c>
      <c r="AI656" t="str">
        <f>IF('Detalle individual'!F656="Completado",COUNTIF('Detalle individual'!$D$5:$D$1000,"&lt;"&amp;'Detalle individual'!D656)*1000000+COUNTIF('Detalle individual'!$C$5:$C$1000,"&lt;"&amp;'Detalle individual'!C656)*1000+COUNTIF('Detalle individual'!$B$5:$B$1000,"&lt;"&amp;'Detalle individual'!B656)+ROW()/10000,"")</f>
        <v/>
      </c>
      <c r="AJ656" t="str">
        <f>IF(AND('Detalle individual'!F656&lt;&gt;"",'Detalle individual'!F656&lt;&gt;"Completado",'Detalle individual'!F656&lt;&gt;"Pendiente"),COUNTIF('Detalle individual'!$D$5:$D$1000,"&lt;"&amp;'Detalle individual'!D656)*1000000+COUNTIF('Detalle individual'!$C$5:$C$1000,"&lt;"&amp;'Detalle individual'!C656)*1000+COUNTIF('Detalle individual'!$B$5:$B$1000,"&lt;"&amp;'Detalle individual'!B656)+ROW()/10000,"")</f>
        <v/>
      </c>
      <c r="AK656" t="str">
        <f>IF(OR('Base Exámenes'!C656="",'Base Exámenes'!D656=""),"",IF(COUNTIF('Base Exámenes'!$C$5:C656,'Base Exámenes'!C656)=1,'Base Exámenes'!D656+ROW()/1000000000,""))</f>
        <v/>
      </c>
      <c r="AL656" t="str">
        <f>IF(OR('Base Exámenes'!C656="",'Base Exámenes'!E656=""),"",IF(COUNTIF('Base Exámenes'!$C$5:C656,'Base Exámenes'!C656)=1,'Base Exámenes'!E656+ROW()/1000000000,""))</f>
        <v/>
      </c>
      <c r="AM656" t="str">
        <f>IF(OR('Base Exámenes'!C656="",'Base Exámenes'!G656=""),"",IF(ROW()-4=MATCH('Base Exámenes'!C656&amp;"|"&amp;_xlfn.MAXIFS('Base Exámenes'!$G$5:$G$1000,'Base Exámenes'!$C$5:$C$1000,'Base Exámenes'!C656),'Base Exámenes'!$I$5:$I$1000,0),'Base Exámenes'!G656*1000000+(-1)*'Base Exámenes'!D656,""))</f>
        <v/>
      </c>
      <c r="AQ656" t="str">
        <f>IF('Base Exámenes'!C656="","",IF(COUNTIF('Base Exámenes'!$C$5:$C$1000,'Base Exámenes'!C656)&lt;2,"",MATCH('Base Exámenes'!C656,'Base Exámenes'!$C$5:$C$1000,0)*10000+ROW()))</f>
        <v/>
      </c>
    </row>
    <row r="657">
      <c r="Z657" t="str">
        <f>IF('Detalle individual'!A657="","",IF(AND(OR('Estado por Colaborador'!$D$4="Todas las gerencias",'Detalle individual'!D657='Estado por Colaborador'!$D$4),OR('Estado por Colaborador'!$D$5="Todos los departamentos",TRIM('Detalle individual'!C657)='Estado por Colaborador'!$D$5),OR('Estado por Colaborador'!$D$6="Todos",'Detalle individual'!F657='Estado por Colaborador'!$D$6)),IF('Detalle individual'!F657="Completado",30000000,IF('Detalle individual'!F657="Pendiente",0,15000000))+COUNTIF('Detalle individual'!$C$5:$C$1000,"&lt;"&amp;'Detalle individual'!C657)*10000+ROW(),""))</f>
        <v/>
      </c>
      <c r="AB657" t="str">
        <f>IF('Detalle individual'!C657="","",IF(COUNTIF('Detalle individual'!$C$5:C657,'Detalle individual'!C657)=1,COUNTIF('Detalle individual'!$C$5:$C$1000,"&lt;"&amp;'Detalle individual'!C657),""))</f>
        <v/>
      </c>
      <c r="AC657" t="str">
        <f>IF('Detalle individual'!D657="","",IF(COUNTIF('Detalle individual'!$D$5:D657,'Detalle individual'!D657)=1,COUNTIF('Detalle individual'!$D$5:$D$1000,"&lt;"&amp;'Detalle individual'!D657),""))</f>
        <v/>
      </c>
      <c r="AH657" t="str">
        <f>IF('Detalle individual'!F657="Pendiente",COUNTIF('Detalle individual'!$D$5:$D$1000,"&lt;"&amp;'Detalle individual'!D657)*1000000+COUNTIF('Detalle individual'!$C$5:$C$1000,"&lt;"&amp;'Detalle individual'!C657)*1000+COUNTIF('Detalle individual'!$B$5:$B$1000,"&lt;"&amp;'Detalle individual'!B657)+ROW()/10000,"")</f>
        <v/>
      </c>
      <c r="AI657" t="str">
        <f>IF('Detalle individual'!F657="Completado",COUNTIF('Detalle individual'!$D$5:$D$1000,"&lt;"&amp;'Detalle individual'!D657)*1000000+COUNTIF('Detalle individual'!$C$5:$C$1000,"&lt;"&amp;'Detalle individual'!C657)*1000+COUNTIF('Detalle individual'!$B$5:$B$1000,"&lt;"&amp;'Detalle individual'!B657)+ROW()/10000,"")</f>
        <v/>
      </c>
      <c r="AJ657" t="str">
        <f>IF(AND('Detalle individual'!F657&lt;&gt;"",'Detalle individual'!F657&lt;&gt;"Completado",'Detalle individual'!F657&lt;&gt;"Pendiente"),COUNTIF('Detalle individual'!$D$5:$D$1000,"&lt;"&amp;'Detalle individual'!D657)*1000000+COUNTIF('Detalle individual'!$C$5:$C$1000,"&lt;"&amp;'Detalle individual'!C657)*1000+COUNTIF('Detalle individual'!$B$5:$B$1000,"&lt;"&amp;'Detalle individual'!B657)+ROW()/10000,"")</f>
        <v/>
      </c>
      <c r="AK657" t="str">
        <f>IF(OR('Base Exámenes'!C657="",'Base Exámenes'!D657=""),"",IF(COUNTIF('Base Exámenes'!$C$5:C657,'Base Exámenes'!C657)=1,'Base Exámenes'!D657+ROW()/1000000000,""))</f>
        <v/>
      </c>
      <c r="AL657" t="str">
        <f>IF(OR('Base Exámenes'!C657="",'Base Exámenes'!E657=""),"",IF(COUNTIF('Base Exámenes'!$C$5:C657,'Base Exámenes'!C657)=1,'Base Exámenes'!E657+ROW()/1000000000,""))</f>
        <v/>
      </c>
      <c r="AM657" t="str">
        <f>IF(OR('Base Exámenes'!C657="",'Base Exámenes'!G657=""),"",IF(ROW()-4=MATCH('Base Exámenes'!C657&amp;"|"&amp;_xlfn.MAXIFS('Base Exámenes'!$G$5:$G$1000,'Base Exámenes'!$C$5:$C$1000,'Base Exámenes'!C657),'Base Exámenes'!$I$5:$I$1000,0),'Base Exámenes'!G657*1000000+(-1)*'Base Exámenes'!D657,""))</f>
        <v/>
      </c>
      <c r="AQ657" t="str">
        <f>IF('Base Exámenes'!C657="","",IF(COUNTIF('Base Exámenes'!$C$5:$C$1000,'Base Exámenes'!C657)&lt;2,"",MATCH('Base Exámenes'!C657,'Base Exámenes'!$C$5:$C$1000,0)*10000+ROW()))</f>
        <v/>
      </c>
    </row>
    <row r="658">
      <c r="Z658" t="str">
        <f>IF('Detalle individual'!A658="","",IF(AND(OR('Estado por Colaborador'!$D$4="Todas las gerencias",'Detalle individual'!D658='Estado por Colaborador'!$D$4),OR('Estado por Colaborador'!$D$5="Todos los departamentos",TRIM('Detalle individual'!C658)='Estado por Colaborador'!$D$5),OR('Estado por Colaborador'!$D$6="Todos",'Detalle individual'!F658='Estado por Colaborador'!$D$6)),IF('Detalle individual'!F658="Completado",30000000,IF('Detalle individual'!F658="Pendiente",0,15000000))+COUNTIF('Detalle individual'!$C$5:$C$1000,"&lt;"&amp;'Detalle individual'!C658)*10000+ROW(),""))</f>
        <v/>
      </c>
      <c r="AB658" t="str">
        <f>IF('Detalle individual'!C658="","",IF(COUNTIF('Detalle individual'!$C$5:C658,'Detalle individual'!C658)=1,COUNTIF('Detalle individual'!$C$5:$C$1000,"&lt;"&amp;'Detalle individual'!C658),""))</f>
        <v/>
      </c>
      <c r="AC658" t="str">
        <f>IF('Detalle individual'!D658="","",IF(COUNTIF('Detalle individual'!$D$5:D658,'Detalle individual'!D658)=1,COUNTIF('Detalle individual'!$D$5:$D$1000,"&lt;"&amp;'Detalle individual'!D658),""))</f>
        <v/>
      </c>
      <c r="AH658" t="str">
        <f>IF('Detalle individual'!F658="Pendiente",COUNTIF('Detalle individual'!$D$5:$D$1000,"&lt;"&amp;'Detalle individual'!D658)*1000000+COUNTIF('Detalle individual'!$C$5:$C$1000,"&lt;"&amp;'Detalle individual'!C658)*1000+COUNTIF('Detalle individual'!$B$5:$B$1000,"&lt;"&amp;'Detalle individual'!B658)+ROW()/10000,"")</f>
        <v/>
      </c>
      <c r="AI658" t="str">
        <f>IF('Detalle individual'!F658="Completado",COUNTIF('Detalle individual'!$D$5:$D$1000,"&lt;"&amp;'Detalle individual'!D658)*1000000+COUNTIF('Detalle individual'!$C$5:$C$1000,"&lt;"&amp;'Detalle individual'!C658)*1000+COUNTIF('Detalle individual'!$B$5:$B$1000,"&lt;"&amp;'Detalle individual'!B658)+ROW()/10000,"")</f>
        <v/>
      </c>
      <c r="AJ658" t="str">
        <f>IF(AND('Detalle individual'!F658&lt;&gt;"",'Detalle individual'!F658&lt;&gt;"Completado",'Detalle individual'!F658&lt;&gt;"Pendiente"),COUNTIF('Detalle individual'!$D$5:$D$1000,"&lt;"&amp;'Detalle individual'!D658)*1000000+COUNTIF('Detalle individual'!$C$5:$C$1000,"&lt;"&amp;'Detalle individual'!C658)*1000+COUNTIF('Detalle individual'!$B$5:$B$1000,"&lt;"&amp;'Detalle individual'!B658)+ROW()/10000,"")</f>
        <v/>
      </c>
      <c r="AK658" t="str">
        <f>IF(OR('Base Exámenes'!C658="",'Base Exámenes'!D658=""),"",IF(COUNTIF('Base Exámenes'!$C$5:C658,'Base Exámenes'!C658)=1,'Base Exámenes'!D658+ROW()/1000000000,""))</f>
        <v/>
      </c>
      <c r="AL658" t="str">
        <f>IF(OR('Base Exámenes'!C658="",'Base Exámenes'!E658=""),"",IF(COUNTIF('Base Exámenes'!$C$5:C658,'Base Exámenes'!C658)=1,'Base Exámenes'!E658+ROW()/1000000000,""))</f>
        <v/>
      </c>
      <c r="AM658" t="str">
        <f>IF(OR('Base Exámenes'!C658="",'Base Exámenes'!G658=""),"",IF(ROW()-4=MATCH('Base Exámenes'!C658&amp;"|"&amp;_xlfn.MAXIFS('Base Exámenes'!$G$5:$G$1000,'Base Exámenes'!$C$5:$C$1000,'Base Exámenes'!C658),'Base Exámenes'!$I$5:$I$1000,0),'Base Exámenes'!G658*1000000+(-1)*'Base Exámenes'!D658,""))</f>
        <v/>
      </c>
      <c r="AQ658" t="str">
        <f>IF('Base Exámenes'!C658="","",IF(COUNTIF('Base Exámenes'!$C$5:$C$1000,'Base Exámenes'!C658)&lt;2,"",MATCH('Base Exámenes'!C658,'Base Exámenes'!$C$5:$C$1000,0)*10000+ROW()))</f>
        <v/>
      </c>
    </row>
    <row r="659">
      <c r="Z659" t="str">
        <f>IF('Detalle individual'!A659="","",IF(AND(OR('Estado por Colaborador'!$D$4="Todas las gerencias",'Detalle individual'!D659='Estado por Colaborador'!$D$4),OR('Estado por Colaborador'!$D$5="Todos los departamentos",TRIM('Detalle individual'!C659)='Estado por Colaborador'!$D$5),OR('Estado por Colaborador'!$D$6="Todos",'Detalle individual'!F659='Estado por Colaborador'!$D$6)),IF('Detalle individual'!F659="Completado",30000000,IF('Detalle individual'!F659="Pendiente",0,15000000))+COUNTIF('Detalle individual'!$C$5:$C$1000,"&lt;"&amp;'Detalle individual'!C659)*10000+ROW(),""))</f>
        <v/>
      </c>
      <c r="AB659" t="str">
        <f>IF('Detalle individual'!C659="","",IF(COUNTIF('Detalle individual'!$C$5:C659,'Detalle individual'!C659)=1,COUNTIF('Detalle individual'!$C$5:$C$1000,"&lt;"&amp;'Detalle individual'!C659),""))</f>
        <v/>
      </c>
      <c r="AC659" t="str">
        <f>IF('Detalle individual'!D659="","",IF(COUNTIF('Detalle individual'!$D$5:D659,'Detalle individual'!D659)=1,COUNTIF('Detalle individual'!$D$5:$D$1000,"&lt;"&amp;'Detalle individual'!D659),""))</f>
        <v/>
      </c>
      <c r="AH659" t="str">
        <f>IF('Detalle individual'!F659="Pendiente",COUNTIF('Detalle individual'!$D$5:$D$1000,"&lt;"&amp;'Detalle individual'!D659)*1000000+COUNTIF('Detalle individual'!$C$5:$C$1000,"&lt;"&amp;'Detalle individual'!C659)*1000+COUNTIF('Detalle individual'!$B$5:$B$1000,"&lt;"&amp;'Detalle individual'!B659)+ROW()/10000,"")</f>
        <v/>
      </c>
      <c r="AI659" t="str">
        <f>IF('Detalle individual'!F659="Completado",COUNTIF('Detalle individual'!$D$5:$D$1000,"&lt;"&amp;'Detalle individual'!D659)*1000000+COUNTIF('Detalle individual'!$C$5:$C$1000,"&lt;"&amp;'Detalle individual'!C659)*1000+COUNTIF('Detalle individual'!$B$5:$B$1000,"&lt;"&amp;'Detalle individual'!B659)+ROW()/10000,"")</f>
        <v/>
      </c>
      <c r="AJ659" t="str">
        <f>IF(AND('Detalle individual'!F659&lt;&gt;"",'Detalle individual'!F659&lt;&gt;"Completado",'Detalle individual'!F659&lt;&gt;"Pendiente"),COUNTIF('Detalle individual'!$D$5:$D$1000,"&lt;"&amp;'Detalle individual'!D659)*1000000+COUNTIF('Detalle individual'!$C$5:$C$1000,"&lt;"&amp;'Detalle individual'!C659)*1000+COUNTIF('Detalle individual'!$B$5:$B$1000,"&lt;"&amp;'Detalle individual'!B659)+ROW()/10000,"")</f>
        <v/>
      </c>
      <c r="AK659" t="str">
        <f>IF(OR('Base Exámenes'!C659="",'Base Exámenes'!D659=""),"",IF(COUNTIF('Base Exámenes'!$C$5:C659,'Base Exámenes'!C659)=1,'Base Exámenes'!D659+ROW()/1000000000,""))</f>
        <v/>
      </c>
      <c r="AL659" t="str">
        <f>IF(OR('Base Exámenes'!C659="",'Base Exámenes'!E659=""),"",IF(COUNTIF('Base Exámenes'!$C$5:C659,'Base Exámenes'!C659)=1,'Base Exámenes'!E659+ROW()/1000000000,""))</f>
        <v/>
      </c>
      <c r="AM659" t="str">
        <f>IF(OR('Base Exámenes'!C659="",'Base Exámenes'!G659=""),"",IF(ROW()-4=MATCH('Base Exámenes'!C659&amp;"|"&amp;_xlfn.MAXIFS('Base Exámenes'!$G$5:$G$1000,'Base Exámenes'!$C$5:$C$1000,'Base Exámenes'!C659),'Base Exámenes'!$I$5:$I$1000,0),'Base Exámenes'!G659*1000000+(-1)*'Base Exámenes'!D659,""))</f>
        <v/>
      </c>
      <c r="AQ659" t="str">
        <f>IF('Base Exámenes'!C659="","",IF(COUNTIF('Base Exámenes'!$C$5:$C$1000,'Base Exámenes'!C659)&lt;2,"",MATCH('Base Exámenes'!C659,'Base Exámenes'!$C$5:$C$1000,0)*10000+ROW()))</f>
        <v/>
      </c>
    </row>
    <row r="660">
      <c r="Z660" t="str">
        <f>IF('Detalle individual'!A660="","",IF(AND(OR('Estado por Colaborador'!$D$4="Todas las gerencias",'Detalle individual'!D660='Estado por Colaborador'!$D$4),OR('Estado por Colaborador'!$D$5="Todos los departamentos",TRIM('Detalle individual'!C660)='Estado por Colaborador'!$D$5),OR('Estado por Colaborador'!$D$6="Todos",'Detalle individual'!F660='Estado por Colaborador'!$D$6)),IF('Detalle individual'!F660="Completado",30000000,IF('Detalle individual'!F660="Pendiente",0,15000000))+COUNTIF('Detalle individual'!$C$5:$C$1000,"&lt;"&amp;'Detalle individual'!C660)*10000+ROW(),""))</f>
        <v/>
      </c>
      <c r="AB660" t="str">
        <f>IF('Detalle individual'!C660="","",IF(COUNTIF('Detalle individual'!$C$5:C660,'Detalle individual'!C660)=1,COUNTIF('Detalle individual'!$C$5:$C$1000,"&lt;"&amp;'Detalle individual'!C660),""))</f>
        <v/>
      </c>
      <c r="AC660" t="str">
        <f>IF('Detalle individual'!D660="","",IF(COUNTIF('Detalle individual'!$D$5:D660,'Detalle individual'!D660)=1,COUNTIF('Detalle individual'!$D$5:$D$1000,"&lt;"&amp;'Detalle individual'!D660),""))</f>
        <v/>
      </c>
      <c r="AH660" t="str">
        <f>IF('Detalle individual'!F660="Pendiente",COUNTIF('Detalle individual'!$D$5:$D$1000,"&lt;"&amp;'Detalle individual'!D660)*1000000+COUNTIF('Detalle individual'!$C$5:$C$1000,"&lt;"&amp;'Detalle individual'!C660)*1000+COUNTIF('Detalle individual'!$B$5:$B$1000,"&lt;"&amp;'Detalle individual'!B660)+ROW()/10000,"")</f>
        <v/>
      </c>
      <c r="AI660" t="str">
        <f>IF('Detalle individual'!F660="Completado",COUNTIF('Detalle individual'!$D$5:$D$1000,"&lt;"&amp;'Detalle individual'!D660)*1000000+COUNTIF('Detalle individual'!$C$5:$C$1000,"&lt;"&amp;'Detalle individual'!C660)*1000+COUNTIF('Detalle individual'!$B$5:$B$1000,"&lt;"&amp;'Detalle individual'!B660)+ROW()/10000,"")</f>
        <v/>
      </c>
      <c r="AJ660" t="str">
        <f>IF(AND('Detalle individual'!F660&lt;&gt;"",'Detalle individual'!F660&lt;&gt;"Completado",'Detalle individual'!F660&lt;&gt;"Pendiente"),COUNTIF('Detalle individual'!$D$5:$D$1000,"&lt;"&amp;'Detalle individual'!D660)*1000000+COUNTIF('Detalle individual'!$C$5:$C$1000,"&lt;"&amp;'Detalle individual'!C660)*1000+COUNTIF('Detalle individual'!$B$5:$B$1000,"&lt;"&amp;'Detalle individual'!B660)+ROW()/10000,"")</f>
        <v/>
      </c>
      <c r="AK660" t="str">
        <f>IF(OR('Base Exámenes'!C660="",'Base Exámenes'!D660=""),"",IF(COUNTIF('Base Exámenes'!$C$5:C660,'Base Exámenes'!C660)=1,'Base Exámenes'!D660+ROW()/1000000000,""))</f>
        <v/>
      </c>
      <c r="AL660" t="str">
        <f>IF(OR('Base Exámenes'!C660="",'Base Exámenes'!E660=""),"",IF(COUNTIF('Base Exámenes'!$C$5:C660,'Base Exámenes'!C660)=1,'Base Exámenes'!E660+ROW()/1000000000,""))</f>
        <v/>
      </c>
      <c r="AM660" t="str">
        <f>IF(OR('Base Exámenes'!C660="",'Base Exámenes'!G660=""),"",IF(ROW()-4=MATCH('Base Exámenes'!C660&amp;"|"&amp;_xlfn.MAXIFS('Base Exámenes'!$G$5:$G$1000,'Base Exámenes'!$C$5:$C$1000,'Base Exámenes'!C660),'Base Exámenes'!$I$5:$I$1000,0),'Base Exámenes'!G660*1000000+(-1)*'Base Exámenes'!D660,""))</f>
        <v/>
      </c>
      <c r="AQ660" t="str">
        <f>IF('Base Exámenes'!C660="","",IF(COUNTIF('Base Exámenes'!$C$5:$C$1000,'Base Exámenes'!C660)&lt;2,"",MATCH('Base Exámenes'!C660,'Base Exámenes'!$C$5:$C$1000,0)*10000+ROW()))</f>
        <v/>
      </c>
    </row>
    <row r="661">
      <c r="Z661" t="str">
        <f>IF('Detalle individual'!A661="","",IF(AND(OR('Estado por Colaborador'!$D$4="Todas las gerencias",'Detalle individual'!D661='Estado por Colaborador'!$D$4),OR('Estado por Colaborador'!$D$5="Todos los departamentos",TRIM('Detalle individual'!C661)='Estado por Colaborador'!$D$5),OR('Estado por Colaborador'!$D$6="Todos",'Detalle individual'!F661='Estado por Colaborador'!$D$6)),IF('Detalle individual'!F661="Completado",30000000,IF('Detalle individual'!F661="Pendiente",0,15000000))+COUNTIF('Detalle individual'!$C$5:$C$1000,"&lt;"&amp;'Detalle individual'!C661)*10000+ROW(),""))</f>
        <v/>
      </c>
      <c r="AB661" t="str">
        <f>IF('Detalle individual'!C661="","",IF(COUNTIF('Detalle individual'!$C$5:C661,'Detalle individual'!C661)=1,COUNTIF('Detalle individual'!$C$5:$C$1000,"&lt;"&amp;'Detalle individual'!C661),""))</f>
        <v/>
      </c>
      <c r="AC661" t="str">
        <f>IF('Detalle individual'!D661="","",IF(COUNTIF('Detalle individual'!$D$5:D661,'Detalle individual'!D661)=1,COUNTIF('Detalle individual'!$D$5:$D$1000,"&lt;"&amp;'Detalle individual'!D661),""))</f>
        <v/>
      </c>
      <c r="AH661" t="str">
        <f>IF('Detalle individual'!F661="Pendiente",COUNTIF('Detalle individual'!$D$5:$D$1000,"&lt;"&amp;'Detalle individual'!D661)*1000000+COUNTIF('Detalle individual'!$C$5:$C$1000,"&lt;"&amp;'Detalle individual'!C661)*1000+COUNTIF('Detalle individual'!$B$5:$B$1000,"&lt;"&amp;'Detalle individual'!B661)+ROW()/10000,"")</f>
        <v/>
      </c>
      <c r="AI661" t="str">
        <f>IF('Detalle individual'!F661="Completado",COUNTIF('Detalle individual'!$D$5:$D$1000,"&lt;"&amp;'Detalle individual'!D661)*1000000+COUNTIF('Detalle individual'!$C$5:$C$1000,"&lt;"&amp;'Detalle individual'!C661)*1000+COUNTIF('Detalle individual'!$B$5:$B$1000,"&lt;"&amp;'Detalle individual'!B661)+ROW()/10000,"")</f>
        <v/>
      </c>
      <c r="AJ661" t="str">
        <f>IF(AND('Detalle individual'!F661&lt;&gt;"",'Detalle individual'!F661&lt;&gt;"Completado",'Detalle individual'!F661&lt;&gt;"Pendiente"),COUNTIF('Detalle individual'!$D$5:$D$1000,"&lt;"&amp;'Detalle individual'!D661)*1000000+COUNTIF('Detalle individual'!$C$5:$C$1000,"&lt;"&amp;'Detalle individual'!C661)*1000+COUNTIF('Detalle individual'!$B$5:$B$1000,"&lt;"&amp;'Detalle individual'!B661)+ROW()/10000,"")</f>
        <v/>
      </c>
      <c r="AK661" t="str">
        <f>IF(OR('Base Exámenes'!C661="",'Base Exámenes'!D661=""),"",IF(COUNTIF('Base Exámenes'!$C$5:C661,'Base Exámenes'!C661)=1,'Base Exámenes'!D661+ROW()/1000000000,""))</f>
        <v/>
      </c>
      <c r="AL661" t="str">
        <f>IF(OR('Base Exámenes'!C661="",'Base Exámenes'!E661=""),"",IF(COUNTIF('Base Exámenes'!$C$5:C661,'Base Exámenes'!C661)=1,'Base Exámenes'!E661+ROW()/1000000000,""))</f>
        <v/>
      </c>
      <c r="AM661" t="str">
        <f>IF(OR('Base Exámenes'!C661="",'Base Exámenes'!G661=""),"",IF(ROW()-4=MATCH('Base Exámenes'!C661&amp;"|"&amp;_xlfn.MAXIFS('Base Exámenes'!$G$5:$G$1000,'Base Exámenes'!$C$5:$C$1000,'Base Exámenes'!C661),'Base Exámenes'!$I$5:$I$1000,0),'Base Exámenes'!G661*1000000+(-1)*'Base Exámenes'!D661,""))</f>
        <v/>
      </c>
      <c r="AQ661" t="str">
        <f>IF('Base Exámenes'!C661="","",IF(COUNTIF('Base Exámenes'!$C$5:$C$1000,'Base Exámenes'!C661)&lt;2,"",MATCH('Base Exámenes'!C661,'Base Exámenes'!$C$5:$C$1000,0)*10000+ROW()))</f>
        <v/>
      </c>
    </row>
    <row r="662">
      <c r="Z662" t="str">
        <f>IF('Detalle individual'!A662="","",IF(AND(OR('Estado por Colaborador'!$D$4="Todas las gerencias",'Detalle individual'!D662='Estado por Colaborador'!$D$4),OR('Estado por Colaborador'!$D$5="Todos los departamentos",TRIM('Detalle individual'!C662)='Estado por Colaborador'!$D$5),OR('Estado por Colaborador'!$D$6="Todos",'Detalle individual'!F662='Estado por Colaborador'!$D$6)),IF('Detalle individual'!F662="Completado",30000000,IF('Detalle individual'!F662="Pendiente",0,15000000))+COUNTIF('Detalle individual'!$C$5:$C$1000,"&lt;"&amp;'Detalle individual'!C662)*10000+ROW(),""))</f>
        <v/>
      </c>
      <c r="AB662" t="str">
        <f>IF('Detalle individual'!C662="","",IF(COUNTIF('Detalle individual'!$C$5:C662,'Detalle individual'!C662)=1,COUNTIF('Detalle individual'!$C$5:$C$1000,"&lt;"&amp;'Detalle individual'!C662),""))</f>
        <v/>
      </c>
      <c r="AC662" t="str">
        <f>IF('Detalle individual'!D662="","",IF(COUNTIF('Detalle individual'!$D$5:D662,'Detalle individual'!D662)=1,COUNTIF('Detalle individual'!$D$5:$D$1000,"&lt;"&amp;'Detalle individual'!D662),""))</f>
        <v/>
      </c>
      <c r="AH662" t="str">
        <f>IF('Detalle individual'!F662="Pendiente",COUNTIF('Detalle individual'!$D$5:$D$1000,"&lt;"&amp;'Detalle individual'!D662)*1000000+COUNTIF('Detalle individual'!$C$5:$C$1000,"&lt;"&amp;'Detalle individual'!C662)*1000+COUNTIF('Detalle individual'!$B$5:$B$1000,"&lt;"&amp;'Detalle individual'!B662)+ROW()/10000,"")</f>
        <v/>
      </c>
      <c r="AI662" t="str">
        <f>IF('Detalle individual'!F662="Completado",COUNTIF('Detalle individual'!$D$5:$D$1000,"&lt;"&amp;'Detalle individual'!D662)*1000000+COUNTIF('Detalle individual'!$C$5:$C$1000,"&lt;"&amp;'Detalle individual'!C662)*1000+COUNTIF('Detalle individual'!$B$5:$B$1000,"&lt;"&amp;'Detalle individual'!B662)+ROW()/10000,"")</f>
        <v/>
      </c>
      <c r="AJ662" t="str">
        <f>IF(AND('Detalle individual'!F662&lt;&gt;"",'Detalle individual'!F662&lt;&gt;"Completado",'Detalle individual'!F662&lt;&gt;"Pendiente"),COUNTIF('Detalle individual'!$D$5:$D$1000,"&lt;"&amp;'Detalle individual'!D662)*1000000+COUNTIF('Detalle individual'!$C$5:$C$1000,"&lt;"&amp;'Detalle individual'!C662)*1000+COUNTIF('Detalle individual'!$B$5:$B$1000,"&lt;"&amp;'Detalle individual'!B662)+ROW()/10000,"")</f>
        <v/>
      </c>
      <c r="AK662" t="str">
        <f>IF(OR('Base Exámenes'!C662="",'Base Exámenes'!D662=""),"",IF(COUNTIF('Base Exámenes'!$C$5:C662,'Base Exámenes'!C662)=1,'Base Exámenes'!D662+ROW()/1000000000,""))</f>
        <v/>
      </c>
      <c r="AL662" t="str">
        <f>IF(OR('Base Exámenes'!C662="",'Base Exámenes'!E662=""),"",IF(COUNTIF('Base Exámenes'!$C$5:C662,'Base Exámenes'!C662)=1,'Base Exámenes'!E662+ROW()/1000000000,""))</f>
        <v/>
      </c>
      <c r="AM662" t="str">
        <f>IF(OR('Base Exámenes'!C662="",'Base Exámenes'!G662=""),"",IF(ROW()-4=MATCH('Base Exámenes'!C662&amp;"|"&amp;_xlfn.MAXIFS('Base Exámenes'!$G$5:$G$1000,'Base Exámenes'!$C$5:$C$1000,'Base Exámenes'!C662),'Base Exámenes'!$I$5:$I$1000,0),'Base Exámenes'!G662*1000000+(-1)*'Base Exámenes'!D662,""))</f>
        <v/>
      </c>
      <c r="AQ662" t="str">
        <f>IF('Base Exámenes'!C662="","",IF(COUNTIF('Base Exámenes'!$C$5:$C$1000,'Base Exámenes'!C662)&lt;2,"",MATCH('Base Exámenes'!C662,'Base Exámenes'!$C$5:$C$1000,0)*10000+ROW()))</f>
        <v/>
      </c>
    </row>
    <row r="663">
      <c r="Z663" t="str">
        <f>IF('Detalle individual'!A663="","",IF(AND(OR('Estado por Colaborador'!$D$4="Todas las gerencias",'Detalle individual'!D663='Estado por Colaborador'!$D$4),OR('Estado por Colaborador'!$D$5="Todos los departamentos",TRIM('Detalle individual'!C663)='Estado por Colaborador'!$D$5),OR('Estado por Colaborador'!$D$6="Todos",'Detalle individual'!F663='Estado por Colaborador'!$D$6)),IF('Detalle individual'!F663="Completado",30000000,IF('Detalle individual'!F663="Pendiente",0,15000000))+COUNTIF('Detalle individual'!$C$5:$C$1000,"&lt;"&amp;'Detalle individual'!C663)*10000+ROW(),""))</f>
        <v/>
      </c>
      <c r="AB663" t="str">
        <f>IF('Detalle individual'!C663="","",IF(COUNTIF('Detalle individual'!$C$5:C663,'Detalle individual'!C663)=1,COUNTIF('Detalle individual'!$C$5:$C$1000,"&lt;"&amp;'Detalle individual'!C663),""))</f>
        <v/>
      </c>
      <c r="AC663" t="str">
        <f>IF('Detalle individual'!D663="","",IF(COUNTIF('Detalle individual'!$D$5:D663,'Detalle individual'!D663)=1,COUNTIF('Detalle individual'!$D$5:$D$1000,"&lt;"&amp;'Detalle individual'!D663),""))</f>
        <v/>
      </c>
      <c r="AH663" t="str">
        <f>IF('Detalle individual'!F663="Pendiente",COUNTIF('Detalle individual'!$D$5:$D$1000,"&lt;"&amp;'Detalle individual'!D663)*1000000+COUNTIF('Detalle individual'!$C$5:$C$1000,"&lt;"&amp;'Detalle individual'!C663)*1000+COUNTIF('Detalle individual'!$B$5:$B$1000,"&lt;"&amp;'Detalle individual'!B663)+ROW()/10000,"")</f>
        <v/>
      </c>
      <c r="AI663" t="str">
        <f>IF('Detalle individual'!F663="Completado",COUNTIF('Detalle individual'!$D$5:$D$1000,"&lt;"&amp;'Detalle individual'!D663)*1000000+COUNTIF('Detalle individual'!$C$5:$C$1000,"&lt;"&amp;'Detalle individual'!C663)*1000+COUNTIF('Detalle individual'!$B$5:$B$1000,"&lt;"&amp;'Detalle individual'!B663)+ROW()/10000,"")</f>
        <v/>
      </c>
      <c r="AJ663" t="str">
        <f>IF(AND('Detalle individual'!F663&lt;&gt;"",'Detalle individual'!F663&lt;&gt;"Completado",'Detalle individual'!F663&lt;&gt;"Pendiente"),COUNTIF('Detalle individual'!$D$5:$D$1000,"&lt;"&amp;'Detalle individual'!D663)*1000000+COUNTIF('Detalle individual'!$C$5:$C$1000,"&lt;"&amp;'Detalle individual'!C663)*1000+COUNTIF('Detalle individual'!$B$5:$B$1000,"&lt;"&amp;'Detalle individual'!B663)+ROW()/10000,"")</f>
        <v/>
      </c>
      <c r="AK663" t="str">
        <f>IF(OR('Base Exámenes'!C663="",'Base Exámenes'!D663=""),"",IF(COUNTIF('Base Exámenes'!$C$5:C663,'Base Exámenes'!C663)=1,'Base Exámenes'!D663+ROW()/1000000000,""))</f>
        <v/>
      </c>
      <c r="AL663" t="str">
        <f>IF(OR('Base Exámenes'!C663="",'Base Exámenes'!E663=""),"",IF(COUNTIF('Base Exámenes'!$C$5:C663,'Base Exámenes'!C663)=1,'Base Exámenes'!E663+ROW()/1000000000,""))</f>
        <v/>
      </c>
      <c r="AM663" t="str">
        <f>IF(OR('Base Exámenes'!C663="",'Base Exámenes'!G663=""),"",IF(ROW()-4=MATCH('Base Exámenes'!C663&amp;"|"&amp;_xlfn.MAXIFS('Base Exámenes'!$G$5:$G$1000,'Base Exámenes'!$C$5:$C$1000,'Base Exámenes'!C663),'Base Exámenes'!$I$5:$I$1000,0),'Base Exámenes'!G663*1000000+(-1)*'Base Exámenes'!D663,""))</f>
        <v/>
      </c>
      <c r="AQ663" t="str">
        <f>IF('Base Exámenes'!C663="","",IF(COUNTIF('Base Exámenes'!$C$5:$C$1000,'Base Exámenes'!C663)&lt;2,"",MATCH('Base Exámenes'!C663,'Base Exámenes'!$C$5:$C$1000,0)*10000+ROW()))</f>
        <v/>
      </c>
    </row>
    <row r="664">
      <c r="Z664" t="str">
        <f>IF('Detalle individual'!A664="","",IF(AND(OR('Estado por Colaborador'!$D$4="Todas las gerencias",'Detalle individual'!D664='Estado por Colaborador'!$D$4),OR('Estado por Colaborador'!$D$5="Todos los departamentos",TRIM('Detalle individual'!C664)='Estado por Colaborador'!$D$5),OR('Estado por Colaborador'!$D$6="Todos",'Detalle individual'!F664='Estado por Colaborador'!$D$6)),IF('Detalle individual'!F664="Completado",30000000,IF('Detalle individual'!F664="Pendiente",0,15000000))+COUNTIF('Detalle individual'!$C$5:$C$1000,"&lt;"&amp;'Detalle individual'!C664)*10000+ROW(),""))</f>
        <v/>
      </c>
      <c r="AB664" t="str">
        <f>IF('Detalle individual'!C664="","",IF(COUNTIF('Detalle individual'!$C$5:C664,'Detalle individual'!C664)=1,COUNTIF('Detalle individual'!$C$5:$C$1000,"&lt;"&amp;'Detalle individual'!C664),""))</f>
        <v/>
      </c>
      <c r="AC664" t="str">
        <f>IF('Detalle individual'!D664="","",IF(COUNTIF('Detalle individual'!$D$5:D664,'Detalle individual'!D664)=1,COUNTIF('Detalle individual'!$D$5:$D$1000,"&lt;"&amp;'Detalle individual'!D664),""))</f>
        <v/>
      </c>
      <c r="AH664" t="str">
        <f>IF('Detalle individual'!F664="Pendiente",COUNTIF('Detalle individual'!$D$5:$D$1000,"&lt;"&amp;'Detalle individual'!D664)*1000000+COUNTIF('Detalle individual'!$C$5:$C$1000,"&lt;"&amp;'Detalle individual'!C664)*1000+COUNTIF('Detalle individual'!$B$5:$B$1000,"&lt;"&amp;'Detalle individual'!B664)+ROW()/10000,"")</f>
        <v/>
      </c>
      <c r="AI664" t="str">
        <f>IF('Detalle individual'!F664="Completado",COUNTIF('Detalle individual'!$D$5:$D$1000,"&lt;"&amp;'Detalle individual'!D664)*1000000+COUNTIF('Detalle individual'!$C$5:$C$1000,"&lt;"&amp;'Detalle individual'!C664)*1000+COUNTIF('Detalle individual'!$B$5:$B$1000,"&lt;"&amp;'Detalle individual'!B664)+ROW()/10000,"")</f>
        <v/>
      </c>
      <c r="AJ664" t="str">
        <f>IF(AND('Detalle individual'!F664&lt;&gt;"",'Detalle individual'!F664&lt;&gt;"Completado",'Detalle individual'!F664&lt;&gt;"Pendiente"),COUNTIF('Detalle individual'!$D$5:$D$1000,"&lt;"&amp;'Detalle individual'!D664)*1000000+COUNTIF('Detalle individual'!$C$5:$C$1000,"&lt;"&amp;'Detalle individual'!C664)*1000+COUNTIF('Detalle individual'!$B$5:$B$1000,"&lt;"&amp;'Detalle individual'!B664)+ROW()/10000,"")</f>
        <v/>
      </c>
      <c r="AK664" t="str">
        <f>IF(OR('Base Exámenes'!C664="",'Base Exámenes'!D664=""),"",IF(COUNTIF('Base Exámenes'!$C$5:C664,'Base Exámenes'!C664)=1,'Base Exámenes'!D664+ROW()/1000000000,""))</f>
        <v/>
      </c>
      <c r="AL664" t="str">
        <f>IF(OR('Base Exámenes'!C664="",'Base Exámenes'!E664=""),"",IF(COUNTIF('Base Exámenes'!$C$5:C664,'Base Exámenes'!C664)=1,'Base Exámenes'!E664+ROW()/1000000000,""))</f>
        <v/>
      </c>
      <c r="AM664" t="str">
        <f>IF(OR('Base Exámenes'!C664="",'Base Exámenes'!G664=""),"",IF(ROW()-4=MATCH('Base Exámenes'!C664&amp;"|"&amp;_xlfn.MAXIFS('Base Exámenes'!$G$5:$G$1000,'Base Exámenes'!$C$5:$C$1000,'Base Exámenes'!C664),'Base Exámenes'!$I$5:$I$1000,0),'Base Exámenes'!G664*1000000+(-1)*'Base Exámenes'!D664,""))</f>
        <v/>
      </c>
      <c r="AQ664" t="str">
        <f>IF('Base Exámenes'!C664="","",IF(COUNTIF('Base Exámenes'!$C$5:$C$1000,'Base Exámenes'!C664)&lt;2,"",MATCH('Base Exámenes'!C664,'Base Exámenes'!$C$5:$C$1000,0)*10000+ROW()))</f>
        <v/>
      </c>
    </row>
    <row r="665">
      <c r="Z665" t="str">
        <f>IF('Detalle individual'!A665="","",IF(AND(OR('Estado por Colaborador'!$D$4="Todas las gerencias",'Detalle individual'!D665='Estado por Colaborador'!$D$4),OR('Estado por Colaborador'!$D$5="Todos los departamentos",TRIM('Detalle individual'!C665)='Estado por Colaborador'!$D$5),OR('Estado por Colaborador'!$D$6="Todos",'Detalle individual'!F665='Estado por Colaborador'!$D$6)),IF('Detalle individual'!F665="Completado",30000000,IF('Detalle individual'!F665="Pendiente",0,15000000))+COUNTIF('Detalle individual'!$C$5:$C$1000,"&lt;"&amp;'Detalle individual'!C665)*10000+ROW(),""))</f>
        <v/>
      </c>
      <c r="AB665" t="str">
        <f>IF('Detalle individual'!C665="","",IF(COUNTIF('Detalle individual'!$C$5:C665,'Detalle individual'!C665)=1,COUNTIF('Detalle individual'!$C$5:$C$1000,"&lt;"&amp;'Detalle individual'!C665),""))</f>
        <v/>
      </c>
      <c r="AC665" t="str">
        <f>IF('Detalle individual'!D665="","",IF(COUNTIF('Detalle individual'!$D$5:D665,'Detalle individual'!D665)=1,COUNTIF('Detalle individual'!$D$5:$D$1000,"&lt;"&amp;'Detalle individual'!D665),""))</f>
        <v/>
      </c>
      <c r="AH665" t="str">
        <f>IF('Detalle individual'!F665="Pendiente",COUNTIF('Detalle individual'!$D$5:$D$1000,"&lt;"&amp;'Detalle individual'!D665)*1000000+COUNTIF('Detalle individual'!$C$5:$C$1000,"&lt;"&amp;'Detalle individual'!C665)*1000+COUNTIF('Detalle individual'!$B$5:$B$1000,"&lt;"&amp;'Detalle individual'!B665)+ROW()/10000,"")</f>
        <v/>
      </c>
      <c r="AI665" t="str">
        <f>IF('Detalle individual'!F665="Completado",COUNTIF('Detalle individual'!$D$5:$D$1000,"&lt;"&amp;'Detalle individual'!D665)*1000000+COUNTIF('Detalle individual'!$C$5:$C$1000,"&lt;"&amp;'Detalle individual'!C665)*1000+COUNTIF('Detalle individual'!$B$5:$B$1000,"&lt;"&amp;'Detalle individual'!B665)+ROW()/10000,"")</f>
        <v/>
      </c>
      <c r="AJ665" t="str">
        <f>IF(AND('Detalle individual'!F665&lt;&gt;"",'Detalle individual'!F665&lt;&gt;"Completado",'Detalle individual'!F665&lt;&gt;"Pendiente"),COUNTIF('Detalle individual'!$D$5:$D$1000,"&lt;"&amp;'Detalle individual'!D665)*1000000+COUNTIF('Detalle individual'!$C$5:$C$1000,"&lt;"&amp;'Detalle individual'!C665)*1000+COUNTIF('Detalle individual'!$B$5:$B$1000,"&lt;"&amp;'Detalle individual'!B665)+ROW()/10000,"")</f>
        <v/>
      </c>
      <c r="AK665" t="str">
        <f>IF(OR('Base Exámenes'!C665="",'Base Exámenes'!D665=""),"",IF(COUNTIF('Base Exámenes'!$C$5:C665,'Base Exámenes'!C665)=1,'Base Exámenes'!D665+ROW()/1000000000,""))</f>
        <v/>
      </c>
      <c r="AL665" t="str">
        <f>IF(OR('Base Exámenes'!C665="",'Base Exámenes'!E665=""),"",IF(COUNTIF('Base Exámenes'!$C$5:C665,'Base Exámenes'!C665)=1,'Base Exámenes'!E665+ROW()/1000000000,""))</f>
        <v/>
      </c>
      <c r="AM665" t="str">
        <f>IF(OR('Base Exámenes'!C665="",'Base Exámenes'!G665=""),"",IF(ROW()-4=MATCH('Base Exámenes'!C665&amp;"|"&amp;_xlfn.MAXIFS('Base Exámenes'!$G$5:$G$1000,'Base Exámenes'!$C$5:$C$1000,'Base Exámenes'!C665),'Base Exámenes'!$I$5:$I$1000,0),'Base Exámenes'!G665*1000000+(-1)*'Base Exámenes'!D665,""))</f>
        <v/>
      </c>
      <c r="AQ665" t="str">
        <f>IF('Base Exámenes'!C665="","",IF(COUNTIF('Base Exámenes'!$C$5:$C$1000,'Base Exámenes'!C665)&lt;2,"",MATCH('Base Exámenes'!C665,'Base Exámenes'!$C$5:$C$1000,0)*10000+ROW()))</f>
        <v/>
      </c>
    </row>
    <row r="666">
      <c r="Z666" t="str">
        <f>IF('Detalle individual'!A666="","",IF(AND(OR('Estado por Colaborador'!$D$4="Todas las gerencias",'Detalle individual'!D666='Estado por Colaborador'!$D$4),OR('Estado por Colaborador'!$D$5="Todos los departamentos",TRIM('Detalle individual'!C666)='Estado por Colaborador'!$D$5),OR('Estado por Colaborador'!$D$6="Todos",'Detalle individual'!F666='Estado por Colaborador'!$D$6)),IF('Detalle individual'!F666="Completado",30000000,IF('Detalle individual'!F666="Pendiente",0,15000000))+COUNTIF('Detalle individual'!$C$5:$C$1000,"&lt;"&amp;'Detalle individual'!C666)*10000+ROW(),""))</f>
        <v/>
      </c>
      <c r="AB666" t="str">
        <f>IF('Detalle individual'!C666="","",IF(COUNTIF('Detalle individual'!$C$5:C666,'Detalle individual'!C666)=1,COUNTIF('Detalle individual'!$C$5:$C$1000,"&lt;"&amp;'Detalle individual'!C666),""))</f>
        <v/>
      </c>
      <c r="AC666" t="str">
        <f>IF('Detalle individual'!D666="","",IF(COUNTIF('Detalle individual'!$D$5:D666,'Detalle individual'!D666)=1,COUNTIF('Detalle individual'!$D$5:$D$1000,"&lt;"&amp;'Detalle individual'!D666),""))</f>
        <v/>
      </c>
      <c r="AH666" t="str">
        <f>IF('Detalle individual'!F666="Pendiente",COUNTIF('Detalle individual'!$D$5:$D$1000,"&lt;"&amp;'Detalle individual'!D666)*1000000+COUNTIF('Detalle individual'!$C$5:$C$1000,"&lt;"&amp;'Detalle individual'!C666)*1000+COUNTIF('Detalle individual'!$B$5:$B$1000,"&lt;"&amp;'Detalle individual'!B666)+ROW()/10000,"")</f>
        <v/>
      </c>
      <c r="AI666" t="str">
        <f>IF('Detalle individual'!F666="Completado",COUNTIF('Detalle individual'!$D$5:$D$1000,"&lt;"&amp;'Detalle individual'!D666)*1000000+COUNTIF('Detalle individual'!$C$5:$C$1000,"&lt;"&amp;'Detalle individual'!C666)*1000+COUNTIF('Detalle individual'!$B$5:$B$1000,"&lt;"&amp;'Detalle individual'!B666)+ROW()/10000,"")</f>
        <v/>
      </c>
      <c r="AJ666" t="str">
        <f>IF(AND('Detalle individual'!F666&lt;&gt;"",'Detalle individual'!F666&lt;&gt;"Completado",'Detalle individual'!F666&lt;&gt;"Pendiente"),COUNTIF('Detalle individual'!$D$5:$D$1000,"&lt;"&amp;'Detalle individual'!D666)*1000000+COUNTIF('Detalle individual'!$C$5:$C$1000,"&lt;"&amp;'Detalle individual'!C666)*1000+COUNTIF('Detalle individual'!$B$5:$B$1000,"&lt;"&amp;'Detalle individual'!B666)+ROW()/10000,"")</f>
        <v/>
      </c>
      <c r="AK666" t="str">
        <f>IF(OR('Base Exámenes'!C666="",'Base Exámenes'!D666=""),"",IF(COUNTIF('Base Exámenes'!$C$5:C666,'Base Exámenes'!C666)=1,'Base Exámenes'!D666+ROW()/1000000000,""))</f>
        <v/>
      </c>
      <c r="AL666" t="str">
        <f>IF(OR('Base Exámenes'!C666="",'Base Exámenes'!E666=""),"",IF(COUNTIF('Base Exámenes'!$C$5:C666,'Base Exámenes'!C666)=1,'Base Exámenes'!E666+ROW()/1000000000,""))</f>
        <v/>
      </c>
      <c r="AM666" t="str">
        <f>IF(OR('Base Exámenes'!C666="",'Base Exámenes'!G666=""),"",IF(ROW()-4=MATCH('Base Exámenes'!C666&amp;"|"&amp;_xlfn.MAXIFS('Base Exámenes'!$G$5:$G$1000,'Base Exámenes'!$C$5:$C$1000,'Base Exámenes'!C666),'Base Exámenes'!$I$5:$I$1000,0),'Base Exámenes'!G666*1000000+(-1)*'Base Exámenes'!D666,""))</f>
        <v/>
      </c>
      <c r="AQ666" t="str">
        <f>IF('Base Exámenes'!C666="","",IF(COUNTIF('Base Exámenes'!$C$5:$C$1000,'Base Exámenes'!C666)&lt;2,"",MATCH('Base Exámenes'!C666,'Base Exámenes'!$C$5:$C$1000,0)*10000+ROW()))</f>
        <v/>
      </c>
    </row>
    <row r="667">
      <c r="Z667" t="str">
        <f>IF('Detalle individual'!A667="","",IF(AND(OR('Estado por Colaborador'!$D$4="Todas las gerencias",'Detalle individual'!D667='Estado por Colaborador'!$D$4),OR('Estado por Colaborador'!$D$5="Todos los departamentos",TRIM('Detalle individual'!C667)='Estado por Colaborador'!$D$5),OR('Estado por Colaborador'!$D$6="Todos",'Detalle individual'!F667='Estado por Colaborador'!$D$6)),IF('Detalle individual'!F667="Completado",30000000,IF('Detalle individual'!F667="Pendiente",0,15000000))+COUNTIF('Detalle individual'!$C$5:$C$1000,"&lt;"&amp;'Detalle individual'!C667)*10000+ROW(),""))</f>
        <v/>
      </c>
      <c r="AB667" t="str">
        <f>IF('Detalle individual'!C667="","",IF(COUNTIF('Detalle individual'!$C$5:C667,'Detalle individual'!C667)=1,COUNTIF('Detalle individual'!$C$5:$C$1000,"&lt;"&amp;'Detalle individual'!C667),""))</f>
        <v/>
      </c>
      <c r="AC667" t="str">
        <f>IF('Detalle individual'!D667="","",IF(COUNTIF('Detalle individual'!$D$5:D667,'Detalle individual'!D667)=1,COUNTIF('Detalle individual'!$D$5:$D$1000,"&lt;"&amp;'Detalle individual'!D667),""))</f>
        <v/>
      </c>
      <c r="AH667" t="str">
        <f>IF('Detalle individual'!F667="Pendiente",COUNTIF('Detalle individual'!$D$5:$D$1000,"&lt;"&amp;'Detalle individual'!D667)*1000000+COUNTIF('Detalle individual'!$C$5:$C$1000,"&lt;"&amp;'Detalle individual'!C667)*1000+COUNTIF('Detalle individual'!$B$5:$B$1000,"&lt;"&amp;'Detalle individual'!B667)+ROW()/10000,"")</f>
        <v/>
      </c>
      <c r="AI667" t="str">
        <f>IF('Detalle individual'!F667="Completado",COUNTIF('Detalle individual'!$D$5:$D$1000,"&lt;"&amp;'Detalle individual'!D667)*1000000+COUNTIF('Detalle individual'!$C$5:$C$1000,"&lt;"&amp;'Detalle individual'!C667)*1000+COUNTIF('Detalle individual'!$B$5:$B$1000,"&lt;"&amp;'Detalle individual'!B667)+ROW()/10000,"")</f>
        <v/>
      </c>
      <c r="AJ667" t="str">
        <f>IF(AND('Detalle individual'!F667&lt;&gt;"",'Detalle individual'!F667&lt;&gt;"Completado",'Detalle individual'!F667&lt;&gt;"Pendiente"),COUNTIF('Detalle individual'!$D$5:$D$1000,"&lt;"&amp;'Detalle individual'!D667)*1000000+COUNTIF('Detalle individual'!$C$5:$C$1000,"&lt;"&amp;'Detalle individual'!C667)*1000+COUNTIF('Detalle individual'!$B$5:$B$1000,"&lt;"&amp;'Detalle individual'!B667)+ROW()/10000,"")</f>
        <v/>
      </c>
      <c r="AK667" t="str">
        <f>IF(OR('Base Exámenes'!C667="",'Base Exámenes'!D667=""),"",IF(COUNTIF('Base Exámenes'!$C$5:C667,'Base Exámenes'!C667)=1,'Base Exámenes'!D667+ROW()/1000000000,""))</f>
        <v/>
      </c>
      <c r="AL667" t="str">
        <f>IF(OR('Base Exámenes'!C667="",'Base Exámenes'!E667=""),"",IF(COUNTIF('Base Exámenes'!$C$5:C667,'Base Exámenes'!C667)=1,'Base Exámenes'!E667+ROW()/1000000000,""))</f>
        <v/>
      </c>
      <c r="AM667" t="str">
        <f>IF(OR('Base Exámenes'!C667="",'Base Exámenes'!G667=""),"",IF(ROW()-4=MATCH('Base Exámenes'!C667&amp;"|"&amp;_xlfn.MAXIFS('Base Exámenes'!$G$5:$G$1000,'Base Exámenes'!$C$5:$C$1000,'Base Exámenes'!C667),'Base Exámenes'!$I$5:$I$1000,0),'Base Exámenes'!G667*1000000+(-1)*'Base Exámenes'!D667,""))</f>
        <v/>
      </c>
      <c r="AQ667" t="str">
        <f>IF('Base Exámenes'!C667="","",IF(COUNTIF('Base Exámenes'!$C$5:$C$1000,'Base Exámenes'!C667)&lt;2,"",MATCH('Base Exámenes'!C667,'Base Exámenes'!$C$5:$C$1000,0)*10000+ROW()))</f>
        <v/>
      </c>
    </row>
    <row r="668">
      <c r="Z668" t="str">
        <f>IF('Detalle individual'!A668="","",IF(AND(OR('Estado por Colaborador'!$D$4="Todas las gerencias",'Detalle individual'!D668='Estado por Colaborador'!$D$4),OR('Estado por Colaborador'!$D$5="Todos los departamentos",TRIM('Detalle individual'!C668)='Estado por Colaborador'!$D$5),OR('Estado por Colaborador'!$D$6="Todos",'Detalle individual'!F668='Estado por Colaborador'!$D$6)),IF('Detalle individual'!F668="Completado",30000000,IF('Detalle individual'!F668="Pendiente",0,15000000))+COUNTIF('Detalle individual'!$C$5:$C$1000,"&lt;"&amp;'Detalle individual'!C668)*10000+ROW(),""))</f>
        <v/>
      </c>
      <c r="AB668" t="str">
        <f>IF('Detalle individual'!C668="","",IF(COUNTIF('Detalle individual'!$C$5:C668,'Detalle individual'!C668)=1,COUNTIF('Detalle individual'!$C$5:$C$1000,"&lt;"&amp;'Detalle individual'!C668),""))</f>
        <v/>
      </c>
      <c r="AC668" t="str">
        <f>IF('Detalle individual'!D668="","",IF(COUNTIF('Detalle individual'!$D$5:D668,'Detalle individual'!D668)=1,COUNTIF('Detalle individual'!$D$5:$D$1000,"&lt;"&amp;'Detalle individual'!D668),""))</f>
        <v/>
      </c>
      <c r="AH668" t="str">
        <f>IF('Detalle individual'!F668="Pendiente",COUNTIF('Detalle individual'!$D$5:$D$1000,"&lt;"&amp;'Detalle individual'!D668)*1000000+COUNTIF('Detalle individual'!$C$5:$C$1000,"&lt;"&amp;'Detalle individual'!C668)*1000+COUNTIF('Detalle individual'!$B$5:$B$1000,"&lt;"&amp;'Detalle individual'!B668)+ROW()/10000,"")</f>
        <v/>
      </c>
      <c r="AI668" t="str">
        <f>IF('Detalle individual'!F668="Completado",COUNTIF('Detalle individual'!$D$5:$D$1000,"&lt;"&amp;'Detalle individual'!D668)*1000000+COUNTIF('Detalle individual'!$C$5:$C$1000,"&lt;"&amp;'Detalle individual'!C668)*1000+COUNTIF('Detalle individual'!$B$5:$B$1000,"&lt;"&amp;'Detalle individual'!B668)+ROW()/10000,"")</f>
        <v/>
      </c>
      <c r="AJ668" t="str">
        <f>IF(AND('Detalle individual'!F668&lt;&gt;"",'Detalle individual'!F668&lt;&gt;"Completado",'Detalle individual'!F668&lt;&gt;"Pendiente"),COUNTIF('Detalle individual'!$D$5:$D$1000,"&lt;"&amp;'Detalle individual'!D668)*1000000+COUNTIF('Detalle individual'!$C$5:$C$1000,"&lt;"&amp;'Detalle individual'!C668)*1000+COUNTIF('Detalle individual'!$B$5:$B$1000,"&lt;"&amp;'Detalle individual'!B668)+ROW()/10000,"")</f>
        <v/>
      </c>
      <c r="AK668" t="str">
        <f>IF(OR('Base Exámenes'!C668="",'Base Exámenes'!D668=""),"",IF(COUNTIF('Base Exámenes'!$C$5:C668,'Base Exámenes'!C668)=1,'Base Exámenes'!D668+ROW()/1000000000,""))</f>
        <v/>
      </c>
      <c r="AL668" t="str">
        <f>IF(OR('Base Exámenes'!C668="",'Base Exámenes'!E668=""),"",IF(COUNTIF('Base Exámenes'!$C$5:C668,'Base Exámenes'!C668)=1,'Base Exámenes'!E668+ROW()/1000000000,""))</f>
        <v/>
      </c>
      <c r="AM668" t="str">
        <f>IF(OR('Base Exámenes'!C668="",'Base Exámenes'!G668=""),"",IF(ROW()-4=MATCH('Base Exámenes'!C668&amp;"|"&amp;_xlfn.MAXIFS('Base Exámenes'!$G$5:$G$1000,'Base Exámenes'!$C$5:$C$1000,'Base Exámenes'!C668),'Base Exámenes'!$I$5:$I$1000,0),'Base Exámenes'!G668*1000000+(-1)*'Base Exámenes'!D668,""))</f>
        <v/>
      </c>
      <c r="AQ668" t="str">
        <f>IF('Base Exámenes'!C668="","",IF(COUNTIF('Base Exámenes'!$C$5:$C$1000,'Base Exámenes'!C668)&lt;2,"",MATCH('Base Exámenes'!C668,'Base Exámenes'!$C$5:$C$1000,0)*10000+ROW()))</f>
        <v/>
      </c>
    </row>
    <row r="669">
      <c r="Z669" t="str">
        <f>IF('Detalle individual'!A669="","",IF(AND(OR('Estado por Colaborador'!$D$4="Todas las gerencias",'Detalle individual'!D669='Estado por Colaborador'!$D$4),OR('Estado por Colaborador'!$D$5="Todos los departamentos",TRIM('Detalle individual'!C669)='Estado por Colaborador'!$D$5),OR('Estado por Colaborador'!$D$6="Todos",'Detalle individual'!F669='Estado por Colaborador'!$D$6)),IF('Detalle individual'!F669="Completado",30000000,IF('Detalle individual'!F669="Pendiente",0,15000000))+COUNTIF('Detalle individual'!$C$5:$C$1000,"&lt;"&amp;'Detalle individual'!C669)*10000+ROW(),""))</f>
        <v/>
      </c>
      <c r="AB669" t="str">
        <f>IF('Detalle individual'!C669="","",IF(COUNTIF('Detalle individual'!$C$5:C669,'Detalle individual'!C669)=1,COUNTIF('Detalle individual'!$C$5:$C$1000,"&lt;"&amp;'Detalle individual'!C669),""))</f>
        <v/>
      </c>
      <c r="AC669" t="str">
        <f>IF('Detalle individual'!D669="","",IF(COUNTIF('Detalle individual'!$D$5:D669,'Detalle individual'!D669)=1,COUNTIF('Detalle individual'!$D$5:$D$1000,"&lt;"&amp;'Detalle individual'!D669),""))</f>
        <v/>
      </c>
      <c r="AH669" t="str">
        <f>IF('Detalle individual'!F669="Pendiente",COUNTIF('Detalle individual'!$D$5:$D$1000,"&lt;"&amp;'Detalle individual'!D669)*1000000+COUNTIF('Detalle individual'!$C$5:$C$1000,"&lt;"&amp;'Detalle individual'!C669)*1000+COUNTIF('Detalle individual'!$B$5:$B$1000,"&lt;"&amp;'Detalle individual'!B669)+ROW()/10000,"")</f>
        <v/>
      </c>
      <c r="AI669" t="str">
        <f>IF('Detalle individual'!F669="Completado",COUNTIF('Detalle individual'!$D$5:$D$1000,"&lt;"&amp;'Detalle individual'!D669)*1000000+COUNTIF('Detalle individual'!$C$5:$C$1000,"&lt;"&amp;'Detalle individual'!C669)*1000+COUNTIF('Detalle individual'!$B$5:$B$1000,"&lt;"&amp;'Detalle individual'!B669)+ROW()/10000,"")</f>
        <v/>
      </c>
      <c r="AJ669" t="str">
        <f>IF(AND('Detalle individual'!F669&lt;&gt;"",'Detalle individual'!F669&lt;&gt;"Completado",'Detalle individual'!F669&lt;&gt;"Pendiente"),COUNTIF('Detalle individual'!$D$5:$D$1000,"&lt;"&amp;'Detalle individual'!D669)*1000000+COUNTIF('Detalle individual'!$C$5:$C$1000,"&lt;"&amp;'Detalle individual'!C669)*1000+COUNTIF('Detalle individual'!$B$5:$B$1000,"&lt;"&amp;'Detalle individual'!B669)+ROW()/10000,"")</f>
        <v/>
      </c>
      <c r="AK669" t="str">
        <f>IF(OR('Base Exámenes'!C669="",'Base Exámenes'!D669=""),"",IF(COUNTIF('Base Exámenes'!$C$5:C669,'Base Exámenes'!C669)=1,'Base Exámenes'!D669+ROW()/1000000000,""))</f>
        <v/>
      </c>
      <c r="AL669" t="str">
        <f>IF(OR('Base Exámenes'!C669="",'Base Exámenes'!E669=""),"",IF(COUNTIF('Base Exámenes'!$C$5:C669,'Base Exámenes'!C669)=1,'Base Exámenes'!E669+ROW()/1000000000,""))</f>
        <v/>
      </c>
      <c r="AM669" t="str">
        <f>IF(OR('Base Exámenes'!C669="",'Base Exámenes'!G669=""),"",IF(ROW()-4=MATCH('Base Exámenes'!C669&amp;"|"&amp;_xlfn.MAXIFS('Base Exámenes'!$G$5:$G$1000,'Base Exámenes'!$C$5:$C$1000,'Base Exámenes'!C669),'Base Exámenes'!$I$5:$I$1000,0),'Base Exámenes'!G669*1000000+(-1)*'Base Exámenes'!D669,""))</f>
        <v/>
      </c>
      <c r="AQ669" t="str">
        <f>IF('Base Exámenes'!C669="","",IF(COUNTIF('Base Exámenes'!$C$5:$C$1000,'Base Exámenes'!C669)&lt;2,"",MATCH('Base Exámenes'!C669,'Base Exámenes'!$C$5:$C$1000,0)*10000+ROW()))</f>
        <v/>
      </c>
    </row>
    <row r="670">
      <c r="Z670" t="str">
        <f>IF('Detalle individual'!A670="","",IF(AND(OR('Estado por Colaborador'!$D$4="Todas las gerencias",'Detalle individual'!D670='Estado por Colaborador'!$D$4),OR('Estado por Colaborador'!$D$5="Todos los departamentos",TRIM('Detalle individual'!C670)='Estado por Colaborador'!$D$5),OR('Estado por Colaborador'!$D$6="Todos",'Detalle individual'!F670='Estado por Colaborador'!$D$6)),IF('Detalle individual'!F670="Completado",30000000,IF('Detalle individual'!F670="Pendiente",0,15000000))+COUNTIF('Detalle individual'!$C$5:$C$1000,"&lt;"&amp;'Detalle individual'!C670)*10000+ROW(),""))</f>
        <v/>
      </c>
      <c r="AB670" t="str">
        <f>IF('Detalle individual'!C670="","",IF(COUNTIF('Detalle individual'!$C$5:C670,'Detalle individual'!C670)=1,COUNTIF('Detalle individual'!$C$5:$C$1000,"&lt;"&amp;'Detalle individual'!C670),""))</f>
        <v/>
      </c>
      <c r="AC670" t="str">
        <f>IF('Detalle individual'!D670="","",IF(COUNTIF('Detalle individual'!$D$5:D670,'Detalle individual'!D670)=1,COUNTIF('Detalle individual'!$D$5:$D$1000,"&lt;"&amp;'Detalle individual'!D670),""))</f>
        <v/>
      </c>
      <c r="AH670" t="str">
        <f>IF('Detalle individual'!F670="Pendiente",COUNTIF('Detalle individual'!$D$5:$D$1000,"&lt;"&amp;'Detalle individual'!D670)*1000000+COUNTIF('Detalle individual'!$C$5:$C$1000,"&lt;"&amp;'Detalle individual'!C670)*1000+COUNTIF('Detalle individual'!$B$5:$B$1000,"&lt;"&amp;'Detalle individual'!B670)+ROW()/10000,"")</f>
        <v/>
      </c>
      <c r="AI670" t="str">
        <f>IF('Detalle individual'!F670="Completado",COUNTIF('Detalle individual'!$D$5:$D$1000,"&lt;"&amp;'Detalle individual'!D670)*1000000+COUNTIF('Detalle individual'!$C$5:$C$1000,"&lt;"&amp;'Detalle individual'!C670)*1000+COUNTIF('Detalle individual'!$B$5:$B$1000,"&lt;"&amp;'Detalle individual'!B670)+ROW()/10000,"")</f>
        <v/>
      </c>
      <c r="AJ670" t="str">
        <f>IF(AND('Detalle individual'!F670&lt;&gt;"",'Detalle individual'!F670&lt;&gt;"Completado",'Detalle individual'!F670&lt;&gt;"Pendiente"),COUNTIF('Detalle individual'!$D$5:$D$1000,"&lt;"&amp;'Detalle individual'!D670)*1000000+COUNTIF('Detalle individual'!$C$5:$C$1000,"&lt;"&amp;'Detalle individual'!C670)*1000+COUNTIF('Detalle individual'!$B$5:$B$1000,"&lt;"&amp;'Detalle individual'!B670)+ROW()/10000,"")</f>
        <v/>
      </c>
      <c r="AK670" t="str">
        <f>IF(OR('Base Exámenes'!C670="",'Base Exámenes'!D670=""),"",IF(COUNTIF('Base Exámenes'!$C$5:C670,'Base Exámenes'!C670)=1,'Base Exámenes'!D670+ROW()/1000000000,""))</f>
        <v/>
      </c>
      <c r="AL670" t="str">
        <f>IF(OR('Base Exámenes'!C670="",'Base Exámenes'!E670=""),"",IF(COUNTIF('Base Exámenes'!$C$5:C670,'Base Exámenes'!C670)=1,'Base Exámenes'!E670+ROW()/1000000000,""))</f>
        <v/>
      </c>
      <c r="AM670" t="str">
        <f>IF(OR('Base Exámenes'!C670="",'Base Exámenes'!G670=""),"",IF(ROW()-4=MATCH('Base Exámenes'!C670&amp;"|"&amp;_xlfn.MAXIFS('Base Exámenes'!$G$5:$G$1000,'Base Exámenes'!$C$5:$C$1000,'Base Exámenes'!C670),'Base Exámenes'!$I$5:$I$1000,0),'Base Exámenes'!G670*1000000+(-1)*'Base Exámenes'!D670,""))</f>
        <v/>
      </c>
      <c r="AQ670" t="str">
        <f>IF('Base Exámenes'!C670="","",IF(COUNTIF('Base Exámenes'!$C$5:$C$1000,'Base Exámenes'!C670)&lt;2,"",MATCH('Base Exámenes'!C670,'Base Exámenes'!$C$5:$C$1000,0)*10000+ROW()))</f>
        <v/>
      </c>
    </row>
    <row r="671">
      <c r="Z671" t="str">
        <f>IF('Detalle individual'!A671="","",IF(AND(OR('Estado por Colaborador'!$D$4="Todas las gerencias",'Detalle individual'!D671='Estado por Colaborador'!$D$4),OR('Estado por Colaborador'!$D$5="Todos los departamentos",TRIM('Detalle individual'!C671)='Estado por Colaborador'!$D$5),OR('Estado por Colaborador'!$D$6="Todos",'Detalle individual'!F671='Estado por Colaborador'!$D$6)),IF('Detalle individual'!F671="Completado",30000000,IF('Detalle individual'!F671="Pendiente",0,15000000))+COUNTIF('Detalle individual'!$C$5:$C$1000,"&lt;"&amp;'Detalle individual'!C671)*10000+ROW(),""))</f>
        <v/>
      </c>
      <c r="AB671" t="str">
        <f>IF('Detalle individual'!C671="","",IF(COUNTIF('Detalle individual'!$C$5:C671,'Detalle individual'!C671)=1,COUNTIF('Detalle individual'!$C$5:$C$1000,"&lt;"&amp;'Detalle individual'!C671),""))</f>
        <v/>
      </c>
      <c r="AC671" t="str">
        <f>IF('Detalle individual'!D671="","",IF(COUNTIF('Detalle individual'!$D$5:D671,'Detalle individual'!D671)=1,COUNTIF('Detalle individual'!$D$5:$D$1000,"&lt;"&amp;'Detalle individual'!D671),""))</f>
        <v/>
      </c>
      <c r="AH671" t="str">
        <f>IF('Detalle individual'!F671="Pendiente",COUNTIF('Detalle individual'!$D$5:$D$1000,"&lt;"&amp;'Detalle individual'!D671)*1000000+COUNTIF('Detalle individual'!$C$5:$C$1000,"&lt;"&amp;'Detalle individual'!C671)*1000+COUNTIF('Detalle individual'!$B$5:$B$1000,"&lt;"&amp;'Detalle individual'!B671)+ROW()/10000,"")</f>
        <v/>
      </c>
      <c r="AI671" t="str">
        <f>IF('Detalle individual'!F671="Completado",COUNTIF('Detalle individual'!$D$5:$D$1000,"&lt;"&amp;'Detalle individual'!D671)*1000000+COUNTIF('Detalle individual'!$C$5:$C$1000,"&lt;"&amp;'Detalle individual'!C671)*1000+COUNTIF('Detalle individual'!$B$5:$B$1000,"&lt;"&amp;'Detalle individual'!B671)+ROW()/10000,"")</f>
        <v/>
      </c>
      <c r="AJ671" t="str">
        <f>IF(AND('Detalle individual'!F671&lt;&gt;"",'Detalle individual'!F671&lt;&gt;"Completado",'Detalle individual'!F671&lt;&gt;"Pendiente"),COUNTIF('Detalle individual'!$D$5:$D$1000,"&lt;"&amp;'Detalle individual'!D671)*1000000+COUNTIF('Detalle individual'!$C$5:$C$1000,"&lt;"&amp;'Detalle individual'!C671)*1000+COUNTIF('Detalle individual'!$B$5:$B$1000,"&lt;"&amp;'Detalle individual'!B671)+ROW()/10000,"")</f>
        <v/>
      </c>
      <c r="AK671" t="str">
        <f>IF(OR('Base Exámenes'!C671="",'Base Exámenes'!D671=""),"",IF(COUNTIF('Base Exámenes'!$C$5:C671,'Base Exámenes'!C671)=1,'Base Exámenes'!D671+ROW()/1000000000,""))</f>
        <v/>
      </c>
      <c r="AL671" t="str">
        <f>IF(OR('Base Exámenes'!C671="",'Base Exámenes'!E671=""),"",IF(COUNTIF('Base Exámenes'!$C$5:C671,'Base Exámenes'!C671)=1,'Base Exámenes'!E671+ROW()/1000000000,""))</f>
        <v/>
      </c>
      <c r="AM671" t="str">
        <f>IF(OR('Base Exámenes'!C671="",'Base Exámenes'!G671=""),"",IF(ROW()-4=MATCH('Base Exámenes'!C671&amp;"|"&amp;_xlfn.MAXIFS('Base Exámenes'!$G$5:$G$1000,'Base Exámenes'!$C$5:$C$1000,'Base Exámenes'!C671),'Base Exámenes'!$I$5:$I$1000,0),'Base Exámenes'!G671*1000000+(-1)*'Base Exámenes'!D671,""))</f>
        <v/>
      </c>
      <c r="AQ671" t="str">
        <f>IF('Base Exámenes'!C671="","",IF(COUNTIF('Base Exámenes'!$C$5:$C$1000,'Base Exámenes'!C671)&lt;2,"",MATCH('Base Exámenes'!C671,'Base Exámenes'!$C$5:$C$1000,0)*10000+ROW()))</f>
        <v/>
      </c>
    </row>
    <row r="672">
      <c r="Z672" t="str">
        <f>IF('Detalle individual'!A672="","",IF(AND(OR('Estado por Colaborador'!$D$4="Todas las gerencias",'Detalle individual'!D672='Estado por Colaborador'!$D$4),OR('Estado por Colaborador'!$D$5="Todos los departamentos",TRIM('Detalle individual'!C672)='Estado por Colaborador'!$D$5),OR('Estado por Colaborador'!$D$6="Todos",'Detalle individual'!F672='Estado por Colaborador'!$D$6)),IF('Detalle individual'!F672="Completado",30000000,IF('Detalle individual'!F672="Pendiente",0,15000000))+COUNTIF('Detalle individual'!$C$5:$C$1000,"&lt;"&amp;'Detalle individual'!C672)*10000+ROW(),""))</f>
        <v/>
      </c>
      <c r="AB672" t="str">
        <f>IF('Detalle individual'!C672="","",IF(COUNTIF('Detalle individual'!$C$5:C672,'Detalle individual'!C672)=1,COUNTIF('Detalle individual'!$C$5:$C$1000,"&lt;"&amp;'Detalle individual'!C672),""))</f>
        <v/>
      </c>
      <c r="AC672" t="str">
        <f>IF('Detalle individual'!D672="","",IF(COUNTIF('Detalle individual'!$D$5:D672,'Detalle individual'!D672)=1,COUNTIF('Detalle individual'!$D$5:$D$1000,"&lt;"&amp;'Detalle individual'!D672),""))</f>
        <v/>
      </c>
      <c r="AH672" t="str">
        <f>IF('Detalle individual'!F672="Pendiente",COUNTIF('Detalle individual'!$D$5:$D$1000,"&lt;"&amp;'Detalle individual'!D672)*1000000+COUNTIF('Detalle individual'!$C$5:$C$1000,"&lt;"&amp;'Detalle individual'!C672)*1000+COUNTIF('Detalle individual'!$B$5:$B$1000,"&lt;"&amp;'Detalle individual'!B672)+ROW()/10000,"")</f>
        <v/>
      </c>
      <c r="AI672" t="str">
        <f>IF('Detalle individual'!F672="Completado",COUNTIF('Detalle individual'!$D$5:$D$1000,"&lt;"&amp;'Detalle individual'!D672)*1000000+COUNTIF('Detalle individual'!$C$5:$C$1000,"&lt;"&amp;'Detalle individual'!C672)*1000+COUNTIF('Detalle individual'!$B$5:$B$1000,"&lt;"&amp;'Detalle individual'!B672)+ROW()/10000,"")</f>
        <v/>
      </c>
      <c r="AJ672" t="str">
        <f>IF(AND('Detalle individual'!F672&lt;&gt;"",'Detalle individual'!F672&lt;&gt;"Completado",'Detalle individual'!F672&lt;&gt;"Pendiente"),COUNTIF('Detalle individual'!$D$5:$D$1000,"&lt;"&amp;'Detalle individual'!D672)*1000000+COUNTIF('Detalle individual'!$C$5:$C$1000,"&lt;"&amp;'Detalle individual'!C672)*1000+COUNTIF('Detalle individual'!$B$5:$B$1000,"&lt;"&amp;'Detalle individual'!B672)+ROW()/10000,"")</f>
        <v/>
      </c>
      <c r="AK672" t="str">
        <f>IF(OR('Base Exámenes'!C672="",'Base Exámenes'!D672=""),"",IF(COUNTIF('Base Exámenes'!$C$5:C672,'Base Exámenes'!C672)=1,'Base Exámenes'!D672+ROW()/1000000000,""))</f>
        <v/>
      </c>
      <c r="AL672" t="str">
        <f>IF(OR('Base Exámenes'!C672="",'Base Exámenes'!E672=""),"",IF(COUNTIF('Base Exámenes'!$C$5:C672,'Base Exámenes'!C672)=1,'Base Exámenes'!E672+ROW()/1000000000,""))</f>
        <v/>
      </c>
      <c r="AM672" t="str">
        <f>IF(OR('Base Exámenes'!C672="",'Base Exámenes'!G672=""),"",IF(ROW()-4=MATCH('Base Exámenes'!C672&amp;"|"&amp;_xlfn.MAXIFS('Base Exámenes'!$G$5:$G$1000,'Base Exámenes'!$C$5:$C$1000,'Base Exámenes'!C672),'Base Exámenes'!$I$5:$I$1000,0),'Base Exámenes'!G672*1000000+(-1)*'Base Exámenes'!D672,""))</f>
        <v/>
      </c>
      <c r="AQ672" t="str">
        <f>IF('Base Exámenes'!C672="","",IF(COUNTIF('Base Exámenes'!$C$5:$C$1000,'Base Exámenes'!C672)&lt;2,"",MATCH('Base Exámenes'!C672,'Base Exámenes'!$C$5:$C$1000,0)*10000+ROW()))</f>
        <v/>
      </c>
    </row>
    <row r="673">
      <c r="Z673" t="str">
        <f>IF('Detalle individual'!A673="","",IF(AND(OR('Estado por Colaborador'!$D$4="Todas las gerencias",'Detalle individual'!D673='Estado por Colaborador'!$D$4),OR('Estado por Colaborador'!$D$5="Todos los departamentos",TRIM('Detalle individual'!C673)='Estado por Colaborador'!$D$5),OR('Estado por Colaborador'!$D$6="Todos",'Detalle individual'!F673='Estado por Colaborador'!$D$6)),IF('Detalle individual'!F673="Completado",30000000,IF('Detalle individual'!F673="Pendiente",0,15000000))+COUNTIF('Detalle individual'!$C$5:$C$1000,"&lt;"&amp;'Detalle individual'!C673)*10000+ROW(),""))</f>
        <v/>
      </c>
      <c r="AB673" t="str">
        <f>IF('Detalle individual'!C673="","",IF(COUNTIF('Detalle individual'!$C$5:C673,'Detalle individual'!C673)=1,COUNTIF('Detalle individual'!$C$5:$C$1000,"&lt;"&amp;'Detalle individual'!C673),""))</f>
        <v/>
      </c>
      <c r="AC673" t="str">
        <f>IF('Detalle individual'!D673="","",IF(COUNTIF('Detalle individual'!$D$5:D673,'Detalle individual'!D673)=1,COUNTIF('Detalle individual'!$D$5:$D$1000,"&lt;"&amp;'Detalle individual'!D673),""))</f>
        <v/>
      </c>
      <c r="AH673" t="str">
        <f>IF('Detalle individual'!F673="Pendiente",COUNTIF('Detalle individual'!$D$5:$D$1000,"&lt;"&amp;'Detalle individual'!D673)*1000000+COUNTIF('Detalle individual'!$C$5:$C$1000,"&lt;"&amp;'Detalle individual'!C673)*1000+COUNTIF('Detalle individual'!$B$5:$B$1000,"&lt;"&amp;'Detalle individual'!B673)+ROW()/10000,"")</f>
        <v/>
      </c>
      <c r="AI673" t="str">
        <f>IF('Detalle individual'!F673="Completado",COUNTIF('Detalle individual'!$D$5:$D$1000,"&lt;"&amp;'Detalle individual'!D673)*1000000+COUNTIF('Detalle individual'!$C$5:$C$1000,"&lt;"&amp;'Detalle individual'!C673)*1000+COUNTIF('Detalle individual'!$B$5:$B$1000,"&lt;"&amp;'Detalle individual'!B673)+ROW()/10000,"")</f>
        <v/>
      </c>
      <c r="AJ673" t="str">
        <f>IF(AND('Detalle individual'!F673&lt;&gt;"",'Detalle individual'!F673&lt;&gt;"Completado",'Detalle individual'!F673&lt;&gt;"Pendiente"),COUNTIF('Detalle individual'!$D$5:$D$1000,"&lt;"&amp;'Detalle individual'!D673)*1000000+COUNTIF('Detalle individual'!$C$5:$C$1000,"&lt;"&amp;'Detalle individual'!C673)*1000+COUNTIF('Detalle individual'!$B$5:$B$1000,"&lt;"&amp;'Detalle individual'!B673)+ROW()/10000,"")</f>
        <v/>
      </c>
      <c r="AK673" t="str">
        <f>IF(OR('Base Exámenes'!C673="",'Base Exámenes'!D673=""),"",IF(COUNTIF('Base Exámenes'!$C$5:C673,'Base Exámenes'!C673)=1,'Base Exámenes'!D673+ROW()/1000000000,""))</f>
        <v/>
      </c>
      <c r="AL673" t="str">
        <f>IF(OR('Base Exámenes'!C673="",'Base Exámenes'!E673=""),"",IF(COUNTIF('Base Exámenes'!$C$5:C673,'Base Exámenes'!C673)=1,'Base Exámenes'!E673+ROW()/1000000000,""))</f>
        <v/>
      </c>
      <c r="AM673" t="str">
        <f>IF(OR('Base Exámenes'!C673="",'Base Exámenes'!G673=""),"",IF(ROW()-4=MATCH('Base Exámenes'!C673&amp;"|"&amp;_xlfn.MAXIFS('Base Exámenes'!$G$5:$G$1000,'Base Exámenes'!$C$5:$C$1000,'Base Exámenes'!C673),'Base Exámenes'!$I$5:$I$1000,0),'Base Exámenes'!G673*1000000+(-1)*'Base Exámenes'!D673,""))</f>
        <v/>
      </c>
      <c r="AQ673" t="str">
        <f>IF('Base Exámenes'!C673="","",IF(COUNTIF('Base Exámenes'!$C$5:$C$1000,'Base Exámenes'!C673)&lt;2,"",MATCH('Base Exámenes'!C673,'Base Exámenes'!$C$5:$C$1000,0)*10000+ROW()))</f>
        <v/>
      </c>
    </row>
    <row r="674">
      <c r="Z674" t="str">
        <f>IF('Detalle individual'!A674="","",IF(AND(OR('Estado por Colaborador'!$D$4="Todas las gerencias",'Detalle individual'!D674='Estado por Colaborador'!$D$4),OR('Estado por Colaborador'!$D$5="Todos los departamentos",TRIM('Detalle individual'!C674)='Estado por Colaborador'!$D$5),OR('Estado por Colaborador'!$D$6="Todos",'Detalle individual'!F674='Estado por Colaborador'!$D$6)),IF('Detalle individual'!F674="Completado",30000000,IF('Detalle individual'!F674="Pendiente",0,15000000))+COUNTIF('Detalle individual'!$C$5:$C$1000,"&lt;"&amp;'Detalle individual'!C674)*10000+ROW(),""))</f>
        <v/>
      </c>
      <c r="AB674" t="str">
        <f>IF('Detalle individual'!C674="","",IF(COUNTIF('Detalle individual'!$C$5:C674,'Detalle individual'!C674)=1,COUNTIF('Detalle individual'!$C$5:$C$1000,"&lt;"&amp;'Detalle individual'!C674),""))</f>
        <v/>
      </c>
      <c r="AC674" t="str">
        <f>IF('Detalle individual'!D674="","",IF(COUNTIF('Detalle individual'!$D$5:D674,'Detalle individual'!D674)=1,COUNTIF('Detalle individual'!$D$5:$D$1000,"&lt;"&amp;'Detalle individual'!D674),""))</f>
        <v/>
      </c>
      <c r="AH674" t="str">
        <f>IF('Detalle individual'!F674="Pendiente",COUNTIF('Detalle individual'!$D$5:$D$1000,"&lt;"&amp;'Detalle individual'!D674)*1000000+COUNTIF('Detalle individual'!$C$5:$C$1000,"&lt;"&amp;'Detalle individual'!C674)*1000+COUNTIF('Detalle individual'!$B$5:$B$1000,"&lt;"&amp;'Detalle individual'!B674)+ROW()/10000,"")</f>
        <v/>
      </c>
      <c r="AI674" t="str">
        <f>IF('Detalle individual'!F674="Completado",COUNTIF('Detalle individual'!$D$5:$D$1000,"&lt;"&amp;'Detalle individual'!D674)*1000000+COUNTIF('Detalle individual'!$C$5:$C$1000,"&lt;"&amp;'Detalle individual'!C674)*1000+COUNTIF('Detalle individual'!$B$5:$B$1000,"&lt;"&amp;'Detalle individual'!B674)+ROW()/10000,"")</f>
        <v/>
      </c>
      <c r="AJ674" t="str">
        <f>IF(AND('Detalle individual'!F674&lt;&gt;"",'Detalle individual'!F674&lt;&gt;"Completado",'Detalle individual'!F674&lt;&gt;"Pendiente"),COUNTIF('Detalle individual'!$D$5:$D$1000,"&lt;"&amp;'Detalle individual'!D674)*1000000+COUNTIF('Detalle individual'!$C$5:$C$1000,"&lt;"&amp;'Detalle individual'!C674)*1000+COUNTIF('Detalle individual'!$B$5:$B$1000,"&lt;"&amp;'Detalle individual'!B674)+ROW()/10000,"")</f>
        <v/>
      </c>
      <c r="AK674" t="str">
        <f>IF(OR('Base Exámenes'!C674="",'Base Exámenes'!D674=""),"",IF(COUNTIF('Base Exámenes'!$C$5:C674,'Base Exámenes'!C674)=1,'Base Exámenes'!D674+ROW()/1000000000,""))</f>
        <v/>
      </c>
      <c r="AL674" t="str">
        <f>IF(OR('Base Exámenes'!C674="",'Base Exámenes'!E674=""),"",IF(COUNTIF('Base Exámenes'!$C$5:C674,'Base Exámenes'!C674)=1,'Base Exámenes'!E674+ROW()/1000000000,""))</f>
        <v/>
      </c>
      <c r="AM674" t="str">
        <f>IF(OR('Base Exámenes'!C674="",'Base Exámenes'!G674=""),"",IF(ROW()-4=MATCH('Base Exámenes'!C674&amp;"|"&amp;_xlfn.MAXIFS('Base Exámenes'!$G$5:$G$1000,'Base Exámenes'!$C$5:$C$1000,'Base Exámenes'!C674),'Base Exámenes'!$I$5:$I$1000,0),'Base Exámenes'!G674*1000000+(-1)*'Base Exámenes'!D674,""))</f>
        <v/>
      </c>
      <c r="AQ674" t="str">
        <f>IF('Base Exámenes'!C674="","",IF(COUNTIF('Base Exámenes'!$C$5:$C$1000,'Base Exámenes'!C674)&lt;2,"",MATCH('Base Exámenes'!C674,'Base Exámenes'!$C$5:$C$1000,0)*10000+ROW()))</f>
        <v/>
      </c>
    </row>
    <row r="675">
      <c r="Z675" t="str">
        <f>IF('Detalle individual'!A675="","",IF(AND(OR('Estado por Colaborador'!$D$4="Todas las gerencias",'Detalle individual'!D675='Estado por Colaborador'!$D$4),OR('Estado por Colaborador'!$D$5="Todos los departamentos",TRIM('Detalle individual'!C675)='Estado por Colaborador'!$D$5),OR('Estado por Colaborador'!$D$6="Todos",'Detalle individual'!F675='Estado por Colaborador'!$D$6)),IF('Detalle individual'!F675="Completado",30000000,IF('Detalle individual'!F675="Pendiente",0,15000000))+COUNTIF('Detalle individual'!$C$5:$C$1000,"&lt;"&amp;'Detalle individual'!C675)*10000+ROW(),""))</f>
        <v/>
      </c>
      <c r="AB675" t="str">
        <f>IF('Detalle individual'!C675="","",IF(COUNTIF('Detalle individual'!$C$5:C675,'Detalle individual'!C675)=1,COUNTIF('Detalle individual'!$C$5:$C$1000,"&lt;"&amp;'Detalle individual'!C675),""))</f>
        <v/>
      </c>
      <c r="AC675" t="str">
        <f>IF('Detalle individual'!D675="","",IF(COUNTIF('Detalle individual'!$D$5:D675,'Detalle individual'!D675)=1,COUNTIF('Detalle individual'!$D$5:$D$1000,"&lt;"&amp;'Detalle individual'!D675),""))</f>
        <v/>
      </c>
      <c r="AH675" t="str">
        <f>IF('Detalle individual'!F675="Pendiente",COUNTIF('Detalle individual'!$D$5:$D$1000,"&lt;"&amp;'Detalle individual'!D675)*1000000+COUNTIF('Detalle individual'!$C$5:$C$1000,"&lt;"&amp;'Detalle individual'!C675)*1000+COUNTIF('Detalle individual'!$B$5:$B$1000,"&lt;"&amp;'Detalle individual'!B675)+ROW()/10000,"")</f>
        <v/>
      </c>
      <c r="AI675" t="str">
        <f>IF('Detalle individual'!F675="Completado",COUNTIF('Detalle individual'!$D$5:$D$1000,"&lt;"&amp;'Detalle individual'!D675)*1000000+COUNTIF('Detalle individual'!$C$5:$C$1000,"&lt;"&amp;'Detalle individual'!C675)*1000+COUNTIF('Detalle individual'!$B$5:$B$1000,"&lt;"&amp;'Detalle individual'!B675)+ROW()/10000,"")</f>
        <v/>
      </c>
      <c r="AJ675" t="str">
        <f>IF(AND('Detalle individual'!F675&lt;&gt;"",'Detalle individual'!F675&lt;&gt;"Completado",'Detalle individual'!F675&lt;&gt;"Pendiente"),COUNTIF('Detalle individual'!$D$5:$D$1000,"&lt;"&amp;'Detalle individual'!D675)*1000000+COUNTIF('Detalle individual'!$C$5:$C$1000,"&lt;"&amp;'Detalle individual'!C675)*1000+COUNTIF('Detalle individual'!$B$5:$B$1000,"&lt;"&amp;'Detalle individual'!B675)+ROW()/10000,"")</f>
        <v/>
      </c>
      <c r="AK675" t="str">
        <f>IF(OR('Base Exámenes'!C675="",'Base Exámenes'!D675=""),"",IF(COUNTIF('Base Exámenes'!$C$5:C675,'Base Exámenes'!C675)=1,'Base Exámenes'!D675+ROW()/1000000000,""))</f>
        <v/>
      </c>
      <c r="AL675" t="str">
        <f>IF(OR('Base Exámenes'!C675="",'Base Exámenes'!E675=""),"",IF(COUNTIF('Base Exámenes'!$C$5:C675,'Base Exámenes'!C675)=1,'Base Exámenes'!E675+ROW()/1000000000,""))</f>
        <v/>
      </c>
      <c r="AM675" t="str">
        <f>IF(OR('Base Exámenes'!C675="",'Base Exámenes'!G675=""),"",IF(ROW()-4=MATCH('Base Exámenes'!C675&amp;"|"&amp;_xlfn.MAXIFS('Base Exámenes'!$G$5:$G$1000,'Base Exámenes'!$C$5:$C$1000,'Base Exámenes'!C675),'Base Exámenes'!$I$5:$I$1000,0),'Base Exámenes'!G675*1000000+(-1)*'Base Exámenes'!D675,""))</f>
        <v/>
      </c>
      <c r="AQ675" t="str">
        <f>IF('Base Exámenes'!C675="","",IF(COUNTIF('Base Exámenes'!$C$5:$C$1000,'Base Exámenes'!C675)&lt;2,"",MATCH('Base Exámenes'!C675,'Base Exámenes'!$C$5:$C$1000,0)*10000+ROW()))</f>
        <v/>
      </c>
    </row>
    <row r="676">
      <c r="Z676" t="str">
        <f>IF('Detalle individual'!A676="","",IF(AND(OR('Estado por Colaborador'!$D$4="Todas las gerencias",'Detalle individual'!D676='Estado por Colaborador'!$D$4),OR('Estado por Colaborador'!$D$5="Todos los departamentos",TRIM('Detalle individual'!C676)='Estado por Colaborador'!$D$5),OR('Estado por Colaborador'!$D$6="Todos",'Detalle individual'!F676='Estado por Colaborador'!$D$6)),IF('Detalle individual'!F676="Completado",30000000,IF('Detalle individual'!F676="Pendiente",0,15000000))+COUNTIF('Detalle individual'!$C$5:$C$1000,"&lt;"&amp;'Detalle individual'!C676)*10000+ROW(),""))</f>
        <v/>
      </c>
      <c r="AB676" t="str">
        <f>IF('Detalle individual'!C676="","",IF(COUNTIF('Detalle individual'!$C$5:C676,'Detalle individual'!C676)=1,COUNTIF('Detalle individual'!$C$5:$C$1000,"&lt;"&amp;'Detalle individual'!C676),""))</f>
        <v/>
      </c>
      <c r="AC676" t="str">
        <f>IF('Detalle individual'!D676="","",IF(COUNTIF('Detalle individual'!$D$5:D676,'Detalle individual'!D676)=1,COUNTIF('Detalle individual'!$D$5:$D$1000,"&lt;"&amp;'Detalle individual'!D676),""))</f>
        <v/>
      </c>
      <c r="AH676" t="str">
        <f>IF('Detalle individual'!F676="Pendiente",COUNTIF('Detalle individual'!$D$5:$D$1000,"&lt;"&amp;'Detalle individual'!D676)*1000000+COUNTIF('Detalle individual'!$C$5:$C$1000,"&lt;"&amp;'Detalle individual'!C676)*1000+COUNTIF('Detalle individual'!$B$5:$B$1000,"&lt;"&amp;'Detalle individual'!B676)+ROW()/10000,"")</f>
        <v/>
      </c>
      <c r="AI676" t="str">
        <f>IF('Detalle individual'!F676="Completado",COUNTIF('Detalle individual'!$D$5:$D$1000,"&lt;"&amp;'Detalle individual'!D676)*1000000+COUNTIF('Detalle individual'!$C$5:$C$1000,"&lt;"&amp;'Detalle individual'!C676)*1000+COUNTIF('Detalle individual'!$B$5:$B$1000,"&lt;"&amp;'Detalle individual'!B676)+ROW()/10000,"")</f>
        <v/>
      </c>
      <c r="AJ676" t="str">
        <f>IF(AND('Detalle individual'!F676&lt;&gt;"",'Detalle individual'!F676&lt;&gt;"Completado",'Detalle individual'!F676&lt;&gt;"Pendiente"),COUNTIF('Detalle individual'!$D$5:$D$1000,"&lt;"&amp;'Detalle individual'!D676)*1000000+COUNTIF('Detalle individual'!$C$5:$C$1000,"&lt;"&amp;'Detalle individual'!C676)*1000+COUNTIF('Detalle individual'!$B$5:$B$1000,"&lt;"&amp;'Detalle individual'!B676)+ROW()/10000,"")</f>
        <v/>
      </c>
      <c r="AK676" t="str">
        <f>IF(OR('Base Exámenes'!C676="",'Base Exámenes'!D676=""),"",IF(COUNTIF('Base Exámenes'!$C$5:C676,'Base Exámenes'!C676)=1,'Base Exámenes'!D676+ROW()/1000000000,""))</f>
        <v/>
      </c>
      <c r="AL676" t="str">
        <f>IF(OR('Base Exámenes'!C676="",'Base Exámenes'!E676=""),"",IF(COUNTIF('Base Exámenes'!$C$5:C676,'Base Exámenes'!C676)=1,'Base Exámenes'!E676+ROW()/1000000000,""))</f>
        <v/>
      </c>
      <c r="AM676" t="str">
        <f>IF(OR('Base Exámenes'!C676="",'Base Exámenes'!G676=""),"",IF(ROW()-4=MATCH('Base Exámenes'!C676&amp;"|"&amp;_xlfn.MAXIFS('Base Exámenes'!$G$5:$G$1000,'Base Exámenes'!$C$5:$C$1000,'Base Exámenes'!C676),'Base Exámenes'!$I$5:$I$1000,0),'Base Exámenes'!G676*1000000+(-1)*'Base Exámenes'!D676,""))</f>
        <v/>
      </c>
      <c r="AQ676" t="str">
        <f>IF('Base Exámenes'!C676="","",IF(COUNTIF('Base Exámenes'!$C$5:$C$1000,'Base Exámenes'!C676)&lt;2,"",MATCH('Base Exámenes'!C676,'Base Exámenes'!$C$5:$C$1000,0)*10000+ROW()))</f>
        <v/>
      </c>
    </row>
    <row r="677">
      <c r="Z677" t="str">
        <f>IF('Detalle individual'!A677="","",IF(AND(OR('Estado por Colaborador'!$D$4="Todas las gerencias",'Detalle individual'!D677='Estado por Colaborador'!$D$4),OR('Estado por Colaborador'!$D$5="Todos los departamentos",TRIM('Detalle individual'!C677)='Estado por Colaborador'!$D$5),OR('Estado por Colaborador'!$D$6="Todos",'Detalle individual'!F677='Estado por Colaborador'!$D$6)),IF('Detalle individual'!F677="Completado",30000000,IF('Detalle individual'!F677="Pendiente",0,15000000))+COUNTIF('Detalle individual'!$C$5:$C$1000,"&lt;"&amp;'Detalle individual'!C677)*10000+ROW(),""))</f>
        <v/>
      </c>
      <c r="AB677" t="str">
        <f>IF('Detalle individual'!C677="","",IF(COUNTIF('Detalle individual'!$C$5:C677,'Detalle individual'!C677)=1,COUNTIF('Detalle individual'!$C$5:$C$1000,"&lt;"&amp;'Detalle individual'!C677),""))</f>
        <v/>
      </c>
      <c r="AC677" t="str">
        <f>IF('Detalle individual'!D677="","",IF(COUNTIF('Detalle individual'!$D$5:D677,'Detalle individual'!D677)=1,COUNTIF('Detalle individual'!$D$5:$D$1000,"&lt;"&amp;'Detalle individual'!D677),""))</f>
        <v/>
      </c>
      <c r="AH677" t="str">
        <f>IF('Detalle individual'!F677="Pendiente",COUNTIF('Detalle individual'!$D$5:$D$1000,"&lt;"&amp;'Detalle individual'!D677)*1000000+COUNTIF('Detalle individual'!$C$5:$C$1000,"&lt;"&amp;'Detalle individual'!C677)*1000+COUNTIF('Detalle individual'!$B$5:$B$1000,"&lt;"&amp;'Detalle individual'!B677)+ROW()/10000,"")</f>
        <v/>
      </c>
      <c r="AI677" t="str">
        <f>IF('Detalle individual'!F677="Completado",COUNTIF('Detalle individual'!$D$5:$D$1000,"&lt;"&amp;'Detalle individual'!D677)*1000000+COUNTIF('Detalle individual'!$C$5:$C$1000,"&lt;"&amp;'Detalle individual'!C677)*1000+COUNTIF('Detalle individual'!$B$5:$B$1000,"&lt;"&amp;'Detalle individual'!B677)+ROW()/10000,"")</f>
        <v/>
      </c>
      <c r="AJ677" t="str">
        <f>IF(AND('Detalle individual'!F677&lt;&gt;"",'Detalle individual'!F677&lt;&gt;"Completado",'Detalle individual'!F677&lt;&gt;"Pendiente"),COUNTIF('Detalle individual'!$D$5:$D$1000,"&lt;"&amp;'Detalle individual'!D677)*1000000+COUNTIF('Detalle individual'!$C$5:$C$1000,"&lt;"&amp;'Detalle individual'!C677)*1000+COUNTIF('Detalle individual'!$B$5:$B$1000,"&lt;"&amp;'Detalle individual'!B677)+ROW()/10000,"")</f>
        <v/>
      </c>
      <c r="AK677" t="str">
        <f>IF(OR('Base Exámenes'!C677="",'Base Exámenes'!D677=""),"",IF(COUNTIF('Base Exámenes'!$C$5:C677,'Base Exámenes'!C677)=1,'Base Exámenes'!D677+ROW()/1000000000,""))</f>
        <v/>
      </c>
      <c r="AL677" t="str">
        <f>IF(OR('Base Exámenes'!C677="",'Base Exámenes'!E677=""),"",IF(COUNTIF('Base Exámenes'!$C$5:C677,'Base Exámenes'!C677)=1,'Base Exámenes'!E677+ROW()/1000000000,""))</f>
        <v/>
      </c>
      <c r="AM677" t="str">
        <f>IF(OR('Base Exámenes'!C677="",'Base Exámenes'!G677=""),"",IF(ROW()-4=MATCH('Base Exámenes'!C677&amp;"|"&amp;_xlfn.MAXIFS('Base Exámenes'!$G$5:$G$1000,'Base Exámenes'!$C$5:$C$1000,'Base Exámenes'!C677),'Base Exámenes'!$I$5:$I$1000,0),'Base Exámenes'!G677*1000000+(-1)*'Base Exámenes'!D677,""))</f>
        <v/>
      </c>
      <c r="AQ677" t="str">
        <f>IF('Base Exámenes'!C677="","",IF(COUNTIF('Base Exámenes'!$C$5:$C$1000,'Base Exámenes'!C677)&lt;2,"",MATCH('Base Exámenes'!C677,'Base Exámenes'!$C$5:$C$1000,0)*10000+ROW()))</f>
        <v/>
      </c>
    </row>
    <row r="678">
      <c r="Z678" t="str">
        <f>IF('Detalle individual'!A678="","",IF(AND(OR('Estado por Colaborador'!$D$4="Todas las gerencias",'Detalle individual'!D678='Estado por Colaborador'!$D$4),OR('Estado por Colaborador'!$D$5="Todos los departamentos",TRIM('Detalle individual'!C678)='Estado por Colaborador'!$D$5),OR('Estado por Colaborador'!$D$6="Todos",'Detalle individual'!F678='Estado por Colaborador'!$D$6)),IF('Detalle individual'!F678="Completado",30000000,IF('Detalle individual'!F678="Pendiente",0,15000000))+COUNTIF('Detalle individual'!$C$5:$C$1000,"&lt;"&amp;'Detalle individual'!C678)*10000+ROW(),""))</f>
        <v/>
      </c>
      <c r="AB678" t="str">
        <f>IF('Detalle individual'!C678="","",IF(COUNTIF('Detalle individual'!$C$5:C678,'Detalle individual'!C678)=1,COUNTIF('Detalle individual'!$C$5:$C$1000,"&lt;"&amp;'Detalle individual'!C678),""))</f>
        <v/>
      </c>
      <c r="AC678" t="str">
        <f>IF('Detalle individual'!D678="","",IF(COUNTIF('Detalle individual'!$D$5:D678,'Detalle individual'!D678)=1,COUNTIF('Detalle individual'!$D$5:$D$1000,"&lt;"&amp;'Detalle individual'!D678),""))</f>
        <v/>
      </c>
      <c r="AH678" t="str">
        <f>IF('Detalle individual'!F678="Pendiente",COUNTIF('Detalle individual'!$D$5:$D$1000,"&lt;"&amp;'Detalle individual'!D678)*1000000+COUNTIF('Detalle individual'!$C$5:$C$1000,"&lt;"&amp;'Detalle individual'!C678)*1000+COUNTIF('Detalle individual'!$B$5:$B$1000,"&lt;"&amp;'Detalle individual'!B678)+ROW()/10000,"")</f>
        <v/>
      </c>
      <c r="AI678" t="str">
        <f>IF('Detalle individual'!F678="Completado",COUNTIF('Detalle individual'!$D$5:$D$1000,"&lt;"&amp;'Detalle individual'!D678)*1000000+COUNTIF('Detalle individual'!$C$5:$C$1000,"&lt;"&amp;'Detalle individual'!C678)*1000+COUNTIF('Detalle individual'!$B$5:$B$1000,"&lt;"&amp;'Detalle individual'!B678)+ROW()/10000,"")</f>
        <v/>
      </c>
      <c r="AJ678" t="str">
        <f>IF(AND('Detalle individual'!F678&lt;&gt;"",'Detalle individual'!F678&lt;&gt;"Completado",'Detalle individual'!F678&lt;&gt;"Pendiente"),COUNTIF('Detalle individual'!$D$5:$D$1000,"&lt;"&amp;'Detalle individual'!D678)*1000000+COUNTIF('Detalle individual'!$C$5:$C$1000,"&lt;"&amp;'Detalle individual'!C678)*1000+COUNTIF('Detalle individual'!$B$5:$B$1000,"&lt;"&amp;'Detalle individual'!B678)+ROW()/10000,"")</f>
        <v/>
      </c>
      <c r="AK678" t="str">
        <f>IF(OR('Base Exámenes'!C678="",'Base Exámenes'!D678=""),"",IF(COUNTIF('Base Exámenes'!$C$5:C678,'Base Exámenes'!C678)=1,'Base Exámenes'!D678+ROW()/1000000000,""))</f>
        <v/>
      </c>
      <c r="AL678" t="str">
        <f>IF(OR('Base Exámenes'!C678="",'Base Exámenes'!E678=""),"",IF(COUNTIF('Base Exámenes'!$C$5:C678,'Base Exámenes'!C678)=1,'Base Exámenes'!E678+ROW()/1000000000,""))</f>
        <v/>
      </c>
      <c r="AM678" t="str">
        <f>IF(OR('Base Exámenes'!C678="",'Base Exámenes'!G678=""),"",IF(ROW()-4=MATCH('Base Exámenes'!C678&amp;"|"&amp;_xlfn.MAXIFS('Base Exámenes'!$G$5:$G$1000,'Base Exámenes'!$C$5:$C$1000,'Base Exámenes'!C678),'Base Exámenes'!$I$5:$I$1000,0),'Base Exámenes'!G678*1000000+(-1)*'Base Exámenes'!D678,""))</f>
        <v/>
      </c>
      <c r="AQ678" t="str">
        <f>IF('Base Exámenes'!C678="","",IF(COUNTIF('Base Exámenes'!$C$5:$C$1000,'Base Exámenes'!C678)&lt;2,"",MATCH('Base Exámenes'!C678,'Base Exámenes'!$C$5:$C$1000,0)*10000+ROW()))</f>
        <v/>
      </c>
    </row>
    <row r="679">
      <c r="Z679" t="str">
        <f>IF('Detalle individual'!A679="","",IF(AND(OR('Estado por Colaborador'!$D$4="Todas las gerencias",'Detalle individual'!D679='Estado por Colaborador'!$D$4),OR('Estado por Colaborador'!$D$5="Todos los departamentos",TRIM('Detalle individual'!C679)='Estado por Colaborador'!$D$5),OR('Estado por Colaborador'!$D$6="Todos",'Detalle individual'!F679='Estado por Colaborador'!$D$6)),IF('Detalle individual'!F679="Completado",30000000,IF('Detalle individual'!F679="Pendiente",0,15000000))+COUNTIF('Detalle individual'!$C$5:$C$1000,"&lt;"&amp;'Detalle individual'!C679)*10000+ROW(),""))</f>
        <v/>
      </c>
      <c r="AB679" t="str">
        <f>IF('Detalle individual'!C679="","",IF(COUNTIF('Detalle individual'!$C$5:C679,'Detalle individual'!C679)=1,COUNTIF('Detalle individual'!$C$5:$C$1000,"&lt;"&amp;'Detalle individual'!C679),""))</f>
        <v/>
      </c>
      <c r="AC679" t="str">
        <f>IF('Detalle individual'!D679="","",IF(COUNTIF('Detalle individual'!$D$5:D679,'Detalle individual'!D679)=1,COUNTIF('Detalle individual'!$D$5:$D$1000,"&lt;"&amp;'Detalle individual'!D679),""))</f>
        <v/>
      </c>
      <c r="AH679" t="str">
        <f>IF('Detalle individual'!F679="Pendiente",COUNTIF('Detalle individual'!$D$5:$D$1000,"&lt;"&amp;'Detalle individual'!D679)*1000000+COUNTIF('Detalle individual'!$C$5:$C$1000,"&lt;"&amp;'Detalle individual'!C679)*1000+COUNTIF('Detalle individual'!$B$5:$B$1000,"&lt;"&amp;'Detalle individual'!B679)+ROW()/10000,"")</f>
        <v/>
      </c>
      <c r="AI679" t="str">
        <f>IF('Detalle individual'!F679="Completado",COUNTIF('Detalle individual'!$D$5:$D$1000,"&lt;"&amp;'Detalle individual'!D679)*1000000+COUNTIF('Detalle individual'!$C$5:$C$1000,"&lt;"&amp;'Detalle individual'!C679)*1000+COUNTIF('Detalle individual'!$B$5:$B$1000,"&lt;"&amp;'Detalle individual'!B679)+ROW()/10000,"")</f>
        <v/>
      </c>
      <c r="AJ679" t="str">
        <f>IF(AND('Detalle individual'!F679&lt;&gt;"",'Detalle individual'!F679&lt;&gt;"Completado",'Detalle individual'!F679&lt;&gt;"Pendiente"),COUNTIF('Detalle individual'!$D$5:$D$1000,"&lt;"&amp;'Detalle individual'!D679)*1000000+COUNTIF('Detalle individual'!$C$5:$C$1000,"&lt;"&amp;'Detalle individual'!C679)*1000+COUNTIF('Detalle individual'!$B$5:$B$1000,"&lt;"&amp;'Detalle individual'!B679)+ROW()/10000,"")</f>
        <v/>
      </c>
      <c r="AK679" t="str">
        <f>IF(OR('Base Exámenes'!C679="",'Base Exámenes'!D679=""),"",IF(COUNTIF('Base Exámenes'!$C$5:C679,'Base Exámenes'!C679)=1,'Base Exámenes'!D679+ROW()/1000000000,""))</f>
        <v/>
      </c>
      <c r="AL679" t="str">
        <f>IF(OR('Base Exámenes'!C679="",'Base Exámenes'!E679=""),"",IF(COUNTIF('Base Exámenes'!$C$5:C679,'Base Exámenes'!C679)=1,'Base Exámenes'!E679+ROW()/1000000000,""))</f>
        <v/>
      </c>
      <c r="AM679" t="str">
        <f>IF(OR('Base Exámenes'!C679="",'Base Exámenes'!G679=""),"",IF(ROW()-4=MATCH('Base Exámenes'!C679&amp;"|"&amp;_xlfn.MAXIFS('Base Exámenes'!$G$5:$G$1000,'Base Exámenes'!$C$5:$C$1000,'Base Exámenes'!C679),'Base Exámenes'!$I$5:$I$1000,0),'Base Exámenes'!G679*1000000+(-1)*'Base Exámenes'!D679,""))</f>
        <v/>
      </c>
      <c r="AQ679" t="str">
        <f>IF('Base Exámenes'!C679="","",IF(COUNTIF('Base Exámenes'!$C$5:$C$1000,'Base Exámenes'!C679)&lt;2,"",MATCH('Base Exámenes'!C679,'Base Exámenes'!$C$5:$C$1000,0)*10000+ROW()))</f>
        <v/>
      </c>
    </row>
    <row r="680">
      <c r="Z680" t="str">
        <f>IF('Detalle individual'!A680="","",IF(AND(OR('Estado por Colaborador'!$D$4="Todas las gerencias",'Detalle individual'!D680='Estado por Colaborador'!$D$4),OR('Estado por Colaborador'!$D$5="Todos los departamentos",TRIM('Detalle individual'!C680)='Estado por Colaborador'!$D$5),OR('Estado por Colaborador'!$D$6="Todos",'Detalle individual'!F680='Estado por Colaborador'!$D$6)),IF('Detalle individual'!F680="Completado",30000000,IF('Detalle individual'!F680="Pendiente",0,15000000))+COUNTIF('Detalle individual'!$C$5:$C$1000,"&lt;"&amp;'Detalle individual'!C680)*10000+ROW(),""))</f>
        <v/>
      </c>
      <c r="AB680" t="str">
        <f>IF('Detalle individual'!C680="","",IF(COUNTIF('Detalle individual'!$C$5:C680,'Detalle individual'!C680)=1,COUNTIF('Detalle individual'!$C$5:$C$1000,"&lt;"&amp;'Detalle individual'!C680),""))</f>
        <v/>
      </c>
      <c r="AC680" t="str">
        <f>IF('Detalle individual'!D680="","",IF(COUNTIF('Detalle individual'!$D$5:D680,'Detalle individual'!D680)=1,COUNTIF('Detalle individual'!$D$5:$D$1000,"&lt;"&amp;'Detalle individual'!D680),""))</f>
        <v/>
      </c>
      <c r="AH680" t="str">
        <f>IF('Detalle individual'!F680="Pendiente",COUNTIF('Detalle individual'!$D$5:$D$1000,"&lt;"&amp;'Detalle individual'!D680)*1000000+COUNTIF('Detalle individual'!$C$5:$C$1000,"&lt;"&amp;'Detalle individual'!C680)*1000+COUNTIF('Detalle individual'!$B$5:$B$1000,"&lt;"&amp;'Detalle individual'!B680)+ROW()/10000,"")</f>
        <v/>
      </c>
      <c r="AI680" t="str">
        <f>IF('Detalle individual'!F680="Completado",COUNTIF('Detalle individual'!$D$5:$D$1000,"&lt;"&amp;'Detalle individual'!D680)*1000000+COUNTIF('Detalle individual'!$C$5:$C$1000,"&lt;"&amp;'Detalle individual'!C680)*1000+COUNTIF('Detalle individual'!$B$5:$B$1000,"&lt;"&amp;'Detalle individual'!B680)+ROW()/10000,"")</f>
        <v/>
      </c>
      <c r="AJ680" t="str">
        <f>IF(AND('Detalle individual'!F680&lt;&gt;"",'Detalle individual'!F680&lt;&gt;"Completado",'Detalle individual'!F680&lt;&gt;"Pendiente"),COUNTIF('Detalle individual'!$D$5:$D$1000,"&lt;"&amp;'Detalle individual'!D680)*1000000+COUNTIF('Detalle individual'!$C$5:$C$1000,"&lt;"&amp;'Detalle individual'!C680)*1000+COUNTIF('Detalle individual'!$B$5:$B$1000,"&lt;"&amp;'Detalle individual'!B680)+ROW()/10000,"")</f>
        <v/>
      </c>
      <c r="AK680" t="str">
        <f>IF(OR('Base Exámenes'!C680="",'Base Exámenes'!D680=""),"",IF(COUNTIF('Base Exámenes'!$C$5:C680,'Base Exámenes'!C680)=1,'Base Exámenes'!D680+ROW()/1000000000,""))</f>
        <v/>
      </c>
      <c r="AL680" t="str">
        <f>IF(OR('Base Exámenes'!C680="",'Base Exámenes'!E680=""),"",IF(COUNTIF('Base Exámenes'!$C$5:C680,'Base Exámenes'!C680)=1,'Base Exámenes'!E680+ROW()/1000000000,""))</f>
        <v/>
      </c>
      <c r="AM680" t="str">
        <f>IF(OR('Base Exámenes'!C680="",'Base Exámenes'!G680=""),"",IF(ROW()-4=MATCH('Base Exámenes'!C680&amp;"|"&amp;_xlfn.MAXIFS('Base Exámenes'!$G$5:$G$1000,'Base Exámenes'!$C$5:$C$1000,'Base Exámenes'!C680),'Base Exámenes'!$I$5:$I$1000,0),'Base Exámenes'!G680*1000000+(-1)*'Base Exámenes'!D680,""))</f>
        <v/>
      </c>
      <c r="AQ680" t="str">
        <f>IF('Base Exámenes'!C680="","",IF(COUNTIF('Base Exámenes'!$C$5:$C$1000,'Base Exámenes'!C680)&lt;2,"",MATCH('Base Exámenes'!C680,'Base Exámenes'!$C$5:$C$1000,0)*10000+ROW()))</f>
        <v/>
      </c>
    </row>
    <row r="681">
      <c r="Z681" t="str">
        <f>IF('Detalle individual'!A681="","",IF(AND(OR('Estado por Colaborador'!$D$4="Todas las gerencias",'Detalle individual'!D681='Estado por Colaborador'!$D$4),OR('Estado por Colaborador'!$D$5="Todos los departamentos",TRIM('Detalle individual'!C681)='Estado por Colaborador'!$D$5),OR('Estado por Colaborador'!$D$6="Todos",'Detalle individual'!F681='Estado por Colaborador'!$D$6)),IF('Detalle individual'!F681="Completado",30000000,IF('Detalle individual'!F681="Pendiente",0,15000000))+COUNTIF('Detalle individual'!$C$5:$C$1000,"&lt;"&amp;'Detalle individual'!C681)*10000+ROW(),""))</f>
        <v/>
      </c>
      <c r="AB681" t="str">
        <f>IF('Detalle individual'!C681="","",IF(COUNTIF('Detalle individual'!$C$5:C681,'Detalle individual'!C681)=1,COUNTIF('Detalle individual'!$C$5:$C$1000,"&lt;"&amp;'Detalle individual'!C681),""))</f>
        <v/>
      </c>
      <c r="AC681" t="str">
        <f>IF('Detalle individual'!D681="","",IF(COUNTIF('Detalle individual'!$D$5:D681,'Detalle individual'!D681)=1,COUNTIF('Detalle individual'!$D$5:$D$1000,"&lt;"&amp;'Detalle individual'!D681),""))</f>
        <v/>
      </c>
      <c r="AH681" t="str">
        <f>IF('Detalle individual'!F681="Pendiente",COUNTIF('Detalle individual'!$D$5:$D$1000,"&lt;"&amp;'Detalle individual'!D681)*1000000+COUNTIF('Detalle individual'!$C$5:$C$1000,"&lt;"&amp;'Detalle individual'!C681)*1000+COUNTIF('Detalle individual'!$B$5:$B$1000,"&lt;"&amp;'Detalle individual'!B681)+ROW()/10000,"")</f>
        <v/>
      </c>
      <c r="AI681" t="str">
        <f>IF('Detalle individual'!F681="Completado",COUNTIF('Detalle individual'!$D$5:$D$1000,"&lt;"&amp;'Detalle individual'!D681)*1000000+COUNTIF('Detalle individual'!$C$5:$C$1000,"&lt;"&amp;'Detalle individual'!C681)*1000+COUNTIF('Detalle individual'!$B$5:$B$1000,"&lt;"&amp;'Detalle individual'!B681)+ROW()/10000,"")</f>
        <v/>
      </c>
      <c r="AJ681" t="str">
        <f>IF(AND('Detalle individual'!F681&lt;&gt;"",'Detalle individual'!F681&lt;&gt;"Completado",'Detalle individual'!F681&lt;&gt;"Pendiente"),COUNTIF('Detalle individual'!$D$5:$D$1000,"&lt;"&amp;'Detalle individual'!D681)*1000000+COUNTIF('Detalle individual'!$C$5:$C$1000,"&lt;"&amp;'Detalle individual'!C681)*1000+COUNTIF('Detalle individual'!$B$5:$B$1000,"&lt;"&amp;'Detalle individual'!B681)+ROW()/10000,"")</f>
        <v/>
      </c>
      <c r="AK681" t="str">
        <f>IF(OR('Base Exámenes'!C681="",'Base Exámenes'!D681=""),"",IF(COUNTIF('Base Exámenes'!$C$5:C681,'Base Exámenes'!C681)=1,'Base Exámenes'!D681+ROW()/1000000000,""))</f>
        <v/>
      </c>
      <c r="AL681" t="str">
        <f>IF(OR('Base Exámenes'!C681="",'Base Exámenes'!E681=""),"",IF(COUNTIF('Base Exámenes'!$C$5:C681,'Base Exámenes'!C681)=1,'Base Exámenes'!E681+ROW()/1000000000,""))</f>
        <v/>
      </c>
      <c r="AM681" t="str">
        <f>IF(OR('Base Exámenes'!C681="",'Base Exámenes'!G681=""),"",IF(ROW()-4=MATCH('Base Exámenes'!C681&amp;"|"&amp;_xlfn.MAXIFS('Base Exámenes'!$G$5:$G$1000,'Base Exámenes'!$C$5:$C$1000,'Base Exámenes'!C681),'Base Exámenes'!$I$5:$I$1000,0),'Base Exámenes'!G681*1000000+(-1)*'Base Exámenes'!D681,""))</f>
        <v/>
      </c>
      <c r="AQ681" t="str">
        <f>IF('Base Exámenes'!C681="","",IF(COUNTIF('Base Exámenes'!$C$5:$C$1000,'Base Exámenes'!C681)&lt;2,"",MATCH('Base Exámenes'!C681,'Base Exámenes'!$C$5:$C$1000,0)*10000+ROW()))</f>
        <v/>
      </c>
    </row>
    <row r="682">
      <c r="Z682" t="str">
        <f>IF('Detalle individual'!A682="","",IF(AND(OR('Estado por Colaborador'!$D$4="Todas las gerencias",'Detalle individual'!D682='Estado por Colaborador'!$D$4),OR('Estado por Colaborador'!$D$5="Todos los departamentos",TRIM('Detalle individual'!C682)='Estado por Colaborador'!$D$5),OR('Estado por Colaborador'!$D$6="Todos",'Detalle individual'!F682='Estado por Colaborador'!$D$6)),IF('Detalle individual'!F682="Completado",30000000,IF('Detalle individual'!F682="Pendiente",0,15000000))+COUNTIF('Detalle individual'!$C$5:$C$1000,"&lt;"&amp;'Detalle individual'!C682)*10000+ROW(),""))</f>
        <v/>
      </c>
      <c r="AB682" t="str">
        <f>IF('Detalle individual'!C682="","",IF(COUNTIF('Detalle individual'!$C$5:C682,'Detalle individual'!C682)=1,COUNTIF('Detalle individual'!$C$5:$C$1000,"&lt;"&amp;'Detalle individual'!C682),""))</f>
        <v/>
      </c>
      <c r="AC682" t="str">
        <f>IF('Detalle individual'!D682="","",IF(COUNTIF('Detalle individual'!$D$5:D682,'Detalle individual'!D682)=1,COUNTIF('Detalle individual'!$D$5:$D$1000,"&lt;"&amp;'Detalle individual'!D682),""))</f>
        <v/>
      </c>
      <c r="AH682" t="str">
        <f>IF('Detalle individual'!F682="Pendiente",COUNTIF('Detalle individual'!$D$5:$D$1000,"&lt;"&amp;'Detalle individual'!D682)*1000000+COUNTIF('Detalle individual'!$C$5:$C$1000,"&lt;"&amp;'Detalle individual'!C682)*1000+COUNTIF('Detalle individual'!$B$5:$B$1000,"&lt;"&amp;'Detalle individual'!B682)+ROW()/10000,"")</f>
        <v/>
      </c>
      <c r="AI682" t="str">
        <f>IF('Detalle individual'!F682="Completado",COUNTIF('Detalle individual'!$D$5:$D$1000,"&lt;"&amp;'Detalle individual'!D682)*1000000+COUNTIF('Detalle individual'!$C$5:$C$1000,"&lt;"&amp;'Detalle individual'!C682)*1000+COUNTIF('Detalle individual'!$B$5:$B$1000,"&lt;"&amp;'Detalle individual'!B682)+ROW()/10000,"")</f>
        <v/>
      </c>
      <c r="AJ682" t="str">
        <f>IF(AND('Detalle individual'!F682&lt;&gt;"",'Detalle individual'!F682&lt;&gt;"Completado",'Detalle individual'!F682&lt;&gt;"Pendiente"),COUNTIF('Detalle individual'!$D$5:$D$1000,"&lt;"&amp;'Detalle individual'!D682)*1000000+COUNTIF('Detalle individual'!$C$5:$C$1000,"&lt;"&amp;'Detalle individual'!C682)*1000+COUNTIF('Detalle individual'!$B$5:$B$1000,"&lt;"&amp;'Detalle individual'!B682)+ROW()/10000,"")</f>
        <v/>
      </c>
      <c r="AK682" t="str">
        <f>IF(OR('Base Exámenes'!C682="",'Base Exámenes'!D682=""),"",IF(COUNTIF('Base Exámenes'!$C$5:C682,'Base Exámenes'!C682)=1,'Base Exámenes'!D682+ROW()/1000000000,""))</f>
        <v/>
      </c>
      <c r="AL682" t="str">
        <f>IF(OR('Base Exámenes'!C682="",'Base Exámenes'!E682=""),"",IF(COUNTIF('Base Exámenes'!$C$5:C682,'Base Exámenes'!C682)=1,'Base Exámenes'!E682+ROW()/1000000000,""))</f>
        <v/>
      </c>
      <c r="AM682" t="str">
        <f>IF(OR('Base Exámenes'!C682="",'Base Exámenes'!G682=""),"",IF(ROW()-4=MATCH('Base Exámenes'!C682&amp;"|"&amp;_xlfn.MAXIFS('Base Exámenes'!$G$5:$G$1000,'Base Exámenes'!$C$5:$C$1000,'Base Exámenes'!C682),'Base Exámenes'!$I$5:$I$1000,0),'Base Exámenes'!G682*1000000+(-1)*'Base Exámenes'!D682,""))</f>
        <v/>
      </c>
      <c r="AQ682" t="str">
        <f>IF('Base Exámenes'!C682="","",IF(COUNTIF('Base Exámenes'!$C$5:$C$1000,'Base Exámenes'!C682)&lt;2,"",MATCH('Base Exámenes'!C682,'Base Exámenes'!$C$5:$C$1000,0)*10000+ROW()))</f>
        <v/>
      </c>
    </row>
    <row r="683">
      <c r="Z683" t="str">
        <f>IF('Detalle individual'!A683="","",IF(AND(OR('Estado por Colaborador'!$D$4="Todas las gerencias",'Detalle individual'!D683='Estado por Colaborador'!$D$4),OR('Estado por Colaborador'!$D$5="Todos los departamentos",TRIM('Detalle individual'!C683)='Estado por Colaborador'!$D$5),OR('Estado por Colaborador'!$D$6="Todos",'Detalle individual'!F683='Estado por Colaborador'!$D$6)),IF('Detalle individual'!F683="Completado",30000000,IF('Detalle individual'!F683="Pendiente",0,15000000))+COUNTIF('Detalle individual'!$C$5:$C$1000,"&lt;"&amp;'Detalle individual'!C683)*10000+ROW(),""))</f>
        <v/>
      </c>
      <c r="AB683" t="str">
        <f>IF('Detalle individual'!C683="","",IF(COUNTIF('Detalle individual'!$C$5:C683,'Detalle individual'!C683)=1,COUNTIF('Detalle individual'!$C$5:$C$1000,"&lt;"&amp;'Detalle individual'!C683),""))</f>
        <v/>
      </c>
      <c r="AC683" t="str">
        <f>IF('Detalle individual'!D683="","",IF(COUNTIF('Detalle individual'!$D$5:D683,'Detalle individual'!D683)=1,COUNTIF('Detalle individual'!$D$5:$D$1000,"&lt;"&amp;'Detalle individual'!D683),""))</f>
        <v/>
      </c>
      <c r="AH683" t="str">
        <f>IF('Detalle individual'!F683="Pendiente",COUNTIF('Detalle individual'!$D$5:$D$1000,"&lt;"&amp;'Detalle individual'!D683)*1000000+COUNTIF('Detalle individual'!$C$5:$C$1000,"&lt;"&amp;'Detalle individual'!C683)*1000+COUNTIF('Detalle individual'!$B$5:$B$1000,"&lt;"&amp;'Detalle individual'!B683)+ROW()/10000,"")</f>
        <v/>
      </c>
      <c r="AI683" t="str">
        <f>IF('Detalle individual'!F683="Completado",COUNTIF('Detalle individual'!$D$5:$D$1000,"&lt;"&amp;'Detalle individual'!D683)*1000000+COUNTIF('Detalle individual'!$C$5:$C$1000,"&lt;"&amp;'Detalle individual'!C683)*1000+COUNTIF('Detalle individual'!$B$5:$B$1000,"&lt;"&amp;'Detalle individual'!B683)+ROW()/10000,"")</f>
        <v/>
      </c>
      <c r="AJ683" t="str">
        <f>IF(AND('Detalle individual'!F683&lt;&gt;"",'Detalle individual'!F683&lt;&gt;"Completado",'Detalle individual'!F683&lt;&gt;"Pendiente"),COUNTIF('Detalle individual'!$D$5:$D$1000,"&lt;"&amp;'Detalle individual'!D683)*1000000+COUNTIF('Detalle individual'!$C$5:$C$1000,"&lt;"&amp;'Detalle individual'!C683)*1000+COUNTIF('Detalle individual'!$B$5:$B$1000,"&lt;"&amp;'Detalle individual'!B683)+ROW()/10000,"")</f>
        <v/>
      </c>
      <c r="AK683" t="str">
        <f>IF(OR('Base Exámenes'!C683="",'Base Exámenes'!D683=""),"",IF(COUNTIF('Base Exámenes'!$C$5:C683,'Base Exámenes'!C683)=1,'Base Exámenes'!D683+ROW()/1000000000,""))</f>
        <v/>
      </c>
      <c r="AL683" t="str">
        <f>IF(OR('Base Exámenes'!C683="",'Base Exámenes'!E683=""),"",IF(COUNTIF('Base Exámenes'!$C$5:C683,'Base Exámenes'!C683)=1,'Base Exámenes'!E683+ROW()/1000000000,""))</f>
        <v/>
      </c>
      <c r="AM683" t="str">
        <f>IF(OR('Base Exámenes'!C683="",'Base Exámenes'!G683=""),"",IF(ROW()-4=MATCH('Base Exámenes'!C683&amp;"|"&amp;_xlfn.MAXIFS('Base Exámenes'!$G$5:$G$1000,'Base Exámenes'!$C$5:$C$1000,'Base Exámenes'!C683),'Base Exámenes'!$I$5:$I$1000,0),'Base Exámenes'!G683*1000000+(-1)*'Base Exámenes'!D683,""))</f>
        <v/>
      </c>
      <c r="AQ683" t="str">
        <f>IF('Base Exámenes'!C683="","",IF(COUNTIF('Base Exámenes'!$C$5:$C$1000,'Base Exámenes'!C683)&lt;2,"",MATCH('Base Exámenes'!C683,'Base Exámenes'!$C$5:$C$1000,0)*10000+ROW()))</f>
        <v/>
      </c>
    </row>
    <row r="684">
      <c r="Z684" t="str">
        <f>IF('Detalle individual'!A684="","",IF(AND(OR('Estado por Colaborador'!$D$4="Todas las gerencias",'Detalle individual'!D684='Estado por Colaborador'!$D$4),OR('Estado por Colaborador'!$D$5="Todos los departamentos",TRIM('Detalle individual'!C684)='Estado por Colaborador'!$D$5),OR('Estado por Colaborador'!$D$6="Todos",'Detalle individual'!F684='Estado por Colaborador'!$D$6)),IF('Detalle individual'!F684="Completado",30000000,IF('Detalle individual'!F684="Pendiente",0,15000000))+COUNTIF('Detalle individual'!$C$5:$C$1000,"&lt;"&amp;'Detalle individual'!C684)*10000+ROW(),""))</f>
        <v/>
      </c>
      <c r="AB684" t="str">
        <f>IF('Detalle individual'!C684="","",IF(COUNTIF('Detalle individual'!$C$5:C684,'Detalle individual'!C684)=1,COUNTIF('Detalle individual'!$C$5:$C$1000,"&lt;"&amp;'Detalle individual'!C684),""))</f>
        <v/>
      </c>
      <c r="AC684" t="str">
        <f>IF('Detalle individual'!D684="","",IF(COUNTIF('Detalle individual'!$D$5:D684,'Detalle individual'!D684)=1,COUNTIF('Detalle individual'!$D$5:$D$1000,"&lt;"&amp;'Detalle individual'!D684),""))</f>
        <v/>
      </c>
      <c r="AH684" t="str">
        <f>IF('Detalle individual'!F684="Pendiente",COUNTIF('Detalle individual'!$D$5:$D$1000,"&lt;"&amp;'Detalle individual'!D684)*1000000+COUNTIF('Detalle individual'!$C$5:$C$1000,"&lt;"&amp;'Detalle individual'!C684)*1000+COUNTIF('Detalle individual'!$B$5:$B$1000,"&lt;"&amp;'Detalle individual'!B684)+ROW()/10000,"")</f>
        <v/>
      </c>
      <c r="AI684" t="str">
        <f>IF('Detalle individual'!F684="Completado",COUNTIF('Detalle individual'!$D$5:$D$1000,"&lt;"&amp;'Detalle individual'!D684)*1000000+COUNTIF('Detalle individual'!$C$5:$C$1000,"&lt;"&amp;'Detalle individual'!C684)*1000+COUNTIF('Detalle individual'!$B$5:$B$1000,"&lt;"&amp;'Detalle individual'!B684)+ROW()/10000,"")</f>
        <v/>
      </c>
      <c r="AJ684" t="str">
        <f>IF(AND('Detalle individual'!F684&lt;&gt;"",'Detalle individual'!F684&lt;&gt;"Completado",'Detalle individual'!F684&lt;&gt;"Pendiente"),COUNTIF('Detalle individual'!$D$5:$D$1000,"&lt;"&amp;'Detalle individual'!D684)*1000000+COUNTIF('Detalle individual'!$C$5:$C$1000,"&lt;"&amp;'Detalle individual'!C684)*1000+COUNTIF('Detalle individual'!$B$5:$B$1000,"&lt;"&amp;'Detalle individual'!B684)+ROW()/10000,"")</f>
        <v/>
      </c>
      <c r="AK684" t="str">
        <f>IF(OR('Base Exámenes'!C684="",'Base Exámenes'!D684=""),"",IF(COUNTIF('Base Exámenes'!$C$5:C684,'Base Exámenes'!C684)=1,'Base Exámenes'!D684+ROW()/1000000000,""))</f>
        <v/>
      </c>
      <c r="AL684" t="str">
        <f>IF(OR('Base Exámenes'!C684="",'Base Exámenes'!E684=""),"",IF(COUNTIF('Base Exámenes'!$C$5:C684,'Base Exámenes'!C684)=1,'Base Exámenes'!E684+ROW()/1000000000,""))</f>
        <v/>
      </c>
      <c r="AM684" t="str">
        <f>IF(OR('Base Exámenes'!C684="",'Base Exámenes'!G684=""),"",IF(ROW()-4=MATCH('Base Exámenes'!C684&amp;"|"&amp;_xlfn.MAXIFS('Base Exámenes'!$G$5:$G$1000,'Base Exámenes'!$C$5:$C$1000,'Base Exámenes'!C684),'Base Exámenes'!$I$5:$I$1000,0),'Base Exámenes'!G684*1000000+(-1)*'Base Exámenes'!D684,""))</f>
        <v/>
      </c>
      <c r="AQ684" t="str">
        <f>IF('Base Exámenes'!C684="","",IF(COUNTIF('Base Exámenes'!$C$5:$C$1000,'Base Exámenes'!C684)&lt;2,"",MATCH('Base Exámenes'!C684,'Base Exámenes'!$C$5:$C$1000,0)*10000+ROW()))</f>
        <v/>
      </c>
    </row>
    <row r="685">
      <c r="Z685" t="str">
        <f>IF('Detalle individual'!A685="","",IF(AND(OR('Estado por Colaborador'!$D$4="Todas las gerencias",'Detalle individual'!D685='Estado por Colaborador'!$D$4),OR('Estado por Colaborador'!$D$5="Todos los departamentos",TRIM('Detalle individual'!C685)='Estado por Colaborador'!$D$5),OR('Estado por Colaborador'!$D$6="Todos",'Detalle individual'!F685='Estado por Colaborador'!$D$6)),IF('Detalle individual'!F685="Completado",30000000,IF('Detalle individual'!F685="Pendiente",0,15000000))+COUNTIF('Detalle individual'!$C$5:$C$1000,"&lt;"&amp;'Detalle individual'!C685)*10000+ROW(),""))</f>
        <v/>
      </c>
      <c r="AB685" t="str">
        <f>IF('Detalle individual'!C685="","",IF(COUNTIF('Detalle individual'!$C$5:C685,'Detalle individual'!C685)=1,COUNTIF('Detalle individual'!$C$5:$C$1000,"&lt;"&amp;'Detalle individual'!C685),""))</f>
        <v/>
      </c>
      <c r="AC685" t="str">
        <f>IF('Detalle individual'!D685="","",IF(COUNTIF('Detalle individual'!$D$5:D685,'Detalle individual'!D685)=1,COUNTIF('Detalle individual'!$D$5:$D$1000,"&lt;"&amp;'Detalle individual'!D685),""))</f>
        <v/>
      </c>
      <c r="AH685" t="str">
        <f>IF('Detalle individual'!F685="Pendiente",COUNTIF('Detalle individual'!$D$5:$D$1000,"&lt;"&amp;'Detalle individual'!D685)*1000000+COUNTIF('Detalle individual'!$C$5:$C$1000,"&lt;"&amp;'Detalle individual'!C685)*1000+COUNTIF('Detalle individual'!$B$5:$B$1000,"&lt;"&amp;'Detalle individual'!B685)+ROW()/10000,"")</f>
        <v/>
      </c>
      <c r="AI685" t="str">
        <f>IF('Detalle individual'!F685="Completado",COUNTIF('Detalle individual'!$D$5:$D$1000,"&lt;"&amp;'Detalle individual'!D685)*1000000+COUNTIF('Detalle individual'!$C$5:$C$1000,"&lt;"&amp;'Detalle individual'!C685)*1000+COUNTIF('Detalle individual'!$B$5:$B$1000,"&lt;"&amp;'Detalle individual'!B685)+ROW()/10000,"")</f>
        <v/>
      </c>
      <c r="AJ685" t="str">
        <f>IF(AND('Detalle individual'!F685&lt;&gt;"",'Detalle individual'!F685&lt;&gt;"Completado",'Detalle individual'!F685&lt;&gt;"Pendiente"),COUNTIF('Detalle individual'!$D$5:$D$1000,"&lt;"&amp;'Detalle individual'!D685)*1000000+COUNTIF('Detalle individual'!$C$5:$C$1000,"&lt;"&amp;'Detalle individual'!C685)*1000+COUNTIF('Detalle individual'!$B$5:$B$1000,"&lt;"&amp;'Detalle individual'!B685)+ROW()/10000,"")</f>
        <v/>
      </c>
      <c r="AK685" t="str">
        <f>IF(OR('Base Exámenes'!C685="",'Base Exámenes'!D685=""),"",IF(COUNTIF('Base Exámenes'!$C$5:C685,'Base Exámenes'!C685)=1,'Base Exámenes'!D685+ROW()/1000000000,""))</f>
        <v/>
      </c>
      <c r="AL685" t="str">
        <f>IF(OR('Base Exámenes'!C685="",'Base Exámenes'!E685=""),"",IF(COUNTIF('Base Exámenes'!$C$5:C685,'Base Exámenes'!C685)=1,'Base Exámenes'!E685+ROW()/1000000000,""))</f>
        <v/>
      </c>
      <c r="AM685" t="str">
        <f>IF(OR('Base Exámenes'!C685="",'Base Exámenes'!G685=""),"",IF(ROW()-4=MATCH('Base Exámenes'!C685&amp;"|"&amp;_xlfn.MAXIFS('Base Exámenes'!$G$5:$G$1000,'Base Exámenes'!$C$5:$C$1000,'Base Exámenes'!C685),'Base Exámenes'!$I$5:$I$1000,0),'Base Exámenes'!G685*1000000+(-1)*'Base Exámenes'!D685,""))</f>
        <v/>
      </c>
      <c r="AQ685" t="str">
        <f>IF('Base Exámenes'!C685="","",IF(COUNTIF('Base Exámenes'!$C$5:$C$1000,'Base Exámenes'!C685)&lt;2,"",MATCH('Base Exámenes'!C685,'Base Exámenes'!$C$5:$C$1000,0)*10000+ROW()))</f>
        <v/>
      </c>
    </row>
    <row r="686">
      <c r="Z686" t="str">
        <f>IF('Detalle individual'!A686="","",IF(AND(OR('Estado por Colaborador'!$D$4="Todas las gerencias",'Detalle individual'!D686='Estado por Colaborador'!$D$4),OR('Estado por Colaborador'!$D$5="Todos los departamentos",TRIM('Detalle individual'!C686)='Estado por Colaborador'!$D$5),OR('Estado por Colaborador'!$D$6="Todos",'Detalle individual'!F686='Estado por Colaborador'!$D$6)),IF('Detalle individual'!F686="Completado",30000000,IF('Detalle individual'!F686="Pendiente",0,15000000))+COUNTIF('Detalle individual'!$C$5:$C$1000,"&lt;"&amp;'Detalle individual'!C686)*10000+ROW(),""))</f>
        <v/>
      </c>
      <c r="AB686" t="str">
        <f>IF('Detalle individual'!C686="","",IF(COUNTIF('Detalle individual'!$C$5:C686,'Detalle individual'!C686)=1,COUNTIF('Detalle individual'!$C$5:$C$1000,"&lt;"&amp;'Detalle individual'!C686),""))</f>
        <v/>
      </c>
      <c r="AC686" t="str">
        <f>IF('Detalle individual'!D686="","",IF(COUNTIF('Detalle individual'!$D$5:D686,'Detalle individual'!D686)=1,COUNTIF('Detalle individual'!$D$5:$D$1000,"&lt;"&amp;'Detalle individual'!D686),""))</f>
        <v/>
      </c>
      <c r="AH686" t="str">
        <f>IF('Detalle individual'!F686="Pendiente",COUNTIF('Detalle individual'!$D$5:$D$1000,"&lt;"&amp;'Detalle individual'!D686)*1000000+COUNTIF('Detalle individual'!$C$5:$C$1000,"&lt;"&amp;'Detalle individual'!C686)*1000+COUNTIF('Detalle individual'!$B$5:$B$1000,"&lt;"&amp;'Detalle individual'!B686)+ROW()/10000,"")</f>
        <v/>
      </c>
      <c r="AI686" t="str">
        <f>IF('Detalle individual'!F686="Completado",COUNTIF('Detalle individual'!$D$5:$D$1000,"&lt;"&amp;'Detalle individual'!D686)*1000000+COUNTIF('Detalle individual'!$C$5:$C$1000,"&lt;"&amp;'Detalle individual'!C686)*1000+COUNTIF('Detalle individual'!$B$5:$B$1000,"&lt;"&amp;'Detalle individual'!B686)+ROW()/10000,"")</f>
        <v/>
      </c>
      <c r="AJ686" t="str">
        <f>IF(AND('Detalle individual'!F686&lt;&gt;"",'Detalle individual'!F686&lt;&gt;"Completado",'Detalle individual'!F686&lt;&gt;"Pendiente"),COUNTIF('Detalle individual'!$D$5:$D$1000,"&lt;"&amp;'Detalle individual'!D686)*1000000+COUNTIF('Detalle individual'!$C$5:$C$1000,"&lt;"&amp;'Detalle individual'!C686)*1000+COUNTIF('Detalle individual'!$B$5:$B$1000,"&lt;"&amp;'Detalle individual'!B686)+ROW()/10000,"")</f>
        <v/>
      </c>
      <c r="AK686" t="str">
        <f>IF(OR('Base Exámenes'!C686="",'Base Exámenes'!D686=""),"",IF(COUNTIF('Base Exámenes'!$C$5:C686,'Base Exámenes'!C686)=1,'Base Exámenes'!D686+ROW()/1000000000,""))</f>
        <v/>
      </c>
      <c r="AL686" t="str">
        <f>IF(OR('Base Exámenes'!C686="",'Base Exámenes'!E686=""),"",IF(COUNTIF('Base Exámenes'!$C$5:C686,'Base Exámenes'!C686)=1,'Base Exámenes'!E686+ROW()/1000000000,""))</f>
        <v/>
      </c>
      <c r="AM686" t="str">
        <f>IF(OR('Base Exámenes'!C686="",'Base Exámenes'!G686=""),"",IF(ROW()-4=MATCH('Base Exámenes'!C686&amp;"|"&amp;_xlfn.MAXIFS('Base Exámenes'!$G$5:$G$1000,'Base Exámenes'!$C$5:$C$1000,'Base Exámenes'!C686),'Base Exámenes'!$I$5:$I$1000,0),'Base Exámenes'!G686*1000000+(-1)*'Base Exámenes'!D686,""))</f>
        <v/>
      </c>
      <c r="AQ686" t="str">
        <f>IF('Base Exámenes'!C686="","",IF(COUNTIF('Base Exámenes'!$C$5:$C$1000,'Base Exámenes'!C686)&lt;2,"",MATCH('Base Exámenes'!C686,'Base Exámenes'!$C$5:$C$1000,0)*10000+ROW()))</f>
        <v/>
      </c>
    </row>
    <row r="687">
      <c r="Z687" t="str">
        <f>IF('Detalle individual'!A687="","",IF(AND(OR('Estado por Colaborador'!$D$4="Todas las gerencias",'Detalle individual'!D687='Estado por Colaborador'!$D$4),OR('Estado por Colaborador'!$D$5="Todos los departamentos",TRIM('Detalle individual'!C687)='Estado por Colaborador'!$D$5),OR('Estado por Colaborador'!$D$6="Todos",'Detalle individual'!F687='Estado por Colaborador'!$D$6)),IF('Detalle individual'!F687="Completado",30000000,IF('Detalle individual'!F687="Pendiente",0,15000000))+COUNTIF('Detalle individual'!$C$5:$C$1000,"&lt;"&amp;'Detalle individual'!C687)*10000+ROW(),""))</f>
        <v/>
      </c>
      <c r="AB687" t="str">
        <f>IF('Detalle individual'!C687="","",IF(COUNTIF('Detalle individual'!$C$5:C687,'Detalle individual'!C687)=1,COUNTIF('Detalle individual'!$C$5:$C$1000,"&lt;"&amp;'Detalle individual'!C687),""))</f>
        <v/>
      </c>
      <c r="AC687" t="str">
        <f>IF('Detalle individual'!D687="","",IF(COUNTIF('Detalle individual'!$D$5:D687,'Detalle individual'!D687)=1,COUNTIF('Detalle individual'!$D$5:$D$1000,"&lt;"&amp;'Detalle individual'!D687),""))</f>
        <v/>
      </c>
      <c r="AH687" t="str">
        <f>IF('Detalle individual'!F687="Pendiente",COUNTIF('Detalle individual'!$D$5:$D$1000,"&lt;"&amp;'Detalle individual'!D687)*1000000+COUNTIF('Detalle individual'!$C$5:$C$1000,"&lt;"&amp;'Detalle individual'!C687)*1000+COUNTIF('Detalle individual'!$B$5:$B$1000,"&lt;"&amp;'Detalle individual'!B687)+ROW()/10000,"")</f>
        <v/>
      </c>
      <c r="AI687" t="str">
        <f>IF('Detalle individual'!F687="Completado",COUNTIF('Detalle individual'!$D$5:$D$1000,"&lt;"&amp;'Detalle individual'!D687)*1000000+COUNTIF('Detalle individual'!$C$5:$C$1000,"&lt;"&amp;'Detalle individual'!C687)*1000+COUNTIF('Detalle individual'!$B$5:$B$1000,"&lt;"&amp;'Detalle individual'!B687)+ROW()/10000,"")</f>
        <v/>
      </c>
      <c r="AJ687" t="str">
        <f>IF(AND('Detalle individual'!F687&lt;&gt;"",'Detalle individual'!F687&lt;&gt;"Completado",'Detalle individual'!F687&lt;&gt;"Pendiente"),COUNTIF('Detalle individual'!$D$5:$D$1000,"&lt;"&amp;'Detalle individual'!D687)*1000000+COUNTIF('Detalle individual'!$C$5:$C$1000,"&lt;"&amp;'Detalle individual'!C687)*1000+COUNTIF('Detalle individual'!$B$5:$B$1000,"&lt;"&amp;'Detalle individual'!B687)+ROW()/10000,"")</f>
        <v/>
      </c>
      <c r="AK687" t="str">
        <f>IF(OR('Base Exámenes'!C687="",'Base Exámenes'!D687=""),"",IF(COUNTIF('Base Exámenes'!$C$5:C687,'Base Exámenes'!C687)=1,'Base Exámenes'!D687+ROW()/1000000000,""))</f>
        <v/>
      </c>
      <c r="AL687" t="str">
        <f>IF(OR('Base Exámenes'!C687="",'Base Exámenes'!E687=""),"",IF(COUNTIF('Base Exámenes'!$C$5:C687,'Base Exámenes'!C687)=1,'Base Exámenes'!E687+ROW()/1000000000,""))</f>
        <v/>
      </c>
      <c r="AM687" t="str">
        <f>IF(OR('Base Exámenes'!C687="",'Base Exámenes'!G687=""),"",IF(ROW()-4=MATCH('Base Exámenes'!C687&amp;"|"&amp;_xlfn.MAXIFS('Base Exámenes'!$G$5:$G$1000,'Base Exámenes'!$C$5:$C$1000,'Base Exámenes'!C687),'Base Exámenes'!$I$5:$I$1000,0),'Base Exámenes'!G687*1000000+(-1)*'Base Exámenes'!D687,""))</f>
        <v/>
      </c>
      <c r="AQ687" t="str">
        <f>IF('Base Exámenes'!C687="","",IF(COUNTIF('Base Exámenes'!$C$5:$C$1000,'Base Exámenes'!C687)&lt;2,"",MATCH('Base Exámenes'!C687,'Base Exámenes'!$C$5:$C$1000,0)*10000+ROW()))</f>
        <v/>
      </c>
    </row>
    <row r="688">
      <c r="Z688" t="str">
        <f>IF('Detalle individual'!A688="","",IF(AND(OR('Estado por Colaborador'!$D$4="Todas las gerencias",'Detalle individual'!D688='Estado por Colaborador'!$D$4),OR('Estado por Colaborador'!$D$5="Todos los departamentos",TRIM('Detalle individual'!C688)='Estado por Colaborador'!$D$5),OR('Estado por Colaborador'!$D$6="Todos",'Detalle individual'!F688='Estado por Colaborador'!$D$6)),IF('Detalle individual'!F688="Completado",30000000,IF('Detalle individual'!F688="Pendiente",0,15000000))+COUNTIF('Detalle individual'!$C$5:$C$1000,"&lt;"&amp;'Detalle individual'!C688)*10000+ROW(),""))</f>
        <v/>
      </c>
      <c r="AB688" t="str">
        <f>IF('Detalle individual'!C688="","",IF(COUNTIF('Detalle individual'!$C$5:C688,'Detalle individual'!C688)=1,COUNTIF('Detalle individual'!$C$5:$C$1000,"&lt;"&amp;'Detalle individual'!C688),""))</f>
        <v/>
      </c>
      <c r="AC688" t="str">
        <f>IF('Detalle individual'!D688="","",IF(COUNTIF('Detalle individual'!$D$5:D688,'Detalle individual'!D688)=1,COUNTIF('Detalle individual'!$D$5:$D$1000,"&lt;"&amp;'Detalle individual'!D688),""))</f>
        <v/>
      </c>
      <c r="AH688" t="str">
        <f>IF('Detalle individual'!F688="Pendiente",COUNTIF('Detalle individual'!$D$5:$D$1000,"&lt;"&amp;'Detalle individual'!D688)*1000000+COUNTIF('Detalle individual'!$C$5:$C$1000,"&lt;"&amp;'Detalle individual'!C688)*1000+COUNTIF('Detalle individual'!$B$5:$B$1000,"&lt;"&amp;'Detalle individual'!B688)+ROW()/10000,"")</f>
        <v/>
      </c>
      <c r="AI688" t="str">
        <f>IF('Detalle individual'!F688="Completado",COUNTIF('Detalle individual'!$D$5:$D$1000,"&lt;"&amp;'Detalle individual'!D688)*1000000+COUNTIF('Detalle individual'!$C$5:$C$1000,"&lt;"&amp;'Detalle individual'!C688)*1000+COUNTIF('Detalle individual'!$B$5:$B$1000,"&lt;"&amp;'Detalle individual'!B688)+ROW()/10000,"")</f>
        <v/>
      </c>
      <c r="AJ688" t="str">
        <f>IF(AND('Detalle individual'!F688&lt;&gt;"",'Detalle individual'!F688&lt;&gt;"Completado",'Detalle individual'!F688&lt;&gt;"Pendiente"),COUNTIF('Detalle individual'!$D$5:$D$1000,"&lt;"&amp;'Detalle individual'!D688)*1000000+COUNTIF('Detalle individual'!$C$5:$C$1000,"&lt;"&amp;'Detalle individual'!C688)*1000+COUNTIF('Detalle individual'!$B$5:$B$1000,"&lt;"&amp;'Detalle individual'!B688)+ROW()/10000,"")</f>
        <v/>
      </c>
      <c r="AK688" t="str">
        <f>IF(OR('Base Exámenes'!C688="",'Base Exámenes'!D688=""),"",IF(COUNTIF('Base Exámenes'!$C$5:C688,'Base Exámenes'!C688)=1,'Base Exámenes'!D688+ROW()/1000000000,""))</f>
        <v/>
      </c>
      <c r="AL688" t="str">
        <f>IF(OR('Base Exámenes'!C688="",'Base Exámenes'!E688=""),"",IF(COUNTIF('Base Exámenes'!$C$5:C688,'Base Exámenes'!C688)=1,'Base Exámenes'!E688+ROW()/1000000000,""))</f>
        <v/>
      </c>
      <c r="AM688" t="str">
        <f>IF(OR('Base Exámenes'!C688="",'Base Exámenes'!G688=""),"",IF(ROW()-4=MATCH('Base Exámenes'!C688&amp;"|"&amp;_xlfn.MAXIFS('Base Exámenes'!$G$5:$G$1000,'Base Exámenes'!$C$5:$C$1000,'Base Exámenes'!C688),'Base Exámenes'!$I$5:$I$1000,0),'Base Exámenes'!G688*1000000+(-1)*'Base Exámenes'!D688,""))</f>
        <v/>
      </c>
      <c r="AQ688" t="str">
        <f>IF('Base Exámenes'!C688="","",IF(COUNTIF('Base Exámenes'!$C$5:$C$1000,'Base Exámenes'!C688)&lt;2,"",MATCH('Base Exámenes'!C688,'Base Exámenes'!$C$5:$C$1000,0)*10000+ROW()))</f>
        <v/>
      </c>
    </row>
    <row r="689">
      <c r="Z689" t="str">
        <f>IF('Detalle individual'!A689="","",IF(AND(OR('Estado por Colaborador'!$D$4="Todas las gerencias",'Detalle individual'!D689='Estado por Colaborador'!$D$4),OR('Estado por Colaborador'!$D$5="Todos los departamentos",TRIM('Detalle individual'!C689)='Estado por Colaborador'!$D$5),OR('Estado por Colaborador'!$D$6="Todos",'Detalle individual'!F689='Estado por Colaborador'!$D$6)),IF('Detalle individual'!F689="Completado",30000000,IF('Detalle individual'!F689="Pendiente",0,15000000))+COUNTIF('Detalle individual'!$C$5:$C$1000,"&lt;"&amp;'Detalle individual'!C689)*10000+ROW(),""))</f>
        <v/>
      </c>
      <c r="AB689" t="str">
        <f>IF('Detalle individual'!C689="","",IF(COUNTIF('Detalle individual'!$C$5:C689,'Detalle individual'!C689)=1,COUNTIF('Detalle individual'!$C$5:$C$1000,"&lt;"&amp;'Detalle individual'!C689),""))</f>
        <v/>
      </c>
      <c r="AC689" t="str">
        <f>IF('Detalle individual'!D689="","",IF(COUNTIF('Detalle individual'!$D$5:D689,'Detalle individual'!D689)=1,COUNTIF('Detalle individual'!$D$5:$D$1000,"&lt;"&amp;'Detalle individual'!D689),""))</f>
        <v/>
      </c>
      <c r="AH689" t="str">
        <f>IF('Detalle individual'!F689="Pendiente",COUNTIF('Detalle individual'!$D$5:$D$1000,"&lt;"&amp;'Detalle individual'!D689)*1000000+COUNTIF('Detalle individual'!$C$5:$C$1000,"&lt;"&amp;'Detalle individual'!C689)*1000+COUNTIF('Detalle individual'!$B$5:$B$1000,"&lt;"&amp;'Detalle individual'!B689)+ROW()/10000,"")</f>
        <v/>
      </c>
      <c r="AI689" t="str">
        <f>IF('Detalle individual'!F689="Completado",COUNTIF('Detalle individual'!$D$5:$D$1000,"&lt;"&amp;'Detalle individual'!D689)*1000000+COUNTIF('Detalle individual'!$C$5:$C$1000,"&lt;"&amp;'Detalle individual'!C689)*1000+COUNTIF('Detalle individual'!$B$5:$B$1000,"&lt;"&amp;'Detalle individual'!B689)+ROW()/10000,"")</f>
        <v/>
      </c>
      <c r="AJ689" t="str">
        <f>IF(AND('Detalle individual'!F689&lt;&gt;"",'Detalle individual'!F689&lt;&gt;"Completado",'Detalle individual'!F689&lt;&gt;"Pendiente"),COUNTIF('Detalle individual'!$D$5:$D$1000,"&lt;"&amp;'Detalle individual'!D689)*1000000+COUNTIF('Detalle individual'!$C$5:$C$1000,"&lt;"&amp;'Detalle individual'!C689)*1000+COUNTIF('Detalle individual'!$B$5:$B$1000,"&lt;"&amp;'Detalle individual'!B689)+ROW()/10000,"")</f>
        <v/>
      </c>
      <c r="AK689" t="str">
        <f>IF(OR('Base Exámenes'!C689="",'Base Exámenes'!D689=""),"",IF(COUNTIF('Base Exámenes'!$C$5:C689,'Base Exámenes'!C689)=1,'Base Exámenes'!D689+ROW()/1000000000,""))</f>
        <v/>
      </c>
      <c r="AL689" t="str">
        <f>IF(OR('Base Exámenes'!C689="",'Base Exámenes'!E689=""),"",IF(COUNTIF('Base Exámenes'!$C$5:C689,'Base Exámenes'!C689)=1,'Base Exámenes'!E689+ROW()/1000000000,""))</f>
        <v/>
      </c>
      <c r="AM689" t="str">
        <f>IF(OR('Base Exámenes'!C689="",'Base Exámenes'!G689=""),"",IF(ROW()-4=MATCH('Base Exámenes'!C689&amp;"|"&amp;_xlfn.MAXIFS('Base Exámenes'!$G$5:$G$1000,'Base Exámenes'!$C$5:$C$1000,'Base Exámenes'!C689),'Base Exámenes'!$I$5:$I$1000,0),'Base Exámenes'!G689*1000000+(-1)*'Base Exámenes'!D689,""))</f>
        <v/>
      </c>
      <c r="AQ689" t="str">
        <f>IF('Base Exámenes'!C689="","",IF(COUNTIF('Base Exámenes'!$C$5:$C$1000,'Base Exámenes'!C689)&lt;2,"",MATCH('Base Exámenes'!C689,'Base Exámenes'!$C$5:$C$1000,0)*10000+ROW()))</f>
        <v/>
      </c>
    </row>
    <row r="690">
      <c r="Z690" t="str">
        <f>IF('Detalle individual'!A690="","",IF(AND(OR('Estado por Colaborador'!$D$4="Todas las gerencias",'Detalle individual'!D690='Estado por Colaborador'!$D$4),OR('Estado por Colaborador'!$D$5="Todos los departamentos",TRIM('Detalle individual'!C690)='Estado por Colaborador'!$D$5),OR('Estado por Colaborador'!$D$6="Todos",'Detalle individual'!F690='Estado por Colaborador'!$D$6)),IF('Detalle individual'!F690="Completado",30000000,IF('Detalle individual'!F690="Pendiente",0,15000000))+COUNTIF('Detalle individual'!$C$5:$C$1000,"&lt;"&amp;'Detalle individual'!C690)*10000+ROW(),""))</f>
        <v/>
      </c>
      <c r="AB690" t="str">
        <f>IF('Detalle individual'!C690="","",IF(COUNTIF('Detalle individual'!$C$5:C690,'Detalle individual'!C690)=1,COUNTIF('Detalle individual'!$C$5:$C$1000,"&lt;"&amp;'Detalle individual'!C690),""))</f>
        <v/>
      </c>
      <c r="AC690" t="str">
        <f>IF('Detalle individual'!D690="","",IF(COUNTIF('Detalle individual'!$D$5:D690,'Detalle individual'!D690)=1,COUNTIF('Detalle individual'!$D$5:$D$1000,"&lt;"&amp;'Detalle individual'!D690),""))</f>
        <v/>
      </c>
      <c r="AH690" t="str">
        <f>IF('Detalle individual'!F690="Pendiente",COUNTIF('Detalle individual'!$D$5:$D$1000,"&lt;"&amp;'Detalle individual'!D690)*1000000+COUNTIF('Detalle individual'!$C$5:$C$1000,"&lt;"&amp;'Detalle individual'!C690)*1000+COUNTIF('Detalle individual'!$B$5:$B$1000,"&lt;"&amp;'Detalle individual'!B690)+ROW()/10000,"")</f>
        <v/>
      </c>
      <c r="AI690" t="str">
        <f>IF('Detalle individual'!F690="Completado",COUNTIF('Detalle individual'!$D$5:$D$1000,"&lt;"&amp;'Detalle individual'!D690)*1000000+COUNTIF('Detalle individual'!$C$5:$C$1000,"&lt;"&amp;'Detalle individual'!C690)*1000+COUNTIF('Detalle individual'!$B$5:$B$1000,"&lt;"&amp;'Detalle individual'!B690)+ROW()/10000,"")</f>
        <v/>
      </c>
      <c r="AJ690" t="str">
        <f>IF(AND('Detalle individual'!F690&lt;&gt;"",'Detalle individual'!F690&lt;&gt;"Completado",'Detalle individual'!F690&lt;&gt;"Pendiente"),COUNTIF('Detalle individual'!$D$5:$D$1000,"&lt;"&amp;'Detalle individual'!D690)*1000000+COUNTIF('Detalle individual'!$C$5:$C$1000,"&lt;"&amp;'Detalle individual'!C690)*1000+COUNTIF('Detalle individual'!$B$5:$B$1000,"&lt;"&amp;'Detalle individual'!B690)+ROW()/10000,"")</f>
        <v/>
      </c>
      <c r="AK690" t="str">
        <f>IF(OR('Base Exámenes'!C690="",'Base Exámenes'!D690=""),"",IF(COUNTIF('Base Exámenes'!$C$5:C690,'Base Exámenes'!C690)=1,'Base Exámenes'!D690+ROW()/1000000000,""))</f>
        <v/>
      </c>
      <c r="AL690" t="str">
        <f>IF(OR('Base Exámenes'!C690="",'Base Exámenes'!E690=""),"",IF(COUNTIF('Base Exámenes'!$C$5:C690,'Base Exámenes'!C690)=1,'Base Exámenes'!E690+ROW()/1000000000,""))</f>
        <v/>
      </c>
      <c r="AM690" t="str">
        <f>IF(OR('Base Exámenes'!C690="",'Base Exámenes'!G690=""),"",IF(ROW()-4=MATCH('Base Exámenes'!C690&amp;"|"&amp;_xlfn.MAXIFS('Base Exámenes'!$G$5:$G$1000,'Base Exámenes'!$C$5:$C$1000,'Base Exámenes'!C690),'Base Exámenes'!$I$5:$I$1000,0),'Base Exámenes'!G690*1000000+(-1)*'Base Exámenes'!D690,""))</f>
        <v/>
      </c>
      <c r="AQ690" t="str">
        <f>IF('Base Exámenes'!C690="","",IF(COUNTIF('Base Exámenes'!$C$5:$C$1000,'Base Exámenes'!C690)&lt;2,"",MATCH('Base Exámenes'!C690,'Base Exámenes'!$C$5:$C$1000,0)*10000+ROW()))</f>
        <v/>
      </c>
    </row>
    <row r="691">
      <c r="Z691" t="str">
        <f>IF('Detalle individual'!A691="","",IF(AND(OR('Estado por Colaborador'!$D$4="Todas las gerencias",'Detalle individual'!D691='Estado por Colaborador'!$D$4),OR('Estado por Colaborador'!$D$5="Todos los departamentos",TRIM('Detalle individual'!C691)='Estado por Colaborador'!$D$5),OR('Estado por Colaborador'!$D$6="Todos",'Detalle individual'!F691='Estado por Colaborador'!$D$6)),IF('Detalle individual'!F691="Completado",30000000,IF('Detalle individual'!F691="Pendiente",0,15000000))+COUNTIF('Detalle individual'!$C$5:$C$1000,"&lt;"&amp;'Detalle individual'!C691)*10000+ROW(),""))</f>
        <v/>
      </c>
      <c r="AB691" t="str">
        <f>IF('Detalle individual'!C691="","",IF(COUNTIF('Detalle individual'!$C$5:C691,'Detalle individual'!C691)=1,COUNTIF('Detalle individual'!$C$5:$C$1000,"&lt;"&amp;'Detalle individual'!C691),""))</f>
        <v/>
      </c>
      <c r="AC691" t="str">
        <f>IF('Detalle individual'!D691="","",IF(COUNTIF('Detalle individual'!$D$5:D691,'Detalle individual'!D691)=1,COUNTIF('Detalle individual'!$D$5:$D$1000,"&lt;"&amp;'Detalle individual'!D691),""))</f>
        <v/>
      </c>
      <c r="AH691" t="str">
        <f>IF('Detalle individual'!F691="Pendiente",COUNTIF('Detalle individual'!$D$5:$D$1000,"&lt;"&amp;'Detalle individual'!D691)*1000000+COUNTIF('Detalle individual'!$C$5:$C$1000,"&lt;"&amp;'Detalle individual'!C691)*1000+COUNTIF('Detalle individual'!$B$5:$B$1000,"&lt;"&amp;'Detalle individual'!B691)+ROW()/10000,"")</f>
        <v/>
      </c>
      <c r="AI691" t="str">
        <f>IF('Detalle individual'!F691="Completado",COUNTIF('Detalle individual'!$D$5:$D$1000,"&lt;"&amp;'Detalle individual'!D691)*1000000+COUNTIF('Detalle individual'!$C$5:$C$1000,"&lt;"&amp;'Detalle individual'!C691)*1000+COUNTIF('Detalle individual'!$B$5:$B$1000,"&lt;"&amp;'Detalle individual'!B691)+ROW()/10000,"")</f>
        <v/>
      </c>
      <c r="AJ691" t="str">
        <f>IF(AND('Detalle individual'!F691&lt;&gt;"",'Detalle individual'!F691&lt;&gt;"Completado",'Detalle individual'!F691&lt;&gt;"Pendiente"),COUNTIF('Detalle individual'!$D$5:$D$1000,"&lt;"&amp;'Detalle individual'!D691)*1000000+COUNTIF('Detalle individual'!$C$5:$C$1000,"&lt;"&amp;'Detalle individual'!C691)*1000+COUNTIF('Detalle individual'!$B$5:$B$1000,"&lt;"&amp;'Detalle individual'!B691)+ROW()/10000,"")</f>
        <v/>
      </c>
      <c r="AK691" t="str">
        <f>IF(OR('Base Exámenes'!C691="",'Base Exámenes'!D691=""),"",IF(COUNTIF('Base Exámenes'!$C$5:C691,'Base Exámenes'!C691)=1,'Base Exámenes'!D691+ROW()/1000000000,""))</f>
        <v/>
      </c>
      <c r="AL691" t="str">
        <f>IF(OR('Base Exámenes'!C691="",'Base Exámenes'!E691=""),"",IF(COUNTIF('Base Exámenes'!$C$5:C691,'Base Exámenes'!C691)=1,'Base Exámenes'!E691+ROW()/1000000000,""))</f>
        <v/>
      </c>
      <c r="AM691" t="str">
        <f>IF(OR('Base Exámenes'!C691="",'Base Exámenes'!G691=""),"",IF(ROW()-4=MATCH('Base Exámenes'!C691&amp;"|"&amp;_xlfn.MAXIFS('Base Exámenes'!$G$5:$G$1000,'Base Exámenes'!$C$5:$C$1000,'Base Exámenes'!C691),'Base Exámenes'!$I$5:$I$1000,0),'Base Exámenes'!G691*1000000+(-1)*'Base Exámenes'!D691,""))</f>
        <v/>
      </c>
      <c r="AQ691" t="str">
        <f>IF('Base Exámenes'!C691="","",IF(COUNTIF('Base Exámenes'!$C$5:$C$1000,'Base Exámenes'!C691)&lt;2,"",MATCH('Base Exámenes'!C691,'Base Exámenes'!$C$5:$C$1000,0)*10000+ROW()))</f>
        <v/>
      </c>
    </row>
    <row r="692">
      <c r="Z692" t="str">
        <f>IF('Detalle individual'!A692="","",IF(AND(OR('Estado por Colaborador'!$D$4="Todas las gerencias",'Detalle individual'!D692='Estado por Colaborador'!$D$4),OR('Estado por Colaborador'!$D$5="Todos los departamentos",TRIM('Detalle individual'!C692)='Estado por Colaborador'!$D$5),OR('Estado por Colaborador'!$D$6="Todos",'Detalle individual'!F692='Estado por Colaborador'!$D$6)),IF('Detalle individual'!F692="Completado",30000000,IF('Detalle individual'!F692="Pendiente",0,15000000))+COUNTIF('Detalle individual'!$C$5:$C$1000,"&lt;"&amp;'Detalle individual'!C692)*10000+ROW(),""))</f>
        <v/>
      </c>
      <c r="AB692" t="str">
        <f>IF('Detalle individual'!C692="","",IF(COUNTIF('Detalle individual'!$C$5:C692,'Detalle individual'!C692)=1,COUNTIF('Detalle individual'!$C$5:$C$1000,"&lt;"&amp;'Detalle individual'!C692),""))</f>
        <v/>
      </c>
      <c r="AC692" t="str">
        <f>IF('Detalle individual'!D692="","",IF(COUNTIF('Detalle individual'!$D$5:D692,'Detalle individual'!D692)=1,COUNTIF('Detalle individual'!$D$5:$D$1000,"&lt;"&amp;'Detalle individual'!D692),""))</f>
        <v/>
      </c>
      <c r="AH692" t="str">
        <f>IF('Detalle individual'!F692="Pendiente",COUNTIF('Detalle individual'!$D$5:$D$1000,"&lt;"&amp;'Detalle individual'!D692)*1000000+COUNTIF('Detalle individual'!$C$5:$C$1000,"&lt;"&amp;'Detalle individual'!C692)*1000+COUNTIF('Detalle individual'!$B$5:$B$1000,"&lt;"&amp;'Detalle individual'!B692)+ROW()/10000,"")</f>
        <v/>
      </c>
      <c r="AI692" t="str">
        <f>IF('Detalle individual'!F692="Completado",COUNTIF('Detalle individual'!$D$5:$D$1000,"&lt;"&amp;'Detalle individual'!D692)*1000000+COUNTIF('Detalle individual'!$C$5:$C$1000,"&lt;"&amp;'Detalle individual'!C692)*1000+COUNTIF('Detalle individual'!$B$5:$B$1000,"&lt;"&amp;'Detalle individual'!B692)+ROW()/10000,"")</f>
        <v/>
      </c>
      <c r="AJ692" t="str">
        <f>IF(AND('Detalle individual'!F692&lt;&gt;"",'Detalle individual'!F692&lt;&gt;"Completado",'Detalle individual'!F692&lt;&gt;"Pendiente"),COUNTIF('Detalle individual'!$D$5:$D$1000,"&lt;"&amp;'Detalle individual'!D692)*1000000+COUNTIF('Detalle individual'!$C$5:$C$1000,"&lt;"&amp;'Detalle individual'!C692)*1000+COUNTIF('Detalle individual'!$B$5:$B$1000,"&lt;"&amp;'Detalle individual'!B692)+ROW()/10000,"")</f>
        <v/>
      </c>
      <c r="AK692" t="str">
        <f>IF(OR('Base Exámenes'!C692="",'Base Exámenes'!D692=""),"",IF(COUNTIF('Base Exámenes'!$C$5:C692,'Base Exámenes'!C692)=1,'Base Exámenes'!D692+ROW()/1000000000,""))</f>
        <v/>
      </c>
      <c r="AL692" t="str">
        <f>IF(OR('Base Exámenes'!C692="",'Base Exámenes'!E692=""),"",IF(COUNTIF('Base Exámenes'!$C$5:C692,'Base Exámenes'!C692)=1,'Base Exámenes'!E692+ROW()/1000000000,""))</f>
        <v/>
      </c>
      <c r="AM692" t="str">
        <f>IF(OR('Base Exámenes'!C692="",'Base Exámenes'!G692=""),"",IF(ROW()-4=MATCH('Base Exámenes'!C692&amp;"|"&amp;_xlfn.MAXIFS('Base Exámenes'!$G$5:$G$1000,'Base Exámenes'!$C$5:$C$1000,'Base Exámenes'!C692),'Base Exámenes'!$I$5:$I$1000,0),'Base Exámenes'!G692*1000000+(-1)*'Base Exámenes'!D692,""))</f>
        <v/>
      </c>
      <c r="AQ692" t="str">
        <f>IF('Base Exámenes'!C692="","",IF(COUNTIF('Base Exámenes'!$C$5:$C$1000,'Base Exámenes'!C692)&lt;2,"",MATCH('Base Exámenes'!C692,'Base Exámenes'!$C$5:$C$1000,0)*10000+ROW()))</f>
        <v/>
      </c>
    </row>
    <row r="693">
      <c r="Z693" t="str">
        <f>IF('Detalle individual'!A693="","",IF(AND(OR('Estado por Colaborador'!$D$4="Todas las gerencias",'Detalle individual'!D693='Estado por Colaborador'!$D$4),OR('Estado por Colaborador'!$D$5="Todos los departamentos",TRIM('Detalle individual'!C693)='Estado por Colaborador'!$D$5),OR('Estado por Colaborador'!$D$6="Todos",'Detalle individual'!F693='Estado por Colaborador'!$D$6)),IF('Detalle individual'!F693="Completado",30000000,IF('Detalle individual'!F693="Pendiente",0,15000000))+COUNTIF('Detalle individual'!$C$5:$C$1000,"&lt;"&amp;'Detalle individual'!C693)*10000+ROW(),""))</f>
        <v/>
      </c>
      <c r="AB693" t="str">
        <f>IF('Detalle individual'!C693="","",IF(COUNTIF('Detalle individual'!$C$5:C693,'Detalle individual'!C693)=1,COUNTIF('Detalle individual'!$C$5:$C$1000,"&lt;"&amp;'Detalle individual'!C693),""))</f>
        <v/>
      </c>
      <c r="AC693" t="str">
        <f>IF('Detalle individual'!D693="","",IF(COUNTIF('Detalle individual'!$D$5:D693,'Detalle individual'!D693)=1,COUNTIF('Detalle individual'!$D$5:$D$1000,"&lt;"&amp;'Detalle individual'!D693),""))</f>
        <v/>
      </c>
      <c r="AH693" t="str">
        <f>IF('Detalle individual'!F693="Pendiente",COUNTIF('Detalle individual'!$D$5:$D$1000,"&lt;"&amp;'Detalle individual'!D693)*1000000+COUNTIF('Detalle individual'!$C$5:$C$1000,"&lt;"&amp;'Detalle individual'!C693)*1000+COUNTIF('Detalle individual'!$B$5:$B$1000,"&lt;"&amp;'Detalle individual'!B693)+ROW()/10000,"")</f>
        <v/>
      </c>
      <c r="AI693" t="str">
        <f>IF('Detalle individual'!F693="Completado",COUNTIF('Detalle individual'!$D$5:$D$1000,"&lt;"&amp;'Detalle individual'!D693)*1000000+COUNTIF('Detalle individual'!$C$5:$C$1000,"&lt;"&amp;'Detalle individual'!C693)*1000+COUNTIF('Detalle individual'!$B$5:$B$1000,"&lt;"&amp;'Detalle individual'!B693)+ROW()/10000,"")</f>
        <v/>
      </c>
      <c r="AJ693" t="str">
        <f>IF(AND('Detalle individual'!F693&lt;&gt;"",'Detalle individual'!F693&lt;&gt;"Completado",'Detalle individual'!F693&lt;&gt;"Pendiente"),COUNTIF('Detalle individual'!$D$5:$D$1000,"&lt;"&amp;'Detalle individual'!D693)*1000000+COUNTIF('Detalle individual'!$C$5:$C$1000,"&lt;"&amp;'Detalle individual'!C693)*1000+COUNTIF('Detalle individual'!$B$5:$B$1000,"&lt;"&amp;'Detalle individual'!B693)+ROW()/10000,"")</f>
        <v/>
      </c>
      <c r="AK693" t="str">
        <f>IF(OR('Base Exámenes'!C693="",'Base Exámenes'!D693=""),"",IF(COUNTIF('Base Exámenes'!$C$5:C693,'Base Exámenes'!C693)=1,'Base Exámenes'!D693+ROW()/1000000000,""))</f>
        <v/>
      </c>
      <c r="AL693" t="str">
        <f>IF(OR('Base Exámenes'!C693="",'Base Exámenes'!E693=""),"",IF(COUNTIF('Base Exámenes'!$C$5:C693,'Base Exámenes'!C693)=1,'Base Exámenes'!E693+ROW()/1000000000,""))</f>
        <v/>
      </c>
      <c r="AM693" t="str">
        <f>IF(OR('Base Exámenes'!C693="",'Base Exámenes'!G693=""),"",IF(ROW()-4=MATCH('Base Exámenes'!C693&amp;"|"&amp;_xlfn.MAXIFS('Base Exámenes'!$G$5:$G$1000,'Base Exámenes'!$C$5:$C$1000,'Base Exámenes'!C693),'Base Exámenes'!$I$5:$I$1000,0),'Base Exámenes'!G693*1000000+(-1)*'Base Exámenes'!D693,""))</f>
        <v/>
      </c>
      <c r="AQ693" t="str">
        <f>IF('Base Exámenes'!C693="","",IF(COUNTIF('Base Exámenes'!$C$5:$C$1000,'Base Exámenes'!C693)&lt;2,"",MATCH('Base Exámenes'!C693,'Base Exámenes'!$C$5:$C$1000,0)*10000+ROW()))</f>
        <v/>
      </c>
    </row>
    <row r="694">
      <c r="Z694" t="str">
        <f>IF('Detalle individual'!A694="","",IF(AND(OR('Estado por Colaborador'!$D$4="Todas las gerencias",'Detalle individual'!D694='Estado por Colaborador'!$D$4),OR('Estado por Colaborador'!$D$5="Todos los departamentos",TRIM('Detalle individual'!C694)='Estado por Colaborador'!$D$5),OR('Estado por Colaborador'!$D$6="Todos",'Detalle individual'!F694='Estado por Colaborador'!$D$6)),IF('Detalle individual'!F694="Completado",30000000,IF('Detalle individual'!F694="Pendiente",0,15000000))+COUNTIF('Detalle individual'!$C$5:$C$1000,"&lt;"&amp;'Detalle individual'!C694)*10000+ROW(),""))</f>
        <v/>
      </c>
      <c r="AB694" t="str">
        <f>IF('Detalle individual'!C694="","",IF(COUNTIF('Detalle individual'!$C$5:C694,'Detalle individual'!C694)=1,COUNTIF('Detalle individual'!$C$5:$C$1000,"&lt;"&amp;'Detalle individual'!C694),""))</f>
        <v/>
      </c>
      <c r="AC694" t="str">
        <f>IF('Detalle individual'!D694="","",IF(COUNTIF('Detalle individual'!$D$5:D694,'Detalle individual'!D694)=1,COUNTIF('Detalle individual'!$D$5:$D$1000,"&lt;"&amp;'Detalle individual'!D694),""))</f>
        <v/>
      </c>
      <c r="AH694" t="str">
        <f>IF('Detalle individual'!F694="Pendiente",COUNTIF('Detalle individual'!$D$5:$D$1000,"&lt;"&amp;'Detalle individual'!D694)*1000000+COUNTIF('Detalle individual'!$C$5:$C$1000,"&lt;"&amp;'Detalle individual'!C694)*1000+COUNTIF('Detalle individual'!$B$5:$B$1000,"&lt;"&amp;'Detalle individual'!B694)+ROW()/10000,"")</f>
        <v/>
      </c>
      <c r="AI694" t="str">
        <f>IF('Detalle individual'!F694="Completado",COUNTIF('Detalle individual'!$D$5:$D$1000,"&lt;"&amp;'Detalle individual'!D694)*1000000+COUNTIF('Detalle individual'!$C$5:$C$1000,"&lt;"&amp;'Detalle individual'!C694)*1000+COUNTIF('Detalle individual'!$B$5:$B$1000,"&lt;"&amp;'Detalle individual'!B694)+ROW()/10000,"")</f>
        <v/>
      </c>
      <c r="AJ694" t="str">
        <f>IF(AND('Detalle individual'!F694&lt;&gt;"",'Detalle individual'!F694&lt;&gt;"Completado",'Detalle individual'!F694&lt;&gt;"Pendiente"),COUNTIF('Detalle individual'!$D$5:$D$1000,"&lt;"&amp;'Detalle individual'!D694)*1000000+COUNTIF('Detalle individual'!$C$5:$C$1000,"&lt;"&amp;'Detalle individual'!C694)*1000+COUNTIF('Detalle individual'!$B$5:$B$1000,"&lt;"&amp;'Detalle individual'!B694)+ROW()/10000,"")</f>
        <v/>
      </c>
      <c r="AK694" t="str">
        <f>IF(OR('Base Exámenes'!C694="",'Base Exámenes'!D694=""),"",IF(COUNTIF('Base Exámenes'!$C$5:C694,'Base Exámenes'!C694)=1,'Base Exámenes'!D694+ROW()/1000000000,""))</f>
        <v/>
      </c>
      <c r="AL694" t="str">
        <f>IF(OR('Base Exámenes'!C694="",'Base Exámenes'!E694=""),"",IF(COUNTIF('Base Exámenes'!$C$5:C694,'Base Exámenes'!C694)=1,'Base Exámenes'!E694+ROW()/1000000000,""))</f>
        <v/>
      </c>
      <c r="AM694" t="str">
        <f>IF(OR('Base Exámenes'!C694="",'Base Exámenes'!G694=""),"",IF(ROW()-4=MATCH('Base Exámenes'!C694&amp;"|"&amp;_xlfn.MAXIFS('Base Exámenes'!$G$5:$G$1000,'Base Exámenes'!$C$5:$C$1000,'Base Exámenes'!C694),'Base Exámenes'!$I$5:$I$1000,0),'Base Exámenes'!G694*1000000+(-1)*'Base Exámenes'!D694,""))</f>
        <v/>
      </c>
      <c r="AQ694" t="str">
        <f>IF('Base Exámenes'!C694="","",IF(COUNTIF('Base Exámenes'!$C$5:$C$1000,'Base Exámenes'!C694)&lt;2,"",MATCH('Base Exámenes'!C694,'Base Exámenes'!$C$5:$C$1000,0)*10000+ROW()))</f>
        <v/>
      </c>
    </row>
    <row r="695">
      <c r="Z695" t="str">
        <f>IF('Detalle individual'!A695="","",IF(AND(OR('Estado por Colaborador'!$D$4="Todas las gerencias",'Detalle individual'!D695='Estado por Colaborador'!$D$4),OR('Estado por Colaborador'!$D$5="Todos los departamentos",TRIM('Detalle individual'!C695)='Estado por Colaborador'!$D$5),OR('Estado por Colaborador'!$D$6="Todos",'Detalle individual'!F695='Estado por Colaborador'!$D$6)),IF('Detalle individual'!F695="Completado",30000000,IF('Detalle individual'!F695="Pendiente",0,15000000))+COUNTIF('Detalle individual'!$C$5:$C$1000,"&lt;"&amp;'Detalle individual'!C695)*10000+ROW(),""))</f>
        <v/>
      </c>
      <c r="AB695" t="str">
        <f>IF('Detalle individual'!C695="","",IF(COUNTIF('Detalle individual'!$C$5:C695,'Detalle individual'!C695)=1,COUNTIF('Detalle individual'!$C$5:$C$1000,"&lt;"&amp;'Detalle individual'!C695),""))</f>
        <v/>
      </c>
      <c r="AC695" t="str">
        <f>IF('Detalle individual'!D695="","",IF(COUNTIF('Detalle individual'!$D$5:D695,'Detalle individual'!D695)=1,COUNTIF('Detalle individual'!$D$5:$D$1000,"&lt;"&amp;'Detalle individual'!D695),""))</f>
        <v/>
      </c>
      <c r="AH695" t="str">
        <f>IF('Detalle individual'!F695="Pendiente",COUNTIF('Detalle individual'!$D$5:$D$1000,"&lt;"&amp;'Detalle individual'!D695)*1000000+COUNTIF('Detalle individual'!$C$5:$C$1000,"&lt;"&amp;'Detalle individual'!C695)*1000+COUNTIF('Detalle individual'!$B$5:$B$1000,"&lt;"&amp;'Detalle individual'!B695)+ROW()/10000,"")</f>
        <v/>
      </c>
      <c r="AI695" t="str">
        <f>IF('Detalle individual'!F695="Completado",COUNTIF('Detalle individual'!$D$5:$D$1000,"&lt;"&amp;'Detalle individual'!D695)*1000000+COUNTIF('Detalle individual'!$C$5:$C$1000,"&lt;"&amp;'Detalle individual'!C695)*1000+COUNTIF('Detalle individual'!$B$5:$B$1000,"&lt;"&amp;'Detalle individual'!B695)+ROW()/10000,"")</f>
        <v/>
      </c>
      <c r="AJ695" t="str">
        <f>IF(AND('Detalle individual'!F695&lt;&gt;"",'Detalle individual'!F695&lt;&gt;"Completado",'Detalle individual'!F695&lt;&gt;"Pendiente"),COUNTIF('Detalle individual'!$D$5:$D$1000,"&lt;"&amp;'Detalle individual'!D695)*1000000+COUNTIF('Detalle individual'!$C$5:$C$1000,"&lt;"&amp;'Detalle individual'!C695)*1000+COUNTIF('Detalle individual'!$B$5:$B$1000,"&lt;"&amp;'Detalle individual'!B695)+ROW()/10000,"")</f>
        <v/>
      </c>
      <c r="AK695" t="str">
        <f>IF(OR('Base Exámenes'!C695="",'Base Exámenes'!D695=""),"",IF(COUNTIF('Base Exámenes'!$C$5:C695,'Base Exámenes'!C695)=1,'Base Exámenes'!D695+ROW()/1000000000,""))</f>
        <v/>
      </c>
      <c r="AL695" t="str">
        <f>IF(OR('Base Exámenes'!C695="",'Base Exámenes'!E695=""),"",IF(COUNTIF('Base Exámenes'!$C$5:C695,'Base Exámenes'!C695)=1,'Base Exámenes'!E695+ROW()/1000000000,""))</f>
        <v/>
      </c>
      <c r="AM695" t="str">
        <f>IF(OR('Base Exámenes'!C695="",'Base Exámenes'!G695=""),"",IF(ROW()-4=MATCH('Base Exámenes'!C695&amp;"|"&amp;_xlfn.MAXIFS('Base Exámenes'!$G$5:$G$1000,'Base Exámenes'!$C$5:$C$1000,'Base Exámenes'!C695),'Base Exámenes'!$I$5:$I$1000,0),'Base Exámenes'!G695*1000000+(-1)*'Base Exámenes'!D695,""))</f>
        <v/>
      </c>
      <c r="AQ695" t="str">
        <f>IF('Base Exámenes'!C695="","",IF(COUNTIF('Base Exámenes'!$C$5:$C$1000,'Base Exámenes'!C695)&lt;2,"",MATCH('Base Exámenes'!C695,'Base Exámenes'!$C$5:$C$1000,0)*10000+ROW()))</f>
        <v/>
      </c>
    </row>
    <row r="696">
      <c r="Z696" t="str">
        <f>IF('Detalle individual'!A696="","",IF(AND(OR('Estado por Colaborador'!$D$4="Todas las gerencias",'Detalle individual'!D696='Estado por Colaborador'!$D$4),OR('Estado por Colaborador'!$D$5="Todos los departamentos",TRIM('Detalle individual'!C696)='Estado por Colaborador'!$D$5),OR('Estado por Colaborador'!$D$6="Todos",'Detalle individual'!F696='Estado por Colaborador'!$D$6)),IF('Detalle individual'!F696="Completado",30000000,IF('Detalle individual'!F696="Pendiente",0,15000000))+COUNTIF('Detalle individual'!$C$5:$C$1000,"&lt;"&amp;'Detalle individual'!C696)*10000+ROW(),""))</f>
        <v/>
      </c>
      <c r="AB696" t="str">
        <f>IF('Detalle individual'!C696="","",IF(COUNTIF('Detalle individual'!$C$5:C696,'Detalle individual'!C696)=1,COUNTIF('Detalle individual'!$C$5:$C$1000,"&lt;"&amp;'Detalle individual'!C696),""))</f>
        <v/>
      </c>
      <c r="AC696" t="str">
        <f>IF('Detalle individual'!D696="","",IF(COUNTIF('Detalle individual'!$D$5:D696,'Detalle individual'!D696)=1,COUNTIF('Detalle individual'!$D$5:$D$1000,"&lt;"&amp;'Detalle individual'!D696),""))</f>
        <v/>
      </c>
      <c r="AH696" t="str">
        <f>IF('Detalle individual'!F696="Pendiente",COUNTIF('Detalle individual'!$D$5:$D$1000,"&lt;"&amp;'Detalle individual'!D696)*1000000+COUNTIF('Detalle individual'!$C$5:$C$1000,"&lt;"&amp;'Detalle individual'!C696)*1000+COUNTIF('Detalle individual'!$B$5:$B$1000,"&lt;"&amp;'Detalle individual'!B696)+ROW()/10000,"")</f>
        <v/>
      </c>
      <c r="AI696" t="str">
        <f>IF('Detalle individual'!F696="Completado",COUNTIF('Detalle individual'!$D$5:$D$1000,"&lt;"&amp;'Detalle individual'!D696)*1000000+COUNTIF('Detalle individual'!$C$5:$C$1000,"&lt;"&amp;'Detalle individual'!C696)*1000+COUNTIF('Detalle individual'!$B$5:$B$1000,"&lt;"&amp;'Detalle individual'!B696)+ROW()/10000,"")</f>
        <v/>
      </c>
      <c r="AJ696" t="str">
        <f>IF(AND('Detalle individual'!F696&lt;&gt;"",'Detalle individual'!F696&lt;&gt;"Completado",'Detalle individual'!F696&lt;&gt;"Pendiente"),COUNTIF('Detalle individual'!$D$5:$D$1000,"&lt;"&amp;'Detalle individual'!D696)*1000000+COUNTIF('Detalle individual'!$C$5:$C$1000,"&lt;"&amp;'Detalle individual'!C696)*1000+COUNTIF('Detalle individual'!$B$5:$B$1000,"&lt;"&amp;'Detalle individual'!B696)+ROW()/10000,"")</f>
        <v/>
      </c>
      <c r="AK696" t="str">
        <f>IF(OR('Base Exámenes'!C696="",'Base Exámenes'!D696=""),"",IF(COUNTIF('Base Exámenes'!$C$5:C696,'Base Exámenes'!C696)=1,'Base Exámenes'!D696+ROW()/1000000000,""))</f>
        <v/>
      </c>
      <c r="AL696" t="str">
        <f>IF(OR('Base Exámenes'!C696="",'Base Exámenes'!E696=""),"",IF(COUNTIF('Base Exámenes'!$C$5:C696,'Base Exámenes'!C696)=1,'Base Exámenes'!E696+ROW()/1000000000,""))</f>
        <v/>
      </c>
      <c r="AM696" t="str">
        <f>IF(OR('Base Exámenes'!C696="",'Base Exámenes'!G696=""),"",IF(ROW()-4=MATCH('Base Exámenes'!C696&amp;"|"&amp;_xlfn.MAXIFS('Base Exámenes'!$G$5:$G$1000,'Base Exámenes'!$C$5:$C$1000,'Base Exámenes'!C696),'Base Exámenes'!$I$5:$I$1000,0),'Base Exámenes'!G696*1000000+(-1)*'Base Exámenes'!D696,""))</f>
        <v/>
      </c>
      <c r="AQ696" t="str">
        <f>IF('Base Exámenes'!C696="","",IF(COUNTIF('Base Exámenes'!$C$5:$C$1000,'Base Exámenes'!C696)&lt;2,"",MATCH('Base Exámenes'!C696,'Base Exámenes'!$C$5:$C$1000,0)*10000+ROW()))</f>
        <v/>
      </c>
    </row>
    <row r="697">
      <c r="Z697" t="str">
        <f>IF('Detalle individual'!A697="","",IF(AND(OR('Estado por Colaborador'!$D$4="Todas las gerencias",'Detalle individual'!D697='Estado por Colaborador'!$D$4),OR('Estado por Colaborador'!$D$5="Todos los departamentos",TRIM('Detalle individual'!C697)='Estado por Colaborador'!$D$5),OR('Estado por Colaborador'!$D$6="Todos",'Detalle individual'!F697='Estado por Colaborador'!$D$6)),IF('Detalle individual'!F697="Completado",30000000,IF('Detalle individual'!F697="Pendiente",0,15000000))+COUNTIF('Detalle individual'!$C$5:$C$1000,"&lt;"&amp;'Detalle individual'!C697)*10000+ROW(),""))</f>
        <v/>
      </c>
      <c r="AB697" t="str">
        <f>IF('Detalle individual'!C697="","",IF(COUNTIF('Detalle individual'!$C$5:C697,'Detalle individual'!C697)=1,COUNTIF('Detalle individual'!$C$5:$C$1000,"&lt;"&amp;'Detalle individual'!C697),""))</f>
        <v/>
      </c>
      <c r="AC697" t="str">
        <f>IF('Detalle individual'!D697="","",IF(COUNTIF('Detalle individual'!$D$5:D697,'Detalle individual'!D697)=1,COUNTIF('Detalle individual'!$D$5:$D$1000,"&lt;"&amp;'Detalle individual'!D697),""))</f>
        <v/>
      </c>
      <c r="AH697" t="str">
        <f>IF('Detalle individual'!F697="Pendiente",COUNTIF('Detalle individual'!$D$5:$D$1000,"&lt;"&amp;'Detalle individual'!D697)*1000000+COUNTIF('Detalle individual'!$C$5:$C$1000,"&lt;"&amp;'Detalle individual'!C697)*1000+COUNTIF('Detalle individual'!$B$5:$B$1000,"&lt;"&amp;'Detalle individual'!B697)+ROW()/10000,"")</f>
        <v/>
      </c>
      <c r="AI697" t="str">
        <f>IF('Detalle individual'!F697="Completado",COUNTIF('Detalle individual'!$D$5:$D$1000,"&lt;"&amp;'Detalle individual'!D697)*1000000+COUNTIF('Detalle individual'!$C$5:$C$1000,"&lt;"&amp;'Detalle individual'!C697)*1000+COUNTIF('Detalle individual'!$B$5:$B$1000,"&lt;"&amp;'Detalle individual'!B697)+ROW()/10000,"")</f>
        <v/>
      </c>
      <c r="AJ697" t="str">
        <f>IF(AND('Detalle individual'!F697&lt;&gt;"",'Detalle individual'!F697&lt;&gt;"Completado",'Detalle individual'!F697&lt;&gt;"Pendiente"),COUNTIF('Detalle individual'!$D$5:$D$1000,"&lt;"&amp;'Detalle individual'!D697)*1000000+COUNTIF('Detalle individual'!$C$5:$C$1000,"&lt;"&amp;'Detalle individual'!C697)*1000+COUNTIF('Detalle individual'!$B$5:$B$1000,"&lt;"&amp;'Detalle individual'!B697)+ROW()/10000,"")</f>
        <v/>
      </c>
      <c r="AK697" t="str">
        <f>IF(OR('Base Exámenes'!C697="",'Base Exámenes'!D697=""),"",IF(COUNTIF('Base Exámenes'!$C$5:C697,'Base Exámenes'!C697)=1,'Base Exámenes'!D697+ROW()/1000000000,""))</f>
        <v/>
      </c>
      <c r="AL697" t="str">
        <f>IF(OR('Base Exámenes'!C697="",'Base Exámenes'!E697=""),"",IF(COUNTIF('Base Exámenes'!$C$5:C697,'Base Exámenes'!C697)=1,'Base Exámenes'!E697+ROW()/1000000000,""))</f>
        <v/>
      </c>
      <c r="AM697" t="str">
        <f>IF(OR('Base Exámenes'!C697="",'Base Exámenes'!G697=""),"",IF(ROW()-4=MATCH('Base Exámenes'!C697&amp;"|"&amp;_xlfn.MAXIFS('Base Exámenes'!$G$5:$G$1000,'Base Exámenes'!$C$5:$C$1000,'Base Exámenes'!C697),'Base Exámenes'!$I$5:$I$1000,0),'Base Exámenes'!G697*1000000+(-1)*'Base Exámenes'!D697,""))</f>
        <v/>
      </c>
      <c r="AQ697" t="str">
        <f>IF('Base Exámenes'!C697="","",IF(COUNTIF('Base Exámenes'!$C$5:$C$1000,'Base Exámenes'!C697)&lt;2,"",MATCH('Base Exámenes'!C697,'Base Exámenes'!$C$5:$C$1000,0)*10000+ROW()))</f>
        <v/>
      </c>
    </row>
    <row r="698">
      <c r="Z698" t="str">
        <f>IF('Detalle individual'!A698="","",IF(AND(OR('Estado por Colaborador'!$D$4="Todas las gerencias",'Detalle individual'!D698='Estado por Colaborador'!$D$4),OR('Estado por Colaborador'!$D$5="Todos los departamentos",TRIM('Detalle individual'!C698)='Estado por Colaborador'!$D$5),OR('Estado por Colaborador'!$D$6="Todos",'Detalle individual'!F698='Estado por Colaborador'!$D$6)),IF('Detalle individual'!F698="Completado",30000000,IF('Detalle individual'!F698="Pendiente",0,15000000))+COUNTIF('Detalle individual'!$C$5:$C$1000,"&lt;"&amp;'Detalle individual'!C698)*10000+ROW(),""))</f>
        <v/>
      </c>
      <c r="AB698" t="str">
        <f>IF('Detalle individual'!C698="","",IF(COUNTIF('Detalle individual'!$C$5:C698,'Detalle individual'!C698)=1,COUNTIF('Detalle individual'!$C$5:$C$1000,"&lt;"&amp;'Detalle individual'!C698),""))</f>
        <v/>
      </c>
      <c r="AC698" t="str">
        <f>IF('Detalle individual'!D698="","",IF(COUNTIF('Detalle individual'!$D$5:D698,'Detalle individual'!D698)=1,COUNTIF('Detalle individual'!$D$5:$D$1000,"&lt;"&amp;'Detalle individual'!D698),""))</f>
        <v/>
      </c>
      <c r="AH698" t="str">
        <f>IF('Detalle individual'!F698="Pendiente",COUNTIF('Detalle individual'!$D$5:$D$1000,"&lt;"&amp;'Detalle individual'!D698)*1000000+COUNTIF('Detalle individual'!$C$5:$C$1000,"&lt;"&amp;'Detalle individual'!C698)*1000+COUNTIF('Detalle individual'!$B$5:$B$1000,"&lt;"&amp;'Detalle individual'!B698)+ROW()/10000,"")</f>
        <v/>
      </c>
      <c r="AI698" t="str">
        <f>IF('Detalle individual'!F698="Completado",COUNTIF('Detalle individual'!$D$5:$D$1000,"&lt;"&amp;'Detalle individual'!D698)*1000000+COUNTIF('Detalle individual'!$C$5:$C$1000,"&lt;"&amp;'Detalle individual'!C698)*1000+COUNTIF('Detalle individual'!$B$5:$B$1000,"&lt;"&amp;'Detalle individual'!B698)+ROW()/10000,"")</f>
        <v/>
      </c>
      <c r="AJ698" t="str">
        <f>IF(AND('Detalle individual'!F698&lt;&gt;"",'Detalle individual'!F698&lt;&gt;"Completado",'Detalle individual'!F698&lt;&gt;"Pendiente"),COUNTIF('Detalle individual'!$D$5:$D$1000,"&lt;"&amp;'Detalle individual'!D698)*1000000+COUNTIF('Detalle individual'!$C$5:$C$1000,"&lt;"&amp;'Detalle individual'!C698)*1000+COUNTIF('Detalle individual'!$B$5:$B$1000,"&lt;"&amp;'Detalle individual'!B698)+ROW()/10000,"")</f>
        <v/>
      </c>
      <c r="AK698" t="str">
        <f>IF(OR('Base Exámenes'!C698="",'Base Exámenes'!D698=""),"",IF(COUNTIF('Base Exámenes'!$C$5:C698,'Base Exámenes'!C698)=1,'Base Exámenes'!D698+ROW()/1000000000,""))</f>
        <v/>
      </c>
      <c r="AL698" t="str">
        <f>IF(OR('Base Exámenes'!C698="",'Base Exámenes'!E698=""),"",IF(COUNTIF('Base Exámenes'!$C$5:C698,'Base Exámenes'!C698)=1,'Base Exámenes'!E698+ROW()/1000000000,""))</f>
        <v/>
      </c>
      <c r="AM698" t="str">
        <f>IF(OR('Base Exámenes'!C698="",'Base Exámenes'!G698=""),"",IF(ROW()-4=MATCH('Base Exámenes'!C698&amp;"|"&amp;_xlfn.MAXIFS('Base Exámenes'!$G$5:$G$1000,'Base Exámenes'!$C$5:$C$1000,'Base Exámenes'!C698),'Base Exámenes'!$I$5:$I$1000,0),'Base Exámenes'!G698*1000000+(-1)*'Base Exámenes'!D698,""))</f>
        <v/>
      </c>
      <c r="AQ698" t="str">
        <f>IF('Base Exámenes'!C698="","",IF(COUNTIF('Base Exámenes'!$C$5:$C$1000,'Base Exámenes'!C698)&lt;2,"",MATCH('Base Exámenes'!C698,'Base Exámenes'!$C$5:$C$1000,0)*10000+ROW()))</f>
        <v/>
      </c>
    </row>
    <row r="699">
      <c r="Z699" t="str">
        <f>IF('Detalle individual'!A699="","",IF(AND(OR('Estado por Colaborador'!$D$4="Todas las gerencias",'Detalle individual'!D699='Estado por Colaborador'!$D$4),OR('Estado por Colaborador'!$D$5="Todos los departamentos",TRIM('Detalle individual'!C699)='Estado por Colaborador'!$D$5),OR('Estado por Colaborador'!$D$6="Todos",'Detalle individual'!F699='Estado por Colaborador'!$D$6)),IF('Detalle individual'!F699="Completado",30000000,IF('Detalle individual'!F699="Pendiente",0,15000000))+COUNTIF('Detalle individual'!$C$5:$C$1000,"&lt;"&amp;'Detalle individual'!C699)*10000+ROW(),""))</f>
        <v/>
      </c>
      <c r="AB699" t="str">
        <f>IF('Detalle individual'!C699="","",IF(COUNTIF('Detalle individual'!$C$5:C699,'Detalle individual'!C699)=1,COUNTIF('Detalle individual'!$C$5:$C$1000,"&lt;"&amp;'Detalle individual'!C699),""))</f>
        <v/>
      </c>
      <c r="AC699" t="str">
        <f>IF('Detalle individual'!D699="","",IF(COUNTIF('Detalle individual'!$D$5:D699,'Detalle individual'!D699)=1,COUNTIF('Detalle individual'!$D$5:$D$1000,"&lt;"&amp;'Detalle individual'!D699),""))</f>
        <v/>
      </c>
      <c r="AH699" t="str">
        <f>IF('Detalle individual'!F699="Pendiente",COUNTIF('Detalle individual'!$D$5:$D$1000,"&lt;"&amp;'Detalle individual'!D699)*1000000+COUNTIF('Detalle individual'!$C$5:$C$1000,"&lt;"&amp;'Detalle individual'!C699)*1000+COUNTIF('Detalle individual'!$B$5:$B$1000,"&lt;"&amp;'Detalle individual'!B699)+ROW()/10000,"")</f>
        <v/>
      </c>
      <c r="AI699" t="str">
        <f>IF('Detalle individual'!F699="Completado",COUNTIF('Detalle individual'!$D$5:$D$1000,"&lt;"&amp;'Detalle individual'!D699)*1000000+COUNTIF('Detalle individual'!$C$5:$C$1000,"&lt;"&amp;'Detalle individual'!C699)*1000+COUNTIF('Detalle individual'!$B$5:$B$1000,"&lt;"&amp;'Detalle individual'!B699)+ROW()/10000,"")</f>
        <v/>
      </c>
      <c r="AJ699" t="str">
        <f>IF(AND('Detalle individual'!F699&lt;&gt;"",'Detalle individual'!F699&lt;&gt;"Completado",'Detalle individual'!F699&lt;&gt;"Pendiente"),COUNTIF('Detalle individual'!$D$5:$D$1000,"&lt;"&amp;'Detalle individual'!D699)*1000000+COUNTIF('Detalle individual'!$C$5:$C$1000,"&lt;"&amp;'Detalle individual'!C699)*1000+COUNTIF('Detalle individual'!$B$5:$B$1000,"&lt;"&amp;'Detalle individual'!B699)+ROW()/10000,"")</f>
        <v/>
      </c>
      <c r="AK699" t="str">
        <f>IF(OR('Base Exámenes'!C699="",'Base Exámenes'!D699=""),"",IF(COUNTIF('Base Exámenes'!$C$5:C699,'Base Exámenes'!C699)=1,'Base Exámenes'!D699+ROW()/1000000000,""))</f>
        <v/>
      </c>
      <c r="AL699" t="str">
        <f>IF(OR('Base Exámenes'!C699="",'Base Exámenes'!E699=""),"",IF(COUNTIF('Base Exámenes'!$C$5:C699,'Base Exámenes'!C699)=1,'Base Exámenes'!E699+ROW()/1000000000,""))</f>
        <v/>
      </c>
      <c r="AM699" t="str">
        <f>IF(OR('Base Exámenes'!C699="",'Base Exámenes'!G699=""),"",IF(ROW()-4=MATCH('Base Exámenes'!C699&amp;"|"&amp;_xlfn.MAXIFS('Base Exámenes'!$G$5:$G$1000,'Base Exámenes'!$C$5:$C$1000,'Base Exámenes'!C699),'Base Exámenes'!$I$5:$I$1000,0),'Base Exámenes'!G699*1000000+(-1)*'Base Exámenes'!D699,""))</f>
        <v/>
      </c>
      <c r="AQ699" t="str">
        <f>IF('Base Exámenes'!C699="","",IF(COUNTIF('Base Exámenes'!$C$5:$C$1000,'Base Exámenes'!C699)&lt;2,"",MATCH('Base Exámenes'!C699,'Base Exámenes'!$C$5:$C$1000,0)*10000+ROW()))</f>
        <v/>
      </c>
    </row>
    <row r="700">
      <c r="Z700" t="str">
        <f>IF('Detalle individual'!A700="","",IF(AND(OR('Estado por Colaborador'!$D$4="Todas las gerencias",'Detalle individual'!D700='Estado por Colaborador'!$D$4),OR('Estado por Colaborador'!$D$5="Todos los departamentos",TRIM('Detalle individual'!C700)='Estado por Colaborador'!$D$5),OR('Estado por Colaborador'!$D$6="Todos",'Detalle individual'!F700='Estado por Colaborador'!$D$6)),IF('Detalle individual'!F700="Completado",30000000,IF('Detalle individual'!F700="Pendiente",0,15000000))+COUNTIF('Detalle individual'!$C$5:$C$1000,"&lt;"&amp;'Detalle individual'!C700)*10000+ROW(),""))</f>
        <v/>
      </c>
      <c r="AB700" t="str">
        <f>IF('Detalle individual'!C700="","",IF(COUNTIF('Detalle individual'!$C$5:C700,'Detalle individual'!C700)=1,COUNTIF('Detalle individual'!$C$5:$C$1000,"&lt;"&amp;'Detalle individual'!C700),""))</f>
        <v/>
      </c>
      <c r="AC700" t="str">
        <f>IF('Detalle individual'!D700="","",IF(COUNTIF('Detalle individual'!$D$5:D700,'Detalle individual'!D700)=1,COUNTIF('Detalle individual'!$D$5:$D$1000,"&lt;"&amp;'Detalle individual'!D700),""))</f>
        <v/>
      </c>
      <c r="AH700" t="str">
        <f>IF('Detalle individual'!F700="Pendiente",COUNTIF('Detalle individual'!$D$5:$D$1000,"&lt;"&amp;'Detalle individual'!D700)*1000000+COUNTIF('Detalle individual'!$C$5:$C$1000,"&lt;"&amp;'Detalle individual'!C700)*1000+COUNTIF('Detalle individual'!$B$5:$B$1000,"&lt;"&amp;'Detalle individual'!B700)+ROW()/10000,"")</f>
        <v/>
      </c>
      <c r="AI700" t="str">
        <f>IF('Detalle individual'!F700="Completado",COUNTIF('Detalle individual'!$D$5:$D$1000,"&lt;"&amp;'Detalle individual'!D700)*1000000+COUNTIF('Detalle individual'!$C$5:$C$1000,"&lt;"&amp;'Detalle individual'!C700)*1000+COUNTIF('Detalle individual'!$B$5:$B$1000,"&lt;"&amp;'Detalle individual'!B700)+ROW()/10000,"")</f>
        <v/>
      </c>
      <c r="AJ700" t="str">
        <f>IF(AND('Detalle individual'!F700&lt;&gt;"",'Detalle individual'!F700&lt;&gt;"Completado",'Detalle individual'!F700&lt;&gt;"Pendiente"),COUNTIF('Detalle individual'!$D$5:$D$1000,"&lt;"&amp;'Detalle individual'!D700)*1000000+COUNTIF('Detalle individual'!$C$5:$C$1000,"&lt;"&amp;'Detalle individual'!C700)*1000+COUNTIF('Detalle individual'!$B$5:$B$1000,"&lt;"&amp;'Detalle individual'!B700)+ROW()/10000,"")</f>
        <v/>
      </c>
      <c r="AK700" t="str">
        <f>IF(OR('Base Exámenes'!C700="",'Base Exámenes'!D700=""),"",IF(COUNTIF('Base Exámenes'!$C$5:C700,'Base Exámenes'!C700)=1,'Base Exámenes'!D700+ROW()/1000000000,""))</f>
        <v/>
      </c>
      <c r="AL700" t="str">
        <f>IF(OR('Base Exámenes'!C700="",'Base Exámenes'!E700=""),"",IF(COUNTIF('Base Exámenes'!$C$5:C700,'Base Exámenes'!C700)=1,'Base Exámenes'!E700+ROW()/1000000000,""))</f>
        <v/>
      </c>
      <c r="AM700" t="str">
        <f>IF(OR('Base Exámenes'!C700="",'Base Exámenes'!G700=""),"",IF(ROW()-4=MATCH('Base Exámenes'!C700&amp;"|"&amp;_xlfn.MAXIFS('Base Exámenes'!$G$5:$G$1000,'Base Exámenes'!$C$5:$C$1000,'Base Exámenes'!C700),'Base Exámenes'!$I$5:$I$1000,0),'Base Exámenes'!G700*1000000+(-1)*'Base Exámenes'!D700,""))</f>
        <v/>
      </c>
      <c r="AQ700" t="str">
        <f>IF('Base Exámenes'!C700="","",IF(COUNTIF('Base Exámenes'!$C$5:$C$1000,'Base Exámenes'!C700)&lt;2,"",MATCH('Base Exámenes'!C700,'Base Exámenes'!$C$5:$C$1000,0)*10000+ROW()))</f>
        <v/>
      </c>
    </row>
    <row r="701">
      <c r="Z701" t="str">
        <f>IF('Detalle individual'!A701="","",IF(AND(OR('Estado por Colaborador'!$D$4="Todas las gerencias",'Detalle individual'!D701='Estado por Colaborador'!$D$4),OR('Estado por Colaborador'!$D$5="Todos los departamentos",TRIM('Detalle individual'!C701)='Estado por Colaborador'!$D$5),OR('Estado por Colaborador'!$D$6="Todos",'Detalle individual'!F701='Estado por Colaborador'!$D$6)),IF('Detalle individual'!F701="Completado",30000000,IF('Detalle individual'!F701="Pendiente",0,15000000))+COUNTIF('Detalle individual'!$C$5:$C$1000,"&lt;"&amp;'Detalle individual'!C701)*10000+ROW(),""))</f>
        <v/>
      </c>
      <c r="AB701" t="str">
        <f>IF('Detalle individual'!C701="","",IF(COUNTIF('Detalle individual'!$C$5:C701,'Detalle individual'!C701)=1,COUNTIF('Detalle individual'!$C$5:$C$1000,"&lt;"&amp;'Detalle individual'!C701),""))</f>
        <v/>
      </c>
      <c r="AC701" t="str">
        <f>IF('Detalle individual'!D701="","",IF(COUNTIF('Detalle individual'!$D$5:D701,'Detalle individual'!D701)=1,COUNTIF('Detalle individual'!$D$5:$D$1000,"&lt;"&amp;'Detalle individual'!D701),""))</f>
        <v/>
      </c>
      <c r="AH701" t="str">
        <f>IF('Detalle individual'!F701="Pendiente",COUNTIF('Detalle individual'!$D$5:$D$1000,"&lt;"&amp;'Detalle individual'!D701)*1000000+COUNTIF('Detalle individual'!$C$5:$C$1000,"&lt;"&amp;'Detalle individual'!C701)*1000+COUNTIF('Detalle individual'!$B$5:$B$1000,"&lt;"&amp;'Detalle individual'!B701)+ROW()/10000,"")</f>
        <v/>
      </c>
      <c r="AI701" t="str">
        <f>IF('Detalle individual'!F701="Completado",COUNTIF('Detalle individual'!$D$5:$D$1000,"&lt;"&amp;'Detalle individual'!D701)*1000000+COUNTIF('Detalle individual'!$C$5:$C$1000,"&lt;"&amp;'Detalle individual'!C701)*1000+COUNTIF('Detalle individual'!$B$5:$B$1000,"&lt;"&amp;'Detalle individual'!B701)+ROW()/10000,"")</f>
        <v/>
      </c>
      <c r="AJ701" t="str">
        <f>IF(AND('Detalle individual'!F701&lt;&gt;"",'Detalle individual'!F701&lt;&gt;"Completado",'Detalle individual'!F701&lt;&gt;"Pendiente"),COUNTIF('Detalle individual'!$D$5:$D$1000,"&lt;"&amp;'Detalle individual'!D701)*1000000+COUNTIF('Detalle individual'!$C$5:$C$1000,"&lt;"&amp;'Detalle individual'!C701)*1000+COUNTIF('Detalle individual'!$B$5:$B$1000,"&lt;"&amp;'Detalle individual'!B701)+ROW()/10000,"")</f>
        <v/>
      </c>
      <c r="AK701" t="str">
        <f>IF(OR('Base Exámenes'!C701="",'Base Exámenes'!D701=""),"",IF(COUNTIF('Base Exámenes'!$C$5:C701,'Base Exámenes'!C701)=1,'Base Exámenes'!D701+ROW()/1000000000,""))</f>
        <v/>
      </c>
      <c r="AL701" t="str">
        <f>IF(OR('Base Exámenes'!C701="",'Base Exámenes'!E701=""),"",IF(COUNTIF('Base Exámenes'!$C$5:C701,'Base Exámenes'!C701)=1,'Base Exámenes'!E701+ROW()/1000000000,""))</f>
        <v/>
      </c>
      <c r="AM701" t="str">
        <f>IF(OR('Base Exámenes'!C701="",'Base Exámenes'!G701=""),"",IF(ROW()-4=MATCH('Base Exámenes'!C701&amp;"|"&amp;_xlfn.MAXIFS('Base Exámenes'!$G$5:$G$1000,'Base Exámenes'!$C$5:$C$1000,'Base Exámenes'!C701),'Base Exámenes'!$I$5:$I$1000,0),'Base Exámenes'!G701*1000000+(-1)*'Base Exámenes'!D701,""))</f>
        <v/>
      </c>
      <c r="AQ701" t="str">
        <f>IF('Base Exámenes'!C701="","",IF(COUNTIF('Base Exámenes'!$C$5:$C$1000,'Base Exámenes'!C701)&lt;2,"",MATCH('Base Exámenes'!C701,'Base Exámenes'!$C$5:$C$1000,0)*10000+ROW()))</f>
        <v/>
      </c>
    </row>
    <row r="702">
      <c r="Z702" t="str">
        <f>IF('Detalle individual'!A702="","",IF(AND(OR('Estado por Colaborador'!$D$4="Todas las gerencias",'Detalle individual'!D702='Estado por Colaborador'!$D$4),OR('Estado por Colaborador'!$D$5="Todos los departamentos",TRIM('Detalle individual'!C702)='Estado por Colaborador'!$D$5),OR('Estado por Colaborador'!$D$6="Todos",'Detalle individual'!F702='Estado por Colaborador'!$D$6)),IF('Detalle individual'!F702="Completado",30000000,IF('Detalle individual'!F702="Pendiente",0,15000000))+COUNTIF('Detalle individual'!$C$5:$C$1000,"&lt;"&amp;'Detalle individual'!C702)*10000+ROW(),""))</f>
        <v/>
      </c>
      <c r="AB702" t="str">
        <f>IF('Detalle individual'!C702="","",IF(COUNTIF('Detalle individual'!$C$5:C702,'Detalle individual'!C702)=1,COUNTIF('Detalle individual'!$C$5:$C$1000,"&lt;"&amp;'Detalle individual'!C702),""))</f>
        <v/>
      </c>
      <c r="AC702" t="str">
        <f>IF('Detalle individual'!D702="","",IF(COUNTIF('Detalle individual'!$D$5:D702,'Detalle individual'!D702)=1,COUNTIF('Detalle individual'!$D$5:$D$1000,"&lt;"&amp;'Detalle individual'!D702),""))</f>
        <v/>
      </c>
      <c r="AH702" t="str">
        <f>IF('Detalle individual'!F702="Pendiente",COUNTIF('Detalle individual'!$D$5:$D$1000,"&lt;"&amp;'Detalle individual'!D702)*1000000+COUNTIF('Detalle individual'!$C$5:$C$1000,"&lt;"&amp;'Detalle individual'!C702)*1000+COUNTIF('Detalle individual'!$B$5:$B$1000,"&lt;"&amp;'Detalle individual'!B702)+ROW()/10000,"")</f>
        <v/>
      </c>
      <c r="AI702" t="str">
        <f>IF('Detalle individual'!F702="Completado",COUNTIF('Detalle individual'!$D$5:$D$1000,"&lt;"&amp;'Detalle individual'!D702)*1000000+COUNTIF('Detalle individual'!$C$5:$C$1000,"&lt;"&amp;'Detalle individual'!C702)*1000+COUNTIF('Detalle individual'!$B$5:$B$1000,"&lt;"&amp;'Detalle individual'!B702)+ROW()/10000,"")</f>
        <v/>
      </c>
      <c r="AJ702" t="str">
        <f>IF(AND('Detalle individual'!F702&lt;&gt;"",'Detalle individual'!F702&lt;&gt;"Completado",'Detalle individual'!F702&lt;&gt;"Pendiente"),COUNTIF('Detalle individual'!$D$5:$D$1000,"&lt;"&amp;'Detalle individual'!D702)*1000000+COUNTIF('Detalle individual'!$C$5:$C$1000,"&lt;"&amp;'Detalle individual'!C702)*1000+COUNTIF('Detalle individual'!$B$5:$B$1000,"&lt;"&amp;'Detalle individual'!B702)+ROW()/10000,"")</f>
        <v/>
      </c>
      <c r="AK702" t="str">
        <f>IF(OR('Base Exámenes'!C702="",'Base Exámenes'!D702=""),"",IF(COUNTIF('Base Exámenes'!$C$5:C702,'Base Exámenes'!C702)=1,'Base Exámenes'!D702+ROW()/1000000000,""))</f>
        <v/>
      </c>
      <c r="AL702" t="str">
        <f>IF(OR('Base Exámenes'!C702="",'Base Exámenes'!E702=""),"",IF(COUNTIF('Base Exámenes'!$C$5:C702,'Base Exámenes'!C702)=1,'Base Exámenes'!E702+ROW()/1000000000,""))</f>
        <v/>
      </c>
      <c r="AM702" t="str">
        <f>IF(OR('Base Exámenes'!C702="",'Base Exámenes'!G702=""),"",IF(ROW()-4=MATCH('Base Exámenes'!C702&amp;"|"&amp;_xlfn.MAXIFS('Base Exámenes'!$G$5:$G$1000,'Base Exámenes'!$C$5:$C$1000,'Base Exámenes'!C702),'Base Exámenes'!$I$5:$I$1000,0),'Base Exámenes'!G702*1000000+(-1)*'Base Exámenes'!D702,""))</f>
        <v/>
      </c>
      <c r="AQ702" t="str">
        <f>IF('Base Exámenes'!C702="","",IF(COUNTIF('Base Exámenes'!$C$5:$C$1000,'Base Exámenes'!C702)&lt;2,"",MATCH('Base Exámenes'!C702,'Base Exámenes'!$C$5:$C$1000,0)*10000+ROW()))</f>
        <v/>
      </c>
    </row>
    <row r="703">
      <c r="Z703" t="str">
        <f>IF('Detalle individual'!A703="","",IF(AND(OR('Estado por Colaborador'!$D$4="Todas las gerencias",'Detalle individual'!D703='Estado por Colaborador'!$D$4),OR('Estado por Colaborador'!$D$5="Todos los departamentos",TRIM('Detalle individual'!C703)='Estado por Colaborador'!$D$5),OR('Estado por Colaborador'!$D$6="Todos",'Detalle individual'!F703='Estado por Colaborador'!$D$6)),IF('Detalle individual'!F703="Completado",30000000,IF('Detalle individual'!F703="Pendiente",0,15000000))+COUNTIF('Detalle individual'!$C$5:$C$1000,"&lt;"&amp;'Detalle individual'!C703)*10000+ROW(),""))</f>
        <v/>
      </c>
      <c r="AB703" t="str">
        <f>IF('Detalle individual'!C703="","",IF(COUNTIF('Detalle individual'!$C$5:C703,'Detalle individual'!C703)=1,COUNTIF('Detalle individual'!$C$5:$C$1000,"&lt;"&amp;'Detalle individual'!C703),""))</f>
        <v/>
      </c>
      <c r="AC703" t="str">
        <f>IF('Detalle individual'!D703="","",IF(COUNTIF('Detalle individual'!$D$5:D703,'Detalle individual'!D703)=1,COUNTIF('Detalle individual'!$D$5:$D$1000,"&lt;"&amp;'Detalle individual'!D703),""))</f>
        <v/>
      </c>
      <c r="AH703" t="str">
        <f>IF('Detalle individual'!F703="Pendiente",COUNTIF('Detalle individual'!$D$5:$D$1000,"&lt;"&amp;'Detalle individual'!D703)*1000000+COUNTIF('Detalle individual'!$C$5:$C$1000,"&lt;"&amp;'Detalle individual'!C703)*1000+COUNTIF('Detalle individual'!$B$5:$B$1000,"&lt;"&amp;'Detalle individual'!B703)+ROW()/10000,"")</f>
        <v/>
      </c>
      <c r="AI703" t="str">
        <f>IF('Detalle individual'!F703="Completado",COUNTIF('Detalle individual'!$D$5:$D$1000,"&lt;"&amp;'Detalle individual'!D703)*1000000+COUNTIF('Detalle individual'!$C$5:$C$1000,"&lt;"&amp;'Detalle individual'!C703)*1000+COUNTIF('Detalle individual'!$B$5:$B$1000,"&lt;"&amp;'Detalle individual'!B703)+ROW()/10000,"")</f>
        <v/>
      </c>
      <c r="AJ703" t="str">
        <f>IF(AND('Detalle individual'!F703&lt;&gt;"",'Detalle individual'!F703&lt;&gt;"Completado",'Detalle individual'!F703&lt;&gt;"Pendiente"),COUNTIF('Detalle individual'!$D$5:$D$1000,"&lt;"&amp;'Detalle individual'!D703)*1000000+COUNTIF('Detalle individual'!$C$5:$C$1000,"&lt;"&amp;'Detalle individual'!C703)*1000+COUNTIF('Detalle individual'!$B$5:$B$1000,"&lt;"&amp;'Detalle individual'!B703)+ROW()/10000,"")</f>
        <v/>
      </c>
      <c r="AK703" t="str">
        <f>IF(OR('Base Exámenes'!C703="",'Base Exámenes'!D703=""),"",IF(COUNTIF('Base Exámenes'!$C$5:C703,'Base Exámenes'!C703)=1,'Base Exámenes'!D703+ROW()/1000000000,""))</f>
        <v/>
      </c>
      <c r="AL703" t="str">
        <f>IF(OR('Base Exámenes'!C703="",'Base Exámenes'!E703=""),"",IF(COUNTIF('Base Exámenes'!$C$5:C703,'Base Exámenes'!C703)=1,'Base Exámenes'!E703+ROW()/1000000000,""))</f>
        <v/>
      </c>
      <c r="AM703" t="str">
        <f>IF(OR('Base Exámenes'!C703="",'Base Exámenes'!G703=""),"",IF(ROW()-4=MATCH('Base Exámenes'!C703&amp;"|"&amp;_xlfn.MAXIFS('Base Exámenes'!$G$5:$G$1000,'Base Exámenes'!$C$5:$C$1000,'Base Exámenes'!C703),'Base Exámenes'!$I$5:$I$1000,0),'Base Exámenes'!G703*1000000+(-1)*'Base Exámenes'!D703,""))</f>
        <v/>
      </c>
      <c r="AQ703" t="str">
        <f>IF('Base Exámenes'!C703="","",IF(COUNTIF('Base Exámenes'!$C$5:$C$1000,'Base Exámenes'!C703)&lt;2,"",MATCH('Base Exámenes'!C703,'Base Exámenes'!$C$5:$C$1000,0)*10000+ROW()))</f>
        <v/>
      </c>
    </row>
    <row r="704">
      <c r="Z704" t="str">
        <f>IF('Detalle individual'!A704="","",IF(AND(OR('Estado por Colaborador'!$D$4="Todas las gerencias",'Detalle individual'!D704='Estado por Colaborador'!$D$4),OR('Estado por Colaborador'!$D$5="Todos los departamentos",TRIM('Detalle individual'!C704)='Estado por Colaborador'!$D$5),OR('Estado por Colaborador'!$D$6="Todos",'Detalle individual'!F704='Estado por Colaborador'!$D$6)),IF('Detalle individual'!F704="Completado",30000000,IF('Detalle individual'!F704="Pendiente",0,15000000))+COUNTIF('Detalle individual'!$C$5:$C$1000,"&lt;"&amp;'Detalle individual'!C704)*10000+ROW(),""))</f>
        <v/>
      </c>
      <c r="AB704" t="str">
        <f>IF('Detalle individual'!C704="","",IF(COUNTIF('Detalle individual'!$C$5:C704,'Detalle individual'!C704)=1,COUNTIF('Detalle individual'!$C$5:$C$1000,"&lt;"&amp;'Detalle individual'!C704),""))</f>
        <v/>
      </c>
      <c r="AC704" t="str">
        <f>IF('Detalle individual'!D704="","",IF(COUNTIF('Detalle individual'!$D$5:D704,'Detalle individual'!D704)=1,COUNTIF('Detalle individual'!$D$5:$D$1000,"&lt;"&amp;'Detalle individual'!D704),""))</f>
        <v/>
      </c>
      <c r="AH704" t="str">
        <f>IF('Detalle individual'!F704="Pendiente",COUNTIF('Detalle individual'!$D$5:$D$1000,"&lt;"&amp;'Detalle individual'!D704)*1000000+COUNTIF('Detalle individual'!$C$5:$C$1000,"&lt;"&amp;'Detalle individual'!C704)*1000+COUNTIF('Detalle individual'!$B$5:$B$1000,"&lt;"&amp;'Detalle individual'!B704)+ROW()/10000,"")</f>
        <v/>
      </c>
      <c r="AI704" t="str">
        <f>IF('Detalle individual'!F704="Completado",COUNTIF('Detalle individual'!$D$5:$D$1000,"&lt;"&amp;'Detalle individual'!D704)*1000000+COUNTIF('Detalle individual'!$C$5:$C$1000,"&lt;"&amp;'Detalle individual'!C704)*1000+COUNTIF('Detalle individual'!$B$5:$B$1000,"&lt;"&amp;'Detalle individual'!B704)+ROW()/10000,"")</f>
        <v/>
      </c>
      <c r="AJ704" t="str">
        <f>IF(AND('Detalle individual'!F704&lt;&gt;"",'Detalle individual'!F704&lt;&gt;"Completado",'Detalle individual'!F704&lt;&gt;"Pendiente"),COUNTIF('Detalle individual'!$D$5:$D$1000,"&lt;"&amp;'Detalle individual'!D704)*1000000+COUNTIF('Detalle individual'!$C$5:$C$1000,"&lt;"&amp;'Detalle individual'!C704)*1000+COUNTIF('Detalle individual'!$B$5:$B$1000,"&lt;"&amp;'Detalle individual'!B704)+ROW()/10000,"")</f>
        <v/>
      </c>
      <c r="AK704" t="str">
        <f>IF(OR('Base Exámenes'!C704="",'Base Exámenes'!D704=""),"",IF(COUNTIF('Base Exámenes'!$C$5:C704,'Base Exámenes'!C704)=1,'Base Exámenes'!D704+ROW()/1000000000,""))</f>
        <v/>
      </c>
      <c r="AL704" t="str">
        <f>IF(OR('Base Exámenes'!C704="",'Base Exámenes'!E704=""),"",IF(COUNTIF('Base Exámenes'!$C$5:C704,'Base Exámenes'!C704)=1,'Base Exámenes'!E704+ROW()/1000000000,""))</f>
        <v/>
      </c>
      <c r="AM704" t="str">
        <f>IF(OR('Base Exámenes'!C704="",'Base Exámenes'!G704=""),"",IF(ROW()-4=MATCH('Base Exámenes'!C704&amp;"|"&amp;_xlfn.MAXIFS('Base Exámenes'!$G$5:$G$1000,'Base Exámenes'!$C$5:$C$1000,'Base Exámenes'!C704),'Base Exámenes'!$I$5:$I$1000,0),'Base Exámenes'!G704*1000000+(-1)*'Base Exámenes'!D704,""))</f>
        <v/>
      </c>
      <c r="AQ704" t="str">
        <f>IF('Base Exámenes'!C704="","",IF(COUNTIF('Base Exámenes'!$C$5:$C$1000,'Base Exámenes'!C704)&lt;2,"",MATCH('Base Exámenes'!C704,'Base Exámenes'!$C$5:$C$1000,0)*10000+ROW()))</f>
        <v/>
      </c>
    </row>
    <row r="705">
      <c r="Z705" t="str">
        <f>IF('Detalle individual'!A705="","",IF(AND(OR('Estado por Colaborador'!$D$4="Todas las gerencias",'Detalle individual'!D705='Estado por Colaborador'!$D$4),OR('Estado por Colaborador'!$D$5="Todos los departamentos",TRIM('Detalle individual'!C705)='Estado por Colaborador'!$D$5),OR('Estado por Colaborador'!$D$6="Todos",'Detalle individual'!F705='Estado por Colaborador'!$D$6)),IF('Detalle individual'!F705="Completado",30000000,IF('Detalle individual'!F705="Pendiente",0,15000000))+COUNTIF('Detalle individual'!$C$5:$C$1000,"&lt;"&amp;'Detalle individual'!C705)*10000+ROW(),""))</f>
        <v/>
      </c>
      <c r="AB705" t="str">
        <f>IF('Detalle individual'!C705="","",IF(COUNTIF('Detalle individual'!$C$5:C705,'Detalle individual'!C705)=1,COUNTIF('Detalle individual'!$C$5:$C$1000,"&lt;"&amp;'Detalle individual'!C705),""))</f>
        <v/>
      </c>
      <c r="AC705" t="str">
        <f>IF('Detalle individual'!D705="","",IF(COUNTIF('Detalle individual'!$D$5:D705,'Detalle individual'!D705)=1,COUNTIF('Detalle individual'!$D$5:$D$1000,"&lt;"&amp;'Detalle individual'!D705),""))</f>
        <v/>
      </c>
      <c r="AH705" t="str">
        <f>IF('Detalle individual'!F705="Pendiente",COUNTIF('Detalle individual'!$D$5:$D$1000,"&lt;"&amp;'Detalle individual'!D705)*1000000+COUNTIF('Detalle individual'!$C$5:$C$1000,"&lt;"&amp;'Detalle individual'!C705)*1000+COUNTIF('Detalle individual'!$B$5:$B$1000,"&lt;"&amp;'Detalle individual'!B705)+ROW()/10000,"")</f>
        <v/>
      </c>
      <c r="AI705" t="str">
        <f>IF('Detalle individual'!F705="Completado",COUNTIF('Detalle individual'!$D$5:$D$1000,"&lt;"&amp;'Detalle individual'!D705)*1000000+COUNTIF('Detalle individual'!$C$5:$C$1000,"&lt;"&amp;'Detalle individual'!C705)*1000+COUNTIF('Detalle individual'!$B$5:$B$1000,"&lt;"&amp;'Detalle individual'!B705)+ROW()/10000,"")</f>
        <v/>
      </c>
      <c r="AJ705" t="str">
        <f>IF(AND('Detalle individual'!F705&lt;&gt;"",'Detalle individual'!F705&lt;&gt;"Completado",'Detalle individual'!F705&lt;&gt;"Pendiente"),COUNTIF('Detalle individual'!$D$5:$D$1000,"&lt;"&amp;'Detalle individual'!D705)*1000000+COUNTIF('Detalle individual'!$C$5:$C$1000,"&lt;"&amp;'Detalle individual'!C705)*1000+COUNTIF('Detalle individual'!$B$5:$B$1000,"&lt;"&amp;'Detalle individual'!B705)+ROW()/10000,"")</f>
        <v/>
      </c>
      <c r="AK705" t="str">
        <f>IF(OR('Base Exámenes'!C705="",'Base Exámenes'!D705=""),"",IF(COUNTIF('Base Exámenes'!$C$5:C705,'Base Exámenes'!C705)=1,'Base Exámenes'!D705+ROW()/1000000000,""))</f>
        <v/>
      </c>
      <c r="AL705" t="str">
        <f>IF(OR('Base Exámenes'!C705="",'Base Exámenes'!E705=""),"",IF(COUNTIF('Base Exámenes'!$C$5:C705,'Base Exámenes'!C705)=1,'Base Exámenes'!E705+ROW()/1000000000,""))</f>
        <v/>
      </c>
      <c r="AM705" t="str">
        <f>IF(OR('Base Exámenes'!C705="",'Base Exámenes'!G705=""),"",IF(ROW()-4=MATCH('Base Exámenes'!C705&amp;"|"&amp;_xlfn.MAXIFS('Base Exámenes'!$G$5:$G$1000,'Base Exámenes'!$C$5:$C$1000,'Base Exámenes'!C705),'Base Exámenes'!$I$5:$I$1000,0),'Base Exámenes'!G705*1000000+(-1)*'Base Exámenes'!D705,""))</f>
        <v/>
      </c>
      <c r="AQ705" t="str">
        <f>IF('Base Exámenes'!C705="","",IF(COUNTIF('Base Exámenes'!$C$5:$C$1000,'Base Exámenes'!C705)&lt;2,"",MATCH('Base Exámenes'!C705,'Base Exámenes'!$C$5:$C$1000,0)*10000+ROW()))</f>
        <v/>
      </c>
    </row>
    <row r="706">
      <c r="Z706" t="str">
        <f>IF('Detalle individual'!A706="","",IF(AND(OR('Estado por Colaborador'!$D$4="Todas las gerencias",'Detalle individual'!D706='Estado por Colaborador'!$D$4),OR('Estado por Colaborador'!$D$5="Todos los departamentos",TRIM('Detalle individual'!C706)='Estado por Colaborador'!$D$5),OR('Estado por Colaborador'!$D$6="Todos",'Detalle individual'!F706='Estado por Colaborador'!$D$6)),IF('Detalle individual'!F706="Completado",30000000,IF('Detalle individual'!F706="Pendiente",0,15000000))+COUNTIF('Detalle individual'!$C$5:$C$1000,"&lt;"&amp;'Detalle individual'!C706)*10000+ROW(),""))</f>
        <v/>
      </c>
      <c r="AB706" t="str">
        <f>IF('Detalle individual'!C706="","",IF(COUNTIF('Detalle individual'!$C$5:C706,'Detalle individual'!C706)=1,COUNTIF('Detalle individual'!$C$5:$C$1000,"&lt;"&amp;'Detalle individual'!C706),""))</f>
        <v/>
      </c>
      <c r="AC706" t="str">
        <f>IF('Detalle individual'!D706="","",IF(COUNTIF('Detalle individual'!$D$5:D706,'Detalle individual'!D706)=1,COUNTIF('Detalle individual'!$D$5:$D$1000,"&lt;"&amp;'Detalle individual'!D706),""))</f>
        <v/>
      </c>
      <c r="AH706" t="str">
        <f>IF('Detalle individual'!F706="Pendiente",COUNTIF('Detalle individual'!$D$5:$D$1000,"&lt;"&amp;'Detalle individual'!D706)*1000000+COUNTIF('Detalle individual'!$C$5:$C$1000,"&lt;"&amp;'Detalle individual'!C706)*1000+COUNTIF('Detalle individual'!$B$5:$B$1000,"&lt;"&amp;'Detalle individual'!B706)+ROW()/10000,"")</f>
        <v/>
      </c>
      <c r="AI706" t="str">
        <f>IF('Detalle individual'!F706="Completado",COUNTIF('Detalle individual'!$D$5:$D$1000,"&lt;"&amp;'Detalle individual'!D706)*1000000+COUNTIF('Detalle individual'!$C$5:$C$1000,"&lt;"&amp;'Detalle individual'!C706)*1000+COUNTIF('Detalle individual'!$B$5:$B$1000,"&lt;"&amp;'Detalle individual'!B706)+ROW()/10000,"")</f>
        <v/>
      </c>
      <c r="AJ706" t="str">
        <f>IF(AND('Detalle individual'!F706&lt;&gt;"",'Detalle individual'!F706&lt;&gt;"Completado",'Detalle individual'!F706&lt;&gt;"Pendiente"),COUNTIF('Detalle individual'!$D$5:$D$1000,"&lt;"&amp;'Detalle individual'!D706)*1000000+COUNTIF('Detalle individual'!$C$5:$C$1000,"&lt;"&amp;'Detalle individual'!C706)*1000+COUNTIF('Detalle individual'!$B$5:$B$1000,"&lt;"&amp;'Detalle individual'!B706)+ROW()/10000,"")</f>
        <v/>
      </c>
      <c r="AK706" t="str">
        <f>IF(OR('Base Exámenes'!C706="",'Base Exámenes'!D706=""),"",IF(COUNTIF('Base Exámenes'!$C$5:C706,'Base Exámenes'!C706)=1,'Base Exámenes'!D706+ROW()/1000000000,""))</f>
        <v/>
      </c>
      <c r="AL706" t="str">
        <f>IF(OR('Base Exámenes'!C706="",'Base Exámenes'!E706=""),"",IF(COUNTIF('Base Exámenes'!$C$5:C706,'Base Exámenes'!C706)=1,'Base Exámenes'!E706+ROW()/1000000000,""))</f>
        <v/>
      </c>
      <c r="AM706" t="str">
        <f>IF(OR('Base Exámenes'!C706="",'Base Exámenes'!G706=""),"",IF(ROW()-4=MATCH('Base Exámenes'!C706&amp;"|"&amp;_xlfn.MAXIFS('Base Exámenes'!$G$5:$G$1000,'Base Exámenes'!$C$5:$C$1000,'Base Exámenes'!C706),'Base Exámenes'!$I$5:$I$1000,0),'Base Exámenes'!G706*1000000+(-1)*'Base Exámenes'!D706,""))</f>
        <v/>
      </c>
      <c r="AQ706" t="str">
        <f>IF('Base Exámenes'!C706="","",IF(COUNTIF('Base Exámenes'!$C$5:$C$1000,'Base Exámenes'!C706)&lt;2,"",MATCH('Base Exámenes'!C706,'Base Exámenes'!$C$5:$C$1000,0)*10000+ROW()))</f>
        <v/>
      </c>
    </row>
    <row r="707">
      <c r="Z707" t="str">
        <f>IF('Detalle individual'!A707="","",IF(AND(OR('Estado por Colaborador'!$D$4="Todas las gerencias",'Detalle individual'!D707='Estado por Colaborador'!$D$4),OR('Estado por Colaborador'!$D$5="Todos los departamentos",TRIM('Detalle individual'!C707)='Estado por Colaborador'!$D$5),OR('Estado por Colaborador'!$D$6="Todos",'Detalle individual'!F707='Estado por Colaborador'!$D$6)),IF('Detalle individual'!F707="Completado",30000000,IF('Detalle individual'!F707="Pendiente",0,15000000))+COUNTIF('Detalle individual'!$C$5:$C$1000,"&lt;"&amp;'Detalle individual'!C707)*10000+ROW(),""))</f>
        <v/>
      </c>
      <c r="AB707" t="str">
        <f>IF('Detalle individual'!C707="","",IF(COUNTIF('Detalle individual'!$C$5:C707,'Detalle individual'!C707)=1,COUNTIF('Detalle individual'!$C$5:$C$1000,"&lt;"&amp;'Detalle individual'!C707),""))</f>
        <v/>
      </c>
      <c r="AC707" t="str">
        <f>IF('Detalle individual'!D707="","",IF(COUNTIF('Detalle individual'!$D$5:D707,'Detalle individual'!D707)=1,COUNTIF('Detalle individual'!$D$5:$D$1000,"&lt;"&amp;'Detalle individual'!D707),""))</f>
        <v/>
      </c>
      <c r="AH707" t="str">
        <f>IF('Detalle individual'!F707="Pendiente",COUNTIF('Detalle individual'!$D$5:$D$1000,"&lt;"&amp;'Detalle individual'!D707)*1000000+COUNTIF('Detalle individual'!$C$5:$C$1000,"&lt;"&amp;'Detalle individual'!C707)*1000+COUNTIF('Detalle individual'!$B$5:$B$1000,"&lt;"&amp;'Detalle individual'!B707)+ROW()/10000,"")</f>
        <v/>
      </c>
      <c r="AI707" t="str">
        <f>IF('Detalle individual'!F707="Completado",COUNTIF('Detalle individual'!$D$5:$D$1000,"&lt;"&amp;'Detalle individual'!D707)*1000000+COUNTIF('Detalle individual'!$C$5:$C$1000,"&lt;"&amp;'Detalle individual'!C707)*1000+COUNTIF('Detalle individual'!$B$5:$B$1000,"&lt;"&amp;'Detalle individual'!B707)+ROW()/10000,"")</f>
        <v/>
      </c>
      <c r="AJ707" t="str">
        <f>IF(AND('Detalle individual'!F707&lt;&gt;"",'Detalle individual'!F707&lt;&gt;"Completado",'Detalle individual'!F707&lt;&gt;"Pendiente"),COUNTIF('Detalle individual'!$D$5:$D$1000,"&lt;"&amp;'Detalle individual'!D707)*1000000+COUNTIF('Detalle individual'!$C$5:$C$1000,"&lt;"&amp;'Detalle individual'!C707)*1000+COUNTIF('Detalle individual'!$B$5:$B$1000,"&lt;"&amp;'Detalle individual'!B707)+ROW()/10000,"")</f>
        <v/>
      </c>
      <c r="AK707" t="str">
        <f>IF(OR('Base Exámenes'!C707="",'Base Exámenes'!D707=""),"",IF(COUNTIF('Base Exámenes'!$C$5:C707,'Base Exámenes'!C707)=1,'Base Exámenes'!D707+ROW()/1000000000,""))</f>
        <v/>
      </c>
      <c r="AL707" t="str">
        <f>IF(OR('Base Exámenes'!C707="",'Base Exámenes'!E707=""),"",IF(COUNTIF('Base Exámenes'!$C$5:C707,'Base Exámenes'!C707)=1,'Base Exámenes'!E707+ROW()/1000000000,""))</f>
        <v/>
      </c>
      <c r="AM707" t="str">
        <f>IF(OR('Base Exámenes'!C707="",'Base Exámenes'!G707=""),"",IF(ROW()-4=MATCH('Base Exámenes'!C707&amp;"|"&amp;_xlfn.MAXIFS('Base Exámenes'!$G$5:$G$1000,'Base Exámenes'!$C$5:$C$1000,'Base Exámenes'!C707),'Base Exámenes'!$I$5:$I$1000,0),'Base Exámenes'!G707*1000000+(-1)*'Base Exámenes'!D707,""))</f>
        <v/>
      </c>
      <c r="AQ707" t="str">
        <f>IF('Base Exámenes'!C707="","",IF(COUNTIF('Base Exámenes'!$C$5:$C$1000,'Base Exámenes'!C707)&lt;2,"",MATCH('Base Exámenes'!C707,'Base Exámenes'!$C$5:$C$1000,0)*10000+ROW()))</f>
        <v/>
      </c>
    </row>
    <row r="708">
      <c r="Z708" t="str">
        <f>IF('Detalle individual'!A708="","",IF(AND(OR('Estado por Colaborador'!$D$4="Todas las gerencias",'Detalle individual'!D708='Estado por Colaborador'!$D$4),OR('Estado por Colaborador'!$D$5="Todos los departamentos",TRIM('Detalle individual'!C708)='Estado por Colaborador'!$D$5),OR('Estado por Colaborador'!$D$6="Todos",'Detalle individual'!F708='Estado por Colaborador'!$D$6)),IF('Detalle individual'!F708="Completado",30000000,IF('Detalle individual'!F708="Pendiente",0,15000000))+COUNTIF('Detalle individual'!$C$5:$C$1000,"&lt;"&amp;'Detalle individual'!C708)*10000+ROW(),""))</f>
        <v/>
      </c>
      <c r="AB708" t="str">
        <f>IF('Detalle individual'!C708="","",IF(COUNTIF('Detalle individual'!$C$5:C708,'Detalle individual'!C708)=1,COUNTIF('Detalle individual'!$C$5:$C$1000,"&lt;"&amp;'Detalle individual'!C708),""))</f>
        <v/>
      </c>
      <c r="AC708" t="str">
        <f>IF('Detalle individual'!D708="","",IF(COUNTIF('Detalle individual'!$D$5:D708,'Detalle individual'!D708)=1,COUNTIF('Detalle individual'!$D$5:$D$1000,"&lt;"&amp;'Detalle individual'!D708),""))</f>
        <v/>
      </c>
      <c r="AH708" t="str">
        <f>IF('Detalle individual'!F708="Pendiente",COUNTIF('Detalle individual'!$D$5:$D$1000,"&lt;"&amp;'Detalle individual'!D708)*1000000+COUNTIF('Detalle individual'!$C$5:$C$1000,"&lt;"&amp;'Detalle individual'!C708)*1000+COUNTIF('Detalle individual'!$B$5:$B$1000,"&lt;"&amp;'Detalle individual'!B708)+ROW()/10000,"")</f>
        <v/>
      </c>
      <c r="AI708" t="str">
        <f>IF('Detalle individual'!F708="Completado",COUNTIF('Detalle individual'!$D$5:$D$1000,"&lt;"&amp;'Detalle individual'!D708)*1000000+COUNTIF('Detalle individual'!$C$5:$C$1000,"&lt;"&amp;'Detalle individual'!C708)*1000+COUNTIF('Detalle individual'!$B$5:$B$1000,"&lt;"&amp;'Detalle individual'!B708)+ROW()/10000,"")</f>
        <v/>
      </c>
      <c r="AJ708" t="str">
        <f>IF(AND('Detalle individual'!F708&lt;&gt;"",'Detalle individual'!F708&lt;&gt;"Completado",'Detalle individual'!F708&lt;&gt;"Pendiente"),COUNTIF('Detalle individual'!$D$5:$D$1000,"&lt;"&amp;'Detalle individual'!D708)*1000000+COUNTIF('Detalle individual'!$C$5:$C$1000,"&lt;"&amp;'Detalle individual'!C708)*1000+COUNTIF('Detalle individual'!$B$5:$B$1000,"&lt;"&amp;'Detalle individual'!B708)+ROW()/10000,"")</f>
        <v/>
      </c>
      <c r="AK708" t="str">
        <f>IF(OR('Base Exámenes'!C708="",'Base Exámenes'!D708=""),"",IF(COUNTIF('Base Exámenes'!$C$5:C708,'Base Exámenes'!C708)=1,'Base Exámenes'!D708+ROW()/1000000000,""))</f>
        <v/>
      </c>
      <c r="AL708" t="str">
        <f>IF(OR('Base Exámenes'!C708="",'Base Exámenes'!E708=""),"",IF(COUNTIF('Base Exámenes'!$C$5:C708,'Base Exámenes'!C708)=1,'Base Exámenes'!E708+ROW()/1000000000,""))</f>
        <v/>
      </c>
      <c r="AM708" t="str">
        <f>IF(OR('Base Exámenes'!C708="",'Base Exámenes'!G708=""),"",IF(ROW()-4=MATCH('Base Exámenes'!C708&amp;"|"&amp;_xlfn.MAXIFS('Base Exámenes'!$G$5:$G$1000,'Base Exámenes'!$C$5:$C$1000,'Base Exámenes'!C708),'Base Exámenes'!$I$5:$I$1000,0),'Base Exámenes'!G708*1000000+(-1)*'Base Exámenes'!D708,""))</f>
        <v/>
      </c>
      <c r="AQ708" t="str">
        <f>IF('Base Exámenes'!C708="","",IF(COUNTIF('Base Exámenes'!$C$5:$C$1000,'Base Exámenes'!C708)&lt;2,"",MATCH('Base Exámenes'!C708,'Base Exámenes'!$C$5:$C$1000,0)*10000+ROW()))</f>
        <v/>
      </c>
    </row>
    <row r="709">
      <c r="Z709" t="str">
        <f>IF('Detalle individual'!A709="","",IF(AND(OR('Estado por Colaborador'!$D$4="Todas las gerencias",'Detalle individual'!D709='Estado por Colaborador'!$D$4),OR('Estado por Colaborador'!$D$5="Todos los departamentos",TRIM('Detalle individual'!C709)='Estado por Colaborador'!$D$5),OR('Estado por Colaborador'!$D$6="Todos",'Detalle individual'!F709='Estado por Colaborador'!$D$6)),IF('Detalle individual'!F709="Completado",30000000,IF('Detalle individual'!F709="Pendiente",0,15000000))+COUNTIF('Detalle individual'!$C$5:$C$1000,"&lt;"&amp;'Detalle individual'!C709)*10000+ROW(),""))</f>
        <v/>
      </c>
      <c r="AB709" t="str">
        <f>IF('Detalle individual'!C709="","",IF(COUNTIF('Detalle individual'!$C$5:C709,'Detalle individual'!C709)=1,COUNTIF('Detalle individual'!$C$5:$C$1000,"&lt;"&amp;'Detalle individual'!C709),""))</f>
        <v/>
      </c>
      <c r="AC709" t="str">
        <f>IF('Detalle individual'!D709="","",IF(COUNTIF('Detalle individual'!$D$5:D709,'Detalle individual'!D709)=1,COUNTIF('Detalle individual'!$D$5:$D$1000,"&lt;"&amp;'Detalle individual'!D709),""))</f>
        <v/>
      </c>
      <c r="AH709" t="str">
        <f>IF('Detalle individual'!F709="Pendiente",COUNTIF('Detalle individual'!$D$5:$D$1000,"&lt;"&amp;'Detalle individual'!D709)*1000000+COUNTIF('Detalle individual'!$C$5:$C$1000,"&lt;"&amp;'Detalle individual'!C709)*1000+COUNTIF('Detalle individual'!$B$5:$B$1000,"&lt;"&amp;'Detalle individual'!B709)+ROW()/10000,"")</f>
        <v/>
      </c>
      <c r="AI709" t="str">
        <f>IF('Detalle individual'!F709="Completado",COUNTIF('Detalle individual'!$D$5:$D$1000,"&lt;"&amp;'Detalle individual'!D709)*1000000+COUNTIF('Detalle individual'!$C$5:$C$1000,"&lt;"&amp;'Detalle individual'!C709)*1000+COUNTIF('Detalle individual'!$B$5:$B$1000,"&lt;"&amp;'Detalle individual'!B709)+ROW()/10000,"")</f>
        <v/>
      </c>
      <c r="AJ709" t="str">
        <f>IF(AND('Detalle individual'!F709&lt;&gt;"",'Detalle individual'!F709&lt;&gt;"Completado",'Detalle individual'!F709&lt;&gt;"Pendiente"),COUNTIF('Detalle individual'!$D$5:$D$1000,"&lt;"&amp;'Detalle individual'!D709)*1000000+COUNTIF('Detalle individual'!$C$5:$C$1000,"&lt;"&amp;'Detalle individual'!C709)*1000+COUNTIF('Detalle individual'!$B$5:$B$1000,"&lt;"&amp;'Detalle individual'!B709)+ROW()/10000,"")</f>
        <v/>
      </c>
      <c r="AK709" t="str">
        <f>IF(OR('Base Exámenes'!C709="",'Base Exámenes'!D709=""),"",IF(COUNTIF('Base Exámenes'!$C$5:C709,'Base Exámenes'!C709)=1,'Base Exámenes'!D709+ROW()/1000000000,""))</f>
        <v/>
      </c>
      <c r="AL709" t="str">
        <f>IF(OR('Base Exámenes'!C709="",'Base Exámenes'!E709=""),"",IF(COUNTIF('Base Exámenes'!$C$5:C709,'Base Exámenes'!C709)=1,'Base Exámenes'!E709+ROW()/1000000000,""))</f>
        <v/>
      </c>
      <c r="AM709" t="str">
        <f>IF(OR('Base Exámenes'!C709="",'Base Exámenes'!G709=""),"",IF(ROW()-4=MATCH('Base Exámenes'!C709&amp;"|"&amp;_xlfn.MAXIFS('Base Exámenes'!$G$5:$G$1000,'Base Exámenes'!$C$5:$C$1000,'Base Exámenes'!C709),'Base Exámenes'!$I$5:$I$1000,0),'Base Exámenes'!G709*1000000+(-1)*'Base Exámenes'!D709,""))</f>
        <v/>
      </c>
      <c r="AQ709" t="str">
        <f>IF('Base Exámenes'!C709="","",IF(COUNTIF('Base Exámenes'!$C$5:$C$1000,'Base Exámenes'!C709)&lt;2,"",MATCH('Base Exámenes'!C709,'Base Exámenes'!$C$5:$C$1000,0)*10000+ROW()))</f>
        <v/>
      </c>
    </row>
    <row r="710">
      <c r="Z710" t="str">
        <f>IF('Detalle individual'!A710="","",IF(AND(OR('Estado por Colaborador'!$D$4="Todas las gerencias",'Detalle individual'!D710='Estado por Colaborador'!$D$4),OR('Estado por Colaborador'!$D$5="Todos los departamentos",TRIM('Detalle individual'!C710)='Estado por Colaborador'!$D$5),OR('Estado por Colaborador'!$D$6="Todos",'Detalle individual'!F710='Estado por Colaborador'!$D$6)),IF('Detalle individual'!F710="Completado",30000000,IF('Detalle individual'!F710="Pendiente",0,15000000))+COUNTIF('Detalle individual'!$C$5:$C$1000,"&lt;"&amp;'Detalle individual'!C710)*10000+ROW(),""))</f>
        <v/>
      </c>
      <c r="AB710" t="str">
        <f>IF('Detalle individual'!C710="","",IF(COUNTIF('Detalle individual'!$C$5:C710,'Detalle individual'!C710)=1,COUNTIF('Detalle individual'!$C$5:$C$1000,"&lt;"&amp;'Detalle individual'!C710),""))</f>
        <v/>
      </c>
      <c r="AC710" t="str">
        <f>IF('Detalle individual'!D710="","",IF(COUNTIF('Detalle individual'!$D$5:D710,'Detalle individual'!D710)=1,COUNTIF('Detalle individual'!$D$5:$D$1000,"&lt;"&amp;'Detalle individual'!D710),""))</f>
        <v/>
      </c>
      <c r="AH710" t="str">
        <f>IF('Detalle individual'!F710="Pendiente",COUNTIF('Detalle individual'!$D$5:$D$1000,"&lt;"&amp;'Detalle individual'!D710)*1000000+COUNTIF('Detalle individual'!$C$5:$C$1000,"&lt;"&amp;'Detalle individual'!C710)*1000+COUNTIF('Detalle individual'!$B$5:$B$1000,"&lt;"&amp;'Detalle individual'!B710)+ROW()/10000,"")</f>
        <v/>
      </c>
      <c r="AI710" t="str">
        <f>IF('Detalle individual'!F710="Completado",COUNTIF('Detalle individual'!$D$5:$D$1000,"&lt;"&amp;'Detalle individual'!D710)*1000000+COUNTIF('Detalle individual'!$C$5:$C$1000,"&lt;"&amp;'Detalle individual'!C710)*1000+COUNTIF('Detalle individual'!$B$5:$B$1000,"&lt;"&amp;'Detalle individual'!B710)+ROW()/10000,"")</f>
        <v/>
      </c>
      <c r="AJ710" t="str">
        <f>IF(AND('Detalle individual'!F710&lt;&gt;"",'Detalle individual'!F710&lt;&gt;"Completado",'Detalle individual'!F710&lt;&gt;"Pendiente"),COUNTIF('Detalle individual'!$D$5:$D$1000,"&lt;"&amp;'Detalle individual'!D710)*1000000+COUNTIF('Detalle individual'!$C$5:$C$1000,"&lt;"&amp;'Detalle individual'!C710)*1000+COUNTIF('Detalle individual'!$B$5:$B$1000,"&lt;"&amp;'Detalle individual'!B710)+ROW()/10000,"")</f>
        <v/>
      </c>
      <c r="AK710" t="str">
        <f>IF(OR('Base Exámenes'!C710="",'Base Exámenes'!D710=""),"",IF(COUNTIF('Base Exámenes'!$C$5:C710,'Base Exámenes'!C710)=1,'Base Exámenes'!D710+ROW()/1000000000,""))</f>
        <v/>
      </c>
      <c r="AL710" t="str">
        <f>IF(OR('Base Exámenes'!C710="",'Base Exámenes'!E710=""),"",IF(COUNTIF('Base Exámenes'!$C$5:C710,'Base Exámenes'!C710)=1,'Base Exámenes'!E710+ROW()/1000000000,""))</f>
        <v/>
      </c>
      <c r="AM710" t="str">
        <f>IF(OR('Base Exámenes'!C710="",'Base Exámenes'!G710=""),"",IF(ROW()-4=MATCH('Base Exámenes'!C710&amp;"|"&amp;_xlfn.MAXIFS('Base Exámenes'!$G$5:$G$1000,'Base Exámenes'!$C$5:$C$1000,'Base Exámenes'!C710),'Base Exámenes'!$I$5:$I$1000,0),'Base Exámenes'!G710*1000000+(-1)*'Base Exámenes'!D710,""))</f>
        <v/>
      </c>
      <c r="AQ710" t="str">
        <f>IF('Base Exámenes'!C710="","",IF(COUNTIF('Base Exámenes'!$C$5:$C$1000,'Base Exámenes'!C710)&lt;2,"",MATCH('Base Exámenes'!C710,'Base Exámenes'!$C$5:$C$1000,0)*10000+ROW()))</f>
        <v/>
      </c>
    </row>
    <row r="711">
      <c r="Z711" t="str">
        <f>IF('Detalle individual'!A711="","",IF(AND(OR('Estado por Colaborador'!$D$4="Todas las gerencias",'Detalle individual'!D711='Estado por Colaborador'!$D$4),OR('Estado por Colaborador'!$D$5="Todos los departamentos",TRIM('Detalle individual'!C711)='Estado por Colaborador'!$D$5),OR('Estado por Colaborador'!$D$6="Todos",'Detalle individual'!F711='Estado por Colaborador'!$D$6)),IF('Detalle individual'!F711="Completado",30000000,IF('Detalle individual'!F711="Pendiente",0,15000000))+COUNTIF('Detalle individual'!$C$5:$C$1000,"&lt;"&amp;'Detalle individual'!C711)*10000+ROW(),""))</f>
        <v/>
      </c>
      <c r="AB711" t="str">
        <f>IF('Detalle individual'!C711="","",IF(COUNTIF('Detalle individual'!$C$5:C711,'Detalle individual'!C711)=1,COUNTIF('Detalle individual'!$C$5:$C$1000,"&lt;"&amp;'Detalle individual'!C711),""))</f>
        <v/>
      </c>
      <c r="AC711" t="str">
        <f>IF('Detalle individual'!D711="","",IF(COUNTIF('Detalle individual'!$D$5:D711,'Detalle individual'!D711)=1,COUNTIF('Detalle individual'!$D$5:$D$1000,"&lt;"&amp;'Detalle individual'!D711),""))</f>
        <v/>
      </c>
      <c r="AH711" t="str">
        <f>IF('Detalle individual'!F711="Pendiente",COUNTIF('Detalle individual'!$D$5:$D$1000,"&lt;"&amp;'Detalle individual'!D711)*1000000+COUNTIF('Detalle individual'!$C$5:$C$1000,"&lt;"&amp;'Detalle individual'!C711)*1000+COUNTIF('Detalle individual'!$B$5:$B$1000,"&lt;"&amp;'Detalle individual'!B711)+ROW()/10000,"")</f>
        <v/>
      </c>
      <c r="AI711" t="str">
        <f>IF('Detalle individual'!F711="Completado",COUNTIF('Detalle individual'!$D$5:$D$1000,"&lt;"&amp;'Detalle individual'!D711)*1000000+COUNTIF('Detalle individual'!$C$5:$C$1000,"&lt;"&amp;'Detalle individual'!C711)*1000+COUNTIF('Detalle individual'!$B$5:$B$1000,"&lt;"&amp;'Detalle individual'!B711)+ROW()/10000,"")</f>
        <v/>
      </c>
      <c r="AJ711" t="str">
        <f>IF(AND('Detalle individual'!F711&lt;&gt;"",'Detalle individual'!F711&lt;&gt;"Completado",'Detalle individual'!F711&lt;&gt;"Pendiente"),COUNTIF('Detalle individual'!$D$5:$D$1000,"&lt;"&amp;'Detalle individual'!D711)*1000000+COUNTIF('Detalle individual'!$C$5:$C$1000,"&lt;"&amp;'Detalle individual'!C711)*1000+COUNTIF('Detalle individual'!$B$5:$B$1000,"&lt;"&amp;'Detalle individual'!B711)+ROW()/10000,"")</f>
        <v/>
      </c>
      <c r="AK711" t="str">
        <f>IF(OR('Base Exámenes'!C711="",'Base Exámenes'!D711=""),"",IF(COUNTIF('Base Exámenes'!$C$5:C711,'Base Exámenes'!C711)=1,'Base Exámenes'!D711+ROW()/1000000000,""))</f>
        <v/>
      </c>
      <c r="AL711" t="str">
        <f>IF(OR('Base Exámenes'!C711="",'Base Exámenes'!E711=""),"",IF(COUNTIF('Base Exámenes'!$C$5:C711,'Base Exámenes'!C711)=1,'Base Exámenes'!E711+ROW()/1000000000,""))</f>
        <v/>
      </c>
      <c r="AM711" t="str">
        <f>IF(OR('Base Exámenes'!C711="",'Base Exámenes'!G711=""),"",IF(ROW()-4=MATCH('Base Exámenes'!C711&amp;"|"&amp;_xlfn.MAXIFS('Base Exámenes'!$G$5:$G$1000,'Base Exámenes'!$C$5:$C$1000,'Base Exámenes'!C711),'Base Exámenes'!$I$5:$I$1000,0),'Base Exámenes'!G711*1000000+(-1)*'Base Exámenes'!D711,""))</f>
        <v/>
      </c>
      <c r="AQ711" t="str">
        <f>IF('Base Exámenes'!C711="","",IF(COUNTIF('Base Exámenes'!$C$5:$C$1000,'Base Exámenes'!C711)&lt;2,"",MATCH('Base Exámenes'!C711,'Base Exámenes'!$C$5:$C$1000,0)*10000+ROW()))</f>
        <v/>
      </c>
    </row>
    <row r="712">
      <c r="Z712" t="str">
        <f>IF('Detalle individual'!A712="","",IF(AND(OR('Estado por Colaborador'!$D$4="Todas las gerencias",'Detalle individual'!D712='Estado por Colaborador'!$D$4),OR('Estado por Colaborador'!$D$5="Todos los departamentos",TRIM('Detalle individual'!C712)='Estado por Colaborador'!$D$5),OR('Estado por Colaborador'!$D$6="Todos",'Detalle individual'!F712='Estado por Colaborador'!$D$6)),IF('Detalle individual'!F712="Completado",30000000,IF('Detalle individual'!F712="Pendiente",0,15000000))+COUNTIF('Detalle individual'!$C$5:$C$1000,"&lt;"&amp;'Detalle individual'!C712)*10000+ROW(),""))</f>
        <v/>
      </c>
      <c r="AB712" t="str">
        <f>IF('Detalle individual'!C712="","",IF(COUNTIF('Detalle individual'!$C$5:C712,'Detalle individual'!C712)=1,COUNTIF('Detalle individual'!$C$5:$C$1000,"&lt;"&amp;'Detalle individual'!C712),""))</f>
        <v/>
      </c>
      <c r="AC712" t="str">
        <f>IF('Detalle individual'!D712="","",IF(COUNTIF('Detalle individual'!$D$5:D712,'Detalle individual'!D712)=1,COUNTIF('Detalle individual'!$D$5:$D$1000,"&lt;"&amp;'Detalle individual'!D712),""))</f>
        <v/>
      </c>
      <c r="AH712" t="str">
        <f>IF('Detalle individual'!F712="Pendiente",COUNTIF('Detalle individual'!$D$5:$D$1000,"&lt;"&amp;'Detalle individual'!D712)*1000000+COUNTIF('Detalle individual'!$C$5:$C$1000,"&lt;"&amp;'Detalle individual'!C712)*1000+COUNTIF('Detalle individual'!$B$5:$B$1000,"&lt;"&amp;'Detalle individual'!B712)+ROW()/10000,"")</f>
        <v/>
      </c>
      <c r="AI712" t="str">
        <f>IF('Detalle individual'!F712="Completado",COUNTIF('Detalle individual'!$D$5:$D$1000,"&lt;"&amp;'Detalle individual'!D712)*1000000+COUNTIF('Detalle individual'!$C$5:$C$1000,"&lt;"&amp;'Detalle individual'!C712)*1000+COUNTIF('Detalle individual'!$B$5:$B$1000,"&lt;"&amp;'Detalle individual'!B712)+ROW()/10000,"")</f>
        <v/>
      </c>
      <c r="AJ712" t="str">
        <f>IF(AND('Detalle individual'!F712&lt;&gt;"",'Detalle individual'!F712&lt;&gt;"Completado",'Detalle individual'!F712&lt;&gt;"Pendiente"),COUNTIF('Detalle individual'!$D$5:$D$1000,"&lt;"&amp;'Detalle individual'!D712)*1000000+COUNTIF('Detalle individual'!$C$5:$C$1000,"&lt;"&amp;'Detalle individual'!C712)*1000+COUNTIF('Detalle individual'!$B$5:$B$1000,"&lt;"&amp;'Detalle individual'!B712)+ROW()/10000,"")</f>
        <v/>
      </c>
      <c r="AK712" t="str">
        <f>IF(OR('Base Exámenes'!C712="",'Base Exámenes'!D712=""),"",IF(COUNTIF('Base Exámenes'!$C$5:C712,'Base Exámenes'!C712)=1,'Base Exámenes'!D712+ROW()/1000000000,""))</f>
        <v/>
      </c>
      <c r="AL712" t="str">
        <f>IF(OR('Base Exámenes'!C712="",'Base Exámenes'!E712=""),"",IF(COUNTIF('Base Exámenes'!$C$5:C712,'Base Exámenes'!C712)=1,'Base Exámenes'!E712+ROW()/1000000000,""))</f>
        <v/>
      </c>
      <c r="AM712" t="str">
        <f>IF(OR('Base Exámenes'!C712="",'Base Exámenes'!G712=""),"",IF(ROW()-4=MATCH('Base Exámenes'!C712&amp;"|"&amp;_xlfn.MAXIFS('Base Exámenes'!$G$5:$G$1000,'Base Exámenes'!$C$5:$C$1000,'Base Exámenes'!C712),'Base Exámenes'!$I$5:$I$1000,0),'Base Exámenes'!G712*1000000+(-1)*'Base Exámenes'!D712,""))</f>
        <v/>
      </c>
      <c r="AQ712" t="str">
        <f>IF('Base Exámenes'!C712="","",IF(COUNTIF('Base Exámenes'!$C$5:$C$1000,'Base Exámenes'!C712)&lt;2,"",MATCH('Base Exámenes'!C712,'Base Exámenes'!$C$5:$C$1000,0)*10000+ROW()))</f>
        <v/>
      </c>
    </row>
    <row r="713">
      <c r="Z713" t="str">
        <f>IF('Detalle individual'!A713="","",IF(AND(OR('Estado por Colaborador'!$D$4="Todas las gerencias",'Detalle individual'!D713='Estado por Colaborador'!$D$4),OR('Estado por Colaborador'!$D$5="Todos los departamentos",TRIM('Detalle individual'!C713)='Estado por Colaborador'!$D$5),OR('Estado por Colaborador'!$D$6="Todos",'Detalle individual'!F713='Estado por Colaborador'!$D$6)),IF('Detalle individual'!F713="Completado",30000000,IF('Detalle individual'!F713="Pendiente",0,15000000))+COUNTIF('Detalle individual'!$C$5:$C$1000,"&lt;"&amp;'Detalle individual'!C713)*10000+ROW(),""))</f>
        <v/>
      </c>
      <c r="AB713" t="str">
        <f>IF('Detalle individual'!C713="","",IF(COUNTIF('Detalle individual'!$C$5:C713,'Detalle individual'!C713)=1,COUNTIF('Detalle individual'!$C$5:$C$1000,"&lt;"&amp;'Detalle individual'!C713),""))</f>
        <v/>
      </c>
      <c r="AC713" t="str">
        <f>IF('Detalle individual'!D713="","",IF(COUNTIF('Detalle individual'!$D$5:D713,'Detalle individual'!D713)=1,COUNTIF('Detalle individual'!$D$5:$D$1000,"&lt;"&amp;'Detalle individual'!D713),""))</f>
        <v/>
      </c>
      <c r="AH713" t="str">
        <f>IF('Detalle individual'!F713="Pendiente",COUNTIF('Detalle individual'!$D$5:$D$1000,"&lt;"&amp;'Detalle individual'!D713)*1000000+COUNTIF('Detalle individual'!$C$5:$C$1000,"&lt;"&amp;'Detalle individual'!C713)*1000+COUNTIF('Detalle individual'!$B$5:$B$1000,"&lt;"&amp;'Detalle individual'!B713)+ROW()/10000,"")</f>
        <v/>
      </c>
      <c r="AI713" t="str">
        <f>IF('Detalle individual'!F713="Completado",COUNTIF('Detalle individual'!$D$5:$D$1000,"&lt;"&amp;'Detalle individual'!D713)*1000000+COUNTIF('Detalle individual'!$C$5:$C$1000,"&lt;"&amp;'Detalle individual'!C713)*1000+COUNTIF('Detalle individual'!$B$5:$B$1000,"&lt;"&amp;'Detalle individual'!B713)+ROW()/10000,"")</f>
        <v/>
      </c>
      <c r="AJ713" t="str">
        <f>IF(AND('Detalle individual'!F713&lt;&gt;"",'Detalle individual'!F713&lt;&gt;"Completado",'Detalle individual'!F713&lt;&gt;"Pendiente"),COUNTIF('Detalle individual'!$D$5:$D$1000,"&lt;"&amp;'Detalle individual'!D713)*1000000+COUNTIF('Detalle individual'!$C$5:$C$1000,"&lt;"&amp;'Detalle individual'!C713)*1000+COUNTIF('Detalle individual'!$B$5:$B$1000,"&lt;"&amp;'Detalle individual'!B713)+ROW()/10000,"")</f>
        <v/>
      </c>
      <c r="AK713" t="str">
        <f>IF(OR('Base Exámenes'!C713="",'Base Exámenes'!D713=""),"",IF(COUNTIF('Base Exámenes'!$C$5:C713,'Base Exámenes'!C713)=1,'Base Exámenes'!D713+ROW()/1000000000,""))</f>
        <v/>
      </c>
      <c r="AL713" t="str">
        <f>IF(OR('Base Exámenes'!C713="",'Base Exámenes'!E713=""),"",IF(COUNTIF('Base Exámenes'!$C$5:C713,'Base Exámenes'!C713)=1,'Base Exámenes'!E713+ROW()/1000000000,""))</f>
        <v/>
      </c>
      <c r="AM713" t="str">
        <f>IF(OR('Base Exámenes'!C713="",'Base Exámenes'!G713=""),"",IF(ROW()-4=MATCH('Base Exámenes'!C713&amp;"|"&amp;_xlfn.MAXIFS('Base Exámenes'!$G$5:$G$1000,'Base Exámenes'!$C$5:$C$1000,'Base Exámenes'!C713),'Base Exámenes'!$I$5:$I$1000,0),'Base Exámenes'!G713*1000000+(-1)*'Base Exámenes'!D713,""))</f>
        <v/>
      </c>
      <c r="AQ713" t="str">
        <f>IF('Base Exámenes'!C713="","",IF(COUNTIF('Base Exámenes'!$C$5:$C$1000,'Base Exámenes'!C713)&lt;2,"",MATCH('Base Exámenes'!C713,'Base Exámenes'!$C$5:$C$1000,0)*10000+ROW()))</f>
        <v/>
      </c>
    </row>
    <row r="714">
      <c r="Z714" t="str">
        <f>IF('Detalle individual'!A714="","",IF(AND(OR('Estado por Colaborador'!$D$4="Todas las gerencias",'Detalle individual'!D714='Estado por Colaborador'!$D$4),OR('Estado por Colaborador'!$D$5="Todos los departamentos",TRIM('Detalle individual'!C714)='Estado por Colaborador'!$D$5),OR('Estado por Colaborador'!$D$6="Todos",'Detalle individual'!F714='Estado por Colaborador'!$D$6)),IF('Detalle individual'!F714="Completado",30000000,IF('Detalle individual'!F714="Pendiente",0,15000000))+COUNTIF('Detalle individual'!$C$5:$C$1000,"&lt;"&amp;'Detalle individual'!C714)*10000+ROW(),""))</f>
        <v/>
      </c>
      <c r="AB714" t="str">
        <f>IF('Detalle individual'!C714="","",IF(COUNTIF('Detalle individual'!$C$5:C714,'Detalle individual'!C714)=1,COUNTIF('Detalle individual'!$C$5:$C$1000,"&lt;"&amp;'Detalle individual'!C714),""))</f>
        <v/>
      </c>
      <c r="AC714" t="str">
        <f>IF('Detalle individual'!D714="","",IF(COUNTIF('Detalle individual'!$D$5:D714,'Detalle individual'!D714)=1,COUNTIF('Detalle individual'!$D$5:$D$1000,"&lt;"&amp;'Detalle individual'!D714),""))</f>
        <v/>
      </c>
      <c r="AH714" t="str">
        <f>IF('Detalle individual'!F714="Pendiente",COUNTIF('Detalle individual'!$D$5:$D$1000,"&lt;"&amp;'Detalle individual'!D714)*1000000+COUNTIF('Detalle individual'!$C$5:$C$1000,"&lt;"&amp;'Detalle individual'!C714)*1000+COUNTIF('Detalle individual'!$B$5:$B$1000,"&lt;"&amp;'Detalle individual'!B714)+ROW()/10000,"")</f>
        <v/>
      </c>
      <c r="AI714" t="str">
        <f>IF('Detalle individual'!F714="Completado",COUNTIF('Detalle individual'!$D$5:$D$1000,"&lt;"&amp;'Detalle individual'!D714)*1000000+COUNTIF('Detalle individual'!$C$5:$C$1000,"&lt;"&amp;'Detalle individual'!C714)*1000+COUNTIF('Detalle individual'!$B$5:$B$1000,"&lt;"&amp;'Detalle individual'!B714)+ROW()/10000,"")</f>
        <v/>
      </c>
      <c r="AJ714" t="str">
        <f>IF(AND('Detalle individual'!F714&lt;&gt;"",'Detalle individual'!F714&lt;&gt;"Completado",'Detalle individual'!F714&lt;&gt;"Pendiente"),COUNTIF('Detalle individual'!$D$5:$D$1000,"&lt;"&amp;'Detalle individual'!D714)*1000000+COUNTIF('Detalle individual'!$C$5:$C$1000,"&lt;"&amp;'Detalle individual'!C714)*1000+COUNTIF('Detalle individual'!$B$5:$B$1000,"&lt;"&amp;'Detalle individual'!B714)+ROW()/10000,"")</f>
        <v/>
      </c>
      <c r="AK714" t="str">
        <f>IF(OR('Base Exámenes'!C714="",'Base Exámenes'!D714=""),"",IF(COUNTIF('Base Exámenes'!$C$5:C714,'Base Exámenes'!C714)=1,'Base Exámenes'!D714+ROW()/1000000000,""))</f>
        <v/>
      </c>
      <c r="AL714" t="str">
        <f>IF(OR('Base Exámenes'!C714="",'Base Exámenes'!E714=""),"",IF(COUNTIF('Base Exámenes'!$C$5:C714,'Base Exámenes'!C714)=1,'Base Exámenes'!E714+ROW()/1000000000,""))</f>
        <v/>
      </c>
      <c r="AM714" t="str">
        <f>IF(OR('Base Exámenes'!C714="",'Base Exámenes'!G714=""),"",IF(ROW()-4=MATCH('Base Exámenes'!C714&amp;"|"&amp;_xlfn.MAXIFS('Base Exámenes'!$G$5:$G$1000,'Base Exámenes'!$C$5:$C$1000,'Base Exámenes'!C714),'Base Exámenes'!$I$5:$I$1000,0),'Base Exámenes'!G714*1000000+(-1)*'Base Exámenes'!D714,""))</f>
        <v/>
      </c>
      <c r="AQ714" t="str">
        <f>IF('Base Exámenes'!C714="","",IF(COUNTIF('Base Exámenes'!$C$5:$C$1000,'Base Exámenes'!C714)&lt;2,"",MATCH('Base Exámenes'!C714,'Base Exámenes'!$C$5:$C$1000,0)*10000+ROW()))</f>
        <v/>
      </c>
    </row>
    <row r="715">
      <c r="Z715" t="str">
        <f>IF('Detalle individual'!A715="","",IF(AND(OR('Estado por Colaborador'!$D$4="Todas las gerencias",'Detalle individual'!D715='Estado por Colaborador'!$D$4),OR('Estado por Colaborador'!$D$5="Todos los departamentos",TRIM('Detalle individual'!C715)='Estado por Colaborador'!$D$5),OR('Estado por Colaborador'!$D$6="Todos",'Detalle individual'!F715='Estado por Colaborador'!$D$6)),IF('Detalle individual'!F715="Completado",30000000,IF('Detalle individual'!F715="Pendiente",0,15000000))+COUNTIF('Detalle individual'!$C$5:$C$1000,"&lt;"&amp;'Detalle individual'!C715)*10000+ROW(),""))</f>
        <v/>
      </c>
      <c r="AB715" t="str">
        <f>IF('Detalle individual'!C715="","",IF(COUNTIF('Detalle individual'!$C$5:C715,'Detalle individual'!C715)=1,COUNTIF('Detalle individual'!$C$5:$C$1000,"&lt;"&amp;'Detalle individual'!C715),""))</f>
        <v/>
      </c>
      <c r="AC715" t="str">
        <f>IF('Detalle individual'!D715="","",IF(COUNTIF('Detalle individual'!$D$5:D715,'Detalle individual'!D715)=1,COUNTIF('Detalle individual'!$D$5:$D$1000,"&lt;"&amp;'Detalle individual'!D715),""))</f>
        <v/>
      </c>
      <c r="AH715" t="str">
        <f>IF('Detalle individual'!F715="Pendiente",COUNTIF('Detalle individual'!$D$5:$D$1000,"&lt;"&amp;'Detalle individual'!D715)*1000000+COUNTIF('Detalle individual'!$C$5:$C$1000,"&lt;"&amp;'Detalle individual'!C715)*1000+COUNTIF('Detalle individual'!$B$5:$B$1000,"&lt;"&amp;'Detalle individual'!B715)+ROW()/10000,"")</f>
        <v/>
      </c>
      <c r="AI715" t="str">
        <f>IF('Detalle individual'!F715="Completado",COUNTIF('Detalle individual'!$D$5:$D$1000,"&lt;"&amp;'Detalle individual'!D715)*1000000+COUNTIF('Detalle individual'!$C$5:$C$1000,"&lt;"&amp;'Detalle individual'!C715)*1000+COUNTIF('Detalle individual'!$B$5:$B$1000,"&lt;"&amp;'Detalle individual'!B715)+ROW()/10000,"")</f>
        <v/>
      </c>
      <c r="AJ715" t="str">
        <f>IF(AND('Detalle individual'!F715&lt;&gt;"",'Detalle individual'!F715&lt;&gt;"Completado",'Detalle individual'!F715&lt;&gt;"Pendiente"),COUNTIF('Detalle individual'!$D$5:$D$1000,"&lt;"&amp;'Detalle individual'!D715)*1000000+COUNTIF('Detalle individual'!$C$5:$C$1000,"&lt;"&amp;'Detalle individual'!C715)*1000+COUNTIF('Detalle individual'!$B$5:$B$1000,"&lt;"&amp;'Detalle individual'!B715)+ROW()/10000,"")</f>
        <v/>
      </c>
      <c r="AK715" t="str">
        <f>IF(OR('Base Exámenes'!C715="",'Base Exámenes'!D715=""),"",IF(COUNTIF('Base Exámenes'!$C$5:C715,'Base Exámenes'!C715)=1,'Base Exámenes'!D715+ROW()/1000000000,""))</f>
        <v/>
      </c>
      <c r="AL715" t="str">
        <f>IF(OR('Base Exámenes'!C715="",'Base Exámenes'!E715=""),"",IF(COUNTIF('Base Exámenes'!$C$5:C715,'Base Exámenes'!C715)=1,'Base Exámenes'!E715+ROW()/1000000000,""))</f>
        <v/>
      </c>
      <c r="AM715" t="str">
        <f>IF(OR('Base Exámenes'!C715="",'Base Exámenes'!G715=""),"",IF(ROW()-4=MATCH('Base Exámenes'!C715&amp;"|"&amp;_xlfn.MAXIFS('Base Exámenes'!$G$5:$G$1000,'Base Exámenes'!$C$5:$C$1000,'Base Exámenes'!C715),'Base Exámenes'!$I$5:$I$1000,0),'Base Exámenes'!G715*1000000+(-1)*'Base Exámenes'!D715,""))</f>
        <v/>
      </c>
      <c r="AQ715" t="str">
        <f>IF('Base Exámenes'!C715="","",IF(COUNTIF('Base Exámenes'!$C$5:$C$1000,'Base Exámenes'!C715)&lt;2,"",MATCH('Base Exámenes'!C715,'Base Exámenes'!$C$5:$C$1000,0)*10000+ROW()))</f>
        <v/>
      </c>
    </row>
    <row r="716">
      <c r="Z716" t="str">
        <f>IF('Detalle individual'!A716="","",IF(AND(OR('Estado por Colaborador'!$D$4="Todas las gerencias",'Detalle individual'!D716='Estado por Colaborador'!$D$4),OR('Estado por Colaborador'!$D$5="Todos los departamentos",TRIM('Detalle individual'!C716)='Estado por Colaborador'!$D$5),OR('Estado por Colaborador'!$D$6="Todos",'Detalle individual'!F716='Estado por Colaborador'!$D$6)),IF('Detalle individual'!F716="Completado",30000000,IF('Detalle individual'!F716="Pendiente",0,15000000))+COUNTIF('Detalle individual'!$C$5:$C$1000,"&lt;"&amp;'Detalle individual'!C716)*10000+ROW(),""))</f>
        <v/>
      </c>
      <c r="AB716" t="str">
        <f>IF('Detalle individual'!C716="","",IF(COUNTIF('Detalle individual'!$C$5:C716,'Detalle individual'!C716)=1,COUNTIF('Detalle individual'!$C$5:$C$1000,"&lt;"&amp;'Detalle individual'!C716),""))</f>
        <v/>
      </c>
      <c r="AC716" t="str">
        <f>IF('Detalle individual'!D716="","",IF(COUNTIF('Detalle individual'!$D$5:D716,'Detalle individual'!D716)=1,COUNTIF('Detalle individual'!$D$5:$D$1000,"&lt;"&amp;'Detalle individual'!D716),""))</f>
        <v/>
      </c>
      <c r="AH716" t="str">
        <f>IF('Detalle individual'!F716="Pendiente",COUNTIF('Detalle individual'!$D$5:$D$1000,"&lt;"&amp;'Detalle individual'!D716)*1000000+COUNTIF('Detalle individual'!$C$5:$C$1000,"&lt;"&amp;'Detalle individual'!C716)*1000+COUNTIF('Detalle individual'!$B$5:$B$1000,"&lt;"&amp;'Detalle individual'!B716)+ROW()/10000,"")</f>
        <v/>
      </c>
      <c r="AI716" t="str">
        <f>IF('Detalle individual'!F716="Completado",COUNTIF('Detalle individual'!$D$5:$D$1000,"&lt;"&amp;'Detalle individual'!D716)*1000000+COUNTIF('Detalle individual'!$C$5:$C$1000,"&lt;"&amp;'Detalle individual'!C716)*1000+COUNTIF('Detalle individual'!$B$5:$B$1000,"&lt;"&amp;'Detalle individual'!B716)+ROW()/10000,"")</f>
        <v/>
      </c>
      <c r="AJ716" t="str">
        <f>IF(AND('Detalle individual'!F716&lt;&gt;"",'Detalle individual'!F716&lt;&gt;"Completado",'Detalle individual'!F716&lt;&gt;"Pendiente"),COUNTIF('Detalle individual'!$D$5:$D$1000,"&lt;"&amp;'Detalle individual'!D716)*1000000+COUNTIF('Detalle individual'!$C$5:$C$1000,"&lt;"&amp;'Detalle individual'!C716)*1000+COUNTIF('Detalle individual'!$B$5:$B$1000,"&lt;"&amp;'Detalle individual'!B716)+ROW()/10000,"")</f>
        <v/>
      </c>
      <c r="AK716" t="str">
        <f>IF(OR('Base Exámenes'!C716="",'Base Exámenes'!D716=""),"",IF(COUNTIF('Base Exámenes'!$C$5:C716,'Base Exámenes'!C716)=1,'Base Exámenes'!D716+ROW()/1000000000,""))</f>
        <v/>
      </c>
      <c r="AL716" t="str">
        <f>IF(OR('Base Exámenes'!C716="",'Base Exámenes'!E716=""),"",IF(COUNTIF('Base Exámenes'!$C$5:C716,'Base Exámenes'!C716)=1,'Base Exámenes'!E716+ROW()/1000000000,""))</f>
        <v/>
      </c>
      <c r="AM716" t="str">
        <f>IF(OR('Base Exámenes'!C716="",'Base Exámenes'!G716=""),"",IF(ROW()-4=MATCH('Base Exámenes'!C716&amp;"|"&amp;_xlfn.MAXIFS('Base Exámenes'!$G$5:$G$1000,'Base Exámenes'!$C$5:$C$1000,'Base Exámenes'!C716),'Base Exámenes'!$I$5:$I$1000,0),'Base Exámenes'!G716*1000000+(-1)*'Base Exámenes'!D716,""))</f>
        <v/>
      </c>
      <c r="AQ716" t="str">
        <f>IF('Base Exámenes'!C716="","",IF(COUNTIF('Base Exámenes'!$C$5:$C$1000,'Base Exámenes'!C716)&lt;2,"",MATCH('Base Exámenes'!C716,'Base Exámenes'!$C$5:$C$1000,0)*10000+ROW()))</f>
        <v/>
      </c>
    </row>
    <row r="717">
      <c r="Z717" t="str">
        <f>IF('Detalle individual'!A717="","",IF(AND(OR('Estado por Colaborador'!$D$4="Todas las gerencias",'Detalle individual'!D717='Estado por Colaborador'!$D$4),OR('Estado por Colaborador'!$D$5="Todos los departamentos",TRIM('Detalle individual'!C717)='Estado por Colaborador'!$D$5),OR('Estado por Colaborador'!$D$6="Todos",'Detalle individual'!F717='Estado por Colaborador'!$D$6)),IF('Detalle individual'!F717="Completado",30000000,IF('Detalle individual'!F717="Pendiente",0,15000000))+COUNTIF('Detalle individual'!$C$5:$C$1000,"&lt;"&amp;'Detalle individual'!C717)*10000+ROW(),""))</f>
        <v/>
      </c>
      <c r="AB717" t="str">
        <f>IF('Detalle individual'!C717="","",IF(COUNTIF('Detalle individual'!$C$5:C717,'Detalle individual'!C717)=1,COUNTIF('Detalle individual'!$C$5:$C$1000,"&lt;"&amp;'Detalle individual'!C717),""))</f>
        <v/>
      </c>
      <c r="AC717" t="str">
        <f>IF('Detalle individual'!D717="","",IF(COUNTIF('Detalle individual'!$D$5:D717,'Detalle individual'!D717)=1,COUNTIF('Detalle individual'!$D$5:$D$1000,"&lt;"&amp;'Detalle individual'!D717),""))</f>
        <v/>
      </c>
      <c r="AH717" t="str">
        <f>IF('Detalle individual'!F717="Pendiente",COUNTIF('Detalle individual'!$D$5:$D$1000,"&lt;"&amp;'Detalle individual'!D717)*1000000+COUNTIF('Detalle individual'!$C$5:$C$1000,"&lt;"&amp;'Detalle individual'!C717)*1000+COUNTIF('Detalle individual'!$B$5:$B$1000,"&lt;"&amp;'Detalle individual'!B717)+ROW()/10000,"")</f>
        <v/>
      </c>
      <c r="AI717" t="str">
        <f>IF('Detalle individual'!F717="Completado",COUNTIF('Detalle individual'!$D$5:$D$1000,"&lt;"&amp;'Detalle individual'!D717)*1000000+COUNTIF('Detalle individual'!$C$5:$C$1000,"&lt;"&amp;'Detalle individual'!C717)*1000+COUNTIF('Detalle individual'!$B$5:$B$1000,"&lt;"&amp;'Detalle individual'!B717)+ROW()/10000,"")</f>
        <v/>
      </c>
      <c r="AJ717" t="str">
        <f>IF(AND('Detalle individual'!F717&lt;&gt;"",'Detalle individual'!F717&lt;&gt;"Completado",'Detalle individual'!F717&lt;&gt;"Pendiente"),COUNTIF('Detalle individual'!$D$5:$D$1000,"&lt;"&amp;'Detalle individual'!D717)*1000000+COUNTIF('Detalle individual'!$C$5:$C$1000,"&lt;"&amp;'Detalle individual'!C717)*1000+COUNTIF('Detalle individual'!$B$5:$B$1000,"&lt;"&amp;'Detalle individual'!B717)+ROW()/10000,"")</f>
        <v/>
      </c>
      <c r="AK717" t="str">
        <f>IF(OR('Base Exámenes'!C717="",'Base Exámenes'!D717=""),"",IF(COUNTIF('Base Exámenes'!$C$5:C717,'Base Exámenes'!C717)=1,'Base Exámenes'!D717+ROW()/1000000000,""))</f>
        <v/>
      </c>
      <c r="AL717" t="str">
        <f>IF(OR('Base Exámenes'!C717="",'Base Exámenes'!E717=""),"",IF(COUNTIF('Base Exámenes'!$C$5:C717,'Base Exámenes'!C717)=1,'Base Exámenes'!E717+ROW()/1000000000,""))</f>
        <v/>
      </c>
      <c r="AM717" t="str">
        <f>IF(OR('Base Exámenes'!C717="",'Base Exámenes'!G717=""),"",IF(ROW()-4=MATCH('Base Exámenes'!C717&amp;"|"&amp;_xlfn.MAXIFS('Base Exámenes'!$G$5:$G$1000,'Base Exámenes'!$C$5:$C$1000,'Base Exámenes'!C717),'Base Exámenes'!$I$5:$I$1000,0),'Base Exámenes'!G717*1000000+(-1)*'Base Exámenes'!D717,""))</f>
        <v/>
      </c>
      <c r="AQ717" t="str">
        <f>IF('Base Exámenes'!C717="","",IF(COUNTIF('Base Exámenes'!$C$5:$C$1000,'Base Exámenes'!C717)&lt;2,"",MATCH('Base Exámenes'!C717,'Base Exámenes'!$C$5:$C$1000,0)*10000+ROW()))</f>
        <v/>
      </c>
    </row>
    <row r="718">
      <c r="Z718" t="str">
        <f>IF('Detalle individual'!A718="","",IF(AND(OR('Estado por Colaborador'!$D$4="Todas las gerencias",'Detalle individual'!D718='Estado por Colaborador'!$D$4),OR('Estado por Colaborador'!$D$5="Todos los departamentos",TRIM('Detalle individual'!C718)='Estado por Colaborador'!$D$5),OR('Estado por Colaborador'!$D$6="Todos",'Detalle individual'!F718='Estado por Colaborador'!$D$6)),IF('Detalle individual'!F718="Completado",30000000,IF('Detalle individual'!F718="Pendiente",0,15000000))+COUNTIF('Detalle individual'!$C$5:$C$1000,"&lt;"&amp;'Detalle individual'!C718)*10000+ROW(),""))</f>
        <v/>
      </c>
      <c r="AB718" t="str">
        <f>IF('Detalle individual'!C718="","",IF(COUNTIF('Detalle individual'!$C$5:C718,'Detalle individual'!C718)=1,COUNTIF('Detalle individual'!$C$5:$C$1000,"&lt;"&amp;'Detalle individual'!C718),""))</f>
        <v/>
      </c>
      <c r="AC718" t="str">
        <f>IF('Detalle individual'!D718="","",IF(COUNTIF('Detalle individual'!$D$5:D718,'Detalle individual'!D718)=1,COUNTIF('Detalle individual'!$D$5:$D$1000,"&lt;"&amp;'Detalle individual'!D718),""))</f>
        <v/>
      </c>
      <c r="AH718" t="str">
        <f>IF('Detalle individual'!F718="Pendiente",COUNTIF('Detalle individual'!$D$5:$D$1000,"&lt;"&amp;'Detalle individual'!D718)*1000000+COUNTIF('Detalle individual'!$C$5:$C$1000,"&lt;"&amp;'Detalle individual'!C718)*1000+COUNTIF('Detalle individual'!$B$5:$B$1000,"&lt;"&amp;'Detalle individual'!B718)+ROW()/10000,"")</f>
        <v/>
      </c>
      <c r="AI718" t="str">
        <f>IF('Detalle individual'!F718="Completado",COUNTIF('Detalle individual'!$D$5:$D$1000,"&lt;"&amp;'Detalle individual'!D718)*1000000+COUNTIF('Detalle individual'!$C$5:$C$1000,"&lt;"&amp;'Detalle individual'!C718)*1000+COUNTIF('Detalle individual'!$B$5:$B$1000,"&lt;"&amp;'Detalle individual'!B718)+ROW()/10000,"")</f>
        <v/>
      </c>
      <c r="AJ718" t="str">
        <f>IF(AND('Detalle individual'!F718&lt;&gt;"",'Detalle individual'!F718&lt;&gt;"Completado",'Detalle individual'!F718&lt;&gt;"Pendiente"),COUNTIF('Detalle individual'!$D$5:$D$1000,"&lt;"&amp;'Detalle individual'!D718)*1000000+COUNTIF('Detalle individual'!$C$5:$C$1000,"&lt;"&amp;'Detalle individual'!C718)*1000+COUNTIF('Detalle individual'!$B$5:$B$1000,"&lt;"&amp;'Detalle individual'!B718)+ROW()/10000,"")</f>
        <v/>
      </c>
      <c r="AK718" t="str">
        <f>IF(OR('Base Exámenes'!C718="",'Base Exámenes'!D718=""),"",IF(COUNTIF('Base Exámenes'!$C$5:C718,'Base Exámenes'!C718)=1,'Base Exámenes'!D718+ROW()/1000000000,""))</f>
        <v/>
      </c>
      <c r="AL718" t="str">
        <f>IF(OR('Base Exámenes'!C718="",'Base Exámenes'!E718=""),"",IF(COUNTIF('Base Exámenes'!$C$5:C718,'Base Exámenes'!C718)=1,'Base Exámenes'!E718+ROW()/1000000000,""))</f>
        <v/>
      </c>
      <c r="AM718" t="str">
        <f>IF(OR('Base Exámenes'!C718="",'Base Exámenes'!G718=""),"",IF(ROW()-4=MATCH('Base Exámenes'!C718&amp;"|"&amp;_xlfn.MAXIFS('Base Exámenes'!$G$5:$G$1000,'Base Exámenes'!$C$5:$C$1000,'Base Exámenes'!C718),'Base Exámenes'!$I$5:$I$1000,0),'Base Exámenes'!G718*1000000+(-1)*'Base Exámenes'!D718,""))</f>
        <v/>
      </c>
      <c r="AQ718" t="str">
        <f>IF('Base Exámenes'!C718="","",IF(COUNTIF('Base Exámenes'!$C$5:$C$1000,'Base Exámenes'!C718)&lt;2,"",MATCH('Base Exámenes'!C718,'Base Exámenes'!$C$5:$C$1000,0)*10000+ROW()))</f>
        <v/>
      </c>
    </row>
    <row r="719">
      <c r="Z719" t="str">
        <f>IF('Detalle individual'!A719="","",IF(AND(OR('Estado por Colaborador'!$D$4="Todas las gerencias",'Detalle individual'!D719='Estado por Colaborador'!$D$4),OR('Estado por Colaborador'!$D$5="Todos los departamentos",TRIM('Detalle individual'!C719)='Estado por Colaborador'!$D$5),OR('Estado por Colaborador'!$D$6="Todos",'Detalle individual'!F719='Estado por Colaborador'!$D$6)),IF('Detalle individual'!F719="Completado",30000000,IF('Detalle individual'!F719="Pendiente",0,15000000))+COUNTIF('Detalle individual'!$C$5:$C$1000,"&lt;"&amp;'Detalle individual'!C719)*10000+ROW(),""))</f>
        <v/>
      </c>
      <c r="AB719" t="str">
        <f>IF('Detalle individual'!C719="","",IF(COUNTIF('Detalle individual'!$C$5:C719,'Detalle individual'!C719)=1,COUNTIF('Detalle individual'!$C$5:$C$1000,"&lt;"&amp;'Detalle individual'!C719),""))</f>
        <v/>
      </c>
      <c r="AC719" t="str">
        <f>IF('Detalle individual'!D719="","",IF(COUNTIF('Detalle individual'!$D$5:D719,'Detalle individual'!D719)=1,COUNTIF('Detalle individual'!$D$5:$D$1000,"&lt;"&amp;'Detalle individual'!D719),""))</f>
        <v/>
      </c>
      <c r="AH719" t="str">
        <f>IF('Detalle individual'!F719="Pendiente",COUNTIF('Detalle individual'!$D$5:$D$1000,"&lt;"&amp;'Detalle individual'!D719)*1000000+COUNTIF('Detalle individual'!$C$5:$C$1000,"&lt;"&amp;'Detalle individual'!C719)*1000+COUNTIF('Detalle individual'!$B$5:$B$1000,"&lt;"&amp;'Detalle individual'!B719)+ROW()/10000,"")</f>
        <v/>
      </c>
      <c r="AI719" t="str">
        <f>IF('Detalle individual'!F719="Completado",COUNTIF('Detalle individual'!$D$5:$D$1000,"&lt;"&amp;'Detalle individual'!D719)*1000000+COUNTIF('Detalle individual'!$C$5:$C$1000,"&lt;"&amp;'Detalle individual'!C719)*1000+COUNTIF('Detalle individual'!$B$5:$B$1000,"&lt;"&amp;'Detalle individual'!B719)+ROW()/10000,"")</f>
        <v/>
      </c>
      <c r="AJ719" t="str">
        <f>IF(AND('Detalle individual'!F719&lt;&gt;"",'Detalle individual'!F719&lt;&gt;"Completado",'Detalle individual'!F719&lt;&gt;"Pendiente"),COUNTIF('Detalle individual'!$D$5:$D$1000,"&lt;"&amp;'Detalle individual'!D719)*1000000+COUNTIF('Detalle individual'!$C$5:$C$1000,"&lt;"&amp;'Detalle individual'!C719)*1000+COUNTIF('Detalle individual'!$B$5:$B$1000,"&lt;"&amp;'Detalle individual'!B719)+ROW()/10000,"")</f>
        <v/>
      </c>
      <c r="AK719" t="str">
        <f>IF(OR('Base Exámenes'!C719="",'Base Exámenes'!D719=""),"",IF(COUNTIF('Base Exámenes'!$C$5:C719,'Base Exámenes'!C719)=1,'Base Exámenes'!D719+ROW()/1000000000,""))</f>
        <v/>
      </c>
      <c r="AL719" t="str">
        <f>IF(OR('Base Exámenes'!C719="",'Base Exámenes'!E719=""),"",IF(COUNTIF('Base Exámenes'!$C$5:C719,'Base Exámenes'!C719)=1,'Base Exámenes'!E719+ROW()/1000000000,""))</f>
        <v/>
      </c>
      <c r="AM719" t="str">
        <f>IF(OR('Base Exámenes'!C719="",'Base Exámenes'!G719=""),"",IF(ROW()-4=MATCH('Base Exámenes'!C719&amp;"|"&amp;_xlfn.MAXIFS('Base Exámenes'!$G$5:$G$1000,'Base Exámenes'!$C$5:$C$1000,'Base Exámenes'!C719),'Base Exámenes'!$I$5:$I$1000,0),'Base Exámenes'!G719*1000000+(-1)*'Base Exámenes'!D719,""))</f>
        <v/>
      </c>
      <c r="AQ719" t="str">
        <f>IF('Base Exámenes'!C719="","",IF(COUNTIF('Base Exámenes'!$C$5:$C$1000,'Base Exámenes'!C719)&lt;2,"",MATCH('Base Exámenes'!C719,'Base Exámenes'!$C$5:$C$1000,0)*10000+ROW()))</f>
        <v/>
      </c>
    </row>
    <row r="720">
      <c r="Z720" t="str">
        <f>IF('Detalle individual'!A720="","",IF(AND(OR('Estado por Colaborador'!$D$4="Todas las gerencias",'Detalle individual'!D720='Estado por Colaborador'!$D$4),OR('Estado por Colaborador'!$D$5="Todos los departamentos",TRIM('Detalle individual'!C720)='Estado por Colaborador'!$D$5),OR('Estado por Colaborador'!$D$6="Todos",'Detalle individual'!F720='Estado por Colaborador'!$D$6)),IF('Detalle individual'!F720="Completado",30000000,IF('Detalle individual'!F720="Pendiente",0,15000000))+COUNTIF('Detalle individual'!$C$5:$C$1000,"&lt;"&amp;'Detalle individual'!C720)*10000+ROW(),""))</f>
        <v/>
      </c>
      <c r="AB720" t="str">
        <f>IF('Detalle individual'!C720="","",IF(COUNTIF('Detalle individual'!$C$5:C720,'Detalle individual'!C720)=1,COUNTIF('Detalle individual'!$C$5:$C$1000,"&lt;"&amp;'Detalle individual'!C720),""))</f>
        <v/>
      </c>
      <c r="AC720" t="str">
        <f>IF('Detalle individual'!D720="","",IF(COUNTIF('Detalle individual'!$D$5:D720,'Detalle individual'!D720)=1,COUNTIF('Detalle individual'!$D$5:$D$1000,"&lt;"&amp;'Detalle individual'!D720),""))</f>
        <v/>
      </c>
      <c r="AH720" t="str">
        <f>IF('Detalle individual'!F720="Pendiente",COUNTIF('Detalle individual'!$D$5:$D$1000,"&lt;"&amp;'Detalle individual'!D720)*1000000+COUNTIF('Detalle individual'!$C$5:$C$1000,"&lt;"&amp;'Detalle individual'!C720)*1000+COUNTIF('Detalle individual'!$B$5:$B$1000,"&lt;"&amp;'Detalle individual'!B720)+ROW()/10000,"")</f>
        <v/>
      </c>
      <c r="AI720" t="str">
        <f>IF('Detalle individual'!F720="Completado",COUNTIF('Detalle individual'!$D$5:$D$1000,"&lt;"&amp;'Detalle individual'!D720)*1000000+COUNTIF('Detalle individual'!$C$5:$C$1000,"&lt;"&amp;'Detalle individual'!C720)*1000+COUNTIF('Detalle individual'!$B$5:$B$1000,"&lt;"&amp;'Detalle individual'!B720)+ROW()/10000,"")</f>
        <v/>
      </c>
      <c r="AJ720" t="str">
        <f>IF(AND('Detalle individual'!F720&lt;&gt;"",'Detalle individual'!F720&lt;&gt;"Completado",'Detalle individual'!F720&lt;&gt;"Pendiente"),COUNTIF('Detalle individual'!$D$5:$D$1000,"&lt;"&amp;'Detalle individual'!D720)*1000000+COUNTIF('Detalle individual'!$C$5:$C$1000,"&lt;"&amp;'Detalle individual'!C720)*1000+COUNTIF('Detalle individual'!$B$5:$B$1000,"&lt;"&amp;'Detalle individual'!B720)+ROW()/10000,"")</f>
        <v/>
      </c>
      <c r="AK720" t="str">
        <f>IF(OR('Base Exámenes'!C720="",'Base Exámenes'!D720=""),"",IF(COUNTIF('Base Exámenes'!$C$5:C720,'Base Exámenes'!C720)=1,'Base Exámenes'!D720+ROW()/1000000000,""))</f>
        <v/>
      </c>
      <c r="AL720" t="str">
        <f>IF(OR('Base Exámenes'!C720="",'Base Exámenes'!E720=""),"",IF(COUNTIF('Base Exámenes'!$C$5:C720,'Base Exámenes'!C720)=1,'Base Exámenes'!E720+ROW()/1000000000,""))</f>
        <v/>
      </c>
      <c r="AM720" t="str">
        <f>IF(OR('Base Exámenes'!C720="",'Base Exámenes'!G720=""),"",IF(ROW()-4=MATCH('Base Exámenes'!C720&amp;"|"&amp;_xlfn.MAXIFS('Base Exámenes'!$G$5:$G$1000,'Base Exámenes'!$C$5:$C$1000,'Base Exámenes'!C720),'Base Exámenes'!$I$5:$I$1000,0),'Base Exámenes'!G720*1000000+(-1)*'Base Exámenes'!D720,""))</f>
        <v/>
      </c>
      <c r="AQ720" t="str">
        <f>IF('Base Exámenes'!C720="","",IF(COUNTIF('Base Exámenes'!$C$5:$C$1000,'Base Exámenes'!C720)&lt;2,"",MATCH('Base Exámenes'!C720,'Base Exámenes'!$C$5:$C$1000,0)*10000+ROW()))</f>
        <v/>
      </c>
    </row>
    <row r="721">
      <c r="Z721" t="str">
        <f>IF('Detalle individual'!A721="","",IF(AND(OR('Estado por Colaborador'!$D$4="Todas las gerencias",'Detalle individual'!D721='Estado por Colaborador'!$D$4),OR('Estado por Colaborador'!$D$5="Todos los departamentos",TRIM('Detalle individual'!C721)='Estado por Colaborador'!$D$5),OR('Estado por Colaborador'!$D$6="Todos",'Detalle individual'!F721='Estado por Colaborador'!$D$6)),IF('Detalle individual'!F721="Completado",30000000,IF('Detalle individual'!F721="Pendiente",0,15000000))+COUNTIF('Detalle individual'!$C$5:$C$1000,"&lt;"&amp;'Detalle individual'!C721)*10000+ROW(),""))</f>
        <v/>
      </c>
      <c r="AB721" t="str">
        <f>IF('Detalle individual'!C721="","",IF(COUNTIF('Detalle individual'!$C$5:C721,'Detalle individual'!C721)=1,COUNTIF('Detalle individual'!$C$5:$C$1000,"&lt;"&amp;'Detalle individual'!C721),""))</f>
        <v/>
      </c>
      <c r="AC721" t="str">
        <f>IF('Detalle individual'!D721="","",IF(COUNTIF('Detalle individual'!$D$5:D721,'Detalle individual'!D721)=1,COUNTIF('Detalle individual'!$D$5:$D$1000,"&lt;"&amp;'Detalle individual'!D721),""))</f>
        <v/>
      </c>
      <c r="AH721" t="str">
        <f>IF('Detalle individual'!F721="Pendiente",COUNTIF('Detalle individual'!$D$5:$D$1000,"&lt;"&amp;'Detalle individual'!D721)*1000000+COUNTIF('Detalle individual'!$C$5:$C$1000,"&lt;"&amp;'Detalle individual'!C721)*1000+COUNTIF('Detalle individual'!$B$5:$B$1000,"&lt;"&amp;'Detalle individual'!B721)+ROW()/10000,"")</f>
        <v/>
      </c>
      <c r="AI721" t="str">
        <f>IF('Detalle individual'!F721="Completado",COUNTIF('Detalle individual'!$D$5:$D$1000,"&lt;"&amp;'Detalle individual'!D721)*1000000+COUNTIF('Detalle individual'!$C$5:$C$1000,"&lt;"&amp;'Detalle individual'!C721)*1000+COUNTIF('Detalle individual'!$B$5:$B$1000,"&lt;"&amp;'Detalle individual'!B721)+ROW()/10000,"")</f>
        <v/>
      </c>
      <c r="AJ721" t="str">
        <f>IF(AND('Detalle individual'!F721&lt;&gt;"",'Detalle individual'!F721&lt;&gt;"Completado",'Detalle individual'!F721&lt;&gt;"Pendiente"),COUNTIF('Detalle individual'!$D$5:$D$1000,"&lt;"&amp;'Detalle individual'!D721)*1000000+COUNTIF('Detalle individual'!$C$5:$C$1000,"&lt;"&amp;'Detalle individual'!C721)*1000+COUNTIF('Detalle individual'!$B$5:$B$1000,"&lt;"&amp;'Detalle individual'!B721)+ROW()/10000,"")</f>
        <v/>
      </c>
      <c r="AK721" t="str">
        <f>IF(OR('Base Exámenes'!C721="",'Base Exámenes'!D721=""),"",IF(COUNTIF('Base Exámenes'!$C$5:C721,'Base Exámenes'!C721)=1,'Base Exámenes'!D721+ROW()/1000000000,""))</f>
        <v/>
      </c>
      <c r="AL721" t="str">
        <f>IF(OR('Base Exámenes'!C721="",'Base Exámenes'!E721=""),"",IF(COUNTIF('Base Exámenes'!$C$5:C721,'Base Exámenes'!C721)=1,'Base Exámenes'!E721+ROW()/1000000000,""))</f>
        <v/>
      </c>
      <c r="AM721" t="str">
        <f>IF(OR('Base Exámenes'!C721="",'Base Exámenes'!G721=""),"",IF(ROW()-4=MATCH('Base Exámenes'!C721&amp;"|"&amp;_xlfn.MAXIFS('Base Exámenes'!$G$5:$G$1000,'Base Exámenes'!$C$5:$C$1000,'Base Exámenes'!C721),'Base Exámenes'!$I$5:$I$1000,0),'Base Exámenes'!G721*1000000+(-1)*'Base Exámenes'!D721,""))</f>
        <v/>
      </c>
      <c r="AQ721" t="str">
        <f>IF('Base Exámenes'!C721="","",IF(COUNTIF('Base Exámenes'!$C$5:$C$1000,'Base Exámenes'!C721)&lt;2,"",MATCH('Base Exámenes'!C721,'Base Exámenes'!$C$5:$C$1000,0)*10000+ROW()))</f>
        <v/>
      </c>
    </row>
    <row r="722">
      <c r="Z722" t="str">
        <f>IF('Detalle individual'!A722="","",IF(AND(OR('Estado por Colaborador'!$D$4="Todas las gerencias",'Detalle individual'!D722='Estado por Colaborador'!$D$4),OR('Estado por Colaborador'!$D$5="Todos los departamentos",TRIM('Detalle individual'!C722)='Estado por Colaborador'!$D$5),OR('Estado por Colaborador'!$D$6="Todos",'Detalle individual'!F722='Estado por Colaborador'!$D$6)),IF('Detalle individual'!F722="Completado",30000000,IF('Detalle individual'!F722="Pendiente",0,15000000))+COUNTIF('Detalle individual'!$C$5:$C$1000,"&lt;"&amp;'Detalle individual'!C722)*10000+ROW(),""))</f>
        <v/>
      </c>
      <c r="AB722" t="str">
        <f>IF('Detalle individual'!C722="","",IF(COUNTIF('Detalle individual'!$C$5:C722,'Detalle individual'!C722)=1,COUNTIF('Detalle individual'!$C$5:$C$1000,"&lt;"&amp;'Detalle individual'!C722),""))</f>
        <v/>
      </c>
      <c r="AC722" t="str">
        <f>IF('Detalle individual'!D722="","",IF(COUNTIF('Detalle individual'!$D$5:D722,'Detalle individual'!D722)=1,COUNTIF('Detalle individual'!$D$5:$D$1000,"&lt;"&amp;'Detalle individual'!D722),""))</f>
        <v/>
      </c>
      <c r="AH722" t="str">
        <f>IF('Detalle individual'!F722="Pendiente",COUNTIF('Detalle individual'!$D$5:$D$1000,"&lt;"&amp;'Detalle individual'!D722)*1000000+COUNTIF('Detalle individual'!$C$5:$C$1000,"&lt;"&amp;'Detalle individual'!C722)*1000+COUNTIF('Detalle individual'!$B$5:$B$1000,"&lt;"&amp;'Detalle individual'!B722)+ROW()/10000,"")</f>
        <v/>
      </c>
      <c r="AI722" t="str">
        <f>IF('Detalle individual'!F722="Completado",COUNTIF('Detalle individual'!$D$5:$D$1000,"&lt;"&amp;'Detalle individual'!D722)*1000000+COUNTIF('Detalle individual'!$C$5:$C$1000,"&lt;"&amp;'Detalle individual'!C722)*1000+COUNTIF('Detalle individual'!$B$5:$B$1000,"&lt;"&amp;'Detalle individual'!B722)+ROW()/10000,"")</f>
        <v/>
      </c>
      <c r="AJ722" t="str">
        <f>IF(AND('Detalle individual'!F722&lt;&gt;"",'Detalle individual'!F722&lt;&gt;"Completado",'Detalle individual'!F722&lt;&gt;"Pendiente"),COUNTIF('Detalle individual'!$D$5:$D$1000,"&lt;"&amp;'Detalle individual'!D722)*1000000+COUNTIF('Detalle individual'!$C$5:$C$1000,"&lt;"&amp;'Detalle individual'!C722)*1000+COUNTIF('Detalle individual'!$B$5:$B$1000,"&lt;"&amp;'Detalle individual'!B722)+ROW()/10000,"")</f>
        <v/>
      </c>
      <c r="AK722" t="str">
        <f>IF(OR('Base Exámenes'!C722="",'Base Exámenes'!D722=""),"",IF(COUNTIF('Base Exámenes'!$C$5:C722,'Base Exámenes'!C722)=1,'Base Exámenes'!D722+ROW()/1000000000,""))</f>
        <v/>
      </c>
      <c r="AL722" t="str">
        <f>IF(OR('Base Exámenes'!C722="",'Base Exámenes'!E722=""),"",IF(COUNTIF('Base Exámenes'!$C$5:C722,'Base Exámenes'!C722)=1,'Base Exámenes'!E722+ROW()/1000000000,""))</f>
        <v/>
      </c>
      <c r="AM722" t="str">
        <f>IF(OR('Base Exámenes'!C722="",'Base Exámenes'!G722=""),"",IF(ROW()-4=MATCH('Base Exámenes'!C722&amp;"|"&amp;_xlfn.MAXIFS('Base Exámenes'!$G$5:$G$1000,'Base Exámenes'!$C$5:$C$1000,'Base Exámenes'!C722),'Base Exámenes'!$I$5:$I$1000,0),'Base Exámenes'!G722*1000000+(-1)*'Base Exámenes'!D722,""))</f>
        <v/>
      </c>
      <c r="AQ722" t="str">
        <f>IF('Base Exámenes'!C722="","",IF(COUNTIF('Base Exámenes'!$C$5:$C$1000,'Base Exámenes'!C722)&lt;2,"",MATCH('Base Exámenes'!C722,'Base Exámenes'!$C$5:$C$1000,0)*10000+ROW()))</f>
        <v/>
      </c>
    </row>
    <row r="723">
      <c r="Z723" t="str">
        <f>IF('Detalle individual'!A723="","",IF(AND(OR('Estado por Colaborador'!$D$4="Todas las gerencias",'Detalle individual'!D723='Estado por Colaborador'!$D$4),OR('Estado por Colaborador'!$D$5="Todos los departamentos",TRIM('Detalle individual'!C723)='Estado por Colaborador'!$D$5),OR('Estado por Colaborador'!$D$6="Todos",'Detalle individual'!F723='Estado por Colaborador'!$D$6)),IF('Detalle individual'!F723="Completado",30000000,IF('Detalle individual'!F723="Pendiente",0,15000000))+COUNTIF('Detalle individual'!$C$5:$C$1000,"&lt;"&amp;'Detalle individual'!C723)*10000+ROW(),""))</f>
        <v/>
      </c>
      <c r="AB723" t="str">
        <f>IF('Detalle individual'!C723="","",IF(COUNTIF('Detalle individual'!$C$5:C723,'Detalle individual'!C723)=1,COUNTIF('Detalle individual'!$C$5:$C$1000,"&lt;"&amp;'Detalle individual'!C723),""))</f>
        <v/>
      </c>
      <c r="AC723" t="str">
        <f>IF('Detalle individual'!D723="","",IF(COUNTIF('Detalle individual'!$D$5:D723,'Detalle individual'!D723)=1,COUNTIF('Detalle individual'!$D$5:$D$1000,"&lt;"&amp;'Detalle individual'!D723),""))</f>
        <v/>
      </c>
      <c r="AH723" t="str">
        <f>IF('Detalle individual'!F723="Pendiente",COUNTIF('Detalle individual'!$D$5:$D$1000,"&lt;"&amp;'Detalle individual'!D723)*1000000+COUNTIF('Detalle individual'!$C$5:$C$1000,"&lt;"&amp;'Detalle individual'!C723)*1000+COUNTIF('Detalle individual'!$B$5:$B$1000,"&lt;"&amp;'Detalle individual'!B723)+ROW()/10000,"")</f>
        <v/>
      </c>
      <c r="AI723" t="str">
        <f>IF('Detalle individual'!F723="Completado",COUNTIF('Detalle individual'!$D$5:$D$1000,"&lt;"&amp;'Detalle individual'!D723)*1000000+COUNTIF('Detalle individual'!$C$5:$C$1000,"&lt;"&amp;'Detalle individual'!C723)*1000+COUNTIF('Detalle individual'!$B$5:$B$1000,"&lt;"&amp;'Detalle individual'!B723)+ROW()/10000,"")</f>
        <v/>
      </c>
      <c r="AJ723" t="str">
        <f>IF(AND('Detalle individual'!F723&lt;&gt;"",'Detalle individual'!F723&lt;&gt;"Completado",'Detalle individual'!F723&lt;&gt;"Pendiente"),COUNTIF('Detalle individual'!$D$5:$D$1000,"&lt;"&amp;'Detalle individual'!D723)*1000000+COUNTIF('Detalle individual'!$C$5:$C$1000,"&lt;"&amp;'Detalle individual'!C723)*1000+COUNTIF('Detalle individual'!$B$5:$B$1000,"&lt;"&amp;'Detalle individual'!B723)+ROW()/10000,"")</f>
        <v/>
      </c>
      <c r="AK723" t="str">
        <f>IF(OR('Base Exámenes'!C723="",'Base Exámenes'!D723=""),"",IF(COUNTIF('Base Exámenes'!$C$5:C723,'Base Exámenes'!C723)=1,'Base Exámenes'!D723+ROW()/1000000000,""))</f>
        <v/>
      </c>
      <c r="AL723" t="str">
        <f>IF(OR('Base Exámenes'!C723="",'Base Exámenes'!E723=""),"",IF(COUNTIF('Base Exámenes'!$C$5:C723,'Base Exámenes'!C723)=1,'Base Exámenes'!E723+ROW()/1000000000,""))</f>
        <v/>
      </c>
      <c r="AM723" t="str">
        <f>IF(OR('Base Exámenes'!C723="",'Base Exámenes'!G723=""),"",IF(ROW()-4=MATCH('Base Exámenes'!C723&amp;"|"&amp;_xlfn.MAXIFS('Base Exámenes'!$G$5:$G$1000,'Base Exámenes'!$C$5:$C$1000,'Base Exámenes'!C723),'Base Exámenes'!$I$5:$I$1000,0),'Base Exámenes'!G723*1000000+(-1)*'Base Exámenes'!D723,""))</f>
        <v/>
      </c>
      <c r="AQ723" t="str">
        <f>IF('Base Exámenes'!C723="","",IF(COUNTIF('Base Exámenes'!$C$5:$C$1000,'Base Exámenes'!C723)&lt;2,"",MATCH('Base Exámenes'!C723,'Base Exámenes'!$C$5:$C$1000,0)*10000+ROW()))</f>
        <v/>
      </c>
    </row>
    <row r="724">
      <c r="Z724" t="str">
        <f>IF('Detalle individual'!A724="","",IF(AND(OR('Estado por Colaborador'!$D$4="Todas las gerencias",'Detalle individual'!D724='Estado por Colaborador'!$D$4),OR('Estado por Colaborador'!$D$5="Todos los departamentos",TRIM('Detalle individual'!C724)='Estado por Colaborador'!$D$5),OR('Estado por Colaborador'!$D$6="Todos",'Detalle individual'!F724='Estado por Colaborador'!$D$6)),IF('Detalle individual'!F724="Completado",30000000,IF('Detalle individual'!F724="Pendiente",0,15000000))+COUNTIF('Detalle individual'!$C$5:$C$1000,"&lt;"&amp;'Detalle individual'!C724)*10000+ROW(),""))</f>
        <v/>
      </c>
      <c r="AB724" t="str">
        <f>IF('Detalle individual'!C724="","",IF(COUNTIF('Detalle individual'!$C$5:C724,'Detalle individual'!C724)=1,COUNTIF('Detalle individual'!$C$5:$C$1000,"&lt;"&amp;'Detalle individual'!C724),""))</f>
        <v/>
      </c>
      <c r="AC724" t="str">
        <f>IF('Detalle individual'!D724="","",IF(COUNTIF('Detalle individual'!$D$5:D724,'Detalle individual'!D724)=1,COUNTIF('Detalle individual'!$D$5:$D$1000,"&lt;"&amp;'Detalle individual'!D724),""))</f>
        <v/>
      </c>
      <c r="AH724" t="str">
        <f>IF('Detalle individual'!F724="Pendiente",COUNTIF('Detalle individual'!$D$5:$D$1000,"&lt;"&amp;'Detalle individual'!D724)*1000000+COUNTIF('Detalle individual'!$C$5:$C$1000,"&lt;"&amp;'Detalle individual'!C724)*1000+COUNTIF('Detalle individual'!$B$5:$B$1000,"&lt;"&amp;'Detalle individual'!B724)+ROW()/10000,"")</f>
        <v/>
      </c>
      <c r="AI724" t="str">
        <f>IF('Detalle individual'!F724="Completado",COUNTIF('Detalle individual'!$D$5:$D$1000,"&lt;"&amp;'Detalle individual'!D724)*1000000+COUNTIF('Detalle individual'!$C$5:$C$1000,"&lt;"&amp;'Detalle individual'!C724)*1000+COUNTIF('Detalle individual'!$B$5:$B$1000,"&lt;"&amp;'Detalle individual'!B724)+ROW()/10000,"")</f>
        <v/>
      </c>
      <c r="AJ724" t="str">
        <f>IF(AND('Detalle individual'!F724&lt;&gt;"",'Detalle individual'!F724&lt;&gt;"Completado",'Detalle individual'!F724&lt;&gt;"Pendiente"),COUNTIF('Detalle individual'!$D$5:$D$1000,"&lt;"&amp;'Detalle individual'!D724)*1000000+COUNTIF('Detalle individual'!$C$5:$C$1000,"&lt;"&amp;'Detalle individual'!C724)*1000+COUNTIF('Detalle individual'!$B$5:$B$1000,"&lt;"&amp;'Detalle individual'!B724)+ROW()/10000,"")</f>
        <v/>
      </c>
      <c r="AK724" t="str">
        <f>IF(OR('Base Exámenes'!C724="",'Base Exámenes'!D724=""),"",IF(COUNTIF('Base Exámenes'!$C$5:C724,'Base Exámenes'!C724)=1,'Base Exámenes'!D724+ROW()/1000000000,""))</f>
        <v/>
      </c>
      <c r="AL724" t="str">
        <f>IF(OR('Base Exámenes'!C724="",'Base Exámenes'!E724=""),"",IF(COUNTIF('Base Exámenes'!$C$5:C724,'Base Exámenes'!C724)=1,'Base Exámenes'!E724+ROW()/1000000000,""))</f>
        <v/>
      </c>
      <c r="AM724" t="str">
        <f>IF(OR('Base Exámenes'!C724="",'Base Exámenes'!G724=""),"",IF(ROW()-4=MATCH('Base Exámenes'!C724&amp;"|"&amp;_xlfn.MAXIFS('Base Exámenes'!$G$5:$G$1000,'Base Exámenes'!$C$5:$C$1000,'Base Exámenes'!C724),'Base Exámenes'!$I$5:$I$1000,0),'Base Exámenes'!G724*1000000+(-1)*'Base Exámenes'!D724,""))</f>
        <v/>
      </c>
      <c r="AQ724" t="str">
        <f>IF('Base Exámenes'!C724="","",IF(COUNTIF('Base Exámenes'!$C$5:$C$1000,'Base Exámenes'!C724)&lt;2,"",MATCH('Base Exámenes'!C724,'Base Exámenes'!$C$5:$C$1000,0)*10000+ROW()))</f>
        <v/>
      </c>
    </row>
    <row r="725">
      <c r="Z725" t="str">
        <f>IF('Detalle individual'!A725="","",IF(AND(OR('Estado por Colaborador'!$D$4="Todas las gerencias",'Detalle individual'!D725='Estado por Colaborador'!$D$4),OR('Estado por Colaborador'!$D$5="Todos los departamentos",TRIM('Detalle individual'!C725)='Estado por Colaborador'!$D$5),OR('Estado por Colaborador'!$D$6="Todos",'Detalle individual'!F725='Estado por Colaborador'!$D$6)),IF('Detalle individual'!F725="Completado",30000000,IF('Detalle individual'!F725="Pendiente",0,15000000))+COUNTIF('Detalle individual'!$C$5:$C$1000,"&lt;"&amp;'Detalle individual'!C725)*10000+ROW(),""))</f>
        <v/>
      </c>
      <c r="AB725" t="str">
        <f>IF('Detalle individual'!C725="","",IF(COUNTIF('Detalle individual'!$C$5:C725,'Detalle individual'!C725)=1,COUNTIF('Detalle individual'!$C$5:$C$1000,"&lt;"&amp;'Detalle individual'!C725),""))</f>
        <v/>
      </c>
      <c r="AC725" t="str">
        <f>IF('Detalle individual'!D725="","",IF(COUNTIF('Detalle individual'!$D$5:D725,'Detalle individual'!D725)=1,COUNTIF('Detalle individual'!$D$5:$D$1000,"&lt;"&amp;'Detalle individual'!D725),""))</f>
        <v/>
      </c>
      <c r="AH725" t="str">
        <f>IF('Detalle individual'!F725="Pendiente",COUNTIF('Detalle individual'!$D$5:$D$1000,"&lt;"&amp;'Detalle individual'!D725)*1000000+COUNTIF('Detalle individual'!$C$5:$C$1000,"&lt;"&amp;'Detalle individual'!C725)*1000+COUNTIF('Detalle individual'!$B$5:$B$1000,"&lt;"&amp;'Detalle individual'!B725)+ROW()/10000,"")</f>
        <v/>
      </c>
      <c r="AI725" t="str">
        <f>IF('Detalle individual'!F725="Completado",COUNTIF('Detalle individual'!$D$5:$D$1000,"&lt;"&amp;'Detalle individual'!D725)*1000000+COUNTIF('Detalle individual'!$C$5:$C$1000,"&lt;"&amp;'Detalle individual'!C725)*1000+COUNTIF('Detalle individual'!$B$5:$B$1000,"&lt;"&amp;'Detalle individual'!B725)+ROW()/10000,"")</f>
        <v/>
      </c>
      <c r="AJ725" t="str">
        <f>IF(AND('Detalle individual'!F725&lt;&gt;"",'Detalle individual'!F725&lt;&gt;"Completado",'Detalle individual'!F725&lt;&gt;"Pendiente"),COUNTIF('Detalle individual'!$D$5:$D$1000,"&lt;"&amp;'Detalle individual'!D725)*1000000+COUNTIF('Detalle individual'!$C$5:$C$1000,"&lt;"&amp;'Detalle individual'!C725)*1000+COUNTIF('Detalle individual'!$B$5:$B$1000,"&lt;"&amp;'Detalle individual'!B725)+ROW()/10000,"")</f>
        <v/>
      </c>
      <c r="AK725" t="str">
        <f>IF(OR('Base Exámenes'!C725="",'Base Exámenes'!D725=""),"",IF(COUNTIF('Base Exámenes'!$C$5:C725,'Base Exámenes'!C725)=1,'Base Exámenes'!D725+ROW()/1000000000,""))</f>
        <v/>
      </c>
      <c r="AL725" t="str">
        <f>IF(OR('Base Exámenes'!C725="",'Base Exámenes'!E725=""),"",IF(COUNTIF('Base Exámenes'!$C$5:C725,'Base Exámenes'!C725)=1,'Base Exámenes'!E725+ROW()/1000000000,""))</f>
        <v/>
      </c>
      <c r="AM725" t="str">
        <f>IF(OR('Base Exámenes'!C725="",'Base Exámenes'!G725=""),"",IF(ROW()-4=MATCH('Base Exámenes'!C725&amp;"|"&amp;_xlfn.MAXIFS('Base Exámenes'!$G$5:$G$1000,'Base Exámenes'!$C$5:$C$1000,'Base Exámenes'!C725),'Base Exámenes'!$I$5:$I$1000,0),'Base Exámenes'!G725*1000000+(-1)*'Base Exámenes'!D725,""))</f>
        <v/>
      </c>
      <c r="AQ725" t="str">
        <f>IF('Base Exámenes'!C725="","",IF(COUNTIF('Base Exámenes'!$C$5:$C$1000,'Base Exámenes'!C725)&lt;2,"",MATCH('Base Exámenes'!C725,'Base Exámenes'!$C$5:$C$1000,0)*10000+ROW()))</f>
        <v/>
      </c>
    </row>
    <row r="726">
      <c r="Z726" t="str">
        <f>IF('Detalle individual'!A726="","",IF(AND(OR('Estado por Colaborador'!$D$4="Todas las gerencias",'Detalle individual'!D726='Estado por Colaborador'!$D$4),OR('Estado por Colaborador'!$D$5="Todos los departamentos",TRIM('Detalle individual'!C726)='Estado por Colaborador'!$D$5),OR('Estado por Colaborador'!$D$6="Todos",'Detalle individual'!F726='Estado por Colaborador'!$D$6)),IF('Detalle individual'!F726="Completado",30000000,IF('Detalle individual'!F726="Pendiente",0,15000000))+COUNTIF('Detalle individual'!$C$5:$C$1000,"&lt;"&amp;'Detalle individual'!C726)*10000+ROW(),""))</f>
        <v/>
      </c>
      <c r="AB726" t="str">
        <f>IF('Detalle individual'!C726="","",IF(COUNTIF('Detalle individual'!$C$5:C726,'Detalle individual'!C726)=1,COUNTIF('Detalle individual'!$C$5:$C$1000,"&lt;"&amp;'Detalle individual'!C726),""))</f>
        <v/>
      </c>
      <c r="AC726" t="str">
        <f>IF('Detalle individual'!D726="","",IF(COUNTIF('Detalle individual'!$D$5:D726,'Detalle individual'!D726)=1,COUNTIF('Detalle individual'!$D$5:$D$1000,"&lt;"&amp;'Detalle individual'!D726),""))</f>
        <v/>
      </c>
      <c r="AH726" t="str">
        <f>IF('Detalle individual'!F726="Pendiente",COUNTIF('Detalle individual'!$D$5:$D$1000,"&lt;"&amp;'Detalle individual'!D726)*1000000+COUNTIF('Detalle individual'!$C$5:$C$1000,"&lt;"&amp;'Detalle individual'!C726)*1000+COUNTIF('Detalle individual'!$B$5:$B$1000,"&lt;"&amp;'Detalle individual'!B726)+ROW()/10000,"")</f>
        <v/>
      </c>
      <c r="AI726" t="str">
        <f>IF('Detalle individual'!F726="Completado",COUNTIF('Detalle individual'!$D$5:$D$1000,"&lt;"&amp;'Detalle individual'!D726)*1000000+COUNTIF('Detalle individual'!$C$5:$C$1000,"&lt;"&amp;'Detalle individual'!C726)*1000+COUNTIF('Detalle individual'!$B$5:$B$1000,"&lt;"&amp;'Detalle individual'!B726)+ROW()/10000,"")</f>
        <v/>
      </c>
      <c r="AJ726" t="str">
        <f>IF(AND('Detalle individual'!F726&lt;&gt;"",'Detalle individual'!F726&lt;&gt;"Completado",'Detalle individual'!F726&lt;&gt;"Pendiente"),COUNTIF('Detalle individual'!$D$5:$D$1000,"&lt;"&amp;'Detalle individual'!D726)*1000000+COUNTIF('Detalle individual'!$C$5:$C$1000,"&lt;"&amp;'Detalle individual'!C726)*1000+COUNTIF('Detalle individual'!$B$5:$B$1000,"&lt;"&amp;'Detalle individual'!B726)+ROW()/10000,"")</f>
        <v/>
      </c>
      <c r="AK726" t="str">
        <f>IF(OR('Base Exámenes'!C726="",'Base Exámenes'!D726=""),"",IF(COUNTIF('Base Exámenes'!$C$5:C726,'Base Exámenes'!C726)=1,'Base Exámenes'!D726+ROW()/1000000000,""))</f>
        <v/>
      </c>
      <c r="AL726" t="str">
        <f>IF(OR('Base Exámenes'!C726="",'Base Exámenes'!E726=""),"",IF(COUNTIF('Base Exámenes'!$C$5:C726,'Base Exámenes'!C726)=1,'Base Exámenes'!E726+ROW()/1000000000,""))</f>
        <v/>
      </c>
      <c r="AM726" t="str">
        <f>IF(OR('Base Exámenes'!C726="",'Base Exámenes'!G726=""),"",IF(ROW()-4=MATCH('Base Exámenes'!C726&amp;"|"&amp;_xlfn.MAXIFS('Base Exámenes'!$G$5:$G$1000,'Base Exámenes'!$C$5:$C$1000,'Base Exámenes'!C726),'Base Exámenes'!$I$5:$I$1000,0),'Base Exámenes'!G726*1000000+(-1)*'Base Exámenes'!D726,""))</f>
        <v/>
      </c>
      <c r="AQ726" t="str">
        <f>IF('Base Exámenes'!C726="","",IF(COUNTIF('Base Exámenes'!$C$5:$C$1000,'Base Exámenes'!C726)&lt;2,"",MATCH('Base Exámenes'!C726,'Base Exámenes'!$C$5:$C$1000,0)*10000+ROW()))</f>
        <v/>
      </c>
    </row>
    <row r="727">
      <c r="Z727" t="str">
        <f>IF('Detalle individual'!A727="","",IF(AND(OR('Estado por Colaborador'!$D$4="Todas las gerencias",'Detalle individual'!D727='Estado por Colaborador'!$D$4),OR('Estado por Colaborador'!$D$5="Todos los departamentos",TRIM('Detalle individual'!C727)='Estado por Colaborador'!$D$5),OR('Estado por Colaborador'!$D$6="Todos",'Detalle individual'!F727='Estado por Colaborador'!$D$6)),IF('Detalle individual'!F727="Completado",30000000,IF('Detalle individual'!F727="Pendiente",0,15000000))+COUNTIF('Detalle individual'!$C$5:$C$1000,"&lt;"&amp;'Detalle individual'!C727)*10000+ROW(),""))</f>
        <v/>
      </c>
      <c r="AB727" t="str">
        <f>IF('Detalle individual'!C727="","",IF(COUNTIF('Detalle individual'!$C$5:C727,'Detalle individual'!C727)=1,COUNTIF('Detalle individual'!$C$5:$C$1000,"&lt;"&amp;'Detalle individual'!C727),""))</f>
        <v/>
      </c>
      <c r="AC727" t="str">
        <f>IF('Detalle individual'!D727="","",IF(COUNTIF('Detalle individual'!$D$5:D727,'Detalle individual'!D727)=1,COUNTIF('Detalle individual'!$D$5:$D$1000,"&lt;"&amp;'Detalle individual'!D727),""))</f>
        <v/>
      </c>
      <c r="AH727" t="str">
        <f>IF('Detalle individual'!F727="Pendiente",COUNTIF('Detalle individual'!$D$5:$D$1000,"&lt;"&amp;'Detalle individual'!D727)*1000000+COUNTIF('Detalle individual'!$C$5:$C$1000,"&lt;"&amp;'Detalle individual'!C727)*1000+COUNTIF('Detalle individual'!$B$5:$B$1000,"&lt;"&amp;'Detalle individual'!B727)+ROW()/10000,"")</f>
        <v/>
      </c>
      <c r="AI727" t="str">
        <f>IF('Detalle individual'!F727="Completado",COUNTIF('Detalle individual'!$D$5:$D$1000,"&lt;"&amp;'Detalle individual'!D727)*1000000+COUNTIF('Detalle individual'!$C$5:$C$1000,"&lt;"&amp;'Detalle individual'!C727)*1000+COUNTIF('Detalle individual'!$B$5:$B$1000,"&lt;"&amp;'Detalle individual'!B727)+ROW()/10000,"")</f>
        <v/>
      </c>
      <c r="AJ727" t="str">
        <f>IF(AND('Detalle individual'!F727&lt;&gt;"",'Detalle individual'!F727&lt;&gt;"Completado",'Detalle individual'!F727&lt;&gt;"Pendiente"),COUNTIF('Detalle individual'!$D$5:$D$1000,"&lt;"&amp;'Detalle individual'!D727)*1000000+COUNTIF('Detalle individual'!$C$5:$C$1000,"&lt;"&amp;'Detalle individual'!C727)*1000+COUNTIF('Detalle individual'!$B$5:$B$1000,"&lt;"&amp;'Detalle individual'!B727)+ROW()/10000,"")</f>
        <v/>
      </c>
      <c r="AK727" t="str">
        <f>IF(OR('Base Exámenes'!C727="",'Base Exámenes'!D727=""),"",IF(COUNTIF('Base Exámenes'!$C$5:C727,'Base Exámenes'!C727)=1,'Base Exámenes'!D727+ROW()/1000000000,""))</f>
        <v/>
      </c>
      <c r="AL727" t="str">
        <f>IF(OR('Base Exámenes'!C727="",'Base Exámenes'!E727=""),"",IF(COUNTIF('Base Exámenes'!$C$5:C727,'Base Exámenes'!C727)=1,'Base Exámenes'!E727+ROW()/1000000000,""))</f>
        <v/>
      </c>
      <c r="AM727" t="str">
        <f>IF(OR('Base Exámenes'!C727="",'Base Exámenes'!G727=""),"",IF(ROW()-4=MATCH('Base Exámenes'!C727&amp;"|"&amp;_xlfn.MAXIFS('Base Exámenes'!$G$5:$G$1000,'Base Exámenes'!$C$5:$C$1000,'Base Exámenes'!C727),'Base Exámenes'!$I$5:$I$1000,0),'Base Exámenes'!G727*1000000+(-1)*'Base Exámenes'!D727,""))</f>
        <v/>
      </c>
      <c r="AQ727" t="str">
        <f>IF('Base Exámenes'!C727="","",IF(COUNTIF('Base Exámenes'!$C$5:$C$1000,'Base Exámenes'!C727)&lt;2,"",MATCH('Base Exámenes'!C727,'Base Exámenes'!$C$5:$C$1000,0)*10000+ROW()))</f>
        <v/>
      </c>
    </row>
    <row r="728">
      <c r="Z728" t="str">
        <f>IF('Detalle individual'!A728="","",IF(AND(OR('Estado por Colaborador'!$D$4="Todas las gerencias",'Detalle individual'!D728='Estado por Colaborador'!$D$4),OR('Estado por Colaborador'!$D$5="Todos los departamentos",TRIM('Detalle individual'!C728)='Estado por Colaborador'!$D$5),OR('Estado por Colaborador'!$D$6="Todos",'Detalle individual'!F728='Estado por Colaborador'!$D$6)),IF('Detalle individual'!F728="Completado",30000000,IF('Detalle individual'!F728="Pendiente",0,15000000))+COUNTIF('Detalle individual'!$C$5:$C$1000,"&lt;"&amp;'Detalle individual'!C728)*10000+ROW(),""))</f>
        <v/>
      </c>
      <c r="AB728" t="str">
        <f>IF('Detalle individual'!C728="","",IF(COUNTIF('Detalle individual'!$C$5:C728,'Detalle individual'!C728)=1,COUNTIF('Detalle individual'!$C$5:$C$1000,"&lt;"&amp;'Detalle individual'!C728),""))</f>
        <v/>
      </c>
      <c r="AC728" t="str">
        <f>IF('Detalle individual'!D728="","",IF(COUNTIF('Detalle individual'!$D$5:D728,'Detalle individual'!D728)=1,COUNTIF('Detalle individual'!$D$5:$D$1000,"&lt;"&amp;'Detalle individual'!D728),""))</f>
        <v/>
      </c>
      <c r="AH728" t="str">
        <f>IF('Detalle individual'!F728="Pendiente",COUNTIF('Detalle individual'!$D$5:$D$1000,"&lt;"&amp;'Detalle individual'!D728)*1000000+COUNTIF('Detalle individual'!$C$5:$C$1000,"&lt;"&amp;'Detalle individual'!C728)*1000+COUNTIF('Detalle individual'!$B$5:$B$1000,"&lt;"&amp;'Detalle individual'!B728)+ROW()/10000,"")</f>
        <v/>
      </c>
      <c r="AI728" t="str">
        <f>IF('Detalle individual'!F728="Completado",COUNTIF('Detalle individual'!$D$5:$D$1000,"&lt;"&amp;'Detalle individual'!D728)*1000000+COUNTIF('Detalle individual'!$C$5:$C$1000,"&lt;"&amp;'Detalle individual'!C728)*1000+COUNTIF('Detalle individual'!$B$5:$B$1000,"&lt;"&amp;'Detalle individual'!B728)+ROW()/10000,"")</f>
        <v/>
      </c>
      <c r="AJ728" t="str">
        <f>IF(AND('Detalle individual'!F728&lt;&gt;"",'Detalle individual'!F728&lt;&gt;"Completado",'Detalle individual'!F728&lt;&gt;"Pendiente"),COUNTIF('Detalle individual'!$D$5:$D$1000,"&lt;"&amp;'Detalle individual'!D728)*1000000+COUNTIF('Detalle individual'!$C$5:$C$1000,"&lt;"&amp;'Detalle individual'!C728)*1000+COUNTIF('Detalle individual'!$B$5:$B$1000,"&lt;"&amp;'Detalle individual'!B728)+ROW()/10000,"")</f>
        <v/>
      </c>
      <c r="AK728" t="str">
        <f>IF(OR('Base Exámenes'!C728="",'Base Exámenes'!D728=""),"",IF(COUNTIF('Base Exámenes'!$C$5:C728,'Base Exámenes'!C728)=1,'Base Exámenes'!D728+ROW()/1000000000,""))</f>
        <v/>
      </c>
      <c r="AL728" t="str">
        <f>IF(OR('Base Exámenes'!C728="",'Base Exámenes'!E728=""),"",IF(COUNTIF('Base Exámenes'!$C$5:C728,'Base Exámenes'!C728)=1,'Base Exámenes'!E728+ROW()/1000000000,""))</f>
        <v/>
      </c>
      <c r="AM728" t="str">
        <f>IF(OR('Base Exámenes'!C728="",'Base Exámenes'!G728=""),"",IF(ROW()-4=MATCH('Base Exámenes'!C728&amp;"|"&amp;_xlfn.MAXIFS('Base Exámenes'!$G$5:$G$1000,'Base Exámenes'!$C$5:$C$1000,'Base Exámenes'!C728),'Base Exámenes'!$I$5:$I$1000,0),'Base Exámenes'!G728*1000000+(-1)*'Base Exámenes'!D728,""))</f>
        <v/>
      </c>
      <c r="AQ728" t="str">
        <f>IF('Base Exámenes'!C728="","",IF(COUNTIF('Base Exámenes'!$C$5:$C$1000,'Base Exámenes'!C728)&lt;2,"",MATCH('Base Exámenes'!C728,'Base Exámenes'!$C$5:$C$1000,0)*10000+ROW()))</f>
        <v/>
      </c>
    </row>
    <row r="729">
      <c r="Z729" t="str">
        <f>IF('Detalle individual'!A729="","",IF(AND(OR('Estado por Colaborador'!$D$4="Todas las gerencias",'Detalle individual'!D729='Estado por Colaborador'!$D$4),OR('Estado por Colaborador'!$D$5="Todos los departamentos",TRIM('Detalle individual'!C729)='Estado por Colaborador'!$D$5),OR('Estado por Colaborador'!$D$6="Todos",'Detalle individual'!F729='Estado por Colaborador'!$D$6)),IF('Detalle individual'!F729="Completado",30000000,IF('Detalle individual'!F729="Pendiente",0,15000000))+COUNTIF('Detalle individual'!$C$5:$C$1000,"&lt;"&amp;'Detalle individual'!C729)*10000+ROW(),""))</f>
        <v/>
      </c>
      <c r="AB729" t="str">
        <f>IF('Detalle individual'!C729="","",IF(COUNTIF('Detalle individual'!$C$5:C729,'Detalle individual'!C729)=1,COUNTIF('Detalle individual'!$C$5:$C$1000,"&lt;"&amp;'Detalle individual'!C729),""))</f>
        <v/>
      </c>
      <c r="AC729" t="str">
        <f>IF('Detalle individual'!D729="","",IF(COUNTIF('Detalle individual'!$D$5:D729,'Detalle individual'!D729)=1,COUNTIF('Detalle individual'!$D$5:$D$1000,"&lt;"&amp;'Detalle individual'!D729),""))</f>
        <v/>
      </c>
      <c r="AH729" t="str">
        <f>IF('Detalle individual'!F729="Pendiente",COUNTIF('Detalle individual'!$D$5:$D$1000,"&lt;"&amp;'Detalle individual'!D729)*1000000+COUNTIF('Detalle individual'!$C$5:$C$1000,"&lt;"&amp;'Detalle individual'!C729)*1000+COUNTIF('Detalle individual'!$B$5:$B$1000,"&lt;"&amp;'Detalle individual'!B729)+ROW()/10000,"")</f>
        <v/>
      </c>
      <c r="AI729" t="str">
        <f>IF('Detalle individual'!F729="Completado",COUNTIF('Detalle individual'!$D$5:$D$1000,"&lt;"&amp;'Detalle individual'!D729)*1000000+COUNTIF('Detalle individual'!$C$5:$C$1000,"&lt;"&amp;'Detalle individual'!C729)*1000+COUNTIF('Detalle individual'!$B$5:$B$1000,"&lt;"&amp;'Detalle individual'!B729)+ROW()/10000,"")</f>
        <v/>
      </c>
      <c r="AJ729" t="str">
        <f>IF(AND('Detalle individual'!F729&lt;&gt;"",'Detalle individual'!F729&lt;&gt;"Completado",'Detalle individual'!F729&lt;&gt;"Pendiente"),COUNTIF('Detalle individual'!$D$5:$D$1000,"&lt;"&amp;'Detalle individual'!D729)*1000000+COUNTIF('Detalle individual'!$C$5:$C$1000,"&lt;"&amp;'Detalle individual'!C729)*1000+COUNTIF('Detalle individual'!$B$5:$B$1000,"&lt;"&amp;'Detalle individual'!B729)+ROW()/10000,"")</f>
        <v/>
      </c>
      <c r="AK729" t="str">
        <f>IF(OR('Base Exámenes'!C729="",'Base Exámenes'!D729=""),"",IF(COUNTIF('Base Exámenes'!$C$5:C729,'Base Exámenes'!C729)=1,'Base Exámenes'!D729+ROW()/1000000000,""))</f>
        <v/>
      </c>
      <c r="AL729" t="str">
        <f>IF(OR('Base Exámenes'!C729="",'Base Exámenes'!E729=""),"",IF(COUNTIF('Base Exámenes'!$C$5:C729,'Base Exámenes'!C729)=1,'Base Exámenes'!E729+ROW()/1000000000,""))</f>
        <v/>
      </c>
      <c r="AM729" t="str">
        <f>IF(OR('Base Exámenes'!C729="",'Base Exámenes'!G729=""),"",IF(ROW()-4=MATCH('Base Exámenes'!C729&amp;"|"&amp;_xlfn.MAXIFS('Base Exámenes'!$G$5:$G$1000,'Base Exámenes'!$C$5:$C$1000,'Base Exámenes'!C729),'Base Exámenes'!$I$5:$I$1000,0),'Base Exámenes'!G729*1000000+(-1)*'Base Exámenes'!D729,""))</f>
        <v/>
      </c>
      <c r="AQ729" t="str">
        <f>IF('Base Exámenes'!C729="","",IF(COUNTIF('Base Exámenes'!$C$5:$C$1000,'Base Exámenes'!C729)&lt;2,"",MATCH('Base Exámenes'!C729,'Base Exámenes'!$C$5:$C$1000,0)*10000+ROW()))</f>
        <v/>
      </c>
    </row>
    <row r="730">
      <c r="Z730" t="str">
        <f>IF('Detalle individual'!A730="","",IF(AND(OR('Estado por Colaborador'!$D$4="Todas las gerencias",'Detalle individual'!D730='Estado por Colaborador'!$D$4),OR('Estado por Colaborador'!$D$5="Todos los departamentos",TRIM('Detalle individual'!C730)='Estado por Colaborador'!$D$5),OR('Estado por Colaborador'!$D$6="Todos",'Detalle individual'!F730='Estado por Colaborador'!$D$6)),IF('Detalle individual'!F730="Completado",30000000,IF('Detalle individual'!F730="Pendiente",0,15000000))+COUNTIF('Detalle individual'!$C$5:$C$1000,"&lt;"&amp;'Detalle individual'!C730)*10000+ROW(),""))</f>
        <v/>
      </c>
      <c r="AB730" t="str">
        <f>IF('Detalle individual'!C730="","",IF(COUNTIF('Detalle individual'!$C$5:C730,'Detalle individual'!C730)=1,COUNTIF('Detalle individual'!$C$5:$C$1000,"&lt;"&amp;'Detalle individual'!C730),""))</f>
        <v/>
      </c>
      <c r="AC730" t="str">
        <f>IF('Detalle individual'!D730="","",IF(COUNTIF('Detalle individual'!$D$5:D730,'Detalle individual'!D730)=1,COUNTIF('Detalle individual'!$D$5:$D$1000,"&lt;"&amp;'Detalle individual'!D730),""))</f>
        <v/>
      </c>
      <c r="AH730" t="str">
        <f>IF('Detalle individual'!F730="Pendiente",COUNTIF('Detalle individual'!$D$5:$D$1000,"&lt;"&amp;'Detalle individual'!D730)*1000000+COUNTIF('Detalle individual'!$C$5:$C$1000,"&lt;"&amp;'Detalle individual'!C730)*1000+COUNTIF('Detalle individual'!$B$5:$B$1000,"&lt;"&amp;'Detalle individual'!B730)+ROW()/10000,"")</f>
        <v/>
      </c>
      <c r="AI730" t="str">
        <f>IF('Detalle individual'!F730="Completado",COUNTIF('Detalle individual'!$D$5:$D$1000,"&lt;"&amp;'Detalle individual'!D730)*1000000+COUNTIF('Detalle individual'!$C$5:$C$1000,"&lt;"&amp;'Detalle individual'!C730)*1000+COUNTIF('Detalle individual'!$B$5:$B$1000,"&lt;"&amp;'Detalle individual'!B730)+ROW()/10000,"")</f>
        <v/>
      </c>
      <c r="AJ730" t="str">
        <f>IF(AND('Detalle individual'!F730&lt;&gt;"",'Detalle individual'!F730&lt;&gt;"Completado",'Detalle individual'!F730&lt;&gt;"Pendiente"),COUNTIF('Detalle individual'!$D$5:$D$1000,"&lt;"&amp;'Detalle individual'!D730)*1000000+COUNTIF('Detalle individual'!$C$5:$C$1000,"&lt;"&amp;'Detalle individual'!C730)*1000+COUNTIF('Detalle individual'!$B$5:$B$1000,"&lt;"&amp;'Detalle individual'!B730)+ROW()/10000,"")</f>
        <v/>
      </c>
      <c r="AK730" t="str">
        <f>IF(OR('Base Exámenes'!C730="",'Base Exámenes'!D730=""),"",IF(COUNTIF('Base Exámenes'!$C$5:C730,'Base Exámenes'!C730)=1,'Base Exámenes'!D730+ROW()/1000000000,""))</f>
        <v/>
      </c>
      <c r="AL730" t="str">
        <f>IF(OR('Base Exámenes'!C730="",'Base Exámenes'!E730=""),"",IF(COUNTIF('Base Exámenes'!$C$5:C730,'Base Exámenes'!C730)=1,'Base Exámenes'!E730+ROW()/1000000000,""))</f>
        <v/>
      </c>
      <c r="AM730" t="str">
        <f>IF(OR('Base Exámenes'!C730="",'Base Exámenes'!G730=""),"",IF(ROW()-4=MATCH('Base Exámenes'!C730&amp;"|"&amp;_xlfn.MAXIFS('Base Exámenes'!$G$5:$G$1000,'Base Exámenes'!$C$5:$C$1000,'Base Exámenes'!C730),'Base Exámenes'!$I$5:$I$1000,0),'Base Exámenes'!G730*1000000+(-1)*'Base Exámenes'!D730,""))</f>
        <v/>
      </c>
      <c r="AQ730" t="str">
        <f>IF('Base Exámenes'!C730="","",IF(COUNTIF('Base Exámenes'!$C$5:$C$1000,'Base Exámenes'!C730)&lt;2,"",MATCH('Base Exámenes'!C730,'Base Exámenes'!$C$5:$C$1000,0)*10000+ROW()))</f>
        <v/>
      </c>
    </row>
    <row r="731">
      <c r="Z731" t="str">
        <f>IF('Detalle individual'!A731="","",IF(AND(OR('Estado por Colaborador'!$D$4="Todas las gerencias",'Detalle individual'!D731='Estado por Colaborador'!$D$4),OR('Estado por Colaborador'!$D$5="Todos los departamentos",TRIM('Detalle individual'!C731)='Estado por Colaborador'!$D$5),OR('Estado por Colaborador'!$D$6="Todos",'Detalle individual'!F731='Estado por Colaborador'!$D$6)),IF('Detalle individual'!F731="Completado",30000000,IF('Detalle individual'!F731="Pendiente",0,15000000))+COUNTIF('Detalle individual'!$C$5:$C$1000,"&lt;"&amp;'Detalle individual'!C731)*10000+ROW(),""))</f>
        <v/>
      </c>
      <c r="AB731" t="str">
        <f>IF('Detalle individual'!C731="","",IF(COUNTIF('Detalle individual'!$C$5:C731,'Detalle individual'!C731)=1,COUNTIF('Detalle individual'!$C$5:$C$1000,"&lt;"&amp;'Detalle individual'!C731),""))</f>
        <v/>
      </c>
      <c r="AC731" t="str">
        <f>IF('Detalle individual'!D731="","",IF(COUNTIF('Detalle individual'!$D$5:D731,'Detalle individual'!D731)=1,COUNTIF('Detalle individual'!$D$5:$D$1000,"&lt;"&amp;'Detalle individual'!D731),""))</f>
        <v/>
      </c>
      <c r="AH731" t="str">
        <f>IF('Detalle individual'!F731="Pendiente",COUNTIF('Detalle individual'!$D$5:$D$1000,"&lt;"&amp;'Detalle individual'!D731)*1000000+COUNTIF('Detalle individual'!$C$5:$C$1000,"&lt;"&amp;'Detalle individual'!C731)*1000+COUNTIF('Detalle individual'!$B$5:$B$1000,"&lt;"&amp;'Detalle individual'!B731)+ROW()/10000,"")</f>
        <v/>
      </c>
      <c r="AI731" t="str">
        <f>IF('Detalle individual'!F731="Completado",COUNTIF('Detalle individual'!$D$5:$D$1000,"&lt;"&amp;'Detalle individual'!D731)*1000000+COUNTIF('Detalle individual'!$C$5:$C$1000,"&lt;"&amp;'Detalle individual'!C731)*1000+COUNTIF('Detalle individual'!$B$5:$B$1000,"&lt;"&amp;'Detalle individual'!B731)+ROW()/10000,"")</f>
        <v/>
      </c>
      <c r="AJ731" t="str">
        <f>IF(AND('Detalle individual'!F731&lt;&gt;"",'Detalle individual'!F731&lt;&gt;"Completado",'Detalle individual'!F731&lt;&gt;"Pendiente"),COUNTIF('Detalle individual'!$D$5:$D$1000,"&lt;"&amp;'Detalle individual'!D731)*1000000+COUNTIF('Detalle individual'!$C$5:$C$1000,"&lt;"&amp;'Detalle individual'!C731)*1000+COUNTIF('Detalle individual'!$B$5:$B$1000,"&lt;"&amp;'Detalle individual'!B731)+ROW()/10000,"")</f>
        <v/>
      </c>
      <c r="AK731" t="str">
        <f>IF(OR('Base Exámenes'!C731="",'Base Exámenes'!D731=""),"",IF(COUNTIF('Base Exámenes'!$C$5:C731,'Base Exámenes'!C731)=1,'Base Exámenes'!D731+ROW()/1000000000,""))</f>
        <v/>
      </c>
      <c r="AL731" t="str">
        <f>IF(OR('Base Exámenes'!C731="",'Base Exámenes'!E731=""),"",IF(COUNTIF('Base Exámenes'!$C$5:C731,'Base Exámenes'!C731)=1,'Base Exámenes'!E731+ROW()/1000000000,""))</f>
        <v/>
      </c>
      <c r="AM731" t="str">
        <f>IF(OR('Base Exámenes'!C731="",'Base Exámenes'!G731=""),"",IF(ROW()-4=MATCH('Base Exámenes'!C731&amp;"|"&amp;_xlfn.MAXIFS('Base Exámenes'!$G$5:$G$1000,'Base Exámenes'!$C$5:$C$1000,'Base Exámenes'!C731),'Base Exámenes'!$I$5:$I$1000,0),'Base Exámenes'!G731*1000000+(-1)*'Base Exámenes'!D731,""))</f>
        <v/>
      </c>
      <c r="AQ731" t="str">
        <f>IF('Base Exámenes'!C731="","",IF(COUNTIF('Base Exámenes'!$C$5:$C$1000,'Base Exámenes'!C731)&lt;2,"",MATCH('Base Exámenes'!C731,'Base Exámenes'!$C$5:$C$1000,0)*10000+ROW()))</f>
        <v/>
      </c>
    </row>
    <row r="732">
      <c r="Z732" t="str">
        <f>IF('Detalle individual'!A732="","",IF(AND(OR('Estado por Colaborador'!$D$4="Todas las gerencias",'Detalle individual'!D732='Estado por Colaborador'!$D$4),OR('Estado por Colaborador'!$D$5="Todos los departamentos",TRIM('Detalle individual'!C732)='Estado por Colaborador'!$D$5),OR('Estado por Colaborador'!$D$6="Todos",'Detalle individual'!F732='Estado por Colaborador'!$D$6)),IF('Detalle individual'!F732="Completado",30000000,IF('Detalle individual'!F732="Pendiente",0,15000000))+COUNTIF('Detalle individual'!$C$5:$C$1000,"&lt;"&amp;'Detalle individual'!C732)*10000+ROW(),""))</f>
        <v/>
      </c>
      <c r="AB732" t="str">
        <f>IF('Detalle individual'!C732="","",IF(COUNTIF('Detalle individual'!$C$5:C732,'Detalle individual'!C732)=1,COUNTIF('Detalle individual'!$C$5:$C$1000,"&lt;"&amp;'Detalle individual'!C732),""))</f>
        <v/>
      </c>
      <c r="AC732" t="str">
        <f>IF('Detalle individual'!D732="","",IF(COUNTIF('Detalle individual'!$D$5:D732,'Detalle individual'!D732)=1,COUNTIF('Detalle individual'!$D$5:$D$1000,"&lt;"&amp;'Detalle individual'!D732),""))</f>
        <v/>
      </c>
      <c r="AH732" t="str">
        <f>IF('Detalle individual'!F732="Pendiente",COUNTIF('Detalle individual'!$D$5:$D$1000,"&lt;"&amp;'Detalle individual'!D732)*1000000+COUNTIF('Detalle individual'!$C$5:$C$1000,"&lt;"&amp;'Detalle individual'!C732)*1000+COUNTIF('Detalle individual'!$B$5:$B$1000,"&lt;"&amp;'Detalle individual'!B732)+ROW()/10000,"")</f>
        <v/>
      </c>
      <c r="AI732" t="str">
        <f>IF('Detalle individual'!F732="Completado",COUNTIF('Detalle individual'!$D$5:$D$1000,"&lt;"&amp;'Detalle individual'!D732)*1000000+COUNTIF('Detalle individual'!$C$5:$C$1000,"&lt;"&amp;'Detalle individual'!C732)*1000+COUNTIF('Detalle individual'!$B$5:$B$1000,"&lt;"&amp;'Detalle individual'!B732)+ROW()/10000,"")</f>
        <v/>
      </c>
      <c r="AJ732" t="str">
        <f>IF(AND('Detalle individual'!F732&lt;&gt;"",'Detalle individual'!F732&lt;&gt;"Completado",'Detalle individual'!F732&lt;&gt;"Pendiente"),COUNTIF('Detalle individual'!$D$5:$D$1000,"&lt;"&amp;'Detalle individual'!D732)*1000000+COUNTIF('Detalle individual'!$C$5:$C$1000,"&lt;"&amp;'Detalle individual'!C732)*1000+COUNTIF('Detalle individual'!$B$5:$B$1000,"&lt;"&amp;'Detalle individual'!B732)+ROW()/10000,"")</f>
        <v/>
      </c>
      <c r="AK732" t="str">
        <f>IF(OR('Base Exámenes'!C732="",'Base Exámenes'!D732=""),"",IF(COUNTIF('Base Exámenes'!$C$5:C732,'Base Exámenes'!C732)=1,'Base Exámenes'!D732+ROW()/1000000000,""))</f>
        <v/>
      </c>
      <c r="AL732" t="str">
        <f>IF(OR('Base Exámenes'!C732="",'Base Exámenes'!E732=""),"",IF(COUNTIF('Base Exámenes'!$C$5:C732,'Base Exámenes'!C732)=1,'Base Exámenes'!E732+ROW()/1000000000,""))</f>
        <v/>
      </c>
      <c r="AM732" t="str">
        <f>IF(OR('Base Exámenes'!C732="",'Base Exámenes'!G732=""),"",IF(ROW()-4=MATCH('Base Exámenes'!C732&amp;"|"&amp;_xlfn.MAXIFS('Base Exámenes'!$G$5:$G$1000,'Base Exámenes'!$C$5:$C$1000,'Base Exámenes'!C732),'Base Exámenes'!$I$5:$I$1000,0),'Base Exámenes'!G732*1000000+(-1)*'Base Exámenes'!D732,""))</f>
        <v/>
      </c>
      <c r="AQ732" t="str">
        <f>IF('Base Exámenes'!C732="","",IF(COUNTIF('Base Exámenes'!$C$5:$C$1000,'Base Exámenes'!C732)&lt;2,"",MATCH('Base Exámenes'!C732,'Base Exámenes'!$C$5:$C$1000,0)*10000+ROW()))</f>
        <v/>
      </c>
    </row>
    <row r="733">
      <c r="Z733" t="str">
        <f>IF('Detalle individual'!A733="","",IF(AND(OR('Estado por Colaborador'!$D$4="Todas las gerencias",'Detalle individual'!D733='Estado por Colaborador'!$D$4),OR('Estado por Colaborador'!$D$5="Todos los departamentos",TRIM('Detalle individual'!C733)='Estado por Colaborador'!$D$5),OR('Estado por Colaborador'!$D$6="Todos",'Detalle individual'!F733='Estado por Colaborador'!$D$6)),IF('Detalle individual'!F733="Completado",30000000,IF('Detalle individual'!F733="Pendiente",0,15000000))+COUNTIF('Detalle individual'!$C$5:$C$1000,"&lt;"&amp;'Detalle individual'!C733)*10000+ROW(),""))</f>
        <v/>
      </c>
      <c r="AB733" t="str">
        <f>IF('Detalle individual'!C733="","",IF(COUNTIF('Detalle individual'!$C$5:C733,'Detalle individual'!C733)=1,COUNTIF('Detalle individual'!$C$5:$C$1000,"&lt;"&amp;'Detalle individual'!C733),""))</f>
        <v/>
      </c>
      <c r="AC733" t="str">
        <f>IF('Detalle individual'!D733="","",IF(COUNTIF('Detalle individual'!$D$5:D733,'Detalle individual'!D733)=1,COUNTIF('Detalle individual'!$D$5:$D$1000,"&lt;"&amp;'Detalle individual'!D733),""))</f>
        <v/>
      </c>
      <c r="AH733" t="str">
        <f>IF('Detalle individual'!F733="Pendiente",COUNTIF('Detalle individual'!$D$5:$D$1000,"&lt;"&amp;'Detalle individual'!D733)*1000000+COUNTIF('Detalle individual'!$C$5:$C$1000,"&lt;"&amp;'Detalle individual'!C733)*1000+COUNTIF('Detalle individual'!$B$5:$B$1000,"&lt;"&amp;'Detalle individual'!B733)+ROW()/10000,"")</f>
        <v/>
      </c>
      <c r="AI733" t="str">
        <f>IF('Detalle individual'!F733="Completado",COUNTIF('Detalle individual'!$D$5:$D$1000,"&lt;"&amp;'Detalle individual'!D733)*1000000+COUNTIF('Detalle individual'!$C$5:$C$1000,"&lt;"&amp;'Detalle individual'!C733)*1000+COUNTIF('Detalle individual'!$B$5:$B$1000,"&lt;"&amp;'Detalle individual'!B733)+ROW()/10000,"")</f>
        <v/>
      </c>
      <c r="AJ733" t="str">
        <f>IF(AND('Detalle individual'!F733&lt;&gt;"",'Detalle individual'!F733&lt;&gt;"Completado",'Detalle individual'!F733&lt;&gt;"Pendiente"),COUNTIF('Detalle individual'!$D$5:$D$1000,"&lt;"&amp;'Detalle individual'!D733)*1000000+COUNTIF('Detalle individual'!$C$5:$C$1000,"&lt;"&amp;'Detalle individual'!C733)*1000+COUNTIF('Detalle individual'!$B$5:$B$1000,"&lt;"&amp;'Detalle individual'!B733)+ROW()/10000,"")</f>
        <v/>
      </c>
      <c r="AK733" t="str">
        <f>IF(OR('Base Exámenes'!C733="",'Base Exámenes'!D733=""),"",IF(COUNTIF('Base Exámenes'!$C$5:C733,'Base Exámenes'!C733)=1,'Base Exámenes'!D733+ROW()/1000000000,""))</f>
        <v/>
      </c>
      <c r="AL733" t="str">
        <f>IF(OR('Base Exámenes'!C733="",'Base Exámenes'!E733=""),"",IF(COUNTIF('Base Exámenes'!$C$5:C733,'Base Exámenes'!C733)=1,'Base Exámenes'!E733+ROW()/1000000000,""))</f>
        <v/>
      </c>
      <c r="AM733" t="str">
        <f>IF(OR('Base Exámenes'!C733="",'Base Exámenes'!G733=""),"",IF(ROW()-4=MATCH('Base Exámenes'!C733&amp;"|"&amp;_xlfn.MAXIFS('Base Exámenes'!$G$5:$G$1000,'Base Exámenes'!$C$5:$C$1000,'Base Exámenes'!C733),'Base Exámenes'!$I$5:$I$1000,0),'Base Exámenes'!G733*1000000+(-1)*'Base Exámenes'!D733,""))</f>
        <v/>
      </c>
      <c r="AQ733" t="str">
        <f>IF('Base Exámenes'!C733="","",IF(COUNTIF('Base Exámenes'!$C$5:$C$1000,'Base Exámenes'!C733)&lt;2,"",MATCH('Base Exámenes'!C733,'Base Exámenes'!$C$5:$C$1000,0)*10000+ROW()))</f>
        <v/>
      </c>
    </row>
    <row r="734">
      <c r="Z734" t="str">
        <f>IF('Detalle individual'!A734="","",IF(AND(OR('Estado por Colaborador'!$D$4="Todas las gerencias",'Detalle individual'!D734='Estado por Colaborador'!$D$4),OR('Estado por Colaborador'!$D$5="Todos los departamentos",TRIM('Detalle individual'!C734)='Estado por Colaborador'!$D$5),OR('Estado por Colaborador'!$D$6="Todos",'Detalle individual'!F734='Estado por Colaborador'!$D$6)),IF('Detalle individual'!F734="Completado",30000000,IF('Detalle individual'!F734="Pendiente",0,15000000))+COUNTIF('Detalle individual'!$C$5:$C$1000,"&lt;"&amp;'Detalle individual'!C734)*10000+ROW(),""))</f>
        <v/>
      </c>
      <c r="AB734" t="str">
        <f>IF('Detalle individual'!C734="","",IF(COUNTIF('Detalle individual'!$C$5:C734,'Detalle individual'!C734)=1,COUNTIF('Detalle individual'!$C$5:$C$1000,"&lt;"&amp;'Detalle individual'!C734),""))</f>
        <v/>
      </c>
      <c r="AC734" t="str">
        <f>IF('Detalle individual'!D734="","",IF(COUNTIF('Detalle individual'!$D$5:D734,'Detalle individual'!D734)=1,COUNTIF('Detalle individual'!$D$5:$D$1000,"&lt;"&amp;'Detalle individual'!D734),""))</f>
        <v/>
      </c>
      <c r="AH734" t="str">
        <f>IF('Detalle individual'!F734="Pendiente",COUNTIF('Detalle individual'!$D$5:$D$1000,"&lt;"&amp;'Detalle individual'!D734)*1000000+COUNTIF('Detalle individual'!$C$5:$C$1000,"&lt;"&amp;'Detalle individual'!C734)*1000+COUNTIF('Detalle individual'!$B$5:$B$1000,"&lt;"&amp;'Detalle individual'!B734)+ROW()/10000,"")</f>
        <v/>
      </c>
      <c r="AI734" t="str">
        <f>IF('Detalle individual'!F734="Completado",COUNTIF('Detalle individual'!$D$5:$D$1000,"&lt;"&amp;'Detalle individual'!D734)*1000000+COUNTIF('Detalle individual'!$C$5:$C$1000,"&lt;"&amp;'Detalle individual'!C734)*1000+COUNTIF('Detalle individual'!$B$5:$B$1000,"&lt;"&amp;'Detalle individual'!B734)+ROW()/10000,"")</f>
        <v/>
      </c>
      <c r="AJ734" t="str">
        <f>IF(AND('Detalle individual'!F734&lt;&gt;"",'Detalle individual'!F734&lt;&gt;"Completado",'Detalle individual'!F734&lt;&gt;"Pendiente"),COUNTIF('Detalle individual'!$D$5:$D$1000,"&lt;"&amp;'Detalle individual'!D734)*1000000+COUNTIF('Detalle individual'!$C$5:$C$1000,"&lt;"&amp;'Detalle individual'!C734)*1000+COUNTIF('Detalle individual'!$B$5:$B$1000,"&lt;"&amp;'Detalle individual'!B734)+ROW()/10000,"")</f>
        <v/>
      </c>
      <c r="AK734" t="str">
        <f>IF(OR('Base Exámenes'!C734="",'Base Exámenes'!D734=""),"",IF(COUNTIF('Base Exámenes'!$C$5:C734,'Base Exámenes'!C734)=1,'Base Exámenes'!D734+ROW()/1000000000,""))</f>
        <v/>
      </c>
      <c r="AL734" t="str">
        <f>IF(OR('Base Exámenes'!C734="",'Base Exámenes'!E734=""),"",IF(COUNTIF('Base Exámenes'!$C$5:C734,'Base Exámenes'!C734)=1,'Base Exámenes'!E734+ROW()/1000000000,""))</f>
        <v/>
      </c>
      <c r="AM734" t="str">
        <f>IF(OR('Base Exámenes'!C734="",'Base Exámenes'!G734=""),"",IF(ROW()-4=MATCH('Base Exámenes'!C734&amp;"|"&amp;_xlfn.MAXIFS('Base Exámenes'!$G$5:$G$1000,'Base Exámenes'!$C$5:$C$1000,'Base Exámenes'!C734),'Base Exámenes'!$I$5:$I$1000,0),'Base Exámenes'!G734*1000000+(-1)*'Base Exámenes'!D734,""))</f>
        <v/>
      </c>
      <c r="AQ734" t="str">
        <f>IF('Base Exámenes'!C734="","",IF(COUNTIF('Base Exámenes'!$C$5:$C$1000,'Base Exámenes'!C734)&lt;2,"",MATCH('Base Exámenes'!C734,'Base Exámenes'!$C$5:$C$1000,0)*10000+ROW()))</f>
        <v/>
      </c>
    </row>
    <row r="735">
      <c r="Z735" t="str">
        <f>IF('Detalle individual'!A735="","",IF(AND(OR('Estado por Colaborador'!$D$4="Todas las gerencias",'Detalle individual'!D735='Estado por Colaborador'!$D$4),OR('Estado por Colaborador'!$D$5="Todos los departamentos",TRIM('Detalle individual'!C735)='Estado por Colaborador'!$D$5),OR('Estado por Colaborador'!$D$6="Todos",'Detalle individual'!F735='Estado por Colaborador'!$D$6)),IF('Detalle individual'!F735="Completado",30000000,IF('Detalle individual'!F735="Pendiente",0,15000000))+COUNTIF('Detalle individual'!$C$5:$C$1000,"&lt;"&amp;'Detalle individual'!C735)*10000+ROW(),""))</f>
        <v/>
      </c>
      <c r="AB735" t="str">
        <f>IF('Detalle individual'!C735="","",IF(COUNTIF('Detalle individual'!$C$5:C735,'Detalle individual'!C735)=1,COUNTIF('Detalle individual'!$C$5:$C$1000,"&lt;"&amp;'Detalle individual'!C735),""))</f>
        <v/>
      </c>
      <c r="AC735" t="str">
        <f>IF('Detalle individual'!D735="","",IF(COUNTIF('Detalle individual'!$D$5:D735,'Detalle individual'!D735)=1,COUNTIF('Detalle individual'!$D$5:$D$1000,"&lt;"&amp;'Detalle individual'!D735),""))</f>
        <v/>
      </c>
      <c r="AH735" t="str">
        <f>IF('Detalle individual'!F735="Pendiente",COUNTIF('Detalle individual'!$D$5:$D$1000,"&lt;"&amp;'Detalle individual'!D735)*1000000+COUNTIF('Detalle individual'!$C$5:$C$1000,"&lt;"&amp;'Detalle individual'!C735)*1000+COUNTIF('Detalle individual'!$B$5:$B$1000,"&lt;"&amp;'Detalle individual'!B735)+ROW()/10000,"")</f>
        <v/>
      </c>
      <c r="AI735" t="str">
        <f>IF('Detalle individual'!F735="Completado",COUNTIF('Detalle individual'!$D$5:$D$1000,"&lt;"&amp;'Detalle individual'!D735)*1000000+COUNTIF('Detalle individual'!$C$5:$C$1000,"&lt;"&amp;'Detalle individual'!C735)*1000+COUNTIF('Detalle individual'!$B$5:$B$1000,"&lt;"&amp;'Detalle individual'!B735)+ROW()/10000,"")</f>
        <v/>
      </c>
      <c r="AJ735" t="str">
        <f>IF(AND('Detalle individual'!F735&lt;&gt;"",'Detalle individual'!F735&lt;&gt;"Completado",'Detalle individual'!F735&lt;&gt;"Pendiente"),COUNTIF('Detalle individual'!$D$5:$D$1000,"&lt;"&amp;'Detalle individual'!D735)*1000000+COUNTIF('Detalle individual'!$C$5:$C$1000,"&lt;"&amp;'Detalle individual'!C735)*1000+COUNTIF('Detalle individual'!$B$5:$B$1000,"&lt;"&amp;'Detalle individual'!B735)+ROW()/10000,"")</f>
        <v/>
      </c>
      <c r="AK735" t="str">
        <f>IF(OR('Base Exámenes'!C735="",'Base Exámenes'!D735=""),"",IF(COUNTIF('Base Exámenes'!$C$5:C735,'Base Exámenes'!C735)=1,'Base Exámenes'!D735+ROW()/1000000000,""))</f>
        <v/>
      </c>
      <c r="AL735" t="str">
        <f>IF(OR('Base Exámenes'!C735="",'Base Exámenes'!E735=""),"",IF(COUNTIF('Base Exámenes'!$C$5:C735,'Base Exámenes'!C735)=1,'Base Exámenes'!E735+ROW()/1000000000,""))</f>
        <v/>
      </c>
      <c r="AM735" t="str">
        <f>IF(OR('Base Exámenes'!C735="",'Base Exámenes'!G735=""),"",IF(ROW()-4=MATCH('Base Exámenes'!C735&amp;"|"&amp;_xlfn.MAXIFS('Base Exámenes'!$G$5:$G$1000,'Base Exámenes'!$C$5:$C$1000,'Base Exámenes'!C735),'Base Exámenes'!$I$5:$I$1000,0),'Base Exámenes'!G735*1000000+(-1)*'Base Exámenes'!D735,""))</f>
        <v/>
      </c>
      <c r="AQ735" t="str">
        <f>IF('Base Exámenes'!C735="","",IF(COUNTIF('Base Exámenes'!$C$5:$C$1000,'Base Exámenes'!C735)&lt;2,"",MATCH('Base Exámenes'!C735,'Base Exámenes'!$C$5:$C$1000,0)*10000+ROW()))</f>
        <v/>
      </c>
    </row>
    <row r="736">
      <c r="Z736" t="str">
        <f>IF('Detalle individual'!A736="","",IF(AND(OR('Estado por Colaborador'!$D$4="Todas las gerencias",'Detalle individual'!D736='Estado por Colaborador'!$D$4),OR('Estado por Colaborador'!$D$5="Todos los departamentos",TRIM('Detalle individual'!C736)='Estado por Colaborador'!$D$5),OR('Estado por Colaborador'!$D$6="Todos",'Detalle individual'!F736='Estado por Colaborador'!$D$6)),IF('Detalle individual'!F736="Completado",30000000,IF('Detalle individual'!F736="Pendiente",0,15000000))+COUNTIF('Detalle individual'!$C$5:$C$1000,"&lt;"&amp;'Detalle individual'!C736)*10000+ROW(),""))</f>
        <v/>
      </c>
      <c r="AB736" t="str">
        <f>IF('Detalle individual'!C736="","",IF(COUNTIF('Detalle individual'!$C$5:C736,'Detalle individual'!C736)=1,COUNTIF('Detalle individual'!$C$5:$C$1000,"&lt;"&amp;'Detalle individual'!C736),""))</f>
        <v/>
      </c>
      <c r="AC736" t="str">
        <f>IF('Detalle individual'!D736="","",IF(COUNTIF('Detalle individual'!$D$5:D736,'Detalle individual'!D736)=1,COUNTIF('Detalle individual'!$D$5:$D$1000,"&lt;"&amp;'Detalle individual'!D736),""))</f>
        <v/>
      </c>
      <c r="AH736" t="str">
        <f>IF('Detalle individual'!F736="Pendiente",COUNTIF('Detalle individual'!$D$5:$D$1000,"&lt;"&amp;'Detalle individual'!D736)*1000000+COUNTIF('Detalle individual'!$C$5:$C$1000,"&lt;"&amp;'Detalle individual'!C736)*1000+COUNTIF('Detalle individual'!$B$5:$B$1000,"&lt;"&amp;'Detalle individual'!B736)+ROW()/10000,"")</f>
        <v/>
      </c>
      <c r="AI736" t="str">
        <f>IF('Detalle individual'!F736="Completado",COUNTIF('Detalle individual'!$D$5:$D$1000,"&lt;"&amp;'Detalle individual'!D736)*1000000+COUNTIF('Detalle individual'!$C$5:$C$1000,"&lt;"&amp;'Detalle individual'!C736)*1000+COUNTIF('Detalle individual'!$B$5:$B$1000,"&lt;"&amp;'Detalle individual'!B736)+ROW()/10000,"")</f>
        <v/>
      </c>
      <c r="AJ736" t="str">
        <f>IF(AND('Detalle individual'!F736&lt;&gt;"",'Detalle individual'!F736&lt;&gt;"Completado",'Detalle individual'!F736&lt;&gt;"Pendiente"),COUNTIF('Detalle individual'!$D$5:$D$1000,"&lt;"&amp;'Detalle individual'!D736)*1000000+COUNTIF('Detalle individual'!$C$5:$C$1000,"&lt;"&amp;'Detalle individual'!C736)*1000+COUNTIF('Detalle individual'!$B$5:$B$1000,"&lt;"&amp;'Detalle individual'!B736)+ROW()/10000,"")</f>
        <v/>
      </c>
      <c r="AK736" t="str">
        <f>IF(OR('Base Exámenes'!C736="",'Base Exámenes'!D736=""),"",IF(COUNTIF('Base Exámenes'!$C$5:C736,'Base Exámenes'!C736)=1,'Base Exámenes'!D736+ROW()/1000000000,""))</f>
        <v/>
      </c>
      <c r="AL736" t="str">
        <f>IF(OR('Base Exámenes'!C736="",'Base Exámenes'!E736=""),"",IF(COUNTIF('Base Exámenes'!$C$5:C736,'Base Exámenes'!C736)=1,'Base Exámenes'!E736+ROW()/1000000000,""))</f>
        <v/>
      </c>
      <c r="AM736" t="str">
        <f>IF(OR('Base Exámenes'!C736="",'Base Exámenes'!G736=""),"",IF(ROW()-4=MATCH('Base Exámenes'!C736&amp;"|"&amp;_xlfn.MAXIFS('Base Exámenes'!$G$5:$G$1000,'Base Exámenes'!$C$5:$C$1000,'Base Exámenes'!C736),'Base Exámenes'!$I$5:$I$1000,0),'Base Exámenes'!G736*1000000+(-1)*'Base Exámenes'!D736,""))</f>
        <v/>
      </c>
      <c r="AQ736" t="str">
        <f>IF('Base Exámenes'!C736="","",IF(COUNTIF('Base Exámenes'!$C$5:$C$1000,'Base Exámenes'!C736)&lt;2,"",MATCH('Base Exámenes'!C736,'Base Exámenes'!$C$5:$C$1000,0)*10000+ROW()))</f>
        <v/>
      </c>
    </row>
    <row r="737">
      <c r="Z737" t="str">
        <f>IF('Detalle individual'!A737="","",IF(AND(OR('Estado por Colaborador'!$D$4="Todas las gerencias",'Detalle individual'!D737='Estado por Colaborador'!$D$4),OR('Estado por Colaborador'!$D$5="Todos los departamentos",TRIM('Detalle individual'!C737)='Estado por Colaborador'!$D$5),OR('Estado por Colaborador'!$D$6="Todos",'Detalle individual'!F737='Estado por Colaborador'!$D$6)),IF('Detalle individual'!F737="Completado",30000000,IF('Detalle individual'!F737="Pendiente",0,15000000))+COUNTIF('Detalle individual'!$C$5:$C$1000,"&lt;"&amp;'Detalle individual'!C737)*10000+ROW(),""))</f>
        <v/>
      </c>
      <c r="AB737" t="str">
        <f>IF('Detalle individual'!C737="","",IF(COUNTIF('Detalle individual'!$C$5:C737,'Detalle individual'!C737)=1,COUNTIF('Detalle individual'!$C$5:$C$1000,"&lt;"&amp;'Detalle individual'!C737),""))</f>
        <v/>
      </c>
      <c r="AC737" t="str">
        <f>IF('Detalle individual'!D737="","",IF(COUNTIF('Detalle individual'!$D$5:D737,'Detalle individual'!D737)=1,COUNTIF('Detalle individual'!$D$5:$D$1000,"&lt;"&amp;'Detalle individual'!D737),""))</f>
        <v/>
      </c>
      <c r="AH737" t="str">
        <f>IF('Detalle individual'!F737="Pendiente",COUNTIF('Detalle individual'!$D$5:$D$1000,"&lt;"&amp;'Detalle individual'!D737)*1000000+COUNTIF('Detalle individual'!$C$5:$C$1000,"&lt;"&amp;'Detalle individual'!C737)*1000+COUNTIF('Detalle individual'!$B$5:$B$1000,"&lt;"&amp;'Detalle individual'!B737)+ROW()/10000,"")</f>
        <v/>
      </c>
      <c r="AI737" t="str">
        <f>IF('Detalle individual'!F737="Completado",COUNTIF('Detalle individual'!$D$5:$D$1000,"&lt;"&amp;'Detalle individual'!D737)*1000000+COUNTIF('Detalle individual'!$C$5:$C$1000,"&lt;"&amp;'Detalle individual'!C737)*1000+COUNTIF('Detalle individual'!$B$5:$B$1000,"&lt;"&amp;'Detalle individual'!B737)+ROW()/10000,"")</f>
        <v/>
      </c>
      <c r="AJ737" t="str">
        <f>IF(AND('Detalle individual'!F737&lt;&gt;"",'Detalle individual'!F737&lt;&gt;"Completado",'Detalle individual'!F737&lt;&gt;"Pendiente"),COUNTIF('Detalle individual'!$D$5:$D$1000,"&lt;"&amp;'Detalle individual'!D737)*1000000+COUNTIF('Detalle individual'!$C$5:$C$1000,"&lt;"&amp;'Detalle individual'!C737)*1000+COUNTIF('Detalle individual'!$B$5:$B$1000,"&lt;"&amp;'Detalle individual'!B737)+ROW()/10000,"")</f>
        <v/>
      </c>
      <c r="AK737" t="str">
        <f>IF(OR('Base Exámenes'!C737="",'Base Exámenes'!D737=""),"",IF(COUNTIF('Base Exámenes'!$C$5:C737,'Base Exámenes'!C737)=1,'Base Exámenes'!D737+ROW()/1000000000,""))</f>
        <v/>
      </c>
      <c r="AL737" t="str">
        <f>IF(OR('Base Exámenes'!C737="",'Base Exámenes'!E737=""),"",IF(COUNTIF('Base Exámenes'!$C$5:C737,'Base Exámenes'!C737)=1,'Base Exámenes'!E737+ROW()/1000000000,""))</f>
        <v/>
      </c>
      <c r="AM737" t="str">
        <f>IF(OR('Base Exámenes'!C737="",'Base Exámenes'!G737=""),"",IF(ROW()-4=MATCH('Base Exámenes'!C737&amp;"|"&amp;_xlfn.MAXIFS('Base Exámenes'!$G$5:$G$1000,'Base Exámenes'!$C$5:$C$1000,'Base Exámenes'!C737),'Base Exámenes'!$I$5:$I$1000,0),'Base Exámenes'!G737*1000000+(-1)*'Base Exámenes'!D737,""))</f>
        <v/>
      </c>
      <c r="AQ737" t="str">
        <f>IF('Base Exámenes'!C737="","",IF(COUNTIF('Base Exámenes'!$C$5:$C$1000,'Base Exámenes'!C737)&lt;2,"",MATCH('Base Exámenes'!C737,'Base Exámenes'!$C$5:$C$1000,0)*10000+ROW()))</f>
        <v/>
      </c>
    </row>
    <row r="738">
      <c r="Z738" t="str">
        <f>IF('Detalle individual'!A738="","",IF(AND(OR('Estado por Colaborador'!$D$4="Todas las gerencias",'Detalle individual'!D738='Estado por Colaborador'!$D$4),OR('Estado por Colaborador'!$D$5="Todos los departamentos",TRIM('Detalle individual'!C738)='Estado por Colaborador'!$D$5),OR('Estado por Colaborador'!$D$6="Todos",'Detalle individual'!F738='Estado por Colaborador'!$D$6)),IF('Detalle individual'!F738="Completado",30000000,IF('Detalle individual'!F738="Pendiente",0,15000000))+COUNTIF('Detalle individual'!$C$5:$C$1000,"&lt;"&amp;'Detalle individual'!C738)*10000+ROW(),""))</f>
        <v/>
      </c>
      <c r="AB738" t="str">
        <f>IF('Detalle individual'!C738="","",IF(COUNTIF('Detalle individual'!$C$5:C738,'Detalle individual'!C738)=1,COUNTIF('Detalle individual'!$C$5:$C$1000,"&lt;"&amp;'Detalle individual'!C738),""))</f>
        <v/>
      </c>
      <c r="AC738" t="str">
        <f>IF('Detalle individual'!D738="","",IF(COUNTIF('Detalle individual'!$D$5:D738,'Detalle individual'!D738)=1,COUNTIF('Detalle individual'!$D$5:$D$1000,"&lt;"&amp;'Detalle individual'!D738),""))</f>
        <v/>
      </c>
      <c r="AH738" t="str">
        <f>IF('Detalle individual'!F738="Pendiente",COUNTIF('Detalle individual'!$D$5:$D$1000,"&lt;"&amp;'Detalle individual'!D738)*1000000+COUNTIF('Detalle individual'!$C$5:$C$1000,"&lt;"&amp;'Detalle individual'!C738)*1000+COUNTIF('Detalle individual'!$B$5:$B$1000,"&lt;"&amp;'Detalle individual'!B738)+ROW()/10000,"")</f>
        <v/>
      </c>
      <c r="AI738" t="str">
        <f>IF('Detalle individual'!F738="Completado",COUNTIF('Detalle individual'!$D$5:$D$1000,"&lt;"&amp;'Detalle individual'!D738)*1000000+COUNTIF('Detalle individual'!$C$5:$C$1000,"&lt;"&amp;'Detalle individual'!C738)*1000+COUNTIF('Detalle individual'!$B$5:$B$1000,"&lt;"&amp;'Detalle individual'!B738)+ROW()/10000,"")</f>
        <v/>
      </c>
      <c r="AJ738" t="str">
        <f>IF(AND('Detalle individual'!F738&lt;&gt;"",'Detalle individual'!F738&lt;&gt;"Completado",'Detalle individual'!F738&lt;&gt;"Pendiente"),COUNTIF('Detalle individual'!$D$5:$D$1000,"&lt;"&amp;'Detalle individual'!D738)*1000000+COUNTIF('Detalle individual'!$C$5:$C$1000,"&lt;"&amp;'Detalle individual'!C738)*1000+COUNTIF('Detalle individual'!$B$5:$B$1000,"&lt;"&amp;'Detalle individual'!B738)+ROW()/10000,"")</f>
        <v/>
      </c>
      <c r="AK738" t="str">
        <f>IF(OR('Base Exámenes'!C738="",'Base Exámenes'!D738=""),"",IF(COUNTIF('Base Exámenes'!$C$5:C738,'Base Exámenes'!C738)=1,'Base Exámenes'!D738+ROW()/1000000000,""))</f>
        <v/>
      </c>
      <c r="AL738" t="str">
        <f>IF(OR('Base Exámenes'!C738="",'Base Exámenes'!E738=""),"",IF(COUNTIF('Base Exámenes'!$C$5:C738,'Base Exámenes'!C738)=1,'Base Exámenes'!E738+ROW()/1000000000,""))</f>
        <v/>
      </c>
      <c r="AM738" t="str">
        <f>IF(OR('Base Exámenes'!C738="",'Base Exámenes'!G738=""),"",IF(ROW()-4=MATCH('Base Exámenes'!C738&amp;"|"&amp;_xlfn.MAXIFS('Base Exámenes'!$G$5:$G$1000,'Base Exámenes'!$C$5:$C$1000,'Base Exámenes'!C738),'Base Exámenes'!$I$5:$I$1000,0),'Base Exámenes'!G738*1000000+(-1)*'Base Exámenes'!D738,""))</f>
        <v/>
      </c>
      <c r="AQ738" t="str">
        <f>IF('Base Exámenes'!C738="","",IF(COUNTIF('Base Exámenes'!$C$5:$C$1000,'Base Exámenes'!C738)&lt;2,"",MATCH('Base Exámenes'!C738,'Base Exámenes'!$C$5:$C$1000,0)*10000+ROW()))</f>
        <v/>
      </c>
    </row>
    <row r="739">
      <c r="Z739" t="str">
        <f>IF('Detalle individual'!A739="","",IF(AND(OR('Estado por Colaborador'!$D$4="Todas las gerencias",'Detalle individual'!D739='Estado por Colaborador'!$D$4),OR('Estado por Colaborador'!$D$5="Todos los departamentos",TRIM('Detalle individual'!C739)='Estado por Colaborador'!$D$5),OR('Estado por Colaborador'!$D$6="Todos",'Detalle individual'!F739='Estado por Colaborador'!$D$6)),IF('Detalle individual'!F739="Completado",30000000,IF('Detalle individual'!F739="Pendiente",0,15000000))+COUNTIF('Detalle individual'!$C$5:$C$1000,"&lt;"&amp;'Detalle individual'!C739)*10000+ROW(),""))</f>
        <v/>
      </c>
      <c r="AB739" t="str">
        <f>IF('Detalle individual'!C739="","",IF(COUNTIF('Detalle individual'!$C$5:C739,'Detalle individual'!C739)=1,COUNTIF('Detalle individual'!$C$5:$C$1000,"&lt;"&amp;'Detalle individual'!C739),""))</f>
        <v/>
      </c>
      <c r="AC739" t="str">
        <f>IF('Detalle individual'!D739="","",IF(COUNTIF('Detalle individual'!$D$5:D739,'Detalle individual'!D739)=1,COUNTIF('Detalle individual'!$D$5:$D$1000,"&lt;"&amp;'Detalle individual'!D739),""))</f>
        <v/>
      </c>
      <c r="AH739" t="str">
        <f>IF('Detalle individual'!F739="Pendiente",COUNTIF('Detalle individual'!$D$5:$D$1000,"&lt;"&amp;'Detalle individual'!D739)*1000000+COUNTIF('Detalle individual'!$C$5:$C$1000,"&lt;"&amp;'Detalle individual'!C739)*1000+COUNTIF('Detalle individual'!$B$5:$B$1000,"&lt;"&amp;'Detalle individual'!B739)+ROW()/10000,"")</f>
        <v/>
      </c>
      <c r="AI739" t="str">
        <f>IF('Detalle individual'!F739="Completado",COUNTIF('Detalle individual'!$D$5:$D$1000,"&lt;"&amp;'Detalle individual'!D739)*1000000+COUNTIF('Detalle individual'!$C$5:$C$1000,"&lt;"&amp;'Detalle individual'!C739)*1000+COUNTIF('Detalle individual'!$B$5:$B$1000,"&lt;"&amp;'Detalle individual'!B739)+ROW()/10000,"")</f>
        <v/>
      </c>
      <c r="AJ739" t="str">
        <f>IF(AND('Detalle individual'!F739&lt;&gt;"",'Detalle individual'!F739&lt;&gt;"Completado",'Detalle individual'!F739&lt;&gt;"Pendiente"),COUNTIF('Detalle individual'!$D$5:$D$1000,"&lt;"&amp;'Detalle individual'!D739)*1000000+COUNTIF('Detalle individual'!$C$5:$C$1000,"&lt;"&amp;'Detalle individual'!C739)*1000+COUNTIF('Detalle individual'!$B$5:$B$1000,"&lt;"&amp;'Detalle individual'!B739)+ROW()/10000,"")</f>
        <v/>
      </c>
      <c r="AK739" t="str">
        <f>IF(OR('Base Exámenes'!C739="",'Base Exámenes'!D739=""),"",IF(COUNTIF('Base Exámenes'!$C$5:C739,'Base Exámenes'!C739)=1,'Base Exámenes'!D739+ROW()/1000000000,""))</f>
        <v/>
      </c>
      <c r="AL739" t="str">
        <f>IF(OR('Base Exámenes'!C739="",'Base Exámenes'!E739=""),"",IF(COUNTIF('Base Exámenes'!$C$5:C739,'Base Exámenes'!C739)=1,'Base Exámenes'!E739+ROW()/1000000000,""))</f>
        <v/>
      </c>
      <c r="AM739" t="str">
        <f>IF(OR('Base Exámenes'!C739="",'Base Exámenes'!G739=""),"",IF(ROW()-4=MATCH('Base Exámenes'!C739&amp;"|"&amp;_xlfn.MAXIFS('Base Exámenes'!$G$5:$G$1000,'Base Exámenes'!$C$5:$C$1000,'Base Exámenes'!C739),'Base Exámenes'!$I$5:$I$1000,0),'Base Exámenes'!G739*1000000+(-1)*'Base Exámenes'!D739,""))</f>
        <v/>
      </c>
      <c r="AQ739" t="str">
        <f>IF('Base Exámenes'!C739="","",IF(COUNTIF('Base Exámenes'!$C$5:$C$1000,'Base Exámenes'!C739)&lt;2,"",MATCH('Base Exámenes'!C739,'Base Exámenes'!$C$5:$C$1000,0)*10000+ROW()))</f>
        <v/>
      </c>
    </row>
    <row r="740">
      <c r="Z740" t="str">
        <f>IF('Detalle individual'!A740="","",IF(AND(OR('Estado por Colaborador'!$D$4="Todas las gerencias",'Detalle individual'!D740='Estado por Colaborador'!$D$4),OR('Estado por Colaborador'!$D$5="Todos los departamentos",TRIM('Detalle individual'!C740)='Estado por Colaborador'!$D$5),OR('Estado por Colaborador'!$D$6="Todos",'Detalle individual'!F740='Estado por Colaborador'!$D$6)),IF('Detalle individual'!F740="Completado",30000000,IF('Detalle individual'!F740="Pendiente",0,15000000))+COUNTIF('Detalle individual'!$C$5:$C$1000,"&lt;"&amp;'Detalle individual'!C740)*10000+ROW(),""))</f>
        <v/>
      </c>
      <c r="AB740" t="str">
        <f>IF('Detalle individual'!C740="","",IF(COUNTIF('Detalle individual'!$C$5:C740,'Detalle individual'!C740)=1,COUNTIF('Detalle individual'!$C$5:$C$1000,"&lt;"&amp;'Detalle individual'!C740),""))</f>
        <v/>
      </c>
      <c r="AC740" t="str">
        <f>IF('Detalle individual'!D740="","",IF(COUNTIF('Detalle individual'!$D$5:D740,'Detalle individual'!D740)=1,COUNTIF('Detalle individual'!$D$5:$D$1000,"&lt;"&amp;'Detalle individual'!D740),""))</f>
        <v/>
      </c>
      <c r="AH740" t="str">
        <f>IF('Detalle individual'!F740="Pendiente",COUNTIF('Detalle individual'!$D$5:$D$1000,"&lt;"&amp;'Detalle individual'!D740)*1000000+COUNTIF('Detalle individual'!$C$5:$C$1000,"&lt;"&amp;'Detalle individual'!C740)*1000+COUNTIF('Detalle individual'!$B$5:$B$1000,"&lt;"&amp;'Detalle individual'!B740)+ROW()/10000,"")</f>
        <v/>
      </c>
      <c r="AI740" t="str">
        <f>IF('Detalle individual'!F740="Completado",COUNTIF('Detalle individual'!$D$5:$D$1000,"&lt;"&amp;'Detalle individual'!D740)*1000000+COUNTIF('Detalle individual'!$C$5:$C$1000,"&lt;"&amp;'Detalle individual'!C740)*1000+COUNTIF('Detalle individual'!$B$5:$B$1000,"&lt;"&amp;'Detalle individual'!B740)+ROW()/10000,"")</f>
        <v/>
      </c>
      <c r="AJ740" t="str">
        <f>IF(AND('Detalle individual'!F740&lt;&gt;"",'Detalle individual'!F740&lt;&gt;"Completado",'Detalle individual'!F740&lt;&gt;"Pendiente"),COUNTIF('Detalle individual'!$D$5:$D$1000,"&lt;"&amp;'Detalle individual'!D740)*1000000+COUNTIF('Detalle individual'!$C$5:$C$1000,"&lt;"&amp;'Detalle individual'!C740)*1000+COUNTIF('Detalle individual'!$B$5:$B$1000,"&lt;"&amp;'Detalle individual'!B740)+ROW()/10000,"")</f>
        <v/>
      </c>
      <c r="AK740" t="str">
        <f>IF(OR('Base Exámenes'!C740="",'Base Exámenes'!D740=""),"",IF(COUNTIF('Base Exámenes'!$C$5:C740,'Base Exámenes'!C740)=1,'Base Exámenes'!D740+ROW()/1000000000,""))</f>
        <v/>
      </c>
      <c r="AL740" t="str">
        <f>IF(OR('Base Exámenes'!C740="",'Base Exámenes'!E740=""),"",IF(COUNTIF('Base Exámenes'!$C$5:C740,'Base Exámenes'!C740)=1,'Base Exámenes'!E740+ROW()/1000000000,""))</f>
        <v/>
      </c>
      <c r="AM740" t="str">
        <f>IF(OR('Base Exámenes'!C740="",'Base Exámenes'!G740=""),"",IF(ROW()-4=MATCH('Base Exámenes'!C740&amp;"|"&amp;_xlfn.MAXIFS('Base Exámenes'!$G$5:$G$1000,'Base Exámenes'!$C$5:$C$1000,'Base Exámenes'!C740),'Base Exámenes'!$I$5:$I$1000,0),'Base Exámenes'!G740*1000000+(-1)*'Base Exámenes'!D740,""))</f>
        <v/>
      </c>
      <c r="AQ740" t="str">
        <f>IF('Base Exámenes'!C740="","",IF(COUNTIF('Base Exámenes'!$C$5:$C$1000,'Base Exámenes'!C740)&lt;2,"",MATCH('Base Exámenes'!C740,'Base Exámenes'!$C$5:$C$1000,0)*10000+ROW()))</f>
        <v/>
      </c>
    </row>
    <row r="741">
      <c r="Z741" t="str">
        <f>IF('Detalle individual'!A741="","",IF(AND(OR('Estado por Colaborador'!$D$4="Todas las gerencias",'Detalle individual'!D741='Estado por Colaborador'!$D$4),OR('Estado por Colaborador'!$D$5="Todos los departamentos",TRIM('Detalle individual'!C741)='Estado por Colaborador'!$D$5),OR('Estado por Colaborador'!$D$6="Todos",'Detalle individual'!F741='Estado por Colaborador'!$D$6)),IF('Detalle individual'!F741="Completado",30000000,IF('Detalle individual'!F741="Pendiente",0,15000000))+COUNTIF('Detalle individual'!$C$5:$C$1000,"&lt;"&amp;'Detalle individual'!C741)*10000+ROW(),""))</f>
        <v/>
      </c>
      <c r="AB741" t="str">
        <f>IF('Detalle individual'!C741="","",IF(COUNTIF('Detalle individual'!$C$5:C741,'Detalle individual'!C741)=1,COUNTIF('Detalle individual'!$C$5:$C$1000,"&lt;"&amp;'Detalle individual'!C741),""))</f>
        <v/>
      </c>
      <c r="AC741" t="str">
        <f>IF('Detalle individual'!D741="","",IF(COUNTIF('Detalle individual'!$D$5:D741,'Detalle individual'!D741)=1,COUNTIF('Detalle individual'!$D$5:$D$1000,"&lt;"&amp;'Detalle individual'!D741),""))</f>
        <v/>
      </c>
      <c r="AH741" t="str">
        <f>IF('Detalle individual'!F741="Pendiente",COUNTIF('Detalle individual'!$D$5:$D$1000,"&lt;"&amp;'Detalle individual'!D741)*1000000+COUNTIF('Detalle individual'!$C$5:$C$1000,"&lt;"&amp;'Detalle individual'!C741)*1000+COUNTIF('Detalle individual'!$B$5:$B$1000,"&lt;"&amp;'Detalle individual'!B741)+ROW()/10000,"")</f>
        <v/>
      </c>
      <c r="AI741" t="str">
        <f>IF('Detalle individual'!F741="Completado",COUNTIF('Detalle individual'!$D$5:$D$1000,"&lt;"&amp;'Detalle individual'!D741)*1000000+COUNTIF('Detalle individual'!$C$5:$C$1000,"&lt;"&amp;'Detalle individual'!C741)*1000+COUNTIF('Detalle individual'!$B$5:$B$1000,"&lt;"&amp;'Detalle individual'!B741)+ROW()/10000,"")</f>
        <v/>
      </c>
      <c r="AJ741" t="str">
        <f>IF(AND('Detalle individual'!F741&lt;&gt;"",'Detalle individual'!F741&lt;&gt;"Completado",'Detalle individual'!F741&lt;&gt;"Pendiente"),COUNTIF('Detalle individual'!$D$5:$D$1000,"&lt;"&amp;'Detalle individual'!D741)*1000000+COUNTIF('Detalle individual'!$C$5:$C$1000,"&lt;"&amp;'Detalle individual'!C741)*1000+COUNTIF('Detalle individual'!$B$5:$B$1000,"&lt;"&amp;'Detalle individual'!B741)+ROW()/10000,"")</f>
        <v/>
      </c>
      <c r="AK741" t="str">
        <f>IF(OR('Base Exámenes'!C741="",'Base Exámenes'!D741=""),"",IF(COUNTIF('Base Exámenes'!$C$5:C741,'Base Exámenes'!C741)=1,'Base Exámenes'!D741+ROW()/1000000000,""))</f>
        <v/>
      </c>
      <c r="AL741" t="str">
        <f>IF(OR('Base Exámenes'!C741="",'Base Exámenes'!E741=""),"",IF(COUNTIF('Base Exámenes'!$C$5:C741,'Base Exámenes'!C741)=1,'Base Exámenes'!E741+ROW()/1000000000,""))</f>
        <v/>
      </c>
      <c r="AM741" t="str">
        <f>IF(OR('Base Exámenes'!C741="",'Base Exámenes'!G741=""),"",IF(ROW()-4=MATCH('Base Exámenes'!C741&amp;"|"&amp;_xlfn.MAXIFS('Base Exámenes'!$G$5:$G$1000,'Base Exámenes'!$C$5:$C$1000,'Base Exámenes'!C741),'Base Exámenes'!$I$5:$I$1000,0),'Base Exámenes'!G741*1000000+(-1)*'Base Exámenes'!D741,""))</f>
        <v/>
      </c>
      <c r="AQ741" t="str">
        <f>IF('Base Exámenes'!C741="","",IF(COUNTIF('Base Exámenes'!$C$5:$C$1000,'Base Exámenes'!C741)&lt;2,"",MATCH('Base Exámenes'!C741,'Base Exámenes'!$C$5:$C$1000,0)*10000+ROW()))</f>
        <v/>
      </c>
    </row>
    <row r="742">
      <c r="Z742" t="str">
        <f>IF('Detalle individual'!A742="","",IF(AND(OR('Estado por Colaborador'!$D$4="Todas las gerencias",'Detalle individual'!D742='Estado por Colaborador'!$D$4),OR('Estado por Colaborador'!$D$5="Todos los departamentos",TRIM('Detalle individual'!C742)='Estado por Colaborador'!$D$5),OR('Estado por Colaborador'!$D$6="Todos",'Detalle individual'!F742='Estado por Colaborador'!$D$6)),IF('Detalle individual'!F742="Completado",30000000,IF('Detalle individual'!F742="Pendiente",0,15000000))+COUNTIF('Detalle individual'!$C$5:$C$1000,"&lt;"&amp;'Detalle individual'!C742)*10000+ROW(),""))</f>
        <v/>
      </c>
      <c r="AB742" t="str">
        <f>IF('Detalle individual'!C742="","",IF(COUNTIF('Detalle individual'!$C$5:C742,'Detalle individual'!C742)=1,COUNTIF('Detalle individual'!$C$5:$C$1000,"&lt;"&amp;'Detalle individual'!C742),""))</f>
        <v/>
      </c>
      <c r="AC742" t="str">
        <f>IF('Detalle individual'!D742="","",IF(COUNTIF('Detalle individual'!$D$5:D742,'Detalle individual'!D742)=1,COUNTIF('Detalle individual'!$D$5:$D$1000,"&lt;"&amp;'Detalle individual'!D742),""))</f>
        <v/>
      </c>
      <c r="AH742" t="str">
        <f>IF('Detalle individual'!F742="Pendiente",COUNTIF('Detalle individual'!$D$5:$D$1000,"&lt;"&amp;'Detalle individual'!D742)*1000000+COUNTIF('Detalle individual'!$C$5:$C$1000,"&lt;"&amp;'Detalle individual'!C742)*1000+COUNTIF('Detalle individual'!$B$5:$B$1000,"&lt;"&amp;'Detalle individual'!B742)+ROW()/10000,"")</f>
        <v/>
      </c>
      <c r="AI742" t="str">
        <f>IF('Detalle individual'!F742="Completado",COUNTIF('Detalle individual'!$D$5:$D$1000,"&lt;"&amp;'Detalle individual'!D742)*1000000+COUNTIF('Detalle individual'!$C$5:$C$1000,"&lt;"&amp;'Detalle individual'!C742)*1000+COUNTIF('Detalle individual'!$B$5:$B$1000,"&lt;"&amp;'Detalle individual'!B742)+ROW()/10000,"")</f>
        <v/>
      </c>
      <c r="AJ742" t="str">
        <f>IF(AND('Detalle individual'!F742&lt;&gt;"",'Detalle individual'!F742&lt;&gt;"Completado",'Detalle individual'!F742&lt;&gt;"Pendiente"),COUNTIF('Detalle individual'!$D$5:$D$1000,"&lt;"&amp;'Detalle individual'!D742)*1000000+COUNTIF('Detalle individual'!$C$5:$C$1000,"&lt;"&amp;'Detalle individual'!C742)*1000+COUNTIF('Detalle individual'!$B$5:$B$1000,"&lt;"&amp;'Detalle individual'!B742)+ROW()/10000,"")</f>
        <v/>
      </c>
      <c r="AK742" t="str">
        <f>IF(OR('Base Exámenes'!C742="",'Base Exámenes'!D742=""),"",IF(COUNTIF('Base Exámenes'!$C$5:C742,'Base Exámenes'!C742)=1,'Base Exámenes'!D742+ROW()/1000000000,""))</f>
        <v/>
      </c>
      <c r="AL742" t="str">
        <f>IF(OR('Base Exámenes'!C742="",'Base Exámenes'!E742=""),"",IF(COUNTIF('Base Exámenes'!$C$5:C742,'Base Exámenes'!C742)=1,'Base Exámenes'!E742+ROW()/1000000000,""))</f>
        <v/>
      </c>
      <c r="AM742" t="str">
        <f>IF(OR('Base Exámenes'!C742="",'Base Exámenes'!G742=""),"",IF(ROW()-4=MATCH('Base Exámenes'!C742&amp;"|"&amp;_xlfn.MAXIFS('Base Exámenes'!$G$5:$G$1000,'Base Exámenes'!$C$5:$C$1000,'Base Exámenes'!C742),'Base Exámenes'!$I$5:$I$1000,0),'Base Exámenes'!G742*1000000+(-1)*'Base Exámenes'!D742,""))</f>
        <v/>
      </c>
      <c r="AQ742" t="str">
        <f>IF('Base Exámenes'!C742="","",IF(COUNTIF('Base Exámenes'!$C$5:$C$1000,'Base Exámenes'!C742)&lt;2,"",MATCH('Base Exámenes'!C742,'Base Exámenes'!$C$5:$C$1000,0)*10000+ROW()))</f>
        <v/>
      </c>
    </row>
    <row r="743">
      <c r="Z743" t="str">
        <f>IF('Detalle individual'!A743="","",IF(AND(OR('Estado por Colaborador'!$D$4="Todas las gerencias",'Detalle individual'!D743='Estado por Colaborador'!$D$4),OR('Estado por Colaborador'!$D$5="Todos los departamentos",TRIM('Detalle individual'!C743)='Estado por Colaborador'!$D$5),OR('Estado por Colaborador'!$D$6="Todos",'Detalle individual'!F743='Estado por Colaborador'!$D$6)),IF('Detalle individual'!F743="Completado",30000000,IF('Detalle individual'!F743="Pendiente",0,15000000))+COUNTIF('Detalle individual'!$C$5:$C$1000,"&lt;"&amp;'Detalle individual'!C743)*10000+ROW(),""))</f>
        <v/>
      </c>
      <c r="AB743" t="str">
        <f>IF('Detalle individual'!C743="","",IF(COUNTIF('Detalle individual'!$C$5:C743,'Detalle individual'!C743)=1,COUNTIF('Detalle individual'!$C$5:$C$1000,"&lt;"&amp;'Detalle individual'!C743),""))</f>
        <v/>
      </c>
      <c r="AC743" t="str">
        <f>IF('Detalle individual'!D743="","",IF(COUNTIF('Detalle individual'!$D$5:D743,'Detalle individual'!D743)=1,COUNTIF('Detalle individual'!$D$5:$D$1000,"&lt;"&amp;'Detalle individual'!D743),""))</f>
        <v/>
      </c>
      <c r="AH743" t="str">
        <f>IF('Detalle individual'!F743="Pendiente",COUNTIF('Detalle individual'!$D$5:$D$1000,"&lt;"&amp;'Detalle individual'!D743)*1000000+COUNTIF('Detalle individual'!$C$5:$C$1000,"&lt;"&amp;'Detalle individual'!C743)*1000+COUNTIF('Detalle individual'!$B$5:$B$1000,"&lt;"&amp;'Detalle individual'!B743)+ROW()/10000,"")</f>
        <v/>
      </c>
      <c r="AI743" t="str">
        <f>IF('Detalle individual'!F743="Completado",COUNTIF('Detalle individual'!$D$5:$D$1000,"&lt;"&amp;'Detalle individual'!D743)*1000000+COUNTIF('Detalle individual'!$C$5:$C$1000,"&lt;"&amp;'Detalle individual'!C743)*1000+COUNTIF('Detalle individual'!$B$5:$B$1000,"&lt;"&amp;'Detalle individual'!B743)+ROW()/10000,"")</f>
        <v/>
      </c>
      <c r="AJ743" t="str">
        <f>IF(AND('Detalle individual'!F743&lt;&gt;"",'Detalle individual'!F743&lt;&gt;"Completado",'Detalle individual'!F743&lt;&gt;"Pendiente"),COUNTIF('Detalle individual'!$D$5:$D$1000,"&lt;"&amp;'Detalle individual'!D743)*1000000+COUNTIF('Detalle individual'!$C$5:$C$1000,"&lt;"&amp;'Detalle individual'!C743)*1000+COUNTIF('Detalle individual'!$B$5:$B$1000,"&lt;"&amp;'Detalle individual'!B743)+ROW()/10000,"")</f>
        <v/>
      </c>
      <c r="AK743" t="str">
        <f>IF(OR('Base Exámenes'!C743="",'Base Exámenes'!D743=""),"",IF(COUNTIF('Base Exámenes'!$C$5:C743,'Base Exámenes'!C743)=1,'Base Exámenes'!D743+ROW()/1000000000,""))</f>
        <v/>
      </c>
      <c r="AL743" t="str">
        <f>IF(OR('Base Exámenes'!C743="",'Base Exámenes'!E743=""),"",IF(COUNTIF('Base Exámenes'!$C$5:C743,'Base Exámenes'!C743)=1,'Base Exámenes'!E743+ROW()/1000000000,""))</f>
        <v/>
      </c>
      <c r="AM743" t="str">
        <f>IF(OR('Base Exámenes'!C743="",'Base Exámenes'!G743=""),"",IF(ROW()-4=MATCH('Base Exámenes'!C743&amp;"|"&amp;_xlfn.MAXIFS('Base Exámenes'!$G$5:$G$1000,'Base Exámenes'!$C$5:$C$1000,'Base Exámenes'!C743),'Base Exámenes'!$I$5:$I$1000,0),'Base Exámenes'!G743*1000000+(-1)*'Base Exámenes'!D743,""))</f>
        <v/>
      </c>
      <c r="AQ743" t="str">
        <f>IF('Base Exámenes'!C743="","",IF(COUNTIF('Base Exámenes'!$C$5:$C$1000,'Base Exámenes'!C743)&lt;2,"",MATCH('Base Exámenes'!C743,'Base Exámenes'!$C$5:$C$1000,0)*10000+ROW()))</f>
        <v/>
      </c>
    </row>
    <row r="744">
      <c r="Z744" t="str">
        <f>IF('Detalle individual'!A744="","",IF(AND(OR('Estado por Colaborador'!$D$4="Todas las gerencias",'Detalle individual'!D744='Estado por Colaborador'!$D$4),OR('Estado por Colaborador'!$D$5="Todos los departamentos",TRIM('Detalle individual'!C744)='Estado por Colaborador'!$D$5),OR('Estado por Colaborador'!$D$6="Todos",'Detalle individual'!F744='Estado por Colaborador'!$D$6)),IF('Detalle individual'!F744="Completado",30000000,IF('Detalle individual'!F744="Pendiente",0,15000000))+COUNTIF('Detalle individual'!$C$5:$C$1000,"&lt;"&amp;'Detalle individual'!C744)*10000+ROW(),""))</f>
        <v/>
      </c>
      <c r="AB744" t="str">
        <f>IF('Detalle individual'!C744="","",IF(COUNTIF('Detalle individual'!$C$5:C744,'Detalle individual'!C744)=1,COUNTIF('Detalle individual'!$C$5:$C$1000,"&lt;"&amp;'Detalle individual'!C744),""))</f>
        <v/>
      </c>
      <c r="AC744" t="str">
        <f>IF('Detalle individual'!D744="","",IF(COUNTIF('Detalle individual'!$D$5:D744,'Detalle individual'!D744)=1,COUNTIF('Detalle individual'!$D$5:$D$1000,"&lt;"&amp;'Detalle individual'!D744),""))</f>
        <v/>
      </c>
      <c r="AH744" t="str">
        <f>IF('Detalle individual'!F744="Pendiente",COUNTIF('Detalle individual'!$D$5:$D$1000,"&lt;"&amp;'Detalle individual'!D744)*1000000+COUNTIF('Detalle individual'!$C$5:$C$1000,"&lt;"&amp;'Detalle individual'!C744)*1000+COUNTIF('Detalle individual'!$B$5:$B$1000,"&lt;"&amp;'Detalle individual'!B744)+ROW()/10000,"")</f>
        <v/>
      </c>
      <c r="AI744" t="str">
        <f>IF('Detalle individual'!F744="Completado",COUNTIF('Detalle individual'!$D$5:$D$1000,"&lt;"&amp;'Detalle individual'!D744)*1000000+COUNTIF('Detalle individual'!$C$5:$C$1000,"&lt;"&amp;'Detalle individual'!C744)*1000+COUNTIF('Detalle individual'!$B$5:$B$1000,"&lt;"&amp;'Detalle individual'!B744)+ROW()/10000,"")</f>
        <v/>
      </c>
      <c r="AJ744" t="str">
        <f>IF(AND('Detalle individual'!F744&lt;&gt;"",'Detalle individual'!F744&lt;&gt;"Completado",'Detalle individual'!F744&lt;&gt;"Pendiente"),COUNTIF('Detalle individual'!$D$5:$D$1000,"&lt;"&amp;'Detalle individual'!D744)*1000000+COUNTIF('Detalle individual'!$C$5:$C$1000,"&lt;"&amp;'Detalle individual'!C744)*1000+COUNTIF('Detalle individual'!$B$5:$B$1000,"&lt;"&amp;'Detalle individual'!B744)+ROW()/10000,"")</f>
        <v/>
      </c>
      <c r="AK744" t="str">
        <f>IF(OR('Base Exámenes'!C744="",'Base Exámenes'!D744=""),"",IF(COUNTIF('Base Exámenes'!$C$5:C744,'Base Exámenes'!C744)=1,'Base Exámenes'!D744+ROW()/1000000000,""))</f>
        <v/>
      </c>
      <c r="AL744" t="str">
        <f>IF(OR('Base Exámenes'!C744="",'Base Exámenes'!E744=""),"",IF(COUNTIF('Base Exámenes'!$C$5:C744,'Base Exámenes'!C744)=1,'Base Exámenes'!E744+ROW()/1000000000,""))</f>
        <v/>
      </c>
      <c r="AM744" t="str">
        <f>IF(OR('Base Exámenes'!C744="",'Base Exámenes'!G744=""),"",IF(ROW()-4=MATCH('Base Exámenes'!C744&amp;"|"&amp;_xlfn.MAXIFS('Base Exámenes'!$G$5:$G$1000,'Base Exámenes'!$C$5:$C$1000,'Base Exámenes'!C744),'Base Exámenes'!$I$5:$I$1000,0),'Base Exámenes'!G744*1000000+(-1)*'Base Exámenes'!D744,""))</f>
        <v/>
      </c>
      <c r="AQ744" t="str">
        <f>IF('Base Exámenes'!C744="","",IF(COUNTIF('Base Exámenes'!$C$5:$C$1000,'Base Exámenes'!C744)&lt;2,"",MATCH('Base Exámenes'!C744,'Base Exámenes'!$C$5:$C$1000,0)*10000+ROW()))</f>
        <v/>
      </c>
    </row>
    <row r="745">
      <c r="Z745" t="str">
        <f>IF('Detalle individual'!A745="","",IF(AND(OR('Estado por Colaborador'!$D$4="Todas las gerencias",'Detalle individual'!D745='Estado por Colaborador'!$D$4),OR('Estado por Colaborador'!$D$5="Todos los departamentos",TRIM('Detalle individual'!C745)='Estado por Colaborador'!$D$5),OR('Estado por Colaborador'!$D$6="Todos",'Detalle individual'!F745='Estado por Colaborador'!$D$6)),IF('Detalle individual'!F745="Completado",30000000,IF('Detalle individual'!F745="Pendiente",0,15000000))+COUNTIF('Detalle individual'!$C$5:$C$1000,"&lt;"&amp;'Detalle individual'!C745)*10000+ROW(),""))</f>
        <v/>
      </c>
      <c r="AB745" t="str">
        <f>IF('Detalle individual'!C745="","",IF(COUNTIF('Detalle individual'!$C$5:C745,'Detalle individual'!C745)=1,COUNTIF('Detalle individual'!$C$5:$C$1000,"&lt;"&amp;'Detalle individual'!C745),""))</f>
        <v/>
      </c>
      <c r="AC745" t="str">
        <f>IF('Detalle individual'!D745="","",IF(COUNTIF('Detalle individual'!$D$5:D745,'Detalle individual'!D745)=1,COUNTIF('Detalle individual'!$D$5:$D$1000,"&lt;"&amp;'Detalle individual'!D745),""))</f>
        <v/>
      </c>
      <c r="AH745" t="str">
        <f>IF('Detalle individual'!F745="Pendiente",COUNTIF('Detalle individual'!$D$5:$D$1000,"&lt;"&amp;'Detalle individual'!D745)*1000000+COUNTIF('Detalle individual'!$C$5:$C$1000,"&lt;"&amp;'Detalle individual'!C745)*1000+COUNTIF('Detalle individual'!$B$5:$B$1000,"&lt;"&amp;'Detalle individual'!B745)+ROW()/10000,"")</f>
        <v/>
      </c>
      <c r="AI745" t="str">
        <f>IF('Detalle individual'!F745="Completado",COUNTIF('Detalle individual'!$D$5:$D$1000,"&lt;"&amp;'Detalle individual'!D745)*1000000+COUNTIF('Detalle individual'!$C$5:$C$1000,"&lt;"&amp;'Detalle individual'!C745)*1000+COUNTIF('Detalle individual'!$B$5:$B$1000,"&lt;"&amp;'Detalle individual'!B745)+ROW()/10000,"")</f>
        <v/>
      </c>
      <c r="AJ745" t="str">
        <f>IF(AND('Detalle individual'!F745&lt;&gt;"",'Detalle individual'!F745&lt;&gt;"Completado",'Detalle individual'!F745&lt;&gt;"Pendiente"),COUNTIF('Detalle individual'!$D$5:$D$1000,"&lt;"&amp;'Detalle individual'!D745)*1000000+COUNTIF('Detalle individual'!$C$5:$C$1000,"&lt;"&amp;'Detalle individual'!C745)*1000+COUNTIF('Detalle individual'!$B$5:$B$1000,"&lt;"&amp;'Detalle individual'!B745)+ROW()/10000,"")</f>
        <v/>
      </c>
      <c r="AK745" t="str">
        <f>IF(OR('Base Exámenes'!C745="",'Base Exámenes'!D745=""),"",IF(COUNTIF('Base Exámenes'!$C$5:C745,'Base Exámenes'!C745)=1,'Base Exámenes'!D745+ROW()/1000000000,""))</f>
        <v/>
      </c>
      <c r="AL745" t="str">
        <f>IF(OR('Base Exámenes'!C745="",'Base Exámenes'!E745=""),"",IF(COUNTIF('Base Exámenes'!$C$5:C745,'Base Exámenes'!C745)=1,'Base Exámenes'!E745+ROW()/1000000000,""))</f>
        <v/>
      </c>
      <c r="AM745" t="str">
        <f>IF(OR('Base Exámenes'!C745="",'Base Exámenes'!G745=""),"",IF(ROW()-4=MATCH('Base Exámenes'!C745&amp;"|"&amp;_xlfn.MAXIFS('Base Exámenes'!$G$5:$G$1000,'Base Exámenes'!$C$5:$C$1000,'Base Exámenes'!C745),'Base Exámenes'!$I$5:$I$1000,0),'Base Exámenes'!G745*1000000+(-1)*'Base Exámenes'!D745,""))</f>
        <v/>
      </c>
      <c r="AQ745" t="str">
        <f>IF('Base Exámenes'!C745="","",IF(COUNTIF('Base Exámenes'!$C$5:$C$1000,'Base Exámenes'!C745)&lt;2,"",MATCH('Base Exámenes'!C745,'Base Exámenes'!$C$5:$C$1000,0)*10000+ROW()))</f>
        <v/>
      </c>
    </row>
    <row r="746">
      <c r="Z746" t="str">
        <f>IF('Detalle individual'!A746="","",IF(AND(OR('Estado por Colaborador'!$D$4="Todas las gerencias",'Detalle individual'!D746='Estado por Colaborador'!$D$4),OR('Estado por Colaborador'!$D$5="Todos los departamentos",TRIM('Detalle individual'!C746)='Estado por Colaborador'!$D$5),OR('Estado por Colaborador'!$D$6="Todos",'Detalle individual'!F746='Estado por Colaborador'!$D$6)),IF('Detalle individual'!F746="Completado",30000000,IF('Detalle individual'!F746="Pendiente",0,15000000))+COUNTIF('Detalle individual'!$C$5:$C$1000,"&lt;"&amp;'Detalle individual'!C746)*10000+ROW(),""))</f>
        <v/>
      </c>
      <c r="AB746" t="str">
        <f>IF('Detalle individual'!C746="","",IF(COUNTIF('Detalle individual'!$C$5:C746,'Detalle individual'!C746)=1,COUNTIF('Detalle individual'!$C$5:$C$1000,"&lt;"&amp;'Detalle individual'!C746),""))</f>
        <v/>
      </c>
      <c r="AC746" t="str">
        <f>IF('Detalle individual'!D746="","",IF(COUNTIF('Detalle individual'!$D$5:D746,'Detalle individual'!D746)=1,COUNTIF('Detalle individual'!$D$5:$D$1000,"&lt;"&amp;'Detalle individual'!D746),""))</f>
        <v/>
      </c>
      <c r="AH746" t="str">
        <f>IF('Detalle individual'!F746="Pendiente",COUNTIF('Detalle individual'!$D$5:$D$1000,"&lt;"&amp;'Detalle individual'!D746)*1000000+COUNTIF('Detalle individual'!$C$5:$C$1000,"&lt;"&amp;'Detalle individual'!C746)*1000+COUNTIF('Detalle individual'!$B$5:$B$1000,"&lt;"&amp;'Detalle individual'!B746)+ROW()/10000,"")</f>
        <v/>
      </c>
      <c r="AI746" t="str">
        <f>IF('Detalle individual'!F746="Completado",COUNTIF('Detalle individual'!$D$5:$D$1000,"&lt;"&amp;'Detalle individual'!D746)*1000000+COUNTIF('Detalle individual'!$C$5:$C$1000,"&lt;"&amp;'Detalle individual'!C746)*1000+COUNTIF('Detalle individual'!$B$5:$B$1000,"&lt;"&amp;'Detalle individual'!B746)+ROW()/10000,"")</f>
        <v/>
      </c>
      <c r="AJ746" t="str">
        <f>IF(AND('Detalle individual'!F746&lt;&gt;"",'Detalle individual'!F746&lt;&gt;"Completado",'Detalle individual'!F746&lt;&gt;"Pendiente"),COUNTIF('Detalle individual'!$D$5:$D$1000,"&lt;"&amp;'Detalle individual'!D746)*1000000+COUNTIF('Detalle individual'!$C$5:$C$1000,"&lt;"&amp;'Detalle individual'!C746)*1000+COUNTIF('Detalle individual'!$B$5:$B$1000,"&lt;"&amp;'Detalle individual'!B746)+ROW()/10000,"")</f>
        <v/>
      </c>
      <c r="AK746" t="str">
        <f>IF(OR('Base Exámenes'!C746="",'Base Exámenes'!D746=""),"",IF(COUNTIF('Base Exámenes'!$C$5:C746,'Base Exámenes'!C746)=1,'Base Exámenes'!D746+ROW()/1000000000,""))</f>
        <v/>
      </c>
      <c r="AL746" t="str">
        <f>IF(OR('Base Exámenes'!C746="",'Base Exámenes'!E746=""),"",IF(COUNTIF('Base Exámenes'!$C$5:C746,'Base Exámenes'!C746)=1,'Base Exámenes'!E746+ROW()/1000000000,""))</f>
        <v/>
      </c>
      <c r="AM746" t="str">
        <f>IF(OR('Base Exámenes'!C746="",'Base Exámenes'!G746=""),"",IF(ROW()-4=MATCH('Base Exámenes'!C746&amp;"|"&amp;_xlfn.MAXIFS('Base Exámenes'!$G$5:$G$1000,'Base Exámenes'!$C$5:$C$1000,'Base Exámenes'!C746),'Base Exámenes'!$I$5:$I$1000,0),'Base Exámenes'!G746*1000000+(-1)*'Base Exámenes'!D746,""))</f>
        <v/>
      </c>
      <c r="AQ746" t="str">
        <f>IF('Base Exámenes'!C746="","",IF(COUNTIF('Base Exámenes'!$C$5:$C$1000,'Base Exámenes'!C746)&lt;2,"",MATCH('Base Exámenes'!C746,'Base Exámenes'!$C$5:$C$1000,0)*10000+ROW()))</f>
        <v/>
      </c>
    </row>
    <row r="747">
      <c r="Z747" t="str">
        <f>IF('Detalle individual'!A747="","",IF(AND(OR('Estado por Colaborador'!$D$4="Todas las gerencias",'Detalle individual'!D747='Estado por Colaborador'!$D$4),OR('Estado por Colaborador'!$D$5="Todos los departamentos",TRIM('Detalle individual'!C747)='Estado por Colaborador'!$D$5),OR('Estado por Colaborador'!$D$6="Todos",'Detalle individual'!F747='Estado por Colaborador'!$D$6)),IF('Detalle individual'!F747="Completado",30000000,IF('Detalle individual'!F747="Pendiente",0,15000000))+COUNTIF('Detalle individual'!$C$5:$C$1000,"&lt;"&amp;'Detalle individual'!C747)*10000+ROW(),""))</f>
        <v/>
      </c>
      <c r="AB747" t="str">
        <f>IF('Detalle individual'!C747="","",IF(COUNTIF('Detalle individual'!$C$5:C747,'Detalle individual'!C747)=1,COUNTIF('Detalle individual'!$C$5:$C$1000,"&lt;"&amp;'Detalle individual'!C747),""))</f>
        <v/>
      </c>
      <c r="AC747" t="str">
        <f>IF('Detalle individual'!D747="","",IF(COUNTIF('Detalle individual'!$D$5:D747,'Detalle individual'!D747)=1,COUNTIF('Detalle individual'!$D$5:$D$1000,"&lt;"&amp;'Detalle individual'!D747),""))</f>
        <v/>
      </c>
      <c r="AH747" t="str">
        <f>IF('Detalle individual'!F747="Pendiente",COUNTIF('Detalle individual'!$D$5:$D$1000,"&lt;"&amp;'Detalle individual'!D747)*1000000+COUNTIF('Detalle individual'!$C$5:$C$1000,"&lt;"&amp;'Detalle individual'!C747)*1000+COUNTIF('Detalle individual'!$B$5:$B$1000,"&lt;"&amp;'Detalle individual'!B747)+ROW()/10000,"")</f>
        <v/>
      </c>
      <c r="AI747" t="str">
        <f>IF('Detalle individual'!F747="Completado",COUNTIF('Detalle individual'!$D$5:$D$1000,"&lt;"&amp;'Detalle individual'!D747)*1000000+COUNTIF('Detalle individual'!$C$5:$C$1000,"&lt;"&amp;'Detalle individual'!C747)*1000+COUNTIF('Detalle individual'!$B$5:$B$1000,"&lt;"&amp;'Detalle individual'!B747)+ROW()/10000,"")</f>
        <v/>
      </c>
      <c r="AJ747" t="str">
        <f>IF(AND('Detalle individual'!F747&lt;&gt;"",'Detalle individual'!F747&lt;&gt;"Completado",'Detalle individual'!F747&lt;&gt;"Pendiente"),COUNTIF('Detalle individual'!$D$5:$D$1000,"&lt;"&amp;'Detalle individual'!D747)*1000000+COUNTIF('Detalle individual'!$C$5:$C$1000,"&lt;"&amp;'Detalle individual'!C747)*1000+COUNTIF('Detalle individual'!$B$5:$B$1000,"&lt;"&amp;'Detalle individual'!B747)+ROW()/10000,"")</f>
        <v/>
      </c>
      <c r="AK747" t="str">
        <f>IF(OR('Base Exámenes'!C747="",'Base Exámenes'!D747=""),"",IF(COUNTIF('Base Exámenes'!$C$5:C747,'Base Exámenes'!C747)=1,'Base Exámenes'!D747+ROW()/1000000000,""))</f>
        <v/>
      </c>
      <c r="AL747" t="str">
        <f>IF(OR('Base Exámenes'!C747="",'Base Exámenes'!E747=""),"",IF(COUNTIF('Base Exámenes'!$C$5:C747,'Base Exámenes'!C747)=1,'Base Exámenes'!E747+ROW()/1000000000,""))</f>
        <v/>
      </c>
      <c r="AM747" t="str">
        <f>IF(OR('Base Exámenes'!C747="",'Base Exámenes'!G747=""),"",IF(ROW()-4=MATCH('Base Exámenes'!C747&amp;"|"&amp;_xlfn.MAXIFS('Base Exámenes'!$G$5:$G$1000,'Base Exámenes'!$C$5:$C$1000,'Base Exámenes'!C747),'Base Exámenes'!$I$5:$I$1000,0),'Base Exámenes'!G747*1000000+(-1)*'Base Exámenes'!D747,""))</f>
        <v/>
      </c>
      <c r="AQ747" t="str">
        <f>IF('Base Exámenes'!C747="","",IF(COUNTIF('Base Exámenes'!$C$5:$C$1000,'Base Exámenes'!C747)&lt;2,"",MATCH('Base Exámenes'!C747,'Base Exámenes'!$C$5:$C$1000,0)*10000+ROW()))</f>
        <v/>
      </c>
    </row>
    <row r="748">
      <c r="Z748" t="str">
        <f>IF('Detalle individual'!A748="","",IF(AND(OR('Estado por Colaborador'!$D$4="Todas las gerencias",'Detalle individual'!D748='Estado por Colaborador'!$D$4),OR('Estado por Colaborador'!$D$5="Todos los departamentos",TRIM('Detalle individual'!C748)='Estado por Colaborador'!$D$5),OR('Estado por Colaborador'!$D$6="Todos",'Detalle individual'!F748='Estado por Colaborador'!$D$6)),IF('Detalle individual'!F748="Completado",30000000,IF('Detalle individual'!F748="Pendiente",0,15000000))+COUNTIF('Detalle individual'!$C$5:$C$1000,"&lt;"&amp;'Detalle individual'!C748)*10000+ROW(),""))</f>
        <v/>
      </c>
      <c r="AB748" t="str">
        <f>IF('Detalle individual'!C748="","",IF(COUNTIF('Detalle individual'!$C$5:C748,'Detalle individual'!C748)=1,COUNTIF('Detalle individual'!$C$5:$C$1000,"&lt;"&amp;'Detalle individual'!C748),""))</f>
        <v/>
      </c>
      <c r="AC748" t="str">
        <f>IF('Detalle individual'!D748="","",IF(COUNTIF('Detalle individual'!$D$5:D748,'Detalle individual'!D748)=1,COUNTIF('Detalle individual'!$D$5:$D$1000,"&lt;"&amp;'Detalle individual'!D748),""))</f>
        <v/>
      </c>
      <c r="AH748" t="str">
        <f>IF('Detalle individual'!F748="Pendiente",COUNTIF('Detalle individual'!$D$5:$D$1000,"&lt;"&amp;'Detalle individual'!D748)*1000000+COUNTIF('Detalle individual'!$C$5:$C$1000,"&lt;"&amp;'Detalle individual'!C748)*1000+COUNTIF('Detalle individual'!$B$5:$B$1000,"&lt;"&amp;'Detalle individual'!B748)+ROW()/10000,"")</f>
        <v/>
      </c>
      <c r="AI748" t="str">
        <f>IF('Detalle individual'!F748="Completado",COUNTIF('Detalle individual'!$D$5:$D$1000,"&lt;"&amp;'Detalle individual'!D748)*1000000+COUNTIF('Detalle individual'!$C$5:$C$1000,"&lt;"&amp;'Detalle individual'!C748)*1000+COUNTIF('Detalle individual'!$B$5:$B$1000,"&lt;"&amp;'Detalle individual'!B748)+ROW()/10000,"")</f>
        <v/>
      </c>
      <c r="AJ748" t="str">
        <f>IF(AND('Detalle individual'!F748&lt;&gt;"",'Detalle individual'!F748&lt;&gt;"Completado",'Detalle individual'!F748&lt;&gt;"Pendiente"),COUNTIF('Detalle individual'!$D$5:$D$1000,"&lt;"&amp;'Detalle individual'!D748)*1000000+COUNTIF('Detalle individual'!$C$5:$C$1000,"&lt;"&amp;'Detalle individual'!C748)*1000+COUNTIF('Detalle individual'!$B$5:$B$1000,"&lt;"&amp;'Detalle individual'!B748)+ROW()/10000,"")</f>
        <v/>
      </c>
      <c r="AK748" t="str">
        <f>IF(OR('Base Exámenes'!C748="",'Base Exámenes'!D748=""),"",IF(COUNTIF('Base Exámenes'!$C$5:C748,'Base Exámenes'!C748)=1,'Base Exámenes'!D748+ROW()/1000000000,""))</f>
        <v/>
      </c>
      <c r="AL748" t="str">
        <f>IF(OR('Base Exámenes'!C748="",'Base Exámenes'!E748=""),"",IF(COUNTIF('Base Exámenes'!$C$5:C748,'Base Exámenes'!C748)=1,'Base Exámenes'!E748+ROW()/1000000000,""))</f>
        <v/>
      </c>
      <c r="AM748" t="str">
        <f>IF(OR('Base Exámenes'!C748="",'Base Exámenes'!G748=""),"",IF(ROW()-4=MATCH('Base Exámenes'!C748&amp;"|"&amp;_xlfn.MAXIFS('Base Exámenes'!$G$5:$G$1000,'Base Exámenes'!$C$5:$C$1000,'Base Exámenes'!C748),'Base Exámenes'!$I$5:$I$1000,0),'Base Exámenes'!G748*1000000+(-1)*'Base Exámenes'!D748,""))</f>
        <v/>
      </c>
      <c r="AQ748" t="str">
        <f>IF('Base Exámenes'!C748="","",IF(COUNTIF('Base Exámenes'!$C$5:$C$1000,'Base Exámenes'!C748)&lt;2,"",MATCH('Base Exámenes'!C748,'Base Exámenes'!$C$5:$C$1000,0)*10000+ROW()))</f>
        <v/>
      </c>
    </row>
    <row r="749">
      <c r="Z749" t="str">
        <f>IF('Detalle individual'!A749="","",IF(AND(OR('Estado por Colaborador'!$D$4="Todas las gerencias",'Detalle individual'!D749='Estado por Colaborador'!$D$4),OR('Estado por Colaborador'!$D$5="Todos los departamentos",TRIM('Detalle individual'!C749)='Estado por Colaborador'!$D$5),OR('Estado por Colaborador'!$D$6="Todos",'Detalle individual'!F749='Estado por Colaborador'!$D$6)),IF('Detalle individual'!F749="Completado",30000000,IF('Detalle individual'!F749="Pendiente",0,15000000))+COUNTIF('Detalle individual'!$C$5:$C$1000,"&lt;"&amp;'Detalle individual'!C749)*10000+ROW(),""))</f>
        <v/>
      </c>
      <c r="AB749" t="str">
        <f>IF('Detalle individual'!C749="","",IF(COUNTIF('Detalle individual'!$C$5:C749,'Detalle individual'!C749)=1,COUNTIF('Detalle individual'!$C$5:$C$1000,"&lt;"&amp;'Detalle individual'!C749),""))</f>
        <v/>
      </c>
      <c r="AC749" t="str">
        <f>IF('Detalle individual'!D749="","",IF(COUNTIF('Detalle individual'!$D$5:D749,'Detalle individual'!D749)=1,COUNTIF('Detalle individual'!$D$5:$D$1000,"&lt;"&amp;'Detalle individual'!D749),""))</f>
        <v/>
      </c>
      <c r="AH749" t="str">
        <f>IF('Detalle individual'!F749="Pendiente",COUNTIF('Detalle individual'!$D$5:$D$1000,"&lt;"&amp;'Detalle individual'!D749)*1000000+COUNTIF('Detalle individual'!$C$5:$C$1000,"&lt;"&amp;'Detalle individual'!C749)*1000+COUNTIF('Detalle individual'!$B$5:$B$1000,"&lt;"&amp;'Detalle individual'!B749)+ROW()/10000,"")</f>
        <v/>
      </c>
      <c r="AI749" t="str">
        <f>IF('Detalle individual'!F749="Completado",COUNTIF('Detalle individual'!$D$5:$D$1000,"&lt;"&amp;'Detalle individual'!D749)*1000000+COUNTIF('Detalle individual'!$C$5:$C$1000,"&lt;"&amp;'Detalle individual'!C749)*1000+COUNTIF('Detalle individual'!$B$5:$B$1000,"&lt;"&amp;'Detalle individual'!B749)+ROW()/10000,"")</f>
        <v/>
      </c>
      <c r="AJ749" t="str">
        <f>IF(AND('Detalle individual'!F749&lt;&gt;"",'Detalle individual'!F749&lt;&gt;"Completado",'Detalle individual'!F749&lt;&gt;"Pendiente"),COUNTIF('Detalle individual'!$D$5:$D$1000,"&lt;"&amp;'Detalle individual'!D749)*1000000+COUNTIF('Detalle individual'!$C$5:$C$1000,"&lt;"&amp;'Detalle individual'!C749)*1000+COUNTIF('Detalle individual'!$B$5:$B$1000,"&lt;"&amp;'Detalle individual'!B749)+ROW()/10000,"")</f>
        <v/>
      </c>
      <c r="AK749" t="str">
        <f>IF(OR('Base Exámenes'!C749="",'Base Exámenes'!D749=""),"",IF(COUNTIF('Base Exámenes'!$C$5:C749,'Base Exámenes'!C749)=1,'Base Exámenes'!D749+ROW()/1000000000,""))</f>
        <v/>
      </c>
      <c r="AL749" t="str">
        <f>IF(OR('Base Exámenes'!C749="",'Base Exámenes'!E749=""),"",IF(COUNTIF('Base Exámenes'!$C$5:C749,'Base Exámenes'!C749)=1,'Base Exámenes'!E749+ROW()/1000000000,""))</f>
        <v/>
      </c>
      <c r="AM749" t="str">
        <f>IF(OR('Base Exámenes'!C749="",'Base Exámenes'!G749=""),"",IF(ROW()-4=MATCH('Base Exámenes'!C749&amp;"|"&amp;_xlfn.MAXIFS('Base Exámenes'!$G$5:$G$1000,'Base Exámenes'!$C$5:$C$1000,'Base Exámenes'!C749),'Base Exámenes'!$I$5:$I$1000,0),'Base Exámenes'!G749*1000000+(-1)*'Base Exámenes'!D749,""))</f>
        <v/>
      </c>
      <c r="AQ749" t="str">
        <f>IF('Base Exámenes'!C749="","",IF(COUNTIF('Base Exámenes'!$C$5:$C$1000,'Base Exámenes'!C749)&lt;2,"",MATCH('Base Exámenes'!C749,'Base Exámenes'!$C$5:$C$1000,0)*10000+ROW()))</f>
        <v/>
      </c>
    </row>
    <row r="750">
      <c r="Z750" t="str">
        <f>IF('Detalle individual'!A750="","",IF(AND(OR('Estado por Colaborador'!$D$4="Todas las gerencias",'Detalle individual'!D750='Estado por Colaborador'!$D$4),OR('Estado por Colaborador'!$D$5="Todos los departamentos",TRIM('Detalle individual'!C750)='Estado por Colaborador'!$D$5),OR('Estado por Colaborador'!$D$6="Todos",'Detalle individual'!F750='Estado por Colaborador'!$D$6)),IF('Detalle individual'!F750="Completado",30000000,IF('Detalle individual'!F750="Pendiente",0,15000000))+COUNTIF('Detalle individual'!$C$5:$C$1000,"&lt;"&amp;'Detalle individual'!C750)*10000+ROW(),""))</f>
        <v/>
      </c>
      <c r="AB750" t="str">
        <f>IF('Detalle individual'!C750="","",IF(COUNTIF('Detalle individual'!$C$5:C750,'Detalle individual'!C750)=1,COUNTIF('Detalle individual'!$C$5:$C$1000,"&lt;"&amp;'Detalle individual'!C750),""))</f>
        <v/>
      </c>
      <c r="AC750" t="str">
        <f>IF('Detalle individual'!D750="","",IF(COUNTIF('Detalle individual'!$D$5:D750,'Detalle individual'!D750)=1,COUNTIF('Detalle individual'!$D$5:$D$1000,"&lt;"&amp;'Detalle individual'!D750),""))</f>
        <v/>
      </c>
      <c r="AH750" t="str">
        <f>IF('Detalle individual'!F750="Pendiente",COUNTIF('Detalle individual'!$D$5:$D$1000,"&lt;"&amp;'Detalle individual'!D750)*1000000+COUNTIF('Detalle individual'!$C$5:$C$1000,"&lt;"&amp;'Detalle individual'!C750)*1000+COUNTIF('Detalle individual'!$B$5:$B$1000,"&lt;"&amp;'Detalle individual'!B750)+ROW()/10000,"")</f>
        <v/>
      </c>
      <c r="AI750" t="str">
        <f>IF('Detalle individual'!F750="Completado",COUNTIF('Detalle individual'!$D$5:$D$1000,"&lt;"&amp;'Detalle individual'!D750)*1000000+COUNTIF('Detalle individual'!$C$5:$C$1000,"&lt;"&amp;'Detalle individual'!C750)*1000+COUNTIF('Detalle individual'!$B$5:$B$1000,"&lt;"&amp;'Detalle individual'!B750)+ROW()/10000,"")</f>
        <v/>
      </c>
      <c r="AJ750" t="str">
        <f>IF(AND('Detalle individual'!F750&lt;&gt;"",'Detalle individual'!F750&lt;&gt;"Completado",'Detalle individual'!F750&lt;&gt;"Pendiente"),COUNTIF('Detalle individual'!$D$5:$D$1000,"&lt;"&amp;'Detalle individual'!D750)*1000000+COUNTIF('Detalle individual'!$C$5:$C$1000,"&lt;"&amp;'Detalle individual'!C750)*1000+COUNTIF('Detalle individual'!$B$5:$B$1000,"&lt;"&amp;'Detalle individual'!B750)+ROW()/10000,"")</f>
        <v/>
      </c>
      <c r="AK750" t="str">
        <f>IF(OR('Base Exámenes'!C750="",'Base Exámenes'!D750=""),"",IF(COUNTIF('Base Exámenes'!$C$5:C750,'Base Exámenes'!C750)=1,'Base Exámenes'!D750+ROW()/1000000000,""))</f>
        <v/>
      </c>
      <c r="AL750" t="str">
        <f>IF(OR('Base Exámenes'!C750="",'Base Exámenes'!E750=""),"",IF(COUNTIF('Base Exámenes'!$C$5:C750,'Base Exámenes'!C750)=1,'Base Exámenes'!E750+ROW()/1000000000,""))</f>
        <v/>
      </c>
      <c r="AM750" t="str">
        <f>IF(OR('Base Exámenes'!C750="",'Base Exámenes'!G750=""),"",IF(ROW()-4=MATCH('Base Exámenes'!C750&amp;"|"&amp;_xlfn.MAXIFS('Base Exámenes'!$G$5:$G$1000,'Base Exámenes'!$C$5:$C$1000,'Base Exámenes'!C750),'Base Exámenes'!$I$5:$I$1000,0),'Base Exámenes'!G750*1000000+(-1)*'Base Exámenes'!D750,""))</f>
        <v/>
      </c>
      <c r="AQ750" t="str">
        <f>IF('Base Exámenes'!C750="","",IF(COUNTIF('Base Exámenes'!$C$5:$C$1000,'Base Exámenes'!C750)&lt;2,"",MATCH('Base Exámenes'!C750,'Base Exámenes'!$C$5:$C$1000,0)*10000+ROW()))</f>
        <v/>
      </c>
    </row>
    <row r="751">
      <c r="Z751" t="str">
        <f>IF('Detalle individual'!A751="","",IF(AND(OR('Estado por Colaborador'!$D$4="Todas las gerencias",'Detalle individual'!D751='Estado por Colaborador'!$D$4),OR('Estado por Colaborador'!$D$5="Todos los departamentos",TRIM('Detalle individual'!C751)='Estado por Colaborador'!$D$5),OR('Estado por Colaborador'!$D$6="Todos",'Detalle individual'!F751='Estado por Colaborador'!$D$6)),IF('Detalle individual'!F751="Completado",30000000,IF('Detalle individual'!F751="Pendiente",0,15000000))+COUNTIF('Detalle individual'!$C$5:$C$1000,"&lt;"&amp;'Detalle individual'!C751)*10000+ROW(),""))</f>
        <v/>
      </c>
      <c r="AB751" t="str">
        <f>IF('Detalle individual'!C751="","",IF(COUNTIF('Detalle individual'!$C$5:C751,'Detalle individual'!C751)=1,COUNTIF('Detalle individual'!$C$5:$C$1000,"&lt;"&amp;'Detalle individual'!C751),""))</f>
        <v/>
      </c>
      <c r="AC751" t="str">
        <f>IF('Detalle individual'!D751="","",IF(COUNTIF('Detalle individual'!$D$5:D751,'Detalle individual'!D751)=1,COUNTIF('Detalle individual'!$D$5:$D$1000,"&lt;"&amp;'Detalle individual'!D751),""))</f>
        <v/>
      </c>
      <c r="AH751" t="str">
        <f>IF('Detalle individual'!F751="Pendiente",COUNTIF('Detalle individual'!$D$5:$D$1000,"&lt;"&amp;'Detalle individual'!D751)*1000000+COUNTIF('Detalle individual'!$C$5:$C$1000,"&lt;"&amp;'Detalle individual'!C751)*1000+COUNTIF('Detalle individual'!$B$5:$B$1000,"&lt;"&amp;'Detalle individual'!B751)+ROW()/10000,"")</f>
        <v/>
      </c>
      <c r="AI751" t="str">
        <f>IF('Detalle individual'!F751="Completado",COUNTIF('Detalle individual'!$D$5:$D$1000,"&lt;"&amp;'Detalle individual'!D751)*1000000+COUNTIF('Detalle individual'!$C$5:$C$1000,"&lt;"&amp;'Detalle individual'!C751)*1000+COUNTIF('Detalle individual'!$B$5:$B$1000,"&lt;"&amp;'Detalle individual'!B751)+ROW()/10000,"")</f>
        <v/>
      </c>
      <c r="AJ751" t="str">
        <f>IF(AND('Detalle individual'!F751&lt;&gt;"",'Detalle individual'!F751&lt;&gt;"Completado",'Detalle individual'!F751&lt;&gt;"Pendiente"),COUNTIF('Detalle individual'!$D$5:$D$1000,"&lt;"&amp;'Detalle individual'!D751)*1000000+COUNTIF('Detalle individual'!$C$5:$C$1000,"&lt;"&amp;'Detalle individual'!C751)*1000+COUNTIF('Detalle individual'!$B$5:$B$1000,"&lt;"&amp;'Detalle individual'!B751)+ROW()/10000,"")</f>
        <v/>
      </c>
      <c r="AK751" t="str">
        <f>IF(OR('Base Exámenes'!C751="",'Base Exámenes'!D751=""),"",IF(COUNTIF('Base Exámenes'!$C$5:C751,'Base Exámenes'!C751)=1,'Base Exámenes'!D751+ROW()/1000000000,""))</f>
        <v/>
      </c>
      <c r="AL751" t="str">
        <f>IF(OR('Base Exámenes'!C751="",'Base Exámenes'!E751=""),"",IF(COUNTIF('Base Exámenes'!$C$5:C751,'Base Exámenes'!C751)=1,'Base Exámenes'!E751+ROW()/1000000000,""))</f>
        <v/>
      </c>
      <c r="AM751" t="str">
        <f>IF(OR('Base Exámenes'!C751="",'Base Exámenes'!G751=""),"",IF(ROW()-4=MATCH('Base Exámenes'!C751&amp;"|"&amp;_xlfn.MAXIFS('Base Exámenes'!$G$5:$G$1000,'Base Exámenes'!$C$5:$C$1000,'Base Exámenes'!C751),'Base Exámenes'!$I$5:$I$1000,0),'Base Exámenes'!G751*1000000+(-1)*'Base Exámenes'!D751,""))</f>
        <v/>
      </c>
      <c r="AQ751" t="str">
        <f>IF('Base Exámenes'!C751="","",IF(COUNTIF('Base Exámenes'!$C$5:$C$1000,'Base Exámenes'!C751)&lt;2,"",MATCH('Base Exámenes'!C751,'Base Exámenes'!$C$5:$C$1000,0)*10000+ROW()))</f>
        <v/>
      </c>
    </row>
    <row r="752">
      <c r="Z752" t="str">
        <f>IF('Detalle individual'!A752="","",IF(AND(OR('Estado por Colaborador'!$D$4="Todas las gerencias",'Detalle individual'!D752='Estado por Colaborador'!$D$4),OR('Estado por Colaborador'!$D$5="Todos los departamentos",TRIM('Detalle individual'!C752)='Estado por Colaborador'!$D$5),OR('Estado por Colaborador'!$D$6="Todos",'Detalle individual'!F752='Estado por Colaborador'!$D$6)),IF('Detalle individual'!F752="Completado",30000000,IF('Detalle individual'!F752="Pendiente",0,15000000))+COUNTIF('Detalle individual'!$C$5:$C$1000,"&lt;"&amp;'Detalle individual'!C752)*10000+ROW(),""))</f>
        <v/>
      </c>
      <c r="AB752" t="str">
        <f>IF('Detalle individual'!C752="","",IF(COUNTIF('Detalle individual'!$C$5:C752,'Detalle individual'!C752)=1,COUNTIF('Detalle individual'!$C$5:$C$1000,"&lt;"&amp;'Detalle individual'!C752),""))</f>
        <v/>
      </c>
      <c r="AC752" t="str">
        <f>IF('Detalle individual'!D752="","",IF(COUNTIF('Detalle individual'!$D$5:D752,'Detalle individual'!D752)=1,COUNTIF('Detalle individual'!$D$5:$D$1000,"&lt;"&amp;'Detalle individual'!D752),""))</f>
        <v/>
      </c>
      <c r="AH752" t="str">
        <f>IF('Detalle individual'!F752="Pendiente",COUNTIF('Detalle individual'!$D$5:$D$1000,"&lt;"&amp;'Detalle individual'!D752)*1000000+COUNTIF('Detalle individual'!$C$5:$C$1000,"&lt;"&amp;'Detalle individual'!C752)*1000+COUNTIF('Detalle individual'!$B$5:$B$1000,"&lt;"&amp;'Detalle individual'!B752)+ROW()/10000,"")</f>
        <v/>
      </c>
      <c r="AI752" t="str">
        <f>IF('Detalle individual'!F752="Completado",COUNTIF('Detalle individual'!$D$5:$D$1000,"&lt;"&amp;'Detalle individual'!D752)*1000000+COUNTIF('Detalle individual'!$C$5:$C$1000,"&lt;"&amp;'Detalle individual'!C752)*1000+COUNTIF('Detalle individual'!$B$5:$B$1000,"&lt;"&amp;'Detalle individual'!B752)+ROW()/10000,"")</f>
        <v/>
      </c>
      <c r="AJ752" t="str">
        <f>IF(AND('Detalle individual'!F752&lt;&gt;"",'Detalle individual'!F752&lt;&gt;"Completado",'Detalle individual'!F752&lt;&gt;"Pendiente"),COUNTIF('Detalle individual'!$D$5:$D$1000,"&lt;"&amp;'Detalle individual'!D752)*1000000+COUNTIF('Detalle individual'!$C$5:$C$1000,"&lt;"&amp;'Detalle individual'!C752)*1000+COUNTIF('Detalle individual'!$B$5:$B$1000,"&lt;"&amp;'Detalle individual'!B752)+ROW()/10000,"")</f>
        <v/>
      </c>
      <c r="AK752" t="str">
        <f>IF(OR('Base Exámenes'!C752="",'Base Exámenes'!D752=""),"",IF(COUNTIF('Base Exámenes'!$C$5:C752,'Base Exámenes'!C752)=1,'Base Exámenes'!D752+ROW()/1000000000,""))</f>
        <v/>
      </c>
      <c r="AL752" t="str">
        <f>IF(OR('Base Exámenes'!C752="",'Base Exámenes'!E752=""),"",IF(COUNTIF('Base Exámenes'!$C$5:C752,'Base Exámenes'!C752)=1,'Base Exámenes'!E752+ROW()/1000000000,""))</f>
        <v/>
      </c>
      <c r="AM752" t="str">
        <f>IF(OR('Base Exámenes'!C752="",'Base Exámenes'!G752=""),"",IF(ROW()-4=MATCH('Base Exámenes'!C752&amp;"|"&amp;_xlfn.MAXIFS('Base Exámenes'!$G$5:$G$1000,'Base Exámenes'!$C$5:$C$1000,'Base Exámenes'!C752),'Base Exámenes'!$I$5:$I$1000,0),'Base Exámenes'!G752*1000000+(-1)*'Base Exámenes'!D752,""))</f>
        <v/>
      </c>
      <c r="AQ752" t="str">
        <f>IF('Base Exámenes'!C752="","",IF(COUNTIF('Base Exámenes'!$C$5:$C$1000,'Base Exámenes'!C752)&lt;2,"",MATCH('Base Exámenes'!C752,'Base Exámenes'!$C$5:$C$1000,0)*10000+ROW()))</f>
        <v/>
      </c>
    </row>
    <row r="753">
      <c r="Z753" t="str">
        <f>IF('Detalle individual'!A753="","",IF(AND(OR('Estado por Colaborador'!$D$4="Todas las gerencias",'Detalle individual'!D753='Estado por Colaborador'!$D$4),OR('Estado por Colaborador'!$D$5="Todos los departamentos",TRIM('Detalle individual'!C753)='Estado por Colaborador'!$D$5),OR('Estado por Colaborador'!$D$6="Todos",'Detalle individual'!F753='Estado por Colaborador'!$D$6)),IF('Detalle individual'!F753="Completado",30000000,IF('Detalle individual'!F753="Pendiente",0,15000000))+COUNTIF('Detalle individual'!$C$5:$C$1000,"&lt;"&amp;'Detalle individual'!C753)*10000+ROW(),""))</f>
        <v/>
      </c>
      <c r="AB753" t="str">
        <f>IF('Detalle individual'!C753="","",IF(COUNTIF('Detalle individual'!$C$5:C753,'Detalle individual'!C753)=1,COUNTIF('Detalle individual'!$C$5:$C$1000,"&lt;"&amp;'Detalle individual'!C753),""))</f>
        <v/>
      </c>
      <c r="AC753" t="str">
        <f>IF('Detalle individual'!D753="","",IF(COUNTIF('Detalle individual'!$D$5:D753,'Detalle individual'!D753)=1,COUNTIF('Detalle individual'!$D$5:$D$1000,"&lt;"&amp;'Detalle individual'!D753),""))</f>
        <v/>
      </c>
      <c r="AH753" t="str">
        <f>IF('Detalle individual'!F753="Pendiente",COUNTIF('Detalle individual'!$D$5:$D$1000,"&lt;"&amp;'Detalle individual'!D753)*1000000+COUNTIF('Detalle individual'!$C$5:$C$1000,"&lt;"&amp;'Detalle individual'!C753)*1000+COUNTIF('Detalle individual'!$B$5:$B$1000,"&lt;"&amp;'Detalle individual'!B753)+ROW()/10000,"")</f>
        <v/>
      </c>
      <c r="AI753" t="str">
        <f>IF('Detalle individual'!F753="Completado",COUNTIF('Detalle individual'!$D$5:$D$1000,"&lt;"&amp;'Detalle individual'!D753)*1000000+COUNTIF('Detalle individual'!$C$5:$C$1000,"&lt;"&amp;'Detalle individual'!C753)*1000+COUNTIF('Detalle individual'!$B$5:$B$1000,"&lt;"&amp;'Detalle individual'!B753)+ROW()/10000,"")</f>
        <v/>
      </c>
      <c r="AJ753" t="str">
        <f>IF(AND('Detalle individual'!F753&lt;&gt;"",'Detalle individual'!F753&lt;&gt;"Completado",'Detalle individual'!F753&lt;&gt;"Pendiente"),COUNTIF('Detalle individual'!$D$5:$D$1000,"&lt;"&amp;'Detalle individual'!D753)*1000000+COUNTIF('Detalle individual'!$C$5:$C$1000,"&lt;"&amp;'Detalle individual'!C753)*1000+COUNTIF('Detalle individual'!$B$5:$B$1000,"&lt;"&amp;'Detalle individual'!B753)+ROW()/10000,"")</f>
        <v/>
      </c>
      <c r="AK753" t="str">
        <f>IF(OR('Base Exámenes'!C753="",'Base Exámenes'!D753=""),"",IF(COUNTIF('Base Exámenes'!$C$5:C753,'Base Exámenes'!C753)=1,'Base Exámenes'!D753+ROW()/1000000000,""))</f>
        <v/>
      </c>
      <c r="AL753" t="str">
        <f>IF(OR('Base Exámenes'!C753="",'Base Exámenes'!E753=""),"",IF(COUNTIF('Base Exámenes'!$C$5:C753,'Base Exámenes'!C753)=1,'Base Exámenes'!E753+ROW()/1000000000,""))</f>
        <v/>
      </c>
      <c r="AM753" t="str">
        <f>IF(OR('Base Exámenes'!C753="",'Base Exámenes'!G753=""),"",IF(ROW()-4=MATCH('Base Exámenes'!C753&amp;"|"&amp;_xlfn.MAXIFS('Base Exámenes'!$G$5:$G$1000,'Base Exámenes'!$C$5:$C$1000,'Base Exámenes'!C753),'Base Exámenes'!$I$5:$I$1000,0),'Base Exámenes'!G753*1000000+(-1)*'Base Exámenes'!D753,""))</f>
        <v/>
      </c>
      <c r="AQ753" t="str">
        <f>IF('Base Exámenes'!C753="","",IF(COUNTIF('Base Exámenes'!$C$5:$C$1000,'Base Exámenes'!C753)&lt;2,"",MATCH('Base Exámenes'!C753,'Base Exámenes'!$C$5:$C$1000,0)*10000+ROW()))</f>
        <v/>
      </c>
    </row>
    <row r="754">
      <c r="Z754" t="str">
        <f>IF('Detalle individual'!A754="","",IF(AND(OR('Estado por Colaborador'!$D$4="Todas las gerencias",'Detalle individual'!D754='Estado por Colaborador'!$D$4),OR('Estado por Colaborador'!$D$5="Todos los departamentos",TRIM('Detalle individual'!C754)='Estado por Colaborador'!$D$5),OR('Estado por Colaborador'!$D$6="Todos",'Detalle individual'!F754='Estado por Colaborador'!$D$6)),IF('Detalle individual'!F754="Completado",30000000,IF('Detalle individual'!F754="Pendiente",0,15000000))+COUNTIF('Detalle individual'!$C$5:$C$1000,"&lt;"&amp;'Detalle individual'!C754)*10000+ROW(),""))</f>
        <v/>
      </c>
      <c r="AB754" t="str">
        <f>IF('Detalle individual'!C754="","",IF(COUNTIF('Detalle individual'!$C$5:C754,'Detalle individual'!C754)=1,COUNTIF('Detalle individual'!$C$5:$C$1000,"&lt;"&amp;'Detalle individual'!C754),""))</f>
        <v/>
      </c>
      <c r="AC754" t="str">
        <f>IF('Detalle individual'!D754="","",IF(COUNTIF('Detalle individual'!$D$5:D754,'Detalle individual'!D754)=1,COUNTIF('Detalle individual'!$D$5:$D$1000,"&lt;"&amp;'Detalle individual'!D754),""))</f>
        <v/>
      </c>
      <c r="AH754" t="str">
        <f>IF('Detalle individual'!F754="Pendiente",COUNTIF('Detalle individual'!$D$5:$D$1000,"&lt;"&amp;'Detalle individual'!D754)*1000000+COUNTIF('Detalle individual'!$C$5:$C$1000,"&lt;"&amp;'Detalle individual'!C754)*1000+COUNTIF('Detalle individual'!$B$5:$B$1000,"&lt;"&amp;'Detalle individual'!B754)+ROW()/10000,"")</f>
        <v/>
      </c>
      <c r="AI754" t="str">
        <f>IF('Detalle individual'!F754="Completado",COUNTIF('Detalle individual'!$D$5:$D$1000,"&lt;"&amp;'Detalle individual'!D754)*1000000+COUNTIF('Detalle individual'!$C$5:$C$1000,"&lt;"&amp;'Detalle individual'!C754)*1000+COUNTIF('Detalle individual'!$B$5:$B$1000,"&lt;"&amp;'Detalle individual'!B754)+ROW()/10000,"")</f>
        <v/>
      </c>
      <c r="AJ754" t="str">
        <f>IF(AND('Detalle individual'!F754&lt;&gt;"",'Detalle individual'!F754&lt;&gt;"Completado",'Detalle individual'!F754&lt;&gt;"Pendiente"),COUNTIF('Detalle individual'!$D$5:$D$1000,"&lt;"&amp;'Detalle individual'!D754)*1000000+COUNTIF('Detalle individual'!$C$5:$C$1000,"&lt;"&amp;'Detalle individual'!C754)*1000+COUNTIF('Detalle individual'!$B$5:$B$1000,"&lt;"&amp;'Detalle individual'!B754)+ROW()/10000,"")</f>
        <v/>
      </c>
      <c r="AK754" t="str">
        <f>IF(OR('Base Exámenes'!C754="",'Base Exámenes'!D754=""),"",IF(COUNTIF('Base Exámenes'!$C$5:C754,'Base Exámenes'!C754)=1,'Base Exámenes'!D754+ROW()/1000000000,""))</f>
        <v/>
      </c>
      <c r="AL754" t="str">
        <f>IF(OR('Base Exámenes'!C754="",'Base Exámenes'!E754=""),"",IF(COUNTIF('Base Exámenes'!$C$5:C754,'Base Exámenes'!C754)=1,'Base Exámenes'!E754+ROW()/1000000000,""))</f>
        <v/>
      </c>
      <c r="AM754" t="str">
        <f>IF(OR('Base Exámenes'!C754="",'Base Exámenes'!G754=""),"",IF(ROW()-4=MATCH('Base Exámenes'!C754&amp;"|"&amp;_xlfn.MAXIFS('Base Exámenes'!$G$5:$G$1000,'Base Exámenes'!$C$5:$C$1000,'Base Exámenes'!C754),'Base Exámenes'!$I$5:$I$1000,0),'Base Exámenes'!G754*1000000+(-1)*'Base Exámenes'!D754,""))</f>
        <v/>
      </c>
      <c r="AQ754" t="str">
        <f>IF('Base Exámenes'!C754="","",IF(COUNTIF('Base Exámenes'!$C$5:$C$1000,'Base Exámenes'!C754)&lt;2,"",MATCH('Base Exámenes'!C754,'Base Exámenes'!$C$5:$C$1000,0)*10000+ROW()))</f>
        <v/>
      </c>
    </row>
    <row r="755">
      <c r="Z755" t="str">
        <f>IF('Detalle individual'!A755="","",IF(AND(OR('Estado por Colaborador'!$D$4="Todas las gerencias",'Detalle individual'!D755='Estado por Colaborador'!$D$4),OR('Estado por Colaborador'!$D$5="Todos los departamentos",TRIM('Detalle individual'!C755)='Estado por Colaborador'!$D$5),OR('Estado por Colaborador'!$D$6="Todos",'Detalle individual'!F755='Estado por Colaborador'!$D$6)),IF('Detalle individual'!F755="Completado",30000000,IF('Detalle individual'!F755="Pendiente",0,15000000))+COUNTIF('Detalle individual'!$C$5:$C$1000,"&lt;"&amp;'Detalle individual'!C755)*10000+ROW(),""))</f>
        <v/>
      </c>
      <c r="AB755" t="str">
        <f>IF('Detalle individual'!C755="","",IF(COUNTIF('Detalle individual'!$C$5:C755,'Detalle individual'!C755)=1,COUNTIF('Detalle individual'!$C$5:$C$1000,"&lt;"&amp;'Detalle individual'!C755),""))</f>
        <v/>
      </c>
      <c r="AC755" t="str">
        <f>IF('Detalle individual'!D755="","",IF(COUNTIF('Detalle individual'!$D$5:D755,'Detalle individual'!D755)=1,COUNTIF('Detalle individual'!$D$5:$D$1000,"&lt;"&amp;'Detalle individual'!D755),""))</f>
        <v/>
      </c>
      <c r="AH755" t="str">
        <f>IF('Detalle individual'!F755="Pendiente",COUNTIF('Detalle individual'!$D$5:$D$1000,"&lt;"&amp;'Detalle individual'!D755)*1000000+COUNTIF('Detalle individual'!$C$5:$C$1000,"&lt;"&amp;'Detalle individual'!C755)*1000+COUNTIF('Detalle individual'!$B$5:$B$1000,"&lt;"&amp;'Detalle individual'!B755)+ROW()/10000,"")</f>
        <v/>
      </c>
      <c r="AI755" t="str">
        <f>IF('Detalle individual'!F755="Completado",COUNTIF('Detalle individual'!$D$5:$D$1000,"&lt;"&amp;'Detalle individual'!D755)*1000000+COUNTIF('Detalle individual'!$C$5:$C$1000,"&lt;"&amp;'Detalle individual'!C755)*1000+COUNTIF('Detalle individual'!$B$5:$B$1000,"&lt;"&amp;'Detalle individual'!B755)+ROW()/10000,"")</f>
        <v/>
      </c>
      <c r="AJ755" t="str">
        <f>IF(AND('Detalle individual'!F755&lt;&gt;"",'Detalle individual'!F755&lt;&gt;"Completado",'Detalle individual'!F755&lt;&gt;"Pendiente"),COUNTIF('Detalle individual'!$D$5:$D$1000,"&lt;"&amp;'Detalle individual'!D755)*1000000+COUNTIF('Detalle individual'!$C$5:$C$1000,"&lt;"&amp;'Detalle individual'!C755)*1000+COUNTIF('Detalle individual'!$B$5:$B$1000,"&lt;"&amp;'Detalle individual'!B755)+ROW()/10000,"")</f>
        <v/>
      </c>
      <c r="AK755" t="str">
        <f>IF(OR('Base Exámenes'!C755="",'Base Exámenes'!D755=""),"",IF(COUNTIF('Base Exámenes'!$C$5:C755,'Base Exámenes'!C755)=1,'Base Exámenes'!D755+ROW()/1000000000,""))</f>
        <v/>
      </c>
      <c r="AL755" t="str">
        <f>IF(OR('Base Exámenes'!C755="",'Base Exámenes'!E755=""),"",IF(COUNTIF('Base Exámenes'!$C$5:C755,'Base Exámenes'!C755)=1,'Base Exámenes'!E755+ROW()/1000000000,""))</f>
        <v/>
      </c>
      <c r="AM755" t="str">
        <f>IF(OR('Base Exámenes'!C755="",'Base Exámenes'!G755=""),"",IF(ROW()-4=MATCH('Base Exámenes'!C755&amp;"|"&amp;_xlfn.MAXIFS('Base Exámenes'!$G$5:$G$1000,'Base Exámenes'!$C$5:$C$1000,'Base Exámenes'!C755),'Base Exámenes'!$I$5:$I$1000,0),'Base Exámenes'!G755*1000000+(-1)*'Base Exámenes'!D755,""))</f>
        <v/>
      </c>
      <c r="AQ755" t="str">
        <f>IF('Base Exámenes'!C755="","",IF(COUNTIF('Base Exámenes'!$C$5:$C$1000,'Base Exámenes'!C755)&lt;2,"",MATCH('Base Exámenes'!C755,'Base Exámenes'!$C$5:$C$1000,0)*10000+ROW()))</f>
        <v/>
      </c>
    </row>
    <row r="756">
      <c r="Z756" t="str">
        <f>IF('Detalle individual'!A756="","",IF(AND(OR('Estado por Colaborador'!$D$4="Todas las gerencias",'Detalle individual'!D756='Estado por Colaborador'!$D$4),OR('Estado por Colaborador'!$D$5="Todos los departamentos",TRIM('Detalle individual'!C756)='Estado por Colaborador'!$D$5),OR('Estado por Colaborador'!$D$6="Todos",'Detalle individual'!F756='Estado por Colaborador'!$D$6)),IF('Detalle individual'!F756="Completado",30000000,IF('Detalle individual'!F756="Pendiente",0,15000000))+COUNTIF('Detalle individual'!$C$5:$C$1000,"&lt;"&amp;'Detalle individual'!C756)*10000+ROW(),""))</f>
        <v/>
      </c>
      <c r="AB756" t="str">
        <f>IF('Detalle individual'!C756="","",IF(COUNTIF('Detalle individual'!$C$5:C756,'Detalle individual'!C756)=1,COUNTIF('Detalle individual'!$C$5:$C$1000,"&lt;"&amp;'Detalle individual'!C756),""))</f>
        <v/>
      </c>
      <c r="AC756" t="str">
        <f>IF('Detalle individual'!D756="","",IF(COUNTIF('Detalle individual'!$D$5:D756,'Detalle individual'!D756)=1,COUNTIF('Detalle individual'!$D$5:$D$1000,"&lt;"&amp;'Detalle individual'!D756),""))</f>
        <v/>
      </c>
      <c r="AH756" t="str">
        <f>IF('Detalle individual'!F756="Pendiente",COUNTIF('Detalle individual'!$D$5:$D$1000,"&lt;"&amp;'Detalle individual'!D756)*1000000+COUNTIF('Detalle individual'!$C$5:$C$1000,"&lt;"&amp;'Detalle individual'!C756)*1000+COUNTIF('Detalle individual'!$B$5:$B$1000,"&lt;"&amp;'Detalle individual'!B756)+ROW()/10000,"")</f>
        <v/>
      </c>
      <c r="AI756" t="str">
        <f>IF('Detalle individual'!F756="Completado",COUNTIF('Detalle individual'!$D$5:$D$1000,"&lt;"&amp;'Detalle individual'!D756)*1000000+COUNTIF('Detalle individual'!$C$5:$C$1000,"&lt;"&amp;'Detalle individual'!C756)*1000+COUNTIF('Detalle individual'!$B$5:$B$1000,"&lt;"&amp;'Detalle individual'!B756)+ROW()/10000,"")</f>
        <v/>
      </c>
      <c r="AJ756" t="str">
        <f>IF(AND('Detalle individual'!F756&lt;&gt;"",'Detalle individual'!F756&lt;&gt;"Completado",'Detalle individual'!F756&lt;&gt;"Pendiente"),COUNTIF('Detalle individual'!$D$5:$D$1000,"&lt;"&amp;'Detalle individual'!D756)*1000000+COUNTIF('Detalle individual'!$C$5:$C$1000,"&lt;"&amp;'Detalle individual'!C756)*1000+COUNTIF('Detalle individual'!$B$5:$B$1000,"&lt;"&amp;'Detalle individual'!B756)+ROW()/10000,"")</f>
        <v/>
      </c>
      <c r="AK756" t="str">
        <f>IF(OR('Base Exámenes'!C756="",'Base Exámenes'!D756=""),"",IF(COUNTIF('Base Exámenes'!$C$5:C756,'Base Exámenes'!C756)=1,'Base Exámenes'!D756+ROW()/1000000000,""))</f>
        <v/>
      </c>
      <c r="AL756" t="str">
        <f>IF(OR('Base Exámenes'!C756="",'Base Exámenes'!E756=""),"",IF(COUNTIF('Base Exámenes'!$C$5:C756,'Base Exámenes'!C756)=1,'Base Exámenes'!E756+ROW()/1000000000,""))</f>
        <v/>
      </c>
      <c r="AM756" t="str">
        <f>IF(OR('Base Exámenes'!C756="",'Base Exámenes'!G756=""),"",IF(ROW()-4=MATCH('Base Exámenes'!C756&amp;"|"&amp;_xlfn.MAXIFS('Base Exámenes'!$G$5:$G$1000,'Base Exámenes'!$C$5:$C$1000,'Base Exámenes'!C756),'Base Exámenes'!$I$5:$I$1000,0),'Base Exámenes'!G756*1000000+(-1)*'Base Exámenes'!D756,""))</f>
        <v/>
      </c>
      <c r="AQ756" t="str">
        <f>IF('Base Exámenes'!C756="","",IF(COUNTIF('Base Exámenes'!$C$5:$C$1000,'Base Exámenes'!C756)&lt;2,"",MATCH('Base Exámenes'!C756,'Base Exámenes'!$C$5:$C$1000,0)*10000+ROW()))</f>
        <v/>
      </c>
    </row>
    <row r="757">
      <c r="Z757" t="str">
        <f>IF('Detalle individual'!A757="","",IF(AND(OR('Estado por Colaborador'!$D$4="Todas las gerencias",'Detalle individual'!D757='Estado por Colaborador'!$D$4),OR('Estado por Colaborador'!$D$5="Todos los departamentos",TRIM('Detalle individual'!C757)='Estado por Colaborador'!$D$5),OR('Estado por Colaborador'!$D$6="Todos",'Detalle individual'!F757='Estado por Colaborador'!$D$6)),IF('Detalle individual'!F757="Completado",30000000,IF('Detalle individual'!F757="Pendiente",0,15000000))+COUNTIF('Detalle individual'!$C$5:$C$1000,"&lt;"&amp;'Detalle individual'!C757)*10000+ROW(),""))</f>
        <v/>
      </c>
      <c r="AB757" t="str">
        <f>IF('Detalle individual'!C757="","",IF(COUNTIF('Detalle individual'!$C$5:C757,'Detalle individual'!C757)=1,COUNTIF('Detalle individual'!$C$5:$C$1000,"&lt;"&amp;'Detalle individual'!C757),""))</f>
        <v/>
      </c>
      <c r="AC757" t="str">
        <f>IF('Detalle individual'!D757="","",IF(COUNTIF('Detalle individual'!$D$5:D757,'Detalle individual'!D757)=1,COUNTIF('Detalle individual'!$D$5:$D$1000,"&lt;"&amp;'Detalle individual'!D757),""))</f>
        <v/>
      </c>
      <c r="AH757" t="str">
        <f>IF('Detalle individual'!F757="Pendiente",COUNTIF('Detalle individual'!$D$5:$D$1000,"&lt;"&amp;'Detalle individual'!D757)*1000000+COUNTIF('Detalle individual'!$C$5:$C$1000,"&lt;"&amp;'Detalle individual'!C757)*1000+COUNTIF('Detalle individual'!$B$5:$B$1000,"&lt;"&amp;'Detalle individual'!B757)+ROW()/10000,"")</f>
        <v/>
      </c>
      <c r="AI757" t="str">
        <f>IF('Detalle individual'!F757="Completado",COUNTIF('Detalle individual'!$D$5:$D$1000,"&lt;"&amp;'Detalle individual'!D757)*1000000+COUNTIF('Detalle individual'!$C$5:$C$1000,"&lt;"&amp;'Detalle individual'!C757)*1000+COUNTIF('Detalle individual'!$B$5:$B$1000,"&lt;"&amp;'Detalle individual'!B757)+ROW()/10000,"")</f>
        <v/>
      </c>
      <c r="AJ757" t="str">
        <f>IF(AND('Detalle individual'!F757&lt;&gt;"",'Detalle individual'!F757&lt;&gt;"Completado",'Detalle individual'!F757&lt;&gt;"Pendiente"),COUNTIF('Detalle individual'!$D$5:$D$1000,"&lt;"&amp;'Detalle individual'!D757)*1000000+COUNTIF('Detalle individual'!$C$5:$C$1000,"&lt;"&amp;'Detalle individual'!C757)*1000+COUNTIF('Detalle individual'!$B$5:$B$1000,"&lt;"&amp;'Detalle individual'!B757)+ROW()/10000,"")</f>
        <v/>
      </c>
      <c r="AK757" t="str">
        <f>IF(OR('Base Exámenes'!C757="",'Base Exámenes'!D757=""),"",IF(COUNTIF('Base Exámenes'!$C$5:C757,'Base Exámenes'!C757)=1,'Base Exámenes'!D757+ROW()/1000000000,""))</f>
        <v/>
      </c>
      <c r="AL757" t="str">
        <f>IF(OR('Base Exámenes'!C757="",'Base Exámenes'!E757=""),"",IF(COUNTIF('Base Exámenes'!$C$5:C757,'Base Exámenes'!C757)=1,'Base Exámenes'!E757+ROW()/1000000000,""))</f>
        <v/>
      </c>
      <c r="AM757" t="str">
        <f>IF(OR('Base Exámenes'!C757="",'Base Exámenes'!G757=""),"",IF(ROW()-4=MATCH('Base Exámenes'!C757&amp;"|"&amp;_xlfn.MAXIFS('Base Exámenes'!$G$5:$G$1000,'Base Exámenes'!$C$5:$C$1000,'Base Exámenes'!C757),'Base Exámenes'!$I$5:$I$1000,0),'Base Exámenes'!G757*1000000+(-1)*'Base Exámenes'!D757,""))</f>
        <v/>
      </c>
      <c r="AQ757" t="str">
        <f>IF('Base Exámenes'!C757="","",IF(COUNTIF('Base Exámenes'!$C$5:$C$1000,'Base Exámenes'!C757)&lt;2,"",MATCH('Base Exámenes'!C757,'Base Exámenes'!$C$5:$C$1000,0)*10000+ROW()))</f>
        <v/>
      </c>
    </row>
    <row r="758">
      <c r="Z758" t="str">
        <f>IF('Detalle individual'!A758="","",IF(AND(OR('Estado por Colaborador'!$D$4="Todas las gerencias",'Detalle individual'!D758='Estado por Colaborador'!$D$4),OR('Estado por Colaborador'!$D$5="Todos los departamentos",TRIM('Detalle individual'!C758)='Estado por Colaborador'!$D$5),OR('Estado por Colaborador'!$D$6="Todos",'Detalle individual'!F758='Estado por Colaborador'!$D$6)),IF('Detalle individual'!F758="Completado",30000000,IF('Detalle individual'!F758="Pendiente",0,15000000))+COUNTIF('Detalle individual'!$C$5:$C$1000,"&lt;"&amp;'Detalle individual'!C758)*10000+ROW(),""))</f>
        <v/>
      </c>
      <c r="AB758" t="str">
        <f>IF('Detalle individual'!C758="","",IF(COUNTIF('Detalle individual'!$C$5:C758,'Detalle individual'!C758)=1,COUNTIF('Detalle individual'!$C$5:$C$1000,"&lt;"&amp;'Detalle individual'!C758),""))</f>
        <v/>
      </c>
      <c r="AC758" t="str">
        <f>IF('Detalle individual'!D758="","",IF(COUNTIF('Detalle individual'!$D$5:D758,'Detalle individual'!D758)=1,COUNTIF('Detalle individual'!$D$5:$D$1000,"&lt;"&amp;'Detalle individual'!D758),""))</f>
        <v/>
      </c>
      <c r="AH758" t="str">
        <f>IF('Detalle individual'!F758="Pendiente",COUNTIF('Detalle individual'!$D$5:$D$1000,"&lt;"&amp;'Detalle individual'!D758)*1000000+COUNTIF('Detalle individual'!$C$5:$C$1000,"&lt;"&amp;'Detalle individual'!C758)*1000+COUNTIF('Detalle individual'!$B$5:$B$1000,"&lt;"&amp;'Detalle individual'!B758)+ROW()/10000,"")</f>
        <v/>
      </c>
      <c r="AI758" t="str">
        <f>IF('Detalle individual'!F758="Completado",COUNTIF('Detalle individual'!$D$5:$D$1000,"&lt;"&amp;'Detalle individual'!D758)*1000000+COUNTIF('Detalle individual'!$C$5:$C$1000,"&lt;"&amp;'Detalle individual'!C758)*1000+COUNTIF('Detalle individual'!$B$5:$B$1000,"&lt;"&amp;'Detalle individual'!B758)+ROW()/10000,"")</f>
        <v/>
      </c>
      <c r="AJ758" t="str">
        <f>IF(AND('Detalle individual'!F758&lt;&gt;"",'Detalle individual'!F758&lt;&gt;"Completado",'Detalle individual'!F758&lt;&gt;"Pendiente"),COUNTIF('Detalle individual'!$D$5:$D$1000,"&lt;"&amp;'Detalle individual'!D758)*1000000+COUNTIF('Detalle individual'!$C$5:$C$1000,"&lt;"&amp;'Detalle individual'!C758)*1000+COUNTIF('Detalle individual'!$B$5:$B$1000,"&lt;"&amp;'Detalle individual'!B758)+ROW()/10000,"")</f>
        <v/>
      </c>
      <c r="AK758" t="str">
        <f>IF(OR('Base Exámenes'!C758="",'Base Exámenes'!D758=""),"",IF(COUNTIF('Base Exámenes'!$C$5:C758,'Base Exámenes'!C758)=1,'Base Exámenes'!D758+ROW()/1000000000,""))</f>
        <v/>
      </c>
      <c r="AL758" t="str">
        <f>IF(OR('Base Exámenes'!C758="",'Base Exámenes'!E758=""),"",IF(COUNTIF('Base Exámenes'!$C$5:C758,'Base Exámenes'!C758)=1,'Base Exámenes'!E758+ROW()/1000000000,""))</f>
        <v/>
      </c>
      <c r="AM758" t="str">
        <f>IF(OR('Base Exámenes'!C758="",'Base Exámenes'!G758=""),"",IF(ROW()-4=MATCH('Base Exámenes'!C758&amp;"|"&amp;_xlfn.MAXIFS('Base Exámenes'!$G$5:$G$1000,'Base Exámenes'!$C$5:$C$1000,'Base Exámenes'!C758),'Base Exámenes'!$I$5:$I$1000,0),'Base Exámenes'!G758*1000000+(-1)*'Base Exámenes'!D758,""))</f>
        <v/>
      </c>
      <c r="AQ758" t="str">
        <f>IF('Base Exámenes'!C758="","",IF(COUNTIF('Base Exámenes'!$C$5:$C$1000,'Base Exámenes'!C758)&lt;2,"",MATCH('Base Exámenes'!C758,'Base Exámenes'!$C$5:$C$1000,0)*10000+ROW()))</f>
        <v/>
      </c>
    </row>
    <row r="759">
      <c r="Z759" t="str">
        <f>IF('Detalle individual'!A759="","",IF(AND(OR('Estado por Colaborador'!$D$4="Todas las gerencias",'Detalle individual'!D759='Estado por Colaborador'!$D$4),OR('Estado por Colaborador'!$D$5="Todos los departamentos",TRIM('Detalle individual'!C759)='Estado por Colaborador'!$D$5),OR('Estado por Colaborador'!$D$6="Todos",'Detalle individual'!F759='Estado por Colaborador'!$D$6)),IF('Detalle individual'!F759="Completado",30000000,IF('Detalle individual'!F759="Pendiente",0,15000000))+COUNTIF('Detalle individual'!$C$5:$C$1000,"&lt;"&amp;'Detalle individual'!C759)*10000+ROW(),""))</f>
        <v/>
      </c>
      <c r="AB759" t="str">
        <f>IF('Detalle individual'!C759="","",IF(COUNTIF('Detalle individual'!$C$5:C759,'Detalle individual'!C759)=1,COUNTIF('Detalle individual'!$C$5:$C$1000,"&lt;"&amp;'Detalle individual'!C759),""))</f>
        <v/>
      </c>
      <c r="AC759" t="str">
        <f>IF('Detalle individual'!D759="","",IF(COUNTIF('Detalle individual'!$D$5:D759,'Detalle individual'!D759)=1,COUNTIF('Detalle individual'!$D$5:$D$1000,"&lt;"&amp;'Detalle individual'!D759),""))</f>
        <v/>
      </c>
      <c r="AH759" t="str">
        <f>IF('Detalle individual'!F759="Pendiente",COUNTIF('Detalle individual'!$D$5:$D$1000,"&lt;"&amp;'Detalle individual'!D759)*1000000+COUNTIF('Detalle individual'!$C$5:$C$1000,"&lt;"&amp;'Detalle individual'!C759)*1000+COUNTIF('Detalle individual'!$B$5:$B$1000,"&lt;"&amp;'Detalle individual'!B759)+ROW()/10000,"")</f>
        <v/>
      </c>
      <c r="AI759" t="str">
        <f>IF('Detalle individual'!F759="Completado",COUNTIF('Detalle individual'!$D$5:$D$1000,"&lt;"&amp;'Detalle individual'!D759)*1000000+COUNTIF('Detalle individual'!$C$5:$C$1000,"&lt;"&amp;'Detalle individual'!C759)*1000+COUNTIF('Detalle individual'!$B$5:$B$1000,"&lt;"&amp;'Detalle individual'!B759)+ROW()/10000,"")</f>
        <v/>
      </c>
      <c r="AJ759" t="str">
        <f>IF(AND('Detalle individual'!F759&lt;&gt;"",'Detalle individual'!F759&lt;&gt;"Completado",'Detalle individual'!F759&lt;&gt;"Pendiente"),COUNTIF('Detalle individual'!$D$5:$D$1000,"&lt;"&amp;'Detalle individual'!D759)*1000000+COUNTIF('Detalle individual'!$C$5:$C$1000,"&lt;"&amp;'Detalle individual'!C759)*1000+COUNTIF('Detalle individual'!$B$5:$B$1000,"&lt;"&amp;'Detalle individual'!B759)+ROW()/10000,"")</f>
        <v/>
      </c>
      <c r="AK759" t="str">
        <f>IF(OR('Base Exámenes'!C759="",'Base Exámenes'!D759=""),"",IF(COUNTIF('Base Exámenes'!$C$5:C759,'Base Exámenes'!C759)=1,'Base Exámenes'!D759+ROW()/1000000000,""))</f>
        <v/>
      </c>
      <c r="AL759" t="str">
        <f>IF(OR('Base Exámenes'!C759="",'Base Exámenes'!E759=""),"",IF(COUNTIF('Base Exámenes'!$C$5:C759,'Base Exámenes'!C759)=1,'Base Exámenes'!E759+ROW()/1000000000,""))</f>
        <v/>
      </c>
      <c r="AM759" t="str">
        <f>IF(OR('Base Exámenes'!C759="",'Base Exámenes'!G759=""),"",IF(ROW()-4=MATCH('Base Exámenes'!C759&amp;"|"&amp;_xlfn.MAXIFS('Base Exámenes'!$G$5:$G$1000,'Base Exámenes'!$C$5:$C$1000,'Base Exámenes'!C759),'Base Exámenes'!$I$5:$I$1000,0),'Base Exámenes'!G759*1000000+(-1)*'Base Exámenes'!D759,""))</f>
        <v/>
      </c>
      <c r="AQ759" t="str">
        <f>IF('Base Exámenes'!C759="","",IF(COUNTIF('Base Exámenes'!$C$5:$C$1000,'Base Exámenes'!C759)&lt;2,"",MATCH('Base Exámenes'!C759,'Base Exámenes'!$C$5:$C$1000,0)*10000+ROW()))</f>
        <v/>
      </c>
    </row>
    <row r="760">
      <c r="Z760" t="str">
        <f>IF('Detalle individual'!A760="","",IF(AND(OR('Estado por Colaborador'!$D$4="Todas las gerencias",'Detalle individual'!D760='Estado por Colaborador'!$D$4),OR('Estado por Colaborador'!$D$5="Todos los departamentos",TRIM('Detalle individual'!C760)='Estado por Colaborador'!$D$5),OR('Estado por Colaborador'!$D$6="Todos",'Detalle individual'!F760='Estado por Colaborador'!$D$6)),IF('Detalle individual'!F760="Completado",30000000,IF('Detalle individual'!F760="Pendiente",0,15000000))+COUNTIF('Detalle individual'!$C$5:$C$1000,"&lt;"&amp;'Detalle individual'!C760)*10000+ROW(),""))</f>
        <v/>
      </c>
      <c r="AB760" t="str">
        <f>IF('Detalle individual'!C760="","",IF(COUNTIF('Detalle individual'!$C$5:C760,'Detalle individual'!C760)=1,COUNTIF('Detalle individual'!$C$5:$C$1000,"&lt;"&amp;'Detalle individual'!C760),""))</f>
        <v/>
      </c>
      <c r="AC760" t="str">
        <f>IF('Detalle individual'!D760="","",IF(COUNTIF('Detalle individual'!$D$5:D760,'Detalle individual'!D760)=1,COUNTIF('Detalle individual'!$D$5:$D$1000,"&lt;"&amp;'Detalle individual'!D760),""))</f>
        <v/>
      </c>
      <c r="AH760" t="str">
        <f>IF('Detalle individual'!F760="Pendiente",COUNTIF('Detalle individual'!$D$5:$D$1000,"&lt;"&amp;'Detalle individual'!D760)*1000000+COUNTIF('Detalle individual'!$C$5:$C$1000,"&lt;"&amp;'Detalle individual'!C760)*1000+COUNTIF('Detalle individual'!$B$5:$B$1000,"&lt;"&amp;'Detalle individual'!B760)+ROW()/10000,"")</f>
        <v/>
      </c>
      <c r="AI760" t="str">
        <f>IF('Detalle individual'!F760="Completado",COUNTIF('Detalle individual'!$D$5:$D$1000,"&lt;"&amp;'Detalle individual'!D760)*1000000+COUNTIF('Detalle individual'!$C$5:$C$1000,"&lt;"&amp;'Detalle individual'!C760)*1000+COUNTIF('Detalle individual'!$B$5:$B$1000,"&lt;"&amp;'Detalle individual'!B760)+ROW()/10000,"")</f>
        <v/>
      </c>
      <c r="AJ760" t="str">
        <f>IF(AND('Detalle individual'!F760&lt;&gt;"",'Detalle individual'!F760&lt;&gt;"Completado",'Detalle individual'!F760&lt;&gt;"Pendiente"),COUNTIF('Detalle individual'!$D$5:$D$1000,"&lt;"&amp;'Detalle individual'!D760)*1000000+COUNTIF('Detalle individual'!$C$5:$C$1000,"&lt;"&amp;'Detalle individual'!C760)*1000+COUNTIF('Detalle individual'!$B$5:$B$1000,"&lt;"&amp;'Detalle individual'!B760)+ROW()/10000,"")</f>
        <v/>
      </c>
      <c r="AK760" t="str">
        <f>IF(OR('Base Exámenes'!C760="",'Base Exámenes'!D760=""),"",IF(COUNTIF('Base Exámenes'!$C$5:C760,'Base Exámenes'!C760)=1,'Base Exámenes'!D760+ROW()/1000000000,""))</f>
        <v/>
      </c>
      <c r="AL760" t="str">
        <f>IF(OR('Base Exámenes'!C760="",'Base Exámenes'!E760=""),"",IF(COUNTIF('Base Exámenes'!$C$5:C760,'Base Exámenes'!C760)=1,'Base Exámenes'!E760+ROW()/1000000000,""))</f>
        <v/>
      </c>
      <c r="AM760" t="str">
        <f>IF(OR('Base Exámenes'!C760="",'Base Exámenes'!G760=""),"",IF(ROW()-4=MATCH('Base Exámenes'!C760&amp;"|"&amp;_xlfn.MAXIFS('Base Exámenes'!$G$5:$G$1000,'Base Exámenes'!$C$5:$C$1000,'Base Exámenes'!C760),'Base Exámenes'!$I$5:$I$1000,0),'Base Exámenes'!G760*1000000+(-1)*'Base Exámenes'!D760,""))</f>
        <v/>
      </c>
      <c r="AQ760" t="str">
        <f>IF('Base Exámenes'!C760="","",IF(COUNTIF('Base Exámenes'!$C$5:$C$1000,'Base Exámenes'!C760)&lt;2,"",MATCH('Base Exámenes'!C760,'Base Exámenes'!$C$5:$C$1000,0)*10000+ROW()))</f>
        <v/>
      </c>
    </row>
    <row r="761">
      <c r="Z761" t="str">
        <f>IF('Detalle individual'!A761="","",IF(AND(OR('Estado por Colaborador'!$D$4="Todas las gerencias",'Detalle individual'!D761='Estado por Colaborador'!$D$4),OR('Estado por Colaborador'!$D$5="Todos los departamentos",TRIM('Detalle individual'!C761)='Estado por Colaborador'!$D$5),OR('Estado por Colaborador'!$D$6="Todos",'Detalle individual'!F761='Estado por Colaborador'!$D$6)),IF('Detalle individual'!F761="Completado",30000000,IF('Detalle individual'!F761="Pendiente",0,15000000))+COUNTIF('Detalle individual'!$C$5:$C$1000,"&lt;"&amp;'Detalle individual'!C761)*10000+ROW(),""))</f>
        <v/>
      </c>
      <c r="AB761" t="str">
        <f>IF('Detalle individual'!C761="","",IF(COUNTIF('Detalle individual'!$C$5:C761,'Detalle individual'!C761)=1,COUNTIF('Detalle individual'!$C$5:$C$1000,"&lt;"&amp;'Detalle individual'!C761),""))</f>
        <v/>
      </c>
      <c r="AC761" t="str">
        <f>IF('Detalle individual'!D761="","",IF(COUNTIF('Detalle individual'!$D$5:D761,'Detalle individual'!D761)=1,COUNTIF('Detalle individual'!$D$5:$D$1000,"&lt;"&amp;'Detalle individual'!D761),""))</f>
        <v/>
      </c>
      <c r="AH761" t="str">
        <f>IF('Detalle individual'!F761="Pendiente",COUNTIF('Detalle individual'!$D$5:$D$1000,"&lt;"&amp;'Detalle individual'!D761)*1000000+COUNTIF('Detalle individual'!$C$5:$C$1000,"&lt;"&amp;'Detalle individual'!C761)*1000+COUNTIF('Detalle individual'!$B$5:$B$1000,"&lt;"&amp;'Detalle individual'!B761)+ROW()/10000,"")</f>
        <v/>
      </c>
      <c r="AI761" t="str">
        <f>IF('Detalle individual'!F761="Completado",COUNTIF('Detalle individual'!$D$5:$D$1000,"&lt;"&amp;'Detalle individual'!D761)*1000000+COUNTIF('Detalle individual'!$C$5:$C$1000,"&lt;"&amp;'Detalle individual'!C761)*1000+COUNTIF('Detalle individual'!$B$5:$B$1000,"&lt;"&amp;'Detalle individual'!B761)+ROW()/10000,"")</f>
        <v/>
      </c>
      <c r="AJ761" t="str">
        <f>IF(AND('Detalle individual'!F761&lt;&gt;"",'Detalle individual'!F761&lt;&gt;"Completado",'Detalle individual'!F761&lt;&gt;"Pendiente"),COUNTIF('Detalle individual'!$D$5:$D$1000,"&lt;"&amp;'Detalle individual'!D761)*1000000+COUNTIF('Detalle individual'!$C$5:$C$1000,"&lt;"&amp;'Detalle individual'!C761)*1000+COUNTIF('Detalle individual'!$B$5:$B$1000,"&lt;"&amp;'Detalle individual'!B761)+ROW()/10000,"")</f>
        <v/>
      </c>
      <c r="AK761" t="str">
        <f>IF(OR('Base Exámenes'!C761="",'Base Exámenes'!D761=""),"",IF(COUNTIF('Base Exámenes'!$C$5:C761,'Base Exámenes'!C761)=1,'Base Exámenes'!D761+ROW()/1000000000,""))</f>
        <v/>
      </c>
      <c r="AL761" t="str">
        <f>IF(OR('Base Exámenes'!C761="",'Base Exámenes'!E761=""),"",IF(COUNTIF('Base Exámenes'!$C$5:C761,'Base Exámenes'!C761)=1,'Base Exámenes'!E761+ROW()/1000000000,""))</f>
        <v/>
      </c>
      <c r="AM761" t="str">
        <f>IF(OR('Base Exámenes'!C761="",'Base Exámenes'!G761=""),"",IF(ROW()-4=MATCH('Base Exámenes'!C761&amp;"|"&amp;_xlfn.MAXIFS('Base Exámenes'!$G$5:$G$1000,'Base Exámenes'!$C$5:$C$1000,'Base Exámenes'!C761),'Base Exámenes'!$I$5:$I$1000,0),'Base Exámenes'!G761*1000000+(-1)*'Base Exámenes'!D761,""))</f>
        <v/>
      </c>
      <c r="AQ761" t="str">
        <f>IF('Base Exámenes'!C761="","",IF(COUNTIF('Base Exámenes'!$C$5:$C$1000,'Base Exámenes'!C761)&lt;2,"",MATCH('Base Exámenes'!C761,'Base Exámenes'!$C$5:$C$1000,0)*10000+ROW()))</f>
        <v/>
      </c>
    </row>
    <row r="762">
      <c r="Z762" t="str">
        <f>IF('Detalle individual'!A762="","",IF(AND(OR('Estado por Colaborador'!$D$4="Todas las gerencias",'Detalle individual'!D762='Estado por Colaborador'!$D$4),OR('Estado por Colaborador'!$D$5="Todos los departamentos",TRIM('Detalle individual'!C762)='Estado por Colaborador'!$D$5),OR('Estado por Colaborador'!$D$6="Todos",'Detalle individual'!F762='Estado por Colaborador'!$D$6)),IF('Detalle individual'!F762="Completado",30000000,IF('Detalle individual'!F762="Pendiente",0,15000000))+COUNTIF('Detalle individual'!$C$5:$C$1000,"&lt;"&amp;'Detalle individual'!C762)*10000+ROW(),""))</f>
        <v/>
      </c>
      <c r="AB762" t="str">
        <f>IF('Detalle individual'!C762="","",IF(COUNTIF('Detalle individual'!$C$5:C762,'Detalle individual'!C762)=1,COUNTIF('Detalle individual'!$C$5:$C$1000,"&lt;"&amp;'Detalle individual'!C762),""))</f>
        <v/>
      </c>
      <c r="AC762" t="str">
        <f>IF('Detalle individual'!D762="","",IF(COUNTIF('Detalle individual'!$D$5:D762,'Detalle individual'!D762)=1,COUNTIF('Detalle individual'!$D$5:$D$1000,"&lt;"&amp;'Detalle individual'!D762),""))</f>
        <v/>
      </c>
      <c r="AH762" t="str">
        <f>IF('Detalle individual'!F762="Pendiente",COUNTIF('Detalle individual'!$D$5:$D$1000,"&lt;"&amp;'Detalle individual'!D762)*1000000+COUNTIF('Detalle individual'!$C$5:$C$1000,"&lt;"&amp;'Detalle individual'!C762)*1000+COUNTIF('Detalle individual'!$B$5:$B$1000,"&lt;"&amp;'Detalle individual'!B762)+ROW()/10000,"")</f>
        <v/>
      </c>
      <c r="AI762" t="str">
        <f>IF('Detalle individual'!F762="Completado",COUNTIF('Detalle individual'!$D$5:$D$1000,"&lt;"&amp;'Detalle individual'!D762)*1000000+COUNTIF('Detalle individual'!$C$5:$C$1000,"&lt;"&amp;'Detalle individual'!C762)*1000+COUNTIF('Detalle individual'!$B$5:$B$1000,"&lt;"&amp;'Detalle individual'!B762)+ROW()/10000,"")</f>
        <v/>
      </c>
      <c r="AJ762" t="str">
        <f>IF(AND('Detalle individual'!F762&lt;&gt;"",'Detalle individual'!F762&lt;&gt;"Completado",'Detalle individual'!F762&lt;&gt;"Pendiente"),COUNTIF('Detalle individual'!$D$5:$D$1000,"&lt;"&amp;'Detalle individual'!D762)*1000000+COUNTIF('Detalle individual'!$C$5:$C$1000,"&lt;"&amp;'Detalle individual'!C762)*1000+COUNTIF('Detalle individual'!$B$5:$B$1000,"&lt;"&amp;'Detalle individual'!B762)+ROW()/10000,"")</f>
        <v/>
      </c>
      <c r="AK762" t="str">
        <f>IF(OR('Base Exámenes'!C762="",'Base Exámenes'!D762=""),"",IF(COUNTIF('Base Exámenes'!$C$5:C762,'Base Exámenes'!C762)=1,'Base Exámenes'!D762+ROW()/1000000000,""))</f>
        <v/>
      </c>
      <c r="AL762" t="str">
        <f>IF(OR('Base Exámenes'!C762="",'Base Exámenes'!E762=""),"",IF(COUNTIF('Base Exámenes'!$C$5:C762,'Base Exámenes'!C762)=1,'Base Exámenes'!E762+ROW()/1000000000,""))</f>
        <v/>
      </c>
      <c r="AM762" t="str">
        <f>IF(OR('Base Exámenes'!C762="",'Base Exámenes'!G762=""),"",IF(ROW()-4=MATCH('Base Exámenes'!C762&amp;"|"&amp;_xlfn.MAXIFS('Base Exámenes'!$G$5:$G$1000,'Base Exámenes'!$C$5:$C$1000,'Base Exámenes'!C762),'Base Exámenes'!$I$5:$I$1000,0),'Base Exámenes'!G762*1000000+(-1)*'Base Exámenes'!D762,""))</f>
        <v/>
      </c>
      <c r="AQ762" t="str">
        <f>IF('Base Exámenes'!C762="","",IF(COUNTIF('Base Exámenes'!$C$5:$C$1000,'Base Exámenes'!C762)&lt;2,"",MATCH('Base Exámenes'!C762,'Base Exámenes'!$C$5:$C$1000,0)*10000+ROW()))</f>
        <v/>
      </c>
    </row>
    <row r="763">
      <c r="Z763" t="str">
        <f>IF('Detalle individual'!A763="","",IF(AND(OR('Estado por Colaborador'!$D$4="Todas las gerencias",'Detalle individual'!D763='Estado por Colaborador'!$D$4),OR('Estado por Colaborador'!$D$5="Todos los departamentos",TRIM('Detalle individual'!C763)='Estado por Colaborador'!$D$5),OR('Estado por Colaborador'!$D$6="Todos",'Detalle individual'!F763='Estado por Colaborador'!$D$6)),IF('Detalle individual'!F763="Completado",30000000,IF('Detalle individual'!F763="Pendiente",0,15000000))+COUNTIF('Detalle individual'!$C$5:$C$1000,"&lt;"&amp;'Detalle individual'!C763)*10000+ROW(),""))</f>
        <v/>
      </c>
      <c r="AB763" t="str">
        <f>IF('Detalle individual'!C763="","",IF(COUNTIF('Detalle individual'!$C$5:C763,'Detalle individual'!C763)=1,COUNTIF('Detalle individual'!$C$5:$C$1000,"&lt;"&amp;'Detalle individual'!C763),""))</f>
        <v/>
      </c>
      <c r="AC763" t="str">
        <f>IF('Detalle individual'!D763="","",IF(COUNTIF('Detalle individual'!$D$5:D763,'Detalle individual'!D763)=1,COUNTIF('Detalle individual'!$D$5:$D$1000,"&lt;"&amp;'Detalle individual'!D763),""))</f>
        <v/>
      </c>
      <c r="AH763" t="str">
        <f>IF('Detalle individual'!F763="Pendiente",COUNTIF('Detalle individual'!$D$5:$D$1000,"&lt;"&amp;'Detalle individual'!D763)*1000000+COUNTIF('Detalle individual'!$C$5:$C$1000,"&lt;"&amp;'Detalle individual'!C763)*1000+COUNTIF('Detalle individual'!$B$5:$B$1000,"&lt;"&amp;'Detalle individual'!B763)+ROW()/10000,"")</f>
        <v/>
      </c>
      <c r="AI763" t="str">
        <f>IF('Detalle individual'!F763="Completado",COUNTIF('Detalle individual'!$D$5:$D$1000,"&lt;"&amp;'Detalle individual'!D763)*1000000+COUNTIF('Detalle individual'!$C$5:$C$1000,"&lt;"&amp;'Detalle individual'!C763)*1000+COUNTIF('Detalle individual'!$B$5:$B$1000,"&lt;"&amp;'Detalle individual'!B763)+ROW()/10000,"")</f>
        <v/>
      </c>
      <c r="AJ763" t="str">
        <f>IF(AND('Detalle individual'!F763&lt;&gt;"",'Detalle individual'!F763&lt;&gt;"Completado",'Detalle individual'!F763&lt;&gt;"Pendiente"),COUNTIF('Detalle individual'!$D$5:$D$1000,"&lt;"&amp;'Detalle individual'!D763)*1000000+COUNTIF('Detalle individual'!$C$5:$C$1000,"&lt;"&amp;'Detalle individual'!C763)*1000+COUNTIF('Detalle individual'!$B$5:$B$1000,"&lt;"&amp;'Detalle individual'!B763)+ROW()/10000,"")</f>
        <v/>
      </c>
      <c r="AK763" t="str">
        <f>IF(OR('Base Exámenes'!C763="",'Base Exámenes'!D763=""),"",IF(COUNTIF('Base Exámenes'!$C$5:C763,'Base Exámenes'!C763)=1,'Base Exámenes'!D763+ROW()/1000000000,""))</f>
        <v/>
      </c>
      <c r="AL763" t="str">
        <f>IF(OR('Base Exámenes'!C763="",'Base Exámenes'!E763=""),"",IF(COUNTIF('Base Exámenes'!$C$5:C763,'Base Exámenes'!C763)=1,'Base Exámenes'!E763+ROW()/1000000000,""))</f>
        <v/>
      </c>
      <c r="AM763" t="str">
        <f>IF(OR('Base Exámenes'!C763="",'Base Exámenes'!G763=""),"",IF(ROW()-4=MATCH('Base Exámenes'!C763&amp;"|"&amp;_xlfn.MAXIFS('Base Exámenes'!$G$5:$G$1000,'Base Exámenes'!$C$5:$C$1000,'Base Exámenes'!C763),'Base Exámenes'!$I$5:$I$1000,0),'Base Exámenes'!G763*1000000+(-1)*'Base Exámenes'!D763,""))</f>
        <v/>
      </c>
      <c r="AQ763" t="str">
        <f>IF('Base Exámenes'!C763="","",IF(COUNTIF('Base Exámenes'!$C$5:$C$1000,'Base Exámenes'!C763)&lt;2,"",MATCH('Base Exámenes'!C763,'Base Exámenes'!$C$5:$C$1000,0)*10000+ROW()))</f>
        <v/>
      </c>
    </row>
    <row r="764">
      <c r="Z764" t="str">
        <f>IF('Detalle individual'!A764="","",IF(AND(OR('Estado por Colaborador'!$D$4="Todas las gerencias",'Detalle individual'!D764='Estado por Colaborador'!$D$4),OR('Estado por Colaborador'!$D$5="Todos los departamentos",TRIM('Detalle individual'!C764)='Estado por Colaborador'!$D$5),OR('Estado por Colaborador'!$D$6="Todos",'Detalle individual'!F764='Estado por Colaborador'!$D$6)),IF('Detalle individual'!F764="Completado",30000000,IF('Detalle individual'!F764="Pendiente",0,15000000))+COUNTIF('Detalle individual'!$C$5:$C$1000,"&lt;"&amp;'Detalle individual'!C764)*10000+ROW(),""))</f>
        <v/>
      </c>
      <c r="AB764" t="str">
        <f>IF('Detalle individual'!C764="","",IF(COUNTIF('Detalle individual'!$C$5:C764,'Detalle individual'!C764)=1,COUNTIF('Detalle individual'!$C$5:$C$1000,"&lt;"&amp;'Detalle individual'!C764),""))</f>
        <v/>
      </c>
      <c r="AC764" t="str">
        <f>IF('Detalle individual'!D764="","",IF(COUNTIF('Detalle individual'!$D$5:D764,'Detalle individual'!D764)=1,COUNTIF('Detalle individual'!$D$5:$D$1000,"&lt;"&amp;'Detalle individual'!D764),""))</f>
        <v/>
      </c>
      <c r="AH764" t="str">
        <f>IF('Detalle individual'!F764="Pendiente",COUNTIF('Detalle individual'!$D$5:$D$1000,"&lt;"&amp;'Detalle individual'!D764)*1000000+COUNTIF('Detalle individual'!$C$5:$C$1000,"&lt;"&amp;'Detalle individual'!C764)*1000+COUNTIF('Detalle individual'!$B$5:$B$1000,"&lt;"&amp;'Detalle individual'!B764)+ROW()/10000,"")</f>
        <v/>
      </c>
      <c r="AI764" t="str">
        <f>IF('Detalle individual'!F764="Completado",COUNTIF('Detalle individual'!$D$5:$D$1000,"&lt;"&amp;'Detalle individual'!D764)*1000000+COUNTIF('Detalle individual'!$C$5:$C$1000,"&lt;"&amp;'Detalle individual'!C764)*1000+COUNTIF('Detalle individual'!$B$5:$B$1000,"&lt;"&amp;'Detalle individual'!B764)+ROW()/10000,"")</f>
        <v/>
      </c>
      <c r="AJ764" t="str">
        <f>IF(AND('Detalle individual'!F764&lt;&gt;"",'Detalle individual'!F764&lt;&gt;"Completado",'Detalle individual'!F764&lt;&gt;"Pendiente"),COUNTIF('Detalle individual'!$D$5:$D$1000,"&lt;"&amp;'Detalle individual'!D764)*1000000+COUNTIF('Detalle individual'!$C$5:$C$1000,"&lt;"&amp;'Detalle individual'!C764)*1000+COUNTIF('Detalle individual'!$B$5:$B$1000,"&lt;"&amp;'Detalle individual'!B764)+ROW()/10000,"")</f>
        <v/>
      </c>
      <c r="AK764" t="str">
        <f>IF(OR('Base Exámenes'!C764="",'Base Exámenes'!D764=""),"",IF(COUNTIF('Base Exámenes'!$C$5:C764,'Base Exámenes'!C764)=1,'Base Exámenes'!D764+ROW()/1000000000,""))</f>
        <v/>
      </c>
      <c r="AL764" t="str">
        <f>IF(OR('Base Exámenes'!C764="",'Base Exámenes'!E764=""),"",IF(COUNTIF('Base Exámenes'!$C$5:C764,'Base Exámenes'!C764)=1,'Base Exámenes'!E764+ROW()/1000000000,""))</f>
        <v/>
      </c>
      <c r="AM764" t="str">
        <f>IF(OR('Base Exámenes'!C764="",'Base Exámenes'!G764=""),"",IF(ROW()-4=MATCH('Base Exámenes'!C764&amp;"|"&amp;_xlfn.MAXIFS('Base Exámenes'!$G$5:$G$1000,'Base Exámenes'!$C$5:$C$1000,'Base Exámenes'!C764),'Base Exámenes'!$I$5:$I$1000,0),'Base Exámenes'!G764*1000000+(-1)*'Base Exámenes'!D764,""))</f>
        <v/>
      </c>
      <c r="AQ764" t="str">
        <f>IF('Base Exámenes'!C764="","",IF(COUNTIF('Base Exámenes'!$C$5:$C$1000,'Base Exámenes'!C764)&lt;2,"",MATCH('Base Exámenes'!C764,'Base Exámenes'!$C$5:$C$1000,0)*10000+ROW()))</f>
        <v/>
      </c>
    </row>
    <row r="765">
      <c r="Z765" t="str">
        <f>IF('Detalle individual'!A765="","",IF(AND(OR('Estado por Colaborador'!$D$4="Todas las gerencias",'Detalle individual'!D765='Estado por Colaborador'!$D$4),OR('Estado por Colaborador'!$D$5="Todos los departamentos",TRIM('Detalle individual'!C765)='Estado por Colaborador'!$D$5),OR('Estado por Colaborador'!$D$6="Todos",'Detalle individual'!F765='Estado por Colaborador'!$D$6)),IF('Detalle individual'!F765="Completado",30000000,IF('Detalle individual'!F765="Pendiente",0,15000000))+COUNTIF('Detalle individual'!$C$5:$C$1000,"&lt;"&amp;'Detalle individual'!C765)*10000+ROW(),""))</f>
        <v/>
      </c>
      <c r="AB765" t="str">
        <f>IF('Detalle individual'!C765="","",IF(COUNTIF('Detalle individual'!$C$5:C765,'Detalle individual'!C765)=1,COUNTIF('Detalle individual'!$C$5:$C$1000,"&lt;"&amp;'Detalle individual'!C765),""))</f>
        <v/>
      </c>
      <c r="AC765" t="str">
        <f>IF('Detalle individual'!D765="","",IF(COUNTIF('Detalle individual'!$D$5:D765,'Detalle individual'!D765)=1,COUNTIF('Detalle individual'!$D$5:$D$1000,"&lt;"&amp;'Detalle individual'!D765),""))</f>
        <v/>
      </c>
      <c r="AH765" t="str">
        <f>IF('Detalle individual'!F765="Pendiente",COUNTIF('Detalle individual'!$D$5:$D$1000,"&lt;"&amp;'Detalle individual'!D765)*1000000+COUNTIF('Detalle individual'!$C$5:$C$1000,"&lt;"&amp;'Detalle individual'!C765)*1000+COUNTIF('Detalle individual'!$B$5:$B$1000,"&lt;"&amp;'Detalle individual'!B765)+ROW()/10000,"")</f>
        <v/>
      </c>
      <c r="AI765" t="str">
        <f>IF('Detalle individual'!F765="Completado",COUNTIF('Detalle individual'!$D$5:$D$1000,"&lt;"&amp;'Detalle individual'!D765)*1000000+COUNTIF('Detalle individual'!$C$5:$C$1000,"&lt;"&amp;'Detalle individual'!C765)*1000+COUNTIF('Detalle individual'!$B$5:$B$1000,"&lt;"&amp;'Detalle individual'!B765)+ROW()/10000,"")</f>
        <v/>
      </c>
      <c r="AJ765" t="str">
        <f>IF(AND('Detalle individual'!F765&lt;&gt;"",'Detalle individual'!F765&lt;&gt;"Completado",'Detalle individual'!F765&lt;&gt;"Pendiente"),COUNTIF('Detalle individual'!$D$5:$D$1000,"&lt;"&amp;'Detalle individual'!D765)*1000000+COUNTIF('Detalle individual'!$C$5:$C$1000,"&lt;"&amp;'Detalle individual'!C765)*1000+COUNTIF('Detalle individual'!$B$5:$B$1000,"&lt;"&amp;'Detalle individual'!B765)+ROW()/10000,"")</f>
        <v/>
      </c>
      <c r="AK765" t="str">
        <f>IF(OR('Base Exámenes'!C765="",'Base Exámenes'!D765=""),"",IF(COUNTIF('Base Exámenes'!$C$5:C765,'Base Exámenes'!C765)=1,'Base Exámenes'!D765+ROW()/1000000000,""))</f>
        <v/>
      </c>
      <c r="AL765" t="str">
        <f>IF(OR('Base Exámenes'!C765="",'Base Exámenes'!E765=""),"",IF(COUNTIF('Base Exámenes'!$C$5:C765,'Base Exámenes'!C765)=1,'Base Exámenes'!E765+ROW()/1000000000,""))</f>
        <v/>
      </c>
      <c r="AM765" t="str">
        <f>IF(OR('Base Exámenes'!C765="",'Base Exámenes'!G765=""),"",IF(ROW()-4=MATCH('Base Exámenes'!C765&amp;"|"&amp;_xlfn.MAXIFS('Base Exámenes'!$G$5:$G$1000,'Base Exámenes'!$C$5:$C$1000,'Base Exámenes'!C765),'Base Exámenes'!$I$5:$I$1000,0),'Base Exámenes'!G765*1000000+(-1)*'Base Exámenes'!D765,""))</f>
        <v/>
      </c>
      <c r="AQ765" t="str">
        <f>IF('Base Exámenes'!C765="","",IF(COUNTIF('Base Exámenes'!$C$5:$C$1000,'Base Exámenes'!C765)&lt;2,"",MATCH('Base Exámenes'!C765,'Base Exámenes'!$C$5:$C$1000,0)*10000+ROW()))</f>
        <v/>
      </c>
    </row>
    <row r="766">
      <c r="Z766" t="str">
        <f>IF('Detalle individual'!A766="","",IF(AND(OR('Estado por Colaborador'!$D$4="Todas las gerencias",'Detalle individual'!D766='Estado por Colaborador'!$D$4),OR('Estado por Colaborador'!$D$5="Todos los departamentos",TRIM('Detalle individual'!C766)='Estado por Colaborador'!$D$5),OR('Estado por Colaborador'!$D$6="Todos",'Detalle individual'!F766='Estado por Colaborador'!$D$6)),IF('Detalle individual'!F766="Completado",30000000,IF('Detalle individual'!F766="Pendiente",0,15000000))+COUNTIF('Detalle individual'!$C$5:$C$1000,"&lt;"&amp;'Detalle individual'!C766)*10000+ROW(),""))</f>
        <v/>
      </c>
      <c r="AB766" t="str">
        <f>IF('Detalle individual'!C766="","",IF(COUNTIF('Detalle individual'!$C$5:C766,'Detalle individual'!C766)=1,COUNTIF('Detalle individual'!$C$5:$C$1000,"&lt;"&amp;'Detalle individual'!C766),""))</f>
        <v/>
      </c>
      <c r="AC766" t="str">
        <f>IF('Detalle individual'!D766="","",IF(COUNTIF('Detalle individual'!$D$5:D766,'Detalle individual'!D766)=1,COUNTIF('Detalle individual'!$D$5:$D$1000,"&lt;"&amp;'Detalle individual'!D766),""))</f>
        <v/>
      </c>
      <c r="AH766" t="str">
        <f>IF('Detalle individual'!F766="Pendiente",COUNTIF('Detalle individual'!$D$5:$D$1000,"&lt;"&amp;'Detalle individual'!D766)*1000000+COUNTIF('Detalle individual'!$C$5:$C$1000,"&lt;"&amp;'Detalle individual'!C766)*1000+COUNTIF('Detalle individual'!$B$5:$B$1000,"&lt;"&amp;'Detalle individual'!B766)+ROW()/10000,"")</f>
        <v/>
      </c>
      <c r="AI766" t="str">
        <f>IF('Detalle individual'!F766="Completado",COUNTIF('Detalle individual'!$D$5:$D$1000,"&lt;"&amp;'Detalle individual'!D766)*1000000+COUNTIF('Detalle individual'!$C$5:$C$1000,"&lt;"&amp;'Detalle individual'!C766)*1000+COUNTIF('Detalle individual'!$B$5:$B$1000,"&lt;"&amp;'Detalle individual'!B766)+ROW()/10000,"")</f>
        <v/>
      </c>
      <c r="AJ766" t="str">
        <f>IF(AND('Detalle individual'!F766&lt;&gt;"",'Detalle individual'!F766&lt;&gt;"Completado",'Detalle individual'!F766&lt;&gt;"Pendiente"),COUNTIF('Detalle individual'!$D$5:$D$1000,"&lt;"&amp;'Detalle individual'!D766)*1000000+COUNTIF('Detalle individual'!$C$5:$C$1000,"&lt;"&amp;'Detalle individual'!C766)*1000+COUNTIF('Detalle individual'!$B$5:$B$1000,"&lt;"&amp;'Detalle individual'!B766)+ROW()/10000,"")</f>
        <v/>
      </c>
      <c r="AK766" t="str">
        <f>IF(OR('Base Exámenes'!C766="",'Base Exámenes'!D766=""),"",IF(COUNTIF('Base Exámenes'!$C$5:C766,'Base Exámenes'!C766)=1,'Base Exámenes'!D766+ROW()/1000000000,""))</f>
        <v/>
      </c>
      <c r="AL766" t="str">
        <f>IF(OR('Base Exámenes'!C766="",'Base Exámenes'!E766=""),"",IF(COUNTIF('Base Exámenes'!$C$5:C766,'Base Exámenes'!C766)=1,'Base Exámenes'!E766+ROW()/1000000000,""))</f>
        <v/>
      </c>
      <c r="AM766" t="str">
        <f>IF(OR('Base Exámenes'!C766="",'Base Exámenes'!G766=""),"",IF(ROW()-4=MATCH('Base Exámenes'!C766&amp;"|"&amp;_xlfn.MAXIFS('Base Exámenes'!$G$5:$G$1000,'Base Exámenes'!$C$5:$C$1000,'Base Exámenes'!C766),'Base Exámenes'!$I$5:$I$1000,0),'Base Exámenes'!G766*1000000+(-1)*'Base Exámenes'!D766,""))</f>
        <v/>
      </c>
      <c r="AQ766" t="str">
        <f>IF('Base Exámenes'!C766="","",IF(COUNTIF('Base Exámenes'!$C$5:$C$1000,'Base Exámenes'!C766)&lt;2,"",MATCH('Base Exámenes'!C766,'Base Exámenes'!$C$5:$C$1000,0)*10000+ROW()))</f>
        <v/>
      </c>
    </row>
    <row r="767">
      <c r="Z767" t="str">
        <f>IF('Detalle individual'!A767="","",IF(AND(OR('Estado por Colaborador'!$D$4="Todas las gerencias",'Detalle individual'!D767='Estado por Colaborador'!$D$4),OR('Estado por Colaborador'!$D$5="Todos los departamentos",TRIM('Detalle individual'!C767)='Estado por Colaborador'!$D$5),OR('Estado por Colaborador'!$D$6="Todos",'Detalle individual'!F767='Estado por Colaborador'!$D$6)),IF('Detalle individual'!F767="Completado",30000000,IF('Detalle individual'!F767="Pendiente",0,15000000))+COUNTIF('Detalle individual'!$C$5:$C$1000,"&lt;"&amp;'Detalle individual'!C767)*10000+ROW(),""))</f>
        <v/>
      </c>
      <c r="AB767" t="str">
        <f>IF('Detalle individual'!C767="","",IF(COUNTIF('Detalle individual'!$C$5:C767,'Detalle individual'!C767)=1,COUNTIF('Detalle individual'!$C$5:$C$1000,"&lt;"&amp;'Detalle individual'!C767),""))</f>
        <v/>
      </c>
      <c r="AC767" t="str">
        <f>IF('Detalle individual'!D767="","",IF(COUNTIF('Detalle individual'!$D$5:D767,'Detalle individual'!D767)=1,COUNTIF('Detalle individual'!$D$5:$D$1000,"&lt;"&amp;'Detalle individual'!D767),""))</f>
        <v/>
      </c>
      <c r="AH767" t="str">
        <f>IF('Detalle individual'!F767="Pendiente",COUNTIF('Detalle individual'!$D$5:$D$1000,"&lt;"&amp;'Detalle individual'!D767)*1000000+COUNTIF('Detalle individual'!$C$5:$C$1000,"&lt;"&amp;'Detalle individual'!C767)*1000+COUNTIF('Detalle individual'!$B$5:$B$1000,"&lt;"&amp;'Detalle individual'!B767)+ROW()/10000,"")</f>
        <v/>
      </c>
      <c r="AI767" t="str">
        <f>IF('Detalle individual'!F767="Completado",COUNTIF('Detalle individual'!$D$5:$D$1000,"&lt;"&amp;'Detalle individual'!D767)*1000000+COUNTIF('Detalle individual'!$C$5:$C$1000,"&lt;"&amp;'Detalle individual'!C767)*1000+COUNTIF('Detalle individual'!$B$5:$B$1000,"&lt;"&amp;'Detalle individual'!B767)+ROW()/10000,"")</f>
        <v/>
      </c>
      <c r="AJ767" t="str">
        <f>IF(AND('Detalle individual'!F767&lt;&gt;"",'Detalle individual'!F767&lt;&gt;"Completado",'Detalle individual'!F767&lt;&gt;"Pendiente"),COUNTIF('Detalle individual'!$D$5:$D$1000,"&lt;"&amp;'Detalle individual'!D767)*1000000+COUNTIF('Detalle individual'!$C$5:$C$1000,"&lt;"&amp;'Detalle individual'!C767)*1000+COUNTIF('Detalle individual'!$B$5:$B$1000,"&lt;"&amp;'Detalle individual'!B767)+ROW()/10000,"")</f>
        <v/>
      </c>
      <c r="AK767" t="str">
        <f>IF(OR('Base Exámenes'!C767="",'Base Exámenes'!D767=""),"",IF(COUNTIF('Base Exámenes'!$C$5:C767,'Base Exámenes'!C767)=1,'Base Exámenes'!D767+ROW()/1000000000,""))</f>
        <v/>
      </c>
      <c r="AL767" t="str">
        <f>IF(OR('Base Exámenes'!C767="",'Base Exámenes'!E767=""),"",IF(COUNTIF('Base Exámenes'!$C$5:C767,'Base Exámenes'!C767)=1,'Base Exámenes'!E767+ROW()/1000000000,""))</f>
        <v/>
      </c>
      <c r="AM767" t="str">
        <f>IF(OR('Base Exámenes'!C767="",'Base Exámenes'!G767=""),"",IF(ROW()-4=MATCH('Base Exámenes'!C767&amp;"|"&amp;_xlfn.MAXIFS('Base Exámenes'!$G$5:$G$1000,'Base Exámenes'!$C$5:$C$1000,'Base Exámenes'!C767),'Base Exámenes'!$I$5:$I$1000,0),'Base Exámenes'!G767*1000000+(-1)*'Base Exámenes'!D767,""))</f>
        <v/>
      </c>
      <c r="AQ767" t="str">
        <f>IF('Base Exámenes'!C767="","",IF(COUNTIF('Base Exámenes'!$C$5:$C$1000,'Base Exámenes'!C767)&lt;2,"",MATCH('Base Exámenes'!C767,'Base Exámenes'!$C$5:$C$1000,0)*10000+ROW()))</f>
        <v/>
      </c>
    </row>
    <row r="768">
      <c r="Z768" t="str">
        <f>IF('Detalle individual'!A768="","",IF(AND(OR('Estado por Colaborador'!$D$4="Todas las gerencias",'Detalle individual'!D768='Estado por Colaborador'!$D$4),OR('Estado por Colaborador'!$D$5="Todos los departamentos",TRIM('Detalle individual'!C768)='Estado por Colaborador'!$D$5),OR('Estado por Colaborador'!$D$6="Todos",'Detalle individual'!F768='Estado por Colaborador'!$D$6)),IF('Detalle individual'!F768="Completado",30000000,IF('Detalle individual'!F768="Pendiente",0,15000000))+COUNTIF('Detalle individual'!$C$5:$C$1000,"&lt;"&amp;'Detalle individual'!C768)*10000+ROW(),""))</f>
        <v/>
      </c>
      <c r="AB768" t="str">
        <f>IF('Detalle individual'!C768="","",IF(COUNTIF('Detalle individual'!$C$5:C768,'Detalle individual'!C768)=1,COUNTIF('Detalle individual'!$C$5:$C$1000,"&lt;"&amp;'Detalle individual'!C768),""))</f>
        <v/>
      </c>
      <c r="AC768" t="str">
        <f>IF('Detalle individual'!D768="","",IF(COUNTIF('Detalle individual'!$D$5:D768,'Detalle individual'!D768)=1,COUNTIF('Detalle individual'!$D$5:$D$1000,"&lt;"&amp;'Detalle individual'!D768),""))</f>
        <v/>
      </c>
      <c r="AH768" t="str">
        <f>IF('Detalle individual'!F768="Pendiente",COUNTIF('Detalle individual'!$D$5:$D$1000,"&lt;"&amp;'Detalle individual'!D768)*1000000+COUNTIF('Detalle individual'!$C$5:$C$1000,"&lt;"&amp;'Detalle individual'!C768)*1000+COUNTIF('Detalle individual'!$B$5:$B$1000,"&lt;"&amp;'Detalle individual'!B768)+ROW()/10000,"")</f>
        <v/>
      </c>
      <c r="AI768" t="str">
        <f>IF('Detalle individual'!F768="Completado",COUNTIF('Detalle individual'!$D$5:$D$1000,"&lt;"&amp;'Detalle individual'!D768)*1000000+COUNTIF('Detalle individual'!$C$5:$C$1000,"&lt;"&amp;'Detalle individual'!C768)*1000+COUNTIF('Detalle individual'!$B$5:$B$1000,"&lt;"&amp;'Detalle individual'!B768)+ROW()/10000,"")</f>
        <v/>
      </c>
      <c r="AJ768" t="str">
        <f>IF(AND('Detalle individual'!F768&lt;&gt;"",'Detalle individual'!F768&lt;&gt;"Completado",'Detalle individual'!F768&lt;&gt;"Pendiente"),COUNTIF('Detalle individual'!$D$5:$D$1000,"&lt;"&amp;'Detalle individual'!D768)*1000000+COUNTIF('Detalle individual'!$C$5:$C$1000,"&lt;"&amp;'Detalle individual'!C768)*1000+COUNTIF('Detalle individual'!$B$5:$B$1000,"&lt;"&amp;'Detalle individual'!B768)+ROW()/10000,"")</f>
        <v/>
      </c>
      <c r="AK768" t="str">
        <f>IF(OR('Base Exámenes'!C768="",'Base Exámenes'!D768=""),"",IF(COUNTIF('Base Exámenes'!$C$5:C768,'Base Exámenes'!C768)=1,'Base Exámenes'!D768+ROW()/1000000000,""))</f>
        <v/>
      </c>
      <c r="AL768" t="str">
        <f>IF(OR('Base Exámenes'!C768="",'Base Exámenes'!E768=""),"",IF(COUNTIF('Base Exámenes'!$C$5:C768,'Base Exámenes'!C768)=1,'Base Exámenes'!E768+ROW()/1000000000,""))</f>
        <v/>
      </c>
      <c r="AM768" t="str">
        <f>IF(OR('Base Exámenes'!C768="",'Base Exámenes'!G768=""),"",IF(ROW()-4=MATCH('Base Exámenes'!C768&amp;"|"&amp;_xlfn.MAXIFS('Base Exámenes'!$G$5:$G$1000,'Base Exámenes'!$C$5:$C$1000,'Base Exámenes'!C768),'Base Exámenes'!$I$5:$I$1000,0),'Base Exámenes'!G768*1000000+(-1)*'Base Exámenes'!D768,""))</f>
        <v/>
      </c>
      <c r="AQ768" t="str">
        <f>IF('Base Exámenes'!C768="","",IF(COUNTIF('Base Exámenes'!$C$5:$C$1000,'Base Exámenes'!C768)&lt;2,"",MATCH('Base Exámenes'!C768,'Base Exámenes'!$C$5:$C$1000,0)*10000+ROW()))</f>
        <v/>
      </c>
    </row>
    <row r="769">
      <c r="Z769" t="str">
        <f>IF('Detalle individual'!A769="","",IF(AND(OR('Estado por Colaborador'!$D$4="Todas las gerencias",'Detalle individual'!D769='Estado por Colaborador'!$D$4),OR('Estado por Colaborador'!$D$5="Todos los departamentos",TRIM('Detalle individual'!C769)='Estado por Colaborador'!$D$5),OR('Estado por Colaborador'!$D$6="Todos",'Detalle individual'!F769='Estado por Colaborador'!$D$6)),IF('Detalle individual'!F769="Completado",30000000,IF('Detalle individual'!F769="Pendiente",0,15000000))+COUNTIF('Detalle individual'!$C$5:$C$1000,"&lt;"&amp;'Detalle individual'!C769)*10000+ROW(),""))</f>
        <v/>
      </c>
      <c r="AB769" t="str">
        <f>IF('Detalle individual'!C769="","",IF(COUNTIF('Detalle individual'!$C$5:C769,'Detalle individual'!C769)=1,COUNTIF('Detalle individual'!$C$5:$C$1000,"&lt;"&amp;'Detalle individual'!C769),""))</f>
        <v/>
      </c>
      <c r="AC769" t="str">
        <f>IF('Detalle individual'!D769="","",IF(COUNTIF('Detalle individual'!$D$5:D769,'Detalle individual'!D769)=1,COUNTIF('Detalle individual'!$D$5:$D$1000,"&lt;"&amp;'Detalle individual'!D769),""))</f>
        <v/>
      </c>
      <c r="AH769" t="str">
        <f>IF('Detalle individual'!F769="Pendiente",COUNTIF('Detalle individual'!$D$5:$D$1000,"&lt;"&amp;'Detalle individual'!D769)*1000000+COUNTIF('Detalle individual'!$C$5:$C$1000,"&lt;"&amp;'Detalle individual'!C769)*1000+COUNTIF('Detalle individual'!$B$5:$B$1000,"&lt;"&amp;'Detalle individual'!B769)+ROW()/10000,"")</f>
        <v/>
      </c>
      <c r="AI769" t="str">
        <f>IF('Detalle individual'!F769="Completado",COUNTIF('Detalle individual'!$D$5:$D$1000,"&lt;"&amp;'Detalle individual'!D769)*1000000+COUNTIF('Detalle individual'!$C$5:$C$1000,"&lt;"&amp;'Detalle individual'!C769)*1000+COUNTIF('Detalle individual'!$B$5:$B$1000,"&lt;"&amp;'Detalle individual'!B769)+ROW()/10000,"")</f>
        <v/>
      </c>
      <c r="AJ769" t="str">
        <f>IF(AND('Detalle individual'!F769&lt;&gt;"",'Detalle individual'!F769&lt;&gt;"Completado",'Detalle individual'!F769&lt;&gt;"Pendiente"),COUNTIF('Detalle individual'!$D$5:$D$1000,"&lt;"&amp;'Detalle individual'!D769)*1000000+COUNTIF('Detalle individual'!$C$5:$C$1000,"&lt;"&amp;'Detalle individual'!C769)*1000+COUNTIF('Detalle individual'!$B$5:$B$1000,"&lt;"&amp;'Detalle individual'!B769)+ROW()/10000,"")</f>
        <v/>
      </c>
      <c r="AK769" t="str">
        <f>IF(OR('Base Exámenes'!C769="",'Base Exámenes'!D769=""),"",IF(COUNTIF('Base Exámenes'!$C$5:C769,'Base Exámenes'!C769)=1,'Base Exámenes'!D769+ROW()/1000000000,""))</f>
        <v/>
      </c>
      <c r="AL769" t="str">
        <f>IF(OR('Base Exámenes'!C769="",'Base Exámenes'!E769=""),"",IF(COUNTIF('Base Exámenes'!$C$5:C769,'Base Exámenes'!C769)=1,'Base Exámenes'!E769+ROW()/1000000000,""))</f>
        <v/>
      </c>
      <c r="AM769" t="str">
        <f>IF(OR('Base Exámenes'!C769="",'Base Exámenes'!G769=""),"",IF(ROW()-4=MATCH('Base Exámenes'!C769&amp;"|"&amp;_xlfn.MAXIFS('Base Exámenes'!$G$5:$G$1000,'Base Exámenes'!$C$5:$C$1000,'Base Exámenes'!C769),'Base Exámenes'!$I$5:$I$1000,0),'Base Exámenes'!G769*1000000+(-1)*'Base Exámenes'!D769,""))</f>
        <v/>
      </c>
      <c r="AQ769" t="str">
        <f>IF('Base Exámenes'!C769="","",IF(COUNTIF('Base Exámenes'!$C$5:$C$1000,'Base Exámenes'!C769)&lt;2,"",MATCH('Base Exámenes'!C769,'Base Exámenes'!$C$5:$C$1000,0)*10000+ROW()))</f>
        <v/>
      </c>
    </row>
    <row r="770">
      <c r="Z770" t="str">
        <f>IF('Detalle individual'!A770="","",IF(AND(OR('Estado por Colaborador'!$D$4="Todas las gerencias",'Detalle individual'!D770='Estado por Colaborador'!$D$4),OR('Estado por Colaborador'!$D$5="Todos los departamentos",TRIM('Detalle individual'!C770)='Estado por Colaborador'!$D$5),OR('Estado por Colaborador'!$D$6="Todos",'Detalle individual'!F770='Estado por Colaborador'!$D$6)),IF('Detalle individual'!F770="Completado",30000000,IF('Detalle individual'!F770="Pendiente",0,15000000))+COUNTIF('Detalle individual'!$C$5:$C$1000,"&lt;"&amp;'Detalle individual'!C770)*10000+ROW(),""))</f>
        <v/>
      </c>
      <c r="AB770" t="str">
        <f>IF('Detalle individual'!C770="","",IF(COUNTIF('Detalle individual'!$C$5:C770,'Detalle individual'!C770)=1,COUNTIF('Detalle individual'!$C$5:$C$1000,"&lt;"&amp;'Detalle individual'!C770),""))</f>
        <v/>
      </c>
      <c r="AC770" t="str">
        <f>IF('Detalle individual'!D770="","",IF(COUNTIF('Detalle individual'!$D$5:D770,'Detalle individual'!D770)=1,COUNTIF('Detalle individual'!$D$5:$D$1000,"&lt;"&amp;'Detalle individual'!D770),""))</f>
        <v/>
      </c>
      <c r="AH770" t="str">
        <f>IF('Detalle individual'!F770="Pendiente",COUNTIF('Detalle individual'!$D$5:$D$1000,"&lt;"&amp;'Detalle individual'!D770)*1000000+COUNTIF('Detalle individual'!$C$5:$C$1000,"&lt;"&amp;'Detalle individual'!C770)*1000+COUNTIF('Detalle individual'!$B$5:$B$1000,"&lt;"&amp;'Detalle individual'!B770)+ROW()/10000,"")</f>
        <v/>
      </c>
      <c r="AI770" t="str">
        <f>IF('Detalle individual'!F770="Completado",COUNTIF('Detalle individual'!$D$5:$D$1000,"&lt;"&amp;'Detalle individual'!D770)*1000000+COUNTIF('Detalle individual'!$C$5:$C$1000,"&lt;"&amp;'Detalle individual'!C770)*1000+COUNTIF('Detalle individual'!$B$5:$B$1000,"&lt;"&amp;'Detalle individual'!B770)+ROW()/10000,"")</f>
        <v/>
      </c>
      <c r="AJ770" t="str">
        <f>IF(AND('Detalle individual'!F770&lt;&gt;"",'Detalle individual'!F770&lt;&gt;"Completado",'Detalle individual'!F770&lt;&gt;"Pendiente"),COUNTIF('Detalle individual'!$D$5:$D$1000,"&lt;"&amp;'Detalle individual'!D770)*1000000+COUNTIF('Detalle individual'!$C$5:$C$1000,"&lt;"&amp;'Detalle individual'!C770)*1000+COUNTIF('Detalle individual'!$B$5:$B$1000,"&lt;"&amp;'Detalle individual'!B770)+ROW()/10000,"")</f>
        <v/>
      </c>
      <c r="AK770" t="str">
        <f>IF(OR('Base Exámenes'!C770="",'Base Exámenes'!D770=""),"",IF(COUNTIF('Base Exámenes'!$C$5:C770,'Base Exámenes'!C770)=1,'Base Exámenes'!D770+ROW()/1000000000,""))</f>
        <v/>
      </c>
      <c r="AL770" t="str">
        <f>IF(OR('Base Exámenes'!C770="",'Base Exámenes'!E770=""),"",IF(COUNTIF('Base Exámenes'!$C$5:C770,'Base Exámenes'!C770)=1,'Base Exámenes'!E770+ROW()/1000000000,""))</f>
        <v/>
      </c>
      <c r="AM770" t="str">
        <f>IF(OR('Base Exámenes'!C770="",'Base Exámenes'!G770=""),"",IF(ROW()-4=MATCH('Base Exámenes'!C770&amp;"|"&amp;_xlfn.MAXIFS('Base Exámenes'!$G$5:$G$1000,'Base Exámenes'!$C$5:$C$1000,'Base Exámenes'!C770),'Base Exámenes'!$I$5:$I$1000,0),'Base Exámenes'!G770*1000000+(-1)*'Base Exámenes'!D770,""))</f>
        <v/>
      </c>
      <c r="AQ770" t="str">
        <f>IF('Base Exámenes'!C770="","",IF(COUNTIF('Base Exámenes'!$C$5:$C$1000,'Base Exámenes'!C770)&lt;2,"",MATCH('Base Exámenes'!C770,'Base Exámenes'!$C$5:$C$1000,0)*10000+ROW()))</f>
        <v/>
      </c>
    </row>
    <row r="771">
      <c r="Z771" t="str">
        <f>IF('Detalle individual'!A771="","",IF(AND(OR('Estado por Colaborador'!$D$4="Todas las gerencias",'Detalle individual'!D771='Estado por Colaborador'!$D$4),OR('Estado por Colaborador'!$D$5="Todos los departamentos",TRIM('Detalle individual'!C771)='Estado por Colaborador'!$D$5),OR('Estado por Colaborador'!$D$6="Todos",'Detalle individual'!F771='Estado por Colaborador'!$D$6)),IF('Detalle individual'!F771="Completado",30000000,IF('Detalle individual'!F771="Pendiente",0,15000000))+COUNTIF('Detalle individual'!$C$5:$C$1000,"&lt;"&amp;'Detalle individual'!C771)*10000+ROW(),""))</f>
        <v/>
      </c>
      <c r="AB771" t="str">
        <f>IF('Detalle individual'!C771="","",IF(COUNTIF('Detalle individual'!$C$5:C771,'Detalle individual'!C771)=1,COUNTIF('Detalle individual'!$C$5:$C$1000,"&lt;"&amp;'Detalle individual'!C771),""))</f>
        <v/>
      </c>
      <c r="AC771" t="str">
        <f>IF('Detalle individual'!D771="","",IF(COUNTIF('Detalle individual'!$D$5:D771,'Detalle individual'!D771)=1,COUNTIF('Detalle individual'!$D$5:$D$1000,"&lt;"&amp;'Detalle individual'!D771),""))</f>
        <v/>
      </c>
      <c r="AH771" t="str">
        <f>IF('Detalle individual'!F771="Pendiente",COUNTIF('Detalle individual'!$D$5:$D$1000,"&lt;"&amp;'Detalle individual'!D771)*1000000+COUNTIF('Detalle individual'!$C$5:$C$1000,"&lt;"&amp;'Detalle individual'!C771)*1000+COUNTIF('Detalle individual'!$B$5:$B$1000,"&lt;"&amp;'Detalle individual'!B771)+ROW()/10000,"")</f>
        <v/>
      </c>
      <c r="AI771" t="str">
        <f>IF('Detalle individual'!F771="Completado",COUNTIF('Detalle individual'!$D$5:$D$1000,"&lt;"&amp;'Detalle individual'!D771)*1000000+COUNTIF('Detalle individual'!$C$5:$C$1000,"&lt;"&amp;'Detalle individual'!C771)*1000+COUNTIF('Detalle individual'!$B$5:$B$1000,"&lt;"&amp;'Detalle individual'!B771)+ROW()/10000,"")</f>
        <v/>
      </c>
      <c r="AJ771" t="str">
        <f>IF(AND('Detalle individual'!F771&lt;&gt;"",'Detalle individual'!F771&lt;&gt;"Completado",'Detalle individual'!F771&lt;&gt;"Pendiente"),COUNTIF('Detalle individual'!$D$5:$D$1000,"&lt;"&amp;'Detalle individual'!D771)*1000000+COUNTIF('Detalle individual'!$C$5:$C$1000,"&lt;"&amp;'Detalle individual'!C771)*1000+COUNTIF('Detalle individual'!$B$5:$B$1000,"&lt;"&amp;'Detalle individual'!B771)+ROW()/10000,"")</f>
        <v/>
      </c>
      <c r="AK771" t="str">
        <f>IF(OR('Base Exámenes'!C771="",'Base Exámenes'!D771=""),"",IF(COUNTIF('Base Exámenes'!$C$5:C771,'Base Exámenes'!C771)=1,'Base Exámenes'!D771+ROW()/1000000000,""))</f>
        <v/>
      </c>
      <c r="AL771" t="str">
        <f>IF(OR('Base Exámenes'!C771="",'Base Exámenes'!E771=""),"",IF(COUNTIF('Base Exámenes'!$C$5:C771,'Base Exámenes'!C771)=1,'Base Exámenes'!E771+ROW()/1000000000,""))</f>
        <v/>
      </c>
      <c r="AM771" t="str">
        <f>IF(OR('Base Exámenes'!C771="",'Base Exámenes'!G771=""),"",IF(ROW()-4=MATCH('Base Exámenes'!C771&amp;"|"&amp;_xlfn.MAXIFS('Base Exámenes'!$G$5:$G$1000,'Base Exámenes'!$C$5:$C$1000,'Base Exámenes'!C771),'Base Exámenes'!$I$5:$I$1000,0),'Base Exámenes'!G771*1000000+(-1)*'Base Exámenes'!D771,""))</f>
        <v/>
      </c>
      <c r="AQ771" t="str">
        <f>IF('Base Exámenes'!C771="","",IF(COUNTIF('Base Exámenes'!$C$5:$C$1000,'Base Exámenes'!C771)&lt;2,"",MATCH('Base Exámenes'!C771,'Base Exámenes'!$C$5:$C$1000,0)*10000+ROW()))</f>
        <v/>
      </c>
    </row>
    <row r="772">
      <c r="Z772" t="str">
        <f>IF('Detalle individual'!A772="","",IF(AND(OR('Estado por Colaborador'!$D$4="Todas las gerencias",'Detalle individual'!D772='Estado por Colaborador'!$D$4),OR('Estado por Colaborador'!$D$5="Todos los departamentos",TRIM('Detalle individual'!C772)='Estado por Colaborador'!$D$5),OR('Estado por Colaborador'!$D$6="Todos",'Detalle individual'!F772='Estado por Colaborador'!$D$6)),IF('Detalle individual'!F772="Completado",30000000,IF('Detalle individual'!F772="Pendiente",0,15000000))+COUNTIF('Detalle individual'!$C$5:$C$1000,"&lt;"&amp;'Detalle individual'!C772)*10000+ROW(),""))</f>
        <v/>
      </c>
      <c r="AB772" t="str">
        <f>IF('Detalle individual'!C772="","",IF(COUNTIF('Detalle individual'!$C$5:C772,'Detalle individual'!C772)=1,COUNTIF('Detalle individual'!$C$5:$C$1000,"&lt;"&amp;'Detalle individual'!C772),""))</f>
        <v/>
      </c>
      <c r="AC772" t="str">
        <f>IF('Detalle individual'!D772="","",IF(COUNTIF('Detalle individual'!$D$5:D772,'Detalle individual'!D772)=1,COUNTIF('Detalle individual'!$D$5:$D$1000,"&lt;"&amp;'Detalle individual'!D772),""))</f>
        <v/>
      </c>
      <c r="AH772" t="str">
        <f>IF('Detalle individual'!F772="Pendiente",COUNTIF('Detalle individual'!$D$5:$D$1000,"&lt;"&amp;'Detalle individual'!D772)*1000000+COUNTIF('Detalle individual'!$C$5:$C$1000,"&lt;"&amp;'Detalle individual'!C772)*1000+COUNTIF('Detalle individual'!$B$5:$B$1000,"&lt;"&amp;'Detalle individual'!B772)+ROW()/10000,"")</f>
        <v/>
      </c>
      <c r="AI772" t="str">
        <f>IF('Detalle individual'!F772="Completado",COUNTIF('Detalle individual'!$D$5:$D$1000,"&lt;"&amp;'Detalle individual'!D772)*1000000+COUNTIF('Detalle individual'!$C$5:$C$1000,"&lt;"&amp;'Detalle individual'!C772)*1000+COUNTIF('Detalle individual'!$B$5:$B$1000,"&lt;"&amp;'Detalle individual'!B772)+ROW()/10000,"")</f>
        <v/>
      </c>
      <c r="AJ772" t="str">
        <f>IF(AND('Detalle individual'!F772&lt;&gt;"",'Detalle individual'!F772&lt;&gt;"Completado",'Detalle individual'!F772&lt;&gt;"Pendiente"),COUNTIF('Detalle individual'!$D$5:$D$1000,"&lt;"&amp;'Detalle individual'!D772)*1000000+COUNTIF('Detalle individual'!$C$5:$C$1000,"&lt;"&amp;'Detalle individual'!C772)*1000+COUNTIF('Detalle individual'!$B$5:$B$1000,"&lt;"&amp;'Detalle individual'!B772)+ROW()/10000,"")</f>
        <v/>
      </c>
      <c r="AK772" t="str">
        <f>IF(OR('Base Exámenes'!C772="",'Base Exámenes'!D772=""),"",IF(COUNTIF('Base Exámenes'!$C$5:C772,'Base Exámenes'!C772)=1,'Base Exámenes'!D772+ROW()/1000000000,""))</f>
        <v/>
      </c>
      <c r="AL772" t="str">
        <f>IF(OR('Base Exámenes'!C772="",'Base Exámenes'!E772=""),"",IF(COUNTIF('Base Exámenes'!$C$5:C772,'Base Exámenes'!C772)=1,'Base Exámenes'!E772+ROW()/1000000000,""))</f>
        <v/>
      </c>
      <c r="AM772" t="str">
        <f>IF(OR('Base Exámenes'!C772="",'Base Exámenes'!G772=""),"",IF(ROW()-4=MATCH('Base Exámenes'!C772&amp;"|"&amp;_xlfn.MAXIFS('Base Exámenes'!$G$5:$G$1000,'Base Exámenes'!$C$5:$C$1000,'Base Exámenes'!C772),'Base Exámenes'!$I$5:$I$1000,0),'Base Exámenes'!G772*1000000+(-1)*'Base Exámenes'!D772,""))</f>
        <v/>
      </c>
      <c r="AQ772" t="str">
        <f>IF('Base Exámenes'!C772="","",IF(COUNTIF('Base Exámenes'!$C$5:$C$1000,'Base Exámenes'!C772)&lt;2,"",MATCH('Base Exámenes'!C772,'Base Exámenes'!$C$5:$C$1000,0)*10000+ROW()))</f>
        <v/>
      </c>
    </row>
    <row r="773">
      <c r="Z773" t="str">
        <f>IF('Detalle individual'!A773="","",IF(AND(OR('Estado por Colaborador'!$D$4="Todas las gerencias",'Detalle individual'!D773='Estado por Colaborador'!$D$4),OR('Estado por Colaborador'!$D$5="Todos los departamentos",TRIM('Detalle individual'!C773)='Estado por Colaborador'!$D$5),OR('Estado por Colaborador'!$D$6="Todos",'Detalle individual'!F773='Estado por Colaborador'!$D$6)),IF('Detalle individual'!F773="Completado",30000000,IF('Detalle individual'!F773="Pendiente",0,15000000))+COUNTIF('Detalle individual'!$C$5:$C$1000,"&lt;"&amp;'Detalle individual'!C773)*10000+ROW(),""))</f>
        <v/>
      </c>
      <c r="AB773" t="str">
        <f>IF('Detalle individual'!C773="","",IF(COUNTIF('Detalle individual'!$C$5:C773,'Detalle individual'!C773)=1,COUNTIF('Detalle individual'!$C$5:$C$1000,"&lt;"&amp;'Detalle individual'!C773),""))</f>
        <v/>
      </c>
      <c r="AC773" t="str">
        <f>IF('Detalle individual'!D773="","",IF(COUNTIF('Detalle individual'!$D$5:D773,'Detalle individual'!D773)=1,COUNTIF('Detalle individual'!$D$5:$D$1000,"&lt;"&amp;'Detalle individual'!D773),""))</f>
        <v/>
      </c>
      <c r="AH773" t="str">
        <f>IF('Detalle individual'!F773="Pendiente",COUNTIF('Detalle individual'!$D$5:$D$1000,"&lt;"&amp;'Detalle individual'!D773)*1000000+COUNTIF('Detalle individual'!$C$5:$C$1000,"&lt;"&amp;'Detalle individual'!C773)*1000+COUNTIF('Detalle individual'!$B$5:$B$1000,"&lt;"&amp;'Detalle individual'!B773)+ROW()/10000,"")</f>
        <v/>
      </c>
      <c r="AI773" t="str">
        <f>IF('Detalle individual'!F773="Completado",COUNTIF('Detalle individual'!$D$5:$D$1000,"&lt;"&amp;'Detalle individual'!D773)*1000000+COUNTIF('Detalle individual'!$C$5:$C$1000,"&lt;"&amp;'Detalle individual'!C773)*1000+COUNTIF('Detalle individual'!$B$5:$B$1000,"&lt;"&amp;'Detalle individual'!B773)+ROW()/10000,"")</f>
        <v/>
      </c>
      <c r="AJ773" t="str">
        <f>IF(AND('Detalle individual'!F773&lt;&gt;"",'Detalle individual'!F773&lt;&gt;"Completado",'Detalle individual'!F773&lt;&gt;"Pendiente"),COUNTIF('Detalle individual'!$D$5:$D$1000,"&lt;"&amp;'Detalle individual'!D773)*1000000+COUNTIF('Detalle individual'!$C$5:$C$1000,"&lt;"&amp;'Detalle individual'!C773)*1000+COUNTIF('Detalle individual'!$B$5:$B$1000,"&lt;"&amp;'Detalle individual'!B773)+ROW()/10000,"")</f>
        <v/>
      </c>
      <c r="AK773" t="str">
        <f>IF(OR('Base Exámenes'!C773="",'Base Exámenes'!D773=""),"",IF(COUNTIF('Base Exámenes'!$C$5:C773,'Base Exámenes'!C773)=1,'Base Exámenes'!D773+ROW()/1000000000,""))</f>
        <v/>
      </c>
      <c r="AL773" t="str">
        <f>IF(OR('Base Exámenes'!C773="",'Base Exámenes'!E773=""),"",IF(COUNTIF('Base Exámenes'!$C$5:C773,'Base Exámenes'!C773)=1,'Base Exámenes'!E773+ROW()/1000000000,""))</f>
        <v/>
      </c>
      <c r="AM773" t="str">
        <f>IF(OR('Base Exámenes'!C773="",'Base Exámenes'!G773=""),"",IF(ROW()-4=MATCH('Base Exámenes'!C773&amp;"|"&amp;_xlfn.MAXIFS('Base Exámenes'!$G$5:$G$1000,'Base Exámenes'!$C$5:$C$1000,'Base Exámenes'!C773),'Base Exámenes'!$I$5:$I$1000,0),'Base Exámenes'!G773*1000000+(-1)*'Base Exámenes'!D773,""))</f>
        <v/>
      </c>
      <c r="AQ773" t="str">
        <f>IF('Base Exámenes'!C773="","",IF(COUNTIF('Base Exámenes'!$C$5:$C$1000,'Base Exámenes'!C773)&lt;2,"",MATCH('Base Exámenes'!C773,'Base Exámenes'!$C$5:$C$1000,0)*10000+ROW()))</f>
        <v/>
      </c>
    </row>
    <row r="774">
      <c r="Z774" t="str">
        <f>IF('Detalle individual'!A774="","",IF(AND(OR('Estado por Colaborador'!$D$4="Todas las gerencias",'Detalle individual'!D774='Estado por Colaborador'!$D$4),OR('Estado por Colaborador'!$D$5="Todos los departamentos",TRIM('Detalle individual'!C774)='Estado por Colaborador'!$D$5),OR('Estado por Colaborador'!$D$6="Todos",'Detalle individual'!F774='Estado por Colaborador'!$D$6)),IF('Detalle individual'!F774="Completado",30000000,IF('Detalle individual'!F774="Pendiente",0,15000000))+COUNTIF('Detalle individual'!$C$5:$C$1000,"&lt;"&amp;'Detalle individual'!C774)*10000+ROW(),""))</f>
        <v/>
      </c>
      <c r="AB774" t="str">
        <f>IF('Detalle individual'!C774="","",IF(COUNTIF('Detalle individual'!$C$5:C774,'Detalle individual'!C774)=1,COUNTIF('Detalle individual'!$C$5:$C$1000,"&lt;"&amp;'Detalle individual'!C774),""))</f>
        <v/>
      </c>
      <c r="AC774" t="str">
        <f>IF('Detalle individual'!D774="","",IF(COUNTIF('Detalle individual'!$D$5:D774,'Detalle individual'!D774)=1,COUNTIF('Detalle individual'!$D$5:$D$1000,"&lt;"&amp;'Detalle individual'!D774),""))</f>
        <v/>
      </c>
      <c r="AH774" t="str">
        <f>IF('Detalle individual'!F774="Pendiente",COUNTIF('Detalle individual'!$D$5:$D$1000,"&lt;"&amp;'Detalle individual'!D774)*1000000+COUNTIF('Detalle individual'!$C$5:$C$1000,"&lt;"&amp;'Detalle individual'!C774)*1000+COUNTIF('Detalle individual'!$B$5:$B$1000,"&lt;"&amp;'Detalle individual'!B774)+ROW()/10000,"")</f>
        <v/>
      </c>
      <c r="AI774" t="str">
        <f>IF('Detalle individual'!F774="Completado",COUNTIF('Detalle individual'!$D$5:$D$1000,"&lt;"&amp;'Detalle individual'!D774)*1000000+COUNTIF('Detalle individual'!$C$5:$C$1000,"&lt;"&amp;'Detalle individual'!C774)*1000+COUNTIF('Detalle individual'!$B$5:$B$1000,"&lt;"&amp;'Detalle individual'!B774)+ROW()/10000,"")</f>
        <v/>
      </c>
      <c r="AJ774" t="str">
        <f>IF(AND('Detalle individual'!F774&lt;&gt;"",'Detalle individual'!F774&lt;&gt;"Completado",'Detalle individual'!F774&lt;&gt;"Pendiente"),COUNTIF('Detalle individual'!$D$5:$D$1000,"&lt;"&amp;'Detalle individual'!D774)*1000000+COUNTIF('Detalle individual'!$C$5:$C$1000,"&lt;"&amp;'Detalle individual'!C774)*1000+COUNTIF('Detalle individual'!$B$5:$B$1000,"&lt;"&amp;'Detalle individual'!B774)+ROW()/10000,"")</f>
        <v/>
      </c>
      <c r="AK774" t="str">
        <f>IF(OR('Base Exámenes'!C774="",'Base Exámenes'!D774=""),"",IF(COUNTIF('Base Exámenes'!$C$5:C774,'Base Exámenes'!C774)=1,'Base Exámenes'!D774+ROW()/1000000000,""))</f>
        <v/>
      </c>
      <c r="AL774" t="str">
        <f>IF(OR('Base Exámenes'!C774="",'Base Exámenes'!E774=""),"",IF(COUNTIF('Base Exámenes'!$C$5:C774,'Base Exámenes'!C774)=1,'Base Exámenes'!E774+ROW()/1000000000,""))</f>
        <v/>
      </c>
      <c r="AM774" t="str">
        <f>IF(OR('Base Exámenes'!C774="",'Base Exámenes'!G774=""),"",IF(ROW()-4=MATCH('Base Exámenes'!C774&amp;"|"&amp;_xlfn.MAXIFS('Base Exámenes'!$G$5:$G$1000,'Base Exámenes'!$C$5:$C$1000,'Base Exámenes'!C774),'Base Exámenes'!$I$5:$I$1000,0),'Base Exámenes'!G774*1000000+(-1)*'Base Exámenes'!D774,""))</f>
        <v/>
      </c>
      <c r="AQ774" t="str">
        <f>IF('Base Exámenes'!C774="","",IF(COUNTIF('Base Exámenes'!$C$5:$C$1000,'Base Exámenes'!C774)&lt;2,"",MATCH('Base Exámenes'!C774,'Base Exámenes'!$C$5:$C$1000,0)*10000+ROW()))</f>
        <v/>
      </c>
    </row>
    <row r="775">
      <c r="Z775" t="str">
        <f>IF('Detalle individual'!A775="","",IF(AND(OR('Estado por Colaborador'!$D$4="Todas las gerencias",'Detalle individual'!D775='Estado por Colaborador'!$D$4),OR('Estado por Colaborador'!$D$5="Todos los departamentos",TRIM('Detalle individual'!C775)='Estado por Colaborador'!$D$5),OR('Estado por Colaborador'!$D$6="Todos",'Detalle individual'!F775='Estado por Colaborador'!$D$6)),IF('Detalle individual'!F775="Completado",30000000,IF('Detalle individual'!F775="Pendiente",0,15000000))+COUNTIF('Detalle individual'!$C$5:$C$1000,"&lt;"&amp;'Detalle individual'!C775)*10000+ROW(),""))</f>
        <v/>
      </c>
      <c r="AB775" t="str">
        <f>IF('Detalle individual'!C775="","",IF(COUNTIF('Detalle individual'!$C$5:C775,'Detalle individual'!C775)=1,COUNTIF('Detalle individual'!$C$5:$C$1000,"&lt;"&amp;'Detalle individual'!C775),""))</f>
        <v/>
      </c>
      <c r="AC775" t="str">
        <f>IF('Detalle individual'!D775="","",IF(COUNTIF('Detalle individual'!$D$5:D775,'Detalle individual'!D775)=1,COUNTIF('Detalle individual'!$D$5:$D$1000,"&lt;"&amp;'Detalle individual'!D775),""))</f>
        <v/>
      </c>
      <c r="AH775" t="str">
        <f>IF('Detalle individual'!F775="Pendiente",COUNTIF('Detalle individual'!$D$5:$D$1000,"&lt;"&amp;'Detalle individual'!D775)*1000000+COUNTIF('Detalle individual'!$C$5:$C$1000,"&lt;"&amp;'Detalle individual'!C775)*1000+COUNTIF('Detalle individual'!$B$5:$B$1000,"&lt;"&amp;'Detalle individual'!B775)+ROW()/10000,"")</f>
        <v/>
      </c>
      <c r="AI775" t="str">
        <f>IF('Detalle individual'!F775="Completado",COUNTIF('Detalle individual'!$D$5:$D$1000,"&lt;"&amp;'Detalle individual'!D775)*1000000+COUNTIF('Detalle individual'!$C$5:$C$1000,"&lt;"&amp;'Detalle individual'!C775)*1000+COUNTIF('Detalle individual'!$B$5:$B$1000,"&lt;"&amp;'Detalle individual'!B775)+ROW()/10000,"")</f>
        <v/>
      </c>
      <c r="AJ775" t="str">
        <f>IF(AND('Detalle individual'!F775&lt;&gt;"",'Detalle individual'!F775&lt;&gt;"Completado",'Detalle individual'!F775&lt;&gt;"Pendiente"),COUNTIF('Detalle individual'!$D$5:$D$1000,"&lt;"&amp;'Detalle individual'!D775)*1000000+COUNTIF('Detalle individual'!$C$5:$C$1000,"&lt;"&amp;'Detalle individual'!C775)*1000+COUNTIF('Detalle individual'!$B$5:$B$1000,"&lt;"&amp;'Detalle individual'!B775)+ROW()/10000,"")</f>
        <v/>
      </c>
      <c r="AK775" t="str">
        <f>IF(OR('Base Exámenes'!C775="",'Base Exámenes'!D775=""),"",IF(COUNTIF('Base Exámenes'!$C$5:C775,'Base Exámenes'!C775)=1,'Base Exámenes'!D775+ROW()/1000000000,""))</f>
        <v/>
      </c>
      <c r="AL775" t="str">
        <f>IF(OR('Base Exámenes'!C775="",'Base Exámenes'!E775=""),"",IF(COUNTIF('Base Exámenes'!$C$5:C775,'Base Exámenes'!C775)=1,'Base Exámenes'!E775+ROW()/1000000000,""))</f>
        <v/>
      </c>
      <c r="AM775" t="str">
        <f>IF(OR('Base Exámenes'!C775="",'Base Exámenes'!G775=""),"",IF(ROW()-4=MATCH('Base Exámenes'!C775&amp;"|"&amp;_xlfn.MAXIFS('Base Exámenes'!$G$5:$G$1000,'Base Exámenes'!$C$5:$C$1000,'Base Exámenes'!C775),'Base Exámenes'!$I$5:$I$1000,0),'Base Exámenes'!G775*1000000+(-1)*'Base Exámenes'!D775,""))</f>
        <v/>
      </c>
      <c r="AQ775" t="str">
        <f>IF('Base Exámenes'!C775="","",IF(COUNTIF('Base Exámenes'!$C$5:$C$1000,'Base Exámenes'!C775)&lt;2,"",MATCH('Base Exámenes'!C775,'Base Exámenes'!$C$5:$C$1000,0)*10000+ROW()))</f>
        <v/>
      </c>
    </row>
    <row r="776">
      <c r="Z776" t="str">
        <f>IF('Detalle individual'!A776="","",IF(AND(OR('Estado por Colaborador'!$D$4="Todas las gerencias",'Detalle individual'!D776='Estado por Colaborador'!$D$4),OR('Estado por Colaborador'!$D$5="Todos los departamentos",TRIM('Detalle individual'!C776)='Estado por Colaborador'!$D$5),OR('Estado por Colaborador'!$D$6="Todos",'Detalle individual'!F776='Estado por Colaborador'!$D$6)),IF('Detalle individual'!F776="Completado",30000000,IF('Detalle individual'!F776="Pendiente",0,15000000))+COUNTIF('Detalle individual'!$C$5:$C$1000,"&lt;"&amp;'Detalle individual'!C776)*10000+ROW(),""))</f>
        <v/>
      </c>
      <c r="AB776" t="str">
        <f>IF('Detalle individual'!C776="","",IF(COUNTIF('Detalle individual'!$C$5:C776,'Detalle individual'!C776)=1,COUNTIF('Detalle individual'!$C$5:$C$1000,"&lt;"&amp;'Detalle individual'!C776),""))</f>
        <v/>
      </c>
      <c r="AC776" t="str">
        <f>IF('Detalle individual'!D776="","",IF(COUNTIF('Detalle individual'!$D$5:D776,'Detalle individual'!D776)=1,COUNTIF('Detalle individual'!$D$5:$D$1000,"&lt;"&amp;'Detalle individual'!D776),""))</f>
        <v/>
      </c>
      <c r="AH776" t="str">
        <f>IF('Detalle individual'!F776="Pendiente",COUNTIF('Detalle individual'!$D$5:$D$1000,"&lt;"&amp;'Detalle individual'!D776)*1000000+COUNTIF('Detalle individual'!$C$5:$C$1000,"&lt;"&amp;'Detalle individual'!C776)*1000+COUNTIF('Detalle individual'!$B$5:$B$1000,"&lt;"&amp;'Detalle individual'!B776)+ROW()/10000,"")</f>
        <v/>
      </c>
      <c r="AI776" t="str">
        <f>IF('Detalle individual'!F776="Completado",COUNTIF('Detalle individual'!$D$5:$D$1000,"&lt;"&amp;'Detalle individual'!D776)*1000000+COUNTIF('Detalle individual'!$C$5:$C$1000,"&lt;"&amp;'Detalle individual'!C776)*1000+COUNTIF('Detalle individual'!$B$5:$B$1000,"&lt;"&amp;'Detalle individual'!B776)+ROW()/10000,"")</f>
        <v/>
      </c>
      <c r="AJ776" t="str">
        <f>IF(AND('Detalle individual'!F776&lt;&gt;"",'Detalle individual'!F776&lt;&gt;"Completado",'Detalle individual'!F776&lt;&gt;"Pendiente"),COUNTIF('Detalle individual'!$D$5:$D$1000,"&lt;"&amp;'Detalle individual'!D776)*1000000+COUNTIF('Detalle individual'!$C$5:$C$1000,"&lt;"&amp;'Detalle individual'!C776)*1000+COUNTIF('Detalle individual'!$B$5:$B$1000,"&lt;"&amp;'Detalle individual'!B776)+ROW()/10000,"")</f>
        <v/>
      </c>
      <c r="AK776" t="str">
        <f>IF(OR('Base Exámenes'!C776="",'Base Exámenes'!D776=""),"",IF(COUNTIF('Base Exámenes'!$C$5:C776,'Base Exámenes'!C776)=1,'Base Exámenes'!D776+ROW()/1000000000,""))</f>
        <v/>
      </c>
      <c r="AL776" t="str">
        <f>IF(OR('Base Exámenes'!C776="",'Base Exámenes'!E776=""),"",IF(COUNTIF('Base Exámenes'!$C$5:C776,'Base Exámenes'!C776)=1,'Base Exámenes'!E776+ROW()/1000000000,""))</f>
        <v/>
      </c>
      <c r="AM776" t="str">
        <f>IF(OR('Base Exámenes'!C776="",'Base Exámenes'!G776=""),"",IF(ROW()-4=MATCH('Base Exámenes'!C776&amp;"|"&amp;_xlfn.MAXIFS('Base Exámenes'!$G$5:$G$1000,'Base Exámenes'!$C$5:$C$1000,'Base Exámenes'!C776),'Base Exámenes'!$I$5:$I$1000,0),'Base Exámenes'!G776*1000000+(-1)*'Base Exámenes'!D776,""))</f>
        <v/>
      </c>
      <c r="AQ776" t="str">
        <f>IF('Base Exámenes'!C776="","",IF(COUNTIF('Base Exámenes'!$C$5:$C$1000,'Base Exámenes'!C776)&lt;2,"",MATCH('Base Exámenes'!C776,'Base Exámenes'!$C$5:$C$1000,0)*10000+ROW()))</f>
        <v/>
      </c>
    </row>
    <row r="777">
      <c r="Z777" t="str">
        <f>IF('Detalle individual'!A777="","",IF(AND(OR('Estado por Colaborador'!$D$4="Todas las gerencias",'Detalle individual'!D777='Estado por Colaborador'!$D$4),OR('Estado por Colaborador'!$D$5="Todos los departamentos",TRIM('Detalle individual'!C777)='Estado por Colaborador'!$D$5),OR('Estado por Colaborador'!$D$6="Todos",'Detalle individual'!F777='Estado por Colaborador'!$D$6)),IF('Detalle individual'!F777="Completado",30000000,IF('Detalle individual'!F777="Pendiente",0,15000000))+COUNTIF('Detalle individual'!$C$5:$C$1000,"&lt;"&amp;'Detalle individual'!C777)*10000+ROW(),""))</f>
        <v/>
      </c>
      <c r="AB777" t="str">
        <f>IF('Detalle individual'!C777="","",IF(COUNTIF('Detalle individual'!$C$5:C777,'Detalle individual'!C777)=1,COUNTIF('Detalle individual'!$C$5:$C$1000,"&lt;"&amp;'Detalle individual'!C777),""))</f>
        <v/>
      </c>
      <c r="AC777" t="str">
        <f>IF('Detalle individual'!D777="","",IF(COUNTIF('Detalle individual'!$D$5:D777,'Detalle individual'!D777)=1,COUNTIF('Detalle individual'!$D$5:$D$1000,"&lt;"&amp;'Detalle individual'!D777),""))</f>
        <v/>
      </c>
      <c r="AH777" t="str">
        <f>IF('Detalle individual'!F777="Pendiente",COUNTIF('Detalle individual'!$D$5:$D$1000,"&lt;"&amp;'Detalle individual'!D777)*1000000+COUNTIF('Detalle individual'!$C$5:$C$1000,"&lt;"&amp;'Detalle individual'!C777)*1000+COUNTIF('Detalle individual'!$B$5:$B$1000,"&lt;"&amp;'Detalle individual'!B777)+ROW()/10000,"")</f>
        <v/>
      </c>
      <c r="AI777" t="str">
        <f>IF('Detalle individual'!F777="Completado",COUNTIF('Detalle individual'!$D$5:$D$1000,"&lt;"&amp;'Detalle individual'!D777)*1000000+COUNTIF('Detalle individual'!$C$5:$C$1000,"&lt;"&amp;'Detalle individual'!C777)*1000+COUNTIF('Detalle individual'!$B$5:$B$1000,"&lt;"&amp;'Detalle individual'!B777)+ROW()/10000,"")</f>
        <v/>
      </c>
      <c r="AJ777" t="str">
        <f>IF(AND('Detalle individual'!F777&lt;&gt;"",'Detalle individual'!F777&lt;&gt;"Completado",'Detalle individual'!F777&lt;&gt;"Pendiente"),COUNTIF('Detalle individual'!$D$5:$D$1000,"&lt;"&amp;'Detalle individual'!D777)*1000000+COUNTIF('Detalle individual'!$C$5:$C$1000,"&lt;"&amp;'Detalle individual'!C777)*1000+COUNTIF('Detalle individual'!$B$5:$B$1000,"&lt;"&amp;'Detalle individual'!B777)+ROW()/10000,"")</f>
        <v/>
      </c>
      <c r="AK777" t="str">
        <f>IF(OR('Base Exámenes'!C777="",'Base Exámenes'!D777=""),"",IF(COUNTIF('Base Exámenes'!$C$5:C777,'Base Exámenes'!C777)=1,'Base Exámenes'!D777+ROW()/1000000000,""))</f>
        <v/>
      </c>
      <c r="AL777" t="str">
        <f>IF(OR('Base Exámenes'!C777="",'Base Exámenes'!E777=""),"",IF(COUNTIF('Base Exámenes'!$C$5:C777,'Base Exámenes'!C777)=1,'Base Exámenes'!E777+ROW()/1000000000,""))</f>
        <v/>
      </c>
      <c r="AM777" t="str">
        <f>IF(OR('Base Exámenes'!C777="",'Base Exámenes'!G777=""),"",IF(ROW()-4=MATCH('Base Exámenes'!C777&amp;"|"&amp;_xlfn.MAXIFS('Base Exámenes'!$G$5:$G$1000,'Base Exámenes'!$C$5:$C$1000,'Base Exámenes'!C777),'Base Exámenes'!$I$5:$I$1000,0),'Base Exámenes'!G777*1000000+(-1)*'Base Exámenes'!D777,""))</f>
        <v/>
      </c>
      <c r="AQ777" t="str">
        <f>IF('Base Exámenes'!C777="","",IF(COUNTIF('Base Exámenes'!$C$5:$C$1000,'Base Exámenes'!C777)&lt;2,"",MATCH('Base Exámenes'!C777,'Base Exámenes'!$C$5:$C$1000,0)*10000+ROW()))</f>
        <v/>
      </c>
    </row>
    <row r="778">
      <c r="Z778" t="str">
        <f>IF('Detalle individual'!A778="","",IF(AND(OR('Estado por Colaborador'!$D$4="Todas las gerencias",'Detalle individual'!D778='Estado por Colaborador'!$D$4),OR('Estado por Colaborador'!$D$5="Todos los departamentos",TRIM('Detalle individual'!C778)='Estado por Colaborador'!$D$5),OR('Estado por Colaborador'!$D$6="Todos",'Detalle individual'!F778='Estado por Colaborador'!$D$6)),IF('Detalle individual'!F778="Completado",30000000,IF('Detalle individual'!F778="Pendiente",0,15000000))+COUNTIF('Detalle individual'!$C$5:$C$1000,"&lt;"&amp;'Detalle individual'!C778)*10000+ROW(),""))</f>
        <v/>
      </c>
      <c r="AB778" t="str">
        <f>IF('Detalle individual'!C778="","",IF(COUNTIF('Detalle individual'!$C$5:C778,'Detalle individual'!C778)=1,COUNTIF('Detalle individual'!$C$5:$C$1000,"&lt;"&amp;'Detalle individual'!C778),""))</f>
        <v/>
      </c>
      <c r="AC778" t="str">
        <f>IF('Detalle individual'!D778="","",IF(COUNTIF('Detalle individual'!$D$5:D778,'Detalle individual'!D778)=1,COUNTIF('Detalle individual'!$D$5:$D$1000,"&lt;"&amp;'Detalle individual'!D778),""))</f>
        <v/>
      </c>
      <c r="AH778" t="str">
        <f>IF('Detalle individual'!F778="Pendiente",COUNTIF('Detalle individual'!$D$5:$D$1000,"&lt;"&amp;'Detalle individual'!D778)*1000000+COUNTIF('Detalle individual'!$C$5:$C$1000,"&lt;"&amp;'Detalle individual'!C778)*1000+COUNTIF('Detalle individual'!$B$5:$B$1000,"&lt;"&amp;'Detalle individual'!B778)+ROW()/10000,"")</f>
        <v/>
      </c>
      <c r="AI778" t="str">
        <f>IF('Detalle individual'!F778="Completado",COUNTIF('Detalle individual'!$D$5:$D$1000,"&lt;"&amp;'Detalle individual'!D778)*1000000+COUNTIF('Detalle individual'!$C$5:$C$1000,"&lt;"&amp;'Detalle individual'!C778)*1000+COUNTIF('Detalle individual'!$B$5:$B$1000,"&lt;"&amp;'Detalle individual'!B778)+ROW()/10000,"")</f>
        <v/>
      </c>
      <c r="AJ778" t="str">
        <f>IF(AND('Detalle individual'!F778&lt;&gt;"",'Detalle individual'!F778&lt;&gt;"Completado",'Detalle individual'!F778&lt;&gt;"Pendiente"),COUNTIF('Detalle individual'!$D$5:$D$1000,"&lt;"&amp;'Detalle individual'!D778)*1000000+COUNTIF('Detalle individual'!$C$5:$C$1000,"&lt;"&amp;'Detalle individual'!C778)*1000+COUNTIF('Detalle individual'!$B$5:$B$1000,"&lt;"&amp;'Detalle individual'!B778)+ROW()/10000,"")</f>
        <v/>
      </c>
      <c r="AK778" t="str">
        <f>IF(OR('Base Exámenes'!C778="",'Base Exámenes'!D778=""),"",IF(COUNTIF('Base Exámenes'!$C$5:C778,'Base Exámenes'!C778)=1,'Base Exámenes'!D778+ROW()/1000000000,""))</f>
        <v/>
      </c>
      <c r="AL778" t="str">
        <f>IF(OR('Base Exámenes'!C778="",'Base Exámenes'!E778=""),"",IF(COUNTIF('Base Exámenes'!$C$5:C778,'Base Exámenes'!C778)=1,'Base Exámenes'!E778+ROW()/1000000000,""))</f>
        <v/>
      </c>
      <c r="AM778" t="str">
        <f>IF(OR('Base Exámenes'!C778="",'Base Exámenes'!G778=""),"",IF(ROW()-4=MATCH('Base Exámenes'!C778&amp;"|"&amp;_xlfn.MAXIFS('Base Exámenes'!$G$5:$G$1000,'Base Exámenes'!$C$5:$C$1000,'Base Exámenes'!C778),'Base Exámenes'!$I$5:$I$1000,0),'Base Exámenes'!G778*1000000+(-1)*'Base Exámenes'!D778,""))</f>
        <v/>
      </c>
      <c r="AQ778" t="str">
        <f>IF('Base Exámenes'!C778="","",IF(COUNTIF('Base Exámenes'!$C$5:$C$1000,'Base Exámenes'!C778)&lt;2,"",MATCH('Base Exámenes'!C778,'Base Exámenes'!$C$5:$C$1000,0)*10000+ROW()))</f>
        <v/>
      </c>
    </row>
    <row r="779">
      <c r="Z779" t="str">
        <f>IF('Detalle individual'!A779="","",IF(AND(OR('Estado por Colaborador'!$D$4="Todas las gerencias",'Detalle individual'!D779='Estado por Colaborador'!$D$4),OR('Estado por Colaborador'!$D$5="Todos los departamentos",TRIM('Detalle individual'!C779)='Estado por Colaborador'!$D$5),OR('Estado por Colaborador'!$D$6="Todos",'Detalle individual'!F779='Estado por Colaborador'!$D$6)),IF('Detalle individual'!F779="Completado",30000000,IF('Detalle individual'!F779="Pendiente",0,15000000))+COUNTIF('Detalle individual'!$C$5:$C$1000,"&lt;"&amp;'Detalle individual'!C779)*10000+ROW(),""))</f>
        <v/>
      </c>
      <c r="AB779" t="str">
        <f>IF('Detalle individual'!C779="","",IF(COUNTIF('Detalle individual'!$C$5:C779,'Detalle individual'!C779)=1,COUNTIF('Detalle individual'!$C$5:$C$1000,"&lt;"&amp;'Detalle individual'!C779),""))</f>
        <v/>
      </c>
      <c r="AC779" t="str">
        <f>IF('Detalle individual'!D779="","",IF(COUNTIF('Detalle individual'!$D$5:D779,'Detalle individual'!D779)=1,COUNTIF('Detalle individual'!$D$5:$D$1000,"&lt;"&amp;'Detalle individual'!D779),""))</f>
        <v/>
      </c>
      <c r="AH779" t="str">
        <f>IF('Detalle individual'!F779="Pendiente",COUNTIF('Detalle individual'!$D$5:$D$1000,"&lt;"&amp;'Detalle individual'!D779)*1000000+COUNTIF('Detalle individual'!$C$5:$C$1000,"&lt;"&amp;'Detalle individual'!C779)*1000+COUNTIF('Detalle individual'!$B$5:$B$1000,"&lt;"&amp;'Detalle individual'!B779)+ROW()/10000,"")</f>
        <v/>
      </c>
      <c r="AI779" t="str">
        <f>IF('Detalle individual'!F779="Completado",COUNTIF('Detalle individual'!$D$5:$D$1000,"&lt;"&amp;'Detalle individual'!D779)*1000000+COUNTIF('Detalle individual'!$C$5:$C$1000,"&lt;"&amp;'Detalle individual'!C779)*1000+COUNTIF('Detalle individual'!$B$5:$B$1000,"&lt;"&amp;'Detalle individual'!B779)+ROW()/10000,"")</f>
        <v/>
      </c>
      <c r="AJ779" t="str">
        <f>IF(AND('Detalle individual'!F779&lt;&gt;"",'Detalle individual'!F779&lt;&gt;"Completado",'Detalle individual'!F779&lt;&gt;"Pendiente"),COUNTIF('Detalle individual'!$D$5:$D$1000,"&lt;"&amp;'Detalle individual'!D779)*1000000+COUNTIF('Detalle individual'!$C$5:$C$1000,"&lt;"&amp;'Detalle individual'!C779)*1000+COUNTIF('Detalle individual'!$B$5:$B$1000,"&lt;"&amp;'Detalle individual'!B779)+ROW()/10000,"")</f>
        <v/>
      </c>
      <c r="AK779" t="str">
        <f>IF(OR('Base Exámenes'!C779="",'Base Exámenes'!D779=""),"",IF(COUNTIF('Base Exámenes'!$C$5:C779,'Base Exámenes'!C779)=1,'Base Exámenes'!D779+ROW()/1000000000,""))</f>
        <v/>
      </c>
      <c r="AL779" t="str">
        <f>IF(OR('Base Exámenes'!C779="",'Base Exámenes'!E779=""),"",IF(COUNTIF('Base Exámenes'!$C$5:C779,'Base Exámenes'!C779)=1,'Base Exámenes'!E779+ROW()/1000000000,""))</f>
        <v/>
      </c>
      <c r="AM779" t="str">
        <f>IF(OR('Base Exámenes'!C779="",'Base Exámenes'!G779=""),"",IF(ROW()-4=MATCH('Base Exámenes'!C779&amp;"|"&amp;_xlfn.MAXIFS('Base Exámenes'!$G$5:$G$1000,'Base Exámenes'!$C$5:$C$1000,'Base Exámenes'!C779),'Base Exámenes'!$I$5:$I$1000,0),'Base Exámenes'!G779*1000000+(-1)*'Base Exámenes'!D779,""))</f>
        <v/>
      </c>
      <c r="AQ779" t="str">
        <f>IF('Base Exámenes'!C779="","",IF(COUNTIF('Base Exámenes'!$C$5:$C$1000,'Base Exámenes'!C779)&lt;2,"",MATCH('Base Exámenes'!C779,'Base Exámenes'!$C$5:$C$1000,0)*10000+ROW()))</f>
        <v/>
      </c>
    </row>
    <row r="780">
      <c r="Z780" t="str">
        <f>IF('Detalle individual'!A780="","",IF(AND(OR('Estado por Colaborador'!$D$4="Todas las gerencias",'Detalle individual'!D780='Estado por Colaborador'!$D$4),OR('Estado por Colaborador'!$D$5="Todos los departamentos",TRIM('Detalle individual'!C780)='Estado por Colaborador'!$D$5),OR('Estado por Colaborador'!$D$6="Todos",'Detalle individual'!F780='Estado por Colaborador'!$D$6)),IF('Detalle individual'!F780="Completado",30000000,IF('Detalle individual'!F780="Pendiente",0,15000000))+COUNTIF('Detalle individual'!$C$5:$C$1000,"&lt;"&amp;'Detalle individual'!C780)*10000+ROW(),""))</f>
        <v/>
      </c>
      <c r="AB780" t="str">
        <f>IF('Detalle individual'!C780="","",IF(COUNTIF('Detalle individual'!$C$5:C780,'Detalle individual'!C780)=1,COUNTIF('Detalle individual'!$C$5:$C$1000,"&lt;"&amp;'Detalle individual'!C780),""))</f>
        <v/>
      </c>
      <c r="AC780" t="str">
        <f>IF('Detalle individual'!D780="","",IF(COUNTIF('Detalle individual'!$D$5:D780,'Detalle individual'!D780)=1,COUNTIF('Detalle individual'!$D$5:$D$1000,"&lt;"&amp;'Detalle individual'!D780),""))</f>
        <v/>
      </c>
      <c r="AH780" t="str">
        <f>IF('Detalle individual'!F780="Pendiente",COUNTIF('Detalle individual'!$D$5:$D$1000,"&lt;"&amp;'Detalle individual'!D780)*1000000+COUNTIF('Detalle individual'!$C$5:$C$1000,"&lt;"&amp;'Detalle individual'!C780)*1000+COUNTIF('Detalle individual'!$B$5:$B$1000,"&lt;"&amp;'Detalle individual'!B780)+ROW()/10000,"")</f>
        <v/>
      </c>
      <c r="AI780" t="str">
        <f>IF('Detalle individual'!F780="Completado",COUNTIF('Detalle individual'!$D$5:$D$1000,"&lt;"&amp;'Detalle individual'!D780)*1000000+COUNTIF('Detalle individual'!$C$5:$C$1000,"&lt;"&amp;'Detalle individual'!C780)*1000+COUNTIF('Detalle individual'!$B$5:$B$1000,"&lt;"&amp;'Detalle individual'!B780)+ROW()/10000,"")</f>
        <v/>
      </c>
      <c r="AJ780" t="str">
        <f>IF(AND('Detalle individual'!F780&lt;&gt;"",'Detalle individual'!F780&lt;&gt;"Completado",'Detalle individual'!F780&lt;&gt;"Pendiente"),COUNTIF('Detalle individual'!$D$5:$D$1000,"&lt;"&amp;'Detalle individual'!D780)*1000000+COUNTIF('Detalle individual'!$C$5:$C$1000,"&lt;"&amp;'Detalle individual'!C780)*1000+COUNTIF('Detalle individual'!$B$5:$B$1000,"&lt;"&amp;'Detalle individual'!B780)+ROW()/10000,"")</f>
        <v/>
      </c>
      <c r="AK780" t="str">
        <f>IF(OR('Base Exámenes'!C780="",'Base Exámenes'!D780=""),"",IF(COUNTIF('Base Exámenes'!$C$5:C780,'Base Exámenes'!C780)=1,'Base Exámenes'!D780+ROW()/1000000000,""))</f>
        <v/>
      </c>
      <c r="AL780" t="str">
        <f>IF(OR('Base Exámenes'!C780="",'Base Exámenes'!E780=""),"",IF(COUNTIF('Base Exámenes'!$C$5:C780,'Base Exámenes'!C780)=1,'Base Exámenes'!E780+ROW()/1000000000,""))</f>
        <v/>
      </c>
      <c r="AM780" t="str">
        <f>IF(OR('Base Exámenes'!C780="",'Base Exámenes'!G780=""),"",IF(ROW()-4=MATCH('Base Exámenes'!C780&amp;"|"&amp;_xlfn.MAXIFS('Base Exámenes'!$G$5:$G$1000,'Base Exámenes'!$C$5:$C$1000,'Base Exámenes'!C780),'Base Exámenes'!$I$5:$I$1000,0),'Base Exámenes'!G780*1000000+(-1)*'Base Exámenes'!D780,""))</f>
        <v/>
      </c>
      <c r="AQ780" t="str">
        <f>IF('Base Exámenes'!C780="","",IF(COUNTIF('Base Exámenes'!$C$5:$C$1000,'Base Exámenes'!C780)&lt;2,"",MATCH('Base Exámenes'!C780,'Base Exámenes'!$C$5:$C$1000,0)*10000+ROW()))</f>
        <v/>
      </c>
    </row>
    <row r="781">
      <c r="Z781" t="str">
        <f>IF('Detalle individual'!A781="","",IF(AND(OR('Estado por Colaborador'!$D$4="Todas las gerencias",'Detalle individual'!D781='Estado por Colaborador'!$D$4),OR('Estado por Colaborador'!$D$5="Todos los departamentos",TRIM('Detalle individual'!C781)='Estado por Colaborador'!$D$5),OR('Estado por Colaborador'!$D$6="Todos",'Detalle individual'!F781='Estado por Colaborador'!$D$6)),IF('Detalle individual'!F781="Completado",30000000,IF('Detalle individual'!F781="Pendiente",0,15000000))+COUNTIF('Detalle individual'!$C$5:$C$1000,"&lt;"&amp;'Detalle individual'!C781)*10000+ROW(),""))</f>
        <v/>
      </c>
      <c r="AB781" t="str">
        <f>IF('Detalle individual'!C781="","",IF(COUNTIF('Detalle individual'!$C$5:C781,'Detalle individual'!C781)=1,COUNTIF('Detalle individual'!$C$5:$C$1000,"&lt;"&amp;'Detalle individual'!C781),""))</f>
        <v/>
      </c>
      <c r="AC781" t="str">
        <f>IF('Detalle individual'!D781="","",IF(COUNTIF('Detalle individual'!$D$5:D781,'Detalle individual'!D781)=1,COUNTIF('Detalle individual'!$D$5:$D$1000,"&lt;"&amp;'Detalle individual'!D781),""))</f>
        <v/>
      </c>
      <c r="AH781" t="str">
        <f>IF('Detalle individual'!F781="Pendiente",COUNTIF('Detalle individual'!$D$5:$D$1000,"&lt;"&amp;'Detalle individual'!D781)*1000000+COUNTIF('Detalle individual'!$C$5:$C$1000,"&lt;"&amp;'Detalle individual'!C781)*1000+COUNTIF('Detalle individual'!$B$5:$B$1000,"&lt;"&amp;'Detalle individual'!B781)+ROW()/10000,"")</f>
        <v/>
      </c>
      <c r="AI781" t="str">
        <f>IF('Detalle individual'!F781="Completado",COUNTIF('Detalle individual'!$D$5:$D$1000,"&lt;"&amp;'Detalle individual'!D781)*1000000+COUNTIF('Detalle individual'!$C$5:$C$1000,"&lt;"&amp;'Detalle individual'!C781)*1000+COUNTIF('Detalle individual'!$B$5:$B$1000,"&lt;"&amp;'Detalle individual'!B781)+ROW()/10000,"")</f>
        <v/>
      </c>
      <c r="AJ781" t="str">
        <f>IF(AND('Detalle individual'!F781&lt;&gt;"",'Detalle individual'!F781&lt;&gt;"Completado",'Detalle individual'!F781&lt;&gt;"Pendiente"),COUNTIF('Detalle individual'!$D$5:$D$1000,"&lt;"&amp;'Detalle individual'!D781)*1000000+COUNTIF('Detalle individual'!$C$5:$C$1000,"&lt;"&amp;'Detalle individual'!C781)*1000+COUNTIF('Detalle individual'!$B$5:$B$1000,"&lt;"&amp;'Detalle individual'!B781)+ROW()/10000,"")</f>
        <v/>
      </c>
      <c r="AK781" t="str">
        <f>IF(OR('Base Exámenes'!C781="",'Base Exámenes'!D781=""),"",IF(COUNTIF('Base Exámenes'!$C$5:C781,'Base Exámenes'!C781)=1,'Base Exámenes'!D781+ROW()/1000000000,""))</f>
        <v/>
      </c>
      <c r="AL781" t="str">
        <f>IF(OR('Base Exámenes'!C781="",'Base Exámenes'!E781=""),"",IF(COUNTIF('Base Exámenes'!$C$5:C781,'Base Exámenes'!C781)=1,'Base Exámenes'!E781+ROW()/1000000000,""))</f>
        <v/>
      </c>
      <c r="AM781" t="str">
        <f>IF(OR('Base Exámenes'!C781="",'Base Exámenes'!G781=""),"",IF(ROW()-4=MATCH('Base Exámenes'!C781&amp;"|"&amp;_xlfn.MAXIFS('Base Exámenes'!$G$5:$G$1000,'Base Exámenes'!$C$5:$C$1000,'Base Exámenes'!C781),'Base Exámenes'!$I$5:$I$1000,0),'Base Exámenes'!G781*1000000+(-1)*'Base Exámenes'!D781,""))</f>
        <v/>
      </c>
      <c r="AQ781" t="str">
        <f>IF('Base Exámenes'!C781="","",IF(COUNTIF('Base Exámenes'!$C$5:$C$1000,'Base Exámenes'!C781)&lt;2,"",MATCH('Base Exámenes'!C781,'Base Exámenes'!$C$5:$C$1000,0)*10000+ROW()))</f>
        <v/>
      </c>
    </row>
    <row r="782">
      <c r="Z782" t="str">
        <f>IF('Detalle individual'!A782="","",IF(AND(OR('Estado por Colaborador'!$D$4="Todas las gerencias",'Detalle individual'!D782='Estado por Colaborador'!$D$4),OR('Estado por Colaborador'!$D$5="Todos los departamentos",TRIM('Detalle individual'!C782)='Estado por Colaborador'!$D$5),OR('Estado por Colaborador'!$D$6="Todos",'Detalle individual'!F782='Estado por Colaborador'!$D$6)),IF('Detalle individual'!F782="Completado",30000000,IF('Detalle individual'!F782="Pendiente",0,15000000))+COUNTIF('Detalle individual'!$C$5:$C$1000,"&lt;"&amp;'Detalle individual'!C782)*10000+ROW(),""))</f>
        <v/>
      </c>
      <c r="AB782" t="str">
        <f>IF('Detalle individual'!C782="","",IF(COUNTIF('Detalle individual'!$C$5:C782,'Detalle individual'!C782)=1,COUNTIF('Detalle individual'!$C$5:$C$1000,"&lt;"&amp;'Detalle individual'!C782),""))</f>
        <v/>
      </c>
      <c r="AC782" t="str">
        <f>IF('Detalle individual'!D782="","",IF(COUNTIF('Detalle individual'!$D$5:D782,'Detalle individual'!D782)=1,COUNTIF('Detalle individual'!$D$5:$D$1000,"&lt;"&amp;'Detalle individual'!D782),""))</f>
        <v/>
      </c>
      <c r="AH782" t="str">
        <f>IF('Detalle individual'!F782="Pendiente",COUNTIF('Detalle individual'!$D$5:$D$1000,"&lt;"&amp;'Detalle individual'!D782)*1000000+COUNTIF('Detalle individual'!$C$5:$C$1000,"&lt;"&amp;'Detalle individual'!C782)*1000+COUNTIF('Detalle individual'!$B$5:$B$1000,"&lt;"&amp;'Detalle individual'!B782)+ROW()/10000,"")</f>
        <v/>
      </c>
      <c r="AI782" t="str">
        <f>IF('Detalle individual'!F782="Completado",COUNTIF('Detalle individual'!$D$5:$D$1000,"&lt;"&amp;'Detalle individual'!D782)*1000000+COUNTIF('Detalle individual'!$C$5:$C$1000,"&lt;"&amp;'Detalle individual'!C782)*1000+COUNTIF('Detalle individual'!$B$5:$B$1000,"&lt;"&amp;'Detalle individual'!B782)+ROW()/10000,"")</f>
        <v/>
      </c>
      <c r="AJ782" t="str">
        <f>IF(AND('Detalle individual'!F782&lt;&gt;"",'Detalle individual'!F782&lt;&gt;"Completado",'Detalle individual'!F782&lt;&gt;"Pendiente"),COUNTIF('Detalle individual'!$D$5:$D$1000,"&lt;"&amp;'Detalle individual'!D782)*1000000+COUNTIF('Detalle individual'!$C$5:$C$1000,"&lt;"&amp;'Detalle individual'!C782)*1000+COUNTIF('Detalle individual'!$B$5:$B$1000,"&lt;"&amp;'Detalle individual'!B782)+ROW()/10000,"")</f>
        <v/>
      </c>
      <c r="AK782" t="str">
        <f>IF(OR('Base Exámenes'!C782="",'Base Exámenes'!D782=""),"",IF(COUNTIF('Base Exámenes'!$C$5:C782,'Base Exámenes'!C782)=1,'Base Exámenes'!D782+ROW()/1000000000,""))</f>
        <v/>
      </c>
      <c r="AL782" t="str">
        <f>IF(OR('Base Exámenes'!C782="",'Base Exámenes'!E782=""),"",IF(COUNTIF('Base Exámenes'!$C$5:C782,'Base Exámenes'!C782)=1,'Base Exámenes'!E782+ROW()/1000000000,""))</f>
        <v/>
      </c>
      <c r="AM782" t="str">
        <f>IF(OR('Base Exámenes'!C782="",'Base Exámenes'!G782=""),"",IF(ROW()-4=MATCH('Base Exámenes'!C782&amp;"|"&amp;_xlfn.MAXIFS('Base Exámenes'!$G$5:$G$1000,'Base Exámenes'!$C$5:$C$1000,'Base Exámenes'!C782),'Base Exámenes'!$I$5:$I$1000,0),'Base Exámenes'!G782*1000000+(-1)*'Base Exámenes'!D782,""))</f>
        <v/>
      </c>
      <c r="AQ782" t="str">
        <f>IF('Base Exámenes'!C782="","",IF(COUNTIF('Base Exámenes'!$C$5:$C$1000,'Base Exámenes'!C782)&lt;2,"",MATCH('Base Exámenes'!C782,'Base Exámenes'!$C$5:$C$1000,0)*10000+ROW()))</f>
        <v/>
      </c>
    </row>
    <row r="783">
      <c r="Z783" t="str">
        <f>IF('Detalle individual'!A783="","",IF(AND(OR('Estado por Colaborador'!$D$4="Todas las gerencias",'Detalle individual'!D783='Estado por Colaborador'!$D$4),OR('Estado por Colaborador'!$D$5="Todos los departamentos",TRIM('Detalle individual'!C783)='Estado por Colaborador'!$D$5),OR('Estado por Colaborador'!$D$6="Todos",'Detalle individual'!F783='Estado por Colaborador'!$D$6)),IF('Detalle individual'!F783="Completado",30000000,IF('Detalle individual'!F783="Pendiente",0,15000000))+COUNTIF('Detalle individual'!$C$5:$C$1000,"&lt;"&amp;'Detalle individual'!C783)*10000+ROW(),""))</f>
        <v/>
      </c>
      <c r="AB783" t="str">
        <f>IF('Detalle individual'!C783="","",IF(COUNTIF('Detalle individual'!$C$5:C783,'Detalle individual'!C783)=1,COUNTIF('Detalle individual'!$C$5:$C$1000,"&lt;"&amp;'Detalle individual'!C783),""))</f>
        <v/>
      </c>
      <c r="AC783" t="str">
        <f>IF('Detalle individual'!D783="","",IF(COUNTIF('Detalle individual'!$D$5:D783,'Detalle individual'!D783)=1,COUNTIF('Detalle individual'!$D$5:$D$1000,"&lt;"&amp;'Detalle individual'!D783),""))</f>
        <v/>
      </c>
      <c r="AH783" t="str">
        <f>IF('Detalle individual'!F783="Pendiente",COUNTIF('Detalle individual'!$D$5:$D$1000,"&lt;"&amp;'Detalle individual'!D783)*1000000+COUNTIF('Detalle individual'!$C$5:$C$1000,"&lt;"&amp;'Detalle individual'!C783)*1000+COUNTIF('Detalle individual'!$B$5:$B$1000,"&lt;"&amp;'Detalle individual'!B783)+ROW()/10000,"")</f>
        <v/>
      </c>
      <c r="AI783" t="str">
        <f>IF('Detalle individual'!F783="Completado",COUNTIF('Detalle individual'!$D$5:$D$1000,"&lt;"&amp;'Detalle individual'!D783)*1000000+COUNTIF('Detalle individual'!$C$5:$C$1000,"&lt;"&amp;'Detalle individual'!C783)*1000+COUNTIF('Detalle individual'!$B$5:$B$1000,"&lt;"&amp;'Detalle individual'!B783)+ROW()/10000,"")</f>
        <v/>
      </c>
      <c r="AJ783" t="str">
        <f>IF(AND('Detalle individual'!F783&lt;&gt;"",'Detalle individual'!F783&lt;&gt;"Completado",'Detalle individual'!F783&lt;&gt;"Pendiente"),COUNTIF('Detalle individual'!$D$5:$D$1000,"&lt;"&amp;'Detalle individual'!D783)*1000000+COUNTIF('Detalle individual'!$C$5:$C$1000,"&lt;"&amp;'Detalle individual'!C783)*1000+COUNTIF('Detalle individual'!$B$5:$B$1000,"&lt;"&amp;'Detalle individual'!B783)+ROW()/10000,"")</f>
        <v/>
      </c>
      <c r="AK783" t="str">
        <f>IF(OR('Base Exámenes'!C783="",'Base Exámenes'!D783=""),"",IF(COUNTIF('Base Exámenes'!$C$5:C783,'Base Exámenes'!C783)=1,'Base Exámenes'!D783+ROW()/1000000000,""))</f>
        <v/>
      </c>
      <c r="AL783" t="str">
        <f>IF(OR('Base Exámenes'!C783="",'Base Exámenes'!E783=""),"",IF(COUNTIF('Base Exámenes'!$C$5:C783,'Base Exámenes'!C783)=1,'Base Exámenes'!E783+ROW()/1000000000,""))</f>
        <v/>
      </c>
      <c r="AM783" t="str">
        <f>IF(OR('Base Exámenes'!C783="",'Base Exámenes'!G783=""),"",IF(ROW()-4=MATCH('Base Exámenes'!C783&amp;"|"&amp;_xlfn.MAXIFS('Base Exámenes'!$G$5:$G$1000,'Base Exámenes'!$C$5:$C$1000,'Base Exámenes'!C783),'Base Exámenes'!$I$5:$I$1000,0),'Base Exámenes'!G783*1000000+(-1)*'Base Exámenes'!D783,""))</f>
        <v/>
      </c>
      <c r="AQ783" t="str">
        <f>IF('Base Exámenes'!C783="","",IF(COUNTIF('Base Exámenes'!$C$5:$C$1000,'Base Exámenes'!C783)&lt;2,"",MATCH('Base Exámenes'!C783,'Base Exámenes'!$C$5:$C$1000,0)*10000+ROW()))</f>
        <v/>
      </c>
    </row>
    <row r="784">
      <c r="Z784" t="str">
        <f>IF('Detalle individual'!A784="","",IF(AND(OR('Estado por Colaborador'!$D$4="Todas las gerencias",'Detalle individual'!D784='Estado por Colaborador'!$D$4),OR('Estado por Colaborador'!$D$5="Todos los departamentos",TRIM('Detalle individual'!C784)='Estado por Colaborador'!$D$5),OR('Estado por Colaborador'!$D$6="Todos",'Detalle individual'!F784='Estado por Colaborador'!$D$6)),IF('Detalle individual'!F784="Completado",30000000,IF('Detalle individual'!F784="Pendiente",0,15000000))+COUNTIF('Detalle individual'!$C$5:$C$1000,"&lt;"&amp;'Detalle individual'!C784)*10000+ROW(),""))</f>
        <v/>
      </c>
      <c r="AB784" t="str">
        <f>IF('Detalle individual'!C784="","",IF(COUNTIF('Detalle individual'!$C$5:C784,'Detalle individual'!C784)=1,COUNTIF('Detalle individual'!$C$5:$C$1000,"&lt;"&amp;'Detalle individual'!C784),""))</f>
        <v/>
      </c>
      <c r="AC784" t="str">
        <f>IF('Detalle individual'!D784="","",IF(COUNTIF('Detalle individual'!$D$5:D784,'Detalle individual'!D784)=1,COUNTIF('Detalle individual'!$D$5:$D$1000,"&lt;"&amp;'Detalle individual'!D784),""))</f>
        <v/>
      </c>
      <c r="AH784" t="str">
        <f>IF('Detalle individual'!F784="Pendiente",COUNTIF('Detalle individual'!$D$5:$D$1000,"&lt;"&amp;'Detalle individual'!D784)*1000000+COUNTIF('Detalle individual'!$C$5:$C$1000,"&lt;"&amp;'Detalle individual'!C784)*1000+COUNTIF('Detalle individual'!$B$5:$B$1000,"&lt;"&amp;'Detalle individual'!B784)+ROW()/10000,"")</f>
        <v/>
      </c>
      <c r="AI784" t="str">
        <f>IF('Detalle individual'!F784="Completado",COUNTIF('Detalle individual'!$D$5:$D$1000,"&lt;"&amp;'Detalle individual'!D784)*1000000+COUNTIF('Detalle individual'!$C$5:$C$1000,"&lt;"&amp;'Detalle individual'!C784)*1000+COUNTIF('Detalle individual'!$B$5:$B$1000,"&lt;"&amp;'Detalle individual'!B784)+ROW()/10000,"")</f>
        <v/>
      </c>
      <c r="AJ784" t="str">
        <f>IF(AND('Detalle individual'!F784&lt;&gt;"",'Detalle individual'!F784&lt;&gt;"Completado",'Detalle individual'!F784&lt;&gt;"Pendiente"),COUNTIF('Detalle individual'!$D$5:$D$1000,"&lt;"&amp;'Detalle individual'!D784)*1000000+COUNTIF('Detalle individual'!$C$5:$C$1000,"&lt;"&amp;'Detalle individual'!C784)*1000+COUNTIF('Detalle individual'!$B$5:$B$1000,"&lt;"&amp;'Detalle individual'!B784)+ROW()/10000,"")</f>
        <v/>
      </c>
      <c r="AK784" t="str">
        <f>IF(OR('Base Exámenes'!C784="",'Base Exámenes'!D784=""),"",IF(COUNTIF('Base Exámenes'!$C$5:C784,'Base Exámenes'!C784)=1,'Base Exámenes'!D784+ROW()/1000000000,""))</f>
        <v/>
      </c>
      <c r="AL784" t="str">
        <f>IF(OR('Base Exámenes'!C784="",'Base Exámenes'!E784=""),"",IF(COUNTIF('Base Exámenes'!$C$5:C784,'Base Exámenes'!C784)=1,'Base Exámenes'!E784+ROW()/1000000000,""))</f>
        <v/>
      </c>
      <c r="AM784" t="str">
        <f>IF(OR('Base Exámenes'!C784="",'Base Exámenes'!G784=""),"",IF(ROW()-4=MATCH('Base Exámenes'!C784&amp;"|"&amp;_xlfn.MAXIFS('Base Exámenes'!$G$5:$G$1000,'Base Exámenes'!$C$5:$C$1000,'Base Exámenes'!C784),'Base Exámenes'!$I$5:$I$1000,0),'Base Exámenes'!G784*1000000+(-1)*'Base Exámenes'!D784,""))</f>
        <v/>
      </c>
      <c r="AQ784" t="str">
        <f>IF('Base Exámenes'!C784="","",IF(COUNTIF('Base Exámenes'!$C$5:$C$1000,'Base Exámenes'!C784)&lt;2,"",MATCH('Base Exámenes'!C784,'Base Exámenes'!$C$5:$C$1000,0)*10000+ROW()))</f>
        <v/>
      </c>
    </row>
    <row r="785">
      <c r="Z785" t="str">
        <f>IF('Detalle individual'!A785="","",IF(AND(OR('Estado por Colaborador'!$D$4="Todas las gerencias",'Detalle individual'!D785='Estado por Colaborador'!$D$4),OR('Estado por Colaborador'!$D$5="Todos los departamentos",TRIM('Detalle individual'!C785)='Estado por Colaborador'!$D$5),OR('Estado por Colaborador'!$D$6="Todos",'Detalle individual'!F785='Estado por Colaborador'!$D$6)),IF('Detalle individual'!F785="Completado",30000000,IF('Detalle individual'!F785="Pendiente",0,15000000))+COUNTIF('Detalle individual'!$C$5:$C$1000,"&lt;"&amp;'Detalle individual'!C785)*10000+ROW(),""))</f>
        <v/>
      </c>
      <c r="AB785" t="str">
        <f>IF('Detalle individual'!C785="","",IF(COUNTIF('Detalle individual'!$C$5:C785,'Detalle individual'!C785)=1,COUNTIF('Detalle individual'!$C$5:$C$1000,"&lt;"&amp;'Detalle individual'!C785),""))</f>
        <v/>
      </c>
      <c r="AC785" t="str">
        <f>IF('Detalle individual'!D785="","",IF(COUNTIF('Detalle individual'!$D$5:D785,'Detalle individual'!D785)=1,COUNTIF('Detalle individual'!$D$5:$D$1000,"&lt;"&amp;'Detalle individual'!D785),""))</f>
        <v/>
      </c>
      <c r="AH785" t="str">
        <f>IF('Detalle individual'!F785="Pendiente",COUNTIF('Detalle individual'!$D$5:$D$1000,"&lt;"&amp;'Detalle individual'!D785)*1000000+COUNTIF('Detalle individual'!$C$5:$C$1000,"&lt;"&amp;'Detalle individual'!C785)*1000+COUNTIF('Detalle individual'!$B$5:$B$1000,"&lt;"&amp;'Detalle individual'!B785)+ROW()/10000,"")</f>
        <v/>
      </c>
      <c r="AI785" t="str">
        <f>IF('Detalle individual'!F785="Completado",COUNTIF('Detalle individual'!$D$5:$D$1000,"&lt;"&amp;'Detalle individual'!D785)*1000000+COUNTIF('Detalle individual'!$C$5:$C$1000,"&lt;"&amp;'Detalle individual'!C785)*1000+COUNTIF('Detalle individual'!$B$5:$B$1000,"&lt;"&amp;'Detalle individual'!B785)+ROW()/10000,"")</f>
        <v/>
      </c>
      <c r="AJ785" t="str">
        <f>IF(AND('Detalle individual'!F785&lt;&gt;"",'Detalle individual'!F785&lt;&gt;"Completado",'Detalle individual'!F785&lt;&gt;"Pendiente"),COUNTIF('Detalle individual'!$D$5:$D$1000,"&lt;"&amp;'Detalle individual'!D785)*1000000+COUNTIF('Detalle individual'!$C$5:$C$1000,"&lt;"&amp;'Detalle individual'!C785)*1000+COUNTIF('Detalle individual'!$B$5:$B$1000,"&lt;"&amp;'Detalle individual'!B785)+ROW()/10000,"")</f>
        <v/>
      </c>
      <c r="AK785" t="str">
        <f>IF(OR('Base Exámenes'!C785="",'Base Exámenes'!D785=""),"",IF(COUNTIF('Base Exámenes'!$C$5:C785,'Base Exámenes'!C785)=1,'Base Exámenes'!D785+ROW()/1000000000,""))</f>
        <v/>
      </c>
      <c r="AL785" t="str">
        <f>IF(OR('Base Exámenes'!C785="",'Base Exámenes'!E785=""),"",IF(COUNTIF('Base Exámenes'!$C$5:C785,'Base Exámenes'!C785)=1,'Base Exámenes'!E785+ROW()/1000000000,""))</f>
        <v/>
      </c>
      <c r="AM785" t="str">
        <f>IF(OR('Base Exámenes'!C785="",'Base Exámenes'!G785=""),"",IF(ROW()-4=MATCH('Base Exámenes'!C785&amp;"|"&amp;_xlfn.MAXIFS('Base Exámenes'!$G$5:$G$1000,'Base Exámenes'!$C$5:$C$1000,'Base Exámenes'!C785),'Base Exámenes'!$I$5:$I$1000,0),'Base Exámenes'!G785*1000000+(-1)*'Base Exámenes'!D785,""))</f>
        <v/>
      </c>
      <c r="AQ785" t="str">
        <f>IF('Base Exámenes'!C785="","",IF(COUNTIF('Base Exámenes'!$C$5:$C$1000,'Base Exámenes'!C785)&lt;2,"",MATCH('Base Exámenes'!C785,'Base Exámenes'!$C$5:$C$1000,0)*10000+ROW()))</f>
        <v/>
      </c>
    </row>
    <row r="786">
      <c r="Z786" t="str">
        <f>IF('Detalle individual'!A786="","",IF(AND(OR('Estado por Colaborador'!$D$4="Todas las gerencias",'Detalle individual'!D786='Estado por Colaborador'!$D$4),OR('Estado por Colaborador'!$D$5="Todos los departamentos",TRIM('Detalle individual'!C786)='Estado por Colaborador'!$D$5),OR('Estado por Colaborador'!$D$6="Todos",'Detalle individual'!F786='Estado por Colaborador'!$D$6)),IF('Detalle individual'!F786="Completado",30000000,IF('Detalle individual'!F786="Pendiente",0,15000000))+COUNTIF('Detalle individual'!$C$5:$C$1000,"&lt;"&amp;'Detalle individual'!C786)*10000+ROW(),""))</f>
        <v/>
      </c>
      <c r="AB786" t="str">
        <f>IF('Detalle individual'!C786="","",IF(COUNTIF('Detalle individual'!$C$5:C786,'Detalle individual'!C786)=1,COUNTIF('Detalle individual'!$C$5:$C$1000,"&lt;"&amp;'Detalle individual'!C786),""))</f>
        <v/>
      </c>
      <c r="AC786" t="str">
        <f>IF('Detalle individual'!D786="","",IF(COUNTIF('Detalle individual'!$D$5:D786,'Detalle individual'!D786)=1,COUNTIF('Detalle individual'!$D$5:$D$1000,"&lt;"&amp;'Detalle individual'!D786),""))</f>
        <v/>
      </c>
      <c r="AH786" t="str">
        <f>IF('Detalle individual'!F786="Pendiente",COUNTIF('Detalle individual'!$D$5:$D$1000,"&lt;"&amp;'Detalle individual'!D786)*1000000+COUNTIF('Detalle individual'!$C$5:$C$1000,"&lt;"&amp;'Detalle individual'!C786)*1000+COUNTIF('Detalle individual'!$B$5:$B$1000,"&lt;"&amp;'Detalle individual'!B786)+ROW()/10000,"")</f>
        <v/>
      </c>
      <c r="AI786" t="str">
        <f>IF('Detalle individual'!F786="Completado",COUNTIF('Detalle individual'!$D$5:$D$1000,"&lt;"&amp;'Detalle individual'!D786)*1000000+COUNTIF('Detalle individual'!$C$5:$C$1000,"&lt;"&amp;'Detalle individual'!C786)*1000+COUNTIF('Detalle individual'!$B$5:$B$1000,"&lt;"&amp;'Detalle individual'!B786)+ROW()/10000,"")</f>
        <v/>
      </c>
      <c r="AJ786" t="str">
        <f>IF(AND('Detalle individual'!F786&lt;&gt;"",'Detalle individual'!F786&lt;&gt;"Completado",'Detalle individual'!F786&lt;&gt;"Pendiente"),COUNTIF('Detalle individual'!$D$5:$D$1000,"&lt;"&amp;'Detalle individual'!D786)*1000000+COUNTIF('Detalle individual'!$C$5:$C$1000,"&lt;"&amp;'Detalle individual'!C786)*1000+COUNTIF('Detalle individual'!$B$5:$B$1000,"&lt;"&amp;'Detalle individual'!B786)+ROW()/10000,"")</f>
        <v/>
      </c>
      <c r="AK786" t="str">
        <f>IF(OR('Base Exámenes'!C786="",'Base Exámenes'!D786=""),"",IF(COUNTIF('Base Exámenes'!$C$5:C786,'Base Exámenes'!C786)=1,'Base Exámenes'!D786+ROW()/1000000000,""))</f>
        <v/>
      </c>
      <c r="AL786" t="str">
        <f>IF(OR('Base Exámenes'!C786="",'Base Exámenes'!E786=""),"",IF(COUNTIF('Base Exámenes'!$C$5:C786,'Base Exámenes'!C786)=1,'Base Exámenes'!E786+ROW()/1000000000,""))</f>
        <v/>
      </c>
      <c r="AM786" t="str">
        <f>IF(OR('Base Exámenes'!C786="",'Base Exámenes'!G786=""),"",IF(ROW()-4=MATCH('Base Exámenes'!C786&amp;"|"&amp;_xlfn.MAXIFS('Base Exámenes'!$G$5:$G$1000,'Base Exámenes'!$C$5:$C$1000,'Base Exámenes'!C786),'Base Exámenes'!$I$5:$I$1000,0),'Base Exámenes'!G786*1000000+(-1)*'Base Exámenes'!D786,""))</f>
        <v/>
      </c>
      <c r="AQ786" t="str">
        <f>IF('Base Exámenes'!C786="","",IF(COUNTIF('Base Exámenes'!$C$5:$C$1000,'Base Exámenes'!C786)&lt;2,"",MATCH('Base Exámenes'!C786,'Base Exámenes'!$C$5:$C$1000,0)*10000+ROW()))</f>
        <v/>
      </c>
    </row>
    <row r="787">
      <c r="Z787" t="str">
        <f>IF('Detalle individual'!A787="","",IF(AND(OR('Estado por Colaborador'!$D$4="Todas las gerencias",'Detalle individual'!D787='Estado por Colaborador'!$D$4),OR('Estado por Colaborador'!$D$5="Todos los departamentos",TRIM('Detalle individual'!C787)='Estado por Colaborador'!$D$5),OR('Estado por Colaborador'!$D$6="Todos",'Detalle individual'!F787='Estado por Colaborador'!$D$6)),IF('Detalle individual'!F787="Completado",30000000,IF('Detalle individual'!F787="Pendiente",0,15000000))+COUNTIF('Detalle individual'!$C$5:$C$1000,"&lt;"&amp;'Detalle individual'!C787)*10000+ROW(),""))</f>
        <v/>
      </c>
      <c r="AB787" t="str">
        <f>IF('Detalle individual'!C787="","",IF(COUNTIF('Detalle individual'!$C$5:C787,'Detalle individual'!C787)=1,COUNTIF('Detalle individual'!$C$5:$C$1000,"&lt;"&amp;'Detalle individual'!C787),""))</f>
        <v/>
      </c>
      <c r="AC787" t="str">
        <f>IF('Detalle individual'!D787="","",IF(COUNTIF('Detalle individual'!$D$5:D787,'Detalle individual'!D787)=1,COUNTIF('Detalle individual'!$D$5:$D$1000,"&lt;"&amp;'Detalle individual'!D787),""))</f>
        <v/>
      </c>
      <c r="AH787" t="str">
        <f>IF('Detalle individual'!F787="Pendiente",COUNTIF('Detalle individual'!$D$5:$D$1000,"&lt;"&amp;'Detalle individual'!D787)*1000000+COUNTIF('Detalle individual'!$C$5:$C$1000,"&lt;"&amp;'Detalle individual'!C787)*1000+COUNTIF('Detalle individual'!$B$5:$B$1000,"&lt;"&amp;'Detalle individual'!B787)+ROW()/10000,"")</f>
        <v/>
      </c>
      <c r="AI787" t="str">
        <f>IF('Detalle individual'!F787="Completado",COUNTIF('Detalle individual'!$D$5:$D$1000,"&lt;"&amp;'Detalle individual'!D787)*1000000+COUNTIF('Detalle individual'!$C$5:$C$1000,"&lt;"&amp;'Detalle individual'!C787)*1000+COUNTIF('Detalle individual'!$B$5:$B$1000,"&lt;"&amp;'Detalle individual'!B787)+ROW()/10000,"")</f>
        <v/>
      </c>
      <c r="AJ787" t="str">
        <f>IF(AND('Detalle individual'!F787&lt;&gt;"",'Detalle individual'!F787&lt;&gt;"Completado",'Detalle individual'!F787&lt;&gt;"Pendiente"),COUNTIF('Detalle individual'!$D$5:$D$1000,"&lt;"&amp;'Detalle individual'!D787)*1000000+COUNTIF('Detalle individual'!$C$5:$C$1000,"&lt;"&amp;'Detalle individual'!C787)*1000+COUNTIF('Detalle individual'!$B$5:$B$1000,"&lt;"&amp;'Detalle individual'!B787)+ROW()/10000,"")</f>
        <v/>
      </c>
      <c r="AK787" t="str">
        <f>IF(OR('Base Exámenes'!C787="",'Base Exámenes'!D787=""),"",IF(COUNTIF('Base Exámenes'!$C$5:C787,'Base Exámenes'!C787)=1,'Base Exámenes'!D787+ROW()/1000000000,""))</f>
        <v/>
      </c>
      <c r="AL787" t="str">
        <f>IF(OR('Base Exámenes'!C787="",'Base Exámenes'!E787=""),"",IF(COUNTIF('Base Exámenes'!$C$5:C787,'Base Exámenes'!C787)=1,'Base Exámenes'!E787+ROW()/1000000000,""))</f>
        <v/>
      </c>
      <c r="AM787" t="str">
        <f>IF(OR('Base Exámenes'!C787="",'Base Exámenes'!G787=""),"",IF(ROW()-4=MATCH('Base Exámenes'!C787&amp;"|"&amp;_xlfn.MAXIFS('Base Exámenes'!$G$5:$G$1000,'Base Exámenes'!$C$5:$C$1000,'Base Exámenes'!C787),'Base Exámenes'!$I$5:$I$1000,0),'Base Exámenes'!G787*1000000+(-1)*'Base Exámenes'!D787,""))</f>
        <v/>
      </c>
      <c r="AQ787" t="str">
        <f>IF('Base Exámenes'!C787="","",IF(COUNTIF('Base Exámenes'!$C$5:$C$1000,'Base Exámenes'!C787)&lt;2,"",MATCH('Base Exámenes'!C787,'Base Exámenes'!$C$5:$C$1000,0)*10000+ROW()))</f>
        <v/>
      </c>
    </row>
    <row r="788">
      <c r="Z788" t="str">
        <f>IF('Detalle individual'!A788="","",IF(AND(OR('Estado por Colaborador'!$D$4="Todas las gerencias",'Detalle individual'!D788='Estado por Colaborador'!$D$4),OR('Estado por Colaborador'!$D$5="Todos los departamentos",TRIM('Detalle individual'!C788)='Estado por Colaborador'!$D$5),OR('Estado por Colaborador'!$D$6="Todos",'Detalle individual'!F788='Estado por Colaborador'!$D$6)),IF('Detalle individual'!F788="Completado",30000000,IF('Detalle individual'!F788="Pendiente",0,15000000))+COUNTIF('Detalle individual'!$C$5:$C$1000,"&lt;"&amp;'Detalle individual'!C788)*10000+ROW(),""))</f>
        <v/>
      </c>
      <c r="AB788" t="str">
        <f>IF('Detalle individual'!C788="","",IF(COUNTIF('Detalle individual'!$C$5:C788,'Detalle individual'!C788)=1,COUNTIF('Detalle individual'!$C$5:$C$1000,"&lt;"&amp;'Detalle individual'!C788),""))</f>
        <v/>
      </c>
      <c r="AC788" t="str">
        <f>IF('Detalle individual'!D788="","",IF(COUNTIF('Detalle individual'!$D$5:D788,'Detalle individual'!D788)=1,COUNTIF('Detalle individual'!$D$5:$D$1000,"&lt;"&amp;'Detalle individual'!D788),""))</f>
        <v/>
      </c>
      <c r="AH788" t="str">
        <f>IF('Detalle individual'!F788="Pendiente",COUNTIF('Detalle individual'!$D$5:$D$1000,"&lt;"&amp;'Detalle individual'!D788)*1000000+COUNTIF('Detalle individual'!$C$5:$C$1000,"&lt;"&amp;'Detalle individual'!C788)*1000+COUNTIF('Detalle individual'!$B$5:$B$1000,"&lt;"&amp;'Detalle individual'!B788)+ROW()/10000,"")</f>
        <v/>
      </c>
      <c r="AI788" t="str">
        <f>IF('Detalle individual'!F788="Completado",COUNTIF('Detalle individual'!$D$5:$D$1000,"&lt;"&amp;'Detalle individual'!D788)*1000000+COUNTIF('Detalle individual'!$C$5:$C$1000,"&lt;"&amp;'Detalle individual'!C788)*1000+COUNTIF('Detalle individual'!$B$5:$B$1000,"&lt;"&amp;'Detalle individual'!B788)+ROW()/10000,"")</f>
        <v/>
      </c>
      <c r="AJ788" t="str">
        <f>IF(AND('Detalle individual'!F788&lt;&gt;"",'Detalle individual'!F788&lt;&gt;"Completado",'Detalle individual'!F788&lt;&gt;"Pendiente"),COUNTIF('Detalle individual'!$D$5:$D$1000,"&lt;"&amp;'Detalle individual'!D788)*1000000+COUNTIF('Detalle individual'!$C$5:$C$1000,"&lt;"&amp;'Detalle individual'!C788)*1000+COUNTIF('Detalle individual'!$B$5:$B$1000,"&lt;"&amp;'Detalle individual'!B788)+ROW()/10000,"")</f>
        <v/>
      </c>
      <c r="AK788" t="str">
        <f>IF(OR('Base Exámenes'!C788="",'Base Exámenes'!D788=""),"",IF(COUNTIF('Base Exámenes'!$C$5:C788,'Base Exámenes'!C788)=1,'Base Exámenes'!D788+ROW()/1000000000,""))</f>
        <v/>
      </c>
      <c r="AL788" t="str">
        <f>IF(OR('Base Exámenes'!C788="",'Base Exámenes'!E788=""),"",IF(COUNTIF('Base Exámenes'!$C$5:C788,'Base Exámenes'!C788)=1,'Base Exámenes'!E788+ROW()/1000000000,""))</f>
        <v/>
      </c>
      <c r="AM788" t="str">
        <f>IF(OR('Base Exámenes'!C788="",'Base Exámenes'!G788=""),"",IF(ROW()-4=MATCH('Base Exámenes'!C788&amp;"|"&amp;_xlfn.MAXIFS('Base Exámenes'!$G$5:$G$1000,'Base Exámenes'!$C$5:$C$1000,'Base Exámenes'!C788),'Base Exámenes'!$I$5:$I$1000,0),'Base Exámenes'!G788*1000000+(-1)*'Base Exámenes'!D788,""))</f>
        <v/>
      </c>
      <c r="AQ788" t="str">
        <f>IF('Base Exámenes'!C788="","",IF(COUNTIF('Base Exámenes'!$C$5:$C$1000,'Base Exámenes'!C788)&lt;2,"",MATCH('Base Exámenes'!C788,'Base Exámenes'!$C$5:$C$1000,0)*10000+ROW()))</f>
        <v/>
      </c>
    </row>
    <row r="789">
      <c r="Z789" t="str">
        <f>IF('Detalle individual'!A789="","",IF(AND(OR('Estado por Colaborador'!$D$4="Todas las gerencias",'Detalle individual'!D789='Estado por Colaborador'!$D$4),OR('Estado por Colaborador'!$D$5="Todos los departamentos",TRIM('Detalle individual'!C789)='Estado por Colaborador'!$D$5),OR('Estado por Colaborador'!$D$6="Todos",'Detalle individual'!F789='Estado por Colaborador'!$D$6)),IF('Detalle individual'!F789="Completado",30000000,IF('Detalle individual'!F789="Pendiente",0,15000000))+COUNTIF('Detalle individual'!$C$5:$C$1000,"&lt;"&amp;'Detalle individual'!C789)*10000+ROW(),""))</f>
        <v/>
      </c>
      <c r="AB789" t="str">
        <f>IF('Detalle individual'!C789="","",IF(COUNTIF('Detalle individual'!$C$5:C789,'Detalle individual'!C789)=1,COUNTIF('Detalle individual'!$C$5:$C$1000,"&lt;"&amp;'Detalle individual'!C789),""))</f>
        <v/>
      </c>
      <c r="AC789" t="str">
        <f>IF('Detalle individual'!D789="","",IF(COUNTIF('Detalle individual'!$D$5:D789,'Detalle individual'!D789)=1,COUNTIF('Detalle individual'!$D$5:$D$1000,"&lt;"&amp;'Detalle individual'!D789),""))</f>
        <v/>
      </c>
      <c r="AH789" t="str">
        <f>IF('Detalle individual'!F789="Pendiente",COUNTIF('Detalle individual'!$D$5:$D$1000,"&lt;"&amp;'Detalle individual'!D789)*1000000+COUNTIF('Detalle individual'!$C$5:$C$1000,"&lt;"&amp;'Detalle individual'!C789)*1000+COUNTIF('Detalle individual'!$B$5:$B$1000,"&lt;"&amp;'Detalle individual'!B789)+ROW()/10000,"")</f>
        <v/>
      </c>
      <c r="AI789" t="str">
        <f>IF('Detalle individual'!F789="Completado",COUNTIF('Detalle individual'!$D$5:$D$1000,"&lt;"&amp;'Detalle individual'!D789)*1000000+COUNTIF('Detalle individual'!$C$5:$C$1000,"&lt;"&amp;'Detalle individual'!C789)*1000+COUNTIF('Detalle individual'!$B$5:$B$1000,"&lt;"&amp;'Detalle individual'!B789)+ROW()/10000,"")</f>
        <v/>
      </c>
      <c r="AJ789" t="str">
        <f>IF(AND('Detalle individual'!F789&lt;&gt;"",'Detalle individual'!F789&lt;&gt;"Completado",'Detalle individual'!F789&lt;&gt;"Pendiente"),COUNTIF('Detalle individual'!$D$5:$D$1000,"&lt;"&amp;'Detalle individual'!D789)*1000000+COUNTIF('Detalle individual'!$C$5:$C$1000,"&lt;"&amp;'Detalle individual'!C789)*1000+COUNTIF('Detalle individual'!$B$5:$B$1000,"&lt;"&amp;'Detalle individual'!B789)+ROW()/10000,"")</f>
        <v/>
      </c>
      <c r="AK789" t="str">
        <f>IF(OR('Base Exámenes'!C789="",'Base Exámenes'!D789=""),"",IF(COUNTIF('Base Exámenes'!$C$5:C789,'Base Exámenes'!C789)=1,'Base Exámenes'!D789+ROW()/1000000000,""))</f>
        <v/>
      </c>
      <c r="AL789" t="str">
        <f>IF(OR('Base Exámenes'!C789="",'Base Exámenes'!E789=""),"",IF(COUNTIF('Base Exámenes'!$C$5:C789,'Base Exámenes'!C789)=1,'Base Exámenes'!E789+ROW()/1000000000,""))</f>
        <v/>
      </c>
      <c r="AM789" t="str">
        <f>IF(OR('Base Exámenes'!C789="",'Base Exámenes'!G789=""),"",IF(ROW()-4=MATCH('Base Exámenes'!C789&amp;"|"&amp;_xlfn.MAXIFS('Base Exámenes'!$G$5:$G$1000,'Base Exámenes'!$C$5:$C$1000,'Base Exámenes'!C789),'Base Exámenes'!$I$5:$I$1000,0),'Base Exámenes'!G789*1000000+(-1)*'Base Exámenes'!D789,""))</f>
        <v/>
      </c>
      <c r="AQ789" t="str">
        <f>IF('Base Exámenes'!C789="","",IF(COUNTIF('Base Exámenes'!$C$5:$C$1000,'Base Exámenes'!C789)&lt;2,"",MATCH('Base Exámenes'!C789,'Base Exámenes'!$C$5:$C$1000,0)*10000+ROW()))</f>
        <v/>
      </c>
    </row>
    <row r="790">
      <c r="Z790" t="str">
        <f>IF('Detalle individual'!A790="","",IF(AND(OR('Estado por Colaborador'!$D$4="Todas las gerencias",'Detalle individual'!D790='Estado por Colaborador'!$D$4),OR('Estado por Colaborador'!$D$5="Todos los departamentos",TRIM('Detalle individual'!C790)='Estado por Colaborador'!$D$5),OR('Estado por Colaborador'!$D$6="Todos",'Detalle individual'!F790='Estado por Colaborador'!$D$6)),IF('Detalle individual'!F790="Completado",30000000,IF('Detalle individual'!F790="Pendiente",0,15000000))+COUNTIF('Detalle individual'!$C$5:$C$1000,"&lt;"&amp;'Detalle individual'!C790)*10000+ROW(),""))</f>
        <v/>
      </c>
      <c r="AB790" t="str">
        <f>IF('Detalle individual'!C790="","",IF(COUNTIF('Detalle individual'!$C$5:C790,'Detalle individual'!C790)=1,COUNTIF('Detalle individual'!$C$5:$C$1000,"&lt;"&amp;'Detalle individual'!C790),""))</f>
        <v/>
      </c>
      <c r="AC790" t="str">
        <f>IF('Detalle individual'!D790="","",IF(COUNTIF('Detalle individual'!$D$5:D790,'Detalle individual'!D790)=1,COUNTIF('Detalle individual'!$D$5:$D$1000,"&lt;"&amp;'Detalle individual'!D790),""))</f>
        <v/>
      </c>
      <c r="AH790" t="str">
        <f>IF('Detalle individual'!F790="Pendiente",COUNTIF('Detalle individual'!$D$5:$D$1000,"&lt;"&amp;'Detalle individual'!D790)*1000000+COUNTIF('Detalle individual'!$C$5:$C$1000,"&lt;"&amp;'Detalle individual'!C790)*1000+COUNTIF('Detalle individual'!$B$5:$B$1000,"&lt;"&amp;'Detalle individual'!B790)+ROW()/10000,"")</f>
        <v/>
      </c>
      <c r="AI790" t="str">
        <f>IF('Detalle individual'!F790="Completado",COUNTIF('Detalle individual'!$D$5:$D$1000,"&lt;"&amp;'Detalle individual'!D790)*1000000+COUNTIF('Detalle individual'!$C$5:$C$1000,"&lt;"&amp;'Detalle individual'!C790)*1000+COUNTIF('Detalle individual'!$B$5:$B$1000,"&lt;"&amp;'Detalle individual'!B790)+ROW()/10000,"")</f>
        <v/>
      </c>
      <c r="AJ790" t="str">
        <f>IF(AND('Detalle individual'!F790&lt;&gt;"",'Detalle individual'!F790&lt;&gt;"Completado",'Detalle individual'!F790&lt;&gt;"Pendiente"),COUNTIF('Detalle individual'!$D$5:$D$1000,"&lt;"&amp;'Detalle individual'!D790)*1000000+COUNTIF('Detalle individual'!$C$5:$C$1000,"&lt;"&amp;'Detalle individual'!C790)*1000+COUNTIF('Detalle individual'!$B$5:$B$1000,"&lt;"&amp;'Detalle individual'!B790)+ROW()/10000,"")</f>
        <v/>
      </c>
      <c r="AK790" t="str">
        <f>IF(OR('Base Exámenes'!C790="",'Base Exámenes'!D790=""),"",IF(COUNTIF('Base Exámenes'!$C$5:C790,'Base Exámenes'!C790)=1,'Base Exámenes'!D790+ROW()/1000000000,""))</f>
        <v/>
      </c>
      <c r="AL790" t="str">
        <f>IF(OR('Base Exámenes'!C790="",'Base Exámenes'!E790=""),"",IF(COUNTIF('Base Exámenes'!$C$5:C790,'Base Exámenes'!C790)=1,'Base Exámenes'!E790+ROW()/1000000000,""))</f>
        <v/>
      </c>
      <c r="AM790" t="str">
        <f>IF(OR('Base Exámenes'!C790="",'Base Exámenes'!G790=""),"",IF(ROW()-4=MATCH('Base Exámenes'!C790&amp;"|"&amp;_xlfn.MAXIFS('Base Exámenes'!$G$5:$G$1000,'Base Exámenes'!$C$5:$C$1000,'Base Exámenes'!C790),'Base Exámenes'!$I$5:$I$1000,0),'Base Exámenes'!G790*1000000+(-1)*'Base Exámenes'!D790,""))</f>
        <v/>
      </c>
      <c r="AQ790" t="str">
        <f>IF('Base Exámenes'!C790="","",IF(COUNTIF('Base Exámenes'!$C$5:$C$1000,'Base Exámenes'!C790)&lt;2,"",MATCH('Base Exámenes'!C790,'Base Exámenes'!$C$5:$C$1000,0)*10000+ROW()))</f>
        <v/>
      </c>
    </row>
    <row r="791">
      <c r="Z791" t="str">
        <f>IF('Detalle individual'!A791="","",IF(AND(OR('Estado por Colaborador'!$D$4="Todas las gerencias",'Detalle individual'!D791='Estado por Colaborador'!$D$4),OR('Estado por Colaborador'!$D$5="Todos los departamentos",TRIM('Detalle individual'!C791)='Estado por Colaborador'!$D$5),OR('Estado por Colaborador'!$D$6="Todos",'Detalle individual'!F791='Estado por Colaborador'!$D$6)),IF('Detalle individual'!F791="Completado",30000000,IF('Detalle individual'!F791="Pendiente",0,15000000))+COUNTIF('Detalle individual'!$C$5:$C$1000,"&lt;"&amp;'Detalle individual'!C791)*10000+ROW(),""))</f>
        <v/>
      </c>
      <c r="AB791" t="str">
        <f>IF('Detalle individual'!C791="","",IF(COUNTIF('Detalle individual'!$C$5:C791,'Detalle individual'!C791)=1,COUNTIF('Detalle individual'!$C$5:$C$1000,"&lt;"&amp;'Detalle individual'!C791),""))</f>
        <v/>
      </c>
      <c r="AC791" t="str">
        <f>IF('Detalle individual'!D791="","",IF(COUNTIF('Detalle individual'!$D$5:D791,'Detalle individual'!D791)=1,COUNTIF('Detalle individual'!$D$5:$D$1000,"&lt;"&amp;'Detalle individual'!D791),""))</f>
        <v/>
      </c>
      <c r="AH791" t="str">
        <f>IF('Detalle individual'!F791="Pendiente",COUNTIF('Detalle individual'!$D$5:$D$1000,"&lt;"&amp;'Detalle individual'!D791)*1000000+COUNTIF('Detalle individual'!$C$5:$C$1000,"&lt;"&amp;'Detalle individual'!C791)*1000+COUNTIF('Detalle individual'!$B$5:$B$1000,"&lt;"&amp;'Detalle individual'!B791)+ROW()/10000,"")</f>
        <v/>
      </c>
      <c r="AI791" t="str">
        <f>IF('Detalle individual'!F791="Completado",COUNTIF('Detalle individual'!$D$5:$D$1000,"&lt;"&amp;'Detalle individual'!D791)*1000000+COUNTIF('Detalle individual'!$C$5:$C$1000,"&lt;"&amp;'Detalle individual'!C791)*1000+COUNTIF('Detalle individual'!$B$5:$B$1000,"&lt;"&amp;'Detalle individual'!B791)+ROW()/10000,"")</f>
        <v/>
      </c>
      <c r="AJ791" t="str">
        <f>IF(AND('Detalle individual'!F791&lt;&gt;"",'Detalle individual'!F791&lt;&gt;"Completado",'Detalle individual'!F791&lt;&gt;"Pendiente"),COUNTIF('Detalle individual'!$D$5:$D$1000,"&lt;"&amp;'Detalle individual'!D791)*1000000+COUNTIF('Detalle individual'!$C$5:$C$1000,"&lt;"&amp;'Detalle individual'!C791)*1000+COUNTIF('Detalle individual'!$B$5:$B$1000,"&lt;"&amp;'Detalle individual'!B791)+ROW()/10000,"")</f>
        <v/>
      </c>
      <c r="AK791" t="str">
        <f>IF(OR('Base Exámenes'!C791="",'Base Exámenes'!D791=""),"",IF(COUNTIF('Base Exámenes'!$C$5:C791,'Base Exámenes'!C791)=1,'Base Exámenes'!D791+ROW()/1000000000,""))</f>
        <v/>
      </c>
      <c r="AL791" t="str">
        <f>IF(OR('Base Exámenes'!C791="",'Base Exámenes'!E791=""),"",IF(COUNTIF('Base Exámenes'!$C$5:C791,'Base Exámenes'!C791)=1,'Base Exámenes'!E791+ROW()/1000000000,""))</f>
        <v/>
      </c>
      <c r="AM791" t="str">
        <f>IF(OR('Base Exámenes'!C791="",'Base Exámenes'!G791=""),"",IF(ROW()-4=MATCH('Base Exámenes'!C791&amp;"|"&amp;_xlfn.MAXIFS('Base Exámenes'!$G$5:$G$1000,'Base Exámenes'!$C$5:$C$1000,'Base Exámenes'!C791),'Base Exámenes'!$I$5:$I$1000,0),'Base Exámenes'!G791*1000000+(-1)*'Base Exámenes'!D791,""))</f>
        <v/>
      </c>
      <c r="AQ791" t="str">
        <f>IF('Base Exámenes'!C791="","",IF(COUNTIF('Base Exámenes'!$C$5:$C$1000,'Base Exámenes'!C791)&lt;2,"",MATCH('Base Exámenes'!C791,'Base Exámenes'!$C$5:$C$1000,0)*10000+ROW()))</f>
        <v/>
      </c>
    </row>
    <row r="792">
      <c r="Z792" t="str">
        <f>IF('Detalle individual'!A792="","",IF(AND(OR('Estado por Colaborador'!$D$4="Todas las gerencias",'Detalle individual'!D792='Estado por Colaborador'!$D$4),OR('Estado por Colaborador'!$D$5="Todos los departamentos",TRIM('Detalle individual'!C792)='Estado por Colaborador'!$D$5),OR('Estado por Colaborador'!$D$6="Todos",'Detalle individual'!F792='Estado por Colaborador'!$D$6)),IF('Detalle individual'!F792="Completado",30000000,IF('Detalle individual'!F792="Pendiente",0,15000000))+COUNTIF('Detalle individual'!$C$5:$C$1000,"&lt;"&amp;'Detalle individual'!C792)*10000+ROW(),""))</f>
        <v/>
      </c>
      <c r="AB792" t="str">
        <f>IF('Detalle individual'!C792="","",IF(COUNTIF('Detalle individual'!$C$5:C792,'Detalle individual'!C792)=1,COUNTIF('Detalle individual'!$C$5:$C$1000,"&lt;"&amp;'Detalle individual'!C792),""))</f>
        <v/>
      </c>
      <c r="AC792" t="str">
        <f>IF('Detalle individual'!D792="","",IF(COUNTIF('Detalle individual'!$D$5:D792,'Detalle individual'!D792)=1,COUNTIF('Detalle individual'!$D$5:$D$1000,"&lt;"&amp;'Detalle individual'!D792),""))</f>
        <v/>
      </c>
      <c r="AH792" t="str">
        <f>IF('Detalle individual'!F792="Pendiente",COUNTIF('Detalle individual'!$D$5:$D$1000,"&lt;"&amp;'Detalle individual'!D792)*1000000+COUNTIF('Detalle individual'!$C$5:$C$1000,"&lt;"&amp;'Detalle individual'!C792)*1000+COUNTIF('Detalle individual'!$B$5:$B$1000,"&lt;"&amp;'Detalle individual'!B792)+ROW()/10000,"")</f>
        <v/>
      </c>
      <c r="AI792" t="str">
        <f>IF('Detalle individual'!F792="Completado",COUNTIF('Detalle individual'!$D$5:$D$1000,"&lt;"&amp;'Detalle individual'!D792)*1000000+COUNTIF('Detalle individual'!$C$5:$C$1000,"&lt;"&amp;'Detalle individual'!C792)*1000+COUNTIF('Detalle individual'!$B$5:$B$1000,"&lt;"&amp;'Detalle individual'!B792)+ROW()/10000,"")</f>
        <v/>
      </c>
      <c r="AJ792" t="str">
        <f>IF(AND('Detalle individual'!F792&lt;&gt;"",'Detalle individual'!F792&lt;&gt;"Completado",'Detalle individual'!F792&lt;&gt;"Pendiente"),COUNTIF('Detalle individual'!$D$5:$D$1000,"&lt;"&amp;'Detalle individual'!D792)*1000000+COUNTIF('Detalle individual'!$C$5:$C$1000,"&lt;"&amp;'Detalle individual'!C792)*1000+COUNTIF('Detalle individual'!$B$5:$B$1000,"&lt;"&amp;'Detalle individual'!B792)+ROW()/10000,"")</f>
        <v/>
      </c>
      <c r="AK792" t="str">
        <f>IF(OR('Base Exámenes'!C792="",'Base Exámenes'!D792=""),"",IF(COUNTIF('Base Exámenes'!$C$5:C792,'Base Exámenes'!C792)=1,'Base Exámenes'!D792+ROW()/1000000000,""))</f>
        <v/>
      </c>
      <c r="AL792" t="str">
        <f>IF(OR('Base Exámenes'!C792="",'Base Exámenes'!E792=""),"",IF(COUNTIF('Base Exámenes'!$C$5:C792,'Base Exámenes'!C792)=1,'Base Exámenes'!E792+ROW()/1000000000,""))</f>
        <v/>
      </c>
      <c r="AM792" t="str">
        <f>IF(OR('Base Exámenes'!C792="",'Base Exámenes'!G792=""),"",IF(ROW()-4=MATCH('Base Exámenes'!C792&amp;"|"&amp;_xlfn.MAXIFS('Base Exámenes'!$G$5:$G$1000,'Base Exámenes'!$C$5:$C$1000,'Base Exámenes'!C792),'Base Exámenes'!$I$5:$I$1000,0),'Base Exámenes'!G792*1000000+(-1)*'Base Exámenes'!D792,""))</f>
        <v/>
      </c>
      <c r="AQ792" t="str">
        <f>IF('Base Exámenes'!C792="","",IF(COUNTIF('Base Exámenes'!$C$5:$C$1000,'Base Exámenes'!C792)&lt;2,"",MATCH('Base Exámenes'!C792,'Base Exámenes'!$C$5:$C$1000,0)*10000+ROW()))</f>
        <v/>
      </c>
    </row>
    <row r="793">
      <c r="Z793" t="str">
        <f>IF('Detalle individual'!A793="","",IF(AND(OR('Estado por Colaborador'!$D$4="Todas las gerencias",'Detalle individual'!D793='Estado por Colaborador'!$D$4),OR('Estado por Colaborador'!$D$5="Todos los departamentos",TRIM('Detalle individual'!C793)='Estado por Colaborador'!$D$5),OR('Estado por Colaborador'!$D$6="Todos",'Detalle individual'!F793='Estado por Colaborador'!$D$6)),IF('Detalle individual'!F793="Completado",30000000,IF('Detalle individual'!F793="Pendiente",0,15000000))+COUNTIF('Detalle individual'!$C$5:$C$1000,"&lt;"&amp;'Detalle individual'!C793)*10000+ROW(),""))</f>
        <v/>
      </c>
      <c r="AB793" t="str">
        <f>IF('Detalle individual'!C793="","",IF(COUNTIF('Detalle individual'!$C$5:C793,'Detalle individual'!C793)=1,COUNTIF('Detalle individual'!$C$5:$C$1000,"&lt;"&amp;'Detalle individual'!C793),""))</f>
        <v/>
      </c>
      <c r="AC793" t="str">
        <f>IF('Detalle individual'!D793="","",IF(COUNTIF('Detalle individual'!$D$5:D793,'Detalle individual'!D793)=1,COUNTIF('Detalle individual'!$D$5:$D$1000,"&lt;"&amp;'Detalle individual'!D793),""))</f>
        <v/>
      </c>
      <c r="AH793" t="str">
        <f>IF('Detalle individual'!F793="Pendiente",COUNTIF('Detalle individual'!$D$5:$D$1000,"&lt;"&amp;'Detalle individual'!D793)*1000000+COUNTIF('Detalle individual'!$C$5:$C$1000,"&lt;"&amp;'Detalle individual'!C793)*1000+COUNTIF('Detalle individual'!$B$5:$B$1000,"&lt;"&amp;'Detalle individual'!B793)+ROW()/10000,"")</f>
        <v/>
      </c>
      <c r="AI793" t="str">
        <f>IF('Detalle individual'!F793="Completado",COUNTIF('Detalle individual'!$D$5:$D$1000,"&lt;"&amp;'Detalle individual'!D793)*1000000+COUNTIF('Detalle individual'!$C$5:$C$1000,"&lt;"&amp;'Detalle individual'!C793)*1000+COUNTIF('Detalle individual'!$B$5:$B$1000,"&lt;"&amp;'Detalle individual'!B793)+ROW()/10000,"")</f>
        <v/>
      </c>
      <c r="AJ793" t="str">
        <f>IF(AND('Detalle individual'!F793&lt;&gt;"",'Detalle individual'!F793&lt;&gt;"Completado",'Detalle individual'!F793&lt;&gt;"Pendiente"),COUNTIF('Detalle individual'!$D$5:$D$1000,"&lt;"&amp;'Detalle individual'!D793)*1000000+COUNTIF('Detalle individual'!$C$5:$C$1000,"&lt;"&amp;'Detalle individual'!C793)*1000+COUNTIF('Detalle individual'!$B$5:$B$1000,"&lt;"&amp;'Detalle individual'!B793)+ROW()/10000,"")</f>
        <v/>
      </c>
      <c r="AK793" t="str">
        <f>IF(OR('Base Exámenes'!C793="",'Base Exámenes'!D793=""),"",IF(COUNTIF('Base Exámenes'!$C$5:C793,'Base Exámenes'!C793)=1,'Base Exámenes'!D793+ROW()/1000000000,""))</f>
        <v/>
      </c>
      <c r="AL793" t="str">
        <f>IF(OR('Base Exámenes'!C793="",'Base Exámenes'!E793=""),"",IF(COUNTIF('Base Exámenes'!$C$5:C793,'Base Exámenes'!C793)=1,'Base Exámenes'!E793+ROW()/1000000000,""))</f>
        <v/>
      </c>
      <c r="AM793" t="str">
        <f>IF(OR('Base Exámenes'!C793="",'Base Exámenes'!G793=""),"",IF(ROW()-4=MATCH('Base Exámenes'!C793&amp;"|"&amp;_xlfn.MAXIFS('Base Exámenes'!$G$5:$G$1000,'Base Exámenes'!$C$5:$C$1000,'Base Exámenes'!C793),'Base Exámenes'!$I$5:$I$1000,0),'Base Exámenes'!G793*1000000+(-1)*'Base Exámenes'!D793,""))</f>
        <v/>
      </c>
      <c r="AQ793" t="str">
        <f>IF('Base Exámenes'!C793="","",IF(COUNTIF('Base Exámenes'!$C$5:$C$1000,'Base Exámenes'!C793)&lt;2,"",MATCH('Base Exámenes'!C793,'Base Exámenes'!$C$5:$C$1000,0)*10000+ROW()))</f>
        <v/>
      </c>
    </row>
    <row r="794">
      <c r="Z794" t="str">
        <f>IF('Detalle individual'!A794="","",IF(AND(OR('Estado por Colaborador'!$D$4="Todas las gerencias",'Detalle individual'!D794='Estado por Colaborador'!$D$4),OR('Estado por Colaborador'!$D$5="Todos los departamentos",TRIM('Detalle individual'!C794)='Estado por Colaborador'!$D$5),OR('Estado por Colaborador'!$D$6="Todos",'Detalle individual'!F794='Estado por Colaborador'!$D$6)),IF('Detalle individual'!F794="Completado",30000000,IF('Detalle individual'!F794="Pendiente",0,15000000))+COUNTIF('Detalle individual'!$C$5:$C$1000,"&lt;"&amp;'Detalle individual'!C794)*10000+ROW(),""))</f>
        <v/>
      </c>
      <c r="AB794" t="str">
        <f>IF('Detalle individual'!C794="","",IF(COUNTIF('Detalle individual'!$C$5:C794,'Detalle individual'!C794)=1,COUNTIF('Detalle individual'!$C$5:$C$1000,"&lt;"&amp;'Detalle individual'!C794),""))</f>
        <v/>
      </c>
      <c r="AC794" t="str">
        <f>IF('Detalle individual'!D794="","",IF(COUNTIF('Detalle individual'!$D$5:D794,'Detalle individual'!D794)=1,COUNTIF('Detalle individual'!$D$5:$D$1000,"&lt;"&amp;'Detalle individual'!D794),""))</f>
        <v/>
      </c>
      <c r="AH794" t="str">
        <f>IF('Detalle individual'!F794="Pendiente",COUNTIF('Detalle individual'!$D$5:$D$1000,"&lt;"&amp;'Detalle individual'!D794)*1000000+COUNTIF('Detalle individual'!$C$5:$C$1000,"&lt;"&amp;'Detalle individual'!C794)*1000+COUNTIF('Detalle individual'!$B$5:$B$1000,"&lt;"&amp;'Detalle individual'!B794)+ROW()/10000,"")</f>
        <v/>
      </c>
      <c r="AI794" t="str">
        <f>IF('Detalle individual'!F794="Completado",COUNTIF('Detalle individual'!$D$5:$D$1000,"&lt;"&amp;'Detalle individual'!D794)*1000000+COUNTIF('Detalle individual'!$C$5:$C$1000,"&lt;"&amp;'Detalle individual'!C794)*1000+COUNTIF('Detalle individual'!$B$5:$B$1000,"&lt;"&amp;'Detalle individual'!B794)+ROW()/10000,"")</f>
        <v/>
      </c>
      <c r="AJ794" t="str">
        <f>IF(AND('Detalle individual'!F794&lt;&gt;"",'Detalle individual'!F794&lt;&gt;"Completado",'Detalle individual'!F794&lt;&gt;"Pendiente"),COUNTIF('Detalle individual'!$D$5:$D$1000,"&lt;"&amp;'Detalle individual'!D794)*1000000+COUNTIF('Detalle individual'!$C$5:$C$1000,"&lt;"&amp;'Detalle individual'!C794)*1000+COUNTIF('Detalle individual'!$B$5:$B$1000,"&lt;"&amp;'Detalle individual'!B794)+ROW()/10000,"")</f>
        <v/>
      </c>
      <c r="AK794" t="str">
        <f>IF(OR('Base Exámenes'!C794="",'Base Exámenes'!D794=""),"",IF(COUNTIF('Base Exámenes'!$C$5:C794,'Base Exámenes'!C794)=1,'Base Exámenes'!D794+ROW()/1000000000,""))</f>
        <v/>
      </c>
      <c r="AL794" t="str">
        <f>IF(OR('Base Exámenes'!C794="",'Base Exámenes'!E794=""),"",IF(COUNTIF('Base Exámenes'!$C$5:C794,'Base Exámenes'!C794)=1,'Base Exámenes'!E794+ROW()/1000000000,""))</f>
        <v/>
      </c>
      <c r="AM794" t="str">
        <f>IF(OR('Base Exámenes'!C794="",'Base Exámenes'!G794=""),"",IF(ROW()-4=MATCH('Base Exámenes'!C794&amp;"|"&amp;_xlfn.MAXIFS('Base Exámenes'!$G$5:$G$1000,'Base Exámenes'!$C$5:$C$1000,'Base Exámenes'!C794),'Base Exámenes'!$I$5:$I$1000,0),'Base Exámenes'!G794*1000000+(-1)*'Base Exámenes'!D794,""))</f>
        <v/>
      </c>
      <c r="AQ794" t="str">
        <f>IF('Base Exámenes'!C794="","",IF(COUNTIF('Base Exámenes'!$C$5:$C$1000,'Base Exámenes'!C794)&lt;2,"",MATCH('Base Exámenes'!C794,'Base Exámenes'!$C$5:$C$1000,0)*10000+ROW()))</f>
        <v/>
      </c>
    </row>
    <row r="795">
      <c r="Z795" t="str">
        <f>IF('Detalle individual'!A795="","",IF(AND(OR('Estado por Colaborador'!$D$4="Todas las gerencias",'Detalle individual'!D795='Estado por Colaborador'!$D$4),OR('Estado por Colaborador'!$D$5="Todos los departamentos",TRIM('Detalle individual'!C795)='Estado por Colaborador'!$D$5),OR('Estado por Colaborador'!$D$6="Todos",'Detalle individual'!F795='Estado por Colaborador'!$D$6)),IF('Detalle individual'!F795="Completado",30000000,IF('Detalle individual'!F795="Pendiente",0,15000000))+COUNTIF('Detalle individual'!$C$5:$C$1000,"&lt;"&amp;'Detalle individual'!C795)*10000+ROW(),""))</f>
        <v/>
      </c>
      <c r="AB795" t="str">
        <f>IF('Detalle individual'!C795="","",IF(COUNTIF('Detalle individual'!$C$5:C795,'Detalle individual'!C795)=1,COUNTIF('Detalle individual'!$C$5:$C$1000,"&lt;"&amp;'Detalle individual'!C795),""))</f>
        <v/>
      </c>
      <c r="AC795" t="str">
        <f>IF('Detalle individual'!D795="","",IF(COUNTIF('Detalle individual'!$D$5:D795,'Detalle individual'!D795)=1,COUNTIF('Detalle individual'!$D$5:$D$1000,"&lt;"&amp;'Detalle individual'!D795),""))</f>
        <v/>
      </c>
      <c r="AH795" t="str">
        <f>IF('Detalle individual'!F795="Pendiente",COUNTIF('Detalle individual'!$D$5:$D$1000,"&lt;"&amp;'Detalle individual'!D795)*1000000+COUNTIF('Detalle individual'!$C$5:$C$1000,"&lt;"&amp;'Detalle individual'!C795)*1000+COUNTIF('Detalle individual'!$B$5:$B$1000,"&lt;"&amp;'Detalle individual'!B795)+ROW()/10000,"")</f>
        <v/>
      </c>
      <c r="AI795" t="str">
        <f>IF('Detalle individual'!F795="Completado",COUNTIF('Detalle individual'!$D$5:$D$1000,"&lt;"&amp;'Detalle individual'!D795)*1000000+COUNTIF('Detalle individual'!$C$5:$C$1000,"&lt;"&amp;'Detalle individual'!C795)*1000+COUNTIF('Detalle individual'!$B$5:$B$1000,"&lt;"&amp;'Detalle individual'!B795)+ROW()/10000,"")</f>
        <v/>
      </c>
      <c r="AJ795" t="str">
        <f>IF(AND('Detalle individual'!F795&lt;&gt;"",'Detalle individual'!F795&lt;&gt;"Completado",'Detalle individual'!F795&lt;&gt;"Pendiente"),COUNTIF('Detalle individual'!$D$5:$D$1000,"&lt;"&amp;'Detalle individual'!D795)*1000000+COUNTIF('Detalle individual'!$C$5:$C$1000,"&lt;"&amp;'Detalle individual'!C795)*1000+COUNTIF('Detalle individual'!$B$5:$B$1000,"&lt;"&amp;'Detalle individual'!B795)+ROW()/10000,"")</f>
        <v/>
      </c>
      <c r="AK795" t="str">
        <f>IF(OR('Base Exámenes'!C795="",'Base Exámenes'!D795=""),"",IF(COUNTIF('Base Exámenes'!$C$5:C795,'Base Exámenes'!C795)=1,'Base Exámenes'!D795+ROW()/1000000000,""))</f>
        <v/>
      </c>
      <c r="AL795" t="str">
        <f>IF(OR('Base Exámenes'!C795="",'Base Exámenes'!E795=""),"",IF(COUNTIF('Base Exámenes'!$C$5:C795,'Base Exámenes'!C795)=1,'Base Exámenes'!E795+ROW()/1000000000,""))</f>
        <v/>
      </c>
      <c r="AM795" t="str">
        <f>IF(OR('Base Exámenes'!C795="",'Base Exámenes'!G795=""),"",IF(ROW()-4=MATCH('Base Exámenes'!C795&amp;"|"&amp;_xlfn.MAXIFS('Base Exámenes'!$G$5:$G$1000,'Base Exámenes'!$C$5:$C$1000,'Base Exámenes'!C795),'Base Exámenes'!$I$5:$I$1000,0),'Base Exámenes'!G795*1000000+(-1)*'Base Exámenes'!D795,""))</f>
        <v/>
      </c>
      <c r="AQ795" t="str">
        <f>IF('Base Exámenes'!C795="","",IF(COUNTIF('Base Exámenes'!$C$5:$C$1000,'Base Exámenes'!C795)&lt;2,"",MATCH('Base Exámenes'!C795,'Base Exámenes'!$C$5:$C$1000,0)*10000+ROW()))</f>
        <v/>
      </c>
    </row>
    <row r="796">
      <c r="Z796" t="str">
        <f>IF('Detalle individual'!A796="","",IF(AND(OR('Estado por Colaborador'!$D$4="Todas las gerencias",'Detalle individual'!D796='Estado por Colaborador'!$D$4),OR('Estado por Colaborador'!$D$5="Todos los departamentos",TRIM('Detalle individual'!C796)='Estado por Colaborador'!$D$5),OR('Estado por Colaborador'!$D$6="Todos",'Detalle individual'!F796='Estado por Colaborador'!$D$6)),IF('Detalle individual'!F796="Completado",30000000,IF('Detalle individual'!F796="Pendiente",0,15000000))+COUNTIF('Detalle individual'!$C$5:$C$1000,"&lt;"&amp;'Detalle individual'!C796)*10000+ROW(),""))</f>
        <v/>
      </c>
      <c r="AB796" t="str">
        <f>IF('Detalle individual'!C796="","",IF(COUNTIF('Detalle individual'!$C$5:C796,'Detalle individual'!C796)=1,COUNTIF('Detalle individual'!$C$5:$C$1000,"&lt;"&amp;'Detalle individual'!C796),""))</f>
        <v/>
      </c>
      <c r="AC796" t="str">
        <f>IF('Detalle individual'!D796="","",IF(COUNTIF('Detalle individual'!$D$5:D796,'Detalle individual'!D796)=1,COUNTIF('Detalle individual'!$D$5:$D$1000,"&lt;"&amp;'Detalle individual'!D796),""))</f>
        <v/>
      </c>
      <c r="AH796" t="str">
        <f>IF('Detalle individual'!F796="Pendiente",COUNTIF('Detalle individual'!$D$5:$D$1000,"&lt;"&amp;'Detalle individual'!D796)*1000000+COUNTIF('Detalle individual'!$C$5:$C$1000,"&lt;"&amp;'Detalle individual'!C796)*1000+COUNTIF('Detalle individual'!$B$5:$B$1000,"&lt;"&amp;'Detalle individual'!B796)+ROW()/10000,"")</f>
        <v/>
      </c>
      <c r="AI796" t="str">
        <f>IF('Detalle individual'!F796="Completado",COUNTIF('Detalle individual'!$D$5:$D$1000,"&lt;"&amp;'Detalle individual'!D796)*1000000+COUNTIF('Detalle individual'!$C$5:$C$1000,"&lt;"&amp;'Detalle individual'!C796)*1000+COUNTIF('Detalle individual'!$B$5:$B$1000,"&lt;"&amp;'Detalle individual'!B796)+ROW()/10000,"")</f>
        <v/>
      </c>
      <c r="AJ796" t="str">
        <f>IF(AND('Detalle individual'!F796&lt;&gt;"",'Detalle individual'!F796&lt;&gt;"Completado",'Detalle individual'!F796&lt;&gt;"Pendiente"),COUNTIF('Detalle individual'!$D$5:$D$1000,"&lt;"&amp;'Detalle individual'!D796)*1000000+COUNTIF('Detalle individual'!$C$5:$C$1000,"&lt;"&amp;'Detalle individual'!C796)*1000+COUNTIF('Detalle individual'!$B$5:$B$1000,"&lt;"&amp;'Detalle individual'!B796)+ROW()/10000,"")</f>
        <v/>
      </c>
      <c r="AK796" t="str">
        <f>IF(OR('Base Exámenes'!C796="",'Base Exámenes'!D796=""),"",IF(COUNTIF('Base Exámenes'!$C$5:C796,'Base Exámenes'!C796)=1,'Base Exámenes'!D796+ROW()/1000000000,""))</f>
        <v/>
      </c>
      <c r="AL796" t="str">
        <f>IF(OR('Base Exámenes'!C796="",'Base Exámenes'!E796=""),"",IF(COUNTIF('Base Exámenes'!$C$5:C796,'Base Exámenes'!C796)=1,'Base Exámenes'!E796+ROW()/1000000000,""))</f>
        <v/>
      </c>
      <c r="AM796" t="str">
        <f>IF(OR('Base Exámenes'!C796="",'Base Exámenes'!G796=""),"",IF(ROW()-4=MATCH('Base Exámenes'!C796&amp;"|"&amp;_xlfn.MAXIFS('Base Exámenes'!$G$5:$G$1000,'Base Exámenes'!$C$5:$C$1000,'Base Exámenes'!C796),'Base Exámenes'!$I$5:$I$1000,0),'Base Exámenes'!G796*1000000+(-1)*'Base Exámenes'!D796,""))</f>
        <v/>
      </c>
      <c r="AQ796" t="str">
        <f>IF('Base Exámenes'!C796="","",IF(COUNTIF('Base Exámenes'!$C$5:$C$1000,'Base Exámenes'!C796)&lt;2,"",MATCH('Base Exámenes'!C796,'Base Exámenes'!$C$5:$C$1000,0)*10000+ROW()))</f>
        <v/>
      </c>
    </row>
    <row r="797">
      <c r="Z797" t="str">
        <f>IF('Detalle individual'!A797="","",IF(AND(OR('Estado por Colaborador'!$D$4="Todas las gerencias",'Detalle individual'!D797='Estado por Colaborador'!$D$4),OR('Estado por Colaborador'!$D$5="Todos los departamentos",TRIM('Detalle individual'!C797)='Estado por Colaborador'!$D$5),OR('Estado por Colaborador'!$D$6="Todos",'Detalle individual'!F797='Estado por Colaborador'!$D$6)),IF('Detalle individual'!F797="Completado",30000000,IF('Detalle individual'!F797="Pendiente",0,15000000))+COUNTIF('Detalle individual'!$C$5:$C$1000,"&lt;"&amp;'Detalle individual'!C797)*10000+ROW(),""))</f>
        <v/>
      </c>
      <c r="AB797" t="str">
        <f>IF('Detalle individual'!C797="","",IF(COUNTIF('Detalle individual'!$C$5:C797,'Detalle individual'!C797)=1,COUNTIF('Detalle individual'!$C$5:$C$1000,"&lt;"&amp;'Detalle individual'!C797),""))</f>
        <v/>
      </c>
      <c r="AC797" t="str">
        <f>IF('Detalle individual'!D797="","",IF(COUNTIF('Detalle individual'!$D$5:D797,'Detalle individual'!D797)=1,COUNTIF('Detalle individual'!$D$5:$D$1000,"&lt;"&amp;'Detalle individual'!D797),""))</f>
        <v/>
      </c>
      <c r="AH797" t="str">
        <f>IF('Detalle individual'!F797="Pendiente",COUNTIF('Detalle individual'!$D$5:$D$1000,"&lt;"&amp;'Detalle individual'!D797)*1000000+COUNTIF('Detalle individual'!$C$5:$C$1000,"&lt;"&amp;'Detalle individual'!C797)*1000+COUNTIF('Detalle individual'!$B$5:$B$1000,"&lt;"&amp;'Detalle individual'!B797)+ROW()/10000,"")</f>
        <v/>
      </c>
      <c r="AI797" t="str">
        <f>IF('Detalle individual'!F797="Completado",COUNTIF('Detalle individual'!$D$5:$D$1000,"&lt;"&amp;'Detalle individual'!D797)*1000000+COUNTIF('Detalle individual'!$C$5:$C$1000,"&lt;"&amp;'Detalle individual'!C797)*1000+COUNTIF('Detalle individual'!$B$5:$B$1000,"&lt;"&amp;'Detalle individual'!B797)+ROW()/10000,"")</f>
        <v/>
      </c>
      <c r="AJ797" t="str">
        <f>IF(AND('Detalle individual'!F797&lt;&gt;"",'Detalle individual'!F797&lt;&gt;"Completado",'Detalle individual'!F797&lt;&gt;"Pendiente"),COUNTIF('Detalle individual'!$D$5:$D$1000,"&lt;"&amp;'Detalle individual'!D797)*1000000+COUNTIF('Detalle individual'!$C$5:$C$1000,"&lt;"&amp;'Detalle individual'!C797)*1000+COUNTIF('Detalle individual'!$B$5:$B$1000,"&lt;"&amp;'Detalle individual'!B797)+ROW()/10000,"")</f>
        <v/>
      </c>
      <c r="AK797" t="str">
        <f>IF(OR('Base Exámenes'!C797="",'Base Exámenes'!D797=""),"",IF(COUNTIF('Base Exámenes'!$C$5:C797,'Base Exámenes'!C797)=1,'Base Exámenes'!D797+ROW()/1000000000,""))</f>
        <v/>
      </c>
      <c r="AL797" t="str">
        <f>IF(OR('Base Exámenes'!C797="",'Base Exámenes'!E797=""),"",IF(COUNTIF('Base Exámenes'!$C$5:C797,'Base Exámenes'!C797)=1,'Base Exámenes'!E797+ROW()/1000000000,""))</f>
        <v/>
      </c>
      <c r="AM797" t="str">
        <f>IF(OR('Base Exámenes'!C797="",'Base Exámenes'!G797=""),"",IF(ROW()-4=MATCH('Base Exámenes'!C797&amp;"|"&amp;_xlfn.MAXIFS('Base Exámenes'!$G$5:$G$1000,'Base Exámenes'!$C$5:$C$1000,'Base Exámenes'!C797),'Base Exámenes'!$I$5:$I$1000,0),'Base Exámenes'!G797*1000000+(-1)*'Base Exámenes'!D797,""))</f>
        <v/>
      </c>
      <c r="AQ797" t="str">
        <f>IF('Base Exámenes'!C797="","",IF(COUNTIF('Base Exámenes'!$C$5:$C$1000,'Base Exámenes'!C797)&lt;2,"",MATCH('Base Exámenes'!C797,'Base Exámenes'!$C$5:$C$1000,0)*10000+ROW()))</f>
        <v/>
      </c>
    </row>
    <row r="798">
      <c r="Z798" t="str">
        <f>IF('Detalle individual'!A798="","",IF(AND(OR('Estado por Colaborador'!$D$4="Todas las gerencias",'Detalle individual'!D798='Estado por Colaborador'!$D$4),OR('Estado por Colaborador'!$D$5="Todos los departamentos",TRIM('Detalle individual'!C798)='Estado por Colaborador'!$D$5),OR('Estado por Colaborador'!$D$6="Todos",'Detalle individual'!F798='Estado por Colaborador'!$D$6)),IF('Detalle individual'!F798="Completado",30000000,IF('Detalle individual'!F798="Pendiente",0,15000000))+COUNTIF('Detalle individual'!$C$5:$C$1000,"&lt;"&amp;'Detalle individual'!C798)*10000+ROW(),""))</f>
        <v/>
      </c>
      <c r="AB798" t="str">
        <f>IF('Detalle individual'!C798="","",IF(COUNTIF('Detalle individual'!$C$5:C798,'Detalle individual'!C798)=1,COUNTIF('Detalle individual'!$C$5:$C$1000,"&lt;"&amp;'Detalle individual'!C798),""))</f>
        <v/>
      </c>
      <c r="AC798" t="str">
        <f>IF('Detalle individual'!D798="","",IF(COUNTIF('Detalle individual'!$D$5:D798,'Detalle individual'!D798)=1,COUNTIF('Detalle individual'!$D$5:$D$1000,"&lt;"&amp;'Detalle individual'!D798),""))</f>
        <v/>
      </c>
      <c r="AH798" t="str">
        <f>IF('Detalle individual'!F798="Pendiente",COUNTIF('Detalle individual'!$D$5:$D$1000,"&lt;"&amp;'Detalle individual'!D798)*1000000+COUNTIF('Detalle individual'!$C$5:$C$1000,"&lt;"&amp;'Detalle individual'!C798)*1000+COUNTIF('Detalle individual'!$B$5:$B$1000,"&lt;"&amp;'Detalle individual'!B798)+ROW()/10000,"")</f>
        <v/>
      </c>
      <c r="AI798" t="str">
        <f>IF('Detalle individual'!F798="Completado",COUNTIF('Detalle individual'!$D$5:$D$1000,"&lt;"&amp;'Detalle individual'!D798)*1000000+COUNTIF('Detalle individual'!$C$5:$C$1000,"&lt;"&amp;'Detalle individual'!C798)*1000+COUNTIF('Detalle individual'!$B$5:$B$1000,"&lt;"&amp;'Detalle individual'!B798)+ROW()/10000,"")</f>
        <v/>
      </c>
      <c r="AJ798" t="str">
        <f>IF(AND('Detalle individual'!F798&lt;&gt;"",'Detalle individual'!F798&lt;&gt;"Completado",'Detalle individual'!F798&lt;&gt;"Pendiente"),COUNTIF('Detalle individual'!$D$5:$D$1000,"&lt;"&amp;'Detalle individual'!D798)*1000000+COUNTIF('Detalle individual'!$C$5:$C$1000,"&lt;"&amp;'Detalle individual'!C798)*1000+COUNTIF('Detalle individual'!$B$5:$B$1000,"&lt;"&amp;'Detalle individual'!B798)+ROW()/10000,"")</f>
        <v/>
      </c>
      <c r="AK798" t="str">
        <f>IF(OR('Base Exámenes'!C798="",'Base Exámenes'!D798=""),"",IF(COUNTIF('Base Exámenes'!$C$5:C798,'Base Exámenes'!C798)=1,'Base Exámenes'!D798+ROW()/1000000000,""))</f>
        <v/>
      </c>
      <c r="AL798" t="str">
        <f>IF(OR('Base Exámenes'!C798="",'Base Exámenes'!E798=""),"",IF(COUNTIF('Base Exámenes'!$C$5:C798,'Base Exámenes'!C798)=1,'Base Exámenes'!E798+ROW()/1000000000,""))</f>
        <v/>
      </c>
      <c r="AM798" t="str">
        <f>IF(OR('Base Exámenes'!C798="",'Base Exámenes'!G798=""),"",IF(ROW()-4=MATCH('Base Exámenes'!C798&amp;"|"&amp;_xlfn.MAXIFS('Base Exámenes'!$G$5:$G$1000,'Base Exámenes'!$C$5:$C$1000,'Base Exámenes'!C798),'Base Exámenes'!$I$5:$I$1000,0),'Base Exámenes'!G798*1000000+(-1)*'Base Exámenes'!D798,""))</f>
        <v/>
      </c>
      <c r="AQ798" t="str">
        <f>IF('Base Exámenes'!C798="","",IF(COUNTIF('Base Exámenes'!$C$5:$C$1000,'Base Exámenes'!C798)&lt;2,"",MATCH('Base Exámenes'!C798,'Base Exámenes'!$C$5:$C$1000,0)*10000+ROW()))</f>
        <v/>
      </c>
    </row>
    <row r="799">
      <c r="Z799" t="str">
        <f>IF('Detalle individual'!A799="","",IF(AND(OR('Estado por Colaborador'!$D$4="Todas las gerencias",'Detalle individual'!D799='Estado por Colaborador'!$D$4),OR('Estado por Colaborador'!$D$5="Todos los departamentos",TRIM('Detalle individual'!C799)='Estado por Colaborador'!$D$5),OR('Estado por Colaborador'!$D$6="Todos",'Detalle individual'!F799='Estado por Colaborador'!$D$6)),IF('Detalle individual'!F799="Completado",30000000,IF('Detalle individual'!F799="Pendiente",0,15000000))+COUNTIF('Detalle individual'!$C$5:$C$1000,"&lt;"&amp;'Detalle individual'!C799)*10000+ROW(),""))</f>
        <v/>
      </c>
      <c r="AB799" t="str">
        <f>IF('Detalle individual'!C799="","",IF(COUNTIF('Detalle individual'!$C$5:C799,'Detalle individual'!C799)=1,COUNTIF('Detalle individual'!$C$5:$C$1000,"&lt;"&amp;'Detalle individual'!C799),""))</f>
        <v/>
      </c>
      <c r="AC799" t="str">
        <f>IF('Detalle individual'!D799="","",IF(COUNTIF('Detalle individual'!$D$5:D799,'Detalle individual'!D799)=1,COUNTIF('Detalle individual'!$D$5:$D$1000,"&lt;"&amp;'Detalle individual'!D799),""))</f>
        <v/>
      </c>
      <c r="AH799" t="str">
        <f>IF('Detalle individual'!F799="Pendiente",COUNTIF('Detalle individual'!$D$5:$D$1000,"&lt;"&amp;'Detalle individual'!D799)*1000000+COUNTIF('Detalle individual'!$C$5:$C$1000,"&lt;"&amp;'Detalle individual'!C799)*1000+COUNTIF('Detalle individual'!$B$5:$B$1000,"&lt;"&amp;'Detalle individual'!B799)+ROW()/10000,"")</f>
        <v/>
      </c>
      <c r="AI799" t="str">
        <f>IF('Detalle individual'!F799="Completado",COUNTIF('Detalle individual'!$D$5:$D$1000,"&lt;"&amp;'Detalle individual'!D799)*1000000+COUNTIF('Detalle individual'!$C$5:$C$1000,"&lt;"&amp;'Detalle individual'!C799)*1000+COUNTIF('Detalle individual'!$B$5:$B$1000,"&lt;"&amp;'Detalle individual'!B799)+ROW()/10000,"")</f>
        <v/>
      </c>
      <c r="AJ799" t="str">
        <f>IF(AND('Detalle individual'!F799&lt;&gt;"",'Detalle individual'!F799&lt;&gt;"Completado",'Detalle individual'!F799&lt;&gt;"Pendiente"),COUNTIF('Detalle individual'!$D$5:$D$1000,"&lt;"&amp;'Detalle individual'!D799)*1000000+COUNTIF('Detalle individual'!$C$5:$C$1000,"&lt;"&amp;'Detalle individual'!C799)*1000+COUNTIF('Detalle individual'!$B$5:$B$1000,"&lt;"&amp;'Detalle individual'!B799)+ROW()/10000,"")</f>
        <v/>
      </c>
      <c r="AK799" t="str">
        <f>IF(OR('Base Exámenes'!C799="",'Base Exámenes'!D799=""),"",IF(COUNTIF('Base Exámenes'!$C$5:C799,'Base Exámenes'!C799)=1,'Base Exámenes'!D799+ROW()/1000000000,""))</f>
        <v/>
      </c>
      <c r="AL799" t="str">
        <f>IF(OR('Base Exámenes'!C799="",'Base Exámenes'!E799=""),"",IF(COUNTIF('Base Exámenes'!$C$5:C799,'Base Exámenes'!C799)=1,'Base Exámenes'!E799+ROW()/1000000000,""))</f>
        <v/>
      </c>
      <c r="AM799" t="str">
        <f>IF(OR('Base Exámenes'!C799="",'Base Exámenes'!G799=""),"",IF(ROW()-4=MATCH('Base Exámenes'!C799&amp;"|"&amp;_xlfn.MAXIFS('Base Exámenes'!$G$5:$G$1000,'Base Exámenes'!$C$5:$C$1000,'Base Exámenes'!C799),'Base Exámenes'!$I$5:$I$1000,0),'Base Exámenes'!G799*1000000+(-1)*'Base Exámenes'!D799,""))</f>
        <v/>
      </c>
      <c r="AQ799" t="str">
        <f>IF('Base Exámenes'!C799="","",IF(COUNTIF('Base Exámenes'!$C$5:$C$1000,'Base Exámenes'!C799)&lt;2,"",MATCH('Base Exámenes'!C799,'Base Exámenes'!$C$5:$C$1000,0)*10000+ROW()))</f>
        <v/>
      </c>
    </row>
    <row r="800">
      <c r="Z800" t="str">
        <f>IF('Detalle individual'!A800="","",IF(AND(OR('Estado por Colaborador'!$D$4="Todas las gerencias",'Detalle individual'!D800='Estado por Colaborador'!$D$4),OR('Estado por Colaborador'!$D$5="Todos los departamentos",TRIM('Detalle individual'!C800)='Estado por Colaborador'!$D$5),OR('Estado por Colaborador'!$D$6="Todos",'Detalle individual'!F800='Estado por Colaborador'!$D$6)),IF('Detalle individual'!F800="Completado",30000000,IF('Detalle individual'!F800="Pendiente",0,15000000))+COUNTIF('Detalle individual'!$C$5:$C$1000,"&lt;"&amp;'Detalle individual'!C800)*10000+ROW(),""))</f>
        <v/>
      </c>
      <c r="AB800" t="str">
        <f>IF('Detalle individual'!C800="","",IF(COUNTIF('Detalle individual'!$C$5:C800,'Detalle individual'!C800)=1,COUNTIF('Detalle individual'!$C$5:$C$1000,"&lt;"&amp;'Detalle individual'!C800),""))</f>
        <v/>
      </c>
      <c r="AC800" t="str">
        <f>IF('Detalle individual'!D800="","",IF(COUNTIF('Detalle individual'!$D$5:D800,'Detalle individual'!D800)=1,COUNTIF('Detalle individual'!$D$5:$D$1000,"&lt;"&amp;'Detalle individual'!D800),""))</f>
        <v/>
      </c>
      <c r="AH800" t="str">
        <f>IF('Detalle individual'!F800="Pendiente",COUNTIF('Detalle individual'!$D$5:$D$1000,"&lt;"&amp;'Detalle individual'!D800)*1000000+COUNTIF('Detalle individual'!$C$5:$C$1000,"&lt;"&amp;'Detalle individual'!C800)*1000+COUNTIF('Detalle individual'!$B$5:$B$1000,"&lt;"&amp;'Detalle individual'!B800)+ROW()/10000,"")</f>
        <v/>
      </c>
      <c r="AI800" t="str">
        <f>IF('Detalle individual'!F800="Completado",COUNTIF('Detalle individual'!$D$5:$D$1000,"&lt;"&amp;'Detalle individual'!D800)*1000000+COUNTIF('Detalle individual'!$C$5:$C$1000,"&lt;"&amp;'Detalle individual'!C800)*1000+COUNTIF('Detalle individual'!$B$5:$B$1000,"&lt;"&amp;'Detalle individual'!B800)+ROW()/10000,"")</f>
        <v/>
      </c>
      <c r="AJ800" t="str">
        <f>IF(AND('Detalle individual'!F800&lt;&gt;"",'Detalle individual'!F800&lt;&gt;"Completado",'Detalle individual'!F800&lt;&gt;"Pendiente"),COUNTIF('Detalle individual'!$D$5:$D$1000,"&lt;"&amp;'Detalle individual'!D800)*1000000+COUNTIF('Detalle individual'!$C$5:$C$1000,"&lt;"&amp;'Detalle individual'!C800)*1000+COUNTIF('Detalle individual'!$B$5:$B$1000,"&lt;"&amp;'Detalle individual'!B800)+ROW()/10000,"")</f>
        <v/>
      </c>
      <c r="AK800" t="str">
        <f>IF(OR('Base Exámenes'!C800="",'Base Exámenes'!D800=""),"",IF(COUNTIF('Base Exámenes'!$C$5:C800,'Base Exámenes'!C800)=1,'Base Exámenes'!D800+ROW()/1000000000,""))</f>
        <v/>
      </c>
      <c r="AL800" t="str">
        <f>IF(OR('Base Exámenes'!C800="",'Base Exámenes'!E800=""),"",IF(COUNTIF('Base Exámenes'!$C$5:C800,'Base Exámenes'!C800)=1,'Base Exámenes'!E800+ROW()/1000000000,""))</f>
        <v/>
      </c>
      <c r="AM800" t="str">
        <f>IF(OR('Base Exámenes'!C800="",'Base Exámenes'!G800=""),"",IF(ROW()-4=MATCH('Base Exámenes'!C800&amp;"|"&amp;_xlfn.MAXIFS('Base Exámenes'!$G$5:$G$1000,'Base Exámenes'!$C$5:$C$1000,'Base Exámenes'!C800),'Base Exámenes'!$I$5:$I$1000,0),'Base Exámenes'!G800*1000000+(-1)*'Base Exámenes'!D800,""))</f>
        <v/>
      </c>
      <c r="AQ800" t="str">
        <f>IF('Base Exámenes'!C800="","",IF(COUNTIF('Base Exámenes'!$C$5:$C$1000,'Base Exámenes'!C800)&lt;2,"",MATCH('Base Exámenes'!C800,'Base Exámenes'!$C$5:$C$1000,0)*10000+ROW()))</f>
        <v/>
      </c>
    </row>
    <row r="801">
      <c r="Z801" t="str">
        <f>IF('Detalle individual'!A801="","",IF(AND(OR('Estado por Colaborador'!$D$4="Todas las gerencias",'Detalle individual'!D801='Estado por Colaborador'!$D$4),OR('Estado por Colaborador'!$D$5="Todos los departamentos",TRIM('Detalle individual'!C801)='Estado por Colaborador'!$D$5),OR('Estado por Colaborador'!$D$6="Todos",'Detalle individual'!F801='Estado por Colaborador'!$D$6)),IF('Detalle individual'!F801="Completado",30000000,IF('Detalle individual'!F801="Pendiente",0,15000000))+COUNTIF('Detalle individual'!$C$5:$C$1000,"&lt;"&amp;'Detalle individual'!C801)*10000+ROW(),""))</f>
        <v/>
      </c>
      <c r="AB801" t="str">
        <f>IF('Detalle individual'!C801="","",IF(COUNTIF('Detalle individual'!$C$5:C801,'Detalle individual'!C801)=1,COUNTIF('Detalle individual'!$C$5:$C$1000,"&lt;"&amp;'Detalle individual'!C801),""))</f>
        <v/>
      </c>
      <c r="AC801" t="str">
        <f>IF('Detalle individual'!D801="","",IF(COUNTIF('Detalle individual'!$D$5:D801,'Detalle individual'!D801)=1,COUNTIF('Detalle individual'!$D$5:$D$1000,"&lt;"&amp;'Detalle individual'!D801),""))</f>
        <v/>
      </c>
      <c r="AH801" t="str">
        <f>IF('Detalle individual'!F801="Pendiente",COUNTIF('Detalle individual'!$D$5:$D$1000,"&lt;"&amp;'Detalle individual'!D801)*1000000+COUNTIF('Detalle individual'!$C$5:$C$1000,"&lt;"&amp;'Detalle individual'!C801)*1000+COUNTIF('Detalle individual'!$B$5:$B$1000,"&lt;"&amp;'Detalle individual'!B801)+ROW()/10000,"")</f>
        <v/>
      </c>
      <c r="AI801" t="str">
        <f>IF('Detalle individual'!F801="Completado",COUNTIF('Detalle individual'!$D$5:$D$1000,"&lt;"&amp;'Detalle individual'!D801)*1000000+COUNTIF('Detalle individual'!$C$5:$C$1000,"&lt;"&amp;'Detalle individual'!C801)*1000+COUNTIF('Detalle individual'!$B$5:$B$1000,"&lt;"&amp;'Detalle individual'!B801)+ROW()/10000,"")</f>
        <v/>
      </c>
      <c r="AJ801" t="str">
        <f>IF(AND('Detalle individual'!F801&lt;&gt;"",'Detalle individual'!F801&lt;&gt;"Completado",'Detalle individual'!F801&lt;&gt;"Pendiente"),COUNTIF('Detalle individual'!$D$5:$D$1000,"&lt;"&amp;'Detalle individual'!D801)*1000000+COUNTIF('Detalle individual'!$C$5:$C$1000,"&lt;"&amp;'Detalle individual'!C801)*1000+COUNTIF('Detalle individual'!$B$5:$B$1000,"&lt;"&amp;'Detalle individual'!B801)+ROW()/10000,"")</f>
        <v/>
      </c>
      <c r="AK801" t="str">
        <f>IF(OR('Base Exámenes'!C801="",'Base Exámenes'!D801=""),"",IF(COUNTIF('Base Exámenes'!$C$5:C801,'Base Exámenes'!C801)=1,'Base Exámenes'!D801+ROW()/1000000000,""))</f>
        <v/>
      </c>
      <c r="AL801" t="str">
        <f>IF(OR('Base Exámenes'!C801="",'Base Exámenes'!E801=""),"",IF(COUNTIF('Base Exámenes'!$C$5:C801,'Base Exámenes'!C801)=1,'Base Exámenes'!E801+ROW()/1000000000,""))</f>
        <v/>
      </c>
      <c r="AM801" t="str">
        <f>IF(OR('Base Exámenes'!C801="",'Base Exámenes'!G801=""),"",IF(ROW()-4=MATCH('Base Exámenes'!C801&amp;"|"&amp;_xlfn.MAXIFS('Base Exámenes'!$G$5:$G$1000,'Base Exámenes'!$C$5:$C$1000,'Base Exámenes'!C801),'Base Exámenes'!$I$5:$I$1000,0),'Base Exámenes'!G801*1000000+(-1)*'Base Exámenes'!D801,""))</f>
        <v/>
      </c>
      <c r="AQ801" t="str">
        <f>IF('Base Exámenes'!C801="","",IF(COUNTIF('Base Exámenes'!$C$5:$C$1000,'Base Exámenes'!C801)&lt;2,"",MATCH('Base Exámenes'!C801,'Base Exámenes'!$C$5:$C$1000,0)*10000+ROW()))</f>
        <v/>
      </c>
    </row>
    <row r="802">
      <c r="Z802" t="str">
        <f>IF('Detalle individual'!A802="","",IF(AND(OR('Estado por Colaborador'!$D$4="Todas las gerencias",'Detalle individual'!D802='Estado por Colaborador'!$D$4),OR('Estado por Colaborador'!$D$5="Todos los departamentos",TRIM('Detalle individual'!C802)='Estado por Colaborador'!$D$5),OR('Estado por Colaborador'!$D$6="Todos",'Detalle individual'!F802='Estado por Colaborador'!$D$6)),IF('Detalle individual'!F802="Completado",30000000,IF('Detalle individual'!F802="Pendiente",0,15000000))+COUNTIF('Detalle individual'!$C$5:$C$1000,"&lt;"&amp;'Detalle individual'!C802)*10000+ROW(),""))</f>
        <v/>
      </c>
      <c r="AB802" t="str">
        <f>IF('Detalle individual'!C802="","",IF(COUNTIF('Detalle individual'!$C$5:C802,'Detalle individual'!C802)=1,COUNTIF('Detalle individual'!$C$5:$C$1000,"&lt;"&amp;'Detalle individual'!C802),""))</f>
        <v/>
      </c>
      <c r="AC802" t="str">
        <f>IF('Detalle individual'!D802="","",IF(COUNTIF('Detalle individual'!$D$5:D802,'Detalle individual'!D802)=1,COUNTIF('Detalle individual'!$D$5:$D$1000,"&lt;"&amp;'Detalle individual'!D802),""))</f>
        <v/>
      </c>
      <c r="AH802" t="str">
        <f>IF('Detalle individual'!F802="Pendiente",COUNTIF('Detalle individual'!$D$5:$D$1000,"&lt;"&amp;'Detalle individual'!D802)*1000000+COUNTIF('Detalle individual'!$C$5:$C$1000,"&lt;"&amp;'Detalle individual'!C802)*1000+COUNTIF('Detalle individual'!$B$5:$B$1000,"&lt;"&amp;'Detalle individual'!B802)+ROW()/10000,"")</f>
        <v/>
      </c>
      <c r="AI802" t="str">
        <f>IF('Detalle individual'!F802="Completado",COUNTIF('Detalle individual'!$D$5:$D$1000,"&lt;"&amp;'Detalle individual'!D802)*1000000+COUNTIF('Detalle individual'!$C$5:$C$1000,"&lt;"&amp;'Detalle individual'!C802)*1000+COUNTIF('Detalle individual'!$B$5:$B$1000,"&lt;"&amp;'Detalle individual'!B802)+ROW()/10000,"")</f>
        <v/>
      </c>
      <c r="AJ802" t="str">
        <f>IF(AND('Detalle individual'!F802&lt;&gt;"",'Detalle individual'!F802&lt;&gt;"Completado",'Detalle individual'!F802&lt;&gt;"Pendiente"),COUNTIF('Detalle individual'!$D$5:$D$1000,"&lt;"&amp;'Detalle individual'!D802)*1000000+COUNTIF('Detalle individual'!$C$5:$C$1000,"&lt;"&amp;'Detalle individual'!C802)*1000+COUNTIF('Detalle individual'!$B$5:$B$1000,"&lt;"&amp;'Detalle individual'!B802)+ROW()/10000,"")</f>
        <v/>
      </c>
      <c r="AK802" t="str">
        <f>IF(OR('Base Exámenes'!C802="",'Base Exámenes'!D802=""),"",IF(COUNTIF('Base Exámenes'!$C$5:C802,'Base Exámenes'!C802)=1,'Base Exámenes'!D802+ROW()/1000000000,""))</f>
        <v/>
      </c>
      <c r="AL802" t="str">
        <f>IF(OR('Base Exámenes'!C802="",'Base Exámenes'!E802=""),"",IF(COUNTIF('Base Exámenes'!$C$5:C802,'Base Exámenes'!C802)=1,'Base Exámenes'!E802+ROW()/1000000000,""))</f>
        <v/>
      </c>
      <c r="AM802" t="str">
        <f>IF(OR('Base Exámenes'!C802="",'Base Exámenes'!G802=""),"",IF(ROW()-4=MATCH('Base Exámenes'!C802&amp;"|"&amp;_xlfn.MAXIFS('Base Exámenes'!$G$5:$G$1000,'Base Exámenes'!$C$5:$C$1000,'Base Exámenes'!C802),'Base Exámenes'!$I$5:$I$1000,0),'Base Exámenes'!G802*1000000+(-1)*'Base Exámenes'!D802,""))</f>
        <v/>
      </c>
      <c r="AQ802" t="str">
        <f>IF('Base Exámenes'!C802="","",IF(COUNTIF('Base Exámenes'!$C$5:$C$1000,'Base Exámenes'!C802)&lt;2,"",MATCH('Base Exámenes'!C802,'Base Exámenes'!$C$5:$C$1000,0)*10000+ROW()))</f>
        <v/>
      </c>
    </row>
    <row r="803">
      <c r="Z803" t="str">
        <f>IF('Detalle individual'!A803="","",IF(AND(OR('Estado por Colaborador'!$D$4="Todas las gerencias",'Detalle individual'!D803='Estado por Colaborador'!$D$4),OR('Estado por Colaborador'!$D$5="Todos los departamentos",TRIM('Detalle individual'!C803)='Estado por Colaborador'!$D$5),OR('Estado por Colaborador'!$D$6="Todos",'Detalle individual'!F803='Estado por Colaborador'!$D$6)),IF('Detalle individual'!F803="Completado",30000000,IF('Detalle individual'!F803="Pendiente",0,15000000))+COUNTIF('Detalle individual'!$C$5:$C$1000,"&lt;"&amp;'Detalle individual'!C803)*10000+ROW(),""))</f>
        <v/>
      </c>
      <c r="AB803" t="str">
        <f>IF('Detalle individual'!C803="","",IF(COUNTIF('Detalle individual'!$C$5:C803,'Detalle individual'!C803)=1,COUNTIF('Detalle individual'!$C$5:$C$1000,"&lt;"&amp;'Detalle individual'!C803),""))</f>
        <v/>
      </c>
      <c r="AC803" t="str">
        <f>IF('Detalle individual'!D803="","",IF(COUNTIF('Detalle individual'!$D$5:D803,'Detalle individual'!D803)=1,COUNTIF('Detalle individual'!$D$5:$D$1000,"&lt;"&amp;'Detalle individual'!D803),""))</f>
        <v/>
      </c>
      <c r="AH803" t="str">
        <f>IF('Detalle individual'!F803="Pendiente",COUNTIF('Detalle individual'!$D$5:$D$1000,"&lt;"&amp;'Detalle individual'!D803)*1000000+COUNTIF('Detalle individual'!$C$5:$C$1000,"&lt;"&amp;'Detalle individual'!C803)*1000+COUNTIF('Detalle individual'!$B$5:$B$1000,"&lt;"&amp;'Detalle individual'!B803)+ROW()/10000,"")</f>
        <v/>
      </c>
      <c r="AI803" t="str">
        <f>IF('Detalle individual'!F803="Completado",COUNTIF('Detalle individual'!$D$5:$D$1000,"&lt;"&amp;'Detalle individual'!D803)*1000000+COUNTIF('Detalle individual'!$C$5:$C$1000,"&lt;"&amp;'Detalle individual'!C803)*1000+COUNTIF('Detalle individual'!$B$5:$B$1000,"&lt;"&amp;'Detalle individual'!B803)+ROW()/10000,"")</f>
        <v/>
      </c>
      <c r="AJ803" t="str">
        <f>IF(AND('Detalle individual'!F803&lt;&gt;"",'Detalle individual'!F803&lt;&gt;"Completado",'Detalle individual'!F803&lt;&gt;"Pendiente"),COUNTIF('Detalle individual'!$D$5:$D$1000,"&lt;"&amp;'Detalle individual'!D803)*1000000+COUNTIF('Detalle individual'!$C$5:$C$1000,"&lt;"&amp;'Detalle individual'!C803)*1000+COUNTIF('Detalle individual'!$B$5:$B$1000,"&lt;"&amp;'Detalle individual'!B803)+ROW()/10000,"")</f>
        <v/>
      </c>
      <c r="AK803" t="str">
        <f>IF(OR('Base Exámenes'!C803="",'Base Exámenes'!D803=""),"",IF(COUNTIF('Base Exámenes'!$C$5:C803,'Base Exámenes'!C803)=1,'Base Exámenes'!D803+ROW()/1000000000,""))</f>
        <v/>
      </c>
      <c r="AL803" t="str">
        <f>IF(OR('Base Exámenes'!C803="",'Base Exámenes'!E803=""),"",IF(COUNTIF('Base Exámenes'!$C$5:C803,'Base Exámenes'!C803)=1,'Base Exámenes'!E803+ROW()/1000000000,""))</f>
        <v/>
      </c>
      <c r="AM803" t="str">
        <f>IF(OR('Base Exámenes'!C803="",'Base Exámenes'!G803=""),"",IF(ROW()-4=MATCH('Base Exámenes'!C803&amp;"|"&amp;_xlfn.MAXIFS('Base Exámenes'!$G$5:$G$1000,'Base Exámenes'!$C$5:$C$1000,'Base Exámenes'!C803),'Base Exámenes'!$I$5:$I$1000,0),'Base Exámenes'!G803*1000000+(-1)*'Base Exámenes'!D803,""))</f>
        <v/>
      </c>
      <c r="AQ803" t="str">
        <f>IF('Base Exámenes'!C803="","",IF(COUNTIF('Base Exámenes'!$C$5:$C$1000,'Base Exámenes'!C803)&lt;2,"",MATCH('Base Exámenes'!C803,'Base Exámenes'!$C$5:$C$1000,0)*10000+ROW()))</f>
        <v/>
      </c>
    </row>
    <row r="804">
      <c r="Z804" t="str">
        <f>IF('Detalle individual'!A804="","",IF(AND(OR('Estado por Colaborador'!$D$4="Todas las gerencias",'Detalle individual'!D804='Estado por Colaborador'!$D$4),OR('Estado por Colaborador'!$D$5="Todos los departamentos",TRIM('Detalle individual'!C804)='Estado por Colaborador'!$D$5),OR('Estado por Colaborador'!$D$6="Todos",'Detalle individual'!F804='Estado por Colaborador'!$D$6)),IF('Detalle individual'!F804="Completado",30000000,IF('Detalle individual'!F804="Pendiente",0,15000000))+COUNTIF('Detalle individual'!$C$5:$C$1000,"&lt;"&amp;'Detalle individual'!C804)*10000+ROW(),""))</f>
        <v/>
      </c>
      <c r="AB804" t="str">
        <f>IF('Detalle individual'!C804="","",IF(COUNTIF('Detalle individual'!$C$5:C804,'Detalle individual'!C804)=1,COUNTIF('Detalle individual'!$C$5:$C$1000,"&lt;"&amp;'Detalle individual'!C804),""))</f>
        <v/>
      </c>
      <c r="AC804" t="str">
        <f>IF('Detalle individual'!D804="","",IF(COUNTIF('Detalle individual'!$D$5:D804,'Detalle individual'!D804)=1,COUNTIF('Detalle individual'!$D$5:$D$1000,"&lt;"&amp;'Detalle individual'!D804),""))</f>
        <v/>
      </c>
      <c r="AH804" t="str">
        <f>IF('Detalle individual'!F804="Pendiente",COUNTIF('Detalle individual'!$D$5:$D$1000,"&lt;"&amp;'Detalle individual'!D804)*1000000+COUNTIF('Detalle individual'!$C$5:$C$1000,"&lt;"&amp;'Detalle individual'!C804)*1000+COUNTIF('Detalle individual'!$B$5:$B$1000,"&lt;"&amp;'Detalle individual'!B804)+ROW()/10000,"")</f>
        <v/>
      </c>
      <c r="AI804" t="str">
        <f>IF('Detalle individual'!F804="Completado",COUNTIF('Detalle individual'!$D$5:$D$1000,"&lt;"&amp;'Detalle individual'!D804)*1000000+COUNTIF('Detalle individual'!$C$5:$C$1000,"&lt;"&amp;'Detalle individual'!C804)*1000+COUNTIF('Detalle individual'!$B$5:$B$1000,"&lt;"&amp;'Detalle individual'!B804)+ROW()/10000,"")</f>
        <v/>
      </c>
      <c r="AJ804" t="str">
        <f>IF(AND('Detalle individual'!F804&lt;&gt;"",'Detalle individual'!F804&lt;&gt;"Completado",'Detalle individual'!F804&lt;&gt;"Pendiente"),COUNTIF('Detalle individual'!$D$5:$D$1000,"&lt;"&amp;'Detalle individual'!D804)*1000000+COUNTIF('Detalle individual'!$C$5:$C$1000,"&lt;"&amp;'Detalle individual'!C804)*1000+COUNTIF('Detalle individual'!$B$5:$B$1000,"&lt;"&amp;'Detalle individual'!B804)+ROW()/10000,"")</f>
        <v/>
      </c>
      <c r="AK804" t="str">
        <f>IF(OR('Base Exámenes'!C804="",'Base Exámenes'!D804=""),"",IF(COUNTIF('Base Exámenes'!$C$5:C804,'Base Exámenes'!C804)=1,'Base Exámenes'!D804+ROW()/1000000000,""))</f>
        <v/>
      </c>
      <c r="AL804" t="str">
        <f>IF(OR('Base Exámenes'!C804="",'Base Exámenes'!E804=""),"",IF(COUNTIF('Base Exámenes'!$C$5:C804,'Base Exámenes'!C804)=1,'Base Exámenes'!E804+ROW()/1000000000,""))</f>
        <v/>
      </c>
      <c r="AM804" t="str">
        <f>IF(OR('Base Exámenes'!C804="",'Base Exámenes'!G804=""),"",IF(ROW()-4=MATCH('Base Exámenes'!C804&amp;"|"&amp;_xlfn.MAXIFS('Base Exámenes'!$G$5:$G$1000,'Base Exámenes'!$C$5:$C$1000,'Base Exámenes'!C804),'Base Exámenes'!$I$5:$I$1000,0),'Base Exámenes'!G804*1000000+(-1)*'Base Exámenes'!D804,""))</f>
        <v/>
      </c>
      <c r="AQ804" t="str">
        <f>IF('Base Exámenes'!C804="","",IF(COUNTIF('Base Exámenes'!$C$5:$C$1000,'Base Exámenes'!C804)&lt;2,"",MATCH('Base Exámenes'!C804,'Base Exámenes'!$C$5:$C$1000,0)*10000+ROW()))</f>
        <v/>
      </c>
    </row>
    <row r="805">
      <c r="Z805" t="str">
        <f>IF('Detalle individual'!A805="","",IF(AND(OR('Estado por Colaborador'!$D$4="Todas las gerencias",'Detalle individual'!D805='Estado por Colaborador'!$D$4),OR('Estado por Colaborador'!$D$5="Todos los departamentos",TRIM('Detalle individual'!C805)='Estado por Colaborador'!$D$5),OR('Estado por Colaborador'!$D$6="Todos",'Detalle individual'!F805='Estado por Colaborador'!$D$6)),IF('Detalle individual'!F805="Completado",30000000,IF('Detalle individual'!F805="Pendiente",0,15000000))+COUNTIF('Detalle individual'!$C$5:$C$1000,"&lt;"&amp;'Detalle individual'!C805)*10000+ROW(),""))</f>
        <v/>
      </c>
      <c r="AB805" t="str">
        <f>IF('Detalle individual'!C805="","",IF(COUNTIF('Detalle individual'!$C$5:C805,'Detalle individual'!C805)=1,COUNTIF('Detalle individual'!$C$5:$C$1000,"&lt;"&amp;'Detalle individual'!C805),""))</f>
        <v/>
      </c>
      <c r="AC805" t="str">
        <f>IF('Detalle individual'!D805="","",IF(COUNTIF('Detalle individual'!$D$5:D805,'Detalle individual'!D805)=1,COUNTIF('Detalle individual'!$D$5:$D$1000,"&lt;"&amp;'Detalle individual'!D805),""))</f>
        <v/>
      </c>
      <c r="AH805" t="str">
        <f>IF('Detalle individual'!F805="Pendiente",COUNTIF('Detalle individual'!$D$5:$D$1000,"&lt;"&amp;'Detalle individual'!D805)*1000000+COUNTIF('Detalle individual'!$C$5:$C$1000,"&lt;"&amp;'Detalle individual'!C805)*1000+COUNTIF('Detalle individual'!$B$5:$B$1000,"&lt;"&amp;'Detalle individual'!B805)+ROW()/10000,"")</f>
        <v/>
      </c>
      <c r="AI805" t="str">
        <f>IF('Detalle individual'!F805="Completado",COUNTIF('Detalle individual'!$D$5:$D$1000,"&lt;"&amp;'Detalle individual'!D805)*1000000+COUNTIF('Detalle individual'!$C$5:$C$1000,"&lt;"&amp;'Detalle individual'!C805)*1000+COUNTIF('Detalle individual'!$B$5:$B$1000,"&lt;"&amp;'Detalle individual'!B805)+ROW()/10000,"")</f>
        <v/>
      </c>
      <c r="AJ805" t="str">
        <f>IF(AND('Detalle individual'!F805&lt;&gt;"",'Detalle individual'!F805&lt;&gt;"Completado",'Detalle individual'!F805&lt;&gt;"Pendiente"),COUNTIF('Detalle individual'!$D$5:$D$1000,"&lt;"&amp;'Detalle individual'!D805)*1000000+COUNTIF('Detalle individual'!$C$5:$C$1000,"&lt;"&amp;'Detalle individual'!C805)*1000+COUNTIF('Detalle individual'!$B$5:$B$1000,"&lt;"&amp;'Detalle individual'!B805)+ROW()/10000,"")</f>
        <v/>
      </c>
      <c r="AK805" t="str">
        <f>IF(OR('Base Exámenes'!C805="",'Base Exámenes'!D805=""),"",IF(COUNTIF('Base Exámenes'!$C$5:C805,'Base Exámenes'!C805)=1,'Base Exámenes'!D805+ROW()/1000000000,""))</f>
        <v/>
      </c>
      <c r="AL805" t="str">
        <f>IF(OR('Base Exámenes'!C805="",'Base Exámenes'!E805=""),"",IF(COUNTIF('Base Exámenes'!$C$5:C805,'Base Exámenes'!C805)=1,'Base Exámenes'!E805+ROW()/1000000000,""))</f>
        <v/>
      </c>
      <c r="AM805" t="str">
        <f>IF(OR('Base Exámenes'!C805="",'Base Exámenes'!G805=""),"",IF(ROW()-4=MATCH('Base Exámenes'!C805&amp;"|"&amp;_xlfn.MAXIFS('Base Exámenes'!$G$5:$G$1000,'Base Exámenes'!$C$5:$C$1000,'Base Exámenes'!C805),'Base Exámenes'!$I$5:$I$1000,0),'Base Exámenes'!G805*1000000+(-1)*'Base Exámenes'!D805,""))</f>
        <v/>
      </c>
      <c r="AQ805" t="str">
        <f>IF('Base Exámenes'!C805="","",IF(COUNTIF('Base Exámenes'!$C$5:$C$1000,'Base Exámenes'!C805)&lt;2,"",MATCH('Base Exámenes'!C805,'Base Exámenes'!$C$5:$C$1000,0)*10000+ROW()))</f>
        <v/>
      </c>
    </row>
    <row r="806">
      <c r="Z806" t="str">
        <f>IF('Detalle individual'!A806="","",IF(AND(OR('Estado por Colaborador'!$D$4="Todas las gerencias",'Detalle individual'!D806='Estado por Colaborador'!$D$4),OR('Estado por Colaborador'!$D$5="Todos los departamentos",TRIM('Detalle individual'!C806)='Estado por Colaborador'!$D$5),OR('Estado por Colaborador'!$D$6="Todos",'Detalle individual'!F806='Estado por Colaborador'!$D$6)),IF('Detalle individual'!F806="Completado",30000000,IF('Detalle individual'!F806="Pendiente",0,15000000))+COUNTIF('Detalle individual'!$C$5:$C$1000,"&lt;"&amp;'Detalle individual'!C806)*10000+ROW(),""))</f>
        <v/>
      </c>
      <c r="AB806" t="str">
        <f>IF('Detalle individual'!C806="","",IF(COUNTIF('Detalle individual'!$C$5:C806,'Detalle individual'!C806)=1,COUNTIF('Detalle individual'!$C$5:$C$1000,"&lt;"&amp;'Detalle individual'!C806),""))</f>
        <v/>
      </c>
      <c r="AC806" t="str">
        <f>IF('Detalle individual'!D806="","",IF(COUNTIF('Detalle individual'!$D$5:D806,'Detalle individual'!D806)=1,COUNTIF('Detalle individual'!$D$5:$D$1000,"&lt;"&amp;'Detalle individual'!D806),""))</f>
        <v/>
      </c>
      <c r="AH806" t="str">
        <f>IF('Detalle individual'!F806="Pendiente",COUNTIF('Detalle individual'!$D$5:$D$1000,"&lt;"&amp;'Detalle individual'!D806)*1000000+COUNTIF('Detalle individual'!$C$5:$C$1000,"&lt;"&amp;'Detalle individual'!C806)*1000+COUNTIF('Detalle individual'!$B$5:$B$1000,"&lt;"&amp;'Detalle individual'!B806)+ROW()/10000,"")</f>
        <v/>
      </c>
      <c r="AI806" t="str">
        <f>IF('Detalle individual'!F806="Completado",COUNTIF('Detalle individual'!$D$5:$D$1000,"&lt;"&amp;'Detalle individual'!D806)*1000000+COUNTIF('Detalle individual'!$C$5:$C$1000,"&lt;"&amp;'Detalle individual'!C806)*1000+COUNTIF('Detalle individual'!$B$5:$B$1000,"&lt;"&amp;'Detalle individual'!B806)+ROW()/10000,"")</f>
        <v/>
      </c>
      <c r="AJ806" t="str">
        <f>IF(AND('Detalle individual'!F806&lt;&gt;"",'Detalle individual'!F806&lt;&gt;"Completado",'Detalle individual'!F806&lt;&gt;"Pendiente"),COUNTIF('Detalle individual'!$D$5:$D$1000,"&lt;"&amp;'Detalle individual'!D806)*1000000+COUNTIF('Detalle individual'!$C$5:$C$1000,"&lt;"&amp;'Detalle individual'!C806)*1000+COUNTIF('Detalle individual'!$B$5:$B$1000,"&lt;"&amp;'Detalle individual'!B806)+ROW()/10000,"")</f>
        <v/>
      </c>
      <c r="AK806" t="str">
        <f>IF(OR('Base Exámenes'!C806="",'Base Exámenes'!D806=""),"",IF(COUNTIF('Base Exámenes'!$C$5:C806,'Base Exámenes'!C806)=1,'Base Exámenes'!D806+ROW()/1000000000,""))</f>
        <v/>
      </c>
      <c r="AL806" t="str">
        <f>IF(OR('Base Exámenes'!C806="",'Base Exámenes'!E806=""),"",IF(COUNTIF('Base Exámenes'!$C$5:C806,'Base Exámenes'!C806)=1,'Base Exámenes'!E806+ROW()/1000000000,""))</f>
        <v/>
      </c>
      <c r="AM806" t="str">
        <f>IF(OR('Base Exámenes'!C806="",'Base Exámenes'!G806=""),"",IF(ROW()-4=MATCH('Base Exámenes'!C806&amp;"|"&amp;_xlfn.MAXIFS('Base Exámenes'!$G$5:$G$1000,'Base Exámenes'!$C$5:$C$1000,'Base Exámenes'!C806),'Base Exámenes'!$I$5:$I$1000,0),'Base Exámenes'!G806*1000000+(-1)*'Base Exámenes'!D806,""))</f>
        <v/>
      </c>
      <c r="AQ806" t="str">
        <f>IF('Base Exámenes'!C806="","",IF(COUNTIF('Base Exámenes'!$C$5:$C$1000,'Base Exámenes'!C806)&lt;2,"",MATCH('Base Exámenes'!C806,'Base Exámenes'!$C$5:$C$1000,0)*10000+ROW()))</f>
        <v/>
      </c>
    </row>
    <row r="807">
      <c r="Z807" t="str">
        <f>IF('Detalle individual'!A807="","",IF(AND(OR('Estado por Colaborador'!$D$4="Todas las gerencias",'Detalle individual'!D807='Estado por Colaborador'!$D$4),OR('Estado por Colaborador'!$D$5="Todos los departamentos",TRIM('Detalle individual'!C807)='Estado por Colaborador'!$D$5),OR('Estado por Colaborador'!$D$6="Todos",'Detalle individual'!F807='Estado por Colaborador'!$D$6)),IF('Detalle individual'!F807="Completado",30000000,IF('Detalle individual'!F807="Pendiente",0,15000000))+COUNTIF('Detalle individual'!$C$5:$C$1000,"&lt;"&amp;'Detalle individual'!C807)*10000+ROW(),""))</f>
        <v/>
      </c>
      <c r="AB807" t="str">
        <f>IF('Detalle individual'!C807="","",IF(COUNTIF('Detalle individual'!$C$5:C807,'Detalle individual'!C807)=1,COUNTIF('Detalle individual'!$C$5:$C$1000,"&lt;"&amp;'Detalle individual'!C807),""))</f>
        <v/>
      </c>
      <c r="AC807" t="str">
        <f>IF('Detalle individual'!D807="","",IF(COUNTIF('Detalle individual'!$D$5:D807,'Detalle individual'!D807)=1,COUNTIF('Detalle individual'!$D$5:$D$1000,"&lt;"&amp;'Detalle individual'!D807),""))</f>
        <v/>
      </c>
      <c r="AH807" t="str">
        <f>IF('Detalle individual'!F807="Pendiente",COUNTIF('Detalle individual'!$D$5:$D$1000,"&lt;"&amp;'Detalle individual'!D807)*1000000+COUNTIF('Detalle individual'!$C$5:$C$1000,"&lt;"&amp;'Detalle individual'!C807)*1000+COUNTIF('Detalle individual'!$B$5:$B$1000,"&lt;"&amp;'Detalle individual'!B807)+ROW()/10000,"")</f>
        <v/>
      </c>
      <c r="AI807" t="str">
        <f>IF('Detalle individual'!F807="Completado",COUNTIF('Detalle individual'!$D$5:$D$1000,"&lt;"&amp;'Detalle individual'!D807)*1000000+COUNTIF('Detalle individual'!$C$5:$C$1000,"&lt;"&amp;'Detalle individual'!C807)*1000+COUNTIF('Detalle individual'!$B$5:$B$1000,"&lt;"&amp;'Detalle individual'!B807)+ROW()/10000,"")</f>
        <v/>
      </c>
      <c r="AJ807" t="str">
        <f>IF(AND('Detalle individual'!F807&lt;&gt;"",'Detalle individual'!F807&lt;&gt;"Completado",'Detalle individual'!F807&lt;&gt;"Pendiente"),COUNTIF('Detalle individual'!$D$5:$D$1000,"&lt;"&amp;'Detalle individual'!D807)*1000000+COUNTIF('Detalle individual'!$C$5:$C$1000,"&lt;"&amp;'Detalle individual'!C807)*1000+COUNTIF('Detalle individual'!$B$5:$B$1000,"&lt;"&amp;'Detalle individual'!B807)+ROW()/10000,"")</f>
        <v/>
      </c>
      <c r="AK807" t="str">
        <f>IF(OR('Base Exámenes'!C807="",'Base Exámenes'!D807=""),"",IF(COUNTIF('Base Exámenes'!$C$5:C807,'Base Exámenes'!C807)=1,'Base Exámenes'!D807+ROW()/1000000000,""))</f>
        <v/>
      </c>
      <c r="AL807" t="str">
        <f>IF(OR('Base Exámenes'!C807="",'Base Exámenes'!E807=""),"",IF(COUNTIF('Base Exámenes'!$C$5:C807,'Base Exámenes'!C807)=1,'Base Exámenes'!E807+ROW()/1000000000,""))</f>
        <v/>
      </c>
      <c r="AM807" t="str">
        <f>IF(OR('Base Exámenes'!C807="",'Base Exámenes'!G807=""),"",IF(ROW()-4=MATCH('Base Exámenes'!C807&amp;"|"&amp;_xlfn.MAXIFS('Base Exámenes'!$G$5:$G$1000,'Base Exámenes'!$C$5:$C$1000,'Base Exámenes'!C807),'Base Exámenes'!$I$5:$I$1000,0),'Base Exámenes'!G807*1000000+(-1)*'Base Exámenes'!D807,""))</f>
        <v/>
      </c>
      <c r="AQ807" t="str">
        <f>IF('Base Exámenes'!C807="","",IF(COUNTIF('Base Exámenes'!$C$5:$C$1000,'Base Exámenes'!C807)&lt;2,"",MATCH('Base Exámenes'!C807,'Base Exámenes'!$C$5:$C$1000,0)*10000+ROW()))</f>
        <v/>
      </c>
    </row>
    <row r="808">
      <c r="Z808" t="str">
        <f>IF('Detalle individual'!A808="","",IF(AND(OR('Estado por Colaborador'!$D$4="Todas las gerencias",'Detalle individual'!D808='Estado por Colaborador'!$D$4),OR('Estado por Colaborador'!$D$5="Todos los departamentos",TRIM('Detalle individual'!C808)='Estado por Colaborador'!$D$5),OR('Estado por Colaborador'!$D$6="Todos",'Detalle individual'!F808='Estado por Colaborador'!$D$6)),IF('Detalle individual'!F808="Completado",30000000,IF('Detalle individual'!F808="Pendiente",0,15000000))+COUNTIF('Detalle individual'!$C$5:$C$1000,"&lt;"&amp;'Detalle individual'!C808)*10000+ROW(),""))</f>
        <v/>
      </c>
      <c r="AB808" t="str">
        <f>IF('Detalle individual'!C808="","",IF(COUNTIF('Detalle individual'!$C$5:C808,'Detalle individual'!C808)=1,COUNTIF('Detalle individual'!$C$5:$C$1000,"&lt;"&amp;'Detalle individual'!C808),""))</f>
        <v/>
      </c>
      <c r="AC808" t="str">
        <f>IF('Detalle individual'!D808="","",IF(COUNTIF('Detalle individual'!$D$5:D808,'Detalle individual'!D808)=1,COUNTIF('Detalle individual'!$D$5:$D$1000,"&lt;"&amp;'Detalle individual'!D808),""))</f>
        <v/>
      </c>
      <c r="AH808" t="str">
        <f>IF('Detalle individual'!F808="Pendiente",COUNTIF('Detalle individual'!$D$5:$D$1000,"&lt;"&amp;'Detalle individual'!D808)*1000000+COUNTIF('Detalle individual'!$C$5:$C$1000,"&lt;"&amp;'Detalle individual'!C808)*1000+COUNTIF('Detalle individual'!$B$5:$B$1000,"&lt;"&amp;'Detalle individual'!B808)+ROW()/10000,"")</f>
        <v/>
      </c>
      <c r="AI808" t="str">
        <f>IF('Detalle individual'!F808="Completado",COUNTIF('Detalle individual'!$D$5:$D$1000,"&lt;"&amp;'Detalle individual'!D808)*1000000+COUNTIF('Detalle individual'!$C$5:$C$1000,"&lt;"&amp;'Detalle individual'!C808)*1000+COUNTIF('Detalle individual'!$B$5:$B$1000,"&lt;"&amp;'Detalle individual'!B808)+ROW()/10000,"")</f>
        <v/>
      </c>
      <c r="AJ808" t="str">
        <f>IF(AND('Detalle individual'!F808&lt;&gt;"",'Detalle individual'!F808&lt;&gt;"Completado",'Detalle individual'!F808&lt;&gt;"Pendiente"),COUNTIF('Detalle individual'!$D$5:$D$1000,"&lt;"&amp;'Detalle individual'!D808)*1000000+COUNTIF('Detalle individual'!$C$5:$C$1000,"&lt;"&amp;'Detalle individual'!C808)*1000+COUNTIF('Detalle individual'!$B$5:$B$1000,"&lt;"&amp;'Detalle individual'!B808)+ROW()/10000,"")</f>
        <v/>
      </c>
      <c r="AK808" t="str">
        <f>IF(OR('Base Exámenes'!C808="",'Base Exámenes'!D808=""),"",IF(COUNTIF('Base Exámenes'!$C$5:C808,'Base Exámenes'!C808)=1,'Base Exámenes'!D808+ROW()/1000000000,""))</f>
        <v/>
      </c>
      <c r="AL808" t="str">
        <f>IF(OR('Base Exámenes'!C808="",'Base Exámenes'!E808=""),"",IF(COUNTIF('Base Exámenes'!$C$5:C808,'Base Exámenes'!C808)=1,'Base Exámenes'!E808+ROW()/1000000000,""))</f>
        <v/>
      </c>
      <c r="AM808" t="str">
        <f>IF(OR('Base Exámenes'!C808="",'Base Exámenes'!G808=""),"",IF(ROW()-4=MATCH('Base Exámenes'!C808&amp;"|"&amp;_xlfn.MAXIFS('Base Exámenes'!$G$5:$G$1000,'Base Exámenes'!$C$5:$C$1000,'Base Exámenes'!C808),'Base Exámenes'!$I$5:$I$1000,0),'Base Exámenes'!G808*1000000+(-1)*'Base Exámenes'!D808,""))</f>
        <v/>
      </c>
      <c r="AQ808" t="str">
        <f>IF('Base Exámenes'!C808="","",IF(COUNTIF('Base Exámenes'!$C$5:$C$1000,'Base Exámenes'!C808)&lt;2,"",MATCH('Base Exámenes'!C808,'Base Exámenes'!$C$5:$C$1000,0)*10000+ROW()))</f>
        <v/>
      </c>
    </row>
    <row r="809">
      <c r="Z809" t="str">
        <f>IF('Detalle individual'!A809="","",IF(AND(OR('Estado por Colaborador'!$D$4="Todas las gerencias",'Detalle individual'!D809='Estado por Colaborador'!$D$4),OR('Estado por Colaborador'!$D$5="Todos los departamentos",TRIM('Detalle individual'!C809)='Estado por Colaborador'!$D$5),OR('Estado por Colaborador'!$D$6="Todos",'Detalle individual'!F809='Estado por Colaborador'!$D$6)),IF('Detalle individual'!F809="Completado",30000000,IF('Detalle individual'!F809="Pendiente",0,15000000))+COUNTIF('Detalle individual'!$C$5:$C$1000,"&lt;"&amp;'Detalle individual'!C809)*10000+ROW(),""))</f>
        <v/>
      </c>
      <c r="AB809" t="str">
        <f>IF('Detalle individual'!C809="","",IF(COUNTIF('Detalle individual'!$C$5:C809,'Detalle individual'!C809)=1,COUNTIF('Detalle individual'!$C$5:$C$1000,"&lt;"&amp;'Detalle individual'!C809),""))</f>
        <v/>
      </c>
      <c r="AC809" t="str">
        <f>IF('Detalle individual'!D809="","",IF(COUNTIF('Detalle individual'!$D$5:D809,'Detalle individual'!D809)=1,COUNTIF('Detalle individual'!$D$5:$D$1000,"&lt;"&amp;'Detalle individual'!D809),""))</f>
        <v/>
      </c>
      <c r="AH809" t="str">
        <f>IF('Detalle individual'!F809="Pendiente",COUNTIF('Detalle individual'!$D$5:$D$1000,"&lt;"&amp;'Detalle individual'!D809)*1000000+COUNTIF('Detalle individual'!$C$5:$C$1000,"&lt;"&amp;'Detalle individual'!C809)*1000+COUNTIF('Detalle individual'!$B$5:$B$1000,"&lt;"&amp;'Detalle individual'!B809)+ROW()/10000,"")</f>
        <v/>
      </c>
      <c r="AI809" t="str">
        <f>IF('Detalle individual'!F809="Completado",COUNTIF('Detalle individual'!$D$5:$D$1000,"&lt;"&amp;'Detalle individual'!D809)*1000000+COUNTIF('Detalle individual'!$C$5:$C$1000,"&lt;"&amp;'Detalle individual'!C809)*1000+COUNTIF('Detalle individual'!$B$5:$B$1000,"&lt;"&amp;'Detalle individual'!B809)+ROW()/10000,"")</f>
        <v/>
      </c>
      <c r="AJ809" t="str">
        <f>IF(AND('Detalle individual'!F809&lt;&gt;"",'Detalle individual'!F809&lt;&gt;"Completado",'Detalle individual'!F809&lt;&gt;"Pendiente"),COUNTIF('Detalle individual'!$D$5:$D$1000,"&lt;"&amp;'Detalle individual'!D809)*1000000+COUNTIF('Detalle individual'!$C$5:$C$1000,"&lt;"&amp;'Detalle individual'!C809)*1000+COUNTIF('Detalle individual'!$B$5:$B$1000,"&lt;"&amp;'Detalle individual'!B809)+ROW()/10000,"")</f>
        <v/>
      </c>
      <c r="AK809" t="str">
        <f>IF(OR('Base Exámenes'!C809="",'Base Exámenes'!D809=""),"",IF(COUNTIF('Base Exámenes'!$C$5:C809,'Base Exámenes'!C809)=1,'Base Exámenes'!D809+ROW()/1000000000,""))</f>
        <v/>
      </c>
      <c r="AL809" t="str">
        <f>IF(OR('Base Exámenes'!C809="",'Base Exámenes'!E809=""),"",IF(COUNTIF('Base Exámenes'!$C$5:C809,'Base Exámenes'!C809)=1,'Base Exámenes'!E809+ROW()/1000000000,""))</f>
        <v/>
      </c>
      <c r="AM809" t="str">
        <f>IF(OR('Base Exámenes'!C809="",'Base Exámenes'!G809=""),"",IF(ROW()-4=MATCH('Base Exámenes'!C809&amp;"|"&amp;_xlfn.MAXIFS('Base Exámenes'!$G$5:$G$1000,'Base Exámenes'!$C$5:$C$1000,'Base Exámenes'!C809),'Base Exámenes'!$I$5:$I$1000,0),'Base Exámenes'!G809*1000000+(-1)*'Base Exámenes'!D809,""))</f>
        <v/>
      </c>
      <c r="AQ809" t="str">
        <f>IF('Base Exámenes'!C809="","",IF(COUNTIF('Base Exámenes'!$C$5:$C$1000,'Base Exámenes'!C809)&lt;2,"",MATCH('Base Exámenes'!C809,'Base Exámenes'!$C$5:$C$1000,0)*10000+ROW()))</f>
        <v/>
      </c>
    </row>
    <row r="810">
      <c r="Z810" t="str">
        <f>IF('Detalle individual'!A810="","",IF(AND(OR('Estado por Colaborador'!$D$4="Todas las gerencias",'Detalle individual'!D810='Estado por Colaborador'!$D$4),OR('Estado por Colaborador'!$D$5="Todos los departamentos",TRIM('Detalle individual'!C810)='Estado por Colaborador'!$D$5),OR('Estado por Colaborador'!$D$6="Todos",'Detalle individual'!F810='Estado por Colaborador'!$D$6)),IF('Detalle individual'!F810="Completado",30000000,IF('Detalle individual'!F810="Pendiente",0,15000000))+COUNTIF('Detalle individual'!$C$5:$C$1000,"&lt;"&amp;'Detalle individual'!C810)*10000+ROW(),""))</f>
        <v/>
      </c>
      <c r="AB810" t="str">
        <f>IF('Detalle individual'!C810="","",IF(COUNTIF('Detalle individual'!$C$5:C810,'Detalle individual'!C810)=1,COUNTIF('Detalle individual'!$C$5:$C$1000,"&lt;"&amp;'Detalle individual'!C810),""))</f>
        <v/>
      </c>
      <c r="AC810" t="str">
        <f>IF('Detalle individual'!D810="","",IF(COUNTIF('Detalle individual'!$D$5:D810,'Detalle individual'!D810)=1,COUNTIF('Detalle individual'!$D$5:$D$1000,"&lt;"&amp;'Detalle individual'!D810),""))</f>
        <v/>
      </c>
      <c r="AH810" t="str">
        <f>IF('Detalle individual'!F810="Pendiente",COUNTIF('Detalle individual'!$D$5:$D$1000,"&lt;"&amp;'Detalle individual'!D810)*1000000+COUNTIF('Detalle individual'!$C$5:$C$1000,"&lt;"&amp;'Detalle individual'!C810)*1000+COUNTIF('Detalle individual'!$B$5:$B$1000,"&lt;"&amp;'Detalle individual'!B810)+ROW()/10000,"")</f>
        <v/>
      </c>
      <c r="AI810" t="str">
        <f>IF('Detalle individual'!F810="Completado",COUNTIF('Detalle individual'!$D$5:$D$1000,"&lt;"&amp;'Detalle individual'!D810)*1000000+COUNTIF('Detalle individual'!$C$5:$C$1000,"&lt;"&amp;'Detalle individual'!C810)*1000+COUNTIF('Detalle individual'!$B$5:$B$1000,"&lt;"&amp;'Detalle individual'!B810)+ROW()/10000,"")</f>
        <v/>
      </c>
      <c r="AJ810" t="str">
        <f>IF(AND('Detalle individual'!F810&lt;&gt;"",'Detalle individual'!F810&lt;&gt;"Completado",'Detalle individual'!F810&lt;&gt;"Pendiente"),COUNTIF('Detalle individual'!$D$5:$D$1000,"&lt;"&amp;'Detalle individual'!D810)*1000000+COUNTIF('Detalle individual'!$C$5:$C$1000,"&lt;"&amp;'Detalle individual'!C810)*1000+COUNTIF('Detalle individual'!$B$5:$B$1000,"&lt;"&amp;'Detalle individual'!B810)+ROW()/10000,"")</f>
        <v/>
      </c>
      <c r="AK810" t="str">
        <f>IF(OR('Base Exámenes'!C810="",'Base Exámenes'!D810=""),"",IF(COUNTIF('Base Exámenes'!$C$5:C810,'Base Exámenes'!C810)=1,'Base Exámenes'!D810+ROW()/1000000000,""))</f>
        <v/>
      </c>
      <c r="AL810" t="str">
        <f>IF(OR('Base Exámenes'!C810="",'Base Exámenes'!E810=""),"",IF(COUNTIF('Base Exámenes'!$C$5:C810,'Base Exámenes'!C810)=1,'Base Exámenes'!E810+ROW()/1000000000,""))</f>
        <v/>
      </c>
      <c r="AM810" t="str">
        <f>IF(OR('Base Exámenes'!C810="",'Base Exámenes'!G810=""),"",IF(ROW()-4=MATCH('Base Exámenes'!C810&amp;"|"&amp;_xlfn.MAXIFS('Base Exámenes'!$G$5:$G$1000,'Base Exámenes'!$C$5:$C$1000,'Base Exámenes'!C810),'Base Exámenes'!$I$5:$I$1000,0),'Base Exámenes'!G810*1000000+(-1)*'Base Exámenes'!D810,""))</f>
        <v/>
      </c>
      <c r="AQ810" t="str">
        <f>IF('Base Exámenes'!C810="","",IF(COUNTIF('Base Exámenes'!$C$5:$C$1000,'Base Exámenes'!C810)&lt;2,"",MATCH('Base Exámenes'!C810,'Base Exámenes'!$C$5:$C$1000,0)*10000+ROW()))</f>
        <v/>
      </c>
    </row>
    <row r="811">
      <c r="Z811" t="str">
        <f>IF('Detalle individual'!A811="","",IF(AND(OR('Estado por Colaborador'!$D$4="Todas las gerencias",'Detalle individual'!D811='Estado por Colaborador'!$D$4),OR('Estado por Colaborador'!$D$5="Todos los departamentos",TRIM('Detalle individual'!C811)='Estado por Colaborador'!$D$5),OR('Estado por Colaborador'!$D$6="Todos",'Detalle individual'!F811='Estado por Colaborador'!$D$6)),IF('Detalle individual'!F811="Completado",30000000,IF('Detalle individual'!F811="Pendiente",0,15000000))+COUNTIF('Detalle individual'!$C$5:$C$1000,"&lt;"&amp;'Detalle individual'!C811)*10000+ROW(),""))</f>
        <v/>
      </c>
      <c r="AB811" t="str">
        <f>IF('Detalle individual'!C811="","",IF(COUNTIF('Detalle individual'!$C$5:C811,'Detalle individual'!C811)=1,COUNTIF('Detalle individual'!$C$5:$C$1000,"&lt;"&amp;'Detalle individual'!C811),""))</f>
        <v/>
      </c>
      <c r="AC811" t="str">
        <f>IF('Detalle individual'!D811="","",IF(COUNTIF('Detalle individual'!$D$5:D811,'Detalle individual'!D811)=1,COUNTIF('Detalle individual'!$D$5:$D$1000,"&lt;"&amp;'Detalle individual'!D811),""))</f>
        <v/>
      </c>
      <c r="AH811" t="str">
        <f>IF('Detalle individual'!F811="Pendiente",COUNTIF('Detalle individual'!$D$5:$D$1000,"&lt;"&amp;'Detalle individual'!D811)*1000000+COUNTIF('Detalle individual'!$C$5:$C$1000,"&lt;"&amp;'Detalle individual'!C811)*1000+COUNTIF('Detalle individual'!$B$5:$B$1000,"&lt;"&amp;'Detalle individual'!B811)+ROW()/10000,"")</f>
        <v/>
      </c>
      <c r="AI811" t="str">
        <f>IF('Detalle individual'!F811="Completado",COUNTIF('Detalle individual'!$D$5:$D$1000,"&lt;"&amp;'Detalle individual'!D811)*1000000+COUNTIF('Detalle individual'!$C$5:$C$1000,"&lt;"&amp;'Detalle individual'!C811)*1000+COUNTIF('Detalle individual'!$B$5:$B$1000,"&lt;"&amp;'Detalle individual'!B811)+ROW()/10000,"")</f>
        <v/>
      </c>
      <c r="AJ811" t="str">
        <f>IF(AND('Detalle individual'!F811&lt;&gt;"",'Detalle individual'!F811&lt;&gt;"Completado",'Detalle individual'!F811&lt;&gt;"Pendiente"),COUNTIF('Detalle individual'!$D$5:$D$1000,"&lt;"&amp;'Detalle individual'!D811)*1000000+COUNTIF('Detalle individual'!$C$5:$C$1000,"&lt;"&amp;'Detalle individual'!C811)*1000+COUNTIF('Detalle individual'!$B$5:$B$1000,"&lt;"&amp;'Detalle individual'!B811)+ROW()/10000,"")</f>
        <v/>
      </c>
      <c r="AK811" t="str">
        <f>IF(OR('Base Exámenes'!C811="",'Base Exámenes'!D811=""),"",IF(COUNTIF('Base Exámenes'!$C$5:C811,'Base Exámenes'!C811)=1,'Base Exámenes'!D811+ROW()/1000000000,""))</f>
        <v/>
      </c>
      <c r="AL811" t="str">
        <f>IF(OR('Base Exámenes'!C811="",'Base Exámenes'!E811=""),"",IF(COUNTIF('Base Exámenes'!$C$5:C811,'Base Exámenes'!C811)=1,'Base Exámenes'!E811+ROW()/1000000000,""))</f>
        <v/>
      </c>
      <c r="AM811" t="str">
        <f>IF(OR('Base Exámenes'!C811="",'Base Exámenes'!G811=""),"",IF(ROW()-4=MATCH('Base Exámenes'!C811&amp;"|"&amp;_xlfn.MAXIFS('Base Exámenes'!$G$5:$G$1000,'Base Exámenes'!$C$5:$C$1000,'Base Exámenes'!C811),'Base Exámenes'!$I$5:$I$1000,0),'Base Exámenes'!G811*1000000+(-1)*'Base Exámenes'!D811,""))</f>
        <v/>
      </c>
      <c r="AQ811" t="str">
        <f>IF('Base Exámenes'!C811="","",IF(COUNTIF('Base Exámenes'!$C$5:$C$1000,'Base Exámenes'!C811)&lt;2,"",MATCH('Base Exámenes'!C811,'Base Exámenes'!$C$5:$C$1000,0)*10000+ROW()))</f>
        <v/>
      </c>
    </row>
    <row r="812">
      <c r="Z812" t="str">
        <f>IF('Detalle individual'!A812="","",IF(AND(OR('Estado por Colaborador'!$D$4="Todas las gerencias",'Detalle individual'!D812='Estado por Colaborador'!$D$4),OR('Estado por Colaborador'!$D$5="Todos los departamentos",TRIM('Detalle individual'!C812)='Estado por Colaborador'!$D$5),OR('Estado por Colaborador'!$D$6="Todos",'Detalle individual'!F812='Estado por Colaborador'!$D$6)),IF('Detalle individual'!F812="Completado",30000000,IF('Detalle individual'!F812="Pendiente",0,15000000))+COUNTIF('Detalle individual'!$C$5:$C$1000,"&lt;"&amp;'Detalle individual'!C812)*10000+ROW(),""))</f>
        <v/>
      </c>
      <c r="AB812" t="str">
        <f>IF('Detalle individual'!C812="","",IF(COUNTIF('Detalle individual'!$C$5:C812,'Detalle individual'!C812)=1,COUNTIF('Detalle individual'!$C$5:$C$1000,"&lt;"&amp;'Detalle individual'!C812),""))</f>
        <v/>
      </c>
      <c r="AC812" t="str">
        <f>IF('Detalle individual'!D812="","",IF(COUNTIF('Detalle individual'!$D$5:D812,'Detalle individual'!D812)=1,COUNTIF('Detalle individual'!$D$5:$D$1000,"&lt;"&amp;'Detalle individual'!D812),""))</f>
        <v/>
      </c>
      <c r="AH812" t="str">
        <f>IF('Detalle individual'!F812="Pendiente",COUNTIF('Detalle individual'!$D$5:$D$1000,"&lt;"&amp;'Detalle individual'!D812)*1000000+COUNTIF('Detalle individual'!$C$5:$C$1000,"&lt;"&amp;'Detalle individual'!C812)*1000+COUNTIF('Detalle individual'!$B$5:$B$1000,"&lt;"&amp;'Detalle individual'!B812)+ROW()/10000,"")</f>
        <v/>
      </c>
      <c r="AI812" t="str">
        <f>IF('Detalle individual'!F812="Completado",COUNTIF('Detalle individual'!$D$5:$D$1000,"&lt;"&amp;'Detalle individual'!D812)*1000000+COUNTIF('Detalle individual'!$C$5:$C$1000,"&lt;"&amp;'Detalle individual'!C812)*1000+COUNTIF('Detalle individual'!$B$5:$B$1000,"&lt;"&amp;'Detalle individual'!B812)+ROW()/10000,"")</f>
        <v/>
      </c>
      <c r="AJ812" t="str">
        <f>IF(AND('Detalle individual'!F812&lt;&gt;"",'Detalle individual'!F812&lt;&gt;"Completado",'Detalle individual'!F812&lt;&gt;"Pendiente"),COUNTIF('Detalle individual'!$D$5:$D$1000,"&lt;"&amp;'Detalle individual'!D812)*1000000+COUNTIF('Detalle individual'!$C$5:$C$1000,"&lt;"&amp;'Detalle individual'!C812)*1000+COUNTIF('Detalle individual'!$B$5:$B$1000,"&lt;"&amp;'Detalle individual'!B812)+ROW()/10000,"")</f>
        <v/>
      </c>
      <c r="AK812" t="str">
        <f>IF(OR('Base Exámenes'!C812="",'Base Exámenes'!D812=""),"",IF(COUNTIF('Base Exámenes'!$C$5:C812,'Base Exámenes'!C812)=1,'Base Exámenes'!D812+ROW()/1000000000,""))</f>
        <v/>
      </c>
      <c r="AL812" t="str">
        <f>IF(OR('Base Exámenes'!C812="",'Base Exámenes'!E812=""),"",IF(COUNTIF('Base Exámenes'!$C$5:C812,'Base Exámenes'!C812)=1,'Base Exámenes'!E812+ROW()/1000000000,""))</f>
        <v/>
      </c>
      <c r="AM812" t="str">
        <f>IF(OR('Base Exámenes'!C812="",'Base Exámenes'!G812=""),"",IF(ROW()-4=MATCH('Base Exámenes'!C812&amp;"|"&amp;_xlfn.MAXIFS('Base Exámenes'!$G$5:$G$1000,'Base Exámenes'!$C$5:$C$1000,'Base Exámenes'!C812),'Base Exámenes'!$I$5:$I$1000,0),'Base Exámenes'!G812*1000000+(-1)*'Base Exámenes'!D812,""))</f>
        <v/>
      </c>
      <c r="AQ812" t="str">
        <f>IF('Base Exámenes'!C812="","",IF(COUNTIF('Base Exámenes'!$C$5:$C$1000,'Base Exámenes'!C812)&lt;2,"",MATCH('Base Exámenes'!C812,'Base Exámenes'!$C$5:$C$1000,0)*10000+ROW()))</f>
        <v/>
      </c>
    </row>
    <row r="813">
      <c r="Z813" t="str">
        <f>IF('Detalle individual'!A813="","",IF(AND(OR('Estado por Colaborador'!$D$4="Todas las gerencias",'Detalle individual'!D813='Estado por Colaborador'!$D$4),OR('Estado por Colaborador'!$D$5="Todos los departamentos",TRIM('Detalle individual'!C813)='Estado por Colaborador'!$D$5),OR('Estado por Colaborador'!$D$6="Todos",'Detalle individual'!F813='Estado por Colaborador'!$D$6)),IF('Detalle individual'!F813="Completado",30000000,IF('Detalle individual'!F813="Pendiente",0,15000000))+COUNTIF('Detalle individual'!$C$5:$C$1000,"&lt;"&amp;'Detalle individual'!C813)*10000+ROW(),""))</f>
        <v/>
      </c>
      <c r="AB813" t="str">
        <f>IF('Detalle individual'!C813="","",IF(COUNTIF('Detalle individual'!$C$5:C813,'Detalle individual'!C813)=1,COUNTIF('Detalle individual'!$C$5:$C$1000,"&lt;"&amp;'Detalle individual'!C813),""))</f>
        <v/>
      </c>
      <c r="AC813" t="str">
        <f>IF('Detalle individual'!D813="","",IF(COUNTIF('Detalle individual'!$D$5:D813,'Detalle individual'!D813)=1,COUNTIF('Detalle individual'!$D$5:$D$1000,"&lt;"&amp;'Detalle individual'!D813),""))</f>
        <v/>
      </c>
      <c r="AH813" t="str">
        <f>IF('Detalle individual'!F813="Pendiente",COUNTIF('Detalle individual'!$D$5:$D$1000,"&lt;"&amp;'Detalle individual'!D813)*1000000+COUNTIF('Detalle individual'!$C$5:$C$1000,"&lt;"&amp;'Detalle individual'!C813)*1000+COUNTIF('Detalle individual'!$B$5:$B$1000,"&lt;"&amp;'Detalle individual'!B813)+ROW()/10000,"")</f>
        <v/>
      </c>
      <c r="AI813" t="str">
        <f>IF('Detalle individual'!F813="Completado",COUNTIF('Detalle individual'!$D$5:$D$1000,"&lt;"&amp;'Detalle individual'!D813)*1000000+COUNTIF('Detalle individual'!$C$5:$C$1000,"&lt;"&amp;'Detalle individual'!C813)*1000+COUNTIF('Detalle individual'!$B$5:$B$1000,"&lt;"&amp;'Detalle individual'!B813)+ROW()/10000,"")</f>
        <v/>
      </c>
      <c r="AJ813" t="str">
        <f>IF(AND('Detalle individual'!F813&lt;&gt;"",'Detalle individual'!F813&lt;&gt;"Completado",'Detalle individual'!F813&lt;&gt;"Pendiente"),COUNTIF('Detalle individual'!$D$5:$D$1000,"&lt;"&amp;'Detalle individual'!D813)*1000000+COUNTIF('Detalle individual'!$C$5:$C$1000,"&lt;"&amp;'Detalle individual'!C813)*1000+COUNTIF('Detalle individual'!$B$5:$B$1000,"&lt;"&amp;'Detalle individual'!B813)+ROW()/10000,"")</f>
        <v/>
      </c>
      <c r="AK813" t="str">
        <f>IF(OR('Base Exámenes'!C813="",'Base Exámenes'!D813=""),"",IF(COUNTIF('Base Exámenes'!$C$5:C813,'Base Exámenes'!C813)=1,'Base Exámenes'!D813+ROW()/1000000000,""))</f>
        <v/>
      </c>
      <c r="AL813" t="str">
        <f>IF(OR('Base Exámenes'!C813="",'Base Exámenes'!E813=""),"",IF(COUNTIF('Base Exámenes'!$C$5:C813,'Base Exámenes'!C813)=1,'Base Exámenes'!E813+ROW()/1000000000,""))</f>
        <v/>
      </c>
      <c r="AM813" t="str">
        <f>IF(OR('Base Exámenes'!C813="",'Base Exámenes'!G813=""),"",IF(ROW()-4=MATCH('Base Exámenes'!C813&amp;"|"&amp;_xlfn.MAXIFS('Base Exámenes'!$G$5:$G$1000,'Base Exámenes'!$C$5:$C$1000,'Base Exámenes'!C813),'Base Exámenes'!$I$5:$I$1000,0),'Base Exámenes'!G813*1000000+(-1)*'Base Exámenes'!D813,""))</f>
        <v/>
      </c>
      <c r="AQ813" t="str">
        <f>IF('Base Exámenes'!C813="","",IF(COUNTIF('Base Exámenes'!$C$5:$C$1000,'Base Exámenes'!C813)&lt;2,"",MATCH('Base Exámenes'!C813,'Base Exámenes'!$C$5:$C$1000,0)*10000+ROW()))</f>
        <v/>
      </c>
    </row>
    <row r="814">
      <c r="Z814" t="str">
        <f>IF('Detalle individual'!A814="","",IF(AND(OR('Estado por Colaborador'!$D$4="Todas las gerencias",'Detalle individual'!D814='Estado por Colaborador'!$D$4),OR('Estado por Colaborador'!$D$5="Todos los departamentos",TRIM('Detalle individual'!C814)='Estado por Colaborador'!$D$5),OR('Estado por Colaborador'!$D$6="Todos",'Detalle individual'!F814='Estado por Colaborador'!$D$6)),IF('Detalle individual'!F814="Completado",30000000,IF('Detalle individual'!F814="Pendiente",0,15000000))+COUNTIF('Detalle individual'!$C$5:$C$1000,"&lt;"&amp;'Detalle individual'!C814)*10000+ROW(),""))</f>
        <v/>
      </c>
      <c r="AB814" t="str">
        <f>IF('Detalle individual'!C814="","",IF(COUNTIF('Detalle individual'!$C$5:C814,'Detalle individual'!C814)=1,COUNTIF('Detalle individual'!$C$5:$C$1000,"&lt;"&amp;'Detalle individual'!C814),""))</f>
        <v/>
      </c>
      <c r="AC814" t="str">
        <f>IF('Detalle individual'!D814="","",IF(COUNTIF('Detalle individual'!$D$5:D814,'Detalle individual'!D814)=1,COUNTIF('Detalle individual'!$D$5:$D$1000,"&lt;"&amp;'Detalle individual'!D814),""))</f>
        <v/>
      </c>
      <c r="AH814" t="str">
        <f>IF('Detalle individual'!F814="Pendiente",COUNTIF('Detalle individual'!$D$5:$D$1000,"&lt;"&amp;'Detalle individual'!D814)*1000000+COUNTIF('Detalle individual'!$C$5:$C$1000,"&lt;"&amp;'Detalle individual'!C814)*1000+COUNTIF('Detalle individual'!$B$5:$B$1000,"&lt;"&amp;'Detalle individual'!B814)+ROW()/10000,"")</f>
        <v/>
      </c>
      <c r="AI814" t="str">
        <f>IF('Detalle individual'!F814="Completado",COUNTIF('Detalle individual'!$D$5:$D$1000,"&lt;"&amp;'Detalle individual'!D814)*1000000+COUNTIF('Detalle individual'!$C$5:$C$1000,"&lt;"&amp;'Detalle individual'!C814)*1000+COUNTIF('Detalle individual'!$B$5:$B$1000,"&lt;"&amp;'Detalle individual'!B814)+ROW()/10000,"")</f>
        <v/>
      </c>
      <c r="AJ814" t="str">
        <f>IF(AND('Detalle individual'!F814&lt;&gt;"",'Detalle individual'!F814&lt;&gt;"Completado",'Detalle individual'!F814&lt;&gt;"Pendiente"),COUNTIF('Detalle individual'!$D$5:$D$1000,"&lt;"&amp;'Detalle individual'!D814)*1000000+COUNTIF('Detalle individual'!$C$5:$C$1000,"&lt;"&amp;'Detalle individual'!C814)*1000+COUNTIF('Detalle individual'!$B$5:$B$1000,"&lt;"&amp;'Detalle individual'!B814)+ROW()/10000,"")</f>
        <v/>
      </c>
      <c r="AK814" t="str">
        <f>IF(OR('Base Exámenes'!C814="",'Base Exámenes'!D814=""),"",IF(COUNTIF('Base Exámenes'!$C$5:C814,'Base Exámenes'!C814)=1,'Base Exámenes'!D814+ROW()/1000000000,""))</f>
        <v/>
      </c>
      <c r="AL814" t="str">
        <f>IF(OR('Base Exámenes'!C814="",'Base Exámenes'!E814=""),"",IF(COUNTIF('Base Exámenes'!$C$5:C814,'Base Exámenes'!C814)=1,'Base Exámenes'!E814+ROW()/1000000000,""))</f>
        <v/>
      </c>
      <c r="AM814" t="str">
        <f>IF(OR('Base Exámenes'!C814="",'Base Exámenes'!G814=""),"",IF(ROW()-4=MATCH('Base Exámenes'!C814&amp;"|"&amp;_xlfn.MAXIFS('Base Exámenes'!$G$5:$G$1000,'Base Exámenes'!$C$5:$C$1000,'Base Exámenes'!C814),'Base Exámenes'!$I$5:$I$1000,0),'Base Exámenes'!G814*1000000+(-1)*'Base Exámenes'!D814,""))</f>
        <v/>
      </c>
      <c r="AQ814" t="str">
        <f>IF('Base Exámenes'!C814="","",IF(COUNTIF('Base Exámenes'!$C$5:$C$1000,'Base Exámenes'!C814)&lt;2,"",MATCH('Base Exámenes'!C814,'Base Exámenes'!$C$5:$C$1000,0)*10000+ROW()))</f>
        <v/>
      </c>
    </row>
    <row r="815">
      <c r="Z815" t="str">
        <f>IF('Detalle individual'!A815="","",IF(AND(OR('Estado por Colaborador'!$D$4="Todas las gerencias",'Detalle individual'!D815='Estado por Colaborador'!$D$4),OR('Estado por Colaborador'!$D$5="Todos los departamentos",TRIM('Detalle individual'!C815)='Estado por Colaborador'!$D$5),OR('Estado por Colaborador'!$D$6="Todos",'Detalle individual'!F815='Estado por Colaborador'!$D$6)),IF('Detalle individual'!F815="Completado",30000000,IF('Detalle individual'!F815="Pendiente",0,15000000))+COUNTIF('Detalle individual'!$C$5:$C$1000,"&lt;"&amp;'Detalle individual'!C815)*10000+ROW(),""))</f>
        <v/>
      </c>
      <c r="AB815" t="str">
        <f>IF('Detalle individual'!C815="","",IF(COUNTIF('Detalle individual'!$C$5:C815,'Detalle individual'!C815)=1,COUNTIF('Detalle individual'!$C$5:$C$1000,"&lt;"&amp;'Detalle individual'!C815),""))</f>
        <v/>
      </c>
      <c r="AC815" t="str">
        <f>IF('Detalle individual'!D815="","",IF(COUNTIF('Detalle individual'!$D$5:D815,'Detalle individual'!D815)=1,COUNTIF('Detalle individual'!$D$5:$D$1000,"&lt;"&amp;'Detalle individual'!D815),""))</f>
        <v/>
      </c>
      <c r="AH815" t="str">
        <f>IF('Detalle individual'!F815="Pendiente",COUNTIF('Detalle individual'!$D$5:$D$1000,"&lt;"&amp;'Detalle individual'!D815)*1000000+COUNTIF('Detalle individual'!$C$5:$C$1000,"&lt;"&amp;'Detalle individual'!C815)*1000+COUNTIF('Detalle individual'!$B$5:$B$1000,"&lt;"&amp;'Detalle individual'!B815)+ROW()/10000,"")</f>
        <v/>
      </c>
      <c r="AI815" t="str">
        <f>IF('Detalle individual'!F815="Completado",COUNTIF('Detalle individual'!$D$5:$D$1000,"&lt;"&amp;'Detalle individual'!D815)*1000000+COUNTIF('Detalle individual'!$C$5:$C$1000,"&lt;"&amp;'Detalle individual'!C815)*1000+COUNTIF('Detalle individual'!$B$5:$B$1000,"&lt;"&amp;'Detalle individual'!B815)+ROW()/10000,"")</f>
        <v/>
      </c>
      <c r="AJ815" t="str">
        <f>IF(AND('Detalle individual'!F815&lt;&gt;"",'Detalle individual'!F815&lt;&gt;"Completado",'Detalle individual'!F815&lt;&gt;"Pendiente"),COUNTIF('Detalle individual'!$D$5:$D$1000,"&lt;"&amp;'Detalle individual'!D815)*1000000+COUNTIF('Detalle individual'!$C$5:$C$1000,"&lt;"&amp;'Detalle individual'!C815)*1000+COUNTIF('Detalle individual'!$B$5:$B$1000,"&lt;"&amp;'Detalle individual'!B815)+ROW()/10000,"")</f>
        <v/>
      </c>
      <c r="AK815" t="str">
        <f>IF(OR('Base Exámenes'!C815="",'Base Exámenes'!D815=""),"",IF(COUNTIF('Base Exámenes'!$C$5:C815,'Base Exámenes'!C815)=1,'Base Exámenes'!D815+ROW()/1000000000,""))</f>
        <v/>
      </c>
      <c r="AL815" t="str">
        <f>IF(OR('Base Exámenes'!C815="",'Base Exámenes'!E815=""),"",IF(COUNTIF('Base Exámenes'!$C$5:C815,'Base Exámenes'!C815)=1,'Base Exámenes'!E815+ROW()/1000000000,""))</f>
        <v/>
      </c>
      <c r="AM815" t="str">
        <f>IF(OR('Base Exámenes'!C815="",'Base Exámenes'!G815=""),"",IF(ROW()-4=MATCH('Base Exámenes'!C815&amp;"|"&amp;_xlfn.MAXIFS('Base Exámenes'!$G$5:$G$1000,'Base Exámenes'!$C$5:$C$1000,'Base Exámenes'!C815),'Base Exámenes'!$I$5:$I$1000,0),'Base Exámenes'!G815*1000000+(-1)*'Base Exámenes'!D815,""))</f>
        <v/>
      </c>
      <c r="AQ815" t="str">
        <f>IF('Base Exámenes'!C815="","",IF(COUNTIF('Base Exámenes'!$C$5:$C$1000,'Base Exámenes'!C815)&lt;2,"",MATCH('Base Exámenes'!C815,'Base Exámenes'!$C$5:$C$1000,0)*10000+ROW()))</f>
        <v/>
      </c>
    </row>
    <row r="816">
      <c r="Z816" t="str">
        <f>IF('Detalle individual'!A816="","",IF(AND(OR('Estado por Colaborador'!$D$4="Todas las gerencias",'Detalle individual'!D816='Estado por Colaborador'!$D$4),OR('Estado por Colaborador'!$D$5="Todos los departamentos",TRIM('Detalle individual'!C816)='Estado por Colaborador'!$D$5),OR('Estado por Colaborador'!$D$6="Todos",'Detalle individual'!F816='Estado por Colaborador'!$D$6)),IF('Detalle individual'!F816="Completado",30000000,IF('Detalle individual'!F816="Pendiente",0,15000000))+COUNTIF('Detalle individual'!$C$5:$C$1000,"&lt;"&amp;'Detalle individual'!C816)*10000+ROW(),""))</f>
        <v/>
      </c>
      <c r="AB816" t="str">
        <f>IF('Detalle individual'!C816="","",IF(COUNTIF('Detalle individual'!$C$5:C816,'Detalle individual'!C816)=1,COUNTIF('Detalle individual'!$C$5:$C$1000,"&lt;"&amp;'Detalle individual'!C816),""))</f>
        <v/>
      </c>
      <c r="AC816" t="str">
        <f>IF('Detalle individual'!D816="","",IF(COUNTIF('Detalle individual'!$D$5:D816,'Detalle individual'!D816)=1,COUNTIF('Detalle individual'!$D$5:$D$1000,"&lt;"&amp;'Detalle individual'!D816),""))</f>
        <v/>
      </c>
      <c r="AH816" t="str">
        <f>IF('Detalle individual'!F816="Pendiente",COUNTIF('Detalle individual'!$D$5:$D$1000,"&lt;"&amp;'Detalle individual'!D816)*1000000+COUNTIF('Detalle individual'!$C$5:$C$1000,"&lt;"&amp;'Detalle individual'!C816)*1000+COUNTIF('Detalle individual'!$B$5:$B$1000,"&lt;"&amp;'Detalle individual'!B816)+ROW()/10000,"")</f>
        <v/>
      </c>
      <c r="AI816" t="str">
        <f>IF('Detalle individual'!F816="Completado",COUNTIF('Detalle individual'!$D$5:$D$1000,"&lt;"&amp;'Detalle individual'!D816)*1000000+COUNTIF('Detalle individual'!$C$5:$C$1000,"&lt;"&amp;'Detalle individual'!C816)*1000+COUNTIF('Detalle individual'!$B$5:$B$1000,"&lt;"&amp;'Detalle individual'!B816)+ROW()/10000,"")</f>
        <v/>
      </c>
      <c r="AJ816" t="str">
        <f>IF(AND('Detalle individual'!F816&lt;&gt;"",'Detalle individual'!F816&lt;&gt;"Completado",'Detalle individual'!F816&lt;&gt;"Pendiente"),COUNTIF('Detalle individual'!$D$5:$D$1000,"&lt;"&amp;'Detalle individual'!D816)*1000000+COUNTIF('Detalle individual'!$C$5:$C$1000,"&lt;"&amp;'Detalle individual'!C816)*1000+COUNTIF('Detalle individual'!$B$5:$B$1000,"&lt;"&amp;'Detalle individual'!B816)+ROW()/10000,"")</f>
        <v/>
      </c>
      <c r="AK816" t="str">
        <f>IF(OR('Base Exámenes'!C816="",'Base Exámenes'!D816=""),"",IF(COUNTIF('Base Exámenes'!$C$5:C816,'Base Exámenes'!C816)=1,'Base Exámenes'!D816+ROW()/1000000000,""))</f>
        <v/>
      </c>
      <c r="AL816" t="str">
        <f>IF(OR('Base Exámenes'!C816="",'Base Exámenes'!E816=""),"",IF(COUNTIF('Base Exámenes'!$C$5:C816,'Base Exámenes'!C816)=1,'Base Exámenes'!E816+ROW()/1000000000,""))</f>
        <v/>
      </c>
      <c r="AM816" t="str">
        <f>IF(OR('Base Exámenes'!C816="",'Base Exámenes'!G816=""),"",IF(ROW()-4=MATCH('Base Exámenes'!C816&amp;"|"&amp;_xlfn.MAXIFS('Base Exámenes'!$G$5:$G$1000,'Base Exámenes'!$C$5:$C$1000,'Base Exámenes'!C816),'Base Exámenes'!$I$5:$I$1000,0),'Base Exámenes'!G816*1000000+(-1)*'Base Exámenes'!D816,""))</f>
        <v/>
      </c>
      <c r="AQ816" t="str">
        <f>IF('Base Exámenes'!C816="","",IF(COUNTIF('Base Exámenes'!$C$5:$C$1000,'Base Exámenes'!C816)&lt;2,"",MATCH('Base Exámenes'!C816,'Base Exámenes'!$C$5:$C$1000,0)*10000+ROW()))</f>
        <v/>
      </c>
    </row>
    <row r="817">
      <c r="Z817" t="str">
        <f>IF('Detalle individual'!A817="","",IF(AND(OR('Estado por Colaborador'!$D$4="Todas las gerencias",'Detalle individual'!D817='Estado por Colaborador'!$D$4),OR('Estado por Colaborador'!$D$5="Todos los departamentos",TRIM('Detalle individual'!C817)='Estado por Colaborador'!$D$5),OR('Estado por Colaborador'!$D$6="Todos",'Detalle individual'!F817='Estado por Colaborador'!$D$6)),IF('Detalle individual'!F817="Completado",30000000,IF('Detalle individual'!F817="Pendiente",0,15000000))+COUNTIF('Detalle individual'!$C$5:$C$1000,"&lt;"&amp;'Detalle individual'!C817)*10000+ROW(),""))</f>
        <v/>
      </c>
      <c r="AB817" t="str">
        <f>IF('Detalle individual'!C817="","",IF(COUNTIF('Detalle individual'!$C$5:C817,'Detalle individual'!C817)=1,COUNTIF('Detalle individual'!$C$5:$C$1000,"&lt;"&amp;'Detalle individual'!C817),""))</f>
        <v/>
      </c>
      <c r="AC817" t="str">
        <f>IF('Detalle individual'!D817="","",IF(COUNTIF('Detalle individual'!$D$5:D817,'Detalle individual'!D817)=1,COUNTIF('Detalle individual'!$D$5:$D$1000,"&lt;"&amp;'Detalle individual'!D817),""))</f>
        <v/>
      </c>
      <c r="AH817" t="str">
        <f>IF('Detalle individual'!F817="Pendiente",COUNTIF('Detalle individual'!$D$5:$D$1000,"&lt;"&amp;'Detalle individual'!D817)*1000000+COUNTIF('Detalle individual'!$C$5:$C$1000,"&lt;"&amp;'Detalle individual'!C817)*1000+COUNTIF('Detalle individual'!$B$5:$B$1000,"&lt;"&amp;'Detalle individual'!B817)+ROW()/10000,"")</f>
        <v/>
      </c>
      <c r="AI817" t="str">
        <f>IF('Detalle individual'!F817="Completado",COUNTIF('Detalle individual'!$D$5:$D$1000,"&lt;"&amp;'Detalle individual'!D817)*1000000+COUNTIF('Detalle individual'!$C$5:$C$1000,"&lt;"&amp;'Detalle individual'!C817)*1000+COUNTIF('Detalle individual'!$B$5:$B$1000,"&lt;"&amp;'Detalle individual'!B817)+ROW()/10000,"")</f>
        <v/>
      </c>
      <c r="AJ817" t="str">
        <f>IF(AND('Detalle individual'!F817&lt;&gt;"",'Detalle individual'!F817&lt;&gt;"Completado",'Detalle individual'!F817&lt;&gt;"Pendiente"),COUNTIF('Detalle individual'!$D$5:$D$1000,"&lt;"&amp;'Detalle individual'!D817)*1000000+COUNTIF('Detalle individual'!$C$5:$C$1000,"&lt;"&amp;'Detalle individual'!C817)*1000+COUNTIF('Detalle individual'!$B$5:$B$1000,"&lt;"&amp;'Detalle individual'!B817)+ROW()/10000,"")</f>
        <v/>
      </c>
      <c r="AK817" t="str">
        <f>IF(OR('Base Exámenes'!C817="",'Base Exámenes'!D817=""),"",IF(COUNTIF('Base Exámenes'!$C$5:C817,'Base Exámenes'!C817)=1,'Base Exámenes'!D817+ROW()/1000000000,""))</f>
        <v/>
      </c>
      <c r="AL817" t="str">
        <f>IF(OR('Base Exámenes'!C817="",'Base Exámenes'!E817=""),"",IF(COUNTIF('Base Exámenes'!$C$5:C817,'Base Exámenes'!C817)=1,'Base Exámenes'!E817+ROW()/1000000000,""))</f>
        <v/>
      </c>
      <c r="AM817" t="str">
        <f>IF(OR('Base Exámenes'!C817="",'Base Exámenes'!G817=""),"",IF(ROW()-4=MATCH('Base Exámenes'!C817&amp;"|"&amp;_xlfn.MAXIFS('Base Exámenes'!$G$5:$G$1000,'Base Exámenes'!$C$5:$C$1000,'Base Exámenes'!C817),'Base Exámenes'!$I$5:$I$1000,0),'Base Exámenes'!G817*1000000+(-1)*'Base Exámenes'!D817,""))</f>
        <v/>
      </c>
      <c r="AQ817" t="str">
        <f>IF('Base Exámenes'!C817="","",IF(COUNTIF('Base Exámenes'!$C$5:$C$1000,'Base Exámenes'!C817)&lt;2,"",MATCH('Base Exámenes'!C817,'Base Exámenes'!$C$5:$C$1000,0)*10000+ROW()))</f>
        <v/>
      </c>
    </row>
    <row r="818">
      <c r="Z818" t="str">
        <f>IF('Detalle individual'!A818="","",IF(AND(OR('Estado por Colaborador'!$D$4="Todas las gerencias",'Detalle individual'!D818='Estado por Colaborador'!$D$4),OR('Estado por Colaborador'!$D$5="Todos los departamentos",TRIM('Detalle individual'!C818)='Estado por Colaborador'!$D$5),OR('Estado por Colaborador'!$D$6="Todos",'Detalle individual'!F818='Estado por Colaborador'!$D$6)),IF('Detalle individual'!F818="Completado",30000000,IF('Detalle individual'!F818="Pendiente",0,15000000))+COUNTIF('Detalle individual'!$C$5:$C$1000,"&lt;"&amp;'Detalle individual'!C818)*10000+ROW(),""))</f>
        <v/>
      </c>
      <c r="AB818" t="str">
        <f>IF('Detalle individual'!C818="","",IF(COUNTIF('Detalle individual'!$C$5:C818,'Detalle individual'!C818)=1,COUNTIF('Detalle individual'!$C$5:$C$1000,"&lt;"&amp;'Detalle individual'!C818),""))</f>
        <v/>
      </c>
      <c r="AC818" t="str">
        <f>IF('Detalle individual'!D818="","",IF(COUNTIF('Detalle individual'!$D$5:D818,'Detalle individual'!D818)=1,COUNTIF('Detalle individual'!$D$5:$D$1000,"&lt;"&amp;'Detalle individual'!D818),""))</f>
        <v/>
      </c>
      <c r="AH818" t="str">
        <f>IF('Detalle individual'!F818="Pendiente",COUNTIF('Detalle individual'!$D$5:$D$1000,"&lt;"&amp;'Detalle individual'!D818)*1000000+COUNTIF('Detalle individual'!$C$5:$C$1000,"&lt;"&amp;'Detalle individual'!C818)*1000+COUNTIF('Detalle individual'!$B$5:$B$1000,"&lt;"&amp;'Detalle individual'!B818)+ROW()/10000,"")</f>
        <v/>
      </c>
      <c r="AI818" t="str">
        <f>IF('Detalle individual'!F818="Completado",COUNTIF('Detalle individual'!$D$5:$D$1000,"&lt;"&amp;'Detalle individual'!D818)*1000000+COUNTIF('Detalle individual'!$C$5:$C$1000,"&lt;"&amp;'Detalle individual'!C818)*1000+COUNTIF('Detalle individual'!$B$5:$B$1000,"&lt;"&amp;'Detalle individual'!B818)+ROW()/10000,"")</f>
        <v/>
      </c>
      <c r="AJ818" t="str">
        <f>IF(AND('Detalle individual'!F818&lt;&gt;"",'Detalle individual'!F818&lt;&gt;"Completado",'Detalle individual'!F818&lt;&gt;"Pendiente"),COUNTIF('Detalle individual'!$D$5:$D$1000,"&lt;"&amp;'Detalle individual'!D818)*1000000+COUNTIF('Detalle individual'!$C$5:$C$1000,"&lt;"&amp;'Detalle individual'!C818)*1000+COUNTIF('Detalle individual'!$B$5:$B$1000,"&lt;"&amp;'Detalle individual'!B818)+ROW()/10000,"")</f>
        <v/>
      </c>
      <c r="AK818" t="str">
        <f>IF(OR('Base Exámenes'!C818="",'Base Exámenes'!D818=""),"",IF(COUNTIF('Base Exámenes'!$C$5:C818,'Base Exámenes'!C818)=1,'Base Exámenes'!D818+ROW()/1000000000,""))</f>
        <v/>
      </c>
      <c r="AL818" t="str">
        <f>IF(OR('Base Exámenes'!C818="",'Base Exámenes'!E818=""),"",IF(COUNTIF('Base Exámenes'!$C$5:C818,'Base Exámenes'!C818)=1,'Base Exámenes'!E818+ROW()/1000000000,""))</f>
        <v/>
      </c>
      <c r="AM818" t="str">
        <f>IF(OR('Base Exámenes'!C818="",'Base Exámenes'!G818=""),"",IF(ROW()-4=MATCH('Base Exámenes'!C818&amp;"|"&amp;_xlfn.MAXIFS('Base Exámenes'!$G$5:$G$1000,'Base Exámenes'!$C$5:$C$1000,'Base Exámenes'!C818),'Base Exámenes'!$I$5:$I$1000,0),'Base Exámenes'!G818*1000000+(-1)*'Base Exámenes'!D818,""))</f>
        <v/>
      </c>
      <c r="AQ818" t="str">
        <f>IF('Base Exámenes'!C818="","",IF(COUNTIF('Base Exámenes'!$C$5:$C$1000,'Base Exámenes'!C818)&lt;2,"",MATCH('Base Exámenes'!C818,'Base Exámenes'!$C$5:$C$1000,0)*10000+ROW()))</f>
        <v/>
      </c>
    </row>
    <row r="819">
      <c r="Z819" t="str">
        <f>IF('Detalle individual'!A819="","",IF(AND(OR('Estado por Colaborador'!$D$4="Todas las gerencias",'Detalle individual'!D819='Estado por Colaborador'!$D$4),OR('Estado por Colaborador'!$D$5="Todos los departamentos",TRIM('Detalle individual'!C819)='Estado por Colaborador'!$D$5),OR('Estado por Colaborador'!$D$6="Todos",'Detalle individual'!F819='Estado por Colaborador'!$D$6)),IF('Detalle individual'!F819="Completado",30000000,IF('Detalle individual'!F819="Pendiente",0,15000000))+COUNTIF('Detalle individual'!$C$5:$C$1000,"&lt;"&amp;'Detalle individual'!C819)*10000+ROW(),""))</f>
        <v/>
      </c>
      <c r="AB819" t="str">
        <f>IF('Detalle individual'!C819="","",IF(COUNTIF('Detalle individual'!$C$5:C819,'Detalle individual'!C819)=1,COUNTIF('Detalle individual'!$C$5:$C$1000,"&lt;"&amp;'Detalle individual'!C819),""))</f>
        <v/>
      </c>
      <c r="AC819" t="str">
        <f>IF('Detalle individual'!D819="","",IF(COUNTIF('Detalle individual'!$D$5:D819,'Detalle individual'!D819)=1,COUNTIF('Detalle individual'!$D$5:$D$1000,"&lt;"&amp;'Detalle individual'!D819),""))</f>
        <v/>
      </c>
      <c r="AH819" t="str">
        <f>IF('Detalle individual'!F819="Pendiente",COUNTIF('Detalle individual'!$D$5:$D$1000,"&lt;"&amp;'Detalle individual'!D819)*1000000+COUNTIF('Detalle individual'!$C$5:$C$1000,"&lt;"&amp;'Detalle individual'!C819)*1000+COUNTIF('Detalle individual'!$B$5:$B$1000,"&lt;"&amp;'Detalle individual'!B819)+ROW()/10000,"")</f>
        <v/>
      </c>
      <c r="AI819" t="str">
        <f>IF('Detalle individual'!F819="Completado",COUNTIF('Detalle individual'!$D$5:$D$1000,"&lt;"&amp;'Detalle individual'!D819)*1000000+COUNTIF('Detalle individual'!$C$5:$C$1000,"&lt;"&amp;'Detalle individual'!C819)*1000+COUNTIF('Detalle individual'!$B$5:$B$1000,"&lt;"&amp;'Detalle individual'!B819)+ROW()/10000,"")</f>
        <v/>
      </c>
      <c r="AJ819" t="str">
        <f>IF(AND('Detalle individual'!F819&lt;&gt;"",'Detalle individual'!F819&lt;&gt;"Completado",'Detalle individual'!F819&lt;&gt;"Pendiente"),COUNTIF('Detalle individual'!$D$5:$D$1000,"&lt;"&amp;'Detalle individual'!D819)*1000000+COUNTIF('Detalle individual'!$C$5:$C$1000,"&lt;"&amp;'Detalle individual'!C819)*1000+COUNTIF('Detalle individual'!$B$5:$B$1000,"&lt;"&amp;'Detalle individual'!B819)+ROW()/10000,"")</f>
        <v/>
      </c>
      <c r="AK819" t="str">
        <f>IF(OR('Base Exámenes'!C819="",'Base Exámenes'!D819=""),"",IF(COUNTIF('Base Exámenes'!$C$5:C819,'Base Exámenes'!C819)=1,'Base Exámenes'!D819+ROW()/1000000000,""))</f>
        <v/>
      </c>
      <c r="AL819" t="str">
        <f>IF(OR('Base Exámenes'!C819="",'Base Exámenes'!E819=""),"",IF(COUNTIF('Base Exámenes'!$C$5:C819,'Base Exámenes'!C819)=1,'Base Exámenes'!E819+ROW()/1000000000,""))</f>
        <v/>
      </c>
      <c r="AM819" t="str">
        <f>IF(OR('Base Exámenes'!C819="",'Base Exámenes'!G819=""),"",IF(ROW()-4=MATCH('Base Exámenes'!C819&amp;"|"&amp;_xlfn.MAXIFS('Base Exámenes'!$G$5:$G$1000,'Base Exámenes'!$C$5:$C$1000,'Base Exámenes'!C819),'Base Exámenes'!$I$5:$I$1000,0),'Base Exámenes'!G819*1000000+(-1)*'Base Exámenes'!D819,""))</f>
        <v/>
      </c>
      <c r="AQ819" t="str">
        <f>IF('Base Exámenes'!C819="","",IF(COUNTIF('Base Exámenes'!$C$5:$C$1000,'Base Exámenes'!C819)&lt;2,"",MATCH('Base Exámenes'!C819,'Base Exámenes'!$C$5:$C$1000,0)*10000+ROW()))</f>
        <v/>
      </c>
    </row>
    <row r="820">
      <c r="Z820" t="str">
        <f>IF('Detalle individual'!A820="","",IF(AND(OR('Estado por Colaborador'!$D$4="Todas las gerencias",'Detalle individual'!D820='Estado por Colaborador'!$D$4),OR('Estado por Colaborador'!$D$5="Todos los departamentos",TRIM('Detalle individual'!C820)='Estado por Colaborador'!$D$5),OR('Estado por Colaborador'!$D$6="Todos",'Detalle individual'!F820='Estado por Colaborador'!$D$6)),IF('Detalle individual'!F820="Completado",30000000,IF('Detalle individual'!F820="Pendiente",0,15000000))+COUNTIF('Detalle individual'!$C$5:$C$1000,"&lt;"&amp;'Detalle individual'!C820)*10000+ROW(),""))</f>
        <v/>
      </c>
      <c r="AB820" t="str">
        <f>IF('Detalle individual'!C820="","",IF(COUNTIF('Detalle individual'!$C$5:C820,'Detalle individual'!C820)=1,COUNTIF('Detalle individual'!$C$5:$C$1000,"&lt;"&amp;'Detalle individual'!C820),""))</f>
        <v/>
      </c>
      <c r="AC820" t="str">
        <f>IF('Detalle individual'!D820="","",IF(COUNTIF('Detalle individual'!$D$5:D820,'Detalle individual'!D820)=1,COUNTIF('Detalle individual'!$D$5:$D$1000,"&lt;"&amp;'Detalle individual'!D820),""))</f>
        <v/>
      </c>
      <c r="AH820" t="str">
        <f>IF('Detalle individual'!F820="Pendiente",COUNTIF('Detalle individual'!$D$5:$D$1000,"&lt;"&amp;'Detalle individual'!D820)*1000000+COUNTIF('Detalle individual'!$C$5:$C$1000,"&lt;"&amp;'Detalle individual'!C820)*1000+COUNTIF('Detalle individual'!$B$5:$B$1000,"&lt;"&amp;'Detalle individual'!B820)+ROW()/10000,"")</f>
        <v/>
      </c>
      <c r="AI820" t="str">
        <f>IF('Detalle individual'!F820="Completado",COUNTIF('Detalle individual'!$D$5:$D$1000,"&lt;"&amp;'Detalle individual'!D820)*1000000+COUNTIF('Detalle individual'!$C$5:$C$1000,"&lt;"&amp;'Detalle individual'!C820)*1000+COUNTIF('Detalle individual'!$B$5:$B$1000,"&lt;"&amp;'Detalle individual'!B820)+ROW()/10000,"")</f>
        <v/>
      </c>
      <c r="AJ820" t="str">
        <f>IF(AND('Detalle individual'!F820&lt;&gt;"",'Detalle individual'!F820&lt;&gt;"Completado",'Detalle individual'!F820&lt;&gt;"Pendiente"),COUNTIF('Detalle individual'!$D$5:$D$1000,"&lt;"&amp;'Detalle individual'!D820)*1000000+COUNTIF('Detalle individual'!$C$5:$C$1000,"&lt;"&amp;'Detalle individual'!C820)*1000+COUNTIF('Detalle individual'!$B$5:$B$1000,"&lt;"&amp;'Detalle individual'!B820)+ROW()/10000,"")</f>
        <v/>
      </c>
      <c r="AK820" t="str">
        <f>IF(OR('Base Exámenes'!C820="",'Base Exámenes'!D820=""),"",IF(COUNTIF('Base Exámenes'!$C$5:C820,'Base Exámenes'!C820)=1,'Base Exámenes'!D820+ROW()/1000000000,""))</f>
        <v/>
      </c>
      <c r="AL820" t="str">
        <f>IF(OR('Base Exámenes'!C820="",'Base Exámenes'!E820=""),"",IF(COUNTIF('Base Exámenes'!$C$5:C820,'Base Exámenes'!C820)=1,'Base Exámenes'!E820+ROW()/1000000000,""))</f>
        <v/>
      </c>
      <c r="AM820" t="str">
        <f>IF(OR('Base Exámenes'!C820="",'Base Exámenes'!G820=""),"",IF(ROW()-4=MATCH('Base Exámenes'!C820&amp;"|"&amp;_xlfn.MAXIFS('Base Exámenes'!$G$5:$G$1000,'Base Exámenes'!$C$5:$C$1000,'Base Exámenes'!C820),'Base Exámenes'!$I$5:$I$1000,0),'Base Exámenes'!G820*1000000+(-1)*'Base Exámenes'!D820,""))</f>
        <v/>
      </c>
      <c r="AQ820" t="str">
        <f>IF('Base Exámenes'!C820="","",IF(COUNTIF('Base Exámenes'!$C$5:$C$1000,'Base Exámenes'!C820)&lt;2,"",MATCH('Base Exámenes'!C820,'Base Exámenes'!$C$5:$C$1000,0)*10000+ROW()))</f>
        <v/>
      </c>
    </row>
    <row r="821">
      <c r="Z821" t="str">
        <f>IF('Detalle individual'!A821="","",IF(AND(OR('Estado por Colaborador'!$D$4="Todas las gerencias",'Detalle individual'!D821='Estado por Colaborador'!$D$4),OR('Estado por Colaborador'!$D$5="Todos los departamentos",TRIM('Detalle individual'!C821)='Estado por Colaborador'!$D$5),OR('Estado por Colaborador'!$D$6="Todos",'Detalle individual'!F821='Estado por Colaborador'!$D$6)),IF('Detalle individual'!F821="Completado",30000000,IF('Detalle individual'!F821="Pendiente",0,15000000))+COUNTIF('Detalle individual'!$C$5:$C$1000,"&lt;"&amp;'Detalle individual'!C821)*10000+ROW(),""))</f>
        <v/>
      </c>
      <c r="AB821" t="str">
        <f>IF('Detalle individual'!C821="","",IF(COUNTIF('Detalle individual'!$C$5:C821,'Detalle individual'!C821)=1,COUNTIF('Detalle individual'!$C$5:$C$1000,"&lt;"&amp;'Detalle individual'!C821),""))</f>
        <v/>
      </c>
      <c r="AC821" t="str">
        <f>IF('Detalle individual'!D821="","",IF(COUNTIF('Detalle individual'!$D$5:D821,'Detalle individual'!D821)=1,COUNTIF('Detalle individual'!$D$5:$D$1000,"&lt;"&amp;'Detalle individual'!D821),""))</f>
        <v/>
      </c>
      <c r="AH821" t="str">
        <f>IF('Detalle individual'!F821="Pendiente",COUNTIF('Detalle individual'!$D$5:$D$1000,"&lt;"&amp;'Detalle individual'!D821)*1000000+COUNTIF('Detalle individual'!$C$5:$C$1000,"&lt;"&amp;'Detalle individual'!C821)*1000+COUNTIF('Detalle individual'!$B$5:$B$1000,"&lt;"&amp;'Detalle individual'!B821)+ROW()/10000,"")</f>
        <v/>
      </c>
      <c r="AI821" t="str">
        <f>IF('Detalle individual'!F821="Completado",COUNTIF('Detalle individual'!$D$5:$D$1000,"&lt;"&amp;'Detalle individual'!D821)*1000000+COUNTIF('Detalle individual'!$C$5:$C$1000,"&lt;"&amp;'Detalle individual'!C821)*1000+COUNTIF('Detalle individual'!$B$5:$B$1000,"&lt;"&amp;'Detalle individual'!B821)+ROW()/10000,"")</f>
        <v/>
      </c>
      <c r="AJ821" t="str">
        <f>IF(AND('Detalle individual'!F821&lt;&gt;"",'Detalle individual'!F821&lt;&gt;"Completado",'Detalle individual'!F821&lt;&gt;"Pendiente"),COUNTIF('Detalle individual'!$D$5:$D$1000,"&lt;"&amp;'Detalle individual'!D821)*1000000+COUNTIF('Detalle individual'!$C$5:$C$1000,"&lt;"&amp;'Detalle individual'!C821)*1000+COUNTIF('Detalle individual'!$B$5:$B$1000,"&lt;"&amp;'Detalle individual'!B821)+ROW()/10000,"")</f>
        <v/>
      </c>
      <c r="AK821" t="str">
        <f>IF(OR('Base Exámenes'!C821="",'Base Exámenes'!D821=""),"",IF(COUNTIF('Base Exámenes'!$C$5:C821,'Base Exámenes'!C821)=1,'Base Exámenes'!D821+ROW()/1000000000,""))</f>
        <v/>
      </c>
      <c r="AL821" t="str">
        <f>IF(OR('Base Exámenes'!C821="",'Base Exámenes'!E821=""),"",IF(COUNTIF('Base Exámenes'!$C$5:C821,'Base Exámenes'!C821)=1,'Base Exámenes'!E821+ROW()/1000000000,""))</f>
        <v/>
      </c>
      <c r="AM821" t="str">
        <f>IF(OR('Base Exámenes'!C821="",'Base Exámenes'!G821=""),"",IF(ROW()-4=MATCH('Base Exámenes'!C821&amp;"|"&amp;_xlfn.MAXIFS('Base Exámenes'!$G$5:$G$1000,'Base Exámenes'!$C$5:$C$1000,'Base Exámenes'!C821),'Base Exámenes'!$I$5:$I$1000,0),'Base Exámenes'!G821*1000000+(-1)*'Base Exámenes'!D821,""))</f>
        <v/>
      </c>
      <c r="AQ821" t="str">
        <f>IF('Base Exámenes'!C821="","",IF(COUNTIF('Base Exámenes'!$C$5:$C$1000,'Base Exámenes'!C821)&lt;2,"",MATCH('Base Exámenes'!C821,'Base Exámenes'!$C$5:$C$1000,0)*10000+ROW()))</f>
        <v/>
      </c>
    </row>
    <row r="822">
      <c r="Z822" t="str">
        <f>IF('Detalle individual'!A822="","",IF(AND(OR('Estado por Colaborador'!$D$4="Todas las gerencias",'Detalle individual'!D822='Estado por Colaborador'!$D$4),OR('Estado por Colaborador'!$D$5="Todos los departamentos",TRIM('Detalle individual'!C822)='Estado por Colaborador'!$D$5),OR('Estado por Colaborador'!$D$6="Todos",'Detalle individual'!F822='Estado por Colaborador'!$D$6)),IF('Detalle individual'!F822="Completado",30000000,IF('Detalle individual'!F822="Pendiente",0,15000000))+COUNTIF('Detalle individual'!$C$5:$C$1000,"&lt;"&amp;'Detalle individual'!C822)*10000+ROW(),""))</f>
        <v/>
      </c>
      <c r="AB822" t="str">
        <f>IF('Detalle individual'!C822="","",IF(COUNTIF('Detalle individual'!$C$5:C822,'Detalle individual'!C822)=1,COUNTIF('Detalle individual'!$C$5:$C$1000,"&lt;"&amp;'Detalle individual'!C822),""))</f>
        <v/>
      </c>
      <c r="AC822" t="str">
        <f>IF('Detalle individual'!D822="","",IF(COUNTIF('Detalle individual'!$D$5:D822,'Detalle individual'!D822)=1,COUNTIF('Detalle individual'!$D$5:$D$1000,"&lt;"&amp;'Detalle individual'!D822),""))</f>
        <v/>
      </c>
      <c r="AH822" t="str">
        <f>IF('Detalle individual'!F822="Pendiente",COUNTIF('Detalle individual'!$D$5:$D$1000,"&lt;"&amp;'Detalle individual'!D822)*1000000+COUNTIF('Detalle individual'!$C$5:$C$1000,"&lt;"&amp;'Detalle individual'!C822)*1000+COUNTIF('Detalle individual'!$B$5:$B$1000,"&lt;"&amp;'Detalle individual'!B822)+ROW()/10000,"")</f>
        <v/>
      </c>
      <c r="AI822" t="str">
        <f>IF('Detalle individual'!F822="Completado",COUNTIF('Detalle individual'!$D$5:$D$1000,"&lt;"&amp;'Detalle individual'!D822)*1000000+COUNTIF('Detalle individual'!$C$5:$C$1000,"&lt;"&amp;'Detalle individual'!C822)*1000+COUNTIF('Detalle individual'!$B$5:$B$1000,"&lt;"&amp;'Detalle individual'!B822)+ROW()/10000,"")</f>
        <v/>
      </c>
      <c r="AJ822" t="str">
        <f>IF(AND('Detalle individual'!F822&lt;&gt;"",'Detalle individual'!F822&lt;&gt;"Completado",'Detalle individual'!F822&lt;&gt;"Pendiente"),COUNTIF('Detalle individual'!$D$5:$D$1000,"&lt;"&amp;'Detalle individual'!D822)*1000000+COUNTIF('Detalle individual'!$C$5:$C$1000,"&lt;"&amp;'Detalle individual'!C822)*1000+COUNTIF('Detalle individual'!$B$5:$B$1000,"&lt;"&amp;'Detalle individual'!B822)+ROW()/10000,"")</f>
        <v/>
      </c>
      <c r="AK822" t="str">
        <f>IF(OR('Base Exámenes'!C822="",'Base Exámenes'!D822=""),"",IF(COUNTIF('Base Exámenes'!$C$5:C822,'Base Exámenes'!C822)=1,'Base Exámenes'!D822+ROW()/1000000000,""))</f>
        <v/>
      </c>
      <c r="AL822" t="str">
        <f>IF(OR('Base Exámenes'!C822="",'Base Exámenes'!E822=""),"",IF(COUNTIF('Base Exámenes'!$C$5:C822,'Base Exámenes'!C822)=1,'Base Exámenes'!E822+ROW()/1000000000,""))</f>
        <v/>
      </c>
      <c r="AM822" t="str">
        <f>IF(OR('Base Exámenes'!C822="",'Base Exámenes'!G822=""),"",IF(ROW()-4=MATCH('Base Exámenes'!C822&amp;"|"&amp;_xlfn.MAXIFS('Base Exámenes'!$G$5:$G$1000,'Base Exámenes'!$C$5:$C$1000,'Base Exámenes'!C822),'Base Exámenes'!$I$5:$I$1000,0),'Base Exámenes'!G822*1000000+(-1)*'Base Exámenes'!D822,""))</f>
        <v/>
      </c>
      <c r="AQ822" t="str">
        <f>IF('Base Exámenes'!C822="","",IF(COUNTIF('Base Exámenes'!$C$5:$C$1000,'Base Exámenes'!C822)&lt;2,"",MATCH('Base Exámenes'!C822,'Base Exámenes'!$C$5:$C$1000,0)*10000+ROW()))</f>
        <v/>
      </c>
    </row>
    <row r="823">
      <c r="Z823" t="str">
        <f>IF('Detalle individual'!A823="","",IF(AND(OR('Estado por Colaborador'!$D$4="Todas las gerencias",'Detalle individual'!D823='Estado por Colaborador'!$D$4),OR('Estado por Colaborador'!$D$5="Todos los departamentos",TRIM('Detalle individual'!C823)='Estado por Colaborador'!$D$5),OR('Estado por Colaborador'!$D$6="Todos",'Detalle individual'!F823='Estado por Colaborador'!$D$6)),IF('Detalle individual'!F823="Completado",30000000,IF('Detalle individual'!F823="Pendiente",0,15000000))+COUNTIF('Detalle individual'!$C$5:$C$1000,"&lt;"&amp;'Detalle individual'!C823)*10000+ROW(),""))</f>
        <v/>
      </c>
      <c r="AB823" t="str">
        <f>IF('Detalle individual'!C823="","",IF(COUNTIF('Detalle individual'!$C$5:C823,'Detalle individual'!C823)=1,COUNTIF('Detalle individual'!$C$5:$C$1000,"&lt;"&amp;'Detalle individual'!C823),""))</f>
        <v/>
      </c>
      <c r="AC823" t="str">
        <f>IF('Detalle individual'!D823="","",IF(COUNTIF('Detalle individual'!$D$5:D823,'Detalle individual'!D823)=1,COUNTIF('Detalle individual'!$D$5:$D$1000,"&lt;"&amp;'Detalle individual'!D823),""))</f>
        <v/>
      </c>
      <c r="AH823" t="str">
        <f>IF('Detalle individual'!F823="Pendiente",COUNTIF('Detalle individual'!$D$5:$D$1000,"&lt;"&amp;'Detalle individual'!D823)*1000000+COUNTIF('Detalle individual'!$C$5:$C$1000,"&lt;"&amp;'Detalle individual'!C823)*1000+COUNTIF('Detalle individual'!$B$5:$B$1000,"&lt;"&amp;'Detalle individual'!B823)+ROW()/10000,"")</f>
        <v/>
      </c>
      <c r="AI823" t="str">
        <f>IF('Detalle individual'!F823="Completado",COUNTIF('Detalle individual'!$D$5:$D$1000,"&lt;"&amp;'Detalle individual'!D823)*1000000+COUNTIF('Detalle individual'!$C$5:$C$1000,"&lt;"&amp;'Detalle individual'!C823)*1000+COUNTIF('Detalle individual'!$B$5:$B$1000,"&lt;"&amp;'Detalle individual'!B823)+ROW()/10000,"")</f>
        <v/>
      </c>
      <c r="AJ823" t="str">
        <f>IF(AND('Detalle individual'!F823&lt;&gt;"",'Detalle individual'!F823&lt;&gt;"Completado",'Detalle individual'!F823&lt;&gt;"Pendiente"),COUNTIF('Detalle individual'!$D$5:$D$1000,"&lt;"&amp;'Detalle individual'!D823)*1000000+COUNTIF('Detalle individual'!$C$5:$C$1000,"&lt;"&amp;'Detalle individual'!C823)*1000+COUNTIF('Detalle individual'!$B$5:$B$1000,"&lt;"&amp;'Detalle individual'!B823)+ROW()/10000,"")</f>
        <v/>
      </c>
      <c r="AK823" t="str">
        <f>IF(OR('Base Exámenes'!C823="",'Base Exámenes'!D823=""),"",IF(COUNTIF('Base Exámenes'!$C$5:C823,'Base Exámenes'!C823)=1,'Base Exámenes'!D823+ROW()/1000000000,""))</f>
        <v/>
      </c>
      <c r="AL823" t="str">
        <f>IF(OR('Base Exámenes'!C823="",'Base Exámenes'!E823=""),"",IF(COUNTIF('Base Exámenes'!$C$5:C823,'Base Exámenes'!C823)=1,'Base Exámenes'!E823+ROW()/1000000000,""))</f>
        <v/>
      </c>
      <c r="AM823" t="str">
        <f>IF(OR('Base Exámenes'!C823="",'Base Exámenes'!G823=""),"",IF(ROW()-4=MATCH('Base Exámenes'!C823&amp;"|"&amp;_xlfn.MAXIFS('Base Exámenes'!$G$5:$G$1000,'Base Exámenes'!$C$5:$C$1000,'Base Exámenes'!C823),'Base Exámenes'!$I$5:$I$1000,0),'Base Exámenes'!G823*1000000+(-1)*'Base Exámenes'!D823,""))</f>
        <v/>
      </c>
      <c r="AQ823" t="str">
        <f>IF('Base Exámenes'!C823="","",IF(COUNTIF('Base Exámenes'!$C$5:$C$1000,'Base Exámenes'!C823)&lt;2,"",MATCH('Base Exámenes'!C823,'Base Exámenes'!$C$5:$C$1000,0)*10000+ROW()))</f>
        <v/>
      </c>
    </row>
    <row r="824">
      <c r="Z824" t="str">
        <f>IF('Detalle individual'!A824="","",IF(AND(OR('Estado por Colaborador'!$D$4="Todas las gerencias",'Detalle individual'!D824='Estado por Colaborador'!$D$4),OR('Estado por Colaborador'!$D$5="Todos los departamentos",TRIM('Detalle individual'!C824)='Estado por Colaborador'!$D$5),OR('Estado por Colaborador'!$D$6="Todos",'Detalle individual'!F824='Estado por Colaborador'!$D$6)),IF('Detalle individual'!F824="Completado",30000000,IF('Detalle individual'!F824="Pendiente",0,15000000))+COUNTIF('Detalle individual'!$C$5:$C$1000,"&lt;"&amp;'Detalle individual'!C824)*10000+ROW(),""))</f>
        <v/>
      </c>
      <c r="AB824" t="str">
        <f>IF('Detalle individual'!C824="","",IF(COUNTIF('Detalle individual'!$C$5:C824,'Detalle individual'!C824)=1,COUNTIF('Detalle individual'!$C$5:$C$1000,"&lt;"&amp;'Detalle individual'!C824),""))</f>
        <v/>
      </c>
      <c r="AC824" t="str">
        <f>IF('Detalle individual'!D824="","",IF(COUNTIF('Detalle individual'!$D$5:D824,'Detalle individual'!D824)=1,COUNTIF('Detalle individual'!$D$5:$D$1000,"&lt;"&amp;'Detalle individual'!D824),""))</f>
        <v/>
      </c>
      <c r="AH824" t="str">
        <f>IF('Detalle individual'!F824="Pendiente",COUNTIF('Detalle individual'!$D$5:$D$1000,"&lt;"&amp;'Detalle individual'!D824)*1000000+COUNTIF('Detalle individual'!$C$5:$C$1000,"&lt;"&amp;'Detalle individual'!C824)*1000+COUNTIF('Detalle individual'!$B$5:$B$1000,"&lt;"&amp;'Detalle individual'!B824)+ROW()/10000,"")</f>
        <v/>
      </c>
      <c r="AI824" t="str">
        <f>IF('Detalle individual'!F824="Completado",COUNTIF('Detalle individual'!$D$5:$D$1000,"&lt;"&amp;'Detalle individual'!D824)*1000000+COUNTIF('Detalle individual'!$C$5:$C$1000,"&lt;"&amp;'Detalle individual'!C824)*1000+COUNTIF('Detalle individual'!$B$5:$B$1000,"&lt;"&amp;'Detalle individual'!B824)+ROW()/10000,"")</f>
        <v/>
      </c>
      <c r="AJ824" t="str">
        <f>IF(AND('Detalle individual'!F824&lt;&gt;"",'Detalle individual'!F824&lt;&gt;"Completado",'Detalle individual'!F824&lt;&gt;"Pendiente"),COUNTIF('Detalle individual'!$D$5:$D$1000,"&lt;"&amp;'Detalle individual'!D824)*1000000+COUNTIF('Detalle individual'!$C$5:$C$1000,"&lt;"&amp;'Detalle individual'!C824)*1000+COUNTIF('Detalle individual'!$B$5:$B$1000,"&lt;"&amp;'Detalle individual'!B824)+ROW()/10000,"")</f>
        <v/>
      </c>
      <c r="AK824" t="str">
        <f>IF(OR('Base Exámenes'!C824="",'Base Exámenes'!D824=""),"",IF(COUNTIF('Base Exámenes'!$C$5:C824,'Base Exámenes'!C824)=1,'Base Exámenes'!D824+ROW()/1000000000,""))</f>
        <v/>
      </c>
      <c r="AL824" t="str">
        <f>IF(OR('Base Exámenes'!C824="",'Base Exámenes'!E824=""),"",IF(COUNTIF('Base Exámenes'!$C$5:C824,'Base Exámenes'!C824)=1,'Base Exámenes'!E824+ROW()/1000000000,""))</f>
        <v/>
      </c>
      <c r="AM824" t="str">
        <f>IF(OR('Base Exámenes'!C824="",'Base Exámenes'!G824=""),"",IF(ROW()-4=MATCH('Base Exámenes'!C824&amp;"|"&amp;_xlfn.MAXIFS('Base Exámenes'!$G$5:$G$1000,'Base Exámenes'!$C$5:$C$1000,'Base Exámenes'!C824),'Base Exámenes'!$I$5:$I$1000,0),'Base Exámenes'!G824*1000000+(-1)*'Base Exámenes'!D824,""))</f>
        <v/>
      </c>
      <c r="AQ824" t="str">
        <f>IF('Base Exámenes'!C824="","",IF(COUNTIF('Base Exámenes'!$C$5:$C$1000,'Base Exámenes'!C824)&lt;2,"",MATCH('Base Exámenes'!C824,'Base Exámenes'!$C$5:$C$1000,0)*10000+ROW()))</f>
        <v/>
      </c>
    </row>
    <row r="825">
      <c r="Z825" t="str">
        <f>IF('Detalle individual'!A825="","",IF(AND(OR('Estado por Colaborador'!$D$4="Todas las gerencias",'Detalle individual'!D825='Estado por Colaborador'!$D$4),OR('Estado por Colaborador'!$D$5="Todos los departamentos",TRIM('Detalle individual'!C825)='Estado por Colaborador'!$D$5),OR('Estado por Colaborador'!$D$6="Todos",'Detalle individual'!F825='Estado por Colaborador'!$D$6)),IF('Detalle individual'!F825="Completado",30000000,IF('Detalle individual'!F825="Pendiente",0,15000000))+COUNTIF('Detalle individual'!$C$5:$C$1000,"&lt;"&amp;'Detalle individual'!C825)*10000+ROW(),""))</f>
        <v/>
      </c>
      <c r="AB825" t="str">
        <f>IF('Detalle individual'!C825="","",IF(COUNTIF('Detalle individual'!$C$5:C825,'Detalle individual'!C825)=1,COUNTIF('Detalle individual'!$C$5:$C$1000,"&lt;"&amp;'Detalle individual'!C825),""))</f>
        <v/>
      </c>
      <c r="AC825" t="str">
        <f>IF('Detalle individual'!D825="","",IF(COUNTIF('Detalle individual'!$D$5:D825,'Detalle individual'!D825)=1,COUNTIF('Detalle individual'!$D$5:$D$1000,"&lt;"&amp;'Detalle individual'!D825),""))</f>
        <v/>
      </c>
      <c r="AH825" t="str">
        <f>IF('Detalle individual'!F825="Pendiente",COUNTIF('Detalle individual'!$D$5:$D$1000,"&lt;"&amp;'Detalle individual'!D825)*1000000+COUNTIF('Detalle individual'!$C$5:$C$1000,"&lt;"&amp;'Detalle individual'!C825)*1000+COUNTIF('Detalle individual'!$B$5:$B$1000,"&lt;"&amp;'Detalle individual'!B825)+ROW()/10000,"")</f>
        <v/>
      </c>
      <c r="AI825" t="str">
        <f>IF('Detalle individual'!F825="Completado",COUNTIF('Detalle individual'!$D$5:$D$1000,"&lt;"&amp;'Detalle individual'!D825)*1000000+COUNTIF('Detalle individual'!$C$5:$C$1000,"&lt;"&amp;'Detalle individual'!C825)*1000+COUNTIF('Detalle individual'!$B$5:$B$1000,"&lt;"&amp;'Detalle individual'!B825)+ROW()/10000,"")</f>
        <v/>
      </c>
      <c r="AJ825" t="str">
        <f>IF(AND('Detalle individual'!F825&lt;&gt;"",'Detalle individual'!F825&lt;&gt;"Completado",'Detalle individual'!F825&lt;&gt;"Pendiente"),COUNTIF('Detalle individual'!$D$5:$D$1000,"&lt;"&amp;'Detalle individual'!D825)*1000000+COUNTIF('Detalle individual'!$C$5:$C$1000,"&lt;"&amp;'Detalle individual'!C825)*1000+COUNTIF('Detalle individual'!$B$5:$B$1000,"&lt;"&amp;'Detalle individual'!B825)+ROW()/10000,"")</f>
        <v/>
      </c>
      <c r="AK825" t="str">
        <f>IF(OR('Base Exámenes'!C825="",'Base Exámenes'!D825=""),"",IF(COUNTIF('Base Exámenes'!$C$5:C825,'Base Exámenes'!C825)=1,'Base Exámenes'!D825+ROW()/1000000000,""))</f>
        <v/>
      </c>
      <c r="AL825" t="str">
        <f>IF(OR('Base Exámenes'!C825="",'Base Exámenes'!E825=""),"",IF(COUNTIF('Base Exámenes'!$C$5:C825,'Base Exámenes'!C825)=1,'Base Exámenes'!E825+ROW()/1000000000,""))</f>
        <v/>
      </c>
      <c r="AM825" t="str">
        <f>IF(OR('Base Exámenes'!C825="",'Base Exámenes'!G825=""),"",IF(ROW()-4=MATCH('Base Exámenes'!C825&amp;"|"&amp;_xlfn.MAXIFS('Base Exámenes'!$G$5:$G$1000,'Base Exámenes'!$C$5:$C$1000,'Base Exámenes'!C825),'Base Exámenes'!$I$5:$I$1000,0),'Base Exámenes'!G825*1000000+(-1)*'Base Exámenes'!D825,""))</f>
        <v/>
      </c>
      <c r="AQ825" t="str">
        <f>IF('Base Exámenes'!C825="","",IF(COUNTIF('Base Exámenes'!$C$5:$C$1000,'Base Exámenes'!C825)&lt;2,"",MATCH('Base Exámenes'!C825,'Base Exámenes'!$C$5:$C$1000,0)*10000+ROW()))</f>
        <v/>
      </c>
    </row>
    <row r="826">
      <c r="Z826" t="str">
        <f>IF('Detalle individual'!A826="","",IF(AND(OR('Estado por Colaborador'!$D$4="Todas las gerencias",'Detalle individual'!D826='Estado por Colaborador'!$D$4),OR('Estado por Colaborador'!$D$5="Todos los departamentos",TRIM('Detalle individual'!C826)='Estado por Colaborador'!$D$5),OR('Estado por Colaborador'!$D$6="Todos",'Detalle individual'!F826='Estado por Colaborador'!$D$6)),IF('Detalle individual'!F826="Completado",30000000,IF('Detalle individual'!F826="Pendiente",0,15000000))+COUNTIF('Detalle individual'!$C$5:$C$1000,"&lt;"&amp;'Detalle individual'!C826)*10000+ROW(),""))</f>
        <v/>
      </c>
      <c r="AB826" t="str">
        <f>IF('Detalle individual'!C826="","",IF(COUNTIF('Detalle individual'!$C$5:C826,'Detalle individual'!C826)=1,COUNTIF('Detalle individual'!$C$5:$C$1000,"&lt;"&amp;'Detalle individual'!C826),""))</f>
        <v/>
      </c>
      <c r="AC826" t="str">
        <f>IF('Detalle individual'!D826="","",IF(COUNTIF('Detalle individual'!$D$5:D826,'Detalle individual'!D826)=1,COUNTIF('Detalle individual'!$D$5:$D$1000,"&lt;"&amp;'Detalle individual'!D826),""))</f>
        <v/>
      </c>
      <c r="AH826" t="str">
        <f>IF('Detalle individual'!F826="Pendiente",COUNTIF('Detalle individual'!$D$5:$D$1000,"&lt;"&amp;'Detalle individual'!D826)*1000000+COUNTIF('Detalle individual'!$C$5:$C$1000,"&lt;"&amp;'Detalle individual'!C826)*1000+COUNTIF('Detalle individual'!$B$5:$B$1000,"&lt;"&amp;'Detalle individual'!B826)+ROW()/10000,"")</f>
        <v/>
      </c>
      <c r="AI826" t="str">
        <f>IF('Detalle individual'!F826="Completado",COUNTIF('Detalle individual'!$D$5:$D$1000,"&lt;"&amp;'Detalle individual'!D826)*1000000+COUNTIF('Detalle individual'!$C$5:$C$1000,"&lt;"&amp;'Detalle individual'!C826)*1000+COUNTIF('Detalle individual'!$B$5:$B$1000,"&lt;"&amp;'Detalle individual'!B826)+ROW()/10000,"")</f>
        <v/>
      </c>
      <c r="AJ826" t="str">
        <f>IF(AND('Detalle individual'!F826&lt;&gt;"",'Detalle individual'!F826&lt;&gt;"Completado",'Detalle individual'!F826&lt;&gt;"Pendiente"),COUNTIF('Detalle individual'!$D$5:$D$1000,"&lt;"&amp;'Detalle individual'!D826)*1000000+COUNTIF('Detalle individual'!$C$5:$C$1000,"&lt;"&amp;'Detalle individual'!C826)*1000+COUNTIF('Detalle individual'!$B$5:$B$1000,"&lt;"&amp;'Detalle individual'!B826)+ROW()/10000,"")</f>
        <v/>
      </c>
      <c r="AK826" t="str">
        <f>IF(OR('Base Exámenes'!C826="",'Base Exámenes'!D826=""),"",IF(COUNTIF('Base Exámenes'!$C$5:C826,'Base Exámenes'!C826)=1,'Base Exámenes'!D826+ROW()/1000000000,""))</f>
        <v/>
      </c>
      <c r="AL826" t="str">
        <f>IF(OR('Base Exámenes'!C826="",'Base Exámenes'!E826=""),"",IF(COUNTIF('Base Exámenes'!$C$5:C826,'Base Exámenes'!C826)=1,'Base Exámenes'!E826+ROW()/1000000000,""))</f>
        <v/>
      </c>
      <c r="AM826" t="str">
        <f>IF(OR('Base Exámenes'!C826="",'Base Exámenes'!G826=""),"",IF(ROW()-4=MATCH('Base Exámenes'!C826&amp;"|"&amp;_xlfn.MAXIFS('Base Exámenes'!$G$5:$G$1000,'Base Exámenes'!$C$5:$C$1000,'Base Exámenes'!C826),'Base Exámenes'!$I$5:$I$1000,0),'Base Exámenes'!G826*1000000+(-1)*'Base Exámenes'!D826,""))</f>
        <v/>
      </c>
      <c r="AQ826" t="str">
        <f>IF('Base Exámenes'!C826="","",IF(COUNTIF('Base Exámenes'!$C$5:$C$1000,'Base Exámenes'!C826)&lt;2,"",MATCH('Base Exámenes'!C826,'Base Exámenes'!$C$5:$C$1000,0)*10000+ROW()))</f>
        <v/>
      </c>
    </row>
    <row r="827">
      <c r="Z827" t="str">
        <f>IF('Detalle individual'!A827="","",IF(AND(OR('Estado por Colaborador'!$D$4="Todas las gerencias",'Detalle individual'!D827='Estado por Colaborador'!$D$4),OR('Estado por Colaborador'!$D$5="Todos los departamentos",TRIM('Detalle individual'!C827)='Estado por Colaborador'!$D$5),OR('Estado por Colaborador'!$D$6="Todos",'Detalle individual'!F827='Estado por Colaborador'!$D$6)),IF('Detalle individual'!F827="Completado",30000000,IF('Detalle individual'!F827="Pendiente",0,15000000))+COUNTIF('Detalle individual'!$C$5:$C$1000,"&lt;"&amp;'Detalle individual'!C827)*10000+ROW(),""))</f>
        <v/>
      </c>
      <c r="AB827" t="str">
        <f>IF('Detalle individual'!C827="","",IF(COUNTIF('Detalle individual'!$C$5:C827,'Detalle individual'!C827)=1,COUNTIF('Detalle individual'!$C$5:$C$1000,"&lt;"&amp;'Detalle individual'!C827),""))</f>
        <v/>
      </c>
      <c r="AC827" t="str">
        <f>IF('Detalle individual'!D827="","",IF(COUNTIF('Detalle individual'!$D$5:D827,'Detalle individual'!D827)=1,COUNTIF('Detalle individual'!$D$5:$D$1000,"&lt;"&amp;'Detalle individual'!D827),""))</f>
        <v/>
      </c>
      <c r="AH827" t="str">
        <f>IF('Detalle individual'!F827="Pendiente",COUNTIF('Detalle individual'!$D$5:$D$1000,"&lt;"&amp;'Detalle individual'!D827)*1000000+COUNTIF('Detalle individual'!$C$5:$C$1000,"&lt;"&amp;'Detalle individual'!C827)*1000+COUNTIF('Detalle individual'!$B$5:$B$1000,"&lt;"&amp;'Detalle individual'!B827)+ROW()/10000,"")</f>
        <v/>
      </c>
      <c r="AI827" t="str">
        <f>IF('Detalle individual'!F827="Completado",COUNTIF('Detalle individual'!$D$5:$D$1000,"&lt;"&amp;'Detalle individual'!D827)*1000000+COUNTIF('Detalle individual'!$C$5:$C$1000,"&lt;"&amp;'Detalle individual'!C827)*1000+COUNTIF('Detalle individual'!$B$5:$B$1000,"&lt;"&amp;'Detalle individual'!B827)+ROW()/10000,"")</f>
        <v/>
      </c>
      <c r="AJ827" t="str">
        <f>IF(AND('Detalle individual'!F827&lt;&gt;"",'Detalle individual'!F827&lt;&gt;"Completado",'Detalle individual'!F827&lt;&gt;"Pendiente"),COUNTIF('Detalle individual'!$D$5:$D$1000,"&lt;"&amp;'Detalle individual'!D827)*1000000+COUNTIF('Detalle individual'!$C$5:$C$1000,"&lt;"&amp;'Detalle individual'!C827)*1000+COUNTIF('Detalle individual'!$B$5:$B$1000,"&lt;"&amp;'Detalle individual'!B827)+ROW()/10000,"")</f>
        <v/>
      </c>
      <c r="AK827" t="str">
        <f>IF(OR('Base Exámenes'!C827="",'Base Exámenes'!D827=""),"",IF(COUNTIF('Base Exámenes'!$C$5:C827,'Base Exámenes'!C827)=1,'Base Exámenes'!D827+ROW()/1000000000,""))</f>
        <v/>
      </c>
      <c r="AL827" t="str">
        <f>IF(OR('Base Exámenes'!C827="",'Base Exámenes'!E827=""),"",IF(COUNTIF('Base Exámenes'!$C$5:C827,'Base Exámenes'!C827)=1,'Base Exámenes'!E827+ROW()/1000000000,""))</f>
        <v/>
      </c>
      <c r="AM827" t="str">
        <f>IF(OR('Base Exámenes'!C827="",'Base Exámenes'!G827=""),"",IF(ROW()-4=MATCH('Base Exámenes'!C827&amp;"|"&amp;_xlfn.MAXIFS('Base Exámenes'!$G$5:$G$1000,'Base Exámenes'!$C$5:$C$1000,'Base Exámenes'!C827),'Base Exámenes'!$I$5:$I$1000,0),'Base Exámenes'!G827*1000000+(-1)*'Base Exámenes'!D827,""))</f>
        <v/>
      </c>
      <c r="AQ827" t="str">
        <f>IF('Base Exámenes'!C827="","",IF(COUNTIF('Base Exámenes'!$C$5:$C$1000,'Base Exámenes'!C827)&lt;2,"",MATCH('Base Exámenes'!C827,'Base Exámenes'!$C$5:$C$1000,0)*10000+ROW()))</f>
        <v/>
      </c>
    </row>
    <row r="828">
      <c r="Z828" t="str">
        <f>IF('Detalle individual'!A828="","",IF(AND(OR('Estado por Colaborador'!$D$4="Todas las gerencias",'Detalle individual'!D828='Estado por Colaborador'!$D$4),OR('Estado por Colaborador'!$D$5="Todos los departamentos",TRIM('Detalle individual'!C828)='Estado por Colaborador'!$D$5),OR('Estado por Colaborador'!$D$6="Todos",'Detalle individual'!F828='Estado por Colaborador'!$D$6)),IF('Detalle individual'!F828="Completado",30000000,IF('Detalle individual'!F828="Pendiente",0,15000000))+COUNTIF('Detalle individual'!$C$5:$C$1000,"&lt;"&amp;'Detalle individual'!C828)*10000+ROW(),""))</f>
        <v/>
      </c>
      <c r="AB828" t="str">
        <f>IF('Detalle individual'!C828="","",IF(COUNTIF('Detalle individual'!$C$5:C828,'Detalle individual'!C828)=1,COUNTIF('Detalle individual'!$C$5:$C$1000,"&lt;"&amp;'Detalle individual'!C828),""))</f>
        <v/>
      </c>
      <c r="AC828" t="str">
        <f>IF('Detalle individual'!D828="","",IF(COUNTIF('Detalle individual'!$D$5:D828,'Detalle individual'!D828)=1,COUNTIF('Detalle individual'!$D$5:$D$1000,"&lt;"&amp;'Detalle individual'!D828),""))</f>
        <v/>
      </c>
      <c r="AH828" t="str">
        <f>IF('Detalle individual'!F828="Pendiente",COUNTIF('Detalle individual'!$D$5:$D$1000,"&lt;"&amp;'Detalle individual'!D828)*1000000+COUNTIF('Detalle individual'!$C$5:$C$1000,"&lt;"&amp;'Detalle individual'!C828)*1000+COUNTIF('Detalle individual'!$B$5:$B$1000,"&lt;"&amp;'Detalle individual'!B828)+ROW()/10000,"")</f>
        <v/>
      </c>
      <c r="AI828" t="str">
        <f>IF('Detalle individual'!F828="Completado",COUNTIF('Detalle individual'!$D$5:$D$1000,"&lt;"&amp;'Detalle individual'!D828)*1000000+COUNTIF('Detalle individual'!$C$5:$C$1000,"&lt;"&amp;'Detalle individual'!C828)*1000+COUNTIF('Detalle individual'!$B$5:$B$1000,"&lt;"&amp;'Detalle individual'!B828)+ROW()/10000,"")</f>
        <v/>
      </c>
      <c r="AJ828" t="str">
        <f>IF(AND('Detalle individual'!F828&lt;&gt;"",'Detalle individual'!F828&lt;&gt;"Completado",'Detalle individual'!F828&lt;&gt;"Pendiente"),COUNTIF('Detalle individual'!$D$5:$D$1000,"&lt;"&amp;'Detalle individual'!D828)*1000000+COUNTIF('Detalle individual'!$C$5:$C$1000,"&lt;"&amp;'Detalle individual'!C828)*1000+COUNTIF('Detalle individual'!$B$5:$B$1000,"&lt;"&amp;'Detalle individual'!B828)+ROW()/10000,"")</f>
        <v/>
      </c>
      <c r="AK828" t="str">
        <f>IF(OR('Base Exámenes'!C828="",'Base Exámenes'!D828=""),"",IF(COUNTIF('Base Exámenes'!$C$5:C828,'Base Exámenes'!C828)=1,'Base Exámenes'!D828+ROW()/1000000000,""))</f>
        <v/>
      </c>
      <c r="AL828" t="str">
        <f>IF(OR('Base Exámenes'!C828="",'Base Exámenes'!E828=""),"",IF(COUNTIF('Base Exámenes'!$C$5:C828,'Base Exámenes'!C828)=1,'Base Exámenes'!E828+ROW()/1000000000,""))</f>
        <v/>
      </c>
      <c r="AM828" t="str">
        <f>IF(OR('Base Exámenes'!C828="",'Base Exámenes'!G828=""),"",IF(ROW()-4=MATCH('Base Exámenes'!C828&amp;"|"&amp;_xlfn.MAXIFS('Base Exámenes'!$G$5:$G$1000,'Base Exámenes'!$C$5:$C$1000,'Base Exámenes'!C828),'Base Exámenes'!$I$5:$I$1000,0),'Base Exámenes'!G828*1000000+(-1)*'Base Exámenes'!D828,""))</f>
        <v/>
      </c>
      <c r="AQ828" t="str">
        <f>IF('Base Exámenes'!C828="","",IF(COUNTIF('Base Exámenes'!$C$5:$C$1000,'Base Exámenes'!C828)&lt;2,"",MATCH('Base Exámenes'!C828,'Base Exámenes'!$C$5:$C$1000,0)*10000+ROW()))</f>
        <v/>
      </c>
    </row>
    <row r="829">
      <c r="Z829" t="str">
        <f>IF('Detalle individual'!A829="","",IF(AND(OR('Estado por Colaborador'!$D$4="Todas las gerencias",'Detalle individual'!D829='Estado por Colaborador'!$D$4),OR('Estado por Colaborador'!$D$5="Todos los departamentos",TRIM('Detalle individual'!C829)='Estado por Colaborador'!$D$5),OR('Estado por Colaborador'!$D$6="Todos",'Detalle individual'!F829='Estado por Colaborador'!$D$6)),IF('Detalle individual'!F829="Completado",30000000,IF('Detalle individual'!F829="Pendiente",0,15000000))+COUNTIF('Detalle individual'!$C$5:$C$1000,"&lt;"&amp;'Detalle individual'!C829)*10000+ROW(),""))</f>
        <v/>
      </c>
      <c r="AB829" t="str">
        <f>IF('Detalle individual'!C829="","",IF(COUNTIF('Detalle individual'!$C$5:C829,'Detalle individual'!C829)=1,COUNTIF('Detalle individual'!$C$5:$C$1000,"&lt;"&amp;'Detalle individual'!C829),""))</f>
        <v/>
      </c>
      <c r="AC829" t="str">
        <f>IF('Detalle individual'!D829="","",IF(COUNTIF('Detalle individual'!$D$5:D829,'Detalle individual'!D829)=1,COUNTIF('Detalle individual'!$D$5:$D$1000,"&lt;"&amp;'Detalle individual'!D829),""))</f>
        <v/>
      </c>
      <c r="AH829" t="str">
        <f>IF('Detalle individual'!F829="Pendiente",COUNTIF('Detalle individual'!$D$5:$D$1000,"&lt;"&amp;'Detalle individual'!D829)*1000000+COUNTIF('Detalle individual'!$C$5:$C$1000,"&lt;"&amp;'Detalle individual'!C829)*1000+COUNTIF('Detalle individual'!$B$5:$B$1000,"&lt;"&amp;'Detalle individual'!B829)+ROW()/10000,"")</f>
        <v/>
      </c>
      <c r="AI829" t="str">
        <f>IF('Detalle individual'!F829="Completado",COUNTIF('Detalle individual'!$D$5:$D$1000,"&lt;"&amp;'Detalle individual'!D829)*1000000+COUNTIF('Detalle individual'!$C$5:$C$1000,"&lt;"&amp;'Detalle individual'!C829)*1000+COUNTIF('Detalle individual'!$B$5:$B$1000,"&lt;"&amp;'Detalle individual'!B829)+ROW()/10000,"")</f>
        <v/>
      </c>
      <c r="AJ829" t="str">
        <f>IF(AND('Detalle individual'!F829&lt;&gt;"",'Detalle individual'!F829&lt;&gt;"Completado",'Detalle individual'!F829&lt;&gt;"Pendiente"),COUNTIF('Detalle individual'!$D$5:$D$1000,"&lt;"&amp;'Detalle individual'!D829)*1000000+COUNTIF('Detalle individual'!$C$5:$C$1000,"&lt;"&amp;'Detalle individual'!C829)*1000+COUNTIF('Detalle individual'!$B$5:$B$1000,"&lt;"&amp;'Detalle individual'!B829)+ROW()/10000,"")</f>
        <v/>
      </c>
      <c r="AK829" t="str">
        <f>IF(OR('Base Exámenes'!C829="",'Base Exámenes'!D829=""),"",IF(COUNTIF('Base Exámenes'!$C$5:C829,'Base Exámenes'!C829)=1,'Base Exámenes'!D829+ROW()/1000000000,""))</f>
        <v/>
      </c>
      <c r="AL829" t="str">
        <f>IF(OR('Base Exámenes'!C829="",'Base Exámenes'!E829=""),"",IF(COUNTIF('Base Exámenes'!$C$5:C829,'Base Exámenes'!C829)=1,'Base Exámenes'!E829+ROW()/1000000000,""))</f>
        <v/>
      </c>
      <c r="AM829" t="str">
        <f>IF(OR('Base Exámenes'!C829="",'Base Exámenes'!G829=""),"",IF(ROW()-4=MATCH('Base Exámenes'!C829&amp;"|"&amp;_xlfn.MAXIFS('Base Exámenes'!$G$5:$G$1000,'Base Exámenes'!$C$5:$C$1000,'Base Exámenes'!C829),'Base Exámenes'!$I$5:$I$1000,0),'Base Exámenes'!G829*1000000+(-1)*'Base Exámenes'!D829,""))</f>
        <v/>
      </c>
      <c r="AQ829" t="str">
        <f>IF('Base Exámenes'!C829="","",IF(COUNTIF('Base Exámenes'!$C$5:$C$1000,'Base Exámenes'!C829)&lt;2,"",MATCH('Base Exámenes'!C829,'Base Exámenes'!$C$5:$C$1000,0)*10000+ROW()))</f>
        <v/>
      </c>
    </row>
    <row r="830">
      <c r="Z830" t="str">
        <f>IF('Detalle individual'!A830="","",IF(AND(OR('Estado por Colaborador'!$D$4="Todas las gerencias",'Detalle individual'!D830='Estado por Colaborador'!$D$4),OR('Estado por Colaborador'!$D$5="Todos los departamentos",TRIM('Detalle individual'!C830)='Estado por Colaborador'!$D$5),OR('Estado por Colaborador'!$D$6="Todos",'Detalle individual'!F830='Estado por Colaborador'!$D$6)),IF('Detalle individual'!F830="Completado",30000000,IF('Detalle individual'!F830="Pendiente",0,15000000))+COUNTIF('Detalle individual'!$C$5:$C$1000,"&lt;"&amp;'Detalle individual'!C830)*10000+ROW(),""))</f>
        <v/>
      </c>
      <c r="AB830" t="str">
        <f>IF('Detalle individual'!C830="","",IF(COUNTIF('Detalle individual'!$C$5:C830,'Detalle individual'!C830)=1,COUNTIF('Detalle individual'!$C$5:$C$1000,"&lt;"&amp;'Detalle individual'!C830),""))</f>
        <v/>
      </c>
      <c r="AC830" t="str">
        <f>IF('Detalle individual'!D830="","",IF(COUNTIF('Detalle individual'!$D$5:D830,'Detalle individual'!D830)=1,COUNTIF('Detalle individual'!$D$5:$D$1000,"&lt;"&amp;'Detalle individual'!D830),""))</f>
        <v/>
      </c>
      <c r="AH830" t="str">
        <f>IF('Detalle individual'!F830="Pendiente",COUNTIF('Detalle individual'!$D$5:$D$1000,"&lt;"&amp;'Detalle individual'!D830)*1000000+COUNTIF('Detalle individual'!$C$5:$C$1000,"&lt;"&amp;'Detalle individual'!C830)*1000+COUNTIF('Detalle individual'!$B$5:$B$1000,"&lt;"&amp;'Detalle individual'!B830)+ROW()/10000,"")</f>
        <v/>
      </c>
      <c r="AI830" t="str">
        <f>IF('Detalle individual'!F830="Completado",COUNTIF('Detalle individual'!$D$5:$D$1000,"&lt;"&amp;'Detalle individual'!D830)*1000000+COUNTIF('Detalle individual'!$C$5:$C$1000,"&lt;"&amp;'Detalle individual'!C830)*1000+COUNTIF('Detalle individual'!$B$5:$B$1000,"&lt;"&amp;'Detalle individual'!B830)+ROW()/10000,"")</f>
        <v/>
      </c>
      <c r="AJ830" t="str">
        <f>IF(AND('Detalle individual'!F830&lt;&gt;"",'Detalle individual'!F830&lt;&gt;"Completado",'Detalle individual'!F830&lt;&gt;"Pendiente"),COUNTIF('Detalle individual'!$D$5:$D$1000,"&lt;"&amp;'Detalle individual'!D830)*1000000+COUNTIF('Detalle individual'!$C$5:$C$1000,"&lt;"&amp;'Detalle individual'!C830)*1000+COUNTIF('Detalle individual'!$B$5:$B$1000,"&lt;"&amp;'Detalle individual'!B830)+ROW()/10000,"")</f>
        <v/>
      </c>
      <c r="AK830" t="str">
        <f>IF(OR('Base Exámenes'!C830="",'Base Exámenes'!D830=""),"",IF(COUNTIF('Base Exámenes'!$C$5:C830,'Base Exámenes'!C830)=1,'Base Exámenes'!D830+ROW()/1000000000,""))</f>
        <v/>
      </c>
      <c r="AL830" t="str">
        <f>IF(OR('Base Exámenes'!C830="",'Base Exámenes'!E830=""),"",IF(COUNTIF('Base Exámenes'!$C$5:C830,'Base Exámenes'!C830)=1,'Base Exámenes'!E830+ROW()/1000000000,""))</f>
        <v/>
      </c>
      <c r="AM830" t="str">
        <f>IF(OR('Base Exámenes'!C830="",'Base Exámenes'!G830=""),"",IF(ROW()-4=MATCH('Base Exámenes'!C830&amp;"|"&amp;_xlfn.MAXIFS('Base Exámenes'!$G$5:$G$1000,'Base Exámenes'!$C$5:$C$1000,'Base Exámenes'!C830),'Base Exámenes'!$I$5:$I$1000,0),'Base Exámenes'!G830*1000000+(-1)*'Base Exámenes'!D830,""))</f>
        <v/>
      </c>
      <c r="AQ830" t="str">
        <f>IF('Base Exámenes'!C830="","",IF(COUNTIF('Base Exámenes'!$C$5:$C$1000,'Base Exámenes'!C830)&lt;2,"",MATCH('Base Exámenes'!C830,'Base Exámenes'!$C$5:$C$1000,0)*10000+ROW()))</f>
        <v/>
      </c>
    </row>
    <row r="831">
      <c r="Z831" t="str">
        <f>IF('Detalle individual'!A831="","",IF(AND(OR('Estado por Colaborador'!$D$4="Todas las gerencias",'Detalle individual'!D831='Estado por Colaborador'!$D$4),OR('Estado por Colaborador'!$D$5="Todos los departamentos",TRIM('Detalle individual'!C831)='Estado por Colaborador'!$D$5),OR('Estado por Colaborador'!$D$6="Todos",'Detalle individual'!F831='Estado por Colaborador'!$D$6)),IF('Detalle individual'!F831="Completado",30000000,IF('Detalle individual'!F831="Pendiente",0,15000000))+COUNTIF('Detalle individual'!$C$5:$C$1000,"&lt;"&amp;'Detalle individual'!C831)*10000+ROW(),""))</f>
        <v/>
      </c>
      <c r="AB831" t="str">
        <f>IF('Detalle individual'!C831="","",IF(COUNTIF('Detalle individual'!$C$5:C831,'Detalle individual'!C831)=1,COUNTIF('Detalle individual'!$C$5:$C$1000,"&lt;"&amp;'Detalle individual'!C831),""))</f>
        <v/>
      </c>
      <c r="AC831" t="str">
        <f>IF('Detalle individual'!D831="","",IF(COUNTIF('Detalle individual'!$D$5:D831,'Detalle individual'!D831)=1,COUNTIF('Detalle individual'!$D$5:$D$1000,"&lt;"&amp;'Detalle individual'!D831),""))</f>
        <v/>
      </c>
      <c r="AH831" t="str">
        <f>IF('Detalle individual'!F831="Pendiente",COUNTIF('Detalle individual'!$D$5:$D$1000,"&lt;"&amp;'Detalle individual'!D831)*1000000+COUNTIF('Detalle individual'!$C$5:$C$1000,"&lt;"&amp;'Detalle individual'!C831)*1000+COUNTIF('Detalle individual'!$B$5:$B$1000,"&lt;"&amp;'Detalle individual'!B831)+ROW()/10000,"")</f>
        <v/>
      </c>
      <c r="AI831" t="str">
        <f>IF('Detalle individual'!F831="Completado",COUNTIF('Detalle individual'!$D$5:$D$1000,"&lt;"&amp;'Detalle individual'!D831)*1000000+COUNTIF('Detalle individual'!$C$5:$C$1000,"&lt;"&amp;'Detalle individual'!C831)*1000+COUNTIF('Detalle individual'!$B$5:$B$1000,"&lt;"&amp;'Detalle individual'!B831)+ROW()/10000,"")</f>
        <v/>
      </c>
      <c r="AJ831" t="str">
        <f>IF(AND('Detalle individual'!F831&lt;&gt;"",'Detalle individual'!F831&lt;&gt;"Completado",'Detalle individual'!F831&lt;&gt;"Pendiente"),COUNTIF('Detalle individual'!$D$5:$D$1000,"&lt;"&amp;'Detalle individual'!D831)*1000000+COUNTIF('Detalle individual'!$C$5:$C$1000,"&lt;"&amp;'Detalle individual'!C831)*1000+COUNTIF('Detalle individual'!$B$5:$B$1000,"&lt;"&amp;'Detalle individual'!B831)+ROW()/10000,"")</f>
        <v/>
      </c>
      <c r="AK831" t="str">
        <f>IF(OR('Base Exámenes'!C831="",'Base Exámenes'!D831=""),"",IF(COUNTIF('Base Exámenes'!$C$5:C831,'Base Exámenes'!C831)=1,'Base Exámenes'!D831+ROW()/1000000000,""))</f>
        <v/>
      </c>
      <c r="AL831" t="str">
        <f>IF(OR('Base Exámenes'!C831="",'Base Exámenes'!E831=""),"",IF(COUNTIF('Base Exámenes'!$C$5:C831,'Base Exámenes'!C831)=1,'Base Exámenes'!E831+ROW()/1000000000,""))</f>
        <v/>
      </c>
      <c r="AM831" t="str">
        <f>IF(OR('Base Exámenes'!C831="",'Base Exámenes'!G831=""),"",IF(ROW()-4=MATCH('Base Exámenes'!C831&amp;"|"&amp;_xlfn.MAXIFS('Base Exámenes'!$G$5:$G$1000,'Base Exámenes'!$C$5:$C$1000,'Base Exámenes'!C831),'Base Exámenes'!$I$5:$I$1000,0),'Base Exámenes'!G831*1000000+(-1)*'Base Exámenes'!D831,""))</f>
        <v/>
      </c>
      <c r="AQ831" t="str">
        <f>IF('Base Exámenes'!C831="","",IF(COUNTIF('Base Exámenes'!$C$5:$C$1000,'Base Exámenes'!C831)&lt;2,"",MATCH('Base Exámenes'!C831,'Base Exámenes'!$C$5:$C$1000,0)*10000+ROW()))</f>
        <v/>
      </c>
    </row>
    <row r="832">
      <c r="Z832" t="str">
        <f>IF('Detalle individual'!A832="","",IF(AND(OR('Estado por Colaborador'!$D$4="Todas las gerencias",'Detalle individual'!D832='Estado por Colaborador'!$D$4),OR('Estado por Colaborador'!$D$5="Todos los departamentos",TRIM('Detalle individual'!C832)='Estado por Colaborador'!$D$5),OR('Estado por Colaborador'!$D$6="Todos",'Detalle individual'!F832='Estado por Colaborador'!$D$6)),IF('Detalle individual'!F832="Completado",30000000,IF('Detalle individual'!F832="Pendiente",0,15000000))+COUNTIF('Detalle individual'!$C$5:$C$1000,"&lt;"&amp;'Detalle individual'!C832)*10000+ROW(),""))</f>
        <v/>
      </c>
      <c r="AB832" t="str">
        <f>IF('Detalle individual'!C832="","",IF(COUNTIF('Detalle individual'!$C$5:C832,'Detalle individual'!C832)=1,COUNTIF('Detalle individual'!$C$5:$C$1000,"&lt;"&amp;'Detalle individual'!C832),""))</f>
        <v/>
      </c>
      <c r="AC832" t="str">
        <f>IF('Detalle individual'!D832="","",IF(COUNTIF('Detalle individual'!$D$5:D832,'Detalle individual'!D832)=1,COUNTIF('Detalle individual'!$D$5:$D$1000,"&lt;"&amp;'Detalle individual'!D832),""))</f>
        <v/>
      </c>
      <c r="AH832" t="str">
        <f>IF('Detalle individual'!F832="Pendiente",COUNTIF('Detalle individual'!$D$5:$D$1000,"&lt;"&amp;'Detalle individual'!D832)*1000000+COUNTIF('Detalle individual'!$C$5:$C$1000,"&lt;"&amp;'Detalle individual'!C832)*1000+COUNTIF('Detalle individual'!$B$5:$B$1000,"&lt;"&amp;'Detalle individual'!B832)+ROW()/10000,"")</f>
        <v/>
      </c>
      <c r="AI832" t="str">
        <f>IF('Detalle individual'!F832="Completado",COUNTIF('Detalle individual'!$D$5:$D$1000,"&lt;"&amp;'Detalle individual'!D832)*1000000+COUNTIF('Detalle individual'!$C$5:$C$1000,"&lt;"&amp;'Detalle individual'!C832)*1000+COUNTIF('Detalle individual'!$B$5:$B$1000,"&lt;"&amp;'Detalle individual'!B832)+ROW()/10000,"")</f>
        <v/>
      </c>
      <c r="AJ832" t="str">
        <f>IF(AND('Detalle individual'!F832&lt;&gt;"",'Detalle individual'!F832&lt;&gt;"Completado",'Detalle individual'!F832&lt;&gt;"Pendiente"),COUNTIF('Detalle individual'!$D$5:$D$1000,"&lt;"&amp;'Detalle individual'!D832)*1000000+COUNTIF('Detalle individual'!$C$5:$C$1000,"&lt;"&amp;'Detalle individual'!C832)*1000+COUNTIF('Detalle individual'!$B$5:$B$1000,"&lt;"&amp;'Detalle individual'!B832)+ROW()/10000,"")</f>
        <v/>
      </c>
      <c r="AK832" t="str">
        <f>IF(OR('Base Exámenes'!C832="",'Base Exámenes'!D832=""),"",IF(COUNTIF('Base Exámenes'!$C$5:C832,'Base Exámenes'!C832)=1,'Base Exámenes'!D832+ROW()/1000000000,""))</f>
        <v/>
      </c>
      <c r="AL832" t="str">
        <f>IF(OR('Base Exámenes'!C832="",'Base Exámenes'!E832=""),"",IF(COUNTIF('Base Exámenes'!$C$5:C832,'Base Exámenes'!C832)=1,'Base Exámenes'!E832+ROW()/1000000000,""))</f>
        <v/>
      </c>
      <c r="AM832" t="str">
        <f>IF(OR('Base Exámenes'!C832="",'Base Exámenes'!G832=""),"",IF(ROW()-4=MATCH('Base Exámenes'!C832&amp;"|"&amp;_xlfn.MAXIFS('Base Exámenes'!$G$5:$G$1000,'Base Exámenes'!$C$5:$C$1000,'Base Exámenes'!C832),'Base Exámenes'!$I$5:$I$1000,0),'Base Exámenes'!G832*1000000+(-1)*'Base Exámenes'!D832,""))</f>
        <v/>
      </c>
      <c r="AQ832" t="str">
        <f>IF('Base Exámenes'!C832="","",IF(COUNTIF('Base Exámenes'!$C$5:$C$1000,'Base Exámenes'!C832)&lt;2,"",MATCH('Base Exámenes'!C832,'Base Exámenes'!$C$5:$C$1000,0)*10000+ROW()))</f>
        <v/>
      </c>
    </row>
    <row r="833">
      <c r="Z833" t="str">
        <f>IF('Detalle individual'!A833="","",IF(AND(OR('Estado por Colaborador'!$D$4="Todas las gerencias",'Detalle individual'!D833='Estado por Colaborador'!$D$4),OR('Estado por Colaborador'!$D$5="Todos los departamentos",TRIM('Detalle individual'!C833)='Estado por Colaborador'!$D$5),OR('Estado por Colaborador'!$D$6="Todos",'Detalle individual'!F833='Estado por Colaborador'!$D$6)),IF('Detalle individual'!F833="Completado",30000000,IF('Detalle individual'!F833="Pendiente",0,15000000))+COUNTIF('Detalle individual'!$C$5:$C$1000,"&lt;"&amp;'Detalle individual'!C833)*10000+ROW(),""))</f>
        <v/>
      </c>
      <c r="AB833" t="str">
        <f>IF('Detalle individual'!C833="","",IF(COUNTIF('Detalle individual'!$C$5:C833,'Detalle individual'!C833)=1,COUNTIF('Detalle individual'!$C$5:$C$1000,"&lt;"&amp;'Detalle individual'!C833),""))</f>
        <v/>
      </c>
      <c r="AC833" t="str">
        <f>IF('Detalle individual'!D833="","",IF(COUNTIF('Detalle individual'!$D$5:D833,'Detalle individual'!D833)=1,COUNTIF('Detalle individual'!$D$5:$D$1000,"&lt;"&amp;'Detalle individual'!D833),""))</f>
        <v/>
      </c>
      <c r="AH833" t="str">
        <f>IF('Detalle individual'!F833="Pendiente",COUNTIF('Detalle individual'!$D$5:$D$1000,"&lt;"&amp;'Detalle individual'!D833)*1000000+COUNTIF('Detalle individual'!$C$5:$C$1000,"&lt;"&amp;'Detalle individual'!C833)*1000+COUNTIF('Detalle individual'!$B$5:$B$1000,"&lt;"&amp;'Detalle individual'!B833)+ROW()/10000,"")</f>
        <v/>
      </c>
      <c r="AI833" t="str">
        <f>IF('Detalle individual'!F833="Completado",COUNTIF('Detalle individual'!$D$5:$D$1000,"&lt;"&amp;'Detalle individual'!D833)*1000000+COUNTIF('Detalle individual'!$C$5:$C$1000,"&lt;"&amp;'Detalle individual'!C833)*1000+COUNTIF('Detalle individual'!$B$5:$B$1000,"&lt;"&amp;'Detalle individual'!B833)+ROW()/10000,"")</f>
        <v/>
      </c>
      <c r="AJ833" t="str">
        <f>IF(AND('Detalle individual'!F833&lt;&gt;"",'Detalle individual'!F833&lt;&gt;"Completado",'Detalle individual'!F833&lt;&gt;"Pendiente"),COUNTIF('Detalle individual'!$D$5:$D$1000,"&lt;"&amp;'Detalle individual'!D833)*1000000+COUNTIF('Detalle individual'!$C$5:$C$1000,"&lt;"&amp;'Detalle individual'!C833)*1000+COUNTIF('Detalle individual'!$B$5:$B$1000,"&lt;"&amp;'Detalle individual'!B833)+ROW()/10000,"")</f>
        <v/>
      </c>
      <c r="AK833" t="str">
        <f>IF(OR('Base Exámenes'!C833="",'Base Exámenes'!D833=""),"",IF(COUNTIF('Base Exámenes'!$C$5:C833,'Base Exámenes'!C833)=1,'Base Exámenes'!D833+ROW()/1000000000,""))</f>
        <v/>
      </c>
      <c r="AL833" t="str">
        <f>IF(OR('Base Exámenes'!C833="",'Base Exámenes'!E833=""),"",IF(COUNTIF('Base Exámenes'!$C$5:C833,'Base Exámenes'!C833)=1,'Base Exámenes'!E833+ROW()/1000000000,""))</f>
        <v/>
      </c>
      <c r="AM833" t="str">
        <f>IF(OR('Base Exámenes'!C833="",'Base Exámenes'!G833=""),"",IF(ROW()-4=MATCH('Base Exámenes'!C833&amp;"|"&amp;_xlfn.MAXIFS('Base Exámenes'!$G$5:$G$1000,'Base Exámenes'!$C$5:$C$1000,'Base Exámenes'!C833),'Base Exámenes'!$I$5:$I$1000,0),'Base Exámenes'!G833*1000000+(-1)*'Base Exámenes'!D833,""))</f>
        <v/>
      </c>
      <c r="AQ833" t="str">
        <f>IF('Base Exámenes'!C833="","",IF(COUNTIF('Base Exámenes'!$C$5:$C$1000,'Base Exámenes'!C833)&lt;2,"",MATCH('Base Exámenes'!C833,'Base Exámenes'!$C$5:$C$1000,0)*10000+ROW()))</f>
        <v/>
      </c>
    </row>
    <row r="834">
      <c r="Z834" t="str">
        <f>IF('Detalle individual'!A834="","",IF(AND(OR('Estado por Colaborador'!$D$4="Todas las gerencias",'Detalle individual'!D834='Estado por Colaborador'!$D$4),OR('Estado por Colaborador'!$D$5="Todos los departamentos",TRIM('Detalle individual'!C834)='Estado por Colaborador'!$D$5),OR('Estado por Colaborador'!$D$6="Todos",'Detalle individual'!F834='Estado por Colaborador'!$D$6)),IF('Detalle individual'!F834="Completado",30000000,IF('Detalle individual'!F834="Pendiente",0,15000000))+COUNTIF('Detalle individual'!$C$5:$C$1000,"&lt;"&amp;'Detalle individual'!C834)*10000+ROW(),""))</f>
        <v/>
      </c>
      <c r="AB834" t="str">
        <f>IF('Detalle individual'!C834="","",IF(COUNTIF('Detalle individual'!$C$5:C834,'Detalle individual'!C834)=1,COUNTIF('Detalle individual'!$C$5:$C$1000,"&lt;"&amp;'Detalle individual'!C834),""))</f>
        <v/>
      </c>
      <c r="AC834" t="str">
        <f>IF('Detalle individual'!D834="","",IF(COUNTIF('Detalle individual'!$D$5:D834,'Detalle individual'!D834)=1,COUNTIF('Detalle individual'!$D$5:$D$1000,"&lt;"&amp;'Detalle individual'!D834),""))</f>
        <v/>
      </c>
      <c r="AH834" t="str">
        <f>IF('Detalle individual'!F834="Pendiente",COUNTIF('Detalle individual'!$D$5:$D$1000,"&lt;"&amp;'Detalle individual'!D834)*1000000+COUNTIF('Detalle individual'!$C$5:$C$1000,"&lt;"&amp;'Detalle individual'!C834)*1000+COUNTIF('Detalle individual'!$B$5:$B$1000,"&lt;"&amp;'Detalle individual'!B834)+ROW()/10000,"")</f>
        <v/>
      </c>
      <c r="AI834" t="str">
        <f>IF('Detalle individual'!F834="Completado",COUNTIF('Detalle individual'!$D$5:$D$1000,"&lt;"&amp;'Detalle individual'!D834)*1000000+COUNTIF('Detalle individual'!$C$5:$C$1000,"&lt;"&amp;'Detalle individual'!C834)*1000+COUNTIF('Detalle individual'!$B$5:$B$1000,"&lt;"&amp;'Detalle individual'!B834)+ROW()/10000,"")</f>
        <v/>
      </c>
      <c r="AJ834" t="str">
        <f>IF(AND('Detalle individual'!F834&lt;&gt;"",'Detalle individual'!F834&lt;&gt;"Completado",'Detalle individual'!F834&lt;&gt;"Pendiente"),COUNTIF('Detalle individual'!$D$5:$D$1000,"&lt;"&amp;'Detalle individual'!D834)*1000000+COUNTIF('Detalle individual'!$C$5:$C$1000,"&lt;"&amp;'Detalle individual'!C834)*1000+COUNTIF('Detalle individual'!$B$5:$B$1000,"&lt;"&amp;'Detalle individual'!B834)+ROW()/10000,"")</f>
        <v/>
      </c>
      <c r="AK834" t="str">
        <f>IF(OR('Base Exámenes'!C834="",'Base Exámenes'!D834=""),"",IF(COUNTIF('Base Exámenes'!$C$5:C834,'Base Exámenes'!C834)=1,'Base Exámenes'!D834+ROW()/1000000000,""))</f>
        <v/>
      </c>
      <c r="AL834" t="str">
        <f>IF(OR('Base Exámenes'!C834="",'Base Exámenes'!E834=""),"",IF(COUNTIF('Base Exámenes'!$C$5:C834,'Base Exámenes'!C834)=1,'Base Exámenes'!E834+ROW()/1000000000,""))</f>
        <v/>
      </c>
      <c r="AM834" t="str">
        <f>IF(OR('Base Exámenes'!C834="",'Base Exámenes'!G834=""),"",IF(ROW()-4=MATCH('Base Exámenes'!C834&amp;"|"&amp;_xlfn.MAXIFS('Base Exámenes'!$G$5:$G$1000,'Base Exámenes'!$C$5:$C$1000,'Base Exámenes'!C834),'Base Exámenes'!$I$5:$I$1000,0),'Base Exámenes'!G834*1000000+(-1)*'Base Exámenes'!D834,""))</f>
        <v/>
      </c>
      <c r="AQ834" t="str">
        <f>IF('Base Exámenes'!C834="","",IF(COUNTIF('Base Exámenes'!$C$5:$C$1000,'Base Exámenes'!C834)&lt;2,"",MATCH('Base Exámenes'!C834,'Base Exámenes'!$C$5:$C$1000,0)*10000+ROW()))</f>
        <v/>
      </c>
    </row>
    <row r="835">
      <c r="Z835" t="str">
        <f>IF('Detalle individual'!A835="","",IF(AND(OR('Estado por Colaborador'!$D$4="Todas las gerencias",'Detalle individual'!D835='Estado por Colaborador'!$D$4),OR('Estado por Colaborador'!$D$5="Todos los departamentos",TRIM('Detalle individual'!C835)='Estado por Colaborador'!$D$5),OR('Estado por Colaborador'!$D$6="Todos",'Detalle individual'!F835='Estado por Colaborador'!$D$6)),IF('Detalle individual'!F835="Completado",30000000,IF('Detalle individual'!F835="Pendiente",0,15000000))+COUNTIF('Detalle individual'!$C$5:$C$1000,"&lt;"&amp;'Detalle individual'!C835)*10000+ROW(),""))</f>
        <v/>
      </c>
      <c r="AB835" t="str">
        <f>IF('Detalle individual'!C835="","",IF(COUNTIF('Detalle individual'!$C$5:C835,'Detalle individual'!C835)=1,COUNTIF('Detalle individual'!$C$5:$C$1000,"&lt;"&amp;'Detalle individual'!C835),""))</f>
        <v/>
      </c>
      <c r="AC835" t="str">
        <f>IF('Detalle individual'!D835="","",IF(COUNTIF('Detalle individual'!$D$5:D835,'Detalle individual'!D835)=1,COUNTIF('Detalle individual'!$D$5:$D$1000,"&lt;"&amp;'Detalle individual'!D835),""))</f>
        <v/>
      </c>
      <c r="AH835" t="str">
        <f>IF('Detalle individual'!F835="Pendiente",COUNTIF('Detalle individual'!$D$5:$D$1000,"&lt;"&amp;'Detalle individual'!D835)*1000000+COUNTIF('Detalle individual'!$C$5:$C$1000,"&lt;"&amp;'Detalle individual'!C835)*1000+COUNTIF('Detalle individual'!$B$5:$B$1000,"&lt;"&amp;'Detalle individual'!B835)+ROW()/10000,"")</f>
        <v/>
      </c>
      <c r="AI835" t="str">
        <f>IF('Detalle individual'!F835="Completado",COUNTIF('Detalle individual'!$D$5:$D$1000,"&lt;"&amp;'Detalle individual'!D835)*1000000+COUNTIF('Detalle individual'!$C$5:$C$1000,"&lt;"&amp;'Detalle individual'!C835)*1000+COUNTIF('Detalle individual'!$B$5:$B$1000,"&lt;"&amp;'Detalle individual'!B835)+ROW()/10000,"")</f>
        <v/>
      </c>
      <c r="AJ835" t="str">
        <f>IF(AND('Detalle individual'!F835&lt;&gt;"",'Detalle individual'!F835&lt;&gt;"Completado",'Detalle individual'!F835&lt;&gt;"Pendiente"),COUNTIF('Detalle individual'!$D$5:$D$1000,"&lt;"&amp;'Detalle individual'!D835)*1000000+COUNTIF('Detalle individual'!$C$5:$C$1000,"&lt;"&amp;'Detalle individual'!C835)*1000+COUNTIF('Detalle individual'!$B$5:$B$1000,"&lt;"&amp;'Detalle individual'!B835)+ROW()/10000,"")</f>
        <v/>
      </c>
      <c r="AK835" t="str">
        <f>IF(OR('Base Exámenes'!C835="",'Base Exámenes'!D835=""),"",IF(COUNTIF('Base Exámenes'!$C$5:C835,'Base Exámenes'!C835)=1,'Base Exámenes'!D835+ROW()/1000000000,""))</f>
        <v/>
      </c>
      <c r="AL835" t="str">
        <f>IF(OR('Base Exámenes'!C835="",'Base Exámenes'!E835=""),"",IF(COUNTIF('Base Exámenes'!$C$5:C835,'Base Exámenes'!C835)=1,'Base Exámenes'!E835+ROW()/1000000000,""))</f>
        <v/>
      </c>
      <c r="AM835" t="str">
        <f>IF(OR('Base Exámenes'!C835="",'Base Exámenes'!G835=""),"",IF(ROW()-4=MATCH('Base Exámenes'!C835&amp;"|"&amp;_xlfn.MAXIFS('Base Exámenes'!$G$5:$G$1000,'Base Exámenes'!$C$5:$C$1000,'Base Exámenes'!C835),'Base Exámenes'!$I$5:$I$1000,0),'Base Exámenes'!G835*1000000+(-1)*'Base Exámenes'!D835,""))</f>
        <v/>
      </c>
      <c r="AQ835" t="str">
        <f>IF('Base Exámenes'!C835="","",IF(COUNTIF('Base Exámenes'!$C$5:$C$1000,'Base Exámenes'!C835)&lt;2,"",MATCH('Base Exámenes'!C835,'Base Exámenes'!$C$5:$C$1000,0)*10000+ROW()))</f>
        <v/>
      </c>
    </row>
    <row r="836">
      <c r="Z836" t="str">
        <f>IF('Detalle individual'!A836="","",IF(AND(OR('Estado por Colaborador'!$D$4="Todas las gerencias",'Detalle individual'!D836='Estado por Colaborador'!$D$4),OR('Estado por Colaborador'!$D$5="Todos los departamentos",TRIM('Detalle individual'!C836)='Estado por Colaborador'!$D$5),OR('Estado por Colaborador'!$D$6="Todos",'Detalle individual'!F836='Estado por Colaborador'!$D$6)),IF('Detalle individual'!F836="Completado",30000000,IF('Detalle individual'!F836="Pendiente",0,15000000))+COUNTIF('Detalle individual'!$C$5:$C$1000,"&lt;"&amp;'Detalle individual'!C836)*10000+ROW(),""))</f>
        <v/>
      </c>
      <c r="AB836" t="str">
        <f>IF('Detalle individual'!C836="","",IF(COUNTIF('Detalle individual'!$C$5:C836,'Detalle individual'!C836)=1,COUNTIF('Detalle individual'!$C$5:$C$1000,"&lt;"&amp;'Detalle individual'!C836),""))</f>
        <v/>
      </c>
      <c r="AC836" t="str">
        <f>IF('Detalle individual'!D836="","",IF(COUNTIF('Detalle individual'!$D$5:D836,'Detalle individual'!D836)=1,COUNTIF('Detalle individual'!$D$5:$D$1000,"&lt;"&amp;'Detalle individual'!D836),""))</f>
        <v/>
      </c>
      <c r="AH836" t="str">
        <f>IF('Detalle individual'!F836="Pendiente",COUNTIF('Detalle individual'!$D$5:$D$1000,"&lt;"&amp;'Detalle individual'!D836)*1000000+COUNTIF('Detalle individual'!$C$5:$C$1000,"&lt;"&amp;'Detalle individual'!C836)*1000+COUNTIF('Detalle individual'!$B$5:$B$1000,"&lt;"&amp;'Detalle individual'!B836)+ROW()/10000,"")</f>
        <v/>
      </c>
      <c r="AI836" t="str">
        <f>IF('Detalle individual'!F836="Completado",COUNTIF('Detalle individual'!$D$5:$D$1000,"&lt;"&amp;'Detalle individual'!D836)*1000000+COUNTIF('Detalle individual'!$C$5:$C$1000,"&lt;"&amp;'Detalle individual'!C836)*1000+COUNTIF('Detalle individual'!$B$5:$B$1000,"&lt;"&amp;'Detalle individual'!B836)+ROW()/10000,"")</f>
        <v/>
      </c>
      <c r="AJ836" t="str">
        <f>IF(AND('Detalle individual'!F836&lt;&gt;"",'Detalle individual'!F836&lt;&gt;"Completado",'Detalle individual'!F836&lt;&gt;"Pendiente"),COUNTIF('Detalle individual'!$D$5:$D$1000,"&lt;"&amp;'Detalle individual'!D836)*1000000+COUNTIF('Detalle individual'!$C$5:$C$1000,"&lt;"&amp;'Detalle individual'!C836)*1000+COUNTIF('Detalle individual'!$B$5:$B$1000,"&lt;"&amp;'Detalle individual'!B836)+ROW()/10000,"")</f>
        <v/>
      </c>
      <c r="AK836" t="str">
        <f>IF(OR('Base Exámenes'!C836="",'Base Exámenes'!D836=""),"",IF(COUNTIF('Base Exámenes'!$C$5:C836,'Base Exámenes'!C836)=1,'Base Exámenes'!D836+ROW()/1000000000,""))</f>
        <v/>
      </c>
      <c r="AL836" t="str">
        <f>IF(OR('Base Exámenes'!C836="",'Base Exámenes'!E836=""),"",IF(COUNTIF('Base Exámenes'!$C$5:C836,'Base Exámenes'!C836)=1,'Base Exámenes'!E836+ROW()/1000000000,""))</f>
        <v/>
      </c>
      <c r="AM836" t="str">
        <f>IF(OR('Base Exámenes'!C836="",'Base Exámenes'!G836=""),"",IF(ROW()-4=MATCH('Base Exámenes'!C836&amp;"|"&amp;_xlfn.MAXIFS('Base Exámenes'!$G$5:$G$1000,'Base Exámenes'!$C$5:$C$1000,'Base Exámenes'!C836),'Base Exámenes'!$I$5:$I$1000,0),'Base Exámenes'!G836*1000000+(-1)*'Base Exámenes'!D836,""))</f>
        <v/>
      </c>
      <c r="AQ836" t="str">
        <f>IF('Base Exámenes'!C836="","",IF(COUNTIF('Base Exámenes'!$C$5:$C$1000,'Base Exámenes'!C836)&lt;2,"",MATCH('Base Exámenes'!C836,'Base Exámenes'!$C$5:$C$1000,0)*10000+ROW()))</f>
        <v/>
      </c>
    </row>
    <row r="837">
      <c r="Z837" t="str">
        <f>IF('Detalle individual'!A837="","",IF(AND(OR('Estado por Colaborador'!$D$4="Todas las gerencias",'Detalle individual'!D837='Estado por Colaborador'!$D$4),OR('Estado por Colaborador'!$D$5="Todos los departamentos",TRIM('Detalle individual'!C837)='Estado por Colaborador'!$D$5),OR('Estado por Colaborador'!$D$6="Todos",'Detalle individual'!F837='Estado por Colaborador'!$D$6)),IF('Detalle individual'!F837="Completado",30000000,IF('Detalle individual'!F837="Pendiente",0,15000000))+COUNTIF('Detalle individual'!$C$5:$C$1000,"&lt;"&amp;'Detalle individual'!C837)*10000+ROW(),""))</f>
        <v/>
      </c>
      <c r="AB837" t="str">
        <f>IF('Detalle individual'!C837="","",IF(COUNTIF('Detalle individual'!$C$5:C837,'Detalle individual'!C837)=1,COUNTIF('Detalle individual'!$C$5:$C$1000,"&lt;"&amp;'Detalle individual'!C837),""))</f>
        <v/>
      </c>
      <c r="AC837" t="str">
        <f>IF('Detalle individual'!D837="","",IF(COUNTIF('Detalle individual'!$D$5:D837,'Detalle individual'!D837)=1,COUNTIF('Detalle individual'!$D$5:$D$1000,"&lt;"&amp;'Detalle individual'!D837),""))</f>
        <v/>
      </c>
      <c r="AH837" t="str">
        <f>IF('Detalle individual'!F837="Pendiente",COUNTIF('Detalle individual'!$D$5:$D$1000,"&lt;"&amp;'Detalle individual'!D837)*1000000+COUNTIF('Detalle individual'!$C$5:$C$1000,"&lt;"&amp;'Detalle individual'!C837)*1000+COUNTIF('Detalle individual'!$B$5:$B$1000,"&lt;"&amp;'Detalle individual'!B837)+ROW()/10000,"")</f>
        <v/>
      </c>
      <c r="AI837" t="str">
        <f>IF('Detalle individual'!F837="Completado",COUNTIF('Detalle individual'!$D$5:$D$1000,"&lt;"&amp;'Detalle individual'!D837)*1000000+COUNTIF('Detalle individual'!$C$5:$C$1000,"&lt;"&amp;'Detalle individual'!C837)*1000+COUNTIF('Detalle individual'!$B$5:$B$1000,"&lt;"&amp;'Detalle individual'!B837)+ROW()/10000,"")</f>
        <v/>
      </c>
      <c r="AJ837" t="str">
        <f>IF(AND('Detalle individual'!F837&lt;&gt;"",'Detalle individual'!F837&lt;&gt;"Completado",'Detalle individual'!F837&lt;&gt;"Pendiente"),COUNTIF('Detalle individual'!$D$5:$D$1000,"&lt;"&amp;'Detalle individual'!D837)*1000000+COUNTIF('Detalle individual'!$C$5:$C$1000,"&lt;"&amp;'Detalle individual'!C837)*1000+COUNTIF('Detalle individual'!$B$5:$B$1000,"&lt;"&amp;'Detalle individual'!B837)+ROW()/10000,"")</f>
        <v/>
      </c>
      <c r="AK837" t="str">
        <f>IF(OR('Base Exámenes'!C837="",'Base Exámenes'!D837=""),"",IF(COUNTIF('Base Exámenes'!$C$5:C837,'Base Exámenes'!C837)=1,'Base Exámenes'!D837+ROW()/1000000000,""))</f>
        <v/>
      </c>
      <c r="AL837" t="str">
        <f>IF(OR('Base Exámenes'!C837="",'Base Exámenes'!E837=""),"",IF(COUNTIF('Base Exámenes'!$C$5:C837,'Base Exámenes'!C837)=1,'Base Exámenes'!E837+ROW()/1000000000,""))</f>
        <v/>
      </c>
      <c r="AM837" t="str">
        <f>IF(OR('Base Exámenes'!C837="",'Base Exámenes'!G837=""),"",IF(ROW()-4=MATCH('Base Exámenes'!C837&amp;"|"&amp;_xlfn.MAXIFS('Base Exámenes'!$G$5:$G$1000,'Base Exámenes'!$C$5:$C$1000,'Base Exámenes'!C837),'Base Exámenes'!$I$5:$I$1000,0),'Base Exámenes'!G837*1000000+(-1)*'Base Exámenes'!D837,""))</f>
        <v/>
      </c>
      <c r="AQ837" t="str">
        <f>IF('Base Exámenes'!C837="","",IF(COUNTIF('Base Exámenes'!$C$5:$C$1000,'Base Exámenes'!C837)&lt;2,"",MATCH('Base Exámenes'!C837,'Base Exámenes'!$C$5:$C$1000,0)*10000+ROW()))</f>
        <v/>
      </c>
    </row>
    <row r="838">
      <c r="Z838" t="str">
        <f>IF('Detalle individual'!A838="","",IF(AND(OR('Estado por Colaborador'!$D$4="Todas las gerencias",'Detalle individual'!D838='Estado por Colaborador'!$D$4),OR('Estado por Colaborador'!$D$5="Todos los departamentos",TRIM('Detalle individual'!C838)='Estado por Colaborador'!$D$5),OR('Estado por Colaborador'!$D$6="Todos",'Detalle individual'!F838='Estado por Colaborador'!$D$6)),IF('Detalle individual'!F838="Completado",30000000,IF('Detalle individual'!F838="Pendiente",0,15000000))+COUNTIF('Detalle individual'!$C$5:$C$1000,"&lt;"&amp;'Detalle individual'!C838)*10000+ROW(),""))</f>
        <v/>
      </c>
      <c r="AB838" t="str">
        <f>IF('Detalle individual'!C838="","",IF(COUNTIF('Detalle individual'!$C$5:C838,'Detalle individual'!C838)=1,COUNTIF('Detalle individual'!$C$5:$C$1000,"&lt;"&amp;'Detalle individual'!C838),""))</f>
        <v/>
      </c>
      <c r="AC838" t="str">
        <f>IF('Detalle individual'!D838="","",IF(COUNTIF('Detalle individual'!$D$5:D838,'Detalle individual'!D838)=1,COUNTIF('Detalle individual'!$D$5:$D$1000,"&lt;"&amp;'Detalle individual'!D838),""))</f>
        <v/>
      </c>
      <c r="AH838" t="str">
        <f>IF('Detalle individual'!F838="Pendiente",COUNTIF('Detalle individual'!$D$5:$D$1000,"&lt;"&amp;'Detalle individual'!D838)*1000000+COUNTIF('Detalle individual'!$C$5:$C$1000,"&lt;"&amp;'Detalle individual'!C838)*1000+COUNTIF('Detalle individual'!$B$5:$B$1000,"&lt;"&amp;'Detalle individual'!B838)+ROW()/10000,"")</f>
        <v/>
      </c>
      <c r="AI838" t="str">
        <f>IF('Detalle individual'!F838="Completado",COUNTIF('Detalle individual'!$D$5:$D$1000,"&lt;"&amp;'Detalle individual'!D838)*1000000+COUNTIF('Detalle individual'!$C$5:$C$1000,"&lt;"&amp;'Detalle individual'!C838)*1000+COUNTIF('Detalle individual'!$B$5:$B$1000,"&lt;"&amp;'Detalle individual'!B838)+ROW()/10000,"")</f>
        <v/>
      </c>
      <c r="AJ838" t="str">
        <f>IF(AND('Detalle individual'!F838&lt;&gt;"",'Detalle individual'!F838&lt;&gt;"Completado",'Detalle individual'!F838&lt;&gt;"Pendiente"),COUNTIF('Detalle individual'!$D$5:$D$1000,"&lt;"&amp;'Detalle individual'!D838)*1000000+COUNTIF('Detalle individual'!$C$5:$C$1000,"&lt;"&amp;'Detalle individual'!C838)*1000+COUNTIF('Detalle individual'!$B$5:$B$1000,"&lt;"&amp;'Detalle individual'!B838)+ROW()/10000,"")</f>
        <v/>
      </c>
      <c r="AK838" t="str">
        <f>IF(OR('Base Exámenes'!C838="",'Base Exámenes'!D838=""),"",IF(COUNTIF('Base Exámenes'!$C$5:C838,'Base Exámenes'!C838)=1,'Base Exámenes'!D838+ROW()/1000000000,""))</f>
        <v/>
      </c>
      <c r="AL838" t="str">
        <f>IF(OR('Base Exámenes'!C838="",'Base Exámenes'!E838=""),"",IF(COUNTIF('Base Exámenes'!$C$5:C838,'Base Exámenes'!C838)=1,'Base Exámenes'!E838+ROW()/1000000000,""))</f>
        <v/>
      </c>
      <c r="AM838" t="str">
        <f>IF(OR('Base Exámenes'!C838="",'Base Exámenes'!G838=""),"",IF(ROW()-4=MATCH('Base Exámenes'!C838&amp;"|"&amp;_xlfn.MAXIFS('Base Exámenes'!$G$5:$G$1000,'Base Exámenes'!$C$5:$C$1000,'Base Exámenes'!C838),'Base Exámenes'!$I$5:$I$1000,0),'Base Exámenes'!G838*1000000+(-1)*'Base Exámenes'!D838,""))</f>
        <v/>
      </c>
      <c r="AQ838" t="str">
        <f>IF('Base Exámenes'!C838="","",IF(COUNTIF('Base Exámenes'!$C$5:$C$1000,'Base Exámenes'!C838)&lt;2,"",MATCH('Base Exámenes'!C838,'Base Exámenes'!$C$5:$C$1000,0)*10000+ROW()))</f>
        <v/>
      </c>
    </row>
    <row r="839">
      <c r="Z839" t="str">
        <f>IF('Detalle individual'!A839="","",IF(AND(OR('Estado por Colaborador'!$D$4="Todas las gerencias",'Detalle individual'!D839='Estado por Colaborador'!$D$4),OR('Estado por Colaborador'!$D$5="Todos los departamentos",TRIM('Detalle individual'!C839)='Estado por Colaborador'!$D$5),OR('Estado por Colaborador'!$D$6="Todos",'Detalle individual'!F839='Estado por Colaborador'!$D$6)),IF('Detalle individual'!F839="Completado",30000000,IF('Detalle individual'!F839="Pendiente",0,15000000))+COUNTIF('Detalle individual'!$C$5:$C$1000,"&lt;"&amp;'Detalle individual'!C839)*10000+ROW(),""))</f>
        <v/>
      </c>
      <c r="AB839" t="str">
        <f>IF('Detalle individual'!C839="","",IF(COUNTIF('Detalle individual'!$C$5:C839,'Detalle individual'!C839)=1,COUNTIF('Detalle individual'!$C$5:$C$1000,"&lt;"&amp;'Detalle individual'!C839),""))</f>
        <v/>
      </c>
      <c r="AC839" t="str">
        <f>IF('Detalle individual'!D839="","",IF(COUNTIF('Detalle individual'!$D$5:D839,'Detalle individual'!D839)=1,COUNTIF('Detalle individual'!$D$5:$D$1000,"&lt;"&amp;'Detalle individual'!D839),""))</f>
        <v/>
      </c>
      <c r="AH839" t="str">
        <f>IF('Detalle individual'!F839="Pendiente",COUNTIF('Detalle individual'!$D$5:$D$1000,"&lt;"&amp;'Detalle individual'!D839)*1000000+COUNTIF('Detalle individual'!$C$5:$C$1000,"&lt;"&amp;'Detalle individual'!C839)*1000+COUNTIF('Detalle individual'!$B$5:$B$1000,"&lt;"&amp;'Detalle individual'!B839)+ROW()/10000,"")</f>
        <v/>
      </c>
      <c r="AI839" t="str">
        <f>IF('Detalle individual'!F839="Completado",COUNTIF('Detalle individual'!$D$5:$D$1000,"&lt;"&amp;'Detalle individual'!D839)*1000000+COUNTIF('Detalle individual'!$C$5:$C$1000,"&lt;"&amp;'Detalle individual'!C839)*1000+COUNTIF('Detalle individual'!$B$5:$B$1000,"&lt;"&amp;'Detalle individual'!B839)+ROW()/10000,"")</f>
        <v/>
      </c>
      <c r="AJ839" t="str">
        <f>IF(AND('Detalle individual'!F839&lt;&gt;"",'Detalle individual'!F839&lt;&gt;"Completado",'Detalle individual'!F839&lt;&gt;"Pendiente"),COUNTIF('Detalle individual'!$D$5:$D$1000,"&lt;"&amp;'Detalle individual'!D839)*1000000+COUNTIF('Detalle individual'!$C$5:$C$1000,"&lt;"&amp;'Detalle individual'!C839)*1000+COUNTIF('Detalle individual'!$B$5:$B$1000,"&lt;"&amp;'Detalle individual'!B839)+ROW()/10000,"")</f>
        <v/>
      </c>
      <c r="AK839" t="str">
        <f>IF(OR('Base Exámenes'!C839="",'Base Exámenes'!D839=""),"",IF(COUNTIF('Base Exámenes'!$C$5:C839,'Base Exámenes'!C839)=1,'Base Exámenes'!D839+ROW()/1000000000,""))</f>
        <v/>
      </c>
      <c r="AL839" t="str">
        <f>IF(OR('Base Exámenes'!C839="",'Base Exámenes'!E839=""),"",IF(COUNTIF('Base Exámenes'!$C$5:C839,'Base Exámenes'!C839)=1,'Base Exámenes'!E839+ROW()/1000000000,""))</f>
        <v/>
      </c>
      <c r="AM839" t="str">
        <f>IF(OR('Base Exámenes'!C839="",'Base Exámenes'!G839=""),"",IF(ROW()-4=MATCH('Base Exámenes'!C839&amp;"|"&amp;_xlfn.MAXIFS('Base Exámenes'!$G$5:$G$1000,'Base Exámenes'!$C$5:$C$1000,'Base Exámenes'!C839),'Base Exámenes'!$I$5:$I$1000,0),'Base Exámenes'!G839*1000000+(-1)*'Base Exámenes'!D839,""))</f>
        <v/>
      </c>
      <c r="AQ839" t="str">
        <f>IF('Base Exámenes'!C839="","",IF(COUNTIF('Base Exámenes'!$C$5:$C$1000,'Base Exámenes'!C839)&lt;2,"",MATCH('Base Exámenes'!C839,'Base Exámenes'!$C$5:$C$1000,0)*10000+ROW()))</f>
        <v/>
      </c>
    </row>
    <row r="840">
      <c r="Z840" t="str">
        <f>IF('Detalle individual'!A840="","",IF(AND(OR('Estado por Colaborador'!$D$4="Todas las gerencias",'Detalle individual'!D840='Estado por Colaborador'!$D$4),OR('Estado por Colaborador'!$D$5="Todos los departamentos",TRIM('Detalle individual'!C840)='Estado por Colaborador'!$D$5),OR('Estado por Colaborador'!$D$6="Todos",'Detalle individual'!F840='Estado por Colaborador'!$D$6)),IF('Detalle individual'!F840="Completado",30000000,IF('Detalle individual'!F840="Pendiente",0,15000000))+COUNTIF('Detalle individual'!$C$5:$C$1000,"&lt;"&amp;'Detalle individual'!C840)*10000+ROW(),""))</f>
        <v/>
      </c>
      <c r="AB840" t="str">
        <f>IF('Detalle individual'!C840="","",IF(COUNTIF('Detalle individual'!$C$5:C840,'Detalle individual'!C840)=1,COUNTIF('Detalle individual'!$C$5:$C$1000,"&lt;"&amp;'Detalle individual'!C840),""))</f>
        <v/>
      </c>
      <c r="AC840" t="str">
        <f>IF('Detalle individual'!D840="","",IF(COUNTIF('Detalle individual'!$D$5:D840,'Detalle individual'!D840)=1,COUNTIF('Detalle individual'!$D$5:$D$1000,"&lt;"&amp;'Detalle individual'!D840),""))</f>
        <v/>
      </c>
      <c r="AH840" t="str">
        <f>IF('Detalle individual'!F840="Pendiente",COUNTIF('Detalle individual'!$D$5:$D$1000,"&lt;"&amp;'Detalle individual'!D840)*1000000+COUNTIF('Detalle individual'!$C$5:$C$1000,"&lt;"&amp;'Detalle individual'!C840)*1000+COUNTIF('Detalle individual'!$B$5:$B$1000,"&lt;"&amp;'Detalle individual'!B840)+ROW()/10000,"")</f>
        <v/>
      </c>
      <c r="AI840" t="str">
        <f>IF('Detalle individual'!F840="Completado",COUNTIF('Detalle individual'!$D$5:$D$1000,"&lt;"&amp;'Detalle individual'!D840)*1000000+COUNTIF('Detalle individual'!$C$5:$C$1000,"&lt;"&amp;'Detalle individual'!C840)*1000+COUNTIF('Detalle individual'!$B$5:$B$1000,"&lt;"&amp;'Detalle individual'!B840)+ROW()/10000,"")</f>
        <v/>
      </c>
      <c r="AJ840" t="str">
        <f>IF(AND('Detalle individual'!F840&lt;&gt;"",'Detalle individual'!F840&lt;&gt;"Completado",'Detalle individual'!F840&lt;&gt;"Pendiente"),COUNTIF('Detalle individual'!$D$5:$D$1000,"&lt;"&amp;'Detalle individual'!D840)*1000000+COUNTIF('Detalle individual'!$C$5:$C$1000,"&lt;"&amp;'Detalle individual'!C840)*1000+COUNTIF('Detalle individual'!$B$5:$B$1000,"&lt;"&amp;'Detalle individual'!B840)+ROW()/10000,"")</f>
        <v/>
      </c>
      <c r="AK840" t="str">
        <f>IF(OR('Base Exámenes'!C840="",'Base Exámenes'!D840=""),"",IF(COUNTIF('Base Exámenes'!$C$5:C840,'Base Exámenes'!C840)=1,'Base Exámenes'!D840+ROW()/1000000000,""))</f>
        <v/>
      </c>
      <c r="AL840" t="str">
        <f>IF(OR('Base Exámenes'!C840="",'Base Exámenes'!E840=""),"",IF(COUNTIF('Base Exámenes'!$C$5:C840,'Base Exámenes'!C840)=1,'Base Exámenes'!E840+ROW()/1000000000,""))</f>
        <v/>
      </c>
      <c r="AM840" t="str">
        <f>IF(OR('Base Exámenes'!C840="",'Base Exámenes'!G840=""),"",IF(ROW()-4=MATCH('Base Exámenes'!C840&amp;"|"&amp;_xlfn.MAXIFS('Base Exámenes'!$G$5:$G$1000,'Base Exámenes'!$C$5:$C$1000,'Base Exámenes'!C840),'Base Exámenes'!$I$5:$I$1000,0),'Base Exámenes'!G840*1000000+(-1)*'Base Exámenes'!D840,""))</f>
        <v/>
      </c>
      <c r="AQ840" t="str">
        <f>IF('Base Exámenes'!C840="","",IF(COUNTIF('Base Exámenes'!$C$5:$C$1000,'Base Exámenes'!C840)&lt;2,"",MATCH('Base Exámenes'!C840,'Base Exámenes'!$C$5:$C$1000,0)*10000+ROW()))</f>
        <v/>
      </c>
    </row>
    <row r="841">
      <c r="Z841" t="str">
        <f>IF('Detalle individual'!A841="","",IF(AND(OR('Estado por Colaborador'!$D$4="Todas las gerencias",'Detalle individual'!D841='Estado por Colaborador'!$D$4),OR('Estado por Colaborador'!$D$5="Todos los departamentos",TRIM('Detalle individual'!C841)='Estado por Colaborador'!$D$5),OR('Estado por Colaborador'!$D$6="Todos",'Detalle individual'!F841='Estado por Colaborador'!$D$6)),IF('Detalle individual'!F841="Completado",30000000,IF('Detalle individual'!F841="Pendiente",0,15000000))+COUNTIF('Detalle individual'!$C$5:$C$1000,"&lt;"&amp;'Detalle individual'!C841)*10000+ROW(),""))</f>
        <v/>
      </c>
      <c r="AB841" t="str">
        <f>IF('Detalle individual'!C841="","",IF(COUNTIF('Detalle individual'!$C$5:C841,'Detalle individual'!C841)=1,COUNTIF('Detalle individual'!$C$5:$C$1000,"&lt;"&amp;'Detalle individual'!C841),""))</f>
        <v/>
      </c>
      <c r="AC841" t="str">
        <f>IF('Detalle individual'!D841="","",IF(COUNTIF('Detalle individual'!$D$5:D841,'Detalle individual'!D841)=1,COUNTIF('Detalle individual'!$D$5:$D$1000,"&lt;"&amp;'Detalle individual'!D841),""))</f>
        <v/>
      </c>
      <c r="AH841" t="str">
        <f>IF('Detalle individual'!F841="Pendiente",COUNTIF('Detalle individual'!$D$5:$D$1000,"&lt;"&amp;'Detalle individual'!D841)*1000000+COUNTIF('Detalle individual'!$C$5:$C$1000,"&lt;"&amp;'Detalle individual'!C841)*1000+COUNTIF('Detalle individual'!$B$5:$B$1000,"&lt;"&amp;'Detalle individual'!B841)+ROW()/10000,"")</f>
        <v/>
      </c>
      <c r="AI841" t="str">
        <f>IF('Detalle individual'!F841="Completado",COUNTIF('Detalle individual'!$D$5:$D$1000,"&lt;"&amp;'Detalle individual'!D841)*1000000+COUNTIF('Detalle individual'!$C$5:$C$1000,"&lt;"&amp;'Detalle individual'!C841)*1000+COUNTIF('Detalle individual'!$B$5:$B$1000,"&lt;"&amp;'Detalle individual'!B841)+ROW()/10000,"")</f>
        <v/>
      </c>
      <c r="AJ841" t="str">
        <f>IF(AND('Detalle individual'!F841&lt;&gt;"",'Detalle individual'!F841&lt;&gt;"Completado",'Detalle individual'!F841&lt;&gt;"Pendiente"),COUNTIF('Detalle individual'!$D$5:$D$1000,"&lt;"&amp;'Detalle individual'!D841)*1000000+COUNTIF('Detalle individual'!$C$5:$C$1000,"&lt;"&amp;'Detalle individual'!C841)*1000+COUNTIF('Detalle individual'!$B$5:$B$1000,"&lt;"&amp;'Detalle individual'!B841)+ROW()/10000,"")</f>
        <v/>
      </c>
      <c r="AK841" t="str">
        <f>IF(OR('Base Exámenes'!C841="",'Base Exámenes'!D841=""),"",IF(COUNTIF('Base Exámenes'!$C$5:C841,'Base Exámenes'!C841)=1,'Base Exámenes'!D841+ROW()/1000000000,""))</f>
        <v/>
      </c>
      <c r="AL841" t="str">
        <f>IF(OR('Base Exámenes'!C841="",'Base Exámenes'!E841=""),"",IF(COUNTIF('Base Exámenes'!$C$5:C841,'Base Exámenes'!C841)=1,'Base Exámenes'!E841+ROW()/1000000000,""))</f>
        <v/>
      </c>
      <c r="AM841" t="str">
        <f>IF(OR('Base Exámenes'!C841="",'Base Exámenes'!G841=""),"",IF(ROW()-4=MATCH('Base Exámenes'!C841&amp;"|"&amp;_xlfn.MAXIFS('Base Exámenes'!$G$5:$G$1000,'Base Exámenes'!$C$5:$C$1000,'Base Exámenes'!C841),'Base Exámenes'!$I$5:$I$1000,0),'Base Exámenes'!G841*1000000+(-1)*'Base Exámenes'!D841,""))</f>
        <v/>
      </c>
      <c r="AQ841" t="str">
        <f>IF('Base Exámenes'!C841="","",IF(COUNTIF('Base Exámenes'!$C$5:$C$1000,'Base Exámenes'!C841)&lt;2,"",MATCH('Base Exámenes'!C841,'Base Exámenes'!$C$5:$C$1000,0)*10000+ROW()))</f>
        <v/>
      </c>
    </row>
    <row r="842">
      <c r="Z842" t="str">
        <f>IF('Detalle individual'!A842="","",IF(AND(OR('Estado por Colaborador'!$D$4="Todas las gerencias",'Detalle individual'!D842='Estado por Colaborador'!$D$4),OR('Estado por Colaborador'!$D$5="Todos los departamentos",TRIM('Detalle individual'!C842)='Estado por Colaborador'!$D$5),OR('Estado por Colaborador'!$D$6="Todos",'Detalle individual'!F842='Estado por Colaborador'!$D$6)),IF('Detalle individual'!F842="Completado",30000000,IF('Detalle individual'!F842="Pendiente",0,15000000))+COUNTIF('Detalle individual'!$C$5:$C$1000,"&lt;"&amp;'Detalle individual'!C842)*10000+ROW(),""))</f>
        <v/>
      </c>
      <c r="AB842" t="str">
        <f>IF('Detalle individual'!C842="","",IF(COUNTIF('Detalle individual'!$C$5:C842,'Detalle individual'!C842)=1,COUNTIF('Detalle individual'!$C$5:$C$1000,"&lt;"&amp;'Detalle individual'!C842),""))</f>
        <v/>
      </c>
      <c r="AC842" t="str">
        <f>IF('Detalle individual'!D842="","",IF(COUNTIF('Detalle individual'!$D$5:D842,'Detalle individual'!D842)=1,COUNTIF('Detalle individual'!$D$5:$D$1000,"&lt;"&amp;'Detalle individual'!D842),""))</f>
        <v/>
      </c>
      <c r="AH842" t="str">
        <f>IF('Detalle individual'!F842="Pendiente",COUNTIF('Detalle individual'!$D$5:$D$1000,"&lt;"&amp;'Detalle individual'!D842)*1000000+COUNTIF('Detalle individual'!$C$5:$C$1000,"&lt;"&amp;'Detalle individual'!C842)*1000+COUNTIF('Detalle individual'!$B$5:$B$1000,"&lt;"&amp;'Detalle individual'!B842)+ROW()/10000,"")</f>
        <v/>
      </c>
      <c r="AI842" t="str">
        <f>IF('Detalle individual'!F842="Completado",COUNTIF('Detalle individual'!$D$5:$D$1000,"&lt;"&amp;'Detalle individual'!D842)*1000000+COUNTIF('Detalle individual'!$C$5:$C$1000,"&lt;"&amp;'Detalle individual'!C842)*1000+COUNTIF('Detalle individual'!$B$5:$B$1000,"&lt;"&amp;'Detalle individual'!B842)+ROW()/10000,"")</f>
        <v/>
      </c>
      <c r="AJ842" t="str">
        <f>IF(AND('Detalle individual'!F842&lt;&gt;"",'Detalle individual'!F842&lt;&gt;"Completado",'Detalle individual'!F842&lt;&gt;"Pendiente"),COUNTIF('Detalle individual'!$D$5:$D$1000,"&lt;"&amp;'Detalle individual'!D842)*1000000+COUNTIF('Detalle individual'!$C$5:$C$1000,"&lt;"&amp;'Detalle individual'!C842)*1000+COUNTIF('Detalle individual'!$B$5:$B$1000,"&lt;"&amp;'Detalle individual'!B842)+ROW()/10000,"")</f>
        <v/>
      </c>
      <c r="AK842" t="str">
        <f>IF(OR('Base Exámenes'!C842="",'Base Exámenes'!D842=""),"",IF(COUNTIF('Base Exámenes'!$C$5:C842,'Base Exámenes'!C842)=1,'Base Exámenes'!D842+ROW()/1000000000,""))</f>
        <v/>
      </c>
      <c r="AL842" t="str">
        <f>IF(OR('Base Exámenes'!C842="",'Base Exámenes'!E842=""),"",IF(COUNTIF('Base Exámenes'!$C$5:C842,'Base Exámenes'!C842)=1,'Base Exámenes'!E842+ROW()/1000000000,""))</f>
        <v/>
      </c>
      <c r="AM842" t="str">
        <f>IF(OR('Base Exámenes'!C842="",'Base Exámenes'!G842=""),"",IF(ROW()-4=MATCH('Base Exámenes'!C842&amp;"|"&amp;_xlfn.MAXIFS('Base Exámenes'!$G$5:$G$1000,'Base Exámenes'!$C$5:$C$1000,'Base Exámenes'!C842),'Base Exámenes'!$I$5:$I$1000,0),'Base Exámenes'!G842*1000000+(-1)*'Base Exámenes'!D842,""))</f>
        <v/>
      </c>
      <c r="AQ842" t="str">
        <f>IF('Base Exámenes'!C842="","",IF(COUNTIF('Base Exámenes'!$C$5:$C$1000,'Base Exámenes'!C842)&lt;2,"",MATCH('Base Exámenes'!C842,'Base Exámenes'!$C$5:$C$1000,0)*10000+ROW()))</f>
        <v/>
      </c>
    </row>
    <row r="843">
      <c r="Z843" t="str">
        <f>IF('Detalle individual'!A843="","",IF(AND(OR('Estado por Colaborador'!$D$4="Todas las gerencias",'Detalle individual'!D843='Estado por Colaborador'!$D$4),OR('Estado por Colaborador'!$D$5="Todos los departamentos",TRIM('Detalle individual'!C843)='Estado por Colaborador'!$D$5),OR('Estado por Colaborador'!$D$6="Todos",'Detalle individual'!F843='Estado por Colaborador'!$D$6)),IF('Detalle individual'!F843="Completado",30000000,IF('Detalle individual'!F843="Pendiente",0,15000000))+COUNTIF('Detalle individual'!$C$5:$C$1000,"&lt;"&amp;'Detalle individual'!C843)*10000+ROW(),""))</f>
        <v/>
      </c>
      <c r="AB843" t="str">
        <f>IF('Detalle individual'!C843="","",IF(COUNTIF('Detalle individual'!$C$5:C843,'Detalle individual'!C843)=1,COUNTIF('Detalle individual'!$C$5:$C$1000,"&lt;"&amp;'Detalle individual'!C843),""))</f>
        <v/>
      </c>
      <c r="AC843" t="str">
        <f>IF('Detalle individual'!D843="","",IF(COUNTIF('Detalle individual'!$D$5:D843,'Detalle individual'!D843)=1,COUNTIF('Detalle individual'!$D$5:$D$1000,"&lt;"&amp;'Detalle individual'!D843),""))</f>
        <v/>
      </c>
      <c r="AH843" t="str">
        <f>IF('Detalle individual'!F843="Pendiente",COUNTIF('Detalle individual'!$D$5:$D$1000,"&lt;"&amp;'Detalle individual'!D843)*1000000+COUNTIF('Detalle individual'!$C$5:$C$1000,"&lt;"&amp;'Detalle individual'!C843)*1000+COUNTIF('Detalle individual'!$B$5:$B$1000,"&lt;"&amp;'Detalle individual'!B843)+ROW()/10000,"")</f>
        <v/>
      </c>
      <c r="AI843" t="str">
        <f>IF('Detalle individual'!F843="Completado",COUNTIF('Detalle individual'!$D$5:$D$1000,"&lt;"&amp;'Detalle individual'!D843)*1000000+COUNTIF('Detalle individual'!$C$5:$C$1000,"&lt;"&amp;'Detalle individual'!C843)*1000+COUNTIF('Detalle individual'!$B$5:$B$1000,"&lt;"&amp;'Detalle individual'!B843)+ROW()/10000,"")</f>
        <v/>
      </c>
      <c r="AJ843" t="str">
        <f>IF(AND('Detalle individual'!F843&lt;&gt;"",'Detalle individual'!F843&lt;&gt;"Completado",'Detalle individual'!F843&lt;&gt;"Pendiente"),COUNTIF('Detalle individual'!$D$5:$D$1000,"&lt;"&amp;'Detalle individual'!D843)*1000000+COUNTIF('Detalle individual'!$C$5:$C$1000,"&lt;"&amp;'Detalle individual'!C843)*1000+COUNTIF('Detalle individual'!$B$5:$B$1000,"&lt;"&amp;'Detalle individual'!B843)+ROW()/10000,"")</f>
        <v/>
      </c>
      <c r="AK843" t="str">
        <f>IF(OR('Base Exámenes'!C843="",'Base Exámenes'!D843=""),"",IF(COUNTIF('Base Exámenes'!$C$5:C843,'Base Exámenes'!C843)=1,'Base Exámenes'!D843+ROW()/1000000000,""))</f>
        <v/>
      </c>
      <c r="AL843" t="str">
        <f>IF(OR('Base Exámenes'!C843="",'Base Exámenes'!E843=""),"",IF(COUNTIF('Base Exámenes'!$C$5:C843,'Base Exámenes'!C843)=1,'Base Exámenes'!E843+ROW()/1000000000,""))</f>
        <v/>
      </c>
      <c r="AM843" t="str">
        <f>IF(OR('Base Exámenes'!C843="",'Base Exámenes'!G843=""),"",IF(ROW()-4=MATCH('Base Exámenes'!C843&amp;"|"&amp;_xlfn.MAXIFS('Base Exámenes'!$G$5:$G$1000,'Base Exámenes'!$C$5:$C$1000,'Base Exámenes'!C843),'Base Exámenes'!$I$5:$I$1000,0),'Base Exámenes'!G843*1000000+(-1)*'Base Exámenes'!D843,""))</f>
        <v/>
      </c>
      <c r="AQ843" t="str">
        <f>IF('Base Exámenes'!C843="","",IF(COUNTIF('Base Exámenes'!$C$5:$C$1000,'Base Exámenes'!C843)&lt;2,"",MATCH('Base Exámenes'!C843,'Base Exámenes'!$C$5:$C$1000,0)*10000+ROW()))</f>
        <v/>
      </c>
    </row>
    <row r="844">
      <c r="Z844" t="str">
        <f>IF('Detalle individual'!A844="","",IF(AND(OR('Estado por Colaborador'!$D$4="Todas las gerencias",'Detalle individual'!D844='Estado por Colaborador'!$D$4),OR('Estado por Colaborador'!$D$5="Todos los departamentos",TRIM('Detalle individual'!C844)='Estado por Colaborador'!$D$5),OR('Estado por Colaborador'!$D$6="Todos",'Detalle individual'!F844='Estado por Colaborador'!$D$6)),IF('Detalle individual'!F844="Completado",30000000,IF('Detalle individual'!F844="Pendiente",0,15000000))+COUNTIF('Detalle individual'!$C$5:$C$1000,"&lt;"&amp;'Detalle individual'!C844)*10000+ROW(),""))</f>
        <v/>
      </c>
      <c r="AB844" t="str">
        <f>IF('Detalle individual'!C844="","",IF(COUNTIF('Detalle individual'!$C$5:C844,'Detalle individual'!C844)=1,COUNTIF('Detalle individual'!$C$5:$C$1000,"&lt;"&amp;'Detalle individual'!C844),""))</f>
        <v/>
      </c>
      <c r="AC844" t="str">
        <f>IF('Detalle individual'!D844="","",IF(COUNTIF('Detalle individual'!$D$5:D844,'Detalle individual'!D844)=1,COUNTIF('Detalle individual'!$D$5:$D$1000,"&lt;"&amp;'Detalle individual'!D844),""))</f>
        <v/>
      </c>
      <c r="AH844" t="str">
        <f>IF('Detalle individual'!F844="Pendiente",COUNTIF('Detalle individual'!$D$5:$D$1000,"&lt;"&amp;'Detalle individual'!D844)*1000000+COUNTIF('Detalle individual'!$C$5:$C$1000,"&lt;"&amp;'Detalle individual'!C844)*1000+COUNTIF('Detalle individual'!$B$5:$B$1000,"&lt;"&amp;'Detalle individual'!B844)+ROW()/10000,"")</f>
        <v/>
      </c>
      <c r="AI844" t="str">
        <f>IF('Detalle individual'!F844="Completado",COUNTIF('Detalle individual'!$D$5:$D$1000,"&lt;"&amp;'Detalle individual'!D844)*1000000+COUNTIF('Detalle individual'!$C$5:$C$1000,"&lt;"&amp;'Detalle individual'!C844)*1000+COUNTIF('Detalle individual'!$B$5:$B$1000,"&lt;"&amp;'Detalle individual'!B844)+ROW()/10000,"")</f>
        <v/>
      </c>
      <c r="AJ844" t="str">
        <f>IF(AND('Detalle individual'!F844&lt;&gt;"",'Detalle individual'!F844&lt;&gt;"Completado",'Detalle individual'!F844&lt;&gt;"Pendiente"),COUNTIF('Detalle individual'!$D$5:$D$1000,"&lt;"&amp;'Detalle individual'!D844)*1000000+COUNTIF('Detalle individual'!$C$5:$C$1000,"&lt;"&amp;'Detalle individual'!C844)*1000+COUNTIF('Detalle individual'!$B$5:$B$1000,"&lt;"&amp;'Detalle individual'!B844)+ROW()/10000,"")</f>
        <v/>
      </c>
      <c r="AK844" t="str">
        <f>IF(OR('Base Exámenes'!C844="",'Base Exámenes'!D844=""),"",IF(COUNTIF('Base Exámenes'!$C$5:C844,'Base Exámenes'!C844)=1,'Base Exámenes'!D844+ROW()/1000000000,""))</f>
        <v/>
      </c>
      <c r="AL844" t="str">
        <f>IF(OR('Base Exámenes'!C844="",'Base Exámenes'!E844=""),"",IF(COUNTIF('Base Exámenes'!$C$5:C844,'Base Exámenes'!C844)=1,'Base Exámenes'!E844+ROW()/1000000000,""))</f>
        <v/>
      </c>
      <c r="AM844" t="str">
        <f>IF(OR('Base Exámenes'!C844="",'Base Exámenes'!G844=""),"",IF(ROW()-4=MATCH('Base Exámenes'!C844&amp;"|"&amp;_xlfn.MAXIFS('Base Exámenes'!$G$5:$G$1000,'Base Exámenes'!$C$5:$C$1000,'Base Exámenes'!C844),'Base Exámenes'!$I$5:$I$1000,0),'Base Exámenes'!G844*1000000+(-1)*'Base Exámenes'!D844,""))</f>
        <v/>
      </c>
      <c r="AQ844" t="str">
        <f>IF('Base Exámenes'!C844="","",IF(COUNTIF('Base Exámenes'!$C$5:$C$1000,'Base Exámenes'!C844)&lt;2,"",MATCH('Base Exámenes'!C844,'Base Exámenes'!$C$5:$C$1000,0)*10000+ROW()))</f>
        <v/>
      </c>
    </row>
    <row r="845">
      <c r="Z845" t="str">
        <f>IF('Detalle individual'!A845="","",IF(AND(OR('Estado por Colaborador'!$D$4="Todas las gerencias",'Detalle individual'!D845='Estado por Colaborador'!$D$4),OR('Estado por Colaborador'!$D$5="Todos los departamentos",TRIM('Detalle individual'!C845)='Estado por Colaborador'!$D$5),OR('Estado por Colaborador'!$D$6="Todos",'Detalle individual'!F845='Estado por Colaborador'!$D$6)),IF('Detalle individual'!F845="Completado",30000000,IF('Detalle individual'!F845="Pendiente",0,15000000))+COUNTIF('Detalle individual'!$C$5:$C$1000,"&lt;"&amp;'Detalle individual'!C845)*10000+ROW(),""))</f>
        <v/>
      </c>
      <c r="AB845" t="str">
        <f>IF('Detalle individual'!C845="","",IF(COUNTIF('Detalle individual'!$C$5:C845,'Detalle individual'!C845)=1,COUNTIF('Detalle individual'!$C$5:$C$1000,"&lt;"&amp;'Detalle individual'!C845),""))</f>
        <v/>
      </c>
      <c r="AC845" t="str">
        <f>IF('Detalle individual'!D845="","",IF(COUNTIF('Detalle individual'!$D$5:D845,'Detalle individual'!D845)=1,COUNTIF('Detalle individual'!$D$5:$D$1000,"&lt;"&amp;'Detalle individual'!D845),""))</f>
        <v/>
      </c>
      <c r="AH845" t="str">
        <f>IF('Detalle individual'!F845="Pendiente",COUNTIF('Detalle individual'!$D$5:$D$1000,"&lt;"&amp;'Detalle individual'!D845)*1000000+COUNTIF('Detalle individual'!$C$5:$C$1000,"&lt;"&amp;'Detalle individual'!C845)*1000+COUNTIF('Detalle individual'!$B$5:$B$1000,"&lt;"&amp;'Detalle individual'!B845)+ROW()/10000,"")</f>
        <v/>
      </c>
      <c r="AI845" t="str">
        <f>IF('Detalle individual'!F845="Completado",COUNTIF('Detalle individual'!$D$5:$D$1000,"&lt;"&amp;'Detalle individual'!D845)*1000000+COUNTIF('Detalle individual'!$C$5:$C$1000,"&lt;"&amp;'Detalle individual'!C845)*1000+COUNTIF('Detalle individual'!$B$5:$B$1000,"&lt;"&amp;'Detalle individual'!B845)+ROW()/10000,"")</f>
        <v/>
      </c>
      <c r="AJ845" t="str">
        <f>IF(AND('Detalle individual'!F845&lt;&gt;"",'Detalle individual'!F845&lt;&gt;"Completado",'Detalle individual'!F845&lt;&gt;"Pendiente"),COUNTIF('Detalle individual'!$D$5:$D$1000,"&lt;"&amp;'Detalle individual'!D845)*1000000+COUNTIF('Detalle individual'!$C$5:$C$1000,"&lt;"&amp;'Detalle individual'!C845)*1000+COUNTIF('Detalle individual'!$B$5:$B$1000,"&lt;"&amp;'Detalle individual'!B845)+ROW()/10000,"")</f>
        <v/>
      </c>
      <c r="AK845" t="str">
        <f>IF(OR('Base Exámenes'!C845="",'Base Exámenes'!D845=""),"",IF(COUNTIF('Base Exámenes'!$C$5:C845,'Base Exámenes'!C845)=1,'Base Exámenes'!D845+ROW()/1000000000,""))</f>
        <v/>
      </c>
      <c r="AL845" t="str">
        <f>IF(OR('Base Exámenes'!C845="",'Base Exámenes'!E845=""),"",IF(COUNTIF('Base Exámenes'!$C$5:C845,'Base Exámenes'!C845)=1,'Base Exámenes'!E845+ROW()/1000000000,""))</f>
        <v/>
      </c>
      <c r="AM845" t="str">
        <f>IF(OR('Base Exámenes'!C845="",'Base Exámenes'!G845=""),"",IF(ROW()-4=MATCH('Base Exámenes'!C845&amp;"|"&amp;_xlfn.MAXIFS('Base Exámenes'!$G$5:$G$1000,'Base Exámenes'!$C$5:$C$1000,'Base Exámenes'!C845),'Base Exámenes'!$I$5:$I$1000,0),'Base Exámenes'!G845*1000000+(-1)*'Base Exámenes'!D845,""))</f>
        <v/>
      </c>
      <c r="AQ845" t="str">
        <f>IF('Base Exámenes'!C845="","",IF(COUNTIF('Base Exámenes'!$C$5:$C$1000,'Base Exámenes'!C845)&lt;2,"",MATCH('Base Exámenes'!C845,'Base Exámenes'!$C$5:$C$1000,0)*10000+ROW()))</f>
        <v/>
      </c>
    </row>
    <row r="846">
      <c r="Z846" t="str">
        <f>IF('Detalle individual'!A846="","",IF(AND(OR('Estado por Colaborador'!$D$4="Todas las gerencias",'Detalle individual'!D846='Estado por Colaborador'!$D$4),OR('Estado por Colaborador'!$D$5="Todos los departamentos",TRIM('Detalle individual'!C846)='Estado por Colaborador'!$D$5),OR('Estado por Colaborador'!$D$6="Todos",'Detalle individual'!F846='Estado por Colaborador'!$D$6)),IF('Detalle individual'!F846="Completado",30000000,IF('Detalle individual'!F846="Pendiente",0,15000000))+COUNTIF('Detalle individual'!$C$5:$C$1000,"&lt;"&amp;'Detalle individual'!C846)*10000+ROW(),""))</f>
        <v/>
      </c>
      <c r="AB846" t="str">
        <f>IF('Detalle individual'!C846="","",IF(COUNTIF('Detalle individual'!$C$5:C846,'Detalle individual'!C846)=1,COUNTIF('Detalle individual'!$C$5:$C$1000,"&lt;"&amp;'Detalle individual'!C846),""))</f>
        <v/>
      </c>
      <c r="AC846" t="str">
        <f>IF('Detalle individual'!D846="","",IF(COUNTIF('Detalle individual'!$D$5:D846,'Detalle individual'!D846)=1,COUNTIF('Detalle individual'!$D$5:$D$1000,"&lt;"&amp;'Detalle individual'!D846),""))</f>
        <v/>
      </c>
      <c r="AH846" t="str">
        <f>IF('Detalle individual'!F846="Pendiente",COUNTIF('Detalle individual'!$D$5:$D$1000,"&lt;"&amp;'Detalle individual'!D846)*1000000+COUNTIF('Detalle individual'!$C$5:$C$1000,"&lt;"&amp;'Detalle individual'!C846)*1000+COUNTIF('Detalle individual'!$B$5:$B$1000,"&lt;"&amp;'Detalle individual'!B846)+ROW()/10000,"")</f>
        <v/>
      </c>
      <c r="AI846" t="str">
        <f>IF('Detalle individual'!F846="Completado",COUNTIF('Detalle individual'!$D$5:$D$1000,"&lt;"&amp;'Detalle individual'!D846)*1000000+COUNTIF('Detalle individual'!$C$5:$C$1000,"&lt;"&amp;'Detalle individual'!C846)*1000+COUNTIF('Detalle individual'!$B$5:$B$1000,"&lt;"&amp;'Detalle individual'!B846)+ROW()/10000,"")</f>
        <v/>
      </c>
      <c r="AJ846" t="str">
        <f>IF(AND('Detalle individual'!F846&lt;&gt;"",'Detalle individual'!F846&lt;&gt;"Completado",'Detalle individual'!F846&lt;&gt;"Pendiente"),COUNTIF('Detalle individual'!$D$5:$D$1000,"&lt;"&amp;'Detalle individual'!D846)*1000000+COUNTIF('Detalle individual'!$C$5:$C$1000,"&lt;"&amp;'Detalle individual'!C846)*1000+COUNTIF('Detalle individual'!$B$5:$B$1000,"&lt;"&amp;'Detalle individual'!B846)+ROW()/10000,"")</f>
        <v/>
      </c>
      <c r="AK846" t="str">
        <f>IF(OR('Base Exámenes'!C846="",'Base Exámenes'!D846=""),"",IF(COUNTIF('Base Exámenes'!$C$5:C846,'Base Exámenes'!C846)=1,'Base Exámenes'!D846+ROW()/1000000000,""))</f>
        <v/>
      </c>
      <c r="AL846" t="str">
        <f>IF(OR('Base Exámenes'!C846="",'Base Exámenes'!E846=""),"",IF(COUNTIF('Base Exámenes'!$C$5:C846,'Base Exámenes'!C846)=1,'Base Exámenes'!E846+ROW()/1000000000,""))</f>
        <v/>
      </c>
      <c r="AM846" t="str">
        <f>IF(OR('Base Exámenes'!C846="",'Base Exámenes'!G846=""),"",IF(ROW()-4=MATCH('Base Exámenes'!C846&amp;"|"&amp;_xlfn.MAXIFS('Base Exámenes'!$G$5:$G$1000,'Base Exámenes'!$C$5:$C$1000,'Base Exámenes'!C846),'Base Exámenes'!$I$5:$I$1000,0),'Base Exámenes'!G846*1000000+(-1)*'Base Exámenes'!D846,""))</f>
        <v/>
      </c>
      <c r="AQ846" t="str">
        <f>IF('Base Exámenes'!C846="","",IF(COUNTIF('Base Exámenes'!$C$5:$C$1000,'Base Exámenes'!C846)&lt;2,"",MATCH('Base Exámenes'!C846,'Base Exámenes'!$C$5:$C$1000,0)*10000+ROW()))</f>
        <v/>
      </c>
    </row>
    <row r="847">
      <c r="Z847" t="str">
        <f>IF('Detalle individual'!A847="","",IF(AND(OR('Estado por Colaborador'!$D$4="Todas las gerencias",'Detalle individual'!D847='Estado por Colaborador'!$D$4),OR('Estado por Colaborador'!$D$5="Todos los departamentos",TRIM('Detalle individual'!C847)='Estado por Colaborador'!$D$5),OR('Estado por Colaborador'!$D$6="Todos",'Detalle individual'!F847='Estado por Colaborador'!$D$6)),IF('Detalle individual'!F847="Completado",30000000,IF('Detalle individual'!F847="Pendiente",0,15000000))+COUNTIF('Detalle individual'!$C$5:$C$1000,"&lt;"&amp;'Detalle individual'!C847)*10000+ROW(),""))</f>
        <v/>
      </c>
      <c r="AB847" t="str">
        <f>IF('Detalle individual'!C847="","",IF(COUNTIF('Detalle individual'!$C$5:C847,'Detalle individual'!C847)=1,COUNTIF('Detalle individual'!$C$5:$C$1000,"&lt;"&amp;'Detalle individual'!C847),""))</f>
        <v/>
      </c>
      <c r="AC847" t="str">
        <f>IF('Detalle individual'!D847="","",IF(COUNTIF('Detalle individual'!$D$5:D847,'Detalle individual'!D847)=1,COUNTIF('Detalle individual'!$D$5:$D$1000,"&lt;"&amp;'Detalle individual'!D847),""))</f>
        <v/>
      </c>
      <c r="AH847" t="str">
        <f>IF('Detalle individual'!F847="Pendiente",COUNTIF('Detalle individual'!$D$5:$D$1000,"&lt;"&amp;'Detalle individual'!D847)*1000000+COUNTIF('Detalle individual'!$C$5:$C$1000,"&lt;"&amp;'Detalle individual'!C847)*1000+COUNTIF('Detalle individual'!$B$5:$B$1000,"&lt;"&amp;'Detalle individual'!B847)+ROW()/10000,"")</f>
        <v/>
      </c>
      <c r="AI847" t="str">
        <f>IF('Detalle individual'!F847="Completado",COUNTIF('Detalle individual'!$D$5:$D$1000,"&lt;"&amp;'Detalle individual'!D847)*1000000+COUNTIF('Detalle individual'!$C$5:$C$1000,"&lt;"&amp;'Detalle individual'!C847)*1000+COUNTIF('Detalle individual'!$B$5:$B$1000,"&lt;"&amp;'Detalle individual'!B847)+ROW()/10000,"")</f>
        <v/>
      </c>
      <c r="AJ847" t="str">
        <f>IF(AND('Detalle individual'!F847&lt;&gt;"",'Detalle individual'!F847&lt;&gt;"Completado",'Detalle individual'!F847&lt;&gt;"Pendiente"),COUNTIF('Detalle individual'!$D$5:$D$1000,"&lt;"&amp;'Detalle individual'!D847)*1000000+COUNTIF('Detalle individual'!$C$5:$C$1000,"&lt;"&amp;'Detalle individual'!C847)*1000+COUNTIF('Detalle individual'!$B$5:$B$1000,"&lt;"&amp;'Detalle individual'!B847)+ROW()/10000,"")</f>
        <v/>
      </c>
      <c r="AK847" t="str">
        <f>IF(OR('Base Exámenes'!C847="",'Base Exámenes'!D847=""),"",IF(COUNTIF('Base Exámenes'!$C$5:C847,'Base Exámenes'!C847)=1,'Base Exámenes'!D847+ROW()/1000000000,""))</f>
        <v/>
      </c>
      <c r="AL847" t="str">
        <f>IF(OR('Base Exámenes'!C847="",'Base Exámenes'!E847=""),"",IF(COUNTIF('Base Exámenes'!$C$5:C847,'Base Exámenes'!C847)=1,'Base Exámenes'!E847+ROW()/1000000000,""))</f>
        <v/>
      </c>
      <c r="AM847" t="str">
        <f>IF(OR('Base Exámenes'!C847="",'Base Exámenes'!G847=""),"",IF(ROW()-4=MATCH('Base Exámenes'!C847&amp;"|"&amp;_xlfn.MAXIFS('Base Exámenes'!$G$5:$G$1000,'Base Exámenes'!$C$5:$C$1000,'Base Exámenes'!C847),'Base Exámenes'!$I$5:$I$1000,0),'Base Exámenes'!G847*1000000+(-1)*'Base Exámenes'!D847,""))</f>
        <v/>
      </c>
      <c r="AQ847" t="str">
        <f>IF('Base Exámenes'!C847="","",IF(COUNTIF('Base Exámenes'!$C$5:$C$1000,'Base Exámenes'!C847)&lt;2,"",MATCH('Base Exámenes'!C847,'Base Exámenes'!$C$5:$C$1000,0)*10000+ROW()))</f>
        <v/>
      </c>
    </row>
    <row r="848">
      <c r="Z848" t="str">
        <f>IF('Detalle individual'!A848="","",IF(AND(OR('Estado por Colaborador'!$D$4="Todas las gerencias",'Detalle individual'!D848='Estado por Colaborador'!$D$4),OR('Estado por Colaborador'!$D$5="Todos los departamentos",TRIM('Detalle individual'!C848)='Estado por Colaborador'!$D$5),OR('Estado por Colaborador'!$D$6="Todos",'Detalle individual'!F848='Estado por Colaborador'!$D$6)),IF('Detalle individual'!F848="Completado",30000000,IF('Detalle individual'!F848="Pendiente",0,15000000))+COUNTIF('Detalle individual'!$C$5:$C$1000,"&lt;"&amp;'Detalle individual'!C848)*10000+ROW(),""))</f>
        <v/>
      </c>
      <c r="AB848" t="str">
        <f>IF('Detalle individual'!C848="","",IF(COUNTIF('Detalle individual'!$C$5:C848,'Detalle individual'!C848)=1,COUNTIF('Detalle individual'!$C$5:$C$1000,"&lt;"&amp;'Detalle individual'!C848),""))</f>
        <v/>
      </c>
      <c r="AC848" t="str">
        <f>IF('Detalle individual'!D848="","",IF(COUNTIF('Detalle individual'!$D$5:D848,'Detalle individual'!D848)=1,COUNTIF('Detalle individual'!$D$5:$D$1000,"&lt;"&amp;'Detalle individual'!D848),""))</f>
        <v/>
      </c>
      <c r="AH848" t="str">
        <f>IF('Detalle individual'!F848="Pendiente",COUNTIF('Detalle individual'!$D$5:$D$1000,"&lt;"&amp;'Detalle individual'!D848)*1000000+COUNTIF('Detalle individual'!$C$5:$C$1000,"&lt;"&amp;'Detalle individual'!C848)*1000+COUNTIF('Detalle individual'!$B$5:$B$1000,"&lt;"&amp;'Detalle individual'!B848)+ROW()/10000,"")</f>
        <v/>
      </c>
      <c r="AI848" t="str">
        <f>IF('Detalle individual'!F848="Completado",COUNTIF('Detalle individual'!$D$5:$D$1000,"&lt;"&amp;'Detalle individual'!D848)*1000000+COUNTIF('Detalle individual'!$C$5:$C$1000,"&lt;"&amp;'Detalle individual'!C848)*1000+COUNTIF('Detalle individual'!$B$5:$B$1000,"&lt;"&amp;'Detalle individual'!B848)+ROW()/10000,"")</f>
        <v/>
      </c>
      <c r="AJ848" t="str">
        <f>IF(AND('Detalle individual'!F848&lt;&gt;"",'Detalle individual'!F848&lt;&gt;"Completado",'Detalle individual'!F848&lt;&gt;"Pendiente"),COUNTIF('Detalle individual'!$D$5:$D$1000,"&lt;"&amp;'Detalle individual'!D848)*1000000+COUNTIF('Detalle individual'!$C$5:$C$1000,"&lt;"&amp;'Detalle individual'!C848)*1000+COUNTIF('Detalle individual'!$B$5:$B$1000,"&lt;"&amp;'Detalle individual'!B848)+ROW()/10000,"")</f>
        <v/>
      </c>
      <c r="AK848" t="str">
        <f>IF(OR('Base Exámenes'!C848="",'Base Exámenes'!D848=""),"",IF(COUNTIF('Base Exámenes'!$C$5:C848,'Base Exámenes'!C848)=1,'Base Exámenes'!D848+ROW()/1000000000,""))</f>
        <v/>
      </c>
      <c r="AL848" t="str">
        <f>IF(OR('Base Exámenes'!C848="",'Base Exámenes'!E848=""),"",IF(COUNTIF('Base Exámenes'!$C$5:C848,'Base Exámenes'!C848)=1,'Base Exámenes'!E848+ROW()/1000000000,""))</f>
        <v/>
      </c>
      <c r="AM848" t="str">
        <f>IF(OR('Base Exámenes'!C848="",'Base Exámenes'!G848=""),"",IF(ROW()-4=MATCH('Base Exámenes'!C848&amp;"|"&amp;_xlfn.MAXIFS('Base Exámenes'!$G$5:$G$1000,'Base Exámenes'!$C$5:$C$1000,'Base Exámenes'!C848),'Base Exámenes'!$I$5:$I$1000,0),'Base Exámenes'!G848*1000000+(-1)*'Base Exámenes'!D848,""))</f>
        <v/>
      </c>
      <c r="AQ848" t="str">
        <f>IF('Base Exámenes'!C848="","",IF(COUNTIF('Base Exámenes'!$C$5:$C$1000,'Base Exámenes'!C848)&lt;2,"",MATCH('Base Exámenes'!C848,'Base Exámenes'!$C$5:$C$1000,0)*10000+ROW()))</f>
        <v/>
      </c>
    </row>
    <row r="849">
      <c r="Z849" t="str">
        <f>IF('Detalle individual'!A849="","",IF(AND(OR('Estado por Colaborador'!$D$4="Todas las gerencias",'Detalle individual'!D849='Estado por Colaborador'!$D$4),OR('Estado por Colaborador'!$D$5="Todos los departamentos",TRIM('Detalle individual'!C849)='Estado por Colaborador'!$D$5),OR('Estado por Colaborador'!$D$6="Todos",'Detalle individual'!F849='Estado por Colaborador'!$D$6)),IF('Detalle individual'!F849="Completado",30000000,IF('Detalle individual'!F849="Pendiente",0,15000000))+COUNTIF('Detalle individual'!$C$5:$C$1000,"&lt;"&amp;'Detalle individual'!C849)*10000+ROW(),""))</f>
        <v/>
      </c>
      <c r="AB849" t="str">
        <f>IF('Detalle individual'!C849="","",IF(COUNTIF('Detalle individual'!$C$5:C849,'Detalle individual'!C849)=1,COUNTIF('Detalle individual'!$C$5:$C$1000,"&lt;"&amp;'Detalle individual'!C849),""))</f>
        <v/>
      </c>
      <c r="AC849" t="str">
        <f>IF('Detalle individual'!D849="","",IF(COUNTIF('Detalle individual'!$D$5:D849,'Detalle individual'!D849)=1,COUNTIF('Detalle individual'!$D$5:$D$1000,"&lt;"&amp;'Detalle individual'!D849),""))</f>
        <v/>
      </c>
      <c r="AH849" t="str">
        <f>IF('Detalle individual'!F849="Pendiente",COUNTIF('Detalle individual'!$D$5:$D$1000,"&lt;"&amp;'Detalle individual'!D849)*1000000+COUNTIF('Detalle individual'!$C$5:$C$1000,"&lt;"&amp;'Detalle individual'!C849)*1000+COUNTIF('Detalle individual'!$B$5:$B$1000,"&lt;"&amp;'Detalle individual'!B849)+ROW()/10000,"")</f>
        <v/>
      </c>
      <c r="AI849" t="str">
        <f>IF('Detalle individual'!F849="Completado",COUNTIF('Detalle individual'!$D$5:$D$1000,"&lt;"&amp;'Detalle individual'!D849)*1000000+COUNTIF('Detalle individual'!$C$5:$C$1000,"&lt;"&amp;'Detalle individual'!C849)*1000+COUNTIF('Detalle individual'!$B$5:$B$1000,"&lt;"&amp;'Detalle individual'!B849)+ROW()/10000,"")</f>
        <v/>
      </c>
      <c r="AJ849" t="str">
        <f>IF(AND('Detalle individual'!F849&lt;&gt;"",'Detalle individual'!F849&lt;&gt;"Completado",'Detalle individual'!F849&lt;&gt;"Pendiente"),COUNTIF('Detalle individual'!$D$5:$D$1000,"&lt;"&amp;'Detalle individual'!D849)*1000000+COUNTIF('Detalle individual'!$C$5:$C$1000,"&lt;"&amp;'Detalle individual'!C849)*1000+COUNTIF('Detalle individual'!$B$5:$B$1000,"&lt;"&amp;'Detalle individual'!B849)+ROW()/10000,"")</f>
        <v/>
      </c>
      <c r="AK849" t="str">
        <f>IF(OR('Base Exámenes'!C849="",'Base Exámenes'!D849=""),"",IF(COUNTIF('Base Exámenes'!$C$5:C849,'Base Exámenes'!C849)=1,'Base Exámenes'!D849+ROW()/1000000000,""))</f>
        <v/>
      </c>
      <c r="AL849" t="str">
        <f>IF(OR('Base Exámenes'!C849="",'Base Exámenes'!E849=""),"",IF(COUNTIF('Base Exámenes'!$C$5:C849,'Base Exámenes'!C849)=1,'Base Exámenes'!E849+ROW()/1000000000,""))</f>
        <v/>
      </c>
      <c r="AM849" t="str">
        <f>IF(OR('Base Exámenes'!C849="",'Base Exámenes'!G849=""),"",IF(ROW()-4=MATCH('Base Exámenes'!C849&amp;"|"&amp;_xlfn.MAXIFS('Base Exámenes'!$G$5:$G$1000,'Base Exámenes'!$C$5:$C$1000,'Base Exámenes'!C849),'Base Exámenes'!$I$5:$I$1000,0),'Base Exámenes'!G849*1000000+(-1)*'Base Exámenes'!D849,""))</f>
        <v/>
      </c>
      <c r="AQ849" t="str">
        <f>IF('Base Exámenes'!C849="","",IF(COUNTIF('Base Exámenes'!$C$5:$C$1000,'Base Exámenes'!C849)&lt;2,"",MATCH('Base Exámenes'!C849,'Base Exámenes'!$C$5:$C$1000,0)*10000+ROW()))</f>
        <v/>
      </c>
    </row>
    <row r="850">
      <c r="Z850" t="str">
        <f>IF('Detalle individual'!A850="","",IF(AND(OR('Estado por Colaborador'!$D$4="Todas las gerencias",'Detalle individual'!D850='Estado por Colaborador'!$D$4),OR('Estado por Colaborador'!$D$5="Todos los departamentos",TRIM('Detalle individual'!C850)='Estado por Colaborador'!$D$5),OR('Estado por Colaborador'!$D$6="Todos",'Detalle individual'!F850='Estado por Colaborador'!$D$6)),IF('Detalle individual'!F850="Completado",30000000,IF('Detalle individual'!F850="Pendiente",0,15000000))+COUNTIF('Detalle individual'!$C$5:$C$1000,"&lt;"&amp;'Detalle individual'!C850)*10000+ROW(),""))</f>
        <v/>
      </c>
      <c r="AB850" t="str">
        <f>IF('Detalle individual'!C850="","",IF(COUNTIF('Detalle individual'!$C$5:C850,'Detalle individual'!C850)=1,COUNTIF('Detalle individual'!$C$5:$C$1000,"&lt;"&amp;'Detalle individual'!C850),""))</f>
        <v/>
      </c>
      <c r="AC850" t="str">
        <f>IF('Detalle individual'!D850="","",IF(COUNTIF('Detalle individual'!$D$5:D850,'Detalle individual'!D850)=1,COUNTIF('Detalle individual'!$D$5:$D$1000,"&lt;"&amp;'Detalle individual'!D850),""))</f>
        <v/>
      </c>
      <c r="AH850" t="str">
        <f>IF('Detalle individual'!F850="Pendiente",COUNTIF('Detalle individual'!$D$5:$D$1000,"&lt;"&amp;'Detalle individual'!D850)*1000000+COUNTIF('Detalle individual'!$C$5:$C$1000,"&lt;"&amp;'Detalle individual'!C850)*1000+COUNTIF('Detalle individual'!$B$5:$B$1000,"&lt;"&amp;'Detalle individual'!B850)+ROW()/10000,"")</f>
        <v/>
      </c>
      <c r="AI850" t="str">
        <f>IF('Detalle individual'!F850="Completado",COUNTIF('Detalle individual'!$D$5:$D$1000,"&lt;"&amp;'Detalle individual'!D850)*1000000+COUNTIF('Detalle individual'!$C$5:$C$1000,"&lt;"&amp;'Detalle individual'!C850)*1000+COUNTIF('Detalle individual'!$B$5:$B$1000,"&lt;"&amp;'Detalle individual'!B850)+ROW()/10000,"")</f>
        <v/>
      </c>
      <c r="AJ850" t="str">
        <f>IF(AND('Detalle individual'!F850&lt;&gt;"",'Detalle individual'!F850&lt;&gt;"Completado",'Detalle individual'!F850&lt;&gt;"Pendiente"),COUNTIF('Detalle individual'!$D$5:$D$1000,"&lt;"&amp;'Detalle individual'!D850)*1000000+COUNTIF('Detalle individual'!$C$5:$C$1000,"&lt;"&amp;'Detalle individual'!C850)*1000+COUNTIF('Detalle individual'!$B$5:$B$1000,"&lt;"&amp;'Detalle individual'!B850)+ROW()/10000,"")</f>
        <v/>
      </c>
      <c r="AK850" t="str">
        <f>IF(OR('Base Exámenes'!C850="",'Base Exámenes'!D850=""),"",IF(COUNTIF('Base Exámenes'!$C$5:C850,'Base Exámenes'!C850)=1,'Base Exámenes'!D850+ROW()/1000000000,""))</f>
        <v/>
      </c>
      <c r="AL850" t="str">
        <f>IF(OR('Base Exámenes'!C850="",'Base Exámenes'!E850=""),"",IF(COUNTIF('Base Exámenes'!$C$5:C850,'Base Exámenes'!C850)=1,'Base Exámenes'!E850+ROW()/1000000000,""))</f>
        <v/>
      </c>
      <c r="AM850" t="str">
        <f>IF(OR('Base Exámenes'!C850="",'Base Exámenes'!G850=""),"",IF(ROW()-4=MATCH('Base Exámenes'!C850&amp;"|"&amp;_xlfn.MAXIFS('Base Exámenes'!$G$5:$G$1000,'Base Exámenes'!$C$5:$C$1000,'Base Exámenes'!C850),'Base Exámenes'!$I$5:$I$1000,0),'Base Exámenes'!G850*1000000+(-1)*'Base Exámenes'!D850,""))</f>
        <v/>
      </c>
      <c r="AQ850" t="str">
        <f>IF('Base Exámenes'!C850="","",IF(COUNTIF('Base Exámenes'!$C$5:$C$1000,'Base Exámenes'!C850)&lt;2,"",MATCH('Base Exámenes'!C850,'Base Exámenes'!$C$5:$C$1000,0)*10000+ROW()))</f>
        <v/>
      </c>
    </row>
    <row r="851">
      <c r="Z851" t="str">
        <f>IF('Detalle individual'!A851="","",IF(AND(OR('Estado por Colaborador'!$D$4="Todas las gerencias",'Detalle individual'!D851='Estado por Colaborador'!$D$4),OR('Estado por Colaborador'!$D$5="Todos los departamentos",TRIM('Detalle individual'!C851)='Estado por Colaborador'!$D$5),OR('Estado por Colaborador'!$D$6="Todos",'Detalle individual'!F851='Estado por Colaborador'!$D$6)),IF('Detalle individual'!F851="Completado",30000000,IF('Detalle individual'!F851="Pendiente",0,15000000))+COUNTIF('Detalle individual'!$C$5:$C$1000,"&lt;"&amp;'Detalle individual'!C851)*10000+ROW(),""))</f>
        <v/>
      </c>
      <c r="AB851" t="str">
        <f>IF('Detalle individual'!C851="","",IF(COUNTIF('Detalle individual'!$C$5:C851,'Detalle individual'!C851)=1,COUNTIF('Detalle individual'!$C$5:$C$1000,"&lt;"&amp;'Detalle individual'!C851),""))</f>
        <v/>
      </c>
      <c r="AC851" t="str">
        <f>IF('Detalle individual'!D851="","",IF(COUNTIF('Detalle individual'!$D$5:D851,'Detalle individual'!D851)=1,COUNTIF('Detalle individual'!$D$5:$D$1000,"&lt;"&amp;'Detalle individual'!D851),""))</f>
        <v/>
      </c>
      <c r="AH851" t="str">
        <f>IF('Detalle individual'!F851="Pendiente",COUNTIF('Detalle individual'!$D$5:$D$1000,"&lt;"&amp;'Detalle individual'!D851)*1000000+COUNTIF('Detalle individual'!$C$5:$C$1000,"&lt;"&amp;'Detalle individual'!C851)*1000+COUNTIF('Detalle individual'!$B$5:$B$1000,"&lt;"&amp;'Detalle individual'!B851)+ROW()/10000,"")</f>
        <v/>
      </c>
      <c r="AI851" t="str">
        <f>IF('Detalle individual'!F851="Completado",COUNTIF('Detalle individual'!$D$5:$D$1000,"&lt;"&amp;'Detalle individual'!D851)*1000000+COUNTIF('Detalle individual'!$C$5:$C$1000,"&lt;"&amp;'Detalle individual'!C851)*1000+COUNTIF('Detalle individual'!$B$5:$B$1000,"&lt;"&amp;'Detalle individual'!B851)+ROW()/10000,"")</f>
        <v/>
      </c>
      <c r="AJ851" t="str">
        <f>IF(AND('Detalle individual'!F851&lt;&gt;"",'Detalle individual'!F851&lt;&gt;"Completado",'Detalle individual'!F851&lt;&gt;"Pendiente"),COUNTIF('Detalle individual'!$D$5:$D$1000,"&lt;"&amp;'Detalle individual'!D851)*1000000+COUNTIF('Detalle individual'!$C$5:$C$1000,"&lt;"&amp;'Detalle individual'!C851)*1000+COUNTIF('Detalle individual'!$B$5:$B$1000,"&lt;"&amp;'Detalle individual'!B851)+ROW()/10000,"")</f>
        <v/>
      </c>
      <c r="AK851" t="str">
        <f>IF(OR('Base Exámenes'!C851="",'Base Exámenes'!D851=""),"",IF(COUNTIF('Base Exámenes'!$C$5:C851,'Base Exámenes'!C851)=1,'Base Exámenes'!D851+ROW()/1000000000,""))</f>
        <v/>
      </c>
      <c r="AL851" t="str">
        <f>IF(OR('Base Exámenes'!C851="",'Base Exámenes'!E851=""),"",IF(COUNTIF('Base Exámenes'!$C$5:C851,'Base Exámenes'!C851)=1,'Base Exámenes'!E851+ROW()/1000000000,""))</f>
        <v/>
      </c>
      <c r="AM851" t="str">
        <f>IF(OR('Base Exámenes'!C851="",'Base Exámenes'!G851=""),"",IF(ROW()-4=MATCH('Base Exámenes'!C851&amp;"|"&amp;_xlfn.MAXIFS('Base Exámenes'!$G$5:$G$1000,'Base Exámenes'!$C$5:$C$1000,'Base Exámenes'!C851),'Base Exámenes'!$I$5:$I$1000,0),'Base Exámenes'!G851*1000000+(-1)*'Base Exámenes'!D851,""))</f>
        <v/>
      </c>
      <c r="AQ851" t="str">
        <f>IF('Base Exámenes'!C851="","",IF(COUNTIF('Base Exámenes'!$C$5:$C$1000,'Base Exámenes'!C851)&lt;2,"",MATCH('Base Exámenes'!C851,'Base Exámenes'!$C$5:$C$1000,0)*10000+ROW()))</f>
        <v/>
      </c>
    </row>
    <row r="852">
      <c r="Z852" t="str">
        <f>IF('Detalle individual'!A852="","",IF(AND(OR('Estado por Colaborador'!$D$4="Todas las gerencias",'Detalle individual'!D852='Estado por Colaborador'!$D$4),OR('Estado por Colaborador'!$D$5="Todos los departamentos",TRIM('Detalle individual'!C852)='Estado por Colaborador'!$D$5),OR('Estado por Colaborador'!$D$6="Todos",'Detalle individual'!F852='Estado por Colaborador'!$D$6)),IF('Detalle individual'!F852="Completado",30000000,IF('Detalle individual'!F852="Pendiente",0,15000000))+COUNTIF('Detalle individual'!$C$5:$C$1000,"&lt;"&amp;'Detalle individual'!C852)*10000+ROW(),""))</f>
        <v/>
      </c>
      <c r="AB852" t="str">
        <f>IF('Detalle individual'!C852="","",IF(COUNTIF('Detalle individual'!$C$5:C852,'Detalle individual'!C852)=1,COUNTIF('Detalle individual'!$C$5:$C$1000,"&lt;"&amp;'Detalle individual'!C852),""))</f>
        <v/>
      </c>
      <c r="AC852" t="str">
        <f>IF('Detalle individual'!D852="","",IF(COUNTIF('Detalle individual'!$D$5:D852,'Detalle individual'!D852)=1,COUNTIF('Detalle individual'!$D$5:$D$1000,"&lt;"&amp;'Detalle individual'!D852),""))</f>
        <v/>
      </c>
      <c r="AH852" t="str">
        <f>IF('Detalle individual'!F852="Pendiente",COUNTIF('Detalle individual'!$D$5:$D$1000,"&lt;"&amp;'Detalle individual'!D852)*1000000+COUNTIF('Detalle individual'!$C$5:$C$1000,"&lt;"&amp;'Detalle individual'!C852)*1000+COUNTIF('Detalle individual'!$B$5:$B$1000,"&lt;"&amp;'Detalle individual'!B852)+ROW()/10000,"")</f>
        <v/>
      </c>
      <c r="AI852" t="str">
        <f>IF('Detalle individual'!F852="Completado",COUNTIF('Detalle individual'!$D$5:$D$1000,"&lt;"&amp;'Detalle individual'!D852)*1000000+COUNTIF('Detalle individual'!$C$5:$C$1000,"&lt;"&amp;'Detalle individual'!C852)*1000+COUNTIF('Detalle individual'!$B$5:$B$1000,"&lt;"&amp;'Detalle individual'!B852)+ROW()/10000,"")</f>
        <v/>
      </c>
      <c r="AJ852" t="str">
        <f>IF(AND('Detalle individual'!F852&lt;&gt;"",'Detalle individual'!F852&lt;&gt;"Completado",'Detalle individual'!F852&lt;&gt;"Pendiente"),COUNTIF('Detalle individual'!$D$5:$D$1000,"&lt;"&amp;'Detalle individual'!D852)*1000000+COUNTIF('Detalle individual'!$C$5:$C$1000,"&lt;"&amp;'Detalle individual'!C852)*1000+COUNTIF('Detalle individual'!$B$5:$B$1000,"&lt;"&amp;'Detalle individual'!B852)+ROW()/10000,"")</f>
        <v/>
      </c>
      <c r="AK852" t="str">
        <f>IF(OR('Base Exámenes'!C852="",'Base Exámenes'!D852=""),"",IF(COUNTIF('Base Exámenes'!$C$5:C852,'Base Exámenes'!C852)=1,'Base Exámenes'!D852+ROW()/1000000000,""))</f>
        <v/>
      </c>
      <c r="AL852" t="str">
        <f>IF(OR('Base Exámenes'!C852="",'Base Exámenes'!E852=""),"",IF(COUNTIF('Base Exámenes'!$C$5:C852,'Base Exámenes'!C852)=1,'Base Exámenes'!E852+ROW()/1000000000,""))</f>
        <v/>
      </c>
      <c r="AM852" t="str">
        <f>IF(OR('Base Exámenes'!C852="",'Base Exámenes'!G852=""),"",IF(ROW()-4=MATCH('Base Exámenes'!C852&amp;"|"&amp;_xlfn.MAXIFS('Base Exámenes'!$G$5:$G$1000,'Base Exámenes'!$C$5:$C$1000,'Base Exámenes'!C852),'Base Exámenes'!$I$5:$I$1000,0),'Base Exámenes'!G852*1000000+(-1)*'Base Exámenes'!D852,""))</f>
        <v/>
      </c>
      <c r="AQ852" t="str">
        <f>IF('Base Exámenes'!C852="","",IF(COUNTIF('Base Exámenes'!$C$5:$C$1000,'Base Exámenes'!C852)&lt;2,"",MATCH('Base Exámenes'!C852,'Base Exámenes'!$C$5:$C$1000,0)*10000+ROW()))</f>
        <v/>
      </c>
    </row>
    <row r="853">
      <c r="Z853" t="str">
        <f>IF('Detalle individual'!A853="","",IF(AND(OR('Estado por Colaborador'!$D$4="Todas las gerencias",'Detalle individual'!D853='Estado por Colaborador'!$D$4),OR('Estado por Colaborador'!$D$5="Todos los departamentos",TRIM('Detalle individual'!C853)='Estado por Colaborador'!$D$5),OR('Estado por Colaborador'!$D$6="Todos",'Detalle individual'!F853='Estado por Colaborador'!$D$6)),IF('Detalle individual'!F853="Completado",30000000,IF('Detalle individual'!F853="Pendiente",0,15000000))+COUNTIF('Detalle individual'!$C$5:$C$1000,"&lt;"&amp;'Detalle individual'!C853)*10000+ROW(),""))</f>
        <v/>
      </c>
      <c r="AB853" t="str">
        <f>IF('Detalle individual'!C853="","",IF(COUNTIF('Detalle individual'!$C$5:C853,'Detalle individual'!C853)=1,COUNTIF('Detalle individual'!$C$5:$C$1000,"&lt;"&amp;'Detalle individual'!C853),""))</f>
        <v/>
      </c>
      <c r="AC853" t="str">
        <f>IF('Detalle individual'!D853="","",IF(COUNTIF('Detalle individual'!$D$5:D853,'Detalle individual'!D853)=1,COUNTIF('Detalle individual'!$D$5:$D$1000,"&lt;"&amp;'Detalle individual'!D853),""))</f>
        <v/>
      </c>
      <c r="AH853" t="str">
        <f>IF('Detalle individual'!F853="Pendiente",COUNTIF('Detalle individual'!$D$5:$D$1000,"&lt;"&amp;'Detalle individual'!D853)*1000000+COUNTIF('Detalle individual'!$C$5:$C$1000,"&lt;"&amp;'Detalle individual'!C853)*1000+COUNTIF('Detalle individual'!$B$5:$B$1000,"&lt;"&amp;'Detalle individual'!B853)+ROW()/10000,"")</f>
        <v/>
      </c>
      <c r="AI853" t="str">
        <f>IF('Detalle individual'!F853="Completado",COUNTIF('Detalle individual'!$D$5:$D$1000,"&lt;"&amp;'Detalle individual'!D853)*1000000+COUNTIF('Detalle individual'!$C$5:$C$1000,"&lt;"&amp;'Detalle individual'!C853)*1000+COUNTIF('Detalle individual'!$B$5:$B$1000,"&lt;"&amp;'Detalle individual'!B853)+ROW()/10000,"")</f>
        <v/>
      </c>
      <c r="AJ853" t="str">
        <f>IF(AND('Detalle individual'!F853&lt;&gt;"",'Detalle individual'!F853&lt;&gt;"Completado",'Detalle individual'!F853&lt;&gt;"Pendiente"),COUNTIF('Detalle individual'!$D$5:$D$1000,"&lt;"&amp;'Detalle individual'!D853)*1000000+COUNTIF('Detalle individual'!$C$5:$C$1000,"&lt;"&amp;'Detalle individual'!C853)*1000+COUNTIF('Detalle individual'!$B$5:$B$1000,"&lt;"&amp;'Detalle individual'!B853)+ROW()/10000,"")</f>
        <v/>
      </c>
      <c r="AK853" t="str">
        <f>IF(OR('Base Exámenes'!C853="",'Base Exámenes'!D853=""),"",IF(COUNTIF('Base Exámenes'!$C$5:C853,'Base Exámenes'!C853)=1,'Base Exámenes'!D853+ROW()/1000000000,""))</f>
        <v/>
      </c>
      <c r="AL853" t="str">
        <f>IF(OR('Base Exámenes'!C853="",'Base Exámenes'!E853=""),"",IF(COUNTIF('Base Exámenes'!$C$5:C853,'Base Exámenes'!C853)=1,'Base Exámenes'!E853+ROW()/1000000000,""))</f>
        <v/>
      </c>
      <c r="AM853" t="str">
        <f>IF(OR('Base Exámenes'!C853="",'Base Exámenes'!G853=""),"",IF(ROW()-4=MATCH('Base Exámenes'!C853&amp;"|"&amp;_xlfn.MAXIFS('Base Exámenes'!$G$5:$G$1000,'Base Exámenes'!$C$5:$C$1000,'Base Exámenes'!C853),'Base Exámenes'!$I$5:$I$1000,0),'Base Exámenes'!G853*1000000+(-1)*'Base Exámenes'!D853,""))</f>
        <v/>
      </c>
      <c r="AQ853" t="str">
        <f>IF('Base Exámenes'!C853="","",IF(COUNTIF('Base Exámenes'!$C$5:$C$1000,'Base Exámenes'!C853)&lt;2,"",MATCH('Base Exámenes'!C853,'Base Exámenes'!$C$5:$C$1000,0)*10000+ROW()))</f>
        <v/>
      </c>
    </row>
    <row r="854">
      <c r="Z854" t="str">
        <f>IF('Detalle individual'!A854="","",IF(AND(OR('Estado por Colaborador'!$D$4="Todas las gerencias",'Detalle individual'!D854='Estado por Colaborador'!$D$4),OR('Estado por Colaborador'!$D$5="Todos los departamentos",TRIM('Detalle individual'!C854)='Estado por Colaborador'!$D$5),OR('Estado por Colaborador'!$D$6="Todos",'Detalle individual'!F854='Estado por Colaborador'!$D$6)),IF('Detalle individual'!F854="Completado",30000000,IF('Detalle individual'!F854="Pendiente",0,15000000))+COUNTIF('Detalle individual'!$C$5:$C$1000,"&lt;"&amp;'Detalle individual'!C854)*10000+ROW(),""))</f>
        <v/>
      </c>
      <c r="AB854" t="str">
        <f>IF('Detalle individual'!C854="","",IF(COUNTIF('Detalle individual'!$C$5:C854,'Detalle individual'!C854)=1,COUNTIF('Detalle individual'!$C$5:$C$1000,"&lt;"&amp;'Detalle individual'!C854),""))</f>
        <v/>
      </c>
      <c r="AC854" t="str">
        <f>IF('Detalle individual'!D854="","",IF(COUNTIF('Detalle individual'!$D$5:D854,'Detalle individual'!D854)=1,COUNTIF('Detalle individual'!$D$5:$D$1000,"&lt;"&amp;'Detalle individual'!D854),""))</f>
        <v/>
      </c>
      <c r="AH854" t="str">
        <f>IF('Detalle individual'!F854="Pendiente",COUNTIF('Detalle individual'!$D$5:$D$1000,"&lt;"&amp;'Detalle individual'!D854)*1000000+COUNTIF('Detalle individual'!$C$5:$C$1000,"&lt;"&amp;'Detalle individual'!C854)*1000+COUNTIF('Detalle individual'!$B$5:$B$1000,"&lt;"&amp;'Detalle individual'!B854)+ROW()/10000,"")</f>
        <v/>
      </c>
      <c r="AI854" t="str">
        <f>IF('Detalle individual'!F854="Completado",COUNTIF('Detalle individual'!$D$5:$D$1000,"&lt;"&amp;'Detalle individual'!D854)*1000000+COUNTIF('Detalle individual'!$C$5:$C$1000,"&lt;"&amp;'Detalle individual'!C854)*1000+COUNTIF('Detalle individual'!$B$5:$B$1000,"&lt;"&amp;'Detalle individual'!B854)+ROW()/10000,"")</f>
        <v/>
      </c>
      <c r="AJ854" t="str">
        <f>IF(AND('Detalle individual'!F854&lt;&gt;"",'Detalle individual'!F854&lt;&gt;"Completado",'Detalle individual'!F854&lt;&gt;"Pendiente"),COUNTIF('Detalle individual'!$D$5:$D$1000,"&lt;"&amp;'Detalle individual'!D854)*1000000+COUNTIF('Detalle individual'!$C$5:$C$1000,"&lt;"&amp;'Detalle individual'!C854)*1000+COUNTIF('Detalle individual'!$B$5:$B$1000,"&lt;"&amp;'Detalle individual'!B854)+ROW()/10000,"")</f>
        <v/>
      </c>
      <c r="AK854" t="str">
        <f>IF(OR('Base Exámenes'!C854="",'Base Exámenes'!D854=""),"",IF(COUNTIF('Base Exámenes'!$C$5:C854,'Base Exámenes'!C854)=1,'Base Exámenes'!D854+ROW()/1000000000,""))</f>
        <v/>
      </c>
      <c r="AL854" t="str">
        <f>IF(OR('Base Exámenes'!C854="",'Base Exámenes'!E854=""),"",IF(COUNTIF('Base Exámenes'!$C$5:C854,'Base Exámenes'!C854)=1,'Base Exámenes'!E854+ROW()/1000000000,""))</f>
        <v/>
      </c>
      <c r="AM854" t="str">
        <f>IF(OR('Base Exámenes'!C854="",'Base Exámenes'!G854=""),"",IF(ROW()-4=MATCH('Base Exámenes'!C854&amp;"|"&amp;_xlfn.MAXIFS('Base Exámenes'!$G$5:$G$1000,'Base Exámenes'!$C$5:$C$1000,'Base Exámenes'!C854),'Base Exámenes'!$I$5:$I$1000,0),'Base Exámenes'!G854*1000000+(-1)*'Base Exámenes'!D854,""))</f>
        <v/>
      </c>
      <c r="AQ854" t="str">
        <f>IF('Base Exámenes'!C854="","",IF(COUNTIF('Base Exámenes'!$C$5:$C$1000,'Base Exámenes'!C854)&lt;2,"",MATCH('Base Exámenes'!C854,'Base Exámenes'!$C$5:$C$1000,0)*10000+ROW()))</f>
        <v/>
      </c>
    </row>
    <row r="855">
      <c r="Z855" t="str">
        <f>IF('Detalle individual'!A855="","",IF(AND(OR('Estado por Colaborador'!$D$4="Todas las gerencias",'Detalle individual'!D855='Estado por Colaborador'!$D$4),OR('Estado por Colaborador'!$D$5="Todos los departamentos",TRIM('Detalle individual'!C855)='Estado por Colaborador'!$D$5),OR('Estado por Colaborador'!$D$6="Todos",'Detalle individual'!F855='Estado por Colaborador'!$D$6)),IF('Detalle individual'!F855="Completado",30000000,IF('Detalle individual'!F855="Pendiente",0,15000000))+COUNTIF('Detalle individual'!$C$5:$C$1000,"&lt;"&amp;'Detalle individual'!C855)*10000+ROW(),""))</f>
        <v/>
      </c>
      <c r="AB855" t="str">
        <f>IF('Detalle individual'!C855="","",IF(COUNTIF('Detalle individual'!$C$5:C855,'Detalle individual'!C855)=1,COUNTIF('Detalle individual'!$C$5:$C$1000,"&lt;"&amp;'Detalle individual'!C855),""))</f>
        <v/>
      </c>
      <c r="AC855" t="str">
        <f>IF('Detalle individual'!D855="","",IF(COUNTIF('Detalle individual'!$D$5:D855,'Detalle individual'!D855)=1,COUNTIF('Detalle individual'!$D$5:$D$1000,"&lt;"&amp;'Detalle individual'!D855),""))</f>
        <v/>
      </c>
      <c r="AH855" t="str">
        <f>IF('Detalle individual'!F855="Pendiente",COUNTIF('Detalle individual'!$D$5:$D$1000,"&lt;"&amp;'Detalle individual'!D855)*1000000+COUNTIF('Detalle individual'!$C$5:$C$1000,"&lt;"&amp;'Detalle individual'!C855)*1000+COUNTIF('Detalle individual'!$B$5:$B$1000,"&lt;"&amp;'Detalle individual'!B855)+ROW()/10000,"")</f>
        <v/>
      </c>
      <c r="AI855" t="str">
        <f>IF('Detalle individual'!F855="Completado",COUNTIF('Detalle individual'!$D$5:$D$1000,"&lt;"&amp;'Detalle individual'!D855)*1000000+COUNTIF('Detalle individual'!$C$5:$C$1000,"&lt;"&amp;'Detalle individual'!C855)*1000+COUNTIF('Detalle individual'!$B$5:$B$1000,"&lt;"&amp;'Detalle individual'!B855)+ROW()/10000,"")</f>
        <v/>
      </c>
      <c r="AJ855" t="str">
        <f>IF(AND('Detalle individual'!F855&lt;&gt;"",'Detalle individual'!F855&lt;&gt;"Completado",'Detalle individual'!F855&lt;&gt;"Pendiente"),COUNTIF('Detalle individual'!$D$5:$D$1000,"&lt;"&amp;'Detalle individual'!D855)*1000000+COUNTIF('Detalle individual'!$C$5:$C$1000,"&lt;"&amp;'Detalle individual'!C855)*1000+COUNTIF('Detalle individual'!$B$5:$B$1000,"&lt;"&amp;'Detalle individual'!B855)+ROW()/10000,"")</f>
        <v/>
      </c>
      <c r="AK855" t="str">
        <f>IF(OR('Base Exámenes'!C855="",'Base Exámenes'!D855=""),"",IF(COUNTIF('Base Exámenes'!$C$5:C855,'Base Exámenes'!C855)=1,'Base Exámenes'!D855+ROW()/1000000000,""))</f>
        <v/>
      </c>
      <c r="AL855" t="str">
        <f>IF(OR('Base Exámenes'!C855="",'Base Exámenes'!E855=""),"",IF(COUNTIF('Base Exámenes'!$C$5:C855,'Base Exámenes'!C855)=1,'Base Exámenes'!E855+ROW()/1000000000,""))</f>
        <v/>
      </c>
      <c r="AM855" t="str">
        <f>IF(OR('Base Exámenes'!C855="",'Base Exámenes'!G855=""),"",IF(ROW()-4=MATCH('Base Exámenes'!C855&amp;"|"&amp;_xlfn.MAXIFS('Base Exámenes'!$G$5:$G$1000,'Base Exámenes'!$C$5:$C$1000,'Base Exámenes'!C855),'Base Exámenes'!$I$5:$I$1000,0),'Base Exámenes'!G855*1000000+(-1)*'Base Exámenes'!D855,""))</f>
        <v/>
      </c>
      <c r="AQ855" t="str">
        <f>IF('Base Exámenes'!C855="","",IF(COUNTIF('Base Exámenes'!$C$5:$C$1000,'Base Exámenes'!C855)&lt;2,"",MATCH('Base Exámenes'!C855,'Base Exámenes'!$C$5:$C$1000,0)*10000+ROW()))</f>
        <v/>
      </c>
    </row>
    <row r="856">
      <c r="Z856" t="str">
        <f>IF('Detalle individual'!A856="","",IF(AND(OR('Estado por Colaborador'!$D$4="Todas las gerencias",'Detalle individual'!D856='Estado por Colaborador'!$D$4),OR('Estado por Colaborador'!$D$5="Todos los departamentos",TRIM('Detalle individual'!C856)='Estado por Colaborador'!$D$5),OR('Estado por Colaborador'!$D$6="Todos",'Detalle individual'!F856='Estado por Colaborador'!$D$6)),IF('Detalle individual'!F856="Completado",30000000,IF('Detalle individual'!F856="Pendiente",0,15000000))+COUNTIF('Detalle individual'!$C$5:$C$1000,"&lt;"&amp;'Detalle individual'!C856)*10000+ROW(),""))</f>
        <v/>
      </c>
      <c r="AB856" t="str">
        <f>IF('Detalle individual'!C856="","",IF(COUNTIF('Detalle individual'!$C$5:C856,'Detalle individual'!C856)=1,COUNTIF('Detalle individual'!$C$5:$C$1000,"&lt;"&amp;'Detalle individual'!C856),""))</f>
        <v/>
      </c>
      <c r="AC856" t="str">
        <f>IF('Detalle individual'!D856="","",IF(COUNTIF('Detalle individual'!$D$5:D856,'Detalle individual'!D856)=1,COUNTIF('Detalle individual'!$D$5:$D$1000,"&lt;"&amp;'Detalle individual'!D856),""))</f>
        <v/>
      </c>
      <c r="AH856" t="str">
        <f>IF('Detalle individual'!F856="Pendiente",COUNTIF('Detalle individual'!$D$5:$D$1000,"&lt;"&amp;'Detalle individual'!D856)*1000000+COUNTIF('Detalle individual'!$C$5:$C$1000,"&lt;"&amp;'Detalle individual'!C856)*1000+COUNTIF('Detalle individual'!$B$5:$B$1000,"&lt;"&amp;'Detalle individual'!B856)+ROW()/10000,"")</f>
        <v/>
      </c>
      <c r="AI856" t="str">
        <f>IF('Detalle individual'!F856="Completado",COUNTIF('Detalle individual'!$D$5:$D$1000,"&lt;"&amp;'Detalle individual'!D856)*1000000+COUNTIF('Detalle individual'!$C$5:$C$1000,"&lt;"&amp;'Detalle individual'!C856)*1000+COUNTIF('Detalle individual'!$B$5:$B$1000,"&lt;"&amp;'Detalle individual'!B856)+ROW()/10000,"")</f>
        <v/>
      </c>
      <c r="AJ856" t="str">
        <f>IF(AND('Detalle individual'!F856&lt;&gt;"",'Detalle individual'!F856&lt;&gt;"Completado",'Detalle individual'!F856&lt;&gt;"Pendiente"),COUNTIF('Detalle individual'!$D$5:$D$1000,"&lt;"&amp;'Detalle individual'!D856)*1000000+COUNTIF('Detalle individual'!$C$5:$C$1000,"&lt;"&amp;'Detalle individual'!C856)*1000+COUNTIF('Detalle individual'!$B$5:$B$1000,"&lt;"&amp;'Detalle individual'!B856)+ROW()/10000,"")</f>
        <v/>
      </c>
      <c r="AK856" t="str">
        <f>IF(OR('Base Exámenes'!C856="",'Base Exámenes'!D856=""),"",IF(COUNTIF('Base Exámenes'!$C$5:C856,'Base Exámenes'!C856)=1,'Base Exámenes'!D856+ROW()/1000000000,""))</f>
        <v/>
      </c>
      <c r="AL856" t="str">
        <f>IF(OR('Base Exámenes'!C856="",'Base Exámenes'!E856=""),"",IF(COUNTIF('Base Exámenes'!$C$5:C856,'Base Exámenes'!C856)=1,'Base Exámenes'!E856+ROW()/1000000000,""))</f>
        <v/>
      </c>
      <c r="AM856" t="str">
        <f>IF(OR('Base Exámenes'!C856="",'Base Exámenes'!G856=""),"",IF(ROW()-4=MATCH('Base Exámenes'!C856&amp;"|"&amp;_xlfn.MAXIFS('Base Exámenes'!$G$5:$G$1000,'Base Exámenes'!$C$5:$C$1000,'Base Exámenes'!C856),'Base Exámenes'!$I$5:$I$1000,0),'Base Exámenes'!G856*1000000+(-1)*'Base Exámenes'!D856,""))</f>
        <v/>
      </c>
      <c r="AQ856" t="str">
        <f>IF('Base Exámenes'!C856="","",IF(COUNTIF('Base Exámenes'!$C$5:$C$1000,'Base Exámenes'!C856)&lt;2,"",MATCH('Base Exámenes'!C856,'Base Exámenes'!$C$5:$C$1000,0)*10000+ROW()))</f>
        <v/>
      </c>
    </row>
    <row r="857">
      <c r="Z857" t="str">
        <f>IF('Detalle individual'!A857="","",IF(AND(OR('Estado por Colaborador'!$D$4="Todas las gerencias",'Detalle individual'!D857='Estado por Colaborador'!$D$4),OR('Estado por Colaborador'!$D$5="Todos los departamentos",TRIM('Detalle individual'!C857)='Estado por Colaborador'!$D$5),OR('Estado por Colaborador'!$D$6="Todos",'Detalle individual'!F857='Estado por Colaborador'!$D$6)),IF('Detalle individual'!F857="Completado",30000000,IF('Detalle individual'!F857="Pendiente",0,15000000))+COUNTIF('Detalle individual'!$C$5:$C$1000,"&lt;"&amp;'Detalle individual'!C857)*10000+ROW(),""))</f>
        <v/>
      </c>
      <c r="AB857" t="str">
        <f>IF('Detalle individual'!C857="","",IF(COUNTIF('Detalle individual'!$C$5:C857,'Detalle individual'!C857)=1,COUNTIF('Detalle individual'!$C$5:$C$1000,"&lt;"&amp;'Detalle individual'!C857),""))</f>
        <v/>
      </c>
      <c r="AC857" t="str">
        <f>IF('Detalle individual'!D857="","",IF(COUNTIF('Detalle individual'!$D$5:D857,'Detalle individual'!D857)=1,COUNTIF('Detalle individual'!$D$5:$D$1000,"&lt;"&amp;'Detalle individual'!D857),""))</f>
        <v/>
      </c>
      <c r="AH857" t="str">
        <f>IF('Detalle individual'!F857="Pendiente",COUNTIF('Detalle individual'!$D$5:$D$1000,"&lt;"&amp;'Detalle individual'!D857)*1000000+COUNTIF('Detalle individual'!$C$5:$C$1000,"&lt;"&amp;'Detalle individual'!C857)*1000+COUNTIF('Detalle individual'!$B$5:$B$1000,"&lt;"&amp;'Detalle individual'!B857)+ROW()/10000,"")</f>
        <v/>
      </c>
      <c r="AI857" t="str">
        <f>IF('Detalle individual'!F857="Completado",COUNTIF('Detalle individual'!$D$5:$D$1000,"&lt;"&amp;'Detalle individual'!D857)*1000000+COUNTIF('Detalle individual'!$C$5:$C$1000,"&lt;"&amp;'Detalle individual'!C857)*1000+COUNTIF('Detalle individual'!$B$5:$B$1000,"&lt;"&amp;'Detalle individual'!B857)+ROW()/10000,"")</f>
        <v/>
      </c>
      <c r="AJ857" t="str">
        <f>IF(AND('Detalle individual'!F857&lt;&gt;"",'Detalle individual'!F857&lt;&gt;"Completado",'Detalle individual'!F857&lt;&gt;"Pendiente"),COUNTIF('Detalle individual'!$D$5:$D$1000,"&lt;"&amp;'Detalle individual'!D857)*1000000+COUNTIF('Detalle individual'!$C$5:$C$1000,"&lt;"&amp;'Detalle individual'!C857)*1000+COUNTIF('Detalle individual'!$B$5:$B$1000,"&lt;"&amp;'Detalle individual'!B857)+ROW()/10000,"")</f>
        <v/>
      </c>
      <c r="AK857" t="str">
        <f>IF(OR('Base Exámenes'!C857="",'Base Exámenes'!D857=""),"",IF(COUNTIF('Base Exámenes'!$C$5:C857,'Base Exámenes'!C857)=1,'Base Exámenes'!D857+ROW()/1000000000,""))</f>
        <v/>
      </c>
      <c r="AL857" t="str">
        <f>IF(OR('Base Exámenes'!C857="",'Base Exámenes'!E857=""),"",IF(COUNTIF('Base Exámenes'!$C$5:C857,'Base Exámenes'!C857)=1,'Base Exámenes'!E857+ROW()/1000000000,""))</f>
        <v/>
      </c>
      <c r="AM857" t="str">
        <f>IF(OR('Base Exámenes'!C857="",'Base Exámenes'!G857=""),"",IF(ROW()-4=MATCH('Base Exámenes'!C857&amp;"|"&amp;_xlfn.MAXIFS('Base Exámenes'!$G$5:$G$1000,'Base Exámenes'!$C$5:$C$1000,'Base Exámenes'!C857),'Base Exámenes'!$I$5:$I$1000,0),'Base Exámenes'!G857*1000000+(-1)*'Base Exámenes'!D857,""))</f>
        <v/>
      </c>
      <c r="AQ857" t="str">
        <f>IF('Base Exámenes'!C857="","",IF(COUNTIF('Base Exámenes'!$C$5:$C$1000,'Base Exámenes'!C857)&lt;2,"",MATCH('Base Exámenes'!C857,'Base Exámenes'!$C$5:$C$1000,0)*10000+ROW()))</f>
        <v/>
      </c>
    </row>
    <row r="858">
      <c r="Z858" t="str">
        <f>IF('Detalle individual'!A858="","",IF(AND(OR('Estado por Colaborador'!$D$4="Todas las gerencias",'Detalle individual'!D858='Estado por Colaborador'!$D$4),OR('Estado por Colaborador'!$D$5="Todos los departamentos",TRIM('Detalle individual'!C858)='Estado por Colaborador'!$D$5),OR('Estado por Colaborador'!$D$6="Todos",'Detalle individual'!F858='Estado por Colaborador'!$D$6)),IF('Detalle individual'!F858="Completado",30000000,IF('Detalle individual'!F858="Pendiente",0,15000000))+COUNTIF('Detalle individual'!$C$5:$C$1000,"&lt;"&amp;'Detalle individual'!C858)*10000+ROW(),""))</f>
        <v/>
      </c>
      <c r="AB858" t="str">
        <f>IF('Detalle individual'!C858="","",IF(COUNTIF('Detalle individual'!$C$5:C858,'Detalle individual'!C858)=1,COUNTIF('Detalle individual'!$C$5:$C$1000,"&lt;"&amp;'Detalle individual'!C858),""))</f>
        <v/>
      </c>
      <c r="AC858" t="str">
        <f>IF('Detalle individual'!D858="","",IF(COUNTIF('Detalle individual'!$D$5:D858,'Detalle individual'!D858)=1,COUNTIF('Detalle individual'!$D$5:$D$1000,"&lt;"&amp;'Detalle individual'!D858),""))</f>
        <v/>
      </c>
      <c r="AH858" t="str">
        <f>IF('Detalle individual'!F858="Pendiente",COUNTIF('Detalle individual'!$D$5:$D$1000,"&lt;"&amp;'Detalle individual'!D858)*1000000+COUNTIF('Detalle individual'!$C$5:$C$1000,"&lt;"&amp;'Detalle individual'!C858)*1000+COUNTIF('Detalle individual'!$B$5:$B$1000,"&lt;"&amp;'Detalle individual'!B858)+ROW()/10000,"")</f>
        <v/>
      </c>
      <c r="AI858" t="str">
        <f>IF('Detalle individual'!F858="Completado",COUNTIF('Detalle individual'!$D$5:$D$1000,"&lt;"&amp;'Detalle individual'!D858)*1000000+COUNTIF('Detalle individual'!$C$5:$C$1000,"&lt;"&amp;'Detalle individual'!C858)*1000+COUNTIF('Detalle individual'!$B$5:$B$1000,"&lt;"&amp;'Detalle individual'!B858)+ROW()/10000,"")</f>
        <v/>
      </c>
      <c r="AJ858" t="str">
        <f>IF(AND('Detalle individual'!F858&lt;&gt;"",'Detalle individual'!F858&lt;&gt;"Completado",'Detalle individual'!F858&lt;&gt;"Pendiente"),COUNTIF('Detalle individual'!$D$5:$D$1000,"&lt;"&amp;'Detalle individual'!D858)*1000000+COUNTIF('Detalle individual'!$C$5:$C$1000,"&lt;"&amp;'Detalle individual'!C858)*1000+COUNTIF('Detalle individual'!$B$5:$B$1000,"&lt;"&amp;'Detalle individual'!B858)+ROW()/10000,"")</f>
        <v/>
      </c>
      <c r="AK858" t="str">
        <f>IF(OR('Base Exámenes'!C858="",'Base Exámenes'!D858=""),"",IF(COUNTIF('Base Exámenes'!$C$5:C858,'Base Exámenes'!C858)=1,'Base Exámenes'!D858+ROW()/1000000000,""))</f>
        <v/>
      </c>
      <c r="AL858" t="str">
        <f>IF(OR('Base Exámenes'!C858="",'Base Exámenes'!E858=""),"",IF(COUNTIF('Base Exámenes'!$C$5:C858,'Base Exámenes'!C858)=1,'Base Exámenes'!E858+ROW()/1000000000,""))</f>
        <v/>
      </c>
      <c r="AM858" t="str">
        <f>IF(OR('Base Exámenes'!C858="",'Base Exámenes'!G858=""),"",IF(ROW()-4=MATCH('Base Exámenes'!C858&amp;"|"&amp;_xlfn.MAXIFS('Base Exámenes'!$G$5:$G$1000,'Base Exámenes'!$C$5:$C$1000,'Base Exámenes'!C858),'Base Exámenes'!$I$5:$I$1000,0),'Base Exámenes'!G858*1000000+(-1)*'Base Exámenes'!D858,""))</f>
        <v/>
      </c>
      <c r="AQ858" t="str">
        <f>IF('Base Exámenes'!C858="","",IF(COUNTIF('Base Exámenes'!$C$5:$C$1000,'Base Exámenes'!C858)&lt;2,"",MATCH('Base Exámenes'!C858,'Base Exámenes'!$C$5:$C$1000,0)*10000+ROW()))</f>
        <v/>
      </c>
    </row>
    <row r="859">
      <c r="Z859" t="str">
        <f>IF('Detalle individual'!A859="","",IF(AND(OR('Estado por Colaborador'!$D$4="Todas las gerencias",'Detalle individual'!D859='Estado por Colaborador'!$D$4),OR('Estado por Colaborador'!$D$5="Todos los departamentos",TRIM('Detalle individual'!C859)='Estado por Colaborador'!$D$5),OR('Estado por Colaborador'!$D$6="Todos",'Detalle individual'!F859='Estado por Colaborador'!$D$6)),IF('Detalle individual'!F859="Completado",30000000,IF('Detalle individual'!F859="Pendiente",0,15000000))+COUNTIF('Detalle individual'!$C$5:$C$1000,"&lt;"&amp;'Detalle individual'!C859)*10000+ROW(),""))</f>
        <v/>
      </c>
      <c r="AB859" t="str">
        <f>IF('Detalle individual'!C859="","",IF(COUNTIF('Detalle individual'!$C$5:C859,'Detalle individual'!C859)=1,COUNTIF('Detalle individual'!$C$5:$C$1000,"&lt;"&amp;'Detalle individual'!C859),""))</f>
        <v/>
      </c>
      <c r="AC859" t="str">
        <f>IF('Detalle individual'!D859="","",IF(COUNTIF('Detalle individual'!$D$5:D859,'Detalle individual'!D859)=1,COUNTIF('Detalle individual'!$D$5:$D$1000,"&lt;"&amp;'Detalle individual'!D859),""))</f>
        <v/>
      </c>
      <c r="AH859" t="str">
        <f>IF('Detalle individual'!F859="Pendiente",COUNTIF('Detalle individual'!$D$5:$D$1000,"&lt;"&amp;'Detalle individual'!D859)*1000000+COUNTIF('Detalle individual'!$C$5:$C$1000,"&lt;"&amp;'Detalle individual'!C859)*1000+COUNTIF('Detalle individual'!$B$5:$B$1000,"&lt;"&amp;'Detalle individual'!B859)+ROW()/10000,"")</f>
        <v/>
      </c>
      <c r="AI859" t="str">
        <f>IF('Detalle individual'!F859="Completado",COUNTIF('Detalle individual'!$D$5:$D$1000,"&lt;"&amp;'Detalle individual'!D859)*1000000+COUNTIF('Detalle individual'!$C$5:$C$1000,"&lt;"&amp;'Detalle individual'!C859)*1000+COUNTIF('Detalle individual'!$B$5:$B$1000,"&lt;"&amp;'Detalle individual'!B859)+ROW()/10000,"")</f>
        <v/>
      </c>
      <c r="AJ859" t="str">
        <f>IF(AND('Detalle individual'!F859&lt;&gt;"",'Detalle individual'!F859&lt;&gt;"Completado",'Detalle individual'!F859&lt;&gt;"Pendiente"),COUNTIF('Detalle individual'!$D$5:$D$1000,"&lt;"&amp;'Detalle individual'!D859)*1000000+COUNTIF('Detalle individual'!$C$5:$C$1000,"&lt;"&amp;'Detalle individual'!C859)*1000+COUNTIF('Detalle individual'!$B$5:$B$1000,"&lt;"&amp;'Detalle individual'!B859)+ROW()/10000,"")</f>
        <v/>
      </c>
      <c r="AK859" t="str">
        <f>IF(OR('Base Exámenes'!C859="",'Base Exámenes'!D859=""),"",IF(COUNTIF('Base Exámenes'!$C$5:C859,'Base Exámenes'!C859)=1,'Base Exámenes'!D859+ROW()/1000000000,""))</f>
        <v/>
      </c>
      <c r="AL859" t="str">
        <f>IF(OR('Base Exámenes'!C859="",'Base Exámenes'!E859=""),"",IF(COUNTIF('Base Exámenes'!$C$5:C859,'Base Exámenes'!C859)=1,'Base Exámenes'!E859+ROW()/1000000000,""))</f>
        <v/>
      </c>
      <c r="AM859" t="str">
        <f>IF(OR('Base Exámenes'!C859="",'Base Exámenes'!G859=""),"",IF(ROW()-4=MATCH('Base Exámenes'!C859&amp;"|"&amp;_xlfn.MAXIFS('Base Exámenes'!$G$5:$G$1000,'Base Exámenes'!$C$5:$C$1000,'Base Exámenes'!C859),'Base Exámenes'!$I$5:$I$1000,0),'Base Exámenes'!G859*1000000+(-1)*'Base Exámenes'!D859,""))</f>
        <v/>
      </c>
      <c r="AQ859" t="str">
        <f>IF('Base Exámenes'!C859="","",IF(COUNTIF('Base Exámenes'!$C$5:$C$1000,'Base Exámenes'!C859)&lt;2,"",MATCH('Base Exámenes'!C859,'Base Exámenes'!$C$5:$C$1000,0)*10000+ROW()))</f>
        <v/>
      </c>
    </row>
    <row r="860">
      <c r="Z860" t="str">
        <f>IF('Detalle individual'!A860="","",IF(AND(OR('Estado por Colaborador'!$D$4="Todas las gerencias",'Detalle individual'!D860='Estado por Colaborador'!$D$4),OR('Estado por Colaborador'!$D$5="Todos los departamentos",TRIM('Detalle individual'!C860)='Estado por Colaborador'!$D$5),OR('Estado por Colaborador'!$D$6="Todos",'Detalle individual'!F860='Estado por Colaborador'!$D$6)),IF('Detalle individual'!F860="Completado",30000000,IF('Detalle individual'!F860="Pendiente",0,15000000))+COUNTIF('Detalle individual'!$C$5:$C$1000,"&lt;"&amp;'Detalle individual'!C860)*10000+ROW(),""))</f>
        <v/>
      </c>
      <c r="AB860" t="str">
        <f>IF('Detalle individual'!C860="","",IF(COUNTIF('Detalle individual'!$C$5:C860,'Detalle individual'!C860)=1,COUNTIF('Detalle individual'!$C$5:$C$1000,"&lt;"&amp;'Detalle individual'!C860),""))</f>
        <v/>
      </c>
      <c r="AC860" t="str">
        <f>IF('Detalle individual'!D860="","",IF(COUNTIF('Detalle individual'!$D$5:D860,'Detalle individual'!D860)=1,COUNTIF('Detalle individual'!$D$5:$D$1000,"&lt;"&amp;'Detalle individual'!D860),""))</f>
        <v/>
      </c>
      <c r="AH860" t="str">
        <f>IF('Detalle individual'!F860="Pendiente",COUNTIF('Detalle individual'!$D$5:$D$1000,"&lt;"&amp;'Detalle individual'!D860)*1000000+COUNTIF('Detalle individual'!$C$5:$C$1000,"&lt;"&amp;'Detalle individual'!C860)*1000+COUNTIF('Detalle individual'!$B$5:$B$1000,"&lt;"&amp;'Detalle individual'!B860)+ROW()/10000,"")</f>
        <v/>
      </c>
      <c r="AI860" t="str">
        <f>IF('Detalle individual'!F860="Completado",COUNTIF('Detalle individual'!$D$5:$D$1000,"&lt;"&amp;'Detalle individual'!D860)*1000000+COUNTIF('Detalle individual'!$C$5:$C$1000,"&lt;"&amp;'Detalle individual'!C860)*1000+COUNTIF('Detalle individual'!$B$5:$B$1000,"&lt;"&amp;'Detalle individual'!B860)+ROW()/10000,"")</f>
        <v/>
      </c>
      <c r="AJ860" t="str">
        <f>IF(AND('Detalle individual'!F860&lt;&gt;"",'Detalle individual'!F860&lt;&gt;"Completado",'Detalle individual'!F860&lt;&gt;"Pendiente"),COUNTIF('Detalle individual'!$D$5:$D$1000,"&lt;"&amp;'Detalle individual'!D860)*1000000+COUNTIF('Detalle individual'!$C$5:$C$1000,"&lt;"&amp;'Detalle individual'!C860)*1000+COUNTIF('Detalle individual'!$B$5:$B$1000,"&lt;"&amp;'Detalle individual'!B860)+ROW()/10000,"")</f>
        <v/>
      </c>
      <c r="AK860" t="str">
        <f>IF(OR('Base Exámenes'!C860="",'Base Exámenes'!D860=""),"",IF(COUNTIF('Base Exámenes'!$C$5:C860,'Base Exámenes'!C860)=1,'Base Exámenes'!D860+ROW()/1000000000,""))</f>
        <v/>
      </c>
      <c r="AL860" t="str">
        <f>IF(OR('Base Exámenes'!C860="",'Base Exámenes'!E860=""),"",IF(COUNTIF('Base Exámenes'!$C$5:C860,'Base Exámenes'!C860)=1,'Base Exámenes'!E860+ROW()/1000000000,""))</f>
        <v/>
      </c>
      <c r="AM860" t="str">
        <f>IF(OR('Base Exámenes'!C860="",'Base Exámenes'!G860=""),"",IF(ROW()-4=MATCH('Base Exámenes'!C860&amp;"|"&amp;_xlfn.MAXIFS('Base Exámenes'!$G$5:$G$1000,'Base Exámenes'!$C$5:$C$1000,'Base Exámenes'!C860),'Base Exámenes'!$I$5:$I$1000,0),'Base Exámenes'!G860*1000000+(-1)*'Base Exámenes'!D860,""))</f>
        <v/>
      </c>
      <c r="AQ860" t="str">
        <f>IF('Base Exámenes'!C860="","",IF(COUNTIF('Base Exámenes'!$C$5:$C$1000,'Base Exámenes'!C860)&lt;2,"",MATCH('Base Exámenes'!C860,'Base Exámenes'!$C$5:$C$1000,0)*10000+ROW()))</f>
        <v/>
      </c>
    </row>
    <row r="861">
      <c r="Z861" t="str">
        <f>IF('Detalle individual'!A861="","",IF(AND(OR('Estado por Colaborador'!$D$4="Todas las gerencias",'Detalle individual'!D861='Estado por Colaborador'!$D$4),OR('Estado por Colaborador'!$D$5="Todos los departamentos",TRIM('Detalle individual'!C861)='Estado por Colaborador'!$D$5),OR('Estado por Colaborador'!$D$6="Todos",'Detalle individual'!F861='Estado por Colaborador'!$D$6)),IF('Detalle individual'!F861="Completado",30000000,IF('Detalle individual'!F861="Pendiente",0,15000000))+COUNTIF('Detalle individual'!$C$5:$C$1000,"&lt;"&amp;'Detalle individual'!C861)*10000+ROW(),""))</f>
        <v/>
      </c>
      <c r="AB861" t="str">
        <f>IF('Detalle individual'!C861="","",IF(COUNTIF('Detalle individual'!$C$5:C861,'Detalle individual'!C861)=1,COUNTIF('Detalle individual'!$C$5:$C$1000,"&lt;"&amp;'Detalle individual'!C861),""))</f>
        <v/>
      </c>
      <c r="AC861" t="str">
        <f>IF('Detalle individual'!D861="","",IF(COUNTIF('Detalle individual'!$D$5:D861,'Detalle individual'!D861)=1,COUNTIF('Detalle individual'!$D$5:$D$1000,"&lt;"&amp;'Detalle individual'!D861),""))</f>
        <v/>
      </c>
      <c r="AH861" t="str">
        <f>IF('Detalle individual'!F861="Pendiente",COUNTIF('Detalle individual'!$D$5:$D$1000,"&lt;"&amp;'Detalle individual'!D861)*1000000+COUNTIF('Detalle individual'!$C$5:$C$1000,"&lt;"&amp;'Detalle individual'!C861)*1000+COUNTIF('Detalle individual'!$B$5:$B$1000,"&lt;"&amp;'Detalle individual'!B861)+ROW()/10000,"")</f>
        <v/>
      </c>
      <c r="AI861" t="str">
        <f>IF('Detalle individual'!F861="Completado",COUNTIF('Detalle individual'!$D$5:$D$1000,"&lt;"&amp;'Detalle individual'!D861)*1000000+COUNTIF('Detalle individual'!$C$5:$C$1000,"&lt;"&amp;'Detalle individual'!C861)*1000+COUNTIF('Detalle individual'!$B$5:$B$1000,"&lt;"&amp;'Detalle individual'!B861)+ROW()/10000,"")</f>
        <v/>
      </c>
      <c r="AJ861" t="str">
        <f>IF(AND('Detalle individual'!F861&lt;&gt;"",'Detalle individual'!F861&lt;&gt;"Completado",'Detalle individual'!F861&lt;&gt;"Pendiente"),COUNTIF('Detalle individual'!$D$5:$D$1000,"&lt;"&amp;'Detalle individual'!D861)*1000000+COUNTIF('Detalle individual'!$C$5:$C$1000,"&lt;"&amp;'Detalle individual'!C861)*1000+COUNTIF('Detalle individual'!$B$5:$B$1000,"&lt;"&amp;'Detalle individual'!B861)+ROW()/10000,"")</f>
        <v/>
      </c>
      <c r="AK861" t="str">
        <f>IF(OR('Base Exámenes'!C861="",'Base Exámenes'!D861=""),"",IF(COUNTIF('Base Exámenes'!$C$5:C861,'Base Exámenes'!C861)=1,'Base Exámenes'!D861+ROW()/1000000000,""))</f>
        <v/>
      </c>
      <c r="AL861" t="str">
        <f>IF(OR('Base Exámenes'!C861="",'Base Exámenes'!E861=""),"",IF(COUNTIF('Base Exámenes'!$C$5:C861,'Base Exámenes'!C861)=1,'Base Exámenes'!E861+ROW()/1000000000,""))</f>
        <v/>
      </c>
      <c r="AM861" t="str">
        <f>IF(OR('Base Exámenes'!C861="",'Base Exámenes'!G861=""),"",IF(ROW()-4=MATCH('Base Exámenes'!C861&amp;"|"&amp;_xlfn.MAXIFS('Base Exámenes'!$G$5:$G$1000,'Base Exámenes'!$C$5:$C$1000,'Base Exámenes'!C861),'Base Exámenes'!$I$5:$I$1000,0),'Base Exámenes'!G861*1000000+(-1)*'Base Exámenes'!D861,""))</f>
        <v/>
      </c>
      <c r="AQ861" t="str">
        <f>IF('Base Exámenes'!C861="","",IF(COUNTIF('Base Exámenes'!$C$5:$C$1000,'Base Exámenes'!C861)&lt;2,"",MATCH('Base Exámenes'!C861,'Base Exámenes'!$C$5:$C$1000,0)*10000+ROW()))</f>
        <v/>
      </c>
    </row>
    <row r="862">
      <c r="Z862" t="str">
        <f>IF('Detalle individual'!A862="","",IF(AND(OR('Estado por Colaborador'!$D$4="Todas las gerencias",'Detalle individual'!D862='Estado por Colaborador'!$D$4),OR('Estado por Colaborador'!$D$5="Todos los departamentos",TRIM('Detalle individual'!C862)='Estado por Colaborador'!$D$5),OR('Estado por Colaborador'!$D$6="Todos",'Detalle individual'!F862='Estado por Colaborador'!$D$6)),IF('Detalle individual'!F862="Completado",30000000,IF('Detalle individual'!F862="Pendiente",0,15000000))+COUNTIF('Detalle individual'!$C$5:$C$1000,"&lt;"&amp;'Detalle individual'!C862)*10000+ROW(),""))</f>
        <v/>
      </c>
      <c r="AB862" t="str">
        <f>IF('Detalle individual'!C862="","",IF(COUNTIF('Detalle individual'!$C$5:C862,'Detalle individual'!C862)=1,COUNTIF('Detalle individual'!$C$5:$C$1000,"&lt;"&amp;'Detalle individual'!C862),""))</f>
        <v/>
      </c>
      <c r="AC862" t="str">
        <f>IF('Detalle individual'!D862="","",IF(COUNTIF('Detalle individual'!$D$5:D862,'Detalle individual'!D862)=1,COUNTIF('Detalle individual'!$D$5:$D$1000,"&lt;"&amp;'Detalle individual'!D862),""))</f>
        <v/>
      </c>
      <c r="AH862" t="str">
        <f>IF('Detalle individual'!F862="Pendiente",COUNTIF('Detalle individual'!$D$5:$D$1000,"&lt;"&amp;'Detalle individual'!D862)*1000000+COUNTIF('Detalle individual'!$C$5:$C$1000,"&lt;"&amp;'Detalle individual'!C862)*1000+COUNTIF('Detalle individual'!$B$5:$B$1000,"&lt;"&amp;'Detalle individual'!B862)+ROW()/10000,"")</f>
        <v/>
      </c>
      <c r="AI862" t="str">
        <f>IF('Detalle individual'!F862="Completado",COUNTIF('Detalle individual'!$D$5:$D$1000,"&lt;"&amp;'Detalle individual'!D862)*1000000+COUNTIF('Detalle individual'!$C$5:$C$1000,"&lt;"&amp;'Detalle individual'!C862)*1000+COUNTIF('Detalle individual'!$B$5:$B$1000,"&lt;"&amp;'Detalle individual'!B862)+ROW()/10000,"")</f>
        <v/>
      </c>
      <c r="AJ862" t="str">
        <f>IF(AND('Detalle individual'!F862&lt;&gt;"",'Detalle individual'!F862&lt;&gt;"Completado",'Detalle individual'!F862&lt;&gt;"Pendiente"),COUNTIF('Detalle individual'!$D$5:$D$1000,"&lt;"&amp;'Detalle individual'!D862)*1000000+COUNTIF('Detalle individual'!$C$5:$C$1000,"&lt;"&amp;'Detalle individual'!C862)*1000+COUNTIF('Detalle individual'!$B$5:$B$1000,"&lt;"&amp;'Detalle individual'!B862)+ROW()/10000,"")</f>
        <v/>
      </c>
      <c r="AK862" t="str">
        <f>IF(OR('Base Exámenes'!C862="",'Base Exámenes'!D862=""),"",IF(COUNTIF('Base Exámenes'!$C$5:C862,'Base Exámenes'!C862)=1,'Base Exámenes'!D862+ROW()/1000000000,""))</f>
        <v/>
      </c>
      <c r="AL862" t="str">
        <f>IF(OR('Base Exámenes'!C862="",'Base Exámenes'!E862=""),"",IF(COUNTIF('Base Exámenes'!$C$5:C862,'Base Exámenes'!C862)=1,'Base Exámenes'!E862+ROW()/1000000000,""))</f>
        <v/>
      </c>
      <c r="AM862" t="str">
        <f>IF(OR('Base Exámenes'!C862="",'Base Exámenes'!G862=""),"",IF(ROW()-4=MATCH('Base Exámenes'!C862&amp;"|"&amp;_xlfn.MAXIFS('Base Exámenes'!$G$5:$G$1000,'Base Exámenes'!$C$5:$C$1000,'Base Exámenes'!C862),'Base Exámenes'!$I$5:$I$1000,0),'Base Exámenes'!G862*1000000+(-1)*'Base Exámenes'!D862,""))</f>
        <v/>
      </c>
      <c r="AQ862" t="str">
        <f>IF('Base Exámenes'!C862="","",IF(COUNTIF('Base Exámenes'!$C$5:$C$1000,'Base Exámenes'!C862)&lt;2,"",MATCH('Base Exámenes'!C862,'Base Exámenes'!$C$5:$C$1000,0)*10000+ROW()))</f>
        <v/>
      </c>
    </row>
    <row r="863">
      <c r="Z863" t="str">
        <f>IF('Detalle individual'!A863="","",IF(AND(OR('Estado por Colaborador'!$D$4="Todas las gerencias",'Detalle individual'!D863='Estado por Colaborador'!$D$4),OR('Estado por Colaborador'!$D$5="Todos los departamentos",TRIM('Detalle individual'!C863)='Estado por Colaborador'!$D$5),OR('Estado por Colaborador'!$D$6="Todos",'Detalle individual'!F863='Estado por Colaborador'!$D$6)),IF('Detalle individual'!F863="Completado",30000000,IF('Detalle individual'!F863="Pendiente",0,15000000))+COUNTIF('Detalle individual'!$C$5:$C$1000,"&lt;"&amp;'Detalle individual'!C863)*10000+ROW(),""))</f>
        <v/>
      </c>
      <c r="AB863" t="str">
        <f>IF('Detalle individual'!C863="","",IF(COUNTIF('Detalle individual'!$C$5:C863,'Detalle individual'!C863)=1,COUNTIF('Detalle individual'!$C$5:$C$1000,"&lt;"&amp;'Detalle individual'!C863),""))</f>
        <v/>
      </c>
      <c r="AC863" t="str">
        <f>IF('Detalle individual'!D863="","",IF(COUNTIF('Detalle individual'!$D$5:D863,'Detalle individual'!D863)=1,COUNTIF('Detalle individual'!$D$5:$D$1000,"&lt;"&amp;'Detalle individual'!D863),""))</f>
        <v/>
      </c>
      <c r="AH863" t="str">
        <f>IF('Detalle individual'!F863="Pendiente",COUNTIF('Detalle individual'!$D$5:$D$1000,"&lt;"&amp;'Detalle individual'!D863)*1000000+COUNTIF('Detalle individual'!$C$5:$C$1000,"&lt;"&amp;'Detalle individual'!C863)*1000+COUNTIF('Detalle individual'!$B$5:$B$1000,"&lt;"&amp;'Detalle individual'!B863)+ROW()/10000,"")</f>
        <v/>
      </c>
      <c r="AI863" t="str">
        <f>IF('Detalle individual'!F863="Completado",COUNTIF('Detalle individual'!$D$5:$D$1000,"&lt;"&amp;'Detalle individual'!D863)*1000000+COUNTIF('Detalle individual'!$C$5:$C$1000,"&lt;"&amp;'Detalle individual'!C863)*1000+COUNTIF('Detalle individual'!$B$5:$B$1000,"&lt;"&amp;'Detalle individual'!B863)+ROW()/10000,"")</f>
        <v/>
      </c>
      <c r="AJ863" t="str">
        <f>IF(AND('Detalle individual'!F863&lt;&gt;"",'Detalle individual'!F863&lt;&gt;"Completado",'Detalle individual'!F863&lt;&gt;"Pendiente"),COUNTIF('Detalle individual'!$D$5:$D$1000,"&lt;"&amp;'Detalle individual'!D863)*1000000+COUNTIF('Detalle individual'!$C$5:$C$1000,"&lt;"&amp;'Detalle individual'!C863)*1000+COUNTIF('Detalle individual'!$B$5:$B$1000,"&lt;"&amp;'Detalle individual'!B863)+ROW()/10000,"")</f>
        <v/>
      </c>
      <c r="AK863" t="str">
        <f>IF(OR('Base Exámenes'!C863="",'Base Exámenes'!D863=""),"",IF(COUNTIF('Base Exámenes'!$C$5:C863,'Base Exámenes'!C863)=1,'Base Exámenes'!D863+ROW()/1000000000,""))</f>
        <v/>
      </c>
      <c r="AL863" t="str">
        <f>IF(OR('Base Exámenes'!C863="",'Base Exámenes'!E863=""),"",IF(COUNTIF('Base Exámenes'!$C$5:C863,'Base Exámenes'!C863)=1,'Base Exámenes'!E863+ROW()/1000000000,""))</f>
        <v/>
      </c>
      <c r="AM863" t="str">
        <f>IF(OR('Base Exámenes'!C863="",'Base Exámenes'!G863=""),"",IF(ROW()-4=MATCH('Base Exámenes'!C863&amp;"|"&amp;_xlfn.MAXIFS('Base Exámenes'!$G$5:$G$1000,'Base Exámenes'!$C$5:$C$1000,'Base Exámenes'!C863),'Base Exámenes'!$I$5:$I$1000,0),'Base Exámenes'!G863*1000000+(-1)*'Base Exámenes'!D863,""))</f>
        <v/>
      </c>
      <c r="AQ863" t="str">
        <f>IF('Base Exámenes'!C863="","",IF(COUNTIF('Base Exámenes'!$C$5:$C$1000,'Base Exámenes'!C863)&lt;2,"",MATCH('Base Exámenes'!C863,'Base Exámenes'!$C$5:$C$1000,0)*10000+ROW()))</f>
        <v/>
      </c>
    </row>
    <row r="864">
      <c r="Z864" t="str">
        <f>IF('Detalle individual'!A864="","",IF(AND(OR('Estado por Colaborador'!$D$4="Todas las gerencias",'Detalle individual'!D864='Estado por Colaborador'!$D$4),OR('Estado por Colaborador'!$D$5="Todos los departamentos",TRIM('Detalle individual'!C864)='Estado por Colaborador'!$D$5),OR('Estado por Colaborador'!$D$6="Todos",'Detalle individual'!F864='Estado por Colaborador'!$D$6)),IF('Detalle individual'!F864="Completado",30000000,IF('Detalle individual'!F864="Pendiente",0,15000000))+COUNTIF('Detalle individual'!$C$5:$C$1000,"&lt;"&amp;'Detalle individual'!C864)*10000+ROW(),""))</f>
        <v/>
      </c>
      <c r="AB864" t="str">
        <f>IF('Detalle individual'!C864="","",IF(COUNTIF('Detalle individual'!$C$5:C864,'Detalle individual'!C864)=1,COUNTIF('Detalle individual'!$C$5:$C$1000,"&lt;"&amp;'Detalle individual'!C864),""))</f>
        <v/>
      </c>
      <c r="AC864" t="str">
        <f>IF('Detalle individual'!D864="","",IF(COUNTIF('Detalle individual'!$D$5:D864,'Detalle individual'!D864)=1,COUNTIF('Detalle individual'!$D$5:$D$1000,"&lt;"&amp;'Detalle individual'!D864),""))</f>
        <v/>
      </c>
      <c r="AH864" t="str">
        <f>IF('Detalle individual'!F864="Pendiente",COUNTIF('Detalle individual'!$D$5:$D$1000,"&lt;"&amp;'Detalle individual'!D864)*1000000+COUNTIF('Detalle individual'!$C$5:$C$1000,"&lt;"&amp;'Detalle individual'!C864)*1000+COUNTIF('Detalle individual'!$B$5:$B$1000,"&lt;"&amp;'Detalle individual'!B864)+ROW()/10000,"")</f>
        <v/>
      </c>
      <c r="AI864" t="str">
        <f>IF('Detalle individual'!F864="Completado",COUNTIF('Detalle individual'!$D$5:$D$1000,"&lt;"&amp;'Detalle individual'!D864)*1000000+COUNTIF('Detalle individual'!$C$5:$C$1000,"&lt;"&amp;'Detalle individual'!C864)*1000+COUNTIF('Detalle individual'!$B$5:$B$1000,"&lt;"&amp;'Detalle individual'!B864)+ROW()/10000,"")</f>
        <v/>
      </c>
      <c r="AJ864" t="str">
        <f>IF(AND('Detalle individual'!F864&lt;&gt;"",'Detalle individual'!F864&lt;&gt;"Completado",'Detalle individual'!F864&lt;&gt;"Pendiente"),COUNTIF('Detalle individual'!$D$5:$D$1000,"&lt;"&amp;'Detalle individual'!D864)*1000000+COUNTIF('Detalle individual'!$C$5:$C$1000,"&lt;"&amp;'Detalle individual'!C864)*1000+COUNTIF('Detalle individual'!$B$5:$B$1000,"&lt;"&amp;'Detalle individual'!B864)+ROW()/10000,"")</f>
        <v/>
      </c>
      <c r="AK864" t="str">
        <f>IF(OR('Base Exámenes'!C864="",'Base Exámenes'!D864=""),"",IF(COUNTIF('Base Exámenes'!$C$5:C864,'Base Exámenes'!C864)=1,'Base Exámenes'!D864+ROW()/1000000000,""))</f>
        <v/>
      </c>
      <c r="AL864" t="str">
        <f>IF(OR('Base Exámenes'!C864="",'Base Exámenes'!E864=""),"",IF(COUNTIF('Base Exámenes'!$C$5:C864,'Base Exámenes'!C864)=1,'Base Exámenes'!E864+ROW()/1000000000,""))</f>
        <v/>
      </c>
      <c r="AM864" t="str">
        <f>IF(OR('Base Exámenes'!C864="",'Base Exámenes'!G864=""),"",IF(ROW()-4=MATCH('Base Exámenes'!C864&amp;"|"&amp;_xlfn.MAXIFS('Base Exámenes'!$G$5:$G$1000,'Base Exámenes'!$C$5:$C$1000,'Base Exámenes'!C864),'Base Exámenes'!$I$5:$I$1000,0),'Base Exámenes'!G864*1000000+(-1)*'Base Exámenes'!D864,""))</f>
        <v/>
      </c>
      <c r="AQ864" t="str">
        <f>IF('Base Exámenes'!C864="","",IF(COUNTIF('Base Exámenes'!$C$5:$C$1000,'Base Exámenes'!C864)&lt;2,"",MATCH('Base Exámenes'!C864,'Base Exámenes'!$C$5:$C$1000,0)*10000+ROW()))</f>
        <v/>
      </c>
    </row>
    <row r="865">
      <c r="Z865" t="str">
        <f>IF('Detalle individual'!A865="","",IF(AND(OR('Estado por Colaborador'!$D$4="Todas las gerencias",'Detalle individual'!D865='Estado por Colaborador'!$D$4),OR('Estado por Colaborador'!$D$5="Todos los departamentos",TRIM('Detalle individual'!C865)='Estado por Colaborador'!$D$5),OR('Estado por Colaborador'!$D$6="Todos",'Detalle individual'!F865='Estado por Colaborador'!$D$6)),IF('Detalle individual'!F865="Completado",30000000,IF('Detalle individual'!F865="Pendiente",0,15000000))+COUNTIF('Detalle individual'!$C$5:$C$1000,"&lt;"&amp;'Detalle individual'!C865)*10000+ROW(),""))</f>
        <v/>
      </c>
      <c r="AB865" t="str">
        <f>IF('Detalle individual'!C865="","",IF(COUNTIF('Detalle individual'!$C$5:C865,'Detalle individual'!C865)=1,COUNTIF('Detalle individual'!$C$5:$C$1000,"&lt;"&amp;'Detalle individual'!C865),""))</f>
        <v/>
      </c>
      <c r="AC865" t="str">
        <f>IF('Detalle individual'!D865="","",IF(COUNTIF('Detalle individual'!$D$5:D865,'Detalle individual'!D865)=1,COUNTIF('Detalle individual'!$D$5:$D$1000,"&lt;"&amp;'Detalle individual'!D865),""))</f>
        <v/>
      </c>
      <c r="AH865" t="str">
        <f>IF('Detalle individual'!F865="Pendiente",COUNTIF('Detalle individual'!$D$5:$D$1000,"&lt;"&amp;'Detalle individual'!D865)*1000000+COUNTIF('Detalle individual'!$C$5:$C$1000,"&lt;"&amp;'Detalle individual'!C865)*1000+COUNTIF('Detalle individual'!$B$5:$B$1000,"&lt;"&amp;'Detalle individual'!B865)+ROW()/10000,"")</f>
        <v/>
      </c>
      <c r="AI865" t="str">
        <f>IF('Detalle individual'!F865="Completado",COUNTIF('Detalle individual'!$D$5:$D$1000,"&lt;"&amp;'Detalle individual'!D865)*1000000+COUNTIF('Detalle individual'!$C$5:$C$1000,"&lt;"&amp;'Detalle individual'!C865)*1000+COUNTIF('Detalle individual'!$B$5:$B$1000,"&lt;"&amp;'Detalle individual'!B865)+ROW()/10000,"")</f>
        <v/>
      </c>
      <c r="AJ865" t="str">
        <f>IF(AND('Detalle individual'!F865&lt;&gt;"",'Detalle individual'!F865&lt;&gt;"Completado",'Detalle individual'!F865&lt;&gt;"Pendiente"),COUNTIF('Detalle individual'!$D$5:$D$1000,"&lt;"&amp;'Detalle individual'!D865)*1000000+COUNTIF('Detalle individual'!$C$5:$C$1000,"&lt;"&amp;'Detalle individual'!C865)*1000+COUNTIF('Detalle individual'!$B$5:$B$1000,"&lt;"&amp;'Detalle individual'!B865)+ROW()/10000,"")</f>
        <v/>
      </c>
      <c r="AK865" t="str">
        <f>IF(OR('Base Exámenes'!C865="",'Base Exámenes'!D865=""),"",IF(COUNTIF('Base Exámenes'!$C$5:C865,'Base Exámenes'!C865)=1,'Base Exámenes'!D865+ROW()/1000000000,""))</f>
        <v/>
      </c>
      <c r="AL865" t="str">
        <f>IF(OR('Base Exámenes'!C865="",'Base Exámenes'!E865=""),"",IF(COUNTIF('Base Exámenes'!$C$5:C865,'Base Exámenes'!C865)=1,'Base Exámenes'!E865+ROW()/1000000000,""))</f>
        <v/>
      </c>
      <c r="AM865" t="str">
        <f>IF(OR('Base Exámenes'!C865="",'Base Exámenes'!G865=""),"",IF(ROW()-4=MATCH('Base Exámenes'!C865&amp;"|"&amp;_xlfn.MAXIFS('Base Exámenes'!$G$5:$G$1000,'Base Exámenes'!$C$5:$C$1000,'Base Exámenes'!C865),'Base Exámenes'!$I$5:$I$1000,0),'Base Exámenes'!G865*1000000+(-1)*'Base Exámenes'!D865,""))</f>
        <v/>
      </c>
      <c r="AQ865" t="str">
        <f>IF('Base Exámenes'!C865="","",IF(COUNTIF('Base Exámenes'!$C$5:$C$1000,'Base Exámenes'!C865)&lt;2,"",MATCH('Base Exámenes'!C865,'Base Exámenes'!$C$5:$C$1000,0)*10000+ROW()))</f>
        <v/>
      </c>
    </row>
    <row r="866">
      <c r="Z866" t="str">
        <f>IF('Detalle individual'!A866="","",IF(AND(OR('Estado por Colaborador'!$D$4="Todas las gerencias",'Detalle individual'!D866='Estado por Colaborador'!$D$4),OR('Estado por Colaborador'!$D$5="Todos los departamentos",TRIM('Detalle individual'!C866)='Estado por Colaborador'!$D$5),OR('Estado por Colaborador'!$D$6="Todos",'Detalle individual'!F866='Estado por Colaborador'!$D$6)),IF('Detalle individual'!F866="Completado",30000000,IF('Detalle individual'!F866="Pendiente",0,15000000))+COUNTIF('Detalle individual'!$C$5:$C$1000,"&lt;"&amp;'Detalle individual'!C866)*10000+ROW(),""))</f>
        <v/>
      </c>
      <c r="AB866" t="str">
        <f>IF('Detalle individual'!C866="","",IF(COUNTIF('Detalle individual'!$C$5:C866,'Detalle individual'!C866)=1,COUNTIF('Detalle individual'!$C$5:$C$1000,"&lt;"&amp;'Detalle individual'!C866),""))</f>
        <v/>
      </c>
      <c r="AC866" t="str">
        <f>IF('Detalle individual'!D866="","",IF(COUNTIF('Detalle individual'!$D$5:D866,'Detalle individual'!D866)=1,COUNTIF('Detalle individual'!$D$5:$D$1000,"&lt;"&amp;'Detalle individual'!D866),""))</f>
        <v/>
      </c>
      <c r="AH866" t="str">
        <f>IF('Detalle individual'!F866="Pendiente",COUNTIF('Detalle individual'!$D$5:$D$1000,"&lt;"&amp;'Detalle individual'!D866)*1000000+COUNTIF('Detalle individual'!$C$5:$C$1000,"&lt;"&amp;'Detalle individual'!C866)*1000+COUNTIF('Detalle individual'!$B$5:$B$1000,"&lt;"&amp;'Detalle individual'!B866)+ROW()/10000,"")</f>
        <v/>
      </c>
      <c r="AI866" t="str">
        <f>IF('Detalle individual'!F866="Completado",COUNTIF('Detalle individual'!$D$5:$D$1000,"&lt;"&amp;'Detalle individual'!D866)*1000000+COUNTIF('Detalle individual'!$C$5:$C$1000,"&lt;"&amp;'Detalle individual'!C866)*1000+COUNTIF('Detalle individual'!$B$5:$B$1000,"&lt;"&amp;'Detalle individual'!B866)+ROW()/10000,"")</f>
        <v/>
      </c>
      <c r="AJ866" t="str">
        <f>IF(AND('Detalle individual'!F866&lt;&gt;"",'Detalle individual'!F866&lt;&gt;"Completado",'Detalle individual'!F866&lt;&gt;"Pendiente"),COUNTIF('Detalle individual'!$D$5:$D$1000,"&lt;"&amp;'Detalle individual'!D866)*1000000+COUNTIF('Detalle individual'!$C$5:$C$1000,"&lt;"&amp;'Detalle individual'!C866)*1000+COUNTIF('Detalle individual'!$B$5:$B$1000,"&lt;"&amp;'Detalle individual'!B866)+ROW()/10000,"")</f>
        <v/>
      </c>
      <c r="AK866" t="str">
        <f>IF(OR('Base Exámenes'!C866="",'Base Exámenes'!D866=""),"",IF(COUNTIF('Base Exámenes'!$C$5:C866,'Base Exámenes'!C866)=1,'Base Exámenes'!D866+ROW()/1000000000,""))</f>
        <v/>
      </c>
      <c r="AL866" t="str">
        <f>IF(OR('Base Exámenes'!C866="",'Base Exámenes'!E866=""),"",IF(COUNTIF('Base Exámenes'!$C$5:C866,'Base Exámenes'!C866)=1,'Base Exámenes'!E866+ROW()/1000000000,""))</f>
        <v/>
      </c>
      <c r="AM866" t="str">
        <f>IF(OR('Base Exámenes'!C866="",'Base Exámenes'!G866=""),"",IF(ROW()-4=MATCH('Base Exámenes'!C866&amp;"|"&amp;_xlfn.MAXIFS('Base Exámenes'!$G$5:$G$1000,'Base Exámenes'!$C$5:$C$1000,'Base Exámenes'!C866),'Base Exámenes'!$I$5:$I$1000,0),'Base Exámenes'!G866*1000000+(-1)*'Base Exámenes'!D866,""))</f>
        <v/>
      </c>
      <c r="AQ866" t="str">
        <f>IF('Base Exámenes'!C866="","",IF(COUNTIF('Base Exámenes'!$C$5:$C$1000,'Base Exámenes'!C866)&lt;2,"",MATCH('Base Exámenes'!C866,'Base Exámenes'!$C$5:$C$1000,0)*10000+ROW()))</f>
        <v/>
      </c>
    </row>
    <row r="867">
      <c r="Z867" t="str">
        <f>IF('Detalle individual'!A867="","",IF(AND(OR('Estado por Colaborador'!$D$4="Todas las gerencias",'Detalle individual'!D867='Estado por Colaborador'!$D$4),OR('Estado por Colaborador'!$D$5="Todos los departamentos",TRIM('Detalle individual'!C867)='Estado por Colaborador'!$D$5),OR('Estado por Colaborador'!$D$6="Todos",'Detalle individual'!F867='Estado por Colaborador'!$D$6)),IF('Detalle individual'!F867="Completado",30000000,IF('Detalle individual'!F867="Pendiente",0,15000000))+COUNTIF('Detalle individual'!$C$5:$C$1000,"&lt;"&amp;'Detalle individual'!C867)*10000+ROW(),""))</f>
        <v/>
      </c>
      <c r="AB867" t="str">
        <f>IF('Detalle individual'!C867="","",IF(COUNTIF('Detalle individual'!$C$5:C867,'Detalle individual'!C867)=1,COUNTIF('Detalle individual'!$C$5:$C$1000,"&lt;"&amp;'Detalle individual'!C867),""))</f>
        <v/>
      </c>
      <c r="AC867" t="str">
        <f>IF('Detalle individual'!D867="","",IF(COUNTIF('Detalle individual'!$D$5:D867,'Detalle individual'!D867)=1,COUNTIF('Detalle individual'!$D$5:$D$1000,"&lt;"&amp;'Detalle individual'!D867),""))</f>
        <v/>
      </c>
      <c r="AH867" t="str">
        <f>IF('Detalle individual'!F867="Pendiente",COUNTIF('Detalle individual'!$D$5:$D$1000,"&lt;"&amp;'Detalle individual'!D867)*1000000+COUNTIF('Detalle individual'!$C$5:$C$1000,"&lt;"&amp;'Detalle individual'!C867)*1000+COUNTIF('Detalle individual'!$B$5:$B$1000,"&lt;"&amp;'Detalle individual'!B867)+ROW()/10000,"")</f>
        <v/>
      </c>
      <c r="AI867" t="str">
        <f>IF('Detalle individual'!F867="Completado",COUNTIF('Detalle individual'!$D$5:$D$1000,"&lt;"&amp;'Detalle individual'!D867)*1000000+COUNTIF('Detalle individual'!$C$5:$C$1000,"&lt;"&amp;'Detalle individual'!C867)*1000+COUNTIF('Detalle individual'!$B$5:$B$1000,"&lt;"&amp;'Detalle individual'!B867)+ROW()/10000,"")</f>
        <v/>
      </c>
      <c r="AJ867" t="str">
        <f>IF(AND('Detalle individual'!F867&lt;&gt;"",'Detalle individual'!F867&lt;&gt;"Completado",'Detalle individual'!F867&lt;&gt;"Pendiente"),COUNTIF('Detalle individual'!$D$5:$D$1000,"&lt;"&amp;'Detalle individual'!D867)*1000000+COUNTIF('Detalle individual'!$C$5:$C$1000,"&lt;"&amp;'Detalle individual'!C867)*1000+COUNTIF('Detalle individual'!$B$5:$B$1000,"&lt;"&amp;'Detalle individual'!B867)+ROW()/10000,"")</f>
        <v/>
      </c>
      <c r="AK867" t="str">
        <f>IF(OR('Base Exámenes'!C867="",'Base Exámenes'!D867=""),"",IF(COUNTIF('Base Exámenes'!$C$5:C867,'Base Exámenes'!C867)=1,'Base Exámenes'!D867+ROW()/1000000000,""))</f>
        <v/>
      </c>
      <c r="AL867" t="str">
        <f>IF(OR('Base Exámenes'!C867="",'Base Exámenes'!E867=""),"",IF(COUNTIF('Base Exámenes'!$C$5:C867,'Base Exámenes'!C867)=1,'Base Exámenes'!E867+ROW()/1000000000,""))</f>
        <v/>
      </c>
      <c r="AM867" t="str">
        <f>IF(OR('Base Exámenes'!C867="",'Base Exámenes'!G867=""),"",IF(ROW()-4=MATCH('Base Exámenes'!C867&amp;"|"&amp;_xlfn.MAXIFS('Base Exámenes'!$G$5:$G$1000,'Base Exámenes'!$C$5:$C$1000,'Base Exámenes'!C867),'Base Exámenes'!$I$5:$I$1000,0),'Base Exámenes'!G867*1000000+(-1)*'Base Exámenes'!D867,""))</f>
        <v/>
      </c>
      <c r="AQ867" t="str">
        <f>IF('Base Exámenes'!C867="","",IF(COUNTIF('Base Exámenes'!$C$5:$C$1000,'Base Exámenes'!C867)&lt;2,"",MATCH('Base Exámenes'!C867,'Base Exámenes'!$C$5:$C$1000,0)*10000+ROW()))</f>
        <v/>
      </c>
    </row>
    <row r="868">
      <c r="Z868" t="str">
        <f>IF('Detalle individual'!A868="","",IF(AND(OR('Estado por Colaborador'!$D$4="Todas las gerencias",'Detalle individual'!D868='Estado por Colaborador'!$D$4),OR('Estado por Colaborador'!$D$5="Todos los departamentos",TRIM('Detalle individual'!C868)='Estado por Colaborador'!$D$5),OR('Estado por Colaborador'!$D$6="Todos",'Detalle individual'!F868='Estado por Colaborador'!$D$6)),IF('Detalle individual'!F868="Completado",30000000,IF('Detalle individual'!F868="Pendiente",0,15000000))+COUNTIF('Detalle individual'!$C$5:$C$1000,"&lt;"&amp;'Detalle individual'!C868)*10000+ROW(),""))</f>
        <v/>
      </c>
      <c r="AB868" t="str">
        <f>IF('Detalle individual'!C868="","",IF(COUNTIF('Detalle individual'!$C$5:C868,'Detalle individual'!C868)=1,COUNTIF('Detalle individual'!$C$5:$C$1000,"&lt;"&amp;'Detalle individual'!C868),""))</f>
        <v/>
      </c>
      <c r="AC868" t="str">
        <f>IF('Detalle individual'!D868="","",IF(COUNTIF('Detalle individual'!$D$5:D868,'Detalle individual'!D868)=1,COUNTIF('Detalle individual'!$D$5:$D$1000,"&lt;"&amp;'Detalle individual'!D868),""))</f>
        <v/>
      </c>
      <c r="AH868" t="str">
        <f>IF('Detalle individual'!F868="Pendiente",COUNTIF('Detalle individual'!$D$5:$D$1000,"&lt;"&amp;'Detalle individual'!D868)*1000000+COUNTIF('Detalle individual'!$C$5:$C$1000,"&lt;"&amp;'Detalle individual'!C868)*1000+COUNTIF('Detalle individual'!$B$5:$B$1000,"&lt;"&amp;'Detalle individual'!B868)+ROW()/10000,"")</f>
        <v/>
      </c>
      <c r="AI868" t="str">
        <f>IF('Detalle individual'!F868="Completado",COUNTIF('Detalle individual'!$D$5:$D$1000,"&lt;"&amp;'Detalle individual'!D868)*1000000+COUNTIF('Detalle individual'!$C$5:$C$1000,"&lt;"&amp;'Detalle individual'!C868)*1000+COUNTIF('Detalle individual'!$B$5:$B$1000,"&lt;"&amp;'Detalle individual'!B868)+ROW()/10000,"")</f>
        <v/>
      </c>
      <c r="AJ868" t="str">
        <f>IF(AND('Detalle individual'!F868&lt;&gt;"",'Detalle individual'!F868&lt;&gt;"Completado",'Detalle individual'!F868&lt;&gt;"Pendiente"),COUNTIF('Detalle individual'!$D$5:$D$1000,"&lt;"&amp;'Detalle individual'!D868)*1000000+COUNTIF('Detalle individual'!$C$5:$C$1000,"&lt;"&amp;'Detalle individual'!C868)*1000+COUNTIF('Detalle individual'!$B$5:$B$1000,"&lt;"&amp;'Detalle individual'!B868)+ROW()/10000,"")</f>
        <v/>
      </c>
      <c r="AK868" t="str">
        <f>IF(OR('Base Exámenes'!C868="",'Base Exámenes'!D868=""),"",IF(COUNTIF('Base Exámenes'!$C$5:C868,'Base Exámenes'!C868)=1,'Base Exámenes'!D868+ROW()/1000000000,""))</f>
        <v/>
      </c>
      <c r="AL868" t="str">
        <f>IF(OR('Base Exámenes'!C868="",'Base Exámenes'!E868=""),"",IF(COUNTIF('Base Exámenes'!$C$5:C868,'Base Exámenes'!C868)=1,'Base Exámenes'!E868+ROW()/1000000000,""))</f>
        <v/>
      </c>
      <c r="AM868" t="str">
        <f>IF(OR('Base Exámenes'!C868="",'Base Exámenes'!G868=""),"",IF(ROW()-4=MATCH('Base Exámenes'!C868&amp;"|"&amp;_xlfn.MAXIFS('Base Exámenes'!$G$5:$G$1000,'Base Exámenes'!$C$5:$C$1000,'Base Exámenes'!C868),'Base Exámenes'!$I$5:$I$1000,0),'Base Exámenes'!G868*1000000+(-1)*'Base Exámenes'!D868,""))</f>
        <v/>
      </c>
      <c r="AQ868" t="str">
        <f>IF('Base Exámenes'!C868="","",IF(COUNTIF('Base Exámenes'!$C$5:$C$1000,'Base Exámenes'!C868)&lt;2,"",MATCH('Base Exámenes'!C868,'Base Exámenes'!$C$5:$C$1000,0)*10000+ROW()))</f>
        <v/>
      </c>
    </row>
    <row r="869">
      <c r="Z869" t="str">
        <f>IF('Detalle individual'!A869="","",IF(AND(OR('Estado por Colaborador'!$D$4="Todas las gerencias",'Detalle individual'!D869='Estado por Colaborador'!$D$4),OR('Estado por Colaborador'!$D$5="Todos los departamentos",TRIM('Detalle individual'!C869)='Estado por Colaborador'!$D$5),OR('Estado por Colaborador'!$D$6="Todos",'Detalle individual'!F869='Estado por Colaborador'!$D$6)),IF('Detalle individual'!F869="Completado",30000000,IF('Detalle individual'!F869="Pendiente",0,15000000))+COUNTIF('Detalle individual'!$C$5:$C$1000,"&lt;"&amp;'Detalle individual'!C869)*10000+ROW(),""))</f>
        <v/>
      </c>
      <c r="AB869" t="str">
        <f>IF('Detalle individual'!C869="","",IF(COUNTIF('Detalle individual'!$C$5:C869,'Detalle individual'!C869)=1,COUNTIF('Detalle individual'!$C$5:$C$1000,"&lt;"&amp;'Detalle individual'!C869),""))</f>
        <v/>
      </c>
      <c r="AC869" t="str">
        <f>IF('Detalle individual'!D869="","",IF(COUNTIF('Detalle individual'!$D$5:D869,'Detalle individual'!D869)=1,COUNTIF('Detalle individual'!$D$5:$D$1000,"&lt;"&amp;'Detalle individual'!D869),""))</f>
        <v/>
      </c>
      <c r="AH869" t="str">
        <f>IF('Detalle individual'!F869="Pendiente",COUNTIF('Detalle individual'!$D$5:$D$1000,"&lt;"&amp;'Detalle individual'!D869)*1000000+COUNTIF('Detalle individual'!$C$5:$C$1000,"&lt;"&amp;'Detalle individual'!C869)*1000+COUNTIF('Detalle individual'!$B$5:$B$1000,"&lt;"&amp;'Detalle individual'!B869)+ROW()/10000,"")</f>
        <v/>
      </c>
      <c r="AI869" t="str">
        <f>IF('Detalle individual'!F869="Completado",COUNTIF('Detalle individual'!$D$5:$D$1000,"&lt;"&amp;'Detalle individual'!D869)*1000000+COUNTIF('Detalle individual'!$C$5:$C$1000,"&lt;"&amp;'Detalle individual'!C869)*1000+COUNTIF('Detalle individual'!$B$5:$B$1000,"&lt;"&amp;'Detalle individual'!B869)+ROW()/10000,"")</f>
        <v/>
      </c>
      <c r="AJ869" t="str">
        <f>IF(AND('Detalle individual'!F869&lt;&gt;"",'Detalle individual'!F869&lt;&gt;"Completado",'Detalle individual'!F869&lt;&gt;"Pendiente"),COUNTIF('Detalle individual'!$D$5:$D$1000,"&lt;"&amp;'Detalle individual'!D869)*1000000+COUNTIF('Detalle individual'!$C$5:$C$1000,"&lt;"&amp;'Detalle individual'!C869)*1000+COUNTIF('Detalle individual'!$B$5:$B$1000,"&lt;"&amp;'Detalle individual'!B869)+ROW()/10000,"")</f>
        <v/>
      </c>
      <c r="AK869" t="str">
        <f>IF(OR('Base Exámenes'!C869="",'Base Exámenes'!D869=""),"",IF(COUNTIF('Base Exámenes'!$C$5:C869,'Base Exámenes'!C869)=1,'Base Exámenes'!D869+ROW()/1000000000,""))</f>
        <v/>
      </c>
      <c r="AL869" t="str">
        <f>IF(OR('Base Exámenes'!C869="",'Base Exámenes'!E869=""),"",IF(COUNTIF('Base Exámenes'!$C$5:C869,'Base Exámenes'!C869)=1,'Base Exámenes'!E869+ROW()/1000000000,""))</f>
        <v/>
      </c>
      <c r="AM869" t="str">
        <f>IF(OR('Base Exámenes'!C869="",'Base Exámenes'!G869=""),"",IF(ROW()-4=MATCH('Base Exámenes'!C869&amp;"|"&amp;_xlfn.MAXIFS('Base Exámenes'!$G$5:$G$1000,'Base Exámenes'!$C$5:$C$1000,'Base Exámenes'!C869),'Base Exámenes'!$I$5:$I$1000,0),'Base Exámenes'!G869*1000000+(-1)*'Base Exámenes'!D869,""))</f>
        <v/>
      </c>
      <c r="AQ869" t="str">
        <f>IF('Base Exámenes'!C869="","",IF(COUNTIF('Base Exámenes'!$C$5:$C$1000,'Base Exámenes'!C869)&lt;2,"",MATCH('Base Exámenes'!C869,'Base Exámenes'!$C$5:$C$1000,0)*10000+ROW()))</f>
        <v/>
      </c>
    </row>
    <row r="870">
      <c r="Z870" t="str">
        <f>IF('Detalle individual'!A870="","",IF(AND(OR('Estado por Colaborador'!$D$4="Todas las gerencias",'Detalle individual'!D870='Estado por Colaborador'!$D$4),OR('Estado por Colaborador'!$D$5="Todos los departamentos",TRIM('Detalle individual'!C870)='Estado por Colaborador'!$D$5),OR('Estado por Colaborador'!$D$6="Todos",'Detalle individual'!F870='Estado por Colaborador'!$D$6)),IF('Detalle individual'!F870="Completado",30000000,IF('Detalle individual'!F870="Pendiente",0,15000000))+COUNTIF('Detalle individual'!$C$5:$C$1000,"&lt;"&amp;'Detalle individual'!C870)*10000+ROW(),""))</f>
        <v/>
      </c>
      <c r="AB870" t="str">
        <f>IF('Detalle individual'!C870="","",IF(COUNTIF('Detalle individual'!$C$5:C870,'Detalle individual'!C870)=1,COUNTIF('Detalle individual'!$C$5:$C$1000,"&lt;"&amp;'Detalle individual'!C870),""))</f>
        <v/>
      </c>
      <c r="AC870" t="str">
        <f>IF('Detalle individual'!D870="","",IF(COUNTIF('Detalle individual'!$D$5:D870,'Detalle individual'!D870)=1,COUNTIF('Detalle individual'!$D$5:$D$1000,"&lt;"&amp;'Detalle individual'!D870),""))</f>
        <v/>
      </c>
      <c r="AH870" t="str">
        <f>IF('Detalle individual'!F870="Pendiente",COUNTIF('Detalle individual'!$D$5:$D$1000,"&lt;"&amp;'Detalle individual'!D870)*1000000+COUNTIF('Detalle individual'!$C$5:$C$1000,"&lt;"&amp;'Detalle individual'!C870)*1000+COUNTIF('Detalle individual'!$B$5:$B$1000,"&lt;"&amp;'Detalle individual'!B870)+ROW()/10000,"")</f>
        <v/>
      </c>
      <c r="AI870" t="str">
        <f>IF('Detalle individual'!F870="Completado",COUNTIF('Detalle individual'!$D$5:$D$1000,"&lt;"&amp;'Detalle individual'!D870)*1000000+COUNTIF('Detalle individual'!$C$5:$C$1000,"&lt;"&amp;'Detalle individual'!C870)*1000+COUNTIF('Detalle individual'!$B$5:$B$1000,"&lt;"&amp;'Detalle individual'!B870)+ROW()/10000,"")</f>
        <v/>
      </c>
      <c r="AJ870" t="str">
        <f>IF(AND('Detalle individual'!F870&lt;&gt;"",'Detalle individual'!F870&lt;&gt;"Completado",'Detalle individual'!F870&lt;&gt;"Pendiente"),COUNTIF('Detalle individual'!$D$5:$D$1000,"&lt;"&amp;'Detalle individual'!D870)*1000000+COUNTIF('Detalle individual'!$C$5:$C$1000,"&lt;"&amp;'Detalle individual'!C870)*1000+COUNTIF('Detalle individual'!$B$5:$B$1000,"&lt;"&amp;'Detalle individual'!B870)+ROW()/10000,"")</f>
        <v/>
      </c>
      <c r="AK870" t="str">
        <f>IF(OR('Base Exámenes'!C870="",'Base Exámenes'!D870=""),"",IF(COUNTIF('Base Exámenes'!$C$5:C870,'Base Exámenes'!C870)=1,'Base Exámenes'!D870+ROW()/1000000000,""))</f>
        <v/>
      </c>
      <c r="AL870" t="str">
        <f>IF(OR('Base Exámenes'!C870="",'Base Exámenes'!E870=""),"",IF(COUNTIF('Base Exámenes'!$C$5:C870,'Base Exámenes'!C870)=1,'Base Exámenes'!E870+ROW()/1000000000,""))</f>
        <v/>
      </c>
      <c r="AM870" t="str">
        <f>IF(OR('Base Exámenes'!C870="",'Base Exámenes'!G870=""),"",IF(ROW()-4=MATCH('Base Exámenes'!C870&amp;"|"&amp;_xlfn.MAXIFS('Base Exámenes'!$G$5:$G$1000,'Base Exámenes'!$C$5:$C$1000,'Base Exámenes'!C870),'Base Exámenes'!$I$5:$I$1000,0),'Base Exámenes'!G870*1000000+(-1)*'Base Exámenes'!D870,""))</f>
        <v/>
      </c>
      <c r="AQ870" t="str">
        <f>IF('Base Exámenes'!C870="","",IF(COUNTIF('Base Exámenes'!$C$5:$C$1000,'Base Exámenes'!C870)&lt;2,"",MATCH('Base Exámenes'!C870,'Base Exámenes'!$C$5:$C$1000,0)*10000+ROW()))</f>
        <v/>
      </c>
    </row>
    <row r="871">
      <c r="Z871" t="str">
        <f>IF('Detalle individual'!A871="","",IF(AND(OR('Estado por Colaborador'!$D$4="Todas las gerencias",'Detalle individual'!D871='Estado por Colaborador'!$D$4),OR('Estado por Colaborador'!$D$5="Todos los departamentos",TRIM('Detalle individual'!C871)='Estado por Colaborador'!$D$5),OR('Estado por Colaborador'!$D$6="Todos",'Detalle individual'!F871='Estado por Colaborador'!$D$6)),IF('Detalle individual'!F871="Completado",30000000,IF('Detalle individual'!F871="Pendiente",0,15000000))+COUNTIF('Detalle individual'!$C$5:$C$1000,"&lt;"&amp;'Detalle individual'!C871)*10000+ROW(),""))</f>
        <v/>
      </c>
      <c r="AB871" t="str">
        <f>IF('Detalle individual'!C871="","",IF(COUNTIF('Detalle individual'!$C$5:C871,'Detalle individual'!C871)=1,COUNTIF('Detalle individual'!$C$5:$C$1000,"&lt;"&amp;'Detalle individual'!C871),""))</f>
        <v/>
      </c>
      <c r="AC871" t="str">
        <f>IF('Detalle individual'!D871="","",IF(COUNTIF('Detalle individual'!$D$5:D871,'Detalle individual'!D871)=1,COUNTIF('Detalle individual'!$D$5:$D$1000,"&lt;"&amp;'Detalle individual'!D871),""))</f>
        <v/>
      </c>
      <c r="AH871" t="str">
        <f>IF('Detalle individual'!F871="Pendiente",COUNTIF('Detalle individual'!$D$5:$D$1000,"&lt;"&amp;'Detalle individual'!D871)*1000000+COUNTIF('Detalle individual'!$C$5:$C$1000,"&lt;"&amp;'Detalle individual'!C871)*1000+COUNTIF('Detalle individual'!$B$5:$B$1000,"&lt;"&amp;'Detalle individual'!B871)+ROW()/10000,"")</f>
        <v/>
      </c>
      <c r="AI871" t="str">
        <f>IF('Detalle individual'!F871="Completado",COUNTIF('Detalle individual'!$D$5:$D$1000,"&lt;"&amp;'Detalle individual'!D871)*1000000+COUNTIF('Detalle individual'!$C$5:$C$1000,"&lt;"&amp;'Detalle individual'!C871)*1000+COUNTIF('Detalle individual'!$B$5:$B$1000,"&lt;"&amp;'Detalle individual'!B871)+ROW()/10000,"")</f>
        <v/>
      </c>
      <c r="AJ871" t="str">
        <f>IF(AND('Detalle individual'!F871&lt;&gt;"",'Detalle individual'!F871&lt;&gt;"Completado",'Detalle individual'!F871&lt;&gt;"Pendiente"),COUNTIF('Detalle individual'!$D$5:$D$1000,"&lt;"&amp;'Detalle individual'!D871)*1000000+COUNTIF('Detalle individual'!$C$5:$C$1000,"&lt;"&amp;'Detalle individual'!C871)*1000+COUNTIF('Detalle individual'!$B$5:$B$1000,"&lt;"&amp;'Detalle individual'!B871)+ROW()/10000,"")</f>
        <v/>
      </c>
      <c r="AK871" t="str">
        <f>IF(OR('Base Exámenes'!C871="",'Base Exámenes'!D871=""),"",IF(COUNTIF('Base Exámenes'!$C$5:C871,'Base Exámenes'!C871)=1,'Base Exámenes'!D871+ROW()/1000000000,""))</f>
        <v/>
      </c>
      <c r="AL871" t="str">
        <f>IF(OR('Base Exámenes'!C871="",'Base Exámenes'!E871=""),"",IF(COUNTIF('Base Exámenes'!$C$5:C871,'Base Exámenes'!C871)=1,'Base Exámenes'!E871+ROW()/1000000000,""))</f>
        <v/>
      </c>
      <c r="AM871" t="str">
        <f>IF(OR('Base Exámenes'!C871="",'Base Exámenes'!G871=""),"",IF(ROW()-4=MATCH('Base Exámenes'!C871&amp;"|"&amp;_xlfn.MAXIFS('Base Exámenes'!$G$5:$G$1000,'Base Exámenes'!$C$5:$C$1000,'Base Exámenes'!C871),'Base Exámenes'!$I$5:$I$1000,0),'Base Exámenes'!G871*1000000+(-1)*'Base Exámenes'!D871,""))</f>
        <v/>
      </c>
      <c r="AQ871" t="str">
        <f>IF('Base Exámenes'!C871="","",IF(COUNTIF('Base Exámenes'!$C$5:$C$1000,'Base Exámenes'!C871)&lt;2,"",MATCH('Base Exámenes'!C871,'Base Exámenes'!$C$5:$C$1000,0)*10000+ROW()))</f>
        <v/>
      </c>
    </row>
    <row r="872">
      <c r="Z872" t="str">
        <f>IF('Detalle individual'!A872="","",IF(AND(OR('Estado por Colaborador'!$D$4="Todas las gerencias",'Detalle individual'!D872='Estado por Colaborador'!$D$4),OR('Estado por Colaborador'!$D$5="Todos los departamentos",TRIM('Detalle individual'!C872)='Estado por Colaborador'!$D$5),OR('Estado por Colaborador'!$D$6="Todos",'Detalle individual'!F872='Estado por Colaborador'!$D$6)),IF('Detalle individual'!F872="Completado",30000000,IF('Detalle individual'!F872="Pendiente",0,15000000))+COUNTIF('Detalle individual'!$C$5:$C$1000,"&lt;"&amp;'Detalle individual'!C872)*10000+ROW(),""))</f>
        <v/>
      </c>
      <c r="AB872" t="str">
        <f>IF('Detalle individual'!C872="","",IF(COUNTIF('Detalle individual'!$C$5:C872,'Detalle individual'!C872)=1,COUNTIF('Detalle individual'!$C$5:$C$1000,"&lt;"&amp;'Detalle individual'!C872),""))</f>
        <v/>
      </c>
      <c r="AC872" t="str">
        <f>IF('Detalle individual'!D872="","",IF(COUNTIF('Detalle individual'!$D$5:D872,'Detalle individual'!D872)=1,COUNTIF('Detalle individual'!$D$5:$D$1000,"&lt;"&amp;'Detalle individual'!D872),""))</f>
        <v/>
      </c>
      <c r="AH872" t="str">
        <f>IF('Detalle individual'!F872="Pendiente",COUNTIF('Detalle individual'!$D$5:$D$1000,"&lt;"&amp;'Detalle individual'!D872)*1000000+COUNTIF('Detalle individual'!$C$5:$C$1000,"&lt;"&amp;'Detalle individual'!C872)*1000+COUNTIF('Detalle individual'!$B$5:$B$1000,"&lt;"&amp;'Detalle individual'!B872)+ROW()/10000,"")</f>
        <v/>
      </c>
      <c r="AI872" t="str">
        <f>IF('Detalle individual'!F872="Completado",COUNTIF('Detalle individual'!$D$5:$D$1000,"&lt;"&amp;'Detalle individual'!D872)*1000000+COUNTIF('Detalle individual'!$C$5:$C$1000,"&lt;"&amp;'Detalle individual'!C872)*1000+COUNTIF('Detalle individual'!$B$5:$B$1000,"&lt;"&amp;'Detalle individual'!B872)+ROW()/10000,"")</f>
        <v/>
      </c>
      <c r="AJ872" t="str">
        <f>IF(AND('Detalle individual'!F872&lt;&gt;"",'Detalle individual'!F872&lt;&gt;"Completado",'Detalle individual'!F872&lt;&gt;"Pendiente"),COUNTIF('Detalle individual'!$D$5:$D$1000,"&lt;"&amp;'Detalle individual'!D872)*1000000+COUNTIF('Detalle individual'!$C$5:$C$1000,"&lt;"&amp;'Detalle individual'!C872)*1000+COUNTIF('Detalle individual'!$B$5:$B$1000,"&lt;"&amp;'Detalle individual'!B872)+ROW()/10000,"")</f>
        <v/>
      </c>
      <c r="AK872" t="str">
        <f>IF(OR('Base Exámenes'!C872="",'Base Exámenes'!D872=""),"",IF(COUNTIF('Base Exámenes'!$C$5:C872,'Base Exámenes'!C872)=1,'Base Exámenes'!D872+ROW()/1000000000,""))</f>
        <v/>
      </c>
      <c r="AL872" t="str">
        <f>IF(OR('Base Exámenes'!C872="",'Base Exámenes'!E872=""),"",IF(COUNTIF('Base Exámenes'!$C$5:C872,'Base Exámenes'!C872)=1,'Base Exámenes'!E872+ROW()/1000000000,""))</f>
        <v/>
      </c>
      <c r="AM872" t="str">
        <f>IF(OR('Base Exámenes'!C872="",'Base Exámenes'!G872=""),"",IF(ROW()-4=MATCH('Base Exámenes'!C872&amp;"|"&amp;_xlfn.MAXIFS('Base Exámenes'!$G$5:$G$1000,'Base Exámenes'!$C$5:$C$1000,'Base Exámenes'!C872),'Base Exámenes'!$I$5:$I$1000,0),'Base Exámenes'!G872*1000000+(-1)*'Base Exámenes'!D872,""))</f>
        <v/>
      </c>
      <c r="AQ872" t="str">
        <f>IF('Base Exámenes'!C872="","",IF(COUNTIF('Base Exámenes'!$C$5:$C$1000,'Base Exámenes'!C872)&lt;2,"",MATCH('Base Exámenes'!C872,'Base Exámenes'!$C$5:$C$1000,0)*10000+ROW()))</f>
        <v/>
      </c>
    </row>
    <row r="873">
      <c r="Z873" t="str">
        <f>IF('Detalle individual'!A873="","",IF(AND(OR('Estado por Colaborador'!$D$4="Todas las gerencias",'Detalle individual'!D873='Estado por Colaborador'!$D$4),OR('Estado por Colaborador'!$D$5="Todos los departamentos",TRIM('Detalle individual'!C873)='Estado por Colaborador'!$D$5),OR('Estado por Colaborador'!$D$6="Todos",'Detalle individual'!F873='Estado por Colaborador'!$D$6)),IF('Detalle individual'!F873="Completado",30000000,IF('Detalle individual'!F873="Pendiente",0,15000000))+COUNTIF('Detalle individual'!$C$5:$C$1000,"&lt;"&amp;'Detalle individual'!C873)*10000+ROW(),""))</f>
        <v/>
      </c>
      <c r="AB873" t="str">
        <f>IF('Detalle individual'!C873="","",IF(COUNTIF('Detalle individual'!$C$5:C873,'Detalle individual'!C873)=1,COUNTIF('Detalle individual'!$C$5:$C$1000,"&lt;"&amp;'Detalle individual'!C873),""))</f>
        <v/>
      </c>
      <c r="AC873" t="str">
        <f>IF('Detalle individual'!D873="","",IF(COUNTIF('Detalle individual'!$D$5:D873,'Detalle individual'!D873)=1,COUNTIF('Detalle individual'!$D$5:$D$1000,"&lt;"&amp;'Detalle individual'!D873),""))</f>
        <v/>
      </c>
      <c r="AH873" t="str">
        <f>IF('Detalle individual'!F873="Pendiente",COUNTIF('Detalle individual'!$D$5:$D$1000,"&lt;"&amp;'Detalle individual'!D873)*1000000+COUNTIF('Detalle individual'!$C$5:$C$1000,"&lt;"&amp;'Detalle individual'!C873)*1000+COUNTIF('Detalle individual'!$B$5:$B$1000,"&lt;"&amp;'Detalle individual'!B873)+ROW()/10000,"")</f>
        <v/>
      </c>
      <c r="AI873" t="str">
        <f>IF('Detalle individual'!F873="Completado",COUNTIF('Detalle individual'!$D$5:$D$1000,"&lt;"&amp;'Detalle individual'!D873)*1000000+COUNTIF('Detalle individual'!$C$5:$C$1000,"&lt;"&amp;'Detalle individual'!C873)*1000+COUNTIF('Detalle individual'!$B$5:$B$1000,"&lt;"&amp;'Detalle individual'!B873)+ROW()/10000,"")</f>
        <v/>
      </c>
      <c r="AJ873" t="str">
        <f>IF(AND('Detalle individual'!F873&lt;&gt;"",'Detalle individual'!F873&lt;&gt;"Completado",'Detalle individual'!F873&lt;&gt;"Pendiente"),COUNTIF('Detalle individual'!$D$5:$D$1000,"&lt;"&amp;'Detalle individual'!D873)*1000000+COUNTIF('Detalle individual'!$C$5:$C$1000,"&lt;"&amp;'Detalle individual'!C873)*1000+COUNTIF('Detalle individual'!$B$5:$B$1000,"&lt;"&amp;'Detalle individual'!B873)+ROW()/10000,"")</f>
        <v/>
      </c>
      <c r="AK873" t="str">
        <f>IF(OR('Base Exámenes'!C873="",'Base Exámenes'!D873=""),"",IF(COUNTIF('Base Exámenes'!$C$5:C873,'Base Exámenes'!C873)=1,'Base Exámenes'!D873+ROW()/1000000000,""))</f>
        <v/>
      </c>
      <c r="AL873" t="str">
        <f>IF(OR('Base Exámenes'!C873="",'Base Exámenes'!E873=""),"",IF(COUNTIF('Base Exámenes'!$C$5:C873,'Base Exámenes'!C873)=1,'Base Exámenes'!E873+ROW()/1000000000,""))</f>
        <v/>
      </c>
      <c r="AM873" t="str">
        <f>IF(OR('Base Exámenes'!C873="",'Base Exámenes'!G873=""),"",IF(ROW()-4=MATCH('Base Exámenes'!C873&amp;"|"&amp;_xlfn.MAXIFS('Base Exámenes'!$G$5:$G$1000,'Base Exámenes'!$C$5:$C$1000,'Base Exámenes'!C873),'Base Exámenes'!$I$5:$I$1000,0),'Base Exámenes'!G873*1000000+(-1)*'Base Exámenes'!D873,""))</f>
        <v/>
      </c>
      <c r="AQ873" t="str">
        <f>IF('Base Exámenes'!C873="","",IF(COUNTIF('Base Exámenes'!$C$5:$C$1000,'Base Exámenes'!C873)&lt;2,"",MATCH('Base Exámenes'!C873,'Base Exámenes'!$C$5:$C$1000,0)*10000+ROW()))</f>
        <v/>
      </c>
    </row>
    <row r="874">
      <c r="Z874" t="str">
        <f>IF('Detalle individual'!A874="","",IF(AND(OR('Estado por Colaborador'!$D$4="Todas las gerencias",'Detalle individual'!D874='Estado por Colaborador'!$D$4),OR('Estado por Colaborador'!$D$5="Todos los departamentos",TRIM('Detalle individual'!C874)='Estado por Colaborador'!$D$5),OR('Estado por Colaborador'!$D$6="Todos",'Detalle individual'!F874='Estado por Colaborador'!$D$6)),IF('Detalle individual'!F874="Completado",30000000,IF('Detalle individual'!F874="Pendiente",0,15000000))+COUNTIF('Detalle individual'!$C$5:$C$1000,"&lt;"&amp;'Detalle individual'!C874)*10000+ROW(),""))</f>
        <v/>
      </c>
      <c r="AB874" t="str">
        <f>IF('Detalle individual'!C874="","",IF(COUNTIF('Detalle individual'!$C$5:C874,'Detalle individual'!C874)=1,COUNTIF('Detalle individual'!$C$5:$C$1000,"&lt;"&amp;'Detalle individual'!C874),""))</f>
        <v/>
      </c>
      <c r="AC874" t="str">
        <f>IF('Detalle individual'!D874="","",IF(COUNTIF('Detalle individual'!$D$5:D874,'Detalle individual'!D874)=1,COUNTIF('Detalle individual'!$D$5:$D$1000,"&lt;"&amp;'Detalle individual'!D874),""))</f>
        <v/>
      </c>
      <c r="AH874" t="str">
        <f>IF('Detalle individual'!F874="Pendiente",COUNTIF('Detalle individual'!$D$5:$D$1000,"&lt;"&amp;'Detalle individual'!D874)*1000000+COUNTIF('Detalle individual'!$C$5:$C$1000,"&lt;"&amp;'Detalle individual'!C874)*1000+COUNTIF('Detalle individual'!$B$5:$B$1000,"&lt;"&amp;'Detalle individual'!B874)+ROW()/10000,"")</f>
        <v/>
      </c>
      <c r="AI874" t="str">
        <f>IF('Detalle individual'!F874="Completado",COUNTIF('Detalle individual'!$D$5:$D$1000,"&lt;"&amp;'Detalle individual'!D874)*1000000+COUNTIF('Detalle individual'!$C$5:$C$1000,"&lt;"&amp;'Detalle individual'!C874)*1000+COUNTIF('Detalle individual'!$B$5:$B$1000,"&lt;"&amp;'Detalle individual'!B874)+ROW()/10000,"")</f>
        <v/>
      </c>
      <c r="AJ874" t="str">
        <f>IF(AND('Detalle individual'!F874&lt;&gt;"",'Detalle individual'!F874&lt;&gt;"Completado",'Detalle individual'!F874&lt;&gt;"Pendiente"),COUNTIF('Detalle individual'!$D$5:$D$1000,"&lt;"&amp;'Detalle individual'!D874)*1000000+COUNTIF('Detalle individual'!$C$5:$C$1000,"&lt;"&amp;'Detalle individual'!C874)*1000+COUNTIF('Detalle individual'!$B$5:$B$1000,"&lt;"&amp;'Detalle individual'!B874)+ROW()/10000,"")</f>
        <v/>
      </c>
      <c r="AK874" t="str">
        <f>IF(OR('Base Exámenes'!C874="",'Base Exámenes'!D874=""),"",IF(COUNTIF('Base Exámenes'!$C$5:C874,'Base Exámenes'!C874)=1,'Base Exámenes'!D874+ROW()/1000000000,""))</f>
        <v/>
      </c>
      <c r="AL874" t="str">
        <f>IF(OR('Base Exámenes'!C874="",'Base Exámenes'!E874=""),"",IF(COUNTIF('Base Exámenes'!$C$5:C874,'Base Exámenes'!C874)=1,'Base Exámenes'!E874+ROW()/1000000000,""))</f>
        <v/>
      </c>
      <c r="AM874" t="str">
        <f>IF(OR('Base Exámenes'!C874="",'Base Exámenes'!G874=""),"",IF(ROW()-4=MATCH('Base Exámenes'!C874&amp;"|"&amp;_xlfn.MAXIFS('Base Exámenes'!$G$5:$G$1000,'Base Exámenes'!$C$5:$C$1000,'Base Exámenes'!C874),'Base Exámenes'!$I$5:$I$1000,0),'Base Exámenes'!G874*1000000+(-1)*'Base Exámenes'!D874,""))</f>
        <v/>
      </c>
      <c r="AQ874" t="str">
        <f>IF('Base Exámenes'!C874="","",IF(COUNTIF('Base Exámenes'!$C$5:$C$1000,'Base Exámenes'!C874)&lt;2,"",MATCH('Base Exámenes'!C874,'Base Exámenes'!$C$5:$C$1000,0)*10000+ROW()))</f>
        <v/>
      </c>
    </row>
    <row r="875">
      <c r="Z875" t="str">
        <f>IF('Detalle individual'!A875="","",IF(AND(OR('Estado por Colaborador'!$D$4="Todas las gerencias",'Detalle individual'!D875='Estado por Colaborador'!$D$4),OR('Estado por Colaborador'!$D$5="Todos los departamentos",TRIM('Detalle individual'!C875)='Estado por Colaborador'!$D$5),OR('Estado por Colaborador'!$D$6="Todos",'Detalle individual'!F875='Estado por Colaborador'!$D$6)),IF('Detalle individual'!F875="Completado",30000000,IF('Detalle individual'!F875="Pendiente",0,15000000))+COUNTIF('Detalle individual'!$C$5:$C$1000,"&lt;"&amp;'Detalle individual'!C875)*10000+ROW(),""))</f>
        <v/>
      </c>
      <c r="AB875" t="str">
        <f>IF('Detalle individual'!C875="","",IF(COUNTIF('Detalle individual'!$C$5:C875,'Detalle individual'!C875)=1,COUNTIF('Detalle individual'!$C$5:$C$1000,"&lt;"&amp;'Detalle individual'!C875),""))</f>
        <v/>
      </c>
      <c r="AC875" t="str">
        <f>IF('Detalle individual'!D875="","",IF(COUNTIF('Detalle individual'!$D$5:D875,'Detalle individual'!D875)=1,COUNTIF('Detalle individual'!$D$5:$D$1000,"&lt;"&amp;'Detalle individual'!D875),""))</f>
        <v/>
      </c>
      <c r="AH875" t="str">
        <f>IF('Detalle individual'!F875="Pendiente",COUNTIF('Detalle individual'!$D$5:$D$1000,"&lt;"&amp;'Detalle individual'!D875)*1000000+COUNTIF('Detalle individual'!$C$5:$C$1000,"&lt;"&amp;'Detalle individual'!C875)*1000+COUNTIF('Detalle individual'!$B$5:$B$1000,"&lt;"&amp;'Detalle individual'!B875)+ROW()/10000,"")</f>
        <v/>
      </c>
      <c r="AI875" t="str">
        <f>IF('Detalle individual'!F875="Completado",COUNTIF('Detalle individual'!$D$5:$D$1000,"&lt;"&amp;'Detalle individual'!D875)*1000000+COUNTIF('Detalle individual'!$C$5:$C$1000,"&lt;"&amp;'Detalle individual'!C875)*1000+COUNTIF('Detalle individual'!$B$5:$B$1000,"&lt;"&amp;'Detalle individual'!B875)+ROW()/10000,"")</f>
        <v/>
      </c>
      <c r="AJ875" t="str">
        <f>IF(AND('Detalle individual'!F875&lt;&gt;"",'Detalle individual'!F875&lt;&gt;"Completado",'Detalle individual'!F875&lt;&gt;"Pendiente"),COUNTIF('Detalle individual'!$D$5:$D$1000,"&lt;"&amp;'Detalle individual'!D875)*1000000+COUNTIF('Detalle individual'!$C$5:$C$1000,"&lt;"&amp;'Detalle individual'!C875)*1000+COUNTIF('Detalle individual'!$B$5:$B$1000,"&lt;"&amp;'Detalle individual'!B875)+ROW()/10000,"")</f>
        <v/>
      </c>
      <c r="AK875" t="str">
        <f>IF(OR('Base Exámenes'!C875="",'Base Exámenes'!D875=""),"",IF(COUNTIF('Base Exámenes'!$C$5:C875,'Base Exámenes'!C875)=1,'Base Exámenes'!D875+ROW()/1000000000,""))</f>
        <v/>
      </c>
      <c r="AL875" t="str">
        <f>IF(OR('Base Exámenes'!C875="",'Base Exámenes'!E875=""),"",IF(COUNTIF('Base Exámenes'!$C$5:C875,'Base Exámenes'!C875)=1,'Base Exámenes'!E875+ROW()/1000000000,""))</f>
        <v/>
      </c>
      <c r="AM875" t="str">
        <f>IF(OR('Base Exámenes'!C875="",'Base Exámenes'!G875=""),"",IF(ROW()-4=MATCH('Base Exámenes'!C875&amp;"|"&amp;_xlfn.MAXIFS('Base Exámenes'!$G$5:$G$1000,'Base Exámenes'!$C$5:$C$1000,'Base Exámenes'!C875),'Base Exámenes'!$I$5:$I$1000,0),'Base Exámenes'!G875*1000000+(-1)*'Base Exámenes'!D875,""))</f>
        <v/>
      </c>
      <c r="AQ875" t="str">
        <f>IF('Base Exámenes'!C875="","",IF(COUNTIF('Base Exámenes'!$C$5:$C$1000,'Base Exámenes'!C875)&lt;2,"",MATCH('Base Exámenes'!C875,'Base Exámenes'!$C$5:$C$1000,0)*10000+ROW()))</f>
        <v/>
      </c>
    </row>
    <row r="876">
      <c r="Z876" t="str">
        <f>IF('Detalle individual'!A876="","",IF(AND(OR('Estado por Colaborador'!$D$4="Todas las gerencias",'Detalle individual'!D876='Estado por Colaborador'!$D$4),OR('Estado por Colaborador'!$D$5="Todos los departamentos",TRIM('Detalle individual'!C876)='Estado por Colaborador'!$D$5),OR('Estado por Colaborador'!$D$6="Todos",'Detalle individual'!F876='Estado por Colaborador'!$D$6)),IF('Detalle individual'!F876="Completado",30000000,IF('Detalle individual'!F876="Pendiente",0,15000000))+COUNTIF('Detalle individual'!$C$5:$C$1000,"&lt;"&amp;'Detalle individual'!C876)*10000+ROW(),""))</f>
        <v/>
      </c>
      <c r="AB876" t="str">
        <f>IF('Detalle individual'!C876="","",IF(COUNTIF('Detalle individual'!$C$5:C876,'Detalle individual'!C876)=1,COUNTIF('Detalle individual'!$C$5:$C$1000,"&lt;"&amp;'Detalle individual'!C876),""))</f>
        <v/>
      </c>
      <c r="AC876" t="str">
        <f>IF('Detalle individual'!D876="","",IF(COUNTIF('Detalle individual'!$D$5:D876,'Detalle individual'!D876)=1,COUNTIF('Detalle individual'!$D$5:$D$1000,"&lt;"&amp;'Detalle individual'!D876),""))</f>
        <v/>
      </c>
      <c r="AH876" t="str">
        <f>IF('Detalle individual'!F876="Pendiente",COUNTIF('Detalle individual'!$D$5:$D$1000,"&lt;"&amp;'Detalle individual'!D876)*1000000+COUNTIF('Detalle individual'!$C$5:$C$1000,"&lt;"&amp;'Detalle individual'!C876)*1000+COUNTIF('Detalle individual'!$B$5:$B$1000,"&lt;"&amp;'Detalle individual'!B876)+ROW()/10000,"")</f>
        <v/>
      </c>
      <c r="AI876" t="str">
        <f>IF('Detalle individual'!F876="Completado",COUNTIF('Detalle individual'!$D$5:$D$1000,"&lt;"&amp;'Detalle individual'!D876)*1000000+COUNTIF('Detalle individual'!$C$5:$C$1000,"&lt;"&amp;'Detalle individual'!C876)*1000+COUNTIF('Detalle individual'!$B$5:$B$1000,"&lt;"&amp;'Detalle individual'!B876)+ROW()/10000,"")</f>
        <v/>
      </c>
      <c r="AJ876" t="str">
        <f>IF(AND('Detalle individual'!F876&lt;&gt;"",'Detalle individual'!F876&lt;&gt;"Completado",'Detalle individual'!F876&lt;&gt;"Pendiente"),COUNTIF('Detalle individual'!$D$5:$D$1000,"&lt;"&amp;'Detalle individual'!D876)*1000000+COUNTIF('Detalle individual'!$C$5:$C$1000,"&lt;"&amp;'Detalle individual'!C876)*1000+COUNTIF('Detalle individual'!$B$5:$B$1000,"&lt;"&amp;'Detalle individual'!B876)+ROW()/10000,"")</f>
        <v/>
      </c>
      <c r="AK876" t="str">
        <f>IF(OR('Base Exámenes'!C876="",'Base Exámenes'!D876=""),"",IF(COUNTIF('Base Exámenes'!$C$5:C876,'Base Exámenes'!C876)=1,'Base Exámenes'!D876+ROW()/1000000000,""))</f>
        <v/>
      </c>
      <c r="AL876" t="str">
        <f>IF(OR('Base Exámenes'!C876="",'Base Exámenes'!E876=""),"",IF(COUNTIF('Base Exámenes'!$C$5:C876,'Base Exámenes'!C876)=1,'Base Exámenes'!E876+ROW()/1000000000,""))</f>
        <v/>
      </c>
      <c r="AM876" t="str">
        <f>IF(OR('Base Exámenes'!C876="",'Base Exámenes'!G876=""),"",IF(ROW()-4=MATCH('Base Exámenes'!C876&amp;"|"&amp;_xlfn.MAXIFS('Base Exámenes'!$G$5:$G$1000,'Base Exámenes'!$C$5:$C$1000,'Base Exámenes'!C876),'Base Exámenes'!$I$5:$I$1000,0),'Base Exámenes'!G876*1000000+(-1)*'Base Exámenes'!D876,""))</f>
        <v/>
      </c>
      <c r="AQ876" t="str">
        <f>IF('Base Exámenes'!C876="","",IF(COUNTIF('Base Exámenes'!$C$5:$C$1000,'Base Exámenes'!C876)&lt;2,"",MATCH('Base Exámenes'!C876,'Base Exámenes'!$C$5:$C$1000,0)*10000+ROW()))</f>
        <v/>
      </c>
    </row>
    <row r="877">
      <c r="Z877" t="str">
        <f>IF('Detalle individual'!A877="","",IF(AND(OR('Estado por Colaborador'!$D$4="Todas las gerencias",'Detalle individual'!D877='Estado por Colaborador'!$D$4),OR('Estado por Colaborador'!$D$5="Todos los departamentos",TRIM('Detalle individual'!C877)='Estado por Colaborador'!$D$5),OR('Estado por Colaborador'!$D$6="Todos",'Detalle individual'!F877='Estado por Colaborador'!$D$6)),IF('Detalle individual'!F877="Completado",30000000,IF('Detalle individual'!F877="Pendiente",0,15000000))+COUNTIF('Detalle individual'!$C$5:$C$1000,"&lt;"&amp;'Detalle individual'!C877)*10000+ROW(),""))</f>
        <v/>
      </c>
      <c r="AB877" t="str">
        <f>IF('Detalle individual'!C877="","",IF(COUNTIF('Detalle individual'!$C$5:C877,'Detalle individual'!C877)=1,COUNTIF('Detalle individual'!$C$5:$C$1000,"&lt;"&amp;'Detalle individual'!C877),""))</f>
        <v/>
      </c>
      <c r="AC877" t="str">
        <f>IF('Detalle individual'!D877="","",IF(COUNTIF('Detalle individual'!$D$5:D877,'Detalle individual'!D877)=1,COUNTIF('Detalle individual'!$D$5:$D$1000,"&lt;"&amp;'Detalle individual'!D877),""))</f>
        <v/>
      </c>
      <c r="AH877" t="str">
        <f>IF('Detalle individual'!F877="Pendiente",COUNTIF('Detalle individual'!$D$5:$D$1000,"&lt;"&amp;'Detalle individual'!D877)*1000000+COUNTIF('Detalle individual'!$C$5:$C$1000,"&lt;"&amp;'Detalle individual'!C877)*1000+COUNTIF('Detalle individual'!$B$5:$B$1000,"&lt;"&amp;'Detalle individual'!B877)+ROW()/10000,"")</f>
        <v/>
      </c>
      <c r="AI877" t="str">
        <f>IF('Detalle individual'!F877="Completado",COUNTIF('Detalle individual'!$D$5:$D$1000,"&lt;"&amp;'Detalle individual'!D877)*1000000+COUNTIF('Detalle individual'!$C$5:$C$1000,"&lt;"&amp;'Detalle individual'!C877)*1000+COUNTIF('Detalle individual'!$B$5:$B$1000,"&lt;"&amp;'Detalle individual'!B877)+ROW()/10000,"")</f>
        <v/>
      </c>
      <c r="AJ877" t="str">
        <f>IF(AND('Detalle individual'!F877&lt;&gt;"",'Detalle individual'!F877&lt;&gt;"Completado",'Detalle individual'!F877&lt;&gt;"Pendiente"),COUNTIF('Detalle individual'!$D$5:$D$1000,"&lt;"&amp;'Detalle individual'!D877)*1000000+COUNTIF('Detalle individual'!$C$5:$C$1000,"&lt;"&amp;'Detalle individual'!C877)*1000+COUNTIF('Detalle individual'!$B$5:$B$1000,"&lt;"&amp;'Detalle individual'!B877)+ROW()/10000,"")</f>
        <v/>
      </c>
      <c r="AK877" t="str">
        <f>IF(OR('Base Exámenes'!C877="",'Base Exámenes'!D877=""),"",IF(COUNTIF('Base Exámenes'!$C$5:C877,'Base Exámenes'!C877)=1,'Base Exámenes'!D877+ROW()/1000000000,""))</f>
        <v/>
      </c>
      <c r="AL877" t="str">
        <f>IF(OR('Base Exámenes'!C877="",'Base Exámenes'!E877=""),"",IF(COUNTIF('Base Exámenes'!$C$5:C877,'Base Exámenes'!C877)=1,'Base Exámenes'!E877+ROW()/1000000000,""))</f>
        <v/>
      </c>
      <c r="AM877" t="str">
        <f>IF(OR('Base Exámenes'!C877="",'Base Exámenes'!G877=""),"",IF(ROW()-4=MATCH('Base Exámenes'!C877&amp;"|"&amp;_xlfn.MAXIFS('Base Exámenes'!$G$5:$G$1000,'Base Exámenes'!$C$5:$C$1000,'Base Exámenes'!C877),'Base Exámenes'!$I$5:$I$1000,0),'Base Exámenes'!G877*1000000+(-1)*'Base Exámenes'!D877,""))</f>
        <v/>
      </c>
      <c r="AQ877" t="str">
        <f>IF('Base Exámenes'!C877="","",IF(COUNTIF('Base Exámenes'!$C$5:$C$1000,'Base Exámenes'!C877)&lt;2,"",MATCH('Base Exámenes'!C877,'Base Exámenes'!$C$5:$C$1000,0)*10000+ROW()))</f>
        <v/>
      </c>
    </row>
    <row r="878">
      <c r="Z878" t="str">
        <f>IF('Detalle individual'!A878="","",IF(AND(OR('Estado por Colaborador'!$D$4="Todas las gerencias",'Detalle individual'!D878='Estado por Colaborador'!$D$4),OR('Estado por Colaborador'!$D$5="Todos los departamentos",TRIM('Detalle individual'!C878)='Estado por Colaborador'!$D$5),OR('Estado por Colaborador'!$D$6="Todos",'Detalle individual'!F878='Estado por Colaborador'!$D$6)),IF('Detalle individual'!F878="Completado",30000000,IF('Detalle individual'!F878="Pendiente",0,15000000))+COUNTIF('Detalle individual'!$C$5:$C$1000,"&lt;"&amp;'Detalle individual'!C878)*10000+ROW(),""))</f>
        <v/>
      </c>
      <c r="AB878" t="str">
        <f>IF('Detalle individual'!C878="","",IF(COUNTIF('Detalle individual'!$C$5:C878,'Detalle individual'!C878)=1,COUNTIF('Detalle individual'!$C$5:$C$1000,"&lt;"&amp;'Detalle individual'!C878),""))</f>
        <v/>
      </c>
      <c r="AC878" t="str">
        <f>IF('Detalle individual'!D878="","",IF(COUNTIF('Detalle individual'!$D$5:D878,'Detalle individual'!D878)=1,COUNTIF('Detalle individual'!$D$5:$D$1000,"&lt;"&amp;'Detalle individual'!D878),""))</f>
        <v/>
      </c>
      <c r="AH878" t="str">
        <f>IF('Detalle individual'!F878="Pendiente",COUNTIF('Detalle individual'!$D$5:$D$1000,"&lt;"&amp;'Detalle individual'!D878)*1000000+COUNTIF('Detalle individual'!$C$5:$C$1000,"&lt;"&amp;'Detalle individual'!C878)*1000+COUNTIF('Detalle individual'!$B$5:$B$1000,"&lt;"&amp;'Detalle individual'!B878)+ROW()/10000,"")</f>
        <v/>
      </c>
      <c r="AI878" t="str">
        <f>IF('Detalle individual'!F878="Completado",COUNTIF('Detalle individual'!$D$5:$D$1000,"&lt;"&amp;'Detalle individual'!D878)*1000000+COUNTIF('Detalle individual'!$C$5:$C$1000,"&lt;"&amp;'Detalle individual'!C878)*1000+COUNTIF('Detalle individual'!$B$5:$B$1000,"&lt;"&amp;'Detalle individual'!B878)+ROW()/10000,"")</f>
        <v/>
      </c>
      <c r="AJ878" t="str">
        <f>IF(AND('Detalle individual'!F878&lt;&gt;"",'Detalle individual'!F878&lt;&gt;"Completado",'Detalle individual'!F878&lt;&gt;"Pendiente"),COUNTIF('Detalle individual'!$D$5:$D$1000,"&lt;"&amp;'Detalle individual'!D878)*1000000+COUNTIF('Detalle individual'!$C$5:$C$1000,"&lt;"&amp;'Detalle individual'!C878)*1000+COUNTIF('Detalle individual'!$B$5:$B$1000,"&lt;"&amp;'Detalle individual'!B878)+ROW()/10000,"")</f>
        <v/>
      </c>
      <c r="AK878" t="str">
        <f>IF(OR('Base Exámenes'!C878="",'Base Exámenes'!D878=""),"",IF(COUNTIF('Base Exámenes'!$C$5:C878,'Base Exámenes'!C878)=1,'Base Exámenes'!D878+ROW()/1000000000,""))</f>
        <v/>
      </c>
      <c r="AL878" t="str">
        <f>IF(OR('Base Exámenes'!C878="",'Base Exámenes'!E878=""),"",IF(COUNTIF('Base Exámenes'!$C$5:C878,'Base Exámenes'!C878)=1,'Base Exámenes'!E878+ROW()/1000000000,""))</f>
        <v/>
      </c>
      <c r="AM878" t="str">
        <f>IF(OR('Base Exámenes'!C878="",'Base Exámenes'!G878=""),"",IF(ROW()-4=MATCH('Base Exámenes'!C878&amp;"|"&amp;_xlfn.MAXIFS('Base Exámenes'!$G$5:$G$1000,'Base Exámenes'!$C$5:$C$1000,'Base Exámenes'!C878),'Base Exámenes'!$I$5:$I$1000,0),'Base Exámenes'!G878*1000000+(-1)*'Base Exámenes'!D878,""))</f>
        <v/>
      </c>
      <c r="AQ878" t="str">
        <f>IF('Base Exámenes'!C878="","",IF(COUNTIF('Base Exámenes'!$C$5:$C$1000,'Base Exámenes'!C878)&lt;2,"",MATCH('Base Exámenes'!C878,'Base Exámenes'!$C$5:$C$1000,0)*10000+ROW()))</f>
        <v/>
      </c>
    </row>
    <row r="879">
      <c r="Z879" t="str">
        <f>IF('Detalle individual'!A879="","",IF(AND(OR('Estado por Colaborador'!$D$4="Todas las gerencias",'Detalle individual'!D879='Estado por Colaborador'!$D$4),OR('Estado por Colaborador'!$D$5="Todos los departamentos",TRIM('Detalle individual'!C879)='Estado por Colaborador'!$D$5),OR('Estado por Colaborador'!$D$6="Todos",'Detalle individual'!F879='Estado por Colaborador'!$D$6)),IF('Detalle individual'!F879="Completado",30000000,IF('Detalle individual'!F879="Pendiente",0,15000000))+COUNTIF('Detalle individual'!$C$5:$C$1000,"&lt;"&amp;'Detalle individual'!C879)*10000+ROW(),""))</f>
        <v/>
      </c>
      <c r="AB879" t="str">
        <f>IF('Detalle individual'!C879="","",IF(COUNTIF('Detalle individual'!$C$5:C879,'Detalle individual'!C879)=1,COUNTIF('Detalle individual'!$C$5:$C$1000,"&lt;"&amp;'Detalle individual'!C879),""))</f>
        <v/>
      </c>
      <c r="AC879" t="str">
        <f>IF('Detalle individual'!D879="","",IF(COUNTIF('Detalle individual'!$D$5:D879,'Detalle individual'!D879)=1,COUNTIF('Detalle individual'!$D$5:$D$1000,"&lt;"&amp;'Detalle individual'!D879),""))</f>
        <v/>
      </c>
      <c r="AH879" t="str">
        <f>IF('Detalle individual'!F879="Pendiente",COUNTIF('Detalle individual'!$D$5:$D$1000,"&lt;"&amp;'Detalle individual'!D879)*1000000+COUNTIF('Detalle individual'!$C$5:$C$1000,"&lt;"&amp;'Detalle individual'!C879)*1000+COUNTIF('Detalle individual'!$B$5:$B$1000,"&lt;"&amp;'Detalle individual'!B879)+ROW()/10000,"")</f>
        <v/>
      </c>
      <c r="AI879" t="str">
        <f>IF('Detalle individual'!F879="Completado",COUNTIF('Detalle individual'!$D$5:$D$1000,"&lt;"&amp;'Detalle individual'!D879)*1000000+COUNTIF('Detalle individual'!$C$5:$C$1000,"&lt;"&amp;'Detalle individual'!C879)*1000+COUNTIF('Detalle individual'!$B$5:$B$1000,"&lt;"&amp;'Detalle individual'!B879)+ROW()/10000,"")</f>
        <v/>
      </c>
      <c r="AJ879" t="str">
        <f>IF(AND('Detalle individual'!F879&lt;&gt;"",'Detalle individual'!F879&lt;&gt;"Completado",'Detalle individual'!F879&lt;&gt;"Pendiente"),COUNTIF('Detalle individual'!$D$5:$D$1000,"&lt;"&amp;'Detalle individual'!D879)*1000000+COUNTIF('Detalle individual'!$C$5:$C$1000,"&lt;"&amp;'Detalle individual'!C879)*1000+COUNTIF('Detalle individual'!$B$5:$B$1000,"&lt;"&amp;'Detalle individual'!B879)+ROW()/10000,"")</f>
        <v/>
      </c>
      <c r="AK879" t="str">
        <f>IF(OR('Base Exámenes'!C879="",'Base Exámenes'!D879=""),"",IF(COUNTIF('Base Exámenes'!$C$5:C879,'Base Exámenes'!C879)=1,'Base Exámenes'!D879+ROW()/1000000000,""))</f>
        <v/>
      </c>
      <c r="AL879" t="str">
        <f>IF(OR('Base Exámenes'!C879="",'Base Exámenes'!E879=""),"",IF(COUNTIF('Base Exámenes'!$C$5:C879,'Base Exámenes'!C879)=1,'Base Exámenes'!E879+ROW()/1000000000,""))</f>
        <v/>
      </c>
      <c r="AM879" t="str">
        <f>IF(OR('Base Exámenes'!C879="",'Base Exámenes'!G879=""),"",IF(ROW()-4=MATCH('Base Exámenes'!C879&amp;"|"&amp;_xlfn.MAXIFS('Base Exámenes'!$G$5:$G$1000,'Base Exámenes'!$C$5:$C$1000,'Base Exámenes'!C879),'Base Exámenes'!$I$5:$I$1000,0),'Base Exámenes'!G879*1000000+(-1)*'Base Exámenes'!D879,""))</f>
        <v/>
      </c>
      <c r="AQ879" t="str">
        <f>IF('Base Exámenes'!C879="","",IF(COUNTIF('Base Exámenes'!$C$5:$C$1000,'Base Exámenes'!C879)&lt;2,"",MATCH('Base Exámenes'!C879,'Base Exámenes'!$C$5:$C$1000,0)*10000+ROW()))</f>
        <v/>
      </c>
    </row>
    <row r="880">
      <c r="Z880" t="str">
        <f>IF('Detalle individual'!A880="","",IF(AND(OR('Estado por Colaborador'!$D$4="Todas las gerencias",'Detalle individual'!D880='Estado por Colaborador'!$D$4),OR('Estado por Colaborador'!$D$5="Todos los departamentos",TRIM('Detalle individual'!C880)='Estado por Colaborador'!$D$5),OR('Estado por Colaborador'!$D$6="Todos",'Detalle individual'!F880='Estado por Colaborador'!$D$6)),IF('Detalle individual'!F880="Completado",30000000,IF('Detalle individual'!F880="Pendiente",0,15000000))+COUNTIF('Detalle individual'!$C$5:$C$1000,"&lt;"&amp;'Detalle individual'!C880)*10000+ROW(),""))</f>
        <v/>
      </c>
      <c r="AB880" t="str">
        <f>IF('Detalle individual'!C880="","",IF(COUNTIF('Detalle individual'!$C$5:C880,'Detalle individual'!C880)=1,COUNTIF('Detalle individual'!$C$5:$C$1000,"&lt;"&amp;'Detalle individual'!C880),""))</f>
        <v/>
      </c>
      <c r="AC880" t="str">
        <f>IF('Detalle individual'!D880="","",IF(COUNTIF('Detalle individual'!$D$5:D880,'Detalle individual'!D880)=1,COUNTIF('Detalle individual'!$D$5:$D$1000,"&lt;"&amp;'Detalle individual'!D880),""))</f>
        <v/>
      </c>
      <c r="AH880" t="str">
        <f>IF('Detalle individual'!F880="Pendiente",COUNTIF('Detalle individual'!$D$5:$D$1000,"&lt;"&amp;'Detalle individual'!D880)*1000000+COUNTIF('Detalle individual'!$C$5:$C$1000,"&lt;"&amp;'Detalle individual'!C880)*1000+COUNTIF('Detalle individual'!$B$5:$B$1000,"&lt;"&amp;'Detalle individual'!B880)+ROW()/10000,"")</f>
        <v/>
      </c>
      <c r="AI880" t="str">
        <f>IF('Detalle individual'!F880="Completado",COUNTIF('Detalle individual'!$D$5:$D$1000,"&lt;"&amp;'Detalle individual'!D880)*1000000+COUNTIF('Detalle individual'!$C$5:$C$1000,"&lt;"&amp;'Detalle individual'!C880)*1000+COUNTIF('Detalle individual'!$B$5:$B$1000,"&lt;"&amp;'Detalle individual'!B880)+ROW()/10000,"")</f>
        <v/>
      </c>
      <c r="AJ880" t="str">
        <f>IF(AND('Detalle individual'!F880&lt;&gt;"",'Detalle individual'!F880&lt;&gt;"Completado",'Detalle individual'!F880&lt;&gt;"Pendiente"),COUNTIF('Detalle individual'!$D$5:$D$1000,"&lt;"&amp;'Detalle individual'!D880)*1000000+COUNTIF('Detalle individual'!$C$5:$C$1000,"&lt;"&amp;'Detalle individual'!C880)*1000+COUNTIF('Detalle individual'!$B$5:$B$1000,"&lt;"&amp;'Detalle individual'!B880)+ROW()/10000,"")</f>
        <v/>
      </c>
      <c r="AK880" t="str">
        <f>IF(OR('Base Exámenes'!C880="",'Base Exámenes'!D880=""),"",IF(COUNTIF('Base Exámenes'!$C$5:C880,'Base Exámenes'!C880)=1,'Base Exámenes'!D880+ROW()/1000000000,""))</f>
        <v/>
      </c>
      <c r="AL880" t="str">
        <f>IF(OR('Base Exámenes'!C880="",'Base Exámenes'!E880=""),"",IF(COUNTIF('Base Exámenes'!$C$5:C880,'Base Exámenes'!C880)=1,'Base Exámenes'!E880+ROW()/1000000000,""))</f>
        <v/>
      </c>
      <c r="AM880" t="str">
        <f>IF(OR('Base Exámenes'!C880="",'Base Exámenes'!G880=""),"",IF(ROW()-4=MATCH('Base Exámenes'!C880&amp;"|"&amp;_xlfn.MAXIFS('Base Exámenes'!$G$5:$G$1000,'Base Exámenes'!$C$5:$C$1000,'Base Exámenes'!C880),'Base Exámenes'!$I$5:$I$1000,0),'Base Exámenes'!G880*1000000+(-1)*'Base Exámenes'!D880,""))</f>
        <v/>
      </c>
      <c r="AQ880" t="str">
        <f>IF('Base Exámenes'!C880="","",IF(COUNTIF('Base Exámenes'!$C$5:$C$1000,'Base Exámenes'!C880)&lt;2,"",MATCH('Base Exámenes'!C880,'Base Exámenes'!$C$5:$C$1000,0)*10000+ROW()))</f>
        <v/>
      </c>
    </row>
    <row r="881">
      <c r="Z881" t="str">
        <f>IF('Detalle individual'!A881="","",IF(AND(OR('Estado por Colaborador'!$D$4="Todas las gerencias",'Detalle individual'!D881='Estado por Colaborador'!$D$4),OR('Estado por Colaborador'!$D$5="Todos los departamentos",TRIM('Detalle individual'!C881)='Estado por Colaborador'!$D$5),OR('Estado por Colaborador'!$D$6="Todos",'Detalle individual'!F881='Estado por Colaborador'!$D$6)),IF('Detalle individual'!F881="Completado",30000000,IF('Detalle individual'!F881="Pendiente",0,15000000))+COUNTIF('Detalle individual'!$C$5:$C$1000,"&lt;"&amp;'Detalle individual'!C881)*10000+ROW(),""))</f>
        <v/>
      </c>
      <c r="AB881" t="str">
        <f>IF('Detalle individual'!C881="","",IF(COUNTIF('Detalle individual'!$C$5:C881,'Detalle individual'!C881)=1,COUNTIF('Detalle individual'!$C$5:$C$1000,"&lt;"&amp;'Detalle individual'!C881),""))</f>
        <v/>
      </c>
      <c r="AC881" t="str">
        <f>IF('Detalle individual'!D881="","",IF(COUNTIF('Detalle individual'!$D$5:D881,'Detalle individual'!D881)=1,COUNTIF('Detalle individual'!$D$5:$D$1000,"&lt;"&amp;'Detalle individual'!D881),""))</f>
        <v/>
      </c>
      <c r="AH881" t="str">
        <f>IF('Detalle individual'!F881="Pendiente",COUNTIF('Detalle individual'!$D$5:$D$1000,"&lt;"&amp;'Detalle individual'!D881)*1000000+COUNTIF('Detalle individual'!$C$5:$C$1000,"&lt;"&amp;'Detalle individual'!C881)*1000+COUNTIF('Detalle individual'!$B$5:$B$1000,"&lt;"&amp;'Detalle individual'!B881)+ROW()/10000,"")</f>
        <v/>
      </c>
      <c r="AI881" t="str">
        <f>IF('Detalle individual'!F881="Completado",COUNTIF('Detalle individual'!$D$5:$D$1000,"&lt;"&amp;'Detalle individual'!D881)*1000000+COUNTIF('Detalle individual'!$C$5:$C$1000,"&lt;"&amp;'Detalle individual'!C881)*1000+COUNTIF('Detalle individual'!$B$5:$B$1000,"&lt;"&amp;'Detalle individual'!B881)+ROW()/10000,"")</f>
        <v/>
      </c>
      <c r="AJ881" t="str">
        <f>IF(AND('Detalle individual'!F881&lt;&gt;"",'Detalle individual'!F881&lt;&gt;"Completado",'Detalle individual'!F881&lt;&gt;"Pendiente"),COUNTIF('Detalle individual'!$D$5:$D$1000,"&lt;"&amp;'Detalle individual'!D881)*1000000+COUNTIF('Detalle individual'!$C$5:$C$1000,"&lt;"&amp;'Detalle individual'!C881)*1000+COUNTIF('Detalle individual'!$B$5:$B$1000,"&lt;"&amp;'Detalle individual'!B881)+ROW()/10000,"")</f>
        <v/>
      </c>
      <c r="AK881" t="str">
        <f>IF(OR('Base Exámenes'!C881="",'Base Exámenes'!D881=""),"",IF(COUNTIF('Base Exámenes'!$C$5:C881,'Base Exámenes'!C881)=1,'Base Exámenes'!D881+ROW()/1000000000,""))</f>
        <v/>
      </c>
      <c r="AL881" t="str">
        <f>IF(OR('Base Exámenes'!C881="",'Base Exámenes'!E881=""),"",IF(COUNTIF('Base Exámenes'!$C$5:C881,'Base Exámenes'!C881)=1,'Base Exámenes'!E881+ROW()/1000000000,""))</f>
        <v/>
      </c>
      <c r="AM881" t="str">
        <f>IF(OR('Base Exámenes'!C881="",'Base Exámenes'!G881=""),"",IF(ROW()-4=MATCH('Base Exámenes'!C881&amp;"|"&amp;_xlfn.MAXIFS('Base Exámenes'!$G$5:$G$1000,'Base Exámenes'!$C$5:$C$1000,'Base Exámenes'!C881),'Base Exámenes'!$I$5:$I$1000,0),'Base Exámenes'!G881*1000000+(-1)*'Base Exámenes'!D881,""))</f>
        <v/>
      </c>
      <c r="AQ881" t="str">
        <f>IF('Base Exámenes'!C881="","",IF(COUNTIF('Base Exámenes'!$C$5:$C$1000,'Base Exámenes'!C881)&lt;2,"",MATCH('Base Exámenes'!C881,'Base Exámenes'!$C$5:$C$1000,0)*10000+ROW()))</f>
        <v/>
      </c>
    </row>
    <row r="882">
      <c r="Z882" t="str">
        <f>IF('Detalle individual'!A882="","",IF(AND(OR('Estado por Colaborador'!$D$4="Todas las gerencias",'Detalle individual'!D882='Estado por Colaborador'!$D$4),OR('Estado por Colaborador'!$D$5="Todos los departamentos",TRIM('Detalle individual'!C882)='Estado por Colaborador'!$D$5),OR('Estado por Colaborador'!$D$6="Todos",'Detalle individual'!F882='Estado por Colaborador'!$D$6)),IF('Detalle individual'!F882="Completado",30000000,IF('Detalle individual'!F882="Pendiente",0,15000000))+COUNTIF('Detalle individual'!$C$5:$C$1000,"&lt;"&amp;'Detalle individual'!C882)*10000+ROW(),""))</f>
        <v/>
      </c>
      <c r="AB882" t="str">
        <f>IF('Detalle individual'!C882="","",IF(COUNTIF('Detalle individual'!$C$5:C882,'Detalle individual'!C882)=1,COUNTIF('Detalle individual'!$C$5:$C$1000,"&lt;"&amp;'Detalle individual'!C882),""))</f>
        <v/>
      </c>
      <c r="AC882" t="str">
        <f>IF('Detalle individual'!D882="","",IF(COUNTIF('Detalle individual'!$D$5:D882,'Detalle individual'!D882)=1,COUNTIF('Detalle individual'!$D$5:$D$1000,"&lt;"&amp;'Detalle individual'!D882),""))</f>
        <v/>
      </c>
      <c r="AH882" t="str">
        <f>IF('Detalle individual'!F882="Pendiente",COUNTIF('Detalle individual'!$D$5:$D$1000,"&lt;"&amp;'Detalle individual'!D882)*1000000+COUNTIF('Detalle individual'!$C$5:$C$1000,"&lt;"&amp;'Detalle individual'!C882)*1000+COUNTIF('Detalle individual'!$B$5:$B$1000,"&lt;"&amp;'Detalle individual'!B882)+ROW()/10000,"")</f>
        <v/>
      </c>
      <c r="AI882" t="str">
        <f>IF('Detalle individual'!F882="Completado",COUNTIF('Detalle individual'!$D$5:$D$1000,"&lt;"&amp;'Detalle individual'!D882)*1000000+COUNTIF('Detalle individual'!$C$5:$C$1000,"&lt;"&amp;'Detalle individual'!C882)*1000+COUNTIF('Detalle individual'!$B$5:$B$1000,"&lt;"&amp;'Detalle individual'!B882)+ROW()/10000,"")</f>
        <v/>
      </c>
      <c r="AJ882" t="str">
        <f>IF(AND('Detalle individual'!F882&lt;&gt;"",'Detalle individual'!F882&lt;&gt;"Completado",'Detalle individual'!F882&lt;&gt;"Pendiente"),COUNTIF('Detalle individual'!$D$5:$D$1000,"&lt;"&amp;'Detalle individual'!D882)*1000000+COUNTIF('Detalle individual'!$C$5:$C$1000,"&lt;"&amp;'Detalle individual'!C882)*1000+COUNTIF('Detalle individual'!$B$5:$B$1000,"&lt;"&amp;'Detalle individual'!B882)+ROW()/10000,"")</f>
        <v/>
      </c>
      <c r="AK882" t="str">
        <f>IF(OR('Base Exámenes'!C882="",'Base Exámenes'!D882=""),"",IF(COUNTIF('Base Exámenes'!$C$5:C882,'Base Exámenes'!C882)=1,'Base Exámenes'!D882+ROW()/1000000000,""))</f>
        <v/>
      </c>
      <c r="AL882" t="str">
        <f>IF(OR('Base Exámenes'!C882="",'Base Exámenes'!E882=""),"",IF(COUNTIF('Base Exámenes'!$C$5:C882,'Base Exámenes'!C882)=1,'Base Exámenes'!E882+ROW()/1000000000,""))</f>
        <v/>
      </c>
      <c r="AM882" t="str">
        <f>IF(OR('Base Exámenes'!C882="",'Base Exámenes'!G882=""),"",IF(ROW()-4=MATCH('Base Exámenes'!C882&amp;"|"&amp;_xlfn.MAXIFS('Base Exámenes'!$G$5:$G$1000,'Base Exámenes'!$C$5:$C$1000,'Base Exámenes'!C882),'Base Exámenes'!$I$5:$I$1000,0),'Base Exámenes'!G882*1000000+(-1)*'Base Exámenes'!D882,""))</f>
        <v/>
      </c>
      <c r="AQ882" t="str">
        <f>IF('Base Exámenes'!C882="","",IF(COUNTIF('Base Exámenes'!$C$5:$C$1000,'Base Exámenes'!C882)&lt;2,"",MATCH('Base Exámenes'!C882,'Base Exámenes'!$C$5:$C$1000,0)*10000+ROW()))</f>
        <v/>
      </c>
    </row>
    <row r="883">
      <c r="Z883" t="str">
        <f>IF('Detalle individual'!A883="","",IF(AND(OR('Estado por Colaborador'!$D$4="Todas las gerencias",'Detalle individual'!D883='Estado por Colaborador'!$D$4),OR('Estado por Colaborador'!$D$5="Todos los departamentos",TRIM('Detalle individual'!C883)='Estado por Colaborador'!$D$5),OR('Estado por Colaborador'!$D$6="Todos",'Detalle individual'!F883='Estado por Colaborador'!$D$6)),IF('Detalle individual'!F883="Completado",30000000,IF('Detalle individual'!F883="Pendiente",0,15000000))+COUNTIF('Detalle individual'!$C$5:$C$1000,"&lt;"&amp;'Detalle individual'!C883)*10000+ROW(),""))</f>
        <v/>
      </c>
      <c r="AB883" t="str">
        <f>IF('Detalle individual'!C883="","",IF(COUNTIF('Detalle individual'!$C$5:C883,'Detalle individual'!C883)=1,COUNTIF('Detalle individual'!$C$5:$C$1000,"&lt;"&amp;'Detalle individual'!C883),""))</f>
        <v/>
      </c>
      <c r="AC883" t="str">
        <f>IF('Detalle individual'!D883="","",IF(COUNTIF('Detalle individual'!$D$5:D883,'Detalle individual'!D883)=1,COUNTIF('Detalle individual'!$D$5:$D$1000,"&lt;"&amp;'Detalle individual'!D883),""))</f>
        <v/>
      </c>
      <c r="AH883" t="str">
        <f>IF('Detalle individual'!F883="Pendiente",COUNTIF('Detalle individual'!$D$5:$D$1000,"&lt;"&amp;'Detalle individual'!D883)*1000000+COUNTIF('Detalle individual'!$C$5:$C$1000,"&lt;"&amp;'Detalle individual'!C883)*1000+COUNTIF('Detalle individual'!$B$5:$B$1000,"&lt;"&amp;'Detalle individual'!B883)+ROW()/10000,"")</f>
        <v/>
      </c>
      <c r="AI883" t="str">
        <f>IF('Detalle individual'!F883="Completado",COUNTIF('Detalle individual'!$D$5:$D$1000,"&lt;"&amp;'Detalle individual'!D883)*1000000+COUNTIF('Detalle individual'!$C$5:$C$1000,"&lt;"&amp;'Detalle individual'!C883)*1000+COUNTIF('Detalle individual'!$B$5:$B$1000,"&lt;"&amp;'Detalle individual'!B883)+ROW()/10000,"")</f>
        <v/>
      </c>
      <c r="AJ883" t="str">
        <f>IF(AND('Detalle individual'!F883&lt;&gt;"",'Detalle individual'!F883&lt;&gt;"Completado",'Detalle individual'!F883&lt;&gt;"Pendiente"),COUNTIF('Detalle individual'!$D$5:$D$1000,"&lt;"&amp;'Detalle individual'!D883)*1000000+COUNTIF('Detalle individual'!$C$5:$C$1000,"&lt;"&amp;'Detalle individual'!C883)*1000+COUNTIF('Detalle individual'!$B$5:$B$1000,"&lt;"&amp;'Detalle individual'!B883)+ROW()/10000,"")</f>
        <v/>
      </c>
      <c r="AK883" t="str">
        <f>IF(OR('Base Exámenes'!C883="",'Base Exámenes'!D883=""),"",IF(COUNTIF('Base Exámenes'!$C$5:C883,'Base Exámenes'!C883)=1,'Base Exámenes'!D883+ROW()/1000000000,""))</f>
        <v/>
      </c>
      <c r="AL883" t="str">
        <f>IF(OR('Base Exámenes'!C883="",'Base Exámenes'!E883=""),"",IF(COUNTIF('Base Exámenes'!$C$5:C883,'Base Exámenes'!C883)=1,'Base Exámenes'!E883+ROW()/1000000000,""))</f>
        <v/>
      </c>
      <c r="AM883" t="str">
        <f>IF(OR('Base Exámenes'!C883="",'Base Exámenes'!G883=""),"",IF(ROW()-4=MATCH('Base Exámenes'!C883&amp;"|"&amp;_xlfn.MAXIFS('Base Exámenes'!$G$5:$G$1000,'Base Exámenes'!$C$5:$C$1000,'Base Exámenes'!C883),'Base Exámenes'!$I$5:$I$1000,0),'Base Exámenes'!G883*1000000+(-1)*'Base Exámenes'!D883,""))</f>
        <v/>
      </c>
      <c r="AQ883" t="str">
        <f>IF('Base Exámenes'!C883="","",IF(COUNTIF('Base Exámenes'!$C$5:$C$1000,'Base Exámenes'!C883)&lt;2,"",MATCH('Base Exámenes'!C883,'Base Exámenes'!$C$5:$C$1000,0)*10000+ROW()))</f>
        <v/>
      </c>
    </row>
    <row r="884">
      <c r="Z884" t="str">
        <f>IF('Detalle individual'!A884="","",IF(AND(OR('Estado por Colaborador'!$D$4="Todas las gerencias",'Detalle individual'!D884='Estado por Colaborador'!$D$4),OR('Estado por Colaborador'!$D$5="Todos los departamentos",TRIM('Detalle individual'!C884)='Estado por Colaborador'!$D$5),OR('Estado por Colaborador'!$D$6="Todos",'Detalle individual'!F884='Estado por Colaborador'!$D$6)),IF('Detalle individual'!F884="Completado",30000000,IF('Detalle individual'!F884="Pendiente",0,15000000))+COUNTIF('Detalle individual'!$C$5:$C$1000,"&lt;"&amp;'Detalle individual'!C884)*10000+ROW(),""))</f>
        <v/>
      </c>
      <c r="AB884" t="str">
        <f>IF('Detalle individual'!C884="","",IF(COUNTIF('Detalle individual'!$C$5:C884,'Detalle individual'!C884)=1,COUNTIF('Detalle individual'!$C$5:$C$1000,"&lt;"&amp;'Detalle individual'!C884),""))</f>
        <v/>
      </c>
      <c r="AC884" t="str">
        <f>IF('Detalle individual'!D884="","",IF(COUNTIF('Detalle individual'!$D$5:D884,'Detalle individual'!D884)=1,COUNTIF('Detalle individual'!$D$5:$D$1000,"&lt;"&amp;'Detalle individual'!D884),""))</f>
        <v/>
      </c>
      <c r="AH884" t="str">
        <f>IF('Detalle individual'!F884="Pendiente",COUNTIF('Detalle individual'!$D$5:$D$1000,"&lt;"&amp;'Detalle individual'!D884)*1000000+COUNTIF('Detalle individual'!$C$5:$C$1000,"&lt;"&amp;'Detalle individual'!C884)*1000+COUNTIF('Detalle individual'!$B$5:$B$1000,"&lt;"&amp;'Detalle individual'!B884)+ROW()/10000,"")</f>
        <v/>
      </c>
      <c r="AI884" t="str">
        <f>IF('Detalle individual'!F884="Completado",COUNTIF('Detalle individual'!$D$5:$D$1000,"&lt;"&amp;'Detalle individual'!D884)*1000000+COUNTIF('Detalle individual'!$C$5:$C$1000,"&lt;"&amp;'Detalle individual'!C884)*1000+COUNTIF('Detalle individual'!$B$5:$B$1000,"&lt;"&amp;'Detalle individual'!B884)+ROW()/10000,"")</f>
        <v/>
      </c>
      <c r="AJ884" t="str">
        <f>IF(AND('Detalle individual'!F884&lt;&gt;"",'Detalle individual'!F884&lt;&gt;"Completado",'Detalle individual'!F884&lt;&gt;"Pendiente"),COUNTIF('Detalle individual'!$D$5:$D$1000,"&lt;"&amp;'Detalle individual'!D884)*1000000+COUNTIF('Detalle individual'!$C$5:$C$1000,"&lt;"&amp;'Detalle individual'!C884)*1000+COUNTIF('Detalle individual'!$B$5:$B$1000,"&lt;"&amp;'Detalle individual'!B884)+ROW()/10000,"")</f>
        <v/>
      </c>
      <c r="AK884" t="str">
        <f>IF(OR('Base Exámenes'!C884="",'Base Exámenes'!D884=""),"",IF(COUNTIF('Base Exámenes'!$C$5:C884,'Base Exámenes'!C884)=1,'Base Exámenes'!D884+ROW()/1000000000,""))</f>
        <v/>
      </c>
      <c r="AL884" t="str">
        <f>IF(OR('Base Exámenes'!C884="",'Base Exámenes'!E884=""),"",IF(COUNTIF('Base Exámenes'!$C$5:C884,'Base Exámenes'!C884)=1,'Base Exámenes'!E884+ROW()/1000000000,""))</f>
        <v/>
      </c>
      <c r="AM884" t="str">
        <f>IF(OR('Base Exámenes'!C884="",'Base Exámenes'!G884=""),"",IF(ROW()-4=MATCH('Base Exámenes'!C884&amp;"|"&amp;_xlfn.MAXIFS('Base Exámenes'!$G$5:$G$1000,'Base Exámenes'!$C$5:$C$1000,'Base Exámenes'!C884),'Base Exámenes'!$I$5:$I$1000,0),'Base Exámenes'!G884*1000000+(-1)*'Base Exámenes'!D884,""))</f>
        <v/>
      </c>
      <c r="AQ884" t="str">
        <f>IF('Base Exámenes'!C884="","",IF(COUNTIF('Base Exámenes'!$C$5:$C$1000,'Base Exámenes'!C884)&lt;2,"",MATCH('Base Exámenes'!C884,'Base Exámenes'!$C$5:$C$1000,0)*10000+ROW()))</f>
        <v/>
      </c>
    </row>
    <row r="885">
      <c r="Z885" t="str">
        <f>IF('Detalle individual'!A885="","",IF(AND(OR('Estado por Colaborador'!$D$4="Todas las gerencias",'Detalle individual'!D885='Estado por Colaborador'!$D$4),OR('Estado por Colaborador'!$D$5="Todos los departamentos",TRIM('Detalle individual'!C885)='Estado por Colaborador'!$D$5),OR('Estado por Colaborador'!$D$6="Todos",'Detalle individual'!F885='Estado por Colaborador'!$D$6)),IF('Detalle individual'!F885="Completado",30000000,IF('Detalle individual'!F885="Pendiente",0,15000000))+COUNTIF('Detalle individual'!$C$5:$C$1000,"&lt;"&amp;'Detalle individual'!C885)*10000+ROW(),""))</f>
        <v/>
      </c>
      <c r="AB885" t="str">
        <f>IF('Detalle individual'!C885="","",IF(COUNTIF('Detalle individual'!$C$5:C885,'Detalle individual'!C885)=1,COUNTIF('Detalle individual'!$C$5:$C$1000,"&lt;"&amp;'Detalle individual'!C885),""))</f>
        <v/>
      </c>
      <c r="AC885" t="str">
        <f>IF('Detalle individual'!D885="","",IF(COUNTIF('Detalle individual'!$D$5:D885,'Detalle individual'!D885)=1,COUNTIF('Detalle individual'!$D$5:$D$1000,"&lt;"&amp;'Detalle individual'!D885),""))</f>
        <v/>
      </c>
      <c r="AH885" t="str">
        <f>IF('Detalle individual'!F885="Pendiente",COUNTIF('Detalle individual'!$D$5:$D$1000,"&lt;"&amp;'Detalle individual'!D885)*1000000+COUNTIF('Detalle individual'!$C$5:$C$1000,"&lt;"&amp;'Detalle individual'!C885)*1000+COUNTIF('Detalle individual'!$B$5:$B$1000,"&lt;"&amp;'Detalle individual'!B885)+ROW()/10000,"")</f>
        <v/>
      </c>
      <c r="AI885" t="str">
        <f>IF('Detalle individual'!F885="Completado",COUNTIF('Detalle individual'!$D$5:$D$1000,"&lt;"&amp;'Detalle individual'!D885)*1000000+COUNTIF('Detalle individual'!$C$5:$C$1000,"&lt;"&amp;'Detalle individual'!C885)*1000+COUNTIF('Detalle individual'!$B$5:$B$1000,"&lt;"&amp;'Detalle individual'!B885)+ROW()/10000,"")</f>
        <v/>
      </c>
      <c r="AJ885" t="str">
        <f>IF(AND('Detalle individual'!F885&lt;&gt;"",'Detalle individual'!F885&lt;&gt;"Completado",'Detalle individual'!F885&lt;&gt;"Pendiente"),COUNTIF('Detalle individual'!$D$5:$D$1000,"&lt;"&amp;'Detalle individual'!D885)*1000000+COUNTIF('Detalle individual'!$C$5:$C$1000,"&lt;"&amp;'Detalle individual'!C885)*1000+COUNTIF('Detalle individual'!$B$5:$B$1000,"&lt;"&amp;'Detalle individual'!B885)+ROW()/10000,"")</f>
        <v/>
      </c>
      <c r="AK885" t="str">
        <f>IF(OR('Base Exámenes'!C885="",'Base Exámenes'!D885=""),"",IF(COUNTIF('Base Exámenes'!$C$5:C885,'Base Exámenes'!C885)=1,'Base Exámenes'!D885+ROW()/1000000000,""))</f>
        <v/>
      </c>
      <c r="AL885" t="str">
        <f>IF(OR('Base Exámenes'!C885="",'Base Exámenes'!E885=""),"",IF(COUNTIF('Base Exámenes'!$C$5:C885,'Base Exámenes'!C885)=1,'Base Exámenes'!E885+ROW()/1000000000,""))</f>
        <v/>
      </c>
      <c r="AM885" t="str">
        <f>IF(OR('Base Exámenes'!C885="",'Base Exámenes'!G885=""),"",IF(ROW()-4=MATCH('Base Exámenes'!C885&amp;"|"&amp;_xlfn.MAXIFS('Base Exámenes'!$G$5:$G$1000,'Base Exámenes'!$C$5:$C$1000,'Base Exámenes'!C885),'Base Exámenes'!$I$5:$I$1000,0),'Base Exámenes'!G885*1000000+(-1)*'Base Exámenes'!D885,""))</f>
        <v/>
      </c>
      <c r="AQ885" t="str">
        <f>IF('Base Exámenes'!C885="","",IF(COUNTIF('Base Exámenes'!$C$5:$C$1000,'Base Exámenes'!C885)&lt;2,"",MATCH('Base Exámenes'!C885,'Base Exámenes'!$C$5:$C$1000,0)*10000+ROW()))</f>
        <v/>
      </c>
    </row>
    <row r="886">
      <c r="Z886" t="str">
        <f>IF('Detalle individual'!A886="","",IF(AND(OR('Estado por Colaborador'!$D$4="Todas las gerencias",'Detalle individual'!D886='Estado por Colaborador'!$D$4),OR('Estado por Colaborador'!$D$5="Todos los departamentos",TRIM('Detalle individual'!C886)='Estado por Colaborador'!$D$5),OR('Estado por Colaborador'!$D$6="Todos",'Detalle individual'!F886='Estado por Colaborador'!$D$6)),IF('Detalle individual'!F886="Completado",30000000,IF('Detalle individual'!F886="Pendiente",0,15000000))+COUNTIF('Detalle individual'!$C$5:$C$1000,"&lt;"&amp;'Detalle individual'!C886)*10000+ROW(),""))</f>
        <v/>
      </c>
      <c r="AB886" t="str">
        <f>IF('Detalle individual'!C886="","",IF(COUNTIF('Detalle individual'!$C$5:C886,'Detalle individual'!C886)=1,COUNTIF('Detalle individual'!$C$5:$C$1000,"&lt;"&amp;'Detalle individual'!C886),""))</f>
        <v/>
      </c>
      <c r="AC886" t="str">
        <f>IF('Detalle individual'!D886="","",IF(COUNTIF('Detalle individual'!$D$5:D886,'Detalle individual'!D886)=1,COUNTIF('Detalle individual'!$D$5:$D$1000,"&lt;"&amp;'Detalle individual'!D886),""))</f>
        <v/>
      </c>
      <c r="AH886" t="str">
        <f>IF('Detalle individual'!F886="Pendiente",COUNTIF('Detalle individual'!$D$5:$D$1000,"&lt;"&amp;'Detalle individual'!D886)*1000000+COUNTIF('Detalle individual'!$C$5:$C$1000,"&lt;"&amp;'Detalle individual'!C886)*1000+COUNTIF('Detalle individual'!$B$5:$B$1000,"&lt;"&amp;'Detalle individual'!B886)+ROW()/10000,"")</f>
        <v/>
      </c>
      <c r="AI886" t="str">
        <f>IF('Detalle individual'!F886="Completado",COUNTIF('Detalle individual'!$D$5:$D$1000,"&lt;"&amp;'Detalle individual'!D886)*1000000+COUNTIF('Detalle individual'!$C$5:$C$1000,"&lt;"&amp;'Detalle individual'!C886)*1000+COUNTIF('Detalle individual'!$B$5:$B$1000,"&lt;"&amp;'Detalle individual'!B886)+ROW()/10000,"")</f>
        <v/>
      </c>
      <c r="AJ886" t="str">
        <f>IF(AND('Detalle individual'!F886&lt;&gt;"",'Detalle individual'!F886&lt;&gt;"Completado",'Detalle individual'!F886&lt;&gt;"Pendiente"),COUNTIF('Detalle individual'!$D$5:$D$1000,"&lt;"&amp;'Detalle individual'!D886)*1000000+COUNTIF('Detalle individual'!$C$5:$C$1000,"&lt;"&amp;'Detalle individual'!C886)*1000+COUNTIF('Detalle individual'!$B$5:$B$1000,"&lt;"&amp;'Detalle individual'!B886)+ROW()/10000,"")</f>
        <v/>
      </c>
      <c r="AK886" t="str">
        <f>IF(OR('Base Exámenes'!C886="",'Base Exámenes'!D886=""),"",IF(COUNTIF('Base Exámenes'!$C$5:C886,'Base Exámenes'!C886)=1,'Base Exámenes'!D886+ROW()/1000000000,""))</f>
        <v/>
      </c>
      <c r="AL886" t="str">
        <f>IF(OR('Base Exámenes'!C886="",'Base Exámenes'!E886=""),"",IF(COUNTIF('Base Exámenes'!$C$5:C886,'Base Exámenes'!C886)=1,'Base Exámenes'!E886+ROW()/1000000000,""))</f>
        <v/>
      </c>
      <c r="AM886" t="str">
        <f>IF(OR('Base Exámenes'!C886="",'Base Exámenes'!G886=""),"",IF(ROW()-4=MATCH('Base Exámenes'!C886&amp;"|"&amp;_xlfn.MAXIFS('Base Exámenes'!$G$5:$G$1000,'Base Exámenes'!$C$5:$C$1000,'Base Exámenes'!C886),'Base Exámenes'!$I$5:$I$1000,0),'Base Exámenes'!G886*1000000+(-1)*'Base Exámenes'!D886,""))</f>
        <v/>
      </c>
      <c r="AQ886" t="str">
        <f>IF('Base Exámenes'!C886="","",IF(COUNTIF('Base Exámenes'!$C$5:$C$1000,'Base Exámenes'!C886)&lt;2,"",MATCH('Base Exámenes'!C886,'Base Exámenes'!$C$5:$C$1000,0)*10000+ROW()))</f>
        <v/>
      </c>
    </row>
    <row r="887">
      <c r="Z887" t="str">
        <f>IF('Detalle individual'!A887="","",IF(AND(OR('Estado por Colaborador'!$D$4="Todas las gerencias",'Detalle individual'!D887='Estado por Colaborador'!$D$4),OR('Estado por Colaborador'!$D$5="Todos los departamentos",TRIM('Detalle individual'!C887)='Estado por Colaborador'!$D$5),OR('Estado por Colaborador'!$D$6="Todos",'Detalle individual'!F887='Estado por Colaborador'!$D$6)),IF('Detalle individual'!F887="Completado",30000000,IF('Detalle individual'!F887="Pendiente",0,15000000))+COUNTIF('Detalle individual'!$C$5:$C$1000,"&lt;"&amp;'Detalle individual'!C887)*10000+ROW(),""))</f>
        <v/>
      </c>
      <c r="AB887" t="str">
        <f>IF('Detalle individual'!C887="","",IF(COUNTIF('Detalle individual'!$C$5:C887,'Detalle individual'!C887)=1,COUNTIF('Detalle individual'!$C$5:$C$1000,"&lt;"&amp;'Detalle individual'!C887),""))</f>
        <v/>
      </c>
      <c r="AC887" t="str">
        <f>IF('Detalle individual'!D887="","",IF(COUNTIF('Detalle individual'!$D$5:D887,'Detalle individual'!D887)=1,COUNTIF('Detalle individual'!$D$5:$D$1000,"&lt;"&amp;'Detalle individual'!D887),""))</f>
        <v/>
      </c>
      <c r="AH887" t="str">
        <f>IF('Detalle individual'!F887="Pendiente",COUNTIF('Detalle individual'!$D$5:$D$1000,"&lt;"&amp;'Detalle individual'!D887)*1000000+COUNTIF('Detalle individual'!$C$5:$C$1000,"&lt;"&amp;'Detalle individual'!C887)*1000+COUNTIF('Detalle individual'!$B$5:$B$1000,"&lt;"&amp;'Detalle individual'!B887)+ROW()/10000,"")</f>
        <v/>
      </c>
      <c r="AI887" t="str">
        <f>IF('Detalle individual'!F887="Completado",COUNTIF('Detalle individual'!$D$5:$D$1000,"&lt;"&amp;'Detalle individual'!D887)*1000000+COUNTIF('Detalle individual'!$C$5:$C$1000,"&lt;"&amp;'Detalle individual'!C887)*1000+COUNTIF('Detalle individual'!$B$5:$B$1000,"&lt;"&amp;'Detalle individual'!B887)+ROW()/10000,"")</f>
        <v/>
      </c>
      <c r="AJ887" t="str">
        <f>IF(AND('Detalle individual'!F887&lt;&gt;"",'Detalle individual'!F887&lt;&gt;"Completado",'Detalle individual'!F887&lt;&gt;"Pendiente"),COUNTIF('Detalle individual'!$D$5:$D$1000,"&lt;"&amp;'Detalle individual'!D887)*1000000+COUNTIF('Detalle individual'!$C$5:$C$1000,"&lt;"&amp;'Detalle individual'!C887)*1000+COUNTIF('Detalle individual'!$B$5:$B$1000,"&lt;"&amp;'Detalle individual'!B887)+ROW()/10000,"")</f>
        <v/>
      </c>
      <c r="AK887" t="str">
        <f>IF(OR('Base Exámenes'!C887="",'Base Exámenes'!D887=""),"",IF(COUNTIF('Base Exámenes'!$C$5:C887,'Base Exámenes'!C887)=1,'Base Exámenes'!D887+ROW()/1000000000,""))</f>
        <v/>
      </c>
      <c r="AL887" t="str">
        <f>IF(OR('Base Exámenes'!C887="",'Base Exámenes'!E887=""),"",IF(COUNTIF('Base Exámenes'!$C$5:C887,'Base Exámenes'!C887)=1,'Base Exámenes'!E887+ROW()/1000000000,""))</f>
        <v/>
      </c>
      <c r="AM887" t="str">
        <f>IF(OR('Base Exámenes'!C887="",'Base Exámenes'!G887=""),"",IF(ROW()-4=MATCH('Base Exámenes'!C887&amp;"|"&amp;_xlfn.MAXIFS('Base Exámenes'!$G$5:$G$1000,'Base Exámenes'!$C$5:$C$1000,'Base Exámenes'!C887),'Base Exámenes'!$I$5:$I$1000,0),'Base Exámenes'!G887*1000000+(-1)*'Base Exámenes'!D887,""))</f>
        <v/>
      </c>
      <c r="AQ887" t="str">
        <f>IF('Base Exámenes'!C887="","",IF(COUNTIF('Base Exámenes'!$C$5:$C$1000,'Base Exámenes'!C887)&lt;2,"",MATCH('Base Exámenes'!C887,'Base Exámenes'!$C$5:$C$1000,0)*10000+ROW()))</f>
        <v/>
      </c>
    </row>
    <row r="888">
      <c r="Z888" t="str">
        <f>IF('Detalle individual'!A888="","",IF(AND(OR('Estado por Colaborador'!$D$4="Todas las gerencias",'Detalle individual'!D888='Estado por Colaborador'!$D$4),OR('Estado por Colaborador'!$D$5="Todos los departamentos",TRIM('Detalle individual'!C888)='Estado por Colaborador'!$D$5),OR('Estado por Colaborador'!$D$6="Todos",'Detalle individual'!F888='Estado por Colaborador'!$D$6)),IF('Detalle individual'!F888="Completado",30000000,IF('Detalle individual'!F888="Pendiente",0,15000000))+COUNTIF('Detalle individual'!$C$5:$C$1000,"&lt;"&amp;'Detalle individual'!C888)*10000+ROW(),""))</f>
        <v/>
      </c>
      <c r="AB888" t="str">
        <f>IF('Detalle individual'!C888="","",IF(COUNTIF('Detalle individual'!$C$5:C888,'Detalle individual'!C888)=1,COUNTIF('Detalle individual'!$C$5:$C$1000,"&lt;"&amp;'Detalle individual'!C888),""))</f>
        <v/>
      </c>
      <c r="AC888" t="str">
        <f>IF('Detalle individual'!D888="","",IF(COUNTIF('Detalle individual'!$D$5:D888,'Detalle individual'!D888)=1,COUNTIF('Detalle individual'!$D$5:$D$1000,"&lt;"&amp;'Detalle individual'!D888),""))</f>
        <v/>
      </c>
      <c r="AH888" t="str">
        <f>IF('Detalle individual'!F888="Pendiente",COUNTIF('Detalle individual'!$D$5:$D$1000,"&lt;"&amp;'Detalle individual'!D888)*1000000+COUNTIF('Detalle individual'!$C$5:$C$1000,"&lt;"&amp;'Detalle individual'!C888)*1000+COUNTIF('Detalle individual'!$B$5:$B$1000,"&lt;"&amp;'Detalle individual'!B888)+ROW()/10000,"")</f>
        <v/>
      </c>
      <c r="AI888" t="str">
        <f>IF('Detalle individual'!F888="Completado",COUNTIF('Detalle individual'!$D$5:$D$1000,"&lt;"&amp;'Detalle individual'!D888)*1000000+COUNTIF('Detalle individual'!$C$5:$C$1000,"&lt;"&amp;'Detalle individual'!C888)*1000+COUNTIF('Detalle individual'!$B$5:$B$1000,"&lt;"&amp;'Detalle individual'!B888)+ROW()/10000,"")</f>
        <v/>
      </c>
      <c r="AJ888" t="str">
        <f>IF(AND('Detalle individual'!F888&lt;&gt;"",'Detalle individual'!F888&lt;&gt;"Completado",'Detalle individual'!F888&lt;&gt;"Pendiente"),COUNTIF('Detalle individual'!$D$5:$D$1000,"&lt;"&amp;'Detalle individual'!D888)*1000000+COUNTIF('Detalle individual'!$C$5:$C$1000,"&lt;"&amp;'Detalle individual'!C888)*1000+COUNTIF('Detalle individual'!$B$5:$B$1000,"&lt;"&amp;'Detalle individual'!B888)+ROW()/10000,"")</f>
        <v/>
      </c>
      <c r="AK888" t="str">
        <f>IF(OR('Base Exámenes'!C888="",'Base Exámenes'!D888=""),"",IF(COUNTIF('Base Exámenes'!$C$5:C888,'Base Exámenes'!C888)=1,'Base Exámenes'!D888+ROW()/1000000000,""))</f>
        <v/>
      </c>
      <c r="AL888" t="str">
        <f>IF(OR('Base Exámenes'!C888="",'Base Exámenes'!E888=""),"",IF(COUNTIF('Base Exámenes'!$C$5:C888,'Base Exámenes'!C888)=1,'Base Exámenes'!E888+ROW()/1000000000,""))</f>
        <v/>
      </c>
      <c r="AM888" t="str">
        <f>IF(OR('Base Exámenes'!C888="",'Base Exámenes'!G888=""),"",IF(ROW()-4=MATCH('Base Exámenes'!C888&amp;"|"&amp;_xlfn.MAXIFS('Base Exámenes'!$G$5:$G$1000,'Base Exámenes'!$C$5:$C$1000,'Base Exámenes'!C888),'Base Exámenes'!$I$5:$I$1000,0),'Base Exámenes'!G888*1000000+(-1)*'Base Exámenes'!D888,""))</f>
        <v/>
      </c>
      <c r="AQ888" t="str">
        <f>IF('Base Exámenes'!C888="","",IF(COUNTIF('Base Exámenes'!$C$5:$C$1000,'Base Exámenes'!C888)&lt;2,"",MATCH('Base Exámenes'!C888,'Base Exámenes'!$C$5:$C$1000,0)*10000+ROW()))</f>
        <v/>
      </c>
    </row>
    <row r="889">
      <c r="Z889" t="str">
        <f>IF('Detalle individual'!A889="","",IF(AND(OR('Estado por Colaborador'!$D$4="Todas las gerencias",'Detalle individual'!D889='Estado por Colaborador'!$D$4),OR('Estado por Colaborador'!$D$5="Todos los departamentos",TRIM('Detalle individual'!C889)='Estado por Colaborador'!$D$5),OR('Estado por Colaborador'!$D$6="Todos",'Detalle individual'!F889='Estado por Colaborador'!$D$6)),IF('Detalle individual'!F889="Completado",30000000,IF('Detalle individual'!F889="Pendiente",0,15000000))+COUNTIF('Detalle individual'!$C$5:$C$1000,"&lt;"&amp;'Detalle individual'!C889)*10000+ROW(),""))</f>
        <v/>
      </c>
      <c r="AB889" t="str">
        <f>IF('Detalle individual'!C889="","",IF(COUNTIF('Detalle individual'!$C$5:C889,'Detalle individual'!C889)=1,COUNTIF('Detalle individual'!$C$5:$C$1000,"&lt;"&amp;'Detalle individual'!C889),""))</f>
        <v/>
      </c>
      <c r="AC889" t="str">
        <f>IF('Detalle individual'!D889="","",IF(COUNTIF('Detalle individual'!$D$5:D889,'Detalle individual'!D889)=1,COUNTIF('Detalle individual'!$D$5:$D$1000,"&lt;"&amp;'Detalle individual'!D889),""))</f>
        <v/>
      </c>
      <c r="AH889" t="str">
        <f>IF('Detalle individual'!F889="Pendiente",COUNTIF('Detalle individual'!$D$5:$D$1000,"&lt;"&amp;'Detalle individual'!D889)*1000000+COUNTIF('Detalle individual'!$C$5:$C$1000,"&lt;"&amp;'Detalle individual'!C889)*1000+COUNTIF('Detalle individual'!$B$5:$B$1000,"&lt;"&amp;'Detalle individual'!B889)+ROW()/10000,"")</f>
        <v/>
      </c>
      <c r="AI889" t="str">
        <f>IF('Detalle individual'!F889="Completado",COUNTIF('Detalle individual'!$D$5:$D$1000,"&lt;"&amp;'Detalle individual'!D889)*1000000+COUNTIF('Detalle individual'!$C$5:$C$1000,"&lt;"&amp;'Detalle individual'!C889)*1000+COUNTIF('Detalle individual'!$B$5:$B$1000,"&lt;"&amp;'Detalle individual'!B889)+ROW()/10000,"")</f>
        <v/>
      </c>
      <c r="AJ889" t="str">
        <f>IF(AND('Detalle individual'!F889&lt;&gt;"",'Detalle individual'!F889&lt;&gt;"Completado",'Detalle individual'!F889&lt;&gt;"Pendiente"),COUNTIF('Detalle individual'!$D$5:$D$1000,"&lt;"&amp;'Detalle individual'!D889)*1000000+COUNTIF('Detalle individual'!$C$5:$C$1000,"&lt;"&amp;'Detalle individual'!C889)*1000+COUNTIF('Detalle individual'!$B$5:$B$1000,"&lt;"&amp;'Detalle individual'!B889)+ROW()/10000,"")</f>
        <v/>
      </c>
      <c r="AK889" t="str">
        <f>IF(OR('Base Exámenes'!C889="",'Base Exámenes'!D889=""),"",IF(COUNTIF('Base Exámenes'!$C$5:C889,'Base Exámenes'!C889)=1,'Base Exámenes'!D889+ROW()/1000000000,""))</f>
        <v/>
      </c>
      <c r="AL889" t="str">
        <f>IF(OR('Base Exámenes'!C889="",'Base Exámenes'!E889=""),"",IF(COUNTIF('Base Exámenes'!$C$5:C889,'Base Exámenes'!C889)=1,'Base Exámenes'!E889+ROW()/1000000000,""))</f>
        <v/>
      </c>
      <c r="AM889" t="str">
        <f>IF(OR('Base Exámenes'!C889="",'Base Exámenes'!G889=""),"",IF(ROW()-4=MATCH('Base Exámenes'!C889&amp;"|"&amp;_xlfn.MAXIFS('Base Exámenes'!$G$5:$G$1000,'Base Exámenes'!$C$5:$C$1000,'Base Exámenes'!C889),'Base Exámenes'!$I$5:$I$1000,0),'Base Exámenes'!G889*1000000+(-1)*'Base Exámenes'!D889,""))</f>
        <v/>
      </c>
      <c r="AQ889" t="str">
        <f>IF('Base Exámenes'!C889="","",IF(COUNTIF('Base Exámenes'!$C$5:$C$1000,'Base Exámenes'!C889)&lt;2,"",MATCH('Base Exámenes'!C889,'Base Exámenes'!$C$5:$C$1000,0)*10000+ROW()))</f>
        <v/>
      </c>
    </row>
    <row r="890">
      <c r="Z890" t="str">
        <f>IF('Detalle individual'!A890="","",IF(AND(OR('Estado por Colaborador'!$D$4="Todas las gerencias",'Detalle individual'!D890='Estado por Colaborador'!$D$4),OR('Estado por Colaborador'!$D$5="Todos los departamentos",TRIM('Detalle individual'!C890)='Estado por Colaborador'!$D$5),OR('Estado por Colaborador'!$D$6="Todos",'Detalle individual'!F890='Estado por Colaborador'!$D$6)),IF('Detalle individual'!F890="Completado",30000000,IF('Detalle individual'!F890="Pendiente",0,15000000))+COUNTIF('Detalle individual'!$C$5:$C$1000,"&lt;"&amp;'Detalle individual'!C890)*10000+ROW(),""))</f>
        <v/>
      </c>
      <c r="AB890" t="str">
        <f>IF('Detalle individual'!C890="","",IF(COUNTIF('Detalle individual'!$C$5:C890,'Detalle individual'!C890)=1,COUNTIF('Detalle individual'!$C$5:$C$1000,"&lt;"&amp;'Detalle individual'!C890),""))</f>
        <v/>
      </c>
      <c r="AC890" t="str">
        <f>IF('Detalle individual'!D890="","",IF(COUNTIF('Detalle individual'!$D$5:D890,'Detalle individual'!D890)=1,COUNTIF('Detalle individual'!$D$5:$D$1000,"&lt;"&amp;'Detalle individual'!D890),""))</f>
        <v/>
      </c>
      <c r="AH890" t="str">
        <f>IF('Detalle individual'!F890="Pendiente",COUNTIF('Detalle individual'!$D$5:$D$1000,"&lt;"&amp;'Detalle individual'!D890)*1000000+COUNTIF('Detalle individual'!$C$5:$C$1000,"&lt;"&amp;'Detalle individual'!C890)*1000+COUNTIF('Detalle individual'!$B$5:$B$1000,"&lt;"&amp;'Detalle individual'!B890)+ROW()/10000,"")</f>
        <v/>
      </c>
      <c r="AI890" t="str">
        <f>IF('Detalle individual'!F890="Completado",COUNTIF('Detalle individual'!$D$5:$D$1000,"&lt;"&amp;'Detalle individual'!D890)*1000000+COUNTIF('Detalle individual'!$C$5:$C$1000,"&lt;"&amp;'Detalle individual'!C890)*1000+COUNTIF('Detalle individual'!$B$5:$B$1000,"&lt;"&amp;'Detalle individual'!B890)+ROW()/10000,"")</f>
        <v/>
      </c>
      <c r="AJ890" t="str">
        <f>IF(AND('Detalle individual'!F890&lt;&gt;"",'Detalle individual'!F890&lt;&gt;"Completado",'Detalle individual'!F890&lt;&gt;"Pendiente"),COUNTIF('Detalle individual'!$D$5:$D$1000,"&lt;"&amp;'Detalle individual'!D890)*1000000+COUNTIF('Detalle individual'!$C$5:$C$1000,"&lt;"&amp;'Detalle individual'!C890)*1000+COUNTIF('Detalle individual'!$B$5:$B$1000,"&lt;"&amp;'Detalle individual'!B890)+ROW()/10000,"")</f>
        <v/>
      </c>
      <c r="AK890" t="str">
        <f>IF(OR('Base Exámenes'!C890="",'Base Exámenes'!D890=""),"",IF(COUNTIF('Base Exámenes'!$C$5:C890,'Base Exámenes'!C890)=1,'Base Exámenes'!D890+ROW()/1000000000,""))</f>
        <v/>
      </c>
      <c r="AL890" t="str">
        <f>IF(OR('Base Exámenes'!C890="",'Base Exámenes'!E890=""),"",IF(COUNTIF('Base Exámenes'!$C$5:C890,'Base Exámenes'!C890)=1,'Base Exámenes'!E890+ROW()/1000000000,""))</f>
        <v/>
      </c>
      <c r="AM890" t="str">
        <f>IF(OR('Base Exámenes'!C890="",'Base Exámenes'!G890=""),"",IF(ROW()-4=MATCH('Base Exámenes'!C890&amp;"|"&amp;_xlfn.MAXIFS('Base Exámenes'!$G$5:$G$1000,'Base Exámenes'!$C$5:$C$1000,'Base Exámenes'!C890),'Base Exámenes'!$I$5:$I$1000,0),'Base Exámenes'!G890*1000000+(-1)*'Base Exámenes'!D890,""))</f>
        <v/>
      </c>
      <c r="AQ890" t="str">
        <f>IF('Base Exámenes'!C890="","",IF(COUNTIF('Base Exámenes'!$C$5:$C$1000,'Base Exámenes'!C890)&lt;2,"",MATCH('Base Exámenes'!C890,'Base Exámenes'!$C$5:$C$1000,0)*10000+ROW()))</f>
        <v/>
      </c>
    </row>
    <row r="891">
      <c r="Z891" t="str">
        <f>IF('Detalle individual'!A891="","",IF(AND(OR('Estado por Colaborador'!$D$4="Todas las gerencias",'Detalle individual'!D891='Estado por Colaborador'!$D$4),OR('Estado por Colaborador'!$D$5="Todos los departamentos",TRIM('Detalle individual'!C891)='Estado por Colaborador'!$D$5),OR('Estado por Colaborador'!$D$6="Todos",'Detalle individual'!F891='Estado por Colaborador'!$D$6)),IF('Detalle individual'!F891="Completado",30000000,IF('Detalle individual'!F891="Pendiente",0,15000000))+COUNTIF('Detalle individual'!$C$5:$C$1000,"&lt;"&amp;'Detalle individual'!C891)*10000+ROW(),""))</f>
        <v/>
      </c>
      <c r="AB891" t="str">
        <f>IF('Detalle individual'!C891="","",IF(COUNTIF('Detalle individual'!$C$5:C891,'Detalle individual'!C891)=1,COUNTIF('Detalle individual'!$C$5:$C$1000,"&lt;"&amp;'Detalle individual'!C891),""))</f>
        <v/>
      </c>
      <c r="AC891" t="str">
        <f>IF('Detalle individual'!D891="","",IF(COUNTIF('Detalle individual'!$D$5:D891,'Detalle individual'!D891)=1,COUNTIF('Detalle individual'!$D$5:$D$1000,"&lt;"&amp;'Detalle individual'!D891),""))</f>
        <v/>
      </c>
      <c r="AH891" t="str">
        <f>IF('Detalle individual'!F891="Pendiente",COUNTIF('Detalle individual'!$D$5:$D$1000,"&lt;"&amp;'Detalle individual'!D891)*1000000+COUNTIF('Detalle individual'!$C$5:$C$1000,"&lt;"&amp;'Detalle individual'!C891)*1000+COUNTIF('Detalle individual'!$B$5:$B$1000,"&lt;"&amp;'Detalle individual'!B891)+ROW()/10000,"")</f>
        <v/>
      </c>
      <c r="AI891" t="str">
        <f>IF('Detalle individual'!F891="Completado",COUNTIF('Detalle individual'!$D$5:$D$1000,"&lt;"&amp;'Detalle individual'!D891)*1000000+COUNTIF('Detalle individual'!$C$5:$C$1000,"&lt;"&amp;'Detalle individual'!C891)*1000+COUNTIF('Detalle individual'!$B$5:$B$1000,"&lt;"&amp;'Detalle individual'!B891)+ROW()/10000,"")</f>
        <v/>
      </c>
      <c r="AJ891" t="str">
        <f>IF(AND('Detalle individual'!F891&lt;&gt;"",'Detalle individual'!F891&lt;&gt;"Completado",'Detalle individual'!F891&lt;&gt;"Pendiente"),COUNTIF('Detalle individual'!$D$5:$D$1000,"&lt;"&amp;'Detalle individual'!D891)*1000000+COUNTIF('Detalle individual'!$C$5:$C$1000,"&lt;"&amp;'Detalle individual'!C891)*1000+COUNTIF('Detalle individual'!$B$5:$B$1000,"&lt;"&amp;'Detalle individual'!B891)+ROW()/10000,"")</f>
        <v/>
      </c>
      <c r="AK891" t="str">
        <f>IF(OR('Base Exámenes'!C891="",'Base Exámenes'!D891=""),"",IF(COUNTIF('Base Exámenes'!$C$5:C891,'Base Exámenes'!C891)=1,'Base Exámenes'!D891+ROW()/1000000000,""))</f>
        <v/>
      </c>
      <c r="AL891" t="str">
        <f>IF(OR('Base Exámenes'!C891="",'Base Exámenes'!E891=""),"",IF(COUNTIF('Base Exámenes'!$C$5:C891,'Base Exámenes'!C891)=1,'Base Exámenes'!E891+ROW()/1000000000,""))</f>
        <v/>
      </c>
      <c r="AM891" t="str">
        <f>IF(OR('Base Exámenes'!C891="",'Base Exámenes'!G891=""),"",IF(ROW()-4=MATCH('Base Exámenes'!C891&amp;"|"&amp;_xlfn.MAXIFS('Base Exámenes'!$G$5:$G$1000,'Base Exámenes'!$C$5:$C$1000,'Base Exámenes'!C891),'Base Exámenes'!$I$5:$I$1000,0),'Base Exámenes'!G891*1000000+(-1)*'Base Exámenes'!D891,""))</f>
        <v/>
      </c>
      <c r="AQ891" t="str">
        <f>IF('Base Exámenes'!C891="","",IF(COUNTIF('Base Exámenes'!$C$5:$C$1000,'Base Exámenes'!C891)&lt;2,"",MATCH('Base Exámenes'!C891,'Base Exámenes'!$C$5:$C$1000,0)*10000+ROW()))</f>
        <v/>
      </c>
    </row>
    <row r="892">
      <c r="Z892" t="str">
        <f>IF('Detalle individual'!A892="","",IF(AND(OR('Estado por Colaborador'!$D$4="Todas las gerencias",'Detalle individual'!D892='Estado por Colaborador'!$D$4),OR('Estado por Colaborador'!$D$5="Todos los departamentos",TRIM('Detalle individual'!C892)='Estado por Colaborador'!$D$5),OR('Estado por Colaborador'!$D$6="Todos",'Detalle individual'!F892='Estado por Colaborador'!$D$6)),IF('Detalle individual'!F892="Completado",30000000,IF('Detalle individual'!F892="Pendiente",0,15000000))+COUNTIF('Detalle individual'!$C$5:$C$1000,"&lt;"&amp;'Detalle individual'!C892)*10000+ROW(),""))</f>
        <v/>
      </c>
      <c r="AB892" t="str">
        <f>IF('Detalle individual'!C892="","",IF(COUNTIF('Detalle individual'!$C$5:C892,'Detalle individual'!C892)=1,COUNTIF('Detalle individual'!$C$5:$C$1000,"&lt;"&amp;'Detalle individual'!C892),""))</f>
        <v/>
      </c>
      <c r="AC892" t="str">
        <f>IF('Detalle individual'!D892="","",IF(COUNTIF('Detalle individual'!$D$5:D892,'Detalle individual'!D892)=1,COUNTIF('Detalle individual'!$D$5:$D$1000,"&lt;"&amp;'Detalle individual'!D892),""))</f>
        <v/>
      </c>
      <c r="AH892" t="str">
        <f>IF('Detalle individual'!F892="Pendiente",COUNTIF('Detalle individual'!$D$5:$D$1000,"&lt;"&amp;'Detalle individual'!D892)*1000000+COUNTIF('Detalle individual'!$C$5:$C$1000,"&lt;"&amp;'Detalle individual'!C892)*1000+COUNTIF('Detalle individual'!$B$5:$B$1000,"&lt;"&amp;'Detalle individual'!B892)+ROW()/10000,"")</f>
        <v/>
      </c>
      <c r="AI892" t="str">
        <f>IF('Detalle individual'!F892="Completado",COUNTIF('Detalle individual'!$D$5:$D$1000,"&lt;"&amp;'Detalle individual'!D892)*1000000+COUNTIF('Detalle individual'!$C$5:$C$1000,"&lt;"&amp;'Detalle individual'!C892)*1000+COUNTIF('Detalle individual'!$B$5:$B$1000,"&lt;"&amp;'Detalle individual'!B892)+ROW()/10000,"")</f>
        <v/>
      </c>
      <c r="AJ892" t="str">
        <f>IF(AND('Detalle individual'!F892&lt;&gt;"",'Detalle individual'!F892&lt;&gt;"Completado",'Detalle individual'!F892&lt;&gt;"Pendiente"),COUNTIF('Detalle individual'!$D$5:$D$1000,"&lt;"&amp;'Detalle individual'!D892)*1000000+COUNTIF('Detalle individual'!$C$5:$C$1000,"&lt;"&amp;'Detalle individual'!C892)*1000+COUNTIF('Detalle individual'!$B$5:$B$1000,"&lt;"&amp;'Detalle individual'!B892)+ROW()/10000,"")</f>
        <v/>
      </c>
      <c r="AK892" t="str">
        <f>IF(OR('Base Exámenes'!C892="",'Base Exámenes'!D892=""),"",IF(COUNTIF('Base Exámenes'!$C$5:C892,'Base Exámenes'!C892)=1,'Base Exámenes'!D892+ROW()/1000000000,""))</f>
        <v/>
      </c>
      <c r="AL892" t="str">
        <f>IF(OR('Base Exámenes'!C892="",'Base Exámenes'!E892=""),"",IF(COUNTIF('Base Exámenes'!$C$5:C892,'Base Exámenes'!C892)=1,'Base Exámenes'!E892+ROW()/1000000000,""))</f>
        <v/>
      </c>
      <c r="AM892" t="str">
        <f>IF(OR('Base Exámenes'!C892="",'Base Exámenes'!G892=""),"",IF(ROW()-4=MATCH('Base Exámenes'!C892&amp;"|"&amp;_xlfn.MAXIFS('Base Exámenes'!$G$5:$G$1000,'Base Exámenes'!$C$5:$C$1000,'Base Exámenes'!C892),'Base Exámenes'!$I$5:$I$1000,0),'Base Exámenes'!G892*1000000+(-1)*'Base Exámenes'!D892,""))</f>
        <v/>
      </c>
      <c r="AQ892" t="str">
        <f>IF('Base Exámenes'!C892="","",IF(COUNTIF('Base Exámenes'!$C$5:$C$1000,'Base Exámenes'!C892)&lt;2,"",MATCH('Base Exámenes'!C892,'Base Exámenes'!$C$5:$C$1000,0)*10000+ROW()))</f>
        <v/>
      </c>
    </row>
    <row r="893">
      <c r="Z893" t="str">
        <f>IF('Detalle individual'!A893="","",IF(AND(OR('Estado por Colaborador'!$D$4="Todas las gerencias",'Detalle individual'!D893='Estado por Colaborador'!$D$4),OR('Estado por Colaborador'!$D$5="Todos los departamentos",TRIM('Detalle individual'!C893)='Estado por Colaborador'!$D$5),OR('Estado por Colaborador'!$D$6="Todos",'Detalle individual'!F893='Estado por Colaborador'!$D$6)),IF('Detalle individual'!F893="Completado",30000000,IF('Detalle individual'!F893="Pendiente",0,15000000))+COUNTIF('Detalle individual'!$C$5:$C$1000,"&lt;"&amp;'Detalle individual'!C893)*10000+ROW(),""))</f>
        <v/>
      </c>
      <c r="AB893" t="str">
        <f>IF('Detalle individual'!C893="","",IF(COUNTIF('Detalle individual'!$C$5:C893,'Detalle individual'!C893)=1,COUNTIF('Detalle individual'!$C$5:$C$1000,"&lt;"&amp;'Detalle individual'!C893),""))</f>
        <v/>
      </c>
      <c r="AC893" t="str">
        <f>IF('Detalle individual'!D893="","",IF(COUNTIF('Detalle individual'!$D$5:D893,'Detalle individual'!D893)=1,COUNTIF('Detalle individual'!$D$5:$D$1000,"&lt;"&amp;'Detalle individual'!D893),""))</f>
        <v/>
      </c>
      <c r="AH893" t="str">
        <f>IF('Detalle individual'!F893="Pendiente",COUNTIF('Detalle individual'!$D$5:$D$1000,"&lt;"&amp;'Detalle individual'!D893)*1000000+COUNTIF('Detalle individual'!$C$5:$C$1000,"&lt;"&amp;'Detalle individual'!C893)*1000+COUNTIF('Detalle individual'!$B$5:$B$1000,"&lt;"&amp;'Detalle individual'!B893)+ROW()/10000,"")</f>
        <v/>
      </c>
      <c r="AI893" t="str">
        <f>IF('Detalle individual'!F893="Completado",COUNTIF('Detalle individual'!$D$5:$D$1000,"&lt;"&amp;'Detalle individual'!D893)*1000000+COUNTIF('Detalle individual'!$C$5:$C$1000,"&lt;"&amp;'Detalle individual'!C893)*1000+COUNTIF('Detalle individual'!$B$5:$B$1000,"&lt;"&amp;'Detalle individual'!B893)+ROW()/10000,"")</f>
        <v/>
      </c>
      <c r="AJ893" t="str">
        <f>IF(AND('Detalle individual'!F893&lt;&gt;"",'Detalle individual'!F893&lt;&gt;"Completado",'Detalle individual'!F893&lt;&gt;"Pendiente"),COUNTIF('Detalle individual'!$D$5:$D$1000,"&lt;"&amp;'Detalle individual'!D893)*1000000+COUNTIF('Detalle individual'!$C$5:$C$1000,"&lt;"&amp;'Detalle individual'!C893)*1000+COUNTIF('Detalle individual'!$B$5:$B$1000,"&lt;"&amp;'Detalle individual'!B893)+ROW()/10000,"")</f>
        <v/>
      </c>
      <c r="AK893" t="str">
        <f>IF(OR('Base Exámenes'!C893="",'Base Exámenes'!D893=""),"",IF(COUNTIF('Base Exámenes'!$C$5:C893,'Base Exámenes'!C893)=1,'Base Exámenes'!D893+ROW()/1000000000,""))</f>
        <v/>
      </c>
      <c r="AL893" t="str">
        <f>IF(OR('Base Exámenes'!C893="",'Base Exámenes'!E893=""),"",IF(COUNTIF('Base Exámenes'!$C$5:C893,'Base Exámenes'!C893)=1,'Base Exámenes'!E893+ROW()/1000000000,""))</f>
        <v/>
      </c>
      <c r="AM893" t="str">
        <f>IF(OR('Base Exámenes'!C893="",'Base Exámenes'!G893=""),"",IF(ROW()-4=MATCH('Base Exámenes'!C893&amp;"|"&amp;_xlfn.MAXIFS('Base Exámenes'!$G$5:$G$1000,'Base Exámenes'!$C$5:$C$1000,'Base Exámenes'!C893),'Base Exámenes'!$I$5:$I$1000,0),'Base Exámenes'!G893*1000000+(-1)*'Base Exámenes'!D893,""))</f>
        <v/>
      </c>
      <c r="AQ893" t="str">
        <f>IF('Base Exámenes'!C893="","",IF(COUNTIF('Base Exámenes'!$C$5:$C$1000,'Base Exámenes'!C893)&lt;2,"",MATCH('Base Exámenes'!C893,'Base Exámenes'!$C$5:$C$1000,0)*10000+ROW()))</f>
        <v/>
      </c>
    </row>
    <row r="894">
      <c r="Z894" t="str">
        <f>IF('Detalle individual'!A894="","",IF(AND(OR('Estado por Colaborador'!$D$4="Todas las gerencias",'Detalle individual'!D894='Estado por Colaborador'!$D$4),OR('Estado por Colaborador'!$D$5="Todos los departamentos",TRIM('Detalle individual'!C894)='Estado por Colaborador'!$D$5),OR('Estado por Colaborador'!$D$6="Todos",'Detalle individual'!F894='Estado por Colaborador'!$D$6)),IF('Detalle individual'!F894="Completado",30000000,IF('Detalle individual'!F894="Pendiente",0,15000000))+COUNTIF('Detalle individual'!$C$5:$C$1000,"&lt;"&amp;'Detalle individual'!C894)*10000+ROW(),""))</f>
        <v/>
      </c>
      <c r="AB894" t="str">
        <f>IF('Detalle individual'!C894="","",IF(COUNTIF('Detalle individual'!$C$5:C894,'Detalle individual'!C894)=1,COUNTIF('Detalle individual'!$C$5:$C$1000,"&lt;"&amp;'Detalle individual'!C894),""))</f>
        <v/>
      </c>
      <c r="AC894" t="str">
        <f>IF('Detalle individual'!D894="","",IF(COUNTIF('Detalle individual'!$D$5:D894,'Detalle individual'!D894)=1,COUNTIF('Detalle individual'!$D$5:$D$1000,"&lt;"&amp;'Detalle individual'!D894),""))</f>
        <v/>
      </c>
      <c r="AH894" t="str">
        <f>IF('Detalle individual'!F894="Pendiente",COUNTIF('Detalle individual'!$D$5:$D$1000,"&lt;"&amp;'Detalle individual'!D894)*1000000+COUNTIF('Detalle individual'!$C$5:$C$1000,"&lt;"&amp;'Detalle individual'!C894)*1000+COUNTIF('Detalle individual'!$B$5:$B$1000,"&lt;"&amp;'Detalle individual'!B894)+ROW()/10000,"")</f>
        <v/>
      </c>
      <c r="AI894" t="str">
        <f>IF('Detalle individual'!F894="Completado",COUNTIF('Detalle individual'!$D$5:$D$1000,"&lt;"&amp;'Detalle individual'!D894)*1000000+COUNTIF('Detalle individual'!$C$5:$C$1000,"&lt;"&amp;'Detalle individual'!C894)*1000+COUNTIF('Detalle individual'!$B$5:$B$1000,"&lt;"&amp;'Detalle individual'!B894)+ROW()/10000,"")</f>
        <v/>
      </c>
      <c r="AJ894" t="str">
        <f>IF(AND('Detalle individual'!F894&lt;&gt;"",'Detalle individual'!F894&lt;&gt;"Completado",'Detalle individual'!F894&lt;&gt;"Pendiente"),COUNTIF('Detalle individual'!$D$5:$D$1000,"&lt;"&amp;'Detalle individual'!D894)*1000000+COUNTIF('Detalle individual'!$C$5:$C$1000,"&lt;"&amp;'Detalle individual'!C894)*1000+COUNTIF('Detalle individual'!$B$5:$B$1000,"&lt;"&amp;'Detalle individual'!B894)+ROW()/10000,"")</f>
        <v/>
      </c>
      <c r="AK894" t="str">
        <f>IF(OR('Base Exámenes'!C894="",'Base Exámenes'!D894=""),"",IF(COUNTIF('Base Exámenes'!$C$5:C894,'Base Exámenes'!C894)=1,'Base Exámenes'!D894+ROW()/1000000000,""))</f>
        <v/>
      </c>
      <c r="AL894" t="str">
        <f>IF(OR('Base Exámenes'!C894="",'Base Exámenes'!E894=""),"",IF(COUNTIF('Base Exámenes'!$C$5:C894,'Base Exámenes'!C894)=1,'Base Exámenes'!E894+ROW()/1000000000,""))</f>
        <v/>
      </c>
      <c r="AM894" t="str">
        <f>IF(OR('Base Exámenes'!C894="",'Base Exámenes'!G894=""),"",IF(ROW()-4=MATCH('Base Exámenes'!C894&amp;"|"&amp;_xlfn.MAXIFS('Base Exámenes'!$G$5:$G$1000,'Base Exámenes'!$C$5:$C$1000,'Base Exámenes'!C894),'Base Exámenes'!$I$5:$I$1000,0),'Base Exámenes'!G894*1000000+(-1)*'Base Exámenes'!D894,""))</f>
        <v/>
      </c>
      <c r="AQ894" t="str">
        <f>IF('Base Exámenes'!C894="","",IF(COUNTIF('Base Exámenes'!$C$5:$C$1000,'Base Exámenes'!C894)&lt;2,"",MATCH('Base Exámenes'!C894,'Base Exámenes'!$C$5:$C$1000,0)*10000+ROW()))</f>
        <v/>
      </c>
    </row>
    <row r="895">
      <c r="Z895" t="str">
        <f>IF('Detalle individual'!A895="","",IF(AND(OR('Estado por Colaborador'!$D$4="Todas las gerencias",'Detalle individual'!D895='Estado por Colaborador'!$D$4),OR('Estado por Colaborador'!$D$5="Todos los departamentos",TRIM('Detalle individual'!C895)='Estado por Colaborador'!$D$5),OR('Estado por Colaborador'!$D$6="Todos",'Detalle individual'!F895='Estado por Colaborador'!$D$6)),IF('Detalle individual'!F895="Completado",30000000,IF('Detalle individual'!F895="Pendiente",0,15000000))+COUNTIF('Detalle individual'!$C$5:$C$1000,"&lt;"&amp;'Detalle individual'!C895)*10000+ROW(),""))</f>
        <v/>
      </c>
      <c r="AB895" t="str">
        <f>IF('Detalle individual'!C895="","",IF(COUNTIF('Detalle individual'!$C$5:C895,'Detalle individual'!C895)=1,COUNTIF('Detalle individual'!$C$5:$C$1000,"&lt;"&amp;'Detalle individual'!C895),""))</f>
        <v/>
      </c>
      <c r="AC895" t="str">
        <f>IF('Detalle individual'!D895="","",IF(COUNTIF('Detalle individual'!$D$5:D895,'Detalle individual'!D895)=1,COUNTIF('Detalle individual'!$D$5:$D$1000,"&lt;"&amp;'Detalle individual'!D895),""))</f>
        <v/>
      </c>
      <c r="AH895" t="str">
        <f>IF('Detalle individual'!F895="Pendiente",COUNTIF('Detalle individual'!$D$5:$D$1000,"&lt;"&amp;'Detalle individual'!D895)*1000000+COUNTIF('Detalle individual'!$C$5:$C$1000,"&lt;"&amp;'Detalle individual'!C895)*1000+COUNTIF('Detalle individual'!$B$5:$B$1000,"&lt;"&amp;'Detalle individual'!B895)+ROW()/10000,"")</f>
        <v/>
      </c>
      <c r="AI895" t="str">
        <f>IF('Detalle individual'!F895="Completado",COUNTIF('Detalle individual'!$D$5:$D$1000,"&lt;"&amp;'Detalle individual'!D895)*1000000+COUNTIF('Detalle individual'!$C$5:$C$1000,"&lt;"&amp;'Detalle individual'!C895)*1000+COUNTIF('Detalle individual'!$B$5:$B$1000,"&lt;"&amp;'Detalle individual'!B895)+ROW()/10000,"")</f>
        <v/>
      </c>
      <c r="AJ895" t="str">
        <f>IF(AND('Detalle individual'!F895&lt;&gt;"",'Detalle individual'!F895&lt;&gt;"Completado",'Detalle individual'!F895&lt;&gt;"Pendiente"),COUNTIF('Detalle individual'!$D$5:$D$1000,"&lt;"&amp;'Detalle individual'!D895)*1000000+COUNTIF('Detalle individual'!$C$5:$C$1000,"&lt;"&amp;'Detalle individual'!C895)*1000+COUNTIF('Detalle individual'!$B$5:$B$1000,"&lt;"&amp;'Detalle individual'!B895)+ROW()/10000,"")</f>
        <v/>
      </c>
      <c r="AK895" t="str">
        <f>IF(OR('Base Exámenes'!C895="",'Base Exámenes'!D895=""),"",IF(COUNTIF('Base Exámenes'!$C$5:C895,'Base Exámenes'!C895)=1,'Base Exámenes'!D895+ROW()/1000000000,""))</f>
        <v/>
      </c>
      <c r="AL895" t="str">
        <f>IF(OR('Base Exámenes'!C895="",'Base Exámenes'!E895=""),"",IF(COUNTIF('Base Exámenes'!$C$5:C895,'Base Exámenes'!C895)=1,'Base Exámenes'!E895+ROW()/1000000000,""))</f>
        <v/>
      </c>
      <c r="AM895" t="str">
        <f>IF(OR('Base Exámenes'!C895="",'Base Exámenes'!G895=""),"",IF(ROW()-4=MATCH('Base Exámenes'!C895&amp;"|"&amp;_xlfn.MAXIFS('Base Exámenes'!$G$5:$G$1000,'Base Exámenes'!$C$5:$C$1000,'Base Exámenes'!C895),'Base Exámenes'!$I$5:$I$1000,0),'Base Exámenes'!G895*1000000+(-1)*'Base Exámenes'!D895,""))</f>
        <v/>
      </c>
      <c r="AQ895" t="str">
        <f>IF('Base Exámenes'!C895="","",IF(COUNTIF('Base Exámenes'!$C$5:$C$1000,'Base Exámenes'!C895)&lt;2,"",MATCH('Base Exámenes'!C895,'Base Exámenes'!$C$5:$C$1000,0)*10000+ROW()))</f>
        <v/>
      </c>
    </row>
    <row r="896">
      <c r="Z896" t="str">
        <f>IF('Detalle individual'!A896="","",IF(AND(OR('Estado por Colaborador'!$D$4="Todas las gerencias",'Detalle individual'!D896='Estado por Colaborador'!$D$4),OR('Estado por Colaborador'!$D$5="Todos los departamentos",TRIM('Detalle individual'!C896)='Estado por Colaborador'!$D$5),OR('Estado por Colaborador'!$D$6="Todos",'Detalle individual'!F896='Estado por Colaborador'!$D$6)),IF('Detalle individual'!F896="Completado",30000000,IF('Detalle individual'!F896="Pendiente",0,15000000))+COUNTIF('Detalle individual'!$C$5:$C$1000,"&lt;"&amp;'Detalle individual'!C896)*10000+ROW(),""))</f>
        <v/>
      </c>
      <c r="AB896" t="str">
        <f>IF('Detalle individual'!C896="","",IF(COUNTIF('Detalle individual'!$C$5:C896,'Detalle individual'!C896)=1,COUNTIF('Detalle individual'!$C$5:$C$1000,"&lt;"&amp;'Detalle individual'!C896),""))</f>
        <v/>
      </c>
      <c r="AC896" t="str">
        <f>IF('Detalle individual'!D896="","",IF(COUNTIF('Detalle individual'!$D$5:D896,'Detalle individual'!D896)=1,COUNTIF('Detalle individual'!$D$5:$D$1000,"&lt;"&amp;'Detalle individual'!D896),""))</f>
        <v/>
      </c>
      <c r="AH896" t="str">
        <f>IF('Detalle individual'!F896="Pendiente",COUNTIF('Detalle individual'!$D$5:$D$1000,"&lt;"&amp;'Detalle individual'!D896)*1000000+COUNTIF('Detalle individual'!$C$5:$C$1000,"&lt;"&amp;'Detalle individual'!C896)*1000+COUNTIF('Detalle individual'!$B$5:$B$1000,"&lt;"&amp;'Detalle individual'!B896)+ROW()/10000,"")</f>
        <v/>
      </c>
      <c r="AI896" t="str">
        <f>IF('Detalle individual'!F896="Completado",COUNTIF('Detalle individual'!$D$5:$D$1000,"&lt;"&amp;'Detalle individual'!D896)*1000000+COUNTIF('Detalle individual'!$C$5:$C$1000,"&lt;"&amp;'Detalle individual'!C896)*1000+COUNTIF('Detalle individual'!$B$5:$B$1000,"&lt;"&amp;'Detalle individual'!B896)+ROW()/10000,"")</f>
        <v/>
      </c>
      <c r="AJ896" t="str">
        <f>IF(AND('Detalle individual'!F896&lt;&gt;"",'Detalle individual'!F896&lt;&gt;"Completado",'Detalle individual'!F896&lt;&gt;"Pendiente"),COUNTIF('Detalle individual'!$D$5:$D$1000,"&lt;"&amp;'Detalle individual'!D896)*1000000+COUNTIF('Detalle individual'!$C$5:$C$1000,"&lt;"&amp;'Detalle individual'!C896)*1000+COUNTIF('Detalle individual'!$B$5:$B$1000,"&lt;"&amp;'Detalle individual'!B896)+ROW()/10000,"")</f>
        <v/>
      </c>
      <c r="AK896" t="str">
        <f>IF(OR('Base Exámenes'!C896="",'Base Exámenes'!D896=""),"",IF(COUNTIF('Base Exámenes'!$C$5:C896,'Base Exámenes'!C896)=1,'Base Exámenes'!D896+ROW()/1000000000,""))</f>
        <v/>
      </c>
      <c r="AL896" t="str">
        <f>IF(OR('Base Exámenes'!C896="",'Base Exámenes'!E896=""),"",IF(COUNTIF('Base Exámenes'!$C$5:C896,'Base Exámenes'!C896)=1,'Base Exámenes'!E896+ROW()/1000000000,""))</f>
        <v/>
      </c>
      <c r="AM896" t="str">
        <f>IF(OR('Base Exámenes'!C896="",'Base Exámenes'!G896=""),"",IF(ROW()-4=MATCH('Base Exámenes'!C896&amp;"|"&amp;_xlfn.MAXIFS('Base Exámenes'!$G$5:$G$1000,'Base Exámenes'!$C$5:$C$1000,'Base Exámenes'!C896),'Base Exámenes'!$I$5:$I$1000,0),'Base Exámenes'!G896*1000000+(-1)*'Base Exámenes'!D896,""))</f>
        <v/>
      </c>
      <c r="AQ896" t="str">
        <f>IF('Base Exámenes'!C896="","",IF(COUNTIF('Base Exámenes'!$C$5:$C$1000,'Base Exámenes'!C896)&lt;2,"",MATCH('Base Exámenes'!C896,'Base Exámenes'!$C$5:$C$1000,0)*10000+ROW()))</f>
        <v/>
      </c>
    </row>
    <row r="897">
      <c r="Z897" t="str">
        <f>IF('Detalle individual'!A897="","",IF(AND(OR('Estado por Colaborador'!$D$4="Todas las gerencias",'Detalle individual'!D897='Estado por Colaborador'!$D$4),OR('Estado por Colaborador'!$D$5="Todos los departamentos",TRIM('Detalle individual'!C897)='Estado por Colaborador'!$D$5),OR('Estado por Colaborador'!$D$6="Todos",'Detalle individual'!F897='Estado por Colaborador'!$D$6)),IF('Detalle individual'!F897="Completado",30000000,IF('Detalle individual'!F897="Pendiente",0,15000000))+COUNTIF('Detalle individual'!$C$5:$C$1000,"&lt;"&amp;'Detalle individual'!C897)*10000+ROW(),""))</f>
        <v/>
      </c>
      <c r="AB897" t="str">
        <f>IF('Detalle individual'!C897="","",IF(COUNTIF('Detalle individual'!$C$5:C897,'Detalle individual'!C897)=1,COUNTIF('Detalle individual'!$C$5:$C$1000,"&lt;"&amp;'Detalle individual'!C897),""))</f>
        <v/>
      </c>
      <c r="AC897" t="str">
        <f>IF('Detalle individual'!D897="","",IF(COUNTIF('Detalle individual'!$D$5:D897,'Detalle individual'!D897)=1,COUNTIF('Detalle individual'!$D$5:$D$1000,"&lt;"&amp;'Detalle individual'!D897),""))</f>
        <v/>
      </c>
      <c r="AH897" t="str">
        <f>IF('Detalle individual'!F897="Pendiente",COUNTIF('Detalle individual'!$D$5:$D$1000,"&lt;"&amp;'Detalle individual'!D897)*1000000+COUNTIF('Detalle individual'!$C$5:$C$1000,"&lt;"&amp;'Detalle individual'!C897)*1000+COUNTIF('Detalle individual'!$B$5:$B$1000,"&lt;"&amp;'Detalle individual'!B897)+ROW()/10000,"")</f>
        <v/>
      </c>
      <c r="AI897" t="str">
        <f>IF('Detalle individual'!F897="Completado",COUNTIF('Detalle individual'!$D$5:$D$1000,"&lt;"&amp;'Detalle individual'!D897)*1000000+COUNTIF('Detalle individual'!$C$5:$C$1000,"&lt;"&amp;'Detalle individual'!C897)*1000+COUNTIF('Detalle individual'!$B$5:$B$1000,"&lt;"&amp;'Detalle individual'!B897)+ROW()/10000,"")</f>
        <v/>
      </c>
      <c r="AJ897" t="str">
        <f>IF(AND('Detalle individual'!F897&lt;&gt;"",'Detalle individual'!F897&lt;&gt;"Completado",'Detalle individual'!F897&lt;&gt;"Pendiente"),COUNTIF('Detalle individual'!$D$5:$D$1000,"&lt;"&amp;'Detalle individual'!D897)*1000000+COUNTIF('Detalle individual'!$C$5:$C$1000,"&lt;"&amp;'Detalle individual'!C897)*1000+COUNTIF('Detalle individual'!$B$5:$B$1000,"&lt;"&amp;'Detalle individual'!B897)+ROW()/10000,"")</f>
        <v/>
      </c>
      <c r="AK897" t="str">
        <f>IF(OR('Base Exámenes'!C897="",'Base Exámenes'!D897=""),"",IF(COUNTIF('Base Exámenes'!$C$5:C897,'Base Exámenes'!C897)=1,'Base Exámenes'!D897+ROW()/1000000000,""))</f>
        <v/>
      </c>
      <c r="AL897" t="str">
        <f>IF(OR('Base Exámenes'!C897="",'Base Exámenes'!E897=""),"",IF(COUNTIF('Base Exámenes'!$C$5:C897,'Base Exámenes'!C897)=1,'Base Exámenes'!E897+ROW()/1000000000,""))</f>
        <v/>
      </c>
      <c r="AM897" t="str">
        <f>IF(OR('Base Exámenes'!C897="",'Base Exámenes'!G897=""),"",IF(ROW()-4=MATCH('Base Exámenes'!C897&amp;"|"&amp;_xlfn.MAXIFS('Base Exámenes'!$G$5:$G$1000,'Base Exámenes'!$C$5:$C$1000,'Base Exámenes'!C897),'Base Exámenes'!$I$5:$I$1000,0),'Base Exámenes'!G897*1000000+(-1)*'Base Exámenes'!D897,""))</f>
        <v/>
      </c>
      <c r="AQ897" t="str">
        <f>IF('Base Exámenes'!C897="","",IF(COUNTIF('Base Exámenes'!$C$5:$C$1000,'Base Exámenes'!C897)&lt;2,"",MATCH('Base Exámenes'!C897,'Base Exámenes'!$C$5:$C$1000,0)*10000+ROW()))</f>
        <v/>
      </c>
    </row>
    <row r="898">
      <c r="Z898" t="str">
        <f>IF('Detalle individual'!A898="","",IF(AND(OR('Estado por Colaborador'!$D$4="Todas las gerencias",'Detalle individual'!D898='Estado por Colaborador'!$D$4),OR('Estado por Colaborador'!$D$5="Todos los departamentos",TRIM('Detalle individual'!C898)='Estado por Colaborador'!$D$5),OR('Estado por Colaborador'!$D$6="Todos",'Detalle individual'!F898='Estado por Colaborador'!$D$6)),IF('Detalle individual'!F898="Completado",30000000,IF('Detalle individual'!F898="Pendiente",0,15000000))+COUNTIF('Detalle individual'!$C$5:$C$1000,"&lt;"&amp;'Detalle individual'!C898)*10000+ROW(),""))</f>
        <v/>
      </c>
      <c r="AB898" t="str">
        <f>IF('Detalle individual'!C898="","",IF(COUNTIF('Detalle individual'!$C$5:C898,'Detalle individual'!C898)=1,COUNTIF('Detalle individual'!$C$5:$C$1000,"&lt;"&amp;'Detalle individual'!C898),""))</f>
        <v/>
      </c>
      <c r="AC898" t="str">
        <f>IF('Detalle individual'!D898="","",IF(COUNTIF('Detalle individual'!$D$5:D898,'Detalle individual'!D898)=1,COUNTIF('Detalle individual'!$D$5:$D$1000,"&lt;"&amp;'Detalle individual'!D898),""))</f>
        <v/>
      </c>
      <c r="AH898" t="str">
        <f>IF('Detalle individual'!F898="Pendiente",COUNTIF('Detalle individual'!$D$5:$D$1000,"&lt;"&amp;'Detalle individual'!D898)*1000000+COUNTIF('Detalle individual'!$C$5:$C$1000,"&lt;"&amp;'Detalle individual'!C898)*1000+COUNTIF('Detalle individual'!$B$5:$B$1000,"&lt;"&amp;'Detalle individual'!B898)+ROW()/10000,"")</f>
        <v/>
      </c>
      <c r="AI898" t="str">
        <f>IF('Detalle individual'!F898="Completado",COUNTIF('Detalle individual'!$D$5:$D$1000,"&lt;"&amp;'Detalle individual'!D898)*1000000+COUNTIF('Detalle individual'!$C$5:$C$1000,"&lt;"&amp;'Detalle individual'!C898)*1000+COUNTIF('Detalle individual'!$B$5:$B$1000,"&lt;"&amp;'Detalle individual'!B898)+ROW()/10000,"")</f>
        <v/>
      </c>
      <c r="AJ898" t="str">
        <f>IF(AND('Detalle individual'!F898&lt;&gt;"",'Detalle individual'!F898&lt;&gt;"Completado",'Detalle individual'!F898&lt;&gt;"Pendiente"),COUNTIF('Detalle individual'!$D$5:$D$1000,"&lt;"&amp;'Detalle individual'!D898)*1000000+COUNTIF('Detalle individual'!$C$5:$C$1000,"&lt;"&amp;'Detalle individual'!C898)*1000+COUNTIF('Detalle individual'!$B$5:$B$1000,"&lt;"&amp;'Detalle individual'!B898)+ROW()/10000,"")</f>
        <v/>
      </c>
      <c r="AK898" t="str">
        <f>IF(OR('Base Exámenes'!C898="",'Base Exámenes'!D898=""),"",IF(COUNTIF('Base Exámenes'!$C$5:C898,'Base Exámenes'!C898)=1,'Base Exámenes'!D898+ROW()/1000000000,""))</f>
        <v/>
      </c>
      <c r="AL898" t="str">
        <f>IF(OR('Base Exámenes'!C898="",'Base Exámenes'!E898=""),"",IF(COUNTIF('Base Exámenes'!$C$5:C898,'Base Exámenes'!C898)=1,'Base Exámenes'!E898+ROW()/1000000000,""))</f>
        <v/>
      </c>
      <c r="AM898" t="str">
        <f>IF(OR('Base Exámenes'!C898="",'Base Exámenes'!G898=""),"",IF(ROW()-4=MATCH('Base Exámenes'!C898&amp;"|"&amp;_xlfn.MAXIFS('Base Exámenes'!$G$5:$G$1000,'Base Exámenes'!$C$5:$C$1000,'Base Exámenes'!C898),'Base Exámenes'!$I$5:$I$1000,0),'Base Exámenes'!G898*1000000+(-1)*'Base Exámenes'!D898,""))</f>
        <v/>
      </c>
      <c r="AQ898" t="str">
        <f>IF('Base Exámenes'!C898="","",IF(COUNTIF('Base Exámenes'!$C$5:$C$1000,'Base Exámenes'!C898)&lt;2,"",MATCH('Base Exámenes'!C898,'Base Exámenes'!$C$5:$C$1000,0)*10000+ROW()))</f>
        <v/>
      </c>
    </row>
    <row r="899">
      <c r="Z899" t="str">
        <f>IF('Detalle individual'!A899="","",IF(AND(OR('Estado por Colaborador'!$D$4="Todas las gerencias",'Detalle individual'!D899='Estado por Colaborador'!$D$4),OR('Estado por Colaborador'!$D$5="Todos los departamentos",TRIM('Detalle individual'!C899)='Estado por Colaborador'!$D$5),OR('Estado por Colaborador'!$D$6="Todos",'Detalle individual'!F899='Estado por Colaborador'!$D$6)),IF('Detalle individual'!F899="Completado",30000000,IF('Detalle individual'!F899="Pendiente",0,15000000))+COUNTIF('Detalle individual'!$C$5:$C$1000,"&lt;"&amp;'Detalle individual'!C899)*10000+ROW(),""))</f>
        <v/>
      </c>
      <c r="AB899" t="str">
        <f>IF('Detalle individual'!C899="","",IF(COUNTIF('Detalle individual'!$C$5:C899,'Detalle individual'!C899)=1,COUNTIF('Detalle individual'!$C$5:$C$1000,"&lt;"&amp;'Detalle individual'!C899),""))</f>
        <v/>
      </c>
      <c r="AC899" t="str">
        <f>IF('Detalle individual'!D899="","",IF(COUNTIF('Detalle individual'!$D$5:D899,'Detalle individual'!D899)=1,COUNTIF('Detalle individual'!$D$5:$D$1000,"&lt;"&amp;'Detalle individual'!D899),""))</f>
        <v/>
      </c>
      <c r="AH899" t="str">
        <f>IF('Detalle individual'!F899="Pendiente",COUNTIF('Detalle individual'!$D$5:$D$1000,"&lt;"&amp;'Detalle individual'!D899)*1000000+COUNTIF('Detalle individual'!$C$5:$C$1000,"&lt;"&amp;'Detalle individual'!C899)*1000+COUNTIF('Detalle individual'!$B$5:$B$1000,"&lt;"&amp;'Detalle individual'!B899)+ROW()/10000,"")</f>
        <v/>
      </c>
      <c r="AI899" t="str">
        <f>IF('Detalle individual'!F899="Completado",COUNTIF('Detalle individual'!$D$5:$D$1000,"&lt;"&amp;'Detalle individual'!D899)*1000000+COUNTIF('Detalle individual'!$C$5:$C$1000,"&lt;"&amp;'Detalle individual'!C899)*1000+COUNTIF('Detalle individual'!$B$5:$B$1000,"&lt;"&amp;'Detalle individual'!B899)+ROW()/10000,"")</f>
        <v/>
      </c>
      <c r="AJ899" t="str">
        <f>IF(AND('Detalle individual'!F899&lt;&gt;"",'Detalle individual'!F899&lt;&gt;"Completado",'Detalle individual'!F899&lt;&gt;"Pendiente"),COUNTIF('Detalle individual'!$D$5:$D$1000,"&lt;"&amp;'Detalle individual'!D899)*1000000+COUNTIF('Detalle individual'!$C$5:$C$1000,"&lt;"&amp;'Detalle individual'!C899)*1000+COUNTIF('Detalle individual'!$B$5:$B$1000,"&lt;"&amp;'Detalle individual'!B899)+ROW()/10000,"")</f>
        <v/>
      </c>
      <c r="AK899" t="str">
        <f>IF(OR('Base Exámenes'!C899="",'Base Exámenes'!D899=""),"",IF(COUNTIF('Base Exámenes'!$C$5:C899,'Base Exámenes'!C899)=1,'Base Exámenes'!D899+ROW()/1000000000,""))</f>
        <v/>
      </c>
      <c r="AL899" t="str">
        <f>IF(OR('Base Exámenes'!C899="",'Base Exámenes'!E899=""),"",IF(COUNTIF('Base Exámenes'!$C$5:C899,'Base Exámenes'!C899)=1,'Base Exámenes'!E899+ROW()/1000000000,""))</f>
        <v/>
      </c>
      <c r="AM899" t="str">
        <f>IF(OR('Base Exámenes'!C899="",'Base Exámenes'!G899=""),"",IF(ROW()-4=MATCH('Base Exámenes'!C899&amp;"|"&amp;_xlfn.MAXIFS('Base Exámenes'!$G$5:$G$1000,'Base Exámenes'!$C$5:$C$1000,'Base Exámenes'!C899),'Base Exámenes'!$I$5:$I$1000,0),'Base Exámenes'!G899*1000000+(-1)*'Base Exámenes'!D899,""))</f>
        <v/>
      </c>
      <c r="AQ899" t="str">
        <f>IF('Base Exámenes'!C899="","",IF(COUNTIF('Base Exámenes'!$C$5:$C$1000,'Base Exámenes'!C899)&lt;2,"",MATCH('Base Exámenes'!C899,'Base Exámenes'!$C$5:$C$1000,0)*10000+ROW()))</f>
        <v/>
      </c>
    </row>
    <row r="900">
      <c r="Z900" t="str">
        <f>IF('Detalle individual'!A900="","",IF(AND(OR('Estado por Colaborador'!$D$4="Todas las gerencias",'Detalle individual'!D900='Estado por Colaborador'!$D$4),OR('Estado por Colaborador'!$D$5="Todos los departamentos",TRIM('Detalle individual'!C900)='Estado por Colaborador'!$D$5),OR('Estado por Colaborador'!$D$6="Todos",'Detalle individual'!F900='Estado por Colaborador'!$D$6)),IF('Detalle individual'!F900="Completado",30000000,IF('Detalle individual'!F900="Pendiente",0,15000000))+COUNTIF('Detalle individual'!$C$5:$C$1000,"&lt;"&amp;'Detalle individual'!C900)*10000+ROW(),""))</f>
        <v/>
      </c>
      <c r="AB900" t="str">
        <f>IF('Detalle individual'!C900="","",IF(COUNTIF('Detalle individual'!$C$5:C900,'Detalle individual'!C900)=1,COUNTIF('Detalle individual'!$C$5:$C$1000,"&lt;"&amp;'Detalle individual'!C900),""))</f>
        <v/>
      </c>
      <c r="AC900" t="str">
        <f>IF('Detalle individual'!D900="","",IF(COUNTIF('Detalle individual'!$D$5:D900,'Detalle individual'!D900)=1,COUNTIF('Detalle individual'!$D$5:$D$1000,"&lt;"&amp;'Detalle individual'!D900),""))</f>
        <v/>
      </c>
      <c r="AH900" t="str">
        <f>IF('Detalle individual'!F900="Pendiente",COUNTIF('Detalle individual'!$D$5:$D$1000,"&lt;"&amp;'Detalle individual'!D900)*1000000+COUNTIF('Detalle individual'!$C$5:$C$1000,"&lt;"&amp;'Detalle individual'!C900)*1000+COUNTIF('Detalle individual'!$B$5:$B$1000,"&lt;"&amp;'Detalle individual'!B900)+ROW()/10000,"")</f>
        <v/>
      </c>
      <c r="AI900" t="str">
        <f>IF('Detalle individual'!F900="Completado",COUNTIF('Detalle individual'!$D$5:$D$1000,"&lt;"&amp;'Detalle individual'!D900)*1000000+COUNTIF('Detalle individual'!$C$5:$C$1000,"&lt;"&amp;'Detalle individual'!C900)*1000+COUNTIF('Detalle individual'!$B$5:$B$1000,"&lt;"&amp;'Detalle individual'!B900)+ROW()/10000,"")</f>
        <v/>
      </c>
      <c r="AJ900" t="str">
        <f>IF(AND('Detalle individual'!F900&lt;&gt;"",'Detalle individual'!F900&lt;&gt;"Completado",'Detalle individual'!F900&lt;&gt;"Pendiente"),COUNTIF('Detalle individual'!$D$5:$D$1000,"&lt;"&amp;'Detalle individual'!D900)*1000000+COUNTIF('Detalle individual'!$C$5:$C$1000,"&lt;"&amp;'Detalle individual'!C900)*1000+COUNTIF('Detalle individual'!$B$5:$B$1000,"&lt;"&amp;'Detalle individual'!B900)+ROW()/10000,"")</f>
        <v/>
      </c>
      <c r="AK900" t="str">
        <f>IF(OR('Base Exámenes'!C900="",'Base Exámenes'!D900=""),"",IF(COUNTIF('Base Exámenes'!$C$5:C900,'Base Exámenes'!C900)=1,'Base Exámenes'!D900+ROW()/1000000000,""))</f>
        <v/>
      </c>
      <c r="AL900" t="str">
        <f>IF(OR('Base Exámenes'!C900="",'Base Exámenes'!E900=""),"",IF(COUNTIF('Base Exámenes'!$C$5:C900,'Base Exámenes'!C900)=1,'Base Exámenes'!E900+ROW()/1000000000,""))</f>
        <v/>
      </c>
      <c r="AM900" t="str">
        <f>IF(OR('Base Exámenes'!C900="",'Base Exámenes'!G900=""),"",IF(ROW()-4=MATCH('Base Exámenes'!C900&amp;"|"&amp;_xlfn.MAXIFS('Base Exámenes'!$G$5:$G$1000,'Base Exámenes'!$C$5:$C$1000,'Base Exámenes'!C900),'Base Exámenes'!$I$5:$I$1000,0),'Base Exámenes'!G900*1000000+(-1)*'Base Exámenes'!D900,""))</f>
        <v/>
      </c>
      <c r="AQ900" t="str">
        <f>IF('Base Exámenes'!C900="","",IF(COUNTIF('Base Exámenes'!$C$5:$C$1000,'Base Exámenes'!C900)&lt;2,"",MATCH('Base Exámenes'!C900,'Base Exámenes'!$C$5:$C$1000,0)*10000+ROW()))</f>
        <v/>
      </c>
    </row>
    <row r="901">
      <c r="Z901" t="str">
        <f>IF('Detalle individual'!A901="","",IF(AND(OR('Estado por Colaborador'!$D$4="Todas las gerencias",'Detalle individual'!D901='Estado por Colaborador'!$D$4),OR('Estado por Colaborador'!$D$5="Todos los departamentos",TRIM('Detalle individual'!C901)='Estado por Colaborador'!$D$5),OR('Estado por Colaborador'!$D$6="Todos",'Detalle individual'!F901='Estado por Colaborador'!$D$6)),IF('Detalle individual'!F901="Completado",30000000,IF('Detalle individual'!F901="Pendiente",0,15000000))+COUNTIF('Detalle individual'!$C$5:$C$1000,"&lt;"&amp;'Detalle individual'!C901)*10000+ROW(),""))</f>
        <v/>
      </c>
      <c r="AB901" t="str">
        <f>IF('Detalle individual'!C901="","",IF(COUNTIF('Detalle individual'!$C$5:C901,'Detalle individual'!C901)=1,COUNTIF('Detalle individual'!$C$5:$C$1000,"&lt;"&amp;'Detalle individual'!C901),""))</f>
        <v/>
      </c>
      <c r="AC901" t="str">
        <f>IF('Detalle individual'!D901="","",IF(COUNTIF('Detalle individual'!$D$5:D901,'Detalle individual'!D901)=1,COUNTIF('Detalle individual'!$D$5:$D$1000,"&lt;"&amp;'Detalle individual'!D901),""))</f>
        <v/>
      </c>
      <c r="AH901" t="str">
        <f>IF('Detalle individual'!F901="Pendiente",COUNTIF('Detalle individual'!$D$5:$D$1000,"&lt;"&amp;'Detalle individual'!D901)*1000000+COUNTIF('Detalle individual'!$C$5:$C$1000,"&lt;"&amp;'Detalle individual'!C901)*1000+COUNTIF('Detalle individual'!$B$5:$B$1000,"&lt;"&amp;'Detalle individual'!B901)+ROW()/10000,"")</f>
        <v/>
      </c>
      <c r="AI901" t="str">
        <f>IF('Detalle individual'!F901="Completado",COUNTIF('Detalle individual'!$D$5:$D$1000,"&lt;"&amp;'Detalle individual'!D901)*1000000+COUNTIF('Detalle individual'!$C$5:$C$1000,"&lt;"&amp;'Detalle individual'!C901)*1000+COUNTIF('Detalle individual'!$B$5:$B$1000,"&lt;"&amp;'Detalle individual'!B901)+ROW()/10000,"")</f>
        <v/>
      </c>
      <c r="AJ901" t="str">
        <f>IF(AND('Detalle individual'!F901&lt;&gt;"",'Detalle individual'!F901&lt;&gt;"Completado",'Detalle individual'!F901&lt;&gt;"Pendiente"),COUNTIF('Detalle individual'!$D$5:$D$1000,"&lt;"&amp;'Detalle individual'!D901)*1000000+COUNTIF('Detalle individual'!$C$5:$C$1000,"&lt;"&amp;'Detalle individual'!C901)*1000+COUNTIF('Detalle individual'!$B$5:$B$1000,"&lt;"&amp;'Detalle individual'!B901)+ROW()/10000,"")</f>
        <v/>
      </c>
      <c r="AK901" t="str">
        <f>IF(OR('Base Exámenes'!C901="",'Base Exámenes'!D901=""),"",IF(COUNTIF('Base Exámenes'!$C$5:C901,'Base Exámenes'!C901)=1,'Base Exámenes'!D901+ROW()/1000000000,""))</f>
        <v/>
      </c>
      <c r="AL901" t="str">
        <f>IF(OR('Base Exámenes'!C901="",'Base Exámenes'!E901=""),"",IF(COUNTIF('Base Exámenes'!$C$5:C901,'Base Exámenes'!C901)=1,'Base Exámenes'!E901+ROW()/1000000000,""))</f>
        <v/>
      </c>
      <c r="AM901" t="str">
        <f>IF(OR('Base Exámenes'!C901="",'Base Exámenes'!G901=""),"",IF(ROW()-4=MATCH('Base Exámenes'!C901&amp;"|"&amp;_xlfn.MAXIFS('Base Exámenes'!$G$5:$G$1000,'Base Exámenes'!$C$5:$C$1000,'Base Exámenes'!C901),'Base Exámenes'!$I$5:$I$1000,0),'Base Exámenes'!G901*1000000+(-1)*'Base Exámenes'!D901,""))</f>
        <v/>
      </c>
      <c r="AQ901" t="str">
        <f>IF('Base Exámenes'!C901="","",IF(COUNTIF('Base Exámenes'!$C$5:$C$1000,'Base Exámenes'!C901)&lt;2,"",MATCH('Base Exámenes'!C901,'Base Exámenes'!$C$5:$C$1000,0)*10000+ROW()))</f>
        <v/>
      </c>
    </row>
    <row r="902">
      <c r="Z902" t="str">
        <f>IF('Detalle individual'!A902="","",IF(AND(OR('Estado por Colaborador'!$D$4="Todas las gerencias",'Detalle individual'!D902='Estado por Colaborador'!$D$4),OR('Estado por Colaborador'!$D$5="Todos los departamentos",TRIM('Detalle individual'!C902)='Estado por Colaborador'!$D$5),OR('Estado por Colaborador'!$D$6="Todos",'Detalle individual'!F902='Estado por Colaborador'!$D$6)),IF('Detalle individual'!F902="Completado",30000000,IF('Detalle individual'!F902="Pendiente",0,15000000))+COUNTIF('Detalle individual'!$C$5:$C$1000,"&lt;"&amp;'Detalle individual'!C902)*10000+ROW(),""))</f>
        <v/>
      </c>
      <c r="AB902" t="str">
        <f>IF('Detalle individual'!C902="","",IF(COUNTIF('Detalle individual'!$C$5:C902,'Detalle individual'!C902)=1,COUNTIF('Detalle individual'!$C$5:$C$1000,"&lt;"&amp;'Detalle individual'!C902),""))</f>
        <v/>
      </c>
      <c r="AC902" t="str">
        <f>IF('Detalle individual'!D902="","",IF(COUNTIF('Detalle individual'!$D$5:D902,'Detalle individual'!D902)=1,COUNTIF('Detalle individual'!$D$5:$D$1000,"&lt;"&amp;'Detalle individual'!D902),""))</f>
        <v/>
      </c>
      <c r="AH902" t="str">
        <f>IF('Detalle individual'!F902="Pendiente",COUNTIF('Detalle individual'!$D$5:$D$1000,"&lt;"&amp;'Detalle individual'!D902)*1000000+COUNTIF('Detalle individual'!$C$5:$C$1000,"&lt;"&amp;'Detalle individual'!C902)*1000+COUNTIF('Detalle individual'!$B$5:$B$1000,"&lt;"&amp;'Detalle individual'!B902)+ROW()/10000,"")</f>
        <v/>
      </c>
      <c r="AI902" t="str">
        <f>IF('Detalle individual'!F902="Completado",COUNTIF('Detalle individual'!$D$5:$D$1000,"&lt;"&amp;'Detalle individual'!D902)*1000000+COUNTIF('Detalle individual'!$C$5:$C$1000,"&lt;"&amp;'Detalle individual'!C902)*1000+COUNTIF('Detalle individual'!$B$5:$B$1000,"&lt;"&amp;'Detalle individual'!B902)+ROW()/10000,"")</f>
        <v/>
      </c>
      <c r="AJ902" t="str">
        <f>IF(AND('Detalle individual'!F902&lt;&gt;"",'Detalle individual'!F902&lt;&gt;"Completado",'Detalle individual'!F902&lt;&gt;"Pendiente"),COUNTIF('Detalle individual'!$D$5:$D$1000,"&lt;"&amp;'Detalle individual'!D902)*1000000+COUNTIF('Detalle individual'!$C$5:$C$1000,"&lt;"&amp;'Detalle individual'!C902)*1000+COUNTIF('Detalle individual'!$B$5:$B$1000,"&lt;"&amp;'Detalle individual'!B902)+ROW()/10000,"")</f>
        <v/>
      </c>
      <c r="AK902" t="str">
        <f>IF(OR('Base Exámenes'!C902="",'Base Exámenes'!D902=""),"",IF(COUNTIF('Base Exámenes'!$C$5:C902,'Base Exámenes'!C902)=1,'Base Exámenes'!D902+ROW()/1000000000,""))</f>
        <v/>
      </c>
      <c r="AL902" t="str">
        <f>IF(OR('Base Exámenes'!C902="",'Base Exámenes'!E902=""),"",IF(COUNTIF('Base Exámenes'!$C$5:C902,'Base Exámenes'!C902)=1,'Base Exámenes'!E902+ROW()/1000000000,""))</f>
        <v/>
      </c>
      <c r="AM902" t="str">
        <f>IF(OR('Base Exámenes'!C902="",'Base Exámenes'!G902=""),"",IF(ROW()-4=MATCH('Base Exámenes'!C902&amp;"|"&amp;_xlfn.MAXIFS('Base Exámenes'!$G$5:$G$1000,'Base Exámenes'!$C$5:$C$1000,'Base Exámenes'!C902),'Base Exámenes'!$I$5:$I$1000,0),'Base Exámenes'!G902*1000000+(-1)*'Base Exámenes'!D902,""))</f>
        <v/>
      </c>
      <c r="AQ902" t="str">
        <f>IF('Base Exámenes'!C902="","",IF(COUNTIF('Base Exámenes'!$C$5:$C$1000,'Base Exámenes'!C902)&lt;2,"",MATCH('Base Exámenes'!C902,'Base Exámenes'!$C$5:$C$1000,0)*10000+ROW()))</f>
        <v/>
      </c>
    </row>
    <row r="903">
      <c r="Z903" t="str">
        <f>IF('Detalle individual'!A903="","",IF(AND(OR('Estado por Colaborador'!$D$4="Todas las gerencias",'Detalle individual'!D903='Estado por Colaborador'!$D$4),OR('Estado por Colaborador'!$D$5="Todos los departamentos",TRIM('Detalle individual'!C903)='Estado por Colaborador'!$D$5),OR('Estado por Colaborador'!$D$6="Todos",'Detalle individual'!F903='Estado por Colaborador'!$D$6)),IF('Detalle individual'!F903="Completado",30000000,IF('Detalle individual'!F903="Pendiente",0,15000000))+COUNTIF('Detalle individual'!$C$5:$C$1000,"&lt;"&amp;'Detalle individual'!C903)*10000+ROW(),""))</f>
        <v/>
      </c>
      <c r="AB903" t="str">
        <f>IF('Detalle individual'!C903="","",IF(COUNTIF('Detalle individual'!$C$5:C903,'Detalle individual'!C903)=1,COUNTIF('Detalle individual'!$C$5:$C$1000,"&lt;"&amp;'Detalle individual'!C903),""))</f>
        <v/>
      </c>
      <c r="AC903" t="str">
        <f>IF('Detalle individual'!D903="","",IF(COUNTIF('Detalle individual'!$D$5:D903,'Detalle individual'!D903)=1,COUNTIF('Detalle individual'!$D$5:$D$1000,"&lt;"&amp;'Detalle individual'!D903),""))</f>
        <v/>
      </c>
      <c r="AH903" t="str">
        <f>IF('Detalle individual'!F903="Pendiente",COUNTIF('Detalle individual'!$D$5:$D$1000,"&lt;"&amp;'Detalle individual'!D903)*1000000+COUNTIF('Detalle individual'!$C$5:$C$1000,"&lt;"&amp;'Detalle individual'!C903)*1000+COUNTIF('Detalle individual'!$B$5:$B$1000,"&lt;"&amp;'Detalle individual'!B903)+ROW()/10000,"")</f>
        <v/>
      </c>
      <c r="AI903" t="str">
        <f>IF('Detalle individual'!F903="Completado",COUNTIF('Detalle individual'!$D$5:$D$1000,"&lt;"&amp;'Detalle individual'!D903)*1000000+COUNTIF('Detalle individual'!$C$5:$C$1000,"&lt;"&amp;'Detalle individual'!C903)*1000+COUNTIF('Detalle individual'!$B$5:$B$1000,"&lt;"&amp;'Detalle individual'!B903)+ROW()/10000,"")</f>
        <v/>
      </c>
      <c r="AJ903" t="str">
        <f>IF(AND('Detalle individual'!F903&lt;&gt;"",'Detalle individual'!F903&lt;&gt;"Completado",'Detalle individual'!F903&lt;&gt;"Pendiente"),COUNTIF('Detalle individual'!$D$5:$D$1000,"&lt;"&amp;'Detalle individual'!D903)*1000000+COUNTIF('Detalle individual'!$C$5:$C$1000,"&lt;"&amp;'Detalle individual'!C903)*1000+COUNTIF('Detalle individual'!$B$5:$B$1000,"&lt;"&amp;'Detalle individual'!B903)+ROW()/10000,"")</f>
        <v/>
      </c>
      <c r="AK903" t="str">
        <f>IF(OR('Base Exámenes'!C903="",'Base Exámenes'!D903=""),"",IF(COUNTIF('Base Exámenes'!$C$5:C903,'Base Exámenes'!C903)=1,'Base Exámenes'!D903+ROW()/1000000000,""))</f>
        <v/>
      </c>
      <c r="AL903" t="str">
        <f>IF(OR('Base Exámenes'!C903="",'Base Exámenes'!E903=""),"",IF(COUNTIF('Base Exámenes'!$C$5:C903,'Base Exámenes'!C903)=1,'Base Exámenes'!E903+ROW()/1000000000,""))</f>
        <v/>
      </c>
      <c r="AM903" t="str">
        <f>IF(OR('Base Exámenes'!C903="",'Base Exámenes'!G903=""),"",IF(ROW()-4=MATCH('Base Exámenes'!C903&amp;"|"&amp;_xlfn.MAXIFS('Base Exámenes'!$G$5:$G$1000,'Base Exámenes'!$C$5:$C$1000,'Base Exámenes'!C903),'Base Exámenes'!$I$5:$I$1000,0),'Base Exámenes'!G903*1000000+(-1)*'Base Exámenes'!D903,""))</f>
        <v/>
      </c>
      <c r="AQ903" t="str">
        <f>IF('Base Exámenes'!C903="","",IF(COUNTIF('Base Exámenes'!$C$5:$C$1000,'Base Exámenes'!C903)&lt;2,"",MATCH('Base Exámenes'!C903,'Base Exámenes'!$C$5:$C$1000,0)*10000+ROW()))</f>
        <v/>
      </c>
    </row>
    <row r="904">
      <c r="Z904" t="str">
        <f>IF('Detalle individual'!A904="","",IF(AND(OR('Estado por Colaborador'!$D$4="Todas las gerencias",'Detalle individual'!D904='Estado por Colaborador'!$D$4),OR('Estado por Colaborador'!$D$5="Todos los departamentos",TRIM('Detalle individual'!C904)='Estado por Colaborador'!$D$5),OR('Estado por Colaborador'!$D$6="Todos",'Detalle individual'!F904='Estado por Colaborador'!$D$6)),IF('Detalle individual'!F904="Completado",30000000,IF('Detalle individual'!F904="Pendiente",0,15000000))+COUNTIF('Detalle individual'!$C$5:$C$1000,"&lt;"&amp;'Detalle individual'!C904)*10000+ROW(),""))</f>
        <v/>
      </c>
      <c r="AB904" t="str">
        <f>IF('Detalle individual'!C904="","",IF(COUNTIF('Detalle individual'!$C$5:C904,'Detalle individual'!C904)=1,COUNTIF('Detalle individual'!$C$5:$C$1000,"&lt;"&amp;'Detalle individual'!C904),""))</f>
        <v/>
      </c>
      <c r="AC904" t="str">
        <f>IF('Detalle individual'!D904="","",IF(COUNTIF('Detalle individual'!$D$5:D904,'Detalle individual'!D904)=1,COUNTIF('Detalle individual'!$D$5:$D$1000,"&lt;"&amp;'Detalle individual'!D904),""))</f>
        <v/>
      </c>
      <c r="AH904" t="str">
        <f>IF('Detalle individual'!F904="Pendiente",COUNTIF('Detalle individual'!$D$5:$D$1000,"&lt;"&amp;'Detalle individual'!D904)*1000000+COUNTIF('Detalle individual'!$C$5:$C$1000,"&lt;"&amp;'Detalle individual'!C904)*1000+COUNTIF('Detalle individual'!$B$5:$B$1000,"&lt;"&amp;'Detalle individual'!B904)+ROW()/10000,"")</f>
        <v/>
      </c>
      <c r="AI904" t="str">
        <f>IF('Detalle individual'!F904="Completado",COUNTIF('Detalle individual'!$D$5:$D$1000,"&lt;"&amp;'Detalle individual'!D904)*1000000+COUNTIF('Detalle individual'!$C$5:$C$1000,"&lt;"&amp;'Detalle individual'!C904)*1000+COUNTIF('Detalle individual'!$B$5:$B$1000,"&lt;"&amp;'Detalle individual'!B904)+ROW()/10000,"")</f>
        <v/>
      </c>
      <c r="AJ904" t="str">
        <f>IF(AND('Detalle individual'!F904&lt;&gt;"",'Detalle individual'!F904&lt;&gt;"Completado",'Detalle individual'!F904&lt;&gt;"Pendiente"),COUNTIF('Detalle individual'!$D$5:$D$1000,"&lt;"&amp;'Detalle individual'!D904)*1000000+COUNTIF('Detalle individual'!$C$5:$C$1000,"&lt;"&amp;'Detalle individual'!C904)*1000+COUNTIF('Detalle individual'!$B$5:$B$1000,"&lt;"&amp;'Detalle individual'!B904)+ROW()/10000,"")</f>
        <v/>
      </c>
      <c r="AK904" t="str">
        <f>IF(OR('Base Exámenes'!C904="",'Base Exámenes'!D904=""),"",IF(COUNTIF('Base Exámenes'!$C$5:C904,'Base Exámenes'!C904)=1,'Base Exámenes'!D904+ROW()/1000000000,""))</f>
        <v/>
      </c>
      <c r="AL904" t="str">
        <f>IF(OR('Base Exámenes'!C904="",'Base Exámenes'!E904=""),"",IF(COUNTIF('Base Exámenes'!$C$5:C904,'Base Exámenes'!C904)=1,'Base Exámenes'!E904+ROW()/1000000000,""))</f>
        <v/>
      </c>
      <c r="AM904" t="str">
        <f>IF(OR('Base Exámenes'!C904="",'Base Exámenes'!G904=""),"",IF(ROW()-4=MATCH('Base Exámenes'!C904&amp;"|"&amp;_xlfn.MAXIFS('Base Exámenes'!$G$5:$G$1000,'Base Exámenes'!$C$5:$C$1000,'Base Exámenes'!C904),'Base Exámenes'!$I$5:$I$1000,0),'Base Exámenes'!G904*1000000+(-1)*'Base Exámenes'!D904,""))</f>
        <v/>
      </c>
      <c r="AQ904" t="str">
        <f>IF('Base Exámenes'!C904="","",IF(COUNTIF('Base Exámenes'!$C$5:$C$1000,'Base Exámenes'!C904)&lt;2,"",MATCH('Base Exámenes'!C904,'Base Exámenes'!$C$5:$C$1000,0)*10000+ROW()))</f>
        <v/>
      </c>
    </row>
    <row r="905">
      <c r="Z905" t="str">
        <f>IF('Detalle individual'!A905="","",IF(AND(OR('Estado por Colaborador'!$D$4="Todas las gerencias",'Detalle individual'!D905='Estado por Colaborador'!$D$4),OR('Estado por Colaborador'!$D$5="Todos los departamentos",TRIM('Detalle individual'!C905)='Estado por Colaborador'!$D$5),OR('Estado por Colaborador'!$D$6="Todos",'Detalle individual'!F905='Estado por Colaborador'!$D$6)),IF('Detalle individual'!F905="Completado",30000000,IF('Detalle individual'!F905="Pendiente",0,15000000))+COUNTIF('Detalle individual'!$C$5:$C$1000,"&lt;"&amp;'Detalle individual'!C905)*10000+ROW(),""))</f>
        <v/>
      </c>
      <c r="AB905" t="str">
        <f>IF('Detalle individual'!C905="","",IF(COUNTIF('Detalle individual'!$C$5:C905,'Detalle individual'!C905)=1,COUNTIF('Detalle individual'!$C$5:$C$1000,"&lt;"&amp;'Detalle individual'!C905),""))</f>
        <v/>
      </c>
      <c r="AC905" t="str">
        <f>IF('Detalle individual'!D905="","",IF(COUNTIF('Detalle individual'!$D$5:D905,'Detalle individual'!D905)=1,COUNTIF('Detalle individual'!$D$5:$D$1000,"&lt;"&amp;'Detalle individual'!D905),""))</f>
        <v/>
      </c>
      <c r="AH905" t="str">
        <f>IF('Detalle individual'!F905="Pendiente",COUNTIF('Detalle individual'!$D$5:$D$1000,"&lt;"&amp;'Detalle individual'!D905)*1000000+COUNTIF('Detalle individual'!$C$5:$C$1000,"&lt;"&amp;'Detalle individual'!C905)*1000+COUNTIF('Detalle individual'!$B$5:$B$1000,"&lt;"&amp;'Detalle individual'!B905)+ROW()/10000,"")</f>
        <v/>
      </c>
      <c r="AI905" t="str">
        <f>IF('Detalle individual'!F905="Completado",COUNTIF('Detalle individual'!$D$5:$D$1000,"&lt;"&amp;'Detalle individual'!D905)*1000000+COUNTIF('Detalle individual'!$C$5:$C$1000,"&lt;"&amp;'Detalle individual'!C905)*1000+COUNTIF('Detalle individual'!$B$5:$B$1000,"&lt;"&amp;'Detalle individual'!B905)+ROW()/10000,"")</f>
        <v/>
      </c>
      <c r="AJ905" t="str">
        <f>IF(AND('Detalle individual'!F905&lt;&gt;"",'Detalle individual'!F905&lt;&gt;"Completado",'Detalle individual'!F905&lt;&gt;"Pendiente"),COUNTIF('Detalle individual'!$D$5:$D$1000,"&lt;"&amp;'Detalle individual'!D905)*1000000+COUNTIF('Detalle individual'!$C$5:$C$1000,"&lt;"&amp;'Detalle individual'!C905)*1000+COUNTIF('Detalle individual'!$B$5:$B$1000,"&lt;"&amp;'Detalle individual'!B905)+ROW()/10000,"")</f>
        <v/>
      </c>
      <c r="AK905" t="str">
        <f>IF(OR('Base Exámenes'!C905="",'Base Exámenes'!D905=""),"",IF(COUNTIF('Base Exámenes'!$C$5:C905,'Base Exámenes'!C905)=1,'Base Exámenes'!D905+ROW()/1000000000,""))</f>
        <v/>
      </c>
      <c r="AL905" t="str">
        <f>IF(OR('Base Exámenes'!C905="",'Base Exámenes'!E905=""),"",IF(COUNTIF('Base Exámenes'!$C$5:C905,'Base Exámenes'!C905)=1,'Base Exámenes'!E905+ROW()/1000000000,""))</f>
        <v/>
      </c>
      <c r="AM905" t="str">
        <f>IF(OR('Base Exámenes'!C905="",'Base Exámenes'!G905=""),"",IF(ROW()-4=MATCH('Base Exámenes'!C905&amp;"|"&amp;_xlfn.MAXIFS('Base Exámenes'!$G$5:$G$1000,'Base Exámenes'!$C$5:$C$1000,'Base Exámenes'!C905),'Base Exámenes'!$I$5:$I$1000,0),'Base Exámenes'!G905*1000000+(-1)*'Base Exámenes'!D905,""))</f>
        <v/>
      </c>
      <c r="AQ905" t="str">
        <f>IF('Base Exámenes'!C905="","",IF(COUNTIF('Base Exámenes'!$C$5:$C$1000,'Base Exámenes'!C905)&lt;2,"",MATCH('Base Exámenes'!C905,'Base Exámenes'!$C$5:$C$1000,0)*10000+ROW()))</f>
        <v/>
      </c>
    </row>
    <row r="906">
      <c r="Z906" t="str">
        <f>IF('Detalle individual'!A906="","",IF(AND(OR('Estado por Colaborador'!$D$4="Todas las gerencias",'Detalle individual'!D906='Estado por Colaborador'!$D$4),OR('Estado por Colaborador'!$D$5="Todos los departamentos",TRIM('Detalle individual'!C906)='Estado por Colaborador'!$D$5),OR('Estado por Colaborador'!$D$6="Todos",'Detalle individual'!F906='Estado por Colaborador'!$D$6)),IF('Detalle individual'!F906="Completado",30000000,IF('Detalle individual'!F906="Pendiente",0,15000000))+COUNTIF('Detalle individual'!$C$5:$C$1000,"&lt;"&amp;'Detalle individual'!C906)*10000+ROW(),""))</f>
        <v/>
      </c>
      <c r="AB906" t="str">
        <f>IF('Detalle individual'!C906="","",IF(COUNTIF('Detalle individual'!$C$5:C906,'Detalle individual'!C906)=1,COUNTIF('Detalle individual'!$C$5:$C$1000,"&lt;"&amp;'Detalle individual'!C906),""))</f>
        <v/>
      </c>
      <c r="AC906" t="str">
        <f>IF('Detalle individual'!D906="","",IF(COUNTIF('Detalle individual'!$D$5:D906,'Detalle individual'!D906)=1,COUNTIF('Detalle individual'!$D$5:$D$1000,"&lt;"&amp;'Detalle individual'!D906),""))</f>
        <v/>
      </c>
      <c r="AH906" t="str">
        <f>IF('Detalle individual'!F906="Pendiente",COUNTIF('Detalle individual'!$D$5:$D$1000,"&lt;"&amp;'Detalle individual'!D906)*1000000+COUNTIF('Detalle individual'!$C$5:$C$1000,"&lt;"&amp;'Detalle individual'!C906)*1000+COUNTIF('Detalle individual'!$B$5:$B$1000,"&lt;"&amp;'Detalle individual'!B906)+ROW()/10000,"")</f>
        <v/>
      </c>
      <c r="AI906" t="str">
        <f>IF('Detalle individual'!F906="Completado",COUNTIF('Detalle individual'!$D$5:$D$1000,"&lt;"&amp;'Detalle individual'!D906)*1000000+COUNTIF('Detalle individual'!$C$5:$C$1000,"&lt;"&amp;'Detalle individual'!C906)*1000+COUNTIF('Detalle individual'!$B$5:$B$1000,"&lt;"&amp;'Detalle individual'!B906)+ROW()/10000,"")</f>
        <v/>
      </c>
      <c r="AJ906" t="str">
        <f>IF(AND('Detalle individual'!F906&lt;&gt;"",'Detalle individual'!F906&lt;&gt;"Completado",'Detalle individual'!F906&lt;&gt;"Pendiente"),COUNTIF('Detalle individual'!$D$5:$D$1000,"&lt;"&amp;'Detalle individual'!D906)*1000000+COUNTIF('Detalle individual'!$C$5:$C$1000,"&lt;"&amp;'Detalle individual'!C906)*1000+COUNTIF('Detalle individual'!$B$5:$B$1000,"&lt;"&amp;'Detalle individual'!B906)+ROW()/10000,"")</f>
        <v/>
      </c>
      <c r="AK906" t="str">
        <f>IF(OR('Base Exámenes'!C906="",'Base Exámenes'!D906=""),"",IF(COUNTIF('Base Exámenes'!$C$5:C906,'Base Exámenes'!C906)=1,'Base Exámenes'!D906+ROW()/1000000000,""))</f>
        <v/>
      </c>
      <c r="AL906" t="str">
        <f>IF(OR('Base Exámenes'!C906="",'Base Exámenes'!E906=""),"",IF(COUNTIF('Base Exámenes'!$C$5:C906,'Base Exámenes'!C906)=1,'Base Exámenes'!E906+ROW()/1000000000,""))</f>
        <v/>
      </c>
      <c r="AM906" t="str">
        <f>IF(OR('Base Exámenes'!C906="",'Base Exámenes'!G906=""),"",IF(ROW()-4=MATCH('Base Exámenes'!C906&amp;"|"&amp;_xlfn.MAXIFS('Base Exámenes'!$G$5:$G$1000,'Base Exámenes'!$C$5:$C$1000,'Base Exámenes'!C906),'Base Exámenes'!$I$5:$I$1000,0),'Base Exámenes'!G906*1000000+(-1)*'Base Exámenes'!D906,""))</f>
        <v/>
      </c>
      <c r="AQ906" t="str">
        <f>IF('Base Exámenes'!C906="","",IF(COUNTIF('Base Exámenes'!$C$5:$C$1000,'Base Exámenes'!C906)&lt;2,"",MATCH('Base Exámenes'!C906,'Base Exámenes'!$C$5:$C$1000,0)*10000+ROW()))</f>
        <v/>
      </c>
    </row>
    <row r="907">
      <c r="Z907" t="str">
        <f>IF('Detalle individual'!A907="","",IF(AND(OR('Estado por Colaborador'!$D$4="Todas las gerencias",'Detalle individual'!D907='Estado por Colaborador'!$D$4),OR('Estado por Colaborador'!$D$5="Todos los departamentos",TRIM('Detalle individual'!C907)='Estado por Colaborador'!$D$5),OR('Estado por Colaborador'!$D$6="Todos",'Detalle individual'!F907='Estado por Colaborador'!$D$6)),IF('Detalle individual'!F907="Completado",30000000,IF('Detalle individual'!F907="Pendiente",0,15000000))+COUNTIF('Detalle individual'!$C$5:$C$1000,"&lt;"&amp;'Detalle individual'!C907)*10000+ROW(),""))</f>
        <v/>
      </c>
      <c r="AB907" t="str">
        <f>IF('Detalle individual'!C907="","",IF(COUNTIF('Detalle individual'!$C$5:C907,'Detalle individual'!C907)=1,COUNTIF('Detalle individual'!$C$5:$C$1000,"&lt;"&amp;'Detalle individual'!C907),""))</f>
        <v/>
      </c>
      <c r="AC907" t="str">
        <f>IF('Detalle individual'!D907="","",IF(COUNTIF('Detalle individual'!$D$5:D907,'Detalle individual'!D907)=1,COUNTIF('Detalle individual'!$D$5:$D$1000,"&lt;"&amp;'Detalle individual'!D907),""))</f>
        <v/>
      </c>
      <c r="AH907" t="str">
        <f>IF('Detalle individual'!F907="Pendiente",COUNTIF('Detalle individual'!$D$5:$D$1000,"&lt;"&amp;'Detalle individual'!D907)*1000000+COUNTIF('Detalle individual'!$C$5:$C$1000,"&lt;"&amp;'Detalle individual'!C907)*1000+COUNTIF('Detalle individual'!$B$5:$B$1000,"&lt;"&amp;'Detalle individual'!B907)+ROW()/10000,"")</f>
        <v/>
      </c>
      <c r="AI907" t="str">
        <f>IF('Detalle individual'!F907="Completado",COUNTIF('Detalle individual'!$D$5:$D$1000,"&lt;"&amp;'Detalle individual'!D907)*1000000+COUNTIF('Detalle individual'!$C$5:$C$1000,"&lt;"&amp;'Detalle individual'!C907)*1000+COUNTIF('Detalle individual'!$B$5:$B$1000,"&lt;"&amp;'Detalle individual'!B907)+ROW()/10000,"")</f>
        <v/>
      </c>
      <c r="AJ907" t="str">
        <f>IF(AND('Detalle individual'!F907&lt;&gt;"",'Detalle individual'!F907&lt;&gt;"Completado",'Detalle individual'!F907&lt;&gt;"Pendiente"),COUNTIF('Detalle individual'!$D$5:$D$1000,"&lt;"&amp;'Detalle individual'!D907)*1000000+COUNTIF('Detalle individual'!$C$5:$C$1000,"&lt;"&amp;'Detalle individual'!C907)*1000+COUNTIF('Detalle individual'!$B$5:$B$1000,"&lt;"&amp;'Detalle individual'!B907)+ROW()/10000,"")</f>
        <v/>
      </c>
      <c r="AK907" t="str">
        <f>IF(OR('Base Exámenes'!C907="",'Base Exámenes'!D907=""),"",IF(COUNTIF('Base Exámenes'!$C$5:C907,'Base Exámenes'!C907)=1,'Base Exámenes'!D907+ROW()/1000000000,""))</f>
        <v/>
      </c>
      <c r="AL907" t="str">
        <f>IF(OR('Base Exámenes'!C907="",'Base Exámenes'!E907=""),"",IF(COUNTIF('Base Exámenes'!$C$5:C907,'Base Exámenes'!C907)=1,'Base Exámenes'!E907+ROW()/1000000000,""))</f>
        <v/>
      </c>
      <c r="AM907" t="str">
        <f>IF(OR('Base Exámenes'!C907="",'Base Exámenes'!G907=""),"",IF(ROW()-4=MATCH('Base Exámenes'!C907&amp;"|"&amp;_xlfn.MAXIFS('Base Exámenes'!$G$5:$G$1000,'Base Exámenes'!$C$5:$C$1000,'Base Exámenes'!C907),'Base Exámenes'!$I$5:$I$1000,0),'Base Exámenes'!G907*1000000+(-1)*'Base Exámenes'!D907,""))</f>
        <v/>
      </c>
      <c r="AQ907" t="str">
        <f>IF('Base Exámenes'!C907="","",IF(COUNTIF('Base Exámenes'!$C$5:$C$1000,'Base Exámenes'!C907)&lt;2,"",MATCH('Base Exámenes'!C907,'Base Exámenes'!$C$5:$C$1000,0)*10000+ROW()))</f>
        <v/>
      </c>
    </row>
    <row r="908">
      <c r="Z908" t="str">
        <f>IF('Detalle individual'!A908="","",IF(AND(OR('Estado por Colaborador'!$D$4="Todas las gerencias",'Detalle individual'!D908='Estado por Colaborador'!$D$4),OR('Estado por Colaborador'!$D$5="Todos los departamentos",TRIM('Detalle individual'!C908)='Estado por Colaborador'!$D$5),OR('Estado por Colaborador'!$D$6="Todos",'Detalle individual'!F908='Estado por Colaborador'!$D$6)),IF('Detalle individual'!F908="Completado",30000000,IF('Detalle individual'!F908="Pendiente",0,15000000))+COUNTIF('Detalle individual'!$C$5:$C$1000,"&lt;"&amp;'Detalle individual'!C908)*10000+ROW(),""))</f>
        <v/>
      </c>
      <c r="AB908" t="str">
        <f>IF('Detalle individual'!C908="","",IF(COUNTIF('Detalle individual'!$C$5:C908,'Detalle individual'!C908)=1,COUNTIF('Detalle individual'!$C$5:$C$1000,"&lt;"&amp;'Detalle individual'!C908),""))</f>
        <v/>
      </c>
      <c r="AC908" t="str">
        <f>IF('Detalle individual'!D908="","",IF(COUNTIF('Detalle individual'!$D$5:D908,'Detalle individual'!D908)=1,COUNTIF('Detalle individual'!$D$5:$D$1000,"&lt;"&amp;'Detalle individual'!D908),""))</f>
        <v/>
      </c>
      <c r="AH908" t="str">
        <f>IF('Detalle individual'!F908="Pendiente",COUNTIF('Detalle individual'!$D$5:$D$1000,"&lt;"&amp;'Detalle individual'!D908)*1000000+COUNTIF('Detalle individual'!$C$5:$C$1000,"&lt;"&amp;'Detalle individual'!C908)*1000+COUNTIF('Detalle individual'!$B$5:$B$1000,"&lt;"&amp;'Detalle individual'!B908)+ROW()/10000,"")</f>
        <v/>
      </c>
      <c r="AI908" t="str">
        <f>IF('Detalle individual'!F908="Completado",COUNTIF('Detalle individual'!$D$5:$D$1000,"&lt;"&amp;'Detalle individual'!D908)*1000000+COUNTIF('Detalle individual'!$C$5:$C$1000,"&lt;"&amp;'Detalle individual'!C908)*1000+COUNTIF('Detalle individual'!$B$5:$B$1000,"&lt;"&amp;'Detalle individual'!B908)+ROW()/10000,"")</f>
        <v/>
      </c>
      <c r="AJ908" t="str">
        <f>IF(AND('Detalle individual'!F908&lt;&gt;"",'Detalle individual'!F908&lt;&gt;"Completado",'Detalle individual'!F908&lt;&gt;"Pendiente"),COUNTIF('Detalle individual'!$D$5:$D$1000,"&lt;"&amp;'Detalle individual'!D908)*1000000+COUNTIF('Detalle individual'!$C$5:$C$1000,"&lt;"&amp;'Detalle individual'!C908)*1000+COUNTIF('Detalle individual'!$B$5:$B$1000,"&lt;"&amp;'Detalle individual'!B908)+ROW()/10000,"")</f>
        <v/>
      </c>
      <c r="AK908" t="str">
        <f>IF(OR('Base Exámenes'!C908="",'Base Exámenes'!D908=""),"",IF(COUNTIF('Base Exámenes'!$C$5:C908,'Base Exámenes'!C908)=1,'Base Exámenes'!D908+ROW()/1000000000,""))</f>
        <v/>
      </c>
      <c r="AL908" t="str">
        <f>IF(OR('Base Exámenes'!C908="",'Base Exámenes'!E908=""),"",IF(COUNTIF('Base Exámenes'!$C$5:C908,'Base Exámenes'!C908)=1,'Base Exámenes'!E908+ROW()/1000000000,""))</f>
        <v/>
      </c>
      <c r="AM908" t="str">
        <f>IF(OR('Base Exámenes'!C908="",'Base Exámenes'!G908=""),"",IF(ROW()-4=MATCH('Base Exámenes'!C908&amp;"|"&amp;_xlfn.MAXIFS('Base Exámenes'!$G$5:$G$1000,'Base Exámenes'!$C$5:$C$1000,'Base Exámenes'!C908),'Base Exámenes'!$I$5:$I$1000,0),'Base Exámenes'!G908*1000000+(-1)*'Base Exámenes'!D908,""))</f>
        <v/>
      </c>
      <c r="AQ908" t="str">
        <f>IF('Base Exámenes'!C908="","",IF(COUNTIF('Base Exámenes'!$C$5:$C$1000,'Base Exámenes'!C908)&lt;2,"",MATCH('Base Exámenes'!C908,'Base Exámenes'!$C$5:$C$1000,0)*10000+ROW()))</f>
        <v/>
      </c>
    </row>
    <row r="909">
      <c r="Z909" t="str">
        <f>IF('Detalle individual'!A909="","",IF(AND(OR('Estado por Colaborador'!$D$4="Todas las gerencias",'Detalle individual'!D909='Estado por Colaborador'!$D$4),OR('Estado por Colaborador'!$D$5="Todos los departamentos",TRIM('Detalle individual'!C909)='Estado por Colaborador'!$D$5),OR('Estado por Colaborador'!$D$6="Todos",'Detalle individual'!F909='Estado por Colaborador'!$D$6)),IF('Detalle individual'!F909="Completado",30000000,IF('Detalle individual'!F909="Pendiente",0,15000000))+COUNTIF('Detalle individual'!$C$5:$C$1000,"&lt;"&amp;'Detalle individual'!C909)*10000+ROW(),""))</f>
        <v/>
      </c>
      <c r="AB909" t="str">
        <f>IF('Detalle individual'!C909="","",IF(COUNTIF('Detalle individual'!$C$5:C909,'Detalle individual'!C909)=1,COUNTIF('Detalle individual'!$C$5:$C$1000,"&lt;"&amp;'Detalle individual'!C909),""))</f>
        <v/>
      </c>
      <c r="AC909" t="str">
        <f>IF('Detalle individual'!D909="","",IF(COUNTIF('Detalle individual'!$D$5:D909,'Detalle individual'!D909)=1,COUNTIF('Detalle individual'!$D$5:$D$1000,"&lt;"&amp;'Detalle individual'!D909),""))</f>
        <v/>
      </c>
      <c r="AH909" t="str">
        <f>IF('Detalle individual'!F909="Pendiente",COUNTIF('Detalle individual'!$D$5:$D$1000,"&lt;"&amp;'Detalle individual'!D909)*1000000+COUNTIF('Detalle individual'!$C$5:$C$1000,"&lt;"&amp;'Detalle individual'!C909)*1000+COUNTIF('Detalle individual'!$B$5:$B$1000,"&lt;"&amp;'Detalle individual'!B909)+ROW()/10000,"")</f>
        <v/>
      </c>
      <c r="AI909" t="str">
        <f>IF('Detalle individual'!F909="Completado",COUNTIF('Detalle individual'!$D$5:$D$1000,"&lt;"&amp;'Detalle individual'!D909)*1000000+COUNTIF('Detalle individual'!$C$5:$C$1000,"&lt;"&amp;'Detalle individual'!C909)*1000+COUNTIF('Detalle individual'!$B$5:$B$1000,"&lt;"&amp;'Detalle individual'!B909)+ROW()/10000,"")</f>
        <v/>
      </c>
      <c r="AJ909" t="str">
        <f>IF(AND('Detalle individual'!F909&lt;&gt;"",'Detalle individual'!F909&lt;&gt;"Completado",'Detalle individual'!F909&lt;&gt;"Pendiente"),COUNTIF('Detalle individual'!$D$5:$D$1000,"&lt;"&amp;'Detalle individual'!D909)*1000000+COUNTIF('Detalle individual'!$C$5:$C$1000,"&lt;"&amp;'Detalle individual'!C909)*1000+COUNTIF('Detalle individual'!$B$5:$B$1000,"&lt;"&amp;'Detalle individual'!B909)+ROW()/10000,"")</f>
        <v/>
      </c>
      <c r="AK909" t="str">
        <f>IF(OR('Base Exámenes'!C909="",'Base Exámenes'!D909=""),"",IF(COUNTIF('Base Exámenes'!$C$5:C909,'Base Exámenes'!C909)=1,'Base Exámenes'!D909+ROW()/1000000000,""))</f>
        <v/>
      </c>
      <c r="AL909" t="str">
        <f>IF(OR('Base Exámenes'!C909="",'Base Exámenes'!E909=""),"",IF(COUNTIF('Base Exámenes'!$C$5:C909,'Base Exámenes'!C909)=1,'Base Exámenes'!E909+ROW()/1000000000,""))</f>
        <v/>
      </c>
      <c r="AM909" t="str">
        <f>IF(OR('Base Exámenes'!C909="",'Base Exámenes'!G909=""),"",IF(ROW()-4=MATCH('Base Exámenes'!C909&amp;"|"&amp;_xlfn.MAXIFS('Base Exámenes'!$G$5:$G$1000,'Base Exámenes'!$C$5:$C$1000,'Base Exámenes'!C909),'Base Exámenes'!$I$5:$I$1000,0),'Base Exámenes'!G909*1000000+(-1)*'Base Exámenes'!D909,""))</f>
        <v/>
      </c>
      <c r="AQ909" t="str">
        <f>IF('Base Exámenes'!C909="","",IF(COUNTIF('Base Exámenes'!$C$5:$C$1000,'Base Exámenes'!C909)&lt;2,"",MATCH('Base Exámenes'!C909,'Base Exámenes'!$C$5:$C$1000,0)*10000+ROW()))</f>
        <v/>
      </c>
    </row>
    <row r="910">
      <c r="Z910" t="str">
        <f>IF('Detalle individual'!A910="","",IF(AND(OR('Estado por Colaborador'!$D$4="Todas las gerencias",'Detalle individual'!D910='Estado por Colaborador'!$D$4),OR('Estado por Colaborador'!$D$5="Todos los departamentos",TRIM('Detalle individual'!C910)='Estado por Colaborador'!$D$5),OR('Estado por Colaborador'!$D$6="Todos",'Detalle individual'!F910='Estado por Colaborador'!$D$6)),IF('Detalle individual'!F910="Completado",30000000,IF('Detalle individual'!F910="Pendiente",0,15000000))+COUNTIF('Detalle individual'!$C$5:$C$1000,"&lt;"&amp;'Detalle individual'!C910)*10000+ROW(),""))</f>
        <v/>
      </c>
      <c r="AB910" t="str">
        <f>IF('Detalle individual'!C910="","",IF(COUNTIF('Detalle individual'!$C$5:C910,'Detalle individual'!C910)=1,COUNTIF('Detalle individual'!$C$5:$C$1000,"&lt;"&amp;'Detalle individual'!C910),""))</f>
        <v/>
      </c>
      <c r="AC910" t="str">
        <f>IF('Detalle individual'!D910="","",IF(COUNTIF('Detalle individual'!$D$5:D910,'Detalle individual'!D910)=1,COUNTIF('Detalle individual'!$D$5:$D$1000,"&lt;"&amp;'Detalle individual'!D910),""))</f>
        <v/>
      </c>
      <c r="AH910" t="str">
        <f>IF('Detalle individual'!F910="Pendiente",COUNTIF('Detalle individual'!$D$5:$D$1000,"&lt;"&amp;'Detalle individual'!D910)*1000000+COUNTIF('Detalle individual'!$C$5:$C$1000,"&lt;"&amp;'Detalle individual'!C910)*1000+COUNTIF('Detalle individual'!$B$5:$B$1000,"&lt;"&amp;'Detalle individual'!B910)+ROW()/10000,"")</f>
        <v/>
      </c>
      <c r="AI910" t="str">
        <f>IF('Detalle individual'!F910="Completado",COUNTIF('Detalle individual'!$D$5:$D$1000,"&lt;"&amp;'Detalle individual'!D910)*1000000+COUNTIF('Detalle individual'!$C$5:$C$1000,"&lt;"&amp;'Detalle individual'!C910)*1000+COUNTIF('Detalle individual'!$B$5:$B$1000,"&lt;"&amp;'Detalle individual'!B910)+ROW()/10000,"")</f>
        <v/>
      </c>
      <c r="AJ910" t="str">
        <f>IF(AND('Detalle individual'!F910&lt;&gt;"",'Detalle individual'!F910&lt;&gt;"Completado",'Detalle individual'!F910&lt;&gt;"Pendiente"),COUNTIF('Detalle individual'!$D$5:$D$1000,"&lt;"&amp;'Detalle individual'!D910)*1000000+COUNTIF('Detalle individual'!$C$5:$C$1000,"&lt;"&amp;'Detalle individual'!C910)*1000+COUNTIF('Detalle individual'!$B$5:$B$1000,"&lt;"&amp;'Detalle individual'!B910)+ROW()/10000,"")</f>
        <v/>
      </c>
      <c r="AK910" t="str">
        <f>IF(OR('Base Exámenes'!C910="",'Base Exámenes'!D910=""),"",IF(COUNTIF('Base Exámenes'!$C$5:C910,'Base Exámenes'!C910)=1,'Base Exámenes'!D910+ROW()/1000000000,""))</f>
        <v/>
      </c>
      <c r="AL910" t="str">
        <f>IF(OR('Base Exámenes'!C910="",'Base Exámenes'!E910=""),"",IF(COUNTIF('Base Exámenes'!$C$5:C910,'Base Exámenes'!C910)=1,'Base Exámenes'!E910+ROW()/1000000000,""))</f>
        <v/>
      </c>
      <c r="AM910" t="str">
        <f>IF(OR('Base Exámenes'!C910="",'Base Exámenes'!G910=""),"",IF(ROW()-4=MATCH('Base Exámenes'!C910&amp;"|"&amp;_xlfn.MAXIFS('Base Exámenes'!$G$5:$G$1000,'Base Exámenes'!$C$5:$C$1000,'Base Exámenes'!C910),'Base Exámenes'!$I$5:$I$1000,0),'Base Exámenes'!G910*1000000+(-1)*'Base Exámenes'!D910,""))</f>
        <v/>
      </c>
      <c r="AQ910" t="str">
        <f>IF('Base Exámenes'!C910="","",IF(COUNTIF('Base Exámenes'!$C$5:$C$1000,'Base Exámenes'!C910)&lt;2,"",MATCH('Base Exámenes'!C910,'Base Exámenes'!$C$5:$C$1000,0)*10000+ROW()))</f>
        <v/>
      </c>
    </row>
    <row r="911">
      <c r="Z911" t="str">
        <f>IF('Detalle individual'!A911="","",IF(AND(OR('Estado por Colaborador'!$D$4="Todas las gerencias",'Detalle individual'!D911='Estado por Colaborador'!$D$4),OR('Estado por Colaborador'!$D$5="Todos los departamentos",TRIM('Detalle individual'!C911)='Estado por Colaborador'!$D$5),OR('Estado por Colaborador'!$D$6="Todos",'Detalle individual'!F911='Estado por Colaborador'!$D$6)),IF('Detalle individual'!F911="Completado",30000000,IF('Detalle individual'!F911="Pendiente",0,15000000))+COUNTIF('Detalle individual'!$C$5:$C$1000,"&lt;"&amp;'Detalle individual'!C911)*10000+ROW(),""))</f>
        <v/>
      </c>
      <c r="AB911" t="str">
        <f>IF('Detalle individual'!C911="","",IF(COUNTIF('Detalle individual'!$C$5:C911,'Detalle individual'!C911)=1,COUNTIF('Detalle individual'!$C$5:$C$1000,"&lt;"&amp;'Detalle individual'!C911),""))</f>
        <v/>
      </c>
      <c r="AC911" t="str">
        <f>IF('Detalle individual'!D911="","",IF(COUNTIF('Detalle individual'!$D$5:D911,'Detalle individual'!D911)=1,COUNTIF('Detalle individual'!$D$5:$D$1000,"&lt;"&amp;'Detalle individual'!D911),""))</f>
        <v/>
      </c>
      <c r="AH911" t="str">
        <f>IF('Detalle individual'!F911="Pendiente",COUNTIF('Detalle individual'!$D$5:$D$1000,"&lt;"&amp;'Detalle individual'!D911)*1000000+COUNTIF('Detalle individual'!$C$5:$C$1000,"&lt;"&amp;'Detalle individual'!C911)*1000+COUNTIF('Detalle individual'!$B$5:$B$1000,"&lt;"&amp;'Detalle individual'!B911)+ROW()/10000,"")</f>
        <v/>
      </c>
      <c r="AI911" t="str">
        <f>IF('Detalle individual'!F911="Completado",COUNTIF('Detalle individual'!$D$5:$D$1000,"&lt;"&amp;'Detalle individual'!D911)*1000000+COUNTIF('Detalle individual'!$C$5:$C$1000,"&lt;"&amp;'Detalle individual'!C911)*1000+COUNTIF('Detalle individual'!$B$5:$B$1000,"&lt;"&amp;'Detalle individual'!B911)+ROW()/10000,"")</f>
        <v/>
      </c>
      <c r="AJ911" t="str">
        <f>IF(AND('Detalle individual'!F911&lt;&gt;"",'Detalle individual'!F911&lt;&gt;"Completado",'Detalle individual'!F911&lt;&gt;"Pendiente"),COUNTIF('Detalle individual'!$D$5:$D$1000,"&lt;"&amp;'Detalle individual'!D911)*1000000+COUNTIF('Detalle individual'!$C$5:$C$1000,"&lt;"&amp;'Detalle individual'!C911)*1000+COUNTIF('Detalle individual'!$B$5:$B$1000,"&lt;"&amp;'Detalle individual'!B911)+ROW()/10000,"")</f>
        <v/>
      </c>
      <c r="AK911" t="str">
        <f>IF(OR('Base Exámenes'!C911="",'Base Exámenes'!D911=""),"",IF(COUNTIF('Base Exámenes'!$C$5:C911,'Base Exámenes'!C911)=1,'Base Exámenes'!D911+ROW()/1000000000,""))</f>
        <v/>
      </c>
      <c r="AL911" t="str">
        <f>IF(OR('Base Exámenes'!C911="",'Base Exámenes'!E911=""),"",IF(COUNTIF('Base Exámenes'!$C$5:C911,'Base Exámenes'!C911)=1,'Base Exámenes'!E911+ROW()/1000000000,""))</f>
        <v/>
      </c>
      <c r="AM911" t="str">
        <f>IF(OR('Base Exámenes'!C911="",'Base Exámenes'!G911=""),"",IF(ROW()-4=MATCH('Base Exámenes'!C911&amp;"|"&amp;_xlfn.MAXIFS('Base Exámenes'!$G$5:$G$1000,'Base Exámenes'!$C$5:$C$1000,'Base Exámenes'!C911),'Base Exámenes'!$I$5:$I$1000,0),'Base Exámenes'!G911*1000000+(-1)*'Base Exámenes'!D911,""))</f>
        <v/>
      </c>
      <c r="AQ911" t="str">
        <f>IF('Base Exámenes'!C911="","",IF(COUNTIF('Base Exámenes'!$C$5:$C$1000,'Base Exámenes'!C911)&lt;2,"",MATCH('Base Exámenes'!C911,'Base Exámenes'!$C$5:$C$1000,0)*10000+ROW()))</f>
        <v/>
      </c>
    </row>
    <row r="912">
      <c r="Z912" t="str">
        <f>IF('Detalle individual'!A912="","",IF(AND(OR('Estado por Colaborador'!$D$4="Todas las gerencias",'Detalle individual'!D912='Estado por Colaborador'!$D$4),OR('Estado por Colaborador'!$D$5="Todos los departamentos",TRIM('Detalle individual'!C912)='Estado por Colaborador'!$D$5),OR('Estado por Colaborador'!$D$6="Todos",'Detalle individual'!F912='Estado por Colaborador'!$D$6)),IF('Detalle individual'!F912="Completado",30000000,IF('Detalle individual'!F912="Pendiente",0,15000000))+COUNTIF('Detalle individual'!$C$5:$C$1000,"&lt;"&amp;'Detalle individual'!C912)*10000+ROW(),""))</f>
        <v/>
      </c>
      <c r="AB912" t="str">
        <f>IF('Detalle individual'!C912="","",IF(COUNTIF('Detalle individual'!$C$5:C912,'Detalle individual'!C912)=1,COUNTIF('Detalle individual'!$C$5:$C$1000,"&lt;"&amp;'Detalle individual'!C912),""))</f>
        <v/>
      </c>
      <c r="AC912" t="str">
        <f>IF('Detalle individual'!D912="","",IF(COUNTIF('Detalle individual'!$D$5:D912,'Detalle individual'!D912)=1,COUNTIF('Detalle individual'!$D$5:$D$1000,"&lt;"&amp;'Detalle individual'!D912),""))</f>
        <v/>
      </c>
      <c r="AH912" t="str">
        <f>IF('Detalle individual'!F912="Pendiente",COUNTIF('Detalle individual'!$D$5:$D$1000,"&lt;"&amp;'Detalle individual'!D912)*1000000+COUNTIF('Detalle individual'!$C$5:$C$1000,"&lt;"&amp;'Detalle individual'!C912)*1000+COUNTIF('Detalle individual'!$B$5:$B$1000,"&lt;"&amp;'Detalle individual'!B912)+ROW()/10000,"")</f>
        <v/>
      </c>
      <c r="AI912" t="str">
        <f>IF('Detalle individual'!F912="Completado",COUNTIF('Detalle individual'!$D$5:$D$1000,"&lt;"&amp;'Detalle individual'!D912)*1000000+COUNTIF('Detalle individual'!$C$5:$C$1000,"&lt;"&amp;'Detalle individual'!C912)*1000+COUNTIF('Detalle individual'!$B$5:$B$1000,"&lt;"&amp;'Detalle individual'!B912)+ROW()/10000,"")</f>
        <v/>
      </c>
      <c r="AJ912" t="str">
        <f>IF(AND('Detalle individual'!F912&lt;&gt;"",'Detalle individual'!F912&lt;&gt;"Completado",'Detalle individual'!F912&lt;&gt;"Pendiente"),COUNTIF('Detalle individual'!$D$5:$D$1000,"&lt;"&amp;'Detalle individual'!D912)*1000000+COUNTIF('Detalle individual'!$C$5:$C$1000,"&lt;"&amp;'Detalle individual'!C912)*1000+COUNTIF('Detalle individual'!$B$5:$B$1000,"&lt;"&amp;'Detalle individual'!B912)+ROW()/10000,"")</f>
        <v/>
      </c>
      <c r="AK912" t="str">
        <f>IF(OR('Base Exámenes'!C912="",'Base Exámenes'!D912=""),"",IF(COUNTIF('Base Exámenes'!$C$5:C912,'Base Exámenes'!C912)=1,'Base Exámenes'!D912+ROW()/1000000000,""))</f>
        <v/>
      </c>
      <c r="AL912" t="str">
        <f>IF(OR('Base Exámenes'!C912="",'Base Exámenes'!E912=""),"",IF(COUNTIF('Base Exámenes'!$C$5:C912,'Base Exámenes'!C912)=1,'Base Exámenes'!E912+ROW()/1000000000,""))</f>
        <v/>
      </c>
      <c r="AM912" t="str">
        <f>IF(OR('Base Exámenes'!C912="",'Base Exámenes'!G912=""),"",IF(ROW()-4=MATCH('Base Exámenes'!C912&amp;"|"&amp;_xlfn.MAXIFS('Base Exámenes'!$G$5:$G$1000,'Base Exámenes'!$C$5:$C$1000,'Base Exámenes'!C912),'Base Exámenes'!$I$5:$I$1000,0),'Base Exámenes'!G912*1000000+(-1)*'Base Exámenes'!D912,""))</f>
        <v/>
      </c>
      <c r="AQ912" t="str">
        <f>IF('Base Exámenes'!C912="","",IF(COUNTIF('Base Exámenes'!$C$5:$C$1000,'Base Exámenes'!C912)&lt;2,"",MATCH('Base Exámenes'!C912,'Base Exámenes'!$C$5:$C$1000,0)*10000+ROW()))</f>
        <v/>
      </c>
    </row>
    <row r="913">
      <c r="Z913" t="str">
        <f>IF('Detalle individual'!A913="","",IF(AND(OR('Estado por Colaborador'!$D$4="Todas las gerencias",'Detalle individual'!D913='Estado por Colaborador'!$D$4),OR('Estado por Colaborador'!$D$5="Todos los departamentos",TRIM('Detalle individual'!C913)='Estado por Colaborador'!$D$5),OR('Estado por Colaborador'!$D$6="Todos",'Detalle individual'!F913='Estado por Colaborador'!$D$6)),IF('Detalle individual'!F913="Completado",30000000,IF('Detalle individual'!F913="Pendiente",0,15000000))+COUNTIF('Detalle individual'!$C$5:$C$1000,"&lt;"&amp;'Detalle individual'!C913)*10000+ROW(),""))</f>
        <v/>
      </c>
      <c r="AB913" t="str">
        <f>IF('Detalle individual'!C913="","",IF(COUNTIF('Detalle individual'!$C$5:C913,'Detalle individual'!C913)=1,COUNTIF('Detalle individual'!$C$5:$C$1000,"&lt;"&amp;'Detalle individual'!C913),""))</f>
        <v/>
      </c>
      <c r="AC913" t="str">
        <f>IF('Detalle individual'!D913="","",IF(COUNTIF('Detalle individual'!$D$5:D913,'Detalle individual'!D913)=1,COUNTIF('Detalle individual'!$D$5:$D$1000,"&lt;"&amp;'Detalle individual'!D913),""))</f>
        <v/>
      </c>
      <c r="AH913" t="str">
        <f>IF('Detalle individual'!F913="Pendiente",COUNTIF('Detalle individual'!$D$5:$D$1000,"&lt;"&amp;'Detalle individual'!D913)*1000000+COUNTIF('Detalle individual'!$C$5:$C$1000,"&lt;"&amp;'Detalle individual'!C913)*1000+COUNTIF('Detalle individual'!$B$5:$B$1000,"&lt;"&amp;'Detalle individual'!B913)+ROW()/10000,"")</f>
        <v/>
      </c>
      <c r="AI913" t="str">
        <f>IF('Detalle individual'!F913="Completado",COUNTIF('Detalle individual'!$D$5:$D$1000,"&lt;"&amp;'Detalle individual'!D913)*1000000+COUNTIF('Detalle individual'!$C$5:$C$1000,"&lt;"&amp;'Detalle individual'!C913)*1000+COUNTIF('Detalle individual'!$B$5:$B$1000,"&lt;"&amp;'Detalle individual'!B913)+ROW()/10000,"")</f>
        <v/>
      </c>
      <c r="AJ913" t="str">
        <f>IF(AND('Detalle individual'!F913&lt;&gt;"",'Detalle individual'!F913&lt;&gt;"Completado",'Detalle individual'!F913&lt;&gt;"Pendiente"),COUNTIF('Detalle individual'!$D$5:$D$1000,"&lt;"&amp;'Detalle individual'!D913)*1000000+COUNTIF('Detalle individual'!$C$5:$C$1000,"&lt;"&amp;'Detalle individual'!C913)*1000+COUNTIF('Detalle individual'!$B$5:$B$1000,"&lt;"&amp;'Detalle individual'!B913)+ROW()/10000,"")</f>
        <v/>
      </c>
      <c r="AK913" t="str">
        <f>IF(OR('Base Exámenes'!C913="",'Base Exámenes'!D913=""),"",IF(COUNTIF('Base Exámenes'!$C$5:C913,'Base Exámenes'!C913)=1,'Base Exámenes'!D913+ROW()/1000000000,""))</f>
        <v/>
      </c>
      <c r="AL913" t="str">
        <f>IF(OR('Base Exámenes'!C913="",'Base Exámenes'!E913=""),"",IF(COUNTIF('Base Exámenes'!$C$5:C913,'Base Exámenes'!C913)=1,'Base Exámenes'!E913+ROW()/1000000000,""))</f>
        <v/>
      </c>
      <c r="AM913" t="str">
        <f>IF(OR('Base Exámenes'!C913="",'Base Exámenes'!G913=""),"",IF(ROW()-4=MATCH('Base Exámenes'!C913&amp;"|"&amp;_xlfn.MAXIFS('Base Exámenes'!$G$5:$G$1000,'Base Exámenes'!$C$5:$C$1000,'Base Exámenes'!C913),'Base Exámenes'!$I$5:$I$1000,0),'Base Exámenes'!G913*1000000+(-1)*'Base Exámenes'!D913,""))</f>
        <v/>
      </c>
      <c r="AQ913" t="str">
        <f>IF('Base Exámenes'!C913="","",IF(COUNTIF('Base Exámenes'!$C$5:$C$1000,'Base Exámenes'!C913)&lt;2,"",MATCH('Base Exámenes'!C913,'Base Exámenes'!$C$5:$C$1000,0)*10000+ROW()))</f>
        <v/>
      </c>
    </row>
    <row r="914">
      <c r="Z914" t="str">
        <f>IF('Detalle individual'!A914="","",IF(AND(OR('Estado por Colaborador'!$D$4="Todas las gerencias",'Detalle individual'!D914='Estado por Colaborador'!$D$4),OR('Estado por Colaborador'!$D$5="Todos los departamentos",TRIM('Detalle individual'!C914)='Estado por Colaborador'!$D$5),OR('Estado por Colaborador'!$D$6="Todos",'Detalle individual'!F914='Estado por Colaborador'!$D$6)),IF('Detalle individual'!F914="Completado",30000000,IF('Detalle individual'!F914="Pendiente",0,15000000))+COUNTIF('Detalle individual'!$C$5:$C$1000,"&lt;"&amp;'Detalle individual'!C914)*10000+ROW(),""))</f>
        <v/>
      </c>
      <c r="AB914" t="str">
        <f>IF('Detalle individual'!C914="","",IF(COUNTIF('Detalle individual'!$C$5:C914,'Detalle individual'!C914)=1,COUNTIF('Detalle individual'!$C$5:$C$1000,"&lt;"&amp;'Detalle individual'!C914),""))</f>
        <v/>
      </c>
      <c r="AC914" t="str">
        <f>IF('Detalle individual'!D914="","",IF(COUNTIF('Detalle individual'!$D$5:D914,'Detalle individual'!D914)=1,COUNTIF('Detalle individual'!$D$5:$D$1000,"&lt;"&amp;'Detalle individual'!D914),""))</f>
        <v/>
      </c>
      <c r="AH914" t="str">
        <f>IF('Detalle individual'!F914="Pendiente",COUNTIF('Detalle individual'!$D$5:$D$1000,"&lt;"&amp;'Detalle individual'!D914)*1000000+COUNTIF('Detalle individual'!$C$5:$C$1000,"&lt;"&amp;'Detalle individual'!C914)*1000+COUNTIF('Detalle individual'!$B$5:$B$1000,"&lt;"&amp;'Detalle individual'!B914)+ROW()/10000,"")</f>
        <v/>
      </c>
      <c r="AI914" t="str">
        <f>IF('Detalle individual'!F914="Completado",COUNTIF('Detalle individual'!$D$5:$D$1000,"&lt;"&amp;'Detalle individual'!D914)*1000000+COUNTIF('Detalle individual'!$C$5:$C$1000,"&lt;"&amp;'Detalle individual'!C914)*1000+COUNTIF('Detalle individual'!$B$5:$B$1000,"&lt;"&amp;'Detalle individual'!B914)+ROW()/10000,"")</f>
        <v/>
      </c>
      <c r="AJ914" t="str">
        <f>IF(AND('Detalle individual'!F914&lt;&gt;"",'Detalle individual'!F914&lt;&gt;"Completado",'Detalle individual'!F914&lt;&gt;"Pendiente"),COUNTIF('Detalle individual'!$D$5:$D$1000,"&lt;"&amp;'Detalle individual'!D914)*1000000+COUNTIF('Detalle individual'!$C$5:$C$1000,"&lt;"&amp;'Detalle individual'!C914)*1000+COUNTIF('Detalle individual'!$B$5:$B$1000,"&lt;"&amp;'Detalle individual'!B914)+ROW()/10000,"")</f>
        <v/>
      </c>
      <c r="AK914" t="str">
        <f>IF(OR('Base Exámenes'!C914="",'Base Exámenes'!D914=""),"",IF(COUNTIF('Base Exámenes'!$C$5:C914,'Base Exámenes'!C914)=1,'Base Exámenes'!D914+ROW()/1000000000,""))</f>
        <v/>
      </c>
      <c r="AL914" t="str">
        <f>IF(OR('Base Exámenes'!C914="",'Base Exámenes'!E914=""),"",IF(COUNTIF('Base Exámenes'!$C$5:C914,'Base Exámenes'!C914)=1,'Base Exámenes'!E914+ROW()/1000000000,""))</f>
        <v/>
      </c>
      <c r="AM914" t="str">
        <f>IF(OR('Base Exámenes'!C914="",'Base Exámenes'!G914=""),"",IF(ROW()-4=MATCH('Base Exámenes'!C914&amp;"|"&amp;_xlfn.MAXIFS('Base Exámenes'!$G$5:$G$1000,'Base Exámenes'!$C$5:$C$1000,'Base Exámenes'!C914),'Base Exámenes'!$I$5:$I$1000,0),'Base Exámenes'!G914*1000000+(-1)*'Base Exámenes'!D914,""))</f>
        <v/>
      </c>
      <c r="AQ914" t="str">
        <f>IF('Base Exámenes'!C914="","",IF(COUNTIF('Base Exámenes'!$C$5:$C$1000,'Base Exámenes'!C914)&lt;2,"",MATCH('Base Exámenes'!C914,'Base Exámenes'!$C$5:$C$1000,0)*10000+ROW()))</f>
        <v/>
      </c>
    </row>
    <row r="915">
      <c r="Z915" t="str">
        <f>IF('Detalle individual'!A915="","",IF(AND(OR('Estado por Colaborador'!$D$4="Todas las gerencias",'Detalle individual'!D915='Estado por Colaborador'!$D$4),OR('Estado por Colaborador'!$D$5="Todos los departamentos",TRIM('Detalle individual'!C915)='Estado por Colaborador'!$D$5),OR('Estado por Colaborador'!$D$6="Todos",'Detalle individual'!F915='Estado por Colaborador'!$D$6)),IF('Detalle individual'!F915="Completado",30000000,IF('Detalle individual'!F915="Pendiente",0,15000000))+COUNTIF('Detalle individual'!$C$5:$C$1000,"&lt;"&amp;'Detalle individual'!C915)*10000+ROW(),""))</f>
        <v/>
      </c>
      <c r="AB915" t="str">
        <f>IF('Detalle individual'!C915="","",IF(COUNTIF('Detalle individual'!$C$5:C915,'Detalle individual'!C915)=1,COUNTIF('Detalle individual'!$C$5:$C$1000,"&lt;"&amp;'Detalle individual'!C915),""))</f>
        <v/>
      </c>
      <c r="AC915" t="str">
        <f>IF('Detalle individual'!D915="","",IF(COUNTIF('Detalle individual'!$D$5:D915,'Detalle individual'!D915)=1,COUNTIF('Detalle individual'!$D$5:$D$1000,"&lt;"&amp;'Detalle individual'!D915),""))</f>
        <v/>
      </c>
      <c r="AH915" t="str">
        <f>IF('Detalle individual'!F915="Pendiente",COUNTIF('Detalle individual'!$D$5:$D$1000,"&lt;"&amp;'Detalle individual'!D915)*1000000+COUNTIF('Detalle individual'!$C$5:$C$1000,"&lt;"&amp;'Detalle individual'!C915)*1000+COUNTIF('Detalle individual'!$B$5:$B$1000,"&lt;"&amp;'Detalle individual'!B915)+ROW()/10000,"")</f>
        <v/>
      </c>
      <c r="AI915" t="str">
        <f>IF('Detalle individual'!F915="Completado",COUNTIF('Detalle individual'!$D$5:$D$1000,"&lt;"&amp;'Detalle individual'!D915)*1000000+COUNTIF('Detalle individual'!$C$5:$C$1000,"&lt;"&amp;'Detalle individual'!C915)*1000+COUNTIF('Detalle individual'!$B$5:$B$1000,"&lt;"&amp;'Detalle individual'!B915)+ROW()/10000,"")</f>
        <v/>
      </c>
      <c r="AJ915" t="str">
        <f>IF(AND('Detalle individual'!F915&lt;&gt;"",'Detalle individual'!F915&lt;&gt;"Completado",'Detalle individual'!F915&lt;&gt;"Pendiente"),COUNTIF('Detalle individual'!$D$5:$D$1000,"&lt;"&amp;'Detalle individual'!D915)*1000000+COUNTIF('Detalle individual'!$C$5:$C$1000,"&lt;"&amp;'Detalle individual'!C915)*1000+COUNTIF('Detalle individual'!$B$5:$B$1000,"&lt;"&amp;'Detalle individual'!B915)+ROW()/10000,"")</f>
        <v/>
      </c>
      <c r="AK915" t="str">
        <f>IF(OR('Base Exámenes'!C915="",'Base Exámenes'!D915=""),"",IF(COUNTIF('Base Exámenes'!$C$5:C915,'Base Exámenes'!C915)=1,'Base Exámenes'!D915+ROW()/1000000000,""))</f>
        <v/>
      </c>
      <c r="AL915" t="str">
        <f>IF(OR('Base Exámenes'!C915="",'Base Exámenes'!E915=""),"",IF(COUNTIF('Base Exámenes'!$C$5:C915,'Base Exámenes'!C915)=1,'Base Exámenes'!E915+ROW()/1000000000,""))</f>
        <v/>
      </c>
      <c r="AM915" t="str">
        <f>IF(OR('Base Exámenes'!C915="",'Base Exámenes'!G915=""),"",IF(ROW()-4=MATCH('Base Exámenes'!C915&amp;"|"&amp;_xlfn.MAXIFS('Base Exámenes'!$G$5:$G$1000,'Base Exámenes'!$C$5:$C$1000,'Base Exámenes'!C915),'Base Exámenes'!$I$5:$I$1000,0),'Base Exámenes'!G915*1000000+(-1)*'Base Exámenes'!D915,""))</f>
        <v/>
      </c>
      <c r="AQ915" t="str">
        <f>IF('Base Exámenes'!C915="","",IF(COUNTIF('Base Exámenes'!$C$5:$C$1000,'Base Exámenes'!C915)&lt;2,"",MATCH('Base Exámenes'!C915,'Base Exámenes'!$C$5:$C$1000,0)*10000+ROW()))</f>
        <v/>
      </c>
    </row>
    <row r="916">
      <c r="Z916" t="str">
        <f>IF('Detalle individual'!A916="","",IF(AND(OR('Estado por Colaborador'!$D$4="Todas las gerencias",'Detalle individual'!D916='Estado por Colaborador'!$D$4),OR('Estado por Colaborador'!$D$5="Todos los departamentos",TRIM('Detalle individual'!C916)='Estado por Colaborador'!$D$5),OR('Estado por Colaborador'!$D$6="Todos",'Detalle individual'!F916='Estado por Colaborador'!$D$6)),IF('Detalle individual'!F916="Completado",30000000,IF('Detalle individual'!F916="Pendiente",0,15000000))+COUNTIF('Detalle individual'!$C$5:$C$1000,"&lt;"&amp;'Detalle individual'!C916)*10000+ROW(),""))</f>
        <v/>
      </c>
      <c r="AB916" t="str">
        <f>IF('Detalle individual'!C916="","",IF(COUNTIF('Detalle individual'!$C$5:C916,'Detalle individual'!C916)=1,COUNTIF('Detalle individual'!$C$5:$C$1000,"&lt;"&amp;'Detalle individual'!C916),""))</f>
        <v/>
      </c>
      <c r="AC916" t="str">
        <f>IF('Detalle individual'!D916="","",IF(COUNTIF('Detalle individual'!$D$5:D916,'Detalle individual'!D916)=1,COUNTIF('Detalle individual'!$D$5:$D$1000,"&lt;"&amp;'Detalle individual'!D916),""))</f>
        <v/>
      </c>
      <c r="AH916" t="str">
        <f>IF('Detalle individual'!F916="Pendiente",COUNTIF('Detalle individual'!$D$5:$D$1000,"&lt;"&amp;'Detalle individual'!D916)*1000000+COUNTIF('Detalle individual'!$C$5:$C$1000,"&lt;"&amp;'Detalle individual'!C916)*1000+COUNTIF('Detalle individual'!$B$5:$B$1000,"&lt;"&amp;'Detalle individual'!B916)+ROW()/10000,"")</f>
        <v/>
      </c>
      <c r="AI916" t="str">
        <f>IF('Detalle individual'!F916="Completado",COUNTIF('Detalle individual'!$D$5:$D$1000,"&lt;"&amp;'Detalle individual'!D916)*1000000+COUNTIF('Detalle individual'!$C$5:$C$1000,"&lt;"&amp;'Detalle individual'!C916)*1000+COUNTIF('Detalle individual'!$B$5:$B$1000,"&lt;"&amp;'Detalle individual'!B916)+ROW()/10000,"")</f>
        <v/>
      </c>
      <c r="AJ916" t="str">
        <f>IF(AND('Detalle individual'!F916&lt;&gt;"",'Detalle individual'!F916&lt;&gt;"Completado",'Detalle individual'!F916&lt;&gt;"Pendiente"),COUNTIF('Detalle individual'!$D$5:$D$1000,"&lt;"&amp;'Detalle individual'!D916)*1000000+COUNTIF('Detalle individual'!$C$5:$C$1000,"&lt;"&amp;'Detalle individual'!C916)*1000+COUNTIF('Detalle individual'!$B$5:$B$1000,"&lt;"&amp;'Detalle individual'!B916)+ROW()/10000,"")</f>
        <v/>
      </c>
      <c r="AK916" t="str">
        <f>IF(OR('Base Exámenes'!C916="",'Base Exámenes'!D916=""),"",IF(COUNTIF('Base Exámenes'!$C$5:C916,'Base Exámenes'!C916)=1,'Base Exámenes'!D916+ROW()/1000000000,""))</f>
        <v/>
      </c>
      <c r="AL916" t="str">
        <f>IF(OR('Base Exámenes'!C916="",'Base Exámenes'!E916=""),"",IF(COUNTIF('Base Exámenes'!$C$5:C916,'Base Exámenes'!C916)=1,'Base Exámenes'!E916+ROW()/1000000000,""))</f>
        <v/>
      </c>
      <c r="AM916" t="str">
        <f>IF(OR('Base Exámenes'!C916="",'Base Exámenes'!G916=""),"",IF(ROW()-4=MATCH('Base Exámenes'!C916&amp;"|"&amp;_xlfn.MAXIFS('Base Exámenes'!$G$5:$G$1000,'Base Exámenes'!$C$5:$C$1000,'Base Exámenes'!C916),'Base Exámenes'!$I$5:$I$1000,0),'Base Exámenes'!G916*1000000+(-1)*'Base Exámenes'!D916,""))</f>
        <v/>
      </c>
      <c r="AQ916" t="str">
        <f>IF('Base Exámenes'!C916="","",IF(COUNTIF('Base Exámenes'!$C$5:$C$1000,'Base Exámenes'!C916)&lt;2,"",MATCH('Base Exámenes'!C916,'Base Exámenes'!$C$5:$C$1000,0)*10000+ROW()))</f>
        <v/>
      </c>
    </row>
    <row r="917">
      <c r="Z917" t="str">
        <f>IF('Detalle individual'!A917="","",IF(AND(OR('Estado por Colaborador'!$D$4="Todas las gerencias",'Detalle individual'!D917='Estado por Colaborador'!$D$4),OR('Estado por Colaborador'!$D$5="Todos los departamentos",TRIM('Detalle individual'!C917)='Estado por Colaborador'!$D$5),OR('Estado por Colaborador'!$D$6="Todos",'Detalle individual'!F917='Estado por Colaborador'!$D$6)),IF('Detalle individual'!F917="Completado",30000000,IF('Detalle individual'!F917="Pendiente",0,15000000))+COUNTIF('Detalle individual'!$C$5:$C$1000,"&lt;"&amp;'Detalle individual'!C917)*10000+ROW(),""))</f>
        <v/>
      </c>
      <c r="AB917" t="str">
        <f>IF('Detalle individual'!C917="","",IF(COUNTIF('Detalle individual'!$C$5:C917,'Detalle individual'!C917)=1,COUNTIF('Detalle individual'!$C$5:$C$1000,"&lt;"&amp;'Detalle individual'!C917),""))</f>
        <v/>
      </c>
      <c r="AC917" t="str">
        <f>IF('Detalle individual'!D917="","",IF(COUNTIF('Detalle individual'!$D$5:D917,'Detalle individual'!D917)=1,COUNTIF('Detalle individual'!$D$5:$D$1000,"&lt;"&amp;'Detalle individual'!D917),""))</f>
        <v/>
      </c>
      <c r="AH917" t="str">
        <f>IF('Detalle individual'!F917="Pendiente",COUNTIF('Detalle individual'!$D$5:$D$1000,"&lt;"&amp;'Detalle individual'!D917)*1000000+COUNTIF('Detalle individual'!$C$5:$C$1000,"&lt;"&amp;'Detalle individual'!C917)*1000+COUNTIF('Detalle individual'!$B$5:$B$1000,"&lt;"&amp;'Detalle individual'!B917)+ROW()/10000,"")</f>
        <v/>
      </c>
      <c r="AI917" t="str">
        <f>IF('Detalle individual'!F917="Completado",COUNTIF('Detalle individual'!$D$5:$D$1000,"&lt;"&amp;'Detalle individual'!D917)*1000000+COUNTIF('Detalle individual'!$C$5:$C$1000,"&lt;"&amp;'Detalle individual'!C917)*1000+COUNTIF('Detalle individual'!$B$5:$B$1000,"&lt;"&amp;'Detalle individual'!B917)+ROW()/10000,"")</f>
        <v/>
      </c>
      <c r="AJ917" t="str">
        <f>IF(AND('Detalle individual'!F917&lt;&gt;"",'Detalle individual'!F917&lt;&gt;"Completado",'Detalle individual'!F917&lt;&gt;"Pendiente"),COUNTIF('Detalle individual'!$D$5:$D$1000,"&lt;"&amp;'Detalle individual'!D917)*1000000+COUNTIF('Detalle individual'!$C$5:$C$1000,"&lt;"&amp;'Detalle individual'!C917)*1000+COUNTIF('Detalle individual'!$B$5:$B$1000,"&lt;"&amp;'Detalle individual'!B917)+ROW()/10000,"")</f>
        <v/>
      </c>
      <c r="AK917" t="str">
        <f>IF(OR('Base Exámenes'!C917="",'Base Exámenes'!D917=""),"",IF(COUNTIF('Base Exámenes'!$C$5:C917,'Base Exámenes'!C917)=1,'Base Exámenes'!D917+ROW()/1000000000,""))</f>
        <v/>
      </c>
      <c r="AL917" t="str">
        <f>IF(OR('Base Exámenes'!C917="",'Base Exámenes'!E917=""),"",IF(COUNTIF('Base Exámenes'!$C$5:C917,'Base Exámenes'!C917)=1,'Base Exámenes'!E917+ROW()/1000000000,""))</f>
        <v/>
      </c>
      <c r="AM917" t="str">
        <f>IF(OR('Base Exámenes'!C917="",'Base Exámenes'!G917=""),"",IF(ROW()-4=MATCH('Base Exámenes'!C917&amp;"|"&amp;_xlfn.MAXIFS('Base Exámenes'!$G$5:$G$1000,'Base Exámenes'!$C$5:$C$1000,'Base Exámenes'!C917),'Base Exámenes'!$I$5:$I$1000,0),'Base Exámenes'!G917*1000000+(-1)*'Base Exámenes'!D917,""))</f>
        <v/>
      </c>
      <c r="AQ917" t="str">
        <f>IF('Base Exámenes'!C917="","",IF(COUNTIF('Base Exámenes'!$C$5:$C$1000,'Base Exámenes'!C917)&lt;2,"",MATCH('Base Exámenes'!C917,'Base Exámenes'!$C$5:$C$1000,0)*10000+ROW()))</f>
        <v/>
      </c>
    </row>
    <row r="918">
      <c r="Z918" t="str">
        <f>IF('Detalle individual'!A918="","",IF(AND(OR('Estado por Colaborador'!$D$4="Todas las gerencias",'Detalle individual'!D918='Estado por Colaborador'!$D$4),OR('Estado por Colaborador'!$D$5="Todos los departamentos",TRIM('Detalle individual'!C918)='Estado por Colaborador'!$D$5),OR('Estado por Colaborador'!$D$6="Todos",'Detalle individual'!F918='Estado por Colaborador'!$D$6)),IF('Detalle individual'!F918="Completado",30000000,IF('Detalle individual'!F918="Pendiente",0,15000000))+COUNTIF('Detalle individual'!$C$5:$C$1000,"&lt;"&amp;'Detalle individual'!C918)*10000+ROW(),""))</f>
        <v/>
      </c>
      <c r="AB918" t="str">
        <f>IF('Detalle individual'!C918="","",IF(COUNTIF('Detalle individual'!$C$5:C918,'Detalle individual'!C918)=1,COUNTIF('Detalle individual'!$C$5:$C$1000,"&lt;"&amp;'Detalle individual'!C918),""))</f>
        <v/>
      </c>
      <c r="AC918" t="str">
        <f>IF('Detalle individual'!D918="","",IF(COUNTIF('Detalle individual'!$D$5:D918,'Detalle individual'!D918)=1,COUNTIF('Detalle individual'!$D$5:$D$1000,"&lt;"&amp;'Detalle individual'!D918),""))</f>
        <v/>
      </c>
      <c r="AH918" t="str">
        <f>IF('Detalle individual'!F918="Pendiente",COUNTIF('Detalle individual'!$D$5:$D$1000,"&lt;"&amp;'Detalle individual'!D918)*1000000+COUNTIF('Detalle individual'!$C$5:$C$1000,"&lt;"&amp;'Detalle individual'!C918)*1000+COUNTIF('Detalle individual'!$B$5:$B$1000,"&lt;"&amp;'Detalle individual'!B918)+ROW()/10000,"")</f>
        <v/>
      </c>
      <c r="AI918" t="str">
        <f>IF('Detalle individual'!F918="Completado",COUNTIF('Detalle individual'!$D$5:$D$1000,"&lt;"&amp;'Detalle individual'!D918)*1000000+COUNTIF('Detalle individual'!$C$5:$C$1000,"&lt;"&amp;'Detalle individual'!C918)*1000+COUNTIF('Detalle individual'!$B$5:$B$1000,"&lt;"&amp;'Detalle individual'!B918)+ROW()/10000,"")</f>
        <v/>
      </c>
      <c r="AJ918" t="str">
        <f>IF(AND('Detalle individual'!F918&lt;&gt;"",'Detalle individual'!F918&lt;&gt;"Completado",'Detalle individual'!F918&lt;&gt;"Pendiente"),COUNTIF('Detalle individual'!$D$5:$D$1000,"&lt;"&amp;'Detalle individual'!D918)*1000000+COUNTIF('Detalle individual'!$C$5:$C$1000,"&lt;"&amp;'Detalle individual'!C918)*1000+COUNTIF('Detalle individual'!$B$5:$B$1000,"&lt;"&amp;'Detalle individual'!B918)+ROW()/10000,"")</f>
        <v/>
      </c>
      <c r="AK918" t="str">
        <f>IF(OR('Base Exámenes'!C918="",'Base Exámenes'!D918=""),"",IF(COUNTIF('Base Exámenes'!$C$5:C918,'Base Exámenes'!C918)=1,'Base Exámenes'!D918+ROW()/1000000000,""))</f>
        <v/>
      </c>
      <c r="AL918" t="str">
        <f>IF(OR('Base Exámenes'!C918="",'Base Exámenes'!E918=""),"",IF(COUNTIF('Base Exámenes'!$C$5:C918,'Base Exámenes'!C918)=1,'Base Exámenes'!E918+ROW()/1000000000,""))</f>
        <v/>
      </c>
      <c r="AM918" t="str">
        <f>IF(OR('Base Exámenes'!C918="",'Base Exámenes'!G918=""),"",IF(ROW()-4=MATCH('Base Exámenes'!C918&amp;"|"&amp;_xlfn.MAXIFS('Base Exámenes'!$G$5:$G$1000,'Base Exámenes'!$C$5:$C$1000,'Base Exámenes'!C918),'Base Exámenes'!$I$5:$I$1000,0),'Base Exámenes'!G918*1000000+(-1)*'Base Exámenes'!D918,""))</f>
        <v/>
      </c>
      <c r="AQ918" t="str">
        <f>IF('Base Exámenes'!C918="","",IF(COUNTIF('Base Exámenes'!$C$5:$C$1000,'Base Exámenes'!C918)&lt;2,"",MATCH('Base Exámenes'!C918,'Base Exámenes'!$C$5:$C$1000,0)*10000+ROW()))</f>
        <v/>
      </c>
    </row>
    <row r="919">
      <c r="Z919" t="str">
        <f>IF('Detalle individual'!A919="","",IF(AND(OR('Estado por Colaborador'!$D$4="Todas las gerencias",'Detalle individual'!D919='Estado por Colaborador'!$D$4),OR('Estado por Colaborador'!$D$5="Todos los departamentos",TRIM('Detalle individual'!C919)='Estado por Colaborador'!$D$5),OR('Estado por Colaborador'!$D$6="Todos",'Detalle individual'!F919='Estado por Colaborador'!$D$6)),IF('Detalle individual'!F919="Completado",30000000,IF('Detalle individual'!F919="Pendiente",0,15000000))+COUNTIF('Detalle individual'!$C$5:$C$1000,"&lt;"&amp;'Detalle individual'!C919)*10000+ROW(),""))</f>
        <v/>
      </c>
      <c r="AB919" t="str">
        <f>IF('Detalle individual'!C919="","",IF(COUNTIF('Detalle individual'!$C$5:C919,'Detalle individual'!C919)=1,COUNTIF('Detalle individual'!$C$5:$C$1000,"&lt;"&amp;'Detalle individual'!C919),""))</f>
        <v/>
      </c>
      <c r="AC919" t="str">
        <f>IF('Detalle individual'!D919="","",IF(COUNTIF('Detalle individual'!$D$5:D919,'Detalle individual'!D919)=1,COUNTIF('Detalle individual'!$D$5:$D$1000,"&lt;"&amp;'Detalle individual'!D919),""))</f>
        <v/>
      </c>
      <c r="AH919" t="str">
        <f>IF('Detalle individual'!F919="Pendiente",COUNTIF('Detalle individual'!$D$5:$D$1000,"&lt;"&amp;'Detalle individual'!D919)*1000000+COUNTIF('Detalle individual'!$C$5:$C$1000,"&lt;"&amp;'Detalle individual'!C919)*1000+COUNTIF('Detalle individual'!$B$5:$B$1000,"&lt;"&amp;'Detalle individual'!B919)+ROW()/10000,"")</f>
        <v/>
      </c>
      <c r="AI919" t="str">
        <f>IF('Detalle individual'!F919="Completado",COUNTIF('Detalle individual'!$D$5:$D$1000,"&lt;"&amp;'Detalle individual'!D919)*1000000+COUNTIF('Detalle individual'!$C$5:$C$1000,"&lt;"&amp;'Detalle individual'!C919)*1000+COUNTIF('Detalle individual'!$B$5:$B$1000,"&lt;"&amp;'Detalle individual'!B919)+ROW()/10000,"")</f>
        <v/>
      </c>
      <c r="AJ919" t="str">
        <f>IF(AND('Detalle individual'!F919&lt;&gt;"",'Detalle individual'!F919&lt;&gt;"Completado",'Detalle individual'!F919&lt;&gt;"Pendiente"),COUNTIF('Detalle individual'!$D$5:$D$1000,"&lt;"&amp;'Detalle individual'!D919)*1000000+COUNTIF('Detalle individual'!$C$5:$C$1000,"&lt;"&amp;'Detalle individual'!C919)*1000+COUNTIF('Detalle individual'!$B$5:$B$1000,"&lt;"&amp;'Detalle individual'!B919)+ROW()/10000,"")</f>
        <v/>
      </c>
      <c r="AK919" t="str">
        <f>IF(OR('Base Exámenes'!C919="",'Base Exámenes'!D919=""),"",IF(COUNTIF('Base Exámenes'!$C$5:C919,'Base Exámenes'!C919)=1,'Base Exámenes'!D919+ROW()/1000000000,""))</f>
        <v/>
      </c>
      <c r="AL919" t="str">
        <f>IF(OR('Base Exámenes'!C919="",'Base Exámenes'!E919=""),"",IF(COUNTIF('Base Exámenes'!$C$5:C919,'Base Exámenes'!C919)=1,'Base Exámenes'!E919+ROW()/1000000000,""))</f>
        <v/>
      </c>
      <c r="AM919" t="str">
        <f>IF(OR('Base Exámenes'!C919="",'Base Exámenes'!G919=""),"",IF(ROW()-4=MATCH('Base Exámenes'!C919&amp;"|"&amp;_xlfn.MAXIFS('Base Exámenes'!$G$5:$G$1000,'Base Exámenes'!$C$5:$C$1000,'Base Exámenes'!C919),'Base Exámenes'!$I$5:$I$1000,0),'Base Exámenes'!G919*1000000+(-1)*'Base Exámenes'!D919,""))</f>
        <v/>
      </c>
      <c r="AQ919" t="str">
        <f>IF('Base Exámenes'!C919="","",IF(COUNTIF('Base Exámenes'!$C$5:$C$1000,'Base Exámenes'!C919)&lt;2,"",MATCH('Base Exámenes'!C919,'Base Exámenes'!$C$5:$C$1000,0)*10000+ROW()))</f>
        <v/>
      </c>
    </row>
    <row r="920">
      <c r="Z920" t="str">
        <f>IF('Detalle individual'!A920="","",IF(AND(OR('Estado por Colaborador'!$D$4="Todas las gerencias",'Detalle individual'!D920='Estado por Colaborador'!$D$4),OR('Estado por Colaborador'!$D$5="Todos los departamentos",TRIM('Detalle individual'!C920)='Estado por Colaborador'!$D$5),OR('Estado por Colaborador'!$D$6="Todos",'Detalle individual'!F920='Estado por Colaborador'!$D$6)),IF('Detalle individual'!F920="Completado",30000000,IF('Detalle individual'!F920="Pendiente",0,15000000))+COUNTIF('Detalle individual'!$C$5:$C$1000,"&lt;"&amp;'Detalle individual'!C920)*10000+ROW(),""))</f>
        <v/>
      </c>
      <c r="AB920" t="str">
        <f>IF('Detalle individual'!C920="","",IF(COUNTIF('Detalle individual'!$C$5:C920,'Detalle individual'!C920)=1,COUNTIF('Detalle individual'!$C$5:$C$1000,"&lt;"&amp;'Detalle individual'!C920),""))</f>
        <v/>
      </c>
      <c r="AC920" t="str">
        <f>IF('Detalle individual'!D920="","",IF(COUNTIF('Detalle individual'!$D$5:D920,'Detalle individual'!D920)=1,COUNTIF('Detalle individual'!$D$5:$D$1000,"&lt;"&amp;'Detalle individual'!D920),""))</f>
        <v/>
      </c>
      <c r="AH920" t="str">
        <f>IF('Detalle individual'!F920="Pendiente",COUNTIF('Detalle individual'!$D$5:$D$1000,"&lt;"&amp;'Detalle individual'!D920)*1000000+COUNTIF('Detalle individual'!$C$5:$C$1000,"&lt;"&amp;'Detalle individual'!C920)*1000+COUNTIF('Detalle individual'!$B$5:$B$1000,"&lt;"&amp;'Detalle individual'!B920)+ROW()/10000,"")</f>
        <v/>
      </c>
      <c r="AI920" t="str">
        <f>IF('Detalle individual'!F920="Completado",COUNTIF('Detalle individual'!$D$5:$D$1000,"&lt;"&amp;'Detalle individual'!D920)*1000000+COUNTIF('Detalle individual'!$C$5:$C$1000,"&lt;"&amp;'Detalle individual'!C920)*1000+COUNTIF('Detalle individual'!$B$5:$B$1000,"&lt;"&amp;'Detalle individual'!B920)+ROW()/10000,"")</f>
        <v/>
      </c>
      <c r="AJ920" t="str">
        <f>IF(AND('Detalle individual'!F920&lt;&gt;"",'Detalle individual'!F920&lt;&gt;"Completado",'Detalle individual'!F920&lt;&gt;"Pendiente"),COUNTIF('Detalle individual'!$D$5:$D$1000,"&lt;"&amp;'Detalle individual'!D920)*1000000+COUNTIF('Detalle individual'!$C$5:$C$1000,"&lt;"&amp;'Detalle individual'!C920)*1000+COUNTIF('Detalle individual'!$B$5:$B$1000,"&lt;"&amp;'Detalle individual'!B920)+ROW()/10000,"")</f>
        <v/>
      </c>
      <c r="AK920" t="str">
        <f>IF(OR('Base Exámenes'!C920="",'Base Exámenes'!D920=""),"",IF(COUNTIF('Base Exámenes'!$C$5:C920,'Base Exámenes'!C920)=1,'Base Exámenes'!D920+ROW()/1000000000,""))</f>
        <v/>
      </c>
      <c r="AL920" t="str">
        <f>IF(OR('Base Exámenes'!C920="",'Base Exámenes'!E920=""),"",IF(COUNTIF('Base Exámenes'!$C$5:C920,'Base Exámenes'!C920)=1,'Base Exámenes'!E920+ROW()/1000000000,""))</f>
        <v/>
      </c>
      <c r="AM920" t="str">
        <f>IF(OR('Base Exámenes'!C920="",'Base Exámenes'!G920=""),"",IF(ROW()-4=MATCH('Base Exámenes'!C920&amp;"|"&amp;_xlfn.MAXIFS('Base Exámenes'!$G$5:$G$1000,'Base Exámenes'!$C$5:$C$1000,'Base Exámenes'!C920),'Base Exámenes'!$I$5:$I$1000,0),'Base Exámenes'!G920*1000000+(-1)*'Base Exámenes'!D920,""))</f>
        <v/>
      </c>
      <c r="AQ920" t="str">
        <f>IF('Base Exámenes'!C920="","",IF(COUNTIF('Base Exámenes'!$C$5:$C$1000,'Base Exámenes'!C920)&lt;2,"",MATCH('Base Exámenes'!C920,'Base Exámenes'!$C$5:$C$1000,0)*10000+ROW()))</f>
        <v/>
      </c>
    </row>
    <row r="921">
      <c r="Z921" t="str">
        <f>IF('Detalle individual'!A921="","",IF(AND(OR('Estado por Colaborador'!$D$4="Todas las gerencias",'Detalle individual'!D921='Estado por Colaborador'!$D$4),OR('Estado por Colaborador'!$D$5="Todos los departamentos",TRIM('Detalle individual'!C921)='Estado por Colaborador'!$D$5),OR('Estado por Colaborador'!$D$6="Todos",'Detalle individual'!F921='Estado por Colaborador'!$D$6)),IF('Detalle individual'!F921="Completado",30000000,IF('Detalle individual'!F921="Pendiente",0,15000000))+COUNTIF('Detalle individual'!$C$5:$C$1000,"&lt;"&amp;'Detalle individual'!C921)*10000+ROW(),""))</f>
        <v/>
      </c>
      <c r="AB921" t="str">
        <f>IF('Detalle individual'!C921="","",IF(COUNTIF('Detalle individual'!$C$5:C921,'Detalle individual'!C921)=1,COUNTIF('Detalle individual'!$C$5:$C$1000,"&lt;"&amp;'Detalle individual'!C921),""))</f>
        <v/>
      </c>
      <c r="AC921" t="str">
        <f>IF('Detalle individual'!D921="","",IF(COUNTIF('Detalle individual'!$D$5:D921,'Detalle individual'!D921)=1,COUNTIF('Detalle individual'!$D$5:$D$1000,"&lt;"&amp;'Detalle individual'!D921),""))</f>
        <v/>
      </c>
      <c r="AH921" t="str">
        <f>IF('Detalle individual'!F921="Pendiente",COUNTIF('Detalle individual'!$D$5:$D$1000,"&lt;"&amp;'Detalle individual'!D921)*1000000+COUNTIF('Detalle individual'!$C$5:$C$1000,"&lt;"&amp;'Detalle individual'!C921)*1000+COUNTIF('Detalle individual'!$B$5:$B$1000,"&lt;"&amp;'Detalle individual'!B921)+ROW()/10000,"")</f>
        <v/>
      </c>
      <c r="AI921" t="str">
        <f>IF('Detalle individual'!F921="Completado",COUNTIF('Detalle individual'!$D$5:$D$1000,"&lt;"&amp;'Detalle individual'!D921)*1000000+COUNTIF('Detalle individual'!$C$5:$C$1000,"&lt;"&amp;'Detalle individual'!C921)*1000+COUNTIF('Detalle individual'!$B$5:$B$1000,"&lt;"&amp;'Detalle individual'!B921)+ROW()/10000,"")</f>
        <v/>
      </c>
      <c r="AJ921" t="str">
        <f>IF(AND('Detalle individual'!F921&lt;&gt;"",'Detalle individual'!F921&lt;&gt;"Completado",'Detalle individual'!F921&lt;&gt;"Pendiente"),COUNTIF('Detalle individual'!$D$5:$D$1000,"&lt;"&amp;'Detalle individual'!D921)*1000000+COUNTIF('Detalle individual'!$C$5:$C$1000,"&lt;"&amp;'Detalle individual'!C921)*1000+COUNTIF('Detalle individual'!$B$5:$B$1000,"&lt;"&amp;'Detalle individual'!B921)+ROW()/10000,"")</f>
        <v/>
      </c>
      <c r="AK921" t="str">
        <f>IF(OR('Base Exámenes'!C921="",'Base Exámenes'!D921=""),"",IF(COUNTIF('Base Exámenes'!$C$5:C921,'Base Exámenes'!C921)=1,'Base Exámenes'!D921+ROW()/1000000000,""))</f>
        <v/>
      </c>
      <c r="AL921" t="str">
        <f>IF(OR('Base Exámenes'!C921="",'Base Exámenes'!E921=""),"",IF(COUNTIF('Base Exámenes'!$C$5:C921,'Base Exámenes'!C921)=1,'Base Exámenes'!E921+ROW()/1000000000,""))</f>
        <v/>
      </c>
      <c r="AM921" t="str">
        <f>IF(OR('Base Exámenes'!C921="",'Base Exámenes'!G921=""),"",IF(ROW()-4=MATCH('Base Exámenes'!C921&amp;"|"&amp;_xlfn.MAXIFS('Base Exámenes'!$G$5:$G$1000,'Base Exámenes'!$C$5:$C$1000,'Base Exámenes'!C921),'Base Exámenes'!$I$5:$I$1000,0),'Base Exámenes'!G921*1000000+(-1)*'Base Exámenes'!D921,""))</f>
        <v/>
      </c>
      <c r="AQ921" t="str">
        <f>IF('Base Exámenes'!C921="","",IF(COUNTIF('Base Exámenes'!$C$5:$C$1000,'Base Exámenes'!C921)&lt;2,"",MATCH('Base Exámenes'!C921,'Base Exámenes'!$C$5:$C$1000,0)*10000+ROW()))</f>
        <v/>
      </c>
    </row>
    <row r="922">
      <c r="Z922" t="str">
        <f>IF('Detalle individual'!A922="","",IF(AND(OR('Estado por Colaborador'!$D$4="Todas las gerencias",'Detalle individual'!D922='Estado por Colaborador'!$D$4),OR('Estado por Colaborador'!$D$5="Todos los departamentos",TRIM('Detalle individual'!C922)='Estado por Colaborador'!$D$5),OR('Estado por Colaborador'!$D$6="Todos",'Detalle individual'!F922='Estado por Colaborador'!$D$6)),IF('Detalle individual'!F922="Completado",30000000,IF('Detalle individual'!F922="Pendiente",0,15000000))+COUNTIF('Detalle individual'!$C$5:$C$1000,"&lt;"&amp;'Detalle individual'!C922)*10000+ROW(),""))</f>
        <v/>
      </c>
      <c r="AB922" t="str">
        <f>IF('Detalle individual'!C922="","",IF(COUNTIF('Detalle individual'!$C$5:C922,'Detalle individual'!C922)=1,COUNTIF('Detalle individual'!$C$5:$C$1000,"&lt;"&amp;'Detalle individual'!C922),""))</f>
        <v/>
      </c>
      <c r="AC922" t="str">
        <f>IF('Detalle individual'!D922="","",IF(COUNTIF('Detalle individual'!$D$5:D922,'Detalle individual'!D922)=1,COUNTIF('Detalle individual'!$D$5:$D$1000,"&lt;"&amp;'Detalle individual'!D922),""))</f>
        <v/>
      </c>
      <c r="AH922" t="str">
        <f>IF('Detalle individual'!F922="Pendiente",COUNTIF('Detalle individual'!$D$5:$D$1000,"&lt;"&amp;'Detalle individual'!D922)*1000000+COUNTIF('Detalle individual'!$C$5:$C$1000,"&lt;"&amp;'Detalle individual'!C922)*1000+COUNTIF('Detalle individual'!$B$5:$B$1000,"&lt;"&amp;'Detalle individual'!B922)+ROW()/10000,"")</f>
        <v/>
      </c>
      <c r="AI922" t="str">
        <f>IF('Detalle individual'!F922="Completado",COUNTIF('Detalle individual'!$D$5:$D$1000,"&lt;"&amp;'Detalle individual'!D922)*1000000+COUNTIF('Detalle individual'!$C$5:$C$1000,"&lt;"&amp;'Detalle individual'!C922)*1000+COUNTIF('Detalle individual'!$B$5:$B$1000,"&lt;"&amp;'Detalle individual'!B922)+ROW()/10000,"")</f>
        <v/>
      </c>
      <c r="AJ922" t="str">
        <f>IF(AND('Detalle individual'!F922&lt;&gt;"",'Detalle individual'!F922&lt;&gt;"Completado",'Detalle individual'!F922&lt;&gt;"Pendiente"),COUNTIF('Detalle individual'!$D$5:$D$1000,"&lt;"&amp;'Detalle individual'!D922)*1000000+COUNTIF('Detalle individual'!$C$5:$C$1000,"&lt;"&amp;'Detalle individual'!C922)*1000+COUNTIF('Detalle individual'!$B$5:$B$1000,"&lt;"&amp;'Detalle individual'!B922)+ROW()/10000,"")</f>
        <v/>
      </c>
      <c r="AK922" t="str">
        <f>IF(OR('Base Exámenes'!C922="",'Base Exámenes'!D922=""),"",IF(COUNTIF('Base Exámenes'!$C$5:C922,'Base Exámenes'!C922)=1,'Base Exámenes'!D922+ROW()/1000000000,""))</f>
        <v/>
      </c>
      <c r="AL922" t="str">
        <f>IF(OR('Base Exámenes'!C922="",'Base Exámenes'!E922=""),"",IF(COUNTIF('Base Exámenes'!$C$5:C922,'Base Exámenes'!C922)=1,'Base Exámenes'!E922+ROW()/1000000000,""))</f>
        <v/>
      </c>
      <c r="AM922" t="str">
        <f>IF(OR('Base Exámenes'!C922="",'Base Exámenes'!G922=""),"",IF(ROW()-4=MATCH('Base Exámenes'!C922&amp;"|"&amp;_xlfn.MAXIFS('Base Exámenes'!$G$5:$G$1000,'Base Exámenes'!$C$5:$C$1000,'Base Exámenes'!C922),'Base Exámenes'!$I$5:$I$1000,0),'Base Exámenes'!G922*1000000+(-1)*'Base Exámenes'!D922,""))</f>
        <v/>
      </c>
      <c r="AQ922" t="str">
        <f>IF('Base Exámenes'!C922="","",IF(COUNTIF('Base Exámenes'!$C$5:$C$1000,'Base Exámenes'!C922)&lt;2,"",MATCH('Base Exámenes'!C922,'Base Exámenes'!$C$5:$C$1000,0)*10000+ROW()))</f>
        <v/>
      </c>
    </row>
    <row r="923">
      <c r="Z923" t="str">
        <f>IF('Detalle individual'!A923="","",IF(AND(OR('Estado por Colaborador'!$D$4="Todas las gerencias",'Detalle individual'!D923='Estado por Colaborador'!$D$4),OR('Estado por Colaborador'!$D$5="Todos los departamentos",TRIM('Detalle individual'!C923)='Estado por Colaborador'!$D$5),OR('Estado por Colaborador'!$D$6="Todos",'Detalle individual'!F923='Estado por Colaborador'!$D$6)),IF('Detalle individual'!F923="Completado",30000000,IF('Detalle individual'!F923="Pendiente",0,15000000))+COUNTIF('Detalle individual'!$C$5:$C$1000,"&lt;"&amp;'Detalle individual'!C923)*10000+ROW(),""))</f>
        <v/>
      </c>
      <c r="AB923" t="str">
        <f>IF('Detalle individual'!C923="","",IF(COUNTIF('Detalle individual'!$C$5:C923,'Detalle individual'!C923)=1,COUNTIF('Detalle individual'!$C$5:$C$1000,"&lt;"&amp;'Detalle individual'!C923),""))</f>
        <v/>
      </c>
      <c r="AC923" t="str">
        <f>IF('Detalle individual'!D923="","",IF(COUNTIF('Detalle individual'!$D$5:D923,'Detalle individual'!D923)=1,COUNTIF('Detalle individual'!$D$5:$D$1000,"&lt;"&amp;'Detalle individual'!D923),""))</f>
        <v/>
      </c>
      <c r="AH923" t="str">
        <f>IF('Detalle individual'!F923="Pendiente",COUNTIF('Detalle individual'!$D$5:$D$1000,"&lt;"&amp;'Detalle individual'!D923)*1000000+COUNTIF('Detalle individual'!$C$5:$C$1000,"&lt;"&amp;'Detalle individual'!C923)*1000+COUNTIF('Detalle individual'!$B$5:$B$1000,"&lt;"&amp;'Detalle individual'!B923)+ROW()/10000,"")</f>
        <v/>
      </c>
      <c r="AI923" t="str">
        <f>IF('Detalle individual'!F923="Completado",COUNTIF('Detalle individual'!$D$5:$D$1000,"&lt;"&amp;'Detalle individual'!D923)*1000000+COUNTIF('Detalle individual'!$C$5:$C$1000,"&lt;"&amp;'Detalle individual'!C923)*1000+COUNTIF('Detalle individual'!$B$5:$B$1000,"&lt;"&amp;'Detalle individual'!B923)+ROW()/10000,"")</f>
        <v/>
      </c>
      <c r="AJ923" t="str">
        <f>IF(AND('Detalle individual'!F923&lt;&gt;"",'Detalle individual'!F923&lt;&gt;"Completado",'Detalle individual'!F923&lt;&gt;"Pendiente"),COUNTIF('Detalle individual'!$D$5:$D$1000,"&lt;"&amp;'Detalle individual'!D923)*1000000+COUNTIF('Detalle individual'!$C$5:$C$1000,"&lt;"&amp;'Detalle individual'!C923)*1000+COUNTIF('Detalle individual'!$B$5:$B$1000,"&lt;"&amp;'Detalle individual'!B923)+ROW()/10000,"")</f>
        <v/>
      </c>
      <c r="AK923" t="str">
        <f>IF(OR('Base Exámenes'!C923="",'Base Exámenes'!D923=""),"",IF(COUNTIF('Base Exámenes'!$C$5:C923,'Base Exámenes'!C923)=1,'Base Exámenes'!D923+ROW()/1000000000,""))</f>
        <v/>
      </c>
      <c r="AL923" t="str">
        <f>IF(OR('Base Exámenes'!C923="",'Base Exámenes'!E923=""),"",IF(COUNTIF('Base Exámenes'!$C$5:C923,'Base Exámenes'!C923)=1,'Base Exámenes'!E923+ROW()/1000000000,""))</f>
        <v/>
      </c>
      <c r="AM923" t="str">
        <f>IF(OR('Base Exámenes'!C923="",'Base Exámenes'!G923=""),"",IF(ROW()-4=MATCH('Base Exámenes'!C923&amp;"|"&amp;_xlfn.MAXIFS('Base Exámenes'!$G$5:$G$1000,'Base Exámenes'!$C$5:$C$1000,'Base Exámenes'!C923),'Base Exámenes'!$I$5:$I$1000,0),'Base Exámenes'!G923*1000000+(-1)*'Base Exámenes'!D923,""))</f>
        <v/>
      </c>
      <c r="AQ923" t="str">
        <f>IF('Base Exámenes'!C923="","",IF(COUNTIF('Base Exámenes'!$C$5:$C$1000,'Base Exámenes'!C923)&lt;2,"",MATCH('Base Exámenes'!C923,'Base Exámenes'!$C$5:$C$1000,0)*10000+ROW()))</f>
        <v/>
      </c>
    </row>
    <row r="924">
      <c r="Z924" t="str">
        <f>IF('Detalle individual'!A924="","",IF(AND(OR('Estado por Colaborador'!$D$4="Todas las gerencias",'Detalle individual'!D924='Estado por Colaborador'!$D$4),OR('Estado por Colaborador'!$D$5="Todos los departamentos",TRIM('Detalle individual'!C924)='Estado por Colaborador'!$D$5),OR('Estado por Colaborador'!$D$6="Todos",'Detalle individual'!F924='Estado por Colaborador'!$D$6)),IF('Detalle individual'!F924="Completado",30000000,IF('Detalle individual'!F924="Pendiente",0,15000000))+COUNTIF('Detalle individual'!$C$5:$C$1000,"&lt;"&amp;'Detalle individual'!C924)*10000+ROW(),""))</f>
        <v/>
      </c>
      <c r="AB924" t="str">
        <f>IF('Detalle individual'!C924="","",IF(COUNTIF('Detalle individual'!$C$5:C924,'Detalle individual'!C924)=1,COUNTIF('Detalle individual'!$C$5:$C$1000,"&lt;"&amp;'Detalle individual'!C924),""))</f>
        <v/>
      </c>
      <c r="AC924" t="str">
        <f>IF('Detalle individual'!D924="","",IF(COUNTIF('Detalle individual'!$D$5:D924,'Detalle individual'!D924)=1,COUNTIF('Detalle individual'!$D$5:$D$1000,"&lt;"&amp;'Detalle individual'!D924),""))</f>
        <v/>
      </c>
      <c r="AH924" t="str">
        <f>IF('Detalle individual'!F924="Pendiente",COUNTIF('Detalle individual'!$D$5:$D$1000,"&lt;"&amp;'Detalle individual'!D924)*1000000+COUNTIF('Detalle individual'!$C$5:$C$1000,"&lt;"&amp;'Detalle individual'!C924)*1000+COUNTIF('Detalle individual'!$B$5:$B$1000,"&lt;"&amp;'Detalle individual'!B924)+ROW()/10000,"")</f>
        <v/>
      </c>
      <c r="AI924" t="str">
        <f>IF('Detalle individual'!F924="Completado",COUNTIF('Detalle individual'!$D$5:$D$1000,"&lt;"&amp;'Detalle individual'!D924)*1000000+COUNTIF('Detalle individual'!$C$5:$C$1000,"&lt;"&amp;'Detalle individual'!C924)*1000+COUNTIF('Detalle individual'!$B$5:$B$1000,"&lt;"&amp;'Detalle individual'!B924)+ROW()/10000,"")</f>
        <v/>
      </c>
      <c r="AJ924" t="str">
        <f>IF(AND('Detalle individual'!F924&lt;&gt;"",'Detalle individual'!F924&lt;&gt;"Completado",'Detalle individual'!F924&lt;&gt;"Pendiente"),COUNTIF('Detalle individual'!$D$5:$D$1000,"&lt;"&amp;'Detalle individual'!D924)*1000000+COUNTIF('Detalle individual'!$C$5:$C$1000,"&lt;"&amp;'Detalle individual'!C924)*1000+COUNTIF('Detalle individual'!$B$5:$B$1000,"&lt;"&amp;'Detalle individual'!B924)+ROW()/10000,"")</f>
        <v/>
      </c>
      <c r="AK924" t="str">
        <f>IF(OR('Base Exámenes'!C924="",'Base Exámenes'!D924=""),"",IF(COUNTIF('Base Exámenes'!$C$5:C924,'Base Exámenes'!C924)=1,'Base Exámenes'!D924+ROW()/1000000000,""))</f>
        <v/>
      </c>
      <c r="AL924" t="str">
        <f>IF(OR('Base Exámenes'!C924="",'Base Exámenes'!E924=""),"",IF(COUNTIF('Base Exámenes'!$C$5:C924,'Base Exámenes'!C924)=1,'Base Exámenes'!E924+ROW()/1000000000,""))</f>
        <v/>
      </c>
      <c r="AM924" t="str">
        <f>IF(OR('Base Exámenes'!C924="",'Base Exámenes'!G924=""),"",IF(ROW()-4=MATCH('Base Exámenes'!C924&amp;"|"&amp;_xlfn.MAXIFS('Base Exámenes'!$G$5:$G$1000,'Base Exámenes'!$C$5:$C$1000,'Base Exámenes'!C924),'Base Exámenes'!$I$5:$I$1000,0),'Base Exámenes'!G924*1000000+(-1)*'Base Exámenes'!D924,""))</f>
        <v/>
      </c>
      <c r="AQ924" t="str">
        <f>IF('Base Exámenes'!C924="","",IF(COUNTIF('Base Exámenes'!$C$5:$C$1000,'Base Exámenes'!C924)&lt;2,"",MATCH('Base Exámenes'!C924,'Base Exámenes'!$C$5:$C$1000,0)*10000+ROW()))</f>
        <v/>
      </c>
    </row>
    <row r="925">
      <c r="Z925" t="str">
        <f>IF('Detalle individual'!A925="","",IF(AND(OR('Estado por Colaborador'!$D$4="Todas las gerencias",'Detalle individual'!D925='Estado por Colaborador'!$D$4),OR('Estado por Colaborador'!$D$5="Todos los departamentos",TRIM('Detalle individual'!C925)='Estado por Colaborador'!$D$5),OR('Estado por Colaborador'!$D$6="Todos",'Detalle individual'!F925='Estado por Colaborador'!$D$6)),IF('Detalle individual'!F925="Completado",30000000,IF('Detalle individual'!F925="Pendiente",0,15000000))+COUNTIF('Detalle individual'!$C$5:$C$1000,"&lt;"&amp;'Detalle individual'!C925)*10000+ROW(),""))</f>
        <v/>
      </c>
      <c r="AB925" t="str">
        <f>IF('Detalle individual'!C925="","",IF(COUNTIF('Detalle individual'!$C$5:C925,'Detalle individual'!C925)=1,COUNTIF('Detalle individual'!$C$5:$C$1000,"&lt;"&amp;'Detalle individual'!C925),""))</f>
        <v/>
      </c>
      <c r="AC925" t="str">
        <f>IF('Detalle individual'!D925="","",IF(COUNTIF('Detalle individual'!$D$5:D925,'Detalle individual'!D925)=1,COUNTIF('Detalle individual'!$D$5:$D$1000,"&lt;"&amp;'Detalle individual'!D925),""))</f>
        <v/>
      </c>
      <c r="AH925" t="str">
        <f>IF('Detalle individual'!F925="Pendiente",COUNTIF('Detalle individual'!$D$5:$D$1000,"&lt;"&amp;'Detalle individual'!D925)*1000000+COUNTIF('Detalle individual'!$C$5:$C$1000,"&lt;"&amp;'Detalle individual'!C925)*1000+COUNTIF('Detalle individual'!$B$5:$B$1000,"&lt;"&amp;'Detalle individual'!B925)+ROW()/10000,"")</f>
        <v/>
      </c>
      <c r="AI925" t="str">
        <f>IF('Detalle individual'!F925="Completado",COUNTIF('Detalle individual'!$D$5:$D$1000,"&lt;"&amp;'Detalle individual'!D925)*1000000+COUNTIF('Detalle individual'!$C$5:$C$1000,"&lt;"&amp;'Detalle individual'!C925)*1000+COUNTIF('Detalle individual'!$B$5:$B$1000,"&lt;"&amp;'Detalle individual'!B925)+ROW()/10000,"")</f>
        <v/>
      </c>
      <c r="AJ925" t="str">
        <f>IF(AND('Detalle individual'!F925&lt;&gt;"",'Detalle individual'!F925&lt;&gt;"Completado",'Detalle individual'!F925&lt;&gt;"Pendiente"),COUNTIF('Detalle individual'!$D$5:$D$1000,"&lt;"&amp;'Detalle individual'!D925)*1000000+COUNTIF('Detalle individual'!$C$5:$C$1000,"&lt;"&amp;'Detalle individual'!C925)*1000+COUNTIF('Detalle individual'!$B$5:$B$1000,"&lt;"&amp;'Detalle individual'!B925)+ROW()/10000,"")</f>
        <v/>
      </c>
      <c r="AK925" t="str">
        <f>IF(OR('Base Exámenes'!C925="",'Base Exámenes'!D925=""),"",IF(COUNTIF('Base Exámenes'!$C$5:C925,'Base Exámenes'!C925)=1,'Base Exámenes'!D925+ROW()/1000000000,""))</f>
        <v/>
      </c>
      <c r="AL925" t="str">
        <f>IF(OR('Base Exámenes'!C925="",'Base Exámenes'!E925=""),"",IF(COUNTIF('Base Exámenes'!$C$5:C925,'Base Exámenes'!C925)=1,'Base Exámenes'!E925+ROW()/1000000000,""))</f>
        <v/>
      </c>
      <c r="AM925" t="str">
        <f>IF(OR('Base Exámenes'!C925="",'Base Exámenes'!G925=""),"",IF(ROW()-4=MATCH('Base Exámenes'!C925&amp;"|"&amp;_xlfn.MAXIFS('Base Exámenes'!$G$5:$G$1000,'Base Exámenes'!$C$5:$C$1000,'Base Exámenes'!C925),'Base Exámenes'!$I$5:$I$1000,0),'Base Exámenes'!G925*1000000+(-1)*'Base Exámenes'!D925,""))</f>
        <v/>
      </c>
      <c r="AQ925" t="str">
        <f>IF('Base Exámenes'!C925="","",IF(COUNTIF('Base Exámenes'!$C$5:$C$1000,'Base Exámenes'!C925)&lt;2,"",MATCH('Base Exámenes'!C925,'Base Exámenes'!$C$5:$C$1000,0)*10000+ROW()))</f>
        <v/>
      </c>
    </row>
    <row r="926">
      <c r="Z926" t="str">
        <f>IF('Detalle individual'!A926="","",IF(AND(OR('Estado por Colaborador'!$D$4="Todas las gerencias",'Detalle individual'!D926='Estado por Colaborador'!$D$4),OR('Estado por Colaborador'!$D$5="Todos los departamentos",TRIM('Detalle individual'!C926)='Estado por Colaborador'!$D$5),OR('Estado por Colaborador'!$D$6="Todos",'Detalle individual'!F926='Estado por Colaborador'!$D$6)),IF('Detalle individual'!F926="Completado",30000000,IF('Detalle individual'!F926="Pendiente",0,15000000))+COUNTIF('Detalle individual'!$C$5:$C$1000,"&lt;"&amp;'Detalle individual'!C926)*10000+ROW(),""))</f>
        <v/>
      </c>
      <c r="AB926" t="str">
        <f>IF('Detalle individual'!C926="","",IF(COUNTIF('Detalle individual'!$C$5:C926,'Detalle individual'!C926)=1,COUNTIF('Detalle individual'!$C$5:$C$1000,"&lt;"&amp;'Detalle individual'!C926),""))</f>
        <v/>
      </c>
      <c r="AC926" t="str">
        <f>IF('Detalle individual'!D926="","",IF(COUNTIF('Detalle individual'!$D$5:D926,'Detalle individual'!D926)=1,COUNTIF('Detalle individual'!$D$5:$D$1000,"&lt;"&amp;'Detalle individual'!D926),""))</f>
        <v/>
      </c>
      <c r="AH926" t="str">
        <f>IF('Detalle individual'!F926="Pendiente",COUNTIF('Detalle individual'!$D$5:$D$1000,"&lt;"&amp;'Detalle individual'!D926)*1000000+COUNTIF('Detalle individual'!$C$5:$C$1000,"&lt;"&amp;'Detalle individual'!C926)*1000+COUNTIF('Detalle individual'!$B$5:$B$1000,"&lt;"&amp;'Detalle individual'!B926)+ROW()/10000,"")</f>
        <v/>
      </c>
      <c r="AI926" t="str">
        <f>IF('Detalle individual'!F926="Completado",COUNTIF('Detalle individual'!$D$5:$D$1000,"&lt;"&amp;'Detalle individual'!D926)*1000000+COUNTIF('Detalle individual'!$C$5:$C$1000,"&lt;"&amp;'Detalle individual'!C926)*1000+COUNTIF('Detalle individual'!$B$5:$B$1000,"&lt;"&amp;'Detalle individual'!B926)+ROW()/10000,"")</f>
        <v/>
      </c>
      <c r="AJ926" t="str">
        <f>IF(AND('Detalle individual'!F926&lt;&gt;"",'Detalle individual'!F926&lt;&gt;"Completado",'Detalle individual'!F926&lt;&gt;"Pendiente"),COUNTIF('Detalle individual'!$D$5:$D$1000,"&lt;"&amp;'Detalle individual'!D926)*1000000+COUNTIF('Detalle individual'!$C$5:$C$1000,"&lt;"&amp;'Detalle individual'!C926)*1000+COUNTIF('Detalle individual'!$B$5:$B$1000,"&lt;"&amp;'Detalle individual'!B926)+ROW()/10000,"")</f>
        <v/>
      </c>
      <c r="AK926" t="str">
        <f>IF(OR('Base Exámenes'!C926="",'Base Exámenes'!D926=""),"",IF(COUNTIF('Base Exámenes'!$C$5:C926,'Base Exámenes'!C926)=1,'Base Exámenes'!D926+ROW()/1000000000,""))</f>
        <v/>
      </c>
      <c r="AL926" t="str">
        <f>IF(OR('Base Exámenes'!C926="",'Base Exámenes'!E926=""),"",IF(COUNTIF('Base Exámenes'!$C$5:C926,'Base Exámenes'!C926)=1,'Base Exámenes'!E926+ROW()/1000000000,""))</f>
        <v/>
      </c>
      <c r="AM926" t="str">
        <f>IF(OR('Base Exámenes'!C926="",'Base Exámenes'!G926=""),"",IF(ROW()-4=MATCH('Base Exámenes'!C926&amp;"|"&amp;_xlfn.MAXIFS('Base Exámenes'!$G$5:$G$1000,'Base Exámenes'!$C$5:$C$1000,'Base Exámenes'!C926),'Base Exámenes'!$I$5:$I$1000,0),'Base Exámenes'!G926*1000000+(-1)*'Base Exámenes'!D926,""))</f>
        <v/>
      </c>
      <c r="AQ926" t="str">
        <f>IF('Base Exámenes'!C926="","",IF(COUNTIF('Base Exámenes'!$C$5:$C$1000,'Base Exámenes'!C926)&lt;2,"",MATCH('Base Exámenes'!C926,'Base Exámenes'!$C$5:$C$1000,0)*10000+ROW()))</f>
        <v/>
      </c>
    </row>
    <row r="927">
      <c r="Z927" t="str">
        <f>IF('Detalle individual'!A927="","",IF(AND(OR('Estado por Colaborador'!$D$4="Todas las gerencias",'Detalle individual'!D927='Estado por Colaborador'!$D$4),OR('Estado por Colaborador'!$D$5="Todos los departamentos",TRIM('Detalle individual'!C927)='Estado por Colaborador'!$D$5),OR('Estado por Colaborador'!$D$6="Todos",'Detalle individual'!F927='Estado por Colaborador'!$D$6)),IF('Detalle individual'!F927="Completado",30000000,IF('Detalle individual'!F927="Pendiente",0,15000000))+COUNTIF('Detalle individual'!$C$5:$C$1000,"&lt;"&amp;'Detalle individual'!C927)*10000+ROW(),""))</f>
        <v/>
      </c>
      <c r="AB927" t="str">
        <f>IF('Detalle individual'!C927="","",IF(COUNTIF('Detalle individual'!$C$5:C927,'Detalle individual'!C927)=1,COUNTIF('Detalle individual'!$C$5:$C$1000,"&lt;"&amp;'Detalle individual'!C927),""))</f>
        <v/>
      </c>
      <c r="AC927" t="str">
        <f>IF('Detalle individual'!D927="","",IF(COUNTIF('Detalle individual'!$D$5:D927,'Detalle individual'!D927)=1,COUNTIF('Detalle individual'!$D$5:$D$1000,"&lt;"&amp;'Detalle individual'!D927),""))</f>
        <v/>
      </c>
      <c r="AH927" t="str">
        <f>IF('Detalle individual'!F927="Pendiente",COUNTIF('Detalle individual'!$D$5:$D$1000,"&lt;"&amp;'Detalle individual'!D927)*1000000+COUNTIF('Detalle individual'!$C$5:$C$1000,"&lt;"&amp;'Detalle individual'!C927)*1000+COUNTIF('Detalle individual'!$B$5:$B$1000,"&lt;"&amp;'Detalle individual'!B927)+ROW()/10000,"")</f>
        <v/>
      </c>
      <c r="AI927" t="str">
        <f>IF('Detalle individual'!F927="Completado",COUNTIF('Detalle individual'!$D$5:$D$1000,"&lt;"&amp;'Detalle individual'!D927)*1000000+COUNTIF('Detalle individual'!$C$5:$C$1000,"&lt;"&amp;'Detalle individual'!C927)*1000+COUNTIF('Detalle individual'!$B$5:$B$1000,"&lt;"&amp;'Detalle individual'!B927)+ROW()/10000,"")</f>
        <v/>
      </c>
      <c r="AJ927" t="str">
        <f>IF(AND('Detalle individual'!F927&lt;&gt;"",'Detalle individual'!F927&lt;&gt;"Completado",'Detalle individual'!F927&lt;&gt;"Pendiente"),COUNTIF('Detalle individual'!$D$5:$D$1000,"&lt;"&amp;'Detalle individual'!D927)*1000000+COUNTIF('Detalle individual'!$C$5:$C$1000,"&lt;"&amp;'Detalle individual'!C927)*1000+COUNTIF('Detalle individual'!$B$5:$B$1000,"&lt;"&amp;'Detalle individual'!B927)+ROW()/10000,"")</f>
        <v/>
      </c>
      <c r="AK927" t="str">
        <f>IF(OR('Base Exámenes'!C927="",'Base Exámenes'!D927=""),"",IF(COUNTIF('Base Exámenes'!$C$5:C927,'Base Exámenes'!C927)=1,'Base Exámenes'!D927+ROW()/1000000000,""))</f>
        <v/>
      </c>
      <c r="AL927" t="str">
        <f>IF(OR('Base Exámenes'!C927="",'Base Exámenes'!E927=""),"",IF(COUNTIF('Base Exámenes'!$C$5:C927,'Base Exámenes'!C927)=1,'Base Exámenes'!E927+ROW()/1000000000,""))</f>
        <v/>
      </c>
      <c r="AM927" t="str">
        <f>IF(OR('Base Exámenes'!C927="",'Base Exámenes'!G927=""),"",IF(ROW()-4=MATCH('Base Exámenes'!C927&amp;"|"&amp;_xlfn.MAXIFS('Base Exámenes'!$G$5:$G$1000,'Base Exámenes'!$C$5:$C$1000,'Base Exámenes'!C927),'Base Exámenes'!$I$5:$I$1000,0),'Base Exámenes'!G927*1000000+(-1)*'Base Exámenes'!D927,""))</f>
        <v/>
      </c>
      <c r="AQ927" t="str">
        <f>IF('Base Exámenes'!C927="","",IF(COUNTIF('Base Exámenes'!$C$5:$C$1000,'Base Exámenes'!C927)&lt;2,"",MATCH('Base Exámenes'!C927,'Base Exámenes'!$C$5:$C$1000,0)*10000+ROW()))</f>
        <v/>
      </c>
    </row>
    <row r="928">
      <c r="Z928" t="str">
        <f>IF('Detalle individual'!A928="","",IF(AND(OR('Estado por Colaborador'!$D$4="Todas las gerencias",'Detalle individual'!D928='Estado por Colaborador'!$D$4),OR('Estado por Colaborador'!$D$5="Todos los departamentos",TRIM('Detalle individual'!C928)='Estado por Colaborador'!$D$5),OR('Estado por Colaborador'!$D$6="Todos",'Detalle individual'!F928='Estado por Colaborador'!$D$6)),IF('Detalle individual'!F928="Completado",30000000,IF('Detalle individual'!F928="Pendiente",0,15000000))+COUNTIF('Detalle individual'!$C$5:$C$1000,"&lt;"&amp;'Detalle individual'!C928)*10000+ROW(),""))</f>
        <v/>
      </c>
      <c r="AB928" t="str">
        <f>IF('Detalle individual'!C928="","",IF(COUNTIF('Detalle individual'!$C$5:C928,'Detalle individual'!C928)=1,COUNTIF('Detalle individual'!$C$5:$C$1000,"&lt;"&amp;'Detalle individual'!C928),""))</f>
        <v/>
      </c>
      <c r="AC928" t="str">
        <f>IF('Detalle individual'!D928="","",IF(COUNTIF('Detalle individual'!$D$5:D928,'Detalle individual'!D928)=1,COUNTIF('Detalle individual'!$D$5:$D$1000,"&lt;"&amp;'Detalle individual'!D928),""))</f>
        <v/>
      </c>
      <c r="AH928" t="str">
        <f>IF('Detalle individual'!F928="Pendiente",COUNTIF('Detalle individual'!$D$5:$D$1000,"&lt;"&amp;'Detalle individual'!D928)*1000000+COUNTIF('Detalle individual'!$C$5:$C$1000,"&lt;"&amp;'Detalle individual'!C928)*1000+COUNTIF('Detalle individual'!$B$5:$B$1000,"&lt;"&amp;'Detalle individual'!B928)+ROW()/10000,"")</f>
        <v/>
      </c>
      <c r="AI928" t="str">
        <f>IF('Detalle individual'!F928="Completado",COUNTIF('Detalle individual'!$D$5:$D$1000,"&lt;"&amp;'Detalle individual'!D928)*1000000+COUNTIF('Detalle individual'!$C$5:$C$1000,"&lt;"&amp;'Detalle individual'!C928)*1000+COUNTIF('Detalle individual'!$B$5:$B$1000,"&lt;"&amp;'Detalle individual'!B928)+ROW()/10000,"")</f>
        <v/>
      </c>
      <c r="AJ928" t="str">
        <f>IF(AND('Detalle individual'!F928&lt;&gt;"",'Detalle individual'!F928&lt;&gt;"Completado",'Detalle individual'!F928&lt;&gt;"Pendiente"),COUNTIF('Detalle individual'!$D$5:$D$1000,"&lt;"&amp;'Detalle individual'!D928)*1000000+COUNTIF('Detalle individual'!$C$5:$C$1000,"&lt;"&amp;'Detalle individual'!C928)*1000+COUNTIF('Detalle individual'!$B$5:$B$1000,"&lt;"&amp;'Detalle individual'!B928)+ROW()/10000,"")</f>
        <v/>
      </c>
      <c r="AK928" t="str">
        <f>IF(OR('Base Exámenes'!C928="",'Base Exámenes'!D928=""),"",IF(COUNTIF('Base Exámenes'!$C$5:C928,'Base Exámenes'!C928)=1,'Base Exámenes'!D928+ROW()/1000000000,""))</f>
        <v/>
      </c>
      <c r="AL928" t="str">
        <f>IF(OR('Base Exámenes'!C928="",'Base Exámenes'!E928=""),"",IF(COUNTIF('Base Exámenes'!$C$5:C928,'Base Exámenes'!C928)=1,'Base Exámenes'!E928+ROW()/1000000000,""))</f>
        <v/>
      </c>
      <c r="AM928" t="str">
        <f>IF(OR('Base Exámenes'!C928="",'Base Exámenes'!G928=""),"",IF(ROW()-4=MATCH('Base Exámenes'!C928&amp;"|"&amp;_xlfn.MAXIFS('Base Exámenes'!$G$5:$G$1000,'Base Exámenes'!$C$5:$C$1000,'Base Exámenes'!C928),'Base Exámenes'!$I$5:$I$1000,0),'Base Exámenes'!G928*1000000+(-1)*'Base Exámenes'!D928,""))</f>
        <v/>
      </c>
      <c r="AQ928" t="str">
        <f>IF('Base Exámenes'!C928="","",IF(COUNTIF('Base Exámenes'!$C$5:$C$1000,'Base Exámenes'!C928)&lt;2,"",MATCH('Base Exámenes'!C928,'Base Exámenes'!$C$5:$C$1000,0)*10000+ROW()))</f>
        <v/>
      </c>
    </row>
    <row r="929">
      <c r="Z929" t="str">
        <f>IF('Detalle individual'!A929="","",IF(AND(OR('Estado por Colaborador'!$D$4="Todas las gerencias",'Detalle individual'!D929='Estado por Colaborador'!$D$4),OR('Estado por Colaborador'!$D$5="Todos los departamentos",TRIM('Detalle individual'!C929)='Estado por Colaborador'!$D$5),OR('Estado por Colaborador'!$D$6="Todos",'Detalle individual'!F929='Estado por Colaborador'!$D$6)),IF('Detalle individual'!F929="Completado",30000000,IF('Detalle individual'!F929="Pendiente",0,15000000))+COUNTIF('Detalle individual'!$C$5:$C$1000,"&lt;"&amp;'Detalle individual'!C929)*10000+ROW(),""))</f>
        <v/>
      </c>
      <c r="AB929" t="str">
        <f>IF('Detalle individual'!C929="","",IF(COUNTIF('Detalle individual'!$C$5:C929,'Detalle individual'!C929)=1,COUNTIF('Detalle individual'!$C$5:$C$1000,"&lt;"&amp;'Detalle individual'!C929),""))</f>
        <v/>
      </c>
      <c r="AC929" t="str">
        <f>IF('Detalle individual'!D929="","",IF(COUNTIF('Detalle individual'!$D$5:D929,'Detalle individual'!D929)=1,COUNTIF('Detalle individual'!$D$5:$D$1000,"&lt;"&amp;'Detalle individual'!D929),""))</f>
        <v/>
      </c>
      <c r="AH929" t="str">
        <f>IF('Detalle individual'!F929="Pendiente",COUNTIF('Detalle individual'!$D$5:$D$1000,"&lt;"&amp;'Detalle individual'!D929)*1000000+COUNTIF('Detalle individual'!$C$5:$C$1000,"&lt;"&amp;'Detalle individual'!C929)*1000+COUNTIF('Detalle individual'!$B$5:$B$1000,"&lt;"&amp;'Detalle individual'!B929)+ROW()/10000,"")</f>
        <v/>
      </c>
      <c r="AI929" t="str">
        <f>IF('Detalle individual'!F929="Completado",COUNTIF('Detalle individual'!$D$5:$D$1000,"&lt;"&amp;'Detalle individual'!D929)*1000000+COUNTIF('Detalle individual'!$C$5:$C$1000,"&lt;"&amp;'Detalle individual'!C929)*1000+COUNTIF('Detalle individual'!$B$5:$B$1000,"&lt;"&amp;'Detalle individual'!B929)+ROW()/10000,"")</f>
        <v/>
      </c>
      <c r="AJ929" t="str">
        <f>IF(AND('Detalle individual'!F929&lt;&gt;"",'Detalle individual'!F929&lt;&gt;"Completado",'Detalle individual'!F929&lt;&gt;"Pendiente"),COUNTIF('Detalle individual'!$D$5:$D$1000,"&lt;"&amp;'Detalle individual'!D929)*1000000+COUNTIF('Detalle individual'!$C$5:$C$1000,"&lt;"&amp;'Detalle individual'!C929)*1000+COUNTIF('Detalle individual'!$B$5:$B$1000,"&lt;"&amp;'Detalle individual'!B929)+ROW()/10000,"")</f>
        <v/>
      </c>
      <c r="AK929" t="str">
        <f>IF(OR('Base Exámenes'!C929="",'Base Exámenes'!D929=""),"",IF(COUNTIF('Base Exámenes'!$C$5:C929,'Base Exámenes'!C929)=1,'Base Exámenes'!D929+ROW()/1000000000,""))</f>
        <v/>
      </c>
      <c r="AL929" t="str">
        <f>IF(OR('Base Exámenes'!C929="",'Base Exámenes'!E929=""),"",IF(COUNTIF('Base Exámenes'!$C$5:C929,'Base Exámenes'!C929)=1,'Base Exámenes'!E929+ROW()/1000000000,""))</f>
        <v/>
      </c>
      <c r="AM929" t="str">
        <f>IF(OR('Base Exámenes'!C929="",'Base Exámenes'!G929=""),"",IF(ROW()-4=MATCH('Base Exámenes'!C929&amp;"|"&amp;_xlfn.MAXIFS('Base Exámenes'!$G$5:$G$1000,'Base Exámenes'!$C$5:$C$1000,'Base Exámenes'!C929),'Base Exámenes'!$I$5:$I$1000,0),'Base Exámenes'!G929*1000000+(-1)*'Base Exámenes'!D929,""))</f>
        <v/>
      </c>
      <c r="AQ929" t="str">
        <f>IF('Base Exámenes'!C929="","",IF(COUNTIF('Base Exámenes'!$C$5:$C$1000,'Base Exámenes'!C929)&lt;2,"",MATCH('Base Exámenes'!C929,'Base Exámenes'!$C$5:$C$1000,0)*10000+ROW()))</f>
        <v/>
      </c>
    </row>
    <row r="930">
      <c r="Z930" t="str">
        <f>IF('Detalle individual'!A930="","",IF(AND(OR('Estado por Colaborador'!$D$4="Todas las gerencias",'Detalle individual'!D930='Estado por Colaborador'!$D$4),OR('Estado por Colaborador'!$D$5="Todos los departamentos",TRIM('Detalle individual'!C930)='Estado por Colaborador'!$D$5),OR('Estado por Colaborador'!$D$6="Todos",'Detalle individual'!F930='Estado por Colaborador'!$D$6)),IF('Detalle individual'!F930="Completado",30000000,IF('Detalle individual'!F930="Pendiente",0,15000000))+COUNTIF('Detalle individual'!$C$5:$C$1000,"&lt;"&amp;'Detalle individual'!C930)*10000+ROW(),""))</f>
        <v/>
      </c>
      <c r="AB930" t="str">
        <f>IF('Detalle individual'!C930="","",IF(COUNTIF('Detalle individual'!$C$5:C930,'Detalle individual'!C930)=1,COUNTIF('Detalle individual'!$C$5:$C$1000,"&lt;"&amp;'Detalle individual'!C930),""))</f>
        <v/>
      </c>
      <c r="AC930" t="str">
        <f>IF('Detalle individual'!D930="","",IF(COUNTIF('Detalle individual'!$D$5:D930,'Detalle individual'!D930)=1,COUNTIF('Detalle individual'!$D$5:$D$1000,"&lt;"&amp;'Detalle individual'!D930),""))</f>
        <v/>
      </c>
      <c r="AH930" t="str">
        <f>IF('Detalle individual'!F930="Pendiente",COUNTIF('Detalle individual'!$D$5:$D$1000,"&lt;"&amp;'Detalle individual'!D930)*1000000+COUNTIF('Detalle individual'!$C$5:$C$1000,"&lt;"&amp;'Detalle individual'!C930)*1000+COUNTIF('Detalle individual'!$B$5:$B$1000,"&lt;"&amp;'Detalle individual'!B930)+ROW()/10000,"")</f>
        <v/>
      </c>
      <c r="AI930" t="str">
        <f>IF('Detalle individual'!F930="Completado",COUNTIF('Detalle individual'!$D$5:$D$1000,"&lt;"&amp;'Detalle individual'!D930)*1000000+COUNTIF('Detalle individual'!$C$5:$C$1000,"&lt;"&amp;'Detalle individual'!C930)*1000+COUNTIF('Detalle individual'!$B$5:$B$1000,"&lt;"&amp;'Detalle individual'!B930)+ROW()/10000,"")</f>
        <v/>
      </c>
      <c r="AJ930" t="str">
        <f>IF(AND('Detalle individual'!F930&lt;&gt;"",'Detalle individual'!F930&lt;&gt;"Completado",'Detalle individual'!F930&lt;&gt;"Pendiente"),COUNTIF('Detalle individual'!$D$5:$D$1000,"&lt;"&amp;'Detalle individual'!D930)*1000000+COUNTIF('Detalle individual'!$C$5:$C$1000,"&lt;"&amp;'Detalle individual'!C930)*1000+COUNTIF('Detalle individual'!$B$5:$B$1000,"&lt;"&amp;'Detalle individual'!B930)+ROW()/10000,"")</f>
        <v/>
      </c>
      <c r="AK930" t="str">
        <f>IF(OR('Base Exámenes'!C930="",'Base Exámenes'!D930=""),"",IF(COUNTIF('Base Exámenes'!$C$5:C930,'Base Exámenes'!C930)=1,'Base Exámenes'!D930+ROW()/1000000000,""))</f>
        <v/>
      </c>
      <c r="AL930" t="str">
        <f>IF(OR('Base Exámenes'!C930="",'Base Exámenes'!E930=""),"",IF(COUNTIF('Base Exámenes'!$C$5:C930,'Base Exámenes'!C930)=1,'Base Exámenes'!E930+ROW()/1000000000,""))</f>
        <v/>
      </c>
      <c r="AM930" t="str">
        <f>IF(OR('Base Exámenes'!C930="",'Base Exámenes'!G930=""),"",IF(ROW()-4=MATCH('Base Exámenes'!C930&amp;"|"&amp;_xlfn.MAXIFS('Base Exámenes'!$G$5:$G$1000,'Base Exámenes'!$C$5:$C$1000,'Base Exámenes'!C930),'Base Exámenes'!$I$5:$I$1000,0),'Base Exámenes'!G930*1000000+(-1)*'Base Exámenes'!D930,""))</f>
        <v/>
      </c>
      <c r="AQ930" t="str">
        <f>IF('Base Exámenes'!C930="","",IF(COUNTIF('Base Exámenes'!$C$5:$C$1000,'Base Exámenes'!C930)&lt;2,"",MATCH('Base Exámenes'!C930,'Base Exámenes'!$C$5:$C$1000,0)*10000+ROW()))</f>
        <v/>
      </c>
    </row>
    <row r="931">
      <c r="Z931" t="str">
        <f>IF('Detalle individual'!A931="","",IF(AND(OR('Estado por Colaborador'!$D$4="Todas las gerencias",'Detalle individual'!D931='Estado por Colaborador'!$D$4),OR('Estado por Colaborador'!$D$5="Todos los departamentos",TRIM('Detalle individual'!C931)='Estado por Colaborador'!$D$5),OR('Estado por Colaborador'!$D$6="Todos",'Detalle individual'!F931='Estado por Colaborador'!$D$6)),IF('Detalle individual'!F931="Completado",30000000,IF('Detalle individual'!F931="Pendiente",0,15000000))+COUNTIF('Detalle individual'!$C$5:$C$1000,"&lt;"&amp;'Detalle individual'!C931)*10000+ROW(),""))</f>
        <v/>
      </c>
      <c r="AB931" t="str">
        <f>IF('Detalle individual'!C931="","",IF(COUNTIF('Detalle individual'!$C$5:C931,'Detalle individual'!C931)=1,COUNTIF('Detalle individual'!$C$5:$C$1000,"&lt;"&amp;'Detalle individual'!C931),""))</f>
        <v/>
      </c>
      <c r="AC931" t="str">
        <f>IF('Detalle individual'!D931="","",IF(COUNTIF('Detalle individual'!$D$5:D931,'Detalle individual'!D931)=1,COUNTIF('Detalle individual'!$D$5:$D$1000,"&lt;"&amp;'Detalle individual'!D931),""))</f>
        <v/>
      </c>
      <c r="AH931" t="str">
        <f>IF('Detalle individual'!F931="Pendiente",COUNTIF('Detalle individual'!$D$5:$D$1000,"&lt;"&amp;'Detalle individual'!D931)*1000000+COUNTIF('Detalle individual'!$C$5:$C$1000,"&lt;"&amp;'Detalle individual'!C931)*1000+COUNTIF('Detalle individual'!$B$5:$B$1000,"&lt;"&amp;'Detalle individual'!B931)+ROW()/10000,"")</f>
        <v/>
      </c>
      <c r="AI931" t="str">
        <f>IF('Detalle individual'!F931="Completado",COUNTIF('Detalle individual'!$D$5:$D$1000,"&lt;"&amp;'Detalle individual'!D931)*1000000+COUNTIF('Detalle individual'!$C$5:$C$1000,"&lt;"&amp;'Detalle individual'!C931)*1000+COUNTIF('Detalle individual'!$B$5:$B$1000,"&lt;"&amp;'Detalle individual'!B931)+ROW()/10000,"")</f>
        <v/>
      </c>
      <c r="AJ931" t="str">
        <f>IF(AND('Detalle individual'!F931&lt;&gt;"",'Detalle individual'!F931&lt;&gt;"Completado",'Detalle individual'!F931&lt;&gt;"Pendiente"),COUNTIF('Detalle individual'!$D$5:$D$1000,"&lt;"&amp;'Detalle individual'!D931)*1000000+COUNTIF('Detalle individual'!$C$5:$C$1000,"&lt;"&amp;'Detalle individual'!C931)*1000+COUNTIF('Detalle individual'!$B$5:$B$1000,"&lt;"&amp;'Detalle individual'!B931)+ROW()/10000,"")</f>
        <v/>
      </c>
      <c r="AK931" t="str">
        <f>IF(OR('Base Exámenes'!C931="",'Base Exámenes'!D931=""),"",IF(COUNTIF('Base Exámenes'!$C$5:C931,'Base Exámenes'!C931)=1,'Base Exámenes'!D931+ROW()/1000000000,""))</f>
        <v/>
      </c>
      <c r="AL931" t="str">
        <f>IF(OR('Base Exámenes'!C931="",'Base Exámenes'!E931=""),"",IF(COUNTIF('Base Exámenes'!$C$5:C931,'Base Exámenes'!C931)=1,'Base Exámenes'!E931+ROW()/1000000000,""))</f>
        <v/>
      </c>
      <c r="AM931" t="str">
        <f>IF(OR('Base Exámenes'!C931="",'Base Exámenes'!G931=""),"",IF(ROW()-4=MATCH('Base Exámenes'!C931&amp;"|"&amp;_xlfn.MAXIFS('Base Exámenes'!$G$5:$G$1000,'Base Exámenes'!$C$5:$C$1000,'Base Exámenes'!C931),'Base Exámenes'!$I$5:$I$1000,0),'Base Exámenes'!G931*1000000+(-1)*'Base Exámenes'!D931,""))</f>
        <v/>
      </c>
      <c r="AQ931" t="str">
        <f>IF('Base Exámenes'!C931="","",IF(COUNTIF('Base Exámenes'!$C$5:$C$1000,'Base Exámenes'!C931)&lt;2,"",MATCH('Base Exámenes'!C931,'Base Exámenes'!$C$5:$C$1000,0)*10000+ROW()))</f>
        <v/>
      </c>
    </row>
    <row r="932">
      <c r="Z932" t="str">
        <f>IF('Detalle individual'!A932="","",IF(AND(OR('Estado por Colaborador'!$D$4="Todas las gerencias",'Detalle individual'!D932='Estado por Colaborador'!$D$4),OR('Estado por Colaborador'!$D$5="Todos los departamentos",TRIM('Detalle individual'!C932)='Estado por Colaborador'!$D$5),OR('Estado por Colaborador'!$D$6="Todos",'Detalle individual'!F932='Estado por Colaborador'!$D$6)),IF('Detalle individual'!F932="Completado",30000000,IF('Detalle individual'!F932="Pendiente",0,15000000))+COUNTIF('Detalle individual'!$C$5:$C$1000,"&lt;"&amp;'Detalle individual'!C932)*10000+ROW(),""))</f>
        <v/>
      </c>
      <c r="AB932" t="str">
        <f>IF('Detalle individual'!C932="","",IF(COUNTIF('Detalle individual'!$C$5:C932,'Detalle individual'!C932)=1,COUNTIF('Detalle individual'!$C$5:$C$1000,"&lt;"&amp;'Detalle individual'!C932),""))</f>
        <v/>
      </c>
      <c r="AC932" t="str">
        <f>IF('Detalle individual'!D932="","",IF(COUNTIF('Detalle individual'!$D$5:D932,'Detalle individual'!D932)=1,COUNTIF('Detalle individual'!$D$5:$D$1000,"&lt;"&amp;'Detalle individual'!D932),""))</f>
        <v/>
      </c>
      <c r="AH932" t="str">
        <f>IF('Detalle individual'!F932="Pendiente",COUNTIF('Detalle individual'!$D$5:$D$1000,"&lt;"&amp;'Detalle individual'!D932)*1000000+COUNTIF('Detalle individual'!$C$5:$C$1000,"&lt;"&amp;'Detalle individual'!C932)*1000+COUNTIF('Detalle individual'!$B$5:$B$1000,"&lt;"&amp;'Detalle individual'!B932)+ROW()/10000,"")</f>
        <v/>
      </c>
      <c r="AI932" t="str">
        <f>IF('Detalle individual'!F932="Completado",COUNTIF('Detalle individual'!$D$5:$D$1000,"&lt;"&amp;'Detalle individual'!D932)*1000000+COUNTIF('Detalle individual'!$C$5:$C$1000,"&lt;"&amp;'Detalle individual'!C932)*1000+COUNTIF('Detalle individual'!$B$5:$B$1000,"&lt;"&amp;'Detalle individual'!B932)+ROW()/10000,"")</f>
        <v/>
      </c>
      <c r="AJ932" t="str">
        <f>IF(AND('Detalle individual'!F932&lt;&gt;"",'Detalle individual'!F932&lt;&gt;"Completado",'Detalle individual'!F932&lt;&gt;"Pendiente"),COUNTIF('Detalle individual'!$D$5:$D$1000,"&lt;"&amp;'Detalle individual'!D932)*1000000+COUNTIF('Detalle individual'!$C$5:$C$1000,"&lt;"&amp;'Detalle individual'!C932)*1000+COUNTIF('Detalle individual'!$B$5:$B$1000,"&lt;"&amp;'Detalle individual'!B932)+ROW()/10000,"")</f>
        <v/>
      </c>
      <c r="AK932" t="str">
        <f>IF(OR('Base Exámenes'!C932="",'Base Exámenes'!D932=""),"",IF(COUNTIF('Base Exámenes'!$C$5:C932,'Base Exámenes'!C932)=1,'Base Exámenes'!D932+ROW()/1000000000,""))</f>
        <v/>
      </c>
      <c r="AL932" t="str">
        <f>IF(OR('Base Exámenes'!C932="",'Base Exámenes'!E932=""),"",IF(COUNTIF('Base Exámenes'!$C$5:C932,'Base Exámenes'!C932)=1,'Base Exámenes'!E932+ROW()/1000000000,""))</f>
        <v/>
      </c>
      <c r="AM932" t="str">
        <f>IF(OR('Base Exámenes'!C932="",'Base Exámenes'!G932=""),"",IF(ROW()-4=MATCH('Base Exámenes'!C932&amp;"|"&amp;_xlfn.MAXIFS('Base Exámenes'!$G$5:$G$1000,'Base Exámenes'!$C$5:$C$1000,'Base Exámenes'!C932),'Base Exámenes'!$I$5:$I$1000,0),'Base Exámenes'!G932*1000000+(-1)*'Base Exámenes'!D932,""))</f>
        <v/>
      </c>
      <c r="AQ932" t="str">
        <f>IF('Base Exámenes'!C932="","",IF(COUNTIF('Base Exámenes'!$C$5:$C$1000,'Base Exámenes'!C932)&lt;2,"",MATCH('Base Exámenes'!C932,'Base Exámenes'!$C$5:$C$1000,0)*10000+ROW()))</f>
        <v/>
      </c>
    </row>
    <row r="933">
      <c r="Z933" t="str">
        <f>IF('Detalle individual'!A933="","",IF(AND(OR('Estado por Colaborador'!$D$4="Todas las gerencias",'Detalle individual'!D933='Estado por Colaborador'!$D$4),OR('Estado por Colaborador'!$D$5="Todos los departamentos",TRIM('Detalle individual'!C933)='Estado por Colaborador'!$D$5),OR('Estado por Colaborador'!$D$6="Todos",'Detalle individual'!F933='Estado por Colaborador'!$D$6)),IF('Detalle individual'!F933="Completado",30000000,IF('Detalle individual'!F933="Pendiente",0,15000000))+COUNTIF('Detalle individual'!$C$5:$C$1000,"&lt;"&amp;'Detalle individual'!C933)*10000+ROW(),""))</f>
        <v/>
      </c>
      <c r="AB933" t="str">
        <f>IF('Detalle individual'!C933="","",IF(COUNTIF('Detalle individual'!$C$5:C933,'Detalle individual'!C933)=1,COUNTIF('Detalle individual'!$C$5:$C$1000,"&lt;"&amp;'Detalle individual'!C933),""))</f>
        <v/>
      </c>
      <c r="AC933" t="str">
        <f>IF('Detalle individual'!D933="","",IF(COUNTIF('Detalle individual'!$D$5:D933,'Detalle individual'!D933)=1,COUNTIF('Detalle individual'!$D$5:$D$1000,"&lt;"&amp;'Detalle individual'!D933),""))</f>
        <v/>
      </c>
      <c r="AH933" t="str">
        <f>IF('Detalle individual'!F933="Pendiente",COUNTIF('Detalle individual'!$D$5:$D$1000,"&lt;"&amp;'Detalle individual'!D933)*1000000+COUNTIF('Detalle individual'!$C$5:$C$1000,"&lt;"&amp;'Detalle individual'!C933)*1000+COUNTIF('Detalle individual'!$B$5:$B$1000,"&lt;"&amp;'Detalle individual'!B933)+ROW()/10000,"")</f>
        <v/>
      </c>
      <c r="AI933" t="str">
        <f>IF('Detalle individual'!F933="Completado",COUNTIF('Detalle individual'!$D$5:$D$1000,"&lt;"&amp;'Detalle individual'!D933)*1000000+COUNTIF('Detalle individual'!$C$5:$C$1000,"&lt;"&amp;'Detalle individual'!C933)*1000+COUNTIF('Detalle individual'!$B$5:$B$1000,"&lt;"&amp;'Detalle individual'!B933)+ROW()/10000,"")</f>
        <v/>
      </c>
      <c r="AJ933" t="str">
        <f>IF(AND('Detalle individual'!F933&lt;&gt;"",'Detalle individual'!F933&lt;&gt;"Completado",'Detalle individual'!F933&lt;&gt;"Pendiente"),COUNTIF('Detalle individual'!$D$5:$D$1000,"&lt;"&amp;'Detalle individual'!D933)*1000000+COUNTIF('Detalle individual'!$C$5:$C$1000,"&lt;"&amp;'Detalle individual'!C933)*1000+COUNTIF('Detalle individual'!$B$5:$B$1000,"&lt;"&amp;'Detalle individual'!B933)+ROW()/10000,"")</f>
        <v/>
      </c>
      <c r="AK933" t="str">
        <f>IF(OR('Base Exámenes'!C933="",'Base Exámenes'!D933=""),"",IF(COUNTIF('Base Exámenes'!$C$5:C933,'Base Exámenes'!C933)=1,'Base Exámenes'!D933+ROW()/1000000000,""))</f>
        <v/>
      </c>
      <c r="AL933" t="str">
        <f>IF(OR('Base Exámenes'!C933="",'Base Exámenes'!E933=""),"",IF(COUNTIF('Base Exámenes'!$C$5:C933,'Base Exámenes'!C933)=1,'Base Exámenes'!E933+ROW()/1000000000,""))</f>
        <v/>
      </c>
      <c r="AM933" t="str">
        <f>IF(OR('Base Exámenes'!C933="",'Base Exámenes'!G933=""),"",IF(ROW()-4=MATCH('Base Exámenes'!C933&amp;"|"&amp;_xlfn.MAXIFS('Base Exámenes'!$G$5:$G$1000,'Base Exámenes'!$C$5:$C$1000,'Base Exámenes'!C933),'Base Exámenes'!$I$5:$I$1000,0),'Base Exámenes'!G933*1000000+(-1)*'Base Exámenes'!D933,""))</f>
        <v/>
      </c>
      <c r="AQ933" t="str">
        <f>IF('Base Exámenes'!C933="","",IF(COUNTIF('Base Exámenes'!$C$5:$C$1000,'Base Exámenes'!C933)&lt;2,"",MATCH('Base Exámenes'!C933,'Base Exámenes'!$C$5:$C$1000,0)*10000+ROW()))</f>
        <v/>
      </c>
    </row>
    <row r="934">
      <c r="Z934" t="str">
        <f>IF('Detalle individual'!A934="","",IF(AND(OR('Estado por Colaborador'!$D$4="Todas las gerencias",'Detalle individual'!D934='Estado por Colaborador'!$D$4),OR('Estado por Colaborador'!$D$5="Todos los departamentos",TRIM('Detalle individual'!C934)='Estado por Colaborador'!$D$5),OR('Estado por Colaborador'!$D$6="Todos",'Detalle individual'!F934='Estado por Colaborador'!$D$6)),IF('Detalle individual'!F934="Completado",30000000,IF('Detalle individual'!F934="Pendiente",0,15000000))+COUNTIF('Detalle individual'!$C$5:$C$1000,"&lt;"&amp;'Detalle individual'!C934)*10000+ROW(),""))</f>
        <v/>
      </c>
      <c r="AB934" t="str">
        <f>IF('Detalle individual'!C934="","",IF(COUNTIF('Detalle individual'!$C$5:C934,'Detalle individual'!C934)=1,COUNTIF('Detalle individual'!$C$5:$C$1000,"&lt;"&amp;'Detalle individual'!C934),""))</f>
        <v/>
      </c>
      <c r="AC934" t="str">
        <f>IF('Detalle individual'!D934="","",IF(COUNTIF('Detalle individual'!$D$5:D934,'Detalle individual'!D934)=1,COUNTIF('Detalle individual'!$D$5:$D$1000,"&lt;"&amp;'Detalle individual'!D934),""))</f>
        <v/>
      </c>
      <c r="AH934" t="str">
        <f>IF('Detalle individual'!F934="Pendiente",COUNTIF('Detalle individual'!$D$5:$D$1000,"&lt;"&amp;'Detalle individual'!D934)*1000000+COUNTIF('Detalle individual'!$C$5:$C$1000,"&lt;"&amp;'Detalle individual'!C934)*1000+COUNTIF('Detalle individual'!$B$5:$B$1000,"&lt;"&amp;'Detalle individual'!B934)+ROW()/10000,"")</f>
        <v/>
      </c>
      <c r="AI934" t="str">
        <f>IF('Detalle individual'!F934="Completado",COUNTIF('Detalle individual'!$D$5:$D$1000,"&lt;"&amp;'Detalle individual'!D934)*1000000+COUNTIF('Detalle individual'!$C$5:$C$1000,"&lt;"&amp;'Detalle individual'!C934)*1000+COUNTIF('Detalle individual'!$B$5:$B$1000,"&lt;"&amp;'Detalle individual'!B934)+ROW()/10000,"")</f>
        <v/>
      </c>
      <c r="AJ934" t="str">
        <f>IF(AND('Detalle individual'!F934&lt;&gt;"",'Detalle individual'!F934&lt;&gt;"Completado",'Detalle individual'!F934&lt;&gt;"Pendiente"),COUNTIF('Detalle individual'!$D$5:$D$1000,"&lt;"&amp;'Detalle individual'!D934)*1000000+COUNTIF('Detalle individual'!$C$5:$C$1000,"&lt;"&amp;'Detalle individual'!C934)*1000+COUNTIF('Detalle individual'!$B$5:$B$1000,"&lt;"&amp;'Detalle individual'!B934)+ROW()/10000,"")</f>
        <v/>
      </c>
      <c r="AK934" t="str">
        <f>IF(OR('Base Exámenes'!C934="",'Base Exámenes'!D934=""),"",IF(COUNTIF('Base Exámenes'!$C$5:C934,'Base Exámenes'!C934)=1,'Base Exámenes'!D934+ROW()/1000000000,""))</f>
        <v/>
      </c>
      <c r="AL934" t="str">
        <f>IF(OR('Base Exámenes'!C934="",'Base Exámenes'!E934=""),"",IF(COUNTIF('Base Exámenes'!$C$5:C934,'Base Exámenes'!C934)=1,'Base Exámenes'!E934+ROW()/1000000000,""))</f>
        <v/>
      </c>
      <c r="AM934" t="str">
        <f>IF(OR('Base Exámenes'!C934="",'Base Exámenes'!G934=""),"",IF(ROW()-4=MATCH('Base Exámenes'!C934&amp;"|"&amp;_xlfn.MAXIFS('Base Exámenes'!$G$5:$G$1000,'Base Exámenes'!$C$5:$C$1000,'Base Exámenes'!C934),'Base Exámenes'!$I$5:$I$1000,0),'Base Exámenes'!G934*1000000+(-1)*'Base Exámenes'!D934,""))</f>
        <v/>
      </c>
      <c r="AQ934" t="str">
        <f>IF('Base Exámenes'!C934="","",IF(COUNTIF('Base Exámenes'!$C$5:$C$1000,'Base Exámenes'!C934)&lt;2,"",MATCH('Base Exámenes'!C934,'Base Exámenes'!$C$5:$C$1000,0)*10000+ROW()))</f>
        <v/>
      </c>
    </row>
    <row r="935">
      <c r="Z935" t="str">
        <f>IF('Detalle individual'!A935="","",IF(AND(OR('Estado por Colaborador'!$D$4="Todas las gerencias",'Detalle individual'!D935='Estado por Colaborador'!$D$4),OR('Estado por Colaborador'!$D$5="Todos los departamentos",TRIM('Detalle individual'!C935)='Estado por Colaborador'!$D$5),OR('Estado por Colaborador'!$D$6="Todos",'Detalle individual'!F935='Estado por Colaborador'!$D$6)),IF('Detalle individual'!F935="Completado",30000000,IF('Detalle individual'!F935="Pendiente",0,15000000))+COUNTIF('Detalle individual'!$C$5:$C$1000,"&lt;"&amp;'Detalle individual'!C935)*10000+ROW(),""))</f>
        <v/>
      </c>
      <c r="AB935" t="str">
        <f>IF('Detalle individual'!C935="","",IF(COUNTIF('Detalle individual'!$C$5:C935,'Detalle individual'!C935)=1,COUNTIF('Detalle individual'!$C$5:$C$1000,"&lt;"&amp;'Detalle individual'!C935),""))</f>
        <v/>
      </c>
      <c r="AC935" t="str">
        <f>IF('Detalle individual'!D935="","",IF(COUNTIF('Detalle individual'!$D$5:D935,'Detalle individual'!D935)=1,COUNTIF('Detalle individual'!$D$5:$D$1000,"&lt;"&amp;'Detalle individual'!D935),""))</f>
        <v/>
      </c>
      <c r="AH935" t="str">
        <f>IF('Detalle individual'!F935="Pendiente",COUNTIF('Detalle individual'!$D$5:$D$1000,"&lt;"&amp;'Detalle individual'!D935)*1000000+COUNTIF('Detalle individual'!$C$5:$C$1000,"&lt;"&amp;'Detalle individual'!C935)*1000+COUNTIF('Detalle individual'!$B$5:$B$1000,"&lt;"&amp;'Detalle individual'!B935)+ROW()/10000,"")</f>
        <v/>
      </c>
      <c r="AI935" t="str">
        <f>IF('Detalle individual'!F935="Completado",COUNTIF('Detalle individual'!$D$5:$D$1000,"&lt;"&amp;'Detalle individual'!D935)*1000000+COUNTIF('Detalle individual'!$C$5:$C$1000,"&lt;"&amp;'Detalle individual'!C935)*1000+COUNTIF('Detalle individual'!$B$5:$B$1000,"&lt;"&amp;'Detalle individual'!B935)+ROW()/10000,"")</f>
        <v/>
      </c>
      <c r="AJ935" t="str">
        <f>IF(AND('Detalle individual'!F935&lt;&gt;"",'Detalle individual'!F935&lt;&gt;"Completado",'Detalle individual'!F935&lt;&gt;"Pendiente"),COUNTIF('Detalle individual'!$D$5:$D$1000,"&lt;"&amp;'Detalle individual'!D935)*1000000+COUNTIF('Detalle individual'!$C$5:$C$1000,"&lt;"&amp;'Detalle individual'!C935)*1000+COUNTIF('Detalle individual'!$B$5:$B$1000,"&lt;"&amp;'Detalle individual'!B935)+ROW()/10000,"")</f>
        <v/>
      </c>
      <c r="AK935" t="str">
        <f>IF(OR('Base Exámenes'!C935="",'Base Exámenes'!D935=""),"",IF(COUNTIF('Base Exámenes'!$C$5:C935,'Base Exámenes'!C935)=1,'Base Exámenes'!D935+ROW()/1000000000,""))</f>
        <v/>
      </c>
      <c r="AL935" t="str">
        <f>IF(OR('Base Exámenes'!C935="",'Base Exámenes'!E935=""),"",IF(COUNTIF('Base Exámenes'!$C$5:C935,'Base Exámenes'!C935)=1,'Base Exámenes'!E935+ROW()/1000000000,""))</f>
        <v/>
      </c>
      <c r="AM935" t="str">
        <f>IF(OR('Base Exámenes'!C935="",'Base Exámenes'!G935=""),"",IF(ROW()-4=MATCH('Base Exámenes'!C935&amp;"|"&amp;_xlfn.MAXIFS('Base Exámenes'!$G$5:$G$1000,'Base Exámenes'!$C$5:$C$1000,'Base Exámenes'!C935),'Base Exámenes'!$I$5:$I$1000,0),'Base Exámenes'!G935*1000000+(-1)*'Base Exámenes'!D935,""))</f>
        <v/>
      </c>
      <c r="AQ935" t="str">
        <f>IF('Base Exámenes'!C935="","",IF(COUNTIF('Base Exámenes'!$C$5:$C$1000,'Base Exámenes'!C935)&lt;2,"",MATCH('Base Exámenes'!C935,'Base Exámenes'!$C$5:$C$1000,0)*10000+ROW()))</f>
        <v/>
      </c>
    </row>
    <row r="936">
      <c r="Z936" t="str">
        <f>IF('Detalle individual'!A936="","",IF(AND(OR('Estado por Colaborador'!$D$4="Todas las gerencias",'Detalle individual'!D936='Estado por Colaborador'!$D$4),OR('Estado por Colaborador'!$D$5="Todos los departamentos",TRIM('Detalle individual'!C936)='Estado por Colaborador'!$D$5),OR('Estado por Colaborador'!$D$6="Todos",'Detalle individual'!F936='Estado por Colaborador'!$D$6)),IF('Detalle individual'!F936="Completado",30000000,IF('Detalle individual'!F936="Pendiente",0,15000000))+COUNTIF('Detalle individual'!$C$5:$C$1000,"&lt;"&amp;'Detalle individual'!C936)*10000+ROW(),""))</f>
        <v/>
      </c>
      <c r="AB936" t="str">
        <f>IF('Detalle individual'!C936="","",IF(COUNTIF('Detalle individual'!$C$5:C936,'Detalle individual'!C936)=1,COUNTIF('Detalle individual'!$C$5:$C$1000,"&lt;"&amp;'Detalle individual'!C936),""))</f>
        <v/>
      </c>
      <c r="AC936" t="str">
        <f>IF('Detalle individual'!D936="","",IF(COUNTIF('Detalle individual'!$D$5:D936,'Detalle individual'!D936)=1,COUNTIF('Detalle individual'!$D$5:$D$1000,"&lt;"&amp;'Detalle individual'!D936),""))</f>
        <v/>
      </c>
      <c r="AH936" t="str">
        <f>IF('Detalle individual'!F936="Pendiente",COUNTIF('Detalle individual'!$D$5:$D$1000,"&lt;"&amp;'Detalle individual'!D936)*1000000+COUNTIF('Detalle individual'!$C$5:$C$1000,"&lt;"&amp;'Detalle individual'!C936)*1000+COUNTIF('Detalle individual'!$B$5:$B$1000,"&lt;"&amp;'Detalle individual'!B936)+ROW()/10000,"")</f>
        <v/>
      </c>
      <c r="AI936" t="str">
        <f>IF('Detalle individual'!F936="Completado",COUNTIF('Detalle individual'!$D$5:$D$1000,"&lt;"&amp;'Detalle individual'!D936)*1000000+COUNTIF('Detalle individual'!$C$5:$C$1000,"&lt;"&amp;'Detalle individual'!C936)*1000+COUNTIF('Detalle individual'!$B$5:$B$1000,"&lt;"&amp;'Detalle individual'!B936)+ROW()/10000,"")</f>
        <v/>
      </c>
      <c r="AJ936" t="str">
        <f>IF(AND('Detalle individual'!F936&lt;&gt;"",'Detalle individual'!F936&lt;&gt;"Completado",'Detalle individual'!F936&lt;&gt;"Pendiente"),COUNTIF('Detalle individual'!$D$5:$D$1000,"&lt;"&amp;'Detalle individual'!D936)*1000000+COUNTIF('Detalle individual'!$C$5:$C$1000,"&lt;"&amp;'Detalle individual'!C936)*1000+COUNTIF('Detalle individual'!$B$5:$B$1000,"&lt;"&amp;'Detalle individual'!B936)+ROW()/10000,"")</f>
        <v/>
      </c>
      <c r="AK936" t="str">
        <f>IF(OR('Base Exámenes'!C936="",'Base Exámenes'!D936=""),"",IF(COUNTIF('Base Exámenes'!$C$5:C936,'Base Exámenes'!C936)=1,'Base Exámenes'!D936+ROW()/1000000000,""))</f>
        <v/>
      </c>
      <c r="AL936" t="str">
        <f>IF(OR('Base Exámenes'!C936="",'Base Exámenes'!E936=""),"",IF(COUNTIF('Base Exámenes'!$C$5:C936,'Base Exámenes'!C936)=1,'Base Exámenes'!E936+ROW()/1000000000,""))</f>
        <v/>
      </c>
      <c r="AM936" t="str">
        <f>IF(OR('Base Exámenes'!C936="",'Base Exámenes'!G936=""),"",IF(ROW()-4=MATCH('Base Exámenes'!C936&amp;"|"&amp;_xlfn.MAXIFS('Base Exámenes'!$G$5:$G$1000,'Base Exámenes'!$C$5:$C$1000,'Base Exámenes'!C936),'Base Exámenes'!$I$5:$I$1000,0),'Base Exámenes'!G936*1000000+(-1)*'Base Exámenes'!D936,""))</f>
        <v/>
      </c>
      <c r="AQ936" t="str">
        <f>IF('Base Exámenes'!C936="","",IF(COUNTIF('Base Exámenes'!$C$5:$C$1000,'Base Exámenes'!C936)&lt;2,"",MATCH('Base Exámenes'!C936,'Base Exámenes'!$C$5:$C$1000,0)*10000+ROW()))</f>
        <v/>
      </c>
    </row>
    <row r="937">
      <c r="Z937" t="str">
        <f>IF('Detalle individual'!A937="","",IF(AND(OR('Estado por Colaborador'!$D$4="Todas las gerencias",'Detalle individual'!D937='Estado por Colaborador'!$D$4),OR('Estado por Colaborador'!$D$5="Todos los departamentos",TRIM('Detalle individual'!C937)='Estado por Colaborador'!$D$5),OR('Estado por Colaborador'!$D$6="Todos",'Detalle individual'!F937='Estado por Colaborador'!$D$6)),IF('Detalle individual'!F937="Completado",30000000,IF('Detalle individual'!F937="Pendiente",0,15000000))+COUNTIF('Detalle individual'!$C$5:$C$1000,"&lt;"&amp;'Detalle individual'!C937)*10000+ROW(),""))</f>
        <v/>
      </c>
      <c r="AB937" t="str">
        <f>IF('Detalle individual'!C937="","",IF(COUNTIF('Detalle individual'!$C$5:C937,'Detalle individual'!C937)=1,COUNTIF('Detalle individual'!$C$5:$C$1000,"&lt;"&amp;'Detalle individual'!C937),""))</f>
        <v/>
      </c>
      <c r="AC937" t="str">
        <f>IF('Detalle individual'!D937="","",IF(COUNTIF('Detalle individual'!$D$5:D937,'Detalle individual'!D937)=1,COUNTIF('Detalle individual'!$D$5:$D$1000,"&lt;"&amp;'Detalle individual'!D937),""))</f>
        <v/>
      </c>
      <c r="AH937" t="str">
        <f>IF('Detalle individual'!F937="Pendiente",COUNTIF('Detalle individual'!$D$5:$D$1000,"&lt;"&amp;'Detalle individual'!D937)*1000000+COUNTIF('Detalle individual'!$C$5:$C$1000,"&lt;"&amp;'Detalle individual'!C937)*1000+COUNTIF('Detalle individual'!$B$5:$B$1000,"&lt;"&amp;'Detalle individual'!B937)+ROW()/10000,"")</f>
        <v/>
      </c>
      <c r="AI937" t="str">
        <f>IF('Detalle individual'!F937="Completado",COUNTIF('Detalle individual'!$D$5:$D$1000,"&lt;"&amp;'Detalle individual'!D937)*1000000+COUNTIF('Detalle individual'!$C$5:$C$1000,"&lt;"&amp;'Detalle individual'!C937)*1000+COUNTIF('Detalle individual'!$B$5:$B$1000,"&lt;"&amp;'Detalle individual'!B937)+ROW()/10000,"")</f>
        <v/>
      </c>
      <c r="AJ937" t="str">
        <f>IF(AND('Detalle individual'!F937&lt;&gt;"",'Detalle individual'!F937&lt;&gt;"Completado",'Detalle individual'!F937&lt;&gt;"Pendiente"),COUNTIF('Detalle individual'!$D$5:$D$1000,"&lt;"&amp;'Detalle individual'!D937)*1000000+COUNTIF('Detalle individual'!$C$5:$C$1000,"&lt;"&amp;'Detalle individual'!C937)*1000+COUNTIF('Detalle individual'!$B$5:$B$1000,"&lt;"&amp;'Detalle individual'!B937)+ROW()/10000,"")</f>
        <v/>
      </c>
      <c r="AK937" t="str">
        <f>IF(OR('Base Exámenes'!C937="",'Base Exámenes'!D937=""),"",IF(COUNTIF('Base Exámenes'!$C$5:C937,'Base Exámenes'!C937)=1,'Base Exámenes'!D937+ROW()/1000000000,""))</f>
        <v/>
      </c>
      <c r="AL937" t="str">
        <f>IF(OR('Base Exámenes'!C937="",'Base Exámenes'!E937=""),"",IF(COUNTIF('Base Exámenes'!$C$5:C937,'Base Exámenes'!C937)=1,'Base Exámenes'!E937+ROW()/1000000000,""))</f>
        <v/>
      </c>
      <c r="AM937" t="str">
        <f>IF(OR('Base Exámenes'!C937="",'Base Exámenes'!G937=""),"",IF(ROW()-4=MATCH('Base Exámenes'!C937&amp;"|"&amp;_xlfn.MAXIFS('Base Exámenes'!$G$5:$G$1000,'Base Exámenes'!$C$5:$C$1000,'Base Exámenes'!C937),'Base Exámenes'!$I$5:$I$1000,0),'Base Exámenes'!G937*1000000+(-1)*'Base Exámenes'!D937,""))</f>
        <v/>
      </c>
      <c r="AQ937" t="str">
        <f>IF('Base Exámenes'!C937="","",IF(COUNTIF('Base Exámenes'!$C$5:$C$1000,'Base Exámenes'!C937)&lt;2,"",MATCH('Base Exámenes'!C937,'Base Exámenes'!$C$5:$C$1000,0)*10000+ROW()))</f>
        <v/>
      </c>
    </row>
    <row r="938">
      <c r="Z938" t="str">
        <f>IF('Detalle individual'!A938="","",IF(AND(OR('Estado por Colaborador'!$D$4="Todas las gerencias",'Detalle individual'!D938='Estado por Colaborador'!$D$4),OR('Estado por Colaborador'!$D$5="Todos los departamentos",TRIM('Detalle individual'!C938)='Estado por Colaborador'!$D$5),OR('Estado por Colaborador'!$D$6="Todos",'Detalle individual'!F938='Estado por Colaborador'!$D$6)),IF('Detalle individual'!F938="Completado",30000000,IF('Detalle individual'!F938="Pendiente",0,15000000))+COUNTIF('Detalle individual'!$C$5:$C$1000,"&lt;"&amp;'Detalle individual'!C938)*10000+ROW(),""))</f>
        <v/>
      </c>
      <c r="AB938" t="str">
        <f>IF('Detalle individual'!C938="","",IF(COUNTIF('Detalle individual'!$C$5:C938,'Detalle individual'!C938)=1,COUNTIF('Detalle individual'!$C$5:$C$1000,"&lt;"&amp;'Detalle individual'!C938),""))</f>
        <v/>
      </c>
      <c r="AC938" t="str">
        <f>IF('Detalle individual'!D938="","",IF(COUNTIF('Detalle individual'!$D$5:D938,'Detalle individual'!D938)=1,COUNTIF('Detalle individual'!$D$5:$D$1000,"&lt;"&amp;'Detalle individual'!D938),""))</f>
        <v/>
      </c>
      <c r="AH938" t="str">
        <f>IF('Detalle individual'!F938="Pendiente",COUNTIF('Detalle individual'!$D$5:$D$1000,"&lt;"&amp;'Detalle individual'!D938)*1000000+COUNTIF('Detalle individual'!$C$5:$C$1000,"&lt;"&amp;'Detalle individual'!C938)*1000+COUNTIF('Detalle individual'!$B$5:$B$1000,"&lt;"&amp;'Detalle individual'!B938)+ROW()/10000,"")</f>
        <v/>
      </c>
      <c r="AI938" t="str">
        <f>IF('Detalle individual'!F938="Completado",COUNTIF('Detalle individual'!$D$5:$D$1000,"&lt;"&amp;'Detalle individual'!D938)*1000000+COUNTIF('Detalle individual'!$C$5:$C$1000,"&lt;"&amp;'Detalle individual'!C938)*1000+COUNTIF('Detalle individual'!$B$5:$B$1000,"&lt;"&amp;'Detalle individual'!B938)+ROW()/10000,"")</f>
        <v/>
      </c>
      <c r="AJ938" t="str">
        <f>IF(AND('Detalle individual'!F938&lt;&gt;"",'Detalle individual'!F938&lt;&gt;"Completado",'Detalle individual'!F938&lt;&gt;"Pendiente"),COUNTIF('Detalle individual'!$D$5:$D$1000,"&lt;"&amp;'Detalle individual'!D938)*1000000+COUNTIF('Detalle individual'!$C$5:$C$1000,"&lt;"&amp;'Detalle individual'!C938)*1000+COUNTIF('Detalle individual'!$B$5:$B$1000,"&lt;"&amp;'Detalle individual'!B938)+ROW()/10000,"")</f>
        <v/>
      </c>
      <c r="AK938" t="str">
        <f>IF(OR('Base Exámenes'!C938="",'Base Exámenes'!D938=""),"",IF(COUNTIF('Base Exámenes'!$C$5:C938,'Base Exámenes'!C938)=1,'Base Exámenes'!D938+ROW()/1000000000,""))</f>
        <v/>
      </c>
      <c r="AL938" t="str">
        <f>IF(OR('Base Exámenes'!C938="",'Base Exámenes'!E938=""),"",IF(COUNTIF('Base Exámenes'!$C$5:C938,'Base Exámenes'!C938)=1,'Base Exámenes'!E938+ROW()/1000000000,""))</f>
        <v/>
      </c>
      <c r="AM938" t="str">
        <f>IF(OR('Base Exámenes'!C938="",'Base Exámenes'!G938=""),"",IF(ROW()-4=MATCH('Base Exámenes'!C938&amp;"|"&amp;_xlfn.MAXIFS('Base Exámenes'!$G$5:$G$1000,'Base Exámenes'!$C$5:$C$1000,'Base Exámenes'!C938),'Base Exámenes'!$I$5:$I$1000,0),'Base Exámenes'!G938*1000000+(-1)*'Base Exámenes'!D938,""))</f>
        <v/>
      </c>
      <c r="AQ938" t="str">
        <f>IF('Base Exámenes'!C938="","",IF(COUNTIF('Base Exámenes'!$C$5:$C$1000,'Base Exámenes'!C938)&lt;2,"",MATCH('Base Exámenes'!C938,'Base Exámenes'!$C$5:$C$1000,0)*10000+ROW()))</f>
        <v/>
      </c>
    </row>
    <row r="939">
      <c r="Z939" t="str">
        <f>IF('Detalle individual'!A939="","",IF(AND(OR('Estado por Colaborador'!$D$4="Todas las gerencias",'Detalle individual'!D939='Estado por Colaborador'!$D$4),OR('Estado por Colaborador'!$D$5="Todos los departamentos",TRIM('Detalle individual'!C939)='Estado por Colaborador'!$D$5),OR('Estado por Colaborador'!$D$6="Todos",'Detalle individual'!F939='Estado por Colaborador'!$D$6)),IF('Detalle individual'!F939="Completado",30000000,IF('Detalle individual'!F939="Pendiente",0,15000000))+COUNTIF('Detalle individual'!$C$5:$C$1000,"&lt;"&amp;'Detalle individual'!C939)*10000+ROW(),""))</f>
        <v/>
      </c>
      <c r="AB939" t="str">
        <f>IF('Detalle individual'!C939="","",IF(COUNTIF('Detalle individual'!$C$5:C939,'Detalle individual'!C939)=1,COUNTIF('Detalle individual'!$C$5:$C$1000,"&lt;"&amp;'Detalle individual'!C939),""))</f>
        <v/>
      </c>
      <c r="AC939" t="str">
        <f>IF('Detalle individual'!D939="","",IF(COUNTIF('Detalle individual'!$D$5:D939,'Detalle individual'!D939)=1,COUNTIF('Detalle individual'!$D$5:$D$1000,"&lt;"&amp;'Detalle individual'!D939),""))</f>
        <v/>
      </c>
      <c r="AH939" t="str">
        <f>IF('Detalle individual'!F939="Pendiente",COUNTIF('Detalle individual'!$D$5:$D$1000,"&lt;"&amp;'Detalle individual'!D939)*1000000+COUNTIF('Detalle individual'!$C$5:$C$1000,"&lt;"&amp;'Detalle individual'!C939)*1000+COUNTIF('Detalle individual'!$B$5:$B$1000,"&lt;"&amp;'Detalle individual'!B939)+ROW()/10000,"")</f>
        <v/>
      </c>
      <c r="AI939" t="str">
        <f>IF('Detalle individual'!F939="Completado",COUNTIF('Detalle individual'!$D$5:$D$1000,"&lt;"&amp;'Detalle individual'!D939)*1000000+COUNTIF('Detalle individual'!$C$5:$C$1000,"&lt;"&amp;'Detalle individual'!C939)*1000+COUNTIF('Detalle individual'!$B$5:$B$1000,"&lt;"&amp;'Detalle individual'!B939)+ROW()/10000,"")</f>
        <v/>
      </c>
      <c r="AJ939" t="str">
        <f>IF(AND('Detalle individual'!F939&lt;&gt;"",'Detalle individual'!F939&lt;&gt;"Completado",'Detalle individual'!F939&lt;&gt;"Pendiente"),COUNTIF('Detalle individual'!$D$5:$D$1000,"&lt;"&amp;'Detalle individual'!D939)*1000000+COUNTIF('Detalle individual'!$C$5:$C$1000,"&lt;"&amp;'Detalle individual'!C939)*1000+COUNTIF('Detalle individual'!$B$5:$B$1000,"&lt;"&amp;'Detalle individual'!B939)+ROW()/10000,"")</f>
        <v/>
      </c>
      <c r="AK939" t="str">
        <f>IF(OR('Base Exámenes'!C939="",'Base Exámenes'!D939=""),"",IF(COUNTIF('Base Exámenes'!$C$5:C939,'Base Exámenes'!C939)=1,'Base Exámenes'!D939+ROW()/1000000000,""))</f>
        <v/>
      </c>
      <c r="AL939" t="str">
        <f>IF(OR('Base Exámenes'!C939="",'Base Exámenes'!E939=""),"",IF(COUNTIF('Base Exámenes'!$C$5:C939,'Base Exámenes'!C939)=1,'Base Exámenes'!E939+ROW()/1000000000,""))</f>
        <v/>
      </c>
      <c r="AM939" t="str">
        <f>IF(OR('Base Exámenes'!C939="",'Base Exámenes'!G939=""),"",IF(ROW()-4=MATCH('Base Exámenes'!C939&amp;"|"&amp;_xlfn.MAXIFS('Base Exámenes'!$G$5:$G$1000,'Base Exámenes'!$C$5:$C$1000,'Base Exámenes'!C939),'Base Exámenes'!$I$5:$I$1000,0),'Base Exámenes'!G939*1000000+(-1)*'Base Exámenes'!D939,""))</f>
        <v/>
      </c>
      <c r="AQ939" t="str">
        <f>IF('Base Exámenes'!C939="","",IF(COUNTIF('Base Exámenes'!$C$5:$C$1000,'Base Exámenes'!C939)&lt;2,"",MATCH('Base Exámenes'!C939,'Base Exámenes'!$C$5:$C$1000,0)*10000+ROW()))</f>
        <v/>
      </c>
    </row>
    <row r="940">
      <c r="Z940" t="str">
        <f>IF('Detalle individual'!A940="","",IF(AND(OR('Estado por Colaborador'!$D$4="Todas las gerencias",'Detalle individual'!D940='Estado por Colaborador'!$D$4),OR('Estado por Colaborador'!$D$5="Todos los departamentos",TRIM('Detalle individual'!C940)='Estado por Colaborador'!$D$5),OR('Estado por Colaborador'!$D$6="Todos",'Detalle individual'!F940='Estado por Colaborador'!$D$6)),IF('Detalle individual'!F940="Completado",30000000,IF('Detalle individual'!F940="Pendiente",0,15000000))+COUNTIF('Detalle individual'!$C$5:$C$1000,"&lt;"&amp;'Detalle individual'!C940)*10000+ROW(),""))</f>
        <v/>
      </c>
      <c r="AB940" t="str">
        <f>IF('Detalle individual'!C940="","",IF(COUNTIF('Detalle individual'!$C$5:C940,'Detalle individual'!C940)=1,COUNTIF('Detalle individual'!$C$5:$C$1000,"&lt;"&amp;'Detalle individual'!C940),""))</f>
        <v/>
      </c>
      <c r="AC940" t="str">
        <f>IF('Detalle individual'!D940="","",IF(COUNTIF('Detalle individual'!$D$5:D940,'Detalle individual'!D940)=1,COUNTIF('Detalle individual'!$D$5:$D$1000,"&lt;"&amp;'Detalle individual'!D940),""))</f>
        <v/>
      </c>
      <c r="AH940" t="str">
        <f>IF('Detalle individual'!F940="Pendiente",COUNTIF('Detalle individual'!$D$5:$D$1000,"&lt;"&amp;'Detalle individual'!D940)*1000000+COUNTIF('Detalle individual'!$C$5:$C$1000,"&lt;"&amp;'Detalle individual'!C940)*1000+COUNTIF('Detalle individual'!$B$5:$B$1000,"&lt;"&amp;'Detalle individual'!B940)+ROW()/10000,"")</f>
        <v/>
      </c>
      <c r="AI940" t="str">
        <f>IF('Detalle individual'!F940="Completado",COUNTIF('Detalle individual'!$D$5:$D$1000,"&lt;"&amp;'Detalle individual'!D940)*1000000+COUNTIF('Detalle individual'!$C$5:$C$1000,"&lt;"&amp;'Detalle individual'!C940)*1000+COUNTIF('Detalle individual'!$B$5:$B$1000,"&lt;"&amp;'Detalle individual'!B940)+ROW()/10000,"")</f>
        <v/>
      </c>
      <c r="AJ940" t="str">
        <f>IF(AND('Detalle individual'!F940&lt;&gt;"",'Detalle individual'!F940&lt;&gt;"Completado",'Detalle individual'!F940&lt;&gt;"Pendiente"),COUNTIF('Detalle individual'!$D$5:$D$1000,"&lt;"&amp;'Detalle individual'!D940)*1000000+COUNTIF('Detalle individual'!$C$5:$C$1000,"&lt;"&amp;'Detalle individual'!C940)*1000+COUNTIF('Detalle individual'!$B$5:$B$1000,"&lt;"&amp;'Detalle individual'!B940)+ROW()/10000,"")</f>
        <v/>
      </c>
      <c r="AK940" t="str">
        <f>IF(OR('Base Exámenes'!C940="",'Base Exámenes'!D940=""),"",IF(COUNTIF('Base Exámenes'!$C$5:C940,'Base Exámenes'!C940)=1,'Base Exámenes'!D940+ROW()/1000000000,""))</f>
        <v/>
      </c>
      <c r="AL940" t="str">
        <f>IF(OR('Base Exámenes'!C940="",'Base Exámenes'!E940=""),"",IF(COUNTIF('Base Exámenes'!$C$5:C940,'Base Exámenes'!C940)=1,'Base Exámenes'!E940+ROW()/1000000000,""))</f>
        <v/>
      </c>
      <c r="AM940" t="str">
        <f>IF(OR('Base Exámenes'!C940="",'Base Exámenes'!G940=""),"",IF(ROW()-4=MATCH('Base Exámenes'!C940&amp;"|"&amp;_xlfn.MAXIFS('Base Exámenes'!$G$5:$G$1000,'Base Exámenes'!$C$5:$C$1000,'Base Exámenes'!C940),'Base Exámenes'!$I$5:$I$1000,0),'Base Exámenes'!G940*1000000+(-1)*'Base Exámenes'!D940,""))</f>
        <v/>
      </c>
      <c r="AQ940" t="str">
        <f>IF('Base Exámenes'!C940="","",IF(COUNTIF('Base Exámenes'!$C$5:$C$1000,'Base Exámenes'!C940)&lt;2,"",MATCH('Base Exámenes'!C940,'Base Exámenes'!$C$5:$C$1000,0)*10000+ROW()))</f>
        <v/>
      </c>
    </row>
    <row r="941">
      <c r="Z941" t="str">
        <f>IF('Detalle individual'!A941="","",IF(AND(OR('Estado por Colaborador'!$D$4="Todas las gerencias",'Detalle individual'!D941='Estado por Colaborador'!$D$4),OR('Estado por Colaborador'!$D$5="Todos los departamentos",TRIM('Detalle individual'!C941)='Estado por Colaborador'!$D$5),OR('Estado por Colaborador'!$D$6="Todos",'Detalle individual'!F941='Estado por Colaborador'!$D$6)),IF('Detalle individual'!F941="Completado",30000000,IF('Detalle individual'!F941="Pendiente",0,15000000))+COUNTIF('Detalle individual'!$C$5:$C$1000,"&lt;"&amp;'Detalle individual'!C941)*10000+ROW(),""))</f>
        <v/>
      </c>
      <c r="AB941" t="str">
        <f>IF('Detalle individual'!C941="","",IF(COUNTIF('Detalle individual'!$C$5:C941,'Detalle individual'!C941)=1,COUNTIF('Detalle individual'!$C$5:$C$1000,"&lt;"&amp;'Detalle individual'!C941),""))</f>
        <v/>
      </c>
      <c r="AC941" t="str">
        <f>IF('Detalle individual'!D941="","",IF(COUNTIF('Detalle individual'!$D$5:D941,'Detalle individual'!D941)=1,COUNTIF('Detalle individual'!$D$5:$D$1000,"&lt;"&amp;'Detalle individual'!D941),""))</f>
        <v/>
      </c>
      <c r="AH941" t="str">
        <f>IF('Detalle individual'!F941="Pendiente",COUNTIF('Detalle individual'!$D$5:$D$1000,"&lt;"&amp;'Detalle individual'!D941)*1000000+COUNTIF('Detalle individual'!$C$5:$C$1000,"&lt;"&amp;'Detalle individual'!C941)*1000+COUNTIF('Detalle individual'!$B$5:$B$1000,"&lt;"&amp;'Detalle individual'!B941)+ROW()/10000,"")</f>
        <v/>
      </c>
      <c r="AI941" t="str">
        <f>IF('Detalle individual'!F941="Completado",COUNTIF('Detalle individual'!$D$5:$D$1000,"&lt;"&amp;'Detalle individual'!D941)*1000000+COUNTIF('Detalle individual'!$C$5:$C$1000,"&lt;"&amp;'Detalle individual'!C941)*1000+COUNTIF('Detalle individual'!$B$5:$B$1000,"&lt;"&amp;'Detalle individual'!B941)+ROW()/10000,"")</f>
        <v/>
      </c>
      <c r="AJ941" t="str">
        <f>IF(AND('Detalle individual'!F941&lt;&gt;"",'Detalle individual'!F941&lt;&gt;"Completado",'Detalle individual'!F941&lt;&gt;"Pendiente"),COUNTIF('Detalle individual'!$D$5:$D$1000,"&lt;"&amp;'Detalle individual'!D941)*1000000+COUNTIF('Detalle individual'!$C$5:$C$1000,"&lt;"&amp;'Detalle individual'!C941)*1000+COUNTIF('Detalle individual'!$B$5:$B$1000,"&lt;"&amp;'Detalle individual'!B941)+ROW()/10000,"")</f>
        <v/>
      </c>
      <c r="AK941" t="str">
        <f>IF(OR('Base Exámenes'!C941="",'Base Exámenes'!D941=""),"",IF(COUNTIF('Base Exámenes'!$C$5:C941,'Base Exámenes'!C941)=1,'Base Exámenes'!D941+ROW()/1000000000,""))</f>
        <v/>
      </c>
      <c r="AL941" t="str">
        <f>IF(OR('Base Exámenes'!C941="",'Base Exámenes'!E941=""),"",IF(COUNTIF('Base Exámenes'!$C$5:C941,'Base Exámenes'!C941)=1,'Base Exámenes'!E941+ROW()/1000000000,""))</f>
        <v/>
      </c>
      <c r="AM941" t="str">
        <f>IF(OR('Base Exámenes'!C941="",'Base Exámenes'!G941=""),"",IF(ROW()-4=MATCH('Base Exámenes'!C941&amp;"|"&amp;_xlfn.MAXIFS('Base Exámenes'!$G$5:$G$1000,'Base Exámenes'!$C$5:$C$1000,'Base Exámenes'!C941),'Base Exámenes'!$I$5:$I$1000,0),'Base Exámenes'!G941*1000000+(-1)*'Base Exámenes'!D941,""))</f>
        <v/>
      </c>
      <c r="AQ941" t="str">
        <f>IF('Base Exámenes'!C941="","",IF(COUNTIF('Base Exámenes'!$C$5:$C$1000,'Base Exámenes'!C941)&lt;2,"",MATCH('Base Exámenes'!C941,'Base Exámenes'!$C$5:$C$1000,0)*10000+ROW()))</f>
        <v/>
      </c>
    </row>
    <row r="942">
      <c r="Z942" t="str">
        <f>IF('Detalle individual'!A942="","",IF(AND(OR('Estado por Colaborador'!$D$4="Todas las gerencias",'Detalle individual'!D942='Estado por Colaborador'!$D$4),OR('Estado por Colaborador'!$D$5="Todos los departamentos",TRIM('Detalle individual'!C942)='Estado por Colaborador'!$D$5),OR('Estado por Colaborador'!$D$6="Todos",'Detalle individual'!F942='Estado por Colaborador'!$D$6)),IF('Detalle individual'!F942="Completado",30000000,IF('Detalle individual'!F942="Pendiente",0,15000000))+COUNTIF('Detalle individual'!$C$5:$C$1000,"&lt;"&amp;'Detalle individual'!C942)*10000+ROW(),""))</f>
        <v/>
      </c>
      <c r="AB942" t="str">
        <f>IF('Detalle individual'!C942="","",IF(COUNTIF('Detalle individual'!$C$5:C942,'Detalle individual'!C942)=1,COUNTIF('Detalle individual'!$C$5:$C$1000,"&lt;"&amp;'Detalle individual'!C942),""))</f>
        <v/>
      </c>
      <c r="AC942" t="str">
        <f>IF('Detalle individual'!D942="","",IF(COUNTIF('Detalle individual'!$D$5:D942,'Detalle individual'!D942)=1,COUNTIF('Detalle individual'!$D$5:$D$1000,"&lt;"&amp;'Detalle individual'!D942),""))</f>
        <v/>
      </c>
      <c r="AH942" t="str">
        <f>IF('Detalle individual'!F942="Pendiente",COUNTIF('Detalle individual'!$D$5:$D$1000,"&lt;"&amp;'Detalle individual'!D942)*1000000+COUNTIF('Detalle individual'!$C$5:$C$1000,"&lt;"&amp;'Detalle individual'!C942)*1000+COUNTIF('Detalle individual'!$B$5:$B$1000,"&lt;"&amp;'Detalle individual'!B942)+ROW()/10000,"")</f>
        <v/>
      </c>
      <c r="AI942" t="str">
        <f>IF('Detalle individual'!F942="Completado",COUNTIF('Detalle individual'!$D$5:$D$1000,"&lt;"&amp;'Detalle individual'!D942)*1000000+COUNTIF('Detalle individual'!$C$5:$C$1000,"&lt;"&amp;'Detalle individual'!C942)*1000+COUNTIF('Detalle individual'!$B$5:$B$1000,"&lt;"&amp;'Detalle individual'!B942)+ROW()/10000,"")</f>
        <v/>
      </c>
      <c r="AJ942" t="str">
        <f>IF(AND('Detalle individual'!F942&lt;&gt;"",'Detalle individual'!F942&lt;&gt;"Completado",'Detalle individual'!F942&lt;&gt;"Pendiente"),COUNTIF('Detalle individual'!$D$5:$D$1000,"&lt;"&amp;'Detalle individual'!D942)*1000000+COUNTIF('Detalle individual'!$C$5:$C$1000,"&lt;"&amp;'Detalle individual'!C942)*1000+COUNTIF('Detalle individual'!$B$5:$B$1000,"&lt;"&amp;'Detalle individual'!B942)+ROW()/10000,"")</f>
        <v/>
      </c>
      <c r="AK942" t="str">
        <f>IF(OR('Base Exámenes'!C942="",'Base Exámenes'!D942=""),"",IF(COUNTIF('Base Exámenes'!$C$5:C942,'Base Exámenes'!C942)=1,'Base Exámenes'!D942+ROW()/1000000000,""))</f>
        <v/>
      </c>
      <c r="AL942" t="str">
        <f>IF(OR('Base Exámenes'!C942="",'Base Exámenes'!E942=""),"",IF(COUNTIF('Base Exámenes'!$C$5:C942,'Base Exámenes'!C942)=1,'Base Exámenes'!E942+ROW()/1000000000,""))</f>
        <v/>
      </c>
      <c r="AM942" t="str">
        <f>IF(OR('Base Exámenes'!C942="",'Base Exámenes'!G942=""),"",IF(ROW()-4=MATCH('Base Exámenes'!C942&amp;"|"&amp;_xlfn.MAXIFS('Base Exámenes'!$G$5:$G$1000,'Base Exámenes'!$C$5:$C$1000,'Base Exámenes'!C942),'Base Exámenes'!$I$5:$I$1000,0),'Base Exámenes'!G942*1000000+(-1)*'Base Exámenes'!D942,""))</f>
        <v/>
      </c>
      <c r="AQ942" t="str">
        <f>IF('Base Exámenes'!C942="","",IF(COUNTIF('Base Exámenes'!$C$5:$C$1000,'Base Exámenes'!C942)&lt;2,"",MATCH('Base Exámenes'!C942,'Base Exámenes'!$C$5:$C$1000,0)*10000+ROW()))</f>
        <v/>
      </c>
    </row>
    <row r="943">
      <c r="Z943" t="str">
        <f>IF('Detalle individual'!A943="","",IF(AND(OR('Estado por Colaborador'!$D$4="Todas las gerencias",'Detalle individual'!D943='Estado por Colaborador'!$D$4),OR('Estado por Colaborador'!$D$5="Todos los departamentos",TRIM('Detalle individual'!C943)='Estado por Colaborador'!$D$5),OR('Estado por Colaborador'!$D$6="Todos",'Detalle individual'!F943='Estado por Colaborador'!$D$6)),IF('Detalle individual'!F943="Completado",30000000,IF('Detalle individual'!F943="Pendiente",0,15000000))+COUNTIF('Detalle individual'!$C$5:$C$1000,"&lt;"&amp;'Detalle individual'!C943)*10000+ROW(),""))</f>
        <v/>
      </c>
      <c r="AB943" t="str">
        <f>IF('Detalle individual'!C943="","",IF(COUNTIF('Detalle individual'!$C$5:C943,'Detalle individual'!C943)=1,COUNTIF('Detalle individual'!$C$5:$C$1000,"&lt;"&amp;'Detalle individual'!C943),""))</f>
        <v/>
      </c>
      <c r="AC943" t="str">
        <f>IF('Detalle individual'!D943="","",IF(COUNTIF('Detalle individual'!$D$5:D943,'Detalle individual'!D943)=1,COUNTIF('Detalle individual'!$D$5:$D$1000,"&lt;"&amp;'Detalle individual'!D943),""))</f>
        <v/>
      </c>
      <c r="AH943" t="str">
        <f>IF('Detalle individual'!F943="Pendiente",COUNTIF('Detalle individual'!$D$5:$D$1000,"&lt;"&amp;'Detalle individual'!D943)*1000000+COUNTIF('Detalle individual'!$C$5:$C$1000,"&lt;"&amp;'Detalle individual'!C943)*1000+COUNTIF('Detalle individual'!$B$5:$B$1000,"&lt;"&amp;'Detalle individual'!B943)+ROW()/10000,"")</f>
        <v/>
      </c>
      <c r="AI943" t="str">
        <f>IF('Detalle individual'!F943="Completado",COUNTIF('Detalle individual'!$D$5:$D$1000,"&lt;"&amp;'Detalle individual'!D943)*1000000+COUNTIF('Detalle individual'!$C$5:$C$1000,"&lt;"&amp;'Detalle individual'!C943)*1000+COUNTIF('Detalle individual'!$B$5:$B$1000,"&lt;"&amp;'Detalle individual'!B943)+ROW()/10000,"")</f>
        <v/>
      </c>
      <c r="AJ943" t="str">
        <f>IF(AND('Detalle individual'!F943&lt;&gt;"",'Detalle individual'!F943&lt;&gt;"Completado",'Detalle individual'!F943&lt;&gt;"Pendiente"),COUNTIF('Detalle individual'!$D$5:$D$1000,"&lt;"&amp;'Detalle individual'!D943)*1000000+COUNTIF('Detalle individual'!$C$5:$C$1000,"&lt;"&amp;'Detalle individual'!C943)*1000+COUNTIF('Detalle individual'!$B$5:$B$1000,"&lt;"&amp;'Detalle individual'!B943)+ROW()/10000,"")</f>
        <v/>
      </c>
      <c r="AK943" t="str">
        <f>IF(OR('Base Exámenes'!C943="",'Base Exámenes'!D943=""),"",IF(COUNTIF('Base Exámenes'!$C$5:C943,'Base Exámenes'!C943)=1,'Base Exámenes'!D943+ROW()/1000000000,""))</f>
        <v/>
      </c>
      <c r="AL943" t="str">
        <f>IF(OR('Base Exámenes'!C943="",'Base Exámenes'!E943=""),"",IF(COUNTIF('Base Exámenes'!$C$5:C943,'Base Exámenes'!C943)=1,'Base Exámenes'!E943+ROW()/1000000000,""))</f>
        <v/>
      </c>
      <c r="AM943" t="str">
        <f>IF(OR('Base Exámenes'!C943="",'Base Exámenes'!G943=""),"",IF(ROW()-4=MATCH('Base Exámenes'!C943&amp;"|"&amp;_xlfn.MAXIFS('Base Exámenes'!$G$5:$G$1000,'Base Exámenes'!$C$5:$C$1000,'Base Exámenes'!C943),'Base Exámenes'!$I$5:$I$1000,0),'Base Exámenes'!G943*1000000+(-1)*'Base Exámenes'!D943,""))</f>
        <v/>
      </c>
      <c r="AQ943" t="str">
        <f>IF('Base Exámenes'!C943="","",IF(COUNTIF('Base Exámenes'!$C$5:$C$1000,'Base Exámenes'!C943)&lt;2,"",MATCH('Base Exámenes'!C943,'Base Exámenes'!$C$5:$C$1000,0)*10000+ROW()))</f>
        <v/>
      </c>
    </row>
    <row r="944">
      <c r="Z944" t="str">
        <f>IF('Detalle individual'!A944="","",IF(AND(OR('Estado por Colaborador'!$D$4="Todas las gerencias",'Detalle individual'!D944='Estado por Colaborador'!$D$4),OR('Estado por Colaborador'!$D$5="Todos los departamentos",TRIM('Detalle individual'!C944)='Estado por Colaborador'!$D$5),OR('Estado por Colaborador'!$D$6="Todos",'Detalle individual'!F944='Estado por Colaborador'!$D$6)),IF('Detalle individual'!F944="Completado",30000000,IF('Detalle individual'!F944="Pendiente",0,15000000))+COUNTIF('Detalle individual'!$C$5:$C$1000,"&lt;"&amp;'Detalle individual'!C944)*10000+ROW(),""))</f>
        <v/>
      </c>
      <c r="AB944" t="str">
        <f>IF('Detalle individual'!C944="","",IF(COUNTIF('Detalle individual'!$C$5:C944,'Detalle individual'!C944)=1,COUNTIF('Detalle individual'!$C$5:$C$1000,"&lt;"&amp;'Detalle individual'!C944),""))</f>
        <v/>
      </c>
      <c r="AC944" t="str">
        <f>IF('Detalle individual'!D944="","",IF(COUNTIF('Detalle individual'!$D$5:D944,'Detalle individual'!D944)=1,COUNTIF('Detalle individual'!$D$5:$D$1000,"&lt;"&amp;'Detalle individual'!D944),""))</f>
        <v/>
      </c>
      <c r="AH944" t="str">
        <f>IF('Detalle individual'!F944="Pendiente",COUNTIF('Detalle individual'!$D$5:$D$1000,"&lt;"&amp;'Detalle individual'!D944)*1000000+COUNTIF('Detalle individual'!$C$5:$C$1000,"&lt;"&amp;'Detalle individual'!C944)*1000+COUNTIF('Detalle individual'!$B$5:$B$1000,"&lt;"&amp;'Detalle individual'!B944)+ROW()/10000,"")</f>
        <v/>
      </c>
      <c r="AI944" t="str">
        <f>IF('Detalle individual'!F944="Completado",COUNTIF('Detalle individual'!$D$5:$D$1000,"&lt;"&amp;'Detalle individual'!D944)*1000000+COUNTIF('Detalle individual'!$C$5:$C$1000,"&lt;"&amp;'Detalle individual'!C944)*1000+COUNTIF('Detalle individual'!$B$5:$B$1000,"&lt;"&amp;'Detalle individual'!B944)+ROW()/10000,"")</f>
        <v/>
      </c>
      <c r="AJ944" t="str">
        <f>IF(AND('Detalle individual'!F944&lt;&gt;"",'Detalle individual'!F944&lt;&gt;"Completado",'Detalle individual'!F944&lt;&gt;"Pendiente"),COUNTIF('Detalle individual'!$D$5:$D$1000,"&lt;"&amp;'Detalle individual'!D944)*1000000+COUNTIF('Detalle individual'!$C$5:$C$1000,"&lt;"&amp;'Detalle individual'!C944)*1000+COUNTIF('Detalle individual'!$B$5:$B$1000,"&lt;"&amp;'Detalle individual'!B944)+ROW()/10000,"")</f>
        <v/>
      </c>
      <c r="AK944" t="str">
        <f>IF(OR('Base Exámenes'!C944="",'Base Exámenes'!D944=""),"",IF(COUNTIF('Base Exámenes'!$C$5:C944,'Base Exámenes'!C944)=1,'Base Exámenes'!D944+ROW()/1000000000,""))</f>
        <v/>
      </c>
      <c r="AL944" t="str">
        <f>IF(OR('Base Exámenes'!C944="",'Base Exámenes'!E944=""),"",IF(COUNTIF('Base Exámenes'!$C$5:C944,'Base Exámenes'!C944)=1,'Base Exámenes'!E944+ROW()/1000000000,""))</f>
        <v/>
      </c>
      <c r="AM944" t="str">
        <f>IF(OR('Base Exámenes'!C944="",'Base Exámenes'!G944=""),"",IF(ROW()-4=MATCH('Base Exámenes'!C944&amp;"|"&amp;_xlfn.MAXIFS('Base Exámenes'!$G$5:$G$1000,'Base Exámenes'!$C$5:$C$1000,'Base Exámenes'!C944),'Base Exámenes'!$I$5:$I$1000,0),'Base Exámenes'!G944*1000000+(-1)*'Base Exámenes'!D944,""))</f>
        <v/>
      </c>
      <c r="AQ944" t="str">
        <f>IF('Base Exámenes'!C944="","",IF(COUNTIF('Base Exámenes'!$C$5:$C$1000,'Base Exámenes'!C944)&lt;2,"",MATCH('Base Exámenes'!C944,'Base Exámenes'!$C$5:$C$1000,0)*10000+ROW()))</f>
        <v/>
      </c>
    </row>
    <row r="945">
      <c r="Z945" t="str">
        <f>IF('Detalle individual'!A945="","",IF(AND(OR('Estado por Colaborador'!$D$4="Todas las gerencias",'Detalle individual'!D945='Estado por Colaborador'!$D$4),OR('Estado por Colaborador'!$D$5="Todos los departamentos",TRIM('Detalle individual'!C945)='Estado por Colaborador'!$D$5),OR('Estado por Colaborador'!$D$6="Todos",'Detalle individual'!F945='Estado por Colaborador'!$D$6)),IF('Detalle individual'!F945="Completado",30000000,IF('Detalle individual'!F945="Pendiente",0,15000000))+COUNTIF('Detalle individual'!$C$5:$C$1000,"&lt;"&amp;'Detalle individual'!C945)*10000+ROW(),""))</f>
        <v/>
      </c>
      <c r="AB945" t="str">
        <f>IF('Detalle individual'!C945="","",IF(COUNTIF('Detalle individual'!$C$5:C945,'Detalle individual'!C945)=1,COUNTIF('Detalle individual'!$C$5:$C$1000,"&lt;"&amp;'Detalle individual'!C945),""))</f>
        <v/>
      </c>
      <c r="AC945" t="str">
        <f>IF('Detalle individual'!D945="","",IF(COUNTIF('Detalle individual'!$D$5:D945,'Detalle individual'!D945)=1,COUNTIF('Detalle individual'!$D$5:$D$1000,"&lt;"&amp;'Detalle individual'!D945),""))</f>
        <v/>
      </c>
      <c r="AH945" t="str">
        <f>IF('Detalle individual'!F945="Pendiente",COUNTIF('Detalle individual'!$D$5:$D$1000,"&lt;"&amp;'Detalle individual'!D945)*1000000+COUNTIF('Detalle individual'!$C$5:$C$1000,"&lt;"&amp;'Detalle individual'!C945)*1000+COUNTIF('Detalle individual'!$B$5:$B$1000,"&lt;"&amp;'Detalle individual'!B945)+ROW()/10000,"")</f>
        <v/>
      </c>
      <c r="AI945" t="str">
        <f>IF('Detalle individual'!F945="Completado",COUNTIF('Detalle individual'!$D$5:$D$1000,"&lt;"&amp;'Detalle individual'!D945)*1000000+COUNTIF('Detalle individual'!$C$5:$C$1000,"&lt;"&amp;'Detalle individual'!C945)*1000+COUNTIF('Detalle individual'!$B$5:$B$1000,"&lt;"&amp;'Detalle individual'!B945)+ROW()/10000,"")</f>
        <v/>
      </c>
      <c r="AJ945" t="str">
        <f>IF(AND('Detalle individual'!F945&lt;&gt;"",'Detalle individual'!F945&lt;&gt;"Completado",'Detalle individual'!F945&lt;&gt;"Pendiente"),COUNTIF('Detalle individual'!$D$5:$D$1000,"&lt;"&amp;'Detalle individual'!D945)*1000000+COUNTIF('Detalle individual'!$C$5:$C$1000,"&lt;"&amp;'Detalle individual'!C945)*1000+COUNTIF('Detalle individual'!$B$5:$B$1000,"&lt;"&amp;'Detalle individual'!B945)+ROW()/10000,"")</f>
        <v/>
      </c>
      <c r="AK945" t="str">
        <f>IF(OR('Base Exámenes'!C945="",'Base Exámenes'!D945=""),"",IF(COUNTIF('Base Exámenes'!$C$5:C945,'Base Exámenes'!C945)=1,'Base Exámenes'!D945+ROW()/1000000000,""))</f>
        <v/>
      </c>
      <c r="AL945" t="str">
        <f>IF(OR('Base Exámenes'!C945="",'Base Exámenes'!E945=""),"",IF(COUNTIF('Base Exámenes'!$C$5:C945,'Base Exámenes'!C945)=1,'Base Exámenes'!E945+ROW()/1000000000,""))</f>
        <v/>
      </c>
      <c r="AM945" t="str">
        <f>IF(OR('Base Exámenes'!C945="",'Base Exámenes'!G945=""),"",IF(ROW()-4=MATCH('Base Exámenes'!C945&amp;"|"&amp;_xlfn.MAXIFS('Base Exámenes'!$G$5:$G$1000,'Base Exámenes'!$C$5:$C$1000,'Base Exámenes'!C945),'Base Exámenes'!$I$5:$I$1000,0),'Base Exámenes'!G945*1000000+(-1)*'Base Exámenes'!D945,""))</f>
        <v/>
      </c>
      <c r="AQ945" t="str">
        <f>IF('Base Exámenes'!C945="","",IF(COUNTIF('Base Exámenes'!$C$5:$C$1000,'Base Exámenes'!C945)&lt;2,"",MATCH('Base Exámenes'!C945,'Base Exámenes'!$C$5:$C$1000,0)*10000+ROW()))</f>
        <v/>
      </c>
    </row>
    <row r="946">
      <c r="Z946" t="str">
        <f>IF('Detalle individual'!A946="","",IF(AND(OR('Estado por Colaborador'!$D$4="Todas las gerencias",'Detalle individual'!D946='Estado por Colaborador'!$D$4),OR('Estado por Colaborador'!$D$5="Todos los departamentos",TRIM('Detalle individual'!C946)='Estado por Colaborador'!$D$5),OR('Estado por Colaborador'!$D$6="Todos",'Detalle individual'!F946='Estado por Colaborador'!$D$6)),IF('Detalle individual'!F946="Completado",30000000,IF('Detalle individual'!F946="Pendiente",0,15000000))+COUNTIF('Detalle individual'!$C$5:$C$1000,"&lt;"&amp;'Detalle individual'!C946)*10000+ROW(),""))</f>
        <v/>
      </c>
      <c r="AB946" t="str">
        <f>IF('Detalle individual'!C946="","",IF(COUNTIF('Detalle individual'!$C$5:C946,'Detalle individual'!C946)=1,COUNTIF('Detalle individual'!$C$5:$C$1000,"&lt;"&amp;'Detalle individual'!C946),""))</f>
        <v/>
      </c>
      <c r="AC946" t="str">
        <f>IF('Detalle individual'!D946="","",IF(COUNTIF('Detalle individual'!$D$5:D946,'Detalle individual'!D946)=1,COUNTIF('Detalle individual'!$D$5:$D$1000,"&lt;"&amp;'Detalle individual'!D946),""))</f>
        <v/>
      </c>
      <c r="AH946" t="str">
        <f>IF('Detalle individual'!F946="Pendiente",COUNTIF('Detalle individual'!$D$5:$D$1000,"&lt;"&amp;'Detalle individual'!D946)*1000000+COUNTIF('Detalle individual'!$C$5:$C$1000,"&lt;"&amp;'Detalle individual'!C946)*1000+COUNTIF('Detalle individual'!$B$5:$B$1000,"&lt;"&amp;'Detalle individual'!B946)+ROW()/10000,"")</f>
        <v/>
      </c>
      <c r="AI946" t="str">
        <f>IF('Detalle individual'!F946="Completado",COUNTIF('Detalle individual'!$D$5:$D$1000,"&lt;"&amp;'Detalle individual'!D946)*1000000+COUNTIF('Detalle individual'!$C$5:$C$1000,"&lt;"&amp;'Detalle individual'!C946)*1000+COUNTIF('Detalle individual'!$B$5:$B$1000,"&lt;"&amp;'Detalle individual'!B946)+ROW()/10000,"")</f>
        <v/>
      </c>
      <c r="AJ946" t="str">
        <f>IF(AND('Detalle individual'!F946&lt;&gt;"",'Detalle individual'!F946&lt;&gt;"Completado",'Detalle individual'!F946&lt;&gt;"Pendiente"),COUNTIF('Detalle individual'!$D$5:$D$1000,"&lt;"&amp;'Detalle individual'!D946)*1000000+COUNTIF('Detalle individual'!$C$5:$C$1000,"&lt;"&amp;'Detalle individual'!C946)*1000+COUNTIF('Detalle individual'!$B$5:$B$1000,"&lt;"&amp;'Detalle individual'!B946)+ROW()/10000,"")</f>
        <v/>
      </c>
      <c r="AK946" t="str">
        <f>IF(OR('Base Exámenes'!C946="",'Base Exámenes'!D946=""),"",IF(COUNTIF('Base Exámenes'!$C$5:C946,'Base Exámenes'!C946)=1,'Base Exámenes'!D946+ROW()/1000000000,""))</f>
        <v/>
      </c>
      <c r="AL946" t="str">
        <f>IF(OR('Base Exámenes'!C946="",'Base Exámenes'!E946=""),"",IF(COUNTIF('Base Exámenes'!$C$5:C946,'Base Exámenes'!C946)=1,'Base Exámenes'!E946+ROW()/1000000000,""))</f>
        <v/>
      </c>
      <c r="AM946" t="str">
        <f>IF(OR('Base Exámenes'!C946="",'Base Exámenes'!G946=""),"",IF(ROW()-4=MATCH('Base Exámenes'!C946&amp;"|"&amp;_xlfn.MAXIFS('Base Exámenes'!$G$5:$G$1000,'Base Exámenes'!$C$5:$C$1000,'Base Exámenes'!C946),'Base Exámenes'!$I$5:$I$1000,0),'Base Exámenes'!G946*1000000+(-1)*'Base Exámenes'!D946,""))</f>
        <v/>
      </c>
      <c r="AQ946" t="str">
        <f>IF('Base Exámenes'!C946="","",IF(COUNTIF('Base Exámenes'!$C$5:$C$1000,'Base Exámenes'!C946)&lt;2,"",MATCH('Base Exámenes'!C946,'Base Exámenes'!$C$5:$C$1000,0)*10000+ROW()))</f>
        <v/>
      </c>
    </row>
    <row r="947">
      <c r="Z947" t="str">
        <f>IF('Detalle individual'!A947="","",IF(AND(OR('Estado por Colaborador'!$D$4="Todas las gerencias",'Detalle individual'!D947='Estado por Colaborador'!$D$4),OR('Estado por Colaborador'!$D$5="Todos los departamentos",TRIM('Detalle individual'!C947)='Estado por Colaborador'!$D$5),OR('Estado por Colaborador'!$D$6="Todos",'Detalle individual'!F947='Estado por Colaborador'!$D$6)),IF('Detalle individual'!F947="Completado",30000000,IF('Detalle individual'!F947="Pendiente",0,15000000))+COUNTIF('Detalle individual'!$C$5:$C$1000,"&lt;"&amp;'Detalle individual'!C947)*10000+ROW(),""))</f>
        <v/>
      </c>
      <c r="AB947" t="str">
        <f>IF('Detalle individual'!C947="","",IF(COUNTIF('Detalle individual'!$C$5:C947,'Detalle individual'!C947)=1,COUNTIF('Detalle individual'!$C$5:$C$1000,"&lt;"&amp;'Detalle individual'!C947),""))</f>
        <v/>
      </c>
      <c r="AC947" t="str">
        <f>IF('Detalle individual'!D947="","",IF(COUNTIF('Detalle individual'!$D$5:D947,'Detalle individual'!D947)=1,COUNTIF('Detalle individual'!$D$5:$D$1000,"&lt;"&amp;'Detalle individual'!D947),""))</f>
        <v/>
      </c>
      <c r="AH947" t="str">
        <f>IF('Detalle individual'!F947="Pendiente",COUNTIF('Detalle individual'!$D$5:$D$1000,"&lt;"&amp;'Detalle individual'!D947)*1000000+COUNTIF('Detalle individual'!$C$5:$C$1000,"&lt;"&amp;'Detalle individual'!C947)*1000+COUNTIF('Detalle individual'!$B$5:$B$1000,"&lt;"&amp;'Detalle individual'!B947)+ROW()/10000,"")</f>
        <v/>
      </c>
      <c r="AI947" t="str">
        <f>IF('Detalle individual'!F947="Completado",COUNTIF('Detalle individual'!$D$5:$D$1000,"&lt;"&amp;'Detalle individual'!D947)*1000000+COUNTIF('Detalle individual'!$C$5:$C$1000,"&lt;"&amp;'Detalle individual'!C947)*1000+COUNTIF('Detalle individual'!$B$5:$B$1000,"&lt;"&amp;'Detalle individual'!B947)+ROW()/10000,"")</f>
        <v/>
      </c>
      <c r="AJ947" t="str">
        <f>IF(AND('Detalle individual'!F947&lt;&gt;"",'Detalle individual'!F947&lt;&gt;"Completado",'Detalle individual'!F947&lt;&gt;"Pendiente"),COUNTIF('Detalle individual'!$D$5:$D$1000,"&lt;"&amp;'Detalle individual'!D947)*1000000+COUNTIF('Detalle individual'!$C$5:$C$1000,"&lt;"&amp;'Detalle individual'!C947)*1000+COUNTIF('Detalle individual'!$B$5:$B$1000,"&lt;"&amp;'Detalle individual'!B947)+ROW()/10000,"")</f>
        <v/>
      </c>
      <c r="AK947" t="str">
        <f>IF(OR('Base Exámenes'!C947="",'Base Exámenes'!D947=""),"",IF(COUNTIF('Base Exámenes'!$C$5:C947,'Base Exámenes'!C947)=1,'Base Exámenes'!D947+ROW()/1000000000,""))</f>
        <v/>
      </c>
      <c r="AL947" t="str">
        <f>IF(OR('Base Exámenes'!C947="",'Base Exámenes'!E947=""),"",IF(COUNTIF('Base Exámenes'!$C$5:C947,'Base Exámenes'!C947)=1,'Base Exámenes'!E947+ROW()/1000000000,""))</f>
        <v/>
      </c>
      <c r="AM947" t="str">
        <f>IF(OR('Base Exámenes'!C947="",'Base Exámenes'!G947=""),"",IF(ROW()-4=MATCH('Base Exámenes'!C947&amp;"|"&amp;_xlfn.MAXIFS('Base Exámenes'!$G$5:$G$1000,'Base Exámenes'!$C$5:$C$1000,'Base Exámenes'!C947),'Base Exámenes'!$I$5:$I$1000,0),'Base Exámenes'!G947*1000000+(-1)*'Base Exámenes'!D947,""))</f>
        <v/>
      </c>
      <c r="AQ947" t="str">
        <f>IF('Base Exámenes'!C947="","",IF(COUNTIF('Base Exámenes'!$C$5:$C$1000,'Base Exámenes'!C947)&lt;2,"",MATCH('Base Exámenes'!C947,'Base Exámenes'!$C$5:$C$1000,0)*10000+ROW()))</f>
        <v/>
      </c>
    </row>
    <row r="948">
      <c r="Z948" t="str">
        <f>IF('Detalle individual'!A948="","",IF(AND(OR('Estado por Colaborador'!$D$4="Todas las gerencias",'Detalle individual'!D948='Estado por Colaborador'!$D$4),OR('Estado por Colaborador'!$D$5="Todos los departamentos",TRIM('Detalle individual'!C948)='Estado por Colaborador'!$D$5),OR('Estado por Colaborador'!$D$6="Todos",'Detalle individual'!F948='Estado por Colaborador'!$D$6)),IF('Detalle individual'!F948="Completado",30000000,IF('Detalle individual'!F948="Pendiente",0,15000000))+COUNTIF('Detalle individual'!$C$5:$C$1000,"&lt;"&amp;'Detalle individual'!C948)*10000+ROW(),""))</f>
        <v/>
      </c>
      <c r="AB948" t="str">
        <f>IF('Detalle individual'!C948="","",IF(COUNTIF('Detalle individual'!$C$5:C948,'Detalle individual'!C948)=1,COUNTIF('Detalle individual'!$C$5:$C$1000,"&lt;"&amp;'Detalle individual'!C948),""))</f>
        <v/>
      </c>
      <c r="AC948" t="str">
        <f>IF('Detalle individual'!D948="","",IF(COUNTIF('Detalle individual'!$D$5:D948,'Detalle individual'!D948)=1,COUNTIF('Detalle individual'!$D$5:$D$1000,"&lt;"&amp;'Detalle individual'!D948),""))</f>
        <v/>
      </c>
      <c r="AH948" t="str">
        <f>IF('Detalle individual'!F948="Pendiente",COUNTIF('Detalle individual'!$D$5:$D$1000,"&lt;"&amp;'Detalle individual'!D948)*1000000+COUNTIF('Detalle individual'!$C$5:$C$1000,"&lt;"&amp;'Detalle individual'!C948)*1000+COUNTIF('Detalle individual'!$B$5:$B$1000,"&lt;"&amp;'Detalle individual'!B948)+ROW()/10000,"")</f>
        <v/>
      </c>
      <c r="AI948" t="str">
        <f>IF('Detalle individual'!F948="Completado",COUNTIF('Detalle individual'!$D$5:$D$1000,"&lt;"&amp;'Detalle individual'!D948)*1000000+COUNTIF('Detalle individual'!$C$5:$C$1000,"&lt;"&amp;'Detalle individual'!C948)*1000+COUNTIF('Detalle individual'!$B$5:$B$1000,"&lt;"&amp;'Detalle individual'!B948)+ROW()/10000,"")</f>
        <v/>
      </c>
      <c r="AJ948" t="str">
        <f>IF(AND('Detalle individual'!F948&lt;&gt;"",'Detalle individual'!F948&lt;&gt;"Completado",'Detalle individual'!F948&lt;&gt;"Pendiente"),COUNTIF('Detalle individual'!$D$5:$D$1000,"&lt;"&amp;'Detalle individual'!D948)*1000000+COUNTIF('Detalle individual'!$C$5:$C$1000,"&lt;"&amp;'Detalle individual'!C948)*1000+COUNTIF('Detalle individual'!$B$5:$B$1000,"&lt;"&amp;'Detalle individual'!B948)+ROW()/10000,"")</f>
        <v/>
      </c>
      <c r="AK948" t="str">
        <f>IF(OR('Base Exámenes'!C948="",'Base Exámenes'!D948=""),"",IF(COUNTIF('Base Exámenes'!$C$5:C948,'Base Exámenes'!C948)=1,'Base Exámenes'!D948+ROW()/1000000000,""))</f>
        <v/>
      </c>
      <c r="AL948" t="str">
        <f>IF(OR('Base Exámenes'!C948="",'Base Exámenes'!E948=""),"",IF(COUNTIF('Base Exámenes'!$C$5:C948,'Base Exámenes'!C948)=1,'Base Exámenes'!E948+ROW()/1000000000,""))</f>
        <v/>
      </c>
      <c r="AM948" t="str">
        <f>IF(OR('Base Exámenes'!C948="",'Base Exámenes'!G948=""),"",IF(ROW()-4=MATCH('Base Exámenes'!C948&amp;"|"&amp;_xlfn.MAXIFS('Base Exámenes'!$G$5:$G$1000,'Base Exámenes'!$C$5:$C$1000,'Base Exámenes'!C948),'Base Exámenes'!$I$5:$I$1000,0),'Base Exámenes'!G948*1000000+(-1)*'Base Exámenes'!D948,""))</f>
        <v/>
      </c>
      <c r="AQ948" t="str">
        <f>IF('Base Exámenes'!C948="","",IF(COUNTIF('Base Exámenes'!$C$5:$C$1000,'Base Exámenes'!C948)&lt;2,"",MATCH('Base Exámenes'!C948,'Base Exámenes'!$C$5:$C$1000,0)*10000+ROW()))</f>
        <v/>
      </c>
    </row>
    <row r="949">
      <c r="Z949" t="str">
        <f>IF('Detalle individual'!A949="","",IF(AND(OR('Estado por Colaborador'!$D$4="Todas las gerencias",'Detalle individual'!D949='Estado por Colaborador'!$D$4),OR('Estado por Colaborador'!$D$5="Todos los departamentos",TRIM('Detalle individual'!C949)='Estado por Colaborador'!$D$5),OR('Estado por Colaborador'!$D$6="Todos",'Detalle individual'!F949='Estado por Colaborador'!$D$6)),IF('Detalle individual'!F949="Completado",30000000,IF('Detalle individual'!F949="Pendiente",0,15000000))+COUNTIF('Detalle individual'!$C$5:$C$1000,"&lt;"&amp;'Detalle individual'!C949)*10000+ROW(),""))</f>
        <v/>
      </c>
      <c r="AB949" t="str">
        <f>IF('Detalle individual'!C949="","",IF(COUNTIF('Detalle individual'!$C$5:C949,'Detalle individual'!C949)=1,COUNTIF('Detalle individual'!$C$5:$C$1000,"&lt;"&amp;'Detalle individual'!C949),""))</f>
        <v/>
      </c>
      <c r="AC949" t="str">
        <f>IF('Detalle individual'!D949="","",IF(COUNTIF('Detalle individual'!$D$5:D949,'Detalle individual'!D949)=1,COUNTIF('Detalle individual'!$D$5:$D$1000,"&lt;"&amp;'Detalle individual'!D949),""))</f>
        <v/>
      </c>
      <c r="AH949" t="str">
        <f>IF('Detalle individual'!F949="Pendiente",COUNTIF('Detalle individual'!$D$5:$D$1000,"&lt;"&amp;'Detalle individual'!D949)*1000000+COUNTIF('Detalle individual'!$C$5:$C$1000,"&lt;"&amp;'Detalle individual'!C949)*1000+COUNTIF('Detalle individual'!$B$5:$B$1000,"&lt;"&amp;'Detalle individual'!B949)+ROW()/10000,"")</f>
        <v/>
      </c>
      <c r="AI949" t="str">
        <f>IF('Detalle individual'!F949="Completado",COUNTIF('Detalle individual'!$D$5:$D$1000,"&lt;"&amp;'Detalle individual'!D949)*1000000+COUNTIF('Detalle individual'!$C$5:$C$1000,"&lt;"&amp;'Detalle individual'!C949)*1000+COUNTIF('Detalle individual'!$B$5:$B$1000,"&lt;"&amp;'Detalle individual'!B949)+ROW()/10000,"")</f>
        <v/>
      </c>
      <c r="AJ949" t="str">
        <f>IF(AND('Detalle individual'!F949&lt;&gt;"",'Detalle individual'!F949&lt;&gt;"Completado",'Detalle individual'!F949&lt;&gt;"Pendiente"),COUNTIF('Detalle individual'!$D$5:$D$1000,"&lt;"&amp;'Detalle individual'!D949)*1000000+COUNTIF('Detalle individual'!$C$5:$C$1000,"&lt;"&amp;'Detalle individual'!C949)*1000+COUNTIF('Detalle individual'!$B$5:$B$1000,"&lt;"&amp;'Detalle individual'!B949)+ROW()/10000,"")</f>
        <v/>
      </c>
      <c r="AK949" t="str">
        <f>IF(OR('Base Exámenes'!C949="",'Base Exámenes'!D949=""),"",IF(COUNTIF('Base Exámenes'!$C$5:C949,'Base Exámenes'!C949)=1,'Base Exámenes'!D949+ROW()/1000000000,""))</f>
        <v/>
      </c>
      <c r="AL949" t="str">
        <f>IF(OR('Base Exámenes'!C949="",'Base Exámenes'!E949=""),"",IF(COUNTIF('Base Exámenes'!$C$5:C949,'Base Exámenes'!C949)=1,'Base Exámenes'!E949+ROW()/1000000000,""))</f>
        <v/>
      </c>
      <c r="AM949" t="str">
        <f>IF(OR('Base Exámenes'!C949="",'Base Exámenes'!G949=""),"",IF(ROW()-4=MATCH('Base Exámenes'!C949&amp;"|"&amp;_xlfn.MAXIFS('Base Exámenes'!$G$5:$G$1000,'Base Exámenes'!$C$5:$C$1000,'Base Exámenes'!C949),'Base Exámenes'!$I$5:$I$1000,0),'Base Exámenes'!G949*1000000+(-1)*'Base Exámenes'!D949,""))</f>
        <v/>
      </c>
      <c r="AQ949" t="str">
        <f>IF('Base Exámenes'!C949="","",IF(COUNTIF('Base Exámenes'!$C$5:$C$1000,'Base Exámenes'!C949)&lt;2,"",MATCH('Base Exámenes'!C949,'Base Exámenes'!$C$5:$C$1000,0)*10000+ROW()))</f>
        <v/>
      </c>
    </row>
    <row r="950">
      <c r="Z950" t="str">
        <f>IF('Detalle individual'!A950="","",IF(AND(OR('Estado por Colaborador'!$D$4="Todas las gerencias",'Detalle individual'!D950='Estado por Colaborador'!$D$4),OR('Estado por Colaborador'!$D$5="Todos los departamentos",TRIM('Detalle individual'!C950)='Estado por Colaborador'!$D$5),OR('Estado por Colaborador'!$D$6="Todos",'Detalle individual'!F950='Estado por Colaborador'!$D$6)),IF('Detalle individual'!F950="Completado",30000000,IF('Detalle individual'!F950="Pendiente",0,15000000))+COUNTIF('Detalle individual'!$C$5:$C$1000,"&lt;"&amp;'Detalle individual'!C950)*10000+ROW(),""))</f>
        <v/>
      </c>
      <c r="AB950" t="str">
        <f>IF('Detalle individual'!C950="","",IF(COUNTIF('Detalle individual'!$C$5:C950,'Detalle individual'!C950)=1,COUNTIF('Detalle individual'!$C$5:$C$1000,"&lt;"&amp;'Detalle individual'!C950),""))</f>
        <v/>
      </c>
      <c r="AC950" t="str">
        <f>IF('Detalle individual'!D950="","",IF(COUNTIF('Detalle individual'!$D$5:D950,'Detalle individual'!D950)=1,COUNTIF('Detalle individual'!$D$5:$D$1000,"&lt;"&amp;'Detalle individual'!D950),""))</f>
        <v/>
      </c>
      <c r="AH950" t="str">
        <f>IF('Detalle individual'!F950="Pendiente",COUNTIF('Detalle individual'!$D$5:$D$1000,"&lt;"&amp;'Detalle individual'!D950)*1000000+COUNTIF('Detalle individual'!$C$5:$C$1000,"&lt;"&amp;'Detalle individual'!C950)*1000+COUNTIF('Detalle individual'!$B$5:$B$1000,"&lt;"&amp;'Detalle individual'!B950)+ROW()/10000,"")</f>
        <v/>
      </c>
      <c r="AI950" t="str">
        <f>IF('Detalle individual'!F950="Completado",COUNTIF('Detalle individual'!$D$5:$D$1000,"&lt;"&amp;'Detalle individual'!D950)*1000000+COUNTIF('Detalle individual'!$C$5:$C$1000,"&lt;"&amp;'Detalle individual'!C950)*1000+COUNTIF('Detalle individual'!$B$5:$B$1000,"&lt;"&amp;'Detalle individual'!B950)+ROW()/10000,"")</f>
        <v/>
      </c>
      <c r="AJ950" t="str">
        <f>IF(AND('Detalle individual'!F950&lt;&gt;"",'Detalle individual'!F950&lt;&gt;"Completado",'Detalle individual'!F950&lt;&gt;"Pendiente"),COUNTIF('Detalle individual'!$D$5:$D$1000,"&lt;"&amp;'Detalle individual'!D950)*1000000+COUNTIF('Detalle individual'!$C$5:$C$1000,"&lt;"&amp;'Detalle individual'!C950)*1000+COUNTIF('Detalle individual'!$B$5:$B$1000,"&lt;"&amp;'Detalle individual'!B950)+ROW()/10000,"")</f>
        <v/>
      </c>
      <c r="AK950" t="str">
        <f>IF(OR('Base Exámenes'!C950="",'Base Exámenes'!D950=""),"",IF(COUNTIF('Base Exámenes'!$C$5:C950,'Base Exámenes'!C950)=1,'Base Exámenes'!D950+ROW()/1000000000,""))</f>
        <v/>
      </c>
      <c r="AL950" t="str">
        <f>IF(OR('Base Exámenes'!C950="",'Base Exámenes'!E950=""),"",IF(COUNTIF('Base Exámenes'!$C$5:C950,'Base Exámenes'!C950)=1,'Base Exámenes'!E950+ROW()/1000000000,""))</f>
        <v/>
      </c>
      <c r="AM950" t="str">
        <f>IF(OR('Base Exámenes'!C950="",'Base Exámenes'!G950=""),"",IF(ROW()-4=MATCH('Base Exámenes'!C950&amp;"|"&amp;_xlfn.MAXIFS('Base Exámenes'!$G$5:$G$1000,'Base Exámenes'!$C$5:$C$1000,'Base Exámenes'!C950),'Base Exámenes'!$I$5:$I$1000,0),'Base Exámenes'!G950*1000000+(-1)*'Base Exámenes'!D950,""))</f>
        <v/>
      </c>
      <c r="AQ950" t="str">
        <f>IF('Base Exámenes'!C950="","",IF(COUNTIF('Base Exámenes'!$C$5:$C$1000,'Base Exámenes'!C950)&lt;2,"",MATCH('Base Exámenes'!C950,'Base Exámenes'!$C$5:$C$1000,0)*10000+ROW()))</f>
        <v/>
      </c>
    </row>
    <row r="951">
      <c r="Z951" t="str">
        <f>IF('Detalle individual'!A951="","",IF(AND(OR('Estado por Colaborador'!$D$4="Todas las gerencias",'Detalle individual'!D951='Estado por Colaborador'!$D$4),OR('Estado por Colaborador'!$D$5="Todos los departamentos",TRIM('Detalle individual'!C951)='Estado por Colaborador'!$D$5),OR('Estado por Colaborador'!$D$6="Todos",'Detalle individual'!F951='Estado por Colaborador'!$D$6)),IF('Detalle individual'!F951="Completado",30000000,IF('Detalle individual'!F951="Pendiente",0,15000000))+COUNTIF('Detalle individual'!$C$5:$C$1000,"&lt;"&amp;'Detalle individual'!C951)*10000+ROW(),""))</f>
        <v/>
      </c>
      <c r="AB951" t="str">
        <f>IF('Detalle individual'!C951="","",IF(COUNTIF('Detalle individual'!$C$5:C951,'Detalle individual'!C951)=1,COUNTIF('Detalle individual'!$C$5:$C$1000,"&lt;"&amp;'Detalle individual'!C951),""))</f>
        <v/>
      </c>
      <c r="AC951" t="str">
        <f>IF('Detalle individual'!D951="","",IF(COUNTIF('Detalle individual'!$D$5:D951,'Detalle individual'!D951)=1,COUNTIF('Detalle individual'!$D$5:$D$1000,"&lt;"&amp;'Detalle individual'!D951),""))</f>
        <v/>
      </c>
      <c r="AH951" t="str">
        <f>IF('Detalle individual'!F951="Pendiente",COUNTIF('Detalle individual'!$D$5:$D$1000,"&lt;"&amp;'Detalle individual'!D951)*1000000+COUNTIF('Detalle individual'!$C$5:$C$1000,"&lt;"&amp;'Detalle individual'!C951)*1000+COUNTIF('Detalle individual'!$B$5:$B$1000,"&lt;"&amp;'Detalle individual'!B951)+ROW()/10000,"")</f>
        <v/>
      </c>
      <c r="AI951" t="str">
        <f>IF('Detalle individual'!F951="Completado",COUNTIF('Detalle individual'!$D$5:$D$1000,"&lt;"&amp;'Detalle individual'!D951)*1000000+COUNTIF('Detalle individual'!$C$5:$C$1000,"&lt;"&amp;'Detalle individual'!C951)*1000+COUNTIF('Detalle individual'!$B$5:$B$1000,"&lt;"&amp;'Detalle individual'!B951)+ROW()/10000,"")</f>
        <v/>
      </c>
      <c r="AJ951" t="str">
        <f>IF(AND('Detalle individual'!F951&lt;&gt;"",'Detalle individual'!F951&lt;&gt;"Completado",'Detalle individual'!F951&lt;&gt;"Pendiente"),COUNTIF('Detalle individual'!$D$5:$D$1000,"&lt;"&amp;'Detalle individual'!D951)*1000000+COUNTIF('Detalle individual'!$C$5:$C$1000,"&lt;"&amp;'Detalle individual'!C951)*1000+COUNTIF('Detalle individual'!$B$5:$B$1000,"&lt;"&amp;'Detalle individual'!B951)+ROW()/10000,"")</f>
        <v/>
      </c>
      <c r="AK951" t="str">
        <f>IF(OR('Base Exámenes'!C951="",'Base Exámenes'!D951=""),"",IF(COUNTIF('Base Exámenes'!$C$5:C951,'Base Exámenes'!C951)=1,'Base Exámenes'!D951+ROW()/1000000000,""))</f>
        <v/>
      </c>
      <c r="AL951" t="str">
        <f>IF(OR('Base Exámenes'!C951="",'Base Exámenes'!E951=""),"",IF(COUNTIF('Base Exámenes'!$C$5:C951,'Base Exámenes'!C951)=1,'Base Exámenes'!E951+ROW()/1000000000,""))</f>
        <v/>
      </c>
      <c r="AM951" t="str">
        <f>IF(OR('Base Exámenes'!C951="",'Base Exámenes'!G951=""),"",IF(ROW()-4=MATCH('Base Exámenes'!C951&amp;"|"&amp;_xlfn.MAXIFS('Base Exámenes'!$G$5:$G$1000,'Base Exámenes'!$C$5:$C$1000,'Base Exámenes'!C951),'Base Exámenes'!$I$5:$I$1000,0),'Base Exámenes'!G951*1000000+(-1)*'Base Exámenes'!D951,""))</f>
        <v/>
      </c>
      <c r="AQ951" t="str">
        <f>IF('Base Exámenes'!C951="","",IF(COUNTIF('Base Exámenes'!$C$5:$C$1000,'Base Exámenes'!C951)&lt;2,"",MATCH('Base Exámenes'!C951,'Base Exámenes'!$C$5:$C$1000,0)*10000+ROW()))</f>
        <v/>
      </c>
    </row>
    <row r="952">
      <c r="Z952" t="str">
        <f>IF('Detalle individual'!A952="","",IF(AND(OR('Estado por Colaborador'!$D$4="Todas las gerencias",'Detalle individual'!D952='Estado por Colaborador'!$D$4),OR('Estado por Colaborador'!$D$5="Todos los departamentos",TRIM('Detalle individual'!C952)='Estado por Colaborador'!$D$5),OR('Estado por Colaborador'!$D$6="Todos",'Detalle individual'!F952='Estado por Colaborador'!$D$6)),IF('Detalle individual'!F952="Completado",30000000,IF('Detalle individual'!F952="Pendiente",0,15000000))+COUNTIF('Detalle individual'!$C$5:$C$1000,"&lt;"&amp;'Detalle individual'!C952)*10000+ROW(),""))</f>
        <v/>
      </c>
      <c r="AB952" t="str">
        <f>IF('Detalle individual'!C952="","",IF(COUNTIF('Detalle individual'!$C$5:C952,'Detalle individual'!C952)=1,COUNTIF('Detalle individual'!$C$5:$C$1000,"&lt;"&amp;'Detalle individual'!C952),""))</f>
        <v/>
      </c>
      <c r="AC952" t="str">
        <f>IF('Detalle individual'!D952="","",IF(COUNTIF('Detalle individual'!$D$5:D952,'Detalle individual'!D952)=1,COUNTIF('Detalle individual'!$D$5:$D$1000,"&lt;"&amp;'Detalle individual'!D952),""))</f>
        <v/>
      </c>
      <c r="AH952" t="str">
        <f>IF('Detalle individual'!F952="Pendiente",COUNTIF('Detalle individual'!$D$5:$D$1000,"&lt;"&amp;'Detalle individual'!D952)*1000000+COUNTIF('Detalle individual'!$C$5:$C$1000,"&lt;"&amp;'Detalle individual'!C952)*1000+COUNTIF('Detalle individual'!$B$5:$B$1000,"&lt;"&amp;'Detalle individual'!B952)+ROW()/10000,"")</f>
        <v/>
      </c>
      <c r="AI952" t="str">
        <f>IF('Detalle individual'!F952="Completado",COUNTIF('Detalle individual'!$D$5:$D$1000,"&lt;"&amp;'Detalle individual'!D952)*1000000+COUNTIF('Detalle individual'!$C$5:$C$1000,"&lt;"&amp;'Detalle individual'!C952)*1000+COUNTIF('Detalle individual'!$B$5:$B$1000,"&lt;"&amp;'Detalle individual'!B952)+ROW()/10000,"")</f>
        <v/>
      </c>
      <c r="AJ952" t="str">
        <f>IF(AND('Detalle individual'!F952&lt;&gt;"",'Detalle individual'!F952&lt;&gt;"Completado",'Detalle individual'!F952&lt;&gt;"Pendiente"),COUNTIF('Detalle individual'!$D$5:$D$1000,"&lt;"&amp;'Detalle individual'!D952)*1000000+COUNTIF('Detalle individual'!$C$5:$C$1000,"&lt;"&amp;'Detalle individual'!C952)*1000+COUNTIF('Detalle individual'!$B$5:$B$1000,"&lt;"&amp;'Detalle individual'!B952)+ROW()/10000,"")</f>
        <v/>
      </c>
      <c r="AK952" t="str">
        <f>IF(OR('Base Exámenes'!C952="",'Base Exámenes'!D952=""),"",IF(COUNTIF('Base Exámenes'!$C$5:C952,'Base Exámenes'!C952)=1,'Base Exámenes'!D952+ROW()/1000000000,""))</f>
        <v/>
      </c>
      <c r="AL952" t="str">
        <f>IF(OR('Base Exámenes'!C952="",'Base Exámenes'!E952=""),"",IF(COUNTIF('Base Exámenes'!$C$5:C952,'Base Exámenes'!C952)=1,'Base Exámenes'!E952+ROW()/1000000000,""))</f>
        <v/>
      </c>
      <c r="AM952" t="str">
        <f>IF(OR('Base Exámenes'!C952="",'Base Exámenes'!G952=""),"",IF(ROW()-4=MATCH('Base Exámenes'!C952&amp;"|"&amp;_xlfn.MAXIFS('Base Exámenes'!$G$5:$G$1000,'Base Exámenes'!$C$5:$C$1000,'Base Exámenes'!C952),'Base Exámenes'!$I$5:$I$1000,0),'Base Exámenes'!G952*1000000+(-1)*'Base Exámenes'!D952,""))</f>
        <v/>
      </c>
      <c r="AQ952" t="str">
        <f>IF('Base Exámenes'!C952="","",IF(COUNTIF('Base Exámenes'!$C$5:$C$1000,'Base Exámenes'!C952)&lt;2,"",MATCH('Base Exámenes'!C952,'Base Exámenes'!$C$5:$C$1000,0)*10000+ROW()))</f>
        <v/>
      </c>
    </row>
    <row r="953">
      <c r="Z953" t="str">
        <f>IF('Detalle individual'!A953="","",IF(AND(OR('Estado por Colaborador'!$D$4="Todas las gerencias",'Detalle individual'!D953='Estado por Colaborador'!$D$4),OR('Estado por Colaborador'!$D$5="Todos los departamentos",TRIM('Detalle individual'!C953)='Estado por Colaborador'!$D$5),OR('Estado por Colaborador'!$D$6="Todos",'Detalle individual'!F953='Estado por Colaborador'!$D$6)),IF('Detalle individual'!F953="Completado",30000000,IF('Detalle individual'!F953="Pendiente",0,15000000))+COUNTIF('Detalle individual'!$C$5:$C$1000,"&lt;"&amp;'Detalle individual'!C953)*10000+ROW(),""))</f>
        <v/>
      </c>
      <c r="AB953" t="str">
        <f>IF('Detalle individual'!C953="","",IF(COUNTIF('Detalle individual'!$C$5:C953,'Detalle individual'!C953)=1,COUNTIF('Detalle individual'!$C$5:$C$1000,"&lt;"&amp;'Detalle individual'!C953),""))</f>
        <v/>
      </c>
      <c r="AC953" t="str">
        <f>IF('Detalle individual'!D953="","",IF(COUNTIF('Detalle individual'!$D$5:D953,'Detalle individual'!D953)=1,COUNTIF('Detalle individual'!$D$5:$D$1000,"&lt;"&amp;'Detalle individual'!D953),""))</f>
        <v/>
      </c>
      <c r="AH953" t="str">
        <f>IF('Detalle individual'!F953="Pendiente",COUNTIF('Detalle individual'!$D$5:$D$1000,"&lt;"&amp;'Detalle individual'!D953)*1000000+COUNTIF('Detalle individual'!$C$5:$C$1000,"&lt;"&amp;'Detalle individual'!C953)*1000+COUNTIF('Detalle individual'!$B$5:$B$1000,"&lt;"&amp;'Detalle individual'!B953)+ROW()/10000,"")</f>
        <v/>
      </c>
      <c r="AI953" t="str">
        <f>IF('Detalle individual'!F953="Completado",COUNTIF('Detalle individual'!$D$5:$D$1000,"&lt;"&amp;'Detalle individual'!D953)*1000000+COUNTIF('Detalle individual'!$C$5:$C$1000,"&lt;"&amp;'Detalle individual'!C953)*1000+COUNTIF('Detalle individual'!$B$5:$B$1000,"&lt;"&amp;'Detalle individual'!B953)+ROW()/10000,"")</f>
        <v/>
      </c>
      <c r="AJ953" t="str">
        <f>IF(AND('Detalle individual'!F953&lt;&gt;"",'Detalle individual'!F953&lt;&gt;"Completado",'Detalle individual'!F953&lt;&gt;"Pendiente"),COUNTIF('Detalle individual'!$D$5:$D$1000,"&lt;"&amp;'Detalle individual'!D953)*1000000+COUNTIF('Detalle individual'!$C$5:$C$1000,"&lt;"&amp;'Detalle individual'!C953)*1000+COUNTIF('Detalle individual'!$B$5:$B$1000,"&lt;"&amp;'Detalle individual'!B953)+ROW()/10000,"")</f>
        <v/>
      </c>
      <c r="AK953" t="str">
        <f>IF(OR('Base Exámenes'!C953="",'Base Exámenes'!D953=""),"",IF(COUNTIF('Base Exámenes'!$C$5:C953,'Base Exámenes'!C953)=1,'Base Exámenes'!D953+ROW()/1000000000,""))</f>
        <v/>
      </c>
      <c r="AL953" t="str">
        <f>IF(OR('Base Exámenes'!C953="",'Base Exámenes'!E953=""),"",IF(COUNTIF('Base Exámenes'!$C$5:C953,'Base Exámenes'!C953)=1,'Base Exámenes'!E953+ROW()/1000000000,""))</f>
        <v/>
      </c>
      <c r="AM953" t="str">
        <f>IF(OR('Base Exámenes'!C953="",'Base Exámenes'!G953=""),"",IF(ROW()-4=MATCH('Base Exámenes'!C953&amp;"|"&amp;_xlfn.MAXIFS('Base Exámenes'!$G$5:$G$1000,'Base Exámenes'!$C$5:$C$1000,'Base Exámenes'!C953),'Base Exámenes'!$I$5:$I$1000,0),'Base Exámenes'!G953*1000000+(-1)*'Base Exámenes'!D953,""))</f>
        <v/>
      </c>
      <c r="AQ953" t="str">
        <f>IF('Base Exámenes'!C953="","",IF(COUNTIF('Base Exámenes'!$C$5:$C$1000,'Base Exámenes'!C953)&lt;2,"",MATCH('Base Exámenes'!C953,'Base Exámenes'!$C$5:$C$1000,0)*10000+ROW()))</f>
        <v/>
      </c>
    </row>
    <row r="954">
      <c r="Z954" t="str">
        <f>IF('Detalle individual'!A954="","",IF(AND(OR('Estado por Colaborador'!$D$4="Todas las gerencias",'Detalle individual'!D954='Estado por Colaborador'!$D$4),OR('Estado por Colaborador'!$D$5="Todos los departamentos",TRIM('Detalle individual'!C954)='Estado por Colaborador'!$D$5),OR('Estado por Colaborador'!$D$6="Todos",'Detalle individual'!F954='Estado por Colaborador'!$D$6)),IF('Detalle individual'!F954="Completado",30000000,IF('Detalle individual'!F954="Pendiente",0,15000000))+COUNTIF('Detalle individual'!$C$5:$C$1000,"&lt;"&amp;'Detalle individual'!C954)*10000+ROW(),""))</f>
        <v/>
      </c>
      <c r="AB954" t="str">
        <f>IF('Detalle individual'!C954="","",IF(COUNTIF('Detalle individual'!$C$5:C954,'Detalle individual'!C954)=1,COUNTIF('Detalle individual'!$C$5:$C$1000,"&lt;"&amp;'Detalle individual'!C954),""))</f>
        <v/>
      </c>
      <c r="AC954" t="str">
        <f>IF('Detalle individual'!D954="","",IF(COUNTIF('Detalle individual'!$D$5:D954,'Detalle individual'!D954)=1,COUNTIF('Detalle individual'!$D$5:$D$1000,"&lt;"&amp;'Detalle individual'!D954),""))</f>
        <v/>
      </c>
      <c r="AH954" t="str">
        <f>IF('Detalle individual'!F954="Pendiente",COUNTIF('Detalle individual'!$D$5:$D$1000,"&lt;"&amp;'Detalle individual'!D954)*1000000+COUNTIF('Detalle individual'!$C$5:$C$1000,"&lt;"&amp;'Detalle individual'!C954)*1000+COUNTIF('Detalle individual'!$B$5:$B$1000,"&lt;"&amp;'Detalle individual'!B954)+ROW()/10000,"")</f>
        <v/>
      </c>
      <c r="AI954" t="str">
        <f>IF('Detalle individual'!F954="Completado",COUNTIF('Detalle individual'!$D$5:$D$1000,"&lt;"&amp;'Detalle individual'!D954)*1000000+COUNTIF('Detalle individual'!$C$5:$C$1000,"&lt;"&amp;'Detalle individual'!C954)*1000+COUNTIF('Detalle individual'!$B$5:$B$1000,"&lt;"&amp;'Detalle individual'!B954)+ROW()/10000,"")</f>
        <v/>
      </c>
      <c r="AJ954" t="str">
        <f>IF(AND('Detalle individual'!F954&lt;&gt;"",'Detalle individual'!F954&lt;&gt;"Completado",'Detalle individual'!F954&lt;&gt;"Pendiente"),COUNTIF('Detalle individual'!$D$5:$D$1000,"&lt;"&amp;'Detalle individual'!D954)*1000000+COUNTIF('Detalle individual'!$C$5:$C$1000,"&lt;"&amp;'Detalle individual'!C954)*1000+COUNTIF('Detalle individual'!$B$5:$B$1000,"&lt;"&amp;'Detalle individual'!B954)+ROW()/10000,"")</f>
        <v/>
      </c>
      <c r="AK954" t="str">
        <f>IF(OR('Base Exámenes'!C954="",'Base Exámenes'!D954=""),"",IF(COUNTIF('Base Exámenes'!$C$5:C954,'Base Exámenes'!C954)=1,'Base Exámenes'!D954+ROW()/1000000000,""))</f>
        <v/>
      </c>
      <c r="AL954" t="str">
        <f>IF(OR('Base Exámenes'!C954="",'Base Exámenes'!E954=""),"",IF(COUNTIF('Base Exámenes'!$C$5:C954,'Base Exámenes'!C954)=1,'Base Exámenes'!E954+ROW()/1000000000,""))</f>
        <v/>
      </c>
      <c r="AM954" t="str">
        <f>IF(OR('Base Exámenes'!C954="",'Base Exámenes'!G954=""),"",IF(ROW()-4=MATCH('Base Exámenes'!C954&amp;"|"&amp;_xlfn.MAXIFS('Base Exámenes'!$G$5:$G$1000,'Base Exámenes'!$C$5:$C$1000,'Base Exámenes'!C954),'Base Exámenes'!$I$5:$I$1000,0),'Base Exámenes'!G954*1000000+(-1)*'Base Exámenes'!D954,""))</f>
        <v/>
      </c>
      <c r="AQ954" t="str">
        <f>IF('Base Exámenes'!C954="","",IF(COUNTIF('Base Exámenes'!$C$5:$C$1000,'Base Exámenes'!C954)&lt;2,"",MATCH('Base Exámenes'!C954,'Base Exámenes'!$C$5:$C$1000,0)*10000+ROW()))</f>
        <v/>
      </c>
    </row>
    <row r="955">
      <c r="Z955" t="str">
        <f>IF('Detalle individual'!A955="","",IF(AND(OR('Estado por Colaborador'!$D$4="Todas las gerencias",'Detalle individual'!D955='Estado por Colaborador'!$D$4),OR('Estado por Colaborador'!$D$5="Todos los departamentos",TRIM('Detalle individual'!C955)='Estado por Colaborador'!$D$5),OR('Estado por Colaborador'!$D$6="Todos",'Detalle individual'!F955='Estado por Colaborador'!$D$6)),IF('Detalle individual'!F955="Completado",30000000,IF('Detalle individual'!F955="Pendiente",0,15000000))+COUNTIF('Detalle individual'!$C$5:$C$1000,"&lt;"&amp;'Detalle individual'!C955)*10000+ROW(),""))</f>
        <v/>
      </c>
      <c r="AB955" t="str">
        <f>IF('Detalle individual'!C955="","",IF(COUNTIF('Detalle individual'!$C$5:C955,'Detalle individual'!C955)=1,COUNTIF('Detalle individual'!$C$5:$C$1000,"&lt;"&amp;'Detalle individual'!C955),""))</f>
        <v/>
      </c>
      <c r="AC955" t="str">
        <f>IF('Detalle individual'!D955="","",IF(COUNTIF('Detalle individual'!$D$5:D955,'Detalle individual'!D955)=1,COUNTIF('Detalle individual'!$D$5:$D$1000,"&lt;"&amp;'Detalle individual'!D955),""))</f>
        <v/>
      </c>
      <c r="AH955" t="str">
        <f>IF('Detalle individual'!F955="Pendiente",COUNTIF('Detalle individual'!$D$5:$D$1000,"&lt;"&amp;'Detalle individual'!D955)*1000000+COUNTIF('Detalle individual'!$C$5:$C$1000,"&lt;"&amp;'Detalle individual'!C955)*1000+COUNTIF('Detalle individual'!$B$5:$B$1000,"&lt;"&amp;'Detalle individual'!B955)+ROW()/10000,"")</f>
        <v/>
      </c>
      <c r="AI955" t="str">
        <f>IF('Detalle individual'!F955="Completado",COUNTIF('Detalle individual'!$D$5:$D$1000,"&lt;"&amp;'Detalle individual'!D955)*1000000+COUNTIF('Detalle individual'!$C$5:$C$1000,"&lt;"&amp;'Detalle individual'!C955)*1000+COUNTIF('Detalle individual'!$B$5:$B$1000,"&lt;"&amp;'Detalle individual'!B955)+ROW()/10000,"")</f>
        <v/>
      </c>
      <c r="AJ955" t="str">
        <f>IF(AND('Detalle individual'!F955&lt;&gt;"",'Detalle individual'!F955&lt;&gt;"Completado",'Detalle individual'!F955&lt;&gt;"Pendiente"),COUNTIF('Detalle individual'!$D$5:$D$1000,"&lt;"&amp;'Detalle individual'!D955)*1000000+COUNTIF('Detalle individual'!$C$5:$C$1000,"&lt;"&amp;'Detalle individual'!C955)*1000+COUNTIF('Detalle individual'!$B$5:$B$1000,"&lt;"&amp;'Detalle individual'!B955)+ROW()/10000,"")</f>
        <v/>
      </c>
      <c r="AK955" t="str">
        <f>IF(OR('Base Exámenes'!C955="",'Base Exámenes'!D955=""),"",IF(COUNTIF('Base Exámenes'!$C$5:C955,'Base Exámenes'!C955)=1,'Base Exámenes'!D955+ROW()/1000000000,""))</f>
        <v/>
      </c>
      <c r="AL955" t="str">
        <f>IF(OR('Base Exámenes'!C955="",'Base Exámenes'!E955=""),"",IF(COUNTIF('Base Exámenes'!$C$5:C955,'Base Exámenes'!C955)=1,'Base Exámenes'!E955+ROW()/1000000000,""))</f>
        <v/>
      </c>
      <c r="AM955" t="str">
        <f>IF(OR('Base Exámenes'!C955="",'Base Exámenes'!G955=""),"",IF(ROW()-4=MATCH('Base Exámenes'!C955&amp;"|"&amp;_xlfn.MAXIFS('Base Exámenes'!$G$5:$G$1000,'Base Exámenes'!$C$5:$C$1000,'Base Exámenes'!C955),'Base Exámenes'!$I$5:$I$1000,0),'Base Exámenes'!G955*1000000+(-1)*'Base Exámenes'!D955,""))</f>
        <v/>
      </c>
      <c r="AQ955" t="str">
        <f>IF('Base Exámenes'!C955="","",IF(COUNTIF('Base Exámenes'!$C$5:$C$1000,'Base Exámenes'!C955)&lt;2,"",MATCH('Base Exámenes'!C955,'Base Exámenes'!$C$5:$C$1000,0)*10000+ROW()))</f>
        <v/>
      </c>
    </row>
    <row r="956">
      <c r="Z956" t="str">
        <f>IF('Detalle individual'!A956="","",IF(AND(OR('Estado por Colaborador'!$D$4="Todas las gerencias",'Detalle individual'!D956='Estado por Colaborador'!$D$4),OR('Estado por Colaborador'!$D$5="Todos los departamentos",TRIM('Detalle individual'!C956)='Estado por Colaborador'!$D$5),OR('Estado por Colaborador'!$D$6="Todos",'Detalle individual'!F956='Estado por Colaborador'!$D$6)),IF('Detalle individual'!F956="Completado",30000000,IF('Detalle individual'!F956="Pendiente",0,15000000))+COUNTIF('Detalle individual'!$C$5:$C$1000,"&lt;"&amp;'Detalle individual'!C956)*10000+ROW(),""))</f>
        <v/>
      </c>
      <c r="AB956" t="str">
        <f>IF('Detalle individual'!C956="","",IF(COUNTIF('Detalle individual'!$C$5:C956,'Detalle individual'!C956)=1,COUNTIF('Detalle individual'!$C$5:$C$1000,"&lt;"&amp;'Detalle individual'!C956),""))</f>
        <v/>
      </c>
      <c r="AC956" t="str">
        <f>IF('Detalle individual'!D956="","",IF(COUNTIF('Detalle individual'!$D$5:D956,'Detalle individual'!D956)=1,COUNTIF('Detalle individual'!$D$5:$D$1000,"&lt;"&amp;'Detalle individual'!D956),""))</f>
        <v/>
      </c>
      <c r="AH956" t="str">
        <f>IF('Detalle individual'!F956="Pendiente",COUNTIF('Detalle individual'!$D$5:$D$1000,"&lt;"&amp;'Detalle individual'!D956)*1000000+COUNTIF('Detalle individual'!$C$5:$C$1000,"&lt;"&amp;'Detalle individual'!C956)*1000+COUNTIF('Detalle individual'!$B$5:$B$1000,"&lt;"&amp;'Detalle individual'!B956)+ROW()/10000,"")</f>
        <v/>
      </c>
      <c r="AI956" t="str">
        <f>IF('Detalle individual'!F956="Completado",COUNTIF('Detalle individual'!$D$5:$D$1000,"&lt;"&amp;'Detalle individual'!D956)*1000000+COUNTIF('Detalle individual'!$C$5:$C$1000,"&lt;"&amp;'Detalle individual'!C956)*1000+COUNTIF('Detalle individual'!$B$5:$B$1000,"&lt;"&amp;'Detalle individual'!B956)+ROW()/10000,"")</f>
        <v/>
      </c>
      <c r="AJ956" t="str">
        <f>IF(AND('Detalle individual'!F956&lt;&gt;"",'Detalle individual'!F956&lt;&gt;"Completado",'Detalle individual'!F956&lt;&gt;"Pendiente"),COUNTIF('Detalle individual'!$D$5:$D$1000,"&lt;"&amp;'Detalle individual'!D956)*1000000+COUNTIF('Detalle individual'!$C$5:$C$1000,"&lt;"&amp;'Detalle individual'!C956)*1000+COUNTIF('Detalle individual'!$B$5:$B$1000,"&lt;"&amp;'Detalle individual'!B956)+ROW()/10000,"")</f>
        <v/>
      </c>
      <c r="AK956" t="str">
        <f>IF(OR('Base Exámenes'!C956="",'Base Exámenes'!D956=""),"",IF(COUNTIF('Base Exámenes'!$C$5:C956,'Base Exámenes'!C956)=1,'Base Exámenes'!D956+ROW()/1000000000,""))</f>
        <v/>
      </c>
      <c r="AL956" t="str">
        <f>IF(OR('Base Exámenes'!C956="",'Base Exámenes'!E956=""),"",IF(COUNTIF('Base Exámenes'!$C$5:C956,'Base Exámenes'!C956)=1,'Base Exámenes'!E956+ROW()/1000000000,""))</f>
        <v/>
      </c>
      <c r="AM956" t="str">
        <f>IF(OR('Base Exámenes'!C956="",'Base Exámenes'!G956=""),"",IF(ROW()-4=MATCH('Base Exámenes'!C956&amp;"|"&amp;_xlfn.MAXIFS('Base Exámenes'!$G$5:$G$1000,'Base Exámenes'!$C$5:$C$1000,'Base Exámenes'!C956),'Base Exámenes'!$I$5:$I$1000,0),'Base Exámenes'!G956*1000000+(-1)*'Base Exámenes'!D956,""))</f>
        <v/>
      </c>
      <c r="AQ956" t="str">
        <f>IF('Base Exámenes'!C956="","",IF(COUNTIF('Base Exámenes'!$C$5:$C$1000,'Base Exámenes'!C956)&lt;2,"",MATCH('Base Exámenes'!C956,'Base Exámenes'!$C$5:$C$1000,0)*10000+ROW()))</f>
        <v/>
      </c>
    </row>
    <row r="957">
      <c r="Z957" t="str">
        <f>IF('Detalle individual'!A957="","",IF(AND(OR('Estado por Colaborador'!$D$4="Todas las gerencias",'Detalle individual'!D957='Estado por Colaborador'!$D$4),OR('Estado por Colaborador'!$D$5="Todos los departamentos",TRIM('Detalle individual'!C957)='Estado por Colaborador'!$D$5),OR('Estado por Colaborador'!$D$6="Todos",'Detalle individual'!F957='Estado por Colaborador'!$D$6)),IF('Detalle individual'!F957="Completado",30000000,IF('Detalle individual'!F957="Pendiente",0,15000000))+COUNTIF('Detalle individual'!$C$5:$C$1000,"&lt;"&amp;'Detalle individual'!C957)*10000+ROW(),""))</f>
        <v/>
      </c>
      <c r="AB957" t="str">
        <f>IF('Detalle individual'!C957="","",IF(COUNTIF('Detalle individual'!$C$5:C957,'Detalle individual'!C957)=1,COUNTIF('Detalle individual'!$C$5:$C$1000,"&lt;"&amp;'Detalle individual'!C957),""))</f>
        <v/>
      </c>
      <c r="AC957" t="str">
        <f>IF('Detalle individual'!D957="","",IF(COUNTIF('Detalle individual'!$D$5:D957,'Detalle individual'!D957)=1,COUNTIF('Detalle individual'!$D$5:$D$1000,"&lt;"&amp;'Detalle individual'!D957),""))</f>
        <v/>
      </c>
      <c r="AH957" t="str">
        <f>IF('Detalle individual'!F957="Pendiente",COUNTIF('Detalle individual'!$D$5:$D$1000,"&lt;"&amp;'Detalle individual'!D957)*1000000+COUNTIF('Detalle individual'!$C$5:$C$1000,"&lt;"&amp;'Detalle individual'!C957)*1000+COUNTIF('Detalle individual'!$B$5:$B$1000,"&lt;"&amp;'Detalle individual'!B957)+ROW()/10000,"")</f>
        <v/>
      </c>
      <c r="AI957" t="str">
        <f>IF('Detalle individual'!F957="Completado",COUNTIF('Detalle individual'!$D$5:$D$1000,"&lt;"&amp;'Detalle individual'!D957)*1000000+COUNTIF('Detalle individual'!$C$5:$C$1000,"&lt;"&amp;'Detalle individual'!C957)*1000+COUNTIF('Detalle individual'!$B$5:$B$1000,"&lt;"&amp;'Detalle individual'!B957)+ROW()/10000,"")</f>
        <v/>
      </c>
      <c r="AJ957" t="str">
        <f>IF(AND('Detalle individual'!F957&lt;&gt;"",'Detalle individual'!F957&lt;&gt;"Completado",'Detalle individual'!F957&lt;&gt;"Pendiente"),COUNTIF('Detalle individual'!$D$5:$D$1000,"&lt;"&amp;'Detalle individual'!D957)*1000000+COUNTIF('Detalle individual'!$C$5:$C$1000,"&lt;"&amp;'Detalle individual'!C957)*1000+COUNTIF('Detalle individual'!$B$5:$B$1000,"&lt;"&amp;'Detalle individual'!B957)+ROW()/10000,"")</f>
        <v/>
      </c>
      <c r="AK957" t="str">
        <f>IF(OR('Base Exámenes'!C957="",'Base Exámenes'!D957=""),"",IF(COUNTIF('Base Exámenes'!$C$5:C957,'Base Exámenes'!C957)=1,'Base Exámenes'!D957+ROW()/1000000000,""))</f>
        <v/>
      </c>
      <c r="AL957" t="str">
        <f>IF(OR('Base Exámenes'!C957="",'Base Exámenes'!E957=""),"",IF(COUNTIF('Base Exámenes'!$C$5:C957,'Base Exámenes'!C957)=1,'Base Exámenes'!E957+ROW()/1000000000,""))</f>
        <v/>
      </c>
      <c r="AM957" t="str">
        <f>IF(OR('Base Exámenes'!C957="",'Base Exámenes'!G957=""),"",IF(ROW()-4=MATCH('Base Exámenes'!C957&amp;"|"&amp;_xlfn.MAXIFS('Base Exámenes'!$G$5:$G$1000,'Base Exámenes'!$C$5:$C$1000,'Base Exámenes'!C957),'Base Exámenes'!$I$5:$I$1000,0),'Base Exámenes'!G957*1000000+(-1)*'Base Exámenes'!D957,""))</f>
        <v/>
      </c>
      <c r="AQ957" t="str">
        <f>IF('Base Exámenes'!C957="","",IF(COUNTIF('Base Exámenes'!$C$5:$C$1000,'Base Exámenes'!C957)&lt;2,"",MATCH('Base Exámenes'!C957,'Base Exámenes'!$C$5:$C$1000,0)*10000+ROW()))</f>
        <v/>
      </c>
    </row>
    <row r="958">
      <c r="Z958" t="str">
        <f>IF('Detalle individual'!A958="","",IF(AND(OR('Estado por Colaborador'!$D$4="Todas las gerencias",'Detalle individual'!D958='Estado por Colaborador'!$D$4),OR('Estado por Colaborador'!$D$5="Todos los departamentos",TRIM('Detalle individual'!C958)='Estado por Colaborador'!$D$5),OR('Estado por Colaborador'!$D$6="Todos",'Detalle individual'!F958='Estado por Colaborador'!$D$6)),IF('Detalle individual'!F958="Completado",30000000,IF('Detalle individual'!F958="Pendiente",0,15000000))+COUNTIF('Detalle individual'!$C$5:$C$1000,"&lt;"&amp;'Detalle individual'!C958)*10000+ROW(),""))</f>
        <v/>
      </c>
      <c r="AB958" t="str">
        <f>IF('Detalle individual'!C958="","",IF(COUNTIF('Detalle individual'!$C$5:C958,'Detalle individual'!C958)=1,COUNTIF('Detalle individual'!$C$5:$C$1000,"&lt;"&amp;'Detalle individual'!C958),""))</f>
        <v/>
      </c>
      <c r="AC958" t="str">
        <f>IF('Detalle individual'!D958="","",IF(COUNTIF('Detalle individual'!$D$5:D958,'Detalle individual'!D958)=1,COUNTIF('Detalle individual'!$D$5:$D$1000,"&lt;"&amp;'Detalle individual'!D958),""))</f>
        <v/>
      </c>
      <c r="AH958" t="str">
        <f>IF('Detalle individual'!F958="Pendiente",COUNTIF('Detalle individual'!$D$5:$D$1000,"&lt;"&amp;'Detalle individual'!D958)*1000000+COUNTIF('Detalle individual'!$C$5:$C$1000,"&lt;"&amp;'Detalle individual'!C958)*1000+COUNTIF('Detalle individual'!$B$5:$B$1000,"&lt;"&amp;'Detalle individual'!B958)+ROW()/10000,"")</f>
        <v/>
      </c>
      <c r="AI958" t="str">
        <f>IF('Detalle individual'!F958="Completado",COUNTIF('Detalle individual'!$D$5:$D$1000,"&lt;"&amp;'Detalle individual'!D958)*1000000+COUNTIF('Detalle individual'!$C$5:$C$1000,"&lt;"&amp;'Detalle individual'!C958)*1000+COUNTIF('Detalle individual'!$B$5:$B$1000,"&lt;"&amp;'Detalle individual'!B958)+ROW()/10000,"")</f>
        <v/>
      </c>
      <c r="AJ958" t="str">
        <f>IF(AND('Detalle individual'!F958&lt;&gt;"",'Detalle individual'!F958&lt;&gt;"Completado",'Detalle individual'!F958&lt;&gt;"Pendiente"),COUNTIF('Detalle individual'!$D$5:$D$1000,"&lt;"&amp;'Detalle individual'!D958)*1000000+COUNTIF('Detalle individual'!$C$5:$C$1000,"&lt;"&amp;'Detalle individual'!C958)*1000+COUNTIF('Detalle individual'!$B$5:$B$1000,"&lt;"&amp;'Detalle individual'!B958)+ROW()/10000,"")</f>
        <v/>
      </c>
      <c r="AK958" t="str">
        <f>IF(OR('Base Exámenes'!C958="",'Base Exámenes'!D958=""),"",IF(COUNTIF('Base Exámenes'!$C$5:C958,'Base Exámenes'!C958)=1,'Base Exámenes'!D958+ROW()/1000000000,""))</f>
        <v/>
      </c>
      <c r="AL958" t="str">
        <f>IF(OR('Base Exámenes'!C958="",'Base Exámenes'!E958=""),"",IF(COUNTIF('Base Exámenes'!$C$5:C958,'Base Exámenes'!C958)=1,'Base Exámenes'!E958+ROW()/1000000000,""))</f>
        <v/>
      </c>
      <c r="AM958" t="str">
        <f>IF(OR('Base Exámenes'!C958="",'Base Exámenes'!G958=""),"",IF(ROW()-4=MATCH('Base Exámenes'!C958&amp;"|"&amp;_xlfn.MAXIFS('Base Exámenes'!$G$5:$G$1000,'Base Exámenes'!$C$5:$C$1000,'Base Exámenes'!C958),'Base Exámenes'!$I$5:$I$1000,0),'Base Exámenes'!G958*1000000+(-1)*'Base Exámenes'!D958,""))</f>
        <v/>
      </c>
      <c r="AQ958" t="str">
        <f>IF('Base Exámenes'!C958="","",IF(COUNTIF('Base Exámenes'!$C$5:$C$1000,'Base Exámenes'!C958)&lt;2,"",MATCH('Base Exámenes'!C958,'Base Exámenes'!$C$5:$C$1000,0)*10000+ROW()))</f>
        <v/>
      </c>
    </row>
    <row r="959">
      <c r="Z959" t="str">
        <f>IF('Detalle individual'!A959="","",IF(AND(OR('Estado por Colaborador'!$D$4="Todas las gerencias",'Detalle individual'!D959='Estado por Colaborador'!$D$4),OR('Estado por Colaborador'!$D$5="Todos los departamentos",TRIM('Detalle individual'!C959)='Estado por Colaborador'!$D$5),OR('Estado por Colaborador'!$D$6="Todos",'Detalle individual'!F959='Estado por Colaborador'!$D$6)),IF('Detalle individual'!F959="Completado",30000000,IF('Detalle individual'!F959="Pendiente",0,15000000))+COUNTIF('Detalle individual'!$C$5:$C$1000,"&lt;"&amp;'Detalle individual'!C959)*10000+ROW(),""))</f>
        <v/>
      </c>
      <c r="AB959" t="str">
        <f>IF('Detalle individual'!C959="","",IF(COUNTIF('Detalle individual'!$C$5:C959,'Detalle individual'!C959)=1,COUNTIF('Detalle individual'!$C$5:$C$1000,"&lt;"&amp;'Detalle individual'!C959),""))</f>
        <v/>
      </c>
      <c r="AC959" t="str">
        <f>IF('Detalle individual'!D959="","",IF(COUNTIF('Detalle individual'!$D$5:D959,'Detalle individual'!D959)=1,COUNTIF('Detalle individual'!$D$5:$D$1000,"&lt;"&amp;'Detalle individual'!D959),""))</f>
        <v/>
      </c>
      <c r="AH959" t="str">
        <f>IF('Detalle individual'!F959="Pendiente",COUNTIF('Detalle individual'!$D$5:$D$1000,"&lt;"&amp;'Detalle individual'!D959)*1000000+COUNTIF('Detalle individual'!$C$5:$C$1000,"&lt;"&amp;'Detalle individual'!C959)*1000+COUNTIF('Detalle individual'!$B$5:$B$1000,"&lt;"&amp;'Detalle individual'!B959)+ROW()/10000,"")</f>
        <v/>
      </c>
      <c r="AI959" t="str">
        <f>IF('Detalle individual'!F959="Completado",COUNTIF('Detalle individual'!$D$5:$D$1000,"&lt;"&amp;'Detalle individual'!D959)*1000000+COUNTIF('Detalle individual'!$C$5:$C$1000,"&lt;"&amp;'Detalle individual'!C959)*1000+COUNTIF('Detalle individual'!$B$5:$B$1000,"&lt;"&amp;'Detalle individual'!B959)+ROW()/10000,"")</f>
        <v/>
      </c>
      <c r="AJ959" t="str">
        <f>IF(AND('Detalle individual'!F959&lt;&gt;"",'Detalle individual'!F959&lt;&gt;"Completado",'Detalle individual'!F959&lt;&gt;"Pendiente"),COUNTIF('Detalle individual'!$D$5:$D$1000,"&lt;"&amp;'Detalle individual'!D959)*1000000+COUNTIF('Detalle individual'!$C$5:$C$1000,"&lt;"&amp;'Detalle individual'!C959)*1000+COUNTIF('Detalle individual'!$B$5:$B$1000,"&lt;"&amp;'Detalle individual'!B959)+ROW()/10000,"")</f>
        <v/>
      </c>
      <c r="AK959" t="str">
        <f>IF(OR('Base Exámenes'!C959="",'Base Exámenes'!D959=""),"",IF(COUNTIF('Base Exámenes'!$C$5:C959,'Base Exámenes'!C959)=1,'Base Exámenes'!D959+ROW()/1000000000,""))</f>
        <v/>
      </c>
      <c r="AL959" t="str">
        <f>IF(OR('Base Exámenes'!C959="",'Base Exámenes'!E959=""),"",IF(COUNTIF('Base Exámenes'!$C$5:C959,'Base Exámenes'!C959)=1,'Base Exámenes'!E959+ROW()/1000000000,""))</f>
        <v/>
      </c>
      <c r="AM959" t="str">
        <f>IF(OR('Base Exámenes'!C959="",'Base Exámenes'!G959=""),"",IF(ROW()-4=MATCH('Base Exámenes'!C959&amp;"|"&amp;_xlfn.MAXIFS('Base Exámenes'!$G$5:$G$1000,'Base Exámenes'!$C$5:$C$1000,'Base Exámenes'!C959),'Base Exámenes'!$I$5:$I$1000,0),'Base Exámenes'!G959*1000000+(-1)*'Base Exámenes'!D959,""))</f>
        <v/>
      </c>
      <c r="AQ959" t="str">
        <f>IF('Base Exámenes'!C959="","",IF(COUNTIF('Base Exámenes'!$C$5:$C$1000,'Base Exámenes'!C959)&lt;2,"",MATCH('Base Exámenes'!C959,'Base Exámenes'!$C$5:$C$1000,0)*10000+ROW()))</f>
        <v/>
      </c>
    </row>
    <row r="960">
      <c r="Z960" t="str">
        <f>IF('Detalle individual'!A960="","",IF(AND(OR('Estado por Colaborador'!$D$4="Todas las gerencias",'Detalle individual'!D960='Estado por Colaborador'!$D$4),OR('Estado por Colaborador'!$D$5="Todos los departamentos",TRIM('Detalle individual'!C960)='Estado por Colaborador'!$D$5),OR('Estado por Colaborador'!$D$6="Todos",'Detalle individual'!F960='Estado por Colaborador'!$D$6)),IF('Detalle individual'!F960="Completado",30000000,IF('Detalle individual'!F960="Pendiente",0,15000000))+COUNTIF('Detalle individual'!$C$5:$C$1000,"&lt;"&amp;'Detalle individual'!C960)*10000+ROW(),""))</f>
        <v/>
      </c>
      <c r="AB960" t="str">
        <f>IF('Detalle individual'!C960="","",IF(COUNTIF('Detalle individual'!$C$5:C960,'Detalle individual'!C960)=1,COUNTIF('Detalle individual'!$C$5:$C$1000,"&lt;"&amp;'Detalle individual'!C960),""))</f>
        <v/>
      </c>
      <c r="AC960" t="str">
        <f>IF('Detalle individual'!D960="","",IF(COUNTIF('Detalle individual'!$D$5:D960,'Detalle individual'!D960)=1,COUNTIF('Detalle individual'!$D$5:$D$1000,"&lt;"&amp;'Detalle individual'!D960),""))</f>
        <v/>
      </c>
      <c r="AH960" t="str">
        <f>IF('Detalle individual'!F960="Pendiente",COUNTIF('Detalle individual'!$D$5:$D$1000,"&lt;"&amp;'Detalle individual'!D960)*1000000+COUNTIF('Detalle individual'!$C$5:$C$1000,"&lt;"&amp;'Detalle individual'!C960)*1000+COUNTIF('Detalle individual'!$B$5:$B$1000,"&lt;"&amp;'Detalle individual'!B960)+ROW()/10000,"")</f>
        <v/>
      </c>
      <c r="AI960" t="str">
        <f>IF('Detalle individual'!F960="Completado",COUNTIF('Detalle individual'!$D$5:$D$1000,"&lt;"&amp;'Detalle individual'!D960)*1000000+COUNTIF('Detalle individual'!$C$5:$C$1000,"&lt;"&amp;'Detalle individual'!C960)*1000+COUNTIF('Detalle individual'!$B$5:$B$1000,"&lt;"&amp;'Detalle individual'!B960)+ROW()/10000,"")</f>
        <v/>
      </c>
      <c r="AJ960" t="str">
        <f>IF(AND('Detalle individual'!F960&lt;&gt;"",'Detalle individual'!F960&lt;&gt;"Completado",'Detalle individual'!F960&lt;&gt;"Pendiente"),COUNTIF('Detalle individual'!$D$5:$D$1000,"&lt;"&amp;'Detalle individual'!D960)*1000000+COUNTIF('Detalle individual'!$C$5:$C$1000,"&lt;"&amp;'Detalle individual'!C960)*1000+COUNTIF('Detalle individual'!$B$5:$B$1000,"&lt;"&amp;'Detalle individual'!B960)+ROW()/10000,"")</f>
        <v/>
      </c>
      <c r="AK960" t="str">
        <f>IF(OR('Base Exámenes'!C960="",'Base Exámenes'!D960=""),"",IF(COUNTIF('Base Exámenes'!$C$5:C960,'Base Exámenes'!C960)=1,'Base Exámenes'!D960+ROW()/1000000000,""))</f>
        <v/>
      </c>
      <c r="AL960" t="str">
        <f>IF(OR('Base Exámenes'!C960="",'Base Exámenes'!E960=""),"",IF(COUNTIF('Base Exámenes'!$C$5:C960,'Base Exámenes'!C960)=1,'Base Exámenes'!E960+ROW()/1000000000,""))</f>
        <v/>
      </c>
      <c r="AM960" t="str">
        <f>IF(OR('Base Exámenes'!C960="",'Base Exámenes'!G960=""),"",IF(ROW()-4=MATCH('Base Exámenes'!C960&amp;"|"&amp;_xlfn.MAXIFS('Base Exámenes'!$G$5:$G$1000,'Base Exámenes'!$C$5:$C$1000,'Base Exámenes'!C960),'Base Exámenes'!$I$5:$I$1000,0),'Base Exámenes'!G960*1000000+(-1)*'Base Exámenes'!D960,""))</f>
        <v/>
      </c>
      <c r="AQ960" t="str">
        <f>IF('Base Exámenes'!C960="","",IF(COUNTIF('Base Exámenes'!$C$5:$C$1000,'Base Exámenes'!C960)&lt;2,"",MATCH('Base Exámenes'!C960,'Base Exámenes'!$C$5:$C$1000,0)*10000+ROW()))</f>
        <v/>
      </c>
    </row>
    <row r="961">
      <c r="Z961" t="str">
        <f>IF('Detalle individual'!A961="","",IF(AND(OR('Estado por Colaborador'!$D$4="Todas las gerencias",'Detalle individual'!D961='Estado por Colaborador'!$D$4),OR('Estado por Colaborador'!$D$5="Todos los departamentos",TRIM('Detalle individual'!C961)='Estado por Colaborador'!$D$5),OR('Estado por Colaborador'!$D$6="Todos",'Detalle individual'!F961='Estado por Colaborador'!$D$6)),IF('Detalle individual'!F961="Completado",30000000,IF('Detalle individual'!F961="Pendiente",0,15000000))+COUNTIF('Detalle individual'!$C$5:$C$1000,"&lt;"&amp;'Detalle individual'!C961)*10000+ROW(),""))</f>
        <v/>
      </c>
      <c r="AB961" t="str">
        <f>IF('Detalle individual'!C961="","",IF(COUNTIF('Detalle individual'!$C$5:C961,'Detalle individual'!C961)=1,COUNTIF('Detalle individual'!$C$5:$C$1000,"&lt;"&amp;'Detalle individual'!C961),""))</f>
        <v/>
      </c>
      <c r="AC961" t="str">
        <f>IF('Detalle individual'!D961="","",IF(COUNTIF('Detalle individual'!$D$5:D961,'Detalle individual'!D961)=1,COUNTIF('Detalle individual'!$D$5:$D$1000,"&lt;"&amp;'Detalle individual'!D961),""))</f>
        <v/>
      </c>
      <c r="AH961" t="str">
        <f>IF('Detalle individual'!F961="Pendiente",COUNTIF('Detalle individual'!$D$5:$D$1000,"&lt;"&amp;'Detalle individual'!D961)*1000000+COUNTIF('Detalle individual'!$C$5:$C$1000,"&lt;"&amp;'Detalle individual'!C961)*1000+COUNTIF('Detalle individual'!$B$5:$B$1000,"&lt;"&amp;'Detalle individual'!B961)+ROW()/10000,"")</f>
        <v/>
      </c>
      <c r="AI961" t="str">
        <f>IF('Detalle individual'!F961="Completado",COUNTIF('Detalle individual'!$D$5:$D$1000,"&lt;"&amp;'Detalle individual'!D961)*1000000+COUNTIF('Detalle individual'!$C$5:$C$1000,"&lt;"&amp;'Detalle individual'!C961)*1000+COUNTIF('Detalle individual'!$B$5:$B$1000,"&lt;"&amp;'Detalle individual'!B961)+ROW()/10000,"")</f>
        <v/>
      </c>
      <c r="AJ961" t="str">
        <f>IF(AND('Detalle individual'!F961&lt;&gt;"",'Detalle individual'!F961&lt;&gt;"Completado",'Detalle individual'!F961&lt;&gt;"Pendiente"),COUNTIF('Detalle individual'!$D$5:$D$1000,"&lt;"&amp;'Detalle individual'!D961)*1000000+COUNTIF('Detalle individual'!$C$5:$C$1000,"&lt;"&amp;'Detalle individual'!C961)*1000+COUNTIF('Detalle individual'!$B$5:$B$1000,"&lt;"&amp;'Detalle individual'!B961)+ROW()/10000,"")</f>
        <v/>
      </c>
      <c r="AK961" t="str">
        <f>IF(OR('Base Exámenes'!C961="",'Base Exámenes'!D961=""),"",IF(COUNTIF('Base Exámenes'!$C$5:C961,'Base Exámenes'!C961)=1,'Base Exámenes'!D961+ROW()/1000000000,""))</f>
        <v/>
      </c>
      <c r="AL961" t="str">
        <f>IF(OR('Base Exámenes'!C961="",'Base Exámenes'!E961=""),"",IF(COUNTIF('Base Exámenes'!$C$5:C961,'Base Exámenes'!C961)=1,'Base Exámenes'!E961+ROW()/1000000000,""))</f>
        <v/>
      </c>
      <c r="AM961" t="str">
        <f>IF(OR('Base Exámenes'!C961="",'Base Exámenes'!G961=""),"",IF(ROW()-4=MATCH('Base Exámenes'!C961&amp;"|"&amp;_xlfn.MAXIFS('Base Exámenes'!$G$5:$G$1000,'Base Exámenes'!$C$5:$C$1000,'Base Exámenes'!C961),'Base Exámenes'!$I$5:$I$1000,0),'Base Exámenes'!G961*1000000+(-1)*'Base Exámenes'!D961,""))</f>
        <v/>
      </c>
      <c r="AQ961" t="str">
        <f>IF('Base Exámenes'!C961="","",IF(COUNTIF('Base Exámenes'!$C$5:$C$1000,'Base Exámenes'!C961)&lt;2,"",MATCH('Base Exámenes'!C961,'Base Exámenes'!$C$5:$C$1000,0)*10000+ROW()))</f>
        <v/>
      </c>
    </row>
    <row r="962">
      <c r="Z962" t="str">
        <f>IF('Detalle individual'!A962="","",IF(AND(OR('Estado por Colaborador'!$D$4="Todas las gerencias",'Detalle individual'!D962='Estado por Colaborador'!$D$4),OR('Estado por Colaborador'!$D$5="Todos los departamentos",TRIM('Detalle individual'!C962)='Estado por Colaborador'!$D$5),OR('Estado por Colaborador'!$D$6="Todos",'Detalle individual'!F962='Estado por Colaborador'!$D$6)),IF('Detalle individual'!F962="Completado",30000000,IF('Detalle individual'!F962="Pendiente",0,15000000))+COUNTIF('Detalle individual'!$C$5:$C$1000,"&lt;"&amp;'Detalle individual'!C962)*10000+ROW(),""))</f>
        <v/>
      </c>
      <c r="AB962" t="str">
        <f>IF('Detalle individual'!C962="","",IF(COUNTIF('Detalle individual'!$C$5:C962,'Detalle individual'!C962)=1,COUNTIF('Detalle individual'!$C$5:$C$1000,"&lt;"&amp;'Detalle individual'!C962),""))</f>
        <v/>
      </c>
      <c r="AC962" t="str">
        <f>IF('Detalle individual'!D962="","",IF(COUNTIF('Detalle individual'!$D$5:D962,'Detalle individual'!D962)=1,COUNTIF('Detalle individual'!$D$5:$D$1000,"&lt;"&amp;'Detalle individual'!D962),""))</f>
        <v/>
      </c>
      <c r="AH962" t="str">
        <f>IF('Detalle individual'!F962="Pendiente",COUNTIF('Detalle individual'!$D$5:$D$1000,"&lt;"&amp;'Detalle individual'!D962)*1000000+COUNTIF('Detalle individual'!$C$5:$C$1000,"&lt;"&amp;'Detalle individual'!C962)*1000+COUNTIF('Detalle individual'!$B$5:$B$1000,"&lt;"&amp;'Detalle individual'!B962)+ROW()/10000,"")</f>
        <v/>
      </c>
      <c r="AI962" t="str">
        <f>IF('Detalle individual'!F962="Completado",COUNTIF('Detalle individual'!$D$5:$D$1000,"&lt;"&amp;'Detalle individual'!D962)*1000000+COUNTIF('Detalle individual'!$C$5:$C$1000,"&lt;"&amp;'Detalle individual'!C962)*1000+COUNTIF('Detalle individual'!$B$5:$B$1000,"&lt;"&amp;'Detalle individual'!B962)+ROW()/10000,"")</f>
        <v/>
      </c>
      <c r="AJ962" t="str">
        <f>IF(AND('Detalle individual'!F962&lt;&gt;"",'Detalle individual'!F962&lt;&gt;"Completado",'Detalle individual'!F962&lt;&gt;"Pendiente"),COUNTIF('Detalle individual'!$D$5:$D$1000,"&lt;"&amp;'Detalle individual'!D962)*1000000+COUNTIF('Detalle individual'!$C$5:$C$1000,"&lt;"&amp;'Detalle individual'!C962)*1000+COUNTIF('Detalle individual'!$B$5:$B$1000,"&lt;"&amp;'Detalle individual'!B962)+ROW()/10000,"")</f>
        <v/>
      </c>
      <c r="AK962" t="str">
        <f>IF(OR('Base Exámenes'!C962="",'Base Exámenes'!D962=""),"",IF(COUNTIF('Base Exámenes'!$C$5:C962,'Base Exámenes'!C962)=1,'Base Exámenes'!D962+ROW()/1000000000,""))</f>
        <v/>
      </c>
      <c r="AL962" t="str">
        <f>IF(OR('Base Exámenes'!C962="",'Base Exámenes'!E962=""),"",IF(COUNTIF('Base Exámenes'!$C$5:C962,'Base Exámenes'!C962)=1,'Base Exámenes'!E962+ROW()/1000000000,""))</f>
        <v/>
      </c>
      <c r="AM962" t="str">
        <f>IF(OR('Base Exámenes'!C962="",'Base Exámenes'!G962=""),"",IF(ROW()-4=MATCH('Base Exámenes'!C962&amp;"|"&amp;_xlfn.MAXIFS('Base Exámenes'!$G$5:$G$1000,'Base Exámenes'!$C$5:$C$1000,'Base Exámenes'!C962),'Base Exámenes'!$I$5:$I$1000,0),'Base Exámenes'!G962*1000000+(-1)*'Base Exámenes'!D962,""))</f>
        <v/>
      </c>
      <c r="AQ962" t="str">
        <f>IF('Base Exámenes'!C962="","",IF(COUNTIF('Base Exámenes'!$C$5:$C$1000,'Base Exámenes'!C962)&lt;2,"",MATCH('Base Exámenes'!C962,'Base Exámenes'!$C$5:$C$1000,0)*10000+ROW()))</f>
        <v/>
      </c>
    </row>
    <row r="963">
      <c r="Z963" t="str">
        <f>IF('Detalle individual'!A963="","",IF(AND(OR('Estado por Colaborador'!$D$4="Todas las gerencias",'Detalle individual'!D963='Estado por Colaborador'!$D$4),OR('Estado por Colaborador'!$D$5="Todos los departamentos",TRIM('Detalle individual'!C963)='Estado por Colaborador'!$D$5),OR('Estado por Colaborador'!$D$6="Todos",'Detalle individual'!F963='Estado por Colaborador'!$D$6)),IF('Detalle individual'!F963="Completado",30000000,IF('Detalle individual'!F963="Pendiente",0,15000000))+COUNTIF('Detalle individual'!$C$5:$C$1000,"&lt;"&amp;'Detalle individual'!C963)*10000+ROW(),""))</f>
        <v/>
      </c>
      <c r="AB963" t="str">
        <f>IF('Detalle individual'!C963="","",IF(COUNTIF('Detalle individual'!$C$5:C963,'Detalle individual'!C963)=1,COUNTIF('Detalle individual'!$C$5:$C$1000,"&lt;"&amp;'Detalle individual'!C963),""))</f>
        <v/>
      </c>
      <c r="AC963" t="str">
        <f>IF('Detalle individual'!D963="","",IF(COUNTIF('Detalle individual'!$D$5:D963,'Detalle individual'!D963)=1,COUNTIF('Detalle individual'!$D$5:$D$1000,"&lt;"&amp;'Detalle individual'!D963),""))</f>
        <v/>
      </c>
      <c r="AH963" t="str">
        <f>IF('Detalle individual'!F963="Pendiente",COUNTIF('Detalle individual'!$D$5:$D$1000,"&lt;"&amp;'Detalle individual'!D963)*1000000+COUNTIF('Detalle individual'!$C$5:$C$1000,"&lt;"&amp;'Detalle individual'!C963)*1000+COUNTIF('Detalle individual'!$B$5:$B$1000,"&lt;"&amp;'Detalle individual'!B963)+ROW()/10000,"")</f>
        <v/>
      </c>
      <c r="AI963" t="str">
        <f>IF('Detalle individual'!F963="Completado",COUNTIF('Detalle individual'!$D$5:$D$1000,"&lt;"&amp;'Detalle individual'!D963)*1000000+COUNTIF('Detalle individual'!$C$5:$C$1000,"&lt;"&amp;'Detalle individual'!C963)*1000+COUNTIF('Detalle individual'!$B$5:$B$1000,"&lt;"&amp;'Detalle individual'!B963)+ROW()/10000,"")</f>
        <v/>
      </c>
      <c r="AJ963" t="str">
        <f>IF(AND('Detalle individual'!F963&lt;&gt;"",'Detalle individual'!F963&lt;&gt;"Completado",'Detalle individual'!F963&lt;&gt;"Pendiente"),COUNTIF('Detalle individual'!$D$5:$D$1000,"&lt;"&amp;'Detalle individual'!D963)*1000000+COUNTIF('Detalle individual'!$C$5:$C$1000,"&lt;"&amp;'Detalle individual'!C963)*1000+COUNTIF('Detalle individual'!$B$5:$B$1000,"&lt;"&amp;'Detalle individual'!B963)+ROW()/10000,"")</f>
        <v/>
      </c>
      <c r="AK963" t="str">
        <f>IF(OR('Base Exámenes'!C963="",'Base Exámenes'!D963=""),"",IF(COUNTIF('Base Exámenes'!$C$5:C963,'Base Exámenes'!C963)=1,'Base Exámenes'!D963+ROW()/1000000000,""))</f>
        <v/>
      </c>
      <c r="AL963" t="str">
        <f>IF(OR('Base Exámenes'!C963="",'Base Exámenes'!E963=""),"",IF(COUNTIF('Base Exámenes'!$C$5:C963,'Base Exámenes'!C963)=1,'Base Exámenes'!E963+ROW()/1000000000,""))</f>
        <v/>
      </c>
      <c r="AM963" t="str">
        <f>IF(OR('Base Exámenes'!C963="",'Base Exámenes'!G963=""),"",IF(ROW()-4=MATCH('Base Exámenes'!C963&amp;"|"&amp;_xlfn.MAXIFS('Base Exámenes'!$G$5:$G$1000,'Base Exámenes'!$C$5:$C$1000,'Base Exámenes'!C963),'Base Exámenes'!$I$5:$I$1000,0),'Base Exámenes'!G963*1000000+(-1)*'Base Exámenes'!D963,""))</f>
        <v/>
      </c>
      <c r="AQ963" t="str">
        <f>IF('Base Exámenes'!C963="","",IF(COUNTIF('Base Exámenes'!$C$5:$C$1000,'Base Exámenes'!C963)&lt;2,"",MATCH('Base Exámenes'!C963,'Base Exámenes'!$C$5:$C$1000,0)*10000+ROW()))</f>
        <v/>
      </c>
    </row>
    <row r="964">
      <c r="Z964" t="str">
        <f>IF('Detalle individual'!A964="","",IF(AND(OR('Estado por Colaborador'!$D$4="Todas las gerencias",'Detalle individual'!D964='Estado por Colaborador'!$D$4),OR('Estado por Colaborador'!$D$5="Todos los departamentos",TRIM('Detalle individual'!C964)='Estado por Colaborador'!$D$5),OR('Estado por Colaborador'!$D$6="Todos",'Detalle individual'!F964='Estado por Colaborador'!$D$6)),IF('Detalle individual'!F964="Completado",30000000,IF('Detalle individual'!F964="Pendiente",0,15000000))+COUNTIF('Detalle individual'!$C$5:$C$1000,"&lt;"&amp;'Detalle individual'!C964)*10000+ROW(),""))</f>
        <v/>
      </c>
      <c r="AB964" t="str">
        <f>IF('Detalle individual'!C964="","",IF(COUNTIF('Detalle individual'!$C$5:C964,'Detalle individual'!C964)=1,COUNTIF('Detalle individual'!$C$5:$C$1000,"&lt;"&amp;'Detalle individual'!C964),""))</f>
        <v/>
      </c>
      <c r="AC964" t="str">
        <f>IF('Detalle individual'!D964="","",IF(COUNTIF('Detalle individual'!$D$5:D964,'Detalle individual'!D964)=1,COUNTIF('Detalle individual'!$D$5:$D$1000,"&lt;"&amp;'Detalle individual'!D964),""))</f>
        <v/>
      </c>
      <c r="AH964" t="str">
        <f>IF('Detalle individual'!F964="Pendiente",COUNTIF('Detalle individual'!$D$5:$D$1000,"&lt;"&amp;'Detalle individual'!D964)*1000000+COUNTIF('Detalle individual'!$C$5:$C$1000,"&lt;"&amp;'Detalle individual'!C964)*1000+COUNTIF('Detalle individual'!$B$5:$B$1000,"&lt;"&amp;'Detalle individual'!B964)+ROW()/10000,"")</f>
        <v/>
      </c>
      <c r="AI964" t="str">
        <f>IF('Detalle individual'!F964="Completado",COUNTIF('Detalle individual'!$D$5:$D$1000,"&lt;"&amp;'Detalle individual'!D964)*1000000+COUNTIF('Detalle individual'!$C$5:$C$1000,"&lt;"&amp;'Detalle individual'!C964)*1000+COUNTIF('Detalle individual'!$B$5:$B$1000,"&lt;"&amp;'Detalle individual'!B964)+ROW()/10000,"")</f>
        <v/>
      </c>
      <c r="AJ964" t="str">
        <f>IF(AND('Detalle individual'!F964&lt;&gt;"",'Detalle individual'!F964&lt;&gt;"Completado",'Detalle individual'!F964&lt;&gt;"Pendiente"),COUNTIF('Detalle individual'!$D$5:$D$1000,"&lt;"&amp;'Detalle individual'!D964)*1000000+COUNTIF('Detalle individual'!$C$5:$C$1000,"&lt;"&amp;'Detalle individual'!C964)*1000+COUNTIF('Detalle individual'!$B$5:$B$1000,"&lt;"&amp;'Detalle individual'!B964)+ROW()/10000,"")</f>
        <v/>
      </c>
      <c r="AK964" t="str">
        <f>IF(OR('Base Exámenes'!C964="",'Base Exámenes'!D964=""),"",IF(COUNTIF('Base Exámenes'!$C$5:C964,'Base Exámenes'!C964)=1,'Base Exámenes'!D964+ROW()/1000000000,""))</f>
        <v/>
      </c>
      <c r="AL964" t="str">
        <f>IF(OR('Base Exámenes'!C964="",'Base Exámenes'!E964=""),"",IF(COUNTIF('Base Exámenes'!$C$5:C964,'Base Exámenes'!C964)=1,'Base Exámenes'!E964+ROW()/1000000000,""))</f>
        <v/>
      </c>
      <c r="AM964" t="str">
        <f>IF(OR('Base Exámenes'!C964="",'Base Exámenes'!G964=""),"",IF(ROW()-4=MATCH('Base Exámenes'!C964&amp;"|"&amp;_xlfn.MAXIFS('Base Exámenes'!$G$5:$G$1000,'Base Exámenes'!$C$5:$C$1000,'Base Exámenes'!C964),'Base Exámenes'!$I$5:$I$1000,0),'Base Exámenes'!G964*1000000+(-1)*'Base Exámenes'!D964,""))</f>
        <v/>
      </c>
      <c r="AQ964" t="str">
        <f>IF('Base Exámenes'!C964="","",IF(COUNTIF('Base Exámenes'!$C$5:$C$1000,'Base Exámenes'!C964)&lt;2,"",MATCH('Base Exámenes'!C964,'Base Exámenes'!$C$5:$C$1000,0)*10000+ROW()))</f>
        <v/>
      </c>
    </row>
    <row r="965">
      <c r="Z965" t="str">
        <f>IF('Detalle individual'!A965="","",IF(AND(OR('Estado por Colaborador'!$D$4="Todas las gerencias",'Detalle individual'!D965='Estado por Colaborador'!$D$4),OR('Estado por Colaborador'!$D$5="Todos los departamentos",TRIM('Detalle individual'!C965)='Estado por Colaborador'!$D$5),OR('Estado por Colaborador'!$D$6="Todos",'Detalle individual'!F965='Estado por Colaborador'!$D$6)),IF('Detalle individual'!F965="Completado",30000000,IF('Detalle individual'!F965="Pendiente",0,15000000))+COUNTIF('Detalle individual'!$C$5:$C$1000,"&lt;"&amp;'Detalle individual'!C965)*10000+ROW(),""))</f>
        <v/>
      </c>
      <c r="AB965" t="str">
        <f>IF('Detalle individual'!C965="","",IF(COUNTIF('Detalle individual'!$C$5:C965,'Detalle individual'!C965)=1,COUNTIF('Detalle individual'!$C$5:$C$1000,"&lt;"&amp;'Detalle individual'!C965),""))</f>
        <v/>
      </c>
      <c r="AC965" t="str">
        <f>IF('Detalle individual'!D965="","",IF(COUNTIF('Detalle individual'!$D$5:D965,'Detalle individual'!D965)=1,COUNTIF('Detalle individual'!$D$5:$D$1000,"&lt;"&amp;'Detalle individual'!D965),""))</f>
        <v/>
      </c>
      <c r="AH965" t="str">
        <f>IF('Detalle individual'!F965="Pendiente",COUNTIF('Detalle individual'!$D$5:$D$1000,"&lt;"&amp;'Detalle individual'!D965)*1000000+COUNTIF('Detalle individual'!$C$5:$C$1000,"&lt;"&amp;'Detalle individual'!C965)*1000+COUNTIF('Detalle individual'!$B$5:$B$1000,"&lt;"&amp;'Detalle individual'!B965)+ROW()/10000,"")</f>
        <v/>
      </c>
      <c r="AI965" t="str">
        <f>IF('Detalle individual'!F965="Completado",COUNTIF('Detalle individual'!$D$5:$D$1000,"&lt;"&amp;'Detalle individual'!D965)*1000000+COUNTIF('Detalle individual'!$C$5:$C$1000,"&lt;"&amp;'Detalle individual'!C965)*1000+COUNTIF('Detalle individual'!$B$5:$B$1000,"&lt;"&amp;'Detalle individual'!B965)+ROW()/10000,"")</f>
        <v/>
      </c>
      <c r="AJ965" t="str">
        <f>IF(AND('Detalle individual'!F965&lt;&gt;"",'Detalle individual'!F965&lt;&gt;"Completado",'Detalle individual'!F965&lt;&gt;"Pendiente"),COUNTIF('Detalle individual'!$D$5:$D$1000,"&lt;"&amp;'Detalle individual'!D965)*1000000+COUNTIF('Detalle individual'!$C$5:$C$1000,"&lt;"&amp;'Detalle individual'!C965)*1000+COUNTIF('Detalle individual'!$B$5:$B$1000,"&lt;"&amp;'Detalle individual'!B965)+ROW()/10000,"")</f>
        <v/>
      </c>
      <c r="AK965" t="str">
        <f>IF(OR('Base Exámenes'!C965="",'Base Exámenes'!D965=""),"",IF(COUNTIF('Base Exámenes'!$C$5:C965,'Base Exámenes'!C965)=1,'Base Exámenes'!D965+ROW()/1000000000,""))</f>
        <v/>
      </c>
      <c r="AL965" t="str">
        <f>IF(OR('Base Exámenes'!C965="",'Base Exámenes'!E965=""),"",IF(COUNTIF('Base Exámenes'!$C$5:C965,'Base Exámenes'!C965)=1,'Base Exámenes'!E965+ROW()/1000000000,""))</f>
        <v/>
      </c>
      <c r="AM965" t="str">
        <f>IF(OR('Base Exámenes'!C965="",'Base Exámenes'!G965=""),"",IF(ROW()-4=MATCH('Base Exámenes'!C965&amp;"|"&amp;_xlfn.MAXIFS('Base Exámenes'!$G$5:$G$1000,'Base Exámenes'!$C$5:$C$1000,'Base Exámenes'!C965),'Base Exámenes'!$I$5:$I$1000,0),'Base Exámenes'!G965*1000000+(-1)*'Base Exámenes'!D965,""))</f>
        <v/>
      </c>
      <c r="AQ965" t="str">
        <f>IF('Base Exámenes'!C965="","",IF(COUNTIF('Base Exámenes'!$C$5:$C$1000,'Base Exámenes'!C965)&lt;2,"",MATCH('Base Exámenes'!C965,'Base Exámenes'!$C$5:$C$1000,0)*10000+ROW()))</f>
        <v/>
      </c>
    </row>
    <row r="966">
      <c r="Z966" t="str">
        <f>IF('Detalle individual'!A966="","",IF(AND(OR('Estado por Colaborador'!$D$4="Todas las gerencias",'Detalle individual'!D966='Estado por Colaborador'!$D$4),OR('Estado por Colaborador'!$D$5="Todos los departamentos",TRIM('Detalle individual'!C966)='Estado por Colaborador'!$D$5),OR('Estado por Colaborador'!$D$6="Todos",'Detalle individual'!F966='Estado por Colaborador'!$D$6)),IF('Detalle individual'!F966="Completado",30000000,IF('Detalle individual'!F966="Pendiente",0,15000000))+COUNTIF('Detalle individual'!$C$5:$C$1000,"&lt;"&amp;'Detalle individual'!C966)*10000+ROW(),""))</f>
        <v/>
      </c>
      <c r="AB966" t="str">
        <f>IF('Detalle individual'!C966="","",IF(COUNTIF('Detalle individual'!$C$5:C966,'Detalle individual'!C966)=1,COUNTIF('Detalle individual'!$C$5:$C$1000,"&lt;"&amp;'Detalle individual'!C966),""))</f>
        <v/>
      </c>
      <c r="AC966" t="str">
        <f>IF('Detalle individual'!D966="","",IF(COUNTIF('Detalle individual'!$D$5:D966,'Detalle individual'!D966)=1,COUNTIF('Detalle individual'!$D$5:$D$1000,"&lt;"&amp;'Detalle individual'!D966),""))</f>
        <v/>
      </c>
      <c r="AH966" t="str">
        <f>IF('Detalle individual'!F966="Pendiente",COUNTIF('Detalle individual'!$D$5:$D$1000,"&lt;"&amp;'Detalle individual'!D966)*1000000+COUNTIF('Detalle individual'!$C$5:$C$1000,"&lt;"&amp;'Detalle individual'!C966)*1000+COUNTIF('Detalle individual'!$B$5:$B$1000,"&lt;"&amp;'Detalle individual'!B966)+ROW()/10000,"")</f>
        <v/>
      </c>
      <c r="AI966" t="str">
        <f>IF('Detalle individual'!F966="Completado",COUNTIF('Detalle individual'!$D$5:$D$1000,"&lt;"&amp;'Detalle individual'!D966)*1000000+COUNTIF('Detalle individual'!$C$5:$C$1000,"&lt;"&amp;'Detalle individual'!C966)*1000+COUNTIF('Detalle individual'!$B$5:$B$1000,"&lt;"&amp;'Detalle individual'!B966)+ROW()/10000,"")</f>
        <v/>
      </c>
      <c r="AJ966" t="str">
        <f>IF(AND('Detalle individual'!F966&lt;&gt;"",'Detalle individual'!F966&lt;&gt;"Completado",'Detalle individual'!F966&lt;&gt;"Pendiente"),COUNTIF('Detalle individual'!$D$5:$D$1000,"&lt;"&amp;'Detalle individual'!D966)*1000000+COUNTIF('Detalle individual'!$C$5:$C$1000,"&lt;"&amp;'Detalle individual'!C966)*1000+COUNTIF('Detalle individual'!$B$5:$B$1000,"&lt;"&amp;'Detalle individual'!B966)+ROW()/10000,"")</f>
        <v/>
      </c>
      <c r="AK966" t="str">
        <f>IF(OR('Base Exámenes'!C966="",'Base Exámenes'!D966=""),"",IF(COUNTIF('Base Exámenes'!$C$5:C966,'Base Exámenes'!C966)=1,'Base Exámenes'!D966+ROW()/1000000000,""))</f>
        <v/>
      </c>
      <c r="AL966" t="str">
        <f>IF(OR('Base Exámenes'!C966="",'Base Exámenes'!E966=""),"",IF(COUNTIF('Base Exámenes'!$C$5:C966,'Base Exámenes'!C966)=1,'Base Exámenes'!E966+ROW()/1000000000,""))</f>
        <v/>
      </c>
      <c r="AM966" t="str">
        <f>IF(OR('Base Exámenes'!C966="",'Base Exámenes'!G966=""),"",IF(ROW()-4=MATCH('Base Exámenes'!C966&amp;"|"&amp;_xlfn.MAXIFS('Base Exámenes'!$G$5:$G$1000,'Base Exámenes'!$C$5:$C$1000,'Base Exámenes'!C966),'Base Exámenes'!$I$5:$I$1000,0),'Base Exámenes'!G966*1000000+(-1)*'Base Exámenes'!D966,""))</f>
        <v/>
      </c>
      <c r="AQ966" t="str">
        <f>IF('Base Exámenes'!C966="","",IF(COUNTIF('Base Exámenes'!$C$5:$C$1000,'Base Exámenes'!C966)&lt;2,"",MATCH('Base Exámenes'!C966,'Base Exámenes'!$C$5:$C$1000,0)*10000+ROW()))</f>
        <v/>
      </c>
    </row>
    <row r="967">
      <c r="Z967" t="str">
        <f>IF('Detalle individual'!A967="","",IF(AND(OR('Estado por Colaborador'!$D$4="Todas las gerencias",'Detalle individual'!D967='Estado por Colaborador'!$D$4),OR('Estado por Colaborador'!$D$5="Todos los departamentos",TRIM('Detalle individual'!C967)='Estado por Colaborador'!$D$5),OR('Estado por Colaborador'!$D$6="Todos",'Detalle individual'!F967='Estado por Colaborador'!$D$6)),IF('Detalle individual'!F967="Completado",30000000,IF('Detalle individual'!F967="Pendiente",0,15000000))+COUNTIF('Detalle individual'!$C$5:$C$1000,"&lt;"&amp;'Detalle individual'!C967)*10000+ROW(),""))</f>
        <v/>
      </c>
      <c r="AB967" t="str">
        <f>IF('Detalle individual'!C967="","",IF(COUNTIF('Detalle individual'!$C$5:C967,'Detalle individual'!C967)=1,COUNTIF('Detalle individual'!$C$5:$C$1000,"&lt;"&amp;'Detalle individual'!C967),""))</f>
        <v/>
      </c>
      <c r="AC967" t="str">
        <f>IF('Detalle individual'!D967="","",IF(COUNTIF('Detalle individual'!$D$5:D967,'Detalle individual'!D967)=1,COUNTIF('Detalle individual'!$D$5:$D$1000,"&lt;"&amp;'Detalle individual'!D967),""))</f>
        <v/>
      </c>
      <c r="AH967" t="str">
        <f>IF('Detalle individual'!F967="Pendiente",COUNTIF('Detalle individual'!$D$5:$D$1000,"&lt;"&amp;'Detalle individual'!D967)*1000000+COUNTIF('Detalle individual'!$C$5:$C$1000,"&lt;"&amp;'Detalle individual'!C967)*1000+COUNTIF('Detalle individual'!$B$5:$B$1000,"&lt;"&amp;'Detalle individual'!B967)+ROW()/10000,"")</f>
        <v/>
      </c>
      <c r="AI967" t="str">
        <f>IF('Detalle individual'!F967="Completado",COUNTIF('Detalle individual'!$D$5:$D$1000,"&lt;"&amp;'Detalle individual'!D967)*1000000+COUNTIF('Detalle individual'!$C$5:$C$1000,"&lt;"&amp;'Detalle individual'!C967)*1000+COUNTIF('Detalle individual'!$B$5:$B$1000,"&lt;"&amp;'Detalle individual'!B967)+ROW()/10000,"")</f>
        <v/>
      </c>
      <c r="AJ967" t="str">
        <f>IF(AND('Detalle individual'!F967&lt;&gt;"",'Detalle individual'!F967&lt;&gt;"Completado",'Detalle individual'!F967&lt;&gt;"Pendiente"),COUNTIF('Detalle individual'!$D$5:$D$1000,"&lt;"&amp;'Detalle individual'!D967)*1000000+COUNTIF('Detalle individual'!$C$5:$C$1000,"&lt;"&amp;'Detalle individual'!C967)*1000+COUNTIF('Detalle individual'!$B$5:$B$1000,"&lt;"&amp;'Detalle individual'!B967)+ROW()/10000,"")</f>
        <v/>
      </c>
      <c r="AK967" t="str">
        <f>IF(OR('Base Exámenes'!C967="",'Base Exámenes'!D967=""),"",IF(COUNTIF('Base Exámenes'!$C$5:C967,'Base Exámenes'!C967)=1,'Base Exámenes'!D967+ROW()/1000000000,""))</f>
        <v/>
      </c>
      <c r="AL967" t="str">
        <f>IF(OR('Base Exámenes'!C967="",'Base Exámenes'!E967=""),"",IF(COUNTIF('Base Exámenes'!$C$5:C967,'Base Exámenes'!C967)=1,'Base Exámenes'!E967+ROW()/1000000000,""))</f>
        <v/>
      </c>
      <c r="AM967" t="str">
        <f>IF(OR('Base Exámenes'!C967="",'Base Exámenes'!G967=""),"",IF(ROW()-4=MATCH('Base Exámenes'!C967&amp;"|"&amp;_xlfn.MAXIFS('Base Exámenes'!$G$5:$G$1000,'Base Exámenes'!$C$5:$C$1000,'Base Exámenes'!C967),'Base Exámenes'!$I$5:$I$1000,0),'Base Exámenes'!G967*1000000+(-1)*'Base Exámenes'!D967,""))</f>
        <v/>
      </c>
      <c r="AQ967" t="str">
        <f>IF('Base Exámenes'!C967="","",IF(COUNTIF('Base Exámenes'!$C$5:$C$1000,'Base Exámenes'!C967)&lt;2,"",MATCH('Base Exámenes'!C967,'Base Exámenes'!$C$5:$C$1000,0)*10000+ROW()))</f>
        <v/>
      </c>
    </row>
    <row r="968">
      <c r="Z968" t="str">
        <f>IF('Detalle individual'!A968="","",IF(AND(OR('Estado por Colaborador'!$D$4="Todas las gerencias",'Detalle individual'!D968='Estado por Colaborador'!$D$4),OR('Estado por Colaborador'!$D$5="Todos los departamentos",TRIM('Detalle individual'!C968)='Estado por Colaborador'!$D$5),OR('Estado por Colaborador'!$D$6="Todos",'Detalle individual'!F968='Estado por Colaborador'!$D$6)),IF('Detalle individual'!F968="Completado",30000000,IF('Detalle individual'!F968="Pendiente",0,15000000))+COUNTIF('Detalle individual'!$C$5:$C$1000,"&lt;"&amp;'Detalle individual'!C968)*10000+ROW(),""))</f>
        <v/>
      </c>
      <c r="AB968" t="str">
        <f>IF('Detalle individual'!C968="","",IF(COUNTIF('Detalle individual'!$C$5:C968,'Detalle individual'!C968)=1,COUNTIF('Detalle individual'!$C$5:$C$1000,"&lt;"&amp;'Detalle individual'!C968),""))</f>
        <v/>
      </c>
      <c r="AC968" t="str">
        <f>IF('Detalle individual'!D968="","",IF(COUNTIF('Detalle individual'!$D$5:D968,'Detalle individual'!D968)=1,COUNTIF('Detalle individual'!$D$5:$D$1000,"&lt;"&amp;'Detalle individual'!D968),""))</f>
        <v/>
      </c>
      <c r="AH968" t="str">
        <f>IF('Detalle individual'!F968="Pendiente",COUNTIF('Detalle individual'!$D$5:$D$1000,"&lt;"&amp;'Detalle individual'!D968)*1000000+COUNTIF('Detalle individual'!$C$5:$C$1000,"&lt;"&amp;'Detalle individual'!C968)*1000+COUNTIF('Detalle individual'!$B$5:$B$1000,"&lt;"&amp;'Detalle individual'!B968)+ROW()/10000,"")</f>
        <v/>
      </c>
      <c r="AI968" t="str">
        <f>IF('Detalle individual'!F968="Completado",COUNTIF('Detalle individual'!$D$5:$D$1000,"&lt;"&amp;'Detalle individual'!D968)*1000000+COUNTIF('Detalle individual'!$C$5:$C$1000,"&lt;"&amp;'Detalle individual'!C968)*1000+COUNTIF('Detalle individual'!$B$5:$B$1000,"&lt;"&amp;'Detalle individual'!B968)+ROW()/10000,"")</f>
        <v/>
      </c>
      <c r="AJ968" t="str">
        <f>IF(AND('Detalle individual'!F968&lt;&gt;"",'Detalle individual'!F968&lt;&gt;"Completado",'Detalle individual'!F968&lt;&gt;"Pendiente"),COUNTIF('Detalle individual'!$D$5:$D$1000,"&lt;"&amp;'Detalle individual'!D968)*1000000+COUNTIF('Detalle individual'!$C$5:$C$1000,"&lt;"&amp;'Detalle individual'!C968)*1000+COUNTIF('Detalle individual'!$B$5:$B$1000,"&lt;"&amp;'Detalle individual'!B968)+ROW()/10000,"")</f>
        <v/>
      </c>
      <c r="AK968" t="str">
        <f>IF(OR('Base Exámenes'!C968="",'Base Exámenes'!D968=""),"",IF(COUNTIF('Base Exámenes'!$C$5:C968,'Base Exámenes'!C968)=1,'Base Exámenes'!D968+ROW()/1000000000,""))</f>
        <v/>
      </c>
      <c r="AL968" t="str">
        <f>IF(OR('Base Exámenes'!C968="",'Base Exámenes'!E968=""),"",IF(COUNTIF('Base Exámenes'!$C$5:C968,'Base Exámenes'!C968)=1,'Base Exámenes'!E968+ROW()/1000000000,""))</f>
        <v/>
      </c>
      <c r="AM968" t="str">
        <f>IF(OR('Base Exámenes'!C968="",'Base Exámenes'!G968=""),"",IF(ROW()-4=MATCH('Base Exámenes'!C968&amp;"|"&amp;_xlfn.MAXIFS('Base Exámenes'!$G$5:$G$1000,'Base Exámenes'!$C$5:$C$1000,'Base Exámenes'!C968),'Base Exámenes'!$I$5:$I$1000,0),'Base Exámenes'!G968*1000000+(-1)*'Base Exámenes'!D968,""))</f>
        <v/>
      </c>
      <c r="AQ968" t="str">
        <f>IF('Base Exámenes'!C968="","",IF(COUNTIF('Base Exámenes'!$C$5:$C$1000,'Base Exámenes'!C968)&lt;2,"",MATCH('Base Exámenes'!C968,'Base Exámenes'!$C$5:$C$1000,0)*10000+ROW()))</f>
        <v/>
      </c>
    </row>
    <row r="969">
      <c r="Z969" t="str">
        <f>IF('Detalle individual'!A969="","",IF(AND(OR('Estado por Colaborador'!$D$4="Todas las gerencias",'Detalle individual'!D969='Estado por Colaborador'!$D$4),OR('Estado por Colaborador'!$D$5="Todos los departamentos",TRIM('Detalle individual'!C969)='Estado por Colaborador'!$D$5),OR('Estado por Colaborador'!$D$6="Todos",'Detalle individual'!F969='Estado por Colaborador'!$D$6)),IF('Detalle individual'!F969="Completado",30000000,IF('Detalle individual'!F969="Pendiente",0,15000000))+COUNTIF('Detalle individual'!$C$5:$C$1000,"&lt;"&amp;'Detalle individual'!C969)*10000+ROW(),""))</f>
        <v/>
      </c>
      <c r="AB969" t="str">
        <f>IF('Detalle individual'!C969="","",IF(COUNTIF('Detalle individual'!$C$5:C969,'Detalle individual'!C969)=1,COUNTIF('Detalle individual'!$C$5:$C$1000,"&lt;"&amp;'Detalle individual'!C969),""))</f>
        <v/>
      </c>
      <c r="AC969" t="str">
        <f>IF('Detalle individual'!D969="","",IF(COUNTIF('Detalle individual'!$D$5:D969,'Detalle individual'!D969)=1,COUNTIF('Detalle individual'!$D$5:$D$1000,"&lt;"&amp;'Detalle individual'!D969),""))</f>
        <v/>
      </c>
      <c r="AH969" t="str">
        <f>IF('Detalle individual'!F969="Pendiente",COUNTIF('Detalle individual'!$D$5:$D$1000,"&lt;"&amp;'Detalle individual'!D969)*1000000+COUNTIF('Detalle individual'!$C$5:$C$1000,"&lt;"&amp;'Detalle individual'!C969)*1000+COUNTIF('Detalle individual'!$B$5:$B$1000,"&lt;"&amp;'Detalle individual'!B969)+ROW()/10000,"")</f>
        <v/>
      </c>
      <c r="AI969" t="str">
        <f>IF('Detalle individual'!F969="Completado",COUNTIF('Detalle individual'!$D$5:$D$1000,"&lt;"&amp;'Detalle individual'!D969)*1000000+COUNTIF('Detalle individual'!$C$5:$C$1000,"&lt;"&amp;'Detalle individual'!C969)*1000+COUNTIF('Detalle individual'!$B$5:$B$1000,"&lt;"&amp;'Detalle individual'!B969)+ROW()/10000,"")</f>
        <v/>
      </c>
      <c r="AJ969" t="str">
        <f>IF(AND('Detalle individual'!F969&lt;&gt;"",'Detalle individual'!F969&lt;&gt;"Completado",'Detalle individual'!F969&lt;&gt;"Pendiente"),COUNTIF('Detalle individual'!$D$5:$D$1000,"&lt;"&amp;'Detalle individual'!D969)*1000000+COUNTIF('Detalle individual'!$C$5:$C$1000,"&lt;"&amp;'Detalle individual'!C969)*1000+COUNTIF('Detalle individual'!$B$5:$B$1000,"&lt;"&amp;'Detalle individual'!B969)+ROW()/10000,"")</f>
        <v/>
      </c>
      <c r="AK969" t="str">
        <f>IF(OR('Base Exámenes'!C969="",'Base Exámenes'!D969=""),"",IF(COUNTIF('Base Exámenes'!$C$5:C969,'Base Exámenes'!C969)=1,'Base Exámenes'!D969+ROW()/1000000000,""))</f>
        <v/>
      </c>
      <c r="AL969" t="str">
        <f>IF(OR('Base Exámenes'!C969="",'Base Exámenes'!E969=""),"",IF(COUNTIF('Base Exámenes'!$C$5:C969,'Base Exámenes'!C969)=1,'Base Exámenes'!E969+ROW()/1000000000,""))</f>
        <v/>
      </c>
      <c r="AM969" t="str">
        <f>IF(OR('Base Exámenes'!C969="",'Base Exámenes'!G969=""),"",IF(ROW()-4=MATCH('Base Exámenes'!C969&amp;"|"&amp;_xlfn.MAXIFS('Base Exámenes'!$G$5:$G$1000,'Base Exámenes'!$C$5:$C$1000,'Base Exámenes'!C969),'Base Exámenes'!$I$5:$I$1000,0),'Base Exámenes'!G969*1000000+(-1)*'Base Exámenes'!D969,""))</f>
        <v/>
      </c>
      <c r="AQ969" t="str">
        <f>IF('Base Exámenes'!C969="","",IF(COUNTIF('Base Exámenes'!$C$5:$C$1000,'Base Exámenes'!C969)&lt;2,"",MATCH('Base Exámenes'!C969,'Base Exámenes'!$C$5:$C$1000,0)*10000+ROW()))</f>
        <v/>
      </c>
    </row>
    <row r="970">
      <c r="Z970" t="str">
        <f>IF('Detalle individual'!A970="","",IF(AND(OR('Estado por Colaborador'!$D$4="Todas las gerencias",'Detalle individual'!D970='Estado por Colaborador'!$D$4),OR('Estado por Colaborador'!$D$5="Todos los departamentos",TRIM('Detalle individual'!C970)='Estado por Colaborador'!$D$5),OR('Estado por Colaborador'!$D$6="Todos",'Detalle individual'!F970='Estado por Colaborador'!$D$6)),IF('Detalle individual'!F970="Completado",30000000,IF('Detalle individual'!F970="Pendiente",0,15000000))+COUNTIF('Detalle individual'!$C$5:$C$1000,"&lt;"&amp;'Detalle individual'!C970)*10000+ROW(),""))</f>
        <v/>
      </c>
      <c r="AB970" t="str">
        <f>IF('Detalle individual'!C970="","",IF(COUNTIF('Detalle individual'!$C$5:C970,'Detalle individual'!C970)=1,COUNTIF('Detalle individual'!$C$5:$C$1000,"&lt;"&amp;'Detalle individual'!C970),""))</f>
        <v/>
      </c>
      <c r="AC970" t="str">
        <f>IF('Detalle individual'!D970="","",IF(COUNTIF('Detalle individual'!$D$5:D970,'Detalle individual'!D970)=1,COUNTIF('Detalle individual'!$D$5:$D$1000,"&lt;"&amp;'Detalle individual'!D970),""))</f>
        <v/>
      </c>
      <c r="AH970" t="str">
        <f>IF('Detalle individual'!F970="Pendiente",COUNTIF('Detalle individual'!$D$5:$D$1000,"&lt;"&amp;'Detalle individual'!D970)*1000000+COUNTIF('Detalle individual'!$C$5:$C$1000,"&lt;"&amp;'Detalle individual'!C970)*1000+COUNTIF('Detalle individual'!$B$5:$B$1000,"&lt;"&amp;'Detalle individual'!B970)+ROW()/10000,"")</f>
        <v/>
      </c>
      <c r="AI970" t="str">
        <f>IF('Detalle individual'!F970="Completado",COUNTIF('Detalle individual'!$D$5:$D$1000,"&lt;"&amp;'Detalle individual'!D970)*1000000+COUNTIF('Detalle individual'!$C$5:$C$1000,"&lt;"&amp;'Detalle individual'!C970)*1000+COUNTIF('Detalle individual'!$B$5:$B$1000,"&lt;"&amp;'Detalle individual'!B970)+ROW()/10000,"")</f>
        <v/>
      </c>
      <c r="AJ970" t="str">
        <f>IF(AND('Detalle individual'!F970&lt;&gt;"",'Detalle individual'!F970&lt;&gt;"Completado",'Detalle individual'!F970&lt;&gt;"Pendiente"),COUNTIF('Detalle individual'!$D$5:$D$1000,"&lt;"&amp;'Detalle individual'!D970)*1000000+COUNTIF('Detalle individual'!$C$5:$C$1000,"&lt;"&amp;'Detalle individual'!C970)*1000+COUNTIF('Detalle individual'!$B$5:$B$1000,"&lt;"&amp;'Detalle individual'!B970)+ROW()/10000,"")</f>
        <v/>
      </c>
      <c r="AK970" t="str">
        <f>IF(OR('Base Exámenes'!C970="",'Base Exámenes'!D970=""),"",IF(COUNTIF('Base Exámenes'!$C$5:C970,'Base Exámenes'!C970)=1,'Base Exámenes'!D970+ROW()/1000000000,""))</f>
        <v/>
      </c>
      <c r="AL970" t="str">
        <f>IF(OR('Base Exámenes'!C970="",'Base Exámenes'!E970=""),"",IF(COUNTIF('Base Exámenes'!$C$5:C970,'Base Exámenes'!C970)=1,'Base Exámenes'!E970+ROW()/1000000000,""))</f>
        <v/>
      </c>
      <c r="AM970" t="str">
        <f>IF(OR('Base Exámenes'!C970="",'Base Exámenes'!G970=""),"",IF(ROW()-4=MATCH('Base Exámenes'!C970&amp;"|"&amp;_xlfn.MAXIFS('Base Exámenes'!$G$5:$G$1000,'Base Exámenes'!$C$5:$C$1000,'Base Exámenes'!C970),'Base Exámenes'!$I$5:$I$1000,0),'Base Exámenes'!G970*1000000+(-1)*'Base Exámenes'!D970,""))</f>
        <v/>
      </c>
      <c r="AQ970" t="str">
        <f>IF('Base Exámenes'!C970="","",IF(COUNTIF('Base Exámenes'!$C$5:$C$1000,'Base Exámenes'!C970)&lt;2,"",MATCH('Base Exámenes'!C970,'Base Exámenes'!$C$5:$C$1000,0)*10000+ROW()))</f>
        <v/>
      </c>
    </row>
    <row r="971">
      <c r="Z971" t="str">
        <f>IF('Detalle individual'!A971="","",IF(AND(OR('Estado por Colaborador'!$D$4="Todas las gerencias",'Detalle individual'!D971='Estado por Colaborador'!$D$4),OR('Estado por Colaborador'!$D$5="Todos los departamentos",TRIM('Detalle individual'!C971)='Estado por Colaborador'!$D$5),OR('Estado por Colaborador'!$D$6="Todos",'Detalle individual'!F971='Estado por Colaborador'!$D$6)),IF('Detalle individual'!F971="Completado",30000000,IF('Detalle individual'!F971="Pendiente",0,15000000))+COUNTIF('Detalle individual'!$C$5:$C$1000,"&lt;"&amp;'Detalle individual'!C971)*10000+ROW(),""))</f>
        <v/>
      </c>
      <c r="AB971" t="str">
        <f>IF('Detalle individual'!C971="","",IF(COUNTIF('Detalle individual'!$C$5:C971,'Detalle individual'!C971)=1,COUNTIF('Detalle individual'!$C$5:$C$1000,"&lt;"&amp;'Detalle individual'!C971),""))</f>
        <v/>
      </c>
      <c r="AC971" t="str">
        <f>IF('Detalle individual'!D971="","",IF(COUNTIF('Detalle individual'!$D$5:D971,'Detalle individual'!D971)=1,COUNTIF('Detalle individual'!$D$5:$D$1000,"&lt;"&amp;'Detalle individual'!D971),""))</f>
        <v/>
      </c>
      <c r="AH971" t="str">
        <f>IF('Detalle individual'!F971="Pendiente",COUNTIF('Detalle individual'!$D$5:$D$1000,"&lt;"&amp;'Detalle individual'!D971)*1000000+COUNTIF('Detalle individual'!$C$5:$C$1000,"&lt;"&amp;'Detalle individual'!C971)*1000+COUNTIF('Detalle individual'!$B$5:$B$1000,"&lt;"&amp;'Detalle individual'!B971)+ROW()/10000,"")</f>
        <v/>
      </c>
      <c r="AI971" t="str">
        <f>IF('Detalle individual'!F971="Completado",COUNTIF('Detalle individual'!$D$5:$D$1000,"&lt;"&amp;'Detalle individual'!D971)*1000000+COUNTIF('Detalle individual'!$C$5:$C$1000,"&lt;"&amp;'Detalle individual'!C971)*1000+COUNTIF('Detalle individual'!$B$5:$B$1000,"&lt;"&amp;'Detalle individual'!B971)+ROW()/10000,"")</f>
        <v/>
      </c>
      <c r="AJ971" t="str">
        <f>IF(AND('Detalle individual'!F971&lt;&gt;"",'Detalle individual'!F971&lt;&gt;"Completado",'Detalle individual'!F971&lt;&gt;"Pendiente"),COUNTIF('Detalle individual'!$D$5:$D$1000,"&lt;"&amp;'Detalle individual'!D971)*1000000+COUNTIF('Detalle individual'!$C$5:$C$1000,"&lt;"&amp;'Detalle individual'!C971)*1000+COUNTIF('Detalle individual'!$B$5:$B$1000,"&lt;"&amp;'Detalle individual'!B971)+ROW()/10000,"")</f>
        <v/>
      </c>
      <c r="AK971" t="str">
        <f>IF(OR('Base Exámenes'!C971="",'Base Exámenes'!D971=""),"",IF(COUNTIF('Base Exámenes'!$C$5:C971,'Base Exámenes'!C971)=1,'Base Exámenes'!D971+ROW()/1000000000,""))</f>
        <v/>
      </c>
      <c r="AL971" t="str">
        <f>IF(OR('Base Exámenes'!C971="",'Base Exámenes'!E971=""),"",IF(COUNTIF('Base Exámenes'!$C$5:C971,'Base Exámenes'!C971)=1,'Base Exámenes'!E971+ROW()/1000000000,""))</f>
        <v/>
      </c>
      <c r="AM971" t="str">
        <f>IF(OR('Base Exámenes'!C971="",'Base Exámenes'!G971=""),"",IF(ROW()-4=MATCH('Base Exámenes'!C971&amp;"|"&amp;_xlfn.MAXIFS('Base Exámenes'!$G$5:$G$1000,'Base Exámenes'!$C$5:$C$1000,'Base Exámenes'!C971),'Base Exámenes'!$I$5:$I$1000,0),'Base Exámenes'!G971*1000000+(-1)*'Base Exámenes'!D971,""))</f>
        <v/>
      </c>
      <c r="AQ971" t="str">
        <f>IF('Base Exámenes'!C971="","",IF(COUNTIF('Base Exámenes'!$C$5:$C$1000,'Base Exámenes'!C971)&lt;2,"",MATCH('Base Exámenes'!C971,'Base Exámenes'!$C$5:$C$1000,0)*10000+ROW()))</f>
        <v/>
      </c>
    </row>
    <row r="972">
      <c r="Z972" t="str">
        <f>IF('Detalle individual'!A972="","",IF(AND(OR('Estado por Colaborador'!$D$4="Todas las gerencias",'Detalle individual'!D972='Estado por Colaborador'!$D$4),OR('Estado por Colaborador'!$D$5="Todos los departamentos",TRIM('Detalle individual'!C972)='Estado por Colaborador'!$D$5),OR('Estado por Colaborador'!$D$6="Todos",'Detalle individual'!F972='Estado por Colaborador'!$D$6)),IF('Detalle individual'!F972="Completado",30000000,IF('Detalle individual'!F972="Pendiente",0,15000000))+COUNTIF('Detalle individual'!$C$5:$C$1000,"&lt;"&amp;'Detalle individual'!C972)*10000+ROW(),""))</f>
        <v/>
      </c>
      <c r="AB972" t="str">
        <f>IF('Detalle individual'!C972="","",IF(COUNTIF('Detalle individual'!$C$5:C972,'Detalle individual'!C972)=1,COUNTIF('Detalle individual'!$C$5:$C$1000,"&lt;"&amp;'Detalle individual'!C972),""))</f>
        <v/>
      </c>
      <c r="AC972" t="str">
        <f>IF('Detalle individual'!D972="","",IF(COUNTIF('Detalle individual'!$D$5:D972,'Detalle individual'!D972)=1,COUNTIF('Detalle individual'!$D$5:$D$1000,"&lt;"&amp;'Detalle individual'!D972),""))</f>
        <v/>
      </c>
      <c r="AH972" t="str">
        <f>IF('Detalle individual'!F972="Pendiente",COUNTIF('Detalle individual'!$D$5:$D$1000,"&lt;"&amp;'Detalle individual'!D972)*1000000+COUNTIF('Detalle individual'!$C$5:$C$1000,"&lt;"&amp;'Detalle individual'!C972)*1000+COUNTIF('Detalle individual'!$B$5:$B$1000,"&lt;"&amp;'Detalle individual'!B972)+ROW()/10000,"")</f>
        <v/>
      </c>
      <c r="AI972" t="str">
        <f>IF('Detalle individual'!F972="Completado",COUNTIF('Detalle individual'!$D$5:$D$1000,"&lt;"&amp;'Detalle individual'!D972)*1000000+COUNTIF('Detalle individual'!$C$5:$C$1000,"&lt;"&amp;'Detalle individual'!C972)*1000+COUNTIF('Detalle individual'!$B$5:$B$1000,"&lt;"&amp;'Detalle individual'!B972)+ROW()/10000,"")</f>
        <v/>
      </c>
      <c r="AJ972" t="str">
        <f>IF(AND('Detalle individual'!F972&lt;&gt;"",'Detalle individual'!F972&lt;&gt;"Completado",'Detalle individual'!F972&lt;&gt;"Pendiente"),COUNTIF('Detalle individual'!$D$5:$D$1000,"&lt;"&amp;'Detalle individual'!D972)*1000000+COUNTIF('Detalle individual'!$C$5:$C$1000,"&lt;"&amp;'Detalle individual'!C972)*1000+COUNTIF('Detalle individual'!$B$5:$B$1000,"&lt;"&amp;'Detalle individual'!B972)+ROW()/10000,"")</f>
        <v/>
      </c>
      <c r="AK972" t="str">
        <f>IF(OR('Base Exámenes'!C972="",'Base Exámenes'!D972=""),"",IF(COUNTIF('Base Exámenes'!$C$5:C972,'Base Exámenes'!C972)=1,'Base Exámenes'!D972+ROW()/1000000000,""))</f>
        <v/>
      </c>
      <c r="AL972" t="str">
        <f>IF(OR('Base Exámenes'!C972="",'Base Exámenes'!E972=""),"",IF(COUNTIF('Base Exámenes'!$C$5:C972,'Base Exámenes'!C972)=1,'Base Exámenes'!E972+ROW()/1000000000,""))</f>
        <v/>
      </c>
      <c r="AM972" t="str">
        <f>IF(OR('Base Exámenes'!C972="",'Base Exámenes'!G972=""),"",IF(ROW()-4=MATCH('Base Exámenes'!C972&amp;"|"&amp;_xlfn.MAXIFS('Base Exámenes'!$G$5:$G$1000,'Base Exámenes'!$C$5:$C$1000,'Base Exámenes'!C972),'Base Exámenes'!$I$5:$I$1000,0),'Base Exámenes'!G972*1000000+(-1)*'Base Exámenes'!D972,""))</f>
        <v/>
      </c>
      <c r="AQ972" t="str">
        <f>IF('Base Exámenes'!C972="","",IF(COUNTIF('Base Exámenes'!$C$5:$C$1000,'Base Exámenes'!C972)&lt;2,"",MATCH('Base Exámenes'!C972,'Base Exámenes'!$C$5:$C$1000,0)*10000+ROW()))</f>
        <v/>
      </c>
    </row>
    <row r="973">
      <c r="Z973" t="str">
        <f>IF('Detalle individual'!A973="","",IF(AND(OR('Estado por Colaborador'!$D$4="Todas las gerencias",'Detalle individual'!D973='Estado por Colaborador'!$D$4),OR('Estado por Colaborador'!$D$5="Todos los departamentos",TRIM('Detalle individual'!C973)='Estado por Colaborador'!$D$5),OR('Estado por Colaborador'!$D$6="Todos",'Detalle individual'!F973='Estado por Colaborador'!$D$6)),IF('Detalle individual'!F973="Completado",30000000,IF('Detalle individual'!F973="Pendiente",0,15000000))+COUNTIF('Detalle individual'!$C$5:$C$1000,"&lt;"&amp;'Detalle individual'!C973)*10000+ROW(),""))</f>
        <v/>
      </c>
      <c r="AB973" t="str">
        <f>IF('Detalle individual'!C973="","",IF(COUNTIF('Detalle individual'!$C$5:C973,'Detalle individual'!C973)=1,COUNTIF('Detalle individual'!$C$5:$C$1000,"&lt;"&amp;'Detalle individual'!C973),""))</f>
        <v/>
      </c>
      <c r="AC973" t="str">
        <f>IF('Detalle individual'!D973="","",IF(COUNTIF('Detalle individual'!$D$5:D973,'Detalle individual'!D973)=1,COUNTIF('Detalle individual'!$D$5:$D$1000,"&lt;"&amp;'Detalle individual'!D973),""))</f>
        <v/>
      </c>
      <c r="AH973" t="str">
        <f>IF('Detalle individual'!F973="Pendiente",COUNTIF('Detalle individual'!$D$5:$D$1000,"&lt;"&amp;'Detalle individual'!D973)*1000000+COUNTIF('Detalle individual'!$C$5:$C$1000,"&lt;"&amp;'Detalle individual'!C973)*1000+COUNTIF('Detalle individual'!$B$5:$B$1000,"&lt;"&amp;'Detalle individual'!B973)+ROW()/10000,"")</f>
        <v/>
      </c>
      <c r="AI973" t="str">
        <f>IF('Detalle individual'!F973="Completado",COUNTIF('Detalle individual'!$D$5:$D$1000,"&lt;"&amp;'Detalle individual'!D973)*1000000+COUNTIF('Detalle individual'!$C$5:$C$1000,"&lt;"&amp;'Detalle individual'!C973)*1000+COUNTIF('Detalle individual'!$B$5:$B$1000,"&lt;"&amp;'Detalle individual'!B973)+ROW()/10000,"")</f>
        <v/>
      </c>
      <c r="AJ973" t="str">
        <f>IF(AND('Detalle individual'!F973&lt;&gt;"",'Detalle individual'!F973&lt;&gt;"Completado",'Detalle individual'!F973&lt;&gt;"Pendiente"),COUNTIF('Detalle individual'!$D$5:$D$1000,"&lt;"&amp;'Detalle individual'!D973)*1000000+COUNTIF('Detalle individual'!$C$5:$C$1000,"&lt;"&amp;'Detalle individual'!C973)*1000+COUNTIF('Detalle individual'!$B$5:$B$1000,"&lt;"&amp;'Detalle individual'!B973)+ROW()/10000,"")</f>
        <v/>
      </c>
      <c r="AK973" t="str">
        <f>IF(OR('Base Exámenes'!C973="",'Base Exámenes'!D973=""),"",IF(COUNTIF('Base Exámenes'!$C$5:C973,'Base Exámenes'!C973)=1,'Base Exámenes'!D973+ROW()/1000000000,""))</f>
        <v/>
      </c>
      <c r="AL973" t="str">
        <f>IF(OR('Base Exámenes'!C973="",'Base Exámenes'!E973=""),"",IF(COUNTIF('Base Exámenes'!$C$5:C973,'Base Exámenes'!C973)=1,'Base Exámenes'!E973+ROW()/1000000000,""))</f>
        <v/>
      </c>
      <c r="AM973" t="str">
        <f>IF(OR('Base Exámenes'!C973="",'Base Exámenes'!G973=""),"",IF(ROW()-4=MATCH('Base Exámenes'!C973&amp;"|"&amp;_xlfn.MAXIFS('Base Exámenes'!$G$5:$G$1000,'Base Exámenes'!$C$5:$C$1000,'Base Exámenes'!C973),'Base Exámenes'!$I$5:$I$1000,0),'Base Exámenes'!G973*1000000+(-1)*'Base Exámenes'!D973,""))</f>
        <v/>
      </c>
      <c r="AQ973" t="str">
        <f>IF('Base Exámenes'!C973="","",IF(COUNTIF('Base Exámenes'!$C$5:$C$1000,'Base Exámenes'!C973)&lt;2,"",MATCH('Base Exámenes'!C973,'Base Exámenes'!$C$5:$C$1000,0)*10000+ROW()))</f>
        <v/>
      </c>
    </row>
    <row r="974">
      <c r="Z974" t="str">
        <f>IF('Detalle individual'!A974="","",IF(AND(OR('Estado por Colaborador'!$D$4="Todas las gerencias",'Detalle individual'!D974='Estado por Colaborador'!$D$4),OR('Estado por Colaborador'!$D$5="Todos los departamentos",TRIM('Detalle individual'!C974)='Estado por Colaborador'!$D$5),OR('Estado por Colaborador'!$D$6="Todos",'Detalle individual'!F974='Estado por Colaborador'!$D$6)),IF('Detalle individual'!F974="Completado",30000000,IF('Detalle individual'!F974="Pendiente",0,15000000))+COUNTIF('Detalle individual'!$C$5:$C$1000,"&lt;"&amp;'Detalle individual'!C974)*10000+ROW(),""))</f>
        <v/>
      </c>
      <c r="AB974" t="str">
        <f>IF('Detalle individual'!C974="","",IF(COUNTIF('Detalle individual'!$C$5:C974,'Detalle individual'!C974)=1,COUNTIF('Detalle individual'!$C$5:$C$1000,"&lt;"&amp;'Detalle individual'!C974),""))</f>
        <v/>
      </c>
      <c r="AC974" t="str">
        <f>IF('Detalle individual'!D974="","",IF(COUNTIF('Detalle individual'!$D$5:D974,'Detalle individual'!D974)=1,COUNTIF('Detalle individual'!$D$5:$D$1000,"&lt;"&amp;'Detalle individual'!D974),""))</f>
        <v/>
      </c>
      <c r="AH974" t="str">
        <f>IF('Detalle individual'!F974="Pendiente",COUNTIF('Detalle individual'!$D$5:$D$1000,"&lt;"&amp;'Detalle individual'!D974)*1000000+COUNTIF('Detalle individual'!$C$5:$C$1000,"&lt;"&amp;'Detalle individual'!C974)*1000+COUNTIF('Detalle individual'!$B$5:$B$1000,"&lt;"&amp;'Detalle individual'!B974)+ROW()/10000,"")</f>
        <v/>
      </c>
      <c r="AI974" t="str">
        <f>IF('Detalle individual'!F974="Completado",COUNTIF('Detalle individual'!$D$5:$D$1000,"&lt;"&amp;'Detalle individual'!D974)*1000000+COUNTIF('Detalle individual'!$C$5:$C$1000,"&lt;"&amp;'Detalle individual'!C974)*1000+COUNTIF('Detalle individual'!$B$5:$B$1000,"&lt;"&amp;'Detalle individual'!B974)+ROW()/10000,"")</f>
        <v/>
      </c>
      <c r="AJ974" t="str">
        <f>IF(AND('Detalle individual'!F974&lt;&gt;"",'Detalle individual'!F974&lt;&gt;"Completado",'Detalle individual'!F974&lt;&gt;"Pendiente"),COUNTIF('Detalle individual'!$D$5:$D$1000,"&lt;"&amp;'Detalle individual'!D974)*1000000+COUNTIF('Detalle individual'!$C$5:$C$1000,"&lt;"&amp;'Detalle individual'!C974)*1000+COUNTIF('Detalle individual'!$B$5:$B$1000,"&lt;"&amp;'Detalle individual'!B974)+ROW()/10000,"")</f>
        <v/>
      </c>
      <c r="AK974" t="str">
        <f>IF(OR('Base Exámenes'!C974="",'Base Exámenes'!D974=""),"",IF(COUNTIF('Base Exámenes'!$C$5:C974,'Base Exámenes'!C974)=1,'Base Exámenes'!D974+ROW()/1000000000,""))</f>
        <v/>
      </c>
      <c r="AL974" t="str">
        <f>IF(OR('Base Exámenes'!C974="",'Base Exámenes'!E974=""),"",IF(COUNTIF('Base Exámenes'!$C$5:C974,'Base Exámenes'!C974)=1,'Base Exámenes'!E974+ROW()/1000000000,""))</f>
        <v/>
      </c>
      <c r="AM974" t="str">
        <f>IF(OR('Base Exámenes'!C974="",'Base Exámenes'!G974=""),"",IF(ROW()-4=MATCH('Base Exámenes'!C974&amp;"|"&amp;_xlfn.MAXIFS('Base Exámenes'!$G$5:$G$1000,'Base Exámenes'!$C$5:$C$1000,'Base Exámenes'!C974),'Base Exámenes'!$I$5:$I$1000,0),'Base Exámenes'!G974*1000000+(-1)*'Base Exámenes'!D974,""))</f>
        <v/>
      </c>
      <c r="AQ974" t="str">
        <f>IF('Base Exámenes'!C974="","",IF(COUNTIF('Base Exámenes'!$C$5:$C$1000,'Base Exámenes'!C974)&lt;2,"",MATCH('Base Exámenes'!C974,'Base Exámenes'!$C$5:$C$1000,0)*10000+ROW()))</f>
        <v/>
      </c>
    </row>
    <row r="975">
      <c r="Z975" t="str">
        <f>IF('Detalle individual'!A975="","",IF(AND(OR('Estado por Colaborador'!$D$4="Todas las gerencias",'Detalle individual'!D975='Estado por Colaborador'!$D$4),OR('Estado por Colaborador'!$D$5="Todos los departamentos",TRIM('Detalle individual'!C975)='Estado por Colaborador'!$D$5),OR('Estado por Colaborador'!$D$6="Todos",'Detalle individual'!F975='Estado por Colaborador'!$D$6)),IF('Detalle individual'!F975="Completado",30000000,IF('Detalle individual'!F975="Pendiente",0,15000000))+COUNTIF('Detalle individual'!$C$5:$C$1000,"&lt;"&amp;'Detalle individual'!C975)*10000+ROW(),""))</f>
        <v/>
      </c>
      <c r="AB975" t="str">
        <f>IF('Detalle individual'!C975="","",IF(COUNTIF('Detalle individual'!$C$5:C975,'Detalle individual'!C975)=1,COUNTIF('Detalle individual'!$C$5:$C$1000,"&lt;"&amp;'Detalle individual'!C975),""))</f>
        <v/>
      </c>
      <c r="AC975" t="str">
        <f>IF('Detalle individual'!D975="","",IF(COUNTIF('Detalle individual'!$D$5:D975,'Detalle individual'!D975)=1,COUNTIF('Detalle individual'!$D$5:$D$1000,"&lt;"&amp;'Detalle individual'!D975),""))</f>
        <v/>
      </c>
      <c r="AH975" t="str">
        <f>IF('Detalle individual'!F975="Pendiente",COUNTIF('Detalle individual'!$D$5:$D$1000,"&lt;"&amp;'Detalle individual'!D975)*1000000+COUNTIF('Detalle individual'!$C$5:$C$1000,"&lt;"&amp;'Detalle individual'!C975)*1000+COUNTIF('Detalle individual'!$B$5:$B$1000,"&lt;"&amp;'Detalle individual'!B975)+ROW()/10000,"")</f>
        <v/>
      </c>
      <c r="AI975" t="str">
        <f>IF('Detalle individual'!F975="Completado",COUNTIF('Detalle individual'!$D$5:$D$1000,"&lt;"&amp;'Detalle individual'!D975)*1000000+COUNTIF('Detalle individual'!$C$5:$C$1000,"&lt;"&amp;'Detalle individual'!C975)*1000+COUNTIF('Detalle individual'!$B$5:$B$1000,"&lt;"&amp;'Detalle individual'!B975)+ROW()/10000,"")</f>
        <v/>
      </c>
      <c r="AJ975" t="str">
        <f>IF(AND('Detalle individual'!F975&lt;&gt;"",'Detalle individual'!F975&lt;&gt;"Completado",'Detalle individual'!F975&lt;&gt;"Pendiente"),COUNTIF('Detalle individual'!$D$5:$D$1000,"&lt;"&amp;'Detalle individual'!D975)*1000000+COUNTIF('Detalle individual'!$C$5:$C$1000,"&lt;"&amp;'Detalle individual'!C975)*1000+COUNTIF('Detalle individual'!$B$5:$B$1000,"&lt;"&amp;'Detalle individual'!B975)+ROW()/10000,"")</f>
        <v/>
      </c>
      <c r="AK975" t="str">
        <f>IF(OR('Base Exámenes'!C975="",'Base Exámenes'!D975=""),"",IF(COUNTIF('Base Exámenes'!$C$5:C975,'Base Exámenes'!C975)=1,'Base Exámenes'!D975+ROW()/1000000000,""))</f>
        <v/>
      </c>
      <c r="AL975" t="str">
        <f>IF(OR('Base Exámenes'!C975="",'Base Exámenes'!E975=""),"",IF(COUNTIF('Base Exámenes'!$C$5:C975,'Base Exámenes'!C975)=1,'Base Exámenes'!E975+ROW()/1000000000,""))</f>
        <v/>
      </c>
      <c r="AM975" t="str">
        <f>IF(OR('Base Exámenes'!C975="",'Base Exámenes'!G975=""),"",IF(ROW()-4=MATCH('Base Exámenes'!C975&amp;"|"&amp;_xlfn.MAXIFS('Base Exámenes'!$G$5:$G$1000,'Base Exámenes'!$C$5:$C$1000,'Base Exámenes'!C975),'Base Exámenes'!$I$5:$I$1000,0),'Base Exámenes'!G975*1000000+(-1)*'Base Exámenes'!D975,""))</f>
        <v/>
      </c>
      <c r="AQ975" t="str">
        <f>IF('Base Exámenes'!C975="","",IF(COUNTIF('Base Exámenes'!$C$5:$C$1000,'Base Exámenes'!C975)&lt;2,"",MATCH('Base Exámenes'!C975,'Base Exámenes'!$C$5:$C$1000,0)*10000+ROW()))</f>
        <v/>
      </c>
    </row>
    <row r="976">
      <c r="Z976" t="str">
        <f>IF('Detalle individual'!A976="","",IF(AND(OR('Estado por Colaborador'!$D$4="Todas las gerencias",'Detalle individual'!D976='Estado por Colaborador'!$D$4),OR('Estado por Colaborador'!$D$5="Todos los departamentos",TRIM('Detalle individual'!C976)='Estado por Colaborador'!$D$5),OR('Estado por Colaborador'!$D$6="Todos",'Detalle individual'!F976='Estado por Colaborador'!$D$6)),IF('Detalle individual'!F976="Completado",30000000,IF('Detalle individual'!F976="Pendiente",0,15000000))+COUNTIF('Detalle individual'!$C$5:$C$1000,"&lt;"&amp;'Detalle individual'!C976)*10000+ROW(),""))</f>
        <v/>
      </c>
      <c r="AB976" t="str">
        <f>IF('Detalle individual'!C976="","",IF(COUNTIF('Detalle individual'!$C$5:C976,'Detalle individual'!C976)=1,COUNTIF('Detalle individual'!$C$5:$C$1000,"&lt;"&amp;'Detalle individual'!C976),""))</f>
        <v/>
      </c>
      <c r="AC976" t="str">
        <f>IF('Detalle individual'!D976="","",IF(COUNTIF('Detalle individual'!$D$5:D976,'Detalle individual'!D976)=1,COUNTIF('Detalle individual'!$D$5:$D$1000,"&lt;"&amp;'Detalle individual'!D976),""))</f>
        <v/>
      </c>
      <c r="AH976" t="str">
        <f>IF('Detalle individual'!F976="Pendiente",COUNTIF('Detalle individual'!$D$5:$D$1000,"&lt;"&amp;'Detalle individual'!D976)*1000000+COUNTIF('Detalle individual'!$C$5:$C$1000,"&lt;"&amp;'Detalle individual'!C976)*1000+COUNTIF('Detalle individual'!$B$5:$B$1000,"&lt;"&amp;'Detalle individual'!B976)+ROW()/10000,"")</f>
        <v/>
      </c>
      <c r="AI976" t="str">
        <f>IF('Detalle individual'!F976="Completado",COUNTIF('Detalle individual'!$D$5:$D$1000,"&lt;"&amp;'Detalle individual'!D976)*1000000+COUNTIF('Detalle individual'!$C$5:$C$1000,"&lt;"&amp;'Detalle individual'!C976)*1000+COUNTIF('Detalle individual'!$B$5:$B$1000,"&lt;"&amp;'Detalle individual'!B976)+ROW()/10000,"")</f>
        <v/>
      </c>
      <c r="AJ976" t="str">
        <f>IF(AND('Detalle individual'!F976&lt;&gt;"",'Detalle individual'!F976&lt;&gt;"Completado",'Detalle individual'!F976&lt;&gt;"Pendiente"),COUNTIF('Detalle individual'!$D$5:$D$1000,"&lt;"&amp;'Detalle individual'!D976)*1000000+COUNTIF('Detalle individual'!$C$5:$C$1000,"&lt;"&amp;'Detalle individual'!C976)*1000+COUNTIF('Detalle individual'!$B$5:$B$1000,"&lt;"&amp;'Detalle individual'!B976)+ROW()/10000,"")</f>
        <v/>
      </c>
      <c r="AK976" t="str">
        <f>IF(OR('Base Exámenes'!C976="",'Base Exámenes'!D976=""),"",IF(COUNTIF('Base Exámenes'!$C$5:C976,'Base Exámenes'!C976)=1,'Base Exámenes'!D976+ROW()/1000000000,""))</f>
        <v/>
      </c>
      <c r="AL976" t="str">
        <f>IF(OR('Base Exámenes'!C976="",'Base Exámenes'!E976=""),"",IF(COUNTIF('Base Exámenes'!$C$5:C976,'Base Exámenes'!C976)=1,'Base Exámenes'!E976+ROW()/1000000000,""))</f>
        <v/>
      </c>
      <c r="AM976" t="str">
        <f>IF(OR('Base Exámenes'!C976="",'Base Exámenes'!G976=""),"",IF(ROW()-4=MATCH('Base Exámenes'!C976&amp;"|"&amp;_xlfn.MAXIFS('Base Exámenes'!$G$5:$G$1000,'Base Exámenes'!$C$5:$C$1000,'Base Exámenes'!C976),'Base Exámenes'!$I$5:$I$1000,0),'Base Exámenes'!G976*1000000+(-1)*'Base Exámenes'!D976,""))</f>
        <v/>
      </c>
      <c r="AQ976" t="str">
        <f>IF('Base Exámenes'!C976="","",IF(COUNTIF('Base Exámenes'!$C$5:$C$1000,'Base Exámenes'!C976)&lt;2,"",MATCH('Base Exámenes'!C976,'Base Exámenes'!$C$5:$C$1000,0)*10000+ROW()))</f>
        <v/>
      </c>
    </row>
    <row r="977">
      <c r="Z977" t="str">
        <f>IF('Detalle individual'!A977="","",IF(AND(OR('Estado por Colaborador'!$D$4="Todas las gerencias",'Detalle individual'!D977='Estado por Colaborador'!$D$4),OR('Estado por Colaborador'!$D$5="Todos los departamentos",TRIM('Detalle individual'!C977)='Estado por Colaborador'!$D$5),OR('Estado por Colaborador'!$D$6="Todos",'Detalle individual'!F977='Estado por Colaborador'!$D$6)),IF('Detalle individual'!F977="Completado",30000000,IF('Detalle individual'!F977="Pendiente",0,15000000))+COUNTIF('Detalle individual'!$C$5:$C$1000,"&lt;"&amp;'Detalle individual'!C977)*10000+ROW(),""))</f>
        <v/>
      </c>
      <c r="AB977" t="str">
        <f>IF('Detalle individual'!C977="","",IF(COUNTIF('Detalle individual'!$C$5:C977,'Detalle individual'!C977)=1,COUNTIF('Detalle individual'!$C$5:$C$1000,"&lt;"&amp;'Detalle individual'!C977),""))</f>
        <v/>
      </c>
      <c r="AC977" t="str">
        <f>IF('Detalle individual'!D977="","",IF(COUNTIF('Detalle individual'!$D$5:D977,'Detalle individual'!D977)=1,COUNTIF('Detalle individual'!$D$5:$D$1000,"&lt;"&amp;'Detalle individual'!D977),""))</f>
        <v/>
      </c>
      <c r="AH977" t="str">
        <f>IF('Detalle individual'!F977="Pendiente",COUNTIF('Detalle individual'!$D$5:$D$1000,"&lt;"&amp;'Detalle individual'!D977)*1000000+COUNTIF('Detalle individual'!$C$5:$C$1000,"&lt;"&amp;'Detalle individual'!C977)*1000+COUNTIF('Detalle individual'!$B$5:$B$1000,"&lt;"&amp;'Detalle individual'!B977)+ROW()/10000,"")</f>
        <v/>
      </c>
      <c r="AI977" t="str">
        <f>IF('Detalle individual'!F977="Completado",COUNTIF('Detalle individual'!$D$5:$D$1000,"&lt;"&amp;'Detalle individual'!D977)*1000000+COUNTIF('Detalle individual'!$C$5:$C$1000,"&lt;"&amp;'Detalle individual'!C977)*1000+COUNTIF('Detalle individual'!$B$5:$B$1000,"&lt;"&amp;'Detalle individual'!B977)+ROW()/10000,"")</f>
        <v/>
      </c>
      <c r="AJ977" t="str">
        <f>IF(AND('Detalle individual'!F977&lt;&gt;"",'Detalle individual'!F977&lt;&gt;"Completado",'Detalle individual'!F977&lt;&gt;"Pendiente"),COUNTIF('Detalle individual'!$D$5:$D$1000,"&lt;"&amp;'Detalle individual'!D977)*1000000+COUNTIF('Detalle individual'!$C$5:$C$1000,"&lt;"&amp;'Detalle individual'!C977)*1000+COUNTIF('Detalle individual'!$B$5:$B$1000,"&lt;"&amp;'Detalle individual'!B977)+ROW()/10000,"")</f>
        <v/>
      </c>
      <c r="AK977" t="str">
        <f>IF(OR('Base Exámenes'!C977="",'Base Exámenes'!D977=""),"",IF(COUNTIF('Base Exámenes'!$C$5:C977,'Base Exámenes'!C977)=1,'Base Exámenes'!D977+ROW()/1000000000,""))</f>
        <v/>
      </c>
      <c r="AL977" t="str">
        <f>IF(OR('Base Exámenes'!C977="",'Base Exámenes'!E977=""),"",IF(COUNTIF('Base Exámenes'!$C$5:C977,'Base Exámenes'!C977)=1,'Base Exámenes'!E977+ROW()/1000000000,""))</f>
        <v/>
      </c>
      <c r="AM977" t="str">
        <f>IF(OR('Base Exámenes'!C977="",'Base Exámenes'!G977=""),"",IF(ROW()-4=MATCH('Base Exámenes'!C977&amp;"|"&amp;_xlfn.MAXIFS('Base Exámenes'!$G$5:$G$1000,'Base Exámenes'!$C$5:$C$1000,'Base Exámenes'!C977),'Base Exámenes'!$I$5:$I$1000,0),'Base Exámenes'!G977*1000000+(-1)*'Base Exámenes'!D977,""))</f>
        <v/>
      </c>
      <c r="AQ977" t="str">
        <f>IF('Base Exámenes'!C977="","",IF(COUNTIF('Base Exámenes'!$C$5:$C$1000,'Base Exámenes'!C977)&lt;2,"",MATCH('Base Exámenes'!C977,'Base Exámenes'!$C$5:$C$1000,0)*10000+ROW()))</f>
        <v/>
      </c>
    </row>
    <row r="978">
      <c r="Z978" t="str">
        <f>IF('Detalle individual'!A978="","",IF(AND(OR('Estado por Colaborador'!$D$4="Todas las gerencias",'Detalle individual'!D978='Estado por Colaborador'!$D$4),OR('Estado por Colaborador'!$D$5="Todos los departamentos",TRIM('Detalle individual'!C978)='Estado por Colaborador'!$D$5),OR('Estado por Colaborador'!$D$6="Todos",'Detalle individual'!F978='Estado por Colaborador'!$D$6)),IF('Detalle individual'!F978="Completado",30000000,IF('Detalle individual'!F978="Pendiente",0,15000000))+COUNTIF('Detalle individual'!$C$5:$C$1000,"&lt;"&amp;'Detalle individual'!C978)*10000+ROW(),""))</f>
        <v/>
      </c>
      <c r="AB978" t="str">
        <f>IF('Detalle individual'!C978="","",IF(COUNTIF('Detalle individual'!$C$5:C978,'Detalle individual'!C978)=1,COUNTIF('Detalle individual'!$C$5:$C$1000,"&lt;"&amp;'Detalle individual'!C978),""))</f>
        <v/>
      </c>
      <c r="AC978" t="str">
        <f>IF('Detalle individual'!D978="","",IF(COUNTIF('Detalle individual'!$D$5:D978,'Detalle individual'!D978)=1,COUNTIF('Detalle individual'!$D$5:$D$1000,"&lt;"&amp;'Detalle individual'!D978),""))</f>
        <v/>
      </c>
      <c r="AH978" t="str">
        <f>IF('Detalle individual'!F978="Pendiente",COUNTIF('Detalle individual'!$D$5:$D$1000,"&lt;"&amp;'Detalle individual'!D978)*1000000+COUNTIF('Detalle individual'!$C$5:$C$1000,"&lt;"&amp;'Detalle individual'!C978)*1000+COUNTIF('Detalle individual'!$B$5:$B$1000,"&lt;"&amp;'Detalle individual'!B978)+ROW()/10000,"")</f>
        <v/>
      </c>
      <c r="AI978" t="str">
        <f>IF('Detalle individual'!F978="Completado",COUNTIF('Detalle individual'!$D$5:$D$1000,"&lt;"&amp;'Detalle individual'!D978)*1000000+COUNTIF('Detalle individual'!$C$5:$C$1000,"&lt;"&amp;'Detalle individual'!C978)*1000+COUNTIF('Detalle individual'!$B$5:$B$1000,"&lt;"&amp;'Detalle individual'!B978)+ROW()/10000,"")</f>
        <v/>
      </c>
      <c r="AJ978" t="str">
        <f>IF(AND('Detalle individual'!F978&lt;&gt;"",'Detalle individual'!F978&lt;&gt;"Completado",'Detalle individual'!F978&lt;&gt;"Pendiente"),COUNTIF('Detalle individual'!$D$5:$D$1000,"&lt;"&amp;'Detalle individual'!D978)*1000000+COUNTIF('Detalle individual'!$C$5:$C$1000,"&lt;"&amp;'Detalle individual'!C978)*1000+COUNTIF('Detalle individual'!$B$5:$B$1000,"&lt;"&amp;'Detalle individual'!B978)+ROW()/10000,"")</f>
        <v/>
      </c>
      <c r="AK978" t="str">
        <f>IF(OR('Base Exámenes'!C978="",'Base Exámenes'!D978=""),"",IF(COUNTIF('Base Exámenes'!$C$5:C978,'Base Exámenes'!C978)=1,'Base Exámenes'!D978+ROW()/1000000000,""))</f>
        <v/>
      </c>
      <c r="AL978" t="str">
        <f>IF(OR('Base Exámenes'!C978="",'Base Exámenes'!E978=""),"",IF(COUNTIF('Base Exámenes'!$C$5:C978,'Base Exámenes'!C978)=1,'Base Exámenes'!E978+ROW()/1000000000,""))</f>
        <v/>
      </c>
      <c r="AM978" t="str">
        <f>IF(OR('Base Exámenes'!C978="",'Base Exámenes'!G978=""),"",IF(ROW()-4=MATCH('Base Exámenes'!C978&amp;"|"&amp;_xlfn.MAXIFS('Base Exámenes'!$G$5:$G$1000,'Base Exámenes'!$C$5:$C$1000,'Base Exámenes'!C978),'Base Exámenes'!$I$5:$I$1000,0),'Base Exámenes'!G978*1000000+(-1)*'Base Exámenes'!D978,""))</f>
        <v/>
      </c>
      <c r="AQ978" t="str">
        <f>IF('Base Exámenes'!C978="","",IF(COUNTIF('Base Exámenes'!$C$5:$C$1000,'Base Exámenes'!C978)&lt;2,"",MATCH('Base Exámenes'!C978,'Base Exámenes'!$C$5:$C$1000,0)*10000+ROW()))</f>
        <v/>
      </c>
    </row>
    <row r="979">
      <c r="Z979" t="str">
        <f>IF('Detalle individual'!A979="","",IF(AND(OR('Estado por Colaborador'!$D$4="Todas las gerencias",'Detalle individual'!D979='Estado por Colaborador'!$D$4),OR('Estado por Colaborador'!$D$5="Todos los departamentos",TRIM('Detalle individual'!C979)='Estado por Colaborador'!$D$5),OR('Estado por Colaborador'!$D$6="Todos",'Detalle individual'!F979='Estado por Colaborador'!$D$6)),IF('Detalle individual'!F979="Completado",30000000,IF('Detalle individual'!F979="Pendiente",0,15000000))+COUNTIF('Detalle individual'!$C$5:$C$1000,"&lt;"&amp;'Detalle individual'!C979)*10000+ROW(),""))</f>
        <v/>
      </c>
      <c r="AB979" t="str">
        <f>IF('Detalle individual'!C979="","",IF(COUNTIF('Detalle individual'!$C$5:C979,'Detalle individual'!C979)=1,COUNTIF('Detalle individual'!$C$5:$C$1000,"&lt;"&amp;'Detalle individual'!C979),""))</f>
        <v/>
      </c>
      <c r="AC979" t="str">
        <f>IF('Detalle individual'!D979="","",IF(COUNTIF('Detalle individual'!$D$5:D979,'Detalle individual'!D979)=1,COUNTIF('Detalle individual'!$D$5:$D$1000,"&lt;"&amp;'Detalle individual'!D979),""))</f>
        <v/>
      </c>
      <c r="AH979" t="str">
        <f>IF('Detalle individual'!F979="Pendiente",COUNTIF('Detalle individual'!$D$5:$D$1000,"&lt;"&amp;'Detalle individual'!D979)*1000000+COUNTIF('Detalle individual'!$C$5:$C$1000,"&lt;"&amp;'Detalle individual'!C979)*1000+COUNTIF('Detalle individual'!$B$5:$B$1000,"&lt;"&amp;'Detalle individual'!B979)+ROW()/10000,"")</f>
        <v/>
      </c>
      <c r="AI979" t="str">
        <f>IF('Detalle individual'!F979="Completado",COUNTIF('Detalle individual'!$D$5:$D$1000,"&lt;"&amp;'Detalle individual'!D979)*1000000+COUNTIF('Detalle individual'!$C$5:$C$1000,"&lt;"&amp;'Detalle individual'!C979)*1000+COUNTIF('Detalle individual'!$B$5:$B$1000,"&lt;"&amp;'Detalle individual'!B979)+ROW()/10000,"")</f>
        <v/>
      </c>
      <c r="AJ979" t="str">
        <f>IF(AND('Detalle individual'!F979&lt;&gt;"",'Detalle individual'!F979&lt;&gt;"Completado",'Detalle individual'!F979&lt;&gt;"Pendiente"),COUNTIF('Detalle individual'!$D$5:$D$1000,"&lt;"&amp;'Detalle individual'!D979)*1000000+COUNTIF('Detalle individual'!$C$5:$C$1000,"&lt;"&amp;'Detalle individual'!C979)*1000+COUNTIF('Detalle individual'!$B$5:$B$1000,"&lt;"&amp;'Detalle individual'!B979)+ROW()/10000,"")</f>
        <v/>
      </c>
      <c r="AK979" t="str">
        <f>IF(OR('Base Exámenes'!C979="",'Base Exámenes'!D979=""),"",IF(COUNTIF('Base Exámenes'!$C$5:C979,'Base Exámenes'!C979)=1,'Base Exámenes'!D979+ROW()/1000000000,""))</f>
        <v/>
      </c>
      <c r="AL979" t="str">
        <f>IF(OR('Base Exámenes'!C979="",'Base Exámenes'!E979=""),"",IF(COUNTIF('Base Exámenes'!$C$5:C979,'Base Exámenes'!C979)=1,'Base Exámenes'!E979+ROW()/1000000000,""))</f>
        <v/>
      </c>
      <c r="AM979" t="str">
        <f>IF(OR('Base Exámenes'!C979="",'Base Exámenes'!G979=""),"",IF(ROW()-4=MATCH('Base Exámenes'!C979&amp;"|"&amp;_xlfn.MAXIFS('Base Exámenes'!$G$5:$G$1000,'Base Exámenes'!$C$5:$C$1000,'Base Exámenes'!C979),'Base Exámenes'!$I$5:$I$1000,0),'Base Exámenes'!G979*1000000+(-1)*'Base Exámenes'!D979,""))</f>
        <v/>
      </c>
      <c r="AQ979" t="str">
        <f>IF('Base Exámenes'!C979="","",IF(COUNTIF('Base Exámenes'!$C$5:$C$1000,'Base Exámenes'!C979)&lt;2,"",MATCH('Base Exámenes'!C979,'Base Exámenes'!$C$5:$C$1000,0)*10000+ROW()))</f>
        <v/>
      </c>
    </row>
    <row r="980">
      <c r="Z980" t="str">
        <f>IF('Detalle individual'!A980="","",IF(AND(OR('Estado por Colaborador'!$D$4="Todas las gerencias",'Detalle individual'!D980='Estado por Colaborador'!$D$4),OR('Estado por Colaborador'!$D$5="Todos los departamentos",TRIM('Detalle individual'!C980)='Estado por Colaborador'!$D$5),OR('Estado por Colaborador'!$D$6="Todos",'Detalle individual'!F980='Estado por Colaborador'!$D$6)),IF('Detalle individual'!F980="Completado",30000000,IF('Detalle individual'!F980="Pendiente",0,15000000))+COUNTIF('Detalle individual'!$C$5:$C$1000,"&lt;"&amp;'Detalle individual'!C980)*10000+ROW(),""))</f>
        <v/>
      </c>
      <c r="AB980" t="str">
        <f>IF('Detalle individual'!C980="","",IF(COUNTIF('Detalle individual'!$C$5:C980,'Detalle individual'!C980)=1,COUNTIF('Detalle individual'!$C$5:$C$1000,"&lt;"&amp;'Detalle individual'!C980),""))</f>
        <v/>
      </c>
      <c r="AC980" t="str">
        <f>IF('Detalle individual'!D980="","",IF(COUNTIF('Detalle individual'!$D$5:D980,'Detalle individual'!D980)=1,COUNTIF('Detalle individual'!$D$5:$D$1000,"&lt;"&amp;'Detalle individual'!D980),""))</f>
        <v/>
      </c>
      <c r="AH980" t="str">
        <f>IF('Detalle individual'!F980="Pendiente",COUNTIF('Detalle individual'!$D$5:$D$1000,"&lt;"&amp;'Detalle individual'!D980)*1000000+COUNTIF('Detalle individual'!$C$5:$C$1000,"&lt;"&amp;'Detalle individual'!C980)*1000+COUNTIF('Detalle individual'!$B$5:$B$1000,"&lt;"&amp;'Detalle individual'!B980)+ROW()/10000,"")</f>
        <v/>
      </c>
      <c r="AI980" t="str">
        <f>IF('Detalle individual'!F980="Completado",COUNTIF('Detalle individual'!$D$5:$D$1000,"&lt;"&amp;'Detalle individual'!D980)*1000000+COUNTIF('Detalle individual'!$C$5:$C$1000,"&lt;"&amp;'Detalle individual'!C980)*1000+COUNTIF('Detalle individual'!$B$5:$B$1000,"&lt;"&amp;'Detalle individual'!B980)+ROW()/10000,"")</f>
        <v/>
      </c>
      <c r="AJ980" t="str">
        <f>IF(AND('Detalle individual'!F980&lt;&gt;"",'Detalle individual'!F980&lt;&gt;"Completado",'Detalle individual'!F980&lt;&gt;"Pendiente"),COUNTIF('Detalle individual'!$D$5:$D$1000,"&lt;"&amp;'Detalle individual'!D980)*1000000+COUNTIF('Detalle individual'!$C$5:$C$1000,"&lt;"&amp;'Detalle individual'!C980)*1000+COUNTIF('Detalle individual'!$B$5:$B$1000,"&lt;"&amp;'Detalle individual'!B980)+ROW()/10000,"")</f>
        <v/>
      </c>
      <c r="AK980" t="str">
        <f>IF(OR('Base Exámenes'!C980="",'Base Exámenes'!D980=""),"",IF(COUNTIF('Base Exámenes'!$C$5:C980,'Base Exámenes'!C980)=1,'Base Exámenes'!D980+ROW()/1000000000,""))</f>
        <v/>
      </c>
      <c r="AL980" t="str">
        <f>IF(OR('Base Exámenes'!C980="",'Base Exámenes'!E980=""),"",IF(COUNTIF('Base Exámenes'!$C$5:C980,'Base Exámenes'!C980)=1,'Base Exámenes'!E980+ROW()/1000000000,""))</f>
        <v/>
      </c>
      <c r="AM980" t="str">
        <f>IF(OR('Base Exámenes'!C980="",'Base Exámenes'!G980=""),"",IF(ROW()-4=MATCH('Base Exámenes'!C980&amp;"|"&amp;_xlfn.MAXIFS('Base Exámenes'!$G$5:$G$1000,'Base Exámenes'!$C$5:$C$1000,'Base Exámenes'!C980),'Base Exámenes'!$I$5:$I$1000,0),'Base Exámenes'!G980*1000000+(-1)*'Base Exámenes'!D980,""))</f>
        <v/>
      </c>
      <c r="AQ980" t="str">
        <f>IF('Base Exámenes'!C980="","",IF(COUNTIF('Base Exámenes'!$C$5:$C$1000,'Base Exámenes'!C980)&lt;2,"",MATCH('Base Exámenes'!C980,'Base Exámenes'!$C$5:$C$1000,0)*10000+ROW()))</f>
        <v/>
      </c>
    </row>
    <row r="981">
      <c r="Z981" t="str">
        <f>IF('Detalle individual'!A981="","",IF(AND(OR('Estado por Colaborador'!$D$4="Todas las gerencias",'Detalle individual'!D981='Estado por Colaborador'!$D$4),OR('Estado por Colaborador'!$D$5="Todos los departamentos",TRIM('Detalle individual'!C981)='Estado por Colaborador'!$D$5),OR('Estado por Colaborador'!$D$6="Todos",'Detalle individual'!F981='Estado por Colaborador'!$D$6)),IF('Detalle individual'!F981="Completado",30000000,IF('Detalle individual'!F981="Pendiente",0,15000000))+COUNTIF('Detalle individual'!$C$5:$C$1000,"&lt;"&amp;'Detalle individual'!C981)*10000+ROW(),""))</f>
        <v/>
      </c>
      <c r="AB981" t="str">
        <f>IF('Detalle individual'!C981="","",IF(COUNTIF('Detalle individual'!$C$5:C981,'Detalle individual'!C981)=1,COUNTIF('Detalle individual'!$C$5:$C$1000,"&lt;"&amp;'Detalle individual'!C981),""))</f>
        <v/>
      </c>
      <c r="AC981" t="str">
        <f>IF('Detalle individual'!D981="","",IF(COUNTIF('Detalle individual'!$D$5:D981,'Detalle individual'!D981)=1,COUNTIF('Detalle individual'!$D$5:$D$1000,"&lt;"&amp;'Detalle individual'!D981),""))</f>
        <v/>
      </c>
      <c r="AH981" t="str">
        <f>IF('Detalle individual'!F981="Pendiente",COUNTIF('Detalle individual'!$D$5:$D$1000,"&lt;"&amp;'Detalle individual'!D981)*1000000+COUNTIF('Detalle individual'!$C$5:$C$1000,"&lt;"&amp;'Detalle individual'!C981)*1000+COUNTIF('Detalle individual'!$B$5:$B$1000,"&lt;"&amp;'Detalle individual'!B981)+ROW()/10000,"")</f>
        <v/>
      </c>
      <c r="AI981" t="str">
        <f>IF('Detalle individual'!F981="Completado",COUNTIF('Detalle individual'!$D$5:$D$1000,"&lt;"&amp;'Detalle individual'!D981)*1000000+COUNTIF('Detalle individual'!$C$5:$C$1000,"&lt;"&amp;'Detalle individual'!C981)*1000+COUNTIF('Detalle individual'!$B$5:$B$1000,"&lt;"&amp;'Detalle individual'!B981)+ROW()/10000,"")</f>
        <v/>
      </c>
      <c r="AJ981" t="str">
        <f>IF(AND('Detalle individual'!F981&lt;&gt;"",'Detalle individual'!F981&lt;&gt;"Completado",'Detalle individual'!F981&lt;&gt;"Pendiente"),COUNTIF('Detalle individual'!$D$5:$D$1000,"&lt;"&amp;'Detalle individual'!D981)*1000000+COUNTIF('Detalle individual'!$C$5:$C$1000,"&lt;"&amp;'Detalle individual'!C981)*1000+COUNTIF('Detalle individual'!$B$5:$B$1000,"&lt;"&amp;'Detalle individual'!B981)+ROW()/10000,"")</f>
        <v/>
      </c>
      <c r="AK981" t="str">
        <f>IF(OR('Base Exámenes'!C981="",'Base Exámenes'!D981=""),"",IF(COUNTIF('Base Exámenes'!$C$5:C981,'Base Exámenes'!C981)=1,'Base Exámenes'!D981+ROW()/1000000000,""))</f>
        <v/>
      </c>
      <c r="AL981" t="str">
        <f>IF(OR('Base Exámenes'!C981="",'Base Exámenes'!E981=""),"",IF(COUNTIF('Base Exámenes'!$C$5:C981,'Base Exámenes'!C981)=1,'Base Exámenes'!E981+ROW()/1000000000,""))</f>
        <v/>
      </c>
      <c r="AM981" t="str">
        <f>IF(OR('Base Exámenes'!C981="",'Base Exámenes'!G981=""),"",IF(ROW()-4=MATCH('Base Exámenes'!C981&amp;"|"&amp;_xlfn.MAXIFS('Base Exámenes'!$G$5:$G$1000,'Base Exámenes'!$C$5:$C$1000,'Base Exámenes'!C981),'Base Exámenes'!$I$5:$I$1000,0),'Base Exámenes'!G981*1000000+(-1)*'Base Exámenes'!D981,""))</f>
        <v/>
      </c>
      <c r="AQ981" t="str">
        <f>IF('Base Exámenes'!C981="","",IF(COUNTIF('Base Exámenes'!$C$5:$C$1000,'Base Exámenes'!C981)&lt;2,"",MATCH('Base Exámenes'!C981,'Base Exámenes'!$C$5:$C$1000,0)*10000+ROW()))</f>
        <v/>
      </c>
    </row>
    <row r="982">
      <c r="Z982" t="str">
        <f>IF('Detalle individual'!A982="","",IF(AND(OR('Estado por Colaborador'!$D$4="Todas las gerencias",'Detalle individual'!D982='Estado por Colaborador'!$D$4),OR('Estado por Colaborador'!$D$5="Todos los departamentos",TRIM('Detalle individual'!C982)='Estado por Colaborador'!$D$5),OR('Estado por Colaborador'!$D$6="Todos",'Detalle individual'!F982='Estado por Colaborador'!$D$6)),IF('Detalle individual'!F982="Completado",30000000,IF('Detalle individual'!F982="Pendiente",0,15000000))+COUNTIF('Detalle individual'!$C$5:$C$1000,"&lt;"&amp;'Detalle individual'!C982)*10000+ROW(),""))</f>
        <v/>
      </c>
      <c r="AB982" t="str">
        <f>IF('Detalle individual'!C982="","",IF(COUNTIF('Detalle individual'!$C$5:C982,'Detalle individual'!C982)=1,COUNTIF('Detalle individual'!$C$5:$C$1000,"&lt;"&amp;'Detalle individual'!C982),""))</f>
        <v/>
      </c>
      <c r="AC982" t="str">
        <f>IF('Detalle individual'!D982="","",IF(COUNTIF('Detalle individual'!$D$5:D982,'Detalle individual'!D982)=1,COUNTIF('Detalle individual'!$D$5:$D$1000,"&lt;"&amp;'Detalle individual'!D982),""))</f>
        <v/>
      </c>
      <c r="AH982" t="str">
        <f>IF('Detalle individual'!F982="Pendiente",COUNTIF('Detalle individual'!$D$5:$D$1000,"&lt;"&amp;'Detalle individual'!D982)*1000000+COUNTIF('Detalle individual'!$C$5:$C$1000,"&lt;"&amp;'Detalle individual'!C982)*1000+COUNTIF('Detalle individual'!$B$5:$B$1000,"&lt;"&amp;'Detalle individual'!B982)+ROW()/10000,"")</f>
        <v/>
      </c>
      <c r="AI982" t="str">
        <f>IF('Detalle individual'!F982="Completado",COUNTIF('Detalle individual'!$D$5:$D$1000,"&lt;"&amp;'Detalle individual'!D982)*1000000+COUNTIF('Detalle individual'!$C$5:$C$1000,"&lt;"&amp;'Detalle individual'!C982)*1000+COUNTIF('Detalle individual'!$B$5:$B$1000,"&lt;"&amp;'Detalle individual'!B982)+ROW()/10000,"")</f>
        <v/>
      </c>
      <c r="AJ982" t="str">
        <f>IF(AND('Detalle individual'!F982&lt;&gt;"",'Detalle individual'!F982&lt;&gt;"Completado",'Detalle individual'!F982&lt;&gt;"Pendiente"),COUNTIF('Detalle individual'!$D$5:$D$1000,"&lt;"&amp;'Detalle individual'!D982)*1000000+COUNTIF('Detalle individual'!$C$5:$C$1000,"&lt;"&amp;'Detalle individual'!C982)*1000+COUNTIF('Detalle individual'!$B$5:$B$1000,"&lt;"&amp;'Detalle individual'!B982)+ROW()/10000,"")</f>
        <v/>
      </c>
      <c r="AK982" t="str">
        <f>IF(OR('Base Exámenes'!C982="",'Base Exámenes'!D982=""),"",IF(COUNTIF('Base Exámenes'!$C$5:C982,'Base Exámenes'!C982)=1,'Base Exámenes'!D982+ROW()/1000000000,""))</f>
        <v/>
      </c>
      <c r="AL982" t="str">
        <f>IF(OR('Base Exámenes'!C982="",'Base Exámenes'!E982=""),"",IF(COUNTIF('Base Exámenes'!$C$5:C982,'Base Exámenes'!C982)=1,'Base Exámenes'!E982+ROW()/1000000000,""))</f>
        <v/>
      </c>
      <c r="AM982" t="str">
        <f>IF(OR('Base Exámenes'!C982="",'Base Exámenes'!G982=""),"",IF(ROW()-4=MATCH('Base Exámenes'!C982&amp;"|"&amp;_xlfn.MAXIFS('Base Exámenes'!$G$5:$G$1000,'Base Exámenes'!$C$5:$C$1000,'Base Exámenes'!C982),'Base Exámenes'!$I$5:$I$1000,0),'Base Exámenes'!G982*1000000+(-1)*'Base Exámenes'!D982,""))</f>
        <v/>
      </c>
      <c r="AQ982" t="str">
        <f>IF('Base Exámenes'!C982="","",IF(COUNTIF('Base Exámenes'!$C$5:$C$1000,'Base Exámenes'!C982)&lt;2,"",MATCH('Base Exámenes'!C982,'Base Exámenes'!$C$5:$C$1000,0)*10000+ROW()))</f>
        <v/>
      </c>
    </row>
    <row r="983">
      <c r="Z983" t="str">
        <f>IF('Detalle individual'!A983="","",IF(AND(OR('Estado por Colaborador'!$D$4="Todas las gerencias",'Detalle individual'!D983='Estado por Colaborador'!$D$4),OR('Estado por Colaborador'!$D$5="Todos los departamentos",TRIM('Detalle individual'!C983)='Estado por Colaborador'!$D$5),OR('Estado por Colaborador'!$D$6="Todos",'Detalle individual'!F983='Estado por Colaborador'!$D$6)),IF('Detalle individual'!F983="Completado",30000000,IF('Detalle individual'!F983="Pendiente",0,15000000))+COUNTIF('Detalle individual'!$C$5:$C$1000,"&lt;"&amp;'Detalle individual'!C983)*10000+ROW(),""))</f>
        <v/>
      </c>
      <c r="AB983" t="str">
        <f>IF('Detalle individual'!C983="","",IF(COUNTIF('Detalle individual'!$C$5:C983,'Detalle individual'!C983)=1,COUNTIF('Detalle individual'!$C$5:$C$1000,"&lt;"&amp;'Detalle individual'!C983),""))</f>
        <v/>
      </c>
      <c r="AC983" t="str">
        <f>IF('Detalle individual'!D983="","",IF(COUNTIF('Detalle individual'!$D$5:D983,'Detalle individual'!D983)=1,COUNTIF('Detalle individual'!$D$5:$D$1000,"&lt;"&amp;'Detalle individual'!D983),""))</f>
        <v/>
      </c>
      <c r="AH983" t="str">
        <f>IF('Detalle individual'!F983="Pendiente",COUNTIF('Detalle individual'!$D$5:$D$1000,"&lt;"&amp;'Detalle individual'!D983)*1000000+COUNTIF('Detalle individual'!$C$5:$C$1000,"&lt;"&amp;'Detalle individual'!C983)*1000+COUNTIF('Detalle individual'!$B$5:$B$1000,"&lt;"&amp;'Detalle individual'!B983)+ROW()/10000,"")</f>
        <v/>
      </c>
      <c r="AI983" t="str">
        <f>IF('Detalle individual'!F983="Completado",COUNTIF('Detalle individual'!$D$5:$D$1000,"&lt;"&amp;'Detalle individual'!D983)*1000000+COUNTIF('Detalle individual'!$C$5:$C$1000,"&lt;"&amp;'Detalle individual'!C983)*1000+COUNTIF('Detalle individual'!$B$5:$B$1000,"&lt;"&amp;'Detalle individual'!B983)+ROW()/10000,"")</f>
        <v/>
      </c>
      <c r="AJ983" t="str">
        <f>IF(AND('Detalle individual'!F983&lt;&gt;"",'Detalle individual'!F983&lt;&gt;"Completado",'Detalle individual'!F983&lt;&gt;"Pendiente"),COUNTIF('Detalle individual'!$D$5:$D$1000,"&lt;"&amp;'Detalle individual'!D983)*1000000+COUNTIF('Detalle individual'!$C$5:$C$1000,"&lt;"&amp;'Detalle individual'!C983)*1000+COUNTIF('Detalle individual'!$B$5:$B$1000,"&lt;"&amp;'Detalle individual'!B983)+ROW()/10000,"")</f>
        <v/>
      </c>
      <c r="AK983" t="str">
        <f>IF(OR('Base Exámenes'!C983="",'Base Exámenes'!D983=""),"",IF(COUNTIF('Base Exámenes'!$C$5:C983,'Base Exámenes'!C983)=1,'Base Exámenes'!D983+ROW()/1000000000,""))</f>
        <v/>
      </c>
      <c r="AL983" t="str">
        <f>IF(OR('Base Exámenes'!C983="",'Base Exámenes'!E983=""),"",IF(COUNTIF('Base Exámenes'!$C$5:C983,'Base Exámenes'!C983)=1,'Base Exámenes'!E983+ROW()/1000000000,""))</f>
        <v/>
      </c>
      <c r="AM983" t="str">
        <f>IF(OR('Base Exámenes'!C983="",'Base Exámenes'!G983=""),"",IF(ROW()-4=MATCH('Base Exámenes'!C983&amp;"|"&amp;_xlfn.MAXIFS('Base Exámenes'!$G$5:$G$1000,'Base Exámenes'!$C$5:$C$1000,'Base Exámenes'!C983),'Base Exámenes'!$I$5:$I$1000,0),'Base Exámenes'!G983*1000000+(-1)*'Base Exámenes'!D983,""))</f>
        <v/>
      </c>
      <c r="AQ983" t="str">
        <f>IF('Base Exámenes'!C983="","",IF(COUNTIF('Base Exámenes'!$C$5:$C$1000,'Base Exámenes'!C983)&lt;2,"",MATCH('Base Exámenes'!C983,'Base Exámenes'!$C$5:$C$1000,0)*10000+ROW()))</f>
        <v/>
      </c>
    </row>
    <row r="984">
      <c r="Z984" t="str">
        <f>IF('Detalle individual'!A984="","",IF(AND(OR('Estado por Colaborador'!$D$4="Todas las gerencias",'Detalle individual'!D984='Estado por Colaborador'!$D$4),OR('Estado por Colaborador'!$D$5="Todos los departamentos",TRIM('Detalle individual'!C984)='Estado por Colaborador'!$D$5),OR('Estado por Colaborador'!$D$6="Todos",'Detalle individual'!F984='Estado por Colaborador'!$D$6)),IF('Detalle individual'!F984="Completado",30000000,IF('Detalle individual'!F984="Pendiente",0,15000000))+COUNTIF('Detalle individual'!$C$5:$C$1000,"&lt;"&amp;'Detalle individual'!C984)*10000+ROW(),""))</f>
        <v/>
      </c>
      <c r="AB984" t="str">
        <f>IF('Detalle individual'!C984="","",IF(COUNTIF('Detalle individual'!$C$5:C984,'Detalle individual'!C984)=1,COUNTIF('Detalle individual'!$C$5:$C$1000,"&lt;"&amp;'Detalle individual'!C984),""))</f>
        <v/>
      </c>
      <c r="AC984" t="str">
        <f>IF('Detalle individual'!D984="","",IF(COUNTIF('Detalle individual'!$D$5:D984,'Detalle individual'!D984)=1,COUNTIF('Detalle individual'!$D$5:$D$1000,"&lt;"&amp;'Detalle individual'!D984),""))</f>
        <v/>
      </c>
      <c r="AH984" t="str">
        <f>IF('Detalle individual'!F984="Pendiente",COUNTIF('Detalle individual'!$D$5:$D$1000,"&lt;"&amp;'Detalle individual'!D984)*1000000+COUNTIF('Detalle individual'!$C$5:$C$1000,"&lt;"&amp;'Detalle individual'!C984)*1000+COUNTIF('Detalle individual'!$B$5:$B$1000,"&lt;"&amp;'Detalle individual'!B984)+ROW()/10000,"")</f>
        <v/>
      </c>
      <c r="AI984" t="str">
        <f>IF('Detalle individual'!F984="Completado",COUNTIF('Detalle individual'!$D$5:$D$1000,"&lt;"&amp;'Detalle individual'!D984)*1000000+COUNTIF('Detalle individual'!$C$5:$C$1000,"&lt;"&amp;'Detalle individual'!C984)*1000+COUNTIF('Detalle individual'!$B$5:$B$1000,"&lt;"&amp;'Detalle individual'!B984)+ROW()/10000,"")</f>
        <v/>
      </c>
      <c r="AJ984" t="str">
        <f>IF(AND('Detalle individual'!F984&lt;&gt;"",'Detalle individual'!F984&lt;&gt;"Completado",'Detalle individual'!F984&lt;&gt;"Pendiente"),COUNTIF('Detalle individual'!$D$5:$D$1000,"&lt;"&amp;'Detalle individual'!D984)*1000000+COUNTIF('Detalle individual'!$C$5:$C$1000,"&lt;"&amp;'Detalle individual'!C984)*1000+COUNTIF('Detalle individual'!$B$5:$B$1000,"&lt;"&amp;'Detalle individual'!B984)+ROW()/10000,"")</f>
        <v/>
      </c>
      <c r="AK984" t="str">
        <f>IF(OR('Base Exámenes'!C984="",'Base Exámenes'!D984=""),"",IF(COUNTIF('Base Exámenes'!$C$5:C984,'Base Exámenes'!C984)=1,'Base Exámenes'!D984+ROW()/1000000000,""))</f>
        <v/>
      </c>
      <c r="AL984" t="str">
        <f>IF(OR('Base Exámenes'!C984="",'Base Exámenes'!E984=""),"",IF(COUNTIF('Base Exámenes'!$C$5:C984,'Base Exámenes'!C984)=1,'Base Exámenes'!E984+ROW()/1000000000,""))</f>
        <v/>
      </c>
      <c r="AM984" t="str">
        <f>IF(OR('Base Exámenes'!C984="",'Base Exámenes'!G984=""),"",IF(ROW()-4=MATCH('Base Exámenes'!C984&amp;"|"&amp;_xlfn.MAXIFS('Base Exámenes'!$G$5:$G$1000,'Base Exámenes'!$C$5:$C$1000,'Base Exámenes'!C984),'Base Exámenes'!$I$5:$I$1000,0),'Base Exámenes'!G984*1000000+(-1)*'Base Exámenes'!D984,""))</f>
        <v/>
      </c>
      <c r="AQ984" t="str">
        <f>IF('Base Exámenes'!C984="","",IF(COUNTIF('Base Exámenes'!$C$5:$C$1000,'Base Exámenes'!C984)&lt;2,"",MATCH('Base Exámenes'!C984,'Base Exámenes'!$C$5:$C$1000,0)*10000+ROW()))</f>
        <v/>
      </c>
    </row>
    <row r="985">
      <c r="Z985" t="str">
        <f>IF('Detalle individual'!A985="","",IF(AND(OR('Estado por Colaborador'!$D$4="Todas las gerencias",'Detalle individual'!D985='Estado por Colaborador'!$D$4),OR('Estado por Colaborador'!$D$5="Todos los departamentos",TRIM('Detalle individual'!C985)='Estado por Colaborador'!$D$5),OR('Estado por Colaborador'!$D$6="Todos",'Detalle individual'!F985='Estado por Colaborador'!$D$6)),IF('Detalle individual'!F985="Completado",30000000,IF('Detalle individual'!F985="Pendiente",0,15000000))+COUNTIF('Detalle individual'!$C$5:$C$1000,"&lt;"&amp;'Detalle individual'!C985)*10000+ROW(),""))</f>
        <v/>
      </c>
      <c r="AB985" t="str">
        <f>IF('Detalle individual'!C985="","",IF(COUNTIF('Detalle individual'!$C$5:C985,'Detalle individual'!C985)=1,COUNTIF('Detalle individual'!$C$5:$C$1000,"&lt;"&amp;'Detalle individual'!C985),""))</f>
        <v/>
      </c>
      <c r="AC985" t="str">
        <f>IF('Detalle individual'!D985="","",IF(COUNTIF('Detalle individual'!$D$5:D985,'Detalle individual'!D985)=1,COUNTIF('Detalle individual'!$D$5:$D$1000,"&lt;"&amp;'Detalle individual'!D985),""))</f>
        <v/>
      </c>
      <c r="AH985" t="str">
        <f>IF('Detalle individual'!F985="Pendiente",COUNTIF('Detalle individual'!$D$5:$D$1000,"&lt;"&amp;'Detalle individual'!D985)*1000000+COUNTIF('Detalle individual'!$C$5:$C$1000,"&lt;"&amp;'Detalle individual'!C985)*1000+COUNTIF('Detalle individual'!$B$5:$B$1000,"&lt;"&amp;'Detalle individual'!B985)+ROW()/10000,"")</f>
        <v/>
      </c>
      <c r="AI985" t="str">
        <f>IF('Detalle individual'!F985="Completado",COUNTIF('Detalle individual'!$D$5:$D$1000,"&lt;"&amp;'Detalle individual'!D985)*1000000+COUNTIF('Detalle individual'!$C$5:$C$1000,"&lt;"&amp;'Detalle individual'!C985)*1000+COUNTIF('Detalle individual'!$B$5:$B$1000,"&lt;"&amp;'Detalle individual'!B985)+ROW()/10000,"")</f>
        <v/>
      </c>
      <c r="AJ985" t="str">
        <f>IF(AND('Detalle individual'!F985&lt;&gt;"",'Detalle individual'!F985&lt;&gt;"Completado",'Detalle individual'!F985&lt;&gt;"Pendiente"),COUNTIF('Detalle individual'!$D$5:$D$1000,"&lt;"&amp;'Detalle individual'!D985)*1000000+COUNTIF('Detalle individual'!$C$5:$C$1000,"&lt;"&amp;'Detalle individual'!C985)*1000+COUNTIF('Detalle individual'!$B$5:$B$1000,"&lt;"&amp;'Detalle individual'!B985)+ROW()/10000,"")</f>
        <v/>
      </c>
      <c r="AK985" t="str">
        <f>IF(OR('Base Exámenes'!C985="",'Base Exámenes'!D985=""),"",IF(COUNTIF('Base Exámenes'!$C$5:C985,'Base Exámenes'!C985)=1,'Base Exámenes'!D985+ROW()/1000000000,""))</f>
        <v/>
      </c>
      <c r="AL985" t="str">
        <f>IF(OR('Base Exámenes'!C985="",'Base Exámenes'!E985=""),"",IF(COUNTIF('Base Exámenes'!$C$5:C985,'Base Exámenes'!C985)=1,'Base Exámenes'!E985+ROW()/1000000000,""))</f>
        <v/>
      </c>
      <c r="AM985" t="str">
        <f>IF(OR('Base Exámenes'!C985="",'Base Exámenes'!G985=""),"",IF(ROW()-4=MATCH('Base Exámenes'!C985&amp;"|"&amp;_xlfn.MAXIFS('Base Exámenes'!$G$5:$G$1000,'Base Exámenes'!$C$5:$C$1000,'Base Exámenes'!C985),'Base Exámenes'!$I$5:$I$1000,0),'Base Exámenes'!G985*1000000+(-1)*'Base Exámenes'!D985,""))</f>
        <v/>
      </c>
      <c r="AQ985" t="str">
        <f>IF('Base Exámenes'!C985="","",IF(COUNTIF('Base Exámenes'!$C$5:$C$1000,'Base Exámenes'!C985)&lt;2,"",MATCH('Base Exámenes'!C985,'Base Exámenes'!$C$5:$C$1000,0)*10000+ROW()))</f>
        <v/>
      </c>
    </row>
    <row r="986">
      <c r="Z986" t="str">
        <f>IF('Detalle individual'!A986="","",IF(AND(OR('Estado por Colaborador'!$D$4="Todas las gerencias",'Detalle individual'!D986='Estado por Colaborador'!$D$4),OR('Estado por Colaborador'!$D$5="Todos los departamentos",TRIM('Detalle individual'!C986)='Estado por Colaborador'!$D$5),OR('Estado por Colaborador'!$D$6="Todos",'Detalle individual'!F986='Estado por Colaborador'!$D$6)),IF('Detalle individual'!F986="Completado",30000000,IF('Detalle individual'!F986="Pendiente",0,15000000))+COUNTIF('Detalle individual'!$C$5:$C$1000,"&lt;"&amp;'Detalle individual'!C986)*10000+ROW(),""))</f>
        <v/>
      </c>
      <c r="AB986" t="str">
        <f>IF('Detalle individual'!C986="","",IF(COUNTIF('Detalle individual'!$C$5:C986,'Detalle individual'!C986)=1,COUNTIF('Detalle individual'!$C$5:$C$1000,"&lt;"&amp;'Detalle individual'!C986),""))</f>
        <v/>
      </c>
      <c r="AC986" t="str">
        <f>IF('Detalle individual'!D986="","",IF(COUNTIF('Detalle individual'!$D$5:D986,'Detalle individual'!D986)=1,COUNTIF('Detalle individual'!$D$5:$D$1000,"&lt;"&amp;'Detalle individual'!D986),""))</f>
        <v/>
      </c>
      <c r="AH986" t="str">
        <f>IF('Detalle individual'!F986="Pendiente",COUNTIF('Detalle individual'!$D$5:$D$1000,"&lt;"&amp;'Detalle individual'!D986)*1000000+COUNTIF('Detalle individual'!$C$5:$C$1000,"&lt;"&amp;'Detalle individual'!C986)*1000+COUNTIF('Detalle individual'!$B$5:$B$1000,"&lt;"&amp;'Detalle individual'!B986)+ROW()/10000,"")</f>
        <v/>
      </c>
      <c r="AI986" t="str">
        <f>IF('Detalle individual'!F986="Completado",COUNTIF('Detalle individual'!$D$5:$D$1000,"&lt;"&amp;'Detalle individual'!D986)*1000000+COUNTIF('Detalle individual'!$C$5:$C$1000,"&lt;"&amp;'Detalle individual'!C986)*1000+COUNTIF('Detalle individual'!$B$5:$B$1000,"&lt;"&amp;'Detalle individual'!B986)+ROW()/10000,"")</f>
        <v/>
      </c>
      <c r="AJ986" t="str">
        <f>IF(AND('Detalle individual'!F986&lt;&gt;"",'Detalle individual'!F986&lt;&gt;"Completado",'Detalle individual'!F986&lt;&gt;"Pendiente"),COUNTIF('Detalle individual'!$D$5:$D$1000,"&lt;"&amp;'Detalle individual'!D986)*1000000+COUNTIF('Detalle individual'!$C$5:$C$1000,"&lt;"&amp;'Detalle individual'!C986)*1000+COUNTIF('Detalle individual'!$B$5:$B$1000,"&lt;"&amp;'Detalle individual'!B986)+ROW()/10000,"")</f>
        <v/>
      </c>
      <c r="AK986" t="str">
        <f>IF(OR('Base Exámenes'!C986="",'Base Exámenes'!D986=""),"",IF(COUNTIF('Base Exámenes'!$C$5:C986,'Base Exámenes'!C986)=1,'Base Exámenes'!D986+ROW()/1000000000,""))</f>
        <v/>
      </c>
      <c r="AL986" t="str">
        <f>IF(OR('Base Exámenes'!C986="",'Base Exámenes'!E986=""),"",IF(COUNTIF('Base Exámenes'!$C$5:C986,'Base Exámenes'!C986)=1,'Base Exámenes'!E986+ROW()/1000000000,""))</f>
        <v/>
      </c>
      <c r="AM986" t="str">
        <f>IF(OR('Base Exámenes'!C986="",'Base Exámenes'!G986=""),"",IF(ROW()-4=MATCH('Base Exámenes'!C986&amp;"|"&amp;_xlfn.MAXIFS('Base Exámenes'!$G$5:$G$1000,'Base Exámenes'!$C$5:$C$1000,'Base Exámenes'!C986),'Base Exámenes'!$I$5:$I$1000,0),'Base Exámenes'!G986*1000000+(-1)*'Base Exámenes'!D986,""))</f>
        <v/>
      </c>
      <c r="AQ986" t="str">
        <f>IF('Base Exámenes'!C986="","",IF(COUNTIF('Base Exámenes'!$C$5:$C$1000,'Base Exámenes'!C986)&lt;2,"",MATCH('Base Exámenes'!C986,'Base Exámenes'!$C$5:$C$1000,0)*10000+ROW()))</f>
        <v/>
      </c>
    </row>
    <row r="987">
      <c r="Z987" t="str">
        <f>IF('Detalle individual'!A987="","",IF(AND(OR('Estado por Colaborador'!$D$4="Todas las gerencias",'Detalle individual'!D987='Estado por Colaborador'!$D$4),OR('Estado por Colaborador'!$D$5="Todos los departamentos",TRIM('Detalle individual'!C987)='Estado por Colaborador'!$D$5),OR('Estado por Colaborador'!$D$6="Todos",'Detalle individual'!F987='Estado por Colaborador'!$D$6)),IF('Detalle individual'!F987="Completado",30000000,IF('Detalle individual'!F987="Pendiente",0,15000000))+COUNTIF('Detalle individual'!$C$5:$C$1000,"&lt;"&amp;'Detalle individual'!C987)*10000+ROW(),""))</f>
        <v/>
      </c>
      <c r="AB987" t="str">
        <f>IF('Detalle individual'!C987="","",IF(COUNTIF('Detalle individual'!$C$5:C987,'Detalle individual'!C987)=1,COUNTIF('Detalle individual'!$C$5:$C$1000,"&lt;"&amp;'Detalle individual'!C987),""))</f>
        <v/>
      </c>
      <c r="AC987" t="str">
        <f>IF('Detalle individual'!D987="","",IF(COUNTIF('Detalle individual'!$D$5:D987,'Detalle individual'!D987)=1,COUNTIF('Detalle individual'!$D$5:$D$1000,"&lt;"&amp;'Detalle individual'!D987),""))</f>
        <v/>
      </c>
      <c r="AH987" t="str">
        <f>IF('Detalle individual'!F987="Pendiente",COUNTIF('Detalle individual'!$D$5:$D$1000,"&lt;"&amp;'Detalle individual'!D987)*1000000+COUNTIF('Detalle individual'!$C$5:$C$1000,"&lt;"&amp;'Detalle individual'!C987)*1000+COUNTIF('Detalle individual'!$B$5:$B$1000,"&lt;"&amp;'Detalle individual'!B987)+ROW()/10000,"")</f>
        <v/>
      </c>
      <c r="AI987" t="str">
        <f>IF('Detalle individual'!F987="Completado",COUNTIF('Detalle individual'!$D$5:$D$1000,"&lt;"&amp;'Detalle individual'!D987)*1000000+COUNTIF('Detalle individual'!$C$5:$C$1000,"&lt;"&amp;'Detalle individual'!C987)*1000+COUNTIF('Detalle individual'!$B$5:$B$1000,"&lt;"&amp;'Detalle individual'!B987)+ROW()/10000,"")</f>
        <v/>
      </c>
      <c r="AJ987" t="str">
        <f>IF(AND('Detalle individual'!F987&lt;&gt;"",'Detalle individual'!F987&lt;&gt;"Completado",'Detalle individual'!F987&lt;&gt;"Pendiente"),COUNTIF('Detalle individual'!$D$5:$D$1000,"&lt;"&amp;'Detalle individual'!D987)*1000000+COUNTIF('Detalle individual'!$C$5:$C$1000,"&lt;"&amp;'Detalle individual'!C987)*1000+COUNTIF('Detalle individual'!$B$5:$B$1000,"&lt;"&amp;'Detalle individual'!B987)+ROW()/10000,"")</f>
        <v/>
      </c>
      <c r="AK987" t="str">
        <f>IF(OR('Base Exámenes'!C987="",'Base Exámenes'!D987=""),"",IF(COUNTIF('Base Exámenes'!$C$5:C987,'Base Exámenes'!C987)=1,'Base Exámenes'!D987+ROW()/1000000000,""))</f>
        <v/>
      </c>
      <c r="AL987" t="str">
        <f>IF(OR('Base Exámenes'!C987="",'Base Exámenes'!E987=""),"",IF(COUNTIF('Base Exámenes'!$C$5:C987,'Base Exámenes'!C987)=1,'Base Exámenes'!E987+ROW()/1000000000,""))</f>
        <v/>
      </c>
      <c r="AM987" t="str">
        <f>IF(OR('Base Exámenes'!C987="",'Base Exámenes'!G987=""),"",IF(ROW()-4=MATCH('Base Exámenes'!C987&amp;"|"&amp;_xlfn.MAXIFS('Base Exámenes'!$G$5:$G$1000,'Base Exámenes'!$C$5:$C$1000,'Base Exámenes'!C987),'Base Exámenes'!$I$5:$I$1000,0),'Base Exámenes'!G987*1000000+(-1)*'Base Exámenes'!D987,""))</f>
        <v/>
      </c>
      <c r="AQ987" t="str">
        <f>IF('Base Exámenes'!C987="","",IF(COUNTIF('Base Exámenes'!$C$5:$C$1000,'Base Exámenes'!C987)&lt;2,"",MATCH('Base Exámenes'!C987,'Base Exámenes'!$C$5:$C$1000,0)*10000+ROW()))</f>
        <v/>
      </c>
    </row>
    <row r="988">
      <c r="Z988" t="str">
        <f>IF('Detalle individual'!A988="","",IF(AND(OR('Estado por Colaborador'!$D$4="Todas las gerencias",'Detalle individual'!D988='Estado por Colaborador'!$D$4),OR('Estado por Colaborador'!$D$5="Todos los departamentos",TRIM('Detalle individual'!C988)='Estado por Colaborador'!$D$5),OR('Estado por Colaborador'!$D$6="Todos",'Detalle individual'!F988='Estado por Colaborador'!$D$6)),IF('Detalle individual'!F988="Completado",30000000,IF('Detalle individual'!F988="Pendiente",0,15000000))+COUNTIF('Detalle individual'!$C$5:$C$1000,"&lt;"&amp;'Detalle individual'!C988)*10000+ROW(),""))</f>
        <v/>
      </c>
      <c r="AB988" t="str">
        <f>IF('Detalle individual'!C988="","",IF(COUNTIF('Detalle individual'!$C$5:C988,'Detalle individual'!C988)=1,COUNTIF('Detalle individual'!$C$5:$C$1000,"&lt;"&amp;'Detalle individual'!C988),""))</f>
        <v/>
      </c>
      <c r="AC988" t="str">
        <f>IF('Detalle individual'!D988="","",IF(COUNTIF('Detalle individual'!$D$5:D988,'Detalle individual'!D988)=1,COUNTIF('Detalle individual'!$D$5:$D$1000,"&lt;"&amp;'Detalle individual'!D988),""))</f>
        <v/>
      </c>
      <c r="AH988" t="str">
        <f>IF('Detalle individual'!F988="Pendiente",COUNTIF('Detalle individual'!$D$5:$D$1000,"&lt;"&amp;'Detalle individual'!D988)*1000000+COUNTIF('Detalle individual'!$C$5:$C$1000,"&lt;"&amp;'Detalle individual'!C988)*1000+COUNTIF('Detalle individual'!$B$5:$B$1000,"&lt;"&amp;'Detalle individual'!B988)+ROW()/10000,"")</f>
        <v/>
      </c>
      <c r="AI988" t="str">
        <f>IF('Detalle individual'!F988="Completado",COUNTIF('Detalle individual'!$D$5:$D$1000,"&lt;"&amp;'Detalle individual'!D988)*1000000+COUNTIF('Detalle individual'!$C$5:$C$1000,"&lt;"&amp;'Detalle individual'!C988)*1000+COUNTIF('Detalle individual'!$B$5:$B$1000,"&lt;"&amp;'Detalle individual'!B988)+ROW()/10000,"")</f>
        <v/>
      </c>
      <c r="AJ988" t="str">
        <f>IF(AND('Detalle individual'!F988&lt;&gt;"",'Detalle individual'!F988&lt;&gt;"Completado",'Detalle individual'!F988&lt;&gt;"Pendiente"),COUNTIF('Detalle individual'!$D$5:$D$1000,"&lt;"&amp;'Detalle individual'!D988)*1000000+COUNTIF('Detalle individual'!$C$5:$C$1000,"&lt;"&amp;'Detalle individual'!C988)*1000+COUNTIF('Detalle individual'!$B$5:$B$1000,"&lt;"&amp;'Detalle individual'!B988)+ROW()/10000,"")</f>
        <v/>
      </c>
      <c r="AK988" t="str">
        <f>IF(OR('Base Exámenes'!C988="",'Base Exámenes'!D988=""),"",IF(COUNTIF('Base Exámenes'!$C$5:C988,'Base Exámenes'!C988)=1,'Base Exámenes'!D988+ROW()/1000000000,""))</f>
        <v/>
      </c>
      <c r="AL988" t="str">
        <f>IF(OR('Base Exámenes'!C988="",'Base Exámenes'!E988=""),"",IF(COUNTIF('Base Exámenes'!$C$5:C988,'Base Exámenes'!C988)=1,'Base Exámenes'!E988+ROW()/1000000000,""))</f>
        <v/>
      </c>
      <c r="AM988" t="str">
        <f>IF(OR('Base Exámenes'!C988="",'Base Exámenes'!G988=""),"",IF(ROW()-4=MATCH('Base Exámenes'!C988&amp;"|"&amp;_xlfn.MAXIFS('Base Exámenes'!$G$5:$G$1000,'Base Exámenes'!$C$5:$C$1000,'Base Exámenes'!C988),'Base Exámenes'!$I$5:$I$1000,0),'Base Exámenes'!G988*1000000+(-1)*'Base Exámenes'!D988,""))</f>
        <v/>
      </c>
      <c r="AQ988" t="str">
        <f>IF('Base Exámenes'!C988="","",IF(COUNTIF('Base Exámenes'!$C$5:$C$1000,'Base Exámenes'!C988)&lt;2,"",MATCH('Base Exámenes'!C988,'Base Exámenes'!$C$5:$C$1000,0)*10000+ROW()))</f>
        <v/>
      </c>
    </row>
    <row r="989">
      <c r="Z989" t="str">
        <f>IF('Detalle individual'!A989="","",IF(AND(OR('Estado por Colaborador'!$D$4="Todas las gerencias",'Detalle individual'!D989='Estado por Colaborador'!$D$4),OR('Estado por Colaborador'!$D$5="Todos los departamentos",TRIM('Detalle individual'!C989)='Estado por Colaborador'!$D$5),OR('Estado por Colaborador'!$D$6="Todos",'Detalle individual'!F989='Estado por Colaborador'!$D$6)),IF('Detalle individual'!F989="Completado",30000000,IF('Detalle individual'!F989="Pendiente",0,15000000))+COUNTIF('Detalle individual'!$C$5:$C$1000,"&lt;"&amp;'Detalle individual'!C989)*10000+ROW(),""))</f>
        <v/>
      </c>
      <c r="AB989" t="str">
        <f>IF('Detalle individual'!C989="","",IF(COUNTIF('Detalle individual'!$C$5:C989,'Detalle individual'!C989)=1,COUNTIF('Detalle individual'!$C$5:$C$1000,"&lt;"&amp;'Detalle individual'!C989),""))</f>
        <v/>
      </c>
      <c r="AC989" t="str">
        <f>IF('Detalle individual'!D989="","",IF(COUNTIF('Detalle individual'!$D$5:D989,'Detalle individual'!D989)=1,COUNTIF('Detalle individual'!$D$5:$D$1000,"&lt;"&amp;'Detalle individual'!D989),""))</f>
        <v/>
      </c>
      <c r="AH989" t="str">
        <f>IF('Detalle individual'!F989="Pendiente",COUNTIF('Detalle individual'!$D$5:$D$1000,"&lt;"&amp;'Detalle individual'!D989)*1000000+COUNTIF('Detalle individual'!$C$5:$C$1000,"&lt;"&amp;'Detalle individual'!C989)*1000+COUNTIF('Detalle individual'!$B$5:$B$1000,"&lt;"&amp;'Detalle individual'!B989)+ROW()/10000,"")</f>
        <v/>
      </c>
      <c r="AI989" t="str">
        <f>IF('Detalle individual'!F989="Completado",COUNTIF('Detalle individual'!$D$5:$D$1000,"&lt;"&amp;'Detalle individual'!D989)*1000000+COUNTIF('Detalle individual'!$C$5:$C$1000,"&lt;"&amp;'Detalle individual'!C989)*1000+COUNTIF('Detalle individual'!$B$5:$B$1000,"&lt;"&amp;'Detalle individual'!B989)+ROW()/10000,"")</f>
        <v/>
      </c>
      <c r="AJ989" t="str">
        <f>IF(AND('Detalle individual'!F989&lt;&gt;"",'Detalle individual'!F989&lt;&gt;"Completado",'Detalle individual'!F989&lt;&gt;"Pendiente"),COUNTIF('Detalle individual'!$D$5:$D$1000,"&lt;"&amp;'Detalle individual'!D989)*1000000+COUNTIF('Detalle individual'!$C$5:$C$1000,"&lt;"&amp;'Detalle individual'!C989)*1000+COUNTIF('Detalle individual'!$B$5:$B$1000,"&lt;"&amp;'Detalle individual'!B989)+ROW()/10000,"")</f>
        <v/>
      </c>
      <c r="AK989" t="str">
        <f>IF(OR('Base Exámenes'!C989="",'Base Exámenes'!D989=""),"",IF(COUNTIF('Base Exámenes'!$C$5:C989,'Base Exámenes'!C989)=1,'Base Exámenes'!D989+ROW()/1000000000,""))</f>
        <v/>
      </c>
      <c r="AL989" t="str">
        <f>IF(OR('Base Exámenes'!C989="",'Base Exámenes'!E989=""),"",IF(COUNTIF('Base Exámenes'!$C$5:C989,'Base Exámenes'!C989)=1,'Base Exámenes'!E989+ROW()/1000000000,""))</f>
        <v/>
      </c>
      <c r="AM989" t="str">
        <f>IF(OR('Base Exámenes'!C989="",'Base Exámenes'!G989=""),"",IF(ROW()-4=MATCH('Base Exámenes'!C989&amp;"|"&amp;_xlfn.MAXIFS('Base Exámenes'!$G$5:$G$1000,'Base Exámenes'!$C$5:$C$1000,'Base Exámenes'!C989),'Base Exámenes'!$I$5:$I$1000,0),'Base Exámenes'!G989*1000000+(-1)*'Base Exámenes'!D989,""))</f>
        <v/>
      </c>
      <c r="AQ989" t="str">
        <f>IF('Base Exámenes'!C989="","",IF(COUNTIF('Base Exámenes'!$C$5:$C$1000,'Base Exámenes'!C989)&lt;2,"",MATCH('Base Exámenes'!C989,'Base Exámenes'!$C$5:$C$1000,0)*10000+ROW()))</f>
        <v/>
      </c>
    </row>
    <row r="990">
      <c r="Z990" t="str">
        <f>IF('Detalle individual'!A990="","",IF(AND(OR('Estado por Colaborador'!$D$4="Todas las gerencias",'Detalle individual'!D990='Estado por Colaborador'!$D$4),OR('Estado por Colaborador'!$D$5="Todos los departamentos",TRIM('Detalle individual'!C990)='Estado por Colaborador'!$D$5),OR('Estado por Colaborador'!$D$6="Todos",'Detalle individual'!F990='Estado por Colaborador'!$D$6)),IF('Detalle individual'!F990="Completado",30000000,IF('Detalle individual'!F990="Pendiente",0,15000000))+COUNTIF('Detalle individual'!$C$5:$C$1000,"&lt;"&amp;'Detalle individual'!C990)*10000+ROW(),""))</f>
        <v/>
      </c>
      <c r="AB990" t="str">
        <f>IF('Detalle individual'!C990="","",IF(COUNTIF('Detalle individual'!$C$5:C990,'Detalle individual'!C990)=1,COUNTIF('Detalle individual'!$C$5:$C$1000,"&lt;"&amp;'Detalle individual'!C990),""))</f>
        <v/>
      </c>
      <c r="AC990" t="str">
        <f>IF('Detalle individual'!D990="","",IF(COUNTIF('Detalle individual'!$D$5:D990,'Detalle individual'!D990)=1,COUNTIF('Detalle individual'!$D$5:$D$1000,"&lt;"&amp;'Detalle individual'!D990),""))</f>
        <v/>
      </c>
      <c r="AH990" t="str">
        <f>IF('Detalle individual'!F990="Pendiente",COUNTIF('Detalle individual'!$D$5:$D$1000,"&lt;"&amp;'Detalle individual'!D990)*1000000+COUNTIF('Detalle individual'!$C$5:$C$1000,"&lt;"&amp;'Detalle individual'!C990)*1000+COUNTIF('Detalle individual'!$B$5:$B$1000,"&lt;"&amp;'Detalle individual'!B990)+ROW()/10000,"")</f>
        <v/>
      </c>
      <c r="AI990" t="str">
        <f>IF('Detalle individual'!F990="Completado",COUNTIF('Detalle individual'!$D$5:$D$1000,"&lt;"&amp;'Detalle individual'!D990)*1000000+COUNTIF('Detalle individual'!$C$5:$C$1000,"&lt;"&amp;'Detalle individual'!C990)*1000+COUNTIF('Detalle individual'!$B$5:$B$1000,"&lt;"&amp;'Detalle individual'!B990)+ROW()/10000,"")</f>
        <v/>
      </c>
      <c r="AJ990" t="str">
        <f>IF(AND('Detalle individual'!F990&lt;&gt;"",'Detalle individual'!F990&lt;&gt;"Completado",'Detalle individual'!F990&lt;&gt;"Pendiente"),COUNTIF('Detalle individual'!$D$5:$D$1000,"&lt;"&amp;'Detalle individual'!D990)*1000000+COUNTIF('Detalle individual'!$C$5:$C$1000,"&lt;"&amp;'Detalle individual'!C990)*1000+COUNTIF('Detalle individual'!$B$5:$B$1000,"&lt;"&amp;'Detalle individual'!B990)+ROW()/10000,"")</f>
        <v/>
      </c>
      <c r="AK990" t="str">
        <f>IF(OR('Base Exámenes'!C990="",'Base Exámenes'!D990=""),"",IF(COUNTIF('Base Exámenes'!$C$5:C990,'Base Exámenes'!C990)=1,'Base Exámenes'!D990+ROW()/1000000000,""))</f>
        <v/>
      </c>
      <c r="AL990" t="str">
        <f>IF(OR('Base Exámenes'!C990="",'Base Exámenes'!E990=""),"",IF(COUNTIF('Base Exámenes'!$C$5:C990,'Base Exámenes'!C990)=1,'Base Exámenes'!E990+ROW()/1000000000,""))</f>
        <v/>
      </c>
      <c r="AM990" t="str">
        <f>IF(OR('Base Exámenes'!C990="",'Base Exámenes'!G990=""),"",IF(ROW()-4=MATCH('Base Exámenes'!C990&amp;"|"&amp;_xlfn.MAXIFS('Base Exámenes'!$G$5:$G$1000,'Base Exámenes'!$C$5:$C$1000,'Base Exámenes'!C990),'Base Exámenes'!$I$5:$I$1000,0),'Base Exámenes'!G990*1000000+(-1)*'Base Exámenes'!D990,""))</f>
        <v/>
      </c>
      <c r="AQ990" t="str">
        <f>IF('Base Exámenes'!C990="","",IF(COUNTIF('Base Exámenes'!$C$5:$C$1000,'Base Exámenes'!C990)&lt;2,"",MATCH('Base Exámenes'!C990,'Base Exámenes'!$C$5:$C$1000,0)*10000+ROW()))</f>
        <v/>
      </c>
    </row>
    <row r="991">
      <c r="Z991" t="str">
        <f>IF('Detalle individual'!A991="","",IF(AND(OR('Estado por Colaborador'!$D$4="Todas las gerencias",'Detalle individual'!D991='Estado por Colaborador'!$D$4),OR('Estado por Colaborador'!$D$5="Todos los departamentos",TRIM('Detalle individual'!C991)='Estado por Colaborador'!$D$5),OR('Estado por Colaborador'!$D$6="Todos",'Detalle individual'!F991='Estado por Colaborador'!$D$6)),IF('Detalle individual'!F991="Completado",30000000,IF('Detalle individual'!F991="Pendiente",0,15000000))+COUNTIF('Detalle individual'!$C$5:$C$1000,"&lt;"&amp;'Detalle individual'!C991)*10000+ROW(),""))</f>
        <v/>
      </c>
      <c r="AB991" t="str">
        <f>IF('Detalle individual'!C991="","",IF(COUNTIF('Detalle individual'!$C$5:C991,'Detalle individual'!C991)=1,COUNTIF('Detalle individual'!$C$5:$C$1000,"&lt;"&amp;'Detalle individual'!C991),""))</f>
        <v/>
      </c>
      <c r="AC991" t="str">
        <f>IF('Detalle individual'!D991="","",IF(COUNTIF('Detalle individual'!$D$5:D991,'Detalle individual'!D991)=1,COUNTIF('Detalle individual'!$D$5:$D$1000,"&lt;"&amp;'Detalle individual'!D991),""))</f>
        <v/>
      </c>
      <c r="AH991" t="str">
        <f>IF('Detalle individual'!F991="Pendiente",COUNTIF('Detalle individual'!$D$5:$D$1000,"&lt;"&amp;'Detalle individual'!D991)*1000000+COUNTIF('Detalle individual'!$C$5:$C$1000,"&lt;"&amp;'Detalle individual'!C991)*1000+COUNTIF('Detalle individual'!$B$5:$B$1000,"&lt;"&amp;'Detalle individual'!B991)+ROW()/10000,"")</f>
        <v/>
      </c>
      <c r="AI991" t="str">
        <f>IF('Detalle individual'!F991="Completado",COUNTIF('Detalle individual'!$D$5:$D$1000,"&lt;"&amp;'Detalle individual'!D991)*1000000+COUNTIF('Detalle individual'!$C$5:$C$1000,"&lt;"&amp;'Detalle individual'!C991)*1000+COUNTIF('Detalle individual'!$B$5:$B$1000,"&lt;"&amp;'Detalle individual'!B991)+ROW()/10000,"")</f>
        <v/>
      </c>
      <c r="AJ991" t="str">
        <f>IF(AND('Detalle individual'!F991&lt;&gt;"",'Detalle individual'!F991&lt;&gt;"Completado",'Detalle individual'!F991&lt;&gt;"Pendiente"),COUNTIF('Detalle individual'!$D$5:$D$1000,"&lt;"&amp;'Detalle individual'!D991)*1000000+COUNTIF('Detalle individual'!$C$5:$C$1000,"&lt;"&amp;'Detalle individual'!C991)*1000+COUNTIF('Detalle individual'!$B$5:$B$1000,"&lt;"&amp;'Detalle individual'!B991)+ROW()/10000,"")</f>
        <v/>
      </c>
      <c r="AK991" t="str">
        <f>IF(OR('Base Exámenes'!C991="",'Base Exámenes'!D991=""),"",IF(COUNTIF('Base Exámenes'!$C$5:C991,'Base Exámenes'!C991)=1,'Base Exámenes'!D991+ROW()/1000000000,""))</f>
        <v/>
      </c>
      <c r="AL991" t="str">
        <f>IF(OR('Base Exámenes'!C991="",'Base Exámenes'!E991=""),"",IF(COUNTIF('Base Exámenes'!$C$5:C991,'Base Exámenes'!C991)=1,'Base Exámenes'!E991+ROW()/1000000000,""))</f>
        <v/>
      </c>
      <c r="AM991" t="str">
        <f>IF(OR('Base Exámenes'!C991="",'Base Exámenes'!G991=""),"",IF(ROW()-4=MATCH('Base Exámenes'!C991&amp;"|"&amp;_xlfn.MAXIFS('Base Exámenes'!$G$5:$G$1000,'Base Exámenes'!$C$5:$C$1000,'Base Exámenes'!C991),'Base Exámenes'!$I$5:$I$1000,0),'Base Exámenes'!G991*1000000+(-1)*'Base Exámenes'!D991,""))</f>
        <v/>
      </c>
      <c r="AQ991" t="str">
        <f>IF('Base Exámenes'!C991="","",IF(COUNTIF('Base Exámenes'!$C$5:$C$1000,'Base Exámenes'!C991)&lt;2,"",MATCH('Base Exámenes'!C991,'Base Exámenes'!$C$5:$C$1000,0)*10000+ROW()))</f>
        <v/>
      </c>
    </row>
    <row r="992">
      <c r="Z992" t="str">
        <f>IF('Detalle individual'!A992="","",IF(AND(OR('Estado por Colaborador'!$D$4="Todas las gerencias",'Detalle individual'!D992='Estado por Colaborador'!$D$4),OR('Estado por Colaborador'!$D$5="Todos los departamentos",TRIM('Detalle individual'!C992)='Estado por Colaborador'!$D$5),OR('Estado por Colaborador'!$D$6="Todos",'Detalle individual'!F992='Estado por Colaborador'!$D$6)),IF('Detalle individual'!F992="Completado",30000000,IF('Detalle individual'!F992="Pendiente",0,15000000))+COUNTIF('Detalle individual'!$C$5:$C$1000,"&lt;"&amp;'Detalle individual'!C992)*10000+ROW(),""))</f>
        <v/>
      </c>
      <c r="AB992" t="str">
        <f>IF('Detalle individual'!C992="","",IF(COUNTIF('Detalle individual'!$C$5:C992,'Detalle individual'!C992)=1,COUNTIF('Detalle individual'!$C$5:$C$1000,"&lt;"&amp;'Detalle individual'!C992),""))</f>
        <v/>
      </c>
      <c r="AC992" t="str">
        <f>IF('Detalle individual'!D992="","",IF(COUNTIF('Detalle individual'!$D$5:D992,'Detalle individual'!D992)=1,COUNTIF('Detalle individual'!$D$5:$D$1000,"&lt;"&amp;'Detalle individual'!D992),""))</f>
        <v/>
      </c>
      <c r="AH992" t="str">
        <f>IF('Detalle individual'!F992="Pendiente",COUNTIF('Detalle individual'!$D$5:$D$1000,"&lt;"&amp;'Detalle individual'!D992)*1000000+COUNTIF('Detalle individual'!$C$5:$C$1000,"&lt;"&amp;'Detalle individual'!C992)*1000+COUNTIF('Detalle individual'!$B$5:$B$1000,"&lt;"&amp;'Detalle individual'!B992)+ROW()/10000,"")</f>
        <v/>
      </c>
      <c r="AI992" t="str">
        <f>IF('Detalle individual'!F992="Completado",COUNTIF('Detalle individual'!$D$5:$D$1000,"&lt;"&amp;'Detalle individual'!D992)*1000000+COUNTIF('Detalle individual'!$C$5:$C$1000,"&lt;"&amp;'Detalle individual'!C992)*1000+COUNTIF('Detalle individual'!$B$5:$B$1000,"&lt;"&amp;'Detalle individual'!B992)+ROW()/10000,"")</f>
        <v/>
      </c>
      <c r="AJ992" t="str">
        <f>IF(AND('Detalle individual'!F992&lt;&gt;"",'Detalle individual'!F992&lt;&gt;"Completado",'Detalle individual'!F992&lt;&gt;"Pendiente"),COUNTIF('Detalle individual'!$D$5:$D$1000,"&lt;"&amp;'Detalle individual'!D992)*1000000+COUNTIF('Detalle individual'!$C$5:$C$1000,"&lt;"&amp;'Detalle individual'!C992)*1000+COUNTIF('Detalle individual'!$B$5:$B$1000,"&lt;"&amp;'Detalle individual'!B992)+ROW()/10000,"")</f>
        <v/>
      </c>
      <c r="AK992" t="str">
        <f>IF(OR('Base Exámenes'!C992="",'Base Exámenes'!D992=""),"",IF(COUNTIF('Base Exámenes'!$C$5:C992,'Base Exámenes'!C992)=1,'Base Exámenes'!D992+ROW()/1000000000,""))</f>
        <v/>
      </c>
      <c r="AL992" t="str">
        <f>IF(OR('Base Exámenes'!C992="",'Base Exámenes'!E992=""),"",IF(COUNTIF('Base Exámenes'!$C$5:C992,'Base Exámenes'!C992)=1,'Base Exámenes'!E992+ROW()/1000000000,""))</f>
        <v/>
      </c>
      <c r="AM992" t="str">
        <f>IF(OR('Base Exámenes'!C992="",'Base Exámenes'!G992=""),"",IF(ROW()-4=MATCH('Base Exámenes'!C992&amp;"|"&amp;_xlfn.MAXIFS('Base Exámenes'!$G$5:$G$1000,'Base Exámenes'!$C$5:$C$1000,'Base Exámenes'!C992),'Base Exámenes'!$I$5:$I$1000,0),'Base Exámenes'!G992*1000000+(-1)*'Base Exámenes'!D992,""))</f>
        <v/>
      </c>
      <c r="AQ992" t="str">
        <f>IF('Base Exámenes'!C992="","",IF(COUNTIF('Base Exámenes'!$C$5:$C$1000,'Base Exámenes'!C992)&lt;2,"",MATCH('Base Exámenes'!C992,'Base Exámenes'!$C$5:$C$1000,0)*10000+ROW()))</f>
        <v/>
      </c>
    </row>
    <row r="993">
      <c r="Z993" t="str">
        <f>IF('Detalle individual'!A993="","",IF(AND(OR('Estado por Colaborador'!$D$4="Todas las gerencias",'Detalle individual'!D993='Estado por Colaborador'!$D$4),OR('Estado por Colaborador'!$D$5="Todos los departamentos",TRIM('Detalle individual'!C993)='Estado por Colaborador'!$D$5),OR('Estado por Colaborador'!$D$6="Todos",'Detalle individual'!F993='Estado por Colaborador'!$D$6)),IF('Detalle individual'!F993="Completado",30000000,IF('Detalle individual'!F993="Pendiente",0,15000000))+COUNTIF('Detalle individual'!$C$5:$C$1000,"&lt;"&amp;'Detalle individual'!C993)*10000+ROW(),""))</f>
        <v/>
      </c>
      <c r="AB993" t="str">
        <f>IF('Detalle individual'!C993="","",IF(COUNTIF('Detalle individual'!$C$5:C993,'Detalle individual'!C993)=1,COUNTIF('Detalle individual'!$C$5:$C$1000,"&lt;"&amp;'Detalle individual'!C993),""))</f>
        <v/>
      </c>
      <c r="AC993" t="str">
        <f>IF('Detalle individual'!D993="","",IF(COUNTIF('Detalle individual'!$D$5:D993,'Detalle individual'!D993)=1,COUNTIF('Detalle individual'!$D$5:$D$1000,"&lt;"&amp;'Detalle individual'!D993),""))</f>
        <v/>
      </c>
      <c r="AH993" t="str">
        <f>IF('Detalle individual'!F993="Pendiente",COUNTIF('Detalle individual'!$D$5:$D$1000,"&lt;"&amp;'Detalle individual'!D993)*1000000+COUNTIF('Detalle individual'!$C$5:$C$1000,"&lt;"&amp;'Detalle individual'!C993)*1000+COUNTIF('Detalle individual'!$B$5:$B$1000,"&lt;"&amp;'Detalle individual'!B993)+ROW()/10000,"")</f>
        <v/>
      </c>
      <c r="AI993" t="str">
        <f>IF('Detalle individual'!F993="Completado",COUNTIF('Detalle individual'!$D$5:$D$1000,"&lt;"&amp;'Detalle individual'!D993)*1000000+COUNTIF('Detalle individual'!$C$5:$C$1000,"&lt;"&amp;'Detalle individual'!C993)*1000+COUNTIF('Detalle individual'!$B$5:$B$1000,"&lt;"&amp;'Detalle individual'!B993)+ROW()/10000,"")</f>
        <v/>
      </c>
      <c r="AJ993" t="str">
        <f>IF(AND('Detalle individual'!F993&lt;&gt;"",'Detalle individual'!F993&lt;&gt;"Completado",'Detalle individual'!F993&lt;&gt;"Pendiente"),COUNTIF('Detalle individual'!$D$5:$D$1000,"&lt;"&amp;'Detalle individual'!D993)*1000000+COUNTIF('Detalle individual'!$C$5:$C$1000,"&lt;"&amp;'Detalle individual'!C993)*1000+COUNTIF('Detalle individual'!$B$5:$B$1000,"&lt;"&amp;'Detalle individual'!B993)+ROW()/10000,"")</f>
        <v/>
      </c>
      <c r="AK993" t="str">
        <f>IF(OR('Base Exámenes'!C993="",'Base Exámenes'!D993=""),"",IF(COUNTIF('Base Exámenes'!$C$5:C993,'Base Exámenes'!C993)=1,'Base Exámenes'!D993+ROW()/1000000000,""))</f>
        <v/>
      </c>
      <c r="AL993" t="str">
        <f>IF(OR('Base Exámenes'!C993="",'Base Exámenes'!E993=""),"",IF(COUNTIF('Base Exámenes'!$C$5:C993,'Base Exámenes'!C993)=1,'Base Exámenes'!E993+ROW()/1000000000,""))</f>
        <v/>
      </c>
      <c r="AM993" t="str">
        <f>IF(OR('Base Exámenes'!C993="",'Base Exámenes'!G993=""),"",IF(ROW()-4=MATCH('Base Exámenes'!C993&amp;"|"&amp;_xlfn.MAXIFS('Base Exámenes'!$G$5:$G$1000,'Base Exámenes'!$C$5:$C$1000,'Base Exámenes'!C993),'Base Exámenes'!$I$5:$I$1000,0),'Base Exámenes'!G993*1000000+(-1)*'Base Exámenes'!D993,""))</f>
        <v/>
      </c>
      <c r="AQ993" t="str">
        <f>IF('Base Exámenes'!C993="","",IF(COUNTIF('Base Exámenes'!$C$5:$C$1000,'Base Exámenes'!C993)&lt;2,"",MATCH('Base Exámenes'!C993,'Base Exámenes'!$C$5:$C$1000,0)*10000+ROW()))</f>
        <v/>
      </c>
    </row>
    <row r="994">
      <c r="Z994" t="str">
        <f>IF('Detalle individual'!A994="","",IF(AND(OR('Estado por Colaborador'!$D$4="Todas las gerencias",'Detalle individual'!D994='Estado por Colaborador'!$D$4),OR('Estado por Colaborador'!$D$5="Todos los departamentos",TRIM('Detalle individual'!C994)='Estado por Colaborador'!$D$5),OR('Estado por Colaborador'!$D$6="Todos",'Detalle individual'!F994='Estado por Colaborador'!$D$6)),IF('Detalle individual'!F994="Completado",30000000,IF('Detalle individual'!F994="Pendiente",0,15000000))+COUNTIF('Detalle individual'!$C$5:$C$1000,"&lt;"&amp;'Detalle individual'!C994)*10000+ROW(),""))</f>
        <v/>
      </c>
      <c r="AB994" t="str">
        <f>IF('Detalle individual'!C994="","",IF(COUNTIF('Detalle individual'!$C$5:C994,'Detalle individual'!C994)=1,COUNTIF('Detalle individual'!$C$5:$C$1000,"&lt;"&amp;'Detalle individual'!C994),""))</f>
        <v/>
      </c>
      <c r="AC994" t="str">
        <f>IF('Detalle individual'!D994="","",IF(COUNTIF('Detalle individual'!$D$5:D994,'Detalle individual'!D994)=1,COUNTIF('Detalle individual'!$D$5:$D$1000,"&lt;"&amp;'Detalle individual'!D994),""))</f>
        <v/>
      </c>
      <c r="AH994" t="str">
        <f>IF('Detalle individual'!F994="Pendiente",COUNTIF('Detalle individual'!$D$5:$D$1000,"&lt;"&amp;'Detalle individual'!D994)*1000000+COUNTIF('Detalle individual'!$C$5:$C$1000,"&lt;"&amp;'Detalle individual'!C994)*1000+COUNTIF('Detalle individual'!$B$5:$B$1000,"&lt;"&amp;'Detalle individual'!B994)+ROW()/10000,"")</f>
        <v/>
      </c>
      <c r="AI994" t="str">
        <f>IF('Detalle individual'!F994="Completado",COUNTIF('Detalle individual'!$D$5:$D$1000,"&lt;"&amp;'Detalle individual'!D994)*1000000+COUNTIF('Detalle individual'!$C$5:$C$1000,"&lt;"&amp;'Detalle individual'!C994)*1000+COUNTIF('Detalle individual'!$B$5:$B$1000,"&lt;"&amp;'Detalle individual'!B994)+ROW()/10000,"")</f>
        <v/>
      </c>
      <c r="AJ994" t="str">
        <f>IF(AND('Detalle individual'!F994&lt;&gt;"",'Detalle individual'!F994&lt;&gt;"Completado",'Detalle individual'!F994&lt;&gt;"Pendiente"),COUNTIF('Detalle individual'!$D$5:$D$1000,"&lt;"&amp;'Detalle individual'!D994)*1000000+COUNTIF('Detalle individual'!$C$5:$C$1000,"&lt;"&amp;'Detalle individual'!C994)*1000+COUNTIF('Detalle individual'!$B$5:$B$1000,"&lt;"&amp;'Detalle individual'!B994)+ROW()/10000,"")</f>
        <v/>
      </c>
      <c r="AK994" t="str">
        <f>IF(OR('Base Exámenes'!C994="",'Base Exámenes'!D994=""),"",IF(COUNTIF('Base Exámenes'!$C$5:C994,'Base Exámenes'!C994)=1,'Base Exámenes'!D994+ROW()/1000000000,""))</f>
        <v/>
      </c>
      <c r="AL994" t="str">
        <f>IF(OR('Base Exámenes'!C994="",'Base Exámenes'!E994=""),"",IF(COUNTIF('Base Exámenes'!$C$5:C994,'Base Exámenes'!C994)=1,'Base Exámenes'!E994+ROW()/1000000000,""))</f>
        <v/>
      </c>
      <c r="AM994" t="str">
        <f>IF(OR('Base Exámenes'!C994="",'Base Exámenes'!G994=""),"",IF(ROW()-4=MATCH('Base Exámenes'!C994&amp;"|"&amp;_xlfn.MAXIFS('Base Exámenes'!$G$5:$G$1000,'Base Exámenes'!$C$5:$C$1000,'Base Exámenes'!C994),'Base Exámenes'!$I$5:$I$1000,0),'Base Exámenes'!G994*1000000+(-1)*'Base Exámenes'!D994,""))</f>
        <v/>
      </c>
      <c r="AQ994" t="str">
        <f>IF('Base Exámenes'!C994="","",IF(COUNTIF('Base Exámenes'!$C$5:$C$1000,'Base Exámenes'!C994)&lt;2,"",MATCH('Base Exámenes'!C994,'Base Exámenes'!$C$5:$C$1000,0)*10000+ROW()))</f>
        <v/>
      </c>
    </row>
    <row r="995">
      <c r="Z995" t="str">
        <f>IF('Detalle individual'!A995="","",IF(AND(OR('Estado por Colaborador'!$D$4="Todas las gerencias",'Detalle individual'!D995='Estado por Colaborador'!$D$4),OR('Estado por Colaborador'!$D$5="Todos los departamentos",TRIM('Detalle individual'!C995)='Estado por Colaborador'!$D$5),OR('Estado por Colaborador'!$D$6="Todos",'Detalle individual'!F995='Estado por Colaborador'!$D$6)),IF('Detalle individual'!F995="Completado",30000000,IF('Detalle individual'!F995="Pendiente",0,15000000))+COUNTIF('Detalle individual'!$C$5:$C$1000,"&lt;"&amp;'Detalle individual'!C995)*10000+ROW(),""))</f>
        <v/>
      </c>
      <c r="AB995" t="str">
        <f>IF('Detalle individual'!C995="","",IF(COUNTIF('Detalle individual'!$C$5:C995,'Detalle individual'!C995)=1,COUNTIF('Detalle individual'!$C$5:$C$1000,"&lt;"&amp;'Detalle individual'!C995),""))</f>
        <v/>
      </c>
      <c r="AC995" t="str">
        <f>IF('Detalle individual'!D995="","",IF(COUNTIF('Detalle individual'!$D$5:D995,'Detalle individual'!D995)=1,COUNTIF('Detalle individual'!$D$5:$D$1000,"&lt;"&amp;'Detalle individual'!D995),""))</f>
        <v/>
      </c>
      <c r="AH995" t="str">
        <f>IF('Detalle individual'!F995="Pendiente",COUNTIF('Detalle individual'!$D$5:$D$1000,"&lt;"&amp;'Detalle individual'!D995)*1000000+COUNTIF('Detalle individual'!$C$5:$C$1000,"&lt;"&amp;'Detalle individual'!C995)*1000+COUNTIF('Detalle individual'!$B$5:$B$1000,"&lt;"&amp;'Detalle individual'!B995)+ROW()/10000,"")</f>
        <v/>
      </c>
      <c r="AI995" t="str">
        <f>IF('Detalle individual'!F995="Completado",COUNTIF('Detalle individual'!$D$5:$D$1000,"&lt;"&amp;'Detalle individual'!D995)*1000000+COUNTIF('Detalle individual'!$C$5:$C$1000,"&lt;"&amp;'Detalle individual'!C995)*1000+COUNTIF('Detalle individual'!$B$5:$B$1000,"&lt;"&amp;'Detalle individual'!B995)+ROW()/10000,"")</f>
        <v/>
      </c>
      <c r="AJ995" t="str">
        <f>IF(AND('Detalle individual'!F995&lt;&gt;"",'Detalle individual'!F995&lt;&gt;"Completado",'Detalle individual'!F995&lt;&gt;"Pendiente"),COUNTIF('Detalle individual'!$D$5:$D$1000,"&lt;"&amp;'Detalle individual'!D995)*1000000+COUNTIF('Detalle individual'!$C$5:$C$1000,"&lt;"&amp;'Detalle individual'!C995)*1000+COUNTIF('Detalle individual'!$B$5:$B$1000,"&lt;"&amp;'Detalle individual'!B995)+ROW()/10000,"")</f>
        <v/>
      </c>
      <c r="AK995" t="str">
        <f>IF(OR('Base Exámenes'!C995="",'Base Exámenes'!D995=""),"",IF(COUNTIF('Base Exámenes'!$C$5:C995,'Base Exámenes'!C995)=1,'Base Exámenes'!D995+ROW()/1000000000,""))</f>
        <v/>
      </c>
      <c r="AL995" t="str">
        <f>IF(OR('Base Exámenes'!C995="",'Base Exámenes'!E995=""),"",IF(COUNTIF('Base Exámenes'!$C$5:C995,'Base Exámenes'!C995)=1,'Base Exámenes'!E995+ROW()/1000000000,""))</f>
        <v/>
      </c>
      <c r="AM995" t="str">
        <f>IF(OR('Base Exámenes'!C995="",'Base Exámenes'!G995=""),"",IF(ROW()-4=MATCH('Base Exámenes'!C995&amp;"|"&amp;_xlfn.MAXIFS('Base Exámenes'!$G$5:$G$1000,'Base Exámenes'!$C$5:$C$1000,'Base Exámenes'!C995),'Base Exámenes'!$I$5:$I$1000,0),'Base Exámenes'!G995*1000000+(-1)*'Base Exámenes'!D995,""))</f>
        <v/>
      </c>
      <c r="AQ995" t="str">
        <f>IF('Base Exámenes'!C995="","",IF(COUNTIF('Base Exámenes'!$C$5:$C$1000,'Base Exámenes'!C995)&lt;2,"",MATCH('Base Exámenes'!C995,'Base Exámenes'!$C$5:$C$1000,0)*10000+ROW()))</f>
        <v/>
      </c>
    </row>
    <row r="996">
      <c r="Z996" t="str">
        <f>IF('Detalle individual'!A996="","",IF(AND(OR('Estado por Colaborador'!$D$4="Todas las gerencias",'Detalle individual'!D996='Estado por Colaborador'!$D$4),OR('Estado por Colaborador'!$D$5="Todos los departamentos",TRIM('Detalle individual'!C996)='Estado por Colaborador'!$D$5),OR('Estado por Colaborador'!$D$6="Todos",'Detalle individual'!F996='Estado por Colaborador'!$D$6)),IF('Detalle individual'!F996="Completado",30000000,IF('Detalle individual'!F996="Pendiente",0,15000000))+COUNTIF('Detalle individual'!$C$5:$C$1000,"&lt;"&amp;'Detalle individual'!C996)*10000+ROW(),""))</f>
        <v/>
      </c>
      <c r="AB996" t="str">
        <f>IF('Detalle individual'!C996="","",IF(COUNTIF('Detalle individual'!$C$5:C996,'Detalle individual'!C996)=1,COUNTIF('Detalle individual'!$C$5:$C$1000,"&lt;"&amp;'Detalle individual'!C996),""))</f>
        <v/>
      </c>
      <c r="AC996" t="str">
        <f>IF('Detalle individual'!D996="","",IF(COUNTIF('Detalle individual'!$D$5:D996,'Detalle individual'!D996)=1,COUNTIF('Detalle individual'!$D$5:$D$1000,"&lt;"&amp;'Detalle individual'!D996),""))</f>
        <v/>
      </c>
      <c r="AH996" t="str">
        <f>IF('Detalle individual'!F996="Pendiente",COUNTIF('Detalle individual'!$D$5:$D$1000,"&lt;"&amp;'Detalle individual'!D996)*1000000+COUNTIF('Detalle individual'!$C$5:$C$1000,"&lt;"&amp;'Detalle individual'!C996)*1000+COUNTIF('Detalle individual'!$B$5:$B$1000,"&lt;"&amp;'Detalle individual'!B996)+ROW()/10000,"")</f>
        <v/>
      </c>
      <c r="AI996" t="str">
        <f>IF('Detalle individual'!F996="Completado",COUNTIF('Detalle individual'!$D$5:$D$1000,"&lt;"&amp;'Detalle individual'!D996)*1000000+COUNTIF('Detalle individual'!$C$5:$C$1000,"&lt;"&amp;'Detalle individual'!C996)*1000+COUNTIF('Detalle individual'!$B$5:$B$1000,"&lt;"&amp;'Detalle individual'!B996)+ROW()/10000,"")</f>
        <v/>
      </c>
      <c r="AJ996" t="str">
        <f>IF(AND('Detalle individual'!F996&lt;&gt;"",'Detalle individual'!F996&lt;&gt;"Completado",'Detalle individual'!F996&lt;&gt;"Pendiente"),COUNTIF('Detalle individual'!$D$5:$D$1000,"&lt;"&amp;'Detalle individual'!D996)*1000000+COUNTIF('Detalle individual'!$C$5:$C$1000,"&lt;"&amp;'Detalle individual'!C996)*1000+COUNTIF('Detalle individual'!$B$5:$B$1000,"&lt;"&amp;'Detalle individual'!B996)+ROW()/10000,"")</f>
        <v/>
      </c>
      <c r="AK996" t="str">
        <f>IF(OR('Base Exámenes'!C996="",'Base Exámenes'!D996=""),"",IF(COUNTIF('Base Exámenes'!$C$5:C996,'Base Exámenes'!C996)=1,'Base Exámenes'!D996+ROW()/1000000000,""))</f>
        <v/>
      </c>
      <c r="AL996" t="str">
        <f>IF(OR('Base Exámenes'!C996="",'Base Exámenes'!E996=""),"",IF(COUNTIF('Base Exámenes'!$C$5:C996,'Base Exámenes'!C996)=1,'Base Exámenes'!E996+ROW()/1000000000,""))</f>
        <v/>
      </c>
      <c r="AM996" t="str">
        <f>IF(OR('Base Exámenes'!C996="",'Base Exámenes'!G996=""),"",IF(ROW()-4=MATCH('Base Exámenes'!C996&amp;"|"&amp;_xlfn.MAXIFS('Base Exámenes'!$G$5:$G$1000,'Base Exámenes'!$C$5:$C$1000,'Base Exámenes'!C996),'Base Exámenes'!$I$5:$I$1000,0),'Base Exámenes'!G996*1000000+(-1)*'Base Exámenes'!D996,""))</f>
        <v/>
      </c>
      <c r="AQ996" t="str">
        <f>IF('Base Exámenes'!C996="","",IF(COUNTIF('Base Exámenes'!$C$5:$C$1000,'Base Exámenes'!C996)&lt;2,"",MATCH('Base Exámenes'!C996,'Base Exámenes'!$C$5:$C$1000,0)*10000+ROW()))</f>
        <v/>
      </c>
    </row>
    <row r="997">
      <c r="Z997" t="str">
        <f>IF('Detalle individual'!A997="","",IF(AND(OR('Estado por Colaborador'!$D$4="Todas las gerencias",'Detalle individual'!D997='Estado por Colaborador'!$D$4),OR('Estado por Colaborador'!$D$5="Todos los departamentos",TRIM('Detalle individual'!C997)='Estado por Colaborador'!$D$5),OR('Estado por Colaborador'!$D$6="Todos",'Detalle individual'!F997='Estado por Colaborador'!$D$6)),IF('Detalle individual'!F997="Completado",30000000,IF('Detalle individual'!F997="Pendiente",0,15000000))+COUNTIF('Detalle individual'!$C$5:$C$1000,"&lt;"&amp;'Detalle individual'!C997)*10000+ROW(),""))</f>
        <v/>
      </c>
      <c r="AB997" t="str">
        <f>IF('Detalle individual'!C997="","",IF(COUNTIF('Detalle individual'!$C$5:C997,'Detalle individual'!C997)=1,COUNTIF('Detalle individual'!$C$5:$C$1000,"&lt;"&amp;'Detalle individual'!C997),""))</f>
        <v/>
      </c>
      <c r="AC997" t="str">
        <f>IF('Detalle individual'!D997="","",IF(COUNTIF('Detalle individual'!$D$5:D997,'Detalle individual'!D997)=1,COUNTIF('Detalle individual'!$D$5:$D$1000,"&lt;"&amp;'Detalle individual'!D997),""))</f>
        <v/>
      </c>
      <c r="AH997" t="str">
        <f>IF('Detalle individual'!F997="Pendiente",COUNTIF('Detalle individual'!$D$5:$D$1000,"&lt;"&amp;'Detalle individual'!D997)*1000000+COUNTIF('Detalle individual'!$C$5:$C$1000,"&lt;"&amp;'Detalle individual'!C997)*1000+COUNTIF('Detalle individual'!$B$5:$B$1000,"&lt;"&amp;'Detalle individual'!B997)+ROW()/10000,"")</f>
        <v/>
      </c>
      <c r="AI997" t="str">
        <f>IF('Detalle individual'!F997="Completado",COUNTIF('Detalle individual'!$D$5:$D$1000,"&lt;"&amp;'Detalle individual'!D997)*1000000+COUNTIF('Detalle individual'!$C$5:$C$1000,"&lt;"&amp;'Detalle individual'!C997)*1000+COUNTIF('Detalle individual'!$B$5:$B$1000,"&lt;"&amp;'Detalle individual'!B997)+ROW()/10000,"")</f>
        <v/>
      </c>
      <c r="AJ997" t="str">
        <f>IF(AND('Detalle individual'!F997&lt;&gt;"",'Detalle individual'!F997&lt;&gt;"Completado",'Detalle individual'!F997&lt;&gt;"Pendiente"),COUNTIF('Detalle individual'!$D$5:$D$1000,"&lt;"&amp;'Detalle individual'!D997)*1000000+COUNTIF('Detalle individual'!$C$5:$C$1000,"&lt;"&amp;'Detalle individual'!C997)*1000+COUNTIF('Detalle individual'!$B$5:$B$1000,"&lt;"&amp;'Detalle individual'!B997)+ROW()/10000,"")</f>
        <v/>
      </c>
      <c r="AK997" t="str">
        <f>IF(OR('Base Exámenes'!C997="",'Base Exámenes'!D997=""),"",IF(COUNTIF('Base Exámenes'!$C$5:C997,'Base Exámenes'!C997)=1,'Base Exámenes'!D997+ROW()/1000000000,""))</f>
        <v/>
      </c>
      <c r="AL997" t="str">
        <f>IF(OR('Base Exámenes'!C997="",'Base Exámenes'!E997=""),"",IF(COUNTIF('Base Exámenes'!$C$5:C997,'Base Exámenes'!C997)=1,'Base Exámenes'!E997+ROW()/1000000000,""))</f>
        <v/>
      </c>
      <c r="AM997" t="str">
        <f>IF(OR('Base Exámenes'!C997="",'Base Exámenes'!G997=""),"",IF(ROW()-4=MATCH('Base Exámenes'!C997&amp;"|"&amp;_xlfn.MAXIFS('Base Exámenes'!$G$5:$G$1000,'Base Exámenes'!$C$5:$C$1000,'Base Exámenes'!C997),'Base Exámenes'!$I$5:$I$1000,0),'Base Exámenes'!G997*1000000+(-1)*'Base Exámenes'!D997,""))</f>
        <v/>
      </c>
      <c r="AQ997" t="str">
        <f>IF('Base Exámenes'!C997="","",IF(COUNTIF('Base Exámenes'!$C$5:$C$1000,'Base Exámenes'!C997)&lt;2,"",MATCH('Base Exámenes'!C997,'Base Exámenes'!$C$5:$C$1000,0)*10000+ROW()))</f>
        <v/>
      </c>
    </row>
    <row r="998">
      <c r="Z998" t="str">
        <f>IF('Detalle individual'!A998="","",IF(AND(OR('Estado por Colaborador'!$D$4="Todas las gerencias",'Detalle individual'!D998='Estado por Colaborador'!$D$4),OR('Estado por Colaborador'!$D$5="Todos los departamentos",TRIM('Detalle individual'!C998)='Estado por Colaborador'!$D$5),OR('Estado por Colaborador'!$D$6="Todos",'Detalle individual'!F998='Estado por Colaborador'!$D$6)),IF('Detalle individual'!F998="Completado",30000000,IF('Detalle individual'!F998="Pendiente",0,15000000))+COUNTIF('Detalle individual'!$C$5:$C$1000,"&lt;"&amp;'Detalle individual'!C998)*10000+ROW(),""))</f>
        <v/>
      </c>
      <c r="AB998" t="str">
        <f>IF('Detalle individual'!C998="","",IF(COUNTIF('Detalle individual'!$C$5:C998,'Detalle individual'!C998)=1,COUNTIF('Detalle individual'!$C$5:$C$1000,"&lt;"&amp;'Detalle individual'!C998),""))</f>
        <v/>
      </c>
      <c r="AC998" t="str">
        <f>IF('Detalle individual'!D998="","",IF(COUNTIF('Detalle individual'!$D$5:D998,'Detalle individual'!D998)=1,COUNTIF('Detalle individual'!$D$5:$D$1000,"&lt;"&amp;'Detalle individual'!D998),""))</f>
        <v/>
      </c>
      <c r="AH998" t="str">
        <f>IF('Detalle individual'!F998="Pendiente",COUNTIF('Detalle individual'!$D$5:$D$1000,"&lt;"&amp;'Detalle individual'!D998)*1000000+COUNTIF('Detalle individual'!$C$5:$C$1000,"&lt;"&amp;'Detalle individual'!C998)*1000+COUNTIF('Detalle individual'!$B$5:$B$1000,"&lt;"&amp;'Detalle individual'!B998)+ROW()/10000,"")</f>
        <v/>
      </c>
      <c r="AI998" t="str">
        <f>IF('Detalle individual'!F998="Completado",COUNTIF('Detalle individual'!$D$5:$D$1000,"&lt;"&amp;'Detalle individual'!D998)*1000000+COUNTIF('Detalle individual'!$C$5:$C$1000,"&lt;"&amp;'Detalle individual'!C998)*1000+COUNTIF('Detalle individual'!$B$5:$B$1000,"&lt;"&amp;'Detalle individual'!B998)+ROW()/10000,"")</f>
        <v/>
      </c>
      <c r="AJ998" t="str">
        <f>IF(AND('Detalle individual'!F998&lt;&gt;"",'Detalle individual'!F998&lt;&gt;"Completado",'Detalle individual'!F998&lt;&gt;"Pendiente"),COUNTIF('Detalle individual'!$D$5:$D$1000,"&lt;"&amp;'Detalle individual'!D998)*1000000+COUNTIF('Detalle individual'!$C$5:$C$1000,"&lt;"&amp;'Detalle individual'!C998)*1000+COUNTIF('Detalle individual'!$B$5:$B$1000,"&lt;"&amp;'Detalle individual'!B998)+ROW()/10000,"")</f>
        <v/>
      </c>
      <c r="AK998" t="str">
        <f>IF(OR('Base Exámenes'!C998="",'Base Exámenes'!D998=""),"",IF(COUNTIF('Base Exámenes'!$C$5:C998,'Base Exámenes'!C998)=1,'Base Exámenes'!D998+ROW()/1000000000,""))</f>
        <v/>
      </c>
      <c r="AL998" t="str">
        <f>IF(OR('Base Exámenes'!C998="",'Base Exámenes'!E998=""),"",IF(COUNTIF('Base Exámenes'!$C$5:C998,'Base Exámenes'!C998)=1,'Base Exámenes'!E998+ROW()/1000000000,""))</f>
        <v/>
      </c>
      <c r="AM998" t="str">
        <f>IF(OR('Base Exámenes'!C998="",'Base Exámenes'!G998=""),"",IF(ROW()-4=MATCH('Base Exámenes'!C998&amp;"|"&amp;_xlfn.MAXIFS('Base Exámenes'!$G$5:$G$1000,'Base Exámenes'!$C$5:$C$1000,'Base Exámenes'!C998),'Base Exámenes'!$I$5:$I$1000,0),'Base Exámenes'!G998*1000000+(-1)*'Base Exámenes'!D998,""))</f>
        <v/>
      </c>
      <c r="AQ998" t="str">
        <f>IF('Base Exámenes'!C998="","",IF(COUNTIF('Base Exámenes'!$C$5:$C$1000,'Base Exámenes'!C998)&lt;2,"",MATCH('Base Exámenes'!C998,'Base Exámenes'!$C$5:$C$1000,0)*10000+ROW()))</f>
        <v/>
      </c>
    </row>
    <row r="999">
      <c r="Z999" t="str">
        <f>IF('Detalle individual'!A999="","",IF(AND(OR('Estado por Colaborador'!$D$4="Todas las gerencias",'Detalle individual'!D999='Estado por Colaborador'!$D$4),OR('Estado por Colaborador'!$D$5="Todos los departamentos",TRIM('Detalle individual'!C999)='Estado por Colaborador'!$D$5),OR('Estado por Colaborador'!$D$6="Todos",'Detalle individual'!F999='Estado por Colaborador'!$D$6)),IF('Detalle individual'!F999="Completado",30000000,IF('Detalle individual'!F999="Pendiente",0,15000000))+COUNTIF('Detalle individual'!$C$5:$C$1000,"&lt;"&amp;'Detalle individual'!C999)*10000+ROW(),""))</f>
        <v/>
      </c>
      <c r="AB999" t="str">
        <f>IF('Detalle individual'!C999="","",IF(COUNTIF('Detalle individual'!$C$5:C999,'Detalle individual'!C999)=1,COUNTIF('Detalle individual'!$C$5:$C$1000,"&lt;"&amp;'Detalle individual'!C999),""))</f>
        <v/>
      </c>
      <c r="AC999" t="str">
        <f>IF('Detalle individual'!D999="","",IF(COUNTIF('Detalle individual'!$D$5:D999,'Detalle individual'!D999)=1,COUNTIF('Detalle individual'!$D$5:$D$1000,"&lt;"&amp;'Detalle individual'!D999),""))</f>
        <v/>
      </c>
      <c r="AH999" t="str">
        <f>IF('Detalle individual'!F999="Pendiente",COUNTIF('Detalle individual'!$D$5:$D$1000,"&lt;"&amp;'Detalle individual'!D999)*1000000+COUNTIF('Detalle individual'!$C$5:$C$1000,"&lt;"&amp;'Detalle individual'!C999)*1000+COUNTIF('Detalle individual'!$B$5:$B$1000,"&lt;"&amp;'Detalle individual'!B999)+ROW()/10000,"")</f>
        <v/>
      </c>
      <c r="AI999" t="str">
        <f>IF('Detalle individual'!F999="Completado",COUNTIF('Detalle individual'!$D$5:$D$1000,"&lt;"&amp;'Detalle individual'!D999)*1000000+COUNTIF('Detalle individual'!$C$5:$C$1000,"&lt;"&amp;'Detalle individual'!C999)*1000+COUNTIF('Detalle individual'!$B$5:$B$1000,"&lt;"&amp;'Detalle individual'!B999)+ROW()/10000,"")</f>
        <v/>
      </c>
      <c r="AJ999" t="str">
        <f>IF(AND('Detalle individual'!F999&lt;&gt;"",'Detalle individual'!F999&lt;&gt;"Completado",'Detalle individual'!F999&lt;&gt;"Pendiente"),COUNTIF('Detalle individual'!$D$5:$D$1000,"&lt;"&amp;'Detalle individual'!D999)*1000000+COUNTIF('Detalle individual'!$C$5:$C$1000,"&lt;"&amp;'Detalle individual'!C999)*1000+COUNTIF('Detalle individual'!$B$5:$B$1000,"&lt;"&amp;'Detalle individual'!B999)+ROW()/10000,"")</f>
        <v/>
      </c>
      <c r="AK999" t="str">
        <f>IF(OR('Base Exámenes'!C999="",'Base Exámenes'!D999=""),"",IF(COUNTIF('Base Exámenes'!$C$5:C999,'Base Exámenes'!C999)=1,'Base Exámenes'!D999+ROW()/1000000000,""))</f>
        <v/>
      </c>
      <c r="AL999" t="str">
        <f>IF(OR('Base Exámenes'!C999="",'Base Exámenes'!E999=""),"",IF(COUNTIF('Base Exámenes'!$C$5:C999,'Base Exámenes'!C999)=1,'Base Exámenes'!E999+ROW()/1000000000,""))</f>
        <v/>
      </c>
      <c r="AM999" t="str">
        <f>IF(OR('Base Exámenes'!C999="",'Base Exámenes'!G999=""),"",IF(ROW()-4=MATCH('Base Exámenes'!C999&amp;"|"&amp;_xlfn.MAXIFS('Base Exámenes'!$G$5:$G$1000,'Base Exámenes'!$C$5:$C$1000,'Base Exámenes'!C999),'Base Exámenes'!$I$5:$I$1000,0),'Base Exámenes'!G999*1000000+(-1)*'Base Exámenes'!D999,""))</f>
        <v/>
      </c>
      <c r="AQ999" t="str">
        <f>IF('Base Exámenes'!C999="","",IF(COUNTIF('Base Exámenes'!$C$5:$C$1000,'Base Exámenes'!C999)&lt;2,"",MATCH('Base Exámenes'!C999,'Base Exámenes'!$C$5:$C$1000,0)*10000+ROW()))</f>
        <v/>
      </c>
    </row>
    <row r="1000">
      <c r="Z1000" t="str">
        <f>IF('Detalle individual'!A1000="","",IF(AND(OR('Estado por Colaborador'!$D$4="Todas las gerencias",'Detalle individual'!D1000='Estado por Colaborador'!$D$4),OR('Estado por Colaborador'!$D$5="Todos los departamentos",TRIM('Detalle individual'!C1000)='Estado por Colaborador'!$D$5),OR('Estado por Colaborador'!$D$6="Todos",'Detalle individual'!F1000='Estado por Colaborador'!$D$6)),IF('Detalle individual'!F1000="Completado",30000000,IF('Detalle individual'!F1000="Pendiente",0,15000000))+COUNTIF('Detalle individual'!$C$5:$C$1000,"&lt;"&amp;'Detalle individual'!C1000)*10000+ROW(),""))</f>
        <v/>
      </c>
      <c r="AB1000" t="str">
        <f>IF('Detalle individual'!C1000="","",IF(COUNTIF('Detalle individual'!$C$5:C1000,'Detalle individual'!C1000)=1,COUNTIF('Detalle individual'!$C$5:$C$1000,"&lt;"&amp;'Detalle individual'!C1000),""))</f>
        <v/>
      </c>
      <c r="AC1000" t="str">
        <f>IF('Detalle individual'!D1000="","",IF(COUNTIF('Detalle individual'!$D$5:D1000,'Detalle individual'!D1000)=1,COUNTIF('Detalle individual'!$D$5:$D$1000,"&lt;"&amp;'Detalle individual'!D1000),""))</f>
        <v/>
      </c>
      <c r="AH1000" t="str">
        <f>IF('Detalle individual'!F1000="Pendiente",COUNTIF('Detalle individual'!$D$5:$D$1000,"&lt;"&amp;'Detalle individual'!D1000)*1000000+COUNTIF('Detalle individual'!$C$5:$C$1000,"&lt;"&amp;'Detalle individual'!C1000)*1000+COUNTIF('Detalle individual'!$B$5:$B$1000,"&lt;"&amp;'Detalle individual'!B1000)+ROW()/10000,"")</f>
        <v/>
      </c>
      <c r="AI1000" t="str">
        <f>IF('Detalle individual'!F1000="Completado",COUNTIF('Detalle individual'!$D$5:$D$1000,"&lt;"&amp;'Detalle individual'!D1000)*1000000+COUNTIF('Detalle individual'!$C$5:$C$1000,"&lt;"&amp;'Detalle individual'!C1000)*1000+COUNTIF('Detalle individual'!$B$5:$B$1000,"&lt;"&amp;'Detalle individual'!B1000)+ROW()/10000,"")</f>
        <v/>
      </c>
      <c r="AJ1000" t="str">
        <f>IF(AND('Detalle individual'!F1000&lt;&gt;"",'Detalle individual'!F1000&lt;&gt;"Completado",'Detalle individual'!F1000&lt;&gt;"Pendiente"),COUNTIF('Detalle individual'!$D$5:$D$1000,"&lt;"&amp;'Detalle individual'!D1000)*1000000+COUNTIF('Detalle individual'!$C$5:$C$1000,"&lt;"&amp;'Detalle individual'!C1000)*1000+COUNTIF('Detalle individual'!$B$5:$B$1000,"&lt;"&amp;'Detalle individual'!B1000)+ROW()/10000,"")</f>
        <v/>
      </c>
      <c r="AK1000" t="str">
        <f>IF(OR('Base Exámenes'!C1000="",'Base Exámenes'!D1000=""),"",IF(COUNTIF('Base Exámenes'!$C$5:C1000,'Base Exámenes'!C1000)=1,'Base Exámenes'!D1000+ROW()/1000000000,""))</f>
        <v/>
      </c>
      <c r="AL1000" t="str">
        <f>IF(OR('Base Exámenes'!C1000="",'Base Exámenes'!E1000=""),"",IF(COUNTIF('Base Exámenes'!$C$5:C1000,'Base Exámenes'!C1000)=1,'Base Exámenes'!E1000+ROW()/1000000000,""))</f>
        <v/>
      </c>
      <c r="AM1000" t="str">
        <f>IF(OR('Base Exámenes'!C1000="",'Base Exámenes'!G1000=""),"",IF(ROW()-4=MATCH('Base Exámenes'!C1000&amp;"|"&amp;_xlfn.MAXIFS('Base Exámenes'!$G$5:$G$1000,'Base Exámenes'!$C$5:$C$1000,'Base Exámenes'!C1000),'Base Exámenes'!$I$5:$I$1000,0),'Base Exámenes'!G1000*1000000+(-1)*'Base Exámenes'!D1000,""))</f>
        <v/>
      </c>
      <c r="AQ1000" t="str">
        <f>IF('Base Exámenes'!C1000="","",IF(COUNTIF('Base Exámenes'!$C$5:$C$1000,'Base Exámenes'!C1000)&lt;2,"",MATCH('Base Exámenes'!C1000,'Base Exámenes'!$C$5:$C$1000,0)*10000+ROW()))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2026-10-10T15:51:47Z</dcterms:created>
  <dcterms:modified xmlns:dcterms="http://purl.org/dc/terms/" xmlns:xsi="http://www.w3.org/2001/XMLSchema-instance" xsi:type="dcterms:W3CDTF">2026-10-17T14:55:34Z</dcterms:modified>
  <cp:lastModifiedBy>Hector Jose Menjivar Somoza</cp:lastModifiedBy>
</cp:coreProperties>
</file>